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3" autoFilterDateGrouping="1"/>
  </bookViews>
  <sheets>
    <sheet name="Dashboard" sheetId="1" state="visible" r:id="rId1"/>
    <sheet name="Daily Report May-26 " sheetId="2" state="visible" r:id="rId2"/>
    <sheet name="Monthly Report May-26 (2)" sheetId="3" state="hidden" r:id="rId3"/>
    <sheet name="Monthly Report May-26 Cleaned" sheetId="4" state="visible" r:id="rId4"/>
    <sheet name="May-26 Analysis" sheetId="5" state="visible" r:id="rId5"/>
    <sheet name="Defect Analysis May-26" sheetId="6" state="visible" r:id="rId6"/>
  </sheets>
  <definedNames>
    <definedName name="_xlnm._FilterDatabase" localSheetId="1" hidden="1">'Daily Report May-26 '!$A$1:$M$87</definedName>
    <definedName name="_xlnm._FilterDatabase" localSheetId="2" hidden="1">'Monthly Report May-26 (2)'!$A$1:$AB$2787</definedName>
  </definedNames>
  <calcPr calcId="191029" fullCalcOnLoad="1"/>
  <pivotCaches>
    <pivotCache cacheId="2" r:id="rId7"/>
  </pivotCaches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&quot;₹&quot;\ #,##0.00;[Red]&quot;₹&quot;\ \-#,##0.00"/>
    <numFmt numFmtId="167" formatCode="&quot;₹&quot;\ #,##0.00"/>
    <numFmt numFmtId="168" formatCode="0.0&quot; days&quot;"/>
  </numFmts>
  <fonts count="70">
    <font>
      <name val="Aptos Narrow"/>
      <family val="2"/>
      <color theme="1"/>
      <sz val="11"/>
      <scheme val="minor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rgb="FF000000"/>
      <sz val="8"/>
    </font>
    <font>
      <name val="Calibri"/>
      <family val="2"/>
      <color rgb="FF000000"/>
      <sz val="11"/>
    </font>
    <font>
      <name val="Calibri"/>
      <family val="2"/>
      <b val="1"/>
      <color rgb="FF000000"/>
      <sz val="8"/>
    </font>
    <font>
      <name val="Calibri"/>
      <family val="2"/>
      <color rgb="FF242424"/>
      <sz val="8"/>
    </font>
    <font>
      <name val="Calibri"/>
      <family val="2"/>
      <b val="1"/>
      <color rgb="FFFF0000"/>
      <sz val="8"/>
    </font>
    <font>
      <name val="Aptos Narrow"/>
      <family val="2"/>
      <color theme="10"/>
      <sz val="11"/>
      <u val="single"/>
      <scheme val="minor"/>
    </font>
    <font>
      <name val="Calibri"/>
      <family val="2"/>
      <b val="1"/>
      <color theme="10"/>
      <sz val="8"/>
      <u val="single"/>
    </font>
    <font>
      <name val="Calibri"/>
      <family val="2"/>
      <color theme="1"/>
      <sz val="8"/>
    </font>
    <font>
      <name val="Aptos Narrow"/>
      <family val="2"/>
      <color theme="1"/>
      <sz val="8"/>
      <scheme val="minor"/>
    </font>
    <font>
      <name val="Calibri"/>
      <family val="2"/>
      <b val="1"/>
      <color theme="1"/>
      <sz val="8"/>
    </font>
    <font>
      <name val="Aptos Narrow"/>
      <family val="2"/>
      <b val="1"/>
      <color rgb="FF000000"/>
      <sz val="8"/>
      <scheme val="minor"/>
    </font>
    <font>
      <name val="Calibri"/>
      <family val="2"/>
      <color rgb="FFFF0000"/>
      <sz val="8"/>
    </font>
    <font>
      <name val="Calibri"/>
      <family val="2"/>
      <b val="1"/>
      <color rgb="FF767373"/>
      <sz val="8"/>
    </font>
    <font>
      <name val="Calibri"/>
      <family val="2"/>
      <color rgb="FF222222"/>
      <sz val="8"/>
    </font>
    <font>
      <name val="Calibri"/>
      <family val="2"/>
      <color theme="1"/>
      <sz val="11"/>
    </font>
    <font>
      <name val="Calibri"/>
      <family val="2"/>
      <color rgb="FF212121"/>
      <sz val="8"/>
    </font>
    <font>
      <name val="Aptos Narrow"/>
      <family val="2"/>
      <sz val="8"/>
      <scheme val="minor"/>
    </font>
    <font>
      <name val="Calibri"/>
      <family val="2"/>
      <color theme="10"/>
      <sz val="8"/>
      <u val="single"/>
    </font>
    <font>
      <name val="Aptos Narrow"/>
      <family val="2"/>
      <color rgb="FF000000"/>
      <sz val="8"/>
      <scheme val="minor"/>
    </font>
    <font>
      <name val="Calibri"/>
      <family val="2"/>
      <color rgb="FF242424"/>
      <sz val="7"/>
    </font>
    <font>
      <name val="Aptos Narrow"/>
      <family val="2"/>
      <color rgb="FF242424"/>
      <sz val="8"/>
      <scheme val="minor"/>
    </font>
    <font>
      <name val="Calibri"/>
      <family val="2"/>
      <color rgb="FF767373"/>
      <sz val="8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rgb="FF375623"/>
      <sz val="11"/>
      <scheme val="minor"/>
    </font>
    <font>
      <name val="Aptos Narrow"/>
      <family val="2"/>
      <color rgb="FFC55A11"/>
      <sz val="11"/>
      <scheme val="minor"/>
    </font>
    <font>
      <name val="Aptos Narrow"/>
      <family val="2"/>
      <b val="1"/>
      <color rgb="FF1F3864"/>
      <sz val="11"/>
      <scheme val="minor"/>
    </font>
    <font>
      <name val="Aptos Narrow"/>
      <family val="2"/>
      <b val="1"/>
      <color rgb="FFFFFFFF"/>
      <sz val="16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4472C4"/>
      <sz val="9"/>
      <scheme val="minor"/>
    </font>
    <font>
      <name val="Aptos Narrow"/>
      <family val="2"/>
      <b val="1"/>
      <color rgb="FF548235"/>
      <sz val="9"/>
      <scheme val="minor"/>
    </font>
    <font>
      <name val="Aptos Narrow"/>
      <family val="2"/>
      <b val="1"/>
      <color rgb="FFFF0000"/>
      <sz val="9"/>
      <scheme val="minor"/>
    </font>
    <font>
      <name val="Aptos Narrow"/>
      <family val="2"/>
      <b val="1"/>
      <color rgb="FF7030A0"/>
      <sz val="9"/>
      <scheme val="minor"/>
    </font>
    <font>
      <name val="Aptos Narrow"/>
      <family val="2"/>
      <b val="1"/>
      <color rgb="FF1F4E79"/>
      <sz val="9"/>
      <scheme val="minor"/>
    </font>
    <font>
      <name val="Aptos Narrow"/>
      <family val="2"/>
      <b val="1"/>
      <color rgb="FFC45911"/>
      <sz val="9"/>
      <scheme val="minor"/>
    </font>
    <font>
      <name val="Aptos Narrow"/>
      <family val="2"/>
      <b val="1"/>
      <color rgb="FF1F4E79"/>
      <sz val="20"/>
      <scheme val="minor"/>
    </font>
    <font>
      <name val="Aptos Narrow"/>
      <family val="2"/>
      <b val="1"/>
      <color rgb="FF548235"/>
      <sz val="20"/>
      <scheme val="minor"/>
    </font>
    <font>
      <name val="Aptos Narrow"/>
      <family val="2"/>
      <b val="1"/>
      <color rgb="FFFF0000"/>
      <sz val="20"/>
      <scheme val="minor"/>
    </font>
    <font>
      <name val="Aptos Narrow"/>
      <family val="2"/>
      <b val="1"/>
      <color rgb="FF7030A0"/>
      <sz val="20"/>
      <scheme val="minor"/>
    </font>
    <font>
      <name val="Aptos Narrow"/>
      <family val="2"/>
      <b val="1"/>
      <color rgb="FFC45911"/>
      <sz val="20"/>
      <scheme val="minor"/>
    </font>
    <font>
      <name val="Consolas"/>
      <family val="3"/>
      <color rgb="FF121212"/>
      <sz val="6"/>
    </font>
    <font>
      <name val="Aptos Narrow"/>
      <family val="2"/>
      <color rgb="FF375623"/>
      <sz val="11"/>
      <scheme val="minor"/>
    </font>
    <font>
      <name val="Aptos Narrow"/>
      <family val="2"/>
      <b val="1"/>
      <color rgb="FF375623"/>
      <sz val="11"/>
      <scheme val="minor"/>
    </font>
    <font>
      <name val="Aptos Narrow"/>
      <family val="2"/>
      <color rgb="FFC55A11"/>
      <sz val="11"/>
      <scheme val="minor"/>
    </font>
    <font>
      <name val="Aptos Narrow"/>
      <family val="2"/>
      <color theme="9"/>
      <sz val="11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rgb="FFFFFFFF"/>
      <sz val="22"/>
      <scheme val="minor"/>
    </font>
    <font>
      <name val="Aptos Narrow"/>
      <family val="2"/>
      <color rgb="FFBDD7EE"/>
      <sz val="11"/>
      <scheme val="minor"/>
    </font>
    <font>
      <name val="Aptos Narrow"/>
      <family val="2"/>
      <b val="1"/>
      <color rgb="FF667085"/>
      <sz val="10"/>
      <scheme val="minor"/>
    </font>
    <font>
      <name val="Aptos Narrow"/>
      <family val="2"/>
      <b val="1"/>
      <color rgb="FF1F3864"/>
      <sz val="26"/>
      <scheme val="minor"/>
    </font>
    <font>
      <name val="Aptos Narrow"/>
      <family val="2"/>
      <b val="1"/>
      <color rgb="FF2E7D32"/>
      <sz val="26"/>
      <scheme val="minor"/>
    </font>
    <font>
      <name val="Aptos Narrow"/>
      <family val="2"/>
      <b val="1"/>
      <color rgb="FFC62828"/>
      <sz val="26"/>
      <scheme val="minor"/>
    </font>
    <font>
      <name val="Aptos Narrow"/>
      <family val="2"/>
      <b val="1"/>
      <color rgb="FF1F3864"/>
      <sz val="12"/>
      <scheme val="minor"/>
    </font>
    <font>
      <name val="Aptos Narrow"/>
      <family val="2"/>
      <b val="1"/>
      <color theme="4"/>
      <sz val="12"/>
      <scheme val="minor"/>
    </font>
    <font>
      <name val="Aptos Narrow"/>
      <family val="2"/>
      <color rgb="FFFFFFFF"/>
      <sz val="11"/>
      <scheme val="minor"/>
    </font>
    <font>
      <name val="Aptos Narrow"/>
      <family val="2"/>
      <sz val="11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b val="1"/>
      <color theme="7" tint="-0.499984740745262"/>
      <sz val="11"/>
      <scheme val="minor"/>
    </font>
    <font>
      <name val="Aptos Narrow"/>
      <family val="2"/>
      <b val="1"/>
      <color theme="7" tint="-0.499984740745262"/>
      <sz val="16"/>
      <scheme val="minor"/>
    </font>
    <font>
      <name val="Aptos Narrow"/>
      <family val="2"/>
      <b val="1"/>
      <color theme="9" tint="-0.249977111117893"/>
      <sz val="16"/>
      <scheme val="minor"/>
    </font>
  </fonts>
  <fills count="2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34" fillId="0" borderId="0"/>
    <xf numFmtId="0" fontId="8" fillId="0" borderId="0"/>
  </cellStyleXfs>
  <cellXfs count="24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5" fontId="2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5" fontId="3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4" fillId="2" borderId="1" pivotButton="0" quotePrefix="0" xfId="0"/>
    <xf numFmtId="0" fontId="4" fillId="0" borderId="1" pivotButton="0" quotePrefix="0" xfId="0"/>
    <xf numFmtId="0" fontId="3" fillId="3" borderId="1" applyAlignment="1" pivotButton="0" quotePrefix="0" xfId="0">
      <alignment horizontal="center"/>
    </xf>
    <xf numFmtId="0" fontId="9" fillId="0" borderId="1" applyAlignment="1" pivotButton="0" quotePrefix="0" xfId="1">
      <alignment horizontal="center"/>
    </xf>
    <xf numFmtId="0" fontId="1" fillId="2" borderId="1" applyAlignment="1" pivotButton="0" quotePrefix="0" xfId="0">
      <alignment horizontal="center" vertical="center"/>
    </xf>
    <xf numFmtId="15" fontId="3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5" fontId="3" fillId="5" borderId="1" applyAlignment="1" pivotButton="0" quotePrefix="0" xfId="0">
      <alignment horizontal="center"/>
    </xf>
    <xf numFmtId="0" fontId="9" fillId="4" borderId="1" applyAlignment="1" pivotButton="0" quotePrefix="0" xfId="1">
      <alignment horizontal="center"/>
    </xf>
    <xf numFmtId="0" fontId="4" fillId="4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4" fillId="5" borderId="1" pivotButton="0" quotePrefix="0" xfId="0"/>
    <xf numFmtId="0" fontId="14" fillId="3" borderId="1" applyAlignment="1" pivotButton="0" quotePrefix="0" xfId="0">
      <alignment horizontal="center"/>
    </xf>
    <xf numFmtId="0" fontId="14" fillId="2" borderId="1" applyAlignment="1" pivotButton="0" quotePrefix="0" xfId="0">
      <alignment horizontal="center"/>
    </xf>
    <xf numFmtId="15" fontId="2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5" fontId="10" fillId="4" borderId="1" applyAlignment="1" pivotButton="0" quotePrefix="0" xfId="0">
      <alignment horizontal="center"/>
    </xf>
    <xf numFmtId="0" fontId="17" fillId="0" borderId="1" pivotButton="0" quotePrefix="0" xfId="0"/>
    <xf numFmtId="0" fontId="3" fillId="4" borderId="1" applyAlignment="1" pivotButton="0" quotePrefix="0" xfId="0">
      <alignment horizontal="center"/>
    </xf>
    <xf numFmtId="0" fontId="12" fillId="4" borderId="1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10" fillId="4" borderId="2" applyAlignment="1" pivotButton="0" quotePrefix="0" xfId="0">
      <alignment horizontal="center"/>
    </xf>
    <xf numFmtId="0" fontId="18" fillId="4" borderId="1" applyAlignment="1" pivotButton="0" quotePrefix="0" xfId="0">
      <alignment horizontal="center"/>
    </xf>
    <xf numFmtId="0" fontId="9" fillId="0" borderId="0" applyAlignment="1" pivotButton="0" quotePrefix="0" xfId="1">
      <alignment horizontal="center"/>
    </xf>
    <xf numFmtId="1" fontId="10" fillId="4" borderId="1" applyAlignment="1" pivotButton="0" quotePrefix="0" xfId="0">
      <alignment horizontal="center"/>
    </xf>
    <xf numFmtId="1" fontId="10" fillId="4" borderId="3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2" fillId="4" borderId="7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11" fillId="4" borderId="2" applyAlignment="1" pivotButton="0" quotePrefix="0" xfId="0">
      <alignment horizontal="center"/>
    </xf>
    <xf numFmtId="15" fontId="19" fillId="4" borderId="1" applyAlignment="1" pivotButton="0" quotePrefix="0" xfId="0">
      <alignment horizontal="center"/>
    </xf>
    <xf numFmtId="0" fontId="19" fillId="4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9" fillId="4" borderId="7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20" fillId="0" borderId="1" applyAlignment="1" pivotButton="0" quotePrefix="0" xfId="1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15" fontId="2" fillId="2" borderId="11" applyAlignment="1" pivotButton="0" quotePrefix="0" xfId="0">
      <alignment horizontal="center"/>
    </xf>
    <xf numFmtId="0" fontId="3" fillId="2" borderId="11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2" fillId="2" borderId="11" applyAlignment="1" pivotButton="0" quotePrefix="0" xfId="0">
      <alignment horizontal="center"/>
    </xf>
    <xf numFmtId="1" fontId="10" fillId="4" borderId="11" applyAlignment="1" pivotButton="0" quotePrefix="0" xfId="0">
      <alignment horizontal="center"/>
    </xf>
    <xf numFmtId="15" fontId="2" fillId="4" borderId="11" applyAlignment="1" pivotButton="0" quotePrefix="0" xfId="0">
      <alignment horizontal="center"/>
    </xf>
    <xf numFmtId="0" fontId="10" fillId="4" borderId="11" applyAlignment="1" pivotButton="0" quotePrefix="0" xfId="0">
      <alignment horizontal="center"/>
    </xf>
    <xf numFmtId="0" fontId="5" fillId="4" borderId="11" applyAlignment="1" pivotButton="0" quotePrefix="0" xfId="0">
      <alignment horizontal="center"/>
    </xf>
    <xf numFmtId="0" fontId="2" fillId="4" borderId="11" applyAlignment="1" pivotButton="0" quotePrefix="0" xfId="0">
      <alignment horizontal="center"/>
    </xf>
    <xf numFmtId="0" fontId="2" fillId="4" borderId="12" applyAlignment="1" pivotButton="0" quotePrefix="0" xfId="0">
      <alignment horizontal="center"/>
    </xf>
    <xf numFmtId="1" fontId="10" fillId="4" borderId="13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15" fontId="3" fillId="3" borderId="11" applyAlignment="1" pivotButton="0" quotePrefix="0" xfId="0">
      <alignment horizontal="center"/>
    </xf>
    <xf numFmtId="0" fontId="3" fillId="3" borderId="11" applyAlignment="1" pivotButton="0" quotePrefix="0" xfId="0">
      <alignment horizontal="center"/>
    </xf>
    <xf numFmtId="15" fontId="19" fillId="4" borderId="11" applyAlignment="1" pivotButton="0" quotePrefix="0" xfId="0">
      <alignment horizontal="center"/>
    </xf>
    <xf numFmtId="0" fontId="11" fillId="4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/>
    </xf>
    <xf numFmtId="0" fontId="3" fillId="0" borderId="10" applyAlignment="1" pivotButton="0" quotePrefix="0" xfId="0">
      <alignment horizontal="center" vertical="center"/>
    </xf>
    <xf numFmtId="15" fontId="11" fillId="4" borderId="1" applyAlignment="1" pivotButton="0" quotePrefix="0" xfId="0">
      <alignment horizontal="center"/>
    </xf>
    <xf numFmtId="0" fontId="3" fillId="0" borderId="5" applyAlignment="1" pivotButton="0" quotePrefix="0" xfId="0">
      <alignment horizontal="center" wrapText="1"/>
    </xf>
    <xf numFmtId="0" fontId="3" fillId="0" borderId="3" applyAlignment="1" pivotButton="0" quotePrefix="0" xfId="0">
      <alignment horizontal="center"/>
    </xf>
    <xf numFmtId="0" fontId="3" fillId="0" borderId="13" applyAlignment="1" pivotButton="0" quotePrefix="0" xfId="0">
      <alignment horizontal="center"/>
    </xf>
    <xf numFmtId="0" fontId="23" fillId="0" borderId="2" applyAlignment="1" pivotButton="0" quotePrefix="0" xfId="0">
      <alignment horizontal="center"/>
    </xf>
    <xf numFmtId="0" fontId="23" fillId="0" borderId="1" applyAlignment="1" pivotButton="0" quotePrefix="0" xfId="0">
      <alignment horizontal="center"/>
    </xf>
    <xf numFmtId="0" fontId="3" fillId="2" borderId="14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15" applyAlignment="1" pivotButton="0" quotePrefix="0" xfId="0">
      <alignment horizontal="center"/>
    </xf>
    <xf numFmtId="0" fontId="3" fillId="2" borderId="13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/>
    </xf>
    <xf numFmtId="0" fontId="24" fillId="4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26" fillId="9" borderId="0" applyAlignment="1" pivotButton="0" quotePrefix="0" xfId="0">
      <alignment horizontal="center"/>
    </xf>
    <xf numFmtId="16" fontId="0" fillId="0" borderId="0" pivotButton="0" quotePrefix="0" xfId="0"/>
    <xf numFmtId="0" fontId="26" fillId="9" borderId="0" pivotButton="0" quotePrefix="0" xfId="0"/>
    <xf numFmtId="0" fontId="33" fillId="10" borderId="0" pivotButton="0" quotePrefix="0" xfId="0"/>
    <xf numFmtId="0" fontId="35" fillId="0" borderId="0" pivotButton="0" quotePrefix="0" xfId="0"/>
    <xf numFmtId="0" fontId="38" fillId="13" borderId="19" applyAlignment="1" pivotButton="0" quotePrefix="0" xfId="0">
      <alignment horizontal="center"/>
    </xf>
    <xf numFmtId="0" fontId="39" fillId="14" borderId="19" applyAlignment="1" pivotButton="0" quotePrefix="0" xfId="0">
      <alignment horizontal="center"/>
    </xf>
    <xf numFmtId="0" fontId="40" fillId="15" borderId="19" applyAlignment="1" pivotButton="0" quotePrefix="0" xfId="0">
      <alignment horizontal="center"/>
    </xf>
    <xf numFmtId="0" fontId="41" fillId="16" borderId="19" applyAlignment="1" pivotButton="0" quotePrefix="0" xfId="0">
      <alignment horizontal="center"/>
    </xf>
    <xf numFmtId="0" fontId="42" fillId="17" borderId="20" applyAlignment="1" pivotButton="0" quotePrefix="0" xfId="0">
      <alignment horizontal="center"/>
    </xf>
    <xf numFmtId="3" fontId="44" fillId="13" borderId="21" applyAlignment="1" pivotButton="0" quotePrefix="0" xfId="0">
      <alignment horizontal="center"/>
    </xf>
    <xf numFmtId="3" fontId="45" fillId="14" borderId="21" applyAlignment="1" pivotButton="0" quotePrefix="0" xfId="0">
      <alignment horizontal="center"/>
    </xf>
    <xf numFmtId="3" fontId="46" fillId="15" borderId="21" applyAlignment="1" pivotButton="0" quotePrefix="0" xfId="0">
      <alignment horizontal="center"/>
    </xf>
    <xf numFmtId="164" fontId="43" fillId="16" borderId="21" applyAlignment="1" pivotButton="0" quotePrefix="0" xfId="0">
      <alignment horizontal="center"/>
    </xf>
    <xf numFmtId="0" fontId="32" fillId="4" borderId="0" applyAlignment="1" pivotButton="0" quotePrefix="0" xfId="0">
      <alignment horizontal="center"/>
    </xf>
    <xf numFmtId="0" fontId="0" fillId="4" borderId="0" pivotButton="0" quotePrefix="0" xfId="0"/>
    <xf numFmtId="0" fontId="26" fillId="4" borderId="0" applyAlignment="1" pivotButton="0" quotePrefix="0" xfId="0">
      <alignment horizontal="center"/>
    </xf>
    <xf numFmtId="0" fontId="26" fillId="4" borderId="0" pivotButton="0" quotePrefix="0" xfId="0"/>
    <xf numFmtId="16" fontId="0" fillId="4" borderId="0" pivotButton="0" quotePrefix="0" xfId="0"/>
    <xf numFmtId="0" fontId="48" fillId="0" borderId="0" pivotButton="0" quotePrefix="0" xfId="0"/>
    <xf numFmtId="3" fontId="0" fillId="0" borderId="0" pivotButton="0" quotePrefix="0" xfId="0"/>
    <xf numFmtId="165" fontId="47" fillId="17" borderId="22" applyAlignment="1" pivotButton="0" quotePrefix="0" xfId="0">
      <alignment horizontal="center"/>
    </xf>
    <xf numFmtId="3" fontId="0" fillId="0" borderId="16" applyAlignment="1" pivotButton="0" quotePrefix="0" xfId="0">
      <alignment horizontal="center"/>
    </xf>
    <xf numFmtId="165" fontId="31" fillId="0" borderId="0" applyAlignment="1" pivotButton="0" quotePrefix="0" xfId="0">
      <alignment horizontal="center"/>
    </xf>
    <xf numFmtId="3" fontId="43" fillId="12" borderId="22" applyAlignment="1" pivotButton="0" quotePrefix="0" xfId="0">
      <alignment horizontal="center"/>
    </xf>
    <xf numFmtId="0" fontId="26" fillId="9" borderId="24" applyAlignment="1" pivotButton="0" quotePrefix="0" xfId="0">
      <alignment horizontal="center"/>
    </xf>
    <xf numFmtId="0" fontId="26" fillId="9" borderId="25" applyAlignment="1" pivotButton="0" quotePrefix="0" xfId="0">
      <alignment horizontal="center"/>
    </xf>
    <xf numFmtId="0" fontId="26" fillId="9" borderId="26" applyAlignment="1" pivotButton="0" quotePrefix="0" xfId="0">
      <alignment horizontal="center"/>
    </xf>
    <xf numFmtId="0" fontId="26" fillId="0" borderId="19" pivotButton="0" quotePrefix="0" xfId="0"/>
    <xf numFmtId="3" fontId="31" fillId="0" borderId="0" applyAlignment="1" pivotButton="0" quotePrefix="0" xfId="0">
      <alignment horizontal="center"/>
    </xf>
    <xf numFmtId="0" fontId="26" fillId="0" borderId="0" pivotButton="0" quotePrefix="0" xfId="0"/>
    <xf numFmtId="164" fontId="50" fillId="0" borderId="27" applyAlignment="1" pivotButton="0" quotePrefix="0" xfId="0">
      <alignment horizontal="center"/>
    </xf>
    <xf numFmtId="0" fontId="52" fillId="0" borderId="19" pivotButton="0" quotePrefix="0" xfId="0"/>
    <xf numFmtId="3" fontId="49" fillId="0" borderId="0" applyAlignment="1" pivotButton="0" quotePrefix="0" xfId="0">
      <alignment horizontal="center"/>
    </xf>
    <xf numFmtId="164" fontId="51" fillId="0" borderId="27" applyAlignment="1" pivotButton="0" quotePrefix="0" xfId="0">
      <alignment horizontal="center"/>
    </xf>
    <xf numFmtId="0" fontId="25" fillId="0" borderId="19" pivotButton="0" quotePrefix="0" xfId="0"/>
    <xf numFmtId="3" fontId="30" fillId="0" borderId="0" applyAlignment="1" pivotButton="0" quotePrefix="0" xfId="0">
      <alignment horizontal="center"/>
    </xf>
    <xf numFmtId="3" fontId="0" fillId="0" borderId="27" applyAlignment="1" pivotButton="0" quotePrefix="0" xfId="0">
      <alignment horizontal="center"/>
    </xf>
    <xf numFmtId="0" fontId="0" fillId="0" borderId="21" pivotButton="0" quotePrefix="0" xfId="0"/>
    <xf numFmtId="3" fontId="0" fillId="0" borderId="28" applyAlignment="1" pivotButton="0" quotePrefix="0" xfId="0">
      <alignment horizontal="center"/>
    </xf>
    <xf numFmtId="0" fontId="0" fillId="0" borderId="28" pivotButton="0" quotePrefix="0" xfId="0"/>
    <xf numFmtId="3" fontId="0" fillId="0" borderId="29" applyAlignment="1" pivotButton="0" quotePrefix="0" xfId="0">
      <alignment horizontal="center"/>
    </xf>
    <xf numFmtId="0" fontId="26" fillId="9" borderId="19" pivotButton="0" quotePrefix="0" xfId="0"/>
    <xf numFmtId="0" fontId="26" fillId="9" borderId="27" applyAlignment="1" pivotButton="0" quotePrefix="0" xfId="0">
      <alignment horizontal="center"/>
    </xf>
    <xf numFmtId="0" fontId="0" fillId="0" borderId="19" pivotButton="0" quotePrefix="0" xfId="0"/>
    <xf numFmtId="3" fontId="29" fillId="0" borderId="0" applyAlignment="1" pivotButton="0" quotePrefix="0" xfId="0">
      <alignment horizontal="center"/>
    </xf>
    <xf numFmtId="164" fontId="0" fillId="0" borderId="27" applyAlignment="1" pivotButton="0" quotePrefix="0" xfId="0">
      <alignment horizontal="center"/>
    </xf>
    <xf numFmtId="0" fontId="27" fillId="8" borderId="21" pivotButton="0" quotePrefix="0" xfId="0"/>
    <xf numFmtId="3" fontId="27" fillId="8" borderId="28" applyAlignment="1" pivotButton="0" quotePrefix="0" xfId="0">
      <alignment horizontal="center"/>
    </xf>
    <xf numFmtId="164" fontId="27" fillId="8" borderId="29" applyAlignment="1" pivotButton="0" quotePrefix="0" xfId="0">
      <alignment horizontal="center"/>
    </xf>
    <xf numFmtId="0" fontId="26" fillId="9" borderId="19" applyAlignment="1" pivotButton="0" quotePrefix="0" xfId="0">
      <alignment horizontal="center"/>
    </xf>
    <xf numFmtId="16" fontId="0" fillId="0" borderId="19" applyAlignment="1" pivotButton="0" quotePrefix="0" xfId="0">
      <alignment horizontal="center"/>
    </xf>
    <xf numFmtId="16" fontId="0" fillId="0" borderId="21" applyAlignment="1" pivotButton="0" quotePrefix="0" xfId="0">
      <alignment horizontal="center"/>
    </xf>
    <xf numFmtId="0" fontId="35" fillId="9" borderId="30" applyAlignment="1" pivotButton="0" quotePrefix="0" xfId="0">
      <alignment horizontal="center"/>
    </xf>
    <xf numFmtId="0" fontId="35" fillId="9" borderId="31" applyAlignment="1" pivotButton="0" quotePrefix="0" xfId="0">
      <alignment horizontal="center"/>
    </xf>
    <xf numFmtId="0" fontId="35" fillId="9" borderId="32" applyAlignment="1" pivotButton="0" quotePrefix="0" xfId="0">
      <alignment horizontal="center"/>
    </xf>
    <xf numFmtId="0" fontId="34" fillId="0" borderId="33" pivotButton="0" quotePrefix="0" xfId="0"/>
    <xf numFmtId="164" fontId="0" fillId="0" borderId="34" applyAlignment="1" pivotButton="0" quotePrefix="0" xfId="0">
      <alignment horizontal="center"/>
    </xf>
    <xf numFmtId="0" fontId="36" fillId="8" borderId="35" pivotButton="0" quotePrefix="0" xfId="0"/>
    <xf numFmtId="3" fontId="27" fillId="8" borderId="36" applyAlignment="1" pivotButton="0" quotePrefix="0" xfId="0">
      <alignment horizontal="center"/>
    </xf>
    <xf numFmtId="164" fontId="27" fillId="8" borderId="37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19" borderId="0" pivotButton="0" quotePrefix="0" xfId="0"/>
    <xf numFmtId="0" fontId="62" fillId="19" borderId="0" pivotButton="0" quotePrefix="0" xfId="0"/>
    <xf numFmtId="0" fontId="54" fillId="4" borderId="0" pivotButton="0" quotePrefix="0" xfId="0"/>
    <xf numFmtId="0" fontId="55" fillId="4" borderId="0" pivotButton="0" quotePrefix="0" xfId="0"/>
    <xf numFmtId="16" fontId="55" fillId="4" borderId="0" pivotButton="0" quotePrefix="0" xfId="0"/>
    <xf numFmtId="15" fontId="2" fillId="4" borderId="40" applyAlignment="1" pivotButton="0" quotePrefix="0" xfId="0">
      <alignment horizontal="center"/>
    </xf>
    <xf numFmtId="0" fontId="3" fillId="2" borderId="40" applyAlignment="1" pivotButton="0" quotePrefix="0" xfId="0">
      <alignment horizontal="center"/>
    </xf>
    <xf numFmtId="0" fontId="10" fillId="4" borderId="40" applyAlignment="1" pivotButton="0" quotePrefix="0" xfId="0">
      <alignment horizontal="center"/>
    </xf>
    <xf numFmtId="0" fontId="3" fillId="0" borderId="40" applyAlignment="1" pivotButton="0" quotePrefix="0" xfId="0">
      <alignment horizontal="center"/>
    </xf>
    <xf numFmtId="0" fontId="5" fillId="4" borderId="40" applyAlignment="1" pivotButton="0" quotePrefix="0" xfId="0">
      <alignment horizontal="center"/>
    </xf>
    <xf numFmtId="0" fontId="2" fillId="4" borderId="40" applyAlignment="1" pivotButton="0" quotePrefix="0" xfId="0">
      <alignment horizontal="center"/>
    </xf>
    <xf numFmtId="0" fontId="10" fillId="0" borderId="40" applyAlignment="1" pivotButton="0" quotePrefix="0" xfId="0">
      <alignment horizontal="center"/>
    </xf>
    <xf numFmtId="0" fontId="2" fillId="4" borderId="41" applyAlignment="1" pivotButton="0" quotePrefix="0" xfId="0">
      <alignment horizontal="center"/>
    </xf>
    <xf numFmtId="1" fontId="10" fillId="4" borderId="42" applyAlignment="1" pivotButton="0" quotePrefix="0" xfId="0">
      <alignment horizontal="center"/>
    </xf>
    <xf numFmtId="1" fontId="10" fillId="4" borderId="40" applyAlignment="1" pivotButton="0" quotePrefix="0" xfId="0">
      <alignment horizontal="center"/>
    </xf>
    <xf numFmtId="15" fontId="3" fillId="3" borderId="40" applyAlignment="1" pivotButton="0" quotePrefix="0" xfId="0">
      <alignment horizontal="center"/>
    </xf>
    <xf numFmtId="0" fontId="3" fillId="2" borderId="43" applyAlignment="1" pivotButton="0" quotePrefix="0" xfId="0">
      <alignment horizontal="center"/>
    </xf>
    <xf numFmtId="0" fontId="3" fillId="3" borderId="40" applyAlignment="1" pivotButton="0" quotePrefix="0" xfId="0">
      <alignment horizontal="center"/>
    </xf>
    <xf numFmtId="15" fontId="19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9" fillId="4" borderId="0" applyAlignment="1" pivotButton="0" quotePrefix="0" xfId="0">
      <alignment horizontal="center"/>
    </xf>
    <xf numFmtId="1" fontId="10" fillId="4" borderId="0" applyAlignment="1" pivotButton="0" quotePrefix="0" xfId="0">
      <alignment horizontal="center"/>
    </xf>
    <xf numFmtId="15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0" borderId="44" applyAlignment="1" pivotButton="0" quotePrefix="0" xfId="0">
      <alignment horizontal="center"/>
    </xf>
    <xf numFmtId="0" fontId="3" fillId="0" borderId="45" applyAlignment="1" pivotButton="0" quotePrefix="0" xfId="0">
      <alignment horizontal="center"/>
    </xf>
    <xf numFmtId="0" fontId="0" fillId="0" borderId="46" pivotButton="0" quotePrefix="0" xfId="0"/>
    <xf numFmtId="0" fontId="28" fillId="10" borderId="0" pivotButton="0" quotePrefix="0" xfId="0"/>
    <xf numFmtId="10" fontId="0" fillId="0" borderId="0" pivotButton="0" quotePrefix="0" xfId="0"/>
    <xf numFmtId="0" fontId="63" fillId="19" borderId="0" pivotButton="0" quotePrefix="0" xfId="0"/>
    <xf numFmtId="0" fontId="65" fillId="0" borderId="0" pivotButton="0" quotePrefix="0" xfId="0"/>
    <xf numFmtId="0" fontId="65" fillId="4" borderId="0" pivotButton="0" quotePrefix="0" xfId="0"/>
    <xf numFmtId="0" fontId="27" fillId="1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0" fontId="0" fillId="0" borderId="1" pivotButton="0" quotePrefix="0" xfId="0"/>
    <xf numFmtId="0" fontId="26" fillId="16" borderId="1" applyAlignment="1" pivotButton="0" quotePrefix="0" xfId="0">
      <alignment horizontal="left"/>
    </xf>
    <xf numFmtId="0" fontId="26" fillId="16" borderId="1" applyAlignment="1" pivotButton="0" quotePrefix="0" xfId="0">
      <alignment horizontal="center"/>
    </xf>
    <xf numFmtId="0" fontId="0" fillId="22" borderId="1" applyAlignment="1" pivotButton="0" quotePrefix="0" xfId="0">
      <alignment horizontal="left"/>
    </xf>
    <xf numFmtId="0" fontId="0" fillId="22" borderId="1" applyAlignment="1" pivotButton="0" quotePrefix="0" xfId="0">
      <alignment horizontal="center"/>
    </xf>
    <xf numFmtId="0" fontId="26" fillId="22" borderId="1" applyAlignment="1" pivotButton="0" quotePrefix="0" xfId="0">
      <alignment horizontal="center"/>
    </xf>
    <xf numFmtId="0" fontId="0" fillId="22" borderId="1" pivotButton="0" quotePrefix="0" xfId="0"/>
    <xf numFmtId="0" fontId="55" fillId="0" borderId="0" pivotButton="0" quotePrefix="0" xfId="0"/>
    <xf numFmtId="0" fontId="64" fillId="20" borderId="0" pivotButton="0" quotePrefix="0" xfId="0"/>
    <xf numFmtId="0" fontId="27" fillId="20" borderId="0" pivotButton="0" quotePrefix="0" xfId="0"/>
    <xf numFmtId="0" fontId="37" fillId="12" borderId="20" applyAlignment="1" pivotButton="0" quotePrefix="0" xfId="0">
      <alignment horizontal="center"/>
    </xf>
    <xf numFmtId="0" fontId="66" fillId="23" borderId="23" applyAlignment="1" pivotButton="0" quotePrefix="0" xfId="0">
      <alignment horizontal="center"/>
    </xf>
    <xf numFmtId="166" fontId="69" fillId="23" borderId="22" applyAlignment="1" pivotButton="0" quotePrefix="0" xfId="0">
      <alignment horizontal="center"/>
    </xf>
    <xf numFmtId="167" fontId="68" fillId="24" borderId="29" pivotButton="0" quotePrefix="0" xfId="0"/>
    <xf numFmtId="0" fontId="67" fillId="24" borderId="27" applyAlignment="1" pivotButton="0" quotePrefix="0" xfId="0">
      <alignment horizontal="center"/>
    </xf>
    <xf numFmtId="3" fontId="59" fillId="20" borderId="48" applyAlignment="1" pivotButton="0" quotePrefix="0" xfId="0">
      <alignment horizontal="left" vertical="center" indent="1"/>
    </xf>
    <xf numFmtId="0" fontId="0" fillId="0" borderId="38" pivotButton="0" quotePrefix="0" xfId="0"/>
    <xf numFmtId="3" fontId="60" fillId="20" borderId="48" applyAlignment="1" pivotButton="0" quotePrefix="0" xfId="0">
      <alignment horizontal="left" vertical="center" indent="1"/>
    </xf>
    <xf numFmtId="3" fontId="61" fillId="20" borderId="48" applyAlignment="1" pivotButton="0" quotePrefix="0" xfId="0">
      <alignment horizontal="left" vertical="center" indent="1"/>
    </xf>
    <xf numFmtId="0" fontId="58" fillId="20" borderId="47" applyAlignment="1" pivotButton="0" quotePrefix="0" xfId="0">
      <alignment indent="1"/>
    </xf>
    <xf numFmtId="0" fontId="0" fillId="0" borderId="39" pivotButton="0" quotePrefix="0" xfId="0"/>
    <xf numFmtId="168" fontId="59" fillId="20" borderId="48" applyAlignment="1" pivotButton="0" quotePrefix="0" xfId="0">
      <alignment horizontal="left" vertical="center" indent="1"/>
    </xf>
    <xf numFmtId="0" fontId="56" fillId="8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57" fillId="8" borderId="0" applyAlignment="1" pivotButton="0" quotePrefix="0" xfId="0">
      <alignment vertical="center" indent="1"/>
    </xf>
    <xf numFmtId="164" fontId="59" fillId="20" borderId="48" applyAlignment="1" pivotButton="0" quotePrefix="0" xfId="0">
      <alignment horizontal="left" vertical="center" indent="1"/>
    </xf>
    <xf numFmtId="0" fontId="28" fillId="4" borderId="0" pivotButton="0" quotePrefix="0" xfId="0"/>
    <xf numFmtId="0" fontId="28" fillId="1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32" fillId="8" borderId="0" applyAlignment="1" pivotButton="0" quotePrefix="0" xfId="0">
      <alignment horizontal="center"/>
    </xf>
    <xf numFmtId="0" fontId="28" fillId="21" borderId="0" applyAlignment="1" pivotButton="0" quotePrefix="0" xfId="0">
      <alignment horizontal="center"/>
    </xf>
    <xf numFmtId="0" fontId="28" fillId="11" borderId="49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0" fontId="53" fillId="18" borderId="0" applyAlignment="1" pivotButton="0" quotePrefix="0" xfId="0">
      <alignment horizontal="center"/>
    </xf>
    <xf numFmtId="168" fontId="59" fillId="20" borderId="48" applyAlignment="1" pivotButton="0" quotePrefix="0" xfId="0">
      <alignment horizontal="left" vertical="center" indent="1"/>
    </xf>
    <xf numFmtId="166" fontId="69" fillId="23" borderId="22" applyAlignment="1" pivotButton="0" quotePrefix="0" xfId="0">
      <alignment horizontal="center"/>
    </xf>
    <xf numFmtId="167" fontId="68" fillId="24" borderId="29" pivotButton="0" quotePrefix="0" xfId="0"/>
  </cellXfs>
  <cellStyles count="2">
    <cellStyle name="Normal" xfId="0" builtinId="0"/>
    <cellStyle name="Hyperlink" xfId="1" builtinId="8"/>
  </cellStyles>
  <dxfs count="11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Dashboard!$V$3</f>
              <strCache>
                <ptCount val="1"/>
                <pt idx="0">
                  <v>Modules</v>
                </pt>
              </strCache>
            </strRef>
          </tx>
          <spPr>
            <a:solidFill>
              <a:srgbClr val="2E75B6"/>
            </a:solidFill>
            <a:ln>
              <a:noFill/>
              <a:prstDash val="solid"/>
            </a:ln>
          </spPr>
          <invertIfNegative val="0"/>
          <cat>
            <strRef>
              <f>Dashboard!$U$4:$U$11</f>
              <strCache>
                <ptCount val="8"/>
                <pt idx="0">
                  <v>Blupine</v>
                </pt>
                <pt idx="1">
                  <v>Yanara Power</v>
                </pt>
                <pt idx="2">
                  <v>Continuum</v>
                </pt>
                <pt idx="3">
                  <v>First Energy</v>
                </pt>
                <pt idx="4">
                  <v>Solar Square</v>
                </pt>
                <pt idx="5">
                  <v>Oyster Technocon</v>
                </pt>
                <pt idx="6">
                  <v>Panasonic</v>
                </pt>
                <pt idx="7">
                  <v>TRUE SUN TRADING COMPANY</v>
                </pt>
              </strCache>
            </strRef>
          </cat>
          <val>
            <numRef>
              <f>Dashboard!$V$4:$V$11</f>
              <numCache>
                <formatCode>General</formatCode>
                <ptCount val="8"/>
                <pt idx="0">
                  <v>1081</v>
                </pt>
                <pt idx="1">
                  <v>958</v>
                </pt>
                <pt idx="2">
                  <v>377</v>
                </pt>
                <pt idx="3">
                  <v>191</v>
                </pt>
                <pt idx="4">
                  <v>20</v>
                </pt>
                <pt idx="5">
                  <v>12</v>
                </pt>
                <pt idx="6">
                  <v>11</v>
                </pt>
                <pt idx="7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844831919"/>
        <axId val="844850159"/>
      </barChart>
      <catAx>
        <axId val="844831919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4850159"/>
        <crosses val="autoZero"/>
        <auto val="1"/>
        <lblAlgn val="ctr"/>
        <lblOffset val="100"/>
        <noMultiLvlLbl val="0"/>
      </catAx>
      <valAx>
        <axId val="84485015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483191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'May-26 Analysis'!$G$19</f>
              <strCache>
                <ptCount val="1"/>
                <pt idx="0">
                  <v>Gujarat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'May-26 Analysis'!$H$19</f>
              <numCache>
                <formatCode>#,##0</formatCode>
                <ptCount val="1"/>
                <pt idx="0">
                  <v>1641</v>
                </pt>
              </numCache>
            </numRef>
          </val>
        </ser>
        <ser>
          <idx val="1"/>
          <order val="1"/>
          <tx>
            <strRef>
              <f>'May-26 Analysis'!$G$20</f>
              <strCache>
                <ptCount val="1"/>
                <pt idx="0">
                  <v>Maharashtra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'May-26 Analysis'!$H$20</f>
              <numCache>
                <formatCode>#,##0</formatCode>
                <ptCount val="1"/>
                <pt idx="0">
                  <v>989</v>
                </pt>
              </numCache>
            </numRef>
          </val>
        </ser>
        <ser>
          <idx val="2"/>
          <order val="2"/>
          <tx>
            <strRef>
              <f>'May-26 Analysis'!$G$21</f>
              <strCache>
                <ptCount val="1"/>
                <pt idx="0">
                  <v>Kerala</v>
                </pt>
              </strCache>
            </strRef>
          </tx>
          <spPr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'May-26 Analysis'!$H$21</f>
              <numCache>
                <formatCode>#,##0</formatCode>
                <ptCount val="1"/>
                <pt idx="0">
                  <v>15</v>
                </pt>
              </numCache>
            </numRef>
          </val>
        </ser>
        <ser>
          <idx val="3"/>
          <order val="3"/>
          <tx>
            <strRef>
              <f>'May-26 Analysis'!$G$22</f>
              <strCache>
                <ptCount val="1"/>
                <pt idx="0">
                  <v>Telangana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val>
            <numRef>
              <f>'May-26 Analysis'!$H$22</f>
              <numCache>
                <formatCode>#,##0</formatCode>
                <ptCount val="1"/>
                <pt idx="0">
                  <v>9</v>
                </pt>
              </numCache>
            </numRef>
          </val>
        </ser>
        <ser>
          <idx val="4"/>
          <order val="4"/>
          <tx>
            <strRef>
              <f>'May-26 Analysis'!$G$23</f>
              <strCache>
                <ptCount val="1"/>
                <pt idx="0">
                  <v>UP</v>
                </pt>
              </strCache>
            </strRef>
          </tx>
          <spPr>
            <a:solidFill>
              <a:schemeClr val="accent5"/>
            </a:solidFill>
            <a:ln>
              <a:noFill/>
              <a:prstDash val="solid"/>
            </a:ln>
          </spPr>
          <invertIfNegative val="0"/>
          <val>
            <numRef>
              <f>'May-26 Analysis'!$H$23</f>
              <numCache>
                <formatCode>#,##0</formatCode>
                <ptCount val="1"/>
                <pt idx="0">
                  <v>4</v>
                </pt>
              </numCache>
            </numRef>
          </val>
        </ser>
        <ser>
          <idx val="5"/>
          <order val="5"/>
          <tx>
            <strRef>
              <f>'May-26 Analysis'!$G$24</f>
              <strCache>
                <ptCount val="1"/>
                <pt idx="0">
                  <v>MP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val>
            <numRef>
              <f>'May-26 Analysis'!$H$24</f>
              <numCache>
                <formatCode>#,##0</formatCode>
                <ptCount val="1"/>
                <pt idx="0">
                  <v>4</v>
                </pt>
              </numCache>
            </numRef>
          </val>
        </ser>
        <ser>
          <idx val="6"/>
          <order val="6"/>
          <tx>
            <strRef>
              <f>'May-26 Analysis'!$G$25</f>
              <strCache>
                <ptCount val="1"/>
                <pt idx="0">
                  <v>Andhra Pradesh</v>
                </pt>
              </strCache>
            </strRef>
          </tx>
          <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'May-26 Analysis'!$H$25</f>
              <numCache>
                <formatCode>#,##0</formatCode>
                <ptCount val="1"/>
                <pt idx="0">
                  <v>1</v>
                </pt>
              </numCache>
            </numRef>
          </val>
        </ser>
        <ser>
          <idx val="7"/>
          <order val="7"/>
          <tx>
            <strRef>
              <f>'May-26 Analysis'!$G$26</f>
              <strCache>
                <ptCount val="1"/>
                <pt idx="0">
                  <v>Karnataka</v>
                </pt>
              </strCache>
            </strRef>
          </tx>
          <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'May-26 Analysis'!$H$26</f>
              <numCache>
                <formatCode>#,##0</formatCode>
                <ptCount val="1"/>
                <pt idx="0">
                  <v>1</v>
                </pt>
              </numCache>
            </numRef>
          </val>
        </ser>
        <ser>
          <idx val="8"/>
          <order val="8"/>
          <tx>
            <strRef>
              <f>'May-26 Analysis'!$G$27</f>
              <strCache>
                <ptCount val="1"/>
                <pt idx="0">
                  <v>Tamil Nadu</v>
                </pt>
              </strCache>
            </strRef>
          </tx>
          <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spPr>
          <invertIfNegative val="0"/>
          <val>
            <numRef>
              <f>'May-26 Analysis'!$H$27</f>
              <numCache>
                <formatCode>#,##0</formatCode>
                <ptCount val="1"/>
                <pt idx="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8411231"/>
        <axId val="818411711"/>
      </barChart>
      <catAx>
        <axId val="81841123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18411711"/>
        <crosses val="autoZero"/>
        <auto val="1"/>
        <lblAlgn val="ctr"/>
        <lblOffset val="100"/>
        <noMultiLvlLbl val="0"/>
      </catAx>
      <valAx>
        <axId val="8184117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1841123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Dashboard!$V$37</f>
              <strCache>
                <ptCount val="1"/>
                <pt idx="0">
                  <v>Modules</v>
                </pt>
              </strCache>
            </strRef>
          </tx>
          <spPr>
            <a:solidFill>
              <a:srgbClr val="2E75B6"/>
            </a:solidFill>
            <a:ln>
              <a:noFill/>
              <a:prstDash val="solid"/>
            </a:ln>
          </spPr>
          <invertIfNegative val="0"/>
          <cat>
            <strRef>
              <f>Dashboard!$U$38:$U$42</f>
              <strCache>
                <ptCount val="5"/>
                <pt idx="0">
                  <v>W1 (01-07 May)</v>
                </pt>
                <pt idx="1">
                  <v>W2 (08-14 May)</v>
                </pt>
                <pt idx="2">
                  <v>W3 (15-21 May)</v>
                </pt>
                <pt idx="3">
                  <v>W4 (22-28 May)</v>
                </pt>
                <pt idx="4">
                  <v>W5 (29-31 May)</v>
                </pt>
              </strCache>
            </strRef>
          </cat>
          <val>
            <numRef>
              <f>Dashboard!$V$38:$V$42</f>
              <numCache>
                <formatCode>General</formatCode>
                <ptCount val="5"/>
                <pt idx="0">
                  <v>488</v>
                </pt>
                <pt idx="1">
                  <v>579</v>
                </pt>
                <pt idx="2">
                  <v>666</v>
                </pt>
                <pt idx="3">
                  <v>657</v>
                </pt>
                <pt idx="4">
                  <v>274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44881359"/>
        <axId val="844878479"/>
      </barChart>
      <catAx>
        <axId val="84488135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4878479"/>
        <crosses val="autoZero"/>
        <auto val="1"/>
        <lblAlgn val="ctr"/>
        <lblOffset val="100"/>
        <noMultiLvlLbl val="0"/>
      </catAx>
      <valAx>
        <axId val="84487847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44881359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'May-26 Analysis'!$B$39</f>
              <strCache>
                <ptCount val="1"/>
                <pt idx="0">
                  <v>Modules Visited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'May-26 Analysis'!$A$40:$A$68</f>
              <numCache>
                <formatCode>d\-mmm</formatCode>
                <ptCount val="29"/>
                <pt idx="0">
                  <v>46143</v>
                </pt>
                <pt idx="1">
                  <v>46144</v>
                </pt>
                <pt idx="2">
                  <v>46146</v>
                </pt>
                <pt idx="3">
                  <v>46147</v>
                </pt>
                <pt idx="4">
                  <v>46148</v>
                </pt>
                <pt idx="5">
                  <v>46149</v>
                </pt>
                <pt idx="6">
                  <v>46150</v>
                </pt>
                <pt idx="7">
                  <v>46151</v>
                </pt>
                <pt idx="8">
                  <v>46153</v>
                </pt>
                <pt idx="9">
                  <v>46154</v>
                </pt>
                <pt idx="10">
                  <v>46155</v>
                </pt>
                <pt idx="11">
                  <v>46156</v>
                </pt>
                <pt idx="12">
                  <v>46157</v>
                </pt>
                <pt idx="13">
                  <v>46158</v>
                </pt>
                <pt idx="14">
                  <v>46159</v>
                </pt>
                <pt idx="15">
                  <v>46160</v>
                </pt>
                <pt idx="16">
                  <v>46161</v>
                </pt>
                <pt idx="17">
                  <v>46162</v>
                </pt>
                <pt idx="18">
                  <v>46163</v>
                </pt>
                <pt idx="19">
                  <v>46164</v>
                </pt>
                <pt idx="20">
                  <v>46165</v>
                </pt>
                <pt idx="21">
                  <v>46166</v>
                </pt>
                <pt idx="22">
                  <v>46167</v>
                </pt>
                <pt idx="23">
                  <v>46168</v>
                </pt>
                <pt idx="24">
                  <v>46169</v>
                </pt>
                <pt idx="25">
                  <v>46170</v>
                </pt>
                <pt idx="26">
                  <v>46171</v>
                </pt>
                <pt idx="27">
                  <v>46172</v>
                </pt>
                <pt idx="28">
                  <v>46173</v>
                </pt>
              </numCache>
            </numRef>
          </cat>
          <val>
            <numRef>
              <f>'May-26 Analysis'!$B$40:$B$68</f>
              <numCache>
                <formatCode>#,##0</formatCode>
                <ptCount val="29"/>
                <pt idx="0">
                  <v>27</v>
                </pt>
                <pt idx="1">
                  <v>74</v>
                </pt>
                <pt idx="2">
                  <v>133</v>
                </pt>
                <pt idx="3">
                  <v>111</v>
                </pt>
                <pt idx="4">
                  <v>94</v>
                </pt>
                <pt idx="5">
                  <v>49</v>
                </pt>
                <pt idx="6">
                  <v>52</v>
                </pt>
                <pt idx="7">
                  <v>80</v>
                </pt>
                <pt idx="8">
                  <v>111</v>
                </pt>
                <pt idx="9">
                  <v>88</v>
                </pt>
                <pt idx="10">
                  <v>92</v>
                </pt>
                <pt idx="11">
                  <v>156</v>
                </pt>
                <pt idx="12">
                  <v>94</v>
                </pt>
                <pt idx="13">
                  <v>121</v>
                </pt>
                <pt idx="14">
                  <v>103</v>
                </pt>
                <pt idx="15">
                  <v>89</v>
                </pt>
                <pt idx="16">
                  <v>42</v>
                </pt>
                <pt idx="17">
                  <v>113</v>
                </pt>
                <pt idx="18">
                  <v>104</v>
                </pt>
                <pt idx="19">
                  <v>27</v>
                </pt>
                <pt idx="20">
                  <v>93</v>
                </pt>
                <pt idx="21">
                  <v>64</v>
                </pt>
                <pt idx="22">
                  <v>140</v>
                </pt>
                <pt idx="23">
                  <v>85</v>
                </pt>
                <pt idx="24">
                  <v>112</v>
                </pt>
                <pt idx="25">
                  <v>136</v>
                </pt>
                <pt idx="26">
                  <v>84</v>
                </pt>
                <pt idx="27">
                  <v>128</v>
                </pt>
                <pt idx="28">
                  <v>62</v>
                </pt>
              </numCache>
            </numRef>
          </val>
        </ser>
        <ser>
          <idx val="1"/>
          <order val="1"/>
          <tx>
            <strRef>
              <f>'May-26 Analysis'!$C$39</f>
              <strCache>
                <ptCount val="1"/>
                <pt idx="0">
                  <v>Closed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numRef>
              <f>'May-26 Analysis'!$A$40:$A$68</f>
              <numCache>
                <formatCode>d\-mmm</formatCode>
                <ptCount val="29"/>
                <pt idx="0">
                  <v>46143</v>
                </pt>
                <pt idx="1">
                  <v>46144</v>
                </pt>
                <pt idx="2">
                  <v>46146</v>
                </pt>
                <pt idx="3">
                  <v>46147</v>
                </pt>
                <pt idx="4">
                  <v>46148</v>
                </pt>
                <pt idx="5">
                  <v>46149</v>
                </pt>
                <pt idx="6">
                  <v>46150</v>
                </pt>
                <pt idx="7">
                  <v>46151</v>
                </pt>
                <pt idx="8">
                  <v>46153</v>
                </pt>
                <pt idx="9">
                  <v>46154</v>
                </pt>
                <pt idx="10">
                  <v>46155</v>
                </pt>
                <pt idx="11">
                  <v>46156</v>
                </pt>
                <pt idx="12">
                  <v>46157</v>
                </pt>
                <pt idx="13">
                  <v>46158</v>
                </pt>
                <pt idx="14">
                  <v>46159</v>
                </pt>
                <pt idx="15">
                  <v>46160</v>
                </pt>
                <pt idx="16">
                  <v>46161</v>
                </pt>
                <pt idx="17">
                  <v>46162</v>
                </pt>
                <pt idx="18">
                  <v>46163</v>
                </pt>
                <pt idx="19">
                  <v>46164</v>
                </pt>
                <pt idx="20">
                  <v>46165</v>
                </pt>
                <pt idx="21">
                  <v>46166</v>
                </pt>
                <pt idx="22">
                  <v>46167</v>
                </pt>
                <pt idx="23">
                  <v>46168</v>
                </pt>
                <pt idx="24">
                  <v>46169</v>
                </pt>
                <pt idx="25">
                  <v>46170</v>
                </pt>
                <pt idx="26">
                  <v>46171</v>
                </pt>
                <pt idx="27">
                  <v>46172</v>
                </pt>
                <pt idx="28">
                  <v>46173</v>
                </pt>
              </numCache>
            </numRef>
          </cat>
          <val>
            <numRef>
              <f>'May-26 Analysis'!$C$40:$C$68</f>
              <numCache>
                <formatCode>#,##0</formatCode>
                <ptCount val="29"/>
                <pt idx="0">
                  <v>26</v>
                </pt>
                <pt idx="1">
                  <v>72</v>
                </pt>
                <pt idx="2">
                  <v>130</v>
                </pt>
                <pt idx="3">
                  <v>108</v>
                </pt>
                <pt idx="4">
                  <v>94</v>
                </pt>
                <pt idx="5">
                  <v>49</v>
                </pt>
                <pt idx="6">
                  <v>52</v>
                </pt>
                <pt idx="7">
                  <v>80</v>
                </pt>
                <pt idx="8">
                  <v>111</v>
                </pt>
                <pt idx="9">
                  <v>88</v>
                </pt>
                <pt idx="10">
                  <v>92</v>
                </pt>
                <pt idx="11">
                  <v>156</v>
                </pt>
                <pt idx="12">
                  <v>94</v>
                </pt>
                <pt idx="13">
                  <v>121</v>
                </pt>
                <pt idx="14">
                  <v>103</v>
                </pt>
                <pt idx="15">
                  <v>89</v>
                </pt>
                <pt idx="16">
                  <v>42</v>
                </pt>
                <pt idx="17">
                  <v>113</v>
                </pt>
                <pt idx="18">
                  <v>104</v>
                </pt>
                <pt idx="19">
                  <v>27</v>
                </pt>
                <pt idx="20">
                  <v>93</v>
                </pt>
                <pt idx="21">
                  <v>64</v>
                </pt>
                <pt idx="22">
                  <v>140</v>
                </pt>
                <pt idx="23">
                  <v>85</v>
                </pt>
                <pt idx="24">
                  <v>112</v>
                </pt>
                <pt idx="25">
                  <v>136</v>
                </pt>
                <pt idx="26">
                  <v>84</v>
                </pt>
                <pt idx="27">
                  <v>128</v>
                </pt>
                <pt idx="28">
                  <v>62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08567392"/>
        <axId val="1108556352"/>
      </barChart>
      <dateAx>
        <axId val="1108567392"/>
        <scaling>
          <orientation val="minMax"/>
        </scaling>
        <delete val="0"/>
        <axPos val="b"/>
        <numFmt formatCode="d\-mmm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8556352"/>
        <crosses val="autoZero"/>
        <lblOffset val="100"/>
        <baseTimeUnit val="days"/>
      </dateAx>
      <valAx>
        <axId val="11085563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8567392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1305700601543002"/>
          <y val="0.04834571174938652"/>
          <w val="0.104139886587305"/>
          <h val="0.08639822748058183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'May-26 Analysis'!$H$55</f>
              <strCache>
                <ptCount val="1"/>
                <pt idx="0">
                  <v>Modules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'May-26 Analysis'!$G$56:$G$59</f>
              <strCache>
                <ptCount val="4"/>
                <pt idx="0">
                  <v>P4</v>
                </pt>
                <pt idx="1">
                  <v>P2</v>
                </pt>
                <pt idx="2">
                  <v>P1</v>
                </pt>
                <pt idx="3">
                  <v>Prime Pack</v>
                </pt>
              </strCache>
            </strRef>
          </cat>
          <val>
            <numRef>
              <f>'May-26 Analysis'!$H$56:$H$59</f>
              <numCache>
                <formatCode>#,##0</formatCode>
                <ptCount val="4"/>
                <pt idx="0">
                  <v>2040</v>
                </pt>
                <pt idx="1">
                  <v>623</v>
                </pt>
                <pt idx="2">
                  <v>1</v>
                </pt>
                <pt idx="3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08542432"/>
        <axId val="1108548672"/>
      </barChart>
      <catAx>
        <axId val="11085424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8548672"/>
        <crosses val="autoZero"/>
        <auto val="1"/>
        <lblAlgn val="ctr"/>
        <lblOffset val="100"/>
        <noMultiLvlLbl val="0"/>
      </catAx>
      <valAx>
        <axId val="110854867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8542432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'May-26 Analysis'!$B$75</f>
              <strCache>
                <ptCount val="1"/>
                <pt idx="0">
                  <v>G2B</v>
                </pt>
              </strCache>
            </strRef>
          </tx>
          <spPr>
            <a:solidFill>
              <a:schemeClr val="accent2"/>
            </a:solidFill>
            <a:ln>
              <a:noFill/>
              <a:prstDash val="solid"/>
            </a:ln>
          </spPr>
          <invertIfNegative val="0"/>
          <cat>
            <strRef>
              <f>'May-26 Analysis'!$A$76:$A$91</f>
              <strCache>
                <ptCount val="16"/>
                <pt idx="0">
                  <v>Cold Soldering</v>
                </pt>
                <pt idx="1">
                  <v>Hotspot</v>
                </pt>
                <pt idx="2">
                  <v>JB Issue</v>
                </pt>
                <pt idx="3">
                  <v>Glass Breakage</v>
                </pt>
                <pt idx="4">
                  <v>No Issue</v>
                </pt>
                <pt idx="5">
                  <v>Tab lead Burn</v>
                </pt>
                <pt idx="6">
                  <v>Backsheet Scratches</v>
                </pt>
                <pt idx="7">
                  <v>Cell Contamination</v>
                </pt>
                <pt idx="8">
                  <v>Cell Chip</v>
                </pt>
                <pt idx="9">
                  <v>Cell Crack</v>
                </pt>
                <pt idx="10">
                  <v>Improper Ribbon Soldering</v>
                </pt>
                <pt idx="11">
                  <v>Forign Particle - Cell Piece</v>
                </pt>
                <pt idx="12">
                  <v>Air entrapment during the lamination process</v>
                </pt>
                <pt idx="13">
                  <v>Aesthetic</v>
                </pt>
                <pt idx="14">
                  <v>MC4 connectors damaged</v>
                </pt>
                <pt idx="15">
                  <v>Transparent backsheet melt down</v>
                </pt>
              </strCache>
            </strRef>
          </cat>
          <val>
            <numRef>
              <f>'May-26 Analysis'!$B$76:$B$91</f>
              <numCache>
                <formatCode>General</formatCode>
                <ptCount val="16"/>
                <pt idx="0">
                  <v>313</v>
                </pt>
                <pt idx="1">
                  <v>183</v>
                </pt>
                <pt idx="2">
                  <v>58</v>
                </pt>
                <pt idx="3">
                  <v>0</v>
                </pt>
                <pt idx="4">
                  <v>24</v>
                </pt>
                <pt idx="5">
                  <v>3</v>
                </pt>
                <pt idx="6">
                  <v>1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</numCache>
            </numRef>
          </val>
        </ser>
        <ser>
          <idx val="1"/>
          <order val="1"/>
          <tx>
            <strRef>
              <f>'May-26 Analysis'!$C$75</f>
              <strCache>
                <ptCount val="1"/>
                <pt idx="0">
                  <v>G2TB</v>
                </pt>
              </strCache>
            </strRef>
          </tx>
          <spPr>
            <a:solidFill>
              <a:schemeClr val="accent4"/>
            </a:solidFill>
            <a:ln>
              <a:noFill/>
              <a:prstDash val="solid"/>
            </a:ln>
          </spPr>
          <invertIfNegative val="0"/>
          <cat>
            <strRef>
              <f>'May-26 Analysis'!$A$76:$A$91</f>
              <strCache>
                <ptCount val="16"/>
                <pt idx="0">
                  <v>Cold Soldering</v>
                </pt>
                <pt idx="1">
                  <v>Hotspot</v>
                </pt>
                <pt idx="2">
                  <v>JB Issue</v>
                </pt>
                <pt idx="3">
                  <v>Glass Breakage</v>
                </pt>
                <pt idx="4">
                  <v>No Issue</v>
                </pt>
                <pt idx="5">
                  <v>Tab lead Burn</v>
                </pt>
                <pt idx="6">
                  <v>Backsheet Scratches</v>
                </pt>
                <pt idx="7">
                  <v>Cell Contamination</v>
                </pt>
                <pt idx="8">
                  <v>Cell Chip</v>
                </pt>
                <pt idx="9">
                  <v>Cell Crack</v>
                </pt>
                <pt idx="10">
                  <v>Improper Ribbon Soldering</v>
                </pt>
                <pt idx="11">
                  <v>Forign Particle - Cell Piece</v>
                </pt>
                <pt idx="12">
                  <v>Air entrapment during the lamination process</v>
                </pt>
                <pt idx="13">
                  <v>Aesthetic</v>
                </pt>
                <pt idx="14">
                  <v>MC4 connectors damaged</v>
                </pt>
                <pt idx="15">
                  <v>Transparent backsheet melt down</v>
                </pt>
              </strCache>
            </strRef>
          </cat>
          <val>
            <numRef>
              <f>'May-26 Analysis'!$C$76:$C$91</f>
              <numCache>
                <formatCode>General</formatCode>
                <ptCount val="16"/>
                <pt idx="0">
                  <v>12</v>
                </pt>
                <pt idx="1">
                  <v>0</v>
                </pt>
                <pt idx="2">
                  <v>24</v>
                </pt>
                <pt idx="3">
                  <v>0</v>
                </pt>
                <pt idx="4">
                  <v>11</v>
                </pt>
                <pt idx="5">
                  <v>2</v>
                </pt>
                <pt idx="6">
                  <v>0</v>
                </pt>
                <pt idx="7">
                  <v>0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0</v>
                </pt>
                <pt idx="13">
                  <v>2</v>
                </pt>
                <pt idx="14">
                  <v>0</v>
                </pt>
                <pt idx="1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"/>
        <overlap val="8"/>
        <axId val="1108550592"/>
        <axId val="1108552032"/>
      </barChart>
      <barChart>
        <barDir val="bar"/>
        <grouping val="clustered"/>
        <varyColors val="0"/>
        <ser>
          <idx val="2"/>
          <order val="2"/>
          <tx>
            <strRef>
              <f>'May-26 Analysis'!$D$75</f>
              <strCache>
                <ptCount val="1"/>
                <pt idx="0">
                  <v>G2G</v>
                </pt>
              </strCache>
            </strRef>
          </tx>
          <spPr>
            <a:solidFill>
              <a:schemeClr val="accent6"/>
            </a:solidFill>
            <a:ln>
              <a:noFill/>
              <a:prstDash val="solid"/>
            </a:ln>
          </spPr>
          <invertIfNegative val="0"/>
          <cat>
            <strRef>
              <f>'May-26 Analysis'!$A$76:$A$91</f>
              <strCache>
                <ptCount val="16"/>
                <pt idx="0">
                  <v>Cold Soldering</v>
                </pt>
                <pt idx="1">
                  <v>Hotspot</v>
                </pt>
                <pt idx="2">
                  <v>JB Issue</v>
                </pt>
                <pt idx="3">
                  <v>Glass Breakage</v>
                </pt>
                <pt idx="4">
                  <v>No Issue</v>
                </pt>
                <pt idx="5">
                  <v>Tab lead Burn</v>
                </pt>
                <pt idx="6">
                  <v>Backsheet Scratches</v>
                </pt>
                <pt idx="7">
                  <v>Cell Contamination</v>
                </pt>
                <pt idx="8">
                  <v>Cell Chip</v>
                </pt>
                <pt idx="9">
                  <v>Cell Crack</v>
                </pt>
                <pt idx="10">
                  <v>Improper Ribbon Soldering</v>
                </pt>
                <pt idx="11">
                  <v>Forign Particle - Cell Piece</v>
                </pt>
                <pt idx="12">
                  <v>Air entrapment during the lamination process</v>
                </pt>
                <pt idx="13">
                  <v>Aesthetic</v>
                </pt>
                <pt idx="14">
                  <v>MC4 connectors damaged</v>
                </pt>
                <pt idx="15">
                  <v>Transparent backsheet melt down</v>
                </pt>
              </strCache>
            </strRef>
          </cat>
          <val>
            <numRef>
              <f>'May-26 Analysis'!$D$76:$D$91</f>
              <numCache>
                <formatCode>General</formatCode>
                <ptCount val="16"/>
                <pt idx="0">
                  <v>1865</v>
                </pt>
                <pt idx="1">
                  <v>0</v>
                </pt>
                <pt idx="2">
                  <v>123</v>
                </pt>
                <pt idx="3">
                  <v>2</v>
                </pt>
                <pt idx="4">
                  <v>35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1</v>
                </pt>
                <pt idx="13">
                  <v>0</v>
                </pt>
                <pt idx="14">
                  <v>1</v>
                </pt>
                <pt idx="1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14"/>
        <overlap val="28"/>
        <axId val="1168115984"/>
        <axId val="1168089104"/>
      </barChart>
      <catAx>
        <axId val="1108550592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8552032"/>
        <crosses val="autoZero"/>
        <auto val="1"/>
        <lblAlgn val="ctr"/>
        <lblOffset val="100"/>
        <noMultiLvlLbl val="0"/>
      </catAx>
      <valAx>
        <axId val="1108552032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08550592"/>
        <crosses val="autoZero"/>
        <crossBetween val="between"/>
      </valAx>
      <catAx>
        <axId val="1168115984"/>
        <scaling>
          <orientation val="minMax"/>
        </scaling>
        <delete val="1"/>
        <axPos val="l"/>
        <numFmt formatCode="General" sourceLinked="1"/>
        <majorTickMark val="out"/>
        <minorTickMark val="none"/>
        <tickLblPos val="nextTo"/>
        <crossAx val="1168089104"/>
        <crosses val="autoZero"/>
        <auto val="1"/>
        <lblAlgn val="ctr"/>
        <lblOffset val="100"/>
        <noMultiLvlLbl val="0"/>
      </catAx>
      <valAx>
        <axId val="1168089104"/>
        <scaling>
          <orientation val="minMax"/>
        </scaling>
        <delete val="0"/>
        <axPos val="t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68115984"/>
        <crosses val="max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/>
      <pieChart>
        <varyColors val="1"/>
        <ser>
          <idx val="0"/>
          <order val="0"/>
          <tx>
            <strRef>
              <f>Dashboard!$V$22</f>
              <strCache>
                <ptCount val="1"/>
                <pt idx="0">
                  <v>Count</v>
                </pt>
              </strCache>
            </strRef>
          </tx>
          <spPr>
            <a:ln>
              <a:prstDash val="solid"/>
            </a:ln>
          </spPr>
          <dPt>
            <idx val="0"/>
            <bubble3D val="0"/>
            <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2"/>
            <bubble3D val="0"/>
            <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3"/>
            <bubble3D val="0"/>
            <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spPr>
          </dPt>
          <dPt>
            <idx val="4"/>
            <bubble3D val="0"/>
            <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Dashboard!$U$23:$U$27</f>
              <strCache>
                <ptCount val="5"/>
                <pt idx="0">
                  <v>Cold Soldering</v>
                </pt>
                <pt idx="1">
                  <v>JB Issue</v>
                </pt>
                <pt idx="2">
                  <v>Tab lead Burn</v>
                </pt>
                <pt idx="3">
                  <v>Glass Breakage</v>
                </pt>
                <pt idx="4">
                  <v>Others</v>
                </pt>
              </strCache>
            </strRef>
          </cat>
          <val>
            <numRef>
              <f>Dashboard!$V$23:$V$27</f>
              <numCache>
                <formatCode>General</formatCode>
                <ptCount val="5"/>
                <pt idx="0">
                  <v>2190</v>
                </pt>
                <pt idx="1">
                  <v>205</v>
                </pt>
                <pt idx="2">
                  <v>5</v>
                </pt>
                <pt idx="3">
                  <v>2</v>
                </pt>
                <pt idx="4">
                  <v>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t"/>
      <layout>
        <manualLayout>
          <xMode val="edge"/>
          <yMode val="edge"/>
          <wMode val="factor"/>
          <hMode val="factor"/>
          <x val="0"/>
          <y val="0.09801075288574967"/>
          <w val="0.2171898924160749"/>
          <h val="0.5781473137997818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'May-26 Analysis'!$H$65</f>
              <strCache>
                <ptCount val="1"/>
                <pt idx="0">
                  <v>Modules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'May-26 Analysis'!$G$66:$G$70</f>
              <strCache>
                <ptCount val="5"/>
                <pt idx="0">
                  <v>0 - 3 days</v>
                </pt>
                <pt idx="1">
                  <v>4 - 7 days</v>
                </pt>
                <pt idx="2">
                  <v>8 - 15 days</v>
                </pt>
                <pt idx="3">
                  <v>16 - 30 days</v>
                </pt>
                <pt idx="4">
                  <v>&gt; 30 days</v>
                </pt>
              </strCache>
            </strRef>
          </cat>
          <val>
            <numRef>
              <f>'May-26 Analysis'!$H$66:$H$70</f>
              <numCache>
                <formatCode>#,##0</formatCode>
                <ptCount val="5"/>
                <pt idx="0">
                  <v>29</v>
                </pt>
                <pt idx="1">
                  <v>10</v>
                </pt>
                <pt idx="2">
                  <v>199</v>
                </pt>
                <pt idx="3">
                  <v>1153</v>
                </pt>
                <pt idx="4">
                  <v>1274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168109264"/>
        <axId val="1168109744"/>
      </barChart>
      <catAx>
        <axId val="116810926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68109744"/>
        <crosses val="autoZero"/>
        <auto val="1"/>
        <lblAlgn val="ctr"/>
        <lblOffset val="100"/>
        <noMultiLvlLbl val="0"/>
      </catAx>
      <valAx>
        <axId val="11681097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6810926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Nithin Jinaga</author>
  </authors>
  <commentList>
    <comment ref="U23" authorId="0" shapeId="0">
      <text>
        <t>Nithin Jinaga:
Cold Soldering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0</colOff>
      <row>23</row>
      <rowOff>0</rowOff>
    </from>
    <to>
      <col>7</col>
      <colOff>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23</row>
      <rowOff>0</rowOff>
    </from>
    <to>
      <col>13</col>
      <colOff>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0</colOff>
      <row>40</row>
      <rowOff>0</rowOff>
    </from>
    <to>
      <col>18</col>
      <colOff>0</colOff>
      <row>55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0</col>
      <colOff>229017</colOff>
      <row>8</row>
      <rowOff>52050</rowOff>
    </from>
    <to>
      <col>17</col>
      <colOff>759918</colOff>
      <row>21</row>
      <rowOff>156147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</col>
      <colOff>20819</colOff>
      <row>58</row>
      <rowOff>124917</rowOff>
    </from>
    <to>
      <col>8</col>
      <colOff>458031</colOff>
      <row>76</row>
      <rowOff>62459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9</col>
      <colOff>41639</colOff>
      <row>58</row>
      <rowOff>124918</rowOff>
    </from>
    <to>
      <col>17</col>
      <colOff>333115</colOff>
      <row>76</row>
      <rowOff>31229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13</col>
      <colOff>0</colOff>
      <row>23</row>
      <rowOff>1153</rowOff>
    </from>
    <to>
      <col>18</col>
      <colOff>789459</colOff>
      <row>38</row>
      <rowOff>19242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0</col>
      <colOff>214527</colOff>
      <row>40</row>
      <rowOff>34325</rowOff>
    </from>
    <to>
      <col>6</col>
      <colOff>703648</colOff>
      <row>55</row>
      <rowOff>74484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Nithin Jinaga" refreshedDate="46179.48555902778" createdVersion="8" refreshedVersion="8" minRefreshableVersion="3" recordCount="2786" r:id="rId1">
  <cacheSource type="worksheet">
    <worksheetSource ref="A1:AF2787" sheet="Monthly Report May-26 Cleaned"/>
  </cacheSource>
  <cacheFields count="32">
    <cacheField name="Date" uniqueList="1" numFmtId="15" sqlType="0" hierarchy="0" level="0" databaseField="1">
      <sharedItems count="0" containsBlank="1" containsDate="1" containsNonDate="0" containsString="0" minDate="2026-02-18T00:00:00" maxDate="2026-05-27T00:00:00"/>
    </cacheField>
    <cacheField name="Year" uniqueList="1" numFmtId="0" sqlType="0" hierarchy="0" level="0" databaseField="1">
      <sharedItems count="0" containsBlank="1" containsInteger="1" containsNumber="1" containsString="0" minValue="2026" maxValue="2026"/>
    </cacheField>
    <cacheField name="Complaint Raised By" uniqueList="1" numFmtId="0" sqlType="0" hierarchy="0" level="0" databaseField="1">
      <sharedItems count="0" containsBlank="1"/>
    </cacheField>
    <cacheField name="Customer Type" uniqueList="1" numFmtId="0" sqlType="0" hierarchy="0" level="0" databaseField="1">
      <sharedItems count="0" containsBlank="1"/>
    </cacheField>
    <cacheField name="Project Name" uniqueList="1" numFmtId="0" sqlType="0" hierarchy="0" level="0" databaseField="1">
      <sharedItems count="0" containsBlank="1" containsNonDate="0" containsString="0"/>
    </cacheField>
    <cacheField name="Current Status" uniqueList="1" numFmtId="0" sqlType="0" hierarchy="0" level="0" databaseField="1">
      <sharedItems count="0" containsBlank="1"/>
    </cacheField>
    <cacheField name="Claim Reported By" uniqueList="1" numFmtId="0" sqlType="0" hierarchy="0" level="0" databaseField="1">
      <sharedItems count="0" containsBlank="1"/>
    </cacheField>
    <cacheField name="Contact No." uniqueList="1" numFmtId="0" sqlType="0" hierarchy="0" level="0" databaseField="1">
      <sharedItems count="0" containsBlank="1" containsInteger="1" containsNumber="1" containsString="0" minValue="7719846027" maxValue="9983975581"/>
    </cacheField>
    <cacheField name="Contract / Complaint  / Invoice No." uniqueList="1" numFmtId="0" sqlType="0" hierarchy="0" level="0" databaseField="1">
      <sharedItems count="0" containsBlank="1"/>
    </cacheField>
    <cacheField name="Customer Reported Problem" uniqueList="1" numFmtId="0" sqlType="0" hierarchy="0" level="0" databaseField="1">
      <sharedItems count="0" containsBlank="1"/>
    </cacheField>
    <cacheField name="Venue / Location" uniqueList="1" numFmtId="0" sqlType="0" hierarchy="0" level="0" databaseField="1">
      <sharedItems count="0" containsBlank="1"/>
    </cacheField>
    <cacheField name="State" uniqueList="1" numFmtId="0" sqlType="0" hierarchy="0" level="0" databaseField="1">
      <sharedItems count="0" containsBlank="1"/>
    </cacheField>
    <cacheField name="Field Evaluation" uniqueList="1" numFmtId="0" sqlType="0" hierarchy="0" level="0" databaseField="1">
      <sharedItems count="0" containsBlank="1"/>
    </cacheField>
    <cacheField name="Our Evaluation" uniqueList="1" numFmtId="0" sqlType="0" hierarchy="0" level="0" databaseField="1">
      <sharedItems count="21" containsBlank="1">
        <s v="JB Issue"/>
        <s v="Cold Soldering"/>
        <s v="Hotspot"/>
        <s v="Backsheet Scratches"/>
        <s v="Cell Contamination"/>
        <s v="No Issue"/>
        <s v="Glass Breakage"/>
        <s v="Tab lead Burn"/>
        <s v="Improper Ribbon Soldering"/>
        <s v="Forign Particle - Cell Piece"/>
        <s v="Cell Chip"/>
        <s v="Cell Crack"/>
        <s v="Air entrapment during the lamination process"/>
        <s v="Aesthetic"/>
        <s v="MC4 connectors damaged"/>
        <s v="Module Burn"/>
        <s v="Transparent backsheet melt down"/>
        <s v="String Busbar Open"/>
        <m/>
        <s v="Asthetic" u="1"/>
        <s v="Tab lead burn " u="1"/>
      </sharedItems>
    </cacheField>
    <cacheField name="PV Panels Wp" uniqueList="1" numFmtId="0" sqlType="0" hierarchy="0" level="0" databaseField="1">
      <sharedItems count="0" containsBlank="1" containsInteger="1" containsNumber="1" containsString="0" minValue="330" maxValue="610"/>
    </cacheField>
    <cacheField name="Module Serial Number" uniqueList="1" numFmtId="0" sqlType="0" hierarchy="0" level="0" databaseField="1">
      <sharedItems count="0" containsBlank="1" containsInteger="1" containsMixedTypes="1" containsNumber="1" minValue="26230431008116" maxValue="26230431008130"/>
    </cacheField>
    <cacheField name="Module Make Year" uniqueList="1" numFmtId="1" sqlType="0" hierarchy="0" level="0" databaseField="1">
      <sharedItems count="0" containsBlank="1"/>
    </cacheField>
    <cacheField name="Module Make Month" uniqueList="1" numFmtId="1" sqlType="0" hierarchy="0" level="0" databaseField="1">
      <sharedItems count="0" containsBlank="1"/>
    </cacheField>
    <cacheField name="Moduel Type" uniqueList="1" numFmtId="0" sqlType="0" hierarchy="0" level="0" databaseField="1">
      <sharedItems count="0" containsBlank="1"/>
    </cacheField>
    <cacheField name="Manufacturing Plant" uniqueList="1" numFmtId="0" sqlType="0" hierarchy="0" level="0" databaseField="1">
      <sharedItems count="0" containsBlank="1"/>
    </cacheField>
    <cacheField name="Remark" uniqueList="1" numFmtId="0" sqlType="0" hierarchy="0" level="0" databaseField="1">
      <sharedItems count="0" containsBlank="1"/>
    </cacheField>
    <cacheField name="Action Taken" uniqueList="1" numFmtId="0" sqlType="0" hierarchy="0" level="0" databaseField="1">
      <sharedItems count="0" containsBlank="1"/>
    </cacheField>
    <cacheField name="Resolution Type" uniqueList="1" numFmtId="0" sqlType="0" hierarchy="0" level="0" databaseField="1">
      <sharedItems count="0" containsBlank="1"/>
    </cacheField>
    <cacheField name="Date of Claim Settled" uniqueList="1" numFmtId="0" sqlType="0" hierarchy="0" level="0" databaseField="1">
      <sharedItems count="0" containsBlank="1" containsDate="1" containsNonDate="0" containsString="0" minDate="2026-05-01T00:00:00" maxDate="2026-06-01T00:00:00"/>
    </cacheField>
    <cacheField name="Claim Settlement Duration" uniqueList="1" numFmtId="0" sqlType="0" hierarchy="0" level="0" databaseField="1">
      <sharedItems count="0" containsBlank="1" containsInteger="1" containsMixedTypes="1" containsNumber="1" minValue="0" maxValue="76"/>
    </cacheField>
    <cacheField name="Visit Date" uniqueList="1" numFmtId="0" sqlType="0" hierarchy="0" level="0" databaseField="1">
      <sharedItems count="0" containsBlank="1" containsDate="1" containsMixedTypes="1" minDate="2026-05-01T00:00:00" maxDate="2026-06-01T00:00:00"/>
    </cacheField>
    <cacheField name="Rework Srl No." uniqueList="1" numFmtId="0" sqlType="0" hierarchy="0" level="0" databaseField="1">
      <sharedItems count="0" containsBlank="1" containsNonDate="0" containsString="0"/>
    </cacheField>
    <cacheField name="Work details" uniqueList="1" numFmtId="0" sqlType="0" hierarchy="0" level="0" databaseField="1">
      <sharedItems count="0" containsBlank="1" containsNonDate="0" containsString="0"/>
    </cacheField>
    <cacheField name="Field29" caption="Field29" uniqueList="1" numFmtId="0" sqlType="0" hierarchy="0" level="0" databaseField="1">
      <sharedItems count="0" containsBlank="1" containsNonDate="0" containsString="0"/>
    </cacheField>
    <cacheField name="Field30" caption="Field30" uniqueList="1" numFmtId="0" sqlType="0" hierarchy="0" level="0" databaseField="1">
      <sharedItems count="0" containsBlank="1" containsInteger="1" containsNumber="1" containsString="0" minValue="197" maxValue="197"/>
    </cacheField>
    <cacheField name="Field31" caption="Field31" uniqueList="1" numFmtId="0" sqlType="0" hierarchy="0" level="0" databaseField="1">
      <sharedItems count="0" containsBlank="1" containsNonDate="0" containsString="0"/>
    </cacheField>
    <cacheField name="May Closed Flag" uniqueList="1" numFmtId="0" sqlType="0" hierarchy="0" level="0" databaseField="1">
      <sharedItems count="3" containsBlank="1">
        <s v="Closed in May"/>
        <s v="Other"/>
        <m/>
      </sharedItems>
    </cacheField>
  </cacheFields>
</pivotCacheDefinition>
</file>

<file path=xl/pivotCache/pivotCacheRecords1.xml><?xml version="1.0" encoding="utf-8"?>
<pivotCacheRecords xmlns="http://schemas.openxmlformats.org/spreadsheetml/2006/main" count="2786">
  <r>
    <d v="2026-04-28T00:00:00"/>
    <n v="2026"/>
    <s v="Panasonic"/>
    <s v="OEM"/>
    <m/>
    <s v="Closed"/>
    <s v="Chirag Tare"/>
    <n v="7719846027"/>
    <s v="PE28042604"/>
    <s v="Low VOC"/>
    <s v="Mysore"/>
    <s v="Karnataka"/>
    <s v="JB Issue"/>
    <x v="0"/>
    <n v="550"/>
    <s v="NSMP2304007550"/>
    <s v="23"/>
    <s v="04"/>
    <s v="G2B"/>
    <s v="P2"/>
    <s v="All JB Issue"/>
    <s v="JB Changed"/>
    <s v="Repair"/>
    <d v="2026-05-01T00:00:00"/>
    <n v="3"/>
    <d v="2026-05-01T00:00:00"/>
    <m/>
    <m/>
    <m/>
    <m/>
    <m/>
    <x v="0"/>
  </r>
  <r>
    <d v="2026-04-21T00:00:00"/>
    <n v="2026"/>
    <s v="Axitec Energy"/>
    <s v="OEM"/>
    <m/>
    <s v="Closed"/>
    <s v="Dushyant"/>
    <n v="8826633540"/>
    <s v="PE21042602"/>
    <s v="Diode Failure"/>
    <s v="Chinchwad"/>
    <s v="Maharashtra"/>
    <s v="Cold Soldering"/>
    <x v="1"/>
    <n v="520"/>
    <n v="26230431008130"/>
    <s v="23"/>
    <s v="04"/>
    <s v="G2B"/>
    <s v="P2"/>
    <s v="P JB Cold Soldering"/>
    <s v="Soldering"/>
    <s v="Repair"/>
    <d v="2026-05-01T00:00:00"/>
    <n v="10"/>
    <d v="2026-05-01T00:00:00"/>
    <m/>
    <m/>
    <m/>
    <m/>
    <m/>
    <x v="0"/>
  </r>
  <r>
    <d v="2026-04-21T00:00:00"/>
    <n v="2026"/>
    <s v="Axitec Energy"/>
    <s v="OEM"/>
    <m/>
    <s v="Closed"/>
    <s v="Dushyant"/>
    <n v="8826633540"/>
    <s v="PE21042602"/>
    <s v="Diode Failure"/>
    <s v="Chinchwad"/>
    <s v="Maharashtra"/>
    <s v="Cold Soldering"/>
    <x v="1"/>
    <n v="520"/>
    <n v="26230431008116"/>
    <s v="23"/>
    <s v="04"/>
    <s v="G2B"/>
    <s v="P2"/>
    <s v="P JB Cold Soldering"/>
    <s v="Soldering"/>
    <s v="Repair"/>
    <d v="2026-05-01T00:00:00"/>
    <n v="10"/>
    <d v="2026-05-01T00:00:00"/>
    <m/>
    <m/>
    <m/>
    <m/>
    <m/>
    <x v="0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546021"/>
    <s v="24"/>
    <s v="09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256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311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144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2211"/>
    <s v="23"/>
    <s v="01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092"/>
    <s v="23"/>
    <s v="01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58292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072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212277874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PE02052602"/>
    <n v="9979185999"/>
    <s v="PE25032601"/>
    <s v="Module Defects"/>
    <s v="Rajkot"/>
    <s v="Gujarat"/>
    <s v="hotspot found "/>
    <x v="2"/>
    <n v="550"/>
    <s v="NSMP2212277882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0587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7215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823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793"/>
    <s v="23"/>
    <s v="01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4875"/>
    <s v="23"/>
    <s v="01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9131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2140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033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494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542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029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023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085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633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193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150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242"/>
    <s v="22"/>
    <s v="12"/>
    <s v="G2TB"/>
    <s v="P2"/>
    <s v="Single Cell Hotspot "/>
    <s v="Inspection"/>
    <s v="WIP"/>
    <m/>
    <s v=""/>
    <d v="2026-05-02T00:00:00"/>
    <m/>
    <m/>
    <m/>
    <n v="197"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992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6699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643"/>
    <s v="23"/>
    <s v="01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630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212278079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215"/>
    <s v="23"/>
    <s v="01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3080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3309"/>
    <s v="23"/>
    <s v="01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1907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150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5577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97259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14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22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653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92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52"/>
    <s v="22"/>
    <s v="12"/>
    <s v="G2TB"/>
    <s v="P2"/>
    <s v="Single Cell Hotspot"/>
    <s v="Inspection"/>
    <s v="WIP"/>
    <m/>
    <s v=""/>
    <d v="2026-05-02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1443"/>
    <s v="24"/>
    <s v="05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81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018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74092"/>
    <s v="24"/>
    <s v="06"/>
    <s v="G2G"/>
    <s v="P4"/>
    <s v="P JB Issue"/>
    <s v="JB Changed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5987"/>
    <s v="24"/>
    <s v="05"/>
    <s v="G2G"/>
    <s v="P4"/>
    <s v="N JB Issue"/>
    <s v="JB Changed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041"/>
    <s v="24"/>
    <s v="05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7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80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9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80334590"/>
    <s v="24"/>
    <s v="08"/>
    <s v="G2G"/>
    <s v="P4"/>
    <s v="P &amp; 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988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95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46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45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2308"/>
    <s v="24"/>
    <s v="05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60341"/>
    <s v="24"/>
    <s v="05"/>
    <s v="G2G"/>
    <s v="P4"/>
    <s v="P &amp; 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3505"/>
    <s v="24"/>
    <s v="05"/>
    <s v="G2G"/>
    <s v="P4"/>
    <s v="N JB Issue"/>
    <s v="JB Changed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39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965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259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397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381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597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073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081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49464"/>
    <s v="24"/>
    <s v="05"/>
    <s v="G2G"/>
    <s v="P4"/>
    <s v="P &amp; 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7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7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8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02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8831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47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08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1391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003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840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853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093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857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6889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691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65998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028"/>
    <s v="24"/>
    <s v="05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702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575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5826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5828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9501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76208"/>
    <s v="24"/>
    <s v="06"/>
    <s v="G2G"/>
    <s v="P4"/>
    <s v="P &amp; 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85869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0626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795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4-06T00:00:00"/>
    <n v="2026"/>
    <s v="Panasonic"/>
    <s v="OEM"/>
    <m/>
    <s v="WIP"/>
    <s v="Chirag Tare"/>
    <n v="7719846027"/>
    <s v="PE06042602"/>
    <s v="Low VOC"/>
    <s v="Dhule"/>
    <s v="Maharashtra"/>
    <s v="Backsheet Scratches"/>
    <x v="3"/>
    <n v="330"/>
    <s v="NSM210403505"/>
    <s v="21"/>
    <s v="04"/>
    <s v="G2B"/>
    <s v="P1"/>
    <s v="Backsheet Scratches"/>
    <s v="Rejected"/>
    <s v="Rejected"/>
    <d v="2026-05-02T00:00:00"/>
    <n v="26"/>
    <d v="2026-05-02T00:00:00"/>
    <m/>
    <m/>
    <m/>
    <m/>
    <m/>
    <x v="1"/>
  </r>
  <r>
    <d v="2026-04-06T00:00:00"/>
    <n v="2026"/>
    <s v="Panasonic"/>
    <s v="OEM"/>
    <m/>
    <s v="WIP"/>
    <s v="Chirag Tare"/>
    <n v="7719846027"/>
    <s v="PE06042602"/>
    <s v="Low VOC"/>
    <s v="Dhule"/>
    <s v="Maharashtra"/>
    <s v="Cell Contamination"/>
    <x v="4"/>
    <n v="330"/>
    <s v="NSM210446420"/>
    <s v="21"/>
    <s v="04"/>
    <s v="G2B"/>
    <s v="P1"/>
    <s v="Cell Contamination"/>
    <s v="Inspection"/>
    <s v="WIP"/>
    <m/>
    <s v=""/>
    <d v="2026-05-02T00:00:00"/>
    <m/>
    <m/>
    <m/>
    <m/>
    <m/>
    <x v="1"/>
  </r>
  <r>
    <d v="2026-03-31T00:00:00"/>
    <n v="2026"/>
    <s v="RA GREEN ENERGks"/>
    <s v="Channel Sales"/>
    <m/>
    <s v="Closed"/>
    <s v="Kumar Tale"/>
    <n v="9518921202"/>
    <s v="PE31032602"/>
    <s v="MC 4 Connector Burn"/>
    <s v="Nagpur"/>
    <s v="Maharashtra"/>
    <s v="Found okay"/>
    <x v="5"/>
    <n v="540"/>
    <s v="NSMP25050188956"/>
    <s v="25"/>
    <s v="05"/>
    <s v="G2TB"/>
    <s v="P2"/>
    <s v="No Issue Found"/>
    <s v="Found OK"/>
    <s v="Repair"/>
    <d v="2026-05-04T00:00:00"/>
    <n v="34"/>
    <d v="2026-05-04T00:00:00"/>
    <m/>
    <m/>
    <m/>
    <m/>
    <m/>
    <x v="0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x v="1"/>
    <n v="495"/>
    <s v="NSMP2211233510"/>
    <s v="22"/>
    <s v="11"/>
    <s v="G2B"/>
    <s v="P2"/>
    <s v="N JB Cold Soldering"/>
    <s v="Soldering"/>
    <s v="Repair"/>
    <d v="2026-05-04T00:00:00"/>
    <n v="27"/>
    <d v="2026-05-04T00:00:00"/>
    <m/>
    <m/>
    <m/>
    <m/>
    <m/>
    <x v="0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x v="1"/>
    <n v="495"/>
    <s v="NSMP2211233542"/>
    <s v="22"/>
    <s v="11"/>
    <s v="G2B"/>
    <s v="P2"/>
    <s v="N JB Cold Soldering"/>
    <s v="Soldering"/>
    <s v="Repair"/>
    <d v="2026-05-04T00:00:00"/>
    <n v="27"/>
    <d v="2026-05-04T00:00:00"/>
    <m/>
    <m/>
    <m/>
    <m/>
    <m/>
    <x v="0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x v="1"/>
    <n v="495"/>
    <s v="NSMP2211233550"/>
    <s v="22"/>
    <s v="11"/>
    <s v="G2B"/>
    <s v="P2"/>
    <s v="N JB Cold Soldering"/>
    <s v="Soldering"/>
    <s v="Repair"/>
    <d v="2026-05-04T00:00:00"/>
    <n v="27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x v="0"/>
    <n v="540"/>
    <s v="NSMP24101626059"/>
    <s v="24"/>
    <s v="10"/>
    <s v="G2TB"/>
    <s v="P2"/>
    <s v="All JB Issue"/>
    <s v="JB Changed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x v="0"/>
    <n v="540"/>
    <s v="NSMP24101626041"/>
    <s v="24"/>
    <s v="10"/>
    <s v="G2TB"/>
    <s v="P2"/>
    <s v="All JB Issue"/>
    <s v="JB Changed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x v="0"/>
    <n v="540"/>
    <s v="NSMP24101626052"/>
    <s v="24"/>
    <s v="10"/>
    <s v="G2TB"/>
    <s v="P2"/>
    <s v="All JB Issue"/>
    <s v="JB Changed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92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6765"/>
    <s v="22"/>
    <s v="12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301293423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643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066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452"/>
    <s v="22"/>
    <s v="12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1260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386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369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009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87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4074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301290174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25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20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350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57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cell burn"/>
    <x v="2"/>
    <n v="550"/>
    <s v="NSMP221228408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000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696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5032759231"/>
    <s v="25"/>
    <s v="03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4055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1245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356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688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663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816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878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172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224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226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0977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46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613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8004"/>
    <s v="22"/>
    <s v="12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2782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4129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508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863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362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3065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5025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4781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49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9699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9393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272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2752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34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673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761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3488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843"/>
    <s v="22"/>
    <s v="12"/>
    <s v="G2TB"/>
    <s v="P2"/>
    <s v="Multi Cell Hotspot"/>
    <s v="Inspection"/>
    <s v="WIP"/>
    <m/>
    <s v=""/>
    <d v="2026-05-04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81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78866"/>
    <s v="24"/>
    <s v="06"/>
    <s v="G2G"/>
    <s v="P4"/>
    <s v="P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117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6653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065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103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066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182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296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8917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8951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483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125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087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630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129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7162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647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017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1229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000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5573"/>
    <s v="24"/>
    <s v="05"/>
    <s v="G2G"/>
    <s v="P4"/>
    <s v="P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8754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095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953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962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7148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4296"/>
    <s v="24"/>
    <s v="05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093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793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839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Both Glass Broken"/>
    <x v="6"/>
    <n v="570"/>
    <s v="NSMI24050064954"/>
    <s v="24"/>
    <s v="05"/>
    <s v="G2G"/>
    <s v="P4"/>
    <s v="Both Side Glass Breakage"/>
    <s v="Inspection"/>
    <s v="WIP"/>
    <m/>
    <s v=""/>
    <d v="2026-05-04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4599"/>
    <s v="24"/>
    <s v="05"/>
    <s v="G2G"/>
    <s v="P4"/>
    <s v="P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7589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7259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Glass Broken &amp; Burn Spot"/>
    <x v="6"/>
    <n v="570"/>
    <s v="NSMI24050053859"/>
    <s v="24"/>
    <s v="05"/>
    <s v="G2G"/>
    <s v="P4"/>
    <s v="Glass Breakage &amp; Burn Spot"/>
    <s v="Inspection"/>
    <s v="WIP"/>
    <m/>
    <s v=""/>
    <d v="2026-05-04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310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7514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53698"/>
    <s v="24"/>
    <s v="05"/>
    <s v="G2G"/>
    <s v="P4"/>
    <s v="No Issue Found"/>
    <s v="Found OK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1694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Glass Broken &amp; Burn Spot"/>
    <x v="6"/>
    <n v="570"/>
    <s v="NSMI24050065938"/>
    <s v="24"/>
    <s v="05"/>
    <s v="G2G"/>
    <s v="P4"/>
    <s v="Glass Breakage &amp; Burn Spot"/>
    <s v="Inspection"/>
    <s v="WIP"/>
    <m/>
    <s v=""/>
    <d v="2026-05-04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111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566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543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15780"/>
    <s v="24"/>
    <s v="06"/>
    <s v="G2G"/>
    <s v="P4"/>
    <s v="P &amp; 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982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988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5968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490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16495"/>
    <s v="24"/>
    <s v="06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5015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044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187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874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598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0035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814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353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9057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0078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3829"/>
    <s v="24"/>
    <s v="05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3836"/>
    <s v="24"/>
    <s v="05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4554"/>
    <s v="24"/>
    <s v="05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536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4-27T00:00:00"/>
    <n v="2026"/>
    <s v="TRUE SUN TRADING COMPANY"/>
    <s v="Channel Sales"/>
    <m/>
    <s v="Closed"/>
    <s v="Joel Jacob"/>
    <n v="7902222180"/>
    <s v="PE27042603"/>
    <s v="Panel Blast "/>
    <s v="CHANGANASSERRY"/>
    <s v="Kerala"/>
    <s v="No Visit"/>
    <x v="7"/>
    <n v="540"/>
    <s v="NSMP25080647747"/>
    <s v="25"/>
    <s v="08"/>
    <s v="G2TB"/>
    <s v="P2"/>
    <s v="Tab lead Burn"/>
    <s v="CN"/>
    <s v="Replacement"/>
    <d v="2026-05-04T00:00:00"/>
    <n v="7"/>
    <s v="No Visit"/>
    <m/>
    <m/>
    <m/>
    <m/>
    <m/>
    <x v="0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x v="8"/>
    <n v="540"/>
    <s v="NSMP25121224541"/>
    <s v="25"/>
    <s v="12"/>
    <s v="G2TB"/>
    <s v="P2"/>
    <s v="Improper Ribbon Soldering"/>
    <s v="CN / Replacement"/>
    <s v="Replacement"/>
    <d v="2026-05-04T00:00:00"/>
    <n v="39"/>
    <s v="No Visit"/>
    <m/>
    <m/>
    <m/>
    <m/>
    <m/>
    <x v="0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x v="9"/>
    <n v="540"/>
    <s v="NSMP25121227616"/>
    <s v="25"/>
    <s v="12"/>
    <s v="G2TB"/>
    <s v="P2"/>
    <s v="Forign Particle - Cell Piece"/>
    <s v="CN / Replacement"/>
    <s v="Replacement"/>
    <d v="2026-05-04T00:00:00"/>
    <n v="39"/>
    <s v="No Visit"/>
    <m/>
    <m/>
    <m/>
    <m/>
    <m/>
    <x v="0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x v="10"/>
    <n v="540"/>
    <s v="NSMP26021318226"/>
    <s v="26"/>
    <s v="02"/>
    <s v="G2TB"/>
    <s v="P2"/>
    <s v="Cell Chip"/>
    <s v="CN / Replacement"/>
    <s v="Replacement"/>
    <d v="2026-05-04T00:00:00"/>
    <n v="39"/>
    <s v="No Visit"/>
    <m/>
    <m/>
    <m/>
    <m/>
    <m/>
    <x v="0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x v="11"/>
    <n v="540"/>
    <s v="NSMP26011281494"/>
    <s v="26"/>
    <s v="01"/>
    <s v="G2TB"/>
    <s v="P2"/>
    <s v="Cell Crack"/>
    <s v="CN / Replacement"/>
    <s v="Replacement"/>
    <d v="2026-05-04T00:00:00"/>
    <n v="39"/>
    <s v="No Visit"/>
    <m/>
    <m/>
    <m/>
    <m/>
    <m/>
    <x v="0"/>
  </r>
  <r>
    <d v="2026-04-29T00:00:00"/>
    <n v="2026"/>
    <s v="Solar Square"/>
    <s v="OEM"/>
    <m/>
    <s v="Closed"/>
    <s v="Murali"/>
    <n v="9703345015"/>
    <s v="PE30042601"/>
    <s v="JB Melting"/>
    <s v="Kanpur"/>
    <s v="UP"/>
    <s v="N JB Burn marks observed"/>
    <x v="0"/>
    <n v="540"/>
    <s v="NSMP26011281961"/>
    <s v="26"/>
    <s v="01"/>
    <s v="G2TB"/>
    <s v="P2"/>
    <s v="N JB Issue"/>
    <s v="JB Changed"/>
    <s v="Repair"/>
    <d v="2026-05-05T00:00:00"/>
    <n v="6"/>
    <d v="2026-05-05T00:00:00"/>
    <m/>
    <m/>
    <m/>
    <m/>
    <m/>
    <x v="0"/>
  </r>
  <r>
    <d v="2026-04-29T00:00:00"/>
    <n v="2026"/>
    <s v="Solar Square"/>
    <s v="OEM"/>
    <m/>
    <s v="Closed"/>
    <s v="Murali"/>
    <n v="9703345015"/>
    <s v="PE29042602"/>
    <s v="JB improper fixing"/>
    <s v="Jabalpur"/>
    <s v="MP"/>
    <s v="M JB improper fixing"/>
    <x v="0"/>
    <n v="540"/>
    <s v="NSMP26021300699"/>
    <s v="26"/>
    <s v="02"/>
    <s v="G2TB"/>
    <s v="P2"/>
    <s v="M JB Issue"/>
    <s v="JB Changed"/>
    <s v="Repair"/>
    <d v="2026-05-05T00:00:00"/>
    <n v="6"/>
    <d v="2026-05-05T00:00:00"/>
    <m/>
    <m/>
    <m/>
    <m/>
    <m/>
    <x v="0"/>
  </r>
  <r>
    <d v="2026-04-09T00:00:00"/>
    <n v="2026"/>
    <s v="Solar Square"/>
    <s v="OEM"/>
    <m/>
    <s v="Closed"/>
    <s v="Murali"/>
    <n v="9703345015"/>
    <s v="PE09042601"/>
    <s v="Low VOC"/>
    <s v="Jabalpur"/>
    <s v="MP"/>
    <s v="All JB Issue"/>
    <x v="0"/>
    <n v="540"/>
    <s v="NSMP2312989304"/>
    <s v="23"/>
    <s v="12"/>
    <s v="G2TB"/>
    <s v="P2"/>
    <s v="All JB Issue"/>
    <s v="JB Changed"/>
    <s v="Repair"/>
    <d v="2026-05-05T00:00:00"/>
    <n v="26"/>
    <d v="2026-05-05T00:00:00"/>
    <m/>
    <m/>
    <m/>
    <m/>
    <m/>
    <x v="0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4252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035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272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314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631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078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069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2023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5458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58335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437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07"/>
    <s v="22"/>
    <s v="12"/>
    <s v="G2TB"/>
    <s v="P2"/>
    <s v="Multi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694"/>
    <s v="22"/>
    <s v="12"/>
    <s v="G2TB"/>
    <s v="P2"/>
    <s v="Single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0824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4020457"/>
    <s v="23"/>
    <s v="04"/>
    <s v="G2TB"/>
    <s v="P2"/>
    <s v="Multi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89735"/>
    <s v="23"/>
    <s v="01"/>
    <s v="G2TB"/>
    <s v="P2"/>
    <s v="Single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702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205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621"/>
    <s v="22"/>
    <s v="12"/>
    <s v="G2TB"/>
    <s v="P2"/>
    <s v="Multi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301308989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AMP2301326148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319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1039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5169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2437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3926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1140"/>
    <s v="22"/>
    <s v="12"/>
    <s v="G2TB"/>
    <s v="P2"/>
    <s v="Multi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207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215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608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114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728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4710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8825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961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079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783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367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7867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484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494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881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4006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301328119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7945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295"/>
    <s v="24"/>
    <s v="09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5009"/>
    <s v="24"/>
    <s v="09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092"/>
    <s v="23"/>
    <s v="01"/>
    <s v="G2TB"/>
    <s v="P2"/>
    <s v="Single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58014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2872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280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50289"/>
    <s v="24"/>
    <s v="09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761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4781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2181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53304"/>
    <s v="24"/>
    <s v="05"/>
    <s v="G2G"/>
    <s v="P4"/>
    <s v="P JB Issue"/>
    <s v="JB Changed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62021"/>
    <s v="24"/>
    <s v="05"/>
    <s v="G2G"/>
    <s v="P4"/>
    <s v="No Issue Found"/>
    <s v="Found OK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1891"/>
    <s v="24"/>
    <s v="05"/>
    <s v="G2G"/>
    <s v="P4"/>
    <s v="P JB Issue"/>
    <s v="JB Changed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5558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1039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4610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939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946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694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605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581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078483"/>
    <s v="24"/>
    <s v="06"/>
    <s v="G2G"/>
    <s v="P4"/>
    <s v="No Issue Found"/>
    <s v="Found OK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946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940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548"/>
    <s v="24"/>
    <s v="05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940"/>
    <s v="24"/>
    <s v="05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3547"/>
    <s v="24"/>
    <s v="05"/>
    <s v="G2G"/>
    <s v="P4"/>
    <s v="N JB Issue"/>
    <s v="JB Changed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50434"/>
    <s v="24"/>
    <s v="05"/>
    <s v="G2G"/>
    <s v="P4"/>
    <s v="No Issue Found"/>
    <s v="Found OK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176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3002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0858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835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795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776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793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6169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2655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106"/>
    <s v="24"/>
    <s v="05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22119439"/>
    <s v="24"/>
    <s v="02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441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2632"/>
    <s v="24"/>
    <s v="05"/>
    <s v="G2G"/>
    <s v="P4"/>
    <s v="P JB Issue"/>
    <s v="JB Changed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703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292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4680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14783"/>
    <s v="24"/>
    <s v="06"/>
    <s v="G2G"/>
    <s v="P4"/>
    <s v="No Issue Found"/>
    <s v="Found OK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578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730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681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779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671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276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323"/>
    <s v="24"/>
    <s v="05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4039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3996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5610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339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292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358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360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MS"/>
    <x v="1"/>
    <n v="570"/>
    <s v="NSMI24060101027"/>
    <s v="24"/>
    <s v="06"/>
    <s v="G2G"/>
    <s v="P4"/>
    <s v="P &amp; M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1202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596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939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5-05T00:00:00"/>
    <n v="2026"/>
    <s v="SILRES Energy Solutions Private Limited"/>
    <s v="Channel Sales"/>
    <m/>
    <s v="Closed"/>
    <s v="Bharath Gokul C"/>
    <n v="7845736732"/>
    <s v="PE5052601"/>
    <s v="Burn Marks"/>
    <s v="Chennai"/>
    <s v="Tamil Nadu"/>
    <s v="No Visit"/>
    <x v="7"/>
    <n v="540"/>
    <s v="NSMP24050485627"/>
    <s v="24"/>
    <s v="05"/>
    <s v="G2B"/>
    <s v="P2"/>
    <s v="Tab lead Burn"/>
    <s v="CN"/>
    <s v="Replacement"/>
    <d v="2026-05-14T00:00:00"/>
    <n v="9"/>
    <s v="No Visit"/>
    <m/>
    <m/>
    <m/>
    <m/>
    <m/>
    <x v="0"/>
  </r>
  <r>
    <d v="2026-02-18T00:00:00"/>
    <n v="2026"/>
    <s v="TRUE SUN TRADING COMPANY"/>
    <s v="Channel Sales"/>
    <m/>
    <s v="Closed"/>
    <s v="Sarath Ananda"/>
    <n v="8848944464"/>
    <s v="PE18022602"/>
    <s v="Panel Blast "/>
    <s v="Trivandram"/>
    <s v="Kerala"/>
    <s v="No Visit"/>
    <x v="7"/>
    <n v="540"/>
    <s v="NSMP2304026350"/>
    <s v="23"/>
    <s v="04"/>
    <s v="G2B"/>
    <s v="P2"/>
    <s v="Tab lead Burn"/>
    <s v="CN"/>
    <s v="Replacement"/>
    <d v="2026-05-05T00:00:00"/>
    <n v="76"/>
    <s v="No Visit"/>
    <m/>
    <m/>
    <m/>
    <m/>
    <m/>
    <x v="0"/>
  </r>
  <r>
    <d v="2026-02-20T00:00:00"/>
    <n v="2026"/>
    <s v="TRUE SUN TRADING COMPANY"/>
    <s v="Channel Sales"/>
    <m/>
    <s v="Closed"/>
    <s v="Joel Jacob"/>
    <n v="7902222180"/>
    <s v="PE20022602"/>
    <s v="Panel Blast "/>
    <s v="Thrissur"/>
    <s v="Kerala"/>
    <s v="No Visit"/>
    <x v="7"/>
    <n v="540"/>
    <s v="NSMP2309611339"/>
    <s v="23"/>
    <s v="09"/>
    <s v="G2TB"/>
    <s v="P2"/>
    <s v="Tab lead Burn"/>
    <s v="CN"/>
    <s v="Replacement"/>
    <d v="2026-05-05T00:00:00"/>
    <n v="74"/>
    <s v="No Visit"/>
    <m/>
    <m/>
    <m/>
    <m/>
    <m/>
    <x v="0"/>
  </r>
  <r>
    <d v="2026-04-24T00:00:00"/>
    <n v="2026"/>
    <s v="TRUE SUN TRADING COMPANY"/>
    <s v="Channel Sales"/>
    <m/>
    <s v="Closed"/>
    <s v="Joel Jacob"/>
    <n v="7902222180"/>
    <s v="PE24042601"/>
    <s v="Snail Trail issue"/>
    <s v="Trivandram"/>
    <s v="Kerala"/>
    <s v="No Visit"/>
    <x v="12"/>
    <n v="610"/>
    <s v="NSMG26031760548"/>
    <s v="26"/>
    <s v="03"/>
    <s v="G2G"/>
    <s v="P2"/>
    <s v="Air entrapment during the lamination process"/>
    <s v="CN"/>
    <s v="Replacement"/>
    <d v="2026-05-05T00:00:00"/>
    <n v="11"/>
    <s v="No Visit"/>
    <m/>
    <m/>
    <m/>
    <m/>
    <m/>
    <x v="0"/>
  </r>
  <r>
    <d v="2026-04-24T00:00:00"/>
    <n v="2026"/>
    <s v="TRUE SUN TRADING COMPANY"/>
    <s v="Channel Sales"/>
    <m/>
    <s v="Closed"/>
    <s v="Joel Jacob"/>
    <n v="7902222180"/>
    <s v="PE24042602"/>
    <s v="Insect Inside and Busbar Rust"/>
    <s v="Trivandram"/>
    <s v="Kerala"/>
    <s v="No Visit"/>
    <x v="13"/>
    <n v="540"/>
    <s v="NSMP26021346925"/>
    <s v="26"/>
    <s v="02"/>
    <s v="G2TB"/>
    <s v="Prime Pack"/>
    <s v="Aesthetic Issue"/>
    <s v="CN"/>
    <s v="Replacement"/>
    <d v="2026-05-05T00:00:00"/>
    <n v="11"/>
    <s v="No Visit"/>
    <m/>
    <m/>
    <m/>
    <m/>
    <m/>
    <x v="0"/>
  </r>
  <r>
    <d v="2026-02-26T00:00:00"/>
    <n v="2026"/>
    <s v="Solar Square"/>
    <s v="OEM"/>
    <m/>
    <s v="Closed"/>
    <s v="Murali"/>
    <n v="9703345015"/>
    <s v="PE26022602"/>
    <s v="JB improper fixing"/>
    <s v="Indore"/>
    <s v="MP"/>
    <s v="JB moved"/>
    <x v="0"/>
    <n v="540"/>
    <s v="NSMP25121229015"/>
    <s v="25"/>
    <s v="12"/>
    <s v="G2TB"/>
    <s v="P2"/>
    <s v="N JB Improper fixing"/>
    <s v="JB Changed"/>
    <s v="Repair"/>
    <d v="2026-05-06T00:00:00"/>
    <n v="69"/>
    <d v="2026-05-06T00:00:00"/>
    <m/>
    <m/>
    <m/>
    <m/>
    <m/>
    <x v="0"/>
  </r>
  <r>
    <d v="2026-02-26T00:00:00"/>
    <n v="2026"/>
    <s v="Solar Square"/>
    <s v="OEM"/>
    <m/>
    <s v="Closed"/>
    <s v="Murali"/>
    <n v="9703345015"/>
    <s v="PE26022602"/>
    <s v="JB improper fixing"/>
    <s v="Indore"/>
    <s v="MP"/>
    <s v="JB moved"/>
    <x v="0"/>
    <n v="540"/>
    <s v="NSMP25121241454"/>
    <s v="25"/>
    <s v="12"/>
    <s v="G2TB"/>
    <s v="P2"/>
    <s v="N JB Improper fixing"/>
    <s v="JB Changed"/>
    <s v="Repair"/>
    <d v="2026-05-06T00:00:00"/>
    <n v="69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8838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0347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035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0003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546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923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9392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3949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33922"/>
    <s v="24"/>
    <s v="06"/>
    <s v="G2G"/>
    <s v="P4"/>
    <s v="N JB Issue"/>
    <s v="JB Changed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84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63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8760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8433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473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4516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856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857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860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145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017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030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3787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387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0222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017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228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5975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7184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553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37236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46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6110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392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34355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8271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9007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994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702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164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410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541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543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532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825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11140"/>
    <s v="24"/>
    <s v="06"/>
    <s v="G2G"/>
    <s v="P4"/>
    <s v="N JB Issue"/>
    <s v="JB Changed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1131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574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8579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8538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21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63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54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67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59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83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49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785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175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195"/>
    <s v="22"/>
    <s v="12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8474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5202"/>
    <s v="23"/>
    <s v="01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5129"/>
    <s v="22"/>
    <s v="12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1836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642"/>
    <s v="22"/>
    <s v="12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89729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178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835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419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0613"/>
    <s v="22"/>
    <s v="12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4449"/>
    <s v="23"/>
    <s v="01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279"/>
    <s v="22"/>
    <s v="12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4117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7255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0258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8883"/>
    <s v="23"/>
    <s v="01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0957"/>
    <s v="23"/>
    <s v="01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369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894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363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5013"/>
    <s v="24"/>
    <s v="09"/>
    <s v="G2TB"/>
    <s v="P2"/>
    <s v="Multi Cell Hotspot 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435"/>
    <s v="24"/>
    <s v="09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919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767"/>
    <s v="24"/>
    <s v="09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147"/>
    <s v="24"/>
    <s v="09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123"/>
    <s v="24"/>
    <s v="09"/>
    <s v="G2TB"/>
    <s v="P2"/>
    <s v="Multi Cell Hotspot 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085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674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50424"/>
    <s v="24"/>
    <s v="09"/>
    <s v="G2TB"/>
    <s v="P2"/>
    <s v="Multi Cell Hotspot 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8462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805"/>
    <s v="22"/>
    <s v="12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627"/>
    <s v="24"/>
    <s v="09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17"/>
    <s v="22"/>
    <s v="12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215"/>
    <s v="22"/>
    <s v="12"/>
    <s v="G2TB"/>
    <s v="P2"/>
    <s v="Single Cell Hotspot"/>
    <s v="Inspection"/>
    <s v="WIP"/>
    <m/>
    <s v=""/>
    <d v="2026-05-07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608"/>
    <s v="23"/>
    <s v="01"/>
    <s v="G2TB"/>
    <s v="P2"/>
    <s v="Single Cell Hotspot"/>
    <s v="Inspection"/>
    <s v="WIP"/>
    <m/>
    <s v=""/>
    <d v="2026-05-07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295"/>
    <s v="24"/>
    <s v="09"/>
    <s v="G2TB"/>
    <s v="P2"/>
    <s v="Single Cell Hotspot"/>
    <s v="Inspection"/>
    <s v="WIP"/>
    <m/>
    <s v=""/>
    <d v="2026-05-07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462"/>
    <s v="22"/>
    <s v="12"/>
    <s v="G2TB"/>
    <s v="P2"/>
    <s v="Single Cell Hotspot"/>
    <s v="Inspection"/>
    <s v="WIP"/>
    <m/>
    <s v=""/>
    <d v="2026-05-07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5194"/>
    <s v="23"/>
    <s v="01"/>
    <s v="G2TB"/>
    <s v="P2"/>
    <s v="Single Cell Hotspot"/>
    <s v="Inspection"/>
    <s v="WIP"/>
    <m/>
    <s v=""/>
    <d v="2026-05-07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5868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4919"/>
    <s v="24"/>
    <s v="05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2640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2624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900"/>
    <s v="24"/>
    <s v="05"/>
    <s v="G2G"/>
    <s v="P4"/>
    <s v="N JB Cold Soldering &amp; Glass Breakage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880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963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6814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40375"/>
    <s v="24"/>
    <s v="06"/>
    <s v="G2G"/>
    <s v="P4"/>
    <s v="N JB Issue"/>
    <s v="JB Changed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7119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36431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2177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149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387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726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729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299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0507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0641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60523"/>
    <s v="24"/>
    <s v="05"/>
    <s v="G2G"/>
    <s v="P4"/>
    <s v="P &amp; 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0452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756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175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800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094791"/>
    <s v="24"/>
    <s v="06"/>
    <s v="G2G"/>
    <s v="P4"/>
    <s v="No Issue Found"/>
    <s v="Found OK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775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2130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140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365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271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383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5745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6586"/>
    <s v="24"/>
    <s v="05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4504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5428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583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564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837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843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772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791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800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5048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241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409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262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80333591"/>
    <s v="24"/>
    <s v="08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46304"/>
    <s v="24"/>
    <s v="05"/>
    <s v="G2G"/>
    <s v="P4"/>
    <s v="No Issue Found"/>
    <s v="Found OK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48377"/>
    <s v="24"/>
    <s v="05"/>
    <s v="G2G"/>
    <s v="P4"/>
    <s v="No Issue Found"/>
    <s v="Found OK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6442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8553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8437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63848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06986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938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6191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4800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4679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937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841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375"/>
    <s v="24"/>
    <s v="06"/>
    <s v="G2G"/>
    <s v="P4"/>
    <s v="N JB Cold Soldering &amp; Glass Breakage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4142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3015"/>
    <s v="24"/>
    <s v="06"/>
    <s v="G2G"/>
    <s v="P4"/>
    <s v="N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84638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994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530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533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79615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91153"/>
    <s v="24"/>
    <s v="06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35706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8532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47142"/>
    <s v="24"/>
    <s v="05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8705"/>
    <s v="24"/>
    <s v="05"/>
    <s v="G2G"/>
    <s v="P4"/>
    <s v="N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8232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626"/>
    <s v="24"/>
    <s v="05"/>
    <s v="G2G"/>
    <s v="P4"/>
    <s v="N JB Cold Soldering &amp; Glass Breakage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9494"/>
    <s v="24"/>
    <s v="06"/>
    <s v="G2G"/>
    <s v="P4"/>
    <s v="N JB Cold Soldering &amp; Glass Breakage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 "/>
    <x v="1"/>
    <n v="570"/>
    <s v="NSMI24060076291"/>
    <s v="24"/>
    <s v="06"/>
    <s v="G2G"/>
    <s v="P4"/>
    <s v="P &amp; 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22472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22474"/>
    <s v="24"/>
    <s v="06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 "/>
    <x v="1"/>
    <n v="570"/>
    <s v="NSMI24050047135"/>
    <s v="24"/>
    <s v="05"/>
    <s v="G2G"/>
    <s v="P4"/>
    <s v="P &amp; 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7253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57401"/>
    <s v="24"/>
    <s v="05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7236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7128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9193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 "/>
    <x v="1"/>
    <n v="570"/>
    <s v="NSMI24050049165"/>
    <s v="24"/>
    <s v="05"/>
    <s v="G2G"/>
    <s v="P4"/>
    <s v="P &amp; 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7427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532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7234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7225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21581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0441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46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58369"/>
    <s v="24"/>
    <s v="05"/>
    <s v="G2G"/>
    <s v="P4"/>
    <s v="N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8384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4227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6652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06612"/>
    <s v="24"/>
    <s v="06"/>
    <s v="G2G"/>
    <s v="P4"/>
    <s v="P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06553"/>
    <s v="24"/>
    <s v="06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 "/>
    <x v="0"/>
    <n v="570"/>
    <s v="NSMI24060106556"/>
    <s v="24"/>
    <s v="06"/>
    <s v="G2G"/>
    <s v="P4"/>
    <s v="P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993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92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390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51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790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330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0595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553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379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932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548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0636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80592"/>
    <s v="24"/>
    <s v="06"/>
    <s v="G2G"/>
    <s v="P4"/>
    <s v="P &amp; 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4978"/>
    <s v="24"/>
    <s v="05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2869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32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69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786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102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55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637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694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406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6617"/>
    <s v="24"/>
    <s v="05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495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60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885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955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444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867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3782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008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903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043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308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3287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16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055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897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900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46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176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353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906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157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842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5589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239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928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016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79401"/>
    <s v="24"/>
    <s v="06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9407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7719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80226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6944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1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4092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079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51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800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60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696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37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037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5664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800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6579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59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6595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5717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9871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14483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14478"/>
    <s v="24"/>
    <s v="06"/>
    <s v="G2G"/>
    <s v="P4"/>
    <s v="P &amp; 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3274"/>
    <s v="24"/>
    <s v="05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45981"/>
    <s v="24"/>
    <s v="05"/>
    <s v="G2G"/>
    <s v="P4"/>
    <s v="P &amp; 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64909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7538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56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568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1439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295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8459"/>
    <s v="24"/>
    <s v="05"/>
    <s v="G2G"/>
    <s v="P4"/>
    <s v="N JB Issue"/>
    <s v="JB Changed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5972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54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066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6696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277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729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673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4316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70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4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261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21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339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38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45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121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8115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488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324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493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76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518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158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8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664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723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28380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182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69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68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74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30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278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95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315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222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312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9411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657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96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7849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3558"/>
    <s v="24"/>
    <s v="06"/>
    <s v="G2G"/>
    <s v="P4"/>
    <s v="N JB Issue"/>
    <s v="JB Changed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36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49847"/>
    <s v="24"/>
    <s v="05"/>
    <s v="G2G"/>
    <s v="P4"/>
    <s v="P JB Issue"/>
    <s v="JB Changed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1416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547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888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87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772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1345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1320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2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64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91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158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461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874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866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332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78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488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42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813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40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480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294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674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865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68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679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73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27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3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71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839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461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5282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592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6069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608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884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6985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6984"/>
    <s v="24"/>
    <s v="07"/>
    <s v="G2G"/>
    <s v="P4"/>
    <s v="P JB Issue"/>
    <s v="JB Changed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614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611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090"/>
    <s v="24"/>
    <s v="07"/>
    <s v="G2G"/>
    <s v="P4"/>
    <s v="P JB Cold Soldering &amp; Back Glass Broken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733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588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485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772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767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3919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2225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4100"/>
    <s v="24"/>
    <s v="07"/>
    <s v="G2G"/>
    <s v="P4"/>
    <s v="P &amp; 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904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705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702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697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18025"/>
    <s v="24"/>
    <s v="07"/>
    <s v="G2G"/>
    <s v="P4"/>
    <s v="P JB Issue"/>
    <s v="JB Changed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26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93608"/>
    <s v="24"/>
    <s v="07"/>
    <s v="G2G"/>
    <s v="P4"/>
    <s v="N JB Issue"/>
    <s v="JB Changed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662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418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020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9099"/>
    <s v="24"/>
    <s v="07"/>
    <s v="G2TB"/>
    <s v="P4"/>
    <s v="N JB Cold Soldering"/>
    <s v="Soldering"/>
    <s v="Repair"/>
    <d v="2026-05-11T00:00:00"/>
    <n v="10"/>
    <d v="2026-05-11T00:00:00"/>
    <m/>
    <m/>
    <m/>
    <m/>
    <m/>
    <x v="0"/>
  </r>
  <r>
    <d v="2026-05-12T00:00:00"/>
    <n v="2026"/>
    <s v="Uma Trading"/>
    <s v="Channel Sales"/>
    <m/>
    <s v="Closed"/>
    <s v="Anisha"/>
    <n v="9307883016"/>
    <s v="PE12052604"/>
    <s v="Module Burnt"/>
    <s v=" Sangli"/>
    <s v="Maharashtra"/>
    <s v="No Visit"/>
    <x v="14"/>
    <n v="540"/>
    <s v="NSMP24122090183"/>
    <s v="24"/>
    <s v="12"/>
    <s v="G2G"/>
    <s v="P2"/>
    <s v="Improper connection between the module-side MC4 and the string output MC4"/>
    <s v="MC4 connectors damaged"/>
    <s v="Rejected"/>
    <d v="2026-05-13T00:00:00"/>
    <n v="1"/>
    <m/>
    <m/>
    <m/>
    <m/>
    <m/>
    <m/>
    <x v="0"/>
  </r>
  <r>
    <d v="2026-05-07T00:00:00"/>
    <n v="2026"/>
    <s v="Cresta solar"/>
    <s v="Channel Sales"/>
    <m/>
    <s v="Closed"/>
    <s v="Shashank Sir"/>
    <m/>
    <s v="PE07052601"/>
    <s v="Glass damage "/>
    <s v="Hyderabad"/>
    <s v="Telangana"/>
    <s v="No Visit"/>
    <x v="6"/>
    <n v="590"/>
    <s v="NSMI25031671069"/>
    <s v="25"/>
    <s v="03"/>
    <s v="G2G"/>
    <s v="P4"/>
    <s v="Glass Breakage"/>
    <s v="Replacement"/>
    <s v="Replacement"/>
    <d v="2026-05-08T00:00:00"/>
    <n v="1"/>
    <s v="No Visit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841"/>
    <s v="24"/>
    <s v="05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96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96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056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3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773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28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667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798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073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50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6864"/>
    <s v="24"/>
    <s v="08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13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108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525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305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54078"/>
    <s v="24"/>
    <s v="05"/>
    <s v="G2G"/>
    <s v="P4"/>
    <s v="P &amp; 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553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05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885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7565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594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50633"/>
    <s v="24"/>
    <s v="05"/>
    <s v="G2G"/>
    <s v="P4"/>
    <s v="No Issue Found"/>
    <s v="Found OK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8937"/>
    <s v="24"/>
    <s v="05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9070"/>
    <s v="24"/>
    <s v="05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046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77129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131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5798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16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603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11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1553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90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090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550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98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694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20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94381"/>
    <s v="24"/>
    <s v="06"/>
    <s v="G2G"/>
    <s v="P4"/>
    <s v="P &amp; 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324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370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665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889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346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54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786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145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497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47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350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3202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4200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313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709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880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9211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223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6190"/>
    <s v="24"/>
    <s v="05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429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884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852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962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037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429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92451"/>
    <s v="24"/>
    <s v="06"/>
    <s v="G2G"/>
    <s v="P4"/>
    <s v="P &amp; 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660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997"/>
    <s v="24"/>
    <s v="05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0886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099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081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095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3008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16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831"/>
    <s v="24"/>
    <s v="05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518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479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6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384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3419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339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06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89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0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878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216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00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6928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994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962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45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5186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163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210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2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92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3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43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220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535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1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372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981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31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819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43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06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1790"/>
    <s v="24"/>
    <s v="06"/>
    <s v="G2G"/>
    <s v="P4"/>
    <s v="N JB Issue"/>
    <s v="JB Changed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78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54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8510"/>
    <s v="24"/>
    <s v="06"/>
    <s v="G2G"/>
    <s v="P4"/>
    <s v="N JB Issue"/>
    <s v="JB Changed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453"/>
    <s v="24"/>
    <s v="05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356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077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012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47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539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5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527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563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76617"/>
    <s v="24"/>
    <s v="06"/>
    <s v="G2G"/>
    <s v="P4"/>
    <s v="P JB Issue"/>
    <s v="JB Changed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62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76628"/>
    <s v="24"/>
    <s v="06"/>
    <s v="G2G"/>
    <s v="P4"/>
    <s v="N JB Issue"/>
    <s v="JB Changed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13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4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01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439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6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88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8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751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40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278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710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756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759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072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222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91934"/>
    <s v="24"/>
    <s v="06"/>
    <s v="G2G"/>
    <s v="P4"/>
    <s v="P &amp; 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5563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83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497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817"/>
    <s v="24"/>
    <s v="06"/>
    <s v="G2G"/>
    <s v="P4"/>
    <s v="P JB Cold Soldering &amp; Glass Breakage"/>
    <s v="Soldering"/>
    <s v="Repair"/>
    <d v="2026-05-13T00:00:00"/>
    <n v="48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4517"/>
    <s v="24"/>
    <s v="07"/>
    <s v="G2TB"/>
    <s v="P4"/>
    <s v="P JB Issue"/>
    <s v="JB Changed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90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17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105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189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157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298"/>
    <s v="24"/>
    <s v="07"/>
    <s v="G2TB"/>
    <s v="P4"/>
    <s v="P &amp; 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047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78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1666"/>
    <s v="24"/>
    <s v="07"/>
    <s v="G2TB"/>
    <s v="P4"/>
    <s v="P JB Issue"/>
    <s v="JB Changed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1698"/>
    <s v="24"/>
    <s v="07"/>
    <s v="G2TB"/>
    <s v="P4"/>
    <s v="P JB Issue"/>
    <s v="JB Changed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58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786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754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696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4929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991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28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4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99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74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4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1087"/>
    <s v="24"/>
    <s v="07"/>
    <s v="G2TB"/>
    <s v="P4"/>
    <s v="P &amp; 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806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214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5622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60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93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903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0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973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97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899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08"/>
    <s v="24"/>
    <s v="07"/>
    <s v="G2G"/>
    <s v="P4"/>
    <s v="P JB Cold Soldering &amp; Back Glass Broken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1017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19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254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4-27T00:00:00"/>
    <n v="2026"/>
    <s v="Solar Square"/>
    <s v="OEM"/>
    <m/>
    <s v="Closed"/>
    <s v="Murali"/>
    <n v="9703345015"/>
    <s v="PE27042601"/>
    <s v="Low VOC"/>
    <s v="Hyderabad"/>
    <s v="Telangana"/>
    <s v="PS"/>
    <x v="1"/>
    <n v="545"/>
    <s v="NSMP2211207221"/>
    <s v="22"/>
    <s v="11"/>
    <s v="G2B"/>
    <s v="P2"/>
    <s v="P JB Cold Soldering"/>
    <s v="Soldering"/>
    <s v="Repair"/>
    <d v="2026-05-14T00:00:00"/>
    <n v="17"/>
    <d v="2026-05-14T00:00:00"/>
    <m/>
    <m/>
    <m/>
    <m/>
    <m/>
    <x v="0"/>
  </r>
  <r>
    <d v="2026-04-27T00:00:00"/>
    <n v="2026"/>
    <s v="Solar Square"/>
    <s v="OEM"/>
    <m/>
    <s v="Closed"/>
    <s v="Murali"/>
    <n v="9703345015"/>
    <s v="PE27042602"/>
    <s v="Low VOC"/>
    <s v="Hyderabad"/>
    <s v="Telangana"/>
    <s v="PS"/>
    <x v="1"/>
    <n v="545"/>
    <s v="NSMP2211207221"/>
    <s v="22"/>
    <s v="11"/>
    <s v="G2B"/>
    <s v="P2"/>
    <s v="P JB Cold Soldering"/>
    <s v="Soldering"/>
    <s v="Repair"/>
    <d v="2026-05-14T00:00:00"/>
    <n v="17"/>
    <d v="2026-05-14T00:00:00"/>
    <m/>
    <m/>
    <m/>
    <m/>
    <m/>
    <x v="0"/>
  </r>
  <r>
    <d v="2026-04-27T00:00:00"/>
    <n v="2026"/>
    <s v="Solar Square"/>
    <s v="OEM"/>
    <m/>
    <s v="Closed"/>
    <s v="Murali"/>
    <n v="9703345015"/>
    <s v="PE27042602"/>
    <s v="Low VOC"/>
    <s v="Hyderabad"/>
    <s v="Telangana"/>
    <s v="PS"/>
    <x v="1"/>
    <n v="545"/>
    <s v="NSMP2211207246"/>
    <s v="22"/>
    <s v="11"/>
    <s v="G2B"/>
    <s v="P2"/>
    <s v="P JB Cold Soldering"/>
    <s v="Soldering"/>
    <s v="Repair"/>
    <d v="2026-05-14T00:00:00"/>
    <n v="17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84449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084123"/>
    <s v="24"/>
    <s v="06"/>
    <s v="G2G"/>
    <s v="P4"/>
    <s v="No Issue Found"/>
    <s v="Found OK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100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808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25498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2415"/>
    <s v="24"/>
    <s v="06"/>
    <s v="G2G"/>
    <s v="P4"/>
    <s v="P JB Cold Soldering &amp; Glass Breakage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2429"/>
    <s v="24"/>
    <s v="06"/>
    <s v="G2G"/>
    <s v="P4"/>
    <s v="P JB Cold Soldering &amp; Glass Breakage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238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239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95750"/>
    <s v="24"/>
    <s v="06"/>
    <s v="G2G"/>
    <s v="P4"/>
    <s v="P JB Issue &amp; Glass Breakag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46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86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102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7605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497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706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49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975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92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437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265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626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676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44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109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732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747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79195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R"/>
    <x v="0"/>
    <n v="570"/>
    <s v="NSMI24060079186"/>
    <s v="24"/>
    <s v="06"/>
    <s v="G2G"/>
    <s v="P4"/>
    <s v="P &amp; N JB Issue &amp; Glass Breakag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71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5322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66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51818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90289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064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0211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103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066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4590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5714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41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97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00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3806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67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00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88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182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68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758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280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01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914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02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07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241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78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408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587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266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518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1554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229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319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093888"/>
    <s v="24"/>
    <s v="06"/>
    <s v="G2G"/>
    <s v="P4"/>
    <s v="No Issue Found"/>
    <s v="Found OK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79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817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0892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251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5591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6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6916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50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53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2667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2742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2800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8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1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345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2495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44467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453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201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826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73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72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430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151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16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698"/>
    <s v="24"/>
    <s v="07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686"/>
    <s v="24"/>
    <s v="07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388"/>
    <s v="24"/>
    <s v="07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484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948"/>
    <s v="24"/>
    <s v="07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482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57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922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11081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1603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96124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91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6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2743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2809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355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4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82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194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695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0315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0312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0182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8499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5707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1931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763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369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355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629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64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634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635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77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637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63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6194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77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33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34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81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89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4904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2884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2886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2836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3152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3391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630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15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936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28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437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50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192957"/>
    <s v="24"/>
    <s v="07"/>
    <s v="G2G"/>
    <s v="P4"/>
    <s v="All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79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92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27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19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652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6322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1758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50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512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832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52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280"/>
    <s v="24"/>
    <s v="07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35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643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910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73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542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6423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45392"/>
    <s v="24"/>
    <s v="06"/>
    <s v="G2G"/>
    <s v="P4"/>
    <s v="No Issue Found &amp; Glass Breakage"/>
    <s v="Found OK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61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257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777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30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6149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328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269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122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63557"/>
    <s v="24"/>
    <s v="06"/>
    <s v="G2G"/>
    <s v="P4"/>
    <s v="No Issue Found"/>
    <s v="Found OK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467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01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438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44958"/>
    <s v="24"/>
    <s v="06"/>
    <s v="G2G"/>
    <s v="P4"/>
    <s v="N JB Issue"/>
    <s v="JB Changed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333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2309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620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52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05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07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70166945"/>
    <s v="24"/>
    <s v="07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885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428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93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258"/>
    <s v="24"/>
    <s v="07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251"/>
    <s v="24"/>
    <s v="07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19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283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790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45691"/>
    <s v="24"/>
    <s v="06"/>
    <s v="G2G"/>
    <s v="P4"/>
    <s v="N JB Issue"/>
    <s v="JB Changed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792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221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858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213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2139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474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6003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934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672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68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109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2496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176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136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589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5266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1948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492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42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617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1064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70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74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800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99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0788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81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5348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146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548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527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441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728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8130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058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990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881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859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175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306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00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582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915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293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1202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822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915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264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795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95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436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478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975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872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80341932"/>
    <s v="24"/>
    <s v="08"/>
    <s v="G2G"/>
    <s v="P4"/>
    <s v="P &amp; N JB Cold Soldering &amp; Glass Breakage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374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177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2318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303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83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08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983"/>
    <s v="24"/>
    <s v="06"/>
    <s v="G2G"/>
    <s v="P4"/>
    <s v="N JB Cold Soldering &amp; Glass Breakage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754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20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59804"/>
    <s v="24"/>
    <s v="06"/>
    <s v="G2G"/>
    <s v="P4"/>
    <s v="P JB Issue"/>
    <s v="JB Changed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74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370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1072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9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7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65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7105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22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94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700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58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939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050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053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448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3925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9470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49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1541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114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94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75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156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61000"/>
    <s v="24"/>
    <s v="06"/>
    <s v="G2G"/>
    <s v="P4"/>
    <s v="No Issue Found"/>
    <s v="Found OK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517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513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59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613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60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446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326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40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285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321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83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178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424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416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186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316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692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60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308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953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22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3641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31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45700"/>
    <s v="24"/>
    <s v="06"/>
    <s v="G2G"/>
    <s v="P4"/>
    <s v="N JB Issue"/>
    <s v="JB Changed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03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030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12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567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45680"/>
    <s v="24"/>
    <s v="06"/>
    <s v="G2G"/>
    <s v="P4"/>
    <s v="P &amp; 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71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785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39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38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40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94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622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883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87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24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004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803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7616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2924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15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42013"/>
    <s v="24"/>
    <s v="06"/>
    <s v="G2G"/>
    <s v="P4"/>
    <s v="P &amp; 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59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59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597"/>
    <s v="24"/>
    <s v="06"/>
    <s v="G2G"/>
    <s v="P4"/>
    <s v="N JB Cold Soldering &amp; Cell Burn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325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270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74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83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0937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420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4622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716"/>
    <s v="24"/>
    <s v="07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80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130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28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429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341"/>
    <s v="24"/>
    <s v="07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887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985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698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343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527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16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15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433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2060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67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419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1983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175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12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14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238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526"/>
    <s v="24"/>
    <s v="05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Burning Module "/>
    <x v="15"/>
    <n v="570"/>
    <s v="NSMI24050067040"/>
    <s v="24"/>
    <s v="05"/>
    <s v="G2G"/>
    <s v="P4"/>
    <s v="Module Burn"/>
    <s v="Inspection"/>
    <s v="WIP"/>
    <m/>
    <s v=""/>
    <d v="2026-05-17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859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86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87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919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648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260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3587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2854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809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3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8965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96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7364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928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16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1463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55976"/>
    <s v="24"/>
    <s v="06"/>
    <s v="G2G"/>
    <s v="P4"/>
    <s v="N JB Issue"/>
    <s v="JB Changed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6714"/>
    <s v="24"/>
    <s v="05"/>
    <s v="G2G"/>
    <s v="P4"/>
    <s v="N JB Issue"/>
    <s v="JB Changed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053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18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24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245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6780"/>
    <s v="24"/>
    <s v="05"/>
    <s v="G2G"/>
    <s v="P4"/>
    <s v="N JB Issue"/>
    <s v="JB Changed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044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04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11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062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053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832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67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856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481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5214"/>
    <s v="24"/>
    <s v="05"/>
    <s v="G2G"/>
    <s v="P4"/>
    <s v="N JB Issue"/>
    <s v="JB Changed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423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4266"/>
    <s v="24"/>
    <s v="05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63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64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30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207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248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2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79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940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153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874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08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1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414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509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0781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0666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76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52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99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50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85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4989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1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97953"/>
    <s v="24"/>
    <s v="07"/>
    <s v="G2G"/>
    <s v="P4"/>
    <s v="No Issue Found"/>
    <s v="Found OK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851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302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20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6838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6116"/>
    <s v="24"/>
    <s v="07"/>
    <s v="G2G"/>
    <s v="P4"/>
    <s v="P &amp; 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436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206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231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94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14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5458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85733"/>
    <s v="24"/>
    <s v="07"/>
    <s v="G2G"/>
    <s v="P4"/>
    <s v="No Issue Found"/>
    <s v="Found OK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585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7468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258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555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591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404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520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134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553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260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706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6131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6135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890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853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262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7806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038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456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124070197944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234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293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287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295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398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240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227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99086"/>
    <s v="24"/>
    <s v="07"/>
    <s v="G2G"/>
    <s v="P4"/>
    <s v="N JB Issue"/>
    <s v="JB Changed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8774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880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61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222485"/>
    <s v="24"/>
    <s v="07"/>
    <s v="G2G"/>
    <s v="P4"/>
    <s v="All JB Issue"/>
    <s v="JB Changed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93575"/>
    <s v="24"/>
    <s v="07"/>
    <s v="G2G"/>
    <s v="P4"/>
    <s v="No Issue Found"/>
    <s v="Found OK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909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383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931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985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347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218673"/>
    <s v="24"/>
    <s v="07"/>
    <s v="G2G"/>
    <s v="P4"/>
    <s v="All JB Issue"/>
    <s v="JB Changed"/>
    <s v="Repair"/>
    <d v="2026-05-17T00:00:00"/>
    <n v="16"/>
    <d v="2026-05-17T00:00:00"/>
    <m/>
    <m/>
    <m/>
    <m/>
    <m/>
    <x v="0"/>
  </r>
  <r>
    <d v="2026-05-16T00:00:00"/>
    <n v="2026"/>
    <s v="Nabhas Constructions"/>
    <s v="Channel Sales"/>
    <m/>
    <s v="Closed"/>
    <s v="Akshay Ravi "/>
    <n v="9819889031"/>
    <s v="PE16052601"/>
    <s v="Manufacturing Defect"/>
    <s v="Kovvuru"/>
    <s v="Andhra Predesh"/>
    <s v="No Visit"/>
    <x v="16"/>
    <n v="540"/>
    <s v="NSMP24112017399"/>
    <s v="24"/>
    <s v="11"/>
    <s v="G2TB"/>
    <s v="P2"/>
    <s v="Improper ribbon/tab lead soldering"/>
    <s v="CN / Replacement"/>
    <s v="Replacement"/>
    <d v="2026-05-16T00:00:00"/>
    <n v="0"/>
    <m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90346682"/>
    <s v="24"/>
    <s v="09"/>
    <s v="G2G"/>
    <s v="P4"/>
    <s v="P &amp; N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0403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47255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4255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8432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5729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2485"/>
    <s v="24"/>
    <s v="08"/>
    <s v="G2G"/>
    <s v="P4"/>
    <s v="P JB Cold Soldering &amp; Glass Breakage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2971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4797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0318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6783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4720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0709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80334400"/>
    <s v="24"/>
    <s v="08"/>
    <s v="G2G"/>
    <s v="P4"/>
    <s v="N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0385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4553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6839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2327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2488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4745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2058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80345335"/>
    <s v="24"/>
    <s v="08"/>
    <s v="G2G"/>
    <s v="P4"/>
    <s v="P JB Issue"/>
    <s v="JB Changed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AR"/>
    <x v="0"/>
    <n v="570"/>
    <s v="NSMI24080333042"/>
    <s v="24"/>
    <s v="08"/>
    <s v="G2G"/>
    <s v="P4"/>
    <s v="All JB Issue &amp; Glass Breakage"/>
    <s v="JB Changed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90352273"/>
    <s v="24"/>
    <s v="09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9440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2112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80345209"/>
    <s v="24"/>
    <s v="08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80336766"/>
    <s v="24"/>
    <s v="08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80342865"/>
    <s v="24"/>
    <s v="08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80338815"/>
    <s v="24"/>
    <s v="08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8504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682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869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683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6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2550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15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775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2903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3637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83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456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06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608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554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3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753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18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150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76366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533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099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0111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841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5926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89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89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743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114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2963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18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189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19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198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00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9865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83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1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272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36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394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984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77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965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95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699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98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81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955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40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354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43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398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479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2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166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543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1484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129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36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534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089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53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416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355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3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87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897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9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0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219398"/>
    <s v="24"/>
    <s v="07"/>
    <s v="G2G"/>
    <s v="P4"/>
    <s v="N JB Issue"/>
    <s v="JB Changed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1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061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12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1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2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777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889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778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495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492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526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50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058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011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667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687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1124"/>
    <s v="24"/>
    <s v="07"/>
    <s v="G2G"/>
    <s v="P4"/>
    <s v="P JB Issue"/>
    <s v="JB Changed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412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4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372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087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4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11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005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064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071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948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104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24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19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20T00:00:00"/>
    <n v="2026"/>
    <s v="Solar Square"/>
    <s v="OEM"/>
    <m/>
    <s v="Closed"/>
    <s v="Murali"/>
    <n v="9703345015"/>
    <s v="PE20052601"/>
    <s v="Backsheet dent"/>
    <s v="Pune"/>
    <s v="Maharashtra"/>
    <s v="No Visit"/>
    <x v="13"/>
    <n v="540"/>
    <s v="NSMP25090818043"/>
    <s v="25"/>
    <s v="09"/>
    <s v="G2TB"/>
    <s v="P2"/>
    <s v="Aesthetic Issue"/>
    <s v="Rejected"/>
    <s v="Rejected"/>
    <d v="2026-05-20T00:00:00"/>
    <n v="0"/>
    <s v="No Visit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AR"/>
    <x v="0"/>
    <n v="570"/>
    <s v="NSMI24060156523"/>
    <s v="24"/>
    <s v="06"/>
    <s v="G2G"/>
    <s v="P4"/>
    <s v="All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4290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411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AR"/>
    <x v="0"/>
    <n v="570"/>
    <s v="NSMI24060156528"/>
    <s v="24"/>
    <s v="06"/>
    <s v="G2G"/>
    <s v="P4"/>
    <s v="All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6156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23067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343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MR"/>
    <x v="0"/>
    <n v="570"/>
    <s v="NSMI24060156428"/>
    <s v="24"/>
    <s v="06"/>
    <s v="G2G"/>
    <s v="P4"/>
    <s v="P &amp; M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476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990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7197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6186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MR"/>
    <x v="0"/>
    <n v="570"/>
    <s v="NSMI24060156501"/>
    <s v="24"/>
    <s v="06"/>
    <s v="G2G"/>
    <s v="P4"/>
    <s v="P &amp; M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555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4545"/>
    <s v="24"/>
    <s v="05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3318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4575"/>
    <s v="24"/>
    <s v="05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801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82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56467"/>
    <s v="24"/>
    <s v="06"/>
    <s v="G2G"/>
    <s v="P4"/>
    <s v="P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98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455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053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6502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384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3290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3238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57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850"/>
    <s v="24"/>
    <s v="05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580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81524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23852"/>
    <s v="24"/>
    <s v="06"/>
    <s v="G2G"/>
    <s v="P4"/>
    <s v="No Issue Found &amp; Glass Breakage"/>
    <s v="Found OK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09399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9302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8379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834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8377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125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559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70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719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2519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34579"/>
    <s v="24"/>
    <s v="06"/>
    <s v="G2G"/>
    <s v="P4"/>
    <s v="No Issue Found"/>
    <s v="Found OK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27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13429"/>
    <s v="24"/>
    <s v="06"/>
    <s v="G2G"/>
    <s v="P4"/>
    <s v="P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1573"/>
    <s v="24"/>
    <s v="05"/>
    <s v="G2G"/>
    <s v="P4"/>
    <s v="P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2410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4944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34480"/>
    <s v="24"/>
    <s v="06"/>
    <s v="G2G"/>
    <s v="P4"/>
    <s v="No Issue Found"/>
    <s v="Found OK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3051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7360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0467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04854"/>
    <s v="24"/>
    <s v="06"/>
    <s v="G2G"/>
    <s v="P4"/>
    <s v="P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2819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7169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894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8286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4437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442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522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4962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3383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9156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438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465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2073"/>
    <s v="24"/>
    <s v="05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84083"/>
    <s v="24"/>
    <s v="06"/>
    <s v="G2G"/>
    <s v="P4"/>
    <s v="P &amp; 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55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56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4143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6797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4174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3737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578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17734"/>
    <s v="24"/>
    <s v="06"/>
    <s v="G2G"/>
    <s v="P4"/>
    <s v="P &amp; 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833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94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93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1304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130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18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22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020"/>
    <s v="24"/>
    <s v="07"/>
    <s v="G2G"/>
    <s v="P4"/>
    <s v="N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17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06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24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4643"/>
    <s v="24"/>
    <s v="07"/>
    <s v="G2G"/>
    <s v="P4"/>
    <s v="P &amp; N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16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84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7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80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448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175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936"/>
    <s v="24"/>
    <s v="07"/>
    <s v="G2G"/>
    <s v="P4"/>
    <s v="N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056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058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474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813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282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261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78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82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64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6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35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142"/>
    <s v="24"/>
    <s v="07"/>
    <s v="G2G"/>
    <s v="P4"/>
    <s v="N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130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18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32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536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610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86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56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AS"/>
    <x v="1"/>
    <n v="570"/>
    <s v="NSMI24060075390"/>
    <s v="24"/>
    <s v="06"/>
    <s v="G2G"/>
    <s v="P4"/>
    <s v="All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989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365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112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115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147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280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109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653"/>
    <s v="24"/>
    <s v="06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90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82839"/>
    <s v="24"/>
    <s v="06"/>
    <s v="G2G"/>
    <s v="P4"/>
    <s v="P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0205"/>
    <s v="24"/>
    <s v="05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220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85886"/>
    <s v="24"/>
    <s v="06"/>
    <s v="G2G"/>
    <s v="P4"/>
    <s v="N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9805"/>
    <s v="24"/>
    <s v="06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095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6139"/>
    <s v="24"/>
    <s v="05"/>
    <s v="G2G"/>
    <s v="P4"/>
    <s v="N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547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0035"/>
    <s v="24"/>
    <s v="05"/>
    <s v="G2G"/>
    <s v="P4"/>
    <s v="P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718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581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4437"/>
    <s v="24"/>
    <s v="05"/>
    <s v="G2G"/>
    <s v="P4"/>
    <s v="P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677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681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9054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9039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8994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124090350385"/>
    <s v="24"/>
    <s v="09"/>
    <s v="G2G"/>
    <s v="P4"/>
    <s v="No Issue Found"/>
    <s v="Found OK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80340876"/>
    <s v="24"/>
    <s v="08"/>
    <s v="G2G"/>
    <s v="P4"/>
    <s v="P &amp; 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0237"/>
    <s v="24"/>
    <s v="09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2080"/>
    <s v="24"/>
    <s v="08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4141"/>
    <s v="24"/>
    <s v="08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9569"/>
    <s v="24"/>
    <s v="08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5973"/>
    <s v="24"/>
    <s v="08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80336569"/>
    <s v="24"/>
    <s v="08"/>
    <s v="G2G"/>
    <s v="P4"/>
    <s v="P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344"/>
    <s v="24"/>
    <s v="05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9057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845"/>
    <s v="24"/>
    <s v="06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802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758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735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859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29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51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31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310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0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163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744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78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79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81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9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6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0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924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89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899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78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6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67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120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58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04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32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5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59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646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2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778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2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80850"/>
    <s v="24"/>
    <s v="07"/>
    <s v="G2G"/>
    <s v="P4"/>
    <s v="No Issue Found"/>
    <s v="Found OK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84693"/>
    <s v="24"/>
    <s v="07"/>
    <s v="G2G"/>
    <s v="P4"/>
    <s v="No Issue Found"/>
    <s v="Found OK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5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5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7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7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2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54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56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56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28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81935"/>
    <s v="24"/>
    <s v="07"/>
    <s v="G2G"/>
    <s v="P4"/>
    <s v="P JB Issue"/>
    <s v="JB Changed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81794"/>
    <s v="24"/>
    <s v="07"/>
    <s v="G2G"/>
    <s v="P4"/>
    <s v="P JB Issue"/>
    <s v="JB Changed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50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71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244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77774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697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954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7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74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025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558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4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63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208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03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66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632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63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764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4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270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0580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7230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589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15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26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06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77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778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523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87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875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316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235950"/>
    <s v="24"/>
    <s v="07"/>
    <s v="G2G"/>
    <s v="P4"/>
    <s v="All JB Issue &amp; JB Reverse"/>
    <s v="JB Changed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298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17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51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307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782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8783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8776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9223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5067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872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0155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MS"/>
    <x v="1"/>
    <n v="575"/>
    <s v="NSMI24070223696"/>
    <s v="24"/>
    <s v="07"/>
    <s v="G2G"/>
    <s v="P4"/>
    <s v="N &amp; M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155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1571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38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3522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692"/>
    <s v="23"/>
    <s v="05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91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22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84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72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7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5764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48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76911"/>
    <s v="23"/>
    <s v="04"/>
    <s v="G2B"/>
    <s v="P2"/>
    <s v="No Issue Found"/>
    <s v="Found OK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7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71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293"/>
    <s v="23"/>
    <s v="04"/>
    <s v="G2B"/>
    <s v="P2"/>
    <s v="P JB Issue"/>
    <s v="JB Changed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5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08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5767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7000"/>
    <s v="23"/>
    <s v="04"/>
    <s v="G2B"/>
    <s v="P2"/>
    <s v="P JB Issue"/>
    <s v="JB Changed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AS"/>
    <x v="1"/>
    <n v="540"/>
    <s v="NSMP2304068647"/>
    <s v="23"/>
    <s v="04"/>
    <s v="G2B"/>
    <s v="P2"/>
    <s v="All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MS"/>
    <x v="1"/>
    <n v="540"/>
    <s v="NSMP2304068669"/>
    <s v="23"/>
    <s v="04"/>
    <s v="G2B"/>
    <s v="P2"/>
    <s v="P &amp; M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7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21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5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77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1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17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674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331"/>
    <s v="23"/>
    <s v="04"/>
    <s v="G2B"/>
    <s v="P2"/>
    <s v="P JB Issue"/>
    <s v="JB Changed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60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92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98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5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7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765"/>
    <s v="23"/>
    <s v="05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9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67127"/>
    <s v="23"/>
    <s v="04"/>
    <s v="G2B"/>
    <s v="P2"/>
    <s v="No Issue Found"/>
    <s v="Found OK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8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792"/>
    <s v="23"/>
    <s v="05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781"/>
    <s v="23"/>
    <s v="05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2547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5221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682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62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5335"/>
    <s v="24"/>
    <s v="07"/>
    <s v="G2G"/>
    <s v="P4"/>
    <s v="P JB Issue"/>
    <s v="JB Changed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50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77955"/>
    <s v="24"/>
    <s v="07"/>
    <s v="G2G"/>
    <s v="P4"/>
    <s v="No Issue Found"/>
    <s v="Found OK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682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693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69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77691"/>
    <s v="24"/>
    <s v="07"/>
    <s v="G2G"/>
    <s v="P4"/>
    <s v="No Issue Found"/>
    <s v="Found OK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MR"/>
    <x v="0"/>
    <n v="575"/>
    <s v="NSMI24070226024"/>
    <s v="24"/>
    <s v="07"/>
    <s v="G2G"/>
    <s v="P4"/>
    <s v="M JB Issue"/>
    <s v="JB Changed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5955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589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382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77689"/>
    <s v="24"/>
    <s v="07"/>
    <s v="G2G"/>
    <s v="P4"/>
    <s v="No Issue Found"/>
    <s v="Found OK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42931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9738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723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9169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2596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414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657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722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S"/>
    <x v="1"/>
    <n v="575"/>
    <s v="NSMI24070179718"/>
    <s v="24"/>
    <s v="07"/>
    <s v="G2G"/>
    <s v="P4"/>
    <s v="All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458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444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486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72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66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66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01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76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666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617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871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838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4598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8613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124070221203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197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172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171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523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9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4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70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177513"/>
    <s v="24"/>
    <s v="07"/>
    <s v="G2G"/>
    <s v="P4"/>
    <s v="All JB Issue &amp; JB Reverse"/>
    <s v="JB Changed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22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14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1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720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211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362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78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640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57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282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609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571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639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084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27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222270"/>
    <s v="24"/>
    <s v="07"/>
    <s v="G2G"/>
    <s v="P4"/>
    <s v="No Issue Found"/>
    <s v="Found OK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525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184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6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435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017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9190"/>
    <s v="24"/>
    <s v="07"/>
    <s v="G2G"/>
    <s v="P4"/>
    <s v="P &amp; 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955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622"/>
    <s v="24"/>
    <s v="07"/>
    <s v="G2G"/>
    <s v="P4"/>
    <s v="P &amp; 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630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656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29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803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13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047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78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61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528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79370"/>
    <s v="24"/>
    <s v="07"/>
    <s v="G2G"/>
    <s v="P4"/>
    <s v="No Issue Found"/>
    <s v="Found OK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183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259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312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84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17143"/>
    <s v="24"/>
    <s v="07"/>
    <s v="G2G"/>
    <s v="P4"/>
    <s v="P JB Issue"/>
    <s v="JB Changed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91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934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732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064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222196"/>
    <s v="24"/>
    <s v="07"/>
    <s v="G2G"/>
    <s v="P4"/>
    <s v="No Issue Found"/>
    <s v="Found OK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5153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168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360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56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56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711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53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445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71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470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80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69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322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377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222223"/>
    <s v="24"/>
    <s v="07"/>
    <s v="G2G"/>
    <s v="P4"/>
    <s v="No Issue Found"/>
    <s v="Found OK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406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657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201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018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22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00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0036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128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934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75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803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591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8980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627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0654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38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23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58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70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x v="1"/>
    <n v="540"/>
    <s v="NSMP2304076121"/>
    <s v="23"/>
    <s v="04"/>
    <s v="G2B"/>
    <s v="P2"/>
    <s v="P &amp; 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2727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53961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20239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44040"/>
    <s v="23"/>
    <s v="04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44126"/>
    <s v="23"/>
    <s v="04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6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279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854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2772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92799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14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2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397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42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52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79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6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47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740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66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9265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3418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89613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49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89547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75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43855"/>
    <s v="23"/>
    <s v="04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8806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166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5079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596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56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02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142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632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420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600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389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9178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9174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6762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445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7394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347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7250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2568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57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8895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70161"/>
    <s v="23"/>
    <s v="04"/>
    <s v="G2B"/>
    <s v="P2"/>
    <s v="No Issue Found"/>
    <s v="Found OK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68765"/>
    <s v="23"/>
    <s v="04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804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85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86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556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5817"/>
    <s v="23"/>
    <s v="05"/>
    <s v="G2B"/>
    <s v="P2"/>
    <s v="No Issue Found"/>
    <s v="Found OK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5830"/>
    <s v="23"/>
    <s v="05"/>
    <s v="G2B"/>
    <s v="P2"/>
    <s v="No Issue Found"/>
    <s v="Found OK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3020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6809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21449"/>
    <s v="23"/>
    <s v="05"/>
    <s v="G2B"/>
    <s v="P2"/>
    <s v="N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6633"/>
    <s v="23"/>
    <s v="05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68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3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0073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27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3075"/>
    <s v="23"/>
    <s v="05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3057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30668"/>
    <s v="23"/>
    <s v="05"/>
    <s v="G2B"/>
    <s v="P2"/>
    <s v="No Issue Found"/>
    <s v="Found OK"/>
    <s v="Repair"/>
    <d v="2026-05-25T00:00:00"/>
    <n v="19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PS"/>
    <x v="1"/>
    <n v="450"/>
    <s v="NSMP2205013074"/>
    <s v="22"/>
    <s v="05"/>
    <s v="G2B"/>
    <s v="P2"/>
    <s v="P JB Cold Soldering"/>
    <s v="Soldering"/>
    <s v="Repair"/>
    <d v="2026-05-25T00:00:00"/>
    <n v="2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x v="5"/>
    <n v="450"/>
    <s v="NSMP2205013060"/>
    <s v="22"/>
    <s v="05"/>
    <s v="G2B"/>
    <s v="P2"/>
    <s v="No Issue Found"/>
    <s v="Found OK"/>
    <s v="Repair"/>
    <d v="2026-05-25T00:00:00"/>
    <n v="2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x v="5"/>
    <n v="450"/>
    <s v="NSMP2205012969"/>
    <s v="22"/>
    <s v="05"/>
    <s v="G2B"/>
    <s v="P2"/>
    <s v="No Issue Found"/>
    <s v="Found OK"/>
    <s v="Repair"/>
    <d v="2026-05-25T00:00:00"/>
    <n v="2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NS"/>
    <x v="1"/>
    <n v="450"/>
    <s v="NSMP2205013078"/>
    <s v="22"/>
    <s v="05"/>
    <s v="G2B"/>
    <s v="P2"/>
    <s v="N JB Cold Soldering"/>
    <s v="Soldering"/>
    <s v="Repair"/>
    <d v="2026-05-25T00:00:00"/>
    <n v="2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x v="5"/>
    <n v="450"/>
    <s v="NSMP2205013081"/>
    <s v="22"/>
    <s v="05"/>
    <s v="G2B"/>
    <s v="P2"/>
    <s v="No Issue Found"/>
    <s v="Found OK"/>
    <s v="Repair"/>
    <d v="2026-05-25T00:00:00"/>
    <n v="2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16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54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362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2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26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578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312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384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682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2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39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394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590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303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7024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65377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84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168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14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726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54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84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77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BUSBAR OPEN"/>
    <x v="17"/>
    <n v="575"/>
    <s v="NSMI24070203906"/>
    <s v="24"/>
    <s v="07"/>
    <s v="G2G"/>
    <s v="P4"/>
    <s v="String Busbar Open"/>
    <s v="Inspection"/>
    <s v="WIP"/>
    <m/>
    <s v=""/>
    <d v="2026-05-25T00:00:00"/>
    <m/>
    <m/>
    <m/>
    <m/>
    <m/>
    <x v="1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634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17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681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1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486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56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686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685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45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18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812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863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6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014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03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138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87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19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89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174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387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0891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392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760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02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9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065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2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33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3537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346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367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16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6T00:00:00"/>
    <n v="2026"/>
    <s v="SUNRISE TECHNOLOGIES"/>
    <s v="Channel Sales"/>
    <m/>
    <s v="Closed"/>
    <s v="MURALI NARAYANA RAO KURAPATI"/>
    <n v="9820541899"/>
    <s v="PE06052603"/>
    <s v="Manufacturing Defect"/>
    <s v="Hyderabad"/>
    <s v="Telangana"/>
    <s v="No Visit"/>
    <x v="7"/>
    <n v="545"/>
    <s v="NSMP2310749075"/>
    <s v="23"/>
    <s v="10"/>
    <s v="G2B"/>
    <s v="P2"/>
    <s v="Tab lead Burn"/>
    <s v="CN"/>
    <s v="Replacement"/>
    <d v="2026-05-26T00:00:00"/>
    <n v="20"/>
    <s v="No Visit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62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627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76101"/>
    <s v="23"/>
    <s v="04"/>
    <s v="G2B"/>
    <s v="P2"/>
    <s v="N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12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610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628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03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9939"/>
    <s v="23"/>
    <s v="05"/>
    <s v="G2B"/>
    <s v="P2"/>
    <s v="N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75999"/>
    <s v="23"/>
    <s v="05"/>
    <s v="G2B"/>
    <s v="P2"/>
    <s v="N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0051"/>
    <s v="23"/>
    <s v="05"/>
    <s v="G2B"/>
    <s v="P2"/>
    <s v="N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060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046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07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068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106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12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572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584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255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8865"/>
    <s v="23"/>
    <s v="05"/>
    <s v="G2B"/>
    <s v="P2"/>
    <s v="P JB Issue"/>
    <s v="JB Changed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650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8834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R"/>
    <x v="0"/>
    <n v="540"/>
    <s v="NSMP2305129490"/>
    <s v="23"/>
    <s v="05"/>
    <s v="G2B"/>
    <s v="P2"/>
    <s v="P &amp; N JB Issue"/>
    <s v="JB Changed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624"/>
    <s v="23"/>
    <s v="05"/>
    <s v="G2B"/>
    <s v="P2"/>
    <s v="P JB Issue"/>
    <s v="JB Changed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21845"/>
    <s v="23"/>
    <s v="05"/>
    <s v="G2B"/>
    <s v="P2"/>
    <s v="N JB Issue"/>
    <s v="JB Changed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077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123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89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20T00:00:00"/>
    <n v="2026"/>
    <s v="TRUE SUN TRADING COMPANY"/>
    <s v="Channel Sales"/>
    <m/>
    <s v="Closed"/>
    <s v="Sarath Ananda"/>
    <n v="8848944464"/>
    <s v="PE20052603"/>
    <s v="Low generation"/>
    <s v="TRIVANDRUM"/>
    <s v="Kerala"/>
    <s v="PS"/>
    <x v="1"/>
    <n v="545"/>
    <s v="NSMP2211206434"/>
    <s v="22"/>
    <s v="11"/>
    <s v="G2B"/>
    <s v="P2"/>
    <s v="P JB Cold Soldering"/>
    <s v="Soldering"/>
    <s v="Repair"/>
    <d v="2026-05-26T00:00:00"/>
    <n v="6"/>
    <d v="2026-05-26T00:00:00"/>
    <m/>
    <m/>
    <m/>
    <m/>
    <m/>
    <x v="0"/>
  </r>
  <r>
    <d v="2026-05-07T00:00:00"/>
    <n v="2026"/>
    <s v="TRUE SUN TRADING COMPANY"/>
    <s v="Channel Sales"/>
    <m/>
    <s v="Closed"/>
    <s v="Sarath Ananda"/>
    <n v="8848944464"/>
    <s v="PE07052602"/>
    <s v="Low VOC"/>
    <s v="Thiruvalla "/>
    <s v="Kerala"/>
    <s v="PS"/>
    <x v="1"/>
    <n v="515"/>
    <s v="NSMP2303564668"/>
    <s v="23"/>
    <s v="03"/>
    <s v="G2B"/>
    <s v="P2"/>
    <s v="P JB Cold Soldering"/>
    <s v="Soldering"/>
    <s v="Repair"/>
    <d v="2026-05-26T00:00:00"/>
    <n v="19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9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849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80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43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718"/>
    <s v="24"/>
    <s v="07"/>
    <s v="G2G"/>
    <s v="P4"/>
    <s v="P &amp; 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306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7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76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740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761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680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76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723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7820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7768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35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33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481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108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170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9052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051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61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67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041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274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04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606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600"/>
    <s v="24"/>
    <s v="07"/>
    <s v="G2G"/>
    <s v="P4"/>
    <s v="P &amp; 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5815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19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57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698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688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661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986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11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146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90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87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198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187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4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68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39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21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8335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07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075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077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027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76970"/>
    <s v="24"/>
    <s v="07"/>
    <s v="G2G"/>
    <s v="P4"/>
    <s v="N JB Issue"/>
    <s v="JB Changed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452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8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1669"/>
    <s v="24"/>
    <s v="07"/>
    <s v="G2G"/>
    <s v="P4"/>
    <s v="P JB Issue"/>
    <s v="JB Changed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116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76600"/>
    <s v="24"/>
    <s v="07"/>
    <s v="G2G"/>
    <s v="P4"/>
    <s v="P &amp; 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70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239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280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8454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05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70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11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308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644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6018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3181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531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506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301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480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46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488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2714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257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635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59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781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71743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30637"/>
    <s v="23"/>
    <s v="05"/>
    <s v="G2B"/>
    <s v="P2"/>
    <s v="N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AR"/>
    <x v="0"/>
    <n v="540"/>
    <s v="NSMP2305131810"/>
    <s v="23"/>
    <s v="05"/>
    <s v="G2B"/>
    <s v="P2"/>
    <s v="All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1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34746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40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3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586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45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7352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46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862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6822"/>
    <s v="23"/>
    <s v="05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1059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8546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88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x v="1"/>
    <n v="540"/>
    <s v="NSMP2305129986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978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6597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4827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5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4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98528"/>
    <s v="23"/>
    <s v="05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2343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28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44081"/>
    <s v="23"/>
    <s v="04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8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6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5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71714"/>
    <s v="23"/>
    <s v="05"/>
    <s v="G2B"/>
    <s v="P2"/>
    <s v="N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2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13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6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08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1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0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19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8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14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5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3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9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9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99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94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890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R"/>
    <x v="0"/>
    <n v="540"/>
    <s v="NSMP2305126703"/>
    <s v="23"/>
    <s v="05"/>
    <s v="G2B"/>
    <s v="P2"/>
    <s v="P &amp; N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3358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3414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3402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82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41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8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0335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6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68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2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0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22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59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60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6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7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5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4787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92363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3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102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x v="1"/>
    <n v="540"/>
    <s v="NSMP2305130059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0061"/>
    <s v="23"/>
    <s v="05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5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58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49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2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71356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3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26438"/>
    <s v="23"/>
    <s v="05"/>
    <s v="G2B"/>
    <s v="P2"/>
    <s v="N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722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574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879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x v="1"/>
    <n v="540"/>
    <s v="NSMP2305129429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0064"/>
    <s v="23"/>
    <s v="05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518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3-28T00:00:00"/>
    <n v="2026"/>
    <s v="TRUE SUN TRADING COMPANY"/>
    <s v="Channel Sales"/>
    <m/>
    <s v="Closed"/>
    <s v="Joel Jacob"/>
    <n v="7902222180"/>
    <s v="PE28032601"/>
    <s v="Low VOC"/>
    <s v="Pattoor"/>
    <s v="Kerala"/>
    <s v="PS"/>
    <x v="5"/>
    <n v="515"/>
    <s v="NSMP2303564675"/>
    <s v="23"/>
    <s v="03"/>
    <s v="G2B"/>
    <s v="P2"/>
    <s v="No Issue Found"/>
    <s v="Found OK"/>
    <s v="Repair"/>
    <d v="2026-05-27T00:00:00"/>
    <n v="60"/>
    <d v="2026-05-27T00:00:00"/>
    <m/>
    <m/>
    <m/>
    <m/>
    <m/>
    <x v="0"/>
  </r>
  <r>
    <d v="2026-05-25T00:00:00"/>
    <n v="2026"/>
    <s v="TRUE SUN TRADING COMPANY"/>
    <s v="Channel Sales"/>
    <m/>
    <s v="Closed"/>
    <s v="Joel Jacob"/>
    <n v="7902222180"/>
    <s v="PE25052601"/>
    <s v="Low generation"/>
    <s v="Chandanappally PTA"/>
    <s v="Kerala"/>
    <s v="PS"/>
    <x v="1"/>
    <n v="515"/>
    <s v="NSMP2303561185"/>
    <s v="23"/>
    <s v="03"/>
    <s v="G2B"/>
    <s v="P2"/>
    <s v="P JB Cold Soldering"/>
    <s v="Soldering"/>
    <s v="Repair"/>
    <d v="2026-05-27T00:00:00"/>
    <n v="2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4517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813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55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495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05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17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43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75171"/>
    <s v="23"/>
    <s v="04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5172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7492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6375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5304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7494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65859"/>
    <s v="23"/>
    <s v="04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4643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4579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07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20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63520"/>
    <s v="23"/>
    <s v="04"/>
    <s v="G2B"/>
    <s v="P2"/>
    <s v="N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6752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06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148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94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01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226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9354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52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56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6817"/>
    <s v="23"/>
    <s v="05"/>
    <s v="G2B"/>
    <s v="P2"/>
    <s v="N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202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158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06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937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8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52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7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53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1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01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4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20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9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9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00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153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84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0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33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47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22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4626"/>
    <s v="23"/>
    <s v="05"/>
    <s v="G2B"/>
    <s v="P2"/>
    <s v="N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39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7632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891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81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45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x v="5"/>
    <n v="540"/>
    <s v="NSMP2305131449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x v="5"/>
    <n v="540"/>
    <s v="NSMP2305174130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x v="5"/>
    <n v="540"/>
    <s v="NSMP2305175302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x v="5"/>
    <n v="540"/>
    <s v="NSMP2305133928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917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933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87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48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22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90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641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75627"/>
    <s v="23"/>
    <s v="05"/>
    <s v="G2B"/>
    <s v="P2"/>
    <s v="N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97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1805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45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80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83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3737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26T00:00:00"/>
    <n v="2026"/>
    <s v="TRUE SUN TRADING COMPANY"/>
    <s v="Channel Sales"/>
    <m/>
    <s v="Closed"/>
    <s v="Sarath Ananda"/>
    <n v="8848944464"/>
    <s v="PE26052603"/>
    <s v="Low VOC"/>
    <s v="Manakkakadavu"/>
    <s v="Kerala"/>
    <s v="MR"/>
    <x v="0"/>
    <n v="540"/>
    <s v="NSMP25060394048"/>
    <s v="25"/>
    <s v="06"/>
    <s v="G2TB"/>
    <s v="P2"/>
    <s v="M JB Issue"/>
    <s v="JB Changed"/>
    <s v="Repair"/>
    <d v="2026-05-28T00:00:00"/>
    <n v="2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28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2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7638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9946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66221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984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063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3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407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65399"/>
    <s v="24"/>
    <s v="07"/>
    <s v="G2G"/>
    <s v="P4"/>
    <s v="N JB Issue"/>
    <s v="JB Changed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1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65330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393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07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62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7612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90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0728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0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78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65461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3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772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27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52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57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66093"/>
    <s v="24"/>
    <s v="07"/>
    <s v="G2G"/>
    <s v="P4"/>
    <s v="P JB Issue"/>
    <s v="JB Changed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65999"/>
    <s v="24"/>
    <s v="07"/>
    <s v="G2G"/>
    <s v="P4"/>
    <s v="N JB Issue"/>
    <s v="JB Changed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402"/>
    <s v="24"/>
    <s v="07"/>
    <s v="G2G"/>
    <s v="P4"/>
    <s v="P &amp; 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462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514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26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893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519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522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41486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4150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883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878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52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75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75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962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3459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0064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4212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88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47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760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930"/>
    <s v="24"/>
    <s v="07"/>
    <s v="G2G"/>
    <s v="P4"/>
    <s v="P &amp; 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956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4006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577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4763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471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42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0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65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623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40151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65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18T00:00:00"/>
    <n v="2026"/>
    <s v="Solar Square"/>
    <s v="OEM"/>
    <m/>
    <s v="Closed"/>
    <s v="Murali"/>
    <n v="9703345015"/>
    <s v="PE18052601"/>
    <s v="Low VOC"/>
    <s v="Nagpur"/>
    <s v="Maharashtra"/>
    <s v="N Jb change "/>
    <x v="0"/>
    <n v="540"/>
    <s v="NSMP25022718107"/>
    <s v="25"/>
    <s v="02"/>
    <s v="G2TB"/>
    <s v="P2"/>
    <s v="N JB Issue"/>
    <s v="JB Changed"/>
    <s v="Repair"/>
    <d v="2026-05-29T00:00:00"/>
    <n v="11"/>
    <d v="2026-05-29T00:00:00"/>
    <m/>
    <m/>
    <m/>
    <m/>
    <m/>
    <x v="0"/>
  </r>
  <r>
    <d v="2026-05-18T00:00:00"/>
    <n v="2026"/>
    <s v="Solar Square"/>
    <s v="OEM"/>
    <m/>
    <s v="Closed"/>
    <s v="Murali"/>
    <n v="9703345015"/>
    <s v="PE18052601"/>
    <s v="Low VOC"/>
    <s v="Nagpur"/>
    <s v="Maharashtra"/>
    <s v="P &amp; M jb change "/>
    <x v="0"/>
    <n v="540"/>
    <s v="NSMP25022719752"/>
    <s v="25"/>
    <s v="02"/>
    <s v="G2TB"/>
    <s v="P2"/>
    <s v="P &amp; M JB Issue "/>
    <s v="JB Changed"/>
    <s v="Repair"/>
    <d v="2026-05-29T00:00:00"/>
    <n v="11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N Jb change"/>
    <x v="0"/>
    <n v="540"/>
    <s v="NSMP25050263002"/>
    <s v="25"/>
    <s v="05"/>
    <s v="G2TB"/>
    <s v="P2"/>
    <s v="N JB Issue"/>
    <s v="JB Changed"/>
    <s v="Repair"/>
    <d v="2026-05-29T00:00:00"/>
    <n v="3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P &amp; M jb change"/>
    <x v="0"/>
    <n v="540"/>
    <s v="NSMP25050262853"/>
    <s v="25"/>
    <s v="05"/>
    <s v="G2TB"/>
    <s v="P2"/>
    <s v="P &amp; M JB Issue "/>
    <s v="JB Changed"/>
    <s v="Repair"/>
    <d v="2026-05-29T00:00:00"/>
    <n v="3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All jb change"/>
    <x v="0"/>
    <n v="540"/>
    <s v="NSMP25050263000"/>
    <s v="25"/>
    <s v="05"/>
    <s v="G2TB"/>
    <s v="P2"/>
    <s v="All JB Issue"/>
    <s v="JB Changed"/>
    <s v="Repair"/>
    <d v="2026-05-29T00:00:00"/>
    <n v="3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P &amp; M jb change"/>
    <x v="0"/>
    <n v="540"/>
    <s v="NSMP25050262998"/>
    <s v="25"/>
    <s v="05"/>
    <s v="G2TB"/>
    <s v="P2"/>
    <s v="P &amp; M JB Issue "/>
    <s v="JB Changed"/>
    <s v="Repair"/>
    <d v="2026-05-29T00:00:00"/>
    <n v="3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All jb change"/>
    <x v="0"/>
    <n v="540"/>
    <s v="NSMP25050260829"/>
    <s v="25"/>
    <s v="05"/>
    <s v="G2TB"/>
    <s v="P2"/>
    <s v="All JB Issue"/>
    <s v="JB Changed"/>
    <s v="Repair"/>
    <d v="2026-05-29T00:00:00"/>
    <n v="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8359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9009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998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38136"/>
    <s v="23"/>
    <s v="04"/>
    <s v="G2B"/>
    <s v="P2"/>
    <s v="N JB Issue"/>
    <s v="JB Changed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45667"/>
    <s v="23"/>
    <s v="04"/>
    <s v="G2B"/>
    <s v="P2"/>
    <s v="N JB Issue"/>
    <s v="JB Changed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5672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660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693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670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63808"/>
    <s v="23"/>
    <s v="04"/>
    <s v="G2B"/>
    <s v="P2"/>
    <s v="N JB Issue"/>
    <s v="JB Changed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0177"/>
    <s v="23"/>
    <s v="04"/>
    <s v="G2B"/>
    <s v="P2"/>
    <s v="P JB Issue"/>
    <s v="JB Changed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11194"/>
    <s v="23"/>
    <s v="04"/>
    <s v="G2B"/>
    <s v="P2"/>
    <s v="P JB Issue"/>
    <s v="JB Changed"/>
    <s v="Repair"/>
    <d v="2026-05-29T00:00:00"/>
    <n v="23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289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13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236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911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79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95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68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68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727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01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78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448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393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431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64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19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23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23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76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67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69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96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4656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40927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4083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537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576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29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415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417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673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57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5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849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82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85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462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41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93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9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437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86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89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86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1835"/>
    <s v="24"/>
    <s v="07"/>
    <s v="G2G"/>
    <s v="P4"/>
    <s v="P &amp; 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815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24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39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172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78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04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16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07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3983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859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289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3153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218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950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934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2433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352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937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492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0814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76265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717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2776"/>
    <s v="23"/>
    <s v="05"/>
    <s v="G2B"/>
    <s v="P2"/>
    <s v="P JB Issue"/>
    <s v="JB Changed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872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73959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22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23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24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10213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10187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469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05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421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5147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5142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347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361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938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73275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43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86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90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62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841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0812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050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048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903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764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861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441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656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574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654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2585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582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527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450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4147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102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100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136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147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098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476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73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80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35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32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35237"/>
    <s v="23"/>
    <s v="04"/>
    <s v="G2B"/>
    <s v="P2"/>
    <s v="P JB Issue"/>
    <s v="JB Changed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51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3900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4121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21855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628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09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53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10958"/>
    <s v="23"/>
    <s v="04"/>
    <s v="G2B"/>
    <s v="P2"/>
    <s v="N JB Issue"/>
    <s v="JB Changed"/>
    <s v="Repair"/>
    <d v="2026-05-30T00:00:00"/>
    <n v="24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MR"/>
    <x v="0"/>
    <n v="540"/>
    <s v="NSMP25032752084"/>
    <s v="25"/>
    <s v="03"/>
    <s v="G2TB"/>
    <s v="P2"/>
    <s v="P &amp; M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AR"/>
    <x v="0"/>
    <n v="540"/>
    <s v="NSMP25032752088"/>
    <s v="25"/>
    <s v="03"/>
    <s v="G2TB"/>
    <s v="P2"/>
    <s v="All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AR"/>
    <x v="0"/>
    <n v="540"/>
    <s v="NSMP25032752086"/>
    <s v="25"/>
    <s v="03"/>
    <s v="G2TB"/>
    <s v="P2"/>
    <s v="All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NR"/>
    <x v="0"/>
    <n v="540"/>
    <s v="NSMP25032740363"/>
    <s v="25"/>
    <s v="03"/>
    <s v="G2TB"/>
    <s v="P2"/>
    <s v="P &amp; N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NR"/>
    <x v="0"/>
    <n v="540"/>
    <s v="NSMP25032740364"/>
    <s v="25"/>
    <s v="03"/>
    <s v="G2TB"/>
    <s v="P2"/>
    <s v="P &amp; N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Ok"/>
    <x v="5"/>
    <n v="540"/>
    <s v="NSMP25032752089"/>
    <s v="25"/>
    <s v="03"/>
    <s v="G2TB"/>
    <s v="P2"/>
    <s v="No Issue Found"/>
    <s v="Found OK"/>
    <s v="Repair"/>
    <d v="2026-05-30T00:00:00"/>
    <n v="5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29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23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06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3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291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40292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53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4491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4428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872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759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307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323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836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661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069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47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77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75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6623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528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809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7701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6137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533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44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45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2969"/>
    <s v="24"/>
    <s v="07"/>
    <s v="G2G"/>
    <s v="P4"/>
    <s v="P &amp; 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431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506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543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65886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49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785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805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130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158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1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2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716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305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64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215192"/>
    <s v="24"/>
    <s v="07"/>
    <s v="G2G"/>
    <s v="P4"/>
    <s v="N JB Issue"/>
    <s v="JB Changed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62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94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6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4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291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120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77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83138"/>
    <s v="24"/>
    <s v="07"/>
    <s v="G2G"/>
    <s v="P4"/>
    <s v="P JB Issue"/>
    <s v="JB Changed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3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2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421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61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4964"/>
    <s v="24"/>
    <s v="07"/>
    <s v="G2G"/>
    <s v="P4"/>
    <s v="P &amp; 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5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76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08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054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088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853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865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725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72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1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020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36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34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7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71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09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78115"/>
    <s v="24"/>
    <s v="07"/>
    <s v="G2G"/>
    <s v="P4"/>
    <s v="P JB Issue"/>
    <s v="JB Changed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48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521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87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478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424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41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754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87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8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7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729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52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30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7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79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55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129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148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71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05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63"/>
    <s v="24"/>
    <s v="07"/>
    <s v="G2G"/>
    <s v="P4"/>
    <s v="P JB Cold Soldering &amp; Back Glass Breakage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27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86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340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395"/>
    <s v="24"/>
    <s v="07"/>
    <s v="G2G"/>
    <s v="P4"/>
    <s v="P &amp; 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86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884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242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S"/>
    <x v="1"/>
    <n v="575"/>
    <s v="NSMI24070166252"/>
    <s v="24"/>
    <s v="07"/>
    <s v="G2G"/>
    <s v="P4"/>
    <s v="All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71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73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029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7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9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92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5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06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9175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11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918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84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18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16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8034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5988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79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2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50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10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07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6920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37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GLASS BROKEN MODULE"/>
    <x v="6"/>
    <n v="575"/>
    <s v="NSMI24070185566"/>
    <s v="24"/>
    <s v="07"/>
    <s v="G2G"/>
    <s v="P4"/>
    <s v="Glass Breakage"/>
    <s v="Inspection"/>
    <s v="Repair"/>
    <d v="2026-05-31T00:00:00"/>
    <n v="30"/>
    <d v="2026-05-31T00:00:00"/>
    <m/>
    <m/>
    <m/>
    <m/>
    <m/>
    <x v="0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DefectPivot" cacheId="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16" fieldListSortAscending="0" mdxSubqueries="0" applyNumberFormats="0" applyBorderFormats="0" applyFontFormats="0" applyPatternFormats="0" applyAlignmentFormats="0" applyWidthHeightFormats="1" r:id="rId1">
  <location ref="A5:B19" firstHeaderRow="1" firstDataRow="1" firstDataCol="1" rowPageCount="1" colPageCount="1"/>
  <pivotFields count="32">
    <pivotField showDropDowns="1" compact="1" numFmtId="15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22">
        <item t="data" sd="1" x="12"/>
        <item t="data" sd="1" m="1" x="19"/>
        <item t="data" sd="1" x="3"/>
        <item t="data" sd="1" x="10"/>
        <item t="data" sd="1" x="4"/>
        <item t="data" sd="1" x="11"/>
        <item t="data" sd="1" x="1"/>
        <item t="data" sd="1" x="9"/>
        <item t="data" sd="1" x="6"/>
        <item t="data" sd="1" x="2"/>
        <item t="data" sd="1" x="8"/>
        <item t="data" sd="1" x="0"/>
        <item t="data" sd="1" x="14"/>
        <item t="data" sd="1" x="15"/>
        <item t="data" sd="1" x="5"/>
        <item t="data" sd="1" x="17"/>
        <item t="data" sd="1" x="7"/>
        <item t="data" sd="1" m="1" x="20"/>
        <item t="data" sd="1" x="16"/>
        <item t="data" sd="1" x="18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h="1" sd="1" x="1"/>
        <item t="data" h="1" sd="1" x="2"/>
        <item t="default" sd="1"/>
      </items>
    </pivotField>
  </pivotFields>
  <rowFields count="1">
    <field x="13"/>
  </rowFields>
  <rowItems count="14">
    <i t="data" r="0" i="0">
      <x v="0"/>
    </i>
    <i t="data" r="0" i="0">
      <x v="3"/>
    </i>
    <i t="data" r="0" i="0">
      <x v="5"/>
    </i>
    <i t="data" r="0" i="0">
      <x v="6"/>
    </i>
    <i t="data" r="0" i="0">
      <x v="7"/>
    </i>
    <i t="data" r="0" i="0">
      <x v="8"/>
    </i>
    <i t="data" r="0" i="0">
      <x v="10"/>
    </i>
    <i t="data" r="0" i="0">
      <x v="11"/>
    </i>
    <i t="data" r="0" i="0">
      <x v="12"/>
    </i>
    <i t="data" r="0" i="0">
      <x v="14"/>
    </i>
    <i t="data" r="0" i="0">
      <x v="16"/>
    </i>
    <i t="data" r="0" i="0">
      <x v="18"/>
    </i>
    <i t="data" r="0" i="0">
      <x v="20"/>
    </i>
    <i t="grand" r="0" i="0">
      <x v="0"/>
    </i>
  </rowItems>
  <colItems count="1">
    <i t="data" r="0" i="0"/>
  </colItems>
  <pageFields count="1">
    <pageField fld="31" hier="-1"/>
  </pageFields>
  <dataFields count="1">
    <dataField name="Module Count" fld="13" subtotal="count" showDataAs="normal" baseField="0" baseItem="0"/>
  </dataFields>
  <chartFormats count="1">
    <chartFormat chart="1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../../../../../:f:/g/personal/soubhagya_swain_premierenergies_com/IgBdnI7lb_JYTajIfopC5SWrAdl1euo4OKSk8XN7sRajeO8?e=Ct38BL" TargetMode="External" Id="rId1" /><Relationship Type="http://schemas.openxmlformats.org/officeDocument/2006/relationships/hyperlink" Target="../../../../../:f:/g/personal/soubhagya_swain_premierenergies_com/IgBPE0JRY1e9Tp7zAG7MJg7rAc9qMQi1lFash0MOoWOHkKo?e=MJ1KKS" TargetMode="External" Id="rId2" /><Relationship Type="http://schemas.openxmlformats.org/officeDocument/2006/relationships/hyperlink" Target="../../../../../:f:/g/personal/soubhagya_swain_premierenergies_com/IgCybELZGCOmTbAFnuQmbHa_Af_9iQnPty5st9M1aae5aW0?e=mMc0Ba" TargetMode="External" Id="rId3" /><Relationship Type="http://schemas.openxmlformats.org/officeDocument/2006/relationships/hyperlink" Target="../../../../../:f:/g/personal/soubhagya_swain_premierenergies_com/IgCybELZGCOmTbAFnuQmbHa_Af_9iQnPty5st9M1aae5aW0?e=mMc0Ba" TargetMode="External" Id="rId4" /><Relationship Type="http://schemas.openxmlformats.org/officeDocument/2006/relationships/hyperlink" Target="../../../../../:f:/g/personal/soubhagya_swain_premierenergies_com/IgAvy5fdgeT5SIMd71qQUSZwAVxycewVa_WTjwgETNZXwzg?e=a7Z83X" TargetMode="External" Id="rId5" /><Relationship Type="http://schemas.openxmlformats.org/officeDocument/2006/relationships/hyperlink" Target="../../../../../:f:/g/personal/soubhagya_swain_premierenergies_com/IgCFVj_OH_7LQqkcL1G10IxKAQd1MqbbSLlwCrot-R-aYVA?e=QwrGdt" TargetMode="External" Id="rId6" /><Relationship Type="http://schemas.openxmlformats.org/officeDocument/2006/relationships/hyperlink" Target="../../../../../:f:/g/personal/soubhagya_swain_premierenergies_com/IgCFVj_OH_7LQqkcL1G10IxKAQd1MqbbSLlwCrot-R-aYVA?e=QwrGdt" TargetMode="External" Id="rId7" /><Relationship Type="http://schemas.openxmlformats.org/officeDocument/2006/relationships/hyperlink" Target="../../../../../:f:/g/personal/soubhagya_swain_premierenergies_com/IgBWc1gAFi1kSbkcCDIU--AaAe7F3Wf-zc8tzxU8RnWOVPE?e=hDutUM" TargetMode="External" Id="rId8" /><Relationship Type="http://schemas.openxmlformats.org/officeDocument/2006/relationships/hyperlink" Target="../../../../../:f:/g/personal/soubhagya_swain_premierenergies_com/IgC6yCWJcDPqQL6xjjhX3dj_AbEZIn-mbijSM6VhxoOO13c?e=UTJHSS" TargetMode="External" Id="rId9" /><Relationship Type="http://schemas.openxmlformats.org/officeDocument/2006/relationships/hyperlink" Target="../../../../../:f:/g/personal/soubhagya_swain_premierenergies_com/IgD_bBq7J13tSo1EIVqscYwsAUGnLl4EOwUixTNA0DJ1y7c?e=hzDVFo" TargetMode="External" Id="rId10" /><Relationship Type="http://schemas.openxmlformats.org/officeDocument/2006/relationships/hyperlink" Target="../../../../../:f:/g/personal/soubhagya_swain_premierenergies_com/IgAoKEVmw3X9TbDLoURV4_3lAVWQSHopuch4t2udtAvCdvU?e=E8Q6Sd" TargetMode="External" Id="rId11" /><Relationship Type="http://schemas.openxmlformats.org/officeDocument/2006/relationships/hyperlink" Target="../../../../../:f:/g/personal/soubhagya_swain_premierenergies_com/IgDYKKsBtLfhRoHGaOgHWbDAAbs8KvikcLb045DnK1dVf8s?e=BYISe7" TargetMode="External" Id="rId12" /><Relationship Type="http://schemas.openxmlformats.org/officeDocument/2006/relationships/hyperlink" Target="../../../../../:f:/g/personal/soubhagya_swain_premierenergies_com/IgCybELZGCOmTbAFnuQmbHa_Af_9iQnPty5st9M1aae5aW0?e=mMc0Ba" TargetMode="External" Id="rId13" /><Relationship Type="http://schemas.openxmlformats.org/officeDocument/2006/relationships/hyperlink" Target="../../../../../:f:/g/personal/soubhagya_swain_premierenergies_com/IgAvy5fdgeT5SIMd71qQUSZwAVxycewVa_WTjwgETNZXwzg?e=a7Z83X" TargetMode="External" Id="rId14" /><Relationship Type="http://schemas.openxmlformats.org/officeDocument/2006/relationships/hyperlink" Target="../../../../../:f:/g/personal/soubhagya_swain_premierenergies_com/IgBQWClNEuVJSZ5LT7zaY_fzASAR4e0q7_F7in4k-ME7cik?e=cdbaIb" TargetMode="External" Id="rId15" /><Relationship Type="http://schemas.openxmlformats.org/officeDocument/2006/relationships/hyperlink" Target="../../../../../:f:/g/personal/soubhagya_swain_premierenergies_com/IgAqwyJfpkVbQrL1ho5mcvFHAZzgo42_8wkD-zNLniNfriQ?e=r8dbKP" TargetMode="External" Id="rId16" /><Relationship Type="http://schemas.openxmlformats.org/officeDocument/2006/relationships/hyperlink" Target="../../../../../:f:/g/personal/soubhagya_swain_premierenergies_com/IgCVxpM5bSqSTqfjPMUPogYoAQxLSH6v6XGcXdRHJZcwxB0?e=MqKIui" TargetMode="External" Id="rId17" /><Relationship Type="http://schemas.openxmlformats.org/officeDocument/2006/relationships/hyperlink" Target="../../../../../:f:/g/personal/soubhagya_swain_premierenergies_com/IgCybELZGCOmTbAFnuQmbHa_Af_9iQnPty5st9M1aae5aW0?e=mMc0Ba" TargetMode="External" Id="rId18" /><Relationship Type="http://schemas.openxmlformats.org/officeDocument/2006/relationships/hyperlink" Target="../../../../../:f:/g/personal/soubhagya_swain_premierenergies_com/IgAvy5fdgeT5SIMd71qQUSZwAVxycewVa_WTjwgETNZXwzg?e=a7Z83X" TargetMode="External" Id="rId19" /><Relationship Type="http://schemas.openxmlformats.org/officeDocument/2006/relationships/hyperlink" Target="../../../../../:f:/g/personal/soubhagya_swain_premierenergies_com/IgCoOqpOAzb1QLr90fv0kInoAXVYiV1EB-WncOzDx61mRHQ?e=8pYDpw" TargetMode="External" Id="rId20" /><Relationship Type="http://schemas.openxmlformats.org/officeDocument/2006/relationships/hyperlink" Target="../../../../../:f:/g/personal/soubhagya_swain_premierenergies_com/IgDXQJJf6zmGQ7IXs3HXy5dLAcKsojoe2H5OQ_xxcSFNIj4?e=u5nbKI" TargetMode="External" Id="rId21" /><Relationship Type="http://schemas.openxmlformats.org/officeDocument/2006/relationships/hyperlink" Target="../../../../../:f:/g/personal/soubhagya_swain_premierenergies_com/IgBbdn7C4W4SR42OBq-opVvmAfd8kWDqr-lJU6_a3bZZYVw?e=6ohtOj" TargetMode="External" Id="rId22" /><Relationship Type="http://schemas.openxmlformats.org/officeDocument/2006/relationships/hyperlink" Target="../../../../../:f:/g/personal/soubhagya_swain_premierenergies_com/IgBtNF6Y0nhDS7PeP24qyQ4TAYEezK5rsrc3oc6lWAoMt10?e=L87uqR" TargetMode="External" Id="rId23" /><Relationship Type="http://schemas.openxmlformats.org/officeDocument/2006/relationships/hyperlink" Target="../../../../../:f:/g/personal/soubhagya_swain_premierenergies_com/IgCel3stfnxMS5nndDBzDSgKATHQ-4u9zwOxe18eEawIf-s?e=905AsO" TargetMode="External" Id="rId24" /><Relationship Type="http://schemas.openxmlformats.org/officeDocument/2006/relationships/hyperlink" Target="../../../../../:f:/g/personal/soubhagya_swain_premierenergies_com/IgAvy5fdgeT5SIMd71qQUSZwAVxycewVa_WTjwgETNZXwzg?e=a7Z83X" TargetMode="External" Id="rId25" /><Relationship Type="http://schemas.openxmlformats.org/officeDocument/2006/relationships/hyperlink" Target="../../../../../:f:/g/personal/soubhagya_swain_premierenergies_com/IgCybELZGCOmTbAFnuQmbHa_Af_9iQnPty5st9M1aae5aW0?e=mMc0Ba" TargetMode="External" Id="rId26" /><Relationship Type="http://schemas.openxmlformats.org/officeDocument/2006/relationships/hyperlink" Target="../../../../../:f:/g/personal/soubhagya_swain_premierenergies_com/IgCybELZGCOmTbAFnuQmbHa_Af_9iQnPty5st9M1aae5aW0?e=mMc0Ba" TargetMode="External" Id="rId27" /><Relationship Type="http://schemas.openxmlformats.org/officeDocument/2006/relationships/hyperlink" Target="../../../../../:f:/g/personal/soubhagya_swain_premierenergies_com/IgAvy5fdgeT5SIMd71qQUSZwAVxycewVa_WTjwgETNZXwzg?e=a7Z83X" TargetMode="External" Id="rId28" /><Relationship Type="http://schemas.openxmlformats.org/officeDocument/2006/relationships/hyperlink" Target="../../../../../:f:/g/personal/soubhagya_swain_premierenergies_com/IgDgBfEMzY98TrVyc6IRRMQsAasvOpaJNSYAOYCREhxBxmU?e=O7jrAU" TargetMode="External" Id="rId29" /><Relationship Type="http://schemas.openxmlformats.org/officeDocument/2006/relationships/hyperlink" Target="../../../../../:f:/g/personal/soubhagya_swain_premierenergies_com/IgAvy5fdgeT5SIMd71qQUSZwAVxycewVa_WTjwgETNZXwzg?e=a7Z83X" TargetMode="External" Id="rId30" /><Relationship Type="http://schemas.openxmlformats.org/officeDocument/2006/relationships/hyperlink" Target="../../../../../:f:/g/personal/soubhagya_swain_premierenergies_com/IgAvy5fdgeT5SIMd71qQUSZwAVxycewVa_WTjwgETNZXwzg?e=a7Z83X" TargetMode="External" Id="rId31" /><Relationship Type="http://schemas.openxmlformats.org/officeDocument/2006/relationships/hyperlink" Target="../../../../../:f:/g/personal/soubhagya_swain_premierenergies_com/IgAvy5fdgeT5SIMd71qQUSZwAVxycewVa_WTjwgETNZXwzg?e=a7Z83X" TargetMode="External" Id="rId32" /><Relationship Type="http://schemas.openxmlformats.org/officeDocument/2006/relationships/hyperlink" Target="../../../../../:f:/g/personal/soubhagya_swain_premierenergies_com/IgCkboAzoen4QI5Ai8jVhl54AX1KcXADr7zA66xtKu5jqxw?e=edaA1y" TargetMode="External" Id="rId33" /><Relationship Type="http://schemas.openxmlformats.org/officeDocument/2006/relationships/hyperlink" Target="../../../../../:f:/g/personal/soubhagya_swain_premierenergies_com/IgAvy5fdgeT5SIMd71qQUSZwAVxycewVa_WTjwgETNZXwzg?e=a7Z83X" TargetMode="External" Id="rId34" /><Relationship Type="http://schemas.openxmlformats.org/officeDocument/2006/relationships/hyperlink" Target="../../../../../:f:/g/personal/soubhagya_swain_premierenergies_com/IgBGjFyJf_u6R4R1NBrSkW5FASgVry41MXMez9cAj77THyc?e=cQLYkW" TargetMode="External" Id="rId35" /><Relationship Type="http://schemas.openxmlformats.org/officeDocument/2006/relationships/hyperlink" Target="../../../../../:f:/g/personal/soubhagya_swain_premierenergies_com/IgAvy5fdgeT5SIMd71qQUSZwAVxycewVa_WTjwgETNZXwzg?e=a7Z83X" TargetMode="External" Id="rId36" /><Relationship Type="http://schemas.openxmlformats.org/officeDocument/2006/relationships/hyperlink" Target="../../../../../:f:/g/personal/soubhagya_swain_premierenergies_com/IgCkboAzoen4QI5Ai8jVhl54AX1KcXADr7zA66xtKu5jqxw?e=edaA1y" TargetMode="External" Id="rId37" /><Relationship Type="http://schemas.openxmlformats.org/officeDocument/2006/relationships/hyperlink" Target="../../../../../:f:/g/personal/soubhagya_swain_premierenergies_com/IgAaPQ8GINfoRKRQXw39ur6kAaUD3Z18Va4DSf74l-AHEiY?e=7dyeDc" TargetMode="External" Id="rId38" /><Relationship Type="http://schemas.openxmlformats.org/officeDocument/2006/relationships/hyperlink" Target="../../../../../:f:/g/personal/soubhagya_swain_premierenergies_com/IgDqezEap1OFSYqsD3qvd_5lAdcXdGxP4V5H4KHQAafo_H4?e=ET9Deb" TargetMode="External" Id="rId39" /><Relationship Type="http://schemas.openxmlformats.org/officeDocument/2006/relationships/hyperlink" Target="../../../../../:f:/g/personal/soubhagya_swain_premierenergies_com/IgAvy5fdgeT5SIMd71qQUSZwAVxycewVa_WTjwgETNZXwzg?e=a7Z83X" TargetMode="External" Id="rId40" /><Relationship Type="http://schemas.openxmlformats.org/officeDocument/2006/relationships/hyperlink" Target="../../../../../:f:/g/personal/soubhagya_swain_premierenergies_com/IgCkboAzoen4QI5Ai8jVhl54AX1KcXADr7zA66xtKu5jqxw?e=edaA1y" TargetMode="External" Id="rId41" /><Relationship Type="http://schemas.openxmlformats.org/officeDocument/2006/relationships/hyperlink" Target="../../../../../:f:/g/personal/soubhagya_swain_premierenergies_com/IgBbyc3sY1uOSIZhgQG8JUV8ARXABL42M8y0-Ak416L4I-k?e=t5Oi0i" TargetMode="External" Id="rId42" /><Relationship Type="http://schemas.openxmlformats.org/officeDocument/2006/relationships/hyperlink" Target="../../../../../:f:/g/personal/soubhagya_swain_premierenergies_com/IgAvy5fdgeT5SIMd71qQUSZwAVxycewVa_WTjwgETNZXwzg?e=a7Z83X" TargetMode="External" Id="rId43" /><Relationship Type="http://schemas.openxmlformats.org/officeDocument/2006/relationships/hyperlink" Target="../../../../../:f:/g/personal/soubhagya_swain_premierenergies_com/IgCkboAzoen4QI5Ai8jVhl54AX1KcXADr7zA66xtKu5jqxw?e=edaA1y" TargetMode="External" Id="rId44" /><Relationship Type="http://schemas.openxmlformats.org/officeDocument/2006/relationships/hyperlink" Target="../../../../../:f:/g/personal/soubhagya_swain_premierenergies_com/IgAvy5fdgeT5SIMd71qQUSZwAVxycewVa_WTjwgETNZXwzg?e=a7Z83X" TargetMode="External" Id="rId45" /><Relationship Type="http://schemas.openxmlformats.org/officeDocument/2006/relationships/hyperlink" Target="../../../../../:f:/g/personal/soubhagya_swain_premierenergies_com/IgCkboAzoen4QI5Ai8jVhl54AX1KcXADr7zA66xtKu5jqxw?e=edaA1y" TargetMode="External" Id="rId46" /><Relationship Type="http://schemas.openxmlformats.org/officeDocument/2006/relationships/hyperlink" Target="../../../../../:f:/g/personal/soubhagya_swain_premierenergies_com/IgCKTNO8hW6mQZ1qK0rPoScnARxzuhZcj9v_hLhSTvmA3aQ?e=DXv6XR" TargetMode="External" Id="rId47" /><Relationship Type="http://schemas.openxmlformats.org/officeDocument/2006/relationships/hyperlink" Target="../../../../../:f:/g/personal/soubhagya_swain_premierenergies_com/IgAvy5fdgeT5SIMd71qQUSZwAVxycewVa_WTjwgETNZXwzg?e=a7Z83X" TargetMode="External" Id="rId48" /><Relationship Type="http://schemas.openxmlformats.org/officeDocument/2006/relationships/hyperlink" Target="../../../../../:f:/g/personal/soubhagya_swain_premierenergies_com/IgCkboAzoen4QI5Ai8jVhl54AX1KcXADr7zA66xtKu5jqxw?e=edaA1y" TargetMode="External" Id="rId49" /><Relationship Type="http://schemas.openxmlformats.org/officeDocument/2006/relationships/hyperlink" Target="../../../../../:f:/g/personal/soubhagya_swain_premierenergies_com/IgAvy5fdgeT5SIMd71qQUSZwAVxycewVa_WTjwgETNZXwzg?e=a7Z83X" TargetMode="External" Id="rId50" /><Relationship Type="http://schemas.openxmlformats.org/officeDocument/2006/relationships/hyperlink" Target="../../../../../:f:/g/personal/soubhagya_swain_premierenergies_com/IgCkboAzoen4QI5Ai8jVhl54AX1KcXADr7zA66xtKu5jqxw?e=edaA1y" TargetMode="External" Id="rId51" /><Relationship Type="http://schemas.openxmlformats.org/officeDocument/2006/relationships/hyperlink" Target="../../../../../:f:/g/personal/soubhagya_swain_premierenergies_com/IgCkboAzoen4QI5Ai8jVhl54AX1KcXADr7zA66xtKu5jqxw?e=edaA1y" TargetMode="External" Id="rId52" /><Relationship Type="http://schemas.openxmlformats.org/officeDocument/2006/relationships/hyperlink" Target="../../../../../:f:/g/personal/soubhagya_swain_premierenergies_com/IgD6TE8qpdY8T55GEi-ewmTBAU-dzStWxpNGqO9z1D-6vMI?e=UGM4CH" TargetMode="External" Id="rId53" /><Relationship Type="http://schemas.openxmlformats.org/officeDocument/2006/relationships/hyperlink" Target="../../../../../:f:/g/personal/soubhagya_swain_premierenergies_com/IgAvy5fdgeT5SIMd71qQUSZwAVxycewVa_WTjwgETNZXwzg?e=a7Z83X" TargetMode="External" Id="rId54" /><Relationship Type="http://schemas.openxmlformats.org/officeDocument/2006/relationships/hyperlink" Target="../../../../../:f:/g/personal/soubhagya_swain_premierenergies_com/IgCkboAzoen4QI5Ai8jVhl54AX1KcXADr7zA66xtKu5jqxw?e=edaA1y" TargetMode="External" Id="rId55" /><Relationship Type="http://schemas.openxmlformats.org/officeDocument/2006/relationships/hyperlink" Target="../../../../../:f:/g/personal/soubhagya_swain_premierenergies_com/IgAvy5fdgeT5SIMd71qQUSZwAVxycewVa_WTjwgETNZXwzg?e=a7Z83X" TargetMode="External" Id="rId56" /><Relationship Type="http://schemas.openxmlformats.org/officeDocument/2006/relationships/hyperlink" Target="../../../../../:f:/g/personal/soubhagya_swain_premierenergies_com/IgCkboAzoen4QI5Ai8jVhl54AX1KcXADr7zA66xtKu5jqxw?e=edaA1y" TargetMode="External" Id="rId57" /><Relationship Type="http://schemas.openxmlformats.org/officeDocument/2006/relationships/hyperlink" Target="../../../../../:f:/g/personal/soubhagya_swain_premierenergies_com/IgCkboAzoen4QI5Ai8jVhl54AX1KcXADr7zA66xtKu5jqxw?e=edaA1y" TargetMode="External" Id="rId58" /><Relationship Type="http://schemas.openxmlformats.org/officeDocument/2006/relationships/hyperlink" Target="../../../../../:f:/g/personal/soubhagya_swain_premierenergies_com/IgD0adYxOpk8TpQ2Hn0fypcnAT9z8CNI-oIlPkHo6HK3stQ?e=TaQaoA" TargetMode="External" Id="rId59" /><Relationship Type="http://schemas.openxmlformats.org/officeDocument/2006/relationships/hyperlink" Target="../../../../../:f:/g/personal/soubhagya_swain_premierenergies_com/IgCkboAzoen4QI5Ai8jVhl54AX1KcXADr7zA66xtKu5jqxw?e=edaA1y" TargetMode="External" Id="rId60" /><Relationship Type="http://schemas.openxmlformats.org/officeDocument/2006/relationships/hyperlink" Target="../../../../../:f:/g/personal/soubhagya_swain_premierenergies_com/IgCkboAzoen4QI5Ai8jVhl54AX1KcXADr7zA66xtKu5jqxw?e=edaA1y" TargetMode="External" Id="rId61" /><Relationship Type="http://schemas.openxmlformats.org/officeDocument/2006/relationships/hyperlink" Target="../../../../../:f:/g/personal/soubhagya_swain_premierenergies_com/IgD0adYxOpk8TpQ2Hn0fypcnAT9z8CNI-oIlPkHo6HK3stQ?e=TaQaoA" TargetMode="External" Id="rId62" /><Relationship Type="http://schemas.openxmlformats.org/officeDocument/2006/relationships/hyperlink" Target="../../../../../:f:/g/personal/soubhagya_swain_premierenergies_com/IgAnfzAGyGLER7ZJJjvtx_qdAWbtzvv8-dhgLhOzxh_dY2c?e=CakAQR" TargetMode="External" Id="rId63" /><Relationship Type="http://schemas.openxmlformats.org/officeDocument/2006/relationships/hyperlink" Target="../../../../../:f:/g/personal/soubhagya_swain_premierenergies_com/IgCkboAzoen4QI5Ai8jVhl54AX1KcXADr7zA66xtKu5jqxw?e=edaA1y" TargetMode="External" Id="rId64" /><Relationship Type="http://schemas.openxmlformats.org/officeDocument/2006/relationships/hyperlink" Target="../../../../../:f:/g/personal/soubhagya_swain_premierenergies_com/IgAgipt9FCM8Tq6_nMvOUfYgAdNBmytcrFTJmuiKMT6WstM?e=uzDQYc" TargetMode="External" Id="rId65" /><Relationship Type="http://schemas.openxmlformats.org/officeDocument/2006/relationships/hyperlink" Target="../../../../../:f:/g/personal/soubhagya_swain_premierenergies_com/IgD0adYxOpk8TpQ2Hn0fypcnAT9z8CNI-oIlPkHo6HK3stQ?e=TaQaoA" TargetMode="External" Id="rId66" /><Relationship Type="http://schemas.openxmlformats.org/officeDocument/2006/relationships/hyperlink" Target="../../../../../:f:/g/personal/soubhagya_swain_premierenergies_com/IgBNkLlJyb-mRpgU0K6nJRU6AROtlH1CXSxsJgvGA6i7NqQ?e=FaN6w9" TargetMode="External" Id="rId67" /><Relationship Type="http://schemas.openxmlformats.org/officeDocument/2006/relationships/hyperlink" Target="../../../../../:f:/g/personal/soubhagya_swain_premierenergies_com/IgCaBTfyOVFgSoIji5geLAe9ASmCNjDR4G0CLKF6Ny8CIDA?e=RGNxwc" TargetMode="External" Id="rId68" /><Relationship Type="http://schemas.openxmlformats.org/officeDocument/2006/relationships/hyperlink" Target="../../../../../:f:/g/personal/soubhagya_swain_premierenergies_com/IgCkboAzoen4QI5Ai8jVhl54AX1KcXADr7zA66xtKu5jqxw?e=edaA1y" TargetMode="External" Id="rId69" /><Relationship Type="http://schemas.openxmlformats.org/officeDocument/2006/relationships/hyperlink" Target="../../../../../:f:/g/personal/soubhagya_swain_premierenergies_com/IgD0adYxOpk8TpQ2Hn0fypcnAT9z8CNI-oIlPkHo6HK3stQ?e=TaQaoA" TargetMode="External" Id="rId70" /><Relationship Type="http://schemas.openxmlformats.org/officeDocument/2006/relationships/hyperlink" Target="../../../../../:f:/g/personal/soubhagya_swain_premierenergies_com/IgCkboAzoen4QI5Ai8jVhl54AX1KcXADr7zA66xtKu5jqxw?e=edaA1y" TargetMode="External" Id="rId71" /><Relationship Type="http://schemas.openxmlformats.org/officeDocument/2006/relationships/hyperlink" Target="../../../../../:f:/g/personal/soubhagya_swain_premierenergies_com/IgADiVTubnxqQI41lC0ykfAOAZ2VSnjuV9iVQFBY9b7eC7k?e=2UWhX1" TargetMode="External" Id="rId72" /><Relationship Type="http://schemas.openxmlformats.org/officeDocument/2006/relationships/hyperlink" Target="../../../../../:f:/g/personal/soubhagya_swain_premierenergies_com/IgDGkJx0gr3VTJUtH1qBSexhAYT8Y7-cPfcMwDJckgmdUcI?e=Rw0VZh" TargetMode="External" Id="rId73" /><Relationship Type="http://schemas.openxmlformats.org/officeDocument/2006/relationships/hyperlink" Target="../../../../../:f:/g/personal/soubhagya_swain_premierenergies_com/IgD0adYxOpk8TpQ2Hn0fypcnAT9z8CNI-oIlPkHo6HK3stQ?e=TaQaoA" TargetMode="External" Id="rId74" /><Relationship Type="http://schemas.openxmlformats.org/officeDocument/2006/relationships/hyperlink" Target="../../../../../:f:/g/personal/soubhagya_swain_premierenergies_com/IgBhj9rkkRiFS4PwWUy_xGngASAro3_J-v5IQ5zBEozeD5A?e=SOUnRN" TargetMode="External" Id="rId75" /><Relationship Type="http://schemas.openxmlformats.org/officeDocument/2006/relationships/hyperlink" Target="../../../../../:f:/g/personal/soubhagya_swain_premierenergies_com/IgCkboAzoen4QI5Ai8jVhl54AX1KcXADr7zA66xtKu5jqxw?e=edaA1y" TargetMode="External" Id="rId76" /><Relationship Type="http://schemas.openxmlformats.org/officeDocument/2006/relationships/hyperlink" Target="../../../../../:f:/g/personal/soubhagya_swain_premierenergies_com/IgCI8ORtNGBBT6LxqLZRfTkoAUxGCTMwozfSck9GIC_ZB14?e=bOx7MF" TargetMode="External" Id="rId77" /><Relationship Type="http://schemas.openxmlformats.org/officeDocument/2006/relationships/hyperlink" Target="../../../../../:f:/g/personal/soubhagya_swain_premierenergies_com/IgDD0GXBc44CTZPBqMUi-XylAY8WWuiAYaaH6YSx5nLhsmo?e=YR00xz" TargetMode="External" Id="rId78" /><Relationship Type="http://schemas.openxmlformats.org/officeDocument/2006/relationships/hyperlink" Target="../../../../../:f:/g/personal/soubhagya_swain_premierenergies_com/IgD0adYxOpk8TpQ2Hn0fypcnAT9z8CNI-oIlPkHo6HK3stQ?e=TaQaoA" TargetMode="External" Id="rId79" /><Relationship Type="http://schemas.openxmlformats.org/officeDocument/2006/relationships/hyperlink" Target="../../../../../:f:/g/personal/soubhagya_swain_premierenergies_com/IgCkboAzoen4QI5Ai8jVhl54AX1KcXADr7zA66xtKu5jqxw?e=edaA1y" TargetMode="External" Id="rId80" /><Relationship Type="http://schemas.openxmlformats.org/officeDocument/2006/relationships/hyperlink" Target="../../../../../:f:/g/personal/soubhagya_swain_premierenergies_com/IgD0adYxOpk8TpQ2Hn0fypcnAT9z8CNI-oIlPkHo6HK3stQ?e=TaQaoA" TargetMode="External" Id="rId81" /><Relationship Type="http://schemas.openxmlformats.org/officeDocument/2006/relationships/hyperlink" Target="../../../../../:f:/g/personal/soubhagya_swain_premierenergies_com/IgDKqJzT7aYlSLPULsRxl7oLASzRkOohYjG_uFzkRyVrnGw?e=bgdgrB" TargetMode="External" Id="rId82" /><Relationship Type="http://schemas.openxmlformats.org/officeDocument/2006/relationships/hyperlink" Target="../../../../../:f:/g/personal/soubhagya_swain_premierenergies_com/IgCkboAzoen4QI5Ai8jVhl54AX1KcXADr7zA66xtKu5jqxw?e=edaA1y" TargetMode="External" Id="rId83" /><Relationship Type="http://schemas.openxmlformats.org/officeDocument/2006/relationships/hyperlink" Target="../../../../../:f:/g/personal/soubhagya_swain_premierenergies_com/IgCkboAzoen4QI5Ai8jVhl54AX1KcXADr7zA66xtKu5jqxw?e=edaA1y" TargetMode="External" Id="rId84" /><Relationship Type="http://schemas.openxmlformats.org/officeDocument/2006/relationships/hyperlink" Target="../../../../../:f:/g/personal/soubhagya_swain_premierenergies_com/IgD0adYxOpk8TpQ2Hn0fypcnAT9z8CNI-oIlPkHo6HK3stQ?e=TaQaoA" TargetMode="External" Id="rId85" /><Relationship Type="http://schemas.openxmlformats.org/officeDocument/2006/relationships/hyperlink" Target="../../../../../:f:/g/personal/soubhagya_swain_premierenergies_com/IgCkboAzoen4QI5Ai8jVhl54AX1KcXADr7zA66xtKu5jqxw?e=edaA1y" TargetMode="External" Id="rId86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X80"/>
  <sheetViews>
    <sheetView showGridLines="0" zoomScale="74" zoomScaleNormal="66" workbookViewId="0">
      <selection activeCell="I58" sqref="I58"/>
    </sheetView>
  </sheetViews>
  <sheetFormatPr baseColWidth="8" defaultRowHeight="14.5"/>
  <cols>
    <col width="3.6328125" customWidth="1" style="233" min="1" max="1"/>
    <col width="12.7265625" customWidth="1" style="233" min="2" max="19"/>
    <col outlineLevel="1" width="8.7265625" customWidth="1" style="233" min="21" max="23"/>
  </cols>
  <sheetData>
    <row r="1">
      <c r="A1" s="170" t="n"/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170" t="n"/>
      <c r="Q1" s="170" t="n"/>
      <c r="R1" s="170" t="n"/>
      <c r="S1" s="170" t="n"/>
      <c r="U1" s="172" t="inlineStr">
        <is>
          <t>CHART DATA (linked)</t>
        </is>
      </c>
      <c r="V1" s="173" t="n"/>
      <c r="W1" s="173" t="n"/>
    </row>
    <row r="2" ht="42" customHeight="1" s="233">
      <c r="A2" s="170" t="n"/>
      <c r="B2" s="232" t="inlineStr">
        <is>
          <t>FIELD SERVICE DASHBOARD</t>
        </is>
      </c>
      <c r="S2" s="170" t="n"/>
      <c r="T2" s="205" t="n"/>
      <c r="U2" s="206" t="n"/>
      <c r="V2" s="206" t="n"/>
      <c r="W2" s="173" t="n"/>
    </row>
    <row r="3" ht="22" customHeight="1" s="233">
      <c r="A3" s="170" t="n"/>
      <c r="B3" s="234" t="inlineStr">
        <is>
          <t>May 2026  •  Solar Module Complaints &amp; Defect Analysis</t>
        </is>
      </c>
      <c r="S3" s="170" t="n"/>
      <c r="T3" s="217" t="n"/>
      <c r="U3" s="173" t="inlineStr">
        <is>
          <t>Site</t>
        </is>
      </c>
      <c r="V3" s="173" t="inlineStr">
        <is>
          <t>Modules</t>
        </is>
      </c>
      <c r="W3" s="173" t="n"/>
      <c r="X3" s="217" t="n"/>
    </row>
    <row r="4">
      <c r="A4" s="170" t="n"/>
      <c r="B4" s="170" t="n"/>
      <c r="C4" s="170" t="n"/>
      <c r="D4" s="170" t="n"/>
      <c r="E4" s="170" t="n"/>
      <c r="F4" s="170" t="n"/>
      <c r="G4" s="170" t="n"/>
      <c r="H4" s="170" t="n"/>
      <c r="I4" s="170" t="n"/>
      <c r="J4" s="170" t="n"/>
      <c r="K4" s="170" t="n"/>
      <c r="L4" s="170" t="n"/>
      <c r="M4" s="170" t="n"/>
      <c r="N4" s="170" t="n"/>
      <c r="O4" s="170" t="n"/>
      <c r="P4" s="170" t="n"/>
      <c r="Q4" s="170" t="n"/>
      <c r="R4" s="170" t="n"/>
      <c r="S4" s="170" t="n"/>
      <c r="T4" s="217" t="n"/>
      <c r="U4" s="173">
        <f>'May-26 Analysis'!A19</f>
        <v/>
      </c>
      <c r="V4" s="173">
        <f>'May-26 Analysis'!B19</f>
        <v/>
      </c>
      <c r="W4" s="173" t="n"/>
      <c r="X4" s="217" t="n"/>
    </row>
    <row r="5" ht="20" customHeight="1" s="233">
      <c r="A5" s="170" t="n"/>
      <c r="B5" s="229" t="inlineStr">
        <is>
          <t>Total Complaints</t>
        </is>
      </c>
      <c r="C5" s="230" t="n"/>
      <c r="D5" s="170" t="n"/>
      <c r="E5" s="229" t="inlineStr">
        <is>
          <t>Closed Modules</t>
        </is>
      </c>
      <c r="F5" s="230" t="n"/>
      <c r="G5" s="170" t="n"/>
      <c r="H5" s="229" t="inlineStr">
        <is>
          <t>WIP / Open</t>
        </is>
      </c>
      <c r="I5" s="230" t="n"/>
      <c r="J5" s="170" t="n"/>
      <c r="K5" s="229" t="inlineStr">
        <is>
          <t>Closure Rate</t>
        </is>
      </c>
      <c r="L5" s="230" t="n"/>
      <c r="M5" s="170" t="n"/>
      <c r="N5" s="229" t="inlineStr">
        <is>
          <t>Avg Resolution</t>
        </is>
      </c>
      <c r="O5" s="230" t="n"/>
      <c r="P5" s="170" t="n"/>
      <c r="Q5" s="170" t="n"/>
      <c r="R5" s="170" t="n"/>
      <c r="S5" s="170" t="n"/>
      <c r="T5" s="217" t="n"/>
      <c r="U5" s="173">
        <f>'May-26 Analysis'!A20</f>
        <v/>
      </c>
      <c r="V5" s="173">
        <f>'May-26 Analysis'!B20</f>
        <v/>
      </c>
      <c r="W5" s="173" t="n"/>
      <c r="X5" s="217" t="n"/>
    </row>
    <row r="6" ht="40" customHeight="1" s="233">
      <c r="A6" s="170" t="n"/>
      <c r="B6" s="225">
        <f>'May-26 Analysis'!B5</f>
        <v/>
      </c>
      <c r="C6" s="226" t="n"/>
      <c r="D6" s="170" t="n"/>
      <c r="E6" s="227">
        <f>'May-26 Analysis'!C5</f>
        <v/>
      </c>
      <c r="F6" s="226" t="n"/>
      <c r="G6" s="170" t="n"/>
      <c r="H6" s="228">
        <f>'May-26 Analysis'!D5</f>
        <v/>
      </c>
      <c r="I6" s="226" t="n"/>
      <c r="J6" s="170" t="n"/>
      <c r="K6" s="235">
        <f>'May-26 Analysis'!F5</f>
        <v/>
      </c>
      <c r="L6" s="226" t="n"/>
      <c r="M6" s="170" t="n"/>
      <c r="N6" s="246">
        <f>'May-26 Analysis'!I5</f>
        <v/>
      </c>
      <c r="O6" s="226" t="n"/>
      <c r="P6" s="170" t="n"/>
      <c r="Q6" s="170" t="n"/>
      <c r="R6" s="170" t="n"/>
      <c r="S6" s="170" t="n"/>
      <c r="T6" s="217" t="n"/>
      <c r="U6" s="173">
        <f>'May-26 Analysis'!A21</f>
        <v/>
      </c>
      <c r="V6" s="173">
        <f>'May-26 Analysis'!B21</f>
        <v/>
      </c>
      <c r="W6" s="173" t="n"/>
      <c r="X6" s="217" t="n"/>
    </row>
    <row r="7" ht="8" customHeight="1" s="233">
      <c r="A7" s="170" t="n"/>
      <c r="B7" s="170" t="n"/>
      <c r="C7" s="170" t="n"/>
      <c r="D7" s="170" t="n"/>
      <c r="E7" s="170" t="n"/>
      <c r="F7" s="170" t="n"/>
      <c r="G7" s="170" t="n"/>
      <c r="H7" s="170" t="n"/>
      <c r="I7" s="170" t="n"/>
      <c r="J7" s="170" t="n"/>
      <c r="K7" s="170" t="n"/>
      <c r="L7" s="170" t="n"/>
      <c r="M7" s="170" t="n"/>
      <c r="N7" s="170" t="n"/>
      <c r="O7" s="170" t="n"/>
      <c r="P7" s="170" t="n"/>
      <c r="Q7" s="170" t="n"/>
      <c r="R7" s="170" t="n"/>
      <c r="S7" s="170" t="n"/>
      <c r="T7" s="217" t="n"/>
      <c r="U7" s="173">
        <f>'May-26 Analysis'!A22</f>
        <v/>
      </c>
      <c r="V7" s="173">
        <f>'May-26 Analysis'!B22</f>
        <v/>
      </c>
      <c r="W7" s="173" t="n"/>
      <c r="X7" s="217" t="n"/>
    </row>
    <row r="8" ht="16" customHeight="1" s="233">
      <c r="A8" s="170" t="n"/>
      <c r="B8" s="171" t="inlineStr">
        <is>
          <t>Daily Complaints Trend  - May 2026</t>
        </is>
      </c>
      <c r="C8" s="170" t="n"/>
      <c r="D8" s="170" t="n"/>
      <c r="E8" s="170" t="n"/>
      <c r="F8" s="170" t="n"/>
      <c r="G8" s="170" t="n"/>
      <c r="H8" s="170" t="n"/>
      <c r="I8" s="170" t="n"/>
      <c r="J8" s="170" t="n"/>
      <c r="K8" s="170" t="n"/>
      <c r="L8" s="170" t="n"/>
      <c r="M8" s="170" t="n"/>
      <c r="N8" s="170" t="n"/>
      <c r="O8" s="170" t="n"/>
      <c r="P8" s="170" t="n"/>
      <c r="Q8" s="170" t="n"/>
      <c r="R8" s="170" t="n"/>
      <c r="S8" s="170" t="n"/>
      <c r="T8" s="217" t="n"/>
      <c r="U8" s="173">
        <f>'May-26 Analysis'!A23</f>
        <v/>
      </c>
      <c r="V8" s="173">
        <f>'May-26 Analysis'!B23</f>
        <v/>
      </c>
      <c r="W8" s="173" t="n"/>
      <c r="X8" s="217" t="n"/>
    </row>
    <row r="9">
      <c r="A9" s="170" t="n"/>
      <c r="B9" s="170" t="n"/>
      <c r="C9" s="170" t="n"/>
      <c r="D9" s="170" t="n"/>
      <c r="E9" s="170" t="n"/>
      <c r="F9" s="170" t="n"/>
      <c r="G9" s="170" t="n"/>
      <c r="H9" s="170" t="n"/>
      <c r="I9" s="170" t="n"/>
      <c r="J9" s="170" t="n"/>
      <c r="K9" s="170" t="n"/>
      <c r="L9" s="170" t="n"/>
      <c r="M9" s="170" t="n"/>
      <c r="N9" s="170" t="n"/>
      <c r="O9" s="170" t="n"/>
      <c r="P9" s="170" t="n"/>
      <c r="Q9" s="170" t="n"/>
      <c r="R9" s="170" t="n"/>
      <c r="S9" s="170" t="n"/>
      <c r="T9" s="217" t="n"/>
      <c r="U9" s="173">
        <f>'May-26 Analysis'!A24</f>
        <v/>
      </c>
      <c r="V9" s="173">
        <f>'May-26 Analysis'!B24</f>
        <v/>
      </c>
      <c r="W9" s="173" t="n"/>
      <c r="X9" s="217" t="n"/>
    </row>
    <row r="10">
      <c r="A10" s="170" t="n"/>
      <c r="B10" s="170" t="n"/>
      <c r="C10" s="170" t="n"/>
      <c r="D10" s="170" t="n"/>
      <c r="E10" s="170" t="n"/>
      <c r="F10" s="170" t="n"/>
      <c r="G10" s="170" t="n"/>
      <c r="H10" s="170" t="n"/>
      <c r="I10" s="170" t="n"/>
      <c r="J10" s="170" t="n"/>
      <c r="K10" s="170" t="n"/>
      <c r="L10" s="170" t="n"/>
      <c r="M10" s="170" t="n"/>
      <c r="N10" s="170" t="n"/>
      <c r="O10" s="170" t="n"/>
      <c r="P10" s="170" t="n"/>
      <c r="Q10" s="170" t="n"/>
      <c r="R10" s="170" t="n"/>
      <c r="S10" s="170" t="n"/>
      <c r="T10" s="217" t="n"/>
      <c r="U10" s="173">
        <f>'May-26 Analysis'!A25</f>
        <v/>
      </c>
      <c r="V10" s="173">
        <f>'May-26 Analysis'!B25</f>
        <v/>
      </c>
      <c r="W10" s="173" t="n"/>
      <c r="X10" s="217" t="n"/>
    </row>
    <row r="11">
      <c r="A11" s="170" t="n"/>
      <c r="B11" s="170" t="n"/>
      <c r="C11" s="170" t="n"/>
      <c r="D11" s="170" t="n"/>
      <c r="E11" s="170" t="n"/>
      <c r="F11" s="170" t="n"/>
      <c r="G11" s="170" t="n"/>
      <c r="H11" s="170" t="n"/>
      <c r="I11" s="170" t="n"/>
      <c r="J11" s="170" t="n"/>
      <c r="K11" s="170" t="n"/>
      <c r="L11" s="170" t="n"/>
      <c r="M11" s="170" t="n"/>
      <c r="N11" s="170" t="n"/>
      <c r="O11" s="170" t="n"/>
      <c r="P11" s="170" t="n"/>
      <c r="Q11" s="170" t="n"/>
      <c r="R11" s="170" t="n"/>
      <c r="S11" s="170" t="n"/>
      <c r="T11" s="217" t="n"/>
      <c r="U11" s="173">
        <f>'May-26 Analysis'!A26</f>
        <v/>
      </c>
      <c r="V11" s="173">
        <f>'May-26 Analysis'!B26</f>
        <v/>
      </c>
      <c r="W11" s="173" t="n"/>
      <c r="X11" s="217" t="n"/>
    </row>
    <row r="12">
      <c r="A12" s="170" t="n"/>
      <c r="B12" s="170" t="n"/>
      <c r="C12" s="170" t="n"/>
      <c r="D12" s="170" t="n"/>
      <c r="E12" s="170" t="n"/>
      <c r="F12" s="170" t="n"/>
      <c r="G12" s="170" t="n"/>
      <c r="H12" s="170" t="n"/>
      <c r="I12" s="170" t="n"/>
      <c r="J12" s="170" t="n"/>
      <c r="K12" s="170" t="n"/>
      <c r="L12" s="170" t="n"/>
      <c r="M12" s="170" t="n"/>
      <c r="N12" s="170" t="n"/>
      <c r="O12" s="170" t="n"/>
      <c r="P12" s="170" t="n"/>
      <c r="Q12" s="170" t="n"/>
      <c r="R12" s="170" t="n"/>
      <c r="S12" s="170" t="n"/>
      <c r="T12" s="217" t="n"/>
      <c r="U12" s="173" t="inlineStr">
        <is>
          <t>State</t>
        </is>
      </c>
      <c r="V12" s="173" t="inlineStr">
        <is>
          <t>Modules</t>
        </is>
      </c>
      <c r="W12" s="173" t="n"/>
      <c r="X12" s="217" t="n"/>
    </row>
    <row r="13">
      <c r="A13" s="170" t="n"/>
      <c r="B13" s="170" t="n"/>
      <c r="C13" s="170" t="n"/>
      <c r="D13" s="170" t="n"/>
      <c r="E13" s="170" t="n"/>
      <c r="F13" s="170" t="n"/>
      <c r="G13" s="170" t="n"/>
      <c r="H13" s="170" t="n"/>
      <c r="I13" s="170" t="n"/>
      <c r="J13" s="170" t="n"/>
      <c r="K13" s="170" t="n"/>
      <c r="L13" s="170" t="n"/>
      <c r="M13" s="170" t="n"/>
      <c r="N13" s="170" t="n"/>
      <c r="O13" s="170" t="n"/>
      <c r="P13" s="170" t="n"/>
      <c r="Q13" s="170" t="n"/>
      <c r="R13" s="170" t="n"/>
      <c r="S13" s="170" t="n"/>
      <c r="T13" s="217" t="n"/>
      <c r="U13" s="173">
        <f>'May-26 Analysis'!G19</f>
        <v/>
      </c>
      <c r="V13" s="173">
        <f>'May-26 Analysis'!H19</f>
        <v/>
      </c>
      <c r="W13" s="173" t="n"/>
      <c r="X13" s="217" t="n"/>
    </row>
    <row r="14">
      <c r="A14" s="170" t="n"/>
      <c r="B14" s="170" t="n"/>
      <c r="C14" s="170" t="n"/>
      <c r="D14" s="170" t="n"/>
      <c r="E14" s="170" t="n"/>
      <c r="F14" s="170" t="n"/>
      <c r="G14" s="170" t="n"/>
      <c r="H14" s="170" t="n"/>
      <c r="I14" s="170" t="n"/>
      <c r="J14" s="170" t="n"/>
      <c r="K14" s="170" t="n"/>
      <c r="L14" s="170" t="n"/>
      <c r="M14" s="170" t="n"/>
      <c r="N14" s="170" t="n"/>
      <c r="O14" s="170" t="n"/>
      <c r="P14" s="170" t="n"/>
      <c r="Q14" s="170" t="n"/>
      <c r="R14" s="170" t="n"/>
      <c r="S14" s="170" t="n"/>
      <c r="T14" s="217" t="n"/>
      <c r="U14" s="173">
        <f>'May-26 Analysis'!G20</f>
        <v/>
      </c>
      <c r="V14" s="173">
        <f>'May-26 Analysis'!H20</f>
        <v/>
      </c>
      <c r="W14" s="173" t="n"/>
      <c r="X14" s="217" t="n"/>
    </row>
    <row r="15">
      <c r="A15" s="170" t="n"/>
      <c r="B15" s="170" t="n"/>
      <c r="C15" s="170" t="n"/>
      <c r="D15" s="170" t="n"/>
      <c r="E15" s="170" t="n"/>
      <c r="F15" s="170" t="n"/>
      <c r="G15" s="170" t="n"/>
      <c r="H15" s="170" t="n"/>
      <c r="I15" s="170" t="n"/>
      <c r="J15" s="170" t="n"/>
      <c r="K15" s="170" t="n"/>
      <c r="L15" s="170" t="n"/>
      <c r="M15" s="170" t="n"/>
      <c r="N15" s="170" t="n"/>
      <c r="O15" s="170" t="n"/>
      <c r="P15" s="170" t="n"/>
      <c r="Q15" s="170" t="n"/>
      <c r="R15" s="170" t="n"/>
      <c r="S15" s="170" t="n"/>
      <c r="T15" s="217" t="n"/>
      <c r="U15" s="173">
        <f>'May-26 Analysis'!G21</f>
        <v/>
      </c>
      <c r="V15" s="173">
        <f>'May-26 Analysis'!H21</f>
        <v/>
      </c>
      <c r="W15" s="173" t="n"/>
      <c r="X15" s="217" t="n"/>
    </row>
    <row r="16">
      <c r="A16" s="170" t="n"/>
      <c r="B16" s="170" t="n"/>
      <c r="C16" s="170" t="n"/>
      <c r="D16" s="170" t="n"/>
      <c r="E16" s="170" t="n"/>
      <c r="F16" s="170" t="n"/>
      <c r="G16" s="170" t="n"/>
      <c r="H16" s="170" t="n"/>
      <c r="I16" s="170" t="n"/>
      <c r="J16" s="170" t="n"/>
      <c r="K16" s="170" t="n"/>
      <c r="L16" s="170" t="n"/>
      <c r="M16" s="170" t="n"/>
      <c r="N16" s="170" t="n"/>
      <c r="O16" s="170" t="n"/>
      <c r="P16" s="170" t="n"/>
      <c r="Q16" s="170" t="n"/>
      <c r="R16" s="170" t="n"/>
      <c r="S16" s="170" t="n"/>
      <c r="T16" s="217" t="n"/>
      <c r="U16" s="173">
        <f>'May-26 Analysis'!G22</f>
        <v/>
      </c>
      <c r="V16" s="173">
        <f>'May-26 Analysis'!H22</f>
        <v/>
      </c>
      <c r="W16" s="173" t="n"/>
      <c r="X16" s="217" t="n"/>
    </row>
    <row r="17">
      <c r="A17" s="170" t="n"/>
      <c r="B17" s="170" t="n"/>
      <c r="C17" s="170" t="n"/>
      <c r="D17" s="170" t="n"/>
      <c r="E17" s="170" t="n"/>
      <c r="F17" s="170" t="n"/>
      <c r="G17" s="170" t="n"/>
      <c r="H17" s="170" t="n"/>
      <c r="I17" s="170" t="n"/>
      <c r="J17" s="170" t="n"/>
      <c r="K17" s="170" t="n"/>
      <c r="L17" s="170" t="n"/>
      <c r="M17" s="170" t="n"/>
      <c r="N17" s="170" t="n"/>
      <c r="O17" s="170" t="n"/>
      <c r="P17" s="170" t="n"/>
      <c r="Q17" s="170" t="n"/>
      <c r="R17" s="170" t="n"/>
      <c r="S17" s="170" t="n"/>
      <c r="T17" s="217" t="n"/>
      <c r="U17" s="173">
        <f>'May-26 Analysis'!G23</f>
        <v/>
      </c>
      <c r="V17" s="173">
        <f>'May-26 Analysis'!H23</f>
        <v/>
      </c>
      <c r="W17" s="173" t="n"/>
      <c r="X17" s="217" t="n"/>
    </row>
    <row r="18">
      <c r="A18" s="170" t="n"/>
      <c r="B18" s="170" t="n"/>
      <c r="C18" s="170" t="n"/>
      <c r="D18" s="170" t="n"/>
      <c r="E18" s="170" t="n"/>
      <c r="F18" s="170" t="n"/>
      <c r="G18" s="170" t="n"/>
      <c r="H18" s="170" t="n"/>
      <c r="I18" s="170" t="n"/>
      <c r="J18" s="170" t="n"/>
      <c r="K18" s="170" t="n"/>
      <c r="L18" s="170" t="n"/>
      <c r="M18" s="170" t="n"/>
      <c r="N18" s="170" t="n"/>
      <c r="O18" s="170" t="n"/>
      <c r="P18" s="170" t="n"/>
      <c r="Q18" s="170" t="n"/>
      <c r="R18" s="170" t="n"/>
      <c r="S18" s="170" t="n"/>
      <c r="T18" s="217" t="n"/>
      <c r="U18" s="173">
        <f>'May-26 Analysis'!G24</f>
        <v/>
      </c>
      <c r="V18" s="173">
        <f>'May-26 Analysis'!H24</f>
        <v/>
      </c>
      <c r="W18" s="173" t="n"/>
      <c r="X18" s="217" t="n"/>
    </row>
    <row r="19">
      <c r="A19" s="170" t="n"/>
      <c r="B19" s="170" t="n"/>
      <c r="C19" s="170" t="n"/>
      <c r="D19" s="170" t="n"/>
      <c r="E19" s="170" t="n"/>
      <c r="F19" s="170" t="n"/>
      <c r="G19" s="170" t="n"/>
      <c r="H19" s="170" t="n"/>
      <c r="I19" s="170" t="n"/>
      <c r="J19" s="170" t="n"/>
      <c r="K19" s="170" t="n"/>
      <c r="L19" s="170" t="n"/>
      <c r="M19" s="170" t="n"/>
      <c r="N19" s="170" t="n"/>
      <c r="O19" s="170" t="n"/>
      <c r="P19" s="170" t="n"/>
      <c r="Q19" s="170" t="n"/>
      <c r="R19" s="170" t="n"/>
      <c r="S19" s="170" t="n"/>
      <c r="T19" s="217" t="n"/>
      <c r="U19" s="173">
        <f>'May-26 Analysis'!G25</f>
        <v/>
      </c>
      <c r="V19" s="173">
        <f>'May-26 Analysis'!H25</f>
        <v/>
      </c>
      <c r="W19" s="173" t="n"/>
      <c r="X19" s="217" t="n"/>
    </row>
    <row r="20">
      <c r="A20" s="170" t="n"/>
      <c r="B20" s="170" t="n"/>
      <c r="C20" s="170" t="n"/>
      <c r="D20" s="170" t="n"/>
      <c r="E20" s="170" t="n"/>
      <c r="F20" s="170" t="n"/>
      <c r="G20" s="170" t="n"/>
      <c r="H20" s="170" t="n"/>
      <c r="I20" s="170" t="n"/>
      <c r="J20" s="170" t="n"/>
      <c r="K20" s="170" t="n"/>
      <c r="L20" s="170" t="n"/>
      <c r="M20" s="170" t="n"/>
      <c r="N20" s="170" t="n"/>
      <c r="O20" s="170" t="n"/>
      <c r="P20" s="170" t="n"/>
      <c r="Q20" s="170" t="n"/>
      <c r="R20" s="170" t="n"/>
      <c r="S20" s="170" t="n"/>
      <c r="T20" s="217" t="n"/>
      <c r="U20" s="173">
        <f>'May-26 Analysis'!G26</f>
        <v/>
      </c>
      <c r="V20" s="173">
        <f>'May-26 Analysis'!H26</f>
        <v/>
      </c>
      <c r="W20" s="173" t="n"/>
      <c r="X20" s="217" t="n"/>
    </row>
    <row r="21">
      <c r="A21" s="170" t="n"/>
      <c r="B21" s="170" t="n"/>
      <c r="C21" s="170" t="n"/>
      <c r="D21" s="170" t="n"/>
      <c r="E21" s="170" t="n"/>
      <c r="F21" s="170" t="n"/>
      <c r="G21" s="170" t="n"/>
      <c r="H21" s="170" t="n"/>
      <c r="I21" s="170" t="n"/>
      <c r="J21" s="170" t="n"/>
      <c r="K21" s="170" t="n"/>
      <c r="L21" s="170" t="n"/>
      <c r="M21" s="170" t="n"/>
      <c r="N21" s="170" t="n"/>
      <c r="O21" s="170" t="n"/>
      <c r="P21" s="170" t="n"/>
      <c r="Q21" s="170" t="n"/>
      <c r="R21" s="170" t="n"/>
      <c r="S21" s="170" t="n"/>
      <c r="T21" s="217" t="n"/>
      <c r="U21" s="173" t="n"/>
      <c r="V21" s="173" t="n"/>
      <c r="W21" s="173" t="n"/>
      <c r="X21" s="217" t="n"/>
    </row>
    <row r="22">
      <c r="A22" s="170" t="n"/>
      <c r="B22" s="170" t="n"/>
      <c r="C22" s="170" t="n"/>
      <c r="D22" s="170" t="n"/>
      <c r="E22" s="170" t="n"/>
      <c r="F22" s="170" t="n"/>
      <c r="G22" s="170" t="n"/>
      <c r="H22" s="170" t="n"/>
      <c r="I22" s="170" t="n"/>
      <c r="J22" s="170" t="n"/>
      <c r="K22" s="170" t="n"/>
      <c r="L22" s="170" t="n"/>
      <c r="M22" s="170" t="n"/>
      <c r="N22" s="170" t="n"/>
      <c r="O22" s="170" t="n"/>
      <c r="P22" s="170" t="n"/>
      <c r="Q22" s="170" t="n"/>
      <c r="R22" s="170" t="n"/>
      <c r="S22" s="170" t="n"/>
      <c r="T22" s="217" t="n"/>
      <c r="U22" s="219" t="inlineStr">
        <is>
          <t>Defect Type</t>
        </is>
      </c>
      <c r="V22" s="219" t="inlineStr">
        <is>
          <t>Count</t>
        </is>
      </c>
      <c r="W22" s="173" t="n"/>
      <c r="X22" s="217" t="n"/>
    </row>
    <row r="23" ht="16" customHeight="1" s="233">
      <c r="A23" s="170" t="n"/>
      <c r="B23" s="171" t="inlineStr">
        <is>
          <t>Complaints by Site (Top 8)</t>
        </is>
      </c>
      <c r="C23" s="170" t="n"/>
      <c r="D23" s="170" t="n"/>
      <c r="E23" s="170" t="n"/>
      <c r="F23" s="170" t="n"/>
      <c r="G23" s="170" t="n"/>
      <c r="H23" s="171" t="inlineStr">
        <is>
          <t>Complaints by State</t>
        </is>
      </c>
      <c r="I23" s="170" t="n"/>
      <c r="J23" s="170" t="n"/>
      <c r="K23" s="170" t="n"/>
      <c r="L23" s="170" t="n"/>
      <c r="M23" s="170" t="n"/>
      <c r="N23" s="171" t="inlineStr">
        <is>
          <t>Defect Type Mix</t>
        </is>
      </c>
      <c r="O23" s="170" t="n"/>
      <c r="P23" s="170" t="n"/>
      <c r="Q23" s="170" t="n"/>
      <c r="R23" s="170" t="n"/>
      <c r="S23" s="170" t="n"/>
      <c r="T23" s="217" t="n"/>
      <c r="U23" s="218">
        <f>'Defect Analysis May-26'!A9</f>
        <v/>
      </c>
      <c r="V23" s="218">
        <f>'Defect Analysis May-26'!B9</f>
        <v/>
      </c>
      <c r="W23" s="173" t="n"/>
      <c r="X23" s="217" t="n"/>
    </row>
    <row r="24">
      <c r="A24" s="170" t="n"/>
      <c r="B24" s="170" t="n"/>
      <c r="C24" s="170" t="n"/>
      <c r="D24" s="170" t="n"/>
      <c r="E24" s="170" t="n"/>
      <c r="F24" s="170" t="n"/>
      <c r="G24" s="170" t="n"/>
      <c r="H24" s="170" t="n"/>
      <c r="I24" s="170" t="n"/>
      <c r="J24" s="170" t="n"/>
      <c r="K24" s="170" t="n"/>
      <c r="L24" s="170" t="n"/>
      <c r="M24" s="170" t="n"/>
      <c r="N24" s="170" t="n"/>
      <c r="O24" s="170" t="n"/>
      <c r="P24" s="170" t="n"/>
      <c r="Q24" s="170" t="n"/>
      <c r="R24" s="170" t="n"/>
      <c r="S24" s="170" t="n"/>
      <c r="T24" s="217" t="n"/>
      <c r="U24" s="218">
        <f>'Defect Analysis May-26'!A13</f>
        <v/>
      </c>
      <c r="V24" s="218">
        <f>'Defect Analysis May-26'!B13</f>
        <v/>
      </c>
      <c r="W24" s="173" t="n"/>
      <c r="X24" s="217" t="n"/>
    </row>
    <row r="25">
      <c r="A25" s="170" t="n"/>
      <c r="B25" s="170" t="n"/>
      <c r="C25" s="170" t="n"/>
      <c r="D25" s="170" t="n"/>
      <c r="E25" s="170" t="n"/>
      <c r="F25" s="170" t="n"/>
      <c r="G25" s="170" t="n"/>
      <c r="H25" s="170" t="n"/>
      <c r="I25" s="170" t="n"/>
      <c r="J25" s="170" t="n"/>
      <c r="K25" s="170" t="n"/>
      <c r="L25" s="170" t="n"/>
      <c r="M25" s="170" t="n"/>
      <c r="N25" s="170" t="n"/>
      <c r="O25" s="170" t="n"/>
      <c r="P25" s="170" t="n"/>
      <c r="Q25" s="170" t="n"/>
      <c r="R25" s="170" t="n"/>
      <c r="S25" s="170" t="n"/>
      <c r="T25" s="217" t="n"/>
      <c r="U25" s="218">
        <f>'Defect Analysis May-26'!A16</f>
        <v/>
      </c>
      <c r="V25" s="218">
        <f>'Defect Analysis May-26'!B16</f>
        <v/>
      </c>
      <c r="W25" s="173" t="n"/>
      <c r="X25" s="217" t="n"/>
    </row>
    <row r="26">
      <c r="A26" s="170" t="n"/>
      <c r="B26" s="170" t="n"/>
      <c r="C26" s="170" t="n"/>
      <c r="D26" s="170" t="n"/>
      <c r="E26" s="170" t="n"/>
      <c r="F26" s="170" t="n"/>
      <c r="G26" s="170" t="n"/>
      <c r="H26" s="170" t="n"/>
      <c r="I26" s="170" t="n"/>
      <c r="J26" s="170" t="n"/>
      <c r="K26" s="170" t="n"/>
      <c r="L26" s="170" t="n"/>
      <c r="M26" s="170" t="n"/>
      <c r="N26" s="170" t="n"/>
      <c r="O26" s="170" t="n"/>
      <c r="P26" s="170" t="n"/>
      <c r="Q26" s="170" t="n"/>
      <c r="R26" s="170" t="n"/>
      <c r="S26" s="170" t="n"/>
      <c r="T26" s="217" t="n"/>
      <c r="U26" s="218">
        <f>'Defect Analysis May-26'!A11</f>
        <v/>
      </c>
      <c r="V26" s="218">
        <f>'Defect Analysis May-26'!B11</f>
        <v/>
      </c>
      <c r="W26" s="173" t="n"/>
      <c r="X26" s="217" t="n"/>
    </row>
    <row r="27">
      <c r="A27" s="170" t="n"/>
      <c r="B27" s="170" t="n"/>
      <c r="C27" s="170" t="n"/>
      <c r="D27" s="170" t="n"/>
      <c r="E27" s="170" t="n"/>
      <c r="F27" s="170" t="n"/>
      <c r="G27" s="170" t="n"/>
      <c r="H27" s="170" t="n"/>
      <c r="I27" s="170" t="n"/>
      <c r="J27" s="170" t="n"/>
      <c r="K27" s="170" t="n"/>
      <c r="L27" s="170" t="n"/>
      <c r="M27" s="170" t="n"/>
      <c r="N27" s="170" t="n"/>
      <c r="O27" s="170" t="n"/>
      <c r="P27" s="170" t="n"/>
      <c r="Q27" s="170" t="n"/>
      <c r="R27" s="170" t="n"/>
      <c r="S27" s="170" t="n"/>
      <c r="T27" s="217" t="n"/>
      <c r="U27" s="218" t="inlineStr">
        <is>
          <t>Others</t>
        </is>
      </c>
      <c r="V27" s="218">
        <f>'Defect Analysis May-26'!B18+'Defect Analysis May-26'!B6+'Defect Analysis May-26'!B7+'Defect Analysis May-26'!B8+'Defect Analysis May-26'!B10+'Defect Analysis May-26'!B12+'Defect Analysis May-26'!B14+'Defect Analysis May-26'!B17</f>
        <v/>
      </c>
      <c r="W27" s="173" t="n"/>
      <c r="X27" s="217" t="n"/>
    </row>
    <row r="28">
      <c r="A28" s="170" t="n"/>
      <c r="B28" s="170" t="n"/>
      <c r="C28" s="170" t="n"/>
      <c r="D28" s="170" t="n"/>
      <c r="E28" s="170" t="n"/>
      <c r="F28" s="170" t="n"/>
      <c r="G28" s="170" t="n"/>
      <c r="H28" s="170" t="n"/>
      <c r="I28" s="170" t="n"/>
      <c r="J28" s="170" t="n"/>
      <c r="K28" s="170" t="n"/>
      <c r="L28" s="170" t="n"/>
      <c r="M28" s="170" t="n"/>
      <c r="N28" s="170" t="n"/>
      <c r="O28" s="170" t="n"/>
      <c r="P28" s="170" t="n"/>
      <c r="Q28" s="170" t="n"/>
      <c r="R28" s="170" t="n"/>
      <c r="S28" s="170" t="n"/>
      <c r="T28" s="217" t="n"/>
      <c r="U28" s="218" t="n"/>
      <c r="V28" s="218" t="n"/>
      <c r="W28" s="173" t="n"/>
      <c r="X28" s="217" t="n"/>
    </row>
    <row r="29">
      <c r="A29" s="170" t="n"/>
      <c r="B29" s="170" t="n"/>
      <c r="C29" s="170" t="n"/>
      <c r="D29" s="170" t="n"/>
      <c r="E29" s="170" t="n"/>
      <c r="F29" s="170" t="n"/>
      <c r="G29" s="170" t="n"/>
      <c r="H29" s="170" t="n"/>
      <c r="I29" s="170" t="n"/>
      <c r="J29" s="170" t="n"/>
      <c r="K29" s="170" t="n"/>
      <c r="L29" s="170" t="n"/>
      <c r="M29" s="170" t="n"/>
      <c r="N29" s="170" t="n"/>
      <c r="O29" s="170" t="n"/>
      <c r="P29" s="170" t="n"/>
      <c r="Q29" s="170" t="n"/>
      <c r="R29" s="170" t="n"/>
      <c r="S29" s="170" t="n"/>
      <c r="T29" s="217" t="n"/>
      <c r="U29" s="218" t="n"/>
      <c r="V29" s="218" t="n"/>
      <c r="W29" s="173" t="n"/>
      <c r="X29" s="217" t="n"/>
    </row>
    <row r="30">
      <c r="A30" s="170" t="n"/>
      <c r="B30" s="170" t="n"/>
      <c r="C30" s="170" t="n"/>
      <c r="D30" s="170" t="n"/>
      <c r="E30" s="170" t="n"/>
      <c r="F30" s="170" t="n"/>
      <c r="G30" s="170" t="n"/>
      <c r="H30" s="170" t="n"/>
      <c r="I30" s="170" t="n"/>
      <c r="J30" s="170" t="n"/>
      <c r="K30" s="170" t="n"/>
      <c r="L30" s="170" t="n"/>
      <c r="M30" s="170" t="n"/>
      <c r="N30" s="170" t="n"/>
      <c r="O30" s="170" t="n"/>
      <c r="P30" s="170" t="n"/>
      <c r="Q30" s="170" t="n"/>
      <c r="R30" s="170" t="n"/>
      <c r="S30" s="170" t="n"/>
      <c r="T30" s="217" t="n"/>
      <c r="U30" s="218" t="n"/>
      <c r="V30" s="218" t="n"/>
      <c r="W30" s="173" t="n"/>
      <c r="X30" s="217" t="n"/>
    </row>
    <row r="31">
      <c r="A31" s="170" t="n"/>
      <c r="B31" s="170" t="n"/>
      <c r="C31" s="170" t="n"/>
      <c r="D31" s="170" t="n"/>
      <c r="E31" s="170" t="n"/>
      <c r="F31" s="170" t="n"/>
      <c r="G31" s="170" t="n"/>
      <c r="H31" s="170" t="n"/>
      <c r="I31" s="170" t="n"/>
      <c r="J31" s="170" t="n"/>
      <c r="K31" s="170" t="n"/>
      <c r="L31" s="170" t="n"/>
      <c r="M31" s="170" t="n"/>
      <c r="N31" s="170" t="n"/>
      <c r="O31" s="170" t="n"/>
      <c r="P31" s="170" t="n"/>
      <c r="Q31" s="170" t="n"/>
      <c r="R31" s="170" t="n"/>
      <c r="S31" s="170" t="n"/>
      <c r="T31" s="217" t="n"/>
      <c r="U31" s="218" t="n"/>
      <c r="V31" s="218" t="n"/>
      <c r="W31" s="173" t="n"/>
      <c r="X31" s="217" t="n"/>
    </row>
    <row r="32">
      <c r="A32" s="170" t="n"/>
      <c r="B32" s="170" t="n"/>
      <c r="C32" s="170" t="n"/>
      <c r="D32" s="170" t="n"/>
      <c r="E32" s="170" t="n"/>
      <c r="F32" s="170" t="n"/>
      <c r="G32" s="170" t="n"/>
      <c r="H32" s="170" t="n"/>
      <c r="I32" s="170" t="n"/>
      <c r="J32" s="170" t="n"/>
      <c r="K32" s="170" t="n"/>
      <c r="L32" s="170" t="n"/>
      <c r="M32" s="170" t="n"/>
      <c r="N32" s="170" t="n"/>
      <c r="O32" s="170" t="n"/>
      <c r="P32" s="170" t="n"/>
      <c r="Q32" s="170" t="n"/>
      <c r="R32" s="170" t="n"/>
      <c r="S32" s="170" t="n"/>
      <c r="T32" s="217" t="n"/>
      <c r="U32" s="218" t="n"/>
      <c r="V32" s="218" t="n"/>
      <c r="W32" s="173" t="n"/>
      <c r="X32" s="217" t="n"/>
    </row>
    <row r="33">
      <c r="A33" s="170" t="n"/>
      <c r="B33" s="170" t="n"/>
      <c r="C33" s="170" t="n"/>
      <c r="D33" s="170" t="n"/>
      <c r="E33" s="170" t="n"/>
      <c r="F33" s="170" t="n"/>
      <c r="G33" s="170" t="n"/>
      <c r="H33" s="170" t="n"/>
      <c r="I33" s="170" t="n"/>
      <c r="J33" s="170" t="n"/>
      <c r="K33" s="170" t="n"/>
      <c r="L33" s="170" t="n"/>
      <c r="M33" s="170" t="n"/>
      <c r="N33" s="170" t="n"/>
      <c r="O33" s="170" t="n"/>
      <c r="P33" s="170" t="n"/>
      <c r="Q33" s="170" t="n"/>
      <c r="R33" s="170" t="n"/>
      <c r="S33" s="170" t="n"/>
      <c r="T33" s="217" t="n"/>
      <c r="U33" s="218" t="n"/>
      <c r="V33" s="218" t="n"/>
      <c r="W33" s="173" t="n"/>
      <c r="X33" s="217" t="n"/>
    </row>
    <row r="34">
      <c r="A34" s="170" t="n"/>
      <c r="B34" s="170" t="n"/>
      <c r="C34" s="170" t="n"/>
      <c r="D34" s="170" t="n"/>
      <c r="E34" s="170" t="n"/>
      <c r="F34" s="170" t="n"/>
      <c r="G34" s="170" t="n"/>
      <c r="H34" s="170" t="n"/>
      <c r="I34" s="170" t="n"/>
      <c r="J34" s="170" t="n"/>
      <c r="K34" s="170" t="n"/>
      <c r="L34" s="170" t="n"/>
      <c r="M34" s="170" t="n"/>
      <c r="N34" s="170" t="n"/>
      <c r="O34" s="170" t="n"/>
      <c r="P34" s="170" t="n"/>
      <c r="Q34" s="170" t="n"/>
      <c r="R34" s="170" t="n"/>
      <c r="S34" s="170" t="n"/>
      <c r="T34" s="217" t="n"/>
      <c r="U34" s="218" t="n"/>
      <c r="V34" s="218" t="n"/>
      <c r="W34" s="173" t="n"/>
      <c r="X34" s="217" t="n"/>
    </row>
    <row r="35">
      <c r="A35" s="170" t="n"/>
      <c r="B35" s="170" t="n"/>
      <c r="C35" s="170" t="n"/>
      <c r="D35" s="170" t="n"/>
      <c r="E35" s="170" t="n"/>
      <c r="F35" s="170" t="n"/>
      <c r="G35" s="170" t="n"/>
      <c r="H35" s="170" t="n"/>
      <c r="I35" s="170" t="n"/>
      <c r="J35" s="170" t="n"/>
      <c r="K35" s="170" t="n"/>
      <c r="L35" s="170" t="n"/>
      <c r="M35" s="170" t="n"/>
      <c r="N35" s="170" t="n"/>
      <c r="O35" s="170" t="n"/>
      <c r="P35" s="170" t="n"/>
      <c r="Q35" s="170" t="n"/>
      <c r="R35" s="170" t="n"/>
      <c r="S35" s="170" t="n"/>
      <c r="T35" s="217" t="n"/>
      <c r="U35" s="173" t="n"/>
      <c r="V35" s="173" t="n"/>
      <c r="W35" s="173" t="n"/>
      <c r="X35" s="217" t="n"/>
    </row>
    <row r="36">
      <c r="A36" s="170" t="n"/>
      <c r="B36" s="170" t="n"/>
      <c r="C36" s="170" t="n"/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70" t="n"/>
      <c r="M36" s="170" t="n"/>
      <c r="N36" s="170" t="n"/>
      <c r="O36" s="170" t="n"/>
      <c r="P36" s="170" t="n"/>
      <c r="Q36" s="170" t="n"/>
      <c r="R36" s="170" t="n"/>
      <c r="S36" s="170" t="n"/>
      <c r="T36" s="217" t="n"/>
      <c r="U36" s="173" t="n"/>
      <c r="V36" s="173" t="n"/>
      <c r="W36" s="173" t="n"/>
      <c r="X36" s="217" t="n"/>
    </row>
    <row r="37">
      <c r="A37" s="170" t="n"/>
      <c r="B37" s="170" t="n"/>
      <c r="C37" s="170" t="n"/>
      <c r="D37" s="170" t="n"/>
      <c r="E37" s="170" t="n"/>
      <c r="F37" s="170" t="n"/>
      <c r="G37" s="170" t="n"/>
      <c r="H37" s="170" t="n"/>
      <c r="I37" s="170" t="n"/>
      <c r="J37" s="170" t="n"/>
      <c r="K37" s="170" t="n"/>
      <c r="L37" s="170" t="n"/>
      <c r="M37" s="170" t="n"/>
      <c r="N37" s="170" t="n"/>
      <c r="O37" s="170" t="n"/>
      <c r="P37" s="170" t="n"/>
      <c r="Q37" s="170" t="n"/>
      <c r="R37" s="170" t="n"/>
      <c r="S37" s="170" t="n"/>
      <c r="T37" s="217" t="n"/>
      <c r="U37" s="173" t="inlineStr">
        <is>
          <t>Week</t>
        </is>
      </c>
      <c r="V37" s="173" t="inlineStr">
        <is>
          <t>Modules</t>
        </is>
      </c>
      <c r="W37" s="173" t="n"/>
      <c r="X37" s="217" t="n"/>
    </row>
    <row r="38">
      <c r="A38" s="170" t="n"/>
      <c r="B38" s="170" t="n"/>
      <c r="C38" s="170" t="n"/>
      <c r="D38" s="170" t="n"/>
      <c r="E38" s="170" t="n"/>
      <c r="F38" s="170" t="n"/>
      <c r="G38" s="170" t="n"/>
      <c r="H38" s="170" t="n"/>
      <c r="I38" s="170" t="n"/>
      <c r="J38" s="170" t="n"/>
      <c r="K38" s="170" t="n"/>
      <c r="L38" s="170" t="n"/>
      <c r="M38" s="170" t="n"/>
      <c r="N38" s="170" t="n"/>
      <c r="O38" s="170" t="n"/>
      <c r="P38" s="170" t="n"/>
      <c r="Q38" s="170" t="n"/>
      <c r="R38" s="170" t="n"/>
      <c r="S38" s="170" t="n"/>
      <c r="T38" s="217" t="n"/>
      <c r="U38" s="173">
        <f>'May-26 Analysis'!G46</f>
        <v/>
      </c>
      <c r="V38" s="173">
        <f>'May-26 Analysis'!H46</f>
        <v/>
      </c>
      <c r="W38" s="173" t="n"/>
      <c r="X38" s="217" t="n"/>
    </row>
    <row r="39">
      <c r="A39" s="170" t="n"/>
      <c r="B39" s="170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170" t="n"/>
      <c r="P39" s="170" t="n"/>
      <c r="Q39" s="170" t="n"/>
      <c r="R39" s="170" t="n"/>
      <c r="S39" s="170" t="n"/>
      <c r="T39" s="217" t="n"/>
      <c r="U39" s="173">
        <f>'May-26 Analysis'!G47</f>
        <v/>
      </c>
      <c r="V39" s="173">
        <f>'May-26 Analysis'!H47</f>
        <v/>
      </c>
      <c r="W39" s="173" t="n"/>
      <c r="X39" s="217" t="n"/>
    </row>
    <row r="40" ht="16" customHeight="1" s="233">
      <c r="A40" s="170" t="n"/>
      <c r="B40" s="171" t="inlineStr">
        <is>
          <t>Resolution Time (TAT) Distribution</t>
        </is>
      </c>
      <c r="C40" s="170" t="n"/>
      <c r="D40" s="170" t="n"/>
      <c r="E40" s="170" t="n"/>
      <c r="F40" s="170" t="n"/>
      <c r="G40" s="170" t="n"/>
      <c r="H40" s="171" t="inlineStr">
        <is>
          <t>Weekly Complaint Volume</t>
        </is>
      </c>
      <c r="I40" s="170" t="n"/>
      <c r="J40" s="170" t="n"/>
      <c r="K40" s="170" t="n"/>
      <c r="L40" s="170" t="n"/>
      <c r="M40" s="170" t="n"/>
      <c r="N40" s="170" t="n"/>
      <c r="O40" s="170" t="n"/>
      <c r="P40" s="170" t="n"/>
      <c r="Q40" s="170" t="n"/>
      <c r="R40" s="170" t="n"/>
      <c r="S40" s="170" t="n"/>
      <c r="T40" s="217" t="n"/>
      <c r="U40" s="173">
        <f>'May-26 Analysis'!G48</f>
        <v/>
      </c>
      <c r="V40" s="173">
        <f>'May-26 Analysis'!H48</f>
        <v/>
      </c>
      <c r="W40" s="173" t="n"/>
      <c r="X40" s="217" t="n"/>
    </row>
    <row r="41">
      <c r="A41" s="170" t="n"/>
      <c r="B41" s="170" t="n"/>
      <c r="C41" s="170" t="n"/>
      <c r="D41" s="170" t="n"/>
      <c r="E41" s="170" t="n"/>
      <c r="F41" s="170" t="n"/>
      <c r="G41" s="170" t="n"/>
      <c r="H41" s="170" t="n"/>
      <c r="I41" s="170" t="n"/>
      <c r="J41" s="170" t="n"/>
      <c r="K41" s="170" t="n"/>
      <c r="L41" s="170" t="n"/>
      <c r="M41" s="170" t="n"/>
      <c r="N41" s="170" t="n"/>
      <c r="O41" s="170" t="n"/>
      <c r="P41" s="170" t="n"/>
      <c r="Q41" s="170" t="n"/>
      <c r="R41" s="170" t="n"/>
      <c r="S41" s="170" t="n"/>
      <c r="T41" s="217" t="n"/>
      <c r="U41" s="173">
        <f>'May-26 Analysis'!G49</f>
        <v/>
      </c>
      <c r="V41" s="173">
        <f>'May-26 Analysis'!H49</f>
        <v/>
      </c>
      <c r="W41" s="173" t="n"/>
      <c r="X41" s="217" t="n"/>
    </row>
    <row r="42">
      <c r="A42" s="170" t="n"/>
      <c r="B42" s="170" t="n"/>
      <c r="C42" s="170" t="n"/>
      <c r="D42" s="170" t="n"/>
      <c r="E42" s="170" t="n"/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0" t="n"/>
      <c r="O42" s="170" t="n"/>
      <c r="P42" s="170" t="n"/>
      <c r="Q42" s="170" t="n"/>
      <c r="R42" s="170" t="n"/>
      <c r="S42" s="170" t="n"/>
      <c r="T42" s="217" t="n"/>
      <c r="U42" s="173">
        <f>'May-26 Analysis'!G50</f>
        <v/>
      </c>
      <c r="V42" s="173">
        <f>'May-26 Analysis'!H50</f>
        <v/>
      </c>
      <c r="W42" s="173" t="n"/>
      <c r="X42" s="217" t="n"/>
    </row>
    <row r="43">
      <c r="A43" s="170" t="n"/>
      <c r="B43" s="170" t="n"/>
      <c r="C43" s="170" t="n"/>
      <c r="D43" s="170" t="n"/>
      <c r="E43" s="170" t="n"/>
      <c r="F43" s="170" t="n"/>
      <c r="G43" s="170" t="n"/>
      <c r="H43" s="170" t="n"/>
      <c r="I43" s="170" t="n"/>
      <c r="J43" s="170" t="n"/>
      <c r="K43" s="170" t="n"/>
      <c r="L43" s="170" t="n"/>
      <c r="M43" s="170" t="n"/>
      <c r="N43" s="170" t="n"/>
      <c r="O43" s="170" t="n"/>
      <c r="P43" s="170" t="n"/>
      <c r="Q43" s="170" t="n"/>
      <c r="R43" s="170" t="n"/>
      <c r="S43" s="170" t="n"/>
      <c r="T43" s="217" t="n"/>
      <c r="U43" s="173" t="n"/>
      <c r="V43" s="173" t="n"/>
      <c r="W43" s="173" t="n"/>
      <c r="X43" s="217" t="n"/>
    </row>
    <row r="44">
      <c r="A44" s="170" t="n"/>
      <c r="B44" s="170" t="n"/>
      <c r="C44" s="170" t="n"/>
      <c r="D44" s="170" t="n"/>
      <c r="E44" s="170" t="n"/>
      <c r="F44" s="170" t="n"/>
      <c r="G44" s="170" t="n"/>
      <c r="H44" s="170" t="n"/>
      <c r="I44" s="170" t="n"/>
      <c r="J44" s="170" t="n"/>
      <c r="K44" s="170" t="n"/>
      <c r="L44" s="170" t="n"/>
      <c r="M44" s="170" t="n"/>
      <c r="N44" s="170" t="n"/>
      <c r="O44" s="170" t="n"/>
      <c r="P44" s="170" t="n"/>
      <c r="Q44" s="170" t="n"/>
      <c r="R44" s="170" t="n"/>
      <c r="S44" s="170" t="n"/>
      <c r="T44" s="217" t="n"/>
      <c r="U44" s="173" t="n"/>
      <c r="V44" s="173" t="n"/>
      <c r="W44" s="173" t="n"/>
      <c r="X44" s="217" t="n"/>
    </row>
    <row r="45">
      <c r="A45" s="170" t="n"/>
      <c r="B45" s="170" t="n"/>
      <c r="C45" s="170" t="n"/>
      <c r="D45" s="170" t="n"/>
      <c r="E45" s="170" t="n"/>
      <c r="F45" s="170" t="n"/>
      <c r="G45" s="170" t="n"/>
      <c r="H45" s="170" t="n"/>
      <c r="I45" s="170" t="n"/>
      <c r="J45" s="170" t="n"/>
      <c r="K45" s="170" t="n"/>
      <c r="L45" s="170" t="n"/>
      <c r="M45" s="170" t="n"/>
      <c r="N45" s="170" t="n"/>
      <c r="O45" s="170" t="n"/>
      <c r="P45" s="170" t="n"/>
      <c r="Q45" s="170" t="n"/>
      <c r="R45" s="170" t="n"/>
      <c r="S45" s="170" t="n"/>
      <c r="T45" s="217" t="n"/>
      <c r="U45" s="173" t="inlineStr">
        <is>
          <t>Date</t>
        </is>
      </c>
      <c r="V45" s="173" t="inlineStr">
        <is>
          <t>Visited</t>
        </is>
      </c>
      <c r="W45" s="173" t="inlineStr">
        <is>
          <t>Closed</t>
        </is>
      </c>
      <c r="X45" s="217" t="n"/>
    </row>
    <row r="46">
      <c r="A46" s="170" t="n"/>
      <c r="B46" s="170" t="n"/>
      <c r="C46" s="170" t="n"/>
      <c r="D46" s="170" t="n"/>
      <c r="E46" s="170" t="n"/>
      <c r="F46" s="170" t="n"/>
      <c r="G46" s="170" t="n"/>
      <c r="H46" s="170" t="n"/>
      <c r="I46" s="170" t="n"/>
      <c r="J46" s="170" t="n"/>
      <c r="K46" s="170" t="n"/>
      <c r="L46" s="170" t="n"/>
      <c r="M46" s="170" t="n"/>
      <c r="N46" s="170" t="n"/>
      <c r="O46" s="170" t="n"/>
      <c r="P46" s="170" t="n"/>
      <c r="Q46" s="170" t="n"/>
      <c r="R46" s="170" t="n"/>
      <c r="S46" s="170" t="n"/>
      <c r="T46" s="217" t="n"/>
      <c r="U46" s="174">
        <f>'May-26 Analysis'!A40</f>
        <v/>
      </c>
      <c r="V46" s="173">
        <f>'May-26 Analysis'!B40</f>
        <v/>
      </c>
      <c r="W46" s="173">
        <f>'May-26 Analysis'!C40</f>
        <v/>
      </c>
      <c r="X46" s="217" t="n"/>
    </row>
    <row r="47">
      <c r="A47" s="170" t="n"/>
      <c r="B47" s="170" t="n"/>
      <c r="C47" s="170" t="n"/>
      <c r="D47" s="170" t="n"/>
      <c r="E47" s="170" t="n"/>
      <c r="F47" s="170" t="n"/>
      <c r="G47" s="170" t="n"/>
      <c r="H47" s="170" t="n"/>
      <c r="I47" s="170" t="n"/>
      <c r="J47" s="170" t="n"/>
      <c r="K47" s="170" t="n"/>
      <c r="L47" s="170" t="n"/>
      <c r="M47" s="170" t="n"/>
      <c r="N47" s="170" t="n"/>
      <c r="O47" s="170" t="n"/>
      <c r="P47" s="170" t="n"/>
      <c r="Q47" s="170" t="n"/>
      <c r="R47" s="170" t="n"/>
      <c r="S47" s="170" t="n"/>
      <c r="T47" s="217" t="n"/>
      <c r="U47" s="174">
        <f>'May-26 Analysis'!A41</f>
        <v/>
      </c>
      <c r="V47" s="173">
        <f>'May-26 Analysis'!B41</f>
        <v/>
      </c>
      <c r="W47" s="173">
        <f>'May-26 Analysis'!C41</f>
        <v/>
      </c>
      <c r="X47" s="217" t="n"/>
    </row>
    <row r="48">
      <c r="A48" s="170" t="n"/>
      <c r="B48" s="170" t="n"/>
      <c r="C48" s="170" t="n"/>
      <c r="D48" s="170" t="n"/>
      <c r="E48" s="170" t="n"/>
      <c r="F48" s="170" t="n"/>
      <c r="G48" s="170" t="n"/>
      <c r="H48" s="170" t="n"/>
      <c r="I48" s="170" t="n"/>
      <c r="J48" s="170" t="n"/>
      <c r="K48" s="170" t="n"/>
      <c r="L48" s="170" t="n"/>
      <c r="M48" s="170" t="n"/>
      <c r="N48" s="170" t="n"/>
      <c r="O48" s="170" t="n"/>
      <c r="P48" s="170" t="n"/>
      <c r="Q48" s="170" t="n"/>
      <c r="R48" s="170" t="n"/>
      <c r="S48" s="170" t="n"/>
      <c r="T48" s="217" t="n"/>
      <c r="U48" s="174">
        <f>'May-26 Analysis'!A42</f>
        <v/>
      </c>
      <c r="V48" s="173">
        <f>'May-26 Analysis'!B42</f>
        <v/>
      </c>
      <c r="W48" s="173">
        <f>'May-26 Analysis'!C42</f>
        <v/>
      </c>
      <c r="X48" s="217" t="n"/>
    </row>
    <row r="49">
      <c r="A49" s="170" t="n"/>
      <c r="B49" s="170" t="n"/>
      <c r="C49" s="170" t="n"/>
      <c r="D49" s="170" t="n"/>
      <c r="E49" s="170" t="n"/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0" t="n"/>
      <c r="O49" s="170" t="n"/>
      <c r="P49" s="170" t="n"/>
      <c r="Q49" s="170" t="n"/>
      <c r="R49" s="170" t="n"/>
      <c r="S49" s="170" t="n"/>
      <c r="T49" s="217" t="n"/>
      <c r="U49" s="174">
        <f>'May-26 Analysis'!A43</f>
        <v/>
      </c>
      <c r="V49" s="173">
        <f>'May-26 Analysis'!B43</f>
        <v/>
      </c>
      <c r="W49" s="173">
        <f>'May-26 Analysis'!C43</f>
        <v/>
      </c>
      <c r="X49" s="217" t="n"/>
    </row>
    <row r="50">
      <c r="A50" s="170" t="n"/>
      <c r="B50" s="170" t="n"/>
      <c r="C50" s="170" t="n"/>
      <c r="D50" s="170" t="n"/>
      <c r="E50" s="170" t="n"/>
      <c r="F50" s="170" t="n"/>
      <c r="G50" s="170" t="n"/>
      <c r="H50" s="170" t="n"/>
      <c r="I50" s="170" t="n"/>
      <c r="J50" s="170" t="n"/>
      <c r="K50" s="170" t="n"/>
      <c r="L50" s="170" t="n"/>
      <c r="M50" s="170" t="n"/>
      <c r="N50" s="170" t="n"/>
      <c r="O50" s="170" t="n"/>
      <c r="P50" s="170" t="n"/>
      <c r="Q50" s="170" t="n"/>
      <c r="R50" s="170" t="n"/>
      <c r="S50" s="170" t="n"/>
      <c r="T50" s="217" t="n"/>
      <c r="U50" s="174">
        <f>'May-26 Analysis'!A44</f>
        <v/>
      </c>
      <c r="V50" s="173">
        <f>'May-26 Analysis'!B44</f>
        <v/>
      </c>
      <c r="W50" s="173">
        <f>'May-26 Analysis'!C44</f>
        <v/>
      </c>
      <c r="X50" s="217" t="n"/>
    </row>
    <row r="51">
      <c r="A51" s="170" t="n"/>
      <c r="B51" s="170" t="n"/>
      <c r="C51" s="170" t="n"/>
      <c r="D51" s="170" t="n"/>
      <c r="E51" s="170" t="n"/>
      <c r="F51" s="170" t="n"/>
      <c r="G51" s="170" t="n"/>
      <c r="H51" s="170" t="n"/>
      <c r="I51" s="170" t="n"/>
      <c r="J51" s="170" t="n"/>
      <c r="K51" s="170" t="n"/>
      <c r="L51" s="170" t="n"/>
      <c r="M51" s="170" t="n"/>
      <c r="N51" s="170" t="n"/>
      <c r="O51" s="170" t="n"/>
      <c r="P51" s="170" t="n"/>
      <c r="Q51" s="170" t="n"/>
      <c r="R51" s="170" t="n"/>
      <c r="S51" s="170" t="n"/>
      <c r="T51" s="217" t="n"/>
      <c r="U51" s="174">
        <f>'May-26 Analysis'!A45</f>
        <v/>
      </c>
      <c r="V51" s="173">
        <f>'May-26 Analysis'!B45</f>
        <v/>
      </c>
      <c r="W51" s="173">
        <f>'May-26 Analysis'!C45</f>
        <v/>
      </c>
      <c r="X51" s="217" t="n"/>
    </row>
    <row r="52">
      <c r="A52" s="170" t="n"/>
      <c r="B52" s="170" t="n"/>
      <c r="C52" s="170" t="n"/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70" t="n"/>
      <c r="N52" s="170" t="n"/>
      <c r="O52" s="170" t="n"/>
      <c r="P52" s="170" t="n"/>
      <c r="Q52" s="170" t="n"/>
      <c r="R52" s="170" t="n"/>
      <c r="S52" s="170" t="n"/>
      <c r="T52" s="217" t="n"/>
      <c r="U52" s="174">
        <f>'May-26 Analysis'!A46</f>
        <v/>
      </c>
      <c r="V52" s="173">
        <f>'May-26 Analysis'!B46</f>
        <v/>
      </c>
      <c r="W52" s="173">
        <f>'May-26 Analysis'!C46</f>
        <v/>
      </c>
      <c r="X52" s="217" t="n"/>
    </row>
    <row r="53">
      <c r="A53" s="170" t="n"/>
      <c r="B53" s="170" t="n"/>
      <c r="C53" s="170" t="n"/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0" t="n"/>
      <c r="N53" s="170" t="n"/>
      <c r="O53" s="170" t="n"/>
      <c r="P53" s="170" t="n"/>
      <c r="Q53" s="170" t="n"/>
      <c r="R53" s="170" t="n"/>
      <c r="S53" s="170" t="n"/>
      <c r="T53" s="217" t="n"/>
      <c r="U53" s="174">
        <f>'May-26 Analysis'!A47</f>
        <v/>
      </c>
      <c r="V53" s="173">
        <f>'May-26 Analysis'!B47</f>
        <v/>
      </c>
      <c r="W53" s="173">
        <f>'May-26 Analysis'!C47</f>
        <v/>
      </c>
      <c r="X53" s="217" t="n"/>
    </row>
    <row r="54">
      <c r="A54" s="170" t="n"/>
      <c r="B54" s="170" t="n"/>
      <c r="C54" s="170" t="n"/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0" t="n"/>
      <c r="N54" s="170" t="n"/>
      <c r="O54" s="170" t="n"/>
      <c r="P54" s="170" t="n"/>
      <c r="Q54" s="170" t="n"/>
      <c r="R54" s="170" t="n"/>
      <c r="S54" s="170" t="n"/>
      <c r="T54" s="217" t="n"/>
      <c r="U54" s="174">
        <f>'May-26 Analysis'!A48</f>
        <v/>
      </c>
      <c r="V54" s="173">
        <f>'May-26 Analysis'!B48</f>
        <v/>
      </c>
      <c r="W54" s="173">
        <f>'May-26 Analysis'!C48</f>
        <v/>
      </c>
      <c r="X54" s="217" t="n"/>
    </row>
    <row r="55">
      <c r="A55" s="170" t="n"/>
      <c r="B55" s="170" t="n"/>
      <c r="C55" s="17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0" t="n"/>
      <c r="N55" s="170" t="n"/>
      <c r="O55" s="170" t="n"/>
      <c r="P55" s="170" t="n"/>
      <c r="Q55" s="170" t="n"/>
      <c r="R55" s="170" t="n"/>
      <c r="S55" s="170" t="n"/>
      <c r="T55" s="217" t="n"/>
      <c r="U55" s="174">
        <f>'May-26 Analysis'!A49</f>
        <v/>
      </c>
      <c r="V55" s="173">
        <f>'May-26 Analysis'!B49</f>
        <v/>
      </c>
      <c r="W55" s="173">
        <f>'May-26 Analysis'!C49</f>
        <v/>
      </c>
      <c r="X55" s="217" t="n"/>
    </row>
    <row r="56">
      <c r="A56" s="170" t="n"/>
      <c r="B56" s="170" t="n"/>
      <c r="C56" s="170" t="n"/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0" t="n"/>
      <c r="N56" s="170" t="n"/>
      <c r="O56" s="170" t="n"/>
      <c r="P56" s="170" t="n"/>
      <c r="Q56" s="170" t="n"/>
      <c r="R56" s="170" t="n"/>
      <c r="S56" s="170" t="n"/>
      <c r="T56" s="217" t="n"/>
      <c r="U56" s="174">
        <f>'May-26 Analysis'!A50</f>
        <v/>
      </c>
      <c r="V56" s="173">
        <f>'May-26 Analysis'!B50</f>
        <v/>
      </c>
      <c r="W56" s="173">
        <f>'May-26 Analysis'!C50</f>
        <v/>
      </c>
      <c r="X56" s="217" t="n"/>
    </row>
    <row r="57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70" t="n"/>
      <c r="M57" s="170" t="n"/>
      <c r="N57" s="170" t="n"/>
      <c r="O57" s="170" t="n"/>
      <c r="P57" s="170" t="n"/>
      <c r="Q57" s="170" t="n"/>
      <c r="R57" s="170" t="n"/>
      <c r="S57" s="170" t="n"/>
      <c r="T57" s="217" t="n"/>
      <c r="U57" s="174">
        <f>'May-26 Analysis'!A51</f>
        <v/>
      </c>
      <c r="V57" s="173">
        <f>'May-26 Analysis'!B51</f>
        <v/>
      </c>
      <c r="W57" s="173">
        <f>'May-26 Analysis'!C51</f>
        <v/>
      </c>
      <c r="X57" s="217" t="n"/>
    </row>
    <row r="58" ht="16" customHeight="1" s="233">
      <c r="A58" s="170" t="n"/>
      <c r="B58" s="204" t="inlineStr">
        <is>
          <t>MANUFACTURING PLANT-WISE</t>
        </is>
      </c>
      <c r="C58" s="170" t="n"/>
      <c r="D58" s="170" t="n"/>
      <c r="E58" s="170" t="n"/>
      <c r="F58" s="170" t="n"/>
      <c r="G58" s="170" t="n"/>
      <c r="H58" s="170" t="n"/>
      <c r="I58" s="170" t="n"/>
      <c r="J58" s="170" t="n"/>
      <c r="K58" s="204" t="inlineStr">
        <is>
          <t>MODULE TYPE DEFECT ANALYSIS - MAY 2026</t>
        </is>
      </c>
      <c r="L58" s="170" t="n"/>
      <c r="M58" s="170" t="n"/>
      <c r="N58" s="170" t="n"/>
      <c r="O58" s="170" t="n"/>
      <c r="P58" s="170" t="n"/>
      <c r="Q58" s="170" t="n"/>
      <c r="R58" s="170" t="n"/>
      <c r="S58" s="170" t="n"/>
      <c r="T58" s="217" t="n"/>
      <c r="U58" s="174">
        <f>'May-26 Analysis'!A52</f>
        <v/>
      </c>
      <c r="V58" s="173">
        <f>'May-26 Analysis'!B52</f>
        <v/>
      </c>
      <c r="W58" s="173">
        <f>'May-26 Analysis'!C52</f>
        <v/>
      </c>
      <c r="X58" s="217" t="n"/>
    </row>
    <row r="59">
      <c r="A59" s="170" t="n"/>
      <c r="B59" s="170" t="n"/>
      <c r="C59" s="170" t="n"/>
      <c r="D59" s="170" t="n"/>
      <c r="E59" s="170" t="n"/>
      <c r="F59" s="170" t="n"/>
      <c r="G59" s="170" t="n"/>
      <c r="H59" s="170" t="n"/>
      <c r="I59" s="170" t="n"/>
      <c r="J59" s="170" t="n"/>
      <c r="K59" s="170" t="n"/>
      <c r="L59" s="170" t="n"/>
      <c r="M59" s="170" t="n"/>
      <c r="N59" s="170" t="n"/>
      <c r="O59" s="170" t="n"/>
      <c r="P59" s="170" t="n"/>
      <c r="Q59" s="170" t="n"/>
      <c r="R59" s="170" t="n"/>
      <c r="S59" s="170" t="n"/>
      <c r="T59" s="217" t="n"/>
      <c r="U59" s="174">
        <f>'May-26 Analysis'!A53</f>
        <v/>
      </c>
      <c r="V59" s="173">
        <f>'May-26 Analysis'!B53</f>
        <v/>
      </c>
      <c r="W59" s="173">
        <f>'May-26 Analysis'!C53</f>
        <v/>
      </c>
      <c r="X59" s="217" t="n"/>
    </row>
    <row r="60">
      <c r="A60" s="170" t="n"/>
      <c r="B60" s="170" t="n"/>
      <c r="C60" s="170" t="n"/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0" t="n"/>
      <c r="N60" s="170" t="n"/>
      <c r="O60" s="170" t="n"/>
      <c r="P60" s="170" t="n"/>
      <c r="Q60" s="170" t="n"/>
      <c r="R60" s="170" t="n"/>
      <c r="S60" s="170" t="n"/>
      <c r="T60" s="217" t="n"/>
      <c r="U60" s="174">
        <f>'May-26 Analysis'!A54</f>
        <v/>
      </c>
      <c r="V60" s="173">
        <f>'May-26 Analysis'!B54</f>
        <v/>
      </c>
      <c r="W60" s="173">
        <f>'May-26 Analysis'!C54</f>
        <v/>
      </c>
      <c r="X60" s="217" t="n"/>
    </row>
    <row r="61">
      <c r="A61" s="170" t="n"/>
      <c r="B61" s="170" t="n"/>
      <c r="C61" s="170" t="n"/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217" t="n"/>
      <c r="U61" s="174">
        <f>'May-26 Analysis'!A55</f>
        <v/>
      </c>
      <c r="V61" s="173">
        <f>'May-26 Analysis'!B55</f>
        <v/>
      </c>
      <c r="W61" s="173">
        <f>'May-26 Analysis'!C55</f>
        <v/>
      </c>
      <c r="X61" s="217" t="n"/>
    </row>
    <row r="62">
      <c r="A62" s="170" t="n"/>
      <c r="B62" s="170" t="n"/>
      <c r="C62" s="170" t="n"/>
      <c r="D62" s="170" t="n"/>
      <c r="E62" s="170" t="n"/>
      <c r="F62" s="170" t="n"/>
      <c r="G62" s="170" t="n"/>
      <c r="H62" s="170" t="n"/>
      <c r="I62" s="170" t="n"/>
      <c r="J62" s="170" t="n"/>
      <c r="K62" s="170" t="n"/>
      <c r="L62" s="170" t="n"/>
      <c r="M62" s="170" t="n"/>
      <c r="N62" s="170" t="n"/>
      <c r="O62" s="170" t="n"/>
      <c r="P62" s="170" t="n"/>
      <c r="Q62" s="170" t="n"/>
      <c r="R62" s="170" t="n"/>
      <c r="S62" s="170" t="n"/>
      <c r="T62" s="217" t="n"/>
      <c r="U62" s="174">
        <f>'May-26 Analysis'!A56</f>
        <v/>
      </c>
      <c r="V62" s="173">
        <f>'May-26 Analysis'!B56</f>
        <v/>
      </c>
      <c r="W62" s="173">
        <f>'May-26 Analysis'!C56</f>
        <v/>
      </c>
      <c r="X62" s="217" t="n"/>
    </row>
    <row r="63">
      <c r="A63" s="170" t="n"/>
      <c r="B63" s="170" t="n"/>
      <c r="C63" s="170" t="n"/>
      <c r="D63" s="170" t="n"/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0" t="n"/>
      <c r="N63" s="170" t="n"/>
      <c r="O63" s="170" t="n"/>
      <c r="P63" s="170" t="n"/>
      <c r="Q63" s="170" t="n"/>
      <c r="R63" s="170" t="n"/>
      <c r="S63" s="170" t="n"/>
      <c r="T63" s="217" t="n"/>
      <c r="U63" s="174">
        <f>'May-26 Analysis'!A57</f>
        <v/>
      </c>
      <c r="V63" s="173">
        <f>'May-26 Analysis'!B57</f>
        <v/>
      </c>
      <c r="W63" s="173">
        <f>'May-26 Analysis'!C57</f>
        <v/>
      </c>
      <c r="X63" s="217" t="n"/>
    </row>
    <row r="64">
      <c r="A64" s="170" t="n"/>
      <c r="B64" s="170" t="n"/>
      <c r="C64" s="170" t="n"/>
      <c r="D64" s="170" t="n"/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0" t="n"/>
      <c r="N64" s="170" t="n"/>
      <c r="O64" s="170" t="n"/>
      <c r="P64" s="170" t="n"/>
      <c r="Q64" s="170" t="n"/>
      <c r="R64" s="170" t="n"/>
      <c r="S64" s="170" t="n"/>
      <c r="T64" s="217" t="n"/>
      <c r="U64" s="174">
        <f>'May-26 Analysis'!A58</f>
        <v/>
      </c>
      <c r="V64" s="173">
        <f>'May-26 Analysis'!B58</f>
        <v/>
      </c>
      <c r="W64" s="173">
        <f>'May-26 Analysis'!C58</f>
        <v/>
      </c>
      <c r="X64" s="217" t="n"/>
    </row>
    <row r="65">
      <c r="A65" s="170" t="n"/>
      <c r="B65" s="170" t="n"/>
      <c r="C65" s="170" t="n"/>
      <c r="D65" s="170" t="n"/>
      <c r="E65" s="170" t="n"/>
      <c r="F65" s="170" t="n"/>
      <c r="G65" s="170" t="n"/>
      <c r="H65" s="170" t="n"/>
      <c r="I65" s="170" t="n"/>
      <c r="J65" s="170" t="n"/>
      <c r="K65" s="170" t="n"/>
      <c r="L65" s="170" t="n"/>
      <c r="M65" s="170" t="n"/>
      <c r="N65" s="170" t="n"/>
      <c r="O65" s="170" t="n"/>
      <c r="P65" s="170" t="n"/>
      <c r="Q65" s="170" t="n"/>
      <c r="R65" s="170" t="n"/>
      <c r="S65" s="170" t="n"/>
      <c r="T65" s="217" t="n"/>
      <c r="U65" s="174">
        <f>'May-26 Analysis'!A59</f>
        <v/>
      </c>
      <c r="V65" s="173">
        <f>'May-26 Analysis'!B59</f>
        <v/>
      </c>
      <c r="W65" s="173">
        <f>'May-26 Analysis'!C59</f>
        <v/>
      </c>
      <c r="X65" s="217" t="n"/>
    </row>
    <row r="66">
      <c r="A66" s="170" t="n"/>
      <c r="B66" s="170" t="n"/>
      <c r="C66" s="170" t="n"/>
      <c r="D66" s="170" t="n"/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0" t="n"/>
      <c r="N66" s="170" t="n"/>
      <c r="O66" s="170" t="n"/>
      <c r="P66" s="170" t="n"/>
      <c r="Q66" s="170" t="n"/>
      <c r="R66" s="170" t="n"/>
      <c r="S66" s="170" t="n"/>
      <c r="T66" s="217" t="n"/>
      <c r="U66" s="174">
        <f>'May-26 Analysis'!A60</f>
        <v/>
      </c>
      <c r="V66" s="173">
        <f>'May-26 Analysis'!B60</f>
        <v/>
      </c>
      <c r="W66" s="173">
        <f>'May-26 Analysis'!C60</f>
        <v/>
      </c>
      <c r="X66" s="217" t="n"/>
    </row>
    <row r="67">
      <c r="A67" s="170" t="n"/>
      <c r="B67" s="170" t="n"/>
      <c r="C67" s="170" t="n"/>
      <c r="D67" s="170" t="n"/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0" t="n"/>
      <c r="N67" s="170" t="n"/>
      <c r="O67" s="170" t="n"/>
      <c r="P67" s="170" t="n"/>
      <c r="Q67" s="170" t="n"/>
      <c r="R67" s="170" t="n"/>
      <c r="S67" s="170" t="n"/>
      <c r="T67" s="217" t="n"/>
      <c r="U67" s="174">
        <f>'May-26 Analysis'!A61</f>
        <v/>
      </c>
      <c r="V67" s="173">
        <f>'May-26 Analysis'!B61</f>
        <v/>
      </c>
      <c r="W67" s="173">
        <f>'May-26 Analysis'!C61</f>
        <v/>
      </c>
      <c r="X67" s="217" t="n"/>
    </row>
    <row r="68">
      <c r="A68" s="170" t="n"/>
      <c r="B68" s="170" t="n"/>
      <c r="C68" s="170" t="n"/>
      <c r="D68" s="170" t="n"/>
      <c r="E68" s="170" t="n"/>
      <c r="F68" s="170" t="n"/>
      <c r="G68" s="170" t="n"/>
      <c r="H68" s="170" t="n"/>
      <c r="I68" s="170" t="n"/>
      <c r="J68" s="170" t="n"/>
      <c r="K68" s="170" t="n"/>
      <c r="L68" s="170" t="n"/>
      <c r="M68" s="170" t="n"/>
      <c r="N68" s="170" t="n"/>
      <c r="O68" s="170" t="n"/>
      <c r="P68" s="170" t="n"/>
      <c r="Q68" s="170" t="n"/>
      <c r="R68" s="170" t="n"/>
      <c r="S68" s="170" t="n"/>
      <c r="T68" s="217" t="n"/>
      <c r="U68" s="174">
        <f>'May-26 Analysis'!A62</f>
        <v/>
      </c>
      <c r="V68" s="173">
        <f>'May-26 Analysis'!B62</f>
        <v/>
      </c>
      <c r="W68" s="173">
        <f>'May-26 Analysis'!C62</f>
        <v/>
      </c>
      <c r="X68" s="217" t="n"/>
    </row>
    <row r="69">
      <c r="A69" s="170" t="n"/>
      <c r="B69" s="170" t="n"/>
      <c r="C69" s="170" t="n"/>
      <c r="D69" s="170" t="n"/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0" t="n"/>
      <c r="N69" s="170" t="n"/>
      <c r="O69" s="170" t="n"/>
      <c r="P69" s="170" t="n"/>
      <c r="Q69" s="170" t="n"/>
      <c r="R69" s="170" t="n"/>
      <c r="S69" s="170" t="n"/>
      <c r="T69" s="217" t="n"/>
      <c r="U69" s="174">
        <f>'May-26 Analysis'!A63</f>
        <v/>
      </c>
      <c r="V69" s="173">
        <f>'May-26 Analysis'!B63</f>
        <v/>
      </c>
      <c r="W69" s="173">
        <f>'May-26 Analysis'!C63</f>
        <v/>
      </c>
      <c r="X69" s="217" t="n"/>
    </row>
    <row r="70">
      <c r="A70" s="170" t="n"/>
      <c r="B70" s="170" t="n"/>
      <c r="C70" s="170" t="n"/>
      <c r="D70" s="170" t="n"/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0" t="n"/>
      <c r="N70" s="170" t="n"/>
      <c r="O70" s="170" t="n"/>
      <c r="P70" s="170" t="n"/>
      <c r="Q70" s="170" t="n"/>
      <c r="R70" s="170" t="n"/>
      <c r="S70" s="170" t="n"/>
      <c r="T70" s="217" t="n"/>
      <c r="U70" s="174">
        <f>'May-26 Analysis'!A64</f>
        <v/>
      </c>
      <c r="V70" s="173">
        <f>'May-26 Analysis'!B64</f>
        <v/>
      </c>
      <c r="W70" s="173">
        <f>'May-26 Analysis'!C64</f>
        <v/>
      </c>
      <c r="X70" s="217" t="n"/>
    </row>
    <row r="71">
      <c r="A71" s="170" t="n"/>
      <c r="B71" s="170" t="n"/>
      <c r="C71" s="170" t="n"/>
      <c r="D71" s="170" t="n"/>
      <c r="E71" s="170" t="n"/>
      <c r="F71" s="170" t="n"/>
      <c r="G71" s="170" t="n"/>
      <c r="H71" s="170" t="n"/>
      <c r="I71" s="170" t="n"/>
      <c r="J71" s="170" t="n"/>
      <c r="K71" s="170" t="n"/>
      <c r="L71" s="170" t="n"/>
      <c r="M71" s="170" t="n"/>
      <c r="N71" s="170" t="n"/>
      <c r="O71" s="170" t="n"/>
      <c r="P71" s="170" t="n"/>
      <c r="Q71" s="170" t="n"/>
      <c r="R71" s="170" t="n"/>
      <c r="S71" s="170" t="n"/>
      <c r="T71" s="217" t="n"/>
      <c r="U71" s="174">
        <f>'May-26 Analysis'!A65</f>
        <v/>
      </c>
      <c r="V71" s="173">
        <f>'May-26 Analysis'!B65</f>
        <v/>
      </c>
      <c r="W71" s="173">
        <f>'May-26 Analysis'!C65</f>
        <v/>
      </c>
      <c r="X71" s="217" t="n"/>
    </row>
    <row r="72">
      <c r="A72" s="170" t="n"/>
      <c r="B72" s="170" t="n"/>
      <c r="C72" s="170" t="n"/>
      <c r="D72" s="170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0" t="n"/>
      <c r="N72" s="170" t="n"/>
      <c r="O72" s="170" t="n"/>
      <c r="P72" s="170" t="n"/>
      <c r="Q72" s="170" t="n"/>
      <c r="R72" s="170" t="n"/>
      <c r="S72" s="170" t="n"/>
      <c r="T72" s="217" t="n"/>
      <c r="U72" s="174">
        <f>'May-26 Analysis'!A66</f>
        <v/>
      </c>
      <c r="V72" s="173">
        <f>'May-26 Analysis'!B66</f>
        <v/>
      </c>
      <c r="W72" s="173">
        <f>'May-26 Analysis'!C66</f>
        <v/>
      </c>
      <c r="X72" s="217" t="n"/>
    </row>
    <row r="73">
      <c r="A73" s="170" t="n"/>
      <c r="B73" s="170" t="n"/>
      <c r="C73" s="170" t="n"/>
      <c r="D73" s="170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0" t="n"/>
      <c r="N73" s="170" t="n"/>
      <c r="O73" s="170" t="n"/>
      <c r="P73" s="170" t="n"/>
      <c r="Q73" s="170" t="n"/>
      <c r="R73" s="170" t="n"/>
      <c r="S73" s="170" t="n"/>
      <c r="T73" s="217" t="n"/>
      <c r="U73" s="174">
        <f>'May-26 Analysis'!A67</f>
        <v/>
      </c>
      <c r="V73" s="173">
        <f>'May-26 Analysis'!B67</f>
        <v/>
      </c>
      <c r="W73" s="173">
        <f>'May-26 Analysis'!C67</f>
        <v/>
      </c>
      <c r="X73" s="217" t="n"/>
    </row>
    <row r="74">
      <c r="A74" s="170" t="n"/>
      <c r="B74" s="170" t="n"/>
      <c r="C74" s="170" t="n"/>
      <c r="D74" s="17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170" t="n"/>
      <c r="O74" s="170" t="n"/>
      <c r="P74" s="170" t="n"/>
      <c r="Q74" s="170" t="n"/>
      <c r="R74" s="170" t="n"/>
      <c r="S74" s="170" t="n"/>
      <c r="T74" s="217" t="n"/>
      <c r="U74" s="174">
        <f>'May-26 Analysis'!A68</f>
        <v/>
      </c>
      <c r="V74" s="173">
        <f>'May-26 Analysis'!B68</f>
        <v/>
      </c>
      <c r="W74" s="173">
        <f>'May-26 Analysis'!C68</f>
        <v/>
      </c>
      <c r="X74" s="217" t="n"/>
    </row>
    <row r="75">
      <c r="A75" s="170" t="n"/>
      <c r="B75" s="170" t="n"/>
      <c r="C75" s="170" t="n"/>
      <c r="D75" s="17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  <c r="O75" s="170" t="n"/>
      <c r="P75" s="170" t="n"/>
      <c r="Q75" s="170" t="n"/>
      <c r="R75" s="170" t="n"/>
      <c r="S75" s="170" t="n"/>
      <c r="T75" s="217" t="n"/>
      <c r="U75" s="173" t="n"/>
      <c r="V75" s="173" t="n"/>
      <c r="W75" s="173" t="n"/>
      <c r="X75" s="217" t="n"/>
    </row>
    <row r="76">
      <c r="A76" s="170" t="n"/>
      <c r="B76" s="170" t="n"/>
      <c r="C76" s="170" t="n"/>
      <c r="D76" s="170" t="n"/>
      <c r="E76" s="170" t="n"/>
      <c r="F76" s="170" t="n"/>
      <c r="G76" s="170" t="n"/>
      <c r="H76" s="170" t="n"/>
      <c r="I76" s="170" t="n"/>
      <c r="J76" s="170" t="n"/>
      <c r="K76" s="170" t="n"/>
      <c r="L76" s="170" t="n"/>
      <c r="M76" s="170" t="n"/>
      <c r="N76" s="170" t="n"/>
      <c r="O76" s="170" t="n"/>
      <c r="P76" s="170" t="n"/>
      <c r="Q76" s="170" t="n"/>
      <c r="R76" s="170" t="n"/>
      <c r="S76" s="170" t="n"/>
      <c r="T76" s="217" t="n"/>
      <c r="U76" s="173" t="n"/>
      <c r="V76" s="173" t="n"/>
      <c r="W76" s="173" t="n"/>
      <c r="X76" s="217" t="n"/>
    </row>
    <row r="77">
      <c r="A77" s="170" t="n"/>
      <c r="B77" s="170" t="n"/>
      <c r="C77" s="170" t="n"/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0" t="n"/>
      <c r="N77" s="170" t="n"/>
      <c r="O77" s="170" t="n"/>
      <c r="P77" s="170" t="n"/>
      <c r="Q77" s="170" t="n"/>
      <c r="R77" s="170" t="n"/>
      <c r="S77" s="170" t="n"/>
      <c r="T77" s="217" t="n"/>
      <c r="U77" s="173" t="n"/>
      <c r="V77" s="173" t="n"/>
      <c r="W77" s="173" t="n"/>
      <c r="X77" s="217" t="n"/>
    </row>
    <row r="78">
      <c r="A78" s="170" t="n"/>
      <c r="B78" s="170" t="n"/>
      <c r="C78" s="170" t="n"/>
      <c r="D78" s="170" t="n"/>
      <c r="E78" s="170" t="n"/>
      <c r="F78" s="170" t="n"/>
      <c r="G78" s="170" t="n"/>
      <c r="H78" s="170" t="n"/>
      <c r="I78" s="170" t="n"/>
      <c r="J78" s="170" t="n"/>
      <c r="K78" s="170" t="n"/>
      <c r="L78" s="170" t="n"/>
      <c r="M78" s="170" t="n"/>
      <c r="N78" s="170" t="n"/>
      <c r="O78" s="170" t="n"/>
      <c r="P78" s="170" t="n"/>
      <c r="Q78" s="170" t="n"/>
      <c r="R78" s="170" t="n"/>
      <c r="S78" s="170" t="n"/>
      <c r="T78" s="217" t="n"/>
      <c r="U78" s="173" t="n"/>
      <c r="V78" s="173" t="n"/>
      <c r="W78" s="173" t="n"/>
      <c r="X78" s="217" t="n"/>
    </row>
    <row r="79">
      <c r="A79" s="170" t="n"/>
      <c r="B79" s="170" t="n"/>
      <c r="C79" s="170" t="n"/>
      <c r="D79" s="170" t="n"/>
      <c r="E79" s="170" t="n"/>
      <c r="F79" s="170" t="n"/>
      <c r="G79" s="170" t="n"/>
      <c r="H79" s="170" t="n"/>
      <c r="I79" s="170" t="n"/>
      <c r="J79" s="170" t="n"/>
      <c r="K79" s="170" t="n"/>
      <c r="L79" s="170" t="n"/>
      <c r="M79" s="170" t="n"/>
      <c r="N79" s="170" t="n"/>
      <c r="O79" s="170" t="n"/>
      <c r="P79" s="170" t="n"/>
      <c r="Q79" s="170" t="n"/>
      <c r="R79" s="170" t="n"/>
      <c r="S79" s="170" t="n"/>
      <c r="T79" s="217" t="n"/>
      <c r="U79" s="173" t="n"/>
      <c r="V79" s="173" t="n"/>
      <c r="W79" s="173" t="n"/>
      <c r="X79" s="217" t="n"/>
    </row>
    <row r="80">
      <c r="U80" s="173" t="n"/>
      <c r="V80" s="173" t="n"/>
      <c r="W80" s="173" t="n"/>
    </row>
  </sheetData>
  <mergeCells count="12">
    <mergeCell ref="B6:C6"/>
    <mergeCell ref="E6:F6"/>
    <mergeCell ref="H6:I6"/>
    <mergeCell ref="N5:O5"/>
    <mergeCell ref="B5:C5"/>
    <mergeCell ref="N6:O6"/>
    <mergeCell ref="B2:R2"/>
    <mergeCell ref="K5:L5"/>
    <mergeCell ref="E5:F5"/>
    <mergeCell ref="H5:I5"/>
    <mergeCell ref="B3:R3"/>
    <mergeCell ref="K6:L6"/>
  </mergeCell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M87"/>
  <sheetViews>
    <sheetView zoomScale="90" zoomScaleNormal="90" workbookViewId="0">
      <selection activeCell="J4" sqref="J4"/>
    </sheetView>
  </sheetViews>
  <sheetFormatPr baseColWidth="8" defaultRowHeight="14.5"/>
  <cols>
    <col width="23.90625" bestFit="1" customWidth="1" style="233" min="2" max="2"/>
    <col width="21.1796875" bestFit="1" customWidth="1" style="233" min="6" max="6"/>
    <col width="9.08984375" bestFit="1" customWidth="1" style="233" min="7" max="7"/>
    <col width="6.6328125" customWidth="1" style="233" min="8" max="8"/>
    <col width="8.81640625" customWidth="1" style="233" min="9" max="9"/>
    <col width="15.90625" bestFit="1" customWidth="1" style="233" min="10" max="10"/>
    <col width="9.81640625" bestFit="1" customWidth="1" style="233" min="11" max="12"/>
  </cols>
  <sheetData>
    <row r="1">
      <c r="A1" s="12" t="inlineStr">
        <is>
          <t>Date</t>
        </is>
      </c>
      <c r="B1" s="12" t="inlineStr">
        <is>
          <t>Site</t>
        </is>
      </c>
      <c r="C1" s="12" t="inlineStr">
        <is>
          <t>Area</t>
        </is>
      </c>
      <c r="D1" s="12" t="inlineStr">
        <is>
          <t>State</t>
        </is>
      </c>
      <c r="E1" s="12" t="inlineStr">
        <is>
          <t>No Of Complaints</t>
        </is>
      </c>
      <c r="F1" s="12" t="inlineStr">
        <is>
          <t>Visited by</t>
        </is>
      </c>
      <c r="G1" s="12" t="inlineStr">
        <is>
          <t>Complaint ID</t>
        </is>
      </c>
      <c r="H1" s="12" t="inlineStr">
        <is>
          <t>Status</t>
        </is>
      </c>
      <c r="I1" s="12" t="inlineStr">
        <is>
          <t>Remarks</t>
        </is>
      </c>
      <c r="J1" s="12" t="inlineStr">
        <is>
          <t>Complaints Register Link</t>
        </is>
      </c>
      <c r="K1" s="12" t="inlineStr">
        <is>
          <t>Start Date</t>
        </is>
      </c>
      <c r="L1" s="12" t="inlineStr">
        <is>
          <t>End Day</t>
        </is>
      </c>
      <c r="M1" s="7" t="inlineStr">
        <is>
          <t>Remarka</t>
        </is>
      </c>
    </row>
    <row r="2">
      <c r="A2" s="6" t="n">
        <v>46143</v>
      </c>
      <c r="B2" s="3" t="inlineStr">
        <is>
          <t>Panasonic</t>
        </is>
      </c>
      <c r="C2" s="9" t="inlineStr">
        <is>
          <t>Mysore</t>
        </is>
      </c>
      <c r="D2" s="3" t="inlineStr">
        <is>
          <t>Karnataka</t>
        </is>
      </c>
      <c r="E2" s="3" t="n">
        <v>1</v>
      </c>
      <c r="F2" s="3" t="inlineStr">
        <is>
          <t>Amit</t>
        </is>
      </c>
      <c r="G2" s="4" t="inlineStr">
        <is>
          <t>PE28042604</t>
        </is>
      </c>
      <c r="H2" s="3" t="inlineStr">
        <is>
          <t>Closed</t>
        </is>
      </c>
      <c r="I2" s="3" t="inlineStr">
        <is>
          <t>Retrofit</t>
        </is>
      </c>
      <c r="J2" s="16" t="inlineStr">
        <is>
          <t>PE28042604</t>
        </is>
      </c>
      <c r="K2" s="6" t="n">
        <v>46143</v>
      </c>
      <c r="L2" s="6" t="n">
        <v>46144</v>
      </c>
      <c r="M2" s="10" t="n"/>
    </row>
    <row r="3">
      <c r="A3" s="6" t="n">
        <v>46143</v>
      </c>
      <c r="B3" s="3" t="inlineStr">
        <is>
          <t>Axitec Energy</t>
        </is>
      </c>
      <c r="C3" s="3" t="inlineStr">
        <is>
          <t>Chinchwad</t>
        </is>
      </c>
      <c r="D3" s="3" t="inlineStr">
        <is>
          <t>Maharashtra</t>
        </is>
      </c>
      <c r="E3" s="3" t="n">
        <v>2</v>
      </c>
      <c r="F3" s="3" t="inlineStr">
        <is>
          <t>Bani</t>
        </is>
      </c>
      <c r="G3" s="7" t="inlineStr">
        <is>
          <t>PE21042602</t>
        </is>
      </c>
      <c r="H3" s="3" t="inlineStr">
        <is>
          <t>Closed</t>
        </is>
      </c>
      <c r="I3" s="3" t="inlineStr">
        <is>
          <t>Retrofit</t>
        </is>
      </c>
      <c r="J3" s="16" t="inlineStr">
        <is>
          <t>PE21042602</t>
        </is>
      </c>
      <c r="K3" s="6" t="n">
        <v>46143</v>
      </c>
      <c r="L3" s="3" t="n"/>
      <c r="M3" s="10" t="n"/>
    </row>
    <row r="4">
      <c r="A4" s="6" t="n">
        <v>46143</v>
      </c>
      <c r="B4" s="3" t="inlineStr">
        <is>
          <t>First Energy</t>
        </is>
      </c>
      <c r="C4" s="3" t="inlineStr">
        <is>
          <t>Rajkot</t>
        </is>
      </c>
      <c r="D4" s="3" t="inlineStr">
        <is>
          <t>Gujarat</t>
        </is>
      </c>
      <c r="E4" s="3" t="n">
        <v>24</v>
      </c>
      <c r="F4" s="3" t="inlineStr">
        <is>
          <t>Kunal &amp; Nilanjan</t>
        </is>
      </c>
      <c r="G4" s="11" t="inlineStr">
        <is>
          <t>PE25032601</t>
        </is>
      </c>
      <c r="H4" s="3" t="inlineStr">
        <is>
          <t>WIP</t>
        </is>
      </c>
      <c r="I4" s="3" t="inlineStr">
        <is>
          <t>Inspection</t>
        </is>
      </c>
      <c r="J4" s="16" t="inlineStr">
        <is>
          <t>PE25032601</t>
        </is>
      </c>
      <c r="K4" s="6" t="n">
        <v>46143</v>
      </c>
      <c r="L4" s="14" t="n"/>
      <c r="M4" s="10" t="n"/>
    </row>
    <row r="5">
      <c r="A5" s="6" t="n">
        <v>46144</v>
      </c>
      <c r="B5" s="3" t="inlineStr">
        <is>
          <t>First Energy</t>
        </is>
      </c>
      <c r="C5" s="3" t="inlineStr">
        <is>
          <t>Rajkot</t>
        </is>
      </c>
      <c r="D5" s="3" t="inlineStr">
        <is>
          <t>Gujarat</t>
        </is>
      </c>
      <c r="E5" s="3" t="n">
        <v>20</v>
      </c>
      <c r="F5" s="3" t="inlineStr">
        <is>
          <t>Kunal &amp; Nilanjan</t>
        </is>
      </c>
      <c r="G5" s="11" t="inlineStr">
        <is>
          <t>PE25032601</t>
        </is>
      </c>
      <c r="H5" s="3" t="inlineStr">
        <is>
          <t>WIP</t>
        </is>
      </c>
      <c r="I5" s="3" t="inlineStr">
        <is>
          <t>Inspection</t>
        </is>
      </c>
      <c r="J5" s="16" t="inlineStr">
        <is>
          <t>PE25032601</t>
        </is>
      </c>
      <c r="K5" s="3" t="n"/>
      <c r="L5" s="14" t="n"/>
      <c r="M5" s="10" t="n"/>
    </row>
    <row r="6">
      <c r="A6" s="6" t="n">
        <v>46144</v>
      </c>
      <c r="B6" s="3" t="inlineStr">
        <is>
          <t>Blupine</t>
        </is>
      </c>
      <c r="C6" s="3" t="inlineStr">
        <is>
          <t>Sadla</t>
        </is>
      </c>
      <c r="D6" s="3" t="inlineStr">
        <is>
          <t>Gujarat</t>
        </is>
      </c>
      <c r="E6" s="15" t="n">
        <v>52</v>
      </c>
      <c r="F6" s="3" t="inlineStr">
        <is>
          <t>Bhimsen + Raja</t>
        </is>
      </c>
      <c r="G6" s="7" t="inlineStr">
        <is>
          <t>PE26032601</t>
        </is>
      </c>
      <c r="H6" s="3" t="inlineStr">
        <is>
          <t>Closed</t>
        </is>
      </c>
      <c r="I6" s="3" t="inlineStr">
        <is>
          <t>Retrofit</t>
        </is>
      </c>
      <c r="J6" s="16" t="inlineStr">
        <is>
          <t>PE26032601</t>
        </is>
      </c>
      <c r="K6" s="6" t="n">
        <v>46143</v>
      </c>
      <c r="L6" s="3" t="n"/>
      <c r="M6" s="10" t="n"/>
    </row>
    <row r="7">
      <c r="A7" s="6" t="n">
        <v>46144</v>
      </c>
      <c r="B7" s="3" t="inlineStr">
        <is>
          <t>Panasonic</t>
        </is>
      </c>
      <c r="C7" s="3" t="inlineStr">
        <is>
          <t>Dhule</t>
        </is>
      </c>
      <c r="D7" s="3" t="inlineStr">
        <is>
          <t>Maharashtra</t>
        </is>
      </c>
      <c r="E7" s="3" t="n">
        <v>1</v>
      </c>
      <c r="F7" s="3" t="inlineStr">
        <is>
          <t>Bani</t>
        </is>
      </c>
      <c r="G7" s="11" t="inlineStr">
        <is>
          <t>PE06042602</t>
        </is>
      </c>
      <c r="H7" s="3" t="inlineStr">
        <is>
          <t>Closed</t>
        </is>
      </c>
      <c r="I7" s="3" t="inlineStr">
        <is>
          <t>Rejected</t>
        </is>
      </c>
      <c r="J7" s="16" t="inlineStr">
        <is>
          <t>PE06042602</t>
        </is>
      </c>
      <c r="K7" s="3" t="n"/>
      <c r="L7" s="3" t="n"/>
      <c r="M7" s="10" t="n"/>
    </row>
    <row r="8">
      <c r="A8" s="6" t="n">
        <v>46144</v>
      </c>
      <c r="B8" s="3" t="inlineStr">
        <is>
          <t>Panasonic</t>
        </is>
      </c>
      <c r="C8" s="3" t="inlineStr">
        <is>
          <t>Dhule</t>
        </is>
      </c>
      <c r="D8" s="3" t="inlineStr">
        <is>
          <t>Maharashtra</t>
        </is>
      </c>
      <c r="E8" s="3" t="n">
        <v>1</v>
      </c>
      <c r="F8" s="3" t="inlineStr">
        <is>
          <t>Bani</t>
        </is>
      </c>
      <c r="G8" s="11" t="inlineStr">
        <is>
          <t>PE06042602</t>
        </is>
      </c>
      <c r="H8" s="3" t="inlineStr">
        <is>
          <t>WIP</t>
        </is>
      </c>
      <c r="I8" s="3" t="inlineStr">
        <is>
          <t>Inspection</t>
        </is>
      </c>
      <c r="J8" s="16" t="inlineStr">
        <is>
          <t>PE06042602</t>
        </is>
      </c>
      <c r="K8" s="3" t="n"/>
      <c r="L8" s="3" t="n"/>
      <c r="M8" s="10" t="n"/>
    </row>
    <row r="9">
      <c r="A9" s="28" t="n">
        <v>46146</v>
      </c>
      <c r="B9" s="27" t="inlineStr">
        <is>
          <t>Solar Square</t>
        </is>
      </c>
      <c r="C9" s="27" t="inlineStr">
        <is>
          <t>Hyderabad</t>
        </is>
      </c>
      <c r="D9" s="27" t="inlineStr">
        <is>
          <t>Telangana</t>
        </is>
      </c>
      <c r="E9" s="27" t="n">
        <v>4</v>
      </c>
      <c r="F9" s="27" t="inlineStr">
        <is>
          <t>By Mail</t>
        </is>
      </c>
      <c r="G9" s="33" t="inlineStr">
        <is>
          <t>PE26032602</t>
        </is>
      </c>
      <c r="H9" s="27" t="inlineStr">
        <is>
          <t>Closed</t>
        </is>
      </c>
      <c r="I9" s="27" t="inlineStr">
        <is>
          <t>CN</t>
        </is>
      </c>
      <c r="J9" s="29" t="inlineStr">
        <is>
          <t>PE26032602</t>
        </is>
      </c>
      <c r="K9" s="27" t="n"/>
      <c r="L9" s="30" t="n"/>
      <c r="M9" s="31" t="n"/>
    </row>
    <row r="10">
      <c r="A10" s="28" t="n">
        <v>46146</v>
      </c>
      <c r="B10" s="27" t="inlineStr">
        <is>
          <t>TRUE SUN TRADING COMPANY</t>
        </is>
      </c>
      <c r="C10" s="27" t="inlineStr">
        <is>
          <t>CHANGANASSERRY</t>
        </is>
      </c>
      <c r="D10" s="27" t="inlineStr">
        <is>
          <t>Kerala</t>
        </is>
      </c>
      <c r="E10" s="32" t="n">
        <v>1</v>
      </c>
      <c r="F10" s="27" t="inlineStr">
        <is>
          <t>By Mail</t>
        </is>
      </c>
      <c r="G10" s="33" t="inlineStr">
        <is>
          <t>PE27042603</t>
        </is>
      </c>
      <c r="H10" s="27" t="inlineStr">
        <is>
          <t>Closed</t>
        </is>
      </c>
      <c r="I10" s="27" t="inlineStr">
        <is>
          <t>CN</t>
        </is>
      </c>
      <c r="J10" s="29" t="inlineStr">
        <is>
          <t>PE27042603</t>
        </is>
      </c>
      <c r="K10" s="34" t="n"/>
      <c r="L10" s="34" t="n"/>
      <c r="M10" s="31" t="n"/>
    </row>
    <row r="11">
      <c r="A11" s="6" t="n">
        <v>46146</v>
      </c>
      <c r="B11" s="3" t="inlineStr">
        <is>
          <t>RA GREEN ENERGks</t>
        </is>
      </c>
      <c r="C11" s="3" t="inlineStr">
        <is>
          <t>Nagpur</t>
        </is>
      </c>
      <c r="D11" s="3" t="inlineStr">
        <is>
          <t>Maharashtra</t>
        </is>
      </c>
      <c r="E11" s="3" t="n">
        <v>1</v>
      </c>
      <c r="F11" s="3" t="inlineStr">
        <is>
          <t>Bani</t>
        </is>
      </c>
      <c r="G11" s="7" t="inlineStr">
        <is>
          <t>PE31032602</t>
        </is>
      </c>
      <c r="H11" s="3" t="inlineStr">
        <is>
          <t>Closed</t>
        </is>
      </c>
      <c r="I11" s="3" t="inlineStr">
        <is>
          <t>Retrofit</t>
        </is>
      </c>
      <c r="J11" s="16" t="inlineStr">
        <is>
          <t>PE31032602</t>
        </is>
      </c>
      <c r="K11" s="3" t="n"/>
      <c r="L11" s="3" t="n"/>
      <c r="M11" s="10" t="n"/>
    </row>
    <row r="12">
      <c r="A12" s="6" t="n">
        <v>46146</v>
      </c>
      <c r="B12" s="3" t="inlineStr">
        <is>
          <t>Panasonic</t>
        </is>
      </c>
      <c r="C12" s="3" t="inlineStr">
        <is>
          <t>Lucknow</t>
        </is>
      </c>
      <c r="D12" s="3" t="inlineStr">
        <is>
          <t>UP</t>
        </is>
      </c>
      <c r="E12" s="3" t="n">
        <v>3</v>
      </c>
      <c r="F12" s="3" t="inlineStr">
        <is>
          <t>Kamal</t>
        </is>
      </c>
      <c r="G12" s="7" t="inlineStr">
        <is>
          <t>PE07042601</t>
        </is>
      </c>
      <c r="H12" s="3" t="inlineStr">
        <is>
          <t>Closed</t>
        </is>
      </c>
      <c r="I12" s="3" t="inlineStr">
        <is>
          <t>Repair</t>
        </is>
      </c>
      <c r="J12" s="16" t="inlineStr">
        <is>
          <t>PE07042601</t>
        </is>
      </c>
      <c r="K12" s="6" t="n">
        <v>46145</v>
      </c>
      <c r="L12" s="3" t="n"/>
      <c r="M12" s="10" t="n"/>
    </row>
    <row r="13">
      <c r="A13" s="6" t="n">
        <v>46146</v>
      </c>
      <c r="B13" s="3" t="inlineStr">
        <is>
          <t>Oyster Technocon</t>
        </is>
      </c>
      <c r="C13" s="3" t="inlineStr">
        <is>
          <t>Nagpur</t>
        </is>
      </c>
      <c r="D13" s="3" t="inlineStr">
        <is>
          <t>Maharashtra</t>
        </is>
      </c>
      <c r="E13" s="3" t="n">
        <v>12</v>
      </c>
      <c r="F13" s="3" t="inlineStr">
        <is>
          <t>Bani</t>
        </is>
      </c>
      <c r="G13" s="7" t="inlineStr">
        <is>
          <t>PE02052601</t>
        </is>
      </c>
      <c r="H13" s="3" t="inlineStr">
        <is>
          <t>Closed</t>
        </is>
      </c>
      <c r="I13" s="3" t="inlineStr">
        <is>
          <t>Retrofit</t>
        </is>
      </c>
      <c r="J13" s="16" t="inlineStr">
        <is>
          <t>PE02052601</t>
        </is>
      </c>
      <c r="K13" s="3" t="n"/>
      <c r="L13" s="14" t="n"/>
      <c r="M13" s="10" t="n"/>
    </row>
    <row r="14">
      <c r="A14" s="6" t="n">
        <v>46146</v>
      </c>
      <c r="B14" s="3" t="inlineStr">
        <is>
          <t>First Energy</t>
        </is>
      </c>
      <c r="C14" s="3" t="inlineStr">
        <is>
          <t>Rajkot</t>
        </is>
      </c>
      <c r="D14" s="3" t="inlineStr">
        <is>
          <t>Gujarat</t>
        </is>
      </c>
      <c r="E14" s="3" t="n">
        <v>53</v>
      </c>
      <c r="F14" s="3" t="inlineStr">
        <is>
          <t>Kunal &amp; Nilanjan</t>
        </is>
      </c>
      <c r="G14" s="11" t="inlineStr">
        <is>
          <t>PE25032601</t>
        </is>
      </c>
      <c r="H14" s="3" t="inlineStr">
        <is>
          <t>WIP</t>
        </is>
      </c>
      <c r="I14" s="3" t="inlineStr">
        <is>
          <t>Inspection</t>
        </is>
      </c>
      <c r="J14" s="16" t="inlineStr">
        <is>
          <t>PE25032601</t>
        </is>
      </c>
      <c r="K14" s="3" t="n"/>
      <c r="L14" s="14" t="n"/>
      <c r="M14" s="10" t="n"/>
    </row>
    <row r="15">
      <c r="A15" s="6" t="n">
        <v>46146</v>
      </c>
      <c r="B15" s="3" t="inlineStr">
        <is>
          <t>Blupine</t>
        </is>
      </c>
      <c r="C15" s="3" t="inlineStr">
        <is>
          <t>Sadla</t>
        </is>
      </c>
      <c r="D15" s="3" t="inlineStr">
        <is>
          <t>Gujarat</t>
        </is>
      </c>
      <c r="E15" s="15" t="n">
        <v>64</v>
      </c>
      <c r="F15" s="3" t="inlineStr">
        <is>
          <t>Bhimsen + Raja</t>
        </is>
      </c>
      <c r="G15" s="7" t="inlineStr">
        <is>
          <t>PE26032601</t>
        </is>
      </c>
      <c r="H15" s="3" t="inlineStr">
        <is>
          <t>Closed</t>
        </is>
      </c>
      <c r="I15" s="3" t="inlineStr">
        <is>
          <t>Retrofit</t>
        </is>
      </c>
      <c r="J15" s="16" t="inlineStr">
        <is>
          <t>PE26032601</t>
        </is>
      </c>
      <c r="K15" s="13" t="n"/>
      <c r="L15" s="3" t="n"/>
      <c r="M15" s="41" t="n"/>
    </row>
    <row r="16">
      <c r="A16" s="6" t="n">
        <v>46147</v>
      </c>
      <c r="B16" s="3" t="inlineStr">
        <is>
          <t>Solar Square</t>
        </is>
      </c>
      <c r="C16" s="3" t="inlineStr">
        <is>
          <t>Kanpur</t>
        </is>
      </c>
      <c r="D16" s="3" t="inlineStr">
        <is>
          <t>UP</t>
        </is>
      </c>
      <c r="E16" s="3" t="n">
        <v>1</v>
      </c>
      <c r="F16" s="3" t="inlineStr">
        <is>
          <t>Kamal</t>
        </is>
      </c>
      <c r="G16" s="20" t="inlineStr">
        <is>
          <t>PE30042601</t>
        </is>
      </c>
      <c r="H16" s="3" t="inlineStr">
        <is>
          <t>Closed</t>
        </is>
      </c>
      <c r="I16" s="3" t="inlineStr">
        <is>
          <t>Retrofit</t>
        </is>
      </c>
      <c r="J16" s="16" t="inlineStr">
        <is>
          <t>PE30042601</t>
        </is>
      </c>
      <c r="K16" s="13" t="n"/>
      <c r="L16" s="6" t="n">
        <v>46147</v>
      </c>
      <c r="M16" s="41" t="n"/>
    </row>
    <row r="17">
      <c r="A17" s="6" t="n">
        <v>46147</v>
      </c>
      <c r="B17" s="3" t="inlineStr">
        <is>
          <t>Solar Square</t>
        </is>
      </c>
      <c r="C17" s="26" t="inlineStr">
        <is>
          <t>Jabalpur</t>
        </is>
      </c>
      <c r="D17" s="3" t="inlineStr">
        <is>
          <t>MP</t>
        </is>
      </c>
      <c r="E17" s="3" t="n">
        <v>1</v>
      </c>
      <c r="F17" s="3" t="inlineStr">
        <is>
          <t>Bani</t>
        </is>
      </c>
      <c r="G17" s="4" t="inlineStr">
        <is>
          <t>PE29042602</t>
        </is>
      </c>
      <c r="H17" s="3" t="inlineStr">
        <is>
          <t>Closed</t>
        </is>
      </c>
      <c r="I17" s="3" t="inlineStr">
        <is>
          <t>Retrofit</t>
        </is>
      </c>
      <c r="J17" s="16" t="inlineStr">
        <is>
          <t>PE29042602</t>
        </is>
      </c>
      <c r="K17" s="13" t="n"/>
      <c r="L17" s="6" t="n"/>
      <c r="M17" s="41" t="n"/>
    </row>
    <row r="18">
      <c r="A18" s="6" t="n">
        <v>46147</v>
      </c>
      <c r="B18" s="3" t="inlineStr">
        <is>
          <t>Solar Square</t>
        </is>
      </c>
      <c r="C18" s="26" t="inlineStr">
        <is>
          <t>Jabalpur</t>
        </is>
      </c>
      <c r="D18" s="3" t="inlineStr">
        <is>
          <t>MP</t>
        </is>
      </c>
      <c r="E18" s="3" t="n">
        <v>1</v>
      </c>
      <c r="F18" s="3" t="inlineStr">
        <is>
          <t>Bani</t>
        </is>
      </c>
      <c r="G18" s="43" t="inlineStr">
        <is>
          <t>PE09042601</t>
        </is>
      </c>
      <c r="H18" s="3" t="inlineStr">
        <is>
          <t>Closed</t>
        </is>
      </c>
      <c r="I18" s="3" t="inlineStr">
        <is>
          <t>Retrofit</t>
        </is>
      </c>
      <c r="J18" s="16" t="inlineStr">
        <is>
          <t>PE09042601</t>
        </is>
      </c>
      <c r="K18" s="13" t="n"/>
      <c r="L18" s="6" t="n"/>
      <c r="M18" s="41" t="n"/>
    </row>
    <row r="19">
      <c r="A19" s="6" t="n">
        <v>46147</v>
      </c>
      <c r="B19" s="3" t="inlineStr">
        <is>
          <t>First Energy</t>
        </is>
      </c>
      <c r="C19" s="3" t="inlineStr">
        <is>
          <t>Rajkot</t>
        </is>
      </c>
      <c r="D19" s="3" t="inlineStr">
        <is>
          <t>Gujarat</t>
        </is>
      </c>
      <c r="E19" s="3" t="n">
        <v>55</v>
      </c>
      <c r="F19" s="3" t="inlineStr">
        <is>
          <t>Kunal &amp; Nilanjan</t>
        </is>
      </c>
      <c r="G19" s="11" t="inlineStr">
        <is>
          <t>PE25032601</t>
        </is>
      </c>
      <c r="H19" s="3" t="inlineStr">
        <is>
          <t>WIP</t>
        </is>
      </c>
      <c r="I19" s="3" t="inlineStr">
        <is>
          <t>Inspection</t>
        </is>
      </c>
      <c r="J19" s="16" t="inlineStr">
        <is>
          <t>PE25032601</t>
        </is>
      </c>
      <c r="K19" s="3" t="n"/>
      <c r="L19" s="14" t="n"/>
      <c r="M19" s="10" t="n"/>
    </row>
    <row r="20">
      <c r="A20" s="6" t="n">
        <v>46147</v>
      </c>
      <c r="B20" s="3" t="inlineStr">
        <is>
          <t>Blupine</t>
        </is>
      </c>
      <c r="C20" s="3" t="inlineStr">
        <is>
          <t>Sadla</t>
        </is>
      </c>
      <c r="D20" s="3" t="inlineStr">
        <is>
          <t>Gujarat</t>
        </is>
      </c>
      <c r="E20" s="15" t="n">
        <v>53</v>
      </c>
      <c r="F20" s="3" t="inlineStr">
        <is>
          <t>Bhimsen + Raja</t>
        </is>
      </c>
      <c r="G20" s="7" t="inlineStr">
        <is>
          <t>PE26032601</t>
        </is>
      </c>
      <c r="H20" s="3" t="inlineStr">
        <is>
          <t>Closed</t>
        </is>
      </c>
      <c r="I20" s="3" t="inlineStr">
        <is>
          <t>Retrofit</t>
        </is>
      </c>
      <c r="J20" s="16" t="inlineStr">
        <is>
          <t>PE26032601</t>
        </is>
      </c>
      <c r="K20" s="13" t="n"/>
      <c r="L20" s="3" t="n"/>
      <c r="M20" s="41" t="n"/>
    </row>
    <row r="21">
      <c r="A21" s="6" t="n">
        <v>46147</v>
      </c>
      <c r="B21" s="26" t="inlineStr">
        <is>
          <t>TRUE SUN TRADING COMPANY</t>
        </is>
      </c>
      <c r="C21" s="26" t="inlineStr">
        <is>
          <t>Trivandram</t>
        </is>
      </c>
      <c r="D21" s="26" t="inlineStr">
        <is>
          <t>Kerala</t>
        </is>
      </c>
      <c r="E21" s="3" t="n">
        <v>1</v>
      </c>
      <c r="F21" s="3" t="inlineStr">
        <is>
          <t>By Mail</t>
        </is>
      </c>
      <c r="G21" s="38" t="inlineStr">
        <is>
          <t>PE18022602</t>
        </is>
      </c>
      <c r="H21" s="3" t="inlineStr">
        <is>
          <t>Closed</t>
        </is>
      </c>
      <c r="I21" s="3" t="inlineStr">
        <is>
          <t>CN</t>
        </is>
      </c>
      <c r="J21" s="16" t="inlineStr">
        <is>
          <t>PE18022602</t>
        </is>
      </c>
      <c r="K21" s="13" t="n"/>
      <c r="L21" s="3" t="n"/>
      <c r="M21" s="41" t="n"/>
    </row>
    <row r="22">
      <c r="A22" s="6" t="n">
        <v>46147</v>
      </c>
      <c r="B22" s="26" t="inlineStr">
        <is>
          <t>TRUE SUN TRADING COMPANY</t>
        </is>
      </c>
      <c r="C22" s="26" t="inlineStr">
        <is>
          <t>Thrissur</t>
        </is>
      </c>
      <c r="D22" s="26" t="inlineStr">
        <is>
          <t>Kerala</t>
        </is>
      </c>
      <c r="E22" s="3" t="n">
        <v>1</v>
      </c>
      <c r="F22" s="3" t="inlineStr">
        <is>
          <t>By Mail</t>
        </is>
      </c>
      <c r="G22" s="38" t="inlineStr">
        <is>
          <t>PE20022602</t>
        </is>
      </c>
      <c r="H22" s="3" t="inlineStr">
        <is>
          <t>Closed</t>
        </is>
      </c>
      <c r="I22" s="3" t="inlineStr">
        <is>
          <t>CN</t>
        </is>
      </c>
      <c r="J22" s="16" t="inlineStr">
        <is>
          <t>PE20022602</t>
        </is>
      </c>
      <c r="K22" s="13" t="n"/>
      <c r="L22" s="3" t="n"/>
      <c r="M22" s="41" t="n"/>
    </row>
    <row r="23">
      <c r="A23" s="6" t="n">
        <v>46147</v>
      </c>
      <c r="B23" s="26" t="inlineStr">
        <is>
          <t>TRUE SUN TRADING COMPANY</t>
        </is>
      </c>
      <c r="C23" s="26" t="inlineStr">
        <is>
          <t>TRIVANDRAM</t>
        </is>
      </c>
      <c r="D23" s="26" t="inlineStr">
        <is>
          <t>Kerala</t>
        </is>
      </c>
      <c r="E23" s="3" t="n">
        <v>1</v>
      </c>
      <c r="F23" s="3" t="inlineStr">
        <is>
          <t>By Mail</t>
        </is>
      </c>
      <c r="G23" s="38" t="inlineStr">
        <is>
          <t>PE24042601</t>
        </is>
      </c>
      <c r="H23" s="3" t="inlineStr">
        <is>
          <t>Closed</t>
        </is>
      </c>
      <c r="I23" s="3" t="inlineStr">
        <is>
          <t>CN</t>
        </is>
      </c>
      <c r="J23" s="16" t="inlineStr">
        <is>
          <t>PE24042601</t>
        </is>
      </c>
      <c r="K23" s="13" t="n"/>
      <c r="L23" s="3" t="n"/>
      <c r="M23" s="41" t="n"/>
    </row>
    <row r="24">
      <c r="A24" s="6" t="n">
        <v>46147</v>
      </c>
      <c r="B24" s="26" t="inlineStr">
        <is>
          <t>TRUE SUN TRADING COMPANY</t>
        </is>
      </c>
      <c r="C24" s="26" t="inlineStr">
        <is>
          <t>TRIVANDRAM</t>
        </is>
      </c>
      <c r="D24" s="26" t="inlineStr">
        <is>
          <t>Kerala</t>
        </is>
      </c>
      <c r="E24" s="3" t="n">
        <v>1</v>
      </c>
      <c r="F24" s="3" t="inlineStr">
        <is>
          <t>By Mail</t>
        </is>
      </c>
      <c r="G24" s="38" t="inlineStr">
        <is>
          <t>PE24042602</t>
        </is>
      </c>
      <c r="H24" s="3" t="inlineStr">
        <is>
          <t>Closed</t>
        </is>
      </c>
      <c r="I24" s="3" t="inlineStr">
        <is>
          <t>CN</t>
        </is>
      </c>
      <c r="J24" s="16" t="inlineStr">
        <is>
          <t>PE24042602</t>
        </is>
      </c>
      <c r="K24" s="13" t="n"/>
      <c r="L24" s="3" t="n"/>
      <c r="M24" s="41" t="n"/>
    </row>
    <row r="25">
      <c r="A25" s="6" t="n">
        <v>46148</v>
      </c>
      <c r="B25" s="3" t="inlineStr">
        <is>
          <t>Solar Square</t>
        </is>
      </c>
      <c r="C25" s="26" t="inlineStr">
        <is>
          <t>Indore</t>
        </is>
      </c>
      <c r="D25" s="26" t="inlineStr">
        <is>
          <t>MP</t>
        </is>
      </c>
      <c r="E25" s="3" t="n">
        <v>2</v>
      </c>
      <c r="F25" s="3" t="inlineStr">
        <is>
          <t>Bani</t>
        </is>
      </c>
      <c r="G25" s="38" t="inlineStr">
        <is>
          <t>PE26022602</t>
        </is>
      </c>
      <c r="H25" s="3" t="inlineStr">
        <is>
          <t>Closed</t>
        </is>
      </c>
      <c r="I25" s="3" t="inlineStr">
        <is>
          <t>Retrofit</t>
        </is>
      </c>
      <c r="J25" s="16" t="inlineStr">
        <is>
          <t>PE26022602</t>
        </is>
      </c>
      <c r="K25" s="41" t="n"/>
      <c r="L25" s="41" t="n"/>
      <c r="M25" s="37" t="n">
        <v>46150</v>
      </c>
    </row>
    <row r="26">
      <c r="A26" s="6" t="n">
        <v>46148</v>
      </c>
      <c r="B26" s="3" t="inlineStr">
        <is>
          <t>Blupine</t>
        </is>
      </c>
      <c r="C26" s="3" t="inlineStr">
        <is>
          <t>Sadla</t>
        </is>
      </c>
      <c r="D26" s="3" t="inlineStr">
        <is>
          <t>Gujarat</t>
        </is>
      </c>
      <c r="E26" s="15" t="n">
        <v>58</v>
      </c>
      <c r="F26" s="3" t="inlineStr">
        <is>
          <t>Bhimsen + Raja</t>
        </is>
      </c>
      <c r="G26" s="7" t="inlineStr">
        <is>
          <t>PE26032601</t>
        </is>
      </c>
      <c r="H26" s="3" t="inlineStr">
        <is>
          <t>Closed</t>
        </is>
      </c>
      <c r="I26" s="3" t="inlineStr">
        <is>
          <t>Retrofit</t>
        </is>
      </c>
      <c r="J26" s="16" t="inlineStr">
        <is>
          <t>PE26032601</t>
        </is>
      </c>
      <c r="K26" s="13" t="n"/>
      <c r="L26" s="3" t="n"/>
      <c r="M26" s="41" t="n"/>
    </row>
    <row r="27">
      <c r="A27" s="6" t="n">
        <v>46148</v>
      </c>
      <c r="B27" s="3" t="inlineStr">
        <is>
          <t>First Energy</t>
        </is>
      </c>
      <c r="C27" s="3" t="inlineStr">
        <is>
          <t>Rajkot</t>
        </is>
      </c>
      <c r="D27" s="3" t="inlineStr">
        <is>
          <t>Gujarat</t>
        </is>
      </c>
      <c r="E27" s="3" t="n">
        <v>34</v>
      </c>
      <c r="F27" s="3" t="inlineStr">
        <is>
          <t>Kunal &amp; Nilanjan</t>
        </is>
      </c>
      <c r="G27" s="11" t="inlineStr">
        <is>
          <t>PE25032601</t>
        </is>
      </c>
      <c r="H27" s="3" t="inlineStr">
        <is>
          <t>WIP</t>
        </is>
      </c>
      <c r="I27" s="3" t="inlineStr">
        <is>
          <t>Inspection</t>
        </is>
      </c>
      <c r="J27" s="16" t="inlineStr">
        <is>
          <t>PE25032601</t>
        </is>
      </c>
      <c r="K27" s="3" t="n"/>
      <c r="L27" s="14" t="n"/>
      <c r="M27" s="10" t="n"/>
    </row>
    <row r="28">
      <c r="A28" s="6" t="n">
        <v>46149</v>
      </c>
      <c r="B28" s="3" t="inlineStr">
        <is>
          <t>First Energy</t>
        </is>
      </c>
      <c r="C28" s="3" t="inlineStr">
        <is>
          <t>Rajkot</t>
        </is>
      </c>
      <c r="D28" s="3" t="inlineStr">
        <is>
          <t>Gujarat</t>
        </is>
      </c>
      <c r="E28" s="3" t="n">
        <v>5</v>
      </c>
      <c r="F28" s="3" t="inlineStr">
        <is>
          <t>Kunal &amp; Nilanjan</t>
        </is>
      </c>
      <c r="G28" s="11" t="inlineStr">
        <is>
          <t>PE25032601</t>
        </is>
      </c>
      <c r="H28" s="3" t="inlineStr">
        <is>
          <t>WIP</t>
        </is>
      </c>
      <c r="I28" s="3" t="inlineStr">
        <is>
          <t>Inspection</t>
        </is>
      </c>
      <c r="J28" s="16" t="inlineStr">
        <is>
          <t>PE25032601</t>
        </is>
      </c>
      <c r="K28" s="3" t="n"/>
      <c r="L28" s="6" t="n">
        <v>46149</v>
      </c>
      <c r="M28" s="10" t="n"/>
    </row>
    <row r="29">
      <c r="A29" s="6" t="n">
        <v>46149</v>
      </c>
      <c r="B29" s="3" t="inlineStr">
        <is>
          <t>Blupine</t>
        </is>
      </c>
      <c r="C29" s="3" t="inlineStr">
        <is>
          <t>Sadla</t>
        </is>
      </c>
      <c r="D29" s="3" t="inlineStr">
        <is>
          <t>Gujarat</t>
        </is>
      </c>
      <c r="E29" s="15" t="n">
        <v>44</v>
      </c>
      <c r="F29" s="3" t="inlineStr">
        <is>
          <t>Bhimsen + Raja</t>
        </is>
      </c>
      <c r="G29" s="7" t="inlineStr">
        <is>
          <t>PE26032601</t>
        </is>
      </c>
      <c r="H29" s="3" t="inlineStr">
        <is>
          <t>Closed</t>
        </is>
      </c>
      <c r="I29" s="3" t="inlineStr">
        <is>
          <t>Retrofit</t>
        </is>
      </c>
      <c r="J29" s="16" t="inlineStr">
        <is>
          <t>PE26032601</t>
        </is>
      </c>
      <c r="K29" s="13" t="n"/>
      <c r="L29" s="3" t="n"/>
      <c r="M29" s="41" t="n"/>
    </row>
    <row r="30">
      <c r="A30" s="6" t="n">
        <v>46150</v>
      </c>
      <c r="B30" s="48" t="inlineStr">
        <is>
          <t>Cresta solar</t>
        </is>
      </c>
      <c r="C30" s="26" t="inlineStr">
        <is>
          <t>Hyderabad</t>
        </is>
      </c>
      <c r="D30" s="26" t="inlineStr">
        <is>
          <t>Telangana</t>
        </is>
      </c>
      <c r="E30" s="15" t="n">
        <v>1</v>
      </c>
      <c r="F30" s="3" t="inlineStr">
        <is>
          <t>By Mail</t>
        </is>
      </c>
      <c r="G30" s="38" t="inlineStr">
        <is>
          <t>PE07052601</t>
        </is>
      </c>
      <c r="H30" s="3" t="inlineStr">
        <is>
          <t>Closed</t>
        </is>
      </c>
      <c r="I30" s="3" t="inlineStr">
        <is>
          <t>Replacement</t>
        </is>
      </c>
      <c r="J30" s="52" t="inlineStr">
        <is>
          <t>PE07052601</t>
        </is>
      </c>
      <c r="K30" s="13" t="n"/>
      <c r="L30" s="3" t="n"/>
      <c r="M30" s="41" t="n"/>
    </row>
    <row r="31">
      <c r="A31" s="6" t="n">
        <v>46150</v>
      </c>
      <c r="B31" s="3" t="inlineStr">
        <is>
          <t>Blupine</t>
        </is>
      </c>
      <c r="C31" s="3" t="inlineStr">
        <is>
          <t>Sadla</t>
        </is>
      </c>
      <c r="D31" s="3" t="inlineStr">
        <is>
          <t>Gujarat</t>
        </is>
      </c>
      <c r="E31" s="15" t="n">
        <v>52</v>
      </c>
      <c r="F31" s="3" t="inlineStr">
        <is>
          <t>Bhimsen + Raja</t>
        </is>
      </c>
      <c r="G31" s="7" t="inlineStr">
        <is>
          <t>PE26032601</t>
        </is>
      </c>
      <c r="H31" s="3" t="inlineStr">
        <is>
          <t>Closed</t>
        </is>
      </c>
      <c r="I31" s="3" t="inlineStr">
        <is>
          <t>Retrofit</t>
        </is>
      </c>
      <c r="J31" s="16" t="inlineStr">
        <is>
          <t>PE26032601</t>
        </is>
      </c>
      <c r="K31" s="13" t="n"/>
      <c r="L31" s="41" t="n"/>
      <c r="M31" s="41" t="n"/>
    </row>
    <row r="32">
      <c r="A32" s="6" t="n">
        <v>46151</v>
      </c>
      <c r="B32" s="3" t="inlineStr">
        <is>
          <t>Blupine</t>
        </is>
      </c>
      <c r="C32" s="3" t="inlineStr">
        <is>
          <t>Sadla</t>
        </is>
      </c>
      <c r="D32" s="3" t="inlineStr">
        <is>
          <t>Gujarat</t>
        </is>
      </c>
      <c r="E32" s="15" t="n">
        <v>80</v>
      </c>
      <c r="F32" s="3" t="inlineStr">
        <is>
          <t>Bhimsen + Raja + Nilanjan + Kunal</t>
        </is>
      </c>
      <c r="G32" s="7" t="inlineStr">
        <is>
          <t>PE26032601</t>
        </is>
      </c>
      <c r="H32" s="3" t="inlineStr">
        <is>
          <t>Closed</t>
        </is>
      </c>
      <c r="I32" s="3" t="inlineStr">
        <is>
          <t>Retrofit</t>
        </is>
      </c>
      <c r="J32" s="16" t="inlineStr">
        <is>
          <t>PE26032601</t>
        </is>
      </c>
      <c r="K32" s="13" t="n"/>
      <c r="L32" s="41" t="n"/>
      <c r="M32" s="41" t="n"/>
    </row>
    <row r="33">
      <c r="A33" s="6" t="n">
        <v>46153</v>
      </c>
      <c r="B33" s="3" t="inlineStr">
        <is>
          <t>Blupine</t>
        </is>
      </c>
      <c r="C33" s="3" t="inlineStr">
        <is>
          <t>Sadla</t>
        </is>
      </c>
      <c r="D33" s="3" t="inlineStr">
        <is>
          <t>Gujarat</t>
        </is>
      </c>
      <c r="E33" s="15" t="n">
        <v>85</v>
      </c>
      <c r="F33" s="3" t="inlineStr">
        <is>
          <t>Bhimsen + Raja + Nilanjan + Kunal</t>
        </is>
      </c>
      <c r="G33" s="7" t="inlineStr">
        <is>
          <t>PE26032601</t>
        </is>
      </c>
      <c r="H33" s="3" t="inlineStr">
        <is>
          <t>Closed</t>
        </is>
      </c>
      <c r="I33" s="3" t="inlineStr">
        <is>
          <t>Retrofit</t>
        </is>
      </c>
      <c r="J33" s="16" t="inlineStr">
        <is>
          <t>PE26032601</t>
        </is>
      </c>
      <c r="K33" s="13" t="n"/>
      <c r="L33" s="41" t="n"/>
      <c r="M33" s="41" t="n"/>
    </row>
    <row r="34">
      <c r="A34" s="6" t="n">
        <v>46153</v>
      </c>
      <c r="B34" s="26" t="inlineStr">
        <is>
          <t>Yanara Power</t>
        </is>
      </c>
      <c r="C34" s="39" t="inlineStr">
        <is>
          <t>Holi</t>
        </is>
      </c>
      <c r="D34" s="39" t="inlineStr">
        <is>
          <t>Maharashtra</t>
        </is>
      </c>
      <c r="E34" s="15" t="n">
        <v>26</v>
      </c>
      <c r="F34" s="3" t="inlineStr">
        <is>
          <t>Gourab + Amit + Bani</t>
        </is>
      </c>
      <c r="G34" s="38" t="inlineStr">
        <is>
          <t>PE01052601</t>
        </is>
      </c>
      <c r="H34" s="3" t="inlineStr">
        <is>
          <t>Closed</t>
        </is>
      </c>
      <c r="I34" s="3" t="inlineStr">
        <is>
          <t>Retrofit</t>
        </is>
      </c>
      <c r="J34" s="16" t="inlineStr">
        <is>
          <t>PE01052601</t>
        </is>
      </c>
      <c r="K34" s="37" t="n">
        <v>46149</v>
      </c>
      <c r="L34" s="41" t="n"/>
      <c r="M34" s="37" t="n"/>
    </row>
    <row r="35">
      <c r="A35" s="37" t="n">
        <v>46154</v>
      </c>
      <c r="B35" s="3" t="inlineStr">
        <is>
          <t>Blupine</t>
        </is>
      </c>
      <c r="C35" s="3" t="inlineStr">
        <is>
          <t>Sadla</t>
        </is>
      </c>
      <c r="D35" s="3" t="inlineStr">
        <is>
          <t>Gujarat</t>
        </is>
      </c>
      <c r="E35" s="15" t="n">
        <v>88</v>
      </c>
      <c r="F35" s="3" t="inlineStr">
        <is>
          <t>Bhimsen + Raja + Nilanjan + Kunal</t>
        </is>
      </c>
      <c r="G35" s="7" t="inlineStr">
        <is>
          <t>PE26032601</t>
        </is>
      </c>
      <c r="H35" s="3" t="inlineStr">
        <is>
          <t>Closed</t>
        </is>
      </c>
      <c r="I35" s="3" t="inlineStr">
        <is>
          <t>Retrofit</t>
        </is>
      </c>
      <c r="J35" s="16" t="inlineStr">
        <is>
          <t>PE26032601</t>
        </is>
      </c>
      <c r="K35" s="13" t="n"/>
      <c r="L35" s="41" t="n"/>
      <c r="M35" s="41" t="n"/>
    </row>
    <row r="36">
      <c r="A36" s="37" t="n">
        <v>46155</v>
      </c>
      <c r="B36" s="19" t="inlineStr">
        <is>
          <t>Uma Trading</t>
        </is>
      </c>
      <c r="C36" s="26" t="inlineStr">
        <is>
          <t xml:space="preserve"> Sangli</t>
        </is>
      </c>
      <c r="D36" s="26" t="inlineStr">
        <is>
          <t>Maharashtra</t>
        </is>
      </c>
      <c r="E36" s="3" t="n">
        <v>1</v>
      </c>
      <c r="F36" s="3" t="inlineStr">
        <is>
          <t>By Mail</t>
        </is>
      </c>
      <c r="G36" s="4" t="inlineStr">
        <is>
          <t>PE12052604</t>
        </is>
      </c>
      <c r="H36" s="3" t="inlineStr">
        <is>
          <t>Closed</t>
        </is>
      </c>
      <c r="I36" s="3" t="inlineStr">
        <is>
          <t>Rejected</t>
        </is>
      </c>
      <c r="J36" s="16" t="inlineStr">
        <is>
          <t>PE12052604</t>
        </is>
      </c>
      <c r="K36" s="13" t="n"/>
      <c r="L36" s="41" t="n"/>
      <c r="M36" s="41" t="n"/>
    </row>
    <row r="37">
      <c r="A37" s="37" t="n">
        <v>46155</v>
      </c>
      <c r="B37" s="3" t="inlineStr">
        <is>
          <t>Blupine</t>
        </is>
      </c>
      <c r="C37" s="3" t="inlineStr">
        <is>
          <t>Sadla</t>
        </is>
      </c>
      <c r="D37" s="3" t="inlineStr">
        <is>
          <t>Gujarat</t>
        </is>
      </c>
      <c r="E37" s="15" t="n">
        <v>55</v>
      </c>
      <c r="F37" s="3" t="inlineStr">
        <is>
          <t>Bhimsen + Raja + Kunal + Kamal</t>
        </is>
      </c>
      <c r="G37" s="7" t="inlineStr">
        <is>
          <t>PE26032601</t>
        </is>
      </c>
      <c r="H37" s="3" t="inlineStr">
        <is>
          <t>Closed</t>
        </is>
      </c>
      <c r="I37" s="3" t="inlineStr">
        <is>
          <t>Retrofit</t>
        </is>
      </c>
      <c r="J37" s="16" t="inlineStr">
        <is>
          <t>PE26032601</t>
        </is>
      </c>
      <c r="K37" s="13" t="n"/>
      <c r="L37" s="41" t="n"/>
      <c r="M37" s="41" t="n"/>
    </row>
    <row r="38">
      <c r="A38" s="37" t="n">
        <v>46155</v>
      </c>
      <c r="B38" s="26" t="inlineStr">
        <is>
          <t>Yanara Power</t>
        </is>
      </c>
      <c r="C38" s="39" t="inlineStr">
        <is>
          <t>Holi</t>
        </is>
      </c>
      <c r="D38" s="39" t="inlineStr">
        <is>
          <t>Maharashtra</t>
        </is>
      </c>
      <c r="E38" s="15" t="n">
        <v>37</v>
      </c>
      <c r="F38" s="3" t="inlineStr">
        <is>
          <t>Gourab + Amit + Bani</t>
        </is>
      </c>
      <c r="G38" s="38" t="inlineStr">
        <is>
          <t>PE01052601</t>
        </is>
      </c>
      <c r="H38" s="3" t="inlineStr">
        <is>
          <t>Closed</t>
        </is>
      </c>
      <c r="I38" s="3" t="inlineStr">
        <is>
          <t>Retrofit</t>
        </is>
      </c>
      <c r="J38" s="16" t="inlineStr">
        <is>
          <t>PE01052601</t>
        </is>
      </c>
      <c r="K38" s="13" t="n"/>
      <c r="L38" s="41" t="n"/>
      <c r="M38" s="41" t="n"/>
    </row>
    <row r="39">
      <c r="A39" s="37" t="n">
        <v>46156</v>
      </c>
      <c r="B39" s="26" t="inlineStr">
        <is>
          <t>Solar Square</t>
        </is>
      </c>
      <c r="C39" s="26" t="inlineStr">
        <is>
          <t>Hyderabad</t>
        </is>
      </c>
      <c r="D39" s="26" t="inlineStr">
        <is>
          <t>Telangana</t>
        </is>
      </c>
      <c r="E39" s="3" t="n">
        <v>1</v>
      </c>
      <c r="F39" s="3" t="inlineStr">
        <is>
          <t>Pavan</t>
        </is>
      </c>
      <c r="G39" s="49" t="inlineStr">
        <is>
          <t>PE27042601</t>
        </is>
      </c>
      <c r="H39" s="3" t="inlineStr">
        <is>
          <t>Closed</t>
        </is>
      </c>
      <c r="I39" s="3" t="inlineStr">
        <is>
          <t>Retrofit</t>
        </is>
      </c>
      <c r="J39" s="16" t="inlineStr">
        <is>
          <t>PE27042601</t>
        </is>
      </c>
      <c r="K39" s="37" t="n">
        <v>46156</v>
      </c>
      <c r="L39" s="41" t="n"/>
      <c r="M39" s="41" t="n"/>
    </row>
    <row r="40">
      <c r="A40" s="37" t="n">
        <v>46156</v>
      </c>
      <c r="B40" s="26" t="inlineStr">
        <is>
          <t>Solar Square</t>
        </is>
      </c>
      <c r="C40" s="26" t="inlineStr">
        <is>
          <t>Hyderabad</t>
        </is>
      </c>
      <c r="D40" s="26" t="inlineStr">
        <is>
          <t>Telangana</t>
        </is>
      </c>
      <c r="E40" s="3" t="n">
        <v>2</v>
      </c>
      <c r="F40" s="3" t="inlineStr">
        <is>
          <t>Pavan</t>
        </is>
      </c>
      <c r="G40" s="38" t="inlineStr">
        <is>
          <t>PE27042602</t>
        </is>
      </c>
      <c r="H40" s="3" t="inlineStr">
        <is>
          <t>Closed</t>
        </is>
      </c>
      <c r="I40" s="3" t="inlineStr">
        <is>
          <t>Retrofit</t>
        </is>
      </c>
      <c r="J40" s="16" t="inlineStr">
        <is>
          <t>PE27042602</t>
        </is>
      </c>
      <c r="K40" s="13" t="n"/>
      <c r="L40" s="41" t="n"/>
      <c r="M40" s="37" t="n">
        <v>46156</v>
      </c>
    </row>
    <row r="41">
      <c r="A41" s="37" t="n">
        <v>46156</v>
      </c>
      <c r="B41" s="3" t="inlineStr">
        <is>
          <t>Blupine</t>
        </is>
      </c>
      <c r="C41" s="3" t="inlineStr">
        <is>
          <t>Sadla</t>
        </is>
      </c>
      <c r="D41" s="3" t="inlineStr">
        <is>
          <t>Gujarat</t>
        </is>
      </c>
      <c r="E41" s="15" t="n">
        <v>101</v>
      </c>
      <c r="F41" s="3" t="inlineStr">
        <is>
          <t>Bhimsen + Raja + Kunal + Kamal</t>
        </is>
      </c>
      <c r="G41" s="7" t="inlineStr">
        <is>
          <t>PE26032601</t>
        </is>
      </c>
      <c r="H41" s="3" t="inlineStr">
        <is>
          <t>Closed</t>
        </is>
      </c>
      <c r="I41" s="3" t="inlineStr">
        <is>
          <t>Retrofit</t>
        </is>
      </c>
      <c r="J41" s="16" t="inlineStr">
        <is>
          <t>PE26032601</t>
        </is>
      </c>
      <c r="K41" s="13" t="n"/>
      <c r="L41" s="41" t="n"/>
      <c r="M41" s="41" t="n"/>
    </row>
    <row r="42">
      <c r="A42" s="37" t="n">
        <v>46156</v>
      </c>
      <c r="B42" s="26" t="inlineStr">
        <is>
          <t>Yanara Power</t>
        </is>
      </c>
      <c r="C42" s="39" t="inlineStr">
        <is>
          <t>Holi</t>
        </is>
      </c>
      <c r="D42" s="39" t="inlineStr">
        <is>
          <t>Maharashtra</t>
        </is>
      </c>
      <c r="E42" s="15" t="n">
        <v>52</v>
      </c>
      <c r="F42" s="3" t="inlineStr">
        <is>
          <t>Gourab + Amit + Bani</t>
        </is>
      </c>
      <c r="G42" s="38" t="inlineStr">
        <is>
          <t>PE01052601</t>
        </is>
      </c>
      <c r="H42" s="3" t="inlineStr">
        <is>
          <t>Closed</t>
        </is>
      </c>
      <c r="I42" s="3" t="inlineStr">
        <is>
          <t>Retrofit</t>
        </is>
      </c>
      <c r="J42" s="16" t="inlineStr">
        <is>
          <t>PE01052601</t>
        </is>
      </c>
      <c r="K42" s="13" t="n"/>
      <c r="L42" s="41" t="n"/>
      <c r="M42" s="41" t="n"/>
    </row>
    <row r="43">
      <c r="A43" s="6" t="n">
        <v>46156</v>
      </c>
      <c r="B43" s="26" t="inlineStr">
        <is>
          <t>SILRES Energy Solutions Private Limited</t>
        </is>
      </c>
      <c r="C43" s="26" t="inlineStr">
        <is>
          <t>Chennai</t>
        </is>
      </c>
      <c r="D43" s="26" t="inlineStr">
        <is>
          <t>Tamil Nadu</t>
        </is>
      </c>
      <c r="E43" s="3" t="n">
        <v>1</v>
      </c>
      <c r="F43" s="3" t="inlineStr">
        <is>
          <t>By Mail</t>
        </is>
      </c>
      <c r="G43" s="38" t="inlineStr">
        <is>
          <t>PE5052601</t>
        </is>
      </c>
      <c r="H43" s="3" t="inlineStr">
        <is>
          <t>Closed</t>
        </is>
      </c>
      <c r="I43" s="3" t="inlineStr">
        <is>
          <t>Refund</t>
        </is>
      </c>
      <c r="J43" s="16" t="inlineStr">
        <is>
          <t>PE5052601</t>
        </is>
      </c>
      <c r="K43" s="13" t="n"/>
      <c r="L43" s="3" t="n"/>
      <c r="M43" s="41" t="n"/>
    </row>
    <row r="44">
      <c r="A44" s="37" t="n">
        <v>46157</v>
      </c>
      <c r="B44" s="3" t="inlineStr">
        <is>
          <t>Blupine</t>
        </is>
      </c>
      <c r="C44" s="3" t="inlineStr">
        <is>
          <t>Sadla</t>
        </is>
      </c>
      <c r="D44" s="3" t="inlineStr">
        <is>
          <t>Gujarat</t>
        </is>
      </c>
      <c r="E44" s="15" t="n">
        <v>51</v>
      </c>
      <c r="F44" s="3" t="inlineStr">
        <is>
          <t>Bhimsen + Raja + Kunal + Kamal</t>
        </is>
      </c>
      <c r="G44" s="7" t="inlineStr">
        <is>
          <t>PE26032601</t>
        </is>
      </c>
      <c r="H44" s="3" t="inlineStr">
        <is>
          <t>Closed</t>
        </is>
      </c>
      <c r="I44" s="3" t="inlineStr">
        <is>
          <t>Retrofit</t>
        </is>
      </c>
      <c r="J44" s="16" t="inlineStr">
        <is>
          <t>PE26032601</t>
        </is>
      </c>
      <c r="K44" s="13" t="n"/>
      <c r="L44" s="41" t="n"/>
      <c r="M44" s="41" t="n"/>
    </row>
    <row r="45">
      <c r="A45" s="37" t="n">
        <v>46157</v>
      </c>
      <c r="B45" s="26" t="inlineStr">
        <is>
          <t>Yanara Power</t>
        </is>
      </c>
      <c r="C45" s="39" t="inlineStr">
        <is>
          <t>Holi</t>
        </is>
      </c>
      <c r="D45" s="39" t="inlineStr">
        <is>
          <t>Maharashtra</t>
        </is>
      </c>
      <c r="E45" s="15" t="n">
        <v>43</v>
      </c>
      <c r="F45" s="3" t="inlineStr">
        <is>
          <t>Gourab + Amit + Bani</t>
        </is>
      </c>
      <c r="G45" s="38" t="inlineStr">
        <is>
          <t>PE01052601</t>
        </is>
      </c>
      <c r="H45" s="3" t="inlineStr">
        <is>
          <t>Closed</t>
        </is>
      </c>
      <c r="I45" s="3" t="inlineStr">
        <is>
          <t>Retrofit</t>
        </is>
      </c>
      <c r="J45" s="16" t="inlineStr">
        <is>
          <t>PE01052601</t>
        </is>
      </c>
      <c r="K45" s="13" t="n"/>
      <c r="L45" s="41" t="n"/>
      <c r="M45" s="41" t="n"/>
    </row>
    <row r="46">
      <c r="A46" s="37" t="n">
        <v>46158</v>
      </c>
      <c r="B46" s="3" t="inlineStr">
        <is>
          <t>Blupine</t>
        </is>
      </c>
      <c r="C46" s="3" t="inlineStr">
        <is>
          <t>Sadla</t>
        </is>
      </c>
      <c r="D46" s="3" t="inlineStr">
        <is>
          <t>Gujarat</t>
        </is>
      </c>
      <c r="E46" s="15" t="n">
        <v>87</v>
      </c>
      <c r="F46" s="3" t="inlineStr">
        <is>
          <t>Bhimsen + Raja + Kunal + Kamal</t>
        </is>
      </c>
      <c r="G46" s="7" t="inlineStr">
        <is>
          <t>PE26032601</t>
        </is>
      </c>
      <c r="H46" s="3" t="inlineStr">
        <is>
          <t>Closed</t>
        </is>
      </c>
      <c r="I46" s="3" t="inlineStr">
        <is>
          <t>Retrofit</t>
        </is>
      </c>
      <c r="J46" s="16" t="inlineStr">
        <is>
          <t>PE26032601</t>
        </is>
      </c>
      <c r="K46" s="13" t="n"/>
      <c r="L46" s="41" t="n"/>
      <c r="M46" s="41" t="n"/>
    </row>
    <row r="47">
      <c r="A47" s="37" t="n">
        <v>46158</v>
      </c>
      <c r="B47" s="26" t="inlineStr">
        <is>
          <t>Yanara Power</t>
        </is>
      </c>
      <c r="C47" s="39" t="inlineStr">
        <is>
          <t>Holi</t>
        </is>
      </c>
      <c r="D47" s="39" t="inlineStr">
        <is>
          <t>Maharashtra</t>
        </is>
      </c>
      <c r="E47" s="15" t="n">
        <v>34</v>
      </c>
      <c r="F47" s="3" t="inlineStr">
        <is>
          <t>Gourab + Amit + Bani</t>
        </is>
      </c>
      <c r="G47" s="38" t="inlineStr">
        <is>
          <t>PE01052601</t>
        </is>
      </c>
      <c r="H47" s="3" t="inlineStr">
        <is>
          <t>Closed</t>
        </is>
      </c>
      <c r="I47" s="3" t="inlineStr">
        <is>
          <t>Retrofit</t>
        </is>
      </c>
      <c r="J47" s="16" t="inlineStr">
        <is>
          <t>PE01052601</t>
        </is>
      </c>
      <c r="K47" s="13" t="n"/>
      <c r="L47" s="41" t="n"/>
      <c r="M47" s="41" t="n"/>
    </row>
    <row r="48">
      <c r="A48" s="37" t="n">
        <v>46158</v>
      </c>
      <c r="B48" s="26" t="inlineStr">
        <is>
          <t>Nabhas Constructions</t>
        </is>
      </c>
      <c r="C48" s="50" t="inlineStr">
        <is>
          <t>Kovvuru</t>
        </is>
      </c>
      <c r="D48" s="26" t="inlineStr">
        <is>
          <t>Andhra Predesh</t>
        </is>
      </c>
      <c r="E48" s="15" t="n">
        <v>1</v>
      </c>
      <c r="F48" s="3" t="inlineStr">
        <is>
          <t>By Mail</t>
        </is>
      </c>
      <c r="G48" s="38" t="inlineStr">
        <is>
          <t>PE16052601</t>
        </is>
      </c>
      <c r="H48" s="3" t="inlineStr">
        <is>
          <t>Closed</t>
        </is>
      </c>
      <c r="I48" s="3" t="inlineStr">
        <is>
          <t>Replacement</t>
        </is>
      </c>
      <c r="J48" s="52" t="inlineStr">
        <is>
          <t>PE16052601</t>
        </is>
      </c>
      <c r="K48" s="13" t="n"/>
      <c r="L48" s="41" t="n"/>
      <c r="M48" s="41" t="n"/>
    </row>
    <row r="49">
      <c r="A49" s="37" t="n">
        <v>46159</v>
      </c>
      <c r="B49" s="3" t="inlineStr">
        <is>
          <t>Blupine</t>
        </is>
      </c>
      <c r="C49" s="3" t="inlineStr">
        <is>
          <t>Sadla</t>
        </is>
      </c>
      <c r="D49" s="3" t="inlineStr">
        <is>
          <t>Gujarat</t>
        </is>
      </c>
      <c r="E49" s="15" t="n">
        <v>62</v>
      </c>
      <c r="F49" s="3" t="inlineStr">
        <is>
          <t>Bhimsen + Raja + Kunal + Kamal</t>
        </is>
      </c>
      <c r="G49" s="7" t="inlineStr">
        <is>
          <t>PE26032601</t>
        </is>
      </c>
      <c r="H49" s="3" t="inlineStr">
        <is>
          <t>Closed</t>
        </is>
      </c>
      <c r="I49" s="3" t="inlineStr">
        <is>
          <t>Retrofit</t>
        </is>
      </c>
      <c r="J49" s="16" t="inlineStr">
        <is>
          <t>PE26032601</t>
        </is>
      </c>
      <c r="K49" s="13" t="n"/>
      <c r="L49" s="41" t="n"/>
      <c r="M49" s="41" t="n"/>
    </row>
    <row r="50">
      <c r="A50" s="37" t="n">
        <v>46159</v>
      </c>
      <c r="B50" s="26" t="inlineStr">
        <is>
          <t>Yanara Power</t>
        </is>
      </c>
      <c r="C50" s="39" t="inlineStr">
        <is>
          <t>Holi</t>
        </is>
      </c>
      <c r="D50" s="39" t="inlineStr">
        <is>
          <t>Maharashtra</t>
        </is>
      </c>
      <c r="E50" s="15" t="n">
        <v>41</v>
      </c>
      <c r="F50" s="3" t="inlineStr">
        <is>
          <t>Gourab + Amit + Bani</t>
        </is>
      </c>
      <c r="G50" s="38" t="inlineStr">
        <is>
          <t>PE01052601</t>
        </is>
      </c>
      <c r="H50" s="3" t="inlineStr">
        <is>
          <t>Closed</t>
        </is>
      </c>
      <c r="I50" s="3" t="inlineStr">
        <is>
          <t>Retrofit</t>
        </is>
      </c>
      <c r="J50" s="16" t="inlineStr">
        <is>
          <t>PE01052601</t>
        </is>
      </c>
      <c r="K50" s="13" t="n"/>
      <c r="L50" s="41" t="n"/>
      <c r="M50" s="41" t="n"/>
    </row>
    <row r="51">
      <c r="A51" s="37" t="n">
        <v>46160</v>
      </c>
      <c r="B51" s="3" t="inlineStr">
        <is>
          <t>Blupine</t>
        </is>
      </c>
      <c r="C51" s="3" t="inlineStr">
        <is>
          <t>Sadla</t>
        </is>
      </c>
      <c r="D51" s="3" t="inlineStr">
        <is>
          <t>Gujarat</t>
        </is>
      </c>
      <c r="E51" s="15" t="n">
        <v>31</v>
      </c>
      <c r="F51" s="3" t="inlineStr">
        <is>
          <t>Bhimsen + Raja + Kunal + Kamal</t>
        </is>
      </c>
      <c r="G51" s="7" t="inlineStr">
        <is>
          <t>PE26032601</t>
        </is>
      </c>
      <c r="H51" s="3" t="inlineStr">
        <is>
          <t>Closed</t>
        </is>
      </c>
      <c r="I51" s="3" t="inlineStr">
        <is>
          <t>Retrofit</t>
        </is>
      </c>
      <c r="J51" s="16" t="inlineStr">
        <is>
          <t>PE26032601</t>
        </is>
      </c>
      <c r="K51" s="13" t="n"/>
      <c r="L51" s="41" t="n"/>
      <c r="M51" s="41" t="n"/>
    </row>
    <row r="52">
      <c r="A52" s="37" t="n">
        <v>46160</v>
      </c>
      <c r="B52" s="26" t="inlineStr">
        <is>
          <t>Yanara Power</t>
        </is>
      </c>
      <c r="C52" s="39" t="inlineStr">
        <is>
          <t>Holi</t>
        </is>
      </c>
      <c r="D52" s="39" t="inlineStr">
        <is>
          <t>Maharashtra</t>
        </is>
      </c>
      <c r="E52" s="15" t="n">
        <v>58</v>
      </c>
      <c r="F52" s="3" t="inlineStr">
        <is>
          <t>Gourab + Amit + Bani</t>
        </is>
      </c>
      <c r="G52" s="38" t="inlineStr">
        <is>
          <t>PE01052601</t>
        </is>
      </c>
      <c r="H52" s="3" t="inlineStr">
        <is>
          <t>Closed</t>
        </is>
      </c>
      <c r="I52" s="3" t="inlineStr">
        <is>
          <t>Retrofit</t>
        </is>
      </c>
      <c r="J52" s="16" t="inlineStr">
        <is>
          <t>PE01052601</t>
        </is>
      </c>
      <c r="K52" s="13" t="n"/>
      <c r="L52" s="41" t="n"/>
      <c r="M52" s="41" t="n"/>
    </row>
    <row r="53">
      <c r="A53" s="37" t="n">
        <v>46161</v>
      </c>
      <c r="B53" s="26" t="inlineStr">
        <is>
          <t>Yanara Power</t>
        </is>
      </c>
      <c r="C53" s="39" t="inlineStr">
        <is>
          <t>Holi</t>
        </is>
      </c>
      <c r="D53" s="39" t="inlineStr">
        <is>
          <t>Maharashtra</t>
        </is>
      </c>
      <c r="E53" s="15" t="n">
        <v>42</v>
      </c>
      <c r="F53" s="3" t="inlineStr">
        <is>
          <t>Gourab + Amit</t>
        </is>
      </c>
      <c r="G53" s="38" t="inlineStr">
        <is>
          <t>PE01052601</t>
        </is>
      </c>
      <c r="H53" s="3" t="inlineStr">
        <is>
          <t>Closed</t>
        </is>
      </c>
      <c r="I53" s="3" t="inlineStr">
        <is>
          <t>Retrofit</t>
        </is>
      </c>
      <c r="J53" s="16" t="inlineStr">
        <is>
          <t>PE01052601</t>
        </is>
      </c>
      <c r="K53" s="6" t="n"/>
      <c r="L53" s="41" t="n"/>
      <c r="M53" s="41" t="n"/>
    </row>
    <row r="54">
      <c r="A54" s="37" t="n">
        <v>46162</v>
      </c>
      <c r="B54" s="26" t="inlineStr">
        <is>
          <t>Solar Square</t>
        </is>
      </c>
      <c r="C54" s="26" t="inlineStr">
        <is>
          <t>Pune</t>
        </is>
      </c>
      <c r="D54" s="26" t="inlineStr">
        <is>
          <t>Maharashtra</t>
        </is>
      </c>
      <c r="E54" s="15" t="n">
        <v>1</v>
      </c>
      <c r="F54" s="3" t="inlineStr">
        <is>
          <t>By Mail</t>
        </is>
      </c>
      <c r="G54" s="38" t="inlineStr">
        <is>
          <t>PE20052601</t>
        </is>
      </c>
      <c r="H54" s="3" t="inlineStr">
        <is>
          <t>Closed</t>
        </is>
      </c>
      <c r="I54" s="3" t="inlineStr">
        <is>
          <t>Rejected</t>
        </is>
      </c>
      <c r="J54" s="16" t="inlineStr">
        <is>
          <t>PE20052601</t>
        </is>
      </c>
      <c r="K54" s="13" t="n"/>
      <c r="L54" s="41" t="n"/>
      <c r="M54" s="41" t="n"/>
    </row>
    <row r="55">
      <c r="A55" s="37" t="n">
        <v>46162</v>
      </c>
      <c r="B55" s="3" t="inlineStr">
        <is>
          <t>Blupine</t>
        </is>
      </c>
      <c r="C55" s="3" t="inlineStr">
        <is>
          <t>Sadla</t>
        </is>
      </c>
      <c r="D55" s="3" t="inlineStr">
        <is>
          <t>Gujarat</t>
        </is>
      </c>
      <c r="E55" s="15" t="n">
        <v>80</v>
      </c>
      <c r="F55" s="3" t="inlineStr">
        <is>
          <t>Bhimsen + Raja + Kunal + Kamal</t>
        </is>
      </c>
      <c r="G55" s="7" t="inlineStr">
        <is>
          <t>PE26032601</t>
        </is>
      </c>
      <c r="H55" s="3" t="inlineStr">
        <is>
          <t>Closed</t>
        </is>
      </c>
      <c r="I55" s="3" t="inlineStr">
        <is>
          <t>Retrofit</t>
        </is>
      </c>
      <c r="J55" s="16" t="inlineStr">
        <is>
          <t>PE26032601</t>
        </is>
      </c>
      <c r="K55" s="13" t="n"/>
      <c r="L55" s="41" t="n"/>
      <c r="M55" s="41" t="n"/>
    </row>
    <row r="56">
      <c r="A56" s="37" t="n">
        <v>46162</v>
      </c>
      <c r="B56" s="26" t="inlineStr">
        <is>
          <t>Yanara Power</t>
        </is>
      </c>
      <c r="C56" s="39" t="inlineStr">
        <is>
          <t>Holi</t>
        </is>
      </c>
      <c r="D56" s="39" t="inlineStr">
        <is>
          <t>Maharashtra</t>
        </is>
      </c>
      <c r="E56" s="15" t="n">
        <v>33</v>
      </c>
      <c r="F56" s="3" t="inlineStr">
        <is>
          <t>Gourab + Amit</t>
        </is>
      </c>
      <c r="G56" s="38" t="inlineStr">
        <is>
          <t>PE01052601</t>
        </is>
      </c>
      <c r="H56" s="3" t="inlineStr">
        <is>
          <t>Closed</t>
        </is>
      </c>
      <c r="I56" s="3" t="inlineStr">
        <is>
          <t>Retrofit</t>
        </is>
      </c>
      <c r="J56" s="16" t="inlineStr">
        <is>
          <t>PE01052601</t>
        </is>
      </c>
      <c r="K56" s="13" t="n"/>
      <c r="L56" s="41" t="n"/>
      <c r="M56" s="41" t="n"/>
    </row>
    <row r="57">
      <c r="A57" s="37" t="n">
        <v>46163</v>
      </c>
      <c r="B57" s="3" t="inlineStr">
        <is>
          <t>Blupine</t>
        </is>
      </c>
      <c r="C57" s="3" t="inlineStr">
        <is>
          <t>Sadla</t>
        </is>
      </c>
      <c r="D57" s="3" t="inlineStr">
        <is>
          <t>Gujarat</t>
        </is>
      </c>
      <c r="E57" s="15" t="n">
        <v>42</v>
      </c>
      <c r="F57" s="3" t="inlineStr">
        <is>
          <t>Bhimsen + Raja + Kunal + Kamal</t>
        </is>
      </c>
      <c r="G57" s="7" t="inlineStr">
        <is>
          <t>PE26032601</t>
        </is>
      </c>
      <c r="H57" s="3" t="inlineStr">
        <is>
          <t>Closed</t>
        </is>
      </c>
      <c r="I57" s="3" t="inlineStr">
        <is>
          <t>Retrofit</t>
        </is>
      </c>
      <c r="J57" s="16" t="inlineStr">
        <is>
          <t>PE26032601</t>
        </is>
      </c>
      <c r="K57" s="13" t="n"/>
      <c r="L57" s="41" t="n"/>
      <c r="M57" s="41" t="n"/>
    </row>
    <row r="58">
      <c r="A58" s="37" t="n">
        <v>46163</v>
      </c>
      <c r="B58" s="26" t="inlineStr">
        <is>
          <t>Yanara Power</t>
        </is>
      </c>
      <c r="C58" s="39" t="inlineStr">
        <is>
          <t>Holi</t>
        </is>
      </c>
      <c r="D58" s="39" t="inlineStr">
        <is>
          <t>Maharashtra</t>
        </is>
      </c>
      <c r="E58" s="15" t="n">
        <v>62</v>
      </c>
      <c r="F58" s="3" t="inlineStr">
        <is>
          <t>Gourab + Amit</t>
        </is>
      </c>
      <c r="G58" s="38" t="inlineStr">
        <is>
          <t>PE01052601</t>
        </is>
      </c>
      <c r="H58" s="3" t="inlineStr">
        <is>
          <t>Closed</t>
        </is>
      </c>
      <c r="I58" s="3" t="inlineStr">
        <is>
          <t>Retrofit</t>
        </is>
      </c>
      <c r="J58" s="16" t="inlineStr">
        <is>
          <t>PE01052601</t>
        </is>
      </c>
      <c r="K58" s="13" t="n"/>
      <c r="L58" s="41" t="n"/>
      <c r="M58" s="41" t="n"/>
    </row>
    <row r="59">
      <c r="A59" s="37" t="n">
        <v>46164</v>
      </c>
      <c r="B59" s="26" t="inlineStr">
        <is>
          <t>Yanara Power</t>
        </is>
      </c>
      <c r="C59" s="39" t="inlineStr">
        <is>
          <t>Holi</t>
        </is>
      </c>
      <c r="D59" s="39" t="inlineStr">
        <is>
          <t>Maharashtra</t>
        </is>
      </c>
      <c r="E59" s="15" t="n">
        <v>27</v>
      </c>
      <c r="F59" s="3" t="inlineStr">
        <is>
          <t>Gourab + Amit</t>
        </is>
      </c>
      <c r="G59" s="38" t="inlineStr">
        <is>
          <t>PE01052601</t>
        </is>
      </c>
      <c r="H59" s="3" t="inlineStr">
        <is>
          <t>Closed</t>
        </is>
      </c>
      <c r="I59" s="3" t="inlineStr">
        <is>
          <t>Retrofit</t>
        </is>
      </c>
      <c r="J59" s="16" t="inlineStr">
        <is>
          <t>PE01052601</t>
        </is>
      </c>
      <c r="K59" s="13" t="n"/>
      <c r="L59" s="41" t="n"/>
      <c r="M59" s="41" t="n"/>
    </row>
    <row r="60">
      <c r="A60" s="37" t="n">
        <v>46165</v>
      </c>
      <c r="B60" s="3" t="inlineStr">
        <is>
          <t>Continuum</t>
        </is>
      </c>
      <c r="C60" s="50" t="inlineStr">
        <is>
          <t>Bhavnagar</t>
        </is>
      </c>
      <c r="D60" s="26" t="inlineStr">
        <is>
          <t>Gujarat</t>
        </is>
      </c>
      <c r="E60" s="15" t="n">
        <v>41</v>
      </c>
      <c r="F60" s="3" t="inlineStr">
        <is>
          <t>Bhimsen + Raja + Kunal + Kamal</t>
        </is>
      </c>
      <c r="G60" s="49" t="inlineStr">
        <is>
          <t>PE06052602</t>
        </is>
      </c>
      <c r="H60" s="3" t="inlineStr">
        <is>
          <t>Closed</t>
        </is>
      </c>
      <c r="I60" s="3" t="inlineStr">
        <is>
          <t>Retrofit</t>
        </is>
      </c>
      <c r="J60" s="16" t="inlineStr">
        <is>
          <t>PE06052602</t>
        </is>
      </c>
      <c r="K60" s="13" t="n"/>
      <c r="L60" s="41" t="n"/>
      <c r="M60" s="41" t="n"/>
    </row>
    <row r="61">
      <c r="A61" s="37" t="n">
        <v>46165</v>
      </c>
      <c r="B61" s="26" t="inlineStr">
        <is>
          <t>Yanara Power</t>
        </is>
      </c>
      <c r="C61" s="39" t="inlineStr">
        <is>
          <t>Holi</t>
        </is>
      </c>
      <c r="D61" s="39" t="inlineStr">
        <is>
          <t>Maharashtra</t>
        </is>
      </c>
      <c r="E61" s="15" t="n">
        <v>52</v>
      </c>
      <c r="F61" s="3" t="inlineStr">
        <is>
          <t>Gourab + Amit</t>
        </is>
      </c>
      <c r="G61" s="38" t="inlineStr">
        <is>
          <t>PE01052601</t>
        </is>
      </c>
      <c r="H61" s="3" t="inlineStr">
        <is>
          <t>Closed</t>
        </is>
      </c>
      <c r="I61" s="3" t="inlineStr">
        <is>
          <t>Retrofit</t>
        </is>
      </c>
      <c r="J61" s="16" t="inlineStr">
        <is>
          <t>PE01052601</t>
        </is>
      </c>
      <c r="K61" s="13" t="n"/>
      <c r="L61" s="41" t="n"/>
      <c r="M61" s="41" t="n"/>
    </row>
    <row r="62">
      <c r="A62" s="37" t="n">
        <v>46166</v>
      </c>
      <c r="B62" s="26" t="inlineStr">
        <is>
          <t>Yanara Power</t>
        </is>
      </c>
      <c r="C62" s="39" t="inlineStr">
        <is>
          <t>Holi</t>
        </is>
      </c>
      <c r="D62" s="39" t="inlineStr">
        <is>
          <t>Maharashtra</t>
        </is>
      </c>
      <c r="E62" s="15" t="n">
        <v>64</v>
      </c>
      <c r="F62" s="3" t="inlineStr">
        <is>
          <t>Gourab + Amit</t>
        </is>
      </c>
      <c r="G62" s="38" t="inlineStr">
        <is>
          <t>PE01052601</t>
        </is>
      </c>
      <c r="H62" s="3" t="inlineStr">
        <is>
          <t>Closed</t>
        </is>
      </c>
      <c r="I62" s="3" t="inlineStr">
        <is>
          <t>Retrofit</t>
        </is>
      </c>
      <c r="J62" s="16" t="inlineStr">
        <is>
          <t>PE01052601</t>
        </is>
      </c>
      <c r="K62" s="13" t="n"/>
      <c r="L62" s="41" t="n"/>
      <c r="M62" s="41" t="n"/>
    </row>
    <row r="63">
      <c r="A63" s="37" t="n">
        <v>46167</v>
      </c>
      <c r="B63" s="3" t="inlineStr">
        <is>
          <t>Continuum</t>
        </is>
      </c>
      <c r="C63" s="50" t="inlineStr">
        <is>
          <t>Bhavnagar</t>
        </is>
      </c>
      <c r="D63" s="26" t="inlineStr">
        <is>
          <t>Gujarat</t>
        </is>
      </c>
      <c r="E63" s="15" t="n">
        <v>78</v>
      </c>
      <c r="F63" s="3" t="inlineStr">
        <is>
          <t>Bhimsen + Raja + Kunal + Kamal</t>
        </is>
      </c>
      <c r="G63" s="49" t="inlineStr">
        <is>
          <t>PE06052602</t>
        </is>
      </c>
      <c r="H63" s="3" t="inlineStr">
        <is>
          <t>Closed</t>
        </is>
      </c>
      <c r="I63" s="3" t="inlineStr">
        <is>
          <t>Retrofit</t>
        </is>
      </c>
      <c r="J63" s="16" t="inlineStr">
        <is>
          <t>PE06052602</t>
        </is>
      </c>
      <c r="K63" s="13" t="n"/>
      <c r="L63" s="41" t="n"/>
      <c r="M63" s="41" t="n"/>
    </row>
    <row r="64">
      <c r="A64" s="37" t="n">
        <v>46167</v>
      </c>
      <c r="B64" s="26" t="inlineStr">
        <is>
          <t>Panasonic</t>
        </is>
      </c>
      <c r="C64" s="26" t="inlineStr">
        <is>
          <t>Kochi</t>
        </is>
      </c>
      <c r="D64" s="26" t="inlineStr">
        <is>
          <t>Kerala</t>
        </is>
      </c>
      <c r="E64" s="15" t="n">
        <v>5</v>
      </c>
      <c r="F64" s="3" t="inlineStr">
        <is>
          <t>Pavan</t>
        </is>
      </c>
      <c r="G64" s="4" t="inlineStr">
        <is>
          <t>PE23052601</t>
        </is>
      </c>
      <c r="H64" s="3" t="inlineStr">
        <is>
          <t>Closed</t>
        </is>
      </c>
      <c r="I64" s="3" t="inlineStr">
        <is>
          <t>Retrofit</t>
        </is>
      </c>
      <c r="J64" s="64" t="inlineStr">
        <is>
          <t>PE23052601</t>
        </is>
      </c>
      <c r="K64" s="37" t="n">
        <v>46166</v>
      </c>
      <c r="L64" s="41" t="n"/>
      <c r="M64" s="41" t="n"/>
    </row>
    <row r="65">
      <c r="A65" s="37" t="n">
        <v>46167</v>
      </c>
      <c r="B65" s="26" t="inlineStr">
        <is>
          <t>Yanara Power</t>
        </is>
      </c>
      <c r="C65" s="39" t="inlineStr">
        <is>
          <t>Holi</t>
        </is>
      </c>
      <c r="D65" s="39" t="inlineStr">
        <is>
          <t>Maharashtra</t>
        </is>
      </c>
      <c r="E65" s="15" t="n">
        <v>57</v>
      </c>
      <c r="F65" s="3" t="inlineStr">
        <is>
          <t>Gourab + Amit</t>
        </is>
      </c>
      <c r="G65" s="38" t="inlineStr">
        <is>
          <t>PE01052601</t>
        </is>
      </c>
      <c r="H65" s="3" t="inlineStr">
        <is>
          <t>Closed</t>
        </is>
      </c>
      <c r="I65" s="3" t="inlineStr">
        <is>
          <t>Retrofit</t>
        </is>
      </c>
      <c r="J65" s="16" t="inlineStr">
        <is>
          <t>PE01052601</t>
        </is>
      </c>
      <c r="K65" s="13" t="n"/>
      <c r="L65" s="41" t="n"/>
      <c r="M65" s="41" t="n"/>
    </row>
    <row r="66">
      <c r="A66" s="37" t="n">
        <v>46168</v>
      </c>
      <c r="B66" s="39" t="inlineStr">
        <is>
          <t>SUNRISE TECHNOLOGIES</t>
        </is>
      </c>
      <c r="C66" s="26" t="inlineStr">
        <is>
          <t>Hyderabad</t>
        </is>
      </c>
      <c r="D66" s="26" t="inlineStr">
        <is>
          <t>Telangana</t>
        </is>
      </c>
      <c r="E66" s="15" t="n">
        <v>1</v>
      </c>
      <c r="F66" s="3" t="inlineStr">
        <is>
          <t>By Mail</t>
        </is>
      </c>
      <c r="G66" s="38" t="inlineStr">
        <is>
          <t>PE06052603</t>
        </is>
      </c>
      <c r="H66" s="3" t="inlineStr">
        <is>
          <t>Closed</t>
        </is>
      </c>
      <c r="I66" s="3" t="inlineStr">
        <is>
          <t>Replacement</t>
        </is>
      </c>
      <c r="J66" s="16" t="inlineStr">
        <is>
          <t>PE06052603</t>
        </is>
      </c>
      <c r="K66" s="13" t="n"/>
      <c r="L66" s="41" t="n"/>
      <c r="M66" s="41" t="n"/>
    </row>
    <row r="67">
      <c r="A67" s="37" t="n">
        <v>46168</v>
      </c>
      <c r="B67" s="3" t="inlineStr">
        <is>
          <t>Continuum</t>
        </is>
      </c>
      <c r="C67" s="50" t="inlineStr">
        <is>
          <t>Bhavnagar</t>
        </is>
      </c>
      <c r="D67" s="26" t="inlineStr">
        <is>
          <t>Gujarat</t>
        </is>
      </c>
      <c r="E67" s="15" t="n">
        <v>28</v>
      </c>
      <c r="F67" s="3" t="inlineStr">
        <is>
          <t>Bhimsen + Raja + Kunal + Kamal</t>
        </is>
      </c>
      <c r="G67" s="49" t="inlineStr">
        <is>
          <t>PE06052602</t>
        </is>
      </c>
      <c r="H67" s="3" t="inlineStr">
        <is>
          <t>Closed</t>
        </is>
      </c>
      <c r="I67" s="3" t="inlineStr">
        <is>
          <t>Retrofit</t>
        </is>
      </c>
      <c r="J67" s="16" t="inlineStr">
        <is>
          <t>PE06052602</t>
        </is>
      </c>
      <c r="K67" s="13" t="n"/>
      <c r="L67" s="41" t="n"/>
      <c r="M67" s="41" t="n"/>
    </row>
    <row r="68">
      <c r="A68" s="37" t="n">
        <v>46168</v>
      </c>
      <c r="B68" s="26" t="inlineStr">
        <is>
          <t>TRUE SUN TRADING COMPANY</t>
        </is>
      </c>
      <c r="C68" s="26" t="inlineStr">
        <is>
          <t>TRIVANDRUM</t>
        </is>
      </c>
      <c r="D68" s="26" t="inlineStr">
        <is>
          <t>Kerala</t>
        </is>
      </c>
      <c r="E68" s="15" t="n">
        <v>1</v>
      </c>
      <c r="F68" s="3" t="inlineStr">
        <is>
          <t>Pavan</t>
        </is>
      </c>
      <c r="G68" s="38" t="inlineStr">
        <is>
          <t>PE20052603</t>
        </is>
      </c>
      <c r="H68" s="3" t="inlineStr">
        <is>
          <t>Closed</t>
        </is>
      </c>
      <c r="I68" s="3" t="inlineStr">
        <is>
          <t>Retrofit</t>
        </is>
      </c>
      <c r="J68" s="16" t="inlineStr">
        <is>
          <t>PE20052603</t>
        </is>
      </c>
      <c r="K68" s="13" t="n"/>
      <c r="L68" s="41" t="n"/>
      <c r="M68" s="41" t="n"/>
    </row>
    <row r="69">
      <c r="A69" s="37" t="n">
        <v>46168</v>
      </c>
      <c r="B69" s="26" t="inlineStr">
        <is>
          <t>TRUE SUN TRADING COMPANY</t>
        </is>
      </c>
      <c r="C69" s="26" t="inlineStr">
        <is>
          <t>TRIVANDRUM</t>
        </is>
      </c>
      <c r="D69" s="26" t="inlineStr">
        <is>
          <t>Kerala</t>
        </is>
      </c>
      <c r="E69" s="15" t="n">
        <v>1</v>
      </c>
      <c r="F69" s="3" t="inlineStr">
        <is>
          <t>Pavan</t>
        </is>
      </c>
      <c r="G69" s="38" t="inlineStr">
        <is>
          <t>PE07052602</t>
        </is>
      </c>
      <c r="H69" s="3" t="inlineStr">
        <is>
          <t>Closed</t>
        </is>
      </c>
      <c r="I69" s="3" t="inlineStr">
        <is>
          <t>Retrofit</t>
        </is>
      </c>
      <c r="J69" s="16" t="inlineStr">
        <is>
          <t>PE07052602</t>
        </is>
      </c>
      <c r="K69" s="13" t="n"/>
      <c r="L69" s="41" t="n"/>
      <c r="M69" s="41" t="n"/>
    </row>
    <row r="70">
      <c r="A70" s="37" t="n">
        <v>46168</v>
      </c>
      <c r="B70" s="26" t="inlineStr">
        <is>
          <t>Yanara Power</t>
        </is>
      </c>
      <c r="C70" s="39" t="inlineStr">
        <is>
          <t>Holi</t>
        </is>
      </c>
      <c r="D70" s="39" t="inlineStr">
        <is>
          <t>Maharashtra</t>
        </is>
      </c>
      <c r="E70" s="15" t="n">
        <v>55</v>
      </c>
      <c r="F70" s="3" t="inlineStr">
        <is>
          <t>Gourab + Amit</t>
        </is>
      </c>
      <c r="G70" s="38" t="inlineStr">
        <is>
          <t>PE01052601</t>
        </is>
      </c>
      <c r="H70" s="3" t="inlineStr">
        <is>
          <t>Closed</t>
        </is>
      </c>
      <c r="I70" s="3" t="inlineStr">
        <is>
          <t>Retrofit</t>
        </is>
      </c>
      <c r="J70" s="16" t="inlineStr">
        <is>
          <t>PE01052601</t>
        </is>
      </c>
      <c r="K70" s="13" t="n"/>
      <c r="L70" s="41" t="n"/>
      <c r="M70" s="41" t="n"/>
    </row>
    <row r="71">
      <c r="A71" s="37" t="n">
        <v>46169</v>
      </c>
      <c r="B71" s="3" t="inlineStr">
        <is>
          <t>Continuum</t>
        </is>
      </c>
      <c r="C71" s="50" t="inlineStr">
        <is>
          <t>Bhavnagar</t>
        </is>
      </c>
      <c r="D71" s="26" t="inlineStr">
        <is>
          <t>Gujarat</t>
        </is>
      </c>
      <c r="E71" s="15" t="n">
        <v>86</v>
      </c>
      <c r="F71" s="3" t="inlineStr">
        <is>
          <t>Bhimsen + Raja + Kunal + Kamal</t>
        </is>
      </c>
      <c r="G71" s="49" t="inlineStr">
        <is>
          <t>PE06052602</t>
        </is>
      </c>
      <c r="H71" s="3" t="inlineStr">
        <is>
          <t>Closed</t>
        </is>
      </c>
      <c r="I71" s="3" t="inlineStr">
        <is>
          <t>Retrofit</t>
        </is>
      </c>
      <c r="J71" s="16" t="inlineStr">
        <is>
          <t>PE06052602</t>
        </is>
      </c>
      <c r="K71" s="13" t="n"/>
      <c r="L71" s="41" t="n"/>
      <c r="M71" s="41" t="n"/>
    </row>
    <row r="72">
      <c r="A72" s="37" t="n">
        <v>46169</v>
      </c>
      <c r="B72" s="26" t="inlineStr">
        <is>
          <t>Yanara Power</t>
        </is>
      </c>
      <c r="C72" s="39" t="inlineStr">
        <is>
          <t>Holi</t>
        </is>
      </c>
      <c r="D72" s="39" t="inlineStr">
        <is>
          <t>Maharashtra</t>
        </is>
      </c>
      <c r="E72" s="15" t="n">
        <v>24</v>
      </c>
      <c r="F72" s="3" t="inlineStr">
        <is>
          <t>Gourab + Amit</t>
        </is>
      </c>
      <c r="G72" s="38" t="inlineStr">
        <is>
          <t>PE01052601</t>
        </is>
      </c>
      <c r="H72" s="3" t="inlineStr">
        <is>
          <t>Closed</t>
        </is>
      </c>
      <c r="I72" s="3" t="inlineStr">
        <is>
          <t>Retrofit</t>
        </is>
      </c>
      <c r="J72" s="16" t="inlineStr">
        <is>
          <t>PE01052601</t>
        </is>
      </c>
      <c r="K72" s="13" t="n"/>
      <c r="L72" s="41" t="n"/>
      <c r="M72" s="41" t="n"/>
    </row>
    <row r="73">
      <c r="A73" s="37" t="n">
        <v>46169</v>
      </c>
      <c r="B73" s="26" t="inlineStr">
        <is>
          <t>TRUE SUN TRADING COMPANY</t>
        </is>
      </c>
      <c r="C73" s="26" t="inlineStr">
        <is>
          <t>Pattoor</t>
        </is>
      </c>
      <c r="D73" s="26" t="inlineStr">
        <is>
          <t>Kerala</t>
        </is>
      </c>
      <c r="E73" s="15" t="n">
        <v>1</v>
      </c>
      <c r="F73" s="3" t="inlineStr">
        <is>
          <t>Pavan</t>
        </is>
      </c>
      <c r="G73" s="38" t="inlineStr">
        <is>
          <t>PE28032601</t>
        </is>
      </c>
      <c r="H73" s="3" t="inlineStr">
        <is>
          <t>Closed</t>
        </is>
      </c>
      <c r="I73" s="3" t="inlineStr">
        <is>
          <t>Retrofit</t>
        </is>
      </c>
      <c r="J73" s="16" t="inlineStr">
        <is>
          <t>PE28032601</t>
        </is>
      </c>
      <c r="K73" s="13" t="n"/>
      <c r="L73" s="41" t="n"/>
      <c r="M73" s="41" t="n"/>
    </row>
    <row r="74">
      <c r="A74" s="37" t="n">
        <v>46167</v>
      </c>
      <c r="B74" s="26" t="inlineStr">
        <is>
          <t>TRUE SUN TRADING COMPANY</t>
        </is>
      </c>
      <c r="C74" s="21" t="inlineStr">
        <is>
          <t>Chandanappally PTA</t>
        </is>
      </c>
      <c r="D74" s="21" t="inlineStr">
        <is>
          <t>Kerala</t>
        </is>
      </c>
      <c r="E74" s="15" t="n">
        <v>1</v>
      </c>
      <c r="F74" s="3" t="inlineStr">
        <is>
          <t>Pavan</t>
        </is>
      </c>
      <c r="G74" s="22" t="inlineStr">
        <is>
          <t>PE25052601</t>
        </is>
      </c>
      <c r="H74" s="3" t="inlineStr">
        <is>
          <t>Closed</t>
        </is>
      </c>
      <c r="I74" s="3" t="inlineStr">
        <is>
          <t>Retrofit</t>
        </is>
      </c>
      <c r="J74" s="64" t="inlineStr">
        <is>
          <t>PE25052601</t>
        </is>
      </c>
      <c r="K74" s="13" t="n"/>
      <c r="L74" s="41" t="n"/>
      <c r="M74" s="41" t="n"/>
    </row>
    <row r="75">
      <c r="A75" s="37" t="n">
        <v>46170</v>
      </c>
      <c r="B75" s="3" t="inlineStr">
        <is>
          <t>Continuum</t>
        </is>
      </c>
      <c r="C75" s="50" t="inlineStr">
        <is>
          <t>Bhavnagar</t>
        </is>
      </c>
      <c r="D75" s="26" t="inlineStr">
        <is>
          <t>Gujarat</t>
        </is>
      </c>
      <c r="E75" s="15" t="n">
        <v>74</v>
      </c>
      <c r="F75" s="3" t="inlineStr">
        <is>
          <t>Bhimsen + Raja + Kunal + Kamal</t>
        </is>
      </c>
      <c r="G75" s="49" t="inlineStr">
        <is>
          <t>PE06052602</t>
        </is>
      </c>
      <c r="H75" s="3" t="inlineStr">
        <is>
          <t>Closed</t>
        </is>
      </c>
      <c r="I75" s="3" t="inlineStr">
        <is>
          <t>Retrofit</t>
        </is>
      </c>
      <c r="J75" s="16" t="inlineStr">
        <is>
          <t>PE06052602</t>
        </is>
      </c>
      <c r="K75" s="13" t="n"/>
      <c r="L75" s="41" t="n"/>
      <c r="M75" s="41" t="n"/>
    </row>
    <row r="76">
      <c r="A76" s="37" t="n">
        <v>46170</v>
      </c>
      <c r="B76" s="26" t="inlineStr">
        <is>
          <t>TRUE SUN TRADING COMPANY</t>
        </is>
      </c>
      <c r="C76" s="21" t="inlineStr">
        <is>
          <t>Manakkakadavu</t>
        </is>
      </c>
      <c r="D76" s="21" t="inlineStr">
        <is>
          <t>Kerala</t>
        </is>
      </c>
      <c r="E76" s="15" t="n">
        <v>1</v>
      </c>
      <c r="F76" s="3" t="inlineStr">
        <is>
          <t>Pavan</t>
        </is>
      </c>
      <c r="G76" s="22" t="inlineStr">
        <is>
          <t>PE26052603</t>
        </is>
      </c>
      <c r="H76" s="3" t="inlineStr">
        <is>
          <t>Closed</t>
        </is>
      </c>
      <c r="I76" s="3" t="inlineStr">
        <is>
          <t>Retrofit</t>
        </is>
      </c>
      <c r="J76" s="16" t="inlineStr">
        <is>
          <t>PE26052603</t>
        </is>
      </c>
      <c r="K76" s="13" t="n"/>
      <c r="L76" s="37" t="n">
        <v>46171</v>
      </c>
      <c r="M76" s="41" t="n"/>
    </row>
    <row r="77">
      <c r="A77" s="37" t="n">
        <v>46170</v>
      </c>
      <c r="B77" s="26" t="inlineStr">
        <is>
          <t>Yanara Power</t>
        </is>
      </c>
      <c r="C77" s="39" t="inlineStr">
        <is>
          <t>Holi</t>
        </is>
      </c>
      <c r="D77" s="39" t="inlineStr">
        <is>
          <t>Maharashtra</t>
        </is>
      </c>
      <c r="E77" s="15" t="n">
        <v>61</v>
      </c>
      <c r="F77" s="3" t="inlineStr">
        <is>
          <t>Gourab + Amit</t>
        </is>
      </c>
      <c r="G77" s="38" t="inlineStr">
        <is>
          <t>PE01052601</t>
        </is>
      </c>
      <c r="H77" s="3" t="inlineStr">
        <is>
          <t>Closed</t>
        </is>
      </c>
      <c r="I77" s="3" t="inlineStr">
        <is>
          <t>Retrofit</t>
        </is>
      </c>
      <c r="J77" s="16" t="inlineStr">
        <is>
          <t>PE01052601</t>
        </is>
      </c>
      <c r="K77" s="13" t="n"/>
      <c r="L77" s="41" t="n"/>
      <c r="M77" s="41" t="n"/>
    </row>
    <row r="78">
      <c r="A78" s="37" t="n">
        <v>46171</v>
      </c>
      <c r="B78" s="26" t="inlineStr">
        <is>
          <t>Solar Square</t>
        </is>
      </c>
      <c r="C78" s="21" t="inlineStr">
        <is>
          <t>Nagpur</t>
        </is>
      </c>
      <c r="D78" s="60" t="inlineStr">
        <is>
          <t>Maharashtra</t>
        </is>
      </c>
      <c r="E78" s="15" t="n">
        <v>2</v>
      </c>
      <c r="F78" s="3" t="inlineStr">
        <is>
          <t>Chanchal</t>
        </is>
      </c>
      <c r="G78" s="22" t="inlineStr">
        <is>
          <t>PE18052601</t>
        </is>
      </c>
      <c r="H78" s="3" t="inlineStr">
        <is>
          <t>Closed</t>
        </is>
      </c>
      <c r="I78" s="3" t="inlineStr">
        <is>
          <t>Retrofit</t>
        </is>
      </c>
      <c r="J78" s="16" t="inlineStr">
        <is>
          <t>PE18052601</t>
        </is>
      </c>
      <c r="K78" s="37" t="n">
        <v>46170</v>
      </c>
      <c r="L78" s="41" t="n"/>
      <c r="M78" s="41" t="n"/>
    </row>
    <row r="79">
      <c r="A79" s="37" t="n">
        <v>46171</v>
      </c>
      <c r="B79" s="26" t="inlineStr">
        <is>
          <t>Solar Square</t>
        </is>
      </c>
      <c r="C79" s="21" t="inlineStr">
        <is>
          <t>Nagpur</t>
        </is>
      </c>
      <c r="D79" s="60" t="inlineStr">
        <is>
          <t>Maharashtra</t>
        </is>
      </c>
      <c r="E79" s="15" t="n">
        <v>5</v>
      </c>
      <c r="F79" s="3" t="inlineStr">
        <is>
          <t>Chanchal</t>
        </is>
      </c>
      <c r="G79" s="22" t="inlineStr">
        <is>
          <t>PE26052601</t>
        </is>
      </c>
      <c r="H79" s="3" t="inlineStr">
        <is>
          <t>Closed</t>
        </is>
      </c>
      <c r="I79" s="3" t="inlineStr">
        <is>
          <t>Retrofit</t>
        </is>
      </c>
      <c r="J79" s="16" t="inlineStr">
        <is>
          <t>PE26052601</t>
        </is>
      </c>
      <c r="K79" s="13" t="n"/>
      <c r="L79" s="41" t="n"/>
      <c r="M79" s="41" t="n"/>
    </row>
    <row r="80">
      <c r="A80" s="37" t="n">
        <v>46171</v>
      </c>
      <c r="B80" s="3" t="inlineStr">
        <is>
          <t>Continuum</t>
        </is>
      </c>
      <c r="C80" s="50" t="inlineStr">
        <is>
          <t>Bhavnagar</t>
        </is>
      </c>
      <c r="D80" s="26" t="inlineStr">
        <is>
          <t>Gujarat</t>
        </is>
      </c>
      <c r="E80" s="15" t="n">
        <v>12</v>
      </c>
      <c r="F80" s="3" t="inlineStr">
        <is>
          <t>Bhimsen + Raja + Kunal + Kamal</t>
        </is>
      </c>
      <c r="G80" s="49" t="inlineStr">
        <is>
          <t>PE06052602</t>
        </is>
      </c>
      <c r="H80" s="3" t="inlineStr">
        <is>
          <t>Closed</t>
        </is>
      </c>
      <c r="I80" s="3" t="inlineStr">
        <is>
          <t>Retrofit</t>
        </is>
      </c>
      <c r="J80" s="16" t="inlineStr">
        <is>
          <t>PE06052602</t>
        </is>
      </c>
      <c r="K80" s="13" t="n"/>
      <c r="L80" s="41" t="n"/>
      <c r="M80" s="41" t="n"/>
    </row>
    <row r="81">
      <c r="A81" s="37" t="n">
        <v>46171</v>
      </c>
      <c r="B81" s="26" t="inlineStr">
        <is>
          <t>Yanara Power</t>
        </is>
      </c>
      <c r="C81" s="39" t="inlineStr">
        <is>
          <t>Holi</t>
        </is>
      </c>
      <c r="D81" s="39" t="inlineStr">
        <is>
          <t>Maharashtra</t>
        </is>
      </c>
      <c r="E81" s="15" t="n">
        <v>65</v>
      </c>
      <c r="F81" s="3" t="inlineStr">
        <is>
          <t>Gourab + Amit</t>
        </is>
      </c>
      <c r="G81" s="38" t="inlineStr">
        <is>
          <t>PE01052601</t>
        </is>
      </c>
      <c r="H81" s="3" t="inlineStr">
        <is>
          <t>Closed</t>
        </is>
      </c>
      <c r="I81" s="3" t="inlineStr">
        <is>
          <t>Retrofit</t>
        </is>
      </c>
      <c r="J81" s="16" t="inlineStr">
        <is>
          <t>PE01052601</t>
        </is>
      </c>
      <c r="K81" s="13" t="n"/>
      <c r="L81" s="41" t="n"/>
      <c r="M81" s="41" t="n"/>
    </row>
    <row r="82">
      <c r="A82" s="37" t="n">
        <v>46172</v>
      </c>
      <c r="B82" s="3" t="inlineStr">
        <is>
          <t>Continuum</t>
        </is>
      </c>
      <c r="C82" s="26" t="inlineStr">
        <is>
          <t>Bhavnagar</t>
        </is>
      </c>
      <c r="D82" s="26" t="inlineStr">
        <is>
          <t>Gujarat</t>
        </is>
      </c>
      <c r="E82" s="15" t="n">
        <v>58</v>
      </c>
      <c r="F82" s="3" t="inlineStr">
        <is>
          <t>Bhimsen + Raja + Kunal + Kamal</t>
        </is>
      </c>
      <c r="G82" s="49" t="inlineStr">
        <is>
          <t>PE06052602</t>
        </is>
      </c>
      <c r="H82" s="3" t="inlineStr">
        <is>
          <t>Closed</t>
        </is>
      </c>
      <c r="I82" s="3" t="inlineStr">
        <is>
          <t>Retrofit</t>
        </is>
      </c>
      <c r="J82" s="16" t="inlineStr">
        <is>
          <t>PE06052602</t>
        </is>
      </c>
      <c r="K82" s="13" t="n"/>
      <c r="L82" s="41" t="n"/>
      <c r="M82" s="41" t="n"/>
    </row>
    <row r="83">
      <c r="A83" s="37" t="n">
        <v>46172</v>
      </c>
      <c r="B83" s="19" t="inlineStr">
        <is>
          <t>Maya Power</t>
        </is>
      </c>
      <c r="C83" s="21" t="inlineStr">
        <is>
          <t>Nagpur</t>
        </is>
      </c>
      <c r="D83" s="60" t="inlineStr">
        <is>
          <t>Maharashtra</t>
        </is>
      </c>
      <c r="E83" s="15" t="n">
        <v>6</v>
      </c>
      <c r="F83" s="3" t="inlineStr">
        <is>
          <t>Chanchal</t>
        </is>
      </c>
      <c r="G83" s="22" t="inlineStr">
        <is>
          <t>PE25052602</t>
        </is>
      </c>
      <c r="H83" s="3" t="inlineStr">
        <is>
          <t>Closed</t>
        </is>
      </c>
      <c r="I83" s="3" t="inlineStr">
        <is>
          <t>Retrofit</t>
        </is>
      </c>
      <c r="J83" s="16" t="inlineStr">
        <is>
          <t>PE25052602</t>
        </is>
      </c>
      <c r="K83" s="13" t="n"/>
      <c r="L83" s="41" t="n"/>
      <c r="M83" s="41" t="n"/>
    </row>
    <row r="84">
      <c r="A84" s="37" t="n">
        <v>46172</v>
      </c>
      <c r="B84" s="26" t="inlineStr">
        <is>
          <t>Yanara Power</t>
        </is>
      </c>
      <c r="C84" s="39" t="inlineStr">
        <is>
          <t>Holi</t>
        </is>
      </c>
      <c r="D84" s="39" t="inlineStr">
        <is>
          <t>Maharashtra</t>
        </is>
      </c>
      <c r="E84" s="15" t="n">
        <v>64</v>
      </c>
      <c r="F84" s="3" t="inlineStr">
        <is>
          <t>Gourab + Amit</t>
        </is>
      </c>
      <c r="G84" s="38" t="inlineStr">
        <is>
          <t>PE01052601</t>
        </is>
      </c>
      <c r="H84" s="3" t="inlineStr">
        <is>
          <t>Closed</t>
        </is>
      </c>
      <c r="I84" s="3" t="inlineStr">
        <is>
          <t>Retrofit</t>
        </is>
      </c>
      <c r="J84" s="16" t="inlineStr">
        <is>
          <t>PE01052601</t>
        </is>
      </c>
      <c r="K84" s="13" t="n"/>
      <c r="L84" s="41" t="n"/>
      <c r="M84" s="41" t="n"/>
    </row>
    <row r="85">
      <c r="A85" s="37" t="n">
        <v>46173</v>
      </c>
      <c r="B85" s="26" t="inlineStr">
        <is>
          <t>Yanara Power</t>
        </is>
      </c>
      <c r="C85" s="39" t="inlineStr">
        <is>
          <t>Holi</t>
        </is>
      </c>
      <c r="D85" s="39" t="inlineStr">
        <is>
          <t>Maharashtra</t>
        </is>
      </c>
      <c r="E85" s="15" t="n">
        <v>62</v>
      </c>
      <c r="F85" s="3" t="inlineStr">
        <is>
          <t>Gourab + Amit</t>
        </is>
      </c>
      <c r="G85" s="38" t="inlineStr">
        <is>
          <t>PE01052601</t>
        </is>
      </c>
      <c r="H85" s="3" t="inlineStr">
        <is>
          <t>Closed</t>
        </is>
      </c>
      <c r="I85" s="3" t="inlineStr">
        <is>
          <t>Retrofit</t>
        </is>
      </c>
      <c r="J85" s="16" t="inlineStr">
        <is>
          <t>PE01052601</t>
        </is>
      </c>
      <c r="K85" s="13" t="n"/>
      <c r="L85" s="41" t="n"/>
      <c r="M85" s="41" t="n"/>
    </row>
    <row r="86" hidden="1" s="233">
      <c r="A86" s="37" t="n">
        <v>46174</v>
      </c>
      <c r="B86" s="3" t="inlineStr">
        <is>
          <t>Continuum</t>
        </is>
      </c>
      <c r="C86" s="26" t="inlineStr">
        <is>
          <t>Bhavnagar</t>
        </is>
      </c>
      <c r="D86" s="26" t="inlineStr">
        <is>
          <t>Gujarat</t>
        </is>
      </c>
      <c r="E86" s="15" t="n">
        <v>107</v>
      </c>
      <c r="F86" s="3" t="inlineStr">
        <is>
          <t>Kamal + Raja + Kunal</t>
        </is>
      </c>
      <c r="G86" s="49" t="inlineStr">
        <is>
          <t>PE06052602</t>
        </is>
      </c>
      <c r="H86" s="3" t="inlineStr">
        <is>
          <t>Closed</t>
        </is>
      </c>
      <c r="I86" s="3" t="inlineStr">
        <is>
          <t>Retrofit</t>
        </is>
      </c>
      <c r="J86" s="16" t="inlineStr">
        <is>
          <t>PE06052602</t>
        </is>
      </c>
      <c r="K86" s="13" t="n"/>
      <c r="L86" s="41" t="n"/>
      <c r="M86" s="41" t="n"/>
    </row>
    <row r="87" hidden="1" s="233">
      <c r="A87" s="37" t="n">
        <v>46174</v>
      </c>
      <c r="B87" s="26" t="inlineStr">
        <is>
          <t>Yanara Power</t>
        </is>
      </c>
      <c r="C87" s="39" t="inlineStr">
        <is>
          <t>Holi</t>
        </is>
      </c>
      <c r="D87" s="39" t="inlineStr">
        <is>
          <t>Maharashtra</t>
        </is>
      </c>
      <c r="E87" s="15" t="n">
        <v>62</v>
      </c>
      <c r="F87" s="3" t="inlineStr">
        <is>
          <t>Gourab + Amit</t>
        </is>
      </c>
      <c r="G87" s="38" t="inlineStr">
        <is>
          <t>PE01052601</t>
        </is>
      </c>
      <c r="H87" s="3" t="inlineStr">
        <is>
          <t>Closed</t>
        </is>
      </c>
      <c r="I87" s="3" t="inlineStr">
        <is>
          <t>Retrofit</t>
        </is>
      </c>
      <c r="J87" s="16" t="inlineStr">
        <is>
          <t>PE01052601</t>
        </is>
      </c>
      <c r="K87" s="13" t="n"/>
      <c r="L87" s="41" t="n"/>
      <c r="M87" s="41" t="n"/>
    </row>
  </sheetData>
  <autoFilter ref="A1:M87">
    <filterColumn colId="0" hiddenButton="0" showButton="1">
      <filters>
        <dateGroupItem year="2026" month="5" dateTimeGrouping="month"/>
      </filters>
    </filterColumn>
  </autoFilter>
  <conditionalFormatting sqref="G21">
    <cfRule type="duplicateValues" priority="41" dxfId="0"/>
    <cfRule type="duplicateValues" priority="40" dxfId="0"/>
    <cfRule type="duplicateValues" priority="39" dxfId="0"/>
    <cfRule type="duplicateValues" priority="38" dxfId="0"/>
    <cfRule type="duplicateValues" priority="37" dxfId="0"/>
  </conditionalFormatting>
  <conditionalFormatting sqref="G22">
    <cfRule type="duplicateValues" priority="36" dxfId="0"/>
    <cfRule type="duplicateValues" priority="35" dxfId="0"/>
    <cfRule type="duplicateValues" priority="34" dxfId="0"/>
    <cfRule type="duplicateValues" priority="33" dxfId="0"/>
    <cfRule type="duplicateValues" priority="32" dxfId="0"/>
    <cfRule type="duplicateValues" priority="31" dxfId="0"/>
    <cfRule type="duplicateValues" priority="30" dxfId="0"/>
    <cfRule type="duplicateValues" priority="29" dxfId="0"/>
  </conditionalFormatting>
  <conditionalFormatting sqref="G25">
    <cfRule type="duplicateValues" priority="28" dxfId="0"/>
    <cfRule type="duplicateValues" priority="27" dxfId="0"/>
    <cfRule type="duplicateValues" priority="26" dxfId="0"/>
    <cfRule type="duplicateValues" priority="25" dxfId="0"/>
  </conditionalFormatting>
  <conditionalFormatting sqref="G60">
    <cfRule type="duplicateValues" priority="24" dxfId="0"/>
    <cfRule type="duplicateValues" priority="23" dxfId="0"/>
  </conditionalFormatting>
  <conditionalFormatting sqref="G63">
    <cfRule type="duplicateValues" priority="21" dxfId="0"/>
    <cfRule type="duplicateValues" priority="22" dxfId="0"/>
  </conditionalFormatting>
  <conditionalFormatting sqref="G64">
    <cfRule type="duplicateValues" priority="20" dxfId="0"/>
  </conditionalFormatting>
  <conditionalFormatting sqref="G66">
    <cfRule type="duplicateValues" priority="19" dxfId="0"/>
    <cfRule type="duplicateValues" priority="18" dxfId="0"/>
  </conditionalFormatting>
  <conditionalFormatting sqref="G67">
    <cfRule type="duplicateValues" priority="17" dxfId="0"/>
    <cfRule type="duplicateValues" priority="16" dxfId="0"/>
  </conditionalFormatting>
  <conditionalFormatting sqref="G68">
    <cfRule type="duplicateValues" priority="15" dxfId="0"/>
  </conditionalFormatting>
  <conditionalFormatting sqref="G69">
    <cfRule type="duplicateValues" priority="14" dxfId="0"/>
    <cfRule type="duplicateValues" priority="13" dxfId="0"/>
  </conditionalFormatting>
  <conditionalFormatting sqref="G71">
    <cfRule type="duplicateValues" priority="12" dxfId="0"/>
    <cfRule type="duplicateValues" priority="11" dxfId="0"/>
  </conditionalFormatting>
  <conditionalFormatting sqref="G75">
    <cfRule type="duplicateValues" priority="9" dxfId="0"/>
    <cfRule type="duplicateValues" priority="8" dxfId="0"/>
  </conditionalFormatting>
  <conditionalFormatting sqref="G78">
    <cfRule type="duplicateValues" priority="7" dxfId="0"/>
  </conditionalFormatting>
  <conditionalFormatting sqref="G80">
    <cfRule type="duplicateValues" priority="6" dxfId="0"/>
    <cfRule type="duplicateValues" priority="5" dxfId="0"/>
  </conditionalFormatting>
  <conditionalFormatting sqref="G82">
    <cfRule type="duplicateValues" priority="4" dxfId="0"/>
    <cfRule type="duplicateValues" priority="3" dxfId="0"/>
  </conditionalFormatting>
  <conditionalFormatting sqref="G86">
    <cfRule type="duplicateValues" priority="2" dxfId="0"/>
    <cfRule type="duplicateValues" priority="1" dxfId="0"/>
  </conditionalFormatting>
  <hyperlinks>
    <hyperlink xmlns:r="http://schemas.openxmlformats.org/officeDocument/2006/relationships" ref="J2" display="../../../../../:f:/g/personal/soubhagya_swain_premierenergies_com/IgBdnI7lb_JYTajIfopC5SWrAdl1euo4OKSk8XN7sRajeO8?e=Ct38BL" r:id="rId1"/>
    <hyperlink xmlns:r="http://schemas.openxmlformats.org/officeDocument/2006/relationships" ref="J3" display="../../../../../:f:/g/personal/soubhagya_swain_premierenergies_com/IgBPE0JRY1e9Tp7zAG7MJg7rAc9qMQi1lFash0MOoWOHkKo?e=MJ1KKS" r:id="rId2"/>
    <hyperlink xmlns:r="http://schemas.openxmlformats.org/officeDocument/2006/relationships" ref="J4" display="../../../../../:f:/g/personal/soubhagya_swain_premierenergies_com/IgCybELZGCOmTbAFnuQmbHa_Af_9iQnPty5st9M1aae5aW0?e=mMc0Ba" r:id="rId3"/>
    <hyperlink xmlns:r="http://schemas.openxmlformats.org/officeDocument/2006/relationships" ref="J5" display="../../../../../:f:/g/personal/soubhagya_swain_premierenergies_com/IgCybELZGCOmTbAFnuQmbHa_Af_9iQnPty5st9M1aae5aW0?e=mMc0Ba" r:id="rId4"/>
    <hyperlink xmlns:r="http://schemas.openxmlformats.org/officeDocument/2006/relationships" ref="J6" display="../../../../../:f:/g/personal/soubhagya_swain_premierenergies_com/IgAvy5fdgeT5SIMd71qQUSZwAVxycewVa_WTjwgETNZXwzg?e=a7Z83X" r:id="rId5"/>
    <hyperlink xmlns:r="http://schemas.openxmlformats.org/officeDocument/2006/relationships" ref="J7" display="../../../../../:f:/g/personal/soubhagya_swain_premierenergies_com/IgCFVj_OH_7LQqkcL1G10IxKAQd1MqbbSLlwCrot-R-aYVA?e=QwrGdt" r:id="rId6"/>
    <hyperlink xmlns:r="http://schemas.openxmlformats.org/officeDocument/2006/relationships" ref="J8" display="../../../../../:f:/g/personal/soubhagya_swain_premierenergies_com/IgCFVj_OH_7LQqkcL1G10IxKAQd1MqbbSLlwCrot-R-aYVA?e=QwrGdt" r:id="rId7"/>
    <hyperlink xmlns:r="http://schemas.openxmlformats.org/officeDocument/2006/relationships" ref="J9" display="../../../../../:f:/g/personal/soubhagya_swain_premierenergies_com/IgBWc1gAFi1kSbkcCDIU--AaAe7F3Wf-zc8tzxU8RnWOVPE?e=hDutUM" r:id="rId8"/>
    <hyperlink xmlns:r="http://schemas.openxmlformats.org/officeDocument/2006/relationships" ref="J10" display="../../../../../:f:/g/personal/soubhagya_swain_premierenergies_com/IgC6yCWJcDPqQL6xjjhX3dj_AbEZIn-mbijSM6VhxoOO13c?e=UTJHSS" r:id="rId9"/>
    <hyperlink xmlns:r="http://schemas.openxmlformats.org/officeDocument/2006/relationships" ref="J11" display="../../../../../:f:/g/personal/soubhagya_swain_premierenergies_com/IgD_bBq7J13tSo1EIVqscYwsAUGnLl4EOwUixTNA0DJ1y7c?e=hzDVFo" r:id="rId10"/>
    <hyperlink xmlns:r="http://schemas.openxmlformats.org/officeDocument/2006/relationships" ref="J12" display="../../../../../:f:/g/personal/soubhagya_swain_premierenergies_com/IgAoKEVmw3X9TbDLoURV4_3lAVWQSHopuch4t2udtAvCdvU?e=E8Q6Sd" r:id="rId11"/>
    <hyperlink xmlns:r="http://schemas.openxmlformats.org/officeDocument/2006/relationships" ref="J13" display="../../../../../:f:/g/personal/soubhagya_swain_premierenergies_com/IgDYKKsBtLfhRoHGaOgHWbDAAbs8KvikcLb045DnK1dVf8s?e=BYISe7" r:id="rId12"/>
    <hyperlink xmlns:r="http://schemas.openxmlformats.org/officeDocument/2006/relationships" ref="J14" display="../../../../../:f:/g/personal/soubhagya_swain_premierenergies_com/IgCybELZGCOmTbAFnuQmbHa_Af_9iQnPty5st9M1aae5aW0?e=mMc0Ba" r:id="rId13"/>
    <hyperlink xmlns:r="http://schemas.openxmlformats.org/officeDocument/2006/relationships" ref="J15" display="../../../../../:f:/g/personal/soubhagya_swain_premierenergies_com/IgAvy5fdgeT5SIMd71qQUSZwAVxycewVa_WTjwgETNZXwzg?e=a7Z83X" r:id="rId14"/>
    <hyperlink xmlns:r="http://schemas.openxmlformats.org/officeDocument/2006/relationships" ref="J16" display="../../../../../:f:/g/personal/soubhagya_swain_premierenergies_com/IgBQWClNEuVJSZ5LT7zaY_fzASAR4e0q7_F7in4k-ME7cik?e=cdbaIb" r:id="rId15"/>
    <hyperlink xmlns:r="http://schemas.openxmlformats.org/officeDocument/2006/relationships" ref="J17" display="../../../../../:f:/g/personal/soubhagya_swain_premierenergies_com/IgAqwyJfpkVbQrL1ho5mcvFHAZzgo42_8wkD-zNLniNfriQ?e=r8dbKP" r:id="rId16"/>
    <hyperlink xmlns:r="http://schemas.openxmlformats.org/officeDocument/2006/relationships" ref="J18" display="../../../../../:f:/g/personal/soubhagya_swain_premierenergies_com/IgCVxpM5bSqSTqfjPMUPogYoAQxLSH6v6XGcXdRHJZcwxB0?e=MqKIui" r:id="rId17"/>
    <hyperlink xmlns:r="http://schemas.openxmlformats.org/officeDocument/2006/relationships" ref="J19" display="../../../../../:f:/g/personal/soubhagya_swain_premierenergies_com/IgCybELZGCOmTbAFnuQmbHa_Af_9iQnPty5st9M1aae5aW0?e=mMc0Ba" r:id="rId18"/>
    <hyperlink xmlns:r="http://schemas.openxmlformats.org/officeDocument/2006/relationships" ref="J20" display="../../../../../:f:/g/personal/soubhagya_swain_premierenergies_com/IgAvy5fdgeT5SIMd71qQUSZwAVxycewVa_WTjwgETNZXwzg?e=a7Z83X" r:id="rId19"/>
    <hyperlink xmlns:r="http://schemas.openxmlformats.org/officeDocument/2006/relationships" ref="J21" display="../../../../../:f:/g/personal/soubhagya_swain_premierenergies_com/IgCoOqpOAzb1QLr90fv0kInoAXVYiV1EB-WncOzDx61mRHQ?e=8pYDpw" r:id="rId20"/>
    <hyperlink xmlns:r="http://schemas.openxmlformats.org/officeDocument/2006/relationships" ref="J22" display="../../../../../:f:/g/personal/soubhagya_swain_premierenergies_com/IgDXQJJf6zmGQ7IXs3HXy5dLAcKsojoe2H5OQ_xxcSFNIj4?e=u5nbKI" r:id="rId21"/>
    <hyperlink xmlns:r="http://schemas.openxmlformats.org/officeDocument/2006/relationships" ref="J23" display="../../../../../:f:/g/personal/soubhagya_swain_premierenergies_com/IgBbdn7C4W4SR42OBq-opVvmAfd8kWDqr-lJU6_a3bZZYVw?e=6ohtOj" r:id="rId22"/>
    <hyperlink xmlns:r="http://schemas.openxmlformats.org/officeDocument/2006/relationships" ref="J24" display="../../../../../:f:/g/personal/soubhagya_swain_premierenergies_com/IgBtNF6Y0nhDS7PeP24qyQ4TAYEezK5rsrc3oc6lWAoMt10?e=L87uqR" r:id="rId23"/>
    <hyperlink xmlns:r="http://schemas.openxmlformats.org/officeDocument/2006/relationships" ref="J25" display="../../../../../:f:/g/personal/soubhagya_swain_premierenergies_com/IgCel3stfnxMS5nndDBzDSgKATHQ-4u9zwOxe18eEawIf-s?e=905AsO" r:id="rId24"/>
    <hyperlink xmlns:r="http://schemas.openxmlformats.org/officeDocument/2006/relationships" ref="J26" display="../../../../../:f:/g/personal/soubhagya_swain_premierenergies_com/IgAvy5fdgeT5SIMd71qQUSZwAVxycewVa_WTjwgETNZXwzg?e=a7Z83X" r:id="rId25"/>
    <hyperlink xmlns:r="http://schemas.openxmlformats.org/officeDocument/2006/relationships" ref="J27" display="../../../../../:f:/g/personal/soubhagya_swain_premierenergies_com/IgCybELZGCOmTbAFnuQmbHa_Af_9iQnPty5st9M1aae5aW0?e=mMc0Ba" r:id="rId26"/>
    <hyperlink xmlns:r="http://schemas.openxmlformats.org/officeDocument/2006/relationships" ref="J28" display="../../../../../:f:/g/personal/soubhagya_swain_premierenergies_com/IgCybELZGCOmTbAFnuQmbHa_Af_9iQnPty5st9M1aae5aW0?e=mMc0Ba" r:id="rId27"/>
    <hyperlink xmlns:r="http://schemas.openxmlformats.org/officeDocument/2006/relationships" ref="J29" display="../../../../../:f:/g/personal/soubhagya_swain_premierenergies_com/IgAvy5fdgeT5SIMd71qQUSZwAVxycewVa_WTjwgETNZXwzg?e=a7Z83X" r:id="rId28"/>
    <hyperlink xmlns:r="http://schemas.openxmlformats.org/officeDocument/2006/relationships" ref="J30" display="../../../../../:f:/g/personal/soubhagya_swain_premierenergies_com/IgDgBfEMzY98TrVyc6IRRMQsAasvOpaJNSYAOYCREhxBxmU?e=O7jrAU" r:id="rId29"/>
    <hyperlink xmlns:r="http://schemas.openxmlformats.org/officeDocument/2006/relationships" ref="J31" display="../../../../../:f:/g/personal/soubhagya_swain_premierenergies_com/IgAvy5fdgeT5SIMd71qQUSZwAVxycewVa_WTjwgETNZXwzg?e=a7Z83X" r:id="rId30"/>
    <hyperlink xmlns:r="http://schemas.openxmlformats.org/officeDocument/2006/relationships" ref="J32" display="../../../../../:f:/g/personal/soubhagya_swain_premierenergies_com/IgAvy5fdgeT5SIMd71qQUSZwAVxycewVa_WTjwgETNZXwzg?e=a7Z83X" r:id="rId31"/>
    <hyperlink xmlns:r="http://schemas.openxmlformats.org/officeDocument/2006/relationships" ref="J33" display="../../../../../:f:/g/personal/soubhagya_swain_premierenergies_com/IgAvy5fdgeT5SIMd71qQUSZwAVxycewVa_WTjwgETNZXwzg?e=a7Z83X" r:id="rId32"/>
    <hyperlink xmlns:r="http://schemas.openxmlformats.org/officeDocument/2006/relationships" ref="J34" display="../../../../../:f:/g/personal/soubhagya_swain_premierenergies_com/IgCkboAzoen4QI5Ai8jVhl54AX1KcXADr7zA66xtKu5jqxw?e=edaA1y" r:id="rId33"/>
    <hyperlink xmlns:r="http://schemas.openxmlformats.org/officeDocument/2006/relationships" ref="J35" display="../../../../../:f:/g/personal/soubhagya_swain_premierenergies_com/IgAvy5fdgeT5SIMd71qQUSZwAVxycewVa_WTjwgETNZXwzg?e=a7Z83X" r:id="rId34"/>
    <hyperlink xmlns:r="http://schemas.openxmlformats.org/officeDocument/2006/relationships" ref="J36" display="../../../../../:f:/g/personal/soubhagya_swain_premierenergies_com/IgBGjFyJf_u6R4R1NBrSkW5FASgVry41MXMez9cAj77THyc?e=cQLYkW" r:id="rId35"/>
    <hyperlink xmlns:r="http://schemas.openxmlformats.org/officeDocument/2006/relationships" ref="J37" display="../../../../../:f:/g/personal/soubhagya_swain_premierenergies_com/IgAvy5fdgeT5SIMd71qQUSZwAVxycewVa_WTjwgETNZXwzg?e=a7Z83X" r:id="rId36"/>
    <hyperlink xmlns:r="http://schemas.openxmlformats.org/officeDocument/2006/relationships" ref="J38" display="../../../../../:f:/g/personal/soubhagya_swain_premierenergies_com/IgCkboAzoen4QI5Ai8jVhl54AX1KcXADr7zA66xtKu5jqxw?e=edaA1y" r:id="rId37"/>
    <hyperlink xmlns:r="http://schemas.openxmlformats.org/officeDocument/2006/relationships" ref="J39" display="../../../../../:f:/g/personal/soubhagya_swain_premierenergies_com/IgAaPQ8GINfoRKRQXw39ur6kAaUD3Z18Va4DSf74l-AHEiY?e=7dyeDc" r:id="rId38"/>
    <hyperlink xmlns:r="http://schemas.openxmlformats.org/officeDocument/2006/relationships" ref="J40" display="../../../../../:f:/g/personal/soubhagya_swain_premierenergies_com/IgDqezEap1OFSYqsD3qvd_5lAdcXdGxP4V5H4KHQAafo_H4?e=ET9Deb" r:id="rId39"/>
    <hyperlink xmlns:r="http://schemas.openxmlformats.org/officeDocument/2006/relationships" ref="J41" display="../../../../../:f:/g/personal/soubhagya_swain_premierenergies_com/IgAvy5fdgeT5SIMd71qQUSZwAVxycewVa_WTjwgETNZXwzg?e=a7Z83X" r:id="rId40"/>
    <hyperlink xmlns:r="http://schemas.openxmlformats.org/officeDocument/2006/relationships" ref="J42" display="../../../../../:f:/g/personal/soubhagya_swain_premierenergies_com/IgCkboAzoen4QI5Ai8jVhl54AX1KcXADr7zA66xtKu5jqxw?e=edaA1y" r:id="rId41"/>
    <hyperlink xmlns:r="http://schemas.openxmlformats.org/officeDocument/2006/relationships" ref="J43" display="../../../../../:f:/g/personal/soubhagya_swain_premierenergies_com/IgBbyc3sY1uOSIZhgQG8JUV8ARXABL42M8y0-Ak416L4I-k?e=t5Oi0i" r:id="rId42"/>
    <hyperlink xmlns:r="http://schemas.openxmlformats.org/officeDocument/2006/relationships" ref="J44" display="../../../../../:f:/g/personal/soubhagya_swain_premierenergies_com/IgAvy5fdgeT5SIMd71qQUSZwAVxycewVa_WTjwgETNZXwzg?e=a7Z83X" r:id="rId43"/>
    <hyperlink xmlns:r="http://schemas.openxmlformats.org/officeDocument/2006/relationships" ref="J45" display="../../../../../:f:/g/personal/soubhagya_swain_premierenergies_com/IgCkboAzoen4QI5Ai8jVhl54AX1KcXADr7zA66xtKu5jqxw?e=edaA1y" r:id="rId44"/>
    <hyperlink xmlns:r="http://schemas.openxmlformats.org/officeDocument/2006/relationships" ref="J46" display="../../../../../:f:/g/personal/soubhagya_swain_premierenergies_com/IgAvy5fdgeT5SIMd71qQUSZwAVxycewVa_WTjwgETNZXwzg?e=a7Z83X" r:id="rId45"/>
    <hyperlink xmlns:r="http://schemas.openxmlformats.org/officeDocument/2006/relationships" ref="J47" display="../../../../../:f:/g/personal/soubhagya_swain_premierenergies_com/IgCkboAzoen4QI5Ai8jVhl54AX1KcXADr7zA66xtKu5jqxw?e=edaA1y" r:id="rId46"/>
    <hyperlink xmlns:r="http://schemas.openxmlformats.org/officeDocument/2006/relationships" ref="J48" display="../../../../../:f:/g/personal/soubhagya_swain_premierenergies_com/IgCKTNO8hW6mQZ1qK0rPoScnARxzuhZcj9v_hLhSTvmA3aQ?e=DXv6XR" r:id="rId47"/>
    <hyperlink xmlns:r="http://schemas.openxmlformats.org/officeDocument/2006/relationships" ref="J49" display="../../../../../:f:/g/personal/soubhagya_swain_premierenergies_com/IgAvy5fdgeT5SIMd71qQUSZwAVxycewVa_WTjwgETNZXwzg?e=a7Z83X" r:id="rId48"/>
    <hyperlink xmlns:r="http://schemas.openxmlformats.org/officeDocument/2006/relationships" ref="J50" display="../../../../../:f:/g/personal/soubhagya_swain_premierenergies_com/IgCkboAzoen4QI5Ai8jVhl54AX1KcXADr7zA66xtKu5jqxw?e=edaA1y" r:id="rId49"/>
    <hyperlink xmlns:r="http://schemas.openxmlformats.org/officeDocument/2006/relationships" ref="J51" display="../../../../../:f:/g/personal/soubhagya_swain_premierenergies_com/IgAvy5fdgeT5SIMd71qQUSZwAVxycewVa_WTjwgETNZXwzg?e=a7Z83X" r:id="rId50"/>
    <hyperlink xmlns:r="http://schemas.openxmlformats.org/officeDocument/2006/relationships" ref="J52" display="../../../../../:f:/g/personal/soubhagya_swain_premierenergies_com/IgCkboAzoen4QI5Ai8jVhl54AX1KcXADr7zA66xtKu5jqxw?e=edaA1y" r:id="rId51"/>
    <hyperlink xmlns:r="http://schemas.openxmlformats.org/officeDocument/2006/relationships" ref="J53" display="../../../../../:f:/g/personal/soubhagya_swain_premierenergies_com/IgCkboAzoen4QI5Ai8jVhl54AX1KcXADr7zA66xtKu5jqxw?e=edaA1y" r:id="rId52"/>
    <hyperlink xmlns:r="http://schemas.openxmlformats.org/officeDocument/2006/relationships" ref="J54" display="../../../../../:f:/g/personal/soubhagya_swain_premierenergies_com/IgD6TE8qpdY8T55GEi-ewmTBAU-dzStWxpNGqO9z1D-6vMI?e=UGM4CH" r:id="rId53"/>
    <hyperlink xmlns:r="http://schemas.openxmlformats.org/officeDocument/2006/relationships" ref="J55" display="../../../../../:f:/g/personal/soubhagya_swain_premierenergies_com/IgAvy5fdgeT5SIMd71qQUSZwAVxycewVa_WTjwgETNZXwzg?e=a7Z83X" r:id="rId54"/>
    <hyperlink xmlns:r="http://schemas.openxmlformats.org/officeDocument/2006/relationships" ref="J56" display="../../../../../:f:/g/personal/soubhagya_swain_premierenergies_com/IgCkboAzoen4QI5Ai8jVhl54AX1KcXADr7zA66xtKu5jqxw?e=edaA1y" r:id="rId55"/>
    <hyperlink xmlns:r="http://schemas.openxmlformats.org/officeDocument/2006/relationships" ref="J57" display="../../../../../:f:/g/personal/soubhagya_swain_premierenergies_com/IgAvy5fdgeT5SIMd71qQUSZwAVxycewVa_WTjwgETNZXwzg?e=a7Z83X" r:id="rId56"/>
    <hyperlink xmlns:r="http://schemas.openxmlformats.org/officeDocument/2006/relationships" ref="J58" display="../../../../../:f:/g/personal/soubhagya_swain_premierenergies_com/IgCkboAzoen4QI5Ai8jVhl54AX1KcXADr7zA66xtKu5jqxw?e=edaA1y" r:id="rId57"/>
    <hyperlink xmlns:r="http://schemas.openxmlformats.org/officeDocument/2006/relationships" ref="J59" display="../../../../../:f:/g/personal/soubhagya_swain_premierenergies_com/IgCkboAzoen4QI5Ai8jVhl54AX1KcXADr7zA66xtKu5jqxw?e=edaA1y" r:id="rId58"/>
    <hyperlink xmlns:r="http://schemas.openxmlformats.org/officeDocument/2006/relationships" ref="J60" display="../../../../../:f:/g/personal/soubhagya_swain_premierenergies_com/IgD0adYxOpk8TpQ2Hn0fypcnAT9z8CNI-oIlPkHo6HK3stQ?e=TaQaoA" r:id="rId59"/>
    <hyperlink xmlns:r="http://schemas.openxmlformats.org/officeDocument/2006/relationships" ref="J61" display="../../../../../:f:/g/personal/soubhagya_swain_premierenergies_com/IgCkboAzoen4QI5Ai8jVhl54AX1KcXADr7zA66xtKu5jqxw?e=edaA1y" r:id="rId60"/>
    <hyperlink xmlns:r="http://schemas.openxmlformats.org/officeDocument/2006/relationships" ref="J62" display="../../../../../:f:/g/personal/soubhagya_swain_premierenergies_com/IgCkboAzoen4QI5Ai8jVhl54AX1KcXADr7zA66xtKu5jqxw?e=edaA1y" r:id="rId61"/>
    <hyperlink xmlns:r="http://schemas.openxmlformats.org/officeDocument/2006/relationships" ref="J63" display="../../../../../:f:/g/personal/soubhagya_swain_premierenergies_com/IgD0adYxOpk8TpQ2Hn0fypcnAT9z8CNI-oIlPkHo6HK3stQ?e=TaQaoA" r:id="rId62"/>
    <hyperlink xmlns:r="http://schemas.openxmlformats.org/officeDocument/2006/relationships" ref="J64" display="../../../../../:f:/g/personal/soubhagya_swain_premierenergies_com/IgAnfzAGyGLER7ZJJjvtx_qdAWbtzvv8-dhgLhOzxh_dY2c?e=CakAQR" r:id="rId63"/>
    <hyperlink xmlns:r="http://schemas.openxmlformats.org/officeDocument/2006/relationships" ref="J65" display="../../../../../:f:/g/personal/soubhagya_swain_premierenergies_com/IgCkboAzoen4QI5Ai8jVhl54AX1KcXADr7zA66xtKu5jqxw?e=edaA1y" r:id="rId64"/>
    <hyperlink xmlns:r="http://schemas.openxmlformats.org/officeDocument/2006/relationships" ref="J66" display="../../../../../:f:/g/personal/soubhagya_swain_premierenergies_com/IgAgipt9FCM8Tq6_nMvOUfYgAdNBmytcrFTJmuiKMT6WstM?e=uzDQYc" r:id="rId65"/>
    <hyperlink xmlns:r="http://schemas.openxmlformats.org/officeDocument/2006/relationships" ref="J67" display="../../../../../:f:/g/personal/soubhagya_swain_premierenergies_com/IgD0adYxOpk8TpQ2Hn0fypcnAT9z8CNI-oIlPkHo6HK3stQ?e=TaQaoA" r:id="rId66"/>
    <hyperlink xmlns:r="http://schemas.openxmlformats.org/officeDocument/2006/relationships" ref="J68" display="../../../../../:f:/g/personal/soubhagya_swain_premierenergies_com/IgBNkLlJyb-mRpgU0K6nJRU6AROtlH1CXSxsJgvGA6i7NqQ?e=FaN6w9" r:id="rId67"/>
    <hyperlink xmlns:r="http://schemas.openxmlformats.org/officeDocument/2006/relationships" ref="J69" display="../../../../../:f:/g/personal/soubhagya_swain_premierenergies_com/IgCaBTfyOVFgSoIji5geLAe9ASmCNjDR4G0CLKF6Ny8CIDA?e=RGNxwc" r:id="rId68"/>
    <hyperlink xmlns:r="http://schemas.openxmlformats.org/officeDocument/2006/relationships" ref="J70" display="../../../../../:f:/g/personal/soubhagya_swain_premierenergies_com/IgCkboAzoen4QI5Ai8jVhl54AX1KcXADr7zA66xtKu5jqxw?e=edaA1y" r:id="rId69"/>
    <hyperlink xmlns:r="http://schemas.openxmlformats.org/officeDocument/2006/relationships" ref="J71" display="../../../../../:f:/g/personal/soubhagya_swain_premierenergies_com/IgD0adYxOpk8TpQ2Hn0fypcnAT9z8CNI-oIlPkHo6HK3stQ?e=TaQaoA" r:id="rId70"/>
    <hyperlink xmlns:r="http://schemas.openxmlformats.org/officeDocument/2006/relationships" ref="J72" display="../../../../../:f:/g/personal/soubhagya_swain_premierenergies_com/IgCkboAzoen4QI5Ai8jVhl54AX1KcXADr7zA66xtKu5jqxw?e=edaA1y" r:id="rId71"/>
    <hyperlink xmlns:r="http://schemas.openxmlformats.org/officeDocument/2006/relationships" ref="J73" display="../../../../../:f:/g/personal/soubhagya_swain_premierenergies_com/IgADiVTubnxqQI41lC0ykfAOAZ2VSnjuV9iVQFBY9b7eC7k?e=2UWhX1" r:id="rId72"/>
    <hyperlink xmlns:r="http://schemas.openxmlformats.org/officeDocument/2006/relationships" ref="J74" display="../../../../../:f:/g/personal/soubhagya_swain_premierenergies_com/IgDGkJx0gr3VTJUtH1qBSexhAYT8Y7-cPfcMwDJckgmdUcI?e=Rw0VZh" r:id="rId73"/>
    <hyperlink xmlns:r="http://schemas.openxmlformats.org/officeDocument/2006/relationships" ref="J75" display="../../../../../:f:/g/personal/soubhagya_swain_premierenergies_com/IgD0adYxOpk8TpQ2Hn0fypcnAT9z8CNI-oIlPkHo6HK3stQ?e=TaQaoA" r:id="rId74"/>
    <hyperlink xmlns:r="http://schemas.openxmlformats.org/officeDocument/2006/relationships" ref="J76" display="../../../../../:f:/g/personal/soubhagya_swain_premierenergies_com/IgBhj9rkkRiFS4PwWUy_xGngASAro3_J-v5IQ5zBEozeD5A?e=SOUnRN" r:id="rId75"/>
    <hyperlink xmlns:r="http://schemas.openxmlformats.org/officeDocument/2006/relationships" ref="J77" display="../../../../../:f:/g/personal/soubhagya_swain_premierenergies_com/IgCkboAzoen4QI5Ai8jVhl54AX1KcXADr7zA66xtKu5jqxw?e=edaA1y" r:id="rId76"/>
    <hyperlink xmlns:r="http://schemas.openxmlformats.org/officeDocument/2006/relationships" ref="J78" display="../../../../../:f:/g/personal/soubhagya_swain_premierenergies_com/IgCI8ORtNGBBT6LxqLZRfTkoAUxGCTMwozfSck9GIC_ZB14?e=bOx7MF" r:id="rId77"/>
    <hyperlink xmlns:r="http://schemas.openxmlformats.org/officeDocument/2006/relationships" ref="J79" display="../../../../../:f:/g/personal/soubhagya_swain_premierenergies_com/IgDD0GXBc44CTZPBqMUi-XylAY8WWuiAYaaH6YSx5nLhsmo?e=YR00xz" r:id="rId78"/>
    <hyperlink xmlns:r="http://schemas.openxmlformats.org/officeDocument/2006/relationships" ref="J80" display="../../../../../:f:/g/personal/soubhagya_swain_premierenergies_com/IgD0adYxOpk8TpQ2Hn0fypcnAT9z8CNI-oIlPkHo6HK3stQ?e=TaQaoA" r:id="rId79"/>
    <hyperlink xmlns:r="http://schemas.openxmlformats.org/officeDocument/2006/relationships" ref="J81" display="../../../../../:f:/g/personal/soubhagya_swain_premierenergies_com/IgCkboAzoen4QI5Ai8jVhl54AX1KcXADr7zA66xtKu5jqxw?e=edaA1y" r:id="rId80"/>
    <hyperlink xmlns:r="http://schemas.openxmlformats.org/officeDocument/2006/relationships" ref="J82" display="../../../../../:f:/g/personal/soubhagya_swain_premierenergies_com/IgD0adYxOpk8TpQ2Hn0fypcnAT9z8CNI-oIlPkHo6HK3stQ?e=TaQaoA" r:id="rId81"/>
    <hyperlink xmlns:r="http://schemas.openxmlformats.org/officeDocument/2006/relationships" ref="J83" display="../../../../../:f:/g/personal/soubhagya_swain_premierenergies_com/IgDKqJzT7aYlSLPULsRxl7oLASzRkOohYjG_uFzkRyVrnGw?e=bgdgrB" r:id="rId82"/>
    <hyperlink xmlns:r="http://schemas.openxmlformats.org/officeDocument/2006/relationships" ref="J84" display="../../../../../:f:/g/personal/soubhagya_swain_premierenergies_com/IgCkboAzoen4QI5Ai8jVhl54AX1KcXADr7zA66xtKu5jqxw?e=edaA1y" r:id="rId83"/>
    <hyperlink xmlns:r="http://schemas.openxmlformats.org/officeDocument/2006/relationships" ref="J85" display="../../../../../:f:/g/personal/soubhagya_swain_premierenergies_com/IgCkboAzoen4QI5Ai8jVhl54AX1KcXADr7zA66xtKu5jqxw?e=edaA1y" r:id="rId84"/>
    <hyperlink xmlns:r="http://schemas.openxmlformats.org/officeDocument/2006/relationships" ref="J86" display="../../../../../:f:/g/personal/soubhagya_swain_premierenergies_com/IgD0adYxOpk8TpQ2Hn0fypcnAT9z8CNI-oIlPkHo6HK3stQ?e=TaQaoA" r:id="rId85"/>
    <hyperlink xmlns:r="http://schemas.openxmlformats.org/officeDocument/2006/relationships" ref="J87" display="../../../../../:f:/g/personal/soubhagya_swain_premierenergies_com/IgCkboAzoen4QI5Ai8jVhl54AX1KcXADr7zA66xtKu5jqxw?e=edaA1y" r:id="rId8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B2787"/>
  <sheetViews>
    <sheetView zoomScale="95" zoomScaleNormal="90" workbookViewId="0">
      <pane xSplit="12" ySplit="1" topLeftCell="M717" activePane="bottomRight" state="frozen"/>
      <selection activeCell="J4" sqref="J4"/>
      <selection pane="topRight" activeCell="J4" sqref="J4"/>
      <selection pane="bottomLeft" activeCell="J4" sqref="J4"/>
      <selection pane="bottomRight" activeCell="C733" sqref="C733"/>
    </sheetView>
  </sheetViews>
  <sheetFormatPr baseColWidth="8" defaultRowHeight="14.5"/>
  <cols>
    <col width="13.26953125" customWidth="1" style="233" min="3" max="3"/>
    <col width="6" customWidth="1" style="233" min="5" max="5"/>
    <col width="11.6328125" customWidth="1" style="233" min="7" max="7"/>
    <col width="18.7265625" customWidth="1" style="233" min="10" max="10"/>
    <col width="12.6328125" customWidth="1" style="233" min="13" max="13"/>
    <col width="14.1796875" customWidth="1" style="233" min="14" max="14"/>
    <col width="13.81640625" bestFit="1" customWidth="1" style="233" min="15" max="15"/>
    <col width="14.81640625" bestFit="1" customWidth="1" style="233" min="16" max="16"/>
    <col width="20.7265625" customWidth="1" style="233" min="21" max="21"/>
  </cols>
  <sheetData>
    <row r="1">
      <c r="A1" s="17" t="inlineStr">
        <is>
          <t>Date</t>
        </is>
      </c>
      <c r="B1" s="17" t="inlineStr">
        <is>
          <t>Year</t>
        </is>
      </c>
      <c r="C1" s="17" t="inlineStr">
        <is>
          <t>Complaint Raised By</t>
        </is>
      </c>
      <c r="D1" s="17" t="inlineStr">
        <is>
          <t>Customer Type</t>
        </is>
      </c>
      <c r="E1" s="17" t="inlineStr">
        <is>
          <t>Project Name</t>
        </is>
      </c>
      <c r="F1" s="17" t="inlineStr">
        <is>
          <t>Current Status</t>
        </is>
      </c>
      <c r="G1" s="17" t="inlineStr">
        <is>
          <t>Claim Reported By</t>
        </is>
      </c>
      <c r="H1" s="17" t="inlineStr">
        <is>
          <t>Contact No.</t>
        </is>
      </c>
      <c r="I1" s="17" t="inlineStr">
        <is>
          <t>Contract / Complaint  / Invoice No.</t>
        </is>
      </c>
      <c r="J1" s="17" t="inlineStr">
        <is>
          <t>Customer Reported Problem</t>
        </is>
      </c>
      <c r="K1" s="17" t="inlineStr">
        <is>
          <t>Venue / Location</t>
        </is>
      </c>
      <c r="L1" s="17" t="inlineStr">
        <is>
          <t>State</t>
        </is>
      </c>
      <c r="M1" s="1" t="inlineStr">
        <is>
          <t>Field Evaluation</t>
        </is>
      </c>
      <c r="N1" s="17" t="inlineStr">
        <is>
          <t>Our Evaluation</t>
        </is>
      </c>
      <c r="O1" s="17" t="inlineStr">
        <is>
          <t>PV Panels Wp</t>
        </is>
      </c>
      <c r="P1" s="17" t="inlineStr">
        <is>
          <t>Module Serial Number</t>
        </is>
      </c>
      <c r="Q1" s="17" t="inlineStr">
        <is>
          <t>Module Make Year</t>
        </is>
      </c>
      <c r="R1" s="17" t="inlineStr">
        <is>
          <t>Module Make Month</t>
        </is>
      </c>
      <c r="S1" s="17" t="inlineStr">
        <is>
          <t>Moduel Type</t>
        </is>
      </c>
      <c r="T1" s="17" t="inlineStr">
        <is>
          <t>Manufacturing Plant</t>
        </is>
      </c>
      <c r="U1" s="17" t="inlineStr">
        <is>
          <t>Remark</t>
        </is>
      </c>
      <c r="V1" s="17" t="inlineStr">
        <is>
          <t>Action Taken</t>
        </is>
      </c>
      <c r="W1" s="17" t="inlineStr">
        <is>
          <t>Resolution Type</t>
        </is>
      </c>
      <c r="X1" s="17" t="inlineStr">
        <is>
          <t>Date of Claim Settled</t>
        </is>
      </c>
      <c r="Y1" s="17" t="inlineStr">
        <is>
          <t>Claim Settlement Duration</t>
        </is>
      </c>
      <c r="Z1" s="17" t="inlineStr">
        <is>
          <t>Visit Date</t>
        </is>
      </c>
      <c r="AA1" s="17" t="inlineStr">
        <is>
          <t>Rework Srl No.</t>
        </is>
      </c>
      <c r="AB1" s="17" t="inlineStr">
        <is>
          <t>Work details</t>
        </is>
      </c>
    </row>
    <row r="2" hidden="1" s="233">
      <c r="A2" s="72" t="n">
        <v>46140</v>
      </c>
      <c r="B2" s="73" t="n">
        <v>2026</v>
      </c>
      <c r="C2" s="73" t="inlineStr">
        <is>
          <t>Panasonic</t>
        </is>
      </c>
      <c r="D2" s="73" t="inlineStr">
        <is>
          <t>OEM</t>
        </is>
      </c>
      <c r="E2" s="73" t="n"/>
      <c r="F2" s="73" t="inlineStr">
        <is>
          <t>Closed</t>
        </is>
      </c>
      <c r="G2" s="73" t="inlineStr">
        <is>
          <t>Chirag Tare</t>
        </is>
      </c>
      <c r="H2" s="73" t="n">
        <v>7719846027</v>
      </c>
      <c r="I2" s="74" t="inlineStr">
        <is>
          <t>PE28042604</t>
        </is>
      </c>
      <c r="J2" s="73" t="inlineStr">
        <is>
          <t>Low VOC</t>
        </is>
      </c>
      <c r="K2" s="75" t="inlineStr">
        <is>
          <t>Mysore</t>
        </is>
      </c>
      <c r="L2" s="73" t="inlineStr">
        <is>
          <t>Karnataka</t>
        </is>
      </c>
      <c r="M2" s="73" t="inlineStr">
        <is>
          <t>JB Issue</t>
        </is>
      </c>
      <c r="N2" s="73" t="inlineStr">
        <is>
          <t>JB Issue</t>
        </is>
      </c>
      <c r="O2" s="76" t="n">
        <v>550</v>
      </c>
      <c r="P2" s="73" t="inlineStr">
        <is>
          <t>NSMP2304007550</t>
        </is>
      </c>
      <c r="Q2" s="77">
        <f>MID(P2,5,2)</f>
        <v/>
      </c>
      <c r="R2" s="77">
        <f>MID(P2,7,2)</f>
        <v/>
      </c>
      <c r="S2" s="73" t="inlineStr">
        <is>
          <t>G2B</t>
        </is>
      </c>
      <c r="T2" s="73" t="inlineStr">
        <is>
          <t>P2</t>
        </is>
      </c>
      <c r="U2" s="73" t="inlineStr">
        <is>
          <t>All JB Issue</t>
        </is>
      </c>
      <c r="V2" s="73" t="inlineStr">
        <is>
          <t>JB Changed</t>
        </is>
      </c>
      <c r="W2" s="73" t="inlineStr">
        <is>
          <t>Repair</t>
        </is>
      </c>
      <c r="X2" s="72" t="n">
        <v>46143</v>
      </c>
      <c r="Y2" s="73">
        <f>X2-A2</f>
        <v/>
      </c>
      <c r="Z2" s="72" t="n">
        <v>46143</v>
      </c>
      <c r="AA2" s="73" t="n"/>
      <c r="AB2" s="73" t="n"/>
    </row>
    <row r="3" hidden="1" s="233">
      <c r="A3" s="6" t="n">
        <v>46133</v>
      </c>
      <c r="B3" s="3" t="n">
        <v>2026</v>
      </c>
      <c r="C3" s="3" t="inlineStr">
        <is>
          <t>Axitec Energy</t>
        </is>
      </c>
      <c r="D3" s="3" t="inlineStr">
        <is>
          <t>OEM</t>
        </is>
      </c>
      <c r="E3" s="3" t="n"/>
      <c r="F3" s="3" t="inlineStr">
        <is>
          <t>Closed</t>
        </is>
      </c>
      <c r="G3" s="3" t="inlineStr">
        <is>
          <t>Dushyant</t>
        </is>
      </c>
      <c r="H3" s="3" t="n">
        <v>8826633540</v>
      </c>
      <c r="I3" s="7" t="inlineStr">
        <is>
          <t>PE21042602</t>
        </is>
      </c>
      <c r="J3" s="3" t="inlineStr">
        <is>
          <t>Diode Failure</t>
        </is>
      </c>
      <c r="K3" s="3" t="inlineStr">
        <is>
          <t>Chinchwad</t>
        </is>
      </c>
      <c r="L3" s="3" t="inlineStr">
        <is>
          <t>Maharashtra</t>
        </is>
      </c>
      <c r="M3" s="3" t="inlineStr">
        <is>
          <t>Cold Soldering</t>
        </is>
      </c>
      <c r="N3" s="3" t="inlineStr">
        <is>
          <t>Cold Soldering</t>
        </is>
      </c>
      <c r="O3" s="5" t="n">
        <v>520</v>
      </c>
      <c r="P3" s="23" t="n">
        <v>26230431008130</v>
      </c>
      <c r="Q3" s="53">
        <f>MID(P3,3,2)</f>
        <v/>
      </c>
      <c r="R3" s="53">
        <f>MID(P3,5,2)</f>
        <v/>
      </c>
      <c r="S3" s="3" t="inlineStr">
        <is>
          <t>G2B</t>
        </is>
      </c>
      <c r="T3" s="3" t="inlineStr">
        <is>
          <t>P2</t>
        </is>
      </c>
      <c r="U3" s="3" t="inlineStr">
        <is>
          <t>P JB Cold Soldering</t>
        </is>
      </c>
      <c r="V3" s="3" t="inlineStr">
        <is>
          <t>Soldering</t>
        </is>
      </c>
      <c r="W3" s="3" t="inlineStr">
        <is>
          <t>Repair</t>
        </is>
      </c>
      <c r="X3" s="2" t="n">
        <v>46143</v>
      </c>
      <c r="Y3" s="3">
        <f>X3-A3</f>
        <v/>
      </c>
      <c r="Z3" s="2" t="n">
        <v>46143</v>
      </c>
      <c r="AA3" s="3" t="n"/>
      <c r="AB3" s="3" t="n"/>
    </row>
    <row r="4" hidden="1" s="233">
      <c r="A4" s="6" t="n">
        <v>46133</v>
      </c>
      <c r="B4" s="3" t="n">
        <v>2026</v>
      </c>
      <c r="C4" s="3" t="inlineStr">
        <is>
          <t>Axitec Energy</t>
        </is>
      </c>
      <c r="D4" s="3" t="inlineStr">
        <is>
          <t>OEM</t>
        </is>
      </c>
      <c r="E4" s="3" t="n"/>
      <c r="F4" s="3" t="inlineStr">
        <is>
          <t>Closed</t>
        </is>
      </c>
      <c r="G4" s="3" t="inlineStr">
        <is>
          <t>Dushyant</t>
        </is>
      </c>
      <c r="H4" s="3" t="n">
        <v>8826633540</v>
      </c>
      <c r="I4" s="7" t="inlineStr">
        <is>
          <t>PE21042602</t>
        </is>
      </c>
      <c r="J4" s="3" t="inlineStr">
        <is>
          <t>Diode Failure</t>
        </is>
      </c>
      <c r="K4" s="3" t="inlineStr">
        <is>
          <t>Chinchwad</t>
        </is>
      </c>
      <c r="L4" s="3" t="inlineStr">
        <is>
          <t>Maharashtra</t>
        </is>
      </c>
      <c r="M4" s="3" t="inlineStr">
        <is>
          <t>Cold Soldering</t>
        </is>
      </c>
      <c r="N4" s="3" t="inlineStr">
        <is>
          <t>Cold Soldering</t>
        </is>
      </c>
      <c r="O4" s="5" t="n">
        <v>520</v>
      </c>
      <c r="P4" s="24" t="n">
        <v>26230431008116</v>
      </c>
      <c r="Q4" s="53">
        <f>MID(P4,3,2)</f>
        <v/>
      </c>
      <c r="R4" s="53">
        <f>MID(P4,5,2)</f>
        <v/>
      </c>
      <c r="S4" s="3" t="inlineStr">
        <is>
          <t>G2B</t>
        </is>
      </c>
      <c r="T4" s="3" t="inlineStr">
        <is>
          <t>P2</t>
        </is>
      </c>
      <c r="U4" s="3" t="inlineStr">
        <is>
          <t>P JB Cold Soldering</t>
        </is>
      </c>
      <c r="V4" s="3" t="inlineStr">
        <is>
          <t>Soldering</t>
        </is>
      </c>
      <c r="W4" s="3" t="inlineStr">
        <is>
          <t>Repair</t>
        </is>
      </c>
      <c r="X4" s="2" t="n">
        <v>46143</v>
      </c>
      <c r="Y4" s="3">
        <f>X4-A4</f>
        <v/>
      </c>
      <c r="Z4" s="2" t="n">
        <v>46143</v>
      </c>
      <c r="AA4" s="3" t="n"/>
      <c r="AB4" s="3" t="n"/>
    </row>
    <row r="5" hidden="1" s="233">
      <c r="A5" s="2" t="n">
        <v>46106</v>
      </c>
      <c r="B5" s="3" t="n">
        <v>2026</v>
      </c>
      <c r="C5" s="3" t="inlineStr">
        <is>
          <t>First Energy</t>
        </is>
      </c>
      <c r="D5" s="3" t="inlineStr">
        <is>
          <t>Utility and C&amp;I</t>
        </is>
      </c>
      <c r="E5" s="3" t="n"/>
      <c r="F5" s="3" t="inlineStr">
        <is>
          <t>WIP</t>
        </is>
      </c>
      <c r="G5" s="3" t="inlineStr">
        <is>
          <t>Mr. Gaurav</t>
        </is>
      </c>
      <c r="H5" s="3" t="n">
        <v>9979185999</v>
      </c>
      <c r="I5" s="11" t="inlineStr">
        <is>
          <t>PE25032601</t>
        </is>
      </c>
      <c r="J5" s="9" t="inlineStr">
        <is>
          <t>Module Defects</t>
        </is>
      </c>
      <c r="K5" s="3" t="inlineStr">
        <is>
          <t>Rajkot</t>
        </is>
      </c>
      <c r="L5" s="3" t="inlineStr">
        <is>
          <t>Gujarat</t>
        </is>
      </c>
      <c r="M5" s="9" t="inlineStr">
        <is>
          <t xml:space="preserve">hotspot found </t>
        </is>
      </c>
      <c r="N5" s="19" t="inlineStr">
        <is>
          <t>Hotspot</t>
        </is>
      </c>
      <c r="O5" s="3" t="n">
        <v>550</v>
      </c>
      <c r="P5" s="9" t="inlineStr">
        <is>
          <t>NSMP2409546021</t>
        </is>
      </c>
      <c r="Q5" s="53">
        <f>MID(P5,5,2)</f>
        <v/>
      </c>
      <c r="R5" s="53">
        <f>MID(P5,7,2)</f>
        <v/>
      </c>
      <c r="S5" s="3" t="inlineStr">
        <is>
          <t>G2TB</t>
        </is>
      </c>
      <c r="T5" s="3" t="inlineStr">
        <is>
          <t>P2</t>
        </is>
      </c>
      <c r="U5" s="9" t="inlineStr">
        <is>
          <t xml:space="preserve">Multi Cell Hotspot </t>
        </is>
      </c>
      <c r="V5" s="3" t="inlineStr">
        <is>
          <t>Inspection</t>
        </is>
      </c>
      <c r="W5" s="3" t="inlineStr">
        <is>
          <t>WIP</t>
        </is>
      </c>
      <c r="X5" s="5" t="n"/>
      <c r="Y5" s="3">
        <f>X5-A5</f>
        <v/>
      </c>
      <c r="Z5" s="18" t="n">
        <v>46143</v>
      </c>
      <c r="AA5" s="3" t="n"/>
      <c r="AB5" s="3" t="n"/>
    </row>
    <row r="6" hidden="1" s="233">
      <c r="A6" s="2" t="n">
        <v>46106</v>
      </c>
      <c r="B6" s="3" t="n">
        <v>2026</v>
      </c>
      <c r="C6" s="3" t="inlineStr">
        <is>
          <t>First Energy</t>
        </is>
      </c>
      <c r="D6" s="3" t="inlineStr">
        <is>
          <t>Utility and C&amp;I</t>
        </is>
      </c>
      <c r="E6" s="3" t="n"/>
      <c r="F6" s="3" t="inlineStr">
        <is>
          <t>WIP</t>
        </is>
      </c>
      <c r="G6" s="3" t="inlineStr">
        <is>
          <t>Mr. Gaurav</t>
        </is>
      </c>
      <c r="H6" s="3" t="n">
        <v>9979185999</v>
      </c>
      <c r="I6" s="11" t="inlineStr">
        <is>
          <t>PE25032601</t>
        </is>
      </c>
      <c r="J6" s="9" t="inlineStr">
        <is>
          <t>Module Defects</t>
        </is>
      </c>
      <c r="K6" s="3" t="inlineStr">
        <is>
          <t>Rajkot</t>
        </is>
      </c>
      <c r="L6" s="3" t="inlineStr">
        <is>
          <t>Gujarat</t>
        </is>
      </c>
      <c r="M6" s="9" t="inlineStr">
        <is>
          <t xml:space="preserve">hotspot found </t>
        </is>
      </c>
      <c r="N6" s="19" t="inlineStr">
        <is>
          <t>Hotspot</t>
        </is>
      </c>
      <c r="O6" s="3" t="n">
        <v>550</v>
      </c>
      <c r="P6" s="9" t="inlineStr">
        <is>
          <t>NSMP2212269256</t>
        </is>
      </c>
      <c r="Q6" s="53">
        <f>MID(P6,5,2)</f>
        <v/>
      </c>
      <c r="R6" s="53">
        <f>MID(P6,7,2)</f>
        <v/>
      </c>
      <c r="S6" s="3" t="inlineStr">
        <is>
          <t>G2TB</t>
        </is>
      </c>
      <c r="T6" s="3" t="inlineStr">
        <is>
          <t>P2</t>
        </is>
      </c>
      <c r="U6" s="9" t="inlineStr">
        <is>
          <t xml:space="preserve">Multi Cell Hotspot </t>
        </is>
      </c>
      <c r="V6" s="3" t="inlineStr">
        <is>
          <t>Inspection</t>
        </is>
      </c>
      <c r="W6" s="3" t="inlineStr">
        <is>
          <t>WIP</t>
        </is>
      </c>
      <c r="X6" s="15" t="n"/>
      <c r="Y6" s="3">
        <f>X6-A6</f>
        <v/>
      </c>
      <c r="Z6" s="18" t="n">
        <v>46143</v>
      </c>
      <c r="AA6" s="3" t="n"/>
      <c r="AB6" s="3" t="n"/>
    </row>
    <row r="7" hidden="1" s="233">
      <c r="A7" s="2" t="n">
        <v>46106</v>
      </c>
      <c r="B7" s="3" t="n">
        <v>2026</v>
      </c>
      <c r="C7" s="3" t="inlineStr">
        <is>
          <t>First Energy</t>
        </is>
      </c>
      <c r="D7" s="3" t="inlineStr">
        <is>
          <t>Utility and C&amp;I</t>
        </is>
      </c>
      <c r="E7" s="3" t="n"/>
      <c r="F7" s="3" t="inlineStr">
        <is>
          <t>WIP</t>
        </is>
      </c>
      <c r="G7" s="3" t="inlineStr">
        <is>
          <t>Mr. Gaurav</t>
        </is>
      </c>
      <c r="H7" s="3" t="n">
        <v>9979185999</v>
      </c>
      <c r="I7" s="11" t="inlineStr">
        <is>
          <t>PE25032601</t>
        </is>
      </c>
      <c r="J7" s="9" t="inlineStr">
        <is>
          <t>Module Defects</t>
        </is>
      </c>
      <c r="K7" s="3" t="inlineStr">
        <is>
          <t>Rajkot</t>
        </is>
      </c>
      <c r="L7" s="3" t="inlineStr">
        <is>
          <t>Gujarat</t>
        </is>
      </c>
      <c r="M7" s="9" t="inlineStr">
        <is>
          <t xml:space="preserve">hotspot found </t>
        </is>
      </c>
      <c r="N7" s="19" t="inlineStr">
        <is>
          <t>Hotspot</t>
        </is>
      </c>
      <c r="O7" s="3" t="n">
        <v>550</v>
      </c>
      <c r="P7" s="9" t="inlineStr">
        <is>
          <t>NSMP2212269311</t>
        </is>
      </c>
      <c r="Q7" s="53">
        <f>MID(P7,5,2)</f>
        <v/>
      </c>
      <c r="R7" s="53">
        <f>MID(P7,7,2)</f>
        <v/>
      </c>
      <c r="S7" s="3" t="inlineStr">
        <is>
          <t>G2TB</t>
        </is>
      </c>
      <c r="T7" s="3" t="inlineStr">
        <is>
          <t>P2</t>
        </is>
      </c>
      <c r="U7" s="9" t="inlineStr">
        <is>
          <t xml:space="preserve">Multi Cell Hotspot </t>
        </is>
      </c>
      <c r="V7" s="3" t="inlineStr">
        <is>
          <t>Inspection</t>
        </is>
      </c>
      <c r="W7" s="3" t="inlineStr">
        <is>
          <t>WIP</t>
        </is>
      </c>
      <c r="X7" s="3" t="n"/>
      <c r="Y7" s="3">
        <f>X7-A7</f>
        <v/>
      </c>
      <c r="Z7" s="18" t="n">
        <v>46143</v>
      </c>
      <c r="AA7" s="3" t="n"/>
      <c r="AB7" s="3" t="n"/>
    </row>
    <row r="8" hidden="1" s="233">
      <c r="A8" s="2" t="n">
        <v>46106</v>
      </c>
      <c r="B8" s="3" t="n">
        <v>2026</v>
      </c>
      <c r="C8" s="3" t="inlineStr">
        <is>
          <t>First Energy</t>
        </is>
      </c>
      <c r="D8" s="3" t="inlineStr">
        <is>
          <t>Utility and C&amp;I</t>
        </is>
      </c>
      <c r="E8" s="3" t="n"/>
      <c r="F8" s="3" t="inlineStr">
        <is>
          <t>WIP</t>
        </is>
      </c>
      <c r="G8" s="3" t="inlineStr">
        <is>
          <t>Mr. Gaurav</t>
        </is>
      </c>
      <c r="H8" s="3" t="n">
        <v>9979185999</v>
      </c>
      <c r="I8" s="11" t="inlineStr">
        <is>
          <t>PE25032601</t>
        </is>
      </c>
      <c r="J8" s="9" t="inlineStr">
        <is>
          <t>Module Defects</t>
        </is>
      </c>
      <c r="K8" s="3" t="inlineStr">
        <is>
          <t>Rajkot</t>
        </is>
      </c>
      <c r="L8" s="3" t="inlineStr">
        <is>
          <t>Gujarat</t>
        </is>
      </c>
      <c r="M8" s="9" t="inlineStr">
        <is>
          <t xml:space="preserve">hotspot found </t>
        </is>
      </c>
      <c r="N8" s="19" t="inlineStr">
        <is>
          <t>Hotspot</t>
        </is>
      </c>
      <c r="O8" s="3" t="n">
        <v>550</v>
      </c>
      <c r="P8" s="9" t="inlineStr">
        <is>
          <t>NSMP2212269144</t>
        </is>
      </c>
      <c r="Q8" s="53">
        <f>MID(P8,5,2)</f>
        <v/>
      </c>
      <c r="R8" s="53">
        <f>MID(P8,7,2)</f>
        <v/>
      </c>
      <c r="S8" s="3" t="inlineStr">
        <is>
          <t>G2TB</t>
        </is>
      </c>
      <c r="T8" s="3" t="inlineStr">
        <is>
          <t>P2</t>
        </is>
      </c>
      <c r="U8" s="9" t="inlineStr">
        <is>
          <t xml:space="preserve">Single Cell Hotspot </t>
        </is>
      </c>
      <c r="V8" s="3" t="inlineStr">
        <is>
          <t>Inspection</t>
        </is>
      </c>
      <c r="W8" s="3" t="inlineStr">
        <is>
          <t>WIP</t>
        </is>
      </c>
      <c r="X8" s="15" t="n"/>
      <c r="Y8" s="3">
        <f>X8-A8</f>
        <v/>
      </c>
      <c r="Z8" s="18" t="n">
        <v>46143</v>
      </c>
      <c r="AA8" s="3" t="n"/>
      <c r="AB8" s="3" t="n"/>
    </row>
    <row r="9" hidden="1" s="233">
      <c r="A9" s="2" t="n">
        <v>46106</v>
      </c>
      <c r="B9" s="3" t="n">
        <v>2026</v>
      </c>
      <c r="C9" s="3" t="inlineStr">
        <is>
          <t>First Energy</t>
        </is>
      </c>
      <c r="D9" s="3" t="inlineStr">
        <is>
          <t>Utility and C&amp;I</t>
        </is>
      </c>
      <c r="E9" s="3" t="n"/>
      <c r="F9" s="3" t="inlineStr">
        <is>
          <t>WIP</t>
        </is>
      </c>
      <c r="G9" s="3" t="inlineStr">
        <is>
          <t>Mr. Gaurav</t>
        </is>
      </c>
      <c r="H9" s="3" t="n">
        <v>9979185999</v>
      </c>
      <c r="I9" s="11" t="inlineStr">
        <is>
          <t>PE25032601</t>
        </is>
      </c>
      <c r="J9" s="9" t="inlineStr">
        <is>
          <t>Module Defects</t>
        </is>
      </c>
      <c r="K9" s="3" t="inlineStr">
        <is>
          <t>Rajkot</t>
        </is>
      </c>
      <c r="L9" s="3" t="inlineStr">
        <is>
          <t>Gujarat</t>
        </is>
      </c>
      <c r="M9" s="9" t="inlineStr">
        <is>
          <t xml:space="preserve">hotspot found </t>
        </is>
      </c>
      <c r="N9" s="19" t="inlineStr">
        <is>
          <t>Hotspot</t>
        </is>
      </c>
      <c r="O9" s="3" t="n">
        <v>550</v>
      </c>
      <c r="P9" s="9" t="inlineStr">
        <is>
          <t>NSMP2301302211</t>
        </is>
      </c>
      <c r="Q9" s="53">
        <f>MID(P9,5,2)</f>
        <v/>
      </c>
      <c r="R9" s="53">
        <f>MID(P9,7,2)</f>
        <v/>
      </c>
      <c r="S9" s="3" t="inlineStr">
        <is>
          <t>G2TB</t>
        </is>
      </c>
      <c r="T9" s="3" t="inlineStr">
        <is>
          <t>P2</t>
        </is>
      </c>
      <c r="U9" s="9" t="inlineStr">
        <is>
          <t xml:space="preserve">Multi Cell Hotspot </t>
        </is>
      </c>
      <c r="V9" s="3" t="inlineStr">
        <is>
          <t>Inspection</t>
        </is>
      </c>
      <c r="W9" s="3" t="inlineStr">
        <is>
          <t>WIP</t>
        </is>
      </c>
      <c r="X9" s="3" t="n"/>
      <c r="Y9" s="3">
        <f>X9-A9</f>
        <v/>
      </c>
      <c r="Z9" s="18" t="n">
        <v>46143</v>
      </c>
      <c r="AA9" s="3" t="n"/>
      <c r="AB9" s="3" t="n"/>
    </row>
    <row r="10" hidden="1" s="233">
      <c r="A10" s="2" t="n">
        <v>46106</v>
      </c>
      <c r="B10" s="3" t="n">
        <v>2026</v>
      </c>
      <c r="C10" s="3" t="inlineStr">
        <is>
          <t>First Energy</t>
        </is>
      </c>
      <c r="D10" s="3" t="inlineStr">
        <is>
          <t>Utility and C&amp;I</t>
        </is>
      </c>
      <c r="E10" s="3" t="n"/>
      <c r="F10" s="3" t="inlineStr">
        <is>
          <t>WIP</t>
        </is>
      </c>
      <c r="G10" s="3" t="inlineStr">
        <is>
          <t>Mr. Gaurav</t>
        </is>
      </c>
      <c r="H10" s="3" t="n">
        <v>9979185999</v>
      </c>
      <c r="I10" s="11" t="inlineStr">
        <is>
          <t>PE25032601</t>
        </is>
      </c>
      <c r="J10" s="9" t="inlineStr">
        <is>
          <t>Module Defects</t>
        </is>
      </c>
      <c r="K10" s="3" t="inlineStr">
        <is>
          <t>Rajkot</t>
        </is>
      </c>
      <c r="L10" s="3" t="inlineStr">
        <is>
          <t>Gujarat</t>
        </is>
      </c>
      <c r="M10" s="9" t="inlineStr">
        <is>
          <t xml:space="preserve">hotspot found </t>
        </is>
      </c>
      <c r="N10" s="19" t="inlineStr">
        <is>
          <t>Hotspot</t>
        </is>
      </c>
      <c r="O10" s="3" t="n">
        <v>550</v>
      </c>
      <c r="P10" s="9" t="inlineStr">
        <is>
          <t>NSMP2301328092</t>
        </is>
      </c>
      <c r="Q10" s="53">
        <f>MID(P10,5,2)</f>
        <v/>
      </c>
      <c r="R10" s="53">
        <f>MID(P10,7,2)</f>
        <v/>
      </c>
      <c r="S10" s="3" t="inlineStr">
        <is>
          <t>G2TB</t>
        </is>
      </c>
      <c r="T10" s="3" t="inlineStr">
        <is>
          <t>P2</t>
        </is>
      </c>
      <c r="U10" s="9" t="inlineStr">
        <is>
          <t xml:space="preserve">Single Cell Hotspot </t>
        </is>
      </c>
      <c r="V10" s="3" t="inlineStr">
        <is>
          <t>Inspection</t>
        </is>
      </c>
      <c r="W10" s="3" t="inlineStr">
        <is>
          <t>WIP</t>
        </is>
      </c>
      <c r="X10" s="15" t="n"/>
      <c r="Y10" s="3">
        <f>X10-A10</f>
        <v/>
      </c>
      <c r="Z10" s="18" t="n">
        <v>46143</v>
      </c>
      <c r="AA10" s="3" t="n"/>
      <c r="AB10" s="3" t="n"/>
    </row>
    <row r="11" hidden="1" s="233">
      <c r="A11" s="2" t="n">
        <v>46106</v>
      </c>
      <c r="B11" s="3" t="n">
        <v>2026</v>
      </c>
      <c r="C11" s="3" t="inlineStr">
        <is>
          <t>First Energy</t>
        </is>
      </c>
      <c r="D11" s="3" t="inlineStr">
        <is>
          <t>Utility and C&amp;I</t>
        </is>
      </c>
      <c r="E11" s="3" t="n"/>
      <c r="F11" s="3" t="inlineStr">
        <is>
          <t>WIP</t>
        </is>
      </c>
      <c r="G11" s="3" t="inlineStr">
        <is>
          <t>Mr. Gaurav</t>
        </is>
      </c>
      <c r="H11" s="3" t="n">
        <v>9979185999</v>
      </c>
      <c r="I11" s="11" t="inlineStr">
        <is>
          <t>PE25032601</t>
        </is>
      </c>
      <c r="J11" s="9" t="inlineStr">
        <is>
          <t>Module Defects</t>
        </is>
      </c>
      <c r="K11" s="3" t="inlineStr">
        <is>
          <t>Rajkot</t>
        </is>
      </c>
      <c r="L11" s="3" t="inlineStr">
        <is>
          <t>Gujarat</t>
        </is>
      </c>
      <c r="M11" s="9" t="inlineStr">
        <is>
          <t xml:space="preserve">hotspot found </t>
        </is>
      </c>
      <c r="N11" s="19" t="inlineStr">
        <is>
          <t>Hotspot</t>
        </is>
      </c>
      <c r="O11" s="3" t="n">
        <v>550</v>
      </c>
      <c r="P11" s="9" t="inlineStr">
        <is>
          <t>NSMP2212258292</t>
        </is>
      </c>
      <c r="Q11" s="53">
        <f>MID(P11,5,2)</f>
        <v/>
      </c>
      <c r="R11" s="53">
        <f>MID(P11,7,2)</f>
        <v/>
      </c>
      <c r="S11" s="3" t="inlineStr">
        <is>
          <t>G2TB</t>
        </is>
      </c>
      <c r="T11" s="3" t="inlineStr">
        <is>
          <t>P2</t>
        </is>
      </c>
      <c r="U11" s="9" t="inlineStr">
        <is>
          <t xml:space="preserve">Multi Cell Hotspot </t>
        </is>
      </c>
      <c r="V11" s="3" t="inlineStr">
        <is>
          <t>Inspection</t>
        </is>
      </c>
      <c r="W11" s="3" t="inlineStr">
        <is>
          <t>WIP</t>
        </is>
      </c>
      <c r="X11" s="3" t="n"/>
      <c r="Y11" s="3">
        <f>X11-A11</f>
        <v/>
      </c>
      <c r="Z11" s="18" t="n">
        <v>46143</v>
      </c>
      <c r="AA11" s="3" t="n"/>
      <c r="AB11" s="3" t="n"/>
    </row>
    <row r="12" hidden="1" s="233">
      <c r="A12" s="2" t="n">
        <v>46106</v>
      </c>
      <c r="B12" s="3" t="n">
        <v>2026</v>
      </c>
      <c r="C12" s="3" t="inlineStr">
        <is>
          <t>First Energy</t>
        </is>
      </c>
      <c r="D12" s="3" t="inlineStr">
        <is>
          <t>Utility and C&amp;I</t>
        </is>
      </c>
      <c r="E12" s="3" t="n"/>
      <c r="F12" s="3" t="inlineStr">
        <is>
          <t>WIP</t>
        </is>
      </c>
      <c r="G12" s="3" t="inlineStr">
        <is>
          <t>Mr. Gaurav</t>
        </is>
      </c>
      <c r="H12" s="3" t="n">
        <v>9979185999</v>
      </c>
      <c r="I12" s="11" t="inlineStr">
        <is>
          <t>PE25032601</t>
        </is>
      </c>
      <c r="J12" s="9" t="inlineStr">
        <is>
          <t>Module Defects</t>
        </is>
      </c>
      <c r="K12" s="3" t="inlineStr">
        <is>
          <t>Rajkot</t>
        </is>
      </c>
      <c r="L12" s="3" t="inlineStr">
        <is>
          <t>Gujarat</t>
        </is>
      </c>
      <c r="M12" s="9" t="inlineStr">
        <is>
          <t xml:space="preserve">hotspot found </t>
        </is>
      </c>
      <c r="N12" s="19" t="inlineStr">
        <is>
          <t>Hotspot</t>
        </is>
      </c>
      <c r="O12" s="3" t="n">
        <v>550</v>
      </c>
      <c r="P12" s="9" t="inlineStr">
        <is>
          <t>NSMP2212269072</t>
        </is>
      </c>
      <c r="Q12" s="53">
        <f>MID(P12,5,2)</f>
        <v/>
      </c>
      <c r="R12" s="53">
        <f>MID(P12,7,2)</f>
        <v/>
      </c>
      <c r="S12" s="3" t="inlineStr">
        <is>
          <t>G2TB</t>
        </is>
      </c>
      <c r="T12" s="3" t="inlineStr">
        <is>
          <t>P2</t>
        </is>
      </c>
      <c r="U12" s="9" t="inlineStr">
        <is>
          <t xml:space="preserve">Multi Cell Hotspot </t>
        </is>
      </c>
      <c r="V12" s="3" t="inlineStr">
        <is>
          <t>Inspection</t>
        </is>
      </c>
      <c r="W12" s="3" t="inlineStr">
        <is>
          <t>WIP</t>
        </is>
      </c>
      <c r="X12" s="15" t="n"/>
      <c r="Y12" s="3">
        <f>X12-A12</f>
        <v/>
      </c>
      <c r="Z12" s="18" t="n">
        <v>46143</v>
      </c>
      <c r="AA12" s="3" t="n"/>
      <c r="AB12" s="3" t="n"/>
    </row>
    <row r="13" hidden="1" s="233">
      <c r="A13" s="2" t="n">
        <v>46106</v>
      </c>
      <c r="B13" s="3" t="n">
        <v>2026</v>
      </c>
      <c r="C13" s="3" t="inlineStr">
        <is>
          <t>First Energy</t>
        </is>
      </c>
      <c r="D13" s="3" t="inlineStr">
        <is>
          <t>Utility and C&amp;I</t>
        </is>
      </c>
      <c r="E13" s="3" t="n"/>
      <c r="F13" s="3" t="inlineStr">
        <is>
          <t>WIP</t>
        </is>
      </c>
      <c r="G13" s="3" t="inlineStr">
        <is>
          <t>Mr. Gaurav</t>
        </is>
      </c>
      <c r="H13" s="3" t="n">
        <v>9979185999</v>
      </c>
      <c r="I13" s="11" t="inlineStr">
        <is>
          <t>PE25032601</t>
        </is>
      </c>
      <c r="J13" s="9" t="inlineStr">
        <is>
          <t>Module Defects</t>
        </is>
      </c>
      <c r="K13" s="3" t="inlineStr">
        <is>
          <t>Rajkot</t>
        </is>
      </c>
      <c r="L13" s="3" t="inlineStr">
        <is>
          <t>Gujarat</t>
        </is>
      </c>
      <c r="M13" s="9" t="inlineStr">
        <is>
          <t xml:space="preserve">Broken Module </t>
        </is>
      </c>
      <c r="N13" s="19" t="inlineStr">
        <is>
          <t>Hotspot</t>
        </is>
      </c>
      <c r="O13" s="3" t="n">
        <v>550</v>
      </c>
      <c r="P13" s="9" t="inlineStr">
        <is>
          <t>NSMP2212277874</t>
        </is>
      </c>
      <c r="Q13" s="53">
        <f>MID(P13,5,2)</f>
        <v/>
      </c>
      <c r="R13" s="53">
        <f>MID(P13,7,2)</f>
        <v/>
      </c>
      <c r="S13" s="3" t="inlineStr">
        <is>
          <t>G2TB</t>
        </is>
      </c>
      <c r="T13" s="3" t="inlineStr">
        <is>
          <t>P2</t>
        </is>
      </c>
      <c r="U13" s="9" t="inlineStr">
        <is>
          <t xml:space="preserve">Multi Cell Hotspot </t>
        </is>
      </c>
      <c r="V13" s="3" t="inlineStr">
        <is>
          <t>Inspection</t>
        </is>
      </c>
      <c r="W13" s="3" t="inlineStr">
        <is>
          <t>WIP</t>
        </is>
      </c>
      <c r="X13" s="3" t="n"/>
      <c r="Y13" s="3">
        <f>X13-A13</f>
        <v/>
      </c>
      <c r="Z13" s="18" t="n">
        <v>46143</v>
      </c>
      <c r="AA13" s="3" t="n"/>
      <c r="AB13" s="3" t="n"/>
    </row>
    <row r="14" hidden="1" s="233">
      <c r="A14" s="2" t="n">
        <v>46106</v>
      </c>
      <c r="B14" s="3" t="n">
        <v>2026</v>
      </c>
      <c r="C14" s="3" t="inlineStr">
        <is>
          <t>First Energy</t>
        </is>
      </c>
      <c r="D14" s="3" t="inlineStr">
        <is>
          <t>Utility and C&amp;I</t>
        </is>
      </c>
      <c r="E14" s="3" t="n"/>
      <c r="F14" s="3" t="inlineStr">
        <is>
          <t>WIP</t>
        </is>
      </c>
      <c r="G14" s="3" t="inlineStr">
        <is>
          <t>PE02052602</t>
        </is>
      </c>
      <c r="H14" s="3" t="n">
        <v>9979185999</v>
      </c>
      <c r="I14" s="11" t="inlineStr">
        <is>
          <t>PE25032601</t>
        </is>
      </c>
      <c r="J14" s="9" t="inlineStr">
        <is>
          <t>Module Defects</t>
        </is>
      </c>
      <c r="K14" s="3" t="inlineStr">
        <is>
          <t>Rajkot</t>
        </is>
      </c>
      <c r="L14" s="3" t="inlineStr">
        <is>
          <t>Gujarat</t>
        </is>
      </c>
      <c r="M14" s="9" t="inlineStr">
        <is>
          <t xml:space="preserve">hotspot found </t>
        </is>
      </c>
      <c r="N14" s="19" t="inlineStr">
        <is>
          <t>Hotspot</t>
        </is>
      </c>
      <c r="O14" s="3" t="n">
        <v>550</v>
      </c>
      <c r="P14" s="9" t="inlineStr">
        <is>
          <t>NSMP2212277882</t>
        </is>
      </c>
      <c r="Q14" s="53">
        <f>MID(P14,5,2)</f>
        <v/>
      </c>
      <c r="R14" s="53">
        <f>MID(P14,7,2)</f>
        <v/>
      </c>
      <c r="S14" s="3" t="inlineStr">
        <is>
          <t>G2TB</t>
        </is>
      </c>
      <c r="T14" s="3" t="inlineStr">
        <is>
          <t>P2</t>
        </is>
      </c>
      <c r="U14" s="9" t="inlineStr">
        <is>
          <t xml:space="preserve">Multi Cell Hotspot </t>
        </is>
      </c>
      <c r="V14" s="3" t="inlineStr">
        <is>
          <t>Inspection</t>
        </is>
      </c>
      <c r="W14" s="3" t="inlineStr">
        <is>
          <t>WIP</t>
        </is>
      </c>
      <c r="X14" s="15" t="n"/>
      <c r="Y14" s="3">
        <f>X14-A14</f>
        <v/>
      </c>
      <c r="Z14" s="18" t="n">
        <v>46143</v>
      </c>
      <c r="AA14" s="3" t="n"/>
      <c r="AB14" s="3" t="n"/>
    </row>
    <row r="15" hidden="1" s="233">
      <c r="A15" s="2" t="n">
        <v>46106</v>
      </c>
      <c r="B15" s="3" t="n">
        <v>2026</v>
      </c>
      <c r="C15" s="3" t="inlineStr">
        <is>
          <t>First Energy</t>
        </is>
      </c>
      <c r="D15" s="3" t="inlineStr">
        <is>
          <t>Utility and C&amp;I</t>
        </is>
      </c>
      <c r="E15" s="3" t="n"/>
      <c r="F15" s="3" t="inlineStr">
        <is>
          <t>WIP</t>
        </is>
      </c>
      <c r="G15" s="3" t="inlineStr">
        <is>
          <t>Mr. Gaurav</t>
        </is>
      </c>
      <c r="H15" s="3" t="n">
        <v>9979185999</v>
      </c>
      <c r="I15" s="11" t="inlineStr">
        <is>
          <t>PE25032601</t>
        </is>
      </c>
      <c r="J15" s="9" t="inlineStr">
        <is>
          <t>Module Defects</t>
        </is>
      </c>
      <c r="K15" s="3" t="inlineStr">
        <is>
          <t>Rajkot</t>
        </is>
      </c>
      <c r="L15" s="3" t="inlineStr">
        <is>
          <t>Gujarat</t>
        </is>
      </c>
      <c r="M15" s="9" t="inlineStr">
        <is>
          <t xml:space="preserve">hotspot found </t>
        </is>
      </c>
      <c r="N15" s="19" t="inlineStr">
        <is>
          <t>Hotspot</t>
        </is>
      </c>
      <c r="O15" s="3" t="n">
        <v>550</v>
      </c>
      <c r="P15" s="9" t="inlineStr">
        <is>
          <t>NSMP2212270587</t>
        </is>
      </c>
      <c r="Q15" s="53">
        <f>MID(P15,5,2)</f>
        <v/>
      </c>
      <c r="R15" s="53">
        <f>MID(P15,7,2)</f>
        <v/>
      </c>
      <c r="S15" s="3" t="inlineStr">
        <is>
          <t>G2TB</t>
        </is>
      </c>
      <c r="T15" s="3" t="inlineStr">
        <is>
          <t>P2</t>
        </is>
      </c>
      <c r="U15" s="9" t="inlineStr">
        <is>
          <t xml:space="preserve">Multi Cell Hotspot </t>
        </is>
      </c>
      <c r="V15" s="3" t="inlineStr">
        <is>
          <t>Inspection</t>
        </is>
      </c>
      <c r="W15" s="3" t="inlineStr">
        <is>
          <t>WIP</t>
        </is>
      </c>
      <c r="X15" s="3" t="n"/>
      <c r="Y15" s="3">
        <f>X15-A15</f>
        <v/>
      </c>
      <c r="Z15" s="18" t="n">
        <v>46143</v>
      </c>
      <c r="AA15" s="3" t="n"/>
      <c r="AB15" s="3" t="n"/>
    </row>
    <row r="16" hidden="1" s="233">
      <c r="A16" s="2" t="n">
        <v>46106</v>
      </c>
      <c r="B16" s="3" t="n">
        <v>2026</v>
      </c>
      <c r="C16" s="3" t="inlineStr">
        <is>
          <t>First Energy</t>
        </is>
      </c>
      <c r="D16" s="3" t="inlineStr">
        <is>
          <t>Utility and C&amp;I</t>
        </is>
      </c>
      <c r="E16" s="3" t="n"/>
      <c r="F16" s="3" t="inlineStr">
        <is>
          <t>WIP</t>
        </is>
      </c>
      <c r="G16" s="3" t="inlineStr">
        <is>
          <t>Mr. Gaurav</t>
        </is>
      </c>
      <c r="H16" s="3" t="n">
        <v>9979185999</v>
      </c>
      <c r="I16" s="11" t="inlineStr">
        <is>
          <t>PE25032601</t>
        </is>
      </c>
      <c r="J16" s="9" t="inlineStr">
        <is>
          <t>Module Defects</t>
        </is>
      </c>
      <c r="K16" s="3" t="inlineStr">
        <is>
          <t>Rajkot</t>
        </is>
      </c>
      <c r="L16" s="3" t="inlineStr">
        <is>
          <t>Gujarat</t>
        </is>
      </c>
      <c r="M16" s="9" t="inlineStr">
        <is>
          <t xml:space="preserve">hotspot found </t>
        </is>
      </c>
      <c r="N16" s="19" t="inlineStr">
        <is>
          <t>Hotspot</t>
        </is>
      </c>
      <c r="O16" s="3" t="n">
        <v>550</v>
      </c>
      <c r="P16" s="9" t="inlineStr">
        <is>
          <t>NSMP2212277215</t>
        </is>
      </c>
      <c r="Q16" s="53">
        <f>MID(P16,5,2)</f>
        <v/>
      </c>
      <c r="R16" s="53">
        <f>MID(P16,7,2)</f>
        <v/>
      </c>
      <c r="S16" s="3" t="inlineStr">
        <is>
          <t>G2TB</t>
        </is>
      </c>
      <c r="T16" s="3" t="inlineStr">
        <is>
          <t>P2</t>
        </is>
      </c>
      <c r="U16" s="9" t="inlineStr">
        <is>
          <t xml:space="preserve">Multi Cell Hotspot </t>
        </is>
      </c>
      <c r="V16" s="3" t="inlineStr">
        <is>
          <t>Inspection</t>
        </is>
      </c>
      <c r="W16" s="3" t="inlineStr">
        <is>
          <t>WIP</t>
        </is>
      </c>
      <c r="X16" s="15" t="n"/>
      <c r="Y16" s="3">
        <f>X16-A16</f>
        <v/>
      </c>
      <c r="Z16" s="18" t="n">
        <v>46143</v>
      </c>
      <c r="AA16" s="3" t="n"/>
      <c r="AB16" s="3" t="n"/>
    </row>
    <row r="17" hidden="1" s="233">
      <c r="A17" s="2" t="n">
        <v>46106</v>
      </c>
      <c r="B17" s="3" t="n">
        <v>2026</v>
      </c>
      <c r="C17" s="3" t="inlineStr">
        <is>
          <t>First Energy</t>
        </is>
      </c>
      <c r="D17" s="3" t="inlineStr">
        <is>
          <t>Utility and C&amp;I</t>
        </is>
      </c>
      <c r="E17" s="3" t="n"/>
      <c r="F17" s="3" t="inlineStr">
        <is>
          <t>WIP</t>
        </is>
      </c>
      <c r="G17" s="3" t="inlineStr">
        <is>
          <t>Mr. Gaurav</t>
        </is>
      </c>
      <c r="H17" s="3" t="n">
        <v>9979185999</v>
      </c>
      <c r="I17" s="11" t="inlineStr">
        <is>
          <t>PE25032601</t>
        </is>
      </c>
      <c r="J17" s="9" t="inlineStr">
        <is>
          <t>Module Defects</t>
        </is>
      </c>
      <c r="K17" s="3" t="inlineStr">
        <is>
          <t>Rajkot</t>
        </is>
      </c>
      <c r="L17" s="3" t="inlineStr">
        <is>
          <t>Gujarat</t>
        </is>
      </c>
      <c r="M17" s="9" t="inlineStr">
        <is>
          <t xml:space="preserve">hotspot found </t>
        </is>
      </c>
      <c r="N17" s="19" t="inlineStr">
        <is>
          <t>Hotspot</t>
        </is>
      </c>
      <c r="O17" s="3" t="n">
        <v>550</v>
      </c>
      <c r="P17" s="9" t="inlineStr">
        <is>
          <t>NSMP2212268823</t>
        </is>
      </c>
      <c r="Q17" s="53">
        <f>MID(P17,5,2)</f>
        <v/>
      </c>
      <c r="R17" s="53">
        <f>MID(P17,7,2)</f>
        <v/>
      </c>
      <c r="S17" s="3" t="inlineStr">
        <is>
          <t>G2TB</t>
        </is>
      </c>
      <c r="T17" s="3" t="inlineStr">
        <is>
          <t>P2</t>
        </is>
      </c>
      <c r="U17" s="9" t="inlineStr">
        <is>
          <t xml:space="preserve">Multi Cell Hotspot </t>
        </is>
      </c>
      <c r="V17" s="3" t="inlineStr">
        <is>
          <t>Inspection</t>
        </is>
      </c>
      <c r="W17" s="3" t="inlineStr">
        <is>
          <t>WIP</t>
        </is>
      </c>
      <c r="X17" s="3" t="n"/>
      <c r="Y17" s="3">
        <f>X17-A17</f>
        <v/>
      </c>
      <c r="Z17" s="18" t="n">
        <v>46143</v>
      </c>
      <c r="AA17" s="3" t="n"/>
      <c r="AB17" s="3" t="n"/>
    </row>
    <row r="18" hidden="1" s="233">
      <c r="A18" s="2" t="n">
        <v>46106</v>
      </c>
      <c r="B18" s="3" t="n">
        <v>2026</v>
      </c>
      <c r="C18" s="3" t="inlineStr">
        <is>
          <t>First Energy</t>
        </is>
      </c>
      <c r="D18" s="3" t="inlineStr">
        <is>
          <t>Utility and C&amp;I</t>
        </is>
      </c>
      <c r="E18" s="3" t="n"/>
      <c r="F18" s="3" t="inlineStr">
        <is>
          <t>WIP</t>
        </is>
      </c>
      <c r="G18" s="3" t="inlineStr">
        <is>
          <t>Mr. Gaurav</t>
        </is>
      </c>
      <c r="H18" s="3" t="n">
        <v>9979185999</v>
      </c>
      <c r="I18" s="11" t="inlineStr">
        <is>
          <t>PE25032601</t>
        </is>
      </c>
      <c r="J18" s="9" t="inlineStr">
        <is>
          <t>Module Defects</t>
        </is>
      </c>
      <c r="K18" s="3" t="inlineStr">
        <is>
          <t>Rajkot</t>
        </is>
      </c>
      <c r="L18" s="3" t="inlineStr">
        <is>
          <t>Gujarat</t>
        </is>
      </c>
      <c r="M18" s="9" t="inlineStr">
        <is>
          <t xml:space="preserve">hotspot found </t>
        </is>
      </c>
      <c r="N18" s="19" t="inlineStr">
        <is>
          <t>Hotspot</t>
        </is>
      </c>
      <c r="O18" s="3" t="n">
        <v>550</v>
      </c>
      <c r="P18" s="9" t="inlineStr">
        <is>
          <t>NSMP2301334793</t>
        </is>
      </c>
      <c r="Q18" s="53">
        <f>MID(P18,5,2)</f>
        <v/>
      </c>
      <c r="R18" s="53">
        <f>MID(P18,7,2)</f>
        <v/>
      </c>
      <c r="S18" s="3" t="inlineStr">
        <is>
          <t>G2TB</t>
        </is>
      </c>
      <c r="T18" s="3" t="inlineStr">
        <is>
          <t>P2</t>
        </is>
      </c>
      <c r="U18" s="9" t="inlineStr">
        <is>
          <t xml:space="preserve">Multi Cell Hotspot </t>
        </is>
      </c>
      <c r="V18" s="3" t="inlineStr">
        <is>
          <t>Inspection</t>
        </is>
      </c>
      <c r="W18" s="3" t="inlineStr">
        <is>
          <t>WIP</t>
        </is>
      </c>
      <c r="X18" s="15" t="n"/>
      <c r="Y18" s="3">
        <f>X18-A18</f>
        <v/>
      </c>
      <c r="Z18" s="18" t="n">
        <v>46143</v>
      </c>
      <c r="AA18" s="3" t="n"/>
      <c r="AB18" s="3" t="n"/>
    </row>
    <row r="19" hidden="1" s="233">
      <c r="A19" s="2" t="n">
        <v>46106</v>
      </c>
      <c r="B19" s="3" t="n">
        <v>2026</v>
      </c>
      <c r="C19" s="3" t="inlineStr">
        <is>
          <t>First Energy</t>
        </is>
      </c>
      <c r="D19" s="3" t="inlineStr">
        <is>
          <t>Utility and C&amp;I</t>
        </is>
      </c>
      <c r="E19" s="3" t="n"/>
      <c r="F19" s="3" t="inlineStr">
        <is>
          <t>WIP</t>
        </is>
      </c>
      <c r="G19" s="3" t="inlineStr">
        <is>
          <t>Mr. Gaurav</t>
        </is>
      </c>
      <c r="H19" s="3" t="n">
        <v>9979185999</v>
      </c>
      <c r="I19" s="11" t="inlineStr">
        <is>
          <t>PE25032601</t>
        </is>
      </c>
      <c r="J19" s="9" t="inlineStr">
        <is>
          <t>Module Defects</t>
        </is>
      </c>
      <c r="K19" s="3" t="inlineStr">
        <is>
          <t>Rajkot</t>
        </is>
      </c>
      <c r="L19" s="3" t="inlineStr">
        <is>
          <t>Gujarat</t>
        </is>
      </c>
      <c r="M19" s="9" t="inlineStr">
        <is>
          <t xml:space="preserve">hotspot found </t>
        </is>
      </c>
      <c r="N19" s="19" t="inlineStr">
        <is>
          <t>Hotspot</t>
        </is>
      </c>
      <c r="O19" s="3" t="n">
        <v>550</v>
      </c>
      <c r="P19" s="9" t="inlineStr">
        <is>
          <t>NSMP2301304875</t>
        </is>
      </c>
      <c r="Q19" s="53">
        <f>MID(P19,5,2)</f>
        <v/>
      </c>
      <c r="R19" s="53">
        <f>MID(P19,7,2)</f>
        <v/>
      </c>
      <c r="S19" s="3" t="inlineStr">
        <is>
          <t>G2TB</t>
        </is>
      </c>
      <c r="T19" s="3" t="inlineStr">
        <is>
          <t>P2</t>
        </is>
      </c>
      <c r="U19" s="9" t="inlineStr">
        <is>
          <t xml:space="preserve">Single Cell Hotspot </t>
        </is>
      </c>
      <c r="V19" s="3" t="inlineStr">
        <is>
          <t>Inspection</t>
        </is>
      </c>
      <c r="W19" s="3" t="inlineStr">
        <is>
          <t>WIP</t>
        </is>
      </c>
      <c r="X19" s="3" t="n"/>
      <c r="Y19" s="3">
        <f>X19-A19</f>
        <v/>
      </c>
      <c r="Z19" s="18" t="n">
        <v>46143</v>
      </c>
      <c r="AA19" s="3" t="n"/>
      <c r="AB19" s="3" t="n"/>
    </row>
    <row r="20" hidden="1" s="233">
      <c r="A20" s="2" t="n">
        <v>46106</v>
      </c>
      <c r="B20" s="3" t="n">
        <v>2026</v>
      </c>
      <c r="C20" s="3" t="inlineStr">
        <is>
          <t>First Energy</t>
        </is>
      </c>
      <c r="D20" s="3" t="inlineStr">
        <is>
          <t>Utility and C&amp;I</t>
        </is>
      </c>
      <c r="E20" s="3" t="n"/>
      <c r="F20" s="3" t="inlineStr">
        <is>
          <t>WIP</t>
        </is>
      </c>
      <c r="G20" s="3" t="inlineStr">
        <is>
          <t>Mr. Gaurav</t>
        </is>
      </c>
      <c r="H20" s="3" t="n">
        <v>9979185999</v>
      </c>
      <c r="I20" s="11" t="inlineStr">
        <is>
          <t>PE25032601</t>
        </is>
      </c>
      <c r="J20" s="9" t="inlineStr">
        <is>
          <t>Module Defects</t>
        </is>
      </c>
      <c r="K20" s="3" t="inlineStr">
        <is>
          <t>Rajkot</t>
        </is>
      </c>
      <c r="L20" s="3" t="inlineStr">
        <is>
          <t>Gujarat</t>
        </is>
      </c>
      <c r="M20" s="9" t="inlineStr">
        <is>
          <t xml:space="preserve">hotspot found </t>
        </is>
      </c>
      <c r="N20" s="19" t="inlineStr">
        <is>
          <t>Hotspot</t>
        </is>
      </c>
      <c r="O20" s="3" t="n">
        <v>550</v>
      </c>
      <c r="P20" s="9" t="inlineStr">
        <is>
          <t>NSMP2212279131</t>
        </is>
      </c>
      <c r="Q20" s="53">
        <f>MID(P20,5,2)</f>
        <v/>
      </c>
      <c r="R20" s="53">
        <f>MID(P20,7,2)</f>
        <v/>
      </c>
      <c r="S20" s="3" t="inlineStr">
        <is>
          <t>G2TB</t>
        </is>
      </c>
      <c r="T20" s="3" t="inlineStr">
        <is>
          <t>P2</t>
        </is>
      </c>
      <c r="U20" s="9" t="inlineStr">
        <is>
          <t xml:space="preserve">Multi Cell Hotspot </t>
        </is>
      </c>
      <c r="V20" s="3" t="inlineStr">
        <is>
          <t>Inspection</t>
        </is>
      </c>
      <c r="W20" s="3" t="inlineStr">
        <is>
          <t>WIP</t>
        </is>
      </c>
      <c r="X20" s="15" t="n"/>
      <c r="Y20" s="3">
        <f>X20-A20</f>
        <v/>
      </c>
      <c r="Z20" s="18" t="n">
        <v>46143</v>
      </c>
      <c r="AA20" s="3" t="n"/>
      <c r="AB20" s="3" t="n"/>
    </row>
    <row r="21" hidden="1" s="233">
      <c r="A21" s="2" t="n">
        <v>46106</v>
      </c>
      <c r="B21" s="3" t="n">
        <v>2026</v>
      </c>
      <c r="C21" s="3" t="inlineStr">
        <is>
          <t>First Energy</t>
        </is>
      </c>
      <c r="D21" s="3" t="inlineStr">
        <is>
          <t>Utility and C&amp;I</t>
        </is>
      </c>
      <c r="E21" s="3" t="n"/>
      <c r="F21" s="3" t="inlineStr">
        <is>
          <t>WIP</t>
        </is>
      </c>
      <c r="G21" s="3" t="inlineStr">
        <is>
          <t>Mr. Gaurav</t>
        </is>
      </c>
      <c r="H21" s="3" t="n">
        <v>9979185999</v>
      </c>
      <c r="I21" s="11" t="inlineStr">
        <is>
          <t>PE25032601</t>
        </is>
      </c>
      <c r="J21" s="9" t="inlineStr">
        <is>
          <t>Module Defects</t>
        </is>
      </c>
      <c r="K21" s="3" t="inlineStr">
        <is>
          <t>Rajkot</t>
        </is>
      </c>
      <c r="L21" s="3" t="inlineStr">
        <is>
          <t>Gujarat</t>
        </is>
      </c>
      <c r="M21" s="9" t="inlineStr">
        <is>
          <t xml:space="preserve">hotspot found </t>
        </is>
      </c>
      <c r="N21" s="19" t="inlineStr">
        <is>
          <t>Hotspot</t>
        </is>
      </c>
      <c r="O21" s="3" t="n">
        <v>550</v>
      </c>
      <c r="P21" s="9" t="inlineStr">
        <is>
          <t>NSMP2212282140</t>
        </is>
      </c>
      <c r="Q21" s="53">
        <f>MID(P21,5,2)</f>
        <v/>
      </c>
      <c r="R21" s="53">
        <f>MID(P21,7,2)</f>
        <v/>
      </c>
      <c r="S21" s="3" t="inlineStr">
        <is>
          <t>G2TB</t>
        </is>
      </c>
      <c r="T21" s="3" t="inlineStr">
        <is>
          <t>P2</t>
        </is>
      </c>
      <c r="U21" s="9" t="inlineStr">
        <is>
          <t xml:space="preserve">Multi Cell Hotspot </t>
        </is>
      </c>
      <c r="V21" s="3" t="inlineStr">
        <is>
          <t>Inspection</t>
        </is>
      </c>
      <c r="W21" s="3" t="inlineStr">
        <is>
          <t>WIP</t>
        </is>
      </c>
      <c r="X21" s="3" t="n"/>
      <c r="Y21" s="3">
        <f>X21-A21</f>
        <v/>
      </c>
      <c r="Z21" s="18" t="n">
        <v>46143</v>
      </c>
      <c r="AA21" s="3" t="n"/>
      <c r="AB21" s="3" t="n"/>
    </row>
    <row r="22" hidden="1" s="233">
      <c r="A22" s="2" t="n">
        <v>46106</v>
      </c>
      <c r="B22" s="3" t="n">
        <v>2026</v>
      </c>
      <c r="C22" s="3" t="inlineStr">
        <is>
          <t>First Energy</t>
        </is>
      </c>
      <c r="D22" s="3" t="inlineStr">
        <is>
          <t>Utility and C&amp;I</t>
        </is>
      </c>
      <c r="E22" s="3" t="n"/>
      <c r="F22" s="3" t="inlineStr">
        <is>
          <t>WIP</t>
        </is>
      </c>
      <c r="G22" s="3" t="inlineStr">
        <is>
          <t>Mr. Gaurav</t>
        </is>
      </c>
      <c r="H22" s="3" t="n">
        <v>9979185999</v>
      </c>
      <c r="I22" s="11" t="inlineStr">
        <is>
          <t>PE25032601</t>
        </is>
      </c>
      <c r="J22" s="9" t="inlineStr">
        <is>
          <t>Module Defects</t>
        </is>
      </c>
      <c r="K22" s="3" t="inlineStr">
        <is>
          <t>Rajkot</t>
        </is>
      </c>
      <c r="L22" s="3" t="inlineStr">
        <is>
          <t>Gujarat</t>
        </is>
      </c>
      <c r="M22" s="9" t="inlineStr">
        <is>
          <t xml:space="preserve">hotspot found </t>
        </is>
      </c>
      <c r="N22" s="19" t="inlineStr">
        <is>
          <t>Hotspot</t>
        </is>
      </c>
      <c r="O22" s="3" t="n">
        <v>550</v>
      </c>
      <c r="P22" s="9" t="inlineStr">
        <is>
          <t>NSMP2212268033</t>
        </is>
      </c>
      <c r="Q22" s="53">
        <f>MID(P22,5,2)</f>
        <v/>
      </c>
      <c r="R22" s="53">
        <f>MID(P22,7,2)</f>
        <v/>
      </c>
      <c r="S22" s="3" t="inlineStr">
        <is>
          <t>G2TB</t>
        </is>
      </c>
      <c r="T22" s="3" t="inlineStr">
        <is>
          <t>P2</t>
        </is>
      </c>
      <c r="U22" s="9" t="inlineStr">
        <is>
          <t xml:space="preserve">Single Cell Hotspot </t>
        </is>
      </c>
      <c r="V22" s="3" t="inlineStr">
        <is>
          <t>Inspection</t>
        </is>
      </c>
      <c r="W22" s="3" t="inlineStr">
        <is>
          <t>WIP</t>
        </is>
      </c>
      <c r="X22" s="15" t="n"/>
      <c r="Y22" s="3">
        <f>X22-A22</f>
        <v/>
      </c>
      <c r="Z22" s="18" t="n">
        <v>46143</v>
      </c>
      <c r="AA22" s="3" t="n"/>
      <c r="AB22" s="3" t="n"/>
    </row>
    <row r="23" hidden="1" s="233">
      <c r="A23" s="2" t="n">
        <v>46106</v>
      </c>
      <c r="B23" s="3" t="n">
        <v>2026</v>
      </c>
      <c r="C23" s="3" t="inlineStr">
        <is>
          <t>First Energy</t>
        </is>
      </c>
      <c r="D23" s="3" t="inlineStr">
        <is>
          <t>Utility and C&amp;I</t>
        </is>
      </c>
      <c r="E23" s="3" t="n"/>
      <c r="F23" s="3" t="inlineStr">
        <is>
          <t>WIP</t>
        </is>
      </c>
      <c r="G23" s="3" t="inlineStr">
        <is>
          <t>Mr. Gaurav</t>
        </is>
      </c>
      <c r="H23" s="3" t="n">
        <v>9979185999</v>
      </c>
      <c r="I23" s="11" t="inlineStr">
        <is>
          <t>PE25032601</t>
        </is>
      </c>
      <c r="J23" s="9" t="inlineStr">
        <is>
          <t>Module Defects</t>
        </is>
      </c>
      <c r="K23" s="3" t="inlineStr">
        <is>
          <t>Rajkot</t>
        </is>
      </c>
      <c r="L23" s="3" t="inlineStr">
        <is>
          <t>Gujarat</t>
        </is>
      </c>
      <c r="M23" s="9" t="inlineStr">
        <is>
          <t xml:space="preserve">hotspot found </t>
        </is>
      </c>
      <c r="N23" s="19" t="inlineStr">
        <is>
          <t>Hotspot</t>
        </is>
      </c>
      <c r="O23" s="3" t="n">
        <v>550</v>
      </c>
      <c r="P23" s="9" t="inlineStr">
        <is>
          <t>NSMP2212268494</t>
        </is>
      </c>
      <c r="Q23" s="53">
        <f>MID(P23,5,2)</f>
        <v/>
      </c>
      <c r="R23" s="53">
        <f>MID(P23,7,2)</f>
        <v/>
      </c>
      <c r="S23" s="3" t="inlineStr">
        <is>
          <t>G2TB</t>
        </is>
      </c>
      <c r="T23" s="3" t="inlineStr">
        <is>
          <t>P2</t>
        </is>
      </c>
      <c r="U23" s="9" t="inlineStr">
        <is>
          <t xml:space="preserve">Single Cell Hotspot </t>
        </is>
      </c>
      <c r="V23" s="3" t="inlineStr">
        <is>
          <t>Inspection</t>
        </is>
      </c>
      <c r="W23" s="3" t="inlineStr">
        <is>
          <t>WIP</t>
        </is>
      </c>
      <c r="X23" s="3" t="n"/>
      <c r="Y23" s="3">
        <f>X23-A23</f>
        <v/>
      </c>
      <c r="Z23" s="18" t="n">
        <v>46143</v>
      </c>
      <c r="AA23" s="3" t="n"/>
      <c r="AB23" s="3" t="n"/>
    </row>
    <row r="24" hidden="1" s="233">
      <c r="A24" s="2" t="n">
        <v>46106</v>
      </c>
      <c r="B24" s="3" t="n">
        <v>2026</v>
      </c>
      <c r="C24" s="3" t="inlineStr">
        <is>
          <t>First Energy</t>
        </is>
      </c>
      <c r="D24" s="3" t="inlineStr">
        <is>
          <t>Utility and C&amp;I</t>
        </is>
      </c>
      <c r="E24" s="3" t="n"/>
      <c r="F24" s="3" t="inlineStr">
        <is>
          <t>WIP</t>
        </is>
      </c>
      <c r="G24" s="3" t="inlineStr">
        <is>
          <t>Mr. Gaurav</t>
        </is>
      </c>
      <c r="H24" s="3" t="n">
        <v>9979185999</v>
      </c>
      <c r="I24" s="11" t="inlineStr">
        <is>
          <t>PE25032601</t>
        </is>
      </c>
      <c r="J24" s="9" t="inlineStr">
        <is>
          <t>Module Defects</t>
        </is>
      </c>
      <c r="K24" s="3" t="inlineStr">
        <is>
          <t>Rajkot</t>
        </is>
      </c>
      <c r="L24" s="3" t="inlineStr">
        <is>
          <t>Gujarat</t>
        </is>
      </c>
      <c r="M24" s="9" t="inlineStr">
        <is>
          <t xml:space="preserve">hotspot found </t>
        </is>
      </c>
      <c r="N24" s="19" t="inlineStr">
        <is>
          <t>Hotspot</t>
        </is>
      </c>
      <c r="O24" s="3" t="n">
        <v>550</v>
      </c>
      <c r="P24" s="9" t="inlineStr">
        <is>
          <t>NSMP2212268542</t>
        </is>
      </c>
      <c r="Q24" s="53">
        <f>MID(P24,5,2)</f>
        <v/>
      </c>
      <c r="R24" s="53">
        <f>MID(P24,7,2)</f>
        <v/>
      </c>
      <c r="S24" s="3" t="inlineStr">
        <is>
          <t>G2TB</t>
        </is>
      </c>
      <c r="T24" s="3" t="inlineStr">
        <is>
          <t>P2</t>
        </is>
      </c>
      <c r="U24" s="9" t="inlineStr">
        <is>
          <t xml:space="preserve">Single Cell Hotspot </t>
        </is>
      </c>
      <c r="V24" s="3" t="inlineStr">
        <is>
          <t>Inspection</t>
        </is>
      </c>
      <c r="W24" s="3" t="inlineStr">
        <is>
          <t>WIP</t>
        </is>
      </c>
      <c r="X24" s="15" t="n"/>
      <c r="Y24" s="3">
        <f>X24-A24</f>
        <v/>
      </c>
      <c r="Z24" s="18" t="n">
        <v>46143</v>
      </c>
      <c r="AA24" s="3" t="n"/>
      <c r="AB24" s="3" t="n"/>
    </row>
    <row r="25" hidden="1" s="233">
      <c r="A25" s="2" t="n">
        <v>46106</v>
      </c>
      <c r="B25" s="3" t="n">
        <v>2026</v>
      </c>
      <c r="C25" s="3" t="inlineStr">
        <is>
          <t>First Energy</t>
        </is>
      </c>
      <c r="D25" s="3" t="inlineStr">
        <is>
          <t>Utility and C&amp;I</t>
        </is>
      </c>
      <c r="E25" s="3" t="n"/>
      <c r="F25" s="3" t="inlineStr">
        <is>
          <t>WIP</t>
        </is>
      </c>
      <c r="G25" s="3" t="inlineStr">
        <is>
          <t>Mr. Gaurav</t>
        </is>
      </c>
      <c r="H25" s="3" t="n">
        <v>9979185999</v>
      </c>
      <c r="I25" s="11" t="inlineStr">
        <is>
          <t>PE25032601</t>
        </is>
      </c>
      <c r="J25" s="9" t="inlineStr">
        <is>
          <t>Module Defects</t>
        </is>
      </c>
      <c r="K25" s="3" t="inlineStr">
        <is>
          <t>Rajkot</t>
        </is>
      </c>
      <c r="L25" s="3" t="inlineStr">
        <is>
          <t>Gujarat</t>
        </is>
      </c>
      <c r="M25" s="9" t="inlineStr">
        <is>
          <t xml:space="preserve">hotspot found </t>
        </is>
      </c>
      <c r="N25" s="19" t="inlineStr">
        <is>
          <t>Hotspot</t>
        </is>
      </c>
      <c r="O25" s="3" t="n">
        <v>550</v>
      </c>
      <c r="P25" s="9" t="inlineStr">
        <is>
          <t>NSMP2212268029</t>
        </is>
      </c>
      <c r="Q25" s="53">
        <f>MID(P25,5,2)</f>
        <v/>
      </c>
      <c r="R25" s="53">
        <f>MID(P25,7,2)</f>
        <v/>
      </c>
      <c r="S25" s="3" t="inlineStr">
        <is>
          <t>G2TB</t>
        </is>
      </c>
      <c r="T25" s="3" t="inlineStr">
        <is>
          <t>P2</t>
        </is>
      </c>
      <c r="U25" s="9" t="inlineStr">
        <is>
          <t xml:space="preserve">Single Cell Hotspot </t>
        </is>
      </c>
      <c r="V25" s="3" t="inlineStr">
        <is>
          <t>Inspection</t>
        </is>
      </c>
      <c r="W25" s="3" t="inlineStr">
        <is>
          <t>WIP</t>
        </is>
      </c>
      <c r="X25" s="3" t="n"/>
      <c r="Y25" s="3">
        <f>X25-A25</f>
        <v/>
      </c>
      <c r="Z25" s="18" t="n">
        <v>46143</v>
      </c>
      <c r="AA25" s="3" t="n"/>
      <c r="AB25" s="3" t="n"/>
    </row>
    <row r="26" hidden="1" s="233">
      <c r="A26" s="2" t="n">
        <v>46106</v>
      </c>
      <c r="B26" s="3" t="n">
        <v>2026</v>
      </c>
      <c r="C26" s="3" t="inlineStr">
        <is>
          <t>First Energy</t>
        </is>
      </c>
      <c r="D26" s="3" t="inlineStr">
        <is>
          <t>Utility and C&amp;I</t>
        </is>
      </c>
      <c r="E26" s="3" t="n"/>
      <c r="F26" s="3" t="inlineStr">
        <is>
          <t>WIP</t>
        </is>
      </c>
      <c r="G26" s="3" t="inlineStr">
        <is>
          <t>Mr. Gaurav</t>
        </is>
      </c>
      <c r="H26" s="3" t="n">
        <v>9979185999</v>
      </c>
      <c r="I26" s="11" t="inlineStr">
        <is>
          <t>PE25032601</t>
        </is>
      </c>
      <c r="J26" s="9" t="inlineStr">
        <is>
          <t>Module Defects</t>
        </is>
      </c>
      <c r="K26" s="3" t="inlineStr">
        <is>
          <t>Rajkot</t>
        </is>
      </c>
      <c r="L26" s="3" t="inlineStr">
        <is>
          <t>Gujarat</t>
        </is>
      </c>
      <c r="M26" s="9" t="inlineStr">
        <is>
          <t xml:space="preserve">hotspot found </t>
        </is>
      </c>
      <c r="N26" s="19" t="inlineStr">
        <is>
          <t>Hotspot</t>
        </is>
      </c>
      <c r="O26" s="3" t="n">
        <v>550</v>
      </c>
      <c r="P26" s="9" t="inlineStr">
        <is>
          <t>NSMP2212268023</t>
        </is>
      </c>
      <c r="Q26" s="53">
        <f>MID(P26,5,2)</f>
        <v/>
      </c>
      <c r="R26" s="53">
        <f>MID(P26,7,2)</f>
        <v/>
      </c>
      <c r="S26" s="3" t="inlineStr">
        <is>
          <t>G2TB</t>
        </is>
      </c>
      <c r="T26" s="3" t="inlineStr">
        <is>
          <t>P2</t>
        </is>
      </c>
      <c r="U26" s="9" t="inlineStr">
        <is>
          <t xml:space="preserve">Multi Cell Hotspot </t>
        </is>
      </c>
      <c r="V26" s="3" t="inlineStr">
        <is>
          <t>Inspection</t>
        </is>
      </c>
      <c r="W26" s="3" t="inlineStr">
        <is>
          <t>WIP</t>
        </is>
      </c>
      <c r="X26" s="15" t="n"/>
      <c r="Y26" s="3">
        <f>X26-A26</f>
        <v/>
      </c>
      <c r="Z26" s="18" t="n">
        <v>46143</v>
      </c>
      <c r="AA26" s="3" t="n"/>
      <c r="AB26" s="3" t="n"/>
    </row>
    <row r="27" hidden="1" s="233">
      <c r="A27" s="2" t="n">
        <v>46106</v>
      </c>
      <c r="B27" s="3" t="n">
        <v>2026</v>
      </c>
      <c r="C27" s="3" t="inlineStr">
        <is>
          <t>First Energy</t>
        </is>
      </c>
      <c r="D27" s="3" t="inlineStr">
        <is>
          <t>Utility and C&amp;I</t>
        </is>
      </c>
      <c r="E27" s="3" t="n"/>
      <c r="F27" s="3" t="inlineStr">
        <is>
          <t>WIP</t>
        </is>
      </c>
      <c r="G27" s="3" t="inlineStr">
        <is>
          <t>Mr. Gaurav</t>
        </is>
      </c>
      <c r="H27" s="3" t="n">
        <v>9979185999</v>
      </c>
      <c r="I27" s="11" t="inlineStr">
        <is>
          <t>PE25032601</t>
        </is>
      </c>
      <c r="J27" s="9" t="inlineStr">
        <is>
          <t>Module Defects</t>
        </is>
      </c>
      <c r="K27" s="3" t="inlineStr">
        <is>
          <t>Rajkot</t>
        </is>
      </c>
      <c r="L27" s="3" t="inlineStr">
        <is>
          <t>Gujarat</t>
        </is>
      </c>
      <c r="M27" s="9" t="inlineStr">
        <is>
          <t xml:space="preserve">hotspot found </t>
        </is>
      </c>
      <c r="N27" s="19" t="inlineStr">
        <is>
          <t>Hotspot</t>
        </is>
      </c>
      <c r="O27" s="3" t="n">
        <v>550</v>
      </c>
      <c r="P27" s="9" t="inlineStr">
        <is>
          <t>NSMP2212268085</t>
        </is>
      </c>
      <c r="Q27" s="53">
        <f>MID(P27,5,2)</f>
        <v/>
      </c>
      <c r="R27" s="53">
        <f>MID(P27,7,2)</f>
        <v/>
      </c>
      <c r="S27" s="3" t="inlineStr">
        <is>
          <t>G2TB</t>
        </is>
      </c>
      <c r="T27" s="3" t="inlineStr">
        <is>
          <t>P2</t>
        </is>
      </c>
      <c r="U27" s="9" t="inlineStr">
        <is>
          <t xml:space="preserve">Single Cell Hotspot </t>
        </is>
      </c>
      <c r="V27" s="3" t="inlineStr">
        <is>
          <t>Inspection</t>
        </is>
      </c>
      <c r="W27" s="3" t="inlineStr">
        <is>
          <t>WIP</t>
        </is>
      </c>
      <c r="X27" s="3" t="n"/>
      <c r="Y27" s="3">
        <f>X27-A27</f>
        <v/>
      </c>
      <c r="Z27" s="18" t="n">
        <v>46143</v>
      </c>
      <c r="AA27" s="3" t="n"/>
      <c r="AB27" s="3" t="n"/>
    </row>
    <row r="28" hidden="1" s="233">
      <c r="A28" s="2" t="n">
        <v>46106</v>
      </c>
      <c r="B28" s="3" t="n">
        <v>2026</v>
      </c>
      <c r="C28" s="3" t="inlineStr">
        <is>
          <t>First Energy</t>
        </is>
      </c>
      <c r="D28" s="3" t="inlineStr">
        <is>
          <t>Utility and C&amp;I</t>
        </is>
      </c>
      <c r="E28" s="3" t="n"/>
      <c r="F28" s="3" t="inlineStr">
        <is>
          <t>WIP</t>
        </is>
      </c>
      <c r="G28" s="3" t="inlineStr">
        <is>
          <t>Mr. Gaurav</t>
        </is>
      </c>
      <c r="H28" s="3" t="n">
        <v>9979185999</v>
      </c>
      <c r="I28" s="11" t="inlineStr">
        <is>
          <t>PE25032601</t>
        </is>
      </c>
      <c r="J28" s="9" t="inlineStr">
        <is>
          <t>Module Defects</t>
        </is>
      </c>
      <c r="K28" s="3" t="inlineStr">
        <is>
          <t>Rajkot</t>
        </is>
      </c>
      <c r="L28" s="3" t="inlineStr">
        <is>
          <t>Gujarat</t>
        </is>
      </c>
      <c r="M28" s="9" t="inlineStr">
        <is>
          <t xml:space="preserve">hotspot found </t>
        </is>
      </c>
      <c r="N28" s="19" t="inlineStr">
        <is>
          <t>Hotspot</t>
        </is>
      </c>
      <c r="O28" s="3" t="n">
        <v>550</v>
      </c>
      <c r="P28" s="9" t="inlineStr">
        <is>
          <t>NSMP2212268633</t>
        </is>
      </c>
      <c r="Q28" s="53">
        <f>MID(P28,5,2)</f>
        <v/>
      </c>
      <c r="R28" s="53">
        <f>MID(P28,7,2)</f>
        <v/>
      </c>
      <c r="S28" s="3" t="inlineStr">
        <is>
          <t>G2TB</t>
        </is>
      </c>
      <c r="T28" s="3" t="inlineStr">
        <is>
          <t>P2</t>
        </is>
      </c>
      <c r="U28" s="9" t="inlineStr">
        <is>
          <t xml:space="preserve">Single Cell Hotspot </t>
        </is>
      </c>
      <c r="V28" s="3" t="inlineStr">
        <is>
          <t>Inspection</t>
        </is>
      </c>
      <c r="W28" s="3" t="inlineStr">
        <is>
          <t>WIP</t>
        </is>
      </c>
      <c r="X28" s="15" t="n"/>
      <c r="Y28" s="3">
        <f>X28-A28</f>
        <v/>
      </c>
      <c r="Z28" s="18" t="n">
        <v>46143</v>
      </c>
      <c r="AA28" s="3" t="n"/>
      <c r="AB28" s="3" t="n"/>
    </row>
    <row r="29" hidden="1" s="233">
      <c r="A29" s="2" t="n">
        <v>46106</v>
      </c>
      <c r="B29" s="3" t="n">
        <v>2026</v>
      </c>
      <c r="C29" s="3" t="inlineStr">
        <is>
          <t>First Energy</t>
        </is>
      </c>
      <c r="D29" s="3" t="inlineStr">
        <is>
          <t>Utility and C&amp;I</t>
        </is>
      </c>
      <c r="E29" s="3" t="n"/>
      <c r="F29" s="3" t="inlineStr">
        <is>
          <t>WIP</t>
        </is>
      </c>
      <c r="G29" s="3" t="inlineStr">
        <is>
          <t>Mr. Gaurav</t>
        </is>
      </c>
      <c r="H29" s="3" t="n">
        <v>9979185999</v>
      </c>
      <c r="I29" s="11" t="inlineStr">
        <is>
          <t>PE25032601</t>
        </is>
      </c>
      <c r="J29" s="9" t="inlineStr">
        <is>
          <t>Module Defects</t>
        </is>
      </c>
      <c r="K29" s="3" t="inlineStr">
        <is>
          <t>Rajkot</t>
        </is>
      </c>
      <c r="L29" s="3" t="inlineStr">
        <is>
          <t>Gujarat</t>
        </is>
      </c>
      <c r="M29" s="9" t="inlineStr">
        <is>
          <t xml:space="preserve">hotspot found </t>
        </is>
      </c>
      <c r="N29" s="19" t="inlineStr">
        <is>
          <t>Hotspot</t>
        </is>
      </c>
      <c r="O29" s="3" t="n">
        <v>550</v>
      </c>
      <c r="P29" s="9" t="inlineStr">
        <is>
          <t>NSMP2212268193</t>
        </is>
      </c>
      <c r="Q29" s="53">
        <f>MID(P29,5,2)</f>
        <v/>
      </c>
      <c r="R29" s="53">
        <f>MID(P29,7,2)</f>
        <v/>
      </c>
      <c r="S29" s="3" t="inlineStr">
        <is>
          <t>G2TB</t>
        </is>
      </c>
      <c r="T29" s="3" t="inlineStr">
        <is>
          <t>P2</t>
        </is>
      </c>
      <c r="U29" s="9" t="inlineStr">
        <is>
          <t xml:space="preserve">Single Cell Hotspot </t>
        </is>
      </c>
      <c r="V29" s="3" t="inlineStr">
        <is>
          <t>Inspection</t>
        </is>
      </c>
      <c r="W29" s="3" t="inlineStr">
        <is>
          <t>WIP</t>
        </is>
      </c>
      <c r="X29" s="3" t="n"/>
      <c r="Y29" s="3">
        <f>X29-A29</f>
        <v/>
      </c>
      <c r="Z29" s="18" t="n">
        <v>46144</v>
      </c>
      <c r="AA29" s="3" t="n"/>
      <c r="AB29" s="3" t="n"/>
    </row>
    <row r="30" hidden="1" s="233">
      <c r="A30" s="2" t="n">
        <v>46106</v>
      </c>
      <c r="B30" s="3" t="n">
        <v>2026</v>
      </c>
      <c r="C30" s="3" t="inlineStr">
        <is>
          <t>First Energy</t>
        </is>
      </c>
      <c r="D30" s="3" t="inlineStr">
        <is>
          <t>Utility and C&amp;I</t>
        </is>
      </c>
      <c r="E30" s="3" t="n"/>
      <c r="F30" s="3" t="inlineStr">
        <is>
          <t>WIP</t>
        </is>
      </c>
      <c r="G30" s="3" t="inlineStr">
        <is>
          <t>Mr. Gaurav</t>
        </is>
      </c>
      <c r="H30" s="3" t="n">
        <v>9979185999</v>
      </c>
      <c r="I30" s="11" t="inlineStr">
        <is>
          <t>PE25032601</t>
        </is>
      </c>
      <c r="J30" s="9" t="inlineStr">
        <is>
          <t>Module Defects</t>
        </is>
      </c>
      <c r="K30" s="3" t="inlineStr">
        <is>
          <t>Rajkot</t>
        </is>
      </c>
      <c r="L30" s="3" t="inlineStr">
        <is>
          <t>Gujarat</t>
        </is>
      </c>
      <c r="M30" s="9" t="inlineStr">
        <is>
          <t xml:space="preserve">hotspot found </t>
        </is>
      </c>
      <c r="N30" s="19" t="inlineStr">
        <is>
          <t>Hotspot</t>
        </is>
      </c>
      <c r="O30" s="3" t="n">
        <v>550</v>
      </c>
      <c r="P30" s="9" t="inlineStr">
        <is>
          <t>NSMP2212268150</t>
        </is>
      </c>
      <c r="Q30" s="53">
        <f>MID(P30,5,2)</f>
        <v/>
      </c>
      <c r="R30" s="53">
        <f>MID(P30,7,2)</f>
        <v/>
      </c>
      <c r="S30" s="3" t="inlineStr">
        <is>
          <t>G2TB</t>
        </is>
      </c>
      <c r="T30" s="3" t="inlineStr">
        <is>
          <t>P2</t>
        </is>
      </c>
      <c r="U30" s="9" t="inlineStr">
        <is>
          <t xml:space="preserve">Single Cell Hotspot </t>
        </is>
      </c>
      <c r="V30" s="3" t="inlineStr">
        <is>
          <t>Inspection</t>
        </is>
      </c>
      <c r="W30" s="3" t="inlineStr">
        <is>
          <t>WIP</t>
        </is>
      </c>
      <c r="X30" s="15" t="n"/>
      <c r="Y30" s="3">
        <f>X30-A30</f>
        <v/>
      </c>
      <c r="Z30" s="18" t="n">
        <v>46144</v>
      </c>
      <c r="AA30" s="3" t="n"/>
      <c r="AB30" s="3" t="n"/>
    </row>
    <row r="31" hidden="1" s="233">
      <c r="A31" s="2" t="n">
        <v>46106</v>
      </c>
      <c r="B31" s="3" t="n">
        <v>2026</v>
      </c>
      <c r="C31" s="3" t="inlineStr">
        <is>
          <t>First Energy</t>
        </is>
      </c>
      <c r="D31" s="3" t="inlineStr">
        <is>
          <t>Utility and C&amp;I</t>
        </is>
      </c>
      <c r="E31" s="3" t="n"/>
      <c r="F31" s="3" t="inlineStr">
        <is>
          <t>WIP</t>
        </is>
      </c>
      <c r="G31" s="3" t="inlineStr">
        <is>
          <t>Mr. Gaurav</t>
        </is>
      </c>
      <c r="H31" s="3" t="n">
        <v>9979185999</v>
      </c>
      <c r="I31" s="11" t="inlineStr">
        <is>
          <t>PE25032601</t>
        </is>
      </c>
      <c r="J31" s="9" t="inlineStr">
        <is>
          <t>Module Defects</t>
        </is>
      </c>
      <c r="K31" s="3" t="inlineStr">
        <is>
          <t>Rajkot</t>
        </is>
      </c>
      <c r="L31" s="3" t="inlineStr">
        <is>
          <t>Gujarat</t>
        </is>
      </c>
      <c r="M31" s="9" t="inlineStr">
        <is>
          <t xml:space="preserve">hotspot found </t>
        </is>
      </c>
      <c r="N31" s="19" t="inlineStr">
        <is>
          <t>Hotspot</t>
        </is>
      </c>
      <c r="O31" s="3" t="n">
        <v>550</v>
      </c>
      <c r="P31" s="9" t="inlineStr">
        <is>
          <t>NSMP2212268242</t>
        </is>
      </c>
      <c r="Q31" s="53">
        <f>MID(P31,5,2)</f>
        <v/>
      </c>
      <c r="R31" s="53">
        <f>MID(P31,7,2)</f>
        <v/>
      </c>
      <c r="S31" s="3" t="inlineStr">
        <is>
          <t>G2TB</t>
        </is>
      </c>
      <c r="T31" s="3" t="inlineStr">
        <is>
          <t>P2</t>
        </is>
      </c>
      <c r="U31" s="9" t="inlineStr">
        <is>
          <t xml:space="preserve">Single Cell Hotspot </t>
        </is>
      </c>
      <c r="V31" s="3" t="inlineStr">
        <is>
          <t>Inspection</t>
        </is>
      </c>
      <c r="W31" s="3" t="inlineStr">
        <is>
          <t>WIP</t>
        </is>
      </c>
      <c r="X31" s="3" t="n"/>
      <c r="Y31" s="3">
        <f>X31-A31</f>
        <v/>
      </c>
      <c r="Z31" s="18" t="n">
        <v>46144</v>
      </c>
      <c r="AA31" s="3" t="n"/>
      <c r="AB31" s="3" t="n"/>
    </row>
    <row r="32" hidden="1" s="233">
      <c r="A32" s="2" t="n">
        <v>46106</v>
      </c>
      <c r="B32" s="3" t="n">
        <v>2026</v>
      </c>
      <c r="C32" s="3" t="inlineStr">
        <is>
          <t>First Energy</t>
        </is>
      </c>
      <c r="D32" s="3" t="inlineStr">
        <is>
          <t>Utility and C&amp;I</t>
        </is>
      </c>
      <c r="E32" s="3" t="n"/>
      <c r="F32" s="3" t="inlineStr">
        <is>
          <t>WIP</t>
        </is>
      </c>
      <c r="G32" s="3" t="inlineStr">
        <is>
          <t>Mr. Gaurav</t>
        </is>
      </c>
      <c r="H32" s="3" t="n">
        <v>9979185999</v>
      </c>
      <c r="I32" s="11" t="inlineStr">
        <is>
          <t>PE25032601</t>
        </is>
      </c>
      <c r="J32" s="9" t="inlineStr">
        <is>
          <t>Module Defects</t>
        </is>
      </c>
      <c r="K32" s="3" t="inlineStr">
        <is>
          <t>Rajkot</t>
        </is>
      </c>
      <c r="L32" s="3" t="inlineStr">
        <is>
          <t>Gujarat</t>
        </is>
      </c>
      <c r="M32" s="9" t="inlineStr">
        <is>
          <t xml:space="preserve">hotspot found </t>
        </is>
      </c>
      <c r="N32" s="19" t="inlineStr">
        <is>
          <t>Hotspot</t>
        </is>
      </c>
      <c r="O32" s="3" t="n">
        <v>550</v>
      </c>
      <c r="P32" s="9" t="inlineStr">
        <is>
          <t>NSMP2212268992</t>
        </is>
      </c>
      <c r="Q32" s="53">
        <f>MID(P32,5,2)</f>
        <v/>
      </c>
      <c r="R32" s="53">
        <f>MID(P32,7,2)</f>
        <v/>
      </c>
      <c r="S32" s="3" t="inlineStr">
        <is>
          <t>G2TB</t>
        </is>
      </c>
      <c r="T32" s="3" t="inlineStr">
        <is>
          <t>P2</t>
        </is>
      </c>
      <c r="U32" s="9" t="inlineStr">
        <is>
          <t xml:space="preserve">Single Cell Hotspot </t>
        </is>
      </c>
      <c r="V32" s="3" t="inlineStr">
        <is>
          <t>Inspection</t>
        </is>
      </c>
      <c r="W32" s="3" t="inlineStr">
        <is>
          <t>WIP</t>
        </is>
      </c>
      <c r="X32" s="15" t="n"/>
      <c r="Y32" s="3">
        <f>X32-A32</f>
        <v/>
      </c>
      <c r="Z32" s="18" t="n">
        <v>46144</v>
      </c>
      <c r="AA32" s="3" t="n"/>
      <c r="AB32" s="3" t="n"/>
    </row>
    <row r="33" hidden="1" s="233">
      <c r="A33" s="2" t="n">
        <v>46106</v>
      </c>
      <c r="B33" s="3" t="n">
        <v>2026</v>
      </c>
      <c r="C33" s="3" t="inlineStr">
        <is>
          <t>First Energy</t>
        </is>
      </c>
      <c r="D33" s="3" t="inlineStr">
        <is>
          <t>Utility and C&amp;I</t>
        </is>
      </c>
      <c r="E33" s="3" t="n"/>
      <c r="F33" s="3" t="inlineStr">
        <is>
          <t>WIP</t>
        </is>
      </c>
      <c r="G33" s="3" t="inlineStr">
        <is>
          <t>Mr. Gaurav</t>
        </is>
      </c>
      <c r="H33" s="3" t="n">
        <v>9979185999</v>
      </c>
      <c r="I33" s="11" t="inlineStr">
        <is>
          <t>PE25032601</t>
        </is>
      </c>
      <c r="J33" s="9" t="inlineStr">
        <is>
          <t>Module Defects</t>
        </is>
      </c>
      <c r="K33" s="3" t="inlineStr">
        <is>
          <t>Rajkot</t>
        </is>
      </c>
      <c r="L33" s="3" t="inlineStr">
        <is>
          <t>Gujarat</t>
        </is>
      </c>
      <c r="M33" s="9" t="inlineStr">
        <is>
          <t xml:space="preserve">hotspot found </t>
        </is>
      </c>
      <c r="N33" s="19" t="inlineStr">
        <is>
          <t>Hotspot</t>
        </is>
      </c>
      <c r="O33" s="3" t="n">
        <v>550</v>
      </c>
      <c r="P33" s="9" t="inlineStr">
        <is>
          <t>NSMP2212276699</t>
        </is>
      </c>
      <c r="Q33" s="53">
        <f>MID(P33,5,2)</f>
        <v/>
      </c>
      <c r="R33" s="53">
        <f>MID(P33,7,2)</f>
        <v/>
      </c>
      <c r="S33" s="3" t="inlineStr">
        <is>
          <t>G2TB</t>
        </is>
      </c>
      <c r="T33" s="3" t="inlineStr">
        <is>
          <t>P2</t>
        </is>
      </c>
      <c r="U33" s="9" t="inlineStr">
        <is>
          <t xml:space="preserve">Single Cell Hotspot </t>
        </is>
      </c>
      <c r="V33" s="3" t="inlineStr">
        <is>
          <t>Inspection</t>
        </is>
      </c>
      <c r="W33" s="3" t="inlineStr">
        <is>
          <t>WIP</t>
        </is>
      </c>
      <c r="X33" s="3" t="n"/>
      <c r="Y33" s="3">
        <f>X33-A33</f>
        <v/>
      </c>
      <c r="Z33" s="18" t="n">
        <v>46144</v>
      </c>
      <c r="AA33" s="3" t="n"/>
      <c r="AB33" s="3" t="n"/>
    </row>
    <row r="34" hidden="1" s="233">
      <c r="A34" s="2" t="n">
        <v>46106</v>
      </c>
      <c r="B34" s="3" t="n">
        <v>2026</v>
      </c>
      <c r="C34" s="3" t="inlineStr">
        <is>
          <t>First Energy</t>
        </is>
      </c>
      <c r="D34" s="3" t="inlineStr">
        <is>
          <t>Utility and C&amp;I</t>
        </is>
      </c>
      <c r="E34" s="3" t="n"/>
      <c r="F34" s="3" t="inlineStr">
        <is>
          <t>WIP</t>
        </is>
      </c>
      <c r="G34" s="3" t="inlineStr">
        <is>
          <t>Mr. Gaurav</t>
        </is>
      </c>
      <c r="H34" s="3" t="n">
        <v>9979185999</v>
      </c>
      <c r="I34" s="11" t="inlineStr">
        <is>
          <t>PE25032601</t>
        </is>
      </c>
      <c r="J34" s="9" t="inlineStr">
        <is>
          <t>Module Defects</t>
        </is>
      </c>
      <c r="K34" s="3" t="inlineStr">
        <is>
          <t>Rajkot</t>
        </is>
      </c>
      <c r="L34" s="3" t="inlineStr">
        <is>
          <t>Gujarat</t>
        </is>
      </c>
      <c r="M34" s="9" t="inlineStr">
        <is>
          <t xml:space="preserve">hotspot found </t>
        </is>
      </c>
      <c r="N34" s="19" t="inlineStr">
        <is>
          <t>Hotspot</t>
        </is>
      </c>
      <c r="O34" s="3" t="n">
        <v>550</v>
      </c>
      <c r="P34" s="9" t="inlineStr">
        <is>
          <t>NSMP2301333643</t>
        </is>
      </c>
      <c r="Q34" s="53">
        <f>MID(P34,5,2)</f>
        <v/>
      </c>
      <c r="R34" s="53">
        <f>MID(P34,7,2)</f>
        <v/>
      </c>
      <c r="S34" s="3" t="inlineStr">
        <is>
          <t>G2TB</t>
        </is>
      </c>
      <c r="T34" s="3" t="inlineStr">
        <is>
          <t>P2</t>
        </is>
      </c>
      <c r="U34" s="9" t="inlineStr">
        <is>
          <t xml:space="preserve">Multi Cell Hotspot </t>
        </is>
      </c>
      <c r="V34" s="3" t="inlineStr">
        <is>
          <t>Inspection</t>
        </is>
      </c>
      <c r="W34" s="3" t="inlineStr">
        <is>
          <t>WIP</t>
        </is>
      </c>
      <c r="X34" s="15" t="n"/>
      <c r="Y34" s="3">
        <f>X34-A34</f>
        <v/>
      </c>
      <c r="Z34" s="18" t="n">
        <v>46144</v>
      </c>
      <c r="AA34" s="3" t="n"/>
      <c r="AB34" s="3" t="n"/>
    </row>
    <row r="35" hidden="1" s="233">
      <c r="A35" s="2" t="n">
        <v>46106</v>
      </c>
      <c r="B35" s="3" t="n">
        <v>2026</v>
      </c>
      <c r="C35" s="3" t="inlineStr">
        <is>
          <t>First Energy</t>
        </is>
      </c>
      <c r="D35" s="3" t="inlineStr">
        <is>
          <t>Utility and C&amp;I</t>
        </is>
      </c>
      <c r="E35" s="3" t="n"/>
      <c r="F35" s="3" t="inlineStr">
        <is>
          <t>WIP</t>
        </is>
      </c>
      <c r="G35" s="3" t="inlineStr">
        <is>
          <t>Mr. Gaurav</t>
        </is>
      </c>
      <c r="H35" s="3" t="n">
        <v>9979185999</v>
      </c>
      <c r="I35" s="11" t="inlineStr">
        <is>
          <t>PE25032601</t>
        </is>
      </c>
      <c r="J35" s="9" t="inlineStr">
        <is>
          <t>Module Defects</t>
        </is>
      </c>
      <c r="K35" s="3" t="inlineStr">
        <is>
          <t>Rajkot</t>
        </is>
      </c>
      <c r="L35" s="3" t="inlineStr">
        <is>
          <t>Gujarat</t>
        </is>
      </c>
      <c r="M35" s="9" t="inlineStr">
        <is>
          <t xml:space="preserve">hotspot found </t>
        </is>
      </c>
      <c r="N35" s="19" t="inlineStr">
        <is>
          <t>Hotspot</t>
        </is>
      </c>
      <c r="O35" s="3" t="n">
        <v>550</v>
      </c>
      <c r="P35" s="9" t="inlineStr">
        <is>
          <t>NSMP2212284630</t>
        </is>
      </c>
      <c r="Q35" s="53">
        <f>MID(P35,5,2)</f>
        <v/>
      </c>
      <c r="R35" s="53">
        <f>MID(P35,7,2)</f>
        <v/>
      </c>
      <c r="S35" s="3" t="inlineStr">
        <is>
          <t>G2TB</t>
        </is>
      </c>
      <c r="T35" s="3" t="inlineStr">
        <is>
          <t>P2</t>
        </is>
      </c>
      <c r="U35" s="9" t="inlineStr">
        <is>
          <t xml:space="preserve">Multi Cell Hotspot </t>
        </is>
      </c>
      <c r="V35" s="3" t="inlineStr">
        <is>
          <t>Inspection</t>
        </is>
      </c>
      <c r="W35" s="3" t="inlineStr">
        <is>
          <t>WIP</t>
        </is>
      </c>
      <c r="X35" s="3" t="n"/>
      <c r="Y35" s="3">
        <f>X35-A35</f>
        <v/>
      </c>
      <c r="Z35" s="18" t="n">
        <v>46144</v>
      </c>
      <c r="AA35" s="3" t="n"/>
      <c r="AB35" s="3" t="n"/>
    </row>
    <row r="36" hidden="1" s="233">
      <c r="A36" s="2" t="n">
        <v>46106</v>
      </c>
      <c r="B36" s="3" t="n">
        <v>2026</v>
      </c>
      <c r="C36" s="3" t="inlineStr">
        <is>
          <t>First Energy</t>
        </is>
      </c>
      <c r="D36" s="3" t="inlineStr">
        <is>
          <t>Utility and C&amp;I</t>
        </is>
      </c>
      <c r="E36" s="3" t="n"/>
      <c r="F36" s="3" t="inlineStr">
        <is>
          <t>WIP</t>
        </is>
      </c>
      <c r="G36" s="3" t="inlineStr">
        <is>
          <t>Mr. Gaurav</t>
        </is>
      </c>
      <c r="H36" s="3" t="n">
        <v>9979185999</v>
      </c>
      <c r="I36" s="11" t="inlineStr">
        <is>
          <t>PE25032601</t>
        </is>
      </c>
      <c r="J36" s="9" t="inlineStr">
        <is>
          <t>Module Defects</t>
        </is>
      </c>
      <c r="K36" s="3" t="inlineStr">
        <is>
          <t>Rajkot</t>
        </is>
      </c>
      <c r="L36" s="3" t="inlineStr">
        <is>
          <t>Gujarat</t>
        </is>
      </c>
      <c r="M36" s="9" t="inlineStr">
        <is>
          <t xml:space="preserve">Broken Module </t>
        </is>
      </c>
      <c r="N36" s="19" t="inlineStr">
        <is>
          <t>Hotspot</t>
        </is>
      </c>
      <c r="O36" s="3" t="n">
        <v>550</v>
      </c>
      <c r="P36" s="9" t="inlineStr">
        <is>
          <t>NSMP2212278079</t>
        </is>
      </c>
      <c r="Q36" s="53">
        <f>MID(P36,5,2)</f>
        <v/>
      </c>
      <c r="R36" s="53">
        <f>MID(P36,7,2)</f>
        <v/>
      </c>
      <c r="S36" s="3" t="inlineStr">
        <is>
          <t>G2TB</t>
        </is>
      </c>
      <c r="T36" s="3" t="inlineStr">
        <is>
          <t>P2</t>
        </is>
      </c>
      <c r="U36" s="9" t="inlineStr">
        <is>
          <t xml:space="preserve">Multi Cell Hotspot </t>
        </is>
      </c>
      <c r="V36" s="3" t="inlineStr">
        <is>
          <t>Inspection</t>
        </is>
      </c>
      <c r="W36" s="3" t="inlineStr">
        <is>
          <t>WIP</t>
        </is>
      </c>
      <c r="X36" s="15" t="n"/>
      <c r="Y36" s="3">
        <f>X36-A36</f>
        <v/>
      </c>
      <c r="Z36" s="18" t="n">
        <v>46144</v>
      </c>
      <c r="AA36" s="3" t="n"/>
      <c r="AB36" s="3" t="n"/>
    </row>
    <row r="37" hidden="1" s="233">
      <c r="A37" s="2" t="n">
        <v>46106</v>
      </c>
      <c r="B37" s="3" t="n">
        <v>2026</v>
      </c>
      <c r="C37" s="3" t="inlineStr">
        <is>
          <t>First Energy</t>
        </is>
      </c>
      <c r="D37" s="3" t="inlineStr">
        <is>
          <t>Utility and C&amp;I</t>
        </is>
      </c>
      <c r="E37" s="3" t="n"/>
      <c r="F37" s="3" t="inlineStr">
        <is>
          <t>WIP</t>
        </is>
      </c>
      <c r="G37" s="3" t="inlineStr">
        <is>
          <t>Mr. Gaurav</t>
        </is>
      </c>
      <c r="H37" s="3" t="n">
        <v>9979185999</v>
      </c>
      <c r="I37" s="11" t="inlineStr">
        <is>
          <t>PE25032601</t>
        </is>
      </c>
      <c r="J37" s="9" t="inlineStr">
        <is>
          <t>Module Defects</t>
        </is>
      </c>
      <c r="K37" s="3" t="inlineStr">
        <is>
          <t>Rajkot</t>
        </is>
      </c>
      <c r="L37" s="3" t="inlineStr">
        <is>
          <t>Gujarat</t>
        </is>
      </c>
      <c r="M37" s="9" t="inlineStr">
        <is>
          <t xml:space="preserve">hotspot found </t>
        </is>
      </c>
      <c r="N37" s="19" t="inlineStr">
        <is>
          <t>Hotspot</t>
        </is>
      </c>
      <c r="O37" s="3" t="n">
        <v>550</v>
      </c>
      <c r="P37" s="9" t="inlineStr">
        <is>
          <t>NSMP2301348215</t>
        </is>
      </c>
      <c r="Q37" s="53">
        <f>MID(P37,5,2)</f>
        <v/>
      </c>
      <c r="R37" s="53">
        <f>MID(P37,7,2)</f>
        <v/>
      </c>
      <c r="S37" s="3" t="inlineStr">
        <is>
          <t>G2TB</t>
        </is>
      </c>
      <c r="T37" s="3" t="inlineStr">
        <is>
          <t>P2</t>
        </is>
      </c>
      <c r="U37" s="9" t="inlineStr">
        <is>
          <t xml:space="preserve">Single Cell Hotspot </t>
        </is>
      </c>
      <c r="V37" s="3" t="inlineStr">
        <is>
          <t>Inspection</t>
        </is>
      </c>
      <c r="W37" s="3" t="inlineStr">
        <is>
          <t>WIP</t>
        </is>
      </c>
      <c r="X37" s="3" t="n"/>
      <c r="Y37" s="3">
        <f>X37-A37</f>
        <v/>
      </c>
      <c r="Z37" s="18" t="n">
        <v>46144</v>
      </c>
      <c r="AA37" s="3" t="n"/>
      <c r="AB37" s="3" t="n"/>
    </row>
    <row r="38" hidden="1" s="233">
      <c r="A38" s="2" t="n">
        <v>46106</v>
      </c>
      <c r="B38" s="3" t="n">
        <v>2026</v>
      </c>
      <c r="C38" s="3" t="inlineStr">
        <is>
          <t>First Energy</t>
        </is>
      </c>
      <c r="D38" s="3" t="inlineStr">
        <is>
          <t>Utility and C&amp;I</t>
        </is>
      </c>
      <c r="E38" s="3" t="n"/>
      <c r="F38" s="3" t="inlineStr">
        <is>
          <t>WIP</t>
        </is>
      </c>
      <c r="G38" s="3" t="inlineStr">
        <is>
          <t>Mr. Gaurav</t>
        </is>
      </c>
      <c r="H38" s="3" t="n">
        <v>9979185999</v>
      </c>
      <c r="I38" s="11" t="inlineStr">
        <is>
          <t>PE25032601</t>
        </is>
      </c>
      <c r="J38" s="9" t="inlineStr">
        <is>
          <t>Module Defects</t>
        </is>
      </c>
      <c r="K38" s="3" t="inlineStr">
        <is>
          <t>Rajkot</t>
        </is>
      </c>
      <c r="L38" s="3" t="inlineStr">
        <is>
          <t>Gujarat</t>
        </is>
      </c>
      <c r="M38" s="9" t="inlineStr">
        <is>
          <t xml:space="preserve">hotspot found </t>
        </is>
      </c>
      <c r="N38" s="19" t="inlineStr">
        <is>
          <t>Hotspot</t>
        </is>
      </c>
      <c r="O38" s="3" t="n">
        <v>550</v>
      </c>
      <c r="P38" s="9" t="inlineStr">
        <is>
          <t>NSMP2212273080</t>
        </is>
      </c>
      <c r="Q38" s="53">
        <f>MID(P38,5,2)</f>
        <v/>
      </c>
      <c r="R38" s="53">
        <f>MID(P38,7,2)</f>
        <v/>
      </c>
      <c r="S38" s="3" t="inlineStr">
        <is>
          <t>G2TB</t>
        </is>
      </c>
      <c r="T38" s="3" t="inlineStr">
        <is>
          <t>P2</t>
        </is>
      </c>
      <c r="U38" s="9" t="inlineStr">
        <is>
          <t xml:space="preserve">Single Cell Hotspot </t>
        </is>
      </c>
      <c r="V38" s="3" t="inlineStr">
        <is>
          <t>Inspection</t>
        </is>
      </c>
      <c r="W38" s="3" t="inlineStr">
        <is>
          <t>WIP</t>
        </is>
      </c>
      <c r="X38" s="15" t="n"/>
      <c r="Y38" s="3">
        <f>X38-A38</f>
        <v/>
      </c>
      <c r="Z38" s="18" t="n">
        <v>46144</v>
      </c>
      <c r="AA38" s="3" t="n"/>
      <c r="AB38" s="3" t="n"/>
    </row>
    <row r="39" hidden="1" s="233">
      <c r="A39" s="2" t="n">
        <v>46106</v>
      </c>
      <c r="B39" s="3" t="n">
        <v>2026</v>
      </c>
      <c r="C39" s="3" t="inlineStr">
        <is>
          <t>First Energy</t>
        </is>
      </c>
      <c r="D39" s="3" t="inlineStr">
        <is>
          <t>Utility and C&amp;I</t>
        </is>
      </c>
      <c r="E39" s="3" t="n"/>
      <c r="F39" s="3" t="inlineStr">
        <is>
          <t>WIP</t>
        </is>
      </c>
      <c r="G39" s="3" t="inlineStr">
        <is>
          <t>Mr. Gaurav</t>
        </is>
      </c>
      <c r="H39" s="3" t="n">
        <v>9979185999</v>
      </c>
      <c r="I39" s="11" t="inlineStr">
        <is>
          <t>PE25032601</t>
        </is>
      </c>
      <c r="J39" s="9" t="inlineStr">
        <is>
          <t>Module Defects</t>
        </is>
      </c>
      <c r="K39" s="3" t="inlineStr">
        <is>
          <t>Rajkot</t>
        </is>
      </c>
      <c r="L39" s="3" t="inlineStr">
        <is>
          <t>Gujarat</t>
        </is>
      </c>
      <c r="M39" s="9" t="inlineStr">
        <is>
          <t xml:space="preserve">hotspot found </t>
        </is>
      </c>
      <c r="N39" s="19" t="inlineStr">
        <is>
          <t>Hotspot</t>
        </is>
      </c>
      <c r="O39" s="3" t="n">
        <v>550</v>
      </c>
      <c r="P39" s="9" t="inlineStr">
        <is>
          <t>NSMP2301313309</t>
        </is>
      </c>
      <c r="Q39" s="53">
        <f>MID(P39,5,2)</f>
        <v/>
      </c>
      <c r="R39" s="53">
        <f>MID(P39,7,2)</f>
        <v/>
      </c>
      <c r="S39" s="3" t="inlineStr">
        <is>
          <t>G2TB</t>
        </is>
      </c>
      <c r="T39" s="3" t="inlineStr">
        <is>
          <t>P2</t>
        </is>
      </c>
      <c r="U39" s="9" t="inlineStr">
        <is>
          <t xml:space="preserve">Multi Cell Hotspot </t>
        </is>
      </c>
      <c r="V39" s="3" t="inlineStr">
        <is>
          <t>Inspection</t>
        </is>
      </c>
      <c r="W39" s="3" t="inlineStr">
        <is>
          <t>WIP</t>
        </is>
      </c>
      <c r="X39" s="3" t="n"/>
      <c r="Y39" s="3">
        <f>X39-A39</f>
        <v/>
      </c>
      <c r="Z39" s="18" t="n">
        <v>46144</v>
      </c>
      <c r="AA39" s="3" t="n"/>
      <c r="AB39" s="3" t="n"/>
    </row>
    <row r="40" hidden="1" s="233">
      <c r="A40" s="2" t="n">
        <v>46106</v>
      </c>
      <c r="B40" s="3" t="n">
        <v>2026</v>
      </c>
      <c r="C40" s="3" t="inlineStr">
        <is>
          <t>First Energy</t>
        </is>
      </c>
      <c r="D40" s="3" t="inlineStr">
        <is>
          <t>Utility and C&amp;I</t>
        </is>
      </c>
      <c r="E40" s="3" t="n"/>
      <c r="F40" s="3" t="inlineStr">
        <is>
          <t>WIP</t>
        </is>
      </c>
      <c r="G40" s="3" t="inlineStr">
        <is>
          <t>Mr. Gaurav</t>
        </is>
      </c>
      <c r="H40" s="3" t="n">
        <v>9979185999</v>
      </c>
      <c r="I40" s="11" t="inlineStr">
        <is>
          <t>PE25032601</t>
        </is>
      </c>
      <c r="J40" s="9" t="inlineStr">
        <is>
          <t>Module Defects</t>
        </is>
      </c>
      <c r="K40" s="3" t="inlineStr">
        <is>
          <t>Rajkot</t>
        </is>
      </c>
      <c r="L40" s="3" t="inlineStr">
        <is>
          <t>Gujarat</t>
        </is>
      </c>
      <c r="M40" s="9" t="inlineStr">
        <is>
          <t xml:space="preserve">hotspot found </t>
        </is>
      </c>
      <c r="N40" s="19" t="inlineStr">
        <is>
          <t>Hotspot</t>
        </is>
      </c>
      <c r="O40" s="3" t="n">
        <v>550</v>
      </c>
      <c r="P40" s="9" t="inlineStr">
        <is>
          <t>NSMP2212281907</t>
        </is>
      </c>
      <c r="Q40" s="53">
        <f>MID(P40,5,2)</f>
        <v/>
      </c>
      <c r="R40" s="53">
        <f>MID(P40,7,2)</f>
        <v/>
      </c>
      <c r="S40" s="3" t="inlineStr">
        <is>
          <t>G2TB</t>
        </is>
      </c>
      <c r="T40" s="3" t="inlineStr">
        <is>
          <t>P2</t>
        </is>
      </c>
      <c r="U40" s="9" t="inlineStr">
        <is>
          <t xml:space="preserve">Multi Cell Hotspot </t>
        </is>
      </c>
      <c r="V40" s="3" t="inlineStr">
        <is>
          <t>Inspection</t>
        </is>
      </c>
      <c r="W40" s="3" t="inlineStr">
        <is>
          <t>WIP</t>
        </is>
      </c>
      <c r="X40" s="15" t="n"/>
      <c r="Y40" s="3">
        <f>X40-A40</f>
        <v/>
      </c>
      <c r="Z40" s="18" t="n">
        <v>46144</v>
      </c>
      <c r="AA40" s="3" t="n"/>
      <c r="AB40" s="3" t="n"/>
    </row>
    <row r="41" hidden="1" s="233">
      <c r="A41" s="2" t="n">
        <v>46106</v>
      </c>
      <c r="B41" s="3" t="n">
        <v>2026</v>
      </c>
      <c r="C41" s="3" t="inlineStr">
        <is>
          <t>First Energy</t>
        </is>
      </c>
      <c r="D41" s="3" t="inlineStr">
        <is>
          <t>Utility and C&amp;I</t>
        </is>
      </c>
      <c r="E41" s="3" t="n"/>
      <c r="F41" s="3" t="inlineStr">
        <is>
          <t>WIP</t>
        </is>
      </c>
      <c r="G41" s="3" t="inlineStr">
        <is>
          <t>Mr. Gaurav</t>
        </is>
      </c>
      <c r="H41" s="3" t="n">
        <v>9979185999</v>
      </c>
      <c r="I41" s="11" t="inlineStr">
        <is>
          <t>PE25032601</t>
        </is>
      </c>
      <c r="J41" s="9" t="inlineStr">
        <is>
          <t>Module Defects</t>
        </is>
      </c>
      <c r="K41" s="3" t="inlineStr">
        <is>
          <t>Rajkot</t>
        </is>
      </c>
      <c r="L41" s="3" t="inlineStr">
        <is>
          <t>Gujarat</t>
        </is>
      </c>
      <c r="M41" s="9" t="inlineStr">
        <is>
          <t xml:space="preserve">hotspot found </t>
        </is>
      </c>
      <c r="N41" s="19" t="inlineStr">
        <is>
          <t>Hotspot</t>
        </is>
      </c>
      <c r="O41" s="3" t="n">
        <v>550</v>
      </c>
      <c r="P41" s="9" t="inlineStr">
        <is>
          <t>NSMP2212280150</t>
        </is>
      </c>
      <c r="Q41" s="53">
        <f>MID(P41,5,2)</f>
        <v/>
      </c>
      <c r="R41" s="53">
        <f>MID(P41,7,2)</f>
        <v/>
      </c>
      <c r="S41" s="3" t="inlineStr">
        <is>
          <t>G2TB</t>
        </is>
      </c>
      <c r="T41" s="3" t="inlineStr">
        <is>
          <t>P2</t>
        </is>
      </c>
      <c r="U41" s="9" t="inlineStr">
        <is>
          <t xml:space="preserve">Multi Cell Hotspot </t>
        </is>
      </c>
      <c r="V41" s="3" t="inlineStr">
        <is>
          <t>Inspection</t>
        </is>
      </c>
      <c r="W41" s="3" t="inlineStr">
        <is>
          <t>WIP</t>
        </is>
      </c>
      <c r="X41" s="3" t="n"/>
      <c r="Y41" s="3">
        <f>X41-A41</f>
        <v/>
      </c>
      <c r="Z41" s="18" t="n">
        <v>46144</v>
      </c>
      <c r="AA41" s="3" t="n"/>
      <c r="AB41" s="3" t="n"/>
    </row>
    <row r="42" hidden="1" s="233">
      <c r="A42" s="2" t="n">
        <v>46106</v>
      </c>
      <c r="B42" s="3" t="n">
        <v>2026</v>
      </c>
      <c r="C42" s="3" t="inlineStr">
        <is>
          <t>First Energy</t>
        </is>
      </c>
      <c r="D42" s="3" t="inlineStr">
        <is>
          <t>Utility and C&amp;I</t>
        </is>
      </c>
      <c r="E42" s="3" t="n"/>
      <c r="F42" s="3" t="inlineStr">
        <is>
          <t>WIP</t>
        </is>
      </c>
      <c r="G42" s="3" t="inlineStr">
        <is>
          <t>Mr. Gaurav</t>
        </is>
      </c>
      <c r="H42" s="3" t="n">
        <v>9979185999</v>
      </c>
      <c r="I42" s="11" t="inlineStr">
        <is>
          <t>PE25032601</t>
        </is>
      </c>
      <c r="J42" s="9" t="inlineStr">
        <is>
          <t>Module Defects</t>
        </is>
      </c>
      <c r="K42" s="3" t="inlineStr">
        <is>
          <t>Rajkot</t>
        </is>
      </c>
      <c r="L42" s="3" t="inlineStr">
        <is>
          <t>Gujarat</t>
        </is>
      </c>
      <c r="M42" s="9" t="inlineStr">
        <is>
          <t xml:space="preserve">hotspot found </t>
        </is>
      </c>
      <c r="N42" s="19" t="inlineStr">
        <is>
          <t>Hotspot</t>
        </is>
      </c>
      <c r="O42" s="3" t="n">
        <v>550</v>
      </c>
      <c r="P42" s="9" t="inlineStr">
        <is>
          <t>NSMP2212275577</t>
        </is>
      </c>
      <c r="Q42" s="53">
        <f>MID(P42,5,2)</f>
        <v/>
      </c>
      <c r="R42" s="53">
        <f>MID(P42,7,2)</f>
        <v/>
      </c>
      <c r="S42" s="3" t="inlineStr">
        <is>
          <t>G2TB</t>
        </is>
      </c>
      <c r="T42" s="3" t="inlineStr">
        <is>
          <t>P2</t>
        </is>
      </c>
      <c r="U42" s="9" t="inlineStr">
        <is>
          <t xml:space="preserve">Multi Cell Hotspot </t>
        </is>
      </c>
      <c r="V42" s="3" t="inlineStr">
        <is>
          <t>Inspection</t>
        </is>
      </c>
      <c r="W42" s="3" t="inlineStr">
        <is>
          <t>WIP</t>
        </is>
      </c>
      <c r="X42" s="15" t="n"/>
      <c r="Y42" s="3">
        <f>X42-A42</f>
        <v/>
      </c>
      <c r="Z42" s="18" t="n">
        <v>46144</v>
      </c>
      <c r="AA42" s="3" t="n"/>
      <c r="AB42" s="3" t="n"/>
    </row>
    <row r="43" hidden="1" s="233">
      <c r="A43" s="2" t="n">
        <v>46106</v>
      </c>
      <c r="B43" s="3" t="n">
        <v>2026</v>
      </c>
      <c r="C43" s="3" t="inlineStr">
        <is>
          <t>First Energy</t>
        </is>
      </c>
      <c r="D43" s="3" t="inlineStr">
        <is>
          <t>Utility and C&amp;I</t>
        </is>
      </c>
      <c r="E43" s="3" t="n"/>
      <c r="F43" s="3" t="inlineStr">
        <is>
          <t>WIP</t>
        </is>
      </c>
      <c r="G43" s="3" t="inlineStr">
        <is>
          <t>Mr. Gaurav</t>
        </is>
      </c>
      <c r="H43" s="3" t="n">
        <v>9979185999</v>
      </c>
      <c r="I43" s="11" t="inlineStr">
        <is>
          <t>PE25032601</t>
        </is>
      </c>
      <c r="J43" s="9" t="inlineStr">
        <is>
          <t>Module Defects</t>
        </is>
      </c>
      <c r="K43" s="3" t="inlineStr">
        <is>
          <t>Rajkot</t>
        </is>
      </c>
      <c r="L43" s="3" t="inlineStr">
        <is>
          <t>Gujarat</t>
        </is>
      </c>
      <c r="M43" s="9" t="inlineStr">
        <is>
          <t xml:space="preserve">hotspot found </t>
        </is>
      </c>
      <c r="N43" s="19" t="inlineStr">
        <is>
          <t>Hotspot</t>
        </is>
      </c>
      <c r="O43" s="3" t="n">
        <v>550</v>
      </c>
      <c r="P43" s="9" t="inlineStr">
        <is>
          <t>NSMP2212297259</t>
        </is>
      </c>
      <c r="Q43" s="53">
        <f>MID(P43,5,2)</f>
        <v/>
      </c>
      <c r="R43" s="53">
        <f>MID(P43,7,2)</f>
        <v/>
      </c>
      <c r="S43" s="3" t="inlineStr">
        <is>
          <t>G2TB</t>
        </is>
      </c>
      <c r="T43" s="3" t="inlineStr">
        <is>
          <t>P2</t>
        </is>
      </c>
      <c r="U43" s="9" t="inlineStr">
        <is>
          <t xml:space="preserve">Multi Cell Hotspot </t>
        </is>
      </c>
      <c r="V43" s="3" t="inlineStr">
        <is>
          <t>Inspection</t>
        </is>
      </c>
      <c r="W43" s="3" t="inlineStr">
        <is>
          <t>WIP</t>
        </is>
      </c>
      <c r="X43" s="3" t="n"/>
      <c r="Y43" s="3">
        <f>X43-A43</f>
        <v/>
      </c>
      <c r="Z43" s="18" t="n">
        <v>46144</v>
      </c>
      <c r="AA43" s="3" t="n"/>
      <c r="AB43" s="3" t="n"/>
    </row>
    <row r="44" hidden="1" s="233">
      <c r="A44" s="2" t="n">
        <v>46106</v>
      </c>
      <c r="B44" s="3" t="n">
        <v>2026</v>
      </c>
      <c r="C44" s="3" t="inlineStr">
        <is>
          <t>First Energy</t>
        </is>
      </c>
      <c r="D44" s="3" t="inlineStr">
        <is>
          <t>Utility and C&amp;I</t>
        </is>
      </c>
      <c r="E44" s="3" t="n"/>
      <c r="F44" s="3" t="inlineStr">
        <is>
          <t>WIP</t>
        </is>
      </c>
      <c r="G44" s="3" t="inlineStr">
        <is>
          <t>Mr. Gaurav</t>
        </is>
      </c>
      <c r="H44" s="3" t="n">
        <v>9979185999</v>
      </c>
      <c r="I44" s="11" t="inlineStr">
        <is>
          <t>PE25032601</t>
        </is>
      </c>
      <c r="J44" s="9" t="inlineStr">
        <is>
          <t>Module Defects</t>
        </is>
      </c>
      <c r="K44" s="3" t="inlineStr">
        <is>
          <t>Rajkot</t>
        </is>
      </c>
      <c r="L44" s="3" t="inlineStr">
        <is>
          <t>Gujarat</t>
        </is>
      </c>
      <c r="M44" s="9" t="inlineStr">
        <is>
          <t xml:space="preserve">hotspot found </t>
        </is>
      </c>
      <c r="N44" s="19" t="inlineStr">
        <is>
          <t>Hotspot</t>
        </is>
      </c>
      <c r="O44" s="3" t="n">
        <v>550</v>
      </c>
      <c r="P44" s="9" t="inlineStr">
        <is>
          <t>NSMP2212283814</t>
        </is>
      </c>
      <c r="Q44" s="53">
        <f>MID(P44,5,2)</f>
        <v/>
      </c>
      <c r="R44" s="53">
        <f>MID(P44,7,2)</f>
        <v/>
      </c>
      <c r="S44" s="3" t="inlineStr">
        <is>
          <t>G2TB</t>
        </is>
      </c>
      <c r="T44" s="3" t="inlineStr">
        <is>
          <t>P2</t>
        </is>
      </c>
      <c r="U44" s="9" t="inlineStr">
        <is>
          <t xml:space="preserve">Single Cell Hotspot </t>
        </is>
      </c>
      <c r="V44" s="3" t="inlineStr">
        <is>
          <t>Inspection</t>
        </is>
      </c>
      <c r="W44" s="3" t="inlineStr">
        <is>
          <t>WIP</t>
        </is>
      </c>
      <c r="X44" s="15" t="n"/>
      <c r="Y44" s="3">
        <f>X44-A44</f>
        <v/>
      </c>
      <c r="Z44" s="18" t="n">
        <v>46144</v>
      </c>
      <c r="AA44" s="3" t="n"/>
      <c r="AB44" s="3" t="n"/>
    </row>
    <row r="45" hidden="1" s="233">
      <c r="A45" s="2" t="n">
        <v>46106</v>
      </c>
      <c r="B45" s="3" t="n">
        <v>2026</v>
      </c>
      <c r="C45" s="3" t="inlineStr">
        <is>
          <t>First Energy</t>
        </is>
      </c>
      <c r="D45" s="3" t="inlineStr">
        <is>
          <t>Utility and C&amp;I</t>
        </is>
      </c>
      <c r="E45" s="3" t="n"/>
      <c r="F45" s="3" t="inlineStr">
        <is>
          <t>WIP</t>
        </is>
      </c>
      <c r="G45" s="3" t="inlineStr">
        <is>
          <t>Mr. Gaurav</t>
        </is>
      </c>
      <c r="H45" s="3" t="n">
        <v>9979185999</v>
      </c>
      <c r="I45" s="11" t="inlineStr">
        <is>
          <t>PE25032601</t>
        </is>
      </c>
      <c r="J45" s="9" t="inlineStr">
        <is>
          <t>Module Defects</t>
        </is>
      </c>
      <c r="K45" s="3" t="inlineStr">
        <is>
          <t>Rajkot</t>
        </is>
      </c>
      <c r="L45" s="3" t="inlineStr">
        <is>
          <t>Gujarat</t>
        </is>
      </c>
      <c r="M45" s="9" t="inlineStr">
        <is>
          <t xml:space="preserve">hotspot found </t>
        </is>
      </c>
      <c r="N45" s="19" t="inlineStr">
        <is>
          <t>Hotspot</t>
        </is>
      </c>
      <c r="O45" s="3" t="n">
        <v>550</v>
      </c>
      <c r="P45" s="9" t="inlineStr">
        <is>
          <t>NSMP2212283822</t>
        </is>
      </c>
      <c r="Q45" s="53">
        <f>MID(P45,5,2)</f>
        <v/>
      </c>
      <c r="R45" s="53">
        <f>MID(P45,7,2)</f>
        <v/>
      </c>
      <c r="S45" s="3" t="inlineStr">
        <is>
          <t>G2TB</t>
        </is>
      </c>
      <c r="T45" s="3" t="inlineStr">
        <is>
          <t>P2</t>
        </is>
      </c>
      <c r="U45" s="9" t="inlineStr">
        <is>
          <t xml:space="preserve">Single Cell Hotspot </t>
        </is>
      </c>
      <c r="V45" s="3" t="inlineStr">
        <is>
          <t>Inspection</t>
        </is>
      </c>
      <c r="W45" s="3" t="inlineStr">
        <is>
          <t>WIP</t>
        </is>
      </c>
      <c r="X45" s="3" t="n"/>
      <c r="Y45" s="3">
        <f>X45-A45</f>
        <v/>
      </c>
      <c r="Z45" s="18" t="n">
        <v>46144</v>
      </c>
      <c r="AA45" s="3" t="n"/>
      <c r="AB45" s="3" t="n"/>
    </row>
    <row r="46" hidden="1" s="233">
      <c r="A46" s="2" t="n">
        <v>46106</v>
      </c>
      <c r="B46" s="3" t="n">
        <v>2026</v>
      </c>
      <c r="C46" s="3" t="inlineStr">
        <is>
          <t>First Energy</t>
        </is>
      </c>
      <c r="D46" s="3" t="inlineStr">
        <is>
          <t>Utility and C&amp;I</t>
        </is>
      </c>
      <c r="E46" s="3" t="n"/>
      <c r="F46" s="3" t="inlineStr">
        <is>
          <t>WIP</t>
        </is>
      </c>
      <c r="G46" s="3" t="inlineStr">
        <is>
          <t>Mr. Gaurav</t>
        </is>
      </c>
      <c r="H46" s="3" t="n">
        <v>9979185999</v>
      </c>
      <c r="I46" s="11" t="inlineStr">
        <is>
          <t>PE25032601</t>
        </is>
      </c>
      <c r="J46" s="9" t="inlineStr">
        <is>
          <t>Module Defects</t>
        </is>
      </c>
      <c r="K46" s="3" t="inlineStr">
        <is>
          <t>Rajkot</t>
        </is>
      </c>
      <c r="L46" s="3" t="inlineStr">
        <is>
          <t>Gujarat</t>
        </is>
      </c>
      <c r="M46" s="9" t="inlineStr">
        <is>
          <t xml:space="preserve">hotspot found </t>
        </is>
      </c>
      <c r="N46" s="19" t="inlineStr">
        <is>
          <t>Hotspot</t>
        </is>
      </c>
      <c r="O46" s="3" t="n">
        <v>550</v>
      </c>
      <c r="P46" s="9" t="inlineStr">
        <is>
          <t>NSMP2212268653</t>
        </is>
      </c>
      <c r="Q46" s="53">
        <f>MID(P46,5,2)</f>
        <v/>
      </c>
      <c r="R46" s="53">
        <f>MID(P46,7,2)</f>
        <v/>
      </c>
      <c r="S46" s="3" t="inlineStr">
        <is>
          <t>G2TB</t>
        </is>
      </c>
      <c r="T46" s="3" t="inlineStr">
        <is>
          <t>P2</t>
        </is>
      </c>
      <c r="U46" s="9" t="inlineStr">
        <is>
          <t xml:space="preserve">Multi Cell Hotspot </t>
        </is>
      </c>
      <c r="V46" s="3" t="inlineStr">
        <is>
          <t>Inspection</t>
        </is>
      </c>
      <c r="W46" s="3" t="inlineStr">
        <is>
          <t>WIP</t>
        </is>
      </c>
      <c r="X46" s="15" t="n"/>
      <c r="Y46" s="3">
        <f>X46-A46</f>
        <v/>
      </c>
      <c r="Z46" s="18" t="n">
        <v>46144</v>
      </c>
      <c r="AA46" s="3" t="n"/>
      <c r="AB46" s="3" t="n"/>
    </row>
    <row r="47" hidden="1" s="233">
      <c r="A47" s="2" t="n">
        <v>46106</v>
      </c>
      <c r="B47" s="3" t="n">
        <v>2026</v>
      </c>
      <c r="C47" s="3" t="inlineStr">
        <is>
          <t>First Energy</t>
        </is>
      </c>
      <c r="D47" s="3" t="inlineStr">
        <is>
          <t>Utility and C&amp;I</t>
        </is>
      </c>
      <c r="E47" s="3" t="n"/>
      <c r="F47" s="3" t="inlineStr">
        <is>
          <t>WIP</t>
        </is>
      </c>
      <c r="G47" s="3" t="inlineStr">
        <is>
          <t>Mr. Gaurav</t>
        </is>
      </c>
      <c r="H47" s="3" t="n">
        <v>9979185999</v>
      </c>
      <c r="I47" s="11" t="inlineStr">
        <is>
          <t>PE25032601</t>
        </is>
      </c>
      <c r="J47" s="9" t="inlineStr">
        <is>
          <t>Module Defects</t>
        </is>
      </c>
      <c r="K47" s="3" t="inlineStr">
        <is>
          <t>Rajkot</t>
        </is>
      </c>
      <c r="L47" s="3" t="inlineStr">
        <is>
          <t>Gujarat</t>
        </is>
      </c>
      <c r="M47" s="9" t="inlineStr">
        <is>
          <t xml:space="preserve">hotspot found </t>
        </is>
      </c>
      <c r="N47" s="19" t="inlineStr">
        <is>
          <t>Hotspot</t>
        </is>
      </c>
      <c r="O47" s="3" t="n">
        <v>550</v>
      </c>
      <c r="P47" s="9" t="inlineStr">
        <is>
          <t>NSMP2212283892</t>
        </is>
      </c>
      <c r="Q47" s="53">
        <f>MID(P47,5,2)</f>
        <v/>
      </c>
      <c r="R47" s="53">
        <f>MID(P47,7,2)</f>
        <v/>
      </c>
      <c r="S47" s="3" t="inlineStr">
        <is>
          <t>G2TB</t>
        </is>
      </c>
      <c r="T47" s="3" t="inlineStr">
        <is>
          <t>P2</t>
        </is>
      </c>
      <c r="U47" s="9" t="inlineStr">
        <is>
          <t xml:space="preserve">Single Cell Hotspot </t>
        </is>
      </c>
      <c r="V47" s="3" t="inlineStr">
        <is>
          <t>Inspection</t>
        </is>
      </c>
      <c r="W47" s="3" t="inlineStr">
        <is>
          <t>WIP</t>
        </is>
      </c>
      <c r="X47" s="3" t="n"/>
      <c r="Y47" s="3">
        <f>X47-A47</f>
        <v/>
      </c>
      <c r="Z47" s="18" t="n">
        <v>46144</v>
      </c>
      <c r="AA47" s="3" t="n"/>
      <c r="AB47" s="3" t="n"/>
    </row>
    <row r="48" hidden="1" s="233">
      <c r="A48" s="2" t="n">
        <v>46106</v>
      </c>
      <c r="B48" s="3" t="n">
        <v>2026</v>
      </c>
      <c r="C48" s="3" t="inlineStr">
        <is>
          <t>First Energy</t>
        </is>
      </c>
      <c r="D48" s="3" t="inlineStr">
        <is>
          <t>Utility and C&amp;I</t>
        </is>
      </c>
      <c r="E48" s="3" t="n"/>
      <c r="F48" s="3" t="inlineStr">
        <is>
          <t>WIP</t>
        </is>
      </c>
      <c r="G48" s="3" t="inlineStr">
        <is>
          <t>Mr. Gaurav</t>
        </is>
      </c>
      <c r="H48" s="3" t="n">
        <v>9979185999</v>
      </c>
      <c r="I48" s="11" t="inlineStr">
        <is>
          <t>PE25032601</t>
        </is>
      </c>
      <c r="J48" s="9" t="inlineStr">
        <is>
          <t>Module Defects</t>
        </is>
      </c>
      <c r="K48" s="3" t="inlineStr">
        <is>
          <t>Rajkot</t>
        </is>
      </c>
      <c r="L48" s="3" t="inlineStr">
        <is>
          <t>Gujarat</t>
        </is>
      </c>
      <c r="M48" s="9" t="inlineStr">
        <is>
          <t xml:space="preserve">hotspot found </t>
        </is>
      </c>
      <c r="N48" s="19" t="inlineStr">
        <is>
          <t>Hotspot</t>
        </is>
      </c>
      <c r="O48" s="3" t="n">
        <v>550</v>
      </c>
      <c r="P48" s="9" t="inlineStr">
        <is>
          <t>NSMP2212283852</t>
        </is>
      </c>
      <c r="Q48" s="53">
        <f>MID(P48,5,2)</f>
        <v/>
      </c>
      <c r="R48" s="53">
        <f>MID(P48,7,2)</f>
        <v/>
      </c>
      <c r="S48" s="3" t="inlineStr">
        <is>
          <t>G2TB</t>
        </is>
      </c>
      <c r="T48" s="3" t="inlineStr">
        <is>
          <t>P2</t>
        </is>
      </c>
      <c r="U48" s="9" t="inlineStr">
        <is>
          <t>Single Cell Hotspot</t>
        </is>
      </c>
      <c r="V48" s="3" t="inlineStr">
        <is>
          <t>Inspection</t>
        </is>
      </c>
      <c r="W48" s="3" t="inlineStr">
        <is>
          <t>WIP</t>
        </is>
      </c>
      <c r="X48" s="5" t="n"/>
      <c r="Y48" s="3">
        <f>X48-A48</f>
        <v/>
      </c>
      <c r="Z48" s="18" t="n">
        <v>46144</v>
      </c>
      <c r="AA48" s="15" t="n"/>
      <c r="AB48" s="15" t="n"/>
    </row>
    <row r="49" hidden="1" s="233">
      <c r="A49" s="6" t="n">
        <v>46107</v>
      </c>
      <c r="B49" s="3" t="n">
        <v>2026</v>
      </c>
      <c r="C49" s="3" t="inlineStr">
        <is>
          <t>Blupine</t>
        </is>
      </c>
      <c r="D49" s="3" t="inlineStr">
        <is>
          <t>Utility and C&amp;I</t>
        </is>
      </c>
      <c r="E49" s="3" t="n"/>
      <c r="F49" s="3" t="inlineStr">
        <is>
          <t>Closed</t>
        </is>
      </c>
      <c r="G49" s="3" t="inlineStr">
        <is>
          <t>Chandrashekar Patidar</t>
        </is>
      </c>
      <c r="H49" s="3" t="n">
        <v>7879764773</v>
      </c>
      <c r="I49" s="11" t="inlineStr">
        <is>
          <t>PE26032601</t>
        </is>
      </c>
      <c r="J49" s="3" t="inlineStr">
        <is>
          <t>Module Diode Failure</t>
        </is>
      </c>
      <c r="K49" s="3" t="inlineStr">
        <is>
          <t>Sadla</t>
        </is>
      </c>
      <c r="L49" s="3" t="inlineStr">
        <is>
          <t>Gujarat</t>
        </is>
      </c>
      <c r="M49" s="9" t="inlineStr">
        <is>
          <t>PS</t>
        </is>
      </c>
      <c r="N49" s="3" t="inlineStr">
        <is>
          <t>Cold Soldering</t>
        </is>
      </c>
      <c r="O49" s="3" t="n">
        <v>570</v>
      </c>
      <c r="P49" s="9" t="inlineStr">
        <is>
          <t>NSMI24050051443</t>
        </is>
      </c>
      <c r="Q49" s="53">
        <f>MID(P49,5,2)</f>
        <v/>
      </c>
      <c r="R49" s="53">
        <f>MID(P49,7,2)</f>
        <v/>
      </c>
      <c r="S49" s="3" t="inlineStr">
        <is>
          <t>G2G</t>
        </is>
      </c>
      <c r="T49" s="3" t="inlineStr">
        <is>
          <t>P4</t>
        </is>
      </c>
      <c r="U49" s="3" t="inlineStr">
        <is>
          <t>P JB Cold Soldering</t>
        </is>
      </c>
      <c r="V49" s="3" t="inlineStr">
        <is>
          <t>Soldering</t>
        </is>
      </c>
      <c r="W49" s="3" t="inlineStr">
        <is>
          <t>Repair</t>
        </is>
      </c>
      <c r="X49" s="18" t="n">
        <v>46144</v>
      </c>
      <c r="Y49" s="3">
        <f>X49-A49</f>
        <v/>
      </c>
      <c r="Z49" s="18" t="n">
        <v>46144</v>
      </c>
      <c r="AA49" s="3" t="n"/>
      <c r="AB49" s="3" t="n"/>
    </row>
    <row r="50" hidden="1" s="233">
      <c r="A50" s="6" t="n">
        <v>46107</v>
      </c>
      <c r="B50" s="3" t="n">
        <v>2026</v>
      </c>
      <c r="C50" s="3" t="inlineStr">
        <is>
          <t>Blupine</t>
        </is>
      </c>
      <c r="D50" s="3" t="inlineStr">
        <is>
          <t>Utility and C&amp;I</t>
        </is>
      </c>
      <c r="E50" s="3" t="n"/>
      <c r="F50" s="3" t="inlineStr">
        <is>
          <t>Closed</t>
        </is>
      </c>
      <c r="G50" s="3" t="inlineStr">
        <is>
          <t>Chandrashekar Patidar</t>
        </is>
      </c>
      <c r="H50" s="3" t="n">
        <v>7879764773</v>
      </c>
      <c r="I50" s="11" t="inlineStr">
        <is>
          <t>PE26032601</t>
        </is>
      </c>
      <c r="J50" s="3" t="inlineStr">
        <is>
          <t>Module Diode Failure</t>
        </is>
      </c>
      <c r="K50" s="3" t="inlineStr">
        <is>
          <t>Sadla</t>
        </is>
      </c>
      <c r="L50" s="3" t="inlineStr">
        <is>
          <t>Gujarat</t>
        </is>
      </c>
      <c r="M50" s="9" t="inlineStr">
        <is>
          <t>NS</t>
        </is>
      </c>
      <c r="N50" s="3" t="inlineStr">
        <is>
          <t>Cold Soldering</t>
        </is>
      </c>
      <c r="O50" s="3" t="n">
        <v>570</v>
      </c>
      <c r="P50" s="9" t="inlineStr">
        <is>
          <t>NSMI24050044810</t>
        </is>
      </c>
      <c r="Q50" s="53">
        <f>MID(P50,5,2)</f>
        <v/>
      </c>
      <c r="R50" s="53">
        <f>MID(P50,7,2)</f>
        <v/>
      </c>
      <c r="S50" s="3" t="inlineStr">
        <is>
          <t>G2G</t>
        </is>
      </c>
      <c r="T50" s="3" t="inlineStr">
        <is>
          <t>P4</t>
        </is>
      </c>
      <c r="U50" s="3" t="inlineStr">
        <is>
          <t>N JB Cold Soldering</t>
        </is>
      </c>
      <c r="V50" s="3" t="inlineStr">
        <is>
          <t>Soldering</t>
        </is>
      </c>
      <c r="W50" s="3" t="inlineStr">
        <is>
          <t>Repair</t>
        </is>
      </c>
      <c r="X50" s="18" t="n">
        <v>46144</v>
      </c>
      <c r="Y50" s="3">
        <f>X50-A50</f>
        <v/>
      </c>
      <c r="Z50" s="18" t="n">
        <v>46144</v>
      </c>
      <c r="AA50" s="3" t="n"/>
      <c r="AB50" s="3" t="n"/>
    </row>
    <row r="51" hidden="1" s="233">
      <c r="A51" s="6" t="n">
        <v>46107</v>
      </c>
      <c r="B51" s="3" t="n">
        <v>2026</v>
      </c>
      <c r="C51" s="3" t="inlineStr">
        <is>
          <t>Blupine</t>
        </is>
      </c>
      <c r="D51" s="3" t="inlineStr">
        <is>
          <t>Utility and C&amp;I</t>
        </is>
      </c>
      <c r="E51" s="3" t="n"/>
      <c r="F51" s="3" t="inlineStr">
        <is>
          <t>Closed</t>
        </is>
      </c>
      <c r="G51" s="3" t="inlineStr">
        <is>
          <t>Chandrashekar Patidar</t>
        </is>
      </c>
      <c r="H51" s="3" t="n">
        <v>7879764773</v>
      </c>
      <c r="I51" s="11" t="inlineStr">
        <is>
          <t>PE26032601</t>
        </is>
      </c>
      <c r="J51" s="3" t="inlineStr">
        <is>
          <t>Module Diode Failure</t>
        </is>
      </c>
      <c r="K51" s="3" t="inlineStr">
        <is>
          <t>Sadla</t>
        </is>
      </c>
      <c r="L51" s="3" t="inlineStr">
        <is>
          <t>Gujarat</t>
        </is>
      </c>
      <c r="M51" s="9" t="inlineStr">
        <is>
          <t>NS</t>
        </is>
      </c>
      <c r="N51" s="3" t="inlineStr">
        <is>
          <t>Cold Soldering</t>
        </is>
      </c>
      <c r="O51" s="3" t="n">
        <v>570</v>
      </c>
      <c r="P51" s="9" t="inlineStr">
        <is>
          <t>NSMI24050047018</t>
        </is>
      </c>
      <c r="Q51" s="53">
        <f>MID(P51,5,2)</f>
        <v/>
      </c>
      <c r="R51" s="53">
        <f>MID(P51,7,2)</f>
        <v/>
      </c>
      <c r="S51" s="3" t="inlineStr">
        <is>
          <t>G2G</t>
        </is>
      </c>
      <c r="T51" s="3" t="inlineStr">
        <is>
          <t>P4</t>
        </is>
      </c>
      <c r="U51" s="3" t="inlineStr">
        <is>
          <t>N JB Cold Soldering</t>
        </is>
      </c>
      <c r="V51" s="3" t="inlineStr">
        <is>
          <t>Soldering</t>
        </is>
      </c>
      <c r="W51" s="3" t="inlineStr">
        <is>
          <t>Repair</t>
        </is>
      </c>
      <c r="X51" s="18" t="n">
        <v>46144</v>
      </c>
      <c r="Y51" s="3">
        <f>X51-A51</f>
        <v/>
      </c>
      <c r="Z51" s="18" t="n">
        <v>46144</v>
      </c>
      <c r="AA51" s="3" t="n"/>
      <c r="AB51" s="3" t="n"/>
    </row>
    <row r="52" hidden="1" s="233">
      <c r="A52" s="6" t="n">
        <v>46107</v>
      </c>
      <c r="B52" s="3" t="n">
        <v>2026</v>
      </c>
      <c r="C52" s="3" t="inlineStr">
        <is>
          <t>Blupine</t>
        </is>
      </c>
      <c r="D52" s="3" t="inlineStr">
        <is>
          <t>Utility and C&amp;I</t>
        </is>
      </c>
      <c r="E52" s="3" t="n"/>
      <c r="F52" s="3" t="inlineStr">
        <is>
          <t>Closed</t>
        </is>
      </c>
      <c r="G52" s="3" t="inlineStr">
        <is>
          <t>Chandrashekar Patidar</t>
        </is>
      </c>
      <c r="H52" s="3" t="n">
        <v>7879764773</v>
      </c>
      <c r="I52" s="11" t="inlineStr">
        <is>
          <t>PE26032601</t>
        </is>
      </c>
      <c r="J52" s="3" t="inlineStr">
        <is>
          <t>Module Diode Failure</t>
        </is>
      </c>
      <c r="K52" s="3" t="inlineStr">
        <is>
          <t>Sadla</t>
        </is>
      </c>
      <c r="L52" s="3" t="inlineStr">
        <is>
          <t>Gujarat</t>
        </is>
      </c>
      <c r="M52" s="9" t="inlineStr">
        <is>
          <t>PR</t>
        </is>
      </c>
      <c r="N52" s="3" t="inlineStr">
        <is>
          <t>JB Issue</t>
        </is>
      </c>
      <c r="O52" s="3" t="n">
        <v>570</v>
      </c>
      <c r="P52" s="9" t="inlineStr">
        <is>
          <t>NSMI24060074092</t>
        </is>
      </c>
      <c r="Q52" s="53">
        <f>MID(P52,5,2)</f>
        <v/>
      </c>
      <c r="R52" s="53">
        <f>MID(P52,7,2)</f>
        <v/>
      </c>
      <c r="S52" s="3" t="inlineStr">
        <is>
          <t>G2G</t>
        </is>
      </c>
      <c r="T52" s="3" t="inlineStr">
        <is>
          <t>P4</t>
        </is>
      </c>
      <c r="U52" s="3" t="inlineStr">
        <is>
          <t>P JB Issue</t>
        </is>
      </c>
      <c r="V52" s="15" t="inlineStr">
        <is>
          <t>JB Changed</t>
        </is>
      </c>
      <c r="W52" s="3" t="inlineStr">
        <is>
          <t>Repair</t>
        </is>
      </c>
      <c r="X52" s="18" t="n">
        <v>46144</v>
      </c>
      <c r="Y52" s="3">
        <f>X52-A52</f>
        <v/>
      </c>
      <c r="Z52" s="18" t="n">
        <v>46144</v>
      </c>
      <c r="AA52" s="3" t="n"/>
      <c r="AB52" s="3" t="n"/>
    </row>
    <row r="53" hidden="1" s="233">
      <c r="A53" s="6" t="n">
        <v>46107</v>
      </c>
      <c r="B53" s="3" t="n">
        <v>2026</v>
      </c>
      <c r="C53" s="3" t="inlineStr">
        <is>
          <t>Blupine</t>
        </is>
      </c>
      <c r="D53" s="3" t="inlineStr">
        <is>
          <t>Utility and C&amp;I</t>
        </is>
      </c>
      <c r="E53" s="3" t="n"/>
      <c r="F53" s="3" t="inlineStr">
        <is>
          <t>Closed</t>
        </is>
      </c>
      <c r="G53" s="3" t="inlineStr">
        <is>
          <t>Chandrashekar Patidar</t>
        </is>
      </c>
      <c r="H53" s="3" t="n">
        <v>7879764773</v>
      </c>
      <c r="I53" s="11" t="inlineStr">
        <is>
          <t>PE26032601</t>
        </is>
      </c>
      <c r="J53" s="3" t="inlineStr">
        <is>
          <t>Module Diode Failure</t>
        </is>
      </c>
      <c r="K53" s="3" t="inlineStr">
        <is>
          <t>Sadla</t>
        </is>
      </c>
      <c r="L53" s="3" t="inlineStr">
        <is>
          <t>Gujarat</t>
        </is>
      </c>
      <c r="M53" s="9" t="inlineStr">
        <is>
          <t>NR</t>
        </is>
      </c>
      <c r="N53" s="3" t="inlineStr">
        <is>
          <t>JB Issue</t>
        </is>
      </c>
      <c r="O53" s="3" t="n">
        <v>570</v>
      </c>
      <c r="P53" s="9" t="inlineStr">
        <is>
          <t>NSMI24050045987</t>
        </is>
      </c>
      <c r="Q53" s="53">
        <f>MID(P53,5,2)</f>
        <v/>
      </c>
      <c r="R53" s="53">
        <f>MID(P53,7,2)</f>
        <v/>
      </c>
      <c r="S53" s="3" t="inlineStr">
        <is>
          <t>G2G</t>
        </is>
      </c>
      <c r="T53" s="3" t="inlineStr">
        <is>
          <t>P4</t>
        </is>
      </c>
      <c r="U53" s="3" t="inlineStr">
        <is>
          <t>N JB Issue</t>
        </is>
      </c>
      <c r="V53" s="3" t="inlineStr">
        <is>
          <t>JB Changed</t>
        </is>
      </c>
      <c r="W53" s="3" t="inlineStr">
        <is>
          <t>Repair</t>
        </is>
      </c>
      <c r="X53" s="18" t="n">
        <v>46144</v>
      </c>
      <c r="Y53" s="3">
        <f>X53-A53</f>
        <v/>
      </c>
      <c r="Z53" s="18" t="n">
        <v>46144</v>
      </c>
      <c r="AA53" s="3" t="n"/>
      <c r="AB53" s="3" t="n"/>
    </row>
    <row r="54" hidden="1" s="233">
      <c r="A54" s="6" t="n">
        <v>46107</v>
      </c>
      <c r="B54" s="3" t="n">
        <v>2026</v>
      </c>
      <c r="C54" s="3" t="inlineStr">
        <is>
          <t>Blupine</t>
        </is>
      </c>
      <c r="D54" s="3" t="inlineStr">
        <is>
          <t>Utility and C&amp;I</t>
        </is>
      </c>
      <c r="E54" s="3" t="n"/>
      <c r="F54" s="3" t="inlineStr">
        <is>
          <t>Closed</t>
        </is>
      </c>
      <c r="G54" s="3" t="inlineStr">
        <is>
          <t>Chandrashekar Patidar</t>
        </is>
      </c>
      <c r="H54" s="3" t="n">
        <v>7879764773</v>
      </c>
      <c r="I54" s="11" t="inlineStr">
        <is>
          <t>PE26032601</t>
        </is>
      </c>
      <c r="J54" s="3" t="inlineStr">
        <is>
          <t>Module Diode Failure</t>
        </is>
      </c>
      <c r="K54" s="3" t="inlineStr">
        <is>
          <t>Sadla</t>
        </is>
      </c>
      <c r="L54" s="3" t="inlineStr">
        <is>
          <t>Gujarat</t>
        </is>
      </c>
      <c r="M54" s="9" t="inlineStr">
        <is>
          <t>PS</t>
        </is>
      </c>
      <c r="N54" s="3" t="inlineStr">
        <is>
          <t>Cold Soldering</t>
        </is>
      </c>
      <c r="O54" s="3" t="n">
        <v>570</v>
      </c>
      <c r="P54" s="9" t="inlineStr">
        <is>
          <t>NSMI24050049041</t>
        </is>
      </c>
      <c r="Q54" s="53">
        <f>MID(P54,5,2)</f>
        <v/>
      </c>
      <c r="R54" s="53">
        <f>MID(P54,7,2)</f>
        <v/>
      </c>
      <c r="S54" s="3" t="inlineStr">
        <is>
          <t>G2G</t>
        </is>
      </c>
      <c r="T54" s="3" t="inlineStr">
        <is>
          <t>P4</t>
        </is>
      </c>
      <c r="U54" s="3" t="inlineStr">
        <is>
          <t>P JB Cold Soldering</t>
        </is>
      </c>
      <c r="V54" s="3" t="inlineStr">
        <is>
          <t>Soldering</t>
        </is>
      </c>
      <c r="W54" s="3" t="inlineStr">
        <is>
          <t>Repair</t>
        </is>
      </c>
      <c r="X54" s="18" t="n">
        <v>46144</v>
      </c>
      <c r="Y54" s="3">
        <f>X54-A54</f>
        <v/>
      </c>
      <c r="Z54" s="18" t="n">
        <v>46144</v>
      </c>
      <c r="AA54" s="3" t="n"/>
      <c r="AB54" s="3" t="n"/>
    </row>
    <row r="55" hidden="1" s="233">
      <c r="A55" s="6" t="n">
        <v>46107</v>
      </c>
      <c r="B55" s="3" t="n">
        <v>2026</v>
      </c>
      <c r="C55" s="3" t="inlineStr">
        <is>
          <t>Blupine</t>
        </is>
      </c>
      <c r="D55" s="3" t="inlineStr">
        <is>
          <t>Utility and C&amp;I</t>
        </is>
      </c>
      <c r="E55" s="3" t="n"/>
      <c r="F55" s="3" t="inlineStr">
        <is>
          <t>Closed</t>
        </is>
      </c>
      <c r="G55" s="3" t="inlineStr">
        <is>
          <t>Chandrashekar Patidar</t>
        </is>
      </c>
      <c r="H55" s="3" t="n">
        <v>7879764773</v>
      </c>
      <c r="I55" s="11" t="inlineStr">
        <is>
          <t>PE26032601</t>
        </is>
      </c>
      <c r="J55" s="3" t="inlineStr">
        <is>
          <t>Module Diode Failure</t>
        </is>
      </c>
      <c r="K55" s="3" t="inlineStr">
        <is>
          <t>Sadla</t>
        </is>
      </c>
      <c r="L55" s="3" t="inlineStr">
        <is>
          <t>Gujarat</t>
        </is>
      </c>
      <c r="M55" s="9" t="inlineStr">
        <is>
          <t>NS</t>
        </is>
      </c>
      <c r="N55" s="3" t="inlineStr">
        <is>
          <t>Cold Soldering</t>
        </is>
      </c>
      <c r="O55" s="3" t="n">
        <v>570</v>
      </c>
      <c r="P55" s="9" t="inlineStr">
        <is>
          <t>NSMI24050045772</t>
        </is>
      </c>
      <c r="Q55" s="53">
        <f>MID(P55,5,2)</f>
        <v/>
      </c>
      <c r="R55" s="53">
        <f>MID(P55,7,2)</f>
        <v/>
      </c>
      <c r="S55" s="3" t="inlineStr">
        <is>
          <t>G2G</t>
        </is>
      </c>
      <c r="T55" s="3" t="inlineStr">
        <is>
          <t>P4</t>
        </is>
      </c>
      <c r="U55" s="3" t="inlineStr">
        <is>
          <t>N JB Cold Soldering</t>
        </is>
      </c>
      <c r="V55" s="3" t="inlineStr">
        <is>
          <t>Soldering</t>
        </is>
      </c>
      <c r="W55" s="3" t="inlineStr">
        <is>
          <t>Repair</t>
        </is>
      </c>
      <c r="X55" s="18" t="n">
        <v>46144</v>
      </c>
      <c r="Y55" s="3">
        <f>X55-A55</f>
        <v/>
      </c>
      <c r="Z55" s="18" t="n">
        <v>46144</v>
      </c>
      <c r="AA55" s="3" t="n"/>
      <c r="AB55" s="3" t="n"/>
    </row>
    <row r="56" hidden="1" s="233">
      <c r="A56" s="6" t="n">
        <v>46107</v>
      </c>
      <c r="B56" s="3" t="n">
        <v>2026</v>
      </c>
      <c r="C56" s="3" t="inlineStr">
        <is>
          <t>Blupine</t>
        </is>
      </c>
      <c r="D56" s="3" t="inlineStr">
        <is>
          <t>Utility and C&amp;I</t>
        </is>
      </c>
      <c r="E56" s="3" t="n"/>
      <c r="F56" s="3" t="inlineStr">
        <is>
          <t>Closed</t>
        </is>
      </c>
      <c r="G56" s="3" t="inlineStr">
        <is>
          <t>Chandrashekar Patidar</t>
        </is>
      </c>
      <c r="H56" s="3" t="n">
        <v>7879764773</v>
      </c>
      <c r="I56" s="11" t="inlineStr">
        <is>
          <t>PE26032601</t>
        </is>
      </c>
      <c r="J56" s="3" t="inlineStr">
        <is>
          <t>Module Diode Failure</t>
        </is>
      </c>
      <c r="K56" s="3" t="inlineStr">
        <is>
          <t>Sadla</t>
        </is>
      </c>
      <c r="L56" s="3" t="inlineStr">
        <is>
          <t>Gujarat</t>
        </is>
      </c>
      <c r="M56" s="9" t="inlineStr">
        <is>
          <t>NS</t>
        </is>
      </c>
      <c r="N56" s="3" t="inlineStr">
        <is>
          <t>Cold Soldering</t>
        </is>
      </c>
      <c r="O56" s="3" t="n">
        <v>570</v>
      </c>
      <c r="P56" s="9" t="inlineStr">
        <is>
          <t>NSMI24050045804</t>
        </is>
      </c>
      <c r="Q56" s="53">
        <f>MID(P56,5,2)</f>
        <v/>
      </c>
      <c r="R56" s="53">
        <f>MID(P56,7,2)</f>
        <v/>
      </c>
      <c r="S56" s="3" t="inlineStr">
        <is>
          <t>G2G</t>
        </is>
      </c>
      <c r="T56" s="3" t="inlineStr">
        <is>
          <t>P4</t>
        </is>
      </c>
      <c r="U56" s="3" t="inlineStr">
        <is>
          <t>N JB Cold Soldering</t>
        </is>
      </c>
      <c r="V56" s="3" t="inlineStr">
        <is>
          <t>Soldering</t>
        </is>
      </c>
      <c r="W56" s="3" t="inlineStr">
        <is>
          <t>Repair</t>
        </is>
      </c>
      <c r="X56" s="18" t="n">
        <v>46144</v>
      </c>
      <c r="Y56" s="3">
        <f>X56-A56</f>
        <v/>
      </c>
      <c r="Z56" s="18" t="n">
        <v>46144</v>
      </c>
      <c r="AA56" s="3" t="n"/>
      <c r="AB56" s="3" t="n"/>
    </row>
    <row r="57" hidden="1" s="233">
      <c r="A57" s="6" t="n">
        <v>46107</v>
      </c>
      <c r="B57" s="3" t="n">
        <v>2026</v>
      </c>
      <c r="C57" s="3" t="inlineStr">
        <is>
          <t>Blupine</t>
        </is>
      </c>
      <c r="D57" s="3" t="inlineStr">
        <is>
          <t>Utility and C&amp;I</t>
        </is>
      </c>
      <c r="E57" s="3" t="n"/>
      <c r="F57" s="3" t="inlineStr">
        <is>
          <t>Closed</t>
        </is>
      </c>
      <c r="G57" s="3" t="inlineStr">
        <is>
          <t>Chandrashekar Patidar</t>
        </is>
      </c>
      <c r="H57" s="3" t="n">
        <v>7879764773</v>
      </c>
      <c r="I57" s="11" t="inlineStr">
        <is>
          <t>PE26032601</t>
        </is>
      </c>
      <c r="J57" s="3" t="inlineStr">
        <is>
          <t>Module Diode Failure</t>
        </is>
      </c>
      <c r="K57" s="3" t="inlineStr">
        <is>
          <t>Sadla</t>
        </is>
      </c>
      <c r="L57" s="3" t="inlineStr">
        <is>
          <t>Gujarat</t>
        </is>
      </c>
      <c r="M57" s="9" t="inlineStr">
        <is>
          <t>NS</t>
        </is>
      </c>
      <c r="N57" s="3" t="inlineStr">
        <is>
          <t>Cold Soldering</t>
        </is>
      </c>
      <c r="O57" s="3" t="n">
        <v>570</v>
      </c>
      <c r="P57" s="9" t="inlineStr">
        <is>
          <t>NSMI24050045790</t>
        </is>
      </c>
      <c r="Q57" s="53">
        <f>MID(P57,5,2)</f>
        <v/>
      </c>
      <c r="R57" s="53">
        <f>MID(P57,7,2)</f>
        <v/>
      </c>
      <c r="S57" s="3" t="inlineStr">
        <is>
          <t>G2G</t>
        </is>
      </c>
      <c r="T57" s="3" t="inlineStr">
        <is>
          <t>P4</t>
        </is>
      </c>
      <c r="U57" s="3" t="inlineStr">
        <is>
          <t>N JB Cold Soldering</t>
        </is>
      </c>
      <c r="V57" s="3" t="inlineStr">
        <is>
          <t>Soldering</t>
        </is>
      </c>
      <c r="W57" s="3" t="inlineStr">
        <is>
          <t>Repair</t>
        </is>
      </c>
      <c r="X57" s="18" t="n">
        <v>46144</v>
      </c>
      <c r="Y57" s="3">
        <f>X57-A57</f>
        <v/>
      </c>
      <c r="Z57" s="18" t="n">
        <v>46144</v>
      </c>
      <c r="AA57" s="3" t="n"/>
      <c r="AB57" s="3" t="n"/>
    </row>
    <row r="58" hidden="1" s="233">
      <c r="A58" s="6" t="n">
        <v>46107</v>
      </c>
      <c r="B58" s="3" t="n">
        <v>2026</v>
      </c>
      <c r="C58" s="3" t="inlineStr">
        <is>
          <t>Blupine</t>
        </is>
      </c>
      <c r="D58" s="3" t="inlineStr">
        <is>
          <t>Utility and C&amp;I</t>
        </is>
      </c>
      <c r="E58" s="3" t="n"/>
      <c r="F58" s="3" t="inlineStr">
        <is>
          <t>Closed</t>
        </is>
      </c>
      <c r="G58" s="3" t="inlineStr">
        <is>
          <t>Chandrashekar Patidar</t>
        </is>
      </c>
      <c r="H58" s="3" t="n">
        <v>7879764773</v>
      </c>
      <c r="I58" s="11" t="inlineStr">
        <is>
          <t>PE26032601</t>
        </is>
      </c>
      <c r="J58" s="3" t="inlineStr">
        <is>
          <t>Module Diode Failure</t>
        </is>
      </c>
      <c r="K58" s="3" t="inlineStr">
        <is>
          <t>Sadla</t>
        </is>
      </c>
      <c r="L58" s="3" t="inlineStr">
        <is>
          <t>Gujarat</t>
        </is>
      </c>
      <c r="M58" s="9" t="inlineStr">
        <is>
          <t>PNS</t>
        </is>
      </c>
      <c r="N58" s="3" t="inlineStr">
        <is>
          <t>Cold Soldering</t>
        </is>
      </c>
      <c r="O58" s="3" t="n">
        <v>570</v>
      </c>
      <c r="P58" s="9" t="inlineStr">
        <is>
          <t>NSMI24080334590</t>
        </is>
      </c>
      <c r="Q58" s="53">
        <f>MID(P58,5,2)</f>
        <v/>
      </c>
      <c r="R58" s="53">
        <f>MID(P58,7,2)</f>
        <v/>
      </c>
      <c r="S58" s="3" t="inlineStr">
        <is>
          <t>G2G</t>
        </is>
      </c>
      <c r="T58" s="3" t="inlineStr">
        <is>
          <t>P4</t>
        </is>
      </c>
      <c r="U58" s="3" t="inlineStr">
        <is>
          <t>P &amp; N JB Cold Soldering</t>
        </is>
      </c>
      <c r="V58" s="3" t="inlineStr">
        <is>
          <t>Soldering</t>
        </is>
      </c>
      <c r="W58" s="3" t="inlineStr">
        <is>
          <t>Repair</t>
        </is>
      </c>
      <c r="X58" s="18" t="n">
        <v>46144</v>
      </c>
      <c r="Y58" s="3">
        <f>X58-A58</f>
        <v/>
      </c>
      <c r="Z58" s="18" t="n">
        <v>46144</v>
      </c>
      <c r="AA58" s="3" t="n"/>
      <c r="AB58" s="3" t="n"/>
    </row>
    <row r="59" hidden="1" s="233">
      <c r="A59" s="6" t="n">
        <v>46107</v>
      </c>
      <c r="B59" s="3" t="n">
        <v>2026</v>
      </c>
      <c r="C59" s="3" t="inlineStr">
        <is>
          <t>Blupine</t>
        </is>
      </c>
      <c r="D59" s="3" t="inlineStr">
        <is>
          <t>Utility and C&amp;I</t>
        </is>
      </c>
      <c r="E59" s="3" t="n"/>
      <c r="F59" s="3" t="inlineStr">
        <is>
          <t>Closed</t>
        </is>
      </c>
      <c r="G59" s="3" t="inlineStr">
        <is>
          <t>Chandrashekar Patidar</t>
        </is>
      </c>
      <c r="H59" s="3" t="n">
        <v>7879764773</v>
      </c>
      <c r="I59" s="11" t="inlineStr">
        <is>
          <t>PE26032601</t>
        </is>
      </c>
      <c r="J59" s="3" t="inlineStr">
        <is>
          <t>Module Diode Failure</t>
        </is>
      </c>
      <c r="K59" s="3" t="inlineStr">
        <is>
          <t>Sadla</t>
        </is>
      </c>
      <c r="L59" s="3" t="inlineStr">
        <is>
          <t>Gujarat</t>
        </is>
      </c>
      <c r="M59" s="9" t="inlineStr">
        <is>
          <t>NS</t>
        </is>
      </c>
      <c r="N59" s="3" t="inlineStr">
        <is>
          <t>Cold Soldering</t>
        </is>
      </c>
      <c r="O59" s="3" t="n">
        <v>570</v>
      </c>
      <c r="P59" s="9" t="inlineStr">
        <is>
          <t>NSMI24050045988</t>
        </is>
      </c>
      <c r="Q59" s="53">
        <f>MID(P59,5,2)</f>
        <v/>
      </c>
      <c r="R59" s="53">
        <f>MID(P59,7,2)</f>
        <v/>
      </c>
      <c r="S59" s="3" t="inlineStr">
        <is>
          <t>G2G</t>
        </is>
      </c>
      <c r="T59" s="3" t="inlineStr">
        <is>
          <t>P4</t>
        </is>
      </c>
      <c r="U59" s="3" t="inlineStr">
        <is>
          <t>N JB Cold Soldering</t>
        </is>
      </c>
      <c r="V59" s="3" t="inlineStr">
        <is>
          <t>Soldering</t>
        </is>
      </c>
      <c r="W59" s="3" t="inlineStr">
        <is>
          <t>Repair</t>
        </is>
      </c>
      <c r="X59" s="18" t="n">
        <v>46144</v>
      </c>
      <c r="Y59" s="3">
        <f>X59-A59</f>
        <v/>
      </c>
      <c r="Z59" s="18" t="n">
        <v>46144</v>
      </c>
      <c r="AA59" s="3" t="n"/>
      <c r="AB59" s="3" t="n"/>
    </row>
    <row r="60" hidden="1" s="233">
      <c r="A60" s="6" t="n">
        <v>46107</v>
      </c>
      <c r="B60" s="3" t="n">
        <v>2026</v>
      </c>
      <c r="C60" s="3" t="inlineStr">
        <is>
          <t>Blupine</t>
        </is>
      </c>
      <c r="D60" s="3" t="inlineStr">
        <is>
          <t>Utility and C&amp;I</t>
        </is>
      </c>
      <c r="E60" s="3" t="n"/>
      <c r="F60" s="3" t="inlineStr">
        <is>
          <t>Closed</t>
        </is>
      </c>
      <c r="G60" s="3" t="inlineStr">
        <is>
          <t>Chandrashekar Patidar</t>
        </is>
      </c>
      <c r="H60" s="3" t="n">
        <v>7879764773</v>
      </c>
      <c r="I60" s="11" t="inlineStr">
        <is>
          <t>PE26032601</t>
        </is>
      </c>
      <c r="J60" s="3" t="inlineStr">
        <is>
          <t>Module Diode Failure</t>
        </is>
      </c>
      <c r="K60" s="3" t="inlineStr">
        <is>
          <t>Sadla</t>
        </is>
      </c>
      <c r="L60" s="3" t="inlineStr">
        <is>
          <t>Gujarat</t>
        </is>
      </c>
      <c r="M60" s="9" t="inlineStr">
        <is>
          <t>NS</t>
        </is>
      </c>
      <c r="N60" s="3" t="inlineStr">
        <is>
          <t>Cold Soldering</t>
        </is>
      </c>
      <c r="O60" s="3" t="n">
        <v>570</v>
      </c>
      <c r="P60" s="9" t="inlineStr">
        <is>
          <t>NSMI24050045952</t>
        </is>
      </c>
      <c r="Q60" s="53">
        <f>MID(P60,5,2)</f>
        <v/>
      </c>
      <c r="R60" s="53">
        <f>MID(P60,7,2)</f>
        <v/>
      </c>
      <c r="S60" s="3" t="inlineStr">
        <is>
          <t>G2G</t>
        </is>
      </c>
      <c r="T60" s="3" t="inlineStr">
        <is>
          <t>P4</t>
        </is>
      </c>
      <c r="U60" s="3" t="inlineStr">
        <is>
          <t>N JB Cold Soldering</t>
        </is>
      </c>
      <c r="V60" s="3" t="inlineStr">
        <is>
          <t>Soldering</t>
        </is>
      </c>
      <c r="W60" s="3" t="inlineStr">
        <is>
          <t>Repair</t>
        </is>
      </c>
      <c r="X60" s="18" t="n">
        <v>46144</v>
      </c>
      <c r="Y60" s="3">
        <f>X60-A60</f>
        <v/>
      </c>
      <c r="Z60" s="18" t="n">
        <v>46144</v>
      </c>
      <c r="AA60" s="3" t="n"/>
      <c r="AB60" s="3" t="n"/>
    </row>
    <row r="61" hidden="1" s="233">
      <c r="A61" s="6" t="n">
        <v>46107</v>
      </c>
      <c r="B61" s="3" t="n">
        <v>2026</v>
      </c>
      <c r="C61" s="3" t="inlineStr">
        <is>
          <t>Blupine</t>
        </is>
      </c>
      <c r="D61" s="3" t="inlineStr">
        <is>
          <t>Utility and C&amp;I</t>
        </is>
      </c>
      <c r="E61" s="3" t="n"/>
      <c r="F61" s="3" t="inlineStr">
        <is>
          <t>Closed</t>
        </is>
      </c>
      <c r="G61" s="3" t="inlineStr">
        <is>
          <t>Chandrashekar Patidar</t>
        </is>
      </c>
      <c r="H61" s="3" t="n">
        <v>7879764773</v>
      </c>
      <c r="I61" s="11" t="inlineStr">
        <is>
          <t>PE26032601</t>
        </is>
      </c>
      <c r="J61" s="3" t="inlineStr">
        <is>
          <t>Module Diode Failure</t>
        </is>
      </c>
      <c r="K61" s="3" t="inlineStr">
        <is>
          <t>Sadla</t>
        </is>
      </c>
      <c r="L61" s="3" t="inlineStr">
        <is>
          <t>Gujarat</t>
        </is>
      </c>
      <c r="M61" s="9" t="inlineStr">
        <is>
          <t>NS</t>
        </is>
      </c>
      <c r="N61" s="3" t="inlineStr">
        <is>
          <t>Cold Soldering</t>
        </is>
      </c>
      <c r="O61" s="3" t="n">
        <v>570</v>
      </c>
      <c r="P61" s="9" t="inlineStr">
        <is>
          <t>NSMI24050043460</t>
        </is>
      </c>
      <c r="Q61" s="53">
        <f>MID(P61,5,2)</f>
        <v/>
      </c>
      <c r="R61" s="53">
        <f>MID(P61,7,2)</f>
        <v/>
      </c>
      <c r="S61" s="3" t="inlineStr">
        <is>
          <t>G2G</t>
        </is>
      </c>
      <c r="T61" s="3" t="inlineStr">
        <is>
          <t>P4</t>
        </is>
      </c>
      <c r="U61" s="3" t="inlineStr">
        <is>
          <t>N JB Cold Soldering</t>
        </is>
      </c>
      <c r="V61" s="3" t="inlineStr">
        <is>
          <t>Soldering</t>
        </is>
      </c>
      <c r="W61" s="3" t="inlineStr">
        <is>
          <t>Repair</t>
        </is>
      </c>
      <c r="X61" s="18" t="n">
        <v>46144</v>
      </c>
      <c r="Y61" s="3">
        <f>X61-A61</f>
        <v/>
      </c>
      <c r="Z61" s="18" t="n">
        <v>46144</v>
      </c>
      <c r="AA61" s="3" t="n"/>
      <c r="AB61" s="3" t="n"/>
    </row>
    <row r="62" hidden="1" s="233">
      <c r="A62" s="6" t="n">
        <v>46107</v>
      </c>
      <c r="B62" s="3" t="n">
        <v>2026</v>
      </c>
      <c r="C62" s="3" t="inlineStr">
        <is>
          <t>Blupine</t>
        </is>
      </c>
      <c r="D62" s="3" t="inlineStr">
        <is>
          <t>Utility and C&amp;I</t>
        </is>
      </c>
      <c r="E62" s="3" t="n"/>
      <c r="F62" s="3" t="inlineStr">
        <is>
          <t>Closed</t>
        </is>
      </c>
      <c r="G62" s="3" t="inlineStr">
        <is>
          <t>Chandrashekar Patidar</t>
        </is>
      </c>
      <c r="H62" s="3" t="n">
        <v>7879764773</v>
      </c>
      <c r="I62" s="11" t="inlineStr">
        <is>
          <t>PE26032601</t>
        </is>
      </c>
      <c r="J62" s="3" t="inlineStr">
        <is>
          <t>Module Diode Failure</t>
        </is>
      </c>
      <c r="K62" s="3" t="inlineStr">
        <is>
          <t>Sadla</t>
        </is>
      </c>
      <c r="L62" s="3" t="inlineStr">
        <is>
          <t>Gujarat</t>
        </is>
      </c>
      <c r="M62" s="9" t="inlineStr">
        <is>
          <t>NS</t>
        </is>
      </c>
      <c r="N62" s="3" t="inlineStr">
        <is>
          <t>Cold Soldering</t>
        </is>
      </c>
      <c r="O62" s="3" t="n">
        <v>570</v>
      </c>
      <c r="P62" s="9" t="inlineStr">
        <is>
          <t>NSMI24050043452</t>
        </is>
      </c>
      <c r="Q62" s="53">
        <f>MID(P62,5,2)</f>
        <v/>
      </c>
      <c r="R62" s="53">
        <f>MID(P62,7,2)</f>
        <v/>
      </c>
      <c r="S62" s="3" t="inlineStr">
        <is>
          <t>G2G</t>
        </is>
      </c>
      <c r="T62" s="3" t="inlineStr">
        <is>
          <t>P4</t>
        </is>
      </c>
      <c r="U62" s="3" t="inlineStr">
        <is>
          <t>N JB Cold Soldering</t>
        </is>
      </c>
      <c r="V62" s="3" t="inlineStr">
        <is>
          <t>Soldering</t>
        </is>
      </c>
      <c r="W62" s="3" t="inlineStr">
        <is>
          <t>Repair</t>
        </is>
      </c>
      <c r="X62" s="18" t="n">
        <v>46144</v>
      </c>
      <c r="Y62" s="3">
        <f>X62-A62</f>
        <v/>
      </c>
      <c r="Z62" s="18" t="n">
        <v>46144</v>
      </c>
      <c r="AA62" s="3" t="n"/>
      <c r="AB62" s="3" t="n"/>
    </row>
    <row r="63" hidden="1" s="233">
      <c r="A63" s="6" t="n">
        <v>46107</v>
      </c>
      <c r="B63" s="3" t="n">
        <v>2026</v>
      </c>
      <c r="C63" s="3" t="inlineStr">
        <is>
          <t>Blupine</t>
        </is>
      </c>
      <c r="D63" s="3" t="inlineStr">
        <is>
          <t>Utility and C&amp;I</t>
        </is>
      </c>
      <c r="E63" s="3" t="n"/>
      <c r="F63" s="3" t="inlineStr">
        <is>
          <t>Closed</t>
        </is>
      </c>
      <c r="G63" s="3" t="inlineStr">
        <is>
          <t>Chandrashekar Patidar</t>
        </is>
      </c>
      <c r="H63" s="3" t="n">
        <v>7879764773</v>
      </c>
      <c r="I63" s="11" t="inlineStr">
        <is>
          <t>PE26032601</t>
        </is>
      </c>
      <c r="J63" s="3" t="inlineStr">
        <is>
          <t>Module Diode Failure</t>
        </is>
      </c>
      <c r="K63" s="3" t="inlineStr">
        <is>
          <t>Sadla</t>
        </is>
      </c>
      <c r="L63" s="3" t="inlineStr">
        <is>
          <t>Gujarat</t>
        </is>
      </c>
      <c r="M63" s="9" t="inlineStr">
        <is>
          <t>PS</t>
        </is>
      </c>
      <c r="N63" s="3" t="inlineStr">
        <is>
          <t>Cold Soldering</t>
        </is>
      </c>
      <c r="O63" s="3" t="n">
        <v>570</v>
      </c>
      <c r="P63" s="9" t="inlineStr">
        <is>
          <t>NSMI24050052308</t>
        </is>
      </c>
      <c r="Q63" s="53">
        <f>MID(P63,5,2)</f>
        <v/>
      </c>
      <c r="R63" s="53">
        <f>MID(P63,7,2)</f>
        <v/>
      </c>
      <c r="S63" s="3" t="inlineStr">
        <is>
          <t>G2G</t>
        </is>
      </c>
      <c r="T63" s="3" t="inlineStr">
        <is>
          <t>P4</t>
        </is>
      </c>
      <c r="U63" s="3" t="inlineStr">
        <is>
          <t>P JB Cold Soldering</t>
        </is>
      </c>
      <c r="V63" s="3" t="inlineStr">
        <is>
          <t>Soldering</t>
        </is>
      </c>
      <c r="W63" s="3" t="inlineStr">
        <is>
          <t>Repair</t>
        </is>
      </c>
      <c r="X63" s="18" t="n">
        <v>46144</v>
      </c>
      <c r="Y63" s="3">
        <f>X63-A63</f>
        <v/>
      </c>
      <c r="Z63" s="18" t="n">
        <v>46144</v>
      </c>
      <c r="AA63" s="3" t="n"/>
      <c r="AB63" s="3" t="n"/>
    </row>
    <row r="64" hidden="1" s="233">
      <c r="A64" s="6" t="n">
        <v>46107</v>
      </c>
      <c r="B64" s="3" t="n">
        <v>2026</v>
      </c>
      <c r="C64" s="3" t="inlineStr">
        <is>
          <t>Blupine</t>
        </is>
      </c>
      <c r="D64" s="3" t="inlineStr">
        <is>
          <t>Utility and C&amp;I</t>
        </is>
      </c>
      <c r="E64" s="3" t="n"/>
      <c r="F64" s="3" t="inlineStr">
        <is>
          <t>Closed</t>
        </is>
      </c>
      <c r="G64" s="3" t="inlineStr">
        <is>
          <t>Chandrashekar Patidar</t>
        </is>
      </c>
      <c r="H64" s="3" t="n">
        <v>7879764773</v>
      </c>
      <c r="I64" s="11" t="inlineStr">
        <is>
          <t>PE26032601</t>
        </is>
      </c>
      <c r="J64" s="3" t="inlineStr">
        <is>
          <t>Module Diode Failure</t>
        </is>
      </c>
      <c r="K64" s="3" t="inlineStr">
        <is>
          <t>Sadla</t>
        </is>
      </c>
      <c r="L64" s="3" t="inlineStr">
        <is>
          <t>Gujarat</t>
        </is>
      </c>
      <c r="M64" s="9" t="inlineStr">
        <is>
          <t>PNS</t>
        </is>
      </c>
      <c r="N64" s="3" t="inlineStr">
        <is>
          <t>Cold Soldering</t>
        </is>
      </c>
      <c r="O64" s="3" t="n">
        <v>570</v>
      </c>
      <c r="P64" s="9" t="inlineStr">
        <is>
          <t>NSMI24050060341</t>
        </is>
      </c>
      <c r="Q64" s="53">
        <f>MID(P64,5,2)</f>
        <v/>
      </c>
      <c r="R64" s="53">
        <f>MID(P64,7,2)</f>
        <v/>
      </c>
      <c r="S64" s="3" t="inlineStr">
        <is>
          <t>G2G</t>
        </is>
      </c>
      <c r="T64" s="3" t="inlineStr">
        <is>
          <t>P4</t>
        </is>
      </c>
      <c r="U64" s="3" t="inlineStr">
        <is>
          <t>P &amp; N JB Cold Soldering</t>
        </is>
      </c>
      <c r="V64" s="3" t="inlineStr">
        <is>
          <t>Soldering</t>
        </is>
      </c>
      <c r="W64" s="3" t="inlineStr">
        <is>
          <t>Repair</t>
        </is>
      </c>
      <c r="X64" s="18" t="n">
        <v>46144</v>
      </c>
      <c r="Y64" s="3">
        <f>X64-A64</f>
        <v/>
      </c>
      <c r="Z64" s="18" t="n">
        <v>46144</v>
      </c>
      <c r="AA64" s="3" t="n"/>
      <c r="AB64" s="3" t="n"/>
    </row>
    <row r="65" hidden="1" s="233">
      <c r="A65" s="6" t="n">
        <v>46107</v>
      </c>
      <c r="B65" s="3" t="n">
        <v>2026</v>
      </c>
      <c r="C65" s="3" t="inlineStr">
        <is>
          <t>Blupine</t>
        </is>
      </c>
      <c r="D65" s="3" t="inlineStr">
        <is>
          <t>Utility and C&amp;I</t>
        </is>
      </c>
      <c r="E65" s="3" t="n"/>
      <c r="F65" s="3" t="inlineStr">
        <is>
          <t>Closed</t>
        </is>
      </c>
      <c r="G65" s="3" t="inlineStr">
        <is>
          <t>Chandrashekar Patidar</t>
        </is>
      </c>
      <c r="H65" s="3" t="n">
        <v>7879764773</v>
      </c>
      <c r="I65" s="11" t="inlineStr">
        <is>
          <t>PE26032601</t>
        </is>
      </c>
      <c r="J65" s="3" t="inlineStr">
        <is>
          <t>Module Diode Failure</t>
        </is>
      </c>
      <c r="K65" s="3" t="inlineStr">
        <is>
          <t>Sadla</t>
        </is>
      </c>
      <c r="L65" s="3" t="inlineStr">
        <is>
          <t>Gujarat</t>
        </is>
      </c>
      <c r="M65" s="9" t="inlineStr">
        <is>
          <t>NR</t>
        </is>
      </c>
      <c r="N65" s="3" t="inlineStr">
        <is>
          <t>JB Issue</t>
        </is>
      </c>
      <c r="O65" s="3" t="n">
        <v>570</v>
      </c>
      <c r="P65" s="9" t="inlineStr">
        <is>
          <t>NSMI24050043505</t>
        </is>
      </c>
      <c r="Q65" s="53">
        <f>MID(P65,5,2)</f>
        <v/>
      </c>
      <c r="R65" s="53">
        <f>MID(P65,7,2)</f>
        <v/>
      </c>
      <c r="S65" s="3" t="inlineStr">
        <is>
          <t>G2G</t>
        </is>
      </c>
      <c r="T65" s="3" t="inlineStr">
        <is>
          <t>P4</t>
        </is>
      </c>
      <c r="U65" s="3" t="inlineStr">
        <is>
          <t>N JB Issue</t>
        </is>
      </c>
      <c r="V65" s="3" t="inlineStr">
        <is>
          <t>JB Changed</t>
        </is>
      </c>
      <c r="W65" s="3" t="inlineStr">
        <is>
          <t>Repair</t>
        </is>
      </c>
      <c r="X65" s="18" t="n">
        <v>46144</v>
      </c>
      <c r="Y65" s="3">
        <f>X65-A65</f>
        <v/>
      </c>
      <c r="Z65" s="18" t="n">
        <v>46144</v>
      </c>
      <c r="AA65" s="3" t="n"/>
      <c r="AB65" s="3" t="n"/>
    </row>
    <row r="66" hidden="1" s="233">
      <c r="A66" s="6" t="n">
        <v>46107</v>
      </c>
      <c r="B66" s="3" t="n">
        <v>2026</v>
      </c>
      <c r="C66" s="3" t="inlineStr">
        <is>
          <t>Blupine</t>
        </is>
      </c>
      <c r="D66" s="3" t="inlineStr">
        <is>
          <t>Utility and C&amp;I</t>
        </is>
      </c>
      <c r="E66" s="3" t="n"/>
      <c r="F66" s="3" t="inlineStr">
        <is>
          <t>Closed</t>
        </is>
      </c>
      <c r="G66" s="3" t="inlineStr">
        <is>
          <t>Chandrashekar Patidar</t>
        </is>
      </c>
      <c r="H66" s="3" t="n">
        <v>7879764773</v>
      </c>
      <c r="I66" s="11" t="inlineStr">
        <is>
          <t>PE26032601</t>
        </is>
      </c>
      <c r="J66" s="3" t="inlineStr">
        <is>
          <t>Module Diode Failure</t>
        </is>
      </c>
      <c r="K66" s="3" t="inlineStr">
        <is>
          <t>Sadla</t>
        </is>
      </c>
      <c r="L66" s="3" t="inlineStr">
        <is>
          <t>Gujarat</t>
        </is>
      </c>
      <c r="M66" s="9" t="inlineStr">
        <is>
          <t>NS</t>
        </is>
      </c>
      <c r="N66" s="3" t="inlineStr">
        <is>
          <t>Cold Soldering</t>
        </is>
      </c>
      <c r="O66" s="3" t="n">
        <v>570</v>
      </c>
      <c r="P66" s="9" t="inlineStr">
        <is>
          <t>NSMI24050043394</t>
        </is>
      </c>
      <c r="Q66" s="53">
        <f>MID(P66,5,2)</f>
        <v/>
      </c>
      <c r="R66" s="53">
        <f>MID(P66,7,2)</f>
        <v/>
      </c>
      <c r="S66" s="3" t="inlineStr">
        <is>
          <t>G2G</t>
        </is>
      </c>
      <c r="T66" s="3" t="inlineStr">
        <is>
          <t>P4</t>
        </is>
      </c>
      <c r="U66" s="3" t="inlineStr">
        <is>
          <t>N JB Cold Soldering</t>
        </is>
      </c>
      <c r="V66" s="3" t="inlineStr">
        <is>
          <t>Soldering</t>
        </is>
      </c>
      <c r="W66" s="3" t="inlineStr">
        <is>
          <t>Repair</t>
        </is>
      </c>
      <c r="X66" s="18" t="n">
        <v>46144</v>
      </c>
      <c r="Y66" s="3">
        <f>X66-A66</f>
        <v/>
      </c>
      <c r="Z66" s="18" t="n">
        <v>46144</v>
      </c>
      <c r="AA66" s="3" t="n"/>
      <c r="AB66" s="3" t="n"/>
    </row>
    <row r="67" hidden="1" s="233">
      <c r="A67" s="6" t="n">
        <v>46107</v>
      </c>
      <c r="B67" s="3" t="n">
        <v>2026</v>
      </c>
      <c r="C67" s="3" t="inlineStr">
        <is>
          <t>Blupine</t>
        </is>
      </c>
      <c r="D67" s="3" t="inlineStr">
        <is>
          <t>Utility and C&amp;I</t>
        </is>
      </c>
      <c r="E67" s="3" t="n"/>
      <c r="F67" s="3" t="inlineStr">
        <is>
          <t>Closed</t>
        </is>
      </c>
      <c r="G67" s="3" t="inlineStr">
        <is>
          <t>Chandrashekar Patidar</t>
        </is>
      </c>
      <c r="H67" s="3" t="n">
        <v>7879764773</v>
      </c>
      <c r="I67" s="11" t="inlineStr">
        <is>
          <t>PE26032601</t>
        </is>
      </c>
      <c r="J67" s="3" t="inlineStr">
        <is>
          <t>Module Diode Failure</t>
        </is>
      </c>
      <c r="K67" s="3" t="inlineStr">
        <is>
          <t>Sadla</t>
        </is>
      </c>
      <c r="L67" s="3" t="inlineStr">
        <is>
          <t>Gujarat</t>
        </is>
      </c>
      <c r="M67" s="9" t="inlineStr">
        <is>
          <t>PS</t>
        </is>
      </c>
      <c r="N67" s="3" t="inlineStr">
        <is>
          <t>Cold Soldering</t>
        </is>
      </c>
      <c r="O67" s="3" t="n">
        <v>570</v>
      </c>
      <c r="P67" s="9" t="inlineStr">
        <is>
          <t>NSMI24060084965</t>
        </is>
      </c>
      <c r="Q67" s="53">
        <f>MID(P67,5,2)</f>
        <v/>
      </c>
      <c r="R67" s="53">
        <f>MID(P67,7,2)</f>
        <v/>
      </c>
      <c r="S67" s="3" t="inlineStr">
        <is>
          <t>G2G</t>
        </is>
      </c>
      <c r="T67" s="3" t="inlineStr">
        <is>
          <t>P4</t>
        </is>
      </c>
      <c r="U67" s="3" t="inlineStr">
        <is>
          <t>P JB Cold Soldering</t>
        </is>
      </c>
      <c r="V67" s="3" t="inlineStr">
        <is>
          <t>Soldering</t>
        </is>
      </c>
      <c r="W67" s="3" t="inlineStr">
        <is>
          <t>Repair</t>
        </is>
      </c>
      <c r="X67" s="18" t="n">
        <v>46144</v>
      </c>
      <c r="Y67" s="3">
        <f>X67-A67</f>
        <v/>
      </c>
      <c r="Z67" s="18" t="n">
        <v>46144</v>
      </c>
      <c r="AA67" s="3" t="n"/>
      <c r="AB67" s="3" t="n"/>
    </row>
    <row r="68" hidden="1" s="233">
      <c r="A68" s="6" t="n">
        <v>46107</v>
      </c>
      <c r="B68" s="3" t="n">
        <v>2026</v>
      </c>
      <c r="C68" s="3" t="inlineStr">
        <is>
          <t>Blupine</t>
        </is>
      </c>
      <c r="D68" s="3" t="inlineStr">
        <is>
          <t>Utility and C&amp;I</t>
        </is>
      </c>
      <c r="E68" s="3" t="n"/>
      <c r="F68" s="3" t="inlineStr">
        <is>
          <t>Closed</t>
        </is>
      </c>
      <c r="G68" s="3" t="inlineStr">
        <is>
          <t>Chandrashekar Patidar</t>
        </is>
      </c>
      <c r="H68" s="3" t="n">
        <v>7879764773</v>
      </c>
      <c r="I68" s="11" t="inlineStr">
        <is>
          <t>PE26032601</t>
        </is>
      </c>
      <c r="J68" s="3" t="inlineStr">
        <is>
          <t>Module Diode Failure</t>
        </is>
      </c>
      <c r="K68" s="3" t="inlineStr">
        <is>
          <t>Sadla</t>
        </is>
      </c>
      <c r="L68" s="3" t="inlineStr">
        <is>
          <t>Gujarat</t>
        </is>
      </c>
      <c r="M68" s="9" t="inlineStr">
        <is>
          <t>NS</t>
        </is>
      </c>
      <c r="N68" s="3" t="inlineStr">
        <is>
          <t>Cold Soldering</t>
        </is>
      </c>
      <c r="O68" s="3" t="n">
        <v>570</v>
      </c>
      <c r="P68" s="9" t="inlineStr">
        <is>
          <t>NSMI24060081259</t>
        </is>
      </c>
      <c r="Q68" s="53">
        <f>MID(P68,5,2)</f>
        <v/>
      </c>
      <c r="R68" s="53">
        <f>MID(P68,7,2)</f>
        <v/>
      </c>
      <c r="S68" s="3" t="inlineStr">
        <is>
          <t>G2G</t>
        </is>
      </c>
      <c r="T68" s="3" t="inlineStr">
        <is>
          <t>P4</t>
        </is>
      </c>
      <c r="U68" s="3" t="inlineStr">
        <is>
          <t>N JB Cold Soldering</t>
        </is>
      </c>
      <c r="V68" s="3" t="inlineStr">
        <is>
          <t>Soldering</t>
        </is>
      </c>
      <c r="W68" s="3" t="inlineStr">
        <is>
          <t>Repair</t>
        </is>
      </c>
      <c r="X68" s="18" t="n">
        <v>46144</v>
      </c>
      <c r="Y68" s="3">
        <f>X68-A68</f>
        <v/>
      </c>
      <c r="Z68" s="18" t="n">
        <v>46144</v>
      </c>
      <c r="AA68" s="3" t="n"/>
      <c r="AB68" s="3" t="n"/>
    </row>
    <row r="69" hidden="1" s="233">
      <c r="A69" s="6" t="n">
        <v>46107</v>
      </c>
      <c r="B69" s="3" t="n">
        <v>2026</v>
      </c>
      <c r="C69" s="3" t="inlineStr">
        <is>
          <t>Blupine</t>
        </is>
      </c>
      <c r="D69" s="3" t="inlineStr">
        <is>
          <t>Utility and C&amp;I</t>
        </is>
      </c>
      <c r="E69" s="3" t="n"/>
      <c r="F69" s="3" t="inlineStr">
        <is>
          <t>Closed</t>
        </is>
      </c>
      <c r="G69" s="3" t="inlineStr">
        <is>
          <t>Chandrashekar Patidar</t>
        </is>
      </c>
      <c r="H69" s="3" t="n">
        <v>7879764773</v>
      </c>
      <c r="I69" s="11" t="inlineStr">
        <is>
          <t>PE26032601</t>
        </is>
      </c>
      <c r="J69" s="3" t="inlineStr">
        <is>
          <t>Module Diode Failure</t>
        </is>
      </c>
      <c r="K69" s="3" t="inlineStr">
        <is>
          <t>Sadla</t>
        </is>
      </c>
      <c r="L69" s="3" t="inlineStr">
        <is>
          <t>Gujarat</t>
        </is>
      </c>
      <c r="M69" s="9" t="inlineStr">
        <is>
          <t>NS</t>
        </is>
      </c>
      <c r="N69" s="3" t="inlineStr">
        <is>
          <t>Cold Soldering</t>
        </is>
      </c>
      <c r="O69" s="3" t="n">
        <v>570</v>
      </c>
      <c r="P69" s="9" t="inlineStr">
        <is>
          <t>NSMI24060081397</t>
        </is>
      </c>
      <c r="Q69" s="53">
        <f>MID(P69,5,2)</f>
        <v/>
      </c>
      <c r="R69" s="53">
        <f>MID(P69,7,2)</f>
        <v/>
      </c>
      <c r="S69" s="3" t="inlineStr">
        <is>
          <t>G2G</t>
        </is>
      </c>
      <c r="T69" s="3" t="inlineStr">
        <is>
          <t>P4</t>
        </is>
      </c>
      <c r="U69" s="3" t="inlineStr">
        <is>
          <t>N JB Cold Soldering</t>
        </is>
      </c>
      <c r="V69" s="3" t="inlineStr">
        <is>
          <t>Soldering</t>
        </is>
      </c>
      <c r="W69" s="3" t="inlineStr">
        <is>
          <t>Repair</t>
        </is>
      </c>
      <c r="X69" s="18" t="n">
        <v>46144</v>
      </c>
      <c r="Y69" s="3">
        <f>X69-A69</f>
        <v/>
      </c>
      <c r="Z69" s="18" t="n">
        <v>46144</v>
      </c>
      <c r="AA69" s="3" t="n"/>
      <c r="AB69" s="3" t="n"/>
    </row>
    <row r="70" hidden="1" s="233">
      <c r="A70" s="6" t="n">
        <v>46107</v>
      </c>
      <c r="B70" s="3" t="n">
        <v>2026</v>
      </c>
      <c r="C70" s="3" t="inlineStr">
        <is>
          <t>Blupine</t>
        </is>
      </c>
      <c r="D70" s="3" t="inlineStr">
        <is>
          <t>Utility and C&amp;I</t>
        </is>
      </c>
      <c r="E70" s="3" t="n"/>
      <c r="F70" s="3" t="inlineStr">
        <is>
          <t>Closed</t>
        </is>
      </c>
      <c r="G70" s="3" t="inlineStr">
        <is>
          <t>Chandrashekar Patidar</t>
        </is>
      </c>
      <c r="H70" s="3" t="n">
        <v>7879764773</v>
      </c>
      <c r="I70" s="11" t="inlineStr">
        <is>
          <t>PE26032601</t>
        </is>
      </c>
      <c r="J70" s="3" t="inlineStr">
        <is>
          <t>Module Diode Failure</t>
        </is>
      </c>
      <c r="K70" s="3" t="inlineStr">
        <is>
          <t>Sadla</t>
        </is>
      </c>
      <c r="L70" s="3" t="inlineStr">
        <is>
          <t>Gujarat</t>
        </is>
      </c>
      <c r="M70" s="9" t="inlineStr">
        <is>
          <t>NS</t>
        </is>
      </c>
      <c r="N70" s="3" t="inlineStr">
        <is>
          <t>Cold Soldering</t>
        </is>
      </c>
      <c r="O70" s="3" t="n">
        <v>570</v>
      </c>
      <c r="P70" s="9" t="inlineStr">
        <is>
          <t>NSMI24050067381</t>
        </is>
      </c>
      <c r="Q70" s="53">
        <f>MID(P70,5,2)</f>
        <v/>
      </c>
      <c r="R70" s="53">
        <f>MID(P70,7,2)</f>
        <v/>
      </c>
      <c r="S70" s="3" t="inlineStr">
        <is>
          <t>G2G</t>
        </is>
      </c>
      <c r="T70" s="3" t="inlineStr">
        <is>
          <t>P4</t>
        </is>
      </c>
      <c r="U70" s="3" t="inlineStr">
        <is>
          <t>N JB Cold Soldering</t>
        </is>
      </c>
      <c r="V70" s="3" t="inlineStr">
        <is>
          <t>Soldering</t>
        </is>
      </c>
      <c r="W70" s="3" t="inlineStr">
        <is>
          <t>Repair</t>
        </is>
      </c>
      <c r="X70" s="18" t="n">
        <v>46144</v>
      </c>
      <c r="Y70" s="3">
        <f>X70-A70</f>
        <v/>
      </c>
      <c r="Z70" s="18" t="n">
        <v>46144</v>
      </c>
      <c r="AA70" s="3" t="n"/>
      <c r="AB70" s="3" t="n"/>
    </row>
    <row r="71" hidden="1" s="233">
      <c r="A71" s="6" t="n">
        <v>46107</v>
      </c>
      <c r="B71" s="3" t="n">
        <v>2026</v>
      </c>
      <c r="C71" s="3" t="inlineStr">
        <is>
          <t>Blupine</t>
        </is>
      </c>
      <c r="D71" s="3" t="inlineStr">
        <is>
          <t>Utility and C&amp;I</t>
        </is>
      </c>
      <c r="E71" s="3" t="n"/>
      <c r="F71" s="3" t="inlineStr">
        <is>
          <t>Closed</t>
        </is>
      </c>
      <c r="G71" s="3" t="inlineStr">
        <is>
          <t>Chandrashekar Patidar</t>
        </is>
      </c>
      <c r="H71" s="3" t="n">
        <v>7879764773</v>
      </c>
      <c r="I71" s="11" t="inlineStr">
        <is>
          <t>PE26032601</t>
        </is>
      </c>
      <c r="J71" s="3" t="inlineStr">
        <is>
          <t>Module Diode Failure</t>
        </is>
      </c>
      <c r="K71" s="3" t="inlineStr">
        <is>
          <t>Sadla</t>
        </is>
      </c>
      <c r="L71" s="3" t="inlineStr">
        <is>
          <t>Gujarat</t>
        </is>
      </c>
      <c r="M71" s="9" t="inlineStr">
        <is>
          <t>PS</t>
        </is>
      </c>
      <c r="N71" s="3" t="inlineStr">
        <is>
          <t>Cold Soldering</t>
        </is>
      </c>
      <c r="O71" s="3" t="n">
        <v>570</v>
      </c>
      <c r="P71" s="9" t="inlineStr">
        <is>
          <t>NSMI24060082597</t>
        </is>
      </c>
      <c r="Q71" s="53">
        <f>MID(P71,5,2)</f>
        <v/>
      </c>
      <c r="R71" s="53">
        <f>MID(P71,7,2)</f>
        <v/>
      </c>
      <c r="S71" s="3" t="inlineStr">
        <is>
          <t>G2G</t>
        </is>
      </c>
      <c r="T71" s="3" t="inlineStr">
        <is>
          <t>P4</t>
        </is>
      </c>
      <c r="U71" s="3" t="inlineStr">
        <is>
          <t>P JB Cold Soldering</t>
        </is>
      </c>
      <c r="V71" s="3" t="inlineStr">
        <is>
          <t>Soldering</t>
        </is>
      </c>
      <c r="W71" s="3" t="inlineStr">
        <is>
          <t>Repair</t>
        </is>
      </c>
      <c r="X71" s="18" t="n">
        <v>46144</v>
      </c>
      <c r="Y71" s="3">
        <f>X71-A71</f>
        <v/>
      </c>
      <c r="Z71" s="18" t="n">
        <v>46144</v>
      </c>
      <c r="AA71" s="3" t="n"/>
      <c r="AB71" s="3" t="n"/>
    </row>
    <row r="72" hidden="1" s="233">
      <c r="A72" s="6" t="n">
        <v>46107</v>
      </c>
      <c r="B72" s="3" t="n">
        <v>2026</v>
      </c>
      <c r="C72" s="3" t="inlineStr">
        <is>
          <t>Blupine</t>
        </is>
      </c>
      <c r="D72" s="3" t="inlineStr">
        <is>
          <t>Utility and C&amp;I</t>
        </is>
      </c>
      <c r="E72" s="3" t="n"/>
      <c r="F72" s="3" t="inlineStr">
        <is>
          <t>Closed</t>
        </is>
      </c>
      <c r="G72" s="3" t="inlineStr">
        <is>
          <t>Chandrashekar Patidar</t>
        </is>
      </c>
      <c r="H72" s="3" t="n">
        <v>7879764773</v>
      </c>
      <c r="I72" s="11" t="inlineStr">
        <is>
          <t>PE26032601</t>
        </is>
      </c>
      <c r="J72" s="3" t="inlineStr">
        <is>
          <t>Module Diode Failure</t>
        </is>
      </c>
      <c r="K72" s="3" t="inlineStr">
        <is>
          <t>Sadla</t>
        </is>
      </c>
      <c r="L72" s="3" t="inlineStr">
        <is>
          <t>Gujarat</t>
        </is>
      </c>
      <c r="M72" s="9" t="inlineStr">
        <is>
          <t>PS</t>
        </is>
      </c>
      <c r="N72" s="3" t="inlineStr">
        <is>
          <t>Cold Soldering</t>
        </is>
      </c>
      <c r="O72" s="3" t="n">
        <v>570</v>
      </c>
      <c r="P72" s="9" t="inlineStr">
        <is>
          <t>NSMI24060085073</t>
        </is>
      </c>
      <c r="Q72" s="53">
        <f>MID(P72,5,2)</f>
        <v/>
      </c>
      <c r="R72" s="53">
        <f>MID(P72,7,2)</f>
        <v/>
      </c>
      <c r="S72" s="3" t="inlineStr">
        <is>
          <t>G2G</t>
        </is>
      </c>
      <c r="T72" s="3" t="inlineStr">
        <is>
          <t>P4</t>
        </is>
      </c>
      <c r="U72" s="3" t="inlineStr">
        <is>
          <t>P JB Cold Soldering</t>
        </is>
      </c>
      <c r="V72" s="3" t="inlineStr">
        <is>
          <t>Soldering</t>
        </is>
      </c>
      <c r="W72" s="3" t="inlineStr">
        <is>
          <t>Repair</t>
        </is>
      </c>
      <c r="X72" s="18" t="n">
        <v>46144</v>
      </c>
      <c r="Y72" s="3">
        <f>X72-A72</f>
        <v/>
      </c>
      <c r="Z72" s="18" t="n">
        <v>46144</v>
      </c>
      <c r="AA72" s="3" t="n"/>
      <c r="AB72" s="3" t="n"/>
    </row>
    <row r="73" hidden="1" s="233">
      <c r="A73" s="6" t="n">
        <v>46107</v>
      </c>
      <c r="B73" s="3" t="n">
        <v>2026</v>
      </c>
      <c r="C73" s="3" t="inlineStr">
        <is>
          <t>Blupine</t>
        </is>
      </c>
      <c r="D73" s="3" t="inlineStr">
        <is>
          <t>Utility and C&amp;I</t>
        </is>
      </c>
      <c r="E73" s="3" t="n"/>
      <c r="F73" s="3" t="inlineStr">
        <is>
          <t>Closed</t>
        </is>
      </c>
      <c r="G73" s="3" t="inlineStr">
        <is>
          <t>Chandrashekar Patidar</t>
        </is>
      </c>
      <c r="H73" s="3" t="n">
        <v>7879764773</v>
      </c>
      <c r="I73" s="11" t="inlineStr">
        <is>
          <t>PE26032601</t>
        </is>
      </c>
      <c r="J73" s="3" t="inlineStr">
        <is>
          <t>Module Diode Failure</t>
        </is>
      </c>
      <c r="K73" s="3" t="inlineStr">
        <is>
          <t>Sadla</t>
        </is>
      </c>
      <c r="L73" s="3" t="inlineStr">
        <is>
          <t>Gujarat</t>
        </is>
      </c>
      <c r="M73" s="9" t="inlineStr">
        <is>
          <t>PS</t>
        </is>
      </c>
      <c r="N73" s="3" t="inlineStr">
        <is>
          <t>Cold Soldering</t>
        </is>
      </c>
      <c r="O73" s="3" t="n">
        <v>570</v>
      </c>
      <c r="P73" s="9" t="inlineStr">
        <is>
          <t>NSMI24060085081</t>
        </is>
      </c>
      <c r="Q73" s="53">
        <f>MID(P73,5,2)</f>
        <v/>
      </c>
      <c r="R73" s="53">
        <f>MID(P73,7,2)</f>
        <v/>
      </c>
      <c r="S73" s="3" t="inlineStr">
        <is>
          <t>G2G</t>
        </is>
      </c>
      <c r="T73" s="3" t="inlineStr">
        <is>
          <t>P4</t>
        </is>
      </c>
      <c r="U73" s="3" t="inlineStr">
        <is>
          <t>P JB Cold Soldering</t>
        </is>
      </c>
      <c r="V73" s="3" t="inlineStr">
        <is>
          <t>Soldering</t>
        </is>
      </c>
      <c r="W73" s="3" t="inlineStr">
        <is>
          <t>Repair</t>
        </is>
      </c>
      <c r="X73" s="18" t="n">
        <v>46144</v>
      </c>
      <c r="Y73" s="3">
        <f>X73-A73</f>
        <v/>
      </c>
      <c r="Z73" s="18" t="n">
        <v>46144</v>
      </c>
      <c r="AA73" s="3" t="n"/>
      <c r="AB73" s="3" t="n"/>
    </row>
    <row r="74" hidden="1" s="233">
      <c r="A74" s="6" t="n">
        <v>46107</v>
      </c>
      <c r="B74" s="3" t="n">
        <v>2026</v>
      </c>
      <c r="C74" s="3" t="inlineStr">
        <is>
          <t>Blupine</t>
        </is>
      </c>
      <c r="D74" s="3" t="inlineStr">
        <is>
          <t>Utility and C&amp;I</t>
        </is>
      </c>
      <c r="E74" s="3" t="n"/>
      <c r="F74" s="3" t="inlineStr">
        <is>
          <t>Closed</t>
        </is>
      </c>
      <c r="G74" s="3" t="inlineStr">
        <is>
          <t>Chandrashekar Patidar</t>
        </is>
      </c>
      <c r="H74" s="3" t="n">
        <v>7879764773</v>
      </c>
      <c r="I74" s="11" t="inlineStr">
        <is>
          <t>PE26032601</t>
        </is>
      </c>
      <c r="J74" s="3" t="inlineStr">
        <is>
          <t>Module Diode Failure</t>
        </is>
      </c>
      <c r="K74" s="3" t="inlineStr">
        <is>
          <t>Sadla</t>
        </is>
      </c>
      <c r="L74" s="3" t="inlineStr">
        <is>
          <t>Gujarat</t>
        </is>
      </c>
      <c r="M74" s="9" t="inlineStr">
        <is>
          <t>PNS</t>
        </is>
      </c>
      <c r="N74" s="3" t="inlineStr">
        <is>
          <t>Cold Soldering</t>
        </is>
      </c>
      <c r="O74" s="3" t="n">
        <v>570</v>
      </c>
      <c r="P74" s="9" t="inlineStr">
        <is>
          <t>NSMI24050049464</t>
        </is>
      </c>
      <c r="Q74" s="53">
        <f>MID(P74,5,2)</f>
        <v/>
      </c>
      <c r="R74" s="53">
        <f>MID(P74,7,2)</f>
        <v/>
      </c>
      <c r="S74" s="3" t="inlineStr">
        <is>
          <t>G2G</t>
        </is>
      </c>
      <c r="T74" s="3" t="inlineStr">
        <is>
          <t>P4</t>
        </is>
      </c>
      <c r="U74" s="3" t="inlineStr">
        <is>
          <t>P &amp; N JB Cold Soldering</t>
        </is>
      </c>
      <c r="V74" s="3" t="inlineStr">
        <is>
          <t>Soldering</t>
        </is>
      </c>
      <c r="W74" s="3" t="inlineStr">
        <is>
          <t>Repair</t>
        </is>
      </c>
      <c r="X74" s="18" t="n">
        <v>46144</v>
      </c>
      <c r="Y74" s="3">
        <f>X74-A74</f>
        <v/>
      </c>
      <c r="Z74" s="18" t="n">
        <v>46144</v>
      </c>
      <c r="AA74" s="3" t="n"/>
      <c r="AB74" s="3" t="n"/>
    </row>
    <row r="75" hidden="1" s="233">
      <c r="A75" s="6" t="n">
        <v>46107</v>
      </c>
      <c r="B75" s="3" t="n">
        <v>2026</v>
      </c>
      <c r="C75" s="3" t="inlineStr">
        <is>
          <t>Blupine</t>
        </is>
      </c>
      <c r="D75" s="3" t="inlineStr">
        <is>
          <t>Utility and C&amp;I</t>
        </is>
      </c>
      <c r="E75" s="3" t="n"/>
      <c r="F75" s="3" t="inlineStr">
        <is>
          <t>Closed</t>
        </is>
      </c>
      <c r="G75" s="3" t="inlineStr">
        <is>
          <t>Chandrashekar Patidar</t>
        </is>
      </c>
      <c r="H75" s="3" t="n">
        <v>7879764773</v>
      </c>
      <c r="I75" s="11" t="inlineStr">
        <is>
          <t>PE26032601</t>
        </is>
      </c>
      <c r="J75" s="3" t="inlineStr">
        <is>
          <t>Module Diode Failure</t>
        </is>
      </c>
      <c r="K75" s="3" t="inlineStr">
        <is>
          <t>Sadla</t>
        </is>
      </c>
      <c r="L75" s="3" t="inlineStr">
        <is>
          <t>Gujarat</t>
        </is>
      </c>
      <c r="M75" s="9" t="inlineStr">
        <is>
          <t>NS</t>
        </is>
      </c>
      <c r="N75" s="3" t="inlineStr">
        <is>
          <t>Cold Soldering</t>
        </is>
      </c>
      <c r="O75" s="3" t="n">
        <v>570</v>
      </c>
      <c r="P75" s="9" t="inlineStr">
        <is>
          <t>NSMI24050045774</t>
        </is>
      </c>
      <c r="Q75" s="53">
        <f>MID(P75,5,2)</f>
        <v/>
      </c>
      <c r="R75" s="53">
        <f>MID(P75,7,2)</f>
        <v/>
      </c>
      <c r="S75" s="3" t="inlineStr">
        <is>
          <t>G2G</t>
        </is>
      </c>
      <c r="T75" s="3" t="inlineStr">
        <is>
          <t>P4</t>
        </is>
      </c>
      <c r="U75" s="3" t="inlineStr">
        <is>
          <t>N JB Cold Soldering</t>
        </is>
      </c>
      <c r="V75" s="3" t="inlineStr">
        <is>
          <t>Soldering</t>
        </is>
      </c>
      <c r="W75" s="3" t="inlineStr">
        <is>
          <t>Repair</t>
        </is>
      </c>
      <c r="X75" s="18" t="n">
        <v>46144</v>
      </c>
      <c r="Y75" s="3">
        <f>X75-A75</f>
        <v/>
      </c>
      <c r="Z75" s="18" t="n">
        <v>46144</v>
      </c>
      <c r="AA75" s="3" t="n"/>
      <c r="AB75" s="3" t="n"/>
    </row>
    <row r="76" hidden="1" s="233">
      <c r="A76" s="6" t="n">
        <v>46107</v>
      </c>
      <c r="B76" s="3" t="n">
        <v>2026</v>
      </c>
      <c r="C76" s="3" t="inlineStr">
        <is>
          <t>Blupine</t>
        </is>
      </c>
      <c r="D76" s="3" t="inlineStr">
        <is>
          <t>Utility and C&amp;I</t>
        </is>
      </c>
      <c r="E76" s="3" t="n"/>
      <c r="F76" s="3" t="inlineStr">
        <is>
          <t>Closed</t>
        </is>
      </c>
      <c r="G76" s="3" t="inlineStr">
        <is>
          <t>Chandrashekar Patidar</t>
        </is>
      </c>
      <c r="H76" s="3" t="n">
        <v>7879764773</v>
      </c>
      <c r="I76" s="11" t="inlineStr">
        <is>
          <t>PE26032601</t>
        </is>
      </c>
      <c r="J76" s="3" t="inlineStr">
        <is>
          <t>Module Diode Failure</t>
        </is>
      </c>
      <c r="K76" s="3" t="inlineStr">
        <is>
          <t>Sadla</t>
        </is>
      </c>
      <c r="L76" s="3" t="inlineStr">
        <is>
          <t>Gujarat</t>
        </is>
      </c>
      <c r="M76" s="9" t="inlineStr">
        <is>
          <t>NS</t>
        </is>
      </c>
      <c r="N76" s="3" t="inlineStr">
        <is>
          <t>Cold Soldering</t>
        </is>
      </c>
      <c r="O76" s="3" t="n">
        <v>570</v>
      </c>
      <c r="P76" s="9" t="inlineStr">
        <is>
          <t>NSMI24050045770</t>
        </is>
      </c>
      <c r="Q76" s="53">
        <f>MID(P76,5,2)</f>
        <v/>
      </c>
      <c r="R76" s="53">
        <f>MID(P76,7,2)</f>
        <v/>
      </c>
      <c r="S76" s="3" t="inlineStr">
        <is>
          <t>G2G</t>
        </is>
      </c>
      <c r="T76" s="3" t="inlineStr">
        <is>
          <t>P4</t>
        </is>
      </c>
      <c r="U76" s="3" t="inlineStr">
        <is>
          <t>N JB Cold Soldering</t>
        </is>
      </c>
      <c r="V76" s="3" t="inlineStr">
        <is>
          <t>Soldering</t>
        </is>
      </c>
      <c r="W76" s="3" t="inlineStr">
        <is>
          <t>Repair</t>
        </is>
      </c>
      <c r="X76" s="18" t="n">
        <v>46144</v>
      </c>
      <c r="Y76" s="3">
        <f>X76-A76</f>
        <v/>
      </c>
      <c r="Z76" s="18" t="n">
        <v>46144</v>
      </c>
      <c r="AA76" s="3" t="n"/>
      <c r="AB76" s="3" t="n"/>
    </row>
    <row r="77" hidden="1" s="233">
      <c r="A77" s="6" t="n">
        <v>46107</v>
      </c>
      <c r="B77" s="3" t="n">
        <v>2026</v>
      </c>
      <c r="C77" s="3" t="inlineStr">
        <is>
          <t>Blupine</t>
        </is>
      </c>
      <c r="D77" s="3" t="inlineStr">
        <is>
          <t>Utility and C&amp;I</t>
        </is>
      </c>
      <c r="E77" s="3" t="n"/>
      <c r="F77" s="3" t="inlineStr">
        <is>
          <t>Closed</t>
        </is>
      </c>
      <c r="G77" s="3" t="inlineStr">
        <is>
          <t>Chandrashekar Patidar</t>
        </is>
      </c>
      <c r="H77" s="3" t="n">
        <v>7879764773</v>
      </c>
      <c r="I77" s="11" t="inlineStr">
        <is>
          <t>PE26032601</t>
        </is>
      </c>
      <c r="J77" s="3" t="inlineStr">
        <is>
          <t>Module Diode Failure</t>
        </is>
      </c>
      <c r="K77" s="3" t="inlineStr">
        <is>
          <t>Sadla</t>
        </is>
      </c>
      <c r="L77" s="3" t="inlineStr">
        <is>
          <t>Gujarat</t>
        </is>
      </c>
      <c r="M77" s="9" t="inlineStr">
        <is>
          <t>NS</t>
        </is>
      </c>
      <c r="N77" s="3" t="inlineStr">
        <is>
          <t>Cold Soldering</t>
        </is>
      </c>
      <c r="O77" s="3" t="n">
        <v>570</v>
      </c>
      <c r="P77" s="9" t="inlineStr">
        <is>
          <t>NSMI24050045782</t>
        </is>
      </c>
      <c r="Q77" s="53">
        <f>MID(P77,5,2)</f>
        <v/>
      </c>
      <c r="R77" s="53">
        <f>MID(P77,7,2)</f>
        <v/>
      </c>
      <c r="S77" s="3" t="inlineStr">
        <is>
          <t>G2G</t>
        </is>
      </c>
      <c r="T77" s="3" t="inlineStr">
        <is>
          <t>P4</t>
        </is>
      </c>
      <c r="U77" s="3" t="inlineStr">
        <is>
          <t>N JB Cold Soldering</t>
        </is>
      </c>
      <c r="V77" s="3" t="inlineStr">
        <is>
          <t>Soldering</t>
        </is>
      </c>
      <c r="W77" s="3" t="inlineStr">
        <is>
          <t>Repair</t>
        </is>
      </c>
      <c r="X77" s="18" t="n">
        <v>46144</v>
      </c>
      <c r="Y77" s="3">
        <f>X77-A77</f>
        <v/>
      </c>
      <c r="Z77" s="18" t="n">
        <v>46144</v>
      </c>
      <c r="AA77" s="3" t="n"/>
      <c r="AB77" s="3" t="n"/>
    </row>
    <row r="78" hidden="1" s="233">
      <c r="A78" s="6" t="n">
        <v>46107</v>
      </c>
      <c r="B78" s="3" t="n">
        <v>2026</v>
      </c>
      <c r="C78" s="3" t="inlineStr">
        <is>
          <t>Blupine</t>
        </is>
      </c>
      <c r="D78" s="3" t="inlineStr">
        <is>
          <t>Utility and C&amp;I</t>
        </is>
      </c>
      <c r="E78" s="3" t="n"/>
      <c r="F78" s="3" t="inlineStr">
        <is>
          <t>Closed</t>
        </is>
      </c>
      <c r="G78" s="3" t="inlineStr">
        <is>
          <t>Chandrashekar Patidar</t>
        </is>
      </c>
      <c r="H78" s="3" t="n">
        <v>7879764773</v>
      </c>
      <c r="I78" s="11" t="inlineStr">
        <is>
          <t>PE26032601</t>
        </is>
      </c>
      <c r="J78" s="3" t="inlineStr">
        <is>
          <t>Module Diode Failure</t>
        </is>
      </c>
      <c r="K78" s="3" t="inlineStr">
        <is>
          <t>Sadla</t>
        </is>
      </c>
      <c r="L78" s="3" t="inlineStr">
        <is>
          <t>Gujarat</t>
        </is>
      </c>
      <c r="M78" s="9" t="inlineStr">
        <is>
          <t>NS</t>
        </is>
      </c>
      <c r="N78" s="3" t="inlineStr">
        <is>
          <t>Cold Soldering</t>
        </is>
      </c>
      <c r="O78" s="3" t="n">
        <v>570</v>
      </c>
      <c r="P78" s="9" t="inlineStr">
        <is>
          <t>NSMI24050066024</t>
        </is>
      </c>
      <c r="Q78" s="53">
        <f>MID(P78,5,2)</f>
        <v/>
      </c>
      <c r="R78" s="53">
        <f>MID(P78,7,2)</f>
        <v/>
      </c>
      <c r="S78" s="3" t="inlineStr">
        <is>
          <t>G2G</t>
        </is>
      </c>
      <c r="T78" s="3" t="inlineStr">
        <is>
          <t>P4</t>
        </is>
      </c>
      <c r="U78" s="3" t="inlineStr">
        <is>
          <t>N JB Cold Soldering</t>
        </is>
      </c>
      <c r="V78" s="3" t="inlineStr">
        <is>
          <t>Soldering</t>
        </is>
      </c>
      <c r="W78" s="3" t="inlineStr">
        <is>
          <t>Repair</t>
        </is>
      </c>
      <c r="X78" s="18" t="n">
        <v>46144</v>
      </c>
      <c r="Y78" s="3">
        <f>X78-A78</f>
        <v/>
      </c>
      <c r="Z78" s="18" t="n">
        <v>46144</v>
      </c>
      <c r="AA78" s="3" t="n"/>
      <c r="AB78" s="3" t="n"/>
    </row>
    <row r="79" hidden="1" s="233">
      <c r="A79" s="6" t="n">
        <v>46107</v>
      </c>
      <c r="B79" s="3" t="n">
        <v>2026</v>
      </c>
      <c r="C79" s="3" t="inlineStr">
        <is>
          <t>Blupine</t>
        </is>
      </c>
      <c r="D79" s="3" t="inlineStr">
        <is>
          <t>Utility and C&amp;I</t>
        </is>
      </c>
      <c r="E79" s="3" t="n"/>
      <c r="F79" s="3" t="inlineStr">
        <is>
          <t>Closed</t>
        </is>
      </c>
      <c r="G79" s="3" t="inlineStr">
        <is>
          <t>Chandrashekar Patidar</t>
        </is>
      </c>
      <c r="H79" s="3" t="n">
        <v>7879764773</v>
      </c>
      <c r="I79" s="11" t="inlineStr">
        <is>
          <t>PE26032601</t>
        </is>
      </c>
      <c r="J79" s="3" t="inlineStr">
        <is>
          <t>Module Diode Failure</t>
        </is>
      </c>
      <c r="K79" s="3" t="inlineStr">
        <is>
          <t>Sadla</t>
        </is>
      </c>
      <c r="L79" s="3" t="inlineStr">
        <is>
          <t>Gujarat</t>
        </is>
      </c>
      <c r="M79" s="9" t="inlineStr">
        <is>
          <t>NS</t>
        </is>
      </c>
      <c r="N79" s="3" t="inlineStr">
        <is>
          <t>Cold Soldering</t>
        </is>
      </c>
      <c r="O79" s="3" t="n">
        <v>570</v>
      </c>
      <c r="P79" s="9" t="inlineStr">
        <is>
          <t>NSMI24050058831</t>
        </is>
      </c>
      <c r="Q79" s="53">
        <f>MID(P79,5,2)</f>
        <v/>
      </c>
      <c r="R79" s="53">
        <f>MID(P79,7,2)</f>
        <v/>
      </c>
      <c r="S79" s="3" t="inlineStr">
        <is>
          <t>G2G</t>
        </is>
      </c>
      <c r="T79" s="3" t="inlineStr">
        <is>
          <t>P4</t>
        </is>
      </c>
      <c r="U79" s="3" t="inlineStr">
        <is>
          <t>N JB Cold Soldering</t>
        </is>
      </c>
      <c r="V79" s="3" t="inlineStr">
        <is>
          <t>Soldering</t>
        </is>
      </c>
      <c r="W79" s="3" t="inlineStr">
        <is>
          <t>Repair</t>
        </is>
      </c>
      <c r="X79" s="18" t="n">
        <v>46144</v>
      </c>
      <c r="Y79" s="3">
        <f>X79-A79</f>
        <v/>
      </c>
      <c r="Z79" s="18" t="n">
        <v>46144</v>
      </c>
      <c r="AA79" s="3" t="n"/>
      <c r="AB79" s="3" t="n"/>
    </row>
    <row r="80" hidden="1" s="233">
      <c r="A80" s="6" t="n">
        <v>46107</v>
      </c>
      <c r="B80" s="3" t="n">
        <v>2026</v>
      </c>
      <c r="C80" s="3" t="inlineStr">
        <is>
          <t>Blupine</t>
        </is>
      </c>
      <c r="D80" s="3" t="inlineStr">
        <is>
          <t>Utility and C&amp;I</t>
        </is>
      </c>
      <c r="E80" s="3" t="n"/>
      <c r="F80" s="3" t="inlineStr">
        <is>
          <t>Closed</t>
        </is>
      </c>
      <c r="G80" s="3" t="inlineStr">
        <is>
          <t>Chandrashekar Patidar</t>
        </is>
      </c>
      <c r="H80" s="3" t="n">
        <v>7879764773</v>
      </c>
      <c r="I80" s="11" t="inlineStr">
        <is>
          <t>PE26032601</t>
        </is>
      </c>
      <c r="J80" s="3" t="inlineStr">
        <is>
          <t>Module Diode Failure</t>
        </is>
      </c>
      <c r="K80" s="3" t="inlineStr">
        <is>
          <t>Sadla</t>
        </is>
      </c>
      <c r="L80" s="3" t="inlineStr">
        <is>
          <t>Gujarat</t>
        </is>
      </c>
      <c r="M80" s="9" t="inlineStr">
        <is>
          <t>NS</t>
        </is>
      </c>
      <c r="N80" s="3" t="inlineStr">
        <is>
          <t>Cold Soldering</t>
        </is>
      </c>
      <c r="O80" s="3" t="n">
        <v>570</v>
      </c>
      <c r="P80" s="9" t="inlineStr">
        <is>
          <t>NSMI24050043474</t>
        </is>
      </c>
      <c r="Q80" s="53">
        <f>MID(P80,5,2)</f>
        <v/>
      </c>
      <c r="R80" s="53">
        <f>MID(P80,7,2)</f>
        <v/>
      </c>
      <c r="S80" s="3" t="inlineStr">
        <is>
          <t>G2G</t>
        </is>
      </c>
      <c r="T80" s="3" t="inlineStr">
        <is>
          <t>P4</t>
        </is>
      </c>
      <c r="U80" s="3" t="inlineStr">
        <is>
          <t>N JB Cold Soldering</t>
        </is>
      </c>
      <c r="V80" s="3" t="inlineStr">
        <is>
          <t>Soldering</t>
        </is>
      </c>
      <c r="W80" s="3" t="inlineStr">
        <is>
          <t>Repair</t>
        </is>
      </c>
      <c r="X80" s="18" t="n">
        <v>46144</v>
      </c>
      <c r="Y80" s="3">
        <f>X80-A80</f>
        <v/>
      </c>
      <c r="Z80" s="18" t="n">
        <v>46144</v>
      </c>
      <c r="AA80" s="3" t="n"/>
      <c r="AB80" s="3" t="n"/>
    </row>
    <row r="81" hidden="1" s="233">
      <c r="A81" s="6" t="n">
        <v>46107</v>
      </c>
      <c r="B81" s="3" t="n">
        <v>2026</v>
      </c>
      <c r="C81" s="3" t="inlineStr">
        <is>
          <t>Blupine</t>
        </is>
      </c>
      <c r="D81" s="3" t="inlineStr">
        <is>
          <t>Utility and C&amp;I</t>
        </is>
      </c>
      <c r="E81" s="3" t="n"/>
      <c r="F81" s="3" t="inlineStr">
        <is>
          <t>Closed</t>
        </is>
      </c>
      <c r="G81" s="3" t="inlineStr">
        <is>
          <t>Chandrashekar Patidar</t>
        </is>
      </c>
      <c r="H81" s="3" t="n">
        <v>7879764773</v>
      </c>
      <c r="I81" s="11" t="inlineStr">
        <is>
          <t>PE26032601</t>
        </is>
      </c>
      <c r="J81" s="3" t="inlineStr">
        <is>
          <t>Module Diode Failure</t>
        </is>
      </c>
      <c r="K81" s="3" t="inlineStr">
        <is>
          <t>Sadla</t>
        </is>
      </c>
      <c r="L81" s="3" t="inlineStr">
        <is>
          <t>Gujarat</t>
        </is>
      </c>
      <c r="M81" s="9" t="inlineStr">
        <is>
          <t>NS</t>
        </is>
      </c>
      <c r="N81" s="3" t="inlineStr">
        <is>
          <t>Cold Soldering</t>
        </is>
      </c>
      <c r="O81" s="3" t="n">
        <v>570</v>
      </c>
      <c r="P81" s="9" t="inlineStr">
        <is>
          <t>NSMI24050046080</t>
        </is>
      </c>
      <c r="Q81" s="53">
        <f>MID(P81,5,2)</f>
        <v/>
      </c>
      <c r="R81" s="53">
        <f>MID(P81,7,2)</f>
        <v/>
      </c>
      <c r="S81" s="3" t="inlineStr">
        <is>
          <t>G2G</t>
        </is>
      </c>
      <c r="T81" s="3" t="inlineStr">
        <is>
          <t>P4</t>
        </is>
      </c>
      <c r="U81" s="3" t="inlineStr">
        <is>
          <t>N JB Cold Soldering</t>
        </is>
      </c>
      <c r="V81" s="3" t="inlineStr">
        <is>
          <t>Soldering</t>
        </is>
      </c>
      <c r="W81" s="3" t="inlineStr">
        <is>
          <t>Repair</t>
        </is>
      </c>
      <c r="X81" s="18" t="n">
        <v>46144</v>
      </c>
      <c r="Y81" s="3">
        <f>X81-A81</f>
        <v/>
      </c>
      <c r="Z81" s="18" t="n">
        <v>46144</v>
      </c>
      <c r="AA81" s="3" t="n"/>
      <c r="AB81" s="3" t="n"/>
    </row>
    <row r="82" hidden="1" s="233">
      <c r="A82" s="6" t="n">
        <v>46107</v>
      </c>
      <c r="B82" s="3" t="n">
        <v>2026</v>
      </c>
      <c r="C82" s="3" t="inlineStr">
        <is>
          <t>Blupine</t>
        </is>
      </c>
      <c r="D82" s="3" t="inlineStr">
        <is>
          <t>Utility and C&amp;I</t>
        </is>
      </c>
      <c r="E82" s="3" t="n"/>
      <c r="F82" s="3" t="inlineStr">
        <is>
          <t>Closed</t>
        </is>
      </c>
      <c r="G82" s="3" t="inlineStr">
        <is>
          <t>Chandrashekar Patidar</t>
        </is>
      </c>
      <c r="H82" s="3" t="n">
        <v>7879764773</v>
      </c>
      <c r="I82" s="11" t="inlineStr">
        <is>
          <t>PE26032601</t>
        </is>
      </c>
      <c r="J82" s="3" t="inlineStr">
        <is>
          <t>Module Diode Failure</t>
        </is>
      </c>
      <c r="K82" s="3" t="inlineStr">
        <is>
          <t>Sadla</t>
        </is>
      </c>
      <c r="L82" s="3" t="inlineStr">
        <is>
          <t>Gujarat</t>
        </is>
      </c>
      <c r="M82" s="9" t="inlineStr">
        <is>
          <t>NS</t>
        </is>
      </c>
      <c r="N82" s="3" t="inlineStr">
        <is>
          <t>Cold Soldering</t>
        </is>
      </c>
      <c r="O82" s="3" t="n">
        <v>570</v>
      </c>
      <c r="P82" s="9" t="inlineStr">
        <is>
          <t>NSMI24060111391</t>
        </is>
      </c>
      <c r="Q82" s="53">
        <f>MID(P82,5,2)</f>
        <v/>
      </c>
      <c r="R82" s="53">
        <f>MID(P82,7,2)</f>
        <v/>
      </c>
      <c r="S82" s="3" t="inlineStr">
        <is>
          <t>G2G</t>
        </is>
      </c>
      <c r="T82" s="3" t="inlineStr">
        <is>
          <t>P4</t>
        </is>
      </c>
      <c r="U82" s="3" t="inlineStr">
        <is>
          <t>N JB Cold Soldering</t>
        </is>
      </c>
      <c r="V82" s="3" t="inlineStr">
        <is>
          <t>Soldering</t>
        </is>
      </c>
      <c r="W82" s="3" t="inlineStr">
        <is>
          <t>Repair</t>
        </is>
      </c>
      <c r="X82" s="18" t="n">
        <v>46144</v>
      </c>
      <c r="Y82" s="3">
        <f>X82-A82</f>
        <v/>
      </c>
      <c r="Z82" s="18" t="n">
        <v>46144</v>
      </c>
      <c r="AA82" s="3" t="n"/>
      <c r="AB82" s="3" t="n"/>
    </row>
    <row r="83" hidden="1" s="233">
      <c r="A83" s="6" t="n">
        <v>46107</v>
      </c>
      <c r="B83" s="3" t="n">
        <v>2026</v>
      </c>
      <c r="C83" s="3" t="inlineStr">
        <is>
          <t>Blupine</t>
        </is>
      </c>
      <c r="D83" s="3" t="inlineStr">
        <is>
          <t>Utility and C&amp;I</t>
        </is>
      </c>
      <c r="E83" s="3" t="n"/>
      <c r="F83" s="3" t="inlineStr">
        <is>
          <t>Closed</t>
        </is>
      </c>
      <c r="G83" s="3" t="inlineStr">
        <is>
          <t>Chandrashekar Patidar</t>
        </is>
      </c>
      <c r="H83" s="3" t="n">
        <v>7879764773</v>
      </c>
      <c r="I83" s="11" t="inlineStr">
        <is>
          <t>PE26032601</t>
        </is>
      </c>
      <c r="J83" s="3" t="inlineStr">
        <is>
          <t>Module Diode Failure</t>
        </is>
      </c>
      <c r="K83" s="3" t="inlineStr">
        <is>
          <t>Sadla</t>
        </is>
      </c>
      <c r="L83" s="3" t="inlineStr">
        <is>
          <t>Gujarat</t>
        </is>
      </c>
      <c r="M83" s="9" t="inlineStr">
        <is>
          <t>NS</t>
        </is>
      </c>
      <c r="N83" s="3" t="inlineStr">
        <is>
          <t>Cold Soldering</t>
        </is>
      </c>
      <c r="O83" s="3" t="n">
        <v>570</v>
      </c>
      <c r="P83" s="9" t="inlineStr">
        <is>
          <t>NSMI24060074003</t>
        </is>
      </c>
      <c r="Q83" s="53">
        <f>MID(P83,5,2)</f>
        <v/>
      </c>
      <c r="R83" s="53">
        <f>MID(P83,7,2)</f>
        <v/>
      </c>
      <c r="S83" s="3" t="inlineStr">
        <is>
          <t>G2G</t>
        </is>
      </c>
      <c r="T83" s="3" t="inlineStr">
        <is>
          <t>P4</t>
        </is>
      </c>
      <c r="U83" s="3" t="inlineStr">
        <is>
          <t>N JB Cold Soldering</t>
        </is>
      </c>
      <c r="V83" s="3" t="inlineStr">
        <is>
          <t>Soldering</t>
        </is>
      </c>
      <c r="W83" s="3" t="inlineStr">
        <is>
          <t>Repair</t>
        </is>
      </c>
      <c r="X83" s="18" t="n">
        <v>46144</v>
      </c>
      <c r="Y83" s="3">
        <f>X83-A83</f>
        <v/>
      </c>
      <c r="Z83" s="18" t="n">
        <v>46144</v>
      </c>
      <c r="AA83" s="3" t="n"/>
      <c r="AB83" s="3" t="n"/>
    </row>
    <row r="84" hidden="1" s="233">
      <c r="A84" s="6" t="n">
        <v>46107</v>
      </c>
      <c r="B84" s="3" t="n">
        <v>2026</v>
      </c>
      <c r="C84" s="3" t="inlineStr">
        <is>
          <t>Blupine</t>
        </is>
      </c>
      <c r="D84" s="3" t="inlineStr">
        <is>
          <t>Utility and C&amp;I</t>
        </is>
      </c>
      <c r="E84" s="3" t="n"/>
      <c r="F84" s="3" t="inlineStr">
        <is>
          <t>Closed</t>
        </is>
      </c>
      <c r="G84" s="3" t="inlineStr">
        <is>
          <t>Chandrashekar Patidar</t>
        </is>
      </c>
      <c r="H84" s="3" t="n">
        <v>7879764773</v>
      </c>
      <c r="I84" s="11" t="inlineStr">
        <is>
          <t>PE26032601</t>
        </is>
      </c>
      <c r="J84" s="3" t="inlineStr">
        <is>
          <t>Module Diode Failure</t>
        </is>
      </c>
      <c r="K84" s="3" t="inlineStr">
        <is>
          <t>Sadla</t>
        </is>
      </c>
      <c r="L84" s="3" t="inlineStr">
        <is>
          <t>Gujarat</t>
        </is>
      </c>
      <c r="M84" s="9" t="inlineStr">
        <is>
          <t>NS</t>
        </is>
      </c>
      <c r="N84" s="3" t="inlineStr">
        <is>
          <t>Cold Soldering</t>
        </is>
      </c>
      <c r="O84" s="3" t="n">
        <v>570</v>
      </c>
      <c r="P84" s="9" t="inlineStr">
        <is>
          <t>NSMI24060078840</t>
        </is>
      </c>
      <c r="Q84" s="53">
        <f>MID(P84,5,2)</f>
        <v/>
      </c>
      <c r="R84" s="53">
        <f>MID(P84,7,2)</f>
        <v/>
      </c>
      <c r="S84" s="3" t="inlineStr">
        <is>
          <t>G2G</t>
        </is>
      </c>
      <c r="T84" s="3" t="inlineStr">
        <is>
          <t>P4</t>
        </is>
      </c>
      <c r="U84" s="3" t="inlineStr">
        <is>
          <t>N JB Cold Soldering</t>
        </is>
      </c>
      <c r="V84" s="3" t="inlineStr">
        <is>
          <t>Soldering</t>
        </is>
      </c>
      <c r="W84" s="3" t="inlineStr">
        <is>
          <t>Repair</t>
        </is>
      </c>
      <c r="X84" s="18" t="n">
        <v>46144</v>
      </c>
      <c r="Y84" s="3">
        <f>X84-A84</f>
        <v/>
      </c>
      <c r="Z84" s="18" t="n">
        <v>46144</v>
      </c>
      <c r="AA84" s="3" t="n"/>
      <c r="AB84" s="3" t="n"/>
    </row>
    <row r="85" hidden="1" s="233">
      <c r="A85" s="6" t="n">
        <v>46107</v>
      </c>
      <c r="B85" s="3" t="n">
        <v>2026</v>
      </c>
      <c r="C85" s="3" t="inlineStr">
        <is>
          <t>Blupine</t>
        </is>
      </c>
      <c r="D85" s="3" t="inlineStr">
        <is>
          <t>Utility and C&amp;I</t>
        </is>
      </c>
      <c r="E85" s="3" t="n"/>
      <c r="F85" s="3" t="inlineStr">
        <is>
          <t>Closed</t>
        </is>
      </c>
      <c r="G85" s="3" t="inlineStr">
        <is>
          <t>Chandrashekar Patidar</t>
        </is>
      </c>
      <c r="H85" s="3" t="n">
        <v>7879764773</v>
      </c>
      <c r="I85" s="11" t="inlineStr">
        <is>
          <t>PE26032601</t>
        </is>
      </c>
      <c r="J85" s="3" t="inlineStr">
        <is>
          <t>Module Diode Failure</t>
        </is>
      </c>
      <c r="K85" s="3" t="inlineStr">
        <is>
          <t>Sadla</t>
        </is>
      </c>
      <c r="L85" s="3" t="inlineStr">
        <is>
          <t>Gujarat</t>
        </is>
      </c>
      <c r="M85" s="9" t="inlineStr">
        <is>
          <t>PS</t>
        </is>
      </c>
      <c r="N85" s="3" t="inlineStr">
        <is>
          <t>Cold Soldering</t>
        </is>
      </c>
      <c r="O85" s="3" t="n">
        <v>570</v>
      </c>
      <c r="P85" s="9" t="inlineStr">
        <is>
          <t>NSMI24060078853</t>
        </is>
      </c>
      <c r="Q85" s="53">
        <f>MID(P85,5,2)</f>
        <v/>
      </c>
      <c r="R85" s="53">
        <f>MID(P85,7,2)</f>
        <v/>
      </c>
      <c r="S85" s="3" t="inlineStr">
        <is>
          <t>G2G</t>
        </is>
      </c>
      <c r="T85" s="3" t="inlineStr">
        <is>
          <t>P4</t>
        </is>
      </c>
      <c r="U85" s="3" t="inlineStr">
        <is>
          <t>P JB Cold Soldering</t>
        </is>
      </c>
      <c r="V85" s="3" t="inlineStr">
        <is>
          <t>Soldering</t>
        </is>
      </c>
      <c r="W85" s="3" t="inlineStr">
        <is>
          <t>Repair</t>
        </is>
      </c>
      <c r="X85" s="18" t="n">
        <v>46144</v>
      </c>
      <c r="Y85" s="3">
        <f>X85-A85</f>
        <v/>
      </c>
      <c r="Z85" s="18" t="n">
        <v>46144</v>
      </c>
      <c r="AA85" s="3" t="n"/>
      <c r="AB85" s="3" t="n"/>
    </row>
    <row r="86" hidden="1" s="233">
      <c r="A86" s="6" t="n">
        <v>46107</v>
      </c>
      <c r="B86" s="3" t="n">
        <v>2026</v>
      </c>
      <c r="C86" s="3" t="inlineStr">
        <is>
          <t>Blupine</t>
        </is>
      </c>
      <c r="D86" s="3" t="inlineStr">
        <is>
          <t>Utility and C&amp;I</t>
        </is>
      </c>
      <c r="E86" s="3" t="n"/>
      <c r="F86" s="3" t="inlineStr">
        <is>
          <t>Closed</t>
        </is>
      </c>
      <c r="G86" s="3" t="inlineStr">
        <is>
          <t>Chandrashekar Patidar</t>
        </is>
      </c>
      <c r="H86" s="3" t="n">
        <v>7879764773</v>
      </c>
      <c r="I86" s="11" t="inlineStr">
        <is>
          <t>PE26032601</t>
        </is>
      </c>
      <c r="J86" s="3" t="inlineStr">
        <is>
          <t>Module Diode Failure</t>
        </is>
      </c>
      <c r="K86" s="3" t="inlineStr">
        <is>
          <t>Sadla</t>
        </is>
      </c>
      <c r="L86" s="3" t="inlineStr">
        <is>
          <t>Gujarat</t>
        </is>
      </c>
      <c r="M86" s="9" t="inlineStr">
        <is>
          <t>NS</t>
        </is>
      </c>
      <c r="N86" s="3" t="inlineStr">
        <is>
          <t>Cold Soldering</t>
        </is>
      </c>
      <c r="O86" s="3" t="n">
        <v>570</v>
      </c>
      <c r="P86" s="9" t="inlineStr">
        <is>
          <t>NSMI24060077093</t>
        </is>
      </c>
      <c r="Q86" s="53">
        <f>MID(P86,5,2)</f>
        <v/>
      </c>
      <c r="R86" s="53">
        <f>MID(P86,7,2)</f>
        <v/>
      </c>
      <c r="S86" s="3" t="inlineStr">
        <is>
          <t>G2G</t>
        </is>
      </c>
      <c r="T86" s="3" t="inlineStr">
        <is>
          <t>P4</t>
        </is>
      </c>
      <c r="U86" s="3" t="inlineStr">
        <is>
          <t>N JB Cold Soldering</t>
        </is>
      </c>
      <c r="V86" s="3" t="inlineStr">
        <is>
          <t>Soldering</t>
        </is>
      </c>
      <c r="W86" s="3" t="inlineStr">
        <is>
          <t>Repair</t>
        </is>
      </c>
      <c r="X86" s="18" t="n">
        <v>46144</v>
      </c>
      <c r="Y86" s="3">
        <f>X86-A86</f>
        <v/>
      </c>
      <c r="Z86" s="18" t="n">
        <v>46144</v>
      </c>
      <c r="AA86" s="3" t="n"/>
      <c r="AB86" s="3" t="n"/>
    </row>
    <row r="87" hidden="1" s="233">
      <c r="A87" s="6" t="n">
        <v>46107</v>
      </c>
      <c r="B87" s="3" t="n">
        <v>2026</v>
      </c>
      <c r="C87" s="3" t="inlineStr">
        <is>
          <t>Blupine</t>
        </is>
      </c>
      <c r="D87" s="3" t="inlineStr">
        <is>
          <t>Utility and C&amp;I</t>
        </is>
      </c>
      <c r="E87" s="3" t="n"/>
      <c r="F87" s="3" t="inlineStr">
        <is>
          <t>Closed</t>
        </is>
      </c>
      <c r="G87" s="3" t="inlineStr">
        <is>
          <t>Chandrashekar Patidar</t>
        </is>
      </c>
      <c r="H87" s="3" t="n">
        <v>7879764773</v>
      </c>
      <c r="I87" s="11" t="inlineStr">
        <is>
          <t>PE26032601</t>
        </is>
      </c>
      <c r="J87" s="3" t="inlineStr">
        <is>
          <t>Module Diode Failure</t>
        </is>
      </c>
      <c r="K87" s="3" t="inlineStr">
        <is>
          <t>Sadla</t>
        </is>
      </c>
      <c r="L87" s="3" t="inlineStr">
        <is>
          <t>Gujarat</t>
        </is>
      </c>
      <c r="M87" s="9" t="inlineStr">
        <is>
          <t>NS</t>
        </is>
      </c>
      <c r="N87" s="3" t="inlineStr">
        <is>
          <t>Cold Soldering</t>
        </is>
      </c>
      <c r="O87" s="3" t="n">
        <v>570</v>
      </c>
      <c r="P87" s="9" t="inlineStr">
        <is>
          <t>NSMI24050046857</t>
        </is>
      </c>
      <c r="Q87" s="53">
        <f>MID(P87,5,2)</f>
        <v/>
      </c>
      <c r="R87" s="53">
        <f>MID(P87,7,2)</f>
        <v/>
      </c>
      <c r="S87" s="3" t="inlineStr">
        <is>
          <t>G2G</t>
        </is>
      </c>
      <c r="T87" s="3" t="inlineStr">
        <is>
          <t>P4</t>
        </is>
      </c>
      <c r="U87" s="3" t="inlineStr">
        <is>
          <t>N JB Cold Soldering</t>
        </is>
      </c>
      <c r="V87" s="3" t="inlineStr">
        <is>
          <t>Soldering</t>
        </is>
      </c>
      <c r="W87" s="3" t="inlineStr">
        <is>
          <t>Repair</t>
        </is>
      </c>
      <c r="X87" s="18" t="n">
        <v>46144</v>
      </c>
      <c r="Y87" s="3">
        <f>X87-A87</f>
        <v/>
      </c>
      <c r="Z87" s="18" t="n">
        <v>46144</v>
      </c>
      <c r="AA87" s="3" t="n"/>
      <c r="AB87" s="3" t="n"/>
    </row>
    <row r="88" hidden="1" s="233">
      <c r="A88" s="6" t="n">
        <v>46107</v>
      </c>
      <c r="B88" s="3" t="n">
        <v>2026</v>
      </c>
      <c r="C88" s="3" t="inlineStr">
        <is>
          <t>Blupine</t>
        </is>
      </c>
      <c r="D88" s="3" t="inlineStr">
        <is>
          <t>Utility and C&amp;I</t>
        </is>
      </c>
      <c r="E88" s="3" t="n"/>
      <c r="F88" s="3" t="inlineStr">
        <is>
          <t>Closed</t>
        </is>
      </c>
      <c r="G88" s="3" t="inlineStr">
        <is>
          <t>Chandrashekar Patidar</t>
        </is>
      </c>
      <c r="H88" s="3" t="n">
        <v>7879764773</v>
      </c>
      <c r="I88" s="11" t="inlineStr">
        <is>
          <t>PE26032601</t>
        </is>
      </c>
      <c r="J88" s="3" t="inlineStr">
        <is>
          <t>Module Diode Failure</t>
        </is>
      </c>
      <c r="K88" s="3" t="inlineStr">
        <is>
          <t>Sadla</t>
        </is>
      </c>
      <c r="L88" s="3" t="inlineStr">
        <is>
          <t>Gujarat</t>
        </is>
      </c>
      <c r="M88" s="9" t="inlineStr">
        <is>
          <t xml:space="preserve">NS </t>
        </is>
      </c>
      <c r="N88" s="3" t="inlineStr">
        <is>
          <t>Cold Soldering</t>
        </is>
      </c>
      <c r="O88" s="3" t="n">
        <v>570</v>
      </c>
      <c r="P88" s="9" t="inlineStr">
        <is>
          <t>NSMI24050046889</t>
        </is>
      </c>
      <c r="Q88" s="53">
        <f>MID(P88,5,2)</f>
        <v/>
      </c>
      <c r="R88" s="53">
        <f>MID(P88,7,2)</f>
        <v/>
      </c>
      <c r="S88" s="3" t="inlineStr">
        <is>
          <t>G2G</t>
        </is>
      </c>
      <c r="T88" s="3" t="inlineStr">
        <is>
          <t>P4</t>
        </is>
      </c>
      <c r="U88" s="3" t="inlineStr">
        <is>
          <t>N JB Cold Soldering</t>
        </is>
      </c>
      <c r="V88" s="3" t="inlineStr">
        <is>
          <t>Soldering</t>
        </is>
      </c>
      <c r="W88" s="3" t="inlineStr">
        <is>
          <t>Repair</t>
        </is>
      </c>
      <c r="X88" s="18" t="n">
        <v>46144</v>
      </c>
      <c r="Y88" s="3">
        <f>X88-A88</f>
        <v/>
      </c>
      <c r="Z88" s="18" t="n">
        <v>46144</v>
      </c>
      <c r="AA88" s="3" t="n"/>
      <c r="AB88" s="3" t="n"/>
    </row>
    <row r="89" hidden="1" s="233">
      <c r="A89" s="6" t="n">
        <v>46107</v>
      </c>
      <c r="B89" s="3" t="n">
        <v>2026</v>
      </c>
      <c r="C89" s="3" t="inlineStr">
        <is>
          <t>Blupine</t>
        </is>
      </c>
      <c r="D89" s="3" t="inlineStr">
        <is>
          <t>Utility and C&amp;I</t>
        </is>
      </c>
      <c r="E89" s="3" t="n"/>
      <c r="F89" s="3" t="inlineStr">
        <is>
          <t>Closed</t>
        </is>
      </c>
      <c r="G89" s="3" t="inlineStr">
        <is>
          <t>Chandrashekar Patidar</t>
        </is>
      </c>
      <c r="H89" s="3" t="n">
        <v>7879764773</v>
      </c>
      <c r="I89" s="11" t="inlineStr">
        <is>
          <t>PE26032601</t>
        </is>
      </c>
      <c r="J89" s="3" t="inlineStr">
        <is>
          <t>Module Diode Failure</t>
        </is>
      </c>
      <c r="K89" s="3" t="inlineStr">
        <is>
          <t>Sadla</t>
        </is>
      </c>
      <c r="L89" s="3" t="inlineStr">
        <is>
          <t>Gujarat</t>
        </is>
      </c>
      <c r="M89" s="9" t="inlineStr">
        <is>
          <t xml:space="preserve">NS </t>
        </is>
      </c>
      <c r="N89" s="3" t="inlineStr">
        <is>
          <t>Cold Soldering</t>
        </is>
      </c>
      <c r="O89" s="3" t="n">
        <v>570</v>
      </c>
      <c r="P89" s="9" t="inlineStr">
        <is>
          <t>NSMI24050046914</t>
        </is>
      </c>
      <c r="Q89" s="53">
        <f>MID(P89,5,2)</f>
        <v/>
      </c>
      <c r="R89" s="53">
        <f>MID(P89,7,2)</f>
        <v/>
      </c>
      <c r="S89" s="3" t="inlineStr">
        <is>
          <t>G2G</t>
        </is>
      </c>
      <c r="T89" s="3" t="inlineStr">
        <is>
          <t>P4</t>
        </is>
      </c>
      <c r="U89" s="3" t="inlineStr">
        <is>
          <t>N JB Cold Soldering</t>
        </is>
      </c>
      <c r="V89" s="3" t="inlineStr">
        <is>
          <t>Soldering</t>
        </is>
      </c>
      <c r="W89" s="3" t="inlineStr">
        <is>
          <t>Repair</t>
        </is>
      </c>
      <c r="X89" s="18" t="n">
        <v>46144</v>
      </c>
      <c r="Y89" s="3">
        <f>X89-A89</f>
        <v/>
      </c>
      <c r="Z89" s="18" t="n">
        <v>46144</v>
      </c>
      <c r="AA89" s="3" t="n"/>
      <c r="AB89" s="3" t="n"/>
    </row>
    <row r="90" hidden="1" s="233">
      <c r="A90" s="6" t="n">
        <v>46107</v>
      </c>
      <c r="B90" s="3" t="n">
        <v>2026</v>
      </c>
      <c r="C90" s="3" t="inlineStr">
        <is>
          <t>Blupine</t>
        </is>
      </c>
      <c r="D90" s="3" t="inlineStr">
        <is>
          <t>Utility and C&amp;I</t>
        </is>
      </c>
      <c r="E90" s="3" t="n"/>
      <c r="F90" s="3" t="inlineStr">
        <is>
          <t>Closed</t>
        </is>
      </c>
      <c r="G90" s="3" t="inlineStr">
        <is>
          <t>Chandrashekar Patidar</t>
        </is>
      </c>
      <c r="H90" s="3" t="n">
        <v>7879764773</v>
      </c>
      <c r="I90" s="11" t="inlineStr">
        <is>
          <t>PE26032601</t>
        </is>
      </c>
      <c r="J90" s="3" t="inlineStr">
        <is>
          <t>Module Diode Failure</t>
        </is>
      </c>
      <c r="K90" s="3" t="inlineStr">
        <is>
          <t>Sadla</t>
        </is>
      </c>
      <c r="L90" s="3" t="inlineStr">
        <is>
          <t>Gujarat</t>
        </is>
      </c>
      <c r="M90" s="9" t="inlineStr">
        <is>
          <t xml:space="preserve">NS </t>
        </is>
      </c>
      <c r="N90" s="3" t="inlineStr">
        <is>
          <t>Cold Soldering</t>
        </is>
      </c>
      <c r="O90" s="3" t="n">
        <v>570</v>
      </c>
      <c r="P90" s="9" t="inlineStr">
        <is>
          <t>NSMI24050065998</t>
        </is>
      </c>
      <c r="Q90" s="53">
        <f>MID(P90,5,2)</f>
        <v/>
      </c>
      <c r="R90" s="53">
        <f>MID(P90,7,2)</f>
        <v/>
      </c>
      <c r="S90" s="3" t="inlineStr">
        <is>
          <t>G2G</t>
        </is>
      </c>
      <c r="T90" s="3" t="inlineStr">
        <is>
          <t>P4</t>
        </is>
      </c>
      <c r="U90" s="3" t="inlineStr">
        <is>
          <t>N JB Cold Soldering</t>
        </is>
      </c>
      <c r="V90" s="3" t="inlineStr">
        <is>
          <t>Soldering</t>
        </is>
      </c>
      <c r="W90" s="3" t="inlineStr">
        <is>
          <t>Repair</t>
        </is>
      </c>
      <c r="X90" s="18" t="n">
        <v>46144</v>
      </c>
      <c r="Y90" s="3">
        <f>X90-A90</f>
        <v/>
      </c>
      <c r="Z90" s="18" t="n">
        <v>46144</v>
      </c>
      <c r="AA90" s="15" t="n"/>
      <c r="AB90" s="15" t="n"/>
    </row>
    <row r="91" hidden="1" s="233">
      <c r="A91" s="6" t="n">
        <v>46107</v>
      </c>
      <c r="B91" s="3" t="n">
        <v>2026</v>
      </c>
      <c r="C91" s="3" t="inlineStr">
        <is>
          <t>Blupine</t>
        </is>
      </c>
      <c r="D91" s="3" t="inlineStr">
        <is>
          <t>Utility and C&amp;I</t>
        </is>
      </c>
      <c r="E91" s="3" t="n"/>
      <c r="F91" s="3" t="inlineStr">
        <is>
          <t>Closed</t>
        </is>
      </c>
      <c r="G91" s="3" t="inlineStr">
        <is>
          <t>Chandrashekar Patidar</t>
        </is>
      </c>
      <c r="H91" s="3" t="n">
        <v>7879764773</v>
      </c>
      <c r="I91" s="11" t="inlineStr">
        <is>
          <t>PE26032601</t>
        </is>
      </c>
      <c r="J91" s="3" t="inlineStr">
        <is>
          <t>Module Diode Failure</t>
        </is>
      </c>
      <c r="K91" s="3" t="inlineStr">
        <is>
          <t>Sadla</t>
        </is>
      </c>
      <c r="L91" s="3" t="inlineStr">
        <is>
          <t>Gujarat</t>
        </is>
      </c>
      <c r="M91" s="9" t="inlineStr">
        <is>
          <t>PS</t>
        </is>
      </c>
      <c r="N91" s="3" t="inlineStr">
        <is>
          <t>Cold Soldering</t>
        </is>
      </c>
      <c r="O91" s="3" t="n">
        <v>570</v>
      </c>
      <c r="P91" s="9" t="inlineStr">
        <is>
          <t>NSMI24050066028</t>
        </is>
      </c>
      <c r="Q91" s="53">
        <f>MID(P91,5,2)</f>
        <v/>
      </c>
      <c r="R91" s="53">
        <f>MID(P91,7,2)</f>
        <v/>
      </c>
      <c r="S91" s="3" t="inlineStr">
        <is>
          <t>G2G</t>
        </is>
      </c>
      <c r="T91" s="3" t="inlineStr">
        <is>
          <t>P4</t>
        </is>
      </c>
      <c r="U91" s="3" t="inlineStr">
        <is>
          <t>P JB Cold Soldering</t>
        </is>
      </c>
      <c r="V91" s="3" t="inlineStr">
        <is>
          <t>Soldering</t>
        </is>
      </c>
      <c r="W91" s="3" t="inlineStr">
        <is>
          <t>Repair</t>
        </is>
      </c>
      <c r="X91" s="18" t="n">
        <v>46144</v>
      </c>
      <c r="Y91" s="3">
        <f>X91-A91</f>
        <v/>
      </c>
      <c r="Z91" s="18" t="n">
        <v>46144</v>
      </c>
      <c r="AA91" s="3" t="n"/>
      <c r="AB91" s="3" t="n"/>
    </row>
    <row r="92" hidden="1" s="233">
      <c r="A92" s="6" t="n">
        <v>46107</v>
      </c>
      <c r="B92" s="3" t="n">
        <v>2026</v>
      </c>
      <c r="C92" s="3" t="inlineStr">
        <is>
          <t>Blupine</t>
        </is>
      </c>
      <c r="D92" s="3" t="inlineStr">
        <is>
          <t>Utility and C&amp;I</t>
        </is>
      </c>
      <c r="E92" s="3" t="n"/>
      <c r="F92" s="3" t="inlineStr">
        <is>
          <t>Closed</t>
        </is>
      </c>
      <c r="G92" s="3" t="inlineStr">
        <is>
          <t>Chandrashekar Patidar</t>
        </is>
      </c>
      <c r="H92" s="3" t="n">
        <v>7879764773</v>
      </c>
      <c r="I92" s="11" t="inlineStr">
        <is>
          <t>PE26032601</t>
        </is>
      </c>
      <c r="J92" s="3" t="inlineStr">
        <is>
          <t>Module Diode Failure</t>
        </is>
      </c>
      <c r="K92" s="3" t="inlineStr">
        <is>
          <t>Sadla</t>
        </is>
      </c>
      <c r="L92" s="3" t="inlineStr">
        <is>
          <t>Gujarat</t>
        </is>
      </c>
      <c r="M92" s="9" t="inlineStr">
        <is>
          <t>PS</t>
        </is>
      </c>
      <c r="N92" s="3" t="inlineStr">
        <is>
          <t>Cold Soldering</t>
        </is>
      </c>
      <c r="O92" s="3" t="n">
        <v>570</v>
      </c>
      <c r="P92" s="9" t="inlineStr">
        <is>
          <t>NSMI24060082702</t>
        </is>
      </c>
      <c r="Q92" s="53">
        <f>MID(P92,5,2)</f>
        <v/>
      </c>
      <c r="R92" s="53">
        <f>MID(P92,7,2)</f>
        <v/>
      </c>
      <c r="S92" s="3" t="inlineStr">
        <is>
          <t>G2G</t>
        </is>
      </c>
      <c r="T92" s="3" t="inlineStr">
        <is>
          <t>P4</t>
        </is>
      </c>
      <c r="U92" s="3" t="inlineStr">
        <is>
          <t>P JB Cold Soldering</t>
        </is>
      </c>
      <c r="V92" s="3" t="inlineStr">
        <is>
          <t>Soldering</t>
        </is>
      </c>
      <c r="W92" s="3" t="inlineStr">
        <is>
          <t>Repair</t>
        </is>
      </c>
      <c r="X92" s="18" t="n">
        <v>46144</v>
      </c>
      <c r="Y92" s="3">
        <f>X92-A92</f>
        <v/>
      </c>
      <c r="Z92" s="18" t="n">
        <v>46144</v>
      </c>
      <c r="AA92" s="15" t="n"/>
      <c r="AB92" s="15" t="n"/>
    </row>
    <row r="93" hidden="1" s="233">
      <c r="A93" s="6" t="n">
        <v>46107</v>
      </c>
      <c r="B93" s="3" t="n">
        <v>2026</v>
      </c>
      <c r="C93" s="3" t="inlineStr">
        <is>
          <t>Blupine</t>
        </is>
      </c>
      <c r="D93" s="3" t="inlineStr">
        <is>
          <t>Utility and C&amp;I</t>
        </is>
      </c>
      <c r="E93" s="3" t="n"/>
      <c r="F93" s="3" t="inlineStr">
        <is>
          <t>Closed</t>
        </is>
      </c>
      <c r="G93" s="3" t="inlineStr">
        <is>
          <t>Chandrashekar Patidar</t>
        </is>
      </c>
      <c r="H93" s="3" t="n">
        <v>7879764773</v>
      </c>
      <c r="I93" s="11" t="inlineStr">
        <is>
          <t>PE26032601</t>
        </is>
      </c>
      <c r="J93" s="3" t="inlineStr">
        <is>
          <t>Module Diode Failure</t>
        </is>
      </c>
      <c r="K93" s="3" t="inlineStr">
        <is>
          <t>Sadla</t>
        </is>
      </c>
      <c r="L93" s="3" t="inlineStr">
        <is>
          <t>Gujarat</t>
        </is>
      </c>
      <c r="M93" s="9" t="inlineStr">
        <is>
          <t xml:space="preserve">NS </t>
        </is>
      </c>
      <c r="N93" s="3" t="inlineStr">
        <is>
          <t>Cold Soldering</t>
        </is>
      </c>
      <c r="O93" s="3" t="n">
        <v>570</v>
      </c>
      <c r="P93" s="9" t="inlineStr">
        <is>
          <t>NSMI24050045752</t>
        </is>
      </c>
      <c r="Q93" s="53">
        <f>MID(P93,5,2)</f>
        <v/>
      </c>
      <c r="R93" s="53">
        <f>MID(P93,7,2)</f>
        <v/>
      </c>
      <c r="S93" s="3" t="inlineStr">
        <is>
          <t>G2G</t>
        </is>
      </c>
      <c r="T93" s="3" t="inlineStr">
        <is>
          <t>P4</t>
        </is>
      </c>
      <c r="U93" s="3" t="inlineStr">
        <is>
          <t>N JB Cold Soldering</t>
        </is>
      </c>
      <c r="V93" s="3" t="inlineStr">
        <is>
          <t>Soldering</t>
        </is>
      </c>
      <c r="W93" s="3" t="inlineStr">
        <is>
          <t>Repair</t>
        </is>
      </c>
      <c r="X93" s="18" t="n">
        <v>46144</v>
      </c>
      <c r="Y93" s="3">
        <f>X93-A93</f>
        <v/>
      </c>
      <c r="Z93" s="18" t="n">
        <v>46144</v>
      </c>
      <c r="AA93" s="3" t="n"/>
      <c r="AB93" s="3" t="n"/>
    </row>
    <row r="94" hidden="1" s="233">
      <c r="A94" s="6" t="n">
        <v>46107</v>
      </c>
      <c r="B94" s="3" t="n">
        <v>2026</v>
      </c>
      <c r="C94" s="3" t="inlineStr">
        <is>
          <t>Blupine</t>
        </is>
      </c>
      <c r="D94" s="3" t="inlineStr">
        <is>
          <t>Utility and C&amp;I</t>
        </is>
      </c>
      <c r="E94" s="3" t="n"/>
      <c r="F94" s="3" t="inlineStr">
        <is>
          <t>Closed</t>
        </is>
      </c>
      <c r="G94" s="3" t="inlineStr">
        <is>
          <t>Chandrashekar Patidar</t>
        </is>
      </c>
      <c r="H94" s="3" t="n">
        <v>7879764773</v>
      </c>
      <c r="I94" s="11" t="inlineStr">
        <is>
          <t>PE26032601</t>
        </is>
      </c>
      <c r="J94" s="3" t="inlineStr">
        <is>
          <t>Module Diode Failure</t>
        </is>
      </c>
      <c r="K94" s="3" t="inlineStr">
        <is>
          <t>Sadla</t>
        </is>
      </c>
      <c r="L94" s="3" t="inlineStr">
        <is>
          <t>Gujarat</t>
        </is>
      </c>
      <c r="M94" s="9" t="inlineStr">
        <is>
          <t xml:space="preserve">NS </t>
        </is>
      </c>
      <c r="N94" s="3" t="inlineStr">
        <is>
          <t>Cold Soldering</t>
        </is>
      </c>
      <c r="O94" s="3" t="n">
        <v>570</v>
      </c>
      <c r="P94" s="9" t="inlineStr">
        <is>
          <t>NSMI24050045826</t>
        </is>
      </c>
      <c r="Q94" s="53">
        <f>MID(P94,5,2)</f>
        <v/>
      </c>
      <c r="R94" s="53">
        <f>MID(P94,7,2)</f>
        <v/>
      </c>
      <c r="S94" s="3" t="inlineStr">
        <is>
          <t>G2G</t>
        </is>
      </c>
      <c r="T94" s="3" t="inlineStr">
        <is>
          <t>P4</t>
        </is>
      </c>
      <c r="U94" s="3" t="inlineStr">
        <is>
          <t>N JB Cold Soldering</t>
        </is>
      </c>
      <c r="V94" s="3" t="inlineStr">
        <is>
          <t>Soldering</t>
        </is>
      </c>
      <c r="W94" s="3" t="inlineStr">
        <is>
          <t>Repair</t>
        </is>
      </c>
      <c r="X94" s="18" t="n">
        <v>46144</v>
      </c>
      <c r="Y94" s="3">
        <f>X94-A94</f>
        <v/>
      </c>
      <c r="Z94" s="18" t="n">
        <v>46144</v>
      </c>
      <c r="AA94" s="15" t="n"/>
      <c r="AB94" s="15" t="n"/>
    </row>
    <row r="95" hidden="1" s="233">
      <c r="A95" s="6" t="n">
        <v>46107</v>
      </c>
      <c r="B95" s="3" t="n">
        <v>2026</v>
      </c>
      <c r="C95" s="3" t="inlineStr">
        <is>
          <t>Blupine</t>
        </is>
      </c>
      <c r="D95" s="3" t="inlineStr">
        <is>
          <t>Utility and C&amp;I</t>
        </is>
      </c>
      <c r="E95" s="3" t="n"/>
      <c r="F95" s="3" t="inlineStr">
        <is>
          <t>Closed</t>
        </is>
      </c>
      <c r="G95" s="3" t="inlineStr">
        <is>
          <t>Chandrashekar Patidar</t>
        </is>
      </c>
      <c r="H95" s="3" t="n">
        <v>7879764773</v>
      </c>
      <c r="I95" s="11" t="inlineStr">
        <is>
          <t>PE26032601</t>
        </is>
      </c>
      <c r="J95" s="3" t="inlineStr">
        <is>
          <t>Module Diode Failure</t>
        </is>
      </c>
      <c r="K95" s="3" t="inlineStr">
        <is>
          <t>Sadla</t>
        </is>
      </c>
      <c r="L95" s="3" t="inlineStr">
        <is>
          <t>Gujarat</t>
        </is>
      </c>
      <c r="M95" s="9" t="inlineStr">
        <is>
          <t xml:space="preserve">NS </t>
        </is>
      </c>
      <c r="N95" s="3" t="inlineStr">
        <is>
          <t>Cold Soldering</t>
        </is>
      </c>
      <c r="O95" s="3" t="n">
        <v>570</v>
      </c>
      <c r="P95" s="9" t="inlineStr">
        <is>
          <t>NSMI24050045828</t>
        </is>
      </c>
      <c r="Q95" s="53">
        <f>MID(P95,5,2)</f>
        <v/>
      </c>
      <c r="R95" s="53">
        <f>MID(P95,7,2)</f>
        <v/>
      </c>
      <c r="S95" s="3" t="inlineStr">
        <is>
          <t>G2G</t>
        </is>
      </c>
      <c r="T95" s="3" t="inlineStr">
        <is>
          <t>P4</t>
        </is>
      </c>
      <c r="U95" s="3" t="inlineStr">
        <is>
          <t>N JB Cold Soldering</t>
        </is>
      </c>
      <c r="V95" s="3" t="inlineStr">
        <is>
          <t>Soldering</t>
        </is>
      </c>
      <c r="W95" s="3" t="inlineStr">
        <is>
          <t>Repair</t>
        </is>
      </c>
      <c r="X95" s="18" t="n">
        <v>46144</v>
      </c>
      <c r="Y95" s="3">
        <f>X95-A95</f>
        <v/>
      </c>
      <c r="Z95" s="18" t="n">
        <v>46144</v>
      </c>
      <c r="AA95" s="3" t="n"/>
      <c r="AB95" s="3" t="n"/>
    </row>
    <row r="96" hidden="1" s="233">
      <c r="A96" s="6" t="n">
        <v>46107</v>
      </c>
      <c r="B96" s="3" t="n">
        <v>2026</v>
      </c>
      <c r="C96" s="3" t="inlineStr">
        <is>
          <t>Blupine</t>
        </is>
      </c>
      <c r="D96" s="3" t="inlineStr">
        <is>
          <t>Utility and C&amp;I</t>
        </is>
      </c>
      <c r="E96" s="3" t="n"/>
      <c r="F96" s="3" t="inlineStr">
        <is>
          <t>Closed</t>
        </is>
      </c>
      <c r="G96" s="3" t="inlineStr">
        <is>
          <t>Chandrashekar Patidar</t>
        </is>
      </c>
      <c r="H96" s="3" t="n">
        <v>7879764773</v>
      </c>
      <c r="I96" s="11" t="inlineStr">
        <is>
          <t>PE26032601</t>
        </is>
      </c>
      <c r="J96" s="3" t="inlineStr">
        <is>
          <t>Module Diode Failure</t>
        </is>
      </c>
      <c r="K96" s="3" t="inlineStr">
        <is>
          <t>Sadla</t>
        </is>
      </c>
      <c r="L96" s="3" t="inlineStr">
        <is>
          <t>Gujarat</t>
        </is>
      </c>
      <c r="M96" s="9" t="inlineStr">
        <is>
          <t xml:space="preserve">NS </t>
        </is>
      </c>
      <c r="N96" s="3" t="inlineStr">
        <is>
          <t>Cold Soldering</t>
        </is>
      </c>
      <c r="O96" s="3" t="n">
        <v>570</v>
      </c>
      <c r="P96" s="9" t="inlineStr">
        <is>
          <t>NSMI24050049501</t>
        </is>
      </c>
      <c r="Q96" s="53">
        <f>MID(P96,5,2)</f>
        <v/>
      </c>
      <c r="R96" s="53">
        <f>MID(P96,7,2)</f>
        <v/>
      </c>
      <c r="S96" s="3" t="inlineStr">
        <is>
          <t>G2G</t>
        </is>
      </c>
      <c r="T96" s="3" t="inlineStr">
        <is>
          <t>P4</t>
        </is>
      </c>
      <c r="U96" s="3" t="inlineStr">
        <is>
          <t>N JB Cold Soldering</t>
        </is>
      </c>
      <c r="V96" s="3" t="inlineStr">
        <is>
          <t>Soldering</t>
        </is>
      </c>
      <c r="W96" s="3" t="inlineStr">
        <is>
          <t>Repair</t>
        </is>
      </c>
      <c r="X96" s="18" t="n">
        <v>46144</v>
      </c>
      <c r="Y96" s="3">
        <f>X96-A96</f>
        <v/>
      </c>
      <c r="Z96" s="18" t="n">
        <v>46144</v>
      </c>
      <c r="AA96" s="15" t="n"/>
      <c r="AB96" s="15" t="n"/>
    </row>
    <row r="97" hidden="1" s="233">
      <c r="A97" s="6" t="n">
        <v>46107</v>
      </c>
      <c r="B97" s="3" t="n">
        <v>2026</v>
      </c>
      <c r="C97" s="3" t="inlineStr">
        <is>
          <t>Blupine</t>
        </is>
      </c>
      <c r="D97" s="3" t="inlineStr">
        <is>
          <t>Utility and C&amp;I</t>
        </is>
      </c>
      <c r="E97" s="3" t="n"/>
      <c r="F97" s="3" t="inlineStr">
        <is>
          <t>Closed</t>
        </is>
      </c>
      <c r="G97" s="3" t="inlineStr">
        <is>
          <t>Chandrashekar Patidar</t>
        </is>
      </c>
      <c r="H97" s="3" t="n">
        <v>7879764773</v>
      </c>
      <c r="I97" s="11" t="inlineStr">
        <is>
          <t>PE26032601</t>
        </is>
      </c>
      <c r="J97" s="3" t="inlineStr">
        <is>
          <t>Module Diode Failure</t>
        </is>
      </c>
      <c r="K97" s="3" t="inlineStr">
        <is>
          <t>Sadla</t>
        </is>
      </c>
      <c r="L97" s="3" t="inlineStr">
        <is>
          <t>Gujarat</t>
        </is>
      </c>
      <c r="M97" s="9" t="inlineStr">
        <is>
          <t>PNS</t>
        </is>
      </c>
      <c r="N97" s="3" t="inlineStr">
        <is>
          <t>Cold Soldering</t>
        </is>
      </c>
      <c r="O97" s="3" t="n">
        <v>570</v>
      </c>
      <c r="P97" s="9" t="inlineStr">
        <is>
          <t>NSMI24060076208</t>
        </is>
      </c>
      <c r="Q97" s="53">
        <f>MID(P97,5,2)</f>
        <v/>
      </c>
      <c r="R97" s="53">
        <f>MID(P97,7,2)</f>
        <v/>
      </c>
      <c r="S97" s="3" t="inlineStr">
        <is>
          <t>G2G</t>
        </is>
      </c>
      <c r="T97" s="3" t="inlineStr">
        <is>
          <t>P4</t>
        </is>
      </c>
      <c r="U97" s="3" t="inlineStr">
        <is>
          <t>P &amp; N JB Cold Soldering</t>
        </is>
      </c>
      <c r="V97" s="3" t="inlineStr">
        <is>
          <t>Soldering</t>
        </is>
      </c>
      <c r="W97" s="3" t="inlineStr">
        <is>
          <t>Repair</t>
        </is>
      </c>
      <c r="X97" s="18" t="n">
        <v>46144</v>
      </c>
      <c r="Y97" s="3">
        <f>X97-A97</f>
        <v/>
      </c>
      <c r="Z97" s="18" t="n">
        <v>46144</v>
      </c>
      <c r="AA97" s="3" t="n"/>
      <c r="AB97" s="3" t="n"/>
    </row>
    <row r="98" hidden="1" s="233">
      <c r="A98" s="6" t="n">
        <v>46107</v>
      </c>
      <c r="B98" s="3" t="n">
        <v>2026</v>
      </c>
      <c r="C98" s="3" t="inlineStr">
        <is>
          <t>Blupine</t>
        </is>
      </c>
      <c r="D98" s="3" t="inlineStr">
        <is>
          <t>Utility and C&amp;I</t>
        </is>
      </c>
      <c r="E98" s="3" t="n"/>
      <c r="F98" s="3" t="inlineStr">
        <is>
          <t>Closed</t>
        </is>
      </c>
      <c r="G98" s="3" t="inlineStr">
        <is>
          <t>Chandrashekar Patidar</t>
        </is>
      </c>
      <c r="H98" s="3" t="n">
        <v>7879764773</v>
      </c>
      <c r="I98" s="11" t="inlineStr">
        <is>
          <t>PE26032601</t>
        </is>
      </c>
      <c r="J98" s="3" t="inlineStr">
        <is>
          <t>Module Diode Failure</t>
        </is>
      </c>
      <c r="K98" s="3" t="inlineStr">
        <is>
          <t>Sadla</t>
        </is>
      </c>
      <c r="L98" s="3" t="inlineStr">
        <is>
          <t>Gujarat</t>
        </is>
      </c>
      <c r="M98" s="9" t="inlineStr">
        <is>
          <t xml:space="preserve">NS </t>
        </is>
      </c>
      <c r="N98" s="3" t="inlineStr">
        <is>
          <t>Cold Soldering</t>
        </is>
      </c>
      <c r="O98" s="3" t="n">
        <v>570</v>
      </c>
      <c r="P98" s="9" t="inlineStr">
        <is>
          <t>NSMI24060085869</t>
        </is>
      </c>
      <c r="Q98" s="53">
        <f>MID(P98,5,2)</f>
        <v/>
      </c>
      <c r="R98" s="53">
        <f>MID(P98,7,2)</f>
        <v/>
      </c>
      <c r="S98" s="3" t="inlineStr">
        <is>
          <t>G2G</t>
        </is>
      </c>
      <c r="T98" s="3" t="inlineStr">
        <is>
          <t>P4</t>
        </is>
      </c>
      <c r="U98" s="3" t="inlineStr">
        <is>
          <t>N JB Cold Soldering</t>
        </is>
      </c>
      <c r="V98" s="3" t="inlineStr">
        <is>
          <t>Soldering</t>
        </is>
      </c>
      <c r="W98" s="3" t="inlineStr">
        <is>
          <t>Repair</t>
        </is>
      </c>
      <c r="X98" s="18" t="n">
        <v>46144</v>
      </c>
      <c r="Y98" s="3">
        <f>X98-A98</f>
        <v/>
      </c>
      <c r="Z98" s="18" t="n">
        <v>46144</v>
      </c>
      <c r="AA98" s="15" t="n"/>
      <c r="AB98" s="15" t="n"/>
    </row>
    <row r="99" hidden="1" s="233">
      <c r="A99" s="6" t="n">
        <v>46107</v>
      </c>
      <c r="B99" s="3" t="n">
        <v>2026</v>
      </c>
      <c r="C99" s="3" t="inlineStr">
        <is>
          <t>Blupine</t>
        </is>
      </c>
      <c r="D99" s="3" t="inlineStr">
        <is>
          <t>Utility and C&amp;I</t>
        </is>
      </c>
      <c r="E99" s="3" t="n"/>
      <c r="F99" s="3" t="inlineStr">
        <is>
          <t>Closed</t>
        </is>
      </c>
      <c r="G99" s="3" t="inlineStr">
        <is>
          <t>Chandrashekar Patidar</t>
        </is>
      </c>
      <c r="H99" s="3" t="n">
        <v>7879764773</v>
      </c>
      <c r="I99" s="11" t="inlineStr">
        <is>
          <t>PE26032601</t>
        </is>
      </c>
      <c r="J99" s="3" t="inlineStr">
        <is>
          <t>Module Diode Failure</t>
        </is>
      </c>
      <c r="K99" s="3" t="inlineStr">
        <is>
          <t>Sadla</t>
        </is>
      </c>
      <c r="L99" s="3" t="inlineStr">
        <is>
          <t>Gujarat</t>
        </is>
      </c>
      <c r="M99" s="9" t="inlineStr">
        <is>
          <t>PS</t>
        </is>
      </c>
      <c r="N99" s="3" t="inlineStr">
        <is>
          <t>Cold Soldering</t>
        </is>
      </c>
      <c r="O99" s="3" t="n">
        <v>570</v>
      </c>
      <c r="P99" s="9" t="inlineStr">
        <is>
          <t>NSMI24060080626</t>
        </is>
      </c>
      <c r="Q99" s="53">
        <f>MID(P99,5,2)</f>
        <v/>
      </c>
      <c r="R99" s="53">
        <f>MID(P99,7,2)</f>
        <v/>
      </c>
      <c r="S99" s="3" t="inlineStr">
        <is>
          <t>G2G</t>
        </is>
      </c>
      <c r="T99" s="3" t="inlineStr">
        <is>
          <t>P4</t>
        </is>
      </c>
      <c r="U99" s="3" t="inlineStr">
        <is>
          <t>P JB Cold Soldering</t>
        </is>
      </c>
      <c r="V99" s="3" t="inlineStr">
        <is>
          <t>Soldering</t>
        </is>
      </c>
      <c r="W99" s="3" t="inlineStr">
        <is>
          <t>Repair</t>
        </is>
      </c>
      <c r="X99" s="18" t="n">
        <v>46144</v>
      </c>
      <c r="Y99" s="3">
        <f>X99-A99</f>
        <v/>
      </c>
      <c r="Z99" s="18" t="n">
        <v>46144</v>
      </c>
      <c r="AA99" s="3" t="n"/>
      <c r="AB99" s="3" t="n"/>
    </row>
    <row r="100" hidden="1" s="233">
      <c r="A100" s="6" t="n">
        <v>46107</v>
      </c>
      <c r="B100" s="3" t="n">
        <v>2026</v>
      </c>
      <c r="C100" s="3" t="inlineStr">
        <is>
          <t>Blupine</t>
        </is>
      </c>
      <c r="D100" s="3" t="inlineStr">
        <is>
          <t>Utility and C&amp;I</t>
        </is>
      </c>
      <c r="E100" s="3" t="n"/>
      <c r="F100" s="3" t="inlineStr">
        <is>
          <t>Closed</t>
        </is>
      </c>
      <c r="G100" s="3" t="inlineStr">
        <is>
          <t>Chandrashekar Patidar</t>
        </is>
      </c>
      <c r="H100" s="3" t="n">
        <v>7879764773</v>
      </c>
      <c r="I100" s="11" t="inlineStr">
        <is>
          <t>PE26032601</t>
        </is>
      </c>
      <c r="J100" s="3" t="inlineStr">
        <is>
          <t>Module Diode Failure</t>
        </is>
      </c>
      <c r="K100" s="3" t="inlineStr">
        <is>
          <t>Sadla</t>
        </is>
      </c>
      <c r="L100" s="3" t="inlineStr">
        <is>
          <t>Gujarat</t>
        </is>
      </c>
      <c r="M100" s="9" t="inlineStr">
        <is>
          <t>PS</t>
        </is>
      </c>
      <c r="N100" s="3" t="inlineStr">
        <is>
          <t>Cold Soldering</t>
        </is>
      </c>
      <c r="O100" s="3" t="n">
        <v>570</v>
      </c>
      <c r="P100" s="9" t="inlineStr">
        <is>
          <t>NSMI24060079795</t>
        </is>
      </c>
      <c r="Q100" s="53">
        <f>MID(P100,5,2)</f>
        <v/>
      </c>
      <c r="R100" s="53">
        <f>MID(P100,7,2)</f>
        <v/>
      </c>
      <c r="S100" s="3" t="inlineStr">
        <is>
          <t>G2G</t>
        </is>
      </c>
      <c r="T100" s="3" t="inlineStr">
        <is>
          <t>P4</t>
        </is>
      </c>
      <c r="U100" s="3" t="inlineStr">
        <is>
          <t>P JB Cold Soldering</t>
        </is>
      </c>
      <c r="V100" s="3" t="inlineStr">
        <is>
          <t>Soldering</t>
        </is>
      </c>
      <c r="W100" s="3" t="inlineStr">
        <is>
          <t>Repair</t>
        </is>
      </c>
      <c r="X100" s="18" t="n">
        <v>46144</v>
      </c>
      <c r="Y100" s="3">
        <f>X100-A100</f>
        <v/>
      </c>
      <c r="Z100" s="18" t="n">
        <v>46144</v>
      </c>
      <c r="AA100" s="15" t="n"/>
      <c r="AB100" s="15" t="n"/>
    </row>
    <row r="101" hidden="1" s="233">
      <c r="A101" s="6" t="n">
        <v>46118</v>
      </c>
      <c r="B101" s="3" t="n">
        <v>2026</v>
      </c>
      <c r="C101" s="3" t="inlineStr">
        <is>
          <t>Panasonic</t>
        </is>
      </c>
      <c r="D101" s="3" t="inlineStr">
        <is>
          <t>OEM</t>
        </is>
      </c>
      <c r="E101" s="3" t="n"/>
      <c r="F101" s="3" t="inlineStr">
        <is>
          <t>WIP</t>
        </is>
      </c>
      <c r="G101" s="3" t="inlineStr">
        <is>
          <t>Chirag Tare</t>
        </is>
      </c>
      <c r="H101" s="3" t="n">
        <v>7719846027</v>
      </c>
      <c r="I101" s="11" t="inlineStr">
        <is>
          <t>PE06042602</t>
        </is>
      </c>
      <c r="J101" s="3" t="inlineStr">
        <is>
          <t>Low VOC</t>
        </is>
      </c>
      <c r="K101" s="3" t="inlineStr">
        <is>
          <t>Dhule</t>
        </is>
      </c>
      <c r="L101" s="3" t="inlineStr">
        <is>
          <t>Maharashtra</t>
        </is>
      </c>
      <c r="M101" s="25" t="inlineStr">
        <is>
          <t>Backsheet Scratches</t>
        </is>
      </c>
      <c r="N101" s="25" t="inlineStr">
        <is>
          <t>Backsheet Scratches</t>
        </is>
      </c>
      <c r="O101" s="5" t="n">
        <v>330</v>
      </c>
      <c r="P101" s="25" t="inlineStr">
        <is>
          <t>NSM210403505</t>
        </is>
      </c>
      <c r="Q101" s="53">
        <f>MID(P101,4,2)</f>
        <v/>
      </c>
      <c r="R101" s="53">
        <f>MID(P101,6,2)</f>
        <v/>
      </c>
      <c r="S101" s="3" t="inlineStr">
        <is>
          <t>G2B</t>
        </is>
      </c>
      <c r="T101" s="3" t="inlineStr">
        <is>
          <t>P1</t>
        </is>
      </c>
      <c r="U101" s="25" t="inlineStr">
        <is>
          <t>Backsheet Scratches</t>
        </is>
      </c>
      <c r="V101" s="3" t="inlineStr">
        <is>
          <t>Rejected</t>
        </is>
      </c>
      <c r="W101" s="3" t="inlineStr">
        <is>
          <t>Rejected</t>
        </is>
      </c>
      <c r="X101" s="18" t="n">
        <v>46144</v>
      </c>
      <c r="Y101" s="3">
        <f>X101-A101</f>
        <v/>
      </c>
      <c r="Z101" s="18" t="n">
        <v>46144</v>
      </c>
      <c r="AA101" s="3" t="n"/>
      <c r="AB101" s="3" t="n"/>
    </row>
    <row r="102" hidden="1" s="233">
      <c r="A102" s="6" t="n">
        <v>46118</v>
      </c>
      <c r="B102" s="3" t="n">
        <v>2026</v>
      </c>
      <c r="C102" s="3" t="inlineStr">
        <is>
          <t>Panasonic</t>
        </is>
      </c>
      <c r="D102" s="3" t="inlineStr">
        <is>
          <t>OEM</t>
        </is>
      </c>
      <c r="E102" s="3" t="n"/>
      <c r="F102" s="3" t="inlineStr">
        <is>
          <t>WIP</t>
        </is>
      </c>
      <c r="G102" s="3" t="inlineStr">
        <is>
          <t>Chirag Tare</t>
        </is>
      </c>
      <c r="H102" s="3" t="n">
        <v>7719846027</v>
      </c>
      <c r="I102" s="11" t="inlineStr">
        <is>
          <t>PE06042602</t>
        </is>
      </c>
      <c r="J102" s="3" t="inlineStr">
        <is>
          <t>Low VOC</t>
        </is>
      </c>
      <c r="K102" s="3" t="inlineStr">
        <is>
          <t>Dhule</t>
        </is>
      </c>
      <c r="L102" s="3" t="inlineStr">
        <is>
          <t>Maharashtra</t>
        </is>
      </c>
      <c r="M102" s="25" t="inlineStr">
        <is>
          <t>Cell Contamination</t>
        </is>
      </c>
      <c r="N102" s="25" t="inlineStr">
        <is>
          <t>Cell Contamination</t>
        </is>
      </c>
      <c r="O102" s="5" t="n">
        <v>330</v>
      </c>
      <c r="P102" s="25" t="inlineStr">
        <is>
          <t>NSM210446420</t>
        </is>
      </c>
      <c r="Q102" s="53">
        <f>MID(P102,4,2)</f>
        <v/>
      </c>
      <c r="R102" s="53">
        <f>MID(P102,6,2)</f>
        <v/>
      </c>
      <c r="S102" s="3" t="inlineStr">
        <is>
          <t>G2B</t>
        </is>
      </c>
      <c r="T102" s="3" t="inlineStr">
        <is>
          <t>P1</t>
        </is>
      </c>
      <c r="U102" s="25" t="inlineStr">
        <is>
          <t>Cell Contamination</t>
        </is>
      </c>
      <c r="V102" s="15" t="inlineStr">
        <is>
          <t>Inspection</t>
        </is>
      </c>
      <c r="W102" s="15" t="inlineStr">
        <is>
          <t>WIP</t>
        </is>
      </c>
      <c r="X102" s="15" t="n"/>
      <c r="Y102" s="3">
        <f>X102-A102</f>
        <v/>
      </c>
      <c r="Z102" s="18" t="n">
        <v>46144</v>
      </c>
      <c r="AA102" s="15" t="n"/>
      <c r="AB102" s="15" t="n"/>
    </row>
    <row r="103" hidden="1" s="233">
      <c r="A103" s="6" t="n">
        <v>46112</v>
      </c>
      <c r="B103" s="3" t="n">
        <v>2026</v>
      </c>
      <c r="C103" s="3" t="inlineStr">
        <is>
          <t>RA GREEN ENERGks</t>
        </is>
      </c>
      <c r="D103" s="3" t="inlineStr">
        <is>
          <t>Channel Sales</t>
        </is>
      </c>
      <c r="E103" s="3" t="n"/>
      <c r="F103" s="3" t="inlineStr">
        <is>
          <t>Closed</t>
        </is>
      </c>
      <c r="G103" s="3" t="inlineStr">
        <is>
          <t>Kumar Tale</t>
        </is>
      </c>
      <c r="H103" s="3" t="n">
        <v>9518921202</v>
      </c>
      <c r="I103" s="7" t="inlineStr">
        <is>
          <t>PE31032602</t>
        </is>
      </c>
      <c r="J103" s="3" t="inlineStr">
        <is>
          <t>MC 4 Connector Burn</t>
        </is>
      </c>
      <c r="K103" s="3" t="inlineStr">
        <is>
          <t>Nagpur</t>
        </is>
      </c>
      <c r="L103" s="3" t="inlineStr">
        <is>
          <t>Maharashtra</t>
        </is>
      </c>
      <c r="M103" s="8" t="inlineStr">
        <is>
          <t>Found okay</t>
        </is>
      </c>
      <c r="N103" s="3" t="inlineStr">
        <is>
          <t>No Issue</t>
        </is>
      </c>
      <c r="O103" s="5" t="n">
        <v>540</v>
      </c>
      <c r="P103" s="8" t="inlineStr">
        <is>
          <t>NSMP25050188956</t>
        </is>
      </c>
      <c r="Q103" s="53">
        <f>MID(P103,5,2)</f>
        <v/>
      </c>
      <c r="R103" s="53">
        <f>MID(P103,7,2)</f>
        <v/>
      </c>
      <c r="S103" s="3" t="inlineStr">
        <is>
          <t>G2TB</t>
        </is>
      </c>
      <c r="T103" s="3" t="inlineStr">
        <is>
          <t>P2</t>
        </is>
      </c>
      <c r="U103" s="5" t="inlineStr">
        <is>
          <t>No Issue Found</t>
        </is>
      </c>
      <c r="V103" s="5" t="inlineStr">
        <is>
          <t>Found OK</t>
        </is>
      </c>
      <c r="W103" s="15" t="inlineStr">
        <is>
          <t>Repair</t>
        </is>
      </c>
      <c r="X103" s="18" t="n">
        <v>46146</v>
      </c>
      <c r="Y103" s="3">
        <f>X103-A103</f>
        <v/>
      </c>
      <c r="Z103" s="18" t="n">
        <v>46146</v>
      </c>
      <c r="AA103" s="15" t="n"/>
      <c r="AB103" s="15" t="n"/>
    </row>
    <row r="104" hidden="1" s="233">
      <c r="A104" s="6" t="n">
        <v>46119</v>
      </c>
      <c r="B104" s="3" t="n">
        <v>2026</v>
      </c>
      <c r="C104" s="3" t="inlineStr">
        <is>
          <t>Panasonic</t>
        </is>
      </c>
      <c r="D104" s="3" t="inlineStr">
        <is>
          <t>OEM</t>
        </is>
      </c>
      <c r="E104" s="3" t="n"/>
      <c r="F104" s="3" t="inlineStr">
        <is>
          <t>Closed</t>
        </is>
      </c>
      <c r="G104" s="3" t="inlineStr">
        <is>
          <t>Chirag Tare</t>
        </is>
      </c>
      <c r="H104" s="3" t="n">
        <v>7719846027</v>
      </c>
      <c r="I104" s="7" t="inlineStr">
        <is>
          <t>PE07042601</t>
        </is>
      </c>
      <c r="J104" s="3" t="inlineStr">
        <is>
          <t>Low VOC</t>
        </is>
      </c>
      <c r="K104" s="3" t="inlineStr">
        <is>
          <t>Lucknow</t>
        </is>
      </c>
      <c r="L104" s="3" t="inlineStr">
        <is>
          <t>UP</t>
        </is>
      </c>
      <c r="M104" s="9" t="inlineStr">
        <is>
          <t>Negative JB Soldering</t>
        </is>
      </c>
      <c r="N104" s="3" t="inlineStr">
        <is>
          <t>Cold Soldering</t>
        </is>
      </c>
      <c r="O104" s="5" t="n">
        <v>495</v>
      </c>
      <c r="P104" s="9" t="inlineStr">
        <is>
          <t>NSMP2211233510</t>
        </is>
      </c>
      <c r="Q104" s="53">
        <f>MID(P104,5,2)</f>
        <v/>
      </c>
      <c r="R104" s="53">
        <f>MID(P104,7,2)</f>
        <v/>
      </c>
      <c r="S104" s="3" t="inlineStr">
        <is>
          <t>G2B</t>
        </is>
      </c>
      <c r="T104" s="3" t="inlineStr">
        <is>
          <t>P2</t>
        </is>
      </c>
      <c r="U104" s="3" t="inlineStr">
        <is>
          <t>N JB Cold Soldering</t>
        </is>
      </c>
      <c r="V104" s="3" t="inlineStr">
        <is>
          <t>Soldering</t>
        </is>
      </c>
      <c r="W104" s="15" t="inlineStr">
        <is>
          <t>Repair</t>
        </is>
      </c>
      <c r="X104" s="18" t="n">
        <v>46146</v>
      </c>
      <c r="Y104" s="3">
        <f>X104-A104</f>
        <v/>
      </c>
      <c r="Z104" s="18" t="n">
        <v>46146</v>
      </c>
      <c r="AA104" s="3" t="n"/>
      <c r="AB104" s="3" t="n"/>
    </row>
    <row r="105" hidden="1" s="233">
      <c r="A105" s="6" t="n">
        <v>46119</v>
      </c>
      <c r="B105" s="3" t="n">
        <v>2026</v>
      </c>
      <c r="C105" s="3" t="inlineStr">
        <is>
          <t>Panasonic</t>
        </is>
      </c>
      <c r="D105" s="3" t="inlineStr">
        <is>
          <t>OEM</t>
        </is>
      </c>
      <c r="E105" s="3" t="n"/>
      <c r="F105" s="3" t="inlineStr">
        <is>
          <t>Closed</t>
        </is>
      </c>
      <c r="G105" s="3" t="inlineStr">
        <is>
          <t>Chirag Tare</t>
        </is>
      </c>
      <c r="H105" s="3" t="n">
        <v>7719846027</v>
      </c>
      <c r="I105" s="7" t="inlineStr">
        <is>
          <t>PE07042601</t>
        </is>
      </c>
      <c r="J105" s="3" t="inlineStr">
        <is>
          <t>Low VOC</t>
        </is>
      </c>
      <c r="K105" s="3" t="inlineStr">
        <is>
          <t>Lucknow</t>
        </is>
      </c>
      <c r="L105" s="3" t="inlineStr">
        <is>
          <t>UP</t>
        </is>
      </c>
      <c r="M105" s="9" t="inlineStr">
        <is>
          <t>Negative JB Soldering</t>
        </is>
      </c>
      <c r="N105" s="3" t="inlineStr">
        <is>
          <t>Cold Soldering</t>
        </is>
      </c>
      <c r="O105" s="5" t="n">
        <v>495</v>
      </c>
      <c r="P105" s="9" t="inlineStr">
        <is>
          <t>NSMP2211233542</t>
        </is>
      </c>
      <c r="Q105" s="53">
        <f>MID(P105,5,2)</f>
        <v/>
      </c>
      <c r="R105" s="53">
        <f>MID(P105,7,2)</f>
        <v/>
      </c>
      <c r="S105" s="3" t="inlineStr">
        <is>
          <t>G2B</t>
        </is>
      </c>
      <c r="T105" s="3" t="inlineStr">
        <is>
          <t>P2</t>
        </is>
      </c>
      <c r="U105" s="3" t="inlineStr">
        <is>
          <t>N JB Cold Soldering</t>
        </is>
      </c>
      <c r="V105" s="3" t="inlineStr">
        <is>
          <t>Soldering</t>
        </is>
      </c>
      <c r="W105" s="15" t="inlineStr">
        <is>
          <t>Repair</t>
        </is>
      </c>
      <c r="X105" s="18" t="n">
        <v>46146</v>
      </c>
      <c r="Y105" s="3">
        <f>X105-A105</f>
        <v/>
      </c>
      <c r="Z105" s="18" t="n">
        <v>46146</v>
      </c>
      <c r="AA105" s="15" t="n"/>
      <c r="AB105" s="15" t="n"/>
    </row>
    <row r="106" hidden="1" s="233">
      <c r="A106" s="6" t="n">
        <v>46119</v>
      </c>
      <c r="B106" s="3" t="n">
        <v>2026</v>
      </c>
      <c r="C106" s="3" t="inlineStr">
        <is>
          <t>Panasonic</t>
        </is>
      </c>
      <c r="D106" s="3" t="inlineStr">
        <is>
          <t>OEM</t>
        </is>
      </c>
      <c r="E106" s="3" t="n"/>
      <c r="F106" s="3" t="inlineStr">
        <is>
          <t>Closed</t>
        </is>
      </c>
      <c r="G106" s="3" t="inlineStr">
        <is>
          <t>Chirag Tare</t>
        </is>
      </c>
      <c r="H106" s="3" t="n">
        <v>7719846027</v>
      </c>
      <c r="I106" s="7" t="inlineStr">
        <is>
          <t>PE07042601</t>
        </is>
      </c>
      <c r="J106" s="3" t="inlineStr">
        <is>
          <t>Low VOC</t>
        </is>
      </c>
      <c r="K106" s="3" t="inlineStr">
        <is>
          <t>Lucknow</t>
        </is>
      </c>
      <c r="L106" s="3" t="inlineStr">
        <is>
          <t>UP</t>
        </is>
      </c>
      <c r="M106" s="9" t="inlineStr">
        <is>
          <t>Negative JB Soldering</t>
        </is>
      </c>
      <c r="N106" s="3" t="inlineStr">
        <is>
          <t>Cold Soldering</t>
        </is>
      </c>
      <c r="O106" s="5" t="n">
        <v>495</v>
      </c>
      <c r="P106" s="9" t="inlineStr">
        <is>
          <t>NSMP2211233550</t>
        </is>
      </c>
      <c r="Q106" s="53">
        <f>MID(P106,5,2)</f>
        <v/>
      </c>
      <c r="R106" s="53">
        <f>MID(P106,7,2)</f>
        <v/>
      </c>
      <c r="S106" s="3" t="inlineStr">
        <is>
          <t>G2B</t>
        </is>
      </c>
      <c r="T106" s="3" t="inlineStr">
        <is>
          <t>P2</t>
        </is>
      </c>
      <c r="U106" s="3" t="inlineStr">
        <is>
          <t>N JB Cold Soldering</t>
        </is>
      </c>
      <c r="V106" s="3" t="inlineStr">
        <is>
          <t>Soldering</t>
        </is>
      </c>
      <c r="W106" s="15" t="inlineStr">
        <is>
          <t>Repair</t>
        </is>
      </c>
      <c r="X106" s="18" t="n">
        <v>46146</v>
      </c>
      <c r="Y106" s="3">
        <f>X106-A106</f>
        <v/>
      </c>
      <c r="Z106" s="18" t="n">
        <v>46146</v>
      </c>
      <c r="AA106" s="3" t="n"/>
      <c r="AB106" s="3" t="n"/>
    </row>
    <row r="107">
      <c r="A107" s="2" t="n">
        <v>46144</v>
      </c>
      <c r="B107" s="3" t="n">
        <v>2026</v>
      </c>
      <c r="C107" s="3" t="inlineStr">
        <is>
          <t>Oyster Technocon</t>
        </is>
      </c>
      <c r="D107" s="3" t="inlineStr">
        <is>
          <t>Channel Sales</t>
        </is>
      </c>
      <c r="E107" s="3" t="n"/>
      <c r="F107" s="3" t="inlineStr">
        <is>
          <t>Closed</t>
        </is>
      </c>
      <c r="G107" s="3" t="inlineStr">
        <is>
          <t>Inderpal Singh</t>
        </is>
      </c>
      <c r="H107" s="3" t="n">
        <v>9028940248</v>
      </c>
      <c r="I107" s="7" t="inlineStr">
        <is>
          <t>PE02052601</t>
        </is>
      </c>
      <c r="J107" s="3" t="inlineStr">
        <is>
          <t>Low solar panel generation</t>
        </is>
      </c>
      <c r="K107" s="3" t="inlineStr">
        <is>
          <t>Nagpur</t>
        </is>
      </c>
      <c r="L107" s="3" t="inlineStr">
        <is>
          <t>Maharashtra</t>
        </is>
      </c>
      <c r="M107" s="3" t="inlineStr">
        <is>
          <t>Found okay</t>
        </is>
      </c>
      <c r="N107" s="3" t="inlineStr">
        <is>
          <t>No Issue</t>
        </is>
      </c>
      <c r="O107" s="3" t="n">
        <v>540</v>
      </c>
      <c r="P107" s="35" t="inlineStr">
        <is>
          <t>N/A</t>
        </is>
      </c>
      <c r="Q107" s="53">
        <f>MID(P107,5,2)</f>
        <v/>
      </c>
      <c r="R107" s="53">
        <f>MID(P107,7,2)</f>
        <v/>
      </c>
      <c r="S107" s="3" t="inlineStr">
        <is>
          <t>G2TB</t>
        </is>
      </c>
      <c r="T107" s="3" t="inlineStr">
        <is>
          <t>P2</t>
        </is>
      </c>
      <c r="U107" s="5" t="inlineStr">
        <is>
          <t>No Issue Found</t>
        </is>
      </c>
      <c r="V107" s="15" t="inlineStr">
        <is>
          <t>Found OK</t>
        </is>
      </c>
      <c r="W107" s="15" t="inlineStr">
        <is>
          <t>Repair</t>
        </is>
      </c>
      <c r="X107" s="18" t="n">
        <v>46146</v>
      </c>
      <c r="Y107" s="3">
        <f>X107-A107</f>
        <v/>
      </c>
      <c r="Z107" s="18" t="n">
        <v>46146</v>
      </c>
      <c r="AA107" s="15" t="n"/>
      <c r="AB107" s="15" t="n"/>
    </row>
    <row r="108">
      <c r="A108" s="2" t="n">
        <v>46144</v>
      </c>
      <c r="B108" s="3" t="n">
        <v>2026</v>
      </c>
      <c r="C108" s="3" t="inlineStr">
        <is>
          <t>Oyster Technocon</t>
        </is>
      </c>
      <c r="D108" s="3" t="inlineStr">
        <is>
          <t>Channel Sales</t>
        </is>
      </c>
      <c r="E108" s="3" t="n"/>
      <c r="F108" s="3" t="inlineStr">
        <is>
          <t>Closed</t>
        </is>
      </c>
      <c r="G108" s="3" t="inlineStr">
        <is>
          <t>Inderpal Singh</t>
        </is>
      </c>
      <c r="H108" s="3" t="n">
        <v>9028940248</v>
      </c>
      <c r="I108" s="7" t="inlineStr">
        <is>
          <t>PE02052601</t>
        </is>
      </c>
      <c r="J108" s="3" t="inlineStr">
        <is>
          <t>Low solar panel generation</t>
        </is>
      </c>
      <c r="K108" s="3" t="inlineStr">
        <is>
          <t>Nagpur</t>
        </is>
      </c>
      <c r="L108" s="3" t="inlineStr">
        <is>
          <t>Maharashtra</t>
        </is>
      </c>
      <c r="M108" s="3" t="inlineStr">
        <is>
          <t>Found okay</t>
        </is>
      </c>
      <c r="N108" s="3" t="inlineStr">
        <is>
          <t>No Issue</t>
        </is>
      </c>
      <c r="O108" s="3" t="n">
        <v>540</v>
      </c>
      <c r="P108" s="35" t="inlineStr">
        <is>
          <t>N/A</t>
        </is>
      </c>
      <c r="Q108" s="53">
        <f>MID(P108,5,2)</f>
        <v/>
      </c>
      <c r="R108" s="53">
        <f>MID(P108,7,2)</f>
        <v/>
      </c>
      <c r="S108" s="3" t="inlineStr">
        <is>
          <t>G2TB</t>
        </is>
      </c>
      <c r="T108" s="3" t="inlineStr">
        <is>
          <t>P2</t>
        </is>
      </c>
      <c r="U108" s="5" t="inlineStr">
        <is>
          <t>No Issue Found</t>
        </is>
      </c>
      <c r="V108" s="15" t="inlineStr">
        <is>
          <t>Found OK</t>
        </is>
      </c>
      <c r="W108" s="15" t="inlineStr">
        <is>
          <t>Repair</t>
        </is>
      </c>
      <c r="X108" s="18" t="n">
        <v>46146</v>
      </c>
      <c r="Y108" s="3">
        <f>X108-A108</f>
        <v/>
      </c>
      <c r="Z108" s="18" t="n">
        <v>46146</v>
      </c>
      <c r="AA108" s="15" t="n"/>
      <c r="AB108" s="15" t="n"/>
    </row>
    <row r="109">
      <c r="A109" s="2" t="n">
        <v>46144</v>
      </c>
      <c r="B109" s="3" t="n">
        <v>2026</v>
      </c>
      <c r="C109" s="3" t="inlineStr">
        <is>
          <t>Oyster Technocon</t>
        </is>
      </c>
      <c r="D109" s="3" t="inlineStr">
        <is>
          <t>Channel Sales</t>
        </is>
      </c>
      <c r="E109" s="3" t="n"/>
      <c r="F109" s="3" t="inlineStr">
        <is>
          <t>Closed</t>
        </is>
      </c>
      <c r="G109" s="3" t="inlineStr">
        <is>
          <t>Inderpal Singh</t>
        </is>
      </c>
      <c r="H109" s="3" t="n">
        <v>9028940248</v>
      </c>
      <c r="I109" s="7" t="inlineStr">
        <is>
          <t>PE02052601</t>
        </is>
      </c>
      <c r="J109" s="3" t="inlineStr">
        <is>
          <t>Low solar panel generation</t>
        </is>
      </c>
      <c r="K109" s="3" t="inlineStr">
        <is>
          <t>Nagpur</t>
        </is>
      </c>
      <c r="L109" s="3" t="inlineStr">
        <is>
          <t>Maharashtra</t>
        </is>
      </c>
      <c r="M109" s="3" t="inlineStr">
        <is>
          <t>Found okay</t>
        </is>
      </c>
      <c r="N109" s="3" t="inlineStr">
        <is>
          <t>No Issue</t>
        </is>
      </c>
      <c r="O109" s="3" t="n">
        <v>540</v>
      </c>
      <c r="P109" s="35" t="inlineStr">
        <is>
          <t>N/A</t>
        </is>
      </c>
      <c r="Q109" s="53">
        <f>MID(P109,5,2)</f>
        <v/>
      </c>
      <c r="R109" s="53">
        <f>MID(P109,7,2)</f>
        <v/>
      </c>
      <c r="S109" s="3" t="inlineStr">
        <is>
          <t>G2TB</t>
        </is>
      </c>
      <c r="T109" s="3" t="inlineStr">
        <is>
          <t>P2</t>
        </is>
      </c>
      <c r="U109" s="5" t="inlineStr">
        <is>
          <t>No Issue Found</t>
        </is>
      </c>
      <c r="V109" s="15" t="inlineStr">
        <is>
          <t>Found OK</t>
        </is>
      </c>
      <c r="W109" s="15" t="inlineStr">
        <is>
          <t>Repair</t>
        </is>
      </c>
      <c r="X109" s="18" t="n">
        <v>46146</v>
      </c>
      <c r="Y109" s="3">
        <f>X109-A109</f>
        <v/>
      </c>
      <c r="Z109" s="18" t="n">
        <v>46146</v>
      </c>
      <c r="AA109" s="15" t="n"/>
      <c r="AB109" s="15" t="n"/>
    </row>
    <row r="110">
      <c r="A110" s="2" t="n">
        <v>46144</v>
      </c>
      <c r="B110" s="3" t="n">
        <v>2026</v>
      </c>
      <c r="C110" s="3" t="inlineStr">
        <is>
          <t>Oyster Technocon</t>
        </is>
      </c>
      <c r="D110" s="3" t="inlineStr">
        <is>
          <t>Channel Sales</t>
        </is>
      </c>
      <c r="E110" s="3" t="n"/>
      <c r="F110" s="3" t="inlineStr">
        <is>
          <t>Closed</t>
        </is>
      </c>
      <c r="G110" s="3" t="inlineStr">
        <is>
          <t>Inderpal Singh</t>
        </is>
      </c>
      <c r="H110" s="3" t="n">
        <v>9028940248</v>
      </c>
      <c r="I110" s="7" t="inlineStr">
        <is>
          <t>PE02052601</t>
        </is>
      </c>
      <c r="J110" s="3" t="inlineStr">
        <is>
          <t>Low solar panel generation</t>
        </is>
      </c>
      <c r="K110" s="3" t="inlineStr">
        <is>
          <t>Nagpur</t>
        </is>
      </c>
      <c r="L110" s="3" t="inlineStr">
        <is>
          <t>Maharashtra</t>
        </is>
      </c>
      <c r="M110" s="3" t="inlineStr">
        <is>
          <t>Found okay</t>
        </is>
      </c>
      <c r="N110" s="3" t="inlineStr">
        <is>
          <t>No Issue</t>
        </is>
      </c>
      <c r="O110" s="3" t="n">
        <v>540</v>
      </c>
      <c r="P110" s="35" t="inlineStr">
        <is>
          <t>N/A</t>
        </is>
      </c>
      <c r="Q110" s="53">
        <f>MID(P110,5,2)</f>
        <v/>
      </c>
      <c r="R110" s="53">
        <f>MID(P110,7,2)</f>
        <v/>
      </c>
      <c r="S110" s="3" t="inlineStr">
        <is>
          <t>G2TB</t>
        </is>
      </c>
      <c r="T110" s="3" t="inlineStr">
        <is>
          <t>P2</t>
        </is>
      </c>
      <c r="U110" s="5" t="inlineStr">
        <is>
          <t>No Issue Found</t>
        </is>
      </c>
      <c r="V110" s="15" t="inlineStr">
        <is>
          <t>Found OK</t>
        </is>
      </c>
      <c r="W110" s="15" t="inlineStr">
        <is>
          <t>Repair</t>
        </is>
      </c>
      <c r="X110" s="18" t="n">
        <v>46146</v>
      </c>
      <c r="Y110" s="3">
        <f>X110-A110</f>
        <v/>
      </c>
      <c r="Z110" s="18" t="n">
        <v>46146</v>
      </c>
      <c r="AA110" s="15" t="n"/>
      <c r="AB110" s="15" t="n"/>
    </row>
    <row r="111">
      <c r="A111" s="2" t="n">
        <v>46144</v>
      </c>
      <c r="B111" s="3" t="n">
        <v>2026</v>
      </c>
      <c r="C111" s="3" t="inlineStr">
        <is>
          <t>Oyster Technocon</t>
        </is>
      </c>
      <c r="D111" s="3" t="inlineStr">
        <is>
          <t>Channel Sales</t>
        </is>
      </c>
      <c r="E111" s="3" t="n"/>
      <c r="F111" s="3" t="inlineStr">
        <is>
          <t>Closed</t>
        </is>
      </c>
      <c r="G111" s="3" t="inlineStr">
        <is>
          <t>Inderpal Singh</t>
        </is>
      </c>
      <c r="H111" s="3" t="n">
        <v>9028940248</v>
      </c>
      <c r="I111" s="7" t="inlineStr">
        <is>
          <t>PE02052601</t>
        </is>
      </c>
      <c r="J111" s="3" t="inlineStr">
        <is>
          <t>Low solar panel generation</t>
        </is>
      </c>
      <c r="K111" s="3" t="inlineStr">
        <is>
          <t>Nagpur</t>
        </is>
      </c>
      <c r="L111" s="3" t="inlineStr">
        <is>
          <t>Maharashtra</t>
        </is>
      </c>
      <c r="M111" s="3" t="inlineStr">
        <is>
          <t>Found okay</t>
        </is>
      </c>
      <c r="N111" s="3" t="inlineStr">
        <is>
          <t>No Issue</t>
        </is>
      </c>
      <c r="O111" s="3" t="n">
        <v>540</v>
      </c>
      <c r="P111" s="35" t="inlineStr">
        <is>
          <t>N/A</t>
        </is>
      </c>
      <c r="Q111" s="53">
        <f>MID(P111,5,2)</f>
        <v/>
      </c>
      <c r="R111" s="53">
        <f>MID(P111,7,2)</f>
        <v/>
      </c>
      <c r="S111" s="3" t="inlineStr">
        <is>
          <t>G2TB</t>
        </is>
      </c>
      <c r="T111" s="3" t="inlineStr">
        <is>
          <t>P2</t>
        </is>
      </c>
      <c r="U111" s="5" t="inlineStr">
        <is>
          <t>No Issue Found</t>
        </is>
      </c>
      <c r="V111" s="15" t="inlineStr">
        <is>
          <t>Found OK</t>
        </is>
      </c>
      <c r="W111" s="15" t="inlineStr">
        <is>
          <t>Repair</t>
        </is>
      </c>
      <c r="X111" s="18" t="n">
        <v>46146</v>
      </c>
      <c r="Y111" s="3">
        <f>X111-A111</f>
        <v/>
      </c>
      <c r="Z111" s="18" t="n">
        <v>46146</v>
      </c>
      <c r="AA111" s="15" t="n"/>
      <c r="AB111" s="15" t="n"/>
    </row>
    <row r="112">
      <c r="A112" s="2" t="n">
        <v>46144</v>
      </c>
      <c r="B112" s="3" t="n">
        <v>2026</v>
      </c>
      <c r="C112" s="3" t="inlineStr">
        <is>
          <t>Oyster Technocon</t>
        </is>
      </c>
      <c r="D112" s="3" t="inlineStr">
        <is>
          <t>Channel Sales</t>
        </is>
      </c>
      <c r="E112" s="3" t="n"/>
      <c r="F112" s="3" t="inlineStr">
        <is>
          <t>Closed</t>
        </is>
      </c>
      <c r="G112" s="3" t="inlineStr">
        <is>
          <t>Inderpal Singh</t>
        </is>
      </c>
      <c r="H112" s="3" t="n">
        <v>9028940248</v>
      </c>
      <c r="I112" s="7" t="inlineStr">
        <is>
          <t>PE02052601</t>
        </is>
      </c>
      <c r="J112" s="3" t="inlineStr">
        <is>
          <t>Low solar panel generation</t>
        </is>
      </c>
      <c r="K112" s="3" t="inlineStr">
        <is>
          <t>Nagpur</t>
        </is>
      </c>
      <c r="L112" s="3" t="inlineStr">
        <is>
          <t>Maharashtra</t>
        </is>
      </c>
      <c r="M112" s="3" t="inlineStr">
        <is>
          <t>Found okay</t>
        </is>
      </c>
      <c r="N112" s="3" t="inlineStr">
        <is>
          <t>No Issue</t>
        </is>
      </c>
      <c r="O112" s="3" t="n">
        <v>540</v>
      </c>
      <c r="P112" s="35" t="inlineStr">
        <is>
          <t>N/A</t>
        </is>
      </c>
      <c r="Q112" s="53">
        <f>MID(P112,5,2)</f>
        <v/>
      </c>
      <c r="R112" s="53">
        <f>MID(P112,7,2)</f>
        <v/>
      </c>
      <c r="S112" s="3" t="inlineStr">
        <is>
          <t>G2TB</t>
        </is>
      </c>
      <c r="T112" s="3" t="inlineStr">
        <is>
          <t>P2</t>
        </is>
      </c>
      <c r="U112" s="5" t="inlineStr">
        <is>
          <t>No Issue Found</t>
        </is>
      </c>
      <c r="V112" s="15" t="inlineStr">
        <is>
          <t>Found OK</t>
        </is>
      </c>
      <c r="W112" s="15" t="inlineStr">
        <is>
          <t>Repair</t>
        </is>
      </c>
      <c r="X112" s="18" t="n">
        <v>46146</v>
      </c>
      <c r="Y112" s="3">
        <f>X112-A112</f>
        <v/>
      </c>
      <c r="Z112" s="18" t="n">
        <v>46146</v>
      </c>
      <c r="AA112" s="15" t="n"/>
      <c r="AB112" s="15" t="n"/>
    </row>
    <row r="113">
      <c r="A113" s="2" t="n">
        <v>46144</v>
      </c>
      <c r="B113" s="3" t="n">
        <v>2026</v>
      </c>
      <c r="C113" s="3" t="inlineStr">
        <is>
          <t>Oyster Technocon</t>
        </is>
      </c>
      <c r="D113" s="3" t="inlineStr">
        <is>
          <t>Channel Sales</t>
        </is>
      </c>
      <c r="E113" s="3" t="n"/>
      <c r="F113" s="3" t="inlineStr">
        <is>
          <t>Closed</t>
        </is>
      </c>
      <c r="G113" s="3" t="inlineStr">
        <is>
          <t>Inderpal Singh</t>
        </is>
      </c>
      <c r="H113" s="3" t="n">
        <v>9028940248</v>
      </c>
      <c r="I113" s="7" t="inlineStr">
        <is>
          <t>PE02052602</t>
        </is>
      </c>
      <c r="J113" s="3" t="inlineStr">
        <is>
          <t>Low solar panel generation</t>
        </is>
      </c>
      <c r="K113" s="3" t="inlineStr">
        <is>
          <t>Nagpur</t>
        </is>
      </c>
      <c r="L113" s="3" t="inlineStr">
        <is>
          <t>Maharashtra</t>
        </is>
      </c>
      <c r="M113" s="3" t="inlineStr">
        <is>
          <t>AR</t>
        </is>
      </c>
      <c r="N113" s="3" t="inlineStr">
        <is>
          <t>JB Issue</t>
        </is>
      </c>
      <c r="O113" s="3" t="n">
        <v>540</v>
      </c>
      <c r="P113" s="25" t="inlineStr">
        <is>
          <t>NSMP24101626059</t>
        </is>
      </c>
      <c r="Q113" s="53">
        <f>MID(P113,5,2)</f>
        <v/>
      </c>
      <c r="R113" s="53">
        <f>MID(P113,7,2)</f>
        <v/>
      </c>
      <c r="S113" s="3" t="inlineStr">
        <is>
          <t>G2TB</t>
        </is>
      </c>
      <c r="T113" s="3" t="inlineStr">
        <is>
          <t>P2</t>
        </is>
      </c>
      <c r="U113" s="15" t="inlineStr">
        <is>
          <t>All JB Issue</t>
        </is>
      </c>
      <c r="V113" s="15" t="inlineStr">
        <is>
          <t>JB Changed</t>
        </is>
      </c>
      <c r="W113" s="15" t="inlineStr">
        <is>
          <t>Repair</t>
        </is>
      </c>
      <c r="X113" s="18" t="n">
        <v>46146</v>
      </c>
      <c r="Y113" s="3">
        <f>X113-A113</f>
        <v/>
      </c>
      <c r="Z113" s="18" t="n">
        <v>46146</v>
      </c>
      <c r="AA113" s="15" t="n"/>
      <c r="AB113" s="15" t="n"/>
    </row>
    <row r="114">
      <c r="A114" s="2" t="n">
        <v>46144</v>
      </c>
      <c r="B114" s="3" t="n">
        <v>2026</v>
      </c>
      <c r="C114" s="3" t="inlineStr">
        <is>
          <t>Oyster Technocon</t>
        </is>
      </c>
      <c r="D114" s="3" t="inlineStr">
        <is>
          <t>Channel Sales</t>
        </is>
      </c>
      <c r="E114" s="3" t="n"/>
      <c r="F114" s="3" t="inlineStr">
        <is>
          <t>Closed</t>
        </is>
      </c>
      <c r="G114" s="3" t="inlineStr">
        <is>
          <t>Inderpal Singh</t>
        </is>
      </c>
      <c r="H114" s="3" t="n">
        <v>9028940248</v>
      </c>
      <c r="I114" s="7" t="inlineStr">
        <is>
          <t>PE02052602</t>
        </is>
      </c>
      <c r="J114" s="3" t="inlineStr">
        <is>
          <t>Low solar panel generation</t>
        </is>
      </c>
      <c r="K114" s="3" t="inlineStr">
        <is>
          <t>Nagpur</t>
        </is>
      </c>
      <c r="L114" s="3" t="inlineStr">
        <is>
          <t>Maharashtra</t>
        </is>
      </c>
      <c r="M114" s="3" t="inlineStr">
        <is>
          <t>AR</t>
        </is>
      </c>
      <c r="N114" s="3" t="inlineStr">
        <is>
          <t>JB Issue</t>
        </is>
      </c>
      <c r="O114" s="3" t="n">
        <v>540</v>
      </c>
      <c r="P114" s="25" t="inlineStr">
        <is>
          <t>NSMP24101626041</t>
        </is>
      </c>
      <c r="Q114" s="53">
        <f>MID(P114,5,2)</f>
        <v/>
      </c>
      <c r="R114" s="53">
        <f>MID(P114,7,2)</f>
        <v/>
      </c>
      <c r="S114" s="3" t="inlineStr">
        <is>
          <t>G2TB</t>
        </is>
      </c>
      <c r="T114" s="3" t="inlineStr">
        <is>
          <t>P2</t>
        </is>
      </c>
      <c r="U114" s="15" t="inlineStr">
        <is>
          <t>All JB Issue</t>
        </is>
      </c>
      <c r="V114" s="15" t="inlineStr">
        <is>
          <t>JB Changed</t>
        </is>
      </c>
      <c r="W114" s="15" t="inlineStr">
        <is>
          <t>Repair</t>
        </is>
      </c>
      <c r="X114" s="18" t="n">
        <v>46146</v>
      </c>
      <c r="Y114" s="3">
        <f>X114-A114</f>
        <v/>
      </c>
      <c r="Z114" s="18" t="n">
        <v>46146</v>
      </c>
      <c r="AA114" s="3" t="n"/>
      <c r="AB114" s="3" t="n"/>
    </row>
    <row r="115">
      <c r="A115" s="2" t="n">
        <v>46144</v>
      </c>
      <c r="B115" s="3" t="n">
        <v>2026</v>
      </c>
      <c r="C115" s="3" t="inlineStr">
        <is>
          <t>Oyster Technocon</t>
        </is>
      </c>
      <c r="D115" s="3" t="inlineStr">
        <is>
          <t>Channel Sales</t>
        </is>
      </c>
      <c r="E115" s="3" t="n"/>
      <c r="F115" s="3" t="inlineStr">
        <is>
          <t>Closed</t>
        </is>
      </c>
      <c r="G115" s="3" t="inlineStr">
        <is>
          <t>Inderpal Singh</t>
        </is>
      </c>
      <c r="H115" s="3" t="n">
        <v>9028940248</v>
      </c>
      <c r="I115" s="7" t="inlineStr">
        <is>
          <t>PE02052602</t>
        </is>
      </c>
      <c r="J115" s="3" t="inlineStr">
        <is>
          <t>Low solar panel generation</t>
        </is>
      </c>
      <c r="K115" s="3" t="inlineStr">
        <is>
          <t>Nagpur</t>
        </is>
      </c>
      <c r="L115" s="3" t="inlineStr">
        <is>
          <t>Maharashtra</t>
        </is>
      </c>
      <c r="M115" s="3" t="inlineStr">
        <is>
          <t>AR</t>
        </is>
      </c>
      <c r="N115" s="3" t="inlineStr">
        <is>
          <t>JB Issue</t>
        </is>
      </c>
      <c r="O115" s="3" t="n">
        <v>540</v>
      </c>
      <c r="P115" s="25" t="inlineStr">
        <is>
          <t>NSMP24101626052</t>
        </is>
      </c>
      <c r="Q115" s="53">
        <f>MID(P115,5,2)</f>
        <v/>
      </c>
      <c r="R115" s="53">
        <f>MID(P115,7,2)</f>
        <v/>
      </c>
      <c r="S115" s="3" t="inlineStr">
        <is>
          <t>G2TB</t>
        </is>
      </c>
      <c r="T115" s="3" t="inlineStr">
        <is>
          <t>P2</t>
        </is>
      </c>
      <c r="U115" s="15" t="inlineStr">
        <is>
          <t>All JB Issue</t>
        </is>
      </c>
      <c r="V115" s="15" t="inlineStr">
        <is>
          <t>JB Changed</t>
        </is>
      </c>
      <c r="W115" s="15" t="inlineStr">
        <is>
          <t>Repair</t>
        </is>
      </c>
      <c r="X115" s="18" t="n">
        <v>46146</v>
      </c>
      <c r="Y115" s="3">
        <f>X115-A115</f>
        <v/>
      </c>
      <c r="Z115" s="18" t="n">
        <v>46146</v>
      </c>
      <c r="AA115" s="15" t="n"/>
      <c r="AB115" s="15" t="n"/>
    </row>
    <row r="116">
      <c r="A116" s="2" t="n">
        <v>46144</v>
      </c>
      <c r="B116" s="3" t="n">
        <v>2026</v>
      </c>
      <c r="C116" s="3" t="inlineStr">
        <is>
          <t>Oyster Technocon</t>
        </is>
      </c>
      <c r="D116" s="3" t="inlineStr">
        <is>
          <t>Channel Sales</t>
        </is>
      </c>
      <c r="E116" s="3" t="n"/>
      <c r="F116" s="3" t="inlineStr">
        <is>
          <t>Closed</t>
        </is>
      </c>
      <c r="G116" s="3" t="inlineStr">
        <is>
          <t>Inderpal Singh</t>
        </is>
      </c>
      <c r="H116" s="3" t="n">
        <v>9028940248</v>
      </c>
      <c r="I116" s="7" t="inlineStr">
        <is>
          <t>PE02052602</t>
        </is>
      </c>
      <c r="J116" s="3" t="inlineStr">
        <is>
          <t>Low solar panel generation</t>
        </is>
      </c>
      <c r="K116" s="3" t="inlineStr">
        <is>
          <t>Nagpur</t>
        </is>
      </c>
      <c r="L116" s="3" t="inlineStr">
        <is>
          <t>Maharashtra</t>
        </is>
      </c>
      <c r="M116" s="3" t="inlineStr">
        <is>
          <t>Found okay</t>
        </is>
      </c>
      <c r="N116" s="3" t="inlineStr">
        <is>
          <t>No Issue</t>
        </is>
      </c>
      <c r="O116" s="3" t="n">
        <v>540</v>
      </c>
      <c r="P116" s="36" t="inlineStr">
        <is>
          <t>N/A</t>
        </is>
      </c>
      <c r="Q116" s="53">
        <f>MID(P116,5,2)</f>
        <v/>
      </c>
      <c r="R116" s="53">
        <f>MID(P116,7,2)</f>
        <v/>
      </c>
      <c r="S116" s="3" t="inlineStr">
        <is>
          <t>G2TB</t>
        </is>
      </c>
      <c r="T116" s="3" t="inlineStr">
        <is>
          <t>P2</t>
        </is>
      </c>
      <c r="U116" s="5" t="inlineStr">
        <is>
          <t>No Issue Found</t>
        </is>
      </c>
      <c r="V116" s="3" t="inlineStr">
        <is>
          <t>Found OK</t>
        </is>
      </c>
      <c r="W116" s="15" t="inlineStr">
        <is>
          <t>Repair</t>
        </is>
      </c>
      <c r="X116" s="18" t="n">
        <v>46146</v>
      </c>
      <c r="Y116" s="3">
        <f>X116-A116</f>
        <v/>
      </c>
      <c r="Z116" s="18" t="n">
        <v>46146</v>
      </c>
      <c r="AA116" s="3" t="n"/>
      <c r="AB116" s="3" t="n"/>
    </row>
    <row r="117">
      <c r="A117" s="2" t="n">
        <v>46144</v>
      </c>
      <c r="B117" s="3" t="n">
        <v>2026</v>
      </c>
      <c r="C117" s="3" t="inlineStr">
        <is>
          <t>Oyster Technocon</t>
        </is>
      </c>
      <c r="D117" s="3" t="inlineStr">
        <is>
          <t>Channel Sales</t>
        </is>
      </c>
      <c r="E117" s="3" t="n"/>
      <c r="F117" s="3" t="inlineStr">
        <is>
          <t>Closed</t>
        </is>
      </c>
      <c r="G117" s="3" t="inlineStr">
        <is>
          <t>Inderpal Singh</t>
        </is>
      </c>
      <c r="H117" s="3" t="n">
        <v>9028940248</v>
      </c>
      <c r="I117" s="7" t="inlineStr">
        <is>
          <t>PE02052602</t>
        </is>
      </c>
      <c r="J117" s="3" t="inlineStr">
        <is>
          <t>Low solar panel generation</t>
        </is>
      </c>
      <c r="K117" s="3" t="inlineStr">
        <is>
          <t>Nagpur</t>
        </is>
      </c>
      <c r="L117" s="3" t="inlineStr">
        <is>
          <t>Maharashtra</t>
        </is>
      </c>
      <c r="M117" s="3" t="inlineStr">
        <is>
          <t>Found okay</t>
        </is>
      </c>
      <c r="N117" s="3" t="inlineStr">
        <is>
          <t>No Issue</t>
        </is>
      </c>
      <c r="O117" s="3" t="n">
        <v>540</v>
      </c>
      <c r="P117" s="36" t="inlineStr">
        <is>
          <t>N/A</t>
        </is>
      </c>
      <c r="Q117" s="53">
        <f>MID(P117,5,2)</f>
        <v/>
      </c>
      <c r="R117" s="53">
        <f>MID(P117,7,2)</f>
        <v/>
      </c>
      <c r="S117" s="3" t="inlineStr">
        <is>
          <t>G2TB</t>
        </is>
      </c>
      <c r="T117" s="3" t="inlineStr">
        <is>
          <t>P2</t>
        </is>
      </c>
      <c r="U117" s="5" t="inlineStr">
        <is>
          <t>No Issue Found</t>
        </is>
      </c>
      <c r="V117" s="3" t="inlineStr">
        <is>
          <t>Found OK</t>
        </is>
      </c>
      <c r="W117" s="15" t="inlineStr">
        <is>
          <t>Repair</t>
        </is>
      </c>
      <c r="X117" s="18" t="n">
        <v>46146</v>
      </c>
      <c r="Y117" s="3">
        <f>X117-A117</f>
        <v/>
      </c>
      <c r="Z117" s="18" t="n">
        <v>46146</v>
      </c>
      <c r="AA117" s="15" t="n"/>
      <c r="AB117" s="15" t="n"/>
    </row>
    <row r="118">
      <c r="A118" s="2" t="n">
        <v>46144</v>
      </c>
      <c r="B118" s="3" t="n">
        <v>2026</v>
      </c>
      <c r="C118" s="3" t="inlineStr">
        <is>
          <t>Oyster Technocon</t>
        </is>
      </c>
      <c r="D118" s="3" t="inlineStr">
        <is>
          <t>Channel Sales</t>
        </is>
      </c>
      <c r="E118" s="3" t="n"/>
      <c r="F118" s="3" t="inlineStr">
        <is>
          <t>Closed</t>
        </is>
      </c>
      <c r="G118" s="3" t="inlineStr">
        <is>
          <t>Inderpal Singh</t>
        </is>
      </c>
      <c r="H118" s="3" t="n">
        <v>9028940248</v>
      </c>
      <c r="I118" s="7" t="inlineStr">
        <is>
          <t>PE02052602</t>
        </is>
      </c>
      <c r="J118" s="3" t="inlineStr">
        <is>
          <t>Low solar panel generation</t>
        </is>
      </c>
      <c r="K118" s="3" t="inlineStr">
        <is>
          <t>Nagpur</t>
        </is>
      </c>
      <c r="L118" s="3" t="inlineStr">
        <is>
          <t>Maharashtra</t>
        </is>
      </c>
      <c r="M118" s="3" t="inlineStr">
        <is>
          <t>Found okay</t>
        </is>
      </c>
      <c r="N118" s="3" t="inlineStr">
        <is>
          <t>No Issue</t>
        </is>
      </c>
      <c r="O118" s="3" t="n">
        <v>540</v>
      </c>
      <c r="P118" s="36" t="inlineStr">
        <is>
          <t>N/A</t>
        </is>
      </c>
      <c r="Q118" s="53">
        <f>MID(P118,5,2)</f>
        <v/>
      </c>
      <c r="R118" s="53">
        <f>MID(P118,7,2)</f>
        <v/>
      </c>
      <c r="S118" s="3" t="inlineStr">
        <is>
          <t>G2TB</t>
        </is>
      </c>
      <c r="T118" s="3" t="inlineStr">
        <is>
          <t>P2</t>
        </is>
      </c>
      <c r="U118" s="5" t="inlineStr">
        <is>
          <t>No Issue Found</t>
        </is>
      </c>
      <c r="V118" s="3" t="inlineStr">
        <is>
          <t>Found OK</t>
        </is>
      </c>
      <c r="W118" s="15" t="inlineStr">
        <is>
          <t>Repair</t>
        </is>
      </c>
      <c r="X118" s="18" t="n">
        <v>46146</v>
      </c>
      <c r="Y118" s="3">
        <f>X118-A118</f>
        <v/>
      </c>
      <c r="Z118" s="18" t="n">
        <v>46146</v>
      </c>
      <c r="AA118" s="3" t="n"/>
      <c r="AB118" s="3" t="n"/>
    </row>
    <row r="119" hidden="1" s="233">
      <c r="A119" s="2" t="n">
        <v>46106</v>
      </c>
      <c r="B119" s="3" t="n">
        <v>2026</v>
      </c>
      <c r="C119" s="3" t="inlineStr">
        <is>
          <t>First Energy</t>
        </is>
      </c>
      <c r="D119" s="3" t="inlineStr">
        <is>
          <t>Utility and C&amp;I</t>
        </is>
      </c>
      <c r="E119" s="3" t="n"/>
      <c r="F119" s="3" t="inlineStr">
        <is>
          <t>WIP</t>
        </is>
      </c>
      <c r="G119" s="3" t="inlineStr">
        <is>
          <t>Mr. Gaurav</t>
        </is>
      </c>
      <c r="H119" s="3" t="n">
        <v>9979185999</v>
      </c>
      <c r="I119" s="11" t="inlineStr">
        <is>
          <t>PE25032601</t>
        </is>
      </c>
      <c r="J119" s="9" t="inlineStr">
        <is>
          <t>Module Defects</t>
        </is>
      </c>
      <c r="K119" s="3" t="inlineStr">
        <is>
          <t>Rajkot</t>
        </is>
      </c>
      <c r="L119" s="3" t="inlineStr">
        <is>
          <t>Gujarat</t>
        </is>
      </c>
      <c r="M119" s="9" t="inlineStr">
        <is>
          <t xml:space="preserve">hotspot found </t>
        </is>
      </c>
      <c r="N119" s="19" t="inlineStr">
        <is>
          <t>Hotspot</t>
        </is>
      </c>
      <c r="O119" s="3" t="n">
        <v>550</v>
      </c>
      <c r="P119" s="9" t="inlineStr">
        <is>
          <t>NSMP2212285926</t>
        </is>
      </c>
      <c r="Q119" s="53">
        <f>MID(P119,5,2)</f>
        <v/>
      </c>
      <c r="R119" s="53">
        <f>MID(P119,7,2)</f>
        <v/>
      </c>
      <c r="S119" s="3" t="inlineStr">
        <is>
          <t>G2TB</t>
        </is>
      </c>
      <c r="T119" s="3" t="inlineStr">
        <is>
          <t>P2</t>
        </is>
      </c>
      <c r="U119" s="9" t="inlineStr">
        <is>
          <t xml:space="preserve">Multi Cell Hotspot </t>
        </is>
      </c>
      <c r="V119" s="3" t="inlineStr">
        <is>
          <t>Inspection</t>
        </is>
      </c>
      <c r="W119" s="3" t="inlineStr">
        <is>
          <t>WIP</t>
        </is>
      </c>
      <c r="X119" s="5" t="n"/>
      <c r="Y119" s="3">
        <f>X119-A119</f>
        <v/>
      </c>
      <c r="Z119" s="18" t="n">
        <v>46146</v>
      </c>
      <c r="AA119" s="15" t="n"/>
      <c r="AB119" s="15" t="n"/>
    </row>
    <row r="120" hidden="1" s="233">
      <c r="A120" s="2" t="n">
        <v>46106</v>
      </c>
      <c r="B120" s="3" t="n">
        <v>2026</v>
      </c>
      <c r="C120" s="3" t="inlineStr">
        <is>
          <t>First Energy</t>
        </is>
      </c>
      <c r="D120" s="3" t="inlineStr">
        <is>
          <t>Utility and C&amp;I</t>
        </is>
      </c>
      <c r="E120" s="3" t="n"/>
      <c r="F120" s="3" t="inlineStr">
        <is>
          <t>WIP</t>
        </is>
      </c>
      <c r="G120" s="3" t="inlineStr">
        <is>
          <t>Mr. Gaurav</t>
        </is>
      </c>
      <c r="H120" s="3" t="n">
        <v>9979185999</v>
      </c>
      <c r="I120" s="11" t="inlineStr">
        <is>
          <t>PE25032601</t>
        </is>
      </c>
      <c r="J120" s="9" t="inlineStr">
        <is>
          <t>Module Defects</t>
        </is>
      </c>
      <c r="K120" s="3" t="inlineStr">
        <is>
          <t>Rajkot</t>
        </is>
      </c>
      <c r="L120" s="3" t="inlineStr">
        <is>
          <t>Gujarat</t>
        </is>
      </c>
      <c r="M120" s="9" t="inlineStr">
        <is>
          <t xml:space="preserve">hotspot found </t>
        </is>
      </c>
      <c r="N120" s="19" t="inlineStr">
        <is>
          <t>Hotspot</t>
        </is>
      </c>
      <c r="O120" s="3" t="n">
        <v>550</v>
      </c>
      <c r="P120" s="9" t="inlineStr">
        <is>
          <t>NSMP2212276765</t>
        </is>
      </c>
      <c r="Q120" s="53">
        <f>MID(P120,5,2)</f>
        <v/>
      </c>
      <c r="R120" s="53">
        <f>MID(P120,7,2)</f>
        <v/>
      </c>
      <c r="S120" s="3" t="inlineStr">
        <is>
          <t>G2TB</t>
        </is>
      </c>
      <c r="T120" s="3" t="inlineStr">
        <is>
          <t>P2</t>
        </is>
      </c>
      <c r="U120" s="9" t="inlineStr">
        <is>
          <t xml:space="preserve">Single Cell Hotspot </t>
        </is>
      </c>
      <c r="V120" s="3" t="inlineStr">
        <is>
          <t>Inspection</t>
        </is>
      </c>
      <c r="W120" s="3" t="inlineStr">
        <is>
          <t>WIP</t>
        </is>
      </c>
      <c r="X120" s="5" t="n"/>
      <c r="Y120" s="3">
        <f>X120-A120</f>
        <v/>
      </c>
      <c r="Z120" s="18" t="n">
        <v>46146</v>
      </c>
      <c r="AA120" s="15" t="n"/>
      <c r="AB120" s="15" t="n"/>
    </row>
    <row r="121" hidden="1" s="233">
      <c r="A121" s="2" t="n">
        <v>46106</v>
      </c>
      <c r="B121" s="3" t="n">
        <v>2026</v>
      </c>
      <c r="C121" s="3" t="inlineStr">
        <is>
          <t>First Energy</t>
        </is>
      </c>
      <c r="D121" s="3" t="inlineStr">
        <is>
          <t>Utility and C&amp;I</t>
        </is>
      </c>
      <c r="E121" s="3" t="n"/>
      <c r="F121" s="3" t="inlineStr">
        <is>
          <t>WIP</t>
        </is>
      </c>
      <c r="G121" s="3" t="inlineStr">
        <is>
          <t>Mr. Gaurav</t>
        </is>
      </c>
      <c r="H121" s="3" t="n">
        <v>9979185999</v>
      </c>
      <c r="I121" s="11" t="inlineStr">
        <is>
          <t>PE25032601</t>
        </is>
      </c>
      <c r="J121" s="9" t="inlineStr">
        <is>
          <t>Module Defects</t>
        </is>
      </c>
      <c r="K121" s="3" t="inlineStr">
        <is>
          <t>Rajkot</t>
        </is>
      </c>
      <c r="L121" s="3" t="inlineStr">
        <is>
          <t>Gujarat</t>
        </is>
      </c>
      <c r="M121" s="9" t="inlineStr">
        <is>
          <t xml:space="preserve">Broken Module </t>
        </is>
      </c>
      <c r="N121" s="19" t="inlineStr">
        <is>
          <t>Hotspot</t>
        </is>
      </c>
      <c r="O121" s="3" t="n">
        <v>550</v>
      </c>
      <c r="P121" s="9" t="inlineStr">
        <is>
          <t>NSMP2301293423</t>
        </is>
      </c>
      <c r="Q121" s="53">
        <f>MID(P121,5,2)</f>
        <v/>
      </c>
      <c r="R121" s="53">
        <f>MID(P121,7,2)</f>
        <v/>
      </c>
      <c r="S121" s="3" t="inlineStr">
        <is>
          <t>G2TB</t>
        </is>
      </c>
      <c r="T121" s="3" t="inlineStr">
        <is>
          <t>P2</t>
        </is>
      </c>
      <c r="U121" s="9" t="inlineStr">
        <is>
          <t xml:space="preserve">Multi Cell Hotspot </t>
        </is>
      </c>
      <c r="V121" s="3" t="inlineStr">
        <is>
          <t>Inspection</t>
        </is>
      </c>
      <c r="W121" s="3" t="inlineStr">
        <is>
          <t>WIP</t>
        </is>
      </c>
      <c r="X121" s="5" t="n"/>
      <c r="Y121" s="3">
        <f>X121-A121</f>
        <v/>
      </c>
      <c r="Z121" s="18" t="n">
        <v>46146</v>
      </c>
      <c r="AA121" s="15" t="n"/>
      <c r="AB121" s="15" t="n"/>
    </row>
    <row r="122" hidden="1" s="233">
      <c r="A122" s="2" t="n">
        <v>46106</v>
      </c>
      <c r="B122" s="3" t="n">
        <v>2026</v>
      </c>
      <c r="C122" s="3" t="inlineStr">
        <is>
          <t>First Energy</t>
        </is>
      </c>
      <c r="D122" s="3" t="inlineStr">
        <is>
          <t>Utility and C&amp;I</t>
        </is>
      </c>
      <c r="E122" s="3" t="n"/>
      <c r="F122" s="3" t="inlineStr">
        <is>
          <t>WIP</t>
        </is>
      </c>
      <c r="G122" s="3" t="inlineStr">
        <is>
          <t>Mr. Gaurav</t>
        </is>
      </c>
      <c r="H122" s="3" t="n">
        <v>9979185999</v>
      </c>
      <c r="I122" s="11" t="inlineStr">
        <is>
          <t>PE25032601</t>
        </is>
      </c>
      <c r="J122" s="9" t="inlineStr">
        <is>
          <t>Module Defects</t>
        </is>
      </c>
      <c r="K122" s="3" t="inlineStr">
        <is>
          <t>Rajkot</t>
        </is>
      </c>
      <c r="L122" s="3" t="inlineStr">
        <is>
          <t>Gujarat</t>
        </is>
      </c>
      <c r="M122" s="9" t="inlineStr">
        <is>
          <t xml:space="preserve">hotspot found </t>
        </is>
      </c>
      <c r="N122" s="19" t="inlineStr">
        <is>
          <t>Hotspot</t>
        </is>
      </c>
      <c r="O122" s="3" t="n">
        <v>550</v>
      </c>
      <c r="P122" s="9" t="inlineStr">
        <is>
          <t>NSMP2301328643</t>
        </is>
      </c>
      <c r="Q122" s="53">
        <f>MID(P122,5,2)</f>
        <v/>
      </c>
      <c r="R122" s="53">
        <f>MID(P122,7,2)</f>
        <v/>
      </c>
      <c r="S122" s="3" t="inlineStr">
        <is>
          <t>G2TB</t>
        </is>
      </c>
      <c r="T122" s="3" t="inlineStr">
        <is>
          <t>P2</t>
        </is>
      </c>
      <c r="U122" s="9" t="inlineStr">
        <is>
          <t xml:space="preserve">Multi Cell Hotspot </t>
        </is>
      </c>
      <c r="V122" s="3" t="inlineStr">
        <is>
          <t>Inspection</t>
        </is>
      </c>
      <c r="W122" s="3" t="inlineStr">
        <is>
          <t>WIP</t>
        </is>
      </c>
      <c r="X122" s="5" t="n"/>
      <c r="Y122" s="3">
        <f>X122-A122</f>
        <v/>
      </c>
      <c r="Z122" s="18" t="n">
        <v>46146</v>
      </c>
      <c r="AA122" s="15" t="n"/>
      <c r="AB122" s="15" t="n"/>
    </row>
    <row r="123" hidden="1" s="233">
      <c r="A123" s="2" t="n">
        <v>46106</v>
      </c>
      <c r="B123" s="3" t="n">
        <v>2026</v>
      </c>
      <c r="C123" s="3" t="inlineStr">
        <is>
          <t>First Energy</t>
        </is>
      </c>
      <c r="D123" s="3" t="inlineStr">
        <is>
          <t>Utility and C&amp;I</t>
        </is>
      </c>
      <c r="E123" s="3" t="n"/>
      <c r="F123" s="3" t="inlineStr">
        <is>
          <t>WIP</t>
        </is>
      </c>
      <c r="G123" s="3" t="inlineStr">
        <is>
          <t>Mr. Gaurav</t>
        </is>
      </c>
      <c r="H123" s="3" t="n">
        <v>9979185999</v>
      </c>
      <c r="I123" s="11" t="inlineStr">
        <is>
          <t>PE25032601</t>
        </is>
      </c>
      <c r="J123" s="9" t="inlineStr">
        <is>
          <t>Module Defects</t>
        </is>
      </c>
      <c r="K123" s="3" t="inlineStr">
        <is>
          <t>Rajkot</t>
        </is>
      </c>
      <c r="L123" s="3" t="inlineStr">
        <is>
          <t>Gujarat</t>
        </is>
      </c>
      <c r="M123" s="9" t="inlineStr">
        <is>
          <t xml:space="preserve">hotspot found </t>
        </is>
      </c>
      <c r="N123" s="19" t="inlineStr">
        <is>
          <t>Hotspot</t>
        </is>
      </c>
      <c r="O123" s="3" t="n">
        <v>550</v>
      </c>
      <c r="P123" s="9" t="inlineStr">
        <is>
          <t>NSMP2212270666</t>
        </is>
      </c>
      <c r="Q123" s="53">
        <f>MID(P123,5,2)</f>
        <v/>
      </c>
      <c r="R123" s="53">
        <f>MID(P123,7,2)</f>
        <v/>
      </c>
      <c r="S123" s="3" t="inlineStr">
        <is>
          <t>G2TB</t>
        </is>
      </c>
      <c r="T123" s="3" t="inlineStr">
        <is>
          <t>P2</t>
        </is>
      </c>
      <c r="U123" s="9" t="inlineStr">
        <is>
          <t xml:space="preserve">Multi Cell Hotspot </t>
        </is>
      </c>
      <c r="V123" s="3" t="inlineStr">
        <is>
          <t>Inspection</t>
        </is>
      </c>
      <c r="W123" s="3" t="inlineStr">
        <is>
          <t>WIP</t>
        </is>
      </c>
      <c r="X123" s="5" t="n"/>
      <c r="Y123" s="3">
        <f>X123-A123</f>
        <v/>
      </c>
      <c r="Z123" s="18" t="n">
        <v>46146</v>
      </c>
      <c r="AA123" s="15" t="n"/>
      <c r="AB123" s="15" t="n"/>
    </row>
    <row r="124" hidden="1" s="233">
      <c r="A124" s="2" t="n">
        <v>46106</v>
      </c>
      <c r="B124" s="3" t="n">
        <v>2026</v>
      </c>
      <c r="C124" s="3" t="inlineStr">
        <is>
          <t>First Energy</t>
        </is>
      </c>
      <c r="D124" s="3" t="inlineStr">
        <is>
          <t>Utility and C&amp;I</t>
        </is>
      </c>
      <c r="E124" s="3" t="n"/>
      <c r="F124" s="3" t="inlineStr">
        <is>
          <t>WIP</t>
        </is>
      </c>
      <c r="G124" s="3" t="inlineStr">
        <is>
          <t>Mr. Gaurav</t>
        </is>
      </c>
      <c r="H124" s="3" t="n">
        <v>9979185999</v>
      </c>
      <c r="I124" s="11" t="inlineStr">
        <is>
          <t>PE25032601</t>
        </is>
      </c>
      <c r="J124" s="9" t="inlineStr">
        <is>
          <t>Module Defects</t>
        </is>
      </c>
      <c r="K124" s="3" t="inlineStr">
        <is>
          <t>Rajkot</t>
        </is>
      </c>
      <c r="L124" s="3" t="inlineStr">
        <is>
          <t>Gujarat</t>
        </is>
      </c>
      <c r="M124" s="9" t="inlineStr">
        <is>
          <t xml:space="preserve">hotspot found </t>
        </is>
      </c>
      <c r="N124" s="19" t="inlineStr">
        <is>
          <t>Hotspot</t>
        </is>
      </c>
      <c r="O124" s="3" t="n">
        <v>550</v>
      </c>
      <c r="P124" s="9" t="inlineStr">
        <is>
          <t>NSMP2212268452</t>
        </is>
      </c>
      <c r="Q124" s="53">
        <f>MID(P124,5,2)</f>
        <v/>
      </c>
      <c r="R124" s="53">
        <f>MID(P124,7,2)</f>
        <v/>
      </c>
      <c r="S124" s="3" t="inlineStr">
        <is>
          <t>G2TB</t>
        </is>
      </c>
      <c r="T124" s="3" t="inlineStr">
        <is>
          <t>P2</t>
        </is>
      </c>
      <c r="U124" s="9" t="inlineStr">
        <is>
          <t xml:space="preserve">Single Cell Hotspot </t>
        </is>
      </c>
      <c r="V124" s="3" t="inlineStr">
        <is>
          <t>Inspection</t>
        </is>
      </c>
      <c r="W124" s="3" t="inlineStr">
        <is>
          <t>WIP</t>
        </is>
      </c>
      <c r="X124" s="5" t="n"/>
      <c r="Y124" s="3">
        <f>X124-A124</f>
        <v/>
      </c>
      <c r="Z124" s="18" t="n">
        <v>46146</v>
      </c>
      <c r="AA124" s="15" t="n"/>
      <c r="AB124" s="15" t="n"/>
    </row>
    <row r="125" hidden="1" s="233">
      <c r="A125" s="2" t="n">
        <v>46106</v>
      </c>
      <c r="B125" s="3" t="n">
        <v>2026</v>
      </c>
      <c r="C125" s="3" t="inlineStr">
        <is>
          <t>First Energy</t>
        </is>
      </c>
      <c r="D125" s="3" t="inlineStr">
        <is>
          <t>Utility and C&amp;I</t>
        </is>
      </c>
      <c r="E125" s="3" t="n"/>
      <c r="F125" s="3" t="inlineStr">
        <is>
          <t>WIP</t>
        </is>
      </c>
      <c r="G125" s="3" t="inlineStr">
        <is>
          <t>Mr. Gaurav</t>
        </is>
      </c>
      <c r="H125" s="3" t="n">
        <v>9979185999</v>
      </c>
      <c r="I125" s="11" t="inlineStr">
        <is>
          <t>PE25032601</t>
        </is>
      </c>
      <c r="J125" s="9" t="inlineStr">
        <is>
          <t>Module Defects</t>
        </is>
      </c>
      <c r="K125" s="3" t="inlineStr">
        <is>
          <t>Rajkot</t>
        </is>
      </c>
      <c r="L125" s="3" t="inlineStr">
        <is>
          <t>Gujarat</t>
        </is>
      </c>
      <c r="M125" s="9" t="inlineStr">
        <is>
          <t xml:space="preserve">hotspot found </t>
        </is>
      </c>
      <c r="N125" s="19" t="inlineStr">
        <is>
          <t>Hotspot</t>
        </is>
      </c>
      <c r="O125" s="3" t="n">
        <v>550</v>
      </c>
      <c r="P125" s="9" t="inlineStr">
        <is>
          <t>NSMP2212271260</t>
        </is>
      </c>
      <c r="Q125" s="53">
        <f>MID(P125,5,2)</f>
        <v/>
      </c>
      <c r="R125" s="53">
        <f>MID(P125,7,2)</f>
        <v/>
      </c>
      <c r="S125" s="3" t="inlineStr">
        <is>
          <t>G2TB</t>
        </is>
      </c>
      <c r="T125" s="3" t="inlineStr">
        <is>
          <t>P2</t>
        </is>
      </c>
      <c r="U125" s="9" t="inlineStr">
        <is>
          <t xml:space="preserve">Multi Cell Hotspot </t>
        </is>
      </c>
      <c r="V125" s="3" t="inlineStr">
        <is>
          <t>Inspection</t>
        </is>
      </c>
      <c r="W125" s="3" t="inlineStr">
        <is>
          <t>WIP</t>
        </is>
      </c>
      <c r="X125" s="5" t="n"/>
      <c r="Y125" s="3">
        <f>X125-A125</f>
        <v/>
      </c>
      <c r="Z125" s="18" t="n">
        <v>46146</v>
      </c>
      <c r="AA125" s="15" t="n"/>
      <c r="AB125" s="15" t="n"/>
    </row>
    <row r="126" hidden="1" s="233">
      <c r="A126" s="2" t="n">
        <v>46106</v>
      </c>
      <c r="B126" s="3" t="n">
        <v>2026</v>
      </c>
      <c r="C126" s="3" t="inlineStr">
        <is>
          <t>First Energy</t>
        </is>
      </c>
      <c r="D126" s="3" t="inlineStr">
        <is>
          <t>Utility and C&amp;I</t>
        </is>
      </c>
      <c r="E126" s="3" t="n"/>
      <c r="F126" s="3" t="inlineStr">
        <is>
          <t>WIP</t>
        </is>
      </c>
      <c r="G126" s="3" t="inlineStr">
        <is>
          <t>Mr. Gaurav</t>
        </is>
      </c>
      <c r="H126" s="3" t="n">
        <v>9979185999</v>
      </c>
      <c r="I126" s="11" t="inlineStr">
        <is>
          <t>PE25032601</t>
        </is>
      </c>
      <c r="J126" s="9" t="inlineStr">
        <is>
          <t>Module Defects</t>
        </is>
      </c>
      <c r="K126" s="3" t="inlineStr">
        <is>
          <t>Rajkot</t>
        </is>
      </c>
      <c r="L126" s="3" t="inlineStr">
        <is>
          <t>Gujarat</t>
        </is>
      </c>
      <c r="M126" s="9" t="inlineStr">
        <is>
          <t xml:space="preserve">hotspot found </t>
        </is>
      </c>
      <c r="N126" s="19" t="inlineStr">
        <is>
          <t>Hotspot</t>
        </is>
      </c>
      <c r="O126" s="3" t="n">
        <v>550</v>
      </c>
      <c r="P126" s="9" t="inlineStr">
        <is>
          <t>NSMP2301334386</t>
        </is>
      </c>
      <c r="Q126" s="53">
        <f>MID(P126,5,2)</f>
        <v/>
      </c>
      <c r="R126" s="53">
        <f>MID(P126,7,2)</f>
        <v/>
      </c>
      <c r="S126" s="3" t="inlineStr">
        <is>
          <t>G2TB</t>
        </is>
      </c>
      <c r="T126" s="3" t="inlineStr">
        <is>
          <t>P2</t>
        </is>
      </c>
      <c r="U126" s="9" t="inlineStr">
        <is>
          <t xml:space="preserve">Multi Cell Hotspot </t>
        </is>
      </c>
      <c r="V126" s="3" t="inlineStr">
        <is>
          <t>Inspection</t>
        </is>
      </c>
      <c r="W126" s="3" t="inlineStr">
        <is>
          <t>WIP</t>
        </is>
      </c>
      <c r="X126" s="5" t="n"/>
      <c r="Y126" s="3">
        <f>X126-A126</f>
        <v/>
      </c>
      <c r="Z126" s="18" t="n">
        <v>46146</v>
      </c>
      <c r="AA126" s="15" t="n"/>
      <c r="AB126" s="15" t="n"/>
    </row>
    <row r="127" hidden="1" s="233">
      <c r="A127" s="2" t="n">
        <v>46106</v>
      </c>
      <c r="B127" s="3" t="n">
        <v>2026</v>
      </c>
      <c r="C127" s="3" t="inlineStr">
        <is>
          <t>First Energy</t>
        </is>
      </c>
      <c r="D127" s="3" t="inlineStr">
        <is>
          <t>Utility and C&amp;I</t>
        </is>
      </c>
      <c r="E127" s="3" t="n"/>
      <c r="F127" s="3" t="inlineStr">
        <is>
          <t>WIP</t>
        </is>
      </c>
      <c r="G127" s="3" t="inlineStr">
        <is>
          <t>Mr. Gaurav</t>
        </is>
      </c>
      <c r="H127" s="3" t="n">
        <v>9979185999</v>
      </c>
      <c r="I127" s="11" t="inlineStr">
        <is>
          <t>PE25032601</t>
        </is>
      </c>
      <c r="J127" s="9" t="inlineStr">
        <is>
          <t>Module Defects</t>
        </is>
      </c>
      <c r="K127" s="3" t="inlineStr">
        <is>
          <t>Rajkot</t>
        </is>
      </c>
      <c r="L127" s="3" t="inlineStr">
        <is>
          <t>Gujarat</t>
        </is>
      </c>
      <c r="M127" s="9" t="inlineStr">
        <is>
          <t xml:space="preserve">hotspot found </t>
        </is>
      </c>
      <c r="N127" s="19" t="inlineStr">
        <is>
          <t>Hotspot</t>
        </is>
      </c>
      <c r="O127" s="3" t="n">
        <v>550</v>
      </c>
      <c r="P127" s="9" t="inlineStr">
        <is>
          <t>NSMP2301334369</t>
        </is>
      </c>
      <c r="Q127" s="53">
        <f>MID(P127,5,2)</f>
        <v/>
      </c>
      <c r="R127" s="53">
        <f>MID(P127,7,2)</f>
        <v/>
      </c>
      <c r="S127" s="3" t="inlineStr">
        <is>
          <t>G2TB</t>
        </is>
      </c>
      <c r="T127" s="3" t="inlineStr">
        <is>
          <t>P2</t>
        </is>
      </c>
      <c r="U127" s="9" t="inlineStr">
        <is>
          <t xml:space="preserve">Multi Cell Hotspot </t>
        </is>
      </c>
      <c r="V127" s="3" t="inlineStr">
        <is>
          <t>Inspection</t>
        </is>
      </c>
      <c r="W127" s="3" t="inlineStr">
        <is>
          <t>WIP</t>
        </is>
      </c>
      <c r="X127" s="5" t="n"/>
      <c r="Y127" s="3">
        <f>X127-A127</f>
        <v/>
      </c>
      <c r="Z127" s="18" t="n">
        <v>46146</v>
      </c>
      <c r="AA127" s="15" t="n"/>
      <c r="AB127" s="15" t="n"/>
    </row>
    <row r="128" hidden="1" s="233">
      <c r="A128" s="2" t="n">
        <v>46106</v>
      </c>
      <c r="B128" s="3" t="n">
        <v>2026</v>
      </c>
      <c r="C128" s="3" t="inlineStr">
        <is>
          <t>First Energy</t>
        </is>
      </c>
      <c r="D128" s="3" t="inlineStr">
        <is>
          <t>Utility and C&amp;I</t>
        </is>
      </c>
      <c r="E128" s="3" t="n"/>
      <c r="F128" s="3" t="inlineStr">
        <is>
          <t>WIP</t>
        </is>
      </c>
      <c r="G128" s="3" t="inlineStr">
        <is>
          <t>Mr. Gaurav</t>
        </is>
      </c>
      <c r="H128" s="3" t="n">
        <v>9979185999</v>
      </c>
      <c r="I128" s="11" t="inlineStr">
        <is>
          <t>PE25032601</t>
        </is>
      </c>
      <c r="J128" s="9" t="inlineStr">
        <is>
          <t>Module Defects</t>
        </is>
      </c>
      <c r="K128" s="3" t="inlineStr">
        <is>
          <t>Rajkot</t>
        </is>
      </c>
      <c r="L128" s="3" t="inlineStr">
        <is>
          <t>Gujarat</t>
        </is>
      </c>
      <c r="M128" s="9" t="inlineStr">
        <is>
          <t xml:space="preserve">hotspot found </t>
        </is>
      </c>
      <c r="N128" s="19" t="inlineStr">
        <is>
          <t>Hotspot</t>
        </is>
      </c>
      <c r="O128" s="3" t="n">
        <v>550</v>
      </c>
      <c r="P128" s="9" t="inlineStr">
        <is>
          <t>NSMP2301306009</t>
        </is>
      </c>
      <c r="Q128" s="53">
        <f>MID(P128,5,2)</f>
        <v/>
      </c>
      <c r="R128" s="53">
        <f>MID(P128,7,2)</f>
        <v/>
      </c>
      <c r="S128" s="3" t="inlineStr">
        <is>
          <t>G2TB</t>
        </is>
      </c>
      <c r="T128" s="3" t="inlineStr">
        <is>
          <t>P2</t>
        </is>
      </c>
      <c r="U128" s="9" t="inlineStr">
        <is>
          <t xml:space="preserve">Multi Cell Hotspot </t>
        </is>
      </c>
      <c r="V128" s="3" t="inlineStr">
        <is>
          <t>Inspection</t>
        </is>
      </c>
      <c r="W128" s="3" t="inlineStr">
        <is>
          <t>WIP</t>
        </is>
      </c>
      <c r="X128" s="5" t="n"/>
      <c r="Y128" s="3">
        <f>X128-A128</f>
        <v/>
      </c>
      <c r="Z128" s="18" t="n">
        <v>46146</v>
      </c>
      <c r="AA128" s="15" t="n"/>
      <c r="AB128" s="15" t="n"/>
    </row>
    <row r="129" hidden="1" s="233">
      <c r="A129" s="2" t="n">
        <v>46106</v>
      </c>
      <c r="B129" s="3" t="n">
        <v>2026</v>
      </c>
      <c r="C129" s="3" t="inlineStr">
        <is>
          <t>First Energy</t>
        </is>
      </c>
      <c r="D129" s="3" t="inlineStr">
        <is>
          <t>Utility and C&amp;I</t>
        </is>
      </c>
      <c r="E129" s="3" t="n"/>
      <c r="F129" s="3" t="inlineStr">
        <is>
          <t>WIP</t>
        </is>
      </c>
      <c r="G129" s="3" t="inlineStr">
        <is>
          <t>Mr. Gaurav</t>
        </is>
      </c>
      <c r="H129" s="3" t="n">
        <v>9979185999</v>
      </c>
      <c r="I129" s="11" t="inlineStr">
        <is>
          <t>PE25032601</t>
        </is>
      </c>
      <c r="J129" s="9" t="inlineStr">
        <is>
          <t>Module Defects</t>
        </is>
      </c>
      <c r="K129" s="3" t="inlineStr">
        <is>
          <t>Rajkot</t>
        </is>
      </c>
      <c r="L129" s="3" t="inlineStr">
        <is>
          <t>Gujarat</t>
        </is>
      </c>
      <c r="M129" s="9" t="inlineStr">
        <is>
          <t xml:space="preserve">hotspot found </t>
        </is>
      </c>
      <c r="N129" s="19" t="inlineStr">
        <is>
          <t>Hotspot</t>
        </is>
      </c>
      <c r="O129" s="3" t="n">
        <v>550</v>
      </c>
      <c r="P129" s="9" t="inlineStr">
        <is>
          <t>NSMP2212268876</t>
        </is>
      </c>
      <c r="Q129" s="53">
        <f>MID(P129,5,2)</f>
        <v/>
      </c>
      <c r="R129" s="53">
        <f>MID(P129,7,2)</f>
        <v/>
      </c>
      <c r="S129" s="3" t="inlineStr">
        <is>
          <t>G2TB</t>
        </is>
      </c>
      <c r="T129" s="3" t="inlineStr">
        <is>
          <t>P2</t>
        </is>
      </c>
      <c r="U129" s="9" t="inlineStr">
        <is>
          <t xml:space="preserve">Multi Cell Hotspot </t>
        </is>
      </c>
      <c r="V129" s="3" t="inlineStr">
        <is>
          <t>Inspection</t>
        </is>
      </c>
      <c r="W129" s="3" t="inlineStr">
        <is>
          <t>WIP</t>
        </is>
      </c>
      <c r="X129" s="5" t="n"/>
      <c r="Y129" s="3">
        <f>X129-A129</f>
        <v/>
      </c>
      <c r="Z129" s="18" t="n">
        <v>46146</v>
      </c>
      <c r="AA129" s="15" t="n"/>
      <c r="AB129" s="15" t="n"/>
    </row>
    <row r="130" hidden="1" s="233">
      <c r="A130" s="2" t="n">
        <v>46106</v>
      </c>
      <c r="B130" s="3" t="n">
        <v>2026</v>
      </c>
      <c r="C130" s="3" t="inlineStr">
        <is>
          <t>First Energy</t>
        </is>
      </c>
      <c r="D130" s="3" t="inlineStr">
        <is>
          <t>Utility and C&amp;I</t>
        </is>
      </c>
      <c r="E130" s="3" t="n"/>
      <c r="F130" s="3" t="inlineStr">
        <is>
          <t>WIP</t>
        </is>
      </c>
      <c r="G130" s="3" t="inlineStr">
        <is>
          <t>Mr. Gaurav</t>
        </is>
      </c>
      <c r="H130" s="3" t="n">
        <v>9979185999</v>
      </c>
      <c r="I130" s="11" t="inlineStr">
        <is>
          <t>PE25032601</t>
        </is>
      </c>
      <c r="J130" s="9" t="inlineStr">
        <is>
          <t>Module Defects</t>
        </is>
      </c>
      <c r="K130" s="3" t="inlineStr">
        <is>
          <t>Rajkot</t>
        </is>
      </c>
      <c r="L130" s="3" t="inlineStr">
        <is>
          <t>Gujarat</t>
        </is>
      </c>
      <c r="M130" s="9" t="inlineStr">
        <is>
          <t xml:space="preserve">hotspot found </t>
        </is>
      </c>
      <c r="N130" s="19" t="inlineStr">
        <is>
          <t>Hotspot</t>
        </is>
      </c>
      <c r="O130" s="3" t="n">
        <v>550</v>
      </c>
      <c r="P130" s="9" t="inlineStr">
        <is>
          <t>NSMP2301294074</t>
        </is>
      </c>
      <c r="Q130" s="53">
        <f>MID(P130,5,2)</f>
        <v/>
      </c>
      <c r="R130" s="53">
        <f>MID(P130,7,2)</f>
        <v/>
      </c>
      <c r="S130" s="3" t="inlineStr">
        <is>
          <t>G2TB</t>
        </is>
      </c>
      <c r="T130" s="3" t="inlineStr">
        <is>
          <t>P2</t>
        </is>
      </c>
      <c r="U130" s="9" t="inlineStr">
        <is>
          <t xml:space="preserve">Multi Cell Hotspot </t>
        </is>
      </c>
      <c r="V130" s="3" t="inlineStr">
        <is>
          <t>Inspection</t>
        </is>
      </c>
      <c r="W130" s="3" t="inlineStr">
        <is>
          <t>WIP</t>
        </is>
      </c>
      <c r="X130" s="5" t="n"/>
      <c r="Y130" s="3">
        <f>X130-A130</f>
        <v/>
      </c>
      <c r="Z130" s="18" t="n">
        <v>46146</v>
      </c>
      <c r="AA130" s="15" t="n"/>
      <c r="AB130" s="15" t="n"/>
    </row>
    <row r="131" hidden="1" s="233">
      <c r="A131" s="2" t="n">
        <v>46106</v>
      </c>
      <c r="B131" s="3" t="n">
        <v>2026</v>
      </c>
      <c r="C131" s="3" t="inlineStr">
        <is>
          <t>First Energy</t>
        </is>
      </c>
      <c r="D131" s="3" t="inlineStr">
        <is>
          <t>Utility and C&amp;I</t>
        </is>
      </c>
      <c r="E131" s="3" t="n"/>
      <c r="F131" s="3" t="inlineStr">
        <is>
          <t>WIP</t>
        </is>
      </c>
      <c r="G131" s="3" t="inlineStr">
        <is>
          <t>Mr. Gaurav</t>
        </is>
      </c>
      <c r="H131" s="3" t="n">
        <v>9979185999</v>
      </c>
      <c r="I131" s="11" t="inlineStr">
        <is>
          <t>PE25032601</t>
        </is>
      </c>
      <c r="J131" s="9" t="inlineStr">
        <is>
          <t>Module Defects</t>
        </is>
      </c>
      <c r="K131" s="3" t="inlineStr">
        <is>
          <t>Rajkot</t>
        </is>
      </c>
      <c r="L131" s="3" t="inlineStr">
        <is>
          <t>Gujarat</t>
        </is>
      </c>
      <c r="M131" s="9" t="inlineStr">
        <is>
          <t xml:space="preserve">Broken Module </t>
        </is>
      </c>
      <c r="N131" s="19" t="inlineStr">
        <is>
          <t>Hotspot</t>
        </is>
      </c>
      <c r="O131" s="3" t="n">
        <v>550</v>
      </c>
      <c r="P131" s="9" t="inlineStr">
        <is>
          <t>NSMP2301290174</t>
        </is>
      </c>
      <c r="Q131" s="53">
        <f>MID(P131,5,2)</f>
        <v/>
      </c>
      <c r="R131" s="53">
        <f>MID(P131,7,2)</f>
        <v/>
      </c>
      <c r="S131" s="3" t="inlineStr">
        <is>
          <t>G2TB</t>
        </is>
      </c>
      <c r="T131" s="3" t="inlineStr">
        <is>
          <t>P2</t>
        </is>
      </c>
      <c r="U131" s="9" t="inlineStr">
        <is>
          <t xml:space="preserve">Multi Cell Hotspot </t>
        </is>
      </c>
      <c r="V131" s="3" t="inlineStr">
        <is>
          <t>Inspection</t>
        </is>
      </c>
      <c r="W131" s="3" t="inlineStr">
        <is>
          <t>WIP</t>
        </is>
      </c>
      <c r="X131" s="5" t="n"/>
      <c r="Y131" s="3">
        <f>X131-A131</f>
        <v/>
      </c>
      <c r="Z131" s="18" t="n">
        <v>46146</v>
      </c>
      <c r="AA131" s="15" t="n"/>
      <c r="AB131" s="15" t="n"/>
    </row>
    <row r="132" hidden="1" s="233">
      <c r="A132" s="2" t="n">
        <v>46106</v>
      </c>
      <c r="B132" s="3" t="n">
        <v>2026</v>
      </c>
      <c r="C132" s="3" t="inlineStr">
        <is>
          <t>First Energy</t>
        </is>
      </c>
      <c r="D132" s="3" t="inlineStr">
        <is>
          <t>Utility and C&amp;I</t>
        </is>
      </c>
      <c r="E132" s="3" t="n"/>
      <c r="F132" s="3" t="inlineStr">
        <is>
          <t>WIP</t>
        </is>
      </c>
      <c r="G132" s="3" t="inlineStr">
        <is>
          <t>Mr. Gaurav</t>
        </is>
      </c>
      <c r="H132" s="3" t="n">
        <v>9979185999</v>
      </c>
      <c r="I132" s="11" t="inlineStr">
        <is>
          <t>PE25032601</t>
        </is>
      </c>
      <c r="J132" s="9" t="inlineStr">
        <is>
          <t>Module Defects</t>
        </is>
      </c>
      <c r="K132" s="3" t="inlineStr">
        <is>
          <t>Rajkot</t>
        </is>
      </c>
      <c r="L132" s="3" t="inlineStr">
        <is>
          <t>Gujarat</t>
        </is>
      </c>
      <c r="M132" s="9" t="inlineStr">
        <is>
          <t xml:space="preserve">hotspot found </t>
        </is>
      </c>
      <c r="N132" s="19" t="inlineStr">
        <is>
          <t>Hotspot</t>
        </is>
      </c>
      <c r="O132" s="3" t="n">
        <v>550</v>
      </c>
      <c r="P132" s="9" t="inlineStr">
        <is>
          <t>NSMP2212268256</t>
        </is>
      </c>
      <c r="Q132" s="53">
        <f>MID(P132,5,2)</f>
        <v/>
      </c>
      <c r="R132" s="53">
        <f>MID(P132,7,2)</f>
        <v/>
      </c>
      <c r="S132" s="3" t="inlineStr">
        <is>
          <t>G2TB</t>
        </is>
      </c>
      <c r="T132" s="3" t="inlineStr">
        <is>
          <t>P2</t>
        </is>
      </c>
      <c r="U132" s="9" t="inlineStr">
        <is>
          <t xml:space="preserve">Multi Cell Hotspot </t>
        </is>
      </c>
      <c r="V132" s="3" t="inlineStr">
        <is>
          <t>Inspection</t>
        </is>
      </c>
      <c r="W132" s="3" t="inlineStr">
        <is>
          <t>WIP</t>
        </is>
      </c>
      <c r="X132" s="5" t="n"/>
      <c r="Y132" s="3">
        <f>X132-A132</f>
        <v/>
      </c>
      <c r="Z132" s="18" t="n">
        <v>46146</v>
      </c>
      <c r="AA132" s="15" t="n"/>
      <c r="AB132" s="15" t="n"/>
    </row>
    <row r="133" hidden="1" s="233">
      <c r="A133" s="2" t="n">
        <v>46106</v>
      </c>
      <c r="B133" s="3" t="n">
        <v>2026</v>
      </c>
      <c r="C133" s="3" t="inlineStr">
        <is>
          <t>First Energy</t>
        </is>
      </c>
      <c r="D133" s="3" t="inlineStr">
        <is>
          <t>Utility and C&amp;I</t>
        </is>
      </c>
      <c r="E133" s="3" t="n"/>
      <c r="F133" s="3" t="inlineStr">
        <is>
          <t>WIP</t>
        </is>
      </c>
      <c r="G133" s="3" t="inlineStr">
        <is>
          <t>Mr. Gaurav</t>
        </is>
      </c>
      <c r="H133" s="3" t="n">
        <v>9979185999</v>
      </c>
      <c r="I133" s="11" t="inlineStr">
        <is>
          <t>PE25032601</t>
        </is>
      </c>
      <c r="J133" s="9" t="inlineStr">
        <is>
          <t>Module Defects</t>
        </is>
      </c>
      <c r="K133" s="3" t="inlineStr">
        <is>
          <t>Rajkot</t>
        </is>
      </c>
      <c r="L133" s="3" t="inlineStr">
        <is>
          <t>Gujarat</t>
        </is>
      </c>
      <c r="M133" s="9" t="inlineStr">
        <is>
          <t xml:space="preserve">hotspot found </t>
        </is>
      </c>
      <c r="N133" s="19" t="inlineStr">
        <is>
          <t>Hotspot</t>
        </is>
      </c>
      <c r="O133" s="3" t="n">
        <v>550</v>
      </c>
      <c r="P133" s="9" t="inlineStr">
        <is>
          <t>NSMP2212268206</t>
        </is>
      </c>
      <c r="Q133" s="53">
        <f>MID(P133,5,2)</f>
        <v/>
      </c>
      <c r="R133" s="53">
        <f>MID(P133,7,2)</f>
        <v/>
      </c>
      <c r="S133" s="3" t="inlineStr">
        <is>
          <t>G2TB</t>
        </is>
      </c>
      <c r="T133" s="3" t="inlineStr">
        <is>
          <t>P2</t>
        </is>
      </c>
      <c r="U133" s="9" t="inlineStr">
        <is>
          <t xml:space="preserve">Multi Cell Hotspot </t>
        </is>
      </c>
      <c r="V133" s="3" t="inlineStr">
        <is>
          <t>Inspection</t>
        </is>
      </c>
      <c r="W133" s="3" t="inlineStr">
        <is>
          <t>WIP</t>
        </is>
      </c>
      <c r="X133" s="5" t="n"/>
      <c r="Y133" s="3">
        <f>X133-A133</f>
        <v/>
      </c>
      <c r="Z133" s="18" t="n">
        <v>46146</v>
      </c>
      <c r="AA133" s="15" t="n"/>
      <c r="AB133" s="15" t="n"/>
    </row>
    <row r="134" hidden="1" s="233">
      <c r="A134" s="2" t="n">
        <v>46106</v>
      </c>
      <c r="B134" s="3" t="n">
        <v>2026</v>
      </c>
      <c r="C134" s="3" t="inlineStr">
        <is>
          <t>First Energy</t>
        </is>
      </c>
      <c r="D134" s="3" t="inlineStr">
        <is>
          <t>Utility and C&amp;I</t>
        </is>
      </c>
      <c r="E134" s="3" t="n"/>
      <c r="F134" s="3" t="inlineStr">
        <is>
          <t>WIP</t>
        </is>
      </c>
      <c r="G134" s="3" t="inlineStr">
        <is>
          <t>Mr. Gaurav</t>
        </is>
      </c>
      <c r="H134" s="3" t="n">
        <v>9979185999</v>
      </c>
      <c r="I134" s="11" t="inlineStr">
        <is>
          <t>PE25032601</t>
        </is>
      </c>
      <c r="J134" s="9" t="inlineStr">
        <is>
          <t>Module Defects</t>
        </is>
      </c>
      <c r="K134" s="3" t="inlineStr">
        <is>
          <t>Rajkot</t>
        </is>
      </c>
      <c r="L134" s="3" t="inlineStr">
        <is>
          <t>Gujarat</t>
        </is>
      </c>
      <c r="M134" s="9" t="inlineStr">
        <is>
          <t xml:space="preserve">hotspot found </t>
        </is>
      </c>
      <c r="N134" s="19" t="inlineStr">
        <is>
          <t>Hotspot</t>
        </is>
      </c>
      <c r="O134" s="3" t="n">
        <v>550</v>
      </c>
      <c r="P134" s="9" t="inlineStr">
        <is>
          <t>NSMP2212269350</t>
        </is>
      </c>
      <c r="Q134" s="53">
        <f>MID(P134,5,2)</f>
        <v/>
      </c>
      <c r="R134" s="53">
        <f>MID(P134,7,2)</f>
        <v/>
      </c>
      <c r="S134" s="3" t="inlineStr">
        <is>
          <t>G2TB</t>
        </is>
      </c>
      <c r="T134" s="3" t="inlineStr">
        <is>
          <t>P2</t>
        </is>
      </c>
      <c r="U134" s="9" t="inlineStr">
        <is>
          <t xml:space="preserve">Multi Cell Hotspot </t>
        </is>
      </c>
      <c r="V134" s="3" t="inlineStr">
        <is>
          <t>Inspection</t>
        </is>
      </c>
      <c r="W134" s="3" t="inlineStr">
        <is>
          <t>WIP</t>
        </is>
      </c>
      <c r="X134" s="5" t="n"/>
      <c r="Y134" s="3">
        <f>X134-A134</f>
        <v/>
      </c>
      <c r="Z134" s="18" t="n">
        <v>46146</v>
      </c>
      <c r="AA134" s="15" t="n"/>
      <c r="AB134" s="15" t="n"/>
    </row>
    <row r="135" hidden="1" s="233">
      <c r="A135" s="2" t="n">
        <v>46106</v>
      </c>
      <c r="B135" s="3" t="n">
        <v>2026</v>
      </c>
      <c r="C135" s="3" t="inlineStr">
        <is>
          <t>First Energy</t>
        </is>
      </c>
      <c r="D135" s="3" t="inlineStr">
        <is>
          <t>Utility and C&amp;I</t>
        </is>
      </c>
      <c r="E135" s="3" t="n"/>
      <c r="F135" s="3" t="inlineStr">
        <is>
          <t>WIP</t>
        </is>
      </c>
      <c r="G135" s="3" t="inlineStr">
        <is>
          <t>Mr. Gaurav</t>
        </is>
      </c>
      <c r="H135" s="3" t="n">
        <v>9979185999</v>
      </c>
      <c r="I135" s="11" t="inlineStr">
        <is>
          <t>PE25032601</t>
        </is>
      </c>
      <c r="J135" s="9" t="inlineStr">
        <is>
          <t>Module Defects</t>
        </is>
      </c>
      <c r="K135" s="3" t="inlineStr">
        <is>
          <t>Rajkot</t>
        </is>
      </c>
      <c r="L135" s="3" t="inlineStr">
        <is>
          <t>Gujarat</t>
        </is>
      </c>
      <c r="M135" s="9" t="inlineStr">
        <is>
          <t xml:space="preserve">hotspot found </t>
        </is>
      </c>
      <c r="N135" s="19" t="inlineStr">
        <is>
          <t>Hotspot</t>
        </is>
      </c>
      <c r="O135" s="3" t="n">
        <v>550</v>
      </c>
      <c r="P135" s="9" t="inlineStr">
        <is>
          <t>NSMP2212286574</t>
        </is>
      </c>
      <c r="Q135" s="53">
        <f>MID(P135,5,2)</f>
        <v/>
      </c>
      <c r="R135" s="53">
        <f>MID(P135,7,2)</f>
        <v/>
      </c>
      <c r="S135" s="3" t="inlineStr">
        <is>
          <t>G2TB</t>
        </is>
      </c>
      <c r="T135" s="3" t="inlineStr">
        <is>
          <t>P2</t>
        </is>
      </c>
      <c r="U135" s="9" t="inlineStr">
        <is>
          <t xml:space="preserve">Multi Cell Hotspot </t>
        </is>
      </c>
      <c r="V135" s="3" t="inlineStr">
        <is>
          <t>Inspection</t>
        </is>
      </c>
      <c r="W135" s="3" t="inlineStr">
        <is>
          <t>WIP</t>
        </is>
      </c>
      <c r="X135" s="5" t="n"/>
      <c r="Y135" s="3">
        <f>X135-A135</f>
        <v/>
      </c>
      <c r="Z135" s="18" t="n">
        <v>46146</v>
      </c>
      <c r="AA135" s="15" t="n"/>
      <c r="AB135" s="15" t="n"/>
    </row>
    <row r="136" hidden="1" s="233">
      <c r="A136" s="2" t="n">
        <v>46106</v>
      </c>
      <c r="B136" s="3" t="n">
        <v>2026</v>
      </c>
      <c r="C136" s="3" t="inlineStr">
        <is>
          <t>First Energy</t>
        </is>
      </c>
      <c r="D136" s="3" t="inlineStr">
        <is>
          <t>Utility and C&amp;I</t>
        </is>
      </c>
      <c r="E136" s="3" t="n"/>
      <c r="F136" s="3" t="inlineStr">
        <is>
          <t>WIP</t>
        </is>
      </c>
      <c r="G136" s="3" t="inlineStr">
        <is>
          <t>Mr. Gaurav</t>
        </is>
      </c>
      <c r="H136" s="3" t="n">
        <v>9979185999</v>
      </c>
      <c r="I136" s="11" t="inlineStr">
        <is>
          <t>PE25032601</t>
        </is>
      </c>
      <c r="J136" s="9" t="inlineStr">
        <is>
          <t>Module Defects</t>
        </is>
      </c>
      <c r="K136" s="3" t="inlineStr">
        <is>
          <t>Rajkot</t>
        </is>
      </c>
      <c r="L136" s="3" t="inlineStr">
        <is>
          <t>Gujarat</t>
        </is>
      </c>
      <c r="M136" s="9" t="inlineStr">
        <is>
          <t>cell burn</t>
        </is>
      </c>
      <c r="N136" s="19" t="inlineStr">
        <is>
          <t>Hotspot</t>
        </is>
      </c>
      <c r="O136" s="3" t="n">
        <v>550</v>
      </c>
      <c r="P136" s="9" t="inlineStr">
        <is>
          <t>NSMP2212284084</t>
        </is>
      </c>
      <c r="Q136" s="53">
        <f>MID(P136,5,2)</f>
        <v/>
      </c>
      <c r="R136" s="53">
        <f>MID(P136,7,2)</f>
        <v/>
      </c>
      <c r="S136" s="3" t="inlineStr">
        <is>
          <t>G2TB</t>
        </is>
      </c>
      <c r="T136" s="3" t="inlineStr">
        <is>
          <t>P2</t>
        </is>
      </c>
      <c r="U136" s="9" t="inlineStr">
        <is>
          <t xml:space="preserve">Multi Cell Hotspot </t>
        </is>
      </c>
      <c r="V136" s="3" t="inlineStr">
        <is>
          <t>Inspection</t>
        </is>
      </c>
      <c r="W136" s="3" t="inlineStr">
        <is>
          <t>WIP</t>
        </is>
      </c>
      <c r="X136" s="5" t="n"/>
      <c r="Y136" s="3">
        <f>X136-A136</f>
        <v/>
      </c>
      <c r="Z136" s="18" t="n">
        <v>46146</v>
      </c>
      <c r="AA136" s="15" t="n"/>
      <c r="AB136" s="15" t="n"/>
    </row>
    <row r="137" hidden="1" s="233">
      <c r="A137" s="2" t="n">
        <v>46106</v>
      </c>
      <c r="B137" s="3" t="n">
        <v>2026</v>
      </c>
      <c r="C137" s="3" t="inlineStr">
        <is>
          <t>First Energy</t>
        </is>
      </c>
      <c r="D137" s="3" t="inlineStr">
        <is>
          <t>Utility and C&amp;I</t>
        </is>
      </c>
      <c r="E137" s="3" t="n"/>
      <c r="F137" s="3" t="inlineStr">
        <is>
          <t>WIP</t>
        </is>
      </c>
      <c r="G137" s="3" t="inlineStr">
        <is>
          <t>Mr. Gaurav</t>
        </is>
      </c>
      <c r="H137" s="3" t="n">
        <v>9979185999</v>
      </c>
      <c r="I137" s="11" t="inlineStr">
        <is>
          <t>PE25032601</t>
        </is>
      </c>
      <c r="J137" s="9" t="inlineStr">
        <is>
          <t>Module Defects</t>
        </is>
      </c>
      <c r="K137" s="3" t="inlineStr">
        <is>
          <t>Rajkot</t>
        </is>
      </c>
      <c r="L137" s="3" t="inlineStr">
        <is>
          <t>Gujarat</t>
        </is>
      </c>
      <c r="M137" s="9" t="inlineStr">
        <is>
          <t xml:space="preserve">hotspot found </t>
        </is>
      </c>
      <c r="N137" s="19" t="inlineStr">
        <is>
          <t>Hotspot</t>
        </is>
      </c>
      <c r="O137" s="3" t="n">
        <v>550</v>
      </c>
      <c r="P137" s="9" t="inlineStr">
        <is>
          <t>NSMP2212280000</t>
        </is>
      </c>
      <c r="Q137" s="53">
        <f>MID(P137,5,2)</f>
        <v/>
      </c>
      <c r="R137" s="53">
        <f>MID(P137,7,2)</f>
        <v/>
      </c>
      <c r="S137" s="3" t="inlineStr">
        <is>
          <t>G2TB</t>
        </is>
      </c>
      <c r="T137" s="3" t="inlineStr">
        <is>
          <t>P2</t>
        </is>
      </c>
      <c r="U137" s="9" t="inlineStr">
        <is>
          <t xml:space="preserve">Multi Cell Hotspot </t>
        </is>
      </c>
      <c r="V137" s="3" t="inlineStr">
        <is>
          <t>Inspection</t>
        </is>
      </c>
      <c r="W137" s="3" t="inlineStr">
        <is>
          <t>WIP</t>
        </is>
      </c>
      <c r="X137" s="5" t="n"/>
      <c r="Y137" s="3">
        <f>X137-A137</f>
        <v/>
      </c>
      <c r="Z137" s="18" t="n">
        <v>46146</v>
      </c>
      <c r="AA137" s="15" t="n"/>
      <c r="AB137" s="15" t="n"/>
    </row>
    <row r="138" hidden="1" s="233">
      <c r="A138" s="2" t="n">
        <v>46106</v>
      </c>
      <c r="B138" s="3" t="n">
        <v>2026</v>
      </c>
      <c r="C138" s="3" t="inlineStr">
        <is>
          <t>First Energy</t>
        </is>
      </c>
      <c r="D138" s="3" t="inlineStr">
        <is>
          <t>Utility and C&amp;I</t>
        </is>
      </c>
      <c r="E138" s="3" t="n"/>
      <c r="F138" s="3" t="inlineStr">
        <is>
          <t>WIP</t>
        </is>
      </c>
      <c r="G138" s="3" t="inlineStr">
        <is>
          <t>Mr. Gaurav</t>
        </is>
      </c>
      <c r="H138" s="3" t="n">
        <v>9979185999</v>
      </c>
      <c r="I138" s="11" t="inlineStr">
        <is>
          <t>PE25032601</t>
        </is>
      </c>
      <c r="J138" s="9" t="inlineStr">
        <is>
          <t>Module Defects</t>
        </is>
      </c>
      <c r="K138" s="3" t="inlineStr">
        <is>
          <t>Rajkot</t>
        </is>
      </c>
      <c r="L138" s="3" t="inlineStr">
        <is>
          <t>Gujarat</t>
        </is>
      </c>
      <c r="M138" s="9" t="inlineStr">
        <is>
          <t xml:space="preserve">hotspot found </t>
        </is>
      </c>
      <c r="N138" s="19" t="inlineStr">
        <is>
          <t>Hotspot</t>
        </is>
      </c>
      <c r="O138" s="3" t="n">
        <v>550</v>
      </c>
      <c r="P138" s="9" t="inlineStr">
        <is>
          <t>NSMP2301333696</t>
        </is>
      </c>
      <c r="Q138" s="53">
        <f>MID(P138,5,2)</f>
        <v/>
      </c>
      <c r="R138" s="53">
        <f>MID(P138,7,2)</f>
        <v/>
      </c>
      <c r="S138" s="3" t="inlineStr">
        <is>
          <t>G2TB</t>
        </is>
      </c>
      <c r="T138" s="3" t="inlineStr">
        <is>
          <t>P2</t>
        </is>
      </c>
      <c r="U138" s="9" t="inlineStr">
        <is>
          <t xml:space="preserve">Multi Cell Hotspot </t>
        </is>
      </c>
      <c r="V138" s="3" t="inlineStr">
        <is>
          <t>Inspection</t>
        </is>
      </c>
      <c r="W138" s="3" t="inlineStr">
        <is>
          <t>WIP</t>
        </is>
      </c>
      <c r="X138" s="5" t="n"/>
      <c r="Y138" s="3">
        <f>X138-A138</f>
        <v/>
      </c>
      <c r="Z138" s="18" t="n">
        <v>46146</v>
      </c>
      <c r="AA138" s="15" t="n"/>
      <c r="AB138" s="15" t="n"/>
    </row>
    <row r="139" hidden="1" s="233">
      <c r="A139" s="2" t="n">
        <v>46106</v>
      </c>
      <c r="B139" s="3" t="n">
        <v>2026</v>
      </c>
      <c r="C139" s="3" t="inlineStr">
        <is>
          <t>First Energy</t>
        </is>
      </c>
      <c r="D139" s="3" t="inlineStr">
        <is>
          <t>Utility and C&amp;I</t>
        </is>
      </c>
      <c r="E139" s="3" t="n"/>
      <c r="F139" s="3" t="inlineStr">
        <is>
          <t>WIP</t>
        </is>
      </c>
      <c r="G139" s="3" t="inlineStr">
        <is>
          <t>Mr. Gaurav</t>
        </is>
      </c>
      <c r="H139" s="3" t="n">
        <v>9979185999</v>
      </c>
      <c r="I139" s="11" t="inlineStr">
        <is>
          <t>PE25032601</t>
        </is>
      </c>
      <c r="J139" s="9" t="inlineStr">
        <is>
          <t>Module Defects</t>
        </is>
      </c>
      <c r="K139" s="3" t="inlineStr">
        <is>
          <t>Rajkot</t>
        </is>
      </c>
      <c r="L139" s="3" t="inlineStr">
        <is>
          <t>Gujarat</t>
        </is>
      </c>
      <c r="M139" s="9" t="inlineStr">
        <is>
          <t xml:space="preserve">hotspot found </t>
        </is>
      </c>
      <c r="N139" s="19" t="inlineStr">
        <is>
          <t>Hotspot</t>
        </is>
      </c>
      <c r="O139" s="3" t="n">
        <v>550</v>
      </c>
      <c r="P139" s="9" t="inlineStr">
        <is>
          <t>NSMP25032759231</t>
        </is>
      </c>
      <c r="Q139" s="53">
        <f>MID(P139,5,2)</f>
        <v/>
      </c>
      <c r="R139" s="53">
        <f>MID(P139,7,2)</f>
        <v/>
      </c>
      <c r="S139" s="3" t="inlineStr">
        <is>
          <t>G2TB</t>
        </is>
      </c>
      <c r="T139" s="3" t="inlineStr">
        <is>
          <t>P2</t>
        </is>
      </c>
      <c r="U139" s="9" t="inlineStr">
        <is>
          <t xml:space="preserve">Single Cell Hotspot </t>
        </is>
      </c>
      <c r="V139" s="3" t="inlineStr">
        <is>
          <t>Inspection</t>
        </is>
      </c>
      <c r="W139" s="3" t="inlineStr">
        <is>
          <t>WIP</t>
        </is>
      </c>
      <c r="X139" s="5" t="n"/>
      <c r="Y139" s="3">
        <f>X139-A139</f>
        <v/>
      </c>
      <c r="Z139" s="18" t="n">
        <v>46146</v>
      </c>
      <c r="AA139" s="15" t="n"/>
      <c r="AB139" s="15" t="n"/>
    </row>
    <row r="140" hidden="1" s="233">
      <c r="A140" s="2" t="n">
        <v>46106</v>
      </c>
      <c r="B140" s="3" t="n">
        <v>2026</v>
      </c>
      <c r="C140" s="3" t="inlineStr">
        <is>
          <t>First Energy</t>
        </is>
      </c>
      <c r="D140" s="3" t="inlineStr">
        <is>
          <t>Utility and C&amp;I</t>
        </is>
      </c>
      <c r="E140" s="3" t="n"/>
      <c r="F140" s="3" t="inlineStr">
        <is>
          <t>WIP</t>
        </is>
      </c>
      <c r="G140" s="3" t="inlineStr">
        <is>
          <t>Mr. Gaurav</t>
        </is>
      </c>
      <c r="H140" s="3" t="n">
        <v>9979185999</v>
      </c>
      <c r="I140" s="11" t="inlineStr">
        <is>
          <t>PE25032601</t>
        </is>
      </c>
      <c r="J140" s="9" t="inlineStr">
        <is>
          <t>Module Defects</t>
        </is>
      </c>
      <c r="K140" s="3" t="inlineStr">
        <is>
          <t>Rajkot</t>
        </is>
      </c>
      <c r="L140" s="3" t="inlineStr">
        <is>
          <t>Gujarat</t>
        </is>
      </c>
      <c r="M140" s="9" t="inlineStr">
        <is>
          <t xml:space="preserve">hotspot found </t>
        </is>
      </c>
      <c r="N140" s="19" t="inlineStr">
        <is>
          <t>Hotspot</t>
        </is>
      </c>
      <c r="O140" s="3" t="n">
        <v>550</v>
      </c>
      <c r="P140" s="9" t="inlineStr">
        <is>
          <t>NSMP2301324055</t>
        </is>
      </c>
      <c r="Q140" s="53">
        <f>MID(P140,5,2)</f>
        <v/>
      </c>
      <c r="R140" s="53">
        <f>MID(P140,7,2)</f>
        <v/>
      </c>
      <c r="S140" s="3" t="inlineStr">
        <is>
          <t>G2TB</t>
        </is>
      </c>
      <c r="T140" s="3" t="inlineStr">
        <is>
          <t>P2</t>
        </is>
      </c>
      <c r="U140" s="9" t="inlineStr">
        <is>
          <t xml:space="preserve">Multi Cell Hotspot </t>
        </is>
      </c>
      <c r="V140" s="3" t="inlineStr">
        <is>
          <t>Inspection</t>
        </is>
      </c>
      <c r="W140" s="3" t="inlineStr">
        <is>
          <t>WIP</t>
        </is>
      </c>
      <c r="X140" s="5" t="n"/>
      <c r="Y140" s="3">
        <f>X140-A140</f>
        <v/>
      </c>
      <c r="Z140" s="18" t="n">
        <v>46146</v>
      </c>
      <c r="AA140" s="15" t="n"/>
      <c r="AB140" s="15" t="n"/>
    </row>
    <row r="141" hidden="1" s="233">
      <c r="A141" s="2" t="n">
        <v>46106</v>
      </c>
      <c r="B141" s="3" t="n">
        <v>2026</v>
      </c>
      <c r="C141" s="3" t="inlineStr">
        <is>
          <t>First Energy</t>
        </is>
      </c>
      <c r="D141" s="3" t="inlineStr">
        <is>
          <t>Utility and C&amp;I</t>
        </is>
      </c>
      <c r="E141" s="3" t="n"/>
      <c r="F141" s="3" t="inlineStr">
        <is>
          <t>WIP</t>
        </is>
      </c>
      <c r="G141" s="3" t="inlineStr">
        <is>
          <t>Mr. Gaurav</t>
        </is>
      </c>
      <c r="H141" s="3" t="n">
        <v>9979185999</v>
      </c>
      <c r="I141" s="11" t="inlineStr">
        <is>
          <t>PE25032601</t>
        </is>
      </c>
      <c r="J141" s="9" t="inlineStr">
        <is>
          <t>Module Defects</t>
        </is>
      </c>
      <c r="K141" s="3" t="inlineStr">
        <is>
          <t>Rajkot</t>
        </is>
      </c>
      <c r="L141" s="3" t="inlineStr">
        <is>
          <t>Gujarat</t>
        </is>
      </c>
      <c r="M141" s="9" t="inlineStr">
        <is>
          <t xml:space="preserve">hotspot found </t>
        </is>
      </c>
      <c r="N141" s="19" t="inlineStr">
        <is>
          <t>Hotspot</t>
        </is>
      </c>
      <c r="O141" s="3" t="n">
        <v>550</v>
      </c>
      <c r="P141" s="9" t="inlineStr">
        <is>
          <t>NSMP2301301245</t>
        </is>
      </c>
      <c r="Q141" s="53">
        <f>MID(P141,5,2)</f>
        <v/>
      </c>
      <c r="R141" s="53">
        <f>MID(P141,7,2)</f>
        <v/>
      </c>
      <c r="S141" s="3" t="inlineStr">
        <is>
          <t>G2TB</t>
        </is>
      </c>
      <c r="T141" s="3" t="inlineStr">
        <is>
          <t>P2</t>
        </is>
      </c>
      <c r="U141" s="9" t="inlineStr">
        <is>
          <t xml:space="preserve">Single Cell Hotspot </t>
        </is>
      </c>
      <c r="V141" s="3" t="inlineStr">
        <is>
          <t>Inspection</t>
        </is>
      </c>
      <c r="W141" s="3" t="inlineStr">
        <is>
          <t>WIP</t>
        </is>
      </c>
      <c r="X141" s="5" t="n"/>
      <c r="Y141" s="3">
        <f>X141-A141</f>
        <v/>
      </c>
      <c r="Z141" s="18" t="n">
        <v>46146</v>
      </c>
      <c r="AA141" s="15" t="n"/>
      <c r="AB141" s="15" t="n"/>
    </row>
    <row r="142" hidden="1" s="233">
      <c r="A142" s="2" t="n">
        <v>46106</v>
      </c>
      <c r="B142" s="3" t="n">
        <v>2026</v>
      </c>
      <c r="C142" s="3" t="inlineStr">
        <is>
          <t>First Energy</t>
        </is>
      </c>
      <c r="D142" s="3" t="inlineStr">
        <is>
          <t>Utility and C&amp;I</t>
        </is>
      </c>
      <c r="E142" s="3" t="n"/>
      <c r="F142" s="3" t="inlineStr">
        <is>
          <t>WIP</t>
        </is>
      </c>
      <c r="G142" s="3" t="inlineStr">
        <is>
          <t>Mr. Gaurav</t>
        </is>
      </c>
      <c r="H142" s="3" t="n">
        <v>9979185999</v>
      </c>
      <c r="I142" s="11" t="inlineStr">
        <is>
          <t>PE25032601</t>
        </is>
      </c>
      <c r="J142" s="9" t="inlineStr">
        <is>
          <t>Module Defects</t>
        </is>
      </c>
      <c r="K142" s="3" t="inlineStr">
        <is>
          <t>Rajkot</t>
        </is>
      </c>
      <c r="L142" s="3" t="inlineStr">
        <is>
          <t>Gujarat</t>
        </is>
      </c>
      <c r="M142" s="9" t="inlineStr">
        <is>
          <t xml:space="preserve">hotspot found </t>
        </is>
      </c>
      <c r="N142" s="19" t="inlineStr">
        <is>
          <t>Hotspot</t>
        </is>
      </c>
      <c r="O142" s="3" t="n">
        <v>550</v>
      </c>
      <c r="P142" s="9" t="inlineStr">
        <is>
          <t>NSMP2301334356</t>
        </is>
      </c>
      <c r="Q142" s="53">
        <f>MID(P142,5,2)</f>
        <v/>
      </c>
      <c r="R142" s="53">
        <f>MID(P142,7,2)</f>
        <v/>
      </c>
      <c r="S142" s="3" t="inlineStr">
        <is>
          <t>G2TB</t>
        </is>
      </c>
      <c r="T142" s="3" t="inlineStr">
        <is>
          <t>P2</t>
        </is>
      </c>
      <c r="U142" s="9" t="inlineStr">
        <is>
          <t xml:space="preserve">Multi Cell Hotspot </t>
        </is>
      </c>
      <c r="V142" s="3" t="inlineStr">
        <is>
          <t>Inspection</t>
        </is>
      </c>
      <c r="W142" s="3" t="inlineStr">
        <is>
          <t>WIP</t>
        </is>
      </c>
      <c r="X142" s="5" t="n"/>
      <c r="Y142" s="3">
        <f>X142-A142</f>
        <v/>
      </c>
      <c r="Z142" s="18" t="n">
        <v>46146</v>
      </c>
      <c r="AA142" s="15" t="n"/>
      <c r="AB142" s="15" t="n"/>
    </row>
    <row r="143" hidden="1" s="233">
      <c r="A143" s="2" t="n">
        <v>46106</v>
      </c>
      <c r="B143" s="3" t="n">
        <v>2026</v>
      </c>
      <c r="C143" s="3" t="inlineStr">
        <is>
          <t>First Energy</t>
        </is>
      </c>
      <c r="D143" s="3" t="inlineStr">
        <is>
          <t>Utility and C&amp;I</t>
        </is>
      </c>
      <c r="E143" s="3" t="n"/>
      <c r="F143" s="3" t="inlineStr">
        <is>
          <t>WIP</t>
        </is>
      </c>
      <c r="G143" s="3" t="inlineStr">
        <is>
          <t>Mr. Gaurav</t>
        </is>
      </c>
      <c r="H143" s="3" t="n">
        <v>9979185999</v>
      </c>
      <c r="I143" s="11" t="inlineStr">
        <is>
          <t>PE25032601</t>
        </is>
      </c>
      <c r="J143" s="9" t="inlineStr">
        <is>
          <t>Module Defects</t>
        </is>
      </c>
      <c r="K143" s="3" t="inlineStr">
        <is>
          <t>Rajkot</t>
        </is>
      </c>
      <c r="L143" s="3" t="inlineStr">
        <is>
          <t>Gujarat</t>
        </is>
      </c>
      <c r="M143" s="9" t="inlineStr">
        <is>
          <t xml:space="preserve">hotspot found </t>
        </is>
      </c>
      <c r="N143" s="19" t="inlineStr">
        <is>
          <t>Hotspot</t>
        </is>
      </c>
      <c r="O143" s="3" t="n">
        <v>550</v>
      </c>
      <c r="P143" s="9" t="inlineStr">
        <is>
          <t>NSMP2212266884</t>
        </is>
      </c>
      <c r="Q143" s="53">
        <f>MID(P143,5,2)</f>
        <v/>
      </c>
      <c r="R143" s="53">
        <f>MID(P143,7,2)</f>
        <v/>
      </c>
      <c r="S143" s="3" t="inlineStr">
        <is>
          <t>G2TB</t>
        </is>
      </c>
      <c r="T143" s="3" t="inlineStr">
        <is>
          <t>P2</t>
        </is>
      </c>
      <c r="U143" s="9" t="inlineStr">
        <is>
          <t xml:space="preserve">Multi Cell Hotspot </t>
        </is>
      </c>
      <c r="V143" s="3" t="inlineStr">
        <is>
          <t>Inspection</t>
        </is>
      </c>
      <c r="W143" s="3" t="inlineStr">
        <is>
          <t>WIP</t>
        </is>
      </c>
      <c r="X143" s="5" t="n"/>
      <c r="Y143" s="3">
        <f>X143-A143</f>
        <v/>
      </c>
      <c r="Z143" s="18" t="n">
        <v>46146</v>
      </c>
      <c r="AA143" s="15" t="n"/>
      <c r="AB143" s="15" t="n"/>
    </row>
    <row r="144" hidden="1" s="233">
      <c r="A144" s="2" t="n">
        <v>46106</v>
      </c>
      <c r="B144" s="3" t="n">
        <v>2026</v>
      </c>
      <c r="C144" s="3" t="inlineStr">
        <is>
          <t>First Energy</t>
        </is>
      </c>
      <c r="D144" s="3" t="inlineStr">
        <is>
          <t>Utility and C&amp;I</t>
        </is>
      </c>
      <c r="E144" s="3" t="n"/>
      <c r="F144" s="3" t="inlineStr">
        <is>
          <t>WIP</t>
        </is>
      </c>
      <c r="G144" s="3" t="inlineStr">
        <is>
          <t>Mr. Gaurav</t>
        </is>
      </c>
      <c r="H144" s="3" t="n">
        <v>9979185999</v>
      </c>
      <c r="I144" s="11" t="inlineStr">
        <is>
          <t>PE25032601</t>
        </is>
      </c>
      <c r="J144" s="9" t="inlineStr">
        <is>
          <t>Module Defects</t>
        </is>
      </c>
      <c r="K144" s="3" t="inlineStr">
        <is>
          <t>Rajkot</t>
        </is>
      </c>
      <c r="L144" s="3" t="inlineStr">
        <is>
          <t>Gujarat</t>
        </is>
      </c>
      <c r="M144" s="9" t="inlineStr">
        <is>
          <t xml:space="preserve">hotspot found </t>
        </is>
      </c>
      <c r="N144" s="19" t="inlineStr">
        <is>
          <t>Hotspot</t>
        </is>
      </c>
      <c r="O144" s="3" t="n">
        <v>550</v>
      </c>
      <c r="P144" s="9" t="inlineStr">
        <is>
          <t>NSMP2212268663</t>
        </is>
      </c>
      <c r="Q144" s="53">
        <f>MID(P144,5,2)</f>
        <v/>
      </c>
      <c r="R144" s="53">
        <f>MID(P144,7,2)</f>
        <v/>
      </c>
      <c r="S144" s="3" t="inlineStr">
        <is>
          <t>G2TB</t>
        </is>
      </c>
      <c r="T144" s="3" t="inlineStr">
        <is>
          <t>P2</t>
        </is>
      </c>
      <c r="U144" s="9" t="inlineStr">
        <is>
          <t xml:space="preserve">Multi Cell Hotspot </t>
        </is>
      </c>
      <c r="V144" s="3" t="inlineStr">
        <is>
          <t>Inspection</t>
        </is>
      </c>
      <c r="W144" s="3" t="inlineStr">
        <is>
          <t>WIP</t>
        </is>
      </c>
      <c r="X144" s="5" t="n"/>
      <c r="Y144" s="3">
        <f>X144-A144</f>
        <v/>
      </c>
      <c r="Z144" s="18" t="n">
        <v>46146</v>
      </c>
      <c r="AA144" s="15" t="n"/>
      <c r="AB144" s="15" t="n"/>
    </row>
    <row r="145" hidden="1" s="233">
      <c r="A145" s="2" t="n">
        <v>46106</v>
      </c>
      <c r="B145" s="3" t="n">
        <v>2026</v>
      </c>
      <c r="C145" s="3" t="inlineStr">
        <is>
          <t>First Energy</t>
        </is>
      </c>
      <c r="D145" s="3" t="inlineStr">
        <is>
          <t>Utility and C&amp;I</t>
        </is>
      </c>
      <c r="E145" s="3" t="n"/>
      <c r="F145" s="3" t="inlineStr">
        <is>
          <t>WIP</t>
        </is>
      </c>
      <c r="G145" s="3" t="inlineStr">
        <is>
          <t>Mr. Gaurav</t>
        </is>
      </c>
      <c r="H145" s="3" t="n">
        <v>9979185999</v>
      </c>
      <c r="I145" s="11" t="inlineStr">
        <is>
          <t>PE25032601</t>
        </is>
      </c>
      <c r="J145" s="9" t="inlineStr">
        <is>
          <t>Module Defects</t>
        </is>
      </c>
      <c r="K145" s="3" t="inlineStr">
        <is>
          <t>Rajkot</t>
        </is>
      </c>
      <c r="L145" s="3" t="inlineStr">
        <is>
          <t>Gujarat</t>
        </is>
      </c>
      <c r="M145" s="9" t="inlineStr">
        <is>
          <t xml:space="preserve">hotspot found </t>
        </is>
      </c>
      <c r="N145" s="19" t="inlineStr">
        <is>
          <t>Hotspot</t>
        </is>
      </c>
      <c r="O145" s="3" t="n">
        <v>550</v>
      </c>
      <c r="P145" s="9" t="inlineStr">
        <is>
          <t>NSMP2301328816</t>
        </is>
      </c>
      <c r="Q145" s="53">
        <f>MID(P145,5,2)</f>
        <v/>
      </c>
      <c r="R145" s="53">
        <f>MID(P145,7,2)</f>
        <v/>
      </c>
      <c r="S145" s="3" t="inlineStr">
        <is>
          <t>G2TB</t>
        </is>
      </c>
      <c r="T145" s="3" t="inlineStr">
        <is>
          <t>P2</t>
        </is>
      </c>
      <c r="U145" s="9" t="inlineStr">
        <is>
          <t xml:space="preserve">Single Cell Hotspot </t>
        </is>
      </c>
      <c r="V145" s="3" t="inlineStr">
        <is>
          <t>Inspection</t>
        </is>
      </c>
      <c r="W145" s="3" t="inlineStr">
        <is>
          <t>WIP</t>
        </is>
      </c>
      <c r="X145" s="5" t="n"/>
      <c r="Y145" s="3">
        <f>X145-A145</f>
        <v/>
      </c>
      <c r="Z145" s="18" t="n">
        <v>46146</v>
      </c>
      <c r="AA145" s="15" t="n"/>
      <c r="AB145" s="15" t="n"/>
    </row>
    <row r="146" hidden="1" s="233">
      <c r="A146" s="2" t="n">
        <v>46106</v>
      </c>
      <c r="B146" s="3" t="n">
        <v>2026</v>
      </c>
      <c r="C146" s="3" t="inlineStr">
        <is>
          <t>First Energy</t>
        </is>
      </c>
      <c r="D146" s="3" t="inlineStr">
        <is>
          <t>Utility and C&amp;I</t>
        </is>
      </c>
      <c r="E146" s="3" t="n"/>
      <c r="F146" s="3" t="inlineStr">
        <is>
          <t>WIP</t>
        </is>
      </c>
      <c r="G146" s="3" t="inlineStr">
        <is>
          <t>Mr. Gaurav</t>
        </is>
      </c>
      <c r="H146" s="3" t="n">
        <v>9979185999</v>
      </c>
      <c r="I146" s="11" t="inlineStr">
        <is>
          <t>PE25032601</t>
        </is>
      </c>
      <c r="J146" s="9" t="inlineStr">
        <is>
          <t>Module Defects</t>
        </is>
      </c>
      <c r="K146" s="3" t="inlineStr">
        <is>
          <t>Rajkot</t>
        </is>
      </c>
      <c r="L146" s="3" t="inlineStr">
        <is>
          <t>Gujarat</t>
        </is>
      </c>
      <c r="M146" s="9" t="inlineStr">
        <is>
          <t xml:space="preserve">hotspot found </t>
        </is>
      </c>
      <c r="N146" s="19" t="inlineStr">
        <is>
          <t>Hotspot</t>
        </is>
      </c>
      <c r="O146" s="3" t="n">
        <v>550</v>
      </c>
      <c r="P146" s="9" t="inlineStr">
        <is>
          <t>NSMP2301333878</t>
        </is>
      </c>
      <c r="Q146" s="53">
        <f>MID(P146,5,2)</f>
        <v/>
      </c>
      <c r="R146" s="53">
        <f>MID(P146,7,2)</f>
        <v/>
      </c>
      <c r="S146" s="3" t="inlineStr">
        <is>
          <t>G2TB</t>
        </is>
      </c>
      <c r="T146" s="3" t="inlineStr">
        <is>
          <t>P2</t>
        </is>
      </c>
      <c r="U146" s="9" t="inlineStr">
        <is>
          <t xml:space="preserve">Multi Cell Hotspot </t>
        </is>
      </c>
      <c r="V146" s="3" t="inlineStr">
        <is>
          <t>Inspection</t>
        </is>
      </c>
      <c r="W146" s="3" t="inlineStr">
        <is>
          <t>WIP</t>
        </is>
      </c>
      <c r="X146" s="5" t="n"/>
      <c r="Y146" s="3">
        <f>X146-A146</f>
        <v/>
      </c>
      <c r="Z146" s="18" t="n">
        <v>46146</v>
      </c>
      <c r="AA146" s="15" t="n"/>
      <c r="AB146" s="15" t="n"/>
    </row>
    <row r="147" hidden="1" s="233">
      <c r="A147" s="2" t="n">
        <v>46106</v>
      </c>
      <c r="B147" s="3" t="n">
        <v>2026</v>
      </c>
      <c r="C147" s="3" t="inlineStr">
        <is>
          <t>First Energy</t>
        </is>
      </c>
      <c r="D147" s="3" t="inlineStr">
        <is>
          <t>Utility and C&amp;I</t>
        </is>
      </c>
      <c r="E147" s="3" t="n"/>
      <c r="F147" s="3" t="inlineStr">
        <is>
          <t>WIP</t>
        </is>
      </c>
      <c r="G147" s="3" t="inlineStr">
        <is>
          <t>Mr. Gaurav</t>
        </is>
      </c>
      <c r="H147" s="3" t="n">
        <v>9979185999</v>
      </c>
      <c r="I147" s="11" t="inlineStr">
        <is>
          <t>PE25032601</t>
        </is>
      </c>
      <c r="J147" s="9" t="inlineStr">
        <is>
          <t>Module Defects</t>
        </is>
      </c>
      <c r="K147" s="3" t="inlineStr">
        <is>
          <t>Rajkot</t>
        </is>
      </c>
      <c r="L147" s="3" t="inlineStr">
        <is>
          <t>Gujarat</t>
        </is>
      </c>
      <c r="M147" s="9" t="inlineStr">
        <is>
          <t xml:space="preserve">hotspot found </t>
        </is>
      </c>
      <c r="N147" s="19" t="inlineStr">
        <is>
          <t>Hotspot</t>
        </is>
      </c>
      <c r="O147" s="3" t="n">
        <v>550</v>
      </c>
      <c r="P147" s="9" t="inlineStr">
        <is>
          <t>NSMP2301348172</t>
        </is>
      </c>
      <c r="Q147" s="53">
        <f>MID(P147,5,2)</f>
        <v/>
      </c>
      <c r="R147" s="53">
        <f>MID(P147,7,2)</f>
        <v/>
      </c>
      <c r="S147" s="3" t="inlineStr">
        <is>
          <t>G2TB</t>
        </is>
      </c>
      <c r="T147" s="3" t="inlineStr">
        <is>
          <t>P2</t>
        </is>
      </c>
      <c r="U147" s="9" t="inlineStr">
        <is>
          <t xml:space="preserve">Multi Cell Hotspot </t>
        </is>
      </c>
      <c r="V147" s="3" t="inlineStr">
        <is>
          <t>Inspection</t>
        </is>
      </c>
      <c r="W147" s="3" t="inlineStr">
        <is>
          <t>WIP</t>
        </is>
      </c>
      <c r="X147" s="5" t="n"/>
      <c r="Y147" s="3">
        <f>X147-A147</f>
        <v/>
      </c>
      <c r="Z147" s="18" t="n">
        <v>46146</v>
      </c>
      <c r="AA147" s="15" t="n"/>
      <c r="AB147" s="15" t="n"/>
    </row>
    <row r="148" hidden="1" s="233">
      <c r="A148" s="2" t="n">
        <v>46106</v>
      </c>
      <c r="B148" s="3" t="n">
        <v>2026</v>
      </c>
      <c r="C148" s="3" t="inlineStr">
        <is>
          <t>First Energy</t>
        </is>
      </c>
      <c r="D148" s="3" t="inlineStr">
        <is>
          <t>Utility and C&amp;I</t>
        </is>
      </c>
      <c r="E148" s="3" t="n"/>
      <c r="F148" s="3" t="inlineStr">
        <is>
          <t>WIP</t>
        </is>
      </c>
      <c r="G148" s="3" t="inlineStr">
        <is>
          <t>Mr. Gaurav</t>
        </is>
      </c>
      <c r="H148" s="3" t="n">
        <v>9979185999</v>
      </c>
      <c r="I148" s="11" t="inlineStr">
        <is>
          <t>PE25032601</t>
        </is>
      </c>
      <c r="J148" s="9" t="inlineStr">
        <is>
          <t>Module Defects</t>
        </is>
      </c>
      <c r="K148" s="3" t="inlineStr">
        <is>
          <t>Rajkot</t>
        </is>
      </c>
      <c r="L148" s="3" t="inlineStr">
        <is>
          <t>Gujarat</t>
        </is>
      </c>
      <c r="M148" s="9" t="inlineStr">
        <is>
          <t xml:space="preserve">hotspot found </t>
        </is>
      </c>
      <c r="N148" s="19" t="inlineStr">
        <is>
          <t>Hotspot</t>
        </is>
      </c>
      <c r="O148" s="3" t="n">
        <v>550</v>
      </c>
      <c r="P148" s="9" t="inlineStr">
        <is>
          <t>NSMP2301348224</t>
        </is>
      </c>
      <c r="Q148" s="53">
        <f>MID(P148,5,2)</f>
        <v/>
      </c>
      <c r="R148" s="53">
        <f>MID(P148,7,2)</f>
        <v/>
      </c>
      <c r="S148" s="3" t="inlineStr">
        <is>
          <t>G2TB</t>
        </is>
      </c>
      <c r="T148" s="3" t="inlineStr">
        <is>
          <t>P2</t>
        </is>
      </c>
      <c r="U148" s="9" t="inlineStr">
        <is>
          <t xml:space="preserve">Multi Cell Hotspot </t>
        </is>
      </c>
      <c r="V148" s="3" t="inlineStr">
        <is>
          <t>Inspection</t>
        </is>
      </c>
      <c r="W148" s="3" t="inlineStr">
        <is>
          <t>WIP</t>
        </is>
      </c>
      <c r="X148" s="5" t="n"/>
      <c r="Y148" s="3">
        <f>X148-A148</f>
        <v/>
      </c>
      <c r="Z148" s="18" t="n">
        <v>46146</v>
      </c>
      <c r="AA148" s="15" t="n"/>
      <c r="AB148" s="15" t="n"/>
    </row>
    <row r="149" hidden="1" s="233">
      <c r="A149" s="2" t="n">
        <v>46106</v>
      </c>
      <c r="B149" s="3" t="n">
        <v>2026</v>
      </c>
      <c r="C149" s="3" t="inlineStr">
        <is>
          <t>First Energy</t>
        </is>
      </c>
      <c r="D149" s="3" t="inlineStr">
        <is>
          <t>Utility and C&amp;I</t>
        </is>
      </c>
      <c r="E149" s="3" t="n"/>
      <c r="F149" s="3" t="inlineStr">
        <is>
          <t>WIP</t>
        </is>
      </c>
      <c r="G149" s="3" t="inlineStr">
        <is>
          <t>Mr. Gaurav</t>
        </is>
      </c>
      <c r="H149" s="3" t="n">
        <v>9979185999</v>
      </c>
      <c r="I149" s="11" t="inlineStr">
        <is>
          <t>PE25032601</t>
        </is>
      </c>
      <c r="J149" s="9" t="inlineStr">
        <is>
          <t>Module Defects</t>
        </is>
      </c>
      <c r="K149" s="3" t="inlineStr">
        <is>
          <t>Rajkot</t>
        </is>
      </c>
      <c r="L149" s="3" t="inlineStr">
        <is>
          <t>Gujarat</t>
        </is>
      </c>
      <c r="M149" s="9" t="inlineStr">
        <is>
          <t xml:space="preserve">hotspot found </t>
        </is>
      </c>
      <c r="N149" s="19" t="inlineStr">
        <is>
          <t>Hotspot</t>
        </is>
      </c>
      <c r="O149" s="3" t="n">
        <v>550</v>
      </c>
      <c r="P149" s="9" t="inlineStr">
        <is>
          <t>NSMP2301348226</t>
        </is>
      </c>
      <c r="Q149" s="53">
        <f>MID(P149,5,2)</f>
        <v/>
      </c>
      <c r="R149" s="53">
        <f>MID(P149,7,2)</f>
        <v/>
      </c>
      <c r="S149" s="3" t="inlineStr">
        <is>
          <t>G2TB</t>
        </is>
      </c>
      <c r="T149" s="3" t="inlineStr">
        <is>
          <t>P2</t>
        </is>
      </c>
      <c r="U149" s="9" t="inlineStr">
        <is>
          <t xml:space="preserve">Multi Cell Hotspot </t>
        </is>
      </c>
      <c r="V149" s="3" t="inlineStr">
        <is>
          <t>Inspection</t>
        </is>
      </c>
      <c r="W149" s="3" t="inlineStr">
        <is>
          <t>WIP</t>
        </is>
      </c>
      <c r="X149" s="5" t="n"/>
      <c r="Y149" s="3">
        <f>X149-A149</f>
        <v/>
      </c>
      <c r="Z149" s="18" t="n">
        <v>46146</v>
      </c>
      <c r="AA149" s="15" t="n"/>
      <c r="AB149" s="15" t="n"/>
    </row>
    <row r="150" hidden="1" s="233">
      <c r="A150" s="2" t="n">
        <v>46106</v>
      </c>
      <c r="B150" s="3" t="n">
        <v>2026</v>
      </c>
      <c r="C150" s="3" t="inlineStr">
        <is>
          <t>First Energy</t>
        </is>
      </c>
      <c r="D150" s="3" t="inlineStr">
        <is>
          <t>Utility and C&amp;I</t>
        </is>
      </c>
      <c r="E150" s="3" t="n"/>
      <c r="F150" s="3" t="inlineStr">
        <is>
          <t>WIP</t>
        </is>
      </c>
      <c r="G150" s="3" t="inlineStr">
        <is>
          <t>Mr. Gaurav</t>
        </is>
      </c>
      <c r="H150" s="3" t="n">
        <v>9979185999</v>
      </c>
      <c r="I150" s="11" t="inlineStr">
        <is>
          <t>PE25032601</t>
        </is>
      </c>
      <c r="J150" s="9" t="inlineStr">
        <is>
          <t>Module Defects</t>
        </is>
      </c>
      <c r="K150" s="3" t="inlineStr">
        <is>
          <t>Rajkot</t>
        </is>
      </c>
      <c r="L150" s="3" t="inlineStr">
        <is>
          <t>Gujarat</t>
        </is>
      </c>
      <c r="M150" s="9" t="inlineStr">
        <is>
          <t xml:space="preserve">hotspot found </t>
        </is>
      </c>
      <c r="N150" s="19" t="inlineStr">
        <is>
          <t>Hotspot</t>
        </is>
      </c>
      <c r="O150" s="3" t="n">
        <v>550</v>
      </c>
      <c r="P150" s="9" t="inlineStr">
        <is>
          <t>NSMP2301300977</t>
        </is>
      </c>
      <c r="Q150" s="53">
        <f>MID(P150,5,2)</f>
        <v/>
      </c>
      <c r="R150" s="53">
        <f>MID(P150,7,2)</f>
        <v/>
      </c>
      <c r="S150" s="3" t="inlineStr">
        <is>
          <t>G2TB</t>
        </is>
      </c>
      <c r="T150" s="3" t="inlineStr">
        <is>
          <t>P2</t>
        </is>
      </c>
      <c r="U150" s="9" t="inlineStr">
        <is>
          <t xml:space="preserve">Single Cell Hotspot </t>
        </is>
      </c>
      <c r="V150" s="3" t="inlineStr">
        <is>
          <t>Inspection</t>
        </is>
      </c>
      <c r="W150" s="3" t="inlineStr">
        <is>
          <t>WIP</t>
        </is>
      </c>
      <c r="X150" s="5" t="n"/>
      <c r="Y150" s="3">
        <f>X150-A150</f>
        <v/>
      </c>
      <c r="Z150" s="18" t="n">
        <v>46146</v>
      </c>
      <c r="AA150" s="15" t="n"/>
      <c r="AB150" s="15" t="n"/>
    </row>
    <row r="151" hidden="1" s="233">
      <c r="A151" s="2" t="n">
        <v>46106</v>
      </c>
      <c r="B151" s="3" t="n">
        <v>2026</v>
      </c>
      <c r="C151" s="3" t="inlineStr">
        <is>
          <t>First Energy</t>
        </is>
      </c>
      <c r="D151" s="3" t="inlineStr">
        <is>
          <t>Utility and C&amp;I</t>
        </is>
      </c>
      <c r="E151" s="3" t="n"/>
      <c r="F151" s="3" t="inlineStr">
        <is>
          <t>WIP</t>
        </is>
      </c>
      <c r="G151" s="3" t="inlineStr">
        <is>
          <t>Mr. Gaurav</t>
        </is>
      </c>
      <c r="H151" s="3" t="n">
        <v>9979185999</v>
      </c>
      <c r="I151" s="11" t="inlineStr">
        <is>
          <t>PE25032601</t>
        </is>
      </c>
      <c r="J151" s="9" t="inlineStr">
        <is>
          <t>Module Defects</t>
        </is>
      </c>
      <c r="K151" s="3" t="inlineStr">
        <is>
          <t>Rajkot</t>
        </is>
      </c>
      <c r="L151" s="3" t="inlineStr">
        <is>
          <t>Gujarat</t>
        </is>
      </c>
      <c r="M151" s="9" t="inlineStr">
        <is>
          <t xml:space="preserve">hotspot found </t>
        </is>
      </c>
      <c r="N151" s="19" t="inlineStr">
        <is>
          <t>Hotspot</t>
        </is>
      </c>
      <c r="O151" s="3" t="n">
        <v>550</v>
      </c>
      <c r="P151" s="9" t="inlineStr">
        <is>
          <t>NSMP2212268464</t>
        </is>
      </c>
      <c r="Q151" s="53">
        <f>MID(P151,5,2)</f>
        <v/>
      </c>
      <c r="R151" s="53">
        <f>MID(P151,7,2)</f>
        <v/>
      </c>
      <c r="S151" s="3" t="inlineStr">
        <is>
          <t>G2TB</t>
        </is>
      </c>
      <c r="T151" s="3" t="inlineStr">
        <is>
          <t>P2</t>
        </is>
      </c>
      <c r="U151" s="9" t="inlineStr">
        <is>
          <t xml:space="preserve">Multi Cell Hotspot </t>
        </is>
      </c>
      <c r="V151" s="3" t="inlineStr">
        <is>
          <t>Inspection</t>
        </is>
      </c>
      <c r="W151" s="3" t="inlineStr">
        <is>
          <t>WIP</t>
        </is>
      </c>
      <c r="X151" s="5" t="n"/>
      <c r="Y151" s="3">
        <f>X151-A151</f>
        <v/>
      </c>
      <c r="Z151" s="18" t="n">
        <v>46146</v>
      </c>
      <c r="AA151" s="15" t="n"/>
      <c r="AB151" s="15" t="n"/>
    </row>
    <row r="152" hidden="1" s="233">
      <c r="A152" s="2" t="n">
        <v>46106</v>
      </c>
      <c r="B152" s="3" t="n">
        <v>2026</v>
      </c>
      <c r="C152" s="3" t="inlineStr">
        <is>
          <t>First Energy</t>
        </is>
      </c>
      <c r="D152" s="3" t="inlineStr">
        <is>
          <t>Utility and C&amp;I</t>
        </is>
      </c>
      <c r="E152" s="3" t="n"/>
      <c r="F152" s="3" t="inlineStr">
        <is>
          <t>WIP</t>
        </is>
      </c>
      <c r="G152" s="3" t="inlineStr">
        <is>
          <t>Mr. Gaurav</t>
        </is>
      </c>
      <c r="H152" s="3" t="n">
        <v>9979185999</v>
      </c>
      <c r="I152" s="11" t="inlineStr">
        <is>
          <t>PE25032601</t>
        </is>
      </c>
      <c r="J152" s="9" t="inlineStr">
        <is>
          <t>Module Defects</t>
        </is>
      </c>
      <c r="K152" s="3" t="inlineStr">
        <is>
          <t>Rajkot</t>
        </is>
      </c>
      <c r="L152" s="3" t="inlineStr">
        <is>
          <t>Gujarat</t>
        </is>
      </c>
      <c r="M152" s="9" t="inlineStr">
        <is>
          <t xml:space="preserve">hotspot found </t>
        </is>
      </c>
      <c r="N152" s="19" t="inlineStr">
        <is>
          <t>Hotspot</t>
        </is>
      </c>
      <c r="O152" s="3" t="n">
        <v>550</v>
      </c>
      <c r="P152" s="9" t="inlineStr">
        <is>
          <t>NSMP2212268613</t>
        </is>
      </c>
      <c r="Q152" s="53">
        <f>MID(P152,5,2)</f>
        <v/>
      </c>
      <c r="R152" s="53">
        <f>MID(P152,7,2)</f>
        <v/>
      </c>
      <c r="S152" s="3" t="inlineStr">
        <is>
          <t>G2TB</t>
        </is>
      </c>
      <c r="T152" s="3" t="inlineStr">
        <is>
          <t>P2</t>
        </is>
      </c>
      <c r="U152" s="9" t="inlineStr">
        <is>
          <t xml:space="preserve">Multi Cell Hotspot </t>
        </is>
      </c>
      <c r="V152" s="3" t="inlineStr">
        <is>
          <t>Inspection</t>
        </is>
      </c>
      <c r="W152" s="3" t="inlineStr">
        <is>
          <t>WIP</t>
        </is>
      </c>
      <c r="X152" s="5" t="n"/>
      <c r="Y152" s="3">
        <f>X152-A152</f>
        <v/>
      </c>
      <c r="Z152" s="18" t="n">
        <v>46146</v>
      </c>
      <c r="AA152" s="15" t="n"/>
      <c r="AB152" s="15" t="n"/>
    </row>
    <row r="153" hidden="1" s="233">
      <c r="A153" s="2" t="n">
        <v>46106</v>
      </c>
      <c r="B153" s="3" t="n">
        <v>2026</v>
      </c>
      <c r="C153" s="3" t="inlineStr">
        <is>
          <t>First Energy</t>
        </is>
      </c>
      <c r="D153" s="3" t="inlineStr">
        <is>
          <t>Utility and C&amp;I</t>
        </is>
      </c>
      <c r="E153" s="3" t="n"/>
      <c r="F153" s="3" t="inlineStr">
        <is>
          <t>WIP</t>
        </is>
      </c>
      <c r="G153" s="3" t="inlineStr">
        <is>
          <t>Mr. Gaurav</t>
        </is>
      </c>
      <c r="H153" s="3" t="n">
        <v>9979185999</v>
      </c>
      <c r="I153" s="11" t="inlineStr">
        <is>
          <t>PE25032601</t>
        </is>
      </c>
      <c r="J153" s="9" t="inlineStr">
        <is>
          <t>Module Defects</t>
        </is>
      </c>
      <c r="K153" s="3" t="inlineStr">
        <is>
          <t>Rajkot</t>
        </is>
      </c>
      <c r="L153" s="3" t="inlineStr">
        <is>
          <t>Gujarat</t>
        </is>
      </c>
      <c r="M153" s="9" t="inlineStr">
        <is>
          <t xml:space="preserve">hotspot found </t>
        </is>
      </c>
      <c r="N153" s="19" t="inlineStr">
        <is>
          <t>Hotspot</t>
        </is>
      </c>
      <c r="O153" s="3" t="n">
        <v>550</v>
      </c>
      <c r="P153" s="9" t="inlineStr">
        <is>
          <t>NSMP2212278004</t>
        </is>
      </c>
      <c r="Q153" s="53">
        <f>MID(P153,5,2)</f>
        <v/>
      </c>
      <c r="R153" s="53">
        <f>MID(P153,7,2)</f>
        <v/>
      </c>
      <c r="S153" s="3" t="inlineStr">
        <is>
          <t>G2TB</t>
        </is>
      </c>
      <c r="T153" s="3" t="inlineStr">
        <is>
          <t>P2</t>
        </is>
      </c>
      <c r="U153" s="9" t="inlineStr">
        <is>
          <t xml:space="preserve">Single Cell Hotspot </t>
        </is>
      </c>
      <c r="V153" s="3" t="inlineStr">
        <is>
          <t>Inspection</t>
        </is>
      </c>
      <c r="W153" s="3" t="inlineStr">
        <is>
          <t>WIP</t>
        </is>
      </c>
      <c r="X153" s="5" t="n"/>
      <c r="Y153" s="3">
        <f>X153-A153</f>
        <v/>
      </c>
      <c r="Z153" s="18" t="n">
        <v>46146</v>
      </c>
      <c r="AA153" s="15" t="n"/>
      <c r="AB153" s="15" t="n"/>
    </row>
    <row r="154" hidden="1" s="233">
      <c r="A154" s="2" t="n">
        <v>46106</v>
      </c>
      <c r="B154" s="3" t="n">
        <v>2026</v>
      </c>
      <c r="C154" s="3" t="inlineStr">
        <is>
          <t>First Energy</t>
        </is>
      </c>
      <c r="D154" s="3" t="inlineStr">
        <is>
          <t>Utility and C&amp;I</t>
        </is>
      </c>
      <c r="E154" s="3" t="n"/>
      <c r="F154" s="3" t="inlineStr">
        <is>
          <t>WIP</t>
        </is>
      </c>
      <c r="G154" s="3" t="inlineStr">
        <is>
          <t>Mr. Gaurav</t>
        </is>
      </c>
      <c r="H154" s="3" t="n">
        <v>9979185999</v>
      </c>
      <c r="I154" s="11" t="inlineStr">
        <is>
          <t>PE25032601</t>
        </is>
      </c>
      <c r="J154" s="9" t="inlineStr">
        <is>
          <t>Module Defects</t>
        </is>
      </c>
      <c r="K154" s="3" t="inlineStr">
        <is>
          <t>Rajkot</t>
        </is>
      </c>
      <c r="L154" s="3" t="inlineStr">
        <is>
          <t>Gujarat</t>
        </is>
      </c>
      <c r="M154" s="9" t="inlineStr">
        <is>
          <t xml:space="preserve">hotspot found </t>
        </is>
      </c>
      <c r="N154" s="19" t="inlineStr">
        <is>
          <t>Hotspot</t>
        </is>
      </c>
      <c r="O154" s="3" t="n">
        <v>550</v>
      </c>
      <c r="P154" s="9" t="inlineStr">
        <is>
          <t>NSMP2301302782</t>
        </is>
      </c>
      <c r="Q154" s="53">
        <f>MID(P154,5,2)</f>
        <v/>
      </c>
      <c r="R154" s="53">
        <f>MID(P154,7,2)</f>
        <v/>
      </c>
      <c r="S154" s="3" t="inlineStr">
        <is>
          <t>G2TB</t>
        </is>
      </c>
      <c r="T154" s="3" t="inlineStr">
        <is>
          <t>P2</t>
        </is>
      </c>
      <c r="U154" s="9" t="inlineStr">
        <is>
          <t xml:space="preserve">Multi Cell Hotspot </t>
        </is>
      </c>
      <c r="V154" s="3" t="inlineStr">
        <is>
          <t>Inspection</t>
        </is>
      </c>
      <c r="W154" s="3" t="inlineStr">
        <is>
          <t>WIP</t>
        </is>
      </c>
      <c r="X154" s="5" t="n"/>
      <c r="Y154" s="3">
        <f>X154-A154</f>
        <v/>
      </c>
      <c r="Z154" s="18" t="n">
        <v>46146</v>
      </c>
      <c r="AA154" s="15" t="n"/>
      <c r="AB154" s="15" t="n"/>
    </row>
    <row r="155" hidden="1" s="233">
      <c r="A155" s="2" t="n">
        <v>46106</v>
      </c>
      <c r="B155" s="3" t="n">
        <v>2026</v>
      </c>
      <c r="C155" s="3" t="inlineStr">
        <is>
          <t>First Energy</t>
        </is>
      </c>
      <c r="D155" s="3" t="inlineStr">
        <is>
          <t>Utility and C&amp;I</t>
        </is>
      </c>
      <c r="E155" s="3" t="n"/>
      <c r="F155" s="3" t="inlineStr">
        <is>
          <t>WIP</t>
        </is>
      </c>
      <c r="G155" s="3" t="inlineStr">
        <is>
          <t>Mr. Gaurav</t>
        </is>
      </c>
      <c r="H155" s="3" t="n">
        <v>9979185999</v>
      </c>
      <c r="I155" s="11" t="inlineStr">
        <is>
          <t>PE25032601</t>
        </is>
      </c>
      <c r="J155" s="9" t="inlineStr">
        <is>
          <t>Module Defects</t>
        </is>
      </c>
      <c r="K155" s="3" t="inlineStr">
        <is>
          <t>Rajkot</t>
        </is>
      </c>
      <c r="L155" s="3" t="inlineStr">
        <is>
          <t>Gujarat</t>
        </is>
      </c>
      <c r="M155" s="9" t="inlineStr">
        <is>
          <t xml:space="preserve">hotspot found </t>
        </is>
      </c>
      <c r="N155" s="19" t="inlineStr">
        <is>
          <t>Hotspot</t>
        </is>
      </c>
      <c r="O155" s="3" t="n">
        <v>550</v>
      </c>
      <c r="P155" s="9" t="inlineStr">
        <is>
          <t>NSMP2212274129</t>
        </is>
      </c>
      <c r="Q155" s="53">
        <f>MID(P155,5,2)</f>
        <v/>
      </c>
      <c r="R155" s="53">
        <f>MID(P155,7,2)</f>
        <v/>
      </c>
      <c r="S155" s="3" t="inlineStr">
        <is>
          <t>G2TB</t>
        </is>
      </c>
      <c r="T155" s="3" t="inlineStr">
        <is>
          <t>P2</t>
        </is>
      </c>
      <c r="U155" s="9" t="inlineStr">
        <is>
          <t xml:space="preserve">Multi Cell Hotspot </t>
        </is>
      </c>
      <c r="V155" s="3" t="inlineStr">
        <is>
          <t>Inspection</t>
        </is>
      </c>
      <c r="W155" s="3" t="inlineStr">
        <is>
          <t>WIP</t>
        </is>
      </c>
      <c r="X155" s="5" t="n"/>
      <c r="Y155" s="3">
        <f>X155-A155</f>
        <v/>
      </c>
      <c r="Z155" s="18" t="n">
        <v>46146</v>
      </c>
      <c r="AA155" s="15" t="n"/>
      <c r="AB155" s="15" t="n"/>
    </row>
    <row r="156" hidden="1" s="233">
      <c r="A156" s="2" t="n">
        <v>46106</v>
      </c>
      <c r="B156" s="3" t="n">
        <v>2026</v>
      </c>
      <c r="C156" s="3" t="inlineStr">
        <is>
          <t>First Energy</t>
        </is>
      </c>
      <c r="D156" s="3" t="inlineStr">
        <is>
          <t>Utility and C&amp;I</t>
        </is>
      </c>
      <c r="E156" s="3" t="n"/>
      <c r="F156" s="3" t="inlineStr">
        <is>
          <t>WIP</t>
        </is>
      </c>
      <c r="G156" s="3" t="inlineStr">
        <is>
          <t>Mr. Gaurav</t>
        </is>
      </c>
      <c r="H156" s="3" t="n">
        <v>9979185999</v>
      </c>
      <c r="I156" s="11" t="inlineStr">
        <is>
          <t>PE25032601</t>
        </is>
      </c>
      <c r="J156" s="9" t="inlineStr">
        <is>
          <t>Module Defects</t>
        </is>
      </c>
      <c r="K156" s="3" t="inlineStr">
        <is>
          <t>Rajkot</t>
        </is>
      </c>
      <c r="L156" s="3" t="inlineStr">
        <is>
          <t>Gujarat</t>
        </is>
      </c>
      <c r="M156" s="9" t="inlineStr">
        <is>
          <t xml:space="preserve">hotspot found </t>
        </is>
      </c>
      <c r="N156" s="19" t="inlineStr">
        <is>
          <t>Hotspot</t>
        </is>
      </c>
      <c r="O156" s="3" t="n">
        <v>550</v>
      </c>
      <c r="P156" s="9" t="inlineStr">
        <is>
          <t>NSMP2212284508</t>
        </is>
      </c>
      <c r="Q156" s="53">
        <f>MID(P156,5,2)</f>
        <v/>
      </c>
      <c r="R156" s="53">
        <f>MID(P156,7,2)</f>
        <v/>
      </c>
      <c r="S156" s="3" t="inlineStr">
        <is>
          <t>G2TB</t>
        </is>
      </c>
      <c r="T156" s="3" t="inlineStr">
        <is>
          <t>P2</t>
        </is>
      </c>
      <c r="U156" s="9" t="inlineStr">
        <is>
          <t xml:space="preserve">Multi Cell Hotspot </t>
        </is>
      </c>
      <c r="V156" s="3" t="inlineStr">
        <is>
          <t>Inspection</t>
        </is>
      </c>
      <c r="W156" s="3" t="inlineStr">
        <is>
          <t>WIP</t>
        </is>
      </c>
      <c r="X156" s="5" t="n"/>
      <c r="Y156" s="3">
        <f>X156-A156</f>
        <v/>
      </c>
      <c r="Z156" s="18" t="n">
        <v>46146</v>
      </c>
      <c r="AA156" s="15" t="n"/>
      <c r="AB156" s="15" t="n"/>
    </row>
    <row r="157" hidden="1" s="233">
      <c r="A157" s="2" t="n">
        <v>46106</v>
      </c>
      <c r="B157" s="3" t="n">
        <v>2026</v>
      </c>
      <c r="C157" s="3" t="inlineStr">
        <is>
          <t>First Energy</t>
        </is>
      </c>
      <c r="D157" s="3" t="inlineStr">
        <is>
          <t>Utility and C&amp;I</t>
        </is>
      </c>
      <c r="E157" s="3" t="n"/>
      <c r="F157" s="3" t="inlineStr">
        <is>
          <t>WIP</t>
        </is>
      </c>
      <c r="G157" s="3" t="inlineStr">
        <is>
          <t>Mr. Gaurav</t>
        </is>
      </c>
      <c r="H157" s="3" t="n">
        <v>9979185999</v>
      </c>
      <c r="I157" s="11" t="inlineStr">
        <is>
          <t>PE25032601</t>
        </is>
      </c>
      <c r="J157" s="9" t="inlineStr">
        <is>
          <t>Module Defects</t>
        </is>
      </c>
      <c r="K157" s="3" t="inlineStr">
        <is>
          <t>Rajkot</t>
        </is>
      </c>
      <c r="L157" s="3" t="inlineStr">
        <is>
          <t>Gujarat</t>
        </is>
      </c>
      <c r="M157" s="9" t="inlineStr">
        <is>
          <t xml:space="preserve">hotspot found </t>
        </is>
      </c>
      <c r="N157" s="19" t="inlineStr">
        <is>
          <t>Hotspot</t>
        </is>
      </c>
      <c r="O157" s="3" t="n">
        <v>550</v>
      </c>
      <c r="P157" s="9" t="inlineStr">
        <is>
          <t>NSMP2301296863</t>
        </is>
      </c>
      <c r="Q157" s="53">
        <f>MID(P157,5,2)</f>
        <v/>
      </c>
      <c r="R157" s="53">
        <f>MID(P157,7,2)</f>
        <v/>
      </c>
      <c r="S157" s="3" t="inlineStr">
        <is>
          <t>G2TB</t>
        </is>
      </c>
      <c r="T157" s="3" t="inlineStr">
        <is>
          <t>P2</t>
        </is>
      </c>
      <c r="U157" s="9" t="inlineStr">
        <is>
          <t xml:space="preserve">Multi Cell Hotspot </t>
        </is>
      </c>
      <c r="V157" s="3" t="inlineStr">
        <is>
          <t>Inspection</t>
        </is>
      </c>
      <c r="W157" s="3" t="inlineStr">
        <is>
          <t>WIP</t>
        </is>
      </c>
      <c r="X157" s="5" t="n"/>
      <c r="Y157" s="3">
        <f>X157-A157</f>
        <v/>
      </c>
      <c r="Z157" s="18" t="n">
        <v>46146</v>
      </c>
      <c r="AA157" s="15" t="n"/>
      <c r="AB157" s="15" t="n"/>
    </row>
    <row r="158" hidden="1" s="233">
      <c r="A158" s="2" t="n">
        <v>46106</v>
      </c>
      <c r="B158" s="3" t="n">
        <v>2026</v>
      </c>
      <c r="C158" s="3" t="inlineStr">
        <is>
          <t>First Energy</t>
        </is>
      </c>
      <c r="D158" s="3" t="inlineStr">
        <is>
          <t>Utility and C&amp;I</t>
        </is>
      </c>
      <c r="E158" s="3" t="n"/>
      <c r="F158" s="3" t="inlineStr">
        <is>
          <t>WIP</t>
        </is>
      </c>
      <c r="G158" s="3" t="inlineStr">
        <is>
          <t>Mr. Gaurav</t>
        </is>
      </c>
      <c r="H158" s="3" t="n">
        <v>9979185999</v>
      </c>
      <c r="I158" s="11" t="inlineStr">
        <is>
          <t>PE25032601</t>
        </is>
      </c>
      <c r="J158" s="9" t="inlineStr">
        <is>
          <t>Module Defects</t>
        </is>
      </c>
      <c r="K158" s="3" t="inlineStr">
        <is>
          <t>Rajkot</t>
        </is>
      </c>
      <c r="L158" s="3" t="inlineStr">
        <is>
          <t>Gujarat</t>
        </is>
      </c>
      <c r="M158" s="9" t="inlineStr">
        <is>
          <t xml:space="preserve">hotspot found </t>
        </is>
      </c>
      <c r="N158" s="19" t="inlineStr">
        <is>
          <t>Hotspot</t>
        </is>
      </c>
      <c r="O158" s="3" t="n">
        <v>550</v>
      </c>
      <c r="P158" s="9" t="inlineStr">
        <is>
          <t>NSMP2212285362</t>
        </is>
      </c>
      <c r="Q158" s="53">
        <f>MID(P158,5,2)</f>
        <v/>
      </c>
      <c r="R158" s="53">
        <f>MID(P158,7,2)</f>
        <v/>
      </c>
      <c r="S158" s="3" t="inlineStr">
        <is>
          <t>G2TB</t>
        </is>
      </c>
      <c r="T158" s="3" t="inlineStr">
        <is>
          <t>P2</t>
        </is>
      </c>
      <c r="U158" s="9" t="inlineStr">
        <is>
          <t xml:space="preserve">Multi Cell Hotspot </t>
        </is>
      </c>
      <c r="V158" s="3" t="inlineStr">
        <is>
          <t>Inspection</t>
        </is>
      </c>
      <c r="W158" s="3" t="inlineStr">
        <is>
          <t>WIP</t>
        </is>
      </c>
      <c r="X158" s="5" t="n"/>
      <c r="Y158" s="3">
        <f>X158-A158</f>
        <v/>
      </c>
      <c r="Z158" s="18" t="n">
        <v>46146</v>
      </c>
      <c r="AA158" s="15" t="n"/>
      <c r="AB158" s="15" t="n"/>
    </row>
    <row r="159" hidden="1" s="233">
      <c r="A159" s="2" t="n">
        <v>46106</v>
      </c>
      <c r="B159" s="3" t="n">
        <v>2026</v>
      </c>
      <c r="C159" s="3" t="inlineStr">
        <is>
          <t>First Energy</t>
        </is>
      </c>
      <c r="D159" s="3" t="inlineStr">
        <is>
          <t>Utility and C&amp;I</t>
        </is>
      </c>
      <c r="E159" s="3" t="n"/>
      <c r="F159" s="3" t="inlineStr">
        <is>
          <t>WIP</t>
        </is>
      </c>
      <c r="G159" s="3" t="inlineStr">
        <is>
          <t>Mr. Gaurav</t>
        </is>
      </c>
      <c r="H159" s="3" t="n">
        <v>9979185999</v>
      </c>
      <c r="I159" s="11" t="inlineStr">
        <is>
          <t>PE25032601</t>
        </is>
      </c>
      <c r="J159" s="9" t="inlineStr">
        <is>
          <t>Module Defects</t>
        </is>
      </c>
      <c r="K159" s="3" t="inlineStr">
        <is>
          <t>Rajkot</t>
        </is>
      </c>
      <c r="L159" s="3" t="inlineStr">
        <is>
          <t>Gujarat</t>
        </is>
      </c>
      <c r="M159" s="9" t="inlineStr">
        <is>
          <t xml:space="preserve">hotspot found </t>
        </is>
      </c>
      <c r="N159" s="19" t="inlineStr">
        <is>
          <t>Hotspot</t>
        </is>
      </c>
      <c r="O159" s="3" t="n">
        <v>550</v>
      </c>
      <c r="P159" s="9" t="inlineStr">
        <is>
          <t>NSMP2301303065</t>
        </is>
      </c>
      <c r="Q159" s="53">
        <f>MID(P159,5,2)</f>
        <v/>
      </c>
      <c r="R159" s="53">
        <f>MID(P159,7,2)</f>
        <v/>
      </c>
      <c r="S159" s="3" t="inlineStr">
        <is>
          <t>G2TB</t>
        </is>
      </c>
      <c r="T159" s="3" t="inlineStr">
        <is>
          <t>P2</t>
        </is>
      </c>
      <c r="U159" s="9" t="inlineStr">
        <is>
          <t xml:space="preserve">Single Cell Hotspot </t>
        </is>
      </c>
      <c r="V159" s="3" t="inlineStr">
        <is>
          <t>Inspection</t>
        </is>
      </c>
      <c r="W159" s="3" t="inlineStr">
        <is>
          <t>WIP</t>
        </is>
      </c>
      <c r="X159" s="5" t="n"/>
      <c r="Y159" s="3">
        <f>X159-A159</f>
        <v/>
      </c>
      <c r="Z159" s="18" t="n">
        <v>46146</v>
      </c>
      <c r="AA159" s="15" t="n"/>
      <c r="AB159" s="15" t="n"/>
    </row>
    <row r="160" hidden="1" s="233">
      <c r="A160" s="2" t="n">
        <v>46106</v>
      </c>
      <c r="B160" s="3" t="n">
        <v>2026</v>
      </c>
      <c r="C160" s="3" t="inlineStr">
        <is>
          <t>First Energy</t>
        </is>
      </c>
      <c r="D160" s="3" t="inlineStr">
        <is>
          <t>Utility and C&amp;I</t>
        </is>
      </c>
      <c r="E160" s="3" t="n"/>
      <c r="F160" s="3" t="inlineStr">
        <is>
          <t>WIP</t>
        </is>
      </c>
      <c r="G160" s="3" t="inlineStr">
        <is>
          <t>Mr. Gaurav</t>
        </is>
      </c>
      <c r="H160" s="3" t="n">
        <v>9979185999</v>
      </c>
      <c r="I160" s="11" t="inlineStr">
        <is>
          <t>PE25032601</t>
        </is>
      </c>
      <c r="J160" s="9" t="inlineStr">
        <is>
          <t>Module Defects</t>
        </is>
      </c>
      <c r="K160" s="3" t="inlineStr">
        <is>
          <t>Rajkot</t>
        </is>
      </c>
      <c r="L160" s="3" t="inlineStr">
        <is>
          <t>Gujarat</t>
        </is>
      </c>
      <c r="M160" s="9" t="inlineStr">
        <is>
          <t xml:space="preserve">hotspot found </t>
        </is>
      </c>
      <c r="N160" s="19" t="inlineStr">
        <is>
          <t>Hotspot</t>
        </is>
      </c>
      <c r="O160" s="3" t="n">
        <v>550</v>
      </c>
      <c r="P160" s="9" t="inlineStr">
        <is>
          <t>NSMP2301305025</t>
        </is>
      </c>
      <c r="Q160" s="53">
        <f>MID(P160,5,2)</f>
        <v/>
      </c>
      <c r="R160" s="53">
        <f>MID(P160,7,2)</f>
        <v/>
      </c>
      <c r="S160" s="3" t="inlineStr">
        <is>
          <t>G2TB</t>
        </is>
      </c>
      <c r="T160" s="3" t="inlineStr">
        <is>
          <t>P2</t>
        </is>
      </c>
      <c r="U160" s="9" t="inlineStr">
        <is>
          <t xml:space="preserve">Multi Cell Hotspot </t>
        </is>
      </c>
      <c r="V160" s="3" t="inlineStr">
        <is>
          <t>Inspection</t>
        </is>
      </c>
      <c r="W160" s="3" t="inlineStr">
        <is>
          <t>WIP</t>
        </is>
      </c>
      <c r="X160" s="5" t="n"/>
      <c r="Y160" s="3">
        <f>X160-A160</f>
        <v/>
      </c>
      <c r="Z160" s="18" t="n">
        <v>46146</v>
      </c>
      <c r="AA160" s="15" t="n"/>
      <c r="AB160" s="15" t="n"/>
    </row>
    <row r="161" hidden="1" s="233">
      <c r="A161" s="2" t="n">
        <v>46106</v>
      </c>
      <c r="B161" s="3" t="n">
        <v>2026</v>
      </c>
      <c r="C161" s="3" t="inlineStr">
        <is>
          <t>First Energy</t>
        </is>
      </c>
      <c r="D161" s="3" t="inlineStr">
        <is>
          <t>Utility and C&amp;I</t>
        </is>
      </c>
      <c r="E161" s="3" t="n"/>
      <c r="F161" s="3" t="inlineStr">
        <is>
          <t>WIP</t>
        </is>
      </c>
      <c r="G161" s="3" t="inlineStr">
        <is>
          <t>Mr. Gaurav</t>
        </is>
      </c>
      <c r="H161" s="3" t="n">
        <v>9979185999</v>
      </c>
      <c r="I161" s="11" t="inlineStr">
        <is>
          <t>PE25032601</t>
        </is>
      </c>
      <c r="J161" s="9" t="inlineStr">
        <is>
          <t>Module Defects</t>
        </is>
      </c>
      <c r="K161" s="3" t="inlineStr">
        <is>
          <t>Rajkot</t>
        </is>
      </c>
      <c r="L161" s="3" t="inlineStr">
        <is>
          <t>Gujarat</t>
        </is>
      </c>
      <c r="M161" s="9" t="inlineStr">
        <is>
          <t xml:space="preserve">hotspot found </t>
        </is>
      </c>
      <c r="N161" s="19" t="inlineStr">
        <is>
          <t>Hotspot</t>
        </is>
      </c>
      <c r="O161" s="3" t="n">
        <v>550</v>
      </c>
      <c r="P161" s="9" t="inlineStr">
        <is>
          <t>NSMP2301294781</t>
        </is>
      </c>
      <c r="Q161" s="53">
        <f>MID(P161,5,2)</f>
        <v/>
      </c>
      <c r="R161" s="53">
        <f>MID(P161,7,2)</f>
        <v/>
      </c>
      <c r="S161" s="3" t="inlineStr">
        <is>
          <t>G2TB</t>
        </is>
      </c>
      <c r="T161" s="3" t="inlineStr">
        <is>
          <t>P2</t>
        </is>
      </c>
      <c r="U161" s="9" t="inlineStr">
        <is>
          <t xml:space="preserve">Single Cell Hotspot </t>
        </is>
      </c>
      <c r="V161" s="3" t="inlineStr">
        <is>
          <t>Inspection</t>
        </is>
      </c>
      <c r="W161" s="3" t="inlineStr">
        <is>
          <t>WIP</t>
        </is>
      </c>
      <c r="X161" s="5" t="n"/>
      <c r="Y161" s="3">
        <f>X161-A161</f>
        <v/>
      </c>
      <c r="Z161" s="18" t="n">
        <v>46146</v>
      </c>
      <c r="AA161" s="15" t="n"/>
      <c r="AB161" s="15" t="n"/>
    </row>
    <row r="162" hidden="1" s="233">
      <c r="A162" s="2" t="n">
        <v>46106</v>
      </c>
      <c r="B162" s="3" t="n">
        <v>2026</v>
      </c>
      <c r="C162" s="3" t="inlineStr">
        <is>
          <t>First Energy</t>
        </is>
      </c>
      <c r="D162" s="3" t="inlineStr">
        <is>
          <t>Utility and C&amp;I</t>
        </is>
      </c>
      <c r="E162" s="3" t="n"/>
      <c r="F162" s="3" t="inlineStr">
        <is>
          <t>WIP</t>
        </is>
      </c>
      <c r="G162" s="3" t="inlineStr">
        <is>
          <t>Mr. Gaurav</t>
        </is>
      </c>
      <c r="H162" s="3" t="n">
        <v>9979185999</v>
      </c>
      <c r="I162" s="11" t="inlineStr">
        <is>
          <t>PE25032601</t>
        </is>
      </c>
      <c r="J162" s="9" t="inlineStr">
        <is>
          <t>Module Defects</t>
        </is>
      </c>
      <c r="K162" s="3" t="inlineStr">
        <is>
          <t>Rajkot</t>
        </is>
      </c>
      <c r="L162" s="3" t="inlineStr">
        <is>
          <t>Gujarat</t>
        </is>
      </c>
      <c r="M162" s="9" t="inlineStr">
        <is>
          <t xml:space="preserve">hotspot found </t>
        </is>
      </c>
      <c r="N162" s="19" t="inlineStr">
        <is>
          <t>Hotspot</t>
        </is>
      </c>
      <c r="O162" s="3" t="n">
        <v>550</v>
      </c>
      <c r="P162" s="9" t="inlineStr">
        <is>
          <t>NSMP2212285494</t>
        </is>
      </c>
      <c r="Q162" s="53">
        <f>MID(P162,5,2)</f>
        <v/>
      </c>
      <c r="R162" s="53">
        <f>MID(P162,7,2)</f>
        <v/>
      </c>
      <c r="S162" s="3" t="inlineStr">
        <is>
          <t>G2TB</t>
        </is>
      </c>
      <c r="T162" s="3" t="inlineStr">
        <is>
          <t>P2</t>
        </is>
      </c>
      <c r="U162" s="9" t="inlineStr">
        <is>
          <t xml:space="preserve">Multi Cell Hotspot </t>
        </is>
      </c>
      <c r="V162" s="3" t="inlineStr">
        <is>
          <t>Inspection</t>
        </is>
      </c>
      <c r="W162" s="3" t="inlineStr">
        <is>
          <t>WIP</t>
        </is>
      </c>
      <c r="X162" s="5" t="n"/>
      <c r="Y162" s="3">
        <f>X162-A162</f>
        <v/>
      </c>
      <c r="Z162" s="18" t="n">
        <v>46146</v>
      </c>
      <c r="AA162" s="15" t="n"/>
      <c r="AB162" s="15" t="n"/>
    </row>
    <row r="163" hidden="1" s="233">
      <c r="A163" s="2" t="n">
        <v>46106</v>
      </c>
      <c r="B163" s="3" t="n">
        <v>2026</v>
      </c>
      <c r="C163" s="3" t="inlineStr">
        <is>
          <t>First Energy</t>
        </is>
      </c>
      <c r="D163" s="3" t="inlineStr">
        <is>
          <t>Utility and C&amp;I</t>
        </is>
      </c>
      <c r="E163" s="3" t="n"/>
      <c r="F163" s="3" t="inlineStr">
        <is>
          <t>WIP</t>
        </is>
      </c>
      <c r="G163" s="3" t="inlineStr">
        <is>
          <t>Mr. Gaurav</t>
        </is>
      </c>
      <c r="H163" s="3" t="n">
        <v>9979185999</v>
      </c>
      <c r="I163" s="11" t="inlineStr">
        <is>
          <t>PE25032601</t>
        </is>
      </c>
      <c r="J163" s="9" t="inlineStr">
        <is>
          <t>Module Defects</t>
        </is>
      </c>
      <c r="K163" s="3" t="inlineStr">
        <is>
          <t>Rajkot</t>
        </is>
      </c>
      <c r="L163" s="3" t="inlineStr">
        <is>
          <t>Gujarat</t>
        </is>
      </c>
      <c r="M163" s="9" t="inlineStr">
        <is>
          <t xml:space="preserve">hotspot found </t>
        </is>
      </c>
      <c r="N163" s="19" t="inlineStr">
        <is>
          <t>Hotspot</t>
        </is>
      </c>
      <c r="O163" s="3" t="n">
        <v>550</v>
      </c>
      <c r="P163" s="9" t="inlineStr">
        <is>
          <t>NSMP2212279699</t>
        </is>
      </c>
      <c r="Q163" s="53">
        <f>MID(P163,5,2)</f>
        <v/>
      </c>
      <c r="R163" s="53">
        <f>MID(P163,7,2)</f>
        <v/>
      </c>
      <c r="S163" s="3" t="inlineStr">
        <is>
          <t>G2TB</t>
        </is>
      </c>
      <c r="T163" s="3" t="inlineStr">
        <is>
          <t>P2</t>
        </is>
      </c>
      <c r="U163" s="9" t="inlineStr">
        <is>
          <t xml:space="preserve">Multi Cell Hotspot </t>
        </is>
      </c>
      <c r="V163" s="3" t="inlineStr">
        <is>
          <t>Inspection</t>
        </is>
      </c>
      <c r="W163" s="3" t="inlineStr">
        <is>
          <t>WIP</t>
        </is>
      </c>
      <c r="X163" s="5" t="n"/>
      <c r="Y163" s="3">
        <f>X163-A163</f>
        <v/>
      </c>
      <c r="Z163" s="18" t="n">
        <v>46146</v>
      </c>
      <c r="AA163" s="15" t="n"/>
      <c r="AB163" s="15" t="n"/>
    </row>
    <row r="164" hidden="1" s="233">
      <c r="A164" s="2" t="n">
        <v>46106</v>
      </c>
      <c r="B164" s="3" t="n">
        <v>2026</v>
      </c>
      <c r="C164" s="3" t="inlineStr">
        <is>
          <t>First Energy</t>
        </is>
      </c>
      <c r="D164" s="3" t="inlineStr">
        <is>
          <t>Utility and C&amp;I</t>
        </is>
      </c>
      <c r="E164" s="3" t="n"/>
      <c r="F164" s="3" t="inlineStr">
        <is>
          <t>WIP</t>
        </is>
      </c>
      <c r="G164" s="3" t="inlineStr">
        <is>
          <t>Mr. Gaurav</t>
        </is>
      </c>
      <c r="H164" s="3" t="n">
        <v>9979185999</v>
      </c>
      <c r="I164" s="11" t="inlineStr">
        <is>
          <t>PE25032601</t>
        </is>
      </c>
      <c r="J164" s="9" t="inlineStr">
        <is>
          <t>Module Defects</t>
        </is>
      </c>
      <c r="K164" s="3" t="inlineStr">
        <is>
          <t>Rajkot</t>
        </is>
      </c>
      <c r="L164" s="3" t="inlineStr">
        <is>
          <t>Gujarat</t>
        </is>
      </c>
      <c r="M164" s="9" t="inlineStr">
        <is>
          <t xml:space="preserve">hotspot found </t>
        </is>
      </c>
      <c r="N164" s="19" t="inlineStr">
        <is>
          <t>Hotspot</t>
        </is>
      </c>
      <c r="O164" s="3" t="n">
        <v>550</v>
      </c>
      <c r="P164" s="9" t="inlineStr">
        <is>
          <t>NSMP2212279393</t>
        </is>
      </c>
      <c r="Q164" s="53">
        <f>MID(P164,5,2)</f>
        <v/>
      </c>
      <c r="R164" s="53">
        <f>MID(P164,7,2)</f>
        <v/>
      </c>
      <c r="S164" s="3" t="inlineStr">
        <is>
          <t>G2TB</t>
        </is>
      </c>
      <c r="T164" s="3" t="inlineStr">
        <is>
          <t>P2</t>
        </is>
      </c>
      <c r="U164" s="9" t="inlineStr">
        <is>
          <t xml:space="preserve">Multi Cell Hotspot </t>
        </is>
      </c>
      <c r="V164" s="3" t="inlineStr">
        <is>
          <t>Inspection</t>
        </is>
      </c>
      <c r="W164" s="3" t="inlineStr">
        <is>
          <t>WIP</t>
        </is>
      </c>
      <c r="X164" s="5" t="n"/>
      <c r="Y164" s="3">
        <f>X164-A164</f>
        <v/>
      </c>
      <c r="Z164" s="18" t="n">
        <v>46146</v>
      </c>
      <c r="AA164" s="15" t="n"/>
      <c r="AB164" s="15" t="n"/>
    </row>
    <row r="165" hidden="1" s="233">
      <c r="A165" s="2" t="n">
        <v>46106</v>
      </c>
      <c r="B165" s="3" t="n">
        <v>2026</v>
      </c>
      <c r="C165" s="3" t="inlineStr">
        <is>
          <t>First Energy</t>
        </is>
      </c>
      <c r="D165" s="3" t="inlineStr">
        <is>
          <t>Utility and C&amp;I</t>
        </is>
      </c>
      <c r="E165" s="3" t="n"/>
      <c r="F165" s="3" t="inlineStr">
        <is>
          <t>WIP</t>
        </is>
      </c>
      <c r="G165" s="3" t="inlineStr">
        <is>
          <t>Mr. Gaurav</t>
        </is>
      </c>
      <c r="H165" s="3" t="n">
        <v>9979185999</v>
      </c>
      <c r="I165" s="11" t="inlineStr">
        <is>
          <t>PE25032601</t>
        </is>
      </c>
      <c r="J165" s="9" t="inlineStr">
        <is>
          <t>Module Defects</t>
        </is>
      </c>
      <c r="K165" s="3" t="inlineStr">
        <is>
          <t>Rajkot</t>
        </is>
      </c>
      <c r="L165" s="3" t="inlineStr">
        <is>
          <t>Gujarat</t>
        </is>
      </c>
      <c r="M165" s="9" t="inlineStr">
        <is>
          <t xml:space="preserve">hotspot found </t>
        </is>
      </c>
      <c r="N165" s="19" t="inlineStr">
        <is>
          <t>Hotspot</t>
        </is>
      </c>
      <c r="O165" s="3" t="n">
        <v>550</v>
      </c>
      <c r="P165" s="9" t="inlineStr">
        <is>
          <t>NSMP2212286272</t>
        </is>
      </c>
      <c r="Q165" s="53">
        <f>MID(P165,5,2)</f>
        <v/>
      </c>
      <c r="R165" s="53">
        <f>MID(P165,7,2)</f>
        <v/>
      </c>
      <c r="S165" s="3" t="inlineStr">
        <is>
          <t>G2TB</t>
        </is>
      </c>
      <c r="T165" s="3" t="inlineStr">
        <is>
          <t>P2</t>
        </is>
      </c>
      <c r="U165" s="9" t="inlineStr">
        <is>
          <t xml:space="preserve">Multi Cell Hotspot </t>
        </is>
      </c>
      <c r="V165" s="3" t="inlineStr">
        <is>
          <t>Inspection</t>
        </is>
      </c>
      <c r="W165" s="3" t="inlineStr">
        <is>
          <t>WIP</t>
        </is>
      </c>
      <c r="X165" s="5" t="n"/>
      <c r="Y165" s="3">
        <f>X165-A165</f>
        <v/>
      </c>
      <c r="Z165" s="18" t="n">
        <v>46146</v>
      </c>
      <c r="AA165" s="15" t="n"/>
      <c r="AB165" s="15" t="n"/>
    </row>
    <row r="166" hidden="1" s="233">
      <c r="A166" s="2" t="n">
        <v>46106</v>
      </c>
      <c r="B166" s="3" t="n">
        <v>2026</v>
      </c>
      <c r="C166" s="3" t="inlineStr">
        <is>
          <t>First Energy</t>
        </is>
      </c>
      <c r="D166" s="3" t="inlineStr">
        <is>
          <t>Utility and C&amp;I</t>
        </is>
      </c>
      <c r="E166" s="3" t="n"/>
      <c r="F166" s="3" t="inlineStr">
        <is>
          <t>WIP</t>
        </is>
      </c>
      <c r="G166" s="3" t="inlineStr">
        <is>
          <t>Mr. Gaurav</t>
        </is>
      </c>
      <c r="H166" s="3" t="n">
        <v>9979185999</v>
      </c>
      <c r="I166" s="11" t="inlineStr">
        <is>
          <t>PE25032601</t>
        </is>
      </c>
      <c r="J166" s="9" t="inlineStr">
        <is>
          <t>Module Defects</t>
        </is>
      </c>
      <c r="K166" s="3" t="inlineStr">
        <is>
          <t>Rajkot</t>
        </is>
      </c>
      <c r="L166" s="3" t="inlineStr">
        <is>
          <t>Gujarat</t>
        </is>
      </c>
      <c r="M166" s="9" t="inlineStr">
        <is>
          <t xml:space="preserve">hotspot found </t>
        </is>
      </c>
      <c r="N166" s="19" t="inlineStr">
        <is>
          <t>Hotspot</t>
        </is>
      </c>
      <c r="O166" s="3" t="n">
        <v>550</v>
      </c>
      <c r="P166" s="9" t="inlineStr">
        <is>
          <t>NSMP2301302752</t>
        </is>
      </c>
      <c r="Q166" s="53">
        <f>MID(P166,5,2)</f>
        <v/>
      </c>
      <c r="R166" s="53">
        <f>MID(P166,7,2)</f>
        <v/>
      </c>
      <c r="S166" s="3" t="inlineStr">
        <is>
          <t>G2TB</t>
        </is>
      </c>
      <c r="T166" s="3" t="inlineStr">
        <is>
          <t>P2</t>
        </is>
      </c>
      <c r="U166" s="9" t="inlineStr">
        <is>
          <t xml:space="preserve">Single Cell Hotspot </t>
        </is>
      </c>
      <c r="V166" s="3" t="inlineStr">
        <is>
          <t>Inspection</t>
        </is>
      </c>
      <c r="W166" s="3" t="inlineStr">
        <is>
          <t>WIP</t>
        </is>
      </c>
      <c r="X166" s="5" t="n"/>
      <c r="Y166" s="3">
        <f>X166-A166</f>
        <v/>
      </c>
      <c r="Z166" s="18" t="n">
        <v>46146</v>
      </c>
      <c r="AA166" s="15" t="n"/>
      <c r="AB166" s="15" t="n"/>
    </row>
    <row r="167" hidden="1" s="233">
      <c r="A167" s="2" t="n">
        <v>46106</v>
      </c>
      <c r="B167" s="3" t="n">
        <v>2026</v>
      </c>
      <c r="C167" s="3" t="inlineStr">
        <is>
          <t>First Energy</t>
        </is>
      </c>
      <c r="D167" s="3" t="inlineStr">
        <is>
          <t>Utility and C&amp;I</t>
        </is>
      </c>
      <c r="E167" s="3" t="n"/>
      <c r="F167" s="3" t="inlineStr">
        <is>
          <t>WIP</t>
        </is>
      </c>
      <c r="G167" s="3" t="inlineStr">
        <is>
          <t>Mr. Gaurav</t>
        </is>
      </c>
      <c r="H167" s="3" t="n">
        <v>9979185999</v>
      </c>
      <c r="I167" s="11" t="inlineStr">
        <is>
          <t>PE25032601</t>
        </is>
      </c>
      <c r="J167" s="9" t="inlineStr">
        <is>
          <t>Module Defects</t>
        </is>
      </c>
      <c r="K167" s="3" t="inlineStr">
        <is>
          <t>Rajkot</t>
        </is>
      </c>
      <c r="L167" s="3" t="inlineStr">
        <is>
          <t>Gujarat</t>
        </is>
      </c>
      <c r="M167" s="9" t="inlineStr">
        <is>
          <t xml:space="preserve">hotspot found </t>
        </is>
      </c>
      <c r="N167" s="19" t="inlineStr">
        <is>
          <t>Hotspot</t>
        </is>
      </c>
      <c r="O167" s="3" t="n">
        <v>550</v>
      </c>
      <c r="P167" s="9" t="inlineStr">
        <is>
          <t>NSMP2212286346</t>
        </is>
      </c>
      <c r="Q167" s="53">
        <f>MID(P167,5,2)</f>
        <v/>
      </c>
      <c r="R167" s="53">
        <f>MID(P167,7,2)</f>
        <v/>
      </c>
      <c r="S167" s="3" t="inlineStr">
        <is>
          <t>G2TB</t>
        </is>
      </c>
      <c r="T167" s="3" t="inlineStr">
        <is>
          <t>P2</t>
        </is>
      </c>
      <c r="U167" s="9" t="inlineStr">
        <is>
          <t xml:space="preserve">Multi Cell Hotspot </t>
        </is>
      </c>
      <c r="V167" s="3" t="inlineStr">
        <is>
          <t>Inspection</t>
        </is>
      </c>
      <c r="W167" s="3" t="inlineStr">
        <is>
          <t>WIP</t>
        </is>
      </c>
      <c r="X167" s="5" t="n"/>
      <c r="Y167" s="3">
        <f>X167-A167</f>
        <v/>
      </c>
      <c r="Z167" s="18" t="n">
        <v>46146</v>
      </c>
      <c r="AA167" s="15" t="n"/>
      <c r="AB167" s="15" t="n"/>
    </row>
    <row r="168" hidden="1" s="233">
      <c r="A168" s="2" t="n">
        <v>46106</v>
      </c>
      <c r="B168" s="3" t="n">
        <v>2026</v>
      </c>
      <c r="C168" s="3" t="inlineStr">
        <is>
          <t>First Energy</t>
        </is>
      </c>
      <c r="D168" s="3" t="inlineStr">
        <is>
          <t>Utility and C&amp;I</t>
        </is>
      </c>
      <c r="E168" s="3" t="n"/>
      <c r="F168" s="3" t="inlineStr">
        <is>
          <t>WIP</t>
        </is>
      </c>
      <c r="G168" s="3" t="inlineStr">
        <is>
          <t>Mr. Gaurav</t>
        </is>
      </c>
      <c r="H168" s="3" t="n">
        <v>9979185999</v>
      </c>
      <c r="I168" s="11" t="inlineStr">
        <is>
          <t>PE25032601</t>
        </is>
      </c>
      <c r="J168" s="9" t="inlineStr">
        <is>
          <t>Module Defects</t>
        </is>
      </c>
      <c r="K168" s="3" t="inlineStr">
        <is>
          <t>Rajkot</t>
        </is>
      </c>
      <c r="L168" s="3" t="inlineStr">
        <is>
          <t>Gujarat</t>
        </is>
      </c>
      <c r="M168" s="9" t="inlineStr">
        <is>
          <t xml:space="preserve">hotspot found </t>
        </is>
      </c>
      <c r="N168" s="19" t="inlineStr">
        <is>
          <t>Hotspot</t>
        </is>
      </c>
      <c r="O168" s="3" t="n">
        <v>550</v>
      </c>
      <c r="P168" s="9" t="inlineStr">
        <is>
          <t>NSMP2301296673</t>
        </is>
      </c>
      <c r="Q168" s="53">
        <f>MID(P168,5,2)</f>
        <v/>
      </c>
      <c r="R168" s="53">
        <f>MID(P168,7,2)</f>
        <v/>
      </c>
      <c r="S168" s="3" t="inlineStr">
        <is>
          <t>G2TB</t>
        </is>
      </c>
      <c r="T168" s="3" t="inlineStr">
        <is>
          <t>P2</t>
        </is>
      </c>
      <c r="U168" s="9" t="inlineStr">
        <is>
          <t xml:space="preserve">Single Cell Hotspot </t>
        </is>
      </c>
      <c r="V168" s="3" t="inlineStr">
        <is>
          <t>Inspection</t>
        </is>
      </c>
      <c r="W168" s="3" t="inlineStr">
        <is>
          <t>WIP</t>
        </is>
      </c>
      <c r="X168" s="5" t="n"/>
      <c r="Y168" s="3">
        <f>X168-A168</f>
        <v/>
      </c>
      <c r="Z168" s="18" t="n">
        <v>46146</v>
      </c>
      <c r="AA168" s="15" t="n"/>
      <c r="AB168" s="15" t="n"/>
    </row>
    <row r="169" hidden="1" s="233">
      <c r="A169" s="2" t="n">
        <v>46106</v>
      </c>
      <c r="B169" s="3" t="n">
        <v>2026</v>
      </c>
      <c r="C169" s="3" t="inlineStr">
        <is>
          <t>First Energy</t>
        </is>
      </c>
      <c r="D169" s="3" t="inlineStr">
        <is>
          <t>Utility and C&amp;I</t>
        </is>
      </c>
      <c r="E169" s="3" t="n"/>
      <c r="F169" s="3" t="inlineStr">
        <is>
          <t>WIP</t>
        </is>
      </c>
      <c r="G169" s="3" t="inlineStr">
        <is>
          <t>Mr. Gaurav</t>
        </is>
      </c>
      <c r="H169" s="3" t="n">
        <v>9979185999</v>
      </c>
      <c r="I169" s="11" t="inlineStr">
        <is>
          <t>PE25032601</t>
        </is>
      </c>
      <c r="J169" s="9" t="inlineStr">
        <is>
          <t>Module Defects</t>
        </is>
      </c>
      <c r="K169" s="3" t="inlineStr">
        <is>
          <t>Rajkot</t>
        </is>
      </c>
      <c r="L169" s="3" t="inlineStr">
        <is>
          <t>Gujarat</t>
        </is>
      </c>
      <c r="M169" s="9" t="inlineStr">
        <is>
          <t xml:space="preserve">hotspot found </t>
        </is>
      </c>
      <c r="N169" s="19" t="inlineStr">
        <is>
          <t>Hotspot</t>
        </is>
      </c>
      <c r="O169" s="3" t="n">
        <v>550</v>
      </c>
      <c r="P169" s="9" t="inlineStr">
        <is>
          <t>NSMP2301306761</t>
        </is>
      </c>
      <c r="Q169" s="53">
        <f>MID(P169,5,2)</f>
        <v/>
      </c>
      <c r="R169" s="53">
        <f>MID(P169,7,2)</f>
        <v/>
      </c>
      <c r="S169" s="3" t="inlineStr">
        <is>
          <t>G2TB</t>
        </is>
      </c>
      <c r="T169" s="3" t="inlineStr">
        <is>
          <t>P2</t>
        </is>
      </c>
      <c r="U169" s="9" t="inlineStr">
        <is>
          <t xml:space="preserve">Single Cell Hotspot </t>
        </is>
      </c>
      <c r="V169" s="3" t="inlineStr">
        <is>
          <t>Inspection</t>
        </is>
      </c>
      <c r="W169" s="3" t="inlineStr">
        <is>
          <t>WIP</t>
        </is>
      </c>
      <c r="X169" s="5" t="n"/>
      <c r="Y169" s="3">
        <f>X169-A169</f>
        <v/>
      </c>
      <c r="Z169" s="18" t="n">
        <v>46146</v>
      </c>
      <c r="AA169" s="15" t="n"/>
      <c r="AB169" s="15" t="n"/>
    </row>
    <row r="170" hidden="1" s="233">
      <c r="A170" s="2" t="n">
        <v>46106</v>
      </c>
      <c r="B170" s="3" t="n">
        <v>2026</v>
      </c>
      <c r="C170" s="3" t="inlineStr">
        <is>
          <t>First Energy</t>
        </is>
      </c>
      <c r="D170" s="3" t="inlineStr">
        <is>
          <t>Utility and C&amp;I</t>
        </is>
      </c>
      <c r="E170" s="3" t="n"/>
      <c r="F170" s="3" t="inlineStr">
        <is>
          <t>WIP</t>
        </is>
      </c>
      <c r="G170" s="3" t="inlineStr">
        <is>
          <t>Mr. Gaurav</t>
        </is>
      </c>
      <c r="H170" s="3" t="n">
        <v>9979185999</v>
      </c>
      <c r="I170" s="11" t="inlineStr">
        <is>
          <t>PE25032601</t>
        </is>
      </c>
      <c r="J170" s="9" t="inlineStr">
        <is>
          <t>Module Defects</t>
        </is>
      </c>
      <c r="K170" s="3" t="inlineStr">
        <is>
          <t>Rajkot</t>
        </is>
      </c>
      <c r="L170" s="3" t="inlineStr">
        <is>
          <t>Gujarat</t>
        </is>
      </c>
      <c r="M170" s="9" t="inlineStr">
        <is>
          <t xml:space="preserve">hotspot found </t>
        </is>
      </c>
      <c r="N170" s="19" t="inlineStr">
        <is>
          <t>Hotspot</t>
        </is>
      </c>
      <c r="O170" s="3" t="n">
        <v>550</v>
      </c>
      <c r="P170" s="9" t="inlineStr">
        <is>
          <t>NSMP2301323488</t>
        </is>
      </c>
      <c r="Q170" s="53">
        <f>MID(P170,5,2)</f>
        <v/>
      </c>
      <c r="R170" s="53">
        <f>MID(P170,7,2)</f>
        <v/>
      </c>
      <c r="S170" s="3" t="inlineStr">
        <is>
          <t>G2TB</t>
        </is>
      </c>
      <c r="T170" s="3" t="inlineStr">
        <is>
          <t>P2</t>
        </is>
      </c>
      <c r="U170" s="9" t="inlineStr">
        <is>
          <t xml:space="preserve">Multi Cell Hotspot </t>
        </is>
      </c>
      <c r="V170" s="3" t="inlineStr">
        <is>
          <t>Inspection</t>
        </is>
      </c>
      <c r="W170" s="3" t="inlineStr">
        <is>
          <t>WIP</t>
        </is>
      </c>
      <c r="X170" s="5" t="n"/>
      <c r="Y170" s="3">
        <f>X170-A170</f>
        <v/>
      </c>
      <c r="Z170" s="18" t="n">
        <v>46146</v>
      </c>
      <c r="AA170" s="15" t="n"/>
      <c r="AB170" s="15" t="n"/>
    </row>
    <row r="171" hidden="1" s="233">
      <c r="A171" s="2" t="n">
        <v>46106</v>
      </c>
      <c r="B171" s="3" t="n">
        <v>2026</v>
      </c>
      <c r="C171" s="3" t="inlineStr">
        <is>
          <t>First Energy</t>
        </is>
      </c>
      <c r="D171" s="3" t="inlineStr">
        <is>
          <t>Utility and C&amp;I</t>
        </is>
      </c>
      <c r="E171" s="3" t="n"/>
      <c r="F171" s="3" t="inlineStr">
        <is>
          <t>WIP</t>
        </is>
      </c>
      <c r="G171" s="3" t="inlineStr">
        <is>
          <t>Mr. Gaurav</t>
        </is>
      </c>
      <c r="H171" s="3" t="n">
        <v>9979185999</v>
      </c>
      <c r="I171" s="11" t="inlineStr">
        <is>
          <t>PE25032601</t>
        </is>
      </c>
      <c r="J171" s="9" t="inlineStr">
        <is>
          <t>Module Defects</t>
        </is>
      </c>
      <c r="K171" s="3" t="inlineStr">
        <is>
          <t>Rajkot</t>
        </is>
      </c>
      <c r="L171" s="3" t="inlineStr">
        <is>
          <t>Gujarat</t>
        </is>
      </c>
      <c r="M171" s="9" t="inlineStr">
        <is>
          <t xml:space="preserve">hotspot found </t>
        </is>
      </c>
      <c r="N171" s="19" t="inlineStr">
        <is>
          <t>Hotspot</t>
        </is>
      </c>
      <c r="O171" s="3" t="n">
        <v>550</v>
      </c>
      <c r="P171" s="9" t="inlineStr">
        <is>
          <t>NSMP2212268843</t>
        </is>
      </c>
      <c r="Q171" s="53">
        <f>MID(P171,5,2)</f>
        <v/>
      </c>
      <c r="R171" s="53">
        <f>MID(P171,7,2)</f>
        <v/>
      </c>
      <c r="S171" s="3" t="inlineStr">
        <is>
          <t>G2TB</t>
        </is>
      </c>
      <c r="T171" s="3" t="inlineStr">
        <is>
          <t>P2</t>
        </is>
      </c>
      <c r="U171" s="9" t="inlineStr">
        <is>
          <t>Multi Cell Hotspot</t>
        </is>
      </c>
      <c r="V171" s="3" t="inlineStr">
        <is>
          <t>Inspection</t>
        </is>
      </c>
      <c r="W171" s="3" t="inlineStr">
        <is>
          <t>WIP</t>
        </is>
      </c>
      <c r="X171" s="5" t="n"/>
      <c r="Y171" s="3">
        <f>X171-A171</f>
        <v/>
      </c>
      <c r="Z171" s="18" t="n">
        <v>46146</v>
      </c>
      <c r="AA171" s="15" t="n"/>
      <c r="AB171" s="15" t="n"/>
    </row>
    <row r="172" hidden="1" s="233">
      <c r="A172" s="6" t="n">
        <v>46107</v>
      </c>
      <c r="B172" s="3" t="n">
        <v>2026</v>
      </c>
      <c r="C172" s="3" t="inlineStr">
        <is>
          <t>Blupine</t>
        </is>
      </c>
      <c r="D172" s="3" t="inlineStr">
        <is>
          <t>Utility and C&amp;I</t>
        </is>
      </c>
      <c r="E172" s="3" t="n"/>
      <c r="F172" s="3" t="inlineStr">
        <is>
          <t>Closed</t>
        </is>
      </c>
      <c r="G172" s="3" t="inlineStr">
        <is>
          <t>Chandrashekar Patidar</t>
        </is>
      </c>
      <c r="H172" s="3" t="n">
        <v>7879764773</v>
      </c>
      <c r="I172" s="11" t="inlineStr">
        <is>
          <t>PE26032601</t>
        </is>
      </c>
      <c r="J172" s="3" t="inlineStr">
        <is>
          <t>Module Diode Failure</t>
        </is>
      </c>
      <c r="K172" s="3" t="inlineStr">
        <is>
          <t>Sadla</t>
        </is>
      </c>
      <c r="L172" s="3" t="inlineStr">
        <is>
          <t>Gujarat</t>
        </is>
      </c>
      <c r="M172" s="9" t="inlineStr">
        <is>
          <t>PS</t>
        </is>
      </c>
      <c r="N172" s="3" t="inlineStr">
        <is>
          <t>Cold Soldering</t>
        </is>
      </c>
      <c r="O172" s="3" t="n">
        <v>570</v>
      </c>
      <c r="P172" s="9" t="inlineStr">
        <is>
          <t>NSMI24060082881</t>
        </is>
      </c>
      <c r="Q172" s="53">
        <f>MID(P172,5,2)</f>
        <v/>
      </c>
      <c r="R172" s="53">
        <f>MID(P172,7,2)</f>
        <v/>
      </c>
      <c r="S172" s="3" t="inlineStr">
        <is>
          <t>G2G</t>
        </is>
      </c>
      <c r="T172" s="3" t="inlineStr">
        <is>
          <t>P4</t>
        </is>
      </c>
      <c r="U172" s="3" t="inlineStr">
        <is>
          <t>P JB Cold Soldering</t>
        </is>
      </c>
      <c r="V172" s="3" t="inlineStr">
        <is>
          <t>Soldering</t>
        </is>
      </c>
      <c r="W172" s="3" t="inlineStr">
        <is>
          <t>Repair</t>
        </is>
      </c>
      <c r="X172" s="18" t="n">
        <v>46146</v>
      </c>
      <c r="Y172" s="3">
        <f>X172-A172</f>
        <v/>
      </c>
      <c r="Z172" s="18" t="n">
        <v>46146</v>
      </c>
      <c r="AA172" s="15" t="n"/>
      <c r="AB172" s="15" t="n"/>
    </row>
    <row r="173" hidden="1" s="233">
      <c r="A173" s="6" t="n">
        <v>46107</v>
      </c>
      <c r="B173" s="3" t="n">
        <v>2026</v>
      </c>
      <c r="C173" s="3" t="inlineStr">
        <is>
          <t>Blupine</t>
        </is>
      </c>
      <c r="D173" s="3" t="inlineStr">
        <is>
          <t>Utility and C&amp;I</t>
        </is>
      </c>
      <c r="E173" s="3" t="n"/>
      <c r="F173" s="3" t="inlineStr">
        <is>
          <t>Closed</t>
        </is>
      </c>
      <c r="G173" s="3" t="inlineStr">
        <is>
          <t>Chandrashekar Patidar</t>
        </is>
      </c>
      <c r="H173" s="3" t="n">
        <v>7879764773</v>
      </c>
      <c r="I173" s="11" t="inlineStr">
        <is>
          <t>PE26032601</t>
        </is>
      </c>
      <c r="J173" s="3" t="inlineStr">
        <is>
          <t>Module Diode Failure</t>
        </is>
      </c>
      <c r="K173" s="3" t="inlineStr">
        <is>
          <t>Sadla</t>
        </is>
      </c>
      <c r="L173" s="3" t="inlineStr">
        <is>
          <t>Gujarat</t>
        </is>
      </c>
      <c r="M173" s="9" t="inlineStr">
        <is>
          <t>PR</t>
        </is>
      </c>
      <c r="N173" s="3" t="inlineStr">
        <is>
          <t>JB Issue</t>
        </is>
      </c>
      <c r="O173" s="3" t="n">
        <v>570</v>
      </c>
      <c r="P173" s="9" t="inlineStr">
        <is>
          <t>NSMI24060078866</t>
        </is>
      </c>
      <c r="Q173" s="53">
        <f>MID(P173,5,2)</f>
        <v/>
      </c>
      <c r="R173" s="53">
        <f>MID(P173,7,2)</f>
        <v/>
      </c>
      <c r="S173" s="3" t="inlineStr">
        <is>
          <t>G2G</t>
        </is>
      </c>
      <c r="T173" s="3" t="inlineStr">
        <is>
          <t>P4</t>
        </is>
      </c>
      <c r="U173" s="3" t="inlineStr">
        <is>
          <t>P JB Issue</t>
        </is>
      </c>
      <c r="V173" s="15" t="inlineStr">
        <is>
          <t>JB Changed</t>
        </is>
      </c>
      <c r="W173" s="3" t="inlineStr">
        <is>
          <t>Repair</t>
        </is>
      </c>
      <c r="X173" s="18" t="n">
        <v>46146</v>
      </c>
      <c r="Y173" s="3">
        <f>X173-A173</f>
        <v/>
      </c>
      <c r="Z173" s="18" t="n">
        <v>46146</v>
      </c>
      <c r="AA173" s="15" t="n"/>
      <c r="AB173" s="15" t="n"/>
    </row>
    <row r="174" hidden="1" s="233">
      <c r="A174" s="6" t="n">
        <v>46107</v>
      </c>
      <c r="B174" s="3" t="n">
        <v>2026</v>
      </c>
      <c r="C174" s="3" t="inlineStr">
        <is>
          <t>Blupine</t>
        </is>
      </c>
      <c r="D174" s="3" t="inlineStr">
        <is>
          <t>Utility and C&amp;I</t>
        </is>
      </c>
      <c r="E174" s="3" t="n"/>
      <c r="F174" s="3" t="inlineStr">
        <is>
          <t>Closed</t>
        </is>
      </c>
      <c r="G174" s="3" t="inlineStr">
        <is>
          <t>Chandrashekar Patidar</t>
        </is>
      </c>
      <c r="H174" s="3" t="n">
        <v>7879764773</v>
      </c>
      <c r="I174" s="11" t="inlineStr">
        <is>
          <t>PE26032601</t>
        </is>
      </c>
      <c r="J174" s="3" t="inlineStr">
        <is>
          <t>Module Diode Failure</t>
        </is>
      </c>
      <c r="K174" s="3" t="inlineStr">
        <is>
          <t>Sadla</t>
        </is>
      </c>
      <c r="L174" s="3" t="inlineStr">
        <is>
          <t>Gujarat</t>
        </is>
      </c>
      <c r="M174" s="9" t="inlineStr">
        <is>
          <t>NS</t>
        </is>
      </c>
      <c r="N174" s="3" t="inlineStr">
        <is>
          <t>Cold Soldering</t>
        </is>
      </c>
      <c r="O174" s="3" t="n">
        <v>570</v>
      </c>
      <c r="P174" s="9" t="inlineStr">
        <is>
          <t>NSMI24050045117</t>
        </is>
      </c>
      <c r="Q174" s="53">
        <f>MID(P174,5,2)</f>
        <v/>
      </c>
      <c r="R174" s="53">
        <f>MID(P174,7,2)</f>
        <v/>
      </c>
      <c r="S174" s="3" t="inlineStr">
        <is>
          <t>G2G</t>
        </is>
      </c>
      <c r="T174" s="3" t="inlineStr">
        <is>
          <t>P4</t>
        </is>
      </c>
      <c r="U174" s="3" t="inlineStr">
        <is>
          <t>N JB Cold Soldering</t>
        </is>
      </c>
      <c r="V174" s="3" t="inlineStr">
        <is>
          <t>Soldering</t>
        </is>
      </c>
      <c r="W174" s="3" t="inlineStr">
        <is>
          <t>Repair</t>
        </is>
      </c>
      <c r="X174" s="18" t="n">
        <v>46146</v>
      </c>
      <c r="Y174" s="3">
        <f>X174-A174</f>
        <v/>
      </c>
      <c r="Z174" s="18" t="n">
        <v>46146</v>
      </c>
      <c r="AA174" s="15" t="n"/>
      <c r="AB174" s="15" t="n"/>
    </row>
    <row r="175" hidden="1" s="233">
      <c r="A175" s="6" t="n">
        <v>46107</v>
      </c>
      <c r="B175" s="3" t="n">
        <v>2026</v>
      </c>
      <c r="C175" s="3" t="inlineStr">
        <is>
          <t>Blupine</t>
        </is>
      </c>
      <c r="D175" s="3" t="inlineStr">
        <is>
          <t>Utility and C&amp;I</t>
        </is>
      </c>
      <c r="E175" s="3" t="n"/>
      <c r="F175" s="3" t="inlineStr">
        <is>
          <t>Closed</t>
        </is>
      </c>
      <c r="G175" s="3" t="inlineStr">
        <is>
          <t>Chandrashekar Patidar</t>
        </is>
      </c>
      <c r="H175" s="3" t="n">
        <v>7879764773</v>
      </c>
      <c r="I175" s="11" t="inlineStr">
        <is>
          <t>PE26032601</t>
        </is>
      </c>
      <c r="J175" s="3" t="inlineStr">
        <is>
          <t>Module Diode Failure</t>
        </is>
      </c>
      <c r="K175" s="3" t="inlineStr">
        <is>
          <t>Sadla</t>
        </is>
      </c>
      <c r="L175" s="3" t="inlineStr">
        <is>
          <t>Gujarat</t>
        </is>
      </c>
      <c r="M175" s="9" t="inlineStr">
        <is>
          <t>PS</t>
        </is>
      </c>
      <c r="N175" s="3" t="inlineStr">
        <is>
          <t>Cold Soldering</t>
        </is>
      </c>
      <c r="O175" s="3" t="n">
        <v>570</v>
      </c>
      <c r="P175" s="9" t="inlineStr">
        <is>
          <t>NSMI24050046653</t>
        </is>
      </c>
      <c r="Q175" s="53">
        <f>MID(P175,5,2)</f>
        <v/>
      </c>
      <c r="R175" s="53">
        <f>MID(P175,7,2)</f>
        <v/>
      </c>
      <c r="S175" s="3" t="inlineStr">
        <is>
          <t>G2G</t>
        </is>
      </c>
      <c r="T175" s="3" t="inlineStr">
        <is>
          <t>P4</t>
        </is>
      </c>
      <c r="U175" s="3" t="inlineStr">
        <is>
          <t>P JB Cold Soldering</t>
        </is>
      </c>
      <c r="V175" s="3" t="inlineStr">
        <is>
          <t>Soldering</t>
        </is>
      </c>
      <c r="W175" s="3" t="inlineStr">
        <is>
          <t>Repair</t>
        </is>
      </c>
      <c r="X175" s="18" t="n">
        <v>46146</v>
      </c>
      <c r="Y175" s="3">
        <f>X175-A175</f>
        <v/>
      </c>
      <c r="Z175" s="18" t="n">
        <v>46146</v>
      </c>
      <c r="AA175" s="15" t="n"/>
      <c r="AB175" s="15" t="n"/>
    </row>
    <row r="176" hidden="1" s="233">
      <c r="A176" s="6" t="n">
        <v>46107</v>
      </c>
      <c r="B176" s="3" t="n">
        <v>2026</v>
      </c>
      <c r="C176" s="3" t="inlineStr">
        <is>
          <t>Blupine</t>
        </is>
      </c>
      <c r="D176" s="3" t="inlineStr">
        <is>
          <t>Utility and C&amp;I</t>
        </is>
      </c>
      <c r="E176" s="3" t="n"/>
      <c r="F176" s="3" t="inlineStr">
        <is>
          <t>Closed</t>
        </is>
      </c>
      <c r="G176" s="3" t="inlineStr">
        <is>
          <t>Chandrashekar Patidar</t>
        </is>
      </c>
      <c r="H176" s="3" t="n">
        <v>7879764773</v>
      </c>
      <c r="I176" s="11" t="inlineStr">
        <is>
          <t>PE26032601</t>
        </is>
      </c>
      <c r="J176" s="3" t="inlineStr">
        <is>
          <t>Module Diode Failure</t>
        </is>
      </c>
      <c r="K176" s="3" t="inlineStr">
        <is>
          <t>Sadla</t>
        </is>
      </c>
      <c r="L176" s="3" t="inlineStr">
        <is>
          <t>Gujarat</t>
        </is>
      </c>
      <c r="M176" s="9" t="inlineStr">
        <is>
          <t>NS</t>
        </is>
      </c>
      <c r="N176" s="3" t="inlineStr">
        <is>
          <t>Cold Soldering</t>
        </is>
      </c>
      <c r="O176" s="3" t="n">
        <v>570</v>
      </c>
      <c r="P176" s="9" t="inlineStr">
        <is>
          <t>NSMI24050047065</t>
        </is>
      </c>
      <c r="Q176" s="53">
        <f>MID(P176,5,2)</f>
        <v/>
      </c>
      <c r="R176" s="53">
        <f>MID(P176,7,2)</f>
        <v/>
      </c>
      <c r="S176" s="3" t="inlineStr">
        <is>
          <t>G2G</t>
        </is>
      </c>
      <c r="T176" s="3" t="inlineStr">
        <is>
          <t>P4</t>
        </is>
      </c>
      <c r="U176" s="3" t="inlineStr">
        <is>
          <t>N JB Cold Soldering</t>
        </is>
      </c>
      <c r="V176" s="3" t="inlineStr">
        <is>
          <t>Soldering</t>
        </is>
      </c>
      <c r="W176" s="3" t="inlineStr">
        <is>
          <t>Repair</t>
        </is>
      </c>
      <c r="X176" s="18" t="n">
        <v>46146</v>
      </c>
      <c r="Y176" s="3">
        <f>X176-A176</f>
        <v/>
      </c>
      <c r="Z176" s="18" t="n">
        <v>46146</v>
      </c>
      <c r="AA176" s="15" t="n"/>
      <c r="AB176" s="15" t="n"/>
    </row>
    <row r="177" hidden="1" s="233">
      <c r="A177" s="6" t="n">
        <v>46107</v>
      </c>
      <c r="B177" s="3" t="n">
        <v>2026</v>
      </c>
      <c r="C177" s="3" t="inlineStr">
        <is>
          <t>Blupine</t>
        </is>
      </c>
      <c r="D177" s="3" t="inlineStr">
        <is>
          <t>Utility and C&amp;I</t>
        </is>
      </c>
      <c r="E177" s="3" t="n"/>
      <c r="F177" s="3" t="inlineStr">
        <is>
          <t>Closed</t>
        </is>
      </c>
      <c r="G177" s="3" t="inlineStr">
        <is>
          <t>Chandrashekar Patidar</t>
        </is>
      </c>
      <c r="H177" s="3" t="n">
        <v>7879764773</v>
      </c>
      <c r="I177" s="11" t="inlineStr">
        <is>
          <t>PE26032601</t>
        </is>
      </c>
      <c r="J177" s="3" t="inlineStr">
        <is>
          <t>Module Diode Failure</t>
        </is>
      </c>
      <c r="K177" s="3" t="inlineStr">
        <is>
          <t>Sadla</t>
        </is>
      </c>
      <c r="L177" s="3" t="inlineStr">
        <is>
          <t>Gujarat</t>
        </is>
      </c>
      <c r="M177" s="9" t="inlineStr">
        <is>
          <t>NS</t>
        </is>
      </c>
      <c r="N177" s="3" t="inlineStr">
        <is>
          <t>Cold Soldering</t>
        </is>
      </c>
      <c r="O177" s="3" t="n">
        <v>570</v>
      </c>
      <c r="P177" s="9" t="inlineStr">
        <is>
          <t>NSMI24050047103</t>
        </is>
      </c>
      <c r="Q177" s="53">
        <f>MID(P177,5,2)</f>
        <v/>
      </c>
      <c r="R177" s="53">
        <f>MID(P177,7,2)</f>
        <v/>
      </c>
      <c r="S177" s="3" t="inlineStr">
        <is>
          <t>G2G</t>
        </is>
      </c>
      <c r="T177" s="3" t="inlineStr">
        <is>
          <t>P4</t>
        </is>
      </c>
      <c r="U177" s="3" t="inlineStr">
        <is>
          <t>N JB Cold Soldering</t>
        </is>
      </c>
      <c r="V177" s="3" t="inlineStr">
        <is>
          <t>Soldering</t>
        </is>
      </c>
      <c r="W177" s="3" t="inlineStr">
        <is>
          <t>Repair</t>
        </is>
      </c>
      <c r="X177" s="18" t="n">
        <v>46146</v>
      </c>
      <c r="Y177" s="3">
        <f>X177-A177</f>
        <v/>
      </c>
      <c r="Z177" s="18" t="n">
        <v>46146</v>
      </c>
      <c r="AA177" s="15" t="n"/>
      <c r="AB177" s="15" t="n"/>
    </row>
    <row r="178" hidden="1" s="233">
      <c r="A178" s="6" t="n">
        <v>46107</v>
      </c>
      <c r="B178" s="3" t="n">
        <v>2026</v>
      </c>
      <c r="C178" s="3" t="inlineStr">
        <is>
          <t>Blupine</t>
        </is>
      </c>
      <c r="D178" s="3" t="inlineStr">
        <is>
          <t>Utility and C&amp;I</t>
        </is>
      </c>
      <c r="E178" s="3" t="n"/>
      <c r="F178" s="3" t="inlineStr">
        <is>
          <t>Closed</t>
        </is>
      </c>
      <c r="G178" s="3" t="inlineStr">
        <is>
          <t>Chandrashekar Patidar</t>
        </is>
      </c>
      <c r="H178" s="3" t="n">
        <v>7879764773</v>
      </c>
      <c r="I178" s="11" t="inlineStr">
        <is>
          <t>PE26032601</t>
        </is>
      </c>
      <c r="J178" s="3" t="inlineStr">
        <is>
          <t>Module Diode Failure</t>
        </is>
      </c>
      <c r="K178" s="3" t="inlineStr">
        <is>
          <t>Sadla</t>
        </is>
      </c>
      <c r="L178" s="3" t="inlineStr">
        <is>
          <t>Gujarat</t>
        </is>
      </c>
      <c r="M178" s="9" t="inlineStr">
        <is>
          <t>NS</t>
        </is>
      </c>
      <c r="N178" s="3" t="inlineStr">
        <is>
          <t>Cold Soldering</t>
        </is>
      </c>
      <c r="O178" s="3" t="n">
        <v>570</v>
      </c>
      <c r="P178" s="9" t="inlineStr">
        <is>
          <t>NSMI24050047066</t>
        </is>
      </c>
      <c r="Q178" s="53">
        <f>MID(P178,5,2)</f>
        <v/>
      </c>
      <c r="R178" s="53">
        <f>MID(P178,7,2)</f>
        <v/>
      </c>
      <c r="S178" s="3" t="inlineStr">
        <is>
          <t>G2G</t>
        </is>
      </c>
      <c r="T178" s="3" t="inlineStr">
        <is>
          <t>P4</t>
        </is>
      </c>
      <c r="U178" s="3" t="inlineStr">
        <is>
          <t>N JB Cold Soldering</t>
        </is>
      </c>
      <c r="V178" s="3" t="inlineStr">
        <is>
          <t>Soldering</t>
        </is>
      </c>
      <c r="W178" s="3" t="inlineStr">
        <is>
          <t>Repair</t>
        </is>
      </c>
      <c r="X178" s="18" t="n">
        <v>46146</v>
      </c>
      <c r="Y178" s="3">
        <f>X178-A178</f>
        <v/>
      </c>
      <c r="Z178" s="18" t="n">
        <v>46146</v>
      </c>
      <c r="AA178" s="15" t="n"/>
      <c r="AB178" s="15" t="n"/>
    </row>
    <row r="179" hidden="1" s="233">
      <c r="A179" s="6" t="n">
        <v>46107</v>
      </c>
      <c r="B179" s="3" t="n">
        <v>2026</v>
      </c>
      <c r="C179" s="3" t="inlineStr">
        <is>
          <t>Blupine</t>
        </is>
      </c>
      <c r="D179" s="3" t="inlineStr">
        <is>
          <t>Utility and C&amp;I</t>
        </is>
      </c>
      <c r="E179" s="3" t="n"/>
      <c r="F179" s="3" t="inlineStr">
        <is>
          <t>Closed</t>
        </is>
      </c>
      <c r="G179" s="3" t="inlineStr">
        <is>
          <t>Chandrashekar Patidar</t>
        </is>
      </c>
      <c r="H179" s="3" t="n">
        <v>7879764773</v>
      </c>
      <c r="I179" s="11" t="inlineStr">
        <is>
          <t>PE26032601</t>
        </is>
      </c>
      <c r="J179" s="3" t="inlineStr">
        <is>
          <t>Module Diode Failure</t>
        </is>
      </c>
      <c r="K179" s="3" t="inlineStr">
        <is>
          <t>Sadla</t>
        </is>
      </c>
      <c r="L179" s="3" t="inlineStr">
        <is>
          <t>Gujarat</t>
        </is>
      </c>
      <c r="M179" s="9" t="inlineStr">
        <is>
          <t>PS</t>
        </is>
      </c>
      <c r="N179" s="3" t="inlineStr">
        <is>
          <t>Cold Soldering</t>
        </is>
      </c>
      <c r="O179" s="3" t="n">
        <v>570</v>
      </c>
      <c r="P179" s="9" t="inlineStr">
        <is>
          <t>NSMI24050062182</t>
        </is>
      </c>
      <c r="Q179" s="53">
        <f>MID(P179,5,2)</f>
        <v/>
      </c>
      <c r="R179" s="53">
        <f>MID(P179,7,2)</f>
        <v/>
      </c>
      <c r="S179" s="3" t="inlineStr">
        <is>
          <t>G2G</t>
        </is>
      </c>
      <c r="T179" s="3" t="inlineStr">
        <is>
          <t>P4</t>
        </is>
      </c>
      <c r="U179" s="3" t="inlineStr">
        <is>
          <t>P JB Cold Soldering</t>
        </is>
      </c>
      <c r="V179" s="3" t="inlineStr">
        <is>
          <t>Soldering</t>
        </is>
      </c>
      <c r="W179" s="3" t="inlineStr">
        <is>
          <t>Repair</t>
        </is>
      </c>
      <c r="X179" s="18" t="n">
        <v>46146</v>
      </c>
      <c r="Y179" s="3">
        <f>X179-A179</f>
        <v/>
      </c>
      <c r="Z179" s="18" t="n">
        <v>46146</v>
      </c>
      <c r="AA179" s="15" t="n"/>
      <c r="AB179" s="15" t="n"/>
    </row>
    <row r="180" hidden="1" s="233">
      <c r="A180" s="6" t="n">
        <v>46107</v>
      </c>
      <c r="B180" s="3" t="n">
        <v>2026</v>
      </c>
      <c r="C180" s="3" t="inlineStr">
        <is>
          <t>Blupine</t>
        </is>
      </c>
      <c r="D180" s="3" t="inlineStr">
        <is>
          <t>Utility and C&amp;I</t>
        </is>
      </c>
      <c r="E180" s="3" t="n"/>
      <c r="F180" s="3" t="inlineStr">
        <is>
          <t>Closed</t>
        </is>
      </c>
      <c r="G180" s="3" t="inlineStr">
        <is>
          <t>Chandrashekar Patidar</t>
        </is>
      </c>
      <c r="H180" s="3" t="n">
        <v>7879764773</v>
      </c>
      <c r="I180" s="11" t="inlineStr">
        <is>
          <t>PE26032601</t>
        </is>
      </c>
      <c r="J180" s="3" t="inlineStr">
        <is>
          <t>Module Diode Failure</t>
        </is>
      </c>
      <c r="K180" s="3" t="inlineStr">
        <is>
          <t>Sadla</t>
        </is>
      </c>
      <c r="L180" s="3" t="inlineStr">
        <is>
          <t>Gujarat</t>
        </is>
      </c>
      <c r="M180" s="9" t="inlineStr">
        <is>
          <t>PS</t>
        </is>
      </c>
      <c r="N180" s="3" t="inlineStr">
        <is>
          <t>Cold Soldering</t>
        </is>
      </c>
      <c r="O180" s="3" t="n">
        <v>570</v>
      </c>
      <c r="P180" s="9" t="inlineStr">
        <is>
          <t>NSMI24050062296</t>
        </is>
      </c>
      <c r="Q180" s="53">
        <f>MID(P180,5,2)</f>
        <v/>
      </c>
      <c r="R180" s="53">
        <f>MID(P180,7,2)</f>
        <v/>
      </c>
      <c r="S180" s="3" t="inlineStr">
        <is>
          <t>G2G</t>
        </is>
      </c>
      <c r="T180" s="3" t="inlineStr">
        <is>
          <t>P4</t>
        </is>
      </c>
      <c r="U180" s="3" t="inlineStr">
        <is>
          <t>P JB Cold Soldering</t>
        </is>
      </c>
      <c r="V180" s="3" t="inlineStr">
        <is>
          <t>Soldering</t>
        </is>
      </c>
      <c r="W180" s="3" t="inlineStr">
        <is>
          <t>Repair</t>
        </is>
      </c>
      <c r="X180" s="18" t="n">
        <v>46146</v>
      </c>
      <c r="Y180" s="3">
        <f>X180-A180</f>
        <v/>
      </c>
      <c r="Z180" s="18" t="n">
        <v>46146</v>
      </c>
      <c r="AA180" s="15" t="n"/>
      <c r="AB180" s="15" t="n"/>
    </row>
    <row r="181" hidden="1" s="233">
      <c r="A181" s="6" t="n">
        <v>46107</v>
      </c>
      <c r="B181" s="3" t="n">
        <v>2026</v>
      </c>
      <c r="C181" s="3" t="inlineStr">
        <is>
          <t>Blupine</t>
        </is>
      </c>
      <c r="D181" s="3" t="inlineStr">
        <is>
          <t>Utility and C&amp;I</t>
        </is>
      </c>
      <c r="E181" s="3" t="n"/>
      <c r="F181" s="3" t="inlineStr">
        <is>
          <t>Closed</t>
        </is>
      </c>
      <c r="G181" s="3" t="inlineStr">
        <is>
          <t>Chandrashekar Patidar</t>
        </is>
      </c>
      <c r="H181" s="3" t="n">
        <v>7879764773</v>
      </c>
      <c r="I181" s="11" t="inlineStr">
        <is>
          <t>PE26032601</t>
        </is>
      </c>
      <c r="J181" s="3" t="inlineStr">
        <is>
          <t>Module Diode Failure</t>
        </is>
      </c>
      <c r="K181" s="3" t="inlineStr">
        <is>
          <t>Sadla</t>
        </is>
      </c>
      <c r="L181" s="3" t="inlineStr">
        <is>
          <t>Gujarat</t>
        </is>
      </c>
      <c r="M181" s="9" t="inlineStr">
        <is>
          <t>PS</t>
        </is>
      </c>
      <c r="N181" s="3" t="inlineStr">
        <is>
          <t>Cold Soldering</t>
        </is>
      </c>
      <c r="O181" s="3" t="n">
        <v>570</v>
      </c>
      <c r="P181" s="9" t="inlineStr">
        <is>
          <t>NSMI24050058917</t>
        </is>
      </c>
      <c r="Q181" s="53">
        <f>MID(P181,5,2)</f>
        <v/>
      </c>
      <c r="R181" s="53">
        <f>MID(P181,7,2)</f>
        <v/>
      </c>
      <c r="S181" s="3" t="inlineStr">
        <is>
          <t>G2G</t>
        </is>
      </c>
      <c r="T181" s="3" t="inlineStr">
        <is>
          <t>P4</t>
        </is>
      </c>
      <c r="U181" s="3" t="inlineStr">
        <is>
          <t>P JB Cold Soldering</t>
        </is>
      </c>
      <c r="V181" s="3" t="inlineStr">
        <is>
          <t>Soldering</t>
        </is>
      </c>
      <c r="W181" s="3" t="inlineStr">
        <is>
          <t>Repair</t>
        </is>
      </c>
      <c r="X181" s="18" t="n">
        <v>46146</v>
      </c>
      <c r="Y181" s="3">
        <f>X181-A181</f>
        <v/>
      </c>
      <c r="Z181" s="18" t="n">
        <v>46146</v>
      </c>
      <c r="AA181" s="15" t="n"/>
      <c r="AB181" s="15" t="n"/>
    </row>
    <row r="182" hidden="1" s="233">
      <c r="A182" s="6" t="n">
        <v>46107</v>
      </c>
      <c r="B182" s="3" t="n">
        <v>2026</v>
      </c>
      <c r="C182" s="3" t="inlineStr">
        <is>
          <t>Blupine</t>
        </is>
      </c>
      <c r="D182" s="3" t="inlineStr">
        <is>
          <t>Utility and C&amp;I</t>
        </is>
      </c>
      <c r="E182" s="3" t="n"/>
      <c r="F182" s="3" t="inlineStr">
        <is>
          <t>Closed</t>
        </is>
      </c>
      <c r="G182" s="3" t="inlineStr">
        <is>
          <t>Chandrashekar Patidar</t>
        </is>
      </c>
      <c r="H182" s="3" t="n">
        <v>7879764773</v>
      </c>
      <c r="I182" s="11" t="inlineStr">
        <is>
          <t>PE26032601</t>
        </is>
      </c>
      <c r="J182" s="3" t="inlineStr">
        <is>
          <t>Module Diode Failure</t>
        </is>
      </c>
      <c r="K182" s="3" t="inlineStr">
        <is>
          <t>Sadla</t>
        </is>
      </c>
      <c r="L182" s="3" t="inlineStr">
        <is>
          <t>Gujarat</t>
        </is>
      </c>
      <c r="M182" s="9" t="inlineStr">
        <is>
          <t>NS</t>
        </is>
      </c>
      <c r="N182" s="3" t="inlineStr">
        <is>
          <t>Cold Soldering</t>
        </is>
      </c>
      <c r="O182" s="3" t="n">
        <v>570</v>
      </c>
      <c r="P182" s="9" t="inlineStr">
        <is>
          <t>NSMI24050058951</t>
        </is>
      </c>
      <c r="Q182" s="53">
        <f>MID(P182,5,2)</f>
        <v/>
      </c>
      <c r="R182" s="53">
        <f>MID(P182,7,2)</f>
        <v/>
      </c>
      <c r="S182" s="3" t="inlineStr">
        <is>
          <t>G2G</t>
        </is>
      </c>
      <c r="T182" s="3" t="inlineStr">
        <is>
          <t>P4</t>
        </is>
      </c>
      <c r="U182" s="3" t="inlineStr">
        <is>
          <t>N JB Cold Soldering</t>
        </is>
      </c>
      <c r="V182" s="3" t="inlineStr">
        <is>
          <t>Soldering</t>
        </is>
      </c>
      <c r="W182" s="3" t="inlineStr">
        <is>
          <t>Repair</t>
        </is>
      </c>
      <c r="X182" s="18" t="n">
        <v>46146</v>
      </c>
      <c r="Y182" s="3">
        <f>X182-A182</f>
        <v/>
      </c>
      <c r="Z182" s="18" t="n">
        <v>46146</v>
      </c>
      <c r="AA182" s="15" t="n"/>
      <c r="AB182" s="15" t="n"/>
    </row>
    <row r="183" hidden="1" s="233">
      <c r="A183" s="6" t="n">
        <v>46107</v>
      </c>
      <c r="B183" s="3" t="n">
        <v>2026</v>
      </c>
      <c r="C183" s="3" t="inlineStr">
        <is>
          <t>Blupine</t>
        </is>
      </c>
      <c r="D183" s="3" t="inlineStr">
        <is>
          <t>Utility and C&amp;I</t>
        </is>
      </c>
      <c r="E183" s="3" t="n"/>
      <c r="F183" s="3" t="inlineStr">
        <is>
          <t>Closed</t>
        </is>
      </c>
      <c r="G183" s="3" t="inlineStr">
        <is>
          <t>Chandrashekar Patidar</t>
        </is>
      </c>
      <c r="H183" s="3" t="n">
        <v>7879764773</v>
      </c>
      <c r="I183" s="11" t="inlineStr">
        <is>
          <t>PE26032601</t>
        </is>
      </c>
      <c r="J183" s="3" t="inlineStr">
        <is>
          <t>Module Diode Failure</t>
        </is>
      </c>
      <c r="K183" s="3" t="inlineStr">
        <is>
          <t>Sadla</t>
        </is>
      </c>
      <c r="L183" s="3" t="inlineStr">
        <is>
          <t>Gujarat</t>
        </is>
      </c>
      <c r="M183" s="9" t="inlineStr">
        <is>
          <t>NS</t>
        </is>
      </c>
      <c r="N183" s="3" t="inlineStr">
        <is>
          <t>Cold Soldering</t>
        </is>
      </c>
      <c r="O183" s="3" t="n">
        <v>570</v>
      </c>
      <c r="P183" s="9" t="inlineStr">
        <is>
          <t>NSMI24050048483</t>
        </is>
      </c>
      <c r="Q183" s="53">
        <f>MID(P183,5,2)</f>
        <v/>
      </c>
      <c r="R183" s="53">
        <f>MID(P183,7,2)</f>
        <v/>
      </c>
      <c r="S183" s="3" t="inlineStr">
        <is>
          <t>G2G</t>
        </is>
      </c>
      <c r="T183" s="3" t="inlineStr">
        <is>
          <t>P4</t>
        </is>
      </c>
      <c r="U183" s="3" t="inlineStr">
        <is>
          <t>N JB Cold Soldering</t>
        </is>
      </c>
      <c r="V183" s="3" t="inlineStr">
        <is>
          <t>Soldering</t>
        </is>
      </c>
      <c r="W183" s="3" t="inlineStr">
        <is>
          <t>Repair</t>
        </is>
      </c>
      <c r="X183" s="18" t="n">
        <v>46146</v>
      </c>
      <c r="Y183" s="3">
        <f>X183-A183</f>
        <v/>
      </c>
      <c r="Z183" s="18" t="n">
        <v>46146</v>
      </c>
      <c r="AA183" s="15" t="n"/>
      <c r="AB183" s="15" t="n"/>
    </row>
    <row r="184" hidden="1" s="233">
      <c r="A184" s="6" t="n">
        <v>46107</v>
      </c>
      <c r="B184" s="3" t="n">
        <v>2026</v>
      </c>
      <c r="C184" s="3" t="inlineStr">
        <is>
          <t>Blupine</t>
        </is>
      </c>
      <c r="D184" s="3" t="inlineStr">
        <is>
          <t>Utility and C&amp;I</t>
        </is>
      </c>
      <c r="E184" s="3" t="n"/>
      <c r="F184" s="3" t="inlineStr">
        <is>
          <t>Closed</t>
        </is>
      </c>
      <c r="G184" s="3" t="inlineStr">
        <is>
          <t>Chandrashekar Patidar</t>
        </is>
      </c>
      <c r="H184" s="3" t="n">
        <v>7879764773</v>
      </c>
      <c r="I184" s="11" t="inlineStr">
        <is>
          <t>PE26032601</t>
        </is>
      </c>
      <c r="J184" s="3" t="inlineStr">
        <is>
          <t>Module Diode Failure</t>
        </is>
      </c>
      <c r="K184" s="3" t="inlineStr">
        <is>
          <t>Sadla</t>
        </is>
      </c>
      <c r="L184" s="3" t="inlineStr">
        <is>
          <t>Gujarat</t>
        </is>
      </c>
      <c r="M184" s="9" t="inlineStr">
        <is>
          <t>NS</t>
        </is>
      </c>
      <c r="N184" s="3" t="inlineStr">
        <is>
          <t>Cold Soldering</t>
        </is>
      </c>
      <c r="O184" s="3" t="n">
        <v>570</v>
      </c>
      <c r="P184" s="9" t="inlineStr">
        <is>
          <t>NSMI24050047125</t>
        </is>
      </c>
      <c r="Q184" s="53">
        <f>MID(P184,5,2)</f>
        <v/>
      </c>
      <c r="R184" s="53">
        <f>MID(P184,7,2)</f>
        <v/>
      </c>
      <c r="S184" s="3" t="inlineStr">
        <is>
          <t>G2G</t>
        </is>
      </c>
      <c r="T184" s="3" t="inlineStr">
        <is>
          <t>P4</t>
        </is>
      </c>
      <c r="U184" s="3" t="inlineStr">
        <is>
          <t>N JB Cold Soldering</t>
        </is>
      </c>
      <c r="V184" s="3" t="inlineStr">
        <is>
          <t>Soldering</t>
        </is>
      </c>
      <c r="W184" s="3" t="inlineStr">
        <is>
          <t>Repair</t>
        </is>
      </c>
      <c r="X184" s="18" t="n">
        <v>46146</v>
      </c>
      <c r="Y184" s="3">
        <f>X184-A184</f>
        <v/>
      </c>
      <c r="Z184" s="18" t="n">
        <v>46146</v>
      </c>
      <c r="AA184" s="15" t="n"/>
      <c r="AB184" s="15" t="n"/>
    </row>
    <row r="185" hidden="1" s="233">
      <c r="A185" s="6" t="n">
        <v>46107</v>
      </c>
      <c r="B185" s="3" t="n">
        <v>2026</v>
      </c>
      <c r="C185" s="3" t="inlineStr">
        <is>
          <t>Blupine</t>
        </is>
      </c>
      <c r="D185" s="3" t="inlineStr">
        <is>
          <t>Utility and C&amp;I</t>
        </is>
      </c>
      <c r="E185" s="3" t="n"/>
      <c r="F185" s="3" t="inlineStr">
        <is>
          <t>Closed</t>
        </is>
      </c>
      <c r="G185" s="3" t="inlineStr">
        <is>
          <t>Chandrashekar Patidar</t>
        </is>
      </c>
      <c r="H185" s="3" t="n">
        <v>7879764773</v>
      </c>
      <c r="I185" s="11" t="inlineStr">
        <is>
          <t>PE26032601</t>
        </is>
      </c>
      <c r="J185" s="3" t="inlineStr">
        <is>
          <t>Module Diode Failure</t>
        </is>
      </c>
      <c r="K185" s="3" t="inlineStr">
        <is>
          <t>Sadla</t>
        </is>
      </c>
      <c r="L185" s="3" t="inlineStr">
        <is>
          <t>Gujarat</t>
        </is>
      </c>
      <c r="M185" s="9" t="inlineStr">
        <is>
          <t>NS</t>
        </is>
      </c>
      <c r="N185" s="3" t="inlineStr">
        <is>
          <t>Cold Soldering</t>
        </is>
      </c>
      <c r="O185" s="3" t="n">
        <v>570</v>
      </c>
      <c r="P185" s="9" t="inlineStr">
        <is>
          <t>NSMI24050047087</t>
        </is>
      </c>
      <c r="Q185" s="53">
        <f>MID(P185,5,2)</f>
        <v/>
      </c>
      <c r="R185" s="53">
        <f>MID(P185,7,2)</f>
        <v/>
      </c>
      <c r="S185" s="3" t="inlineStr">
        <is>
          <t>G2G</t>
        </is>
      </c>
      <c r="T185" s="3" t="inlineStr">
        <is>
          <t>P4</t>
        </is>
      </c>
      <c r="U185" s="3" t="inlineStr">
        <is>
          <t>N JB Cold Soldering</t>
        </is>
      </c>
      <c r="V185" s="3" t="inlineStr">
        <is>
          <t>Soldering</t>
        </is>
      </c>
      <c r="W185" s="3" t="inlineStr">
        <is>
          <t>Repair</t>
        </is>
      </c>
      <c r="X185" s="18" t="n">
        <v>46146</v>
      </c>
      <c r="Y185" s="3">
        <f>X185-A185</f>
        <v/>
      </c>
      <c r="Z185" s="18" t="n">
        <v>46146</v>
      </c>
      <c r="AA185" s="15" t="n"/>
      <c r="AB185" s="15" t="n"/>
    </row>
    <row r="186" hidden="1" s="233">
      <c r="A186" s="6" t="n">
        <v>46107</v>
      </c>
      <c r="B186" s="3" t="n">
        <v>2026</v>
      </c>
      <c r="C186" s="3" t="inlineStr">
        <is>
          <t>Blupine</t>
        </is>
      </c>
      <c r="D186" s="3" t="inlineStr">
        <is>
          <t>Utility and C&amp;I</t>
        </is>
      </c>
      <c r="E186" s="3" t="n"/>
      <c r="F186" s="3" t="inlineStr">
        <is>
          <t>Closed</t>
        </is>
      </c>
      <c r="G186" s="3" t="inlineStr">
        <is>
          <t>Chandrashekar Patidar</t>
        </is>
      </c>
      <c r="H186" s="3" t="n">
        <v>7879764773</v>
      </c>
      <c r="I186" s="11" t="inlineStr">
        <is>
          <t>PE26032601</t>
        </is>
      </c>
      <c r="J186" s="3" t="inlineStr">
        <is>
          <t>Module Diode Failure</t>
        </is>
      </c>
      <c r="K186" s="3" t="inlineStr">
        <is>
          <t>Sadla</t>
        </is>
      </c>
      <c r="L186" s="3" t="inlineStr">
        <is>
          <t>Gujarat</t>
        </is>
      </c>
      <c r="M186" s="9" t="inlineStr">
        <is>
          <t>NS</t>
        </is>
      </c>
      <c r="N186" s="3" t="inlineStr">
        <is>
          <t>Cold Soldering</t>
        </is>
      </c>
      <c r="O186" s="3" t="n">
        <v>570</v>
      </c>
      <c r="P186" s="9" t="inlineStr">
        <is>
          <t>NSMI24050046630</t>
        </is>
      </c>
      <c r="Q186" s="53">
        <f>MID(P186,5,2)</f>
        <v/>
      </c>
      <c r="R186" s="53">
        <f>MID(P186,7,2)</f>
        <v/>
      </c>
      <c r="S186" s="3" t="inlineStr">
        <is>
          <t>G2G</t>
        </is>
      </c>
      <c r="T186" s="3" t="inlineStr">
        <is>
          <t>P4</t>
        </is>
      </c>
      <c r="U186" s="3" t="inlineStr">
        <is>
          <t>N JB Cold Soldering</t>
        </is>
      </c>
      <c r="V186" s="3" t="inlineStr">
        <is>
          <t>Soldering</t>
        </is>
      </c>
      <c r="W186" s="3" t="inlineStr">
        <is>
          <t>Repair</t>
        </is>
      </c>
      <c r="X186" s="18" t="n">
        <v>46146</v>
      </c>
      <c r="Y186" s="3">
        <f>X186-A186</f>
        <v/>
      </c>
      <c r="Z186" s="18" t="n">
        <v>46146</v>
      </c>
      <c r="AA186" s="15" t="n"/>
      <c r="AB186" s="15" t="n"/>
    </row>
    <row r="187" hidden="1" s="233">
      <c r="A187" s="6" t="n">
        <v>46107</v>
      </c>
      <c r="B187" s="3" t="n">
        <v>2026</v>
      </c>
      <c r="C187" s="3" t="inlineStr">
        <is>
          <t>Blupine</t>
        </is>
      </c>
      <c r="D187" s="3" t="inlineStr">
        <is>
          <t>Utility and C&amp;I</t>
        </is>
      </c>
      <c r="E187" s="3" t="n"/>
      <c r="F187" s="3" t="inlineStr">
        <is>
          <t>Closed</t>
        </is>
      </c>
      <c r="G187" s="3" t="inlineStr">
        <is>
          <t>Chandrashekar Patidar</t>
        </is>
      </c>
      <c r="H187" s="3" t="n">
        <v>7879764773</v>
      </c>
      <c r="I187" s="11" t="inlineStr">
        <is>
          <t>PE26032601</t>
        </is>
      </c>
      <c r="J187" s="3" t="inlineStr">
        <is>
          <t>Module Diode Failure</t>
        </is>
      </c>
      <c r="K187" s="3" t="inlineStr">
        <is>
          <t>Sadla</t>
        </is>
      </c>
      <c r="L187" s="3" t="inlineStr">
        <is>
          <t>Gujarat</t>
        </is>
      </c>
      <c r="M187" s="9" t="inlineStr">
        <is>
          <t>NS</t>
        </is>
      </c>
      <c r="N187" s="3" t="inlineStr">
        <is>
          <t>Cold Soldering</t>
        </is>
      </c>
      <c r="O187" s="3" t="n">
        <v>570</v>
      </c>
      <c r="P187" s="9" t="inlineStr">
        <is>
          <t>NSMI24050047129</t>
        </is>
      </c>
      <c r="Q187" s="53">
        <f>MID(P187,5,2)</f>
        <v/>
      </c>
      <c r="R187" s="53">
        <f>MID(P187,7,2)</f>
        <v/>
      </c>
      <c r="S187" s="3" t="inlineStr">
        <is>
          <t>G2G</t>
        </is>
      </c>
      <c r="T187" s="3" t="inlineStr">
        <is>
          <t>P4</t>
        </is>
      </c>
      <c r="U187" s="3" t="inlineStr">
        <is>
          <t>N JB Cold Soldering</t>
        </is>
      </c>
      <c r="V187" s="3" t="inlineStr">
        <is>
          <t>Soldering</t>
        </is>
      </c>
      <c r="W187" s="3" t="inlineStr">
        <is>
          <t>Repair</t>
        </is>
      </c>
      <c r="X187" s="18" t="n">
        <v>46146</v>
      </c>
      <c r="Y187" s="3">
        <f>X187-A187</f>
        <v/>
      </c>
      <c r="Z187" s="18" t="n">
        <v>46146</v>
      </c>
      <c r="AA187" s="15" t="n"/>
      <c r="AB187" s="15" t="n"/>
    </row>
    <row r="188" hidden="1" s="233">
      <c r="A188" s="6" t="n">
        <v>46107</v>
      </c>
      <c r="B188" s="3" t="n">
        <v>2026</v>
      </c>
      <c r="C188" s="3" t="inlineStr">
        <is>
          <t>Blupine</t>
        </is>
      </c>
      <c r="D188" s="3" t="inlineStr">
        <is>
          <t>Utility and C&amp;I</t>
        </is>
      </c>
      <c r="E188" s="3" t="n"/>
      <c r="F188" s="3" t="inlineStr">
        <is>
          <t>Closed</t>
        </is>
      </c>
      <c r="G188" s="3" t="inlineStr">
        <is>
          <t>Chandrashekar Patidar</t>
        </is>
      </c>
      <c r="H188" s="3" t="n">
        <v>7879764773</v>
      </c>
      <c r="I188" s="11" t="inlineStr">
        <is>
          <t>PE26032601</t>
        </is>
      </c>
      <c r="J188" s="3" t="inlineStr">
        <is>
          <t>Module Diode Failure</t>
        </is>
      </c>
      <c r="K188" s="3" t="inlineStr">
        <is>
          <t>Sadla</t>
        </is>
      </c>
      <c r="L188" s="3" t="inlineStr">
        <is>
          <t>Gujarat</t>
        </is>
      </c>
      <c r="M188" s="9" t="inlineStr">
        <is>
          <t>PS</t>
        </is>
      </c>
      <c r="N188" s="3" t="inlineStr">
        <is>
          <t>Cold Soldering</t>
        </is>
      </c>
      <c r="O188" s="3" t="n">
        <v>570</v>
      </c>
      <c r="P188" s="9" t="inlineStr">
        <is>
          <t>NSMI24050047162</t>
        </is>
      </c>
      <c r="Q188" s="53">
        <f>MID(P188,5,2)</f>
        <v/>
      </c>
      <c r="R188" s="53">
        <f>MID(P188,7,2)</f>
        <v/>
      </c>
      <c r="S188" s="3" t="inlineStr">
        <is>
          <t>G2G</t>
        </is>
      </c>
      <c r="T188" s="3" t="inlineStr">
        <is>
          <t>P4</t>
        </is>
      </c>
      <c r="U188" s="3" t="inlineStr">
        <is>
          <t>P JB Cold Soldering</t>
        </is>
      </c>
      <c r="V188" s="3" t="inlineStr">
        <is>
          <t>Soldering</t>
        </is>
      </c>
      <c r="W188" s="3" t="inlineStr">
        <is>
          <t>Repair</t>
        </is>
      </c>
      <c r="X188" s="18" t="n">
        <v>46146</v>
      </c>
      <c r="Y188" s="3">
        <f>X188-A188</f>
        <v/>
      </c>
      <c r="Z188" s="18" t="n">
        <v>46146</v>
      </c>
      <c r="AA188" s="15" t="n"/>
      <c r="AB188" s="15" t="n"/>
    </row>
    <row r="189" hidden="1" s="233">
      <c r="A189" s="6" t="n">
        <v>46107</v>
      </c>
      <c r="B189" s="3" t="n">
        <v>2026</v>
      </c>
      <c r="C189" s="3" t="inlineStr">
        <is>
          <t>Blupine</t>
        </is>
      </c>
      <c r="D189" s="3" t="inlineStr">
        <is>
          <t>Utility and C&amp;I</t>
        </is>
      </c>
      <c r="E189" s="3" t="n"/>
      <c r="F189" s="3" t="inlineStr">
        <is>
          <t>Closed</t>
        </is>
      </c>
      <c r="G189" s="3" t="inlineStr">
        <is>
          <t>Chandrashekar Patidar</t>
        </is>
      </c>
      <c r="H189" s="3" t="n">
        <v>7879764773</v>
      </c>
      <c r="I189" s="11" t="inlineStr">
        <is>
          <t>PE26032601</t>
        </is>
      </c>
      <c r="J189" s="3" t="inlineStr">
        <is>
          <t>Module Diode Failure</t>
        </is>
      </c>
      <c r="K189" s="3" t="inlineStr">
        <is>
          <t>Sadla</t>
        </is>
      </c>
      <c r="L189" s="3" t="inlineStr">
        <is>
          <t>Gujarat</t>
        </is>
      </c>
      <c r="M189" s="9" t="inlineStr">
        <is>
          <t>PS</t>
        </is>
      </c>
      <c r="N189" s="3" t="inlineStr">
        <is>
          <t>Cold Soldering</t>
        </is>
      </c>
      <c r="O189" s="3" t="n">
        <v>570</v>
      </c>
      <c r="P189" s="9" t="inlineStr">
        <is>
          <t>NSMI24050062647</t>
        </is>
      </c>
      <c r="Q189" s="53">
        <f>MID(P189,5,2)</f>
        <v/>
      </c>
      <c r="R189" s="53">
        <f>MID(P189,7,2)</f>
        <v/>
      </c>
      <c r="S189" s="3" t="inlineStr">
        <is>
          <t>G2G</t>
        </is>
      </c>
      <c r="T189" s="3" t="inlineStr">
        <is>
          <t>P4</t>
        </is>
      </c>
      <c r="U189" s="3" t="inlineStr">
        <is>
          <t>P JB Cold Soldering</t>
        </is>
      </c>
      <c r="V189" s="3" t="inlineStr">
        <is>
          <t>Soldering</t>
        </is>
      </c>
      <c r="W189" s="3" t="inlineStr">
        <is>
          <t>Repair</t>
        </is>
      </c>
      <c r="X189" s="18" t="n">
        <v>46146</v>
      </c>
      <c r="Y189" s="3">
        <f>X189-A189</f>
        <v/>
      </c>
      <c r="Z189" s="18" t="n">
        <v>46146</v>
      </c>
      <c r="AA189" s="15" t="n"/>
      <c r="AB189" s="15" t="n"/>
    </row>
    <row r="190" hidden="1" s="233">
      <c r="A190" s="6" t="n">
        <v>46107</v>
      </c>
      <c r="B190" s="3" t="n">
        <v>2026</v>
      </c>
      <c r="C190" s="3" t="inlineStr">
        <is>
          <t>Blupine</t>
        </is>
      </c>
      <c r="D190" s="3" t="inlineStr">
        <is>
          <t>Utility and C&amp;I</t>
        </is>
      </c>
      <c r="E190" s="3" t="n"/>
      <c r="F190" s="3" t="inlineStr">
        <is>
          <t>Closed</t>
        </is>
      </c>
      <c r="G190" s="3" t="inlineStr">
        <is>
          <t>Chandrashekar Patidar</t>
        </is>
      </c>
      <c r="H190" s="3" t="n">
        <v>7879764773</v>
      </c>
      <c r="I190" s="11" t="inlineStr">
        <is>
          <t>PE26032601</t>
        </is>
      </c>
      <c r="J190" s="3" t="inlineStr">
        <is>
          <t>Module Diode Failure</t>
        </is>
      </c>
      <c r="K190" s="3" t="inlineStr">
        <is>
          <t>Sadla</t>
        </is>
      </c>
      <c r="L190" s="3" t="inlineStr">
        <is>
          <t>Gujarat</t>
        </is>
      </c>
      <c r="M190" s="9" t="inlineStr">
        <is>
          <t>NS</t>
        </is>
      </c>
      <c r="N190" s="3" t="inlineStr">
        <is>
          <t>Cold Soldering</t>
        </is>
      </c>
      <c r="O190" s="3" t="n">
        <v>570</v>
      </c>
      <c r="P190" s="9" t="inlineStr">
        <is>
          <t>NSMI24060081017</t>
        </is>
      </c>
      <c r="Q190" s="53">
        <f>MID(P190,5,2)</f>
        <v/>
      </c>
      <c r="R190" s="53">
        <f>MID(P190,7,2)</f>
        <v/>
      </c>
      <c r="S190" s="3" t="inlineStr">
        <is>
          <t>G2G</t>
        </is>
      </c>
      <c r="T190" s="3" t="inlineStr">
        <is>
          <t>P4</t>
        </is>
      </c>
      <c r="U190" s="3" t="inlineStr">
        <is>
          <t>N JB Cold Soldering</t>
        </is>
      </c>
      <c r="V190" s="3" t="inlineStr">
        <is>
          <t>Soldering</t>
        </is>
      </c>
      <c r="W190" s="3" t="inlineStr">
        <is>
          <t>Repair</t>
        </is>
      </c>
      <c r="X190" s="18" t="n">
        <v>46146</v>
      </c>
      <c r="Y190" s="3">
        <f>X190-A190</f>
        <v/>
      </c>
      <c r="Z190" s="18" t="n">
        <v>46146</v>
      </c>
      <c r="AA190" s="15" t="n"/>
      <c r="AB190" s="15" t="n"/>
    </row>
    <row r="191" hidden="1" s="233">
      <c r="A191" s="6" t="n">
        <v>46107</v>
      </c>
      <c r="B191" s="3" t="n">
        <v>2026</v>
      </c>
      <c r="C191" s="3" t="inlineStr">
        <is>
          <t>Blupine</t>
        </is>
      </c>
      <c r="D191" s="3" t="inlineStr">
        <is>
          <t>Utility and C&amp;I</t>
        </is>
      </c>
      <c r="E191" s="3" t="n"/>
      <c r="F191" s="3" t="inlineStr">
        <is>
          <t>Closed</t>
        </is>
      </c>
      <c r="G191" s="3" t="inlineStr">
        <is>
          <t>Chandrashekar Patidar</t>
        </is>
      </c>
      <c r="H191" s="3" t="n">
        <v>7879764773</v>
      </c>
      <c r="I191" s="11" t="inlineStr">
        <is>
          <t>PE26032601</t>
        </is>
      </c>
      <c r="J191" s="3" t="inlineStr">
        <is>
          <t>Module Diode Failure</t>
        </is>
      </c>
      <c r="K191" s="3" t="inlineStr">
        <is>
          <t>Sadla</t>
        </is>
      </c>
      <c r="L191" s="3" t="inlineStr">
        <is>
          <t>Gujarat</t>
        </is>
      </c>
      <c r="M191" s="9" t="inlineStr">
        <is>
          <t>PS</t>
        </is>
      </c>
      <c r="N191" s="3" t="inlineStr">
        <is>
          <t>Cold Soldering</t>
        </is>
      </c>
      <c r="O191" s="3" t="n">
        <v>570</v>
      </c>
      <c r="P191" s="9" t="inlineStr">
        <is>
          <t>NSMI24060081229</t>
        </is>
      </c>
      <c r="Q191" s="53">
        <f>MID(P191,5,2)</f>
        <v/>
      </c>
      <c r="R191" s="53">
        <f>MID(P191,7,2)</f>
        <v/>
      </c>
      <c r="S191" s="3" t="inlineStr">
        <is>
          <t>G2G</t>
        </is>
      </c>
      <c r="T191" s="3" t="inlineStr">
        <is>
          <t>P4</t>
        </is>
      </c>
      <c r="U191" s="3" t="inlineStr">
        <is>
          <t>P JB Cold Soldering</t>
        </is>
      </c>
      <c r="V191" s="3" t="inlineStr">
        <is>
          <t>Soldering</t>
        </is>
      </c>
      <c r="W191" s="3" t="inlineStr">
        <is>
          <t>Repair</t>
        </is>
      </c>
      <c r="X191" s="18" t="n">
        <v>46146</v>
      </c>
      <c r="Y191" s="3">
        <f>X191-A191</f>
        <v/>
      </c>
      <c r="Z191" s="18" t="n">
        <v>46146</v>
      </c>
      <c r="AA191" s="15" t="n"/>
      <c r="AB191" s="15" t="n"/>
    </row>
    <row r="192" hidden="1" s="233">
      <c r="A192" s="6" t="n">
        <v>46107</v>
      </c>
      <c r="B192" s="3" t="n">
        <v>2026</v>
      </c>
      <c r="C192" s="3" t="inlineStr">
        <is>
          <t>Blupine</t>
        </is>
      </c>
      <c r="D192" s="3" t="inlineStr">
        <is>
          <t>Utility and C&amp;I</t>
        </is>
      </c>
      <c r="E192" s="3" t="n"/>
      <c r="F192" s="3" t="inlineStr">
        <is>
          <t>Closed</t>
        </is>
      </c>
      <c r="G192" s="3" t="inlineStr">
        <is>
          <t>Chandrashekar Patidar</t>
        </is>
      </c>
      <c r="H192" s="3" t="n">
        <v>7879764773</v>
      </c>
      <c r="I192" s="11" t="inlineStr">
        <is>
          <t>PE26032601</t>
        </is>
      </c>
      <c r="J192" s="3" t="inlineStr">
        <is>
          <t>Module Diode Failure</t>
        </is>
      </c>
      <c r="K192" s="3" t="inlineStr">
        <is>
          <t>Sadla</t>
        </is>
      </c>
      <c r="L192" s="3" t="inlineStr">
        <is>
          <t>Gujarat</t>
        </is>
      </c>
      <c r="M192" s="9" t="inlineStr">
        <is>
          <t>NS</t>
        </is>
      </c>
      <c r="N192" s="3" t="inlineStr">
        <is>
          <t>Cold Soldering</t>
        </is>
      </c>
      <c r="O192" s="3" t="n">
        <v>570</v>
      </c>
      <c r="P192" s="9" t="inlineStr">
        <is>
          <t>NSMI24060078000</t>
        </is>
      </c>
      <c r="Q192" s="53">
        <f>MID(P192,5,2)</f>
        <v/>
      </c>
      <c r="R192" s="53">
        <f>MID(P192,7,2)</f>
        <v/>
      </c>
      <c r="S192" s="3" t="inlineStr">
        <is>
          <t>G2G</t>
        </is>
      </c>
      <c r="T192" s="3" t="inlineStr">
        <is>
          <t>P4</t>
        </is>
      </c>
      <c r="U192" s="3" t="inlineStr">
        <is>
          <t>N JB Cold Soldering</t>
        </is>
      </c>
      <c r="V192" s="3" t="inlineStr">
        <is>
          <t>Soldering</t>
        </is>
      </c>
      <c r="W192" s="3" t="inlineStr">
        <is>
          <t>Repair</t>
        </is>
      </c>
      <c r="X192" s="18" t="n">
        <v>46146</v>
      </c>
      <c r="Y192" s="3">
        <f>X192-A192</f>
        <v/>
      </c>
      <c r="Z192" s="18" t="n">
        <v>46146</v>
      </c>
      <c r="AA192" s="15" t="n"/>
      <c r="AB192" s="15" t="n"/>
    </row>
    <row r="193" hidden="1" s="233">
      <c r="A193" s="6" t="n">
        <v>46107</v>
      </c>
      <c r="B193" s="3" t="n">
        <v>2026</v>
      </c>
      <c r="C193" s="3" t="inlineStr">
        <is>
          <t>Blupine</t>
        </is>
      </c>
      <c r="D193" s="3" t="inlineStr">
        <is>
          <t>Utility and C&amp;I</t>
        </is>
      </c>
      <c r="E193" s="3" t="n"/>
      <c r="F193" s="3" t="inlineStr">
        <is>
          <t>Closed</t>
        </is>
      </c>
      <c r="G193" s="3" t="inlineStr">
        <is>
          <t>Chandrashekar Patidar</t>
        </is>
      </c>
      <c r="H193" s="3" t="n">
        <v>7879764773</v>
      </c>
      <c r="I193" s="11" t="inlineStr">
        <is>
          <t>PE26032601</t>
        </is>
      </c>
      <c r="J193" s="3" t="inlineStr">
        <is>
          <t>Module Diode Failure</t>
        </is>
      </c>
      <c r="K193" s="3" t="inlineStr">
        <is>
          <t>Sadla</t>
        </is>
      </c>
      <c r="L193" s="3" t="inlineStr">
        <is>
          <t>Gujarat</t>
        </is>
      </c>
      <c r="M193" s="9" t="inlineStr">
        <is>
          <t>PR</t>
        </is>
      </c>
      <c r="N193" s="3" t="inlineStr">
        <is>
          <t>JB Issue</t>
        </is>
      </c>
      <c r="O193" s="3" t="n">
        <v>570</v>
      </c>
      <c r="P193" s="9" t="inlineStr">
        <is>
          <t>NSMI24050065573</t>
        </is>
      </c>
      <c r="Q193" s="53">
        <f>MID(P193,5,2)</f>
        <v/>
      </c>
      <c r="R193" s="53">
        <f>MID(P193,7,2)</f>
        <v/>
      </c>
      <c r="S193" s="3" t="inlineStr">
        <is>
          <t>G2G</t>
        </is>
      </c>
      <c r="T193" s="3" t="inlineStr">
        <is>
          <t>P4</t>
        </is>
      </c>
      <c r="U193" s="3" t="inlineStr">
        <is>
          <t>P JB Issue</t>
        </is>
      </c>
      <c r="V193" s="15" t="inlineStr">
        <is>
          <t>JB Changed</t>
        </is>
      </c>
      <c r="W193" s="3" t="inlineStr">
        <is>
          <t>Repair</t>
        </is>
      </c>
      <c r="X193" s="18" t="n">
        <v>46146</v>
      </c>
      <c r="Y193" s="3">
        <f>X193-A193</f>
        <v/>
      </c>
      <c r="Z193" s="18" t="n">
        <v>46146</v>
      </c>
      <c r="AA193" s="15" t="n"/>
      <c r="AB193" s="15" t="n"/>
    </row>
    <row r="194" hidden="1" s="233">
      <c r="A194" s="6" t="n">
        <v>46107</v>
      </c>
      <c r="B194" s="3" t="n">
        <v>2026</v>
      </c>
      <c r="C194" s="3" t="inlineStr">
        <is>
          <t>Blupine</t>
        </is>
      </c>
      <c r="D194" s="3" t="inlineStr">
        <is>
          <t>Utility and C&amp;I</t>
        </is>
      </c>
      <c r="E194" s="3" t="n"/>
      <c r="F194" s="3" t="inlineStr">
        <is>
          <t>Closed</t>
        </is>
      </c>
      <c r="G194" s="3" t="inlineStr">
        <is>
          <t>Chandrashekar Patidar</t>
        </is>
      </c>
      <c r="H194" s="3" t="n">
        <v>7879764773</v>
      </c>
      <c r="I194" s="11" t="inlineStr">
        <is>
          <t>PE26032601</t>
        </is>
      </c>
      <c r="J194" s="3" t="inlineStr">
        <is>
          <t>Module Diode Failure</t>
        </is>
      </c>
      <c r="K194" s="3" t="inlineStr">
        <is>
          <t>Sadla</t>
        </is>
      </c>
      <c r="L194" s="3" t="inlineStr">
        <is>
          <t>Gujarat</t>
        </is>
      </c>
      <c r="M194" s="9" t="inlineStr">
        <is>
          <t>NS</t>
        </is>
      </c>
      <c r="N194" s="3" t="inlineStr">
        <is>
          <t>Cold Soldering</t>
        </is>
      </c>
      <c r="O194" s="3" t="n">
        <v>570</v>
      </c>
      <c r="P194" s="9" t="inlineStr">
        <is>
          <t>NSMI24050058754</t>
        </is>
      </c>
      <c r="Q194" s="53">
        <f>MID(P194,5,2)</f>
        <v/>
      </c>
      <c r="R194" s="53">
        <f>MID(P194,7,2)</f>
        <v/>
      </c>
      <c r="S194" s="3" t="inlineStr">
        <is>
          <t>G2G</t>
        </is>
      </c>
      <c r="T194" s="3" t="inlineStr">
        <is>
          <t>P4</t>
        </is>
      </c>
      <c r="U194" s="3" t="inlineStr">
        <is>
          <t>N JB Cold Soldering</t>
        </is>
      </c>
      <c r="V194" s="3" t="inlineStr">
        <is>
          <t>Soldering</t>
        </is>
      </c>
      <c r="W194" s="3" t="inlineStr">
        <is>
          <t>Repair</t>
        </is>
      </c>
      <c r="X194" s="18" t="n">
        <v>46146</v>
      </c>
      <c r="Y194" s="3">
        <f>X194-A194</f>
        <v/>
      </c>
      <c r="Z194" s="18" t="n">
        <v>46146</v>
      </c>
      <c r="AA194" s="15" t="n"/>
      <c r="AB194" s="15" t="n"/>
    </row>
    <row r="195" hidden="1" s="233">
      <c r="A195" s="6" t="n">
        <v>46107</v>
      </c>
      <c r="B195" s="3" t="n">
        <v>2026</v>
      </c>
      <c r="C195" s="3" t="inlineStr">
        <is>
          <t>Blupine</t>
        </is>
      </c>
      <c r="D195" s="3" t="inlineStr">
        <is>
          <t>Utility and C&amp;I</t>
        </is>
      </c>
      <c r="E195" s="3" t="n"/>
      <c r="F195" s="3" t="inlineStr">
        <is>
          <t>Closed</t>
        </is>
      </c>
      <c r="G195" s="3" t="inlineStr">
        <is>
          <t>Chandrashekar Patidar</t>
        </is>
      </c>
      <c r="H195" s="3" t="n">
        <v>7879764773</v>
      </c>
      <c r="I195" s="11" t="inlineStr">
        <is>
          <t>PE26032601</t>
        </is>
      </c>
      <c r="J195" s="3" t="inlineStr">
        <is>
          <t>Module Diode Failure</t>
        </is>
      </c>
      <c r="K195" s="3" t="inlineStr">
        <is>
          <t>Sadla</t>
        </is>
      </c>
      <c r="L195" s="3" t="inlineStr">
        <is>
          <t>Gujarat</t>
        </is>
      </c>
      <c r="M195" s="9" t="inlineStr">
        <is>
          <t>NS</t>
        </is>
      </c>
      <c r="N195" s="3" t="inlineStr">
        <is>
          <t>Cold Soldering</t>
        </is>
      </c>
      <c r="O195" s="3" t="n">
        <v>570</v>
      </c>
      <c r="P195" s="9" t="inlineStr">
        <is>
          <t>NSMI24050050095</t>
        </is>
      </c>
      <c r="Q195" s="53">
        <f>MID(P195,5,2)</f>
        <v/>
      </c>
      <c r="R195" s="53">
        <f>MID(P195,7,2)</f>
        <v/>
      </c>
      <c r="S195" s="3" t="inlineStr">
        <is>
          <t>G2G</t>
        </is>
      </c>
      <c r="T195" s="3" t="inlineStr">
        <is>
          <t>P4</t>
        </is>
      </c>
      <c r="U195" s="3" t="inlineStr">
        <is>
          <t>N JB Cold Soldering</t>
        </is>
      </c>
      <c r="V195" s="3" t="inlineStr">
        <is>
          <t>Soldering</t>
        </is>
      </c>
      <c r="W195" s="3" t="inlineStr">
        <is>
          <t>Repair</t>
        </is>
      </c>
      <c r="X195" s="18" t="n">
        <v>46146</v>
      </c>
      <c r="Y195" s="3">
        <f>X195-A195</f>
        <v/>
      </c>
      <c r="Z195" s="18" t="n">
        <v>46146</v>
      </c>
      <c r="AA195" s="15" t="n"/>
      <c r="AB195" s="15" t="n"/>
    </row>
    <row r="196" hidden="1" s="233">
      <c r="A196" s="6" t="n">
        <v>46107</v>
      </c>
      <c r="B196" s="3" t="n">
        <v>2026</v>
      </c>
      <c r="C196" s="3" t="inlineStr">
        <is>
          <t>Blupine</t>
        </is>
      </c>
      <c r="D196" s="3" t="inlineStr">
        <is>
          <t>Utility and C&amp;I</t>
        </is>
      </c>
      <c r="E196" s="3" t="n"/>
      <c r="F196" s="3" t="inlineStr">
        <is>
          <t>Closed</t>
        </is>
      </c>
      <c r="G196" s="3" t="inlineStr">
        <is>
          <t>Chandrashekar Patidar</t>
        </is>
      </c>
      <c r="H196" s="3" t="n">
        <v>7879764773</v>
      </c>
      <c r="I196" s="11" t="inlineStr">
        <is>
          <t>PE26032601</t>
        </is>
      </c>
      <c r="J196" s="3" t="inlineStr">
        <is>
          <t>Module Diode Failure</t>
        </is>
      </c>
      <c r="K196" s="3" t="inlineStr">
        <is>
          <t>Sadla</t>
        </is>
      </c>
      <c r="L196" s="3" t="inlineStr">
        <is>
          <t>Gujarat</t>
        </is>
      </c>
      <c r="M196" s="9" t="inlineStr">
        <is>
          <t>PS</t>
        </is>
      </c>
      <c r="N196" s="3" t="inlineStr">
        <is>
          <t>Cold Soldering</t>
        </is>
      </c>
      <c r="O196" s="3" t="n">
        <v>570</v>
      </c>
      <c r="P196" s="9" t="inlineStr">
        <is>
          <t>NSMI24060083953</t>
        </is>
      </c>
      <c r="Q196" s="53">
        <f>MID(P196,5,2)</f>
        <v/>
      </c>
      <c r="R196" s="53">
        <f>MID(P196,7,2)</f>
        <v/>
      </c>
      <c r="S196" s="3" t="inlineStr">
        <is>
          <t>G2G</t>
        </is>
      </c>
      <c r="T196" s="3" t="inlineStr">
        <is>
          <t>P4</t>
        </is>
      </c>
      <c r="U196" s="3" t="inlineStr">
        <is>
          <t>P JB Cold Soldering</t>
        </is>
      </c>
      <c r="V196" s="3" t="inlineStr">
        <is>
          <t>Soldering</t>
        </is>
      </c>
      <c r="W196" s="3" t="inlineStr">
        <is>
          <t>Repair</t>
        </is>
      </c>
      <c r="X196" s="18" t="n">
        <v>46146</v>
      </c>
      <c r="Y196" s="3">
        <f>X196-A196</f>
        <v/>
      </c>
      <c r="Z196" s="18" t="n">
        <v>46146</v>
      </c>
      <c r="AA196" s="15" t="n"/>
      <c r="AB196" s="15" t="n"/>
    </row>
    <row r="197" hidden="1" s="233">
      <c r="A197" s="6" t="n">
        <v>46107</v>
      </c>
      <c r="B197" s="3" t="n">
        <v>2026</v>
      </c>
      <c r="C197" s="3" t="inlineStr">
        <is>
          <t>Blupine</t>
        </is>
      </c>
      <c r="D197" s="3" t="inlineStr">
        <is>
          <t>Utility and C&amp;I</t>
        </is>
      </c>
      <c r="E197" s="3" t="n"/>
      <c r="F197" s="3" t="inlineStr">
        <is>
          <t>Closed</t>
        </is>
      </c>
      <c r="G197" s="3" t="inlineStr">
        <is>
          <t>Chandrashekar Patidar</t>
        </is>
      </c>
      <c r="H197" s="3" t="n">
        <v>7879764773</v>
      </c>
      <c r="I197" s="11" t="inlineStr">
        <is>
          <t>PE26032601</t>
        </is>
      </c>
      <c r="J197" s="3" t="inlineStr">
        <is>
          <t>Module Diode Failure</t>
        </is>
      </c>
      <c r="K197" s="3" t="inlineStr">
        <is>
          <t>Sadla</t>
        </is>
      </c>
      <c r="L197" s="3" t="inlineStr">
        <is>
          <t>Gujarat</t>
        </is>
      </c>
      <c r="M197" s="9" t="inlineStr">
        <is>
          <t>PS</t>
        </is>
      </c>
      <c r="N197" s="3" t="inlineStr">
        <is>
          <t>Cold Soldering</t>
        </is>
      </c>
      <c r="O197" s="3" t="n">
        <v>570</v>
      </c>
      <c r="P197" s="9" t="inlineStr">
        <is>
          <t>NSMI24060083962</t>
        </is>
      </c>
      <c r="Q197" s="53">
        <f>MID(P197,5,2)</f>
        <v/>
      </c>
      <c r="R197" s="53">
        <f>MID(P197,7,2)</f>
        <v/>
      </c>
      <c r="S197" s="3" t="inlineStr">
        <is>
          <t>G2G</t>
        </is>
      </c>
      <c r="T197" s="3" t="inlineStr">
        <is>
          <t>P4</t>
        </is>
      </c>
      <c r="U197" s="3" t="inlineStr">
        <is>
          <t>P JB Cold Soldering</t>
        </is>
      </c>
      <c r="V197" s="3" t="inlineStr">
        <is>
          <t>Soldering</t>
        </is>
      </c>
      <c r="W197" s="3" t="inlineStr">
        <is>
          <t>Repair</t>
        </is>
      </c>
      <c r="X197" s="18" t="n">
        <v>46146</v>
      </c>
      <c r="Y197" s="3">
        <f>X197-A197</f>
        <v/>
      </c>
      <c r="Z197" s="18" t="n">
        <v>46146</v>
      </c>
      <c r="AA197" s="15" t="n"/>
      <c r="AB197" s="15" t="n"/>
    </row>
    <row r="198" hidden="1" s="233">
      <c r="A198" s="6" t="n">
        <v>46107</v>
      </c>
      <c r="B198" s="3" t="n">
        <v>2026</v>
      </c>
      <c r="C198" s="3" t="inlineStr">
        <is>
          <t>Blupine</t>
        </is>
      </c>
      <c r="D198" s="3" t="inlineStr">
        <is>
          <t>Utility and C&amp;I</t>
        </is>
      </c>
      <c r="E198" s="3" t="n"/>
      <c r="F198" s="3" t="inlineStr">
        <is>
          <t>Closed</t>
        </is>
      </c>
      <c r="G198" s="3" t="inlineStr">
        <is>
          <t>Chandrashekar Patidar</t>
        </is>
      </c>
      <c r="H198" s="3" t="n">
        <v>7879764773</v>
      </c>
      <c r="I198" s="11" t="inlineStr">
        <is>
          <t>PE26032601</t>
        </is>
      </c>
      <c r="J198" s="3" t="inlineStr">
        <is>
          <t>Module Diode Failure</t>
        </is>
      </c>
      <c r="K198" s="3" t="inlineStr">
        <is>
          <t>Sadla</t>
        </is>
      </c>
      <c r="L198" s="3" t="inlineStr">
        <is>
          <t>Gujarat</t>
        </is>
      </c>
      <c r="M198" s="9" t="inlineStr">
        <is>
          <t>PS</t>
        </is>
      </c>
      <c r="N198" s="3" t="inlineStr">
        <is>
          <t>Cold Soldering</t>
        </is>
      </c>
      <c r="O198" s="3" t="n">
        <v>570</v>
      </c>
      <c r="P198" s="9" t="inlineStr">
        <is>
          <t>NSMI24050057148</t>
        </is>
      </c>
      <c r="Q198" s="53">
        <f>MID(P198,5,2)</f>
        <v/>
      </c>
      <c r="R198" s="53">
        <f>MID(P198,7,2)</f>
        <v/>
      </c>
      <c r="S198" s="3" t="inlineStr">
        <is>
          <t>G2G</t>
        </is>
      </c>
      <c r="T198" s="3" t="inlineStr">
        <is>
          <t>P4</t>
        </is>
      </c>
      <c r="U198" s="3" t="inlineStr">
        <is>
          <t>P JB Cold Soldering</t>
        </is>
      </c>
      <c r="V198" s="3" t="inlineStr">
        <is>
          <t>Soldering</t>
        </is>
      </c>
      <c r="W198" s="3" t="inlineStr">
        <is>
          <t>Repair</t>
        </is>
      </c>
      <c r="X198" s="18" t="n">
        <v>46146</v>
      </c>
      <c r="Y198" s="3">
        <f>X198-A198</f>
        <v/>
      </c>
      <c r="Z198" s="18" t="n">
        <v>46146</v>
      </c>
      <c r="AA198" s="15" t="n"/>
      <c r="AB198" s="15" t="n"/>
    </row>
    <row r="199" hidden="1" s="233">
      <c r="A199" s="6" t="n">
        <v>46107</v>
      </c>
      <c r="B199" s="3" t="n">
        <v>2026</v>
      </c>
      <c r="C199" s="3" t="inlineStr">
        <is>
          <t>Blupine</t>
        </is>
      </c>
      <c r="D199" s="3" t="inlineStr">
        <is>
          <t>Utility and C&amp;I</t>
        </is>
      </c>
      <c r="E199" s="3" t="n"/>
      <c r="F199" s="3" t="inlineStr">
        <is>
          <t>Closed</t>
        </is>
      </c>
      <c r="G199" s="3" t="inlineStr">
        <is>
          <t>Chandrashekar Patidar</t>
        </is>
      </c>
      <c r="H199" s="3" t="n">
        <v>7879764773</v>
      </c>
      <c r="I199" s="11" t="inlineStr">
        <is>
          <t>PE26032601</t>
        </is>
      </c>
      <c r="J199" s="3" t="inlineStr">
        <is>
          <t>Module Diode Failure</t>
        </is>
      </c>
      <c r="K199" s="3" t="inlineStr">
        <is>
          <t>Sadla</t>
        </is>
      </c>
      <c r="L199" s="3" t="inlineStr">
        <is>
          <t>Gujarat</t>
        </is>
      </c>
      <c r="M199" s="9" t="inlineStr">
        <is>
          <t>NR</t>
        </is>
      </c>
      <c r="N199" s="3" t="inlineStr">
        <is>
          <t>JB Issue</t>
        </is>
      </c>
      <c r="O199" s="3" t="n">
        <v>570</v>
      </c>
      <c r="P199" s="9" t="inlineStr">
        <is>
          <t>NSMI24050044296</t>
        </is>
      </c>
      <c r="Q199" s="53">
        <f>MID(P199,5,2)</f>
        <v/>
      </c>
      <c r="R199" s="53">
        <f>MID(P199,7,2)</f>
        <v/>
      </c>
      <c r="S199" s="3" t="inlineStr">
        <is>
          <t>G2G</t>
        </is>
      </c>
      <c r="T199" s="3" t="inlineStr">
        <is>
          <t>P4</t>
        </is>
      </c>
      <c r="U199" s="3" t="inlineStr">
        <is>
          <t>N JB Issue</t>
        </is>
      </c>
      <c r="V199" s="3" t="inlineStr">
        <is>
          <t>JB Changed</t>
        </is>
      </c>
      <c r="W199" s="3" t="inlineStr">
        <is>
          <t>Repair</t>
        </is>
      </c>
      <c r="X199" s="18" t="n">
        <v>46146</v>
      </c>
      <c r="Y199" s="3">
        <f>X199-A199</f>
        <v/>
      </c>
      <c r="Z199" s="18" t="n">
        <v>46146</v>
      </c>
      <c r="AA199" s="15" t="n"/>
      <c r="AB199" s="15" t="n"/>
    </row>
    <row r="200" hidden="1" s="233">
      <c r="A200" s="6" t="n">
        <v>46107</v>
      </c>
      <c r="B200" s="3" t="n">
        <v>2026</v>
      </c>
      <c r="C200" s="3" t="inlineStr">
        <is>
          <t>Blupine</t>
        </is>
      </c>
      <c r="D200" s="3" t="inlineStr">
        <is>
          <t>Utility and C&amp;I</t>
        </is>
      </c>
      <c r="E200" s="3" t="n"/>
      <c r="F200" s="3" t="inlineStr">
        <is>
          <t>Closed</t>
        </is>
      </c>
      <c r="G200" s="3" t="inlineStr">
        <is>
          <t>Chandrashekar Patidar</t>
        </is>
      </c>
      <c r="H200" s="3" t="n">
        <v>7879764773</v>
      </c>
      <c r="I200" s="11" t="inlineStr">
        <is>
          <t>PE26032601</t>
        </is>
      </c>
      <c r="J200" s="3" t="inlineStr">
        <is>
          <t>Module Diode Failure</t>
        </is>
      </c>
      <c r="K200" s="3" t="inlineStr">
        <is>
          <t>Sadla</t>
        </is>
      </c>
      <c r="L200" s="3" t="inlineStr">
        <is>
          <t>Gujarat</t>
        </is>
      </c>
      <c r="M200" s="9" t="inlineStr">
        <is>
          <t>NS</t>
        </is>
      </c>
      <c r="N200" s="3" t="inlineStr">
        <is>
          <t>Cold Soldering</t>
        </is>
      </c>
      <c r="O200" s="3" t="n">
        <v>570</v>
      </c>
      <c r="P200" s="9" t="inlineStr">
        <is>
          <t>NSMI24060080093</t>
        </is>
      </c>
      <c r="Q200" s="53">
        <f>MID(P200,5,2)</f>
        <v/>
      </c>
      <c r="R200" s="53">
        <f>MID(P200,7,2)</f>
        <v/>
      </c>
      <c r="S200" s="3" t="inlineStr">
        <is>
          <t>G2G</t>
        </is>
      </c>
      <c r="T200" s="3" t="inlineStr">
        <is>
          <t>P4</t>
        </is>
      </c>
      <c r="U200" s="3" t="inlineStr">
        <is>
          <t>N JB Cold Soldering</t>
        </is>
      </c>
      <c r="V200" s="3" t="inlineStr">
        <is>
          <t>Soldering</t>
        </is>
      </c>
      <c r="W200" s="3" t="inlineStr">
        <is>
          <t>Repair</t>
        </is>
      </c>
      <c r="X200" s="18" t="n">
        <v>46146</v>
      </c>
      <c r="Y200" s="3">
        <f>X200-A200</f>
        <v/>
      </c>
      <c r="Z200" s="18" t="n">
        <v>46146</v>
      </c>
      <c r="AA200" s="15" t="n"/>
      <c r="AB200" s="15" t="n"/>
    </row>
    <row r="201" hidden="1" s="233">
      <c r="A201" s="6" t="n">
        <v>46107</v>
      </c>
      <c r="B201" s="3" t="n">
        <v>2026</v>
      </c>
      <c r="C201" s="3" t="inlineStr">
        <is>
          <t>Blupine</t>
        </is>
      </c>
      <c r="D201" s="3" t="inlineStr">
        <is>
          <t>Utility and C&amp;I</t>
        </is>
      </c>
      <c r="E201" s="3" t="n"/>
      <c r="F201" s="3" t="inlineStr">
        <is>
          <t>Closed</t>
        </is>
      </c>
      <c r="G201" s="3" t="inlineStr">
        <is>
          <t>Chandrashekar Patidar</t>
        </is>
      </c>
      <c r="H201" s="3" t="n">
        <v>7879764773</v>
      </c>
      <c r="I201" s="11" t="inlineStr">
        <is>
          <t>PE26032601</t>
        </is>
      </c>
      <c r="J201" s="3" t="inlineStr">
        <is>
          <t>Module Diode Failure</t>
        </is>
      </c>
      <c r="K201" s="3" t="inlineStr">
        <is>
          <t>Sadla</t>
        </is>
      </c>
      <c r="L201" s="3" t="inlineStr">
        <is>
          <t>Gujarat</t>
        </is>
      </c>
      <c r="M201" s="9" t="inlineStr">
        <is>
          <t>PS</t>
        </is>
      </c>
      <c r="N201" s="3" t="inlineStr">
        <is>
          <t>Cold Soldering</t>
        </is>
      </c>
      <c r="O201" s="3" t="n">
        <v>570</v>
      </c>
      <c r="P201" s="9" t="inlineStr">
        <is>
          <t>NSMI24060082793</t>
        </is>
      </c>
      <c r="Q201" s="53">
        <f>MID(P201,5,2)</f>
        <v/>
      </c>
      <c r="R201" s="53">
        <f>MID(P201,7,2)</f>
        <v/>
      </c>
      <c r="S201" s="3" t="inlineStr">
        <is>
          <t>G2G</t>
        </is>
      </c>
      <c r="T201" s="3" t="inlineStr">
        <is>
          <t>P4</t>
        </is>
      </c>
      <c r="U201" s="3" t="inlineStr">
        <is>
          <t>P JB Cold Soldering</t>
        </is>
      </c>
      <c r="V201" s="3" t="inlineStr">
        <is>
          <t>Soldering</t>
        </is>
      </c>
      <c r="W201" s="3" t="inlineStr">
        <is>
          <t>Repair</t>
        </is>
      </c>
      <c r="X201" s="18" t="n">
        <v>46146</v>
      </c>
      <c r="Y201" s="3">
        <f>X201-A201</f>
        <v/>
      </c>
      <c r="Z201" s="18" t="n">
        <v>46146</v>
      </c>
      <c r="AA201" s="15" t="n"/>
      <c r="AB201" s="15" t="n"/>
    </row>
    <row r="202" hidden="1" s="233">
      <c r="A202" s="6" t="n">
        <v>46107</v>
      </c>
      <c r="B202" s="3" t="n">
        <v>2026</v>
      </c>
      <c r="C202" s="3" t="inlineStr">
        <is>
          <t>Blupine</t>
        </is>
      </c>
      <c r="D202" s="3" t="inlineStr">
        <is>
          <t>Utility and C&amp;I</t>
        </is>
      </c>
      <c r="E202" s="3" t="n"/>
      <c r="F202" s="3" t="inlineStr">
        <is>
          <t>Closed</t>
        </is>
      </c>
      <c r="G202" s="3" t="inlineStr">
        <is>
          <t>Chandrashekar Patidar</t>
        </is>
      </c>
      <c r="H202" s="3" t="n">
        <v>7879764773</v>
      </c>
      <c r="I202" s="11" t="inlineStr">
        <is>
          <t>PE26032601</t>
        </is>
      </c>
      <c r="J202" s="3" t="inlineStr">
        <is>
          <t>Module Diode Failure</t>
        </is>
      </c>
      <c r="K202" s="3" t="inlineStr">
        <is>
          <t>Sadla</t>
        </is>
      </c>
      <c r="L202" s="3" t="inlineStr">
        <is>
          <t>Gujarat</t>
        </is>
      </c>
      <c r="M202" s="9" t="inlineStr">
        <is>
          <t>PS</t>
        </is>
      </c>
      <c r="N202" s="3" t="inlineStr">
        <is>
          <t>Cold Soldering</t>
        </is>
      </c>
      <c r="O202" s="3" t="n">
        <v>570</v>
      </c>
      <c r="P202" s="9" t="inlineStr">
        <is>
          <t>NSMI24050060839</t>
        </is>
      </c>
      <c r="Q202" s="53">
        <f>MID(P202,5,2)</f>
        <v/>
      </c>
      <c r="R202" s="53">
        <f>MID(P202,7,2)</f>
        <v/>
      </c>
      <c r="S202" s="3" t="inlineStr">
        <is>
          <t>G2G</t>
        </is>
      </c>
      <c r="T202" s="3" t="inlineStr">
        <is>
          <t>P4</t>
        </is>
      </c>
      <c r="U202" s="3" t="inlineStr">
        <is>
          <t>P JB Cold Soldering</t>
        </is>
      </c>
      <c r="V202" s="3" t="inlineStr">
        <is>
          <t>Soldering</t>
        </is>
      </c>
      <c r="W202" s="3" t="inlineStr">
        <is>
          <t>Repair</t>
        </is>
      </c>
      <c r="X202" s="18" t="n">
        <v>46146</v>
      </c>
      <c r="Y202" s="3">
        <f>X202-A202</f>
        <v/>
      </c>
      <c r="Z202" s="18" t="n">
        <v>46146</v>
      </c>
      <c r="AA202" s="15" t="n"/>
      <c r="AB202" s="15" t="n"/>
    </row>
    <row r="203" hidden="1" s="233">
      <c r="A203" s="6" t="n">
        <v>46107</v>
      </c>
      <c r="B203" s="3" t="n">
        <v>2026</v>
      </c>
      <c r="C203" s="3" t="inlineStr">
        <is>
          <t>Blupine</t>
        </is>
      </c>
      <c r="D203" s="3" t="inlineStr">
        <is>
          <t>Utility and C&amp;I</t>
        </is>
      </c>
      <c r="E203" s="3" t="n"/>
      <c r="F203" s="3" t="inlineStr">
        <is>
          <t>Closed</t>
        </is>
      </c>
      <c r="G203" s="3" t="inlineStr">
        <is>
          <t>Chandrashekar Patidar</t>
        </is>
      </c>
      <c r="H203" s="3" t="n">
        <v>7879764773</v>
      </c>
      <c r="I203" s="11" t="inlineStr">
        <is>
          <t>PE26032601</t>
        </is>
      </c>
      <c r="J203" s="3" t="inlineStr">
        <is>
          <t>Module Diode Failure</t>
        </is>
      </c>
      <c r="K203" s="3" t="inlineStr">
        <is>
          <t>Sadla</t>
        </is>
      </c>
      <c r="L203" s="3" t="inlineStr">
        <is>
          <t>Gujarat</t>
        </is>
      </c>
      <c r="M203" s="9" t="inlineStr">
        <is>
          <t>Both Glass Broken</t>
        </is>
      </c>
      <c r="N203" s="3" t="inlineStr">
        <is>
          <t>Glass Breakage</t>
        </is>
      </c>
      <c r="O203" s="3" t="n">
        <v>570</v>
      </c>
      <c r="P203" s="9" t="inlineStr">
        <is>
          <t>NSMI24050064954</t>
        </is>
      </c>
      <c r="Q203" s="53">
        <f>MID(P203,5,2)</f>
        <v/>
      </c>
      <c r="R203" s="53">
        <f>MID(P203,7,2)</f>
        <v/>
      </c>
      <c r="S203" s="3" t="inlineStr">
        <is>
          <t>G2G</t>
        </is>
      </c>
      <c r="T203" s="3" t="inlineStr">
        <is>
          <t>P4</t>
        </is>
      </c>
      <c r="U203" s="3" t="inlineStr">
        <is>
          <t>Both Side Glass Breakage</t>
        </is>
      </c>
      <c r="V203" s="3" t="inlineStr">
        <is>
          <t>Inspection</t>
        </is>
      </c>
      <c r="W203" s="3" t="inlineStr">
        <is>
          <t>WIP</t>
        </is>
      </c>
      <c r="X203" s="18" t="n"/>
      <c r="Y203" s="3">
        <f>X203-A203</f>
        <v/>
      </c>
      <c r="Z203" s="18" t="n">
        <v>46146</v>
      </c>
      <c r="AA203" s="15" t="n"/>
      <c r="AB203" s="15" t="n"/>
    </row>
    <row r="204" hidden="1" s="233">
      <c r="A204" s="6" t="n">
        <v>46107</v>
      </c>
      <c r="B204" s="3" t="n">
        <v>2026</v>
      </c>
      <c r="C204" s="3" t="inlineStr">
        <is>
          <t>Blupine</t>
        </is>
      </c>
      <c r="D204" s="3" t="inlineStr">
        <is>
          <t>Utility and C&amp;I</t>
        </is>
      </c>
      <c r="E204" s="3" t="n"/>
      <c r="F204" s="3" t="inlineStr">
        <is>
          <t>Closed</t>
        </is>
      </c>
      <c r="G204" s="3" t="inlineStr">
        <is>
          <t>Chandrashekar Patidar</t>
        </is>
      </c>
      <c r="H204" s="3" t="n">
        <v>7879764773</v>
      </c>
      <c r="I204" s="11" t="inlineStr">
        <is>
          <t>PE26032601</t>
        </is>
      </c>
      <c r="J204" s="3" t="inlineStr">
        <is>
          <t>Module Diode Failure</t>
        </is>
      </c>
      <c r="K204" s="3" t="inlineStr">
        <is>
          <t>Sadla</t>
        </is>
      </c>
      <c r="L204" s="3" t="inlineStr">
        <is>
          <t>Gujarat</t>
        </is>
      </c>
      <c r="M204" s="9" t="inlineStr">
        <is>
          <t>PR</t>
        </is>
      </c>
      <c r="N204" s="3" t="inlineStr">
        <is>
          <t>JB Issue</t>
        </is>
      </c>
      <c r="O204" s="3" t="n">
        <v>570</v>
      </c>
      <c r="P204" s="9" t="inlineStr">
        <is>
          <t>NSMI24050064599</t>
        </is>
      </c>
      <c r="Q204" s="53">
        <f>MID(P204,5,2)</f>
        <v/>
      </c>
      <c r="R204" s="53">
        <f>MID(P204,7,2)</f>
        <v/>
      </c>
      <c r="S204" s="3" t="inlineStr">
        <is>
          <t>G2G</t>
        </is>
      </c>
      <c r="T204" s="3" t="inlineStr">
        <is>
          <t>P4</t>
        </is>
      </c>
      <c r="U204" s="3" t="inlineStr">
        <is>
          <t>P JB Issue</t>
        </is>
      </c>
      <c r="V204" s="15" t="inlineStr">
        <is>
          <t>JB Changed</t>
        </is>
      </c>
      <c r="W204" s="3" t="inlineStr">
        <is>
          <t>Repair</t>
        </is>
      </c>
      <c r="X204" s="18" t="n">
        <v>46146</v>
      </c>
      <c r="Y204" s="3">
        <f>X204-A204</f>
        <v/>
      </c>
      <c r="Z204" s="18" t="n">
        <v>46146</v>
      </c>
      <c r="AA204" s="15" t="n"/>
      <c r="AB204" s="15" t="n"/>
    </row>
    <row r="205" hidden="1" s="233">
      <c r="A205" s="6" t="n">
        <v>46107</v>
      </c>
      <c r="B205" s="3" t="n">
        <v>2026</v>
      </c>
      <c r="C205" s="3" t="inlineStr">
        <is>
          <t>Blupine</t>
        </is>
      </c>
      <c r="D205" s="3" t="inlineStr">
        <is>
          <t>Utility and C&amp;I</t>
        </is>
      </c>
      <c r="E205" s="3" t="n"/>
      <c r="F205" s="3" t="inlineStr">
        <is>
          <t>Closed</t>
        </is>
      </c>
      <c r="G205" s="3" t="inlineStr">
        <is>
          <t>Chandrashekar Patidar</t>
        </is>
      </c>
      <c r="H205" s="3" t="n">
        <v>7879764773</v>
      </c>
      <c r="I205" s="11" t="inlineStr">
        <is>
          <t>PE26032601</t>
        </is>
      </c>
      <c r="J205" s="3" t="inlineStr">
        <is>
          <t>Module Diode Failure</t>
        </is>
      </c>
      <c r="K205" s="3" t="inlineStr">
        <is>
          <t>Sadla</t>
        </is>
      </c>
      <c r="L205" s="3" t="inlineStr">
        <is>
          <t>Gujarat</t>
        </is>
      </c>
      <c r="M205" s="9" t="inlineStr">
        <is>
          <t>NS</t>
        </is>
      </c>
      <c r="N205" s="3" t="inlineStr">
        <is>
          <t>Cold Soldering</t>
        </is>
      </c>
      <c r="O205" s="3" t="n">
        <v>570</v>
      </c>
      <c r="P205" s="9" t="inlineStr">
        <is>
          <t>NSMI24050057589</t>
        </is>
      </c>
      <c r="Q205" s="53">
        <f>MID(P205,5,2)</f>
        <v/>
      </c>
      <c r="R205" s="53">
        <f>MID(P205,7,2)</f>
        <v/>
      </c>
      <c r="S205" s="3" t="inlineStr">
        <is>
          <t>G2G</t>
        </is>
      </c>
      <c r="T205" s="3" t="inlineStr">
        <is>
          <t>P4</t>
        </is>
      </c>
      <c r="U205" s="3" t="inlineStr">
        <is>
          <t>N JB Cold Soldering</t>
        </is>
      </c>
      <c r="V205" s="3" t="inlineStr">
        <is>
          <t>Soldering</t>
        </is>
      </c>
      <c r="W205" s="3" t="inlineStr">
        <is>
          <t>Repair</t>
        </is>
      </c>
      <c r="X205" s="18" t="n">
        <v>46146</v>
      </c>
      <c r="Y205" s="3">
        <f>X205-A205</f>
        <v/>
      </c>
      <c r="Z205" s="18" t="n">
        <v>46146</v>
      </c>
      <c r="AA205" s="15" t="n"/>
      <c r="AB205" s="15" t="n"/>
    </row>
    <row r="206" hidden="1" s="233">
      <c r="A206" s="6" t="n">
        <v>46107</v>
      </c>
      <c r="B206" s="3" t="n">
        <v>2026</v>
      </c>
      <c r="C206" s="3" t="inlineStr">
        <is>
          <t>Blupine</t>
        </is>
      </c>
      <c r="D206" s="3" t="inlineStr">
        <is>
          <t>Utility and C&amp;I</t>
        </is>
      </c>
      <c r="E206" s="3" t="n"/>
      <c r="F206" s="3" t="inlineStr">
        <is>
          <t>Closed</t>
        </is>
      </c>
      <c r="G206" s="3" t="inlineStr">
        <is>
          <t>Chandrashekar Patidar</t>
        </is>
      </c>
      <c r="H206" s="3" t="n">
        <v>7879764773</v>
      </c>
      <c r="I206" s="11" t="inlineStr">
        <is>
          <t>PE26032601</t>
        </is>
      </c>
      <c r="J206" s="3" t="inlineStr">
        <is>
          <t>Module Diode Failure</t>
        </is>
      </c>
      <c r="K206" s="3" t="inlineStr">
        <is>
          <t>Sadla</t>
        </is>
      </c>
      <c r="L206" s="3" t="inlineStr">
        <is>
          <t>Gujarat</t>
        </is>
      </c>
      <c r="M206" s="9" t="inlineStr">
        <is>
          <t>NS</t>
        </is>
      </c>
      <c r="N206" s="3" t="inlineStr">
        <is>
          <t>Cold Soldering</t>
        </is>
      </c>
      <c r="O206" s="3" t="n">
        <v>570</v>
      </c>
      <c r="P206" s="9" t="inlineStr">
        <is>
          <t>NSMI24050057259</t>
        </is>
      </c>
      <c r="Q206" s="53">
        <f>MID(P206,5,2)</f>
        <v/>
      </c>
      <c r="R206" s="53">
        <f>MID(P206,7,2)</f>
        <v/>
      </c>
      <c r="S206" s="3" t="inlineStr">
        <is>
          <t>G2G</t>
        </is>
      </c>
      <c r="T206" s="3" t="inlineStr">
        <is>
          <t>P4</t>
        </is>
      </c>
      <c r="U206" s="3" t="inlineStr">
        <is>
          <t>N JB Cold Soldering</t>
        </is>
      </c>
      <c r="V206" s="3" t="inlineStr">
        <is>
          <t>Soldering</t>
        </is>
      </c>
      <c r="W206" s="3" t="inlineStr">
        <is>
          <t>Repair</t>
        </is>
      </c>
      <c r="X206" s="18" t="n">
        <v>46146</v>
      </c>
      <c r="Y206" s="3">
        <f>X206-A206</f>
        <v/>
      </c>
      <c r="Z206" s="18" t="n">
        <v>46146</v>
      </c>
      <c r="AA206" s="15" t="n"/>
      <c r="AB206" s="15" t="n"/>
    </row>
    <row r="207" hidden="1" s="233">
      <c r="A207" s="6" t="n">
        <v>46107</v>
      </c>
      <c r="B207" s="3" t="n">
        <v>2026</v>
      </c>
      <c r="C207" s="3" t="inlineStr">
        <is>
          <t>Blupine</t>
        </is>
      </c>
      <c r="D207" s="3" t="inlineStr">
        <is>
          <t>Utility and C&amp;I</t>
        </is>
      </c>
      <c r="E207" s="3" t="n"/>
      <c r="F207" s="3" t="inlineStr">
        <is>
          <t>Closed</t>
        </is>
      </c>
      <c r="G207" s="3" t="inlineStr">
        <is>
          <t>Chandrashekar Patidar</t>
        </is>
      </c>
      <c r="H207" s="3" t="n">
        <v>7879764773</v>
      </c>
      <c r="I207" s="11" t="inlineStr">
        <is>
          <t>PE26032601</t>
        </is>
      </c>
      <c r="J207" s="3" t="inlineStr">
        <is>
          <t>Module Diode Failure</t>
        </is>
      </c>
      <c r="K207" s="3" t="inlineStr">
        <is>
          <t>Sadla</t>
        </is>
      </c>
      <c r="L207" s="3" t="inlineStr">
        <is>
          <t>Gujarat</t>
        </is>
      </c>
      <c r="M207" s="9" t="inlineStr">
        <is>
          <t>Glass Broken &amp; Burn Spot</t>
        </is>
      </c>
      <c r="N207" s="3" t="inlineStr">
        <is>
          <t>Glass Breakage</t>
        </is>
      </c>
      <c r="O207" s="3" t="n">
        <v>570</v>
      </c>
      <c r="P207" s="9" t="inlineStr">
        <is>
          <t>NSMI24050053859</t>
        </is>
      </c>
      <c r="Q207" s="53">
        <f>MID(P207,5,2)</f>
        <v/>
      </c>
      <c r="R207" s="53">
        <f>MID(P207,7,2)</f>
        <v/>
      </c>
      <c r="S207" s="3" t="inlineStr">
        <is>
          <t>G2G</t>
        </is>
      </c>
      <c r="T207" s="3" t="inlineStr">
        <is>
          <t>P4</t>
        </is>
      </c>
      <c r="U207" s="9" t="inlineStr">
        <is>
          <t>Glass Breakage &amp; Burn Spot</t>
        </is>
      </c>
      <c r="V207" s="3" t="inlineStr">
        <is>
          <t>Inspection</t>
        </is>
      </c>
      <c r="W207" s="3" t="inlineStr">
        <is>
          <t>WIP</t>
        </is>
      </c>
      <c r="X207" s="18" t="n"/>
      <c r="Y207" s="3">
        <f>X207-A207</f>
        <v/>
      </c>
      <c r="Z207" s="18" t="n">
        <v>46146</v>
      </c>
      <c r="AA207" s="15" t="n"/>
      <c r="AB207" s="15" t="n"/>
    </row>
    <row r="208" hidden="1" s="233">
      <c r="A208" s="6" t="n">
        <v>46107</v>
      </c>
      <c r="B208" s="3" t="n">
        <v>2026</v>
      </c>
      <c r="C208" s="3" t="inlineStr">
        <is>
          <t>Blupine</t>
        </is>
      </c>
      <c r="D208" s="3" t="inlineStr">
        <is>
          <t>Utility and C&amp;I</t>
        </is>
      </c>
      <c r="E208" s="3" t="n"/>
      <c r="F208" s="3" t="inlineStr">
        <is>
          <t>Closed</t>
        </is>
      </c>
      <c r="G208" s="3" t="inlineStr">
        <is>
          <t>Chandrashekar Patidar</t>
        </is>
      </c>
      <c r="H208" s="3" t="n">
        <v>7879764773</v>
      </c>
      <c r="I208" s="11" t="inlineStr">
        <is>
          <t>PE26032601</t>
        </is>
      </c>
      <c r="J208" s="3" t="inlineStr">
        <is>
          <t>Module Diode Failure</t>
        </is>
      </c>
      <c r="K208" s="3" t="inlineStr">
        <is>
          <t>Sadla</t>
        </is>
      </c>
      <c r="L208" s="3" t="inlineStr">
        <is>
          <t>Gujarat</t>
        </is>
      </c>
      <c r="M208" s="9" t="inlineStr">
        <is>
          <t>NS</t>
        </is>
      </c>
      <c r="N208" s="3" t="inlineStr">
        <is>
          <t>Cold Soldering</t>
        </is>
      </c>
      <c r="O208" s="3" t="n">
        <v>570</v>
      </c>
      <c r="P208" s="9" t="inlineStr">
        <is>
          <t>NSMI24050063310</t>
        </is>
      </c>
      <c r="Q208" s="53">
        <f>MID(P208,5,2)</f>
        <v/>
      </c>
      <c r="R208" s="53">
        <f>MID(P208,7,2)</f>
        <v/>
      </c>
      <c r="S208" s="3" t="inlineStr">
        <is>
          <t>G2G</t>
        </is>
      </c>
      <c r="T208" s="3" t="inlineStr">
        <is>
          <t>P4</t>
        </is>
      </c>
      <c r="U208" s="9" t="inlineStr">
        <is>
          <t>N JB Cold Soldering</t>
        </is>
      </c>
      <c r="V208" s="3" t="inlineStr">
        <is>
          <t>Soldering</t>
        </is>
      </c>
      <c r="W208" s="3" t="inlineStr">
        <is>
          <t>Repair</t>
        </is>
      </c>
      <c r="X208" s="18" t="n">
        <v>46146</v>
      </c>
      <c r="Y208" s="3">
        <f>X208-A208</f>
        <v/>
      </c>
      <c r="Z208" s="18" t="n">
        <v>46146</v>
      </c>
      <c r="AA208" s="15" t="n"/>
      <c r="AB208" s="15" t="n"/>
    </row>
    <row r="209" hidden="1" s="233">
      <c r="A209" s="6" t="n">
        <v>46107</v>
      </c>
      <c r="B209" s="3" t="n">
        <v>2026</v>
      </c>
      <c r="C209" s="3" t="inlineStr">
        <is>
          <t>Blupine</t>
        </is>
      </c>
      <c r="D209" s="3" t="inlineStr">
        <is>
          <t>Utility and C&amp;I</t>
        </is>
      </c>
      <c r="E209" s="3" t="n"/>
      <c r="F209" s="3" t="inlineStr">
        <is>
          <t>Closed</t>
        </is>
      </c>
      <c r="G209" s="3" t="inlineStr">
        <is>
          <t>Chandrashekar Patidar</t>
        </is>
      </c>
      <c r="H209" s="3" t="n">
        <v>7879764773</v>
      </c>
      <c r="I209" s="11" t="inlineStr">
        <is>
          <t>PE26032601</t>
        </is>
      </c>
      <c r="J209" s="3" t="inlineStr">
        <is>
          <t>Module Diode Failure</t>
        </is>
      </c>
      <c r="K209" s="3" t="inlineStr">
        <is>
          <t>Sadla</t>
        </is>
      </c>
      <c r="L209" s="3" t="inlineStr">
        <is>
          <t>Gujarat</t>
        </is>
      </c>
      <c r="M209" s="9" t="inlineStr">
        <is>
          <t>PS</t>
        </is>
      </c>
      <c r="N209" s="3" t="inlineStr">
        <is>
          <t>Cold Soldering</t>
        </is>
      </c>
      <c r="O209" s="3" t="n">
        <v>570</v>
      </c>
      <c r="P209" s="9" t="inlineStr">
        <is>
          <t>NSMI24050057514</t>
        </is>
      </c>
      <c r="Q209" s="53">
        <f>MID(P209,5,2)</f>
        <v/>
      </c>
      <c r="R209" s="53">
        <f>MID(P209,7,2)</f>
        <v/>
      </c>
      <c r="S209" s="3" t="inlineStr">
        <is>
          <t>G2G</t>
        </is>
      </c>
      <c r="T209" s="3" t="inlineStr">
        <is>
          <t>P4</t>
        </is>
      </c>
      <c r="U209" s="3" t="inlineStr">
        <is>
          <t>P JB Cold Soldering</t>
        </is>
      </c>
      <c r="V209" s="3" t="inlineStr">
        <is>
          <t>Soldering</t>
        </is>
      </c>
      <c r="W209" s="3" t="inlineStr">
        <is>
          <t>Repair</t>
        </is>
      </c>
      <c r="X209" s="18" t="n">
        <v>46146</v>
      </c>
      <c r="Y209" s="3">
        <f>X209-A209</f>
        <v/>
      </c>
      <c r="Z209" s="18" t="n">
        <v>46146</v>
      </c>
      <c r="AA209" s="15" t="n"/>
      <c r="AB209" s="15" t="n"/>
    </row>
    <row r="210" hidden="1" s="233">
      <c r="A210" s="6" t="n">
        <v>46107</v>
      </c>
      <c r="B210" s="3" t="n">
        <v>2026</v>
      </c>
      <c r="C210" s="3" t="inlineStr">
        <is>
          <t>Blupine</t>
        </is>
      </c>
      <c r="D210" s="3" t="inlineStr">
        <is>
          <t>Utility and C&amp;I</t>
        </is>
      </c>
      <c r="E210" s="3" t="n"/>
      <c r="F210" s="3" t="inlineStr">
        <is>
          <t>Closed</t>
        </is>
      </c>
      <c r="G210" s="3" t="inlineStr">
        <is>
          <t>Chandrashekar Patidar</t>
        </is>
      </c>
      <c r="H210" s="3" t="n">
        <v>7879764773</v>
      </c>
      <c r="I210" s="11" t="inlineStr">
        <is>
          <t>PE26032601</t>
        </is>
      </c>
      <c r="J210" s="3" t="inlineStr">
        <is>
          <t>Module Diode Failure</t>
        </is>
      </c>
      <c r="K210" s="3" t="inlineStr">
        <is>
          <t>Sadla</t>
        </is>
      </c>
      <c r="L210" s="3" t="inlineStr">
        <is>
          <t>Gujarat</t>
        </is>
      </c>
      <c r="M210" s="9" t="inlineStr">
        <is>
          <t>Ok</t>
        </is>
      </c>
      <c r="N210" s="3" t="inlineStr">
        <is>
          <t>No Issue</t>
        </is>
      </c>
      <c r="O210" s="3" t="n">
        <v>570</v>
      </c>
      <c r="P210" s="9" t="inlineStr">
        <is>
          <t>NSMI24050053698</t>
        </is>
      </c>
      <c r="Q210" s="53">
        <f>MID(P210,5,2)</f>
        <v/>
      </c>
      <c r="R210" s="53">
        <f>MID(P210,7,2)</f>
        <v/>
      </c>
      <c r="S210" s="3" t="inlineStr">
        <is>
          <t>G2G</t>
        </is>
      </c>
      <c r="T210" s="3" t="inlineStr">
        <is>
          <t>P4</t>
        </is>
      </c>
      <c r="U210" s="19" t="inlineStr">
        <is>
          <t>No Issue Found</t>
        </is>
      </c>
      <c r="V210" s="19" t="inlineStr">
        <is>
          <t>Found OK</t>
        </is>
      </c>
      <c r="W210" s="19" t="inlineStr">
        <is>
          <t>Repair</t>
        </is>
      </c>
      <c r="X210" s="18" t="n">
        <v>46146</v>
      </c>
      <c r="Y210" s="3">
        <f>X210-A210</f>
        <v/>
      </c>
      <c r="Z210" s="18" t="n">
        <v>46146</v>
      </c>
      <c r="AA210" s="15" t="n"/>
      <c r="AB210" s="15" t="n"/>
    </row>
    <row r="211" hidden="1" s="233">
      <c r="A211" s="6" t="n">
        <v>46107</v>
      </c>
      <c r="B211" s="3" t="n">
        <v>2026</v>
      </c>
      <c r="C211" s="3" t="inlineStr">
        <is>
          <t>Blupine</t>
        </is>
      </c>
      <c r="D211" s="3" t="inlineStr">
        <is>
          <t>Utility and C&amp;I</t>
        </is>
      </c>
      <c r="E211" s="3" t="n"/>
      <c r="F211" s="3" t="inlineStr">
        <is>
          <t>Closed</t>
        </is>
      </c>
      <c r="G211" s="3" t="inlineStr">
        <is>
          <t>Chandrashekar Patidar</t>
        </is>
      </c>
      <c r="H211" s="3" t="n">
        <v>7879764773</v>
      </c>
      <c r="I211" s="11" t="inlineStr">
        <is>
          <t>PE26032601</t>
        </is>
      </c>
      <c r="J211" s="3" t="inlineStr">
        <is>
          <t>Module Diode Failure</t>
        </is>
      </c>
      <c r="K211" s="3" t="inlineStr">
        <is>
          <t>Sadla</t>
        </is>
      </c>
      <c r="L211" s="3" t="inlineStr">
        <is>
          <t>Gujarat</t>
        </is>
      </c>
      <c r="M211" s="9" t="inlineStr">
        <is>
          <t>NS</t>
        </is>
      </c>
      <c r="N211" s="3" t="inlineStr">
        <is>
          <t>Cold Soldering</t>
        </is>
      </c>
      <c r="O211" s="3" t="n">
        <v>570</v>
      </c>
      <c r="P211" s="9" t="inlineStr">
        <is>
          <t>NSMI24050061694</t>
        </is>
      </c>
      <c r="Q211" s="53">
        <f>MID(P211,5,2)</f>
        <v/>
      </c>
      <c r="R211" s="53">
        <f>MID(P211,7,2)</f>
        <v/>
      </c>
      <c r="S211" s="3" t="inlineStr">
        <is>
          <t>G2G</t>
        </is>
      </c>
      <c r="T211" s="3" t="inlineStr">
        <is>
          <t>P4</t>
        </is>
      </c>
      <c r="U211" s="3" t="inlineStr">
        <is>
          <t>N JB Cold Soldering</t>
        </is>
      </c>
      <c r="V211" s="3" t="inlineStr">
        <is>
          <t>Soldering</t>
        </is>
      </c>
      <c r="W211" s="3" t="inlineStr">
        <is>
          <t>Repair</t>
        </is>
      </c>
      <c r="X211" s="18" t="n">
        <v>46146</v>
      </c>
      <c r="Y211" s="3">
        <f>X211-A211</f>
        <v/>
      </c>
      <c r="Z211" s="18" t="n">
        <v>46146</v>
      </c>
      <c r="AA211" s="15" t="n"/>
      <c r="AB211" s="15" t="n"/>
    </row>
    <row r="212" hidden="1" s="233">
      <c r="A212" s="6" t="n">
        <v>46107</v>
      </c>
      <c r="B212" s="3" t="n">
        <v>2026</v>
      </c>
      <c r="C212" s="3" t="inlineStr">
        <is>
          <t>Blupine</t>
        </is>
      </c>
      <c r="D212" s="3" t="inlineStr">
        <is>
          <t>Utility and C&amp;I</t>
        </is>
      </c>
      <c r="E212" s="3" t="n"/>
      <c r="F212" s="3" t="inlineStr">
        <is>
          <t>Closed</t>
        </is>
      </c>
      <c r="G212" s="3" t="inlineStr">
        <is>
          <t>Chandrashekar Patidar</t>
        </is>
      </c>
      <c r="H212" s="3" t="n">
        <v>7879764773</v>
      </c>
      <c r="I212" s="11" t="inlineStr">
        <is>
          <t>PE26032601</t>
        </is>
      </c>
      <c r="J212" s="3" t="inlineStr">
        <is>
          <t>Module Diode Failure</t>
        </is>
      </c>
      <c r="K212" s="3" t="inlineStr">
        <is>
          <t>Sadla</t>
        </is>
      </c>
      <c r="L212" s="3" t="inlineStr">
        <is>
          <t>Gujarat</t>
        </is>
      </c>
      <c r="M212" s="9" t="inlineStr">
        <is>
          <t>Glass Broken &amp; Burn Spot</t>
        </is>
      </c>
      <c r="N212" s="3" t="inlineStr">
        <is>
          <t>Glass Breakage</t>
        </is>
      </c>
      <c r="O212" s="3" t="n">
        <v>570</v>
      </c>
      <c r="P212" s="9" t="inlineStr">
        <is>
          <t>NSMI24050065938</t>
        </is>
      </c>
      <c r="Q212" s="53">
        <f>MID(P212,5,2)</f>
        <v/>
      </c>
      <c r="R212" s="53">
        <f>MID(P212,7,2)</f>
        <v/>
      </c>
      <c r="S212" s="3" t="inlineStr">
        <is>
          <t>G2G</t>
        </is>
      </c>
      <c r="T212" s="3" t="inlineStr">
        <is>
          <t>P4</t>
        </is>
      </c>
      <c r="U212" s="9" t="inlineStr">
        <is>
          <t>Glass Breakage &amp; Burn Spot</t>
        </is>
      </c>
      <c r="V212" s="3" t="inlineStr">
        <is>
          <t>Inspection</t>
        </is>
      </c>
      <c r="W212" s="3" t="inlineStr">
        <is>
          <t>WIP</t>
        </is>
      </c>
      <c r="X212" s="18" t="n"/>
      <c r="Y212" s="3">
        <f>X212-A212</f>
        <v/>
      </c>
      <c r="Z212" s="18" t="n">
        <v>46146</v>
      </c>
      <c r="AA212" s="15" t="n"/>
      <c r="AB212" s="15" t="n"/>
    </row>
    <row r="213" hidden="1" s="233">
      <c r="A213" s="6" t="n">
        <v>46107</v>
      </c>
      <c r="B213" s="3" t="n">
        <v>2026</v>
      </c>
      <c r="C213" s="3" t="inlineStr">
        <is>
          <t>Blupine</t>
        </is>
      </c>
      <c r="D213" s="3" t="inlineStr">
        <is>
          <t>Utility and C&amp;I</t>
        </is>
      </c>
      <c r="E213" s="3" t="n"/>
      <c r="F213" s="3" t="inlineStr">
        <is>
          <t>Closed</t>
        </is>
      </c>
      <c r="G213" s="3" t="inlineStr">
        <is>
          <t>Chandrashekar Patidar</t>
        </is>
      </c>
      <c r="H213" s="3" t="n">
        <v>7879764773</v>
      </c>
      <c r="I213" s="11" t="inlineStr">
        <is>
          <t>PE26032601</t>
        </is>
      </c>
      <c r="J213" s="3" t="inlineStr">
        <is>
          <t>Module Diode Failure</t>
        </is>
      </c>
      <c r="K213" s="3" t="inlineStr">
        <is>
          <t>Sadla</t>
        </is>
      </c>
      <c r="L213" s="3" t="inlineStr">
        <is>
          <t>Gujarat</t>
        </is>
      </c>
      <c r="M213" s="9" t="inlineStr">
        <is>
          <t>NS</t>
        </is>
      </c>
      <c r="N213" s="3" t="inlineStr">
        <is>
          <t>Cold Soldering</t>
        </is>
      </c>
      <c r="O213" s="3" t="n">
        <v>570</v>
      </c>
      <c r="P213" s="9" t="inlineStr">
        <is>
          <t>NSMI24050066111</t>
        </is>
      </c>
      <c r="Q213" s="53">
        <f>MID(P213,5,2)</f>
        <v/>
      </c>
      <c r="R213" s="53">
        <f>MID(P213,7,2)</f>
        <v/>
      </c>
      <c r="S213" s="3" t="inlineStr">
        <is>
          <t>G2G</t>
        </is>
      </c>
      <c r="T213" s="3" t="inlineStr">
        <is>
          <t>P4</t>
        </is>
      </c>
      <c r="U213" s="3" t="inlineStr">
        <is>
          <t>N JB Cold Soldering</t>
        </is>
      </c>
      <c r="V213" s="3" t="inlineStr">
        <is>
          <t>Soldering</t>
        </is>
      </c>
      <c r="W213" s="3" t="inlineStr">
        <is>
          <t>Repair</t>
        </is>
      </c>
      <c r="X213" s="18" t="n">
        <v>46146</v>
      </c>
      <c r="Y213" s="3">
        <f>X213-A213</f>
        <v/>
      </c>
      <c r="Z213" s="18" t="n">
        <v>46146</v>
      </c>
      <c r="AA213" s="15" t="n"/>
      <c r="AB213" s="15" t="n"/>
    </row>
    <row r="214" hidden="1" s="233">
      <c r="A214" s="6" t="n">
        <v>46107</v>
      </c>
      <c r="B214" s="3" t="n">
        <v>2026</v>
      </c>
      <c r="C214" s="3" t="inlineStr">
        <is>
          <t>Blupine</t>
        </is>
      </c>
      <c r="D214" s="3" t="inlineStr">
        <is>
          <t>Utility and C&amp;I</t>
        </is>
      </c>
      <c r="E214" s="3" t="n"/>
      <c r="F214" s="3" t="inlineStr">
        <is>
          <t>Closed</t>
        </is>
      </c>
      <c r="G214" s="3" t="inlineStr">
        <is>
          <t>Chandrashekar Patidar</t>
        </is>
      </c>
      <c r="H214" s="3" t="n">
        <v>7879764773</v>
      </c>
      <c r="I214" s="11" t="inlineStr">
        <is>
          <t>PE26032601</t>
        </is>
      </c>
      <c r="J214" s="3" t="inlineStr">
        <is>
          <t>Module Diode Failure</t>
        </is>
      </c>
      <c r="K214" s="3" t="inlineStr">
        <is>
          <t>Sadla</t>
        </is>
      </c>
      <c r="L214" s="3" t="inlineStr">
        <is>
          <t>Gujarat</t>
        </is>
      </c>
      <c r="M214" s="9" t="inlineStr">
        <is>
          <t>NS</t>
        </is>
      </c>
      <c r="N214" s="3" t="inlineStr">
        <is>
          <t>Cold Soldering</t>
        </is>
      </c>
      <c r="O214" s="3" t="n">
        <v>570</v>
      </c>
      <c r="P214" s="9" t="inlineStr">
        <is>
          <t>NSMI24060078566</t>
        </is>
      </c>
      <c r="Q214" s="53">
        <f>MID(P214,5,2)</f>
        <v/>
      </c>
      <c r="R214" s="53">
        <f>MID(P214,7,2)</f>
        <v/>
      </c>
      <c r="S214" s="3" t="inlineStr">
        <is>
          <t>G2G</t>
        </is>
      </c>
      <c r="T214" s="3" t="inlineStr">
        <is>
          <t>P4</t>
        </is>
      </c>
      <c r="U214" s="3" t="inlineStr">
        <is>
          <t>N JB Cold Soldering</t>
        </is>
      </c>
      <c r="V214" s="3" t="inlineStr">
        <is>
          <t>Soldering</t>
        </is>
      </c>
      <c r="W214" s="3" t="inlineStr">
        <is>
          <t>Repair</t>
        </is>
      </c>
      <c r="X214" s="18" t="n">
        <v>46146</v>
      </c>
      <c r="Y214" s="3">
        <f>X214-A214</f>
        <v/>
      </c>
      <c r="Z214" s="18" t="n">
        <v>46146</v>
      </c>
      <c r="AA214" s="15" t="n"/>
      <c r="AB214" s="15" t="n"/>
    </row>
    <row r="215" hidden="1" s="233">
      <c r="A215" s="6" t="n">
        <v>46107</v>
      </c>
      <c r="B215" s="3" t="n">
        <v>2026</v>
      </c>
      <c r="C215" s="3" t="inlineStr">
        <is>
          <t>Blupine</t>
        </is>
      </c>
      <c r="D215" s="3" t="inlineStr">
        <is>
          <t>Utility and C&amp;I</t>
        </is>
      </c>
      <c r="E215" s="3" t="n"/>
      <c r="F215" s="3" t="inlineStr">
        <is>
          <t>Closed</t>
        </is>
      </c>
      <c r="G215" s="3" t="inlineStr">
        <is>
          <t>Chandrashekar Patidar</t>
        </is>
      </c>
      <c r="H215" s="3" t="n">
        <v>7879764773</v>
      </c>
      <c r="I215" s="11" t="inlineStr">
        <is>
          <t>PE26032601</t>
        </is>
      </c>
      <c r="J215" s="3" t="inlineStr">
        <is>
          <t>Module Diode Failure</t>
        </is>
      </c>
      <c r="K215" s="3" t="inlineStr">
        <is>
          <t>Sadla</t>
        </is>
      </c>
      <c r="L215" s="3" t="inlineStr">
        <is>
          <t>Gujarat</t>
        </is>
      </c>
      <c r="M215" s="9" t="inlineStr">
        <is>
          <t>PS</t>
        </is>
      </c>
      <c r="N215" s="3" t="inlineStr">
        <is>
          <t>Cold Soldering</t>
        </is>
      </c>
      <c r="O215" s="3" t="n">
        <v>570</v>
      </c>
      <c r="P215" s="9" t="inlineStr">
        <is>
          <t>NSMI24060085543</t>
        </is>
      </c>
      <c r="Q215" s="53">
        <f>MID(P215,5,2)</f>
        <v/>
      </c>
      <c r="R215" s="53">
        <f>MID(P215,7,2)</f>
        <v/>
      </c>
      <c r="S215" s="3" t="inlineStr">
        <is>
          <t>G2G</t>
        </is>
      </c>
      <c r="T215" s="3" t="inlineStr">
        <is>
          <t>P4</t>
        </is>
      </c>
      <c r="U215" s="3" t="inlineStr">
        <is>
          <t>P JB Cold Soldering</t>
        </is>
      </c>
      <c r="V215" s="3" t="inlineStr">
        <is>
          <t>Soldering</t>
        </is>
      </c>
      <c r="W215" s="3" t="inlineStr">
        <is>
          <t>Repair</t>
        </is>
      </c>
      <c r="X215" s="18" t="n">
        <v>46146</v>
      </c>
      <c r="Y215" s="3">
        <f>X215-A215</f>
        <v/>
      </c>
      <c r="Z215" s="18" t="n">
        <v>46146</v>
      </c>
      <c r="AA215" s="15" t="n"/>
      <c r="AB215" s="15" t="n"/>
    </row>
    <row r="216" hidden="1" s="233">
      <c r="A216" s="6" t="n">
        <v>46107</v>
      </c>
      <c r="B216" s="3" t="n">
        <v>2026</v>
      </c>
      <c r="C216" s="3" t="inlineStr">
        <is>
          <t>Blupine</t>
        </is>
      </c>
      <c r="D216" s="3" t="inlineStr">
        <is>
          <t>Utility and C&amp;I</t>
        </is>
      </c>
      <c r="E216" s="3" t="n"/>
      <c r="F216" s="3" t="inlineStr">
        <is>
          <t>Closed</t>
        </is>
      </c>
      <c r="G216" s="3" t="inlineStr">
        <is>
          <t>Chandrashekar Patidar</t>
        </is>
      </c>
      <c r="H216" s="3" t="n">
        <v>7879764773</v>
      </c>
      <c r="I216" s="11" t="inlineStr">
        <is>
          <t>PE26032601</t>
        </is>
      </c>
      <c r="J216" s="3" t="inlineStr">
        <is>
          <t>Module Diode Failure</t>
        </is>
      </c>
      <c r="K216" s="3" t="inlineStr">
        <is>
          <t>Sadla</t>
        </is>
      </c>
      <c r="L216" s="3" t="inlineStr">
        <is>
          <t>Gujarat</t>
        </is>
      </c>
      <c r="M216" s="9" t="inlineStr">
        <is>
          <t>PNS</t>
        </is>
      </c>
      <c r="N216" s="3" t="inlineStr">
        <is>
          <t>Cold Soldering</t>
        </is>
      </c>
      <c r="O216" s="3" t="n">
        <v>570</v>
      </c>
      <c r="P216" s="9" t="inlineStr">
        <is>
          <t>NSMI24060115780</t>
        </is>
      </c>
      <c r="Q216" s="53">
        <f>MID(P216,5,2)</f>
        <v/>
      </c>
      <c r="R216" s="53">
        <f>MID(P216,7,2)</f>
        <v/>
      </c>
      <c r="S216" s="3" t="inlineStr">
        <is>
          <t>G2G</t>
        </is>
      </c>
      <c r="T216" s="3" t="inlineStr">
        <is>
          <t>P4</t>
        </is>
      </c>
      <c r="U216" s="3" t="inlineStr">
        <is>
          <t>P &amp; N JB Cold Soldering</t>
        </is>
      </c>
      <c r="V216" s="3" t="inlineStr">
        <is>
          <t>Soldering</t>
        </is>
      </c>
      <c r="W216" s="3" t="inlineStr">
        <is>
          <t>Repair</t>
        </is>
      </c>
      <c r="X216" s="18" t="n">
        <v>46146</v>
      </c>
      <c r="Y216" s="3">
        <f>X216-A216</f>
        <v/>
      </c>
      <c r="Z216" s="18" t="n">
        <v>46146</v>
      </c>
      <c r="AA216" s="15" t="n"/>
      <c r="AB216" s="15" t="n"/>
    </row>
    <row r="217" hidden="1" s="233">
      <c r="A217" s="6" t="n">
        <v>46107</v>
      </c>
      <c r="B217" s="3" t="n">
        <v>2026</v>
      </c>
      <c r="C217" s="3" t="inlineStr">
        <is>
          <t>Blupine</t>
        </is>
      </c>
      <c r="D217" s="3" t="inlineStr">
        <is>
          <t>Utility and C&amp;I</t>
        </is>
      </c>
      <c r="E217" s="3" t="n"/>
      <c r="F217" s="3" t="inlineStr">
        <is>
          <t>Closed</t>
        </is>
      </c>
      <c r="G217" s="3" t="inlineStr">
        <is>
          <t>Chandrashekar Patidar</t>
        </is>
      </c>
      <c r="H217" s="3" t="n">
        <v>7879764773</v>
      </c>
      <c r="I217" s="11" t="inlineStr">
        <is>
          <t>PE26032601</t>
        </is>
      </c>
      <c r="J217" s="3" t="inlineStr">
        <is>
          <t>Module Diode Failure</t>
        </is>
      </c>
      <c r="K217" s="3" t="inlineStr">
        <is>
          <t>Sadla</t>
        </is>
      </c>
      <c r="L217" s="3" t="inlineStr">
        <is>
          <t>Gujarat</t>
        </is>
      </c>
      <c r="M217" s="9" t="inlineStr">
        <is>
          <t>PS</t>
        </is>
      </c>
      <c r="N217" s="3" t="inlineStr">
        <is>
          <t>Cold Soldering</t>
        </is>
      </c>
      <c r="O217" s="3" t="n">
        <v>570</v>
      </c>
      <c r="P217" s="9" t="inlineStr">
        <is>
          <t>NSMI24050066982</t>
        </is>
      </c>
      <c r="Q217" s="53">
        <f>MID(P217,5,2)</f>
        <v/>
      </c>
      <c r="R217" s="53">
        <f>MID(P217,7,2)</f>
        <v/>
      </c>
      <c r="S217" s="3" t="inlineStr">
        <is>
          <t>G2G</t>
        </is>
      </c>
      <c r="T217" s="3" t="inlineStr">
        <is>
          <t>P4</t>
        </is>
      </c>
      <c r="U217" s="3" t="inlineStr">
        <is>
          <t>P JB Cold Soldering</t>
        </is>
      </c>
      <c r="V217" s="3" t="inlineStr">
        <is>
          <t>Soldering</t>
        </is>
      </c>
      <c r="W217" s="3" t="inlineStr">
        <is>
          <t>Repair</t>
        </is>
      </c>
      <c r="X217" s="18" t="n">
        <v>46146</v>
      </c>
      <c r="Y217" s="3">
        <f>X217-A217</f>
        <v/>
      </c>
      <c r="Z217" s="18" t="n">
        <v>46146</v>
      </c>
      <c r="AA217" s="15" t="n"/>
      <c r="AB217" s="15" t="n"/>
    </row>
    <row r="218" hidden="1" s="233">
      <c r="A218" s="6" t="n">
        <v>46107</v>
      </c>
      <c r="B218" s="3" t="n">
        <v>2026</v>
      </c>
      <c r="C218" s="3" t="inlineStr">
        <is>
          <t>Blupine</t>
        </is>
      </c>
      <c r="D218" s="3" t="inlineStr">
        <is>
          <t>Utility and C&amp;I</t>
        </is>
      </c>
      <c r="E218" s="3" t="n"/>
      <c r="F218" s="3" t="inlineStr">
        <is>
          <t>Closed</t>
        </is>
      </c>
      <c r="G218" s="3" t="inlineStr">
        <is>
          <t>Chandrashekar Patidar</t>
        </is>
      </c>
      <c r="H218" s="3" t="n">
        <v>7879764773</v>
      </c>
      <c r="I218" s="11" t="inlineStr">
        <is>
          <t>PE26032601</t>
        </is>
      </c>
      <c r="J218" s="3" t="inlineStr">
        <is>
          <t>Module Diode Failure</t>
        </is>
      </c>
      <c r="K218" s="3" t="inlineStr">
        <is>
          <t>Sadla</t>
        </is>
      </c>
      <c r="L218" s="3" t="inlineStr">
        <is>
          <t>Gujarat</t>
        </is>
      </c>
      <c r="M218" s="9" t="inlineStr">
        <is>
          <t>NS</t>
        </is>
      </c>
      <c r="N218" s="3" t="inlineStr">
        <is>
          <t>Cold Soldering</t>
        </is>
      </c>
      <c r="O218" s="3" t="n">
        <v>570</v>
      </c>
      <c r="P218" s="9" t="inlineStr">
        <is>
          <t>NSMI24050066988</t>
        </is>
      </c>
      <c r="Q218" s="53">
        <f>MID(P218,5,2)</f>
        <v/>
      </c>
      <c r="R218" s="53">
        <f>MID(P218,7,2)</f>
        <v/>
      </c>
      <c r="S218" s="3" t="inlineStr">
        <is>
          <t>G2G</t>
        </is>
      </c>
      <c r="T218" s="3" t="inlineStr">
        <is>
          <t>P4</t>
        </is>
      </c>
      <c r="U218" s="3" t="inlineStr">
        <is>
          <t>N JB Cold Soldering</t>
        </is>
      </c>
      <c r="V218" s="3" t="inlineStr">
        <is>
          <t>Soldering</t>
        </is>
      </c>
      <c r="W218" s="3" t="inlineStr">
        <is>
          <t>Repair</t>
        </is>
      </c>
      <c r="X218" s="18" t="n">
        <v>46146</v>
      </c>
      <c r="Y218" s="3">
        <f>X218-A218</f>
        <v/>
      </c>
      <c r="Z218" s="18" t="n">
        <v>46146</v>
      </c>
      <c r="AA218" s="15" t="n"/>
      <c r="AB218" s="15" t="n"/>
    </row>
    <row r="219" hidden="1" s="233">
      <c r="A219" s="6" t="n">
        <v>46107</v>
      </c>
      <c r="B219" s="3" t="n">
        <v>2026</v>
      </c>
      <c r="C219" s="3" t="inlineStr">
        <is>
          <t>Blupine</t>
        </is>
      </c>
      <c r="D219" s="3" t="inlineStr">
        <is>
          <t>Utility and C&amp;I</t>
        </is>
      </c>
      <c r="E219" s="3" t="n"/>
      <c r="F219" s="3" t="inlineStr">
        <is>
          <t>Closed</t>
        </is>
      </c>
      <c r="G219" s="3" t="inlineStr">
        <is>
          <t>Chandrashekar Patidar</t>
        </is>
      </c>
      <c r="H219" s="3" t="n">
        <v>7879764773</v>
      </c>
      <c r="I219" s="11" t="inlineStr">
        <is>
          <t>PE26032601</t>
        </is>
      </c>
      <c r="J219" s="3" t="inlineStr">
        <is>
          <t>Module Diode Failure</t>
        </is>
      </c>
      <c r="K219" s="3" t="inlineStr">
        <is>
          <t>Sadla</t>
        </is>
      </c>
      <c r="L219" s="3" t="inlineStr">
        <is>
          <t>Gujarat</t>
        </is>
      </c>
      <c r="M219" s="9" t="inlineStr">
        <is>
          <t>NS</t>
        </is>
      </c>
      <c r="N219" s="3" t="inlineStr">
        <is>
          <t>Cold Soldering</t>
        </is>
      </c>
      <c r="O219" s="3" t="n">
        <v>570</v>
      </c>
      <c r="P219" s="9" t="inlineStr">
        <is>
          <t>NSMI24050055968</t>
        </is>
      </c>
      <c r="Q219" s="53">
        <f>MID(P219,5,2)</f>
        <v/>
      </c>
      <c r="R219" s="53">
        <f>MID(P219,7,2)</f>
        <v/>
      </c>
      <c r="S219" s="3" t="inlineStr">
        <is>
          <t>G2G</t>
        </is>
      </c>
      <c r="T219" s="3" t="inlineStr">
        <is>
          <t>P4</t>
        </is>
      </c>
      <c r="U219" s="3" t="inlineStr">
        <is>
          <t>N JB Cold Soldering</t>
        </is>
      </c>
      <c r="V219" s="3" t="inlineStr">
        <is>
          <t>Soldering</t>
        </is>
      </c>
      <c r="W219" s="3" t="inlineStr">
        <is>
          <t>Repair</t>
        </is>
      </c>
      <c r="X219" s="18" t="n">
        <v>46146</v>
      </c>
      <c r="Y219" s="3">
        <f>X219-A219</f>
        <v/>
      </c>
      <c r="Z219" s="18" t="n">
        <v>46146</v>
      </c>
      <c r="AA219" s="15" t="n"/>
      <c r="AB219" s="15" t="n"/>
    </row>
    <row r="220" hidden="1" s="233">
      <c r="A220" s="6" t="n">
        <v>46107</v>
      </c>
      <c r="B220" s="3" t="n">
        <v>2026</v>
      </c>
      <c r="C220" s="3" t="inlineStr">
        <is>
          <t>Blupine</t>
        </is>
      </c>
      <c r="D220" s="3" t="inlineStr">
        <is>
          <t>Utility and C&amp;I</t>
        </is>
      </c>
      <c r="E220" s="3" t="n"/>
      <c r="F220" s="3" t="inlineStr">
        <is>
          <t>Closed</t>
        </is>
      </c>
      <c r="G220" s="3" t="inlineStr">
        <is>
          <t>Chandrashekar Patidar</t>
        </is>
      </c>
      <c r="H220" s="3" t="n">
        <v>7879764773</v>
      </c>
      <c r="I220" s="11" t="inlineStr">
        <is>
          <t>PE26032601</t>
        </is>
      </c>
      <c r="J220" s="3" t="inlineStr">
        <is>
          <t>Module Diode Failure</t>
        </is>
      </c>
      <c r="K220" s="3" t="inlineStr">
        <is>
          <t>Sadla</t>
        </is>
      </c>
      <c r="L220" s="3" t="inlineStr">
        <is>
          <t>Gujarat</t>
        </is>
      </c>
      <c r="M220" s="9" t="inlineStr">
        <is>
          <t>PS</t>
        </is>
      </c>
      <c r="N220" s="3" t="inlineStr">
        <is>
          <t>Cold Soldering</t>
        </is>
      </c>
      <c r="O220" s="3" t="n">
        <v>570</v>
      </c>
      <c r="P220" s="9" t="inlineStr">
        <is>
          <t>NSMI24050067490</t>
        </is>
      </c>
      <c r="Q220" s="53">
        <f>MID(P220,5,2)</f>
        <v/>
      </c>
      <c r="R220" s="53">
        <f>MID(P220,7,2)</f>
        <v/>
      </c>
      <c r="S220" s="3" t="inlineStr">
        <is>
          <t>G2G</t>
        </is>
      </c>
      <c r="T220" s="3" t="inlineStr">
        <is>
          <t>P4</t>
        </is>
      </c>
      <c r="U220" s="3" t="inlineStr">
        <is>
          <t>P JB Cold Soldering</t>
        </is>
      </c>
      <c r="V220" s="3" t="inlineStr">
        <is>
          <t>Soldering</t>
        </is>
      </c>
      <c r="W220" s="3" t="inlineStr">
        <is>
          <t>Repair</t>
        </is>
      </c>
      <c r="X220" s="18" t="n">
        <v>46146</v>
      </c>
      <c r="Y220" s="3">
        <f>X220-A220</f>
        <v/>
      </c>
      <c r="Z220" s="18" t="n">
        <v>46146</v>
      </c>
      <c r="AA220" s="15" t="n"/>
      <c r="AB220" s="15" t="n"/>
    </row>
    <row r="221" hidden="1" s="233">
      <c r="A221" s="6" t="n">
        <v>46107</v>
      </c>
      <c r="B221" s="3" t="n">
        <v>2026</v>
      </c>
      <c r="C221" s="3" t="inlineStr">
        <is>
          <t>Blupine</t>
        </is>
      </c>
      <c r="D221" s="3" t="inlineStr">
        <is>
          <t>Utility and C&amp;I</t>
        </is>
      </c>
      <c r="E221" s="3" t="n"/>
      <c r="F221" s="3" t="inlineStr">
        <is>
          <t>Closed</t>
        </is>
      </c>
      <c r="G221" s="3" t="inlineStr">
        <is>
          <t>Chandrashekar Patidar</t>
        </is>
      </c>
      <c r="H221" s="3" t="n">
        <v>7879764773</v>
      </c>
      <c r="I221" s="11" t="inlineStr">
        <is>
          <t>PE26032601</t>
        </is>
      </c>
      <c r="J221" s="3" t="inlineStr">
        <is>
          <t>Module Diode Failure</t>
        </is>
      </c>
      <c r="K221" s="3" t="inlineStr">
        <is>
          <t>Sadla</t>
        </is>
      </c>
      <c r="L221" s="3" t="inlineStr">
        <is>
          <t>Gujarat</t>
        </is>
      </c>
      <c r="M221" s="9" t="inlineStr">
        <is>
          <t>NR</t>
        </is>
      </c>
      <c r="N221" s="3" t="inlineStr">
        <is>
          <t>JB Issue</t>
        </is>
      </c>
      <c r="O221" s="3" t="n">
        <v>570</v>
      </c>
      <c r="P221" s="9" t="inlineStr">
        <is>
          <t>NSMI24060116495</t>
        </is>
      </c>
      <c r="Q221" s="53">
        <f>MID(P221,5,2)</f>
        <v/>
      </c>
      <c r="R221" s="53">
        <f>MID(P221,7,2)</f>
        <v/>
      </c>
      <c r="S221" s="3" t="inlineStr">
        <is>
          <t>G2G</t>
        </is>
      </c>
      <c r="T221" s="3" t="inlineStr">
        <is>
          <t>P4</t>
        </is>
      </c>
      <c r="U221" s="3" t="inlineStr">
        <is>
          <t>N JB Issue</t>
        </is>
      </c>
      <c r="V221" s="3" t="inlineStr">
        <is>
          <t>JB Changed</t>
        </is>
      </c>
      <c r="W221" s="3" t="inlineStr">
        <is>
          <t>Repair</t>
        </is>
      </c>
      <c r="X221" s="18" t="n">
        <v>46146</v>
      </c>
      <c r="Y221" s="3">
        <f>X221-A221</f>
        <v/>
      </c>
      <c r="Z221" s="18" t="n">
        <v>46146</v>
      </c>
      <c r="AA221" s="15" t="n"/>
      <c r="AB221" s="15" t="n"/>
    </row>
    <row r="222" hidden="1" s="233">
      <c r="A222" s="6" t="n">
        <v>46107</v>
      </c>
      <c r="B222" s="3" t="n">
        <v>2026</v>
      </c>
      <c r="C222" s="3" t="inlineStr">
        <is>
          <t>Blupine</t>
        </is>
      </c>
      <c r="D222" s="3" t="inlineStr">
        <is>
          <t>Utility and C&amp;I</t>
        </is>
      </c>
      <c r="E222" s="3" t="n"/>
      <c r="F222" s="3" t="inlineStr">
        <is>
          <t>Closed</t>
        </is>
      </c>
      <c r="G222" s="3" t="inlineStr">
        <is>
          <t>Chandrashekar Patidar</t>
        </is>
      </c>
      <c r="H222" s="3" t="n">
        <v>7879764773</v>
      </c>
      <c r="I222" s="11" t="inlineStr">
        <is>
          <t>PE26032601</t>
        </is>
      </c>
      <c r="J222" s="3" t="inlineStr">
        <is>
          <t>Module Diode Failure</t>
        </is>
      </c>
      <c r="K222" s="3" t="inlineStr">
        <is>
          <t>Sadla</t>
        </is>
      </c>
      <c r="L222" s="3" t="inlineStr">
        <is>
          <t>Gujarat</t>
        </is>
      </c>
      <c r="M222" s="9" t="inlineStr">
        <is>
          <t>NS</t>
        </is>
      </c>
      <c r="N222" s="3" t="inlineStr">
        <is>
          <t>Cold Soldering</t>
        </is>
      </c>
      <c r="O222" s="3" t="n">
        <v>570</v>
      </c>
      <c r="P222" s="9" t="inlineStr">
        <is>
          <t>NSMI24060075015</t>
        </is>
      </c>
      <c r="Q222" s="53">
        <f>MID(P222,5,2)</f>
        <v/>
      </c>
      <c r="R222" s="53">
        <f>MID(P222,7,2)</f>
        <v/>
      </c>
      <c r="S222" s="3" t="inlineStr">
        <is>
          <t>G2G</t>
        </is>
      </c>
      <c r="T222" s="3" t="inlineStr">
        <is>
          <t>P4</t>
        </is>
      </c>
      <c r="U222" s="3" t="inlineStr">
        <is>
          <t>N JB Cold Soldering</t>
        </is>
      </c>
      <c r="V222" s="3" t="inlineStr">
        <is>
          <t>Soldering</t>
        </is>
      </c>
      <c r="W222" s="3" t="inlineStr">
        <is>
          <t>Repair</t>
        </is>
      </c>
      <c r="X222" s="18" t="n">
        <v>46146</v>
      </c>
      <c r="Y222" s="3">
        <f>X222-A222</f>
        <v/>
      </c>
      <c r="Z222" s="18" t="n">
        <v>46146</v>
      </c>
      <c r="AA222" s="15" t="n"/>
      <c r="AB222" s="15" t="n"/>
    </row>
    <row r="223" hidden="1" s="233">
      <c r="A223" s="6" t="n">
        <v>46107</v>
      </c>
      <c r="B223" s="3" t="n">
        <v>2026</v>
      </c>
      <c r="C223" s="3" t="inlineStr">
        <is>
          <t>Blupine</t>
        </is>
      </c>
      <c r="D223" s="3" t="inlineStr">
        <is>
          <t>Utility and C&amp;I</t>
        </is>
      </c>
      <c r="E223" s="3" t="n"/>
      <c r="F223" s="3" t="inlineStr">
        <is>
          <t>Closed</t>
        </is>
      </c>
      <c r="G223" s="3" t="inlineStr">
        <is>
          <t>Chandrashekar Patidar</t>
        </is>
      </c>
      <c r="H223" s="3" t="n">
        <v>7879764773</v>
      </c>
      <c r="I223" s="11" t="inlineStr">
        <is>
          <t>PE26032601</t>
        </is>
      </c>
      <c r="J223" s="3" t="inlineStr">
        <is>
          <t>Module Diode Failure</t>
        </is>
      </c>
      <c r="K223" s="3" t="inlineStr">
        <is>
          <t>Sadla</t>
        </is>
      </c>
      <c r="L223" s="3" t="inlineStr">
        <is>
          <t>Gujarat</t>
        </is>
      </c>
      <c r="M223" s="9" t="inlineStr">
        <is>
          <t>NS</t>
        </is>
      </c>
      <c r="N223" s="3" t="inlineStr">
        <is>
          <t>Cold Soldering</t>
        </is>
      </c>
      <c r="O223" s="3" t="n">
        <v>570</v>
      </c>
      <c r="P223" s="9" t="inlineStr">
        <is>
          <t>NSMI24050067044</t>
        </is>
      </c>
      <c r="Q223" s="53">
        <f>MID(P223,5,2)</f>
        <v/>
      </c>
      <c r="R223" s="53">
        <f>MID(P223,7,2)</f>
        <v/>
      </c>
      <c r="S223" s="3" t="inlineStr">
        <is>
          <t>G2G</t>
        </is>
      </c>
      <c r="T223" s="3" t="inlineStr">
        <is>
          <t>P4</t>
        </is>
      </c>
      <c r="U223" s="3" t="inlineStr">
        <is>
          <t>N JB Cold Soldering</t>
        </is>
      </c>
      <c r="V223" s="3" t="inlineStr">
        <is>
          <t>Soldering</t>
        </is>
      </c>
      <c r="W223" s="3" t="inlineStr">
        <is>
          <t>Repair</t>
        </is>
      </c>
      <c r="X223" s="18" t="n">
        <v>46146</v>
      </c>
      <c r="Y223" s="3">
        <f>X223-A223</f>
        <v/>
      </c>
      <c r="Z223" s="18" t="n">
        <v>46146</v>
      </c>
      <c r="AA223" s="15" t="n"/>
      <c r="AB223" s="15" t="n"/>
    </row>
    <row r="224" hidden="1" s="233">
      <c r="A224" s="6" t="n">
        <v>46107</v>
      </c>
      <c r="B224" s="3" t="n">
        <v>2026</v>
      </c>
      <c r="C224" s="3" t="inlineStr">
        <is>
          <t>Blupine</t>
        </is>
      </c>
      <c r="D224" s="3" t="inlineStr">
        <is>
          <t>Utility and C&amp;I</t>
        </is>
      </c>
      <c r="E224" s="3" t="n"/>
      <c r="F224" s="3" t="inlineStr">
        <is>
          <t>Closed</t>
        </is>
      </c>
      <c r="G224" s="3" t="inlineStr">
        <is>
          <t>Chandrashekar Patidar</t>
        </is>
      </c>
      <c r="H224" s="3" t="n">
        <v>7879764773</v>
      </c>
      <c r="I224" s="11" t="inlineStr">
        <is>
          <t>PE26032601</t>
        </is>
      </c>
      <c r="J224" s="3" t="inlineStr">
        <is>
          <t>Module Diode Failure</t>
        </is>
      </c>
      <c r="K224" s="3" t="inlineStr">
        <is>
          <t>Sadla</t>
        </is>
      </c>
      <c r="L224" s="3" t="inlineStr">
        <is>
          <t>Gujarat</t>
        </is>
      </c>
      <c r="M224" s="9" t="inlineStr">
        <is>
          <t>NS</t>
        </is>
      </c>
      <c r="N224" s="3" t="inlineStr">
        <is>
          <t>Cold Soldering</t>
        </is>
      </c>
      <c r="O224" s="3" t="n">
        <v>570</v>
      </c>
      <c r="P224" s="9" t="inlineStr">
        <is>
          <t>NSMI24050067187</t>
        </is>
      </c>
      <c r="Q224" s="53">
        <f>MID(P224,5,2)</f>
        <v/>
      </c>
      <c r="R224" s="53">
        <f>MID(P224,7,2)</f>
        <v/>
      </c>
      <c r="S224" s="3" t="inlineStr">
        <is>
          <t>G2G</t>
        </is>
      </c>
      <c r="T224" s="3" t="inlineStr">
        <is>
          <t>P4</t>
        </is>
      </c>
      <c r="U224" s="3" t="inlineStr">
        <is>
          <t>N JB Cold Soldering</t>
        </is>
      </c>
      <c r="V224" s="3" t="inlineStr">
        <is>
          <t>Soldering</t>
        </is>
      </c>
      <c r="W224" s="3" t="inlineStr">
        <is>
          <t>Repair</t>
        </is>
      </c>
      <c r="X224" s="18" t="n">
        <v>46146</v>
      </c>
      <c r="Y224" s="3">
        <f>X224-A224</f>
        <v/>
      </c>
      <c r="Z224" s="18" t="n">
        <v>46146</v>
      </c>
      <c r="AA224" s="15" t="n"/>
      <c r="AB224" s="15" t="n"/>
    </row>
    <row r="225" hidden="1" s="233">
      <c r="A225" s="6" t="n">
        <v>46107</v>
      </c>
      <c r="B225" s="3" t="n">
        <v>2026</v>
      </c>
      <c r="C225" s="3" t="inlineStr">
        <is>
          <t>Blupine</t>
        </is>
      </c>
      <c r="D225" s="3" t="inlineStr">
        <is>
          <t>Utility and C&amp;I</t>
        </is>
      </c>
      <c r="E225" s="3" t="n"/>
      <c r="F225" s="3" t="inlineStr">
        <is>
          <t>Closed</t>
        </is>
      </c>
      <c r="G225" s="3" t="inlineStr">
        <is>
          <t>Chandrashekar Patidar</t>
        </is>
      </c>
      <c r="H225" s="3" t="n">
        <v>7879764773</v>
      </c>
      <c r="I225" s="11" t="inlineStr">
        <is>
          <t>PE26032601</t>
        </is>
      </c>
      <c r="J225" s="3" t="inlineStr">
        <is>
          <t>Module Diode Failure</t>
        </is>
      </c>
      <c r="K225" s="3" t="inlineStr">
        <is>
          <t>Sadla</t>
        </is>
      </c>
      <c r="L225" s="3" t="inlineStr">
        <is>
          <t>Gujarat</t>
        </is>
      </c>
      <c r="M225" s="9" t="inlineStr">
        <is>
          <t>NS</t>
        </is>
      </c>
      <c r="N225" s="3" t="inlineStr">
        <is>
          <t>Cold Soldering</t>
        </is>
      </c>
      <c r="O225" s="3" t="n">
        <v>570</v>
      </c>
      <c r="P225" s="9" t="inlineStr">
        <is>
          <t>NSMI24050045874</t>
        </is>
      </c>
      <c r="Q225" s="53">
        <f>MID(P225,5,2)</f>
        <v/>
      </c>
      <c r="R225" s="53">
        <f>MID(P225,7,2)</f>
        <v/>
      </c>
      <c r="S225" s="3" t="inlineStr">
        <is>
          <t>G2G</t>
        </is>
      </c>
      <c r="T225" s="3" t="inlineStr">
        <is>
          <t>P4</t>
        </is>
      </c>
      <c r="U225" s="3" t="inlineStr">
        <is>
          <t>N JB Cold Soldering</t>
        </is>
      </c>
      <c r="V225" s="3" t="inlineStr">
        <is>
          <t>Soldering</t>
        </is>
      </c>
      <c r="W225" s="3" t="inlineStr">
        <is>
          <t>Repair</t>
        </is>
      </c>
      <c r="X225" s="18" t="n">
        <v>46146</v>
      </c>
      <c r="Y225" s="3">
        <f>X225-A225</f>
        <v/>
      </c>
      <c r="Z225" s="18" t="n">
        <v>46146</v>
      </c>
      <c r="AA225" s="15" t="n"/>
      <c r="AB225" s="15" t="n"/>
    </row>
    <row r="226" hidden="1" s="233">
      <c r="A226" s="6" t="n">
        <v>46107</v>
      </c>
      <c r="B226" s="3" t="n">
        <v>2026</v>
      </c>
      <c r="C226" s="3" t="inlineStr">
        <is>
          <t>Blupine</t>
        </is>
      </c>
      <c r="D226" s="3" t="inlineStr">
        <is>
          <t>Utility and C&amp;I</t>
        </is>
      </c>
      <c r="E226" s="3" t="n"/>
      <c r="F226" s="3" t="inlineStr">
        <is>
          <t>Closed</t>
        </is>
      </c>
      <c r="G226" s="3" t="inlineStr">
        <is>
          <t>Chandrashekar Patidar</t>
        </is>
      </c>
      <c r="H226" s="3" t="n">
        <v>7879764773</v>
      </c>
      <c r="I226" s="11" t="inlineStr">
        <is>
          <t>PE26032601</t>
        </is>
      </c>
      <c r="J226" s="3" t="inlineStr">
        <is>
          <t>Module Diode Failure</t>
        </is>
      </c>
      <c r="K226" s="3" t="inlineStr">
        <is>
          <t>Sadla</t>
        </is>
      </c>
      <c r="L226" s="3" t="inlineStr">
        <is>
          <t>Gujarat</t>
        </is>
      </c>
      <c r="M226" s="9" t="inlineStr">
        <is>
          <t>PS</t>
        </is>
      </c>
      <c r="N226" s="3" t="inlineStr">
        <is>
          <t>Cold Soldering</t>
        </is>
      </c>
      <c r="O226" s="3" t="n">
        <v>570</v>
      </c>
      <c r="P226" s="9" t="inlineStr">
        <is>
          <t>NSMI24060082598</t>
        </is>
      </c>
      <c r="Q226" s="53">
        <f>MID(P226,5,2)</f>
        <v/>
      </c>
      <c r="R226" s="53">
        <f>MID(P226,7,2)</f>
        <v/>
      </c>
      <c r="S226" s="3" t="inlineStr">
        <is>
          <t>G2G</t>
        </is>
      </c>
      <c r="T226" s="3" t="inlineStr">
        <is>
          <t>P4</t>
        </is>
      </c>
      <c r="U226" s="3" t="inlineStr">
        <is>
          <t>P JB Cold Soldering</t>
        </is>
      </c>
      <c r="V226" s="3" t="inlineStr">
        <is>
          <t>Soldering</t>
        </is>
      </c>
      <c r="W226" s="3" t="inlineStr">
        <is>
          <t>Repair</t>
        </is>
      </c>
      <c r="X226" s="18" t="n">
        <v>46146</v>
      </c>
      <c r="Y226" s="3">
        <f>X226-A226</f>
        <v/>
      </c>
      <c r="Z226" s="18" t="n">
        <v>46146</v>
      </c>
      <c r="AA226" s="15" t="n"/>
      <c r="AB226" s="15" t="n"/>
    </row>
    <row r="227" hidden="1" s="233">
      <c r="A227" s="6" t="n">
        <v>46107</v>
      </c>
      <c r="B227" s="3" t="n">
        <v>2026</v>
      </c>
      <c r="C227" s="3" t="inlineStr">
        <is>
          <t>Blupine</t>
        </is>
      </c>
      <c r="D227" s="3" t="inlineStr">
        <is>
          <t>Utility and C&amp;I</t>
        </is>
      </c>
      <c r="E227" s="3" t="n"/>
      <c r="F227" s="3" t="inlineStr">
        <is>
          <t>Closed</t>
        </is>
      </c>
      <c r="G227" s="3" t="inlineStr">
        <is>
          <t>Chandrashekar Patidar</t>
        </is>
      </c>
      <c r="H227" s="3" t="n">
        <v>7879764773</v>
      </c>
      <c r="I227" s="11" t="inlineStr">
        <is>
          <t>PE26032601</t>
        </is>
      </c>
      <c r="J227" s="3" t="inlineStr">
        <is>
          <t>Module Diode Failure</t>
        </is>
      </c>
      <c r="K227" s="3" t="inlineStr">
        <is>
          <t>Sadla</t>
        </is>
      </c>
      <c r="L227" s="3" t="inlineStr">
        <is>
          <t>Gujarat</t>
        </is>
      </c>
      <c r="M227" s="9" t="inlineStr">
        <is>
          <t>NS</t>
        </is>
      </c>
      <c r="N227" s="3" t="inlineStr">
        <is>
          <t>Cold Soldering</t>
        </is>
      </c>
      <c r="O227" s="3" t="n">
        <v>570</v>
      </c>
      <c r="P227" s="9" t="inlineStr">
        <is>
          <t>NSMI24060120035</t>
        </is>
      </c>
      <c r="Q227" s="53">
        <f>MID(P227,5,2)</f>
        <v/>
      </c>
      <c r="R227" s="53">
        <f>MID(P227,7,2)</f>
        <v/>
      </c>
      <c r="S227" s="3" t="inlineStr">
        <is>
          <t>G2G</t>
        </is>
      </c>
      <c r="T227" s="3" t="inlineStr">
        <is>
          <t>P4</t>
        </is>
      </c>
      <c r="U227" s="3" t="inlineStr">
        <is>
          <t>N JB Cold Soldering</t>
        </is>
      </c>
      <c r="V227" s="3" t="inlineStr">
        <is>
          <t>Soldering</t>
        </is>
      </c>
      <c r="W227" s="3" t="inlineStr">
        <is>
          <t>Repair</t>
        </is>
      </c>
      <c r="X227" s="18" t="n">
        <v>46146</v>
      </c>
      <c r="Y227" s="3">
        <f>X227-A227</f>
        <v/>
      </c>
      <c r="Z227" s="18" t="n">
        <v>46146</v>
      </c>
      <c r="AA227" s="15" t="n"/>
      <c r="AB227" s="15" t="n"/>
    </row>
    <row r="228" hidden="1" s="233">
      <c r="A228" s="6" t="n">
        <v>46107</v>
      </c>
      <c r="B228" s="3" t="n">
        <v>2026</v>
      </c>
      <c r="C228" s="3" t="inlineStr">
        <is>
          <t>Blupine</t>
        </is>
      </c>
      <c r="D228" s="3" t="inlineStr">
        <is>
          <t>Utility and C&amp;I</t>
        </is>
      </c>
      <c r="E228" s="3" t="n"/>
      <c r="F228" s="3" t="inlineStr">
        <is>
          <t>Closed</t>
        </is>
      </c>
      <c r="G228" s="3" t="inlineStr">
        <is>
          <t>Chandrashekar Patidar</t>
        </is>
      </c>
      <c r="H228" s="3" t="n">
        <v>7879764773</v>
      </c>
      <c r="I228" s="11" t="inlineStr">
        <is>
          <t>PE26032601</t>
        </is>
      </c>
      <c r="J228" s="3" t="inlineStr">
        <is>
          <t>Module Diode Failure</t>
        </is>
      </c>
      <c r="K228" s="3" t="inlineStr">
        <is>
          <t>Sadla</t>
        </is>
      </c>
      <c r="L228" s="3" t="inlineStr">
        <is>
          <t>Gujarat</t>
        </is>
      </c>
      <c r="M228" s="9" t="inlineStr">
        <is>
          <t>NS</t>
        </is>
      </c>
      <c r="N228" s="3" t="inlineStr">
        <is>
          <t>Cold Soldering</t>
        </is>
      </c>
      <c r="O228" s="3" t="n">
        <v>570</v>
      </c>
      <c r="P228" s="9" t="inlineStr">
        <is>
          <t>NSMI24060134814</t>
        </is>
      </c>
      <c r="Q228" s="53">
        <f>MID(P228,5,2)</f>
        <v/>
      </c>
      <c r="R228" s="53">
        <f>MID(P228,7,2)</f>
        <v/>
      </c>
      <c r="S228" s="3" t="inlineStr">
        <is>
          <t>G2G</t>
        </is>
      </c>
      <c r="T228" s="3" t="inlineStr">
        <is>
          <t>P4</t>
        </is>
      </c>
      <c r="U228" s="3" t="inlineStr">
        <is>
          <t>N JB Cold Soldering</t>
        </is>
      </c>
      <c r="V228" s="3" t="inlineStr">
        <is>
          <t>Soldering</t>
        </is>
      </c>
      <c r="W228" s="3" t="inlineStr">
        <is>
          <t>Repair</t>
        </is>
      </c>
      <c r="X228" s="18" t="n">
        <v>46146</v>
      </c>
      <c r="Y228" s="3">
        <f>X228-A228</f>
        <v/>
      </c>
      <c r="Z228" s="18" t="n">
        <v>46146</v>
      </c>
      <c r="AA228" s="15" t="n"/>
      <c r="AB228" s="15" t="n"/>
    </row>
    <row r="229" hidden="1" s="233">
      <c r="A229" s="6" t="n">
        <v>46107</v>
      </c>
      <c r="B229" s="3" t="n">
        <v>2026</v>
      </c>
      <c r="C229" s="3" t="inlineStr">
        <is>
          <t>Blupine</t>
        </is>
      </c>
      <c r="D229" s="3" t="inlineStr">
        <is>
          <t>Utility and C&amp;I</t>
        </is>
      </c>
      <c r="E229" s="3" t="n"/>
      <c r="F229" s="3" t="inlineStr">
        <is>
          <t>Closed</t>
        </is>
      </c>
      <c r="G229" s="3" t="inlineStr">
        <is>
          <t>Chandrashekar Patidar</t>
        </is>
      </c>
      <c r="H229" s="3" t="n">
        <v>7879764773</v>
      </c>
      <c r="I229" s="11" t="inlineStr">
        <is>
          <t>PE26032601</t>
        </is>
      </c>
      <c r="J229" s="3" t="inlineStr">
        <is>
          <t>Module Diode Failure</t>
        </is>
      </c>
      <c r="K229" s="3" t="inlineStr">
        <is>
          <t>Sadla</t>
        </is>
      </c>
      <c r="L229" s="3" t="inlineStr">
        <is>
          <t>Gujarat</t>
        </is>
      </c>
      <c r="M229" s="9" t="inlineStr">
        <is>
          <t>NS</t>
        </is>
      </c>
      <c r="N229" s="3" t="inlineStr">
        <is>
          <t>Cold Soldering</t>
        </is>
      </c>
      <c r="O229" s="3" t="n">
        <v>570</v>
      </c>
      <c r="P229" s="9" t="inlineStr">
        <is>
          <t>NSMI24060134353</t>
        </is>
      </c>
      <c r="Q229" s="53">
        <f>MID(P229,5,2)</f>
        <v/>
      </c>
      <c r="R229" s="53">
        <f>MID(P229,7,2)</f>
        <v/>
      </c>
      <c r="S229" s="3" t="inlineStr">
        <is>
          <t>G2G</t>
        </is>
      </c>
      <c r="T229" s="3" t="inlineStr">
        <is>
          <t>P4</t>
        </is>
      </c>
      <c r="U229" s="3" t="inlineStr">
        <is>
          <t>N JB Cold Soldering</t>
        </is>
      </c>
      <c r="V229" s="3" t="inlineStr">
        <is>
          <t>Soldering</t>
        </is>
      </c>
      <c r="W229" s="3" t="inlineStr">
        <is>
          <t>Repair</t>
        </is>
      </c>
      <c r="X229" s="18" t="n">
        <v>46146</v>
      </c>
      <c r="Y229" s="3">
        <f>X229-A229</f>
        <v/>
      </c>
      <c r="Z229" s="18" t="n">
        <v>46146</v>
      </c>
      <c r="AA229" s="15" t="n"/>
      <c r="AB229" s="15" t="n"/>
    </row>
    <row r="230" hidden="1" s="233">
      <c r="A230" s="6" t="n">
        <v>46107</v>
      </c>
      <c r="B230" s="3" t="n">
        <v>2026</v>
      </c>
      <c r="C230" s="3" t="inlineStr">
        <is>
          <t>Blupine</t>
        </is>
      </c>
      <c r="D230" s="3" t="inlineStr">
        <is>
          <t>Utility and C&amp;I</t>
        </is>
      </c>
      <c r="E230" s="3" t="n"/>
      <c r="F230" s="3" t="inlineStr">
        <is>
          <t>Closed</t>
        </is>
      </c>
      <c r="G230" s="3" t="inlineStr">
        <is>
          <t>Chandrashekar Patidar</t>
        </is>
      </c>
      <c r="H230" s="3" t="n">
        <v>7879764773</v>
      </c>
      <c r="I230" s="11" t="inlineStr">
        <is>
          <t>PE26032601</t>
        </is>
      </c>
      <c r="J230" s="3" t="inlineStr">
        <is>
          <t>Module Diode Failure</t>
        </is>
      </c>
      <c r="K230" s="3" t="inlineStr">
        <is>
          <t>Sadla</t>
        </is>
      </c>
      <c r="L230" s="3" t="inlineStr">
        <is>
          <t>Gujarat</t>
        </is>
      </c>
      <c r="M230" s="9" t="inlineStr">
        <is>
          <t>NS</t>
        </is>
      </c>
      <c r="N230" s="3" t="inlineStr">
        <is>
          <t>Cold Soldering</t>
        </is>
      </c>
      <c r="O230" s="3" t="n">
        <v>570</v>
      </c>
      <c r="P230" s="9" t="inlineStr">
        <is>
          <t>NSMI24060129057</t>
        </is>
      </c>
      <c r="Q230" s="53">
        <f>MID(P230,5,2)</f>
        <v/>
      </c>
      <c r="R230" s="53">
        <f>MID(P230,7,2)</f>
        <v/>
      </c>
      <c r="S230" s="3" t="inlineStr">
        <is>
          <t>G2G</t>
        </is>
      </c>
      <c r="T230" s="3" t="inlineStr">
        <is>
          <t>P4</t>
        </is>
      </c>
      <c r="U230" s="3" t="inlineStr">
        <is>
          <t>N JB Cold Soldering</t>
        </is>
      </c>
      <c r="V230" s="3" t="inlineStr">
        <is>
          <t>Soldering</t>
        </is>
      </c>
      <c r="W230" s="3" t="inlineStr">
        <is>
          <t>Repair</t>
        </is>
      </c>
      <c r="X230" s="18" t="n">
        <v>46146</v>
      </c>
      <c r="Y230" s="3">
        <f>X230-A230</f>
        <v/>
      </c>
      <c r="Z230" s="18" t="n">
        <v>46146</v>
      </c>
      <c r="AA230" s="15" t="n"/>
      <c r="AB230" s="15" t="n"/>
    </row>
    <row r="231" hidden="1" s="233">
      <c r="A231" s="6" t="n">
        <v>46107</v>
      </c>
      <c r="B231" s="3" t="n">
        <v>2026</v>
      </c>
      <c r="C231" s="3" t="inlineStr">
        <is>
          <t>Blupine</t>
        </is>
      </c>
      <c r="D231" s="3" t="inlineStr">
        <is>
          <t>Utility and C&amp;I</t>
        </is>
      </c>
      <c r="E231" s="3" t="n"/>
      <c r="F231" s="3" t="inlineStr">
        <is>
          <t>Closed</t>
        </is>
      </c>
      <c r="G231" s="3" t="inlineStr">
        <is>
          <t>Chandrashekar Patidar</t>
        </is>
      </c>
      <c r="H231" s="3" t="n">
        <v>7879764773</v>
      </c>
      <c r="I231" s="11" t="inlineStr">
        <is>
          <t>PE26032601</t>
        </is>
      </c>
      <c r="J231" s="3" t="inlineStr">
        <is>
          <t>Module Diode Failure</t>
        </is>
      </c>
      <c r="K231" s="3" t="inlineStr">
        <is>
          <t>Sadla</t>
        </is>
      </c>
      <c r="L231" s="3" t="inlineStr">
        <is>
          <t>Gujarat</t>
        </is>
      </c>
      <c r="M231" s="9" t="inlineStr">
        <is>
          <t>NS</t>
        </is>
      </c>
      <c r="N231" s="3" t="inlineStr">
        <is>
          <t>Cold Soldering</t>
        </is>
      </c>
      <c r="O231" s="3" t="n">
        <v>570</v>
      </c>
      <c r="P231" s="9" t="inlineStr">
        <is>
          <t>NSMI24060120078</t>
        </is>
      </c>
      <c r="Q231" s="53">
        <f>MID(P231,5,2)</f>
        <v/>
      </c>
      <c r="R231" s="53">
        <f>MID(P231,7,2)</f>
        <v/>
      </c>
      <c r="S231" s="3" t="inlineStr">
        <is>
          <t>G2G</t>
        </is>
      </c>
      <c r="T231" s="3" t="inlineStr">
        <is>
          <t>P4</t>
        </is>
      </c>
      <c r="U231" s="3" t="inlineStr">
        <is>
          <t>N JB Cold Soldering</t>
        </is>
      </c>
      <c r="V231" s="3" t="inlineStr">
        <is>
          <t>Soldering</t>
        </is>
      </c>
      <c r="W231" s="3" t="inlineStr">
        <is>
          <t>Repair</t>
        </is>
      </c>
      <c r="X231" s="18" t="n">
        <v>46146</v>
      </c>
      <c r="Y231" s="3">
        <f>X231-A231</f>
        <v/>
      </c>
      <c r="Z231" s="18" t="n">
        <v>46146</v>
      </c>
      <c r="AA231" s="15" t="n"/>
      <c r="AB231" s="15" t="n"/>
    </row>
    <row r="232" hidden="1" s="233">
      <c r="A232" s="6" t="n">
        <v>46107</v>
      </c>
      <c r="B232" s="3" t="n">
        <v>2026</v>
      </c>
      <c r="C232" s="3" t="inlineStr">
        <is>
          <t>Blupine</t>
        </is>
      </c>
      <c r="D232" s="3" t="inlineStr">
        <is>
          <t>Utility and C&amp;I</t>
        </is>
      </c>
      <c r="E232" s="3" t="n"/>
      <c r="F232" s="3" t="inlineStr">
        <is>
          <t>Closed</t>
        </is>
      </c>
      <c r="G232" s="3" t="inlineStr">
        <is>
          <t>Chandrashekar Patidar</t>
        </is>
      </c>
      <c r="H232" s="3" t="n">
        <v>7879764773</v>
      </c>
      <c r="I232" s="11" t="inlineStr">
        <is>
          <t>PE26032601</t>
        </is>
      </c>
      <c r="J232" s="3" t="inlineStr">
        <is>
          <t>Module Diode Failure</t>
        </is>
      </c>
      <c r="K232" s="3" t="inlineStr">
        <is>
          <t>Sadla</t>
        </is>
      </c>
      <c r="L232" s="3" t="inlineStr">
        <is>
          <t>Gujarat</t>
        </is>
      </c>
      <c r="M232" s="9" t="inlineStr">
        <is>
          <t>NR</t>
        </is>
      </c>
      <c r="N232" s="3" t="inlineStr">
        <is>
          <t>JB Issue</t>
        </is>
      </c>
      <c r="O232" s="3" t="n">
        <v>570</v>
      </c>
      <c r="P232" s="9" t="inlineStr">
        <is>
          <t>NSMI24050043829</t>
        </is>
      </c>
      <c r="Q232" s="53">
        <f>MID(P232,5,2)</f>
        <v/>
      </c>
      <c r="R232" s="53">
        <f>MID(P232,7,2)</f>
        <v/>
      </c>
      <c r="S232" s="3" t="inlineStr">
        <is>
          <t>G2G</t>
        </is>
      </c>
      <c r="T232" s="3" t="inlineStr">
        <is>
          <t>P4</t>
        </is>
      </c>
      <c r="U232" s="3" t="inlineStr">
        <is>
          <t>N JB Issue</t>
        </is>
      </c>
      <c r="V232" s="3" t="inlineStr">
        <is>
          <t>JB Changed</t>
        </is>
      </c>
      <c r="W232" s="3" t="inlineStr">
        <is>
          <t>Repair</t>
        </is>
      </c>
      <c r="X232" s="18" t="n">
        <v>46146</v>
      </c>
      <c r="Y232" s="3">
        <f>X232-A232</f>
        <v/>
      </c>
      <c r="Z232" s="18" t="n">
        <v>46146</v>
      </c>
      <c r="AA232" s="15" t="n"/>
      <c r="AB232" s="15" t="n"/>
    </row>
    <row r="233" hidden="1" s="233">
      <c r="A233" s="6" t="n">
        <v>46107</v>
      </c>
      <c r="B233" s="3" t="n">
        <v>2026</v>
      </c>
      <c r="C233" s="3" t="inlineStr">
        <is>
          <t>Blupine</t>
        </is>
      </c>
      <c r="D233" s="3" t="inlineStr">
        <is>
          <t>Utility and C&amp;I</t>
        </is>
      </c>
      <c r="E233" s="3" t="n"/>
      <c r="F233" s="3" t="inlineStr">
        <is>
          <t>Closed</t>
        </is>
      </c>
      <c r="G233" s="3" t="inlineStr">
        <is>
          <t>Chandrashekar Patidar</t>
        </is>
      </c>
      <c r="H233" s="3" t="n">
        <v>7879764773</v>
      </c>
      <c r="I233" s="11" t="inlineStr">
        <is>
          <t>PE26032601</t>
        </is>
      </c>
      <c r="J233" s="3" t="inlineStr">
        <is>
          <t>Module Diode Failure</t>
        </is>
      </c>
      <c r="K233" s="3" t="inlineStr">
        <is>
          <t>Sadla</t>
        </is>
      </c>
      <c r="L233" s="3" t="inlineStr">
        <is>
          <t>Gujarat</t>
        </is>
      </c>
      <c r="M233" s="9" t="inlineStr">
        <is>
          <t>NR</t>
        </is>
      </c>
      <c r="N233" s="3" t="inlineStr">
        <is>
          <t>JB Issue</t>
        </is>
      </c>
      <c r="O233" s="3" t="n">
        <v>570</v>
      </c>
      <c r="P233" s="9" t="inlineStr">
        <is>
          <t>NSMI24050043836</t>
        </is>
      </c>
      <c r="Q233" s="53">
        <f>MID(P233,5,2)</f>
        <v/>
      </c>
      <c r="R233" s="53">
        <f>MID(P233,7,2)</f>
        <v/>
      </c>
      <c r="S233" s="3" t="inlineStr">
        <is>
          <t>G2G</t>
        </is>
      </c>
      <c r="T233" s="3" t="inlineStr">
        <is>
          <t>P4</t>
        </is>
      </c>
      <c r="U233" s="3" t="inlineStr">
        <is>
          <t>N JB Issue</t>
        </is>
      </c>
      <c r="V233" s="3" t="inlineStr">
        <is>
          <t>JB Changed</t>
        </is>
      </c>
      <c r="W233" s="3" t="inlineStr">
        <is>
          <t>Repair</t>
        </is>
      </c>
      <c r="X233" s="18" t="n">
        <v>46146</v>
      </c>
      <c r="Y233" s="3">
        <f>X233-A233</f>
        <v/>
      </c>
      <c r="Z233" s="18" t="n">
        <v>46146</v>
      </c>
      <c r="AA233" s="15" t="n"/>
      <c r="AB233" s="15" t="n"/>
    </row>
    <row r="234" hidden="1" s="233">
      <c r="A234" s="6" t="n">
        <v>46107</v>
      </c>
      <c r="B234" s="3" t="n">
        <v>2026</v>
      </c>
      <c r="C234" s="3" t="inlineStr">
        <is>
          <t>Blupine</t>
        </is>
      </c>
      <c r="D234" s="3" t="inlineStr">
        <is>
          <t>Utility and C&amp;I</t>
        </is>
      </c>
      <c r="E234" s="3" t="n"/>
      <c r="F234" s="3" t="inlineStr">
        <is>
          <t>Closed</t>
        </is>
      </c>
      <c r="G234" s="3" t="inlineStr">
        <is>
          <t>Chandrashekar Patidar</t>
        </is>
      </c>
      <c r="H234" s="3" t="n">
        <v>7879764773</v>
      </c>
      <c r="I234" s="11" t="inlineStr">
        <is>
          <t>PE26032601</t>
        </is>
      </c>
      <c r="J234" s="3" t="inlineStr">
        <is>
          <t>Module Diode Failure</t>
        </is>
      </c>
      <c r="K234" s="3" t="inlineStr">
        <is>
          <t>Sadla</t>
        </is>
      </c>
      <c r="L234" s="3" t="inlineStr">
        <is>
          <t>Gujarat</t>
        </is>
      </c>
      <c r="M234" s="9" t="inlineStr">
        <is>
          <t>NR</t>
        </is>
      </c>
      <c r="N234" s="3" t="inlineStr">
        <is>
          <t>JB Issue</t>
        </is>
      </c>
      <c r="O234" s="3" t="n">
        <v>570</v>
      </c>
      <c r="P234" s="9" t="inlineStr">
        <is>
          <t>NSMI24050044554</t>
        </is>
      </c>
      <c r="Q234" s="53">
        <f>MID(P234,5,2)</f>
        <v/>
      </c>
      <c r="R234" s="53">
        <f>MID(P234,7,2)</f>
        <v/>
      </c>
      <c r="S234" s="3" t="inlineStr">
        <is>
          <t>G2G</t>
        </is>
      </c>
      <c r="T234" s="3" t="inlineStr">
        <is>
          <t>P4</t>
        </is>
      </c>
      <c r="U234" s="3" t="inlineStr">
        <is>
          <t>N JB Issue</t>
        </is>
      </c>
      <c r="V234" s="3" t="inlineStr">
        <is>
          <t>JB Changed</t>
        </is>
      </c>
      <c r="W234" s="3" t="inlineStr">
        <is>
          <t>Repair</t>
        </is>
      </c>
      <c r="X234" s="18" t="n">
        <v>46146</v>
      </c>
      <c r="Y234" s="3">
        <f>X234-A234</f>
        <v/>
      </c>
      <c r="Z234" s="18" t="n">
        <v>46146</v>
      </c>
      <c r="AA234" s="15" t="n"/>
      <c r="AB234" s="15" t="n"/>
    </row>
    <row r="235" hidden="1" s="233">
      <c r="A235" s="6" t="n">
        <v>46107</v>
      </c>
      <c r="B235" s="3" t="n">
        <v>2026</v>
      </c>
      <c r="C235" s="3" t="inlineStr">
        <is>
          <t>Blupine</t>
        </is>
      </c>
      <c r="D235" s="3" t="inlineStr">
        <is>
          <t>Utility and C&amp;I</t>
        </is>
      </c>
      <c r="E235" s="3" t="n"/>
      <c r="F235" s="3" t="inlineStr">
        <is>
          <t>Closed</t>
        </is>
      </c>
      <c r="G235" s="3" t="inlineStr">
        <is>
          <t>Chandrashekar Patidar</t>
        </is>
      </c>
      <c r="H235" s="3" t="n">
        <v>7879764773</v>
      </c>
      <c r="I235" s="11" t="inlineStr">
        <is>
          <t>PE26032601</t>
        </is>
      </c>
      <c r="J235" s="3" t="inlineStr">
        <is>
          <t>Module Diode Failure</t>
        </is>
      </c>
      <c r="K235" s="3" t="inlineStr">
        <is>
          <t>Sadla</t>
        </is>
      </c>
      <c r="L235" s="3" t="inlineStr">
        <is>
          <t>Gujarat</t>
        </is>
      </c>
      <c r="M235" s="9" t="inlineStr">
        <is>
          <t>NS</t>
        </is>
      </c>
      <c r="N235" s="3" t="inlineStr">
        <is>
          <t>Cold Soldering</t>
        </is>
      </c>
      <c r="O235" s="3" t="n">
        <v>570</v>
      </c>
      <c r="P235" s="9" t="inlineStr">
        <is>
          <t>NSMI24050044536</t>
        </is>
      </c>
      <c r="Q235" s="53">
        <f>MID(P235,5,2)</f>
        <v/>
      </c>
      <c r="R235" s="53">
        <f>MID(P235,7,2)</f>
        <v/>
      </c>
      <c r="S235" s="3" t="inlineStr">
        <is>
          <t>G2G</t>
        </is>
      </c>
      <c r="T235" s="3" t="inlineStr">
        <is>
          <t>P4</t>
        </is>
      </c>
      <c r="U235" s="3" t="inlineStr">
        <is>
          <t>N JB Cold Soldering</t>
        </is>
      </c>
      <c r="V235" s="3" t="inlineStr">
        <is>
          <t>Soldering</t>
        </is>
      </c>
      <c r="W235" s="3" t="inlineStr">
        <is>
          <t>Repair</t>
        </is>
      </c>
      <c r="X235" s="18" t="n">
        <v>46146</v>
      </c>
      <c r="Y235" s="3">
        <f>X235-A235</f>
        <v/>
      </c>
      <c r="Z235" s="18" t="n">
        <v>46146</v>
      </c>
      <c r="AA235" s="15" t="n"/>
      <c r="AB235" s="15" t="n"/>
    </row>
    <row r="236" hidden="1" s="233">
      <c r="A236" s="37" t="n">
        <v>46139</v>
      </c>
      <c r="B236" s="3" t="n">
        <v>2026</v>
      </c>
      <c r="C236" s="3" t="inlineStr">
        <is>
          <t>TRUE SUN TRADING COMPANY</t>
        </is>
      </c>
      <c r="D236" s="26" t="inlineStr">
        <is>
          <t>Channel Sales</t>
        </is>
      </c>
      <c r="E236" s="3" t="n"/>
      <c r="F236" s="3" t="inlineStr">
        <is>
          <t>Closed</t>
        </is>
      </c>
      <c r="G236" s="26" t="inlineStr">
        <is>
          <t>Joel Jacob</t>
        </is>
      </c>
      <c r="H236" s="26" t="n">
        <v>7902222180</v>
      </c>
      <c r="I236" s="38" t="inlineStr">
        <is>
          <t>PE27042603</t>
        </is>
      </c>
      <c r="J236" s="26" t="inlineStr">
        <is>
          <t xml:space="preserve">Panel Blast </t>
        </is>
      </c>
      <c r="K236" s="26" t="inlineStr">
        <is>
          <t>CHANGANASSERRY</t>
        </is>
      </c>
      <c r="L236" s="26" t="inlineStr">
        <is>
          <t>Kerala</t>
        </is>
      </c>
      <c r="M236" s="9" t="inlineStr">
        <is>
          <t>No Visit</t>
        </is>
      </c>
      <c r="N236" s="26" t="inlineStr">
        <is>
          <t>Tab lead Burn</t>
        </is>
      </c>
      <c r="O236" s="39" t="n">
        <v>540</v>
      </c>
      <c r="P236" s="9" t="inlineStr">
        <is>
          <t>NSMP25080647747</t>
        </is>
      </c>
      <c r="Q236" s="53">
        <f>MID(P236,5,2)</f>
        <v/>
      </c>
      <c r="R236" s="53">
        <f>MID(P236,7,2)</f>
        <v/>
      </c>
      <c r="S236" s="3" t="inlineStr">
        <is>
          <t>G2TB</t>
        </is>
      </c>
      <c r="T236" s="26" t="inlineStr">
        <is>
          <t>P2</t>
        </is>
      </c>
      <c r="U236" s="3" t="inlineStr">
        <is>
          <t>Tab lead Burn</t>
        </is>
      </c>
      <c r="V236" s="3" t="inlineStr">
        <is>
          <t>CN</t>
        </is>
      </c>
      <c r="W236" s="3" t="inlineStr">
        <is>
          <t>Replacement</t>
        </is>
      </c>
      <c r="X236" s="18" t="n">
        <v>46146</v>
      </c>
      <c r="Y236" s="3">
        <f>X236-A236</f>
        <v/>
      </c>
      <c r="Z236" s="18" t="inlineStr">
        <is>
          <t>No Visit</t>
        </is>
      </c>
      <c r="AA236" s="15" t="n"/>
      <c r="AB236" s="15" t="n"/>
    </row>
    <row r="237" hidden="1" s="233">
      <c r="A237" s="40" t="n">
        <v>46107</v>
      </c>
      <c r="B237" s="3" t="n">
        <v>2026</v>
      </c>
      <c r="C237" s="3" t="inlineStr">
        <is>
          <t>Solar Square</t>
        </is>
      </c>
      <c r="D237" s="26" t="inlineStr">
        <is>
          <t>OEM</t>
        </is>
      </c>
      <c r="E237" s="3" t="n"/>
      <c r="F237" s="3" t="inlineStr">
        <is>
          <t>Closed</t>
        </is>
      </c>
      <c r="G237" s="39" t="inlineStr">
        <is>
          <t>Murali</t>
        </is>
      </c>
      <c r="H237" s="39" t="n">
        <v>9703345015</v>
      </c>
      <c r="I237" s="11" t="inlineStr">
        <is>
          <t>PE26032602</t>
        </is>
      </c>
      <c r="J237" s="3" t="inlineStr">
        <is>
          <t>Multiple Defects Identified</t>
        </is>
      </c>
      <c r="K237" s="27" t="inlineStr">
        <is>
          <t>Hyderabad</t>
        </is>
      </c>
      <c r="L237" s="27" t="inlineStr">
        <is>
          <t>Telangana</t>
        </is>
      </c>
      <c r="M237" s="9" t="inlineStr">
        <is>
          <t>No Visit</t>
        </is>
      </c>
      <c r="N237" s="9" t="inlineStr">
        <is>
          <t>Improper Ribbon Soldering</t>
        </is>
      </c>
      <c r="O237" s="39" t="n">
        <v>540</v>
      </c>
      <c r="P237" s="9" t="inlineStr">
        <is>
          <t>NSMP25121224541</t>
        </is>
      </c>
      <c r="Q237" s="53">
        <f>MID(P237,5,2)</f>
        <v/>
      </c>
      <c r="R237" s="53">
        <f>MID(P237,7,2)</f>
        <v/>
      </c>
      <c r="S237" s="3" t="inlineStr">
        <is>
          <t>G2TB</t>
        </is>
      </c>
      <c r="T237" s="26" t="inlineStr">
        <is>
          <t>P2</t>
        </is>
      </c>
      <c r="U237" s="9" t="inlineStr">
        <is>
          <t>Improper Ribbon Soldering</t>
        </is>
      </c>
      <c r="V237" s="3" t="inlineStr">
        <is>
          <t>CN / Replacement</t>
        </is>
      </c>
      <c r="W237" s="3" t="inlineStr">
        <is>
          <t>Replacement</t>
        </is>
      </c>
      <c r="X237" s="18" t="n">
        <v>46146</v>
      </c>
      <c r="Y237" s="3">
        <f>X237-A237</f>
        <v/>
      </c>
      <c r="Z237" s="18" t="inlineStr">
        <is>
          <t>No Visit</t>
        </is>
      </c>
      <c r="AA237" s="15" t="n"/>
      <c r="AB237" s="15" t="n"/>
    </row>
    <row r="238" hidden="1" s="233">
      <c r="A238" s="40" t="n">
        <v>46107</v>
      </c>
      <c r="B238" s="3" t="n">
        <v>2026</v>
      </c>
      <c r="C238" s="3" t="inlineStr">
        <is>
          <t>Solar Square</t>
        </is>
      </c>
      <c r="D238" s="26" t="inlineStr">
        <is>
          <t>OEM</t>
        </is>
      </c>
      <c r="E238" s="3" t="n"/>
      <c r="F238" s="3" t="inlineStr">
        <is>
          <t>Closed</t>
        </is>
      </c>
      <c r="G238" s="39" t="inlineStr">
        <is>
          <t>Murali</t>
        </is>
      </c>
      <c r="H238" s="39" t="n">
        <v>9703345015</v>
      </c>
      <c r="I238" s="11" t="inlineStr">
        <is>
          <t>PE26032602</t>
        </is>
      </c>
      <c r="J238" s="3" t="inlineStr">
        <is>
          <t>Multiple Defects Identified</t>
        </is>
      </c>
      <c r="K238" s="27" t="inlineStr">
        <is>
          <t>Hyderabad</t>
        </is>
      </c>
      <c r="L238" s="27" t="inlineStr">
        <is>
          <t>Telangana</t>
        </is>
      </c>
      <c r="M238" s="9" t="inlineStr">
        <is>
          <t>No Visit</t>
        </is>
      </c>
      <c r="N238" s="9" t="inlineStr">
        <is>
          <t>Forign Particle - Cell Piece</t>
        </is>
      </c>
      <c r="O238" s="39" t="n">
        <v>540</v>
      </c>
      <c r="P238" s="9" t="inlineStr">
        <is>
          <t>NSMP25121227616</t>
        </is>
      </c>
      <c r="Q238" s="53">
        <f>MID(P238,5,2)</f>
        <v/>
      </c>
      <c r="R238" s="53">
        <f>MID(P238,7,2)</f>
        <v/>
      </c>
      <c r="S238" s="3" t="inlineStr">
        <is>
          <t>G2TB</t>
        </is>
      </c>
      <c r="T238" s="26" t="inlineStr">
        <is>
          <t>P2</t>
        </is>
      </c>
      <c r="U238" s="9" t="inlineStr">
        <is>
          <t>Forign Particle - Cell Piece</t>
        </is>
      </c>
      <c r="V238" s="3" t="inlineStr">
        <is>
          <t>CN / Replacement</t>
        </is>
      </c>
      <c r="W238" s="3" t="inlineStr">
        <is>
          <t>Replacement</t>
        </is>
      </c>
      <c r="X238" s="18" t="n">
        <v>46146</v>
      </c>
      <c r="Y238" s="3">
        <f>X238-A238</f>
        <v/>
      </c>
      <c r="Z238" s="18" t="inlineStr">
        <is>
          <t>No Visit</t>
        </is>
      </c>
      <c r="AA238" s="15" t="n"/>
      <c r="AB238" s="15" t="n"/>
    </row>
    <row r="239" hidden="1" s="233">
      <c r="A239" s="40" t="n">
        <v>46107</v>
      </c>
      <c r="B239" s="3" t="n">
        <v>2026</v>
      </c>
      <c r="C239" s="3" t="inlineStr">
        <is>
          <t>Solar Square</t>
        </is>
      </c>
      <c r="D239" s="26" t="inlineStr">
        <is>
          <t>OEM</t>
        </is>
      </c>
      <c r="E239" s="3" t="n"/>
      <c r="F239" s="3" t="inlineStr">
        <is>
          <t>Closed</t>
        </is>
      </c>
      <c r="G239" s="39" t="inlineStr">
        <is>
          <t>Murali</t>
        </is>
      </c>
      <c r="H239" s="39" t="n">
        <v>9703345015</v>
      </c>
      <c r="I239" s="11" t="inlineStr">
        <is>
          <t>PE26032602</t>
        </is>
      </c>
      <c r="J239" s="3" t="inlineStr">
        <is>
          <t>Multiple Defects Identified</t>
        </is>
      </c>
      <c r="K239" s="27" t="inlineStr">
        <is>
          <t>Hyderabad</t>
        </is>
      </c>
      <c r="L239" s="27" t="inlineStr">
        <is>
          <t>Telangana</t>
        </is>
      </c>
      <c r="M239" s="9" t="inlineStr">
        <is>
          <t>No Visit</t>
        </is>
      </c>
      <c r="N239" s="9" t="inlineStr">
        <is>
          <t>Cell Chip</t>
        </is>
      </c>
      <c r="O239" s="39" t="n">
        <v>540</v>
      </c>
      <c r="P239" s="9" t="inlineStr">
        <is>
          <t>NSMP26021318226</t>
        </is>
      </c>
      <c r="Q239" s="53">
        <f>MID(P239,5,2)</f>
        <v/>
      </c>
      <c r="R239" s="53">
        <f>MID(P239,7,2)</f>
        <v/>
      </c>
      <c r="S239" s="3" t="inlineStr">
        <is>
          <t>G2TB</t>
        </is>
      </c>
      <c r="T239" s="26" t="inlineStr">
        <is>
          <t>P2</t>
        </is>
      </c>
      <c r="U239" s="9" t="inlineStr">
        <is>
          <t>Cell Chip</t>
        </is>
      </c>
      <c r="V239" s="3" t="inlineStr">
        <is>
          <t>CN / Replacement</t>
        </is>
      </c>
      <c r="W239" s="3" t="inlineStr">
        <is>
          <t>Replacement</t>
        </is>
      </c>
      <c r="X239" s="18" t="n">
        <v>46146</v>
      </c>
      <c r="Y239" s="3">
        <f>X239-A239</f>
        <v/>
      </c>
      <c r="Z239" s="18" t="inlineStr">
        <is>
          <t>No Visit</t>
        </is>
      </c>
      <c r="AA239" s="15" t="n"/>
      <c r="AB239" s="15" t="n"/>
    </row>
    <row r="240" hidden="1" s="233">
      <c r="A240" s="40" t="n">
        <v>46107</v>
      </c>
      <c r="B240" s="3" t="n">
        <v>2026</v>
      </c>
      <c r="C240" s="3" t="inlineStr">
        <is>
          <t>Solar Square</t>
        </is>
      </c>
      <c r="D240" s="26" t="inlineStr">
        <is>
          <t>OEM</t>
        </is>
      </c>
      <c r="E240" s="3" t="n"/>
      <c r="F240" s="3" t="inlineStr">
        <is>
          <t>Closed</t>
        </is>
      </c>
      <c r="G240" s="39" t="inlineStr">
        <is>
          <t>Murali</t>
        </is>
      </c>
      <c r="H240" s="39" t="n">
        <v>9703345015</v>
      </c>
      <c r="I240" s="11" t="inlineStr">
        <is>
          <t>PE26032602</t>
        </is>
      </c>
      <c r="J240" s="3" t="inlineStr">
        <is>
          <t>Multiple Defects Identified</t>
        </is>
      </c>
      <c r="K240" s="27" t="inlineStr">
        <is>
          <t>Hyderabad</t>
        </is>
      </c>
      <c r="L240" s="27" t="inlineStr">
        <is>
          <t>Telangana</t>
        </is>
      </c>
      <c r="M240" s="9" t="inlineStr">
        <is>
          <t>No Visit</t>
        </is>
      </c>
      <c r="N240" s="9" t="inlineStr">
        <is>
          <t>Cell Crack</t>
        </is>
      </c>
      <c r="O240" s="39" t="n">
        <v>540</v>
      </c>
      <c r="P240" s="9" t="inlineStr">
        <is>
          <t>NSMP26011281494</t>
        </is>
      </c>
      <c r="Q240" s="53">
        <f>MID(P240,5,2)</f>
        <v/>
      </c>
      <c r="R240" s="53">
        <f>MID(P240,7,2)</f>
        <v/>
      </c>
      <c r="S240" s="3" t="inlineStr">
        <is>
          <t>G2TB</t>
        </is>
      </c>
      <c r="T240" s="26" t="inlineStr">
        <is>
          <t>P2</t>
        </is>
      </c>
      <c r="U240" s="9" t="inlineStr">
        <is>
          <t>Cell Crack</t>
        </is>
      </c>
      <c r="V240" s="3" t="inlineStr">
        <is>
          <t>CN / Replacement</t>
        </is>
      </c>
      <c r="W240" s="3" t="inlineStr">
        <is>
          <t>Replacement</t>
        </is>
      </c>
      <c r="X240" s="18" t="n">
        <v>46146</v>
      </c>
      <c r="Y240" s="3">
        <f>X240-A240</f>
        <v/>
      </c>
      <c r="Z240" s="18" t="inlineStr">
        <is>
          <t>No Visit</t>
        </is>
      </c>
      <c r="AA240" s="15" t="n"/>
      <c r="AB240" s="15" t="n"/>
    </row>
    <row r="241" hidden="1" s="233">
      <c r="A241" s="37" t="n">
        <v>46141</v>
      </c>
      <c r="B241" s="3" t="n">
        <v>2026</v>
      </c>
      <c r="C241" s="26" t="inlineStr">
        <is>
          <t>Solar Square</t>
        </is>
      </c>
      <c r="D241" s="26" t="inlineStr">
        <is>
          <t>OEM</t>
        </is>
      </c>
      <c r="E241" s="3" t="n"/>
      <c r="F241" s="3" t="inlineStr">
        <is>
          <t>Closed</t>
        </is>
      </c>
      <c r="G241" s="39" t="inlineStr">
        <is>
          <t>Murali</t>
        </is>
      </c>
      <c r="H241" s="39" t="n">
        <v>9703345015</v>
      </c>
      <c r="I241" s="38" t="inlineStr">
        <is>
          <t>PE30042601</t>
        </is>
      </c>
      <c r="J241" s="26" t="inlineStr">
        <is>
          <t>JB Melting</t>
        </is>
      </c>
      <c r="K241" s="26" t="inlineStr">
        <is>
          <t>Kanpur</t>
        </is>
      </c>
      <c r="L241" s="26" t="inlineStr">
        <is>
          <t>UP</t>
        </is>
      </c>
      <c r="M241" s="26" t="inlineStr">
        <is>
          <t>N JB Burn marks observed</t>
        </is>
      </c>
      <c r="N241" s="26" t="inlineStr">
        <is>
          <t>JB Issue</t>
        </is>
      </c>
      <c r="O241" s="39" t="n">
        <v>540</v>
      </c>
      <c r="P241" s="9" t="inlineStr">
        <is>
          <t>NSMP26011281961</t>
        </is>
      </c>
      <c r="Q241" s="53">
        <f>MID(P241,5,2)</f>
        <v/>
      </c>
      <c r="R241" s="53">
        <f>MID(P241,7,2)</f>
        <v/>
      </c>
      <c r="S241" s="3" t="inlineStr">
        <is>
          <t>G2TB</t>
        </is>
      </c>
      <c r="T241" s="3" t="inlineStr">
        <is>
          <t>P2</t>
        </is>
      </c>
      <c r="U241" s="3" t="inlineStr">
        <is>
          <t>N JB Issue</t>
        </is>
      </c>
      <c r="V241" s="3" t="inlineStr">
        <is>
          <t>JB Changed</t>
        </is>
      </c>
      <c r="W241" s="3" t="inlineStr">
        <is>
          <t>Repair</t>
        </is>
      </c>
      <c r="X241" s="18" t="n">
        <v>46147</v>
      </c>
      <c r="Y241" s="3">
        <f>X241-A241</f>
        <v/>
      </c>
      <c r="Z241" s="18" t="n">
        <v>46147</v>
      </c>
      <c r="AA241" s="19" t="n"/>
      <c r="AB241" s="19" t="n"/>
    </row>
    <row r="242" hidden="1" s="233">
      <c r="A242" s="37" t="n">
        <v>46141</v>
      </c>
      <c r="B242" s="3" t="n">
        <v>2026</v>
      </c>
      <c r="C242" s="26" t="inlineStr">
        <is>
          <t>Solar Square</t>
        </is>
      </c>
      <c r="D242" s="26" t="inlineStr">
        <is>
          <t>OEM</t>
        </is>
      </c>
      <c r="E242" s="3" t="n"/>
      <c r="F242" s="3" t="inlineStr">
        <is>
          <t>Closed</t>
        </is>
      </c>
      <c r="G242" s="39" t="inlineStr">
        <is>
          <t>Murali</t>
        </is>
      </c>
      <c r="H242" s="39" t="n">
        <v>9703345015</v>
      </c>
      <c r="I242" s="4" t="inlineStr">
        <is>
          <t>PE29042602</t>
        </is>
      </c>
      <c r="J242" s="26" t="inlineStr">
        <is>
          <t>JB improper fixing</t>
        </is>
      </c>
      <c r="K242" s="26" t="inlineStr">
        <is>
          <t>Jabalpur</t>
        </is>
      </c>
      <c r="L242" s="26" t="inlineStr">
        <is>
          <t>MP</t>
        </is>
      </c>
      <c r="M242" s="26" t="inlineStr">
        <is>
          <t>M JB improper fixing</t>
        </is>
      </c>
      <c r="N242" s="26" t="inlineStr">
        <is>
          <t>JB Issue</t>
        </is>
      </c>
      <c r="O242" s="39" t="n">
        <v>540</v>
      </c>
      <c r="P242" s="9" t="inlineStr">
        <is>
          <t>NSMP26021300699</t>
        </is>
      </c>
      <c r="Q242" s="53">
        <f>MID(P242,5,2)</f>
        <v/>
      </c>
      <c r="R242" s="53">
        <f>MID(P242,7,2)</f>
        <v/>
      </c>
      <c r="S242" s="3" t="inlineStr">
        <is>
          <t>G2TB</t>
        </is>
      </c>
      <c r="T242" s="3" t="inlineStr">
        <is>
          <t>P2</t>
        </is>
      </c>
      <c r="U242" s="3" t="inlineStr">
        <is>
          <t>M JB Issue</t>
        </is>
      </c>
      <c r="V242" s="3" t="inlineStr">
        <is>
          <t>JB Changed</t>
        </is>
      </c>
      <c r="W242" s="3" t="inlineStr">
        <is>
          <t>Repair</t>
        </is>
      </c>
      <c r="X242" s="18" t="n">
        <v>46147</v>
      </c>
      <c r="Y242" s="3">
        <f>X242-A242</f>
        <v/>
      </c>
      <c r="Z242" s="18" t="n">
        <v>46147</v>
      </c>
      <c r="AA242" s="19" t="n"/>
      <c r="AB242" s="19" t="n"/>
    </row>
    <row r="243" hidden="1" s="233">
      <c r="A243" s="40" t="n">
        <v>46121</v>
      </c>
      <c r="B243" s="3" t="n">
        <v>2026</v>
      </c>
      <c r="C243" s="26" t="inlineStr">
        <is>
          <t>Solar Square</t>
        </is>
      </c>
      <c r="D243" s="26" t="inlineStr">
        <is>
          <t>OEM</t>
        </is>
      </c>
      <c r="E243" s="3" t="n"/>
      <c r="F243" s="3" t="inlineStr">
        <is>
          <t>Closed</t>
        </is>
      </c>
      <c r="G243" s="39" t="inlineStr">
        <is>
          <t>Murali</t>
        </is>
      </c>
      <c r="H243" s="39" t="n">
        <v>9703345015</v>
      </c>
      <c r="I243" s="43" t="inlineStr">
        <is>
          <t>PE09042601</t>
        </is>
      </c>
      <c r="J243" s="26" t="inlineStr">
        <is>
          <t>Low VOC</t>
        </is>
      </c>
      <c r="K243" s="26" t="inlineStr">
        <is>
          <t>Jabalpur</t>
        </is>
      </c>
      <c r="L243" s="26" t="inlineStr">
        <is>
          <t>MP</t>
        </is>
      </c>
      <c r="M243" s="9" t="inlineStr">
        <is>
          <t>All JB Issue</t>
        </is>
      </c>
      <c r="N243" s="3" t="inlineStr">
        <is>
          <t>JB Issue</t>
        </is>
      </c>
      <c r="O243" s="39" t="n">
        <v>540</v>
      </c>
      <c r="P243" s="19" t="inlineStr">
        <is>
          <t>NSMP2312989304</t>
        </is>
      </c>
      <c r="Q243" s="53">
        <f>MID(P243,5,2)</f>
        <v/>
      </c>
      <c r="R243" s="53">
        <f>MID(P243,7,2)</f>
        <v/>
      </c>
      <c r="S243" s="3" t="inlineStr">
        <is>
          <t>G2TB</t>
        </is>
      </c>
      <c r="T243" s="3" t="inlineStr">
        <is>
          <t>P2</t>
        </is>
      </c>
      <c r="U243" s="3" t="inlineStr">
        <is>
          <t>All JB Issue</t>
        </is>
      </c>
      <c r="V243" s="3" t="inlineStr">
        <is>
          <t>JB Changed</t>
        </is>
      </c>
      <c r="W243" s="3" t="inlineStr">
        <is>
          <t>Repair</t>
        </is>
      </c>
      <c r="X243" s="18" t="n">
        <v>46147</v>
      </c>
      <c r="Y243" s="3">
        <f>X243-A243</f>
        <v/>
      </c>
      <c r="Z243" s="18" t="n">
        <v>46147</v>
      </c>
      <c r="AA243" s="19" t="n"/>
      <c r="AB243" s="19" t="n"/>
    </row>
    <row r="244" hidden="1" s="233">
      <c r="A244" s="2" t="n">
        <v>46106</v>
      </c>
      <c r="B244" s="3" t="n">
        <v>2026</v>
      </c>
      <c r="C244" s="3" t="inlineStr">
        <is>
          <t>First Energy</t>
        </is>
      </c>
      <c r="D244" s="3" t="inlineStr">
        <is>
          <t>Utility and C&amp;I</t>
        </is>
      </c>
      <c r="E244" s="3" t="n"/>
      <c r="F244" s="3" t="inlineStr">
        <is>
          <t>WIP</t>
        </is>
      </c>
      <c r="G244" s="3" t="inlineStr">
        <is>
          <t>Mr. Gaurav</t>
        </is>
      </c>
      <c r="H244" s="3" t="n">
        <v>9979185999</v>
      </c>
      <c r="I244" s="11" t="inlineStr">
        <is>
          <t>PE25032601</t>
        </is>
      </c>
      <c r="J244" s="9" t="inlineStr">
        <is>
          <t>Module Defects</t>
        </is>
      </c>
      <c r="K244" s="3" t="inlineStr">
        <is>
          <t>Rajkot</t>
        </is>
      </c>
      <c r="L244" s="3" t="inlineStr">
        <is>
          <t>Gujarat</t>
        </is>
      </c>
      <c r="M244" s="9" t="inlineStr">
        <is>
          <t xml:space="preserve">hotspot found </t>
        </is>
      </c>
      <c r="N244" s="19" t="inlineStr">
        <is>
          <t>Hotspot</t>
        </is>
      </c>
      <c r="O244" s="3" t="n">
        <v>550</v>
      </c>
      <c r="P244" s="9" t="inlineStr">
        <is>
          <t>NSMP2301294252</t>
        </is>
      </c>
      <c r="Q244" s="53">
        <f>MID(P244,5,2)</f>
        <v/>
      </c>
      <c r="R244" s="53">
        <f>MID(P244,7,2)</f>
        <v/>
      </c>
      <c r="S244" s="3" t="inlineStr">
        <is>
          <t>G2TB</t>
        </is>
      </c>
      <c r="T244" s="3" t="inlineStr">
        <is>
          <t>P2</t>
        </is>
      </c>
      <c r="U244" s="9" t="inlineStr">
        <is>
          <t>Single Cell Hotspot</t>
        </is>
      </c>
      <c r="V244" s="3" t="inlineStr">
        <is>
          <t>Inspection</t>
        </is>
      </c>
      <c r="W244" s="3" t="inlineStr">
        <is>
          <t>WIP</t>
        </is>
      </c>
      <c r="X244" s="5" t="n"/>
      <c r="Y244" s="3">
        <f>X244-A244</f>
        <v/>
      </c>
      <c r="Z244" s="18" t="n">
        <v>46147</v>
      </c>
      <c r="AA244" s="15" t="n"/>
      <c r="AB244" s="15" t="n"/>
    </row>
    <row r="245" hidden="1" s="233">
      <c r="A245" s="2" t="n">
        <v>46106</v>
      </c>
      <c r="B245" s="3" t="n">
        <v>2026</v>
      </c>
      <c r="C245" s="3" t="inlineStr">
        <is>
          <t>First Energy</t>
        </is>
      </c>
      <c r="D245" s="3" t="inlineStr">
        <is>
          <t>Utility and C&amp;I</t>
        </is>
      </c>
      <c r="E245" s="3" t="n"/>
      <c r="F245" s="3" t="inlineStr">
        <is>
          <t>WIP</t>
        </is>
      </c>
      <c r="G245" s="3" t="inlineStr">
        <is>
          <t>Mr. Gaurav</t>
        </is>
      </c>
      <c r="H245" s="3" t="n">
        <v>9979185999</v>
      </c>
      <c r="I245" s="11" t="inlineStr">
        <is>
          <t>PE25032601</t>
        </is>
      </c>
      <c r="J245" s="9" t="inlineStr">
        <is>
          <t>Module Defects</t>
        </is>
      </c>
      <c r="K245" s="3" t="inlineStr">
        <is>
          <t>Rajkot</t>
        </is>
      </c>
      <c r="L245" s="3" t="inlineStr">
        <is>
          <t>Gujarat</t>
        </is>
      </c>
      <c r="M245" s="9" t="inlineStr">
        <is>
          <t xml:space="preserve">hotspot found </t>
        </is>
      </c>
      <c r="N245" s="19" t="inlineStr">
        <is>
          <t>Hotspot</t>
        </is>
      </c>
      <c r="O245" s="3" t="n">
        <v>550</v>
      </c>
      <c r="P245" s="9" t="inlineStr">
        <is>
          <t>NSMP2301296035</t>
        </is>
      </c>
      <c r="Q245" s="53">
        <f>MID(P245,5,2)</f>
        <v/>
      </c>
      <c r="R245" s="53">
        <f>MID(P245,7,2)</f>
        <v/>
      </c>
      <c r="S245" s="3" t="inlineStr">
        <is>
          <t>G2TB</t>
        </is>
      </c>
      <c r="T245" s="3" t="inlineStr">
        <is>
          <t>P2</t>
        </is>
      </c>
      <c r="U245" s="9" t="inlineStr">
        <is>
          <t>Multi Cell Hotspot</t>
        </is>
      </c>
      <c r="V245" s="3" t="inlineStr">
        <is>
          <t>Inspection</t>
        </is>
      </c>
      <c r="W245" s="3" t="inlineStr">
        <is>
          <t>WIP</t>
        </is>
      </c>
      <c r="X245" s="5" t="n"/>
      <c r="Y245" s="3">
        <f>X245-A245</f>
        <v/>
      </c>
      <c r="Z245" s="18" t="n">
        <v>46147</v>
      </c>
      <c r="AA245" s="15" t="n"/>
      <c r="AB245" s="15" t="n"/>
    </row>
    <row r="246" hidden="1" s="233">
      <c r="A246" s="2" t="n">
        <v>46106</v>
      </c>
      <c r="B246" s="3" t="n">
        <v>2026</v>
      </c>
      <c r="C246" s="3" t="inlineStr">
        <is>
          <t>First Energy</t>
        </is>
      </c>
      <c r="D246" s="3" t="inlineStr">
        <is>
          <t>Utility and C&amp;I</t>
        </is>
      </c>
      <c r="E246" s="3" t="n"/>
      <c r="F246" s="3" t="inlineStr">
        <is>
          <t>WIP</t>
        </is>
      </c>
      <c r="G246" s="3" t="inlineStr">
        <is>
          <t>Mr. Gaurav</t>
        </is>
      </c>
      <c r="H246" s="3" t="n">
        <v>9979185999</v>
      </c>
      <c r="I246" s="11" t="inlineStr">
        <is>
          <t>PE25032601</t>
        </is>
      </c>
      <c r="J246" s="9" t="inlineStr">
        <is>
          <t>Module Defects</t>
        </is>
      </c>
      <c r="K246" s="3" t="inlineStr">
        <is>
          <t>Rajkot</t>
        </is>
      </c>
      <c r="L246" s="3" t="inlineStr">
        <is>
          <t>Gujarat</t>
        </is>
      </c>
      <c r="M246" s="9" t="inlineStr">
        <is>
          <t xml:space="preserve">hotspot found </t>
        </is>
      </c>
      <c r="N246" s="19" t="inlineStr">
        <is>
          <t>Hotspot</t>
        </is>
      </c>
      <c r="O246" s="3" t="n">
        <v>550</v>
      </c>
      <c r="P246" s="9" t="inlineStr">
        <is>
          <t>NSMP2301334272</t>
        </is>
      </c>
      <c r="Q246" s="53">
        <f>MID(P246,5,2)</f>
        <v/>
      </c>
      <c r="R246" s="53">
        <f>MID(P246,7,2)</f>
        <v/>
      </c>
      <c r="S246" s="3" t="inlineStr">
        <is>
          <t>G2TB</t>
        </is>
      </c>
      <c r="T246" s="3" t="inlineStr">
        <is>
          <t>P2</t>
        </is>
      </c>
      <c r="U246" s="9" t="inlineStr">
        <is>
          <t>Multi Cell Hotspot</t>
        </is>
      </c>
      <c r="V246" s="3" t="inlineStr">
        <is>
          <t>Inspection</t>
        </is>
      </c>
      <c r="W246" s="3" t="inlineStr">
        <is>
          <t>WIP</t>
        </is>
      </c>
      <c r="X246" s="5" t="n"/>
      <c r="Y246" s="3">
        <f>X246-A246</f>
        <v/>
      </c>
      <c r="Z246" s="18" t="n">
        <v>46147</v>
      </c>
      <c r="AA246" s="15" t="n"/>
      <c r="AB246" s="15" t="n"/>
    </row>
    <row r="247" hidden="1" s="233">
      <c r="A247" s="2" t="n">
        <v>46106</v>
      </c>
      <c r="B247" s="3" t="n">
        <v>2026</v>
      </c>
      <c r="C247" s="3" t="inlineStr">
        <is>
          <t>First Energy</t>
        </is>
      </c>
      <c r="D247" s="3" t="inlineStr">
        <is>
          <t>Utility and C&amp;I</t>
        </is>
      </c>
      <c r="E247" s="3" t="n"/>
      <c r="F247" s="3" t="inlineStr">
        <is>
          <t>WIP</t>
        </is>
      </c>
      <c r="G247" s="3" t="inlineStr">
        <is>
          <t>Mr. Gaurav</t>
        </is>
      </c>
      <c r="H247" s="3" t="n">
        <v>9979185999</v>
      </c>
      <c r="I247" s="11" t="inlineStr">
        <is>
          <t>PE25032601</t>
        </is>
      </c>
      <c r="J247" s="9" t="inlineStr">
        <is>
          <t>Module Defects</t>
        </is>
      </c>
      <c r="K247" s="3" t="inlineStr">
        <is>
          <t>Rajkot</t>
        </is>
      </c>
      <c r="L247" s="3" t="inlineStr">
        <is>
          <t>Gujarat</t>
        </is>
      </c>
      <c r="M247" s="9" t="inlineStr">
        <is>
          <t xml:space="preserve">hotspot found </t>
        </is>
      </c>
      <c r="N247" s="19" t="inlineStr">
        <is>
          <t>Hotspot</t>
        </is>
      </c>
      <c r="O247" s="3" t="n">
        <v>550</v>
      </c>
      <c r="P247" s="9" t="inlineStr">
        <is>
          <t>NSMP2301334314</t>
        </is>
      </c>
      <c r="Q247" s="53">
        <f>MID(P247,5,2)</f>
        <v/>
      </c>
      <c r="R247" s="53">
        <f>MID(P247,7,2)</f>
        <v/>
      </c>
      <c r="S247" s="3" t="inlineStr">
        <is>
          <t>G2TB</t>
        </is>
      </c>
      <c r="T247" s="3" t="inlineStr">
        <is>
          <t>P2</t>
        </is>
      </c>
      <c r="U247" s="9" t="inlineStr">
        <is>
          <t>Multi Cell Hotspot</t>
        </is>
      </c>
      <c r="V247" s="3" t="inlineStr">
        <is>
          <t>Inspection</t>
        </is>
      </c>
      <c r="W247" s="3" t="inlineStr">
        <is>
          <t>WIP</t>
        </is>
      </c>
      <c r="X247" s="5" t="n"/>
      <c r="Y247" s="3">
        <f>X247-A247</f>
        <v/>
      </c>
      <c r="Z247" s="18" t="n">
        <v>46147</v>
      </c>
      <c r="AA247" s="15" t="n"/>
      <c r="AB247" s="15" t="n"/>
    </row>
    <row r="248" hidden="1" s="233">
      <c r="A248" s="2" t="n">
        <v>46106</v>
      </c>
      <c r="B248" s="3" t="n">
        <v>2026</v>
      </c>
      <c r="C248" s="3" t="inlineStr">
        <is>
          <t>First Energy</t>
        </is>
      </c>
      <c r="D248" s="3" t="inlineStr">
        <is>
          <t>Utility and C&amp;I</t>
        </is>
      </c>
      <c r="E248" s="3" t="n"/>
      <c r="F248" s="3" t="inlineStr">
        <is>
          <t>WIP</t>
        </is>
      </c>
      <c r="G248" s="3" t="inlineStr">
        <is>
          <t>Mr. Gaurav</t>
        </is>
      </c>
      <c r="H248" s="3" t="n">
        <v>9979185999</v>
      </c>
      <c r="I248" s="11" t="inlineStr">
        <is>
          <t>PE25032601</t>
        </is>
      </c>
      <c r="J248" s="9" t="inlineStr">
        <is>
          <t>Module Defects</t>
        </is>
      </c>
      <c r="K248" s="3" t="inlineStr">
        <is>
          <t>Rajkot</t>
        </is>
      </c>
      <c r="L248" s="3" t="inlineStr">
        <is>
          <t>Gujarat</t>
        </is>
      </c>
      <c r="M248" s="9" t="inlineStr">
        <is>
          <t xml:space="preserve">hotspot found </t>
        </is>
      </c>
      <c r="N248" s="19" t="inlineStr">
        <is>
          <t>Hotspot</t>
        </is>
      </c>
      <c r="O248" s="3" t="n">
        <v>550</v>
      </c>
      <c r="P248" s="9" t="inlineStr">
        <is>
          <t>NSMP2301296631</t>
        </is>
      </c>
      <c r="Q248" s="53">
        <f>MID(P248,5,2)</f>
        <v/>
      </c>
      <c r="R248" s="53">
        <f>MID(P248,7,2)</f>
        <v/>
      </c>
      <c r="S248" s="3" t="inlineStr">
        <is>
          <t>G2TB</t>
        </is>
      </c>
      <c r="T248" s="3" t="inlineStr">
        <is>
          <t>P2</t>
        </is>
      </c>
      <c r="U248" s="9" t="inlineStr">
        <is>
          <t>Single Cell Hotspot</t>
        </is>
      </c>
      <c r="V248" s="3" t="inlineStr">
        <is>
          <t>Inspection</t>
        </is>
      </c>
      <c r="W248" s="3" t="inlineStr">
        <is>
          <t>WIP</t>
        </is>
      </c>
      <c r="X248" s="5" t="n"/>
      <c r="Y248" s="3">
        <f>X248-A248</f>
        <v/>
      </c>
      <c r="Z248" s="18" t="n">
        <v>46147</v>
      </c>
      <c r="AA248" s="15" t="n"/>
      <c r="AB248" s="15" t="n"/>
    </row>
    <row r="249" hidden="1" s="233">
      <c r="A249" s="2" t="n">
        <v>46106</v>
      </c>
      <c r="B249" s="3" t="n">
        <v>2026</v>
      </c>
      <c r="C249" s="3" t="inlineStr">
        <is>
          <t>First Energy</t>
        </is>
      </c>
      <c r="D249" s="3" t="inlineStr">
        <is>
          <t>Utility and C&amp;I</t>
        </is>
      </c>
      <c r="E249" s="3" t="n"/>
      <c r="F249" s="3" t="inlineStr">
        <is>
          <t>WIP</t>
        </is>
      </c>
      <c r="G249" s="3" t="inlineStr">
        <is>
          <t>Mr. Gaurav</t>
        </is>
      </c>
      <c r="H249" s="3" t="n">
        <v>9979185999</v>
      </c>
      <c r="I249" s="11" t="inlineStr">
        <is>
          <t>PE25032601</t>
        </is>
      </c>
      <c r="J249" s="9" t="inlineStr">
        <is>
          <t>Module Defects</t>
        </is>
      </c>
      <c r="K249" s="3" t="inlineStr">
        <is>
          <t>Rajkot</t>
        </is>
      </c>
      <c r="L249" s="3" t="inlineStr">
        <is>
          <t>Gujarat</t>
        </is>
      </c>
      <c r="M249" s="9" t="inlineStr">
        <is>
          <t xml:space="preserve">hotspot found </t>
        </is>
      </c>
      <c r="N249" s="19" t="inlineStr">
        <is>
          <t>Hotspot</t>
        </is>
      </c>
      <c r="O249" s="3" t="n">
        <v>550</v>
      </c>
      <c r="P249" s="9" t="inlineStr">
        <is>
          <t>NSMP2301296078</t>
        </is>
      </c>
      <c r="Q249" s="53">
        <f>MID(P249,5,2)</f>
        <v/>
      </c>
      <c r="R249" s="53">
        <f>MID(P249,7,2)</f>
        <v/>
      </c>
      <c r="S249" s="3" t="inlineStr">
        <is>
          <t>G2TB</t>
        </is>
      </c>
      <c r="T249" s="3" t="inlineStr">
        <is>
          <t>P2</t>
        </is>
      </c>
      <c r="U249" s="9" t="inlineStr">
        <is>
          <t>Single Cell Hotspot</t>
        </is>
      </c>
      <c r="V249" s="3" t="inlineStr">
        <is>
          <t>Inspection</t>
        </is>
      </c>
      <c r="W249" s="3" t="inlineStr">
        <is>
          <t>WIP</t>
        </is>
      </c>
      <c r="X249" s="5" t="n"/>
      <c r="Y249" s="3">
        <f>X249-A249</f>
        <v/>
      </c>
      <c r="Z249" s="18" t="n">
        <v>46147</v>
      </c>
      <c r="AA249" s="15" t="n"/>
      <c r="AB249" s="15" t="n"/>
    </row>
    <row r="250" hidden="1" s="233">
      <c r="A250" s="2" t="n">
        <v>46106</v>
      </c>
      <c r="B250" s="3" t="n">
        <v>2026</v>
      </c>
      <c r="C250" s="3" t="inlineStr">
        <is>
          <t>First Energy</t>
        </is>
      </c>
      <c r="D250" s="3" t="inlineStr">
        <is>
          <t>Utility and C&amp;I</t>
        </is>
      </c>
      <c r="E250" s="3" t="n"/>
      <c r="F250" s="3" t="inlineStr">
        <is>
          <t>WIP</t>
        </is>
      </c>
      <c r="G250" s="3" t="inlineStr">
        <is>
          <t>Mr. Gaurav</t>
        </is>
      </c>
      <c r="H250" s="3" t="n">
        <v>9979185999</v>
      </c>
      <c r="I250" s="11" t="inlineStr">
        <is>
          <t>PE25032601</t>
        </is>
      </c>
      <c r="J250" s="9" t="inlineStr">
        <is>
          <t>Module Defects</t>
        </is>
      </c>
      <c r="K250" s="3" t="inlineStr">
        <is>
          <t>Rajkot</t>
        </is>
      </c>
      <c r="L250" s="3" t="inlineStr">
        <is>
          <t>Gujarat</t>
        </is>
      </c>
      <c r="M250" s="9" t="inlineStr">
        <is>
          <t xml:space="preserve">hotspot found </t>
        </is>
      </c>
      <c r="N250" s="19" t="inlineStr">
        <is>
          <t>Hotspot</t>
        </is>
      </c>
      <c r="O250" s="3" t="n">
        <v>550</v>
      </c>
      <c r="P250" s="9" t="inlineStr">
        <is>
          <t>NSMP2301296069</t>
        </is>
      </c>
      <c r="Q250" s="53">
        <f>MID(P250,5,2)</f>
        <v/>
      </c>
      <c r="R250" s="53">
        <f>MID(P250,7,2)</f>
        <v/>
      </c>
      <c r="S250" s="3" t="inlineStr">
        <is>
          <t>G2TB</t>
        </is>
      </c>
      <c r="T250" s="3" t="inlineStr">
        <is>
          <t>P2</t>
        </is>
      </c>
      <c r="U250" s="9" t="inlineStr">
        <is>
          <t>Single Cell Hotspot</t>
        </is>
      </c>
      <c r="V250" s="3" t="inlineStr">
        <is>
          <t>Inspection</t>
        </is>
      </c>
      <c r="W250" s="3" t="inlineStr">
        <is>
          <t>WIP</t>
        </is>
      </c>
      <c r="X250" s="5" t="n"/>
      <c r="Y250" s="3">
        <f>X250-A250</f>
        <v/>
      </c>
      <c r="Z250" s="18" t="n">
        <v>46147</v>
      </c>
      <c r="AA250" s="15" t="n"/>
      <c r="AB250" s="15" t="n"/>
    </row>
    <row r="251" hidden="1" s="233">
      <c r="A251" s="2" t="n">
        <v>46106</v>
      </c>
      <c r="B251" s="3" t="n">
        <v>2026</v>
      </c>
      <c r="C251" s="3" t="inlineStr">
        <is>
          <t>First Energy</t>
        </is>
      </c>
      <c r="D251" s="3" t="inlineStr">
        <is>
          <t>Utility and C&amp;I</t>
        </is>
      </c>
      <c r="E251" s="3" t="n"/>
      <c r="F251" s="3" t="inlineStr">
        <is>
          <t>WIP</t>
        </is>
      </c>
      <c r="G251" s="3" t="inlineStr">
        <is>
          <t>Mr. Gaurav</t>
        </is>
      </c>
      <c r="H251" s="3" t="n">
        <v>9979185999</v>
      </c>
      <c r="I251" s="11" t="inlineStr">
        <is>
          <t>PE25032601</t>
        </is>
      </c>
      <c r="J251" s="9" t="inlineStr">
        <is>
          <t>Module Defects</t>
        </is>
      </c>
      <c r="K251" s="3" t="inlineStr">
        <is>
          <t>Rajkot</t>
        </is>
      </c>
      <c r="L251" s="3" t="inlineStr">
        <is>
          <t>Gujarat</t>
        </is>
      </c>
      <c r="M251" s="9" t="inlineStr">
        <is>
          <t xml:space="preserve">hotspot found </t>
        </is>
      </c>
      <c r="N251" s="19" t="inlineStr">
        <is>
          <t>Hotspot</t>
        </is>
      </c>
      <c r="O251" s="3" t="n">
        <v>550</v>
      </c>
      <c r="P251" s="9" t="inlineStr">
        <is>
          <t>NSMP2301312023</t>
        </is>
      </c>
      <c r="Q251" s="53">
        <f>MID(P251,5,2)</f>
        <v/>
      </c>
      <c r="R251" s="53">
        <f>MID(P251,7,2)</f>
        <v/>
      </c>
      <c r="S251" s="3" t="inlineStr">
        <is>
          <t>G2TB</t>
        </is>
      </c>
      <c r="T251" s="3" t="inlineStr">
        <is>
          <t>P2</t>
        </is>
      </c>
      <c r="U251" s="9" t="inlineStr">
        <is>
          <t>Multi Cell Hotspot</t>
        </is>
      </c>
      <c r="V251" s="3" t="inlineStr">
        <is>
          <t>Inspection</t>
        </is>
      </c>
      <c r="W251" s="3" t="inlineStr">
        <is>
          <t>WIP</t>
        </is>
      </c>
      <c r="X251" s="5" t="n"/>
      <c r="Y251" s="3">
        <f>X251-A251</f>
        <v/>
      </c>
      <c r="Z251" s="18" t="n">
        <v>46147</v>
      </c>
      <c r="AA251" s="15" t="n"/>
      <c r="AB251" s="15" t="n"/>
    </row>
    <row r="252" hidden="1" s="233">
      <c r="A252" s="2" t="n">
        <v>46106</v>
      </c>
      <c r="B252" s="3" t="n">
        <v>2026</v>
      </c>
      <c r="C252" s="3" t="inlineStr">
        <is>
          <t>First Energy</t>
        </is>
      </c>
      <c r="D252" s="3" t="inlineStr">
        <is>
          <t>Utility and C&amp;I</t>
        </is>
      </c>
      <c r="E252" s="3" t="n"/>
      <c r="F252" s="3" t="inlineStr">
        <is>
          <t>WIP</t>
        </is>
      </c>
      <c r="G252" s="3" t="inlineStr">
        <is>
          <t>Mr. Gaurav</t>
        </is>
      </c>
      <c r="H252" s="3" t="n">
        <v>9979185999</v>
      </c>
      <c r="I252" s="11" t="inlineStr">
        <is>
          <t>PE25032601</t>
        </is>
      </c>
      <c r="J252" s="9" t="inlineStr">
        <is>
          <t>Module Defects</t>
        </is>
      </c>
      <c r="K252" s="3" t="inlineStr">
        <is>
          <t>Rajkot</t>
        </is>
      </c>
      <c r="L252" s="3" t="inlineStr">
        <is>
          <t>Gujarat</t>
        </is>
      </c>
      <c r="M252" s="9" t="inlineStr">
        <is>
          <t xml:space="preserve">hotspot found </t>
        </is>
      </c>
      <c r="N252" s="19" t="inlineStr">
        <is>
          <t>Hotspot</t>
        </is>
      </c>
      <c r="O252" s="3" t="n">
        <v>550</v>
      </c>
      <c r="P252" s="9" t="inlineStr">
        <is>
          <t>NSMP2301325458</t>
        </is>
      </c>
      <c r="Q252" s="53">
        <f>MID(P252,5,2)</f>
        <v/>
      </c>
      <c r="R252" s="53">
        <f>MID(P252,7,2)</f>
        <v/>
      </c>
      <c r="S252" s="3" t="inlineStr">
        <is>
          <t>G2TB</t>
        </is>
      </c>
      <c r="T252" s="3" t="inlineStr">
        <is>
          <t>P2</t>
        </is>
      </c>
      <c r="U252" s="9" t="inlineStr">
        <is>
          <t>Multi Cell Hotspot</t>
        </is>
      </c>
      <c r="V252" s="3" t="inlineStr">
        <is>
          <t>Inspection</t>
        </is>
      </c>
      <c r="W252" s="3" t="inlineStr">
        <is>
          <t>WIP</t>
        </is>
      </c>
      <c r="X252" s="5" t="n"/>
      <c r="Y252" s="3">
        <f>X252-A252</f>
        <v/>
      </c>
      <c r="Z252" s="18" t="n">
        <v>46147</v>
      </c>
      <c r="AA252" s="15" t="n"/>
      <c r="AB252" s="15" t="n"/>
    </row>
    <row r="253" hidden="1" s="233">
      <c r="A253" s="2" t="n">
        <v>46106</v>
      </c>
      <c r="B253" s="3" t="n">
        <v>2026</v>
      </c>
      <c r="C253" s="3" t="inlineStr">
        <is>
          <t>First Energy</t>
        </is>
      </c>
      <c r="D253" s="3" t="inlineStr">
        <is>
          <t>Utility and C&amp;I</t>
        </is>
      </c>
      <c r="E253" s="3" t="n"/>
      <c r="F253" s="3" t="inlineStr">
        <is>
          <t>WIP</t>
        </is>
      </c>
      <c r="G253" s="3" t="inlineStr">
        <is>
          <t>Mr. Gaurav</t>
        </is>
      </c>
      <c r="H253" s="3" t="n">
        <v>9979185999</v>
      </c>
      <c r="I253" s="11" t="inlineStr">
        <is>
          <t>PE25032601</t>
        </is>
      </c>
      <c r="J253" s="9" t="inlineStr">
        <is>
          <t>Module Defects</t>
        </is>
      </c>
      <c r="K253" s="3" t="inlineStr">
        <is>
          <t>Rajkot</t>
        </is>
      </c>
      <c r="L253" s="3" t="inlineStr">
        <is>
          <t>Gujarat</t>
        </is>
      </c>
      <c r="M253" s="9" t="inlineStr">
        <is>
          <t xml:space="preserve">hotspot found </t>
        </is>
      </c>
      <c r="N253" s="19" t="inlineStr">
        <is>
          <t>Hotspot</t>
        </is>
      </c>
      <c r="O253" s="3" t="n">
        <v>550</v>
      </c>
      <c r="P253" s="9" t="inlineStr">
        <is>
          <t>NSMP2301258335</t>
        </is>
      </c>
      <c r="Q253" s="53">
        <f>MID(P253,5,2)</f>
        <v/>
      </c>
      <c r="R253" s="53">
        <f>MID(P253,7,2)</f>
        <v/>
      </c>
      <c r="S253" s="3" t="inlineStr">
        <is>
          <t>G2TB</t>
        </is>
      </c>
      <c r="T253" s="3" t="inlineStr">
        <is>
          <t>P2</t>
        </is>
      </c>
      <c r="U253" s="9" t="inlineStr">
        <is>
          <t>Multi Cell Hotspot</t>
        </is>
      </c>
      <c r="V253" s="3" t="inlineStr">
        <is>
          <t>Inspection</t>
        </is>
      </c>
      <c r="W253" s="3" t="inlineStr">
        <is>
          <t>WIP</t>
        </is>
      </c>
      <c r="X253" s="5" t="n"/>
      <c r="Y253" s="3">
        <f>X253-A253</f>
        <v/>
      </c>
      <c r="Z253" s="18" t="n">
        <v>46147</v>
      </c>
      <c r="AA253" s="15" t="n"/>
      <c r="AB253" s="15" t="n"/>
    </row>
    <row r="254" hidden="1" s="233">
      <c r="A254" s="2" t="n">
        <v>46106</v>
      </c>
      <c r="B254" s="3" t="n">
        <v>2026</v>
      </c>
      <c r="C254" s="3" t="inlineStr">
        <is>
          <t>First Energy</t>
        </is>
      </c>
      <c r="D254" s="3" t="inlineStr">
        <is>
          <t>Utility and C&amp;I</t>
        </is>
      </c>
      <c r="E254" s="3" t="n"/>
      <c r="F254" s="3" t="inlineStr">
        <is>
          <t>WIP</t>
        </is>
      </c>
      <c r="G254" s="3" t="inlineStr">
        <is>
          <t>Mr. Gaurav</t>
        </is>
      </c>
      <c r="H254" s="3" t="n">
        <v>9979185999</v>
      </c>
      <c r="I254" s="11" t="inlineStr">
        <is>
          <t>PE25032601</t>
        </is>
      </c>
      <c r="J254" s="9" t="inlineStr">
        <is>
          <t>Module Defects</t>
        </is>
      </c>
      <c r="K254" s="3" t="inlineStr">
        <is>
          <t>Rajkot</t>
        </is>
      </c>
      <c r="L254" s="3" t="inlineStr">
        <is>
          <t>Gujarat</t>
        </is>
      </c>
      <c r="M254" s="9" t="inlineStr">
        <is>
          <t xml:space="preserve">hotspot found </t>
        </is>
      </c>
      <c r="N254" s="19" t="inlineStr">
        <is>
          <t>Hotspot</t>
        </is>
      </c>
      <c r="O254" s="3" t="n">
        <v>550</v>
      </c>
      <c r="P254" s="9" t="inlineStr">
        <is>
          <t>NSMP2301328437</t>
        </is>
      </c>
      <c r="Q254" s="53">
        <f>MID(P254,5,2)</f>
        <v/>
      </c>
      <c r="R254" s="53">
        <f>MID(P254,7,2)</f>
        <v/>
      </c>
      <c r="S254" s="3" t="inlineStr">
        <is>
          <t>G2TB</t>
        </is>
      </c>
      <c r="T254" s="3" t="inlineStr">
        <is>
          <t>P2</t>
        </is>
      </c>
      <c r="U254" s="9" t="inlineStr">
        <is>
          <t>Multi Cell Hotspot</t>
        </is>
      </c>
      <c r="V254" s="3" t="inlineStr">
        <is>
          <t>Inspection</t>
        </is>
      </c>
      <c r="W254" s="3" t="inlineStr">
        <is>
          <t>WIP</t>
        </is>
      </c>
      <c r="X254" s="5" t="n"/>
      <c r="Y254" s="3">
        <f>X254-A254</f>
        <v/>
      </c>
      <c r="Z254" s="18" t="n">
        <v>46147</v>
      </c>
      <c r="AA254" s="15" t="n"/>
      <c r="AB254" s="15" t="n"/>
    </row>
    <row r="255" hidden="1" s="233">
      <c r="A255" s="2" t="n">
        <v>46106</v>
      </c>
      <c r="B255" s="3" t="n">
        <v>2026</v>
      </c>
      <c r="C255" s="3" t="inlineStr">
        <is>
          <t>First Energy</t>
        </is>
      </c>
      <c r="D255" s="3" t="inlineStr">
        <is>
          <t>Utility and C&amp;I</t>
        </is>
      </c>
      <c r="E255" s="3" t="n"/>
      <c r="F255" s="3" t="inlineStr">
        <is>
          <t>WIP</t>
        </is>
      </c>
      <c r="G255" s="3" t="inlineStr">
        <is>
          <t>Mr. Gaurav</t>
        </is>
      </c>
      <c r="H255" s="3" t="n">
        <v>9979185999</v>
      </c>
      <c r="I255" s="11" t="inlineStr">
        <is>
          <t>PE25032601</t>
        </is>
      </c>
      <c r="J255" s="9" t="inlineStr">
        <is>
          <t>Module Defects</t>
        </is>
      </c>
      <c r="K255" s="3" t="inlineStr">
        <is>
          <t>Rajkot</t>
        </is>
      </c>
      <c r="L255" s="3" t="inlineStr">
        <is>
          <t>Gujarat</t>
        </is>
      </c>
      <c r="M255" s="9" t="inlineStr">
        <is>
          <t xml:space="preserve">hotspot found </t>
        </is>
      </c>
      <c r="N255" s="19" t="inlineStr">
        <is>
          <t>Hotspot</t>
        </is>
      </c>
      <c r="O255" s="3" t="n">
        <v>550</v>
      </c>
      <c r="P255" s="9" t="inlineStr">
        <is>
          <t>NSMP2212283807</t>
        </is>
      </c>
      <c r="Q255" s="53">
        <f>MID(P255,5,2)</f>
        <v/>
      </c>
      <c r="R255" s="53">
        <f>MID(P255,7,2)</f>
        <v/>
      </c>
      <c r="S255" s="3" t="inlineStr">
        <is>
          <t>G2TB</t>
        </is>
      </c>
      <c r="T255" s="3" t="inlineStr">
        <is>
          <t>P2</t>
        </is>
      </c>
      <c r="U255" s="9" t="inlineStr">
        <is>
          <t xml:space="preserve">Multi Cell Hotspot </t>
        </is>
      </c>
      <c r="V255" s="3" t="inlineStr">
        <is>
          <t>Inspection</t>
        </is>
      </c>
      <c r="W255" s="3" t="inlineStr">
        <is>
          <t>WIP</t>
        </is>
      </c>
      <c r="X255" s="5" t="n"/>
      <c r="Y255" s="3">
        <f>X255-A255</f>
        <v/>
      </c>
      <c r="Z255" s="18" t="n">
        <v>46147</v>
      </c>
      <c r="AA255" s="15" t="n"/>
      <c r="AB255" s="15" t="n"/>
    </row>
    <row r="256" hidden="1" s="233">
      <c r="A256" s="2" t="n">
        <v>46106</v>
      </c>
      <c r="B256" s="3" t="n">
        <v>2026</v>
      </c>
      <c r="C256" s="3" t="inlineStr">
        <is>
          <t>First Energy</t>
        </is>
      </c>
      <c r="D256" s="3" t="inlineStr">
        <is>
          <t>Utility and C&amp;I</t>
        </is>
      </c>
      <c r="E256" s="3" t="n"/>
      <c r="F256" s="3" t="inlineStr">
        <is>
          <t>WIP</t>
        </is>
      </c>
      <c r="G256" s="3" t="inlineStr">
        <is>
          <t>Mr. Gaurav</t>
        </is>
      </c>
      <c r="H256" s="3" t="n">
        <v>9979185999</v>
      </c>
      <c r="I256" s="11" t="inlineStr">
        <is>
          <t>PE25032601</t>
        </is>
      </c>
      <c r="J256" s="9" t="inlineStr">
        <is>
          <t>Module Defects</t>
        </is>
      </c>
      <c r="K256" s="3" t="inlineStr">
        <is>
          <t>Rajkot</t>
        </is>
      </c>
      <c r="L256" s="3" t="inlineStr">
        <is>
          <t>Gujarat</t>
        </is>
      </c>
      <c r="M256" s="9" t="inlineStr">
        <is>
          <t xml:space="preserve">hotspot found </t>
        </is>
      </c>
      <c r="N256" s="19" t="inlineStr">
        <is>
          <t>Hotspot</t>
        </is>
      </c>
      <c r="O256" s="3" t="n">
        <v>550</v>
      </c>
      <c r="P256" s="9" t="inlineStr">
        <is>
          <t>NSMP2212269694</t>
        </is>
      </c>
      <c r="Q256" s="53">
        <f>MID(P256,5,2)</f>
        <v/>
      </c>
      <c r="R256" s="53">
        <f>MID(P256,7,2)</f>
        <v/>
      </c>
      <c r="S256" s="3" t="inlineStr">
        <is>
          <t>G2TB</t>
        </is>
      </c>
      <c r="T256" s="3" t="inlineStr">
        <is>
          <t>P2</t>
        </is>
      </c>
      <c r="U256" s="9" t="inlineStr">
        <is>
          <t xml:space="preserve">Single Cell Hotspot </t>
        </is>
      </c>
      <c r="V256" s="3" t="inlineStr">
        <is>
          <t>Inspection</t>
        </is>
      </c>
      <c r="W256" s="3" t="inlineStr">
        <is>
          <t>WIP</t>
        </is>
      </c>
      <c r="X256" s="5" t="n"/>
      <c r="Y256" s="3">
        <f>X256-A256</f>
        <v/>
      </c>
      <c r="Z256" s="18" t="n">
        <v>46147</v>
      </c>
      <c r="AA256" s="15" t="n"/>
      <c r="AB256" s="15" t="n"/>
    </row>
    <row r="257" hidden="1" s="233">
      <c r="A257" s="2" t="n">
        <v>46106</v>
      </c>
      <c r="B257" s="3" t="n">
        <v>2026</v>
      </c>
      <c r="C257" s="3" t="inlineStr">
        <is>
          <t>First Energy</t>
        </is>
      </c>
      <c r="D257" s="3" t="inlineStr">
        <is>
          <t>Utility and C&amp;I</t>
        </is>
      </c>
      <c r="E257" s="3" t="n"/>
      <c r="F257" s="3" t="inlineStr">
        <is>
          <t>WIP</t>
        </is>
      </c>
      <c r="G257" s="3" t="inlineStr">
        <is>
          <t>Mr. Gaurav</t>
        </is>
      </c>
      <c r="H257" s="3" t="n">
        <v>9979185999</v>
      </c>
      <c r="I257" s="11" t="inlineStr">
        <is>
          <t>PE25032601</t>
        </is>
      </c>
      <c r="J257" s="9" t="inlineStr">
        <is>
          <t>Module Defects</t>
        </is>
      </c>
      <c r="K257" s="3" t="inlineStr">
        <is>
          <t>Rajkot</t>
        </is>
      </c>
      <c r="L257" s="3" t="inlineStr">
        <is>
          <t>Gujarat</t>
        </is>
      </c>
      <c r="M257" s="9" t="inlineStr">
        <is>
          <t xml:space="preserve">hotspot found </t>
        </is>
      </c>
      <c r="N257" s="19" t="inlineStr">
        <is>
          <t>Hotspot</t>
        </is>
      </c>
      <c r="O257" s="3" t="n">
        <v>550</v>
      </c>
      <c r="P257" s="9" t="inlineStr">
        <is>
          <t>NSMP2301310824</t>
        </is>
      </c>
      <c r="Q257" s="53">
        <f>MID(P257,5,2)</f>
        <v/>
      </c>
      <c r="R257" s="53">
        <f>MID(P257,7,2)</f>
        <v/>
      </c>
      <c r="S257" s="3" t="inlineStr">
        <is>
          <t>G2TB</t>
        </is>
      </c>
      <c r="T257" s="3" t="inlineStr">
        <is>
          <t>P2</t>
        </is>
      </c>
      <c r="U257" s="9" t="inlineStr">
        <is>
          <t>Multi Cell Hotspot</t>
        </is>
      </c>
      <c r="V257" s="3" t="inlineStr">
        <is>
          <t>Inspection</t>
        </is>
      </c>
      <c r="W257" s="3" t="inlineStr">
        <is>
          <t>WIP</t>
        </is>
      </c>
      <c r="X257" s="5" t="n"/>
      <c r="Y257" s="3">
        <f>X257-A257</f>
        <v/>
      </c>
      <c r="Z257" s="18" t="n">
        <v>46147</v>
      </c>
      <c r="AA257" s="15" t="n"/>
      <c r="AB257" s="15" t="n"/>
    </row>
    <row r="258" hidden="1" s="233">
      <c r="A258" s="2" t="n">
        <v>46106</v>
      </c>
      <c r="B258" s="3" t="n">
        <v>2026</v>
      </c>
      <c r="C258" s="3" t="inlineStr">
        <is>
          <t>First Energy</t>
        </is>
      </c>
      <c r="D258" s="3" t="inlineStr">
        <is>
          <t>Utility and C&amp;I</t>
        </is>
      </c>
      <c r="E258" s="3" t="n"/>
      <c r="F258" s="3" t="inlineStr">
        <is>
          <t>WIP</t>
        </is>
      </c>
      <c r="G258" s="3" t="inlineStr">
        <is>
          <t>Mr. Gaurav</t>
        </is>
      </c>
      <c r="H258" s="3" t="n">
        <v>9979185999</v>
      </c>
      <c r="I258" s="11" t="inlineStr">
        <is>
          <t>PE25032601</t>
        </is>
      </c>
      <c r="J258" s="9" t="inlineStr">
        <is>
          <t>Module Defects</t>
        </is>
      </c>
      <c r="K258" s="3" t="inlineStr">
        <is>
          <t>Rajkot</t>
        </is>
      </c>
      <c r="L258" s="3" t="inlineStr">
        <is>
          <t>Gujarat</t>
        </is>
      </c>
      <c r="M258" s="9" t="inlineStr">
        <is>
          <t xml:space="preserve">hotspot found </t>
        </is>
      </c>
      <c r="N258" s="19" t="inlineStr">
        <is>
          <t>Hotspot</t>
        </is>
      </c>
      <c r="O258" s="3" t="n">
        <v>550</v>
      </c>
      <c r="P258" s="9" t="inlineStr">
        <is>
          <t>NSMP2304020457</t>
        </is>
      </c>
      <c r="Q258" s="53">
        <f>MID(P258,5,2)</f>
        <v/>
      </c>
      <c r="R258" s="53">
        <f>MID(P258,7,2)</f>
        <v/>
      </c>
      <c r="S258" s="3" t="inlineStr">
        <is>
          <t>G2TB</t>
        </is>
      </c>
      <c r="T258" s="3" t="inlineStr">
        <is>
          <t>P2</t>
        </is>
      </c>
      <c r="U258" s="9" t="inlineStr">
        <is>
          <t xml:space="preserve">Multi Cell Hotspot </t>
        </is>
      </c>
      <c r="V258" s="3" t="inlineStr">
        <is>
          <t>Inspection</t>
        </is>
      </c>
      <c r="W258" s="3" t="inlineStr">
        <is>
          <t>WIP</t>
        </is>
      </c>
      <c r="X258" s="5" t="n"/>
      <c r="Y258" s="3">
        <f>X258-A258</f>
        <v/>
      </c>
      <c r="Z258" s="18" t="n">
        <v>46147</v>
      </c>
      <c r="AA258" s="15" t="n"/>
      <c r="AB258" s="15" t="n"/>
    </row>
    <row r="259" hidden="1" s="233">
      <c r="A259" s="2" t="n">
        <v>46106</v>
      </c>
      <c r="B259" s="3" t="n">
        <v>2026</v>
      </c>
      <c r="C259" s="3" t="inlineStr">
        <is>
          <t>First Energy</t>
        </is>
      </c>
      <c r="D259" s="3" t="inlineStr">
        <is>
          <t>Utility and C&amp;I</t>
        </is>
      </c>
      <c r="E259" s="3" t="n"/>
      <c r="F259" s="3" t="inlineStr">
        <is>
          <t>WIP</t>
        </is>
      </c>
      <c r="G259" s="3" t="inlineStr">
        <is>
          <t>Mr. Gaurav</t>
        </is>
      </c>
      <c r="H259" s="3" t="n">
        <v>9979185999</v>
      </c>
      <c r="I259" s="11" t="inlineStr">
        <is>
          <t>PE25032601</t>
        </is>
      </c>
      <c r="J259" s="9" t="inlineStr">
        <is>
          <t>Module Defects</t>
        </is>
      </c>
      <c r="K259" s="3" t="inlineStr">
        <is>
          <t>Rajkot</t>
        </is>
      </c>
      <c r="L259" s="3" t="inlineStr">
        <is>
          <t>Gujarat</t>
        </is>
      </c>
      <c r="M259" s="9" t="inlineStr">
        <is>
          <t xml:space="preserve">hotspot found </t>
        </is>
      </c>
      <c r="N259" s="19" t="inlineStr">
        <is>
          <t>Hotspot</t>
        </is>
      </c>
      <c r="O259" s="3" t="n">
        <v>550</v>
      </c>
      <c r="P259" s="9" t="inlineStr">
        <is>
          <t>NSMP2301289735</t>
        </is>
      </c>
      <c r="Q259" s="53">
        <f>MID(P259,5,2)</f>
        <v/>
      </c>
      <c r="R259" s="53">
        <f>MID(P259,7,2)</f>
        <v/>
      </c>
      <c r="S259" s="3" t="inlineStr">
        <is>
          <t>G2TB</t>
        </is>
      </c>
      <c r="T259" s="3" t="inlineStr">
        <is>
          <t>P2</t>
        </is>
      </c>
      <c r="U259" s="9" t="inlineStr">
        <is>
          <t xml:space="preserve">Single Cell Hotspot </t>
        </is>
      </c>
      <c r="V259" s="3" t="inlineStr">
        <is>
          <t>Inspection</t>
        </is>
      </c>
      <c r="W259" s="3" t="inlineStr">
        <is>
          <t>WIP</t>
        </is>
      </c>
      <c r="X259" s="5" t="n"/>
      <c r="Y259" s="3">
        <f>X259-A259</f>
        <v/>
      </c>
      <c r="Z259" s="18" t="n">
        <v>46147</v>
      </c>
      <c r="AA259" s="15" t="n"/>
      <c r="AB259" s="15" t="n"/>
    </row>
    <row r="260" hidden="1" s="233">
      <c r="A260" s="2" t="n">
        <v>46106</v>
      </c>
      <c r="B260" s="3" t="n">
        <v>2026</v>
      </c>
      <c r="C260" s="3" t="inlineStr">
        <is>
          <t>First Energy</t>
        </is>
      </c>
      <c r="D260" s="3" t="inlineStr">
        <is>
          <t>Utility and C&amp;I</t>
        </is>
      </c>
      <c r="E260" s="3" t="n"/>
      <c r="F260" s="3" t="inlineStr">
        <is>
          <t>WIP</t>
        </is>
      </c>
      <c r="G260" s="3" t="inlineStr">
        <is>
          <t>Mr. Gaurav</t>
        </is>
      </c>
      <c r="H260" s="3" t="n">
        <v>9979185999</v>
      </c>
      <c r="I260" s="11" t="inlineStr">
        <is>
          <t>PE25032601</t>
        </is>
      </c>
      <c r="J260" s="9" t="inlineStr">
        <is>
          <t>Module Defects</t>
        </is>
      </c>
      <c r="K260" s="3" t="inlineStr">
        <is>
          <t>Rajkot</t>
        </is>
      </c>
      <c r="L260" s="3" t="inlineStr">
        <is>
          <t>Gujarat</t>
        </is>
      </c>
      <c r="M260" s="9" t="inlineStr">
        <is>
          <t xml:space="preserve">hotspot found </t>
        </is>
      </c>
      <c r="N260" s="19" t="inlineStr">
        <is>
          <t>Hotspot</t>
        </is>
      </c>
      <c r="O260" s="3" t="n">
        <v>550</v>
      </c>
      <c r="P260" s="9" t="inlineStr">
        <is>
          <t>NSMP2301306702</t>
        </is>
      </c>
      <c r="Q260" s="53">
        <f>MID(P260,5,2)</f>
        <v/>
      </c>
      <c r="R260" s="53">
        <f>MID(P260,7,2)</f>
        <v/>
      </c>
      <c r="S260" s="3" t="inlineStr">
        <is>
          <t>G2TB</t>
        </is>
      </c>
      <c r="T260" s="3" t="inlineStr">
        <is>
          <t>P2</t>
        </is>
      </c>
      <c r="U260" s="9" t="inlineStr">
        <is>
          <t>Single Cell Hotspot</t>
        </is>
      </c>
      <c r="V260" s="3" t="inlineStr">
        <is>
          <t>Inspection</t>
        </is>
      </c>
      <c r="W260" s="3" t="inlineStr">
        <is>
          <t>WIP</t>
        </is>
      </c>
      <c r="X260" s="5" t="n"/>
      <c r="Y260" s="3">
        <f>X260-A260</f>
        <v/>
      </c>
      <c r="Z260" s="18" t="n">
        <v>46147</v>
      </c>
      <c r="AA260" s="15" t="n"/>
      <c r="AB260" s="15" t="n"/>
    </row>
    <row r="261" hidden="1" s="233">
      <c r="A261" s="2" t="n">
        <v>46106</v>
      </c>
      <c r="B261" s="3" t="n">
        <v>2026</v>
      </c>
      <c r="C261" s="3" t="inlineStr">
        <is>
          <t>First Energy</t>
        </is>
      </c>
      <c r="D261" s="3" t="inlineStr">
        <is>
          <t>Utility and C&amp;I</t>
        </is>
      </c>
      <c r="E261" s="3" t="n"/>
      <c r="F261" s="3" t="inlineStr">
        <is>
          <t>WIP</t>
        </is>
      </c>
      <c r="G261" s="3" t="inlineStr">
        <is>
          <t>Mr. Gaurav</t>
        </is>
      </c>
      <c r="H261" s="3" t="n">
        <v>9979185999</v>
      </c>
      <c r="I261" s="11" t="inlineStr">
        <is>
          <t>PE25032601</t>
        </is>
      </c>
      <c r="J261" s="9" t="inlineStr">
        <is>
          <t>Module Defects</t>
        </is>
      </c>
      <c r="K261" s="3" t="inlineStr">
        <is>
          <t>Rajkot</t>
        </is>
      </c>
      <c r="L261" s="3" t="inlineStr">
        <is>
          <t>Gujarat</t>
        </is>
      </c>
      <c r="M261" s="9" t="inlineStr">
        <is>
          <t xml:space="preserve">hotspot found </t>
        </is>
      </c>
      <c r="N261" s="19" t="inlineStr">
        <is>
          <t>Hotspot</t>
        </is>
      </c>
      <c r="O261" s="3" t="n">
        <v>550</v>
      </c>
      <c r="P261" s="9" t="inlineStr">
        <is>
          <t>NSMP2212280205</t>
        </is>
      </c>
      <c r="Q261" s="53">
        <f>MID(P261,5,2)</f>
        <v/>
      </c>
      <c r="R261" s="53">
        <f>MID(P261,7,2)</f>
        <v/>
      </c>
      <c r="S261" s="3" t="inlineStr">
        <is>
          <t>G2TB</t>
        </is>
      </c>
      <c r="T261" s="3" t="inlineStr">
        <is>
          <t>P2</t>
        </is>
      </c>
      <c r="U261" s="9" t="inlineStr">
        <is>
          <t>Multi Cell Hotspot</t>
        </is>
      </c>
      <c r="V261" s="3" t="inlineStr">
        <is>
          <t>Inspection</t>
        </is>
      </c>
      <c r="W261" s="3" t="inlineStr">
        <is>
          <t>WIP</t>
        </is>
      </c>
      <c r="X261" s="5" t="n"/>
      <c r="Y261" s="3">
        <f>X261-A261</f>
        <v/>
      </c>
      <c r="Z261" s="18" t="n">
        <v>46147</v>
      </c>
      <c r="AA261" s="15" t="n"/>
      <c r="AB261" s="15" t="n"/>
    </row>
    <row r="262" hidden="1" s="233">
      <c r="A262" s="2" t="n">
        <v>46106</v>
      </c>
      <c r="B262" s="3" t="n">
        <v>2026</v>
      </c>
      <c r="C262" s="3" t="inlineStr">
        <is>
          <t>First Energy</t>
        </is>
      </c>
      <c r="D262" s="3" t="inlineStr">
        <is>
          <t>Utility and C&amp;I</t>
        </is>
      </c>
      <c r="E262" s="3" t="n"/>
      <c r="F262" s="3" t="inlineStr">
        <is>
          <t>WIP</t>
        </is>
      </c>
      <c r="G262" s="3" t="inlineStr">
        <is>
          <t>Mr. Gaurav</t>
        </is>
      </c>
      <c r="H262" s="3" t="n">
        <v>9979185999</v>
      </c>
      <c r="I262" s="11" t="inlineStr">
        <is>
          <t>PE25032601</t>
        </is>
      </c>
      <c r="J262" s="9" t="inlineStr">
        <is>
          <t>Module Defects</t>
        </is>
      </c>
      <c r="K262" s="3" t="inlineStr">
        <is>
          <t>Rajkot</t>
        </is>
      </c>
      <c r="L262" s="3" t="inlineStr">
        <is>
          <t>Gujarat</t>
        </is>
      </c>
      <c r="M262" s="9" t="inlineStr">
        <is>
          <t xml:space="preserve">hotspot found </t>
        </is>
      </c>
      <c r="N262" s="19" t="inlineStr">
        <is>
          <t>Hotspot</t>
        </is>
      </c>
      <c r="O262" s="3" t="n">
        <v>550</v>
      </c>
      <c r="P262" s="9" t="inlineStr">
        <is>
          <t>NSMP2212284621</t>
        </is>
      </c>
      <c r="Q262" s="53">
        <f>MID(P262,5,2)</f>
        <v/>
      </c>
      <c r="R262" s="53">
        <f>MID(P262,7,2)</f>
        <v/>
      </c>
      <c r="S262" s="3" t="inlineStr">
        <is>
          <t>G2TB</t>
        </is>
      </c>
      <c r="T262" s="3" t="inlineStr">
        <is>
          <t>P2</t>
        </is>
      </c>
      <c r="U262" s="9" t="inlineStr">
        <is>
          <t xml:space="preserve">Multi Cell Hotspot </t>
        </is>
      </c>
      <c r="V262" s="3" t="inlineStr">
        <is>
          <t>Inspection</t>
        </is>
      </c>
      <c r="W262" s="3" t="inlineStr">
        <is>
          <t>WIP</t>
        </is>
      </c>
      <c r="X262" s="5" t="n"/>
      <c r="Y262" s="3">
        <f>X262-A262</f>
        <v/>
      </c>
      <c r="Z262" s="18" t="n">
        <v>46147</v>
      </c>
      <c r="AA262" s="15" t="n"/>
      <c r="AB262" s="15" t="n"/>
    </row>
    <row r="263" hidden="1" s="233">
      <c r="A263" s="2" t="n">
        <v>46106</v>
      </c>
      <c r="B263" s="3" t="n">
        <v>2026</v>
      </c>
      <c r="C263" s="3" t="inlineStr">
        <is>
          <t>First Energy</t>
        </is>
      </c>
      <c r="D263" s="3" t="inlineStr">
        <is>
          <t>Utility and C&amp;I</t>
        </is>
      </c>
      <c r="E263" s="3" t="n"/>
      <c r="F263" s="3" t="inlineStr">
        <is>
          <t>WIP</t>
        </is>
      </c>
      <c r="G263" s="3" t="inlineStr">
        <is>
          <t>Mr. Gaurav</t>
        </is>
      </c>
      <c r="H263" s="3" t="n">
        <v>9979185999</v>
      </c>
      <c r="I263" s="11" t="inlineStr">
        <is>
          <t>PE25032601</t>
        </is>
      </c>
      <c r="J263" s="9" t="inlineStr">
        <is>
          <t>Module Defects</t>
        </is>
      </c>
      <c r="K263" s="3" t="inlineStr">
        <is>
          <t>Rajkot</t>
        </is>
      </c>
      <c r="L263" s="3" t="inlineStr">
        <is>
          <t>Gujarat</t>
        </is>
      </c>
      <c r="M263" s="9" t="inlineStr">
        <is>
          <t xml:space="preserve">Broken Module </t>
        </is>
      </c>
      <c r="N263" s="19" t="inlineStr">
        <is>
          <t>Hotspot</t>
        </is>
      </c>
      <c r="O263" s="3" t="n">
        <v>550</v>
      </c>
      <c r="P263" s="9" t="inlineStr">
        <is>
          <t>NSMP2301308989</t>
        </is>
      </c>
      <c r="Q263" s="53">
        <f>MID(P263,5,2)</f>
        <v/>
      </c>
      <c r="R263" s="53">
        <f>MID(P263,7,2)</f>
        <v/>
      </c>
      <c r="S263" s="3" t="inlineStr">
        <is>
          <t>G2TB</t>
        </is>
      </c>
      <c r="T263" s="3" t="inlineStr">
        <is>
          <t>P2</t>
        </is>
      </c>
      <c r="U263" s="9" t="inlineStr">
        <is>
          <t>Multi Cell Hotspot</t>
        </is>
      </c>
      <c r="V263" s="3" t="inlineStr">
        <is>
          <t>Inspection</t>
        </is>
      </c>
      <c r="W263" s="3" t="inlineStr">
        <is>
          <t>WIP</t>
        </is>
      </c>
      <c r="X263" s="5" t="n"/>
      <c r="Y263" s="3">
        <f>X263-A263</f>
        <v/>
      </c>
      <c r="Z263" s="18" t="n">
        <v>46147</v>
      </c>
      <c r="AA263" s="15" t="n"/>
      <c r="AB263" s="15" t="n"/>
    </row>
    <row r="264" hidden="1" s="233">
      <c r="A264" s="2" t="n">
        <v>46106</v>
      </c>
      <c r="B264" s="3" t="n">
        <v>2026</v>
      </c>
      <c r="C264" s="3" t="inlineStr">
        <is>
          <t>First Energy</t>
        </is>
      </c>
      <c r="D264" s="3" t="inlineStr">
        <is>
          <t>Utility and C&amp;I</t>
        </is>
      </c>
      <c r="E264" s="3" t="n"/>
      <c r="F264" s="3" t="inlineStr">
        <is>
          <t>WIP</t>
        </is>
      </c>
      <c r="G264" s="3" t="inlineStr">
        <is>
          <t>Mr. Gaurav</t>
        </is>
      </c>
      <c r="H264" s="3" t="n">
        <v>9979185999</v>
      </c>
      <c r="I264" s="11" t="inlineStr">
        <is>
          <t>PE25032601</t>
        </is>
      </c>
      <c r="J264" s="9" t="inlineStr">
        <is>
          <t>Module Defects</t>
        </is>
      </c>
      <c r="K264" s="3" t="inlineStr">
        <is>
          <t>Rajkot</t>
        </is>
      </c>
      <c r="L264" s="3" t="inlineStr">
        <is>
          <t>Gujarat</t>
        </is>
      </c>
      <c r="M264" s="9" t="inlineStr">
        <is>
          <t xml:space="preserve">Broken Module </t>
        </is>
      </c>
      <c r="N264" s="19" t="inlineStr">
        <is>
          <t>Hotspot</t>
        </is>
      </c>
      <c r="O264" s="3" t="n">
        <v>550</v>
      </c>
      <c r="P264" s="9" t="inlineStr">
        <is>
          <t>NAMP2301326148</t>
        </is>
      </c>
      <c r="Q264" s="53">
        <f>MID(P264,5,2)</f>
        <v/>
      </c>
      <c r="R264" s="53">
        <f>MID(P264,7,2)</f>
        <v/>
      </c>
      <c r="S264" s="3" t="inlineStr">
        <is>
          <t>G2TB</t>
        </is>
      </c>
      <c r="T264" s="3" t="inlineStr">
        <is>
          <t>P2</t>
        </is>
      </c>
      <c r="U264" s="9" t="inlineStr">
        <is>
          <t>Multi Cell Hotspot</t>
        </is>
      </c>
      <c r="V264" s="3" t="inlineStr">
        <is>
          <t>Inspection</t>
        </is>
      </c>
      <c r="W264" s="3" t="inlineStr">
        <is>
          <t>WIP</t>
        </is>
      </c>
      <c r="X264" s="5" t="n"/>
      <c r="Y264" s="3">
        <f>X264-A264</f>
        <v/>
      </c>
      <c r="Z264" s="18" t="n">
        <v>46147</v>
      </c>
      <c r="AA264" s="15" t="n"/>
      <c r="AB264" s="15" t="n"/>
    </row>
    <row r="265" hidden="1" s="233">
      <c r="A265" s="2" t="n">
        <v>46106</v>
      </c>
      <c r="B265" s="3" t="n">
        <v>2026</v>
      </c>
      <c r="C265" s="3" t="inlineStr">
        <is>
          <t>First Energy</t>
        </is>
      </c>
      <c r="D265" s="3" t="inlineStr">
        <is>
          <t>Utility and C&amp;I</t>
        </is>
      </c>
      <c r="E265" s="3" t="n"/>
      <c r="F265" s="3" t="inlineStr">
        <is>
          <t>WIP</t>
        </is>
      </c>
      <c r="G265" s="3" t="inlineStr">
        <is>
          <t>Mr. Gaurav</t>
        </is>
      </c>
      <c r="H265" s="3" t="n">
        <v>9979185999</v>
      </c>
      <c r="I265" s="11" t="inlineStr">
        <is>
          <t>PE25032601</t>
        </is>
      </c>
      <c r="J265" s="9" t="inlineStr">
        <is>
          <t>Module Defects</t>
        </is>
      </c>
      <c r="K265" s="3" t="inlineStr">
        <is>
          <t>Rajkot</t>
        </is>
      </c>
      <c r="L265" s="3" t="inlineStr">
        <is>
          <t>Gujarat</t>
        </is>
      </c>
      <c r="M265" s="9" t="inlineStr">
        <is>
          <t xml:space="preserve">hotspot found </t>
        </is>
      </c>
      <c r="N265" s="19" t="inlineStr">
        <is>
          <t>Hotspot</t>
        </is>
      </c>
      <c r="O265" s="3" t="n">
        <v>550</v>
      </c>
      <c r="P265" s="9" t="inlineStr">
        <is>
          <t>NSMP2212286319</t>
        </is>
      </c>
      <c r="Q265" s="53">
        <f>MID(P265,5,2)</f>
        <v/>
      </c>
      <c r="R265" s="53">
        <f>MID(P265,7,2)</f>
        <v/>
      </c>
      <c r="S265" s="3" t="inlineStr">
        <is>
          <t>G2TB</t>
        </is>
      </c>
      <c r="T265" s="3" t="inlineStr">
        <is>
          <t>P2</t>
        </is>
      </c>
      <c r="U265" s="9" t="inlineStr">
        <is>
          <t>Multi Cell Hotspot</t>
        </is>
      </c>
      <c r="V265" s="3" t="inlineStr">
        <is>
          <t>Inspection</t>
        </is>
      </c>
      <c r="W265" s="3" t="inlineStr">
        <is>
          <t>WIP</t>
        </is>
      </c>
      <c r="X265" s="5" t="n"/>
      <c r="Y265" s="3">
        <f>X265-A265</f>
        <v/>
      </c>
      <c r="Z265" s="18" t="n">
        <v>46147</v>
      </c>
      <c r="AA265" s="15" t="n"/>
      <c r="AB265" s="15" t="n"/>
    </row>
    <row r="266" hidden="1" s="233">
      <c r="A266" s="2" t="n">
        <v>46106</v>
      </c>
      <c r="B266" s="3" t="n">
        <v>2026</v>
      </c>
      <c r="C266" s="3" t="inlineStr">
        <is>
          <t>First Energy</t>
        </is>
      </c>
      <c r="D266" s="3" t="inlineStr">
        <is>
          <t>Utility and C&amp;I</t>
        </is>
      </c>
      <c r="E266" s="3" t="n"/>
      <c r="F266" s="3" t="inlineStr">
        <is>
          <t>WIP</t>
        </is>
      </c>
      <c r="G266" s="3" t="inlineStr">
        <is>
          <t>Mr. Gaurav</t>
        </is>
      </c>
      <c r="H266" s="3" t="n">
        <v>9979185999</v>
      </c>
      <c r="I266" s="11" t="inlineStr">
        <is>
          <t>PE25032601</t>
        </is>
      </c>
      <c r="J266" s="9" t="inlineStr">
        <is>
          <t>Module Defects</t>
        </is>
      </c>
      <c r="K266" s="3" t="inlineStr">
        <is>
          <t>Rajkot</t>
        </is>
      </c>
      <c r="L266" s="3" t="inlineStr">
        <is>
          <t>Gujarat</t>
        </is>
      </c>
      <c r="M266" s="9" t="inlineStr">
        <is>
          <t xml:space="preserve">hotspot found </t>
        </is>
      </c>
      <c r="N266" s="19" t="inlineStr">
        <is>
          <t>Hotspot</t>
        </is>
      </c>
      <c r="O266" s="3" t="n">
        <v>550</v>
      </c>
      <c r="P266" s="9" t="inlineStr">
        <is>
          <t>NSMP2301311039</t>
        </is>
      </c>
      <c r="Q266" s="53">
        <f>MID(P266,5,2)</f>
        <v/>
      </c>
      <c r="R266" s="53">
        <f>MID(P266,7,2)</f>
        <v/>
      </c>
      <c r="S266" s="3" t="inlineStr">
        <is>
          <t>G2TB</t>
        </is>
      </c>
      <c r="T266" s="3" t="inlineStr">
        <is>
          <t>P2</t>
        </is>
      </c>
      <c r="U266" s="9" t="inlineStr">
        <is>
          <t>Single Cell Hotspot</t>
        </is>
      </c>
      <c r="V266" s="3" t="inlineStr">
        <is>
          <t>Inspection</t>
        </is>
      </c>
      <c r="W266" s="3" t="inlineStr">
        <is>
          <t>WIP</t>
        </is>
      </c>
      <c r="X266" s="5" t="n"/>
      <c r="Y266" s="3">
        <f>X266-A266</f>
        <v/>
      </c>
      <c r="Z266" s="18" t="n">
        <v>46147</v>
      </c>
      <c r="AA266" s="15" t="n"/>
      <c r="AB266" s="15" t="n"/>
    </row>
    <row r="267" hidden="1" s="233">
      <c r="A267" s="2" t="n">
        <v>46106</v>
      </c>
      <c r="B267" s="3" t="n">
        <v>2026</v>
      </c>
      <c r="C267" s="3" t="inlineStr">
        <is>
          <t>First Energy</t>
        </is>
      </c>
      <c r="D267" s="3" t="inlineStr">
        <is>
          <t>Utility and C&amp;I</t>
        </is>
      </c>
      <c r="E267" s="3" t="n"/>
      <c r="F267" s="3" t="inlineStr">
        <is>
          <t>WIP</t>
        </is>
      </c>
      <c r="G267" s="3" t="inlineStr">
        <is>
          <t>Mr. Gaurav</t>
        </is>
      </c>
      <c r="H267" s="3" t="n">
        <v>9979185999</v>
      </c>
      <c r="I267" s="11" t="inlineStr">
        <is>
          <t>PE25032601</t>
        </is>
      </c>
      <c r="J267" s="9" t="inlineStr">
        <is>
          <t>Module Defects</t>
        </is>
      </c>
      <c r="K267" s="3" t="inlineStr">
        <is>
          <t>Rajkot</t>
        </is>
      </c>
      <c r="L267" s="3" t="inlineStr">
        <is>
          <t>Gujarat</t>
        </is>
      </c>
      <c r="M267" s="9" t="inlineStr">
        <is>
          <t xml:space="preserve">hotspot found </t>
        </is>
      </c>
      <c r="N267" s="19" t="inlineStr">
        <is>
          <t>Hotspot</t>
        </is>
      </c>
      <c r="O267" s="3" t="n">
        <v>550</v>
      </c>
      <c r="P267" s="9" t="inlineStr">
        <is>
          <t>NSMP2301305169</t>
        </is>
      </c>
      <c r="Q267" s="53">
        <f>MID(P267,5,2)</f>
        <v/>
      </c>
      <c r="R267" s="53">
        <f>MID(P267,7,2)</f>
        <v/>
      </c>
      <c r="S267" s="3" t="inlineStr">
        <is>
          <t>G2TB</t>
        </is>
      </c>
      <c r="T267" s="3" t="inlineStr">
        <is>
          <t>P2</t>
        </is>
      </c>
      <c r="U267" s="9" t="inlineStr">
        <is>
          <t>Single Cell Hotspot</t>
        </is>
      </c>
      <c r="V267" s="3" t="inlineStr">
        <is>
          <t>Inspection</t>
        </is>
      </c>
      <c r="W267" s="3" t="inlineStr">
        <is>
          <t>WIP</t>
        </is>
      </c>
      <c r="X267" s="5" t="n"/>
      <c r="Y267" s="3">
        <f>X267-A267</f>
        <v/>
      </c>
      <c r="Z267" s="18" t="n">
        <v>46147</v>
      </c>
      <c r="AA267" s="15" t="n"/>
      <c r="AB267" s="15" t="n"/>
    </row>
    <row r="268" hidden="1" s="233">
      <c r="A268" s="2" t="n">
        <v>46106</v>
      </c>
      <c r="B268" s="3" t="n">
        <v>2026</v>
      </c>
      <c r="C268" s="3" t="inlineStr">
        <is>
          <t>First Energy</t>
        </is>
      </c>
      <c r="D268" s="3" t="inlineStr">
        <is>
          <t>Utility and C&amp;I</t>
        </is>
      </c>
      <c r="E268" s="3" t="n"/>
      <c r="F268" s="3" t="inlineStr">
        <is>
          <t>WIP</t>
        </is>
      </c>
      <c r="G268" s="3" t="inlineStr">
        <is>
          <t>Mr. Gaurav</t>
        </is>
      </c>
      <c r="H268" s="3" t="n">
        <v>9979185999</v>
      </c>
      <c r="I268" s="11" t="inlineStr">
        <is>
          <t>PE25032601</t>
        </is>
      </c>
      <c r="J268" s="9" t="inlineStr">
        <is>
          <t>Module Defects</t>
        </is>
      </c>
      <c r="K268" s="3" t="inlineStr">
        <is>
          <t>Rajkot</t>
        </is>
      </c>
      <c r="L268" s="3" t="inlineStr">
        <is>
          <t>Gujarat</t>
        </is>
      </c>
      <c r="M268" s="9" t="inlineStr">
        <is>
          <t xml:space="preserve">hotspot found </t>
        </is>
      </c>
      <c r="N268" s="19" t="inlineStr">
        <is>
          <t>Hotspot</t>
        </is>
      </c>
      <c r="O268" s="3" t="n">
        <v>550</v>
      </c>
      <c r="P268" s="9" t="inlineStr">
        <is>
          <t>NSMP2301312437</t>
        </is>
      </c>
      <c r="Q268" s="53">
        <f>MID(P268,5,2)</f>
        <v/>
      </c>
      <c r="R268" s="53">
        <f>MID(P268,7,2)</f>
        <v/>
      </c>
      <c r="S268" s="3" t="inlineStr">
        <is>
          <t>G2TB</t>
        </is>
      </c>
      <c r="T268" s="3" t="inlineStr">
        <is>
          <t>P2</t>
        </is>
      </c>
      <c r="U268" s="9" t="inlineStr">
        <is>
          <t>Single Cell Hotspot</t>
        </is>
      </c>
      <c r="V268" s="3" t="inlineStr">
        <is>
          <t>Inspection</t>
        </is>
      </c>
      <c r="W268" s="3" t="inlineStr">
        <is>
          <t>WIP</t>
        </is>
      </c>
      <c r="X268" s="5" t="n"/>
      <c r="Y268" s="3">
        <f>X268-A268</f>
        <v/>
      </c>
      <c r="Z268" s="18" t="n">
        <v>46147</v>
      </c>
      <c r="AA268" s="15" t="n"/>
      <c r="AB268" s="15" t="n"/>
    </row>
    <row r="269" hidden="1" s="233">
      <c r="A269" s="2" t="n">
        <v>46106</v>
      </c>
      <c r="B269" s="3" t="n">
        <v>2026</v>
      </c>
      <c r="C269" s="3" t="inlineStr">
        <is>
          <t>First Energy</t>
        </is>
      </c>
      <c r="D269" s="3" t="inlineStr">
        <is>
          <t>Utility and C&amp;I</t>
        </is>
      </c>
      <c r="E269" s="3" t="n"/>
      <c r="F269" s="3" t="inlineStr">
        <is>
          <t>WIP</t>
        </is>
      </c>
      <c r="G269" s="3" t="inlineStr">
        <is>
          <t>Mr. Gaurav</t>
        </is>
      </c>
      <c r="H269" s="3" t="n">
        <v>9979185999</v>
      </c>
      <c r="I269" s="11" t="inlineStr">
        <is>
          <t>PE25032601</t>
        </is>
      </c>
      <c r="J269" s="9" t="inlineStr">
        <is>
          <t>Module Defects</t>
        </is>
      </c>
      <c r="K269" s="3" t="inlineStr">
        <is>
          <t>Rajkot</t>
        </is>
      </c>
      <c r="L269" s="3" t="inlineStr">
        <is>
          <t>Gujarat</t>
        </is>
      </c>
      <c r="M269" s="9" t="inlineStr">
        <is>
          <t xml:space="preserve">hotspot found </t>
        </is>
      </c>
      <c r="N269" s="19" t="inlineStr">
        <is>
          <t>Hotspot</t>
        </is>
      </c>
      <c r="O269" s="3" t="n">
        <v>550</v>
      </c>
      <c r="P269" s="9" t="inlineStr">
        <is>
          <t>NSMP2212273926</t>
        </is>
      </c>
      <c r="Q269" s="53">
        <f>MID(P269,5,2)</f>
        <v/>
      </c>
      <c r="R269" s="53">
        <f>MID(P269,7,2)</f>
        <v/>
      </c>
      <c r="S269" s="3" t="inlineStr">
        <is>
          <t>G2TB</t>
        </is>
      </c>
      <c r="T269" s="3" t="inlineStr">
        <is>
          <t>P2</t>
        </is>
      </c>
      <c r="U269" s="9" t="inlineStr">
        <is>
          <t>Multi Cell Hotspot</t>
        </is>
      </c>
      <c r="V269" s="3" t="inlineStr">
        <is>
          <t>Inspection</t>
        </is>
      </c>
      <c r="W269" s="3" t="inlineStr">
        <is>
          <t>WIP</t>
        </is>
      </c>
      <c r="X269" s="5" t="n"/>
      <c r="Y269" s="3">
        <f>X269-A269</f>
        <v/>
      </c>
      <c r="Z269" s="18" t="n">
        <v>46147</v>
      </c>
      <c r="AA269" s="15" t="n"/>
      <c r="AB269" s="15" t="n"/>
    </row>
    <row r="270" hidden="1" s="233">
      <c r="A270" s="2" t="n">
        <v>46106</v>
      </c>
      <c r="B270" s="3" t="n">
        <v>2026</v>
      </c>
      <c r="C270" s="3" t="inlineStr">
        <is>
          <t>First Energy</t>
        </is>
      </c>
      <c r="D270" s="3" t="inlineStr">
        <is>
          <t>Utility and C&amp;I</t>
        </is>
      </c>
      <c r="E270" s="3" t="n"/>
      <c r="F270" s="3" t="inlineStr">
        <is>
          <t>WIP</t>
        </is>
      </c>
      <c r="G270" s="3" t="inlineStr">
        <is>
          <t>Mr. Gaurav</t>
        </is>
      </c>
      <c r="H270" s="3" t="n">
        <v>9979185999</v>
      </c>
      <c r="I270" s="11" t="inlineStr">
        <is>
          <t>PE25032601</t>
        </is>
      </c>
      <c r="J270" s="9" t="inlineStr">
        <is>
          <t>Module Defects</t>
        </is>
      </c>
      <c r="K270" s="3" t="inlineStr">
        <is>
          <t>Rajkot</t>
        </is>
      </c>
      <c r="L270" s="3" t="inlineStr">
        <is>
          <t>Gujarat</t>
        </is>
      </c>
      <c r="M270" s="9" t="inlineStr">
        <is>
          <t xml:space="preserve">hotspot found </t>
        </is>
      </c>
      <c r="N270" s="19" t="inlineStr">
        <is>
          <t>Hotspot</t>
        </is>
      </c>
      <c r="O270" s="3" t="n">
        <v>550</v>
      </c>
      <c r="P270" s="9" t="inlineStr">
        <is>
          <t>NSMP2212281140</t>
        </is>
      </c>
      <c r="Q270" s="53">
        <f>MID(P270,5,2)</f>
        <v/>
      </c>
      <c r="R270" s="53">
        <f>MID(P270,7,2)</f>
        <v/>
      </c>
      <c r="S270" s="3" t="inlineStr">
        <is>
          <t>G2TB</t>
        </is>
      </c>
      <c r="T270" s="3" t="inlineStr">
        <is>
          <t>P2</t>
        </is>
      </c>
      <c r="U270" s="9" t="inlineStr">
        <is>
          <t xml:space="preserve">Multi Cell Hotspot </t>
        </is>
      </c>
      <c r="V270" s="3" t="inlineStr">
        <is>
          <t>Inspection</t>
        </is>
      </c>
      <c r="W270" s="3" t="inlineStr">
        <is>
          <t>WIP</t>
        </is>
      </c>
      <c r="X270" s="5" t="n"/>
      <c r="Y270" s="3">
        <f>X270-A270</f>
        <v/>
      </c>
      <c r="Z270" s="18" t="n">
        <v>46147</v>
      </c>
      <c r="AA270" s="15" t="n"/>
      <c r="AB270" s="15" t="n"/>
    </row>
    <row r="271" hidden="1" s="233">
      <c r="A271" s="2" t="n">
        <v>46106</v>
      </c>
      <c r="B271" s="3" t="n">
        <v>2026</v>
      </c>
      <c r="C271" s="3" t="inlineStr">
        <is>
          <t>First Energy</t>
        </is>
      </c>
      <c r="D271" s="3" t="inlineStr">
        <is>
          <t>Utility and C&amp;I</t>
        </is>
      </c>
      <c r="E271" s="3" t="n"/>
      <c r="F271" s="3" t="inlineStr">
        <is>
          <t>WIP</t>
        </is>
      </c>
      <c r="G271" s="3" t="inlineStr">
        <is>
          <t>Mr. Gaurav</t>
        </is>
      </c>
      <c r="H271" s="3" t="n">
        <v>9979185999</v>
      </c>
      <c r="I271" s="11" t="inlineStr">
        <is>
          <t>PE25032601</t>
        </is>
      </c>
      <c r="J271" s="9" t="inlineStr">
        <is>
          <t>Module Defects</t>
        </is>
      </c>
      <c r="K271" s="3" t="inlineStr">
        <is>
          <t>Rajkot</t>
        </is>
      </c>
      <c r="L271" s="3" t="inlineStr">
        <is>
          <t>Gujarat</t>
        </is>
      </c>
      <c r="M271" s="9" t="inlineStr">
        <is>
          <t xml:space="preserve">hotspot found </t>
        </is>
      </c>
      <c r="N271" s="19" t="inlineStr">
        <is>
          <t>Hotspot</t>
        </is>
      </c>
      <c r="O271" s="3" t="n">
        <v>550</v>
      </c>
      <c r="P271" s="9" t="inlineStr">
        <is>
          <t>NSMP2301348207</t>
        </is>
      </c>
      <c r="Q271" s="53">
        <f>MID(P271,5,2)</f>
        <v/>
      </c>
      <c r="R271" s="53">
        <f>MID(P271,7,2)</f>
        <v/>
      </c>
      <c r="S271" s="3" t="inlineStr">
        <is>
          <t>G2TB</t>
        </is>
      </c>
      <c r="T271" s="3" t="inlineStr">
        <is>
          <t>P2</t>
        </is>
      </c>
      <c r="U271" s="9" t="inlineStr">
        <is>
          <t>Single Cell Hotspot</t>
        </is>
      </c>
      <c r="V271" s="3" t="inlineStr">
        <is>
          <t>Inspection</t>
        </is>
      </c>
      <c r="W271" s="3" t="inlineStr">
        <is>
          <t>WIP</t>
        </is>
      </c>
      <c r="X271" s="5" t="n"/>
      <c r="Y271" s="3">
        <f>X271-A271</f>
        <v/>
      </c>
      <c r="Z271" s="18" t="n">
        <v>46147</v>
      </c>
      <c r="AA271" s="15" t="n"/>
      <c r="AB271" s="15" t="n"/>
    </row>
    <row r="272" hidden="1" s="233">
      <c r="A272" s="2" t="n">
        <v>46106</v>
      </c>
      <c r="B272" s="3" t="n">
        <v>2026</v>
      </c>
      <c r="C272" s="3" t="inlineStr">
        <is>
          <t>First Energy</t>
        </is>
      </c>
      <c r="D272" s="3" t="inlineStr">
        <is>
          <t>Utility and C&amp;I</t>
        </is>
      </c>
      <c r="E272" s="3" t="n"/>
      <c r="F272" s="3" t="inlineStr">
        <is>
          <t>WIP</t>
        </is>
      </c>
      <c r="G272" s="3" t="inlineStr">
        <is>
          <t>Mr. Gaurav</t>
        </is>
      </c>
      <c r="H272" s="3" t="n">
        <v>9979185999</v>
      </c>
      <c r="I272" s="11" t="inlineStr">
        <is>
          <t>PE25032601</t>
        </is>
      </c>
      <c r="J272" s="9" t="inlineStr">
        <is>
          <t>Module Defects</t>
        </is>
      </c>
      <c r="K272" s="3" t="inlineStr">
        <is>
          <t>Rajkot</t>
        </is>
      </c>
      <c r="L272" s="3" t="inlineStr">
        <is>
          <t>Gujarat</t>
        </is>
      </c>
      <c r="M272" s="9" t="inlineStr">
        <is>
          <t xml:space="preserve">hotspot found </t>
        </is>
      </c>
      <c r="N272" s="19" t="inlineStr">
        <is>
          <t>Hotspot</t>
        </is>
      </c>
      <c r="O272" s="3" t="n">
        <v>550</v>
      </c>
      <c r="P272" s="9" t="inlineStr">
        <is>
          <t>NSMP2212280215</t>
        </is>
      </c>
      <c r="Q272" s="53">
        <f>MID(P272,5,2)</f>
        <v/>
      </c>
      <c r="R272" s="53">
        <f>MID(P272,7,2)</f>
        <v/>
      </c>
      <c r="S272" s="3" t="inlineStr">
        <is>
          <t>G2TB</t>
        </is>
      </c>
      <c r="T272" s="3" t="inlineStr">
        <is>
          <t>P2</t>
        </is>
      </c>
      <c r="U272" s="9" t="inlineStr">
        <is>
          <t>Single Cell Hotspot</t>
        </is>
      </c>
      <c r="V272" s="3" t="inlineStr">
        <is>
          <t>Inspection</t>
        </is>
      </c>
      <c r="W272" s="3" t="inlineStr">
        <is>
          <t>WIP</t>
        </is>
      </c>
      <c r="X272" s="5" t="n"/>
      <c r="Y272" s="3">
        <f>X272-A272</f>
        <v/>
      </c>
      <c r="Z272" s="18" t="n">
        <v>46147</v>
      </c>
      <c r="AA272" s="15" t="n"/>
      <c r="AB272" s="15" t="n"/>
    </row>
    <row r="273" hidden="1" s="233">
      <c r="A273" s="2" t="n">
        <v>46106</v>
      </c>
      <c r="B273" s="3" t="n">
        <v>2026</v>
      </c>
      <c r="C273" s="3" t="inlineStr">
        <is>
          <t>First Energy</t>
        </is>
      </c>
      <c r="D273" s="3" t="inlineStr">
        <is>
          <t>Utility and C&amp;I</t>
        </is>
      </c>
      <c r="E273" s="3" t="n"/>
      <c r="F273" s="3" t="inlineStr">
        <is>
          <t>WIP</t>
        </is>
      </c>
      <c r="G273" s="3" t="inlineStr">
        <is>
          <t>Mr. Gaurav</t>
        </is>
      </c>
      <c r="H273" s="3" t="n">
        <v>9979185999</v>
      </c>
      <c r="I273" s="11" t="inlineStr">
        <is>
          <t>PE25032601</t>
        </is>
      </c>
      <c r="J273" s="9" t="inlineStr">
        <is>
          <t>Module Defects</t>
        </is>
      </c>
      <c r="K273" s="3" t="inlineStr">
        <is>
          <t>Rajkot</t>
        </is>
      </c>
      <c r="L273" s="3" t="inlineStr">
        <is>
          <t>Gujarat</t>
        </is>
      </c>
      <c r="M273" s="9" t="inlineStr">
        <is>
          <t xml:space="preserve">hotspot found </t>
        </is>
      </c>
      <c r="N273" s="19" t="inlineStr">
        <is>
          <t>Hotspot</t>
        </is>
      </c>
      <c r="O273" s="3" t="n">
        <v>550</v>
      </c>
      <c r="P273" s="9" t="inlineStr">
        <is>
          <t>NSMP2301306608</t>
        </is>
      </c>
      <c r="Q273" s="53">
        <f>MID(P273,5,2)</f>
        <v/>
      </c>
      <c r="R273" s="53">
        <f>MID(P273,7,2)</f>
        <v/>
      </c>
      <c r="S273" s="3" t="inlineStr">
        <is>
          <t>G2TB</t>
        </is>
      </c>
      <c r="T273" s="3" t="inlineStr">
        <is>
          <t>P2</t>
        </is>
      </c>
      <c r="U273" s="9" t="inlineStr">
        <is>
          <t>Single Cell Hotspot</t>
        </is>
      </c>
      <c r="V273" s="3" t="inlineStr">
        <is>
          <t>Inspection</t>
        </is>
      </c>
      <c r="W273" s="3" t="inlineStr">
        <is>
          <t>WIP</t>
        </is>
      </c>
      <c r="X273" s="5" t="n"/>
      <c r="Y273" s="3">
        <f>X273-A273</f>
        <v/>
      </c>
      <c r="Z273" s="18" t="n">
        <v>46147</v>
      </c>
      <c r="AA273" s="15" t="n"/>
      <c r="AB273" s="15" t="n"/>
    </row>
    <row r="274" hidden="1" s="233">
      <c r="A274" s="2" t="n">
        <v>46106</v>
      </c>
      <c r="B274" s="3" t="n">
        <v>2026</v>
      </c>
      <c r="C274" s="3" t="inlineStr">
        <is>
          <t>First Energy</t>
        </is>
      </c>
      <c r="D274" s="3" t="inlineStr">
        <is>
          <t>Utility and C&amp;I</t>
        </is>
      </c>
      <c r="E274" s="3" t="n"/>
      <c r="F274" s="3" t="inlineStr">
        <is>
          <t>WIP</t>
        </is>
      </c>
      <c r="G274" s="3" t="inlineStr">
        <is>
          <t>Mr. Gaurav</t>
        </is>
      </c>
      <c r="H274" s="3" t="n">
        <v>9979185999</v>
      </c>
      <c r="I274" s="11" t="inlineStr">
        <is>
          <t>PE25032601</t>
        </is>
      </c>
      <c r="J274" s="9" t="inlineStr">
        <is>
          <t>Module Defects</t>
        </is>
      </c>
      <c r="K274" s="3" t="inlineStr">
        <is>
          <t>Rajkot</t>
        </is>
      </c>
      <c r="L274" s="3" t="inlineStr">
        <is>
          <t>Gujarat</t>
        </is>
      </c>
      <c r="M274" s="9" t="inlineStr">
        <is>
          <t xml:space="preserve">hotspot found </t>
        </is>
      </c>
      <c r="N274" s="19" t="inlineStr">
        <is>
          <t>Hotspot</t>
        </is>
      </c>
      <c r="O274" s="3" t="n">
        <v>550</v>
      </c>
      <c r="P274" s="9" t="inlineStr">
        <is>
          <t>NSMP2301296114</t>
        </is>
      </c>
      <c r="Q274" s="53">
        <f>MID(P274,5,2)</f>
        <v/>
      </c>
      <c r="R274" s="53">
        <f>MID(P274,7,2)</f>
        <v/>
      </c>
      <c r="S274" s="3" t="inlineStr">
        <is>
          <t>G2TB</t>
        </is>
      </c>
      <c r="T274" s="3" t="inlineStr">
        <is>
          <t>P2</t>
        </is>
      </c>
      <c r="U274" s="9" t="inlineStr">
        <is>
          <t>Single Cell Hotspot</t>
        </is>
      </c>
      <c r="V274" s="3" t="inlineStr">
        <is>
          <t>Inspection</t>
        </is>
      </c>
      <c r="W274" s="3" t="inlineStr">
        <is>
          <t>WIP</t>
        </is>
      </c>
      <c r="X274" s="5" t="n"/>
      <c r="Y274" s="3">
        <f>X274-A274</f>
        <v/>
      </c>
      <c r="Z274" s="18" t="n">
        <v>46147</v>
      </c>
      <c r="AA274" s="15" t="n"/>
      <c r="AB274" s="15" t="n"/>
    </row>
    <row r="275" hidden="1" s="233">
      <c r="A275" s="2" t="n">
        <v>46106</v>
      </c>
      <c r="B275" s="3" t="n">
        <v>2026</v>
      </c>
      <c r="C275" s="3" t="inlineStr">
        <is>
          <t>First Energy</t>
        </is>
      </c>
      <c r="D275" s="3" t="inlineStr">
        <is>
          <t>Utility and C&amp;I</t>
        </is>
      </c>
      <c r="E275" s="3" t="n"/>
      <c r="F275" s="3" t="inlineStr">
        <is>
          <t>WIP</t>
        </is>
      </c>
      <c r="G275" s="3" t="inlineStr">
        <is>
          <t>Mr. Gaurav</t>
        </is>
      </c>
      <c r="H275" s="3" t="n">
        <v>9979185999</v>
      </c>
      <c r="I275" s="11" t="inlineStr">
        <is>
          <t>PE25032601</t>
        </is>
      </c>
      <c r="J275" s="9" t="inlineStr">
        <is>
          <t>Module Defects</t>
        </is>
      </c>
      <c r="K275" s="3" t="inlineStr">
        <is>
          <t>Rajkot</t>
        </is>
      </c>
      <c r="L275" s="3" t="inlineStr">
        <is>
          <t>Gujarat</t>
        </is>
      </c>
      <c r="M275" s="9" t="inlineStr">
        <is>
          <t xml:space="preserve">hotspot found </t>
        </is>
      </c>
      <c r="N275" s="19" t="inlineStr">
        <is>
          <t>Hotspot</t>
        </is>
      </c>
      <c r="O275" s="3" t="n">
        <v>550</v>
      </c>
      <c r="P275" s="9" t="inlineStr">
        <is>
          <t>NSMP2301296728</t>
        </is>
      </c>
      <c r="Q275" s="53">
        <f>MID(P275,5,2)</f>
        <v/>
      </c>
      <c r="R275" s="53">
        <f>MID(P275,7,2)</f>
        <v/>
      </c>
      <c r="S275" s="3" t="inlineStr">
        <is>
          <t>G2TB</t>
        </is>
      </c>
      <c r="T275" s="3" t="inlineStr">
        <is>
          <t>P2</t>
        </is>
      </c>
      <c r="U275" s="9" t="inlineStr">
        <is>
          <t>Single Cell Hotspot</t>
        </is>
      </c>
      <c r="V275" s="3" t="inlineStr">
        <is>
          <t>Inspection</t>
        </is>
      </c>
      <c r="W275" s="3" t="inlineStr">
        <is>
          <t>WIP</t>
        </is>
      </c>
      <c r="X275" s="5" t="n"/>
      <c r="Y275" s="3">
        <f>X275-A275</f>
        <v/>
      </c>
      <c r="Z275" s="18" t="n">
        <v>46147</v>
      </c>
      <c r="AA275" s="15" t="n"/>
      <c r="AB275" s="15" t="n"/>
    </row>
    <row r="276" hidden="1" s="233">
      <c r="A276" s="2" t="n">
        <v>46106</v>
      </c>
      <c r="B276" s="3" t="n">
        <v>2026</v>
      </c>
      <c r="C276" s="3" t="inlineStr">
        <is>
          <t>First Energy</t>
        </is>
      </c>
      <c r="D276" s="3" t="inlineStr">
        <is>
          <t>Utility and C&amp;I</t>
        </is>
      </c>
      <c r="E276" s="3" t="n"/>
      <c r="F276" s="3" t="inlineStr">
        <is>
          <t>WIP</t>
        </is>
      </c>
      <c r="G276" s="3" t="inlineStr">
        <is>
          <t>Mr. Gaurav</t>
        </is>
      </c>
      <c r="H276" s="3" t="n">
        <v>9979185999</v>
      </c>
      <c r="I276" s="11" t="inlineStr">
        <is>
          <t>PE25032601</t>
        </is>
      </c>
      <c r="J276" s="9" t="inlineStr">
        <is>
          <t>Module Defects</t>
        </is>
      </c>
      <c r="K276" s="3" t="inlineStr">
        <is>
          <t>Rajkot</t>
        </is>
      </c>
      <c r="L276" s="3" t="inlineStr">
        <is>
          <t>Gujarat</t>
        </is>
      </c>
      <c r="M276" s="9" t="inlineStr">
        <is>
          <t xml:space="preserve">hotspot found </t>
        </is>
      </c>
      <c r="N276" s="19" t="inlineStr">
        <is>
          <t>Hotspot</t>
        </is>
      </c>
      <c r="O276" s="3" t="n">
        <v>550</v>
      </c>
      <c r="P276" s="9" t="inlineStr">
        <is>
          <t>NSMP2301304710</t>
        </is>
      </c>
      <c r="Q276" s="53">
        <f>MID(P276,5,2)</f>
        <v/>
      </c>
      <c r="R276" s="53">
        <f>MID(P276,7,2)</f>
        <v/>
      </c>
      <c r="S276" s="3" t="inlineStr">
        <is>
          <t>G2TB</t>
        </is>
      </c>
      <c r="T276" s="3" t="inlineStr">
        <is>
          <t>P2</t>
        </is>
      </c>
      <c r="U276" s="9" t="inlineStr">
        <is>
          <t>Single Cell Hotspot</t>
        </is>
      </c>
      <c r="V276" s="3" t="inlineStr">
        <is>
          <t>Inspection</t>
        </is>
      </c>
      <c r="W276" s="3" t="inlineStr">
        <is>
          <t>WIP</t>
        </is>
      </c>
      <c r="X276" s="5" t="n"/>
      <c r="Y276" s="3">
        <f>X276-A276</f>
        <v/>
      </c>
      <c r="Z276" s="18" t="n">
        <v>46147</v>
      </c>
      <c r="AA276" s="15" t="n"/>
      <c r="AB276" s="15" t="n"/>
    </row>
    <row r="277" hidden="1" s="233">
      <c r="A277" s="2" t="n">
        <v>46106</v>
      </c>
      <c r="B277" s="3" t="n">
        <v>2026</v>
      </c>
      <c r="C277" s="3" t="inlineStr">
        <is>
          <t>First Energy</t>
        </is>
      </c>
      <c r="D277" s="3" t="inlineStr">
        <is>
          <t>Utility and C&amp;I</t>
        </is>
      </c>
      <c r="E277" s="3" t="n"/>
      <c r="F277" s="3" t="inlineStr">
        <is>
          <t>WIP</t>
        </is>
      </c>
      <c r="G277" s="3" t="inlineStr">
        <is>
          <t>Mr. Gaurav</t>
        </is>
      </c>
      <c r="H277" s="3" t="n">
        <v>9979185999</v>
      </c>
      <c r="I277" s="11" t="inlineStr">
        <is>
          <t>PE25032601</t>
        </is>
      </c>
      <c r="J277" s="9" t="inlineStr">
        <is>
          <t>Module Defects</t>
        </is>
      </c>
      <c r="K277" s="3" t="inlineStr">
        <is>
          <t>Rajkot</t>
        </is>
      </c>
      <c r="L277" s="3" t="inlineStr">
        <is>
          <t>Gujarat</t>
        </is>
      </c>
      <c r="M277" s="9" t="inlineStr">
        <is>
          <t xml:space="preserve">hotspot found </t>
        </is>
      </c>
      <c r="N277" s="19" t="inlineStr">
        <is>
          <t>Hotspot</t>
        </is>
      </c>
      <c r="O277" s="3" t="n">
        <v>550</v>
      </c>
      <c r="P277" s="9" t="inlineStr">
        <is>
          <t>NSMP2212278825</t>
        </is>
      </c>
      <c r="Q277" s="53">
        <f>MID(P277,5,2)</f>
        <v/>
      </c>
      <c r="R277" s="53">
        <f>MID(P277,7,2)</f>
        <v/>
      </c>
      <c r="S277" s="3" t="inlineStr">
        <is>
          <t>G2TB</t>
        </is>
      </c>
      <c r="T277" s="3" t="inlineStr">
        <is>
          <t>P2</t>
        </is>
      </c>
      <c r="U277" s="9" t="inlineStr">
        <is>
          <t>Single Cell Hotspot</t>
        </is>
      </c>
      <c r="V277" s="3" t="inlineStr">
        <is>
          <t>Inspection</t>
        </is>
      </c>
      <c r="W277" s="3" t="inlineStr">
        <is>
          <t>WIP</t>
        </is>
      </c>
      <c r="X277" s="5" t="n"/>
      <c r="Y277" s="3">
        <f>X277-A277</f>
        <v/>
      </c>
      <c r="Z277" s="18" t="n">
        <v>46147</v>
      </c>
      <c r="AA277" s="15" t="n"/>
      <c r="AB277" s="15" t="n"/>
    </row>
    <row r="278" hidden="1" s="233">
      <c r="A278" s="2" t="n">
        <v>46106</v>
      </c>
      <c r="B278" s="3" t="n">
        <v>2026</v>
      </c>
      <c r="C278" s="3" t="inlineStr">
        <is>
          <t>First Energy</t>
        </is>
      </c>
      <c r="D278" s="3" t="inlineStr">
        <is>
          <t>Utility and C&amp;I</t>
        </is>
      </c>
      <c r="E278" s="3" t="n"/>
      <c r="F278" s="3" t="inlineStr">
        <is>
          <t>WIP</t>
        </is>
      </c>
      <c r="G278" s="3" t="inlineStr">
        <is>
          <t>Mr. Gaurav</t>
        </is>
      </c>
      <c r="H278" s="3" t="n">
        <v>9979185999</v>
      </c>
      <c r="I278" s="11" t="inlineStr">
        <is>
          <t>PE25032601</t>
        </is>
      </c>
      <c r="J278" s="9" t="inlineStr">
        <is>
          <t>Module Defects</t>
        </is>
      </c>
      <c r="K278" s="3" t="inlineStr">
        <is>
          <t>Rajkot</t>
        </is>
      </c>
      <c r="L278" s="3" t="inlineStr">
        <is>
          <t>Gujarat</t>
        </is>
      </c>
      <c r="M278" s="9" t="inlineStr">
        <is>
          <t xml:space="preserve">hotspot found </t>
        </is>
      </c>
      <c r="N278" s="19" t="inlineStr">
        <is>
          <t>Hotspot</t>
        </is>
      </c>
      <c r="O278" s="3" t="n">
        <v>550</v>
      </c>
      <c r="P278" s="9" t="inlineStr">
        <is>
          <t>NSMP2212285961</t>
        </is>
      </c>
      <c r="Q278" s="53">
        <f>MID(P278,5,2)</f>
        <v/>
      </c>
      <c r="R278" s="53">
        <f>MID(P278,7,2)</f>
        <v/>
      </c>
      <c r="S278" s="3" t="inlineStr">
        <is>
          <t>G2TB</t>
        </is>
      </c>
      <c r="T278" s="3" t="inlineStr">
        <is>
          <t>P2</t>
        </is>
      </c>
      <c r="U278" s="9" t="inlineStr">
        <is>
          <t>Single Cell Hotspot</t>
        </is>
      </c>
      <c r="V278" s="3" t="inlineStr">
        <is>
          <t>Inspection</t>
        </is>
      </c>
      <c r="W278" s="3" t="inlineStr">
        <is>
          <t>WIP</t>
        </is>
      </c>
      <c r="X278" s="5" t="n"/>
      <c r="Y278" s="3">
        <f>X278-A278</f>
        <v/>
      </c>
      <c r="Z278" s="18" t="n">
        <v>46147</v>
      </c>
      <c r="AA278" s="15" t="n"/>
      <c r="AB278" s="15" t="n"/>
    </row>
    <row r="279" hidden="1" s="233">
      <c r="A279" s="2" t="n">
        <v>46106</v>
      </c>
      <c r="B279" s="3" t="n">
        <v>2026</v>
      </c>
      <c r="C279" s="3" t="inlineStr">
        <is>
          <t>First Energy</t>
        </is>
      </c>
      <c r="D279" s="3" t="inlineStr">
        <is>
          <t>Utility and C&amp;I</t>
        </is>
      </c>
      <c r="E279" s="3" t="n"/>
      <c r="F279" s="3" t="inlineStr">
        <is>
          <t>WIP</t>
        </is>
      </c>
      <c r="G279" s="3" t="inlineStr">
        <is>
          <t>Mr. Gaurav</t>
        </is>
      </c>
      <c r="H279" s="3" t="n">
        <v>9979185999</v>
      </c>
      <c r="I279" s="11" t="inlineStr">
        <is>
          <t>PE25032601</t>
        </is>
      </c>
      <c r="J279" s="9" t="inlineStr">
        <is>
          <t>Module Defects</t>
        </is>
      </c>
      <c r="K279" s="3" t="inlineStr">
        <is>
          <t>Rajkot</t>
        </is>
      </c>
      <c r="L279" s="3" t="inlineStr">
        <is>
          <t>Gujarat</t>
        </is>
      </c>
      <c r="M279" s="9" t="inlineStr">
        <is>
          <t xml:space="preserve">hotspot found </t>
        </is>
      </c>
      <c r="N279" s="19" t="inlineStr">
        <is>
          <t>Hotspot</t>
        </is>
      </c>
      <c r="O279" s="3" t="n">
        <v>550</v>
      </c>
      <c r="P279" s="9" t="inlineStr">
        <is>
          <t>NSMP2212285079</t>
        </is>
      </c>
      <c r="Q279" s="53">
        <f>MID(P279,5,2)</f>
        <v/>
      </c>
      <c r="R279" s="53">
        <f>MID(P279,7,2)</f>
        <v/>
      </c>
      <c r="S279" s="3" t="inlineStr">
        <is>
          <t>G2TB</t>
        </is>
      </c>
      <c r="T279" s="3" t="inlineStr">
        <is>
          <t>P2</t>
        </is>
      </c>
      <c r="U279" s="9" t="inlineStr">
        <is>
          <t>Multi Cell Hotspot</t>
        </is>
      </c>
      <c r="V279" s="3" t="inlineStr">
        <is>
          <t>Inspection</t>
        </is>
      </c>
      <c r="W279" s="3" t="inlineStr">
        <is>
          <t>WIP</t>
        </is>
      </c>
      <c r="X279" s="5" t="n"/>
      <c r="Y279" s="3">
        <f>X279-A279</f>
        <v/>
      </c>
      <c r="Z279" s="18" t="n">
        <v>46147</v>
      </c>
      <c r="AA279" s="15" t="n"/>
      <c r="AB279" s="15" t="n"/>
    </row>
    <row r="280" hidden="1" s="233">
      <c r="A280" s="2" t="n">
        <v>46106</v>
      </c>
      <c r="B280" s="3" t="n">
        <v>2026</v>
      </c>
      <c r="C280" s="3" t="inlineStr">
        <is>
          <t>First Energy</t>
        </is>
      </c>
      <c r="D280" s="3" t="inlineStr">
        <is>
          <t>Utility and C&amp;I</t>
        </is>
      </c>
      <c r="E280" s="3" t="n"/>
      <c r="F280" s="3" t="inlineStr">
        <is>
          <t>WIP</t>
        </is>
      </c>
      <c r="G280" s="3" t="inlineStr">
        <is>
          <t>Mr. Gaurav</t>
        </is>
      </c>
      <c r="H280" s="3" t="n">
        <v>9979185999</v>
      </c>
      <c r="I280" s="11" t="inlineStr">
        <is>
          <t>PE25032601</t>
        </is>
      </c>
      <c r="J280" s="9" t="inlineStr">
        <is>
          <t>Module Defects</t>
        </is>
      </c>
      <c r="K280" s="3" t="inlineStr">
        <is>
          <t>Rajkot</t>
        </is>
      </c>
      <c r="L280" s="3" t="inlineStr">
        <is>
          <t>Gujarat</t>
        </is>
      </c>
      <c r="M280" s="9" t="inlineStr">
        <is>
          <t xml:space="preserve">hotspot found </t>
        </is>
      </c>
      <c r="N280" s="19" t="inlineStr">
        <is>
          <t>Hotspot</t>
        </is>
      </c>
      <c r="O280" s="3" t="n">
        <v>550</v>
      </c>
      <c r="P280" s="9" t="inlineStr">
        <is>
          <t>NSMP2301306783</t>
        </is>
      </c>
      <c r="Q280" s="53">
        <f>MID(P280,5,2)</f>
        <v/>
      </c>
      <c r="R280" s="53">
        <f>MID(P280,7,2)</f>
        <v/>
      </c>
      <c r="S280" s="3" t="inlineStr">
        <is>
          <t>G2TB</t>
        </is>
      </c>
      <c r="T280" s="3" t="inlineStr">
        <is>
          <t>P2</t>
        </is>
      </c>
      <c r="U280" s="9" t="inlineStr">
        <is>
          <t>Multi Cell Hotspot</t>
        </is>
      </c>
      <c r="V280" s="3" t="inlineStr">
        <is>
          <t>Inspection</t>
        </is>
      </c>
      <c r="W280" s="3" t="inlineStr">
        <is>
          <t>WIP</t>
        </is>
      </c>
      <c r="X280" s="5" t="n"/>
      <c r="Y280" s="3">
        <f>X280-A280</f>
        <v/>
      </c>
      <c r="Z280" s="18" t="n">
        <v>46147</v>
      </c>
      <c r="AA280" s="15" t="n"/>
      <c r="AB280" s="15" t="n"/>
    </row>
    <row r="281" hidden="1" s="233">
      <c r="A281" s="2" t="n">
        <v>46106</v>
      </c>
      <c r="B281" s="3" t="n">
        <v>2026</v>
      </c>
      <c r="C281" s="3" t="inlineStr">
        <is>
          <t>First Energy</t>
        </is>
      </c>
      <c r="D281" s="3" t="inlineStr">
        <is>
          <t>Utility and C&amp;I</t>
        </is>
      </c>
      <c r="E281" s="3" t="n"/>
      <c r="F281" s="3" t="inlineStr">
        <is>
          <t>WIP</t>
        </is>
      </c>
      <c r="G281" s="3" t="inlineStr">
        <is>
          <t>Mr. Gaurav</t>
        </is>
      </c>
      <c r="H281" s="3" t="n">
        <v>9979185999</v>
      </c>
      <c r="I281" s="11" t="inlineStr">
        <is>
          <t>PE25032601</t>
        </is>
      </c>
      <c r="J281" s="9" t="inlineStr">
        <is>
          <t>Module Defects</t>
        </is>
      </c>
      <c r="K281" s="3" t="inlineStr">
        <is>
          <t>Rajkot</t>
        </is>
      </c>
      <c r="L281" s="3" t="inlineStr">
        <is>
          <t>Gujarat</t>
        </is>
      </c>
      <c r="M281" s="9" t="inlineStr">
        <is>
          <t xml:space="preserve">hotspot found </t>
        </is>
      </c>
      <c r="N281" s="19" t="inlineStr">
        <is>
          <t>Hotspot</t>
        </is>
      </c>
      <c r="O281" s="3" t="n">
        <v>550</v>
      </c>
      <c r="P281" s="9" t="inlineStr">
        <is>
          <t>NSMP2212286367</t>
        </is>
      </c>
      <c r="Q281" s="53">
        <f>MID(P281,5,2)</f>
        <v/>
      </c>
      <c r="R281" s="53">
        <f>MID(P281,7,2)</f>
        <v/>
      </c>
      <c r="S281" s="3" t="inlineStr">
        <is>
          <t>G2TB</t>
        </is>
      </c>
      <c r="T281" s="3" t="inlineStr">
        <is>
          <t>P2</t>
        </is>
      </c>
      <c r="U281" s="9" t="inlineStr">
        <is>
          <t>Multi Cell Hotspot</t>
        </is>
      </c>
      <c r="V281" s="3" t="inlineStr">
        <is>
          <t>Inspection</t>
        </is>
      </c>
      <c r="W281" s="3" t="inlineStr">
        <is>
          <t>WIP</t>
        </is>
      </c>
      <c r="X281" s="5" t="n"/>
      <c r="Y281" s="3">
        <f>X281-A281</f>
        <v/>
      </c>
      <c r="Z281" s="18" t="n">
        <v>46147</v>
      </c>
      <c r="AA281" s="15" t="n"/>
      <c r="AB281" s="15" t="n"/>
    </row>
    <row r="282" hidden="1" s="233">
      <c r="A282" s="2" t="n">
        <v>46106</v>
      </c>
      <c r="B282" s="3" t="n">
        <v>2026</v>
      </c>
      <c r="C282" s="3" t="inlineStr">
        <is>
          <t>First Energy</t>
        </is>
      </c>
      <c r="D282" s="3" t="inlineStr">
        <is>
          <t>Utility and C&amp;I</t>
        </is>
      </c>
      <c r="E282" s="3" t="n"/>
      <c r="F282" s="3" t="inlineStr">
        <is>
          <t>WIP</t>
        </is>
      </c>
      <c r="G282" s="3" t="inlineStr">
        <is>
          <t>Mr. Gaurav</t>
        </is>
      </c>
      <c r="H282" s="3" t="n">
        <v>9979185999</v>
      </c>
      <c r="I282" s="11" t="inlineStr">
        <is>
          <t>PE25032601</t>
        </is>
      </c>
      <c r="J282" s="9" t="inlineStr">
        <is>
          <t>Module Defects</t>
        </is>
      </c>
      <c r="K282" s="3" t="inlineStr">
        <is>
          <t>Rajkot</t>
        </is>
      </c>
      <c r="L282" s="3" t="inlineStr">
        <is>
          <t>Gujarat</t>
        </is>
      </c>
      <c r="M282" s="9" t="inlineStr">
        <is>
          <t xml:space="preserve">hotspot found </t>
        </is>
      </c>
      <c r="N282" s="19" t="inlineStr">
        <is>
          <t>Hotspot</t>
        </is>
      </c>
      <c r="O282" s="3" t="n">
        <v>550</v>
      </c>
      <c r="P282" s="9" t="inlineStr">
        <is>
          <t>NSMP2301307867</t>
        </is>
      </c>
      <c r="Q282" s="53">
        <f>MID(P282,5,2)</f>
        <v/>
      </c>
      <c r="R282" s="53">
        <f>MID(P282,7,2)</f>
        <v/>
      </c>
      <c r="S282" s="3" t="inlineStr">
        <is>
          <t>G2TB</t>
        </is>
      </c>
      <c r="T282" s="3" t="inlineStr">
        <is>
          <t>P2</t>
        </is>
      </c>
      <c r="U282" s="9" t="inlineStr">
        <is>
          <t>Multi Cell Hotspot</t>
        </is>
      </c>
      <c r="V282" s="3" t="inlineStr">
        <is>
          <t>Inspection</t>
        </is>
      </c>
      <c r="W282" s="3" t="inlineStr">
        <is>
          <t>WIP</t>
        </is>
      </c>
      <c r="X282" s="5" t="n"/>
      <c r="Y282" s="3">
        <f>X282-A282</f>
        <v/>
      </c>
      <c r="Z282" s="18" t="n">
        <v>46147</v>
      </c>
      <c r="AA282" s="15" t="n"/>
      <c r="AB282" s="15" t="n"/>
    </row>
    <row r="283" hidden="1" s="233">
      <c r="A283" s="2" t="n">
        <v>46106</v>
      </c>
      <c r="B283" s="3" t="n">
        <v>2026</v>
      </c>
      <c r="C283" s="3" t="inlineStr">
        <is>
          <t>First Energy</t>
        </is>
      </c>
      <c r="D283" s="3" t="inlineStr">
        <is>
          <t>Utility and C&amp;I</t>
        </is>
      </c>
      <c r="E283" s="3" t="n"/>
      <c r="F283" s="3" t="inlineStr">
        <is>
          <t>WIP</t>
        </is>
      </c>
      <c r="G283" s="3" t="inlineStr">
        <is>
          <t>Mr. Gaurav</t>
        </is>
      </c>
      <c r="H283" s="3" t="n">
        <v>9979185999</v>
      </c>
      <c r="I283" s="11" t="inlineStr">
        <is>
          <t>PE25032601</t>
        </is>
      </c>
      <c r="J283" s="9" t="inlineStr">
        <is>
          <t>Module Defects</t>
        </is>
      </c>
      <c r="K283" s="3" t="inlineStr">
        <is>
          <t>Rajkot</t>
        </is>
      </c>
      <c r="L283" s="3" t="inlineStr">
        <is>
          <t>Gujarat</t>
        </is>
      </c>
      <c r="M283" s="9" t="inlineStr">
        <is>
          <t xml:space="preserve">hotspot found </t>
        </is>
      </c>
      <c r="N283" s="19" t="inlineStr">
        <is>
          <t>Hotspot</t>
        </is>
      </c>
      <c r="O283" s="3" t="n">
        <v>550</v>
      </c>
      <c r="P283" s="9" t="inlineStr">
        <is>
          <t>NSMP2212284484</t>
        </is>
      </c>
      <c r="Q283" s="53">
        <f>MID(P283,5,2)</f>
        <v/>
      </c>
      <c r="R283" s="53">
        <f>MID(P283,7,2)</f>
        <v/>
      </c>
      <c r="S283" s="3" t="inlineStr">
        <is>
          <t>G2TB</t>
        </is>
      </c>
      <c r="T283" s="3" t="inlineStr">
        <is>
          <t>P2</t>
        </is>
      </c>
      <c r="U283" s="9" t="inlineStr">
        <is>
          <t>Multi Cell Hotspot</t>
        </is>
      </c>
      <c r="V283" s="3" t="inlineStr">
        <is>
          <t>Inspection</t>
        </is>
      </c>
      <c r="W283" s="3" t="inlineStr">
        <is>
          <t>WIP</t>
        </is>
      </c>
      <c r="X283" s="5" t="n"/>
      <c r="Y283" s="3">
        <f>X283-A283</f>
        <v/>
      </c>
      <c r="Z283" s="18" t="n">
        <v>46147</v>
      </c>
      <c r="AA283" s="15" t="n"/>
      <c r="AB283" s="15" t="n"/>
    </row>
    <row r="284" hidden="1" s="233">
      <c r="A284" s="2" t="n">
        <v>46106</v>
      </c>
      <c r="B284" s="3" t="n">
        <v>2026</v>
      </c>
      <c r="C284" s="3" t="inlineStr">
        <is>
          <t>First Energy</t>
        </is>
      </c>
      <c r="D284" s="3" t="inlineStr">
        <is>
          <t>Utility and C&amp;I</t>
        </is>
      </c>
      <c r="E284" s="3" t="n"/>
      <c r="F284" s="3" t="inlineStr">
        <is>
          <t>WIP</t>
        </is>
      </c>
      <c r="G284" s="3" t="inlineStr">
        <is>
          <t>Mr. Gaurav</t>
        </is>
      </c>
      <c r="H284" s="3" t="n">
        <v>9979185999</v>
      </c>
      <c r="I284" s="11" t="inlineStr">
        <is>
          <t>PE25032601</t>
        </is>
      </c>
      <c r="J284" s="9" t="inlineStr">
        <is>
          <t>Module Defects</t>
        </is>
      </c>
      <c r="K284" s="3" t="inlineStr">
        <is>
          <t>Rajkot</t>
        </is>
      </c>
      <c r="L284" s="3" t="inlineStr">
        <is>
          <t>Gujarat</t>
        </is>
      </c>
      <c r="M284" s="9" t="inlineStr">
        <is>
          <t xml:space="preserve">hotspot found </t>
        </is>
      </c>
      <c r="N284" s="19" t="inlineStr">
        <is>
          <t>Hotspot</t>
        </is>
      </c>
      <c r="O284" s="3" t="n">
        <v>550</v>
      </c>
      <c r="P284" s="9" t="inlineStr">
        <is>
          <t>NSMP2212284494</t>
        </is>
      </c>
      <c r="Q284" s="53">
        <f>MID(P284,5,2)</f>
        <v/>
      </c>
      <c r="R284" s="53">
        <f>MID(P284,7,2)</f>
        <v/>
      </c>
      <c r="S284" s="3" t="inlineStr">
        <is>
          <t>G2TB</t>
        </is>
      </c>
      <c r="T284" s="3" t="inlineStr">
        <is>
          <t>P2</t>
        </is>
      </c>
      <c r="U284" s="9" t="inlineStr">
        <is>
          <t>Multi Cell Hotspot</t>
        </is>
      </c>
      <c r="V284" s="3" t="inlineStr">
        <is>
          <t>Inspection</t>
        </is>
      </c>
      <c r="W284" s="3" t="inlineStr">
        <is>
          <t>WIP</t>
        </is>
      </c>
      <c r="X284" s="5" t="n"/>
      <c r="Y284" s="3">
        <f>X284-A284</f>
        <v/>
      </c>
      <c r="Z284" s="18" t="n">
        <v>46147</v>
      </c>
      <c r="AA284" s="15" t="n"/>
      <c r="AB284" s="15" t="n"/>
    </row>
    <row r="285" hidden="1" s="233">
      <c r="A285" s="2" t="n">
        <v>46106</v>
      </c>
      <c r="B285" s="3" t="n">
        <v>2026</v>
      </c>
      <c r="C285" s="3" t="inlineStr">
        <is>
          <t>First Energy</t>
        </is>
      </c>
      <c r="D285" s="3" t="inlineStr">
        <is>
          <t>Utility and C&amp;I</t>
        </is>
      </c>
      <c r="E285" s="3" t="n"/>
      <c r="F285" s="3" t="inlineStr">
        <is>
          <t>WIP</t>
        </is>
      </c>
      <c r="G285" s="3" t="inlineStr">
        <is>
          <t>Mr. Gaurav</t>
        </is>
      </c>
      <c r="H285" s="3" t="n">
        <v>9979185999</v>
      </c>
      <c r="I285" s="11" t="inlineStr">
        <is>
          <t>PE25032601</t>
        </is>
      </c>
      <c r="J285" s="9" t="inlineStr">
        <is>
          <t>Module Defects</t>
        </is>
      </c>
      <c r="K285" s="3" t="inlineStr">
        <is>
          <t>Rajkot</t>
        </is>
      </c>
      <c r="L285" s="3" t="inlineStr">
        <is>
          <t>Gujarat</t>
        </is>
      </c>
      <c r="M285" s="9" t="inlineStr">
        <is>
          <t xml:space="preserve">hotspot found </t>
        </is>
      </c>
      <c r="N285" s="19" t="inlineStr">
        <is>
          <t>Hotspot</t>
        </is>
      </c>
      <c r="O285" s="3" t="n">
        <v>550</v>
      </c>
      <c r="P285" s="9" t="inlineStr">
        <is>
          <t>NSMP2301333881</t>
        </is>
      </c>
      <c r="Q285" s="53">
        <f>MID(P285,5,2)</f>
        <v/>
      </c>
      <c r="R285" s="53">
        <f>MID(P285,7,2)</f>
        <v/>
      </c>
      <c r="S285" s="3" t="inlineStr">
        <is>
          <t>G2TB</t>
        </is>
      </c>
      <c r="T285" s="3" t="inlineStr">
        <is>
          <t>P2</t>
        </is>
      </c>
      <c r="U285" s="9" t="inlineStr">
        <is>
          <t>Multi Cell Hotspot</t>
        </is>
      </c>
      <c r="V285" s="3" t="inlineStr">
        <is>
          <t>Inspection</t>
        </is>
      </c>
      <c r="W285" s="3" t="inlineStr">
        <is>
          <t>WIP</t>
        </is>
      </c>
      <c r="X285" s="5" t="n"/>
      <c r="Y285" s="3">
        <f>X285-A285</f>
        <v/>
      </c>
      <c r="Z285" s="18" t="n">
        <v>46147</v>
      </c>
      <c r="AA285" s="15" t="n"/>
      <c r="AB285" s="15" t="n"/>
    </row>
    <row r="286" hidden="1" s="233">
      <c r="A286" s="2" t="n">
        <v>46106</v>
      </c>
      <c r="B286" s="3" t="n">
        <v>2026</v>
      </c>
      <c r="C286" s="3" t="inlineStr">
        <is>
          <t>First Energy</t>
        </is>
      </c>
      <c r="D286" s="3" t="inlineStr">
        <is>
          <t>Utility and C&amp;I</t>
        </is>
      </c>
      <c r="E286" s="3" t="n"/>
      <c r="F286" s="3" t="inlineStr">
        <is>
          <t>WIP</t>
        </is>
      </c>
      <c r="G286" s="3" t="inlineStr">
        <is>
          <t>Mr. Gaurav</t>
        </is>
      </c>
      <c r="H286" s="3" t="n">
        <v>9979185999</v>
      </c>
      <c r="I286" s="11" t="inlineStr">
        <is>
          <t>PE25032601</t>
        </is>
      </c>
      <c r="J286" s="9" t="inlineStr">
        <is>
          <t>Module Defects</t>
        </is>
      </c>
      <c r="K286" s="3" t="inlineStr">
        <is>
          <t>Rajkot</t>
        </is>
      </c>
      <c r="L286" s="3" t="inlineStr">
        <is>
          <t>Gujarat</t>
        </is>
      </c>
      <c r="M286" s="9" t="inlineStr">
        <is>
          <t xml:space="preserve">hotspot found </t>
        </is>
      </c>
      <c r="N286" s="19" t="inlineStr">
        <is>
          <t>Hotspot</t>
        </is>
      </c>
      <c r="O286" s="3" t="n">
        <v>550</v>
      </c>
      <c r="P286" s="9" t="inlineStr">
        <is>
          <t>NSMP2301324006</t>
        </is>
      </c>
      <c r="Q286" s="53">
        <f>MID(P286,5,2)</f>
        <v/>
      </c>
      <c r="R286" s="53">
        <f>MID(P286,7,2)</f>
        <v/>
      </c>
      <c r="S286" s="3" t="inlineStr">
        <is>
          <t>G2TB</t>
        </is>
      </c>
      <c r="T286" s="3" t="inlineStr">
        <is>
          <t>P2</t>
        </is>
      </c>
      <c r="U286" s="9" t="inlineStr">
        <is>
          <t>Multi Cell Hotspot</t>
        </is>
      </c>
      <c r="V286" s="3" t="inlineStr">
        <is>
          <t>Inspection</t>
        </is>
      </c>
      <c r="W286" s="3" t="inlineStr">
        <is>
          <t>WIP</t>
        </is>
      </c>
      <c r="X286" s="5" t="n"/>
      <c r="Y286" s="3">
        <f>X286-A286</f>
        <v/>
      </c>
      <c r="Z286" s="18" t="n">
        <v>46147</v>
      </c>
      <c r="AA286" s="15" t="n"/>
      <c r="AB286" s="15" t="n"/>
    </row>
    <row r="287" hidden="1" s="233">
      <c r="A287" s="2" t="n">
        <v>46106</v>
      </c>
      <c r="B287" s="3" t="n">
        <v>2026</v>
      </c>
      <c r="C287" s="3" t="inlineStr">
        <is>
          <t>First Energy</t>
        </is>
      </c>
      <c r="D287" s="3" t="inlineStr">
        <is>
          <t>Utility and C&amp;I</t>
        </is>
      </c>
      <c r="E287" s="3" t="n"/>
      <c r="F287" s="3" t="inlineStr">
        <is>
          <t>WIP</t>
        </is>
      </c>
      <c r="G287" s="3" t="inlineStr">
        <is>
          <t>Mr. Gaurav</t>
        </is>
      </c>
      <c r="H287" s="3" t="n">
        <v>9979185999</v>
      </c>
      <c r="I287" s="11" t="inlineStr">
        <is>
          <t>PE25032601</t>
        </is>
      </c>
      <c r="J287" s="9" t="inlineStr">
        <is>
          <t>Module Defects</t>
        </is>
      </c>
      <c r="K287" s="3" t="inlineStr">
        <is>
          <t>Rajkot</t>
        </is>
      </c>
      <c r="L287" s="3" t="inlineStr">
        <is>
          <t>Gujarat</t>
        </is>
      </c>
      <c r="M287" s="9" t="inlineStr">
        <is>
          <t xml:space="preserve">Broken Module </t>
        </is>
      </c>
      <c r="N287" s="19" t="inlineStr">
        <is>
          <t>Hotspot</t>
        </is>
      </c>
      <c r="O287" s="3" t="n">
        <v>550</v>
      </c>
      <c r="P287" s="9" t="inlineStr">
        <is>
          <t>NSMP2301328119</t>
        </is>
      </c>
      <c r="Q287" s="53">
        <f>MID(P287,5,2)</f>
        <v/>
      </c>
      <c r="R287" s="53">
        <f>MID(P287,7,2)</f>
        <v/>
      </c>
      <c r="S287" s="3" t="inlineStr">
        <is>
          <t>G2TB</t>
        </is>
      </c>
      <c r="T287" s="3" t="inlineStr">
        <is>
          <t>P2</t>
        </is>
      </c>
      <c r="U287" s="9" t="inlineStr">
        <is>
          <t>Single Cell Hotspot</t>
        </is>
      </c>
      <c r="V287" s="3" t="inlineStr">
        <is>
          <t>Inspection</t>
        </is>
      </c>
      <c r="W287" s="3" t="inlineStr">
        <is>
          <t>WIP</t>
        </is>
      </c>
      <c r="X287" s="5" t="n"/>
      <c r="Y287" s="3">
        <f>X287-A287</f>
        <v/>
      </c>
      <c r="Z287" s="18" t="n">
        <v>46147</v>
      </c>
      <c r="AA287" s="15" t="n"/>
      <c r="AB287" s="15" t="n"/>
    </row>
    <row r="288" hidden="1" s="233">
      <c r="A288" s="2" t="n">
        <v>46106</v>
      </c>
      <c r="B288" s="3" t="n">
        <v>2026</v>
      </c>
      <c r="C288" s="3" t="inlineStr">
        <is>
          <t>First Energy</t>
        </is>
      </c>
      <c r="D288" s="3" t="inlineStr">
        <is>
          <t>Utility and C&amp;I</t>
        </is>
      </c>
      <c r="E288" s="3" t="n"/>
      <c r="F288" s="3" t="inlineStr">
        <is>
          <t>WIP</t>
        </is>
      </c>
      <c r="G288" s="3" t="inlineStr">
        <is>
          <t>Mr. Gaurav</t>
        </is>
      </c>
      <c r="H288" s="3" t="n">
        <v>9979185999</v>
      </c>
      <c r="I288" s="11" t="inlineStr">
        <is>
          <t>PE25032601</t>
        </is>
      </c>
      <c r="J288" s="9" t="inlineStr">
        <is>
          <t>Module Defects</t>
        </is>
      </c>
      <c r="K288" s="3" t="inlineStr">
        <is>
          <t>Rajkot</t>
        </is>
      </c>
      <c r="L288" s="3" t="inlineStr">
        <is>
          <t>Gujarat</t>
        </is>
      </c>
      <c r="M288" s="9" t="inlineStr">
        <is>
          <t xml:space="preserve">hotspot found </t>
        </is>
      </c>
      <c r="N288" s="19" t="inlineStr">
        <is>
          <t>Hotspot</t>
        </is>
      </c>
      <c r="O288" s="3" t="n">
        <v>550</v>
      </c>
      <c r="P288" s="9" t="inlineStr">
        <is>
          <t>NSMP2301347945</t>
        </is>
      </c>
      <c r="Q288" s="53">
        <f>MID(P288,5,2)</f>
        <v/>
      </c>
      <c r="R288" s="53">
        <f>MID(P288,7,2)</f>
        <v/>
      </c>
      <c r="S288" s="3" t="inlineStr">
        <is>
          <t>G2TB</t>
        </is>
      </c>
      <c r="T288" s="3" t="inlineStr">
        <is>
          <t>P2</t>
        </is>
      </c>
      <c r="U288" s="9" t="inlineStr">
        <is>
          <t>Single Cell Hotspot</t>
        </is>
      </c>
      <c r="V288" s="3" t="inlineStr">
        <is>
          <t>Inspection</t>
        </is>
      </c>
      <c r="W288" s="3" t="inlineStr">
        <is>
          <t>WIP</t>
        </is>
      </c>
      <c r="X288" s="5" t="n"/>
      <c r="Y288" s="3">
        <f>X288-A288</f>
        <v/>
      </c>
      <c r="Z288" s="18" t="n">
        <v>46147</v>
      </c>
      <c r="AA288" s="15" t="n"/>
      <c r="AB288" s="15" t="n"/>
    </row>
    <row r="289" hidden="1" s="233">
      <c r="A289" s="2" t="n">
        <v>46106</v>
      </c>
      <c r="B289" s="3" t="n">
        <v>2026</v>
      </c>
      <c r="C289" s="3" t="inlineStr">
        <is>
          <t>First Energy</t>
        </is>
      </c>
      <c r="D289" s="3" t="inlineStr">
        <is>
          <t>Utility and C&amp;I</t>
        </is>
      </c>
      <c r="E289" s="3" t="n"/>
      <c r="F289" s="3" t="inlineStr">
        <is>
          <t>WIP</t>
        </is>
      </c>
      <c r="G289" s="3" t="inlineStr">
        <is>
          <t>Mr. Gaurav</t>
        </is>
      </c>
      <c r="H289" s="3" t="n">
        <v>9979185999</v>
      </c>
      <c r="I289" s="11" t="inlineStr">
        <is>
          <t>PE25032601</t>
        </is>
      </c>
      <c r="J289" s="9" t="inlineStr">
        <is>
          <t>Module Defects</t>
        </is>
      </c>
      <c r="K289" s="3" t="inlineStr">
        <is>
          <t>Rajkot</t>
        </is>
      </c>
      <c r="L289" s="3" t="inlineStr">
        <is>
          <t>Gujarat</t>
        </is>
      </c>
      <c r="M289" s="9" t="inlineStr">
        <is>
          <t xml:space="preserve">hotspot found </t>
        </is>
      </c>
      <c r="N289" s="19" t="inlineStr">
        <is>
          <t>Hotspot</t>
        </is>
      </c>
      <c r="O289" s="3" t="n">
        <v>550</v>
      </c>
      <c r="P289" s="9" t="inlineStr">
        <is>
          <t>NSMP24091544295</t>
        </is>
      </c>
      <c r="Q289" s="53">
        <f>MID(P289,5,2)</f>
        <v/>
      </c>
      <c r="R289" s="53">
        <f>MID(P289,7,2)</f>
        <v/>
      </c>
      <c r="S289" s="3" t="inlineStr">
        <is>
          <t>G2TB</t>
        </is>
      </c>
      <c r="T289" s="3" t="inlineStr">
        <is>
          <t>P2</t>
        </is>
      </c>
      <c r="U289" s="9" t="inlineStr">
        <is>
          <t>Single Cell Hotspot</t>
        </is>
      </c>
      <c r="V289" s="3" t="inlineStr">
        <is>
          <t>Inspection</t>
        </is>
      </c>
      <c r="W289" s="3" t="inlineStr">
        <is>
          <t>WIP</t>
        </is>
      </c>
      <c r="X289" s="5" t="n"/>
      <c r="Y289" s="3">
        <f>X289-A289</f>
        <v/>
      </c>
      <c r="Z289" s="18" t="n">
        <v>46147</v>
      </c>
      <c r="AA289" s="15" t="n"/>
      <c r="AB289" s="15" t="n"/>
    </row>
    <row r="290" hidden="1" s="233">
      <c r="A290" s="2" t="n">
        <v>46106</v>
      </c>
      <c r="B290" s="3" t="n">
        <v>2026</v>
      </c>
      <c r="C290" s="3" t="inlineStr">
        <is>
          <t>First Energy</t>
        </is>
      </c>
      <c r="D290" s="3" t="inlineStr">
        <is>
          <t>Utility and C&amp;I</t>
        </is>
      </c>
      <c r="E290" s="3" t="n"/>
      <c r="F290" s="3" t="inlineStr">
        <is>
          <t>WIP</t>
        </is>
      </c>
      <c r="G290" s="3" t="inlineStr">
        <is>
          <t>Mr. Gaurav</t>
        </is>
      </c>
      <c r="H290" s="3" t="n">
        <v>9979185999</v>
      </c>
      <c r="I290" s="11" t="inlineStr">
        <is>
          <t>PE25032601</t>
        </is>
      </c>
      <c r="J290" s="9" t="inlineStr">
        <is>
          <t>Module Defects</t>
        </is>
      </c>
      <c r="K290" s="3" t="inlineStr">
        <is>
          <t>Rajkot</t>
        </is>
      </c>
      <c r="L290" s="3" t="inlineStr">
        <is>
          <t>Gujarat</t>
        </is>
      </c>
      <c r="M290" s="9" t="inlineStr">
        <is>
          <t xml:space="preserve">hotspot found </t>
        </is>
      </c>
      <c r="N290" s="19" t="inlineStr">
        <is>
          <t>Hotspot</t>
        </is>
      </c>
      <c r="O290" s="3" t="n">
        <v>550</v>
      </c>
      <c r="P290" s="9" t="inlineStr">
        <is>
          <t>NSMP24091545009</t>
        </is>
      </c>
      <c r="Q290" s="53">
        <f>MID(P290,5,2)</f>
        <v/>
      </c>
      <c r="R290" s="53">
        <f>MID(P290,7,2)</f>
        <v/>
      </c>
      <c r="S290" s="3" t="inlineStr">
        <is>
          <t>G2TB</t>
        </is>
      </c>
      <c r="T290" s="3" t="inlineStr">
        <is>
          <t>P2</t>
        </is>
      </c>
      <c r="U290" s="9" t="inlineStr">
        <is>
          <t>Single Cell Hotspot</t>
        </is>
      </c>
      <c r="V290" s="3" t="inlineStr">
        <is>
          <t>Inspection</t>
        </is>
      </c>
      <c r="W290" s="3" t="inlineStr">
        <is>
          <t>WIP</t>
        </is>
      </c>
      <c r="X290" s="5" t="n"/>
      <c r="Y290" s="3">
        <f>X290-A290</f>
        <v/>
      </c>
      <c r="Z290" s="18" t="n">
        <v>46147</v>
      </c>
      <c r="AA290" s="15" t="n"/>
      <c r="AB290" s="15" t="n"/>
    </row>
    <row r="291" hidden="1" s="233">
      <c r="A291" s="2" t="n">
        <v>46106</v>
      </c>
      <c r="B291" s="3" t="n">
        <v>2026</v>
      </c>
      <c r="C291" s="3" t="inlineStr">
        <is>
          <t>First Energy</t>
        </is>
      </c>
      <c r="D291" s="3" t="inlineStr">
        <is>
          <t>Utility and C&amp;I</t>
        </is>
      </c>
      <c r="E291" s="3" t="n"/>
      <c r="F291" s="3" t="inlineStr">
        <is>
          <t>WIP</t>
        </is>
      </c>
      <c r="G291" s="3" t="inlineStr">
        <is>
          <t>Mr. Gaurav</t>
        </is>
      </c>
      <c r="H291" s="3" t="n">
        <v>9979185999</v>
      </c>
      <c r="I291" s="11" t="inlineStr">
        <is>
          <t>PE25032601</t>
        </is>
      </c>
      <c r="J291" s="9" t="inlineStr">
        <is>
          <t>Module Defects</t>
        </is>
      </c>
      <c r="K291" s="3" t="inlineStr">
        <is>
          <t>Rajkot</t>
        </is>
      </c>
      <c r="L291" s="3" t="inlineStr">
        <is>
          <t>Gujarat</t>
        </is>
      </c>
      <c r="M291" s="9" t="inlineStr">
        <is>
          <t xml:space="preserve">hotspot found </t>
        </is>
      </c>
      <c r="N291" s="19" t="inlineStr">
        <is>
          <t>Hotspot</t>
        </is>
      </c>
      <c r="O291" s="3" t="n">
        <v>550</v>
      </c>
      <c r="P291" s="9" t="inlineStr">
        <is>
          <t>NSMP2301328092</t>
        </is>
      </c>
      <c r="Q291" s="53">
        <f>MID(P291,5,2)</f>
        <v/>
      </c>
      <c r="R291" s="53">
        <f>MID(P291,7,2)</f>
        <v/>
      </c>
      <c r="S291" s="3" t="inlineStr">
        <is>
          <t>G2TB</t>
        </is>
      </c>
      <c r="T291" s="3" t="inlineStr">
        <is>
          <t>P2</t>
        </is>
      </c>
      <c r="U291" s="9" t="inlineStr">
        <is>
          <t xml:space="preserve">Single Cell Hotspot </t>
        </is>
      </c>
      <c r="V291" s="3" t="inlineStr">
        <is>
          <t>Inspection</t>
        </is>
      </c>
      <c r="W291" s="3" t="inlineStr">
        <is>
          <t>WIP</t>
        </is>
      </c>
      <c r="X291" s="5" t="n"/>
      <c r="Y291" s="3">
        <f>X291-A291</f>
        <v/>
      </c>
      <c r="Z291" s="18" t="n">
        <v>46147</v>
      </c>
      <c r="AA291" s="15" t="n"/>
      <c r="AB291" s="15" t="n"/>
    </row>
    <row r="292" hidden="1" s="233">
      <c r="A292" s="2" t="n">
        <v>46106</v>
      </c>
      <c r="B292" s="3" t="n">
        <v>2026</v>
      </c>
      <c r="C292" s="3" t="inlineStr">
        <is>
          <t>First Energy</t>
        </is>
      </c>
      <c r="D292" s="3" t="inlineStr">
        <is>
          <t>Utility and C&amp;I</t>
        </is>
      </c>
      <c r="E292" s="3" t="n"/>
      <c r="F292" s="3" t="inlineStr">
        <is>
          <t>WIP</t>
        </is>
      </c>
      <c r="G292" s="3" t="inlineStr">
        <is>
          <t>Mr. Gaurav</t>
        </is>
      </c>
      <c r="H292" s="3" t="n">
        <v>9979185999</v>
      </c>
      <c r="I292" s="11" t="inlineStr">
        <is>
          <t>PE25032601</t>
        </is>
      </c>
      <c r="J292" s="9" t="inlineStr">
        <is>
          <t>Module Defects</t>
        </is>
      </c>
      <c r="K292" s="3" t="inlineStr">
        <is>
          <t>Rajkot</t>
        </is>
      </c>
      <c r="L292" s="3" t="inlineStr">
        <is>
          <t>Gujarat</t>
        </is>
      </c>
      <c r="M292" s="9" t="inlineStr">
        <is>
          <t xml:space="preserve">hotspot found </t>
        </is>
      </c>
      <c r="N292" s="19" t="inlineStr">
        <is>
          <t>Hotspot</t>
        </is>
      </c>
      <c r="O292" s="3" t="n">
        <v>550</v>
      </c>
      <c r="P292" s="9" t="inlineStr">
        <is>
          <t>NSMP2212258014</t>
        </is>
      </c>
      <c r="Q292" s="53">
        <f>MID(P292,5,2)</f>
        <v/>
      </c>
      <c r="R292" s="53">
        <f>MID(P292,7,2)</f>
        <v/>
      </c>
      <c r="S292" s="3" t="inlineStr">
        <is>
          <t>G2TB</t>
        </is>
      </c>
      <c r="T292" s="3" t="inlineStr">
        <is>
          <t>P2</t>
        </is>
      </c>
      <c r="U292" s="9" t="inlineStr">
        <is>
          <t>Single Cell Hotspot</t>
        </is>
      </c>
      <c r="V292" s="3" t="inlineStr">
        <is>
          <t>Inspection</t>
        </is>
      </c>
      <c r="W292" s="3" t="inlineStr">
        <is>
          <t>WIP</t>
        </is>
      </c>
      <c r="X292" s="5" t="n"/>
      <c r="Y292" s="3">
        <f>X292-A292</f>
        <v/>
      </c>
      <c r="Z292" s="18" t="n">
        <v>46147</v>
      </c>
      <c r="AA292" s="15" t="n"/>
      <c r="AB292" s="15" t="n"/>
    </row>
    <row r="293" hidden="1" s="233">
      <c r="A293" s="2" t="n">
        <v>46106</v>
      </c>
      <c r="B293" s="3" t="n">
        <v>2026</v>
      </c>
      <c r="C293" s="3" t="inlineStr">
        <is>
          <t>First Energy</t>
        </is>
      </c>
      <c r="D293" s="3" t="inlineStr">
        <is>
          <t>Utility and C&amp;I</t>
        </is>
      </c>
      <c r="E293" s="3" t="n"/>
      <c r="F293" s="3" t="inlineStr">
        <is>
          <t>WIP</t>
        </is>
      </c>
      <c r="G293" s="3" t="inlineStr">
        <is>
          <t>Mr. Gaurav</t>
        </is>
      </c>
      <c r="H293" s="3" t="n">
        <v>9979185999</v>
      </c>
      <c r="I293" s="11" t="inlineStr">
        <is>
          <t>PE25032601</t>
        </is>
      </c>
      <c r="J293" s="9" t="inlineStr">
        <is>
          <t>Module Defects</t>
        </is>
      </c>
      <c r="K293" s="3" t="inlineStr">
        <is>
          <t>Rajkot</t>
        </is>
      </c>
      <c r="L293" s="3" t="inlineStr">
        <is>
          <t>Gujarat</t>
        </is>
      </c>
      <c r="M293" s="9" t="inlineStr">
        <is>
          <t xml:space="preserve">hotspot found </t>
        </is>
      </c>
      <c r="N293" s="19" t="inlineStr">
        <is>
          <t>Hotspot</t>
        </is>
      </c>
      <c r="O293" s="3" t="n">
        <v>550</v>
      </c>
      <c r="P293" s="9" t="inlineStr">
        <is>
          <t>NSMP2212282872</t>
        </is>
      </c>
      <c r="Q293" s="53">
        <f>MID(P293,5,2)</f>
        <v/>
      </c>
      <c r="R293" s="53">
        <f>MID(P293,7,2)</f>
        <v/>
      </c>
      <c r="S293" s="3" t="inlineStr">
        <is>
          <t>G2TB</t>
        </is>
      </c>
      <c r="T293" s="3" t="inlineStr">
        <is>
          <t>P2</t>
        </is>
      </c>
      <c r="U293" s="9" t="inlineStr">
        <is>
          <t>Multi Cell Hotspot</t>
        </is>
      </c>
      <c r="V293" s="3" t="inlineStr">
        <is>
          <t>Inspection</t>
        </is>
      </c>
      <c r="W293" s="3" t="inlineStr">
        <is>
          <t>WIP</t>
        </is>
      </c>
      <c r="X293" s="5" t="n"/>
      <c r="Y293" s="3">
        <f>X293-A293</f>
        <v/>
      </c>
      <c r="Z293" s="18" t="n">
        <v>46147</v>
      </c>
      <c r="AA293" s="15" t="n"/>
      <c r="AB293" s="15" t="n"/>
    </row>
    <row r="294" hidden="1" s="233">
      <c r="A294" s="2" t="n">
        <v>46106</v>
      </c>
      <c r="B294" s="3" t="n">
        <v>2026</v>
      </c>
      <c r="C294" s="3" t="inlineStr">
        <is>
          <t>First Energy</t>
        </is>
      </c>
      <c r="D294" s="3" t="inlineStr">
        <is>
          <t>Utility and C&amp;I</t>
        </is>
      </c>
      <c r="E294" s="3" t="n"/>
      <c r="F294" s="3" t="inlineStr">
        <is>
          <t>WIP</t>
        </is>
      </c>
      <c r="G294" s="3" t="inlineStr">
        <is>
          <t>Mr. Gaurav</t>
        </is>
      </c>
      <c r="H294" s="3" t="n">
        <v>9979185999</v>
      </c>
      <c r="I294" s="11" t="inlineStr">
        <is>
          <t>PE25032601</t>
        </is>
      </c>
      <c r="J294" s="9" t="inlineStr">
        <is>
          <t>Module Defects</t>
        </is>
      </c>
      <c r="K294" s="3" t="inlineStr">
        <is>
          <t>Rajkot</t>
        </is>
      </c>
      <c r="L294" s="3" t="inlineStr">
        <is>
          <t>Gujarat</t>
        </is>
      </c>
      <c r="M294" s="9" t="inlineStr">
        <is>
          <t xml:space="preserve">hotspot found </t>
        </is>
      </c>
      <c r="N294" s="19" t="inlineStr">
        <is>
          <t>Hotspot</t>
        </is>
      </c>
      <c r="O294" s="3" t="n">
        <v>550</v>
      </c>
      <c r="P294" s="9" t="inlineStr">
        <is>
          <t>NSMP2212268280</t>
        </is>
      </c>
      <c r="Q294" s="53">
        <f>MID(P294,5,2)</f>
        <v/>
      </c>
      <c r="R294" s="53">
        <f>MID(P294,7,2)</f>
        <v/>
      </c>
      <c r="S294" s="3" t="inlineStr">
        <is>
          <t>G2TB</t>
        </is>
      </c>
      <c r="T294" s="3" t="inlineStr">
        <is>
          <t>P2</t>
        </is>
      </c>
      <c r="U294" s="9" t="inlineStr">
        <is>
          <t>Single Cell Hotspot</t>
        </is>
      </c>
      <c r="V294" s="3" t="inlineStr">
        <is>
          <t>Inspection</t>
        </is>
      </c>
      <c r="W294" s="3" t="inlineStr">
        <is>
          <t>WIP</t>
        </is>
      </c>
      <c r="X294" s="5" t="n"/>
      <c r="Y294" s="3">
        <f>X294-A294</f>
        <v/>
      </c>
      <c r="Z294" s="18" t="n">
        <v>46147</v>
      </c>
      <c r="AA294" s="15" t="n"/>
      <c r="AB294" s="15" t="n"/>
    </row>
    <row r="295" hidden="1" s="233">
      <c r="A295" s="2" t="n">
        <v>46106</v>
      </c>
      <c r="B295" s="3" t="n">
        <v>2026</v>
      </c>
      <c r="C295" s="3" t="inlineStr">
        <is>
          <t>First Energy</t>
        </is>
      </c>
      <c r="D295" s="3" t="inlineStr">
        <is>
          <t>Utility and C&amp;I</t>
        </is>
      </c>
      <c r="E295" s="3" t="n"/>
      <c r="F295" s="3" t="inlineStr">
        <is>
          <t>WIP</t>
        </is>
      </c>
      <c r="G295" s="3" t="inlineStr">
        <is>
          <t>Mr. Gaurav</t>
        </is>
      </c>
      <c r="H295" s="3" t="n">
        <v>9979185999</v>
      </c>
      <c r="I295" s="11" t="inlineStr">
        <is>
          <t>PE25032601</t>
        </is>
      </c>
      <c r="J295" s="9" t="inlineStr">
        <is>
          <t>Module Defects</t>
        </is>
      </c>
      <c r="K295" s="3" t="inlineStr">
        <is>
          <t>Rajkot</t>
        </is>
      </c>
      <c r="L295" s="3" t="inlineStr">
        <is>
          <t>Gujarat</t>
        </is>
      </c>
      <c r="M295" s="9" t="inlineStr">
        <is>
          <t xml:space="preserve">hotspot found </t>
        </is>
      </c>
      <c r="N295" s="19" t="inlineStr">
        <is>
          <t>Hotspot</t>
        </is>
      </c>
      <c r="O295" s="3" t="n">
        <v>550</v>
      </c>
      <c r="P295" s="9" t="inlineStr">
        <is>
          <t>NSMP24091550289</t>
        </is>
      </c>
      <c r="Q295" s="53">
        <f>MID(P295,5,2)</f>
        <v/>
      </c>
      <c r="R295" s="53">
        <f>MID(P295,7,2)</f>
        <v/>
      </c>
      <c r="S295" s="3" t="inlineStr">
        <is>
          <t>G2TB</t>
        </is>
      </c>
      <c r="T295" s="3" t="inlineStr">
        <is>
          <t>P2</t>
        </is>
      </c>
      <c r="U295" s="9" t="inlineStr">
        <is>
          <t>Single Cell Hotspot</t>
        </is>
      </c>
      <c r="V295" s="3" t="inlineStr">
        <is>
          <t>Inspection</t>
        </is>
      </c>
      <c r="W295" s="3" t="inlineStr">
        <is>
          <t>WIP</t>
        </is>
      </c>
      <c r="X295" s="5" t="n"/>
      <c r="Y295" s="3">
        <f>X295-A295</f>
        <v/>
      </c>
      <c r="Z295" s="18" t="n">
        <v>46147</v>
      </c>
      <c r="AA295" s="15" t="n"/>
      <c r="AB295" s="15" t="n"/>
    </row>
    <row r="296" hidden="1" s="233">
      <c r="A296" s="2" t="n">
        <v>46106</v>
      </c>
      <c r="B296" s="3" t="n">
        <v>2026</v>
      </c>
      <c r="C296" s="3" t="inlineStr">
        <is>
          <t>First Energy</t>
        </is>
      </c>
      <c r="D296" s="3" t="inlineStr">
        <is>
          <t>Utility and C&amp;I</t>
        </is>
      </c>
      <c r="E296" s="3" t="n"/>
      <c r="F296" s="3" t="inlineStr">
        <is>
          <t>WIP</t>
        </is>
      </c>
      <c r="G296" s="3" t="inlineStr">
        <is>
          <t>Mr. Gaurav</t>
        </is>
      </c>
      <c r="H296" s="3" t="n">
        <v>9979185999</v>
      </c>
      <c r="I296" s="11" t="inlineStr">
        <is>
          <t>PE25032601</t>
        </is>
      </c>
      <c r="J296" s="9" t="inlineStr">
        <is>
          <t>Module Defects</t>
        </is>
      </c>
      <c r="K296" s="3" t="inlineStr">
        <is>
          <t>Rajkot</t>
        </is>
      </c>
      <c r="L296" s="3" t="inlineStr">
        <is>
          <t>Gujarat</t>
        </is>
      </c>
      <c r="M296" s="9" t="inlineStr">
        <is>
          <t xml:space="preserve">hotspot found </t>
        </is>
      </c>
      <c r="N296" s="19" t="inlineStr">
        <is>
          <t>Hotspot</t>
        </is>
      </c>
      <c r="O296" s="3" t="n">
        <v>550</v>
      </c>
      <c r="P296" s="9" t="inlineStr">
        <is>
          <t>NSMP2301306761</t>
        </is>
      </c>
      <c r="Q296" s="53">
        <f>MID(P296,5,2)</f>
        <v/>
      </c>
      <c r="R296" s="53">
        <f>MID(P296,7,2)</f>
        <v/>
      </c>
      <c r="S296" s="3" t="inlineStr">
        <is>
          <t>G2TB</t>
        </is>
      </c>
      <c r="T296" s="3" t="inlineStr">
        <is>
          <t>P2</t>
        </is>
      </c>
      <c r="U296" s="9" t="inlineStr">
        <is>
          <t>Single Cell Hotspot</t>
        </is>
      </c>
      <c r="V296" s="3" t="inlineStr">
        <is>
          <t>Inspection</t>
        </is>
      </c>
      <c r="W296" s="3" t="inlineStr">
        <is>
          <t>WIP</t>
        </is>
      </c>
      <c r="X296" s="5" t="n"/>
      <c r="Y296" s="3">
        <f>X296-A296</f>
        <v/>
      </c>
      <c r="Z296" s="18" t="n">
        <v>46147</v>
      </c>
      <c r="AA296" s="15" t="n"/>
      <c r="AB296" s="15" t="n"/>
    </row>
    <row r="297" hidden="1" s="233">
      <c r="A297" s="2" t="n">
        <v>46106</v>
      </c>
      <c r="B297" s="3" t="n">
        <v>2026</v>
      </c>
      <c r="C297" s="3" t="inlineStr">
        <is>
          <t>First Energy</t>
        </is>
      </c>
      <c r="D297" s="3" t="inlineStr">
        <is>
          <t>Utility and C&amp;I</t>
        </is>
      </c>
      <c r="E297" s="3" t="n"/>
      <c r="F297" s="3" t="inlineStr">
        <is>
          <t>WIP</t>
        </is>
      </c>
      <c r="G297" s="3" t="inlineStr">
        <is>
          <t>Mr. Gaurav</t>
        </is>
      </c>
      <c r="H297" s="3" t="n">
        <v>9979185999</v>
      </c>
      <c r="I297" s="11" t="inlineStr">
        <is>
          <t>PE25032601</t>
        </is>
      </c>
      <c r="J297" s="9" t="inlineStr">
        <is>
          <t>Module Defects</t>
        </is>
      </c>
      <c r="K297" s="3" t="inlineStr">
        <is>
          <t>Rajkot</t>
        </is>
      </c>
      <c r="L297" s="3" t="inlineStr">
        <is>
          <t>Gujarat</t>
        </is>
      </c>
      <c r="M297" s="9" t="inlineStr">
        <is>
          <t xml:space="preserve">hotspot found </t>
        </is>
      </c>
      <c r="N297" s="19" t="inlineStr">
        <is>
          <t>Hotspot</t>
        </is>
      </c>
      <c r="O297" s="3" t="n">
        <v>550</v>
      </c>
      <c r="P297" s="9" t="inlineStr">
        <is>
          <t>NSMP2301294781</t>
        </is>
      </c>
      <c r="Q297" s="53">
        <f>MID(P297,5,2)</f>
        <v/>
      </c>
      <c r="R297" s="53">
        <f>MID(P297,7,2)</f>
        <v/>
      </c>
      <c r="S297" s="3" t="inlineStr">
        <is>
          <t>G2TB</t>
        </is>
      </c>
      <c r="T297" s="3" t="inlineStr">
        <is>
          <t>P2</t>
        </is>
      </c>
      <c r="U297" s="9" t="inlineStr">
        <is>
          <t>Single Cell Hotspot</t>
        </is>
      </c>
      <c r="V297" s="3" t="inlineStr">
        <is>
          <t>Inspection</t>
        </is>
      </c>
      <c r="W297" s="3" t="inlineStr">
        <is>
          <t>WIP</t>
        </is>
      </c>
      <c r="X297" s="5" t="n"/>
      <c r="Y297" s="3">
        <f>X297-A297</f>
        <v/>
      </c>
      <c r="Z297" s="18" t="n">
        <v>46147</v>
      </c>
      <c r="AA297" s="15" t="n"/>
      <c r="AB297" s="15" t="n"/>
    </row>
    <row r="298" hidden="1" s="233">
      <c r="A298" s="2" t="n">
        <v>46106</v>
      </c>
      <c r="B298" s="3" t="n">
        <v>2026</v>
      </c>
      <c r="C298" s="3" t="inlineStr">
        <is>
          <t>First Energy</t>
        </is>
      </c>
      <c r="D298" s="3" t="inlineStr">
        <is>
          <t>Utility and C&amp;I</t>
        </is>
      </c>
      <c r="E298" s="3" t="n"/>
      <c r="F298" s="3" t="inlineStr">
        <is>
          <t>WIP</t>
        </is>
      </c>
      <c r="G298" s="3" t="inlineStr">
        <is>
          <t>Mr. Gaurav</t>
        </is>
      </c>
      <c r="H298" s="3" t="n">
        <v>9979185999</v>
      </c>
      <c r="I298" s="11" t="inlineStr">
        <is>
          <t>PE25032601</t>
        </is>
      </c>
      <c r="J298" s="9" t="inlineStr">
        <is>
          <t>Module Defects</t>
        </is>
      </c>
      <c r="K298" s="3" t="inlineStr">
        <is>
          <t>Rajkot</t>
        </is>
      </c>
      <c r="L298" s="3" t="inlineStr">
        <is>
          <t>Gujarat</t>
        </is>
      </c>
      <c r="M298" s="9" t="inlineStr">
        <is>
          <t xml:space="preserve">hotspot found </t>
        </is>
      </c>
      <c r="N298" s="19" t="inlineStr">
        <is>
          <t>Hotspot</t>
        </is>
      </c>
      <c r="O298" s="3" t="n">
        <v>550</v>
      </c>
      <c r="P298" s="9" t="inlineStr">
        <is>
          <t>NSMP2212282181</t>
        </is>
      </c>
      <c r="Q298" s="53">
        <f>MID(P298,5,2)</f>
        <v/>
      </c>
      <c r="R298" s="53">
        <f>MID(P298,7,2)</f>
        <v/>
      </c>
      <c r="S298" s="3" t="inlineStr">
        <is>
          <t>G2TB</t>
        </is>
      </c>
      <c r="T298" s="3" t="inlineStr">
        <is>
          <t>P2</t>
        </is>
      </c>
      <c r="U298" s="9" t="inlineStr">
        <is>
          <t>Multi Cell Hotspot</t>
        </is>
      </c>
      <c r="V298" s="3" t="inlineStr">
        <is>
          <t>Inspection</t>
        </is>
      </c>
      <c r="W298" s="3" t="inlineStr">
        <is>
          <t>WIP</t>
        </is>
      </c>
      <c r="X298" s="5" t="n"/>
      <c r="Y298" s="3">
        <f>X298-A298</f>
        <v/>
      </c>
      <c r="Z298" s="18" t="n">
        <v>46147</v>
      </c>
      <c r="AA298" s="15" t="n"/>
      <c r="AB298" s="15" t="n"/>
    </row>
    <row r="299" hidden="1" s="233">
      <c r="A299" s="6" t="n">
        <v>46107</v>
      </c>
      <c r="B299" s="3" t="n">
        <v>2026</v>
      </c>
      <c r="C299" s="3" t="inlineStr">
        <is>
          <t>Blupine</t>
        </is>
      </c>
      <c r="D299" s="3" t="inlineStr">
        <is>
          <t>Utility and C&amp;I</t>
        </is>
      </c>
      <c r="E299" s="3" t="n"/>
      <c r="F299" s="3" t="inlineStr">
        <is>
          <t>Closed</t>
        </is>
      </c>
      <c r="G299" s="3" t="inlineStr">
        <is>
          <t>Chandrashekar Patidar</t>
        </is>
      </c>
      <c r="H299" s="3" t="n">
        <v>7879764773</v>
      </c>
      <c r="I299" s="11" t="inlineStr">
        <is>
          <t>PE26032601</t>
        </is>
      </c>
      <c r="J299" s="3" t="inlineStr">
        <is>
          <t>Module Diode Failure</t>
        </is>
      </c>
      <c r="K299" s="3" t="inlineStr">
        <is>
          <t>Sadla</t>
        </is>
      </c>
      <c r="L299" s="3" t="inlineStr">
        <is>
          <t>Gujarat</t>
        </is>
      </c>
      <c r="M299" s="9" t="inlineStr">
        <is>
          <t>PR</t>
        </is>
      </c>
      <c r="N299" s="3" t="inlineStr">
        <is>
          <t>JB Issue</t>
        </is>
      </c>
      <c r="O299" s="3" t="n">
        <v>570</v>
      </c>
      <c r="P299" s="9" t="inlineStr">
        <is>
          <t>NSMI24050053304</t>
        </is>
      </c>
      <c r="Q299" s="53">
        <f>MID(P299,5,2)</f>
        <v/>
      </c>
      <c r="R299" s="53">
        <f>MID(P299,7,2)</f>
        <v/>
      </c>
      <c r="S299" s="3" t="inlineStr">
        <is>
          <t>G2G</t>
        </is>
      </c>
      <c r="T299" s="3" t="inlineStr">
        <is>
          <t>P4</t>
        </is>
      </c>
      <c r="U299" s="3" t="inlineStr">
        <is>
          <t>P JB Issue</t>
        </is>
      </c>
      <c r="V299" s="15" t="inlineStr">
        <is>
          <t>JB Changed</t>
        </is>
      </c>
      <c r="W299" s="3" t="inlineStr">
        <is>
          <t>Repair</t>
        </is>
      </c>
      <c r="X299" s="18" t="n">
        <v>46147</v>
      </c>
      <c r="Y299" s="3">
        <f>X299-A299</f>
        <v/>
      </c>
      <c r="Z299" s="18" t="n">
        <v>46147</v>
      </c>
      <c r="AA299" s="15" t="n"/>
      <c r="AB299" s="15" t="n"/>
    </row>
    <row r="300" hidden="1" s="233">
      <c r="A300" s="6" t="n">
        <v>46107</v>
      </c>
      <c r="B300" s="3" t="n">
        <v>2026</v>
      </c>
      <c r="C300" s="3" t="inlineStr">
        <is>
          <t>Blupine</t>
        </is>
      </c>
      <c r="D300" s="3" t="inlineStr">
        <is>
          <t>Utility and C&amp;I</t>
        </is>
      </c>
      <c r="E300" s="3" t="n"/>
      <c r="F300" s="3" t="inlineStr">
        <is>
          <t>Closed</t>
        </is>
      </c>
      <c r="G300" s="3" t="inlineStr">
        <is>
          <t>Chandrashekar Patidar</t>
        </is>
      </c>
      <c r="H300" s="3" t="n">
        <v>7879764773</v>
      </c>
      <c r="I300" s="11" t="inlineStr">
        <is>
          <t>PE26032601</t>
        </is>
      </c>
      <c r="J300" s="3" t="inlineStr">
        <is>
          <t>Module Diode Failure</t>
        </is>
      </c>
      <c r="K300" s="3" t="inlineStr">
        <is>
          <t>Sadla</t>
        </is>
      </c>
      <c r="L300" s="3" t="inlineStr">
        <is>
          <t>Gujarat</t>
        </is>
      </c>
      <c r="M300" s="9" t="inlineStr">
        <is>
          <t>Ok</t>
        </is>
      </c>
      <c r="N300" s="3" t="inlineStr">
        <is>
          <t>No Issue</t>
        </is>
      </c>
      <c r="O300" s="3" t="n">
        <v>570</v>
      </c>
      <c r="P300" s="9" t="inlineStr">
        <is>
          <t>NSMI24050062021</t>
        </is>
      </c>
      <c r="Q300" s="53">
        <f>MID(P300,5,2)</f>
        <v/>
      </c>
      <c r="R300" s="53">
        <f>MID(P300,7,2)</f>
        <v/>
      </c>
      <c r="S300" s="3" t="inlineStr">
        <is>
          <t>G2G</t>
        </is>
      </c>
      <c r="T300" s="3" t="inlineStr">
        <is>
          <t>P4</t>
        </is>
      </c>
      <c r="U300" s="19" t="inlineStr">
        <is>
          <t>No Issue Found</t>
        </is>
      </c>
      <c r="V300" s="19" t="inlineStr">
        <is>
          <t>Found OK</t>
        </is>
      </c>
      <c r="W300" s="19" t="inlineStr">
        <is>
          <t>Repair</t>
        </is>
      </c>
      <c r="X300" s="18" t="n">
        <v>46147</v>
      </c>
      <c r="Y300" s="3">
        <f>X300-A300</f>
        <v/>
      </c>
      <c r="Z300" s="18" t="n">
        <v>46147</v>
      </c>
      <c r="AA300" s="15" t="n"/>
      <c r="AB300" s="15" t="n"/>
    </row>
    <row r="301" hidden="1" s="233">
      <c r="A301" s="6" t="n">
        <v>46107</v>
      </c>
      <c r="B301" s="3" t="n">
        <v>2026</v>
      </c>
      <c r="C301" s="3" t="inlineStr">
        <is>
          <t>Blupine</t>
        </is>
      </c>
      <c r="D301" s="3" t="inlineStr">
        <is>
          <t>Utility and C&amp;I</t>
        </is>
      </c>
      <c r="E301" s="3" t="n"/>
      <c r="F301" s="3" t="inlineStr">
        <is>
          <t>Closed</t>
        </is>
      </c>
      <c r="G301" s="3" t="inlineStr">
        <is>
          <t>Chandrashekar Patidar</t>
        </is>
      </c>
      <c r="H301" s="3" t="n">
        <v>7879764773</v>
      </c>
      <c r="I301" s="11" t="inlineStr">
        <is>
          <t>PE26032601</t>
        </is>
      </c>
      <c r="J301" s="3" t="inlineStr">
        <is>
          <t>Module Diode Failure</t>
        </is>
      </c>
      <c r="K301" s="3" t="inlineStr">
        <is>
          <t>Sadla</t>
        </is>
      </c>
      <c r="L301" s="3" t="inlineStr">
        <is>
          <t>Gujarat</t>
        </is>
      </c>
      <c r="M301" s="9" t="inlineStr">
        <is>
          <t>PR</t>
        </is>
      </c>
      <c r="N301" s="3" t="inlineStr">
        <is>
          <t>JB Issue</t>
        </is>
      </c>
      <c r="O301" s="3" t="n">
        <v>570</v>
      </c>
      <c r="P301" s="9" t="inlineStr">
        <is>
          <t>NSMI24050061891</t>
        </is>
      </c>
      <c r="Q301" s="53">
        <f>MID(P301,5,2)</f>
        <v/>
      </c>
      <c r="R301" s="53">
        <f>MID(P301,7,2)</f>
        <v/>
      </c>
      <c r="S301" s="3" t="inlineStr">
        <is>
          <t>G2G</t>
        </is>
      </c>
      <c r="T301" s="3" t="inlineStr">
        <is>
          <t>P4</t>
        </is>
      </c>
      <c r="U301" s="3" t="inlineStr">
        <is>
          <t>P JB Issue</t>
        </is>
      </c>
      <c r="V301" s="15" t="inlineStr">
        <is>
          <t>JB Changed</t>
        </is>
      </c>
      <c r="W301" s="3" t="inlineStr">
        <is>
          <t>Repair</t>
        </is>
      </c>
      <c r="X301" s="18" t="n">
        <v>46147</v>
      </c>
      <c r="Y301" s="3">
        <f>X301-A301</f>
        <v/>
      </c>
      <c r="Z301" s="18" t="n">
        <v>46147</v>
      </c>
      <c r="AA301" s="15" t="n"/>
      <c r="AB301" s="15" t="n"/>
    </row>
    <row r="302" hidden="1" s="233">
      <c r="A302" s="6" t="n">
        <v>46107</v>
      </c>
      <c r="B302" s="3" t="n">
        <v>2026</v>
      </c>
      <c r="C302" s="3" t="inlineStr">
        <is>
          <t>Blupine</t>
        </is>
      </c>
      <c r="D302" s="3" t="inlineStr">
        <is>
          <t>Utility and C&amp;I</t>
        </is>
      </c>
      <c r="E302" s="3" t="n"/>
      <c r="F302" s="3" t="inlineStr">
        <is>
          <t>Closed</t>
        </is>
      </c>
      <c r="G302" s="3" t="inlineStr">
        <is>
          <t>Chandrashekar Patidar</t>
        </is>
      </c>
      <c r="H302" s="3" t="n">
        <v>7879764773</v>
      </c>
      <c r="I302" s="11" t="inlineStr">
        <is>
          <t>PE26032601</t>
        </is>
      </c>
      <c r="J302" s="3" t="inlineStr">
        <is>
          <t>Module Diode Failure</t>
        </is>
      </c>
      <c r="K302" s="3" t="inlineStr">
        <is>
          <t>Sadla</t>
        </is>
      </c>
      <c r="L302" s="3" t="inlineStr">
        <is>
          <t>Gujarat</t>
        </is>
      </c>
      <c r="M302" s="9" t="inlineStr">
        <is>
          <t>PS</t>
        </is>
      </c>
      <c r="N302" s="3" t="inlineStr">
        <is>
          <t>Cold Soldering</t>
        </is>
      </c>
      <c r="O302" s="3" t="n">
        <v>570</v>
      </c>
      <c r="P302" s="9" t="inlineStr">
        <is>
          <t>NSMI24050045558</t>
        </is>
      </c>
      <c r="Q302" s="53">
        <f>MID(P302,5,2)</f>
        <v/>
      </c>
      <c r="R302" s="53">
        <f>MID(P302,7,2)</f>
        <v/>
      </c>
      <c r="S302" s="3" t="inlineStr">
        <is>
          <t>G2G</t>
        </is>
      </c>
      <c r="T302" s="3" t="inlineStr">
        <is>
          <t>P4</t>
        </is>
      </c>
      <c r="U302" s="3" t="inlineStr">
        <is>
          <t>P JB Cold Soldering</t>
        </is>
      </c>
      <c r="V302" s="3" t="inlineStr">
        <is>
          <t>Soldering</t>
        </is>
      </c>
      <c r="W302" s="3" t="inlineStr">
        <is>
          <t>Repair</t>
        </is>
      </c>
      <c r="X302" s="18" t="n">
        <v>46147</v>
      </c>
      <c r="Y302" s="3">
        <f>X302-A302</f>
        <v/>
      </c>
      <c r="Z302" s="18" t="n">
        <v>46147</v>
      </c>
      <c r="AA302" s="15" t="n"/>
      <c r="AB302" s="15" t="n"/>
    </row>
    <row r="303" hidden="1" s="233">
      <c r="A303" s="6" t="n">
        <v>46107</v>
      </c>
      <c r="B303" s="3" t="n">
        <v>2026</v>
      </c>
      <c r="C303" s="3" t="inlineStr">
        <is>
          <t>Blupine</t>
        </is>
      </c>
      <c r="D303" s="3" t="inlineStr">
        <is>
          <t>Utility and C&amp;I</t>
        </is>
      </c>
      <c r="E303" s="3" t="n"/>
      <c r="F303" s="3" t="inlineStr">
        <is>
          <t>Closed</t>
        </is>
      </c>
      <c r="G303" s="3" t="inlineStr">
        <is>
          <t>Chandrashekar Patidar</t>
        </is>
      </c>
      <c r="H303" s="3" t="n">
        <v>7879764773</v>
      </c>
      <c r="I303" s="11" t="inlineStr">
        <is>
          <t>PE26032601</t>
        </is>
      </c>
      <c r="J303" s="3" t="inlineStr">
        <is>
          <t>Module Diode Failure</t>
        </is>
      </c>
      <c r="K303" s="3" t="inlineStr">
        <is>
          <t>Sadla</t>
        </is>
      </c>
      <c r="L303" s="3" t="inlineStr">
        <is>
          <t>Gujarat</t>
        </is>
      </c>
      <c r="M303" s="9" t="inlineStr">
        <is>
          <t>PS</t>
        </is>
      </c>
      <c r="N303" s="3" t="inlineStr">
        <is>
          <t>Cold Soldering</t>
        </is>
      </c>
      <c r="O303" s="3" t="n">
        <v>570</v>
      </c>
      <c r="P303" s="9" t="inlineStr">
        <is>
          <t>NSMI24060101039</t>
        </is>
      </c>
      <c r="Q303" s="53">
        <f>MID(P303,5,2)</f>
        <v/>
      </c>
      <c r="R303" s="53">
        <f>MID(P303,7,2)</f>
        <v/>
      </c>
      <c r="S303" s="3" t="inlineStr">
        <is>
          <t>G2G</t>
        </is>
      </c>
      <c r="T303" s="3" t="inlineStr">
        <is>
          <t>P4</t>
        </is>
      </c>
      <c r="U303" s="3" t="inlineStr">
        <is>
          <t>P JB Cold Soldering</t>
        </is>
      </c>
      <c r="V303" s="3" t="inlineStr">
        <is>
          <t>Soldering</t>
        </is>
      </c>
      <c r="W303" s="3" t="inlineStr">
        <is>
          <t>Repair</t>
        </is>
      </c>
      <c r="X303" s="18" t="n">
        <v>46147</v>
      </c>
      <c r="Y303" s="3">
        <f>X303-A303</f>
        <v/>
      </c>
      <c r="Z303" s="18" t="n">
        <v>46147</v>
      </c>
      <c r="AA303" s="15" t="n"/>
      <c r="AB303" s="15" t="n"/>
    </row>
    <row r="304" hidden="1" s="233">
      <c r="A304" s="6" t="n">
        <v>46107</v>
      </c>
      <c r="B304" s="3" t="n">
        <v>2026</v>
      </c>
      <c r="C304" s="3" t="inlineStr">
        <is>
          <t>Blupine</t>
        </is>
      </c>
      <c r="D304" s="3" t="inlineStr">
        <is>
          <t>Utility and C&amp;I</t>
        </is>
      </c>
      <c r="E304" s="3" t="n"/>
      <c r="F304" s="3" t="inlineStr">
        <is>
          <t>Closed</t>
        </is>
      </c>
      <c r="G304" s="3" t="inlineStr">
        <is>
          <t>Chandrashekar Patidar</t>
        </is>
      </c>
      <c r="H304" s="3" t="n">
        <v>7879764773</v>
      </c>
      <c r="I304" s="11" t="inlineStr">
        <is>
          <t>PE26032601</t>
        </is>
      </c>
      <c r="J304" s="3" t="inlineStr">
        <is>
          <t>Module Diode Failure</t>
        </is>
      </c>
      <c r="K304" s="3" t="inlineStr">
        <is>
          <t>Sadla</t>
        </is>
      </c>
      <c r="L304" s="3" t="inlineStr">
        <is>
          <t>Gujarat</t>
        </is>
      </c>
      <c r="M304" s="9" t="inlineStr">
        <is>
          <t>PS</t>
        </is>
      </c>
      <c r="N304" s="3" t="inlineStr">
        <is>
          <t>Cold Soldering</t>
        </is>
      </c>
      <c r="O304" s="3" t="n">
        <v>570</v>
      </c>
      <c r="P304" s="9" t="inlineStr">
        <is>
          <t>NSMI24060114610</t>
        </is>
      </c>
      <c r="Q304" s="53">
        <f>MID(P304,5,2)</f>
        <v/>
      </c>
      <c r="R304" s="53">
        <f>MID(P304,7,2)</f>
        <v/>
      </c>
      <c r="S304" s="3" t="inlineStr">
        <is>
          <t>G2G</t>
        </is>
      </c>
      <c r="T304" s="3" t="inlineStr">
        <is>
          <t>P4</t>
        </is>
      </c>
      <c r="U304" s="3" t="inlineStr">
        <is>
          <t>P JB Cold Soldering</t>
        </is>
      </c>
      <c r="V304" s="3" t="inlineStr">
        <is>
          <t>Soldering</t>
        </is>
      </c>
      <c r="W304" s="3" t="inlineStr">
        <is>
          <t>Repair</t>
        </is>
      </c>
      <c r="X304" s="18" t="n">
        <v>46147</v>
      </c>
      <c r="Y304" s="3">
        <f>X304-A304</f>
        <v/>
      </c>
      <c r="Z304" s="18" t="n">
        <v>46147</v>
      </c>
      <c r="AA304" s="15" t="n"/>
      <c r="AB304" s="15" t="n"/>
    </row>
    <row r="305" hidden="1" s="233">
      <c r="A305" s="6" t="n">
        <v>46107</v>
      </c>
      <c r="B305" s="3" t="n">
        <v>2026</v>
      </c>
      <c r="C305" s="3" t="inlineStr">
        <is>
          <t>Blupine</t>
        </is>
      </c>
      <c r="D305" s="3" t="inlineStr">
        <is>
          <t>Utility and C&amp;I</t>
        </is>
      </c>
      <c r="E305" s="3" t="n"/>
      <c r="F305" s="3" t="inlineStr">
        <is>
          <t>Closed</t>
        </is>
      </c>
      <c r="G305" s="3" t="inlineStr">
        <is>
          <t>Chandrashekar Patidar</t>
        </is>
      </c>
      <c r="H305" s="3" t="n">
        <v>7879764773</v>
      </c>
      <c r="I305" s="11" t="inlineStr">
        <is>
          <t>PE26032601</t>
        </is>
      </c>
      <c r="J305" s="3" t="inlineStr">
        <is>
          <t>Module Diode Failure</t>
        </is>
      </c>
      <c r="K305" s="3" t="inlineStr">
        <is>
          <t>Sadla</t>
        </is>
      </c>
      <c r="L305" s="3" t="inlineStr">
        <is>
          <t>Gujarat</t>
        </is>
      </c>
      <c r="M305" s="9" t="inlineStr">
        <is>
          <t>PS</t>
        </is>
      </c>
      <c r="N305" s="3" t="inlineStr">
        <is>
          <t>Cold Soldering</t>
        </is>
      </c>
      <c r="O305" s="3" t="n">
        <v>570</v>
      </c>
      <c r="P305" s="9" t="inlineStr">
        <is>
          <t>NSMI24050049939</t>
        </is>
      </c>
      <c r="Q305" s="53">
        <f>MID(P305,5,2)</f>
        <v/>
      </c>
      <c r="R305" s="53">
        <f>MID(P305,7,2)</f>
        <v/>
      </c>
      <c r="S305" s="3" t="inlineStr">
        <is>
          <t>G2G</t>
        </is>
      </c>
      <c r="T305" s="3" t="inlineStr">
        <is>
          <t>P4</t>
        </is>
      </c>
      <c r="U305" s="3" t="inlineStr">
        <is>
          <t>P JB Cold Soldering</t>
        </is>
      </c>
      <c r="V305" s="3" t="inlineStr">
        <is>
          <t>Soldering</t>
        </is>
      </c>
      <c r="W305" s="3" t="inlineStr">
        <is>
          <t>Repair</t>
        </is>
      </c>
      <c r="X305" s="18" t="n">
        <v>46147</v>
      </c>
      <c r="Y305" s="3">
        <f>X305-A305</f>
        <v/>
      </c>
      <c r="Z305" s="18" t="n">
        <v>46147</v>
      </c>
      <c r="AA305" s="15" t="n"/>
      <c r="AB305" s="15" t="n"/>
    </row>
    <row r="306" hidden="1" s="233">
      <c r="A306" s="6" t="n">
        <v>46107</v>
      </c>
      <c r="B306" s="3" t="n">
        <v>2026</v>
      </c>
      <c r="C306" s="3" t="inlineStr">
        <is>
          <t>Blupine</t>
        </is>
      </c>
      <c r="D306" s="3" t="inlineStr">
        <is>
          <t>Utility and C&amp;I</t>
        </is>
      </c>
      <c r="E306" s="3" t="n"/>
      <c r="F306" s="3" t="inlineStr">
        <is>
          <t>Closed</t>
        </is>
      </c>
      <c r="G306" s="3" t="inlineStr">
        <is>
          <t>Chandrashekar Patidar</t>
        </is>
      </c>
      <c r="H306" s="3" t="n">
        <v>7879764773</v>
      </c>
      <c r="I306" s="11" t="inlineStr">
        <is>
          <t>PE26032601</t>
        </is>
      </c>
      <c r="J306" s="3" t="inlineStr">
        <is>
          <t>Module Diode Failure</t>
        </is>
      </c>
      <c r="K306" s="3" t="inlineStr">
        <is>
          <t>Sadla</t>
        </is>
      </c>
      <c r="L306" s="3" t="inlineStr">
        <is>
          <t>Gujarat</t>
        </is>
      </c>
      <c r="M306" s="9" t="inlineStr">
        <is>
          <t>PS</t>
        </is>
      </c>
      <c r="N306" s="3" t="inlineStr">
        <is>
          <t>Cold Soldering</t>
        </is>
      </c>
      <c r="O306" s="3" t="n">
        <v>570</v>
      </c>
      <c r="P306" s="9" t="inlineStr">
        <is>
          <t>NSMI24050049946</t>
        </is>
      </c>
      <c r="Q306" s="53">
        <f>MID(P306,5,2)</f>
        <v/>
      </c>
      <c r="R306" s="53">
        <f>MID(P306,7,2)</f>
        <v/>
      </c>
      <c r="S306" s="3" t="inlineStr">
        <is>
          <t>G2G</t>
        </is>
      </c>
      <c r="T306" s="3" t="inlineStr">
        <is>
          <t>P4</t>
        </is>
      </c>
      <c r="U306" s="3" t="inlineStr">
        <is>
          <t>P JB Cold Soldering</t>
        </is>
      </c>
      <c r="V306" s="3" t="inlineStr">
        <is>
          <t>Soldering</t>
        </is>
      </c>
      <c r="W306" s="3" t="inlineStr">
        <is>
          <t>Repair</t>
        </is>
      </c>
      <c r="X306" s="18" t="n">
        <v>46147</v>
      </c>
      <c r="Y306" s="3">
        <f>X306-A306</f>
        <v/>
      </c>
      <c r="Z306" s="18" t="n">
        <v>46147</v>
      </c>
      <c r="AA306" s="15" t="n"/>
      <c r="AB306" s="15" t="n"/>
    </row>
    <row r="307" hidden="1" s="233">
      <c r="A307" s="6" t="n">
        <v>46107</v>
      </c>
      <c r="B307" s="3" t="n">
        <v>2026</v>
      </c>
      <c r="C307" s="3" t="inlineStr">
        <is>
          <t>Blupine</t>
        </is>
      </c>
      <c r="D307" s="3" t="inlineStr">
        <is>
          <t>Utility and C&amp;I</t>
        </is>
      </c>
      <c r="E307" s="3" t="n"/>
      <c r="F307" s="3" t="inlineStr">
        <is>
          <t>Closed</t>
        </is>
      </c>
      <c r="G307" s="3" t="inlineStr">
        <is>
          <t>Chandrashekar Patidar</t>
        </is>
      </c>
      <c r="H307" s="3" t="n">
        <v>7879764773</v>
      </c>
      <c r="I307" s="11" t="inlineStr">
        <is>
          <t>PE26032601</t>
        </is>
      </c>
      <c r="J307" s="3" t="inlineStr">
        <is>
          <t>Module Diode Failure</t>
        </is>
      </c>
      <c r="K307" s="3" t="inlineStr">
        <is>
          <t>Sadla</t>
        </is>
      </c>
      <c r="L307" s="3" t="inlineStr">
        <is>
          <t>Gujarat</t>
        </is>
      </c>
      <c r="M307" s="9" t="inlineStr">
        <is>
          <t>PS</t>
        </is>
      </c>
      <c r="N307" s="3" t="inlineStr">
        <is>
          <t>Cold Soldering</t>
        </is>
      </c>
      <c r="O307" s="3" t="n">
        <v>570</v>
      </c>
      <c r="P307" s="9" t="inlineStr">
        <is>
          <t>NSMI24060078694</t>
        </is>
      </c>
      <c r="Q307" s="53">
        <f>MID(P307,5,2)</f>
        <v/>
      </c>
      <c r="R307" s="53">
        <f>MID(P307,7,2)</f>
        <v/>
      </c>
      <c r="S307" s="3" t="inlineStr">
        <is>
          <t>G2G</t>
        </is>
      </c>
      <c r="T307" s="3" t="inlineStr">
        <is>
          <t>P4</t>
        </is>
      </c>
      <c r="U307" s="3" t="inlineStr">
        <is>
          <t>P JB Cold Soldering</t>
        </is>
      </c>
      <c r="V307" s="3" t="inlineStr">
        <is>
          <t>Soldering</t>
        </is>
      </c>
      <c r="W307" s="3" t="inlineStr">
        <is>
          <t>Repair</t>
        </is>
      </c>
      <c r="X307" s="18" t="n">
        <v>46147</v>
      </c>
      <c r="Y307" s="3">
        <f>X307-A307</f>
        <v/>
      </c>
      <c r="Z307" s="18" t="n">
        <v>46147</v>
      </c>
      <c r="AA307" s="15" t="n"/>
      <c r="AB307" s="15" t="n"/>
    </row>
    <row r="308" hidden="1" s="233">
      <c r="A308" s="6" t="n">
        <v>46107</v>
      </c>
      <c r="B308" s="3" t="n">
        <v>2026</v>
      </c>
      <c r="C308" s="3" t="inlineStr">
        <is>
          <t>Blupine</t>
        </is>
      </c>
      <c r="D308" s="3" t="inlineStr">
        <is>
          <t>Utility and C&amp;I</t>
        </is>
      </c>
      <c r="E308" s="3" t="n"/>
      <c r="F308" s="3" t="inlineStr">
        <is>
          <t>Closed</t>
        </is>
      </c>
      <c r="G308" s="3" t="inlineStr">
        <is>
          <t>Chandrashekar Patidar</t>
        </is>
      </c>
      <c r="H308" s="3" t="n">
        <v>7879764773</v>
      </c>
      <c r="I308" s="11" t="inlineStr">
        <is>
          <t>PE26032601</t>
        </is>
      </c>
      <c r="J308" s="3" t="inlineStr">
        <is>
          <t>Module Diode Failure</t>
        </is>
      </c>
      <c r="K308" s="3" t="inlineStr">
        <is>
          <t>Sadla</t>
        </is>
      </c>
      <c r="L308" s="3" t="inlineStr">
        <is>
          <t>Gujarat</t>
        </is>
      </c>
      <c r="M308" s="9" t="inlineStr">
        <is>
          <t>PS</t>
        </is>
      </c>
      <c r="N308" s="3" t="inlineStr">
        <is>
          <t>Cold Soldering</t>
        </is>
      </c>
      <c r="O308" s="3" t="n">
        <v>570</v>
      </c>
      <c r="P308" s="9" t="inlineStr">
        <is>
          <t>NSMI24060078605</t>
        </is>
      </c>
      <c r="Q308" s="53">
        <f>MID(P308,5,2)</f>
        <v/>
      </c>
      <c r="R308" s="53">
        <f>MID(P308,7,2)</f>
        <v/>
      </c>
      <c r="S308" s="3" t="inlineStr">
        <is>
          <t>G2G</t>
        </is>
      </c>
      <c r="T308" s="3" t="inlineStr">
        <is>
          <t>P4</t>
        </is>
      </c>
      <c r="U308" s="3" t="inlineStr">
        <is>
          <t>P JB Cold Soldering</t>
        </is>
      </c>
      <c r="V308" s="3" t="inlineStr">
        <is>
          <t>Soldering</t>
        </is>
      </c>
      <c r="W308" s="3" t="inlineStr">
        <is>
          <t>Repair</t>
        </is>
      </c>
      <c r="X308" s="18" t="n">
        <v>46147</v>
      </c>
      <c r="Y308" s="3">
        <f>X308-A308</f>
        <v/>
      </c>
      <c r="Z308" s="18" t="n">
        <v>46147</v>
      </c>
      <c r="AA308" s="15" t="n"/>
      <c r="AB308" s="15" t="n"/>
    </row>
    <row r="309" hidden="1" s="233">
      <c r="A309" s="6" t="n">
        <v>46107</v>
      </c>
      <c r="B309" s="3" t="n">
        <v>2026</v>
      </c>
      <c r="C309" s="3" t="inlineStr">
        <is>
          <t>Blupine</t>
        </is>
      </c>
      <c r="D309" s="3" t="inlineStr">
        <is>
          <t>Utility and C&amp;I</t>
        </is>
      </c>
      <c r="E309" s="3" t="n"/>
      <c r="F309" s="3" t="inlineStr">
        <is>
          <t>Closed</t>
        </is>
      </c>
      <c r="G309" s="3" t="inlineStr">
        <is>
          <t>Chandrashekar Patidar</t>
        </is>
      </c>
      <c r="H309" s="3" t="n">
        <v>7879764773</v>
      </c>
      <c r="I309" s="11" t="inlineStr">
        <is>
          <t>PE26032601</t>
        </is>
      </c>
      <c r="J309" s="3" t="inlineStr">
        <is>
          <t>Module Diode Failure</t>
        </is>
      </c>
      <c r="K309" s="3" t="inlineStr">
        <is>
          <t>Sadla</t>
        </is>
      </c>
      <c r="L309" s="3" t="inlineStr">
        <is>
          <t>Gujarat</t>
        </is>
      </c>
      <c r="M309" s="9" t="inlineStr">
        <is>
          <t>NS</t>
        </is>
      </c>
      <c r="N309" s="3" t="inlineStr">
        <is>
          <t>Cold Soldering</t>
        </is>
      </c>
      <c r="O309" s="3" t="n">
        <v>570</v>
      </c>
      <c r="P309" s="9" t="inlineStr">
        <is>
          <t>NSMI24060078581</t>
        </is>
      </c>
      <c r="Q309" s="53">
        <f>MID(P309,5,2)</f>
        <v/>
      </c>
      <c r="R309" s="53">
        <f>MID(P309,7,2)</f>
        <v/>
      </c>
      <c r="S309" s="3" t="inlineStr">
        <is>
          <t>G2G</t>
        </is>
      </c>
      <c r="T309" s="3" t="inlineStr">
        <is>
          <t>P4</t>
        </is>
      </c>
      <c r="U309" s="3" t="inlineStr">
        <is>
          <t>N JB Cold Soldering</t>
        </is>
      </c>
      <c r="V309" s="3" t="inlineStr">
        <is>
          <t>Soldering</t>
        </is>
      </c>
      <c r="W309" s="3" t="inlineStr">
        <is>
          <t>Repair</t>
        </is>
      </c>
      <c r="X309" s="18" t="n">
        <v>46147</v>
      </c>
      <c r="Y309" s="3">
        <f>X309-A309</f>
        <v/>
      </c>
      <c r="Z309" s="18" t="n">
        <v>46147</v>
      </c>
      <c r="AA309" s="15" t="n"/>
      <c r="AB309" s="15" t="n"/>
    </row>
    <row r="310" hidden="1" s="233">
      <c r="A310" s="6" t="n">
        <v>46107</v>
      </c>
      <c r="B310" s="3" t="n">
        <v>2026</v>
      </c>
      <c r="C310" s="3" t="inlineStr">
        <is>
          <t>Blupine</t>
        </is>
      </c>
      <c r="D310" s="3" t="inlineStr">
        <is>
          <t>Utility and C&amp;I</t>
        </is>
      </c>
      <c r="E310" s="3" t="n"/>
      <c r="F310" s="3" t="inlineStr">
        <is>
          <t>Closed</t>
        </is>
      </c>
      <c r="G310" s="3" t="inlineStr">
        <is>
          <t>Chandrashekar Patidar</t>
        </is>
      </c>
      <c r="H310" s="3" t="n">
        <v>7879764773</v>
      </c>
      <c r="I310" s="11" t="inlineStr">
        <is>
          <t>PE26032601</t>
        </is>
      </c>
      <c r="J310" s="3" t="inlineStr">
        <is>
          <t>Module Diode Failure</t>
        </is>
      </c>
      <c r="K310" s="3" t="inlineStr">
        <is>
          <t>Sadla</t>
        </is>
      </c>
      <c r="L310" s="3" t="inlineStr">
        <is>
          <t>Gujarat</t>
        </is>
      </c>
      <c r="M310" s="9" t="inlineStr">
        <is>
          <t>Ok</t>
        </is>
      </c>
      <c r="N310" s="3" t="inlineStr">
        <is>
          <t>No Issue</t>
        </is>
      </c>
      <c r="O310" s="3" t="n">
        <v>570</v>
      </c>
      <c r="P310" s="9" t="inlineStr">
        <is>
          <t>NSMI24060078483</t>
        </is>
      </c>
      <c r="Q310" s="53">
        <f>MID(P310,5,2)</f>
        <v/>
      </c>
      <c r="R310" s="53">
        <f>MID(P310,7,2)</f>
        <v/>
      </c>
      <c r="S310" s="3" t="inlineStr">
        <is>
          <t>G2G</t>
        </is>
      </c>
      <c r="T310" s="3" t="inlineStr">
        <is>
          <t>P4</t>
        </is>
      </c>
      <c r="U310" s="19" t="inlineStr">
        <is>
          <t>No Issue Found</t>
        </is>
      </c>
      <c r="V310" s="19" t="inlineStr">
        <is>
          <t>Found OK</t>
        </is>
      </c>
      <c r="W310" s="19" t="inlineStr">
        <is>
          <t>Repair</t>
        </is>
      </c>
      <c r="X310" s="18" t="n">
        <v>46147</v>
      </c>
      <c r="Y310" s="3">
        <f>X310-A310</f>
        <v/>
      </c>
      <c r="Z310" s="18" t="n">
        <v>46147</v>
      </c>
      <c r="AA310" s="15" t="n"/>
      <c r="AB310" s="15" t="n"/>
    </row>
    <row r="311" hidden="1" s="233">
      <c r="A311" s="6" t="n">
        <v>46107</v>
      </c>
      <c r="B311" s="3" t="n">
        <v>2026</v>
      </c>
      <c r="C311" s="3" t="inlineStr">
        <is>
          <t>Blupine</t>
        </is>
      </c>
      <c r="D311" s="3" t="inlineStr">
        <is>
          <t>Utility and C&amp;I</t>
        </is>
      </c>
      <c r="E311" s="3" t="n"/>
      <c r="F311" s="3" t="inlineStr">
        <is>
          <t>Closed</t>
        </is>
      </c>
      <c r="G311" s="3" t="inlineStr">
        <is>
          <t>Chandrashekar Patidar</t>
        </is>
      </c>
      <c r="H311" s="3" t="n">
        <v>7879764773</v>
      </c>
      <c r="I311" s="11" t="inlineStr">
        <is>
          <t>PE26032601</t>
        </is>
      </c>
      <c r="J311" s="3" t="inlineStr">
        <is>
          <t>Module Diode Failure</t>
        </is>
      </c>
      <c r="K311" s="3" t="inlineStr">
        <is>
          <t>Sadla</t>
        </is>
      </c>
      <c r="L311" s="3" t="inlineStr">
        <is>
          <t>Gujarat</t>
        </is>
      </c>
      <c r="M311" s="9" t="inlineStr">
        <is>
          <t>NS</t>
        </is>
      </c>
      <c r="N311" s="3" t="inlineStr">
        <is>
          <t>Cold Soldering</t>
        </is>
      </c>
      <c r="O311" s="3" t="n">
        <v>570</v>
      </c>
      <c r="P311" s="9" t="inlineStr">
        <is>
          <t>NSMI24060078946</t>
        </is>
      </c>
      <c r="Q311" s="53">
        <f>MID(P311,5,2)</f>
        <v/>
      </c>
      <c r="R311" s="53">
        <f>MID(P311,7,2)</f>
        <v/>
      </c>
      <c r="S311" s="3" t="inlineStr">
        <is>
          <t>G2G</t>
        </is>
      </c>
      <c r="T311" s="3" t="inlineStr">
        <is>
          <t>P4</t>
        </is>
      </c>
      <c r="U311" s="3" t="inlineStr">
        <is>
          <t>N JB Cold Soldering</t>
        </is>
      </c>
      <c r="V311" s="3" t="inlineStr">
        <is>
          <t>Soldering</t>
        </is>
      </c>
      <c r="W311" s="3" t="inlineStr">
        <is>
          <t>Repair</t>
        </is>
      </c>
      <c r="X311" s="18" t="n">
        <v>46147</v>
      </c>
      <c r="Y311" s="3">
        <f>X311-A311</f>
        <v/>
      </c>
      <c r="Z311" s="18" t="n">
        <v>46147</v>
      </c>
      <c r="AA311" s="15" t="n"/>
      <c r="AB311" s="15" t="n"/>
    </row>
    <row r="312" hidden="1" s="233">
      <c r="A312" s="6" t="n">
        <v>46107</v>
      </c>
      <c r="B312" s="3" t="n">
        <v>2026</v>
      </c>
      <c r="C312" s="3" t="inlineStr">
        <is>
          <t>Blupine</t>
        </is>
      </c>
      <c r="D312" s="3" t="inlineStr">
        <is>
          <t>Utility and C&amp;I</t>
        </is>
      </c>
      <c r="E312" s="3" t="n"/>
      <c r="F312" s="3" t="inlineStr">
        <is>
          <t>Closed</t>
        </is>
      </c>
      <c r="G312" s="3" t="inlineStr">
        <is>
          <t>Chandrashekar Patidar</t>
        </is>
      </c>
      <c r="H312" s="3" t="n">
        <v>7879764773</v>
      </c>
      <c r="I312" s="11" t="inlineStr">
        <is>
          <t>PE26032601</t>
        </is>
      </c>
      <c r="J312" s="3" t="inlineStr">
        <is>
          <t>Module Diode Failure</t>
        </is>
      </c>
      <c r="K312" s="3" t="inlineStr">
        <is>
          <t>Sadla</t>
        </is>
      </c>
      <c r="L312" s="3" t="inlineStr">
        <is>
          <t>Gujarat</t>
        </is>
      </c>
      <c r="M312" s="9" t="inlineStr">
        <is>
          <t>NS</t>
        </is>
      </c>
      <c r="N312" s="3" t="inlineStr">
        <is>
          <t>Cold Soldering</t>
        </is>
      </c>
      <c r="O312" s="3" t="n">
        <v>570</v>
      </c>
      <c r="P312" s="9" t="inlineStr">
        <is>
          <t>NSMI24060078940</t>
        </is>
      </c>
      <c r="Q312" s="53">
        <f>MID(P312,5,2)</f>
        <v/>
      </c>
      <c r="R312" s="53">
        <f>MID(P312,7,2)</f>
        <v/>
      </c>
      <c r="S312" s="3" t="inlineStr">
        <is>
          <t>G2G</t>
        </is>
      </c>
      <c r="T312" s="3" t="inlineStr">
        <is>
          <t>P4</t>
        </is>
      </c>
      <c r="U312" s="3" t="inlineStr">
        <is>
          <t>N JB Cold Soldering</t>
        </is>
      </c>
      <c r="V312" s="3" t="inlineStr">
        <is>
          <t>Soldering</t>
        </is>
      </c>
      <c r="W312" s="3" t="inlineStr">
        <is>
          <t>Repair</t>
        </is>
      </c>
      <c r="X312" s="18" t="n">
        <v>46147</v>
      </c>
      <c r="Y312" s="3">
        <f>X312-A312</f>
        <v/>
      </c>
      <c r="Z312" s="18" t="n">
        <v>46147</v>
      </c>
      <c r="AA312" s="15" t="n"/>
      <c r="AB312" s="15" t="n"/>
    </row>
    <row r="313" hidden="1" s="233">
      <c r="A313" s="6" t="n">
        <v>46107</v>
      </c>
      <c r="B313" s="3" t="n">
        <v>2026</v>
      </c>
      <c r="C313" s="3" t="inlineStr">
        <is>
          <t>Blupine</t>
        </is>
      </c>
      <c r="D313" s="3" t="inlineStr">
        <is>
          <t>Utility and C&amp;I</t>
        </is>
      </c>
      <c r="E313" s="3" t="n"/>
      <c r="F313" s="3" t="inlineStr">
        <is>
          <t>Closed</t>
        </is>
      </c>
      <c r="G313" s="3" t="inlineStr">
        <is>
          <t>Chandrashekar Patidar</t>
        </is>
      </c>
      <c r="H313" s="3" t="n">
        <v>7879764773</v>
      </c>
      <c r="I313" s="11" t="inlineStr">
        <is>
          <t>PE26032601</t>
        </is>
      </c>
      <c r="J313" s="3" t="inlineStr">
        <is>
          <t>Module Diode Failure</t>
        </is>
      </c>
      <c r="K313" s="3" t="inlineStr">
        <is>
          <t>Sadla</t>
        </is>
      </c>
      <c r="L313" s="3" t="inlineStr">
        <is>
          <t>Gujarat</t>
        </is>
      </c>
      <c r="M313" s="9" t="inlineStr">
        <is>
          <t>NS</t>
        </is>
      </c>
      <c r="N313" s="3" t="inlineStr">
        <is>
          <t>Cold Soldering</t>
        </is>
      </c>
      <c r="O313" s="3" t="n">
        <v>570</v>
      </c>
      <c r="P313" s="9" t="inlineStr">
        <is>
          <t>NSMI24050063548</t>
        </is>
      </c>
      <c r="Q313" s="53">
        <f>MID(P313,5,2)</f>
        <v/>
      </c>
      <c r="R313" s="53">
        <f>MID(P313,7,2)</f>
        <v/>
      </c>
      <c r="S313" s="3" t="inlineStr">
        <is>
          <t>G2G</t>
        </is>
      </c>
      <c r="T313" s="3" t="inlineStr">
        <is>
          <t>P4</t>
        </is>
      </c>
      <c r="U313" s="3" t="inlineStr">
        <is>
          <t>N JB Cold Soldering</t>
        </is>
      </c>
      <c r="V313" s="3" t="inlineStr">
        <is>
          <t>Soldering</t>
        </is>
      </c>
      <c r="W313" s="3" t="inlineStr">
        <is>
          <t>Repair</t>
        </is>
      </c>
      <c r="X313" s="18" t="n">
        <v>46147</v>
      </c>
      <c r="Y313" s="3">
        <f>X313-A313</f>
        <v/>
      </c>
      <c r="Z313" s="18" t="n">
        <v>46147</v>
      </c>
      <c r="AA313" s="15" t="n"/>
      <c r="AB313" s="15" t="n"/>
    </row>
    <row r="314" hidden="1" s="233">
      <c r="A314" s="6" t="n">
        <v>46107</v>
      </c>
      <c r="B314" s="3" t="n">
        <v>2026</v>
      </c>
      <c r="C314" s="3" t="inlineStr">
        <is>
          <t>Blupine</t>
        </is>
      </c>
      <c r="D314" s="3" t="inlineStr">
        <is>
          <t>Utility and C&amp;I</t>
        </is>
      </c>
      <c r="E314" s="3" t="n"/>
      <c r="F314" s="3" t="inlineStr">
        <is>
          <t>Closed</t>
        </is>
      </c>
      <c r="G314" s="3" t="inlineStr">
        <is>
          <t>Chandrashekar Patidar</t>
        </is>
      </c>
      <c r="H314" s="3" t="n">
        <v>7879764773</v>
      </c>
      <c r="I314" s="11" t="inlineStr">
        <is>
          <t>PE26032601</t>
        </is>
      </c>
      <c r="J314" s="3" t="inlineStr">
        <is>
          <t>Module Diode Failure</t>
        </is>
      </c>
      <c r="K314" s="3" t="inlineStr">
        <is>
          <t>Sadla</t>
        </is>
      </c>
      <c r="L314" s="3" t="inlineStr">
        <is>
          <t>Gujarat</t>
        </is>
      </c>
      <c r="M314" s="9" t="inlineStr">
        <is>
          <t>NS</t>
        </is>
      </c>
      <c r="N314" s="3" t="inlineStr">
        <is>
          <t>Cold Soldering</t>
        </is>
      </c>
      <c r="O314" s="3" t="n">
        <v>570</v>
      </c>
      <c r="P314" s="9" t="inlineStr">
        <is>
          <t>NSMI24050047940</t>
        </is>
      </c>
      <c r="Q314" s="53">
        <f>MID(P314,5,2)</f>
        <v/>
      </c>
      <c r="R314" s="53">
        <f>MID(P314,7,2)</f>
        <v/>
      </c>
      <c r="S314" s="3" t="inlineStr">
        <is>
          <t>G2G</t>
        </is>
      </c>
      <c r="T314" s="3" t="inlineStr">
        <is>
          <t>P4</t>
        </is>
      </c>
      <c r="U314" s="3" t="inlineStr">
        <is>
          <t>N JB Cold Soldering</t>
        </is>
      </c>
      <c r="V314" s="3" t="inlineStr">
        <is>
          <t>Soldering</t>
        </is>
      </c>
      <c r="W314" s="3" t="inlineStr">
        <is>
          <t>Repair</t>
        </is>
      </c>
      <c r="X314" s="18" t="n">
        <v>46147</v>
      </c>
      <c r="Y314" s="3">
        <f>X314-A314</f>
        <v/>
      </c>
      <c r="Z314" s="18" t="n">
        <v>46147</v>
      </c>
      <c r="AA314" s="15" t="n"/>
      <c r="AB314" s="15" t="n"/>
    </row>
    <row r="315" hidden="1" s="233">
      <c r="A315" s="6" t="n">
        <v>46107</v>
      </c>
      <c r="B315" s="3" t="n">
        <v>2026</v>
      </c>
      <c r="C315" s="3" t="inlineStr">
        <is>
          <t>Blupine</t>
        </is>
      </c>
      <c r="D315" s="3" t="inlineStr">
        <is>
          <t>Utility and C&amp;I</t>
        </is>
      </c>
      <c r="E315" s="3" t="n"/>
      <c r="F315" s="3" t="inlineStr">
        <is>
          <t>Closed</t>
        </is>
      </c>
      <c r="G315" s="3" t="inlineStr">
        <is>
          <t>Chandrashekar Patidar</t>
        </is>
      </c>
      <c r="H315" s="3" t="n">
        <v>7879764773</v>
      </c>
      <c r="I315" s="11" t="inlineStr">
        <is>
          <t>PE26032601</t>
        </is>
      </c>
      <c r="J315" s="3" t="inlineStr">
        <is>
          <t>Module Diode Failure</t>
        </is>
      </c>
      <c r="K315" s="3" t="inlineStr">
        <is>
          <t>Sadla</t>
        </is>
      </c>
      <c r="L315" s="3" t="inlineStr">
        <is>
          <t>Gujarat</t>
        </is>
      </c>
      <c r="M315" s="9" t="inlineStr">
        <is>
          <t>NR</t>
        </is>
      </c>
      <c r="N315" s="3" t="inlineStr">
        <is>
          <t>JB Issue</t>
        </is>
      </c>
      <c r="O315" s="3" t="n">
        <v>570</v>
      </c>
      <c r="P315" s="9" t="inlineStr">
        <is>
          <t>NSMI24050063547</t>
        </is>
      </c>
      <c r="Q315" s="53">
        <f>MID(P315,5,2)</f>
        <v/>
      </c>
      <c r="R315" s="53">
        <f>MID(P315,7,2)</f>
        <v/>
      </c>
      <c r="S315" s="3" t="inlineStr">
        <is>
          <t>G2G</t>
        </is>
      </c>
      <c r="T315" s="3" t="inlineStr">
        <is>
          <t>P4</t>
        </is>
      </c>
      <c r="U315" s="3" t="inlineStr">
        <is>
          <t>N JB Issue</t>
        </is>
      </c>
      <c r="V315" s="3" t="inlineStr">
        <is>
          <t>JB Changed</t>
        </is>
      </c>
      <c r="W315" s="3" t="inlineStr">
        <is>
          <t>Repair</t>
        </is>
      </c>
      <c r="X315" s="18" t="n">
        <v>46147</v>
      </c>
      <c r="Y315" s="3">
        <f>X315-A315</f>
        <v/>
      </c>
      <c r="Z315" s="18" t="n">
        <v>46147</v>
      </c>
      <c r="AA315" s="15" t="n"/>
      <c r="AB315" s="15" t="n"/>
    </row>
    <row r="316" hidden="1" s="233">
      <c r="A316" s="6" t="n">
        <v>46107</v>
      </c>
      <c r="B316" s="3" t="n">
        <v>2026</v>
      </c>
      <c r="C316" s="3" t="inlineStr">
        <is>
          <t>Blupine</t>
        </is>
      </c>
      <c r="D316" s="3" t="inlineStr">
        <is>
          <t>Utility and C&amp;I</t>
        </is>
      </c>
      <c r="E316" s="3" t="n"/>
      <c r="F316" s="3" t="inlineStr">
        <is>
          <t>Closed</t>
        </is>
      </c>
      <c r="G316" s="3" t="inlineStr">
        <is>
          <t>Chandrashekar Patidar</t>
        </is>
      </c>
      <c r="H316" s="3" t="n">
        <v>7879764773</v>
      </c>
      <c r="I316" s="11" t="inlineStr">
        <is>
          <t>PE26032601</t>
        </is>
      </c>
      <c r="J316" s="3" t="inlineStr">
        <is>
          <t>Module Diode Failure</t>
        </is>
      </c>
      <c r="K316" s="3" t="inlineStr">
        <is>
          <t>Sadla</t>
        </is>
      </c>
      <c r="L316" s="3" t="inlineStr">
        <is>
          <t>Gujarat</t>
        </is>
      </c>
      <c r="M316" s="9" t="inlineStr">
        <is>
          <t>Ok</t>
        </is>
      </c>
      <c r="N316" s="3" t="inlineStr">
        <is>
          <t>No Issue</t>
        </is>
      </c>
      <c r="O316" s="3" t="n">
        <v>570</v>
      </c>
      <c r="P316" s="9" t="inlineStr">
        <is>
          <t>NSMI24050050434</t>
        </is>
      </c>
      <c r="Q316" s="53">
        <f>MID(P316,5,2)</f>
        <v/>
      </c>
      <c r="R316" s="53">
        <f>MID(P316,7,2)</f>
        <v/>
      </c>
      <c r="S316" s="3" t="inlineStr">
        <is>
          <t>G2G</t>
        </is>
      </c>
      <c r="T316" s="3" t="inlineStr">
        <is>
          <t>P4</t>
        </is>
      </c>
      <c r="U316" s="19" t="inlineStr">
        <is>
          <t>No Issue Found</t>
        </is>
      </c>
      <c r="V316" s="19" t="inlineStr">
        <is>
          <t>Found OK</t>
        </is>
      </c>
      <c r="W316" s="19" t="inlineStr">
        <is>
          <t>Repair</t>
        </is>
      </c>
      <c r="X316" s="18" t="n">
        <v>46147</v>
      </c>
      <c r="Y316" s="3">
        <f>X316-A316</f>
        <v/>
      </c>
      <c r="Z316" s="18" t="n">
        <v>46147</v>
      </c>
      <c r="AA316" s="15" t="n"/>
      <c r="AB316" s="15" t="n"/>
    </row>
    <row r="317" hidden="1" s="233">
      <c r="A317" s="6" t="n">
        <v>46107</v>
      </c>
      <c r="B317" s="3" t="n">
        <v>2026</v>
      </c>
      <c r="C317" s="3" t="inlineStr">
        <is>
          <t>Blupine</t>
        </is>
      </c>
      <c r="D317" s="3" t="inlineStr">
        <is>
          <t>Utility and C&amp;I</t>
        </is>
      </c>
      <c r="E317" s="3" t="n"/>
      <c r="F317" s="3" t="inlineStr">
        <is>
          <t>Closed</t>
        </is>
      </c>
      <c r="G317" s="3" t="inlineStr">
        <is>
          <t>Chandrashekar Patidar</t>
        </is>
      </c>
      <c r="H317" s="3" t="n">
        <v>7879764773</v>
      </c>
      <c r="I317" s="11" t="inlineStr">
        <is>
          <t>PE26032601</t>
        </is>
      </c>
      <c r="J317" s="3" t="inlineStr">
        <is>
          <t>Module Diode Failure</t>
        </is>
      </c>
      <c r="K317" s="3" t="inlineStr">
        <is>
          <t>Sadla</t>
        </is>
      </c>
      <c r="L317" s="3" t="inlineStr">
        <is>
          <t>Gujarat</t>
        </is>
      </c>
      <c r="M317" s="9" t="inlineStr">
        <is>
          <t>PS</t>
        </is>
      </c>
      <c r="N317" s="3" t="inlineStr">
        <is>
          <t>Cold Soldering</t>
        </is>
      </c>
      <c r="O317" s="3" t="n">
        <v>570</v>
      </c>
      <c r="P317" s="9" t="inlineStr">
        <is>
          <t>NSMI24060085176</t>
        </is>
      </c>
      <c r="Q317" s="53">
        <f>MID(P317,5,2)</f>
        <v/>
      </c>
      <c r="R317" s="53">
        <f>MID(P317,7,2)</f>
        <v/>
      </c>
      <c r="S317" s="3" t="inlineStr">
        <is>
          <t>G2G</t>
        </is>
      </c>
      <c r="T317" s="3" t="inlineStr">
        <is>
          <t>P4</t>
        </is>
      </c>
      <c r="U317" s="3" t="inlineStr">
        <is>
          <t>P JB Cold Soldering</t>
        </is>
      </c>
      <c r="V317" s="3" t="inlineStr">
        <is>
          <t>Soldering</t>
        </is>
      </c>
      <c r="W317" s="3" t="inlineStr">
        <is>
          <t>Repair</t>
        </is>
      </c>
      <c r="X317" s="18" t="n">
        <v>46147</v>
      </c>
      <c r="Y317" s="3">
        <f>X317-A317</f>
        <v/>
      </c>
      <c r="Z317" s="18" t="n">
        <v>46147</v>
      </c>
      <c r="AA317" s="15" t="n"/>
      <c r="AB317" s="15" t="n"/>
    </row>
    <row r="318" hidden="1" s="233">
      <c r="A318" s="6" t="n">
        <v>46107</v>
      </c>
      <c r="B318" s="3" t="n">
        <v>2026</v>
      </c>
      <c r="C318" s="3" t="inlineStr">
        <is>
          <t>Blupine</t>
        </is>
      </c>
      <c r="D318" s="3" t="inlineStr">
        <is>
          <t>Utility and C&amp;I</t>
        </is>
      </c>
      <c r="E318" s="3" t="n"/>
      <c r="F318" s="3" t="inlineStr">
        <is>
          <t>Closed</t>
        </is>
      </c>
      <c r="G318" s="3" t="inlineStr">
        <is>
          <t>Chandrashekar Patidar</t>
        </is>
      </c>
      <c r="H318" s="3" t="n">
        <v>7879764773</v>
      </c>
      <c r="I318" s="11" t="inlineStr">
        <is>
          <t>PE26032601</t>
        </is>
      </c>
      <c r="J318" s="3" t="inlineStr">
        <is>
          <t>Module Diode Failure</t>
        </is>
      </c>
      <c r="K318" s="3" t="inlineStr">
        <is>
          <t>Sadla</t>
        </is>
      </c>
      <c r="L318" s="3" t="inlineStr">
        <is>
          <t>Gujarat</t>
        </is>
      </c>
      <c r="M318" s="9" t="inlineStr">
        <is>
          <t>NS</t>
        </is>
      </c>
      <c r="N318" s="3" t="inlineStr">
        <is>
          <t>Cold Soldering</t>
        </is>
      </c>
      <c r="O318" s="3" t="n">
        <v>570</v>
      </c>
      <c r="P318" s="9" t="inlineStr">
        <is>
          <t>NSMI24060103002</t>
        </is>
      </c>
      <c r="Q318" s="53">
        <f>MID(P318,5,2)</f>
        <v/>
      </c>
      <c r="R318" s="53">
        <f>MID(P318,7,2)</f>
        <v/>
      </c>
      <c r="S318" s="3" t="inlineStr">
        <is>
          <t>G2G</t>
        </is>
      </c>
      <c r="T318" s="3" t="inlineStr">
        <is>
          <t>P4</t>
        </is>
      </c>
      <c r="U318" s="3" t="inlineStr">
        <is>
          <t>N JB Cold Soldering</t>
        </is>
      </c>
      <c r="V318" s="3" t="inlineStr">
        <is>
          <t>Soldering</t>
        </is>
      </c>
      <c r="W318" s="3" t="inlineStr">
        <is>
          <t>Repair</t>
        </is>
      </c>
      <c r="X318" s="18" t="n">
        <v>46147</v>
      </c>
      <c r="Y318" s="3">
        <f>X318-A318</f>
        <v/>
      </c>
      <c r="Z318" s="18" t="n">
        <v>46147</v>
      </c>
      <c r="AA318" s="15" t="n"/>
      <c r="AB318" s="15" t="n"/>
    </row>
    <row r="319" hidden="1" s="233">
      <c r="A319" s="6" t="n">
        <v>46107</v>
      </c>
      <c r="B319" s="3" t="n">
        <v>2026</v>
      </c>
      <c r="C319" s="3" t="inlineStr">
        <is>
          <t>Blupine</t>
        </is>
      </c>
      <c r="D319" s="3" t="inlineStr">
        <is>
          <t>Utility and C&amp;I</t>
        </is>
      </c>
      <c r="E319" s="3" t="n"/>
      <c r="F319" s="3" t="inlineStr">
        <is>
          <t>Closed</t>
        </is>
      </c>
      <c r="G319" s="3" t="inlineStr">
        <is>
          <t>Chandrashekar Patidar</t>
        </is>
      </c>
      <c r="H319" s="3" t="n">
        <v>7879764773</v>
      </c>
      <c r="I319" s="11" t="inlineStr">
        <is>
          <t>PE26032601</t>
        </is>
      </c>
      <c r="J319" s="3" t="inlineStr">
        <is>
          <t>Module Diode Failure</t>
        </is>
      </c>
      <c r="K319" s="3" t="inlineStr">
        <is>
          <t>Sadla</t>
        </is>
      </c>
      <c r="L319" s="3" t="inlineStr">
        <is>
          <t>Gujarat</t>
        </is>
      </c>
      <c r="M319" s="9" t="inlineStr">
        <is>
          <t>NS</t>
        </is>
      </c>
      <c r="N319" s="3" t="inlineStr">
        <is>
          <t>Cold Soldering</t>
        </is>
      </c>
      <c r="O319" s="3" t="n">
        <v>570</v>
      </c>
      <c r="P319" s="9" t="inlineStr">
        <is>
          <t>NSMI24060120858</t>
        </is>
      </c>
      <c r="Q319" s="53">
        <f>MID(P319,5,2)</f>
        <v/>
      </c>
      <c r="R319" s="53">
        <f>MID(P319,7,2)</f>
        <v/>
      </c>
      <c r="S319" s="3" t="inlineStr">
        <is>
          <t>G2G</t>
        </is>
      </c>
      <c r="T319" s="3" t="inlineStr">
        <is>
          <t>P4</t>
        </is>
      </c>
      <c r="U319" s="3" t="inlineStr">
        <is>
          <t>N JB Cold Soldering</t>
        </is>
      </c>
      <c r="V319" s="3" t="inlineStr">
        <is>
          <t>Soldering</t>
        </is>
      </c>
      <c r="W319" s="3" t="inlineStr">
        <is>
          <t>Repair</t>
        </is>
      </c>
      <c r="X319" s="18" t="n">
        <v>46147</v>
      </c>
      <c r="Y319" s="3">
        <f>X319-A319</f>
        <v/>
      </c>
      <c r="Z319" s="18" t="n">
        <v>46147</v>
      </c>
      <c r="AA319" s="15" t="n"/>
      <c r="AB319" s="15" t="n"/>
    </row>
    <row r="320" hidden="1" s="233">
      <c r="A320" s="6" t="n">
        <v>46107</v>
      </c>
      <c r="B320" s="3" t="n">
        <v>2026</v>
      </c>
      <c r="C320" s="3" t="inlineStr">
        <is>
          <t>Blupine</t>
        </is>
      </c>
      <c r="D320" s="3" t="inlineStr">
        <is>
          <t>Utility and C&amp;I</t>
        </is>
      </c>
      <c r="E320" s="3" t="n"/>
      <c r="F320" s="3" t="inlineStr">
        <is>
          <t>Closed</t>
        </is>
      </c>
      <c r="G320" s="3" t="inlineStr">
        <is>
          <t>Chandrashekar Patidar</t>
        </is>
      </c>
      <c r="H320" s="3" t="n">
        <v>7879764773</v>
      </c>
      <c r="I320" s="11" t="inlineStr">
        <is>
          <t>PE26032601</t>
        </is>
      </c>
      <c r="J320" s="3" t="inlineStr">
        <is>
          <t>Module Diode Failure</t>
        </is>
      </c>
      <c r="K320" s="3" t="inlineStr">
        <is>
          <t>Sadla</t>
        </is>
      </c>
      <c r="L320" s="3" t="inlineStr">
        <is>
          <t>Gujarat</t>
        </is>
      </c>
      <c r="M320" s="9" t="inlineStr">
        <is>
          <t>PS</t>
        </is>
      </c>
      <c r="N320" s="3" t="inlineStr">
        <is>
          <t>Cold Soldering</t>
        </is>
      </c>
      <c r="O320" s="3" t="n">
        <v>570</v>
      </c>
      <c r="P320" s="9" t="inlineStr">
        <is>
          <t>NSMI24060083835</t>
        </is>
      </c>
      <c r="Q320" s="53">
        <f>MID(P320,5,2)</f>
        <v/>
      </c>
      <c r="R320" s="53">
        <f>MID(P320,7,2)</f>
        <v/>
      </c>
      <c r="S320" s="3" t="inlineStr">
        <is>
          <t>G2G</t>
        </is>
      </c>
      <c r="T320" s="3" t="inlineStr">
        <is>
          <t>P4</t>
        </is>
      </c>
      <c r="U320" s="3" t="inlineStr">
        <is>
          <t>P JB Cold Soldering</t>
        </is>
      </c>
      <c r="V320" s="3" t="inlineStr">
        <is>
          <t>Soldering</t>
        </is>
      </c>
      <c r="W320" s="3" t="inlineStr">
        <is>
          <t>Repair</t>
        </is>
      </c>
      <c r="X320" s="18" t="n">
        <v>46147</v>
      </c>
      <c r="Y320" s="3">
        <f>X320-A320</f>
        <v/>
      </c>
      <c r="Z320" s="18" t="n">
        <v>46147</v>
      </c>
      <c r="AA320" s="15" t="n"/>
      <c r="AB320" s="15" t="n"/>
    </row>
    <row r="321" hidden="1" s="233">
      <c r="A321" s="6" t="n">
        <v>46107</v>
      </c>
      <c r="B321" s="3" t="n">
        <v>2026</v>
      </c>
      <c r="C321" s="3" t="inlineStr">
        <is>
          <t>Blupine</t>
        </is>
      </c>
      <c r="D321" s="3" t="inlineStr">
        <is>
          <t>Utility and C&amp;I</t>
        </is>
      </c>
      <c r="E321" s="3" t="n"/>
      <c r="F321" s="3" t="inlineStr">
        <is>
          <t>Closed</t>
        </is>
      </c>
      <c r="G321" s="3" t="inlineStr">
        <is>
          <t>Chandrashekar Patidar</t>
        </is>
      </c>
      <c r="H321" s="3" t="n">
        <v>7879764773</v>
      </c>
      <c r="I321" s="11" t="inlineStr">
        <is>
          <t>PE26032601</t>
        </is>
      </c>
      <c r="J321" s="3" t="inlineStr">
        <is>
          <t>Module Diode Failure</t>
        </is>
      </c>
      <c r="K321" s="3" t="inlineStr">
        <is>
          <t>Sadla</t>
        </is>
      </c>
      <c r="L321" s="3" t="inlineStr">
        <is>
          <t>Gujarat</t>
        </is>
      </c>
      <c r="M321" s="9" t="inlineStr">
        <is>
          <t>NS</t>
        </is>
      </c>
      <c r="N321" s="3" t="inlineStr">
        <is>
          <t>Cold Soldering</t>
        </is>
      </c>
      <c r="O321" s="3" t="n">
        <v>570</v>
      </c>
      <c r="P321" s="9" t="inlineStr">
        <is>
          <t>NSMI24060077795</t>
        </is>
      </c>
      <c r="Q321" s="53">
        <f>MID(P321,5,2)</f>
        <v/>
      </c>
      <c r="R321" s="53">
        <f>MID(P321,7,2)</f>
        <v/>
      </c>
      <c r="S321" s="3" t="inlineStr">
        <is>
          <t>G2G</t>
        </is>
      </c>
      <c r="T321" s="3" t="inlineStr">
        <is>
          <t>P4</t>
        </is>
      </c>
      <c r="U321" s="3" t="inlineStr">
        <is>
          <t>N JB Cold Soldering</t>
        </is>
      </c>
      <c r="V321" s="3" t="inlineStr">
        <is>
          <t>Soldering</t>
        </is>
      </c>
      <c r="W321" s="3" t="inlineStr">
        <is>
          <t>Repair</t>
        </is>
      </c>
      <c r="X321" s="18" t="n">
        <v>46147</v>
      </c>
      <c r="Y321" s="3">
        <f>X321-A321</f>
        <v/>
      </c>
      <c r="Z321" s="18" t="n">
        <v>46147</v>
      </c>
      <c r="AA321" s="15" t="n"/>
      <c r="AB321" s="15" t="n"/>
    </row>
    <row r="322" hidden="1" s="233">
      <c r="A322" s="6" t="n">
        <v>46107</v>
      </c>
      <c r="B322" s="3" t="n">
        <v>2026</v>
      </c>
      <c r="C322" s="3" t="inlineStr">
        <is>
          <t>Blupine</t>
        </is>
      </c>
      <c r="D322" s="3" t="inlineStr">
        <is>
          <t>Utility and C&amp;I</t>
        </is>
      </c>
      <c r="E322" s="3" t="n"/>
      <c r="F322" s="3" t="inlineStr">
        <is>
          <t>Closed</t>
        </is>
      </c>
      <c r="G322" s="3" t="inlineStr">
        <is>
          <t>Chandrashekar Patidar</t>
        </is>
      </c>
      <c r="H322" s="3" t="n">
        <v>7879764773</v>
      </c>
      <c r="I322" s="11" t="inlineStr">
        <is>
          <t>PE26032601</t>
        </is>
      </c>
      <c r="J322" s="3" t="inlineStr">
        <is>
          <t>Module Diode Failure</t>
        </is>
      </c>
      <c r="K322" s="3" t="inlineStr">
        <is>
          <t>Sadla</t>
        </is>
      </c>
      <c r="L322" s="3" t="inlineStr">
        <is>
          <t>Gujarat</t>
        </is>
      </c>
      <c r="M322" s="9" t="inlineStr">
        <is>
          <t>PS</t>
        </is>
      </c>
      <c r="N322" s="3" t="inlineStr">
        <is>
          <t>Cold Soldering</t>
        </is>
      </c>
      <c r="O322" s="3" t="n">
        <v>570</v>
      </c>
      <c r="P322" s="9" t="inlineStr">
        <is>
          <t>NSMI24060077776</t>
        </is>
      </c>
      <c r="Q322" s="53">
        <f>MID(P322,5,2)</f>
        <v/>
      </c>
      <c r="R322" s="53">
        <f>MID(P322,7,2)</f>
        <v/>
      </c>
      <c r="S322" s="3" t="inlineStr">
        <is>
          <t>G2G</t>
        </is>
      </c>
      <c r="T322" s="3" t="inlineStr">
        <is>
          <t>P4</t>
        </is>
      </c>
      <c r="U322" s="3" t="inlineStr">
        <is>
          <t>P JB Cold Soldering</t>
        </is>
      </c>
      <c r="V322" s="3" t="inlineStr">
        <is>
          <t>Soldering</t>
        </is>
      </c>
      <c r="W322" s="3" t="inlineStr">
        <is>
          <t>Repair</t>
        </is>
      </c>
      <c r="X322" s="18" t="n">
        <v>46147</v>
      </c>
      <c r="Y322" s="3">
        <f>X322-A322</f>
        <v/>
      </c>
      <c r="Z322" s="18" t="n">
        <v>46147</v>
      </c>
      <c r="AA322" s="15" t="n"/>
      <c r="AB322" s="15" t="n"/>
    </row>
    <row r="323" hidden="1" s="233">
      <c r="A323" s="6" t="n">
        <v>46107</v>
      </c>
      <c r="B323" s="3" t="n">
        <v>2026</v>
      </c>
      <c r="C323" s="3" t="inlineStr">
        <is>
          <t>Blupine</t>
        </is>
      </c>
      <c r="D323" s="3" t="inlineStr">
        <is>
          <t>Utility and C&amp;I</t>
        </is>
      </c>
      <c r="E323" s="3" t="n"/>
      <c r="F323" s="3" t="inlineStr">
        <is>
          <t>Closed</t>
        </is>
      </c>
      <c r="G323" s="3" t="inlineStr">
        <is>
          <t>Chandrashekar Patidar</t>
        </is>
      </c>
      <c r="H323" s="3" t="n">
        <v>7879764773</v>
      </c>
      <c r="I323" s="11" t="inlineStr">
        <is>
          <t>PE26032601</t>
        </is>
      </c>
      <c r="J323" s="3" t="inlineStr">
        <is>
          <t>Module Diode Failure</t>
        </is>
      </c>
      <c r="K323" s="3" t="inlineStr">
        <is>
          <t>Sadla</t>
        </is>
      </c>
      <c r="L323" s="3" t="inlineStr">
        <is>
          <t>Gujarat</t>
        </is>
      </c>
      <c r="M323" s="9" t="inlineStr">
        <is>
          <t>PS</t>
        </is>
      </c>
      <c r="N323" s="3" t="inlineStr">
        <is>
          <t>Cold Soldering</t>
        </is>
      </c>
      <c r="O323" s="3" t="n">
        <v>570</v>
      </c>
      <c r="P323" s="9" t="inlineStr">
        <is>
          <t>NSMI24060077793</t>
        </is>
      </c>
      <c r="Q323" s="53">
        <f>MID(P323,5,2)</f>
        <v/>
      </c>
      <c r="R323" s="53">
        <f>MID(P323,7,2)</f>
        <v/>
      </c>
      <c r="S323" s="3" t="inlineStr">
        <is>
          <t>G2G</t>
        </is>
      </c>
      <c r="T323" s="3" t="inlineStr">
        <is>
          <t>P4</t>
        </is>
      </c>
      <c r="U323" s="3" t="inlineStr">
        <is>
          <t>P JB Cold Soldering</t>
        </is>
      </c>
      <c r="V323" s="3" t="inlineStr">
        <is>
          <t>Soldering</t>
        </is>
      </c>
      <c r="W323" s="3" t="inlineStr">
        <is>
          <t>Repair</t>
        </is>
      </c>
      <c r="X323" s="18" t="n">
        <v>46147</v>
      </c>
      <c r="Y323" s="3">
        <f>X323-A323</f>
        <v/>
      </c>
      <c r="Z323" s="18" t="n">
        <v>46147</v>
      </c>
      <c r="AA323" s="15" t="n"/>
      <c r="AB323" s="15" t="n"/>
    </row>
    <row r="324" hidden="1" s="233">
      <c r="A324" s="6" t="n">
        <v>46107</v>
      </c>
      <c r="B324" s="3" t="n">
        <v>2026</v>
      </c>
      <c r="C324" s="3" t="inlineStr">
        <is>
          <t>Blupine</t>
        </is>
      </c>
      <c r="D324" s="3" t="inlineStr">
        <is>
          <t>Utility and C&amp;I</t>
        </is>
      </c>
      <c r="E324" s="3" t="n"/>
      <c r="F324" s="3" t="inlineStr">
        <is>
          <t>Closed</t>
        </is>
      </c>
      <c r="G324" s="3" t="inlineStr">
        <is>
          <t>Chandrashekar Patidar</t>
        </is>
      </c>
      <c r="H324" s="3" t="n">
        <v>7879764773</v>
      </c>
      <c r="I324" s="11" t="inlineStr">
        <is>
          <t>PE26032601</t>
        </is>
      </c>
      <c r="J324" s="3" t="inlineStr">
        <is>
          <t>Module Diode Failure</t>
        </is>
      </c>
      <c r="K324" s="3" t="inlineStr">
        <is>
          <t>Sadla</t>
        </is>
      </c>
      <c r="L324" s="3" t="inlineStr">
        <is>
          <t>Gujarat</t>
        </is>
      </c>
      <c r="M324" s="9" t="inlineStr">
        <is>
          <t>NS</t>
        </is>
      </c>
      <c r="N324" s="3" t="inlineStr">
        <is>
          <t>Cold Soldering</t>
        </is>
      </c>
      <c r="O324" s="3" t="n">
        <v>570</v>
      </c>
      <c r="P324" s="9" t="inlineStr">
        <is>
          <t>NSMI24060126169</t>
        </is>
      </c>
      <c r="Q324" s="53">
        <f>MID(P324,5,2)</f>
        <v/>
      </c>
      <c r="R324" s="53">
        <f>MID(P324,7,2)</f>
        <v/>
      </c>
      <c r="S324" s="3" t="inlineStr">
        <is>
          <t>G2G</t>
        </is>
      </c>
      <c r="T324" s="3" t="inlineStr">
        <is>
          <t>P4</t>
        </is>
      </c>
      <c r="U324" s="3" t="inlineStr">
        <is>
          <t>N JB Cold Soldering</t>
        </is>
      </c>
      <c r="V324" s="3" t="inlineStr">
        <is>
          <t>Soldering</t>
        </is>
      </c>
      <c r="W324" s="3" t="inlineStr">
        <is>
          <t>Repair</t>
        </is>
      </c>
      <c r="X324" s="18" t="n">
        <v>46147</v>
      </c>
      <c r="Y324" s="3">
        <f>X324-A324</f>
        <v/>
      </c>
      <c r="Z324" s="18" t="n">
        <v>46147</v>
      </c>
      <c r="AA324" s="15" t="n"/>
      <c r="AB324" s="15" t="n"/>
    </row>
    <row r="325" hidden="1" s="233">
      <c r="A325" s="6" t="n">
        <v>46107</v>
      </c>
      <c r="B325" s="3" t="n">
        <v>2026</v>
      </c>
      <c r="C325" s="3" t="inlineStr">
        <is>
          <t>Blupine</t>
        </is>
      </c>
      <c r="D325" s="3" t="inlineStr">
        <is>
          <t>Utility and C&amp;I</t>
        </is>
      </c>
      <c r="E325" s="3" t="n"/>
      <c r="F325" s="3" t="inlineStr">
        <is>
          <t>Closed</t>
        </is>
      </c>
      <c r="G325" s="3" t="inlineStr">
        <is>
          <t>Chandrashekar Patidar</t>
        </is>
      </c>
      <c r="H325" s="3" t="n">
        <v>7879764773</v>
      </c>
      <c r="I325" s="11" t="inlineStr">
        <is>
          <t>PE26032601</t>
        </is>
      </c>
      <c r="J325" s="3" t="inlineStr">
        <is>
          <t>Module Diode Failure</t>
        </is>
      </c>
      <c r="K325" s="3" t="inlineStr">
        <is>
          <t>Sadla</t>
        </is>
      </c>
      <c r="L325" s="3" t="inlineStr">
        <is>
          <t>Gujarat</t>
        </is>
      </c>
      <c r="M325" s="9" t="inlineStr">
        <is>
          <t>NS</t>
        </is>
      </c>
      <c r="N325" s="3" t="inlineStr">
        <is>
          <t>Cold Soldering</t>
        </is>
      </c>
      <c r="O325" s="3" t="n">
        <v>570</v>
      </c>
      <c r="P325" s="9" t="inlineStr">
        <is>
          <t>NSMI24060122655</t>
        </is>
      </c>
      <c r="Q325" s="53">
        <f>MID(P325,5,2)</f>
        <v/>
      </c>
      <c r="R325" s="53">
        <f>MID(P325,7,2)</f>
        <v/>
      </c>
      <c r="S325" s="3" t="inlineStr">
        <is>
          <t>G2G</t>
        </is>
      </c>
      <c r="T325" s="3" t="inlineStr">
        <is>
          <t>P4</t>
        </is>
      </c>
      <c r="U325" s="3" t="inlineStr">
        <is>
          <t>N JB Cold Soldering</t>
        </is>
      </c>
      <c r="V325" s="3" t="inlineStr">
        <is>
          <t>Soldering</t>
        </is>
      </c>
      <c r="W325" s="3" t="inlineStr">
        <is>
          <t>Repair</t>
        </is>
      </c>
      <c r="X325" s="18" t="n">
        <v>46147</v>
      </c>
      <c r="Y325" s="3">
        <f>X325-A325</f>
        <v/>
      </c>
      <c r="Z325" s="18" t="n">
        <v>46147</v>
      </c>
      <c r="AA325" s="15" t="n"/>
      <c r="AB325" s="15" t="n"/>
    </row>
    <row r="326" hidden="1" s="233">
      <c r="A326" s="6" t="n">
        <v>46107</v>
      </c>
      <c r="B326" s="3" t="n">
        <v>2026</v>
      </c>
      <c r="C326" s="3" t="inlineStr">
        <is>
          <t>Blupine</t>
        </is>
      </c>
      <c r="D326" s="3" t="inlineStr">
        <is>
          <t>Utility and C&amp;I</t>
        </is>
      </c>
      <c r="E326" s="3" t="n"/>
      <c r="F326" s="3" t="inlineStr">
        <is>
          <t>Closed</t>
        </is>
      </c>
      <c r="G326" s="3" t="inlineStr">
        <is>
          <t>Chandrashekar Patidar</t>
        </is>
      </c>
      <c r="H326" s="3" t="n">
        <v>7879764773</v>
      </c>
      <c r="I326" s="11" t="inlineStr">
        <is>
          <t>PE26032601</t>
        </is>
      </c>
      <c r="J326" s="3" t="inlineStr">
        <is>
          <t>Module Diode Failure</t>
        </is>
      </c>
      <c r="K326" s="3" t="inlineStr">
        <is>
          <t>Sadla</t>
        </is>
      </c>
      <c r="L326" s="3" t="inlineStr">
        <is>
          <t>Gujarat</t>
        </is>
      </c>
      <c r="M326" s="9" t="inlineStr">
        <is>
          <t>NS</t>
        </is>
      </c>
      <c r="N326" s="3" t="inlineStr">
        <is>
          <t>Cold Soldering</t>
        </is>
      </c>
      <c r="O326" s="3" t="n">
        <v>570</v>
      </c>
      <c r="P326" s="9" t="inlineStr">
        <is>
          <t>NSMI24050067106</t>
        </is>
      </c>
      <c r="Q326" s="53">
        <f>MID(P326,5,2)</f>
        <v/>
      </c>
      <c r="R326" s="53">
        <f>MID(P326,7,2)</f>
        <v/>
      </c>
      <c r="S326" s="3" t="inlineStr">
        <is>
          <t>G2G</t>
        </is>
      </c>
      <c r="T326" s="3" t="inlineStr">
        <is>
          <t>P4</t>
        </is>
      </c>
      <c r="U326" s="3" t="inlineStr">
        <is>
          <t>N JB Cold Soldering</t>
        </is>
      </c>
      <c r="V326" s="3" t="inlineStr">
        <is>
          <t>Soldering</t>
        </is>
      </c>
      <c r="W326" s="3" t="inlineStr">
        <is>
          <t>Repair</t>
        </is>
      </c>
      <c r="X326" s="18" t="n">
        <v>46147</v>
      </c>
      <c r="Y326" s="3">
        <f>X326-A326</f>
        <v/>
      </c>
      <c r="Z326" s="18" t="n">
        <v>46147</v>
      </c>
      <c r="AA326" s="15" t="n"/>
      <c r="AB326" s="15" t="n"/>
    </row>
    <row r="327" hidden="1" s="233">
      <c r="A327" s="6" t="n">
        <v>46107</v>
      </c>
      <c r="B327" s="3" t="n">
        <v>2026</v>
      </c>
      <c r="C327" s="3" t="inlineStr">
        <is>
          <t>Blupine</t>
        </is>
      </c>
      <c r="D327" s="3" t="inlineStr">
        <is>
          <t>Utility and C&amp;I</t>
        </is>
      </c>
      <c r="E327" s="3" t="n"/>
      <c r="F327" s="3" t="inlineStr">
        <is>
          <t>Closed</t>
        </is>
      </c>
      <c r="G327" s="3" t="inlineStr">
        <is>
          <t>Chandrashekar Patidar</t>
        </is>
      </c>
      <c r="H327" s="3" t="n">
        <v>7879764773</v>
      </c>
      <c r="I327" s="11" t="inlineStr">
        <is>
          <t>PE26032601</t>
        </is>
      </c>
      <c r="J327" s="3" t="inlineStr">
        <is>
          <t>Module Diode Failure</t>
        </is>
      </c>
      <c r="K327" s="3" t="inlineStr">
        <is>
          <t>Sadla</t>
        </is>
      </c>
      <c r="L327" s="3" t="inlineStr">
        <is>
          <t>Gujarat</t>
        </is>
      </c>
      <c r="M327" s="9" t="inlineStr">
        <is>
          <t>PS</t>
        </is>
      </c>
      <c r="N327" s="3" t="inlineStr">
        <is>
          <t>Cold Soldering</t>
        </is>
      </c>
      <c r="O327" s="3" t="n">
        <v>570</v>
      </c>
      <c r="P327" s="9" t="inlineStr">
        <is>
          <t>NSMI24022119439</t>
        </is>
      </c>
      <c r="Q327" s="53">
        <f>MID(P327,5,2)</f>
        <v/>
      </c>
      <c r="R327" s="53">
        <f>MID(P327,7,2)</f>
        <v/>
      </c>
      <c r="S327" s="3" t="inlineStr">
        <is>
          <t>G2G</t>
        </is>
      </c>
      <c r="T327" s="3" t="inlineStr">
        <is>
          <t>P4</t>
        </is>
      </c>
      <c r="U327" s="3" t="inlineStr">
        <is>
          <t>P JB Cold Soldering</t>
        </is>
      </c>
      <c r="V327" s="3" t="inlineStr">
        <is>
          <t>Soldering</t>
        </is>
      </c>
      <c r="W327" s="3" t="inlineStr">
        <is>
          <t>Repair</t>
        </is>
      </c>
      <c r="X327" s="18" t="n">
        <v>46147</v>
      </c>
      <c r="Y327" s="3">
        <f>X327-A327</f>
        <v/>
      </c>
      <c r="Z327" s="18" t="n">
        <v>46147</v>
      </c>
      <c r="AA327" s="15" t="n"/>
      <c r="AB327" s="15" t="n"/>
    </row>
    <row r="328" hidden="1" s="233">
      <c r="A328" s="6" t="n">
        <v>46107</v>
      </c>
      <c r="B328" s="3" t="n">
        <v>2026</v>
      </c>
      <c r="C328" s="3" t="inlineStr">
        <is>
          <t>Blupine</t>
        </is>
      </c>
      <c r="D328" s="3" t="inlineStr">
        <is>
          <t>Utility and C&amp;I</t>
        </is>
      </c>
      <c r="E328" s="3" t="n"/>
      <c r="F328" s="3" t="inlineStr">
        <is>
          <t>Closed</t>
        </is>
      </c>
      <c r="G328" s="3" t="inlineStr">
        <is>
          <t>Chandrashekar Patidar</t>
        </is>
      </c>
      <c r="H328" s="3" t="n">
        <v>7879764773</v>
      </c>
      <c r="I328" s="11" t="inlineStr">
        <is>
          <t>PE26032601</t>
        </is>
      </c>
      <c r="J328" s="3" t="inlineStr">
        <is>
          <t>Module Diode Failure</t>
        </is>
      </c>
      <c r="K328" s="3" t="inlineStr">
        <is>
          <t>Sadla</t>
        </is>
      </c>
      <c r="L328" s="3" t="inlineStr">
        <is>
          <t>Gujarat</t>
        </is>
      </c>
      <c r="M328" s="9" t="inlineStr">
        <is>
          <t>PS</t>
        </is>
      </c>
      <c r="N328" s="3" t="inlineStr">
        <is>
          <t>Cold Soldering</t>
        </is>
      </c>
      <c r="O328" s="3" t="n">
        <v>570</v>
      </c>
      <c r="P328" s="9" t="inlineStr">
        <is>
          <t>NSMI24060079441</t>
        </is>
      </c>
      <c r="Q328" s="53">
        <f>MID(P328,5,2)</f>
        <v/>
      </c>
      <c r="R328" s="53">
        <f>MID(P328,7,2)</f>
        <v/>
      </c>
      <c r="S328" s="3" t="inlineStr">
        <is>
          <t>G2G</t>
        </is>
      </c>
      <c r="T328" s="3" t="inlineStr">
        <is>
          <t>P4</t>
        </is>
      </c>
      <c r="U328" s="3" t="inlineStr">
        <is>
          <t>P JB Cold Soldering</t>
        </is>
      </c>
      <c r="V328" s="3" t="inlineStr">
        <is>
          <t>Soldering</t>
        </is>
      </c>
      <c r="W328" s="3" t="inlineStr">
        <is>
          <t>Repair</t>
        </is>
      </c>
      <c r="X328" s="18" t="n">
        <v>46147</v>
      </c>
      <c r="Y328" s="3">
        <f>X328-A328</f>
        <v/>
      </c>
      <c r="Z328" s="18" t="n">
        <v>46147</v>
      </c>
      <c r="AA328" s="15" t="n"/>
      <c r="AB328" s="15" t="n"/>
    </row>
    <row r="329" hidden="1" s="233">
      <c r="A329" s="6" t="n">
        <v>46107</v>
      </c>
      <c r="B329" s="3" t="n">
        <v>2026</v>
      </c>
      <c r="C329" s="3" t="inlineStr">
        <is>
          <t>Blupine</t>
        </is>
      </c>
      <c r="D329" s="3" t="inlineStr">
        <is>
          <t>Utility and C&amp;I</t>
        </is>
      </c>
      <c r="E329" s="3" t="n"/>
      <c r="F329" s="3" t="inlineStr">
        <is>
          <t>Closed</t>
        </is>
      </c>
      <c r="G329" s="3" t="inlineStr">
        <is>
          <t>Chandrashekar Patidar</t>
        </is>
      </c>
      <c r="H329" s="3" t="n">
        <v>7879764773</v>
      </c>
      <c r="I329" s="11" t="inlineStr">
        <is>
          <t>PE26032601</t>
        </is>
      </c>
      <c r="J329" s="3" t="inlineStr">
        <is>
          <t>Module Diode Failure</t>
        </is>
      </c>
      <c r="K329" s="3" t="inlineStr">
        <is>
          <t>Sadla</t>
        </is>
      </c>
      <c r="L329" s="3" t="inlineStr">
        <is>
          <t>Gujarat</t>
        </is>
      </c>
      <c r="M329" s="9" t="inlineStr">
        <is>
          <t>PR</t>
        </is>
      </c>
      <c r="N329" s="3" t="inlineStr">
        <is>
          <t>JB Issue</t>
        </is>
      </c>
      <c r="O329" s="3" t="n">
        <v>570</v>
      </c>
      <c r="P329" s="9" t="inlineStr">
        <is>
          <t>NSMI24050062632</t>
        </is>
      </c>
      <c r="Q329" s="53">
        <f>MID(P329,5,2)</f>
        <v/>
      </c>
      <c r="R329" s="53">
        <f>MID(P329,7,2)</f>
        <v/>
      </c>
      <c r="S329" s="3" t="inlineStr">
        <is>
          <t>G2G</t>
        </is>
      </c>
      <c r="T329" s="3" t="inlineStr">
        <is>
          <t>P4</t>
        </is>
      </c>
      <c r="U329" s="3" t="inlineStr">
        <is>
          <t>P JB Issue</t>
        </is>
      </c>
      <c r="V329" s="15" t="inlineStr">
        <is>
          <t>JB Changed</t>
        </is>
      </c>
      <c r="W329" s="3" t="inlineStr">
        <is>
          <t>Repair</t>
        </is>
      </c>
      <c r="X329" s="18" t="n">
        <v>46147</v>
      </c>
      <c r="Y329" s="3">
        <f>X329-A329</f>
        <v/>
      </c>
      <c r="Z329" s="18" t="n">
        <v>46147</v>
      </c>
      <c r="AA329" s="15" t="n"/>
      <c r="AB329" s="15" t="n"/>
    </row>
    <row r="330" hidden="1" s="233">
      <c r="A330" s="6" t="n">
        <v>46107</v>
      </c>
      <c r="B330" s="3" t="n">
        <v>2026</v>
      </c>
      <c r="C330" s="3" t="inlineStr">
        <is>
          <t>Blupine</t>
        </is>
      </c>
      <c r="D330" s="3" t="inlineStr">
        <is>
          <t>Utility and C&amp;I</t>
        </is>
      </c>
      <c r="E330" s="3" t="n"/>
      <c r="F330" s="3" t="inlineStr">
        <is>
          <t>Closed</t>
        </is>
      </c>
      <c r="G330" s="3" t="inlineStr">
        <is>
          <t>Chandrashekar Patidar</t>
        </is>
      </c>
      <c r="H330" s="3" t="n">
        <v>7879764773</v>
      </c>
      <c r="I330" s="11" t="inlineStr">
        <is>
          <t>PE26032601</t>
        </is>
      </c>
      <c r="J330" s="3" t="inlineStr">
        <is>
          <t>Module Diode Failure</t>
        </is>
      </c>
      <c r="K330" s="3" t="inlineStr">
        <is>
          <t>Sadla</t>
        </is>
      </c>
      <c r="L330" s="3" t="inlineStr">
        <is>
          <t>Gujarat</t>
        </is>
      </c>
      <c r="M330" s="9" t="inlineStr">
        <is>
          <t>NS</t>
        </is>
      </c>
      <c r="N330" s="3" t="inlineStr">
        <is>
          <t>Cold Soldering</t>
        </is>
      </c>
      <c r="O330" s="3" t="n">
        <v>570</v>
      </c>
      <c r="P330" s="9" t="inlineStr">
        <is>
          <t>NSMI24060077703</t>
        </is>
      </c>
      <c r="Q330" s="53">
        <f>MID(P330,5,2)</f>
        <v/>
      </c>
      <c r="R330" s="53">
        <f>MID(P330,7,2)</f>
        <v/>
      </c>
      <c r="S330" s="3" t="inlineStr">
        <is>
          <t>G2G</t>
        </is>
      </c>
      <c r="T330" s="3" t="inlineStr">
        <is>
          <t>P4</t>
        </is>
      </c>
      <c r="U330" s="3" t="inlineStr">
        <is>
          <t>N JB Cold Soldering</t>
        </is>
      </c>
      <c r="V330" s="3" t="inlineStr">
        <is>
          <t>Soldering</t>
        </is>
      </c>
      <c r="W330" s="3" t="inlineStr">
        <is>
          <t>Repair</t>
        </is>
      </c>
      <c r="X330" s="18" t="n">
        <v>46147</v>
      </c>
      <c r="Y330" s="3">
        <f>X330-A330</f>
        <v/>
      </c>
      <c r="Z330" s="18" t="n">
        <v>46147</v>
      </c>
      <c r="AA330" s="15" t="n"/>
      <c r="AB330" s="15" t="n"/>
    </row>
    <row r="331" hidden="1" s="233">
      <c r="A331" s="6" t="n">
        <v>46107</v>
      </c>
      <c r="B331" s="3" t="n">
        <v>2026</v>
      </c>
      <c r="C331" s="3" t="inlineStr">
        <is>
          <t>Blupine</t>
        </is>
      </c>
      <c r="D331" s="3" t="inlineStr">
        <is>
          <t>Utility and C&amp;I</t>
        </is>
      </c>
      <c r="E331" s="3" t="n"/>
      <c r="F331" s="3" t="inlineStr">
        <is>
          <t>Closed</t>
        </is>
      </c>
      <c r="G331" s="3" t="inlineStr">
        <is>
          <t>Chandrashekar Patidar</t>
        </is>
      </c>
      <c r="H331" s="3" t="n">
        <v>7879764773</v>
      </c>
      <c r="I331" s="11" t="inlineStr">
        <is>
          <t>PE26032601</t>
        </is>
      </c>
      <c r="J331" s="3" t="inlineStr">
        <is>
          <t>Module Diode Failure</t>
        </is>
      </c>
      <c r="K331" s="3" t="inlineStr">
        <is>
          <t>Sadla</t>
        </is>
      </c>
      <c r="L331" s="3" t="inlineStr">
        <is>
          <t>Gujarat</t>
        </is>
      </c>
      <c r="M331" s="9" t="inlineStr">
        <is>
          <t>PS</t>
        </is>
      </c>
      <c r="N331" s="3" t="inlineStr">
        <is>
          <t>Cold Soldering</t>
        </is>
      </c>
      <c r="O331" s="3" t="n">
        <v>570</v>
      </c>
      <c r="P331" s="9" t="inlineStr">
        <is>
          <t>NSMI24050066292</t>
        </is>
      </c>
      <c r="Q331" s="53">
        <f>MID(P331,5,2)</f>
        <v/>
      </c>
      <c r="R331" s="53">
        <f>MID(P331,7,2)</f>
        <v/>
      </c>
      <c r="S331" s="3" t="inlineStr">
        <is>
          <t>G2G</t>
        </is>
      </c>
      <c r="T331" s="3" t="inlineStr">
        <is>
          <t>P4</t>
        </is>
      </c>
      <c r="U331" s="3" t="inlineStr">
        <is>
          <t>P JB Cold Soldering</t>
        </is>
      </c>
      <c r="V331" s="3" t="inlineStr">
        <is>
          <t>Soldering</t>
        </is>
      </c>
      <c r="W331" s="3" t="inlineStr">
        <is>
          <t>Repair</t>
        </is>
      </c>
      <c r="X331" s="18" t="n">
        <v>46147</v>
      </c>
      <c r="Y331" s="3">
        <f>X331-A331</f>
        <v/>
      </c>
      <c r="Z331" s="18" t="n">
        <v>46147</v>
      </c>
      <c r="AA331" s="15" t="n"/>
      <c r="AB331" s="15" t="n"/>
    </row>
    <row r="332" hidden="1" s="233">
      <c r="A332" s="6" t="n">
        <v>46107</v>
      </c>
      <c r="B332" s="3" t="n">
        <v>2026</v>
      </c>
      <c r="C332" s="3" t="inlineStr">
        <is>
          <t>Blupine</t>
        </is>
      </c>
      <c r="D332" s="3" t="inlineStr">
        <is>
          <t>Utility and C&amp;I</t>
        </is>
      </c>
      <c r="E332" s="3" t="n"/>
      <c r="F332" s="3" t="inlineStr">
        <is>
          <t>Closed</t>
        </is>
      </c>
      <c r="G332" s="3" t="inlineStr">
        <is>
          <t>Chandrashekar Patidar</t>
        </is>
      </c>
      <c r="H332" s="3" t="n">
        <v>7879764773</v>
      </c>
      <c r="I332" s="11" t="inlineStr">
        <is>
          <t>PE26032601</t>
        </is>
      </c>
      <c r="J332" s="3" t="inlineStr">
        <is>
          <t>Module Diode Failure</t>
        </is>
      </c>
      <c r="K332" s="3" t="inlineStr">
        <is>
          <t>Sadla</t>
        </is>
      </c>
      <c r="L332" s="3" t="inlineStr">
        <is>
          <t>Gujarat</t>
        </is>
      </c>
      <c r="M332" s="9" t="inlineStr">
        <is>
          <t>PS</t>
        </is>
      </c>
      <c r="N332" s="3" t="inlineStr">
        <is>
          <t>Cold Soldering</t>
        </is>
      </c>
      <c r="O332" s="3" t="n">
        <v>570</v>
      </c>
      <c r="P332" s="9" t="inlineStr">
        <is>
          <t>NSMI24060114680</t>
        </is>
      </c>
      <c r="Q332" s="53">
        <f>MID(P332,5,2)</f>
        <v/>
      </c>
      <c r="R332" s="53">
        <f>MID(P332,7,2)</f>
        <v/>
      </c>
      <c r="S332" s="3" t="inlineStr">
        <is>
          <t>G2G</t>
        </is>
      </c>
      <c r="T332" s="3" t="inlineStr">
        <is>
          <t>P4</t>
        </is>
      </c>
      <c r="U332" s="3" t="inlineStr">
        <is>
          <t>P JB Cold Soldering</t>
        </is>
      </c>
      <c r="V332" s="3" t="inlineStr">
        <is>
          <t>Soldering</t>
        </is>
      </c>
      <c r="W332" s="3" t="inlineStr">
        <is>
          <t>Repair</t>
        </is>
      </c>
      <c r="X332" s="18" t="n">
        <v>46147</v>
      </c>
      <c r="Y332" s="3">
        <f>X332-A332</f>
        <v/>
      </c>
      <c r="Z332" s="18" t="n">
        <v>46147</v>
      </c>
      <c r="AA332" s="15" t="n"/>
      <c r="AB332" s="15" t="n"/>
    </row>
    <row r="333" hidden="1" s="233">
      <c r="A333" s="6" t="n">
        <v>46107</v>
      </c>
      <c r="B333" s="3" t="n">
        <v>2026</v>
      </c>
      <c r="C333" s="3" t="inlineStr">
        <is>
          <t>Blupine</t>
        </is>
      </c>
      <c r="D333" s="3" t="inlineStr">
        <is>
          <t>Utility and C&amp;I</t>
        </is>
      </c>
      <c r="E333" s="3" t="n"/>
      <c r="F333" s="3" t="inlineStr">
        <is>
          <t>Closed</t>
        </is>
      </c>
      <c r="G333" s="3" t="inlineStr">
        <is>
          <t>Chandrashekar Patidar</t>
        </is>
      </c>
      <c r="H333" s="3" t="n">
        <v>7879764773</v>
      </c>
      <c r="I333" s="11" t="inlineStr">
        <is>
          <t>PE26032601</t>
        </is>
      </c>
      <c r="J333" s="3" t="inlineStr">
        <is>
          <t>Module Diode Failure</t>
        </is>
      </c>
      <c r="K333" s="3" t="inlineStr">
        <is>
          <t>Sadla</t>
        </is>
      </c>
      <c r="L333" s="3" t="inlineStr">
        <is>
          <t>Gujarat</t>
        </is>
      </c>
      <c r="M333" s="9" t="inlineStr">
        <is>
          <t>Ok</t>
        </is>
      </c>
      <c r="N333" s="3" t="inlineStr">
        <is>
          <t>No Issue</t>
        </is>
      </c>
      <c r="O333" s="3" t="n">
        <v>570</v>
      </c>
      <c r="P333" s="9" t="inlineStr">
        <is>
          <t>NSMI24060114783</t>
        </is>
      </c>
      <c r="Q333" s="53">
        <f>MID(P333,5,2)</f>
        <v/>
      </c>
      <c r="R333" s="53">
        <f>MID(P333,7,2)</f>
        <v/>
      </c>
      <c r="S333" s="3" t="inlineStr">
        <is>
          <t>G2G</t>
        </is>
      </c>
      <c r="T333" s="3" t="inlineStr">
        <is>
          <t>P4</t>
        </is>
      </c>
      <c r="U333" s="19" t="inlineStr">
        <is>
          <t>No Issue Found</t>
        </is>
      </c>
      <c r="V333" s="19" t="inlineStr">
        <is>
          <t>Found OK</t>
        </is>
      </c>
      <c r="W333" s="19" t="inlineStr">
        <is>
          <t>Repair</t>
        </is>
      </c>
      <c r="X333" s="18" t="n">
        <v>46147</v>
      </c>
      <c r="Y333" s="3">
        <f>X333-A333</f>
        <v/>
      </c>
      <c r="Z333" s="18" t="n">
        <v>46147</v>
      </c>
      <c r="AA333" s="15" t="n"/>
      <c r="AB333" s="15" t="n"/>
    </row>
    <row r="334" hidden="1" s="233">
      <c r="A334" s="6" t="n">
        <v>46107</v>
      </c>
      <c r="B334" s="3" t="n">
        <v>2026</v>
      </c>
      <c r="C334" s="3" t="inlineStr">
        <is>
          <t>Blupine</t>
        </is>
      </c>
      <c r="D334" s="3" t="inlineStr">
        <is>
          <t>Utility and C&amp;I</t>
        </is>
      </c>
      <c r="E334" s="3" t="n"/>
      <c r="F334" s="3" t="inlineStr">
        <is>
          <t>Closed</t>
        </is>
      </c>
      <c r="G334" s="3" t="inlineStr">
        <is>
          <t>Chandrashekar Patidar</t>
        </is>
      </c>
      <c r="H334" s="3" t="n">
        <v>7879764773</v>
      </c>
      <c r="I334" s="11" t="inlineStr">
        <is>
          <t>PE26032601</t>
        </is>
      </c>
      <c r="J334" s="3" t="inlineStr">
        <is>
          <t>Module Diode Failure</t>
        </is>
      </c>
      <c r="K334" s="3" t="inlineStr">
        <is>
          <t>Sadla</t>
        </is>
      </c>
      <c r="L334" s="3" t="inlineStr">
        <is>
          <t>Gujarat</t>
        </is>
      </c>
      <c r="M334" s="9" t="inlineStr">
        <is>
          <t>PS</t>
        </is>
      </c>
      <c r="N334" s="3" t="inlineStr">
        <is>
          <t>Cold Soldering</t>
        </is>
      </c>
      <c r="O334" s="3" t="n">
        <v>570</v>
      </c>
      <c r="P334" s="9" t="inlineStr">
        <is>
          <t>NSMI24060107578</t>
        </is>
      </c>
      <c r="Q334" s="53">
        <f>MID(P334,5,2)</f>
        <v/>
      </c>
      <c r="R334" s="53">
        <f>MID(P334,7,2)</f>
        <v/>
      </c>
      <c r="S334" s="3" t="inlineStr">
        <is>
          <t>G2G</t>
        </is>
      </c>
      <c r="T334" s="3" t="inlineStr">
        <is>
          <t>P4</t>
        </is>
      </c>
      <c r="U334" s="3" t="inlineStr">
        <is>
          <t>P JB Cold Soldering</t>
        </is>
      </c>
      <c r="V334" s="3" t="inlineStr">
        <is>
          <t>Soldering</t>
        </is>
      </c>
      <c r="W334" s="3" t="inlineStr">
        <is>
          <t>Repair</t>
        </is>
      </c>
      <c r="X334" s="18" t="n">
        <v>46147</v>
      </c>
      <c r="Y334" s="3">
        <f>X334-A334</f>
        <v/>
      </c>
      <c r="Z334" s="18" t="n">
        <v>46147</v>
      </c>
      <c r="AA334" s="15" t="n"/>
      <c r="AB334" s="15" t="n"/>
    </row>
    <row r="335" hidden="1" s="233">
      <c r="A335" s="6" t="n">
        <v>46107</v>
      </c>
      <c r="B335" s="3" t="n">
        <v>2026</v>
      </c>
      <c r="C335" s="3" t="inlineStr">
        <is>
          <t>Blupine</t>
        </is>
      </c>
      <c r="D335" s="3" t="inlineStr">
        <is>
          <t>Utility and C&amp;I</t>
        </is>
      </c>
      <c r="E335" s="3" t="n"/>
      <c r="F335" s="3" t="inlineStr">
        <is>
          <t>Closed</t>
        </is>
      </c>
      <c r="G335" s="3" t="inlineStr">
        <is>
          <t>Chandrashekar Patidar</t>
        </is>
      </c>
      <c r="H335" s="3" t="n">
        <v>7879764773</v>
      </c>
      <c r="I335" s="11" t="inlineStr">
        <is>
          <t>PE26032601</t>
        </is>
      </c>
      <c r="J335" s="3" t="inlineStr">
        <is>
          <t>Module Diode Failure</t>
        </is>
      </c>
      <c r="K335" s="3" t="inlineStr">
        <is>
          <t>Sadla</t>
        </is>
      </c>
      <c r="L335" s="3" t="inlineStr">
        <is>
          <t>Gujarat</t>
        </is>
      </c>
      <c r="M335" s="9" t="inlineStr">
        <is>
          <t>NS</t>
        </is>
      </c>
      <c r="N335" s="3" t="inlineStr">
        <is>
          <t>Cold Soldering</t>
        </is>
      </c>
      <c r="O335" s="3" t="n">
        <v>570</v>
      </c>
      <c r="P335" s="9" t="inlineStr">
        <is>
          <t>NSMI24060107730</t>
        </is>
      </c>
      <c r="Q335" s="53">
        <f>MID(P335,5,2)</f>
        <v/>
      </c>
      <c r="R335" s="53">
        <f>MID(P335,7,2)</f>
        <v/>
      </c>
      <c r="S335" s="3" t="inlineStr">
        <is>
          <t>G2G</t>
        </is>
      </c>
      <c r="T335" s="3" t="inlineStr">
        <is>
          <t>P4</t>
        </is>
      </c>
      <c r="U335" s="3" t="inlineStr">
        <is>
          <t>N JB Cold Soldering</t>
        </is>
      </c>
      <c r="V335" s="3" t="inlineStr">
        <is>
          <t>Soldering</t>
        </is>
      </c>
      <c r="W335" s="3" t="inlineStr">
        <is>
          <t>Repair</t>
        </is>
      </c>
      <c r="X335" s="18" t="n">
        <v>46147</v>
      </c>
      <c r="Y335" s="3">
        <f>X335-A335</f>
        <v/>
      </c>
      <c r="Z335" s="18" t="n">
        <v>46147</v>
      </c>
      <c r="AA335" s="15" t="n"/>
      <c r="AB335" s="15" t="n"/>
    </row>
    <row r="336" hidden="1" s="233">
      <c r="A336" s="6" t="n">
        <v>46107</v>
      </c>
      <c r="B336" s="3" t="n">
        <v>2026</v>
      </c>
      <c r="C336" s="3" t="inlineStr">
        <is>
          <t>Blupine</t>
        </is>
      </c>
      <c r="D336" s="3" t="inlineStr">
        <is>
          <t>Utility and C&amp;I</t>
        </is>
      </c>
      <c r="E336" s="3" t="n"/>
      <c r="F336" s="3" t="inlineStr">
        <is>
          <t>Closed</t>
        </is>
      </c>
      <c r="G336" s="3" t="inlineStr">
        <is>
          <t>Chandrashekar Patidar</t>
        </is>
      </c>
      <c r="H336" s="3" t="n">
        <v>7879764773</v>
      </c>
      <c r="I336" s="11" t="inlineStr">
        <is>
          <t>PE26032601</t>
        </is>
      </c>
      <c r="J336" s="3" t="inlineStr">
        <is>
          <t>Module Diode Failure</t>
        </is>
      </c>
      <c r="K336" s="3" t="inlineStr">
        <is>
          <t>Sadla</t>
        </is>
      </c>
      <c r="L336" s="3" t="inlineStr">
        <is>
          <t>Gujarat</t>
        </is>
      </c>
      <c r="M336" s="9" t="inlineStr">
        <is>
          <t>NS</t>
        </is>
      </c>
      <c r="N336" s="3" t="inlineStr">
        <is>
          <t>Cold Soldering</t>
        </is>
      </c>
      <c r="O336" s="3" t="n">
        <v>570</v>
      </c>
      <c r="P336" s="9" t="inlineStr">
        <is>
          <t>NSMI24060107681</t>
        </is>
      </c>
      <c r="Q336" s="53">
        <f>MID(P336,5,2)</f>
        <v/>
      </c>
      <c r="R336" s="53">
        <f>MID(P336,7,2)</f>
        <v/>
      </c>
      <c r="S336" s="3" t="inlineStr">
        <is>
          <t>G2G</t>
        </is>
      </c>
      <c r="T336" s="3" t="inlineStr">
        <is>
          <t>P4</t>
        </is>
      </c>
      <c r="U336" s="3" t="inlineStr">
        <is>
          <t>N JB Cold Soldering</t>
        </is>
      </c>
      <c r="V336" s="3" t="inlineStr">
        <is>
          <t>Soldering</t>
        </is>
      </c>
      <c r="W336" s="3" t="inlineStr">
        <is>
          <t>Repair</t>
        </is>
      </c>
      <c r="X336" s="18" t="n">
        <v>46147</v>
      </c>
      <c r="Y336" s="3">
        <f>X336-A336</f>
        <v/>
      </c>
      <c r="Z336" s="18" t="n">
        <v>46147</v>
      </c>
      <c r="AA336" s="15" t="n"/>
      <c r="AB336" s="15" t="n"/>
    </row>
    <row r="337" hidden="1" s="233">
      <c r="A337" s="6" t="n">
        <v>46107</v>
      </c>
      <c r="B337" s="3" t="n">
        <v>2026</v>
      </c>
      <c r="C337" s="3" t="inlineStr">
        <is>
          <t>Blupine</t>
        </is>
      </c>
      <c r="D337" s="3" t="inlineStr">
        <is>
          <t>Utility and C&amp;I</t>
        </is>
      </c>
      <c r="E337" s="3" t="n"/>
      <c r="F337" s="3" t="inlineStr">
        <is>
          <t>Closed</t>
        </is>
      </c>
      <c r="G337" s="3" t="inlineStr">
        <is>
          <t>Chandrashekar Patidar</t>
        </is>
      </c>
      <c r="H337" s="3" t="n">
        <v>7879764773</v>
      </c>
      <c r="I337" s="11" t="inlineStr">
        <is>
          <t>PE26032601</t>
        </is>
      </c>
      <c r="J337" s="3" t="inlineStr">
        <is>
          <t>Module Diode Failure</t>
        </is>
      </c>
      <c r="K337" s="3" t="inlineStr">
        <is>
          <t>Sadla</t>
        </is>
      </c>
      <c r="L337" s="3" t="inlineStr">
        <is>
          <t>Gujarat</t>
        </is>
      </c>
      <c r="M337" s="9" t="inlineStr">
        <is>
          <t>NS</t>
        </is>
      </c>
      <c r="N337" s="3" t="inlineStr">
        <is>
          <t>Cold Soldering</t>
        </is>
      </c>
      <c r="O337" s="3" t="n">
        <v>570</v>
      </c>
      <c r="P337" s="9" t="inlineStr">
        <is>
          <t>NSMI24060107779</t>
        </is>
      </c>
      <c r="Q337" s="53">
        <f>MID(P337,5,2)</f>
        <v/>
      </c>
      <c r="R337" s="53">
        <f>MID(P337,7,2)</f>
        <v/>
      </c>
      <c r="S337" s="3" t="inlineStr">
        <is>
          <t>G2G</t>
        </is>
      </c>
      <c r="T337" s="3" t="inlineStr">
        <is>
          <t>P4</t>
        </is>
      </c>
      <c r="U337" s="3" t="inlineStr">
        <is>
          <t>N JB Cold Soldering</t>
        </is>
      </c>
      <c r="V337" s="3" t="inlineStr">
        <is>
          <t>Soldering</t>
        </is>
      </c>
      <c r="W337" s="3" t="inlineStr">
        <is>
          <t>Repair</t>
        </is>
      </c>
      <c r="X337" s="18" t="n">
        <v>46147</v>
      </c>
      <c r="Y337" s="3">
        <f>X337-A337</f>
        <v/>
      </c>
      <c r="Z337" s="18" t="n">
        <v>46147</v>
      </c>
      <c r="AA337" s="15" t="n"/>
      <c r="AB337" s="15" t="n"/>
    </row>
    <row r="338" hidden="1" s="233">
      <c r="A338" s="6" t="n">
        <v>46107</v>
      </c>
      <c r="B338" s="3" t="n">
        <v>2026</v>
      </c>
      <c r="C338" s="3" t="inlineStr">
        <is>
          <t>Blupine</t>
        </is>
      </c>
      <c r="D338" s="3" t="inlineStr">
        <is>
          <t>Utility and C&amp;I</t>
        </is>
      </c>
      <c r="E338" s="3" t="n"/>
      <c r="F338" s="3" t="inlineStr">
        <is>
          <t>Closed</t>
        </is>
      </c>
      <c r="G338" s="3" t="inlineStr">
        <is>
          <t>Chandrashekar Patidar</t>
        </is>
      </c>
      <c r="H338" s="3" t="n">
        <v>7879764773</v>
      </c>
      <c r="I338" s="11" t="inlineStr">
        <is>
          <t>PE26032601</t>
        </is>
      </c>
      <c r="J338" s="3" t="inlineStr">
        <is>
          <t>Module Diode Failure</t>
        </is>
      </c>
      <c r="K338" s="3" t="inlineStr">
        <is>
          <t>Sadla</t>
        </is>
      </c>
      <c r="L338" s="3" t="inlineStr">
        <is>
          <t>Gujarat</t>
        </is>
      </c>
      <c r="M338" s="9" t="inlineStr">
        <is>
          <t>NS</t>
        </is>
      </c>
      <c r="N338" s="3" t="inlineStr">
        <is>
          <t>Cold Soldering</t>
        </is>
      </c>
      <c r="O338" s="3" t="n">
        <v>570</v>
      </c>
      <c r="P338" s="9" t="inlineStr">
        <is>
          <t>NSMI24060107671</t>
        </is>
      </c>
      <c r="Q338" s="53">
        <f>MID(P338,5,2)</f>
        <v/>
      </c>
      <c r="R338" s="53">
        <f>MID(P338,7,2)</f>
        <v/>
      </c>
      <c r="S338" s="3" t="inlineStr">
        <is>
          <t>G2G</t>
        </is>
      </c>
      <c r="T338" s="3" t="inlineStr">
        <is>
          <t>P4</t>
        </is>
      </c>
      <c r="U338" s="3" t="inlineStr">
        <is>
          <t>N JB Cold Soldering</t>
        </is>
      </c>
      <c r="V338" s="3" t="inlineStr">
        <is>
          <t>Soldering</t>
        </is>
      </c>
      <c r="W338" s="3" t="inlineStr">
        <is>
          <t>Repair</t>
        </is>
      </c>
      <c r="X338" s="18" t="n">
        <v>46147</v>
      </c>
      <c r="Y338" s="3">
        <f>X338-A338</f>
        <v/>
      </c>
      <c r="Z338" s="18" t="n">
        <v>46147</v>
      </c>
      <c r="AA338" s="15" t="n"/>
      <c r="AB338" s="15" t="n"/>
    </row>
    <row r="339" hidden="1" s="233">
      <c r="A339" s="6" t="n">
        <v>46107</v>
      </c>
      <c r="B339" s="3" t="n">
        <v>2026</v>
      </c>
      <c r="C339" s="3" t="inlineStr">
        <is>
          <t>Blupine</t>
        </is>
      </c>
      <c r="D339" s="3" t="inlineStr">
        <is>
          <t>Utility and C&amp;I</t>
        </is>
      </c>
      <c r="E339" s="3" t="n"/>
      <c r="F339" s="3" t="inlineStr">
        <is>
          <t>Closed</t>
        </is>
      </c>
      <c r="G339" s="3" t="inlineStr">
        <is>
          <t>Chandrashekar Patidar</t>
        </is>
      </c>
      <c r="H339" s="3" t="n">
        <v>7879764773</v>
      </c>
      <c r="I339" s="11" t="inlineStr">
        <is>
          <t>PE26032601</t>
        </is>
      </c>
      <c r="J339" s="3" t="inlineStr">
        <is>
          <t>Module Diode Failure</t>
        </is>
      </c>
      <c r="K339" s="3" t="inlineStr">
        <is>
          <t>Sadla</t>
        </is>
      </c>
      <c r="L339" s="3" t="inlineStr">
        <is>
          <t>Gujarat</t>
        </is>
      </c>
      <c r="M339" s="9" t="inlineStr">
        <is>
          <t>NS</t>
        </is>
      </c>
      <c r="N339" s="3" t="inlineStr">
        <is>
          <t>Cold Soldering</t>
        </is>
      </c>
      <c r="O339" s="3" t="n">
        <v>570</v>
      </c>
      <c r="P339" s="9" t="inlineStr">
        <is>
          <t>NSMI24060080276</t>
        </is>
      </c>
      <c r="Q339" s="53">
        <f>MID(P339,5,2)</f>
        <v/>
      </c>
      <c r="R339" s="53">
        <f>MID(P339,7,2)</f>
        <v/>
      </c>
      <c r="S339" s="3" t="inlineStr">
        <is>
          <t>G2G</t>
        </is>
      </c>
      <c r="T339" s="3" t="inlineStr">
        <is>
          <t>P4</t>
        </is>
      </c>
      <c r="U339" s="3" t="inlineStr">
        <is>
          <t>N JB Cold Soldering</t>
        </is>
      </c>
      <c r="V339" s="3" t="inlineStr">
        <is>
          <t>Soldering</t>
        </is>
      </c>
      <c r="W339" s="3" t="inlineStr">
        <is>
          <t>Repair</t>
        </is>
      </c>
      <c r="X339" s="18" t="n">
        <v>46147</v>
      </c>
      <c r="Y339" s="3">
        <f>X339-A339</f>
        <v/>
      </c>
      <c r="Z339" s="18" t="n">
        <v>46147</v>
      </c>
      <c r="AA339" s="15" t="n"/>
      <c r="AB339" s="15" t="n"/>
    </row>
    <row r="340" hidden="1" s="233">
      <c r="A340" s="6" t="n">
        <v>46107</v>
      </c>
      <c r="B340" s="3" t="n">
        <v>2026</v>
      </c>
      <c r="C340" s="3" t="inlineStr">
        <is>
          <t>Blupine</t>
        </is>
      </c>
      <c r="D340" s="3" t="inlineStr">
        <is>
          <t>Utility and C&amp;I</t>
        </is>
      </c>
      <c r="E340" s="3" t="n"/>
      <c r="F340" s="3" t="inlineStr">
        <is>
          <t>Closed</t>
        </is>
      </c>
      <c r="G340" s="3" t="inlineStr">
        <is>
          <t>Chandrashekar Patidar</t>
        </is>
      </c>
      <c r="H340" s="3" t="n">
        <v>7879764773</v>
      </c>
      <c r="I340" s="11" t="inlineStr">
        <is>
          <t>PE26032601</t>
        </is>
      </c>
      <c r="J340" s="3" t="inlineStr">
        <is>
          <t>Module Diode Failure</t>
        </is>
      </c>
      <c r="K340" s="3" t="inlineStr">
        <is>
          <t>Sadla</t>
        </is>
      </c>
      <c r="L340" s="3" t="inlineStr">
        <is>
          <t>Gujarat</t>
        </is>
      </c>
      <c r="M340" s="9" t="inlineStr">
        <is>
          <t>NS</t>
        </is>
      </c>
      <c r="N340" s="3" t="inlineStr">
        <is>
          <t>Cold Soldering</t>
        </is>
      </c>
      <c r="O340" s="3" t="n">
        <v>570</v>
      </c>
      <c r="P340" s="9" t="inlineStr">
        <is>
          <t>NSMI24050065323</t>
        </is>
      </c>
      <c r="Q340" s="53">
        <f>MID(P340,5,2)</f>
        <v/>
      </c>
      <c r="R340" s="53">
        <f>MID(P340,7,2)</f>
        <v/>
      </c>
      <c r="S340" s="3" t="inlineStr">
        <is>
          <t>G2G</t>
        </is>
      </c>
      <c r="T340" s="3" t="inlineStr">
        <is>
          <t>P4</t>
        </is>
      </c>
      <c r="U340" s="3" t="inlineStr">
        <is>
          <t>N JB Cold Soldering</t>
        </is>
      </c>
      <c r="V340" s="3" t="inlineStr">
        <is>
          <t>Soldering</t>
        </is>
      </c>
      <c r="W340" s="3" t="inlineStr">
        <is>
          <t>Repair</t>
        </is>
      </c>
      <c r="X340" s="18" t="n">
        <v>46147</v>
      </c>
      <c r="Y340" s="3">
        <f>X340-A340</f>
        <v/>
      </c>
      <c r="Z340" s="18" t="n">
        <v>46147</v>
      </c>
      <c r="AA340" s="15" t="n"/>
      <c r="AB340" s="15" t="n"/>
    </row>
    <row r="341" hidden="1" s="233">
      <c r="A341" s="6" t="n">
        <v>46107</v>
      </c>
      <c r="B341" s="3" t="n">
        <v>2026</v>
      </c>
      <c r="C341" s="3" t="inlineStr">
        <is>
          <t>Blupine</t>
        </is>
      </c>
      <c r="D341" s="3" t="inlineStr">
        <is>
          <t>Utility and C&amp;I</t>
        </is>
      </c>
      <c r="E341" s="3" t="n"/>
      <c r="F341" s="3" t="inlineStr">
        <is>
          <t>Closed</t>
        </is>
      </c>
      <c r="G341" s="3" t="inlineStr">
        <is>
          <t>Chandrashekar Patidar</t>
        </is>
      </c>
      <c r="H341" s="3" t="n">
        <v>7879764773</v>
      </c>
      <c r="I341" s="11" t="inlineStr">
        <is>
          <t>PE26032601</t>
        </is>
      </c>
      <c r="J341" s="3" t="inlineStr">
        <is>
          <t>Module Diode Failure</t>
        </is>
      </c>
      <c r="K341" s="3" t="inlineStr">
        <is>
          <t>Sadla</t>
        </is>
      </c>
      <c r="L341" s="3" t="inlineStr">
        <is>
          <t>Gujarat</t>
        </is>
      </c>
      <c r="M341" s="9" t="inlineStr">
        <is>
          <t>PS</t>
        </is>
      </c>
      <c r="N341" s="3" t="inlineStr">
        <is>
          <t>Cold Soldering</t>
        </is>
      </c>
      <c r="O341" s="3" t="n">
        <v>570</v>
      </c>
      <c r="P341" s="9" t="inlineStr">
        <is>
          <t>NSMI24050064039</t>
        </is>
      </c>
      <c r="Q341" s="53">
        <f>MID(P341,5,2)</f>
        <v/>
      </c>
      <c r="R341" s="53">
        <f>MID(P341,7,2)</f>
        <v/>
      </c>
      <c r="S341" s="3" t="inlineStr">
        <is>
          <t>G2G</t>
        </is>
      </c>
      <c r="T341" s="3" t="inlineStr">
        <is>
          <t>P4</t>
        </is>
      </c>
      <c r="U341" s="3" t="inlineStr">
        <is>
          <t>P JB Cold Soldering</t>
        </is>
      </c>
      <c r="V341" s="3" t="inlineStr">
        <is>
          <t>Soldering</t>
        </is>
      </c>
      <c r="W341" s="3" t="inlineStr">
        <is>
          <t>Repair</t>
        </is>
      </c>
      <c r="X341" s="18" t="n">
        <v>46147</v>
      </c>
      <c r="Y341" s="3">
        <f>X341-A341</f>
        <v/>
      </c>
      <c r="Z341" s="18" t="n">
        <v>46147</v>
      </c>
      <c r="AA341" s="15" t="n"/>
      <c r="AB341" s="15" t="n"/>
    </row>
    <row r="342" hidden="1" s="233">
      <c r="A342" s="6" t="n">
        <v>46107</v>
      </c>
      <c r="B342" s="3" t="n">
        <v>2026</v>
      </c>
      <c r="C342" s="3" t="inlineStr">
        <is>
          <t>Blupine</t>
        </is>
      </c>
      <c r="D342" s="3" t="inlineStr">
        <is>
          <t>Utility and C&amp;I</t>
        </is>
      </c>
      <c r="E342" s="3" t="n"/>
      <c r="F342" s="3" t="inlineStr">
        <is>
          <t>Closed</t>
        </is>
      </c>
      <c r="G342" s="3" t="inlineStr">
        <is>
          <t>Chandrashekar Patidar</t>
        </is>
      </c>
      <c r="H342" s="3" t="n">
        <v>7879764773</v>
      </c>
      <c r="I342" s="11" t="inlineStr">
        <is>
          <t>PE26032601</t>
        </is>
      </c>
      <c r="J342" s="3" t="inlineStr">
        <is>
          <t>Module Diode Failure</t>
        </is>
      </c>
      <c r="K342" s="3" t="inlineStr">
        <is>
          <t>Sadla</t>
        </is>
      </c>
      <c r="L342" s="3" t="inlineStr">
        <is>
          <t>Gujarat</t>
        </is>
      </c>
      <c r="M342" s="9" t="inlineStr">
        <is>
          <t>PS</t>
        </is>
      </c>
      <c r="N342" s="3" t="inlineStr">
        <is>
          <t>Cold Soldering</t>
        </is>
      </c>
      <c r="O342" s="3" t="n">
        <v>570</v>
      </c>
      <c r="P342" s="9" t="inlineStr">
        <is>
          <t>NSMI24050063996</t>
        </is>
      </c>
      <c r="Q342" s="53">
        <f>MID(P342,5,2)</f>
        <v/>
      </c>
      <c r="R342" s="53">
        <f>MID(P342,7,2)</f>
        <v/>
      </c>
      <c r="S342" s="3" t="inlineStr">
        <is>
          <t>G2G</t>
        </is>
      </c>
      <c r="T342" s="3" t="inlineStr">
        <is>
          <t>P4</t>
        </is>
      </c>
      <c r="U342" s="3" t="inlineStr">
        <is>
          <t>P JB Cold Soldering</t>
        </is>
      </c>
      <c r="V342" s="3" t="inlineStr">
        <is>
          <t>Soldering</t>
        </is>
      </c>
      <c r="W342" s="3" t="inlineStr">
        <is>
          <t>Repair</t>
        </is>
      </c>
      <c r="X342" s="18" t="n">
        <v>46147</v>
      </c>
      <c r="Y342" s="3">
        <f>X342-A342</f>
        <v/>
      </c>
      <c r="Z342" s="18" t="n">
        <v>46147</v>
      </c>
      <c r="AA342" s="15" t="n"/>
      <c r="AB342" s="15" t="n"/>
    </row>
    <row r="343" hidden="1" s="233">
      <c r="A343" s="6" t="n">
        <v>46107</v>
      </c>
      <c r="B343" s="3" t="n">
        <v>2026</v>
      </c>
      <c r="C343" s="3" t="inlineStr">
        <is>
          <t>Blupine</t>
        </is>
      </c>
      <c r="D343" s="3" t="inlineStr">
        <is>
          <t>Utility and C&amp;I</t>
        </is>
      </c>
      <c r="E343" s="3" t="n"/>
      <c r="F343" s="3" t="inlineStr">
        <is>
          <t>Closed</t>
        </is>
      </c>
      <c r="G343" s="3" t="inlineStr">
        <is>
          <t>Chandrashekar Patidar</t>
        </is>
      </c>
      <c r="H343" s="3" t="n">
        <v>7879764773</v>
      </c>
      <c r="I343" s="11" t="inlineStr">
        <is>
          <t>PE26032601</t>
        </is>
      </c>
      <c r="J343" s="3" t="inlineStr">
        <is>
          <t>Module Diode Failure</t>
        </is>
      </c>
      <c r="K343" s="3" t="inlineStr">
        <is>
          <t>Sadla</t>
        </is>
      </c>
      <c r="L343" s="3" t="inlineStr">
        <is>
          <t>Gujarat</t>
        </is>
      </c>
      <c r="M343" s="9" t="inlineStr">
        <is>
          <t>NS</t>
        </is>
      </c>
      <c r="N343" s="3" t="inlineStr">
        <is>
          <t>Cold Soldering</t>
        </is>
      </c>
      <c r="O343" s="3" t="n">
        <v>570</v>
      </c>
      <c r="P343" s="9" t="inlineStr">
        <is>
          <t>NSMI24060085610</t>
        </is>
      </c>
      <c r="Q343" s="53">
        <f>MID(P343,5,2)</f>
        <v/>
      </c>
      <c r="R343" s="53">
        <f>MID(P343,7,2)</f>
        <v/>
      </c>
      <c r="S343" s="3" t="inlineStr">
        <is>
          <t>G2G</t>
        </is>
      </c>
      <c r="T343" s="3" t="inlineStr">
        <is>
          <t>P4</t>
        </is>
      </c>
      <c r="U343" s="3" t="inlineStr">
        <is>
          <t>N JB Cold Soldering</t>
        </is>
      </c>
      <c r="V343" s="3" t="inlineStr">
        <is>
          <t>Soldering</t>
        </is>
      </c>
      <c r="W343" s="3" t="inlineStr">
        <is>
          <t>Repair</t>
        </is>
      </c>
      <c r="X343" s="18" t="n">
        <v>46147</v>
      </c>
      <c r="Y343" s="3">
        <f>X343-A343</f>
        <v/>
      </c>
      <c r="Z343" s="18" t="n">
        <v>46147</v>
      </c>
      <c r="AA343" s="15" t="n"/>
      <c r="AB343" s="15" t="n"/>
    </row>
    <row r="344" hidden="1" s="233">
      <c r="A344" s="6" t="n">
        <v>46107</v>
      </c>
      <c r="B344" s="3" t="n">
        <v>2026</v>
      </c>
      <c r="C344" s="3" t="inlineStr">
        <is>
          <t>Blupine</t>
        </is>
      </c>
      <c r="D344" s="3" t="inlineStr">
        <is>
          <t>Utility and C&amp;I</t>
        </is>
      </c>
      <c r="E344" s="3" t="n"/>
      <c r="F344" s="3" t="inlineStr">
        <is>
          <t>Closed</t>
        </is>
      </c>
      <c r="G344" s="3" t="inlineStr">
        <is>
          <t>Chandrashekar Patidar</t>
        </is>
      </c>
      <c r="H344" s="3" t="n">
        <v>7879764773</v>
      </c>
      <c r="I344" s="11" t="inlineStr">
        <is>
          <t>PE26032601</t>
        </is>
      </c>
      <c r="J344" s="3" t="inlineStr">
        <is>
          <t>Module Diode Failure</t>
        </is>
      </c>
      <c r="K344" s="3" t="inlineStr">
        <is>
          <t>Sadla</t>
        </is>
      </c>
      <c r="L344" s="3" t="inlineStr">
        <is>
          <t>Gujarat</t>
        </is>
      </c>
      <c r="M344" s="9" t="inlineStr">
        <is>
          <t>NS</t>
        </is>
      </c>
      <c r="N344" s="3" t="inlineStr">
        <is>
          <t>Cold Soldering</t>
        </is>
      </c>
      <c r="O344" s="3" t="n">
        <v>570</v>
      </c>
      <c r="P344" s="9" t="inlineStr">
        <is>
          <t>NSMI24060077339</t>
        </is>
      </c>
      <c r="Q344" s="53">
        <f>MID(P344,5,2)</f>
        <v/>
      </c>
      <c r="R344" s="53">
        <f>MID(P344,7,2)</f>
        <v/>
      </c>
      <c r="S344" s="3" t="inlineStr">
        <is>
          <t>G2G</t>
        </is>
      </c>
      <c r="T344" s="3" t="inlineStr">
        <is>
          <t>P4</t>
        </is>
      </c>
      <c r="U344" s="3" t="inlineStr">
        <is>
          <t>N JB Cold Soldering</t>
        </is>
      </c>
      <c r="V344" s="3" t="inlineStr">
        <is>
          <t>Soldering</t>
        </is>
      </c>
      <c r="W344" s="3" t="inlineStr">
        <is>
          <t>Repair</t>
        </is>
      </c>
      <c r="X344" s="18" t="n">
        <v>46147</v>
      </c>
      <c r="Y344" s="3">
        <f>X344-A344</f>
        <v/>
      </c>
      <c r="Z344" s="18" t="n">
        <v>46147</v>
      </c>
      <c r="AA344" s="15" t="n"/>
      <c r="AB344" s="15" t="n"/>
    </row>
    <row r="345" hidden="1" s="233">
      <c r="A345" s="6" t="n">
        <v>46107</v>
      </c>
      <c r="B345" s="3" t="n">
        <v>2026</v>
      </c>
      <c r="C345" s="3" t="inlineStr">
        <is>
          <t>Blupine</t>
        </is>
      </c>
      <c r="D345" s="3" t="inlineStr">
        <is>
          <t>Utility and C&amp;I</t>
        </is>
      </c>
      <c r="E345" s="3" t="n"/>
      <c r="F345" s="3" t="inlineStr">
        <is>
          <t>Closed</t>
        </is>
      </c>
      <c r="G345" s="3" t="inlineStr">
        <is>
          <t>Chandrashekar Patidar</t>
        </is>
      </c>
      <c r="H345" s="3" t="n">
        <v>7879764773</v>
      </c>
      <c r="I345" s="11" t="inlineStr">
        <is>
          <t>PE26032601</t>
        </is>
      </c>
      <c r="J345" s="3" t="inlineStr">
        <is>
          <t>Module Diode Failure</t>
        </is>
      </c>
      <c r="K345" s="3" t="inlineStr">
        <is>
          <t>Sadla</t>
        </is>
      </c>
      <c r="L345" s="3" t="inlineStr">
        <is>
          <t>Gujarat</t>
        </is>
      </c>
      <c r="M345" s="9" t="inlineStr">
        <is>
          <t>PS</t>
        </is>
      </c>
      <c r="N345" s="3" t="inlineStr">
        <is>
          <t>Cold Soldering</t>
        </is>
      </c>
      <c r="O345" s="3" t="n">
        <v>570</v>
      </c>
      <c r="P345" s="9" t="inlineStr">
        <is>
          <t>NSMI24060077292</t>
        </is>
      </c>
      <c r="Q345" s="53">
        <f>MID(P345,5,2)</f>
        <v/>
      </c>
      <c r="R345" s="53">
        <f>MID(P345,7,2)</f>
        <v/>
      </c>
      <c r="S345" s="3" t="inlineStr">
        <is>
          <t>G2G</t>
        </is>
      </c>
      <c r="T345" s="3" t="inlineStr">
        <is>
          <t>P4</t>
        </is>
      </c>
      <c r="U345" s="3" t="inlineStr">
        <is>
          <t>P JB Cold Soldering</t>
        </is>
      </c>
      <c r="V345" s="3" t="inlineStr">
        <is>
          <t>Soldering</t>
        </is>
      </c>
      <c r="W345" s="3" t="inlineStr">
        <is>
          <t>Repair</t>
        </is>
      </c>
      <c r="X345" s="18" t="n">
        <v>46147</v>
      </c>
      <c r="Y345" s="3">
        <f>X345-A345</f>
        <v/>
      </c>
      <c r="Z345" s="18" t="n">
        <v>46147</v>
      </c>
      <c r="AA345" s="15" t="n"/>
      <c r="AB345" s="15" t="n"/>
    </row>
    <row r="346" hidden="1" s="233">
      <c r="A346" s="6" t="n">
        <v>46107</v>
      </c>
      <c r="B346" s="3" t="n">
        <v>2026</v>
      </c>
      <c r="C346" s="3" t="inlineStr">
        <is>
          <t>Blupine</t>
        </is>
      </c>
      <c r="D346" s="3" t="inlineStr">
        <is>
          <t>Utility and C&amp;I</t>
        </is>
      </c>
      <c r="E346" s="3" t="n"/>
      <c r="F346" s="3" t="inlineStr">
        <is>
          <t>Closed</t>
        </is>
      </c>
      <c r="G346" s="3" t="inlineStr">
        <is>
          <t>Chandrashekar Patidar</t>
        </is>
      </c>
      <c r="H346" s="3" t="n">
        <v>7879764773</v>
      </c>
      <c r="I346" s="11" t="inlineStr">
        <is>
          <t>PE26032601</t>
        </is>
      </c>
      <c r="J346" s="3" t="inlineStr">
        <is>
          <t>Module Diode Failure</t>
        </is>
      </c>
      <c r="K346" s="3" t="inlineStr">
        <is>
          <t>Sadla</t>
        </is>
      </c>
      <c r="L346" s="3" t="inlineStr">
        <is>
          <t>Gujarat</t>
        </is>
      </c>
      <c r="M346" s="9" t="inlineStr">
        <is>
          <t>PS</t>
        </is>
      </c>
      <c r="N346" s="3" t="inlineStr">
        <is>
          <t>Cold Soldering</t>
        </is>
      </c>
      <c r="O346" s="3" t="n">
        <v>570</v>
      </c>
      <c r="P346" s="9" t="inlineStr">
        <is>
          <t>NSMI24050066358</t>
        </is>
      </c>
      <c r="Q346" s="53">
        <f>MID(P346,5,2)</f>
        <v/>
      </c>
      <c r="R346" s="53">
        <f>MID(P346,7,2)</f>
        <v/>
      </c>
      <c r="S346" s="3" t="inlineStr">
        <is>
          <t>G2G</t>
        </is>
      </c>
      <c r="T346" s="3" t="inlineStr">
        <is>
          <t>P4</t>
        </is>
      </c>
      <c r="U346" s="3" t="inlineStr">
        <is>
          <t>P JB Cold Soldering</t>
        </is>
      </c>
      <c r="V346" s="3" t="inlineStr">
        <is>
          <t>Soldering</t>
        </is>
      </c>
      <c r="W346" s="3" t="inlineStr">
        <is>
          <t>Repair</t>
        </is>
      </c>
      <c r="X346" s="18" t="n">
        <v>46147</v>
      </c>
      <c r="Y346" s="3">
        <f>X346-A346</f>
        <v/>
      </c>
      <c r="Z346" s="18" t="n">
        <v>46147</v>
      </c>
      <c r="AA346" s="15" t="n"/>
      <c r="AB346" s="15" t="n"/>
    </row>
    <row r="347" hidden="1" s="233">
      <c r="A347" s="6" t="n">
        <v>46107</v>
      </c>
      <c r="B347" s="3" t="n">
        <v>2026</v>
      </c>
      <c r="C347" s="3" t="inlineStr">
        <is>
          <t>Blupine</t>
        </is>
      </c>
      <c r="D347" s="3" t="inlineStr">
        <is>
          <t>Utility and C&amp;I</t>
        </is>
      </c>
      <c r="E347" s="3" t="n"/>
      <c r="F347" s="3" t="inlineStr">
        <is>
          <t>Closed</t>
        </is>
      </c>
      <c r="G347" s="3" t="inlineStr">
        <is>
          <t>Chandrashekar Patidar</t>
        </is>
      </c>
      <c r="H347" s="3" t="n">
        <v>7879764773</v>
      </c>
      <c r="I347" s="11" t="inlineStr">
        <is>
          <t>PE26032601</t>
        </is>
      </c>
      <c r="J347" s="3" t="inlineStr">
        <is>
          <t>Module Diode Failure</t>
        </is>
      </c>
      <c r="K347" s="3" t="inlineStr">
        <is>
          <t>Sadla</t>
        </is>
      </c>
      <c r="L347" s="3" t="inlineStr">
        <is>
          <t>Gujarat</t>
        </is>
      </c>
      <c r="M347" s="9" t="inlineStr">
        <is>
          <t>PS</t>
        </is>
      </c>
      <c r="N347" s="3" t="inlineStr">
        <is>
          <t>Cold Soldering</t>
        </is>
      </c>
      <c r="O347" s="3" t="n">
        <v>570</v>
      </c>
      <c r="P347" s="9" t="inlineStr">
        <is>
          <t>NSMI24050066360</t>
        </is>
      </c>
      <c r="Q347" s="53">
        <f>MID(P347,5,2)</f>
        <v/>
      </c>
      <c r="R347" s="53">
        <f>MID(P347,7,2)</f>
        <v/>
      </c>
      <c r="S347" s="3" t="inlineStr">
        <is>
          <t>G2G</t>
        </is>
      </c>
      <c r="T347" s="3" t="inlineStr">
        <is>
          <t>P4</t>
        </is>
      </c>
      <c r="U347" s="3" t="inlineStr">
        <is>
          <t>P JB Cold Soldering</t>
        </is>
      </c>
      <c r="V347" s="3" t="inlineStr">
        <is>
          <t>Soldering</t>
        </is>
      </c>
      <c r="W347" s="3" t="inlineStr">
        <is>
          <t>Repair</t>
        </is>
      </c>
      <c r="X347" s="18" t="n">
        <v>46147</v>
      </c>
      <c r="Y347" s="3">
        <f>X347-A347</f>
        <v/>
      </c>
      <c r="Z347" s="18" t="n">
        <v>46147</v>
      </c>
      <c r="AA347" s="15" t="n"/>
      <c r="AB347" s="15" t="n"/>
    </row>
    <row r="348" hidden="1" s="233">
      <c r="A348" s="6" t="n">
        <v>46107</v>
      </c>
      <c r="B348" s="3" t="n">
        <v>2026</v>
      </c>
      <c r="C348" s="3" t="inlineStr">
        <is>
          <t>Blupine</t>
        </is>
      </c>
      <c r="D348" s="3" t="inlineStr">
        <is>
          <t>Utility and C&amp;I</t>
        </is>
      </c>
      <c r="E348" s="3" t="n"/>
      <c r="F348" s="3" t="inlineStr">
        <is>
          <t>Closed</t>
        </is>
      </c>
      <c r="G348" s="3" t="inlineStr">
        <is>
          <t>Chandrashekar Patidar</t>
        </is>
      </c>
      <c r="H348" s="3" t="n">
        <v>7879764773</v>
      </c>
      <c r="I348" s="11" t="inlineStr">
        <is>
          <t>PE26032601</t>
        </is>
      </c>
      <c r="J348" s="3" t="inlineStr">
        <is>
          <t>Module Diode Failure</t>
        </is>
      </c>
      <c r="K348" s="3" t="inlineStr">
        <is>
          <t>Sadla</t>
        </is>
      </c>
      <c r="L348" s="3" t="inlineStr">
        <is>
          <t>Gujarat</t>
        </is>
      </c>
      <c r="M348" s="9" t="inlineStr">
        <is>
          <t>PMS</t>
        </is>
      </c>
      <c r="N348" s="3" t="inlineStr">
        <is>
          <t>Cold Soldering</t>
        </is>
      </c>
      <c r="O348" s="3" t="n">
        <v>570</v>
      </c>
      <c r="P348" s="9" t="inlineStr">
        <is>
          <t>NSMI24060101027</t>
        </is>
      </c>
      <c r="Q348" s="53">
        <f>MID(P348,5,2)</f>
        <v/>
      </c>
      <c r="R348" s="53">
        <f>MID(P348,7,2)</f>
        <v/>
      </c>
      <c r="S348" s="3" t="inlineStr">
        <is>
          <t>G2G</t>
        </is>
      </c>
      <c r="T348" s="3" t="inlineStr">
        <is>
          <t>P4</t>
        </is>
      </c>
      <c r="U348" s="3" t="inlineStr">
        <is>
          <t>P &amp; M JB Cold Soldering</t>
        </is>
      </c>
      <c r="V348" s="3" t="inlineStr">
        <is>
          <t>Soldering</t>
        </is>
      </c>
      <c r="W348" s="3" t="inlineStr">
        <is>
          <t>Repair</t>
        </is>
      </c>
      <c r="X348" s="18" t="n">
        <v>46147</v>
      </c>
      <c r="Y348" s="3">
        <f>X348-A348</f>
        <v/>
      </c>
      <c r="Z348" s="18" t="n">
        <v>46147</v>
      </c>
      <c r="AA348" s="15" t="n"/>
      <c r="AB348" s="15" t="n"/>
    </row>
    <row r="349" hidden="1" s="233">
      <c r="A349" s="6" t="n">
        <v>46107</v>
      </c>
      <c r="B349" s="3" t="n">
        <v>2026</v>
      </c>
      <c r="C349" s="3" t="inlineStr">
        <is>
          <t>Blupine</t>
        </is>
      </c>
      <c r="D349" s="3" t="inlineStr">
        <is>
          <t>Utility and C&amp;I</t>
        </is>
      </c>
      <c r="E349" s="3" t="n"/>
      <c r="F349" s="3" t="inlineStr">
        <is>
          <t>Closed</t>
        </is>
      </c>
      <c r="G349" s="3" t="inlineStr">
        <is>
          <t>Chandrashekar Patidar</t>
        </is>
      </c>
      <c r="H349" s="3" t="n">
        <v>7879764773</v>
      </c>
      <c r="I349" s="11" t="inlineStr">
        <is>
          <t>PE26032601</t>
        </is>
      </c>
      <c r="J349" s="3" t="inlineStr">
        <is>
          <t>Module Diode Failure</t>
        </is>
      </c>
      <c r="K349" s="3" t="inlineStr">
        <is>
          <t>Sadla</t>
        </is>
      </c>
      <c r="L349" s="3" t="inlineStr">
        <is>
          <t>Gujarat</t>
        </is>
      </c>
      <c r="M349" s="9" t="inlineStr">
        <is>
          <t>PS</t>
        </is>
      </c>
      <c r="N349" s="3" t="inlineStr">
        <is>
          <t>Cold Soldering</t>
        </is>
      </c>
      <c r="O349" s="3" t="n">
        <v>570</v>
      </c>
      <c r="P349" s="9" t="inlineStr">
        <is>
          <t>NSMI24060101202</t>
        </is>
      </c>
      <c r="Q349" s="53">
        <f>MID(P349,5,2)</f>
        <v/>
      </c>
      <c r="R349" s="53">
        <f>MID(P349,7,2)</f>
        <v/>
      </c>
      <c r="S349" s="3" t="inlineStr">
        <is>
          <t>G2G</t>
        </is>
      </c>
      <c r="T349" s="3" t="inlineStr">
        <is>
          <t>P4</t>
        </is>
      </c>
      <c r="U349" s="3" t="inlineStr">
        <is>
          <t>P JB Cold Soldering</t>
        </is>
      </c>
      <c r="V349" s="3" t="inlineStr">
        <is>
          <t>Soldering</t>
        </is>
      </c>
      <c r="W349" s="3" t="inlineStr">
        <is>
          <t>Repair</t>
        </is>
      </c>
      <c r="X349" s="18" t="n">
        <v>46147</v>
      </c>
      <c r="Y349" s="3">
        <f>X349-A349</f>
        <v/>
      </c>
      <c r="Z349" s="18" t="n">
        <v>46147</v>
      </c>
      <c r="AA349" s="15" t="n"/>
      <c r="AB349" s="15" t="n"/>
    </row>
    <row r="350" hidden="1" s="233">
      <c r="A350" s="6" t="n">
        <v>46107</v>
      </c>
      <c r="B350" s="3" t="n">
        <v>2026</v>
      </c>
      <c r="C350" s="3" t="inlineStr">
        <is>
          <t>Blupine</t>
        </is>
      </c>
      <c r="D350" s="3" t="inlineStr">
        <is>
          <t>Utility and C&amp;I</t>
        </is>
      </c>
      <c r="E350" s="3" t="n"/>
      <c r="F350" s="3" t="inlineStr">
        <is>
          <t>Closed</t>
        </is>
      </c>
      <c r="G350" s="3" t="inlineStr">
        <is>
          <t>Chandrashekar Patidar</t>
        </is>
      </c>
      <c r="H350" s="3" t="n">
        <v>7879764773</v>
      </c>
      <c r="I350" s="11" t="inlineStr">
        <is>
          <t>PE26032601</t>
        </is>
      </c>
      <c r="J350" s="3" t="inlineStr">
        <is>
          <t>Module Diode Failure</t>
        </is>
      </c>
      <c r="K350" s="3" t="inlineStr">
        <is>
          <t>Sadla</t>
        </is>
      </c>
      <c r="L350" s="3" t="inlineStr">
        <is>
          <t>Gujarat</t>
        </is>
      </c>
      <c r="M350" s="9" t="inlineStr">
        <is>
          <t>NS</t>
        </is>
      </c>
      <c r="N350" s="3" t="inlineStr">
        <is>
          <t>Cold Soldering</t>
        </is>
      </c>
      <c r="O350" s="3" t="n">
        <v>570</v>
      </c>
      <c r="P350" s="9" t="inlineStr">
        <is>
          <t>NSMI24060100596</t>
        </is>
      </c>
      <c r="Q350" s="53">
        <f>MID(P350,5,2)</f>
        <v/>
      </c>
      <c r="R350" s="53">
        <f>MID(P350,7,2)</f>
        <v/>
      </c>
      <c r="S350" s="3" t="inlineStr">
        <is>
          <t>G2G</t>
        </is>
      </c>
      <c r="T350" s="3" t="inlineStr">
        <is>
          <t>P4</t>
        </is>
      </c>
      <c r="U350" s="3" t="inlineStr">
        <is>
          <t>N JB Cold Soldering</t>
        </is>
      </c>
      <c r="V350" s="3" t="inlineStr">
        <is>
          <t>Soldering</t>
        </is>
      </c>
      <c r="W350" s="3" t="inlineStr">
        <is>
          <t>Repair</t>
        </is>
      </c>
      <c r="X350" s="18" t="n">
        <v>46147</v>
      </c>
      <c r="Y350" s="3">
        <f>X350-A350</f>
        <v/>
      </c>
      <c r="Z350" s="18" t="n">
        <v>46147</v>
      </c>
      <c r="AA350" s="15" t="n"/>
      <c r="AB350" s="15" t="n"/>
    </row>
    <row r="351" hidden="1" s="233">
      <c r="A351" s="6" t="n">
        <v>46107</v>
      </c>
      <c r="B351" s="3" t="n">
        <v>2026</v>
      </c>
      <c r="C351" s="3" t="inlineStr">
        <is>
          <t>Blupine</t>
        </is>
      </c>
      <c r="D351" s="3" t="inlineStr">
        <is>
          <t>Utility and C&amp;I</t>
        </is>
      </c>
      <c r="E351" s="3" t="n"/>
      <c r="F351" s="3" t="inlineStr">
        <is>
          <t>Closed</t>
        </is>
      </c>
      <c r="G351" s="3" t="inlineStr">
        <is>
          <t>Chandrashekar Patidar</t>
        </is>
      </c>
      <c r="H351" s="3" t="n">
        <v>7879764773</v>
      </c>
      <c r="I351" s="11" t="inlineStr">
        <is>
          <t>PE26032601</t>
        </is>
      </c>
      <c r="J351" s="3" t="inlineStr">
        <is>
          <t>Module Diode Failure</t>
        </is>
      </c>
      <c r="K351" s="3" t="inlineStr">
        <is>
          <t>Sadla</t>
        </is>
      </c>
      <c r="L351" s="3" t="inlineStr">
        <is>
          <t>Gujarat</t>
        </is>
      </c>
      <c r="M351" s="9" t="inlineStr">
        <is>
          <t>NS</t>
        </is>
      </c>
      <c r="N351" s="3" t="inlineStr">
        <is>
          <t>Cold Soldering</t>
        </is>
      </c>
      <c r="O351" s="3" t="n">
        <v>570</v>
      </c>
      <c r="P351" s="9" t="inlineStr">
        <is>
          <t>NSMI24060100939</t>
        </is>
      </c>
      <c r="Q351" s="53">
        <f>MID(P351,5,2)</f>
        <v/>
      </c>
      <c r="R351" s="53">
        <f>MID(P351,7,2)</f>
        <v/>
      </c>
      <c r="S351" s="3" t="inlineStr">
        <is>
          <t>G2G</t>
        </is>
      </c>
      <c r="T351" s="3" t="inlineStr">
        <is>
          <t>P4</t>
        </is>
      </c>
      <c r="U351" s="3" t="inlineStr">
        <is>
          <t>N JB Cold Soldering</t>
        </is>
      </c>
      <c r="V351" s="3" t="inlineStr">
        <is>
          <t>Soldering</t>
        </is>
      </c>
      <c r="W351" s="3" t="inlineStr">
        <is>
          <t>Repair</t>
        </is>
      </c>
      <c r="X351" s="18" t="n">
        <v>46147</v>
      </c>
      <c r="Y351" s="3">
        <f>X351-A351</f>
        <v/>
      </c>
      <c r="Z351" s="18" t="n">
        <v>46147</v>
      </c>
      <c r="AA351" s="15" t="n"/>
      <c r="AB351" s="15" t="n"/>
    </row>
    <row r="352">
      <c r="A352" s="37" t="n">
        <v>46147</v>
      </c>
      <c r="B352" s="3" t="n">
        <v>2026</v>
      </c>
      <c r="C352" s="26" t="inlineStr">
        <is>
          <t>SILRES Energy Solutions Private Limited</t>
        </is>
      </c>
      <c r="D352" s="26" t="inlineStr">
        <is>
          <t>Channel Sales</t>
        </is>
      </c>
      <c r="E352" s="3" t="n"/>
      <c r="F352" s="3" t="inlineStr">
        <is>
          <t>Closed</t>
        </is>
      </c>
      <c r="G352" s="44" t="inlineStr">
        <is>
          <t>Bharath Gokul C</t>
        </is>
      </c>
      <c r="H352" s="39" t="n">
        <v>7845736732</v>
      </c>
      <c r="I352" s="38" t="inlineStr">
        <is>
          <t>PE5052601</t>
        </is>
      </c>
      <c r="J352" s="26" t="inlineStr">
        <is>
          <t>Burn Marks</t>
        </is>
      </c>
      <c r="K352" s="26" t="inlineStr">
        <is>
          <t>Chennai</t>
        </is>
      </c>
      <c r="L352" s="26" t="inlineStr">
        <is>
          <t>Tamil Nadu</t>
        </is>
      </c>
      <c r="M352" s="9" t="inlineStr">
        <is>
          <t>No Visit</t>
        </is>
      </c>
      <c r="N352" s="26" t="inlineStr">
        <is>
          <t>Tab lead Burn</t>
        </is>
      </c>
      <c r="O352" s="39" t="n">
        <v>540</v>
      </c>
      <c r="P352" s="8" t="inlineStr">
        <is>
          <t>NSMP24050485627</t>
        </is>
      </c>
      <c r="Q352" s="53">
        <f>MID(P352,5,2)</f>
        <v/>
      </c>
      <c r="R352" s="53">
        <f>MID(P352,7,2)</f>
        <v/>
      </c>
      <c r="S352" s="3" t="inlineStr">
        <is>
          <t>G2B</t>
        </is>
      </c>
      <c r="T352" s="3" t="inlineStr">
        <is>
          <t>P2</t>
        </is>
      </c>
      <c r="U352" s="26" t="inlineStr">
        <is>
          <t>Tab lead Burn</t>
        </is>
      </c>
      <c r="V352" s="3" t="inlineStr">
        <is>
          <t>CN</t>
        </is>
      </c>
      <c r="W352" s="3" t="inlineStr">
        <is>
          <t>Replacement</t>
        </is>
      </c>
      <c r="X352" s="18" t="n">
        <v>46156</v>
      </c>
      <c r="Y352" s="3">
        <f>X352-A352</f>
        <v/>
      </c>
      <c r="Z352" s="18" t="inlineStr">
        <is>
          <t>No Visit</t>
        </is>
      </c>
      <c r="AA352" s="15" t="n"/>
      <c r="AB352" s="15" t="n"/>
    </row>
    <row r="353" hidden="1" s="233">
      <c r="A353" s="40" t="n">
        <v>46071</v>
      </c>
      <c r="B353" s="3" t="n">
        <v>2026</v>
      </c>
      <c r="C353" s="26" t="inlineStr">
        <is>
          <t>TRUE SUN TRADING COMPANY</t>
        </is>
      </c>
      <c r="D353" s="26" t="inlineStr">
        <is>
          <t>Channel Sales</t>
        </is>
      </c>
      <c r="E353" s="3" t="n"/>
      <c r="F353" s="3" t="inlineStr">
        <is>
          <t>Closed</t>
        </is>
      </c>
      <c r="G353" s="26" t="inlineStr">
        <is>
          <t>Sarath Ananda</t>
        </is>
      </c>
      <c r="H353" s="26" t="n">
        <v>8848944464</v>
      </c>
      <c r="I353" s="38" t="inlineStr">
        <is>
          <t>PE18022602</t>
        </is>
      </c>
      <c r="J353" s="26" t="inlineStr">
        <is>
          <t xml:space="preserve">Panel Blast </t>
        </is>
      </c>
      <c r="K353" s="26" t="inlineStr">
        <is>
          <t>Trivandram</t>
        </is>
      </c>
      <c r="L353" s="26" t="inlineStr">
        <is>
          <t>Kerala</t>
        </is>
      </c>
      <c r="M353" s="9" t="inlineStr">
        <is>
          <t>No Visit</t>
        </is>
      </c>
      <c r="N353" s="26" t="inlineStr">
        <is>
          <t>Tab lead Burn</t>
        </is>
      </c>
      <c r="O353" s="39" t="n">
        <v>540</v>
      </c>
      <c r="P353" s="9" t="inlineStr">
        <is>
          <t>NSMP2304026350</t>
        </is>
      </c>
      <c r="Q353" s="53">
        <f>MID(P353,5,2)</f>
        <v/>
      </c>
      <c r="R353" s="53">
        <f>MID(P353,7,2)</f>
        <v/>
      </c>
      <c r="S353" s="3" t="inlineStr">
        <is>
          <t>G2B</t>
        </is>
      </c>
      <c r="T353" s="3" t="inlineStr">
        <is>
          <t>P2</t>
        </is>
      </c>
      <c r="U353" s="26" t="inlineStr">
        <is>
          <t>Tab lead Burn</t>
        </is>
      </c>
      <c r="V353" s="3" t="inlineStr">
        <is>
          <t>CN</t>
        </is>
      </c>
      <c r="W353" s="3" t="inlineStr">
        <is>
          <t>Replacement</t>
        </is>
      </c>
      <c r="X353" s="18" t="n">
        <v>46147</v>
      </c>
      <c r="Y353" s="3">
        <f>X353-A353</f>
        <v/>
      </c>
      <c r="Z353" s="18" t="inlineStr">
        <is>
          <t>No Visit</t>
        </is>
      </c>
      <c r="AA353" s="15" t="n"/>
      <c r="AB353" s="15" t="n"/>
    </row>
    <row r="354" hidden="1" s="233">
      <c r="A354" s="40" t="n">
        <v>46073</v>
      </c>
      <c r="B354" s="3" t="n">
        <v>2026</v>
      </c>
      <c r="C354" s="26" t="inlineStr">
        <is>
          <t>TRUE SUN TRADING COMPANY</t>
        </is>
      </c>
      <c r="D354" s="26" t="inlineStr">
        <is>
          <t>Channel Sales</t>
        </is>
      </c>
      <c r="E354" s="3" t="n"/>
      <c r="F354" s="3" t="inlineStr">
        <is>
          <t>Closed</t>
        </is>
      </c>
      <c r="G354" s="26" t="inlineStr">
        <is>
          <t>Joel Jacob</t>
        </is>
      </c>
      <c r="H354" s="26" t="n">
        <v>7902222180</v>
      </c>
      <c r="I354" s="38" t="inlineStr">
        <is>
          <t>PE20022602</t>
        </is>
      </c>
      <c r="J354" s="26" t="inlineStr">
        <is>
          <t xml:space="preserve">Panel Blast </t>
        </is>
      </c>
      <c r="K354" s="26" t="inlineStr">
        <is>
          <t>Thrissur</t>
        </is>
      </c>
      <c r="L354" s="26" t="inlineStr">
        <is>
          <t>Kerala</t>
        </is>
      </c>
      <c r="M354" s="9" t="inlineStr">
        <is>
          <t>No Visit</t>
        </is>
      </c>
      <c r="N354" s="26" t="inlineStr">
        <is>
          <t>Tab lead Burn</t>
        </is>
      </c>
      <c r="O354" s="39" t="n">
        <v>540</v>
      </c>
      <c r="P354" s="9" t="inlineStr">
        <is>
          <t>NSMP2309611339</t>
        </is>
      </c>
      <c r="Q354" s="53">
        <f>MID(P354,5,2)</f>
        <v/>
      </c>
      <c r="R354" s="53">
        <f>MID(P354,7,2)</f>
        <v/>
      </c>
      <c r="S354" s="3" t="inlineStr">
        <is>
          <t>G2TB</t>
        </is>
      </c>
      <c r="T354" s="3" t="inlineStr">
        <is>
          <t>P2</t>
        </is>
      </c>
      <c r="U354" s="26" t="inlineStr">
        <is>
          <t>Tab lead Burn</t>
        </is>
      </c>
      <c r="V354" s="3" t="inlineStr">
        <is>
          <t>CN</t>
        </is>
      </c>
      <c r="W354" s="3" t="inlineStr">
        <is>
          <t>Replacement</t>
        </is>
      </c>
      <c r="X354" s="18" t="n">
        <v>46147</v>
      </c>
      <c r="Y354" s="3">
        <f>X354-A354</f>
        <v/>
      </c>
      <c r="Z354" s="18" t="inlineStr">
        <is>
          <t>No Visit</t>
        </is>
      </c>
      <c r="AA354" s="15" t="n"/>
      <c r="AB354" s="15" t="n"/>
    </row>
    <row r="355" hidden="1" s="233">
      <c r="A355" s="37" t="n">
        <v>46136</v>
      </c>
      <c r="B355" s="3" t="n">
        <v>2026</v>
      </c>
      <c r="C355" s="26" t="inlineStr">
        <is>
          <t>TRUE SUN TRADING COMPANY</t>
        </is>
      </c>
      <c r="D355" s="26" t="inlineStr">
        <is>
          <t>Channel Sales</t>
        </is>
      </c>
      <c r="E355" s="3" t="n"/>
      <c r="F355" s="3" t="inlineStr">
        <is>
          <t>Closed</t>
        </is>
      </c>
      <c r="G355" s="26" t="inlineStr">
        <is>
          <t>Joel Jacob</t>
        </is>
      </c>
      <c r="H355" s="26" t="n">
        <v>7902222180</v>
      </c>
      <c r="I355" s="38" t="inlineStr">
        <is>
          <t>PE24042601</t>
        </is>
      </c>
      <c r="J355" s="26" t="inlineStr">
        <is>
          <t>Snail Trail issue</t>
        </is>
      </c>
      <c r="K355" s="26" t="inlineStr">
        <is>
          <t>TRIVANDRAM</t>
        </is>
      </c>
      <c r="L355" s="26" t="inlineStr">
        <is>
          <t>Kerala</t>
        </is>
      </c>
      <c r="M355" s="9" t="inlineStr">
        <is>
          <t>No Visit</t>
        </is>
      </c>
      <c r="N355" s="42" t="inlineStr">
        <is>
          <t>Air entrapment during the lamination process</t>
        </is>
      </c>
      <c r="O355" s="39" t="n">
        <v>610</v>
      </c>
      <c r="P355" s="8" t="inlineStr">
        <is>
          <t>NSMG26031760548</t>
        </is>
      </c>
      <c r="Q355" s="53">
        <f>MID(P355,5,2)</f>
        <v/>
      </c>
      <c r="R355" s="53">
        <f>MID(P355,7,2)</f>
        <v/>
      </c>
      <c r="S355" s="3" t="inlineStr">
        <is>
          <t>G2G</t>
        </is>
      </c>
      <c r="T355" s="3" t="inlineStr">
        <is>
          <t>P2</t>
        </is>
      </c>
      <c r="U355" s="42" t="inlineStr">
        <is>
          <t>Air entrapment during the lamination process</t>
        </is>
      </c>
      <c r="V355" s="3" t="inlineStr">
        <is>
          <t>CN</t>
        </is>
      </c>
      <c r="W355" s="3" t="inlineStr">
        <is>
          <t>Replacement</t>
        </is>
      </c>
      <c r="X355" s="18" t="n">
        <v>46147</v>
      </c>
      <c r="Y355" s="3">
        <f>X355-A355</f>
        <v/>
      </c>
      <c r="Z355" s="18" t="inlineStr">
        <is>
          <t>No Visit</t>
        </is>
      </c>
      <c r="AA355" s="15" t="n"/>
      <c r="AB355" s="15" t="n"/>
    </row>
    <row r="356" hidden="1" s="233">
      <c r="A356" s="37" t="n">
        <v>46136</v>
      </c>
      <c r="B356" s="3" t="n">
        <v>2026</v>
      </c>
      <c r="C356" s="26" t="inlineStr">
        <is>
          <t>TRUE SUN TRADING COMPANY</t>
        </is>
      </c>
      <c r="D356" s="26" t="inlineStr">
        <is>
          <t>Channel Sales</t>
        </is>
      </c>
      <c r="E356" s="3" t="n"/>
      <c r="F356" s="3" t="inlineStr">
        <is>
          <t>Closed</t>
        </is>
      </c>
      <c r="G356" s="26" t="inlineStr">
        <is>
          <t>Joel Jacob</t>
        </is>
      </c>
      <c r="H356" s="26" t="n">
        <v>7902222180</v>
      </c>
      <c r="I356" s="38" t="inlineStr">
        <is>
          <t>PE24042602</t>
        </is>
      </c>
      <c r="J356" s="26" t="inlineStr">
        <is>
          <t>Insect Inside and Busbar Rust</t>
        </is>
      </c>
      <c r="K356" s="26" t="inlineStr">
        <is>
          <t>TRIVANDRAM</t>
        </is>
      </c>
      <c r="L356" s="26" t="inlineStr">
        <is>
          <t>Kerala</t>
        </is>
      </c>
      <c r="M356" s="9" t="inlineStr">
        <is>
          <t>No Visit</t>
        </is>
      </c>
      <c r="N356" s="26" t="inlineStr">
        <is>
          <t>Asthetic</t>
        </is>
      </c>
      <c r="O356" s="39" t="n">
        <v>540</v>
      </c>
      <c r="P356" s="8" t="inlineStr">
        <is>
          <t>NSMP26021346925</t>
        </is>
      </c>
      <c r="Q356" s="53">
        <f>MID(P356,5,2)</f>
        <v/>
      </c>
      <c r="R356" s="53">
        <f>MID(P356,7,2)</f>
        <v/>
      </c>
      <c r="S356" s="3" t="inlineStr">
        <is>
          <t>G2TB</t>
        </is>
      </c>
      <c r="T356" s="26" t="inlineStr">
        <is>
          <t>Prime Pack</t>
        </is>
      </c>
      <c r="U356" s="19" t="inlineStr">
        <is>
          <t>Asthetic Issue</t>
        </is>
      </c>
      <c r="V356" s="3" t="inlineStr">
        <is>
          <t>CN</t>
        </is>
      </c>
      <c r="W356" s="3" t="inlineStr">
        <is>
          <t>Replacement</t>
        </is>
      </c>
      <c r="X356" s="18" t="n">
        <v>46147</v>
      </c>
      <c r="Y356" s="3">
        <f>X356-A356</f>
        <v/>
      </c>
      <c r="Z356" s="18" t="inlineStr">
        <is>
          <t>No Visit</t>
        </is>
      </c>
      <c r="AA356" s="15" t="n"/>
      <c r="AB356" s="15" t="n"/>
    </row>
    <row r="357" hidden="1" s="233">
      <c r="A357" s="40" t="n">
        <v>46079</v>
      </c>
      <c r="B357" s="3" t="n">
        <v>2026</v>
      </c>
      <c r="C357" s="26" t="inlineStr">
        <is>
          <t>Solar Square</t>
        </is>
      </c>
      <c r="D357" s="26" t="inlineStr">
        <is>
          <t>OEM</t>
        </is>
      </c>
      <c r="E357" s="3" t="n"/>
      <c r="F357" s="3" t="inlineStr">
        <is>
          <t>Closed</t>
        </is>
      </c>
      <c r="G357" s="39" t="inlineStr">
        <is>
          <t>Murali</t>
        </is>
      </c>
      <c r="H357" s="39" t="n">
        <v>9703345015</v>
      </c>
      <c r="I357" s="38" t="inlineStr">
        <is>
          <t>PE26022602</t>
        </is>
      </c>
      <c r="J357" s="26" t="inlineStr">
        <is>
          <t>JB improper fixing</t>
        </is>
      </c>
      <c r="K357" s="26" t="inlineStr">
        <is>
          <t>Indore</t>
        </is>
      </c>
      <c r="L357" s="26" t="inlineStr">
        <is>
          <t>MP</t>
        </is>
      </c>
      <c r="M357" s="25" t="inlineStr">
        <is>
          <t>JB moved</t>
        </is>
      </c>
      <c r="N357" s="26" t="inlineStr">
        <is>
          <t>JB Issue</t>
        </is>
      </c>
      <c r="O357" s="39" t="n">
        <v>540</v>
      </c>
      <c r="P357" s="25" t="inlineStr">
        <is>
          <t>NSMP25121229015</t>
        </is>
      </c>
      <c r="Q357" s="53">
        <f>MID(P357,5,2)</f>
        <v/>
      </c>
      <c r="R357" s="53">
        <f>MID(P357,7,2)</f>
        <v/>
      </c>
      <c r="S357" s="3" t="inlineStr">
        <is>
          <t>G2TB</t>
        </is>
      </c>
      <c r="T357" s="3" t="inlineStr">
        <is>
          <t>P2</t>
        </is>
      </c>
      <c r="U357" s="26" t="inlineStr">
        <is>
          <t>N JB Improper fixing</t>
        </is>
      </c>
      <c r="V357" s="3" t="inlineStr">
        <is>
          <t>JB Changed</t>
        </is>
      </c>
      <c r="W357" s="3" t="inlineStr">
        <is>
          <t>Repair</t>
        </is>
      </c>
      <c r="X357" s="18" t="n">
        <v>46148</v>
      </c>
      <c r="Y357" s="3">
        <f>X357-A357</f>
        <v/>
      </c>
      <c r="Z357" s="18" t="n">
        <v>46148</v>
      </c>
      <c r="AA357" s="15" t="n"/>
      <c r="AB357" s="15" t="n"/>
    </row>
    <row r="358" hidden="1" s="233">
      <c r="A358" s="40" t="n">
        <v>46079</v>
      </c>
      <c r="B358" s="3" t="n">
        <v>2026</v>
      </c>
      <c r="C358" s="26" t="inlineStr">
        <is>
          <t>Solar Square</t>
        </is>
      </c>
      <c r="D358" s="26" t="inlineStr">
        <is>
          <t>OEM</t>
        </is>
      </c>
      <c r="E358" s="3" t="n"/>
      <c r="F358" s="3" t="inlineStr">
        <is>
          <t>Closed</t>
        </is>
      </c>
      <c r="G358" s="39" t="inlineStr">
        <is>
          <t>Murali</t>
        </is>
      </c>
      <c r="H358" s="39" t="n">
        <v>9703345015</v>
      </c>
      <c r="I358" s="38" t="inlineStr">
        <is>
          <t>PE26022602</t>
        </is>
      </c>
      <c r="J358" s="26" t="inlineStr">
        <is>
          <t>JB improper fixing</t>
        </is>
      </c>
      <c r="K358" s="26" t="inlineStr">
        <is>
          <t>Indore</t>
        </is>
      </c>
      <c r="L358" s="26" t="inlineStr">
        <is>
          <t>MP</t>
        </is>
      </c>
      <c r="M358" s="25" t="inlineStr">
        <is>
          <t>JB moved</t>
        </is>
      </c>
      <c r="N358" s="26" t="inlineStr">
        <is>
          <t>JB Issue</t>
        </is>
      </c>
      <c r="O358" s="39" t="n">
        <v>540</v>
      </c>
      <c r="P358" s="25" t="inlineStr">
        <is>
          <t>NSMP25121241454</t>
        </is>
      </c>
      <c r="Q358" s="53">
        <f>MID(P358,5,2)</f>
        <v/>
      </c>
      <c r="R358" s="53">
        <f>MID(P358,7,2)</f>
        <v/>
      </c>
      <c r="S358" s="3" t="inlineStr">
        <is>
          <t>G2TB</t>
        </is>
      </c>
      <c r="T358" s="3" t="inlineStr">
        <is>
          <t>P2</t>
        </is>
      </c>
      <c r="U358" s="26" t="inlineStr">
        <is>
          <t>N JB Improper fixing</t>
        </is>
      </c>
      <c r="V358" s="3" t="inlineStr">
        <is>
          <t>JB Changed</t>
        </is>
      </c>
      <c r="W358" s="3" t="inlineStr">
        <is>
          <t>Repair</t>
        </is>
      </c>
      <c r="X358" s="18" t="n">
        <v>46148</v>
      </c>
      <c r="Y358" s="3">
        <f>X358-A358</f>
        <v/>
      </c>
      <c r="Z358" s="18" t="n">
        <v>46148</v>
      </c>
      <c r="AA358" s="15" t="n"/>
      <c r="AB358" s="15" t="n"/>
    </row>
    <row r="359" hidden="1" s="233">
      <c r="A359" s="6" t="n">
        <v>46107</v>
      </c>
      <c r="B359" s="3" t="n">
        <v>2026</v>
      </c>
      <c r="C359" s="3" t="inlineStr">
        <is>
          <t>Blupine</t>
        </is>
      </c>
      <c r="D359" s="3" t="inlineStr">
        <is>
          <t>Utility and C&amp;I</t>
        </is>
      </c>
      <c r="E359" s="3" t="n"/>
      <c r="F359" s="3" t="inlineStr">
        <is>
          <t>Closed</t>
        </is>
      </c>
      <c r="G359" s="3" t="inlineStr">
        <is>
          <t>Chandrashekar Patidar</t>
        </is>
      </c>
      <c r="H359" s="3" t="n">
        <v>7879764773</v>
      </c>
      <c r="I359" s="11" t="inlineStr">
        <is>
          <t>PE26032601</t>
        </is>
      </c>
      <c r="J359" s="3" t="inlineStr">
        <is>
          <t>Module Diode Failure</t>
        </is>
      </c>
      <c r="K359" s="3" t="inlineStr">
        <is>
          <t>Sadla</t>
        </is>
      </c>
      <c r="L359" s="3" t="inlineStr">
        <is>
          <t>Gujarat</t>
        </is>
      </c>
      <c r="M359" s="9" t="inlineStr">
        <is>
          <t>NS</t>
        </is>
      </c>
      <c r="N359" s="3" t="inlineStr">
        <is>
          <t>Cold Soldering</t>
        </is>
      </c>
      <c r="O359" s="3" t="n">
        <v>570</v>
      </c>
      <c r="P359" s="9" t="inlineStr">
        <is>
          <t>NSMI24060138838</t>
        </is>
      </c>
      <c r="Q359" s="53">
        <f>MID(P359,5,2)</f>
        <v/>
      </c>
      <c r="R359" s="53">
        <f>MID(P359,7,2)</f>
        <v/>
      </c>
      <c r="S359" s="3" t="inlineStr">
        <is>
          <t>G2G</t>
        </is>
      </c>
      <c r="T359" s="3" t="inlineStr">
        <is>
          <t>P4</t>
        </is>
      </c>
      <c r="U359" s="3" t="inlineStr">
        <is>
          <t>N JB Cold Soldering</t>
        </is>
      </c>
      <c r="V359" s="3" t="inlineStr">
        <is>
          <t>Soldering</t>
        </is>
      </c>
      <c r="W359" s="3" t="inlineStr">
        <is>
          <t>Repair</t>
        </is>
      </c>
      <c r="X359" s="18" t="n">
        <v>46148</v>
      </c>
      <c r="Y359" s="3">
        <f>X359-A359</f>
        <v/>
      </c>
      <c r="Z359" s="18" t="n">
        <v>46148</v>
      </c>
      <c r="AA359" s="15" t="n"/>
      <c r="AB359" s="15" t="n"/>
    </row>
    <row r="360" hidden="1" s="233">
      <c r="A360" s="6" t="n">
        <v>46107</v>
      </c>
      <c r="B360" s="3" t="n">
        <v>2026</v>
      </c>
      <c r="C360" s="3" t="inlineStr">
        <is>
          <t>Blupine</t>
        </is>
      </c>
      <c r="D360" s="3" t="inlineStr">
        <is>
          <t>Utility and C&amp;I</t>
        </is>
      </c>
      <c r="E360" s="3" t="n"/>
      <c r="F360" s="3" t="inlineStr">
        <is>
          <t>Closed</t>
        </is>
      </c>
      <c r="G360" s="3" t="inlineStr">
        <is>
          <t>Chandrashekar Patidar</t>
        </is>
      </c>
      <c r="H360" s="3" t="n">
        <v>7879764773</v>
      </c>
      <c r="I360" s="11" t="inlineStr">
        <is>
          <t>PE26032601</t>
        </is>
      </c>
      <c r="J360" s="3" t="inlineStr">
        <is>
          <t>Module Diode Failure</t>
        </is>
      </c>
      <c r="K360" s="3" t="inlineStr">
        <is>
          <t>Sadla</t>
        </is>
      </c>
      <c r="L360" s="3" t="inlineStr">
        <is>
          <t>Gujarat</t>
        </is>
      </c>
      <c r="M360" s="9" t="inlineStr">
        <is>
          <t>NS</t>
        </is>
      </c>
      <c r="N360" s="3" t="inlineStr">
        <is>
          <t>Cold Soldering</t>
        </is>
      </c>
      <c r="O360" s="3" t="n">
        <v>570</v>
      </c>
      <c r="P360" s="9" t="inlineStr">
        <is>
          <t>NSMI24060140347</t>
        </is>
      </c>
      <c r="Q360" s="53">
        <f>MID(P360,5,2)</f>
        <v/>
      </c>
      <c r="R360" s="53">
        <f>MID(P360,7,2)</f>
        <v/>
      </c>
      <c r="S360" s="3" t="inlineStr">
        <is>
          <t>G2G</t>
        </is>
      </c>
      <c r="T360" s="3" t="inlineStr">
        <is>
          <t>P4</t>
        </is>
      </c>
      <c r="U360" s="3" t="inlineStr">
        <is>
          <t>N JB Cold Soldering</t>
        </is>
      </c>
      <c r="V360" s="3" t="inlineStr">
        <is>
          <t>Soldering</t>
        </is>
      </c>
      <c r="W360" s="3" t="inlineStr">
        <is>
          <t>Repair</t>
        </is>
      </c>
      <c r="X360" s="18" t="n">
        <v>46148</v>
      </c>
      <c r="Y360" s="3">
        <f>X360-A360</f>
        <v/>
      </c>
      <c r="Z360" s="18" t="n">
        <v>46148</v>
      </c>
      <c r="AA360" s="15" t="n"/>
      <c r="AB360" s="15" t="n"/>
    </row>
    <row r="361" hidden="1" s="233">
      <c r="A361" s="6" t="n">
        <v>46107</v>
      </c>
      <c r="B361" s="3" t="n">
        <v>2026</v>
      </c>
      <c r="C361" s="3" t="inlineStr">
        <is>
          <t>Blupine</t>
        </is>
      </c>
      <c r="D361" s="3" t="inlineStr">
        <is>
          <t>Utility and C&amp;I</t>
        </is>
      </c>
      <c r="E361" s="3" t="n"/>
      <c r="F361" s="3" t="inlineStr">
        <is>
          <t>Closed</t>
        </is>
      </c>
      <c r="G361" s="3" t="inlineStr">
        <is>
          <t>Chandrashekar Patidar</t>
        </is>
      </c>
      <c r="H361" s="3" t="n">
        <v>7879764773</v>
      </c>
      <c r="I361" s="11" t="inlineStr">
        <is>
          <t>PE26032601</t>
        </is>
      </c>
      <c r="J361" s="3" t="inlineStr">
        <is>
          <t>Module Diode Failure</t>
        </is>
      </c>
      <c r="K361" s="3" t="inlineStr">
        <is>
          <t>Sadla</t>
        </is>
      </c>
      <c r="L361" s="3" t="inlineStr">
        <is>
          <t>Gujarat</t>
        </is>
      </c>
      <c r="M361" s="9" t="inlineStr">
        <is>
          <t>NS</t>
        </is>
      </c>
      <c r="N361" s="3" t="inlineStr">
        <is>
          <t>Cold Soldering</t>
        </is>
      </c>
      <c r="O361" s="3" t="n">
        <v>570</v>
      </c>
      <c r="P361" s="9" t="inlineStr">
        <is>
          <t>NSMI24060140356</t>
        </is>
      </c>
      <c r="Q361" s="53">
        <f>MID(P361,5,2)</f>
        <v/>
      </c>
      <c r="R361" s="53">
        <f>MID(P361,7,2)</f>
        <v/>
      </c>
      <c r="S361" s="3" t="inlineStr">
        <is>
          <t>G2G</t>
        </is>
      </c>
      <c r="T361" s="3" t="inlineStr">
        <is>
          <t>P4</t>
        </is>
      </c>
      <c r="U361" s="3" t="inlineStr">
        <is>
          <t>N JB Cold Soldering</t>
        </is>
      </c>
      <c r="V361" s="3" t="inlineStr">
        <is>
          <t>Soldering</t>
        </is>
      </c>
      <c r="W361" s="3" t="inlineStr">
        <is>
          <t>Repair</t>
        </is>
      </c>
      <c r="X361" s="18" t="n">
        <v>46148</v>
      </c>
      <c r="Y361" s="3">
        <f>X361-A361</f>
        <v/>
      </c>
      <c r="Z361" s="18" t="n">
        <v>46148</v>
      </c>
      <c r="AA361" s="15" t="n"/>
      <c r="AB361" s="15" t="n"/>
    </row>
    <row r="362" hidden="1" s="233">
      <c r="A362" s="6" t="n">
        <v>46107</v>
      </c>
      <c r="B362" s="3" t="n">
        <v>2026</v>
      </c>
      <c r="C362" s="3" t="inlineStr">
        <is>
          <t>Blupine</t>
        </is>
      </c>
      <c r="D362" s="3" t="inlineStr">
        <is>
          <t>Utility and C&amp;I</t>
        </is>
      </c>
      <c r="E362" s="3" t="n"/>
      <c r="F362" s="3" t="inlineStr">
        <is>
          <t>Closed</t>
        </is>
      </c>
      <c r="G362" s="3" t="inlineStr">
        <is>
          <t>Chandrashekar Patidar</t>
        </is>
      </c>
      <c r="H362" s="3" t="n">
        <v>7879764773</v>
      </c>
      <c r="I362" s="11" t="inlineStr">
        <is>
          <t>PE26032601</t>
        </is>
      </c>
      <c r="J362" s="3" t="inlineStr">
        <is>
          <t>Module Diode Failure</t>
        </is>
      </c>
      <c r="K362" s="3" t="inlineStr">
        <is>
          <t>Sadla</t>
        </is>
      </c>
      <c r="L362" s="3" t="inlineStr">
        <is>
          <t>Gujarat</t>
        </is>
      </c>
      <c r="M362" s="9" t="inlineStr">
        <is>
          <t>PS</t>
        </is>
      </c>
      <c r="N362" s="3" t="inlineStr">
        <is>
          <t>Cold Soldering</t>
        </is>
      </c>
      <c r="O362" s="3" t="n">
        <v>570</v>
      </c>
      <c r="P362" s="9" t="inlineStr">
        <is>
          <t>NSMI24060110003</t>
        </is>
      </c>
      <c r="Q362" s="53">
        <f>MID(P362,5,2)</f>
        <v/>
      </c>
      <c r="R362" s="53">
        <f>MID(P362,7,2)</f>
        <v/>
      </c>
      <c r="S362" s="3" t="inlineStr">
        <is>
          <t>G2G</t>
        </is>
      </c>
      <c r="T362" s="3" t="inlineStr">
        <is>
          <t>P4</t>
        </is>
      </c>
      <c r="U362" s="3" t="inlineStr">
        <is>
          <t>P JB Cold Soldering</t>
        </is>
      </c>
      <c r="V362" s="3" t="inlineStr">
        <is>
          <t>Soldering</t>
        </is>
      </c>
      <c r="W362" s="3" t="inlineStr">
        <is>
          <t>Repair</t>
        </is>
      </c>
      <c r="X362" s="18" t="n">
        <v>46148</v>
      </c>
      <c r="Y362" s="3">
        <f>X362-A362</f>
        <v/>
      </c>
      <c r="Z362" s="18" t="n">
        <v>46148</v>
      </c>
      <c r="AA362" s="15" t="n"/>
      <c r="AB362" s="15" t="n"/>
    </row>
    <row r="363" hidden="1" s="233">
      <c r="A363" s="6" t="n">
        <v>46107</v>
      </c>
      <c r="B363" s="3" t="n">
        <v>2026</v>
      </c>
      <c r="C363" s="3" t="inlineStr">
        <is>
          <t>Blupine</t>
        </is>
      </c>
      <c r="D363" s="3" t="inlineStr">
        <is>
          <t>Utility and C&amp;I</t>
        </is>
      </c>
      <c r="E363" s="3" t="n"/>
      <c r="F363" s="3" t="inlineStr">
        <is>
          <t>Closed</t>
        </is>
      </c>
      <c r="G363" s="3" t="inlineStr">
        <is>
          <t>Chandrashekar Patidar</t>
        </is>
      </c>
      <c r="H363" s="3" t="n">
        <v>7879764773</v>
      </c>
      <c r="I363" s="11" t="inlineStr">
        <is>
          <t>PE26032601</t>
        </is>
      </c>
      <c r="J363" s="3" t="inlineStr">
        <is>
          <t>Module Diode Failure</t>
        </is>
      </c>
      <c r="K363" s="3" t="inlineStr">
        <is>
          <t>Sadla</t>
        </is>
      </c>
      <c r="L363" s="3" t="inlineStr">
        <is>
          <t>Gujarat</t>
        </is>
      </c>
      <c r="M363" s="9" t="inlineStr">
        <is>
          <t>PS</t>
        </is>
      </c>
      <c r="N363" s="3" t="inlineStr">
        <is>
          <t>Cold Soldering</t>
        </is>
      </c>
      <c r="O363" s="3" t="n">
        <v>570</v>
      </c>
      <c r="P363" s="9" t="inlineStr">
        <is>
          <t>NSMI24060107546</t>
        </is>
      </c>
      <c r="Q363" s="53">
        <f>MID(P363,5,2)</f>
        <v/>
      </c>
      <c r="R363" s="53">
        <f>MID(P363,7,2)</f>
        <v/>
      </c>
      <c r="S363" s="3" t="inlineStr">
        <is>
          <t>G2G</t>
        </is>
      </c>
      <c r="T363" s="3" t="inlineStr">
        <is>
          <t>P4</t>
        </is>
      </c>
      <c r="U363" s="3" t="inlineStr">
        <is>
          <t>P JB Cold Soldering</t>
        </is>
      </c>
      <c r="V363" s="3" t="inlineStr">
        <is>
          <t>Soldering</t>
        </is>
      </c>
      <c r="W363" s="3" t="inlineStr">
        <is>
          <t>Repair</t>
        </is>
      </c>
      <c r="X363" s="18" t="n">
        <v>46148</v>
      </c>
      <c r="Y363" s="3">
        <f>X363-A363</f>
        <v/>
      </c>
      <c r="Z363" s="18" t="n">
        <v>46148</v>
      </c>
      <c r="AA363" s="15" t="n"/>
      <c r="AB363" s="15" t="n"/>
    </row>
    <row r="364" hidden="1" s="233">
      <c r="A364" s="6" t="n">
        <v>46107</v>
      </c>
      <c r="B364" s="3" t="n">
        <v>2026</v>
      </c>
      <c r="C364" s="3" t="inlineStr">
        <is>
          <t>Blupine</t>
        </is>
      </c>
      <c r="D364" s="3" t="inlineStr">
        <is>
          <t>Utility and C&amp;I</t>
        </is>
      </c>
      <c r="E364" s="3" t="n"/>
      <c r="F364" s="3" t="inlineStr">
        <is>
          <t>Closed</t>
        </is>
      </c>
      <c r="G364" s="3" t="inlineStr">
        <is>
          <t>Chandrashekar Patidar</t>
        </is>
      </c>
      <c r="H364" s="3" t="n">
        <v>7879764773</v>
      </c>
      <c r="I364" s="11" t="inlineStr">
        <is>
          <t>PE26032601</t>
        </is>
      </c>
      <c r="J364" s="3" t="inlineStr">
        <is>
          <t>Module Diode Failure</t>
        </is>
      </c>
      <c r="K364" s="3" t="inlineStr">
        <is>
          <t>Sadla</t>
        </is>
      </c>
      <c r="L364" s="3" t="inlineStr">
        <is>
          <t>Gujarat</t>
        </is>
      </c>
      <c r="M364" s="9" t="inlineStr">
        <is>
          <t>NS</t>
        </is>
      </c>
      <c r="N364" s="3" t="inlineStr">
        <is>
          <t>Cold Soldering</t>
        </is>
      </c>
      <c r="O364" s="3" t="n">
        <v>570</v>
      </c>
      <c r="P364" s="9" t="inlineStr">
        <is>
          <t>NSMI24060119236</t>
        </is>
      </c>
      <c r="Q364" s="53">
        <f>MID(P364,5,2)</f>
        <v/>
      </c>
      <c r="R364" s="53">
        <f>MID(P364,7,2)</f>
        <v/>
      </c>
      <c r="S364" s="3" t="inlineStr">
        <is>
          <t>G2G</t>
        </is>
      </c>
      <c r="T364" s="3" t="inlineStr">
        <is>
          <t>P4</t>
        </is>
      </c>
      <c r="U364" s="3" t="inlineStr">
        <is>
          <t>N JB Cold Soldering</t>
        </is>
      </c>
      <c r="V364" s="3" t="inlineStr">
        <is>
          <t>Soldering</t>
        </is>
      </c>
      <c r="W364" s="3" t="inlineStr">
        <is>
          <t>Repair</t>
        </is>
      </c>
      <c r="X364" s="18" t="n">
        <v>46148</v>
      </c>
      <c r="Y364" s="3">
        <f>X364-A364</f>
        <v/>
      </c>
      <c r="Z364" s="18" t="n">
        <v>46148</v>
      </c>
      <c r="AA364" s="15" t="n"/>
      <c r="AB364" s="15" t="n"/>
    </row>
    <row r="365" hidden="1" s="233">
      <c r="A365" s="6" t="n">
        <v>46107</v>
      </c>
      <c r="B365" s="3" t="n">
        <v>2026</v>
      </c>
      <c r="C365" s="3" t="inlineStr">
        <is>
          <t>Blupine</t>
        </is>
      </c>
      <c r="D365" s="3" t="inlineStr">
        <is>
          <t>Utility and C&amp;I</t>
        </is>
      </c>
      <c r="E365" s="3" t="n"/>
      <c r="F365" s="3" t="inlineStr">
        <is>
          <t>Closed</t>
        </is>
      </c>
      <c r="G365" s="3" t="inlineStr">
        <is>
          <t>Chandrashekar Patidar</t>
        </is>
      </c>
      <c r="H365" s="3" t="n">
        <v>7879764773</v>
      </c>
      <c r="I365" s="11" t="inlineStr">
        <is>
          <t>PE26032601</t>
        </is>
      </c>
      <c r="J365" s="3" t="inlineStr">
        <is>
          <t>Module Diode Failure</t>
        </is>
      </c>
      <c r="K365" s="3" t="inlineStr">
        <is>
          <t>Sadla</t>
        </is>
      </c>
      <c r="L365" s="3" t="inlineStr">
        <is>
          <t>Gujarat</t>
        </is>
      </c>
      <c r="M365" s="9" t="inlineStr">
        <is>
          <t>PS</t>
        </is>
      </c>
      <c r="N365" s="3" t="inlineStr">
        <is>
          <t>Cold Soldering</t>
        </is>
      </c>
      <c r="O365" s="3" t="n">
        <v>570</v>
      </c>
      <c r="P365" s="9" t="inlineStr">
        <is>
          <t>NSMI24060119392</t>
        </is>
      </c>
      <c r="Q365" s="53">
        <f>MID(P365,5,2)</f>
        <v/>
      </c>
      <c r="R365" s="53">
        <f>MID(P365,7,2)</f>
        <v/>
      </c>
      <c r="S365" s="3" t="inlineStr">
        <is>
          <t>G2G</t>
        </is>
      </c>
      <c r="T365" s="3" t="inlineStr">
        <is>
          <t>P4</t>
        </is>
      </c>
      <c r="U365" s="3" t="inlineStr">
        <is>
          <t>P JB Cold Soldering</t>
        </is>
      </c>
      <c r="V365" s="3" t="inlineStr">
        <is>
          <t>Soldering</t>
        </is>
      </c>
      <c r="W365" s="3" t="inlineStr">
        <is>
          <t>Repair</t>
        </is>
      </c>
      <c r="X365" s="18" t="n">
        <v>46148</v>
      </c>
      <c r="Y365" s="3">
        <f>X365-A365</f>
        <v/>
      </c>
      <c r="Z365" s="18" t="n">
        <v>46148</v>
      </c>
      <c r="AA365" s="15" t="n"/>
      <c r="AB365" s="15" t="n"/>
    </row>
    <row r="366" hidden="1" s="233">
      <c r="A366" s="6" t="n">
        <v>46107</v>
      </c>
      <c r="B366" s="3" t="n">
        <v>2026</v>
      </c>
      <c r="C366" s="3" t="inlineStr">
        <is>
          <t>Blupine</t>
        </is>
      </c>
      <c r="D366" s="3" t="inlineStr">
        <is>
          <t>Utility and C&amp;I</t>
        </is>
      </c>
      <c r="E366" s="3" t="n"/>
      <c r="F366" s="3" t="inlineStr">
        <is>
          <t>Closed</t>
        </is>
      </c>
      <c r="G366" s="3" t="inlineStr">
        <is>
          <t>Chandrashekar Patidar</t>
        </is>
      </c>
      <c r="H366" s="3" t="n">
        <v>7879764773</v>
      </c>
      <c r="I366" s="11" t="inlineStr">
        <is>
          <t>PE26032601</t>
        </is>
      </c>
      <c r="J366" s="3" t="inlineStr">
        <is>
          <t>Module Diode Failure</t>
        </is>
      </c>
      <c r="K366" s="3" t="inlineStr">
        <is>
          <t>Sadla</t>
        </is>
      </c>
      <c r="L366" s="3" t="inlineStr">
        <is>
          <t>Gujarat</t>
        </is>
      </c>
      <c r="M366" s="9" t="inlineStr">
        <is>
          <t>NS</t>
        </is>
      </c>
      <c r="N366" s="3" t="inlineStr">
        <is>
          <t>Cold Soldering</t>
        </is>
      </c>
      <c r="O366" s="3" t="n">
        <v>570</v>
      </c>
      <c r="P366" s="9" t="inlineStr">
        <is>
          <t>NSMI24060133949</t>
        </is>
      </c>
      <c r="Q366" s="53">
        <f>MID(P366,5,2)</f>
        <v/>
      </c>
      <c r="R366" s="53">
        <f>MID(P366,7,2)</f>
        <v/>
      </c>
      <c r="S366" s="3" t="inlineStr">
        <is>
          <t>G2G</t>
        </is>
      </c>
      <c r="T366" s="3" t="inlineStr">
        <is>
          <t>P4</t>
        </is>
      </c>
      <c r="U366" s="3" t="inlineStr">
        <is>
          <t>N JB Cold Soldering</t>
        </is>
      </c>
      <c r="V366" s="3" t="inlineStr">
        <is>
          <t>Soldering</t>
        </is>
      </c>
      <c r="W366" s="3" t="inlineStr">
        <is>
          <t>Repair</t>
        </is>
      </c>
      <c r="X366" s="18" t="n">
        <v>46148</v>
      </c>
      <c r="Y366" s="3">
        <f>X366-A366</f>
        <v/>
      </c>
      <c r="Z366" s="18" t="n">
        <v>46148</v>
      </c>
      <c r="AA366" s="15" t="n"/>
      <c r="AB366" s="15" t="n"/>
    </row>
    <row r="367" hidden="1" s="233">
      <c r="A367" s="6" t="n">
        <v>46107</v>
      </c>
      <c r="B367" s="3" t="n">
        <v>2026</v>
      </c>
      <c r="C367" s="3" t="inlineStr">
        <is>
          <t>Blupine</t>
        </is>
      </c>
      <c r="D367" s="3" t="inlineStr">
        <is>
          <t>Utility and C&amp;I</t>
        </is>
      </c>
      <c r="E367" s="3" t="n"/>
      <c r="F367" s="3" t="inlineStr">
        <is>
          <t>Closed</t>
        </is>
      </c>
      <c r="G367" s="3" t="inlineStr">
        <is>
          <t>Chandrashekar Patidar</t>
        </is>
      </c>
      <c r="H367" s="3" t="n">
        <v>7879764773</v>
      </c>
      <c r="I367" s="11" t="inlineStr">
        <is>
          <t>PE26032601</t>
        </is>
      </c>
      <c r="J367" s="3" t="inlineStr">
        <is>
          <t>Module Diode Failure</t>
        </is>
      </c>
      <c r="K367" s="3" t="inlineStr">
        <is>
          <t>Sadla</t>
        </is>
      </c>
      <c r="L367" s="3" t="inlineStr">
        <is>
          <t>Gujarat</t>
        </is>
      </c>
      <c r="M367" s="9" t="inlineStr">
        <is>
          <t>NR</t>
        </is>
      </c>
      <c r="N367" s="3" t="inlineStr">
        <is>
          <t>JB Issue</t>
        </is>
      </c>
      <c r="O367" s="3" t="n">
        <v>570</v>
      </c>
      <c r="P367" s="9" t="inlineStr">
        <is>
          <t>NSMI24060133922</t>
        </is>
      </c>
      <c r="Q367" s="53">
        <f>MID(P367,5,2)</f>
        <v/>
      </c>
      <c r="R367" s="53">
        <f>MID(P367,7,2)</f>
        <v/>
      </c>
      <c r="S367" s="3" t="inlineStr">
        <is>
          <t>G2G</t>
        </is>
      </c>
      <c r="T367" s="3" t="inlineStr">
        <is>
          <t>P4</t>
        </is>
      </c>
      <c r="U367" s="3" t="inlineStr">
        <is>
          <t>N JB Issue</t>
        </is>
      </c>
      <c r="V367" s="3" t="inlineStr">
        <is>
          <t>JB Changed</t>
        </is>
      </c>
      <c r="W367" s="3" t="inlineStr">
        <is>
          <t>Repair</t>
        </is>
      </c>
      <c r="X367" s="18" t="n">
        <v>46148</v>
      </c>
      <c r="Y367" s="3">
        <f>X367-A367</f>
        <v/>
      </c>
      <c r="Z367" s="18" t="n">
        <v>46148</v>
      </c>
      <c r="AA367" s="15" t="n"/>
      <c r="AB367" s="15" t="n"/>
    </row>
    <row r="368" hidden="1" s="233">
      <c r="A368" s="6" t="n">
        <v>46107</v>
      </c>
      <c r="B368" s="3" t="n">
        <v>2026</v>
      </c>
      <c r="C368" s="3" t="inlineStr">
        <is>
          <t>Blupine</t>
        </is>
      </c>
      <c r="D368" s="3" t="inlineStr">
        <is>
          <t>Utility and C&amp;I</t>
        </is>
      </c>
      <c r="E368" s="3" t="n"/>
      <c r="F368" s="3" t="inlineStr">
        <is>
          <t>Closed</t>
        </is>
      </c>
      <c r="G368" s="3" t="inlineStr">
        <is>
          <t>Chandrashekar Patidar</t>
        </is>
      </c>
      <c r="H368" s="3" t="n">
        <v>7879764773</v>
      </c>
      <c r="I368" s="11" t="inlineStr">
        <is>
          <t>PE26032601</t>
        </is>
      </c>
      <c r="J368" s="3" t="inlineStr">
        <is>
          <t>Module Diode Failure</t>
        </is>
      </c>
      <c r="K368" s="3" t="inlineStr">
        <is>
          <t>Sadla</t>
        </is>
      </c>
      <c r="L368" s="3" t="inlineStr">
        <is>
          <t>Gujarat</t>
        </is>
      </c>
      <c r="M368" s="9" t="inlineStr">
        <is>
          <t>NS</t>
        </is>
      </c>
      <c r="N368" s="3" t="inlineStr">
        <is>
          <t>Cold Soldering</t>
        </is>
      </c>
      <c r="O368" s="3" t="n">
        <v>570</v>
      </c>
      <c r="P368" s="9" t="inlineStr">
        <is>
          <t>NSMI24060100846</t>
        </is>
      </c>
      <c r="Q368" s="53">
        <f>MID(P368,5,2)</f>
        <v/>
      </c>
      <c r="R368" s="53">
        <f>MID(P368,7,2)</f>
        <v/>
      </c>
      <c r="S368" s="3" t="inlineStr">
        <is>
          <t>G2G</t>
        </is>
      </c>
      <c r="T368" s="3" t="inlineStr">
        <is>
          <t>P4</t>
        </is>
      </c>
      <c r="U368" s="3" t="inlineStr">
        <is>
          <t>N JB Cold Soldering</t>
        </is>
      </c>
      <c r="V368" s="3" t="inlineStr">
        <is>
          <t>Soldering</t>
        </is>
      </c>
      <c r="W368" s="3" t="inlineStr">
        <is>
          <t>Repair</t>
        </is>
      </c>
      <c r="X368" s="18" t="n">
        <v>46148</v>
      </c>
      <c r="Y368" s="3">
        <f>X368-A368</f>
        <v/>
      </c>
      <c r="Z368" s="18" t="n">
        <v>46148</v>
      </c>
      <c r="AA368" s="15" t="n"/>
      <c r="AB368" s="15" t="n"/>
    </row>
    <row r="369" hidden="1" s="233">
      <c r="A369" s="6" t="n">
        <v>46107</v>
      </c>
      <c r="B369" s="3" t="n">
        <v>2026</v>
      </c>
      <c r="C369" s="3" t="inlineStr">
        <is>
          <t>Blupine</t>
        </is>
      </c>
      <c r="D369" s="3" t="inlineStr">
        <is>
          <t>Utility and C&amp;I</t>
        </is>
      </c>
      <c r="E369" s="3" t="n"/>
      <c r="F369" s="3" t="inlineStr">
        <is>
          <t>Closed</t>
        </is>
      </c>
      <c r="G369" s="3" t="inlineStr">
        <is>
          <t>Chandrashekar Patidar</t>
        </is>
      </c>
      <c r="H369" s="3" t="n">
        <v>7879764773</v>
      </c>
      <c r="I369" s="11" t="inlineStr">
        <is>
          <t>PE26032601</t>
        </is>
      </c>
      <c r="J369" s="3" t="inlineStr">
        <is>
          <t>Module Diode Failure</t>
        </is>
      </c>
      <c r="K369" s="3" t="inlineStr">
        <is>
          <t>Sadla</t>
        </is>
      </c>
      <c r="L369" s="3" t="inlineStr">
        <is>
          <t>Gujarat</t>
        </is>
      </c>
      <c r="M369" s="9" t="inlineStr">
        <is>
          <t>NS</t>
        </is>
      </c>
      <c r="N369" s="3" t="inlineStr">
        <is>
          <t>Cold Soldering</t>
        </is>
      </c>
      <c r="O369" s="3" t="n">
        <v>570</v>
      </c>
      <c r="P369" s="9" t="inlineStr">
        <is>
          <t>NSMI24060100636</t>
        </is>
      </c>
      <c r="Q369" s="53">
        <f>MID(P369,5,2)</f>
        <v/>
      </c>
      <c r="R369" s="53">
        <f>MID(P369,7,2)</f>
        <v/>
      </c>
      <c r="S369" s="3" t="inlineStr">
        <is>
          <t>G2G</t>
        </is>
      </c>
      <c r="T369" s="3" t="inlineStr">
        <is>
          <t>P4</t>
        </is>
      </c>
      <c r="U369" s="3" t="inlineStr">
        <is>
          <t>N JB Cold Soldering</t>
        </is>
      </c>
      <c r="V369" s="3" t="inlineStr">
        <is>
          <t>Soldering</t>
        </is>
      </c>
      <c r="W369" s="3" t="inlineStr">
        <is>
          <t>Repair</t>
        </is>
      </c>
      <c r="X369" s="18" t="n">
        <v>46148</v>
      </c>
      <c r="Y369" s="3">
        <f>X369-A369</f>
        <v/>
      </c>
      <c r="Z369" s="18" t="n">
        <v>46148</v>
      </c>
      <c r="AA369" s="15" t="n"/>
      <c r="AB369" s="15" t="n"/>
    </row>
    <row r="370" hidden="1" s="233">
      <c r="A370" s="6" t="n">
        <v>46107</v>
      </c>
      <c r="B370" s="3" t="n">
        <v>2026</v>
      </c>
      <c r="C370" s="3" t="inlineStr">
        <is>
          <t>Blupine</t>
        </is>
      </c>
      <c r="D370" s="3" t="inlineStr">
        <is>
          <t>Utility and C&amp;I</t>
        </is>
      </c>
      <c r="E370" s="3" t="n"/>
      <c r="F370" s="3" t="inlineStr">
        <is>
          <t>Closed</t>
        </is>
      </c>
      <c r="G370" s="3" t="inlineStr">
        <is>
          <t>Chandrashekar Patidar</t>
        </is>
      </c>
      <c r="H370" s="3" t="n">
        <v>7879764773</v>
      </c>
      <c r="I370" s="11" t="inlineStr">
        <is>
          <t>PE26032601</t>
        </is>
      </c>
      <c r="J370" s="3" t="inlineStr">
        <is>
          <t>Module Diode Failure</t>
        </is>
      </c>
      <c r="K370" s="3" t="inlineStr">
        <is>
          <t>Sadla</t>
        </is>
      </c>
      <c r="L370" s="3" t="inlineStr">
        <is>
          <t>Gujarat</t>
        </is>
      </c>
      <c r="M370" s="9" t="inlineStr">
        <is>
          <t>PS</t>
        </is>
      </c>
      <c r="N370" s="3" t="inlineStr">
        <is>
          <t>Cold Soldering</t>
        </is>
      </c>
      <c r="O370" s="3" t="n">
        <v>570</v>
      </c>
      <c r="P370" s="9" t="inlineStr">
        <is>
          <t>NSMI24050048760</t>
        </is>
      </c>
      <c r="Q370" s="53">
        <f>MID(P370,5,2)</f>
        <v/>
      </c>
      <c r="R370" s="53">
        <f>MID(P370,7,2)</f>
        <v/>
      </c>
      <c r="S370" s="3" t="inlineStr">
        <is>
          <t>G2G</t>
        </is>
      </c>
      <c r="T370" s="3" t="inlineStr">
        <is>
          <t>P4</t>
        </is>
      </c>
      <c r="U370" s="3" t="inlineStr">
        <is>
          <t>P JB Cold Soldering</t>
        </is>
      </c>
      <c r="V370" s="3" t="inlineStr">
        <is>
          <t>Soldering</t>
        </is>
      </c>
      <c r="W370" s="3" t="inlineStr">
        <is>
          <t>Repair</t>
        </is>
      </c>
      <c r="X370" s="18" t="n">
        <v>46148</v>
      </c>
      <c r="Y370" s="3">
        <f>X370-A370</f>
        <v/>
      </c>
      <c r="Z370" s="18" t="n">
        <v>46148</v>
      </c>
      <c r="AA370" s="15" t="n"/>
      <c r="AB370" s="15" t="n"/>
    </row>
    <row r="371" hidden="1" s="233">
      <c r="A371" s="6" t="n">
        <v>46107</v>
      </c>
      <c r="B371" s="3" t="n">
        <v>2026</v>
      </c>
      <c r="C371" s="3" t="inlineStr">
        <is>
          <t>Blupine</t>
        </is>
      </c>
      <c r="D371" s="3" t="inlineStr">
        <is>
          <t>Utility and C&amp;I</t>
        </is>
      </c>
      <c r="E371" s="3" t="n"/>
      <c r="F371" s="3" t="inlineStr">
        <is>
          <t>Closed</t>
        </is>
      </c>
      <c r="G371" s="3" t="inlineStr">
        <is>
          <t>Chandrashekar Patidar</t>
        </is>
      </c>
      <c r="H371" s="3" t="n">
        <v>7879764773</v>
      </c>
      <c r="I371" s="11" t="inlineStr">
        <is>
          <t>PE26032601</t>
        </is>
      </c>
      <c r="J371" s="3" t="inlineStr">
        <is>
          <t>Module Diode Failure</t>
        </is>
      </c>
      <c r="K371" s="3" t="inlineStr">
        <is>
          <t>Sadla</t>
        </is>
      </c>
      <c r="L371" s="3" t="inlineStr">
        <is>
          <t>Gujarat</t>
        </is>
      </c>
      <c r="M371" s="9" t="inlineStr">
        <is>
          <t>NS</t>
        </is>
      </c>
      <c r="N371" s="3" t="inlineStr">
        <is>
          <t>Cold Soldering</t>
        </is>
      </c>
      <c r="O371" s="3" t="n">
        <v>570</v>
      </c>
      <c r="P371" s="9" t="inlineStr">
        <is>
          <t>NSMI24060138433</t>
        </is>
      </c>
      <c r="Q371" s="53">
        <f>MID(P371,5,2)</f>
        <v/>
      </c>
      <c r="R371" s="53">
        <f>MID(P371,7,2)</f>
        <v/>
      </c>
      <c r="S371" s="3" t="inlineStr">
        <is>
          <t>G2G</t>
        </is>
      </c>
      <c r="T371" s="3" t="inlineStr">
        <is>
          <t>P4</t>
        </is>
      </c>
      <c r="U371" s="3" t="inlineStr">
        <is>
          <t>N JB Cold Soldering</t>
        </is>
      </c>
      <c r="V371" s="3" t="inlineStr">
        <is>
          <t>Soldering</t>
        </is>
      </c>
      <c r="W371" s="3" t="inlineStr">
        <is>
          <t>Repair</t>
        </is>
      </c>
      <c r="X371" s="18" t="n">
        <v>46148</v>
      </c>
      <c r="Y371" s="3">
        <f>X371-A371</f>
        <v/>
      </c>
      <c r="Z371" s="18" t="n">
        <v>46148</v>
      </c>
      <c r="AA371" s="15" t="n"/>
      <c r="AB371" s="15" t="n"/>
    </row>
    <row r="372" hidden="1" s="233">
      <c r="A372" s="6" t="n">
        <v>46107</v>
      </c>
      <c r="B372" s="3" t="n">
        <v>2026</v>
      </c>
      <c r="C372" s="3" t="inlineStr">
        <is>
          <t>Blupine</t>
        </is>
      </c>
      <c r="D372" s="3" t="inlineStr">
        <is>
          <t>Utility and C&amp;I</t>
        </is>
      </c>
      <c r="E372" s="3" t="n"/>
      <c r="F372" s="3" t="inlineStr">
        <is>
          <t>Closed</t>
        </is>
      </c>
      <c r="G372" s="3" t="inlineStr">
        <is>
          <t>Chandrashekar Patidar</t>
        </is>
      </c>
      <c r="H372" s="3" t="n">
        <v>7879764773</v>
      </c>
      <c r="I372" s="11" t="inlineStr">
        <is>
          <t>PE26032601</t>
        </is>
      </c>
      <c r="J372" s="3" t="inlineStr">
        <is>
          <t>Module Diode Failure</t>
        </is>
      </c>
      <c r="K372" s="3" t="inlineStr">
        <is>
          <t>Sadla</t>
        </is>
      </c>
      <c r="L372" s="3" t="inlineStr">
        <is>
          <t>Gujarat</t>
        </is>
      </c>
      <c r="M372" s="9" t="inlineStr">
        <is>
          <t>NS</t>
        </is>
      </c>
      <c r="N372" s="3" t="inlineStr">
        <is>
          <t>Cold Soldering</t>
        </is>
      </c>
      <c r="O372" s="3" t="n">
        <v>570</v>
      </c>
      <c r="P372" s="9" t="inlineStr">
        <is>
          <t>NSMI24050045473</t>
        </is>
      </c>
      <c r="Q372" s="53">
        <f>MID(P372,5,2)</f>
        <v/>
      </c>
      <c r="R372" s="53">
        <f>MID(P372,7,2)</f>
        <v/>
      </c>
      <c r="S372" s="3" t="inlineStr">
        <is>
          <t>G2G</t>
        </is>
      </c>
      <c r="T372" s="3" t="inlineStr">
        <is>
          <t>P4</t>
        </is>
      </c>
      <c r="U372" s="3" t="inlineStr">
        <is>
          <t>N JB Cold Soldering</t>
        </is>
      </c>
      <c r="V372" s="3" t="inlineStr">
        <is>
          <t>Soldering</t>
        </is>
      </c>
      <c r="W372" s="3" t="inlineStr">
        <is>
          <t>Repair</t>
        </is>
      </c>
      <c r="X372" s="18" t="n">
        <v>46148</v>
      </c>
      <c r="Y372" s="3">
        <f>X372-A372</f>
        <v/>
      </c>
      <c r="Z372" s="18" t="n">
        <v>46148</v>
      </c>
      <c r="AA372" s="15" t="n"/>
      <c r="AB372" s="15" t="n"/>
    </row>
    <row r="373" hidden="1" s="233">
      <c r="A373" s="6" t="n">
        <v>46107</v>
      </c>
      <c r="B373" s="3" t="n">
        <v>2026</v>
      </c>
      <c r="C373" s="3" t="inlineStr">
        <is>
          <t>Blupine</t>
        </is>
      </c>
      <c r="D373" s="3" t="inlineStr">
        <is>
          <t>Utility and C&amp;I</t>
        </is>
      </c>
      <c r="E373" s="3" t="n"/>
      <c r="F373" s="3" t="inlineStr">
        <is>
          <t>Closed</t>
        </is>
      </c>
      <c r="G373" s="3" t="inlineStr">
        <is>
          <t>Chandrashekar Patidar</t>
        </is>
      </c>
      <c r="H373" s="3" t="n">
        <v>7879764773</v>
      </c>
      <c r="I373" s="11" t="inlineStr">
        <is>
          <t>PE26032601</t>
        </is>
      </c>
      <c r="J373" s="3" t="inlineStr">
        <is>
          <t>Module Diode Failure</t>
        </is>
      </c>
      <c r="K373" s="3" t="inlineStr">
        <is>
          <t>Sadla</t>
        </is>
      </c>
      <c r="L373" s="3" t="inlineStr">
        <is>
          <t>Gujarat</t>
        </is>
      </c>
      <c r="M373" s="9" t="inlineStr">
        <is>
          <t>PS</t>
        </is>
      </c>
      <c r="N373" s="3" t="inlineStr">
        <is>
          <t>Cold Soldering</t>
        </is>
      </c>
      <c r="O373" s="3" t="n">
        <v>570</v>
      </c>
      <c r="P373" s="9" t="inlineStr">
        <is>
          <t>NSMI24060074516</t>
        </is>
      </c>
      <c r="Q373" s="53">
        <f>MID(P373,5,2)</f>
        <v/>
      </c>
      <c r="R373" s="53">
        <f>MID(P373,7,2)</f>
        <v/>
      </c>
      <c r="S373" s="3" t="inlineStr">
        <is>
          <t>G2G</t>
        </is>
      </c>
      <c r="T373" s="3" t="inlineStr">
        <is>
          <t>P4</t>
        </is>
      </c>
      <c r="U373" s="3" t="inlineStr">
        <is>
          <t>P JB Cold Soldering</t>
        </is>
      </c>
      <c r="V373" s="3" t="inlineStr">
        <is>
          <t>Soldering</t>
        </is>
      </c>
      <c r="W373" s="3" t="inlineStr">
        <is>
          <t>Repair</t>
        </is>
      </c>
      <c r="X373" s="18" t="n">
        <v>46148</v>
      </c>
      <c r="Y373" s="3">
        <f>X373-A373</f>
        <v/>
      </c>
      <c r="Z373" s="18" t="n">
        <v>46148</v>
      </c>
      <c r="AA373" s="15" t="n"/>
      <c r="AB373" s="15" t="n"/>
    </row>
    <row r="374" hidden="1" s="233">
      <c r="A374" s="6" t="n">
        <v>46107</v>
      </c>
      <c r="B374" s="3" t="n">
        <v>2026</v>
      </c>
      <c r="C374" s="3" t="inlineStr">
        <is>
          <t>Blupine</t>
        </is>
      </c>
      <c r="D374" s="3" t="inlineStr">
        <is>
          <t>Utility and C&amp;I</t>
        </is>
      </c>
      <c r="E374" s="3" t="n"/>
      <c r="F374" s="3" t="inlineStr">
        <is>
          <t>Closed</t>
        </is>
      </c>
      <c r="G374" s="3" t="inlineStr">
        <is>
          <t>Chandrashekar Patidar</t>
        </is>
      </c>
      <c r="H374" s="3" t="n">
        <v>7879764773</v>
      </c>
      <c r="I374" s="11" t="inlineStr">
        <is>
          <t>PE26032601</t>
        </is>
      </c>
      <c r="J374" s="3" t="inlineStr">
        <is>
          <t>Module Diode Failure</t>
        </is>
      </c>
      <c r="K374" s="3" t="inlineStr">
        <is>
          <t>Sadla</t>
        </is>
      </c>
      <c r="L374" s="3" t="inlineStr">
        <is>
          <t>Gujarat</t>
        </is>
      </c>
      <c r="M374" s="9" t="inlineStr">
        <is>
          <t>PS</t>
        </is>
      </c>
      <c r="N374" s="3" t="inlineStr">
        <is>
          <t>Cold Soldering</t>
        </is>
      </c>
      <c r="O374" s="3" t="n">
        <v>570</v>
      </c>
      <c r="P374" s="9" t="inlineStr">
        <is>
          <t>NSMI24060077856</t>
        </is>
      </c>
      <c r="Q374" s="53">
        <f>MID(P374,5,2)</f>
        <v/>
      </c>
      <c r="R374" s="53">
        <f>MID(P374,7,2)</f>
        <v/>
      </c>
      <c r="S374" s="3" t="inlineStr">
        <is>
          <t>G2G</t>
        </is>
      </c>
      <c r="T374" s="3" t="inlineStr">
        <is>
          <t>P4</t>
        </is>
      </c>
      <c r="U374" s="3" t="inlineStr">
        <is>
          <t>P JB Cold Soldering</t>
        </is>
      </c>
      <c r="V374" s="3" t="inlineStr">
        <is>
          <t>Soldering</t>
        </is>
      </c>
      <c r="W374" s="3" t="inlineStr">
        <is>
          <t>Repair</t>
        </is>
      </c>
      <c r="X374" s="18" t="n">
        <v>46148</v>
      </c>
      <c r="Y374" s="3">
        <f>X374-A374</f>
        <v/>
      </c>
      <c r="Z374" s="18" t="n">
        <v>46148</v>
      </c>
      <c r="AA374" s="15" t="n"/>
      <c r="AB374" s="15" t="n"/>
    </row>
    <row r="375" hidden="1" s="233">
      <c r="A375" s="6" t="n">
        <v>46107</v>
      </c>
      <c r="B375" s="3" t="n">
        <v>2026</v>
      </c>
      <c r="C375" s="3" t="inlineStr">
        <is>
          <t>Blupine</t>
        </is>
      </c>
      <c r="D375" s="3" t="inlineStr">
        <is>
          <t>Utility and C&amp;I</t>
        </is>
      </c>
      <c r="E375" s="3" t="n"/>
      <c r="F375" s="3" t="inlineStr">
        <is>
          <t>Closed</t>
        </is>
      </c>
      <c r="G375" s="3" t="inlineStr">
        <is>
          <t>Chandrashekar Patidar</t>
        </is>
      </c>
      <c r="H375" s="3" t="n">
        <v>7879764773</v>
      </c>
      <c r="I375" s="11" t="inlineStr">
        <is>
          <t>PE26032601</t>
        </is>
      </c>
      <c r="J375" s="3" t="inlineStr">
        <is>
          <t>Module Diode Failure</t>
        </is>
      </c>
      <c r="K375" s="3" t="inlineStr">
        <is>
          <t>Sadla</t>
        </is>
      </c>
      <c r="L375" s="3" t="inlineStr">
        <is>
          <t>Gujarat</t>
        </is>
      </c>
      <c r="M375" s="9" t="inlineStr">
        <is>
          <t>PS</t>
        </is>
      </c>
      <c r="N375" s="3" t="inlineStr">
        <is>
          <t>Cold Soldering</t>
        </is>
      </c>
      <c r="O375" s="3" t="n">
        <v>570</v>
      </c>
      <c r="P375" s="9" t="inlineStr">
        <is>
          <t>NSMI24060077857</t>
        </is>
      </c>
      <c r="Q375" s="53">
        <f>MID(P375,5,2)</f>
        <v/>
      </c>
      <c r="R375" s="53">
        <f>MID(P375,7,2)</f>
        <v/>
      </c>
      <c r="S375" s="3" t="inlineStr">
        <is>
          <t>G2G</t>
        </is>
      </c>
      <c r="T375" s="3" t="inlineStr">
        <is>
          <t>P4</t>
        </is>
      </c>
      <c r="U375" s="3" t="inlineStr">
        <is>
          <t>P JB Cold Soldering</t>
        </is>
      </c>
      <c r="V375" s="3" t="inlineStr">
        <is>
          <t>Soldering</t>
        </is>
      </c>
      <c r="W375" s="3" t="inlineStr">
        <is>
          <t>Repair</t>
        </is>
      </c>
      <c r="X375" s="18" t="n">
        <v>46148</v>
      </c>
      <c r="Y375" s="3">
        <f>X375-A375</f>
        <v/>
      </c>
      <c r="Z375" s="18" t="n">
        <v>46148</v>
      </c>
      <c r="AA375" s="15" t="n"/>
      <c r="AB375" s="15" t="n"/>
    </row>
    <row r="376" hidden="1" s="233">
      <c r="A376" s="6" t="n">
        <v>46107</v>
      </c>
      <c r="B376" s="3" t="n">
        <v>2026</v>
      </c>
      <c r="C376" s="3" t="inlineStr">
        <is>
          <t>Blupine</t>
        </is>
      </c>
      <c r="D376" s="3" t="inlineStr">
        <is>
          <t>Utility and C&amp;I</t>
        </is>
      </c>
      <c r="E376" s="3" t="n"/>
      <c r="F376" s="3" t="inlineStr">
        <is>
          <t>Closed</t>
        </is>
      </c>
      <c r="G376" s="3" t="inlineStr">
        <is>
          <t>Chandrashekar Patidar</t>
        </is>
      </c>
      <c r="H376" s="3" t="n">
        <v>7879764773</v>
      </c>
      <c r="I376" s="11" t="inlineStr">
        <is>
          <t>PE26032601</t>
        </is>
      </c>
      <c r="J376" s="3" t="inlineStr">
        <is>
          <t>Module Diode Failure</t>
        </is>
      </c>
      <c r="K376" s="3" t="inlineStr">
        <is>
          <t>Sadla</t>
        </is>
      </c>
      <c r="L376" s="3" t="inlineStr">
        <is>
          <t>Gujarat</t>
        </is>
      </c>
      <c r="M376" s="9" t="inlineStr">
        <is>
          <t>PS</t>
        </is>
      </c>
      <c r="N376" s="3" t="inlineStr">
        <is>
          <t>Cold Soldering</t>
        </is>
      </c>
      <c r="O376" s="3" t="n">
        <v>570</v>
      </c>
      <c r="P376" s="9" t="inlineStr">
        <is>
          <t>NSMI24060077860</t>
        </is>
      </c>
      <c r="Q376" s="53">
        <f>MID(P376,5,2)</f>
        <v/>
      </c>
      <c r="R376" s="53">
        <f>MID(P376,7,2)</f>
        <v/>
      </c>
      <c r="S376" s="3" t="inlineStr">
        <is>
          <t>G2G</t>
        </is>
      </c>
      <c r="T376" s="3" t="inlineStr">
        <is>
          <t>P4</t>
        </is>
      </c>
      <c r="U376" s="3" t="inlineStr">
        <is>
          <t>P JB Cold Soldering</t>
        </is>
      </c>
      <c r="V376" s="3" t="inlineStr">
        <is>
          <t>Soldering</t>
        </is>
      </c>
      <c r="W376" s="3" t="inlineStr">
        <is>
          <t>Repair</t>
        </is>
      </c>
      <c r="X376" s="18" t="n">
        <v>46148</v>
      </c>
      <c r="Y376" s="3">
        <f>X376-A376</f>
        <v/>
      </c>
      <c r="Z376" s="18" t="n">
        <v>46148</v>
      </c>
      <c r="AA376" s="15" t="n"/>
      <c r="AB376" s="15" t="n"/>
    </row>
    <row r="377" hidden="1" s="233">
      <c r="A377" s="6" t="n">
        <v>46107</v>
      </c>
      <c r="B377" s="3" t="n">
        <v>2026</v>
      </c>
      <c r="C377" s="3" t="inlineStr">
        <is>
          <t>Blupine</t>
        </is>
      </c>
      <c r="D377" s="3" t="inlineStr">
        <is>
          <t>Utility and C&amp;I</t>
        </is>
      </c>
      <c r="E377" s="3" t="n"/>
      <c r="F377" s="3" t="inlineStr">
        <is>
          <t>Closed</t>
        </is>
      </c>
      <c r="G377" s="3" t="inlineStr">
        <is>
          <t>Chandrashekar Patidar</t>
        </is>
      </c>
      <c r="H377" s="3" t="n">
        <v>7879764773</v>
      </c>
      <c r="I377" s="11" t="inlineStr">
        <is>
          <t>PE26032601</t>
        </is>
      </c>
      <c r="J377" s="3" t="inlineStr">
        <is>
          <t>Module Diode Failure</t>
        </is>
      </c>
      <c r="K377" s="3" t="inlineStr">
        <is>
          <t>Sadla</t>
        </is>
      </c>
      <c r="L377" s="3" t="inlineStr">
        <is>
          <t>Gujarat</t>
        </is>
      </c>
      <c r="M377" s="9" t="inlineStr">
        <is>
          <t>PS</t>
        </is>
      </c>
      <c r="N377" s="3" t="inlineStr">
        <is>
          <t>Cold Soldering</t>
        </is>
      </c>
      <c r="O377" s="3" t="n">
        <v>570</v>
      </c>
      <c r="P377" s="9" t="inlineStr">
        <is>
          <t>NSMI24050061145</t>
        </is>
      </c>
      <c r="Q377" s="53">
        <f>MID(P377,5,2)</f>
        <v/>
      </c>
      <c r="R377" s="53">
        <f>MID(P377,7,2)</f>
        <v/>
      </c>
      <c r="S377" s="3" t="inlineStr">
        <is>
          <t>G2G</t>
        </is>
      </c>
      <c r="T377" s="3" t="inlineStr">
        <is>
          <t>P4</t>
        </is>
      </c>
      <c r="U377" s="3" t="inlineStr">
        <is>
          <t>P JB Cold Soldering</t>
        </is>
      </c>
      <c r="V377" s="3" t="inlineStr">
        <is>
          <t>Soldering</t>
        </is>
      </c>
      <c r="W377" s="3" t="inlineStr">
        <is>
          <t>Repair</t>
        </is>
      </c>
      <c r="X377" s="18" t="n">
        <v>46148</v>
      </c>
      <c r="Y377" s="3">
        <f>X377-A377</f>
        <v/>
      </c>
      <c r="Z377" s="18" t="n">
        <v>46148</v>
      </c>
      <c r="AA377" s="15" t="n"/>
      <c r="AB377" s="15" t="n"/>
    </row>
    <row r="378" hidden="1" s="233">
      <c r="A378" s="6" t="n">
        <v>46107</v>
      </c>
      <c r="B378" s="3" t="n">
        <v>2026</v>
      </c>
      <c r="C378" s="3" t="inlineStr">
        <is>
          <t>Blupine</t>
        </is>
      </c>
      <c r="D378" s="3" t="inlineStr">
        <is>
          <t>Utility and C&amp;I</t>
        </is>
      </c>
      <c r="E378" s="3" t="n"/>
      <c r="F378" s="3" t="inlineStr">
        <is>
          <t>Closed</t>
        </is>
      </c>
      <c r="G378" s="3" t="inlineStr">
        <is>
          <t>Chandrashekar Patidar</t>
        </is>
      </c>
      <c r="H378" s="3" t="n">
        <v>7879764773</v>
      </c>
      <c r="I378" s="11" t="inlineStr">
        <is>
          <t>PE26032601</t>
        </is>
      </c>
      <c r="J378" s="3" t="inlineStr">
        <is>
          <t>Module Diode Failure</t>
        </is>
      </c>
      <c r="K378" s="3" t="inlineStr">
        <is>
          <t>Sadla</t>
        </is>
      </c>
      <c r="L378" s="3" t="inlineStr">
        <is>
          <t>Gujarat</t>
        </is>
      </c>
      <c r="M378" s="9" t="inlineStr">
        <is>
          <t>PS</t>
        </is>
      </c>
      <c r="N378" s="3" t="inlineStr">
        <is>
          <t>Cold Soldering</t>
        </is>
      </c>
      <c r="O378" s="3" t="n">
        <v>570</v>
      </c>
      <c r="P378" s="9" t="inlineStr">
        <is>
          <t>NSMI24050061017</t>
        </is>
      </c>
      <c r="Q378" s="53">
        <f>MID(P378,5,2)</f>
        <v/>
      </c>
      <c r="R378" s="53">
        <f>MID(P378,7,2)</f>
        <v/>
      </c>
      <c r="S378" s="3" t="inlineStr">
        <is>
          <t>G2G</t>
        </is>
      </c>
      <c r="T378" s="3" t="inlineStr">
        <is>
          <t>P4</t>
        </is>
      </c>
      <c r="U378" s="3" t="inlineStr">
        <is>
          <t>P JB Cold Soldering</t>
        </is>
      </c>
      <c r="V378" s="3" t="inlineStr">
        <is>
          <t>Soldering</t>
        </is>
      </c>
      <c r="W378" s="3" t="inlineStr">
        <is>
          <t>Repair</t>
        </is>
      </c>
      <c r="X378" s="18" t="n">
        <v>46148</v>
      </c>
      <c r="Y378" s="3">
        <f>X378-A378</f>
        <v/>
      </c>
      <c r="Z378" s="18" t="n">
        <v>46148</v>
      </c>
      <c r="AA378" s="15" t="n"/>
      <c r="AB378" s="15" t="n"/>
    </row>
    <row r="379" hidden="1" s="233">
      <c r="A379" s="6" t="n">
        <v>46107</v>
      </c>
      <c r="B379" s="3" t="n">
        <v>2026</v>
      </c>
      <c r="C379" s="3" t="inlineStr">
        <is>
          <t>Blupine</t>
        </is>
      </c>
      <c r="D379" s="3" t="inlineStr">
        <is>
          <t>Utility and C&amp;I</t>
        </is>
      </c>
      <c r="E379" s="3" t="n"/>
      <c r="F379" s="3" t="inlineStr">
        <is>
          <t>Closed</t>
        </is>
      </c>
      <c r="G379" s="3" t="inlineStr">
        <is>
          <t>Chandrashekar Patidar</t>
        </is>
      </c>
      <c r="H379" s="3" t="n">
        <v>7879764773</v>
      </c>
      <c r="I379" s="11" t="inlineStr">
        <is>
          <t>PE26032601</t>
        </is>
      </c>
      <c r="J379" s="3" t="inlineStr">
        <is>
          <t>Module Diode Failure</t>
        </is>
      </c>
      <c r="K379" s="3" t="inlineStr">
        <is>
          <t>Sadla</t>
        </is>
      </c>
      <c r="L379" s="3" t="inlineStr">
        <is>
          <t>Gujarat</t>
        </is>
      </c>
      <c r="M379" s="9" t="inlineStr">
        <is>
          <t>PS</t>
        </is>
      </c>
      <c r="N379" s="3" t="inlineStr">
        <is>
          <t>Cold Soldering</t>
        </is>
      </c>
      <c r="O379" s="3" t="n">
        <v>570</v>
      </c>
      <c r="P379" s="9" t="inlineStr">
        <is>
          <t>NSMI24050061030</t>
        </is>
      </c>
      <c r="Q379" s="53">
        <f>MID(P379,5,2)</f>
        <v/>
      </c>
      <c r="R379" s="53">
        <f>MID(P379,7,2)</f>
        <v/>
      </c>
      <c r="S379" s="3" t="inlineStr">
        <is>
          <t>G2G</t>
        </is>
      </c>
      <c r="T379" s="3" t="inlineStr">
        <is>
          <t>P4</t>
        </is>
      </c>
      <c r="U379" s="3" t="inlineStr">
        <is>
          <t>P JB Cold Soldering</t>
        </is>
      </c>
      <c r="V379" s="3" t="inlineStr">
        <is>
          <t>Soldering</t>
        </is>
      </c>
      <c r="W379" s="3" t="inlineStr">
        <is>
          <t>Repair</t>
        </is>
      </c>
      <c r="X379" s="18" t="n">
        <v>46148</v>
      </c>
      <c r="Y379" s="3">
        <f>X379-A379</f>
        <v/>
      </c>
      <c r="Z379" s="18" t="n">
        <v>46148</v>
      </c>
      <c r="AA379" s="15" t="n"/>
      <c r="AB379" s="15" t="n"/>
    </row>
    <row r="380" hidden="1" s="233">
      <c r="A380" s="6" t="n">
        <v>46107</v>
      </c>
      <c r="B380" s="3" t="n">
        <v>2026</v>
      </c>
      <c r="C380" s="3" t="inlineStr">
        <is>
          <t>Blupine</t>
        </is>
      </c>
      <c r="D380" s="3" t="inlineStr">
        <is>
          <t>Utility and C&amp;I</t>
        </is>
      </c>
      <c r="E380" s="3" t="n"/>
      <c r="F380" s="3" t="inlineStr">
        <is>
          <t>Closed</t>
        </is>
      </c>
      <c r="G380" s="3" t="inlineStr">
        <is>
          <t>Chandrashekar Patidar</t>
        </is>
      </c>
      <c r="H380" s="3" t="n">
        <v>7879764773</v>
      </c>
      <c r="I380" s="11" t="inlineStr">
        <is>
          <t>PE26032601</t>
        </is>
      </c>
      <c r="J380" s="3" t="inlineStr">
        <is>
          <t>Module Diode Failure</t>
        </is>
      </c>
      <c r="K380" s="3" t="inlineStr">
        <is>
          <t>Sadla</t>
        </is>
      </c>
      <c r="L380" s="3" t="inlineStr">
        <is>
          <t>Gujarat</t>
        </is>
      </c>
      <c r="M380" s="9" t="inlineStr">
        <is>
          <t>NS</t>
        </is>
      </c>
      <c r="N380" s="3" t="inlineStr">
        <is>
          <t>Cold Soldering</t>
        </is>
      </c>
      <c r="O380" s="3" t="n">
        <v>570</v>
      </c>
      <c r="P380" s="9" t="inlineStr">
        <is>
          <t>NSMI24060133787</t>
        </is>
      </c>
      <c r="Q380" s="53">
        <f>MID(P380,5,2)</f>
        <v/>
      </c>
      <c r="R380" s="53">
        <f>MID(P380,7,2)</f>
        <v/>
      </c>
      <c r="S380" s="3" t="inlineStr">
        <is>
          <t>G2G</t>
        </is>
      </c>
      <c r="T380" s="3" t="inlineStr">
        <is>
          <t>P4</t>
        </is>
      </c>
      <c r="U380" s="3" t="inlineStr">
        <is>
          <t>N JB Cold Soldering</t>
        </is>
      </c>
      <c r="V380" s="3" t="inlineStr">
        <is>
          <t>Soldering</t>
        </is>
      </c>
      <c r="W380" s="3" t="inlineStr">
        <is>
          <t>Repair</t>
        </is>
      </c>
      <c r="X380" s="18" t="n">
        <v>46148</v>
      </c>
      <c r="Y380" s="3">
        <f>X380-A380</f>
        <v/>
      </c>
      <c r="Z380" s="18" t="n">
        <v>46148</v>
      </c>
      <c r="AA380" s="15" t="n"/>
      <c r="AB380" s="15" t="n"/>
    </row>
    <row r="381" hidden="1" s="233">
      <c r="A381" s="6" t="n">
        <v>46107</v>
      </c>
      <c r="B381" s="3" t="n">
        <v>2026</v>
      </c>
      <c r="C381" s="3" t="inlineStr">
        <is>
          <t>Blupine</t>
        </is>
      </c>
      <c r="D381" s="3" t="inlineStr">
        <is>
          <t>Utility and C&amp;I</t>
        </is>
      </c>
      <c r="E381" s="3" t="n"/>
      <c r="F381" s="3" t="inlineStr">
        <is>
          <t>Closed</t>
        </is>
      </c>
      <c r="G381" s="3" t="inlineStr">
        <is>
          <t>Chandrashekar Patidar</t>
        </is>
      </c>
      <c r="H381" s="3" t="n">
        <v>7879764773</v>
      </c>
      <c r="I381" s="11" t="inlineStr">
        <is>
          <t>PE26032601</t>
        </is>
      </c>
      <c r="J381" s="3" t="inlineStr">
        <is>
          <t>Module Diode Failure</t>
        </is>
      </c>
      <c r="K381" s="3" t="inlineStr">
        <is>
          <t>Sadla</t>
        </is>
      </c>
      <c r="L381" s="3" t="inlineStr">
        <is>
          <t>Gujarat</t>
        </is>
      </c>
      <c r="M381" s="9" t="inlineStr">
        <is>
          <t>NS</t>
        </is>
      </c>
      <c r="N381" s="3" t="inlineStr">
        <is>
          <t>Cold Soldering</t>
        </is>
      </c>
      <c r="O381" s="3" t="n">
        <v>570</v>
      </c>
      <c r="P381" s="9" t="inlineStr">
        <is>
          <t>NSMI24060113387</t>
        </is>
      </c>
      <c r="Q381" s="53">
        <f>MID(P381,5,2)</f>
        <v/>
      </c>
      <c r="R381" s="53">
        <f>MID(P381,7,2)</f>
        <v/>
      </c>
      <c r="S381" s="3" t="inlineStr">
        <is>
          <t>G2G</t>
        </is>
      </c>
      <c r="T381" s="3" t="inlineStr">
        <is>
          <t>P4</t>
        </is>
      </c>
      <c r="U381" s="3" t="inlineStr">
        <is>
          <t>N JB Cold Soldering</t>
        </is>
      </c>
      <c r="V381" s="3" t="inlineStr">
        <is>
          <t>Soldering</t>
        </is>
      </c>
      <c r="W381" s="3" t="inlineStr">
        <is>
          <t>Repair</t>
        </is>
      </c>
      <c r="X381" s="18" t="n">
        <v>46148</v>
      </c>
      <c r="Y381" s="3">
        <f>X381-A381</f>
        <v/>
      </c>
      <c r="Z381" s="18" t="n">
        <v>46148</v>
      </c>
      <c r="AA381" s="15" t="n"/>
      <c r="AB381" s="15" t="n"/>
    </row>
    <row r="382" hidden="1" s="233">
      <c r="A382" s="6" t="n">
        <v>46107</v>
      </c>
      <c r="B382" s="3" t="n">
        <v>2026</v>
      </c>
      <c r="C382" s="3" t="inlineStr">
        <is>
          <t>Blupine</t>
        </is>
      </c>
      <c r="D382" s="3" t="inlineStr">
        <is>
          <t>Utility and C&amp;I</t>
        </is>
      </c>
      <c r="E382" s="3" t="n"/>
      <c r="F382" s="3" t="inlineStr">
        <is>
          <t>Closed</t>
        </is>
      </c>
      <c r="G382" s="3" t="inlineStr">
        <is>
          <t>Chandrashekar Patidar</t>
        </is>
      </c>
      <c r="H382" s="3" t="n">
        <v>7879764773</v>
      </c>
      <c r="I382" s="11" t="inlineStr">
        <is>
          <t>PE26032601</t>
        </is>
      </c>
      <c r="J382" s="3" t="inlineStr">
        <is>
          <t>Module Diode Failure</t>
        </is>
      </c>
      <c r="K382" s="3" t="inlineStr">
        <is>
          <t>Sadla</t>
        </is>
      </c>
      <c r="L382" s="3" t="inlineStr">
        <is>
          <t>Gujarat</t>
        </is>
      </c>
      <c r="M382" s="9" t="inlineStr">
        <is>
          <t>PS</t>
        </is>
      </c>
      <c r="N382" s="3" t="inlineStr">
        <is>
          <t>Cold Soldering</t>
        </is>
      </c>
      <c r="O382" s="3" t="n">
        <v>570</v>
      </c>
      <c r="P382" s="9" t="inlineStr">
        <is>
          <t>NSMI24060140222</t>
        </is>
      </c>
      <c r="Q382" s="53">
        <f>MID(P382,5,2)</f>
        <v/>
      </c>
      <c r="R382" s="53">
        <f>MID(P382,7,2)</f>
        <v/>
      </c>
      <c r="S382" s="3" t="inlineStr">
        <is>
          <t>G2G</t>
        </is>
      </c>
      <c r="T382" s="3" t="inlineStr">
        <is>
          <t>P4</t>
        </is>
      </c>
      <c r="U382" s="3" t="inlineStr">
        <is>
          <t>P JB Cold Soldering</t>
        </is>
      </c>
      <c r="V382" s="3" t="inlineStr">
        <is>
          <t>Soldering</t>
        </is>
      </c>
      <c r="W382" s="3" t="inlineStr">
        <is>
          <t>Repair</t>
        </is>
      </c>
      <c r="X382" s="18" t="n">
        <v>46148</v>
      </c>
      <c r="Y382" s="3">
        <f>X382-A382</f>
        <v/>
      </c>
      <c r="Z382" s="18" t="n">
        <v>46148</v>
      </c>
      <c r="AA382" s="15" t="n"/>
      <c r="AB382" s="15" t="n"/>
    </row>
    <row r="383" hidden="1" s="233">
      <c r="A383" s="6" t="n">
        <v>46107</v>
      </c>
      <c r="B383" s="3" t="n">
        <v>2026</v>
      </c>
      <c r="C383" s="3" t="inlineStr">
        <is>
          <t>Blupine</t>
        </is>
      </c>
      <c r="D383" s="3" t="inlineStr">
        <is>
          <t>Utility and C&amp;I</t>
        </is>
      </c>
      <c r="E383" s="3" t="n"/>
      <c r="F383" s="3" t="inlineStr">
        <is>
          <t>Closed</t>
        </is>
      </c>
      <c r="G383" s="3" t="inlineStr">
        <is>
          <t>Chandrashekar Patidar</t>
        </is>
      </c>
      <c r="H383" s="3" t="n">
        <v>7879764773</v>
      </c>
      <c r="I383" s="11" t="inlineStr">
        <is>
          <t>PE26032601</t>
        </is>
      </c>
      <c r="J383" s="3" t="inlineStr">
        <is>
          <t>Module Diode Failure</t>
        </is>
      </c>
      <c r="K383" s="3" t="inlineStr">
        <is>
          <t>Sadla</t>
        </is>
      </c>
      <c r="L383" s="3" t="inlineStr">
        <is>
          <t>Gujarat</t>
        </is>
      </c>
      <c r="M383" s="9" t="inlineStr">
        <is>
          <t>NS</t>
        </is>
      </c>
      <c r="N383" s="3" t="inlineStr">
        <is>
          <t>Cold Soldering</t>
        </is>
      </c>
      <c r="O383" s="3" t="n">
        <v>570</v>
      </c>
      <c r="P383" s="9" t="inlineStr">
        <is>
          <t>NSMI24060106017</t>
        </is>
      </c>
      <c r="Q383" s="53">
        <f>MID(P383,5,2)</f>
        <v/>
      </c>
      <c r="R383" s="53">
        <f>MID(P383,7,2)</f>
        <v/>
      </c>
      <c r="S383" s="3" t="inlineStr">
        <is>
          <t>G2G</t>
        </is>
      </c>
      <c r="T383" s="3" t="inlineStr">
        <is>
          <t>P4</t>
        </is>
      </c>
      <c r="U383" s="3" t="inlineStr">
        <is>
          <t>N JB Cold Soldering</t>
        </is>
      </c>
      <c r="V383" s="3" t="inlineStr">
        <is>
          <t>Soldering</t>
        </is>
      </c>
      <c r="W383" s="3" t="inlineStr">
        <is>
          <t>Repair</t>
        </is>
      </c>
      <c r="X383" s="18" t="n">
        <v>46148</v>
      </c>
      <c r="Y383" s="3">
        <f>X383-A383</f>
        <v/>
      </c>
      <c r="Z383" s="18" t="n">
        <v>46148</v>
      </c>
      <c r="AA383" s="15" t="n"/>
      <c r="AB383" s="15" t="n"/>
    </row>
    <row r="384" hidden="1" s="233">
      <c r="A384" s="6" t="n">
        <v>46107</v>
      </c>
      <c r="B384" s="3" t="n">
        <v>2026</v>
      </c>
      <c r="C384" s="3" t="inlineStr">
        <is>
          <t>Blupine</t>
        </is>
      </c>
      <c r="D384" s="3" t="inlineStr">
        <is>
          <t>Utility and C&amp;I</t>
        </is>
      </c>
      <c r="E384" s="3" t="n"/>
      <c r="F384" s="3" t="inlineStr">
        <is>
          <t>Closed</t>
        </is>
      </c>
      <c r="G384" s="3" t="inlineStr">
        <is>
          <t>Chandrashekar Patidar</t>
        </is>
      </c>
      <c r="H384" s="3" t="n">
        <v>7879764773</v>
      </c>
      <c r="I384" s="11" t="inlineStr">
        <is>
          <t>PE26032601</t>
        </is>
      </c>
      <c r="J384" s="3" t="inlineStr">
        <is>
          <t>Module Diode Failure</t>
        </is>
      </c>
      <c r="K384" s="3" t="inlineStr">
        <is>
          <t>Sadla</t>
        </is>
      </c>
      <c r="L384" s="3" t="inlineStr">
        <is>
          <t>Gujarat</t>
        </is>
      </c>
      <c r="M384" s="9" t="inlineStr">
        <is>
          <t>NS</t>
        </is>
      </c>
      <c r="N384" s="3" t="inlineStr">
        <is>
          <t>Cold Soldering</t>
        </is>
      </c>
      <c r="O384" s="3" t="n">
        <v>570</v>
      </c>
      <c r="P384" s="9" t="inlineStr">
        <is>
          <t>NSMI24060107228</t>
        </is>
      </c>
      <c r="Q384" s="53">
        <f>MID(P384,5,2)</f>
        <v/>
      </c>
      <c r="R384" s="53">
        <f>MID(P384,7,2)</f>
        <v/>
      </c>
      <c r="S384" s="3" t="inlineStr">
        <is>
          <t>G2G</t>
        </is>
      </c>
      <c r="T384" s="3" t="inlineStr">
        <is>
          <t>P4</t>
        </is>
      </c>
      <c r="U384" s="3" t="inlineStr">
        <is>
          <t>N JB Cold Soldering</t>
        </is>
      </c>
      <c r="V384" s="3" t="inlineStr">
        <is>
          <t>Soldering</t>
        </is>
      </c>
      <c r="W384" s="3" t="inlineStr">
        <is>
          <t>Repair</t>
        </is>
      </c>
      <c r="X384" s="18" t="n">
        <v>46148</v>
      </c>
      <c r="Y384" s="3">
        <f>X384-A384</f>
        <v/>
      </c>
      <c r="Z384" s="18" t="n">
        <v>46148</v>
      </c>
      <c r="AA384" s="15" t="n"/>
      <c r="AB384" s="15" t="n"/>
    </row>
    <row r="385" hidden="1" s="233">
      <c r="A385" s="6" t="n">
        <v>46107</v>
      </c>
      <c r="B385" s="3" t="n">
        <v>2026</v>
      </c>
      <c r="C385" s="3" t="inlineStr">
        <is>
          <t>Blupine</t>
        </is>
      </c>
      <c r="D385" s="3" t="inlineStr">
        <is>
          <t>Utility and C&amp;I</t>
        </is>
      </c>
      <c r="E385" s="3" t="n"/>
      <c r="F385" s="3" t="inlineStr">
        <is>
          <t>Closed</t>
        </is>
      </c>
      <c r="G385" s="3" t="inlineStr">
        <is>
          <t>Chandrashekar Patidar</t>
        </is>
      </c>
      <c r="H385" s="3" t="n">
        <v>7879764773</v>
      </c>
      <c r="I385" s="11" t="inlineStr">
        <is>
          <t>PE26032601</t>
        </is>
      </c>
      <c r="J385" s="3" t="inlineStr">
        <is>
          <t>Module Diode Failure</t>
        </is>
      </c>
      <c r="K385" s="3" t="inlineStr">
        <is>
          <t>Sadla</t>
        </is>
      </c>
      <c r="L385" s="3" t="inlineStr">
        <is>
          <t>Gujarat</t>
        </is>
      </c>
      <c r="M385" s="9" t="inlineStr">
        <is>
          <t>PS</t>
        </is>
      </c>
      <c r="N385" s="3" t="inlineStr">
        <is>
          <t>Cold Soldering</t>
        </is>
      </c>
      <c r="O385" s="3" t="n">
        <v>570</v>
      </c>
      <c r="P385" s="9" t="inlineStr">
        <is>
          <t>NSMI24060105975</t>
        </is>
      </c>
      <c r="Q385" s="53">
        <f>MID(P385,5,2)</f>
        <v/>
      </c>
      <c r="R385" s="53">
        <f>MID(P385,7,2)</f>
        <v/>
      </c>
      <c r="S385" s="3" t="inlineStr">
        <is>
          <t>G2G</t>
        </is>
      </c>
      <c r="T385" s="3" t="inlineStr">
        <is>
          <t>P4</t>
        </is>
      </c>
      <c r="U385" s="3" t="inlineStr">
        <is>
          <t>P JB Cold Soldering</t>
        </is>
      </c>
      <c r="V385" s="3" t="inlineStr">
        <is>
          <t>Soldering</t>
        </is>
      </c>
      <c r="W385" s="3" t="inlineStr">
        <is>
          <t>Repair</t>
        </is>
      </c>
      <c r="X385" s="18" t="n">
        <v>46148</v>
      </c>
      <c r="Y385" s="3">
        <f>X385-A385</f>
        <v/>
      </c>
      <c r="Z385" s="18" t="n">
        <v>46148</v>
      </c>
      <c r="AA385" s="15" t="n"/>
      <c r="AB385" s="15" t="n"/>
    </row>
    <row r="386" hidden="1" s="233">
      <c r="A386" s="6" t="n">
        <v>46107</v>
      </c>
      <c r="B386" s="3" t="n">
        <v>2026</v>
      </c>
      <c r="C386" s="3" t="inlineStr">
        <is>
          <t>Blupine</t>
        </is>
      </c>
      <c r="D386" s="3" t="inlineStr">
        <is>
          <t>Utility and C&amp;I</t>
        </is>
      </c>
      <c r="E386" s="3" t="n"/>
      <c r="F386" s="3" t="inlineStr">
        <is>
          <t>Closed</t>
        </is>
      </c>
      <c r="G386" s="3" t="inlineStr">
        <is>
          <t>Chandrashekar Patidar</t>
        </is>
      </c>
      <c r="H386" s="3" t="n">
        <v>7879764773</v>
      </c>
      <c r="I386" s="11" t="inlineStr">
        <is>
          <t>PE26032601</t>
        </is>
      </c>
      <c r="J386" s="3" t="inlineStr">
        <is>
          <t>Module Diode Failure</t>
        </is>
      </c>
      <c r="K386" s="3" t="inlineStr">
        <is>
          <t>Sadla</t>
        </is>
      </c>
      <c r="L386" s="3" t="inlineStr">
        <is>
          <t>Gujarat</t>
        </is>
      </c>
      <c r="M386" s="9" t="inlineStr">
        <is>
          <t>PS</t>
        </is>
      </c>
      <c r="N386" s="3" t="inlineStr">
        <is>
          <t>Cold Soldering</t>
        </is>
      </c>
      <c r="O386" s="3" t="n">
        <v>570</v>
      </c>
      <c r="P386" s="9" t="inlineStr">
        <is>
          <t>NSMI24060127184</t>
        </is>
      </c>
      <c r="Q386" s="53">
        <f>MID(P386,5,2)</f>
        <v/>
      </c>
      <c r="R386" s="53">
        <f>MID(P386,7,2)</f>
        <v/>
      </c>
      <c r="S386" s="3" t="inlineStr">
        <is>
          <t>G2G</t>
        </is>
      </c>
      <c r="T386" s="3" t="inlineStr">
        <is>
          <t>P4</t>
        </is>
      </c>
      <c r="U386" s="3" t="inlineStr">
        <is>
          <t>P JB Cold Soldering</t>
        </is>
      </c>
      <c r="V386" s="3" t="inlineStr">
        <is>
          <t>Soldering</t>
        </is>
      </c>
      <c r="W386" s="3" t="inlineStr">
        <is>
          <t>Repair</t>
        </is>
      </c>
      <c r="X386" s="18" t="n">
        <v>46148</v>
      </c>
      <c r="Y386" s="3">
        <f>X386-A386</f>
        <v/>
      </c>
      <c r="Z386" s="18" t="n">
        <v>46148</v>
      </c>
      <c r="AA386" s="15" t="n"/>
      <c r="AB386" s="15" t="n"/>
    </row>
    <row r="387" hidden="1" s="233">
      <c r="A387" s="6" t="n">
        <v>46107</v>
      </c>
      <c r="B387" s="3" t="n">
        <v>2026</v>
      </c>
      <c r="C387" s="3" t="inlineStr">
        <is>
          <t>Blupine</t>
        </is>
      </c>
      <c r="D387" s="3" t="inlineStr">
        <is>
          <t>Utility and C&amp;I</t>
        </is>
      </c>
      <c r="E387" s="3" t="n"/>
      <c r="F387" s="3" t="inlineStr">
        <is>
          <t>Closed</t>
        </is>
      </c>
      <c r="G387" s="3" t="inlineStr">
        <is>
          <t>Chandrashekar Patidar</t>
        </is>
      </c>
      <c r="H387" s="3" t="n">
        <v>7879764773</v>
      </c>
      <c r="I387" s="11" t="inlineStr">
        <is>
          <t>PE26032601</t>
        </is>
      </c>
      <c r="J387" s="3" t="inlineStr">
        <is>
          <t>Module Diode Failure</t>
        </is>
      </c>
      <c r="K387" s="3" t="inlineStr">
        <is>
          <t>Sadla</t>
        </is>
      </c>
      <c r="L387" s="3" t="inlineStr">
        <is>
          <t>Gujarat</t>
        </is>
      </c>
      <c r="M387" s="9" t="inlineStr">
        <is>
          <t>PS</t>
        </is>
      </c>
      <c r="N387" s="3" t="inlineStr">
        <is>
          <t>Cold Soldering</t>
        </is>
      </c>
      <c r="O387" s="3" t="n">
        <v>570</v>
      </c>
      <c r="P387" s="9" t="inlineStr">
        <is>
          <t>NSMI24060107553</t>
        </is>
      </c>
      <c r="Q387" s="53">
        <f>MID(P387,5,2)</f>
        <v/>
      </c>
      <c r="R387" s="53">
        <f>MID(P387,7,2)</f>
        <v/>
      </c>
      <c r="S387" s="3" t="inlineStr">
        <is>
          <t>G2G</t>
        </is>
      </c>
      <c r="T387" s="3" t="inlineStr">
        <is>
          <t>P4</t>
        </is>
      </c>
      <c r="U387" s="3" t="inlineStr">
        <is>
          <t>P JB Cold Soldering</t>
        </is>
      </c>
      <c r="V387" s="3" t="inlineStr">
        <is>
          <t>Soldering</t>
        </is>
      </c>
      <c r="W387" s="3" t="inlineStr">
        <is>
          <t>Repair</t>
        </is>
      </c>
      <c r="X387" s="18" t="n">
        <v>46148</v>
      </c>
      <c r="Y387" s="3">
        <f>X387-A387</f>
        <v/>
      </c>
      <c r="Z387" s="18" t="n">
        <v>46148</v>
      </c>
      <c r="AA387" s="15" t="n"/>
      <c r="AB387" s="15" t="n"/>
    </row>
    <row r="388" hidden="1" s="233">
      <c r="A388" s="6" t="n">
        <v>46107</v>
      </c>
      <c r="B388" s="3" t="n">
        <v>2026</v>
      </c>
      <c r="C388" s="3" t="inlineStr">
        <is>
          <t>Blupine</t>
        </is>
      </c>
      <c r="D388" s="3" t="inlineStr">
        <is>
          <t>Utility and C&amp;I</t>
        </is>
      </c>
      <c r="E388" s="3" t="n"/>
      <c r="F388" s="3" t="inlineStr">
        <is>
          <t>Closed</t>
        </is>
      </c>
      <c r="G388" s="3" t="inlineStr">
        <is>
          <t>Chandrashekar Patidar</t>
        </is>
      </c>
      <c r="H388" s="3" t="n">
        <v>7879764773</v>
      </c>
      <c r="I388" s="11" t="inlineStr">
        <is>
          <t>PE26032601</t>
        </is>
      </c>
      <c r="J388" s="3" t="inlineStr">
        <is>
          <t>Module Diode Failure</t>
        </is>
      </c>
      <c r="K388" s="3" t="inlineStr">
        <is>
          <t>Sadla</t>
        </is>
      </c>
      <c r="L388" s="3" t="inlineStr">
        <is>
          <t>Gujarat</t>
        </is>
      </c>
      <c r="M388" s="9" t="inlineStr">
        <is>
          <t>PS</t>
        </is>
      </c>
      <c r="N388" s="3" t="inlineStr">
        <is>
          <t>Cold Soldering</t>
        </is>
      </c>
      <c r="O388" s="3" t="n">
        <v>570</v>
      </c>
      <c r="P388" s="9" t="inlineStr">
        <is>
          <t>NSMI24060137236</t>
        </is>
      </c>
      <c r="Q388" s="53">
        <f>MID(P388,5,2)</f>
        <v/>
      </c>
      <c r="R388" s="53">
        <f>MID(P388,7,2)</f>
        <v/>
      </c>
      <c r="S388" s="3" t="inlineStr">
        <is>
          <t>G2G</t>
        </is>
      </c>
      <c r="T388" s="3" t="inlineStr">
        <is>
          <t>P4</t>
        </is>
      </c>
      <c r="U388" s="3" t="inlineStr">
        <is>
          <t>P JB Cold Soldering</t>
        </is>
      </c>
      <c r="V388" s="3" t="inlineStr">
        <is>
          <t>Soldering</t>
        </is>
      </c>
      <c r="W388" s="3" t="inlineStr">
        <is>
          <t>Repair</t>
        </is>
      </c>
      <c r="X388" s="18" t="n">
        <v>46148</v>
      </c>
      <c r="Y388" s="3">
        <f>X388-A388</f>
        <v/>
      </c>
      <c r="Z388" s="18" t="n">
        <v>46148</v>
      </c>
      <c r="AA388" s="15" t="n"/>
      <c r="AB388" s="15" t="n"/>
    </row>
    <row r="389" hidden="1" s="233">
      <c r="A389" s="6" t="n">
        <v>46107</v>
      </c>
      <c r="B389" s="3" t="n">
        <v>2026</v>
      </c>
      <c r="C389" s="3" t="inlineStr">
        <is>
          <t>Blupine</t>
        </is>
      </c>
      <c r="D389" s="3" t="inlineStr">
        <is>
          <t>Utility and C&amp;I</t>
        </is>
      </c>
      <c r="E389" s="3" t="n"/>
      <c r="F389" s="3" t="inlineStr">
        <is>
          <t>Closed</t>
        </is>
      </c>
      <c r="G389" s="3" t="inlineStr">
        <is>
          <t>Chandrashekar Patidar</t>
        </is>
      </c>
      <c r="H389" s="3" t="n">
        <v>7879764773</v>
      </c>
      <c r="I389" s="11" t="inlineStr">
        <is>
          <t>PE26032601</t>
        </is>
      </c>
      <c r="J389" s="3" t="inlineStr">
        <is>
          <t>Module Diode Failure</t>
        </is>
      </c>
      <c r="K389" s="3" t="inlineStr">
        <is>
          <t>Sadla</t>
        </is>
      </c>
      <c r="L389" s="3" t="inlineStr">
        <is>
          <t>Gujarat</t>
        </is>
      </c>
      <c r="M389" s="9" t="inlineStr">
        <is>
          <t>NS</t>
        </is>
      </c>
      <c r="N389" s="3" t="inlineStr">
        <is>
          <t>Cold Soldering</t>
        </is>
      </c>
      <c r="O389" s="3" t="n">
        <v>570</v>
      </c>
      <c r="P389" s="9" t="inlineStr">
        <is>
          <t>NSMI24060107466</t>
        </is>
      </c>
      <c r="Q389" s="53">
        <f>MID(P389,5,2)</f>
        <v/>
      </c>
      <c r="R389" s="53">
        <f>MID(P389,7,2)</f>
        <v/>
      </c>
      <c r="S389" s="3" t="inlineStr">
        <is>
          <t>G2G</t>
        </is>
      </c>
      <c r="T389" s="3" t="inlineStr">
        <is>
          <t>P4</t>
        </is>
      </c>
      <c r="U389" s="3" t="inlineStr">
        <is>
          <t>N JB Cold Soldering</t>
        </is>
      </c>
      <c r="V389" s="3" t="inlineStr">
        <is>
          <t>Soldering</t>
        </is>
      </c>
      <c r="W389" s="3" t="inlineStr">
        <is>
          <t>Repair</t>
        </is>
      </c>
      <c r="X389" s="18" t="n">
        <v>46148</v>
      </c>
      <c r="Y389" s="3">
        <f>X389-A389</f>
        <v/>
      </c>
      <c r="Z389" s="18" t="n">
        <v>46148</v>
      </c>
      <c r="AA389" s="15" t="n"/>
      <c r="AB389" s="15" t="n"/>
    </row>
    <row r="390" hidden="1" s="233">
      <c r="A390" s="6" t="n">
        <v>46107</v>
      </c>
      <c r="B390" s="3" t="n">
        <v>2026</v>
      </c>
      <c r="C390" s="3" t="inlineStr">
        <is>
          <t>Blupine</t>
        </is>
      </c>
      <c r="D390" s="3" t="inlineStr">
        <is>
          <t>Utility and C&amp;I</t>
        </is>
      </c>
      <c r="E390" s="3" t="n"/>
      <c r="F390" s="3" t="inlineStr">
        <is>
          <t>Closed</t>
        </is>
      </c>
      <c r="G390" s="3" t="inlineStr">
        <is>
          <t>Chandrashekar Patidar</t>
        </is>
      </c>
      <c r="H390" s="3" t="n">
        <v>7879764773</v>
      </c>
      <c r="I390" s="11" t="inlineStr">
        <is>
          <t>PE26032601</t>
        </is>
      </c>
      <c r="J390" s="3" t="inlineStr">
        <is>
          <t>Module Diode Failure</t>
        </is>
      </c>
      <c r="K390" s="3" t="inlineStr">
        <is>
          <t>Sadla</t>
        </is>
      </c>
      <c r="L390" s="3" t="inlineStr">
        <is>
          <t>Gujarat</t>
        </is>
      </c>
      <c r="M390" s="9" t="inlineStr">
        <is>
          <t>PS</t>
        </is>
      </c>
      <c r="N390" s="3" t="inlineStr">
        <is>
          <t>Cold Soldering</t>
        </is>
      </c>
      <c r="O390" s="3" t="n">
        <v>570</v>
      </c>
      <c r="P390" s="9" t="inlineStr">
        <is>
          <t>NSMI24060106110</t>
        </is>
      </c>
      <c r="Q390" s="53">
        <f>MID(P390,5,2)</f>
        <v/>
      </c>
      <c r="R390" s="53">
        <f>MID(P390,7,2)</f>
        <v/>
      </c>
      <c r="S390" s="3" t="inlineStr">
        <is>
          <t>G2G</t>
        </is>
      </c>
      <c r="T390" s="3" t="inlineStr">
        <is>
          <t>P4</t>
        </is>
      </c>
      <c r="U390" s="3" t="inlineStr">
        <is>
          <t>P JB Cold Soldering</t>
        </is>
      </c>
      <c r="V390" s="3" t="inlineStr">
        <is>
          <t>Soldering</t>
        </is>
      </c>
      <c r="W390" s="3" t="inlineStr">
        <is>
          <t>Repair</t>
        </is>
      </c>
      <c r="X390" s="18" t="n">
        <v>46148</v>
      </c>
      <c r="Y390" s="3">
        <f>X390-A390</f>
        <v/>
      </c>
      <c r="Z390" s="18" t="n">
        <v>46148</v>
      </c>
      <c r="AA390" s="15" t="n"/>
      <c r="AB390" s="15" t="n"/>
    </row>
    <row r="391" hidden="1" s="233">
      <c r="A391" s="6" t="n">
        <v>46107</v>
      </c>
      <c r="B391" s="3" t="n">
        <v>2026</v>
      </c>
      <c r="C391" s="3" t="inlineStr">
        <is>
          <t>Blupine</t>
        </is>
      </c>
      <c r="D391" s="3" t="inlineStr">
        <is>
          <t>Utility and C&amp;I</t>
        </is>
      </c>
      <c r="E391" s="3" t="n"/>
      <c r="F391" s="3" t="inlineStr">
        <is>
          <t>Closed</t>
        </is>
      </c>
      <c r="G391" s="3" t="inlineStr">
        <is>
          <t>Chandrashekar Patidar</t>
        </is>
      </c>
      <c r="H391" s="3" t="n">
        <v>7879764773</v>
      </c>
      <c r="I391" s="11" t="inlineStr">
        <is>
          <t>PE26032601</t>
        </is>
      </c>
      <c r="J391" s="3" t="inlineStr">
        <is>
          <t>Module Diode Failure</t>
        </is>
      </c>
      <c r="K391" s="3" t="inlineStr">
        <is>
          <t>Sadla</t>
        </is>
      </c>
      <c r="L391" s="3" t="inlineStr">
        <is>
          <t>Gujarat</t>
        </is>
      </c>
      <c r="M391" s="9" t="inlineStr">
        <is>
          <t>NS</t>
        </is>
      </c>
      <c r="N391" s="3" t="inlineStr">
        <is>
          <t>Cold Soldering</t>
        </is>
      </c>
      <c r="O391" s="3" t="n">
        <v>570</v>
      </c>
      <c r="P391" s="9" t="inlineStr">
        <is>
          <t>NSMI24060128392</t>
        </is>
      </c>
      <c r="Q391" s="53">
        <f>MID(P391,5,2)</f>
        <v/>
      </c>
      <c r="R391" s="53">
        <f>MID(P391,7,2)</f>
        <v/>
      </c>
      <c r="S391" s="3" t="inlineStr">
        <is>
          <t>G2G</t>
        </is>
      </c>
      <c r="T391" s="3" t="inlineStr">
        <is>
          <t>P4</t>
        </is>
      </c>
      <c r="U391" s="3" t="inlineStr">
        <is>
          <t>N JB Cold Soldering</t>
        </is>
      </c>
      <c r="V391" s="3" t="inlineStr">
        <is>
          <t>Soldering</t>
        </is>
      </c>
      <c r="W391" s="3" t="inlineStr">
        <is>
          <t>Repair</t>
        </is>
      </c>
      <c r="X391" s="18" t="n">
        <v>46148</v>
      </c>
      <c r="Y391" s="3">
        <f>X391-A391</f>
        <v/>
      </c>
      <c r="Z391" s="18" t="n">
        <v>46148</v>
      </c>
      <c r="AA391" s="15" t="n"/>
      <c r="AB391" s="15" t="n"/>
    </row>
    <row r="392" hidden="1" s="233">
      <c r="A392" s="6" t="n">
        <v>46107</v>
      </c>
      <c r="B392" s="3" t="n">
        <v>2026</v>
      </c>
      <c r="C392" s="3" t="inlineStr">
        <is>
          <t>Blupine</t>
        </is>
      </c>
      <c r="D392" s="3" t="inlineStr">
        <is>
          <t>Utility and C&amp;I</t>
        </is>
      </c>
      <c r="E392" s="3" t="n"/>
      <c r="F392" s="3" t="inlineStr">
        <is>
          <t>Closed</t>
        </is>
      </c>
      <c r="G392" s="3" t="inlineStr">
        <is>
          <t>Chandrashekar Patidar</t>
        </is>
      </c>
      <c r="H392" s="3" t="n">
        <v>7879764773</v>
      </c>
      <c r="I392" s="11" t="inlineStr">
        <is>
          <t>PE26032601</t>
        </is>
      </c>
      <c r="J392" s="3" t="inlineStr">
        <is>
          <t>Module Diode Failure</t>
        </is>
      </c>
      <c r="K392" s="3" t="inlineStr">
        <is>
          <t>Sadla</t>
        </is>
      </c>
      <c r="L392" s="3" t="inlineStr">
        <is>
          <t>Gujarat</t>
        </is>
      </c>
      <c r="M392" s="9" t="inlineStr">
        <is>
          <t>PS</t>
        </is>
      </c>
      <c r="N392" s="3" t="inlineStr">
        <is>
          <t>Cold Soldering</t>
        </is>
      </c>
      <c r="O392" s="3" t="n">
        <v>570</v>
      </c>
      <c r="P392" s="9" t="inlineStr">
        <is>
          <t>NSMI24060134355</t>
        </is>
      </c>
      <c r="Q392" s="53">
        <f>MID(P392,5,2)</f>
        <v/>
      </c>
      <c r="R392" s="53">
        <f>MID(P392,7,2)</f>
        <v/>
      </c>
      <c r="S392" s="3" t="inlineStr">
        <is>
          <t>G2G</t>
        </is>
      </c>
      <c r="T392" s="3" t="inlineStr">
        <is>
          <t>P4</t>
        </is>
      </c>
      <c r="U392" s="3" t="inlineStr">
        <is>
          <t>P JB Cold Soldering</t>
        </is>
      </c>
      <c r="V392" s="3" t="inlineStr">
        <is>
          <t>Soldering</t>
        </is>
      </c>
      <c r="W392" s="3" t="inlineStr">
        <is>
          <t>Repair</t>
        </is>
      </c>
      <c r="X392" s="18" t="n">
        <v>46148</v>
      </c>
      <c r="Y392" s="3">
        <f>X392-A392</f>
        <v/>
      </c>
      <c r="Z392" s="18" t="n">
        <v>46148</v>
      </c>
      <c r="AA392" s="15" t="n"/>
      <c r="AB392" s="15" t="n"/>
    </row>
    <row r="393" hidden="1" s="233">
      <c r="A393" s="6" t="n">
        <v>46107</v>
      </c>
      <c r="B393" s="3" t="n">
        <v>2026</v>
      </c>
      <c r="C393" s="3" t="inlineStr">
        <is>
          <t>Blupine</t>
        </is>
      </c>
      <c r="D393" s="3" t="inlineStr">
        <is>
          <t>Utility and C&amp;I</t>
        </is>
      </c>
      <c r="E393" s="3" t="n"/>
      <c r="F393" s="3" t="inlineStr">
        <is>
          <t>Closed</t>
        </is>
      </c>
      <c r="G393" s="3" t="inlineStr">
        <is>
          <t>Chandrashekar Patidar</t>
        </is>
      </c>
      <c r="H393" s="3" t="n">
        <v>7879764773</v>
      </c>
      <c r="I393" s="11" t="inlineStr">
        <is>
          <t>PE26032601</t>
        </is>
      </c>
      <c r="J393" s="3" t="inlineStr">
        <is>
          <t>Module Diode Failure</t>
        </is>
      </c>
      <c r="K393" s="3" t="inlineStr">
        <is>
          <t>Sadla</t>
        </is>
      </c>
      <c r="L393" s="3" t="inlineStr">
        <is>
          <t>Gujarat</t>
        </is>
      </c>
      <c r="M393" s="9" t="inlineStr">
        <is>
          <t>PS</t>
        </is>
      </c>
      <c r="N393" s="3" t="inlineStr">
        <is>
          <t>Cold Soldering</t>
        </is>
      </c>
      <c r="O393" s="3" t="n">
        <v>570</v>
      </c>
      <c r="P393" s="9" t="inlineStr">
        <is>
          <t>NSMI24050058271</t>
        </is>
      </c>
      <c r="Q393" s="53">
        <f>MID(P393,5,2)</f>
        <v/>
      </c>
      <c r="R393" s="53">
        <f>MID(P393,7,2)</f>
        <v/>
      </c>
      <c r="S393" s="3" t="inlineStr">
        <is>
          <t>G2G</t>
        </is>
      </c>
      <c r="T393" s="3" t="inlineStr">
        <is>
          <t>P4</t>
        </is>
      </c>
      <c r="U393" s="3" t="inlineStr">
        <is>
          <t>P JB Cold Soldering</t>
        </is>
      </c>
      <c r="V393" s="3" t="inlineStr">
        <is>
          <t>Soldering</t>
        </is>
      </c>
      <c r="W393" s="3" t="inlineStr">
        <is>
          <t>Repair</t>
        </is>
      </c>
      <c r="X393" s="18" t="n">
        <v>46148</v>
      </c>
      <c r="Y393" s="3">
        <f>X393-A393</f>
        <v/>
      </c>
      <c r="Z393" s="18" t="n">
        <v>46148</v>
      </c>
      <c r="AA393" s="15" t="n"/>
      <c r="AB393" s="15" t="n"/>
    </row>
    <row r="394" hidden="1" s="233">
      <c r="A394" s="6" t="n">
        <v>46107</v>
      </c>
      <c r="B394" s="3" t="n">
        <v>2026</v>
      </c>
      <c r="C394" s="3" t="inlineStr">
        <is>
          <t>Blupine</t>
        </is>
      </c>
      <c r="D394" s="3" t="inlineStr">
        <is>
          <t>Utility and C&amp;I</t>
        </is>
      </c>
      <c r="E394" s="3" t="n"/>
      <c r="F394" s="3" t="inlineStr">
        <is>
          <t>Closed</t>
        </is>
      </c>
      <c r="G394" s="3" t="inlineStr">
        <is>
          <t>Chandrashekar Patidar</t>
        </is>
      </c>
      <c r="H394" s="3" t="n">
        <v>7879764773</v>
      </c>
      <c r="I394" s="11" t="inlineStr">
        <is>
          <t>PE26032601</t>
        </is>
      </c>
      <c r="J394" s="3" t="inlineStr">
        <is>
          <t>Module Diode Failure</t>
        </is>
      </c>
      <c r="K394" s="3" t="inlineStr">
        <is>
          <t>Sadla</t>
        </is>
      </c>
      <c r="L394" s="3" t="inlineStr">
        <is>
          <t>Gujarat</t>
        </is>
      </c>
      <c r="M394" s="9" t="inlineStr">
        <is>
          <t>NS</t>
        </is>
      </c>
      <c r="N394" s="3" t="inlineStr">
        <is>
          <t>Cold Soldering</t>
        </is>
      </c>
      <c r="O394" s="3" t="n">
        <v>570</v>
      </c>
      <c r="P394" s="9" t="inlineStr">
        <is>
          <t>NSMI24050049007</t>
        </is>
      </c>
      <c r="Q394" s="53">
        <f>MID(P394,5,2)</f>
        <v/>
      </c>
      <c r="R394" s="53">
        <f>MID(P394,7,2)</f>
        <v/>
      </c>
      <c r="S394" s="3" t="inlineStr">
        <is>
          <t>G2G</t>
        </is>
      </c>
      <c r="T394" s="3" t="inlineStr">
        <is>
          <t>P4</t>
        </is>
      </c>
      <c r="U394" s="3" t="inlineStr">
        <is>
          <t>N JB Cold Soldering</t>
        </is>
      </c>
      <c r="V394" s="3" t="inlineStr">
        <is>
          <t>Soldering</t>
        </is>
      </c>
      <c r="W394" s="3" t="inlineStr">
        <is>
          <t>Repair</t>
        </is>
      </c>
      <c r="X394" s="18" t="n">
        <v>46148</v>
      </c>
      <c r="Y394" s="3">
        <f>X394-A394</f>
        <v/>
      </c>
      <c r="Z394" s="18" t="n">
        <v>46148</v>
      </c>
      <c r="AA394" s="15" t="n"/>
      <c r="AB394" s="15" t="n"/>
    </row>
    <row r="395" hidden="1" s="233">
      <c r="A395" s="6" t="n">
        <v>46107</v>
      </c>
      <c r="B395" s="3" t="n">
        <v>2026</v>
      </c>
      <c r="C395" s="3" t="inlineStr">
        <is>
          <t>Blupine</t>
        </is>
      </c>
      <c r="D395" s="3" t="inlineStr">
        <is>
          <t>Utility and C&amp;I</t>
        </is>
      </c>
      <c r="E395" s="3" t="n"/>
      <c r="F395" s="3" t="inlineStr">
        <is>
          <t>Closed</t>
        </is>
      </c>
      <c r="G395" s="3" t="inlineStr">
        <is>
          <t>Chandrashekar Patidar</t>
        </is>
      </c>
      <c r="H395" s="3" t="n">
        <v>7879764773</v>
      </c>
      <c r="I395" s="11" t="inlineStr">
        <is>
          <t>PE26032601</t>
        </is>
      </c>
      <c r="J395" s="3" t="inlineStr">
        <is>
          <t>Module Diode Failure</t>
        </is>
      </c>
      <c r="K395" s="3" t="inlineStr">
        <is>
          <t>Sadla</t>
        </is>
      </c>
      <c r="L395" s="3" t="inlineStr">
        <is>
          <t>Gujarat</t>
        </is>
      </c>
      <c r="M395" s="9" t="inlineStr">
        <is>
          <t>NS</t>
        </is>
      </c>
      <c r="N395" s="3" t="inlineStr">
        <is>
          <t>Cold Soldering</t>
        </is>
      </c>
      <c r="O395" s="3" t="n">
        <v>570</v>
      </c>
      <c r="P395" s="9" t="inlineStr">
        <is>
          <t>NSMI24050048994</t>
        </is>
      </c>
      <c r="Q395" s="53">
        <f>MID(P395,5,2)</f>
        <v/>
      </c>
      <c r="R395" s="53">
        <f>MID(P395,7,2)</f>
        <v/>
      </c>
      <c r="S395" s="3" t="inlineStr">
        <is>
          <t>G2G</t>
        </is>
      </c>
      <c r="T395" s="3" t="inlineStr">
        <is>
          <t>P4</t>
        </is>
      </c>
      <c r="U395" s="3" t="inlineStr">
        <is>
          <t>N JB Cold Soldering</t>
        </is>
      </c>
      <c r="V395" s="3" t="inlineStr">
        <is>
          <t>Soldering</t>
        </is>
      </c>
      <c r="W395" s="3" t="inlineStr">
        <is>
          <t>Repair</t>
        </is>
      </c>
      <c r="X395" s="18" t="n">
        <v>46148</v>
      </c>
      <c r="Y395" s="3">
        <f>X395-A395</f>
        <v/>
      </c>
      <c r="Z395" s="18" t="n">
        <v>46148</v>
      </c>
      <c r="AA395" s="15" t="n"/>
      <c r="AB395" s="15" t="n"/>
    </row>
    <row r="396" hidden="1" s="233">
      <c r="A396" s="6" t="n">
        <v>46107</v>
      </c>
      <c r="B396" s="3" t="n">
        <v>2026</v>
      </c>
      <c r="C396" s="3" t="inlineStr">
        <is>
          <t>Blupine</t>
        </is>
      </c>
      <c r="D396" s="3" t="inlineStr">
        <is>
          <t>Utility and C&amp;I</t>
        </is>
      </c>
      <c r="E396" s="3" t="n"/>
      <c r="F396" s="3" t="inlineStr">
        <is>
          <t>Closed</t>
        </is>
      </c>
      <c r="G396" s="3" t="inlineStr">
        <is>
          <t>Chandrashekar Patidar</t>
        </is>
      </c>
      <c r="H396" s="3" t="n">
        <v>7879764773</v>
      </c>
      <c r="I396" s="11" t="inlineStr">
        <is>
          <t>PE26032601</t>
        </is>
      </c>
      <c r="J396" s="3" t="inlineStr">
        <is>
          <t>Module Diode Failure</t>
        </is>
      </c>
      <c r="K396" s="3" t="inlineStr">
        <is>
          <t>Sadla</t>
        </is>
      </c>
      <c r="L396" s="3" t="inlineStr">
        <is>
          <t>Gujarat</t>
        </is>
      </c>
      <c r="M396" s="9" t="inlineStr">
        <is>
          <t>NS</t>
        </is>
      </c>
      <c r="N396" s="3" t="inlineStr">
        <is>
          <t>Cold Soldering</t>
        </is>
      </c>
      <c r="O396" s="3" t="n">
        <v>570</v>
      </c>
      <c r="P396" s="9" t="inlineStr">
        <is>
          <t>NSMI24050048702</t>
        </is>
      </c>
      <c r="Q396" s="53">
        <f>MID(P396,5,2)</f>
        <v/>
      </c>
      <c r="R396" s="53">
        <f>MID(P396,7,2)</f>
        <v/>
      </c>
      <c r="S396" s="3" t="inlineStr">
        <is>
          <t>G2G</t>
        </is>
      </c>
      <c r="T396" s="3" t="inlineStr">
        <is>
          <t>P4</t>
        </is>
      </c>
      <c r="U396" s="3" t="inlineStr">
        <is>
          <t>N JB Cold Soldering</t>
        </is>
      </c>
      <c r="V396" s="3" t="inlineStr">
        <is>
          <t>Soldering</t>
        </is>
      </c>
      <c r="W396" s="3" t="inlineStr">
        <is>
          <t>Repair</t>
        </is>
      </c>
      <c r="X396" s="18" t="n">
        <v>46148</v>
      </c>
      <c r="Y396" s="3">
        <f>X396-A396</f>
        <v/>
      </c>
      <c r="Z396" s="18" t="n">
        <v>46148</v>
      </c>
      <c r="AA396" s="15" t="n"/>
      <c r="AB396" s="15" t="n"/>
    </row>
    <row r="397" hidden="1" s="233">
      <c r="A397" s="6" t="n">
        <v>46107</v>
      </c>
      <c r="B397" s="3" t="n">
        <v>2026</v>
      </c>
      <c r="C397" s="3" t="inlineStr">
        <is>
          <t>Blupine</t>
        </is>
      </c>
      <c r="D397" s="3" t="inlineStr">
        <is>
          <t>Utility and C&amp;I</t>
        </is>
      </c>
      <c r="E397" s="3" t="n"/>
      <c r="F397" s="3" t="inlineStr">
        <is>
          <t>Closed</t>
        </is>
      </c>
      <c r="G397" s="3" t="inlineStr">
        <is>
          <t>Chandrashekar Patidar</t>
        </is>
      </c>
      <c r="H397" s="3" t="n">
        <v>7879764773</v>
      </c>
      <c r="I397" s="11" t="inlineStr">
        <is>
          <t>PE26032601</t>
        </is>
      </c>
      <c r="J397" s="3" t="inlineStr">
        <is>
          <t>Module Diode Failure</t>
        </is>
      </c>
      <c r="K397" s="3" t="inlineStr">
        <is>
          <t>Sadla</t>
        </is>
      </c>
      <c r="L397" s="3" t="inlineStr">
        <is>
          <t>Gujarat</t>
        </is>
      </c>
      <c r="M397" s="9" t="inlineStr">
        <is>
          <t>PS</t>
        </is>
      </c>
      <c r="N397" s="3" t="inlineStr">
        <is>
          <t>Cold Soldering</t>
        </is>
      </c>
      <c r="O397" s="3" t="n">
        <v>570</v>
      </c>
      <c r="P397" s="9" t="inlineStr">
        <is>
          <t>NSMI24060107164</t>
        </is>
      </c>
      <c r="Q397" s="53">
        <f>MID(P397,5,2)</f>
        <v/>
      </c>
      <c r="R397" s="53">
        <f>MID(P397,7,2)</f>
        <v/>
      </c>
      <c r="S397" s="3" t="inlineStr">
        <is>
          <t>G2G</t>
        </is>
      </c>
      <c r="T397" s="3" t="inlineStr">
        <is>
          <t>P4</t>
        </is>
      </c>
      <c r="U397" s="3" t="inlineStr">
        <is>
          <t>P JB Cold Soldering</t>
        </is>
      </c>
      <c r="V397" s="3" t="inlineStr">
        <is>
          <t>Soldering</t>
        </is>
      </c>
      <c r="W397" s="3" t="inlineStr">
        <is>
          <t>Repair</t>
        </is>
      </c>
      <c r="X397" s="18" t="n">
        <v>46148</v>
      </c>
      <c r="Y397" s="3">
        <f>X397-A397</f>
        <v/>
      </c>
      <c r="Z397" s="18" t="n">
        <v>46148</v>
      </c>
      <c r="AA397" s="15" t="n"/>
      <c r="AB397" s="15" t="n"/>
    </row>
    <row r="398" hidden="1" s="233">
      <c r="A398" s="6" t="n">
        <v>46107</v>
      </c>
      <c r="B398" s="3" t="n">
        <v>2026</v>
      </c>
      <c r="C398" s="3" t="inlineStr">
        <is>
          <t>Blupine</t>
        </is>
      </c>
      <c r="D398" s="3" t="inlineStr">
        <is>
          <t>Utility and C&amp;I</t>
        </is>
      </c>
      <c r="E398" s="3" t="n"/>
      <c r="F398" s="3" t="inlineStr">
        <is>
          <t>Closed</t>
        </is>
      </c>
      <c r="G398" s="3" t="inlineStr">
        <is>
          <t>Chandrashekar Patidar</t>
        </is>
      </c>
      <c r="H398" s="3" t="n">
        <v>7879764773</v>
      </c>
      <c r="I398" s="11" t="inlineStr">
        <is>
          <t>PE26032601</t>
        </is>
      </c>
      <c r="J398" s="3" t="inlineStr">
        <is>
          <t>Module Diode Failure</t>
        </is>
      </c>
      <c r="K398" s="3" t="inlineStr">
        <is>
          <t>Sadla</t>
        </is>
      </c>
      <c r="L398" s="3" t="inlineStr">
        <is>
          <t>Gujarat</t>
        </is>
      </c>
      <c r="M398" s="9" t="inlineStr">
        <is>
          <t>NS</t>
        </is>
      </c>
      <c r="N398" s="3" t="inlineStr">
        <is>
          <t>Cold Soldering</t>
        </is>
      </c>
      <c r="O398" s="3" t="n">
        <v>570</v>
      </c>
      <c r="P398" s="9" t="inlineStr">
        <is>
          <t>NSMI24060091410</t>
        </is>
      </c>
      <c r="Q398" s="53">
        <f>MID(P398,5,2)</f>
        <v/>
      </c>
      <c r="R398" s="53">
        <f>MID(P398,7,2)</f>
        <v/>
      </c>
      <c r="S398" s="3" t="inlineStr">
        <is>
          <t>G2G</t>
        </is>
      </c>
      <c r="T398" s="3" t="inlineStr">
        <is>
          <t>P4</t>
        </is>
      </c>
      <c r="U398" s="3" t="inlineStr">
        <is>
          <t>N JB Cold Soldering</t>
        </is>
      </c>
      <c r="V398" s="3" t="inlineStr">
        <is>
          <t>Soldering</t>
        </is>
      </c>
      <c r="W398" s="3" t="inlineStr">
        <is>
          <t>Repair</t>
        </is>
      </c>
      <c r="X398" s="18" t="n">
        <v>46148</v>
      </c>
      <c r="Y398" s="3">
        <f>X398-A398</f>
        <v/>
      </c>
      <c r="Z398" s="18" t="n">
        <v>46148</v>
      </c>
      <c r="AA398" s="15" t="n"/>
      <c r="AB398" s="15" t="n"/>
    </row>
    <row r="399" hidden="1" s="233">
      <c r="A399" s="6" t="n">
        <v>46107</v>
      </c>
      <c r="B399" s="3" t="n">
        <v>2026</v>
      </c>
      <c r="C399" s="3" t="inlineStr">
        <is>
          <t>Blupine</t>
        </is>
      </c>
      <c r="D399" s="3" t="inlineStr">
        <is>
          <t>Utility and C&amp;I</t>
        </is>
      </c>
      <c r="E399" s="3" t="n"/>
      <c r="F399" s="3" t="inlineStr">
        <is>
          <t>Closed</t>
        </is>
      </c>
      <c r="G399" s="3" t="inlineStr">
        <is>
          <t>Chandrashekar Patidar</t>
        </is>
      </c>
      <c r="H399" s="3" t="n">
        <v>7879764773</v>
      </c>
      <c r="I399" s="11" t="inlineStr">
        <is>
          <t>PE26032601</t>
        </is>
      </c>
      <c r="J399" s="3" t="inlineStr">
        <is>
          <t>Module Diode Failure</t>
        </is>
      </c>
      <c r="K399" s="3" t="inlineStr">
        <is>
          <t>Sadla</t>
        </is>
      </c>
      <c r="L399" s="3" t="inlineStr">
        <is>
          <t>Gujarat</t>
        </is>
      </c>
      <c r="M399" s="9" t="inlineStr">
        <is>
          <t>NS</t>
        </is>
      </c>
      <c r="N399" s="3" t="inlineStr">
        <is>
          <t>Cold Soldering</t>
        </is>
      </c>
      <c r="O399" s="3" t="n">
        <v>570</v>
      </c>
      <c r="P399" s="9" t="inlineStr">
        <is>
          <t>NSMI24060106541</t>
        </is>
      </c>
      <c r="Q399" s="53">
        <f>MID(P399,5,2)</f>
        <v/>
      </c>
      <c r="R399" s="53">
        <f>MID(P399,7,2)</f>
        <v/>
      </c>
      <c r="S399" s="3" t="inlineStr">
        <is>
          <t>G2G</t>
        </is>
      </c>
      <c r="T399" s="3" t="inlineStr">
        <is>
          <t>P4</t>
        </is>
      </c>
      <c r="U399" s="3" t="inlineStr">
        <is>
          <t>N JB Cold Soldering</t>
        </is>
      </c>
      <c r="V399" s="3" t="inlineStr">
        <is>
          <t>Soldering</t>
        </is>
      </c>
      <c r="W399" s="3" t="inlineStr">
        <is>
          <t>Repair</t>
        </is>
      </c>
      <c r="X399" s="18" t="n">
        <v>46148</v>
      </c>
      <c r="Y399" s="3">
        <f>X399-A399</f>
        <v/>
      </c>
      <c r="Z399" s="18" t="n">
        <v>46148</v>
      </c>
      <c r="AA399" s="15" t="n"/>
      <c r="AB399" s="15" t="n"/>
    </row>
    <row r="400" hidden="1" s="233">
      <c r="A400" s="6" t="n">
        <v>46107</v>
      </c>
      <c r="B400" s="3" t="n">
        <v>2026</v>
      </c>
      <c r="C400" s="3" t="inlineStr">
        <is>
          <t>Blupine</t>
        </is>
      </c>
      <c r="D400" s="3" t="inlineStr">
        <is>
          <t>Utility and C&amp;I</t>
        </is>
      </c>
      <c r="E400" s="3" t="n"/>
      <c r="F400" s="3" t="inlineStr">
        <is>
          <t>Closed</t>
        </is>
      </c>
      <c r="G400" s="3" t="inlineStr">
        <is>
          <t>Chandrashekar Patidar</t>
        </is>
      </c>
      <c r="H400" s="3" t="n">
        <v>7879764773</v>
      </c>
      <c r="I400" s="11" t="inlineStr">
        <is>
          <t>PE26032601</t>
        </is>
      </c>
      <c r="J400" s="3" t="inlineStr">
        <is>
          <t>Module Diode Failure</t>
        </is>
      </c>
      <c r="K400" s="3" t="inlineStr">
        <is>
          <t>Sadla</t>
        </is>
      </c>
      <c r="L400" s="3" t="inlineStr">
        <is>
          <t>Gujarat</t>
        </is>
      </c>
      <c r="M400" s="9" t="inlineStr">
        <is>
          <t>NS</t>
        </is>
      </c>
      <c r="N400" s="3" t="inlineStr">
        <is>
          <t>Cold Soldering</t>
        </is>
      </c>
      <c r="O400" s="3" t="n">
        <v>570</v>
      </c>
      <c r="P400" s="9" t="inlineStr">
        <is>
          <t>NSMI24050050543</t>
        </is>
      </c>
      <c r="Q400" s="53">
        <f>MID(P400,5,2)</f>
        <v/>
      </c>
      <c r="R400" s="53">
        <f>MID(P400,7,2)</f>
        <v/>
      </c>
      <c r="S400" s="3" t="inlineStr">
        <is>
          <t>G2G</t>
        </is>
      </c>
      <c r="T400" s="3" t="inlineStr">
        <is>
          <t>P4</t>
        </is>
      </c>
      <c r="U400" s="3" t="inlineStr">
        <is>
          <t>N JB Cold Soldering</t>
        </is>
      </c>
      <c r="V400" s="3" t="inlineStr">
        <is>
          <t>Soldering</t>
        </is>
      </c>
      <c r="W400" s="3" t="inlineStr">
        <is>
          <t>Repair</t>
        </is>
      </c>
      <c r="X400" s="18" t="n">
        <v>46148</v>
      </c>
      <c r="Y400" s="3">
        <f>X400-A400</f>
        <v/>
      </c>
      <c r="Z400" s="18" t="n">
        <v>46148</v>
      </c>
      <c r="AA400" s="15" t="n"/>
      <c r="AB400" s="15" t="n"/>
    </row>
    <row r="401" hidden="1" s="233">
      <c r="A401" s="6" t="n">
        <v>46107</v>
      </c>
      <c r="B401" s="3" t="n">
        <v>2026</v>
      </c>
      <c r="C401" s="3" t="inlineStr">
        <is>
          <t>Blupine</t>
        </is>
      </c>
      <c r="D401" s="3" t="inlineStr">
        <is>
          <t>Utility and C&amp;I</t>
        </is>
      </c>
      <c r="E401" s="3" t="n"/>
      <c r="F401" s="3" t="inlineStr">
        <is>
          <t>Closed</t>
        </is>
      </c>
      <c r="G401" s="3" t="inlineStr">
        <is>
          <t>Chandrashekar Patidar</t>
        </is>
      </c>
      <c r="H401" s="3" t="n">
        <v>7879764773</v>
      </c>
      <c r="I401" s="11" t="inlineStr">
        <is>
          <t>PE26032601</t>
        </is>
      </c>
      <c r="J401" s="3" t="inlineStr">
        <is>
          <t>Module Diode Failure</t>
        </is>
      </c>
      <c r="K401" s="3" t="inlineStr">
        <is>
          <t>Sadla</t>
        </is>
      </c>
      <c r="L401" s="3" t="inlineStr">
        <is>
          <t>Gujarat</t>
        </is>
      </c>
      <c r="M401" s="9" t="inlineStr">
        <is>
          <t>NS</t>
        </is>
      </c>
      <c r="N401" s="3" t="inlineStr">
        <is>
          <t>Cold Soldering</t>
        </is>
      </c>
      <c r="O401" s="3" t="n">
        <v>570</v>
      </c>
      <c r="P401" s="9" t="inlineStr">
        <is>
          <t>NSMI24050050532</t>
        </is>
      </c>
      <c r="Q401" s="53">
        <f>MID(P401,5,2)</f>
        <v/>
      </c>
      <c r="R401" s="53">
        <f>MID(P401,7,2)</f>
        <v/>
      </c>
      <c r="S401" s="3" t="inlineStr">
        <is>
          <t>G2G</t>
        </is>
      </c>
      <c r="T401" s="3" t="inlineStr">
        <is>
          <t>P4</t>
        </is>
      </c>
      <c r="U401" s="3" t="inlineStr">
        <is>
          <t>N JB Cold Soldering</t>
        </is>
      </c>
      <c r="V401" s="3" t="inlineStr">
        <is>
          <t>Soldering</t>
        </is>
      </c>
      <c r="W401" s="3" t="inlineStr">
        <is>
          <t>Repair</t>
        </is>
      </c>
      <c r="X401" s="18" t="n">
        <v>46148</v>
      </c>
      <c r="Y401" s="3">
        <f>X401-A401</f>
        <v/>
      </c>
      <c r="Z401" s="18" t="n">
        <v>46148</v>
      </c>
      <c r="AA401" s="15" t="n"/>
      <c r="AB401" s="15" t="n"/>
    </row>
    <row r="402" hidden="1" s="233">
      <c r="A402" s="6" t="n">
        <v>46107</v>
      </c>
      <c r="B402" s="3" t="n">
        <v>2026</v>
      </c>
      <c r="C402" s="3" t="inlineStr">
        <is>
          <t>Blupine</t>
        </is>
      </c>
      <c r="D402" s="3" t="inlineStr">
        <is>
          <t>Utility and C&amp;I</t>
        </is>
      </c>
      <c r="E402" s="3" t="n"/>
      <c r="F402" s="3" t="inlineStr">
        <is>
          <t>Closed</t>
        </is>
      </c>
      <c r="G402" s="3" t="inlineStr">
        <is>
          <t>Chandrashekar Patidar</t>
        </is>
      </c>
      <c r="H402" s="3" t="n">
        <v>7879764773</v>
      </c>
      <c r="I402" s="11" t="inlineStr">
        <is>
          <t>PE26032601</t>
        </is>
      </c>
      <c r="J402" s="3" t="inlineStr">
        <is>
          <t>Module Diode Failure</t>
        </is>
      </c>
      <c r="K402" s="3" t="inlineStr">
        <is>
          <t>Sadla</t>
        </is>
      </c>
      <c r="L402" s="3" t="inlineStr">
        <is>
          <t>Gujarat</t>
        </is>
      </c>
      <c r="M402" s="9" t="inlineStr">
        <is>
          <t>NS</t>
        </is>
      </c>
      <c r="N402" s="3" t="inlineStr">
        <is>
          <t>Cold Soldering</t>
        </is>
      </c>
      <c r="O402" s="3" t="n">
        <v>570</v>
      </c>
      <c r="P402" s="9" t="inlineStr">
        <is>
          <t>NSMI24060107825</t>
        </is>
      </c>
      <c r="Q402" s="53">
        <f>MID(P402,5,2)</f>
        <v/>
      </c>
      <c r="R402" s="53">
        <f>MID(P402,7,2)</f>
        <v/>
      </c>
      <c r="S402" s="3" t="inlineStr">
        <is>
          <t>G2G</t>
        </is>
      </c>
      <c r="T402" s="3" t="inlineStr">
        <is>
          <t>P4</t>
        </is>
      </c>
      <c r="U402" s="3" t="inlineStr">
        <is>
          <t>N JB Cold Soldering</t>
        </is>
      </c>
      <c r="V402" s="3" t="inlineStr">
        <is>
          <t>Soldering</t>
        </is>
      </c>
      <c r="W402" s="3" t="inlineStr">
        <is>
          <t>Repair</t>
        </is>
      </c>
      <c r="X402" s="18" t="n">
        <v>46148</v>
      </c>
      <c r="Y402" s="3">
        <f>X402-A402</f>
        <v/>
      </c>
      <c r="Z402" s="18" t="n">
        <v>46148</v>
      </c>
      <c r="AA402" s="15" t="n"/>
      <c r="AB402" s="15" t="n"/>
    </row>
    <row r="403" hidden="1" s="233">
      <c r="A403" s="6" t="n">
        <v>46107</v>
      </c>
      <c r="B403" s="3" t="n">
        <v>2026</v>
      </c>
      <c r="C403" s="3" t="inlineStr">
        <is>
          <t>Blupine</t>
        </is>
      </c>
      <c r="D403" s="3" t="inlineStr">
        <is>
          <t>Utility and C&amp;I</t>
        </is>
      </c>
      <c r="E403" s="3" t="n"/>
      <c r="F403" s="3" t="inlineStr">
        <is>
          <t>Closed</t>
        </is>
      </c>
      <c r="G403" s="3" t="inlineStr">
        <is>
          <t>Chandrashekar Patidar</t>
        </is>
      </c>
      <c r="H403" s="3" t="n">
        <v>7879764773</v>
      </c>
      <c r="I403" s="11" t="inlineStr">
        <is>
          <t>PE26032601</t>
        </is>
      </c>
      <c r="J403" s="3" t="inlineStr">
        <is>
          <t>Module Diode Failure</t>
        </is>
      </c>
      <c r="K403" s="3" t="inlineStr">
        <is>
          <t>Sadla</t>
        </is>
      </c>
      <c r="L403" s="3" t="inlineStr">
        <is>
          <t>Gujarat</t>
        </is>
      </c>
      <c r="M403" s="9" t="inlineStr">
        <is>
          <t>NR</t>
        </is>
      </c>
      <c r="N403" s="3" t="inlineStr">
        <is>
          <t>JB Issue</t>
        </is>
      </c>
      <c r="O403" s="3" t="n">
        <v>570</v>
      </c>
      <c r="P403" s="9" t="inlineStr">
        <is>
          <t>NSMI24060111140</t>
        </is>
      </c>
      <c r="Q403" s="53">
        <f>MID(P403,5,2)</f>
        <v/>
      </c>
      <c r="R403" s="53">
        <f>MID(P403,7,2)</f>
        <v/>
      </c>
      <c r="S403" s="3" t="inlineStr">
        <is>
          <t>G2G</t>
        </is>
      </c>
      <c r="T403" s="3" t="inlineStr">
        <is>
          <t>P4</t>
        </is>
      </c>
      <c r="U403" s="3" t="inlineStr">
        <is>
          <t>N JB Issue</t>
        </is>
      </c>
      <c r="V403" s="3" t="inlineStr">
        <is>
          <t>JB Changed</t>
        </is>
      </c>
      <c r="W403" s="3" t="inlineStr">
        <is>
          <t>Repair</t>
        </is>
      </c>
      <c r="X403" s="18" t="n">
        <v>46148</v>
      </c>
      <c r="Y403" s="3">
        <f>X403-A403</f>
        <v/>
      </c>
      <c r="Z403" s="18" t="n">
        <v>46148</v>
      </c>
      <c r="AA403" s="15" t="n"/>
      <c r="AB403" s="15" t="n"/>
    </row>
    <row r="404" hidden="1" s="233">
      <c r="A404" s="6" t="n">
        <v>46107</v>
      </c>
      <c r="B404" s="3" t="n">
        <v>2026</v>
      </c>
      <c r="C404" s="3" t="inlineStr">
        <is>
          <t>Blupine</t>
        </is>
      </c>
      <c r="D404" s="3" t="inlineStr">
        <is>
          <t>Utility and C&amp;I</t>
        </is>
      </c>
      <c r="E404" s="3" t="n"/>
      <c r="F404" s="3" t="inlineStr">
        <is>
          <t>Closed</t>
        </is>
      </c>
      <c r="G404" s="3" t="inlineStr">
        <is>
          <t>Chandrashekar Patidar</t>
        </is>
      </c>
      <c r="H404" s="3" t="n">
        <v>7879764773</v>
      </c>
      <c r="I404" s="11" t="inlineStr">
        <is>
          <t>PE26032601</t>
        </is>
      </c>
      <c r="J404" s="3" t="inlineStr">
        <is>
          <t>Module Diode Failure</t>
        </is>
      </c>
      <c r="K404" s="3" t="inlineStr">
        <is>
          <t>Sadla</t>
        </is>
      </c>
      <c r="L404" s="3" t="inlineStr">
        <is>
          <t>Gujarat</t>
        </is>
      </c>
      <c r="M404" s="9" t="inlineStr">
        <is>
          <t>NS</t>
        </is>
      </c>
      <c r="N404" s="3" t="inlineStr">
        <is>
          <t>Cold Soldering</t>
        </is>
      </c>
      <c r="O404" s="3" t="n">
        <v>570</v>
      </c>
      <c r="P404" s="9" t="inlineStr">
        <is>
          <t>NSMI24060111131</t>
        </is>
      </c>
      <c r="Q404" s="53">
        <f>MID(P404,5,2)</f>
        <v/>
      </c>
      <c r="R404" s="53">
        <f>MID(P404,7,2)</f>
        <v/>
      </c>
      <c r="S404" s="3" t="inlineStr">
        <is>
          <t>G2G</t>
        </is>
      </c>
      <c r="T404" s="3" t="inlineStr">
        <is>
          <t>P4</t>
        </is>
      </c>
      <c r="U404" s="3" t="inlineStr">
        <is>
          <t>N JB Cold Soldering</t>
        </is>
      </c>
      <c r="V404" s="3" t="inlineStr">
        <is>
          <t>Soldering</t>
        </is>
      </c>
      <c r="W404" s="3" t="inlineStr">
        <is>
          <t>Repair</t>
        </is>
      </c>
      <c r="X404" s="18" t="n">
        <v>46148</v>
      </c>
      <c r="Y404" s="3">
        <f>X404-A404</f>
        <v/>
      </c>
      <c r="Z404" s="18" t="n">
        <v>46148</v>
      </c>
      <c r="AA404" s="15" t="n"/>
      <c r="AB404" s="15" t="n"/>
    </row>
    <row r="405" hidden="1" s="233">
      <c r="A405" s="6" t="n">
        <v>46107</v>
      </c>
      <c r="B405" s="3" t="n">
        <v>2026</v>
      </c>
      <c r="C405" s="3" t="inlineStr">
        <is>
          <t>Blupine</t>
        </is>
      </c>
      <c r="D405" s="3" t="inlineStr">
        <is>
          <t>Utility and C&amp;I</t>
        </is>
      </c>
      <c r="E405" s="3" t="n"/>
      <c r="F405" s="3" t="inlineStr">
        <is>
          <t>Closed</t>
        </is>
      </c>
      <c r="G405" s="3" t="inlineStr">
        <is>
          <t>Chandrashekar Patidar</t>
        </is>
      </c>
      <c r="H405" s="3" t="n">
        <v>7879764773</v>
      </c>
      <c r="I405" s="11" t="inlineStr">
        <is>
          <t>PE26032601</t>
        </is>
      </c>
      <c r="J405" s="3" t="inlineStr">
        <is>
          <t>Module Diode Failure</t>
        </is>
      </c>
      <c r="K405" s="3" t="inlineStr">
        <is>
          <t>Sadla</t>
        </is>
      </c>
      <c r="L405" s="3" t="inlineStr">
        <is>
          <t>Gujarat</t>
        </is>
      </c>
      <c r="M405" s="9" t="inlineStr">
        <is>
          <t>PS</t>
        </is>
      </c>
      <c r="N405" s="3" t="inlineStr">
        <is>
          <t>Cold Soldering</t>
        </is>
      </c>
      <c r="O405" s="3" t="n">
        <v>570</v>
      </c>
      <c r="P405" s="9" t="inlineStr">
        <is>
          <t>NSMI24060107574</t>
        </is>
      </c>
      <c r="Q405" s="53">
        <f>MID(P405,5,2)</f>
        <v/>
      </c>
      <c r="R405" s="53">
        <f>MID(P405,7,2)</f>
        <v/>
      </c>
      <c r="S405" s="3" t="inlineStr">
        <is>
          <t>G2G</t>
        </is>
      </c>
      <c r="T405" s="3" t="inlineStr">
        <is>
          <t>P4</t>
        </is>
      </c>
      <c r="U405" s="3" t="inlineStr">
        <is>
          <t>P JB Cold Soldering</t>
        </is>
      </c>
      <c r="V405" s="3" t="inlineStr">
        <is>
          <t>Soldering</t>
        </is>
      </c>
      <c r="W405" s="3" t="inlineStr">
        <is>
          <t>Repair</t>
        </is>
      </c>
      <c r="X405" s="18" t="n">
        <v>46148</v>
      </c>
      <c r="Y405" s="3">
        <f>X405-A405</f>
        <v/>
      </c>
      <c r="Z405" s="18" t="n">
        <v>46148</v>
      </c>
      <c r="AA405" s="15" t="n"/>
      <c r="AB405" s="15" t="n"/>
    </row>
    <row r="406" hidden="1" s="233">
      <c r="A406" s="6" t="n">
        <v>46107</v>
      </c>
      <c r="B406" s="3" t="n">
        <v>2026</v>
      </c>
      <c r="C406" s="3" t="inlineStr">
        <is>
          <t>Blupine</t>
        </is>
      </c>
      <c r="D406" s="3" t="inlineStr">
        <is>
          <t>Utility and C&amp;I</t>
        </is>
      </c>
      <c r="E406" s="3" t="n"/>
      <c r="F406" s="3" t="inlineStr">
        <is>
          <t>Closed</t>
        </is>
      </c>
      <c r="G406" s="3" t="inlineStr">
        <is>
          <t>Chandrashekar Patidar</t>
        </is>
      </c>
      <c r="H406" s="3" t="n">
        <v>7879764773</v>
      </c>
      <c r="I406" s="11" t="inlineStr">
        <is>
          <t>PE26032601</t>
        </is>
      </c>
      <c r="J406" s="3" t="inlineStr">
        <is>
          <t>Module Diode Failure</t>
        </is>
      </c>
      <c r="K406" s="3" t="inlineStr">
        <is>
          <t>Sadla</t>
        </is>
      </c>
      <c r="L406" s="3" t="inlineStr">
        <is>
          <t>Gujarat</t>
        </is>
      </c>
      <c r="M406" s="9" t="inlineStr">
        <is>
          <t>PS</t>
        </is>
      </c>
      <c r="N406" s="3" t="inlineStr">
        <is>
          <t>Cold Soldering</t>
        </is>
      </c>
      <c r="O406" s="3" t="n">
        <v>570</v>
      </c>
      <c r="P406" s="9" t="inlineStr">
        <is>
          <t>NSMI24060118579</t>
        </is>
      </c>
      <c r="Q406" s="53">
        <f>MID(P406,5,2)</f>
        <v/>
      </c>
      <c r="R406" s="53">
        <f>MID(P406,7,2)</f>
        <v/>
      </c>
      <c r="S406" s="3" t="inlineStr">
        <is>
          <t>G2G</t>
        </is>
      </c>
      <c r="T406" s="3" t="inlineStr">
        <is>
          <t>P4</t>
        </is>
      </c>
      <c r="U406" s="3" t="inlineStr">
        <is>
          <t>P JB Cold Soldering</t>
        </is>
      </c>
      <c r="V406" s="3" t="inlineStr">
        <is>
          <t>Soldering</t>
        </is>
      </c>
      <c r="W406" s="3" t="inlineStr">
        <is>
          <t>Repair</t>
        </is>
      </c>
      <c r="X406" s="18" t="n">
        <v>46148</v>
      </c>
      <c r="Y406" s="3">
        <f>X406-A406</f>
        <v/>
      </c>
      <c r="Z406" s="18" t="n">
        <v>46148</v>
      </c>
      <c r="AA406" s="15" t="n"/>
      <c r="AB406" s="15" t="n"/>
    </row>
    <row r="407" hidden="1" s="233">
      <c r="A407" s="6" t="n">
        <v>46107</v>
      </c>
      <c r="B407" s="3" t="n">
        <v>2026</v>
      </c>
      <c r="C407" s="3" t="inlineStr">
        <is>
          <t>Blupine</t>
        </is>
      </c>
      <c r="D407" s="3" t="inlineStr">
        <is>
          <t>Utility and C&amp;I</t>
        </is>
      </c>
      <c r="E407" s="3" t="n"/>
      <c r="F407" s="3" t="inlineStr">
        <is>
          <t>Closed</t>
        </is>
      </c>
      <c r="G407" s="3" t="inlineStr">
        <is>
          <t>Chandrashekar Patidar</t>
        </is>
      </c>
      <c r="H407" s="3" t="n">
        <v>7879764773</v>
      </c>
      <c r="I407" s="11" t="inlineStr">
        <is>
          <t>PE26032601</t>
        </is>
      </c>
      <c r="J407" s="3" t="inlineStr">
        <is>
          <t>Module Diode Failure</t>
        </is>
      </c>
      <c r="K407" s="3" t="inlineStr">
        <is>
          <t>Sadla</t>
        </is>
      </c>
      <c r="L407" s="3" t="inlineStr">
        <is>
          <t>Gujarat</t>
        </is>
      </c>
      <c r="M407" s="9" t="inlineStr">
        <is>
          <t>NS</t>
        </is>
      </c>
      <c r="N407" s="3" t="inlineStr">
        <is>
          <t>Cold Soldering</t>
        </is>
      </c>
      <c r="O407" s="3" t="n">
        <v>570</v>
      </c>
      <c r="P407" s="9" t="inlineStr">
        <is>
          <t>NSMI24060118538</t>
        </is>
      </c>
      <c r="Q407" s="53">
        <f>MID(P407,5,2)</f>
        <v/>
      </c>
      <c r="R407" s="53">
        <f>MID(P407,7,2)</f>
        <v/>
      </c>
      <c r="S407" s="3" t="inlineStr">
        <is>
          <t>G2G</t>
        </is>
      </c>
      <c r="T407" s="3" t="inlineStr">
        <is>
          <t>P4</t>
        </is>
      </c>
      <c r="U407" s="3" t="inlineStr">
        <is>
          <t>N JB Cold Soldering</t>
        </is>
      </c>
      <c r="V407" s="3" t="inlineStr">
        <is>
          <t>Soldering</t>
        </is>
      </c>
      <c r="W407" s="3" t="inlineStr">
        <is>
          <t>Repair</t>
        </is>
      </c>
      <c r="X407" s="18" t="n">
        <v>46148</v>
      </c>
      <c r="Y407" s="3">
        <f>X407-A407</f>
        <v/>
      </c>
      <c r="Z407" s="18" t="n">
        <v>46148</v>
      </c>
      <c r="AA407" s="15" t="n"/>
      <c r="AB407" s="15" t="n"/>
    </row>
    <row r="408" hidden="1" s="233">
      <c r="A408" s="6" t="n">
        <v>46107</v>
      </c>
      <c r="B408" s="3" t="n">
        <v>2026</v>
      </c>
      <c r="C408" s="3" t="inlineStr">
        <is>
          <t>Blupine</t>
        </is>
      </c>
      <c r="D408" s="3" t="inlineStr">
        <is>
          <t>Utility and C&amp;I</t>
        </is>
      </c>
      <c r="E408" s="3" t="n"/>
      <c r="F408" s="3" t="inlineStr">
        <is>
          <t>Closed</t>
        </is>
      </c>
      <c r="G408" s="3" t="inlineStr">
        <is>
          <t>Chandrashekar Patidar</t>
        </is>
      </c>
      <c r="H408" s="3" t="n">
        <v>7879764773</v>
      </c>
      <c r="I408" s="11" t="inlineStr">
        <is>
          <t>PE26032601</t>
        </is>
      </c>
      <c r="J408" s="3" t="inlineStr">
        <is>
          <t>Module Diode Failure</t>
        </is>
      </c>
      <c r="K408" s="3" t="inlineStr">
        <is>
          <t>Sadla</t>
        </is>
      </c>
      <c r="L408" s="3" t="inlineStr">
        <is>
          <t>Gujarat</t>
        </is>
      </c>
      <c r="M408" s="9" t="inlineStr">
        <is>
          <t>NS</t>
        </is>
      </c>
      <c r="N408" s="3" t="inlineStr">
        <is>
          <t>Cold Soldering</t>
        </is>
      </c>
      <c r="O408" s="3" t="n">
        <v>570</v>
      </c>
      <c r="P408" s="9" t="inlineStr">
        <is>
          <t>NSMI24050045721</t>
        </is>
      </c>
      <c r="Q408" s="53">
        <f>MID(P408,5,2)</f>
        <v/>
      </c>
      <c r="R408" s="53">
        <f>MID(P408,7,2)</f>
        <v/>
      </c>
      <c r="S408" s="3" t="inlineStr">
        <is>
          <t>G2G</t>
        </is>
      </c>
      <c r="T408" s="3" t="inlineStr">
        <is>
          <t>P4</t>
        </is>
      </c>
      <c r="U408" s="3" t="inlineStr">
        <is>
          <t>N JB Cold Soldering</t>
        </is>
      </c>
      <c r="V408" s="3" t="inlineStr">
        <is>
          <t>Soldering</t>
        </is>
      </c>
      <c r="W408" s="3" t="inlineStr">
        <is>
          <t>Repair</t>
        </is>
      </c>
      <c r="X408" s="18" t="n">
        <v>46148</v>
      </c>
      <c r="Y408" s="3">
        <f>X408-A408</f>
        <v/>
      </c>
      <c r="Z408" s="18" t="n">
        <v>46148</v>
      </c>
      <c r="AA408" s="15" t="n"/>
      <c r="AB408" s="15" t="n"/>
    </row>
    <row r="409" hidden="1" s="233">
      <c r="A409" s="6" t="n">
        <v>46107</v>
      </c>
      <c r="B409" s="3" t="n">
        <v>2026</v>
      </c>
      <c r="C409" s="3" t="inlineStr">
        <is>
          <t>Blupine</t>
        </is>
      </c>
      <c r="D409" s="3" t="inlineStr">
        <is>
          <t>Utility and C&amp;I</t>
        </is>
      </c>
      <c r="E409" s="3" t="n"/>
      <c r="F409" s="3" t="inlineStr">
        <is>
          <t>Closed</t>
        </is>
      </c>
      <c r="G409" s="3" t="inlineStr">
        <is>
          <t>Chandrashekar Patidar</t>
        </is>
      </c>
      <c r="H409" s="3" t="n">
        <v>7879764773</v>
      </c>
      <c r="I409" s="11" t="inlineStr">
        <is>
          <t>PE26032601</t>
        </is>
      </c>
      <c r="J409" s="3" t="inlineStr">
        <is>
          <t>Module Diode Failure</t>
        </is>
      </c>
      <c r="K409" s="3" t="inlineStr">
        <is>
          <t>Sadla</t>
        </is>
      </c>
      <c r="L409" s="3" t="inlineStr">
        <is>
          <t>Gujarat</t>
        </is>
      </c>
      <c r="M409" s="9" t="inlineStr">
        <is>
          <t>NS</t>
        </is>
      </c>
      <c r="N409" s="3" t="inlineStr">
        <is>
          <t>Cold Soldering</t>
        </is>
      </c>
      <c r="O409" s="3" t="n">
        <v>570</v>
      </c>
      <c r="P409" s="9" t="inlineStr">
        <is>
          <t>NSMI24050045663</t>
        </is>
      </c>
      <c r="Q409" s="53">
        <f>MID(P409,5,2)</f>
        <v/>
      </c>
      <c r="R409" s="53">
        <f>MID(P409,7,2)</f>
        <v/>
      </c>
      <c r="S409" s="3" t="inlineStr">
        <is>
          <t>G2G</t>
        </is>
      </c>
      <c r="T409" s="3" t="inlineStr">
        <is>
          <t>P4</t>
        </is>
      </c>
      <c r="U409" s="3" t="inlineStr">
        <is>
          <t>N JB Cold Soldering</t>
        </is>
      </c>
      <c r="V409" s="3" t="inlineStr">
        <is>
          <t>Soldering</t>
        </is>
      </c>
      <c r="W409" s="3" t="inlineStr">
        <is>
          <t>Repair</t>
        </is>
      </c>
      <c r="X409" s="18" t="n">
        <v>46148</v>
      </c>
      <c r="Y409" s="3">
        <f>X409-A409</f>
        <v/>
      </c>
      <c r="Z409" s="18" t="n">
        <v>46148</v>
      </c>
      <c r="AA409" s="15" t="n"/>
      <c r="AB409" s="15" t="n"/>
    </row>
    <row r="410" hidden="1" s="233">
      <c r="A410" s="6" t="n">
        <v>46107</v>
      </c>
      <c r="B410" s="3" t="n">
        <v>2026</v>
      </c>
      <c r="C410" s="3" t="inlineStr">
        <is>
          <t>Blupine</t>
        </is>
      </c>
      <c r="D410" s="3" t="inlineStr">
        <is>
          <t>Utility and C&amp;I</t>
        </is>
      </c>
      <c r="E410" s="3" t="n"/>
      <c r="F410" s="3" t="inlineStr">
        <is>
          <t>Closed</t>
        </is>
      </c>
      <c r="G410" s="3" t="inlineStr">
        <is>
          <t>Chandrashekar Patidar</t>
        </is>
      </c>
      <c r="H410" s="3" t="n">
        <v>7879764773</v>
      </c>
      <c r="I410" s="11" t="inlineStr">
        <is>
          <t>PE26032601</t>
        </is>
      </c>
      <c r="J410" s="3" t="inlineStr">
        <is>
          <t>Module Diode Failure</t>
        </is>
      </c>
      <c r="K410" s="3" t="inlineStr">
        <is>
          <t>Sadla</t>
        </is>
      </c>
      <c r="L410" s="3" t="inlineStr">
        <is>
          <t>Gujarat</t>
        </is>
      </c>
      <c r="M410" s="9" t="inlineStr">
        <is>
          <t>NS</t>
        </is>
      </c>
      <c r="N410" s="3" t="inlineStr">
        <is>
          <t>Cold Soldering</t>
        </is>
      </c>
      <c r="O410" s="3" t="n">
        <v>570</v>
      </c>
      <c r="P410" s="9" t="inlineStr">
        <is>
          <t>NSMI24050045654</t>
        </is>
      </c>
      <c r="Q410" s="53">
        <f>MID(P410,5,2)</f>
        <v/>
      </c>
      <c r="R410" s="53">
        <f>MID(P410,7,2)</f>
        <v/>
      </c>
      <c r="S410" s="3" t="inlineStr">
        <is>
          <t>G2G</t>
        </is>
      </c>
      <c r="T410" s="3" t="inlineStr">
        <is>
          <t>P4</t>
        </is>
      </c>
      <c r="U410" s="3" t="inlineStr">
        <is>
          <t>N JB Cold Soldering</t>
        </is>
      </c>
      <c r="V410" s="3" t="inlineStr">
        <is>
          <t>Soldering</t>
        </is>
      </c>
      <c r="W410" s="3" t="inlineStr">
        <is>
          <t>Repair</t>
        </is>
      </c>
      <c r="X410" s="18" t="n">
        <v>46148</v>
      </c>
      <c r="Y410" s="3">
        <f>X410-A410</f>
        <v/>
      </c>
      <c r="Z410" s="18" t="n">
        <v>46148</v>
      </c>
      <c r="AA410" s="15" t="n"/>
      <c r="AB410" s="15" t="n"/>
    </row>
    <row r="411" hidden="1" s="233">
      <c r="A411" s="6" t="n">
        <v>46107</v>
      </c>
      <c r="B411" s="3" t="n">
        <v>2026</v>
      </c>
      <c r="C411" s="3" t="inlineStr">
        <is>
          <t>Blupine</t>
        </is>
      </c>
      <c r="D411" s="3" t="inlineStr">
        <is>
          <t>Utility and C&amp;I</t>
        </is>
      </c>
      <c r="E411" s="3" t="n"/>
      <c r="F411" s="3" t="inlineStr">
        <is>
          <t>Closed</t>
        </is>
      </c>
      <c r="G411" s="3" t="inlineStr">
        <is>
          <t>Chandrashekar Patidar</t>
        </is>
      </c>
      <c r="H411" s="3" t="n">
        <v>7879764773</v>
      </c>
      <c r="I411" s="11" t="inlineStr">
        <is>
          <t>PE26032601</t>
        </is>
      </c>
      <c r="J411" s="3" t="inlineStr">
        <is>
          <t>Module Diode Failure</t>
        </is>
      </c>
      <c r="K411" s="3" t="inlineStr">
        <is>
          <t>Sadla</t>
        </is>
      </c>
      <c r="L411" s="3" t="inlineStr">
        <is>
          <t>Gujarat</t>
        </is>
      </c>
      <c r="M411" s="9" t="inlineStr">
        <is>
          <t>NS</t>
        </is>
      </c>
      <c r="N411" s="3" t="inlineStr">
        <is>
          <t>Cold Soldering</t>
        </is>
      </c>
      <c r="O411" s="3" t="n">
        <v>570</v>
      </c>
      <c r="P411" s="9" t="inlineStr">
        <is>
          <t>NSMI24050045667</t>
        </is>
      </c>
      <c r="Q411" s="53">
        <f>MID(P411,5,2)</f>
        <v/>
      </c>
      <c r="R411" s="53">
        <f>MID(P411,7,2)</f>
        <v/>
      </c>
      <c r="S411" s="3" t="inlineStr">
        <is>
          <t>G2G</t>
        </is>
      </c>
      <c r="T411" s="3" t="inlineStr">
        <is>
          <t>P4</t>
        </is>
      </c>
      <c r="U411" s="3" t="inlineStr">
        <is>
          <t>N JB Cold Soldering</t>
        </is>
      </c>
      <c r="V411" s="3" t="inlineStr">
        <is>
          <t>Soldering</t>
        </is>
      </c>
      <c r="W411" s="3" t="inlineStr">
        <is>
          <t>Repair</t>
        </is>
      </c>
      <c r="X411" s="18" t="n">
        <v>46148</v>
      </c>
      <c r="Y411" s="3">
        <f>X411-A411</f>
        <v/>
      </c>
      <c r="Z411" s="18" t="n">
        <v>46148</v>
      </c>
      <c r="AA411" s="15" t="n"/>
      <c r="AB411" s="15" t="n"/>
    </row>
    <row r="412" hidden="1" s="233">
      <c r="A412" s="6" t="n">
        <v>46107</v>
      </c>
      <c r="B412" s="3" t="n">
        <v>2026</v>
      </c>
      <c r="C412" s="3" t="inlineStr">
        <is>
          <t>Blupine</t>
        </is>
      </c>
      <c r="D412" s="3" t="inlineStr">
        <is>
          <t>Utility and C&amp;I</t>
        </is>
      </c>
      <c r="E412" s="3" t="n"/>
      <c r="F412" s="3" t="inlineStr">
        <is>
          <t>Closed</t>
        </is>
      </c>
      <c r="G412" s="3" t="inlineStr">
        <is>
          <t>Chandrashekar Patidar</t>
        </is>
      </c>
      <c r="H412" s="3" t="n">
        <v>7879764773</v>
      </c>
      <c r="I412" s="11" t="inlineStr">
        <is>
          <t>PE26032601</t>
        </is>
      </c>
      <c r="J412" s="3" t="inlineStr">
        <is>
          <t>Module Diode Failure</t>
        </is>
      </c>
      <c r="K412" s="3" t="inlineStr">
        <is>
          <t>Sadla</t>
        </is>
      </c>
      <c r="L412" s="3" t="inlineStr">
        <is>
          <t>Gujarat</t>
        </is>
      </c>
      <c r="M412" s="9" t="inlineStr">
        <is>
          <t>NS</t>
        </is>
      </c>
      <c r="N412" s="3" t="inlineStr">
        <is>
          <t>Cold Soldering</t>
        </is>
      </c>
      <c r="O412" s="3" t="n">
        <v>570</v>
      </c>
      <c r="P412" s="9" t="inlineStr">
        <is>
          <t>NSMI24050045659</t>
        </is>
      </c>
      <c r="Q412" s="53">
        <f>MID(P412,5,2)</f>
        <v/>
      </c>
      <c r="R412" s="53">
        <f>MID(P412,7,2)</f>
        <v/>
      </c>
      <c r="S412" s="3" t="inlineStr">
        <is>
          <t>G2G</t>
        </is>
      </c>
      <c r="T412" s="3" t="inlineStr">
        <is>
          <t>P4</t>
        </is>
      </c>
      <c r="U412" s="3" t="inlineStr">
        <is>
          <t>N JB Cold Soldering</t>
        </is>
      </c>
      <c r="V412" s="3" t="inlineStr">
        <is>
          <t>Soldering</t>
        </is>
      </c>
      <c r="W412" s="3" t="inlineStr">
        <is>
          <t>Repair</t>
        </is>
      </c>
      <c r="X412" s="18" t="n">
        <v>46148</v>
      </c>
      <c r="Y412" s="3">
        <f>X412-A412</f>
        <v/>
      </c>
      <c r="Z412" s="18" t="n">
        <v>46148</v>
      </c>
      <c r="AA412" s="15" t="n"/>
      <c r="AB412" s="15" t="n"/>
    </row>
    <row r="413" hidden="1" s="233">
      <c r="A413" s="6" t="n">
        <v>46107</v>
      </c>
      <c r="B413" s="3" t="n">
        <v>2026</v>
      </c>
      <c r="C413" s="3" t="inlineStr">
        <is>
          <t>Blupine</t>
        </is>
      </c>
      <c r="D413" s="3" t="inlineStr">
        <is>
          <t>Utility and C&amp;I</t>
        </is>
      </c>
      <c r="E413" s="3" t="n"/>
      <c r="F413" s="3" t="inlineStr">
        <is>
          <t>Closed</t>
        </is>
      </c>
      <c r="G413" s="3" t="inlineStr">
        <is>
          <t>Chandrashekar Patidar</t>
        </is>
      </c>
      <c r="H413" s="3" t="n">
        <v>7879764773</v>
      </c>
      <c r="I413" s="11" t="inlineStr">
        <is>
          <t>PE26032601</t>
        </is>
      </c>
      <c r="J413" s="3" t="inlineStr">
        <is>
          <t>Module Diode Failure</t>
        </is>
      </c>
      <c r="K413" s="3" t="inlineStr">
        <is>
          <t>Sadla</t>
        </is>
      </c>
      <c r="L413" s="3" t="inlineStr">
        <is>
          <t>Gujarat</t>
        </is>
      </c>
      <c r="M413" s="9" t="inlineStr">
        <is>
          <t>NS</t>
        </is>
      </c>
      <c r="N413" s="3" t="inlineStr">
        <is>
          <t>Cold Soldering</t>
        </is>
      </c>
      <c r="O413" s="3" t="n">
        <v>570</v>
      </c>
      <c r="P413" s="9" t="inlineStr">
        <is>
          <t>NSMI24050045683</t>
        </is>
      </c>
      <c r="Q413" s="53">
        <f>MID(P413,5,2)</f>
        <v/>
      </c>
      <c r="R413" s="53">
        <f>MID(P413,7,2)</f>
        <v/>
      </c>
      <c r="S413" s="3" t="inlineStr">
        <is>
          <t>G2G</t>
        </is>
      </c>
      <c r="T413" s="3" t="inlineStr">
        <is>
          <t>P4</t>
        </is>
      </c>
      <c r="U413" s="3" t="inlineStr">
        <is>
          <t>N JB Cold Soldering</t>
        </is>
      </c>
      <c r="V413" s="3" t="inlineStr">
        <is>
          <t>Soldering</t>
        </is>
      </c>
      <c r="W413" s="3" t="inlineStr">
        <is>
          <t>Repair</t>
        </is>
      </c>
      <c r="X413" s="18" t="n">
        <v>46148</v>
      </c>
      <c r="Y413" s="3">
        <f>X413-A413</f>
        <v/>
      </c>
      <c r="Z413" s="18" t="n">
        <v>46148</v>
      </c>
      <c r="AA413" s="15" t="n"/>
      <c r="AB413" s="15" t="n"/>
    </row>
    <row r="414" hidden="1" s="233">
      <c r="A414" s="6" t="n">
        <v>46107</v>
      </c>
      <c r="B414" s="3" t="n">
        <v>2026</v>
      </c>
      <c r="C414" s="3" t="inlineStr">
        <is>
          <t>Blupine</t>
        </is>
      </c>
      <c r="D414" s="3" t="inlineStr">
        <is>
          <t>Utility and C&amp;I</t>
        </is>
      </c>
      <c r="E414" s="3" t="n"/>
      <c r="F414" s="3" t="inlineStr">
        <is>
          <t>Closed</t>
        </is>
      </c>
      <c r="G414" s="3" t="inlineStr">
        <is>
          <t>Chandrashekar Patidar</t>
        </is>
      </c>
      <c r="H414" s="3" t="n">
        <v>7879764773</v>
      </c>
      <c r="I414" s="11" t="inlineStr">
        <is>
          <t>PE26032601</t>
        </is>
      </c>
      <c r="J414" s="3" t="inlineStr">
        <is>
          <t>Module Diode Failure</t>
        </is>
      </c>
      <c r="K414" s="3" t="inlineStr">
        <is>
          <t>Sadla</t>
        </is>
      </c>
      <c r="L414" s="3" t="inlineStr">
        <is>
          <t>Gujarat</t>
        </is>
      </c>
      <c r="M414" s="9" t="inlineStr">
        <is>
          <t>NS</t>
        </is>
      </c>
      <c r="N414" s="3" t="inlineStr">
        <is>
          <t>Cold Soldering</t>
        </is>
      </c>
      <c r="O414" s="3" t="n">
        <v>570</v>
      </c>
      <c r="P414" s="9" t="inlineStr">
        <is>
          <t>NSMI24050045649</t>
        </is>
      </c>
      <c r="Q414" s="53">
        <f>MID(P414,5,2)</f>
        <v/>
      </c>
      <c r="R414" s="53">
        <f>MID(P414,7,2)</f>
        <v/>
      </c>
      <c r="S414" s="3" t="inlineStr">
        <is>
          <t>G2G</t>
        </is>
      </c>
      <c r="T414" s="3" t="inlineStr">
        <is>
          <t>P4</t>
        </is>
      </c>
      <c r="U414" s="3" t="inlineStr">
        <is>
          <t>N JB Cold Soldering</t>
        </is>
      </c>
      <c r="V414" s="3" t="inlineStr">
        <is>
          <t>Soldering</t>
        </is>
      </c>
      <c r="W414" s="3" t="inlineStr">
        <is>
          <t>Repair</t>
        </is>
      </c>
      <c r="X414" s="18" t="n">
        <v>46148</v>
      </c>
      <c r="Y414" s="3">
        <f>X414-A414</f>
        <v/>
      </c>
      <c r="Z414" s="18" t="n">
        <v>46148</v>
      </c>
      <c r="AA414" s="15" t="n"/>
      <c r="AB414" s="15" t="n"/>
    </row>
    <row r="415" hidden="1" s="233">
      <c r="A415" s="6" t="n">
        <v>46107</v>
      </c>
      <c r="B415" s="3" t="n">
        <v>2026</v>
      </c>
      <c r="C415" s="3" t="inlineStr">
        <is>
          <t>Blupine</t>
        </is>
      </c>
      <c r="D415" s="3" t="inlineStr">
        <is>
          <t>Utility and C&amp;I</t>
        </is>
      </c>
      <c r="E415" s="3" t="n"/>
      <c r="F415" s="3" t="inlineStr">
        <is>
          <t>Closed</t>
        </is>
      </c>
      <c r="G415" s="3" t="inlineStr">
        <is>
          <t>Chandrashekar Patidar</t>
        </is>
      </c>
      <c r="H415" s="3" t="n">
        <v>7879764773</v>
      </c>
      <c r="I415" s="11" t="inlineStr">
        <is>
          <t>PE26032601</t>
        </is>
      </c>
      <c r="J415" s="3" t="inlineStr">
        <is>
          <t>Module Diode Failure</t>
        </is>
      </c>
      <c r="K415" s="3" t="inlineStr">
        <is>
          <t>Sadla</t>
        </is>
      </c>
      <c r="L415" s="3" t="inlineStr">
        <is>
          <t>Gujarat</t>
        </is>
      </c>
      <c r="M415" s="9" t="inlineStr">
        <is>
          <t>NS</t>
        </is>
      </c>
      <c r="N415" s="3" t="inlineStr">
        <is>
          <t>Cold Soldering</t>
        </is>
      </c>
      <c r="O415" s="3" t="n">
        <v>570</v>
      </c>
      <c r="P415" s="9" t="inlineStr">
        <is>
          <t>NSMI24050043785</t>
        </is>
      </c>
      <c r="Q415" s="53">
        <f>MID(P415,5,2)</f>
        <v/>
      </c>
      <c r="R415" s="53">
        <f>MID(P415,7,2)</f>
        <v/>
      </c>
      <c r="S415" s="3" t="inlineStr">
        <is>
          <t>G2G</t>
        </is>
      </c>
      <c r="T415" s="3" t="inlineStr">
        <is>
          <t>P4</t>
        </is>
      </c>
      <c r="U415" s="3" t="inlineStr">
        <is>
          <t>N JB Cold Soldering</t>
        </is>
      </c>
      <c r="V415" s="3" t="inlineStr">
        <is>
          <t>Soldering</t>
        </is>
      </c>
      <c r="W415" s="3" t="inlineStr">
        <is>
          <t>Repair</t>
        </is>
      </c>
      <c r="X415" s="18" t="n">
        <v>46148</v>
      </c>
      <c r="Y415" s="3">
        <f>X415-A415</f>
        <v/>
      </c>
      <c r="Z415" s="18" t="n">
        <v>46148</v>
      </c>
      <c r="AA415" s="15" t="n"/>
      <c r="AB415" s="15" t="n"/>
    </row>
    <row r="416" hidden="1" s="233">
      <c r="A416" s="6" t="n">
        <v>46107</v>
      </c>
      <c r="B416" s="3" t="n">
        <v>2026</v>
      </c>
      <c r="C416" s="3" t="inlineStr">
        <is>
          <t>Blupine</t>
        </is>
      </c>
      <c r="D416" s="3" t="inlineStr">
        <is>
          <t>Utility and C&amp;I</t>
        </is>
      </c>
      <c r="E416" s="3" t="n"/>
      <c r="F416" s="3" t="inlineStr">
        <is>
          <t>Closed</t>
        </is>
      </c>
      <c r="G416" s="3" t="inlineStr">
        <is>
          <t>Chandrashekar Patidar</t>
        </is>
      </c>
      <c r="H416" s="3" t="n">
        <v>7879764773</v>
      </c>
      <c r="I416" s="11" t="inlineStr">
        <is>
          <t>PE26032601</t>
        </is>
      </c>
      <c r="J416" s="3" t="inlineStr">
        <is>
          <t>Module Diode Failure</t>
        </is>
      </c>
      <c r="K416" s="3" t="inlineStr">
        <is>
          <t>Sadla</t>
        </is>
      </c>
      <c r="L416" s="3" t="inlineStr">
        <is>
          <t>Gujarat</t>
        </is>
      </c>
      <c r="M416" s="9" t="inlineStr">
        <is>
          <t>NS</t>
        </is>
      </c>
      <c r="N416" s="3" t="inlineStr">
        <is>
          <t>Cold Soldering</t>
        </is>
      </c>
      <c r="O416" s="3" t="n">
        <v>570</v>
      </c>
      <c r="P416" s="9" t="inlineStr">
        <is>
          <t>NSMI24060107175</t>
        </is>
      </c>
      <c r="Q416" s="53">
        <f>MID(P416,5,2)</f>
        <v/>
      </c>
      <c r="R416" s="53">
        <f>MID(P416,7,2)</f>
        <v/>
      </c>
      <c r="S416" s="3" t="inlineStr">
        <is>
          <t>G2G</t>
        </is>
      </c>
      <c r="T416" s="3" t="inlineStr">
        <is>
          <t>P4</t>
        </is>
      </c>
      <c r="U416" s="3" t="inlineStr">
        <is>
          <t>N JB Cold Soldering</t>
        </is>
      </c>
      <c r="V416" s="3" t="inlineStr">
        <is>
          <t>Soldering</t>
        </is>
      </c>
      <c r="W416" s="3" t="inlineStr">
        <is>
          <t>Repair</t>
        </is>
      </c>
      <c r="X416" s="18" t="n">
        <v>46148</v>
      </c>
      <c r="Y416" s="3">
        <f>X416-A416</f>
        <v/>
      </c>
      <c r="Z416" s="18" t="n">
        <v>46148</v>
      </c>
      <c r="AA416" s="15" t="n"/>
      <c r="AB416" s="15" t="n"/>
    </row>
    <row r="417" hidden="1" s="233">
      <c r="A417" s="2" t="n">
        <v>46106</v>
      </c>
      <c r="B417" s="3" t="n">
        <v>2026</v>
      </c>
      <c r="C417" s="3" t="inlineStr">
        <is>
          <t>First Energy</t>
        </is>
      </c>
      <c r="D417" s="3" t="inlineStr">
        <is>
          <t>Utility and C&amp;I</t>
        </is>
      </c>
      <c r="E417" s="3" t="n"/>
      <c r="F417" s="3" t="inlineStr">
        <is>
          <t>WIP</t>
        </is>
      </c>
      <c r="G417" s="3" t="inlineStr">
        <is>
          <t>Mr. Gaurav</t>
        </is>
      </c>
      <c r="H417" s="3" t="n">
        <v>9979185999</v>
      </c>
      <c r="I417" s="11" t="inlineStr">
        <is>
          <t>PE25032601</t>
        </is>
      </c>
      <c r="J417" s="9" t="inlineStr">
        <is>
          <t>Module Defects</t>
        </is>
      </c>
      <c r="K417" s="3" t="inlineStr">
        <is>
          <t>Rajkot</t>
        </is>
      </c>
      <c r="L417" s="3" t="inlineStr">
        <is>
          <t>Gujarat</t>
        </is>
      </c>
      <c r="M417" s="9" t="inlineStr">
        <is>
          <t xml:space="preserve">hotspot found </t>
        </is>
      </c>
      <c r="N417" s="19" t="inlineStr">
        <is>
          <t>Hotspot</t>
        </is>
      </c>
      <c r="O417" s="3" t="n">
        <v>550</v>
      </c>
      <c r="P417" s="9" t="inlineStr">
        <is>
          <t>NSMP2212286195</t>
        </is>
      </c>
      <c r="Q417" s="53">
        <f>MID(P417,5,2)</f>
        <v/>
      </c>
      <c r="R417" s="53">
        <f>MID(P417,7,2)</f>
        <v/>
      </c>
      <c r="S417" s="3" t="inlineStr">
        <is>
          <t>G2TB</t>
        </is>
      </c>
      <c r="T417" s="3" t="inlineStr">
        <is>
          <t>P2</t>
        </is>
      </c>
      <c r="U417" s="9" t="inlineStr">
        <is>
          <t>Multi Cell Hotspot</t>
        </is>
      </c>
      <c r="V417" s="3" t="inlineStr">
        <is>
          <t>Inspection</t>
        </is>
      </c>
      <c r="W417" s="3" t="inlineStr">
        <is>
          <t>WIP</t>
        </is>
      </c>
      <c r="X417" s="5" t="n"/>
      <c r="Y417" s="3">
        <f>X417-A417</f>
        <v/>
      </c>
      <c r="Z417" s="18" t="n">
        <v>46148</v>
      </c>
      <c r="AA417" s="15" t="n"/>
      <c r="AB417" s="15" t="n"/>
    </row>
    <row r="418" hidden="1" s="233">
      <c r="A418" s="2" t="n">
        <v>46106</v>
      </c>
      <c r="B418" s="3" t="n">
        <v>2026</v>
      </c>
      <c r="C418" s="3" t="inlineStr">
        <is>
          <t>First Energy</t>
        </is>
      </c>
      <c r="D418" s="3" t="inlineStr">
        <is>
          <t>Utility and C&amp;I</t>
        </is>
      </c>
      <c r="E418" s="3" t="n"/>
      <c r="F418" s="3" t="inlineStr">
        <is>
          <t>WIP</t>
        </is>
      </c>
      <c r="G418" s="3" t="inlineStr">
        <is>
          <t>Mr. Gaurav</t>
        </is>
      </c>
      <c r="H418" s="3" t="n">
        <v>9979185999</v>
      </c>
      <c r="I418" s="11" t="inlineStr">
        <is>
          <t>PE25032601</t>
        </is>
      </c>
      <c r="J418" s="9" t="inlineStr">
        <is>
          <t>Module Defects</t>
        </is>
      </c>
      <c r="K418" s="3" t="inlineStr">
        <is>
          <t>Rajkot</t>
        </is>
      </c>
      <c r="L418" s="3" t="inlineStr">
        <is>
          <t>Gujarat</t>
        </is>
      </c>
      <c r="M418" s="9" t="inlineStr">
        <is>
          <t xml:space="preserve">hotspot found </t>
        </is>
      </c>
      <c r="N418" s="19" t="inlineStr">
        <is>
          <t>Hotspot</t>
        </is>
      </c>
      <c r="O418" s="3" t="n">
        <v>550</v>
      </c>
      <c r="P418" s="9" t="inlineStr">
        <is>
          <t>NSMP2301308474</t>
        </is>
      </c>
      <c r="Q418" s="53">
        <f>MID(P418,5,2)</f>
        <v/>
      </c>
      <c r="R418" s="53">
        <f>MID(P418,7,2)</f>
        <v/>
      </c>
      <c r="S418" s="3" t="inlineStr">
        <is>
          <t>G2TB</t>
        </is>
      </c>
      <c r="T418" s="3" t="inlineStr">
        <is>
          <t>P2</t>
        </is>
      </c>
      <c r="U418" s="9" t="inlineStr">
        <is>
          <t>Multi Cell Hotspot</t>
        </is>
      </c>
      <c r="V418" s="3" t="inlineStr">
        <is>
          <t>Inspection</t>
        </is>
      </c>
      <c r="W418" s="3" t="inlineStr">
        <is>
          <t>WIP</t>
        </is>
      </c>
      <c r="X418" s="5" t="n"/>
      <c r="Y418" s="3">
        <f>X418-A418</f>
        <v/>
      </c>
      <c r="Z418" s="18" t="n">
        <v>46148</v>
      </c>
      <c r="AA418" s="15" t="n"/>
      <c r="AB418" s="15" t="n"/>
    </row>
    <row r="419" hidden="1" s="233">
      <c r="A419" s="2" t="n">
        <v>46106</v>
      </c>
      <c r="B419" s="3" t="n">
        <v>2026</v>
      </c>
      <c r="C419" s="3" t="inlineStr">
        <is>
          <t>First Energy</t>
        </is>
      </c>
      <c r="D419" s="3" t="inlineStr">
        <is>
          <t>Utility and C&amp;I</t>
        </is>
      </c>
      <c r="E419" s="3" t="n"/>
      <c r="F419" s="3" t="inlineStr">
        <is>
          <t>WIP</t>
        </is>
      </c>
      <c r="G419" s="3" t="inlineStr">
        <is>
          <t>Mr. Gaurav</t>
        </is>
      </c>
      <c r="H419" s="3" t="n">
        <v>9979185999</v>
      </c>
      <c r="I419" s="11" t="inlineStr">
        <is>
          <t>PE25032601</t>
        </is>
      </c>
      <c r="J419" s="9" t="inlineStr">
        <is>
          <t>Module Defects</t>
        </is>
      </c>
      <c r="K419" s="3" t="inlineStr">
        <is>
          <t>Rajkot</t>
        </is>
      </c>
      <c r="L419" s="3" t="inlineStr">
        <is>
          <t>Gujarat</t>
        </is>
      </c>
      <c r="M419" s="9" t="inlineStr">
        <is>
          <t xml:space="preserve">hotspot found </t>
        </is>
      </c>
      <c r="N419" s="19" t="inlineStr">
        <is>
          <t>Hotspot</t>
        </is>
      </c>
      <c r="O419" s="3" t="n">
        <v>550</v>
      </c>
      <c r="P419" s="9" t="inlineStr">
        <is>
          <t>NSMP2301325202</t>
        </is>
      </c>
      <c r="Q419" s="53">
        <f>MID(P419,5,2)</f>
        <v/>
      </c>
      <c r="R419" s="53">
        <f>MID(P419,7,2)</f>
        <v/>
      </c>
      <c r="S419" s="3" t="inlineStr">
        <is>
          <t>G2TB</t>
        </is>
      </c>
      <c r="T419" s="3" t="inlineStr">
        <is>
          <t>P2</t>
        </is>
      </c>
      <c r="U419" s="9" t="inlineStr">
        <is>
          <t>Single Cell Hotspot</t>
        </is>
      </c>
      <c r="V419" s="3" t="inlineStr">
        <is>
          <t>Inspection</t>
        </is>
      </c>
      <c r="W419" s="3" t="inlineStr">
        <is>
          <t>WIP</t>
        </is>
      </c>
      <c r="X419" s="5" t="n"/>
      <c r="Y419" s="3">
        <f>X419-A419</f>
        <v/>
      </c>
      <c r="Z419" s="18" t="n">
        <v>46148</v>
      </c>
      <c r="AA419" s="15" t="n"/>
      <c r="AB419" s="15" t="n"/>
    </row>
    <row r="420" hidden="1" s="233">
      <c r="A420" s="2" t="n">
        <v>46106</v>
      </c>
      <c r="B420" s="3" t="n">
        <v>2026</v>
      </c>
      <c r="C420" s="3" t="inlineStr">
        <is>
          <t>First Energy</t>
        </is>
      </c>
      <c r="D420" s="3" t="inlineStr">
        <is>
          <t>Utility and C&amp;I</t>
        </is>
      </c>
      <c r="E420" s="3" t="n"/>
      <c r="F420" s="3" t="inlineStr">
        <is>
          <t>WIP</t>
        </is>
      </c>
      <c r="G420" s="3" t="inlineStr">
        <is>
          <t>Mr. Gaurav</t>
        </is>
      </c>
      <c r="H420" s="3" t="n">
        <v>9979185999</v>
      </c>
      <c r="I420" s="11" t="inlineStr">
        <is>
          <t>PE25032601</t>
        </is>
      </c>
      <c r="J420" s="9" t="inlineStr">
        <is>
          <t>Module Defects</t>
        </is>
      </c>
      <c r="K420" s="3" t="inlineStr">
        <is>
          <t>Rajkot</t>
        </is>
      </c>
      <c r="L420" s="3" t="inlineStr">
        <is>
          <t>Gujarat</t>
        </is>
      </c>
      <c r="M420" s="9" t="inlineStr">
        <is>
          <t xml:space="preserve">hotspot found </t>
        </is>
      </c>
      <c r="N420" s="19" t="inlineStr">
        <is>
          <t>Hotspot</t>
        </is>
      </c>
      <c r="O420" s="3" t="n">
        <v>550</v>
      </c>
      <c r="P420" s="9" t="inlineStr">
        <is>
          <t>NSMP2212275129</t>
        </is>
      </c>
      <c r="Q420" s="53">
        <f>MID(P420,5,2)</f>
        <v/>
      </c>
      <c r="R420" s="53">
        <f>MID(P420,7,2)</f>
        <v/>
      </c>
      <c r="S420" s="3" t="inlineStr">
        <is>
          <t>G2TB</t>
        </is>
      </c>
      <c r="T420" s="3" t="inlineStr">
        <is>
          <t>P2</t>
        </is>
      </c>
      <c r="U420" s="9" t="inlineStr">
        <is>
          <t>Multi Cell Hotspot</t>
        </is>
      </c>
      <c r="V420" s="3" t="inlineStr">
        <is>
          <t>Inspection</t>
        </is>
      </c>
      <c r="W420" s="3" t="inlineStr">
        <is>
          <t>WIP</t>
        </is>
      </c>
      <c r="X420" s="5" t="n"/>
      <c r="Y420" s="3">
        <f>X420-A420</f>
        <v/>
      </c>
      <c r="Z420" s="18" t="n">
        <v>46148</v>
      </c>
      <c r="AA420" s="15" t="n"/>
      <c r="AB420" s="15" t="n"/>
    </row>
    <row r="421" hidden="1" s="233">
      <c r="A421" s="2" t="n">
        <v>46106</v>
      </c>
      <c r="B421" s="3" t="n">
        <v>2026</v>
      </c>
      <c r="C421" s="3" t="inlineStr">
        <is>
          <t>First Energy</t>
        </is>
      </c>
      <c r="D421" s="3" t="inlineStr">
        <is>
          <t>Utility and C&amp;I</t>
        </is>
      </c>
      <c r="E421" s="3" t="n"/>
      <c r="F421" s="3" t="inlineStr">
        <is>
          <t>WIP</t>
        </is>
      </c>
      <c r="G421" s="3" t="inlineStr">
        <is>
          <t>Mr. Gaurav</t>
        </is>
      </c>
      <c r="H421" s="3" t="n">
        <v>9979185999</v>
      </c>
      <c r="I421" s="11" t="inlineStr">
        <is>
          <t>PE25032601</t>
        </is>
      </c>
      <c r="J421" s="9" t="inlineStr">
        <is>
          <t>Module Defects</t>
        </is>
      </c>
      <c r="K421" s="3" t="inlineStr">
        <is>
          <t>Rajkot</t>
        </is>
      </c>
      <c r="L421" s="3" t="inlineStr">
        <is>
          <t>Gujarat</t>
        </is>
      </c>
      <c r="M421" s="9" t="inlineStr">
        <is>
          <t xml:space="preserve">hotspot found </t>
        </is>
      </c>
      <c r="N421" s="19" t="inlineStr">
        <is>
          <t>Hotspot</t>
        </is>
      </c>
      <c r="O421" s="3" t="n">
        <v>550</v>
      </c>
      <c r="P421" s="9" t="inlineStr">
        <is>
          <t>NSMP2301311836</t>
        </is>
      </c>
      <c r="Q421" s="53">
        <f>MID(P421,5,2)</f>
        <v/>
      </c>
      <c r="R421" s="53">
        <f>MID(P421,7,2)</f>
        <v/>
      </c>
      <c r="S421" s="3" t="inlineStr">
        <is>
          <t>G2TB</t>
        </is>
      </c>
      <c r="T421" s="3" t="inlineStr">
        <is>
          <t>P2</t>
        </is>
      </c>
      <c r="U421" s="9" t="inlineStr">
        <is>
          <t>Multi Cell Hotspot</t>
        </is>
      </c>
      <c r="V421" s="3" t="inlineStr">
        <is>
          <t>Inspection</t>
        </is>
      </c>
      <c r="W421" s="3" t="inlineStr">
        <is>
          <t>WIP</t>
        </is>
      </c>
      <c r="X421" s="5" t="n"/>
      <c r="Y421" s="3">
        <f>X421-A421</f>
        <v/>
      </c>
      <c r="Z421" s="18" t="n">
        <v>46148</v>
      </c>
      <c r="AA421" s="15" t="n"/>
      <c r="AB421" s="15" t="n"/>
    </row>
    <row r="422" hidden="1" s="233">
      <c r="A422" s="2" t="n">
        <v>46106</v>
      </c>
      <c r="B422" s="3" t="n">
        <v>2026</v>
      </c>
      <c r="C422" s="3" t="inlineStr">
        <is>
          <t>First Energy</t>
        </is>
      </c>
      <c r="D422" s="3" t="inlineStr">
        <is>
          <t>Utility and C&amp;I</t>
        </is>
      </c>
      <c r="E422" s="3" t="n"/>
      <c r="F422" s="3" t="inlineStr">
        <is>
          <t>WIP</t>
        </is>
      </c>
      <c r="G422" s="3" t="inlineStr">
        <is>
          <t>Mr. Gaurav</t>
        </is>
      </c>
      <c r="H422" s="3" t="n">
        <v>9979185999</v>
      </c>
      <c r="I422" s="11" t="inlineStr">
        <is>
          <t>PE25032601</t>
        </is>
      </c>
      <c r="J422" s="9" t="inlineStr">
        <is>
          <t>Module Defects</t>
        </is>
      </c>
      <c r="K422" s="3" t="inlineStr">
        <is>
          <t>Rajkot</t>
        </is>
      </c>
      <c r="L422" s="3" t="inlineStr">
        <is>
          <t>Gujarat</t>
        </is>
      </c>
      <c r="M422" s="9" t="inlineStr">
        <is>
          <t xml:space="preserve">hotspot found </t>
        </is>
      </c>
      <c r="N422" s="19" t="inlineStr">
        <is>
          <t>Hotspot</t>
        </is>
      </c>
      <c r="O422" s="3" t="n">
        <v>550</v>
      </c>
      <c r="P422" s="9" t="inlineStr">
        <is>
          <t>NSMP2212284642</t>
        </is>
      </c>
      <c r="Q422" s="53">
        <f>MID(P422,5,2)</f>
        <v/>
      </c>
      <c r="R422" s="53">
        <f>MID(P422,7,2)</f>
        <v/>
      </c>
      <c r="S422" s="3" t="inlineStr">
        <is>
          <t>G2TB</t>
        </is>
      </c>
      <c r="T422" s="3" t="inlineStr">
        <is>
          <t>P2</t>
        </is>
      </c>
      <c r="U422" s="9" t="inlineStr">
        <is>
          <t>Single Cell Hotspot</t>
        </is>
      </c>
      <c r="V422" s="3" t="inlineStr">
        <is>
          <t>Inspection</t>
        </is>
      </c>
      <c r="W422" s="3" t="inlineStr">
        <is>
          <t>WIP</t>
        </is>
      </c>
      <c r="X422" s="5" t="n"/>
      <c r="Y422" s="3">
        <f>X422-A422</f>
        <v/>
      </c>
      <c r="Z422" s="18" t="n">
        <v>46148</v>
      </c>
      <c r="AA422" s="15" t="n"/>
      <c r="AB422" s="15" t="n"/>
    </row>
    <row r="423" hidden="1" s="233">
      <c r="A423" s="2" t="n">
        <v>46106</v>
      </c>
      <c r="B423" s="3" t="n">
        <v>2026</v>
      </c>
      <c r="C423" s="3" t="inlineStr">
        <is>
          <t>First Energy</t>
        </is>
      </c>
      <c r="D423" s="3" t="inlineStr">
        <is>
          <t>Utility and C&amp;I</t>
        </is>
      </c>
      <c r="E423" s="3" t="n"/>
      <c r="F423" s="3" t="inlineStr">
        <is>
          <t>WIP</t>
        </is>
      </c>
      <c r="G423" s="3" t="inlineStr">
        <is>
          <t>Mr. Gaurav</t>
        </is>
      </c>
      <c r="H423" s="3" t="n">
        <v>9979185999</v>
      </c>
      <c r="I423" s="11" t="inlineStr">
        <is>
          <t>PE25032601</t>
        </is>
      </c>
      <c r="J423" s="9" t="inlineStr">
        <is>
          <t>Module Defects</t>
        </is>
      </c>
      <c r="K423" s="3" t="inlineStr">
        <is>
          <t>Rajkot</t>
        </is>
      </c>
      <c r="L423" s="3" t="inlineStr">
        <is>
          <t>Gujarat</t>
        </is>
      </c>
      <c r="M423" s="9" t="inlineStr">
        <is>
          <t xml:space="preserve">hotspot found </t>
        </is>
      </c>
      <c r="N423" s="19" t="inlineStr">
        <is>
          <t>Hotspot</t>
        </is>
      </c>
      <c r="O423" s="3" t="n">
        <v>550</v>
      </c>
      <c r="P423" s="9" t="inlineStr">
        <is>
          <t>NSMP2301289729</t>
        </is>
      </c>
      <c r="Q423" s="53">
        <f>MID(P423,5,2)</f>
        <v/>
      </c>
      <c r="R423" s="53">
        <f>MID(P423,7,2)</f>
        <v/>
      </c>
      <c r="S423" s="3" t="inlineStr">
        <is>
          <t>G2TB</t>
        </is>
      </c>
      <c r="T423" s="3" t="inlineStr">
        <is>
          <t>P2</t>
        </is>
      </c>
      <c r="U423" s="9" t="inlineStr">
        <is>
          <t>Multi Cell Hotspot</t>
        </is>
      </c>
      <c r="V423" s="3" t="inlineStr">
        <is>
          <t>Inspection</t>
        </is>
      </c>
      <c r="W423" s="3" t="inlineStr">
        <is>
          <t>WIP</t>
        </is>
      </c>
      <c r="X423" s="5" t="n"/>
      <c r="Y423" s="3">
        <f>X423-A423</f>
        <v/>
      </c>
      <c r="Z423" s="18" t="n">
        <v>46148</v>
      </c>
      <c r="AA423" s="15" t="n"/>
      <c r="AB423" s="15" t="n"/>
    </row>
    <row r="424" hidden="1" s="233">
      <c r="A424" s="2" t="n">
        <v>46106</v>
      </c>
      <c r="B424" s="3" t="n">
        <v>2026</v>
      </c>
      <c r="C424" s="3" t="inlineStr">
        <is>
          <t>First Energy</t>
        </is>
      </c>
      <c r="D424" s="3" t="inlineStr">
        <is>
          <t>Utility and C&amp;I</t>
        </is>
      </c>
      <c r="E424" s="3" t="n"/>
      <c r="F424" s="3" t="inlineStr">
        <is>
          <t>WIP</t>
        </is>
      </c>
      <c r="G424" s="3" t="inlineStr">
        <is>
          <t>Mr. Gaurav</t>
        </is>
      </c>
      <c r="H424" s="3" t="n">
        <v>9979185999</v>
      </c>
      <c r="I424" s="11" t="inlineStr">
        <is>
          <t>PE25032601</t>
        </is>
      </c>
      <c r="J424" s="9" t="inlineStr">
        <is>
          <t>Module Defects</t>
        </is>
      </c>
      <c r="K424" s="3" t="inlineStr">
        <is>
          <t>Rajkot</t>
        </is>
      </c>
      <c r="L424" s="3" t="inlineStr">
        <is>
          <t>Gujarat</t>
        </is>
      </c>
      <c r="M424" s="9" t="inlineStr">
        <is>
          <t xml:space="preserve">hotspot found </t>
        </is>
      </c>
      <c r="N424" s="19" t="inlineStr">
        <is>
          <t>Hotspot</t>
        </is>
      </c>
      <c r="O424" s="3" t="n">
        <v>550</v>
      </c>
      <c r="P424" s="9" t="inlineStr">
        <is>
          <t>NSMP2301296178</t>
        </is>
      </c>
      <c r="Q424" s="53">
        <f>MID(P424,5,2)</f>
        <v/>
      </c>
      <c r="R424" s="53">
        <f>MID(P424,7,2)</f>
        <v/>
      </c>
      <c r="S424" s="3" t="inlineStr">
        <is>
          <t>G2TB</t>
        </is>
      </c>
      <c r="T424" s="3" t="inlineStr">
        <is>
          <t>P2</t>
        </is>
      </c>
      <c r="U424" s="9" t="inlineStr">
        <is>
          <t>Multi Cell Hotspot</t>
        </is>
      </c>
      <c r="V424" s="3" t="inlineStr">
        <is>
          <t>Inspection</t>
        </is>
      </c>
      <c r="W424" s="3" t="inlineStr">
        <is>
          <t>WIP</t>
        </is>
      </c>
      <c r="X424" s="5" t="n"/>
      <c r="Y424" s="3">
        <f>X424-A424</f>
        <v/>
      </c>
      <c r="Z424" s="18" t="n">
        <v>46148</v>
      </c>
      <c r="AA424" s="15" t="n"/>
      <c r="AB424" s="15" t="n"/>
    </row>
    <row r="425" hidden="1" s="233">
      <c r="A425" s="2" t="n">
        <v>46106</v>
      </c>
      <c r="B425" s="3" t="n">
        <v>2026</v>
      </c>
      <c r="C425" s="3" t="inlineStr">
        <is>
          <t>First Energy</t>
        </is>
      </c>
      <c r="D425" s="3" t="inlineStr">
        <is>
          <t>Utility and C&amp;I</t>
        </is>
      </c>
      <c r="E425" s="3" t="n"/>
      <c r="F425" s="3" t="inlineStr">
        <is>
          <t>WIP</t>
        </is>
      </c>
      <c r="G425" s="3" t="inlineStr">
        <is>
          <t>Mr. Gaurav</t>
        </is>
      </c>
      <c r="H425" s="3" t="n">
        <v>9979185999</v>
      </c>
      <c r="I425" s="11" t="inlineStr">
        <is>
          <t>PE25032601</t>
        </is>
      </c>
      <c r="J425" s="9" t="inlineStr">
        <is>
          <t>Module Defects</t>
        </is>
      </c>
      <c r="K425" s="3" t="inlineStr">
        <is>
          <t>Rajkot</t>
        </is>
      </c>
      <c r="L425" s="3" t="inlineStr">
        <is>
          <t>Gujarat</t>
        </is>
      </c>
      <c r="M425" s="9" t="inlineStr">
        <is>
          <t xml:space="preserve">hotspot found </t>
        </is>
      </c>
      <c r="N425" s="19" t="inlineStr">
        <is>
          <t>Hotspot</t>
        </is>
      </c>
      <c r="O425" s="3" t="n">
        <v>550</v>
      </c>
      <c r="P425" s="9" t="inlineStr">
        <is>
          <t>NSMP2301328835</t>
        </is>
      </c>
      <c r="Q425" s="53">
        <f>MID(P425,5,2)</f>
        <v/>
      </c>
      <c r="R425" s="53">
        <f>MID(P425,7,2)</f>
        <v/>
      </c>
      <c r="S425" s="3" t="inlineStr">
        <is>
          <t>G2TB</t>
        </is>
      </c>
      <c r="T425" s="3" t="inlineStr">
        <is>
          <t>P2</t>
        </is>
      </c>
      <c r="U425" s="9" t="inlineStr">
        <is>
          <t>Multi Cell Hotspot</t>
        </is>
      </c>
      <c r="V425" s="3" t="inlineStr">
        <is>
          <t>Inspection</t>
        </is>
      </c>
      <c r="W425" s="3" t="inlineStr">
        <is>
          <t>WIP</t>
        </is>
      </c>
      <c r="X425" s="5" t="n"/>
      <c r="Y425" s="3">
        <f>X425-A425</f>
        <v/>
      </c>
      <c r="Z425" s="18" t="n">
        <v>46148</v>
      </c>
      <c r="AA425" s="15" t="n"/>
      <c r="AB425" s="15" t="n"/>
    </row>
    <row r="426" hidden="1" s="233">
      <c r="A426" s="2" t="n">
        <v>46106</v>
      </c>
      <c r="B426" s="3" t="n">
        <v>2026</v>
      </c>
      <c r="C426" s="3" t="inlineStr">
        <is>
          <t>First Energy</t>
        </is>
      </c>
      <c r="D426" s="3" t="inlineStr">
        <is>
          <t>Utility and C&amp;I</t>
        </is>
      </c>
      <c r="E426" s="3" t="n"/>
      <c r="F426" s="3" t="inlineStr">
        <is>
          <t>WIP</t>
        </is>
      </c>
      <c r="G426" s="3" t="inlineStr">
        <is>
          <t>Mr. Gaurav</t>
        </is>
      </c>
      <c r="H426" s="3" t="n">
        <v>9979185999</v>
      </c>
      <c r="I426" s="11" t="inlineStr">
        <is>
          <t>PE25032601</t>
        </is>
      </c>
      <c r="J426" s="9" t="inlineStr">
        <is>
          <t>Module Defects</t>
        </is>
      </c>
      <c r="K426" s="3" t="inlineStr">
        <is>
          <t>Rajkot</t>
        </is>
      </c>
      <c r="L426" s="3" t="inlineStr">
        <is>
          <t>Gujarat</t>
        </is>
      </c>
      <c r="M426" s="9" t="inlineStr">
        <is>
          <t xml:space="preserve">hotspot found </t>
        </is>
      </c>
      <c r="N426" s="19" t="inlineStr">
        <is>
          <t>Hotspot</t>
        </is>
      </c>
      <c r="O426" s="3" t="n">
        <v>550</v>
      </c>
      <c r="P426" s="9" t="inlineStr">
        <is>
          <t>NSMP2301333419</t>
        </is>
      </c>
      <c r="Q426" s="53">
        <f>MID(P426,5,2)</f>
        <v/>
      </c>
      <c r="R426" s="53">
        <f>MID(P426,7,2)</f>
        <v/>
      </c>
      <c r="S426" s="3" t="inlineStr">
        <is>
          <t>G2TB</t>
        </is>
      </c>
      <c r="T426" s="3" t="inlineStr">
        <is>
          <t>P2</t>
        </is>
      </c>
      <c r="U426" s="9" t="inlineStr">
        <is>
          <t>Multi Cell Hotspot</t>
        </is>
      </c>
      <c r="V426" s="3" t="inlineStr">
        <is>
          <t>Inspection</t>
        </is>
      </c>
      <c r="W426" s="3" t="inlineStr">
        <is>
          <t>WIP</t>
        </is>
      </c>
      <c r="X426" s="5" t="n"/>
      <c r="Y426" s="3">
        <f>X426-A426</f>
        <v/>
      </c>
      <c r="Z426" s="18" t="n">
        <v>46148</v>
      </c>
      <c r="AA426" s="15" t="n"/>
      <c r="AB426" s="15" t="n"/>
    </row>
    <row r="427" hidden="1" s="233">
      <c r="A427" s="2" t="n">
        <v>46106</v>
      </c>
      <c r="B427" s="3" t="n">
        <v>2026</v>
      </c>
      <c r="C427" s="3" t="inlineStr">
        <is>
          <t>First Energy</t>
        </is>
      </c>
      <c r="D427" s="3" t="inlineStr">
        <is>
          <t>Utility and C&amp;I</t>
        </is>
      </c>
      <c r="E427" s="3" t="n"/>
      <c r="F427" s="3" t="inlineStr">
        <is>
          <t>WIP</t>
        </is>
      </c>
      <c r="G427" s="3" t="inlineStr">
        <is>
          <t>Mr. Gaurav</t>
        </is>
      </c>
      <c r="H427" s="3" t="n">
        <v>9979185999</v>
      </c>
      <c r="I427" s="11" t="inlineStr">
        <is>
          <t>PE25032601</t>
        </is>
      </c>
      <c r="J427" s="9" t="inlineStr">
        <is>
          <t>Module Defects</t>
        </is>
      </c>
      <c r="K427" s="3" t="inlineStr">
        <is>
          <t>Rajkot</t>
        </is>
      </c>
      <c r="L427" s="3" t="inlineStr">
        <is>
          <t>Gujarat</t>
        </is>
      </c>
      <c r="M427" s="9" t="inlineStr">
        <is>
          <t xml:space="preserve">hotspot found </t>
        </is>
      </c>
      <c r="N427" s="19" t="inlineStr">
        <is>
          <t>Hotspot</t>
        </is>
      </c>
      <c r="O427" s="3" t="n">
        <v>550</v>
      </c>
      <c r="P427" s="9" t="inlineStr">
        <is>
          <t>NSMP2212270613</t>
        </is>
      </c>
      <c r="Q427" s="53">
        <f>MID(P427,5,2)</f>
        <v/>
      </c>
      <c r="R427" s="53">
        <f>MID(P427,7,2)</f>
        <v/>
      </c>
      <c r="S427" s="3" t="inlineStr">
        <is>
          <t>G2TB</t>
        </is>
      </c>
      <c r="T427" s="3" t="inlineStr">
        <is>
          <t>P2</t>
        </is>
      </c>
      <c r="U427" s="9" t="inlineStr">
        <is>
          <t>Single Cell Hotspot</t>
        </is>
      </c>
      <c r="V427" s="3" t="inlineStr">
        <is>
          <t>Inspection</t>
        </is>
      </c>
      <c r="W427" s="3" t="inlineStr">
        <is>
          <t>WIP</t>
        </is>
      </c>
      <c r="X427" s="5" t="n"/>
      <c r="Y427" s="3">
        <f>X427-A427</f>
        <v/>
      </c>
      <c r="Z427" s="18" t="n">
        <v>46148</v>
      </c>
      <c r="AA427" s="15" t="n"/>
      <c r="AB427" s="15" t="n"/>
    </row>
    <row r="428" hidden="1" s="233">
      <c r="A428" s="2" t="n">
        <v>46106</v>
      </c>
      <c r="B428" s="3" t="n">
        <v>2026</v>
      </c>
      <c r="C428" s="3" t="inlineStr">
        <is>
          <t>First Energy</t>
        </is>
      </c>
      <c r="D428" s="3" t="inlineStr">
        <is>
          <t>Utility and C&amp;I</t>
        </is>
      </c>
      <c r="E428" s="3" t="n"/>
      <c r="F428" s="3" t="inlineStr">
        <is>
          <t>WIP</t>
        </is>
      </c>
      <c r="G428" s="3" t="inlineStr">
        <is>
          <t>Mr. Gaurav</t>
        </is>
      </c>
      <c r="H428" s="3" t="n">
        <v>9979185999</v>
      </c>
      <c r="I428" s="11" t="inlineStr">
        <is>
          <t>PE25032601</t>
        </is>
      </c>
      <c r="J428" s="9" t="inlineStr">
        <is>
          <t>Module Defects</t>
        </is>
      </c>
      <c r="K428" s="3" t="inlineStr">
        <is>
          <t>Rajkot</t>
        </is>
      </c>
      <c r="L428" s="3" t="inlineStr">
        <is>
          <t>Gujarat</t>
        </is>
      </c>
      <c r="M428" s="9" t="inlineStr">
        <is>
          <t xml:space="preserve">hotspot found </t>
        </is>
      </c>
      <c r="N428" s="19" t="inlineStr">
        <is>
          <t>Hotspot</t>
        </is>
      </c>
      <c r="O428" s="3" t="n">
        <v>550</v>
      </c>
      <c r="P428" s="9" t="inlineStr">
        <is>
          <t>NSMP2301314449</t>
        </is>
      </c>
      <c r="Q428" s="53">
        <f>MID(P428,5,2)</f>
        <v/>
      </c>
      <c r="R428" s="53">
        <f>MID(P428,7,2)</f>
        <v/>
      </c>
      <c r="S428" s="3" t="inlineStr">
        <is>
          <t>G2TB</t>
        </is>
      </c>
      <c r="T428" s="3" t="inlineStr">
        <is>
          <t>P2</t>
        </is>
      </c>
      <c r="U428" s="9" t="inlineStr">
        <is>
          <t>Single Cell Hotspot</t>
        </is>
      </c>
      <c r="V428" s="3" t="inlineStr">
        <is>
          <t>Inspection</t>
        </is>
      </c>
      <c r="W428" s="3" t="inlineStr">
        <is>
          <t>WIP</t>
        </is>
      </c>
      <c r="X428" s="5" t="n"/>
      <c r="Y428" s="3">
        <f>X428-A428</f>
        <v/>
      </c>
      <c r="Z428" s="18" t="n">
        <v>46148</v>
      </c>
      <c r="AA428" s="15" t="n"/>
      <c r="AB428" s="15" t="n"/>
    </row>
    <row r="429" hidden="1" s="233">
      <c r="A429" s="2" t="n">
        <v>46106</v>
      </c>
      <c r="B429" s="3" t="n">
        <v>2026</v>
      </c>
      <c r="C429" s="3" t="inlineStr">
        <is>
          <t>First Energy</t>
        </is>
      </c>
      <c r="D429" s="3" t="inlineStr">
        <is>
          <t>Utility and C&amp;I</t>
        </is>
      </c>
      <c r="E429" s="3" t="n"/>
      <c r="F429" s="3" t="inlineStr">
        <is>
          <t>WIP</t>
        </is>
      </c>
      <c r="G429" s="3" t="inlineStr">
        <is>
          <t>Mr. Gaurav</t>
        </is>
      </c>
      <c r="H429" s="3" t="n">
        <v>9979185999</v>
      </c>
      <c r="I429" s="11" t="inlineStr">
        <is>
          <t>PE25032601</t>
        </is>
      </c>
      <c r="J429" s="9" t="inlineStr">
        <is>
          <t>Module Defects</t>
        </is>
      </c>
      <c r="K429" s="3" t="inlineStr">
        <is>
          <t>Rajkot</t>
        </is>
      </c>
      <c r="L429" s="3" t="inlineStr">
        <is>
          <t>Gujarat</t>
        </is>
      </c>
      <c r="M429" s="9" t="inlineStr">
        <is>
          <t xml:space="preserve">hotspot found </t>
        </is>
      </c>
      <c r="N429" s="19" t="inlineStr">
        <is>
          <t>Hotspot</t>
        </is>
      </c>
      <c r="O429" s="3" t="n">
        <v>550</v>
      </c>
      <c r="P429" s="9" t="inlineStr">
        <is>
          <t>NSMP2212269279</t>
        </is>
      </c>
      <c r="Q429" s="53">
        <f>MID(P429,5,2)</f>
        <v/>
      </c>
      <c r="R429" s="53">
        <f>MID(P429,7,2)</f>
        <v/>
      </c>
      <c r="S429" s="3" t="inlineStr">
        <is>
          <t>G2TB</t>
        </is>
      </c>
      <c r="T429" s="3" t="inlineStr">
        <is>
          <t>P2</t>
        </is>
      </c>
      <c r="U429" s="9" t="inlineStr">
        <is>
          <t>Single Cell Hotspot</t>
        </is>
      </c>
      <c r="V429" s="3" t="inlineStr">
        <is>
          <t>Inspection</t>
        </is>
      </c>
      <c r="W429" s="3" t="inlineStr">
        <is>
          <t>WIP</t>
        </is>
      </c>
      <c r="X429" s="5" t="n"/>
      <c r="Y429" s="3">
        <f>X429-A429</f>
        <v/>
      </c>
      <c r="Z429" s="18" t="n">
        <v>46148</v>
      </c>
      <c r="AA429" s="15" t="n"/>
      <c r="AB429" s="15" t="n"/>
    </row>
    <row r="430" hidden="1" s="233">
      <c r="A430" s="2" t="n">
        <v>46106</v>
      </c>
      <c r="B430" s="3" t="n">
        <v>2026</v>
      </c>
      <c r="C430" s="3" t="inlineStr">
        <is>
          <t>First Energy</t>
        </is>
      </c>
      <c r="D430" s="3" t="inlineStr">
        <is>
          <t>Utility and C&amp;I</t>
        </is>
      </c>
      <c r="E430" s="3" t="n"/>
      <c r="F430" s="3" t="inlineStr">
        <is>
          <t>WIP</t>
        </is>
      </c>
      <c r="G430" s="3" t="inlineStr">
        <is>
          <t>Mr. Gaurav</t>
        </is>
      </c>
      <c r="H430" s="3" t="n">
        <v>9979185999</v>
      </c>
      <c r="I430" s="11" t="inlineStr">
        <is>
          <t>PE25032601</t>
        </is>
      </c>
      <c r="J430" s="9" t="inlineStr">
        <is>
          <t>Module Defects</t>
        </is>
      </c>
      <c r="K430" s="3" t="inlineStr">
        <is>
          <t>Rajkot</t>
        </is>
      </c>
      <c r="L430" s="3" t="inlineStr">
        <is>
          <t>Gujarat</t>
        </is>
      </c>
      <c r="M430" s="9" t="inlineStr">
        <is>
          <t xml:space="preserve">hotspot found </t>
        </is>
      </c>
      <c r="N430" s="19" t="inlineStr">
        <is>
          <t>Hotspot</t>
        </is>
      </c>
      <c r="O430" s="3" t="n">
        <v>550</v>
      </c>
      <c r="P430" s="9" t="inlineStr">
        <is>
          <t>NSMP2301314117</t>
        </is>
      </c>
      <c r="Q430" s="53">
        <f>MID(P430,5,2)</f>
        <v/>
      </c>
      <c r="R430" s="53">
        <f>MID(P430,7,2)</f>
        <v/>
      </c>
      <c r="S430" s="3" t="inlineStr">
        <is>
          <t>G2TB</t>
        </is>
      </c>
      <c r="T430" s="3" t="inlineStr">
        <is>
          <t>P2</t>
        </is>
      </c>
      <c r="U430" s="9" t="inlineStr">
        <is>
          <t>Multi Cell Hotspot</t>
        </is>
      </c>
      <c r="V430" s="3" t="inlineStr">
        <is>
          <t>Inspection</t>
        </is>
      </c>
      <c r="W430" s="3" t="inlineStr">
        <is>
          <t>WIP</t>
        </is>
      </c>
      <c r="X430" s="5" t="n"/>
      <c r="Y430" s="3">
        <f>X430-A430</f>
        <v/>
      </c>
      <c r="Z430" s="18" t="n">
        <v>46148</v>
      </c>
      <c r="AA430" s="15" t="n"/>
      <c r="AB430" s="15" t="n"/>
    </row>
    <row r="431" hidden="1" s="233">
      <c r="A431" s="2" t="n">
        <v>46106</v>
      </c>
      <c r="B431" s="3" t="n">
        <v>2026</v>
      </c>
      <c r="C431" s="3" t="inlineStr">
        <is>
          <t>First Energy</t>
        </is>
      </c>
      <c r="D431" s="3" t="inlineStr">
        <is>
          <t>Utility and C&amp;I</t>
        </is>
      </c>
      <c r="E431" s="3" t="n"/>
      <c r="F431" s="3" t="inlineStr">
        <is>
          <t>WIP</t>
        </is>
      </c>
      <c r="G431" s="3" t="inlineStr">
        <is>
          <t>Mr. Gaurav</t>
        </is>
      </c>
      <c r="H431" s="3" t="n">
        <v>9979185999</v>
      </c>
      <c r="I431" s="11" t="inlineStr">
        <is>
          <t>PE25032601</t>
        </is>
      </c>
      <c r="J431" s="9" t="inlineStr">
        <is>
          <t>Module Defects</t>
        </is>
      </c>
      <c r="K431" s="3" t="inlineStr">
        <is>
          <t>Rajkot</t>
        </is>
      </c>
      <c r="L431" s="3" t="inlineStr">
        <is>
          <t>Gujarat</t>
        </is>
      </c>
      <c r="M431" s="9" t="inlineStr">
        <is>
          <t xml:space="preserve">hotspot found </t>
        </is>
      </c>
      <c r="N431" s="19" t="inlineStr">
        <is>
          <t>Hotspot</t>
        </is>
      </c>
      <c r="O431" s="3" t="n">
        <v>550</v>
      </c>
      <c r="P431" s="9" t="inlineStr">
        <is>
          <t>NSMP2301297255</t>
        </is>
      </c>
      <c r="Q431" s="53">
        <f>MID(P431,5,2)</f>
        <v/>
      </c>
      <c r="R431" s="53">
        <f>MID(P431,7,2)</f>
        <v/>
      </c>
      <c r="S431" s="3" t="inlineStr">
        <is>
          <t>G2TB</t>
        </is>
      </c>
      <c r="T431" s="3" t="inlineStr">
        <is>
          <t>P2</t>
        </is>
      </c>
      <c r="U431" s="9" t="inlineStr">
        <is>
          <t>Multi Cell Hotspot</t>
        </is>
      </c>
      <c r="V431" s="3" t="inlineStr">
        <is>
          <t>Inspection</t>
        </is>
      </c>
      <c r="W431" s="3" t="inlineStr">
        <is>
          <t>WIP</t>
        </is>
      </c>
      <c r="X431" s="5" t="n"/>
      <c r="Y431" s="3">
        <f>X431-A431</f>
        <v/>
      </c>
      <c r="Z431" s="18" t="n">
        <v>46148</v>
      </c>
      <c r="AA431" s="15" t="n"/>
      <c r="AB431" s="15" t="n"/>
    </row>
    <row r="432" hidden="1" s="233">
      <c r="A432" s="2" t="n">
        <v>46106</v>
      </c>
      <c r="B432" s="3" t="n">
        <v>2026</v>
      </c>
      <c r="C432" s="3" t="inlineStr">
        <is>
          <t>First Energy</t>
        </is>
      </c>
      <c r="D432" s="3" t="inlineStr">
        <is>
          <t>Utility and C&amp;I</t>
        </is>
      </c>
      <c r="E432" s="3" t="n"/>
      <c r="F432" s="3" t="inlineStr">
        <is>
          <t>WIP</t>
        </is>
      </c>
      <c r="G432" s="3" t="inlineStr">
        <is>
          <t>Mr. Gaurav</t>
        </is>
      </c>
      <c r="H432" s="3" t="n">
        <v>9979185999</v>
      </c>
      <c r="I432" s="11" t="inlineStr">
        <is>
          <t>PE25032601</t>
        </is>
      </c>
      <c r="J432" s="9" t="inlineStr">
        <is>
          <t>Module Defects</t>
        </is>
      </c>
      <c r="K432" s="3" t="inlineStr">
        <is>
          <t>Rajkot</t>
        </is>
      </c>
      <c r="L432" s="3" t="inlineStr">
        <is>
          <t>Gujarat</t>
        </is>
      </c>
      <c r="M432" s="9" t="inlineStr">
        <is>
          <t xml:space="preserve">hotspot found </t>
        </is>
      </c>
      <c r="N432" s="19" t="inlineStr">
        <is>
          <t>Hotspot</t>
        </is>
      </c>
      <c r="O432" s="3" t="n">
        <v>550</v>
      </c>
      <c r="P432" s="9" t="inlineStr">
        <is>
          <t>NSMP2301290258</t>
        </is>
      </c>
      <c r="Q432" s="53">
        <f>MID(P432,5,2)</f>
        <v/>
      </c>
      <c r="R432" s="53">
        <f>MID(P432,7,2)</f>
        <v/>
      </c>
      <c r="S432" s="3" t="inlineStr">
        <is>
          <t>G2TB</t>
        </is>
      </c>
      <c r="T432" s="3" t="inlineStr">
        <is>
          <t>P2</t>
        </is>
      </c>
      <c r="U432" s="9" t="inlineStr">
        <is>
          <t>Multi Cell Hotspot</t>
        </is>
      </c>
      <c r="V432" s="3" t="inlineStr">
        <is>
          <t>Inspection</t>
        </is>
      </c>
      <c r="W432" s="3" t="inlineStr">
        <is>
          <t>WIP</t>
        </is>
      </c>
      <c r="X432" s="5" t="n"/>
      <c r="Y432" s="3">
        <f>X432-A432</f>
        <v/>
      </c>
      <c r="Z432" s="18" t="n">
        <v>46148</v>
      </c>
      <c r="AA432" s="15" t="n"/>
      <c r="AB432" s="15" t="n"/>
    </row>
    <row r="433" hidden="1" s="233">
      <c r="A433" s="2" t="n">
        <v>46106</v>
      </c>
      <c r="B433" s="3" t="n">
        <v>2026</v>
      </c>
      <c r="C433" s="3" t="inlineStr">
        <is>
          <t>First Energy</t>
        </is>
      </c>
      <c r="D433" s="3" t="inlineStr">
        <is>
          <t>Utility and C&amp;I</t>
        </is>
      </c>
      <c r="E433" s="3" t="n"/>
      <c r="F433" s="3" t="inlineStr">
        <is>
          <t>WIP</t>
        </is>
      </c>
      <c r="G433" s="3" t="inlineStr">
        <is>
          <t>Mr. Gaurav</t>
        </is>
      </c>
      <c r="H433" s="3" t="n">
        <v>9979185999</v>
      </c>
      <c r="I433" s="11" t="inlineStr">
        <is>
          <t>PE25032601</t>
        </is>
      </c>
      <c r="J433" s="9" t="inlineStr">
        <is>
          <t>Module Defects</t>
        </is>
      </c>
      <c r="K433" s="3" t="inlineStr">
        <is>
          <t>Rajkot</t>
        </is>
      </c>
      <c r="L433" s="3" t="inlineStr">
        <is>
          <t>Gujarat</t>
        </is>
      </c>
      <c r="M433" s="9" t="inlineStr">
        <is>
          <t xml:space="preserve">hotspot found </t>
        </is>
      </c>
      <c r="N433" s="19" t="inlineStr">
        <is>
          <t>Hotspot</t>
        </is>
      </c>
      <c r="O433" s="3" t="n">
        <v>550</v>
      </c>
      <c r="P433" s="9" t="inlineStr">
        <is>
          <t>NSMP2301308883</t>
        </is>
      </c>
      <c r="Q433" s="53">
        <f>MID(P433,5,2)</f>
        <v/>
      </c>
      <c r="R433" s="53">
        <f>MID(P433,7,2)</f>
        <v/>
      </c>
      <c r="S433" s="3" t="inlineStr">
        <is>
          <t>G2TB</t>
        </is>
      </c>
      <c r="T433" s="3" t="inlineStr">
        <is>
          <t>P2</t>
        </is>
      </c>
      <c r="U433" s="9" t="inlineStr">
        <is>
          <t>Single Cell Hotspot</t>
        </is>
      </c>
      <c r="V433" s="3" t="inlineStr">
        <is>
          <t>Inspection</t>
        </is>
      </c>
      <c r="W433" s="3" t="inlineStr">
        <is>
          <t>WIP</t>
        </is>
      </c>
      <c r="X433" s="5" t="n"/>
      <c r="Y433" s="3">
        <f>X433-A433</f>
        <v/>
      </c>
      <c r="Z433" s="18" t="n">
        <v>46148</v>
      </c>
      <c r="AA433" s="15" t="n"/>
      <c r="AB433" s="15" t="n"/>
    </row>
    <row r="434" hidden="1" s="233">
      <c r="A434" s="2" t="n">
        <v>46106</v>
      </c>
      <c r="B434" s="3" t="n">
        <v>2026</v>
      </c>
      <c r="C434" s="3" t="inlineStr">
        <is>
          <t>First Energy</t>
        </is>
      </c>
      <c r="D434" s="3" t="inlineStr">
        <is>
          <t>Utility and C&amp;I</t>
        </is>
      </c>
      <c r="E434" s="3" t="n"/>
      <c r="F434" s="3" t="inlineStr">
        <is>
          <t>WIP</t>
        </is>
      </c>
      <c r="G434" s="3" t="inlineStr">
        <is>
          <t>Mr. Gaurav</t>
        </is>
      </c>
      <c r="H434" s="3" t="n">
        <v>9979185999</v>
      </c>
      <c r="I434" s="11" t="inlineStr">
        <is>
          <t>PE25032601</t>
        </is>
      </c>
      <c r="J434" s="9" t="inlineStr">
        <is>
          <t>Module Defects</t>
        </is>
      </c>
      <c r="K434" s="3" t="inlineStr">
        <is>
          <t>Rajkot</t>
        </is>
      </c>
      <c r="L434" s="3" t="inlineStr">
        <is>
          <t>Gujarat</t>
        </is>
      </c>
      <c r="M434" s="9" t="inlineStr">
        <is>
          <t xml:space="preserve">hotspot found </t>
        </is>
      </c>
      <c r="N434" s="19" t="inlineStr">
        <is>
          <t>Hotspot</t>
        </is>
      </c>
      <c r="O434" s="3" t="n">
        <v>550</v>
      </c>
      <c r="P434" s="9" t="inlineStr">
        <is>
          <t>NSMP2301300957</t>
        </is>
      </c>
      <c r="Q434" s="53">
        <f>MID(P434,5,2)</f>
        <v/>
      </c>
      <c r="R434" s="53">
        <f>MID(P434,7,2)</f>
        <v/>
      </c>
      <c r="S434" s="3" t="inlineStr">
        <is>
          <t>G2TB</t>
        </is>
      </c>
      <c r="T434" s="3" t="inlineStr">
        <is>
          <t>P2</t>
        </is>
      </c>
      <c r="U434" s="9" t="inlineStr">
        <is>
          <t>Single Cell Hotspot</t>
        </is>
      </c>
      <c r="V434" s="3" t="inlineStr">
        <is>
          <t>Inspection</t>
        </is>
      </c>
      <c r="W434" s="3" t="inlineStr">
        <is>
          <t>WIP</t>
        </is>
      </c>
      <c r="X434" s="5" t="n"/>
      <c r="Y434" s="3">
        <f>X434-A434</f>
        <v/>
      </c>
      <c r="Z434" s="18" t="n">
        <v>46148</v>
      </c>
      <c r="AA434" s="15" t="n"/>
      <c r="AB434" s="15" t="n"/>
    </row>
    <row r="435" hidden="1" s="233">
      <c r="A435" s="2" t="n">
        <v>46106</v>
      </c>
      <c r="B435" s="3" t="n">
        <v>2026</v>
      </c>
      <c r="C435" s="3" t="inlineStr">
        <is>
          <t>First Energy</t>
        </is>
      </c>
      <c r="D435" s="3" t="inlineStr">
        <is>
          <t>Utility and C&amp;I</t>
        </is>
      </c>
      <c r="E435" s="3" t="n"/>
      <c r="F435" s="3" t="inlineStr">
        <is>
          <t>WIP</t>
        </is>
      </c>
      <c r="G435" s="3" t="inlineStr">
        <is>
          <t>Mr. Gaurav</t>
        </is>
      </c>
      <c r="H435" s="3" t="n">
        <v>9979185999</v>
      </c>
      <c r="I435" s="11" t="inlineStr">
        <is>
          <t>PE25032601</t>
        </is>
      </c>
      <c r="J435" s="9" t="inlineStr">
        <is>
          <t>Module Defects</t>
        </is>
      </c>
      <c r="K435" s="3" t="inlineStr">
        <is>
          <t>Rajkot</t>
        </is>
      </c>
      <c r="L435" s="3" t="inlineStr">
        <is>
          <t>Gujarat</t>
        </is>
      </c>
      <c r="M435" s="9" t="inlineStr">
        <is>
          <t xml:space="preserve">hotspot found </t>
        </is>
      </c>
      <c r="N435" s="19" t="inlineStr">
        <is>
          <t>Hotspot</t>
        </is>
      </c>
      <c r="O435" s="3" t="n">
        <v>550</v>
      </c>
      <c r="P435" s="9" t="inlineStr">
        <is>
          <t>NSMP24091544369</t>
        </is>
      </c>
      <c r="Q435" s="53">
        <f>MID(P435,5,2)</f>
        <v/>
      </c>
      <c r="R435" s="53">
        <f>MID(P435,7,2)</f>
        <v/>
      </c>
      <c r="S435" s="3" t="inlineStr">
        <is>
          <t>G2TB</t>
        </is>
      </c>
      <c r="T435" s="3" t="inlineStr">
        <is>
          <t>P2</t>
        </is>
      </c>
      <c r="U435" s="9" t="inlineStr">
        <is>
          <t>Single Cell Hotspot</t>
        </is>
      </c>
      <c r="V435" s="3" t="inlineStr">
        <is>
          <t>Inspection</t>
        </is>
      </c>
      <c r="W435" s="3" t="inlineStr">
        <is>
          <t>WIP</t>
        </is>
      </c>
      <c r="X435" s="5" t="n"/>
      <c r="Y435" s="3">
        <f>X435-A435</f>
        <v/>
      </c>
      <c r="Z435" s="18" t="n">
        <v>46148</v>
      </c>
      <c r="AA435" s="15" t="n"/>
      <c r="AB435" s="15" t="n"/>
    </row>
    <row r="436" hidden="1" s="233">
      <c r="A436" s="2" t="n">
        <v>46106</v>
      </c>
      <c r="B436" s="3" t="n">
        <v>2026</v>
      </c>
      <c r="C436" s="3" t="inlineStr">
        <is>
          <t>First Energy</t>
        </is>
      </c>
      <c r="D436" s="3" t="inlineStr">
        <is>
          <t>Utility and C&amp;I</t>
        </is>
      </c>
      <c r="E436" s="3" t="n"/>
      <c r="F436" s="3" t="inlineStr">
        <is>
          <t>WIP</t>
        </is>
      </c>
      <c r="G436" s="3" t="inlineStr">
        <is>
          <t>Mr. Gaurav</t>
        </is>
      </c>
      <c r="H436" s="3" t="n">
        <v>9979185999</v>
      </c>
      <c r="I436" s="11" t="inlineStr">
        <is>
          <t>PE25032601</t>
        </is>
      </c>
      <c r="J436" s="9" t="inlineStr">
        <is>
          <t>Module Defects</t>
        </is>
      </c>
      <c r="K436" s="3" t="inlineStr">
        <is>
          <t>Rajkot</t>
        </is>
      </c>
      <c r="L436" s="3" t="inlineStr">
        <is>
          <t>Gujarat</t>
        </is>
      </c>
      <c r="M436" s="9" t="inlineStr">
        <is>
          <t xml:space="preserve">hotspot found </t>
        </is>
      </c>
      <c r="N436" s="19" t="inlineStr">
        <is>
          <t>Hotspot</t>
        </is>
      </c>
      <c r="O436" s="3" t="n">
        <v>550</v>
      </c>
      <c r="P436" s="9" t="inlineStr">
        <is>
          <t>NSMP24091544894</t>
        </is>
      </c>
      <c r="Q436" s="53">
        <f>MID(P436,5,2)</f>
        <v/>
      </c>
      <c r="R436" s="53">
        <f>MID(P436,7,2)</f>
        <v/>
      </c>
      <c r="S436" s="3" t="inlineStr">
        <is>
          <t>G2TB</t>
        </is>
      </c>
      <c r="T436" s="3" t="inlineStr">
        <is>
          <t>P2</t>
        </is>
      </c>
      <c r="U436" s="9" t="inlineStr">
        <is>
          <t>Single Cell Hotspot</t>
        </is>
      </c>
      <c r="V436" s="3" t="inlineStr">
        <is>
          <t>Inspection</t>
        </is>
      </c>
      <c r="W436" s="3" t="inlineStr">
        <is>
          <t>WIP</t>
        </is>
      </c>
      <c r="X436" s="5" t="n"/>
      <c r="Y436" s="3">
        <f>X436-A436</f>
        <v/>
      </c>
      <c r="Z436" s="18" t="n">
        <v>46148</v>
      </c>
      <c r="AA436" s="15" t="n"/>
      <c r="AB436" s="15" t="n"/>
    </row>
    <row r="437" hidden="1" s="233">
      <c r="A437" s="2" t="n">
        <v>46106</v>
      </c>
      <c r="B437" s="3" t="n">
        <v>2026</v>
      </c>
      <c r="C437" s="3" t="inlineStr">
        <is>
          <t>First Energy</t>
        </is>
      </c>
      <c r="D437" s="3" t="inlineStr">
        <is>
          <t>Utility and C&amp;I</t>
        </is>
      </c>
      <c r="E437" s="3" t="n"/>
      <c r="F437" s="3" t="inlineStr">
        <is>
          <t>WIP</t>
        </is>
      </c>
      <c r="G437" s="3" t="inlineStr">
        <is>
          <t>Mr. Gaurav</t>
        </is>
      </c>
      <c r="H437" s="3" t="n">
        <v>9979185999</v>
      </c>
      <c r="I437" s="11" t="inlineStr">
        <is>
          <t>PE25032601</t>
        </is>
      </c>
      <c r="J437" s="9" t="inlineStr">
        <is>
          <t>Module Defects</t>
        </is>
      </c>
      <c r="K437" s="3" t="inlineStr">
        <is>
          <t>Rajkot</t>
        </is>
      </c>
      <c r="L437" s="3" t="inlineStr">
        <is>
          <t>Gujarat</t>
        </is>
      </c>
      <c r="M437" s="9" t="inlineStr">
        <is>
          <t xml:space="preserve">hotspot found </t>
        </is>
      </c>
      <c r="N437" s="19" t="inlineStr">
        <is>
          <t>Hotspot</t>
        </is>
      </c>
      <c r="O437" s="3" t="n">
        <v>550</v>
      </c>
      <c r="P437" s="9" t="inlineStr">
        <is>
          <t>NSMP24091544363</t>
        </is>
      </c>
      <c r="Q437" s="53">
        <f>MID(P437,5,2)</f>
        <v/>
      </c>
      <c r="R437" s="53">
        <f>MID(P437,7,2)</f>
        <v/>
      </c>
      <c r="S437" s="3" t="inlineStr">
        <is>
          <t>G2TB</t>
        </is>
      </c>
      <c r="T437" s="3" t="inlineStr">
        <is>
          <t>P2</t>
        </is>
      </c>
      <c r="U437" s="9" t="inlineStr">
        <is>
          <t>Single Cell Hotspot</t>
        </is>
      </c>
      <c r="V437" s="3" t="inlineStr">
        <is>
          <t>Inspection</t>
        </is>
      </c>
      <c r="W437" s="3" t="inlineStr">
        <is>
          <t>WIP</t>
        </is>
      </c>
      <c r="X437" s="5" t="n"/>
      <c r="Y437" s="3">
        <f>X437-A437</f>
        <v/>
      </c>
      <c r="Z437" s="18" t="n">
        <v>46148</v>
      </c>
      <c r="AA437" s="15" t="n"/>
      <c r="AB437" s="15" t="n"/>
    </row>
    <row r="438" hidden="1" s="233">
      <c r="A438" s="2" t="n">
        <v>46106</v>
      </c>
      <c r="B438" s="3" t="n">
        <v>2026</v>
      </c>
      <c r="C438" s="3" t="inlineStr">
        <is>
          <t>First Energy</t>
        </is>
      </c>
      <c r="D438" s="3" t="inlineStr">
        <is>
          <t>Utility and C&amp;I</t>
        </is>
      </c>
      <c r="E438" s="3" t="n"/>
      <c r="F438" s="3" t="inlineStr">
        <is>
          <t>WIP</t>
        </is>
      </c>
      <c r="G438" s="3" t="inlineStr">
        <is>
          <t>Mr. Gaurav</t>
        </is>
      </c>
      <c r="H438" s="3" t="n">
        <v>9979185999</v>
      </c>
      <c r="I438" s="11" t="inlineStr">
        <is>
          <t>PE25032601</t>
        </is>
      </c>
      <c r="J438" s="9" t="inlineStr">
        <is>
          <t>Module Defects</t>
        </is>
      </c>
      <c r="K438" s="3" t="inlineStr">
        <is>
          <t>Rajkot</t>
        </is>
      </c>
      <c r="L438" s="3" t="inlineStr">
        <is>
          <t>Gujarat</t>
        </is>
      </c>
      <c r="M438" s="9" t="inlineStr">
        <is>
          <t xml:space="preserve">hotspot found </t>
        </is>
      </c>
      <c r="N438" s="19" t="inlineStr">
        <is>
          <t>Hotspot</t>
        </is>
      </c>
      <c r="O438" s="3" t="n">
        <v>550</v>
      </c>
      <c r="P438" s="9" t="inlineStr">
        <is>
          <t>NSMP24091545013</t>
        </is>
      </c>
      <c r="Q438" s="53">
        <f>MID(P438,5,2)</f>
        <v/>
      </c>
      <c r="R438" s="53">
        <f>MID(P438,7,2)</f>
        <v/>
      </c>
      <c r="S438" s="3" t="inlineStr">
        <is>
          <t>G2TB</t>
        </is>
      </c>
      <c r="T438" s="3" t="inlineStr">
        <is>
          <t>P2</t>
        </is>
      </c>
      <c r="U438" s="9" t="inlineStr">
        <is>
          <t xml:space="preserve">Multi Cell Hotspot </t>
        </is>
      </c>
      <c r="V438" s="3" t="inlineStr">
        <is>
          <t>Inspection</t>
        </is>
      </c>
      <c r="W438" s="3" t="inlineStr">
        <is>
          <t>WIP</t>
        </is>
      </c>
      <c r="X438" s="5" t="n"/>
      <c r="Y438" s="3">
        <f>X438-A438</f>
        <v/>
      </c>
      <c r="Z438" s="18" t="n">
        <v>46148</v>
      </c>
      <c r="AA438" s="15" t="n"/>
      <c r="AB438" s="15" t="n"/>
    </row>
    <row r="439" hidden="1" s="233">
      <c r="A439" s="2" t="n">
        <v>46106</v>
      </c>
      <c r="B439" s="3" t="n">
        <v>2026</v>
      </c>
      <c r="C439" s="3" t="inlineStr">
        <is>
          <t>First Energy</t>
        </is>
      </c>
      <c r="D439" s="3" t="inlineStr">
        <is>
          <t>Utility and C&amp;I</t>
        </is>
      </c>
      <c r="E439" s="3" t="n"/>
      <c r="F439" s="3" t="inlineStr">
        <is>
          <t>WIP</t>
        </is>
      </c>
      <c r="G439" s="3" t="inlineStr">
        <is>
          <t>Mr. Gaurav</t>
        </is>
      </c>
      <c r="H439" s="3" t="n">
        <v>9979185999</v>
      </c>
      <c r="I439" s="11" t="inlineStr">
        <is>
          <t>PE25032601</t>
        </is>
      </c>
      <c r="J439" s="9" t="inlineStr">
        <is>
          <t>Module Defects</t>
        </is>
      </c>
      <c r="K439" s="3" t="inlineStr">
        <is>
          <t>Rajkot</t>
        </is>
      </c>
      <c r="L439" s="3" t="inlineStr">
        <is>
          <t>Gujarat</t>
        </is>
      </c>
      <c r="M439" s="9" t="inlineStr">
        <is>
          <t xml:space="preserve">hotspot found </t>
        </is>
      </c>
      <c r="N439" s="19" t="inlineStr">
        <is>
          <t>Hotspot</t>
        </is>
      </c>
      <c r="O439" s="3" t="n">
        <v>550</v>
      </c>
      <c r="P439" s="9" t="inlineStr">
        <is>
          <t>NSMP24091541435</t>
        </is>
      </c>
      <c r="Q439" s="53">
        <f>MID(P439,5,2)</f>
        <v/>
      </c>
      <c r="R439" s="53">
        <f>MID(P439,7,2)</f>
        <v/>
      </c>
      <c r="S439" s="3" t="inlineStr">
        <is>
          <t>G2TB</t>
        </is>
      </c>
      <c r="T439" s="3" t="inlineStr">
        <is>
          <t>P2</t>
        </is>
      </c>
      <c r="U439" s="9" t="inlineStr">
        <is>
          <t>Multi Cell Hotspot</t>
        </is>
      </c>
      <c r="V439" s="3" t="inlineStr">
        <is>
          <t>Inspection</t>
        </is>
      </c>
      <c r="W439" s="3" t="inlineStr">
        <is>
          <t>WIP</t>
        </is>
      </c>
      <c r="X439" s="5" t="n"/>
      <c r="Y439" s="3">
        <f>X439-A439</f>
        <v/>
      </c>
      <c r="Z439" s="18" t="n">
        <v>46148</v>
      </c>
      <c r="AA439" s="15" t="n"/>
      <c r="AB439" s="15" t="n"/>
    </row>
    <row r="440" hidden="1" s="233">
      <c r="A440" s="2" t="n">
        <v>46106</v>
      </c>
      <c r="B440" s="3" t="n">
        <v>2026</v>
      </c>
      <c r="C440" s="3" t="inlineStr">
        <is>
          <t>First Energy</t>
        </is>
      </c>
      <c r="D440" s="3" t="inlineStr">
        <is>
          <t>Utility and C&amp;I</t>
        </is>
      </c>
      <c r="E440" s="3" t="n"/>
      <c r="F440" s="3" t="inlineStr">
        <is>
          <t>WIP</t>
        </is>
      </c>
      <c r="G440" s="3" t="inlineStr">
        <is>
          <t>Mr. Gaurav</t>
        </is>
      </c>
      <c r="H440" s="3" t="n">
        <v>9979185999</v>
      </c>
      <c r="I440" s="11" t="inlineStr">
        <is>
          <t>PE25032601</t>
        </is>
      </c>
      <c r="J440" s="9" t="inlineStr">
        <is>
          <t>Module Defects</t>
        </is>
      </c>
      <c r="K440" s="3" t="inlineStr">
        <is>
          <t>Rajkot</t>
        </is>
      </c>
      <c r="L440" s="3" t="inlineStr">
        <is>
          <t>Gujarat</t>
        </is>
      </c>
      <c r="M440" s="9" t="inlineStr">
        <is>
          <t xml:space="preserve">hotspot found </t>
        </is>
      </c>
      <c r="N440" s="19" t="inlineStr">
        <is>
          <t>Hotspot</t>
        </is>
      </c>
      <c r="O440" s="3" t="n">
        <v>550</v>
      </c>
      <c r="P440" s="9" t="inlineStr">
        <is>
          <t>NSMP24091541919</t>
        </is>
      </c>
      <c r="Q440" s="53">
        <f>MID(P440,5,2)</f>
        <v/>
      </c>
      <c r="R440" s="53">
        <f>MID(P440,7,2)</f>
        <v/>
      </c>
      <c r="S440" s="3" t="inlineStr">
        <is>
          <t>G2TB</t>
        </is>
      </c>
      <c r="T440" s="3" t="inlineStr">
        <is>
          <t>P2</t>
        </is>
      </c>
      <c r="U440" s="9" t="inlineStr">
        <is>
          <t>Single Cell Hotspot</t>
        </is>
      </c>
      <c r="V440" s="3" t="inlineStr">
        <is>
          <t>Inspection</t>
        </is>
      </c>
      <c r="W440" s="3" t="inlineStr">
        <is>
          <t>WIP</t>
        </is>
      </c>
      <c r="X440" s="5" t="n"/>
      <c r="Y440" s="3">
        <f>X440-A440</f>
        <v/>
      </c>
      <c r="Z440" s="18" t="n">
        <v>46148</v>
      </c>
      <c r="AA440" s="15" t="n"/>
      <c r="AB440" s="15" t="n"/>
    </row>
    <row r="441" hidden="1" s="233">
      <c r="A441" s="2" t="n">
        <v>46106</v>
      </c>
      <c r="B441" s="3" t="n">
        <v>2026</v>
      </c>
      <c r="C441" s="3" t="inlineStr">
        <is>
          <t>First Energy</t>
        </is>
      </c>
      <c r="D441" s="3" t="inlineStr">
        <is>
          <t>Utility and C&amp;I</t>
        </is>
      </c>
      <c r="E441" s="3" t="n"/>
      <c r="F441" s="3" t="inlineStr">
        <is>
          <t>WIP</t>
        </is>
      </c>
      <c r="G441" s="3" t="inlineStr">
        <is>
          <t>Mr. Gaurav</t>
        </is>
      </c>
      <c r="H441" s="3" t="n">
        <v>9979185999</v>
      </c>
      <c r="I441" s="11" t="inlineStr">
        <is>
          <t>PE25032601</t>
        </is>
      </c>
      <c r="J441" s="9" t="inlineStr">
        <is>
          <t>Module Defects</t>
        </is>
      </c>
      <c r="K441" s="3" t="inlineStr">
        <is>
          <t>Rajkot</t>
        </is>
      </c>
      <c r="L441" s="3" t="inlineStr">
        <is>
          <t>Gujarat</t>
        </is>
      </c>
      <c r="M441" s="9" t="inlineStr">
        <is>
          <t xml:space="preserve">hotspot found </t>
        </is>
      </c>
      <c r="N441" s="19" t="inlineStr">
        <is>
          <t>Hotspot</t>
        </is>
      </c>
      <c r="O441" s="3" t="n">
        <v>550</v>
      </c>
      <c r="P441" s="9" t="inlineStr">
        <is>
          <t>NSMP24091541767</t>
        </is>
      </c>
      <c r="Q441" s="53">
        <f>MID(P441,5,2)</f>
        <v/>
      </c>
      <c r="R441" s="53">
        <f>MID(P441,7,2)</f>
        <v/>
      </c>
      <c r="S441" s="3" t="inlineStr">
        <is>
          <t>G2TB</t>
        </is>
      </c>
      <c r="T441" s="3" t="inlineStr">
        <is>
          <t>P2</t>
        </is>
      </c>
      <c r="U441" s="9" t="inlineStr">
        <is>
          <t>Multi Cell Hotspot</t>
        </is>
      </c>
      <c r="V441" s="3" t="inlineStr">
        <is>
          <t>Inspection</t>
        </is>
      </c>
      <c r="W441" s="3" t="inlineStr">
        <is>
          <t>WIP</t>
        </is>
      </c>
      <c r="X441" s="5" t="n"/>
      <c r="Y441" s="3">
        <f>X441-A441</f>
        <v/>
      </c>
      <c r="Z441" s="18" t="n">
        <v>46148</v>
      </c>
      <c r="AA441" s="15" t="n"/>
      <c r="AB441" s="15" t="n"/>
    </row>
    <row r="442" hidden="1" s="233">
      <c r="A442" s="2" t="n">
        <v>46106</v>
      </c>
      <c r="B442" s="3" t="n">
        <v>2026</v>
      </c>
      <c r="C442" s="3" t="inlineStr">
        <is>
          <t>First Energy</t>
        </is>
      </c>
      <c r="D442" s="3" t="inlineStr">
        <is>
          <t>Utility and C&amp;I</t>
        </is>
      </c>
      <c r="E442" s="3" t="n"/>
      <c r="F442" s="3" t="inlineStr">
        <is>
          <t>WIP</t>
        </is>
      </c>
      <c r="G442" s="3" t="inlineStr">
        <is>
          <t>Mr. Gaurav</t>
        </is>
      </c>
      <c r="H442" s="3" t="n">
        <v>9979185999</v>
      </c>
      <c r="I442" s="11" t="inlineStr">
        <is>
          <t>PE25032601</t>
        </is>
      </c>
      <c r="J442" s="9" t="inlineStr">
        <is>
          <t>Module Defects</t>
        </is>
      </c>
      <c r="K442" s="3" t="inlineStr">
        <is>
          <t>Rajkot</t>
        </is>
      </c>
      <c r="L442" s="3" t="inlineStr">
        <is>
          <t>Gujarat</t>
        </is>
      </c>
      <c r="M442" s="9" t="inlineStr">
        <is>
          <t xml:space="preserve">hotspot found </t>
        </is>
      </c>
      <c r="N442" s="19" t="inlineStr">
        <is>
          <t>Hotspot</t>
        </is>
      </c>
      <c r="O442" s="3" t="n">
        <v>550</v>
      </c>
      <c r="P442" s="9" t="inlineStr">
        <is>
          <t>NSMP24091544147</t>
        </is>
      </c>
      <c r="Q442" s="53">
        <f>MID(P442,5,2)</f>
        <v/>
      </c>
      <c r="R442" s="53">
        <f>MID(P442,7,2)</f>
        <v/>
      </c>
      <c r="S442" s="3" t="inlineStr">
        <is>
          <t>G2TB</t>
        </is>
      </c>
      <c r="T442" s="3" t="inlineStr">
        <is>
          <t>P2</t>
        </is>
      </c>
      <c r="U442" s="9" t="inlineStr">
        <is>
          <t>Multi Cell Hotspot</t>
        </is>
      </c>
      <c r="V442" s="3" t="inlineStr">
        <is>
          <t>Inspection</t>
        </is>
      </c>
      <c r="W442" s="3" t="inlineStr">
        <is>
          <t>WIP</t>
        </is>
      </c>
      <c r="X442" s="5" t="n"/>
      <c r="Y442" s="3">
        <f>X442-A442</f>
        <v/>
      </c>
      <c r="Z442" s="18" t="n">
        <v>46148</v>
      </c>
      <c r="AA442" s="15" t="n"/>
      <c r="AB442" s="15" t="n"/>
    </row>
    <row r="443" hidden="1" s="233">
      <c r="A443" s="2" t="n">
        <v>46106</v>
      </c>
      <c r="B443" s="3" t="n">
        <v>2026</v>
      </c>
      <c r="C443" s="3" t="inlineStr">
        <is>
          <t>First Energy</t>
        </is>
      </c>
      <c r="D443" s="3" t="inlineStr">
        <is>
          <t>Utility and C&amp;I</t>
        </is>
      </c>
      <c r="E443" s="3" t="n"/>
      <c r="F443" s="3" t="inlineStr">
        <is>
          <t>WIP</t>
        </is>
      </c>
      <c r="G443" s="3" t="inlineStr">
        <is>
          <t>Mr. Gaurav</t>
        </is>
      </c>
      <c r="H443" s="3" t="n">
        <v>9979185999</v>
      </c>
      <c r="I443" s="11" t="inlineStr">
        <is>
          <t>PE25032601</t>
        </is>
      </c>
      <c r="J443" s="9" t="inlineStr">
        <is>
          <t>Module Defects</t>
        </is>
      </c>
      <c r="K443" s="3" t="inlineStr">
        <is>
          <t>Rajkot</t>
        </is>
      </c>
      <c r="L443" s="3" t="inlineStr">
        <is>
          <t>Gujarat</t>
        </is>
      </c>
      <c r="M443" s="9" t="inlineStr">
        <is>
          <t xml:space="preserve">hotspot found </t>
        </is>
      </c>
      <c r="N443" s="19" t="inlineStr">
        <is>
          <t>Hotspot</t>
        </is>
      </c>
      <c r="O443" s="3" t="n">
        <v>550</v>
      </c>
      <c r="P443" s="9" t="inlineStr">
        <is>
          <t>NSMP24091541123</t>
        </is>
      </c>
      <c r="Q443" s="53">
        <f>MID(P443,5,2)</f>
        <v/>
      </c>
      <c r="R443" s="53">
        <f>MID(P443,7,2)</f>
        <v/>
      </c>
      <c r="S443" s="3" t="inlineStr">
        <is>
          <t>G2TB</t>
        </is>
      </c>
      <c r="T443" s="3" t="inlineStr">
        <is>
          <t>P2</t>
        </is>
      </c>
      <c r="U443" s="9" t="inlineStr">
        <is>
          <t xml:space="preserve">Multi Cell Hotspot </t>
        </is>
      </c>
      <c r="V443" s="3" t="inlineStr">
        <is>
          <t>Inspection</t>
        </is>
      </c>
      <c r="W443" s="3" t="inlineStr">
        <is>
          <t>WIP</t>
        </is>
      </c>
      <c r="X443" s="5" t="n"/>
      <c r="Y443" s="3">
        <f>X443-A443</f>
        <v/>
      </c>
      <c r="Z443" s="18" t="n">
        <v>46148</v>
      </c>
      <c r="AA443" s="15" t="n"/>
      <c r="AB443" s="15" t="n"/>
    </row>
    <row r="444" hidden="1" s="233">
      <c r="A444" s="2" t="n">
        <v>46106</v>
      </c>
      <c r="B444" s="3" t="n">
        <v>2026</v>
      </c>
      <c r="C444" s="3" t="inlineStr">
        <is>
          <t>First Energy</t>
        </is>
      </c>
      <c r="D444" s="3" t="inlineStr">
        <is>
          <t>Utility and C&amp;I</t>
        </is>
      </c>
      <c r="E444" s="3" t="n"/>
      <c r="F444" s="3" t="inlineStr">
        <is>
          <t>WIP</t>
        </is>
      </c>
      <c r="G444" s="3" t="inlineStr">
        <is>
          <t>Mr. Gaurav</t>
        </is>
      </c>
      <c r="H444" s="3" t="n">
        <v>9979185999</v>
      </c>
      <c r="I444" s="11" t="inlineStr">
        <is>
          <t>PE25032601</t>
        </is>
      </c>
      <c r="J444" s="9" t="inlineStr">
        <is>
          <t>Module Defects</t>
        </is>
      </c>
      <c r="K444" s="3" t="inlineStr">
        <is>
          <t>Rajkot</t>
        </is>
      </c>
      <c r="L444" s="3" t="inlineStr">
        <is>
          <t>Gujarat</t>
        </is>
      </c>
      <c r="M444" s="9" t="inlineStr">
        <is>
          <t xml:space="preserve">hotspot found </t>
        </is>
      </c>
      <c r="N444" s="19" t="inlineStr">
        <is>
          <t>Hotspot</t>
        </is>
      </c>
      <c r="O444" s="3" t="n">
        <v>550</v>
      </c>
      <c r="P444" s="9" t="inlineStr">
        <is>
          <t>NSMP24091541085</t>
        </is>
      </c>
      <c r="Q444" s="53">
        <f>MID(P444,5,2)</f>
        <v/>
      </c>
      <c r="R444" s="53">
        <f>MID(P444,7,2)</f>
        <v/>
      </c>
      <c r="S444" s="3" t="inlineStr">
        <is>
          <t>G2TB</t>
        </is>
      </c>
      <c r="T444" s="3" t="inlineStr">
        <is>
          <t>P2</t>
        </is>
      </c>
      <c r="U444" s="9" t="inlineStr">
        <is>
          <t>Single Cell Hotspot</t>
        </is>
      </c>
      <c r="V444" s="3" t="inlineStr">
        <is>
          <t>Inspection</t>
        </is>
      </c>
      <c r="W444" s="3" t="inlineStr">
        <is>
          <t>WIP</t>
        </is>
      </c>
      <c r="X444" s="5" t="n"/>
      <c r="Y444" s="3">
        <f>X444-A444</f>
        <v/>
      </c>
      <c r="Z444" s="18" t="n">
        <v>46148</v>
      </c>
      <c r="AA444" s="15" t="n"/>
      <c r="AB444" s="15" t="n"/>
    </row>
    <row r="445" hidden="1" s="233">
      <c r="A445" s="2" t="n">
        <v>46106</v>
      </c>
      <c r="B445" s="3" t="n">
        <v>2026</v>
      </c>
      <c r="C445" s="3" t="inlineStr">
        <is>
          <t>First Energy</t>
        </is>
      </c>
      <c r="D445" s="3" t="inlineStr">
        <is>
          <t>Utility and C&amp;I</t>
        </is>
      </c>
      <c r="E445" s="3" t="n"/>
      <c r="F445" s="3" t="inlineStr">
        <is>
          <t>WIP</t>
        </is>
      </c>
      <c r="G445" s="3" t="inlineStr">
        <is>
          <t>Mr. Gaurav</t>
        </is>
      </c>
      <c r="H445" s="3" t="n">
        <v>9979185999</v>
      </c>
      <c r="I445" s="11" t="inlineStr">
        <is>
          <t>PE25032601</t>
        </is>
      </c>
      <c r="J445" s="9" t="inlineStr">
        <is>
          <t>Module Defects</t>
        </is>
      </c>
      <c r="K445" s="3" t="inlineStr">
        <is>
          <t>Rajkot</t>
        </is>
      </c>
      <c r="L445" s="3" t="inlineStr">
        <is>
          <t>Gujarat</t>
        </is>
      </c>
      <c r="M445" s="9" t="inlineStr">
        <is>
          <t xml:space="preserve">hotspot found </t>
        </is>
      </c>
      <c r="N445" s="19" t="inlineStr">
        <is>
          <t>Hotspot</t>
        </is>
      </c>
      <c r="O445" s="3" t="n">
        <v>550</v>
      </c>
      <c r="P445" s="9" t="inlineStr">
        <is>
          <t>NSMP24091541674</t>
        </is>
      </c>
      <c r="Q445" s="53">
        <f>MID(P445,5,2)</f>
        <v/>
      </c>
      <c r="R445" s="53">
        <f>MID(P445,7,2)</f>
        <v/>
      </c>
      <c r="S445" s="3" t="inlineStr">
        <is>
          <t>G2TB</t>
        </is>
      </c>
      <c r="T445" s="3" t="inlineStr">
        <is>
          <t>P2</t>
        </is>
      </c>
      <c r="U445" s="9" t="inlineStr">
        <is>
          <t>Single Cell Hotspot</t>
        </is>
      </c>
      <c r="V445" s="3" t="inlineStr">
        <is>
          <t>Inspection</t>
        </is>
      </c>
      <c r="W445" s="3" t="inlineStr">
        <is>
          <t>WIP</t>
        </is>
      </c>
      <c r="X445" s="5" t="n"/>
      <c r="Y445" s="3">
        <f>X445-A445</f>
        <v/>
      </c>
      <c r="Z445" s="18" t="n">
        <v>46148</v>
      </c>
      <c r="AA445" s="15" t="n"/>
      <c r="AB445" s="15" t="n"/>
    </row>
    <row r="446" hidden="1" s="233">
      <c r="A446" s="2" t="n">
        <v>46106</v>
      </c>
      <c r="B446" s="3" t="n">
        <v>2026</v>
      </c>
      <c r="C446" s="3" t="inlineStr">
        <is>
          <t>First Energy</t>
        </is>
      </c>
      <c r="D446" s="3" t="inlineStr">
        <is>
          <t>Utility and C&amp;I</t>
        </is>
      </c>
      <c r="E446" s="3" t="n"/>
      <c r="F446" s="3" t="inlineStr">
        <is>
          <t>WIP</t>
        </is>
      </c>
      <c r="G446" s="3" t="inlineStr">
        <is>
          <t>Mr. Gaurav</t>
        </is>
      </c>
      <c r="H446" s="3" t="n">
        <v>9979185999</v>
      </c>
      <c r="I446" s="11" t="inlineStr">
        <is>
          <t>PE25032601</t>
        </is>
      </c>
      <c r="J446" s="9" t="inlineStr">
        <is>
          <t>Module Defects</t>
        </is>
      </c>
      <c r="K446" s="3" t="inlineStr">
        <is>
          <t>Rajkot</t>
        </is>
      </c>
      <c r="L446" s="3" t="inlineStr">
        <is>
          <t>Gujarat</t>
        </is>
      </c>
      <c r="M446" s="9" t="inlineStr">
        <is>
          <t xml:space="preserve">hotspot found </t>
        </is>
      </c>
      <c r="N446" s="19" t="inlineStr">
        <is>
          <t>Hotspot</t>
        </is>
      </c>
      <c r="O446" s="3" t="n">
        <v>550</v>
      </c>
      <c r="P446" s="9" t="inlineStr">
        <is>
          <t>NSMP24091550424</t>
        </is>
      </c>
      <c r="Q446" s="53">
        <f>MID(P446,5,2)</f>
        <v/>
      </c>
      <c r="R446" s="53">
        <f>MID(P446,7,2)</f>
        <v/>
      </c>
      <c r="S446" s="3" t="inlineStr">
        <is>
          <t>G2TB</t>
        </is>
      </c>
      <c r="T446" s="3" t="inlineStr">
        <is>
          <t>P2</t>
        </is>
      </c>
      <c r="U446" s="9" t="inlineStr">
        <is>
          <t xml:space="preserve">Multi Cell Hotspot </t>
        </is>
      </c>
      <c r="V446" s="3" t="inlineStr">
        <is>
          <t>Inspection</t>
        </is>
      </c>
      <c r="W446" s="3" t="inlineStr">
        <is>
          <t>WIP</t>
        </is>
      </c>
      <c r="X446" s="5" t="n"/>
      <c r="Y446" s="3">
        <f>X446-A446</f>
        <v/>
      </c>
      <c r="Z446" s="18" t="n">
        <v>46148</v>
      </c>
      <c r="AA446" s="15" t="n"/>
      <c r="AB446" s="15" t="n"/>
    </row>
    <row r="447" hidden="1" s="233">
      <c r="A447" s="2" t="n">
        <v>46106</v>
      </c>
      <c r="B447" s="3" t="n">
        <v>2026</v>
      </c>
      <c r="C447" s="3" t="inlineStr">
        <is>
          <t>First Energy</t>
        </is>
      </c>
      <c r="D447" s="3" t="inlineStr">
        <is>
          <t>Utility and C&amp;I</t>
        </is>
      </c>
      <c r="E447" s="3" t="n"/>
      <c r="F447" s="3" t="inlineStr">
        <is>
          <t>WIP</t>
        </is>
      </c>
      <c r="G447" s="3" t="inlineStr">
        <is>
          <t>Mr. Gaurav</t>
        </is>
      </c>
      <c r="H447" s="3" t="n">
        <v>9979185999</v>
      </c>
      <c r="I447" s="11" t="inlineStr">
        <is>
          <t>PE25032601</t>
        </is>
      </c>
      <c r="J447" s="9" t="inlineStr">
        <is>
          <t>Module Defects</t>
        </is>
      </c>
      <c r="K447" s="3" t="inlineStr">
        <is>
          <t>Rajkot</t>
        </is>
      </c>
      <c r="L447" s="3" t="inlineStr">
        <is>
          <t>Gujarat</t>
        </is>
      </c>
      <c r="M447" s="9" t="inlineStr">
        <is>
          <t xml:space="preserve">hotspot found </t>
        </is>
      </c>
      <c r="N447" s="19" t="inlineStr">
        <is>
          <t>Hotspot</t>
        </is>
      </c>
      <c r="O447" s="3" t="n">
        <v>550</v>
      </c>
      <c r="P447" s="9" t="inlineStr">
        <is>
          <t>NSMP2301308462</t>
        </is>
      </c>
      <c r="Q447" s="53">
        <f>MID(P447,5,2)</f>
        <v/>
      </c>
      <c r="R447" s="53">
        <f>MID(P447,7,2)</f>
        <v/>
      </c>
      <c r="S447" s="3" t="inlineStr">
        <is>
          <t>G2TB</t>
        </is>
      </c>
      <c r="T447" s="3" t="inlineStr">
        <is>
          <t>P2</t>
        </is>
      </c>
      <c r="U447" s="9" t="inlineStr">
        <is>
          <t>Multi Cell Hotspot</t>
        </is>
      </c>
      <c r="V447" s="3" t="inlineStr">
        <is>
          <t>Inspection</t>
        </is>
      </c>
      <c r="W447" s="3" t="inlineStr">
        <is>
          <t>WIP</t>
        </is>
      </c>
      <c r="X447" s="5" t="n"/>
      <c r="Y447" s="3">
        <f>X447-A447</f>
        <v/>
      </c>
      <c r="Z447" s="18" t="n">
        <v>46148</v>
      </c>
      <c r="AA447" s="15" t="n"/>
      <c r="AB447" s="15" t="n"/>
    </row>
    <row r="448" hidden="1" s="233">
      <c r="A448" s="2" t="n">
        <v>46106</v>
      </c>
      <c r="B448" s="3" t="n">
        <v>2026</v>
      </c>
      <c r="C448" s="3" t="inlineStr">
        <is>
          <t>First Energy</t>
        </is>
      </c>
      <c r="D448" s="3" t="inlineStr">
        <is>
          <t>Utility and C&amp;I</t>
        </is>
      </c>
      <c r="E448" s="3" t="n"/>
      <c r="F448" s="3" t="inlineStr">
        <is>
          <t>WIP</t>
        </is>
      </c>
      <c r="G448" s="3" t="inlineStr">
        <is>
          <t>Mr. Gaurav</t>
        </is>
      </c>
      <c r="H448" s="3" t="n">
        <v>9979185999</v>
      </c>
      <c r="I448" s="11" t="inlineStr">
        <is>
          <t>PE25032601</t>
        </is>
      </c>
      <c r="J448" s="9" t="inlineStr">
        <is>
          <t>Module Defects</t>
        </is>
      </c>
      <c r="K448" s="3" t="inlineStr">
        <is>
          <t>Rajkot</t>
        </is>
      </c>
      <c r="L448" s="3" t="inlineStr">
        <is>
          <t>Gujarat</t>
        </is>
      </c>
      <c r="M448" s="9" t="inlineStr">
        <is>
          <t xml:space="preserve">hotspot found </t>
        </is>
      </c>
      <c r="N448" s="19" t="inlineStr">
        <is>
          <t>Hotspot</t>
        </is>
      </c>
      <c r="O448" s="3" t="n">
        <v>550</v>
      </c>
      <c r="P448" s="9" t="inlineStr">
        <is>
          <t>NSMP2212268805</t>
        </is>
      </c>
      <c r="Q448" s="53">
        <f>MID(P448,5,2)</f>
        <v/>
      </c>
      <c r="R448" s="53">
        <f>MID(P448,7,2)</f>
        <v/>
      </c>
      <c r="S448" s="3" t="inlineStr">
        <is>
          <t>G2TB</t>
        </is>
      </c>
      <c r="T448" s="3" t="inlineStr">
        <is>
          <t>P2</t>
        </is>
      </c>
      <c r="U448" s="9" t="inlineStr">
        <is>
          <t>Multi Cell Hotspot</t>
        </is>
      </c>
      <c r="V448" s="3" t="inlineStr">
        <is>
          <t>Inspection</t>
        </is>
      </c>
      <c r="W448" s="3" t="inlineStr">
        <is>
          <t>WIP</t>
        </is>
      </c>
      <c r="X448" s="5" t="n"/>
      <c r="Y448" s="3">
        <f>X448-A448</f>
        <v/>
      </c>
      <c r="Z448" s="18" t="n">
        <v>46148</v>
      </c>
      <c r="AA448" s="15" t="n"/>
      <c r="AB448" s="15" t="n"/>
    </row>
    <row r="449" hidden="1" s="233">
      <c r="A449" s="2" t="n">
        <v>46106</v>
      </c>
      <c r="B449" s="3" t="n">
        <v>2026</v>
      </c>
      <c r="C449" s="3" t="inlineStr">
        <is>
          <t>First Energy</t>
        </is>
      </c>
      <c r="D449" s="3" t="inlineStr">
        <is>
          <t>Utility and C&amp;I</t>
        </is>
      </c>
      <c r="E449" s="3" t="n"/>
      <c r="F449" s="3" t="inlineStr">
        <is>
          <t>WIP</t>
        </is>
      </c>
      <c r="G449" s="3" t="inlineStr">
        <is>
          <t>Mr. Gaurav</t>
        </is>
      </c>
      <c r="H449" s="3" t="n">
        <v>9979185999</v>
      </c>
      <c r="I449" s="11" t="inlineStr">
        <is>
          <t>PE25032601</t>
        </is>
      </c>
      <c r="J449" s="9" t="inlineStr">
        <is>
          <t>Module Defects</t>
        </is>
      </c>
      <c r="K449" s="3" t="inlineStr">
        <is>
          <t>Rajkot</t>
        </is>
      </c>
      <c r="L449" s="3" t="inlineStr">
        <is>
          <t>Gujarat</t>
        </is>
      </c>
      <c r="M449" s="9" t="inlineStr">
        <is>
          <t xml:space="preserve">hotspot found </t>
        </is>
      </c>
      <c r="N449" s="19" t="inlineStr">
        <is>
          <t>Hotspot</t>
        </is>
      </c>
      <c r="O449" s="3" t="n">
        <v>550</v>
      </c>
      <c r="P449" s="9" t="inlineStr">
        <is>
          <t>NSMP24091544627</t>
        </is>
      </c>
      <c r="Q449" s="53">
        <f>MID(P449,5,2)</f>
        <v/>
      </c>
      <c r="R449" s="53">
        <f>MID(P449,7,2)</f>
        <v/>
      </c>
      <c r="S449" s="3" t="inlineStr">
        <is>
          <t>G2TB</t>
        </is>
      </c>
      <c r="T449" s="3" t="inlineStr">
        <is>
          <t>P2</t>
        </is>
      </c>
      <c r="U449" s="9" t="inlineStr">
        <is>
          <t>Multi Cell Hotspot</t>
        </is>
      </c>
      <c r="V449" s="3" t="inlineStr">
        <is>
          <t>Inspection</t>
        </is>
      </c>
      <c r="W449" s="3" t="inlineStr">
        <is>
          <t>WIP</t>
        </is>
      </c>
      <c r="X449" s="5" t="n"/>
      <c r="Y449" s="3">
        <f>X449-A449</f>
        <v/>
      </c>
      <c r="Z449" s="18" t="n">
        <v>46148</v>
      </c>
      <c r="AA449" s="15" t="n"/>
      <c r="AB449" s="15" t="n"/>
    </row>
    <row r="450" hidden="1" s="233">
      <c r="A450" s="2" t="n">
        <v>46106</v>
      </c>
      <c r="B450" s="3" t="n">
        <v>2026</v>
      </c>
      <c r="C450" s="3" t="inlineStr">
        <is>
          <t>First Energy</t>
        </is>
      </c>
      <c r="D450" s="3" t="inlineStr">
        <is>
          <t>Utility and C&amp;I</t>
        </is>
      </c>
      <c r="E450" s="3" t="n"/>
      <c r="F450" s="3" t="inlineStr">
        <is>
          <t>WIP</t>
        </is>
      </c>
      <c r="G450" s="3" t="inlineStr">
        <is>
          <t>Mr. Gaurav</t>
        </is>
      </c>
      <c r="H450" s="3" t="n">
        <v>9979185999</v>
      </c>
      <c r="I450" s="11" t="inlineStr">
        <is>
          <t>PE25032601</t>
        </is>
      </c>
      <c r="J450" s="9" t="inlineStr">
        <is>
          <t>Module Defects</t>
        </is>
      </c>
      <c r="K450" s="3" t="inlineStr">
        <is>
          <t>Rajkot</t>
        </is>
      </c>
      <c r="L450" s="3" t="inlineStr">
        <is>
          <t>Gujarat</t>
        </is>
      </c>
      <c r="M450" s="9" t="inlineStr">
        <is>
          <t xml:space="preserve">hotspot found </t>
        </is>
      </c>
      <c r="N450" s="19" t="inlineStr">
        <is>
          <t>Hotspot</t>
        </is>
      </c>
      <c r="O450" s="3" t="n">
        <v>550</v>
      </c>
      <c r="P450" s="9" t="inlineStr">
        <is>
          <t>NSMP2212283817</t>
        </is>
      </c>
      <c r="Q450" s="53">
        <f>MID(P450,5,2)</f>
        <v/>
      </c>
      <c r="R450" s="53">
        <f>MID(P450,7,2)</f>
        <v/>
      </c>
      <c r="S450" s="3" t="inlineStr">
        <is>
          <t>G2TB</t>
        </is>
      </c>
      <c r="T450" s="3" t="inlineStr">
        <is>
          <t>P2</t>
        </is>
      </c>
      <c r="U450" s="9" t="inlineStr">
        <is>
          <t>Single Cell Hotspot</t>
        </is>
      </c>
      <c r="V450" s="3" t="inlineStr">
        <is>
          <t>Inspection</t>
        </is>
      </c>
      <c r="W450" s="3" t="inlineStr">
        <is>
          <t>WIP</t>
        </is>
      </c>
      <c r="X450" s="5" t="n"/>
      <c r="Y450" s="3">
        <f>X450-A450</f>
        <v/>
      </c>
      <c r="Z450" s="18" t="n">
        <v>46148</v>
      </c>
      <c r="AA450" s="15" t="n"/>
      <c r="AB450" s="15" t="n"/>
    </row>
    <row r="451" hidden="1" s="233">
      <c r="A451" s="2" t="n">
        <v>46106</v>
      </c>
      <c r="B451" s="3" t="n">
        <v>2026</v>
      </c>
      <c r="C451" s="3" t="inlineStr">
        <is>
          <t>First Energy</t>
        </is>
      </c>
      <c r="D451" s="3" t="inlineStr">
        <is>
          <t>Utility and C&amp;I</t>
        </is>
      </c>
      <c r="E451" s="3" t="n"/>
      <c r="F451" s="3" t="inlineStr">
        <is>
          <t>WIP</t>
        </is>
      </c>
      <c r="G451" s="3" t="inlineStr">
        <is>
          <t>Mr. Gaurav</t>
        </is>
      </c>
      <c r="H451" s="3" t="n">
        <v>9979185999</v>
      </c>
      <c r="I451" s="11" t="inlineStr">
        <is>
          <t>PE25032601</t>
        </is>
      </c>
      <c r="J451" s="9" t="inlineStr">
        <is>
          <t>Module Defects</t>
        </is>
      </c>
      <c r="K451" s="3" t="inlineStr">
        <is>
          <t>Rajkot</t>
        </is>
      </c>
      <c r="L451" s="3" t="inlineStr">
        <is>
          <t>Gujarat</t>
        </is>
      </c>
      <c r="M451" s="9" t="inlineStr">
        <is>
          <t xml:space="preserve">hotspot found </t>
        </is>
      </c>
      <c r="N451" s="19" t="inlineStr">
        <is>
          <t>Hotspot</t>
        </is>
      </c>
      <c r="O451" s="3" t="n">
        <v>550</v>
      </c>
      <c r="P451" s="9" t="inlineStr">
        <is>
          <t>NSMP2212280215</t>
        </is>
      </c>
      <c r="Q451" s="53">
        <f>MID(P451,5,2)</f>
        <v/>
      </c>
      <c r="R451" s="53">
        <f>MID(P451,7,2)</f>
        <v/>
      </c>
      <c r="S451" s="3" t="inlineStr">
        <is>
          <t>G2TB</t>
        </is>
      </c>
      <c r="T451" s="3" t="inlineStr">
        <is>
          <t>P2</t>
        </is>
      </c>
      <c r="U451" s="9" t="inlineStr">
        <is>
          <t>Single Cell Hotspot</t>
        </is>
      </c>
      <c r="V451" s="3" t="inlineStr">
        <is>
          <t>Inspection</t>
        </is>
      </c>
      <c r="W451" s="3" t="inlineStr">
        <is>
          <t>WIP</t>
        </is>
      </c>
      <c r="X451" s="5" t="n"/>
      <c r="Y451" s="3">
        <f>X451-A451</f>
        <v/>
      </c>
      <c r="Z451" s="18" t="n">
        <v>46149</v>
      </c>
      <c r="AA451" s="15" t="n"/>
      <c r="AB451" s="15" t="n"/>
    </row>
    <row r="452" hidden="1" s="233">
      <c r="A452" s="2" t="n">
        <v>46106</v>
      </c>
      <c r="B452" s="3" t="n">
        <v>2026</v>
      </c>
      <c r="C452" s="3" t="inlineStr">
        <is>
          <t>First Energy</t>
        </is>
      </c>
      <c r="D452" s="3" t="inlineStr">
        <is>
          <t>Utility and C&amp;I</t>
        </is>
      </c>
      <c r="E452" s="3" t="n"/>
      <c r="F452" s="3" t="inlineStr">
        <is>
          <t>WIP</t>
        </is>
      </c>
      <c r="G452" s="3" t="inlineStr">
        <is>
          <t>Mr. Gaurav</t>
        </is>
      </c>
      <c r="H452" s="3" t="n">
        <v>9979185999</v>
      </c>
      <c r="I452" s="11" t="inlineStr">
        <is>
          <t>PE25032601</t>
        </is>
      </c>
      <c r="J452" s="9" t="inlineStr">
        <is>
          <t>Module Defects</t>
        </is>
      </c>
      <c r="K452" s="3" t="inlineStr">
        <is>
          <t>Rajkot</t>
        </is>
      </c>
      <c r="L452" s="3" t="inlineStr">
        <is>
          <t>Gujarat</t>
        </is>
      </c>
      <c r="M452" s="9" t="inlineStr">
        <is>
          <t xml:space="preserve">hotspot found </t>
        </is>
      </c>
      <c r="N452" s="19" t="inlineStr">
        <is>
          <t>Hotspot</t>
        </is>
      </c>
      <c r="O452" s="3" t="n">
        <v>550</v>
      </c>
      <c r="P452" s="9" t="inlineStr">
        <is>
          <t>NSMP2301306608</t>
        </is>
      </c>
      <c r="Q452" s="53">
        <f>MID(P452,5,2)</f>
        <v/>
      </c>
      <c r="R452" s="53">
        <f>MID(P452,7,2)</f>
        <v/>
      </c>
      <c r="S452" s="3" t="inlineStr">
        <is>
          <t>G2TB</t>
        </is>
      </c>
      <c r="T452" s="3" t="inlineStr">
        <is>
          <t>P2</t>
        </is>
      </c>
      <c r="U452" s="9" t="inlineStr">
        <is>
          <t>Single Cell Hotspot</t>
        </is>
      </c>
      <c r="V452" s="3" t="inlineStr">
        <is>
          <t>Inspection</t>
        </is>
      </c>
      <c r="W452" s="3" t="inlineStr">
        <is>
          <t>WIP</t>
        </is>
      </c>
      <c r="X452" s="5" t="n"/>
      <c r="Y452" s="3">
        <f>X452-A452</f>
        <v/>
      </c>
      <c r="Z452" s="18" t="n">
        <v>46149</v>
      </c>
      <c r="AA452" s="15" t="n"/>
      <c r="AB452" s="15" t="n"/>
    </row>
    <row r="453" hidden="1" s="233">
      <c r="A453" s="2" t="n">
        <v>46106</v>
      </c>
      <c r="B453" s="3" t="n">
        <v>2026</v>
      </c>
      <c r="C453" s="3" t="inlineStr">
        <is>
          <t>First Energy</t>
        </is>
      </c>
      <c r="D453" s="3" t="inlineStr">
        <is>
          <t>Utility and C&amp;I</t>
        </is>
      </c>
      <c r="E453" s="3" t="n"/>
      <c r="F453" s="3" t="inlineStr">
        <is>
          <t>WIP</t>
        </is>
      </c>
      <c r="G453" s="3" t="inlineStr">
        <is>
          <t>Mr. Gaurav</t>
        </is>
      </c>
      <c r="H453" s="3" t="n">
        <v>9979185999</v>
      </c>
      <c r="I453" s="11" t="inlineStr">
        <is>
          <t>PE25032601</t>
        </is>
      </c>
      <c r="J453" s="9" t="inlineStr">
        <is>
          <t>Module Defects</t>
        </is>
      </c>
      <c r="K453" s="3" t="inlineStr">
        <is>
          <t>Rajkot</t>
        </is>
      </c>
      <c r="L453" s="3" t="inlineStr">
        <is>
          <t>Gujarat</t>
        </is>
      </c>
      <c r="M453" s="9" t="inlineStr">
        <is>
          <t xml:space="preserve">hotspot found </t>
        </is>
      </c>
      <c r="N453" s="19" t="inlineStr">
        <is>
          <t>Hotspot</t>
        </is>
      </c>
      <c r="O453" s="3" t="n">
        <v>550</v>
      </c>
      <c r="P453" s="9" t="inlineStr">
        <is>
          <t>NSMP24091544295</t>
        </is>
      </c>
      <c r="Q453" s="53">
        <f>MID(P453,5,2)</f>
        <v/>
      </c>
      <c r="R453" s="53">
        <f>MID(P453,7,2)</f>
        <v/>
      </c>
      <c r="S453" s="3" t="inlineStr">
        <is>
          <t>G2TB</t>
        </is>
      </c>
      <c r="T453" s="3" t="inlineStr">
        <is>
          <t>P2</t>
        </is>
      </c>
      <c r="U453" s="9" t="inlineStr">
        <is>
          <t>Single Cell Hotspot</t>
        </is>
      </c>
      <c r="V453" s="3" t="inlineStr">
        <is>
          <t>Inspection</t>
        </is>
      </c>
      <c r="W453" s="3" t="inlineStr">
        <is>
          <t>WIP</t>
        </is>
      </c>
      <c r="X453" s="5" t="n"/>
      <c r="Y453" s="3">
        <f>X453-A453</f>
        <v/>
      </c>
      <c r="Z453" s="18" t="n">
        <v>46149</v>
      </c>
      <c r="AA453" s="15" t="n"/>
      <c r="AB453" s="15" t="n"/>
    </row>
    <row r="454" hidden="1" s="233">
      <c r="A454" s="2" t="n">
        <v>46106</v>
      </c>
      <c r="B454" s="3" t="n">
        <v>2026</v>
      </c>
      <c r="C454" s="3" t="inlineStr">
        <is>
          <t>First Energy</t>
        </is>
      </c>
      <c r="D454" s="3" t="inlineStr">
        <is>
          <t>Utility and C&amp;I</t>
        </is>
      </c>
      <c r="E454" s="3" t="n"/>
      <c r="F454" s="3" t="inlineStr">
        <is>
          <t>WIP</t>
        </is>
      </c>
      <c r="G454" s="3" t="inlineStr">
        <is>
          <t>Mr. Gaurav</t>
        </is>
      </c>
      <c r="H454" s="3" t="n">
        <v>9979185999</v>
      </c>
      <c r="I454" s="11" t="inlineStr">
        <is>
          <t>PE25032601</t>
        </is>
      </c>
      <c r="J454" s="9" t="inlineStr">
        <is>
          <t>Module Defects</t>
        </is>
      </c>
      <c r="K454" s="3" t="inlineStr">
        <is>
          <t>Rajkot</t>
        </is>
      </c>
      <c r="L454" s="3" t="inlineStr">
        <is>
          <t>Gujarat</t>
        </is>
      </c>
      <c r="M454" s="9" t="inlineStr">
        <is>
          <t xml:space="preserve">hotspot found </t>
        </is>
      </c>
      <c r="N454" s="19" t="inlineStr">
        <is>
          <t>Hotspot</t>
        </is>
      </c>
      <c r="O454" s="3" t="n">
        <v>550</v>
      </c>
      <c r="P454" s="9" t="inlineStr">
        <is>
          <t>NSMP2212285462</t>
        </is>
      </c>
      <c r="Q454" s="53">
        <f>MID(P454,5,2)</f>
        <v/>
      </c>
      <c r="R454" s="53">
        <f>MID(P454,7,2)</f>
        <v/>
      </c>
      <c r="S454" s="3" t="inlineStr">
        <is>
          <t>G2TB</t>
        </is>
      </c>
      <c r="T454" s="3" t="inlineStr">
        <is>
          <t>P2</t>
        </is>
      </c>
      <c r="U454" s="9" t="inlineStr">
        <is>
          <t>Single Cell Hotspot</t>
        </is>
      </c>
      <c r="V454" s="3" t="inlineStr">
        <is>
          <t>Inspection</t>
        </is>
      </c>
      <c r="W454" s="3" t="inlineStr">
        <is>
          <t>WIP</t>
        </is>
      </c>
      <c r="X454" s="5" t="n"/>
      <c r="Y454" s="3">
        <f>X454-A454</f>
        <v/>
      </c>
      <c r="Z454" s="18" t="n">
        <v>46149</v>
      </c>
      <c r="AA454" s="15" t="n"/>
      <c r="AB454" s="15" t="n"/>
    </row>
    <row r="455" hidden="1" s="233">
      <c r="A455" s="2" t="n">
        <v>46106</v>
      </c>
      <c r="B455" s="3" t="n">
        <v>2026</v>
      </c>
      <c r="C455" s="3" t="inlineStr">
        <is>
          <t>First Energy</t>
        </is>
      </c>
      <c r="D455" s="3" t="inlineStr">
        <is>
          <t>Utility and C&amp;I</t>
        </is>
      </c>
      <c r="E455" s="3" t="n"/>
      <c r="F455" s="3" t="inlineStr">
        <is>
          <t>WIP</t>
        </is>
      </c>
      <c r="G455" s="3" t="inlineStr">
        <is>
          <t>Mr. Gaurav</t>
        </is>
      </c>
      <c r="H455" s="3" t="n">
        <v>9979185999</v>
      </c>
      <c r="I455" s="11" t="inlineStr">
        <is>
          <t>PE25032601</t>
        </is>
      </c>
      <c r="J455" s="9" t="inlineStr">
        <is>
          <t>Module Defects</t>
        </is>
      </c>
      <c r="K455" s="3" t="inlineStr">
        <is>
          <t>Rajkot</t>
        </is>
      </c>
      <c r="L455" s="3" t="inlineStr">
        <is>
          <t>Gujarat</t>
        </is>
      </c>
      <c r="M455" s="9" t="inlineStr">
        <is>
          <t xml:space="preserve">hotspot found </t>
        </is>
      </c>
      <c r="N455" s="19" t="inlineStr">
        <is>
          <t>Hotspot</t>
        </is>
      </c>
      <c r="O455" s="3" t="n">
        <v>550</v>
      </c>
      <c r="P455" s="9" t="inlineStr">
        <is>
          <t>NSMP2301295194</t>
        </is>
      </c>
      <c r="Q455" s="53">
        <f>MID(P455,5,2)</f>
        <v/>
      </c>
      <c r="R455" s="53">
        <f>MID(P455,7,2)</f>
        <v/>
      </c>
      <c r="S455" s="3" t="inlineStr">
        <is>
          <t>G2TB</t>
        </is>
      </c>
      <c r="T455" s="3" t="inlineStr">
        <is>
          <t>P2</t>
        </is>
      </c>
      <c r="U455" s="9" t="inlineStr">
        <is>
          <t>Single Cell Hotspot</t>
        </is>
      </c>
      <c r="V455" s="3" t="inlineStr">
        <is>
          <t>Inspection</t>
        </is>
      </c>
      <c r="W455" s="3" t="inlineStr">
        <is>
          <t>WIP</t>
        </is>
      </c>
      <c r="X455" s="5" t="n"/>
      <c r="Y455" s="3">
        <f>X455-A455</f>
        <v/>
      </c>
      <c r="Z455" s="18" t="n">
        <v>46149</v>
      </c>
      <c r="AA455" s="15" t="n"/>
      <c r="AB455" s="15" t="n"/>
    </row>
    <row r="456" hidden="1" s="233">
      <c r="A456" s="6" t="n">
        <v>46107</v>
      </c>
      <c r="B456" s="3" t="n">
        <v>2026</v>
      </c>
      <c r="C456" s="3" t="inlineStr">
        <is>
          <t>Blupine</t>
        </is>
      </c>
      <c r="D456" s="3" t="inlineStr">
        <is>
          <t>Utility and C&amp;I</t>
        </is>
      </c>
      <c r="E456" s="3" t="n"/>
      <c r="F456" s="3" t="inlineStr">
        <is>
          <t>Closed</t>
        </is>
      </c>
      <c r="G456" s="3" t="inlineStr">
        <is>
          <t>Chandrashekar Patidar</t>
        </is>
      </c>
      <c r="H456" s="3" t="n">
        <v>7879764773</v>
      </c>
      <c r="I456" s="11" t="inlineStr">
        <is>
          <t>PE26032601</t>
        </is>
      </c>
      <c r="J456" s="3" t="inlineStr">
        <is>
          <t>Module Diode Failure</t>
        </is>
      </c>
      <c r="K456" s="3" t="inlineStr">
        <is>
          <t>Sadla</t>
        </is>
      </c>
      <c r="L456" s="3" t="inlineStr">
        <is>
          <t>Gujarat</t>
        </is>
      </c>
      <c r="M456" s="9" t="inlineStr">
        <is>
          <t>NS</t>
        </is>
      </c>
      <c r="N456" s="3" t="inlineStr">
        <is>
          <t>Cold Soldering</t>
        </is>
      </c>
      <c r="O456" s="3" t="n">
        <v>570</v>
      </c>
      <c r="P456" s="9" t="inlineStr">
        <is>
          <t>NSMI24060105868</t>
        </is>
      </c>
      <c r="Q456" s="53">
        <f>MID(P456,5,2)</f>
        <v/>
      </c>
      <c r="R456" s="53">
        <f>MID(P456,7,2)</f>
        <v/>
      </c>
      <c r="S456" s="3" t="inlineStr">
        <is>
          <t>G2G</t>
        </is>
      </c>
      <c r="T456" s="3" t="inlineStr">
        <is>
          <t>P4</t>
        </is>
      </c>
      <c r="U456" s="3" t="inlineStr">
        <is>
          <t>N JB Cold Soldering</t>
        </is>
      </c>
      <c r="V456" s="3" t="inlineStr">
        <is>
          <t>Soldering</t>
        </is>
      </c>
      <c r="W456" s="3" t="inlineStr">
        <is>
          <t>Repair</t>
        </is>
      </c>
      <c r="X456" s="18" t="n">
        <v>46149</v>
      </c>
      <c r="Y456" s="3">
        <f>X456-A456</f>
        <v/>
      </c>
      <c r="Z456" s="18" t="n">
        <v>46149</v>
      </c>
      <c r="AA456" s="15" t="n"/>
      <c r="AB456" s="15" t="n"/>
    </row>
    <row r="457" hidden="1" s="233">
      <c r="A457" s="6" t="n">
        <v>46107</v>
      </c>
      <c r="B457" s="3" t="n">
        <v>2026</v>
      </c>
      <c r="C457" s="3" t="inlineStr">
        <is>
          <t>Blupine</t>
        </is>
      </c>
      <c r="D457" s="3" t="inlineStr">
        <is>
          <t>Utility and C&amp;I</t>
        </is>
      </c>
      <c r="E457" s="3" t="n"/>
      <c r="F457" s="3" t="inlineStr">
        <is>
          <t>Closed</t>
        </is>
      </c>
      <c r="G457" s="3" t="inlineStr">
        <is>
          <t>Chandrashekar Patidar</t>
        </is>
      </c>
      <c r="H457" s="3" t="n">
        <v>7879764773</v>
      </c>
      <c r="I457" s="11" t="inlineStr">
        <is>
          <t>PE26032601</t>
        </is>
      </c>
      <c r="J457" s="3" t="inlineStr">
        <is>
          <t>Module Diode Failure</t>
        </is>
      </c>
      <c r="K457" s="3" t="inlineStr">
        <is>
          <t>Sadla</t>
        </is>
      </c>
      <c r="L457" s="3" t="inlineStr">
        <is>
          <t>Gujarat</t>
        </is>
      </c>
      <c r="M457" s="9" t="inlineStr">
        <is>
          <t>PS</t>
        </is>
      </c>
      <c r="N457" s="3" t="inlineStr">
        <is>
          <t>Cold Soldering</t>
        </is>
      </c>
      <c r="O457" s="3" t="n">
        <v>570</v>
      </c>
      <c r="P457" s="9" t="inlineStr">
        <is>
          <t>NSMI24050044919</t>
        </is>
      </c>
      <c r="Q457" s="53">
        <f>MID(P457,5,2)</f>
        <v/>
      </c>
      <c r="R457" s="53">
        <f>MID(P457,7,2)</f>
        <v/>
      </c>
      <c r="S457" s="3" t="inlineStr">
        <is>
          <t>G2G</t>
        </is>
      </c>
      <c r="T457" s="3" t="inlineStr">
        <is>
          <t>P4</t>
        </is>
      </c>
      <c r="U457" s="3" t="inlineStr">
        <is>
          <t>P JB Cold Soldering</t>
        </is>
      </c>
      <c r="V457" s="3" t="inlineStr">
        <is>
          <t>Soldering</t>
        </is>
      </c>
      <c r="W457" s="3" t="inlineStr">
        <is>
          <t>Repair</t>
        </is>
      </c>
      <c r="X457" s="18" t="n">
        <v>46149</v>
      </c>
      <c r="Y457" s="3">
        <f>X457-A457</f>
        <v/>
      </c>
      <c r="Z457" s="18" t="n">
        <v>46149</v>
      </c>
      <c r="AA457" s="15" t="n"/>
      <c r="AB457" s="15" t="n"/>
    </row>
    <row r="458" hidden="1" s="233">
      <c r="A458" s="6" t="n">
        <v>46107</v>
      </c>
      <c r="B458" s="3" t="n">
        <v>2026</v>
      </c>
      <c r="C458" s="3" t="inlineStr">
        <is>
          <t>Blupine</t>
        </is>
      </c>
      <c r="D458" s="3" t="inlineStr">
        <is>
          <t>Utility and C&amp;I</t>
        </is>
      </c>
      <c r="E458" s="3" t="n"/>
      <c r="F458" s="3" t="inlineStr">
        <is>
          <t>Closed</t>
        </is>
      </c>
      <c r="G458" s="3" t="inlineStr">
        <is>
          <t>Chandrashekar Patidar</t>
        </is>
      </c>
      <c r="H458" s="3" t="n">
        <v>7879764773</v>
      </c>
      <c r="I458" s="11" t="inlineStr">
        <is>
          <t>PE26032601</t>
        </is>
      </c>
      <c r="J458" s="3" t="inlineStr">
        <is>
          <t>Module Diode Failure</t>
        </is>
      </c>
      <c r="K458" s="3" t="inlineStr">
        <is>
          <t>Sadla</t>
        </is>
      </c>
      <c r="L458" s="3" t="inlineStr">
        <is>
          <t>Gujarat</t>
        </is>
      </c>
      <c r="M458" s="9" t="inlineStr">
        <is>
          <t>NS</t>
        </is>
      </c>
      <c r="N458" s="3" t="inlineStr">
        <is>
          <t>Cold Soldering</t>
        </is>
      </c>
      <c r="O458" s="3" t="n">
        <v>570</v>
      </c>
      <c r="P458" s="9" t="inlineStr">
        <is>
          <t>NSMI24050052640</t>
        </is>
      </c>
      <c r="Q458" s="53">
        <f>MID(P458,5,2)</f>
        <v/>
      </c>
      <c r="R458" s="53">
        <f>MID(P458,7,2)</f>
        <v/>
      </c>
      <c r="S458" s="3" t="inlineStr">
        <is>
          <t>G2G</t>
        </is>
      </c>
      <c r="T458" s="3" t="inlineStr">
        <is>
          <t>P4</t>
        </is>
      </c>
      <c r="U458" s="3" t="inlineStr">
        <is>
          <t>N JB Cold Soldering</t>
        </is>
      </c>
      <c r="V458" s="3" t="inlineStr">
        <is>
          <t>Soldering</t>
        </is>
      </c>
      <c r="W458" s="3" t="inlineStr">
        <is>
          <t>Repair</t>
        </is>
      </c>
      <c r="X458" s="18" t="n">
        <v>46149</v>
      </c>
      <c r="Y458" s="3">
        <f>X458-A458</f>
        <v/>
      </c>
      <c r="Z458" s="18" t="n">
        <v>46149</v>
      </c>
      <c r="AA458" s="15" t="n"/>
      <c r="AB458" s="15" t="n"/>
    </row>
    <row r="459" hidden="1" s="233">
      <c r="A459" s="6" t="n">
        <v>46107</v>
      </c>
      <c r="B459" s="3" t="n">
        <v>2026</v>
      </c>
      <c r="C459" s="3" t="inlineStr">
        <is>
          <t>Blupine</t>
        </is>
      </c>
      <c r="D459" s="3" t="inlineStr">
        <is>
          <t>Utility and C&amp;I</t>
        </is>
      </c>
      <c r="E459" s="3" t="n"/>
      <c r="F459" s="3" t="inlineStr">
        <is>
          <t>Closed</t>
        </is>
      </c>
      <c r="G459" s="3" t="inlineStr">
        <is>
          <t>Chandrashekar Patidar</t>
        </is>
      </c>
      <c r="H459" s="3" t="n">
        <v>7879764773</v>
      </c>
      <c r="I459" s="11" t="inlineStr">
        <is>
          <t>PE26032601</t>
        </is>
      </c>
      <c r="J459" s="3" t="inlineStr">
        <is>
          <t>Module Diode Failure</t>
        </is>
      </c>
      <c r="K459" s="3" t="inlineStr">
        <is>
          <t>Sadla</t>
        </is>
      </c>
      <c r="L459" s="3" t="inlineStr">
        <is>
          <t>Gujarat</t>
        </is>
      </c>
      <c r="M459" s="9" t="inlineStr">
        <is>
          <t>NS</t>
        </is>
      </c>
      <c r="N459" s="3" t="inlineStr">
        <is>
          <t>Cold Soldering</t>
        </is>
      </c>
      <c r="O459" s="3" t="n">
        <v>570</v>
      </c>
      <c r="P459" s="9" t="inlineStr">
        <is>
          <t>NSMI24050052624</t>
        </is>
      </c>
      <c r="Q459" s="53">
        <f>MID(P459,5,2)</f>
        <v/>
      </c>
      <c r="R459" s="53">
        <f>MID(P459,7,2)</f>
        <v/>
      </c>
      <c r="S459" s="3" t="inlineStr">
        <is>
          <t>G2G</t>
        </is>
      </c>
      <c r="T459" s="3" t="inlineStr">
        <is>
          <t>P4</t>
        </is>
      </c>
      <c r="U459" s="3" t="inlineStr">
        <is>
          <t>N JB Cold Soldering</t>
        </is>
      </c>
      <c r="V459" s="3" t="inlineStr">
        <is>
          <t>Soldering</t>
        </is>
      </c>
      <c r="W459" s="3" t="inlineStr">
        <is>
          <t>Repair</t>
        </is>
      </c>
      <c r="X459" s="18" t="n">
        <v>46149</v>
      </c>
      <c r="Y459" s="3">
        <f>X459-A459</f>
        <v/>
      </c>
      <c r="Z459" s="18" t="n">
        <v>46149</v>
      </c>
      <c r="AA459" s="15" t="n"/>
      <c r="AB459" s="15" t="n"/>
    </row>
    <row r="460" hidden="1" s="233">
      <c r="A460" s="6" t="n">
        <v>46107</v>
      </c>
      <c r="B460" s="3" t="n">
        <v>2026</v>
      </c>
      <c r="C460" s="3" t="inlineStr">
        <is>
          <t>Blupine</t>
        </is>
      </c>
      <c r="D460" s="3" t="inlineStr">
        <is>
          <t>Utility and C&amp;I</t>
        </is>
      </c>
      <c r="E460" s="3" t="n"/>
      <c r="F460" s="3" t="inlineStr">
        <is>
          <t>Closed</t>
        </is>
      </c>
      <c r="G460" s="3" t="inlineStr">
        <is>
          <t>Chandrashekar Patidar</t>
        </is>
      </c>
      <c r="H460" s="3" t="n">
        <v>7879764773</v>
      </c>
      <c r="I460" s="11" t="inlineStr">
        <is>
          <t>PE26032601</t>
        </is>
      </c>
      <c r="J460" s="3" t="inlineStr">
        <is>
          <t>Module Diode Failure</t>
        </is>
      </c>
      <c r="K460" s="3" t="inlineStr">
        <is>
          <t>Sadla</t>
        </is>
      </c>
      <c r="L460" s="3" t="inlineStr">
        <is>
          <t>Gujarat</t>
        </is>
      </c>
      <c r="M460" s="9" t="inlineStr">
        <is>
          <t>NS</t>
        </is>
      </c>
      <c r="N460" s="3" t="inlineStr">
        <is>
          <t>Cold Soldering</t>
        </is>
      </c>
      <c r="O460" s="3" t="n">
        <v>570</v>
      </c>
      <c r="P460" s="9" t="inlineStr">
        <is>
          <t>NSMI24050044900</t>
        </is>
      </c>
      <c r="Q460" s="53">
        <f>MID(P460,5,2)</f>
        <v/>
      </c>
      <c r="R460" s="53">
        <f>MID(P460,7,2)</f>
        <v/>
      </c>
      <c r="S460" s="3" t="inlineStr">
        <is>
          <t>G2G</t>
        </is>
      </c>
      <c r="T460" s="3" t="inlineStr">
        <is>
          <t>P4</t>
        </is>
      </c>
      <c r="U460" s="3" t="inlineStr">
        <is>
          <t>N JB Cold Soldering &amp; Glass Breakage</t>
        </is>
      </c>
      <c r="V460" s="3" t="inlineStr">
        <is>
          <t>Soldering</t>
        </is>
      </c>
      <c r="W460" s="3" t="inlineStr">
        <is>
          <t>Repair</t>
        </is>
      </c>
      <c r="X460" s="18" t="n">
        <v>46149</v>
      </c>
      <c r="Y460" s="3">
        <f>X460-A460</f>
        <v/>
      </c>
      <c r="Z460" s="18" t="n">
        <v>46149</v>
      </c>
      <c r="AA460" s="15" t="n"/>
      <c r="AB460" s="15" t="n"/>
    </row>
    <row r="461" hidden="1" s="233">
      <c r="A461" s="6" t="n">
        <v>46107</v>
      </c>
      <c r="B461" s="3" t="n">
        <v>2026</v>
      </c>
      <c r="C461" s="3" t="inlineStr">
        <is>
          <t>Blupine</t>
        </is>
      </c>
      <c r="D461" s="3" t="inlineStr">
        <is>
          <t>Utility and C&amp;I</t>
        </is>
      </c>
      <c r="E461" s="3" t="n"/>
      <c r="F461" s="3" t="inlineStr">
        <is>
          <t>Closed</t>
        </is>
      </c>
      <c r="G461" s="3" t="inlineStr">
        <is>
          <t>Chandrashekar Patidar</t>
        </is>
      </c>
      <c r="H461" s="3" t="n">
        <v>7879764773</v>
      </c>
      <c r="I461" s="11" t="inlineStr">
        <is>
          <t>PE26032601</t>
        </is>
      </c>
      <c r="J461" s="3" t="inlineStr">
        <is>
          <t>Module Diode Failure</t>
        </is>
      </c>
      <c r="K461" s="3" t="inlineStr">
        <is>
          <t>Sadla</t>
        </is>
      </c>
      <c r="L461" s="3" t="inlineStr">
        <is>
          <t>Gujarat</t>
        </is>
      </c>
      <c r="M461" s="9" t="inlineStr">
        <is>
          <t>NS</t>
        </is>
      </c>
      <c r="N461" s="3" t="inlineStr">
        <is>
          <t>Cold Soldering</t>
        </is>
      </c>
      <c r="O461" s="3" t="n">
        <v>570</v>
      </c>
      <c r="P461" s="9" t="inlineStr">
        <is>
          <t>NSMI24060095880</t>
        </is>
      </c>
      <c r="Q461" s="53">
        <f>MID(P461,5,2)</f>
        <v/>
      </c>
      <c r="R461" s="53">
        <f>MID(P461,7,2)</f>
        <v/>
      </c>
      <c r="S461" s="3" t="inlineStr">
        <is>
          <t>G2G</t>
        </is>
      </c>
      <c r="T461" s="3" t="inlineStr">
        <is>
          <t>P4</t>
        </is>
      </c>
      <c r="U461" s="3" t="inlineStr">
        <is>
          <t>N JB Cold Soldering</t>
        </is>
      </c>
      <c r="V461" s="3" t="inlineStr">
        <is>
          <t>Soldering</t>
        </is>
      </c>
      <c r="W461" s="3" t="inlineStr">
        <is>
          <t>Repair</t>
        </is>
      </c>
      <c r="X461" s="18" t="n">
        <v>46149</v>
      </c>
      <c r="Y461" s="3">
        <f>X461-A461</f>
        <v/>
      </c>
      <c r="Z461" s="18" t="n">
        <v>46149</v>
      </c>
      <c r="AA461" s="15" t="n"/>
      <c r="AB461" s="15" t="n"/>
    </row>
    <row r="462" hidden="1" s="233">
      <c r="A462" s="6" t="n">
        <v>46107</v>
      </c>
      <c r="B462" s="3" t="n">
        <v>2026</v>
      </c>
      <c r="C462" s="3" t="inlineStr">
        <is>
          <t>Blupine</t>
        </is>
      </c>
      <c r="D462" s="3" t="inlineStr">
        <is>
          <t>Utility and C&amp;I</t>
        </is>
      </c>
      <c r="E462" s="3" t="n"/>
      <c r="F462" s="3" t="inlineStr">
        <is>
          <t>Closed</t>
        </is>
      </c>
      <c r="G462" s="3" t="inlineStr">
        <is>
          <t>Chandrashekar Patidar</t>
        </is>
      </c>
      <c r="H462" s="3" t="n">
        <v>7879764773</v>
      </c>
      <c r="I462" s="11" t="inlineStr">
        <is>
          <t>PE26032601</t>
        </is>
      </c>
      <c r="J462" s="3" t="inlineStr">
        <is>
          <t>Module Diode Failure</t>
        </is>
      </c>
      <c r="K462" s="3" t="inlineStr">
        <is>
          <t>Sadla</t>
        </is>
      </c>
      <c r="L462" s="3" t="inlineStr">
        <is>
          <t>Gujarat</t>
        </is>
      </c>
      <c r="M462" s="9" t="inlineStr">
        <is>
          <t>NS</t>
        </is>
      </c>
      <c r="N462" s="3" t="inlineStr">
        <is>
          <t>Cold Soldering</t>
        </is>
      </c>
      <c r="O462" s="3" t="n">
        <v>570</v>
      </c>
      <c r="P462" s="9" t="inlineStr">
        <is>
          <t>NSMI24050044963</t>
        </is>
      </c>
      <c r="Q462" s="53">
        <f>MID(P462,5,2)</f>
        <v/>
      </c>
      <c r="R462" s="53">
        <f>MID(P462,7,2)</f>
        <v/>
      </c>
      <c r="S462" s="3" t="inlineStr">
        <is>
          <t>G2G</t>
        </is>
      </c>
      <c r="T462" s="3" t="inlineStr">
        <is>
          <t>P4</t>
        </is>
      </c>
      <c r="U462" s="3" t="inlineStr">
        <is>
          <t>N JB Cold Soldering</t>
        </is>
      </c>
      <c r="V462" s="3" t="inlineStr">
        <is>
          <t>Soldering</t>
        </is>
      </c>
      <c r="W462" s="3" t="inlineStr">
        <is>
          <t>Repair</t>
        </is>
      </c>
      <c r="X462" s="18" t="n">
        <v>46149</v>
      </c>
      <c r="Y462" s="3">
        <f>X462-A462</f>
        <v/>
      </c>
      <c r="Z462" s="18" t="n">
        <v>46149</v>
      </c>
      <c r="AA462" s="15" t="n"/>
      <c r="AB462" s="15" t="n"/>
    </row>
    <row r="463" hidden="1" s="233">
      <c r="A463" s="6" t="n">
        <v>46107</v>
      </c>
      <c r="B463" s="3" t="n">
        <v>2026</v>
      </c>
      <c r="C463" s="3" t="inlineStr">
        <is>
          <t>Blupine</t>
        </is>
      </c>
      <c r="D463" s="3" t="inlineStr">
        <is>
          <t>Utility and C&amp;I</t>
        </is>
      </c>
      <c r="E463" s="3" t="n"/>
      <c r="F463" s="3" t="inlineStr">
        <is>
          <t>Closed</t>
        </is>
      </c>
      <c r="G463" s="3" t="inlineStr">
        <is>
          <t>Chandrashekar Patidar</t>
        </is>
      </c>
      <c r="H463" s="3" t="n">
        <v>7879764773</v>
      </c>
      <c r="I463" s="11" t="inlineStr">
        <is>
          <t>PE26032601</t>
        </is>
      </c>
      <c r="J463" s="3" t="inlineStr">
        <is>
          <t>Module Diode Failure</t>
        </is>
      </c>
      <c r="K463" s="3" t="inlineStr">
        <is>
          <t>Sadla</t>
        </is>
      </c>
      <c r="L463" s="3" t="inlineStr">
        <is>
          <t>Gujarat</t>
        </is>
      </c>
      <c r="M463" s="9" t="inlineStr">
        <is>
          <t>PS</t>
        </is>
      </c>
      <c r="N463" s="3" t="inlineStr">
        <is>
          <t>Cold Soldering</t>
        </is>
      </c>
      <c r="O463" s="3" t="n">
        <v>570</v>
      </c>
      <c r="P463" s="9" t="inlineStr">
        <is>
          <t>NSMI24060106814</t>
        </is>
      </c>
      <c r="Q463" s="53">
        <f>MID(P463,5,2)</f>
        <v/>
      </c>
      <c r="R463" s="53">
        <f>MID(P463,7,2)</f>
        <v/>
      </c>
      <c r="S463" s="3" t="inlineStr">
        <is>
          <t>G2G</t>
        </is>
      </c>
      <c r="T463" s="3" t="inlineStr">
        <is>
          <t>P4</t>
        </is>
      </c>
      <c r="U463" s="3" t="inlineStr">
        <is>
          <t>P JB Cold Soldering</t>
        </is>
      </c>
      <c r="V463" s="3" t="inlineStr">
        <is>
          <t>Soldering</t>
        </is>
      </c>
      <c r="W463" s="3" t="inlineStr">
        <is>
          <t>Repair</t>
        </is>
      </c>
      <c r="X463" s="18" t="n">
        <v>46149</v>
      </c>
      <c r="Y463" s="3">
        <f>X463-A463</f>
        <v/>
      </c>
      <c r="Z463" s="18" t="n">
        <v>46149</v>
      </c>
      <c r="AA463" s="15" t="n"/>
      <c r="AB463" s="15" t="n"/>
    </row>
    <row r="464" hidden="1" s="233">
      <c r="A464" s="6" t="n">
        <v>46107</v>
      </c>
      <c r="B464" s="3" t="n">
        <v>2026</v>
      </c>
      <c r="C464" s="3" t="inlineStr">
        <is>
          <t>Blupine</t>
        </is>
      </c>
      <c r="D464" s="3" t="inlineStr">
        <is>
          <t>Utility and C&amp;I</t>
        </is>
      </c>
      <c r="E464" s="3" t="n"/>
      <c r="F464" s="3" t="inlineStr">
        <is>
          <t>Closed</t>
        </is>
      </c>
      <c r="G464" s="3" t="inlineStr">
        <is>
          <t>Chandrashekar Patidar</t>
        </is>
      </c>
      <c r="H464" s="3" t="n">
        <v>7879764773</v>
      </c>
      <c r="I464" s="11" t="inlineStr">
        <is>
          <t>PE26032601</t>
        </is>
      </c>
      <c r="J464" s="3" t="inlineStr">
        <is>
          <t>Module Diode Failure</t>
        </is>
      </c>
      <c r="K464" s="3" t="inlineStr">
        <is>
          <t>Sadla</t>
        </is>
      </c>
      <c r="L464" s="3" t="inlineStr">
        <is>
          <t>Gujarat</t>
        </is>
      </c>
      <c r="M464" s="9" t="inlineStr">
        <is>
          <t>NR</t>
        </is>
      </c>
      <c r="N464" s="3" t="inlineStr">
        <is>
          <t>JB Issue</t>
        </is>
      </c>
      <c r="O464" s="3" t="n">
        <v>570</v>
      </c>
      <c r="P464" s="9" t="inlineStr">
        <is>
          <t>NSMI24060140375</t>
        </is>
      </c>
      <c r="Q464" s="53">
        <f>MID(P464,5,2)</f>
        <v/>
      </c>
      <c r="R464" s="53">
        <f>MID(P464,7,2)</f>
        <v/>
      </c>
      <c r="S464" s="3" t="inlineStr">
        <is>
          <t>G2G</t>
        </is>
      </c>
      <c r="T464" s="3" t="inlineStr">
        <is>
          <t>P4</t>
        </is>
      </c>
      <c r="U464" s="3" t="inlineStr">
        <is>
          <t>N JB Issue</t>
        </is>
      </c>
      <c r="V464" s="3" t="inlineStr">
        <is>
          <t>JB Changed</t>
        </is>
      </c>
      <c r="W464" s="3" t="inlineStr">
        <is>
          <t>Repair</t>
        </is>
      </c>
      <c r="X464" s="18" t="n">
        <v>46149</v>
      </c>
      <c r="Y464" s="3">
        <f>X464-A464</f>
        <v/>
      </c>
      <c r="Z464" s="18" t="n">
        <v>46149</v>
      </c>
      <c r="AA464" s="15" t="n"/>
      <c r="AB464" s="15" t="n"/>
    </row>
    <row r="465" hidden="1" s="233">
      <c r="A465" s="6" t="n">
        <v>46107</v>
      </c>
      <c r="B465" s="3" t="n">
        <v>2026</v>
      </c>
      <c r="C465" s="3" t="inlineStr">
        <is>
          <t>Blupine</t>
        </is>
      </c>
      <c r="D465" s="3" t="inlineStr">
        <is>
          <t>Utility and C&amp;I</t>
        </is>
      </c>
      <c r="E465" s="3" t="n"/>
      <c r="F465" s="3" t="inlineStr">
        <is>
          <t>Closed</t>
        </is>
      </c>
      <c r="G465" s="3" t="inlineStr">
        <is>
          <t>Chandrashekar Patidar</t>
        </is>
      </c>
      <c r="H465" s="3" t="n">
        <v>7879764773</v>
      </c>
      <c r="I465" s="11" t="inlineStr">
        <is>
          <t>PE26032601</t>
        </is>
      </c>
      <c r="J465" s="3" t="inlineStr">
        <is>
          <t>Module Diode Failure</t>
        </is>
      </c>
      <c r="K465" s="3" t="inlineStr">
        <is>
          <t>Sadla</t>
        </is>
      </c>
      <c r="L465" s="3" t="inlineStr">
        <is>
          <t>Gujarat</t>
        </is>
      </c>
      <c r="M465" s="9" t="inlineStr">
        <is>
          <t>NS</t>
        </is>
      </c>
      <c r="N465" s="3" t="inlineStr">
        <is>
          <t>Cold Soldering</t>
        </is>
      </c>
      <c r="O465" s="3" t="n">
        <v>570</v>
      </c>
      <c r="P465" s="9" t="inlineStr">
        <is>
          <t>NSMI24050057119</t>
        </is>
      </c>
      <c r="Q465" s="53">
        <f>MID(P465,5,2)</f>
        <v/>
      </c>
      <c r="R465" s="53">
        <f>MID(P465,7,2)</f>
        <v/>
      </c>
      <c r="S465" s="3" t="inlineStr">
        <is>
          <t>G2G</t>
        </is>
      </c>
      <c r="T465" s="3" t="inlineStr">
        <is>
          <t>P4</t>
        </is>
      </c>
      <c r="U465" s="3" t="inlineStr">
        <is>
          <t>N JB Cold Soldering</t>
        </is>
      </c>
      <c r="V465" s="3" t="inlineStr">
        <is>
          <t>Soldering</t>
        </is>
      </c>
      <c r="W465" s="3" t="inlineStr">
        <is>
          <t>Repair</t>
        </is>
      </c>
      <c r="X465" s="18" t="n">
        <v>46149</v>
      </c>
      <c r="Y465" s="3">
        <f>X465-A465</f>
        <v/>
      </c>
      <c r="Z465" s="18" t="n">
        <v>46149</v>
      </c>
      <c r="AA465" s="15" t="n"/>
      <c r="AB465" s="15" t="n"/>
    </row>
    <row r="466" hidden="1" s="233">
      <c r="A466" s="6" t="n">
        <v>46107</v>
      </c>
      <c r="B466" s="3" t="n">
        <v>2026</v>
      </c>
      <c r="C466" s="3" t="inlineStr">
        <is>
          <t>Blupine</t>
        </is>
      </c>
      <c r="D466" s="3" t="inlineStr">
        <is>
          <t>Utility and C&amp;I</t>
        </is>
      </c>
      <c r="E466" s="3" t="n"/>
      <c r="F466" s="3" t="inlineStr">
        <is>
          <t>Closed</t>
        </is>
      </c>
      <c r="G466" s="3" t="inlineStr">
        <is>
          <t>Chandrashekar Patidar</t>
        </is>
      </c>
      <c r="H466" s="3" t="n">
        <v>7879764773</v>
      </c>
      <c r="I466" s="11" t="inlineStr">
        <is>
          <t>PE26032601</t>
        </is>
      </c>
      <c r="J466" s="3" t="inlineStr">
        <is>
          <t>Module Diode Failure</t>
        </is>
      </c>
      <c r="K466" s="3" t="inlineStr">
        <is>
          <t>Sadla</t>
        </is>
      </c>
      <c r="L466" s="3" t="inlineStr">
        <is>
          <t>Gujarat</t>
        </is>
      </c>
      <c r="M466" s="9" t="inlineStr">
        <is>
          <t>PS</t>
        </is>
      </c>
      <c r="N466" s="3" t="inlineStr">
        <is>
          <t>Cold Soldering</t>
        </is>
      </c>
      <c r="O466" s="3" t="n">
        <v>570</v>
      </c>
      <c r="P466" s="9" t="inlineStr">
        <is>
          <t>NSMI24060136431</t>
        </is>
      </c>
      <c r="Q466" s="53">
        <f>MID(P466,5,2)</f>
        <v/>
      </c>
      <c r="R466" s="53">
        <f>MID(P466,7,2)</f>
        <v/>
      </c>
      <c r="S466" s="3" t="inlineStr">
        <is>
          <t>G2G</t>
        </is>
      </c>
      <c r="T466" s="3" t="inlineStr">
        <is>
          <t>P4</t>
        </is>
      </c>
      <c r="U466" s="3" t="inlineStr">
        <is>
          <t>P JB Cold Soldering</t>
        </is>
      </c>
      <c r="V466" s="3" t="inlineStr">
        <is>
          <t>Soldering</t>
        </is>
      </c>
      <c r="W466" s="3" t="inlineStr">
        <is>
          <t>Repair</t>
        </is>
      </c>
      <c r="X466" s="18" t="n">
        <v>46149</v>
      </c>
      <c r="Y466" s="3">
        <f>X466-A466</f>
        <v/>
      </c>
      <c r="Z466" s="18" t="n">
        <v>46149</v>
      </c>
      <c r="AA466" s="15" t="n"/>
      <c r="AB466" s="15" t="n"/>
    </row>
    <row r="467" hidden="1" s="233">
      <c r="A467" s="6" t="n">
        <v>46107</v>
      </c>
      <c r="B467" s="3" t="n">
        <v>2026</v>
      </c>
      <c r="C467" s="3" t="inlineStr">
        <is>
          <t>Blupine</t>
        </is>
      </c>
      <c r="D467" s="3" t="inlineStr">
        <is>
          <t>Utility and C&amp;I</t>
        </is>
      </c>
      <c r="E467" s="3" t="n"/>
      <c r="F467" s="3" t="inlineStr">
        <is>
          <t>Closed</t>
        </is>
      </c>
      <c r="G467" s="3" t="inlineStr">
        <is>
          <t>Chandrashekar Patidar</t>
        </is>
      </c>
      <c r="H467" s="3" t="n">
        <v>7879764773</v>
      </c>
      <c r="I467" s="11" t="inlineStr">
        <is>
          <t>PE26032601</t>
        </is>
      </c>
      <c r="J467" s="3" t="inlineStr">
        <is>
          <t>Module Diode Failure</t>
        </is>
      </c>
      <c r="K467" s="3" t="inlineStr">
        <is>
          <t>Sadla</t>
        </is>
      </c>
      <c r="L467" s="3" t="inlineStr">
        <is>
          <t>Gujarat</t>
        </is>
      </c>
      <c r="M467" s="9" t="inlineStr">
        <is>
          <t>NS</t>
        </is>
      </c>
      <c r="N467" s="3" t="inlineStr">
        <is>
          <t>Cold Soldering</t>
        </is>
      </c>
      <c r="O467" s="3" t="n">
        <v>570</v>
      </c>
      <c r="P467" s="9" t="inlineStr">
        <is>
          <t>NSMI24050052177</t>
        </is>
      </c>
      <c r="Q467" s="53">
        <f>MID(P467,5,2)</f>
        <v/>
      </c>
      <c r="R467" s="53">
        <f>MID(P467,7,2)</f>
        <v/>
      </c>
      <c r="S467" s="3" t="inlineStr">
        <is>
          <t>G2G</t>
        </is>
      </c>
      <c r="T467" s="3" t="inlineStr">
        <is>
          <t>P4</t>
        </is>
      </c>
      <c r="U467" s="3" t="inlineStr">
        <is>
          <t>N JB Cold Soldering</t>
        </is>
      </c>
      <c r="V467" s="3" t="inlineStr">
        <is>
          <t>Soldering</t>
        </is>
      </c>
      <c r="W467" s="3" t="inlineStr">
        <is>
          <t>Repair</t>
        </is>
      </c>
      <c r="X467" s="18" t="n">
        <v>46149</v>
      </c>
      <c r="Y467" s="3">
        <f>X467-A467</f>
        <v/>
      </c>
      <c r="Z467" s="18" t="n">
        <v>46149</v>
      </c>
      <c r="AA467" s="15" t="n"/>
      <c r="AB467" s="15" t="n"/>
    </row>
    <row r="468" hidden="1" s="233">
      <c r="A468" s="6" t="n">
        <v>46107</v>
      </c>
      <c r="B468" s="3" t="n">
        <v>2026</v>
      </c>
      <c r="C468" s="3" t="inlineStr">
        <is>
          <t>Blupine</t>
        </is>
      </c>
      <c r="D468" s="3" t="inlineStr">
        <is>
          <t>Utility and C&amp;I</t>
        </is>
      </c>
      <c r="E468" s="3" t="n"/>
      <c r="F468" s="3" t="inlineStr">
        <is>
          <t>Closed</t>
        </is>
      </c>
      <c r="G468" s="3" t="inlineStr">
        <is>
          <t>Chandrashekar Patidar</t>
        </is>
      </c>
      <c r="H468" s="3" t="n">
        <v>7879764773</v>
      </c>
      <c r="I468" s="11" t="inlineStr">
        <is>
          <t>PE26032601</t>
        </is>
      </c>
      <c r="J468" s="3" t="inlineStr">
        <is>
          <t>Module Diode Failure</t>
        </is>
      </c>
      <c r="K468" s="3" t="inlineStr">
        <is>
          <t>Sadla</t>
        </is>
      </c>
      <c r="L468" s="3" t="inlineStr">
        <is>
          <t>Gujarat</t>
        </is>
      </c>
      <c r="M468" s="9" t="inlineStr">
        <is>
          <t>NS</t>
        </is>
      </c>
      <c r="N468" s="3" t="inlineStr">
        <is>
          <t>Cold Soldering</t>
        </is>
      </c>
      <c r="O468" s="3" t="n">
        <v>570</v>
      </c>
      <c r="P468" s="9" t="inlineStr">
        <is>
          <t>NSMI24060114149</t>
        </is>
      </c>
      <c r="Q468" s="53">
        <f>MID(P468,5,2)</f>
        <v/>
      </c>
      <c r="R468" s="53">
        <f>MID(P468,7,2)</f>
        <v/>
      </c>
      <c r="S468" s="3" t="inlineStr">
        <is>
          <t>G2G</t>
        </is>
      </c>
      <c r="T468" s="3" t="inlineStr">
        <is>
          <t>P4</t>
        </is>
      </c>
      <c r="U468" s="3" t="inlineStr">
        <is>
          <t>N JB Cold Soldering</t>
        </is>
      </c>
      <c r="V468" s="3" t="inlineStr">
        <is>
          <t>Soldering</t>
        </is>
      </c>
      <c r="W468" s="3" t="inlineStr">
        <is>
          <t>Repair</t>
        </is>
      </c>
      <c r="X468" s="18" t="n">
        <v>46149</v>
      </c>
      <c r="Y468" s="3">
        <f>X468-A468</f>
        <v/>
      </c>
      <c r="Z468" s="18" t="n">
        <v>46149</v>
      </c>
      <c r="AA468" s="15" t="n"/>
      <c r="AB468" s="15" t="n"/>
    </row>
    <row r="469" hidden="1" s="233">
      <c r="A469" s="6" t="n">
        <v>46107</v>
      </c>
      <c r="B469" s="3" t="n">
        <v>2026</v>
      </c>
      <c r="C469" s="3" t="inlineStr">
        <is>
          <t>Blupine</t>
        </is>
      </c>
      <c r="D469" s="3" t="inlineStr">
        <is>
          <t>Utility and C&amp;I</t>
        </is>
      </c>
      <c r="E469" s="3" t="n"/>
      <c r="F469" s="3" t="inlineStr">
        <is>
          <t>Closed</t>
        </is>
      </c>
      <c r="G469" s="3" t="inlineStr">
        <is>
          <t>Chandrashekar Patidar</t>
        </is>
      </c>
      <c r="H469" s="3" t="n">
        <v>7879764773</v>
      </c>
      <c r="I469" s="11" t="inlineStr">
        <is>
          <t>PE26032601</t>
        </is>
      </c>
      <c r="J469" s="3" t="inlineStr">
        <is>
          <t>Module Diode Failure</t>
        </is>
      </c>
      <c r="K469" s="3" t="inlineStr">
        <is>
          <t>Sadla</t>
        </is>
      </c>
      <c r="L469" s="3" t="inlineStr">
        <is>
          <t>Gujarat</t>
        </is>
      </c>
      <c r="M469" s="9" t="inlineStr">
        <is>
          <t>PS</t>
        </is>
      </c>
      <c r="N469" s="3" t="inlineStr">
        <is>
          <t>Cold Soldering</t>
        </is>
      </c>
      <c r="O469" s="3" t="n">
        <v>570</v>
      </c>
      <c r="P469" s="9" t="inlineStr">
        <is>
          <t>NSMI24060091387</t>
        </is>
      </c>
      <c r="Q469" s="53">
        <f>MID(P469,5,2)</f>
        <v/>
      </c>
      <c r="R469" s="53">
        <f>MID(P469,7,2)</f>
        <v/>
      </c>
      <c r="S469" s="3" t="inlineStr">
        <is>
          <t>G2G</t>
        </is>
      </c>
      <c r="T469" s="3" t="inlineStr">
        <is>
          <t>P4</t>
        </is>
      </c>
      <c r="U469" s="3" t="inlineStr">
        <is>
          <t>P JB Cold Soldering</t>
        </is>
      </c>
      <c r="V469" s="3" t="inlineStr">
        <is>
          <t>Soldering</t>
        </is>
      </c>
      <c r="W469" s="3" t="inlineStr">
        <is>
          <t>Repair</t>
        </is>
      </c>
      <c r="X469" s="18" t="n">
        <v>46149</v>
      </c>
      <c r="Y469" s="3">
        <f>X469-A469</f>
        <v/>
      </c>
      <c r="Z469" s="18" t="n">
        <v>46149</v>
      </c>
      <c r="AA469" s="15" t="n"/>
      <c r="AB469" s="15" t="n"/>
    </row>
    <row r="470" hidden="1" s="233">
      <c r="A470" s="6" t="n">
        <v>46107</v>
      </c>
      <c r="B470" s="3" t="n">
        <v>2026</v>
      </c>
      <c r="C470" s="3" t="inlineStr">
        <is>
          <t>Blupine</t>
        </is>
      </c>
      <c r="D470" s="3" t="inlineStr">
        <is>
          <t>Utility and C&amp;I</t>
        </is>
      </c>
      <c r="E470" s="3" t="n"/>
      <c r="F470" s="3" t="inlineStr">
        <is>
          <t>Closed</t>
        </is>
      </c>
      <c r="G470" s="3" t="inlineStr">
        <is>
          <t>Chandrashekar Patidar</t>
        </is>
      </c>
      <c r="H470" s="3" t="n">
        <v>7879764773</v>
      </c>
      <c r="I470" s="11" t="inlineStr">
        <is>
          <t>PE26032601</t>
        </is>
      </c>
      <c r="J470" s="3" t="inlineStr">
        <is>
          <t>Module Diode Failure</t>
        </is>
      </c>
      <c r="K470" s="3" t="inlineStr">
        <is>
          <t>Sadla</t>
        </is>
      </c>
      <c r="L470" s="3" t="inlineStr">
        <is>
          <t>Gujarat</t>
        </is>
      </c>
      <c r="M470" s="9" t="inlineStr">
        <is>
          <t>NS</t>
        </is>
      </c>
      <c r="N470" s="3" t="inlineStr">
        <is>
          <t>Cold Soldering</t>
        </is>
      </c>
      <c r="O470" s="3" t="n">
        <v>570</v>
      </c>
      <c r="P470" s="9" t="inlineStr">
        <is>
          <t>NSMI24060094726</t>
        </is>
      </c>
      <c r="Q470" s="53">
        <f>MID(P470,5,2)</f>
        <v/>
      </c>
      <c r="R470" s="53">
        <f>MID(P470,7,2)</f>
        <v/>
      </c>
      <c r="S470" s="3" t="inlineStr">
        <is>
          <t>G2G</t>
        </is>
      </c>
      <c r="T470" s="3" t="inlineStr">
        <is>
          <t>P4</t>
        </is>
      </c>
      <c r="U470" s="3" t="inlineStr">
        <is>
          <t>N JB Cold Soldering</t>
        </is>
      </c>
      <c r="V470" s="3" t="inlineStr">
        <is>
          <t>Soldering</t>
        </is>
      </c>
      <c r="W470" s="3" t="inlineStr">
        <is>
          <t>Repair</t>
        </is>
      </c>
      <c r="X470" s="18" t="n">
        <v>46149</v>
      </c>
      <c r="Y470" s="3">
        <f>X470-A470</f>
        <v/>
      </c>
      <c r="Z470" s="18" t="n">
        <v>46149</v>
      </c>
      <c r="AA470" s="15" t="n"/>
      <c r="AB470" s="15" t="n"/>
    </row>
    <row r="471" hidden="1" s="233">
      <c r="A471" s="6" t="n">
        <v>46107</v>
      </c>
      <c r="B471" s="3" t="n">
        <v>2026</v>
      </c>
      <c r="C471" s="3" t="inlineStr">
        <is>
          <t>Blupine</t>
        </is>
      </c>
      <c r="D471" s="3" t="inlineStr">
        <is>
          <t>Utility and C&amp;I</t>
        </is>
      </c>
      <c r="E471" s="3" t="n"/>
      <c r="F471" s="3" t="inlineStr">
        <is>
          <t>Closed</t>
        </is>
      </c>
      <c r="G471" s="3" t="inlineStr">
        <is>
          <t>Chandrashekar Patidar</t>
        </is>
      </c>
      <c r="H471" s="3" t="n">
        <v>7879764773</v>
      </c>
      <c r="I471" s="11" t="inlineStr">
        <is>
          <t>PE26032601</t>
        </is>
      </c>
      <c r="J471" s="3" t="inlineStr">
        <is>
          <t>Module Diode Failure</t>
        </is>
      </c>
      <c r="K471" s="3" t="inlineStr">
        <is>
          <t>Sadla</t>
        </is>
      </c>
      <c r="L471" s="3" t="inlineStr">
        <is>
          <t>Gujarat</t>
        </is>
      </c>
      <c r="M471" s="9" t="inlineStr">
        <is>
          <t>NS</t>
        </is>
      </c>
      <c r="N471" s="3" t="inlineStr">
        <is>
          <t>Cold Soldering</t>
        </is>
      </c>
      <c r="O471" s="3" t="n">
        <v>570</v>
      </c>
      <c r="P471" s="9" t="inlineStr">
        <is>
          <t>NSMI24060094729</t>
        </is>
      </c>
      <c r="Q471" s="53">
        <f>MID(P471,5,2)</f>
        <v/>
      </c>
      <c r="R471" s="53">
        <f>MID(P471,7,2)</f>
        <v/>
      </c>
      <c r="S471" s="3" t="inlineStr">
        <is>
          <t>G2G</t>
        </is>
      </c>
      <c r="T471" s="3" t="inlineStr">
        <is>
          <t>P4</t>
        </is>
      </c>
      <c r="U471" s="3" t="inlineStr">
        <is>
          <t>N JB Cold Soldering</t>
        </is>
      </c>
      <c r="V471" s="3" t="inlineStr">
        <is>
          <t>Soldering</t>
        </is>
      </c>
      <c r="W471" s="3" t="inlineStr">
        <is>
          <t>Repair</t>
        </is>
      </c>
      <c r="X471" s="18" t="n">
        <v>46149</v>
      </c>
      <c r="Y471" s="3">
        <f>X471-A471</f>
        <v/>
      </c>
      <c r="Z471" s="18" t="n">
        <v>46149</v>
      </c>
      <c r="AA471" s="15" t="n"/>
      <c r="AB471" s="15" t="n"/>
    </row>
    <row r="472" hidden="1" s="233">
      <c r="A472" s="6" t="n">
        <v>46107</v>
      </c>
      <c r="B472" s="3" t="n">
        <v>2026</v>
      </c>
      <c r="C472" s="3" t="inlineStr">
        <is>
          <t>Blupine</t>
        </is>
      </c>
      <c r="D472" s="3" t="inlineStr">
        <is>
          <t>Utility and C&amp;I</t>
        </is>
      </c>
      <c r="E472" s="3" t="n"/>
      <c r="F472" s="3" t="inlineStr">
        <is>
          <t>Closed</t>
        </is>
      </c>
      <c r="G472" s="3" t="inlineStr">
        <is>
          <t>Chandrashekar Patidar</t>
        </is>
      </c>
      <c r="H472" s="3" t="n">
        <v>7879764773</v>
      </c>
      <c r="I472" s="11" t="inlineStr">
        <is>
          <t>PE26032601</t>
        </is>
      </c>
      <c r="J472" s="3" t="inlineStr">
        <is>
          <t>Module Diode Failure</t>
        </is>
      </c>
      <c r="K472" s="3" t="inlineStr">
        <is>
          <t>Sadla</t>
        </is>
      </c>
      <c r="L472" s="3" t="inlineStr">
        <is>
          <t>Gujarat</t>
        </is>
      </c>
      <c r="M472" s="9" t="inlineStr">
        <is>
          <t>NS</t>
        </is>
      </c>
      <c r="N472" s="3" t="inlineStr">
        <is>
          <t>Cold Soldering</t>
        </is>
      </c>
      <c r="O472" s="3" t="n">
        <v>570</v>
      </c>
      <c r="P472" s="9" t="inlineStr">
        <is>
          <t>NSMI24060093299</t>
        </is>
      </c>
      <c r="Q472" s="53">
        <f>MID(P472,5,2)</f>
        <v/>
      </c>
      <c r="R472" s="53">
        <f>MID(P472,7,2)</f>
        <v/>
      </c>
      <c r="S472" s="3" t="inlineStr">
        <is>
          <t>G2G</t>
        </is>
      </c>
      <c r="T472" s="3" t="inlineStr">
        <is>
          <t>P4</t>
        </is>
      </c>
      <c r="U472" s="3" t="inlineStr">
        <is>
          <t>N JB Cold Soldering</t>
        </is>
      </c>
      <c r="V472" s="3" t="inlineStr">
        <is>
          <t>Soldering</t>
        </is>
      </c>
      <c r="W472" s="3" t="inlineStr">
        <is>
          <t>Repair</t>
        </is>
      </c>
      <c r="X472" s="18" t="n">
        <v>46149</v>
      </c>
      <c r="Y472" s="3">
        <f>X472-A472</f>
        <v/>
      </c>
      <c r="Z472" s="18" t="n">
        <v>46149</v>
      </c>
      <c r="AA472" s="15" t="n"/>
      <c r="AB472" s="15" t="n"/>
    </row>
    <row r="473" hidden="1" s="233">
      <c r="A473" s="6" t="n">
        <v>46107</v>
      </c>
      <c r="B473" s="3" t="n">
        <v>2026</v>
      </c>
      <c r="C473" s="3" t="inlineStr">
        <is>
          <t>Blupine</t>
        </is>
      </c>
      <c r="D473" s="3" t="inlineStr">
        <is>
          <t>Utility and C&amp;I</t>
        </is>
      </c>
      <c r="E473" s="3" t="n"/>
      <c r="F473" s="3" t="inlineStr">
        <is>
          <t>Closed</t>
        </is>
      </c>
      <c r="G473" s="3" t="inlineStr">
        <is>
          <t>Chandrashekar Patidar</t>
        </is>
      </c>
      <c r="H473" s="3" t="n">
        <v>7879764773</v>
      </c>
      <c r="I473" s="11" t="inlineStr">
        <is>
          <t>PE26032601</t>
        </is>
      </c>
      <c r="J473" s="3" t="inlineStr">
        <is>
          <t>Module Diode Failure</t>
        </is>
      </c>
      <c r="K473" s="3" t="inlineStr">
        <is>
          <t>Sadla</t>
        </is>
      </c>
      <c r="L473" s="3" t="inlineStr">
        <is>
          <t>Gujarat</t>
        </is>
      </c>
      <c r="M473" s="9" t="inlineStr">
        <is>
          <t>NS</t>
        </is>
      </c>
      <c r="N473" s="3" t="inlineStr">
        <is>
          <t>Cold Soldering</t>
        </is>
      </c>
      <c r="O473" s="3" t="n">
        <v>570</v>
      </c>
      <c r="P473" s="9" t="inlineStr">
        <is>
          <t>NSMI24050060507</t>
        </is>
      </c>
      <c r="Q473" s="53">
        <f>MID(P473,5,2)</f>
        <v/>
      </c>
      <c r="R473" s="53">
        <f>MID(P473,7,2)</f>
        <v/>
      </c>
      <c r="S473" s="3" t="inlineStr">
        <is>
          <t>G2G</t>
        </is>
      </c>
      <c r="T473" s="3" t="inlineStr">
        <is>
          <t>P4</t>
        </is>
      </c>
      <c r="U473" s="3" t="inlineStr">
        <is>
          <t>N JB Cold Soldering</t>
        </is>
      </c>
      <c r="V473" s="3" t="inlineStr">
        <is>
          <t>Soldering</t>
        </is>
      </c>
      <c r="W473" s="3" t="inlineStr">
        <is>
          <t>Repair</t>
        </is>
      </c>
      <c r="X473" s="18" t="n">
        <v>46149</v>
      </c>
      <c r="Y473" s="3">
        <f>X473-A473</f>
        <v/>
      </c>
      <c r="Z473" s="18" t="n">
        <v>46149</v>
      </c>
      <c r="AA473" s="15" t="n"/>
      <c r="AB473" s="15" t="n"/>
    </row>
    <row r="474" hidden="1" s="233">
      <c r="A474" s="6" t="n">
        <v>46107</v>
      </c>
      <c r="B474" s="3" t="n">
        <v>2026</v>
      </c>
      <c r="C474" s="3" t="inlineStr">
        <is>
          <t>Blupine</t>
        </is>
      </c>
      <c r="D474" s="3" t="inlineStr">
        <is>
          <t>Utility and C&amp;I</t>
        </is>
      </c>
      <c r="E474" s="3" t="n"/>
      <c r="F474" s="3" t="inlineStr">
        <is>
          <t>Closed</t>
        </is>
      </c>
      <c r="G474" s="3" t="inlineStr">
        <is>
          <t>Chandrashekar Patidar</t>
        </is>
      </c>
      <c r="H474" s="3" t="n">
        <v>7879764773</v>
      </c>
      <c r="I474" s="11" t="inlineStr">
        <is>
          <t>PE26032601</t>
        </is>
      </c>
      <c r="J474" s="3" t="inlineStr">
        <is>
          <t>Module Diode Failure</t>
        </is>
      </c>
      <c r="K474" s="3" t="inlineStr">
        <is>
          <t>Sadla</t>
        </is>
      </c>
      <c r="L474" s="3" t="inlineStr">
        <is>
          <t>Gujarat</t>
        </is>
      </c>
      <c r="M474" s="9" t="inlineStr">
        <is>
          <t>NS</t>
        </is>
      </c>
      <c r="N474" s="3" t="inlineStr">
        <is>
          <t>Cold Soldering</t>
        </is>
      </c>
      <c r="O474" s="3" t="n">
        <v>570</v>
      </c>
      <c r="P474" s="9" t="inlineStr">
        <is>
          <t>NSMI24050060641</t>
        </is>
      </c>
      <c r="Q474" s="53">
        <f>MID(P474,5,2)</f>
        <v/>
      </c>
      <c r="R474" s="53">
        <f>MID(P474,7,2)</f>
        <v/>
      </c>
      <c r="S474" s="3" t="inlineStr">
        <is>
          <t>G2G</t>
        </is>
      </c>
      <c r="T474" s="3" t="inlineStr">
        <is>
          <t>P4</t>
        </is>
      </c>
      <c r="U474" s="3" t="inlineStr">
        <is>
          <t>N JB Cold Soldering</t>
        </is>
      </c>
      <c r="V474" s="3" t="inlineStr">
        <is>
          <t>Soldering</t>
        </is>
      </c>
      <c r="W474" s="3" t="inlineStr">
        <is>
          <t>Repair</t>
        </is>
      </c>
      <c r="X474" s="18" t="n">
        <v>46149</v>
      </c>
      <c r="Y474" s="3">
        <f>X474-A474</f>
        <v/>
      </c>
      <c r="Z474" s="18" t="n">
        <v>46149</v>
      </c>
      <c r="AA474" s="15" t="n"/>
      <c r="AB474" s="15" t="n"/>
    </row>
    <row r="475" hidden="1" s="233">
      <c r="A475" s="6" t="n">
        <v>46107</v>
      </c>
      <c r="B475" s="3" t="n">
        <v>2026</v>
      </c>
      <c r="C475" s="3" t="inlineStr">
        <is>
          <t>Blupine</t>
        </is>
      </c>
      <c r="D475" s="3" t="inlineStr">
        <is>
          <t>Utility and C&amp;I</t>
        </is>
      </c>
      <c r="E475" s="3" t="n"/>
      <c r="F475" s="3" t="inlineStr">
        <is>
          <t>Closed</t>
        </is>
      </c>
      <c r="G475" s="3" t="inlineStr">
        <is>
          <t>Chandrashekar Patidar</t>
        </is>
      </c>
      <c r="H475" s="3" t="n">
        <v>7879764773</v>
      </c>
      <c r="I475" s="11" t="inlineStr">
        <is>
          <t>PE26032601</t>
        </is>
      </c>
      <c r="J475" s="3" t="inlineStr">
        <is>
          <t>Module Diode Failure</t>
        </is>
      </c>
      <c r="K475" s="3" t="inlineStr">
        <is>
          <t>Sadla</t>
        </is>
      </c>
      <c r="L475" s="3" t="inlineStr">
        <is>
          <t>Gujarat</t>
        </is>
      </c>
      <c r="M475" s="9" t="inlineStr">
        <is>
          <t>PNS</t>
        </is>
      </c>
      <c r="N475" s="3" t="inlineStr">
        <is>
          <t>Cold Soldering</t>
        </is>
      </c>
      <c r="O475" s="3" t="n">
        <v>570</v>
      </c>
      <c r="P475" s="9" t="inlineStr">
        <is>
          <t>NSMI24050060523</t>
        </is>
      </c>
      <c r="Q475" s="53">
        <f>MID(P475,5,2)</f>
        <v/>
      </c>
      <c r="R475" s="53">
        <f>MID(P475,7,2)</f>
        <v/>
      </c>
      <c r="S475" s="3" t="inlineStr">
        <is>
          <t>G2G</t>
        </is>
      </c>
      <c r="T475" s="3" t="inlineStr">
        <is>
          <t>P4</t>
        </is>
      </c>
      <c r="U475" s="3" t="inlineStr">
        <is>
          <t>P &amp; N JB Cold Soldering</t>
        </is>
      </c>
      <c r="V475" s="3" t="inlineStr">
        <is>
          <t>Soldering</t>
        </is>
      </c>
      <c r="W475" s="3" t="inlineStr">
        <is>
          <t>Repair</t>
        </is>
      </c>
      <c r="X475" s="18" t="n">
        <v>46149</v>
      </c>
      <c r="Y475" s="3">
        <f>X475-A475</f>
        <v/>
      </c>
      <c r="Z475" s="18" t="n">
        <v>46149</v>
      </c>
      <c r="AA475" s="15" t="n"/>
      <c r="AB475" s="15" t="n"/>
    </row>
    <row r="476" hidden="1" s="233">
      <c r="A476" s="6" t="n">
        <v>46107</v>
      </c>
      <c r="B476" s="3" t="n">
        <v>2026</v>
      </c>
      <c r="C476" s="3" t="inlineStr">
        <is>
          <t>Blupine</t>
        </is>
      </c>
      <c r="D476" s="3" t="inlineStr">
        <is>
          <t>Utility and C&amp;I</t>
        </is>
      </c>
      <c r="E476" s="3" t="n"/>
      <c r="F476" s="3" t="inlineStr">
        <is>
          <t>Closed</t>
        </is>
      </c>
      <c r="G476" s="3" t="inlineStr">
        <is>
          <t>Chandrashekar Patidar</t>
        </is>
      </c>
      <c r="H476" s="3" t="n">
        <v>7879764773</v>
      </c>
      <c r="I476" s="11" t="inlineStr">
        <is>
          <t>PE26032601</t>
        </is>
      </c>
      <c r="J476" s="3" t="inlineStr">
        <is>
          <t>Module Diode Failure</t>
        </is>
      </c>
      <c r="K476" s="3" t="inlineStr">
        <is>
          <t>Sadla</t>
        </is>
      </c>
      <c r="L476" s="3" t="inlineStr">
        <is>
          <t>Gujarat</t>
        </is>
      </c>
      <c r="M476" s="9" t="inlineStr">
        <is>
          <t>NS</t>
        </is>
      </c>
      <c r="N476" s="3" t="inlineStr">
        <is>
          <t>Cold Soldering</t>
        </is>
      </c>
      <c r="O476" s="3" t="n">
        <v>570</v>
      </c>
      <c r="P476" s="9" t="inlineStr">
        <is>
          <t>NSMI24050060452</t>
        </is>
      </c>
      <c r="Q476" s="53">
        <f>MID(P476,5,2)</f>
        <v/>
      </c>
      <c r="R476" s="53">
        <f>MID(P476,7,2)</f>
        <v/>
      </c>
      <c r="S476" s="3" t="inlineStr">
        <is>
          <t>G2G</t>
        </is>
      </c>
      <c r="T476" s="3" t="inlineStr">
        <is>
          <t>P4</t>
        </is>
      </c>
      <c r="U476" s="3" t="inlineStr">
        <is>
          <t>N JB Cold Soldering</t>
        </is>
      </c>
      <c r="V476" s="3" t="inlineStr">
        <is>
          <t>Soldering</t>
        </is>
      </c>
      <c r="W476" s="3" t="inlineStr">
        <is>
          <t>Repair</t>
        </is>
      </c>
      <c r="X476" s="18" t="n">
        <v>46149</v>
      </c>
      <c r="Y476" s="3">
        <f>X476-A476</f>
        <v/>
      </c>
      <c r="Z476" s="18" t="n">
        <v>46149</v>
      </c>
      <c r="AA476" s="15" t="n"/>
      <c r="AB476" s="15" t="n"/>
    </row>
    <row r="477" hidden="1" s="233">
      <c r="A477" s="6" t="n">
        <v>46107</v>
      </c>
      <c r="B477" s="3" t="n">
        <v>2026</v>
      </c>
      <c r="C477" s="3" t="inlineStr">
        <is>
          <t>Blupine</t>
        </is>
      </c>
      <c r="D477" s="3" t="inlineStr">
        <is>
          <t>Utility and C&amp;I</t>
        </is>
      </c>
      <c r="E477" s="3" t="n"/>
      <c r="F477" s="3" t="inlineStr">
        <is>
          <t>Closed</t>
        </is>
      </c>
      <c r="G477" s="3" t="inlineStr">
        <is>
          <t>Chandrashekar Patidar</t>
        </is>
      </c>
      <c r="H477" s="3" t="n">
        <v>7879764773</v>
      </c>
      <c r="I477" s="11" t="inlineStr">
        <is>
          <t>PE26032601</t>
        </is>
      </c>
      <c r="J477" s="3" t="inlineStr">
        <is>
          <t>Module Diode Failure</t>
        </is>
      </c>
      <c r="K477" s="3" t="inlineStr">
        <is>
          <t>Sadla</t>
        </is>
      </c>
      <c r="L477" s="3" t="inlineStr">
        <is>
          <t>Gujarat</t>
        </is>
      </c>
      <c r="M477" s="9" t="inlineStr">
        <is>
          <t>NS</t>
        </is>
      </c>
      <c r="N477" s="3" t="inlineStr">
        <is>
          <t>Cold Soldering</t>
        </is>
      </c>
      <c r="O477" s="3" t="n">
        <v>570</v>
      </c>
      <c r="P477" s="9" t="inlineStr">
        <is>
          <t>NSMI24060096756</t>
        </is>
      </c>
      <c r="Q477" s="53">
        <f>MID(P477,5,2)</f>
        <v/>
      </c>
      <c r="R477" s="53">
        <f>MID(P477,7,2)</f>
        <v/>
      </c>
      <c r="S477" s="3" t="inlineStr">
        <is>
          <t>G2G</t>
        </is>
      </c>
      <c r="T477" s="3" t="inlineStr">
        <is>
          <t>P4</t>
        </is>
      </c>
      <c r="U477" s="3" t="inlineStr">
        <is>
          <t>N JB Cold Soldering</t>
        </is>
      </c>
      <c r="V477" s="3" t="inlineStr">
        <is>
          <t>Soldering</t>
        </is>
      </c>
      <c r="W477" s="3" t="inlineStr">
        <is>
          <t>Repair</t>
        </is>
      </c>
      <c r="X477" s="18" t="n">
        <v>46149</v>
      </c>
      <c r="Y477" s="3">
        <f>X477-A477</f>
        <v/>
      </c>
      <c r="Z477" s="18" t="n">
        <v>46149</v>
      </c>
      <c r="AA477" s="15" t="n"/>
      <c r="AB477" s="15" t="n"/>
    </row>
    <row r="478" hidden="1" s="233">
      <c r="A478" s="6" t="n">
        <v>46107</v>
      </c>
      <c r="B478" s="3" t="n">
        <v>2026</v>
      </c>
      <c r="C478" s="3" t="inlineStr">
        <is>
          <t>Blupine</t>
        </is>
      </c>
      <c r="D478" s="3" t="inlineStr">
        <is>
          <t>Utility and C&amp;I</t>
        </is>
      </c>
      <c r="E478" s="3" t="n"/>
      <c r="F478" s="3" t="inlineStr">
        <is>
          <t>Closed</t>
        </is>
      </c>
      <c r="G478" s="3" t="inlineStr">
        <is>
          <t>Chandrashekar Patidar</t>
        </is>
      </c>
      <c r="H478" s="3" t="n">
        <v>7879764773</v>
      </c>
      <c r="I478" s="11" t="inlineStr">
        <is>
          <t>PE26032601</t>
        </is>
      </c>
      <c r="J478" s="3" t="inlineStr">
        <is>
          <t>Module Diode Failure</t>
        </is>
      </c>
      <c r="K478" s="3" t="inlineStr">
        <is>
          <t>Sadla</t>
        </is>
      </c>
      <c r="L478" s="3" t="inlineStr">
        <is>
          <t>Gujarat</t>
        </is>
      </c>
      <c r="M478" s="9" t="inlineStr">
        <is>
          <t>NS</t>
        </is>
      </c>
      <c r="N478" s="3" t="inlineStr">
        <is>
          <t>Cold Soldering</t>
        </is>
      </c>
      <c r="O478" s="3" t="n">
        <v>570</v>
      </c>
      <c r="P478" s="9" t="inlineStr">
        <is>
          <t>NSMI24060093175</t>
        </is>
      </c>
      <c r="Q478" s="53">
        <f>MID(P478,5,2)</f>
        <v/>
      </c>
      <c r="R478" s="53">
        <f>MID(P478,7,2)</f>
        <v/>
      </c>
      <c r="S478" s="3" t="inlineStr">
        <is>
          <t>G2G</t>
        </is>
      </c>
      <c r="T478" s="3" t="inlineStr">
        <is>
          <t>P4</t>
        </is>
      </c>
      <c r="U478" s="3" t="inlineStr">
        <is>
          <t>N JB Cold Soldering</t>
        </is>
      </c>
      <c r="V478" s="3" t="inlineStr">
        <is>
          <t>Soldering</t>
        </is>
      </c>
      <c r="W478" s="3" t="inlineStr">
        <is>
          <t>Repair</t>
        </is>
      </c>
      <c r="X478" s="18" t="n">
        <v>46149</v>
      </c>
      <c r="Y478" s="3">
        <f>X478-A478</f>
        <v/>
      </c>
      <c r="Z478" s="18" t="n">
        <v>46149</v>
      </c>
      <c r="AA478" s="15" t="n"/>
      <c r="AB478" s="15" t="n"/>
    </row>
    <row r="479" hidden="1" s="233">
      <c r="A479" s="6" t="n">
        <v>46107</v>
      </c>
      <c r="B479" s="3" t="n">
        <v>2026</v>
      </c>
      <c r="C479" s="3" t="inlineStr">
        <is>
          <t>Blupine</t>
        </is>
      </c>
      <c r="D479" s="3" t="inlineStr">
        <is>
          <t>Utility and C&amp;I</t>
        </is>
      </c>
      <c r="E479" s="3" t="n"/>
      <c r="F479" s="3" t="inlineStr">
        <is>
          <t>Closed</t>
        </is>
      </c>
      <c r="G479" s="3" t="inlineStr">
        <is>
          <t>Chandrashekar Patidar</t>
        </is>
      </c>
      <c r="H479" s="3" t="n">
        <v>7879764773</v>
      </c>
      <c r="I479" s="11" t="inlineStr">
        <is>
          <t>PE26032601</t>
        </is>
      </c>
      <c r="J479" s="3" t="inlineStr">
        <is>
          <t>Module Diode Failure</t>
        </is>
      </c>
      <c r="K479" s="3" t="inlineStr">
        <is>
          <t>Sadla</t>
        </is>
      </c>
      <c r="L479" s="3" t="inlineStr">
        <is>
          <t>Gujarat</t>
        </is>
      </c>
      <c r="M479" s="9" t="inlineStr">
        <is>
          <t>NS</t>
        </is>
      </c>
      <c r="N479" s="3" t="inlineStr">
        <is>
          <t>Cold Soldering</t>
        </is>
      </c>
      <c r="O479" s="3" t="n">
        <v>570</v>
      </c>
      <c r="P479" s="9" t="inlineStr">
        <is>
          <t>NSMI24060094800</t>
        </is>
      </c>
      <c r="Q479" s="53">
        <f>MID(P479,5,2)</f>
        <v/>
      </c>
      <c r="R479" s="53">
        <f>MID(P479,7,2)</f>
        <v/>
      </c>
      <c r="S479" s="3" t="inlineStr">
        <is>
          <t>G2G</t>
        </is>
      </c>
      <c r="T479" s="3" t="inlineStr">
        <is>
          <t>P4</t>
        </is>
      </c>
      <c r="U479" s="3" t="inlineStr">
        <is>
          <t>N JB Cold Soldering</t>
        </is>
      </c>
      <c r="V479" s="3" t="inlineStr">
        <is>
          <t>Soldering</t>
        </is>
      </c>
      <c r="W479" s="3" t="inlineStr">
        <is>
          <t>Repair</t>
        </is>
      </c>
      <c r="X479" s="18" t="n">
        <v>46149</v>
      </c>
      <c r="Y479" s="3">
        <f>X479-A479</f>
        <v/>
      </c>
      <c r="Z479" s="18" t="n">
        <v>46149</v>
      </c>
      <c r="AA479" s="15" t="n"/>
      <c r="AB479" s="15" t="n"/>
    </row>
    <row r="480" hidden="1" s="233">
      <c r="A480" s="6" t="n">
        <v>46107</v>
      </c>
      <c r="B480" s="3" t="n">
        <v>2026</v>
      </c>
      <c r="C480" s="3" t="inlineStr">
        <is>
          <t>Blupine</t>
        </is>
      </c>
      <c r="D480" s="3" t="inlineStr">
        <is>
          <t>Utility and C&amp;I</t>
        </is>
      </c>
      <c r="E480" s="3" t="n"/>
      <c r="F480" s="3" t="inlineStr">
        <is>
          <t>Closed</t>
        </is>
      </c>
      <c r="G480" s="3" t="inlineStr">
        <is>
          <t>Chandrashekar Patidar</t>
        </is>
      </c>
      <c r="H480" s="3" t="n">
        <v>7879764773</v>
      </c>
      <c r="I480" s="11" t="inlineStr">
        <is>
          <t>PE26032601</t>
        </is>
      </c>
      <c r="J480" s="3" t="inlineStr">
        <is>
          <t>Module Diode Failure</t>
        </is>
      </c>
      <c r="K480" s="3" t="inlineStr">
        <is>
          <t>Sadla</t>
        </is>
      </c>
      <c r="L480" s="3" t="inlineStr">
        <is>
          <t>Gujarat</t>
        </is>
      </c>
      <c r="M480" s="9" t="inlineStr">
        <is>
          <t>Ok</t>
        </is>
      </c>
      <c r="N480" s="3" t="inlineStr">
        <is>
          <t>No Issue</t>
        </is>
      </c>
      <c r="O480" s="3" t="n">
        <v>570</v>
      </c>
      <c r="P480" s="9" t="inlineStr">
        <is>
          <t>NSMI24060094791</t>
        </is>
      </c>
      <c r="Q480" s="53">
        <f>MID(P480,5,2)</f>
        <v/>
      </c>
      <c r="R480" s="53">
        <f>MID(P480,7,2)</f>
        <v/>
      </c>
      <c r="S480" s="3" t="inlineStr">
        <is>
          <t>G2G</t>
        </is>
      </c>
      <c r="T480" s="3" t="inlineStr">
        <is>
          <t>P4</t>
        </is>
      </c>
      <c r="U480" s="19" t="inlineStr">
        <is>
          <t>No Issue Found</t>
        </is>
      </c>
      <c r="V480" s="19" t="inlineStr">
        <is>
          <t>Found OK</t>
        </is>
      </c>
      <c r="W480" s="3" t="inlineStr">
        <is>
          <t>Repair</t>
        </is>
      </c>
      <c r="X480" s="18" t="n">
        <v>46149</v>
      </c>
      <c r="Y480" s="3">
        <f>X480-A480</f>
        <v/>
      </c>
      <c r="Z480" s="18" t="n">
        <v>46149</v>
      </c>
      <c r="AA480" s="15" t="n"/>
      <c r="AB480" s="15" t="n"/>
    </row>
    <row r="481" hidden="1" s="233">
      <c r="A481" s="6" t="n">
        <v>46107</v>
      </c>
      <c r="B481" s="3" t="n">
        <v>2026</v>
      </c>
      <c r="C481" s="3" t="inlineStr">
        <is>
          <t>Blupine</t>
        </is>
      </c>
      <c r="D481" s="3" t="inlineStr">
        <is>
          <t>Utility and C&amp;I</t>
        </is>
      </c>
      <c r="E481" s="3" t="n"/>
      <c r="F481" s="3" t="inlineStr">
        <is>
          <t>Closed</t>
        </is>
      </c>
      <c r="G481" s="3" t="inlineStr">
        <is>
          <t>Chandrashekar Patidar</t>
        </is>
      </c>
      <c r="H481" s="3" t="n">
        <v>7879764773</v>
      </c>
      <c r="I481" s="11" t="inlineStr">
        <is>
          <t>PE26032601</t>
        </is>
      </c>
      <c r="J481" s="3" t="inlineStr">
        <is>
          <t>Module Diode Failure</t>
        </is>
      </c>
      <c r="K481" s="3" t="inlineStr">
        <is>
          <t>Sadla</t>
        </is>
      </c>
      <c r="L481" s="3" t="inlineStr">
        <is>
          <t>Gujarat</t>
        </is>
      </c>
      <c r="M481" s="9" t="inlineStr">
        <is>
          <t>PS</t>
        </is>
      </c>
      <c r="N481" s="3" t="inlineStr">
        <is>
          <t>Cold Soldering</t>
        </is>
      </c>
      <c r="O481" s="3" t="n">
        <v>570</v>
      </c>
      <c r="P481" s="9" t="inlineStr">
        <is>
          <t>NSMI24060091775</t>
        </is>
      </c>
      <c r="Q481" s="53">
        <f>MID(P481,5,2)</f>
        <v/>
      </c>
      <c r="R481" s="53">
        <f>MID(P481,7,2)</f>
        <v/>
      </c>
      <c r="S481" s="3" t="inlineStr">
        <is>
          <t>G2G</t>
        </is>
      </c>
      <c r="T481" s="3" t="inlineStr">
        <is>
          <t>P4</t>
        </is>
      </c>
      <c r="U481" s="3" t="inlineStr">
        <is>
          <t>P JB Cold Soldering</t>
        </is>
      </c>
      <c r="V481" s="3" t="inlineStr">
        <is>
          <t>Soldering</t>
        </is>
      </c>
      <c r="W481" s="3" t="inlineStr">
        <is>
          <t>Repair</t>
        </is>
      </c>
      <c r="X481" s="18" t="n">
        <v>46149</v>
      </c>
      <c r="Y481" s="3">
        <f>X481-A481</f>
        <v/>
      </c>
      <c r="Z481" s="18" t="n">
        <v>46149</v>
      </c>
      <c r="AA481" s="15" t="n"/>
      <c r="AB481" s="15" t="n"/>
    </row>
    <row r="482" hidden="1" s="233">
      <c r="A482" s="6" t="n">
        <v>46107</v>
      </c>
      <c r="B482" s="3" t="n">
        <v>2026</v>
      </c>
      <c r="C482" s="3" t="inlineStr">
        <is>
          <t>Blupine</t>
        </is>
      </c>
      <c r="D482" s="3" t="inlineStr">
        <is>
          <t>Utility and C&amp;I</t>
        </is>
      </c>
      <c r="E482" s="3" t="n"/>
      <c r="F482" s="3" t="inlineStr">
        <is>
          <t>Closed</t>
        </is>
      </c>
      <c r="G482" s="3" t="inlineStr">
        <is>
          <t>Chandrashekar Patidar</t>
        </is>
      </c>
      <c r="H482" s="3" t="n">
        <v>7879764773</v>
      </c>
      <c r="I482" s="11" t="inlineStr">
        <is>
          <t>PE26032601</t>
        </is>
      </c>
      <c r="J482" s="3" t="inlineStr">
        <is>
          <t>Module Diode Failure</t>
        </is>
      </c>
      <c r="K482" s="3" t="inlineStr">
        <is>
          <t>Sadla</t>
        </is>
      </c>
      <c r="L482" s="3" t="inlineStr">
        <is>
          <t>Gujarat</t>
        </is>
      </c>
      <c r="M482" s="9" t="inlineStr">
        <is>
          <t>NS</t>
        </is>
      </c>
      <c r="N482" s="3" t="inlineStr">
        <is>
          <t>Cold Soldering</t>
        </is>
      </c>
      <c r="O482" s="3" t="n">
        <v>570</v>
      </c>
      <c r="P482" s="9" t="inlineStr">
        <is>
          <t>NSMI24060092130</t>
        </is>
      </c>
      <c r="Q482" s="53">
        <f>MID(P482,5,2)</f>
        <v/>
      </c>
      <c r="R482" s="53">
        <f>MID(P482,7,2)</f>
        <v/>
      </c>
      <c r="S482" s="3" t="inlineStr">
        <is>
          <t>G2G</t>
        </is>
      </c>
      <c r="T482" s="3" t="inlineStr">
        <is>
          <t>P4</t>
        </is>
      </c>
      <c r="U482" s="3" t="inlineStr">
        <is>
          <t>N JB Cold Soldering</t>
        </is>
      </c>
      <c r="V482" s="3" t="inlineStr">
        <is>
          <t>Soldering</t>
        </is>
      </c>
      <c r="W482" s="3" t="inlineStr">
        <is>
          <t>Repair</t>
        </is>
      </c>
      <c r="X482" s="18" t="n">
        <v>46149</v>
      </c>
      <c r="Y482" s="3">
        <f>X482-A482</f>
        <v/>
      </c>
      <c r="Z482" s="18" t="n">
        <v>46149</v>
      </c>
      <c r="AA482" s="15" t="n"/>
      <c r="AB482" s="15" t="n"/>
    </row>
    <row r="483" hidden="1" s="233">
      <c r="A483" s="6" t="n">
        <v>46107</v>
      </c>
      <c r="B483" s="3" t="n">
        <v>2026</v>
      </c>
      <c r="C483" s="3" t="inlineStr">
        <is>
          <t>Blupine</t>
        </is>
      </c>
      <c r="D483" s="3" t="inlineStr">
        <is>
          <t>Utility and C&amp;I</t>
        </is>
      </c>
      <c r="E483" s="3" t="n"/>
      <c r="F483" s="3" t="inlineStr">
        <is>
          <t>Closed</t>
        </is>
      </c>
      <c r="G483" s="3" t="inlineStr">
        <is>
          <t>Chandrashekar Patidar</t>
        </is>
      </c>
      <c r="H483" s="3" t="n">
        <v>7879764773</v>
      </c>
      <c r="I483" s="11" t="inlineStr">
        <is>
          <t>PE26032601</t>
        </is>
      </c>
      <c r="J483" s="3" t="inlineStr">
        <is>
          <t>Module Diode Failure</t>
        </is>
      </c>
      <c r="K483" s="3" t="inlineStr">
        <is>
          <t>Sadla</t>
        </is>
      </c>
      <c r="L483" s="3" t="inlineStr">
        <is>
          <t>Gujarat</t>
        </is>
      </c>
      <c r="M483" s="9" t="inlineStr">
        <is>
          <t>PS</t>
        </is>
      </c>
      <c r="N483" s="3" t="inlineStr">
        <is>
          <t>Cold Soldering</t>
        </is>
      </c>
      <c r="O483" s="3" t="n">
        <v>570</v>
      </c>
      <c r="P483" s="9" t="inlineStr">
        <is>
          <t>NSMI24060098140</t>
        </is>
      </c>
      <c r="Q483" s="53">
        <f>MID(P483,5,2)</f>
        <v/>
      </c>
      <c r="R483" s="53">
        <f>MID(P483,7,2)</f>
        <v/>
      </c>
      <c r="S483" s="3" t="inlineStr">
        <is>
          <t>G2G</t>
        </is>
      </c>
      <c r="T483" s="3" t="inlineStr">
        <is>
          <t>P4</t>
        </is>
      </c>
      <c r="U483" s="3" t="inlineStr">
        <is>
          <t>P JB Cold Soldering</t>
        </is>
      </c>
      <c r="V483" s="3" t="inlineStr">
        <is>
          <t>Soldering</t>
        </is>
      </c>
      <c r="W483" s="3" t="inlineStr">
        <is>
          <t>Repair</t>
        </is>
      </c>
      <c r="X483" s="18" t="n">
        <v>46149</v>
      </c>
      <c r="Y483" s="3">
        <f>X483-A483</f>
        <v/>
      </c>
      <c r="Z483" s="18" t="n">
        <v>46149</v>
      </c>
      <c r="AA483" s="15" t="n"/>
      <c r="AB483" s="15" t="n"/>
    </row>
    <row r="484" hidden="1" s="233">
      <c r="A484" s="6" t="n">
        <v>46107</v>
      </c>
      <c r="B484" s="3" t="n">
        <v>2026</v>
      </c>
      <c r="C484" s="3" t="inlineStr">
        <is>
          <t>Blupine</t>
        </is>
      </c>
      <c r="D484" s="3" t="inlineStr">
        <is>
          <t>Utility and C&amp;I</t>
        </is>
      </c>
      <c r="E484" s="3" t="n"/>
      <c r="F484" s="3" t="inlineStr">
        <is>
          <t>Closed</t>
        </is>
      </c>
      <c r="G484" s="3" t="inlineStr">
        <is>
          <t>Chandrashekar Patidar</t>
        </is>
      </c>
      <c r="H484" s="3" t="n">
        <v>7879764773</v>
      </c>
      <c r="I484" s="11" t="inlineStr">
        <is>
          <t>PE26032601</t>
        </is>
      </c>
      <c r="J484" s="3" t="inlineStr">
        <is>
          <t>Module Diode Failure</t>
        </is>
      </c>
      <c r="K484" s="3" t="inlineStr">
        <is>
          <t>Sadla</t>
        </is>
      </c>
      <c r="L484" s="3" t="inlineStr">
        <is>
          <t>Gujarat</t>
        </is>
      </c>
      <c r="M484" s="9" t="inlineStr">
        <is>
          <t>NS</t>
        </is>
      </c>
      <c r="N484" s="3" t="inlineStr">
        <is>
          <t>Cold Soldering</t>
        </is>
      </c>
      <c r="O484" s="3" t="n">
        <v>570</v>
      </c>
      <c r="P484" s="9" t="inlineStr">
        <is>
          <t>NSMI24060098365</t>
        </is>
      </c>
      <c r="Q484" s="53">
        <f>MID(P484,5,2)</f>
        <v/>
      </c>
      <c r="R484" s="53">
        <f>MID(P484,7,2)</f>
        <v/>
      </c>
      <c r="S484" s="3" t="inlineStr">
        <is>
          <t>G2G</t>
        </is>
      </c>
      <c r="T484" s="3" t="inlineStr">
        <is>
          <t>P4</t>
        </is>
      </c>
      <c r="U484" s="3" t="inlineStr">
        <is>
          <t>N JB Cold Soldering</t>
        </is>
      </c>
      <c r="V484" s="3" t="inlineStr">
        <is>
          <t>Soldering</t>
        </is>
      </c>
      <c r="W484" s="3" t="inlineStr">
        <is>
          <t>Repair</t>
        </is>
      </c>
      <c r="X484" s="18" t="n">
        <v>46149</v>
      </c>
      <c r="Y484" s="3">
        <f>X484-A484</f>
        <v/>
      </c>
      <c r="Z484" s="18" t="n">
        <v>46149</v>
      </c>
      <c r="AA484" s="15" t="n"/>
      <c r="AB484" s="15" t="n"/>
    </row>
    <row r="485" hidden="1" s="233">
      <c r="A485" s="6" t="n">
        <v>46107</v>
      </c>
      <c r="B485" s="3" t="n">
        <v>2026</v>
      </c>
      <c r="C485" s="3" t="inlineStr">
        <is>
          <t>Blupine</t>
        </is>
      </c>
      <c r="D485" s="3" t="inlineStr">
        <is>
          <t>Utility and C&amp;I</t>
        </is>
      </c>
      <c r="E485" s="3" t="n"/>
      <c r="F485" s="3" t="inlineStr">
        <is>
          <t>Closed</t>
        </is>
      </c>
      <c r="G485" s="3" t="inlineStr">
        <is>
          <t>Chandrashekar Patidar</t>
        </is>
      </c>
      <c r="H485" s="3" t="n">
        <v>7879764773</v>
      </c>
      <c r="I485" s="11" t="inlineStr">
        <is>
          <t>PE26032601</t>
        </is>
      </c>
      <c r="J485" s="3" t="inlineStr">
        <is>
          <t>Module Diode Failure</t>
        </is>
      </c>
      <c r="K485" s="3" t="inlineStr">
        <is>
          <t>Sadla</t>
        </is>
      </c>
      <c r="L485" s="3" t="inlineStr">
        <is>
          <t>Gujarat</t>
        </is>
      </c>
      <c r="M485" s="9" t="inlineStr">
        <is>
          <t>PS</t>
        </is>
      </c>
      <c r="N485" s="3" t="inlineStr">
        <is>
          <t>Cold Soldering</t>
        </is>
      </c>
      <c r="O485" s="3" t="n">
        <v>570</v>
      </c>
      <c r="P485" s="9" t="inlineStr">
        <is>
          <t>NSMI24060091271</t>
        </is>
      </c>
      <c r="Q485" s="53">
        <f>MID(P485,5,2)</f>
        <v/>
      </c>
      <c r="R485" s="53">
        <f>MID(P485,7,2)</f>
        <v/>
      </c>
      <c r="S485" s="3" t="inlineStr">
        <is>
          <t>G2G</t>
        </is>
      </c>
      <c r="T485" s="3" t="inlineStr">
        <is>
          <t>P4</t>
        </is>
      </c>
      <c r="U485" s="3" t="inlineStr">
        <is>
          <t>P JB Cold Soldering</t>
        </is>
      </c>
      <c r="V485" s="3" t="inlineStr">
        <is>
          <t>Soldering</t>
        </is>
      </c>
      <c r="W485" s="3" t="inlineStr">
        <is>
          <t>Repair</t>
        </is>
      </c>
      <c r="X485" s="18" t="n">
        <v>46149</v>
      </c>
      <c r="Y485" s="3">
        <f>X485-A485</f>
        <v/>
      </c>
      <c r="Z485" s="18" t="n">
        <v>46149</v>
      </c>
      <c r="AA485" s="15" t="n"/>
      <c r="AB485" s="15" t="n"/>
    </row>
    <row r="486" hidden="1" s="233">
      <c r="A486" s="6" t="n">
        <v>46107</v>
      </c>
      <c r="B486" s="3" t="n">
        <v>2026</v>
      </c>
      <c r="C486" s="3" t="inlineStr">
        <is>
          <t>Blupine</t>
        </is>
      </c>
      <c r="D486" s="3" t="inlineStr">
        <is>
          <t>Utility and C&amp;I</t>
        </is>
      </c>
      <c r="E486" s="3" t="n"/>
      <c r="F486" s="3" t="inlineStr">
        <is>
          <t>Closed</t>
        </is>
      </c>
      <c r="G486" s="3" t="inlineStr">
        <is>
          <t>Chandrashekar Patidar</t>
        </is>
      </c>
      <c r="H486" s="3" t="n">
        <v>7879764773</v>
      </c>
      <c r="I486" s="11" t="inlineStr">
        <is>
          <t>PE26032601</t>
        </is>
      </c>
      <c r="J486" s="3" t="inlineStr">
        <is>
          <t>Module Diode Failure</t>
        </is>
      </c>
      <c r="K486" s="3" t="inlineStr">
        <is>
          <t>Sadla</t>
        </is>
      </c>
      <c r="L486" s="3" t="inlineStr">
        <is>
          <t>Gujarat</t>
        </is>
      </c>
      <c r="M486" s="9" t="inlineStr">
        <is>
          <t>NS</t>
        </is>
      </c>
      <c r="N486" s="3" t="inlineStr">
        <is>
          <t>Cold Soldering</t>
        </is>
      </c>
      <c r="O486" s="3" t="n">
        <v>570</v>
      </c>
      <c r="P486" s="9" t="inlineStr">
        <is>
          <t>NSMI24060100383</t>
        </is>
      </c>
      <c r="Q486" s="53">
        <f>MID(P486,5,2)</f>
        <v/>
      </c>
      <c r="R486" s="53">
        <f>MID(P486,7,2)</f>
        <v/>
      </c>
      <c r="S486" s="3" t="inlineStr">
        <is>
          <t>G2G</t>
        </is>
      </c>
      <c r="T486" s="3" t="inlineStr">
        <is>
          <t>P4</t>
        </is>
      </c>
      <c r="U486" s="3" t="inlineStr">
        <is>
          <t>N JB Cold Soldering</t>
        </is>
      </c>
      <c r="V486" s="3" t="inlineStr">
        <is>
          <t>Soldering</t>
        </is>
      </c>
      <c r="W486" s="3" t="inlineStr">
        <is>
          <t>Repair</t>
        </is>
      </c>
      <c r="X486" s="18" t="n">
        <v>46149</v>
      </c>
      <c r="Y486" s="3">
        <f>X486-A486</f>
        <v/>
      </c>
      <c r="Z486" s="18" t="n">
        <v>46149</v>
      </c>
      <c r="AA486" s="15" t="n"/>
      <c r="AB486" s="15" t="n"/>
    </row>
    <row r="487" hidden="1" s="233">
      <c r="A487" s="6" t="n">
        <v>46107</v>
      </c>
      <c r="B487" s="3" t="n">
        <v>2026</v>
      </c>
      <c r="C487" s="3" t="inlineStr">
        <is>
          <t>Blupine</t>
        </is>
      </c>
      <c r="D487" s="3" t="inlineStr">
        <is>
          <t>Utility and C&amp;I</t>
        </is>
      </c>
      <c r="E487" s="3" t="n"/>
      <c r="F487" s="3" t="inlineStr">
        <is>
          <t>Closed</t>
        </is>
      </c>
      <c r="G487" s="3" t="inlineStr">
        <is>
          <t>Chandrashekar Patidar</t>
        </is>
      </c>
      <c r="H487" s="3" t="n">
        <v>7879764773</v>
      </c>
      <c r="I487" s="11" t="inlineStr">
        <is>
          <t>PE26032601</t>
        </is>
      </c>
      <c r="J487" s="3" t="inlineStr">
        <is>
          <t>Module Diode Failure</t>
        </is>
      </c>
      <c r="K487" s="3" t="inlineStr">
        <is>
          <t>Sadla</t>
        </is>
      </c>
      <c r="L487" s="3" t="inlineStr">
        <is>
          <t>Gujarat</t>
        </is>
      </c>
      <c r="M487" s="9" t="inlineStr">
        <is>
          <t>NS</t>
        </is>
      </c>
      <c r="N487" s="3" t="inlineStr">
        <is>
          <t>Cold Soldering</t>
        </is>
      </c>
      <c r="O487" s="3" t="n">
        <v>570</v>
      </c>
      <c r="P487" s="9" t="inlineStr">
        <is>
          <t>NSMI24060115745</t>
        </is>
      </c>
      <c r="Q487" s="53">
        <f>MID(P487,5,2)</f>
        <v/>
      </c>
      <c r="R487" s="53">
        <f>MID(P487,7,2)</f>
        <v/>
      </c>
      <c r="S487" s="3" t="inlineStr">
        <is>
          <t>G2G</t>
        </is>
      </c>
      <c r="T487" s="3" t="inlineStr">
        <is>
          <t>P4</t>
        </is>
      </c>
      <c r="U487" s="3" t="inlineStr">
        <is>
          <t>N JB Cold Soldering</t>
        </is>
      </c>
      <c r="V487" s="3" t="inlineStr">
        <is>
          <t>Soldering</t>
        </is>
      </c>
      <c r="W487" s="3" t="inlineStr">
        <is>
          <t>Repair</t>
        </is>
      </c>
      <c r="X487" s="18" t="n">
        <v>46149</v>
      </c>
      <c r="Y487" s="3">
        <f>X487-A487</f>
        <v/>
      </c>
      <c r="Z487" s="18" t="n">
        <v>46149</v>
      </c>
      <c r="AA487" s="15" t="n"/>
      <c r="AB487" s="15" t="n"/>
    </row>
    <row r="488" hidden="1" s="233">
      <c r="A488" s="6" t="n">
        <v>46107</v>
      </c>
      <c r="B488" s="3" t="n">
        <v>2026</v>
      </c>
      <c r="C488" s="3" t="inlineStr">
        <is>
          <t>Blupine</t>
        </is>
      </c>
      <c r="D488" s="3" t="inlineStr">
        <is>
          <t>Utility and C&amp;I</t>
        </is>
      </c>
      <c r="E488" s="3" t="n"/>
      <c r="F488" s="3" t="inlineStr">
        <is>
          <t>Closed</t>
        </is>
      </c>
      <c r="G488" s="3" t="inlineStr">
        <is>
          <t>Chandrashekar Patidar</t>
        </is>
      </c>
      <c r="H488" s="3" t="n">
        <v>7879764773</v>
      </c>
      <c r="I488" s="11" t="inlineStr">
        <is>
          <t>PE26032601</t>
        </is>
      </c>
      <c r="J488" s="3" t="inlineStr">
        <is>
          <t>Module Diode Failure</t>
        </is>
      </c>
      <c r="K488" s="3" t="inlineStr">
        <is>
          <t>Sadla</t>
        </is>
      </c>
      <c r="L488" s="3" t="inlineStr">
        <is>
          <t>Gujarat</t>
        </is>
      </c>
      <c r="M488" s="9" t="inlineStr">
        <is>
          <t>PS</t>
        </is>
      </c>
      <c r="N488" s="3" t="inlineStr">
        <is>
          <t>Cold Soldering</t>
        </is>
      </c>
      <c r="O488" s="3" t="n">
        <v>570</v>
      </c>
      <c r="P488" s="9" t="inlineStr">
        <is>
          <t>NSMI24050046586</t>
        </is>
      </c>
      <c r="Q488" s="53">
        <f>MID(P488,5,2)</f>
        <v/>
      </c>
      <c r="R488" s="53">
        <f>MID(P488,7,2)</f>
        <v/>
      </c>
      <c r="S488" s="3" t="inlineStr">
        <is>
          <t>G2G</t>
        </is>
      </c>
      <c r="T488" s="3" t="inlineStr">
        <is>
          <t>P4</t>
        </is>
      </c>
      <c r="U488" s="3" t="inlineStr">
        <is>
          <t>P JB Cold Soldering</t>
        </is>
      </c>
      <c r="V488" s="3" t="inlineStr">
        <is>
          <t>Soldering</t>
        </is>
      </c>
      <c r="W488" s="3" t="inlineStr">
        <is>
          <t>Repair</t>
        </is>
      </c>
      <c r="X488" s="18" t="n">
        <v>46149</v>
      </c>
      <c r="Y488" s="3">
        <f>X488-A488</f>
        <v/>
      </c>
      <c r="Z488" s="18" t="n">
        <v>46149</v>
      </c>
      <c r="AA488" s="15" t="n"/>
      <c r="AB488" s="15" t="n"/>
    </row>
    <row r="489" hidden="1" s="233">
      <c r="A489" s="6" t="n">
        <v>46107</v>
      </c>
      <c r="B489" s="3" t="n">
        <v>2026</v>
      </c>
      <c r="C489" s="3" t="inlineStr">
        <is>
          <t>Blupine</t>
        </is>
      </c>
      <c r="D489" s="3" t="inlineStr">
        <is>
          <t>Utility and C&amp;I</t>
        </is>
      </c>
      <c r="E489" s="3" t="n"/>
      <c r="F489" s="3" t="inlineStr">
        <is>
          <t>Closed</t>
        </is>
      </c>
      <c r="G489" s="3" t="inlineStr">
        <is>
          <t>Chandrashekar Patidar</t>
        </is>
      </c>
      <c r="H489" s="3" t="n">
        <v>7879764773</v>
      </c>
      <c r="I489" s="11" t="inlineStr">
        <is>
          <t>PE26032601</t>
        </is>
      </c>
      <c r="J489" s="3" t="inlineStr">
        <is>
          <t>Module Diode Failure</t>
        </is>
      </c>
      <c r="K489" s="3" t="inlineStr">
        <is>
          <t>Sadla</t>
        </is>
      </c>
      <c r="L489" s="3" t="inlineStr">
        <is>
          <t>Gujarat</t>
        </is>
      </c>
      <c r="M489" s="9" t="inlineStr">
        <is>
          <t>NS</t>
        </is>
      </c>
      <c r="N489" s="3" t="inlineStr">
        <is>
          <t>Cold Soldering</t>
        </is>
      </c>
      <c r="O489" s="3" t="n">
        <v>570</v>
      </c>
      <c r="P489" s="9" t="inlineStr">
        <is>
          <t>NSMI24060104504</t>
        </is>
      </c>
      <c r="Q489" s="53">
        <f>MID(P489,5,2)</f>
        <v/>
      </c>
      <c r="R489" s="53">
        <f>MID(P489,7,2)</f>
        <v/>
      </c>
      <c r="S489" s="3" t="inlineStr">
        <is>
          <t>G2G</t>
        </is>
      </c>
      <c r="T489" s="3" t="inlineStr">
        <is>
          <t>P4</t>
        </is>
      </c>
      <c r="U489" s="3" t="inlineStr">
        <is>
          <t>N JB Cold Soldering</t>
        </is>
      </c>
      <c r="V489" s="3" t="inlineStr">
        <is>
          <t>Soldering</t>
        </is>
      </c>
      <c r="W489" s="3" t="inlineStr">
        <is>
          <t>Repair</t>
        </is>
      </c>
      <c r="X489" s="18" t="n">
        <v>46149</v>
      </c>
      <c r="Y489" s="3">
        <f>X489-A489</f>
        <v/>
      </c>
      <c r="Z489" s="18" t="n">
        <v>46149</v>
      </c>
      <c r="AA489" s="15" t="n"/>
      <c r="AB489" s="15" t="n"/>
    </row>
    <row r="490" hidden="1" s="233">
      <c r="A490" s="6" t="n">
        <v>46107</v>
      </c>
      <c r="B490" s="3" t="n">
        <v>2026</v>
      </c>
      <c r="C490" s="3" t="inlineStr">
        <is>
          <t>Blupine</t>
        </is>
      </c>
      <c r="D490" s="3" t="inlineStr">
        <is>
          <t>Utility and C&amp;I</t>
        </is>
      </c>
      <c r="E490" s="3" t="n"/>
      <c r="F490" s="3" t="inlineStr">
        <is>
          <t>Closed</t>
        </is>
      </c>
      <c r="G490" s="3" t="inlineStr">
        <is>
          <t>Chandrashekar Patidar</t>
        </is>
      </c>
      <c r="H490" s="3" t="n">
        <v>7879764773</v>
      </c>
      <c r="I490" s="11" t="inlineStr">
        <is>
          <t>PE26032601</t>
        </is>
      </c>
      <c r="J490" s="3" t="inlineStr">
        <is>
          <t>Module Diode Failure</t>
        </is>
      </c>
      <c r="K490" s="3" t="inlineStr">
        <is>
          <t>Sadla</t>
        </is>
      </c>
      <c r="L490" s="3" t="inlineStr">
        <is>
          <t>Gujarat</t>
        </is>
      </c>
      <c r="M490" s="9" t="inlineStr">
        <is>
          <t>NS</t>
        </is>
      </c>
      <c r="N490" s="3" t="inlineStr">
        <is>
          <t>Cold Soldering</t>
        </is>
      </c>
      <c r="O490" s="3" t="n">
        <v>570</v>
      </c>
      <c r="P490" s="9" t="inlineStr">
        <is>
          <t>NSMI24060115428</t>
        </is>
      </c>
      <c r="Q490" s="53">
        <f>MID(P490,5,2)</f>
        <v/>
      </c>
      <c r="R490" s="53">
        <f>MID(P490,7,2)</f>
        <v/>
      </c>
      <c r="S490" s="3" t="inlineStr">
        <is>
          <t>G2G</t>
        </is>
      </c>
      <c r="T490" s="3" t="inlineStr">
        <is>
          <t>P4</t>
        </is>
      </c>
      <c r="U490" s="3" t="inlineStr">
        <is>
          <t>N JB Cold Soldering</t>
        </is>
      </c>
      <c r="V490" s="3" t="inlineStr">
        <is>
          <t>Soldering</t>
        </is>
      </c>
      <c r="W490" s="3" t="inlineStr">
        <is>
          <t>Repair</t>
        </is>
      </c>
      <c r="X490" s="18" t="n">
        <v>46149</v>
      </c>
      <c r="Y490" s="3">
        <f>X490-A490</f>
        <v/>
      </c>
      <c r="Z490" s="18" t="n">
        <v>46149</v>
      </c>
      <c r="AA490" s="15" t="n"/>
      <c r="AB490" s="15" t="n"/>
    </row>
    <row r="491" hidden="1" s="233">
      <c r="A491" s="6" t="n">
        <v>46107</v>
      </c>
      <c r="B491" s="3" t="n">
        <v>2026</v>
      </c>
      <c r="C491" s="3" t="inlineStr">
        <is>
          <t>Blupine</t>
        </is>
      </c>
      <c r="D491" s="3" t="inlineStr">
        <is>
          <t>Utility and C&amp;I</t>
        </is>
      </c>
      <c r="E491" s="3" t="n"/>
      <c r="F491" s="3" t="inlineStr">
        <is>
          <t>Closed</t>
        </is>
      </c>
      <c r="G491" s="3" t="inlineStr">
        <is>
          <t>Chandrashekar Patidar</t>
        </is>
      </c>
      <c r="H491" s="3" t="n">
        <v>7879764773</v>
      </c>
      <c r="I491" s="11" t="inlineStr">
        <is>
          <t>PE26032601</t>
        </is>
      </c>
      <c r="J491" s="3" t="inlineStr">
        <is>
          <t>Module Diode Failure</t>
        </is>
      </c>
      <c r="K491" s="3" t="inlineStr">
        <is>
          <t>Sadla</t>
        </is>
      </c>
      <c r="L491" s="3" t="inlineStr">
        <is>
          <t>Gujarat</t>
        </is>
      </c>
      <c r="M491" s="9" t="inlineStr">
        <is>
          <t>PS</t>
        </is>
      </c>
      <c r="N491" s="3" t="inlineStr">
        <is>
          <t>Cold Soldering</t>
        </is>
      </c>
      <c r="O491" s="3" t="n">
        <v>570</v>
      </c>
      <c r="P491" s="9" t="inlineStr">
        <is>
          <t>NSMI24060077583</t>
        </is>
      </c>
      <c r="Q491" s="53">
        <f>MID(P491,5,2)</f>
        <v/>
      </c>
      <c r="R491" s="53">
        <f>MID(P491,7,2)</f>
        <v/>
      </c>
      <c r="S491" s="3" t="inlineStr">
        <is>
          <t>G2G</t>
        </is>
      </c>
      <c r="T491" s="3" t="inlineStr">
        <is>
          <t>P4</t>
        </is>
      </c>
      <c r="U491" s="3" t="inlineStr">
        <is>
          <t>P JB Cold Soldering</t>
        </is>
      </c>
      <c r="V491" s="3" t="inlineStr">
        <is>
          <t>Soldering</t>
        </is>
      </c>
      <c r="W491" s="3" t="inlineStr">
        <is>
          <t>Repair</t>
        </is>
      </c>
      <c r="X491" s="18" t="n">
        <v>46149</v>
      </c>
      <c r="Y491" s="3">
        <f>X491-A491</f>
        <v/>
      </c>
      <c r="Z491" s="18" t="n">
        <v>46149</v>
      </c>
      <c r="AA491" s="15" t="n"/>
      <c r="AB491" s="15" t="n"/>
    </row>
    <row r="492" hidden="1" s="233">
      <c r="A492" s="6" t="n">
        <v>46107</v>
      </c>
      <c r="B492" s="3" t="n">
        <v>2026</v>
      </c>
      <c r="C492" s="3" t="inlineStr">
        <is>
          <t>Blupine</t>
        </is>
      </c>
      <c r="D492" s="3" t="inlineStr">
        <is>
          <t>Utility and C&amp;I</t>
        </is>
      </c>
      <c r="E492" s="3" t="n"/>
      <c r="F492" s="3" t="inlineStr">
        <is>
          <t>Closed</t>
        </is>
      </c>
      <c r="G492" s="3" t="inlineStr">
        <is>
          <t>Chandrashekar Patidar</t>
        </is>
      </c>
      <c r="H492" s="3" t="n">
        <v>7879764773</v>
      </c>
      <c r="I492" s="11" t="inlineStr">
        <is>
          <t>PE26032601</t>
        </is>
      </c>
      <c r="J492" s="3" t="inlineStr">
        <is>
          <t>Module Diode Failure</t>
        </is>
      </c>
      <c r="K492" s="3" t="inlineStr">
        <is>
          <t>Sadla</t>
        </is>
      </c>
      <c r="L492" s="3" t="inlineStr">
        <is>
          <t>Gujarat</t>
        </is>
      </c>
      <c r="M492" s="9" t="inlineStr">
        <is>
          <t>PS</t>
        </is>
      </c>
      <c r="N492" s="3" t="inlineStr">
        <is>
          <t>Cold Soldering</t>
        </is>
      </c>
      <c r="O492" s="3" t="n">
        <v>570</v>
      </c>
      <c r="P492" s="9" t="inlineStr">
        <is>
          <t>NSMI24060077564</t>
        </is>
      </c>
      <c r="Q492" s="53">
        <f>MID(P492,5,2)</f>
        <v/>
      </c>
      <c r="R492" s="53">
        <f>MID(P492,7,2)</f>
        <v/>
      </c>
      <c r="S492" s="3" t="inlineStr">
        <is>
          <t>G2G</t>
        </is>
      </c>
      <c r="T492" s="3" t="inlineStr">
        <is>
          <t>P4</t>
        </is>
      </c>
      <c r="U492" s="3" t="inlineStr">
        <is>
          <t>P JB Cold Soldering</t>
        </is>
      </c>
      <c r="V492" s="3" t="inlineStr">
        <is>
          <t>Soldering</t>
        </is>
      </c>
      <c r="W492" s="3" t="inlineStr">
        <is>
          <t>Repair</t>
        </is>
      </c>
      <c r="X492" s="18" t="n">
        <v>46149</v>
      </c>
      <c r="Y492" s="3">
        <f>X492-A492</f>
        <v/>
      </c>
      <c r="Z492" s="18" t="n">
        <v>46149</v>
      </c>
      <c r="AA492" s="15" t="n"/>
      <c r="AB492" s="15" t="n"/>
    </row>
    <row r="493" hidden="1" s="233">
      <c r="A493" s="6" t="n">
        <v>46107</v>
      </c>
      <c r="B493" s="3" t="n">
        <v>2026</v>
      </c>
      <c r="C493" s="3" t="inlineStr">
        <is>
          <t>Blupine</t>
        </is>
      </c>
      <c r="D493" s="3" t="inlineStr">
        <is>
          <t>Utility and C&amp;I</t>
        </is>
      </c>
      <c r="E493" s="3" t="n"/>
      <c r="F493" s="3" t="inlineStr">
        <is>
          <t>Closed</t>
        </is>
      </c>
      <c r="G493" s="3" t="inlineStr">
        <is>
          <t>Chandrashekar Patidar</t>
        </is>
      </c>
      <c r="H493" s="3" t="n">
        <v>7879764773</v>
      </c>
      <c r="I493" s="11" t="inlineStr">
        <is>
          <t>PE26032601</t>
        </is>
      </c>
      <c r="J493" s="3" t="inlineStr">
        <is>
          <t>Module Diode Failure</t>
        </is>
      </c>
      <c r="K493" s="3" t="inlineStr">
        <is>
          <t>Sadla</t>
        </is>
      </c>
      <c r="L493" s="3" t="inlineStr">
        <is>
          <t>Gujarat</t>
        </is>
      </c>
      <c r="M493" s="9" t="inlineStr">
        <is>
          <t>PS</t>
        </is>
      </c>
      <c r="N493" s="3" t="inlineStr">
        <is>
          <t>Cold Soldering</t>
        </is>
      </c>
      <c r="O493" s="3" t="n">
        <v>570</v>
      </c>
      <c r="P493" s="9" t="inlineStr">
        <is>
          <t>NSMI24060093837</t>
        </is>
      </c>
      <c r="Q493" s="53">
        <f>MID(P493,5,2)</f>
        <v/>
      </c>
      <c r="R493" s="53">
        <f>MID(P493,7,2)</f>
        <v/>
      </c>
      <c r="S493" s="3" t="inlineStr">
        <is>
          <t>G2G</t>
        </is>
      </c>
      <c r="T493" s="3" t="inlineStr">
        <is>
          <t>P4</t>
        </is>
      </c>
      <c r="U493" s="3" t="inlineStr">
        <is>
          <t>P JB Cold Soldering</t>
        </is>
      </c>
      <c r="V493" s="3" t="inlineStr">
        <is>
          <t>Soldering</t>
        </is>
      </c>
      <c r="W493" s="3" t="inlineStr">
        <is>
          <t>Repair</t>
        </is>
      </c>
      <c r="X493" s="18" t="n">
        <v>46149</v>
      </c>
      <c r="Y493" s="3">
        <f>X493-A493</f>
        <v/>
      </c>
      <c r="Z493" s="18" t="n">
        <v>46149</v>
      </c>
      <c r="AA493" s="15" t="n"/>
      <c r="AB493" s="15" t="n"/>
    </row>
    <row r="494" hidden="1" s="233">
      <c r="A494" s="6" t="n">
        <v>46107</v>
      </c>
      <c r="B494" s="3" t="n">
        <v>2026</v>
      </c>
      <c r="C494" s="3" t="inlineStr">
        <is>
          <t>Blupine</t>
        </is>
      </c>
      <c r="D494" s="3" t="inlineStr">
        <is>
          <t>Utility and C&amp;I</t>
        </is>
      </c>
      <c r="E494" s="3" t="n"/>
      <c r="F494" s="3" t="inlineStr">
        <is>
          <t>Closed</t>
        </is>
      </c>
      <c r="G494" s="3" t="inlineStr">
        <is>
          <t>Chandrashekar Patidar</t>
        </is>
      </c>
      <c r="H494" s="3" t="n">
        <v>7879764773</v>
      </c>
      <c r="I494" s="11" t="inlineStr">
        <is>
          <t>PE26032601</t>
        </is>
      </c>
      <c r="J494" s="3" t="inlineStr">
        <is>
          <t>Module Diode Failure</t>
        </is>
      </c>
      <c r="K494" s="3" t="inlineStr">
        <is>
          <t>Sadla</t>
        </is>
      </c>
      <c r="L494" s="3" t="inlineStr">
        <is>
          <t>Gujarat</t>
        </is>
      </c>
      <c r="M494" s="9" t="inlineStr">
        <is>
          <t>PS</t>
        </is>
      </c>
      <c r="N494" s="3" t="inlineStr">
        <is>
          <t>Cold Soldering</t>
        </is>
      </c>
      <c r="O494" s="3" t="n">
        <v>570</v>
      </c>
      <c r="P494" s="9" t="inlineStr">
        <is>
          <t>NSMI24060093843</t>
        </is>
      </c>
      <c r="Q494" s="53">
        <f>MID(P494,5,2)</f>
        <v/>
      </c>
      <c r="R494" s="53">
        <f>MID(P494,7,2)</f>
        <v/>
      </c>
      <c r="S494" s="3" t="inlineStr">
        <is>
          <t>G2G</t>
        </is>
      </c>
      <c r="T494" s="3" t="inlineStr">
        <is>
          <t>P4</t>
        </is>
      </c>
      <c r="U494" s="3" t="inlineStr">
        <is>
          <t>P JB Cold Soldering</t>
        </is>
      </c>
      <c r="V494" s="3" t="inlineStr">
        <is>
          <t>Soldering</t>
        </is>
      </c>
      <c r="W494" s="3" t="inlineStr">
        <is>
          <t>Repair</t>
        </is>
      </c>
      <c r="X494" s="18" t="n">
        <v>46149</v>
      </c>
      <c r="Y494" s="3">
        <f>X494-A494</f>
        <v/>
      </c>
      <c r="Z494" s="18" t="n">
        <v>46149</v>
      </c>
      <c r="AA494" s="15" t="n"/>
      <c r="AB494" s="15" t="n"/>
    </row>
    <row r="495" hidden="1" s="233">
      <c r="A495" s="6" t="n">
        <v>46107</v>
      </c>
      <c r="B495" s="3" t="n">
        <v>2026</v>
      </c>
      <c r="C495" s="3" t="inlineStr">
        <is>
          <t>Blupine</t>
        </is>
      </c>
      <c r="D495" s="3" t="inlineStr">
        <is>
          <t>Utility and C&amp;I</t>
        </is>
      </c>
      <c r="E495" s="3" t="n"/>
      <c r="F495" s="3" t="inlineStr">
        <is>
          <t>Closed</t>
        </is>
      </c>
      <c r="G495" s="3" t="inlineStr">
        <is>
          <t>Chandrashekar Patidar</t>
        </is>
      </c>
      <c r="H495" s="3" t="n">
        <v>7879764773</v>
      </c>
      <c r="I495" s="11" t="inlineStr">
        <is>
          <t>PE26032601</t>
        </is>
      </c>
      <c r="J495" s="3" t="inlineStr">
        <is>
          <t>Module Diode Failure</t>
        </is>
      </c>
      <c r="K495" s="3" t="inlineStr">
        <is>
          <t>Sadla</t>
        </is>
      </c>
      <c r="L495" s="3" t="inlineStr">
        <is>
          <t>Gujarat</t>
        </is>
      </c>
      <c r="M495" s="9" t="inlineStr">
        <is>
          <t>NS</t>
        </is>
      </c>
      <c r="N495" s="3" t="inlineStr">
        <is>
          <t>Cold Soldering</t>
        </is>
      </c>
      <c r="O495" s="3" t="n">
        <v>570</v>
      </c>
      <c r="P495" s="9" t="inlineStr">
        <is>
          <t>NSMI24050066772</t>
        </is>
      </c>
      <c r="Q495" s="53">
        <f>MID(P495,5,2)</f>
        <v/>
      </c>
      <c r="R495" s="53">
        <f>MID(P495,7,2)</f>
        <v/>
      </c>
      <c r="S495" s="3" t="inlineStr">
        <is>
          <t>G2G</t>
        </is>
      </c>
      <c r="T495" s="3" t="inlineStr">
        <is>
          <t>P4</t>
        </is>
      </c>
      <c r="U495" s="3" t="inlineStr">
        <is>
          <t>N JB Cold Soldering</t>
        </is>
      </c>
      <c r="V495" s="3" t="inlineStr">
        <is>
          <t>Soldering</t>
        </is>
      </c>
      <c r="W495" s="3" t="inlineStr">
        <is>
          <t>Repair</t>
        </is>
      </c>
      <c r="X495" s="18" t="n">
        <v>46149</v>
      </c>
      <c r="Y495" s="3">
        <f>X495-A495</f>
        <v/>
      </c>
      <c r="Z495" s="18" t="n">
        <v>46149</v>
      </c>
      <c r="AA495" s="15" t="n"/>
      <c r="AB495" s="15" t="n"/>
    </row>
    <row r="496" hidden="1" s="233">
      <c r="A496" s="6" t="n">
        <v>46107</v>
      </c>
      <c r="B496" s="3" t="n">
        <v>2026</v>
      </c>
      <c r="C496" s="3" t="inlineStr">
        <is>
          <t>Blupine</t>
        </is>
      </c>
      <c r="D496" s="3" t="inlineStr">
        <is>
          <t>Utility and C&amp;I</t>
        </is>
      </c>
      <c r="E496" s="3" t="n"/>
      <c r="F496" s="3" t="inlineStr">
        <is>
          <t>Closed</t>
        </is>
      </c>
      <c r="G496" s="3" t="inlineStr">
        <is>
          <t>Chandrashekar Patidar</t>
        </is>
      </c>
      <c r="H496" s="3" t="n">
        <v>7879764773</v>
      </c>
      <c r="I496" s="11" t="inlineStr">
        <is>
          <t>PE26032601</t>
        </is>
      </c>
      <c r="J496" s="3" t="inlineStr">
        <is>
          <t>Module Diode Failure</t>
        </is>
      </c>
      <c r="K496" s="3" t="inlineStr">
        <is>
          <t>Sadla</t>
        </is>
      </c>
      <c r="L496" s="3" t="inlineStr">
        <is>
          <t>Gujarat</t>
        </is>
      </c>
      <c r="M496" s="9" t="inlineStr">
        <is>
          <t>NS</t>
        </is>
      </c>
      <c r="N496" s="3" t="inlineStr">
        <is>
          <t>Cold Soldering</t>
        </is>
      </c>
      <c r="O496" s="3" t="n">
        <v>570</v>
      </c>
      <c r="P496" s="9" t="inlineStr">
        <is>
          <t>NSMI24050066791</t>
        </is>
      </c>
      <c r="Q496" s="53">
        <f>MID(P496,5,2)</f>
        <v/>
      </c>
      <c r="R496" s="53">
        <f>MID(P496,7,2)</f>
        <v/>
      </c>
      <c r="S496" s="3" t="inlineStr">
        <is>
          <t>G2G</t>
        </is>
      </c>
      <c r="T496" s="3" t="inlineStr">
        <is>
          <t>P4</t>
        </is>
      </c>
      <c r="U496" s="3" t="inlineStr">
        <is>
          <t>N JB Cold Soldering</t>
        </is>
      </c>
      <c r="V496" s="3" t="inlineStr">
        <is>
          <t>Soldering</t>
        </is>
      </c>
      <c r="W496" s="3" t="inlineStr">
        <is>
          <t>Repair</t>
        </is>
      </c>
      <c r="X496" s="18" t="n">
        <v>46149</v>
      </c>
      <c r="Y496" s="3">
        <f>X496-A496</f>
        <v/>
      </c>
      <c r="Z496" s="18" t="n">
        <v>46149</v>
      </c>
      <c r="AA496" s="15" t="n"/>
      <c r="AB496" s="15" t="n"/>
    </row>
    <row r="497" hidden="1" s="233">
      <c r="A497" s="6" t="n">
        <v>46107</v>
      </c>
      <c r="B497" s="3" t="n">
        <v>2026</v>
      </c>
      <c r="C497" s="3" t="inlineStr">
        <is>
          <t>Blupine</t>
        </is>
      </c>
      <c r="D497" s="3" t="inlineStr">
        <is>
          <t>Utility and C&amp;I</t>
        </is>
      </c>
      <c r="E497" s="3" t="n"/>
      <c r="F497" s="3" t="inlineStr">
        <is>
          <t>Closed</t>
        </is>
      </c>
      <c r="G497" s="3" t="inlineStr">
        <is>
          <t>Chandrashekar Patidar</t>
        </is>
      </c>
      <c r="H497" s="3" t="n">
        <v>7879764773</v>
      </c>
      <c r="I497" s="11" t="inlineStr">
        <is>
          <t>PE26032601</t>
        </is>
      </c>
      <c r="J497" s="3" t="inlineStr">
        <is>
          <t>Module Diode Failure</t>
        </is>
      </c>
      <c r="K497" s="3" t="inlineStr">
        <is>
          <t>Sadla</t>
        </is>
      </c>
      <c r="L497" s="3" t="inlineStr">
        <is>
          <t>Gujarat</t>
        </is>
      </c>
      <c r="M497" s="9" t="inlineStr">
        <is>
          <t>NS</t>
        </is>
      </c>
      <c r="N497" s="3" t="inlineStr">
        <is>
          <t>Cold Soldering</t>
        </is>
      </c>
      <c r="O497" s="3" t="n">
        <v>570</v>
      </c>
      <c r="P497" s="9" t="inlineStr">
        <is>
          <t>NSMI24050066800</t>
        </is>
      </c>
      <c r="Q497" s="53">
        <f>MID(P497,5,2)</f>
        <v/>
      </c>
      <c r="R497" s="53">
        <f>MID(P497,7,2)</f>
        <v/>
      </c>
      <c r="S497" s="3" t="inlineStr">
        <is>
          <t>G2G</t>
        </is>
      </c>
      <c r="T497" s="3" t="inlineStr">
        <is>
          <t>P4</t>
        </is>
      </c>
      <c r="U497" s="3" t="inlineStr">
        <is>
          <t>N JB Cold Soldering</t>
        </is>
      </c>
      <c r="V497" s="3" t="inlineStr">
        <is>
          <t>Soldering</t>
        </is>
      </c>
      <c r="W497" s="3" t="inlineStr">
        <is>
          <t>Repair</t>
        </is>
      </c>
      <c r="X497" s="18" t="n">
        <v>46149</v>
      </c>
      <c r="Y497" s="3">
        <f>X497-A497</f>
        <v/>
      </c>
      <c r="Z497" s="18" t="n">
        <v>46149</v>
      </c>
      <c r="AA497" s="15" t="n"/>
      <c r="AB497" s="15" t="n"/>
    </row>
    <row r="498" hidden="1" s="233">
      <c r="A498" s="6" t="n">
        <v>46107</v>
      </c>
      <c r="B498" s="3" t="n">
        <v>2026</v>
      </c>
      <c r="C498" s="3" t="inlineStr">
        <is>
          <t>Blupine</t>
        </is>
      </c>
      <c r="D498" s="3" t="inlineStr">
        <is>
          <t>Utility and C&amp;I</t>
        </is>
      </c>
      <c r="E498" s="3" t="n"/>
      <c r="F498" s="3" t="inlineStr">
        <is>
          <t>Closed</t>
        </is>
      </c>
      <c r="G498" s="3" t="inlineStr">
        <is>
          <t>Chandrashekar Patidar</t>
        </is>
      </c>
      <c r="H498" s="3" t="n">
        <v>7879764773</v>
      </c>
      <c r="I498" s="11" t="inlineStr">
        <is>
          <t>PE26032601</t>
        </is>
      </c>
      <c r="J498" s="3" t="inlineStr">
        <is>
          <t>Module Diode Failure</t>
        </is>
      </c>
      <c r="K498" s="3" t="inlineStr">
        <is>
          <t>Sadla</t>
        </is>
      </c>
      <c r="L498" s="3" t="inlineStr">
        <is>
          <t>Gujarat</t>
        </is>
      </c>
      <c r="M498" s="9" t="inlineStr">
        <is>
          <t>PS</t>
        </is>
      </c>
      <c r="N498" s="3" t="inlineStr">
        <is>
          <t>Cold Soldering</t>
        </is>
      </c>
      <c r="O498" s="3" t="n">
        <v>570</v>
      </c>
      <c r="P498" s="9" t="inlineStr">
        <is>
          <t>NSMI24060095048</t>
        </is>
      </c>
      <c r="Q498" s="53">
        <f>MID(P498,5,2)</f>
        <v/>
      </c>
      <c r="R498" s="53">
        <f>MID(P498,7,2)</f>
        <v/>
      </c>
      <c r="S498" s="3" t="inlineStr">
        <is>
          <t>G2G</t>
        </is>
      </c>
      <c r="T498" s="3" t="inlineStr">
        <is>
          <t>P4</t>
        </is>
      </c>
      <c r="U498" s="3" t="inlineStr">
        <is>
          <t>P JB Cold Soldering</t>
        </is>
      </c>
      <c r="V498" s="3" t="inlineStr">
        <is>
          <t>Soldering</t>
        </is>
      </c>
      <c r="W498" s="3" t="inlineStr">
        <is>
          <t>Repair</t>
        </is>
      </c>
      <c r="X498" s="18" t="n">
        <v>46149</v>
      </c>
      <c r="Y498" s="3">
        <f>X498-A498</f>
        <v/>
      </c>
      <c r="Z498" s="18" t="n">
        <v>46149</v>
      </c>
      <c r="AA498" s="15" t="n"/>
      <c r="AB498" s="15" t="n"/>
    </row>
    <row r="499" hidden="1" s="233">
      <c r="A499" s="6" t="n">
        <v>46107</v>
      </c>
      <c r="B499" s="3" t="n">
        <v>2026</v>
      </c>
      <c r="C499" s="3" t="inlineStr">
        <is>
          <t>Blupine</t>
        </is>
      </c>
      <c r="D499" s="3" t="inlineStr">
        <is>
          <t>Utility and C&amp;I</t>
        </is>
      </c>
      <c r="E499" s="3" t="n"/>
      <c r="F499" s="3" t="inlineStr">
        <is>
          <t>Closed</t>
        </is>
      </c>
      <c r="G499" s="3" t="inlineStr">
        <is>
          <t>Chandrashekar Patidar</t>
        </is>
      </c>
      <c r="H499" s="3" t="n">
        <v>7879764773</v>
      </c>
      <c r="I499" s="11" t="inlineStr">
        <is>
          <t>PE26032601</t>
        </is>
      </c>
      <c r="J499" s="3" t="inlineStr">
        <is>
          <t>Module Diode Failure</t>
        </is>
      </c>
      <c r="K499" s="3" t="inlineStr">
        <is>
          <t>Sadla</t>
        </is>
      </c>
      <c r="L499" s="3" t="inlineStr">
        <is>
          <t>Gujarat</t>
        </is>
      </c>
      <c r="M499" s="9" t="inlineStr">
        <is>
          <t>NS</t>
        </is>
      </c>
      <c r="N499" s="3" t="inlineStr">
        <is>
          <t>Cold Soldering</t>
        </is>
      </c>
      <c r="O499" s="3" t="n">
        <v>570</v>
      </c>
      <c r="P499" s="9" t="inlineStr">
        <is>
          <t>NSMI24050048241</t>
        </is>
      </c>
      <c r="Q499" s="53">
        <f>MID(P499,5,2)</f>
        <v/>
      </c>
      <c r="R499" s="53">
        <f>MID(P499,7,2)</f>
        <v/>
      </c>
      <c r="S499" s="3" t="inlineStr">
        <is>
          <t>G2G</t>
        </is>
      </c>
      <c r="T499" s="3" t="inlineStr">
        <is>
          <t>P4</t>
        </is>
      </c>
      <c r="U499" s="3" t="inlineStr">
        <is>
          <t>N JB Cold Soldering</t>
        </is>
      </c>
      <c r="V499" s="3" t="inlineStr">
        <is>
          <t>Soldering</t>
        </is>
      </c>
      <c r="W499" s="3" t="inlineStr">
        <is>
          <t>Repair</t>
        </is>
      </c>
      <c r="X499" s="18" t="n">
        <v>46149</v>
      </c>
      <c r="Y499" s="3">
        <f>X499-A499</f>
        <v/>
      </c>
      <c r="Z499" s="18" t="n">
        <v>46149</v>
      </c>
      <c r="AA499" s="15" t="n"/>
      <c r="AB499" s="15" t="n"/>
    </row>
    <row r="500" hidden="1" s="233">
      <c r="A500" s="6" t="n">
        <v>46107</v>
      </c>
      <c r="B500" s="3" t="n">
        <v>2026</v>
      </c>
      <c r="C500" s="3" t="inlineStr">
        <is>
          <t>Blupine</t>
        </is>
      </c>
      <c r="D500" s="3" t="inlineStr">
        <is>
          <t>Utility and C&amp;I</t>
        </is>
      </c>
      <c r="E500" s="3" t="n"/>
      <c r="F500" s="3" t="inlineStr">
        <is>
          <t>Closed</t>
        </is>
      </c>
      <c r="G500" s="3" t="inlineStr">
        <is>
          <t>Chandrashekar Patidar</t>
        </is>
      </c>
      <c r="H500" s="3" t="n">
        <v>7879764773</v>
      </c>
      <c r="I500" s="11" t="inlineStr">
        <is>
          <t>PE26032601</t>
        </is>
      </c>
      <c r="J500" s="3" t="inlineStr">
        <is>
          <t>Module Diode Failure</t>
        </is>
      </c>
      <c r="K500" s="3" t="inlineStr">
        <is>
          <t>Sadla</t>
        </is>
      </c>
      <c r="L500" s="3" t="inlineStr">
        <is>
          <t>Gujarat</t>
        </is>
      </c>
      <c r="M500" s="9" t="inlineStr">
        <is>
          <t xml:space="preserve">NS </t>
        </is>
      </c>
      <c r="N500" s="3" t="inlineStr">
        <is>
          <t>Cold Soldering</t>
        </is>
      </c>
      <c r="O500" s="3" t="n">
        <v>570</v>
      </c>
      <c r="P500" s="9" t="inlineStr">
        <is>
          <t>NSMI24060091409</t>
        </is>
      </c>
      <c r="Q500" s="53">
        <f>MID(P500,5,2)</f>
        <v/>
      </c>
      <c r="R500" s="53">
        <f>MID(P500,7,2)</f>
        <v/>
      </c>
      <c r="S500" s="3" t="inlineStr">
        <is>
          <t>G2G</t>
        </is>
      </c>
      <c r="T500" s="3" t="inlineStr">
        <is>
          <t>P4</t>
        </is>
      </c>
      <c r="U500" s="3" t="inlineStr">
        <is>
          <t>N JB Cold Soldering</t>
        </is>
      </c>
      <c r="V500" s="3" t="inlineStr">
        <is>
          <t>Soldering</t>
        </is>
      </c>
      <c r="W500" s="3" t="inlineStr">
        <is>
          <t>Repair</t>
        </is>
      </c>
      <c r="X500" s="18" t="n">
        <v>46150</v>
      </c>
      <c r="Y500" s="3">
        <f>X500-A500</f>
        <v/>
      </c>
      <c r="Z500" s="18" t="n">
        <v>46150</v>
      </c>
      <c r="AA500" s="15" t="n"/>
      <c r="AB500" s="15" t="n"/>
    </row>
    <row r="501" hidden="1" s="233">
      <c r="A501" s="6" t="n">
        <v>46107</v>
      </c>
      <c r="B501" s="3" t="n">
        <v>2026</v>
      </c>
      <c r="C501" s="3" t="inlineStr">
        <is>
          <t>Blupine</t>
        </is>
      </c>
      <c r="D501" s="3" t="inlineStr">
        <is>
          <t>Utility and C&amp;I</t>
        </is>
      </c>
      <c r="E501" s="3" t="n"/>
      <c r="F501" s="3" t="inlineStr">
        <is>
          <t>Closed</t>
        </is>
      </c>
      <c r="G501" s="3" t="inlineStr">
        <is>
          <t>Chandrashekar Patidar</t>
        </is>
      </c>
      <c r="H501" s="3" t="n">
        <v>7879764773</v>
      </c>
      <c r="I501" s="11" t="inlineStr">
        <is>
          <t>PE26032601</t>
        </is>
      </c>
      <c r="J501" s="3" t="inlineStr">
        <is>
          <t>Module Diode Failure</t>
        </is>
      </c>
      <c r="K501" s="3" t="inlineStr">
        <is>
          <t>Sadla</t>
        </is>
      </c>
      <c r="L501" s="3" t="inlineStr">
        <is>
          <t>Gujarat</t>
        </is>
      </c>
      <c r="M501" s="9" t="inlineStr">
        <is>
          <t xml:space="preserve">NS </t>
        </is>
      </c>
      <c r="N501" s="3" t="inlineStr">
        <is>
          <t>Cold Soldering</t>
        </is>
      </c>
      <c r="O501" s="3" t="n">
        <v>570</v>
      </c>
      <c r="P501" s="9" t="inlineStr">
        <is>
          <t>NSMI24060091262</t>
        </is>
      </c>
      <c r="Q501" s="53">
        <f>MID(P501,5,2)</f>
        <v/>
      </c>
      <c r="R501" s="53">
        <f>MID(P501,7,2)</f>
        <v/>
      </c>
      <c r="S501" s="3" t="inlineStr">
        <is>
          <t>G2G</t>
        </is>
      </c>
      <c r="T501" s="3" t="inlineStr">
        <is>
          <t>P4</t>
        </is>
      </c>
      <c r="U501" s="3" t="inlineStr">
        <is>
          <t>N JB Cold Soldering</t>
        </is>
      </c>
      <c r="V501" s="3" t="inlineStr">
        <is>
          <t>Soldering</t>
        </is>
      </c>
      <c r="W501" s="3" t="inlineStr">
        <is>
          <t>Repair</t>
        </is>
      </c>
      <c r="X501" s="18" t="n">
        <v>46150</v>
      </c>
      <c r="Y501" s="3">
        <f>X501-A501</f>
        <v/>
      </c>
      <c r="Z501" s="18" t="n">
        <v>46150</v>
      </c>
      <c r="AA501" s="15" t="n"/>
      <c r="AB501" s="15" t="n"/>
    </row>
    <row r="502" hidden="1" s="233">
      <c r="A502" s="6" t="n">
        <v>46107</v>
      </c>
      <c r="B502" s="3" t="n">
        <v>2026</v>
      </c>
      <c r="C502" s="3" t="inlineStr">
        <is>
          <t>Blupine</t>
        </is>
      </c>
      <c r="D502" s="3" t="inlineStr">
        <is>
          <t>Utility and C&amp;I</t>
        </is>
      </c>
      <c r="E502" s="3" t="n"/>
      <c r="F502" s="3" t="inlineStr">
        <is>
          <t>Closed</t>
        </is>
      </c>
      <c r="G502" s="3" t="inlineStr">
        <is>
          <t>Chandrashekar Patidar</t>
        </is>
      </c>
      <c r="H502" s="3" t="n">
        <v>7879764773</v>
      </c>
      <c r="I502" s="11" t="inlineStr">
        <is>
          <t>PE26032601</t>
        </is>
      </c>
      <c r="J502" s="3" t="inlineStr">
        <is>
          <t>Module Diode Failure</t>
        </is>
      </c>
      <c r="K502" s="3" t="inlineStr">
        <is>
          <t>Sadla</t>
        </is>
      </c>
      <c r="L502" s="3" t="inlineStr">
        <is>
          <t>Gujarat</t>
        </is>
      </c>
      <c r="M502" s="9" t="inlineStr">
        <is>
          <t>PR</t>
        </is>
      </c>
      <c r="N502" s="3" t="inlineStr">
        <is>
          <t>JB Issue</t>
        </is>
      </c>
      <c r="O502" s="3" t="n">
        <v>570</v>
      </c>
      <c r="P502" s="9" t="inlineStr">
        <is>
          <t>NSMI24080333591</t>
        </is>
      </c>
      <c r="Q502" s="53">
        <f>MID(P502,5,2)</f>
        <v/>
      </c>
      <c r="R502" s="53">
        <f>MID(P502,7,2)</f>
        <v/>
      </c>
      <c r="S502" s="3" t="inlineStr">
        <is>
          <t>G2G</t>
        </is>
      </c>
      <c r="T502" s="3" t="inlineStr">
        <is>
          <t>P4</t>
        </is>
      </c>
      <c r="U502" s="3" t="inlineStr">
        <is>
          <t>P JB Issue</t>
        </is>
      </c>
      <c r="V502" s="15" t="inlineStr">
        <is>
          <t>JB Changed</t>
        </is>
      </c>
      <c r="W502" s="3" t="inlineStr">
        <is>
          <t>Repair</t>
        </is>
      </c>
      <c r="X502" s="18" t="n">
        <v>46150</v>
      </c>
      <c r="Y502" s="3">
        <f>X502-A502</f>
        <v/>
      </c>
      <c r="Z502" s="18" t="n">
        <v>46150</v>
      </c>
      <c r="AA502" s="15" t="n"/>
      <c r="AB502" s="15" t="n"/>
    </row>
    <row r="503" hidden="1" s="233">
      <c r="A503" s="6" t="n">
        <v>46107</v>
      </c>
      <c r="B503" s="3" t="n">
        <v>2026</v>
      </c>
      <c r="C503" s="3" t="inlineStr">
        <is>
          <t>Blupine</t>
        </is>
      </c>
      <c r="D503" s="3" t="inlineStr">
        <is>
          <t>Utility and C&amp;I</t>
        </is>
      </c>
      <c r="E503" s="3" t="n"/>
      <c r="F503" s="3" t="inlineStr">
        <is>
          <t>Closed</t>
        </is>
      </c>
      <c r="G503" s="3" t="inlineStr">
        <is>
          <t>Chandrashekar Patidar</t>
        </is>
      </c>
      <c r="H503" s="3" t="n">
        <v>7879764773</v>
      </c>
      <c r="I503" s="11" t="inlineStr">
        <is>
          <t>PE26032601</t>
        </is>
      </c>
      <c r="J503" s="3" t="inlineStr">
        <is>
          <t>Module Diode Failure</t>
        </is>
      </c>
      <c r="K503" s="3" t="inlineStr">
        <is>
          <t>Sadla</t>
        </is>
      </c>
      <c r="L503" s="3" t="inlineStr">
        <is>
          <t>Gujarat</t>
        </is>
      </c>
      <c r="M503" s="9" t="inlineStr">
        <is>
          <t>Ok</t>
        </is>
      </c>
      <c r="N503" s="3" t="inlineStr">
        <is>
          <t>No Issue</t>
        </is>
      </c>
      <c r="O503" s="3" t="n">
        <v>570</v>
      </c>
      <c r="P503" s="9" t="inlineStr">
        <is>
          <t>NSMI24050046304</t>
        </is>
      </c>
      <c r="Q503" s="53">
        <f>MID(P503,5,2)</f>
        <v/>
      </c>
      <c r="R503" s="53">
        <f>MID(P503,7,2)</f>
        <v/>
      </c>
      <c r="S503" s="3" t="inlineStr">
        <is>
          <t>G2G</t>
        </is>
      </c>
      <c r="T503" s="3" t="inlineStr">
        <is>
          <t>P4</t>
        </is>
      </c>
      <c r="U503" s="19" t="inlineStr">
        <is>
          <t>No Issue Found</t>
        </is>
      </c>
      <c r="V503" s="19" t="inlineStr">
        <is>
          <t>Found OK</t>
        </is>
      </c>
      <c r="W503" s="3" t="inlineStr">
        <is>
          <t>Repair</t>
        </is>
      </c>
      <c r="X503" s="18" t="n">
        <v>46150</v>
      </c>
      <c r="Y503" s="3">
        <f>X503-A503</f>
        <v/>
      </c>
      <c r="Z503" s="18" t="n">
        <v>46150</v>
      </c>
      <c r="AA503" s="15" t="n"/>
      <c r="AB503" s="15" t="n"/>
    </row>
    <row r="504" hidden="1" s="233">
      <c r="A504" s="6" t="n">
        <v>46107</v>
      </c>
      <c r="B504" s="3" t="n">
        <v>2026</v>
      </c>
      <c r="C504" s="3" t="inlineStr">
        <is>
          <t>Blupine</t>
        </is>
      </c>
      <c r="D504" s="3" t="inlineStr">
        <is>
          <t>Utility and C&amp;I</t>
        </is>
      </c>
      <c r="E504" s="3" t="n"/>
      <c r="F504" s="3" t="inlineStr">
        <is>
          <t>Closed</t>
        </is>
      </c>
      <c r="G504" s="3" t="inlineStr">
        <is>
          <t>Chandrashekar Patidar</t>
        </is>
      </c>
      <c r="H504" s="3" t="n">
        <v>7879764773</v>
      </c>
      <c r="I504" s="11" t="inlineStr">
        <is>
          <t>PE26032601</t>
        </is>
      </c>
      <c r="J504" s="3" t="inlineStr">
        <is>
          <t>Module Diode Failure</t>
        </is>
      </c>
      <c r="K504" s="3" t="inlineStr">
        <is>
          <t>Sadla</t>
        </is>
      </c>
      <c r="L504" s="3" t="inlineStr">
        <is>
          <t>Gujarat</t>
        </is>
      </c>
      <c r="M504" s="9" t="inlineStr">
        <is>
          <t>Ok</t>
        </is>
      </c>
      <c r="N504" s="3" t="inlineStr">
        <is>
          <t>No Issue</t>
        </is>
      </c>
      <c r="O504" s="3" t="n">
        <v>570</v>
      </c>
      <c r="P504" s="9" t="inlineStr">
        <is>
          <t>NSMI24050048377</t>
        </is>
      </c>
      <c r="Q504" s="53">
        <f>MID(P504,5,2)</f>
        <v/>
      </c>
      <c r="R504" s="53">
        <f>MID(P504,7,2)</f>
        <v/>
      </c>
      <c r="S504" s="3" t="inlineStr">
        <is>
          <t>G2G</t>
        </is>
      </c>
      <c r="T504" s="3" t="inlineStr">
        <is>
          <t>P4</t>
        </is>
      </c>
      <c r="U504" s="19" t="inlineStr">
        <is>
          <t>No Issue Found</t>
        </is>
      </c>
      <c r="V504" s="19" t="inlineStr">
        <is>
          <t>Found OK</t>
        </is>
      </c>
      <c r="W504" s="3" t="inlineStr">
        <is>
          <t>Repair</t>
        </is>
      </c>
      <c r="X504" s="18" t="n">
        <v>46150</v>
      </c>
      <c r="Y504" s="3">
        <f>X504-A504</f>
        <v/>
      </c>
      <c r="Z504" s="18" t="n">
        <v>46150</v>
      </c>
      <c r="AA504" s="15" t="n"/>
      <c r="AB504" s="15" t="n"/>
    </row>
    <row r="505" hidden="1" s="233">
      <c r="A505" s="6" t="n">
        <v>46107</v>
      </c>
      <c r="B505" s="3" t="n">
        <v>2026</v>
      </c>
      <c r="C505" s="3" t="inlineStr">
        <is>
          <t>Blupine</t>
        </is>
      </c>
      <c r="D505" s="3" t="inlineStr">
        <is>
          <t>Utility and C&amp;I</t>
        </is>
      </c>
      <c r="E505" s="3" t="n"/>
      <c r="F505" s="3" t="inlineStr">
        <is>
          <t>Closed</t>
        </is>
      </c>
      <c r="G505" s="3" t="inlineStr">
        <is>
          <t>Chandrashekar Patidar</t>
        </is>
      </c>
      <c r="H505" s="3" t="n">
        <v>7879764773</v>
      </c>
      <c r="I505" s="11" t="inlineStr">
        <is>
          <t>PE26032601</t>
        </is>
      </c>
      <c r="J505" s="3" t="inlineStr">
        <is>
          <t>Module Diode Failure</t>
        </is>
      </c>
      <c r="K505" s="3" t="inlineStr">
        <is>
          <t>Sadla</t>
        </is>
      </c>
      <c r="L505" s="3" t="inlineStr">
        <is>
          <t>Gujarat</t>
        </is>
      </c>
      <c r="M505" s="9" t="inlineStr">
        <is>
          <t xml:space="preserve">NS </t>
        </is>
      </c>
      <c r="N505" s="3" t="inlineStr">
        <is>
          <t>Cold Soldering</t>
        </is>
      </c>
      <c r="O505" s="3" t="n">
        <v>570</v>
      </c>
      <c r="P505" s="9" t="inlineStr">
        <is>
          <t>NSMI24050046442</t>
        </is>
      </c>
      <c r="Q505" s="53">
        <f>MID(P505,5,2)</f>
        <v/>
      </c>
      <c r="R505" s="53">
        <f>MID(P505,7,2)</f>
        <v/>
      </c>
      <c r="S505" s="3" t="inlineStr">
        <is>
          <t>G2G</t>
        </is>
      </c>
      <c r="T505" s="3" t="inlineStr">
        <is>
          <t>P4</t>
        </is>
      </c>
      <c r="U505" s="3" t="inlineStr">
        <is>
          <t>N JB Cold Soldering</t>
        </is>
      </c>
      <c r="V505" s="3" t="inlineStr">
        <is>
          <t>Soldering</t>
        </is>
      </c>
      <c r="W505" s="3" t="inlineStr">
        <is>
          <t>Repair</t>
        </is>
      </c>
      <c r="X505" s="18" t="n">
        <v>46150</v>
      </c>
      <c r="Y505" s="3">
        <f>X505-A505</f>
        <v/>
      </c>
      <c r="Z505" s="18" t="n">
        <v>46150</v>
      </c>
      <c r="AA505" s="15" t="n"/>
      <c r="AB505" s="15" t="n"/>
    </row>
    <row r="506" hidden="1" s="233">
      <c r="A506" s="6" t="n">
        <v>46107</v>
      </c>
      <c r="B506" s="3" t="n">
        <v>2026</v>
      </c>
      <c r="C506" s="3" t="inlineStr">
        <is>
          <t>Blupine</t>
        </is>
      </c>
      <c r="D506" s="3" t="inlineStr">
        <is>
          <t>Utility and C&amp;I</t>
        </is>
      </c>
      <c r="E506" s="3" t="n"/>
      <c r="F506" s="3" t="inlineStr">
        <is>
          <t>Closed</t>
        </is>
      </c>
      <c r="G506" s="3" t="inlineStr">
        <is>
          <t>Chandrashekar Patidar</t>
        </is>
      </c>
      <c r="H506" s="3" t="n">
        <v>7879764773</v>
      </c>
      <c r="I506" s="11" t="inlineStr">
        <is>
          <t>PE26032601</t>
        </is>
      </c>
      <c r="J506" s="3" t="inlineStr">
        <is>
          <t>Module Diode Failure</t>
        </is>
      </c>
      <c r="K506" s="3" t="inlineStr">
        <is>
          <t>Sadla</t>
        </is>
      </c>
      <c r="L506" s="3" t="inlineStr">
        <is>
          <t>Gujarat</t>
        </is>
      </c>
      <c r="M506" s="9" t="inlineStr">
        <is>
          <t>PS</t>
        </is>
      </c>
      <c r="N506" s="3" t="inlineStr">
        <is>
          <t>Cold Soldering</t>
        </is>
      </c>
      <c r="O506" s="3" t="n">
        <v>570</v>
      </c>
      <c r="P506" s="9" t="inlineStr">
        <is>
          <t>NSMI24050048553</t>
        </is>
      </c>
      <c r="Q506" s="53">
        <f>MID(P506,5,2)</f>
        <v/>
      </c>
      <c r="R506" s="53">
        <f>MID(P506,7,2)</f>
        <v/>
      </c>
      <c r="S506" s="3" t="inlineStr">
        <is>
          <t>G2G</t>
        </is>
      </c>
      <c r="T506" s="3" t="inlineStr">
        <is>
          <t>P4</t>
        </is>
      </c>
      <c r="U506" s="3" t="inlineStr">
        <is>
          <t>P JB Cold Soldering</t>
        </is>
      </c>
      <c r="V506" s="3" t="inlineStr">
        <is>
          <t>Soldering</t>
        </is>
      </c>
      <c r="W506" s="3" t="inlineStr">
        <is>
          <t>Repair</t>
        </is>
      </c>
      <c r="X506" s="18" t="n">
        <v>46150</v>
      </c>
      <c r="Y506" s="3">
        <f>X506-A506</f>
        <v/>
      </c>
      <c r="Z506" s="18" t="n">
        <v>46150</v>
      </c>
      <c r="AA506" s="15" t="n"/>
      <c r="AB506" s="15" t="n"/>
    </row>
    <row r="507" hidden="1" s="233">
      <c r="A507" s="6" t="n">
        <v>46107</v>
      </c>
      <c r="B507" s="3" t="n">
        <v>2026</v>
      </c>
      <c r="C507" s="3" t="inlineStr">
        <is>
          <t>Blupine</t>
        </is>
      </c>
      <c r="D507" s="3" t="inlineStr">
        <is>
          <t>Utility and C&amp;I</t>
        </is>
      </c>
      <c r="E507" s="3" t="n"/>
      <c r="F507" s="3" t="inlineStr">
        <is>
          <t>Closed</t>
        </is>
      </c>
      <c r="G507" s="3" t="inlineStr">
        <is>
          <t>Chandrashekar Patidar</t>
        </is>
      </c>
      <c r="H507" s="3" t="n">
        <v>7879764773</v>
      </c>
      <c r="I507" s="11" t="inlineStr">
        <is>
          <t>PE26032601</t>
        </is>
      </c>
      <c r="J507" s="3" t="inlineStr">
        <is>
          <t>Module Diode Failure</t>
        </is>
      </c>
      <c r="K507" s="3" t="inlineStr">
        <is>
          <t>Sadla</t>
        </is>
      </c>
      <c r="L507" s="3" t="inlineStr">
        <is>
          <t>Gujarat</t>
        </is>
      </c>
      <c r="M507" s="9" t="inlineStr">
        <is>
          <t xml:space="preserve">NS </t>
        </is>
      </c>
      <c r="N507" s="3" t="inlineStr">
        <is>
          <t>Cold Soldering</t>
        </is>
      </c>
      <c r="O507" s="3" t="n">
        <v>570</v>
      </c>
      <c r="P507" s="9" t="inlineStr">
        <is>
          <t>NSMI24050048437</t>
        </is>
      </c>
      <c r="Q507" s="53">
        <f>MID(P507,5,2)</f>
        <v/>
      </c>
      <c r="R507" s="53">
        <f>MID(P507,7,2)</f>
        <v/>
      </c>
      <c r="S507" s="3" t="inlineStr">
        <is>
          <t>G2G</t>
        </is>
      </c>
      <c r="T507" s="3" t="inlineStr">
        <is>
          <t>P4</t>
        </is>
      </c>
      <c r="U507" s="3" t="inlineStr">
        <is>
          <t>N JB Cold Soldering</t>
        </is>
      </c>
      <c r="V507" s="3" t="inlineStr">
        <is>
          <t>Soldering</t>
        </is>
      </c>
      <c r="W507" s="3" t="inlineStr">
        <is>
          <t>Repair</t>
        </is>
      </c>
      <c r="X507" s="18" t="n">
        <v>46150</v>
      </c>
      <c r="Y507" s="3">
        <f>X507-A507</f>
        <v/>
      </c>
      <c r="Z507" s="18" t="n">
        <v>46150</v>
      </c>
      <c r="AA507" s="15" t="n"/>
      <c r="AB507" s="15" t="n"/>
    </row>
    <row r="508" hidden="1" s="233">
      <c r="A508" s="6" t="n">
        <v>46107</v>
      </c>
      <c r="B508" s="3" t="n">
        <v>2026</v>
      </c>
      <c r="C508" s="3" t="inlineStr">
        <is>
          <t>Blupine</t>
        </is>
      </c>
      <c r="D508" s="3" t="inlineStr">
        <is>
          <t>Utility and C&amp;I</t>
        </is>
      </c>
      <c r="E508" s="3" t="n"/>
      <c r="F508" s="3" t="inlineStr">
        <is>
          <t>Closed</t>
        </is>
      </c>
      <c r="G508" s="3" t="inlineStr">
        <is>
          <t>Chandrashekar Patidar</t>
        </is>
      </c>
      <c r="H508" s="3" t="n">
        <v>7879764773</v>
      </c>
      <c r="I508" s="11" t="inlineStr">
        <is>
          <t>PE26032601</t>
        </is>
      </c>
      <c r="J508" s="3" t="inlineStr">
        <is>
          <t>Module Diode Failure</t>
        </is>
      </c>
      <c r="K508" s="3" t="inlineStr">
        <is>
          <t>Sadla</t>
        </is>
      </c>
      <c r="L508" s="3" t="inlineStr">
        <is>
          <t>Gujarat</t>
        </is>
      </c>
      <c r="M508" s="9" t="inlineStr">
        <is>
          <t xml:space="preserve">NS </t>
        </is>
      </c>
      <c r="N508" s="3" t="inlineStr">
        <is>
          <t>Cold Soldering</t>
        </is>
      </c>
      <c r="O508" s="3" t="n">
        <v>570</v>
      </c>
      <c r="P508" s="9" t="inlineStr">
        <is>
          <t>NSMI24050063848</t>
        </is>
      </c>
      <c r="Q508" s="53">
        <f>MID(P508,5,2)</f>
        <v/>
      </c>
      <c r="R508" s="53">
        <f>MID(P508,7,2)</f>
        <v/>
      </c>
      <c r="S508" s="3" t="inlineStr">
        <is>
          <t>G2G</t>
        </is>
      </c>
      <c r="T508" s="3" t="inlineStr">
        <is>
          <t>P4</t>
        </is>
      </c>
      <c r="U508" s="3" t="inlineStr">
        <is>
          <t>N JB Cold Soldering</t>
        </is>
      </c>
      <c r="V508" s="3" t="inlineStr">
        <is>
          <t>Soldering</t>
        </is>
      </c>
      <c r="W508" s="3" t="inlineStr">
        <is>
          <t>Repair</t>
        </is>
      </c>
      <c r="X508" s="18" t="n">
        <v>46150</v>
      </c>
      <c r="Y508" s="3">
        <f>X508-A508</f>
        <v/>
      </c>
      <c r="Z508" s="18" t="n">
        <v>46150</v>
      </c>
      <c r="AA508" s="15" t="n"/>
      <c r="AB508" s="15" t="n"/>
    </row>
    <row r="509" hidden="1" s="233">
      <c r="A509" s="6" t="n">
        <v>46107</v>
      </c>
      <c r="B509" s="3" t="n">
        <v>2026</v>
      </c>
      <c r="C509" s="3" t="inlineStr">
        <is>
          <t>Blupine</t>
        </is>
      </c>
      <c r="D509" s="3" t="inlineStr">
        <is>
          <t>Utility and C&amp;I</t>
        </is>
      </c>
      <c r="E509" s="3" t="n"/>
      <c r="F509" s="3" t="inlineStr">
        <is>
          <t>Closed</t>
        </is>
      </c>
      <c r="G509" s="3" t="inlineStr">
        <is>
          <t>Chandrashekar Patidar</t>
        </is>
      </c>
      <c r="H509" s="3" t="n">
        <v>7879764773</v>
      </c>
      <c r="I509" s="11" t="inlineStr">
        <is>
          <t>PE26032601</t>
        </is>
      </c>
      <c r="J509" s="3" t="inlineStr">
        <is>
          <t>Module Diode Failure</t>
        </is>
      </c>
      <c r="K509" s="3" t="inlineStr">
        <is>
          <t>Sadla</t>
        </is>
      </c>
      <c r="L509" s="3" t="inlineStr">
        <is>
          <t>Gujarat</t>
        </is>
      </c>
      <c r="M509" s="9" t="inlineStr">
        <is>
          <t xml:space="preserve">NS </t>
        </is>
      </c>
      <c r="N509" s="3" t="inlineStr">
        <is>
          <t>Cold Soldering</t>
        </is>
      </c>
      <c r="O509" s="3" t="n">
        <v>570</v>
      </c>
      <c r="P509" s="9" t="inlineStr">
        <is>
          <t>NSMI24060106986</t>
        </is>
      </c>
      <c r="Q509" s="53">
        <f>MID(P509,5,2)</f>
        <v/>
      </c>
      <c r="R509" s="53">
        <f>MID(P509,7,2)</f>
        <v/>
      </c>
      <c r="S509" s="3" t="inlineStr">
        <is>
          <t>G2G</t>
        </is>
      </c>
      <c r="T509" s="3" t="inlineStr">
        <is>
          <t>P4</t>
        </is>
      </c>
      <c r="U509" s="3" t="inlineStr">
        <is>
          <t>N JB Cold Soldering</t>
        </is>
      </c>
      <c r="V509" s="3" t="inlineStr">
        <is>
          <t>Soldering</t>
        </is>
      </c>
      <c r="W509" s="3" t="inlineStr">
        <is>
          <t>Repair</t>
        </is>
      </c>
      <c r="X509" s="18" t="n">
        <v>46150</v>
      </c>
      <c r="Y509" s="3">
        <f>X509-A509</f>
        <v/>
      </c>
      <c r="Z509" s="18" t="n">
        <v>46150</v>
      </c>
      <c r="AA509" s="15" t="n"/>
      <c r="AB509" s="15" t="n"/>
    </row>
    <row r="510" hidden="1" s="233">
      <c r="A510" s="6" t="n">
        <v>46107</v>
      </c>
      <c r="B510" s="3" t="n">
        <v>2026</v>
      </c>
      <c r="C510" s="3" t="inlineStr">
        <is>
          <t>Blupine</t>
        </is>
      </c>
      <c r="D510" s="3" t="inlineStr">
        <is>
          <t>Utility and C&amp;I</t>
        </is>
      </c>
      <c r="E510" s="3" t="n"/>
      <c r="F510" s="3" t="inlineStr">
        <is>
          <t>Closed</t>
        </is>
      </c>
      <c r="G510" s="3" t="inlineStr">
        <is>
          <t>Chandrashekar Patidar</t>
        </is>
      </c>
      <c r="H510" s="3" t="n">
        <v>7879764773</v>
      </c>
      <c r="I510" s="11" t="inlineStr">
        <is>
          <t>PE26032601</t>
        </is>
      </c>
      <c r="J510" s="3" t="inlineStr">
        <is>
          <t>Module Diode Failure</t>
        </is>
      </c>
      <c r="K510" s="3" t="inlineStr">
        <is>
          <t>Sadla</t>
        </is>
      </c>
      <c r="L510" s="3" t="inlineStr">
        <is>
          <t>Gujarat</t>
        </is>
      </c>
      <c r="M510" s="9" t="inlineStr">
        <is>
          <t>PS</t>
        </is>
      </c>
      <c r="N510" s="3" t="inlineStr">
        <is>
          <t>Cold Soldering</t>
        </is>
      </c>
      <c r="O510" s="3" t="n">
        <v>570</v>
      </c>
      <c r="P510" s="9" t="inlineStr">
        <is>
          <t>NSMI24060091938</t>
        </is>
      </c>
      <c r="Q510" s="53">
        <f>MID(P510,5,2)</f>
        <v/>
      </c>
      <c r="R510" s="53">
        <f>MID(P510,7,2)</f>
        <v/>
      </c>
      <c r="S510" s="3" t="inlineStr">
        <is>
          <t>G2G</t>
        </is>
      </c>
      <c r="T510" s="3" t="inlineStr">
        <is>
          <t>P4</t>
        </is>
      </c>
      <c r="U510" s="3" t="inlineStr">
        <is>
          <t>P JB Cold Soldering</t>
        </is>
      </c>
      <c r="V510" s="3" t="inlineStr">
        <is>
          <t>Soldering</t>
        </is>
      </c>
      <c r="W510" s="3" t="inlineStr">
        <is>
          <t>Repair</t>
        </is>
      </c>
      <c r="X510" s="18" t="n">
        <v>46150</v>
      </c>
      <c r="Y510" s="3">
        <f>X510-A510</f>
        <v/>
      </c>
      <c r="Z510" s="18" t="n">
        <v>46150</v>
      </c>
      <c r="AA510" s="15" t="n"/>
      <c r="AB510" s="15" t="n"/>
    </row>
    <row r="511" hidden="1" s="233">
      <c r="A511" s="6" t="n">
        <v>46107</v>
      </c>
      <c r="B511" s="3" t="n">
        <v>2026</v>
      </c>
      <c r="C511" s="3" t="inlineStr">
        <is>
          <t>Blupine</t>
        </is>
      </c>
      <c r="D511" s="3" t="inlineStr">
        <is>
          <t>Utility and C&amp;I</t>
        </is>
      </c>
      <c r="E511" s="3" t="n"/>
      <c r="F511" s="3" t="inlineStr">
        <is>
          <t>Closed</t>
        </is>
      </c>
      <c r="G511" s="3" t="inlineStr">
        <is>
          <t>Chandrashekar Patidar</t>
        </is>
      </c>
      <c r="H511" s="3" t="n">
        <v>7879764773</v>
      </c>
      <c r="I511" s="11" t="inlineStr">
        <is>
          <t>PE26032601</t>
        </is>
      </c>
      <c r="J511" s="3" t="inlineStr">
        <is>
          <t>Module Diode Failure</t>
        </is>
      </c>
      <c r="K511" s="3" t="inlineStr">
        <is>
          <t>Sadla</t>
        </is>
      </c>
      <c r="L511" s="3" t="inlineStr">
        <is>
          <t>Gujarat</t>
        </is>
      </c>
      <c r="M511" s="9" t="inlineStr">
        <is>
          <t xml:space="preserve">NS </t>
        </is>
      </c>
      <c r="N511" s="3" t="inlineStr">
        <is>
          <t>Cold Soldering</t>
        </is>
      </c>
      <c r="O511" s="3" t="n">
        <v>570</v>
      </c>
      <c r="P511" s="9" t="inlineStr">
        <is>
          <t>NSMI24060096191</t>
        </is>
      </c>
      <c r="Q511" s="53">
        <f>MID(P511,5,2)</f>
        <v/>
      </c>
      <c r="R511" s="53">
        <f>MID(P511,7,2)</f>
        <v/>
      </c>
      <c r="S511" s="3" t="inlineStr">
        <is>
          <t>G2G</t>
        </is>
      </c>
      <c r="T511" s="3" t="inlineStr">
        <is>
          <t>P4</t>
        </is>
      </c>
      <c r="U511" s="3" t="inlineStr">
        <is>
          <t>N JB Cold Soldering</t>
        </is>
      </c>
      <c r="V511" s="3" t="inlineStr">
        <is>
          <t>Soldering</t>
        </is>
      </c>
      <c r="W511" s="3" t="inlineStr">
        <is>
          <t>Repair</t>
        </is>
      </c>
      <c r="X511" s="18" t="n">
        <v>46150</v>
      </c>
      <c r="Y511" s="3">
        <f>X511-A511</f>
        <v/>
      </c>
      <c r="Z511" s="18" t="n">
        <v>46150</v>
      </c>
      <c r="AA511" s="15" t="n"/>
      <c r="AB511" s="15" t="n"/>
    </row>
    <row r="512" hidden="1" s="233">
      <c r="A512" s="6" t="n">
        <v>46107</v>
      </c>
      <c r="B512" s="3" t="n">
        <v>2026</v>
      </c>
      <c r="C512" s="3" t="inlineStr">
        <is>
          <t>Blupine</t>
        </is>
      </c>
      <c r="D512" s="3" t="inlineStr">
        <is>
          <t>Utility and C&amp;I</t>
        </is>
      </c>
      <c r="E512" s="3" t="n"/>
      <c r="F512" s="3" t="inlineStr">
        <is>
          <t>Closed</t>
        </is>
      </c>
      <c r="G512" s="3" t="inlineStr">
        <is>
          <t>Chandrashekar Patidar</t>
        </is>
      </c>
      <c r="H512" s="3" t="n">
        <v>7879764773</v>
      </c>
      <c r="I512" s="11" t="inlineStr">
        <is>
          <t>PE26032601</t>
        </is>
      </c>
      <c r="J512" s="3" t="inlineStr">
        <is>
          <t>Module Diode Failure</t>
        </is>
      </c>
      <c r="K512" s="3" t="inlineStr">
        <is>
          <t>Sadla</t>
        </is>
      </c>
      <c r="L512" s="3" t="inlineStr">
        <is>
          <t>Gujarat</t>
        </is>
      </c>
      <c r="M512" s="9" t="inlineStr">
        <is>
          <t>PS</t>
        </is>
      </c>
      <c r="N512" s="3" t="inlineStr">
        <is>
          <t>Cold Soldering</t>
        </is>
      </c>
      <c r="O512" s="3" t="n">
        <v>570</v>
      </c>
      <c r="P512" s="9" t="inlineStr">
        <is>
          <t>NSMI24060074800</t>
        </is>
      </c>
      <c r="Q512" s="53">
        <f>MID(P512,5,2)</f>
        <v/>
      </c>
      <c r="R512" s="53">
        <f>MID(P512,7,2)</f>
        <v/>
      </c>
      <c r="S512" s="3" t="inlineStr">
        <is>
          <t>G2G</t>
        </is>
      </c>
      <c r="T512" s="3" t="inlineStr">
        <is>
          <t>P4</t>
        </is>
      </c>
      <c r="U512" s="3" t="inlineStr">
        <is>
          <t>P JB Cold Soldering</t>
        </is>
      </c>
      <c r="V512" s="3" t="inlineStr">
        <is>
          <t>Soldering</t>
        </is>
      </c>
      <c r="W512" s="3" t="inlineStr">
        <is>
          <t>Repair</t>
        </is>
      </c>
      <c r="X512" s="18" t="n">
        <v>46150</v>
      </c>
      <c r="Y512" s="3">
        <f>X512-A512</f>
        <v/>
      </c>
      <c r="Z512" s="18" t="n">
        <v>46150</v>
      </c>
      <c r="AA512" s="15" t="n"/>
      <c r="AB512" s="15" t="n"/>
    </row>
    <row r="513" hidden="1" s="233">
      <c r="A513" s="6" t="n">
        <v>46107</v>
      </c>
      <c r="B513" s="3" t="n">
        <v>2026</v>
      </c>
      <c r="C513" s="3" t="inlineStr">
        <is>
          <t>Blupine</t>
        </is>
      </c>
      <c r="D513" s="3" t="inlineStr">
        <is>
          <t>Utility and C&amp;I</t>
        </is>
      </c>
      <c r="E513" s="3" t="n"/>
      <c r="F513" s="3" t="inlineStr">
        <is>
          <t>Closed</t>
        </is>
      </c>
      <c r="G513" s="3" t="inlineStr">
        <is>
          <t>Chandrashekar Patidar</t>
        </is>
      </c>
      <c r="H513" s="3" t="n">
        <v>7879764773</v>
      </c>
      <c r="I513" s="11" t="inlineStr">
        <is>
          <t>PE26032601</t>
        </is>
      </c>
      <c r="J513" s="3" t="inlineStr">
        <is>
          <t>Module Diode Failure</t>
        </is>
      </c>
      <c r="K513" s="3" t="inlineStr">
        <is>
          <t>Sadla</t>
        </is>
      </c>
      <c r="L513" s="3" t="inlineStr">
        <is>
          <t>Gujarat</t>
        </is>
      </c>
      <c r="M513" s="9" t="inlineStr">
        <is>
          <t>PS</t>
        </is>
      </c>
      <c r="N513" s="3" t="inlineStr">
        <is>
          <t>Cold Soldering</t>
        </is>
      </c>
      <c r="O513" s="3" t="n">
        <v>570</v>
      </c>
      <c r="P513" s="9" t="inlineStr">
        <is>
          <t>NSMI24060074679</t>
        </is>
      </c>
      <c r="Q513" s="53">
        <f>MID(P513,5,2)</f>
        <v/>
      </c>
      <c r="R513" s="53">
        <f>MID(P513,7,2)</f>
        <v/>
      </c>
      <c r="S513" s="3" t="inlineStr">
        <is>
          <t>G2G</t>
        </is>
      </c>
      <c r="T513" s="3" t="inlineStr">
        <is>
          <t>P4</t>
        </is>
      </c>
      <c r="U513" s="3" t="inlineStr">
        <is>
          <t>P JB Cold Soldering</t>
        </is>
      </c>
      <c r="V513" s="3" t="inlineStr">
        <is>
          <t>Soldering</t>
        </is>
      </c>
      <c r="W513" s="3" t="inlineStr">
        <is>
          <t>Repair</t>
        </is>
      </c>
      <c r="X513" s="18" t="n">
        <v>46150</v>
      </c>
      <c r="Y513" s="3">
        <f>X513-A513</f>
        <v/>
      </c>
      <c r="Z513" s="18" t="n">
        <v>46150</v>
      </c>
      <c r="AA513" s="15" t="n"/>
      <c r="AB513" s="15" t="n"/>
    </row>
    <row r="514" hidden="1" s="233">
      <c r="A514" s="6" t="n">
        <v>46107</v>
      </c>
      <c r="B514" s="3" t="n">
        <v>2026</v>
      </c>
      <c r="C514" s="3" t="inlineStr">
        <is>
          <t>Blupine</t>
        </is>
      </c>
      <c r="D514" s="3" t="inlineStr">
        <is>
          <t>Utility and C&amp;I</t>
        </is>
      </c>
      <c r="E514" s="3" t="n"/>
      <c r="F514" s="3" t="inlineStr">
        <is>
          <t>Closed</t>
        </is>
      </c>
      <c r="G514" s="3" t="inlineStr">
        <is>
          <t>Chandrashekar Patidar</t>
        </is>
      </c>
      <c r="H514" s="3" t="n">
        <v>7879764773</v>
      </c>
      <c r="I514" s="11" t="inlineStr">
        <is>
          <t>PE26032601</t>
        </is>
      </c>
      <c r="J514" s="3" t="inlineStr">
        <is>
          <t>Module Diode Failure</t>
        </is>
      </c>
      <c r="K514" s="3" t="inlineStr">
        <is>
          <t>Sadla</t>
        </is>
      </c>
      <c r="L514" s="3" t="inlineStr">
        <is>
          <t>Gujarat</t>
        </is>
      </c>
      <c r="M514" s="9" t="inlineStr">
        <is>
          <t xml:space="preserve">NS </t>
        </is>
      </c>
      <c r="N514" s="3" t="inlineStr">
        <is>
          <t>Cold Soldering</t>
        </is>
      </c>
      <c r="O514" s="3" t="n">
        <v>570</v>
      </c>
      <c r="P514" s="9" t="inlineStr">
        <is>
          <t>NSMI24060091937</t>
        </is>
      </c>
      <c r="Q514" s="53">
        <f>MID(P514,5,2)</f>
        <v/>
      </c>
      <c r="R514" s="53">
        <f>MID(P514,7,2)</f>
        <v/>
      </c>
      <c r="S514" s="3" t="inlineStr">
        <is>
          <t>G2G</t>
        </is>
      </c>
      <c r="T514" s="3" t="inlineStr">
        <is>
          <t>P4</t>
        </is>
      </c>
      <c r="U514" s="3" t="inlineStr">
        <is>
          <t>N JB Cold Soldering</t>
        </is>
      </c>
      <c r="V514" s="3" t="inlineStr">
        <is>
          <t>Soldering</t>
        </is>
      </c>
      <c r="W514" s="3" t="inlineStr">
        <is>
          <t>Repair</t>
        </is>
      </c>
      <c r="X514" s="18" t="n">
        <v>46150</v>
      </c>
      <c r="Y514" s="3">
        <f>X514-A514</f>
        <v/>
      </c>
      <c r="Z514" s="18" t="n">
        <v>46150</v>
      </c>
      <c r="AA514" s="15" t="n"/>
      <c r="AB514" s="15" t="n"/>
    </row>
    <row r="515" hidden="1" s="233">
      <c r="A515" s="6" t="n">
        <v>46107</v>
      </c>
      <c r="B515" s="3" t="n">
        <v>2026</v>
      </c>
      <c r="C515" s="3" t="inlineStr">
        <is>
          <t>Blupine</t>
        </is>
      </c>
      <c r="D515" s="3" t="inlineStr">
        <is>
          <t>Utility and C&amp;I</t>
        </is>
      </c>
      <c r="E515" s="3" t="n"/>
      <c r="F515" s="3" t="inlineStr">
        <is>
          <t>Closed</t>
        </is>
      </c>
      <c r="G515" s="3" t="inlineStr">
        <is>
          <t>Chandrashekar Patidar</t>
        </is>
      </c>
      <c r="H515" s="3" t="n">
        <v>7879764773</v>
      </c>
      <c r="I515" s="11" t="inlineStr">
        <is>
          <t>PE26032601</t>
        </is>
      </c>
      <c r="J515" s="3" t="inlineStr">
        <is>
          <t>Module Diode Failure</t>
        </is>
      </c>
      <c r="K515" s="3" t="inlineStr">
        <is>
          <t>Sadla</t>
        </is>
      </c>
      <c r="L515" s="3" t="inlineStr">
        <is>
          <t>Gujarat</t>
        </is>
      </c>
      <c r="M515" s="9" t="inlineStr">
        <is>
          <t>PS</t>
        </is>
      </c>
      <c r="N515" s="3" t="inlineStr">
        <is>
          <t>Cold Soldering</t>
        </is>
      </c>
      <c r="O515" s="3" t="n">
        <v>570</v>
      </c>
      <c r="P515" s="9" t="inlineStr">
        <is>
          <t>NSMI24060093841</t>
        </is>
      </c>
      <c r="Q515" s="53">
        <f>MID(P515,5,2)</f>
        <v/>
      </c>
      <c r="R515" s="53">
        <f>MID(P515,7,2)</f>
        <v/>
      </c>
      <c r="S515" s="3" t="inlineStr">
        <is>
          <t>G2G</t>
        </is>
      </c>
      <c r="T515" s="3" t="inlineStr">
        <is>
          <t>P4</t>
        </is>
      </c>
      <c r="U515" s="3" t="inlineStr">
        <is>
          <t>P JB Cold Soldering</t>
        </is>
      </c>
      <c r="V515" s="3" t="inlineStr">
        <is>
          <t>Soldering</t>
        </is>
      </c>
      <c r="W515" s="3" t="inlineStr">
        <is>
          <t>Repair</t>
        </is>
      </c>
      <c r="X515" s="18" t="n">
        <v>46150</v>
      </c>
      <c r="Y515" s="3">
        <f>X515-A515</f>
        <v/>
      </c>
      <c r="Z515" s="18" t="n">
        <v>46150</v>
      </c>
      <c r="AA515" s="15" t="n"/>
      <c r="AB515" s="15" t="n"/>
    </row>
    <row r="516" hidden="1" s="233">
      <c r="A516" s="6" t="n">
        <v>46107</v>
      </c>
      <c r="B516" s="3" t="n">
        <v>2026</v>
      </c>
      <c r="C516" s="3" t="inlineStr">
        <is>
          <t>Blupine</t>
        </is>
      </c>
      <c r="D516" s="3" t="inlineStr">
        <is>
          <t>Utility and C&amp;I</t>
        </is>
      </c>
      <c r="E516" s="3" t="n"/>
      <c r="F516" s="3" t="inlineStr">
        <is>
          <t>Closed</t>
        </is>
      </c>
      <c r="G516" s="3" t="inlineStr">
        <is>
          <t>Chandrashekar Patidar</t>
        </is>
      </c>
      <c r="H516" s="3" t="n">
        <v>7879764773</v>
      </c>
      <c r="I516" s="11" t="inlineStr">
        <is>
          <t>PE26032601</t>
        </is>
      </c>
      <c r="J516" s="3" t="inlineStr">
        <is>
          <t>Module Diode Failure</t>
        </is>
      </c>
      <c r="K516" s="3" t="inlineStr">
        <is>
          <t>Sadla</t>
        </is>
      </c>
      <c r="L516" s="3" t="inlineStr">
        <is>
          <t>Gujarat</t>
        </is>
      </c>
      <c r="M516" s="9" t="inlineStr">
        <is>
          <t>NS</t>
        </is>
      </c>
      <c r="N516" s="3" t="inlineStr">
        <is>
          <t>Cold Soldering</t>
        </is>
      </c>
      <c r="O516" s="3" t="n">
        <v>570</v>
      </c>
      <c r="P516" s="9" t="inlineStr">
        <is>
          <t>NSMI24060098375</t>
        </is>
      </c>
      <c r="Q516" s="53">
        <f>MID(P516,5,2)</f>
        <v/>
      </c>
      <c r="R516" s="53">
        <f>MID(P516,7,2)</f>
        <v/>
      </c>
      <c r="S516" s="3" t="inlineStr">
        <is>
          <t>G2G</t>
        </is>
      </c>
      <c r="T516" s="3" t="inlineStr">
        <is>
          <t>P4</t>
        </is>
      </c>
      <c r="U516" s="3" t="inlineStr">
        <is>
          <t>N JB Cold Soldering &amp; Glass Breakage</t>
        </is>
      </c>
      <c r="V516" s="3" t="inlineStr">
        <is>
          <t>Soldering</t>
        </is>
      </c>
      <c r="W516" s="3" t="inlineStr">
        <is>
          <t>Repair</t>
        </is>
      </c>
      <c r="X516" s="18" t="n">
        <v>46150</v>
      </c>
      <c r="Y516" s="3">
        <f>X516-A516</f>
        <v/>
      </c>
      <c r="Z516" s="18" t="n">
        <v>46150</v>
      </c>
      <c r="AA516" s="15" t="n"/>
      <c r="AB516" s="15" t="n"/>
    </row>
    <row r="517" hidden="1" s="233">
      <c r="A517" s="6" t="n">
        <v>46107</v>
      </c>
      <c r="B517" s="3" t="n">
        <v>2026</v>
      </c>
      <c r="C517" s="3" t="inlineStr">
        <is>
          <t>Blupine</t>
        </is>
      </c>
      <c r="D517" s="3" t="inlineStr">
        <is>
          <t>Utility and C&amp;I</t>
        </is>
      </c>
      <c r="E517" s="3" t="n"/>
      <c r="F517" s="3" t="inlineStr">
        <is>
          <t>Closed</t>
        </is>
      </c>
      <c r="G517" s="3" t="inlineStr">
        <is>
          <t>Chandrashekar Patidar</t>
        </is>
      </c>
      <c r="H517" s="3" t="n">
        <v>7879764773</v>
      </c>
      <c r="I517" s="11" t="inlineStr">
        <is>
          <t>PE26032601</t>
        </is>
      </c>
      <c r="J517" s="3" t="inlineStr">
        <is>
          <t>Module Diode Failure</t>
        </is>
      </c>
      <c r="K517" s="3" t="inlineStr">
        <is>
          <t>Sadla</t>
        </is>
      </c>
      <c r="L517" s="3" t="inlineStr">
        <is>
          <t>Gujarat</t>
        </is>
      </c>
      <c r="M517" s="9" t="inlineStr">
        <is>
          <t xml:space="preserve">NS </t>
        </is>
      </c>
      <c r="N517" s="3" t="inlineStr">
        <is>
          <t>Cold Soldering</t>
        </is>
      </c>
      <c r="O517" s="3" t="n">
        <v>570</v>
      </c>
      <c r="P517" s="9" t="inlineStr">
        <is>
          <t>NSMI24060094142</t>
        </is>
      </c>
      <c r="Q517" s="53">
        <f>MID(P517,5,2)</f>
        <v/>
      </c>
      <c r="R517" s="53">
        <f>MID(P517,7,2)</f>
        <v/>
      </c>
      <c r="S517" s="3" t="inlineStr">
        <is>
          <t>G2G</t>
        </is>
      </c>
      <c r="T517" s="3" t="inlineStr">
        <is>
          <t>P4</t>
        </is>
      </c>
      <c r="U517" s="3" t="inlineStr">
        <is>
          <t>N JB Cold Soldering</t>
        </is>
      </c>
      <c r="V517" s="3" t="inlineStr">
        <is>
          <t>Soldering</t>
        </is>
      </c>
      <c r="W517" s="3" t="inlineStr">
        <is>
          <t>Repair</t>
        </is>
      </c>
      <c r="X517" s="18" t="n">
        <v>46150</v>
      </c>
      <c r="Y517" s="3">
        <f>X517-A517</f>
        <v/>
      </c>
      <c r="Z517" s="18" t="n">
        <v>46150</v>
      </c>
      <c r="AA517" s="15" t="n"/>
      <c r="AB517" s="15" t="n"/>
    </row>
    <row r="518" hidden="1" s="233">
      <c r="A518" s="6" t="n">
        <v>46107</v>
      </c>
      <c r="B518" s="3" t="n">
        <v>2026</v>
      </c>
      <c r="C518" s="3" t="inlineStr">
        <is>
          <t>Blupine</t>
        </is>
      </c>
      <c r="D518" s="3" t="inlineStr">
        <is>
          <t>Utility and C&amp;I</t>
        </is>
      </c>
      <c r="E518" s="3" t="n"/>
      <c r="F518" s="3" t="inlineStr">
        <is>
          <t>Closed</t>
        </is>
      </c>
      <c r="G518" s="3" t="inlineStr">
        <is>
          <t>Chandrashekar Patidar</t>
        </is>
      </c>
      <c r="H518" s="3" t="n">
        <v>7879764773</v>
      </c>
      <c r="I518" s="11" t="inlineStr">
        <is>
          <t>PE26032601</t>
        </is>
      </c>
      <c r="J518" s="3" t="inlineStr">
        <is>
          <t>Module Diode Failure</t>
        </is>
      </c>
      <c r="K518" s="3" t="inlineStr">
        <is>
          <t>Sadla</t>
        </is>
      </c>
      <c r="L518" s="3" t="inlineStr">
        <is>
          <t>Gujarat</t>
        </is>
      </c>
      <c r="M518" s="9" t="inlineStr">
        <is>
          <t>NR</t>
        </is>
      </c>
      <c r="N518" s="3" t="inlineStr">
        <is>
          <t>JB Issue</t>
        </is>
      </c>
      <c r="O518" s="3" t="n">
        <v>570</v>
      </c>
      <c r="P518" s="9" t="inlineStr">
        <is>
          <t>NSMI24060093015</t>
        </is>
      </c>
      <c r="Q518" s="53">
        <f>MID(P518,5,2)</f>
        <v/>
      </c>
      <c r="R518" s="53">
        <f>MID(P518,7,2)</f>
        <v/>
      </c>
      <c r="S518" s="3" t="inlineStr">
        <is>
          <t>G2G</t>
        </is>
      </c>
      <c r="T518" s="3" t="inlineStr">
        <is>
          <t>P4</t>
        </is>
      </c>
      <c r="U518" s="3" t="inlineStr">
        <is>
          <t>N JB Issue</t>
        </is>
      </c>
      <c r="V518" s="3" t="inlineStr">
        <is>
          <t>JB Changed</t>
        </is>
      </c>
      <c r="W518" s="3" t="inlineStr">
        <is>
          <t>Repair</t>
        </is>
      </c>
      <c r="X518" s="18" t="n">
        <v>46150</v>
      </c>
      <c r="Y518" s="3">
        <f>X518-A518</f>
        <v/>
      </c>
      <c r="Z518" s="18" t="n">
        <v>46150</v>
      </c>
      <c r="AA518" s="15" t="n"/>
      <c r="AB518" s="15" t="n"/>
    </row>
    <row r="519" hidden="1" s="233">
      <c r="A519" s="6" t="n">
        <v>46107</v>
      </c>
      <c r="B519" s="3" t="n">
        <v>2026</v>
      </c>
      <c r="C519" s="3" t="inlineStr">
        <is>
          <t>Blupine</t>
        </is>
      </c>
      <c r="D519" s="3" t="inlineStr">
        <is>
          <t>Utility and C&amp;I</t>
        </is>
      </c>
      <c r="E519" s="3" t="n"/>
      <c r="F519" s="3" t="inlineStr">
        <is>
          <t>Closed</t>
        </is>
      </c>
      <c r="G519" s="3" t="inlineStr">
        <is>
          <t>Chandrashekar Patidar</t>
        </is>
      </c>
      <c r="H519" s="3" t="n">
        <v>7879764773</v>
      </c>
      <c r="I519" s="11" t="inlineStr">
        <is>
          <t>PE26032601</t>
        </is>
      </c>
      <c r="J519" s="3" t="inlineStr">
        <is>
          <t>Module Diode Failure</t>
        </is>
      </c>
      <c r="K519" s="3" t="inlineStr">
        <is>
          <t>Sadla</t>
        </is>
      </c>
      <c r="L519" s="3" t="inlineStr">
        <is>
          <t>Gujarat</t>
        </is>
      </c>
      <c r="M519" s="9" t="inlineStr">
        <is>
          <t xml:space="preserve">NS </t>
        </is>
      </c>
      <c r="N519" s="3" t="inlineStr">
        <is>
          <t>Cold Soldering</t>
        </is>
      </c>
      <c r="O519" s="3" t="n">
        <v>570</v>
      </c>
      <c r="P519" s="9" t="inlineStr">
        <is>
          <t>NSMI24060084638</t>
        </is>
      </c>
      <c r="Q519" s="53">
        <f>MID(P519,5,2)</f>
        <v/>
      </c>
      <c r="R519" s="53">
        <f>MID(P519,7,2)</f>
        <v/>
      </c>
      <c r="S519" s="3" t="inlineStr">
        <is>
          <t>G2G</t>
        </is>
      </c>
      <c r="T519" s="3" t="inlineStr">
        <is>
          <t>P4</t>
        </is>
      </c>
      <c r="U519" s="3" t="inlineStr">
        <is>
          <t>N JB Cold Soldering</t>
        </is>
      </c>
      <c r="V519" s="3" t="inlineStr">
        <is>
          <t>Soldering</t>
        </is>
      </c>
      <c r="W519" s="3" t="inlineStr">
        <is>
          <t>Repair</t>
        </is>
      </c>
      <c r="X519" s="18" t="n">
        <v>46150</v>
      </c>
      <c r="Y519" s="3">
        <f>X519-A519</f>
        <v/>
      </c>
      <c r="Z519" s="18" t="n">
        <v>46150</v>
      </c>
      <c r="AA519" s="15" t="n"/>
      <c r="AB519" s="15" t="n"/>
    </row>
    <row r="520" hidden="1" s="233">
      <c r="A520" s="6" t="n">
        <v>46107</v>
      </c>
      <c r="B520" s="3" t="n">
        <v>2026</v>
      </c>
      <c r="C520" s="3" t="inlineStr">
        <is>
          <t>Blupine</t>
        </is>
      </c>
      <c r="D520" s="3" t="inlineStr">
        <is>
          <t>Utility and C&amp;I</t>
        </is>
      </c>
      <c r="E520" s="3" t="n"/>
      <c r="F520" s="3" t="inlineStr">
        <is>
          <t>Closed</t>
        </is>
      </c>
      <c r="G520" s="3" t="inlineStr">
        <is>
          <t>Chandrashekar Patidar</t>
        </is>
      </c>
      <c r="H520" s="3" t="n">
        <v>7879764773</v>
      </c>
      <c r="I520" s="11" t="inlineStr">
        <is>
          <t>PE26032601</t>
        </is>
      </c>
      <c r="J520" s="3" t="inlineStr">
        <is>
          <t>Module Diode Failure</t>
        </is>
      </c>
      <c r="K520" s="3" t="inlineStr">
        <is>
          <t>Sadla</t>
        </is>
      </c>
      <c r="L520" s="3" t="inlineStr">
        <is>
          <t>Gujarat</t>
        </is>
      </c>
      <c r="M520" s="9" t="inlineStr">
        <is>
          <t xml:space="preserve">NS </t>
        </is>
      </c>
      <c r="N520" s="3" t="inlineStr">
        <is>
          <t>Cold Soldering</t>
        </is>
      </c>
      <c r="O520" s="3" t="n">
        <v>570</v>
      </c>
      <c r="P520" s="9" t="inlineStr">
        <is>
          <t>NSMI24060091994</t>
        </is>
      </c>
      <c r="Q520" s="53">
        <f>MID(P520,5,2)</f>
        <v/>
      </c>
      <c r="R520" s="53">
        <f>MID(P520,7,2)</f>
        <v/>
      </c>
      <c r="S520" s="3" t="inlineStr">
        <is>
          <t>G2G</t>
        </is>
      </c>
      <c r="T520" s="3" t="inlineStr">
        <is>
          <t>P4</t>
        </is>
      </c>
      <c r="U520" s="3" t="inlineStr">
        <is>
          <t>N JB Cold Soldering</t>
        </is>
      </c>
      <c r="V520" s="3" t="inlineStr">
        <is>
          <t>Soldering</t>
        </is>
      </c>
      <c r="W520" s="3" t="inlineStr">
        <is>
          <t>Repair</t>
        </is>
      </c>
      <c r="X520" s="18" t="n">
        <v>46150</v>
      </c>
      <c r="Y520" s="3">
        <f>X520-A520</f>
        <v/>
      </c>
      <c r="Z520" s="18" t="n">
        <v>46150</v>
      </c>
      <c r="AA520" s="15" t="n"/>
      <c r="AB520" s="15" t="n"/>
    </row>
    <row r="521" hidden="1" s="233">
      <c r="A521" s="6" t="n">
        <v>46107</v>
      </c>
      <c r="B521" s="3" t="n">
        <v>2026</v>
      </c>
      <c r="C521" s="3" t="inlineStr">
        <is>
          <t>Blupine</t>
        </is>
      </c>
      <c r="D521" s="3" t="inlineStr">
        <is>
          <t>Utility and C&amp;I</t>
        </is>
      </c>
      <c r="E521" s="3" t="n"/>
      <c r="F521" s="3" t="inlineStr">
        <is>
          <t>Closed</t>
        </is>
      </c>
      <c r="G521" s="3" t="inlineStr">
        <is>
          <t>Chandrashekar Patidar</t>
        </is>
      </c>
      <c r="H521" s="3" t="n">
        <v>7879764773</v>
      </c>
      <c r="I521" s="11" t="inlineStr">
        <is>
          <t>PE26032601</t>
        </is>
      </c>
      <c r="J521" s="3" t="inlineStr">
        <is>
          <t>Module Diode Failure</t>
        </is>
      </c>
      <c r="K521" s="3" t="inlineStr">
        <is>
          <t>Sadla</t>
        </is>
      </c>
      <c r="L521" s="3" t="inlineStr">
        <is>
          <t>Gujarat</t>
        </is>
      </c>
      <c r="M521" s="9" t="inlineStr">
        <is>
          <t>PS</t>
        </is>
      </c>
      <c r="N521" s="3" t="inlineStr">
        <is>
          <t>Cold Soldering</t>
        </is>
      </c>
      <c r="O521" s="3" t="n">
        <v>570</v>
      </c>
      <c r="P521" s="9" t="inlineStr">
        <is>
          <t>NSMI24050060530</t>
        </is>
      </c>
      <c r="Q521" s="53">
        <f>MID(P521,5,2)</f>
        <v/>
      </c>
      <c r="R521" s="53">
        <f>MID(P521,7,2)</f>
        <v/>
      </c>
      <c r="S521" s="3" t="inlineStr">
        <is>
          <t>G2G</t>
        </is>
      </c>
      <c r="T521" s="3" t="inlineStr">
        <is>
          <t>P4</t>
        </is>
      </c>
      <c r="U521" s="3" t="inlineStr">
        <is>
          <t>P JB Cold Soldering</t>
        </is>
      </c>
      <c r="V521" s="3" t="inlineStr">
        <is>
          <t>Soldering</t>
        </is>
      </c>
      <c r="W521" s="3" t="inlineStr">
        <is>
          <t>Repair</t>
        </is>
      </c>
      <c r="X521" s="18" t="n">
        <v>46150</v>
      </c>
      <c r="Y521" s="3">
        <f>X521-A521</f>
        <v/>
      </c>
      <c r="Z521" s="18" t="n">
        <v>46150</v>
      </c>
      <c r="AA521" s="15" t="n"/>
      <c r="AB521" s="15" t="n"/>
    </row>
    <row r="522" hidden="1" s="233">
      <c r="A522" s="6" t="n">
        <v>46107</v>
      </c>
      <c r="B522" s="3" t="n">
        <v>2026</v>
      </c>
      <c r="C522" s="3" t="inlineStr">
        <is>
          <t>Blupine</t>
        </is>
      </c>
      <c r="D522" s="3" t="inlineStr">
        <is>
          <t>Utility and C&amp;I</t>
        </is>
      </c>
      <c r="E522" s="3" t="n"/>
      <c r="F522" s="3" t="inlineStr">
        <is>
          <t>Closed</t>
        </is>
      </c>
      <c r="G522" s="3" t="inlineStr">
        <is>
          <t>Chandrashekar Patidar</t>
        </is>
      </c>
      <c r="H522" s="3" t="n">
        <v>7879764773</v>
      </c>
      <c r="I522" s="11" t="inlineStr">
        <is>
          <t>PE26032601</t>
        </is>
      </c>
      <c r="J522" s="3" t="inlineStr">
        <is>
          <t>Module Diode Failure</t>
        </is>
      </c>
      <c r="K522" s="3" t="inlineStr">
        <is>
          <t>Sadla</t>
        </is>
      </c>
      <c r="L522" s="3" t="inlineStr">
        <is>
          <t>Gujarat</t>
        </is>
      </c>
      <c r="M522" s="9" t="inlineStr">
        <is>
          <t>PS</t>
        </is>
      </c>
      <c r="N522" s="3" t="inlineStr">
        <is>
          <t>Cold Soldering</t>
        </is>
      </c>
      <c r="O522" s="3" t="n">
        <v>570</v>
      </c>
      <c r="P522" s="9" t="inlineStr">
        <is>
          <t>NSMI24050060533</t>
        </is>
      </c>
      <c r="Q522" s="53">
        <f>MID(P522,5,2)</f>
        <v/>
      </c>
      <c r="R522" s="53">
        <f>MID(P522,7,2)</f>
        <v/>
      </c>
      <c r="S522" s="3" t="inlineStr">
        <is>
          <t>G2G</t>
        </is>
      </c>
      <c r="T522" s="3" t="inlineStr">
        <is>
          <t>P4</t>
        </is>
      </c>
      <c r="U522" s="3" t="inlineStr">
        <is>
          <t>P JB Cold Soldering</t>
        </is>
      </c>
      <c r="V522" s="3" t="inlineStr">
        <is>
          <t>Soldering</t>
        </is>
      </c>
      <c r="W522" s="3" t="inlineStr">
        <is>
          <t>Repair</t>
        </is>
      </c>
      <c r="X522" s="18" t="n">
        <v>46150</v>
      </c>
      <c r="Y522" s="3">
        <f>X522-A522</f>
        <v/>
      </c>
      <c r="Z522" s="18" t="n">
        <v>46150</v>
      </c>
      <c r="AA522" s="15" t="n"/>
      <c r="AB522" s="15" t="n"/>
    </row>
    <row r="523" hidden="1" s="233">
      <c r="A523" s="6" t="n">
        <v>46107</v>
      </c>
      <c r="B523" s="3" t="n">
        <v>2026</v>
      </c>
      <c r="C523" s="3" t="inlineStr">
        <is>
          <t>Blupine</t>
        </is>
      </c>
      <c r="D523" s="3" t="inlineStr">
        <is>
          <t>Utility and C&amp;I</t>
        </is>
      </c>
      <c r="E523" s="3" t="n"/>
      <c r="F523" s="3" t="inlineStr">
        <is>
          <t>Closed</t>
        </is>
      </c>
      <c r="G523" s="3" t="inlineStr">
        <is>
          <t>Chandrashekar Patidar</t>
        </is>
      </c>
      <c r="H523" s="3" t="n">
        <v>7879764773</v>
      </c>
      <c r="I523" s="11" t="inlineStr">
        <is>
          <t>PE26032601</t>
        </is>
      </c>
      <c r="J523" s="3" t="inlineStr">
        <is>
          <t>Module Diode Failure</t>
        </is>
      </c>
      <c r="K523" s="3" t="inlineStr">
        <is>
          <t>Sadla</t>
        </is>
      </c>
      <c r="L523" s="3" t="inlineStr">
        <is>
          <t>Gujarat</t>
        </is>
      </c>
      <c r="M523" s="9" t="inlineStr">
        <is>
          <t xml:space="preserve">NS </t>
        </is>
      </c>
      <c r="N523" s="3" t="inlineStr">
        <is>
          <t>Cold Soldering</t>
        </is>
      </c>
      <c r="O523" s="3" t="n">
        <v>570</v>
      </c>
      <c r="P523" s="9" t="inlineStr">
        <is>
          <t>NSMI24060079615</t>
        </is>
      </c>
      <c r="Q523" s="53">
        <f>MID(P523,5,2)</f>
        <v/>
      </c>
      <c r="R523" s="53">
        <f>MID(P523,7,2)</f>
        <v/>
      </c>
      <c r="S523" s="3" t="inlineStr">
        <is>
          <t>G2G</t>
        </is>
      </c>
      <c r="T523" s="3" t="inlineStr">
        <is>
          <t>P4</t>
        </is>
      </c>
      <c r="U523" s="3" t="inlineStr">
        <is>
          <t>N JB Cold Soldering</t>
        </is>
      </c>
      <c r="V523" s="3" t="inlineStr">
        <is>
          <t>Soldering</t>
        </is>
      </c>
      <c r="W523" s="3" t="inlineStr">
        <is>
          <t>Repair</t>
        </is>
      </c>
      <c r="X523" s="18" t="n">
        <v>46150</v>
      </c>
      <c r="Y523" s="3">
        <f>X523-A523</f>
        <v/>
      </c>
      <c r="Z523" s="18" t="n">
        <v>46150</v>
      </c>
      <c r="AA523" s="15" t="n"/>
      <c r="AB523" s="15" t="n"/>
    </row>
    <row r="524" hidden="1" s="233">
      <c r="A524" s="6" t="n">
        <v>46107</v>
      </c>
      <c r="B524" s="3" t="n">
        <v>2026</v>
      </c>
      <c r="C524" s="3" t="inlineStr">
        <is>
          <t>Blupine</t>
        </is>
      </c>
      <c r="D524" s="3" t="inlineStr">
        <is>
          <t>Utility and C&amp;I</t>
        </is>
      </c>
      <c r="E524" s="3" t="n"/>
      <c r="F524" s="3" t="inlineStr">
        <is>
          <t>Closed</t>
        </is>
      </c>
      <c r="G524" s="3" t="inlineStr">
        <is>
          <t>Chandrashekar Patidar</t>
        </is>
      </c>
      <c r="H524" s="3" t="n">
        <v>7879764773</v>
      </c>
      <c r="I524" s="11" t="inlineStr">
        <is>
          <t>PE26032601</t>
        </is>
      </c>
      <c r="J524" s="3" t="inlineStr">
        <is>
          <t>Module Diode Failure</t>
        </is>
      </c>
      <c r="K524" s="3" t="inlineStr">
        <is>
          <t>Sadla</t>
        </is>
      </c>
      <c r="L524" s="3" t="inlineStr">
        <is>
          <t>Gujarat</t>
        </is>
      </c>
      <c r="M524" s="9" t="inlineStr">
        <is>
          <t>PR</t>
        </is>
      </c>
      <c r="N524" s="3" t="inlineStr">
        <is>
          <t>JB Issue</t>
        </is>
      </c>
      <c r="O524" s="3" t="n">
        <v>570</v>
      </c>
      <c r="P524" s="9" t="inlineStr">
        <is>
          <t>NSMI24060091153</t>
        </is>
      </c>
      <c r="Q524" s="53">
        <f>MID(P524,5,2)</f>
        <v/>
      </c>
      <c r="R524" s="53">
        <f>MID(P524,7,2)</f>
        <v/>
      </c>
      <c r="S524" s="3" t="inlineStr">
        <is>
          <t>G2G</t>
        </is>
      </c>
      <c r="T524" s="3" t="inlineStr">
        <is>
          <t>P4</t>
        </is>
      </c>
      <c r="U524" s="3" t="inlineStr">
        <is>
          <t>P JB Issue</t>
        </is>
      </c>
      <c r="V524" s="15" t="inlineStr">
        <is>
          <t>JB Changed</t>
        </is>
      </c>
      <c r="W524" s="3" t="inlineStr">
        <is>
          <t>Repair</t>
        </is>
      </c>
      <c r="X524" s="18" t="n">
        <v>46150</v>
      </c>
      <c r="Y524" s="3">
        <f>X524-A524</f>
        <v/>
      </c>
      <c r="Z524" s="18" t="n">
        <v>46150</v>
      </c>
      <c r="AA524" s="15" t="n"/>
      <c r="AB524" s="15" t="n"/>
    </row>
    <row r="525" hidden="1" s="233">
      <c r="A525" s="6" t="n">
        <v>46107</v>
      </c>
      <c r="B525" s="3" t="n">
        <v>2026</v>
      </c>
      <c r="C525" s="3" t="inlineStr">
        <is>
          <t>Blupine</t>
        </is>
      </c>
      <c r="D525" s="3" t="inlineStr">
        <is>
          <t>Utility and C&amp;I</t>
        </is>
      </c>
      <c r="E525" s="3" t="n"/>
      <c r="F525" s="3" t="inlineStr">
        <is>
          <t>Closed</t>
        </is>
      </c>
      <c r="G525" s="3" t="inlineStr">
        <is>
          <t>Chandrashekar Patidar</t>
        </is>
      </c>
      <c r="H525" s="3" t="n">
        <v>7879764773</v>
      </c>
      <c r="I525" s="11" t="inlineStr">
        <is>
          <t>PE26032601</t>
        </is>
      </c>
      <c r="J525" s="3" t="inlineStr">
        <is>
          <t>Module Diode Failure</t>
        </is>
      </c>
      <c r="K525" s="3" t="inlineStr">
        <is>
          <t>Sadla</t>
        </is>
      </c>
      <c r="L525" s="3" t="inlineStr">
        <is>
          <t>Gujarat</t>
        </is>
      </c>
      <c r="M525" s="9" t="inlineStr">
        <is>
          <t xml:space="preserve">NS </t>
        </is>
      </c>
      <c r="N525" s="3" t="inlineStr">
        <is>
          <t>Cold Soldering</t>
        </is>
      </c>
      <c r="O525" s="3" t="n">
        <v>570</v>
      </c>
      <c r="P525" s="9" t="inlineStr">
        <is>
          <t>NSMI24060135706</t>
        </is>
      </c>
      <c r="Q525" s="53">
        <f>MID(P525,5,2)</f>
        <v/>
      </c>
      <c r="R525" s="53">
        <f>MID(P525,7,2)</f>
        <v/>
      </c>
      <c r="S525" s="3" t="inlineStr">
        <is>
          <t>G2G</t>
        </is>
      </c>
      <c r="T525" s="3" t="inlineStr">
        <is>
          <t>P4</t>
        </is>
      </c>
      <c r="U525" s="3" t="inlineStr">
        <is>
          <t>N JB Cold Soldering</t>
        </is>
      </c>
      <c r="V525" s="3" t="inlineStr">
        <is>
          <t>Soldering</t>
        </is>
      </c>
      <c r="W525" s="3" t="inlineStr">
        <is>
          <t>Repair</t>
        </is>
      </c>
      <c r="X525" s="18" t="n">
        <v>46150</v>
      </c>
      <c r="Y525" s="3">
        <f>X525-A525</f>
        <v/>
      </c>
      <c r="Z525" s="18" t="n">
        <v>46150</v>
      </c>
      <c r="AA525" s="15" t="n"/>
      <c r="AB525" s="15" t="n"/>
    </row>
    <row r="526" hidden="1" s="233">
      <c r="A526" s="6" t="n">
        <v>46107</v>
      </c>
      <c r="B526" s="3" t="n">
        <v>2026</v>
      </c>
      <c r="C526" s="3" t="inlineStr">
        <is>
          <t>Blupine</t>
        </is>
      </c>
      <c r="D526" s="3" t="inlineStr">
        <is>
          <t>Utility and C&amp;I</t>
        </is>
      </c>
      <c r="E526" s="3" t="n"/>
      <c r="F526" s="3" t="inlineStr">
        <is>
          <t>Closed</t>
        </is>
      </c>
      <c r="G526" s="3" t="inlineStr">
        <is>
          <t>Chandrashekar Patidar</t>
        </is>
      </c>
      <c r="H526" s="3" t="n">
        <v>7879764773</v>
      </c>
      <c r="I526" s="11" t="inlineStr">
        <is>
          <t>PE26032601</t>
        </is>
      </c>
      <c r="J526" s="3" t="inlineStr">
        <is>
          <t>Module Diode Failure</t>
        </is>
      </c>
      <c r="K526" s="3" t="inlineStr">
        <is>
          <t>Sadla</t>
        </is>
      </c>
      <c r="L526" s="3" t="inlineStr">
        <is>
          <t>Gujarat</t>
        </is>
      </c>
      <c r="M526" s="9" t="inlineStr">
        <is>
          <t xml:space="preserve">NS </t>
        </is>
      </c>
      <c r="N526" s="3" t="inlineStr">
        <is>
          <t>Cold Soldering</t>
        </is>
      </c>
      <c r="O526" s="3" t="n">
        <v>570</v>
      </c>
      <c r="P526" s="9" t="inlineStr">
        <is>
          <t>NSMI24050048532</t>
        </is>
      </c>
      <c r="Q526" s="53">
        <f>MID(P526,5,2)</f>
        <v/>
      </c>
      <c r="R526" s="53">
        <f>MID(P526,7,2)</f>
        <v/>
      </c>
      <c r="S526" s="3" t="inlineStr">
        <is>
          <t>G2G</t>
        </is>
      </c>
      <c r="T526" s="3" t="inlineStr">
        <is>
          <t>P4</t>
        </is>
      </c>
      <c r="U526" s="3" t="inlineStr">
        <is>
          <t>N JB Cold Soldering</t>
        </is>
      </c>
      <c r="V526" s="3" t="inlineStr">
        <is>
          <t>Soldering</t>
        </is>
      </c>
      <c r="W526" s="3" t="inlineStr">
        <is>
          <t>Repair</t>
        </is>
      </c>
      <c r="X526" s="18" t="n">
        <v>46150</v>
      </c>
      <c r="Y526" s="3">
        <f>X526-A526</f>
        <v/>
      </c>
      <c r="Z526" s="18" t="n">
        <v>46150</v>
      </c>
      <c r="AA526" s="15" t="n"/>
      <c r="AB526" s="15" t="n"/>
    </row>
    <row r="527" hidden="1" s="233">
      <c r="A527" s="6" t="n">
        <v>46107</v>
      </c>
      <c r="B527" s="3" t="n">
        <v>2026</v>
      </c>
      <c r="C527" s="3" t="inlineStr">
        <is>
          <t>Blupine</t>
        </is>
      </c>
      <c r="D527" s="3" t="inlineStr">
        <is>
          <t>Utility and C&amp;I</t>
        </is>
      </c>
      <c r="E527" s="3" t="n"/>
      <c r="F527" s="3" t="inlineStr">
        <is>
          <t>Closed</t>
        </is>
      </c>
      <c r="G527" s="3" t="inlineStr">
        <is>
          <t>Chandrashekar Patidar</t>
        </is>
      </c>
      <c r="H527" s="3" t="n">
        <v>7879764773</v>
      </c>
      <c r="I527" s="11" t="inlineStr">
        <is>
          <t>PE26032601</t>
        </is>
      </c>
      <c r="J527" s="3" t="inlineStr">
        <is>
          <t>Module Diode Failure</t>
        </is>
      </c>
      <c r="K527" s="3" t="inlineStr">
        <is>
          <t>Sadla</t>
        </is>
      </c>
      <c r="L527" s="3" t="inlineStr">
        <is>
          <t>Gujarat</t>
        </is>
      </c>
      <c r="M527" s="9" t="inlineStr">
        <is>
          <t>PR</t>
        </is>
      </c>
      <c r="N527" s="3" t="inlineStr">
        <is>
          <t>JB Issue</t>
        </is>
      </c>
      <c r="O527" s="3" t="n">
        <v>570</v>
      </c>
      <c r="P527" s="9" t="inlineStr">
        <is>
          <t>NSMI24050047142</t>
        </is>
      </c>
      <c r="Q527" s="53">
        <f>MID(P527,5,2)</f>
        <v/>
      </c>
      <c r="R527" s="53">
        <f>MID(P527,7,2)</f>
        <v/>
      </c>
      <c r="S527" s="3" t="inlineStr">
        <is>
          <t>G2G</t>
        </is>
      </c>
      <c r="T527" s="3" t="inlineStr">
        <is>
          <t>P4</t>
        </is>
      </c>
      <c r="U527" s="3" t="inlineStr">
        <is>
          <t>P JB Issue</t>
        </is>
      </c>
      <c r="V527" s="15" t="inlineStr">
        <is>
          <t>JB Changed</t>
        </is>
      </c>
      <c r="W527" s="3" t="inlineStr">
        <is>
          <t>Repair</t>
        </is>
      </c>
      <c r="X527" s="18" t="n">
        <v>46150</v>
      </c>
      <c r="Y527" s="3">
        <f>X527-A527</f>
        <v/>
      </c>
      <c r="Z527" s="18" t="n">
        <v>46150</v>
      </c>
      <c r="AA527" s="15" t="n"/>
      <c r="AB527" s="15" t="n"/>
    </row>
    <row r="528" hidden="1" s="233">
      <c r="A528" s="6" t="n">
        <v>46107</v>
      </c>
      <c r="B528" s="3" t="n">
        <v>2026</v>
      </c>
      <c r="C528" s="3" t="inlineStr">
        <is>
          <t>Blupine</t>
        </is>
      </c>
      <c r="D528" s="3" t="inlineStr">
        <is>
          <t>Utility and C&amp;I</t>
        </is>
      </c>
      <c r="E528" s="3" t="n"/>
      <c r="F528" s="3" t="inlineStr">
        <is>
          <t>Closed</t>
        </is>
      </c>
      <c r="G528" s="3" t="inlineStr">
        <is>
          <t>Chandrashekar Patidar</t>
        </is>
      </c>
      <c r="H528" s="3" t="n">
        <v>7879764773</v>
      </c>
      <c r="I528" s="11" t="inlineStr">
        <is>
          <t>PE26032601</t>
        </is>
      </c>
      <c r="J528" s="3" t="inlineStr">
        <is>
          <t>Module Diode Failure</t>
        </is>
      </c>
      <c r="K528" s="3" t="inlineStr">
        <is>
          <t>Sadla</t>
        </is>
      </c>
      <c r="L528" s="3" t="inlineStr">
        <is>
          <t>Gujarat</t>
        </is>
      </c>
      <c r="M528" s="9" t="inlineStr">
        <is>
          <t>NR</t>
        </is>
      </c>
      <c r="N528" s="3" t="inlineStr">
        <is>
          <t>JB Issue</t>
        </is>
      </c>
      <c r="O528" s="3" t="n">
        <v>570</v>
      </c>
      <c r="P528" s="9" t="inlineStr">
        <is>
          <t>NSMI24050048705</t>
        </is>
      </c>
      <c r="Q528" s="53">
        <f>MID(P528,5,2)</f>
        <v/>
      </c>
      <c r="R528" s="53">
        <f>MID(P528,7,2)</f>
        <v/>
      </c>
      <c r="S528" s="3" t="inlineStr">
        <is>
          <t>G2G</t>
        </is>
      </c>
      <c r="T528" s="3" t="inlineStr">
        <is>
          <t>P4</t>
        </is>
      </c>
      <c r="U528" s="3" t="inlineStr">
        <is>
          <t>N JB Issue</t>
        </is>
      </c>
      <c r="V528" s="3" t="inlineStr">
        <is>
          <t>JB Changed</t>
        </is>
      </c>
      <c r="W528" s="3" t="inlineStr">
        <is>
          <t>Repair</t>
        </is>
      </c>
      <c r="X528" s="18" t="n">
        <v>46150</v>
      </c>
      <c r="Y528" s="3">
        <f>X528-A528</f>
        <v/>
      </c>
      <c r="Z528" s="18" t="n">
        <v>46150</v>
      </c>
      <c r="AA528" s="15" t="n"/>
      <c r="AB528" s="15" t="n"/>
    </row>
    <row r="529" hidden="1" s="233">
      <c r="A529" s="6" t="n">
        <v>46107</v>
      </c>
      <c r="B529" s="3" t="n">
        <v>2026</v>
      </c>
      <c r="C529" s="3" t="inlineStr">
        <is>
          <t>Blupine</t>
        </is>
      </c>
      <c r="D529" s="3" t="inlineStr">
        <is>
          <t>Utility and C&amp;I</t>
        </is>
      </c>
      <c r="E529" s="3" t="n"/>
      <c r="F529" s="3" t="inlineStr">
        <is>
          <t>Closed</t>
        </is>
      </c>
      <c r="G529" s="3" t="inlineStr">
        <is>
          <t>Chandrashekar Patidar</t>
        </is>
      </c>
      <c r="H529" s="3" t="n">
        <v>7879764773</v>
      </c>
      <c r="I529" s="11" t="inlineStr">
        <is>
          <t>PE26032601</t>
        </is>
      </c>
      <c r="J529" s="3" t="inlineStr">
        <is>
          <t>Module Diode Failure</t>
        </is>
      </c>
      <c r="K529" s="3" t="inlineStr">
        <is>
          <t>Sadla</t>
        </is>
      </c>
      <c r="L529" s="3" t="inlineStr">
        <is>
          <t>Gujarat</t>
        </is>
      </c>
      <c r="M529" s="9" t="inlineStr">
        <is>
          <t xml:space="preserve">NS </t>
        </is>
      </c>
      <c r="N529" s="3" t="inlineStr">
        <is>
          <t>Cold Soldering</t>
        </is>
      </c>
      <c r="O529" s="3" t="n">
        <v>570</v>
      </c>
      <c r="P529" s="9" t="inlineStr">
        <is>
          <t>NSMI24050048232</t>
        </is>
      </c>
      <c r="Q529" s="53">
        <f>MID(P529,5,2)</f>
        <v/>
      </c>
      <c r="R529" s="53">
        <f>MID(P529,7,2)</f>
        <v/>
      </c>
      <c r="S529" s="3" t="inlineStr">
        <is>
          <t>G2G</t>
        </is>
      </c>
      <c r="T529" s="3" t="inlineStr">
        <is>
          <t>P4</t>
        </is>
      </c>
      <c r="U529" s="3" t="inlineStr">
        <is>
          <t>N JB Cold Soldering</t>
        </is>
      </c>
      <c r="V529" s="3" t="inlineStr">
        <is>
          <t>Soldering</t>
        </is>
      </c>
      <c r="W529" s="3" t="inlineStr">
        <is>
          <t>Repair</t>
        </is>
      </c>
      <c r="X529" s="18" t="n">
        <v>46150</v>
      </c>
      <c r="Y529" s="3">
        <f>X529-A529</f>
        <v/>
      </c>
      <c r="Z529" s="18" t="n">
        <v>46150</v>
      </c>
      <c r="AA529" s="15" t="n"/>
      <c r="AB529" s="15" t="n"/>
    </row>
    <row r="530" hidden="1" s="233">
      <c r="A530" s="6" t="n">
        <v>46107</v>
      </c>
      <c r="B530" s="3" t="n">
        <v>2026</v>
      </c>
      <c r="C530" s="3" t="inlineStr">
        <is>
          <t>Blupine</t>
        </is>
      </c>
      <c r="D530" s="3" t="inlineStr">
        <is>
          <t>Utility and C&amp;I</t>
        </is>
      </c>
      <c r="E530" s="3" t="n"/>
      <c r="F530" s="3" t="inlineStr">
        <is>
          <t>Closed</t>
        </is>
      </c>
      <c r="G530" s="3" t="inlineStr">
        <is>
          <t>Chandrashekar Patidar</t>
        </is>
      </c>
      <c r="H530" s="3" t="n">
        <v>7879764773</v>
      </c>
      <c r="I530" s="11" t="inlineStr">
        <is>
          <t>PE26032601</t>
        </is>
      </c>
      <c r="J530" s="3" t="inlineStr">
        <is>
          <t>Module Diode Failure</t>
        </is>
      </c>
      <c r="K530" s="3" t="inlineStr">
        <is>
          <t>Sadla</t>
        </is>
      </c>
      <c r="L530" s="3" t="inlineStr">
        <is>
          <t>Gujarat</t>
        </is>
      </c>
      <c r="M530" s="9" t="inlineStr">
        <is>
          <t>NS</t>
        </is>
      </c>
      <c r="N530" s="3" t="inlineStr">
        <is>
          <t>Cold Soldering</t>
        </is>
      </c>
      <c r="O530" s="3" t="n">
        <v>570</v>
      </c>
      <c r="P530" s="9" t="inlineStr">
        <is>
          <t>NSMI24050046626</t>
        </is>
      </c>
      <c r="Q530" s="53">
        <f>MID(P530,5,2)</f>
        <v/>
      </c>
      <c r="R530" s="53">
        <f>MID(P530,7,2)</f>
        <v/>
      </c>
      <c r="S530" s="3" t="inlineStr">
        <is>
          <t>G2G</t>
        </is>
      </c>
      <c r="T530" s="3" t="inlineStr">
        <is>
          <t>P4</t>
        </is>
      </c>
      <c r="U530" s="3" t="inlineStr">
        <is>
          <t>N JB Cold Soldering &amp; Glass Breakage</t>
        </is>
      </c>
      <c r="V530" s="3" t="inlineStr">
        <is>
          <t>Soldering</t>
        </is>
      </c>
      <c r="W530" s="3" t="inlineStr">
        <is>
          <t>Repair</t>
        </is>
      </c>
      <c r="X530" s="18" t="n">
        <v>46150</v>
      </c>
      <c r="Y530" s="3">
        <f>X530-A530</f>
        <v/>
      </c>
      <c r="Z530" s="18" t="n">
        <v>46150</v>
      </c>
      <c r="AA530" s="15" t="n"/>
      <c r="AB530" s="15" t="n"/>
    </row>
    <row r="531" hidden="1" s="233">
      <c r="A531" s="6" t="n">
        <v>46107</v>
      </c>
      <c r="B531" s="3" t="n">
        <v>2026</v>
      </c>
      <c r="C531" s="3" t="inlineStr">
        <is>
          <t>Blupine</t>
        </is>
      </c>
      <c r="D531" s="3" t="inlineStr">
        <is>
          <t>Utility and C&amp;I</t>
        </is>
      </c>
      <c r="E531" s="3" t="n"/>
      <c r="F531" s="3" t="inlineStr">
        <is>
          <t>Closed</t>
        </is>
      </c>
      <c r="G531" s="3" t="inlineStr">
        <is>
          <t>Chandrashekar Patidar</t>
        </is>
      </c>
      <c r="H531" s="3" t="n">
        <v>7879764773</v>
      </c>
      <c r="I531" s="11" t="inlineStr">
        <is>
          <t>PE26032601</t>
        </is>
      </c>
      <c r="J531" s="3" t="inlineStr">
        <is>
          <t>Module Diode Failure</t>
        </is>
      </c>
      <c r="K531" s="3" t="inlineStr">
        <is>
          <t>Sadla</t>
        </is>
      </c>
      <c r="L531" s="3" t="inlineStr">
        <is>
          <t>Gujarat</t>
        </is>
      </c>
      <c r="M531" s="9" t="inlineStr">
        <is>
          <t>NS</t>
        </is>
      </c>
      <c r="N531" s="3" t="inlineStr">
        <is>
          <t>Cold Soldering</t>
        </is>
      </c>
      <c r="O531" s="3" t="n">
        <v>570</v>
      </c>
      <c r="P531" s="9" t="inlineStr">
        <is>
          <t>NSMI24060079494</t>
        </is>
      </c>
      <c r="Q531" s="53">
        <f>MID(P531,5,2)</f>
        <v/>
      </c>
      <c r="R531" s="53">
        <f>MID(P531,7,2)</f>
        <v/>
      </c>
      <c r="S531" s="3" t="inlineStr">
        <is>
          <t>G2G</t>
        </is>
      </c>
      <c r="T531" s="3" t="inlineStr">
        <is>
          <t>P4</t>
        </is>
      </c>
      <c r="U531" s="3" t="inlineStr">
        <is>
          <t>N JB Cold Soldering &amp; Glass Breakage</t>
        </is>
      </c>
      <c r="V531" s="3" t="inlineStr">
        <is>
          <t>Soldering</t>
        </is>
      </c>
      <c r="W531" s="3" t="inlineStr">
        <is>
          <t>Repair</t>
        </is>
      </c>
      <c r="X531" s="18" t="n">
        <v>46150</v>
      </c>
      <c r="Y531" s="3">
        <f>X531-A531</f>
        <v/>
      </c>
      <c r="Z531" s="18" t="n">
        <v>46150</v>
      </c>
      <c r="AA531" s="15" t="n"/>
      <c r="AB531" s="15" t="n"/>
    </row>
    <row r="532" hidden="1" s="233">
      <c r="A532" s="6" t="n">
        <v>46107</v>
      </c>
      <c r="B532" s="3" t="n">
        <v>2026</v>
      </c>
      <c r="C532" s="3" t="inlineStr">
        <is>
          <t>Blupine</t>
        </is>
      </c>
      <c r="D532" s="3" t="inlineStr">
        <is>
          <t>Utility and C&amp;I</t>
        </is>
      </c>
      <c r="E532" s="3" t="n"/>
      <c r="F532" s="3" t="inlineStr">
        <is>
          <t>Closed</t>
        </is>
      </c>
      <c r="G532" s="3" t="inlineStr">
        <is>
          <t>Chandrashekar Patidar</t>
        </is>
      </c>
      <c r="H532" s="3" t="n">
        <v>7879764773</v>
      </c>
      <c r="I532" s="11" t="inlineStr">
        <is>
          <t>PE26032601</t>
        </is>
      </c>
      <c r="J532" s="3" t="inlineStr">
        <is>
          <t>Module Diode Failure</t>
        </is>
      </c>
      <c r="K532" s="3" t="inlineStr">
        <is>
          <t>Sadla</t>
        </is>
      </c>
      <c r="L532" s="3" t="inlineStr">
        <is>
          <t>Gujarat</t>
        </is>
      </c>
      <c r="M532" s="9" t="inlineStr">
        <is>
          <t xml:space="preserve">PNS </t>
        </is>
      </c>
      <c r="N532" s="3" t="inlineStr">
        <is>
          <t>Cold Soldering</t>
        </is>
      </c>
      <c r="O532" s="3" t="n">
        <v>570</v>
      </c>
      <c r="P532" s="9" t="inlineStr">
        <is>
          <t>NSMI24060076291</t>
        </is>
      </c>
      <c r="Q532" s="53">
        <f>MID(P532,5,2)</f>
        <v/>
      </c>
      <c r="R532" s="53">
        <f>MID(P532,7,2)</f>
        <v/>
      </c>
      <c r="S532" s="3" t="inlineStr">
        <is>
          <t>G2G</t>
        </is>
      </c>
      <c r="T532" s="3" t="inlineStr">
        <is>
          <t>P4</t>
        </is>
      </c>
      <c r="U532" s="3" t="inlineStr">
        <is>
          <t>P &amp; N JB Cold Soldering</t>
        </is>
      </c>
      <c r="V532" s="3" t="inlineStr">
        <is>
          <t>Soldering</t>
        </is>
      </c>
      <c r="W532" s="3" t="inlineStr">
        <is>
          <t>Repair</t>
        </is>
      </c>
      <c r="X532" s="18" t="n">
        <v>46150</v>
      </c>
      <c r="Y532" s="3">
        <f>X532-A532</f>
        <v/>
      </c>
      <c r="Z532" s="18" t="n">
        <v>46150</v>
      </c>
      <c r="AA532" s="15" t="n"/>
      <c r="AB532" s="15" t="n"/>
    </row>
    <row r="533" hidden="1" s="233">
      <c r="A533" s="6" t="n">
        <v>46107</v>
      </c>
      <c r="B533" s="3" t="n">
        <v>2026</v>
      </c>
      <c r="C533" s="3" t="inlineStr">
        <is>
          <t>Blupine</t>
        </is>
      </c>
      <c r="D533" s="3" t="inlineStr">
        <is>
          <t>Utility and C&amp;I</t>
        </is>
      </c>
      <c r="E533" s="3" t="n"/>
      <c r="F533" s="3" t="inlineStr">
        <is>
          <t>Closed</t>
        </is>
      </c>
      <c r="G533" s="3" t="inlineStr">
        <is>
          <t>Chandrashekar Patidar</t>
        </is>
      </c>
      <c r="H533" s="3" t="n">
        <v>7879764773</v>
      </c>
      <c r="I533" s="11" t="inlineStr">
        <is>
          <t>PE26032601</t>
        </is>
      </c>
      <c r="J533" s="3" t="inlineStr">
        <is>
          <t>Module Diode Failure</t>
        </is>
      </c>
      <c r="K533" s="3" t="inlineStr">
        <is>
          <t>Sadla</t>
        </is>
      </c>
      <c r="L533" s="3" t="inlineStr">
        <is>
          <t>Gujarat</t>
        </is>
      </c>
      <c r="M533" s="9" t="inlineStr">
        <is>
          <t xml:space="preserve">NS </t>
        </is>
      </c>
      <c r="N533" s="3" t="inlineStr">
        <is>
          <t>Cold Soldering</t>
        </is>
      </c>
      <c r="O533" s="3" t="n">
        <v>570</v>
      </c>
      <c r="P533" s="9" t="inlineStr">
        <is>
          <t>NSMI24060122472</t>
        </is>
      </c>
      <c r="Q533" s="53">
        <f>MID(P533,5,2)</f>
        <v/>
      </c>
      <c r="R533" s="53">
        <f>MID(P533,7,2)</f>
        <v/>
      </c>
      <c r="S533" s="3" t="inlineStr">
        <is>
          <t>G2G</t>
        </is>
      </c>
      <c r="T533" s="3" t="inlineStr">
        <is>
          <t>P4</t>
        </is>
      </c>
      <c r="U533" s="3" t="inlineStr">
        <is>
          <t>N JB Cold Soldering</t>
        </is>
      </c>
      <c r="V533" s="3" t="inlineStr">
        <is>
          <t>Soldering</t>
        </is>
      </c>
      <c r="W533" s="3" t="inlineStr">
        <is>
          <t>Repair</t>
        </is>
      </c>
      <c r="X533" s="18" t="n">
        <v>46150</v>
      </c>
      <c r="Y533" s="3">
        <f>X533-A533</f>
        <v/>
      </c>
      <c r="Z533" s="18" t="n">
        <v>46150</v>
      </c>
      <c r="AA533" s="15" t="n"/>
      <c r="AB533" s="15" t="n"/>
    </row>
    <row r="534" hidden="1" s="233">
      <c r="A534" s="6" t="n">
        <v>46107</v>
      </c>
      <c r="B534" s="3" t="n">
        <v>2026</v>
      </c>
      <c r="C534" s="3" t="inlineStr">
        <is>
          <t>Blupine</t>
        </is>
      </c>
      <c r="D534" s="3" t="inlineStr">
        <is>
          <t>Utility and C&amp;I</t>
        </is>
      </c>
      <c r="E534" s="3" t="n"/>
      <c r="F534" s="3" t="inlineStr">
        <is>
          <t>Closed</t>
        </is>
      </c>
      <c r="G534" s="3" t="inlineStr">
        <is>
          <t>Chandrashekar Patidar</t>
        </is>
      </c>
      <c r="H534" s="3" t="n">
        <v>7879764773</v>
      </c>
      <c r="I534" s="11" t="inlineStr">
        <is>
          <t>PE26032601</t>
        </is>
      </c>
      <c r="J534" s="3" t="inlineStr">
        <is>
          <t>Module Diode Failure</t>
        </is>
      </c>
      <c r="K534" s="3" t="inlineStr">
        <is>
          <t>Sadla</t>
        </is>
      </c>
      <c r="L534" s="3" t="inlineStr">
        <is>
          <t>Gujarat</t>
        </is>
      </c>
      <c r="M534" s="9" t="inlineStr">
        <is>
          <t>PR</t>
        </is>
      </c>
      <c r="N534" s="3" t="inlineStr">
        <is>
          <t>JB Issue</t>
        </is>
      </c>
      <c r="O534" s="3" t="n">
        <v>570</v>
      </c>
      <c r="P534" s="9" t="inlineStr">
        <is>
          <t>NSMI24060122474</t>
        </is>
      </c>
      <c r="Q534" s="53">
        <f>MID(P534,5,2)</f>
        <v/>
      </c>
      <c r="R534" s="53">
        <f>MID(P534,7,2)</f>
        <v/>
      </c>
      <c r="S534" s="3" t="inlineStr">
        <is>
          <t>G2G</t>
        </is>
      </c>
      <c r="T534" s="3" t="inlineStr">
        <is>
          <t>P4</t>
        </is>
      </c>
      <c r="U534" s="3" t="inlineStr">
        <is>
          <t>P JB Issue</t>
        </is>
      </c>
      <c r="V534" s="15" t="inlineStr">
        <is>
          <t>JB Changed</t>
        </is>
      </c>
      <c r="W534" s="3" t="inlineStr">
        <is>
          <t>Repair</t>
        </is>
      </c>
      <c r="X534" s="18" t="n">
        <v>46150</v>
      </c>
      <c r="Y534" s="3">
        <f>X534-A534</f>
        <v/>
      </c>
      <c r="Z534" s="18" t="n">
        <v>46150</v>
      </c>
      <c r="AA534" s="15" t="n"/>
      <c r="AB534" s="15" t="n"/>
    </row>
    <row r="535" hidden="1" s="233">
      <c r="A535" s="6" t="n">
        <v>46107</v>
      </c>
      <c r="B535" s="3" t="n">
        <v>2026</v>
      </c>
      <c r="C535" s="3" t="inlineStr">
        <is>
          <t>Blupine</t>
        </is>
      </c>
      <c r="D535" s="3" t="inlineStr">
        <is>
          <t>Utility and C&amp;I</t>
        </is>
      </c>
      <c r="E535" s="3" t="n"/>
      <c r="F535" s="3" t="inlineStr">
        <is>
          <t>Closed</t>
        </is>
      </c>
      <c r="G535" s="3" t="inlineStr">
        <is>
          <t>Chandrashekar Patidar</t>
        </is>
      </c>
      <c r="H535" s="3" t="n">
        <v>7879764773</v>
      </c>
      <c r="I535" s="11" t="inlineStr">
        <is>
          <t>PE26032601</t>
        </is>
      </c>
      <c r="J535" s="3" t="inlineStr">
        <is>
          <t>Module Diode Failure</t>
        </is>
      </c>
      <c r="K535" s="3" t="inlineStr">
        <is>
          <t>Sadla</t>
        </is>
      </c>
      <c r="L535" s="3" t="inlineStr">
        <is>
          <t>Gujarat</t>
        </is>
      </c>
      <c r="M535" s="9" t="inlineStr">
        <is>
          <t xml:space="preserve">PNS </t>
        </is>
      </c>
      <c r="N535" s="3" t="inlineStr">
        <is>
          <t>Cold Soldering</t>
        </is>
      </c>
      <c r="O535" s="3" t="n">
        <v>570</v>
      </c>
      <c r="P535" s="9" t="inlineStr">
        <is>
          <t>NSMI24050047135</t>
        </is>
      </c>
      <c r="Q535" s="53">
        <f>MID(P535,5,2)</f>
        <v/>
      </c>
      <c r="R535" s="53">
        <f>MID(P535,7,2)</f>
        <v/>
      </c>
      <c r="S535" s="3" t="inlineStr">
        <is>
          <t>G2G</t>
        </is>
      </c>
      <c r="T535" s="3" t="inlineStr">
        <is>
          <t>P4</t>
        </is>
      </c>
      <c r="U535" s="3" t="inlineStr">
        <is>
          <t>P &amp; N JB Cold Soldering</t>
        </is>
      </c>
      <c r="V535" s="3" t="inlineStr">
        <is>
          <t>Soldering</t>
        </is>
      </c>
      <c r="W535" s="3" t="inlineStr">
        <is>
          <t>Repair</t>
        </is>
      </c>
      <c r="X535" s="18" t="n">
        <v>46150</v>
      </c>
      <c r="Y535" s="3">
        <f>X535-A535</f>
        <v/>
      </c>
      <c r="Z535" s="18" t="n">
        <v>46150</v>
      </c>
      <c r="AA535" s="15" t="n"/>
      <c r="AB535" s="15" t="n"/>
    </row>
    <row r="536" hidden="1" s="233">
      <c r="A536" s="6" t="n">
        <v>46107</v>
      </c>
      <c r="B536" s="3" t="n">
        <v>2026</v>
      </c>
      <c r="C536" s="3" t="inlineStr">
        <is>
          <t>Blupine</t>
        </is>
      </c>
      <c r="D536" s="3" t="inlineStr">
        <is>
          <t>Utility and C&amp;I</t>
        </is>
      </c>
      <c r="E536" s="3" t="n"/>
      <c r="F536" s="3" t="inlineStr">
        <is>
          <t>Closed</t>
        </is>
      </c>
      <c r="G536" s="3" t="inlineStr">
        <is>
          <t>Chandrashekar Patidar</t>
        </is>
      </c>
      <c r="H536" s="3" t="n">
        <v>7879764773</v>
      </c>
      <c r="I536" s="11" t="inlineStr">
        <is>
          <t>PE26032601</t>
        </is>
      </c>
      <c r="J536" s="3" t="inlineStr">
        <is>
          <t>Module Diode Failure</t>
        </is>
      </c>
      <c r="K536" s="3" t="inlineStr">
        <is>
          <t>Sadla</t>
        </is>
      </c>
      <c r="L536" s="3" t="inlineStr">
        <is>
          <t>Gujarat</t>
        </is>
      </c>
      <c r="M536" s="9" t="inlineStr">
        <is>
          <t xml:space="preserve">NS </t>
        </is>
      </c>
      <c r="N536" s="3" t="inlineStr">
        <is>
          <t>Cold Soldering</t>
        </is>
      </c>
      <c r="O536" s="3" t="n">
        <v>570</v>
      </c>
      <c r="P536" s="9" t="inlineStr">
        <is>
          <t>NSMI24050047253</t>
        </is>
      </c>
      <c r="Q536" s="53">
        <f>MID(P536,5,2)</f>
        <v/>
      </c>
      <c r="R536" s="53">
        <f>MID(P536,7,2)</f>
        <v/>
      </c>
      <c r="S536" s="3" t="inlineStr">
        <is>
          <t>G2G</t>
        </is>
      </c>
      <c r="T536" s="3" t="inlineStr">
        <is>
          <t>P4</t>
        </is>
      </c>
      <c r="U536" s="3" t="inlineStr">
        <is>
          <t>N JB Cold Soldering</t>
        </is>
      </c>
      <c r="V536" s="3" t="inlineStr">
        <is>
          <t>Soldering</t>
        </is>
      </c>
      <c r="W536" s="3" t="inlineStr">
        <is>
          <t>Repair</t>
        </is>
      </c>
      <c r="X536" s="18" t="n">
        <v>46150</v>
      </c>
      <c r="Y536" s="3">
        <f>X536-A536</f>
        <v/>
      </c>
      <c r="Z536" s="18" t="n">
        <v>46150</v>
      </c>
      <c r="AA536" s="15" t="n"/>
      <c r="AB536" s="15" t="n"/>
    </row>
    <row r="537" hidden="1" s="233">
      <c r="A537" s="6" t="n">
        <v>46107</v>
      </c>
      <c r="B537" s="3" t="n">
        <v>2026</v>
      </c>
      <c r="C537" s="3" t="inlineStr">
        <is>
          <t>Blupine</t>
        </is>
      </c>
      <c r="D537" s="3" t="inlineStr">
        <is>
          <t>Utility and C&amp;I</t>
        </is>
      </c>
      <c r="E537" s="3" t="n"/>
      <c r="F537" s="3" t="inlineStr">
        <is>
          <t>Closed</t>
        </is>
      </c>
      <c r="G537" s="3" t="inlineStr">
        <is>
          <t>Chandrashekar Patidar</t>
        </is>
      </c>
      <c r="H537" s="3" t="n">
        <v>7879764773</v>
      </c>
      <c r="I537" s="11" t="inlineStr">
        <is>
          <t>PE26032601</t>
        </is>
      </c>
      <c r="J537" s="3" t="inlineStr">
        <is>
          <t>Module Diode Failure</t>
        </is>
      </c>
      <c r="K537" s="3" t="inlineStr">
        <is>
          <t>Sadla</t>
        </is>
      </c>
      <c r="L537" s="3" t="inlineStr">
        <is>
          <t>Gujarat</t>
        </is>
      </c>
      <c r="M537" s="9" t="inlineStr">
        <is>
          <t>PR</t>
        </is>
      </c>
      <c r="N537" s="3" t="inlineStr">
        <is>
          <t>JB Issue</t>
        </is>
      </c>
      <c r="O537" s="3" t="n">
        <v>570</v>
      </c>
      <c r="P537" s="9" t="inlineStr">
        <is>
          <t>NSMI24050057401</t>
        </is>
      </c>
      <c r="Q537" s="53">
        <f>MID(P537,5,2)</f>
        <v/>
      </c>
      <c r="R537" s="53">
        <f>MID(P537,7,2)</f>
        <v/>
      </c>
      <c r="S537" s="3" t="inlineStr">
        <is>
          <t>G2G</t>
        </is>
      </c>
      <c r="T537" s="3" t="inlineStr">
        <is>
          <t>P4</t>
        </is>
      </c>
      <c r="U537" s="3" t="inlineStr">
        <is>
          <t>P JB Issue</t>
        </is>
      </c>
      <c r="V537" s="15" t="inlineStr">
        <is>
          <t>JB Changed</t>
        </is>
      </c>
      <c r="W537" s="3" t="inlineStr">
        <is>
          <t>Repair</t>
        </is>
      </c>
      <c r="X537" s="18" t="n">
        <v>46150</v>
      </c>
      <c r="Y537" s="3">
        <f>X537-A537</f>
        <v/>
      </c>
      <c r="Z537" s="18" t="n">
        <v>46150</v>
      </c>
      <c r="AA537" s="15" t="n"/>
      <c r="AB537" s="15" t="n"/>
    </row>
    <row r="538" hidden="1" s="233">
      <c r="A538" s="6" t="n">
        <v>46107</v>
      </c>
      <c r="B538" s="3" t="n">
        <v>2026</v>
      </c>
      <c r="C538" s="3" t="inlineStr">
        <is>
          <t>Blupine</t>
        </is>
      </c>
      <c r="D538" s="3" t="inlineStr">
        <is>
          <t>Utility and C&amp;I</t>
        </is>
      </c>
      <c r="E538" s="3" t="n"/>
      <c r="F538" s="3" t="inlineStr">
        <is>
          <t>Closed</t>
        </is>
      </c>
      <c r="G538" s="3" t="inlineStr">
        <is>
          <t>Chandrashekar Patidar</t>
        </is>
      </c>
      <c r="H538" s="3" t="n">
        <v>7879764773</v>
      </c>
      <c r="I538" s="11" t="inlineStr">
        <is>
          <t>PE26032601</t>
        </is>
      </c>
      <c r="J538" s="3" t="inlineStr">
        <is>
          <t>Module Diode Failure</t>
        </is>
      </c>
      <c r="K538" s="3" t="inlineStr">
        <is>
          <t>Sadla</t>
        </is>
      </c>
      <c r="L538" s="3" t="inlineStr">
        <is>
          <t>Gujarat</t>
        </is>
      </c>
      <c r="M538" s="9" t="inlineStr">
        <is>
          <t>PS</t>
        </is>
      </c>
      <c r="N538" s="3" t="inlineStr">
        <is>
          <t>Cold Soldering</t>
        </is>
      </c>
      <c r="O538" s="3" t="n">
        <v>570</v>
      </c>
      <c r="P538" s="9" t="inlineStr">
        <is>
          <t>NSMI24050047236</t>
        </is>
      </c>
      <c r="Q538" s="53">
        <f>MID(P538,5,2)</f>
        <v/>
      </c>
      <c r="R538" s="53">
        <f>MID(P538,7,2)</f>
        <v/>
      </c>
      <c r="S538" s="3" t="inlineStr">
        <is>
          <t>G2G</t>
        </is>
      </c>
      <c r="T538" s="3" t="inlineStr">
        <is>
          <t>P4</t>
        </is>
      </c>
      <c r="U538" s="3" t="inlineStr">
        <is>
          <t>P JB Cold Soldering</t>
        </is>
      </c>
      <c r="V538" s="3" t="inlineStr">
        <is>
          <t>Soldering</t>
        </is>
      </c>
      <c r="W538" s="3" t="inlineStr">
        <is>
          <t>Repair</t>
        </is>
      </c>
      <c r="X538" s="18" t="n">
        <v>46150</v>
      </c>
      <c r="Y538" s="3">
        <f>X538-A538</f>
        <v/>
      </c>
      <c r="Z538" s="18" t="n">
        <v>46150</v>
      </c>
      <c r="AA538" s="15" t="n"/>
      <c r="AB538" s="15" t="n"/>
    </row>
    <row r="539" hidden="1" s="233">
      <c r="A539" s="6" t="n">
        <v>46107</v>
      </c>
      <c r="B539" s="3" t="n">
        <v>2026</v>
      </c>
      <c r="C539" s="3" t="inlineStr">
        <is>
          <t>Blupine</t>
        </is>
      </c>
      <c r="D539" s="3" t="inlineStr">
        <is>
          <t>Utility and C&amp;I</t>
        </is>
      </c>
      <c r="E539" s="3" t="n"/>
      <c r="F539" s="3" t="inlineStr">
        <is>
          <t>Closed</t>
        </is>
      </c>
      <c r="G539" s="3" t="inlineStr">
        <is>
          <t>Chandrashekar Patidar</t>
        </is>
      </c>
      <c r="H539" s="3" t="n">
        <v>7879764773</v>
      </c>
      <c r="I539" s="11" t="inlineStr">
        <is>
          <t>PE26032601</t>
        </is>
      </c>
      <c r="J539" s="3" t="inlineStr">
        <is>
          <t>Module Diode Failure</t>
        </is>
      </c>
      <c r="K539" s="3" t="inlineStr">
        <is>
          <t>Sadla</t>
        </is>
      </c>
      <c r="L539" s="3" t="inlineStr">
        <is>
          <t>Gujarat</t>
        </is>
      </c>
      <c r="M539" s="9" t="inlineStr">
        <is>
          <t xml:space="preserve">NS </t>
        </is>
      </c>
      <c r="N539" s="3" t="inlineStr">
        <is>
          <t>Cold Soldering</t>
        </is>
      </c>
      <c r="O539" s="3" t="n">
        <v>570</v>
      </c>
      <c r="P539" s="9" t="inlineStr">
        <is>
          <t>NSMI24050047128</t>
        </is>
      </c>
      <c r="Q539" s="53">
        <f>MID(P539,5,2)</f>
        <v/>
      </c>
      <c r="R539" s="53">
        <f>MID(P539,7,2)</f>
        <v/>
      </c>
      <c r="S539" s="3" t="inlineStr">
        <is>
          <t>G2G</t>
        </is>
      </c>
      <c r="T539" s="3" t="inlineStr">
        <is>
          <t>P4</t>
        </is>
      </c>
      <c r="U539" s="3" t="inlineStr">
        <is>
          <t>N JB Cold Soldering</t>
        </is>
      </c>
      <c r="V539" s="3" t="inlineStr">
        <is>
          <t>Soldering</t>
        </is>
      </c>
      <c r="W539" s="3" t="inlineStr">
        <is>
          <t>Repair</t>
        </is>
      </c>
      <c r="X539" s="18" t="n">
        <v>46150</v>
      </c>
      <c r="Y539" s="3">
        <f>X539-A539</f>
        <v/>
      </c>
      <c r="Z539" s="18" t="n">
        <v>46150</v>
      </c>
      <c r="AA539" s="15" t="n"/>
      <c r="AB539" s="15" t="n"/>
    </row>
    <row r="540" hidden="1" s="233">
      <c r="A540" s="6" t="n">
        <v>46107</v>
      </c>
      <c r="B540" s="3" t="n">
        <v>2026</v>
      </c>
      <c r="C540" s="3" t="inlineStr">
        <is>
          <t>Blupine</t>
        </is>
      </c>
      <c r="D540" s="3" t="inlineStr">
        <is>
          <t>Utility and C&amp;I</t>
        </is>
      </c>
      <c r="E540" s="3" t="n"/>
      <c r="F540" s="3" t="inlineStr">
        <is>
          <t>Closed</t>
        </is>
      </c>
      <c r="G540" s="3" t="inlineStr">
        <is>
          <t>Chandrashekar Patidar</t>
        </is>
      </c>
      <c r="H540" s="3" t="n">
        <v>7879764773</v>
      </c>
      <c r="I540" s="11" t="inlineStr">
        <is>
          <t>PE26032601</t>
        </is>
      </c>
      <c r="J540" s="3" t="inlineStr">
        <is>
          <t>Module Diode Failure</t>
        </is>
      </c>
      <c r="K540" s="3" t="inlineStr">
        <is>
          <t>Sadla</t>
        </is>
      </c>
      <c r="L540" s="3" t="inlineStr">
        <is>
          <t>Gujarat</t>
        </is>
      </c>
      <c r="M540" s="9" t="inlineStr">
        <is>
          <t xml:space="preserve">NS </t>
        </is>
      </c>
      <c r="N540" s="3" t="inlineStr">
        <is>
          <t>Cold Soldering</t>
        </is>
      </c>
      <c r="O540" s="3" t="n">
        <v>570</v>
      </c>
      <c r="P540" s="9" t="inlineStr">
        <is>
          <t>NSMI24050049193</t>
        </is>
      </c>
      <c r="Q540" s="53">
        <f>MID(P540,5,2)</f>
        <v/>
      </c>
      <c r="R540" s="53">
        <f>MID(P540,7,2)</f>
        <v/>
      </c>
      <c r="S540" s="3" t="inlineStr">
        <is>
          <t>G2G</t>
        </is>
      </c>
      <c r="T540" s="3" t="inlineStr">
        <is>
          <t>P4</t>
        </is>
      </c>
      <c r="U540" s="3" t="inlineStr">
        <is>
          <t>N JB Cold Soldering</t>
        </is>
      </c>
      <c r="V540" s="3" t="inlineStr">
        <is>
          <t>Soldering</t>
        </is>
      </c>
      <c r="W540" s="3" t="inlineStr">
        <is>
          <t>Repair</t>
        </is>
      </c>
      <c r="X540" s="18" t="n">
        <v>46150</v>
      </c>
      <c r="Y540" s="3">
        <f>X540-A540</f>
        <v/>
      </c>
      <c r="Z540" s="18" t="n">
        <v>46150</v>
      </c>
      <c r="AA540" s="15" t="n"/>
      <c r="AB540" s="15" t="n"/>
    </row>
    <row r="541" hidden="1" s="233">
      <c r="A541" s="6" t="n">
        <v>46107</v>
      </c>
      <c r="B541" s="3" t="n">
        <v>2026</v>
      </c>
      <c r="C541" s="3" t="inlineStr">
        <is>
          <t>Blupine</t>
        </is>
      </c>
      <c r="D541" s="3" t="inlineStr">
        <is>
          <t>Utility and C&amp;I</t>
        </is>
      </c>
      <c r="E541" s="3" t="n"/>
      <c r="F541" s="3" t="inlineStr">
        <is>
          <t>Closed</t>
        </is>
      </c>
      <c r="G541" s="3" t="inlineStr">
        <is>
          <t>Chandrashekar Patidar</t>
        </is>
      </c>
      <c r="H541" s="3" t="n">
        <v>7879764773</v>
      </c>
      <c r="I541" s="11" t="inlineStr">
        <is>
          <t>PE26032601</t>
        </is>
      </c>
      <c r="J541" s="3" t="inlineStr">
        <is>
          <t>Module Diode Failure</t>
        </is>
      </c>
      <c r="K541" s="3" t="inlineStr">
        <is>
          <t>Sadla</t>
        </is>
      </c>
      <c r="L541" s="3" t="inlineStr">
        <is>
          <t>Gujarat</t>
        </is>
      </c>
      <c r="M541" s="9" t="inlineStr">
        <is>
          <t xml:space="preserve">PNS </t>
        </is>
      </c>
      <c r="N541" s="3" t="inlineStr">
        <is>
          <t>Cold Soldering</t>
        </is>
      </c>
      <c r="O541" s="3" t="n">
        <v>570</v>
      </c>
      <c r="P541" s="9" t="inlineStr">
        <is>
          <t>NSMI24050049165</t>
        </is>
      </c>
      <c r="Q541" s="53">
        <f>MID(P541,5,2)</f>
        <v/>
      </c>
      <c r="R541" s="53">
        <f>MID(P541,7,2)</f>
        <v/>
      </c>
      <c r="S541" s="3" t="inlineStr">
        <is>
          <t>G2G</t>
        </is>
      </c>
      <c r="T541" s="3" t="inlineStr">
        <is>
          <t>P4</t>
        </is>
      </c>
      <c r="U541" s="3" t="inlineStr">
        <is>
          <t>P &amp; N JB Cold Soldering</t>
        </is>
      </c>
      <c r="V541" s="3" t="inlineStr">
        <is>
          <t>Soldering</t>
        </is>
      </c>
      <c r="W541" s="3" t="inlineStr">
        <is>
          <t>Repair</t>
        </is>
      </c>
      <c r="X541" s="18" t="n">
        <v>46150</v>
      </c>
      <c r="Y541" s="3">
        <f>X541-A541</f>
        <v/>
      </c>
      <c r="Z541" s="18" t="n">
        <v>46150</v>
      </c>
      <c r="AA541" s="15" t="n"/>
      <c r="AB541" s="15" t="n"/>
    </row>
    <row r="542" hidden="1" s="233">
      <c r="A542" s="6" t="n">
        <v>46107</v>
      </c>
      <c r="B542" s="3" t="n">
        <v>2026</v>
      </c>
      <c r="C542" s="3" t="inlineStr">
        <is>
          <t>Blupine</t>
        </is>
      </c>
      <c r="D542" s="3" t="inlineStr">
        <is>
          <t>Utility and C&amp;I</t>
        </is>
      </c>
      <c r="E542" s="3" t="n"/>
      <c r="F542" s="3" t="inlineStr">
        <is>
          <t>Closed</t>
        </is>
      </c>
      <c r="G542" s="3" t="inlineStr">
        <is>
          <t>Chandrashekar Patidar</t>
        </is>
      </c>
      <c r="H542" s="3" t="n">
        <v>7879764773</v>
      </c>
      <c r="I542" s="11" t="inlineStr">
        <is>
          <t>PE26032601</t>
        </is>
      </c>
      <c r="J542" s="3" t="inlineStr">
        <is>
          <t>Module Diode Failure</t>
        </is>
      </c>
      <c r="K542" s="3" t="inlineStr">
        <is>
          <t>Sadla</t>
        </is>
      </c>
      <c r="L542" s="3" t="inlineStr">
        <is>
          <t>Gujarat</t>
        </is>
      </c>
      <c r="M542" s="9" t="inlineStr">
        <is>
          <t xml:space="preserve">NS </t>
        </is>
      </c>
      <c r="N542" s="3" t="inlineStr">
        <is>
          <t>Cold Soldering</t>
        </is>
      </c>
      <c r="O542" s="3" t="n">
        <v>570</v>
      </c>
      <c r="P542" s="9" t="inlineStr">
        <is>
          <t>NSMI24060097427</t>
        </is>
      </c>
      <c r="Q542" s="53">
        <f>MID(P542,5,2)</f>
        <v/>
      </c>
      <c r="R542" s="53">
        <f>MID(P542,7,2)</f>
        <v/>
      </c>
      <c r="S542" s="3" t="inlineStr">
        <is>
          <t>G2G</t>
        </is>
      </c>
      <c r="T542" s="3" t="inlineStr">
        <is>
          <t>P4</t>
        </is>
      </c>
      <c r="U542" s="3" t="inlineStr">
        <is>
          <t>N JB Cold Soldering</t>
        </is>
      </c>
      <c r="V542" s="3" t="inlineStr">
        <is>
          <t>Soldering</t>
        </is>
      </c>
      <c r="W542" s="3" t="inlineStr">
        <is>
          <t>Repair</t>
        </is>
      </c>
      <c r="X542" s="18" t="n">
        <v>46150</v>
      </c>
      <c r="Y542" s="3">
        <f>X542-A542</f>
        <v/>
      </c>
      <c r="Z542" s="18" t="n">
        <v>46150</v>
      </c>
      <c r="AA542" s="15" t="n"/>
      <c r="AB542" s="15" t="n"/>
    </row>
    <row r="543" hidden="1" s="233">
      <c r="A543" s="6" t="n">
        <v>46107</v>
      </c>
      <c r="B543" s="3" t="n">
        <v>2026</v>
      </c>
      <c r="C543" s="3" t="inlineStr">
        <is>
          <t>Blupine</t>
        </is>
      </c>
      <c r="D543" s="3" t="inlineStr">
        <is>
          <t>Utility and C&amp;I</t>
        </is>
      </c>
      <c r="E543" s="3" t="n"/>
      <c r="F543" s="3" t="inlineStr">
        <is>
          <t>Closed</t>
        </is>
      </c>
      <c r="G543" s="3" t="inlineStr">
        <is>
          <t>Chandrashekar Patidar</t>
        </is>
      </c>
      <c r="H543" s="3" t="n">
        <v>7879764773</v>
      </c>
      <c r="I543" s="11" t="inlineStr">
        <is>
          <t>PE26032601</t>
        </is>
      </c>
      <c r="J543" s="3" t="inlineStr">
        <is>
          <t>Module Diode Failure</t>
        </is>
      </c>
      <c r="K543" s="3" t="inlineStr">
        <is>
          <t>Sadla</t>
        </is>
      </c>
      <c r="L543" s="3" t="inlineStr">
        <is>
          <t>Gujarat</t>
        </is>
      </c>
      <c r="M543" s="9" t="inlineStr">
        <is>
          <t>PS</t>
        </is>
      </c>
      <c r="N543" s="3" t="inlineStr">
        <is>
          <t>Cold Soldering</t>
        </is>
      </c>
      <c r="O543" s="3" t="n">
        <v>570</v>
      </c>
      <c r="P543" s="9" t="inlineStr">
        <is>
          <t>NSMI24060097532</t>
        </is>
      </c>
      <c r="Q543" s="53">
        <f>MID(P543,5,2)</f>
        <v/>
      </c>
      <c r="R543" s="53">
        <f>MID(P543,7,2)</f>
        <v/>
      </c>
      <c r="S543" s="3" t="inlineStr">
        <is>
          <t>G2G</t>
        </is>
      </c>
      <c r="T543" s="3" t="inlineStr">
        <is>
          <t>P4</t>
        </is>
      </c>
      <c r="U543" s="3" t="inlineStr">
        <is>
          <t>P JB Cold Soldering</t>
        </is>
      </c>
      <c r="V543" s="3" t="inlineStr">
        <is>
          <t>Soldering</t>
        </is>
      </c>
      <c r="W543" s="3" t="inlineStr">
        <is>
          <t>Repair</t>
        </is>
      </c>
      <c r="X543" s="18" t="n">
        <v>46150</v>
      </c>
      <c r="Y543" s="3">
        <f>X543-A543</f>
        <v/>
      </c>
      <c r="Z543" s="18" t="n">
        <v>46150</v>
      </c>
      <c r="AA543" s="15" t="n"/>
      <c r="AB543" s="15" t="n"/>
    </row>
    <row r="544" hidden="1" s="233">
      <c r="A544" s="6" t="n">
        <v>46107</v>
      </c>
      <c r="B544" s="3" t="n">
        <v>2026</v>
      </c>
      <c r="C544" s="3" t="inlineStr">
        <is>
          <t>Blupine</t>
        </is>
      </c>
      <c r="D544" s="3" t="inlineStr">
        <is>
          <t>Utility and C&amp;I</t>
        </is>
      </c>
      <c r="E544" s="3" t="n"/>
      <c r="F544" s="3" t="inlineStr">
        <is>
          <t>Closed</t>
        </is>
      </c>
      <c r="G544" s="3" t="inlineStr">
        <is>
          <t>Chandrashekar Patidar</t>
        </is>
      </c>
      <c r="H544" s="3" t="n">
        <v>7879764773</v>
      </c>
      <c r="I544" s="11" t="inlineStr">
        <is>
          <t>PE26032601</t>
        </is>
      </c>
      <c r="J544" s="3" t="inlineStr">
        <is>
          <t>Module Diode Failure</t>
        </is>
      </c>
      <c r="K544" s="3" t="inlineStr">
        <is>
          <t>Sadla</t>
        </is>
      </c>
      <c r="L544" s="3" t="inlineStr">
        <is>
          <t>Gujarat</t>
        </is>
      </c>
      <c r="M544" s="9" t="inlineStr">
        <is>
          <t>PS</t>
        </is>
      </c>
      <c r="N544" s="3" t="inlineStr">
        <is>
          <t>Cold Soldering</t>
        </is>
      </c>
      <c r="O544" s="3" t="n">
        <v>570</v>
      </c>
      <c r="P544" s="9" t="inlineStr">
        <is>
          <t>NSMI24050047234</t>
        </is>
      </c>
      <c r="Q544" s="53">
        <f>MID(P544,5,2)</f>
        <v/>
      </c>
      <c r="R544" s="53">
        <f>MID(P544,7,2)</f>
        <v/>
      </c>
      <c r="S544" s="3" t="inlineStr">
        <is>
          <t>G2G</t>
        </is>
      </c>
      <c r="T544" s="3" t="inlineStr">
        <is>
          <t>P4</t>
        </is>
      </c>
      <c r="U544" s="3" t="inlineStr">
        <is>
          <t>P JB Cold Soldering</t>
        </is>
      </c>
      <c r="V544" s="3" t="inlineStr">
        <is>
          <t>Soldering</t>
        </is>
      </c>
      <c r="W544" s="3" t="inlineStr">
        <is>
          <t>Repair</t>
        </is>
      </c>
      <c r="X544" s="18" t="n">
        <v>46150</v>
      </c>
      <c r="Y544" s="3">
        <f>X544-A544</f>
        <v/>
      </c>
      <c r="Z544" s="18" t="n">
        <v>46150</v>
      </c>
      <c r="AA544" s="15" t="n"/>
      <c r="AB544" s="15" t="n"/>
    </row>
    <row r="545" hidden="1" s="233">
      <c r="A545" s="6" t="n">
        <v>46107</v>
      </c>
      <c r="B545" s="3" t="n">
        <v>2026</v>
      </c>
      <c r="C545" s="3" t="inlineStr">
        <is>
          <t>Blupine</t>
        </is>
      </c>
      <c r="D545" s="3" t="inlineStr">
        <is>
          <t>Utility and C&amp;I</t>
        </is>
      </c>
      <c r="E545" s="3" t="n"/>
      <c r="F545" s="3" t="inlineStr">
        <is>
          <t>Closed</t>
        </is>
      </c>
      <c r="G545" s="3" t="inlineStr">
        <is>
          <t>Chandrashekar Patidar</t>
        </is>
      </c>
      <c r="H545" s="3" t="n">
        <v>7879764773</v>
      </c>
      <c r="I545" s="11" t="inlineStr">
        <is>
          <t>PE26032601</t>
        </is>
      </c>
      <c r="J545" s="3" t="inlineStr">
        <is>
          <t>Module Diode Failure</t>
        </is>
      </c>
      <c r="K545" s="3" t="inlineStr">
        <is>
          <t>Sadla</t>
        </is>
      </c>
      <c r="L545" s="3" t="inlineStr">
        <is>
          <t>Gujarat</t>
        </is>
      </c>
      <c r="M545" s="9" t="inlineStr">
        <is>
          <t>PS</t>
        </is>
      </c>
      <c r="N545" s="3" t="inlineStr">
        <is>
          <t>Cold Soldering</t>
        </is>
      </c>
      <c r="O545" s="3" t="n">
        <v>570</v>
      </c>
      <c r="P545" s="9" t="inlineStr">
        <is>
          <t>NSMI24050047225</t>
        </is>
      </c>
      <c r="Q545" s="53">
        <f>MID(P545,5,2)</f>
        <v/>
      </c>
      <c r="R545" s="53">
        <f>MID(P545,7,2)</f>
        <v/>
      </c>
      <c r="S545" s="3" t="inlineStr">
        <is>
          <t>G2G</t>
        </is>
      </c>
      <c r="T545" s="3" t="inlineStr">
        <is>
          <t>P4</t>
        </is>
      </c>
      <c r="U545" s="3" t="inlineStr">
        <is>
          <t>P JB Cold Soldering</t>
        </is>
      </c>
      <c r="V545" s="3" t="inlineStr">
        <is>
          <t>Soldering</t>
        </is>
      </c>
      <c r="W545" s="3" t="inlineStr">
        <is>
          <t>Repair</t>
        </is>
      </c>
      <c r="X545" s="18" t="n">
        <v>46150</v>
      </c>
      <c r="Y545" s="3">
        <f>X545-A545</f>
        <v/>
      </c>
      <c r="Z545" s="18" t="n">
        <v>46150</v>
      </c>
      <c r="AA545" s="15" t="n"/>
      <c r="AB545" s="15" t="n"/>
    </row>
    <row r="546" hidden="1" s="233">
      <c r="A546" s="6" t="n">
        <v>46107</v>
      </c>
      <c r="B546" s="3" t="n">
        <v>2026</v>
      </c>
      <c r="C546" s="3" t="inlineStr">
        <is>
          <t>Blupine</t>
        </is>
      </c>
      <c r="D546" s="3" t="inlineStr">
        <is>
          <t>Utility and C&amp;I</t>
        </is>
      </c>
      <c r="E546" s="3" t="n"/>
      <c r="F546" s="3" t="inlineStr">
        <is>
          <t>Closed</t>
        </is>
      </c>
      <c r="G546" s="3" t="inlineStr">
        <is>
          <t>Chandrashekar Patidar</t>
        </is>
      </c>
      <c r="H546" s="3" t="n">
        <v>7879764773</v>
      </c>
      <c r="I546" s="11" t="inlineStr">
        <is>
          <t>PE26032601</t>
        </is>
      </c>
      <c r="J546" s="3" t="inlineStr">
        <is>
          <t>Module Diode Failure</t>
        </is>
      </c>
      <c r="K546" s="3" t="inlineStr">
        <is>
          <t>Sadla</t>
        </is>
      </c>
      <c r="L546" s="3" t="inlineStr">
        <is>
          <t>Gujarat</t>
        </is>
      </c>
      <c r="M546" s="9" t="inlineStr">
        <is>
          <t xml:space="preserve">NS </t>
        </is>
      </c>
      <c r="N546" s="3" t="inlineStr">
        <is>
          <t>Cold Soldering</t>
        </is>
      </c>
      <c r="O546" s="3" t="n">
        <v>570</v>
      </c>
      <c r="P546" s="9" t="inlineStr">
        <is>
          <t>NSMI24060121581</t>
        </is>
      </c>
      <c r="Q546" s="53">
        <f>MID(P546,5,2)</f>
        <v/>
      </c>
      <c r="R546" s="53">
        <f>MID(P546,7,2)</f>
        <v/>
      </c>
      <c r="S546" s="3" t="inlineStr">
        <is>
          <t>G2G</t>
        </is>
      </c>
      <c r="T546" s="3" t="inlineStr">
        <is>
          <t>P4</t>
        </is>
      </c>
      <c r="U546" s="3" t="inlineStr">
        <is>
          <t>N JB Cold Soldering</t>
        </is>
      </c>
      <c r="V546" s="3" t="inlineStr">
        <is>
          <t>Soldering</t>
        </is>
      </c>
      <c r="W546" s="3" t="inlineStr">
        <is>
          <t>Repair</t>
        </is>
      </c>
      <c r="X546" s="18" t="n">
        <v>46150</v>
      </c>
      <c r="Y546" s="3">
        <f>X546-A546</f>
        <v/>
      </c>
      <c r="Z546" s="18" t="n">
        <v>46150</v>
      </c>
      <c r="AA546" s="15" t="n"/>
      <c r="AB546" s="15" t="n"/>
    </row>
    <row r="547" hidden="1" s="233">
      <c r="A547" s="6" t="n">
        <v>46107</v>
      </c>
      <c r="B547" s="3" t="n">
        <v>2026</v>
      </c>
      <c r="C547" s="3" t="inlineStr">
        <is>
          <t>Blupine</t>
        </is>
      </c>
      <c r="D547" s="3" t="inlineStr">
        <is>
          <t>Utility and C&amp;I</t>
        </is>
      </c>
      <c r="E547" s="3" t="n"/>
      <c r="F547" s="3" t="inlineStr">
        <is>
          <t>Closed</t>
        </is>
      </c>
      <c r="G547" s="3" t="inlineStr">
        <is>
          <t>Chandrashekar Patidar</t>
        </is>
      </c>
      <c r="H547" s="3" t="n">
        <v>7879764773</v>
      </c>
      <c r="I547" s="11" t="inlineStr">
        <is>
          <t>PE26032601</t>
        </is>
      </c>
      <c r="J547" s="3" t="inlineStr">
        <is>
          <t>Module Diode Failure</t>
        </is>
      </c>
      <c r="K547" s="3" t="inlineStr">
        <is>
          <t>Sadla</t>
        </is>
      </c>
      <c r="L547" s="3" t="inlineStr">
        <is>
          <t>Gujarat</t>
        </is>
      </c>
      <c r="M547" s="9" t="inlineStr">
        <is>
          <t>PS</t>
        </is>
      </c>
      <c r="N547" s="3" t="inlineStr">
        <is>
          <t>Cold Soldering</t>
        </is>
      </c>
      <c r="O547" s="3" t="n">
        <v>570</v>
      </c>
      <c r="P547" s="9" t="inlineStr">
        <is>
          <t>NSMI24060090441</t>
        </is>
      </c>
      <c r="Q547" s="53">
        <f>MID(P547,5,2)</f>
        <v/>
      </c>
      <c r="R547" s="53">
        <f>MID(P547,7,2)</f>
        <v/>
      </c>
      <c r="S547" s="3" t="inlineStr">
        <is>
          <t>G2G</t>
        </is>
      </c>
      <c r="T547" s="3" t="inlineStr">
        <is>
          <t>P4</t>
        </is>
      </c>
      <c r="U547" s="3" t="inlineStr">
        <is>
          <t>P JB Cold Soldering</t>
        </is>
      </c>
      <c r="V547" s="3" t="inlineStr">
        <is>
          <t>Soldering</t>
        </is>
      </c>
      <c r="W547" s="3" t="inlineStr">
        <is>
          <t>Repair</t>
        </is>
      </c>
      <c r="X547" s="18" t="n">
        <v>46150</v>
      </c>
      <c r="Y547" s="3">
        <f>X547-A547</f>
        <v/>
      </c>
      <c r="Z547" s="18" t="n">
        <v>46150</v>
      </c>
      <c r="AA547" s="15" t="n"/>
      <c r="AB547" s="15" t="n"/>
    </row>
    <row r="548" hidden="1" s="233">
      <c r="A548" s="6" t="n">
        <v>46107</v>
      </c>
      <c r="B548" s="3" t="n">
        <v>2026</v>
      </c>
      <c r="C548" s="3" t="inlineStr">
        <is>
          <t>Blupine</t>
        </is>
      </c>
      <c r="D548" s="3" t="inlineStr">
        <is>
          <t>Utility and C&amp;I</t>
        </is>
      </c>
      <c r="E548" s="3" t="n"/>
      <c r="F548" s="3" t="inlineStr">
        <is>
          <t>Closed</t>
        </is>
      </c>
      <c r="G548" s="3" t="inlineStr">
        <is>
          <t>Chandrashekar Patidar</t>
        </is>
      </c>
      <c r="H548" s="3" t="n">
        <v>7879764773</v>
      </c>
      <c r="I548" s="11" t="inlineStr">
        <is>
          <t>PE26032601</t>
        </is>
      </c>
      <c r="J548" s="3" t="inlineStr">
        <is>
          <t>Module Diode Failure</t>
        </is>
      </c>
      <c r="K548" s="3" t="inlineStr">
        <is>
          <t>Sadla</t>
        </is>
      </c>
      <c r="L548" s="3" t="inlineStr">
        <is>
          <t>Gujarat</t>
        </is>
      </c>
      <c r="M548" s="9" t="inlineStr">
        <is>
          <t>PS</t>
        </is>
      </c>
      <c r="N548" s="3" t="inlineStr">
        <is>
          <t>Cold Soldering</t>
        </is>
      </c>
      <c r="O548" s="3" t="n">
        <v>570</v>
      </c>
      <c r="P548" s="9" t="inlineStr">
        <is>
          <t>NSMI24060082846</t>
        </is>
      </c>
      <c r="Q548" s="53">
        <f>MID(P548,5,2)</f>
        <v/>
      </c>
      <c r="R548" s="53">
        <f>MID(P548,7,2)</f>
        <v/>
      </c>
      <c r="S548" s="3" t="inlineStr">
        <is>
          <t>G2G</t>
        </is>
      </c>
      <c r="T548" s="3" t="inlineStr">
        <is>
          <t>P4</t>
        </is>
      </c>
      <c r="U548" s="3" t="inlineStr">
        <is>
          <t>P JB Cold Soldering</t>
        </is>
      </c>
      <c r="V548" s="3" t="inlineStr">
        <is>
          <t>Soldering</t>
        </is>
      </c>
      <c r="W548" s="3" t="inlineStr">
        <is>
          <t>Repair</t>
        </is>
      </c>
      <c r="X548" s="18" t="n">
        <v>46150</v>
      </c>
      <c r="Y548" s="3">
        <f>X548-A548</f>
        <v/>
      </c>
      <c r="Z548" s="18" t="n">
        <v>46150</v>
      </c>
      <c r="AA548" s="15" t="n"/>
      <c r="AB548" s="15" t="n"/>
    </row>
    <row r="549" hidden="1" s="233">
      <c r="A549" s="6" t="n">
        <v>46107</v>
      </c>
      <c r="B549" s="3" t="n">
        <v>2026</v>
      </c>
      <c r="C549" s="3" t="inlineStr">
        <is>
          <t>Blupine</t>
        </is>
      </c>
      <c r="D549" s="3" t="inlineStr">
        <is>
          <t>Utility and C&amp;I</t>
        </is>
      </c>
      <c r="E549" s="3" t="n"/>
      <c r="F549" s="3" t="inlineStr">
        <is>
          <t>Closed</t>
        </is>
      </c>
      <c r="G549" s="3" t="inlineStr">
        <is>
          <t>Chandrashekar Patidar</t>
        </is>
      </c>
      <c r="H549" s="3" t="n">
        <v>7879764773</v>
      </c>
      <c r="I549" s="11" t="inlineStr">
        <is>
          <t>PE26032601</t>
        </is>
      </c>
      <c r="J549" s="3" t="inlineStr">
        <is>
          <t>Module Diode Failure</t>
        </is>
      </c>
      <c r="K549" s="3" t="inlineStr">
        <is>
          <t>Sadla</t>
        </is>
      </c>
      <c r="L549" s="3" t="inlineStr">
        <is>
          <t>Gujarat</t>
        </is>
      </c>
      <c r="M549" s="9" t="inlineStr">
        <is>
          <t>NR</t>
        </is>
      </c>
      <c r="N549" s="3" t="inlineStr">
        <is>
          <t>JB Issue</t>
        </is>
      </c>
      <c r="O549" s="3" t="n">
        <v>570</v>
      </c>
      <c r="P549" s="9" t="inlineStr">
        <is>
          <t>NSMI24050058369</t>
        </is>
      </c>
      <c r="Q549" s="53">
        <f>MID(P549,5,2)</f>
        <v/>
      </c>
      <c r="R549" s="53">
        <f>MID(P549,7,2)</f>
        <v/>
      </c>
      <c r="S549" s="3" t="inlineStr">
        <is>
          <t>G2G</t>
        </is>
      </c>
      <c r="T549" s="3" t="inlineStr">
        <is>
          <t>P4</t>
        </is>
      </c>
      <c r="U549" s="3" t="inlineStr">
        <is>
          <t>N JB Issue</t>
        </is>
      </c>
      <c r="V549" s="3" t="inlineStr">
        <is>
          <t>JB Changed</t>
        </is>
      </c>
      <c r="W549" s="3" t="inlineStr">
        <is>
          <t>Repair</t>
        </is>
      </c>
      <c r="X549" s="18" t="n">
        <v>46150</v>
      </c>
      <c r="Y549" s="3">
        <f>X549-A549</f>
        <v/>
      </c>
      <c r="Z549" s="18" t="n">
        <v>46150</v>
      </c>
      <c r="AA549" s="15" t="n"/>
      <c r="AB549" s="15" t="n"/>
    </row>
    <row r="550" hidden="1" s="233">
      <c r="A550" s="6" t="n">
        <v>46107</v>
      </c>
      <c r="B550" s="3" t="n">
        <v>2026</v>
      </c>
      <c r="C550" s="3" t="inlineStr">
        <is>
          <t>Blupine</t>
        </is>
      </c>
      <c r="D550" s="3" t="inlineStr">
        <is>
          <t>Utility and C&amp;I</t>
        </is>
      </c>
      <c r="E550" s="3" t="n"/>
      <c r="F550" s="3" t="inlineStr">
        <is>
          <t>Closed</t>
        </is>
      </c>
      <c r="G550" s="3" t="inlineStr">
        <is>
          <t>Chandrashekar Patidar</t>
        </is>
      </c>
      <c r="H550" s="3" t="n">
        <v>7879764773</v>
      </c>
      <c r="I550" s="11" t="inlineStr">
        <is>
          <t>PE26032601</t>
        </is>
      </c>
      <c r="J550" s="3" t="inlineStr">
        <is>
          <t>Module Diode Failure</t>
        </is>
      </c>
      <c r="K550" s="3" t="inlineStr">
        <is>
          <t>Sadla</t>
        </is>
      </c>
      <c r="L550" s="3" t="inlineStr">
        <is>
          <t>Gujarat</t>
        </is>
      </c>
      <c r="M550" s="9" t="inlineStr">
        <is>
          <t>PS</t>
        </is>
      </c>
      <c r="N550" s="3" t="inlineStr">
        <is>
          <t>Cold Soldering</t>
        </is>
      </c>
      <c r="O550" s="3" t="n">
        <v>570</v>
      </c>
      <c r="P550" s="9" t="inlineStr">
        <is>
          <t>NSMI24050058384</t>
        </is>
      </c>
      <c r="Q550" s="53">
        <f>MID(P550,5,2)</f>
        <v/>
      </c>
      <c r="R550" s="53">
        <f>MID(P550,7,2)</f>
        <v/>
      </c>
      <c r="S550" s="3" t="inlineStr">
        <is>
          <t>G2G</t>
        </is>
      </c>
      <c r="T550" s="3" t="inlineStr">
        <is>
          <t>P4</t>
        </is>
      </c>
      <c r="U550" s="3" t="inlineStr">
        <is>
          <t>P JB Cold Soldering</t>
        </is>
      </c>
      <c r="V550" s="3" t="inlineStr">
        <is>
          <t>Soldering</t>
        </is>
      </c>
      <c r="W550" s="3" t="inlineStr">
        <is>
          <t>Repair</t>
        </is>
      </c>
      <c r="X550" s="18" t="n">
        <v>46150</v>
      </c>
      <c r="Y550" s="3">
        <f>X550-A550</f>
        <v/>
      </c>
      <c r="Z550" s="18" t="n">
        <v>46150</v>
      </c>
      <c r="AA550" s="15" t="n"/>
      <c r="AB550" s="15" t="n"/>
    </row>
    <row r="551" hidden="1" s="233">
      <c r="A551" s="6" t="n">
        <v>46107</v>
      </c>
      <c r="B551" s="3" t="n">
        <v>2026</v>
      </c>
      <c r="C551" s="3" t="inlineStr">
        <is>
          <t>Blupine</t>
        </is>
      </c>
      <c r="D551" s="3" t="inlineStr">
        <is>
          <t>Utility and C&amp;I</t>
        </is>
      </c>
      <c r="E551" s="3" t="n"/>
      <c r="F551" s="3" t="inlineStr">
        <is>
          <t>Closed</t>
        </is>
      </c>
      <c r="G551" s="3" t="inlineStr">
        <is>
          <t>Chandrashekar Patidar</t>
        </is>
      </c>
      <c r="H551" s="3" t="n">
        <v>7879764773</v>
      </c>
      <c r="I551" s="11" t="inlineStr">
        <is>
          <t>PE26032601</t>
        </is>
      </c>
      <c r="J551" s="3" t="inlineStr">
        <is>
          <t>Module Diode Failure</t>
        </is>
      </c>
      <c r="K551" s="3" t="inlineStr">
        <is>
          <t>Sadla</t>
        </is>
      </c>
      <c r="L551" s="3" t="inlineStr">
        <is>
          <t>Gujarat</t>
        </is>
      </c>
      <c r="M551" s="9" t="inlineStr">
        <is>
          <t xml:space="preserve">NS </t>
        </is>
      </c>
      <c r="N551" s="3" t="inlineStr">
        <is>
          <t>Cold Soldering</t>
        </is>
      </c>
      <c r="O551" s="3" t="n">
        <v>570</v>
      </c>
      <c r="P551" s="9" t="inlineStr">
        <is>
          <t>NSMI24050044227</t>
        </is>
      </c>
      <c r="Q551" s="53">
        <f>MID(P551,5,2)</f>
        <v/>
      </c>
      <c r="R551" s="53">
        <f>MID(P551,7,2)</f>
        <v/>
      </c>
      <c r="S551" s="3" t="inlineStr">
        <is>
          <t>G2G</t>
        </is>
      </c>
      <c r="T551" s="3" t="inlineStr">
        <is>
          <t>P4</t>
        </is>
      </c>
      <c r="U551" s="3" t="inlineStr">
        <is>
          <t>N JB Cold Soldering</t>
        </is>
      </c>
      <c r="V551" s="3" t="inlineStr">
        <is>
          <t>Soldering</t>
        </is>
      </c>
      <c r="W551" s="3" t="inlineStr">
        <is>
          <t>Repair</t>
        </is>
      </c>
      <c r="X551" s="18" t="n">
        <v>46150</v>
      </c>
      <c r="Y551" s="3">
        <f>X551-A551</f>
        <v/>
      </c>
      <c r="Z551" s="18" t="n">
        <v>46150</v>
      </c>
      <c r="AA551" s="15" t="n"/>
      <c r="AB551" s="15" t="n"/>
    </row>
    <row r="552" hidden="1" s="233">
      <c r="A552" s="6" t="n">
        <v>46107</v>
      </c>
      <c r="B552" s="3" t="n">
        <v>2026</v>
      </c>
      <c r="C552" s="3" t="inlineStr">
        <is>
          <t>Blupine</t>
        </is>
      </c>
      <c r="D552" s="3" t="inlineStr">
        <is>
          <t>Utility and C&amp;I</t>
        </is>
      </c>
      <c r="E552" s="3" t="n"/>
      <c r="F552" s="3" t="inlineStr">
        <is>
          <t>Closed</t>
        </is>
      </c>
      <c r="G552" s="3" t="inlineStr">
        <is>
          <t>Chandrashekar Patidar</t>
        </is>
      </c>
      <c r="H552" s="3" t="n">
        <v>7879764773</v>
      </c>
      <c r="I552" s="11" t="inlineStr">
        <is>
          <t>PE26032601</t>
        </is>
      </c>
      <c r="J552" s="3" t="inlineStr">
        <is>
          <t>Module Diode Failure</t>
        </is>
      </c>
      <c r="K552" s="3" t="inlineStr">
        <is>
          <t>Sadla</t>
        </is>
      </c>
      <c r="L552" s="3" t="inlineStr">
        <is>
          <t>Gujarat</t>
        </is>
      </c>
      <c r="M552" s="9" t="inlineStr">
        <is>
          <t>NS</t>
        </is>
      </c>
      <c r="N552" s="3" t="inlineStr">
        <is>
          <t>Cold Soldering</t>
        </is>
      </c>
      <c r="O552" s="3" t="n">
        <v>570</v>
      </c>
      <c r="P552" s="9" t="inlineStr">
        <is>
          <t>NSMI24060126652</t>
        </is>
      </c>
      <c r="Q552" s="53">
        <f>MID(P552,5,2)</f>
        <v/>
      </c>
      <c r="R552" s="53">
        <f>MID(P552,7,2)</f>
        <v/>
      </c>
      <c r="S552" s="3" t="inlineStr">
        <is>
          <t>G2G</t>
        </is>
      </c>
      <c r="T552" s="3" t="inlineStr">
        <is>
          <t>P4</t>
        </is>
      </c>
      <c r="U552" s="3" t="inlineStr">
        <is>
          <t>N JB Cold Soldering</t>
        </is>
      </c>
      <c r="V552" s="3" t="inlineStr">
        <is>
          <t>Soldering</t>
        </is>
      </c>
      <c r="W552" s="3" t="inlineStr">
        <is>
          <t>Repair</t>
        </is>
      </c>
      <c r="X552" s="18" t="n">
        <v>46151</v>
      </c>
      <c r="Y552" s="3">
        <f>X552-A552</f>
        <v/>
      </c>
      <c r="Z552" s="18" t="n">
        <v>46151</v>
      </c>
      <c r="AA552" s="15" t="n"/>
      <c r="AB552" s="15" t="n"/>
    </row>
    <row r="553" hidden="1" s="233">
      <c r="A553" s="6" t="n">
        <v>46107</v>
      </c>
      <c r="B553" s="3" t="n">
        <v>2026</v>
      </c>
      <c r="C553" s="3" t="inlineStr">
        <is>
          <t>Blupine</t>
        </is>
      </c>
      <c r="D553" s="3" t="inlineStr">
        <is>
          <t>Utility and C&amp;I</t>
        </is>
      </c>
      <c r="E553" s="3" t="n"/>
      <c r="F553" s="3" t="inlineStr">
        <is>
          <t>Closed</t>
        </is>
      </c>
      <c r="G553" s="3" t="inlineStr">
        <is>
          <t>Chandrashekar Patidar</t>
        </is>
      </c>
      <c r="H553" s="3" t="n">
        <v>7879764773</v>
      </c>
      <c r="I553" s="11" t="inlineStr">
        <is>
          <t>PE26032601</t>
        </is>
      </c>
      <c r="J553" s="3" t="inlineStr">
        <is>
          <t>Module Diode Failure</t>
        </is>
      </c>
      <c r="K553" s="3" t="inlineStr">
        <is>
          <t>Sadla</t>
        </is>
      </c>
      <c r="L553" s="3" t="inlineStr">
        <is>
          <t>Gujarat</t>
        </is>
      </c>
      <c r="M553" s="9" t="inlineStr">
        <is>
          <t>PR</t>
        </is>
      </c>
      <c r="N553" s="3" t="inlineStr">
        <is>
          <t>JB Issue</t>
        </is>
      </c>
      <c r="O553" s="3" t="n">
        <v>570</v>
      </c>
      <c r="P553" s="9" t="inlineStr">
        <is>
          <t>NSMI24060106612</t>
        </is>
      </c>
      <c r="Q553" s="53">
        <f>MID(P553,5,2)</f>
        <v/>
      </c>
      <c r="R553" s="53">
        <f>MID(P553,7,2)</f>
        <v/>
      </c>
      <c r="S553" s="3" t="inlineStr">
        <is>
          <t>G2G</t>
        </is>
      </c>
      <c r="T553" s="3" t="inlineStr">
        <is>
          <t>P4</t>
        </is>
      </c>
      <c r="U553" s="3" t="inlineStr">
        <is>
          <t>P JB Issue</t>
        </is>
      </c>
      <c r="V553" s="15" t="inlineStr">
        <is>
          <t>JB Changed</t>
        </is>
      </c>
      <c r="W553" s="3" t="inlineStr">
        <is>
          <t>Repair</t>
        </is>
      </c>
      <c r="X553" s="18" t="n">
        <v>46151</v>
      </c>
      <c r="Y553" s="3">
        <f>X553-A553</f>
        <v/>
      </c>
      <c r="Z553" s="18" t="n">
        <v>46151</v>
      </c>
      <c r="AA553" s="15" t="n"/>
      <c r="AB553" s="15" t="n"/>
    </row>
    <row r="554" hidden="1" s="233">
      <c r="A554" s="6" t="n">
        <v>46107</v>
      </c>
      <c r="B554" s="3" t="n">
        <v>2026</v>
      </c>
      <c r="C554" s="3" t="inlineStr">
        <is>
          <t>Blupine</t>
        </is>
      </c>
      <c r="D554" s="3" t="inlineStr">
        <is>
          <t>Utility and C&amp;I</t>
        </is>
      </c>
      <c r="E554" s="3" t="n"/>
      <c r="F554" s="3" t="inlineStr">
        <is>
          <t>Closed</t>
        </is>
      </c>
      <c r="G554" s="3" t="inlineStr">
        <is>
          <t>Chandrashekar Patidar</t>
        </is>
      </c>
      <c r="H554" s="3" t="n">
        <v>7879764773</v>
      </c>
      <c r="I554" s="11" t="inlineStr">
        <is>
          <t>PE26032601</t>
        </is>
      </c>
      <c r="J554" s="3" t="inlineStr">
        <is>
          <t>Module Diode Failure</t>
        </is>
      </c>
      <c r="K554" s="3" t="inlineStr">
        <is>
          <t>Sadla</t>
        </is>
      </c>
      <c r="L554" s="3" t="inlineStr">
        <is>
          <t>Gujarat</t>
        </is>
      </c>
      <c r="M554" s="9" t="inlineStr">
        <is>
          <t>NR</t>
        </is>
      </c>
      <c r="N554" s="3" t="inlineStr">
        <is>
          <t>JB Issue</t>
        </is>
      </c>
      <c r="O554" s="3" t="n">
        <v>570</v>
      </c>
      <c r="P554" s="9" t="inlineStr">
        <is>
          <t>NSMI24060106553</t>
        </is>
      </c>
      <c r="Q554" s="53">
        <f>MID(P554,5,2)</f>
        <v/>
      </c>
      <c r="R554" s="53">
        <f>MID(P554,7,2)</f>
        <v/>
      </c>
      <c r="S554" s="3" t="inlineStr">
        <is>
          <t>G2G</t>
        </is>
      </c>
      <c r="T554" s="3" t="inlineStr">
        <is>
          <t>P4</t>
        </is>
      </c>
      <c r="U554" s="3" t="inlineStr">
        <is>
          <t>N JB Issue</t>
        </is>
      </c>
      <c r="V554" s="3" t="inlineStr">
        <is>
          <t>JB Changed</t>
        </is>
      </c>
      <c r="W554" s="3" t="inlineStr">
        <is>
          <t>Repair</t>
        </is>
      </c>
      <c r="X554" s="18" t="n">
        <v>46151</v>
      </c>
      <c r="Y554" s="3">
        <f>X554-A554</f>
        <v/>
      </c>
      <c r="Z554" s="18" t="n">
        <v>46151</v>
      </c>
      <c r="AA554" s="15" t="n"/>
      <c r="AB554" s="15" t="n"/>
    </row>
    <row r="555" hidden="1" s="233">
      <c r="A555" s="6" t="n">
        <v>46107</v>
      </c>
      <c r="B555" s="3" t="n">
        <v>2026</v>
      </c>
      <c r="C555" s="3" t="inlineStr">
        <is>
          <t>Blupine</t>
        </is>
      </c>
      <c r="D555" s="3" t="inlineStr">
        <is>
          <t>Utility and C&amp;I</t>
        </is>
      </c>
      <c r="E555" s="3" t="n"/>
      <c r="F555" s="3" t="inlineStr">
        <is>
          <t>Closed</t>
        </is>
      </c>
      <c r="G555" s="3" t="inlineStr">
        <is>
          <t>Chandrashekar Patidar</t>
        </is>
      </c>
      <c r="H555" s="3" t="n">
        <v>7879764773</v>
      </c>
      <c r="I555" s="11" t="inlineStr">
        <is>
          <t>PE26032601</t>
        </is>
      </c>
      <c r="J555" s="3" t="inlineStr">
        <is>
          <t>Module Diode Failure</t>
        </is>
      </c>
      <c r="K555" s="3" t="inlineStr">
        <is>
          <t>Sadla</t>
        </is>
      </c>
      <c r="L555" s="3" t="inlineStr">
        <is>
          <t>Gujarat</t>
        </is>
      </c>
      <c r="M555" s="9" t="inlineStr">
        <is>
          <t xml:space="preserve">PR </t>
        </is>
      </c>
      <c r="N555" s="3" t="inlineStr">
        <is>
          <t>JB Issue</t>
        </is>
      </c>
      <c r="O555" s="3" t="n">
        <v>570</v>
      </c>
      <c r="P555" s="9" t="inlineStr">
        <is>
          <t>NSMI24060106556</t>
        </is>
      </c>
      <c r="Q555" s="53">
        <f>MID(P555,5,2)</f>
        <v/>
      </c>
      <c r="R555" s="53">
        <f>MID(P555,7,2)</f>
        <v/>
      </c>
      <c r="S555" s="3" t="inlineStr">
        <is>
          <t>G2G</t>
        </is>
      </c>
      <c r="T555" s="3" t="inlineStr">
        <is>
          <t>P4</t>
        </is>
      </c>
      <c r="U555" s="3" t="inlineStr">
        <is>
          <t>P JB Issue</t>
        </is>
      </c>
      <c r="V555" s="15" t="inlineStr">
        <is>
          <t>JB Changed</t>
        </is>
      </c>
      <c r="W555" s="3" t="inlineStr">
        <is>
          <t>Repair</t>
        </is>
      </c>
      <c r="X555" s="18" t="n">
        <v>46151</v>
      </c>
      <c r="Y555" s="3">
        <f>X555-A555</f>
        <v/>
      </c>
      <c r="Z555" s="18" t="n">
        <v>46151</v>
      </c>
      <c r="AA555" s="15" t="n"/>
      <c r="AB555" s="15" t="n"/>
    </row>
    <row r="556" hidden="1" s="233">
      <c r="A556" s="6" t="n">
        <v>46107</v>
      </c>
      <c r="B556" s="3" t="n">
        <v>2026</v>
      </c>
      <c r="C556" s="3" t="inlineStr">
        <is>
          <t>Blupine</t>
        </is>
      </c>
      <c r="D556" s="3" t="inlineStr">
        <is>
          <t>Utility and C&amp;I</t>
        </is>
      </c>
      <c r="E556" s="3" t="n"/>
      <c r="F556" s="3" t="inlineStr">
        <is>
          <t>Closed</t>
        </is>
      </c>
      <c r="G556" s="3" t="inlineStr">
        <is>
          <t>Chandrashekar Patidar</t>
        </is>
      </c>
      <c r="H556" s="3" t="n">
        <v>7879764773</v>
      </c>
      <c r="I556" s="11" t="inlineStr">
        <is>
          <t>PE26032601</t>
        </is>
      </c>
      <c r="J556" s="3" t="inlineStr">
        <is>
          <t>Module Diode Failure</t>
        </is>
      </c>
      <c r="K556" s="3" t="inlineStr">
        <is>
          <t>Sadla</t>
        </is>
      </c>
      <c r="L556" s="3" t="inlineStr">
        <is>
          <t>Gujarat</t>
        </is>
      </c>
      <c r="M556" s="9" t="inlineStr">
        <is>
          <t>PS</t>
        </is>
      </c>
      <c r="N556" s="3" t="inlineStr">
        <is>
          <t>Cold Soldering</t>
        </is>
      </c>
      <c r="O556" s="3" t="n">
        <v>570</v>
      </c>
      <c r="P556" s="9" t="inlineStr">
        <is>
          <t>NSMI24060082993</t>
        </is>
      </c>
      <c r="Q556" s="53">
        <f>MID(P556,5,2)</f>
        <v/>
      </c>
      <c r="R556" s="53">
        <f>MID(P556,7,2)</f>
        <v/>
      </c>
      <c r="S556" s="3" t="inlineStr">
        <is>
          <t>G2G</t>
        </is>
      </c>
      <c r="T556" s="3" t="inlineStr">
        <is>
          <t>P4</t>
        </is>
      </c>
      <c r="U556" s="3" t="inlineStr">
        <is>
          <t>P JB Cold Soldering</t>
        </is>
      </c>
      <c r="V556" s="3" t="inlineStr">
        <is>
          <t>Soldering</t>
        </is>
      </c>
      <c r="W556" s="3" t="inlineStr">
        <is>
          <t>Repair</t>
        </is>
      </c>
      <c r="X556" s="18" t="n">
        <v>46151</v>
      </c>
      <c r="Y556" s="3">
        <f>X556-A556</f>
        <v/>
      </c>
      <c r="Z556" s="18" t="n">
        <v>46151</v>
      </c>
      <c r="AA556" s="15" t="n"/>
      <c r="AB556" s="15" t="n"/>
    </row>
    <row r="557" hidden="1" s="233">
      <c r="A557" s="6" t="n">
        <v>46107</v>
      </c>
      <c r="B557" s="3" t="n">
        <v>2026</v>
      </c>
      <c r="C557" s="3" t="inlineStr">
        <is>
          <t>Blupine</t>
        </is>
      </c>
      <c r="D557" s="3" t="inlineStr">
        <is>
          <t>Utility and C&amp;I</t>
        </is>
      </c>
      <c r="E557" s="3" t="n"/>
      <c r="F557" s="3" t="inlineStr">
        <is>
          <t>Closed</t>
        </is>
      </c>
      <c r="G557" s="3" t="inlineStr">
        <is>
          <t>Chandrashekar Patidar</t>
        </is>
      </c>
      <c r="H557" s="3" t="n">
        <v>7879764773</v>
      </c>
      <c r="I557" s="11" t="inlineStr">
        <is>
          <t>PE26032601</t>
        </is>
      </c>
      <c r="J557" s="3" t="inlineStr">
        <is>
          <t>Module Diode Failure</t>
        </is>
      </c>
      <c r="K557" s="3" t="inlineStr">
        <is>
          <t>Sadla</t>
        </is>
      </c>
      <c r="L557" s="3" t="inlineStr">
        <is>
          <t>Gujarat</t>
        </is>
      </c>
      <c r="M557" s="9" t="inlineStr">
        <is>
          <t>PS</t>
        </is>
      </c>
      <c r="N557" s="3" t="inlineStr">
        <is>
          <t>Cold Soldering</t>
        </is>
      </c>
      <c r="O557" s="3" t="n">
        <v>570</v>
      </c>
      <c r="P557" s="9" t="inlineStr">
        <is>
          <t>NSMI24060082892</t>
        </is>
      </c>
      <c r="Q557" s="53">
        <f>MID(P557,5,2)</f>
        <v/>
      </c>
      <c r="R557" s="53">
        <f>MID(P557,7,2)</f>
        <v/>
      </c>
      <c r="S557" s="3" t="inlineStr">
        <is>
          <t>G2G</t>
        </is>
      </c>
      <c r="T557" s="3" t="inlineStr">
        <is>
          <t>P4</t>
        </is>
      </c>
      <c r="U557" s="3" t="inlineStr">
        <is>
          <t>P JB Cold Soldering</t>
        </is>
      </c>
      <c r="V557" s="3" t="inlineStr">
        <is>
          <t>Soldering</t>
        </is>
      </c>
      <c r="W557" s="3" t="inlineStr">
        <is>
          <t>Repair</t>
        </is>
      </c>
      <c r="X557" s="18" t="n">
        <v>46151</v>
      </c>
      <c r="Y557" s="3">
        <f>X557-A557</f>
        <v/>
      </c>
      <c r="Z557" s="18" t="n">
        <v>46151</v>
      </c>
      <c r="AA557" s="15" t="n"/>
      <c r="AB557" s="15" t="n"/>
    </row>
    <row r="558" hidden="1" s="233">
      <c r="A558" s="6" t="n">
        <v>46107</v>
      </c>
      <c r="B558" s="3" t="n">
        <v>2026</v>
      </c>
      <c r="C558" s="3" t="inlineStr">
        <is>
          <t>Blupine</t>
        </is>
      </c>
      <c r="D558" s="3" t="inlineStr">
        <is>
          <t>Utility and C&amp;I</t>
        </is>
      </c>
      <c r="E558" s="3" t="n"/>
      <c r="F558" s="3" t="inlineStr">
        <is>
          <t>Closed</t>
        </is>
      </c>
      <c r="G558" s="3" t="inlineStr">
        <is>
          <t>Chandrashekar Patidar</t>
        </is>
      </c>
      <c r="H558" s="3" t="n">
        <v>7879764773</v>
      </c>
      <c r="I558" s="11" t="inlineStr">
        <is>
          <t>PE26032601</t>
        </is>
      </c>
      <c r="J558" s="3" t="inlineStr">
        <is>
          <t>Module Diode Failure</t>
        </is>
      </c>
      <c r="K558" s="3" t="inlineStr">
        <is>
          <t>Sadla</t>
        </is>
      </c>
      <c r="L558" s="3" t="inlineStr">
        <is>
          <t>Gujarat</t>
        </is>
      </c>
      <c r="M558" s="9" t="inlineStr">
        <is>
          <t>NS</t>
        </is>
      </c>
      <c r="N558" s="3" t="inlineStr">
        <is>
          <t>Cold Soldering</t>
        </is>
      </c>
      <c r="O558" s="3" t="n">
        <v>570</v>
      </c>
      <c r="P558" s="9" t="inlineStr">
        <is>
          <t>NSMI24060098390</t>
        </is>
      </c>
      <c r="Q558" s="53">
        <f>MID(P558,5,2)</f>
        <v/>
      </c>
      <c r="R558" s="53">
        <f>MID(P558,7,2)</f>
        <v/>
      </c>
      <c r="S558" s="3" t="inlineStr">
        <is>
          <t>G2G</t>
        </is>
      </c>
      <c r="T558" s="3" t="inlineStr">
        <is>
          <t>P4</t>
        </is>
      </c>
      <c r="U558" s="3" t="inlineStr">
        <is>
          <t>N JB Cold Soldering</t>
        </is>
      </c>
      <c r="V558" s="3" t="inlineStr">
        <is>
          <t>Soldering</t>
        </is>
      </c>
      <c r="W558" s="3" t="inlineStr">
        <is>
          <t>Repair</t>
        </is>
      </c>
      <c r="X558" s="18" t="n">
        <v>46151</v>
      </c>
      <c r="Y558" s="3">
        <f>X558-A558</f>
        <v/>
      </c>
      <c r="Z558" s="18" t="n">
        <v>46151</v>
      </c>
      <c r="AA558" s="15" t="n"/>
      <c r="AB558" s="15" t="n"/>
    </row>
    <row r="559" hidden="1" s="233">
      <c r="A559" s="6" t="n">
        <v>46107</v>
      </c>
      <c r="B559" s="3" t="n">
        <v>2026</v>
      </c>
      <c r="C559" s="3" t="inlineStr">
        <is>
          <t>Blupine</t>
        </is>
      </c>
      <c r="D559" s="3" t="inlineStr">
        <is>
          <t>Utility and C&amp;I</t>
        </is>
      </c>
      <c r="E559" s="3" t="n"/>
      <c r="F559" s="3" t="inlineStr">
        <is>
          <t>Closed</t>
        </is>
      </c>
      <c r="G559" s="3" t="inlineStr">
        <is>
          <t>Chandrashekar Patidar</t>
        </is>
      </c>
      <c r="H559" s="3" t="n">
        <v>7879764773</v>
      </c>
      <c r="I559" s="11" t="inlineStr">
        <is>
          <t>PE26032601</t>
        </is>
      </c>
      <c r="J559" s="3" t="inlineStr">
        <is>
          <t>Module Diode Failure</t>
        </is>
      </c>
      <c r="K559" s="3" t="inlineStr">
        <is>
          <t>Sadla</t>
        </is>
      </c>
      <c r="L559" s="3" t="inlineStr">
        <is>
          <t>Gujarat</t>
        </is>
      </c>
      <c r="M559" s="9" t="inlineStr">
        <is>
          <t>NS</t>
        </is>
      </c>
      <c r="N559" s="3" t="inlineStr">
        <is>
          <t>Cold Soldering</t>
        </is>
      </c>
      <c r="O559" s="3" t="n">
        <v>570</v>
      </c>
      <c r="P559" s="9" t="inlineStr">
        <is>
          <t>NSMI24050064511</t>
        </is>
      </c>
      <c r="Q559" s="53">
        <f>MID(P559,5,2)</f>
        <v/>
      </c>
      <c r="R559" s="53">
        <f>MID(P559,7,2)</f>
        <v/>
      </c>
      <c r="S559" s="3" t="inlineStr">
        <is>
          <t>G2G</t>
        </is>
      </c>
      <c r="T559" s="3" t="inlineStr">
        <is>
          <t>P4</t>
        </is>
      </c>
      <c r="U559" s="3" t="inlineStr">
        <is>
          <t>N JB Cold Soldering</t>
        </is>
      </c>
      <c r="V559" s="3" t="inlineStr">
        <is>
          <t>Soldering</t>
        </is>
      </c>
      <c r="W559" s="3" t="inlineStr">
        <is>
          <t>Repair</t>
        </is>
      </c>
      <c r="X559" s="18" t="n">
        <v>46151</v>
      </c>
      <c r="Y559" s="3">
        <f>X559-A559</f>
        <v/>
      </c>
      <c r="Z559" s="18" t="n">
        <v>46151</v>
      </c>
      <c r="AA559" s="15" t="n"/>
      <c r="AB559" s="15" t="n"/>
    </row>
    <row r="560" hidden="1" s="233">
      <c r="A560" s="6" t="n">
        <v>46107</v>
      </c>
      <c r="B560" s="3" t="n">
        <v>2026</v>
      </c>
      <c r="C560" s="3" t="inlineStr">
        <is>
          <t>Blupine</t>
        </is>
      </c>
      <c r="D560" s="3" t="inlineStr">
        <is>
          <t>Utility and C&amp;I</t>
        </is>
      </c>
      <c r="E560" s="3" t="n"/>
      <c r="F560" s="3" t="inlineStr">
        <is>
          <t>Closed</t>
        </is>
      </c>
      <c r="G560" s="3" t="inlineStr">
        <is>
          <t>Chandrashekar Patidar</t>
        </is>
      </c>
      <c r="H560" s="3" t="n">
        <v>7879764773</v>
      </c>
      <c r="I560" s="11" t="inlineStr">
        <is>
          <t>PE26032601</t>
        </is>
      </c>
      <c r="J560" s="3" t="inlineStr">
        <is>
          <t>Module Diode Failure</t>
        </is>
      </c>
      <c r="K560" s="3" t="inlineStr">
        <is>
          <t>Sadla</t>
        </is>
      </c>
      <c r="L560" s="3" t="inlineStr">
        <is>
          <t>Gujarat</t>
        </is>
      </c>
      <c r="M560" s="9" t="inlineStr">
        <is>
          <t>NS</t>
        </is>
      </c>
      <c r="N560" s="3" t="inlineStr">
        <is>
          <t>Cold Soldering</t>
        </is>
      </c>
      <c r="O560" s="3" t="n">
        <v>570</v>
      </c>
      <c r="P560" s="9" t="inlineStr">
        <is>
          <t>NSMI24060090790</t>
        </is>
      </c>
      <c r="Q560" s="53">
        <f>MID(P560,5,2)</f>
        <v/>
      </c>
      <c r="R560" s="53">
        <f>MID(P560,7,2)</f>
        <v/>
      </c>
      <c r="S560" s="3" t="inlineStr">
        <is>
          <t>G2G</t>
        </is>
      </c>
      <c r="T560" s="3" t="inlineStr">
        <is>
          <t>P4</t>
        </is>
      </c>
      <c r="U560" s="3" t="inlineStr">
        <is>
          <t>N JB Cold Soldering</t>
        </is>
      </c>
      <c r="V560" s="3" t="inlineStr">
        <is>
          <t>Soldering</t>
        </is>
      </c>
      <c r="W560" s="3" t="inlineStr">
        <is>
          <t>Repair</t>
        </is>
      </c>
      <c r="X560" s="18" t="n">
        <v>46151</v>
      </c>
      <c r="Y560" s="3">
        <f>X560-A560</f>
        <v/>
      </c>
      <c r="Z560" s="18" t="n">
        <v>46151</v>
      </c>
      <c r="AA560" s="15" t="n"/>
      <c r="AB560" s="15" t="n"/>
    </row>
    <row r="561" hidden="1" s="233">
      <c r="A561" s="6" t="n">
        <v>46107</v>
      </c>
      <c r="B561" s="3" t="n">
        <v>2026</v>
      </c>
      <c r="C561" s="3" t="inlineStr">
        <is>
          <t>Blupine</t>
        </is>
      </c>
      <c r="D561" s="3" t="inlineStr">
        <is>
          <t>Utility and C&amp;I</t>
        </is>
      </c>
      <c r="E561" s="3" t="n"/>
      <c r="F561" s="3" t="inlineStr">
        <is>
          <t>Closed</t>
        </is>
      </c>
      <c r="G561" s="3" t="inlineStr">
        <is>
          <t>Chandrashekar Patidar</t>
        </is>
      </c>
      <c r="H561" s="3" t="n">
        <v>7879764773</v>
      </c>
      <c r="I561" s="11" t="inlineStr">
        <is>
          <t>PE26032601</t>
        </is>
      </c>
      <c r="J561" s="3" t="inlineStr">
        <is>
          <t>Module Diode Failure</t>
        </is>
      </c>
      <c r="K561" s="3" t="inlineStr">
        <is>
          <t>Sadla</t>
        </is>
      </c>
      <c r="L561" s="3" t="inlineStr">
        <is>
          <t>Gujarat</t>
        </is>
      </c>
      <c r="M561" s="9" t="inlineStr">
        <is>
          <t>PS</t>
        </is>
      </c>
      <c r="N561" s="3" t="inlineStr">
        <is>
          <t>Cold Soldering</t>
        </is>
      </c>
      <c r="O561" s="3" t="n">
        <v>570</v>
      </c>
      <c r="P561" s="9" t="inlineStr">
        <is>
          <t>NSMI24060094330</t>
        </is>
      </c>
      <c r="Q561" s="53">
        <f>MID(P561,5,2)</f>
        <v/>
      </c>
      <c r="R561" s="53">
        <f>MID(P561,7,2)</f>
        <v/>
      </c>
      <c r="S561" s="3" t="inlineStr">
        <is>
          <t>G2G</t>
        </is>
      </c>
      <c r="T561" s="3" t="inlineStr">
        <is>
          <t>P4</t>
        </is>
      </c>
      <c r="U561" s="3" t="inlineStr">
        <is>
          <t>P JB Cold Soldering</t>
        </is>
      </c>
      <c r="V561" s="3" t="inlineStr">
        <is>
          <t>Soldering</t>
        </is>
      </c>
      <c r="W561" s="3" t="inlineStr">
        <is>
          <t>Repair</t>
        </is>
      </c>
      <c r="X561" s="18" t="n">
        <v>46151</v>
      </c>
      <c r="Y561" s="3">
        <f>X561-A561</f>
        <v/>
      </c>
      <c r="Z561" s="18" t="n">
        <v>46151</v>
      </c>
      <c r="AA561" s="15" t="n"/>
      <c r="AB561" s="15" t="n"/>
    </row>
    <row r="562" hidden="1" s="233">
      <c r="A562" s="6" t="n">
        <v>46107</v>
      </c>
      <c r="B562" s="3" t="n">
        <v>2026</v>
      </c>
      <c r="C562" s="3" t="inlineStr">
        <is>
          <t>Blupine</t>
        </is>
      </c>
      <c r="D562" s="3" t="inlineStr">
        <is>
          <t>Utility and C&amp;I</t>
        </is>
      </c>
      <c r="E562" s="3" t="n"/>
      <c r="F562" s="3" t="inlineStr">
        <is>
          <t>Closed</t>
        </is>
      </c>
      <c r="G562" s="3" t="inlineStr">
        <is>
          <t>Chandrashekar Patidar</t>
        </is>
      </c>
      <c r="H562" s="3" t="n">
        <v>7879764773</v>
      </c>
      <c r="I562" s="11" t="inlineStr">
        <is>
          <t>PE26032601</t>
        </is>
      </c>
      <c r="J562" s="3" t="inlineStr">
        <is>
          <t>Module Diode Failure</t>
        </is>
      </c>
      <c r="K562" s="3" t="inlineStr">
        <is>
          <t>Sadla</t>
        </is>
      </c>
      <c r="L562" s="3" t="inlineStr">
        <is>
          <t>Gujarat</t>
        </is>
      </c>
      <c r="M562" s="9" t="inlineStr">
        <is>
          <t>PS</t>
        </is>
      </c>
      <c r="N562" s="3" t="inlineStr">
        <is>
          <t>Cold Soldering</t>
        </is>
      </c>
      <c r="O562" s="3" t="n">
        <v>570</v>
      </c>
      <c r="P562" s="9" t="inlineStr">
        <is>
          <t>NSMI24060090595</t>
        </is>
      </c>
      <c r="Q562" s="53">
        <f>MID(P562,5,2)</f>
        <v/>
      </c>
      <c r="R562" s="53">
        <f>MID(P562,7,2)</f>
        <v/>
      </c>
      <c r="S562" s="3" t="inlineStr">
        <is>
          <t>G2G</t>
        </is>
      </c>
      <c r="T562" s="3" t="inlineStr">
        <is>
          <t>P4</t>
        </is>
      </c>
      <c r="U562" s="3" t="inlineStr">
        <is>
          <t>P JB Cold Soldering</t>
        </is>
      </c>
      <c r="V562" s="3" t="inlineStr">
        <is>
          <t>Soldering</t>
        </is>
      </c>
      <c r="W562" s="3" t="inlineStr">
        <is>
          <t>Repair</t>
        </is>
      </c>
      <c r="X562" s="18" t="n">
        <v>46151</v>
      </c>
      <c r="Y562" s="3">
        <f>X562-A562</f>
        <v/>
      </c>
      <c r="Z562" s="18" t="n">
        <v>46151</v>
      </c>
      <c r="AA562" s="15" t="n"/>
      <c r="AB562" s="15" t="n"/>
    </row>
    <row r="563" hidden="1" s="233">
      <c r="A563" s="6" t="n">
        <v>46107</v>
      </c>
      <c r="B563" s="3" t="n">
        <v>2026</v>
      </c>
      <c r="C563" s="3" t="inlineStr">
        <is>
          <t>Blupine</t>
        </is>
      </c>
      <c r="D563" s="3" t="inlineStr">
        <is>
          <t>Utility and C&amp;I</t>
        </is>
      </c>
      <c r="E563" s="3" t="n"/>
      <c r="F563" s="3" t="inlineStr">
        <is>
          <t>Closed</t>
        </is>
      </c>
      <c r="G563" s="3" t="inlineStr">
        <is>
          <t>Chandrashekar Patidar</t>
        </is>
      </c>
      <c r="H563" s="3" t="n">
        <v>7879764773</v>
      </c>
      <c r="I563" s="11" t="inlineStr">
        <is>
          <t>PE26032601</t>
        </is>
      </c>
      <c r="J563" s="3" t="inlineStr">
        <is>
          <t>Module Diode Failure</t>
        </is>
      </c>
      <c r="K563" s="3" t="inlineStr">
        <is>
          <t>Sadla</t>
        </is>
      </c>
      <c r="L563" s="3" t="inlineStr">
        <is>
          <t>Gujarat</t>
        </is>
      </c>
      <c r="M563" s="9" t="inlineStr">
        <is>
          <t>NS</t>
        </is>
      </c>
      <c r="N563" s="3" t="inlineStr">
        <is>
          <t>Cold Soldering</t>
        </is>
      </c>
      <c r="O563" s="3" t="n">
        <v>570</v>
      </c>
      <c r="P563" s="9" t="inlineStr">
        <is>
          <t>NSMI24060090553</t>
        </is>
      </c>
      <c r="Q563" s="53">
        <f>MID(P563,5,2)</f>
        <v/>
      </c>
      <c r="R563" s="53">
        <f>MID(P563,7,2)</f>
        <v/>
      </c>
      <c r="S563" s="3" t="inlineStr">
        <is>
          <t>G2G</t>
        </is>
      </c>
      <c r="T563" s="3" t="inlineStr">
        <is>
          <t>P4</t>
        </is>
      </c>
      <c r="U563" s="3" t="inlineStr">
        <is>
          <t>N JB Cold Soldering</t>
        </is>
      </c>
      <c r="V563" s="3" t="inlineStr">
        <is>
          <t>Soldering</t>
        </is>
      </c>
      <c r="W563" s="3" t="inlineStr">
        <is>
          <t>Repair</t>
        </is>
      </c>
      <c r="X563" s="18" t="n">
        <v>46151</v>
      </c>
      <c r="Y563" s="3">
        <f>X563-A563</f>
        <v/>
      </c>
      <c r="Z563" s="18" t="n">
        <v>46151</v>
      </c>
      <c r="AA563" s="15" t="n"/>
      <c r="AB563" s="15" t="n"/>
    </row>
    <row r="564" hidden="1" s="233">
      <c r="A564" s="6" t="n">
        <v>46107</v>
      </c>
      <c r="B564" s="3" t="n">
        <v>2026</v>
      </c>
      <c r="C564" s="3" t="inlineStr">
        <is>
          <t>Blupine</t>
        </is>
      </c>
      <c r="D564" s="3" t="inlineStr">
        <is>
          <t>Utility and C&amp;I</t>
        </is>
      </c>
      <c r="E564" s="3" t="n"/>
      <c r="F564" s="3" t="inlineStr">
        <is>
          <t>Closed</t>
        </is>
      </c>
      <c r="G564" s="3" t="inlineStr">
        <is>
          <t>Chandrashekar Patidar</t>
        </is>
      </c>
      <c r="H564" s="3" t="n">
        <v>7879764773</v>
      </c>
      <c r="I564" s="11" t="inlineStr">
        <is>
          <t>PE26032601</t>
        </is>
      </c>
      <c r="J564" s="3" t="inlineStr">
        <is>
          <t>Module Diode Failure</t>
        </is>
      </c>
      <c r="K564" s="3" t="inlineStr">
        <is>
          <t>Sadla</t>
        </is>
      </c>
      <c r="L564" s="3" t="inlineStr">
        <is>
          <t>Gujarat</t>
        </is>
      </c>
      <c r="M564" s="9" t="inlineStr">
        <is>
          <t>PS</t>
        </is>
      </c>
      <c r="N564" s="3" t="inlineStr">
        <is>
          <t>Cold Soldering</t>
        </is>
      </c>
      <c r="O564" s="3" t="n">
        <v>570</v>
      </c>
      <c r="P564" s="9" t="inlineStr">
        <is>
          <t>NSMI24050049379</t>
        </is>
      </c>
      <c r="Q564" s="53">
        <f>MID(P564,5,2)</f>
        <v/>
      </c>
      <c r="R564" s="53">
        <f>MID(P564,7,2)</f>
        <v/>
      </c>
      <c r="S564" s="3" t="inlineStr">
        <is>
          <t>G2G</t>
        </is>
      </c>
      <c r="T564" s="3" t="inlineStr">
        <is>
          <t>P4</t>
        </is>
      </c>
      <c r="U564" s="3" t="inlineStr">
        <is>
          <t>P JB Cold Soldering</t>
        </is>
      </c>
      <c r="V564" s="3" t="inlineStr">
        <is>
          <t>Soldering</t>
        </is>
      </c>
      <c r="W564" s="3" t="inlineStr">
        <is>
          <t>Repair</t>
        </is>
      </c>
      <c r="X564" s="18" t="n">
        <v>46151</v>
      </c>
      <c r="Y564" s="3">
        <f>X564-A564</f>
        <v/>
      </c>
      <c r="Z564" s="18" t="n">
        <v>46151</v>
      </c>
      <c r="AA564" s="15" t="n"/>
      <c r="AB564" s="15" t="n"/>
    </row>
    <row r="565" hidden="1" s="233">
      <c r="A565" s="6" t="n">
        <v>46107</v>
      </c>
      <c r="B565" s="3" t="n">
        <v>2026</v>
      </c>
      <c r="C565" s="3" t="inlineStr">
        <is>
          <t>Blupine</t>
        </is>
      </c>
      <c r="D565" s="3" t="inlineStr">
        <is>
          <t>Utility and C&amp;I</t>
        </is>
      </c>
      <c r="E565" s="3" t="n"/>
      <c r="F565" s="3" t="inlineStr">
        <is>
          <t>Closed</t>
        </is>
      </c>
      <c r="G565" s="3" t="inlineStr">
        <is>
          <t>Chandrashekar Patidar</t>
        </is>
      </c>
      <c r="H565" s="3" t="n">
        <v>7879764773</v>
      </c>
      <c r="I565" s="11" t="inlineStr">
        <is>
          <t>PE26032601</t>
        </is>
      </c>
      <c r="J565" s="3" t="inlineStr">
        <is>
          <t>Module Diode Failure</t>
        </is>
      </c>
      <c r="K565" s="3" t="inlineStr">
        <is>
          <t>Sadla</t>
        </is>
      </c>
      <c r="L565" s="3" t="inlineStr">
        <is>
          <t>Gujarat</t>
        </is>
      </c>
      <c r="M565" s="9" t="inlineStr">
        <is>
          <t>PS</t>
        </is>
      </c>
      <c r="N565" s="3" t="inlineStr">
        <is>
          <t>Cold Soldering</t>
        </is>
      </c>
      <c r="O565" s="3" t="n">
        <v>570</v>
      </c>
      <c r="P565" s="9" t="inlineStr">
        <is>
          <t>NSMI24060084932</t>
        </is>
      </c>
      <c r="Q565" s="53">
        <f>MID(P565,5,2)</f>
        <v/>
      </c>
      <c r="R565" s="53">
        <f>MID(P565,7,2)</f>
        <v/>
      </c>
      <c r="S565" s="3" t="inlineStr">
        <is>
          <t>G2G</t>
        </is>
      </c>
      <c r="T565" s="3" t="inlineStr">
        <is>
          <t>P4</t>
        </is>
      </c>
      <c r="U565" s="3" t="inlineStr">
        <is>
          <t>P JB Cold Soldering</t>
        </is>
      </c>
      <c r="V565" s="3" t="inlineStr">
        <is>
          <t>Soldering</t>
        </is>
      </c>
      <c r="W565" s="3" t="inlineStr">
        <is>
          <t>Repair</t>
        </is>
      </c>
      <c r="X565" s="18" t="n">
        <v>46151</v>
      </c>
      <c r="Y565" s="3">
        <f>X565-A565</f>
        <v/>
      </c>
      <c r="Z565" s="18" t="n">
        <v>46151</v>
      </c>
      <c r="AA565" s="15" t="n"/>
      <c r="AB565" s="15" t="n"/>
    </row>
    <row r="566" hidden="1" s="233">
      <c r="A566" s="6" t="n">
        <v>46107</v>
      </c>
      <c r="B566" s="3" t="n">
        <v>2026</v>
      </c>
      <c r="C566" s="3" t="inlineStr">
        <is>
          <t>Blupine</t>
        </is>
      </c>
      <c r="D566" s="3" t="inlineStr">
        <is>
          <t>Utility and C&amp;I</t>
        </is>
      </c>
      <c r="E566" s="3" t="n"/>
      <c r="F566" s="3" t="inlineStr">
        <is>
          <t>Closed</t>
        </is>
      </c>
      <c r="G566" s="3" t="inlineStr">
        <is>
          <t>Chandrashekar Patidar</t>
        </is>
      </c>
      <c r="H566" s="3" t="n">
        <v>7879764773</v>
      </c>
      <c r="I566" s="11" t="inlineStr">
        <is>
          <t>PE26032601</t>
        </is>
      </c>
      <c r="J566" s="3" t="inlineStr">
        <is>
          <t>Module Diode Failure</t>
        </is>
      </c>
      <c r="K566" s="3" t="inlineStr">
        <is>
          <t>Sadla</t>
        </is>
      </c>
      <c r="L566" s="3" t="inlineStr">
        <is>
          <t>Gujarat</t>
        </is>
      </c>
      <c r="M566" s="9" t="inlineStr">
        <is>
          <t>NS</t>
        </is>
      </c>
      <c r="N566" s="3" t="inlineStr">
        <is>
          <t>Cold Soldering</t>
        </is>
      </c>
      <c r="O566" s="3" t="n">
        <v>570</v>
      </c>
      <c r="P566" s="9" t="inlineStr">
        <is>
          <t>NSMI24060093548</t>
        </is>
      </c>
      <c r="Q566" s="53">
        <f>MID(P566,5,2)</f>
        <v/>
      </c>
      <c r="R566" s="53">
        <f>MID(P566,7,2)</f>
        <v/>
      </c>
      <c r="S566" s="3" t="inlineStr">
        <is>
          <t>G2G</t>
        </is>
      </c>
      <c r="T566" s="3" t="inlineStr">
        <is>
          <t>P4</t>
        </is>
      </c>
      <c r="U566" s="3" t="inlineStr">
        <is>
          <t>N JB Cold Soldering</t>
        </is>
      </c>
      <c r="V566" s="3" t="inlineStr">
        <is>
          <t>Soldering</t>
        </is>
      </c>
      <c r="W566" s="3" t="inlineStr">
        <is>
          <t>Repair</t>
        </is>
      </c>
      <c r="X566" s="18" t="n">
        <v>46151</v>
      </c>
      <c r="Y566" s="3">
        <f>X566-A566</f>
        <v/>
      </c>
      <c r="Z566" s="18" t="n">
        <v>46151</v>
      </c>
      <c r="AA566" s="15" t="n"/>
      <c r="AB566" s="15" t="n"/>
    </row>
    <row r="567" hidden="1" s="233">
      <c r="A567" s="6" t="n">
        <v>46107</v>
      </c>
      <c r="B567" s="3" t="n">
        <v>2026</v>
      </c>
      <c r="C567" s="3" t="inlineStr">
        <is>
          <t>Blupine</t>
        </is>
      </c>
      <c r="D567" s="3" t="inlineStr">
        <is>
          <t>Utility and C&amp;I</t>
        </is>
      </c>
      <c r="E567" s="3" t="n"/>
      <c r="F567" s="3" t="inlineStr">
        <is>
          <t>Closed</t>
        </is>
      </c>
      <c r="G567" s="3" t="inlineStr">
        <is>
          <t>Chandrashekar Patidar</t>
        </is>
      </c>
      <c r="H567" s="3" t="n">
        <v>7879764773</v>
      </c>
      <c r="I567" s="11" t="inlineStr">
        <is>
          <t>PE26032601</t>
        </is>
      </c>
      <c r="J567" s="3" t="inlineStr">
        <is>
          <t>Module Diode Failure</t>
        </is>
      </c>
      <c r="K567" s="3" t="inlineStr">
        <is>
          <t>Sadla</t>
        </is>
      </c>
      <c r="L567" s="3" t="inlineStr">
        <is>
          <t>Gujarat</t>
        </is>
      </c>
      <c r="M567" s="9" t="inlineStr">
        <is>
          <t>PS</t>
        </is>
      </c>
      <c r="N567" s="3" t="inlineStr">
        <is>
          <t>Cold Soldering</t>
        </is>
      </c>
      <c r="O567" s="3" t="n">
        <v>570</v>
      </c>
      <c r="P567" s="9" t="inlineStr">
        <is>
          <t>NSMI24060080636</t>
        </is>
      </c>
      <c r="Q567" s="53">
        <f>MID(P567,5,2)</f>
        <v/>
      </c>
      <c r="R567" s="53">
        <f>MID(P567,7,2)</f>
        <v/>
      </c>
      <c r="S567" s="3" t="inlineStr">
        <is>
          <t>G2G</t>
        </is>
      </c>
      <c r="T567" s="3" t="inlineStr">
        <is>
          <t>P4</t>
        </is>
      </c>
      <c r="U567" s="3" t="inlineStr">
        <is>
          <t>P JB Cold Soldering</t>
        </is>
      </c>
      <c r="V567" s="3" t="inlineStr">
        <is>
          <t>Soldering</t>
        </is>
      </c>
      <c r="W567" s="3" t="inlineStr">
        <is>
          <t>Repair</t>
        </is>
      </c>
      <c r="X567" s="18" t="n">
        <v>46151</v>
      </c>
      <c r="Y567" s="3">
        <f>X567-A567</f>
        <v/>
      </c>
      <c r="Z567" s="18" t="n">
        <v>46151</v>
      </c>
      <c r="AA567" s="15" t="n"/>
      <c r="AB567" s="15" t="n"/>
    </row>
    <row r="568" hidden="1" s="233">
      <c r="A568" s="6" t="n">
        <v>46107</v>
      </c>
      <c r="B568" s="3" t="n">
        <v>2026</v>
      </c>
      <c r="C568" s="3" t="inlineStr">
        <is>
          <t>Blupine</t>
        </is>
      </c>
      <c r="D568" s="3" t="inlineStr">
        <is>
          <t>Utility and C&amp;I</t>
        </is>
      </c>
      <c r="E568" s="3" t="n"/>
      <c r="F568" s="3" t="inlineStr">
        <is>
          <t>Closed</t>
        </is>
      </c>
      <c r="G568" s="3" t="inlineStr">
        <is>
          <t>Chandrashekar Patidar</t>
        </is>
      </c>
      <c r="H568" s="3" t="n">
        <v>7879764773</v>
      </c>
      <c r="I568" s="11" t="inlineStr">
        <is>
          <t>PE26032601</t>
        </is>
      </c>
      <c r="J568" s="3" t="inlineStr">
        <is>
          <t>Module Diode Failure</t>
        </is>
      </c>
      <c r="K568" s="3" t="inlineStr">
        <is>
          <t>Sadla</t>
        </is>
      </c>
      <c r="L568" s="3" t="inlineStr">
        <is>
          <t>Gujarat</t>
        </is>
      </c>
      <c r="M568" s="9" t="inlineStr">
        <is>
          <t>PNS</t>
        </is>
      </c>
      <c r="N568" s="3" t="inlineStr">
        <is>
          <t>Cold Soldering</t>
        </is>
      </c>
      <c r="O568" s="3" t="n">
        <v>570</v>
      </c>
      <c r="P568" s="9" t="inlineStr">
        <is>
          <t>NSMI24060080592</t>
        </is>
      </c>
      <c r="Q568" s="53">
        <f>MID(P568,5,2)</f>
        <v/>
      </c>
      <c r="R568" s="53">
        <f>MID(P568,7,2)</f>
        <v/>
      </c>
      <c r="S568" s="3" t="inlineStr">
        <is>
          <t>G2G</t>
        </is>
      </c>
      <c r="T568" s="3" t="inlineStr">
        <is>
          <t>P4</t>
        </is>
      </c>
      <c r="U568" s="3" t="inlineStr">
        <is>
          <t>P &amp; N JB Cold Soldering</t>
        </is>
      </c>
      <c r="V568" s="3" t="inlineStr">
        <is>
          <t>Soldering</t>
        </is>
      </c>
      <c r="W568" s="3" t="inlineStr">
        <is>
          <t>Repair</t>
        </is>
      </c>
      <c r="X568" s="18" t="n">
        <v>46151</v>
      </c>
      <c r="Y568" s="3">
        <f>X568-A568</f>
        <v/>
      </c>
      <c r="Z568" s="18" t="n">
        <v>46151</v>
      </c>
      <c r="AA568" s="15" t="n"/>
      <c r="AB568" s="15" t="n"/>
    </row>
    <row r="569" hidden="1" s="233">
      <c r="A569" s="6" t="n">
        <v>46107</v>
      </c>
      <c r="B569" s="3" t="n">
        <v>2026</v>
      </c>
      <c r="C569" s="3" t="inlineStr">
        <is>
          <t>Blupine</t>
        </is>
      </c>
      <c r="D569" s="3" t="inlineStr">
        <is>
          <t>Utility and C&amp;I</t>
        </is>
      </c>
      <c r="E569" s="3" t="n"/>
      <c r="F569" s="3" t="inlineStr">
        <is>
          <t>Closed</t>
        </is>
      </c>
      <c r="G569" s="3" t="inlineStr">
        <is>
          <t>Chandrashekar Patidar</t>
        </is>
      </c>
      <c r="H569" s="3" t="n">
        <v>7879764773</v>
      </c>
      <c r="I569" s="11" t="inlineStr">
        <is>
          <t>PE26032601</t>
        </is>
      </c>
      <c r="J569" s="3" t="inlineStr">
        <is>
          <t>Module Diode Failure</t>
        </is>
      </c>
      <c r="K569" s="3" t="inlineStr">
        <is>
          <t>Sadla</t>
        </is>
      </c>
      <c r="L569" s="3" t="inlineStr">
        <is>
          <t>Gujarat</t>
        </is>
      </c>
      <c r="M569" s="9" t="inlineStr">
        <is>
          <t>NR</t>
        </is>
      </c>
      <c r="N569" s="3" t="inlineStr">
        <is>
          <t>JB Issue</t>
        </is>
      </c>
      <c r="O569" s="3" t="n">
        <v>570</v>
      </c>
      <c r="P569" s="9" t="inlineStr">
        <is>
          <t>NSMI24050044978</t>
        </is>
      </c>
      <c r="Q569" s="53">
        <f>MID(P569,5,2)</f>
        <v/>
      </c>
      <c r="R569" s="53">
        <f>MID(P569,7,2)</f>
        <v/>
      </c>
      <c r="S569" s="3" t="inlineStr">
        <is>
          <t>G2G</t>
        </is>
      </c>
      <c r="T569" s="3" t="inlineStr">
        <is>
          <t>P4</t>
        </is>
      </c>
      <c r="U569" s="3" t="inlineStr">
        <is>
          <t>N JB Issue</t>
        </is>
      </c>
      <c r="V569" s="3" t="inlineStr">
        <is>
          <t>JB Changed</t>
        </is>
      </c>
      <c r="W569" s="3" t="inlineStr">
        <is>
          <t>Repair</t>
        </is>
      </c>
      <c r="X569" s="18" t="n">
        <v>46151</v>
      </c>
      <c r="Y569" s="3">
        <f>X569-A569</f>
        <v/>
      </c>
      <c r="Z569" s="18" t="n">
        <v>46151</v>
      </c>
      <c r="AA569" s="15" t="n"/>
      <c r="AB569" s="15" t="n"/>
    </row>
    <row r="570" hidden="1" s="233">
      <c r="A570" s="6" t="n">
        <v>46107</v>
      </c>
      <c r="B570" s="3" t="n">
        <v>2026</v>
      </c>
      <c r="C570" s="3" t="inlineStr">
        <is>
          <t>Blupine</t>
        </is>
      </c>
      <c r="D570" s="3" t="inlineStr">
        <is>
          <t>Utility and C&amp;I</t>
        </is>
      </c>
      <c r="E570" s="3" t="n"/>
      <c r="F570" s="3" t="inlineStr">
        <is>
          <t>Closed</t>
        </is>
      </c>
      <c r="G570" s="3" t="inlineStr">
        <is>
          <t>Chandrashekar Patidar</t>
        </is>
      </c>
      <c r="H570" s="3" t="n">
        <v>7879764773</v>
      </c>
      <c r="I570" s="11" t="inlineStr">
        <is>
          <t>PE26032601</t>
        </is>
      </c>
      <c r="J570" s="3" t="inlineStr">
        <is>
          <t>Module Diode Failure</t>
        </is>
      </c>
      <c r="K570" s="3" t="inlineStr">
        <is>
          <t>Sadla</t>
        </is>
      </c>
      <c r="L570" s="3" t="inlineStr">
        <is>
          <t>Gujarat</t>
        </is>
      </c>
      <c r="M570" s="9" t="inlineStr">
        <is>
          <t>NS</t>
        </is>
      </c>
      <c r="N570" s="3" t="inlineStr">
        <is>
          <t>Cold Soldering</t>
        </is>
      </c>
      <c r="O570" s="3" t="n">
        <v>570</v>
      </c>
      <c r="P570" s="9" t="inlineStr">
        <is>
          <t>NSMI24050062869</t>
        </is>
      </c>
      <c r="Q570" s="53">
        <f>MID(P570,5,2)</f>
        <v/>
      </c>
      <c r="R570" s="53">
        <f>MID(P570,7,2)</f>
        <v/>
      </c>
      <c r="S570" s="3" t="inlineStr">
        <is>
          <t>G2G</t>
        </is>
      </c>
      <c r="T570" s="3" t="inlineStr">
        <is>
          <t>P4</t>
        </is>
      </c>
      <c r="U570" s="3" t="inlineStr">
        <is>
          <t>N JB Cold Soldering</t>
        </is>
      </c>
      <c r="V570" s="3" t="inlineStr">
        <is>
          <t>Soldering</t>
        </is>
      </c>
      <c r="W570" s="3" t="inlineStr">
        <is>
          <t>Repair</t>
        </is>
      </c>
      <c r="X570" s="18" t="n">
        <v>46151</v>
      </c>
      <c r="Y570" s="3">
        <f>X570-A570</f>
        <v/>
      </c>
      <c r="Z570" s="18" t="n">
        <v>46151</v>
      </c>
      <c r="AA570" s="15" t="n"/>
      <c r="AB570" s="15" t="n"/>
    </row>
    <row r="571" hidden="1" s="233">
      <c r="A571" s="6" t="n">
        <v>46107</v>
      </c>
      <c r="B571" s="3" t="n">
        <v>2026</v>
      </c>
      <c r="C571" s="3" t="inlineStr">
        <is>
          <t>Blupine</t>
        </is>
      </c>
      <c r="D571" s="3" t="inlineStr">
        <is>
          <t>Utility and C&amp;I</t>
        </is>
      </c>
      <c r="E571" s="3" t="n"/>
      <c r="F571" s="3" t="inlineStr">
        <is>
          <t>Closed</t>
        </is>
      </c>
      <c r="G571" s="3" t="inlineStr">
        <is>
          <t>Chandrashekar Patidar</t>
        </is>
      </c>
      <c r="H571" s="3" t="n">
        <v>7879764773</v>
      </c>
      <c r="I571" s="11" t="inlineStr">
        <is>
          <t>PE26032601</t>
        </is>
      </c>
      <c r="J571" s="3" t="inlineStr">
        <is>
          <t>Module Diode Failure</t>
        </is>
      </c>
      <c r="K571" s="3" t="inlineStr">
        <is>
          <t>Sadla</t>
        </is>
      </c>
      <c r="L571" s="3" t="inlineStr">
        <is>
          <t>Gujarat</t>
        </is>
      </c>
      <c r="M571" s="9" t="inlineStr">
        <is>
          <t>NS</t>
        </is>
      </c>
      <c r="N571" s="3" t="inlineStr">
        <is>
          <t>Cold Soldering</t>
        </is>
      </c>
      <c r="O571" s="3" t="n">
        <v>570</v>
      </c>
      <c r="P571" s="9" t="inlineStr">
        <is>
          <t>NSMI24060096532</t>
        </is>
      </c>
      <c r="Q571" s="53">
        <f>MID(P571,5,2)</f>
        <v/>
      </c>
      <c r="R571" s="53">
        <f>MID(P571,7,2)</f>
        <v/>
      </c>
      <c r="S571" s="3" t="inlineStr">
        <is>
          <t>G2G</t>
        </is>
      </c>
      <c r="T571" s="3" t="inlineStr">
        <is>
          <t>P4</t>
        </is>
      </c>
      <c r="U571" s="3" t="inlineStr">
        <is>
          <t>N JB Cold Soldering</t>
        </is>
      </c>
      <c r="V571" s="3" t="inlineStr">
        <is>
          <t>Soldering</t>
        </is>
      </c>
      <c r="W571" s="3" t="inlineStr">
        <is>
          <t>Repair</t>
        </is>
      </c>
      <c r="X571" s="18" t="n">
        <v>46151</v>
      </c>
      <c r="Y571" s="3">
        <f>X571-A571</f>
        <v/>
      </c>
      <c r="Z571" s="18" t="n">
        <v>46151</v>
      </c>
      <c r="AA571" s="15" t="n"/>
      <c r="AB571" s="15" t="n"/>
    </row>
    <row r="572" hidden="1" s="233">
      <c r="A572" s="6" t="n">
        <v>46107</v>
      </c>
      <c r="B572" s="3" t="n">
        <v>2026</v>
      </c>
      <c r="C572" s="3" t="inlineStr">
        <is>
          <t>Blupine</t>
        </is>
      </c>
      <c r="D572" s="3" t="inlineStr">
        <is>
          <t>Utility and C&amp;I</t>
        </is>
      </c>
      <c r="E572" s="3" t="n"/>
      <c r="F572" s="3" t="inlineStr">
        <is>
          <t>Closed</t>
        </is>
      </c>
      <c r="G572" s="3" t="inlineStr">
        <is>
          <t>Chandrashekar Patidar</t>
        </is>
      </c>
      <c r="H572" s="3" t="n">
        <v>7879764773</v>
      </c>
      <c r="I572" s="11" t="inlineStr">
        <is>
          <t>PE26032601</t>
        </is>
      </c>
      <c r="J572" s="3" t="inlineStr">
        <is>
          <t>Module Diode Failure</t>
        </is>
      </c>
      <c r="K572" s="3" t="inlineStr">
        <is>
          <t>Sadla</t>
        </is>
      </c>
      <c r="L572" s="3" t="inlineStr">
        <is>
          <t>Gujarat</t>
        </is>
      </c>
      <c r="M572" s="9" t="inlineStr">
        <is>
          <t>NS</t>
        </is>
      </c>
      <c r="N572" s="3" t="inlineStr">
        <is>
          <t>Cold Soldering</t>
        </is>
      </c>
      <c r="O572" s="3" t="n">
        <v>570</v>
      </c>
      <c r="P572" s="9" t="inlineStr">
        <is>
          <t>NSMI24060096969</t>
        </is>
      </c>
      <c r="Q572" s="53">
        <f>MID(P572,5,2)</f>
        <v/>
      </c>
      <c r="R572" s="53">
        <f>MID(P572,7,2)</f>
        <v/>
      </c>
      <c r="S572" s="3" t="inlineStr">
        <is>
          <t>G2G</t>
        </is>
      </c>
      <c r="T572" s="3" t="inlineStr">
        <is>
          <t>P4</t>
        </is>
      </c>
      <c r="U572" s="3" t="inlineStr">
        <is>
          <t>N JB Cold Soldering</t>
        </is>
      </c>
      <c r="V572" s="3" t="inlineStr">
        <is>
          <t>Soldering</t>
        </is>
      </c>
      <c r="W572" s="3" t="inlineStr">
        <is>
          <t>Repair</t>
        </is>
      </c>
      <c r="X572" s="18" t="n">
        <v>46151</v>
      </c>
      <c r="Y572" s="3">
        <f>X572-A572</f>
        <v/>
      </c>
      <c r="Z572" s="18" t="n">
        <v>46151</v>
      </c>
      <c r="AA572" s="15" t="n"/>
      <c r="AB572" s="15" t="n"/>
    </row>
    <row r="573" hidden="1" s="233">
      <c r="A573" s="6" t="n">
        <v>46107</v>
      </c>
      <c r="B573" s="3" t="n">
        <v>2026</v>
      </c>
      <c r="C573" s="3" t="inlineStr">
        <is>
          <t>Blupine</t>
        </is>
      </c>
      <c r="D573" s="3" t="inlineStr">
        <is>
          <t>Utility and C&amp;I</t>
        </is>
      </c>
      <c r="E573" s="3" t="n"/>
      <c r="F573" s="3" t="inlineStr">
        <is>
          <t>Closed</t>
        </is>
      </c>
      <c r="G573" s="3" t="inlineStr">
        <is>
          <t>Chandrashekar Patidar</t>
        </is>
      </c>
      <c r="H573" s="3" t="n">
        <v>7879764773</v>
      </c>
      <c r="I573" s="11" t="inlineStr">
        <is>
          <t>PE26032601</t>
        </is>
      </c>
      <c r="J573" s="3" t="inlineStr">
        <is>
          <t>Module Diode Failure</t>
        </is>
      </c>
      <c r="K573" s="3" t="inlineStr">
        <is>
          <t>Sadla</t>
        </is>
      </c>
      <c r="L573" s="3" t="inlineStr">
        <is>
          <t>Gujarat</t>
        </is>
      </c>
      <c r="M573" s="9" t="inlineStr">
        <is>
          <t>NS</t>
        </is>
      </c>
      <c r="N573" s="3" t="inlineStr">
        <is>
          <t>Cold Soldering</t>
        </is>
      </c>
      <c r="O573" s="3" t="n">
        <v>570</v>
      </c>
      <c r="P573" s="9" t="inlineStr">
        <is>
          <t>NSMI24060096786</t>
        </is>
      </c>
      <c r="Q573" s="53">
        <f>MID(P573,5,2)</f>
        <v/>
      </c>
      <c r="R573" s="53">
        <f>MID(P573,7,2)</f>
        <v/>
      </c>
      <c r="S573" s="3" t="inlineStr">
        <is>
          <t>G2G</t>
        </is>
      </c>
      <c r="T573" s="3" t="inlineStr">
        <is>
          <t>P4</t>
        </is>
      </c>
      <c r="U573" s="3" t="inlineStr">
        <is>
          <t>N JB Cold Soldering</t>
        </is>
      </c>
      <c r="V573" s="3" t="inlineStr">
        <is>
          <t>Soldering</t>
        </is>
      </c>
      <c r="W573" s="3" t="inlineStr">
        <is>
          <t>Repair</t>
        </is>
      </c>
      <c r="X573" s="18" t="n">
        <v>46151</v>
      </c>
      <c r="Y573" s="3">
        <f>X573-A573</f>
        <v/>
      </c>
      <c r="Z573" s="18" t="n">
        <v>46151</v>
      </c>
      <c r="AA573" s="15" t="n"/>
      <c r="AB573" s="15" t="n"/>
    </row>
    <row r="574" hidden="1" s="233">
      <c r="A574" s="6" t="n">
        <v>46107</v>
      </c>
      <c r="B574" s="3" t="n">
        <v>2026</v>
      </c>
      <c r="C574" s="3" t="inlineStr">
        <is>
          <t>Blupine</t>
        </is>
      </c>
      <c r="D574" s="3" t="inlineStr">
        <is>
          <t>Utility and C&amp;I</t>
        </is>
      </c>
      <c r="E574" s="3" t="n"/>
      <c r="F574" s="3" t="inlineStr">
        <is>
          <t>Closed</t>
        </is>
      </c>
      <c r="G574" s="3" t="inlineStr">
        <is>
          <t>Chandrashekar Patidar</t>
        </is>
      </c>
      <c r="H574" s="3" t="n">
        <v>7879764773</v>
      </c>
      <c r="I574" s="11" t="inlineStr">
        <is>
          <t>PE26032601</t>
        </is>
      </c>
      <c r="J574" s="3" t="inlineStr">
        <is>
          <t>Module Diode Failure</t>
        </is>
      </c>
      <c r="K574" s="3" t="inlineStr">
        <is>
          <t>Sadla</t>
        </is>
      </c>
      <c r="L574" s="3" t="inlineStr">
        <is>
          <t>Gujarat</t>
        </is>
      </c>
      <c r="M574" s="9" t="inlineStr">
        <is>
          <t>NS</t>
        </is>
      </c>
      <c r="N574" s="3" t="inlineStr">
        <is>
          <t>Cold Soldering</t>
        </is>
      </c>
      <c r="O574" s="3" t="n">
        <v>570</v>
      </c>
      <c r="P574" s="9" t="inlineStr">
        <is>
          <t>NSMI24060114102</t>
        </is>
      </c>
      <c r="Q574" s="53">
        <f>MID(P574,5,2)</f>
        <v/>
      </c>
      <c r="R574" s="53">
        <f>MID(P574,7,2)</f>
        <v/>
      </c>
      <c r="S574" s="3" t="inlineStr">
        <is>
          <t>G2G</t>
        </is>
      </c>
      <c r="T574" s="3" t="inlineStr">
        <is>
          <t>P4</t>
        </is>
      </c>
      <c r="U574" s="3" t="inlineStr">
        <is>
          <t>N JB Cold Soldering</t>
        </is>
      </c>
      <c r="V574" s="3" t="inlineStr">
        <is>
          <t>Soldering</t>
        </is>
      </c>
      <c r="W574" s="3" t="inlineStr">
        <is>
          <t>Repair</t>
        </is>
      </c>
      <c r="X574" s="18" t="n">
        <v>46151</v>
      </c>
      <c r="Y574" s="3">
        <f>X574-A574</f>
        <v/>
      </c>
      <c r="Z574" s="18" t="n">
        <v>46151</v>
      </c>
      <c r="AA574" s="15" t="n"/>
      <c r="AB574" s="15" t="n"/>
    </row>
    <row r="575" hidden="1" s="233">
      <c r="A575" s="6" t="n">
        <v>46107</v>
      </c>
      <c r="B575" s="3" t="n">
        <v>2026</v>
      </c>
      <c r="C575" s="3" t="inlineStr">
        <is>
          <t>Blupine</t>
        </is>
      </c>
      <c r="D575" s="3" t="inlineStr">
        <is>
          <t>Utility and C&amp;I</t>
        </is>
      </c>
      <c r="E575" s="3" t="n"/>
      <c r="F575" s="3" t="inlineStr">
        <is>
          <t>Closed</t>
        </is>
      </c>
      <c r="G575" s="3" t="inlineStr">
        <is>
          <t>Chandrashekar Patidar</t>
        </is>
      </c>
      <c r="H575" s="3" t="n">
        <v>7879764773</v>
      </c>
      <c r="I575" s="11" t="inlineStr">
        <is>
          <t>PE26032601</t>
        </is>
      </c>
      <c r="J575" s="3" t="inlineStr">
        <is>
          <t>Module Diode Failure</t>
        </is>
      </c>
      <c r="K575" s="3" t="inlineStr">
        <is>
          <t>Sadla</t>
        </is>
      </c>
      <c r="L575" s="3" t="inlineStr">
        <is>
          <t>Gujarat</t>
        </is>
      </c>
      <c r="M575" s="9" t="inlineStr">
        <is>
          <t>NS</t>
        </is>
      </c>
      <c r="N575" s="3" t="inlineStr">
        <is>
          <t>Cold Soldering</t>
        </is>
      </c>
      <c r="O575" s="3" t="n">
        <v>570</v>
      </c>
      <c r="P575" s="9" t="inlineStr">
        <is>
          <t>NSMI24060095255</t>
        </is>
      </c>
      <c r="Q575" s="53">
        <f>MID(P575,5,2)</f>
        <v/>
      </c>
      <c r="R575" s="53">
        <f>MID(P575,7,2)</f>
        <v/>
      </c>
      <c r="S575" s="3" t="inlineStr">
        <is>
          <t>G2G</t>
        </is>
      </c>
      <c r="T575" s="3" t="inlineStr">
        <is>
          <t>P4</t>
        </is>
      </c>
      <c r="U575" s="3" t="inlineStr">
        <is>
          <t>N JB Cold Soldering</t>
        </is>
      </c>
      <c r="V575" s="3" t="inlineStr">
        <is>
          <t>Soldering</t>
        </is>
      </c>
      <c r="W575" s="3" t="inlineStr">
        <is>
          <t>Repair</t>
        </is>
      </c>
      <c r="X575" s="18" t="n">
        <v>46151</v>
      </c>
      <c r="Y575" s="3">
        <f>X575-A575</f>
        <v/>
      </c>
      <c r="Z575" s="18" t="n">
        <v>46151</v>
      </c>
      <c r="AA575" s="15" t="n"/>
      <c r="AB575" s="15" t="n"/>
    </row>
    <row r="576" hidden="1" s="233">
      <c r="A576" s="6" t="n">
        <v>46107</v>
      </c>
      <c r="B576" s="3" t="n">
        <v>2026</v>
      </c>
      <c r="C576" s="3" t="inlineStr">
        <is>
          <t>Blupine</t>
        </is>
      </c>
      <c r="D576" s="3" t="inlineStr">
        <is>
          <t>Utility and C&amp;I</t>
        </is>
      </c>
      <c r="E576" s="3" t="n"/>
      <c r="F576" s="3" t="inlineStr">
        <is>
          <t>Closed</t>
        </is>
      </c>
      <c r="G576" s="3" t="inlineStr">
        <is>
          <t>Chandrashekar Patidar</t>
        </is>
      </c>
      <c r="H576" s="3" t="n">
        <v>7879764773</v>
      </c>
      <c r="I576" s="11" t="inlineStr">
        <is>
          <t>PE26032601</t>
        </is>
      </c>
      <c r="J576" s="3" t="inlineStr">
        <is>
          <t>Module Diode Failure</t>
        </is>
      </c>
      <c r="K576" s="3" t="inlineStr">
        <is>
          <t>Sadla</t>
        </is>
      </c>
      <c r="L576" s="3" t="inlineStr">
        <is>
          <t>Gujarat</t>
        </is>
      </c>
      <c r="M576" s="9" t="inlineStr">
        <is>
          <t>NS</t>
        </is>
      </c>
      <c r="N576" s="3" t="inlineStr">
        <is>
          <t>Cold Soldering</t>
        </is>
      </c>
      <c r="O576" s="3" t="n">
        <v>570</v>
      </c>
      <c r="P576" s="9" t="inlineStr">
        <is>
          <t>NSMI24050064637</t>
        </is>
      </c>
      <c r="Q576" s="53">
        <f>MID(P576,5,2)</f>
        <v/>
      </c>
      <c r="R576" s="53">
        <f>MID(P576,7,2)</f>
        <v/>
      </c>
      <c r="S576" s="3" t="inlineStr">
        <is>
          <t>G2G</t>
        </is>
      </c>
      <c r="T576" s="3" t="inlineStr">
        <is>
          <t>P4</t>
        </is>
      </c>
      <c r="U576" s="3" t="inlineStr">
        <is>
          <t>N JB Cold Soldering</t>
        </is>
      </c>
      <c r="V576" s="3" t="inlineStr">
        <is>
          <t>Soldering</t>
        </is>
      </c>
      <c r="W576" s="3" t="inlineStr">
        <is>
          <t>Repair</t>
        </is>
      </c>
      <c r="X576" s="18" t="n">
        <v>46151</v>
      </c>
      <c r="Y576" s="3">
        <f>X576-A576</f>
        <v/>
      </c>
      <c r="Z576" s="18" t="n">
        <v>46151</v>
      </c>
      <c r="AA576" s="15" t="n"/>
      <c r="AB576" s="15" t="n"/>
    </row>
    <row r="577" hidden="1" s="233">
      <c r="A577" s="6" t="n">
        <v>46107</v>
      </c>
      <c r="B577" s="3" t="n">
        <v>2026</v>
      </c>
      <c r="C577" s="3" t="inlineStr">
        <is>
          <t>Blupine</t>
        </is>
      </c>
      <c r="D577" s="3" t="inlineStr">
        <is>
          <t>Utility and C&amp;I</t>
        </is>
      </c>
      <c r="E577" s="3" t="n"/>
      <c r="F577" s="3" t="inlineStr">
        <is>
          <t>Closed</t>
        </is>
      </c>
      <c r="G577" s="3" t="inlineStr">
        <is>
          <t>Chandrashekar Patidar</t>
        </is>
      </c>
      <c r="H577" s="3" t="n">
        <v>7879764773</v>
      </c>
      <c r="I577" s="11" t="inlineStr">
        <is>
          <t>PE26032601</t>
        </is>
      </c>
      <c r="J577" s="3" t="inlineStr">
        <is>
          <t>Module Diode Failure</t>
        </is>
      </c>
      <c r="K577" s="3" t="inlineStr">
        <is>
          <t>Sadla</t>
        </is>
      </c>
      <c r="L577" s="3" t="inlineStr">
        <is>
          <t>Gujarat</t>
        </is>
      </c>
      <c r="M577" s="9" t="inlineStr">
        <is>
          <t>NS</t>
        </is>
      </c>
      <c r="N577" s="3" t="inlineStr">
        <is>
          <t>Cold Soldering</t>
        </is>
      </c>
      <c r="O577" s="3" t="n">
        <v>570</v>
      </c>
      <c r="P577" s="9" t="inlineStr">
        <is>
          <t>NSMI24050063694</t>
        </is>
      </c>
      <c r="Q577" s="53">
        <f>MID(P577,5,2)</f>
        <v/>
      </c>
      <c r="R577" s="53">
        <f>MID(P577,7,2)</f>
        <v/>
      </c>
      <c r="S577" s="3" t="inlineStr">
        <is>
          <t>G2G</t>
        </is>
      </c>
      <c r="T577" s="3" t="inlineStr">
        <is>
          <t>P4</t>
        </is>
      </c>
      <c r="U577" s="3" t="inlineStr">
        <is>
          <t>N JB Cold Soldering</t>
        </is>
      </c>
      <c r="V577" s="3" t="inlineStr">
        <is>
          <t>Soldering</t>
        </is>
      </c>
      <c r="W577" s="3" t="inlineStr">
        <is>
          <t>Repair</t>
        </is>
      </c>
      <c r="X577" s="18" t="n">
        <v>46151</v>
      </c>
      <c r="Y577" s="3">
        <f>X577-A577</f>
        <v/>
      </c>
      <c r="Z577" s="18" t="n">
        <v>46151</v>
      </c>
      <c r="AA577" s="15" t="n"/>
      <c r="AB577" s="15" t="n"/>
    </row>
    <row r="578" hidden="1" s="233">
      <c r="A578" s="6" t="n">
        <v>46107</v>
      </c>
      <c r="B578" s="3" t="n">
        <v>2026</v>
      </c>
      <c r="C578" s="3" t="inlineStr">
        <is>
          <t>Blupine</t>
        </is>
      </c>
      <c r="D578" s="3" t="inlineStr">
        <is>
          <t>Utility and C&amp;I</t>
        </is>
      </c>
      <c r="E578" s="3" t="n"/>
      <c r="F578" s="3" t="inlineStr">
        <is>
          <t>Closed</t>
        </is>
      </c>
      <c r="G578" s="3" t="inlineStr">
        <is>
          <t>Chandrashekar Patidar</t>
        </is>
      </c>
      <c r="H578" s="3" t="n">
        <v>7879764773</v>
      </c>
      <c r="I578" s="11" t="inlineStr">
        <is>
          <t>PE26032601</t>
        </is>
      </c>
      <c r="J578" s="3" t="inlineStr">
        <is>
          <t>Module Diode Failure</t>
        </is>
      </c>
      <c r="K578" s="3" t="inlineStr">
        <is>
          <t>Sadla</t>
        </is>
      </c>
      <c r="L578" s="3" t="inlineStr">
        <is>
          <t>Gujarat</t>
        </is>
      </c>
      <c r="M578" s="9" t="inlineStr">
        <is>
          <t>NS</t>
        </is>
      </c>
      <c r="N578" s="3" t="inlineStr">
        <is>
          <t>Cold Soldering</t>
        </is>
      </c>
      <c r="O578" s="3" t="n">
        <v>570</v>
      </c>
      <c r="P578" s="9" t="inlineStr">
        <is>
          <t>NSMI24050046406</t>
        </is>
      </c>
      <c r="Q578" s="53">
        <f>MID(P578,5,2)</f>
        <v/>
      </c>
      <c r="R578" s="53">
        <f>MID(P578,7,2)</f>
        <v/>
      </c>
      <c r="S578" s="3" t="inlineStr">
        <is>
          <t>G2G</t>
        </is>
      </c>
      <c r="T578" s="3" t="inlineStr">
        <is>
          <t>P4</t>
        </is>
      </c>
      <c r="U578" s="3" t="inlineStr">
        <is>
          <t>N JB Cold Soldering</t>
        </is>
      </c>
      <c r="V578" s="3" t="inlineStr">
        <is>
          <t>Soldering</t>
        </is>
      </c>
      <c r="W578" s="3" t="inlineStr">
        <is>
          <t>Repair</t>
        </is>
      </c>
      <c r="X578" s="18" t="n">
        <v>46151</v>
      </c>
      <c r="Y578" s="3">
        <f>X578-A578</f>
        <v/>
      </c>
      <c r="Z578" s="18" t="n">
        <v>46151</v>
      </c>
      <c r="AA578" s="15" t="n"/>
      <c r="AB578" s="15" t="n"/>
    </row>
    <row r="579" hidden="1" s="233">
      <c r="A579" s="6" t="n">
        <v>46107</v>
      </c>
      <c r="B579" s="3" t="n">
        <v>2026</v>
      </c>
      <c r="C579" s="3" t="inlineStr">
        <is>
          <t>Blupine</t>
        </is>
      </c>
      <c r="D579" s="3" t="inlineStr">
        <is>
          <t>Utility and C&amp;I</t>
        </is>
      </c>
      <c r="E579" s="3" t="n"/>
      <c r="F579" s="3" t="inlineStr">
        <is>
          <t>Closed</t>
        </is>
      </c>
      <c r="G579" s="3" t="inlineStr">
        <is>
          <t>Chandrashekar Patidar</t>
        </is>
      </c>
      <c r="H579" s="3" t="n">
        <v>7879764773</v>
      </c>
      <c r="I579" s="11" t="inlineStr">
        <is>
          <t>PE26032601</t>
        </is>
      </c>
      <c r="J579" s="3" t="inlineStr">
        <is>
          <t>Module Diode Failure</t>
        </is>
      </c>
      <c r="K579" s="3" t="inlineStr">
        <is>
          <t>Sadla</t>
        </is>
      </c>
      <c r="L579" s="3" t="inlineStr">
        <is>
          <t>Gujarat</t>
        </is>
      </c>
      <c r="M579" s="9" t="inlineStr">
        <is>
          <t>NR</t>
        </is>
      </c>
      <c r="N579" s="3" t="inlineStr">
        <is>
          <t>JB Issue</t>
        </is>
      </c>
      <c r="O579" s="3" t="n">
        <v>570</v>
      </c>
      <c r="P579" s="9" t="inlineStr">
        <is>
          <t>NSMI24050046617</t>
        </is>
      </c>
      <c r="Q579" s="53">
        <f>MID(P579,5,2)</f>
        <v/>
      </c>
      <c r="R579" s="53">
        <f>MID(P579,7,2)</f>
        <v/>
      </c>
      <c r="S579" s="3" t="inlineStr">
        <is>
          <t>G2G</t>
        </is>
      </c>
      <c r="T579" s="3" t="inlineStr">
        <is>
          <t>P4</t>
        </is>
      </c>
      <c r="U579" s="3" t="inlineStr">
        <is>
          <t>N JB Issue</t>
        </is>
      </c>
      <c r="V579" s="3" t="inlineStr">
        <is>
          <t>JB Changed</t>
        </is>
      </c>
      <c r="W579" s="3" t="inlineStr">
        <is>
          <t>Repair</t>
        </is>
      </c>
      <c r="X579" s="18" t="n">
        <v>46151</v>
      </c>
      <c r="Y579" s="3">
        <f>X579-A579</f>
        <v/>
      </c>
      <c r="Z579" s="18" t="n">
        <v>46151</v>
      </c>
      <c r="AA579" s="15" t="n"/>
      <c r="AB579" s="15" t="n"/>
    </row>
    <row r="580" hidden="1" s="233">
      <c r="A580" s="6" t="n">
        <v>46107</v>
      </c>
      <c r="B580" s="3" t="n">
        <v>2026</v>
      </c>
      <c r="C580" s="3" t="inlineStr">
        <is>
          <t>Blupine</t>
        </is>
      </c>
      <c r="D580" s="3" t="inlineStr">
        <is>
          <t>Utility and C&amp;I</t>
        </is>
      </c>
      <c r="E580" s="3" t="n"/>
      <c r="F580" s="3" t="inlineStr">
        <is>
          <t>Closed</t>
        </is>
      </c>
      <c r="G580" s="3" t="inlineStr">
        <is>
          <t>Chandrashekar Patidar</t>
        </is>
      </c>
      <c r="H580" s="3" t="n">
        <v>7879764773</v>
      </c>
      <c r="I580" s="11" t="inlineStr">
        <is>
          <t>PE26032601</t>
        </is>
      </c>
      <c r="J580" s="3" t="inlineStr">
        <is>
          <t>Module Diode Failure</t>
        </is>
      </c>
      <c r="K580" s="3" t="inlineStr">
        <is>
          <t>Sadla</t>
        </is>
      </c>
      <c r="L580" s="3" t="inlineStr">
        <is>
          <t>Gujarat</t>
        </is>
      </c>
      <c r="M580" s="9" t="inlineStr">
        <is>
          <t>NS</t>
        </is>
      </c>
      <c r="N580" s="3" t="inlineStr">
        <is>
          <t>Cold Soldering</t>
        </is>
      </c>
      <c r="O580" s="3" t="n">
        <v>570</v>
      </c>
      <c r="P580" s="9" t="inlineStr">
        <is>
          <t>NSMI24050046495</t>
        </is>
      </c>
      <c r="Q580" s="53">
        <f>MID(P580,5,2)</f>
        <v/>
      </c>
      <c r="R580" s="53">
        <f>MID(P580,7,2)</f>
        <v/>
      </c>
      <c r="S580" s="3" t="inlineStr">
        <is>
          <t>G2G</t>
        </is>
      </c>
      <c r="T580" s="3" t="inlineStr">
        <is>
          <t>P4</t>
        </is>
      </c>
      <c r="U580" s="3" t="inlineStr">
        <is>
          <t>N JB Cold Soldering</t>
        </is>
      </c>
      <c r="V580" s="3" t="inlineStr">
        <is>
          <t>Soldering</t>
        </is>
      </c>
      <c r="W580" s="3" t="inlineStr">
        <is>
          <t>Repair</t>
        </is>
      </c>
      <c r="X580" s="18" t="n">
        <v>46151</v>
      </c>
      <c r="Y580" s="3">
        <f>X580-A580</f>
        <v/>
      </c>
      <c r="Z580" s="18" t="n">
        <v>46151</v>
      </c>
      <c r="AA580" s="15" t="n"/>
      <c r="AB580" s="15" t="n"/>
    </row>
    <row r="581" hidden="1" s="233">
      <c r="A581" s="6" t="n">
        <v>46107</v>
      </c>
      <c r="B581" s="3" t="n">
        <v>2026</v>
      </c>
      <c r="C581" s="3" t="inlineStr">
        <is>
          <t>Blupine</t>
        </is>
      </c>
      <c r="D581" s="3" t="inlineStr">
        <is>
          <t>Utility and C&amp;I</t>
        </is>
      </c>
      <c r="E581" s="3" t="n"/>
      <c r="F581" s="3" t="inlineStr">
        <is>
          <t>Closed</t>
        </is>
      </c>
      <c r="G581" s="3" t="inlineStr">
        <is>
          <t>Chandrashekar Patidar</t>
        </is>
      </c>
      <c r="H581" s="3" t="n">
        <v>7879764773</v>
      </c>
      <c r="I581" s="11" t="inlineStr">
        <is>
          <t>PE26032601</t>
        </is>
      </c>
      <c r="J581" s="3" t="inlineStr">
        <is>
          <t>Module Diode Failure</t>
        </is>
      </c>
      <c r="K581" s="3" t="inlineStr">
        <is>
          <t>Sadla</t>
        </is>
      </c>
      <c r="L581" s="3" t="inlineStr">
        <is>
          <t>Gujarat</t>
        </is>
      </c>
      <c r="M581" s="9" t="inlineStr">
        <is>
          <t>NS</t>
        </is>
      </c>
      <c r="N581" s="3" t="inlineStr">
        <is>
          <t>Cold Soldering</t>
        </is>
      </c>
      <c r="O581" s="3" t="n">
        <v>570</v>
      </c>
      <c r="P581" s="9" t="inlineStr">
        <is>
          <t>NSMI24050046601</t>
        </is>
      </c>
      <c r="Q581" s="53">
        <f>MID(P581,5,2)</f>
        <v/>
      </c>
      <c r="R581" s="53">
        <f>MID(P581,7,2)</f>
        <v/>
      </c>
      <c r="S581" s="3" t="inlineStr">
        <is>
          <t>G2G</t>
        </is>
      </c>
      <c r="T581" s="3" t="inlineStr">
        <is>
          <t>P4</t>
        </is>
      </c>
      <c r="U581" s="3" t="inlineStr">
        <is>
          <t>N JB Cold Soldering</t>
        </is>
      </c>
      <c r="V581" s="3" t="inlineStr">
        <is>
          <t>Soldering</t>
        </is>
      </c>
      <c r="W581" s="3" t="inlineStr">
        <is>
          <t>Repair</t>
        </is>
      </c>
      <c r="X581" s="18" t="n">
        <v>46151</v>
      </c>
      <c r="Y581" s="3">
        <f>X581-A581</f>
        <v/>
      </c>
      <c r="Z581" s="18" t="n">
        <v>46151</v>
      </c>
      <c r="AA581" s="15" t="n"/>
      <c r="AB581" s="15" t="n"/>
    </row>
    <row r="582" hidden="1" s="233">
      <c r="A582" s="6" t="n">
        <v>46107</v>
      </c>
      <c r="B582" s="3" t="n">
        <v>2026</v>
      </c>
      <c r="C582" s="3" t="inlineStr">
        <is>
          <t>Blupine</t>
        </is>
      </c>
      <c r="D582" s="3" t="inlineStr">
        <is>
          <t>Utility and C&amp;I</t>
        </is>
      </c>
      <c r="E582" s="3" t="n"/>
      <c r="F582" s="3" t="inlineStr">
        <is>
          <t>Closed</t>
        </is>
      </c>
      <c r="G582" s="3" t="inlineStr">
        <is>
          <t>Chandrashekar Patidar</t>
        </is>
      </c>
      <c r="H582" s="3" t="n">
        <v>7879764773</v>
      </c>
      <c r="I582" s="11" t="inlineStr">
        <is>
          <t>PE26032601</t>
        </is>
      </c>
      <c r="J582" s="3" t="inlineStr">
        <is>
          <t>Module Diode Failure</t>
        </is>
      </c>
      <c r="K582" s="3" t="inlineStr">
        <is>
          <t>Sadla</t>
        </is>
      </c>
      <c r="L582" s="3" t="inlineStr">
        <is>
          <t>Gujarat</t>
        </is>
      </c>
      <c r="M582" s="9" t="inlineStr">
        <is>
          <t>NS</t>
        </is>
      </c>
      <c r="N582" s="3" t="inlineStr">
        <is>
          <t>Cold Soldering</t>
        </is>
      </c>
      <c r="O582" s="3" t="n">
        <v>570</v>
      </c>
      <c r="P582" s="9" t="inlineStr">
        <is>
          <t>NSMI24050043885</t>
        </is>
      </c>
      <c r="Q582" s="53">
        <f>MID(P582,5,2)</f>
        <v/>
      </c>
      <c r="R582" s="53">
        <f>MID(P582,7,2)</f>
        <v/>
      </c>
      <c r="S582" s="3" t="inlineStr">
        <is>
          <t>G2G</t>
        </is>
      </c>
      <c r="T582" s="3" t="inlineStr">
        <is>
          <t>P4</t>
        </is>
      </c>
      <c r="U582" s="3" t="inlineStr">
        <is>
          <t>N JB Cold Soldering</t>
        </is>
      </c>
      <c r="V582" s="3" t="inlineStr">
        <is>
          <t>Soldering</t>
        </is>
      </c>
      <c r="W582" s="3" t="inlineStr">
        <is>
          <t>Repair</t>
        </is>
      </c>
      <c r="X582" s="18" t="n">
        <v>46151</v>
      </c>
      <c r="Y582" s="3">
        <f>X582-A582</f>
        <v/>
      </c>
      <c r="Z582" s="18" t="n">
        <v>46151</v>
      </c>
      <c r="AA582" s="15" t="n"/>
      <c r="AB582" s="15" t="n"/>
    </row>
    <row r="583" hidden="1" s="233">
      <c r="A583" s="6" t="n">
        <v>46107</v>
      </c>
      <c r="B583" s="3" t="n">
        <v>2026</v>
      </c>
      <c r="C583" s="3" t="inlineStr">
        <is>
          <t>Blupine</t>
        </is>
      </c>
      <c r="D583" s="3" t="inlineStr">
        <is>
          <t>Utility and C&amp;I</t>
        </is>
      </c>
      <c r="E583" s="3" t="n"/>
      <c r="F583" s="3" t="inlineStr">
        <is>
          <t>Closed</t>
        </is>
      </c>
      <c r="G583" s="3" t="inlineStr">
        <is>
          <t>Chandrashekar Patidar</t>
        </is>
      </c>
      <c r="H583" s="3" t="n">
        <v>7879764773</v>
      </c>
      <c r="I583" s="11" t="inlineStr">
        <is>
          <t>PE26032601</t>
        </is>
      </c>
      <c r="J583" s="3" t="inlineStr">
        <is>
          <t>Module Diode Failure</t>
        </is>
      </c>
      <c r="K583" s="3" t="inlineStr">
        <is>
          <t>Sadla</t>
        </is>
      </c>
      <c r="L583" s="3" t="inlineStr">
        <is>
          <t>Gujarat</t>
        </is>
      </c>
      <c r="M583" s="9" t="inlineStr">
        <is>
          <t>NS</t>
        </is>
      </c>
      <c r="N583" s="3" t="inlineStr">
        <is>
          <t>Cold Soldering</t>
        </is>
      </c>
      <c r="O583" s="3" t="n">
        <v>570</v>
      </c>
      <c r="P583" s="9" t="inlineStr">
        <is>
          <t>NSMI24050047955</t>
        </is>
      </c>
      <c r="Q583" s="53">
        <f>MID(P583,5,2)</f>
        <v/>
      </c>
      <c r="R583" s="53">
        <f>MID(P583,7,2)</f>
        <v/>
      </c>
      <c r="S583" s="3" t="inlineStr">
        <is>
          <t>G2G</t>
        </is>
      </c>
      <c r="T583" s="3" t="inlineStr">
        <is>
          <t>P4</t>
        </is>
      </c>
      <c r="U583" s="3" t="inlineStr">
        <is>
          <t>N JB Cold Soldering</t>
        </is>
      </c>
      <c r="V583" s="3" t="inlineStr">
        <is>
          <t>Soldering</t>
        </is>
      </c>
      <c r="W583" s="3" t="inlineStr">
        <is>
          <t>Repair</t>
        </is>
      </c>
      <c r="X583" s="18" t="n">
        <v>46151</v>
      </c>
      <c r="Y583" s="3">
        <f>X583-A583</f>
        <v/>
      </c>
      <c r="Z583" s="18" t="n">
        <v>46151</v>
      </c>
      <c r="AA583" s="15" t="n"/>
      <c r="AB583" s="15" t="n"/>
    </row>
    <row r="584" hidden="1" s="233">
      <c r="A584" s="6" t="n">
        <v>46107</v>
      </c>
      <c r="B584" s="3" t="n">
        <v>2026</v>
      </c>
      <c r="C584" s="3" t="inlineStr">
        <is>
          <t>Blupine</t>
        </is>
      </c>
      <c r="D584" s="3" t="inlineStr">
        <is>
          <t>Utility and C&amp;I</t>
        </is>
      </c>
      <c r="E584" s="3" t="n"/>
      <c r="F584" s="3" t="inlineStr">
        <is>
          <t>Closed</t>
        </is>
      </c>
      <c r="G584" s="3" t="inlineStr">
        <is>
          <t>Chandrashekar Patidar</t>
        </is>
      </c>
      <c r="H584" s="3" t="n">
        <v>7879764773</v>
      </c>
      <c r="I584" s="11" t="inlineStr">
        <is>
          <t>PE26032601</t>
        </is>
      </c>
      <c r="J584" s="3" t="inlineStr">
        <is>
          <t>Module Diode Failure</t>
        </is>
      </c>
      <c r="K584" s="3" t="inlineStr">
        <is>
          <t>Sadla</t>
        </is>
      </c>
      <c r="L584" s="3" t="inlineStr">
        <is>
          <t>Gujarat</t>
        </is>
      </c>
      <c r="M584" s="9" t="inlineStr">
        <is>
          <t>NS</t>
        </is>
      </c>
      <c r="N584" s="3" t="inlineStr">
        <is>
          <t>Cold Soldering</t>
        </is>
      </c>
      <c r="O584" s="3" t="n">
        <v>570</v>
      </c>
      <c r="P584" s="9" t="inlineStr">
        <is>
          <t>NSMI24060114444</t>
        </is>
      </c>
      <c r="Q584" s="53">
        <f>MID(P584,5,2)</f>
        <v/>
      </c>
      <c r="R584" s="53">
        <f>MID(P584,7,2)</f>
        <v/>
      </c>
      <c r="S584" s="3" t="inlineStr">
        <is>
          <t>G2G</t>
        </is>
      </c>
      <c r="T584" s="3" t="inlineStr">
        <is>
          <t>P4</t>
        </is>
      </c>
      <c r="U584" s="3" t="inlineStr">
        <is>
          <t>N JB Cold Soldering</t>
        </is>
      </c>
      <c r="V584" s="3" t="inlineStr">
        <is>
          <t>Soldering</t>
        </is>
      </c>
      <c r="W584" s="3" t="inlineStr">
        <is>
          <t>Repair</t>
        </is>
      </c>
      <c r="X584" s="18" t="n">
        <v>46151</v>
      </c>
      <c r="Y584" s="3">
        <f>X584-A584</f>
        <v/>
      </c>
      <c r="Z584" s="18" t="n">
        <v>46151</v>
      </c>
      <c r="AA584" s="15" t="n"/>
      <c r="AB584" s="15" t="n"/>
    </row>
    <row r="585" hidden="1" s="233">
      <c r="A585" s="6" t="n">
        <v>46107</v>
      </c>
      <c r="B585" s="3" t="n">
        <v>2026</v>
      </c>
      <c r="C585" s="3" t="inlineStr">
        <is>
          <t>Blupine</t>
        </is>
      </c>
      <c r="D585" s="3" t="inlineStr">
        <is>
          <t>Utility and C&amp;I</t>
        </is>
      </c>
      <c r="E585" s="3" t="n"/>
      <c r="F585" s="3" t="inlineStr">
        <is>
          <t>Closed</t>
        </is>
      </c>
      <c r="G585" s="3" t="inlineStr">
        <is>
          <t>Chandrashekar Patidar</t>
        </is>
      </c>
      <c r="H585" s="3" t="n">
        <v>7879764773</v>
      </c>
      <c r="I585" s="11" t="inlineStr">
        <is>
          <t>PE26032601</t>
        </is>
      </c>
      <c r="J585" s="3" t="inlineStr">
        <is>
          <t>Module Diode Failure</t>
        </is>
      </c>
      <c r="K585" s="3" t="inlineStr">
        <is>
          <t>Sadla</t>
        </is>
      </c>
      <c r="L585" s="3" t="inlineStr">
        <is>
          <t>Gujarat</t>
        </is>
      </c>
      <c r="M585" s="9" t="inlineStr">
        <is>
          <t>NS</t>
        </is>
      </c>
      <c r="N585" s="3" t="inlineStr">
        <is>
          <t>Cold Soldering</t>
        </is>
      </c>
      <c r="O585" s="3" t="n">
        <v>570</v>
      </c>
      <c r="P585" s="9" t="inlineStr">
        <is>
          <t>NSMI24050043867</t>
        </is>
      </c>
      <c r="Q585" s="53">
        <f>MID(P585,5,2)</f>
        <v/>
      </c>
      <c r="R585" s="53">
        <f>MID(P585,7,2)</f>
        <v/>
      </c>
      <c r="S585" s="3" t="inlineStr">
        <is>
          <t>G2G</t>
        </is>
      </c>
      <c r="T585" s="3" t="inlineStr">
        <is>
          <t>P4</t>
        </is>
      </c>
      <c r="U585" s="3" t="inlineStr">
        <is>
          <t>N JB Cold Soldering</t>
        </is>
      </c>
      <c r="V585" s="3" t="inlineStr">
        <is>
          <t>Soldering</t>
        </is>
      </c>
      <c r="W585" s="3" t="inlineStr">
        <is>
          <t>Repair</t>
        </is>
      </c>
      <c r="X585" s="18" t="n">
        <v>46151</v>
      </c>
      <c r="Y585" s="3">
        <f>X585-A585</f>
        <v/>
      </c>
      <c r="Z585" s="18" t="n">
        <v>46151</v>
      </c>
      <c r="AA585" s="15" t="n"/>
      <c r="AB585" s="15" t="n"/>
    </row>
    <row r="586" hidden="1" s="233">
      <c r="A586" s="6" t="n">
        <v>46107</v>
      </c>
      <c r="B586" s="3" t="n">
        <v>2026</v>
      </c>
      <c r="C586" s="3" t="inlineStr">
        <is>
          <t>Blupine</t>
        </is>
      </c>
      <c r="D586" s="3" t="inlineStr">
        <is>
          <t>Utility and C&amp;I</t>
        </is>
      </c>
      <c r="E586" s="3" t="n"/>
      <c r="F586" s="3" t="inlineStr">
        <is>
          <t>Closed</t>
        </is>
      </c>
      <c r="G586" s="3" t="inlineStr">
        <is>
          <t>Chandrashekar Patidar</t>
        </is>
      </c>
      <c r="H586" s="3" t="n">
        <v>7879764773</v>
      </c>
      <c r="I586" s="11" t="inlineStr">
        <is>
          <t>PE26032601</t>
        </is>
      </c>
      <c r="J586" s="3" t="inlineStr">
        <is>
          <t>Module Diode Failure</t>
        </is>
      </c>
      <c r="K586" s="3" t="inlineStr">
        <is>
          <t>Sadla</t>
        </is>
      </c>
      <c r="L586" s="3" t="inlineStr">
        <is>
          <t>Gujarat</t>
        </is>
      </c>
      <c r="M586" s="9" t="inlineStr">
        <is>
          <t>PS</t>
        </is>
      </c>
      <c r="N586" s="3" t="inlineStr">
        <is>
          <t>Cold Soldering</t>
        </is>
      </c>
      <c r="O586" s="3" t="n">
        <v>570</v>
      </c>
      <c r="P586" s="9" t="inlineStr">
        <is>
          <t>NSMI24050063782</t>
        </is>
      </c>
      <c r="Q586" s="53">
        <f>MID(P586,5,2)</f>
        <v/>
      </c>
      <c r="R586" s="53">
        <f>MID(P586,7,2)</f>
        <v/>
      </c>
      <c r="S586" s="3" t="inlineStr">
        <is>
          <t>G2G</t>
        </is>
      </c>
      <c r="T586" s="3" t="inlineStr">
        <is>
          <t>P4</t>
        </is>
      </c>
      <c r="U586" s="3" t="inlineStr">
        <is>
          <t>P JB Cold Soldering</t>
        </is>
      </c>
      <c r="V586" s="3" t="inlineStr">
        <is>
          <t>Soldering</t>
        </is>
      </c>
      <c r="W586" s="3" t="inlineStr">
        <is>
          <t>Repair</t>
        </is>
      </c>
      <c r="X586" s="18" t="n">
        <v>46151</v>
      </c>
      <c r="Y586" s="3">
        <f>X586-A586</f>
        <v/>
      </c>
      <c r="Z586" s="18" t="n">
        <v>46151</v>
      </c>
      <c r="AA586" s="15" t="n"/>
      <c r="AB586" s="15" t="n"/>
    </row>
    <row r="587" hidden="1" s="233">
      <c r="A587" s="6" t="n">
        <v>46107</v>
      </c>
      <c r="B587" s="3" t="n">
        <v>2026</v>
      </c>
      <c r="C587" s="3" t="inlineStr">
        <is>
          <t>Blupine</t>
        </is>
      </c>
      <c r="D587" s="3" t="inlineStr">
        <is>
          <t>Utility and C&amp;I</t>
        </is>
      </c>
      <c r="E587" s="3" t="n"/>
      <c r="F587" s="3" t="inlineStr">
        <is>
          <t>Closed</t>
        </is>
      </c>
      <c r="G587" s="3" t="inlineStr">
        <is>
          <t>Chandrashekar Patidar</t>
        </is>
      </c>
      <c r="H587" s="3" t="n">
        <v>7879764773</v>
      </c>
      <c r="I587" s="11" t="inlineStr">
        <is>
          <t>PE26032601</t>
        </is>
      </c>
      <c r="J587" s="3" t="inlineStr">
        <is>
          <t>Module Diode Failure</t>
        </is>
      </c>
      <c r="K587" s="3" t="inlineStr">
        <is>
          <t>Sadla</t>
        </is>
      </c>
      <c r="L587" s="3" t="inlineStr">
        <is>
          <t>Gujarat</t>
        </is>
      </c>
      <c r="M587" s="9" t="inlineStr">
        <is>
          <t>NS</t>
        </is>
      </c>
      <c r="N587" s="3" t="inlineStr">
        <is>
          <t>Cold Soldering</t>
        </is>
      </c>
      <c r="O587" s="3" t="n">
        <v>570</v>
      </c>
      <c r="P587" s="9" t="inlineStr">
        <is>
          <t>NSMI24050046008</t>
        </is>
      </c>
      <c r="Q587" s="53">
        <f>MID(P587,5,2)</f>
        <v/>
      </c>
      <c r="R587" s="53">
        <f>MID(P587,7,2)</f>
        <v/>
      </c>
      <c r="S587" s="3" t="inlineStr">
        <is>
          <t>G2G</t>
        </is>
      </c>
      <c r="T587" s="3" t="inlineStr">
        <is>
          <t>P4</t>
        </is>
      </c>
      <c r="U587" s="3" t="inlineStr">
        <is>
          <t>N JB Cold Soldering</t>
        </is>
      </c>
      <c r="V587" s="3" t="inlineStr">
        <is>
          <t>Soldering</t>
        </is>
      </c>
      <c r="W587" s="3" t="inlineStr">
        <is>
          <t>Repair</t>
        </is>
      </c>
      <c r="X587" s="18" t="n">
        <v>46151</v>
      </c>
      <c r="Y587" s="3">
        <f>X587-A587</f>
        <v/>
      </c>
      <c r="Z587" s="18" t="n">
        <v>46151</v>
      </c>
      <c r="AA587" s="15" t="n"/>
      <c r="AB587" s="15" t="n"/>
    </row>
    <row r="588" hidden="1" s="233">
      <c r="A588" s="6" t="n">
        <v>46107</v>
      </c>
      <c r="B588" s="3" t="n">
        <v>2026</v>
      </c>
      <c r="C588" s="3" t="inlineStr">
        <is>
          <t>Blupine</t>
        </is>
      </c>
      <c r="D588" s="3" t="inlineStr">
        <is>
          <t>Utility and C&amp;I</t>
        </is>
      </c>
      <c r="E588" s="3" t="n"/>
      <c r="F588" s="3" t="inlineStr">
        <is>
          <t>Closed</t>
        </is>
      </c>
      <c r="G588" s="3" t="inlineStr">
        <is>
          <t>Chandrashekar Patidar</t>
        </is>
      </c>
      <c r="H588" s="3" t="n">
        <v>7879764773</v>
      </c>
      <c r="I588" s="11" t="inlineStr">
        <is>
          <t>PE26032601</t>
        </is>
      </c>
      <c r="J588" s="3" t="inlineStr">
        <is>
          <t>Module Diode Failure</t>
        </is>
      </c>
      <c r="K588" s="3" t="inlineStr">
        <is>
          <t>Sadla</t>
        </is>
      </c>
      <c r="L588" s="3" t="inlineStr">
        <is>
          <t>Gujarat</t>
        </is>
      </c>
      <c r="M588" s="9" t="inlineStr">
        <is>
          <t>PS</t>
        </is>
      </c>
      <c r="N588" s="3" t="inlineStr">
        <is>
          <t>Cold Soldering</t>
        </is>
      </c>
      <c r="O588" s="3" t="n">
        <v>570</v>
      </c>
      <c r="P588" s="9" t="inlineStr">
        <is>
          <t>NSMI24060077903</t>
        </is>
      </c>
      <c r="Q588" s="53">
        <f>MID(P588,5,2)</f>
        <v/>
      </c>
      <c r="R588" s="53">
        <f>MID(P588,7,2)</f>
        <v/>
      </c>
      <c r="S588" s="3" t="inlineStr">
        <is>
          <t>G2G</t>
        </is>
      </c>
      <c r="T588" s="3" t="inlineStr">
        <is>
          <t>P4</t>
        </is>
      </c>
      <c r="U588" s="3" t="inlineStr">
        <is>
          <t>P JB Cold Soldering</t>
        </is>
      </c>
      <c r="V588" s="3" t="inlineStr">
        <is>
          <t>Soldering</t>
        </is>
      </c>
      <c r="W588" s="3" t="inlineStr">
        <is>
          <t>Repair</t>
        </is>
      </c>
      <c r="X588" s="18" t="n">
        <v>46151</v>
      </c>
      <c r="Y588" s="3">
        <f>X588-A588</f>
        <v/>
      </c>
      <c r="Z588" s="18" t="n">
        <v>46151</v>
      </c>
      <c r="AA588" s="15" t="n"/>
      <c r="AB588" s="15" t="n"/>
    </row>
    <row r="589" hidden="1" s="233">
      <c r="A589" s="6" t="n">
        <v>46107</v>
      </c>
      <c r="B589" s="3" t="n">
        <v>2026</v>
      </c>
      <c r="C589" s="3" t="inlineStr">
        <is>
          <t>Blupine</t>
        </is>
      </c>
      <c r="D589" s="3" t="inlineStr">
        <is>
          <t>Utility and C&amp;I</t>
        </is>
      </c>
      <c r="E589" s="3" t="n"/>
      <c r="F589" s="3" t="inlineStr">
        <is>
          <t>Closed</t>
        </is>
      </c>
      <c r="G589" s="3" t="inlineStr">
        <is>
          <t>Chandrashekar Patidar</t>
        </is>
      </c>
      <c r="H589" s="3" t="n">
        <v>7879764773</v>
      </c>
      <c r="I589" s="11" t="inlineStr">
        <is>
          <t>PE26032601</t>
        </is>
      </c>
      <c r="J589" s="3" t="inlineStr">
        <is>
          <t>Module Diode Failure</t>
        </is>
      </c>
      <c r="K589" s="3" t="inlineStr">
        <is>
          <t>Sadla</t>
        </is>
      </c>
      <c r="L589" s="3" t="inlineStr">
        <is>
          <t>Gujarat</t>
        </is>
      </c>
      <c r="M589" s="9" t="inlineStr">
        <is>
          <t>PS</t>
        </is>
      </c>
      <c r="N589" s="3" t="inlineStr">
        <is>
          <t>Cold Soldering</t>
        </is>
      </c>
      <c r="O589" s="3" t="n">
        <v>570</v>
      </c>
      <c r="P589" s="9" t="inlineStr">
        <is>
          <t>NSMI24060079043</t>
        </is>
      </c>
      <c r="Q589" s="53">
        <f>MID(P589,5,2)</f>
        <v/>
      </c>
      <c r="R589" s="53">
        <f>MID(P589,7,2)</f>
        <v/>
      </c>
      <c r="S589" s="3" t="inlineStr">
        <is>
          <t>G2G</t>
        </is>
      </c>
      <c r="T589" s="3" t="inlineStr">
        <is>
          <t>P4</t>
        </is>
      </c>
      <c r="U589" s="3" t="inlineStr">
        <is>
          <t>P JB Cold Soldering</t>
        </is>
      </c>
      <c r="V589" s="3" t="inlineStr">
        <is>
          <t>Soldering</t>
        </is>
      </c>
      <c r="W589" s="3" t="inlineStr">
        <is>
          <t>Repair</t>
        </is>
      </c>
      <c r="X589" s="18" t="n">
        <v>46151</v>
      </c>
      <c r="Y589" s="3">
        <f>X589-A589</f>
        <v/>
      </c>
      <c r="Z589" s="18" t="n">
        <v>46151</v>
      </c>
      <c r="AA589" s="15" t="n"/>
      <c r="AB589" s="15" t="n"/>
    </row>
    <row r="590" hidden="1" s="233">
      <c r="A590" s="6" t="n">
        <v>46107</v>
      </c>
      <c r="B590" s="3" t="n">
        <v>2026</v>
      </c>
      <c r="C590" s="3" t="inlineStr">
        <is>
          <t>Blupine</t>
        </is>
      </c>
      <c r="D590" s="3" t="inlineStr">
        <is>
          <t>Utility and C&amp;I</t>
        </is>
      </c>
      <c r="E590" s="3" t="n"/>
      <c r="F590" s="3" t="inlineStr">
        <is>
          <t>Closed</t>
        </is>
      </c>
      <c r="G590" s="3" t="inlineStr">
        <is>
          <t>Chandrashekar Patidar</t>
        </is>
      </c>
      <c r="H590" s="3" t="n">
        <v>7879764773</v>
      </c>
      <c r="I590" s="11" t="inlineStr">
        <is>
          <t>PE26032601</t>
        </is>
      </c>
      <c r="J590" s="3" t="inlineStr">
        <is>
          <t>Module Diode Failure</t>
        </is>
      </c>
      <c r="K590" s="3" t="inlineStr">
        <is>
          <t>Sadla</t>
        </is>
      </c>
      <c r="L590" s="3" t="inlineStr">
        <is>
          <t>Gujarat</t>
        </is>
      </c>
      <c r="M590" s="9" t="inlineStr">
        <is>
          <t>PS</t>
        </is>
      </c>
      <c r="N590" s="3" t="inlineStr">
        <is>
          <t>Cold Soldering</t>
        </is>
      </c>
      <c r="O590" s="3" t="n">
        <v>570</v>
      </c>
      <c r="P590" s="9" t="inlineStr">
        <is>
          <t>NSMI24050049308</t>
        </is>
      </c>
      <c r="Q590" s="53">
        <f>MID(P590,5,2)</f>
        <v/>
      </c>
      <c r="R590" s="53">
        <f>MID(P590,7,2)</f>
        <v/>
      </c>
      <c r="S590" s="3" t="inlineStr">
        <is>
          <t>G2G</t>
        </is>
      </c>
      <c r="T590" s="3" t="inlineStr">
        <is>
          <t>P4</t>
        </is>
      </c>
      <c r="U590" s="3" t="inlineStr">
        <is>
          <t>P JB Cold Soldering</t>
        </is>
      </c>
      <c r="V590" s="3" t="inlineStr">
        <is>
          <t>Soldering</t>
        </is>
      </c>
      <c r="W590" s="3" t="inlineStr">
        <is>
          <t>Repair</t>
        </is>
      </c>
      <c r="X590" s="18" t="n">
        <v>46151</v>
      </c>
      <c r="Y590" s="3">
        <f>X590-A590</f>
        <v/>
      </c>
      <c r="Z590" s="18" t="n">
        <v>46151</v>
      </c>
      <c r="AA590" s="15" t="n"/>
      <c r="AB590" s="15" t="n"/>
    </row>
    <row r="591" hidden="1" s="233">
      <c r="A591" s="6" t="n">
        <v>46107</v>
      </c>
      <c r="B591" s="3" t="n">
        <v>2026</v>
      </c>
      <c r="C591" s="3" t="inlineStr">
        <is>
          <t>Blupine</t>
        </is>
      </c>
      <c r="D591" s="3" t="inlineStr">
        <is>
          <t>Utility and C&amp;I</t>
        </is>
      </c>
      <c r="E591" s="3" t="n"/>
      <c r="F591" s="3" t="inlineStr">
        <is>
          <t>Closed</t>
        </is>
      </c>
      <c r="G591" s="3" t="inlineStr">
        <is>
          <t>Chandrashekar Patidar</t>
        </is>
      </c>
      <c r="H591" s="3" t="n">
        <v>7879764773</v>
      </c>
      <c r="I591" s="11" t="inlineStr">
        <is>
          <t>PE26032601</t>
        </is>
      </c>
      <c r="J591" s="3" t="inlineStr">
        <is>
          <t>Module Diode Failure</t>
        </is>
      </c>
      <c r="K591" s="3" t="inlineStr">
        <is>
          <t>Sadla</t>
        </is>
      </c>
      <c r="L591" s="3" t="inlineStr">
        <is>
          <t>Gujarat</t>
        </is>
      </c>
      <c r="M591" s="9" t="inlineStr">
        <is>
          <t>PS</t>
        </is>
      </c>
      <c r="N591" s="3" t="inlineStr">
        <is>
          <t>Cold Soldering</t>
        </is>
      </c>
      <c r="O591" s="3" t="n">
        <v>570</v>
      </c>
      <c r="P591" s="9" t="inlineStr">
        <is>
          <t>NSMI24050043287</t>
        </is>
      </c>
      <c r="Q591" s="53">
        <f>MID(P591,5,2)</f>
        <v/>
      </c>
      <c r="R591" s="53">
        <f>MID(P591,7,2)</f>
        <v/>
      </c>
      <c r="S591" s="3" t="inlineStr">
        <is>
          <t>G2G</t>
        </is>
      </c>
      <c r="T591" s="3" t="inlineStr">
        <is>
          <t>P4</t>
        </is>
      </c>
      <c r="U591" s="3" t="inlineStr">
        <is>
          <t>P JB Cold Soldering</t>
        </is>
      </c>
      <c r="V591" s="3" t="inlineStr">
        <is>
          <t>Soldering</t>
        </is>
      </c>
      <c r="W591" s="3" t="inlineStr">
        <is>
          <t>Repair</t>
        </is>
      </c>
      <c r="X591" s="18" t="n">
        <v>46151</v>
      </c>
      <c r="Y591" s="3">
        <f>X591-A591</f>
        <v/>
      </c>
      <c r="Z591" s="18" t="n">
        <v>46151</v>
      </c>
      <c r="AA591" s="15" t="n"/>
      <c r="AB591" s="15" t="n"/>
    </row>
    <row r="592" hidden="1" s="233">
      <c r="A592" s="6" t="n">
        <v>46107</v>
      </c>
      <c r="B592" s="3" t="n">
        <v>2026</v>
      </c>
      <c r="C592" s="3" t="inlineStr">
        <is>
          <t>Blupine</t>
        </is>
      </c>
      <c r="D592" s="3" t="inlineStr">
        <is>
          <t>Utility and C&amp;I</t>
        </is>
      </c>
      <c r="E592" s="3" t="n"/>
      <c r="F592" s="3" t="inlineStr">
        <is>
          <t>Closed</t>
        </is>
      </c>
      <c r="G592" s="3" t="inlineStr">
        <is>
          <t>Chandrashekar Patidar</t>
        </is>
      </c>
      <c r="H592" s="3" t="n">
        <v>7879764773</v>
      </c>
      <c r="I592" s="11" t="inlineStr">
        <is>
          <t>PE26032601</t>
        </is>
      </c>
      <c r="J592" s="3" t="inlineStr">
        <is>
          <t>Module Diode Failure</t>
        </is>
      </c>
      <c r="K592" s="3" t="inlineStr">
        <is>
          <t>Sadla</t>
        </is>
      </c>
      <c r="L592" s="3" t="inlineStr">
        <is>
          <t>Gujarat</t>
        </is>
      </c>
      <c r="M592" s="9" t="inlineStr">
        <is>
          <t>NS</t>
        </is>
      </c>
      <c r="N592" s="3" t="inlineStr">
        <is>
          <t>Cold Soldering</t>
        </is>
      </c>
      <c r="O592" s="3" t="n">
        <v>570</v>
      </c>
      <c r="P592" s="9" t="inlineStr">
        <is>
          <t>NSMI24050063161</t>
        </is>
      </c>
      <c r="Q592" s="53">
        <f>MID(P592,5,2)</f>
        <v/>
      </c>
      <c r="R592" s="53">
        <f>MID(P592,7,2)</f>
        <v/>
      </c>
      <c r="S592" s="3" t="inlineStr">
        <is>
          <t>G2G</t>
        </is>
      </c>
      <c r="T592" s="3" t="inlineStr">
        <is>
          <t>P4</t>
        </is>
      </c>
      <c r="U592" s="3" t="inlineStr">
        <is>
          <t>N JB Cold Soldering</t>
        </is>
      </c>
      <c r="V592" s="3" t="inlineStr">
        <is>
          <t>Soldering</t>
        </is>
      </c>
      <c r="W592" s="3" t="inlineStr">
        <is>
          <t>Repair</t>
        </is>
      </c>
      <c r="X592" s="18" t="n">
        <v>46151</v>
      </c>
      <c r="Y592" s="3">
        <f>X592-A592</f>
        <v/>
      </c>
      <c r="Z592" s="18" t="n">
        <v>46151</v>
      </c>
      <c r="AA592" s="15" t="n"/>
      <c r="AB592" s="15" t="n"/>
    </row>
    <row r="593" hidden="1" s="233">
      <c r="A593" s="6" t="n">
        <v>46107</v>
      </c>
      <c r="B593" s="3" t="n">
        <v>2026</v>
      </c>
      <c r="C593" s="3" t="inlineStr">
        <is>
          <t>Blupine</t>
        </is>
      </c>
      <c r="D593" s="3" t="inlineStr">
        <is>
          <t>Utility and C&amp;I</t>
        </is>
      </c>
      <c r="E593" s="3" t="n"/>
      <c r="F593" s="3" t="inlineStr">
        <is>
          <t>Closed</t>
        </is>
      </c>
      <c r="G593" s="3" t="inlineStr">
        <is>
          <t>Chandrashekar Patidar</t>
        </is>
      </c>
      <c r="H593" s="3" t="n">
        <v>7879764773</v>
      </c>
      <c r="I593" s="11" t="inlineStr">
        <is>
          <t>PE26032601</t>
        </is>
      </c>
      <c r="J593" s="3" t="inlineStr">
        <is>
          <t>Module Diode Failure</t>
        </is>
      </c>
      <c r="K593" s="3" t="inlineStr">
        <is>
          <t>Sadla</t>
        </is>
      </c>
      <c r="L593" s="3" t="inlineStr">
        <is>
          <t>Gujarat</t>
        </is>
      </c>
      <c r="M593" s="9" t="inlineStr">
        <is>
          <t>PS</t>
        </is>
      </c>
      <c r="N593" s="3" t="inlineStr">
        <is>
          <t>Cold Soldering</t>
        </is>
      </c>
      <c r="O593" s="3" t="n">
        <v>570</v>
      </c>
      <c r="P593" s="9" t="inlineStr">
        <is>
          <t>NSMI24060093055</t>
        </is>
      </c>
      <c r="Q593" s="53">
        <f>MID(P593,5,2)</f>
        <v/>
      </c>
      <c r="R593" s="53">
        <f>MID(P593,7,2)</f>
        <v/>
      </c>
      <c r="S593" s="3" t="inlineStr">
        <is>
          <t>G2G</t>
        </is>
      </c>
      <c r="T593" s="3" t="inlineStr">
        <is>
          <t>P4</t>
        </is>
      </c>
      <c r="U593" s="3" t="inlineStr">
        <is>
          <t>P JB Cold Soldering</t>
        </is>
      </c>
      <c r="V593" s="3" t="inlineStr">
        <is>
          <t>Soldering</t>
        </is>
      </c>
      <c r="W593" s="3" t="inlineStr">
        <is>
          <t>Repair</t>
        </is>
      </c>
      <c r="X593" s="18" t="n">
        <v>46151</v>
      </c>
      <c r="Y593" s="3">
        <f>X593-A593</f>
        <v/>
      </c>
      <c r="Z593" s="18" t="n">
        <v>46151</v>
      </c>
      <c r="AA593" s="15" t="n"/>
      <c r="AB593" s="15" t="n"/>
    </row>
    <row r="594" hidden="1" s="233">
      <c r="A594" s="6" t="n">
        <v>46107</v>
      </c>
      <c r="B594" s="3" t="n">
        <v>2026</v>
      </c>
      <c r="C594" s="3" t="inlineStr">
        <is>
          <t>Blupine</t>
        </is>
      </c>
      <c r="D594" s="3" t="inlineStr">
        <is>
          <t>Utility and C&amp;I</t>
        </is>
      </c>
      <c r="E594" s="3" t="n"/>
      <c r="F594" s="3" t="inlineStr">
        <is>
          <t>Closed</t>
        </is>
      </c>
      <c r="G594" s="3" t="inlineStr">
        <is>
          <t>Chandrashekar Patidar</t>
        </is>
      </c>
      <c r="H594" s="3" t="n">
        <v>7879764773</v>
      </c>
      <c r="I594" s="11" t="inlineStr">
        <is>
          <t>PE26032601</t>
        </is>
      </c>
      <c r="J594" s="3" t="inlineStr">
        <is>
          <t>Module Diode Failure</t>
        </is>
      </c>
      <c r="K594" s="3" t="inlineStr">
        <is>
          <t>Sadla</t>
        </is>
      </c>
      <c r="L594" s="3" t="inlineStr">
        <is>
          <t>Gujarat</t>
        </is>
      </c>
      <c r="M594" s="9" t="inlineStr">
        <is>
          <t>NS</t>
        </is>
      </c>
      <c r="N594" s="3" t="inlineStr">
        <is>
          <t>Cold Soldering</t>
        </is>
      </c>
      <c r="O594" s="3" t="n">
        <v>570</v>
      </c>
      <c r="P594" s="9" t="inlineStr">
        <is>
          <t>NSMI24060078897</t>
        </is>
      </c>
      <c r="Q594" s="53">
        <f>MID(P594,5,2)</f>
        <v/>
      </c>
      <c r="R594" s="53">
        <f>MID(P594,7,2)</f>
        <v/>
      </c>
      <c r="S594" s="3" t="inlineStr">
        <is>
          <t>G2G</t>
        </is>
      </c>
      <c r="T594" s="3" t="inlineStr">
        <is>
          <t>P4</t>
        </is>
      </c>
      <c r="U594" s="3" t="inlineStr">
        <is>
          <t>N JB Cold Soldering</t>
        </is>
      </c>
      <c r="V594" s="3" t="inlineStr">
        <is>
          <t>Soldering</t>
        </is>
      </c>
      <c r="W594" s="3" t="inlineStr">
        <is>
          <t>Repair</t>
        </is>
      </c>
      <c r="X594" s="18" t="n">
        <v>46151</v>
      </c>
      <c r="Y594" s="3">
        <f>X594-A594</f>
        <v/>
      </c>
      <c r="Z594" s="18" t="n">
        <v>46151</v>
      </c>
      <c r="AA594" s="15" t="n"/>
      <c r="AB594" s="15" t="n"/>
    </row>
    <row r="595" hidden="1" s="233">
      <c r="A595" s="6" t="n">
        <v>46107</v>
      </c>
      <c r="B595" s="3" t="n">
        <v>2026</v>
      </c>
      <c r="C595" s="3" t="inlineStr">
        <is>
          <t>Blupine</t>
        </is>
      </c>
      <c r="D595" s="3" t="inlineStr">
        <is>
          <t>Utility and C&amp;I</t>
        </is>
      </c>
      <c r="E595" s="3" t="n"/>
      <c r="F595" s="3" t="inlineStr">
        <is>
          <t>Closed</t>
        </is>
      </c>
      <c r="G595" s="3" t="inlineStr">
        <is>
          <t>Chandrashekar Patidar</t>
        </is>
      </c>
      <c r="H595" s="3" t="n">
        <v>7879764773</v>
      </c>
      <c r="I595" s="11" t="inlineStr">
        <is>
          <t>PE26032601</t>
        </is>
      </c>
      <c r="J595" s="3" t="inlineStr">
        <is>
          <t>Module Diode Failure</t>
        </is>
      </c>
      <c r="K595" s="3" t="inlineStr">
        <is>
          <t>Sadla</t>
        </is>
      </c>
      <c r="L595" s="3" t="inlineStr">
        <is>
          <t>Gujarat</t>
        </is>
      </c>
      <c r="M595" s="9" t="inlineStr">
        <is>
          <t>NS</t>
        </is>
      </c>
      <c r="N595" s="3" t="inlineStr">
        <is>
          <t>Cold Soldering</t>
        </is>
      </c>
      <c r="O595" s="3" t="n">
        <v>570</v>
      </c>
      <c r="P595" s="9" t="inlineStr">
        <is>
          <t>NSMI24060079001</t>
        </is>
      </c>
      <c r="Q595" s="53">
        <f>MID(P595,5,2)</f>
        <v/>
      </c>
      <c r="R595" s="53">
        <f>MID(P595,7,2)</f>
        <v/>
      </c>
      <c r="S595" s="3" t="inlineStr">
        <is>
          <t>G2G</t>
        </is>
      </c>
      <c r="T595" s="3" t="inlineStr">
        <is>
          <t>P4</t>
        </is>
      </c>
      <c r="U595" s="3" t="inlineStr">
        <is>
          <t>N JB Cold Soldering</t>
        </is>
      </c>
      <c r="V595" s="3" t="inlineStr">
        <is>
          <t>Soldering</t>
        </is>
      </c>
      <c r="W595" s="3" t="inlineStr">
        <is>
          <t>Repair</t>
        </is>
      </c>
      <c r="X595" s="18" t="n">
        <v>46151</v>
      </c>
      <c r="Y595" s="3">
        <f>X595-A595</f>
        <v/>
      </c>
      <c r="Z595" s="18" t="n">
        <v>46151</v>
      </c>
      <c r="AA595" s="15" t="n"/>
      <c r="AB595" s="15" t="n"/>
    </row>
    <row r="596" hidden="1" s="233">
      <c r="A596" s="6" t="n">
        <v>46107</v>
      </c>
      <c r="B596" s="3" t="n">
        <v>2026</v>
      </c>
      <c r="C596" s="3" t="inlineStr">
        <is>
          <t>Blupine</t>
        </is>
      </c>
      <c r="D596" s="3" t="inlineStr">
        <is>
          <t>Utility and C&amp;I</t>
        </is>
      </c>
      <c r="E596" s="3" t="n"/>
      <c r="F596" s="3" t="inlineStr">
        <is>
          <t>Closed</t>
        </is>
      </c>
      <c r="G596" s="3" t="inlineStr">
        <is>
          <t>Chandrashekar Patidar</t>
        </is>
      </c>
      <c r="H596" s="3" t="n">
        <v>7879764773</v>
      </c>
      <c r="I596" s="11" t="inlineStr">
        <is>
          <t>PE26032601</t>
        </is>
      </c>
      <c r="J596" s="3" t="inlineStr">
        <is>
          <t>Module Diode Failure</t>
        </is>
      </c>
      <c r="K596" s="3" t="inlineStr">
        <is>
          <t>Sadla</t>
        </is>
      </c>
      <c r="L596" s="3" t="inlineStr">
        <is>
          <t>Gujarat</t>
        </is>
      </c>
      <c r="M596" s="9" t="inlineStr">
        <is>
          <t>NS</t>
        </is>
      </c>
      <c r="N596" s="3" t="inlineStr">
        <is>
          <t>Cold Soldering</t>
        </is>
      </c>
      <c r="O596" s="3" t="n">
        <v>570</v>
      </c>
      <c r="P596" s="9" t="inlineStr">
        <is>
          <t>NSMI24050048461</t>
        </is>
      </c>
      <c r="Q596" s="53">
        <f>MID(P596,5,2)</f>
        <v/>
      </c>
      <c r="R596" s="53">
        <f>MID(P596,7,2)</f>
        <v/>
      </c>
      <c r="S596" s="3" t="inlineStr">
        <is>
          <t>G2G</t>
        </is>
      </c>
      <c r="T596" s="3" t="inlineStr">
        <is>
          <t>P4</t>
        </is>
      </c>
      <c r="U596" s="3" t="inlineStr">
        <is>
          <t>N JB Cold Soldering</t>
        </is>
      </c>
      <c r="V596" s="3" t="inlineStr">
        <is>
          <t>Soldering</t>
        </is>
      </c>
      <c r="W596" s="3" t="inlineStr">
        <is>
          <t>Repair</t>
        </is>
      </c>
      <c r="X596" s="18" t="n">
        <v>46151</v>
      </c>
      <c r="Y596" s="3">
        <f>X596-A596</f>
        <v/>
      </c>
      <c r="Z596" s="18" t="n">
        <v>46151</v>
      </c>
      <c r="AA596" s="15" t="n"/>
      <c r="AB596" s="15" t="n"/>
    </row>
    <row r="597" hidden="1" s="233">
      <c r="A597" s="6" t="n">
        <v>46107</v>
      </c>
      <c r="B597" s="3" t="n">
        <v>2026</v>
      </c>
      <c r="C597" s="3" t="inlineStr">
        <is>
          <t>Blupine</t>
        </is>
      </c>
      <c r="D597" s="3" t="inlineStr">
        <is>
          <t>Utility and C&amp;I</t>
        </is>
      </c>
      <c r="E597" s="3" t="n"/>
      <c r="F597" s="3" t="inlineStr">
        <is>
          <t>Closed</t>
        </is>
      </c>
      <c r="G597" s="3" t="inlineStr">
        <is>
          <t>Chandrashekar Patidar</t>
        </is>
      </c>
      <c r="H597" s="3" t="n">
        <v>7879764773</v>
      </c>
      <c r="I597" s="11" t="inlineStr">
        <is>
          <t>PE26032601</t>
        </is>
      </c>
      <c r="J597" s="3" t="inlineStr">
        <is>
          <t>Module Diode Failure</t>
        </is>
      </c>
      <c r="K597" s="3" t="inlineStr">
        <is>
          <t>Sadla</t>
        </is>
      </c>
      <c r="L597" s="3" t="inlineStr">
        <is>
          <t>Gujarat</t>
        </is>
      </c>
      <c r="M597" s="9" t="inlineStr">
        <is>
          <t>NS</t>
        </is>
      </c>
      <c r="N597" s="3" t="inlineStr">
        <is>
          <t>Cold Soldering</t>
        </is>
      </c>
      <c r="O597" s="3" t="n">
        <v>570</v>
      </c>
      <c r="P597" s="9" t="inlineStr">
        <is>
          <t>NSMI24050046176</t>
        </is>
      </c>
      <c r="Q597" s="53">
        <f>MID(P597,5,2)</f>
        <v/>
      </c>
      <c r="R597" s="53">
        <f>MID(P597,7,2)</f>
        <v/>
      </c>
      <c r="S597" s="3" t="inlineStr">
        <is>
          <t>G2G</t>
        </is>
      </c>
      <c r="T597" s="3" t="inlineStr">
        <is>
          <t>P4</t>
        </is>
      </c>
      <c r="U597" s="3" t="inlineStr">
        <is>
          <t>N JB Cold Soldering</t>
        </is>
      </c>
      <c r="V597" s="3" t="inlineStr">
        <is>
          <t>Soldering</t>
        </is>
      </c>
      <c r="W597" s="3" t="inlineStr">
        <is>
          <t>Repair</t>
        </is>
      </c>
      <c r="X597" s="18" t="n">
        <v>46151</v>
      </c>
      <c r="Y597" s="3">
        <f>X597-A597</f>
        <v/>
      </c>
      <c r="Z597" s="18" t="n">
        <v>46151</v>
      </c>
      <c r="AA597" s="15" t="n"/>
      <c r="AB597" s="15" t="n"/>
    </row>
    <row r="598" hidden="1" s="233">
      <c r="A598" s="6" t="n">
        <v>46107</v>
      </c>
      <c r="B598" s="3" t="n">
        <v>2026</v>
      </c>
      <c r="C598" s="3" t="inlineStr">
        <is>
          <t>Blupine</t>
        </is>
      </c>
      <c r="D598" s="3" t="inlineStr">
        <is>
          <t>Utility and C&amp;I</t>
        </is>
      </c>
      <c r="E598" s="3" t="n"/>
      <c r="F598" s="3" t="inlineStr">
        <is>
          <t>Closed</t>
        </is>
      </c>
      <c r="G598" s="3" t="inlineStr">
        <is>
          <t>Chandrashekar Patidar</t>
        </is>
      </c>
      <c r="H598" s="3" t="n">
        <v>7879764773</v>
      </c>
      <c r="I598" s="11" t="inlineStr">
        <is>
          <t>PE26032601</t>
        </is>
      </c>
      <c r="J598" s="3" t="inlineStr">
        <is>
          <t>Module Diode Failure</t>
        </is>
      </c>
      <c r="K598" s="3" t="inlineStr">
        <is>
          <t>Sadla</t>
        </is>
      </c>
      <c r="L598" s="3" t="inlineStr">
        <is>
          <t>Gujarat</t>
        </is>
      </c>
      <c r="M598" s="9" t="inlineStr">
        <is>
          <t>NS</t>
        </is>
      </c>
      <c r="N598" s="3" t="inlineStr">
        <is>
          <t>Cold Soldering</t>
        </is>
      </c>
      <c r="O598" s="3" t="n">
        <v>570</v>
      </c>
      <c r="P598" s="9" t="inlineStr">
        <is>
          <t>NSMI24050046353</t>
        </is>
      </c>
      <c r="Q598" s="53">
        <f>MID(P598,5,2)</f>
        <v/>
      </c>
      <c r="R598" s="53">
        <f>MID(P598,7,2)</f>
        <v/>
      </c>
      <c r="S598" s="3" t="inlineStr">
        <is>
          <t>G2G</t>
        </is>
      </c>
      <c r="T598" s="3" t="inlineStr">
        <is>
          <t>P4</t>
        </is>
      </c>
      <c r="U598" s="3" t="inlineStr">
        <is>
          <t>N JB Cold Soldering</t>
        </is>
      </c>
      <c r="V598" s="3" t="inlineStr">
        <is>
          <t>Soldering</t>
        </is>
      </c>
      <c r="W598" s="3" t="inlineStr">
        <is>
          <t>Repair</t>
        </is>
      </c>
      <c r="X598" s="18" t="n">
        <v>46151</v>
      </c>
      <c r="Y598" s="3">
        <f>X598-A598</f>
        <v/>
      </c>
      <c r="Z598" s="18" t="n">
        <v>46151</v>
      </c>
      <c r="AA598" s="15" t="n"/>
      <c r="AB598" s="15" t="n"/>
    </row>
    <row r="599" hidden="1" s="233">
      <c r="A599" s="6" t="n">
        <v>46107</v>
      </c>
      <c r="B599" s="3" t="n">
        <v>2026</v>
      </c>
      <c r="C599" s="3" t="inlineStr">
        <is>
          <t>Blupine</t>
        </is>
      </c>
      <c r="D599" s="3" t="inlineStr">
        <is>
          <t>Utility and C&amp;I</t>
        </is>
      </c>
      <c r="E599" s="3" t="n"/>
      <c r="F599" s="3" t="inlineStr">
        <is>
          <t>Closed</t>
        </is>
      </c>
      <c r="G599" s="3" t="inlineStr">
        <is>
          <t>Chandrashekar Patidar</t>
        </is>
      </c>
      <c r="H599" s="3" t="n">
        <v>7879764773</v>
      </c>
      <c r="I599" s="11" t="inlineStr">
        <is>
          <t>PE26032601</t>
        </is>
      </c>
      <c r="J599" s="3" t="inlineStr">
        <is>
          <t>Module Diode Failure</t>
        </is>
      </c>
      <c r="K599" s="3" t="inlineStr">
        <is>
          <t>Sadla</t>
        </is>
      </c>
      <c r="L599" s="3" t="inlineStr">
        <is>
          <t>Gujarat</t>
        </is>
      </c>
      <c r="M599" s="9" t="inlineStr">
        <is>
          <t>NS</t>
        </is>
      </c>
      <c r="N599" s="3" t="inlineStr">
        <is>
          <t>Cold Soldering</t>
        </is>
      </c>
      <c r="O599" s="3" t="n">
        <v>570</v>
      </c>
      <c r="P599" s="9" t="inlineStr">
        <is>
          <t>NSMI24050044906</t>
        </is>
      </c>
      <c r="Q599" s="53">
        <f>MID(P599,5,2)</f>
        <v/>
      </c>
      <c r="R599" s="53">
        <f>MID(P599,7,2)</f>
        <v/>
      </c>
      <c r="S599" s="3" t="inlineStr">
        <is>
          <t>G2G</t>
        </is>
      </c>
      <c r="T599" s="3" t="inlineStr">
        <is>
          <t>P4</t>
        </is>
      </c>
      <c r="U599" s="3" t="inlineStr">
        <is>
          <t>N JB Cold Soldering</t>
        </is>
      </c>
      <c r="V599" s="3" t="inlineStr">
        <is>
          <t>Soldering</t>
        </is>
      </c>
      <c r="W599" s="3" t="inlineStr">
        <is>
          <t>Repair</t>
        </is>
      </c>
      <c r="X599" s="18" t="n">
        <v>46151</v>
      </c>
      <c r="Y599" s="3">
        <f>X599-A599</f>
        <v/>
      </c>
      <c r="Z599" s="18" t="n">
        <v>46151</v>
      </c>
      <c r="AA599" s="15" t="n"/>
      <c r="AB599" s="15" t="n"/>
    </row>
    <row r="600" hidden="1" s="233">
      <c r="A600" s="6" t="n">
        <v>46107</v>
      </c>
      <c r="B600" s="3" t="n">
        <v>2026</v>
      </c>
      <c r="C600" s="3" t="inlineStr">
        <is>
          <t>Blupine</t>
        </is>
      </c>
      <c r="D600" s="3" t="inlineStr">
        <is>
          <t>Utility and C&amp;I</t>
        </is>
      </c>
      <c r="E600" s="3" t="n"/>
      <c r="F600" s="3" t="inlineStr">
        <is>
          <t>Closed</t>
        </is>
      </c>
      <c r="G600" s="3" t="inlineStr">
        <is>
          <t>Chandrashekar Patidar</t>
        </is>
      </c>
      <c r="H600" s="3" t="n">
        <v>7879764773</v>
      </c>
      <c r="I600" s="11" t="inlineStr">
        <is>
          <t>PE26032601</t>
        </is>
      </c>
      <c r="J600" s="3" t="inlineStr">
        <is>
          <t>Module Diode Failure</t>
        </is>
      </c>
      <c r="K600" s="3" t="inlineStr">
        <is>
          <t>Sadla</t>
        </is>
      </c>
      <c r="L600" s="3" t="inlineStr">
        <is>
          <t>Gujarat</t>
        </is>
      </c>
      <c r="M600" s="9" t="inlineStr">
        <is>
          <t>NS</t>
        </is>
      </c>
      <c r="N600" s="3" t="inlineStr">
        <is>
          <t>Cold Soldering</t>
        </is>
      </c>
      <c r="O600" s="3" t="n">
        <v>570</v>
      </c>
      <c r="P600" s="9" t="inlineStr">
        <is>
          <t>NSMI24050047157</t>
        </is>
      </c>
      <c r="Q600" s="53">
        <f>MID(P600,5,2)</f>
        <v/>
      </c>
      <c r="R600" s="53">
        <f>MID(P600,7,2)</f>
        <v/>
      </c>
      <c r="S600" s="3" t="inlineStr">
        <is>
          <t>G2G</t>
        </is>
      </c>
      <c r="T600" s="3" t="inlineStr">
        <is>
          <t>P4</t>
        </is>
      </c>
      <c r="U600" s="3" t="inlineStr">
        <is>
          <t>N JB Cold Soldering</t>
        </is>
      </c>
      <c r="V600" s="3" t="inlineStr">
        <is>
          <t>Soldering</t>
        </is>
      </c>
      <c r="W600" s="3" t="inlineStr">
        <is>
          <t>Repair</t>
        </is>
      </c>
      <c r="X600" s="18" t="n">
        <v>46151</v>
      </c>
      <c r="Y600" s="3">
        <f>X600-A600</f>
        <v/>
      </c>
      <c r="Z600" s="18" t="n">
        <v>46151</v>
      </c>
      <c r="AA600" s="15" t="n"/>
      <c r="AB600" s="15" t="n"/>
    </row>
    <row r="601" hidden="1" s="233">
      <c r="A601" s="6" t="n">
        <v>46107</v>
      </c>
      <c r="B601" s="3" t="n">
        <v>2026</v>
      </c>
      <c r="C601" s="3" t="inlineStr">
        <is>
          <t>Blupine</t>
        </is>
      </c>
      <c r="D601" s="3" t="inlineStr">
        <is>
          <t>Utility and C&amp;I</t>
        </is>
      </c>
      <c r="E601" s="3" t="n"/>
      <c r="F601" s="3" t="inlineStr">
        <is>
          <t>Closed</t>
        </is>
      </c>
      <c r="G601" s="3" t="inlineStr">
        <is>
          <t>Chandrashekar Patidar</t>
        </is>
      </c>
      <c r="H601" s="3" t="n">
        <v>7879764773</v>
      </c>
      <c r="I601" s="11" t="inlineStr">
        <is>
          <t>PE26032601</t>
        </is>
      </c>
      <c r="J601" s="3" t="inlineStr">
        <is>
          <t>Module Diode Failure</t>
        </is>
      </c>
      <c r="K601" s="3" t="inlineStr">
        <is>
          <t>Sadla</t>
        </is>
      </c>
      <c r="L601" s="3" t="inlineStr">
        <is>
          <t>Gujarat</t>
        </is>
      </c>
      <c r="M601" s="9" t="inlineStr">
        <is>
          <t>NS</t>
        </is>
      </c>
      <c r="N601" s="3" t="inlineStr">
        <is>
          <t>Cold Soldering</t>
        </is>
      </c>
      <c r="O601" s="3" t="n">
        <v>570</v>
      </c>
      <c r="P601" s="9" t="inlineStr">
        <is>
          <t>NSMI24050047842</t>
        </is>
      </c>
      <c r="Q601" s="53">
        <f>MID(P601,5,2)</f>
        <v/>
      </c>
      <c r="R601" s="53">
        <f>MID(P601,7,2)</f>
        <v/>
      </c>
      <c r="S601" s="3" t="inlineStr">
        <is>
          <t>G2G</t>
        </is>
      </c>
      <c r="T601" s="3" t="inlineStr">
        <is>
          <t>P4</t>
        </is>
      </c>
      <c r="U601" s="3" t="inlineStr">
        <is>
          <t>N JB Cold Soldering</t>
        </is>
      </c>
      <c r="V601" s="3" t="inlineStr">
        <is>
          <t>Soldering</t>
        </is>
      </c>
      <c r="W601" s="3" t="inlineStr">
        <is>
          <t>Repair</t>
        </is>
      </c>
      <c r="X601" s="18" t="n">
        <v>46151</v>
      </c>
      <c r="Y601" s="3">
        <f>X601-A601</f>
        <v/>
      </c>
      <c r="Z601" s="18" t="n">
        <v>46151</v>
      </c>
      <c r="AA601" s="15" t="n"/>
      <c r="AB601" s="15" t="n"/>
    </row>
    <row r="602" hidden="1" s="233">
      <c r="A602" s="6" t="n">
        <v>46107</v>
      </c>
      <c r="B602" s="3" t="n">
        <v>2026</v>
      </c>
      <c r="C602" s="3" t="inlineStr">
        <is>
          <t>Blupine</t>
        </is>
      </c>
      <c r="D602" s="3" t="inlineStr">
        <is>
          <t>Utility and C&amp;I</t>
        </is>
      </c>
      <c r="E602" s="3" t="n"/>
      <c r="F602" s="3" t="inlineStr">
        <is>
          <t>Closed</t>
        </is>
      </c>
      <c r="G602" s="3" t="inlineStr">
        <is>
          <t>Chandrashekar Patidar</t>
        </is>
      </c>
      <c r="H602" s="3" t="n">
        <v>7879764773</v>
      </c>
      <c r="I602" s="11" t="inlineStr">
        <is>
          <t>PE26032601</t>
        </is>
      </c>
      <c r="J602" s="3" t="inlineStr">
        <is>
          <t>Module Diode Failure</t>
        </is>
      </c>
      <c r="K602" s="3" t="inlineStr">
        <is>
          <t>Sadla</t>
        </is>
      </c>
      <c r="L602" s="3" t="inlineStr">
        <is>
          <t>Gujarat</t>
        </is>
      </c>
      <c r="M602" s="9" t="inlineStr">
        <is>
          <t>NS</t>
        </is>
      </c>
      <c r="N602" s="3" t="inlineStr">
        <is>
          <t>Cold Soldering</t>
        </is>
      </c>
      <c r="O602" s="3" t="n">
        <v>570</v>
      </c>
      <c r="P602" s="9" t="inlineStr">
        <is>
          <t>NSMI24060085589</t>
        </is>
      </c>
      <c r="Q602" s="53">
        <f>MID(P602,5,2)</f>
        <v/>
      </c>
      <c r="R602" s="53">
        <f>MID(P602,7,2)</f>
        <v/>
      </c>
      <c r="S602" s="3" t="inlineStr">
        <is>
          <t>G2G</t>
        </is>
      </c>
      <c r="T602" s="3" t="inlineStr">
        <is>
          <t>P4</t>
        </is>
      </c>
      <c r="U602" s="3" t="inlineStr">
        <is>
          <t>N JB Cold Soldering</t>
        </is>
      </c>
      <c r="V602" s="3" t="inlineStr">
        <is>
          <t>Soldering</t>
        </is>
      </c>
      <c r="W602" s="3" t="inlineStr">
        <is>
          <t>Repair</t>
        </is>
      </c>
      <c r="X602" s="18" t="n">
        <v>46151</v>
      </c>
      <c r="Y602" s="3">
        <f>X602-A602</f>
        <v/>
      </c>
      <c r="Z602" s="18" t="n">
        <v>46151</v>
      </c>
      <c r="AA602" s="15" t="n"/>
      <c r="AB602" s="15" t="n"/>
    </row>
    <row r="603" hidden="1" s="233">
      <c r="A603" s="6" t="n">
        <v>46107</v>
      </c>
      <c r="B603" s="3" t="n">
        <v>2026</v>
      </c>
      <c r="C603" s="3" t="inlineStr">
        <is>
          <t>Blupine</t>
        </is>
      </c>
      <c r="D603" s="3" t="inlineStr">
        <is>
          <t>Utility and C&amp;I</t>
        </is>
      </c>
      <c r="E603" s="3" t="n"/>
      <c r="F603" s="3" t="inlineStr">
        <is>
          <t>Closed</t>
        </is>
      </c>
      <c r="G603" s="3" t="inlineStr">
        <is>
          <t>Chandrashekar Patidar</t>
        </is>
      </c>
      <c r="H603" s="3" t="n">
        <v>7879764773</v>
      </c>
      <c r="I603" s="11" t="inlineStr">
        <is>
          <t>PE26032601</t>
        </is>
      </c>
      <c r="J603" s="3" t="inlineStr">
        <is>
          <t>Module Diode Failure</t>
        </is>
      </c>
      <c r="K603" s="3" t="inlineStr">
        <is>
          <t>Sadla</t>
        </is>
      </c>
      <c r="L603" s="3" t="inlineStr">
        <is>
          <t>Gujarat</t>
        </is>
      </c>
      <c r="M603" s="9" t="inlineStr">
        <is>
          <t xml:space="preserve">NS </t>
        </is>
      </c>
      <c r="N603" s="3" t="inlineStr">
        <is>
          <t>Cold Soldering</t>
        </is>
      </c>
      <c r="O603" s="3" t="n">
        <v>570</v>
      </c>
      <c r="P603" s="9" t="inlineStr">
        <is>
          <t>NSMI24060092391</t>
        </is>
      </c>
      <c r="Q603" s="53">
        <f>MID(P603,5,2)</f>
        <v/>
      </c>
      <c r="R603" s="53">
        <f>MID(P603,7,2)</f>
        <v/>
      </c>
      <c r="S603" s="3" t="inlineStr">
        <is>
          <t>G2G</t>
        </is>
      </c>
      <c r="T603" s="3" t="inlineStr">
        <is>
          <t>P4</t>
        </is>
      </c>
      <c r="U603" s="3" t="inlineStr">
        <is>
          <t>N JB Cold Soldering</t>
        </is>
      </c>
      <c r="V603" s="3" t="inlineStr">
        <is>
          <t>Soldering</t>
        </is>
      </c>
      <c r="W603" s="3" t="inlineStr">
        <is>
          <t>Repair</t>
        </is>
      </c>
      <c r="X603" s="18" t="n">
        <v>46151</v>
      </c>
      <c r="Y603" s="3">
        <f>X603-A603</f>
        <v/>
      </c>
      <c r="Z603" s="18" t="n">
        <v>46151</v>
      </c>
      <c r="AA603" s="15" t="n"/>
      <c r="AB603" s="15" t="n"/>
    </row>
    <row r="604" hidden="1" s="233">
      <c r="A604" s="6" t="n">
        <v>46107</v>
      </c>
      <c r="B604" s="3" t="n">
        <v>2026</v>
      </c>
      <c r="C604" s="3" t="inlineStr">
        <is>
          <t>Blupine</t>
        </is>
      </c>
      <c r="D604" s="3" t="inlineStr">
        <is>
          <t>Utility and C&amp;I</t>
        </is>
      </c>
      <c r="E604" s="3" t="n"/>
      <c r="F604" s="3" t="inlineStr">
        <is>
          <t>Closed</t>
        </is>
      </c>
      <c r="G604" s="3" t="inlineStr">
        <is>
          <t>Chandrashekar Patidar</t>
        </is>
      </c>
      <c r="H604" s="3" t="n">
        <v>7879764773</v>
      </c>
      <c r="I604" s="11" t="inlineStr">
        <is>
          <t>PE26032601</t>
        </is>
      </c>
      <c r="J604" s="3" t="inlineStr">
        <is>
          <t>Module Diode Failure</t>
        </is>
      </c>
      <c r="K604" s="3" t="inlineStr">
        <is>
          <t>Sadla</t>
        </is>
      </c>
      <c r="L604" s="3" t="inlineStr">
        <is>
          <t>Gujarat</t>
        </is>
      </c>
      <c r="M604" s="9" t="inlineStr">
        <is>
          <t>NS</t>
        </is>
      </c>
      <c r="N604" s="3" t="inlineStr">
        <is>
          <t>Cold Soldering</t>
        </is>
      </c>
      <c r="O604" s="3" t="n">
        <v>570</v>
      </c>
      <c r="P604" s="9" t="inlineStr">
        <is>
          <t>NSMI24060113928</t>
        </is>
      </c>
      <c r="Q604" s="53">
        <f>MID(P604,5,2)</f>
        <v/>
      </c>
      <c r="R604" s="53">
        <f>MID(P604,7,2)</f>
        <v/>
      </c>
      <c r="S604" s="3" t="inlineStr">
        <is>
          <t>G2G</t>
        </is>
      </c>
      <c r="T604" s="3" t="inlineStr">
        <is>
          <t>P4</t>
        </is>
      </c>
      <c r="U604" s="3" t="inlineStr">
        <is>
          <t>N JB Cold Soldering</t>
        </is>
      </c>
      <c r="V604" s="3" t="inlineStr">
        <is>
          <t>Soldering</t>
        </is>
      </c>
      <c r="W604" s="3" t="inlineStr">
        <is>
          <t>Repair</t>
        </is>
      </c>
      <c r="X604" s="18" t="n">
        <v>46151</v>
      </c>
      <c r="Y604" s="3">
        <f>X604-A604</f>
        <v/>
      </c>
      <c r="Z604" s="18" t="n">
        <v>46151</v>
      </c>
      <c r="AA604" s="15" t="n"/>
      <c r="AB604" s="15" t="n"/>
    </row>
    <row r="605" hidden="1" s="233">
      <c r="A605" s="6" t="n">
        <v>46107</v>
      </c>
      <c r="B605" s="3" t="n">
        <v>2026</v>
      </c>
      <c r="C605" s="3" t="inlineStr">
        <is>
          <t>Blupine</t>
        </is>
      </c>
      <c r="D605" s="3" t="inlineStr">
        <is>
          <t>Utility and C&amp;I</t>
        </is>
      </c>
      <c r="E605" s="3" t="n"/>
      <c r="F605" s="3" t="inlineStr">
        <is>
          <t>Closed</t>
        </is>
      </c>
      <c r="G605" s="3" t="inlineStr">
        <is>
          <t>Chandrashekar Patidar</t>
        </is>
      </c>
      <c r="H605" s="3" t="n">
        <v>7879764773</v>
      </c>
      <c r="I605" s="11" t="inlineStr">
        <is>
          <t>PE26032601</t>
        </is>
      </c>
      <c r="J605" s="3" t="inlineStr">
        <is>
          <t>Module Diode Failure</t>
        </is>
      </c>
      <c r="K605" s="3" t="inlineStr">
        <is>
          <t>Sadla</t>
        </is>
      </c>
      <c r="L605" s="3" t="inlineStr">
        <is>
          <t>Gujarat</t>
        </is>
      </c>
      <c r="M605" s="9" t="inlineStr">
        <is>
          <t>NS</t>
        </is>
      </c>
      <c r="N605" s="3" t="inlineStr">
        <is>
          <t>Cold Soldering</t>
        </is>
      </c>
      <c r="O605" s="3" t="n">
        <v>570</v>
      </c>
      <c r="P605" s="9" t="inlineStr">
        <is>
          <t>NSMI24060114016</t>
        </is>
      </c>
      <c r="Q605" s="53">
        <f>MID(P605,5,2)</f>
        <v/>
      </c>
      <c r="R605" s="53">
        <f>MID(P605,7,2)</f>
        <v/>
      </c>
      <c r="S605" s="3" t="inlineStr">
        <is>
          <t>G2G</t>
        </is>
      </c>
      <c r="T605" s="3" t="inlineStr">
        <is>
          <t>P4</t>
        </is>
      </c>
      <c r="U605" s="3" t="inlineStr">
        <is>
          <t>N JB Cold Soldering</t>
        </is>
      </c>
      <c r="V605" s="3" t="inlineStr">
        <is>
          <t>Soldering</t>
        </is>
      </c>
      <c r="W605" s="3" t="inlineStr">
        <is>
          <t>Repair</t>
        </is>
      </c>
      <c r="X605" s="18" t="n">
        <v>46151</v>
      </c>
      <c r="Y605" s="3">
        <f>X605-A605</f>
        <v/>
      </c>
      <c r="Z605" s="18" t="n">
        <v>46151</v>
      </c>
      <c r="AA605" s="15" t="n"/>
      <c r="AB605" s="15" t="n"/>
    </row>
    <row r="606" hidden="1" s="233">
      <c r="A606" s="6" t="n">
        <v>46107</v>
      </c>
      <c r="B606" s="3" t="n">
        <v>2026</v>
      </c>
      <c r="C606" s="3" t="inlineStr">
        <is>
          <t>Blupine</t>
        </is>
      </c>
      <c r="D606" s="3" t="inlineStr">
        <is>
          <t>Utility and C&amp;I</t>
        </is>
      </c>
      <c r="E606" s="3" t="n"/>
      <c r="F606" s="3" t="inlineStr">
        <is>
          <t>Closed</t>
        </is>
      </c>
      <c r="G606" s="3" t="inlineStr">
        <is>
          <t>Chandrashekar Patidar</t>
        </is>
      </c>
      <c r="H606" s="3" t="n">
        <v>7879764773</v>
      </c>
      <c r="I606" s="11" t="inlineStr">
        <is>
          <t>PE26032601</t>
        </is>
      </c>
      <c r="J606" s="3" t="inlineStr">
        <is>
          <t>Module Diode Failure</t>
        </is>
      </c>
      <c r="K606" s="3" t="inlineStr">
        <is>
          <t>Sadla</t>
        </is>
      </c>
      <c r="L606" s="3" t="inlineStr">
        <is>
          <t>Gujarat</t>
        </is>
      </c>
      <c r="M606" s="9" t="inlineStr">
        <is>
          <t>NR</t>
        </is>
      </c>
      <c r="N606" s="3" t="inlineStr">
        <is>
          <t>JB Issue</t>
        </is>
      </c>
      <c r="O606" s="3" t="n">
        <v>570</v>
      </c>
      <c r="P606" s="9" t="inlineStr">
        <is>
          <t>NSMI24060079401</t>
        </is>
      </c>
      <c r="Q606" s="53">
        <f>MID(P606,5,2)</f>
        <v/>
      </c>
      <c r="R606" s="53">
        <f>MID(P606,7,2)</f>
        <v/>
      </c>
      <c r="S606" s="3" t="inlineStr">
        <is>
          <t>G2G</t>
        </is>
      </c>
      <c r="T606" s="3" t="inlineStr">
        <is>
          <t>P4</t>
        </is>
      </c>
      <c r="U606" s="3" t="inlineStr">
        <is>
          <t>N JB Issue</t>
        </is>
      </c>
      <c r="V606" s="3" t="inlineStr">
        <is>
          <t>JB Changed</t>
        </is>
      </c>
      <c r="W606" s="3" t="inlineStr">
        <is>
          <t>Repair</t>
        </is>
      </c>
      <c r="X606" s="18" t="n">
        <v>46151</v>
      </c>
      <c r="Y606" s="3">
        <f>X606-A606</f>
        <v/>
      </c>
      <c r="Z606" s="18" t="n">
        <v>46151</v>
      </c>
      <c r="AA606" s="15" t="n"/>
      <c r="AB606" s="15" t="n"/>
    </row>
    <row r="607" hidden="1" s="233">
      <c r="A607" s="6" t="n">
        <v>46107</v>
      </c>
      <c r="B607" s="3" t="n">
        <v>2026</v>
      </c>
      <c r="C607" s="3" t="inlineStr">
        <is>
          <t>Blupine</t>
        </is>
      </c>
      <c r="D607" s="3" t="inlineStr">
        <is>
          <t>Utility and C&amp;I</t>
        </is>
      </c>
      <c r="E607" s="3" t="n"/>
      <c r="F607" s="3" t="inlineStr">
        <is>
          <t>Closed</t>
        </is>
      </c>
      <c r="G607" s="3" t="inlineStr">
        <is>
          <t>Chandrashekar Patidar</t>
        </is>
      </c>
      <c r="H607" s="3" t="n">
        <v>7879764773</v>
      </c>
      <c r="I607" s="11" t="inlineStr">
        <is>
          <t>PE26032601</t>
        </is>
      </c>
      <c r="J607" s="3" t="inlineStr">
        <is>
          <t>Module Diode Failure</t>
        </is>
      </c>
      <c r="K607" s="3" t="inlineStr">
        <is>
          <t>Sadla</t>
        </is>
      </c>
      <c r="L607" s="3" t="inlineStr">
        <is>
          <t>Gujarat</t>
        </is>
      </c>
      <c r="M607" s="9" t="inlineStr">
        <is>
          <t>NS</t>
        </is>
      </c>
      <c r="N607" s="3" t="inlineStr">
        <is>
          <t>Cold Soldering</t>
        </is>
      </c>
      <c r="O607" s="3" t="n">
        <v>570</v>
      </c>
      <c r="P607" s="9" t="inlineStr">
        <is>
          <t>NSMI24060079407</t>
        </is>
      </c>
      <c r="Q607" s="53">
        <f>MID(P607,5,2)</f>
        <v/>
      </c>
      <c r="R607" s="53">
        <f>MID(P607,7,2)</f>
        <v/>
      </c>
      <c r="S607" s="3" t="inlineStr">
        <is>
          <t>G2G</t>
        </is>
      </c>
      <c r="T607" s="3" t="inlineStr">
        <is>
          <t>P4</t>
        </is>
      </c>
      <c r="U607" s="3" t="inlineStr">
        <is>
          <t>N JB Cold Soldering</t>
        </is>
      </c>
      <c r="V607" s="3" t="inlineStr">
        <is>
          <t>Soldering</t>
        </is>
      </c>
      <c r="W607" s="3" t="inlineStr">
        <is>
          <t>Repair</t>
        </is>
      </c>
      <c r="X607" s="18" t="n">
        <v>46151</v>
      </c>
      <c r="Y607" s="3">
        <f>X607-A607</f>
        <v/>
      </c>
      <c r="Z607" s="18" t="n">
        <v>46151</v>
      </c>
      <c r="AA607" s="15" t="n"/>
      <c r="AB607" s="15" t="n"/>
    </row>
    <row r="608" hidden="1" s="233">
      <c r="A608" s="6" t="n">
        <v>46107</v>
      </c>
      <c r="B608" s="3" t="n">
        <v>2026</v>
      </c>
      <c r="C608" s="3" t="inlineStr">
        <is>
          <t>Blupine</t>
        </is>
      </c>
      <c r="D608" s="3" t="inlineStr">
        <is>
          <t>Utility and C&amp;I</t>
        </is>
      </c>
      <c r="E608" s="3" t="n"/>
      <c r="F608" s="3" t="inlineStr">
        <is>
          <t>Closed</t>
        </is>
      </c>
      <c r="G608" s="3" t="inlineStr">
        <is>
          <t>Chandrashekar Patidar</t>
        </is>
      </c>
      <c r="H608" s="3" t="n">
        <v>7879764773</v>
      </c>
      <c r="I608" s="11" t="inlineStr">
        <is>
          <t>PE26032601</t>
        </is>
      </c>
      <c r="J608" s="3" t="inlineStr">
        <is>
          <t>Module Diode Failure</t>
        </is>
      </c>
      <c r="K608" s="3" t="inlineStr">
        <is>
          <t>Sadla</t>
        </is>
      </c>
      <c r="L608" s="3" t="inlineStr">
        <is>
          <t>Gujarat</t>
        </is>
      </c>
      <c r="M608" s="9" t="inlineStr">
        <is>
          <t xml:space="preserve">NS </t>
        </is>
      </c>
      <c r="N608" s="3" t="inlineStr">
        <is>
          <t>Cold Soldering</t>
        </is>
      </c>
      <c r="O608" s="3" t="n">
        <v>570</v>
      </c>
      <c r="P608" s="9" t="inlineStr">
        <is>
          <t>NSMI24060077191</t>
        </is>
      </c>
      <c r="Q608" s="53">
        <f>MID(P608,5,2)</f>
        <v/>
      </c>
      <c r="R608" s="53">
        <f>MID(P608,7,2)</f>
        <v/>
      </c>
      <c r="S608" s="3" t="inlineStr">
        <is>
          <t>G2G</t>
        </is>
      </c>
      <c r="T608" s="3" t="inlineStr">
        <is>
          <t>P4</t>
        </is>
      </c>
      <c r="U608" s="3" t="inlineStr">
        <is>
          <t>N JB Cold Soldering</t>
        </is>
      </c>
      <c r="V608" s="3" t="inlineStr">
        <is>
          <t>Soldering</t>
        </is>
      </c>
      <c r="W608" s="3" t="inlineStr">
        <is>
          <t>Repair</t>
        </is>
      </c>
      <c r="X608" s="18" t="n">
        <v>46151</v>
      </c>
      <c r="Y608" s="3">
        <f>X608-A608</f>
        <v/>
      </c>
      <c r="Z608" s="18" t="n">
        <v>46151</v>
      </c>
      <c r="AA608" s="15" t="n"/>
      <c r="AB608" s="15" t="n"/>
    </row>
    <row r="609" hidden="1" s="233">
      <c r="A609" s="6" t="n">
        <v>46107</v>
      </c>
      <c r="B609" s="3" t="n">
        <v>2026</v>
      </c>
      <c r="C609" s="3" t="inlineStr">
        <is>
          <t>Blupine</t>
        </is>
      </c>
      <c r="D609" s="3" t="inlineStr">
        <is>
          <t>Utility and C&amp;I</t>
        </is>
      </c>
      <c r="E609" s="3" t="n"/>
      <c r="F609" s="3" t="inlineStr">
        <is>
          <t>Closed</t>
        </is>
      </c>
      <c r="G609" s="3" t="inlineStr">
        <is>
          <t>Chandrashekar Patidar</t>
        </is>
      </c>
      <c r="H609" s="3" t="n">
        <v>7879764773</v>
      </c>
      <c r="I609" s="11" t="inlineStr">
        <is>
          <t>PE26032601</t>
        </is>
      </c>
      <c r="J609" s="3" t="inlineStr">
        <is>
          <t>Module Diode Failure</t>
        </is>
      </c>
      <c r="K609" s="3" t="inlineStr">
        <is>
          <t>Sadla</t>
        </is>
      </c>
      <c r="L609" s="3" t="inlineStr">
        <is>
          <t>Gujarat</t>
        </is>
      </c>
      <c r="M609" s="9" t="inlineStr">
        <is>
          <t xml:space="preserve">NS </t>
        </is>
      </c>
      <c r="N609" s="3" t="inlineStr">
        <is>
          <t>Cold Soldering</t>
        </is>
      </c>
      <c r="O609" s="3" t="n">
        <v>570</v>
      </c>
      <c r="P609" s="9" t="inlineStr">
        <is>
          <t>NSMI24060080226</t>
        </is>
      </c>
      <c r="Q609" s="53">
        <f>MID(P609,5,2)</f>
        <v/>
      </c>
      <c r="R609" s="53">
        <f>MID(P609,7,2)</f>
        <v/>
      </c>
      <c r="S609" s="3" t="inlineStr">
        <is>
          <t>G2G</t>
        </is>
      </c>
      <c r="T609" s="3" t="inlineStr">
        <is>
          <t>P4</t>
        </is>
      </c>
      <c r="U609" s="3" t="inlineStr">
        <is>
          <t>N JB Cold Soldering</t>
        </is>
      </c>
      <c r="V609" s="3" t="inlineStr">
        <is>
          <t>Soldering</t>
        </is>
      </c>
      <c r="W609" s="3" t="inlineStr">
        <is>
          <t>Repair</t>
        </is>
      </c>
      <c r="X609" s="18" t="n">
        <v>46151</v>
      </c>
      <c r="Y609" s="3">
        <f>X609-A609</f>
        <v/>
      </c>
      <c r="Z609" s="18" t="n">
        <v>46151</v>
      </c>
      <c r="AA609" s="15" t="n"/>
      <c r="AB609" s="15" t="n"/>
    </row>
    <row r="610" hidden="1" s="233">
      <c r="A610" s="6" t="n">
        <v>46107</v>
      </c>
      <c r="B610" s="3" t="n">
        <v>2026</v>
      </c>
      <c r="C610" s="3" t="inlineStr">
        <is>
          <t>Blupine</t>
        </is>
      </c>
      <c r="D610" s="3" t="inlineStr">
        <is>
          <t>Utility and C&amp;I</t>
        </is>
      </c>
      <c r="E610" s="3" t="n"/>
      <c r="F610" s="3" t="inlineStr">
        <is>
          <t>Closed</t>
        </is>
      </c>
      <c r="G610" s="3" t="inlineStr">
        <is>
          <t>Chandrashekar Patidar</t>
        </is>
      </c>
      <c r="H610" s="3" t="n">
        <v>7879764773</v>
      </c>
      <c r="I610" s="11" t="inlineStr">
        <is>
          <t>PE26032601</t>
        </is>
      </c>
      <c r="J610" s="3" t="inlineStr">
        <is>
          <t>Module Diode Failure</t>
        </is>
      </c>
      <c r="K610" s="3" t="inlineStr">
        <is>
          <t>Sadla</t>
        </is>
      </c>
      <c r="L610" s="3" t="inlineStr">
        <is>
          <t>Gujarat</t>
        </is>
      </c>
      <c r="M610" s="9" t="inlineStr">
        <is>
          <t xml:space="preserve">NS </t>
        </is>
      </c>
      <c r="N610" s="3" t="inlineStr">
        <is>
          <t>Cold Soldering</t>
        </is>
      </c>
      <c r="O610" s="3" t="n">
        <v>570</v>
      </c>
      <c r="P610" s="9" t="inlineStr">
        <is>
          <t>NSMI24060096944</t>
        </is>
      </c>
      <c r="Q610" s="53">
        <f>MID(P610,5,2)</f>
        <v/>
      </c>
      <c r="R610" s="53">
        <f>MID(P610,7,2)</f>
        <v/>
      </c>
      <c r="S610" s="3" t="inlineStr">
        <is>
          <t>G2G</t>
        </is>
      </c>
      <c r="T610" s="3" t="inlineStr">
        <is>
          <t>P4</t>
        </is>
      </c>
      <c r="U610" s="3" t="inlineStr">
        <is>
          <t>N JB Cold Soldering</t>
        </is>
      </c>
      <c r="V610" s="3" t="inlineStr">
        <is>
          <t>Soldering</t>
        </is>
      </c>
      <c r="W610" s="3" t="inlineStr">
        <is>
          <t>Repair</t>
        </is>
      </c>
      <c r="X610" s="18" t="n">
        <v>46151</v>
      </c>
      <c r="Y610" s="3">
        <f>X610-A610</f>
        <v/>
      </c>
      <c r="Z610" s="18" t="n">
        <v>46151</v>
      </c>
      <c r="AA610" s="15" t="n"/>
      <c r="AB610" s="15" t="n"/>
    </row>
    <row r="611" hidden="1" s="233">
      <c r="A611" s="6" t="n">
        <v>46107</v>
      </c>
      <c r="B611" s="3" t="n">
        <v>2026</v>
      </c>
      <c r="C611" s="3" t="inlineStr">
        <is>
          <t>Blupine</t>
        </is>
      </c>
      <c r="D611" s="3" t="inlineStr">
        <is>
          <t>Utility and C&amp;I</t>
        </is>
      </c>
      <c r="E611" s="3" t="n"/>
      <c r="F611" s="3" t="inlineStr">
        <is>
          <t>Closed</t>
        </is>
      </c>
      <c r="G611" s="3" t="inlineStr">
        <is>
          <t>Chandrashekar Patidar</t>
        </is>
      </c>
      <c r="H611" s="3" t="n">
        <v>7879764773</v>
      </c>
      <c r="I611" s="11" t="inlineStr">
        <is>
          <t>PE26032601</t>
        </is>
      </c>
      <c r="J611" s="3" t="inlineStr">
        <is>
          <t>Module Diode Failure</t>
        </is>
      </c>
      <c r="K611" s="3" t="inlineStr">
        <is>
          <t>Sadla</t>
        </is>
      </c>
      <c r="L611" s="3" t="inlineStr">
        <is>
          <t>Gujarat</t>
        </is>
      </c>
      <c r="M611" s="9" t="inlineStr">
        <is>
          <t>NS</t>
        </is>
      </c>
      <c r="N611" s="3" t="inlineStr">
        <is>
          <t>Cold Soldering</t>
        </is>
      </c>
      <c r="O611" s="3" t="n">
        <v>570</v>
      </c>
      <c r="P611" s="9" t="inlineStr">
        <is>
          <t>NSMI24060097111</t>
        </is>
      </c>
      <c r="Q611" s="53">
        <f>MID(P611,5,2)</f>
        <v/>
      </c>
      <c r="R611" s="53">
        <f>MID(P611,7,2)</f>
        <v/>
      </c>
      <c r="S611" s="3" t="inlineStr">
        <is>
          <t>G2G</t>
        </is>
      </c>
      <c r="T611" s="3" t="inlineStr">
        <is>
          <t>P4</t>
        </is>
      </c>
      <c r="U611" s="3" t="inlineStr">
        <is>
          <t>N JB Cold Soldering</t>
        </is>
      </c>
      <c r="V611" s="3" t="inlineStr">
        <is>
          <t>Soldering</t>
        </is>
      </c>
      <c r="W611" s="3" t="inlineStr">
        <is>
          <t>Repair</t>
        </is>
      </c>
      <c r="X611" s="18" t="n">
        <v>46151</v>
      </c>
      <c r="Y611" s="3">
        <f>X611-A611</f>
        <v/>
      </c>
      <c r="Z611" s="18" t="n">
        <v>46151</v>
      </c>
      <c r="AA611" s="15" t="n"/>
      <c r="AB611" s="15" t="n"/>
    </row>
    <row r="612" hidden="1" s="233">
      <c r="A612" s="6" t="n">
        <v>46107</v>
      </c>
      <c r="B612" s="3" t="n">
        <v>2026</v>
      </c>
      <c r="C612" s="3" t="inlineStr">
        <is>
          <t>Blupine</t>
        </is>
      </c>
      <c r="D612" s="3" t="inlineStr">
        <is>
          <t>Utility and C&amp;I</t>
        </is>
      </c>
      <c r="E612" s="3" t="n"/>
      <c r="F612" s="3" t="inlineStr">
        <is>
          <t>Closed</t>
        </is>
      </c>
      <c r="G612" s="3" t="inlineStr">
        <is>
          <t>Chandrashekar Patidar</t>
        </is>
      </c>
      <c r="H612" s="3" t="n">
        <v>7879764773</v>
      </c>
      <c r="I612" s="11" t="inlineStr">
        <is>
          <t>PE26032601</t>
        </is>
      </c>
      <c r="J612" s="3" t="inlineStr">
        <is>
          <t>Module Diode Failure</t>
        </is>
      </c>
      <c r="K612" s="3" t="inlineStr">
        <is>
          <t>Sadla</t>
        </is>
      </c>
      <c r="L612" s="3" t="inlineStr">
        <is>
          <t>Gujarat</t>
        </is>
      </c>
      <c r="M612" s="9" t="inlineStr">
        <is>
          <t xml:space="preserve">NS </t>
        </is>
      </c>
      <c r="N612" s="3" t="inlineStr">
        <is>
          <t>Cold Soldering</t>
        </is>
      </c>
      <c r="O612" s="3" t="n">
        <v>570</v>
      </c>
      <c r="P612" s="9" t="inlineStr">
        <is>
          <t>NSMI24060094092</t>
        </is>
      </c>
      <c r="Q612" s="53">
        <f>MID(P612,5,2)</f>
        <v/>
      </c>
      <c r="R612" s="53">
        <f>MID(P612,7,2)</f>
        <v/>
      </c>
      <c r="S612" s="3" t="inlineStr">
        <is>
          <t>G2G</t>
        </is>
      </c>
      <c r="T612" s="3" t="inlineStr">
        <is>
          <t>P4</t>
        </is>
      </c>
      <c r="U612" s="3" t="inlineStr">
        <is>
          <t>N JB Cold Soldering</t>
        </is>
      </c>
      <c r="V612" s="3" t="inlineStr">
        <is>
          <t>Soldering</t>
        </is>
      </c>
      <c r="W612" s="3" t="inlineStr">
        <is>
          <t>Repair</t>
        </is>
      </c>
      <c r="X612" s="18" t="n">
        <v>46151</v>
      </c>
      <c r="Y612" s="3">
        <f>X612-A612</f>
        <v/>
      </c>
      <c r="Z612" s="18" t="n">
        <v>46151</v>
      </c>
      <c r="AA612" s="15" t="n"/>
      <c r="AB612" s="15" t="n"/>
    </row>
    <row r="613" hidden="1" s="233">
      <c r="A613" s="6" t="n">
        <v>46107</v>
      </c>
      <c r="B613" s="3" t="n">
        <v>2026</v>
      </c>
      <c r="C613" s="3" t="inlineStr">
        <is>
          <t>Blupine</t>
        </is>
      </c>
      <c r="D613" s="3" t="inlineStr">
        <is>
          <t>Utility and C&amp;I</t>
        </is>
      </c>
      <c r="E613" s="3" t="n"/>
      <c r="F613" s="3" t="inlineStr">
        <is>
          <t>Closed</t>
        </is>
      </c>
      <c r="G613" s="3" t="inlineStr">
        <is>
          <t>Chandrashekar Patidar</t>
        </is>
      </c>
      <c r="H613" s="3" t="n">
        <v>7879764773</v>
      </c>
      <c r="I613" s="11" t="inlineStr">
        <is>
          <t>PE26032601</t>
        </is>
      </c>
      <c r="J613" s="3" t="inlineStr">
        <is>
          <t>Module Diode Failure</t>
        </is>
      </c>
      <c r="K613" s="3" t="inlineStr">
        <is>
          <t>Sadla</t>
        </is>
      </c>
      <c r="L613" s="3" t="inlineStr">
        <is>
          <t>Gujarat</t>
        </is>
      </c>
      <c r="M613" s="9" t="inlineStr">
        <is>
          <t xml:space="preserve">NS </t>
        </is>
      </c>
      <c r="N613" s="3" t="inlineStr">
        <is>
          <t>Cold Soldering</t>
        </is>
      </c>
      <c r="O613" s="3" t="n">
        <v>570</v>
      </c>
      <c r="P613" s="9" t="inlineStr">
        <is>
          <t>NSMI24060091079</t>
        </is>
      </c>
      <c r="Q613" s="53">
        <f>MID(P613,5,2)</f>
        <v/>
      </c>
      <c r="R613" s="53">
        <f>MID(P613,7,2)</f>
        <v/>
      </c>
      <c r="S613" s="3" t="inlineStr">
        <is>
          <t>G2G</t>
        </is>
      </c>
      <c r="T613" s="3" t="inlineStr">
        <is>
          <t>P4</t>
        </is>
      </c>
      <c r="U613" s="3" t="inlineStr">
        <is>
          <t>N JB Cold Soldering</t>
        </is>
      </c>
      <c r="V613" s="3" t="inlineStr">
        <is>
          <t>Soldering</t>
        </is>
      </c>
      <c r="W613" s="3" t="inlineStr">
        <is>
          <t>Repair</t>
        </is>
      </c>
      <c r="X613" s="18" t="n">
        <v>46151</v>
      </c>
      <c r="Y613" s="3">
        <f>X613-A613</f>
        <v/>
      </c>
      <c r="Z613" s="18" t="n">
        <v>46151</v>
      </c>
      <c r="AA613" s="15" t="n"/>
      <c r="AB613" s="15" t="n"/>
    </row>
    <row r="614" hidden="1" s="233">
      <c r="A614" s="6" t="n">
        <v>46107</v>
      </c>
      <c r="B614" s="3" t="n">
        <v>2026</v>
      </c>
      <c r="C614" s="3" t="inlineStr">
        <is>
          <t>Blupine</t>
        </is>
      </c>
      <c r="D614" s="3" t="inlineStr">
        <is>
          <t>Utility and C&amp;I</t>
        </is>
      </c>
      <c r="E614" s="3" t="n"/>
      <c r="F614" s="3" t="inlineStr">
        <is>
          <t>Closed</t>
        </is>
      </c>
      <c r="G614" s="3" t="inlineStr">
        <is>
          <t>Chandrashekar Patidar</t>
        </is>
      </c>
      <c r="H614" s="3" t="n">
        <v>7879764773</v>
      </c>
      <c r="I614" s="11" t="inlineStr">
        <is>
          <t>PE26032601</t>
        </is>
      </c>
      <c r="J614" s="3" t="inlineStr">
        <is>
          <t>Module Diode Failure</t>
        </is>
      </c>
      <c r="K614" s="3" t="inlineStr">
        <is>
          <t>Sadla</t>
        </is>
      </c>
      <c r="L614" s="3" t="inlineStr">
        <is>
          <t>Gujarat</t>
        </is>
      </c>
      <c r="M614" s="9" t="inlineStr">
        <is>
          <t>PS</t>
        </is>
      </c>
      <c r="N614" s="3" t="inlineStr">
        <is>
          <t>Cold Soldering</t>
        </is>
      </c>
      <c r="O614" s="3" t="n">
        <v>570</v>
      </c>
      <c r="P614" s="9" t="inlineStr">
        <is>
          <t>NSMI24060093751</t>
        </is>
      </c>
      <c r="Q614" s="53">
        <f>MID(P614,5,2)</f>
        <v/>
      </c>
      <c r="R614" s="53">
        <f>MID(P614,7,2)</f>
        <v/>
      </c>
      <c r="S614" s="3" t="inlineStr">
        <is>
          <t>G2G</t>
        </is>
      </c>
      <c r="T614" s="3" t="inlineStr">
        <is>
          <t>P4</t>
        </is>
      </c>
      <c r="U614" s="3" t="inlineStr">
        <is>
          <t>P JB Cold Soldering</t>
        </is>
      </c>
      <c r="V614" s="3" t="inlineStr">
        <is>
          <t>Soldering</t>
        </is>
      </c>
      <c r="W614" s="3" t="inlineStr">
        <is>
          <t>Repair</t>
        </is>
      </c>
      <c r="X614" s="18" t="n">
        <v>46151</v>
      </c>
      <c r="Y614" s="3">
        <f>X614-A614</f>
        <v/>
      </c>
      <c r="Z614" s="18" t="n">
        <v>46151</v>
      </c>
      <c r="AA614" s="15" t="n"/>
      <c r="AB614" s="15" t="n"/>
    </row>
    <row r="615" hidden="1" s="233">
      <c r="A615" s="6" t="n">
        <v>46107</v>
      </c>
      <c r="B615" s="3" t="n">
        <v>2026</v>
      </c>
      <c r="C615" s="3" t="inlineStr">
        <is>
          <t>Blupine</t>
        </is>
      </c>
      <c r="D615" s="3" t="inlineStr">
        <is>
          <t>Utility and C&amp;I</t>
        </is>
      </c>
      <c r="E615" s="3" t="n"/>
      <c r="F615" s="3" t="inlineStr">
        <is>
          <t>Closed</t>
        </is>
      </c>
      <c r="G615" s="3" t="inlineStr">
        <is>
          <t>Chandrashekar Patidar</t>
        </is>
      </c>
      <c r="H615" s="3" t="n">
        <v>7879764773</v>
      </c>
      <c r="I615" s="11" t="inlineStr">
        <is>
          <t>PE26032601</t>
        </is>
      </c>
      <c r="J615" s="3" t="inlineStr">
        <is>
          <t>Module Diode Failure</t>
        </is>
      </c>
      <c r="K615" s="3" t="inlineStr">
        <is>
          <t>Sadla</t>
        </is>
      </c>
      <c r="L615" s="3" t="inlineStr">
        <is>
          <t>Gujarat</t>
        </is>
      </c>
      <c r="M615" s="9" t="inlineStr">
        <is>
          <t>NS</t>
        </is>
      </c>
      <c r="N615" s="3" t="inlineStr">
        <is>
          <t>Cold Soldering</t>
        </is>
      </c>
      <c r="O615" s="3" t="n">
        <v>570</v>
      </c>
      <c r="P615" s="9" t="inlineStr">
        <is>
          <t>NSMI24060096800</t>
        </is>
      </c>
      <c r="Q615" s="53">
        <f>MID(P615,5,2)</f>
        <v/>
      </c>
      <c r="R615" s="53">
        <f>MID(P615,7,2)</f>
        <v/>
      </c>
      <c r="S615" s="3" t="inlineStr">
        <is>
          <t>G2G</t>
        </is>
      </c>
      <c r="T615" s="3" t="inlineStr">
        <is>
          <t>P4</t>
        </is>
      </c>
      <c r="U615" s="3" t="inlineStr">
        <is>
          <t>N JB Cold Soldering</t>
        </is>
      </c>
      <c r="V615" s="3" t="inlineStr">
        <is>
          <t>Soldering</t>
        </is>
      </c>
      <c r="W615" s="3" t="inlineStr">
        <is>
          <t>Repair</t>
        </is>
      </c>
      <c r="X615" s="18" t="n">
        <v>46151</v>
      </c>
      <c r="Y615" s="3">
        <f>X615-A615</f>
        <v/>
      </c>
      <c r="Z615" s="18" t="n">
        <v>46151</v>
      </c>
      <c r="AA615" s="15" t="n"/>
      <c r="AB615" s="15" t="n"/>
    </row>
    <row r="616" hidden="1" s="233">
      <c r="A616" s="6" t="n">
        <v>46107</v>
      </c>
      <c r="B616" s="3" t="n">
        <v>2026</v>
      </c>
      <c r="C616" s="3" t="inlineStr">
        <is>
          <t>Blupine</t>
        </is>
      </c>
      <c r="D616" s="3" t="inlineStr">
        <is>
          <t>Utility and C&amp;I</t>
        </is>
      </c>
      <c r="E616" s="3" t="n"/>
      <c r="F616" s="3" t="inlineStr">
        <is>
          <t>Closed</t>
        </is>
      </c>
      <c r="G616" s="3" t="inlineStr">
        <is>
          <t>Chandrashekar Patidar</t>
        </is>
      </c>
      <c r="H616" s="3" t="n">
        <v>7879764773</v>
      </c>
      <c r="I616" s="11" t="inlineStr">
        <is>
          <t>PE26032601</t>
        </is>
      </c>
      <c r="J616" s="3" t="inlineStr">
        <is>
          <t>Module Diode Failure</t>
        </is>
      </c>
      <c r="K616" s="3" t="inlineStr">
        <is>
          <t>Sadla</t>
        </is>
      </c>
      <c r="L616" s="3" t="inlineStr">
        <is>
          <t>Gujarat</t>
        </is>
      </c>
      <c r="M616" s="9" t="inlineStr">
        <is>
          <t>NS</t>
        </is>
      </c>
      <c r="N616" s="3" t="inlineStr">
        <is>
          <t>Cold Soldering</t>
        </is>
      </c>
      <c r="O616" s="3" t="n">
        <v>570</v>
      </c>
      <c r="P616" s="9" t="inlineStr">
        <is>
          <t>NSMI24060096560</t>
        </is>
      </c>
      <c r="Q616" s="53">
        <f>MID(P616,5,2)</f>
        <v/>
      </c>
      <c r="R616" s="53">
        <f>MID(P616,7,2)</f>
        <v/>
      </c>
      <c r="S616" s="3" t="inlineStr">
        <is>
          <t>G2G</t>
        </is>
      </c>
      <c r="T616" s="3" t="inlineStr">
        <is>
          <t>P4</t>
        </is>
      </c>
      <c r="U616" s="3" t="inlineStr">
        <is>
          <t>N JB Cold Soldering</t>
        </is>
      </c>
      <c r="V616" s="3" t="inlineStr">
        <is>
          <t>Soldering</t>
        </is>
      </c>
      <c r="W616" s="3" t="inlineStr">
        <is>
          <t>Repair</t>
        </is>
      </c>
      <c r="X616" s="18" t="n">
        <v>46151</v>
      </c>
      <c r="Y616" s="3">
        <f>X616-A616</f>
        <v/>
      </c>
      <c r="Z616" s="18" t="n">
        <v>46151</v>
      </c>
      <c r="AA616" s="15" t="n"/>
      <c r="AB616" s="15" t="n"/>
    </row>
    <row r="617" hidden="1" s="233">
      <c r="A617" s="6" t="n">
        <v>46107</v>
      </c>
      <c r="B617" s="3" t="n">
        <v>2026</v>
      </c>
      <c r="C617" s="3" t="inlineStr">
        <is>
          <t>Blupine</t>
        </is>
      </c>
      <c r="D617" s="3" t="inlineStr">
        <is>
          <t>Utility and C&amp;I</t>
        </is>
      </c>
      <c r="E617" s="3" t="n"/>
      <c r="F617" s="3" t="inlineStr">
        <is>
          <t>Closed</t>
        </is>
      </c>
      <c r="G617" s="3" t="inlineStr">
        <is>
          <t>Chandrashekar Patidar</t>
        </is>
      </c>
      <c r="H617" s="3" t="n">
        <v>7879764773</v>
      </c>
      <c r="I617" s="11" t="inlineStr">
        <is>
          <t>PE26032601</t>
        </is>
      </c>
      <c r="J617" s="3" t="inlineStr">
        <is>
          <t>Module Diode Failure</t>
        </is>
      </c>
      <c r="K617" s="3" t="inlineStr">
        <is>
          <t>Sadla</t>
        </is>
      </c>
      <c r="L617" s="3" t="inlineStr">
        <is>
          <t>Gujarat</t>
        </is>
      </c>
      <c r="M617" s="9" t="inlineStr">
        <is>
          <t>NS</t>
        </is>
      </c>
      <c r="N617" s="3" t="inlineStr">
        <is>
          <t>Cold Soldering</t>
        </is>
      </c>
      <c r="O617" s="3" t="n">
        <v>570</v>
      </c>
      <c r="P617" s="9" t="inlineStr">
        <is>
          <t>NSMI24060096696</t>
        </is>
      </c>
      <c r="Q617" s="53">
        <f>MID(P617,5,2)</f>
        <v/>
      </c>
      <c r="R617" s="53">
        <f>MID(P617,7,2)</f>
        <v/>
      </c>
      <c r="S617" s="3" t="inlineStr">
        <is>
          <t>G2G</t>
        </is>
      </c>
      <c r="T617" s="3" t="inlineStr">
        <is>
          <t>P4</t>
        </is>
      </c>
      <c r="U617" s="3" t="inlineStr">
        <is>
          <t>N JB Cold Soldering</t>
        </is>
      </c>
      <c r="V617" s="3" t="inlineStr">
        <is>
          <t>Soldering</t>
        </is>
      </c>
      <c r="W617" s="3" t="inlineStr">
        <is>
          <t>Repair</t>
        </is>
      </c>
      <c r="X617" s="18" t="n">
        <v>46151</v>
      </c>
      <c r="Y617" s="3">
        <f>X617-A617</f>
        <v/>
      </c>
      <c r="Z617" s="18" t="n">
        <v>46151</v>
      </c>
      <c r="AA617" s="15" t="n"/>
      <c r="AB617" s="15" t="n"/>
    </row>
    <row r="618" hidden="1" s="233">
      <c r="A618" s="6" t="n">
        <v>46107</v>
      </c>
      <c r="B618" s="3" t="n">
        <v>2026</v>
      </c>
      <c r="C618" s="3" t="inlineStr">
        <is>
          <t>Blupine</t>
        </is>
      </c>
      <c r="D618" s="3" t="inlineStr">
        <is>
          <t>Utility and C&amp;I</t>
        </is>
      </c>
      <c r="E618" s="3" t="n"/>
      <c r="F618" s="3" t="inlineStr">
        <is>
          <t>Closed</t>
        </is>
      </c>
      <c r="G618" s="3" t="inlineStr">
        <is>
          <t>Chandrashekar Patidar</t>
        </is>
      </c>
      <c r="H618" s="3" t="n">
        <v>7879764773</v>
      </c>
      <c r="I618" s="11" t="inlineStr">
        <is>
          <t>PE26032601</t>
        </is>
      </c>
      <c r="J618" s="3" t="inlineStr">
        <is>
          <t>Module Diode Failure</t>
        </is>
      </c>
      <c r="K618" s="3" t="inlineStr">
        <is>
          <t>Sadla</t>
        </is>
      </c>
      <c r="L618" s="3" t="inlineStr">
        <is>
          <t>Gujarat</t>
        </is>
      </c>
      <c r="M618" s="9" t="inlineStr">
        <is>
          <t>NS</t>
        </is>
      </c>
      <c r="N618" s="3" t="inlineStr">
        <is>
          <t>Cold Soldering</t>
        </is>
      </c>
      <c r="O618" s="3" t="n">
        <v>570</v>
      </c>
      <c r="P618" s="9" t="inlineStr">
        <is>
          <t>NSMI24060096537</t>
        </is>
      </c>
      <c r="Q618" s="53">
        <f>MID(P618,5,2)</f>
        <v/>
      </c>
      <c r="R618" s="53">
        <f>MID(P618,7,2)</f>
        <v/>
      </c>
      <c r="S618" s="3" t="inlineStr">
        <is>
          <t>G2G</t>
        </is>
      </c>
      <c r="T618" s="3" t="inlineStr">
        <is>
          <t>P4</t>
        </is>
      </c>
      <c r="U618" s="3" t="inlineStr">
        <is>
          <t>N JB Cold Soldering</t>
        </is>
      </c>
      <c r="V618" s="3" t="inlineStr">
        <is>
          <t>Soldering</t>
        </is>
      </c>
      <c r="W618" s="3" t="inlineStr">
        <is>
          <t>Repair</t>
        </is>
      </c>
      <c r="X618" s="18" t="n">
        <v>46151</v>
      </c>
      <c r="Y618" s="3">
        <f>X618-A618</f>
        <v/>
      </c>
      <c r="Z618" s="18" t="n">
        <v>46151</v>
      </c>
      <c r="AA618" s="15" t="n"/>
      <c r="AB618" s="15" t="n"/>
    </row>
    <row r="619" hidden="1" s="233">
      <c r="A619" s="6" t="n">
        <v>46107</v>
      </c>
      <c r="B619" s="3" t="n">
        <v>2026</v>
      </c>
      <c r="C619" s="3" t="inlineStr">
        <is>
          <t>Blupine</t>
        </is>
      </c>
      <c r="D619" s="3" t="inlineStr">
        <is>
          <t>Utility and C&amp;I</t>
        </is>
      </c>
      <c r="E619" s="3" t="n"/>
      <c r="F619" s="3" t="inlineStr">
        <is>
          <t>Closed</t>
        </is>
      </c>
      <c r="G619" s="3" t="inlineStr">
        <is>
          <t>Chandrashekar Patidar</t>
        </is>
      </c>
      <c r="H619" s="3" t="n">
        <v>7879764773</v>
      </c>
      <c r="I619" s="11" t="inlineStr">
        <is>
          <t>PE26032601</t>
        </is>
      </c>
      <c r="J619" s="3" t="inlineStr">
        <is>
          <t>Module Diode Failure</t>
        </is>
      </c>
      <c r="K619" s="3" t="inlineStr">
        <is>
          <t>Sadla</t>
        </is>
      </c>
      <c r="L619" s="3" t="inlineStr">
        <is>
          <t>Gujarat</t>
        </is>
      </c>
      <c r="M619" s="9" t="inlineStr">
        <is>
          <t>NS</t>
        </is>
      </c>
      <c r="N619" s="3" t="inlineStr">
        <is>
          <t>Cold Soldering</t>
        </is>
      </c>
      <c r="O619" s="3" t="n">
        <v>570</v>
      </c>
      <c r="P619" s="9" t="inlineStr">
        <is>
          <t>NSMI24060114037</t>
        </is>
      </c>
      <c r="Q619" s="53">
        <f>MID(P619,5,2)</f>
        <v/>
      </c>
      <c r="R619" s="53">
        <f>MID(P619,7,2)</f>
        <v/>
      </c>
      <c r="S619" s="3" t="inlineStr">
        <is>
          <t>G2G</t>
        </is>
      </c>
      <c r="T619" s="3" t="inlineStr">
        <is>
          <t>P4</t>
        </is>
      </c>
      <c r="U619" s="3" t="inlineStr">
        <is>
          <t>N JB Cold Soldering</t>
        </is>
      </c>
      <c r="V619" s="3" t="inlineStr">
        <is>
          <t>Soldering</t>
        </is>
      </c>
      <c r="W619" s="3" t="inlineStr">
        <is>
          <t>Repair</t>
        </is>
      </c>
      <c r="X619" s="18" t="n">
        <v>46151</v>
      </c>
      <c r="Y619" s="3">
        <f>X619-A619</f>
        <v/>
      </c>
      <c r="Z619" s="18" t="n">
        <v>46151</v>
      </c>
      <c r="AA619" s="15" t="n"/>
      <c r="AB619" s="15" t="n"/>
    </row>
    <row r="620" hidden="1" s="233">
      <c r="A620" s="6" t="n">
        <v>46107</v>
      </c>
      <c r="B620" s="3" t="n">
        <v>2026</v>
      </c>
      <c r="C620" s="3" t="inlineStr">
        <is>
          <t>Blupine</t>
        </is>
      </c>
      <c r="D620" s="3" t="inlineStr">
        <is>
          <t>Utility and C&amp;I</t>
        </is>
      </c>
      <c r="E620" s="3" t="n"/>
      <c r="F620" s="3" t="inlineStr">
        <is>
          <t>Closed</t>
        </is>
      </c>
      <c r="G620" s="3" t="inlineStr">
        <is>
          <t>Chandrashekar Patidar</t>
        </is>
      </c>
      <c r="H620" s="3" t="n">
        <v>7879764773</v>
      </c>
      <c r="I620" s="11" t="inlineStr">
        <is>
          <t>PE26032601</t>
        </is>
      </c>
      <c r="J620" s="3" t="inlineStr">
        <is>
          <t>Module Diode Failure</t>
        </is>
      </c>
      <c r="K620" s="3" t="inlineStr">
        <is>
          <t>Sadla</t>
        </is>
      </c>
      <c r="L620" s="3" t="inlineStr">
        <is>
          <t>Gujarat</t>
        </is>
      </c>
      <c r="M620" s="9" t="inlineStr">
        <is>
          <t>NS</t>
        </is>
      </c>
      <c r="N620" s="3" t="inlineStr">
        <is>
          <t>Cold Soldering</t>
        </is>
      </c>
      <c r="O620" s="3" t="n">
        <v>570</v>
      </c>
      <c r="P620" s="9" t="inlineStr">
        <is>
          <t>NSMI24060085664</t>
        </is>
      </c>
      <c r="Q620" s="53">
        <f>MID(P620,5,2)</f>
        <v/>
      </c>
      <c r="R620" s="53">
        <f>MID(P620,7,2)</f>
        <v/>
      </c>
      <c r="S620" s="3" t="inlineStr">
        <is>
          <t>G2G</t>
        </is>
      </c>
      <c r="T620" s="3" t="inlineStr">
        <is>
          <t>P4</t>
        </is>
      </c>
      <c r="U620" s="3" t="inlineStr">
        <is>
          <t>N JB Cold Soldering</t>
        </is>
      </c>
      <c r="V620" s="3" t="inlineStr">
        <is>
          <t>Soldering</t>
        </is>
      </c>
      <c r="W620" s="3" t="inlineStr">
        <is>
          <t>Repair</t>
        </is>
      </c>
      <c r="X620" s="18" t="n">
        <v>46151</v>
      </c>
      <c r="Y620" s="3">
        <f>X620-A620</f>
        <v/>
      </c>
      <c r="Z620" s="18" t="n">
        <v>46151</v>
      </c>
      <c r="AA620" s="15" t="n"/>
      <c r="AB620" s="15" t="n"/>
    </row>
    <row r="621" hidden="1" s="233">
      <c r="A621" s="6" t="n">
        <v>46107</v>
      </c>
      <c r="B621" s="3" t="n">
        <v>2026</v>
      </c>
      <c r="C621" s="3" t="inlineStr">
        <is>
          <t>Blupine</t>
        </is>
      </c>
      <c r="D621" s="3" t="inlineStr">
        <is>
          <t>Utility and C&amp;I</t>
        </is>
      </c>
      <c r="E621" s="3" t="n"/>
      <c r="F621" s="3" t="inlineStr">
        <is>
          <t>Closed</t>
        </is>
      </c>
      <c r="G621" s="3" t="inlineStr">
        <is>
          <t>Chandrashekar Patidar</t>
        </is>
      </c>
      <c r="H621" s="3" t="n">
        <v>7879764773</v>
      </c>
      <c r="I621" s="11" t="inlineStr">
        <is>
          <t>PE26032601</t>
        </is>
      </c>
      <c r="J621" s="3" t="inlineStr">
        <is>
          <t>Module Diode Failure</t>
        </is>
      </c>
      <c r="K621" s="3" t="inlineStr">
        <is>
          <t>Sadla</t>
        </is>
      </c>
      <c r="L621" s="3" t="inlineStr">
        <is>
          <t>Gujarat</t>
        </is>
      </c>
      <c r="M621" s="9" t="inlineStr">
        <is>
          <t xml:space="preserve">NS </t>
        </is>
      </c>
      <c r="N621" s="3" t="inlineStr">
        <is>
          <t>Cold Soldering</t>
        </is>
      </c>
      <c r="O621" s="3" t="n">
        <v>570</v>
      </c>
      <c r="P621" s="9" t="inlineStr">
        <is>
          <t>NSMI24050048001</t>
        </is>
      </c>
      <c r="Q621" s="53">
        <f>MID(P621,5,2)</f>
        <v/>
      </c>
      <c r="R621" s="53">
        <f>MID(P621,7,2)</f>
        <v/>
      </c>
      <c r="S621" s="3" t="inlineStr">
        <is>
          <t>G2G</t>
        </is>
      </c>
      <c r="T621" s="3" t="inlineStr">
        <is>
          <t>P4</t>
        </is>
      </c>
      <c r="U621" s="3" t="inlineStr">
        <is>
          <t>N JB Cold Soldering</t>
        </is>
      </c>
      <c r="V621" s="3" t="inlineStr">
        <is>
          <t>Soldering</t>
        </is>
      </c>
      <c r="W621" s="3" t="inlineStr">
        <is>
          <t>Repair</t>
        </is>
      </c>
      <c r="X621" s="18" t="n">
        <v>46151</v>
      </c>
      <c r="Y621" s="3">
        <f>X621-A621</f>
        <v/>
      </c>
      <c r="Z621" s="18" t="n">
        <v>46151</v>
      </c>
      <c r="AA621" s="15" t="n"/>
      <c r="AB621" s="15" t="n"/>
    </row>
    <row r="622" hidden="1" s="233">
      <c r="A622" s="6" t="n">
        <v>46107</v>
      </c>
      <c r="B622" s="3" t="n">
        <v>2026</v>
      </c>
      <c r="C622" s="3" t="inlineStr">
        <is>
          <t>Blupine</t>
        </is>
      </c>
      <c r="D622" s="3" t="inlineStr">
        <is>
          <t>Utility and C&amp;I</t>
        </is>
      </c>
      <c r="E622" s="3" t="n"/>
      <c r="F622" s="3" t="inlineStr">
        <is>
          <t>Closed</t>
        </is>
      </c>
      <c r="G622" s="3" t="inlineStr">
        <is>
          <t>Chandrashekar Patidar</t>
        </is>
      </c>
      <c r="H622" s="3" t="n">
        <v>7879764773</v>
      </c>
      <c r="I622" s="11" t="inlineStr">
        <is>
          <t>PE26032601</t>
        </is>
      </c>
      <c r="J622" s="3" t="inlineStr">
        <is>
          <t>Module Diode Failure</t>
        </is>
      </c>
      <c r="K622" s="3" t="inlineStr">
        <is>
          <t>Sadla</t>
        </is>
      </c>
      <c r="L622" s="3" t="inlineStr">
        <is>
          <t>Gujarat</t>
        </is>
      </c>
      <c r="M622" s="9" t="inlineStr">
        <is>
          <t>PS</t>
        </is>
      </c>
      <c r="N622" s="3" t="inlineStr">
        <is>
          <t>Cold Soldering</t>
        </is>
      </c>
      <c r="O622" s="3" t="n">
        <v>570</v>
      </c>
      <c r="P622" s="9" t="inlineStr">
        <is>
          <t>NSMI24060106579</t>
        </is>
      </c>
      <c r="Q622" s="53">
        <f>MID(P622,5,2)</f>
        <v/>
      </c>
      <c r="R622" s="53">
        <f>MID(P622,7,2)</f>
        <v/>
      </c>
      <c r="S622" s="3" t="inlineStr">
        <is>
          <t>G2G</t>
        </is>
      </c>
      <c r="T622" s="3" t="inlineStr">
        <is>
          <t>P4</t>
        </is>
      </c>
      <c r="U622" s="3" t="inlineStr">
        <is>
          <t>P JB Cold Soldering</t>
        </is>
      </c>
      <c r="V622" s="3" t="inlineStr">
        <is>
          <t>Soldering</t>
        </is>
      </c>
      <c r="W622" s="3" t="inlineStr">
        <is>
          <t>Repair</t>
        </is>
      </c>
      <c r="X622" s="18" t="n">
        <v>46151</v>
      </c>
      <c r="Y622" s="3">
        <f>X622-A622</f>
        <v/>
      </c>
      <c r="Z622" s="18" t="n">
        <v>46151</v>
      </c>
      <c r="AA622" s="15" t="n"/>
      <c r="AB622" s="15" t="n"/>
    </row>
    <row r="623" hidden="1" s="233">
      <c r="A623" s="6" t="n">
        <v>46107</v>
      </c>
      <c r="B623" s="3" t="n">
        <v>2026</v>
      </c>
      <c r="C623" s="3" t="inlineStr">
        <is>
          <t>Blupine</t>
        </is>
      </c>
      <c r="D623" s="3" t="inlineStr">
        <is>
          <t>Utility and C&amp;I</t>
        </is>
      </c>
      <c r="E623" s="3" t="n"/>
      <c r="F623" s="3" t="inlineStr">
        <is>
          <t>Closed</t>
        </is>
      </c>
      <c r="G623" s="3" t="inlineStr">
        <is>
          <t>Chandrashekar Patidar</t>
        </is>
      </c>
      <c r="H623" s="3" t="n">
        <v>7879764773</v>
      </c>
      <c r="I623" s="11" t="inlineStr">
        <is>
          <t>PE26032601</t>
        </is>
      </c>
      <c r="J623" s="3" t="inlineStr">
        <is>
          <t>Module Diode Failure</t>
        </is>
      </c>
      <c r="K623" s="3" t="inlineStr">
        <is>
          <t>Sadla</t>
        </is>
      </c>
      <c r="L623" s="3" t="inlineStr">
        <is>
          <t>Gujarat</t>
        </is>
      </c>
      <c r="M623" s="9" t="inlineStr">
        <is>
          <t>NS</t>
        </is>
      </c>
      <c r="N623" s="3" t="inlineStr">
        <is>
          <t>Cold Soldering</t>
        </is>
      </c>
      <c r="O623" s="3" t="n">
        <v>570</v>
      </c>
      <c r="P623" s="9" t="inlineStr">
        <is>
          <t>NSMI24060106591</t>
        </is>
      </c>
      <c r="Q623" s="53">
        <f>MID(P623,5,2)</f>
        <v/>
      </c>
      <c r="R623" s="53">
        <f>MID(P623,7,2)</f>
        <v/>
      </c>
      <c r="S623" s="3" t="inlineStr">
        <is>
          <t>G2G</t>
        </is>
      </c>
      <c r="T623" s="3" t="inlineStr">
        <is>
          <t>P4</t>
        </is>
      </c>
      <c r="U623" s="3" t="inlineStr">
        <is>
          <t>N JB Cold Soldering</t>
        </is>
      </c>
      <c r="V623" s="3" t="inlineStr">
        <is>
          <t>Soldering</t>
        </is>
      </c>
      <c r="W623" s="3" t="inlineStr">
        <is>
          <t>Repair</t>
        </is>
      </c>
      <c r="X623" s="18" t="n">
        <v>46151</v>
      </c>
      <c r="Y623" s="3">
        <f>X623-A623</f>
        <v/>
      </c>
      <c r="Z623" s="18" t="n">
        <v>46151</v>
      </c>
      <c r="AA623" s="15" t="n"/>
      <c r="AB623" s="15" t="n"/>
    </row>
    <row r="624" hidden="1" s="233">
      <c r="A624" s="6" t="n">
        <v>46107</v>
      </c>
      <c r="B624" s="3" t="n">
        <v>2026</v>
      </c>
      <c r="C624" s="3" t="inlineStr">
        <is>
          <t>Blupine</t>
        </is>
      </c>
      <c r="D624" s="3" t="inlineStr">
        <is>
          <t>Utility and C&amp;I</t>
        </is>
      </c>
      <c r="E624" s="3" t="n"/>
      <c r="F624" s="3" t="inlineStr">
        <is>
          <t>Closed</t>
        </is>
      </c>
      <c r="G624" s="3" t="inlineStr">
        <is>
          <t>Chandrashekar Patidar</t>
        </is>
      </c>
      <c r="H624" s="3" t="n">
        <v>7879764773</v>
      </c>
      <c r="I624" s="11" t="inlineStr">
        <is>
          <t>PE26032601</t>
        </is>
      </c>
      <c r="J624" s="3" t="inlineStr">
        <is>
          <t>Module Diode Failure</t>
        </is>
      </c>
      <c r="K624" s="3" t="inlineStr">
        <is>
          <t>Sadla</t>
        </is>
      </c>
      <c r="L624" s="3" t="inlineStr">
        <is>
          <t>Gujarat</t>
        </is>
      </c>
      <c r="M624" s="9" t="inlineStr">
        <is>
          <t>PS</t>
        </is>
      </c>
      <c r="N624" s="3" t="inlineStr">
        <is>
          <t>Cold Soldering</t>
        </is>
      </c>
      <c r="O624" s="3" t="n">
        <v>570</v>
      </c>
      <c r="P624" s="9" t="inlineStr">
        <is>
          <t>NSMI24060106595</t>
        </is>
      </c>
      <c r="Q624" s="53">
        <f>MID(P624,5,2)</f>
        <v/>
      </c>
      <c r="R624" s="53">
        <f>MID(P624,7,2)</f>
        <v/>
      </c>
      <c r="S624" s="3" t="inlineStr">
        <is>
          <t>G2G</t>
        </is>
      </c>
      <c r="T624" s="3" t="inlineStr">
        <is>
          <t>P4</t>
        </is>
      </c>
      <c r="U624" s="3" t="inlineStr">
        <is>
          <t>P JB Cold Soldering</t>
        </is>
      </c>
      <c r="V624" s="3" t="inlineStr">
        <is>
          <t>Soldering</t>
        </is>
      </c>
      <c r="W624" s="3" t="inlineStr">
        <is>
          <t>Repair</t>
        </is>
      </c>
      <c r="X624" s="18" t="n">
        <v>46151</v>
      </c>
      <c r="Y624" s="3">
        <f>X624-A624</f>
        <v/>
      </c>
      <c r="Z624" s="18" t="n">
        <v>46151</v>
      </c>
      <c r="AA624" s="15" t="n"/>
      <c r="AB624" s="15" t="n"/>
    </row>
    <row r="625" hidden="1" s="233">
      <c r="A625" s="6" t="n">
        <v>46107</v>
      </c>
      <c r="B625" s="3" t="n">
        <v>2026</v>
      </c>
      <c r="C625" s="3" t="inlineStr">
        <is>
          <t>Blupine</t>
        </is>
      </c>
      <c r="D625" s="3" t="inlineStr">
        <is>
          <t>Utility and C&amp;I</t>
        </is>
      </c>
      <c r="E625" s="3" t="n"/>
      <c r="F625" s="3" t="inlineStr">
        <is>
          <t>Closed</t>
        </is>
      </c>
      <c r="G625" s="3" t="inlineStr">
        <is>
          <t>Chandrashekar Patidar</t>
        </is>
      </c>
      <c r="H625" s="3" t="n">
        <v>7879764773</v>
      </c>
      <c r="I625" s="11" t="inlineStr">
        <is>
          <t>PE26032601</t>
        </is>
      </c>
      <c r="J625" s="3" t="inlineStr">
        <is>
          <t>Module Diode Failure</t>
        </is>
      </c>
      <c r="K625" s="3" t="inlineStr">
        <is>
          <t>Sadla</t>
        </is>
      </c>
      <c r="L625" s="3" t="inlineStr">
        <is>
          <t>Gujarat</t>
        </is>
      </c>
      <c r="M625" s="9" t="inlineStr">
        <is>
          <t>PS</t>
        </is>
      </c>
      <c r="N625" s="3" t="inlineStr">
        <is>
          <t>Cold Soldering</t>
        </is>
      </c>
      <c r="O625" s="3" t="n">
        <v>570</v>
      </c>
      <c r="P625" s="9" t="inlineStr">
        <is>
          <t>NSMI24050065717</t>
        </is>
      </c>
      <c r="Q625" s="53">
        <f>MID(P625,5,2)</f>
        <v/>
      </c>
      <c r="R625" s="53">
        <f>MID(P625,7,2)</f>
        <v/>
      </c>
      <c r="S625" s="3" t="inlineStr">
        <is>
          <t>G2G</t>
        </is>
      </c>
      <c r="T625" s="3" t="inlineStr">
        <is>
          <t>P4</t>
        </is>
      </c>
      <c r="U625" s="3" t="inlineStr">
        <is>
          <t>P JB Cold Soldering</t>
        </is>
      </c>
      <c r="V625" s="3" t="inlineStr">
        <is>
          <t>Soldering</t>
        </is>
      </c>
      <c r="W625" s="3" t="inlineStr">
        <is>
          <t>Repair</t>
        </is>
      </c>
      <c r="X625" s="18" t="n">
        <v>46151</v>
      </c>
      <c r="Y625" s="3">
        <f>X625-A625</f>
        <v/>
      </c>
      <c r="Z625" s="18" t="n">
        <v>46151</v>
      </c>
      <c r="AA625" s="15" t="n"/>
      <c r="AB625" s="15" t="n"/>
    </row>
    <row r="626" hidden="1" s="233">
      <c r="A626" s="6" t="n">
        <v>46107</v>
      </c>
      <c r="B626" s="3" t="n">
        <v>2026</v>
      </c>
      <c r="C626" s="3" t="inlineStr">
        <is>
          <t>Blupine</t>
        </is>
      </c>
      <c r="D626" s="3" t="inlineStr">
        <is>
          <t>Utility and C&amp;I</t>
        </is>
      </c>
      <c r="E626" s="3" t="n"/>
      <c r="F626" s="3" t="inlineStr">
        <is>
          <t>Closed</t>
        </is>
      </c>
      <c r="G626" s="3" t="inlineStr">
        <is>
          <t>Chandrashekar Patidar</t>
        </is>
      </c>
      <c r="H626" s="3" t="n">
        <v>7879764773</v>
      </c>
      <c r="I626" s="11" t="inlineStr">
        <is>
          <t>PE26032601</t>
        </is>
      </c>
      <c r="J626" s="3" t="inlineStr">
        <is>
          <t>Module Diode Failure</t>
        </is>
      </c>
      <c r="K626" s="3" t="inlineStr">
        <is>
          <t>Sadla</t>
        </is>
      </c>
      <c r="L626" s="3" t="inlineStr">
        <is>
          <t>Gujarat</t>
        </is>
      </c>
      <c r="M626" s="9" t="inlineStr">
        <is>
          <t>PS</t>
        </is>
      </c>
      <c r="N626" s="3" t="inlineStr">
        <is>
          <t>Cold Soldering</t>
        </is>
      </c>
      <c r="O626" s="3" t="n">
        <v>570</v>
      </c>
      <c r="P626" s="9" t="inlineStr">
        <is>
          <t>NSMI24050059871</t>
        </is>
      </c>
      <c r="Q626" s="53">
        <f>MID(P626,5,2)</f>
        <v/>
      </c>
      <c r="R626" s="53">
        <f>MID(P626,7,2)</f>
        <v/>
      </c>
      <c r="S626" s="3" t="inlineStr">
        <is>
          <t>G2G</t>
        </is>
      </c>
      <c r="T626" s="3" t="inlineStr">
        <is>
          <t>P4</t>
        </is>
      </c>
      <c r="U626" s="3" t="inlineStr">
        <is>
          <t>P JB Cold Soldering</t>
        </is>
      </c>
      <c r="V626" s="3" t="inlineStr">
        <is>
          <t>Soldering</t>
        </is>
      </c>
      <c r="W626" s="3" t="inlineStr">
        <is>
          <t>Repair</t>
        </is>
      </c>
      <c r="X626" s="18" t="n">
        <v>46151</v>
      </c>
      <c r="Y626" s="3">
        <f>X626-A626</f>
        <v/>
      </c>
      <c r="Z626" s="18" t="n">
        <v>46151</v>
      </c>
      <c r="AA626" s="15" t="n"/>
      <c r="AB626" s="15" t="n"/>
    </row>
    <row r="627" hidden="1" s="233">
      <c r="A627" s="6" t="n">
        <v>46107</v>
      </c>
      <c r="B627" s="3" t="n">
        <v>2026</v>
      </c>
      <c r="C627" s="3" t="inlineStr">
        <is>
          <t>Blupine</t>
        </is>
      </c>
      <c r="D627" s="3" t="inlineStr">
        <is>
          <t>Utility and C&amp;I</t>
        </is>
      </c>
      <c r="E627" s="3" t="n"/>
      <c r="F627" s="3" t="inlineStr">
        <is>
          <t>Closed</t>
        </is>
      </c>
      <c r="G627" s="3" t="inlineStr">
        <is>
          <t>Chandrashekar Patidar</t>
        </is>
      </c>
      <c r="H627" s="3" t="n">
        <v>7879764773</v>
      </c>
      <c r="I627" s="11" t="inlineStr">
        <is>
          <t>PE26032601</t>
        </is>
      </c>
      <c r="J627" s="3" t="inlineStr">
        <is>
          <t>Module Diode Failure</t>
        </is>
      </c>
      <c r="K627" s="3" t="inlineStr">
        <is>
          <t>Sadla</t>
        </is>
      </c>
      <c r="L627" s="3" t="inlineStr">
        <is>
          <t>Gujarat</t>
        </is>
      </c>
      <c r="M627" s="9" t="inlineStr">
        <is>
          <t xml:space="preserve">NS </t>
        </is>
      </c>
      <c r="N627" s="3" t="inlineStr">
        <is>
          <t>Cold Soldering</t>
        </is>
      </c>
      <c r="O627" s="3" t="n">
        <v>570</v>
      </c>
      <c r="P627" s="9" t="inlineStr">
        <is>
          <t>NSMI24060114483</t>
        </is>
      </c>
      <c r="Q627" s="53">
        <f>MID(P627,5,2)</f>
        <v/>
      </c>
      <c r="R627" s="53">
        <f>MID(P627,7,2)</f>
        <v/>
      </c>
      <c r="S627" s="3" t="inlineStr">
        <is>
          <t>G2G</t>
        </is>
      </c>
      <c r="T627" s="3" t="inlineStr">
        <is>
          <t>P4</t>
        </is>
      </c>
      <c r="U627" s="3" t="inlineStr">
        <is>
          <t>N JB Cold Soldering</t>
        </is>
      </c>
      <c r="V627" s="3" t="inlineStr">
        <is>
          <t>Soldering</t>
        </is>
      </c>
      <c r="W627" s="3" t="inlineStr">
        <is>
          <t>Repair</t>
        </is>
      </c>
      <c r="X627" s="18" t="n">
        <v>46151</v>
      </c>
      <c r="Y627" s="3">
        <f>X627-A627</f>
        <v/>
      </c>
      <c r="Z627" s="18" t="n">
        <v>46151</v>
      </c>
      <c r="AA627" s="15" t="n"/>
      <c r="AB627" s="15" t="n"/>
    </row>
    <row r="628" hidden="1" s="233">
      <c r="A628" s="6" t="n">
        <v>46107</v>
      </c>
      <c r="B628" s="3" t="n">
        <v>2026</v>
      </c>
      <c r="C628" s="3" t="inlineStr">
        <is>
          <t>Blupine</t>
        </is>
      </c>
      <c r="D628" s="3" t="inlineStr">
        <is>
          <t>Utility and C&amp;I</t>
        </is>
      </c>
      <c r="E628" s="3" t="n"/>
      <c r="F628" s="3" t="inlineStr">
        <is>
          <t>Closed</t>
        </is>
      </c>
      <c r="G628" s="3" t="inlineStr">
        <is>
          <t>Chandrashekar Patidar</t>
        </is>
      </c>
      <c r="H628" s="3" t="n">
        <v>7879764773</v>
      </c>
      <c r="I628" s="11" t="inlineStr">
        <is>
          <t>PE26032601</t>
        </is>
      </c>
      <c r="J628" s="3" t="inlineStr">
        <is>
          <t>Module Diode Failure</t>
        </is>
      </c>
      <c r="K628" s="3" t="inlineStr">
        <is>
          <t>Sadla</t>
        </is>
      </c>
      <c r="L628" s="3" t="inlineStr">
        <is>
          <t>Gujarat</t>
        </is>
      </c>
      <c r="M628" s="9" t="inlineStr">
        <is>
          <t>PNS</t>
        </is>
      </c>
      <c r="N628" s="3" t="inlineStr">
        <is>
          <t>Cold Soldering</t>
        </is>
      </c>
      <c r="O628" s="3" t="n">
        <v>570</v>
      </c>
      <c r="P628" s="9" t="inlineStr">
        <is>
          <t>NSMI24060114478</t>
        </is>
      </c>
      <c r="Q628" s="53">
        <f>MID(P628,5,2)</f>
        <v/>
      </c>
      <c r="R628" s="53">
        <f>MID(P628,7,2)</f>
        <v/>
      </c>
      <c r="S628" s="3" t="inlineStr">
        <is>
          <t>G2G</t>
        </is>
      </c>
      <c r="T628" s="3" t="inlineStr">
        <is>
          <t>P4</t>
        </is>
      </c>
      <c r="U628" s="3" t="inlineStr">
        <is>
          <t>P &amp; N JB Cold Soldering</t>
        </is>
      </c>
      <c r="V628" s="3" t="inlineStr">
        <is>
          <t>Soldering</t>
        </is>
      </c>
      <c r="W628" s="3" t="inlineStr">
        <is>
          <t>Repair</t>
        </is>
      </c>
      <c r="X628" s="18" t="n">
        <v>46151</v>
      </c>
      <c r="Y628" s="3">
        <f>X628-A628</f>
        <v/>
      </c>
      <c r="Z628" s="18" t="n">
        <v>46151</v>
      </c>
      <c r="AA628" s="15" t="n"/>
      <c r="AB628" s="15" t="n"/>
    </row>
    <row r="629" hidden="1" s="233">
      <c r="A629" s="6" t="n">
        <v>46107</v>
      </c>
      <c r="B629" s="3" t="n">
        <v>2026</v>
      </c>
      <c r="C629" s="3" t="inlineStr">
        <is>
          <t>Blupine</t>
        </is>
      </c>
      <c r="D629" s="3" t="inlineStr">
        <is>
          <t>Utility and C&amp;I</t>
        </is>
      </c>
      <c r="E629" s="3" t="n"/>
      <c r="F629" s="3" t="inlineStr">
        <is>
          <t>Closed</t>
        </is>
      </c>
      <c r="G629" s="3" t="inlineStr">
        <is>
          <t>Chandrashekar Patidar</t>
        </is>
      </c>
      <c r="H629" s="3" t="n">
        <v>7879764773</v>
      </c>
      <c r="I629" s="11" t="inlineStr">
        <is>
          <t>PE26032601</t>
        </is>
      </c>
      <c r="J629" s="3" t="inlineStr">
        <is>
          <t>Module Diode Failure</t>
        </is>
      </c>
      <c r="K629" s="3" t="inlineStr">
        <is>
          <t>Sadla</t>
        </is>
      </c>
      <c r="L629" s="3" t="inlineStr">
        <is>
          <t>Gujarat</t>
        </is>
      </c>
      <c r="M629" s="9" t="inlineStr">
        <is>
          <t>NR</t>
        </is>
      </c>
      <c r="N629" s="3" t="inlineStr">
        <is>
          <t>JB Issue</t>
        </is>
      </c>
      <c r="O629" s="3" t="n">
        <v>570</v>
      </c>
      <c r="P629" s="9" t="inlineStr">
        <is>
          <t>NSMI24050063274</t>
        </is>
      </c>
      <c r="Q629" s="53">
        <f>MID(P629,5,2)</f>
        <v/>
      </c>
      <c r="R629" s="53">
        <f>MID(P629,7,2)</f>
        <v/>
      </c>
      <c r="S629" s="3" t="inlineStr">
        <is>
          <t>G2G</t>
        </is>
      </c>
      <c r="T629" s="3" t="inlineStr">
        <is>
          <t>P4</t>
        </is>
      </c>
      <c r="U629" s="3" t="inlineStr">
        <is>
          <t>N JB Issue</t>
        </is>
      </c>
      <c r="V629" s="3" t="inlineStr">
        <is>
          <t>JB Changed</t>
        </is>
      </c>
      <c r="W629" s="3" t="inlineStr">
        <is>
          <t>Repair</t>
        </is>
      </c>
      <c r="X629" s="18" t="n">
        <v>46151</v>
      </c>
      <c r="Y629" s="3">
        <f>X629-A629</f>
        <v/>
      </c>
      <c r="Z629" s="18" t="n">
        <v>46151</v>
      </c>
      <c r="AA629" s="15" t="n"/>
      <c r="AB629" s="15" t="n"/>
    </row>
    <row r="630" hidden="1" s="233">
      <c r="A630" s="6" t="n">
        <v>46107</v>
      </c>
      <c r="B630" s="3" t="n">
        <v>2026</v>
      </c>
      <c r="C630" s="3" t="inlineStr">
        <is>
          <t>Blupine</t>
        </is>
      </c>
      <c r="D630" s="3" t="inlineStr">
        <is>
          <t>Utility and C&amp;I</t>
        </is>
      </c>
      <c r="E630" s="3" t="n"/>
      <c r="F630" s="3" t="inlineStr">
        <is>
          <t>Closed</t>
        </is>
      </c>
      <c r="G630" s="3" t="inlineStr">
        <is>
          <t>Chandrashekar Patidar</t>
        </is>
      </c>
      <c r="H630" s="3" t="n">
        <v>7879764773</v>
      </c>
      <c r="I630" s="11" t="inlineStr">
        <is>
          <t>PE26032601</t>
        </is>
      </c>
      <c r="J630" s="3" t="inlineStr">
        <is>
          <t>Module Diode Failure</t>
        </is>
      </c>
      <c r="K630" s="3" t="inlineStr">
        <is>
          <t>Sadla</t>
        </is>
      </c>
      <c r="L630" s="3" t="inlineStr">
        <is>
          <t>Gujarat</t>
        </is>
      </c>
      <c r="M630" s="9" t="inlineStr">
        <is>
          <t>PNS</t>
        </is>
      </c>
      <c r="N630" s="3" t="inlineStr">
        <is>
          <t>Cold Soldering</t>
        </is>
      </c>
      <c r="O630" s="3" t="n">
        <v>570</v>
      </c>
      <c r="P630" s="9" t="inlineStr">
        <is>
          <t>NSMI24050045981</t>
        </is>
      </c>
      <c r="Q630" s="53">
        <f>MID(P630,5,2)</f>
        <v/>
      </c>
      <c r="R630" s="53">
        <f>MID(P630,7,2)</f>
        <v/>
      </c>
      <c r="S630" s="3" t="inlineStr">
        <is>
          <t>G2G</t>
        </is>
      </c>
      <c r="T630" s="3" t="inlineStr">
        <is>
          <t>P4</t>
        </is>
      </c>
      <c r="U630" s="3" t="inlineStr">
        <is>
          <t>P &amp; N JB Cold Soldering</t>
        </is>
      </c>
      <c r="V630" s="3" t="inlineStr">
        <is>
          <t>Soldering</t>
        </is>
      </c>
      <c r="W630" s="3" t="inlineStr">
        <is>
          <t>Repair</t>
        </is>
      </c>
      <c r="X630" s="18" t="n">
        <v>46151</v>
      </c>
      <c r="Y630" s="3">
        <f>X630-A630</f>
        <v/>
      </c>
      <c r="Z630" s="18" t="n">
        <v>46151</v>
      </c>
      <c r="AA630" s="15" t="n"/>
      <c r="AB630" s="15" t="n"/>
    </row>
    <row r="631" hidden="1" s="233">
      <c r="A631" s="6" t="n">
        <v>46107</v>
      </c>
      <c r="B631" s="3" t="n">
        <v>2026</v>
      </c>
      <c r="C631" s="3" t="inlineStr">
        <is>
          <t>Blupine</t>
        </is>
      </c>
      <c r="D631" s="3" t="inlineStr">
        <is>
          <t>Utility and C&amp;I</t>
        </is>
      </c>
      <c r="E631" s="3" t="n"/>
      <c r="F631" s="3" t="inlineStr">
        <is>
          <t>Closed</t>
        </is>
      </c>
      <c r="G631" s="3" t="inlineStr">
        <is>
          <t>Chandrashekar Patidar</t>
        </is>
      </c>
      <c r="H631" s="3" t="n">
        <v>7879764773</v>
      </c>
      <c r="I631" s="11" t="inlineStr">
        <is>
          <t>PE26032601</t>
        </is>
      </c>
      <c r="J631" s="3" t="inlineStr">
        <is>
          <t>Module Diode Failure</t>
        </is>
      </c>
      <c r="K631" s="3" t="inlineStr">
        <is>
          <t>Sadla</t>
        </is>
      </c>
      <c r="L631" s="3" t="inlineStr">
        <is>
          <t>Gujarat</t>
        </is>
      </c>
      <c r="M631" s="9" t="inlineStr">
        <is>
          <t xml:space="preserve">NS </t>
        </is>
      </c>
      <c r="N631" s="3" t="inlineStr">
        <is>
          <t>Cold Soldering</t>
        </is>
      </c>
      <c r="O631" s="3" t="n">
        <v>570</v>
      </c>
      <c r="P631" s="9" t="inlineStr">
        <is>
          <t>NSMI24050064909</t>
        </is>
      </c>
      <c r="Q631" s="53">
        <f>MID(P631,5,2)</f>
        <v/>
      </c>
      <c r="R631" s="53">
        <f>MID(P631,7,2)</f>
        <v/>
      </c>
      <c r="S631" s="3" t="inlineStr">
        <is>
          <t>G2G</t>
        </is>
      </c>
      <c r="T631" s="3" t="inlineStr">
        <is>
          <t>P4</t>
        </is>
      </c>
      <c r="U631" s="3" t="inlineStr">
        <is>
          <t>N JB Cold Soldering</t>
        </is>
      </c>
      <c r="V631" s="3" t="inlineStr">
        <is>
          <t>Soldering</t>
        </is>
      </c>
      <c r="W631" s="3" t="inlineStr">
        <is>
          <t>Repair</t>
        </is>
      </c>
      <c r="X631" s="18" t="n">
        <v>46151</v>
      </c>
      <c r="Y631" s="3">
        <f>X631-A631</f>
        <v/>
      </c>
      <c r="Z631" s="18" t="n">
        <v>46151</v>
      </c>
      <c r="AA631" s="15" t="n"/>
      <c r="AB631" s="15" t="n"/>
    </row>
    <row r="632" hidden="1" s="233">
      <c r="A632" s="6" t="n">
        <v>46107</v>
      </c>
      <c r="B632" s="3" t="n">
        <v>2026</v>
      </c>
      <c r="C632" s="3" t="inlineStr">
        <is>
          <t>Blupine</t>
        </is>
      </c>
      <c r="D632" s="3" t="inlineStr">
        <is>
          <t>Utility and C&amp;I</t>
        </is>
      </c>
      <c r="E632" s="3" t="n"/>
      <c r="F632" s="3" t="inlineStr">
        <is>
          <t>Closed</t>
        </is>
      </c>
      <c r="G632" s="3" t="inlineStr">
        <is>
          <t>Chandrashekar Patidar</t>
        </is>
      </c>
      <c r="H632" s="3" t="n">
        <v>7879764773</v>
      </c>
      <c r="I632" s="11" t="inlineStr">
        <is>
          <t>PE26032601</t>
        </is>
      </c>
      <c r="J632" s="3" t="inlineStr">
        <is>
          <t>Module Diode Failure</t>
        </is>
      </c>
      <c r="K632" s="3" t="inlineStr">
        <is>
          <t>Sadla</t>
        </is>
      </c>
      <c r="L632" s="3" t="inlineStr">
        <is>
          <t>Gujarat</t>
        </is>
      </c>
      <c r="M632" s="9" t="inlineStr">
        <is>
          <t>PNS</t>
        </is>
      </c>
      <c r="N632" s="3" t="inlineStr">
        <is>
          <t>Cold Soldering</t>
        </is>
      </c>
      <c r="O632" s="3" t="n">
        <v>570</v>
      </c>
      <c r="P632" s="9" t="inlineStr">
        <is>
          <t>NSMI24060075382</t>
        </is>
      </c>
      <c r="Q632" s="53">
        <f>MID(P632,5,2)</f>
        <v/>
      </c>
      <c r="R632" s="53">
        <f>MID(P632,7,2)</f>
        <v/>
      </c>
      <c r="S632" s="3" t="inlineStr">
        <is>
          <t>G2G</t>
        </is>
      </c>
      <c r="T632" s="3" t="inlineStr">
        <is>
          <t>P4</t>
        </is>
      </c>
      <c r="U632" s="3" t="inlineStr">
        <is>
          <t>P &amp; N JB Cold Soldering</t>
        </is>
      </c>
      <c r="V632" s="3" t="inlineStr">
        <is>
          <t>Soldering</t>
        </is>
      </c>
      <c r="W632" s="3" t="inlineStr">
        <is>
          <t>Repair</t>
        </is>
      </c>
      <c r="X632" s="18" t="n">
        <v>46153</v>
      </c>
      <c r="Y632" s="3">
        <f>X632-A632</f>
        <v/>
      </c>
      <c r="Z632" s="18" t="n">
        <v>46153</v>
      </c>
      <c r="AA632" s="15" t="n"/>
      <c r="AB632" s="15" t="n"/>
    </row>
    <row r="633" hidden="1" s="233">
      <c r="A633" s="6" t="n">
        <v>46107</v>
      </c>
      <c r="B633" s="3" t="n">
        <v>2026</v>
      </c>
      <c r="C633" s="3" t="inlineStr">
        <is>
          <t>Blupine</t>
        </is>
      </c>
      <c r="D633" s="3" t="inlineStr">
        <is>
          <t>Utility and C&amp;I</t>
        </is>
      </c>
      <c r="E633" s="3" t="n"/>
      <c r="F633" s="3" t="inlineStr">
        <is>
          <t>Closed</t>
        </is>
      </c>
      <c r="G633" s="3" t="inlineStr">
        <is>
          <t>Chandrashekar Patidar</t>
        </is>
      </c>
      <c r="H633" s="3" t="n">
        <v>7879764773</v>
      </c>
      <c r="I633" s="11" t="inlineStr">
        <is>
          <t>PE26032601</t>
        </is>
      </c>
      <c r="J633" s="3" t="inlineStr">
        <is>
          <t>Module Diode Failure</t>
        </is>
      </c>
      <c r="K633" s="3" t="inlineStr">
        <is>
          <t>Sadla</t>
        </is>
      </c>
      <c r="L633" s="3" t="inlineStr">
        <is>
          <t>Gujarat</t>
        </is>
      </c>
      <c r="M633" s="9" t="inlineStr">
        <is>
          <t>PS</t>
        </is>
      </c>
      <c r="N633" s="3" t="inlineStr">
        <is>
          <t>Cold Soldering</t>
        </is>
      </c>
      <c r="O633" s="3" t="n">
        <v>570</v>
      </c>
      <c r="P633" s="9" t="inlineStr">
        <is>
          <t>NSMI24060076565</t>
        </is>
      </c>
      <c r="Q633" s="53">
        <f>MID(P633,5,2)</f>
        <v/>
      </c>
      <c r="R633" s="53">
        <f>MID(P633,7,2)</f>
        <v/>
      </c>
      <c r="S633" s="3" t="inlineStr">
        <is>
          <t>G2G</t>
        </is>
      </c>
      <c r="T633" s="3" t="inlineStr">
        <is>
          <t>P4</t>
        </is>
      </c>
      <c r="U633" s="3" t="inlineStr">
        <is>
          <t>P JB Cold Soldering</t>
        </is>
      </c>
      <c r="V633" s="3" t="inlineStr">
        <is>
          <t>Soldering</t>
        </is>
      </c>
      <c r="W633" s="3" t="inlineStr">
        <is>
          <t>Repair</t>
        </is>
      </c>
      <c r="X633" s="18" t="n">
        <v>46153</v>
      </c>
      <c r="Y633" s="3">
        <f>X633-A633</f>
        <v/>
      </c>
      <c r="Z633" s="18" t="n">
        <v>46153</v>
      </c>
      <c r="AA633" s="15" t="n"/>
      <c r="AB633" s="15" t="n"/>
    </row>
    <row r="634" hidden="1" s="233">
      <c r="A634" s="6" t="n">
        <v>46107</v>
      </c>
      <c r="B634" s="3" t="n">
        <v>2026</v>
      </c>
      <c r="C634" s="3" t="inlineStr">
        <is>
          <t>Blupine</t>
        </is>
      </c>
      <c r="D634" s="3" t="inlineStr">
        <is>
          <t>Utility and C&amp;I</t>
        </is>
      </c>
      <c r="E634" s="3" t="n"/>
      <c r="F634" s="3" t="inlineStr">
        <is>
          <t>Closed</t>
        </is>
      </c>
      <c r="G634" s="3" t="inlineStr">
        <is>
          <t>Chandrashekar Patidar</t>
        </is>
      </c>
      <c r="H634" s="3" t="n">
        <v>7879764773</v>
      </c>
      <c r="I634" s="11" t="inlineStr">
        <is>
          <t>PE26032601</t>
        </is>
      </c>
      <c r="J634" s="3" t="inlineStr">
        <is>
          <t>Module Diode Failure</t>
        </is>
      </c>
      <c r="K634" s="3" t="inlineStr">
        <is>
          <t>Sadla</t>
        </is>
      </c>
      <c r="L634" s="3" t="inlineStr">
        <is>
          <t>Gujarat</t>
        </is>
      </c>
      <c r="M634" s="9" t="inlineStr">
        <is>
          <t>PS</t>
        </is>
      </c>
      <c r="N634" s="3" t="inlineStr">
        <is>
          <t>Cold Soldering</t>
        </is>
      </c>
      <c r="O634" s="3" t="n">
        <v>570</v>
      </c>
      <c r="P634" s="9" t="inlineStr">
        <is>
          <t>NSMI24060076568</t>
        </is>
      </c>
      <c r="Q634" s="53">
        <f>MID(P634,5,2)</f>
        <v/>
      </c>
      <c r="R634" s="53">
        <f>MID(P634,7,2)</f>
        <v/>
      </c>
      <c r="S634" s="3" t="inlineStr">
        <is>
          <t>G2G</t>
        </is>
      </c>
      <c r="T634" s="3" t="inlineStr">
        <is>
          <t>P4</t>
        </is>
      </c>
      <c r="U634" s="3" t="inlineStr">
        <is>
          <t>P JB Cold Soldering</t>
        </is>
      </c>
      <c r="V634" s="3" t="inlineStr">
        <is>
          <t>Soldering</t>
        </is>
      </c>
      <c r="W634" s="3" t="inlineStr">
        <is>
          <t>Repair</t>
        </is>
      </c>
      <c r="X634" s="18" t="n">
        <v>46153</v>
      </c>
      <c r="Y634" s="3">
        <f>X634-A634</f>
        <v/>
      </c>
      <c r="Z634" s="18" t="n">
        <v>46153</v>
      </c>
      <c r="AA634" s="15" t="n"/>
      <c r="AB634" s="15" t="n"/>
    </row>
    <row r="635" hidden="1" s="233">
      <c r="A635" s="6" t="n">
        <v>46107</v>
      </c>
      <c r="B635" s="3" t="n">
        <v>2026</v>
      </c>
      <c r="C635" s="3" t="inlineStr">
        <is>
          <t>Blupine</t>
        </is>
      </c>
      <c r="D635" s="3" t="inlineStr">
        <is>
          <t>Utility and C&amp;I</t>
        </is>
      </c>
      <c r="E635" s="3" t="n"/>
      <c r="F635" s="3" t="inlineStr">
        <is>
          <t>Closed</t>
        </is>
      </c>
      <c r="G635" s="3" t="inlineStr">
        <is>
          <t>Chandrashekar Patidar</t>
        </is>
      </c>
      <c r="H635" s="3" t="n">
        <v>7879764773</v>
      </c>
      <c r="I635" s="11" t="inlineStr">
        <is>
          <t>PE26032601</t>
        </is>
      </c>
      <c r="J635" s="3" t="inlineStr">
        <is>
          <t>Module Diode Failure</t>
        </is>
      </c>
      <c r="K635" s="3" t="inlineStr">
        <is>
          <t>Sadla</t>
        </is>
      </c>
      <c r="L635" s="3" t="inlineStr">
        <is>
          <t>Gujarat</t>
        </is>
      </c>
      <c r="M635" s="9" t="inlineStr">
        <is>
          <t>NS</t>
        </is>
      </c>
      <c r="N635" s="3" t="inlineStr">
        <is>
          <t>Cold Soldering</t>
        </is>
      </c>
      <c r="O635" s="3" t="n">
        <v>570</v>
      </c>
      <c r="P635" s="9" t="inlineStr">
        <is>
          <t>NSMI24060101439</t>
        </is>
      </c>
      <c r="Q635" s="53">
        <f>MID(P635,5,2)</f>
        <v/>
      </c>
      <c r="R635" s="53">
        <f>MID(P635,7,2)</f>
        <v/>
      </c>
      <c r="S635" s="3" t="inlineStr">
        <is>
          <t>G2G</t>
        </is>
      </c>
      <c r="T635" s="3" t="inlineStr">
        <is>
          <t>P4</t>
        </is>
      </c>
      <c r="U635" s="3" t="inlineStr">
        <is>
          <t>N JB Cold Soldering</t>
        </is>
      </c>
      <c r="V635" s="3" t="inlineStr">
        <is>
          <t>Soldering</t>
        </is>
      </c>
      <c r="W635" s="3" t="inlineStr">
        <is>
          <t>Repair</t>
        </is>
      </c>
      <c r="X635" s="18" t="n">
        <v>46153</v>
      </c>
      <c r="Y635" s="3">
        <f>X635-A635</f>
        <v/>
      </c>
      <c r="Z635" s="18" t="n">
        <v>46153</v>
      </c>
      <c r="AA635" s="15" t="n"/>
      <c r="AB635" s="15" t="n"/>
    </row>
    <row r="636" hidden="1" s="233">
      <c r="A636" s="6" t="n">
        <v>46107</v>
      </c>
      <c r="B636" s="3" t="n">
        <v>2026</v>
      </c>
      <c r="C636" s="3" t="inlineStr">
        <is>
          <t>Blupine</t>
        </is>
      </c>
      <c r="D636" s="3" t="inlineStr">
        <is>
          <t>Utility and C&amp;I</t>
        </is>
      </c>
      <c r="E636" s="3" t="n"/>
      <c r="F636" s="3" t="inlineStr">
        <is>
          <t>Closed</t>
        </is>
      </c>
      <c r="G636" s="3" t="inlineStr">
        <is>
          <t>Chandrashekar Patidar</t>
        </is>
      </c>
      <c r="H636" s="3" t="n">
        <v>7879764773</v>
      </c>
      <c r="I636" s="11" t="inlineStr">
        <is>
          <t>PE26032601</t>
        </is>
      </c>
      <c r="J636" s="3" t="inlineStr">
        <is>
          <t>Module Diode Failure</t>
        </is>
      </c>
      <c r="K636" s="3" t="inlineStr">
        <is>
          <t>Sadla</t>
        </is>
      </c>
      <c r="L636" s="3" t="inlineStr">
        <is>
          <t>Gujarat</t>
        </is>
      </c>
      <c r="M636" s="9" t="inlineStr">
        <is>
          <t>NS</t>
        </is>
      </c>
      <c r="N636" s="3" t="inlineStr">
        <is>
          <t>Cold Soldering</t>
        </is>
      </c>
      <c r="O636" s="3" t="n">
        <v>570</v>
      </c>
      <c r="P636" s="9" t="inlineStr">
        <is>
          <t>NSMI24050048295</t>
        </is>
      </c>
      <c r="Q636" s="53">
        <f>MID(P636,5,2)</f>
        <v/>
      </c>
      <c r="R636" s="53">
        <f>MID(P636,7,2)</f>
        <v/>
      </c>
      <c r="S636" s="3" t="inlineStr">
        <is>
          <t>G2G</t>
        </is>
      </c>
      <c r="T636" s="3" t="inlineStr">
        <is>
          <t>P4</t>
        </is>
      </c>
      <c r="U636" s="3" t="inlineStr">
        <is>
          <t>N JB Cold Soldering</t>
        </is>
      </c>
      <c r="V636" s="3" t="inlineStr">
        <is>
          <t>Soldering</t>
        </is>
      </c>
      <c r="W636" s="3" t="inlineStr">
        <is>
          <t>Repair</t>
        </is>
      </c>
      <c r="X636" s="18" t="n">
        <v>46153</v>
      </c>
      <c r="Y636" s="3">
        <f>X636-A636</f>
        <v/>
      </c>
      <c r="Z636" s="18" t="n">
        <v>46153</v>
      </c>
      <c r="AA636" s="15" t="n"/>
      <c r="AB636" s="15" t="n"/>
    </row>
    <row r="637" hidden="1" s="233">
      <c r="A637" s="6" t="n">
        <v>46107</v>
      </c>
      <c r="B637" s="3" t="n">
        <v>2026</v>
      </c>
      <c r="C637" s="3" t="inlineStr">
        <is>
          <t>Blupine</t>
        </is>
      </c>
      <c r="D637" s="3" t="inlineStr">
        <is>
          <t>Utility and C&amp;I</t>
        </is>
      </c>
      <c r="E637" s="3" t="n"/>
      <c r="F637" s="3" t="inlineStr">
        <is>
          <t>Closed</t>
        </is>
      </c>
      <c r="G637" s="3" t="inlineStr">
        <is>
          <t>Chandrashekar Patidar</t>
        </is>
      </c>
      <c r="H637" s="3" t="n">
        <v>7879764773</v>
      </c>
      <c r="I637" s="11" t="inlineStr">
        <is>
          <t>PE26032601</t>
        </is>
      </c>
      <c r="J637" s="3" t="inlineStr">
        <is>
          <t>Module Diode Failure</t>
        </is>
      </c>
      <c r="K637" s="3" t="inlineStr">
        <is>
          <t>Sadla</t>
        </is>
      </c>
      <c r="L637" s="3" t="inlineStr">
        <is>
          <t>Gujarat</t>
        </is>
      </c>
      <c r="M637" s="9" t="inlineStr">
        <is>
          <t>NR</t>
        </is>
      </c>
      <c r="N637" s="3" t="inlineStr">
        <is>
          <t>JB Issue</t>
        </is>
      </c>
      <c r="O637" s="3" t="n">
        <v>570</v>
      </c>
      <c r="P637" s="9" t="inlineStr">
        <is>
          <t>NSMI24050048459</t>
        </is>
      </c>
      <c r="Q637" s="53">
        <f>MID(P637,5,2)</f>
        <v/>
      </c>
      <c r="R637" s="53">
        <f>MID(P637,7,2)</f>
        <v/>
      </c>
      <c r="S637" s="3" t="inlineStr">
        <is>
          <t>G2G</t>
        </is>
      </c>
      <c r="T637" s="3" t="inlineStr">
        <is>
          <t>P4</t>
        </is>
      </c>
      <c r="U637" s="3" t="inlineStr">
        <is>
          <t>N JB Issue</t>
        </is>
      </c>
      <c r="V637" s="3" t="inlineStr">
        <is>
          <t>JB Changed</t>
        </is>
      </c>
      <c r="W637" s="3" t="inlineStr">
        <is>
          <t>Repair</t>
        </is>
      </c>
      <c r="X637" s="18" t="n">
        <v>46153</v>
      </c>
      <c r="Y637" s="3">
        <f>X637-A637</f>
        <v/>
      </c>
      <c r="Z637" s="18" t="n">
        <v>46153</v>
      </c>
      <c r="AA637" s="15" t="n"/>
      <c r="AB637" s="15" t="n"/>
    </row>
    <row r="638" hidden="1" s="233">
      <c r="A638" s="6" t="n">
        <v>46107</v>
      </c>
      <c r="B638" s="3" t="n">
        <v>2026</v>
      </c>
      <c r="C638" s="3" t="inlineStr">
        <is>
          <t>Blupine</t>
        </is>
      </c>
      <c r="D638" s="3" t="inlineStr">
        <is>
          <t>Utility and C&amp;I</t>
        </is>
      </c>
      <c r="E638" s="3" t="n"/>
      <c r="F638" s="3" t="inlineStr">
        <is>
          <t>Closed</t>
        </is>
      </c>
      <c r="G638" s="3" t="inlineStr">
        <is>
          <t>Chandrashekar Patidar</t>
        </is>
      </c>
      <c r="H638" s="3" t="n">
        <v>7879764773</v>
      </c>
      <c r="I638" s="11" t="inlineStr">
        <is>
          <t>PE26032601</t>
        </is>
      </c>
      <c r="J638" s="3" t="inlineStr">
        <is>
          <t>Module Diode Failure</t>
        </is>
      </c>
      <c r="K638" s="3" t="inlineStr">
        <is>
          <t>Sadla</t>
        </is>
      </c>
      <c r="L638" s="3" t="inlineStr">
        <is>
          <t>Gujarat</t>
        </is>
      </c>
      <c r="M638" s="9" t="inlineStr">
        <is>
          <t>PS</t>
        </is>
      </c>
      <c r="N638" s="3" t="inlineStr">
        <is>
          <t>Cold Soldering</t>
        </is>
      </c>
      <c r="O638" s="3" t="n">
        <v>570</v>
      </c>
      <c r="P638" s="9" t="inlineStr">
        <is>
          <t>NSMI24050045972</t>
        </is>
      </c>
      <c r="Q638" s="53">
        <f>MID(P638,5,2)</f>
        <v/>
      </c>
      <c r="R638" s="53">
        <f>MID(P638,7,2)</f>
        <v/>
      </c>
      <c r="S638" s="3" t="inlineStr">
        <is>
          <t>G2G</t>
        </is>
      </c>
      <c r="T638" s="3" t="inlineStr">
        <is>
          <t>P4</t>
        </is>
      </c>
      <c r="U638" s="3" t="inlineStr">
        <is>
          <t>P JB Cold Soldering</t>
        </is>
      </c>
      <c r="V638" s="3" t="inlineStr">
        <is>
          <t>Soldering</t>
        </is>
      </c>
      <c r="W638" s="3" t="inlineStr">
        <is>
          <t>Repair</t>
        </is>
      </c>
      <c r="X638" s="18" t="n">
        <v>46153</v>
      </c>
      <c r="Y638" s="3">
        <f>X638-A638</f>
        <v/>
      </c>
      <c r="Z638" s="18" t="n">
        <v>46153</v>
      </c>
      <c r="AA638" s="15" t="n"/>
      <c r="AB638" s="15" t="n"/>
    </row>
    <row r="639" hidden="1" s="233">
      <c r="A639" s="6" t="n">
        <v>46107</v>
      </c>
      <c r="B639" s="3" t="n">
        <v>2026</v>
      </c>
      <c r="C639" s="3" t="inlineStr">
        <is>
          <t>Blupine</t>
        </is>
      </c>
      <c r="D639" s="3" t="inlineStr">
        <is>
          <t>Utility and C&amp;I</t>
        </is>
      </c>
      <c r="E639" s="3" t="n"/>
      <c r="F639" s="3" t="inlineStr">
        <is>
          <t>Closed</t>
        </is>
      </c>
      <c r="G639" s="3" t="inlineStr">
        <is>
          <t>Chandrashekar Patidar</t>
        </is>
      </c>
      <c r="H639" s="3" t="n">
        <v>7879764773</v>
      </c>
      <c r="I639" s="11" t="inlineStr">
        <is>
          <t>PE26032601</t>
        </is>
      </c>
      <c r="J639" s="3" t="inlineStr">
        <is>
          <t>Module Diode Failure</t>
        </is>
      </c>
      <c r="K639" s="3" t="inlineStr">
        <is>
          <t>Sadla</t>
        </is>
      </c>
      <c r="L639" s="3" t="inlineStr">
        <is>
          <t>Gujarat</t>
        </is>
      </c>
      <c r="M639" s="9" t="inlineStr">
        <is>
          <t>PS</t>
        </is>
      </c>
      <c r="N639" s="3" t="inlineStr">
        <is>
          <t>Cold Soldering</t>
        </is>
      </c>
      <c r="O639" s="3" t="n">
        <v>570</v>
      </c>
      <c r="P639" s="9" t="inlineStr">
        <is>
          <t>NSMI24060091541</t>
        </is>
      </c>
      <c r="Q639" s="53">
        <f>MID(P639,5,2)</f>
        <v/>
      </c>
      <c r="R639" s="53">
        <f>MID(P639,7,2)</f>
        <v/>
      </c>
      <c r="S639" s="3" t="inlineStr">
        <is>
          <t>G2G</t>
        </is>
      </c>
      <c r="T639" s="3" t="inlineStr">
        <is>
          <t>P4</t>
        </is>
      </c>
      <c r="U639" s="3" t="inlineStr">
        <is>
          <t>P JB Cold Soldering</t>
        </is>
      </c>
      <c r="V639" s="3" t="inlineStr">
        <is>
          <t>Soldering</t>
        </is>
      </c>
      <c r="W639" s="3" t="inlineStr">
        <is>
          <t>Repair</t>
        </is>
      </c>
      <c r="X639" s="18" t="n">
        <v>46153</v>
      </c>
      <c r="Y639" s="3">
        <f>X639-A639</f>
        <v/>
      </c>
      <c r="Z639" s="18" t="n">
        <v>46153</v>
      </c>
      <c r="AA639" s="15" t="n"/>
      <c r="AB639" s="15" t="n"/>
    </row>
    <row r="640" hidden="1" s="233">
      <c r="A640" s="6" t="n">
        <v>46107</v>
      </c>
      <c r="B640" s="3" t="n">
        <v>2026</v>
      </c>
      <c r="C640" s="3" t="inlineStr">
        <is>
          <t>Blupine</t>
        </is>
      </c>
      <c r="D640" s="3" t="inlineStr">
        <is>
          <t>Utility and C&amp;I</t>
        </is>
      </c>
      <c r="E640" s="3" t="n"/>
      <c r="F640" s="3" t="inlineStr">
        <is>
          <t>Closed</t>
        </is>
      </c>
      <c r="G640" s="3" t="inlineStr">
        <is>
          <t>Chandrashekar Patidar</t>
        </is>
      </c>
      <c r="H640" s="3" t="n">
        <v>7879764773</v>
      </c>
      <c r="I640" s="11" t="inlineStr">
        <is>
          <t>PE26032601</t>
        </is>
      </c>
      <c r="J640" s="3" t="inlineStr">
        <is>
          <t>Module Diode Failure</t>
        </is>
      </c>
      <c r="K640" s="3" t="inlineStr">
        <is>
          <t>Sadla</t>
        </is>
      </c>
      <c r="L640" s="3" t="inlineStr">
        <is>
          <t>Gujarat</t>
        </is>
      </c>
      <c r="M640" s="9" t="inlineStr">
        <is>
          <t>NS</t>
        </is>
      </c>
      <c r="N640" s="3" t="inlineStr">
        <is>
          <t>Cold Soldering</t>
        </is>
      </c>
      <c r="O640" s="3" t="n">
        <v>570</v>
      </c>
      <c r="P640" s="9" t="inlineStr">
        <is>
          <t>NSMI24060090066</t>
        </is>
      </c>
      <c r="Q640" s="53">
        <f>MID(P640,5,2)</f>
        <v/>
      </c>
      <c r="R640" s="53">
        <f>MID(P640,7,2)</f>
        <v/>
      </c>
      <c r="S640" s="3" t="inlineStr">
        <is>
          <t>G2G</t>
        </is>
      </c>
      <c r="T640" s="3" t="inlineStr">
        <is>
          <t>P4</t>
        </is>
      </c>
      <c r="U640" s="3" t="inlineStr">
        <is>
          <t>N JB Cold Soldering</t>
        </is>
      </c>
      <c r="V640" s="3" t="inlineStr">
        <is>
          <t>Soldering</t>
        </is>
      </c>
      <c r="W640" s="3" t="inlineStr">
        <is>
          <t>Repair</t>
        </is>
      </c>
      <c r="X640" s="18" t="n">
        <v>46153</v>
      </c>
      <c r="Y640" s="3">
        <f>X640-A640</f>
        <v/>
      </c>
      <c r="Z640" s="18" t="n">
        <v>46153</v>
      </c>
      <c r="AA640" s="15" t="n"/>
      <c r="AB640" s="15" t="n"/>
    </row>
    <row r="641" hidden="1" s="233">
      <c r="A641" s="6" t="n">
        <v>46107</v>
      </c>
      <c r="B641" s="3" t="n">
        <v>2026</v>
      </c>
      <c r="C641" s="3" t="inlineStr">
        <is>
          <t>Blupine</t>
        </is>
      </c>
      <c r="D641" s="3" t="inlineStr">
        <is>
          <t>Utility and C&amp;I</t>
        </is>
      </c>
      <c r="E641" s="3" t="n"/>
      <c r="F641" s="3" t="inlineStr">
        <is>
          <t>Closed</t>
        </is>
      </c>
      <c r="G641" s="3" t="inlineStr">
        <is>
          <t>Chandrashekar Patidar</t>
        </is>
      </c>
      <c r="H641" s="3" t="n">
        <v>7879764773</v>
      </c>
      <c r="I641" s="11" t="inlineStr">
        <is>
          <t>PE26032601</t>
        </is>
      </c>
      <c r="J641" s="3" t="inlineStr">
        <is>
          <t>Module Diode Failure</t>
        </is>
      </c>
      <c r="K641" s="3" t="inlineStr">
        <is>
          <t>Sadla</t>
        </is>
      </c>
      <c r="L641" s="3" t="inlineStr">
        <is>
          <t>Gujarat</t>
        </is>
      </c>
      <c r="M641" s="9" t="inlineStr">
        <is>
          <t>PS</t>
        </is>
      </c>
      <c r="N641" s="3" t="inlineStr">
        <is>
          <t>Cold Soldering</t>
        </is>
      </c>
      <c r="O641" s="3" t="n">
        <v>570</v>
      </c>
      <c r="P641" s="9" t="inlineStr">
        <is>
          <t>NSMI24050046696</t>
        </is>
      </c>
      <c r="Q641" s="53">
        <f>MID(P641,5,2)</f>
        <v/>
      </c>
      <c r="R641" s="53">
        <f>MID(P641,7,2)</f>
        <v/>
      </c>
      <c r="S641" s="3" t="inlineStr">
        <is>
          <t>G2G</t>
        </is>
      </c>
      <c r="T641" s="3" t="inlineStr">
        <is>
          <t>P4</t>
        </is>
      </c>
      <c r="U641" s="3" t="inlineStr">
        <is>
          <t>P JB Cold Soldering</t>
        </is>
      </c>
      <c r="V641" s="3" t="inlineStr">
        <is>
          <t>Soldering</t>
        </is>
      </c>
      <c r="W641" s="3" t="inlineStr">
        <is>
          <t>Repair</t>
        </is>
      </c>
      <c r="X641" s="18" t="n">
        <v>46153</v>
      </c>
      <c r="Y641" s="3">
        <f>X641-A641</f>
        <v/>
      </c>
      <c r="Z641" s="18" t="n">
        <v>46153</v>
      </c>
      <c r="AA641" s="15" t="n"/>
      <c r="AB641" s="15" t="n"/>
    </row>
    <row r="642" hidden="1" s="233">
      <c r="A642" s="6" t="n">
        <v>46107</v>
      </c>
      <c r="B642" s="3" t="n">
        <v>2026</v>
      </c>
      <c r="C642" s="3" t="inlineStr">
        <is>
          <t>Blupine</t>
        </is>
      </c>
      <c r="D642" s="3" t="inlineStr">
        <is>
          <t>Utility and C&amp;I</t>
        </is>
      </c>
      <c r="E642" s="3" t="n"/>
      <c r="F642" s="3" t="inlineStr">
        <is>
          <t>Closed</t>
        </is>
      </c>
      <c r="G642" s="3" t="inlineStr">
        <is>
          <t>Chandrashekar Patidar</t>
        </is>
      </c>
      <c r="H642" s="3" t="n">
        <v>7879764773</v>
      </c>
      <c r="I642" s="11" t="inlineStr">
        <is>
          <t>PE26032601</t>
        </is>
      </c>
      <c r="J642" s="3" t="inlineStr">
        <is>
          <t>Module Diode Failure</t>
        </is>
      </c>
      <c r="K642" s="3" t="inlineStr">
        <is>
          <t>Sadla</t>
        </is>
      </c>
      <c r="L642" s="3" t="inlineStr">
        <is>
          <t>Gujarat</t>
        </is>
      </c>
      <c r="M642" s="9" t="inlineStr">
        <is>
          <t>NS</t>
        </is>
      </c>
      <c r="N642" s="3" t="inlineStr">
        <is>
          <t>Cold Soldering</t>
        </is>
      </c>
      <c r="O642" s="3" t="n">
        <v>570</v>
      </c>
      <c r="P642" s="9" t="inlineStr">
        <is>
          <t>NSMI24050044277</t>
        </is>
      </c>
      <c r="Q642" s="53">
        <f>MID(P642,5,2)</f>
        <v/>
      </c>
      <c r="R642" s="53">
        <f>MID(P642,7,2)</f>
        <v/>
      </c>
      <c r="S642" s="3" t="inlineStr">
        <is>
          <t>G2G</t>
        </is>
      </c>
      <c r="T642" s="3" t="inlineStr">
        <is>
          <t>P4</t>
        </is>
      </c>
      <c r="U642" s="3" t="inlineStr">
        <is>
          <t>N JB Cold Soldering</t>
        </is>
      </c>
      <c r="V642" s="3" t="inlineStr">
        <is>
          <t>Soldering</t>
        </is>
      </c>
      <c r="W642" s="3" t="inlineStr">
        <is>
          <t>Repair</t>
        </is>
      </c>
      <c r="X642" s="18" t="n">
        <v>46153</v>
      </c>
      <c r="Y642" s="3">
        <f>X642-A642</f>
        <v/>
      </c>
      <c r="Z642" s="18" t="n">
        <v>46153</v>
      </c>
      <c r="AA642" s="15" t="n"/>
      <c r="AB642" s="15" t="n"/>
    </row>
    <row r="643" hidden="1" s="233">
      <c r="A643" s="6" t="n">
        <v>46107</v>
      </c>
      <c r="B643" s="3" t="n">
        <v>2026</v>
      </c>
      <c r="C643" s="3" t="inlineStr">
        <is>
          <t>Blupine</t>
        </is>
      </c>
      <c r="D643" s="3" t="inlineStr">
        <is>
          <t>Utility and C&amp;I</t>
        </is>
      </c>
      <c r="E643" s="3" t="n"/>
      <c r="F643" s="3" t="inlineStr">
        <is>
          <t>Closed</t>
        </is>
      </c>
      <c r="G643" s="3" t="inlineStr">
        <is>
          <t>Chandrashekar Patidar</t>
        </is>
      </c>
      <c r="H643" s="3" t="n">
        <v>7879764773</v>
      </c>
      <c r="I643" s="11" t="inlineStr">
        <is>
          <t>PE26032601</t>
        </is>
      </c>
      <c r="J643" s="3" t="inlineStr">
        <is>
          <t>Module Diode Failure</t>
        </is>
      </c>
      <c r="K643" s="3" t="inlineStr">
        <is>
          <t>Sadla</t>
        </is>
      </c>
      <c r="L643" s="3" t="inlineStr">
        <is>
          <t>Gujarat</t>
        </is>
      </c>
      <c r="M643" s="9" t="inlineStr">
        <is>
          <t>PS</t>
        </is>
      </c>
      <c r="N643" s="3" t="inlineStr">
        <is>
          <t>Cold Soldering</t>
        </is>
      </c>
      <c r="O643" s="3" t="n">
        <v>570</v>
      </c>
      <c r="P643" s="9" t="inlineStr">
        <is>
          <t>NSMI24050062729</t>
        </is>
      </c>
      <c r="Q643" s="53">
        <f>MID(P643,5,2)</f>
        <v/>
      </c>
      <c r="R643" s="53">
        <f>MID(P643,7,2)</f>
        <v/>
      </c>
      <c r="S643" s="3" t="inlineStr">
        <is>
          <t>G2G</t>
        </is>
      </c>
      <c r="T643" s="3" t="inlineStr">
        <is>
          <t>P4</t>
        </is>
      </c>
      <c r="U643" s="3" t="inlineStr">
        <is>
          <t>P JB Cold Soldering</t>
        </is>
      </c>
      <c r="V643" s="3" t="inlineStr">
        <is>
          <t>Soldering</t>
        </is>
      </c>
      <c r="W643" s="3" t="inlineStr">
        <is>
          <t>Repair</t>
        </is>
      </c>
      <c r="X643" s="18" t="n">
        <v>46153</v>
      </c>
      <c r="Y643" s="3">
        <f>X643-A643</f>
        <v/>
      </c>
      <c r="Z643" s="18" t="n">
        <v>46153</v>
      </c>
      <c r="AA643" s="15" t="n"/>
      <c r="AB643" s="15" t="n"/>
    </row>
    <row r="644" hidden="1" s="233">
      <c r="A644" s="6" t="n">
        <v>46107</v>
      </c>
      <c r="B644" s="3" t="n">
        <v>2026</v>
      </c>
      <c r="C644" s="3" t="inlineStr">
        <is>
          <t>Blupine</t>
        </is>
      </c>
      <c r="D644" s="3" t="inlineStr">
        <is>
          <t>Utility and C&amp;I</t>
        </is>
      </c>
      <c r="E644" s="3" t="n"/>
      <c r="F644" s="3" t="inlineStr">
        <is>
          <t>Closed</t>
        </is>
      </c>
      <c r="G644" s="3" t="inlineStr">
        <is>
          <t>Chandrashekar Patidar</t>
        </is>
      </c>
      <c r="H644" s="3" t="n">
        <v>7879764773</v>
      </c>
      <c r="I644" s="11" t="inlineStr">
        <is>
          <t>PE26032601</t>
        </is>
      </c>
      <c r="J644" s="3" t="inlineStr">
        <is>
          <t>Module Diode Failure</t>
        </is>
      </c>
      <c r="K644" s="3" t="inlineStr">
        <is>
          <t>Sadla</t>
        </is>
      </c>
      <c r="L644" s="3" t="inlineStr">
        <is>
          <t>Gujarat</t>
        </is>
      </c>
      <c r="M644" s="9" t="inlineStr">
        <is>
          <t>PS</t>
        </is>
      </c>
      <c r="N644" s="3" t="inlineStr">
        <is>
          <t>Cold Soldering</t>
        </is>
      </c>
      <c r="O644" s="3" t="n">
        <v>570</v>
      </c>
      <c r="P644" s="9" t="inlineStr">
        <is>
          <t>NSMI24050062673</t>
        </is>
      </c>
      <c r="Q644" s="53">
        <f>MID(P644,5,2)</f>
        <v/>
      </c>
      <c r="R644" s="53">
        <f>MID(P644,7,2)</f>
        <v/>
      </c>
      <c r="S644" s="3" t="inlineStr">
        <is>
          <t>G2G</t>
        </is>
      </c>
      <c r="T644" s="3" t="inlineStr">
        <is>
          <t>P4</t>
        </is>
      </c>
      <c r="U644" s="3" t="inlineStr">
        <is>
          <t>P JB Cold Soldering</t>
        </is>
      </c>
      <c r="V644" s="3" t="inlineStr">
        <is>
          <t>Soldering</t>
        </is>
      </c>
      <c r="W644" s="3" t="inlineStr">
        <is>
          <t>Repair</t>
        </is>
      </c>
      <c r="X644" s="18" t="n">
        <v>46153</v>
      </c>
      <c r="Y644" s="3">
        <f>X644-A644</f>
        <v/>
      </c>
      <c r="Z644" s="18" t="n">
        <v>46153</v>
      </c>
      <c r="AA644" s="15" t="n"/>
      <c r="AB644" s="15" t="n"/>
    </row>
    <row r="645" hidden="1" s="233">
      <c r="A645" s="6" t="n">
        <v>46107</v>
      </c>
      <c r="B645" s="3" t="n">
        <v>2026</v>
      </c>
      <c r="C645" s="3" t="inlineStr">
        <is>
          <t>Blupine</t>
        </is>
      </c>
      <c r="D645" s="3" t="inlineStr">
        <is>
          <t>Utility and C&amp;I</t>
        </is>
      </c>
      <c r="E645" s="3" t="n"/>
      <c r="F645" s="3" t="inlineStr">
        <is>
          <t>Closed</t>
        </is>
      </c>
      <c r="G645" s="3" t="inlineStr">
        <is>
          <t>Chandrashekar Patidar</t>
        </is>
      </c>
      <c r="H645" s="3" t="n">
        <v>7879764773</v>
      </c>
      <c r="I645" s="11" t="inlineStr">
        <is>
          <t>PE26032601</t>
        </is>
      </c>
      <c r="J645" s="3" t="inlineStr">
        <is>
          <t>Module Diode Failure</t>
        </is>
      </c>
      <c r="K645" s="3" t="inlineStr">
        <is>
          <t>Sadla</t>
        </is>
      </c>
      <c r="L645" s="3" t="inlineStr">
        <is>
          <t>Gujarat</t>
        </is>
      </c>
      <c r="M645" s="9" t="inlineStr">
        <is>
          <t>PS</t>
        </is>
      </c>
      <c r="N645" s="3" t="inlineStr">
        <is>
          <t>Cold Soldering</t>
        </is>
      </c>
      <c r="O645" s="3" t="n">
        <v>570</v>
      </c>
      <c r="P645" s="9" t="inlineStr">
        <is>
          <t>NSMI24050054316</t>
        </is>
      </c>
      <c r="Q645" s="53">
        <f>MID(P645,5,2)</f>
        <v/>
      </c>
      <c r="R645" s="53">
        <f>MID(P645,7,2)</f>
        <v/>
      </c>
      <c r="S645" s="3" t="inlineStr">
        <is>
          <t>G2G</t>
        </is>
      </c>
      <c r="T645" s="3" t="inlineStr">
        <is>
          <t>P4</t>
        </is>
      </c>
      <c r="U645" s="3" t="inlineStr">
        <is>
          <t>P JB Cold Soldering</t>
        </is>
      </c>
      <c r="V645" s="3" t="inlineStr">
        <is>
          <t>Soldering</t>
        </is>
      </c>
      <c r="W645" s="3" t="inlineStr">
        <is>
          <t>Repair</t>
        </is>
      </c>
      <c r="X645" s="18" t="n">
        <v>46153</v>
      </c>
      <c r="Y645" s="3">
        <f>X645-A645</f>
        <v/>
      </c>
      <c r="Z645" s="18" t="n">
        <v>46153</v>
      </c>
      <c r="AA645" s="15" t="n"/>
      <c r="AB645" s="15" t="n"/>
    </row>
    <row r="646" hidden="1" s="233">
      <c r="A646" s="6" t="n">
        <v>46107</v>
      </c>
      <c r="B646" s="3" t="n">
        <v>2026</v>
      </c>
      <c r="C646" s="3" t="inlineStr">
        <is>
          <t>Blupine</t>
        </is>
      </c>
      <c r="D646" s="3" t="inlineStr">
        <is>
          <t>Utility and C&amp;I</t>
        </is>
      </c>
      <c r="E646" s="3" t="n"/>
      <c r="F646" s="3" t="inlineStr">
        <is>
          <t>Closed</t>
        </is>
      </c>
      <c r="G646" s="3" t="inlineStr">
        <is>
          <t>Chandrashekar Patidar</t>
        </is>
      </c>
      <c r="H646" s="3" t="n">
        <v>7879764773</v>
      </c>
      <c r="I646" s="11" t="inlineStr">
        <is>
          <t>PE26032601</t>
        </is>
      </c>
      <c r="J646" s="3" t="inlineStr">
        <is>
          <t>Module Diode Failure</t>
        </is>
      </c>
      <c r="K646" s="3" t="inlineStr">
        <is>
          <t>Sadla</t>
        </is>
      </c>
      <c r="L646" s="3" t="inlineStr">
        <is>
          <t>Gujarat</t>
        </is>
      </c>
      <c r="M646" s="9" t="inlineStr">
        <is>
          <t>PS</t>
        </is>
      </c>
      <c r="N646" s="3" t="inlineStr">
        <is>
          <t>Cold Soldering</t>
        </is>
      </c>
      <c r="O646" s="3" t="n">
        <v>570</v>
      </c>
      <c r="P646" s="9" t="inlineStr">
        <is>
          <t>NSMI24060093770</t>
        </is>
      </c>
      <c r="Q646" s="53">
        <f>MID(P646,5,2)</f>
        <v/>
      </c>
      <c r="R646" s="53">
        <f>MID(P646,7,2)</f>
        <v/>
      </c>
      <c r="S646" s="3" t="inlineStr">
        <is>
          <t>G2G</t>
        </is>
      </c>
      <c r="T646" s="3" t="inlineStr">
        <is>
          <t>P4</t>
        </is>
      </c>
      <c r="U646" s="3" t="inlineStr">
        <is>
          <t>P JB Cold Soldering</t>
        </is>
      </c>
      <c r="V646" s="3" t="inlineStr">
        <is>
          <t>Soldering</t>
        </is>
      </c>
      <c r="W646" s="3" t="inlineStr">
        <is>
          <t>Repair</t>
        </is>
      </c>
      <c r="X646" s="18" t="n">
        <v>46153</v>
      </c>
      <c r="Y646" s="3">
        <f>X646-A646</f>
        <v/>
      </c>
      <c r="Z646" s="18" t="n">
        <v>46153</v>
      </c>
      <c r="AA646" s="15" t="n"/>
      <c r="AB646" s="15" t="n"/>
    </row>
    <row r="647" hidden="1" s="233">
      <c r="A647" s="6" t="n">
        <v>46107</v>
      </c>
      <c r="B647" s="3" t="n">
        <v>2026</v>
      </c>
      <c r="C647" s="3" t="inlineStr">
        <is>
          <t>Blupine</t>
        </is>
      </c>
      <c r="D647" s="3" t="inlineStr">
        <is>
          <t>Utility and C&amp;I</t>
        </is>
      </c>
      <c r="E647" s="3" t="n"/>
      <c r="F647" s="3" t="inlineStr">
        <is>
          <t>Closed</t>
        </is>
      </c>
      <c r="G647" s="3" t="inlineStr">
        <is>
          <t>Chandrashekar Patidar</t>
        </is>
      </c>
      <c r="H647" s="3" t="n">
        <v>7879764773</v>
      </c>
      <c r="I647" s="11" t="inlineStr">
        <is>
          <t>PE26032601</t>
        </is>
      </c>
      <c r="J647" s="3" t="inlineStr">
        <is>
          <t>Module Diode Failure</t>
        </is>
      </c>
      <c r="K647" s="3" t="inlineStr">
        <is>
          <t>Sadla</t>
        </is>
      </c>
      <c r="L647" s="3" t="inlineStr">
        <is>
          <t>Gujarat</t>
        </is>
      </c>
      <c r="M647" s="9" t="inlineStr">
        <is>
          <t>PS</t>
        </is>
      </c>
      <c r="N647" s="3" t="inlineStr">
        <is>
          <t>Cold Soldering</t>
        </is>
      </c>
      <c r="O647" s="3" t="n">
        <v>570</v>
      </c>
      <c r="P647" s="9" t="inlineStr">
        <is>
          <t>NSMI24060093745</t>
        </is>
      </c>
      <c r="Q647" s="53">
        <f>MID(P647,5,2)</f>
        <v/>
      </c>
      <c r="R647" s="53">
        <f>MID(P647,7,2)</f>
        <v/>
      </c>
      <c r="S647" s="3" t="inlineStr">
        <is>
          <t>G2G</t>
        </is>
      </c>
      <c r="T647" s="3" t="inlineStr">
        <is>
          <t>P4</t>
        </is>
      </c>
      <c r="U647" s="3" t="inlineStr">
        <is>
          <t>P JB Cold Soldering</t>
        </is>
      </c>
      <c r="V647" s="3" t="inlineStr">
        <is>
          <t>Soldering</t>
        </is>
      </c>
      <c r="W647" s="3" t="inlineStr">
        <is>
          <t>Repair</t>
        </is>
      </c>
      <c r="X647" s="18" t="n">
        <v>46153</v>
      </c>
      <c r="Y647" s="3">
        <f>X647-A647</f>
        <v/>
      </c>
      <c r="Z647" s="18" t="n">
        <v>46153</v>
      </c>
      <c r="AA647" s="15" t="n"/>
      <c r="AB647" s="15" t="n"/>
    </row>
    <row r="648" hidden="1" s="233">
      <c r="A648" s="6" t="n">
        <v>46107</v>
      </c>
      <c r="B648" s="3" t="n">
        <v>2026</v>
      </c>
      <c r="C648" s="3" t="inlineStr">
        <is>
          <t>Blupine</t>
        </is>
      </c>
      <c r="D648" s="3" t="inlineStr">
        <is>
          <t>Utility and C&amp;I</t>
        </is>
      </c>
      <c r="E648" s="3" t="n"/>
      <c r="F648" s="3" t="inlineStr">
        <is>
          <t>Closed</t>
        </is>
      </c>
      <c r="G648" s="3" t="inlineStr">
        <is>
          <t>Chandrashekar Patidar</t>
        </is>
      </c>
      <c r="H648" s="3" t="n">
        <v>7879764773</v>
      </c>
      <c r="I648" s="11" t="inlineStr">
        <is>
          <t>PE26032601</t>
        </is>
      </c>
      <c r="J648" s="3" t="inlineStr">
        <is>
          <t>Module Diode Failure</t>
        </is>
      </c>
      <c r="K648" s="3" t="inlineStr">
        <is>
          <t>Sadla</t>
        </is>
      </c>
      <c r="L648" s="3" t="inlineStr">
        <is>
          <t>Gujarat</t>
        </is>
      </c>
      <c r="M648" s="9" t="inlineStr">
        <is>
          <t>NS</t>
        </is>
      </c>
      <c r="N648" s="3" t="inlineStr">
        <is>
          <t>Cold Soldering</t>
        </is>
      </c>
      <c r="O648" s="3" t="n">
        <v>570</v>
      </c>
      <c r="P648" s="9" t="inlineStr">
        <is>
          <t>NSMI24060093261</t>
        </is>
      </c>
      <c r="Q648" s="53">
        <f>MID(P648,5,2)</f>
        <v/>
      </c>
      <c r="R648" s="53">
        <f>MID(P648,7,2)</f>
        <v/>
      </c>
      <c r="S648" s="3" t="inlineStr">
        <is>
          <t>G2G</t>
        </is>
      </c>
      <c r="T648" s="3" t="inlineStr">
        <is>
          <t>P4</t>
        </is>
      </c>
      <c r="U648" s="3" t="inlineStr">
        <is>
          <t>N JB Cold Soldering</t>
        </is>
      </c>
      <c r="V648" s="3" t="inlineStr">
        <is>
          <t>Soldering</t>
        </is>
      </c>
      <c r="W648" s="3" t="inlineStr">
        <is>
          <t>Repair</t>
        </is>
      </c>
      <c r="X648" s="18" t="n">
        <v>46153</v>
      </c>
      <c r="Y648" s="3">
        <f>X648-A648</f>
        <v/>
      </c>
      <c r="Z648" s="18" t="n">
        <v>46153</v>
      </c>
      <c r="AA648" s="15" t="n"/>
      <c r="AB648" s="15" t="n"/>
    </row>
    <row r="649" hidden="1" s="233">
      <c r="A649" s="6" t="n">
        <v>46107</v>
      </c>
      <c r="B649" s="3" t="n">
        <v>2026</v>
      </c>
      <c r="C649" s="3" t="inlineStr">
        <is>
          <t>Blupine</t>
        </is>
      </c>
      <c r="D649" s="3" t="inlineStr">
        <is>
          <t>Utility and C&amp;I</t>
        </is>
      </c>
      <c r="E649" s="3" t="n"/>
      <c r="F649" s="3" t="inlineStr">
        <is>
          <t>Closed</t>
        </is>
      </c>
      <c r="G649" s="3" t="inlineStr">
        <is>
          <t>Chandrashekar Patidar</t>
        </is>
      </c>
      <c r="H649" s="3" t="n">
        <v>7879764773</v>
      </c>
      <c r="I649" s="11" t="inlineStr">
        <is>
          <t>PE26032601</t>
        </is>
      </c>
      <c r="J649" s="3" t="inlineStr">
        <is>
          <t>Module Diode Failure</t>
        </is>
      </c>
      <c r="K649" s="3" t="inlineStr">
        <is>
          <t>Sadla</t>
        </is>
      </c>
      <c r="L649" s="3" t="inlineStr">
        <is>
          <t>Gujarat</t>
        </is>
      </c>
      <c r="M649" s="9" t="inlineStr">
        <is>
          <t>PS</t>
        </is>
      </c>
      <c r="N649" s="3" t="inlineStr">
        <is>
          <t>Cold Soldering</t>
        </is>
      </c>
      <c r="O649" s="3" t="n">
        <v>570</v>
      </c>
      <c r="P649" s="9" t="inlineStr">
        <is>
          <t>NSMI24060094215</t>
        </is>
      </c>
      <c r="Q649" s="53">
        <f>MID(P649,5,2)</f>
        <v/>
      </c>
      <c r="R649" s="53">
        <f>MID(P649,7,2)</f>
        <v/>
      </c>
      <c r="S649" s="3" t="inlineStr">
        <is>
          <t>G2G</t>
        </is>
      </c>
      <c r="T649" s="3" t="inlineStr">
        <is>
          <t>P4</t>
        </is>
      </c>
      <c r="U649" s="3" t="inlineStr">
        <is>
          <t>P JB Cold Soldering</t>
        </is>
      </c>
      <c r="V649" s="3" t="inlineStr">
        <is>
          <t>Soldering</t>
        </is>
      </c>
      <c r="W649" s="3" t="inlineStr">
        <is>
          <t>Repair</t>
        </is>
      </c>
      <c r="X649" s="18" t="n">
        <v>46153</v>
      </c>
      <c r="Y649" s="3">
        <f>X649-A649</f>
        <v/>
      </c>
      <c r="Z649" s="18" t="n">
        <v>46153</v>
      </c>
      <c r="AA649" s="15" t="n"/>
      <c r="AB649" s="15" t="n"/>
    </row>
    <row r="650" hidden="1" s="233">
      <c r="A650" s="6" t="n">
        <v>46107</v>
      </c>
      <c r="B650" s="3" t="n">
        <v>2026</v>
      </c>
      <c r="C650" s="3" t="inlineStr">
        <is>
          <t>Blupine</t>
        </is>
      </c>
      <c r="D650" s="3" t="inlineStr">
        <is>
          <t>Utility and C&amp;I</t>
        </is>
      </c>
      <c r="E650" s="3" t="n"/>
      <c r="F650" s="3" t="inlineStr">
        <is>
          <t>Closed</t>
        </is>
      </c>
      <c r="G650" s="3" t="inlineStr">
        <is>
          <t>Chandrashekar Patidar</t>
        </is>
      </c>
      <c r="H650" s="3" t="n">
        <v>7879764773</v>
      </c>
      <c r="I650" s="11" t="inlineStr">
        <is>
          <t>PE26032601</t>
        </is>
      </c>
      <c r="J650" s="3" t="inlineStr">
        <is>
          <t>Module Diode Failure</t>
        </is>
      </c>
      <c r="K650" s="3" t="inlineStr">
        <is>
          <t>Sadla</t>
        </is>
      </c>
      <c r="L650" s="3" t="inlineStr">
        <is>
          <t>Gujarat</t>
        </is>
      </c>
      <c r="M650" s="9" t="inlineStr">
        <is>
          <t>NS</t>
        </is>
      </c>
      <c r="N650" s="3" t="inlineStr">
        <is>
          <t>Cold Soldering</t>
        </is>
      </c>
      <c r="O650" s="3" t="n">
        <v>570</v>
      </c>
      <c r="P650" s="9" t="inlineStr">
        <is>
          <t>NSMI24060128339</t>
        </is>
      </c>
      <c r="Q650" s="53">
        <f>MID(P650,5,2)</f>
        <v/>
      </c>
      <c r="R650" s="53">
        <f>MID(P650,7,2)</f>
        <v/>
      </c>
      <c r="S650" s="3" t="inlineStr">
        <is>
          <t>G2G</t>
        </is>
      </c>
      <c r="T650" s="3" t="inlineStr">
        <is>
          <t>P4</t>
        </is>
      </c>
      <c r="U650" s="3" t="inlineStr">
        <is>
          <t>N JB Cold Soldering</t>
        </is>
      </c>
      <c r="V650" s="3" t="inlineStr">
        <is>
          <t>Soldering</t>
        </is>
      </c>
      <c r="W650" s="3" t="inlineStr">
        <is>
          <t>Repair</t>
        </is>
      </c>
      <c r="X650" s="18" t="n">
        <v>46153</v>
      </c>
      <c r="Y650" s="3">
        <f>X650-A650</f>
        <v/>
      </c>
      <c r="Z650" s="18" t="n">
        <v>46153</v>
      </c>
      <c r="AA650" s="15" t="n"/>
      <c r="AB650" s="15" t="n"/>
    </row>
    <row r="651" hidden="1" s="233">
      <c r="A651" s="6" t="n">
        <v>46107</v>
      </c>
      <c r="B651" s="3" t="n">
        <v>2026</v>
      </c>
      <c r="C651" s="3" t="inlineStr">
        <is>
          <t>Blupine</t>
        </is>
      </c>
      <c r="D651" s="3" t="inlineStr">
        <is>
          <t>Utility and C&amp;I</t>
        </is>
      </c>
      <c r="E651" s="3" t="n"/>
      <c r="F651" s="3" t="inlineStr">
        <is>
          <t>Closed</t>
        </is>
      </c>
      <c r="G651" s="3" t="inlineStr">
        <is>
          <t>Chandrashekar Patidar</t>
        </is>
      </c>
      <c r="H651" s="3" t="n">
        <v>7879764773</v>
      </c>
      <c r="I651" s="11" t="inlineStr">
        <is>
          <t>PE26032601</t>
        </is>
      </c>
      <c r="J651" s="3" t="inlineStr">
        <is>
          <t>Module Diode Failure</t>
        </is>
      </c>
      <c r="K651" s="3" t="inlineStr">
        <is>
          <t>Sadla</t>
        </is>
      </c>
      <c r="L651" s="3" t="inlineStr">
        <is>
          <t>Gujarat</t>
        </is>
      </c>
      <c r="M651" s="9" t="inlineStr">
        <is>
          <t>NS</t>
        </is>
      </c>
      <c r="N651" s="3" t="inlineStr">
        <is>
          <t>Cold Soldering</t>
        </is>
      </c>
      <c r="O651" s="3" t="n">
        <v>570</v>
      </c>
      <c r="P651" s="9" t="inlineStr">
        <is>
          <t>NSMI24060097138</t>
        </is>
      </c>
      <c r="Q651" s="53">
        <f>MID(P651,5,2)</f>
        <v/>
      </c>
      <c r="R651" s="53">
        <f>MID(P651,7,2)</f>
        <v/>
      </c>
      <c r="S651" s="3" t="inlineStr">
        <is>
          <t>G2G</t>
        </is>
      </c>
      <c r="T651" s="3" t="inlineStr">
        <is>
          <t>P4</t>
        </is>
      </c>
      <c r="U651" s="3" t="inlineStr">
        <is>
          <t>N JB Cold Soldering</t>
        </is>
      </c>
      <c r="V651" s="3" t="inlineStr">
        <is>
          <t>Soldering</t>
        </is>
      </c>
      <c r="W651" s="3" t="inlineStr">
        <is>
          <t>Repair</t>
        </is>
      </c>
      <c r="X651" s="18" t="n">
        <v>46153</v>
      </c>
      <c r="Y651" s="3">
        <f>X651-A651</f>
        <v/>
      </c>
      <c r="Z651" s="18" t="n">
        <v>46153</v>
      </c>
      <c r="AA651" s="15" t="n"/>
      <c r="AB651" s="15" t="n"/>
    </row>
    <row r="652" hidden="1" s="233">
      <c r="A652" s="6" t="n">
        <v>46107</v>
      </c>
      <c r="B652" s="3" t="n">
        <v>2026</v>
      </c>
      <c r="C652" s="3" t="inlineStr">
        <is>
          <t>Blupine</t>
        </is>
      </c>
      <c r="D652" s="3" t="inlineStr">
        <is>
          <t>Utility and C&amp;I</t>
        </is>
      </c>
      <c r="E652" s="3" t="n"/>
      <c r="F652" s="3" t="inlineStr">
        <is>
          <t>Closed</t>
        </is>
      </c>
      <c r="G652" s="3" t="inlineStr">
        <is>
          <t>Chandrashekar Patidar</t>
        </is>
      </c>
      <c r="H652" s="3" t="n">
        <v>7879764773</v>
      </c>
      <c r="I652" s="11" t="inlineStr">
        <is>
          <t>PE26032601</t>
        </is>
      </c>
      <c r="J652" s="3" t="inlineStr">
        <is>
          <t>Module Diode Failure</t>
        </is>
      </c>
      <c r="K652" s="3" t="inlineStr">
        <is>
          <t>Sadla</t>
        </is>
      </c>
      <c r="L652" s="3" t="inlineStr">
        <is>
          <t>Gujarat</t>
        </is>
      </c>
      <c r="M652" s="9" t="inlineStr">
        <is>
          <t>PS</t>
        </is>
      </c>
      <c r="N652" s="3" t="inlineStr">
        <is>
          <t>Cold Soldering</t>
        </is>
      </c>
      <c r="O652" s="3" t="n">
        <v>570</v>
      </c>
      <c r="P652" s="9" t="inlineStr">
        <is>
          <t>NSMI24060093451</t>
        </is>
      </c>
      <c r="Q652" s="53">
        <f>MID(P652,5,2)</f>
        <v/>
      </c>
      <c r="R652" s="53">
        <f>MID(P652,7,2)</f>
        <v/>
      </c>
      <c r="S652" s="3" t="inlineStr">
        <is>
          <t>G2G</t>
        </is>
      </c>
      <c r="T652" s="3" t="inlineStr">
        <is>
          <t>P4</t>
        </is>
      </c>
      <c r="U652" s="3" t="inlineStr">
        <is>
          <t>P JB Cold Soldering</t>
        </is>
      </c>
      <c r="V652" s="3" t="inlineStr">
        <is>
          <t>Soldering</t>
        </is>
      </c>
      <c r="W652" s="3" t="inlineStr">
        <is>
          <t>Repair</t>
        </is>
      </c>
      <c r="X652" s="18" t="n">
        <v>46153</v>
      </c>
      <c r="Y652" s="3">
        <f>X652-A652</f>
        <v/>
      </c>
      <c r="Z652" s="18" t="n">
        <v>46153</v>
      </c>
      <c r="AA652" s="15" t="n"/>
      <c r="AB652" s="15" t="n"/>
    </row>
    <row r="653" hidden="1" s="233">
      <c r="A653" s="6" t="n">
        <v>46107</v>
      </c>
      <c r="B653" s="3" t="n">
        <v>2026</v>
      </c>
      <c r="C653" s="3" t="inlineStr">
        <is>
          <t>Blupine</t>
        </is>
      </c>
      <c r="D653" s="3" t="inlineStr">
        <is>
          <t>Utility and C&amp;I</t>
        </is>
      </c>
      <c r="E653" s="3" t="n"/>
      <c r="F653" s="3" t="inlineStr">
        <is>
          <t>Closed</t>
        </is>
      </c>
      <c r="G653" s="3" t="inlineStr">
        <is>
          <t>Chandrashekar Patidar</t>
        </is>
      </c>
      <c r="H653" s="3" t="n">
        <v>7879764773</v>
      </c>
      <c r="I653" s="11" t="inlineStr">
        <is>
          <t>PE26032601</t>
        </is>
      </c>
      <c r="J653" s="3" t="inlineStr">
        <is>
          <t>Module Diode Failure</t>
        </is>
      </c>
      <c r="K653" s="3" t="inlineStr">
        <is>
          <t>Sadla</t>
        </is>
      </c>
      <c r="L653" s="3" t="inlineStr">
        <is>
          <t>Gujarat</t>
        </is>
      </c>
      <c r="M653" s="9" t="inlineStr">
        <is>
          <t>NS</t>
        </is>
      </c>
      <c r="N653" s="3" t="inlineStr">
        <is>
          <t>Cold Soldering</t>
        </is>
      </c>
      <c r="O653" s="3" t="n">
        <v>570</v>
      </c>
      <c r="P653" s="9" t="inlineStr">
        <is>
          <t>NSMI24050048121</t>
        </is>
      </c>
      <c r="Q653" s="53">
        <f>MID(P653,5,2)</f>
        <v/>
      </c>
      <c r="R653" s="53">
        <f>MID(P653,7,2)</f>
        <v/>
      </c>
      <c r="S653" s="3" t="inlineStr">
        <is>
          <t>G2G</t>
        </is>
      </c>
      <c r="T653" s="3" t="inlineStr">
        <is>
          <t>P4</t>
        </is>
      </c>
      <c r="U653" s="3" t="inlineStr">
        <is>
          <t>N JB Cold Soldering</t>
        </is>
      </c>
      <c r="V653" s="3" t="inlineStr">
        <is>
          <t>Soldering</t>
        </is>
      </c>
      <c r="W653" s="3" t="inlineStr">
        <is>
          <t>Repair</t>
        </is>
      </c>
      <c r="X653" s="18" t="n">
        <v>46153</v>
      </c>
      <c r="Y653" s="3">
        <f>X653-A653</f>
        <v/>
      </c>
      <c r="Z653" s="18" t="n">
        <v>46153</v>
      </c>
      <c r="AA653" s="15" t="n"/>
      <c r="AB653" s="15" t="n"/>
    </row>
    <row r="654" hidden="1" s="233">
      <c r="A654" s="6" t="n">
        <v>46107</v>
      </c>
      <c r="B654" s="3" t="n">
        <v>2026</v>
      </c>
      <c r="C654" s="3" t="inlineStr">
        <is>
          <t>Blupine</t>
        </is>
      </c>
      <c r="D654" s="3" t="inlineStr">
        <is>
          <t>Utility and C&amp;I</t>
        </is>
      </c>
      <c r="E654" s="3" t="n"/>
      <c r="F654" s="3" t="inlineStr">
        <is>
          <t>Closed</t>
        </is>
      </c>
      <c r="G654" s="3" t="inlineStr">
        <is>
          <t>Chandrashekar Patidar</t>
        </is>
      </c>
      <c r="H654" s="3" t="n">
        <v>7879764773</v>
      </c>
      <c r="I654" s="11" t="inlineStr">
        <is>
          <t>PE26032601</t>
        </is>
      </c>
      <c r="J654" s="3" t="inlineStr">
        <is>
          <t>Module Diode Failure</t>
        </is>
      </c>
      <c r="K654" s="3" t="inlineStr">
        <is>
          <t>Sadla</t>
        </is>
      </c>
      <c r="L654" s="3" t="inlineStr">
        <is>
          <t>Gujarat</t>
        </is>
      </c>
      <c r="M654" s="9" t="inlineStr">
        <is>
          <t>PS</t>
        </is>
      </c>
      <c r="N654" s="3" t="inlineStr">
        <is>
          <t>Cold Soldering</t>
        </is>
      </c>
      <c r="O654" s="3" t="n">
        <v>570</v>
      </c>
      <c r="P654" s="9" t="inlineStr">
        <is>
          <t>NSMI24050058115</t>
        </is>
      </c>
      <c r="Q654" s="53">
        <f>MID(P654,5,2)</f>
        <v/>
      </c>
      <c r="R654" s="53">
        <f>MID(P654,7,2)</f>
        <v/>
      </c>
      <c r="S654" s="3" t="inlineStr">
        <is>
          <t>G2G</t>
        </is>
      </c>
      <c r="T654" s="3" t="inlineStr">
        <is>
          <t>P4</t>
        </is>
      </c>
      <c r="U654" s="3" t="inlineStr">
        <is>
          <t>P JB Cold Soldering</t>
        </is>
      </c>
      <c r="V654" s="3" t="inlineStr">
        <is>
          <t>Soldering</t>
        </is>
      </c>
      <c r="W654" s="3" t="inlineStr">
        <is>
          <t>Repair</t>
        </is>
      </c>
      <c r="X654" s="18" t="n">
        <v>46153</v>
      </c>
      <c r="Y654" s="3">
        <f>X654-A654</f>
        <v/>
      </c>
      <c r="Z654" s="18" t="n">
        <v>46153</v>
      </c>
      <c r="AA654" s="15" t="n"/>
      <c r="AB654" s="15" t="n"/>
    </row>
    <row r="655" hidden="1" s="233">
      <c r="A655" s="6" t="n">
        <v>46107</v>
      </c>
      <c r="B655" s="3" t="n">
        <v>2026</v>
      </c>
      <c r="C655" s="3" t="inlineStr">
        <is>
          <t>Blupine</t>
        </is>
      </c>
      <c r="D655" s="3" t="inlineStr">
        <is>
          <t>Utility and C&amp;I</t>
        </is>
      </c>
      <c r="E655" s="3" t="n"/>
      <c r="F655" s="3" t="inlineStr">
        <is>
          <t>Closed</t>
        </is>
      </c>
      <c r="G655" s="3" t="inlineStr">
        <is>
          <t>Chandrashekar Patidar</t>
        </is>
      </c>
      <c r="H655" s="3" t="n">
        <v>7879764773</v>
      </c>
      <c r="I655" s="11" t="inlineStr">
        <is>
          <t>PE26032601</t>
        </is>
      </c>
      <c r="J655" s="3" t="inlineStr">
        <is>
          <t>Module Diode Failure</t>
        </is>
      </c>
      <c r="K655" s="3" t="inlineStr">
        <is>
          <t>Sadla</t>
        </is>
      </c>
      <c r="L655" s="3" t="inlineStr">
        <is>
          <t>Gujarat</t>
        </is>
      </c>
      <c r="M655" s="9" t="inlineStr">
        <is>
          <t>NS</t>
        </is>
      </c>
      <c r="N655" s="3" t="inlineStr">
        <is>
          <t>Cold Soldering</t>
        </is>
      </c>
      <c r="O655" s="3" t="n">
        <v>570</v>
      </c>
      <c r="P655" s="9" t="inlineStr">
        <is>
          <t>NSMI24050046488</t>
        </is>
      </c>
      <c r="Q655" s="53">
        <f>MID(P655,5,2)</f>
        <v/>
      </c>
      <c r="R655" s="53">
        <f>MID(P655,7,2)</f>
        <v/>
      </c>
      <c r="S655" s="3" t="inlineStr">
        <is>
          <t>G2G</t>
        </is>
      </c>
      <c r="T655" s="3" t="inlineStr">
        <is>
          <t>P4</t>
        </is>
      </c>
      <c r="U655" s="3" t="inlineStr">
        <is>
          <t>N JB Cold Soldering</t>
        </is>
      </c>
      <c r="V655" s="3" t="inlineStr">
        <is>
          <t>Soldering</t>
        </is>
      </c>
      <c r="W655" s="3" t="inlineStr">
        <is>
          <t>Repair</t>
        </is>
      </c>
      <c r="X655" s="18" t="n">
        <v>46153</v>
      </c>
      <c r="Y655" s="3">
        <f>X655-A655</f>
        <v/>
      </c>
      <c r="Z655" s="18" t="n">
        <v>46153</v>
      </c>
      <c r="AA655" s="15" t="n"/>
      <c r="AB655" s="15" t="n"/>
    </row>
    <row r="656" hidden="1" s="233">
      <c r="A656" s="6" t="n">
        <v>46107</v>
      </c>
      <c r="B656" s="3" t="n">
        <v>2026</v>
      </c>
      <c r="C656" s="3" t="inlineStr">
        <is>
          <t>Blupine</t>
        </is>
      </c>
      <c r="D656" s="3" t="inlineStr">
        <is>
          <t>Utility and C&amp;I</t>
        </is>
      </c>
      <c r="E656" s="3" t="n"/>
      <c r="F656" s="3" t="inlineStr">
        <is>
          <t>Closed</t>
        </is>
      </c>
      <c r="G656" s="3" t="inlineStr">
        <is>
          <t>Chandrashekar Patidar</t>
        </is>
      </c>
      <c r="H656" s="3" t="n">
        <v>7879764773</v>
      </c>
      <c r="I656" s="11" t="inlineStr">
        <is>
          <t>PE26032601</t>
        </is>
      </c>
      <c r="J656" s="3" t="inlineStr">
        <is>
          <t>Module Diode Failure</t>
        </is>
      </c>
      <c r="K656" s="3" t="inlineStr">
        <is>
          <t>Sadla</t>
        </is>
      </c>
      <c r="L656" s="3" t="inlineStr">
        <is>
          <t>Gujarat</t>
        </is>
      </c>
      <c r="M656" s="9" t="inlineStr">
        <is>
          <t>NS</t>
        </is>
      </c>
      <c r="N656" s="3" t="inlineStr">
        <is>
          <t>Cold Soldering</t>
        </is>
      </c>
      <c r="O656" s="3" t="n">
        <v>570</v>
      </c>
      <c r="P656" s="9" t="inlineStr">
        <is>
          <t>NSMI24050046324</t>
        </is>
      </c>
      <c r="Q656" s="53">
        <f>MID(P656,5,2)</f>
        <v/>
      </c>
      <c r="R656" s="53">
        <f>MID(P656,7,2)</f>
        <v/>
      </c>
      <c r="S656" s="3" t="inlineStr">
        <is>
          <t>G2G</t>
        </is>
      </c>
      <c r="T656" s="3" t="inlineStr">
        <is>
          <t>P4</t>
        </is>
      </c>
      <c r="U656" s="3" t="inlineStr">
        <is>
          <t>N JB Cold Soldering</t>
        </is>
      </c>
      <c r="V656" s="3" t="inlineStr">
        <is>
          <t>Soldering</t>
        </is>
      </c>
      <c r="W656" s="3" t="inlineStr">
        <is>
          <t>Repair</t>
        </is>
      </c>
      <c r="X656" s="18" t="n">
        <v>46153</v>
      </c>
      <c r="Y656" s="3">
        <f>X656-A656</f>
        <v/>
      </c>
      <c r="Z656" s="18" t="n">
        <v>46153</v>
      </c>
      <c r="AA656" s="15" t="n"/>
      <c r="AB656" s="15" t="n"/>
    </row>
    <row r="657" hidden="1" s="233">
      <c r="A657" s="6" t="n">
        <v>46107</v>
      </c>
      <c r="B657" s="3" t="n">
        <v>2026</v>
      </c>
      <c r="C657" s="3" t="inlineStr">
        <is>
          <t>Blupine</t>
        </is>
      </c>
      <c r="D657" s="3" t="inlineStr">
        <is>
          <t>Utility and C&amp;I</t>
        </is>
      </c>
      <c r="E657" s="3" t="n"/>
      <c r="F657" s="3" t="inlineStr">
        <is>
          <t>Closed</t>
        </is>
      </c>
      <c r="G657" s="3" t="inlineStr">
        <is>
          <t>Chandrashekar Patidar</t>
        </is>
      </c>
      <c r="H657" s="3" t="n">
        <v>7879764773</v>
      </c>
      <c r="I657" s="11" t="inlineStr">
        <is>
          <t>PE26032601</t>
        </is>
      </c>
      <c r="J657" s="3" t="inlineStr">
        <is>
          <t>Module Diode Failure</t>
        </is>
      </c>
      <c r="K657" s="3" t="inlineStr">
        <is>
          <t>Sadla</t>
        </is>
      </c>
      <c r="L657" s="3" t="inlineStr">
        <is>
          <t>Gujarat</t>
        </is>
      </c>
      <c r="M657" s="9" t="inlineStr">
        <is>
          <t>NS</t>
        </is>
      </c>
      <c r="N657" s="3" t="inlineStr">
        <is>
          <t>Cold Soldering</t>
        </is>
      </c>
      <c r="O657" s="3" t="n">
        <v>570</v>
      </c>
      <c r="P657" s="9" t="inlineStr">
        <is>
          <t>NSMI24050046493</t>
        </is>
      </c>
      <c r="Q657" s="53">
        <f>MID(P657,5,2)</f>
        <v/>
      </c>
      <c r="R657" s="53">
        <f>MID(P657,7,2)</f>
        <v/>
      </c>
      <c r="S657" s="3" t="inlineStr">
        <is>
          <t>G2G</t>
        </is>
      </c>
      <c r="T657" s="3" t="inlineStr">
        <is>
          <t>P4</t>
        </is>
      </c>
      <c r="U657" s="3" t="inlineStr">
        <is>
          <t>N JB Cold Soldering</t>
        </is>
      </c>
      <c r="V657" s="3" t="inlineStr">
        <is>
          <t>Soldering</t>
        </is>
      </c>
      <c r="W657" s="3" t="inlineStr">
        <is>
          <t>Repair</t>
        </is>
      </c>
      <c r="X657" s="18" t="n">
        <v>46153</v>
      </c>
      <c r="Y657" s="3">
        <f>X657-A657</f>
        <v/>
      </c>
      <c r="Z657" s="18" t="n">
        <v>46153</v>
      </c>
      <c r="AA657" s="15" t="n"/>
      <c r="AB657" s="15" t="n"/>
    </row>
    <row r="658" hidden="1" s="233">
      <c r="A658" s="6" t="n">
        <v>46107</v>
      </c>
      <c r="B658" s="3" t="n">
        <v>2026</v>
      </c>
      <c r="C658" s="3" t="inlineStr">
        <is>
          <t>Blupine</t>
        </is>
      </c>
      <c r="D658" s="3" t="inlineStr">
        <is>
          <t>Utility and C&amp;I</t>
        </is>
      </c>
      <c r="E658" s="3" t="n"/>
      <c r="F658" s="3" t="inlineStr">
        <is>
          <t>Closed</t>
        </is>
      </c>
      <c r="G658" s="3" t="inlineStr">
        <is>
          <t>Chandrashekar Patidar</t>
        </is>
      </c>
      <c r="H658" s="3" t="n">
        <v>7879764773</v>
      </c>
      <c r="I658" s="11" t="inlineStr">
        <is>
          <t>PE26032601</t>
        </is>
      </c>
      <c r="J658" s="3" t="inlineStr">
        <is>
          <t>Module Diode Failure</t>
        </is>
      </c>
      <c r="K658" s="3" t="inlineStr">
        <is>
          <t>Sadla</t>
        </is>
      </c>
      <c r="L658" s="3" t="inlineStr">
        <is>
          <t>Gujarat</t>
        </is>
      </c>
      <c r="M658" s="9" t="inlineStr">
        <is>
          <t>PS</t>
        </is>
      </c>
      <c r="N658" s="3" t="inlineStr">
        <is>
          <t>Cold Soldering</t>
        </is>
      </c>
      <c r="O658" s="3" t="n">
        <v>570</v>
      </c>
      <c r="P658" s="9" t="inlineStr">
        <is>
          <t>NSMI24060077761</t>
        </is>
      </c>
      <c r="Q658" s="53">
        <f>MID(P658,5,2)</f>
        <v/>
      </c>
      <c r="R658" s="53">
        <f>MID(P658,7,2)</f>
        <v/>
      </c>
      <c r="S658" s="3" t="inlineStr">
        <is>
          <t>G2G</t>
        </is>
      </c>
      <c r="T658" s="3" t="inlineStr">
        <is>
          <t>P4</t>
        </is>
      </c>
      <c r="U658" s="3" t="inlineStr">
        <is>
          <t>P JB Cold Soldering</t>
        </is>
      </c>
      <c r="V658" s="3" t="inlineStr">
        <is>
          <t>Soldering</t>
        </is>
      </c>
      <c r="W658" s="3" t="inlineStr">
        <is>
          <t>Repair</t>
        </is>
      </c>
      <c r="X658" s="18" t="n">
        <v>46153</v>
      </c>
      <c r="Y658" s="3">
        <f>X658-A658</f>
        <v/>
      </c>
      <c r="Z658" s="18" t="n">
        <v>46153</v>
      </c>
      <c r="AA658" s="15" t="n"/>
      <c r="AB658" s="15" t="n"/>
    </row>
    <row r="659" hidden="1" s="233">
      <c r="A659" s="6" t="n">
        <v>46107</v>
      </c>
      <c r="B659" s="3" t="n">
        <v>2026</v>
      </c>
      <c r="C659" s="3" t="inlineStr">
        <is>
          <t>Blupine</t>
        </is>
      </c>
      <c r="D659" s="3" t="inlineStr">
        <is>
          <t>Utility and C&amp;I</t>
        </is>
      </c>
      <c r="E659" s="3" t="n"/>
      <c r="F659" s="3" t="inlineStr">
        <is>
          <t>Closed</t>
        </is>
      </c>
      <c r="G659" s="3" t="inlineStr">
        <is>
          <t>Chandrashekar Patidar</t>
        </is>
      </c>
      <c r="H659" s="3" t="n">
        <v>7879764773</v>
      </c>
      <c r="I659" s="11" t="inlineStr">
        <is>
          <t>PE26032601</t>
        </is>
      </c>
      <c r="J659" s="3" t="inlineStr">
        <is>
          <t>Module Diode Failure</t>
        </is>
      </c>
      <c r="K659" s="3" t="inlineStr">
        <is>
          <t>Sadla</t>
        </is>
      </c>
      <c r="L659" s="3" t="inlineStr">
        <is>
          <t>Gujarat</t>
        </is>
      </c>
      <c r="M659" s="9" t="inlineStr">
        <is>
          <t>NS</t>
        </is>
      </c>
      <c r="N659" s="3" t="inlineStr">
        <is>
          <t>Cold Soldering</t>
        </is>
      </c>
      <c r="O659" s="3" t="n">
        <v>570</v>
      </c>
      <c r="P659" s="9" t="inlineStr">
        <is>
          <t>NSMI24060095518</t>
        </is>
      </c>
      <c r="Q659" s="53">
        <f>MID(P659,5,2)</f>
        <v/>
      </c>
      <c r="R659" s="53">
        <f>MID(P659,7,2)</f>
        <v/>
      </c>
      <c r="S659" s="3" t="inlineStr">
        <is>
          <t>G2G</t>
        </is>
      </c>
      <c r="T659" s="3" t="inlineStr">
        <is>
          <t>P4</t>
        </is>
      </c>
      <c r="U659" s="3" t="inlineStr">
        <is>
          <t>N JB Cold Soldering</t>
        </is>
      </c>
      <c r="V659" s="3" t="inlineStr">
        <is>
          <t>Soldering</t>
        </is>
      </c>
      <c r="W659" s="3" t="inlineStr">
        <is>
          <t>Repair</t>
        </is>
      </c>
      <c r="X659" s="18" t="n">
        <v>46153</v>
      </c>
      <c r="Y659" s="3">
        <f>X659-A659</f>
        <v/>
      </c>
      <c r="Z659" s="18" t="n">
        <v>46153</v>
      </c>
      <c r="AA659" s="15" t="n"/>
      <c r="AB659" s="15" t="n"/>
    </row>
    <row r="660" hidden="1" s="233">
      <c r="A660" s="6" t="n">
        <v>46107</v>
      </c>
      <c r="B660" s="3" t="n">
        <v>2026</v>
      </c>
      <c r="C660" s="3" t="inlineStr">
        <is>
          <t>Blupine</t>
        </is>
      </c>
      <c r="D660" s="3" t="inlineStr">
        <is>
          <t>Utility and C&amp;I</t>
        </is>
      </c>
      <c r="E660" s="3" t="n"/>
      <c r="F660" s="3" t="inlineStr">
        <is>
          <t>Closed</t>
        </is>
      </c>
      <c r="G660" s="3" t="inlineStr">
        <is>
          <t>Chandrashekar Patidar</t>
        </is>
      </c>
      <c r="H660" s="3" t="n">
        <v>7879764773</v>
      </c>
      <c r="I660" s="11" t="inlineStr">
        <is>
          <t>PE26032601</t>
        </is>
      </c>
      <c r="J660" s="3" t="inlineStr">
        <is>
          <t>Module Diode Failure</t>
        </is>
      </c>
      <c r="K660" s="3" t="inlineStr">
        <is>
          <t>Sadla</t>
        </is>
      </c>
      <c r="L660" s="3" t="inlineStr">
        <is>
          <t>Gujarat</t>
        </is>
      </c>
      <c r="M660" s="9" t="inlineStr">
        <is>
          <t>NS</t>
        </is>
      </c>
      <c r="N660" s="3" t="inlineStr">
        <is>
          <t>Cold Soldering</t>
        </is>
      </c>
      <c r="O660" s="3" t="n">
        <v>570</v>
      </c>
      <c r="P660" s="9" t="inlineStr">
        <is>
          <t>NSMI24060090158</t>
        </is>
      </c>
      <c r="Q660" s="53">
        <f>MID(P660,5,2)</f>
        <v/>
      </c>
      <c r="R660" s="53">
        <f>MID(P660,7,2)</f>
        <v/>
      </c>
      <c r="S660" s="3" t="inlineStr">
        <is>
          <t>G2G</t>
        </is>
      </c>
      <c r="T660" s="3" t="inlineStr">
        <is>
          <t>P4</t>
        </is>
      </c>
      <c r="U660" s="3" t="inlineStr">
        <is>
          <t>N JB Cold Soldering</t>
        </is>
      </c>
      <c r="V660" s="3" t="inlineStr">
        <is>
          <t>Soldering</t>
        </is>
      </c>
      <c r="W660" s="3" t="inlineStr">
        <is>
          <t>Repair</t>
        </is>
      </c>
      <c r="X660" s="18" t="n">
        <v>46153</v>
      </c>
      <c r="Y660" s="3">
        <f>X660-A660</f>
        <v/>
      </c>
      <c r="Z660" s="18" t="n">
        <v>46153</v>
      </c>
      <c r="AA660" s="15" t="n"/>
      <c r="AB660" s="15" t="n"/>
    </row>
    <row r="661" hidden="1" s="233">
      <c r="A661" s="6" t="n">
        <v>46107</v>
      </c>
      <c r="B661" s="3" t="n">
        <v>2026</v>
      </c>
      <c r="C661" s="3" t="inlineStr">
        <is>
          <t>Blupine</t>
        </is>
      </c>
      <c r="D661" s="3" t="inlineStr">
        <is>
          <t>Utility and C&amp;I</t>
        </is>
      </c>
      <c r="E661" s="3" t="n"/>
      <c r="F661" s="3" t="inlineStr">
        <is>
          <t>Closed</t>
        </is>
      </c>
      <c r="G661" s="3" t="inlineStr">
        <is>
          <t>Chandrashekar Patidar</t>
        </is>
      </c>
      <c r="H661" s="3" t="n">
        <v>7879764773</v>
      </c>
      <c r="I661" s="11" t="inlineStr">
        <is>
          <t>PE26032601</t>
        </is>
      </c>
      <c r="J661" s="3" t="inlineStr">
        <is>
          <t>Module Diode Failure</t>
        </is>
      </c>
      <c r="K661" s="3" t="inlineStr">
        <is>
          <t>Sadla</t>
        </is>
      </c>
      <c r="L661" s="3" t="inlineStr">
        <is>
          <t>Gujarat</t>
        </is>
      </c>
      <c r="M661" s="9" t="inlineStr">
        <is>
          <t>NS</t>
        </is>
      </c>
      <c r="N661" s="3" t="inlineStr">
        <is>
          <t>Cold Soldering</t>
        </is>
      </c>
      <c r="O661" s="3" t="n">
        <v>570</v>
      </c>
      <c r="P661" s="9" t="inlineStr">
        <is>
          <t>NSMI24060095285</t>
        </is>
      </c>
      <c r="Q661" s="53">
        <f>MID(P661,5,2)</f>
        <v/>
      </c>
      <c r="R661" s="53">
        <f>MID(P661,7,2)</f>
        <v/>
      </c>
      <c r="S661" s="3" t="inlineStr">
        <is>
          <t>G2G</t>
        </is>
      </c>
      <c r="T661" s="3" t="inlineStr">
        <is>
          <t>P4</t>
        </is>
      </c>
      <c r="U661" s="3" t="inlineStr">
        <is>
          <t>N JB Cold Soldering</t>
        </is>
      </c>
      <c r="V661" s="3" t="inlineStr">
        <is>
          <t>Soldering</t>
        </is>
      </c>
      <c r="W661" s="3" t="inlineStr">
        <is>
          <t>Repair</t>
        </is>
      </c>
      <c r="X661" s="18" t="n">
        <v>46153</v>
      </c>
      <c r="Y661" s="3">
        <f>X661-A661</f>
        <v/>
      </c>
      <c r="Z661" s="18" t="n">
        <v>46153</v>
      </c>
      <c r="AA661" s="15" t="n"/>
      <c r="AB661" s="15" t="n"/>
    </row>
    <row r="662" hidden="1" s="233">
      <c r="A662" s="6" t="n">
        <v>46107</v>
      </c>
      <c r="B662" s="3" t="n">
        <v>2026</v>
      </c>
      <c r="C662" s="3" t="inlineStr">
        <is>
          <t>Blupine</t>
        </is>
      </c>
      <c r="D662" s="3" t="inlineStr">
        <is>
          <t>Utility and C&amp;I</t>
        </is>
      </c>
      <c r="E662" s="3" t="n"/>
      <c r="F662" s="3" t="inlineStr">
        <is>
          <t>Closed</t>
        </is>
      </c>
      <c r="G662" s="3" t="inlineStr">
        <is>
          <t>Chandrashekar Patidar</t>
        </is>
      </c>
      <c r="H662" s="3" t="n">
        <v>7879764773</v>
      </c>
      <c r="I662" s="11" t="inlineStr">
        <is>
          <t>PE26032601</t>
        </is>
      </c>
      <c r="J662" s="3" t="inlineStr">
        <is>
          <t>Module Diode Failure</t>
        </is>
      </c>
      <c r="K662" s="3" t="inlineStr">
        <is>
          <t>Sadla</t>
        </is>
      </c>
      <c r="L662" s="3" t="inlineStr">
        <is>
          <t>Gujarat</t>
        </is>
      </c>
      <c r="M662" s="9" t="inlineStr">
        <is>
          <t>NS</t>
        </is>
      </c>
      <c r="N662" s="3" t="inlineStr">
        <is>
          <t>Cold Soldering</t>
        </is>
      </c>
      <c r="O662" s="3" t="n">
        <v>570</v>
      </c>
      <c r="P662" s="9" t="inlineStr">
        <is>
          <t>NSMI24060094664</t>
        </is>
      </c>
      <c r="Q662" s="53">
        <f>MID(P662,5,2)</f>
        <v/>
      </c>
      <c r="R662" s="53">
        <f>MID(P662,7,2)</f>
        <v/>
      </c>
      <c r="S662" s="3" t="inlineStr">
        <is>
          <t>G2G</t>
        </is>
      </c>
      <c r="T662" s="3" t="inlineStr">
        <is>
          <t>P4</t>
        </is>
      </c>
      <c r="U662" s="3" t="inlineStr">
        <is>
          <t>N JB Cold Soldering</t>
        </is>
      </c>
      <c r="V662" s="3" t="inlineStr">
        <is>
          <t>Soldering</t>
        </is>
      </c>
      <c r="W662" s="3" t="inlineStr">
        <is>
          <t>Repair</t>
        </is>
      </c>
      <c r="X662" s="18" t="n">
        <v>46153</v>
      </c>
      <c r="Y662" s="3">
        <f>X662-A662</f>
        <v/>
      </c>
      <c r="Z662" s="18" t="n">
        <v>46153</v>
      </c>
      <c r="AA662" s="15" t="n"/>
      <c r="AB662" s="15" t="n"/>
    </row>
    <row r="663" hidden="1" s="233">
      <c r="A663" s="6" t="n">
        <v>46107</v>
      </c>
      <c r="B663" s="3" t="n">
        <v>2026</v>
      </c>
      <c r="C663" s="3" t="inlineStr">
        <is>
          <t>Blupine</t>
        </is>
      </c>
      <c r="D663" s="3" t="inlineStr">
        <is>
          <t>Utility and C&amp;I</t>
        </is>
      </c>
      <c r="E663" s="3" t="n"/>
      <c r="F663" s="3" t="inlineStr">
        <is>
          <t>Closed</t>
        </is>
      </c>
      <c r="G663" s="3" t="inlineStr">
        <is>
          <t>Chandrashekar Patidar</t>
        </is>
      </c>
      <c r="H663" s="3" t="n">
        <v>7879764773</v>
      </c>
      <c r="I663" s="11" t="inlineStr">
        <is>
          <t>PE26032601</t>
        </is>
      </c>
      <c r="J663" s="3" t="inlineStr">
        <is>
          <t>Module Diode Failure</t>
        </is>
      </c>
      <c r="K663" s="3" t="inlineStr">
        <is>
          <t>Sadla</t>
        </is>
      </c>
      <c r="L663" s="3" t="inlineStr">
        <is>
          <t>Gujarat</t>
        </is>
      </c>
      <c r="M663" s="9" t="inlineStr">
        <is>
          <t>PS</t>
        </is>
      </c>
      <c r="N663" s="3" t="inlineStr">
        <is>
          <t>Cold Soldering</t>
        </is>
      </c>
      <c r="O663" s="3" t="n">
        <v>570</v>
      </c>
      <c r="P663" s="9" t="inlineStr">
        <is>
          <t>NSMI24060094723</t>
        </is>
      </c>
      <c r="Q663" s="53">
        <f>MID(P663,5,2)</f>
        <v/>
      </c>
      <c r="R663" s="53">
        <f>MID(P663,7,2)</f>
        <v/>
      </c>
      <c r="S663" s="3" t="inlineStr">
        <is>
          <t>G2G</t>
        </is>
      </c>
      <c r="T663" s="3" t="inlineStr">
        <is>
          <t>P4</t>
        </is>
      </c>
      <c r="U663" s="3" t="inlineStr">
        <is>
          <t>P JB Cold Soldering</t>
        </is>
      </c>
      <c r="V663" s="3" t="inlineStr">
        <is>
          <t>Soldering</t>
        </is>
      </c>
      <c r="W663" s="3" t="inlineStr">
        <is>
          <t>Repair</t>
        </is>
      </c>
      <c r="X663" s="18" t="n">
        <v>46153</v>
      </c>
      <c r="Y663" s="3">
        <f>X663-A663</f>
        <v/>
      </c>
      <c r="Z663" s="18" t="n">
        <v>46153</v>
      </c>
      <c r="AA663" s="15" t="n"/>
      <c r="AB663" s="15" t="n"/>
    </row>
    <row r="664" hidden="1" s="233">
      <c r="A664" s="6" t="n">
        <v>46107</v>
      </c>
      <c r="B664" s="3" t="n">
        <v>2026</v>
      </c>
      <c r="C664" s="3" t="inlineStr">
        <is>
          <t>Blupine</t>
        </is>
      </c>
      <c r="D664" s="3" t="inlineStr">
        <is>
          <t>Utility and C&amp;I</t>
        </is>
      </c>
      <c r="E664" s="3" t="n"/>
      <c r="F664" s="3" t="inlineStr">
        <is>
          <t>Closed</t>
        </is>
      </c>
      <c r="G664" s="3" t="inlineStr">
        <is>
          <t>Chandrashekar Patidar</t>
        </is>
      </c>
      <c r="H664" s="3" t="n">
        <v>7879764773</v>
      </c>
      <c r="I664" s="11" t="inlineStr">
        <is>
          <t>PE26032601</t>
        </is>
      </c>
      <c r="J664" s="3" t="inlineStr">
        <is>
          <t>Module Diode Failure</t>
        </is>
      </c>
      <c r="K664" s="3" t="inlineStr">
        <is>
          <t>Sadla</t>
        </is>
      </c>
      <c r="L664" s="3" t="inlineStr">
        <is>
          <t>Gujarat</t>
        </is>
      </c>
      <c r="M664" s="9" t="inlineStr">
        <is>
          <t>PNS</t>
        </is>
      </c>
      <c r="N664" s="3" t="inlineStr">
        <is>
          <t>Cold Soldering</t>
        </is>
      </c>
      <c r="O664" s="3" t="n">
        <v>570</v>
      </c>
      <c r="P664" s="9" t="inlineStr">
        <is>
          <t>NSMI24060128380</t>
        </is>
      </c>
      <c r="Q664" s="53">
        <f>MID(P664,5,2)</f>
        <v/>
      </c>
      <c r="R664" s="53">
        <f>MID(P664,7,2)</f>
        <v/>
      </c>
      <c r="S664" s="3" t="inlineStr">
        <is>
          <t>G2G</t>
        </is>
      </c>
      <c r="T664" s="3" t="inlineStr">
        <is>
          <t>P4</t>
        </is>
      </c>
      <c r="U664" s="3" t="inlineStr">
        <is>
          <t>P &amp; N JB Cold Soldering</t>
        </is>
      </c>
      <c r="V664" s="3" t="inlineStr">
        <is>
          <t>Soldering</t>
        </is>
      </c>
      <c r="W664" s="3" t="inlineStr">
        <is>
          <t>Repair</t>
        </is>
      </c>
      <c r="X664" s="18" t="n">
        <v>46153</v>
      </c>
      <c r="Y664" s="3">
        <f>X664-A664</f>
        <v/>
      </c>
      <c r="Z664" s="18" t="n">
        <v>46153</v>
      </c>
      <c r="AA664" s="15" t="n"/>
      <c r="AB664" s="15" t="n"/>
    </row>
    <row r="665" hidden="1" s="233">
      <c r="A665" s="6" t="n">
        <v>46107</v>
      </c>
      <c r="B665" s="3" t="n">
        <v>2026</v>
      </c>
      <c r="C665" s="3" t="inlineStr">
        <is>
          <t>Blupine</t>
        </is>
      </c>
      <c r="D665" s="3" t="inlineStr">
        <is>
          <t>Utility and C&amp;I</t>
        </is>
      </c>
      <c r="E665" s="3" t="n"/>
      <c r="F665" s="3" t="inlineStr">
        <is>
          <t>Closed</t>
        </is>
      </c>
      <c r="G665" s="3" t="inlineStr">
        <is>
          <t>Chandrashekar Patidar</t>
        </is>
      </c>
      <c r="H665" s="3" t="n">
        <v>7879764773</v>
      </c>
      <c r="I665" s="11" t="inlineStr">
        <is>
          <t>PE26032601</t>
        </is>
      </c>
      <c r="J665" s="3" t="inlineStr">
        <is>
          <t>Module Diode Failure</t>
        </is>
      </c>
      <c r="K665" s="3" t="inlineStr">
        <is>
          <t>Sadla</t>
        </is>
      </c>
      <c r="L665" s="3" t="inlineStr">
        <is>
          <t>Gujarat</t>
        </is>
      </c>
      <c r="M665" s="9" t="inlineStr">
        <is>
          <t>PS</t>
        </is>
      </c>
      <c r="N665" s="3" t="inlineStr">
        <is>
          <t>Cold Soldering</t>
        </is>
      </c>
      <c r="O665" s="3" t="n">
        <v>570</v>
      </c>
      <c r="P665" s="9" t="inlineStr">
        <is>
          <t>NSMI24060091182</t>
        </is>
      </c>
      <c r="Q665" s="53">
        <f>MID(P665,5,2)</f>
        <v/>
      </c>
      <c r="R665" s="53">
        <f>MID(P665,7,2)</f>
        <v/>
      </c>
      <c r="S665" s="3" t="inlineStr">
        <is>
          <t>G2G</t>
        </is>
      </c>
      <c r="T665" s="3" t="inlineStr">
        <is>
          <t>P4</t>
        </is>
      </c>
      <c r="U665" s="3" t="inlineStr">
        <is>
          <t>P JB Cold Soldering</t>
        </is>
      </c>
      <c r="V665" s="3" t="inlineStr">
        <is>
          <t>Soldering</t>
        </is>
      </c>
      <c r="W665" s="3" t="inlineStr">
        <is>
          <t>Repair</t>
        </is>
      </c>
      <c r="X665" s="18" t="n">
        <v>46153</v>
      </c>
      <c r="Y665" s="3">
        <f>X665-A665</f>
        <v/>
      </c>
      <c r="Z665" s="18" t="n">
        <v>46153</v>
      </c>
      <c r="AA665" s="15" t="n"/>
      <c r="AB665" s="15" t="n"/>
    </row>
    <row r="666" hidden="1" s="233">
      <c r="A666" s="6" t="n">
        <v>46107</v>
      </c>
      <c r="B666" s="3" t="n">
        <v>2026</v>
      </c>
      <c r="C666" s="3" t="inlineStr">
        <is>
          <t>Blupine</t>
        </is>
      </c>
      <c r="D666" s="3" t="inlineStr">
        <is>
          <t>Utility and C&amp;I</t>
        </is>
      </c>
      <c r="E666" s="3" t="n"/>
      <c r="F666" s="3" t="inlineStr">
        <is>
          <t>Closed</t>
        </is>
      </c>
      <c r="G666" s="3" t="inlineStr">
        <is>
          <t>Chandrashekar Patidar</t>
        </is>
      </c>
      <c r="H666" s="3" t="n">
        <v>7879764773</v>
      </c>
      <c r="I666" s="11" t="inlineStr">
        <is>
          <t>PE26032601</t>
        </is>
      </c>
      <c r="J666" s="3" t="inlineStr">
        <is>
          <t>Module Diode Failure</t>
        </is>
      </c>
      <c r="K666" s="3" t="inlineStr">
        <is>
          <t>Sadla</t>
        </is>
      </c>
      <c r="L666" s="3" t="inlineStr">
        <is>
          <t>Gujarat</t>
        </is>
      </c>
      <c r="M666" s="9" t="inlineStr">
        <is>
          <t>NS</t>
        </is>
      </c>
      <c r="N666" s="3" t="inlineStr">
        <is>
          <t>Cold Soldering</t>
        </is>
      </c>
      <c r="O666" s="3" t="n">
        <v>570</v>
      </c>
      <c r="P666" s="9" t="inlineStr">
        <is>
          <t>NSMI24060094693</t>
        </is>
      </c>
      <c r="Q666" s="53">
        <f>MID(P666,5,2)</f>
        <v/>
      </c>
      <c r="R666" s="53">
        <f>MID(P666,7,2)</f>
        <v/>
      </c>
      <c r="S666" s="3" t="inlineStr">
        <is>
          <t>G2G</t>
        </is>
      </c>
      <c r="T666" s="3" t="inlineStr">
        <is>
          <t>P4</t>
        </is>
      </c>
      <c r="U666" s="3" t="inlineStr">
        <is>
          <t>N JB Cold Soldering</t>
        </is>
      </c>
      <c r="V666" s="3" t="inlineStr">
        <is>
          <t>Soldering</t>
        </is>
      </c>
      <c r="W666" s="3" t="inlineStr">
        <is>
          <t>Repair</t>
        </is>
      </c>
      <c r="X666" s="18" t="n">
        <v>46153</v>
      </c>
      <c r="Y666" s="3">
        <f>X666-A666</f>
        <v/>
      </c>
      <c r="Z666" s="18" t="n">
        <v>46153</v>
      </c>
      <c r="AA666" s="15" t="n"/>
      <c r="AB666" s="15" t="n"/>
    </row>
    <row r="667" hidden="1" s="233">
      <c r="A667" s="6" t="n">
        <v>46107</v>
      </c>
      <c r="B667" s="3" t="n">
        <v>2026</v>
      </c>
      <c r="C667" s="3" t="inlineStr">
        <is>
          <t>Blupine</t>
        </is>
      </c>
      <c r="D667" s="3" t="inlineStr">
        <is>
          <t>Utility and C&amp;I</t>
        </is>
      </c>
      <c r="E667" s="3" t="n"/>
      <c r="F667" s="3" t="inlineStr">
        <is>
          <t>Closed</t>
        </is>
      </c>
      <c r="G667" s="3" t="inlineStr">
        <is>
          <t>Chandrashekar Patidar</t>
        </is>
      </c>
      <c r="H667" s="3" t="n">
        <v>7879764773</v>
      </c>
      <c r="I667" s="11" t="inlineStr">
        <is>
          <t>PE26032601</t>
        </is>
      </c>
      <c r="J667" s="3" t="inlineStr">
        <is>
          <t>Module Diode Failure</t>
        </is>
      </c>
      <c r="K667" s="3" t="inlineStr">
        <is>
          <t>Sadla</t>
        </is>
      </c>
      <c r="L667" s="3" t="inlineStr">
        <is>
          <t>Gujarat</t>
        </is>
      </c>
      <c r="M667" s="9" t="inlineStr">
        <is>
          <t>PS</t>
        </is>
      </c>
      <c r="N667" s="3" t="inlineStr">
        <is>
          <t>Cold Soldering</t>
        </is>
      </c>
      <c r="O667" s="3" t="n">
        <v>570</v>
      </c>
      <c r="P667" s="9" t="inlineStr">
        <is>
          <t>NSMI24060094685</t>
        </is>
      </c>
      <c r="Q667" s="53">
        <f>MID(P667,5,2)</f>
        <v/>
      </c>
      <c r="R667" s="53">
        <f>MID(P667,7,2)</f>
        <v/>
      </c>
      <c r="S667" s="3" t="inlineStr">
        <is>
          <t>G2G</t>
        </is>
      </c>
      <c r="T667" s="3" t="inlineStr">
        <is>
          <t>P4</t>
        </is>
      </c>
      <c r="U667" s="3" t="inlineStr">
        <is>
          <t>P JB Cold Soldering</t>
        </is>
      </c>
      <c r="V667" s="3" t="inlineStr">
        <is>
          <t>Soldering</t>
        </is>
      </c>
      <c r="W667" s="3" t="inlineStr">
        <is>
          <t>Repair</t>
        </is>
      </c>
      <c r="X667" s="18" t="n">
        <v>46153</v>
      </c>
      <c r="Y667" s="3">
        <f>X667-A667</f>
        <v/>
      </c>
      <c r="Z667" s="18" t="n">
        <v>46153</v>
      </c>
      <c r="AA667" s="15" t="n"/>
      <c r="AB667" s="15" t="n"/>
    </row>
    <row r="668" hidden="1" s="233">
      <c r="A668" s="6" t="n">
        <v>46107</v>
      </c>
      <c r="B668" s="3" t="n">
        <v>2026</v>
      </c>
      <c r="C668" s="3" t="inlineStr">
        <is>
          <t>Blupine</t>
        </is>
      </c>
      <c r="D668" s="3" t="inlineStr">
        <is>
          <t>Utility and C&amp;I</t>
        </is>
      </c>
      <c r="E668" s="3" t="n"/>
      <c r="F668" s="3" t="inlineStr">
        <is>
          <t>Closed</t>
        </is>
      </c>
      <c r="G668" s="3" t="inlineStr">
        <is>
          <t>Chandrashekar Patidar</t>
        </is>
      </c>
      <c r="H668" s="3" t="n">
        <v>7879764773</v>
      </c>
      <c r="I668" s="11" t="inlineStr">
        <is>
          <t>PE26032601</t>
        </is>
      </c>
      <c r="J668" s="3" t="inlineStr">
        <is>
          <t>Module Diode Failure</t>
        </is>
      </c>
      <c r="K668" s="3" t="inlineStr">
        <is>
          <t>Sadla</t>
        </is>
      </c>
      <c r="L668" s="3" t="inlineStr">
        <is>
          <t>Gujarat</t>
        </is>
      </c>
      <c r="M668" s="9" t="inlineStr">
        <is>
          <t>NS</t>
        </is>
      </c>
      <c r="N668" s="3" t="inlineStr">
        <is>
          <t>Cold Soldering</t>
        </is>
      </c>
      <c r="O668" s="3" t="n">
        <v>570</v>
      </c>
      <c r="P668" s="9" t="inlineStr">
        <is>
          <t>NSMI24060094574</t>
        </is>
      </c>
      <c r="Q668" s="53">
        <f>MID(P668,5,2)</f>
        <v/>
      </c>
      <c r="R668" s="53">
        <f>MID(P668,7,2)</f>
        <v/>
      </c>
      <c r="S668" s="3" t="inlineStr">
        <is>
          <t>G2G</t>
        </is>
      </c>
      <c r="T668" s="3" t="inlineStr">
        <is>
          <t>P4</t>
        </is>
      </c>
      <c r="U668" s="3" t="inlineStr">
        <is>
          <t>N JB Cold Soldering</t>
        </is>
      </c>
      <c r="V668" s="3" t="inlineStr">
        <is>
          <t>Soldering</t>
        </is>
      </c>
      <c r="W668" s="3" t="inlineStr">
        <is>
          <t>Repair</t>
        </is>
      </c>
      <c r="X668" s="18" t="n">
        <v>46153</v>
      </c>
      <c r="Y668" s="3">
        <f>X668-A668</f>
        <v/>
      </c>
      <c r="Z668" s="18" t="n">
        <v>46153</v>
      </c>
      <c r="AA668" s="15" t="n"/>
      <c r="AB668" s="15" t="n"/>
    </row>
    <row r="669" hidden="1" s="233">
      <c r="A669" s="6" t="n">
        <v>46107</v>
      </c>
      <c r="B669" s="3" t="n">
        <v>2026</v>
      </c>
      <c r="C669" s="3" t="inlineStr">
        <is>
          <t>Blupine</t>
        </is>
      </c>
      <c r="D669" s="3" t="inlineStr">
        <is>
          <t>Utility and C&amp;I</t>
        </is>
      </c>
      <c r="E669" s="3" t="n"/>
      <c r="F669" s="3" t="inlineStr">
        <is>
          <t>Closed</t>
        </is>
      </c>
      <c r="G669" s="3" t="inlineStr">
        <is>
          <t>Chandrashekar Patidar</t>
        </is>
      </c>
      <c r="H669" s="3" t="n">
        <v>7879764773</v>
      </c>
      <c r="I669" s="11" t="inlineStr">
        <is>
          <t>PE26032601</t>
        </is>
      </c>
      <c r="J669" s="3" t="inlineStr">
        <is>
          <t>Module Diode Failure</t>
        </is>
      </c>
      <c r="K669" s="3" t="inlineStr">
        <is>
          <t>Sadla</t>
        </is>
      </c>
      <c r="L669" s="3" t="inlineStr">
        <is>
          <t>Gujarat</t>
        </is>
      </c>
      <c r="M669" s="9" t="inlineStr">
        <is>
          <t>NS</t>
        </is>
      </c>
      <c r="N669" s="3" t="inlineStr">
        <is>
          <t>Cold Soldering</t>
        </is>
      </c>
      <c r="O669" s="3" t="n">
        <v>570</v>
      </c>
      <c r="P669" s="9" t="inlineStr">
        <is>
          <t>NSMI24060097303</t>
        </is>
      </c>
      <c r="Q669" s="53">
        <f>MID(P669,5,2)</f>
        <v/>
      </c>
      <c r="R669" s="53">
        <f>MID(P669,7,2)</f>
        <v/>
      </c>
      <c r="S669" s="3" t="inlineStr">
        <is>
          <t>G2G</t>
        </is>
      </c>
      <c r="T669" s="3" t="inlineStr">
        <is>
          <t>P4</t>
        </is>
      </c>
      <c r="U669" s="3" t="inlineStr">
        <is>
          <t>N JB Cold Soldering</t>
        </is>
      </c>
      <c r="V669" s="3" t="inlineStr">
        <is>
          <t>Soldering</t>
        </is>
      </c>
      <c r="W669" s="3" t="inlineStr">
        <is>
          <t>Repair</t>
        </is>
      </c>
      <c r="X669" s="18" t="n">
        <v>46153</v>
      </c>
      <c r="Y669" s="3">
        <f>X669-A669</f>
        <v/>
      </c>
      <c r="Z669" s="18" t="n">
        <v>46153</v>
      </c>
      <c r="AA669" s="15" t="n"/>
      <c r="AB669" s="15" t="n"/>
    </row>
    <row r="670" hidden="1" s="233">
      <c r="A670" s="6" t="n">
        <v>46107</v>
      </c>
      <c r="B670" s="3" t="n">
        <v>2026</v>
      </c>
      <c r="C670" s="3" t="inlineStr">
        <is>
          <t>Blupine</t>
        </is>
      </c>
      <c r="D670" s="3" t="inlineStr">
        <is>
          <t>Utility and C&amp;I</t>
        </is>
      </c>
      <c r="E670" s="3" t="n"/>
      <c r="F670" s="3" t="inlineStr">
        <is>
          <t>Closed</t>
        </is>
      </c>
      <c r="G670" s="3" t="inlineStr">
        <is>
          <t>Chandrashekar Patidar</t>
        </is>
      </c>
      <c r="H670" s="3" t="n">
        <v>7879764773</v>
      </c>
      <c r="I670" s="11" t="inlineStr">
        <is>
          <t>PE26032601</t>
        </is>
      </c>
      <c r="J670" s="3" t="inlineStr">
        <is>
          <t>Module Diode Failure</t>
        </is>
      </c>
      <c r="K670" s="3" t="inlineStr">
        <is>
          <t>Sadla</t>
        </is>
      </c>
      <c r="L670" s="3" t="inlineStr">
        <is>
          <t>Gujarat</t>
        </is>
      </c>
      <c r="M670" s="9" t="inlineStr">
        <is>
          <t>NS</t>
        </is>
      </c>
      <c r="N670" s="3" t="inlineStr">
        <is>
          <t>Cold Soldering</t>
        </is>
      </c>
      <c r="O670" s="3" t="n">
        <v>570</v>
      </c>
      <c r="P670" s="9" t="inlineStr">
        <is>
          <t>NSMI24050044278</t>
        </is>
      </c>
      <c r="Q670" s="53">
        <f>MID(P670,5,2)</f>
        <v/>
      </c>
      <c r="R670" s="53">
        <f>MID(P670,7,2)</f>
        <v/>
      </c>
      <c r="S670" s="3" t="inlineStr">
        <is>
          <t>G2G</t>
        </is>
      </c>
      <c r="T670" s="3" t="inlineStr">
        <is>
          <t>P4</t>
        </is>
      </c>
      <c r="U670" s="3" t="inlineStr">
        <is>
          <t>N JB Cold Soldering</t>
        </is>
      </c>
      <c r="V670" s="3" t="inlineStr">
        <is>
          <t>Soldering</t>
        </is>
      </c>
      <c r="W670" s="3" t="inlineStr">
        <is>
          <t>Repair</t>
        </is>
      </c>
      <c r="X670" s="18" t="n">
        <v>46153</v>
      </c>
      <c r="Y670" s="3">
        <f>X670-A670</f>
        <v/>
      </c>
      <c r="Z670" s="18" t="n">
        <v>46153</v>
      </c>
      <c r="AA670" s="15" t="n"/>
      <c r="AB670" s="15" t="n"/>
    </row>
    <row r="671" hidden="1" s="233">
      <c r="A671" s="6" t="n">
        <v>46107</v>
      </c>
      <c r="B671" s="3" t="n">
        <v>2026</v>
      </c>
      <c r="C671" s="3" t="inlineStr">
        <is>
          <t>Blupine</t>
        </is>
      </c>
      <c r="D671" s="3" t="inlineStr">
        <is>
          <t>Utility and C&amp;I</t>
        </is>
      </c>
      <c r="E671" s="3" t="n"/>
      <c r="F671" s="3" t="inlineStr">
        <is>
          <t>Closed</t>
        </is>
      </c>
      <c r="G671" s="3" t="inlineStr">
        <is>
          <t>Chandrashekar Patidar</t>
        </is>
      </c>
      <c r="H671" s="3" t="n">
        <v>7879764773</v>
      </c>
      <c r="I671" s="11" t="inlineStr">
        <is>
          <t>PE26032601</t>
        </is>
      </c>
      <c r="J671" s="3" t="inlineStr">
        <is>
          <t>Module Diode Failure</t>
        </is>
      </c>
      <c r="K671" s="3" t="inlineStr">
        <is>
          <t>Sadla</t>
        </is>
      </c>
      <c r="L671" s="3" t="inlineStr">
        <is>
          <t>Gujarat</t>
        </is>
      </c>
      <c r="M671" s="9" t="inlineStr">
        <is>
          <t>NS</t>
        </is>
      </c>
      <c r="N671" s="3" t="inlineStr">
        <is>
          <t>Cold Soldering</t>
        </is>
      </c>
      <c r="O671" s="3" t="n">
        <v>570</v>
      </c>
      <c r="P671" s="9" t="inlineStr">
        <is>
          <t>NSMI24060134955</t>
        </is>
      </c>
      <c r="Q671" s="53">
        <f>MID(P671,5,2)</f>
        <v/>
      </c>
      <c r="R671" s="53">
        <f>MID(P671,7,2)</f>
        <v/>
      </c>
      <c r="S671" s="3" t="inlineStr">
        <is>
          <t>G2G</t>
        </is>
      </c>
      <c r="T671" s="3" t="inlineStr">
        <is>
          <t>P4</t>
        </is>
      </c>
      <c r="U671" s="3" t="inlineStr">
        <is>
          <t>N JB Cold Soldering</t>
        </is>
      </c>
      <c r="V671" s="3" t="inlineStr">
        <is>
          <t>Soldering</t>
        </is>
      </c>
      <c r="W671" s="3" t="inlineStr">
        <is>
          <t>Repair</t>
        </is>
      </c>
      <c r="X671" s="18" t="n">
        <v>46153</v>
      </c>
      <c r="Y671" s="3">
        <f>X671-A671</f>
        <v/>
      </c>
      <c r="Z671" s="18" t="n">
        <v>46153</v>
      </c>
      <c r="AA671" s="15" t="n"/>
      <c r="AB671" s="15" t="n"/>
    </row>
    <row r="672" hidden="1" s="233">
      <c r="A672" s="6" t="n">
        <v>46107</v>
      </c>
      <c r="B672" s="3" t="n">
        <v>2026</v>
      </c>
      <c r="C672" s="3" t="inlineStr">
        <is>
          <t>Blupine</t>
        </is>
      </c>
      <c r="D672" s="3" t="inlineStr">
        <is>
          <t>Utility and C&amp;I</t>
        </is>
      </c>
      <c r="E672" s="3" t="n"/>
      <c r="F672" s="3" t="inlineStr">
        <is>
          <t>Closed</t>
        </is>
      </c>
      <c r="G672" s="3" t="inlineStr">
        <is>
          <t>Chandrashekar Patidar</t>
        </is>
      </c>
      <c r="H672" s="3" t="n">
        <v>7879764773</v>
      </c>
      <c r="I672" s="11" t="inlineStr">
        <is>
          <t>PE26032601</t>
        </is>
      </c>
      <c r="J672" s="3" t="inlineStr">
        <is>
          <t>Module Diode Failure</t>
        </is>
      </c>
      <c r="K672" s="3" t="inlineStr">
        <is>
          <t>Sadla</t>
        </is>
      </c>
      <c r="L672" s="3" t="inlineStr">
        <is>
          <t>Gujarat</t>
        </is>
      </c>
      <c r="M672" s="9" t="inlineStr">
        <is>
          <t>NS</t>
        </is>
      </c>
      <c r="N672" s="3" t="inlineStr">
        <is>
          <t>Cold Soldering</t>
        </is>
      </c>
      <c r="O672" s="3" t="n">
        <v>570</v>
      </c>
      <c r="P672" s="9" t="inlineStr">
        <is>
          <t>NSMI24050044315</t>
        </is>
      </c>
      <c r="Q672" s="53">
        <f>MID(P672,5,2)</f>
        <v/>
      </c>
      <c r="R672" s="53">
        <f>MID(P672,7,2)</f>
        <v/>
      </c>
      <c r="S672" s="3" t="inlineStr">
        <is>
          <t>G2G</t>
        </is>
      </c>
      <c r="T672" s="3" t="inlineStr">
        <is>
          <t>P4</t>
        </is>
      </c>
      <c r="U672" s="3" t="inlineStr">
        <is>
          <t>N JB Cold Soldering</t>
        </is>
      </c>
      <c r="V672" s="3" t="inlineStr">
        <is>
          <t>Soldering</t>
        </is>
      </c>
      <c r="W672" s="3" t="inlineStr">
        <is>
          <t>Repair</t>
        </is>
      </c>
      <c r="X672" s="18" t="n">
        <v>46153</v>
      </c>
      <c r="Y672" s="3">
        <f>X672-A672</f>
        <v/>
      </c>
      <c r="Z672" s="18" t="n">
        <v>46153</v>
      </c>
      <c r="AA672" s="15" t="n"/>
      <c r="AB672" s="15" t="n"/>
    </row>
    <row r="673" hidden="1" s="233">
      <c r="A673" s="6" t="n">
        <v>46107</v>
      </c>
      <c r="B673" s="3" t="n">
        <v>2026</v>
      </c>
      <c r="C673" s="3" t="inlineStr">
        <is>
          <t>Blupine</t>
        </is>
      </c>
      <c r="D673" s="3" t="inlineStr">
        <is>
          <t>Utility and C&amp;I</t>
        </is>
      </c>
      <c r="E673" s="3" t="n"/>
      <c r="F673" s="3" t="inlineStr">
        <is>
          <t>Closed</t>
        </is>
      </c>
      <c r="G673" s="3" t="inlineStr">
        <is>
          <t>Chandrashekar Patidar</t>
        </is>
      </c>
      <c r="H673" s="3" t="n">
        <v>7879764773</v>
      </c>
      <c r="I673" s="11" t="inlineStr">
        <is>
          <t>PE26032601</t>
        </is>
      </c>
      <c r="J673" s="3" t="inlineStr">
        <is>
          <t>Module Diode Failure</t>
        </is>
      </c>
      <c r="K673" s="3" t="inlineStr">
        <is>
          <t>Sadla</t>
        </is>
      </c>
      <c r="L673" s="3" t="inlineStr">
        <is>
          <t>Gujarat</t>
        </is>
      </c>
      <c r="M673" s="9" t="inlineStr">
        <is>
          <t>NS</t>
        </is>
      </c>
      <c r="N673" s="3" t="inlineStr">
        <is>
          <t>Cold Soldering</t>
        </is>
      </c>
      <c r="O673" s="3" t="n">
        <v>570</v>
      </c>
      <c r="P673" s="9" t="inlineStr">
        <is>
          <t>NSMI24050048222</t>
        </is>
      </c>
      <c r="Q673" s="53">
        <f>MID(P673,5,2)</f>
        <v/>
      </c>
      <c r="R673" s="53">
        <f>MID(P673,7,2)</f>
        <v/>
      </c>
      <c r="S673" s="3" t="inlineStr">
        <is>
          <t>G2G</t>
        </is>
      </c>
      <c r="T673" s="3" t="inlineStr">
        <is>
          <t>P4</t>
        </is>
      </c>
      <c r="U673" s="3" t="inlineStr">
        <is>
          <t>N JB Cold Soldering</t>
        </is>
      </c>
      <c r="V673" s="3" t="inlineStr">
        <is>
          <t>Soldering</t>
        </is>
      </c>
      <c r="W673" s="3" t="inlineStr">
        <is>
          <t>Repair</t>
        </is>
      </c>
      <c r="X673" s="18" t="n">
        <v>46153</v>
      </c>
      <c r="Y673" s="3">
        <f>X673-A673</f>
        <v/>
      </c>
      <c r="Z673" s="18" t="n">
        <v>46153</v>
      </c>
      <c r="AA673" s="15" t="n"/>
      <c r="AB673" s="15" t="n"/>
    </row>
    <row r="674" hidden="1" s="233">
      <c r="A674" s="6" t="n">
        <v>46107</v>
      </c>
      <c r="B674" s="3" t="n">
        <v>2026</v>
      </c>
      <c r="C674" s="3" t="inlineStr">
        <is>
          <t>Blupine</t>
        </is>
      </c>
      <c r="D674" s="3" t="inlineStr">
        <is>
          <t>Utility and C&amp;I</t>
        </is>
      </c>
      <c r="E674" s="3" t="n"/>
      <c r="F674" s="3" t="inlineStr">
        <is>
          <t>Closed</t>
        </is>
      </c>
      <c r="G674" s="3" t="inlineStr">
        <is>
          <t>Chandrashekar Patidar</t>
        </is>
      </c>
      <c r="H674" s="3" t="n">
        <v>7879764773</v>
      </c>
      <c r="I674" s="11" t="inlineStr">
        <is>
          <t>PE26032601</t>
        </is>
      </c>
      <c r="J674" s="3" t="inlineStr">
        <is>
          <t>Module Diode Failure</t>
        </is>
      </c>
      <c r="K674" s="3" t="inlineStr">
        <is>
          <t>Sadla</t>
        </is>
      </c>
      <c r="L674" s="3" t="inlineStr">
        <is>
          <t>Gujarat</t>
        </is>
      </c>
      <c r="M674" s="9" t="inlineStr">
        <is>
          <t>NS</t>
        </is>
      </c>
      <c r="N674" s="3" t="inlineStr">
        <is>
          <t>Cold Soldering</t>
        </is>
      </c>
      <c r="O674" s="3" t="n">
        <v>570</v>
      </c>
      <c r="P674" s="9" t="inlineStr">
        <is>
          <t>NSMI24050063312</t>
        </is>
      </c>
      <c r="Q674" s="53">
        <f>MID(P674,5,2)</f>
        <v/>
      </c>
      <c r="R674" s="53">
        <f>MID(P674,7,2)</f>
        <v/>
      </c>
      <c r="S674" s="3" t="inlineStr">
        <is>
          <t>G2G</t>
        </is>
      </c>
      <c r="T674" s="3" t="inlineStr">
        <is>
          <t>P4</t>
        </is>
      </c>
      <c r="U674" s="3" t="inlineStr">
        <is>
          <t>N JB Cold Soldering</t>
        </is>
      </c>
      <c r="V674" s="3" t="inlineStr">
        <is>
          <t>Soldering</t>
        </is>
      </c>
      <c r="W674" s="3" t="inlineStr">
        <is>
          <t>Repair</t>
        </is>
      </c>
      <c r="X674" s="18" t="n">
        <v>46153</v>
      </c>
      <c r="Y674" s="3">
        <f>X674-A674</f>
        <v/>
      </c>
      <c r="Z674" s="18" t="n">
        <v>46153</v>
      </c>
      <c r="AA674" s="15" t="n"/>
      <c r="AB674" s="15" t="n"/>
    </row>
    <row r="675" hidden="1" s="233">
      <c r="A675" s="6" t="n">
        <v>46107</v>
      </c>
      <c r="B675" s="3" t="n">
        <v>2026</v>
      </c>
      <c r="C675" s="3" t="inlineStr">
        <is>
          <t>Blupine</t>
        </is>
      </c>
      <c r="D675" s="3" t="inlineStr">
        <is>
          <t>Utility and C&amp;I</t>
        </is>
      </c>
      <c r="E675" s="3" t="n"/>
      <c r="F675" s="3" t="inlineStr">
        <is>
          <t>Closed</t>
        </is>
      </c>
      <c r="G675" s="3" t="inlineStr">
        <is>
          <t>Chandrashekar Patidar</t>
        </is>
      </c>
      <c r="H675" s="3" t="n">
        <v>7879764773</v>
      </c>
      <c r="I675" s="11" t="inlineStr">
        <is>
          <t>PE26032601</t>
        </is>
      </c>
      <c r="J675" s="3" t="inlineStr">
        <is>
          <t>Module Diode Failure</t>
        </is>
      </c>
      <c r="K675" s="3" t="inlineStr">
        <is>
          <t>Sadla</t>
        </is>
      </c>
      <c r="L675" s="3" t="inlineStr">
        <is>
          <t>Gujarat</t>
        </is>
      </c>
      <c r="M675" s="9" t="inlineStr">
        <is>
          <t>PNS</t>
        </is>
      </c>
      <c r="N675" s="3" t="inlineStr">
        <is>
          <t>Cold Soldering</t>
        </is>
      </c>
      <c r="O675" s="3" t="n">
        <v>570</v>
      </c>
      <c r="P675" s="9" t="inlineStr">
        <is>
          <t>NSMI24060094112</t>
        </is>
      </c>
      <c r="Q675" s="53">
        <f>MID(P675,5,2)</f>
        <v/>
      </c>
      <c r="R675" s="53">
        <f>MID(P675,7,2)</f>
        <v/>
      </c>
      <c r="S675" s="3" t="inlineStr">
        <is>
          <t>G2G</t>
        </is>
      </c>
      <c r="T675" s="3" t="inlineStr">
        <is>
          <t>P4</t>
        </is>
      </c>
      <c r="U675" s="3" t="inlineStr">
        <is>
          <t>P &amp; N JB Cold Soldering</t>
        </is>
      </c>
      <c r="V675" s="3" t="inlineStr">
        <is>
          <t>Soldering</t>
        </is>
      </c>
      <c r="W675" s="3" t="inlineStr">
        <is>
          <t>Repair</t>
        </is>
      </c>
      <c r="X675" s="18" t="n">
        <v>46153</v>
      </c>
      <c r="Y675" s="3">
        <f>X675-A675</f>
        <v/>
      </c>
      <c r="Z675" s="18" t="n">
        <v>46153</v>
      </c>
      <c r="AA675" s="15" t="n"/>
      <c r="AB675" s="15" t="n"/>
    </row>
    <row r="676" hidden="1" s="233">
      <c r="A676" s="6" t="n">
        <v>46107</v>
      </c>
      <c r="B676" s="3" t="n">
        <v>2026</v>
      </c>
      <c r="C676" s="3" t="inlineStr">
        <is>
          <t>Blupine</t>
        </is>
      </c>
      <c r="D676" s="3" t="inlineStr">
        <is>
          <t>Utility and C&amp;I</t>
        </is>
      </c>
      <c r="E676" s="3" t="n"/>
      <c r="F676" s="3" t="inlineStr">
        <is>
          <t>Closed</t>
        </is>
      </c>
      <c r="G676" s="3" t="inlineStr">
        <is>
          <t>Chandrashekar Patidar</t>
        </is>
      </c>
      <c r="H676" s="3" t="n">
        <v>7879764773</v>
      </c>
      <c r="I676" s="11" t="inlineStr">
        <is>
          <t>PE26032601</t>
        </is>
      </c>
      <c r="J676" s="3" t="inlineStr">
        <is>
          <t>Module Diode Failure</t>
        </is>
      </c>
      <c r="K676" s="3" t="inlineStr">
        <is>
          <t>Sadla</t>
        </is>
      </c>
      <c r="L676" s="3" t="inlineStr">
        <is>
          <t>Gujarat</t>
        </is>
      </c>
      <c r="M676" s="9" t="inlineStr">
        <is>
          <t>NS</t>
        </is>
      </c>
      <c r="N676" s="3" t="inlineStr">
        <is>
          <t>Cold Soldering</t>
        </is>
      </c>
      <c r="O676" s="3" t="n">
        <v>570</v>
      </c>
      <c r="P676" s="9" t="inlineStr">
        <is>
          <t>NSMI24060094657</t>
        </is>
      </c>
      <c r="Q676" s="53">
        <f>MID(P676,5,2)</f>
        <v/>
      </c>
      <c r="R676" s="53">
        <f>MID(P676,7,2)</f>
        <v/>
      </c>
      <c r="S676" s="3" t="inlineStr">
        <is>
          <t>G2G</t>
        </is>
      </c>
      <c r="T676" s="3" t="inlineStr">
        <is>
          <t>P4</t>
        </is>
      </c>
      <c r="U676" s="3" t="inlineStr">
        <is>
          <t>N JB Cold Soldering</t>
        </is>
      </c>
      <c r="V676" s="3" t="inlineStr">
        <is>
          <t>Soldering</t>
        </is>
      </c>
      <c r="W676" s="3" t="inlineStr">
        <is>
          <t>Repair</t>
        </is>
      </c>
      <c r="X676" s="18" t="n">
        <v>46153</v>
      </c>
      <c r="Y676" s="3">
        <f>X676-A676</f>
        <v/>
      </c>
      <c r="Z676" s="18" t="n">
        <v>46153</v>
      </c>
      <c r="AA676" s="15" t="n"/>
      <c r="AB676" s="15" t="n"/>
    </row>
    <row r="677" hidden="1" s="233">
      <c r="A677" s="6" t="n">
        <v>46107</v>
      </c>
      <c r="B677" s="3" t="n">
        <v>2026</v>
      </c>
      <c r="C677" s="3" t="inlineStr">
        <is>
          <t>Blupine</t>
        </is>
      </c>
      <c r="D677" s="3" t="inlineStr">
        <is>
          <t>Utility and C&amp;I</t>
        </is>
      </c>
      <c r="E677" s="3" t="n"/>
      <c r="F677" s="3" t="inlineStr">
        <is>
          <t>Closed</t>
        </is>
      </c>
      <c r="G677" s="3" t="inlineStr">
        <is>
          <t>Chandrashekar Patidar</t>
        </is>
      </c>
      <c r="H677" s="3" t="n">
        <v>7879764773</v>
      </c>
      <c r="I677" s="11" t="inlineStr">
        <is>
          <t>PE26032601</t>
        </is>
      </c>
      <c r="J677" s="3" t="inlineStr">
        <is>
          <t>Module Diode Failure</t>
        </is>
      </c>
      <c r="K677" s="3" t="inlineStr">
        <is>
          <t>Sadla</t>
        </is>
      </c>
      <c r="L677" s="3" t="inlineStr">
        <is>
          <t>Gujarat</t>
        </is>
      </c>
      <c r="M677" s="9" t="inlineStr">
        <is>
          <t>PS</t>
        </is>
      </c>
      <c r="N677" s="3" t="inlineStr">
        <is>
          <t>Cold Soldering</t>
        </is>
      </c>
      <c r="O677" s="3" t="n">
        <v>570</v>
      </c>
      <c r="P677" s="9" t="inlineStr">
        <is>
          <t>NSMI24060091966</t>
        </is>
      </c>
      <c r="Q677" s="53">
        <f>MID(P677,5,2)</f>
        <v/>
      </c>
      <c r="R677" s="53">
        <f>MID(P677,7,2)</f>
        <v/>
      </c>
      <c r="S677" s="3" t="inlineStr">
        <is>
          <t>G2G</t>
        </is>
      </c>
      <c r="T677" s="3" t="inlineStr">
        <is>
          <t>P4</t>
        </is>
      </c>
      <c r="U677" s="3" t="inlineStr">
        <is>
          <t>P JB Cold Soldering</t>
        </is>
      </c>
      <c r="V677" s="3" t="inlineStr">
        <is>
          <t>Soldering</t>
        </is>
      </c>
      <c r="W677" s="3" t="inlineStr">
        <is>
          <t>Repair</t>
        </is>
      </c>
      <c r="X677" s="18" t="n">
        <v>46153</v>
      </c>
      <c r="Y677" s="3">
        <f>X677-A677</f>
        <v/>
      </c>
      <c r="Z677" s="18" t="n">
        <v>46153</v>
      </c>
      <c r="AA677" s="15" t="n"/>
      <c r="AB677" s="15" t="n"/>
    </row>
    <row r="678" hidden="1" s="233">
      <c r="A678" s="6" t="n">
        <v>46107</v>
      </c>
      <c r="B678" s="3" t="n">
        <v>2026</v>
      </c>
      <c r="C678" s="3" t="inlineStr">
        <is>
          <t>Blupine</t>
        </is>
      </c>
      <c r="D678" s="3" t="inlineStr">
        <is>
          <t>Utility and C&amp;I</t>
        </is>
      </c>
      <c r="E678" s="3" t="n"/>
      <c r="F678" s="3" t="inlineStr">
        <is>
          <t>Closed</t>
        </is>
      </c>
      <c r="G678" s="3" t="inlineStr">
        <is>
          <t>Chandrashekar Patidar</t>
        </is>
      </c>
      <c r="H678" s="3" t="n">
        <v>7879764773</v>
      </c>
      <c r="I678" s="11" t="inlineStr">
        <is>
          <t>PE26032601</t>
        </is>
      </c>
      <c r="J678" s="3" t="inlineStr">
        <is>
          <t>Module Diode Failure</t>
        </is>
      </c>
      <c r="K678" s="3" t="inlineStr">
        <is>
          <t>Sadla</t>
        </is>
      </c>
      <c r="L678" s="3" t="inlineStr">
        <is>
          <t>Gujarat</t>
        </is>
      </c>
      <c r="M678" s="9" t="inlineStr">
        <is>
          <t>PNS</t>
        </is>
      </c>
      <c r="N678" s="3" t="inlineStr">
        <is>
          <t>Cold Soldering</t>
        </is>
      </c>
      <c r="O678" s="3" t="n">
        <v>570</v>
      </c>
      <c r="P678" s="9" t="inlineStr">
        <is>
          <t>NSMI24060078492</t>
        </is>
      </c>
      <c r="Q678" s="53">
        <f>MID(P678,5,2)</f>
        <v/>
      </c>
      <c r="R678" s="53">
        <f>MID(P678,7,2)</f>
        <v/>
      </c>
      <c r="S678" s="3" t="inlineStr">
        <is>
          <t>G2G</t>
        </is>
      </c>
      <c r="T678" s="3" t="inlineStr">
        <is>
          <t>P4</t>
        </is>
      </c>
      <c r="U678" s="3" t="inlineStr">
        <is>
          <t>P &amp; N JB Cold Soldering</t>
        </is>
      </c>
      <c r="V678" s="3" t="inlineStr">
        <is>
          <t>Soldering</t>
        </is>
      </c>
      <c r="W678" s="3" t="inlineStr">
        <is>
          <t>Repair</t>
        </is>
      </c>
      <c r="X678" s="18" t="n">
        <v>46153</v>
      </c>
      <c r="Y678" s="3">
        <f>X678-A678</f>
        <v/>
      </c>
      <c r="Z678" s="18" t="n">
        <v>46153</v>
      </c>
      <c r="AA678" s="15" t="n"/>
      <c r="AB678" s="15" t="n"/>
    </row>
    <row r="679" hidden="1" s="233">
      <c r="A679" s="6" t="n">
        <v>46107</v>
      </c>
      <c r="B679" s="3" t="n">
        <v>2026</v>
      </c>
      <c r="C679" s="3" t="inlineStr">
        <is>
          <t>Blupine</t>
        </is>
      </c>
      <c r="D679" s="3" t="inlineStr">
        <is>
          <t>Utility and C&amp;I</t>
        </is>
      </c>
      <c r="E679" s="3" t="n"/>
      <c r="F679" s="3" t="inlineStr">
        <is>
          <t>Closed</t>
        </is>
      </c>
      <c r="G679" s="3" t="inlineStr">
        <is>
          <t>Chandrashekar Patidar</t>
        </is>
      </c>
      <c r="H679" s="3" t="n">
        <v>7879764773</v>
      </c>
      <c r="I679" s="11" t="inlineStr">
        <is>
          <t>PE26032601</t>
        </is>
      </c>
      <c r="J679" s="3" t="inlineStr">
        <is>
          <t>Module Diode Failure</t>
        </is>
      </c>
      <c r="K679" s="3" t="inlineStr">
        <is>
          <t>Sadla</t>
        </is>
      </c>
      <c r="L679" s="3" t="inlineStr">
        <is>
          <t>Gujarat</t>
        </is>
      </c>
      <c r="M679" s="9" t="inlineStr">
        <is>
          <t>NR</t>
        </is>
      </c>
      <c r="N679" s="3" t="inlineStr">
        <is>
          <t>JB Issue</t>
        </is>
      </c>
      <c r="O679" s="3" t="n">
        <v>570</v>
      </c>
      <c r="P679" s="9" t="inlineStr">
        <is>
          <t>NSMI24060093558</t>
        </is>
      </c>
      <c r="Q679" s="53">
        <f>MID(P679,5,2)</f>
        <v/>
      </c>
      <c r="R679" s="53">
        <f>MID(P679,7,2)</f>
        <v/>
      </c>
      <c r="S679" s="3" t="inlineStr">
        <is>
          <t>G2G</t>
        </is>
      </c>
      <c r="T679" s="3" t="inlineStr">
        <is>
          <t>P4</t>
        </is>
      </c>
      <c r="U679" s="3" t="inlineStr">
        <is>
          <t>N JB Issue</t>
        </is>
      </c>
      <c r="V679" s="3" t="inlineStr">
        <is>
          <t>JB Changed</t>
        </is>
      </c>
      <c r="W679" s="3" t="inlineStr">
        <is>
          <t>Repair</t>
        </is>
      </c>
      <c r="X679" s="18" t="n">
        <v>46153</v>
      </c>
      <c r="Y679" s="3">
        <f>X679-A679</f>
        <v/>
      </c>
      <c r="Z679" s="18" t="n">
        <v>46153</v>
      </c>
      <c r="AA679" s="15" t="n"/>
      <c r="AB679" s="15" t="n"/>
    </row>
    <row r="680" hidden="1" s="233">
      <c r="A680" s="6" t="n">
        <v>46107</v>
      </c>
      <c r="B680" s="3" t="n">
        <v>2026</v>
      </c>
      <c r="C680" s="3" t="inlineStr">
        <is>
          <t>Blupine</t>
        </is>
      </c>
      <c r="D680" s="3" t="inlineStr">
        <is>
          <t>Utility and C&amp;I</t>
        </is>
      </c>
      <c r="E680" s="3" t="n"/>
      <c r="F680" s="3" t="inlineStr">
        <is>
          <t>Closed</t>
        </is>
      </c>
      <c r="G680" s="3" t="inlineStr">
        <is>
          <t>Chandrashekar Patidar</t>
        </is>
      </c>
      <c r="H680" s="3" t="n">
        <v>7879764773</v>
      </c>
      <c r="I680" s="11" t="inlineStr">
        <is>
          <t>PE26032601</t>
        </is>
      </c>
      <c r="J680" s="3" t="inlineStr">
        <is>
          <t>Module Diode Failure</t>
        </is>
      </c>
      <c r="K680" s="3" t="inlineStr">
        <is>
          <t>Sadla</t>
        </is>
      </c>
      <c r="L680" s="3" t="inlineStr">
        <is>
          <t>Gujarat</t>
        </is>
      </c>
      <c r="M680" s="9" t="inlineStr">
        <is>
          <t>NS</t>
        </is>
      </c>
      <c r="N680" s="3" t="inlineStr">
        <is>
          <t>Cold Soldering</t>
        </is>
      </c>
      <c r="O680" s="3" t="n">
        <v>570</v>
      </c>
      <c r="P680" s="9" t="inlineStr">
        <is>
          <t>NSMI24060095365</t>
        </is>
      </c>
      <c r="Q680" s="53">
        <f>MID(P680,5,2)</f>
        <v/>
      </c>
      <c r="R680" s="53">
        <f>MID(P680,7,2)</f>
        <v/>
      </c>
      <c r="S680" s="3" t="inlineStr">
        <is>
          <t>G2G</t>
        </is>
      </c>
      <c r="T680" s="3" t="inlineStr">
        <is>
          <t>P4</t>
        </is>
      </c>
      <c r="U680" s="3" t="inlineStr">
        <is>
          <t>N JB Cold Soldering</t>
        </is>
      </c>
      <c r="V680" s="3" t="inlineStr">
        <is>
          <t>Soldering</t>
        </is>
      </c>
      <c r="W680" s="3" t="inlineStr">
        <is>
          <t>Repair</t>
        </is>
      </c>
      <c r="X680" s="18" t="n">
        <v>46153</v>
      </c>
      <c r="Y680" s="3">
        <f>X680-A680</f>
        <v/>
      </c>
      <c r="Z680" s="18" t="n">
        <v>46153</v>
      </c>
      <c r="AA680" s="15" t="n"/>
      <c r="AB680" s="15" t="n"/>
    </row>
    <row r="681" hidden="1" s="233">
      <c r="A681" s="6" t="n">
        <v>46107</v>
      </c>
      <c r="B681" s="3" t="n">
        <v>2026</v>
      </c>
      <c r="C681" s="3" t="inlineStr">
        <is>
          <t>Blupine</t>
        </is>
      </c>
      <c r="D681" s="3" t="inlineStr">
        <is>
          <t>Utility and C&amp;I</t>
        </is>
      </c>
      <c r="E681" s="3" t="n"/>
      <c r="F681" s="3" t="inlineStr">
        <is>
          <t>Closed</t>
        </is>
      </c>
      <c r="G681" s="3" t="inlineStr">
        <is>
          <t>Chandrashekar Patidar</t>
        </is>
      </c>
      <c r="H681" s="3" t="n">
        <v>7879764773</v>
      </c>
      <c r="I681" s="11" t="inlineStr">
        <is>
          <t>PE26032601</t>
        </is>
      </c>
      <c r="J681" s="3" t="inlineStr">
        <is>
          <t>Module Diode Failure</t>
        </is>
      </c>
      <c r="K681" s="3" t="inlineStr">
        <is>
          <t>Sadla</t>
        </is>
      </c>
      <c r="L681" s="3" t="inlineStr">
        <is>
          <t>Gujarat</t>
        </is>
      </c>
      <c r="M681" s="9" t="inlineStr">
        <is>
          <t>PR</t>
        </is>
      </c>
      <c r="N681" s="3" t="inlineStr">
        <is>
          <t>JB Issue</t>
        </is>
      </c>
      <c r="O681" s="3" t="n">
        <v>570</v>
      </c>
      <c r="P681" s="9" t="inlineStr">
        <is>
          <t>NSMI24050049847</t>
        </is>
      </c>
      <c r="Q681" s="53">
        <f>MID(P681,5,2)</f>
        <v/>
      </c>
      <c r="R681" s="53">
        <f>MID(P681,7,2)</f>
        <v/>
      </c>
      <c r="S681" s="3" t="inlineStr">
        <is>
          <t>G2G</t>
        </is>
      </c>
      <c r="T681" s="3" t="inlineStr">
        <is>
          <t>P4</t>
        </is>
      </c>
      <c r="U681" s="3" t="inlineStr">
        <is>
          <t>P JB Issue</t>
        </is>
      </c>
      <c r="V681" s="15" t="inlineStr">
        <is>
          <t>JB Changed</t>
        </is>
      </c>
      <c r="W681" s="3" t="inlineStr">
        <is>
          <t>Repair</t>
        </is>
      </c>
      <c r="X681" s="18" t="n">
        <v>46153</v>
      </c>
      <c r="Y681" s="3">
        <f>X681-A681</f>
        <v/>
      </c>
      <c r="Z681" s="18" t="n">
        <v>46153</v>
      </c>
      <c r="AA681" s="15" t="n"/>
      <c r="AB681" s="15" t="n"/>
    </row>
    <row r="682" hidden="1" s="233">
      <c r="A682" s="6" t="n">
        <v>46107</v>
      </c>
      <c r="B682" s="3" t="n">
        <v>2026</v>
      </c>
      <c r="C682" s="3" t="inlineStr">
        <is>
          <t>Blupine</t>
        </is>
      </c>
      <c r="D682" s="3" t="inlineStr">
        <is>
          <t>Utility and C&amp;I</t>
        </is>
      </c>
      <c r="E682" s="3" t="n"/>
      <c r="F682" s="3" t="inlineStr">
        <is>
          <t>Closed</t>
        </is>
      </c>
      <c r="G682" s="3" t="inlineStr">
        <is>
          <t>Chandrashekar Patidar</t>
        </is>
      </c>
      <c r="H682" s="3" t="n">
        <v>7879764773</v>
      </c>
      <c r="I682" s="11" t="inlineStr">
        <is>
          <t>PE26032601</t>
        </is>
      </c>
      <c r="J682" s="3" t="inlineStr">
        <is>
          <t>Module Diode Failure</t>
        </is>
      </c>
      <c r="K682" s="3" t="inlineStr">
        <is>
          <t>Sadla</t>
        </is>
      </c>
      <c r="L682" s="3" t="inlineStr">
        <is>
          <t>Gujarat</t>
        </is>
      </c>
      <c r="M682" s="9" t="inlineStr">
        <is>
          <t>PS</t>
        </is>
      </c>
      <c r="N682" s="3" t="inlineStr">
        <is>
          <t>Cold Soldering</t>
        </is>
      </c>
      <c r="O682" s="3" t="n">
        <v>570</v>
      </c>
      <c r="P682" s="9" t="inlineStr">
        <is>
          <t>NSMI24050051416</t>
        </is>
      </c>
      <c r="Q682" s="53">
        <f>MID(P682,5,2)</f>
        <v/>
      </c>
      <c r="R682" s="53">
        <f>MID(P682,7,2)</f>
        <v/>
      </c>
      <c r="S682" s="3" t="inlineStr">
        <is>
          <t>G2G</t>
        </is>
      </c>
      <c r="T682" s="3" t="inlineStr">
        <is>
          <t>P4</t>
        </is>
      </c>
      <c r="U682" s="3" t="inlineStr">
        <is>
          <t>P JB Cold Soldering</t>
        </is>
      </c>
      <c r="V682" s="3" t="inlineStr">
        <is>
          <t>Soldering</t>
        </is>
      </c>
      <c r="W682" s="3" t="inlineStr">
        <is>
          <t>Repair</t>
        </is>
      </c>
      <c r="X682" s="18" t="n">
        <v>46153</v>
      </c>
      <c r="Y682" s="3">
        <f>X682-A682</f>
        <v/>
      </c>
      <c r="Z682" s="18" t="n">
        <v>46153</v>
      </c>
      <c r="AA682" s="15" t="n"/>
      <c r="AB682" s="15" t="n"/>
    </row>
    <row r="683" hidden="1" s="233">
      <c r="A683" s="6" t="n">
        <v>46107</v>
      </c>
      <c r="B683" s="3" t="n">
        <v>2026</v>
      </c>
      <c r="C683" s="3" t="inlineStr">
        <is>
          <t>Blupine</t>
        </is>
      </c>
      <c r="D683" s="3" t="inlineStr">
        <is>
          <t>Utility and C&amp;I</t>
        </is>
      </c>
      <c r="E683" s="3" t="n"/>
      <c r="F683" s="3" t="inlineStr">
        <is>
          <t>Closed</t>
        </is>
      </c>
      <c r="G683" s="3" t="inlineStr">
        <is>
          <t>Chandrashekar Patidar</t>
        </is>
      </c>
      <c r="H683" s="3" t="n">
        <v>7879764773</v>
      </c>
      <c r="I683" s="11" t="inlineStr">
        <is>
          <t>PE26032601</t>
        </is>
      </c>
      <c r="J683" s="3" t="inlineStr">
        <is>
          <t>Module Diode Failure</t>
        </is>
      </c>
      <c r="K683" s="3" t="inlineStr">
        <is>
          <t>Sadla</t>
        </is>
      </c>
      <c r="L683" s="3" t="inlineStr">
        <is>
          <t>Gujarat</t>
        </is>
      </c>
      <c r="M683" s="9" t="inlineStr">
        <is>
          <t>PS</t>
        </is>
      </c>
      <c r="N683" s="3" t="inlineStr">
        <is>
          <t>Cold Soldering</t>
        </is>
      </c>
      <c r="O683" s="3" t="n">
        <v>570</v>
      </c>
      <c r="P683" s="9" t="inlineStr">
        <is>
          <t>NSMI24060075476</t>
        </is>
      </c>
      <c r="Q683" s="53">
        <f>MID(P683,5,2)</f>
        <v/>
      </c>
      <c r="R683" s="53">
        <f>MID(P683,7,2)</f>
        <v/>
      </c>
      <c r="S683" s="3" t="inlineStr">
        <is>
          <t>G2G</t>
        </is>
      </c>
      <c r="T683" s="3" t="inlineStr">
        <is>
          <t>P4</t>
        </is>
      </c>
      <c r="U683" s="3" t="inlineStr">
        <is>
          <t>P JB Cold Soldering</t>
        </is>
      </c>
      <c r="V683" s="3" t="inlineStr">
        <is>
          <t>Soldering</t>
        </is>
      </c>
      <c r="W683" s="3" t="inlineStr">
        <is>
          <t>Repair</t>
        </is>
      </c>
      <c r="X683" s="18" t="n">
        <v>46153</v>
      </c>
      <c r="Y683" s="3">
        <f>X683-A683</f>
        <v/>
      </c>
      <c r="Z683" s="18" t="n">
        <v>46153</v>
      </c>
      <c r="AA683" s="15" t="n"/>
      <c r="AB683" s="15" t="n"/>
    </row>
    <row r="684" hidden="1" s="233">
      <c r="A684" s="6" t="n">
        <v>46107</v>
      </c>
      <c r="B684" s="3" t="n">
        <v>2026</v>
      </c>
      <c r="C684" s="3" t="inlineStr">
        <is>
          <t>Blupine</t>
        </is>
      </c>
      <c r="D684" s="3" t="inlineStr">
        <is>
          <t>Utility and C&amp;I</t>
        </is>
      </c>
      <c r="E684" s="3" t="n"/>
      <c r="F684" s="3" t="inlineStr">
        <is>
          <t>Closed</t>
        </is>
      </c>
      <c r="G684" s="3" t="inlineStr">
        <is>
          <t>Chandrashekar Patidar</t>
        </is>
      </c>
      <c r="H684" s="3" t="n">
        <v>7879764773</v>
      </c>
      <c r="I684" s="11" t="inlineStr">
        <is>
          <t>PE26032601</t>
        </is>
      </c>
      <c r="J684" s="3" t="inlineStr">
        <is>
          <t>Module Diode Failure</t>
        </is>
      </c>
      <c r="K684" s="3" t="inlineStr">
        <is>
          <t>Sadla</t>
        </is>
      </c>
      <c r="L684" s="3" t="inlineStr">
        <is>
          <t>Gujarat</t>
        </is>
      </c>
      <c r="M684" s="9" t="inlineStr">
        <is>
          <t>NS</t>
        </is>
      </c>
      <c r="N684" s="3" t="inlineStr">
        <is>
          <t>Cold Soldering</t>
        </is>
      </c>
      <c r="O684" s="3" t="n">
        <v>570</v>
      </c>
      <c r="P684" s="9" t="inlineStr">
        <is>
          <t>NSMI24050045888</t>
        </is>
      </c>
      <c r="Q684" s="53">
        <f>MID(P684,5,2)</f>
        <v/>
      </c>
      <c r="R684" s="53">
        <f>MID(P684,7,2)</f>
        <v/>
      </c>
      <c r="S684" s="3" t="inlineStr">
        <is>
          <t>G2G</t>
        </is>
      </c>
      <c r="T684" s="3" t="inlineStr">
        <is>
          <t>P4</t>
        </is>
      </c>
      <c r="U684" s="3" t="inlineStr">
        <is>
          <t>N JB Cold Soldering</t>
        </is>
      </c>
      <c r="V684" s="3" t="inlineStr">
        <is>
          <t>Soldering</t>
        </is>
      </c>
      <c r="W684" s="3" t="inlineStr">
        <is>
          <t>Repair</t>
        </is>
      </c>
      <c r="X684" s="18" t="n">
        <v>46153</v>
      </c>
      <c r="Y684" s="3">
        <f>X684-A684</f>
        <v/>
      </c>
      <c r="Z684" s="18" t="n">
        <v>46153</v>
      </c>
      <c r="AA684" s="15" t="n"/>
      <c r="AB684" s="15" t="n"/>
    </row>
    <row r="685" hidden="1" s="233">
      <c r="A685" s="6" t="n">
        <v>46107</v>
      </c>
      <c r="B685" s="3" t="n">
        <v>2026</v>
      </c>
      <c r="C685" s="3" t="inlineStr">
        <is>
          <t>Blupine</t>
        </is>
      </c>
      <c r="D685" s="3" t="inlineStr">
        <is>
          <t>Utility and C&amp;I</t>
        </is>
      </c>
      <c r="E685" s="3" t="n"/>
      <c r="F685" s="3" t="inlineStr">
        <is>
          <t>Closed</t>
        </is>
      </c>
      <c r="G685" s="3" t="inlineStr">
        <is>
          <t>Chandrashekar Patidar</t>
        </is>
      </c>
      <c r="H685" s="3" t="n">
        <v>7879764773</v>
      </c>
      <c r="I685" s="11" t="inlineStr">
        <is>
          <t>PE26032601</t>
        </is>
      </c>
      <c r="J685" s="3" t="inlineStr">
        <is>
          <t>Module Diode Failure</t>
        </is>
      </c>
      <c r="K685" s="3" t="inlineStr">
        <is>
          <t>Sadla</t>
        </is>
      </c>
      <c r="L685" s="3" t="inlineStr">
        <is>
          <t>Gujarat</t>
        </is>
      </c>
      <c r="M685" s="9" t="inlineStr">
        <is>
          <t>NS</t>
        </is>
      </c>
      <c r="N685" s="3" t="inlineStr">
        <is>
          <t>Cold Soldering</t>
        </is>
      </c>
      <c r="O685" s="3" t="n">
        <v>570</v>
      </c>
      <c r="P685" s="9" t="inlineStr">
        <is>
          <t>NSMI24050045787</t>
        </is>
      </c>
      <c r="Q685" s="53">
        <f>MID(P685,5,2)</f>
        <v/>
      </c>
      <c r="R685" s="53">
        <f>MID(P685,7,2)</f>
        <v/>
      </c>
      <c r="S685" s="3" t="inlineStr">
        <is>
          <t>G2G</t>
        </is>
      </c>
      <c r="T685" s="3" t="inlineStr">
        <is>
          <t>P4</t>
        </is>
      </c>
      <c r="U685" s="3" t="inlineStr">
        <is>
          <t>N JB Cold Soldering</t>
        </is>
      </c>
      <c r="V685" s="3" t="inlineStr">
        <is>
          <t>Soldering</t>
        </is>
      </c>
      <c r="W685" s="3" t="inlineStr">
        <is>
          <t>Repair</t>
        </is>
      </c>
      <c r="X685" s="18" t="n">
        <v>46153</v>
      </c>
      <c r="Y685" s="3">
        <f>X685-A685</f>
        <v/>
      </c>
      <c r="Z685" s="18" t="n">
        <v>46153</v>
      </c>
      <c r="AA685" s="15" t="n"/>
      <c r="AB685" s="15" t="n"/>
    </row>
    <row r="686" hidden="1" s="233">
      <c r="A686" s="6" t="n">
        <v>46107</v>
      </c>
      <c r="B686" s="3" t="n">
        <v>2026</v>
      </c>
      <c r="C686" s="3" t="inlineStr">
        <is>
          <t>Blupine</t>
        </is>
      </c>
      <c r="D686" s="3" t="inlineStr">
        <is>
          <t>Utility and C&amp;I</t>
        </is>
      </c>
      <c r="E686" s="3" t="n"/>
      <c r="F686" s="3" t="inlineStr">
        <is>
          <t>Closed</t>
        </is>
      </c>
      <c r="G686" s="3" t="inlineStr">
        <is>
          <t>Chandrashekar Patidar</t>
        </is>
      </c>
      <c r="H686" s="3" t="n">
        <v>7879764773</v>
      </c>
      <c r="I686" s="11" t="inlineStr">
        <is>
          <t>PE26032601</t>
        </is>
      </c>
      <c r="J686" s="3" t="inlineStr">
        <is>
          <t>Module Diode Failure</t>
        </is>
      </c>
      <c r="K686" s="3" t="inlineStr">
        <is>
          <t>Sadla</t>
        </is>
      </c>
      <c r="L686" s="3" t="inlineStr">
        <is>
          <t>Gujarat</t>
        </is>
      </c>
      <c r="M686" s="9" t="inlineStr">
        <is>
          <t>NS</t>
        </is>
      </c>
      <c r="N686" s="3" t="inlineStr">
        <is>
          <t>Cold Soldering</t>
        </is>
      </c>
      <c r="O686" s="3" t="n">
        <v>570</v>
      </c>
      <c r="P686" s="9" t="inlineStr">
        <is>
          <t>NSMI24050050772</t>
        </is>
      </c>
      <c r="Q686" s="53">
        <f>MID(P686,5,2)</f>
        <v/>
      </c>
      <c r="R686" s="53">
        <f>MID(P686,7,2)</f>
        <v/>
      </c>
      <c r="S686" s="3" t="inlineStr">
        <is>
          <t>G2G</t>
        </is>
      </c>
      <c r="T686" s="3" t="inlineStr">
        <is>
          <t>P4</t>
        </is>
      </c>
      <c r="U686" s="3" t="inlineStr">
        <is>
          <t>N JB Cold Soldering</t>
        </is>
      </c>
      <c r="V686" s="3" t="inlineStr">
        <is>
          <t>Soldering</t>
        </is>
      </c>
      <c r="W686" s="3" t="inlineStr">
        <is>
          <t>Repair</t>
        </is>
      </c>
      <c r="X686" s="18" t="n">
        <v>46153</v>
      </c>
      <c r="Y686" s="3">
        <f>X686-A686</f>
        <v/>
      </c>
      <c r="Z686" s="18" t="n">
        <v>46153</v>
      </c>
      <c r="AA686" s="15" t="n"/>
      <c r="AB686" s="15" t="n"/>
    </row>
    <row r="687" hidden="1" s="233">
      <c r="A687" s="6" t="n">
        <v>46107</v>
      </c>
      <c r="B687" s="3" t="n">
        <v>2026</v>
      </c>
      <c r="C687" s="3" t="inlineStr">
        <is>
          <t>Blupine</t>
        </is>
      </c>
      <c r="D687" s="3" t="inlineStr">
        <is>
          <t>Utility and C&amp;I</t>
        </is>
      </c>
      <c r="E687" s="3" t="n"/>
      <c r="F687" s="3" t="inlineStr">
        <is>
          <t>Closed</t>
        </is>
      </c>
      <c r="G687" s="3" t="inlineStr">
        <is>
          <t>Chandrashekar Patidar</t>
        </is>
      </c>
      <c r="H687" s="3" t="n">
        <v>7879764773</v>
      </c>
      <c r="I687" s="11" t="inlineStr">
        <is>
          <t>PE26032601</t>
        </is>
      </c>
      <c r="J687" s="3" t="inlineStr">
        <is>
          <t>Module Diode Failure</t>
        </is>
      </c>
      <c r="K687" s="3" t="inlineStr">
        <is>
          <t>Sadla</t>
        </is>
      </c>
      <c r="L687" s="3" t="inlineStr">
        <is>
          <t>Gujarat</t>
        </is>
      </c>
      <c r="M687" s="9" t="inlineStr">
        <is>
          <t>NS</t>
        </is>
      </c>
      <c r="N687" s="3" t="inlineStr">
        <is>
          <t>Cold Soldering</t>
        </is>
      </c>
      <c r="O687" s="3" t="n">
        <v>570</v>
      </c>
      <c r="P687" s="9" t="inlineStr">
        <is>
          <t>NSMI24050051345</t>
        </is>
      </c>
      <c r="Q687" s="53">
        <f>MID(P687,5,2)</f>
        <v/>
      </c>
      <c r="R687" s="53">
        <f>MID(P687,7,2)</f>
        <v/>
      </c>
      <c r="S687" s="3" t="inlineStr">
        <is>
          <t>G2G</t>
        </is>
      </c>
      <c r="T687" s="3" t="inlineStr">
        <is>
          <t>P4</t>
        </is>
      </c>
      <c r="U687" s="3" t="inlineStr">
        <is>
          <t>N JB Cold Soldering</t>
        </is>
      </c>
      <c r="V687" s="3" t="inlineStr">
        <is>
          <t>Soldering</t>
        </is>
      </c>
      <c r="W687" s="3" t="inlineStr">
        <is>
          <t>Repair</t>
        </is>
      </c>
      <c r="X687" s="18" t="n">
        <v>46153</v>
      </c>
      <c r="Y687" s="3">
        <f>X687-A687</f>
        <v/>
      </c>
      <c r="Z687" s="18" t="n">
        <v>46153</v>
      </c>
      <c r="AA687" s="15" t="n"/>
      <c r="AB687" s="15" t="n"/>
    </row>
    <row r="688" hidden="1" s="233">
      <c r="A688" s="6" t="n">
        <v>46107</v>
      </c>
      <c r="B688" s="3" t="n">
        <v>2026</v>
      </c>
      <c r="C688" s="3" t="inlineStr">
        <is>
          <t>Blupine</t>
        </is>
      </c>
      <c r="D688" s="3" t="inlineStr">
        <is>
          <t>Utility and C&amp;I</t>
        </is>
      </c>
      <c r="E688" s="3" t="n"/>
      <c r="F688" s="3" t="inlineStr">
        <is>
          <t>Closed</t>
        </is>
      </c>
      <c r="G688" s="3" t="inlineStr">
        <is>
          <t>Chandrashekar Patidar</t>
        </is>
      </c>
      <c r="H688" s="3" t="n">
        <v>7879764773</v>
      </c>
      <c r="I688" s="11" t="inlineStr">
        <is>
          <t>PE26032601</t>
        </is>
      </c>
      <c r="J688" s="3" t="inlineStr">
        <is>
          <t>Module Diode Failure</t>
        </is>
      </c>
      <c r="K688" s="3" t="inlineStr">
        <is>
          <t>Sadla</t>
        </is>
      </c>
      <c r="L688" s="3" t="inlineStr">
        <is>
          <t>Gujarat</t>
        </is>
      </c>
      <c r="M688" s="9" t="inlineStr">
        <is>
          <t>NS</t>
        </is>
      </c>
      <c r="N688" s="3" t="inlineStr">
        <is>
          <t>Cold Soldering</t>
        </is>
      </c>
      <c r="O688" s="3" t="n">
        <v>570</v>
      </c>
      <c r="P688" s="9" t="inlineStr">
        <is>
          <t>NSMI24050051320</t>
        </is>
      </c>
      <c r="Q688" s="53">
        <f>MID(P688,5,2)</f>
        <v/>
      </c>
      <c r="R688" s="53">
        <f>MID(P688,7,2)</f>
        <v/>
      </c>
      <c r="S688" s="3" t="inlineStr">
        <is>
          <t>G2G</t>
        </is>
      </c>
      <c r="T688" s="3" t="inlineStr">
        <is>
          <t>P4</t>
        </is>
      </c>
      <c r="U688" s="3" t="inlineStr">
        <is>
          <t>N JB Cold Soldering</t>
        </is>
      </c>
      <c r="V688" s="3" t="inlineStr">
        <is>
          <t>Soldering</t>
        </is>
      </c>
      <c r="W688" s="3" t="inlineStr">
        <is>
          <t>Repair</t>
        </is>
      </c>
      <c r="X688" s="18" t="n">
        <v>46153</v>
      </c>
      <c r="Y688" s="3">
        <f>X688-A688</f>
        <v/>
      </c>
      <c r="Z688" s="18" t="n">
        <v>46153</v>
      </c>
      <c r="AA688" s="15" t="n"/>
      <c r="AB688" s="15" t="n"/>
    </row>
    <row r="689" hidden="1" s="233">
      <c r="A689" s="6" t="n">
        <v>46107</v>
      </c>
      <c r="B689" s="3" t="n">
        <v>2026</v>
      </c>
      <c r="C689" s="3" t="inlineStr">
        <is>
          <t>Blupine</t>
        </is>
      </c>
      <c r="D689" s="3" t="inlineStr">
        <is>
          <t>Utility and C&amp;I</t>
        </is>
      </c>
      <c r="E689" s="3" t="n"/>
      <c r="F689" s="3" t="inlineStr">
        <is>
          <t>Closed</t>
        </is>
      </c>
      <c r="G689" s="3" t="inlineStr">
        <is>
          <t>Chandrashekar Patidar</t>
        </is>
      </c>
      <c r="H689" s="3" t="n">
        <v>7879764773</v>
      </c>
      <c r="I689" s="11" t="inlineStr">
        <is>
          <t>PE26032601</t>
        </is>
      </c>
      <c r="J689" s="3" t="inlineStr">
        <is>
          <t>Module Diode Failure</t>
        </is>
      </c>
      <c r="K689" s="3" t="inlineStr">
        <is>
          <t>Sadla</t>
        </is>
      </c>
      <c r="L689" s="3" t="inlineStr">
        <is>
          <t>Gujarat</t>
        </is>
      </c>
      <c r="M689" s="9" t="inlineStr">
        <is>
          <t>NS</t>
        </is>
      </c>
      <c r="N689" s="3" t="inlineStr">
        <is>
          <t>Cold Soldering</t>
        </is>
      </c>
      <c r="O689" s="3" t="n">
        <v>570</v>
      </c>
      <c r="P689" s="9" t="inlineStr">
        <is>
          <t>NSMI24060096523</t>
        </is>
      </c>
      <c r="Q689" s="53">
        <f>MID(P689,5,2)</f>
        <v/>
      </c>
      <c r="R689" s="53">
        <f>MID(P689,7,2)</f>
        <v/>
      </c>
      <c r="S689" s="3" t="inlineStr">
        <is>
          <t>G2G</t>
        </is>
      </c>
      <c r="T689" s="3" t="inlineStr">
        <is>
          <t>P4</t>
        </is>
      </c>
      <c r="U689" s="3" t="inlineStr">
        <is>
          <t>N JB Cold Soldering</t>
        </is>
      </c>
      <c r="V689" s="3" t="inlineStr">
        <is>
          <t>Soldering</t>
        </is>
      </c>
      <c r="W689" s="3" t="inlineStr">
        <is>
          <t>Repair</t>
        </is>
      </c>
      <c r="X689" s="18" t="n">
        <v>46153</v>
      </c>
      <c r="Y689" s="3">
        <f>X689-A689</f>
        <v/>
      </c>
      <c r="Z689" s="18" t="n">
        <v>46153</v>
      </c>
      <c r="AA689" s="15" t="n"/>
      <c r="AB689" s="15" t="n"/>
    </row>
    <row r="690" hidden="1" s="233">
      <c r="A690" s="6" t="n">
        <v>46107</v>
      </c>
      <c r="B690" s="3" t="n">
        <v>2026</v>
      </c>
      <c r="C690" s="3" t="inlineStr">
        <is>
          <t>Blupine</t>
        </is>
      </c>
      <c r="D690" s="3" t="inlineStr">
        <is>
          <t>Utility and C&amp;I</t>
        </is>
      </c>
      <c r="E690" s="3" t="n"/>
      <c r="F690" s="3" t="inlineStr">
        <is>
          <t>Closed</t>
        </is>
      </c>
      <c r="G690" s="3" t="inlineStr">
        <is>
          <t>Chandrashekar Patidar</t>
        </is>
      </c>
      <c r="H690" s="3" t="n">
        <v>7879764773</v>
      </c>
      <c r="I690" s="11" t="inlineStr">
        <is>
          <t>PE26032601</t>
        </is>
      </c>
      <c r="J690" s="3" t="inlineStr">
        <is>
          <t>Module Diode Failure</t>
        </is>
      </c>
      <c r="K690" s="3" t="inlineStr">
        <is>
          <t>Sadla</t>
        </is>
      </c>
      <c r="L690" s="3" t="inlineStr">
        <is>
          <t>Gujarat</t>
        </is>
      </c>
      <c r="M690" s="9" t="inlineStr">
        <is>
          <t>NS</t>
        </is>
      </c>
      <c r="N690" s="3" t="inlineStr">
        <is>
          <t>Cold Soldering</t>
        </is>
      </c>
      <c r="O690" s="3" t="n">
        <v>570</v>
      </c>
      <c r="P690" s="9" t="inlineStr">
        <is>
          <t>NSMI24060095264</t>
        </is>
      </c>
      <c r="Q690" s="53">
        <f>MID(P690,5,2)</f>
        <v/>
      </c>
      <c r="R690" s="53">
        <f>MID(P690,7,2)</f>
        <v/>
      </c>
      <c r="S690" s="3" t="inlineStr">
        <is>
          <t>G2G</t>
        </is>
      </c>
      <c r="T690" s="3" t="inlineStr">
        <is>
          <t>P4</t>
        </is>
      </c>
      <c r="U690" s="3" t="inlineStr">
        <is>
          <t>N JB Cold Soldering</t>
        </is>
      </c>
      <c r="V690" s="3" t="inlineStr">
        <is>
          <t>Soldering</t>
        </is>
      </c>
      <c r="W690" s="3" t="inlineStr">
        <is>
          <t>Repair</t>
        </is>
      </c>
      <c r="X690" s="18" t="n">
        <v>46153</v>
      </c>
      <c r="Y690" s="3">
        <f>X690-A690</f>
        <v/>
      </c>
      <c r="Z690" s="18" t="n">
        <v>46153</v>
      </c>
      <c r="AA690" s="15" t="n"/>
      <c r="AB690" s="15" t="n"/>
    </row>
    <row r="691" hidden="1" s="233">
      <c r="A691" s="6" t="n">
        <v>46107</v>
      </c>
      <c r="B691" s="3" t="n">
        <v>2026</v>
      </c>
      <c r="C691" s="3" t="inlineStr">
        <is>
          <t>Blupine</t>
        </is>
      </c>
      <c r="D691" s="3" t="inlineStr">
        <is>
          <t>Utility and C&amp;I</t>
        </is>
      </c>
      <c r="E691" s="3" t="n"/>
      <c r="F691" s="3" t="inlineStr">
        <is>
          <t>Closed</t>
        </is>
      </c>
      <c r="G691" s="3" t="inlineStr">
        <is>
          <t>Chandrashekar Patidar</t>
        </is>
      </c>
      <c r="H691" s="3" t="n">
        <v>7879764773</v>
      </c>
      <c r="I691" s="11" t="inlineStr">
        <is>
          <t>PE26032601</t>
        </is>
      </c>
      <c r="J691" s="3" t="inlineStr">
        <is>
          <t>Module Diode Failure</t>
        </is>
      </c>
      <c r="K691" s="3" t="inlineStr">
        <is>
          <t>Sadla</t>
        </is>
      </c>
      <c r="L691" s="3" t="inlineStr">
        <is>
          <t>Gujarat</t>
        </is>
      </c>
      <c r="M691" s="9" t="inlineStr">
        <is>
          <t>PS</t>
        </is>
      </c>
      <c r="N691" s="3" t="inlineStr">
        <is>
          <t>Cold Soldering</t>
        </is>
      </c>
      <c r="O691" s="3" t="n">
        <v>570</v>
      </c>
      <c r="P691" s="9" t="inlineStr">
        <is>
          <t>NSMI24060092916</t>
        </is>
      </c>
      <c r="Q691" s="53">
        <f>MID(P691,5,2)</f>
        <v/>
      </c>
      <c r="R691" s="53">
        <f>MID(P691,7,2)</f>
        <v/>
      </c>
      <c r="S691" s="3" t="inlineStr">
        <is>
          <t>G2G</t>
        </is>
      </c>
      <c r="T691" s="3" t="inlineStr">
        <is>
          <t>P4</t>
        </is>
      </c>
      <c r="U691" s="3" t="inlineStr">
        <is>
          <t>P JB Cold Soldering</t>
        </is>
      </c>
      <c r="V691" s="3" t="inlineStr">
        <is>
          <t>Soldering</t>
        </is>
      </c>
      <c r="W691" s="3" t="inlineStr">
        <is>
          <t>Repair</t>
        </is>
      </c>
      <c r="X691" s="18" t="n">
        <v>46153</v>
      </c>
      <c r="Y691" s="3">
        <f>X691-A691</f>
        <v/>
      </c>
      <c r="Z691" s="18" t="n">
        <v>46153</v>
      </c>
      <c r="AA691" s="15" t="n"/>
      <c r="AB691" s="15" t="n"/>
    </row>
    <row r="692" hidden="1" s="233">
      <c r="A692" s="6" t="n">
        <v>46107</v>
      </c>
      <c r="B692" s="3" t="n">
        <v>2026</v>
      </c>
      <c r="C692" s="3" t="inlineStr">
        <is>
          <t>Blupine</t>
        </is>
      </c>
      <c r="D692" s="3" t="inlineStr">
        <is>
          <t>Utility and C&amp;I</t>
        </is>
      </c>
      <c r="E692" s="3" t="n"/>
      <c r="F692" s="3" t="inlineStr">
        <is>
          <t>Closed</t>
        </is>
      </c>
      <c r="G692" s="3" t="inlineStr">
        <is>
          <t>Chandrashekar Patidar</t>
        </is>
      </c>
      <c r="H692" s="3" t="n">
        <v>7879764773</v>
      </c>
      <c r="I692" s="11" t="inlineStr">
        <is>
          <t>PE26032601</t>
        </is>
      </c>
      <c r="J692" s="3" t="inlineStr">
        <is>
          <t>Module Diode Failure</t>
        </is>
      </c>
      <c r="K692" s="3" t="inlineStr">
        <is>
          <t>Sadla</t>
        </is>
      </c>
      <c r="L692" s="3" t="inlineStr">
        <is>
          <t>Gujarat</t>
        </is>
      </c>
      <c r="M692" s="9" t="inlineStr">
        <is>
          <t>NS</t>
        </is>
      </c>
      <c r="N692" s="3" t="inlineStr">
        <is>
          <t>Cold Soldering</t>
        </is>
      </c>
      <c r="O692" s="3" t="n">
        <v>570</v>
      </c>
      <c r="P692" s="9" t="inlineStr">
        <is>
          <t>NSMI24060095158</t>
        </is>
      </c>
      <c r="Q692" s="53">
        <f>MID(P692,5,2)</f>
        <v/>
      </c>
      <c r="R692" s="53">
        <f>MID(P692,7,2)</f>
        <v/>
      </c>
      <c r="S692" s="3" t="inlineStr">
        <is>
          <t>G2G</t>
        </is>
      </c>
      <c r="T692" s="3" t="inlineStr">
        <is>
          <t>P4</t>
        </is>
      </c>
      <c r="U692" s="3" t="inlineStr">
        <is>
          <t>N JB Cold Soldering</t>
        </is>
      </c>
      <c r="V692" s="3" t="inlineStr">
        <is>
          <t>Soldering</t>
        </is>
      </c>
      <c r="W692" s="3" t="inlineStr">
        <is>
          <t>Repair</t>
        </is>
      </c>
      <c r="X692" s="18" t="n">
        <v>46153</v>
      </c>
      <c r="Y692" s="3">
        <f>X692-A692</f>
        <v/>
      </c>
      <c r="Z692" s="18" t="n">
        <v>46153</v>
      </c>
      <c r="AA692" s="15" t="n"/>
      <c r="AB692" s="15" t="n"/>
    </row>
    <row r="693" hidden="1" s="233">
      <c r="A693" s="6" t="n">
        <v>46107</v>
      </c>
      <c r="B693" s="3" t="n">
        <v>2026</v>
      </c>
      <c r="C693" s="3" t="inlineStr">
        <is>
          <t>Blupine</t>
        </is>
      </c>
      <c r="D693" s="3" t="inlineStr">
        <is>
          <t>Utility and C&amp;I</t>
        </is>
      </c>
      <c r="E693" s="3" t="n"/>
      <c r="F693" s="3" t="inlineStr">
        <is>
          <t>Closed</t>
        </is>
      </c>
      <c r="G693" s="3" t="inlineStr">
        <is>
          <t>Chandrashekar Patidar</t>
        </is>
      </c>
      <c r="H693" s="3" t="n">
        <v>7879764773</v>
      </c>
      <c r="I693" s="11" t="inlineStr">
        <is>
          <t>PE26032601</t>
        </is>
      </c>
      <c r="J693" s="3" t="inlineStr">
        <is>
          <t>Module Diode Failure</t>
        </is>
      </c>
      <c r="K693" s="3" t="inlineStr">
        <is>
          <t>Sadla</t>
        </is>
      </c>
      <c r="L693" s="3" t="inlineStr">
        <is>
          <t>Gujarat</t>
        </is>
      </c>
      <c r="M693" s="9" t="inlineStr">
        <is>
          <t>NS</t>
        </is>
      </c>
      <c r="N693" s="3" t="inlineStr">
        <is>
          <t>Cold Soldering</t>
        </is>
      </c>
      <c r="O693" s="3" t="n">
        <v>570</v>
      </c>
      <c r="P693" s="9" t="inlineStr">
        <is>
          <t>NSMI24060094461</t>
        </is>
      </c>
      <c r="Q693" s="53">
        <f>MID(P693,5,2)</f>
        <v/>
      </c>
      <c r="R693" s="53">
        <f>MID(P693,7,2)</f>
        <v/>
      </c>
      <c r="S693" s="3" t="inlineStr">
        <is>
          <t>G2G</t>
        </is>
      </c>
      <c r="T693" s="3" t="inlineStr">
        <is>
          <t>P4</t>
        </is>
      </c>
      <c r="U693" s="3" t="inlineStr">
        <is>
          <t>N JB Cold Soldering</t>
        </is>
      </c>
      <c r="V693" s="3" t="inlineStr">
        <is>
          <t>Soldering</t>
        </is>
      </c>
      <c r="W693" s="3" t="inlineStr">
        <is>
          <t>Repair</t>
        </is>
      </c>
      <c r="X693" s="18" t="n">
        <v>46153</v>
      </c>
      <c r="Y693" s="3">
        <f>X693-A693</f>
        <v/>
      </c>
      <c r="Z693" s="18" t="n">
        <v>46153</v>
      </c>
      <c r="AA693" s="15" t="n"/>
      <c r="AB693" s="15" t="n"/>
    </row>
    <row r="694" hidden="1" s="233">
      <c r="A694" s="6" t="n">
        <v>46107</v>
      </c>
      <c r="B694" s="3" t="n">
        <v>2026</v>
      </c>
      <c r="C694" s="3" t="inlineStr">
        <is>
          <t>Blupine</t>
        </is>
      </c>
      <c r="D694" s="3" t="inlineStr">
        <is>
          <t>Utility and C&amp;I</t>
        </is>
      </c>
      <c r="E694" s="3" t="n"/>
      <c r="F694" s="3" t="inlineStr">
        <is>
          <t>Closed</t>
        </is>
      </c>
      <c r="G694" s="3" t="inlineStr">
        <is>
          <t>Chandrashekar Patidar</t>
        </is>
      </c>
      <c r="H694" s="3" t="n">
        <v>7879764773</v>
      </c>
      <c r="I694" s="11" t="inlineStr">
        <is>
          <t>PE26032601</t>
        </is>
      </c>
      <c r="J694" s="3" t="inlineStr">
        <is>
          <t>Module Diode Failure</t>
        </is>
      </c>
      <c r="K694" s="3" t="inlineStr">
        <is>
          <t>Sadla</t>
        </is>
      </c>
      <c r="L694" s="3" t="inlineStr">
        <is>
          <t>Gujarat</t>
        </is>
      </c>
      <c r="M694" s="9" t="inlineStr">
        <is>
          <t>PS</t>
        </is>
      </c>
      <c r="N694" s="3" t="inlineStr">
        <is>
          <t>Cold Soldering</t>
        </is>
      </c>
      <c r="O694" s="3" t="n">
        <v>570</v>
      </c>
      <c r="P694" s="9" t="inlineStr">
        <is>
          <t>NSMI24050066874</t>
        </is>
      </c>
      <c r="Q694" s="53">
        <f>MID(P694,5,2)</f>
        <v/>
      </c>
      <c r="R694" s="53">
        <f>MID(P694,7,2)</f>
        <v/>
      </c>
      <c r="S694" s="3" t="inlineStr">
        <is>
          <t>G2G</t>
        </is>
      </c>
      <c r="T694" s="3" t="inlineStr">
        <is>
          <t>P4</t>
        </is>
      </c>
      <c r="U694" s="3" t="inlineStr">
        <is>
          <t>P JB Cold Soldering</t>
        </is>
      </c>
      <c r="V694" s="3" t="inlineStr">
        <is>
          <t>Soldering</t>
        </is>
      </c>
      <c r="W694" s="3" t="inlineStr">
        <is>
          <t>Repair</t>
        </is>
      </c>
      <c r="X694" s="18" t="n">
        <v>46153</v>
      </c>
      <c r="Y694" s="3">
        <f>X694-A694</f>
        <v/>
      </c>
      <c r="Z694" s="18" t="n">
        <v>46153</v>
      </c>
      <c r="AA694" s="15" t="n"/>
      <c r="AB694" s="15" t="n"/>
    </row>
    <row r="695" hidden="1" s="233">
      <c r="A695" s="6" t="n">
        <v>46107</v>
      </c>
      <c r="B695" s="3" t="n">
        <v>2026</v>
      </c>
      <c r="C695" s="3" t="inlineStr">
        <is>
          <t>Blupine</t>
        </is>
      </c>
      <c r="D695" s="3" t="inlineStr">
        <is>
          <t>Utility and C&amp;I</t>
        </is>
      </c>
      <c r="E695" s="3" t="n"/>
      <c r="F695" s="3" t="inlineStr">
        <is>
          <t>Closed</t>
        </is>
      </c>
      <c r="G695" s="3" t="inlineStr">
        <is>
          <t>Chandrashekar Patidar</t>
        </is>
      </c>
      <c r="H695" s="3" t="n">
        <v>7879764773</v>
      </c>
      <c r="I695" s="11" t="inlineStr">
        <is>
          <t>PE26032601</t>
        </is>
      </c>
      <c r="J695" s="3" t="inlineStr">
        <is>
          <t>Module Diode Failure</t>
        </is>
      </c>
      <c r="K695" s="3" t="inlineStr">
        <is>
          <t>Sadla</t>
        </is>
      </c>
      <c r="L695" s="3" t="inlineStr">
        <is>
          <t>Gujarat</t>
        </is>
      </c>
      <c r="M695" s="9" t="inlineStr">
        <is>
          <t>NS</t>
        </is>
      </c>
      <c r="N695" s="3" t="inlineStr">
        <is>
          <t>Cold Soldering</t>
        </is>
      </c>
      <c r="O695" s="3" t="n">
        <v>570</v>
      </c>
      <c r="P695" s="9" t="inlineStr">
        <is>
          <t>NSMI24050066866</t>
        </is>
      </c>
      <c r="Q695" s="53">
        <f>MID(P695,5,2)</f>
        <v/>
      </c>
      <c r="R695" s="53">
        <f>MID(P695,7,2)</f>
        <v/>
      </c>
      <c r="S695" s="3" t="inlineStr">
        <is>
          <t>G2G</t>
        </is>
      </c>
      <c r="T695" s="3" t="inlineStr">
        <is>
          <t>P4</t>
        </is>
      </c>
      <c r="U695" s="3" t="inlineStr">
        <is>
          <t>N JB Cold Soldering</t>
        </is>
      </c>
      <c r="V695" s="3" t="inlineStr">
        <is>
          <t>Soldering</t>
        </is>
      </c>
      <c r="W695" s="3" t="inlineStr">
        <is>
          <t>Repair</t>
        </is>
      </c>
      <c r="X695" s="18" t="n">
        <v>46153</v>
      </c>
      <c r="Y695" s="3">
        <f>X695-A695</f>
        <v/>
      </c>
      <c r="Z695" s="18" t="n">
        <v>46153</v>
      </c>
      <c r="AA695" s="15" t="n"/>
      <c r="AB695" s="15" t="n"/>
    </row>
    <row r="696" hidden="1" s="233">
      <c r="A696" s="6" t="n">
        <v>46107</v>
      </c>
      <c r="B696" s="3" t="n">
        <v>2026</v>
      </c>
      <c r="C696" s="3" t="inlineStr">
        <is>
          <t>Blupine</t>
        </is>
      </c>
      <c r="D696" s="3" t="inlineStr">
        <is>
          <t>Utility and C&amp;I</t>
        </is>
      </c>
      <c r="E696" s="3" t="n"/>
      <c r="F696" s="3" t="inlineStr">
        <is>
          <t>Closed</t>
        </is>
      </c>
      <c r="G696" s="3" t="inlineStr">
        <is>
          <t>Chandrashekar Patidar</t>
        </is>
      </c>
      <c r="H696" s="3" t="n">
        <v>7879764773</v>
      </c>
      <c r="I696" s="11" t="inlineStr">
        <is>
          <t>PE26032601</t>
        </is>
      </c>
      <c r="J696" s="3" t="inlineStr">
        <is>
          <t>Module Diode Failure</t>
        </is>
      </c>
      <c r="K696" s="3" t="inlineStr">
        <is>
          <t>Sadla</t>
        </is>
      </c>
      <c r="L696" s="3" t="inlineStr">
        <is>
          <t>Gujarat</t>
        </is>
      </c>
      <c r="M696" s="9" t="inlineStr">
        <is>
          <t>NS</t>
        </is>
      </c>
      <c r="N696" s="3" t="inlineStr">
        <is>
          <t>Cold Soldering</t>
        </is>
      </c>
      <c r="O696" s="3" t="n">
        <v>570</v>
      </c>
      <c r="P696" s="9" t="inlineStr">
        <is>
          <t>NSMI24050048332</t>
        </is>
      </c>
      <c r="Q696" s="53">
        <f>MID(P696,5,2)</f>
        <v/>
      </c>
      <c r="R696" s="53">
        <f>MID(P696,7,2)</f>
        <v/>
      </c>
      <c r="S696" s="3" t="inlineStr">
        <is>
          <t>G2G</t>
        </is>
      </c>
      <c r="T696" s="3" t="inlineStr">
        <is>
          <t>P4</t>
        </is>
      </c>
      <c r="U696" s="3" t="inlineStr">
        <is>
          <t>N JB Cold Soldering</t>
        </is>
      </c>
      <c r="V696" s="3" t="inlineStr">
        <is>
          <t>Soldering</t>
        </is>
      </c>
      <c r="W696" s="3" t="inlineStr">
        <is>
          <t>Repair</t>
        </is>
      </c>
      <c r="X696" s="18" t="n">
        <v>46153</v>
      </c>
      <c r="Y696" s="3">
        <f>X696-A696</f>
        <v/>
      </c>
      <c r="Z696" s="18" t="n">
        <v>46153</v>
      </c>
      <c r="AA696" s="15" t="n"/>
      <c r="AB696" s="15" t="n"/>
    </row>
    <row r="697" hidden="1" s="233">
      <c r="A697" s="6" t="n">
        <v>46107</v>
      </c>
      <c r="B697" s="3" t="n">
        <v>2026</v>
      </c>
      <c r="C697" s="3" t="inlineStr">
        <is>
          <t>Blupine</t>
        </is>
      </c>
      <c r="D697" s="3" t="inlineStr">
        <is>
          <t>Utility and C&amp;I</t>
        </is>
      </c>
      <c r="E697" s="3" t="n"/>
      <c r="F697" s="3" t="inlineStr">
        <is>
          <t>Closed</t>
        </is>
      </c>
      <c r="G697" s="3" t="inlineStr">
        <is>
          <t>Chandrashekar Patidar</t>
        </is>
      </c>
      <c r="H697" s="3" t="n">
        <v>7879764773</v>
      </c>
      <c r="I697" s="11" t="inlineStr">
        <is>
          <t>PE26032601</t>
        </is>
      </c>
      <c r="J697" s="3" t="inlineStr">
        <is>
          <t>Module Diode Failure</t>
        </is>
      </c>
      <c r="K697" s="3" t="inlineStr">
        <is>
          <t>Sadla</t>
        </is>
      </c>
      <c r="L697" s="3" t="inlineStr">
        <is>
          <t>Gujarat</t>
        </is>
      </c>
      <c r="M697" s="9" t="inlineStr">
        <is>
          <t>PS</t>
        </is>
      </c>
      <c r="N697" s="3" t="inlineStr">
        <is>
          <t>Cold Soldering</t>
        </is>
      </c>
      <c r="O697" s="3" t="n">
        <v>570</v>
      </c>
      <c r="P697" s="9" t="inlineStr">
        <is>
          <t>NSMI24060077781</t>
        </is>
      </c>
      <c r="Q697" s="53">
        <f>MID(P697,5,2)</f>
        <v/>
      </c>
      <c r="R697" s="53">
        <f>MID(P697,7,2)</f>
        <v/>
      </c>
      <c r="S697" s="3" t="inlineStr">
        <is>
          <t>G2G</t>
        </is>
      </c>
      <c r="T697" s="3" t="inlineStr">
        <is>
          <t>P4</t>
        </is>
      </c>
      <c r="U697" s="3" t="inlineStr">
        <is>
          <t>P JB Cold Soldering</t>
        </is>
      </c>
      <c r="V697" s="3" t="inlineStr">
        <is>
          <t>Soldering</t>
        </is>
      </c>
      <c r="W697" s="3" t="inlineStr">
        <is>
          <t>Repair</t>
        </is>
      </c>
      <c r="X697" s="18" t="n">
        <v>46153</v>
      </c>
      <c r="Y697" s="3">
        <f>X697-A697</f>
        <v/>
      </c>
      <c r="Z697" s="18" t="n">
        <v>46153</v>
      </c>
      <c r="AA697" s="15" t="n"/>
      <c r="AB697" s="15" t="n"/>
    </row>
    <row r="698" hidden="1" s="233">
      <c r="A698" s="6" t="n">
        <v>46107</v>
      </c>
      <c r="B698" s="3" t="n">
        <v>2026</v>
      </c>
      <c r="C698" s="3" t="inlineStr">
        <is>
          <t>Blupine</t>
        </is>
      </c>
      <c r="D698" s="3" t="inlineStr">
        <is>
          <t>Utility and C&amp;I</t>
        </is>
      </c>
      <c r="E698" s="3" t="n"/>
      <c r="F698" s="3" t="inlineStr">
        <is>
          <t>Closed</t>
        </is>
      </c>
      <c r="G698" s="3" t="inlineStr">
        <is>
          <t>Chandrashekar Patidar</t>
        </is>
      </c>
      <c r="H698" s="3" t="n">
        <v>7879764773</v>
      </c>
      <c r="I698" s="11" t="inlineStr">
        <is>
          <t>PE26032601</t>
        </is>
      </c>
      <c r="J698" s="3" t="inlineStr">
        <is>
          <t>Module Diode Failure</t>
        </is>
      </c>
      <c r="K698" s="3" t="inlineStr">
        <is>
          <t>Sadla</t>
        </is>
      </c>
      <c r="L698" s="3" t="inlineStr">
        <is>
          <t>Gujarat</t>
        </is>
      </c>
      <c r="M698" s="9" t="inlineStr">
        <is>
          <t>PS</t>
        </is>
      </c>
      <c r="N698" s="3" t="inlineStr">
        <is>
          <t>Cold Soldering</t>
        </is>
      </c>
      <c r="O698" s="3" t="n">
        <v>570</v>
      </c>
      <c r="P698" s="9" t="inlineStr">
        <is>
          <t>NSMI24060077488</t>
        </is>
      </c>
      <c r="Q698" s="53">
        <f>MID(P698,5,2)</f>
        <v/>
      </c>
      <c r="R698" s="53">
        <f>MID(P698,7,2)</f>
        <v/>
      </c>
      <c r="S698" s="3" t="inlineStr">
        <is>
          <t>G2G</t>
        </is>
      </c>
      <c r="T698" s="3" t="inlineStr">
        <is>
          <t>P4</t>
        </is>
      </c>
      <c r="U698" s="3" t="inlineStr">
        <is>
          <t>P JB Cold Soldering</t>
        </is>
      </c>
      <c r="V698" s="3" t="inlineStr">
        <is>
          <t>Soldering</t>
        </is>
      </c>
      <c r="W698" s="3" t="inlineStr">
        <is>
          <t>Repair</t>
        </is>
      </c>
      <c r="X698" s="18" t="n">
        <v>46153</v>
      </c>
      <c r="Y698" s="3">
        <f>X698-A698</f>
        <v/>
      </c>
      <c r="Z698" s="18" t="n">
        <v>46153</v>
      </c>
      <c r="AA698" s="15" t="n"/>
      <c r="AB698" s="15" t="n"/>
    </row>
    <row r="699" hidden="1" s="233">
      <c r="A699" s="6" t="n">
        <v>46107</v>
      </c>
      <c r="B699" s="3" t="n">
        <v>2026</v>
      </c>
      <c r="C699" s="3" t="inlineStr">
        <is>
          <t>Blupine</t>
        </is>
      </c>
      <c r="D699" s="3" t="inlineStr">
        <is>
          <t>Utility and C&amp;I</t>
        </is>
      </c>
      <c r="E699" s="3" t="n"/>
      <c r="F699" s="3" t="inlineStr">
        <is>
          <t>Closed</t>
        </is>
      </c>
      <c r="G699" s="3" t="inlineStr">
        <is>
          <t>Chandrashekar Patidar</t>
        </is>
      </c>
      <c r="H699" s="3" t="n">
        <v>7879764773</v>
      </c>
      <c r="I699" s="11" t="inlineStr">
        <is>
          <t>PE26032601</t>
        </is>
      </c>
      <c r="J699" s="3" t="inlineStr">
        <is>
          <t>Module Diode Failure</t>
        </is>
      </c>
      <c r="K699" s="3" t="inlineStr">
        <is>
          <t>Sadla</t>
        </is>
      </c>
      <c r="L699" s="3" t="inlineStr">
        <is>
          <t>Gujarat</t>
        </is>
      </c>
      <c r="M699" s="9" t="inlineStr">
        <is>
          <t>PS</t>
        </is>
      </c>
      <c r="N699" s="3" t="inlineStr">
        <is>
          <t>Cold Soldering</t>
        </is>
      </c>
      <c r="O699" s="3" t="n">
        <v>570</v>
      </c>
      <c r="P699" s="9" t="inlineStr">
        <is>
          <t>NSMI24060093742</t>
        </is>
      </c>
      <c r="Q699" s="53">
        <f>MID(P699,5,2)</f>
        <v/>
      </c>
      <c r="R699" s="53">
        <f>MID(P699,7,2)</f>
        <v/>
      </c>
      <c r="S699" s="3" t="inlineStr">
        <is>
          <t>G2G</t>
        </is>
      </c>
      <c r="T699" s="3" t="inlineStr">
        <is>
          <t>P4</t>
        </is>
      </c>
      <c r="U699" s="3" t="inlineStr">
        <is>
          <t>P JB Cold Soldering</t>
        </is>
      </c>
      <c r="V699" s="3" t="inlineStr">
        <is>
          <t>Soldering</t>
        </is>
      </c>
      <c r="W699" s="3" t="inlineStr">
        <is>
          <t>Repair</t>
        </is>
      </c>
      <c r="X699" s="18" t="n">
        <v>46153</v>
      </c>
      <c r="Y699" s="3">
        <f>X699-A699</f>
        <v/>
      </c>
      <c r="Z699" s="18" t="n">
        <v>46153</v>
      </c>
      <c r="AA699" s="15" t="n"/>
      <c r="AB699" s="15" t="n"/>
    </row>
    <row r="700" hidden="1" s="233">
      <c r="A700" s="6" t="n">
        <v>46107</v>
      </c>
      <c r="B700" s="3" t="n">
        <v>2026</v>
      </c>
      <c r="C700" s="3" t="inlineStr">
        <is>
          <t>Blupine</t>
        </is>
      </c>
      <c r="D700" s="3" t="inlineStr">
        <is>
          <t>Utility and C&amp;I</t>
        </is>
      </c>
      <c r="E700" s="3" t="n"/>
      <c r="F700" s="3" t="inlineStr">
        <is>
          <t>Closed</t>
        </is>
      </c>
      <c r="G700" s="3" t="inlineStr">
        <is>
          <t>Chandrashekar Patidar</t>
        </is>
      </c>
      <c r="H700" s="3" t="n">
        <v>7879764773</v>
      </c>
      <c r="I700" s="11" t="inlineStr">
        <is>
          <t>PE26032601</t>
        </is>
      </c>
      <c r="J700" s="3" t="inlineStr">
        <is>
          <t>Module Diode Failure</t>
        </is>
      </c>
      <c r="K700" s="3" t="inlineStr">
        <is>
          <t>Sadla</t>
        </is>
      </c>
      <c r="L700" s="3" t="inlineStr">
        <is>
          <t>Gujarat</t>
        </is>
      </c>
      <c r="M700" s="9" t="inlineStr">
        <is>
          <t>PS</t>
        </is>
      </c>
      <c r="N700" s="3" t="inlineStr">
        <is>
          <t>Cold Soldering</t>
        </is>
      </c>
      <c r="O700" s="3" t="n">
        <v>570</v>
      </c>
      <c r="P700" s="9" t="inlineStr">
        <is>
          <t>NSMI24050062813</t>
        </is>
      </c>
      <c r="Q700" s="53">
        <f>MID(P700,5,2)</f>
        <v/>
      </c>
      <c r="R700" s="53">
        <f>MID(P700,7,2)</f>
        <v/>
      </c>
      <c r="S700" s="3" t="inlineStr">
        <is>
          <t>G2G</t>
        </is>
      </c>
      <c r="T700" s="3" t="inlineStr">
        <is>
          <t>P4</t>
        </is>
      </c>
      <c r="U700" s="3" t="inlineStr">
        <is>
          <t>P JB Cold Soldering</t>
        </is>
      </c>
      <c r="V700" s="3" t="inlineStr">
        <is>
          <t>Soldering</t>
        </is>
      </c>
      <c r="W700" s="3" t="inlineStr">
        <is>
          <t>Repair</t>
        </is>
      </c>
      <c r="X700" s="18" t="n">
        <v>46153</v>
      </c>
      <c r="Y700" s="3">
        <f>X700-A700</f>
        <v/>
      </c>
      <c r="Z700" s="18" t="n">
        <v>46153</v>
      </c>
      <c r="AA700" s="15" t="n"/>
      <c r="AB700" s="15" t="n"/>
    </row>
    <row r="701" hidden="1" s="233">
      <c r="A701" s="6" t="n">
        <v>46107</v>
      </c>
      <c r="B701" s="3" t="n">
        <v>2026</v>
      </c>
      <c r="C701" s="3" t="inlineStr">
        <is>
          <t>Blupine</t>
        </is>
      </c>
      <c r="D701" s="3" t="inlineStr">
        <is>
          <t>Utility and C&amp;I</t>
        </is>
      </c>
      <c r="E701" s="3" t="n"/>
      <c r="F701" s="3" t="inlineStr">
        <is>
          <t>Closed</t>
        </is>
      </c>
      <c r="G701" s="3" t="inlineStr">
        <is>
          <t>Chandrashekar Patidar</t>
        </is>
      </c>
      <c r="H701" s="3" t="n">
        <v>7879764773</v>
      </c>
      <c r="I701" s="11" t="inlineStr">
        <is>
          <t>PE26032601</t>
        </is>
      </c>
      <c r="J701" s="3" t="inlineStr">
        <is>
          <t>Module Diode Failure</t>
        </is>
      </c>
      <c r="K701" s="3" t="inlineStr">
        <is>
          <t>Sadla</t>
        </is>
      </c>
      <c r="L701" s="3" t="inlineStr">
        <is>
          <t>Gujarat</t>
        </is>
      </c>
      <c r="M701" s="9" t="inlineStr">
        <is>
          <t>PS</t>
        </is>
      </c>
      <c r="N701" s="3" t="inlineStr">
        <is>
          <t>Cold Soldering</t>
        </is>
      </c>
      <c r="O701" s="3" t="n">
        <v>570</v>
      </c>
      <c r="P701" s="9" t="inlineStr">
        <is>
          <t>NSMI24060079406</t>
        </is>
      </c>
      <c r="Q701" s="53">
        <f>MID(P701,5,2)</f>
        <v/>
      </c>
      <c r="R701" s="53">
        <f>MID(P701,7,2)</f>
        <v/>
      </c>
      <c r="S701" s="3" t="inlineStr">
        <is>
          <t>G2G</t>
        </is>
      </c>
      <c r="T701" s="3" t="inlineStr">
        <is>
          <t>P4</t>
        </is>
      </c>
      <c r="U701" s="3" t="inlineStr">
        <is>
          <t>P JB Cold Soldering</t>
        </is>
      </c>
      <c r="V701" s="3" t="inlineStr">
        <is>
          <t>Soldering</t>
        </is>
      </c>
      <c r="W701" s="3" t="inlineStr">
        <is>
          <t>Repair</t>
        </is>
      </c>
      <c r="X701" s="18" t="n">
        <v>46153</v>
      </c>
      <c r="Y701" s="3">
        <f>X701-A701</f>
        <v/>
      </c>
      <c r="Z701" s="18" t="n">
        <v>46153</v>
      </c>
      <c r="AA701" s="15" t="n"/>
      <c r="AB701" s="15" t="n"/>
    </row>
    <row r="702" hidden="1" s="233">
      <c r="A702" s="6" t="n">
        <v>46107</v>
      </c>
      <c r="B702" s="3" t="n">
        <v>2026</v>
      </c>
      <c r="C702" s="3" t="inlineStr">
        <is>
          <t>Blupine</t>
        </is>
      </c>
      <c r="D702" s="3" t="inlineStr">
        <is>
          <t>Utility and C&amp;I</t>
        </is>
      </c>
      <c r="E702" s="3" t="n"/>
      <c r="F702" s="3" t="inlineStr">
        <is>
          <t>Closed</t>
        </is>
      </c>
      <c r="G702" s="3" t="inlineStr">
        <is>
          <t>Chandrashekar Patidar</t>
        </is>
      </c>
      <c r="H702" s="3" t="n">
        <v>7879764773</v>
      </c>
      <c r="I702" s="11" t="inlineStr">
        <is>
          <t>PE26032601</t>
        </is>
      </c>
      <c r="J702" s="3" t="inlineStr">
        <is>
          <t>Module Diode Failure</t>
        </is>
      </c>
      <c r="K702" s="3" t="inlineStr">
        <is>
          <t>Sadla</t>
        </is>
      </c>
      <c r="L702" s="3" t="inlineStr">
        <is>
          <t>Gujarat</t>
        </is>
      </c>
      <c r="M702" s="9" t="inlineStr">
        <is>
          <t>PS</t>
        </is>
      </c>
      <c r="N702" s="3" t="inlineStr">
        <is>
          <t>Cold Soldering</t>
        </is>
      </c>
      <c r="O702" s="3" t="n">
        <v>570</v>
      </c>
      <c r="P702" s="9" t="inlineStr">
        <is>
          <t>NSMI24060079480</t>
        </is>
      </c>
      <c r="Q702" s="53">
        <f>MID(P702,5,2)</f>
        <v/>
      </c>
      <c r="R702" s="53">
        <f>MID(P702,7,2)</f>
        <v/>
      </c>
      <c r="S702" s="3" t="inlineStr">
        <is>
          <t>G2G</t>
        </is>
      </c>
      <c r="T702" s="3" t="inlineStr">
        <is>
          <t>P4</t>
        </is>
      </c>
      <c r="U702" s="3" t="inlineStr">
        <is>
          <t>P JB Cold Soldering</t>
        </is>
      </c>
      <c r="V702" s="3" t="inlineStr">
        <is>
          <t>Soldering</t>
        </is>
      </c>
      <c r="W702" s="3" t="inlineStr">
        <is>
          <t>Repair</t>
        </is>
      </c>
      <c r="X702" s="18" t="n">
        <v>46153</v>
      </c>
      <c r="Y702" s="3">
        <f>X702-A702</f>
        <v/>
      </c>
      <c r="Z702" s="18" t="n">
        <v>46153</v>
      </c>
      <c r="AA702" s="15" t="n"/>
      <c r="AB702" s="15" t="n"/>
    </row>
    <row r="703" hidden="1" s="233">
      <c r="A703" s="6" t="n">
        <v>46107</v>
      </c>
      <c r="B703" s="3" t="n">
        <v>2026</v>
      </c>
      <c r="C703" s="3" t="inlineStr">
        <is>
          <t>Blupine</t>
        </is>
      </c>
      <c r="D703" s="3" t="inlineStr">
        <is>
          <t>Utility and C&amp;I</t>
        </is>
      </c>
      <c r="E703" s="3" t="n"/>
      <c r="F703" s="3" t="inlineStr">
        <is>
          <t>Closed</t>
        </is>
      </c>
      <c r="G703" s="3" t="inlineStr">
        <is>
          <t>Chandrashekar Patidar</t>
        </is>
      </c>
      <c r="H703" s="3" t="n">
        <v>7879764773</v>
      </c>
      <c r="I703" s="11" t="inlineStr">
        <is>
          <t>PE26032601</t>
        </is>
      </c>
      <c r="J703" s="3" t="inlineStr">
        <is>
          <t>Module Diode Failure</t>
        </is>
      </c>
      <c r="K703" s="3" t="inlineStr">
        <is>
          <t>Sadla</t>
        </is>
      </c>
      <c r="L703" s="3" t="inlineStr">
        <is>
          <t>Gujarat</t>
        </is>
      </c>
      <c r="M703" s="9" t="inlineStr">
        <is>
          <t>PS</t>
        </is>
      </c>
      <c r="N703" s="3" t="inlineStr">
        <is>
          <t>Cold Soldering</t>
        </is>
      </c>
      <c r="O703" s="3" t="n">
        <v>570</v>
      </c>
      <c r="P703" s="9" t="inlineStr">
        <is>
          <t>NSMI24060079294</t>
        </is>
      </c>
      <c r="Q703" s="53">
        <f>MID(P703,5,2)</f>
        <v/>
      </c>
      <c r="R703" s="53">
        <f>MID(P703,7,2)</f>
        <v/>
      </c>
      <c r="S703" s="3" t="inlineStr">
        <is>
          <t>G2G</t>
        </is>
      </c>
      <c r="T703" s="3" t="inlineStr">
        <is>
          <t>P4</t>
        </is>
      </c>
      <c r="U703" s="3" t="inlineStr">
        <is>
          <t>P JB Cold Soldering</t>
        </is>
      </c>
      <c r="V703" s="3" t="inlineStr">
        <is>
          <t>Soldering</t>
        </is>
      </c>
      <c r="W703" s="3" t="inlineStr">
        <is>
          <t>Repair</t>
        </is>
      </c>
      <c r="X703" s="18" t="n">
        <v>46153</v>
      </c>
      <c r="Y703" s="3">
        <f>X703-A703</f>
        <v/>
      </c>
      <c r="Z703" s="18" t="n">
        <v>46153</v>
      </c>
      <c r="AA703" s="15" t="n"/>
      <c r="AB703" s="15" t="n"/>
    </row>
    <row r="704" hidden="1" s="233">
      <c r="A704" s="6" t="n">
        <v>46107</v>
      </c>
      <c r="B704" s="3" t="n">
        <v>2026</v>
      </c>
      <c r="C704" s="3" t="inlineStr">
        <is>
          <t>Blupine</t>
        </is>
      </c>
      <c r="D704" s="3" t="inlineStr">
        <is>
          <t>Utility and C&amp;I</t>
        </is>
      </c>
      <c r="E704" s="3" t="n"/>
      <c r="F704" s="3" t="inlineStr">
        <is>
          <t>Closed</t>
        </is>
      </c>
      <c r="G704" s="3" t="inlineStr">
        <is>
          <t>Chandrashekar Patidar</t>
        </is>
      </c>
      <c r="H704" s="3" t="n">
        <v>7879764773</v>
      </c>
      <c r="I704" s="11" t="inlineStr">
        <is>
          <t>PE26032601</t>
        </is>
      </c>
      <c r="J704" s="3" t="inlineStr">
        <is>
          <t>Module Diode Failure</t>
        </is>
      </c>
      <c r="K704" s="3" t="inlineStr">
        <is>
          <t>Sadla</t>
        </is>
      </c>
      <c r="L704" s="3" t="inlineStr">
        <is>
          <t>Gujarat</t>
        </is>
      </c>
      <c r="M704" s="9" t="inlineStr">
        <is>
          <t>PS</t>
        </is>
      </c>
      <c r="N704" s="3" t="inlineStr">
        <is>
          <t>Cold Soldering</t>
        </is>
      </c>
      <c r="O704" s="3" t="n">
        <v>570</v>
      </c>
      <c r="P704" s="9" t="inlineStr">
        <is>
          <t>NSMI24060079674</t>
        </is>
      </c>
      <c r="Q704" s="53">
        <f>MID(P704,5,2)</f>
        <v/>
      </c>
      <c r="R704" s="53">
        <f>MID(P704,7,2)</f>
        <v/>
      </c>
      <c r="S704" s="3" t="inlineStr">
        <is>
          <t>G2G</t>
        </is>
      </c>
      <c r="T704" s="3" t="inlineStr">
        <is>
          <t>P4</t>
        </is>
      </c>
      <c r="U704" s="3" t="inlineStr">
        <is>
          <t>P JB Cold Soldering</t>
        </is>
      </c>
      <c r="V704" s="3" t="inlineStr">
        <is>
          <t>Soldering</t>
        </is>
      </c>
      <c r="W704" s="3" t="inlineStr">
        <is>
          <t>Repair</t>
        </is>
      </c>
      <c r="X704" s="18" t="n">
        <v>46153</v>
      </c>
      <c r="Y704" s="3">
        <f>X704-A704</f>
        <v/>
      </c>
      <c r="Z704" s="18" t="n">
        <v>46153</v>
      </c>
      <c r="AA704" s="15" t="n"/>
      <c r="AB704" s="15" t="n"/>
    </row>
    <row r="705" hidden="1" s="233">
      <c r="A705" s="6" t="n">
        <v>46107</v>
      </c>
      <c r="B705" s="3" t="n">
        <v>2026</v>
      </c>
      <c r="C705" s="3" t="inlineStr">
        <is>
          <t>Blupine</t>
        </is>
      </c>
      <c r="D705" s="3" t="inlineStr">
        <is>
          <t>Utility and C&amp;I</t>
        </is>
      </c>
      <c r="E705" s="3" t="n"/>
      <c r="F705" s="3" t="inlineStr">
        <is>
          <t>Closed</t>
        </is>
      </c>
      <c r="G705" s="3" t="inlineStr">
        <is>
          <t>Chandrashekar Patidar</t>
        </is>
      </c>
      <c r="H705" s="3" t="n">
        <v>7879764773</v>
      </c>
      <c r="I705" s="11" t="inlineStr">
        <is>
          <t>PE26032601</t>
        </is>
      </c>
      <c r="J705" s="3" t="inlineStr">
        <is>
          <t>Module Diode Failure</t>
        </is>
      </c>
      <c r="K705" s="3" t="inlineStr">
        <is>
          <t>Sadla</t>
        </is>
      </c>
      <c r="L705" s="3" t="inlineStr">
        <is>
          <t>Gujarat</t>
        </is>
      </c>
      <c r="M705" s="9" t="inlineStr">
        <is>
          <t>NS</t>
        </is>
      </c>
      <c r="N705" s="3" t="inlineStr">
        <is>
          <t>Cold Soldering</t>
        </is>
      </c>
      <c r="O705" s="3" t="n">
        <v>570</v>
      </c>
      <c r="P705" s="9" t="inlineStr">
        <is>
          <t>NSMI24060138653</t>
        </is>
      </c>
      <c r="Q705" s="53">
        <f>MID(P705,5,2)</f>
        <v/>
      </c>
      <c r="R705" s="53">
        <f>MID(P705,7,2)</f>
        <v/>
      </c>
      <c r="S705" s="3" t="inlineStr">
        <is>
          <t>G2G</t>
        </is>
      </c>
      <c r="T705" s="3" t="inlineStr">
        <is>
          <t>P4</t>
        </is>
      </c>
      <c r="U705" s="3" t="inlineStr">
        <is>
          <t>N JB Cold Soldering</t>
        </is>
      </c>
      <c r="V705" s="3" t="inlineStr">
        <is>
          <t>Soldering</t>
        </is>
      </c>
      <c r="W705" s="3" t="inlineStr">
        <is>
          <t>Repair</t>
        </is>
      </c>
      <c r="X705" s="18" t="n">
        <v>46153</v>
      </c>
      <c r="Y705" s="3">
        <f>X705-A705</f>
        <v/>
      </c>
      <c r="Z705" s="18" t="n">
        <v>46153</v>
      </c>
      <c r="AA705" s="15" t="n"/>
      <c r="AB705" s="15" t="n"/>
    </row>
    <row r="706" hidden="1" s="233">
      <c r="A706" s="6" t="n">
        <v>46107</v>
      </c>
      <c r="B706" s="3" t="n">
        <v>2026</v>
      </c>
      <c r="C706" s="3" t="inlineStr">
        <is>
          <t>Blupine</t>
        </is>
      </c>
      <c r="D706" s="3" t="inlineStr">
        <is>
          <t>Utility and C&amp;I</t>
        </is>
      </c>
      <c r="E706" s="3" t="n"/>
      <c r="F706" s="3" t="inlineStr">
        <is>
          <t>Closed</t>
        </is>
      </c>
      <c r="G706" s="3" t="inlineStr">
        <is>
          <t>Chandrashekar Patidar</t>
        </is>
      </c>
      <c r="H706" s="3" t="n">
        <v>7879764773</v>
      </c>
      <c r="I706" s="11" t="inlineStr">
        <is>
          <t>PE26032601</t>
        </is>
      </c>
      <c r="J706" s="3" t="inlineStr">
        <is>
          <t>Module Diode Failure</t>
        </is>
      </c>
      <c r="K706" s="3" t="inlineStr">
        <is>
          <t>Sadla</t>
        </is>
      </c>
      <c r="L706" s="3" t="inlineStr">
        <is>
          <t>Gujarat</t>
        </is>
      </c>
      <c r="M706" s="9" t="inlineStr">
        <is>
          <t>PS</t>
        </is>
      </c>
      <c r="N706" s="3" t="inlineStr">
        <is>
          <t>Cold Soldering</t>
        </is>
      </c>
      <c r="O706" s="3" t="n">
        <v>570</v>
      </c>
      <c r="P706" s="9" t="inlineStr">
        <is>
          <t>NSMI24060079681</t>
        </is>
      </c>
      <c r="Q706" s="53">
        <f>MID(P706,5,2)</f>
        <v/>
      </c>
      <c r="R706" s="53">
        <f>MID(P706,7,2)</f>
        <v/>
      </c>
      <c r="S706" s="3" t="inlineStr">
        <is>
          <t>G2G</t>
        </is>
      </c>
      <c r="T706" s="3" t="inlineStr">
        <is>
          <t>P4</t>
        </is>
      </c>
      <c r="U706" s="3" t="inlineStr">
        <is>
          <t>P JB Cold Soldering</t>
        </is>
      </c>
      <c r="V706" s="3" t="inlineStr">
        <is>
          <t>Soldering</t>
        </is>
      </c>
      <c r="W706" s="3" t="inlineStr">
        <is>
          <t>Repair</t>
        </is>
      </c>
      <c r="X706" s="18" t="n">
        <v>46153</v>
      </c>
      <c r="Y706" s="3">
        <f>X706-A706</f>
        <v/>
      </c>
      <c r="Z706" s="18" t="n">
        <v>46153</v>
      </c>
      <c r="AA706" s="15" t="n"/>
      <c r="AB706" s="15" t="n"/>
    </row>
    <row r="707" hidden="1" s="233">
      <c r="A707" s="6" t="n">
        <v>46107</v>
      </c>
      <c r="B707" s="3" t="n">
        <v>2026</v>
      </c>
      <c r="C707" s="3" t="inlineStr">
        <is>
          <t>Blupine</t>
        </is>
      </c>
      <c r="D707" s="3" t="inlineStr">
        <is>
          <t>Utility and C&amp;I</t>
        </is>
      </c>
      <c r="E707" s="3" t="n"/>
      <c r="F707" s="3" t="inlineStr">
        <is>
          <t>Closed</t>
        </is>
      </c>
      <c r="G707" s="3" t="inlineStr">
        <is>
          <t>Chandrashekar Patidar</t>
        </is>
      </c>
      <c r="H707" s="3" t="n">
        <v>7879764773</v>
      </c>
      <c r="I707" s="11" t="inlineStr">
        <is>
          <t>PE26032601</t>
        </is>
      </c>
      <c r="J707" s="3" t="inlineStr">
        <is>
          <t>Module Diode Failure</t>
        </is>
      </c>
      <c r="K707" s="3" t="inlineStr">
        <is>
          <t>Sadla</t>
        </is>
      </c>
      <c r="L707" s="3" t="inlineStr">
        <is>
          <t>Gujarat</t>
        </is>
      </c>
      <c r="M707" s="9" t="inlineStr">
        <is>
          <t>PS</t>
        </is>
      </c>
      <c r="N707" s="3" t="inlineStr">
        <is>
          <t>Cold Soldering</t>
        </is>
      </c>
      <c r="O707" s="3" t="n">
        <v>570</v>
      </c>
      <c r="P707" s="9" t="inlineStr">
        <is>
          <t>NSMI24060097679</t>
        </is>
      </c>
      <c r="Q707" s="53">
        <f>MID(P707,5,2)</f>
        <v/>
      </c>
      <c r="R707" s="53">
        <f>MID(P707,7,2)</f>
        <v/>
      </c>
      <c r="S707" s="3" t="inlineStr">
        <is>
          <t>G2G</t>
        </is>
      </c>
      <c r="T707" s="3" t="inlineStr">
        <is>
          <t>P4</t>
        </is>
      </c>
      <c r="U707" s="3" t="inlineStr">
        <is>
          <t>P JB Cold Soldering</t>
        </is>
      </c>
      <c r="V707" s="3" t="inlineStr">
        <is>
          <t>Soldering</t>
        </is>
      </c>
      <c r="W707" s="3" t="inlineStr">
        <is>
          <t>Repair</t>
        </is>
      </c>
      <c r="X707" s="18" t="n">
        <v>46153</v>
      </c>
      <c r="Y707" s="3">
        <f>X707-A707</f>
        <v/>
      </c>
      <c r="Z707" s="18" t="n">
        <v>46153</v>
      </c>
      <c r="AA707" s="15" t="n"/>
      <c r="AB707" s="15" t="n"/>
    </row>
    <row r="708" hidden="1" s="233">
      <c r="A708" s="6" t="n">
        <v>46107</v>
      </c>
      <c r="B708" s="3" t="n">
        <v>2026</v>
      </c>
      <c r="C708" s="3" t="inlineStr">
        <is>
          <t>Blupine</t>
        </is>
      </c>
      <c r="D708" s="3" t="inlineStr">
        <is>
          <t>Utility and C&amp;I</t>
        </is>
      </c>
      <c r="E708" s="3" t="n"/>
      <c r="F708" s="3" t="inlineStr">
        <is>
          <t>Closed</t>
        </is>
      </c>
      <c r="G708" s="3" t="inlineStr">
        <is>
          <t>Chandrashekar Patidar</t>
        </is>
      </c>
      <c r="H708" s="3" t="n">
        <v>7879764773</v>
      </c>
      <c r="I708" s="11" t="inlineStr">
        <is>
          <t>PE26032601</t>
        </is>
      </c>
      <c r="J708" s="3" t="inlineStr">
        <is>
          <t>Module Diode Failure</t>
        </is>
      </c>
      <c r="K708" s="3" t="inlineStr">
        <is>
          <t>Sadla</t>
        </is>
      </c>
      <c r="L708" s="3" t="inlineStr">
        <is>
          <t>Gujarat</t>
        </is>
      </c>
      <c r="M708" s="9" t="inlineStr">
        <is>
          <t>PS</t>
        </is>
      </c>
      <c r="N708" s="3" t="inlineStr">
        <is>
          <t>Cold Soldering</t>
        </is>
      </c>
      <c r="O708" s="3" t="n">
        <v>570</v>
      </c>
      <c r="P708" s="9" t="inlineStr">
        <is>
          <t>NSMI24060098735</t>
        </is>
      </c>
      <c r="Q708" s="53">
        <f>MID(P708,5,2)</f>
        <v/>
      </c>
      <c r="R708" s="53">
        <f>MID(P708,7,2)</f>
        <v/>
      </c>
      <c r="S708" s="3" t="inlineStr">
        <is>
          <t>G2G</t>
        </is>
      </c>
      <c r="T708" s="3" t="inlineStr">
        <is>
          <t>P4</t>
        </is>
      </c>
      <c r="U708" s="3" t="inlineStr">
        <is>
          <t>P JB Cold Soldering</t>
        </is>
      </c>
      <c r="V708" s="3" t="inlineStr">
        <is>
          <t>Soldering</t>
        </is>
      </c>
      <c r="W708" s="3" t="inlineStr">
        <is>
          <t>Repair</t>
        </is>
      </c>
      <c r="X708" s="18" t="n">
        <v>46153</v>
      </c>
      <c r="Y708" s="3">
        <f>X708-A708</f>
        <v/>
      </c>
      <c r="Z708" s="18" t="n">
        <v>46153</v>
      </c>
      <c r="AA708" s="15" t="n"/>
      <c r="AB708" s="15" t="n"/>
    </row>
    <row r="709" hidden="1" s="233">
      <c r="A709" s="6" t="n">
        <v>46107</v>
      </c>
      <c r="B709" s="3" t="n">
        <v>2026</v>
      </c>
      <c r="C709" s="3" t="inlineStr">
        <is>
          <t>Blupine</t>
        </is>
      </c>
      <c r="D709" s="3" t="inlineStr">
        <is>
          <t>Utility and C&amp;I</t>
        </is>
      </c>
      <c r="E709" s="3" t="n"/>
      <c r="F709" s="3" t="inlineStr">
        <is>
          <t>Closed</t>
        </is>
      </c>
      <c r="G709" s="3" t="inlineStr">
        <is>
          <t>Chandrashekar Patidar</t>
        </is>
      </c>
      <c r="H709" s="3" t="n">
        <v>7879764773</v>
      </c>
      <c r="I709" s="11" t="inlineStr">
        <is>
          <t>PE26032601</t>
        </is>
      </c>
      <c r="J709" s="3" t="inlineStr">
        <is>
          <t>Module Diode Failure</t>
        </is>
      </c>
      <c r="K709" s="3" t="inlineStr">
        <is>
          <t>Sadla</t>
        </is>
      </c>
      <c r="L709" s="3" t="inlineStr">
        <is>
          <t>Gujarat</t>
        </is>
      </c>
      <c r="M709" s="9" t="inlineStr">
        <is>
          <t>NS</t>
        </is>
      </c>
      <c r="N709" s="3" t="inlineStr">
        <is>
          <t>Cold Soldering</t>
        </is>
      </c>
      <c r="O709" s="3" t="n">
        <v>570</v>
      </c>
      <c r="P709" s="9" t="inlineStr">
        <is>
          <t>NSMI24060097127</t>
        </is>
      </c>
      <c r="Q709" s="53">
        <f>MID(P709,5,2)</f>
        <v/>
      </c>
      <c r="R709" s="53">
        <f>MID(P709,7,2)</f>
        <v/>
      </c>
      <c r="S709" s="3" t="inlineStr">
        <is>
          <t>G2G</t>
        </is>
      </c>
      <c r="T709" s="3" t="inlineStr">
        <is>
          <t>P4</t>
        </is>
      </c>
      <c r="U709" s="3" t="inlineStr">
        <is>
          <t>N JB Cold Soldering</t>
        </is>
      </c>
      <c r="V709" s="3" t="inlineStr">
        <is>
          <t>Soldering</t>
        </is>
      </c>
      <c r="W709" s="3" t="inlineStr">
        <is>
          <t>Repair</t>
        </is>
      </c>
      <c r="X709" s="18" t="n">
        <v>46153</v>
      </c>
      <c r="Y709" s="3">
        <f>X709-A709</f>
        <v/>
      </c>
      <c r="Z709" s="18" t="n">
        <v>46153</v>
      </c>
      <c r="AA709" s="15" t="n"/>
      <c r="AB709" s="15" t="n"/>
    </row>
    <row r="710" hidden="1" s="233">
      <c r="A710" s="6" t="n">
        <v>46107</v>
      </c>
      <c r="B710" s="3" t="n">
        <v>2026</v>
      </c>
      <c r="C710" s="3" t="inlineStr">
        <is>
          <t>Blupine</t>
        </is>
      </c>
      <c r="D710" s="3" t="inlineStr">
        <is>
          <t>Utility and C&amp;I</t>
        </is>
      </c>
      <c r="E710" s="3" t="n"/>
      <c r="F710" s="3" t="inlineStr">
        <is>
          <t>Closed</t>
        </is>
      </c>
      <c r="G710" s="3" t="inlineStr">
        <is>
          <t>Chandrashekar Patidar</t>
        </is>
      </c>
      <c r="H710" s="3" t="n">
        <v>7879764773</v>
      </c>
      <c r="I710" s="11" t="inlineStr">
        <is>
          <t>PE26032601</t>
        </is>
      </c>
      <c r="J710" s="3" t="inlineStr">
        <is>
          <t>Module Diode Failure</t>
        </is>
      </c>
      <c r="K710" s="3" t="inlineStr">
        <is>
          <t>Sadla</t>
        </is>
      </c>
      <c r="L710" s="3" t="inlineStr">
        <is>
          <t>Gujarat</t>
        </is>
      </c>
      <c r="M710" s="9" t="inlineStr">
        <is>
          <t>NS</t>
        </is>
      </c>
      <c r="N710" s="3" t="inlineStr">
        <is>
          <t>Cold Soldering</t>
        </is>
      </c>
      <c r="O710" s="3" t="n">
        <v>570</v>
      </c>
      <c r="P710" s="9" t="inlineStr">
        <is>
          <t>NSMI24060097133</t>
        </is>
      </c>
      <c r="Q710" s="53">
        <f>MID(P710,5,2)</f>
        <v/>
      </c>
      <c r="R710" s="53">
        <f>MID(P710,7,2)</f>
        <v/>
      </c>
      <c r="S710" s="3" t="inlineStr">
        <is>
          <t>G2G</t>
        </is>
      </c>
      <c r="T710" s="3" t="inlineStr">
        <is>
          <t>P4</t>
        </is>
      </c>
      <c r="U710" s="3" t="inlineStr">
        <is>
          <t>N JB Cold Soldering</t>
        </is>
      </c>
      <c r="V710" s="3" t="inlineStr">
        <is>
          <t>Soldering</t>
        </is>
      </c>
      <c r="W710" s="3" t="inlineStr">
        <is>
          <t>Repair</t>
        </is>
      </c>
      <c r="X710" s="18" t="n">
        <v>46153</v>
      </c>
      <c r="Y710" s="3">
        <f>X710-A710</f>
        <v/>
      </c>
      <c r="Z710" s="18" t="n">
        <v>46153</v>
      </c>
      <c r="AA710" s="15" t="n"/>
      <c r="AB710" s="15" t="n"/>
    </row>
    <row r="711" hidden="1" s="233">
      <c r="A711" s="6" t="n">
        <v>46107</v>
      </c>
      <c r="B711" s="3" t="n">
        <v>2026</v>
      </c>
      <c r="C711" s="3" t="inlineStr">
        <is>
          <t>Blupine</t>
        </is>
      </c>
      <c r="D711" s="3" t="inlineStr">
        <is>
          <t>Utility and C&amp;I</t>
        </is>
      </c>
      <c r="E711" s="3" t="n"/>
      <c r="F711" s="3" t="inlineStr">
        <is>
          <t>Closed</t>
        </is>
      </c>
      <c r="G711" s="3" t="inlineStr">
        <is>
          <t>Chandrashekar Patidar</t>
        </is>
      </c>
      <c r="H711" s="3" t="n">
        <v>7879764773</v>
      </c>
      <c r="I711" s="11" t="inlineStr">
        <is>
          <t>PE26032601</t>
        </is>
      </c>
      <c r="J711" s="3" t="inlineStr">
        <is>
          <t>Module Diode Failure</t>
        </is>
      </c>
      <c r="K711" s="3" t="inlineStr">
        <is>
          <t>Sadla</t>
        </is>
      </c>
      <c r="L711" s="3" t="inlineStr">
        <is>
          <t>Gujarat</t>
        </is>
      </c>
      <c r="M711" s="9" t="inlineStr">
        <is>
          <t>NS</t>
        </is>
      </c>
      <c r="N711" s="3" t="inlineStr">
        <is>
          <t>Cold Soldering</t>
        </is>
      </c>
      <c r="O711" s="3" t="n">
        <v>570</v>
      </c>
      <c r="P711" s="9" t="inlineStr">
        <is>
          <t>NSMI24060128715</t>
        </is>
      </c>
      <c r="Q711" s="53">
        <f>MID(P711,5,2)</f>
        <v/>
      </c>
      <c r="R711" s="53">
        <f>MID(P711,7,2)</f>
        <v/>
      </c>
      <c r="S711" s="3" t="inlineStr">
        <is>
          <t>G2G</t>
        </is>
      </c>
      <c r="T711" s="3" t="inlineStr">
        <is>
          <t>P4</t>
        </is>
      </c>
      <c r="U711" s="3" t="inlineStr">
        <is>
          <t>N JB Cold Soldering</t>
        </is>
      </c>
      <c r="V711" s="3" t="inlineStr">
        <is>
          <t>Soldering</t>
        </is>
      </c>
      <c r="W711" s="3" t="inlineStr">
        <is>
          <t>Repair</t>
        </is>
      </c>
      <c r="X711" s="18" t="n">
        <v>46153</v>
      </c>
      <c r="Y711" s="3">
        <f>X711-A711</f>
        <v/>
      </c>
      <c r="Z711" s="18" t="n">
        <v>46153</v>
      </c>
      <c r="AA711" s="15" t="n"/>
      <c r="AB711" s="15" t="n"/>
    </row>
    <row r="712" hidden="1" s="233">
      <c r="A712" s="6" t="n">
        <v>46107</v>
      </c>
      <c r="B712" s="3" t="n">
        <v>2026</v>
      </c>
      <c r="C712" s="3" t="inlineStr">
        <is>
          <t>Blupine</t>
        </is>
      </c>
      <c r="D712" s="3" t="inlineStr">
        <is>
          <t>Utility and C&amp;I</t>
        </is>
      </c>
      <c r="E712" s="3" t="n"/>
      <c r="F712" s="3" t="inlineStr">
        <is>
          <t>Closed</t>
        </is>
      </c>
      <c r="G712" s="3" t="inlineStr">
        <is>
          <t>Chandrashekar Patidar</t>
        </is>
      </c>
      <c r="H712" s="3" t="n">
        <v>7879764773</v>
      </c>
      <c r="I712" s="11" t="inlineStr">
        <is>
          <t>PE26032601</t>
        </is>
      </c>
      <c r="J712" s="3" t="inlineStr">
        <is>
          <t>Module Diode Failure</t>
        </is>
      </c>
      <c r="K712" s="3" t="inlineStr">
        <is>
          <t>Sadla</t>
        </is>
      </c>
      <c r="L712" s="3" t="inlineStr">
        <is>
          <t>Gujarat</t>
        </is>
      </c>
      <c r="M712" s="9" t="inlineStr">
        <is>
          <t>PS</t>
        </is>
      </c>
      <c r="N712" s="3" t="inlineStr">
        <is>
          <t>Cold Soldering</t>
        </is>
      </c>
      <c r="O712" s="3" t="n">
        <v>570</v>
      </c>
      <c r="P712" s="9" t="inlineStr">
        <is>
          <t>NSMI24060084839</t>
        </is>
      </c>
      <c r="Q712" s="53">
        <f>MID(P712,5,2)</f>
        <v/>
      </c>
      <c r="R712" s="53">
        <f>MID(P712,7,2)</f>
        <v/>
      </c>
      <c r="S712" s="3" t="inlineStr">
        <is>
          <t>G2G</t>
        </is>
      </c>
      <c r="T712" s="3" t="inlineStr">
        <is>
          <t>P4</t>
        </is>
      </c>
      <c r="U712" s="3" t="inlineStr">
        <is>
          <t>P JB Cold Soldering</t>
        </is>
      </c>
      <c r="V712" s="3" t="inlineStr">
        <is>
          <t>Soldering</t>
        </is>
      </c>
      <c r="W712" s="3" t="inlineStr">
        <is>
          <t>Repair</t>
        </is>
      </c>
      <c r="X712" s="18" t="n">
        <v>46153</v>
      </c>
      <c r="Y712" s="3">
        <f>X712-A712</f>
        <v/>
      </c>
      <c r="Z712" s="18" t="n">
        <v>46153</v>
      </c>
      <c r="AA712" s="15" t="n"/>
      <c r="AB712" s="15" t="n"/>
    </row>
    <row r="713" hidden="1" s="233">
      <c r="A713" s="6" t="n">
        <v>46107</v>
      </c>
      <c r="B713" s="3" t="n">
        <v>2026</v>
      </c>
      <c r="C713" s="3" t="inlineStr">
        <is>
          <t>Blupine</t>
        </is>
      </c>
      <c r="D713" s="3" t="inlineStr">
        <is>
          <t>Utility and C&amp;I</t>
        </is>
      </c>
      <c r="E713" s="3" t="n"/>
      <c r="F713" s="3" t="inlineStr">
        <is>
          <t>Closed</t>
        </is>
      </c>
      <c r="G713" s="3" t="inlineStr">
        <is>
          <t>Chandrashekar Patidar</t>
        </is>
      </c>
      <c r="H713" s="3" t="n">
        <v>7879764773</v>
      </c>
      <c r="I713" s="11" t="inlineStr">
        <is>
          <t>PE26032601</t>
        </is>
      </c>
      <c r="J713" s="3" t="inlineStr">
        <is>
          <t>Module Diode Failure</t>
        </is>
      </c>
      <c r="K713" s="3" t="inlineStr">
        <is>
          <t>Sadla</t>
        </is>
      </c>
      <c r="L713" s="3" t="inlineStr">
        <is>
          <t>Gujarat</t>
        </is>
      </c>
      <c r="M713" s="9" t="inlineStr">
        <is>
          <t>NS</t>
        </is>
      </c>
      <c r="N713" s="3" t="inlineStr">
        <is>
          <t>Cold Soldering</t>
        </is>
      </c>
      <c r="O713" s="3" t="n">
        <v>570</v>
      </c>
      <c r="P713" s="9" t="inlineStr">
        <is>
          <t>NSMI24060084615</t>
        </is>
      </c>
      <c r="Q713" s="53">
        <f>MID(P713,5,2)</f>
        <v/>
      </c>
      <c r="R713" s="53">
        <f>MID(P713,7,2)</f>
        <v/>
      </c>
      <c r="S713" s="3" t="inlineStr">
        <is>
          <t>G2G</t>
        </is>
      </c>
      <c r="T713" s="3" t="inlineStr">
        <is>
          <t>P4</t>
        </is>
      </c>
      <c r="U713" s="3" t="inlineStr">
        <is>
          <t>N JB Cold Soldering</t>
        </is>
      </c>
      <c r="V713" s="3" t="inlineStr">
        <is>
          <t>Soldering</t>
        </is>
      </c>
      <c r="W713" s="3" t="inlineStr">
        <is>
          <t>Repair</t>
        </is>
      </c>
      <c r="X713" s="18" t="n">
        <v>46153</v>
      </c>
      <c r="Y713" s="3">
        <f>X713-A713</f>
        <v/>
      </c>
      <c r="Z713" s="18" t="n">
        <v>46153</v>
      </c>
      <c r="AA713" s="15" t="n"/>
      <c r="AB713" s="15" t="n"/>
    </row>
    <row r="714" hidden="1" s="233">
      <c r="A714" s="6" t="n">
        <v>46107</v>
      </c>
      <c r="B714" s="3" t="n">
        <v>2026</v>
      </c>
      <c r="C714" s="3" t="inlineStr">
        <is>
          <t>Blupine</t>
        </is>
      </c>
      <c r="D714" s="3" t="inlineStr">
        <is>
          <t>Utility and C&amp;I</t>
        </is>
      </c>
      <c r="E714" s="3" t="n"/>
      <c r="F714" s="3" t="inlineStr">
        <is>
          <t>Closed</t>
        </is>
      </c>
      <c r="G714" s="3" t="inlineStr">
        <is>
          <t>Chandrashekar Patidar</t>
        </is>
      </c>
      <c r="H714" s="3" t="n">
        <v>7879764773</v>
      </c>
      <c r="I714" s="11" t="inlineStr">
        <is>
          <t>PE26032601</t>
        </is>
      </c>
      <c r="J714" s="3" t="inlineStr">
        <is>
          <t>Module Diode Failure</t>
        </is>
      </c>
      <c r="K714" s="3" t="inlineStr">
        <is>
          <t>Sadla</t>
        </is>
      </c>
      <c r="L714" s="3" t="inlineStr">
        <is>
          <t>Gujarat</t>
        </is>
      </c>
      <c r="M714" s="9" t="inlineStr">
        <is>
          <t>NS</t>
        </is>
      </c>
      <c r="N714" s="3" t="inlineStr">
        <is>
          <t>Cold Soldering</t>
        </is>
      </c>
      <c r="O714" s="3" t="n">
        <v>570</v>
      </c>
      <c r="P714" s="9" t="inlineStr">
        <is>
          <t>NSMI24060075282</t>
        </is>
      </c>
      <c r="Q714" s="53">
        <f>MID(P714,5,2)</f>
        <v/>
      </c>
      <c r="R714" s="53">
        <f>MID(P714,7,2)</f>
        <v/>
      </c>
      <c r="S714" s="3" t="inlineStr">
        <is>
          <t>G2G</t>
        </is>
      </c>
      <c r="T714" s="3" t="inlineStr">
        <is>
          <t>P4</t>
        </is>
      </c>
      <c r="U714" s="3" t="inlineStr">
        <is>
          <t>N JB Cold Soldering</t>
        </is>
      </c>
      <c r="V714" s="3" t="inlineStr">
        <is>
          <t>Soldering</t>
        </is>
      </c>
      <c r="W714" s="3" t="inlineStr">
        <is>
          <t>Repair</t>
        </is>
      </c>
      <c r="X714" s="18" t="n">
        <v>46153</v>
      </c>
      <c r="Y714" s="3">
        <f>X714-A714</f>
        <v/>
      </c>
      <c r="Z714" s="18" t="n">
        <v>46153</v>
      </c>
      <c r="AA714" s="15" t="n"/>
      <c r="AB714" s="15" t="n"/>
    </row>
    <row r="715" hidden="1" s="233">
      <c r="A715" s="6" t="n">
        <v>46107</v>
      </c>
      <c r="B715" s="3" t="n">
        <v>2026</v>
      </c>
      <c r="C715" s="3" t="inlineStr">
        <is>
          <t>Blupine</t>
        </is>
      </c>
      <c r="D715" s="3" t="inlineStr">
        <is>
          <t>Utility and C&amp;I</t>
        </is>
      </c>
      <c r="E715" s="3" t="n"/>
      <c r="F715" s="3" t="inlineStr">
        <is>
          <t>Closed</t>
        </is>
      </c>
      <c r="G715" s="3" t="inlineStr">
        <is>
          <t>Chandrashekar Patidar</t>
        </is>
      </c>
      <c r="H715" s="3" t="n">
        <v>7879764773</v>
      </c>
      <c r="I715" s="11" t="inlineStr">
        <is>
          <t>PE26032601</t>
        </is>
      </c>
      <c r="J715" s="3" t="inlineStr">
        <is>
          <t>Module Diode Failure</t>
        </is>
      </c>
      <c r="K715" s="3" t="inlineStr">
        <is>
          <t>Sadla</t>
        </is>
      </c>
      <c r="L715" s="3" t="inlineStr">
        <is>
          <t>Gujarat</t>
        </is>
      </c>
      <c r="M715" s="9" t="inlineStr">
        <is>
          <t>PS</t>
        </is>
      </c>
      <c r="N715" s="3" t="inlineStr">
        <is>
          <t>Cold Soldering</t>
        </is>
      </c>
      <c r="O715" s="3" t="n">
        <v>570</v>
      </c>
      <c r="P715" s="9" t="inlineStr">
        <is>
          <t>NSMI24060075926</t>
        </is>
      </c>
      <c r="Q715" s="53">
        <f>MID(P715,5,2)</f>
        <v/>
      </c>
      <c r="R715" s="53">
        <f>MID(P715,7,2)</f>
        <v/>
      </c>
      <c r="S715" s="3" t="inlineStr">
        <is>
          <t>G2G</t>
        </is>
      </c>
      <c r="T715" s="3" t="inlineStr">
        <is>
          <t>P4</t>
        </is>
      </c>
      <c r="U715" s="3" t="inlineStr">
        <is>
          <t>P JB Cold Soldering</t>
        </is>
      </c>
      <c r="V715" s="3" t="inlineStr">
        <is>
          <t>Soldering</t>
        </is>
      </c>
      <c r="W715" s="3" t="inlineStr">
        <is>
          <t>Repair</t>
        </is>
      </c>
      <c r="X715" s="18" t="n">
        <v>46153</v>
      </c>
      <c r="Y715" s="3">
        <f>X715-A715</f>
        <v/>
      </c>
      <c r="Z715" s="18" t="n">
        <v>46153</v>
      </c>
      <c r="AA715" s="15" t="n"/>
      <c r="AB715" s="15" t="n"/>
    </row>
    <row r="716" hidden="1" s="233">
      <c r="A716" s="6" t="n">
        <v>46107</v>
      </c>
      <c r="B716" s="3" t="n">
        <v>2026</v>
      </c>
      <c r="C716" s="3" t="inlineStr">
        <is>
          <t>Blupine</t>
        </is>
      </c>
      <c r="D716" s="3" t="inlineStr">
        <is>
          <t>Utility and C&amp;I</t>
        </is>
      </c>
      <c r="E716" s="3" t="n"/>
      <c r="F716" s="3" t="inlineStr">
        <is>
          <t>Closed</t>
        </is>
      </c>
      <c r="G716" s="3" t="inlineStr">
        <is>
          <t>Chandrashekar Patidar</t>
        </is>
      </c>
      <c r="H716" s="3" t="n">
        <v>7879764773</v>
      </c>
      <c r="I716" s="11" t="inlineStr">
        <is>
          <t>PE26032601</t>
        </is>
      </c>
      <c r="J716" s="3" t="inlineStr">
        <is>
          <t>Module Diode Failure</t>
        </is>
      </c>
      <c r="K716" s="3" t="inlineStr">
        <is>
          <t>Sadla</t>
        </is>
      </c>
      <c r="L716" s="3" t="inlineStr">
        <is>
          <t>Gujarat</t>
        </is>
      </c>
      <c r="M716" s="9" t="inlineStr">
        <is>
          <t>NS</t>
        </is>
      </c>
      <c r="N716" s="3" t="inlineStr">
        <is>
          <t>Cold Soldering</t>
        </is>
      </c>
      <c r="O716" s="3" t="n">
        <v>570</v>
      </c>
      <c r="P716" s="9" t="inlineStr">
        <is>
          <t>NSMI24060116069</t>
        </is>
      </c>
      <c r="Q716" s="53">
        <f>MID(P716,5,2)</f>
        <v/>
      </c>
      <c r="R716" s="53">
        <f>MID(P716,7,2)</f>
        <v/>
      </c>
      <c r="S716" s="3" t="inlineStr">
        <is>
          <t>G2G</t>
        </is>
      </c>
      <c r="T716" s="3" t="inlineStr">
        <is>
          <t>P4</t>
        </is>
      </c>
      <c r="U716" s="3" t="inlineStr">
        <is>
          <t>N JB Cold Soldering</t>
        </is>
      </c>
      <c r="V716" s="3" t="inlineStr">
        <is>
          <t>Soldering</t>
        </is>
      </c>
      <c r="W716" s="3" t="inlineStr">
        <is>
          <t>Repair</t>
        </is>
      </c>
      <c r="X716" s="18" t="n">
        <v>46153</v>
      </c>
      <c r="Y716" s="3">
        <f>X716-A716</f>
        <v/>
      </c>
      <c r="Z716" s="18" t="n">
        <v>46153</v>
      </c>
      <c r="AA716" s="15" t="n"/>
      <c r="AB716" s="15" t="n"/>
    </row>
    <row r="717">
      <c r="A717" s="37" t="n">
        <v>46143</v>
      </c>
      <c r="B717" s="3" t="n">
        <v>2026</v>
      </c>
      <c r="C717" s="26" t="inlineStr">
        <is>
          <t>Yanara Power</t>
        </is>
      </c>
      <c r="D717" s="3" t="inlineStr">
        <is>
          <t>Utility and C&amp;I</t>
        </is>
      </c>
      <c r="E717" s="3" t="n"/>
      <c r="F717" s="3" t="inlineStr">
        <is>
          <t>Closed</t>
        </is>
      </c>
      <c r="G717" s="9" t="inlineStr">
        <is>
          <t xml:space="preserve">Ashish Jindal </t>
        </is>
      </c>
      <c r="H717" s="26" t="n">
        <v>9983975581</v>
      </c>
      <c r="I717" s="38" t="inlineStr">
        <is>
          <t>PE01052601</t>
        </is>
      </c>
      <c r="J717" s="26" t="inlineStr">
        <is>
          <t>Multiple Issues</t>
        </is>
      </c>
      <c r="K717" s="39" t="inlineStr">
        <is>
          <t>Holi</t>
        </is>
      </c>
      <c r="L717" s="39" t="inlineStr">
        <is>
          <t>Maharashtra</t>
        </is>
      </c>
      <c r="M717" s="9" t="inlineStr">
        <is>
          <t>NS</t>
        </is>
      </c>
      <c r="N717" s="3" t="inlineStr">
        <is>
          <t>Cold Soldering</t>
        </is>
      </c>
      <c r="O717" s="39" t="n">
        <v>575</v>
      </c>
      <c r="P717" s="9" t="inlineStr">
        <is>
          <t>NSMI24070216608</t>
        </is>
      </c>
      <c r="Q717" s="53">
        <f>MID(P717,5,2)</f>
        <v/>
      </c>
      <c r="R717" s="53">
        <f>MID(P717,7,2)</f>
        <v/>
      </c>
      <c r="S717" s="3" t="inlineStr">
        <is>
          <t>G2G</t>
        </is>
      </c>
      <c r="T717" s="3" t="inlineStr">
        <is>
          <t>P4</t>
        </is>
      </c>
      <c r="U717" s="3" t="inlineStr">
        <is>
          <t>N JB Cold Soldering</t>
        </is>
      </c>
      <c r="V717" s="3" t="inlineStr">
        <is>
          <t>Soldering</t>
        </is>
      </c>
      <c r="W717" s="3" t="inlineStr">
        <is>
          <t>Repair</t>
        </is>
      </c>
      <c r="X717" s="18" t="n">
        <v>46153</v>
      </c>
      <c r="Y717" s="3">
        <f>X717-A717</f>
        <v/>
      </c>
      <c r="Z717" s="18" t="n">
        <v>46153</v>
      </c>
      <c r="AA717" s="15" t="n"/>
      <c r="AB717" s="15" t="n"/>
    </row>
    <row r="718">
      <c r="A718" s="37" t="n">
        <v>46143</v>
      </c>
      <c r="B718" s="3" t="n">
        <v>2026</v>
      </c>
      <c r="C718" s="26" t="inlineStr">
        <is>
          <t>Yanara Power</t>
        </is>
      </c>
      <c r="D718" s="3" t="inlineStr">
        <is>
          <t>Utility and C&amp;I</t>
        </is>
      </c>
      <c r="E718" s="3" t="n"/>
      <c r="F718" s="3" t="inlineStr">
        <is>
          <t>Closed</t>
        </is>
      </c>
      <c r="G718" s="9" t="inlineStr">
        <is>
          <t xml:space="preserve">Ashish Jindal </t>
        </is>
      </c>
      <c r="H718" s="26" t="n">
        <v>9983975581</v>
      </c>
      <c r="I718" s="38" t="inlineStr">
        <is>
          <t>PE01052601</t>
        </is>
      </c>
      <c r="J718" s="26" t="inlineStr">
        <is>
          <t>Multiple Issues</t>
        </is>
      </c>
      <c r="K718" s="39" t="inlineStr">
        <is>
          <t>Holi</t>
        </is>
      </c>
      <c r="L718" s="39" t="inlineStr">
        <is>
          <t>Maharashtra</t>
        </is>
      </c>
      <c r="M718" s="9" t="inlineStr">
        <is>
          <t>PS</t>
        </is>
      </c>
      <c r="N718" s="3" t="inlineStr">
        <is>
          <t>Cold Soldering</t>
        </is>
      </c>
      <c r="O718" s="39" t="n">
        <v>575</v>
      </c>
      <c r="P718" s="9" t="inlineStr">
        <is>
          <t>NSMI24070196884</t>
        </is>
      </c>
      <c r="Q718" s="53">
        <f>MID(P718,5,2)</f>
        <v/>
      </c>
      <c r="R718" s="53">
        <f>MID(P718,7,2)</f>
        <v/>
      </c>
      <c r="S718" s="3" t="inlineStr">
        <is>
          <t>G2G</t>
        </is>
      </c>
      <c r="T718" s="3" t="inlineStr">
        <is>
          <t>P4</t>
        </is>
      </c>
      <c r="U718" s="3" t="inlineStr">
        <is>
          <t>P JB Cold Soldering</t>
        </is>
      </c>
      <c r="V718" s="3" t="inlineStr">
        <is>
          <t>Soldering</t>
        </is>
      </c>
      <c r="W718" s="3" t="inlineStr">
        <is>
          <t>Repair</t>
        </is>
      </c>
      <c r="X718" s="18" t="n">
        <v>46153</v>
      </c>
      <c r="Y718" s="3">
        <f>X718-A718</f>
        <v/>
      </c>
      <c r="Z718" s="18" t="n">
        <v>46153</v>
      </c>
      <c r="AA718" s="15" t="n"/>
      <c r="AB718" s="15" t="n"/>
    </row>
    <row r="719">
      <c r="A719" s="37" t="n">
        <v>46143</v>
      </c>
      <c r="B719" s="3" t="n">
        <v>2026</v>
      </c>
      <c r="C719" s="26" t="inlineStr">
        <is>
          <t>Yanara Power</t>
        </is>
      </c>
      <c r="D719" s="3" t="inlineStr">
        <is>
          <t>Utility and C&amp;I</t>
        </is>
      </c>
      <c r="E719" s="3" t="n"/>
      <c r="F719" s="3" t="inlineStr">
        <is>
          <t>Closed</t>
        </is>
      </c>
      <c r="G719" s="9" t="inlineStr">
        <is>
          <t xml:space="preserve">Ashish Jindal </t>
        </is>
      </c>
      <c r="H719" s="26" t="n">
        <v>9983975581</v>
      </c>
      <c r="I719" s="38" t="inlineStr">
        <is>
          <t>PE01052601</t>
        </is>
      </c>
      <c r="J719" s="26" t="inlineStr">
        <is>
          <t>Multiple Issues</t>
        </is>
      </c>
      <c r="K719" s="39" t="inlineStr">
        <is>
          <t>Holi</t>
        </is>
      </c>
      <c r="L719" s="39" t="inlineStr">
        <is>
          <t>Maharashtra</t>
        </is>
      </c>
      <c r="M719" s="9" t="inlineStr">
        <is>
          <t>NS</t>
        </is>
      </c>
      <c r="N719" s="3" t="inlineStr">
        <is>
          <t>Cold Soldering</t>
        </is>
      </c>
      <c r="O719" s="39" t="n">
        <v>575</v>
      </c>
      <c r="P719" s="9" t="inlineStr">
        <is>
          <t>NSMI24070196985</t>
        </is>
      </c>
      <c r="Q719" s="53">
        <f>MID(P719,5,2)</f>
        <v/>
      </c>
      <c r="R719" s="53">
        <f>MID(P719,7,2)</f>
        <v/>
      </c>
      <c r="S719" s="3" t="inlineStr">
        <is>
          <t>G2G</t>
        </is>
      </c>
      <c r="T719" s="3" t="inlineStr">
        <is>
          <t>P4</t>
        </is>
      </c>
      <c r="U719" s="3" t="inlineStr">
        <is>
          <t>N JB Cold Soldering</t>
        </is>
      </c>
      <c r="V719" s="3" t="inlineStr">
        <is>
          <t>Soldering</t>
        </is>
      </c>
      <c r="W719" s="3" t="inlineStr">
        <is>
          <t>Repair</t>
        </is>
      </c>
      <c r="X719" s="18" t="n">
        <v>46153</v>
      </c>
      <c r="Y719" s="3">
        <f>X719-A719</f>
        <v/>
      </c>
      <c r="Z719" s="18" t="n">
        <v>46153</v>
      </c>
      <c r="AA719" s="15" t="n"/>
      <c r="AB719" s="15" t="n"/>
    </row>
    <row r="720">
      <c r="A720" s="37" t="n">
        <v>46143</v>
      </c>
      <c r="B720" s="3" t="n">
        <v>2026</v>
      </c>
      <c r="C720" s="26" t="inlineStr">
        <is>
          <t>Yanara Power</t>
        </is>
      </c>
      <c r="D720" s="3" t="inlineStr">
        <is>
          <t>Utility and C&amp;I</t>
        </is>
      </c>
      <c r="E720" s="3" t="n"/>
      <c r="F720" s="3" t="inlineStr">
        <is>
          <t>Closed</t>
        </is>
      </c>
      <c r="G720" s="9" t="inlineStr">
        <is>
          <t xml:space="preserve">Ashish Jindal </t>
        </is>
      </c>
      <c r="H720" s="26" t="n">
        <v>9983975581</v>
      </c>
      <c r="I720" s="38" t="inlineStr">
        <is>
          <t>PE01052601</t>
        </is>
      </c>
      <c r="J720" s="26" t="inlineStr">
        <is>
          <t>Multiple Issues</t>
        </is>
      </c>
      <c r="K720" s="39" t="inlineStr">
        <is>
          <t>Holi</t>
        </is>
      </c>
      <c r="L720" s="39" t="inlineStr">
        <is>
          <t>Maharashtra</t>
        </is>
      </c>
      <c r="M720" s="9" t="inlineStr">
        <is>
          <t>PR</t>
        </is>
      </c>
      <c r="N720" s="3" t="inlineStr">
        <is>
          <t>JB Issue</t>
        </is>
      </c>
      <c r="O720" s="39" t="n">
        <v>575</v>
      </c>
      <c r="P720" s="9" t="inlineStr">
        <is>
          <t>NSMI24070196984</t>
        </is>
      </c>
      <c r="Q720" s="53">
        <f>MID(P720,5,2)</f>
        <v/>
      </c>
      <c r="R720" s="53">
        <f>MID(P720,7,2)</f>
        <v/>
      </c>
      <c r="S720" s="3" t="inlineStr">
        <is>
          <t>G2G</t>
        </is>
      </c>
      <c r="T720" s="3" t="inlineStr">
        <is>
          <t>P4</t>
        </is>
      </c>
      <c r="U720" s="3" t="inlineStr">
        <is>
          <t>P JB Issue</t>
        </is>
      </c>
      <c r="V720" s="15" t="inlineStr">
        <is>
          <t>JB Changed</t>
        </is>
      </c>
      <c r="W720" s="3" t="inlineStr">
        <is>
          <t>Repair</t>
        </is>
      </c>
      <c r="X720" s="18" t="n">
        <v>46153</v>
      </c>
      <c r="Y720" s="3">
        <f>X720-A720</f>
        <v/>
      </c>
      <c r="Z720" s="18" t="n">
        <v>46153</v>
      </c>
      <c r="AA720" s="15" t="n"/>
      <c r="AB720" s="15" t="n"/>
    </row>
    <row r="721">
      <c r="A721" s="37" t="n">
        <v>46143</v>
      </c>
      <c r="B721" s="3" t="n">
        <v>2026</v>
      </c>
      <c r="C721" s="26" t="inlineStr">
        <is>
          <t>Yanara Power</t>
        </is>
      </c>
      <c r="D721" s="3" t="inlineStr">
        <is>
          <t>Utility and C&amp;I</t>
        </is>
      </c>
      <c r="E721" s="3" t="n"/>
      <c r="F721" s="3" t="inlineStr">
        <is>
          <t>Closed</t>
        </is>
      </c>
      <c r="G721" s="9" t="inlineStr">
        <is>
          <t xml:space="preserve">Ashish Jindal </t>
        </is>
      </c>
      <c r="H721" s="26" t="n">
        <v>9983975581</v>
      </c>
      <c r="I721" s="38" t="inlineStr">
        <is>
          <t>PE01052601</t>
        </is>
      </c>
      <c r="J721" s="26" t="inlineStr">
        <is>
          <t>Multiple Issues</t>
        </is>
      </c>
      <c r="K721" s="39" t="inlineStr">
        <is>
          <t>Holi</t>
        </is>
      </c>
      <c r="L721" s="39" t="inlineStr">
        <is>
          <t>Maharashtra</t>
        </is>
      </c>
      <c r="M721" s="9" t="inlineStr">
        <is>
          <t>NS</t>
        </is>
      </c>
      <c r="N721" s="3" t="inlineStr">
        <is>
          <t>Cold Soldering</t>
        </is>
      </c>
      <c r="O721" s="39" t="n">
        <v>575</v>
      </c>
      <c r="P721" s="9" t="inlineStr">
        <is>
          <t>NSMI24070216614</t>
        </is>
      </c>
      <c r="Q721" s="53">
        <f>MID(P721,5,2)</f>
        <v/>
      </c>
      <c r="R721" s="53">
        <f>MID(P721,7,2)</f>
        <v/>
      </c>
      <c r="S721" s="3" t="inlineStr">
        <is>
          <t>G2G</t>
        </is>
      </c>
      <c r="T721" s="3" t="inlineStr">
        <is>
          <t>P4</t>
        </is>
      </c>
      <c r="U721" s="3" t="inlineStr">
        <is>
          <t>N JB Cold Soldering</t>
        </is>
      </c>
      <c r="V721" s="3" t="inlineStr">
        <is>
          <t>Soldering</t>
        </is>
      </c>
      <c r="W721" s="3" t="inlineStr">
        <is>
          <t>Repair</t>
        </is>
      </c>
      <c r="X721" s="18" t="n">
        <v>46153</v>
      </c>
      <c r="Y721" s="3">
        <f>X721-A721</f>
        <v/>
      </c>
      <c r="Z721" s="18" t="n">
        <v>46153</v>
      </c>
      <c r="AA721" s="15" t="n"/>
      <c r="AB721" s="15" t="n"/>
    </row>
    <row r="722">
      <c r="A722" s="37" t="n">
        <v>46143</v>
      </c>
      <c r="B722" s="3" t="n">
        <v>2026</v>
      </c>
      <c r="C722" s="26" t="inlineStr">
        <is>
          <t>Yanara Power</t>
        </is>
      </c>
      <c r="D722" s="3" t="inlineStr">
        <is>
          <t>Utility and C&amp;I</t>
        </is>
      </c>
      <c r="E722" s="3" t="n"/>
      <c r="F722" s="3" t="inlineStr">
        <is>
          <t>Closed</t>
        </is>
      </c>
      <c r="G722" s="9" t="inlineStr">
        <is>
          <t xml:space="preserve">Ashish Jindal </t>
        </is>
      </c>
      <c r="H722" s="26" t="n">
        <v>9983975581</v>
      </c>
      <c r="I722" s="38" t="inlineStr">
        <is>
          <t>PE01052601</t>
        </is>
      </c>
      <c r="J722" s="26" t="inlineStr">
        <is>
          <t>Multiple Issues</t>
        </is>
      </c>
      <c r="K722" s="39" t="inlineStr">
        <is>
          <t>Holi</t>
        </is>
      </c>
      <c r="L722" s="39" t="inlineStr">
        <is>
          <t>Maharashtra</t>
        </is>
      </c>
      <c r="M722" s="9" t="inlineStr">
        <is>
          <t>PS</t>
        </is>
      </c>
      <c r="N722" s="3" t="inlineStr">
        <is>
          <t>Cold Soldering</t>
        </is>
      </c>
      <c r="O722" s="39" t="n">
        <v>575</v>
      </c>
      <c r="P722" s="9" t="inlineStr">
        <is>
          <t>NSMI24070216611</t>
        </is>
      </c>
      <c r="Q722" s="53">
        <f>MID(P722,5,2)</f>
        <v/>
      </c>
      <c r="R722" s="53">
        <f>MID(P722,7,2)</f>
        <v/>
      </c>
      <c r="S722" s="3" t="inlineStr">
        <is>
          <t>G2G</t>
        </is>
      </c>
      <c r="T722" s="3" t="inlineStr">
        <is>
          <t>P4</t>
        </is>
      </c>
      <c r="U722" s="3" t="inlineStr">
        <is>
          <t>P JB Cold Soldering</t>
        </is>
      </c>
      <c r="V722" s="3" t="inlineStr">
        <is>
          <t>Soldering</t>
        </is>
      </c>
      <c r="W722" s="3" t="inlineStr">
        <is>
          <t>Repair</t>
        </is>
      </c>
      <c r="X722" s="18" t="n">
        <v>46153</v>
      </c>
      <c r="Y722" s="3">
        <f>X722-A722</f>
        <v/>
      </c>
      <c r="Z722" s="18" t="n">
        <v>46153</v>
      </c>
      <c r="AA722" s="15" t="n"/>
      <c r="AB722" s="15" t="n"/>
    </row>
    <row r="723">
      <c r="A723" s="37" t="n">
        <v>46143</v>
      </c>
      <c r="B723" s="3" t="n">
        <v>2026</v>
      </c>
      <c r="C723" s="26" t="inlineStr">
        <is>
          <t>Yanara Power</t>
        </is>
      </c>
      <c r="D723" s="3" t="inlineStr">
        <is>
          <t>Utility and C&amp;I</t>
        </is>
      </c>
      <c r="E723" s="3" t="n"/>
      <c r="F723" s="3" t="inlineStr">
        <is>
          <t>Closed</t>
        </is>
      </c>
      <c r="G723" s="9" t="inlineStr">
        <is>
          <t xml:space="preserve">Ashish Jindal </t>
        </is>
      </c>
      <c r="H723" s="26" t="n">
        <v>9983975581</v>
      </c>
      <c r="I723" s="38" t="inlineStr">
        <is>
          <t>PE01052601</t>
        </is>
      </c>
      <c r="J723" s="26" t="inlineStr">
        <is>
          <t>Multiple Issues</t>
        </is>
      </c>
      <c r="K723" s="39" t="inlineStr">
        <is>
          <t>Holi</t>
        </is>
      </c>
      <c r="L723" s="39" t="inlineStr">
        <is>
          <t>Maharashtra</t>
        </is>
      </c>
      <c r="M723" s="9" t="inlineStr">
        <is>
          <t>PS</t>
        </is>
      </c>
      <c r="N723" s="3" t="inlineStr">
        <is>
          <t>Cold Soldering</t>
        </is>
      </c>
      <c r="O723" s="39" t="n">
        <v>575</v>
      </c>
      <c r="P723" s="9" t="inlineStr">
        <is>
          <t>NSMI24070197090</t>
        </is>
      </c>
      <c r="Q723" s="53">
        <f>MID(P723,5,2)</f>
        <v/>
      </c>
      <c r="R723" s="53">
        <f>MID(P723,7,2)</f>
        <v/>
      </c>
      <c r="S723" s="3" t="inlineStr">
        <is>
          <t>G2G</t>
        </is>
      </c>
      <c r="T723" s="3" t="inlineStr">
        <is>
          <t>P4</t>
        </is>
      </c>
      <c r="U723" s="3" t="inlineStr">
        <is>
          <t>P JB Cold Soldering &amp; Back Glass Broken</t>
        </is>
      </c>
      <c r="V723" s="3" t="inlineStr">
        <is>
          <t>Soldering</t>
        </is>
      </c>
      <c r="W723" s="3" t="inlineStr">
        <is>
          <t>Repair</t>
        </is>
      </c>
      <c r="X723" s="18" t="n">
        <v>46153</v>
      </c>
      <c r="Y723" s="3">
        <f>X723-A723</f>
        <v/>
      </c>
      <c r="Z723" s="18" t="n">
        <v>46153</v>
      </c>
      <c r="AA723" s="15" t="n"/>
      <c r="AB723" s="15" t="n"/>
    </row>
    <row r="724">
      <c r="A724" s="37" t="n">
        <v>46143</v>
      </c>
      <c r="B724" s="3" t="n">
        <v>2026</v>
      </c>
      <c r="C724" s="26" t="inlineStr">
        <is>
          <t>Yanara Power</t>
        </is>
      </c>
      <c r="D724" s="3" t="inlineStr">
        <is>
          <t>Utility and C&amp;I</t>
        </is>
      </c>
      <c r="E724" s="3" t="n"/>
      <c r="F724" s="3" t="inlineStr">
        <is>
          <t>Closed</t>
        </is>
      </c>
      <c r="G724" s="9" t="inlineStr">
        <is>
          <t xml:space="preserve">Ashish Jindal </t>
        </is>
      </c>
      <c r="H724" s="26" t="n">
        <v>9983975581</v>
      </c>
      <c r="I724" s="38" t="inlineStr">
        <is>
          <t>PE01052601</t>
        </is>
      </c>
      <c r="J724" s="26" t="inlineStr">
        <is>
          <t>Multiple Issues</t>
        </is>
      </c>
      <c r="K724" s="39" t="inlineStr">
        <is>
          <t>Holi</t>
        </is>
      </c>
      <c r="L724" s="39" t="inlineStr">
        <is>
          <t>Maharashtra</t>
        </is>
      </c>
      <c r="M724" s="9" t="inlineStr">
        <is>
          <t>PS</t>
        </is>
      </c>
      <c r="N724" s="3" t="inlineStr">
        <is>
          <t>Cold Soldering</t>
        </is>
      </c>
      <c r="O724" s="39" t="n">
        <v>575</v>
      </c>
      <c r="P724" s="9" t="inlineStr">
        <is>
          <t>NSMI24070215733</t>
        </is>
      </c>
      <c r="Q724" s="53">
        <f>MID(P724,5,2)</f>
        <v/>
      </c>
      <c r="R724" s="53">
        <f>MID(P724,7,2)</f>
        <v/>
      </c>
      <c r="S724" s="3" t="inlineStr">
        <is>
          <t>G2G</t>
        </is>
      </c>
      <c r="T724" s="3" t="inlineStr">
        <is>
          <t>P4</t>
        </is>
      </c>
      <c r="U724" s="3" t="inlineStr">
        <is>
          <t>P JB Cold Soldering</t>
        </is>
      </c>
      <c r="V724" s="3" t="inlineStr">
        <is>
          <t>Soldering</t>
        </is>
      </c>
      <c r="W724" s="3" t="inlineStr">
        <is>
          <t>Repair</t>
        </is>
      </c>
      <c r="X724" s="18" t="n">
        <v>46153</v>
      </c>
      <c r="Y724" s="3">
        <f>X724-A724</f>
        <v/>
      </c>
      <c r="Z724" s="18" t="n">
        <v>46153</v>
      </c>
      <c r="AA724" s="15" t="n"/>
      <c r="AB724" s="15" t="n"/>
    </row>
    <row r="725">
      <c r="A725" s="37" t="n">
        <v>46143</v>
      </c>
      <c r="B725" s="3" t="n">
        <v>2026</v>
      </c>
      <c r="C725" s="26" t="inlineStr">
        <is>
          <t>Yanara Power</t>
        </is>
      </c>
      <c r="D725" s="3" t="inlineStr">
        <is>
          <t>Utility and C&amp;I</t>
        </is>
      </c>
      <c r="E725" s="3" t="n"/>
      <c r="F725" s="3" t="inlineStr">
        <is>
          <t>Closed</t>
        </is>
      </c>
      <c r="G725" s="9" t="inlineStr">
        <is>
          <t xml:space="preserve">Ashish Jindal </t>
        </is>
      </c>
      <c r="H725" s="26" t="n">
        <v>9983975581</v>
      </c>
      <c r="I725" s="38" t="inlineStr">
        <is>
          <t>PE01052601</t>
        </is>
      </c>
      <c r="J725" s="26" t="inlineStr">
        <is>
          <t>Multiple Issues</t>
        </is>
      </c>
      <c r="K725" s="39" t="inlineStr">
        <is>
          <t>Holi</t>
        </is>
      </c>
      <c r="L725" s="39" t="inlineStr">
        <is>
          <t>Maharashtra</t>
        </is>
      </c>
      <c r="M725" s="9" t="inlineStr">
        <is>
          <t>PS</t>
        </is>
      </c>
      <c r="N725" s="3" t="inlineStr">
        <is>
          <t>Cold Soldering</t>
        </is>
      </c>
      <c r="O725" s="39" t="n">
        <v>575</v>
      </c>
      <c r="P725" s="9" t="inlineStr">
        <is>
          <t>NSMI24070200588</t>
        </is>
      </c>
      <c r="Q725" s="53">
        <f>MID(P725,5,2)</f>
        <v/>
      </c>
      <c r="R725" s="53">
        <f>MID(P725,7,2)</f>
        <v/>
      </c>
      <c r="S725" s="3" t="inlineStr">
        <is>
          <t>G2G</t>
        </is>
      </c>
      <c r="T725" s="3" t="inlineStr">
        <is>
          <t>P4</t>
        </is>
      </c>
      <c r="U725" s="3" t="inlineStr">
        <is>
          <t>P JB Cold Soldering</t>
        </is>
      </c>
      <c r="V725" s="3" t="inlineStr">
        <is>
          <t>Soldering</t>
        </is>
      </c>
      <c r="W725" s="3" t="inlineStr">
        <is>
          <t>Repair</t>
        </is>
      </c>
      <c r="X725" s="18" t="n">
        <v>46153</v>
      </c>
      <c r="Y725" s="3">
        <f>X725-A725</f>
        <v/>
      </c>
      <c r="Z725" s="18" t="n">
        <v>46153</v>
      </c>
      <c r="AA725" s="15" t="n"/>
      <c r="AB725" s="15" t="n"/>
    </row>
    <row r="726">
      <c r="A726" s="37" t="n">
        <v>46143</v>
      </c>
      <c r="B726" s="3" t="n">
        <v>2026</v>
      </c>
      <c r="C726" s="26" t="inlineStr">
        <is>
          <t>Yanara Power</t>
        </is>
      </c>
      <c r="D726" s="3" t="inlineStr">
        <is>
          <t>Utility and C&amp;I</t>
        </is>
      </c>
      <c r="E726" s="3" t="n"/>
      <c r="F726" s="3" t="inlineStr">
        <is>
          <t>Closed</t>
        </is>
      </c>
      <c r="G726" s="9" t="inlineStr">
        <is>
          <t xml:space="preserve">Ashish Jindal </t>
        </is>
      </c>
      <c r="H726" s="26" t="n">
        <v>9983975581</v>
      </c>
      <c r="I726" s="38" t="inlineStr">
        <is>
          <t>PE01052601</t>
        </is>
      </c>
      <c r="J726" s="26" t="inlineStr">
        <is>
          <t>Multiple Issues</t>
        </is>
      </c>
      <c r="K726" s="39" t="inlineStr">
        <is>
          <t>Holi</t>
        </is>
      </c>
      <c r="L726" s="39" t="inlineStr">
        <is>
          <t>Maharashtra</t>
        </is>
      </c>
      <c r="M726" s="9" t="inlineStr">
        <is>
          <t>PS</t>
        </is>
      </c>
      <c r="N726" s="3" t="inlineStr">
        <is>
          <t>Cold Soldering</t>
        </is>
      </c>
      <c r="O726" s="39" t="n">
        <v>575</v>
      </c>
      <c r="P726" s="9" t="inlineStr">
        <is>
          <t>NSMI24070215485</t>
        </is>
      </c>
      <c r="Q726" s="53">
        <f>MID(P726,5,2)</f>
        <v/>
      </c>
      <c r="R726" s="53">
        <f>MID(P726,7,2)</f>
        <v/>
      </c>
      <c r="S726" s="3" t="inlineStr">
        <is>
          <t>G2G</t>
        </is>
      </c>
      <c r="T726" s="3" t="inlineStr">
        <is>
          <t>P4</t>
        </is>
      </c>
      <c r="U726" s="3" t="inlineStr">
        <is>
          <t>P JB Cold Soldering</t>
        </is>
      </c>
      <c r="V726" s="3" t="inlineStr">
        <is>
          <t>Soldering</t>
        </is>
      </c>
      <c r="W726" s="3" t="inlineStr">
        <is>
          <t>Repair</t>
        </is>
      </c>
      <c r="X726" s="18" t="n">
        <v>46153</v>
      </c>
      <c r="Y726" s="3">
        <f>X726-A726</f>
        <v/>
      </c>
      <c r="Z726" s="18" t="n">
        <v>46153</v>
      </c>
      <c r="AA726" s="15" t="n"/>
      <c r="AB726" s="15" t="n"/>
    </row>
    <row r="727">
      <c r="A727" s="37" t="n">
        <v>46143</v>
      </c>
      <c r="B727" s="3" t="n">
        <v>2026</v>
      </c>
      <c r="C727" s="26" t="inlineStr">
        <is>
          <t>Yanara Power</t>
        </is>
      </c>
      <c r="D727" s="3" t="inlineStr">
        <is>
          <t>Utility and C&amp;I</t>
        </is>
      </c>
      <c r="E727" s="3" t="n"/>
      <c r="F727" s="3" t="inlineStr">
        <is>
          <t>Closed</t>
        </is>
      </c>
      <c r="G727" s="9" t="inlineStr">
        <is>
          <t xml:space="preserve">Ashish Jindal </t>
        </is>
      </c>
      <c r="H727" s="26" t="n">
        <v>9983975581</v>
      </c>
      <c r="I727" s="38" t="inlineStr">
        <is>
          <t>PE01052601</t>
        </is>
      </c>
      <c r="J727" s="26" t="inlineStr">
        <is>
          <t>Multiple Issues</t>
        </is>
      </c>
      <c r="K727" s="39" t="inlineStr">
        <is>
          <t>Holi</t>
        </is>
      </c>
      <c r="L727" s="39" t="inlineStr">
        <is>
          <t>Maharashtra</t>
        </is>
      </c>
      <c r="M727" s="9" t="inlineStr">
        <is>
          <t>PS</t>
        </is>
      </c>
      <c r="N727" s="3" t="inlineStr">
        <is>
          <t>Cold Soldering</t>
        </is>
      </c>
      <c r="O727" s="39" t="n">
        <v>575</v>
      </c>
      <c r="P727" s="9" t="inlineStr">
        <is>
          <t>NSMI24070202772</t>
        </is>
      </c>
      <c r="Q727" s="53">
        <f>MID(P727,5,2)</f>
        <v/>
      </c>
      <c r="R727" s="53">
        <f>MID(P727,7,2)</f>
        <v/>
      </c>
      <c r="S727" s="3" t="inlineStr">
        <is>
          <t>G2G</t>
        </is>
      </c>
      <c r="T727" s="3" t="inlineStr">
        <is>
          <t>P4</t>
        </is>
      </c>
      <c r="U727" s="3" t="inlineStr">
        <is>
          <t>P JB Cold Soldering</t>
        </is>
      </c>
      <c r="V727" s="3" t="inlineStr">
        <is>
          <t>Soldering</t>
        </is>
      </c>
      <c r="W727" s="3" t="inlineStr">
        <is>
          <t>Repair</t>
        </is>
      </c>
      <c r="X727" s="18" t="n">
        <v>46153</v>
      </c>
      <c r="Y727" s="3">
        <f>X727-A727</f>
        <v/>
      </c>
      <c r="Z727" s="18" t="n">
        <v>46153</v>
      </c>
      <c r="AA727" s="15" t="n"/>
      <c r="AB727" s="15" t="n"/>
    </row>
    <row r="728">
      <c r="A728" s="37" t="n">
        <v>46143</v>
      </c>
      <c r="B728" s="3" t="n">
        <v>2026</v>
      </c>
      <c r="C728" s="26" t="inlineStr">
        <is>
          <t>Yanara Power</t>
        </is>
      </c>
      <c r="D728" s="3" t="inlineStr">
        <is>
          <t>Utility and C&amp;I</t>
        </is>
      </c>
      <c r="E728" s="3" t="n"/>
      <c r="F728" s="3" t="inlineStr">
        <is>
          <t>Closed</t>
        </is>
      </c>
      <c r="G728" s="9" t="inlineStr">
        <is>
          <t xml:space="preserve">Ashish Jindal </t>
        </is>
      </c>
      <c r="H728" s="26" t="n">
        <v>9983975581</v>
      </c>
      <c r="I728" s="38" t="inlineStr">
        <is>
          <t>PE01052601</t>
        </is>
      </c>
      <c r="J728" s="26" t="inlineStr">
        <is>
          <t>Multiple Issues</t>
        </is>
      </c>
      <c r="K728" s="39" t="inlineStr">
        <is>
          <t>Holi</t>
        </is>
      </c>
      <c r="L728" s="39" t="inlineStr">
        <is>
          <t>Maharashtra</t>
        </is>
      </c>
      <c r="M728" s="9" t="inlineStr">
        <is>
          <t>PS</t>
        </is>
      </c>
      <c r="N728" s="3" t="inlineStr">
        <is>
          <t>Cold Soldering</t>
        </is>
      </c>
      <c r="O728" s="39" t="n">
        <v>575</v>
      </c>
      <c r="P728" s="9" t="inlineStr">
        <is>
          <t>NSMI24070202767</t>
        </is>
      </c>
      <c r="Q728" s="53">
        <f>MID(P728,5,2)</f>
        <v/>
      </c>
      <c r="R728" s="53">
        <f>MID(P728,7,2)</f>
        <v/>
      </c>
      <c r="S728" s="3" t="inlineStr">
        <is>
          <t>G2G</t>
        </is>
      </c>
      <c r="T728" s="3" t="inlineStr">
        <is>
          <t>P4</t>
        </is>
      </c>
      <c r="U728" s="3" t="inlineStr">
        <is>
          <t>P JB Cold Soldering</t>
        </is>
      </c>
      <c r="V728" s="3" t="inlineStr">
        <is>
          <t>Soldering</t>
        </is>
      </c>
      <c r="W728" s="3" t="inlineStr">
        <is>
          <t>Repair</t>
        </is>
      </c>
      <c r="X728" s="18" t="n">
        <v>46153</v>
      </c>
      <c r="Y728" s="3">
        <f>X728-A728</f>
        <v/>
      </c>
      <c r="Z728" s="18" t="n">
        <v>46153</v>
      </c>
      <c r="AA728" s="15" t="n"/>
      <c r="AB728" s="15" t="n"/>
    </row>
    <row r="729">
      <c r="A729" s="37" t="n">
        <v>46143</v>
      </c>
      <c r="B729" s="3" t="n">
        <v>2026</v>
      </c>
      <c r="C729" s="26" t="inlineStr">
        <is>
          <t>Yanara Power</t>
        </is>
      </c>
      <c r="D729" s="3" t="inlineStr">
        <is>
          <t>Utility and C&amp;I</t>
        </is>
      </c>
      <c r="E729" s="3" t="n"/>
      <c r="F729" s="3" t="inlineStr">
        <is>
          <t>Closed</t>
        </is>
      </c>
      <c r="G729" s="9" t="inlineStr">
        <is>
          <t xml:space="preserve">Ashish Jindal </t>
        </is>
      </c>
      <c r="H729" s="26" t="n">
        <v>9983975581</v>
      </c>
      <c r="I729" s="38" t="inlineStr">
        <is>
          <t>PE01052601</t>
        </is>
      </c>
      <c r="J729" s="26" t="inlineStr">
        <is>
          <t>Multiple Issues</t>
        </is>
      </c>
      <c r="K729" s="39" t="inlineStr">
        <is>
          <t>Holi</t>
        </is>
      </c>
      <c r="L729" s="39" t="inlineStr">
        <is>
          <t>Maharashtra</t>
        </is>
      </c>
      <c r="M729" s="9" t="inlineStr">
        <is>
          <t>PS</t>
        </is>
      </c>
      <c r="N729" s="3" t="inlineStr">
        <is>
          <t>Cold Soldering</t>
        </is>
      </c>
      <c r="O729" s="39" t="n">
        <v>575</v>
      </c>
      <c r="P729" s="9" t="inlineStr">
        <is>
          <t>NSMI24070193919</t>
        </is>
      </c>
      <c r="Q729" s="53">
        <f>MID(P729,5,2)</f>
        <v/>
      </c>
      <c r="R729" s="53">
        <f>MID(P729,7,2)</f>
        <v/>
      </c>
      <c r="S729" s="3" t="inlineStr">
        <is>
          <t>G2G</t>
        </is>
      </c>
      <c r="T729" s="3" t="inlineStr">
        <is>
          <t>P4</t>
        </is>
      </c>
      <c r="U729" s="3" t="inlineStr">
        <is>
          <t>P JB Cold Soldering</t>
        </is>
      </c>
      <c r="V729" s="3" t="inlineStr">
        <is>
          <t>Soldering</t>
        </is>
      </c>
      <c r="W729" s="3" t="inlineStr">
        <is>
          <t>Repair</t>
        </is>
      </c>
      <c r="X729" s="18" t="n">
        <v>46153</v>
      </c>
      <c r="Y729" s="3">
        <f>X729-A729</f>
        <v/>
      </c>
      <c r="Z729" s="18" t="n">
        <v>46153</v>
      </c>
      <c r="AA729" s="15" t="n"/>
      <c r="AB729" s="15" t="n"/>
    </row>
    <row r="730">
      <c r="A730" s="37" t="n">
        <v>46143</v>
      </c>
      <c r="B730" s="3" t="n">
        <v>2026</v>
      </c>
      <c r="C730" s="26" t="inlineStr">
        <is>
          <t>Yanara Power</t>
        </is>
      </c>
      <c r="D730" s="3" t="inlineStr">
        <is>
          <t>Utility and C&amp;I</t>
        </is>
      </c>
      <c r="E730" s="3" t="n"/>
      <c r="F730" s="3" t="inlineStr">
        <is>
          <t>Closed</t>
        </is>
      </c>
      <c r="G730" s="9" t="inlineStr">
        <is>
          <t xml:space="preserve">Ashish Jindal </t>
        </is>
      </c>
      <c r="H730" s="26" t="n">
        <v>9983975581</v>
      </c>
      <c r="I730" s="38" t="inlineStr">
        <is>
          <t>PE01052601</t>
        </is>
      </c>
      <c r="J730" s="26" t="inlineStr">
        <is>
          <t>Multiple Issues</t>
        </is>
      </c>
      <c r="K730" s="39" t="inlineStr">
        <is>
          <t>Holi</t>
        </is>
      </c>
      <c r="L730" s="39" t="inlineStr">
        <is>
          <t>Maharashtra</t>
        </is>
      </c>
      <c r="M730" s="9" t="inlineStr">
        <is>
          <t>NS</t>
        </is>
      </c>
      <c r="N730" s="3" t="inlineStr">
        <is>
          <t>Cold Soldering</t>
        </is>
      </c>
      <c r="O730" s="39" t="n">
        <v>575</v>
      </c>
      <c r="P730" s="9" t="inlineStr">
        <is>
          <t>NSMI24070192225</t>
        </is>
      </c>
      <c r="Q730" s="53">
        <f>MID(P730,5,2)</f>
        <v/>
      </c>
      <c r="R730" s="53">
        <f>MID(P730,7,2)</f>
        <v/>
      </c>
      <c r="S730" s="3" t="inlineStr">
        <is>
          <t>G2G</t>
        </is>
      </c>
      <c r="T730" s="3" t="inlineStr">
        <is>
          <t>P4</t>
        </is>
      </c>
      <c r="U730" s="3" t="inlineStr">
        <is>
          <t>N JB Cold Soldering</t>
        </is>
      </c>
      <c r="V730" s="3" t="inlineStr">
        <is>
          <t>Soldering</t>
        </is>
      </c>
      <c r="W730" s="3" t="inlineStr">
        <is>
          <t>Repair</t>
        </is>
      </c>
      <c r="X730" s="18" t="n">
        <v>46153</v>
      </c>
      <c r="Y730" s="3">
        <f>X730-A730</f>
        <v/>
      </c>
      <c r="Z730" s="18" t="n">
        <v>46153</v>
      </c>
      <c r="AA730" s="15" t="n"/>
      <c r="AB730" s="15" t="n"/>
    </row>
    <row r="731">
      <c r="A731" s="37" t="n">
        <v>46143</v>
      </c>
      <c r="B731" s="3" t="n">
        <v>2026</v>
      </c>
      <c r="C731" s="26" t="inlineStr">
        <is>
          <t>Yanara Power</t>
        </is>
      </c>
      <c r="D731" s="3" t="inlineStr">
        <is>
          <t>Utility and C&amp;I</t>
        </is>
      </c>
      <c r="E731" s="3" t="n"/>
      <c r="F731" s="3" t="inlineStr">
        <is>
          <t>Closed</t>
        </is>
      </c>
      <c r="G731" s="9" t="inlineStr">
        <is>
          <t xml:space="preserve">Ashish Jindal </t>
        </is>
      </c>
      <c r="H731" s="26" t="n">
        <v>9983975581</v>
      </c>
      <c r="I731" s="38" t="inlineStr">
        <is>
          <t>PE01052601</t>
        </is>
      </c>
      <c r="J731" s="26" t="inlineStr">
        <is>
          <t>Multiple Issues</t>
        </is>
      </c>
      <c r="K731" s="39" t="inlineStr">
        <is>
          <t>Holi</t>
        </is>
      </c>
      <c r="L731" s="39" t="inlineStr">
        <is>
          <t>Maharashtra</t>
        </is>
      </c>
      <c r="M731" s="9" t="inlineStr">
        <is>
          <t>PNS</t>
        </is>
      </c>
      <c r="N731" s="3" t="inlineStr">
        <is>
          <t>Cold Soldering</t>
        </is>
      </c>
      <c r="O731" s="39" t="n">
        <v>575</v>
      </c>
      <c r="P731" s="9" t="inlineStr">
        <is>
          <t>NSMI24070194100</t>
        </is>
      </c>
      <c r="Q731" s="53">
        <f>MID(P731,5,2)</f>
        <v/>
      </c>
      <c r="R731" s="53">
        <f>MID(P731,7,2)</f>
        <v/>
      </c>
      <c r="S731" s="3" t="inlineStr">
        <is>
          <t>G2G</t>
        </is>
      </c>
      <c r="T731" s="3" t="inlineStr">
        <is>
          <t>P4</t>
        </is>
      </c>
      <c r="U731" s="3" t="inlineStr">
        <is>
          <t>P &amp; N JB Cold Soldering</t>
        </is>
      </c>
      <c r="V731" s="3" t="inlineStr">
        <is>
          <t>Soldering</t>
        </is>
      </c>
      <c r="W731" s="3" t="inlineStr">
        <is>
          <t>Repair</t>
        </is>
      </c>
      <c r="X731" s="18" t="n">
        <v>46153</v>
      </c>
      <c r="Y731" s="3">
        <f>X731-A731</f>
        <v/>
      </c>
      <c r="Z731" s="18" t="n">
        <v>46153</v>
      </c>
      <c r="AA731" s="15" t="n"/>
      <c r="AB731" s="15" t="n"/>
    </row>
    <row r="732">
      <c r="A732" s="37" t="n">
        <v>46143</v>
      </c>
      <c r="B732" s="3" t="n">
        <v>2026</v>
      </c>
      <c r="C732" s="26" t="inlineStr">
        <is>
          <t>Yanara Power</t>
        </is>
      </c>
      <c r="D732" s="3" t="inlineStr">
        <is>
          <t>Utility and C&amp;I</t>
        </is>
      </c>
      <c r="E732" s="3" t="n"/>
      <c r="F732" s="3" t="inlineStr">
        <is>
          <t>Closed</t>
        </is>
      </c>
      <c r="G732" s="9" t="inlineStr">
        <is>
          <t xml:space="preserve">Ashish Jindal </t>
        </is>
      </c>
      <c r="H732" s="26" t="n">
        <v>9983975581</v>
      </c>
      <c r="I732" s="38" t="inlineStr">
        <is>
          <t>PE01052601</t>
        </is>
      </c>
      <c r="J732" s="26" t="inlineStr">
        <is>
          <t>Multiple Issues</t>
        </is>
      </c>
      <c r="K732" s="39" t="inlineStr">
        <is>
          <t>Holi</t>
        </is>
      </c>
      <c r="L732" s="39" t="inlineStr">
        <is>
          <t>Maharashtra</t>
        </is>
      </c>
      <c r="M732" s="9" t="inlineStr">
        <is>
          <t>PS</t>
        </is>
      </c>
      <c r="N732" s="3" t="inlineStr">
        <is>
          <t>Cold Soldering</t>
        </is>
      </c>
      <c r="O732" s="39" t="n">
        <v>575</v>
      </c>
      <c r="P732" s="9" t="inlineStr">
        <is>
          <t>NSMI24070217904</t>
        </is>
      </c>
      <c r="Q732" s="53">
        <f>MID(P732,5,2)</f>
        <v/>
      </c>
      <c r="R732" s="53">
        <f>MID(P732,7,2)</f>
        <v/>
      </c>
      <c r="S732" s="3" t="inlineStr">
        <is>
          <t>G2G</t>
        </is>
      </c>
      <c r="T732" s="3" t="inlineStr">
        <is>
          <t>P4</t>
        </is>
      </c>
      <c r="U732" s="3" t="inlineStr">
        <is>
          <t>P JB Cold Soldering</t>
        </is>
      </c>
      <c r="V732" s="3" t="inlineStr">
        <is>
          <t>Soldering</t>
        </is>
      </c>
      <c r="W732" s="3" t="inlineStr">
        <is>
          <t>Repair</t>
        </is>
      </c>
      <c r="X732" s="18" t="n">
        <v>46153</v>
      </c>
      <c r="Y732" s="3">
        <f>X732-A732</f>
        <v/>
      </c>
      <c r="Z732" s="18" t="n">
        <v>46153</v>
      </c>
      <c r="AA732" s="15" t="n"/>
      <c r="AB732" s="15" t="n"/>
    </row>
    <row r="733">
      <c r="A733" s="37" t="n">
        <v>46143</v>
      </c>
      <c r="B733" s="3" t="n">
        <v>2026</v>
      </c>
      <c r="C733" s="26" t="inlineStr">
        <is>
          <t>Yanara Power</t>
        </is>
      </c>
      <c r="D733" s="3" t="inlineStr">
        <is>
          <t>Utility and C&amp;I</t>
        </is>
      </c>
      <c r="E733" s="3" t="n"/>
      <c r="F733" s="3" t="inlineStr">
        <is>
          <t>Closed</t>
        </is>
      </c>
      <c r="G733" s="9" t="inlineStr">
        <is>
          <t xml:space="preserve">Ashish Jindal </t>
        </is>
      </c>
      <c r="H733" s="26" t="n">
        <v>9983975581</v>
      </c>
      <c r="I733" s="38" t="inlineStr">
        <is>
          <t>PE01052601</t>
        </is>
      </c>
      <c r="J733" s="26" t="inlineStr">
        <is>
          <t>Multiple Issues</t>
        </is>
      </c>
      <c r="K733" s="39" t="inlineStr">
        <is>
          <t>Holi</t>
        </is>
      </c>
      <c r="L733" s="39" t="inlineStr">
        <is>
          <t>Maharashtra</t>
        </is>
      </c>
      <c r="M733" s="9" t="inlineStr">
        <is>
          <t>PS</t>
        </is>
      </c>
      <c r="N733" s="3" t="inlineStr">
        <is>
          <t>Cold Soldering</t>
        </is>
      </c>
      <c r="O733" s="39" t="n">
        <v>575</v>
      </c>
      <c r="P733" s="9" t="inlineStr">
        <is>
          <t>NSMI24070215705</t>
        </is>
      </c>
      <c r="Q733" s="53">
        <f>MID(P733,5,2)</f>
        <v/>
      </c>
      <c r="R733" s="53">
        <f>MID(P733,7,2)</f>
        <v/>
      </c>
      <c r="S733" s="3" t="inlineStr">
        <is>
          <t>G2G</t>
        </is>
      </c>
      <c r="T733" s="3" t="inlineStr">
        <is>
          <t>P4</t>
        </is>
      </c>
      <c r="U733" s="3" t="inlineStr">
        <is>
          <t>P JB Cold Soldering</t>
        </is>
      </c>
      <c r="V733" s="3" t="inlineStr">
        <is>
          <t>Soldering</t>
        </is>
      </c>
      <c r="W733" s="3" t="inlineStr">
        <is>
          <t>Repair</t>
        </is>
      </c>
      <c r="X733" s="18" t="n">
        <v>46153</v>
      </c>
      <c r="Y733" s="3">
        <f>X733-A733</f>
        <v/>
      </c>
      <c r="Z733" s="18" t="n">
        <v>46153</v>
      </c>
      <c r="AA733" s="15" t="n"/>
      <c r="AB733" s="15" t="n"/>
    </row>
    <row r="734">
      <c r="A734" s="37" t="n">
        <v>46143</v>
      </c>
      <c r="B734" s="3" t="n">
        <v>2026</v>
      </c>
      <c r="C734" s="26" t="inlineStr">
        <is>
          <t>Yanara Power</t>
        </is>
      </c>
      <c r="D734" s="3" t="inlineStr">
        <is>
          <t>Utility and C&amp;I</t>
        </is>
      </c>
      <c r="E734" s="3" t="n"/>
      <c r="F734" s="3" t="inlineStr">
        <is>
          <t>Closed</t>
        </is>
      </c>
      <c r="G734" s="9" t="inlineStr">
        <is>
          <t xml:space="preserve">Ashish Jindal </t>
        </is>
      </c>
      <c r="H734" s="26" t="n">
        <v>9983975581</v>
      </c>
      <c r="I734" s="38" t="inlineStr">
        <is>
          <t>PE01052601</t>
        </is>
      </c>
      <c r="J734" s="26" t="inlineStr">
        <is>
          <t>Multiple Issues</t>
        </is>
      </c>
      <c r="K734" s="39" t="inlineStr">
        <is>
          <t>Holi</t>
        </is>
      </c>
      <c r="L734" s="39" t="inlineStr">
        <is>
          <t>Maharashtra</t>
        </is>
      </c>
      <c r="M734" s="9" t="inlineStr">
        <is>
          <t>PS</t>
        </is>
      </c>
      <c r="N734" s="3" t="inlineStr">
        <is>
          <t>Cold Soldering</t>
        </is>
      </c>
      <c r="O734" s="39" t="n">
        <v>575</v>
      </c>
      <c r="P734" s="9" t="inlineStr">
        <is>
          <t>NSMI24070181702</t>
        </is>
      </c>
      <c r="Q734" s="53">
        <f>MID(P734,5,2)</f>
        <v/>
      </c>
      <c r="R734" s="53">
        <f>MID(P734,7,2)</f>
        <v/>
      </c>
      <c r="S734" s="3" t="inlineStr">
        <is>
          <t>G2G</t>
        </is>
      </c>
      <c r="T734" s="3" t="inlineStr">
        <is>
          <t>P4</t>
        </is>
      </c>
      <c r="U734" s="3" t="inlineStr">
        <is>
          <t>P JB Cold Soldering</t>
        </is>
      </c>
      <c r="V734" s="3" t="inlineStr">
        <is>
          <t>Soldering</t>
        </is>
      </c>
      <c r="W734" s="3" t="inlineStr">
        <is>
          <t>Repair</t>
        </is>
      </c>
      <c r="X734" s="18" t="n">
        <v>46153</v>
      </c>
      <c r="Y734" s="3">
        <f>X734-A734</f>
        <v/>
      </c>
      <c r="Z734" s="18" t="n">
        <v>46153</v>
      </c>
      <c r="AA734" s="15" t="n"/>
      <c r="AB734" s="15" t="n"/>
    </row>
    <row r="735">
      <c r="A735" s="37" t="n">
        <v>46143</v>
      </c>
      <c r="B735" s="3" t="n">
        <v>2026</v>
      </c>
      <c r="C735" s="26" t="inlineStr">
        <is>
          <t>Yanara Power</t>
        </is>
      </c>
      <c r="D735" s="3" t="inlineStr">
        <is>
          <t>Utility and C&amp;I</t>
        </is>
      </c>
      <c r="E735" s="3" t="n"/>
      <c r="F735" s="3" t="inlineStr">
        <is>
          <t>Closed</t>
        </is>
      </c>
      <c r="G735" s="9" t="inlineStr">
        <is>
          <t xml:space="preserve">Ashish Jindal </t>
        </is>
      </c>
      <c r="H735" s="26" t="n">
        <v>9983975581</v>
      </c>
      <c r="I735" s="38" t="inlineStr">
        <is>
          <t>PE01052601</t>
        </is>
      </c>
      <c r="J735" s="26" t="inlineStr">
        <is>
          <t>Multiple Issues</t>
        </is>
      </c>
      <c r="K735" s="39" t="inlineStr">
        <is>
          <t>Holi</t>
        </is>
      </c>
      <c r="L735" s="39" t="inlineStr">
        <is>
          <t>Maharashtra</t>
        </is>
      </c>
      <c r="M735" s="9" t="inlineStr">
        <is>
          <t>PS</t>
        </is>
      </c>
      <c r="N735" s="3" t="inlineStr">
        <is>
          <t>Cold Soldering</t>
        </is>
      </c>
      <c r="O735" s="39" t="n">
        <v>575</v>
      </c>
      <c r="P735" s="9" t="inlineStr">
        <is>
          <t>NSMI24070215697</t>
        </is>
      </c>
      <c r="Q735" s="53">
        <f>MID(P735,5,2)</f>
        <v/>
      </c>
      <c r="R735" s="53">
        <f>MID(P735,7,2)</f>
        <v/>
      </c>
      <c r="S735" s="3" t="inlineStr">
        <is>
          <t>G2G</t>
        </is>
      </c>
      <c r="T735" s="3" t="inlineStr">
        <is>
          <t>P4</t>
        </is>
      </c>
      <c r="U735" s="3" t="inlineStr">
        <is>
          <t>P JB Cold Soldering</t>
        </is>
      </c>
      <c r="V735" s="3" t="inlineStr">
        <is>
          <t>Soldering</t>
        </is>
      </c>
      <c r="W735" s="3" t="inlineStr">
        <is>
          <t>Repair</t>
        </is>
      </c>
      <c r="X735" s="18" t="n">
        <v>46153</v>
      </c>
      <c r="Y735" s="3">
        <f>X735-A735</f>
        <v/>
      </c>
      <c r="Z735" s="18" t="n">
        <v>46153</v>
      </c>
      <c r="AA735" s="15" t="n"/>
      <c r="AB735" s="15" t="n"/>
    </row>
    <row r="736">
      <c r="A736" s="37" t="n">
        <v>46143</v>
      </c>
      <c r="B736" s="3" t="n">
        <v>2026</v>
      </c>
      <c r="C736" s="26" t="inlineStr">
        <is>
          <t>Yanara Power</t>
        </is>
      </c>
      <c r="D736" s="3" t="inlineStr">
        <is>
          <t>Utility and C&amp;I</t>
        </is>
      </c>
      <c r="E736" s="3" t="n"/>
      <c r="F736" s="3" t="inlineStr">
        <is>
          <t>Closed</t>
        </is>
      </c>
      <c r="G736" s="9" t="inlineStr">
        <is>
          <t xml:space="preserve">Ashish Jindal </t>
        </is>
      </c>
      <c r="H736" s="26" t="n">
        <v>9983975581</v>
      </c>
      <c r="I736" s="38" t="inlineStr">
        <is>
          <t>PE01052601</t>
        </is>
      </c>
      <c r="J736" s="26" t="inlineStr">
        <is>
          <t>Multiple Issues</t>
        </is>
      </c>
      <c r="K736" s="39" t="inlineStr">
        <is>
          <t>Holi</t>
        </is>
      </c>
      <c r="L736" s="39" t="inlineStr">
        <is>
          <t>Maharashtra</t>
        </is>
      </c>
      <c r="M736" s="9" t="inlineStr">
        <is>
          <t>PR</t>
        </is>
      </c>
      <c r="N736" s="3" t="inlineStr">
        <is>
          <t>JB Issue</t>
        </is>
      </c>
      <c r="O736" s="39" t="n">
        <v>575</v>
      </c>
      <c r="P736" s="9" t="inlineStr">
        <is>
          <t>NSMI24070218025</t>
        </is>
      </c>
      <c r="Q736" s="53">
        <f>MID(P736,5,2)</f>
        <v/>
      </c>
      <c r="R736" s="53">
        <f>MID(P736,7,2)</f>
        <v/>
      </c>
      <c r="S736" s="3" t="inlineStr">
        <is>
          <t>G2G</t>
        </is>
      </c>
      <c r="T736" s="3" t="inlineStr">
        <is>
          <t>P4</t>
        </is>
      </c>
      <c r="U736" s="3" t="inlineStr">
        <is>
          <t>P JB Issue</t>
        </is>
      </c>
      <c r="V736" s="15" t="inlineStr">
        <is>
          <t>JB Changed</t>
        </is>
      </c>
      <c r="W736" s="3" t="inlineStr">
        <is>
          <t>Repair</t>
        </is>
      </c>
      <c r="X736" s="18" t="n">
        <v>46153</v>
      </c>
      <c r="Y736" s="3">
        <f>X736-A736</f>
        <v/>
      </c>
      <c r="Z736" s="18" t="n">
        <v>46153</v>
      </c>
      <c r="AA736" s="15" t="n"/>
      <c r="AB736" s="15" t="n"/>
    </row>
    <row r="737">
      <c r="A737" s="37" t="n">
        <v>46143</v>
      </c>
      <c r="B737" s="3" t="n">
        <v>2026</v>
      </c>
      <c r="C737" s="26" t="inlineStr">
        <is>
          <t>Yanara Power</t>
        </is>
      </c>
      <c r="D737" s="3" t="inlineStr">
        <is>
          <t>Utility and C&amp;I</t>
        </is>
      </c>
      <c r="E737" s="3" t="n"/>
      <c r="F737" s="3" t="inlineStr">
        <is>
          <t>Closed</t>
        </is>
      </c>
      <c r="G737" s="9" t="inlineStr">
        <is>
          <t xml:space="preserve">Ashish Jindal </t>
        </is>
      </c>
      <c r="H737" s="26" t="n">
        <v>9983975581</v>
      </c>
      <c r="I737" s="38" t="inlineStr">
        <is>
          <t>PE01052601</t>
        </is>
      </c>
      <c r="J737" s="26" t="inlineStr">
        <is>
          <t>Multiple Issues</t>
        </is>
      </c>
      <c r="K737" s="39" t="inlineStr">
        <is>
          <t>Holi</t>
        </is>
      </c>
      <c r="L737" s="39" t="inlineStr">
        <is>
          <t>Maharashtra</t>
        </is>
      </c>
      <c r="M737" s="9" t="inlineStr">
        <is>
          <t>PS</t>
        </is>
      </c>
      <c r="N737" s="3" t="inlineStr">
        <is>
          <t>Cold Soldering</t>
        </is>
      </c>
      <c r="O737" s="39" t="n">
        <v>575</v>
      </c>
      <c r="P737" s="9" t="inlineStr">
        <is>
          <t>NSMI24070191026</t>
        </is>
      </c>
      <c r="Q737" s="53">
        <f>MID(P737,5,2)</f>
        <v/>
      </c>
      <c r="R737" s="53">
        <f>MID(P737,7,2)</f>
        <v/>
      </c>
      <c r="S737" s="3" t="inlineStr">
        <is>
          <t>G2G</t>
        </is>
      </c>
      <c r="T737" s="3" t="inlineStr">
        <is>
          <t>P4</t>
        </is>
      </c>
      <c r="U737" s="3" t="inlineStr">
        <is>
          <t>P JB Cold Soldering</t>
        </is>
      </c>
      <c r="V737" s="3" t="inlineStr">
        <is>
          <t>Soldering</t>
        </is>
      </c>
      <c r="W737" s="3" t="inlineStr">
        <is>
          <t>Repair</t>
        </is>
      </c>
      <c r="X737" s="18" t="n">
        <v>46153</v>
      </c>
      <c r="Y737" s="3">
        <f>X737-A737</f>
        <v/>
      </c>
      <c r="Z737" s="18" t="n">
        <v>46153</v>
      </c>
      <c r="AA737" s="15" t="n"/>
      <c r="AB737" s="15" t="n"/>
    </row>
    <row r="738">
      <c r="A738" s="37" t="n">
        <v>46143</v>
      </c>
      <c r="B738" s="3" t="n">
        <v>2026</v>
      </c>
      <c r="C738" s="26" t="inlineStr">
        <is>
          <t>Yanara Power</t>
        </is>
      </c>
      <c r="D738" s="3" t="inlineStr">
        <is>
          <t>Utility and C&amp;I</t>
        </is>
      </c>
      <c r="E738" s="3" t="n"/>
      <c r="F738" s="3" t="inlineStr">
        <is>
          <t>Closed</t>
        </is>
      </c>
      <c r="G738" s="9" t="inlineStr">
        <is>
          <t xml:space="preserve">Ashish Jindal </t>
        </is>
      </c>
      <c r="H738" s="26" t="n">
        <v>9983975581</v>
      </c>
      <c r="I738" s="38" t="inlineStr">
        <is>
          <t>PE01052601</t>
        </is>
      </c>
      <c r="J738" s="26" t="inlineStr">
        <is>
          <t>Multiple Issues</t>
        </is>
      </c>
      <c r="K738" s="39" t="inlineStr">
        <is>
          <t>Holi</t>
        </is>
      </c>
      <c r="L738" s="39" t="inlineStr">
        <is>
          <t>Maharashtra</t>
        </is>
      </c>
      <c r="M738" s="9" t="inlineStr">
        <is>
          <t>NR</t>
        </is>
      </c>
      <c r="N738" s="3" t="inlineStr">
        <is>
          <t>JB Issue</t>
        </is>
      </c>
      <c r="O738" s="39" t="n">
        <v>575</v>
      </c>
      <c r="P738" s="9" t="inlineStr">
        <is>
          <t>NSMI24070193608</t>
        </is>
      </c>
      <c r="Q738" s="53">
        <f>MID(P738,5,2)</f>
        <v/>
      </c>
      <c r="R738" s="53">
        <f>MID(P738,7,2)</f>
        <v/>
      </c>
      <c r="S738" s="3" t="inlineStr">
        <is>
          <t>G2G</t>
        </is>
      </c>
      <c r="T738" s="3" t="inlineStr">
        <is>
          <t>P4</t>
        </is>
      </c>
      <c r="U738" s="3" t="inlineStr">
        <is>
          <t>N JB Issue</t>
        </is>
      </c>
      <c r="V738" s="3" t="inlineStr">
        <is>
          <t>JB Changed</t>
        </is>
      </c>
      <c r="W738" s="3" t="inlineStr">
        <is>
          <t>Repair</t>
        </is>
      </c>
      <c r="X738" s="18" t="n">
        <v>46153</v>
      </c>
      <c r="Y738" s="3">
        <f>X738-A738</f>
        <v/>
      </c>
      <c r="Z738" s="18" t="n">
        <v>46153</v>
      </c>
      <c r="AA738" s="15" t="n"/>
      <c r="AB738" s="15" t="n"/>
    </row>
    <row r="739">
      <c r="A739" s="37" t="n">
        <v>46143</v>
      </c>
      <c r="B739" s="3" t="n">
        <v>2026</v>
      </c>
      <c r="C739" s="26" t="inlineStr">
        <is>
          <t>Yanara Power</t>
        </is>
      </c>
      <c r="D739" s="3" t="inlineStr">
        <is>
          <t>Utility and C&amp;I</t>
        </is>
      </c>
      <c r="E739" s="3" t="n"/>
      <c r="F739" s="3" t="inlineStr">
        <is>
          <t>Closed</t>
        </is>
      </c>
      <c r="G739" s="9" t="inlineStr">
        <is>
          <t xml:space="preserve">Ashish Jindal </t>
        </is>
      </c>
      <c r="H739" s="26" t="n">
        <v>9983975581</v>
      </c>
      <c r="I739" s="38" t="inlineStr">
        <is>
          <t>PE01052601</t>
        </is>
      </c>
      <c r="J739" s="26" t="inlineStr">
        <is>
          <t>Multiple Issues</t>
        </is>
      </c>
      <c r="K739" s="39" t="inlineStr">
        <is>
          <t>Holi</t>
        </is>
      </c>
      <c r="L739" s="39" t="inlineStr">
        <is>
          <t>Maharashtra</t>
        </is>
      </c>
      <c r="M739" s="9" t="inlineStr">
        <is>
          <t>NS</t>
        </is>
      </c>
      <c r="N739" s="3" t="inlineStr">
        <is>
          <t>Cold Soldering</t>
        </is>
      </c>
      <c r="O739" s="39" t="n">
        <v>575</v>
      </c>
      <c r="P739" s="9" t="inlineStr">
        <is>
          <t>NSMI24070193662</t>
        </is>
      </c>
      <c r="Q739" s="53">
        <f>MID(P739,5,2)</f>
        <v/>
      </c>
      <c r="R739" s="53">
        <f>MID(P739,7,2)</f>
        <v/>
      </c>
      <c r="S739" s="3" t="inlineStr">
        <is>
          <t>G2G</t>
        </is>
      </c>
      <c r="T739" s="3" t="inlineStr">
        <is>
          <t>P4</t>
        </is>
      </c>
      <c r="U739" s="3" t="inlineStr">
        <is>
          <t>N JB Cold Soldering</t>
        </is>
      </c>
      <c r="V739" s="3" t="inlineStr">
        <is>
          <t>Soldering</t>
        </is>
      </c>
      <c r="W739" s="3" t="inlineStr">
        <is>
          <t>Repair</t>
        </is>
      </c>
      <c r="X739" s="18" t="n">
        <v>46153</v>
      </c>
      <c r="Y739" s="3">
        <f>X739-A739</f>
        <v/>
      </c>
      <c r="Z739" s="18" t="n">
        <v>46153</v>
      </c>
      <c r="AA739" s="15" t="n"/>
      <c r="AB739" s="15" t="n"/>
    </row>
    <row r="740">
      <c r="A740" s="37" t="n">
        <v>46143</v>
      </c>
      <c r="B740" s="3" t="n">
        <v>2026</v>
      </c>
      <c r="C740" s="26" t="inlineStr">
        <is>
          <t>Yanara Power</t>
        </is>
      </c>
      <c r="D740" s="3" t="inlineStr">
        <is>
          <t>Utility and C&amp;I</t>
        </is>
      </c>
      <c r="E740" s="3" t="n"/>
      <c r="F740" s="3" t="inlineStr">
        <is>
          <t>Closed</t>
        </is>
      </c>
      <c r="G740" s="9" t="inlineStr">
        <is>
          <t xml:space="preserve">Ashish Jindal </t>
        </is>
      </c>
      <c r="H740" s="26" t="n">
        <v>9983975581</v>
      </c>
      <c r="I740" s="38" t="inlineStr">
        <is>
          <t>PE01052601</t>
        </is>
      </c>
      <c r="J740" s="26" t="inlineStr">
        <is>
          <t>Multiple Issues</t>
        </is>
      </c>
      <c r="K740" s="39" t="inlineStr">
        <is>
          <t>Holi</t>
        </is>
      </c>
      <c r="L740" s="39" t="inlineStr">
        <is>
          <t>Maharashtra</t>
        </is>
      </c>
      <c r="M740" s="9" t="inlineStr">
        <is>
          <t>PS</t>
        </is>
      </c>
      <c r="N740" s="3" t="inlineStr">
        <is>
          <t>Cold Soldering</t>
        </is>
      </c>
      <c r="O740" s="39" t="n">
        <v>575</v>
      </c>
      <c r="P740" s="9" t="inlineStr">
        <is>
          <t>NSMI24070194418</t>
        </is>
      </c>
      <c r="Q740" s="53">
        <f>MID(P740,5,2)</f>
        <v/>
      </c>
      <c r="R740" s="53">
        <f>MID(P740,7,2)</f>
        <v/>
      </c>
      <c r="S740" s="3" t="inlineStr">
        <is>
          <t>G2G</t>
        </is>
      </c>
      <c r="T740" s="3" t="inlineStr">
        <is>
          <t>P4</t>
        </is>
      </c>
      <c r="U740" s="3" t="inlineStr">
        <is>
          <t>P JB Cold Soldering</t>
        </is>
      </c>
      <c r="V740" s="3" t="inlineStr">
        <is>
          <t>Soldering</t>
        </is>
      </c>
      <c r="W740" s="3" t="inlineStr">
        <is>
          <t>Repair</t>
        </is>
      </c>
      <c r="X740" s="18" t="n">
        <v>46153</v>
      </c>
      <c r="Y740" s="3">
        <f>X740-A740</f>
        <v/>
      </c>
      <c r="Z740" s="18" t="n">
        <v>46153</v>
      </c>
      <c r="AA740" s="15" t="n"/>
      <c r="AB740" s="15" t="n"/>
    </row>
    <row r="741">
      <c r="A741" s="37" t="n">
        <v>46143</v>
      </c>
      <c r="B741" s="3" t="n">
        <v>2026</v>
      </c>
      <c r="C741" s="26" t="inlineStr">
        <is>
          <t>Yanara Power</t>
        </is>
      </c>
      <c r="D741" s="3" t="inlineStr">
        <is>
          <t>Utility and C&amp;I</t>
        </is>
      </c>
      <c r="E741" s="3" t="n"/>
      <c r="F741" s="3" t="inlineStr">
        <is>
          <t>Closed</t>
        </is>
      </c>
      <c r="G741" s="9" t="inlineStr">
        <is>
          <t xml:space="preserve">Ashish Jindal </t>
        </is>
      </c>
      <c r="H741" s="26" t="n">
        <v>9983975581</v>
      </c>
      <c r="I741" s="38" t="inlineStr">
        <is>
          <t>PE01052601</t>
        </is>
      </c>
      <c r="J741" s="26" t="inlineStr">
        <is>
          <t>Multiple Issues</t>
        </is>
      </c>
      <c r="K741" s="39" t="inlineStr">
        <is>
          <t>Holi</t>
        </is>
      </c>
      <c r="L741" s="39" t="inlineStr">
        <is>
          <t>Maharashtra</t>
        </is>
      </c>
      <c r="M741" s="9" t="inlineStr">
        <is>
          <t>PS</t>
        </is>
      </c>
      <c r="N741" s="3" t="inlineStr">
        <is>
          <t>Cold Soldering</t>
        </is>
      </c>
      <c r="O741" s="39" t="n">
        <v>575</v>
      </c>
      <c r="P741" s="9" t="inlineStr">
        <is>
          <t>NSMI24070199020</t>
        </is>
      </c>
      <c r="Q741" s="53">
        <f>MID(P741,5,2)</f>
        <v/>
      </c>
      <c r="R741" s="53">
        <f>MID(P741,7,2)</f>
        <v/>
      </c>
      <c r="S741" s="3" t="inlineStr">
        <is>
          <t>G2G</t>
        </is>
      </c>
      <c r="T741" s="3" t="inlineStr">
        <is>
          <t>P4</t>
        </is>
      </c>
      <c r="U741" s="3" t="inlineStr">
        <is>
          <t>P JB Cold Soldering</t>
        </is>
      </c>
      <c r="V741" s="3" t="inlineStr">
        <is>
          <t>Soldering</t>
        </is>
      </c>
      <c r="W741" s="3" t="inlineStr">
        <is>
          <t>Repair</t>
        </is>
      </c>
      <c r="X741" s="18" t="n">
        <v>46153</v>
      </c>
      <c r="Y741" s="3">
        <f>X741-A741</f>
        <v/>
      </c>
      <c r="Z741" s="18" t="n">
        <v>46153</v>
      </c>
      <c r="AA741" s="15" t="n"/>
      <c r="AB741" s="15" t="n"/>
    </row>
    <row r="742">
      <c r="A742" s="37" t="n">
        <v>46143</v>
      </c>
      <c r="B742" s="3" t="n">
        <v>2026</v>
      </c>
      <c r="C742" s="26" t="inlineStr">
        <is>
          <t>Yanara Power</t>
        </is>
      </c>
      <c r="D742" s="3" t="inlineStr">
        <is>
          <t>Utility and C&amp;I</t>
        </is>
      </c>
      <c r="E742" s="3" t="n"/>
      <c r="F742" s="3" t="inlineStr">
        <is>
          <t>Closed</t>
        </is>
      </c>
      <c r="G742" s="9" t="inlineStr">
        <is>
          <t xml:space="preserve">Ashish Jindal </t>
        </is>
      </c>
      <c r="H742" s="26" t="n">
        <v>9983975581</v>
      </c>
      <c r="I742" s="38" t="inlineStr">
        <is>
          <t>PE01052601</t>
        </is>
      </c>
      <c r="J742" s="26" t="inlineStr">
        <is>
          <t>Multiple Issues</t>
        </is>
      </c>
      <c r="K742" s="39" t="inlineStr">
        <is>
          <t>Holi</t>
        </is>
      </c>
      <c r="L742" s="39" t="inlineStr">
        <is>
          <t>Maharashtra</t>
        </is>
      </c>
      <c r="M742" s="9" t="inlineStr">
        <is>
          <t>NS</t>
        </is>
      </c>
      <c r="N742" s="3" t="inlineStr">
        <is>
          <t>Cold Soldering</t>
        </is>
      </c>
      <c r="O742" s="39" t="n">
        <v>575</v>
      </c>
      <c r="P742" s="9" t="inlineStr">
        <is>
          <t>NSMI24070199099</t>
        </is>
      </c>
      <c r="Q742" s="53">
        <f>MID(P742,5,2)</f>
        <v/>
      </c>
      <c r="R742" s="53">
        <f>MID(P742,7,2)</f>
        <v/>
      </c>
      <c r="S742" s="3" t="inlineStr">
        <is>
          <t>G2TB</t>
        </is>
      </c>
      <c r="T742" s="3" t="inlineStr">
        <is>
          <t>P4</t>
        </is>
      </c>
      <c r="U742" s="3" t="inlineStr">
        <is>
          <t>N JB Cold Soldering</t>
        </is>
      </c>
      <c r="V742" s="3" t="inlineStr">
        <is>
          <t>Soldering</t>
        </is>
      </c>
      <c r="W742" s="3" t="inlineStr">
        <is>
          <t>Repair</t>
        </is>
      </c>
      <c r="X742" s="18" t="n">
        <v>46153</v>
      </c>
      <c r="Y742" s="3">
        <f>X742-A742</f>
        <v/>
      </c>
      <c r="Z742" s="18" t="n">
        <v>46153</v>
      </c>
      <c r="AA742" s="15" t="n"/>
      <c r="AB742" s="15" t="n"/>
    </row>
    <row r="743">
      <c r="A743" s="37" t="n">
        <v>46154</v>
      </c>
      <c r="B743" s="3" t="n">
        <v>2026</v>
      </c>
      <c r="C743" s="19" t="inlineStr">
        <is>
          <t>Uma Trading</t>
        </is>
      </c>
      <c r="D743" s="26" t="inlineStr">
        <is>
          <t>Channel Sales</t>
        </is>
      </c>
      <c r="E743" s="3" t="n"/>
      <c r="F743" s="3" t="inlineStr">
        <is>
          <t>Closed</t>
        </is>
      </c>
      <c r="G743" s="45" t="inlineStr">
        <is>
          <t>Anisha</t>
        </is>
      </c>
      <c r="H743" s="25" t="n">
        <v>9307883016</v>
      </c>
      <c r="I743" s="4" t="inlineStr">
        <is>
          <t>PE12052604</t>
        </is>
      </c>
      <c r="J743" s="26" t="inlineStr">
        <is>
          <t>Module Burnt</t>
        </is>
      </c>
      <c r="K743" s="26" t="inlineStr">
        <is>
          <t xml:space="preserve"> Sangli</t>
        </is>
      </c>
      <c r="L743" s="26" t="inlineStr">
        <is>
          <t>Maharashtra</t>
        </is>
      </c>
      <c r="M743" s="9" t="inlineStr">
        <is>
          <t>No Visit</t>
        </is>
      </c>
      <c r="N743" s="26" t="inlineStr">
        <is>
          <t>MC4 connectors damaged</t>
        </is>
      </c>
      <c r="O743" s="39" t="n">
        <v>540</v>
      </c>
      <c r="P743" s="19" t="inlineStr">
        <is>
          <t>NSMP24122090183</t>
        </is>
      </c>
      <c r="Q743" s="53">
        <f>MID(P743,5,2)</f>
        <v/>
      </c>
      <c r="R743" s="53">
        <f>MID(P743,7,2)</f>
        <v/>
      </c>
      <c r="S743" s="3" t="inlineStr">
        <is>
          <t>G2G</t>
        </is>
      </c>
      <c r="T743" s="3" t="inlineStr">
        <is>
          <t>P2</t>
        </is>
      </c>
      <c r="U743" s="9" t="inlineStr">
        <is>
          <t>Improper connection between the module-side MC4 and the string output MC4</t>
        </is>
      </c>
      <c r="V743" s="26" t="inlineStr">
        <is>
          <t>MC4 connectors damaged</t>
        </is>
      </c>
      <c r="W743" s="3" t="inlineStr">
        <is>
          <t>Rejected</t>
        </is>
      </c>
      <c r="X743" s="18" t="n">
        <v>46155</v>
      </c>
      <c r="Y743" s="3">
        <f>X743-A743</f>
        <v/>
      </c>
      <c r="Z743" s="19" t="n"/>
      <c r="AA743" s="19" t="n"/>
      <c r="AB743" s="19" t="n"/>
    </row>
    <row r="744">
      <c r="A744" s="37" t="n">
        <v>46149</v>
      </c>
      <c r="B744" s="3" t="n">
        <v>2026</v>
      </c>
      <c r="C744" s="42" t="inlineStr">
        <is>
          <t>Cresta solar</t>
        </is>
      </c>
      <c r="D744" s="26" t="inlineStr">
        <is>
          <t>Channel Sales</t>
        </is>
      </c>
      <c r="E744" s="19" t="n"/>
      <c r="F744" s="3" t="inlineStr">
        <is>
          <t>Closed</t>
        </is>
      </c>
      <c r="G744" s="26" t="inlineStr">
        <is>
          <t>Shashank Sir</t>
        </is>
      </c>
      <c r="H744" s="19" t="n"/>
      <c r="I744" s="38" t="inlineStr">
        <is>
          <t>PE07052601</t>
        </is>
      </c>
      <c r="J744" s="42" t="inlineStr">
        <is>
          <t xml:space="preserve">Glass damage </t>
        </is>
      </c>
      <c r="K744" s="26" t="inlineStr">
        <is>
          <t>Hyderabad</t>
        </is>
      </c>
      <c r="L744" s="26" t="inlineStr">
        <is>
          <t>Telangana</t>
        </is>
      </c>
      <c r="M744" s="9" t="inlineStr">
        <is>
          <t>No Visit</t>
        </is>
      </c>
      <c r="N744" s="3" t="inlineStr">
        <is>
          <t>Glass Breakage</t>
        </is>
      </c>
      <c r="O744" s="39" t="n">
        <v>590</v>
      </c>
      <c r="P744" s="9" t="inlineStr">
        <is>
          <t>NSMI25031671069</t>
        </is>
      </c>
      <c r="Q744" s="53">
        <f>MID(P744,5,2)</f>
        <v/>
      </c>
      <c r="R744" s="53">
        <f>MID(P744,7,2)</f>
        <v/>
      </c>
      <c r="S744" s="3" t="inlineStr">
        <is>
          <t>G2G</t>
        </is>
      </c>
      <c r="T744" s="3" t="inlineStr">
        <is>
          <t>P4</t>
        </is>
      </c>
      <c r="U744" s="3" t="inlineStr">
        <is>
          <t>Glass Breakage</t>
        </is>
      </c>
      <c r="V744" s="19" t="inlineStr">
        <is>
          <t>Replacement</t>
        </is>
      </c>
      <c r="W744" s="19" t="inlineStr">
        <is>
          <t>Replacement</t>
        </is>
      </c>
      <c r="X744" s="18" t="n">
        <v>46150</v>
      </c>
      <c r="Y744" s="3">
        <f>X744-A744</f>
        <v/>
      </c>
      <c r="Z744" s="19" t="inlineStr">
        <is>
          <t>No Visit</t>
        </is>
      </c>
      <c r="AA744" s="19" t="n"/>
      <c r="AB744" s="19" t="n"/>
    </row>
    <row r="745" hidden="1" s="233">
      <c r="A745" s="6" t="n">
        <v>46107</v>
      </c>
      <c r="B745" s="3" t="n">
        <v>2026</v>
      </c>
      <c r="C745" s="3" t="inlineStr">
        <is>
          <t>Blupine</t>
        </is>
      </c>
      <c r="D745" s="3" t="inlineStr">
        <is>
          <t>Utility and C&amp;I</t>
        </is>
      </c>
      <c r="E745" s="3" t="n"/>
      <c r="F745" s="3" t="inlineStr">
        <is>
          <t>Closed</t>
        </is>
      </c>
      <c r="G745" s="3" t="inlineStr">
        <is>
          <t>Chandrashekar Patidar</t>
        </is>
      </c>
      <c r="H745" s="3" t="n">
        <v>7879764773</v>
      </c>
      <c r="I745" s="11" t="inlineStr">
        <is>
          <t>PE26032601</t>
        </is>
      </c>
      <c r="J745" s="3" t="inlineStr">
        <is>
          <t>Module Diode Failure</t>
        </is>
      </c>
      <c r="K745" s="3" t="inlineStr">
        <is>
          <t>Sadla</t>
        </is>
      </c>
      <c r="L745" s="3" t="inlineStr">
        <is>
          <t>Gujarat</t>
        </is>
      </c>
      <c r="M745" s="9" t="inlineStr">
        <is>
          <t>NS</t>
        </is>
      </c>
      <c r="N745" s="3" t="inlineStr">
        <is>
          <t>Cold Soldering</t>
        </is>
      </c>
      <c r="O745" s="3" t="n">
        <v>570</v>
      </c>
      <c r="P745" s="9" t="inlineStr">
        <is>
          <t>NSMI24050066841</t>
        </is>
      </c>
      <c r="Q745" s="53">
        <f>MID(P745,5,2)</f>
        <v/>
      </c>
      <c r="R745" s="53">
        <f>MID(P745,7,2)</f>
        <v/>
      </c>
      <c r="S745" s="3" t="inlineStr">
        <is>
          <t>G2G</t>
        </is>
      </c>
      <c r="T745" s="3" t="inlineStr">
        <is>
          <t>P4</t>
        </is>
      </c>
      <c r="U745" s="9" t="inlineStr">
        <is>
          <t>N JB Cold Soldering</t>
        </is>
      </c>
      <c r="V745" s="3" t="inlineStr">
        <is>
          <t>Soldering</t>
        </is>
      </c>
      <c r="W745" s="3" t="inlineStr">
        <is>
          <t>Repair</t>
        </is>
      </c>
      <c r="X745" s="18" t="n">
        <v>46154</v>
      </c>
      <c r="Y745" s="3">
        <f>X745-A745</f>
        <v/>
      </c>
      <c r="Z745" s="18" t="n">
        <v>46154</v>
      </c>
      <c r="AA745" s="15" t="n"/>
      <c r="AB745" s="15" t="n"/>
    </row>
    <row r="746" hidden="1" s="233">
      <c r="A746" s="6" t="n">
        <v>46107</v>
      </c>
      <c r="B746" s="3" t="n">
        <v>2026</v>
      </c>
      <c r="C746" s="3" t="inlineStr">
        <is>
          <t>Blupine</t>
        </is>
      </c>
      <c r="D746" s="3" t="inlineStr">
        <is>
          <t>Utility and C&amp;I</t>
        </is>
      </c>
      <c r="E746" s="3" t="n"/>
      <c r="F746" s="3" t="inlineStr">
        <is>
          <t>Closed</t>
        </is>
      </c>
      <c r="G746" s="3" t="inlineStr">
        <is>
          <t>Chandrashekar Patidar</t>
        </is>
      </c>
      <c r="H746" s="3" t="n">
        <v>7879764773</v>
      </c>
      <c r="I746" s="11" t="inlineStr">
        <is>
          <t>PE26032601</t>
        </is>
      </c>
      <c r="J746" s="3" t="inlineStr">
        <is>
          <t>Module Diode Failure</t>
        </is>
      </c>
      <c r="K746" s="3" t="inlineStr">
        <is>
          <t>Sadla</t>
        </is>
      </c>
      <c r="L746" s="3" t="inlineStr">
        <is>
          <t>Gujarat</t>
        </is>
      </c>
      <c r="M746" s="9" t="inlineStr">
        <is>
          <t>NS</t>
        </is>
      </c>
      <c r="N746" s="3" t="inlineStr">
        <is>
          <t>Cold Soldering</t>
        </is>
      </c>
      <c r="O746" s="3" t="n">
        <v>570</v>
      </c>
      <c r="P746" s="9" t="inlineStr">
        <is>
          <t>NSMI24060091962</t>
        </is>
      </c>
      <c r="Q746" s="53">
        <f>MID(P746,5,2)</f>
        <v/>
      </c>
      <c r="R746" s="53">
        <f>MID(P746,7,2)</f>
        <v/>
      </c>
      <c r="S746" s="3" t="inlineStr">
        <is>
          <t>G2G</t>
        </is>
      </c>
      <c r="T746" s="3" t="inlineStr">
        <is>
          <t>P4</t>
        </is>
      </c>
      <c r="U746" s="3" t="inlineStr">
        <is>
          <t>N JB Cold Soldering</t>
        </is>
      </c>
      <c r="V746" s="3" t="inlineStr">
        <is>
          <t>Soldering</t>
        </is>
      </c>
      <c r="W746" s="3" t="inlineStr">
        <is>
          <t>Repair</t>
        </is>
      </c>
      <c r="X746" s="18" t="n">
        <v>46154</v>
      </c>
      <c r="Y746" s="3">
        <f>X746-A746</f>
        <v/>
      </c>
      <c r="Z746" s="18" t="n">
        <v>46154</v>
      </c>
      <c r="AA746" s="15" t="n"/>
      <c r="AB746" s="15" t="n"/>
    </row>
    <row r="747" hidden="1" s="233">
      <c r="A747" s="6" t="n">
        <v>46107</v>
      </c>
      <c r="B747" s="3" t="n">
        <v>2026</v>
      </c>
      <c r="C747" s="3" t="inlineStr">
        <is>
          <t>Blupine</t>
        </is>
      </c>
      <c r="D747" s="3" t="inlineStr">
        <is>
          <t>Utility and C&amp;I</t>
        </is>
      </c>
      <c r="E747" s="3" t="n"/>
      <c r="F747" s="3" t="inlineStr">
        <is>
          <t>Closed</t>
        </is>
      </c>
      <c r="G747" s="3" t="inlineStr">
        <is>
          <t>Chandrashekar Patidar</t>
        </is>
      </c>
      <c r="H747" s="3" t="n">
        <v>7879764773</v>
      </c>
      <c r="I747" s="11" t="inlineStr">
        <is>
          <t>PE26032601</t>
        </is>
      </c>
      <c r="J747" s="3" t="inlineStr">
        <is>
          <t>Module Diode Failure</t>
        </is>
      </c>
      <c r="K747" s="3" t="inlineStr">
        <is>
          <t>Sadla</t>
        </is>
      </c>
      <c r="L747" s="3" t="inlineStr">
        <is>
          <t>Gujarat</t>
        </is>
      </c>
      <c r="M747" s="9" t="inlineStr">
        <is>
          <t>NS</t>
        </is>
      </c>
      <c r="N747" s="3" t="inlineStr">
        <is>
          <t>Cold Soldering</t>
        </is>
      </c>
      <c r="O747" s="3" t="n">
        <v>570</v>
      </c>
      <c r="P747" s="9" t="inlineStr">
        <is>
          <t>NSMI24060091963</t>
        </is>
      </c>
      <c r="Q747" s="53">
        <f>MID(P747,5,2)</f>
        <v/>
      </c>
      <c r="R747" s="53">
        <f>MID(P747,7,2)</f>
        <v/>
      </c>
      <c r="S747" s="3" t="inlineStr">
        <is>
          <t>G2G</t>
        </is>
      </c>
      <c r="T747" s="3" t="inlineStr">
        <is>
          <t>P4</t>
        </is>
      </c>
      <c r="U747" s="3" t="inlineStr">
        <is>
          <t>N JB Cold Soldering</t>
        </is>
      </c>
      <c r="V747" s="3" t="inlineStr">
        <is>
          <t>Soldering</t>
        </is>
      </c>
      <c r="W747" s="3" t="inlineStr">
        <is>
          <t>Repair</t>
        </is>
      </c>
      <c r="X747" s="18" t="n">
        <v>46154</v>
      </c>
      <c r="Y747" s="3">
        <f>X747-A747</f>
        <v/>
      </c>
      <c r="Z747" s="18" t="n">
        <v>46154</v>
      </c>
      <c r="AA747" s="15" t="n"/>
      <c r="AB747" s="15" t="n"/>
    </row>
    <row r="748" hidden="1" s="233">
      <c r="A748" s="6" t="n">
        <v>46107</v>
      </c>
      <c r="B748" s="3" t="n">
        <v>2026</v>
      </c>
      <c r="C748" s="3" t="inlineStr">
        <is>
          <t>Blupine</t>
        </is>
      </c>
      <c r="D748" s="3" t="inlineStr">
        <is>
          <t>Utility and C&amp;I</t>
        </is>
      </c>
      <c r="E748" s="3" t="n"/>
      <c r="F748" s="3" t="inlineStr">
        <is>
          <t>Closed</t>
        </is>
      </c>
      <c r="G748" s="3" t="inlineStr">
        <is>
          <t>Chandrashekar Patidar</t>
        </is>
      </c>
      <c r="H748" s="3" t="n">
        <v>7879764773</v>
      </c>
      <c r="I748" s="11" t="inlineStr">
        <is>
          <t>PE26032601</t>
        </is>
      </c>
      <c r="J748" s="3" t="inlineStr">
        <is>
          <t>Module Diode Failure</t>
        </is>
      </c>
      <c r="K748" s="3" t="inlineStr">
        <is>
          <t>Sadla</t>
        </is>
      </c>
      <c r="L748" s="3" t="inlineStr">
        <is>
          <t>Gujarat</t>
        </is>
      </c>
      <c r="M748" s="9" t="inlineStr">
        <is>
          <t>PS</t>
        </is>
      </c>
      <c r="N748" s="3" t="inlineStr">
        <is>
          <t>Cold Soldering</t>
        </is>
      </c>
      <c r="O748" s="3" t="n">
        <v>570</v>
      </c>
      <c r="P748" s="9" t="inlineStr">
        <is>
          <t>NSMI24060092056</t>
        </is>
      </c>
      <c r="Q748" s="53">
        <f>MID(P748,5,2)</f>
        <v/>
      </c>
      <c r="R748" s="53">
        <f>MID(P748,7,2)</f>
        <v/>
      </c>
      <c r="S748" s="3" t="inlineStr">
        <is>
          <t>G2G</t>
        </is>
      </c>
      <c r="T748" s="3" t="inlineStr">
        <is>
          <t>P4</t>
        </is>
      </c>
      <c r="U748" s="3" t="inlineStr">
        <is>
          <t>P JB Cold Soldering</t>
        </is>
      </c>
      <c r="V748" s="3" t="inlineStr">
        <is>
          <t>Soldering</t>
        </is>
      </c>
      <c r="W748" s="3" t="inlineStr">
        <is>
          <t>Repair</t>
        </is>
      </c>
      <c r="X748" s="18" t="n">
        <v>46154</v>
      </c>
      <c r="Y748" s="3">
        <f>X748-A748</f>
        <v/>
      </c>
      <c r="Z748" s="18" t="n">
        <v>46154</v>
      </c>
      <c r="AA748" s="15" t="n"/>
      <c r="AB748" s="15" t="n"/>
    </row>
    <row r="749" hidden="1" s="233">
      <c r="A749" s="6" t="n">
        <v>46107</v>
      </c>
      <c r="B749" s="3" t="n">
        <v>2026</v>
      </c>
      <c r="C749" s="3" t="inlineStr">
        <is>
          <t>Blupine</t>
        </is>
      </c>
      <c r="D749" s="3" t="inlineStr">
        <is>
          <t>Utility and C&amp;I</t>
        </is>
      </c>
      <c r="E749" s="3" t="n"/>
      <c r="F749" s="3" t="inlineStr">
        <is>
          <t>Closed</t>
        </is>
      </c>
      <c r="G749" s="3" t="inlineStr">
        <is>
          <t>Chandrashekar Patidar</t>
        </is>
      </c>
      <c r="H749" s="3" t="n">
        <v>7879764773</v>
      </c>
      <c r="I749" s="11" t="inlineStr">
        <is>
          <t>PE26032601</t>
        </is>
      </c>
      <c r="J749" s="3" t="inlineStr">
        <is>
          <t>Module Diode Failure</t>
        </is>
      </c>
      <c r="K749" s="3" t="inlineStr">
        <is>
          <t>Sadla</t>
        </is>
      </c>
      <c r="L749" s="3" t="inlineStr">
        <is>
          <t>Gujarat</t>
        </is>
      </c>
      <c r="M749" s="9" t="inlineStr">
        <is>
          <t>NS</t>
        </is>
      </c>
      <c r="N749" s="3" t="inlineStr">
        <is>
          <t>Cold Soldering</t>
        </is>
      </c>
      <c r="O749" s="3" t="n">
        <v>570</v>
      </c>
      <c r="P749" s="9" t="inlineStr">
        <is>
          <t>NSMI24060096933</t>
        </is>
      </c>
      <c r="Q749" s="53">
        <f>MID(P749,5,2)</f>
        <v/>
      </c>
      <c r="R749" s="53">
        <f>MID(P749,7,2)</f>
        <v/>
      </c>
      <c r="S749" s="3" t="inlineStr">
        <is>
          <t>G2G</t>
        </is>
      </c>
      <c r="T749" s="3" t="inlineStr">
        <is>
          <t>P4</t>
        </is>
      </c>
      <c r="U749" s="3" t="inlineStr">
        <is>
          <t>N JB Cold Soldering</t>
        </is>
      </c>
      <c r="V749" s="3" t="inlineStr">
        <is>
          <t>Soldering</t>
        </is>
      </c>
      <c r="W749" s="3" t="inlineStr">
        <is>
          <t>Repair</t>
        </is>
      </c>
      <c r="X749" s="18" t="n">
        <v>46154</v>
      </c>
      <c r="Y749" s="3">
        <f>X749-A749</f>
        <v/>
      </c>
      <c r="Z749" s="18" t="n">
        <v>46154</v>
      </c>
      <c r="AA749" s="15" t="n"/>
      <c r="AB749" s="15" t="n"/>
    </row>
    <row r="750" hidden="1" s="233">
      <c r="A750" s="6" t="n">
        <v>46107</v>
      </c>
      <c r="B750" s="3" t="n">
        <v>2026</v>
      </c>
      <c r="C750" s="3" t="inlineStr">
        <is>
          <t>Blupine</t>
        </is>
      </c>
      <c r="D750" s="3" t="inlineStr">
        <is>
          <t>Utility and C&amp;I</t>
        </is>
      </c>
      <c r="E750" s="3" t="n"/>
      <c r="F750" s="3" t="inlineStr">
        <is>
          <t>Closed</t>
        </is>
      </c>
      <c r="G750" s="3" t="inlineStr">
        <is>
          <t>Chandrashekar Patidar</t>
        </is>
      </c>
      <c r="H750" s="3" t="n">
        <v>7879764773</v>
      </c>
      <c r="I750" s="11" t="inlineStr">
        <is>
          <t>PE26032601</t>
        </is>
      </c>
      <c r="J750" s="3" t="inlineStr">
        <is>
          <t>Module Diode Failure</t>
        </is>
      </c>
      <c r="K750" s="3" t="inlineStr">
        <is>
          <t>Sadla</t>
        </is>
      </c>
      <c r="L750" s="3" t="inlineStr">
        <is>
          <t>Gujarat</t>
        </is>
      </c>
      <c r="M750" s="9" t="inlineStr">
        <is>
          <t>PS</t>
        </is>
      </c>
      <c r="N750" s="3" t="inlineStr">
        <is>
          <t>Cold Soldering</t>
        </is>
      </c>
      <c r="O750" s="3" t="n">
        <v>570</v>
      </c>
      <c r="P750" s="9" t="inlineStr">
        <is>
          <t>NSMI24060098773</t>
        </is>
      </c>
      <c r="Q750" s="53">
        <f>MID(P750,5,2)</f>
        <v/>
      </c>
      <c r="R750" s="53">
        <f>MID(P750,7,2)</f>
        <v/>
      </c>
      <c r="S750" s="3" t="inlineStr">
        <is>
          <t>G2G</t>
        </is>
      </c>
      <c r="T750" s="3" t="inlineStr">
        <is>
          <t>P4</t>
        </is>
      </c>
      <c r="U750" s="3" t="inlineStr">
        <is>
          <t>P JB Cold Soldering</t>
        </is>
      </c>
      <c r="V750" s="3" t="inlineStr">
        <is>
          <t>Soldering</t>
        </is>
      </c>
      <c r="W750" s="3" t="inlineStr">
        <is>
          <t>Repair</t>
        </is>
      </c>
      <c r="X750" s="18" t="n">
        <v>46154</v>
      </c>
      <c r="Y750" s="3">
        <f>X750-A750</f>
        <v/>
      </c>
      <c r="Z750" s="18" t="n">
        <v>46154</v>
      </c>
      <c r="AA750" s="15" t="n"/>
      <c r="AB750" s="15" t="n"/>
    </row>
    <row r="751" hidden="1" s="233">
      <c r="A751" s="6" t="n">
        <v>46107</v>
      </c>
      <c r="B751" s="3" t="n">
        <v>2026</v>
      </c>
      <c r="C751" s="3" t="inlineStr">
        <is>
          <t>Blupine</t>
        </is>
      </c>
      <c r="D751" s="3" t="inlineStr">
        <is>
          <t>Utility and C&amp;I</t>
        </is>
      </c>
      <c r="E751" s="3" t="n"/>
      <c r="F751" s="3" t="inlineStr">
        <is>
          <t>Closed</t>
        </is>
      </c>
      <c r="G751" s="3" t="inlineStr">
        <is>
          <t>Chandrashekar Patidar</t>
        </is>
      </c>
      <c r="H751" s="3" t="n">
        <v>7879764773</v>
      </c>
      <c r="I751" s="11" t="inlineStr">
        <is>
          <t>PE26032601</t>
        </is>
      </c>
      <c r="J751" s="3" t="inlineStr">
        <is>
          <t>Module Diode Failure</t>
        </is>
      </c>
      <c r="K751" s="3" t="inlineStr">
        <is>
          <t>Sadla</t>
        </is>
      </c>
      <c r="L751" s="3" t="inlineStr">
        <is>
          <t>Gujarat</t>
        </is>
      </c>
      <c r="M751" s="9" t="inlineStr">
        <is>
          <t>PS</t>
        </is>
      </c>
      <c r="N751" s="3" t="inlineStr">
        <is>
          <t>Cold Soldering</t>
        </is>
      </c>
      <c r="O751" s="3" t="n">
        <v>570</v>
      </c>
      <c r="P751" s="9" t="inlineStr">
        <is>
          <t>NSMI24060097281</t>
        </is>
      </c>
      <c r="Q751" s="53">
        <f>MID(P751,5,2)</f>
        <v/>
      </c>
      <c r="R751" s="53">
        <f>MID(P751,7,2)</f>
        <v/>
      </c>
      <c r="S751" s="3" t="inlineStr">
        <is>
          <t>G2G</t>
        </is>
      </c>
      <c r="T751" s="3" t="inlineStr">
        <is>
          <t>P4</t>
        </is>
      </c>
      <c r="U751" s="3" t="inlineStr">
        <is>
          <t>P JB Cold Soldering</t>
        </is>
      </c>
      <c r="V751" s="3" t="inlineStr">
        <is>
          <t>Soldering</t>
        </is>
      </c>
      <c r="W751" s="3" t="inlineStr">
        <is>
          <t>Repair</t>
        </is>
      </c>
      <c r="X751" s="18" t="n">
        <v>46154</v>
      </c>
      <c r="Y751" s="3">
        <f>X751-A751</f>
        <v/>
      </c>
      <c r="Z751" s="18" t="n">
        <v>46154</v>
      </c>
      <c r="AA751" s="15" t="n"/>
      <c r="AB751" s="15" t="n"/>
    </row>
    <row r="752" hidden="1" s="233">
      <c r="A752" s="6" t="n">
        <v>46107</v>
      </c>
      <c r="B752" s="3" t="n">
        <v>2026</v>
      </c>
      <c r="C752" s="3" t="inlineStr">
        <is>
          <t>Blupine</t>
        </is>
      </c>
      <c r="D752" s="3" t="inlineStr">
        <is>
          <t>Utility and C&amp;I</t>
        </is>
      </c>
      <c r="E752" s="3" t="n"/>
      <c r="F752" s="3" t="inlineStr">
        <is>
          <t>Closed</t>
        </is>
      </c>
      <c r="G752" s="3" t="inlineStr">
        <is>
          <t>Chandrashekar Patidar</t>
        </is>
      </c>
      <c r="H752" s="3" t="n">
        <v>7879764773</v>
      </c>
      <c r="I752" s="11" t="inlineStr">
        <is>
          <t>PE26032601</t>
        </is>
      </c>
      <c r="J752" s="3" t="inlineStr">
        <is>
          <t>Module Diode Failure</t>
        </is>
      </c>
      <c r="K752" s="3" t="inlineStr">
        <is>
          <t>Sadla</t>
        </is>
      </c>
      <c r="L752" s="3" t="inlineStr">
        <is>
          <t>Gujarat</t>
        </is>
      </c>
      <c r="M752" s="9" t="inlineStr">
        <is>
          <t>PS</t>
        </is>
      </c>
      <c r="N752" s="3" t="inlineStr">
        <is>
          <t>Cold Soldering</t>
        </is>
      </c>
      <c r="O752" s="3" t="n">
        <v>570</v>
      </c>
      <c r="P752" s="9" t="inlineStr">
        <is>
          <t>NSMI24060096671</t>
        </is>
      </c>
      <c r="Q752" s="53">
        <f>MID(P752,5,2)</f>
        <v/>
      </c>
      <c r="R752" s="53">
        <f>MID(P752,7,2)</f>
        <v/>
      </c>
      <c r="S752" s="3" t="inlineStr">
        <is>
          <t>G2G</t>
        </is>
      </c>
      <c r="T752" s="3" t="inlineStr">
        <is>
          <t>P4</t>
        </is>
      </c>
      <c r="U752" s="3" t="inlineStr">
        <is>
          <t>P JB Cold Soldering</t>
        </is>
      </c>
      <c r="V752" s="3" t="inlineStr">
        <is>
          <t>Soldering</t>
        </is>
      </c>
      <c r="W752" s="3" t="inlineStr">
        <is>
          <t>Repair</t>
        </is>
      </c>
      <c r="X752" s="18" t="n">
        <v>46154</v>
      </c>
      <c r="Y752" s="3">
        <f>X752-A752</f>
        <v/>
      </c>
      <c r="Z752" s="18" t="n">
        <v>46154</v>
      </c>
      <c r="AA752" s="15" t="n"/>
      <c r="AB752" s="15" t="n"/>
    </row>
    <row r="753" hidden="1" s="233">
      <c r="A753" s="6" t="n">
        <v>46107</v>
      </c>
      <c r="B753" s="3" t="n">
        <v>2026</v>
      </c>
      <c r="C753" s="3" t="inlineStr">
        <is>
          <t>Blupine</t>
        </is>
      </c>
      <c r="D753" s="3" t="inlineStr">
        <is>
          <t>Utility and C&amp;I</t>
        </is>
      </c>
      <c r="E753" s="3" t="n"/>
      <c r="F753" s="3" t="inlineStr">
        <is>
          <t>Closed</t>
        </is>
      </c>
      <c r="G753" s="3" t="inlineStr">
        <is>
          <t>Chandrashekar Patidar</t>
        </is>
      </c>
      <c r="H753" s="3" t="n">
        <v>7879764773</v>
      </c>
      <c r="I753" s="11" t="inlineStr">
        <is>
          <t>PE26032601</t>
        </is>
      </c>
      <c r="J753" s="3" t="inlineStr">
        <is>
          <t>Module Diode Failure</t>
        </is>
      </c>
      <c r="K753" s="3" t="inlineStr">
        <is>
          <t>Sadla</t>
        </is>
      </c>
      <c r="L753" s="3" t="inlineStr">
        <is>
          <t>Gujarat</t>
        </is>
      </c>
      <c r="M753" s="9" t="inlineStr">
        <is>
          <t>PS</t>
        </is>
      </c>
      <c r="N753" s="3" t="inlineStr">
        <is>
          <t>Cold Soldering</t>
        </is>
      </c>
      <c r="O753" s="3" t="n">
        <v>570</v>
      </c>
      <c r="P753" s="9" t="inlineStr">
        <is>
          <t>NSMI24060098798</t>
        </is>
      </c>
      <c r="Q753" s="53">
        <f>MID(P753,5,2)</f>
        <v/>
      </c>
      <c r="R753" s="53">
        <f>MID(P753,7,2)</f>
        <v/>
      </c>
      <c r="S753" s="3" t="inlineStr">
        <is>
          <t>G2G</t>
        </is>
      </c>
      <c r="T753" s="3" t="inlineStr">
        <is>
          <t>P4</t>
        </is>
      </c>
      <c r="U753" s="3" t="inlineStr">
        <is>
          <t>P JB Cold Soldering</t>
        </is>
      </c>
      <c r="V753" s="3" t="inlineStr">
        <is>
          <t>Soldering</t>
        </is>
      </c>
      <c r="W753" s="3" t="inlineStr">
        <is>
          <t>Repair</t>
        </is>
      </c>
      <c r="X753" s="18" t="n">
        <v>46154</v>
      </c>
      <c r="Y753" s="3">
        <f>X753-A753</f>
        <v/>
      </c>
      <c r="Z753" s="18" t="n">
        <v>46154</v>
      </c>
      <c r="AA753" s="15" t="n"/>
      <c r="AB753" s="15" t="n"/>
    </row>
    <row r="754" hidden="1" s="233">
      <c r="A754" s="6" t="n">
        <v>46107</v>
      </c>
      <c r="B754" s="3" t="n">
        <v>2026</v>
      </c>
      <c r="C754" s="3" t="inlineStr">
        <is>
          <t>Blupine</t>
        </is>
      </c>
      <c r="D754" s="3" t="inlineStr">
        <is>
          <t>Utility and C&amp;I</t>
        </is>
      </c>
      <c r="E754" s="3" t="n"/>
      <c r="F754" s="3" t="inlineStr">
        <is>
          <t>Closed</t>
        </is>
      </c>
      <c r="G754" s="3" t="inlineStr">
        <is>
          <t>Chandrashekar Patidar</t>
        </is>
      </c>
      <c r="H754" s="3" t="n">
        <v>7879764773</v>
      </c>
      <c r="I754" s="11" t="inlineStr">
        <is>
          <t>PE26032601</t>
        </is>
      </c>
      <c r="J754" s="3" t="inlineStr">
        <is>
          <t>Module Diode Failure</t>
        </is>
      </c>
      <c r="K754" s="3" t="inlineStr">
        <is>
          <t>Sadla</t>
        </is>
      </c>
      <c r="L754" s="3" t="inlineStr">
        <is>
          <t>Gujarat</t>
        </is>
      </c>
      <c r="M754" s="9" t="inlineStr">
        <is>
          <t>PS</t>
        </is>
      </c>
      <c r="N754" s="3" t="inlineStr">
        <is>
          <t>Cold Soldering</t>
        </is>
      </c>
      <c r="O754" s="3" t="n">
        <v>570</v>
      </c>
      <c r="P754" s="9" t="inlineStr">
        <is>
          <t>NSMI24060090731</t>
        </is>
      </c>
      <c r="Q754" s="53">
        <f>MID(P754,5,2)</f>
        <v/>
      </c>
      <c r="R754" s="53">
        <f>MID(P754,7,2)</f>
        <v/>
      </c>
      <c r="S754" s="3" t="inlineStr">
        <is>
          <t>G2G</t>
        </is>
      </c>
      <c r="T754" s="3" t="inlineStr">
        <is>
          <t>P4</t>
        </is>
      </c>
      <c r="U754" s="3" t="inlineStr">
        <is>
          <t>P JB Cold Soldering</t>
        </is>
      </c>
      <c r="V754" s="3" t="inlineStr">
        <is>
          <t>Soldering</t>
        </is>
      </c>
      <c r="W754" s="3" t="inlineStr">
        <is>
          <t>Repair</t>
        </is>
      </c>
      <c r="X754" s="18" t="n">
        <v>46154</v>
      </c>
      <c r="Y754" s="3">
        <f>X754-A754</f>
        <v/>
      </c>
      <c r="Z754" s="18" t="n">
        <v>46154</v>
      </c>
      <c r="AA754" s="15" t="n"/>
      <c r="AB754" s="15" t="n"/>
    </row>
    <row r="755" hidden="1" s="233">
      <c r="A755" s="6" t="n">
        <v>46107</v>
      </c>
      <c r="B755" s="3" t="n">
        <v>2026</v>
      </c>
      <c r="C755" s="3" t="inlineStr">
        <is>
          <t>Blupine</t>
        </is>
      </c>
      <c r="D755" s="3" t="inlineStr">
        <is>
          <t>Utility and C&amp;I</t>
        </is>
      </c>
      <c r="E755" s="3" t="n"/>
      <c r="F755" s="3" t="inlineStr">
        <is>
          <t>Closed</t>
        </is>
      </c>
      <c r="G755" s="3" t="inlineStr">
        <is>
          <t>Chandrashekar Patidar</t>
        </is>
      </c>
      <c r="H755" s="3" t="n">
        <v>7879764773</v>
      </c>
      <c r="I755" s="11" t="inlineStr">
        <is>
          <t>PE26032601</t>
        </is>
      </c>
      <c r="J755" s="3" t="inlineStr">
        <is>
          <t>Module Diode Failure</t>
        </is>
      </c>
      <c r="K755" s="3" t="inlineStr">
        <is>
          <t>Sadla</t>
        </is>
      </c>
      <c r="L755" s="3" t="inlineStr">
        <is>
          <t>Gujarat</t>
        </is>
      </c>
      <c r="M755" s="9" t="inlineStr">
        <is>
          <t>NS</t>
        </is>
      </c>
      <c r="N755" s="3" t="inlineStr">
        <is>
          <t>Cold Soldering</t>
        </is>
      </c>
      <c r="O755" s="3" t="n">
        <v>570</v>
      </c>
      <c r="P755" s="9" t="inlineStr">
        <is>
          <t>NSMI24060097150</t>
        </is>
      </c>
      <c r="Q755" s="53">
        <f>MID(P755,5,2)</f>
        <v/>
      </c>
      <c r="R755" s="53">
        <f>MID(P755,7,2)</f>
        <v/>
      </c>
      <c r="S755" s="3" t="inlineStr">
        <is>
          <t>G2G</t>
        </is>
      </c>
      <c r="T755" s="3" t="inlineStr">
        <is>
          <t>P4</t>
        </is>
      </c>
      <c r="U755" s="3" t="inlineStr">
        <is>
          <t>N JB Cold Soldering</t>
        </is>
      </c>
      <c r="V755" s="3" t="inlineStr">
        <is>
          <t>Soldering</t>
        </is>
      </c>
      <c r="W755" s="3" t="inlineStr">
        <is>
          <t>Repair</t>
        </is>
      </c>
      <c r="X755" s="18" t="n">
        <v>46154</v>
      </c>
      <c r="Y755" s="3">
        <f>X755-A755</f>
        <v/>
      </c>
      <c r="Z755" s="18" t="n">
        <v>46154</v>
      </c>
      <c r="AA755" s="15" t="n"/>
      <c r="AB755" s="15" t="n"/>
    </row>
    <row r="756" hidden="1" s="233">
      <c r="A756" s="6" t="n">
        <v>46107</v>
      </c>
      <c r="B756" s="3" t="n">
        <v>2026</v>
      </c>
      <c r="C756" s="3" t="inlineStr">
        <is>
          <t>Blupine</t>
        </is>
      </c>
      <c r="D756" s="3" t="inlineStr">
        <is>
          <t>Utility and C&amp;I</t>
        </is>
      </c>
      <c r="E756" s="3" t="n"/>
      <c r="F756" s="3" t="inlineStr">
        <is>
          <t>Closed</t>
        </is>
      </c>
      <c r="G756" s="3" t="inlineStr">
        <is>
          <t>Chandrashekar Patidar</t>
        </is>
      </c>
      <c r="H756" s="3" t="n">
        <v>7879764773</v>
      </c>
      <c r="I756" s="11" t="inlineStr">
        <is>
          <t>PE26032601</t>
        </is>
      </c>
      <c r="J756" s="3" t="inlineStr">
        <is>
          <t>Module Diode Failure</t>
        </is>
      </c>
      <c r="K756" s="3" t="inlineStr">
        <is>
          <t>Sadla</t>
        </is>
      </c>
      <c r="L756" s="3" t="inlineStr">
        <is>
          <t>Gujarat</t>
        </is>
      </c>
      <c r="M756" s="9" t="inlineStr">
        <is>
          <t>PS</t>
        </is>
      </c>
      <c r="N756" s="3" t="inlineStr">
        <is>
          <t>Cold Soldering</t>
        </is>
      </c>
      <c r="O756" s="3" t="n">
        <v>570</v>
      </c>
      <c r="P756" s="9" t="inlineStr">
        <is>
          <t>NSMI24080336864</t>
        </is>
      </c>
      <c r="Q756" s="53">
        <f>MID(P756,5,2)</f>
        <v/>
      </c>
      <c r="R756" s="53">
        <f>MID(P756,7,2)</f>
        <v/>
      </c>
      <c r="S756" s="3" t="inlineStr">
        <is>
          <t>G2G</t>
        </is>
      </c>
      <c r="T756" s="3" t="inlineStr">
        <is>
          <t>P4</t>
        </is>
      </c>
      <c r="U756" s="3" t="inlineStr">
        <is>
          <t>P JB Cold Soldering</t>
        </is>
      </c>
      <c r="V756" s="3" t="inlineStr">
        <is>
          <t>Soldering</t>
        </is>
      </c>
      <c r="W756" s="3" t="inlineStr">
        <is>
          <t>Repair</t>
        </is>
      </c>
      <c r="X756" s="18" t="n">
        <v>46154</v>
      </c>
      <c r="Y756" s="3">
        <f>X756-A756</f>
        <v/>
      </c>
      <c r="Z756" s="18" t="n">
        <v>46154</v>
      </c>
      <c r="AA756" s="15" t="n"/>
      <c r="AB756" s="15" t="n"/>
    </row>
    <row r="757" hidden="1" s="233">
      <c r="A757" s="6" t="n">
        <v>46107</v>
      </c>
      <c r="B757" s="3" t="n">
        <v>2026</v>
      </c>
      <c r="C757" s="3" t="inlineStr">
        <is>
          <t>Blupine</t>
        </is>
      </c>
      <c r="D757" s="3" t="inlineStr">
        <is>
          <t>Utility and C&amp;I</t>
        </is>
      </c>
      <c r="E757" s="3" t="n"/>
      <c r="F757" s="3" t="inlineStr">
        <is>
          <t>Closed</t>
        </is>
      </c>
      <c r="G757" s="3" t="inlineStr">
        <is>
          <t>Chandrashekar Patidar</t>
        </is>
      </c>
      <c r="H757" s="3" t="n">
        <v>7879764773</v>
      </c>
      <c r="I757" s="11" t="inlineStr">
        <is>
          <t>PE26032601</t>
        </is>
      </c>
      <c r="J757" s="3" t="inlineStr">
        <is>
          <t>Module Diode Failure</t>
        </is>
      </c>
      <c r="K757" s="3" t="inlineStr">
        <is>
          <t>Sadla</t>
        </is>
      </c>
      <c r="L757" s="3" t="inlineStr">
        <is>
          <t>Gujarat</t>
        </is>
      </c>
      <c r="M757" s="9" t="inlineStr">
        <is>
          <t>PS</t>
        </is>
      </c>
      <c r="N757" s="3" t="inlineStr">
        <is>
          <t>Cold Soldering</t>
        </is>
      </c>
      <c r="O757" s="3" t="n">
        <v>570</v>
      </c>
      <c r="P757" s="9" t="inlineStr">
        <is>
          <t>NSMI24060085131</t>
        </is>
      </c>
      <c r="Q757" s="53">
        <f>MID(P757,5,2)</f>
        <v/>
      </c>
      <c r="R757" s="53">
        <f>MID(P757,7,2)</f>
        <v/>
      </c>
      <c r="S757" s="3" t="inlineStr">
        <is>
          <t>G2G</t>
        </is>
      </c>
      <c r="T757" s="3" t="inlineStr">
        <is>
          <t>P4</t>
        </is>
      </c>
      <c r="U757" s="3" t="inlineStr">
        <is>
          <t>P JB Cold Soldering</t>
        </is>
      </c>
      <c r="V757" s="3" t="inlineStr">
        <is>
          <t>Soldering</t>
        </is>
      </c>
      <c r="W757" s="3" t="inlineStr">
        <is>
          <t>Repair</t>
        </is>
      </c>
      <c r="X757" s="18" t="n">
        <v>46154</v>
      </c>
      <c r="Y757" s="3">
        <f>X757-A757</f>
        <v/>
      </c>
      <c r="Z757" s="18" t="n">
        <v>46154</v>
      </c>
      <c r="AA757" s="15" t="n"/>
      <c r="AB757" s="15" t="n"/>
    </row>
    <row r="758" hidden="1" s="233">
      <c r="A758" s="6" t="n">
        <v>46107</v>
      </c>
      <c r="B758" s="3" t="n">
        <v>2026</v>
      </c>
      <c r="C758" s="3" t="inlineStr">
        <is>
          <t>Blupine</t>
        </is>
      </c>
      <c r="D758" s="3" t="inlineStr">
        <is>
          <t>Utility and C&amp;I</t>
        </is>
      </c>
      <c r="E758" s="3" t="n"/>
      <c r="F758" s="3" t="inlineStr">
        <is>
          <t>Closed</t>
        </is>
      </c>
      <c r="G758" s="3" t="inlineStr">
        <is>
          <t>Chandrashekar Patidar</t>
        </is>
      </c>
      <c r="H758" s="3" t="n">
        <v>7879764773</v>
      </c>
      <c r="I758" s="11" t="inlineStr">
        <is>
          <t>PE26032601</t>
        </is>
      </c>
      <c r="J758" s="3" t="inlineStr">
        <is>
          <t>Module Diode Failure</t>
        </is>
      </c>
      <c r="K758" s="3" t="inlineStr">
        <is>
          <t>Sadla</t>
        </is>
      </c>
      <c r="L758" s="3" t="inlineStr">
        <is>
          <t>Gujarat</t>
        </is>
      </c>
      <c r="M758" s="9" t="inlineStr">
        <is>
          <t>NS</t>
        </is>
      </c>
      <c r="N758" s="3" t="inlineStr">
        <is>
          <t>Cold Soldering</t>
        </is>
      </c>
      <c r="O758" s="3" t="n">
        <v>570</v>
      </c>
      <c r="P758" s="9" t="inlineStr">
        <is>
          <t>NSMI24060081108</t>
        </is>
      </c>
      <c r="Q758" s="53">
        <f>MID(P758,5,2)</f>
        <v/>
      </c>
      <c r="R758" s="53">
        <f>MID(P758,7,2)</f>
        <v/>
      </c>
      <c r="S758" s="3" t="inlineStr">
        <is>
          <t>G2G</t>
        </is>
      </c>
      <c r="T758" s="3" t="inlineStr">
        <is>
          <t>P4</t>
        </is>
      </c>
      <c r="U758" s="3" t="inlineStr">
        <is>
          <t>N JB Cold Soldering</t>
        </is>
      </c>
      <c r="V758" s="3" t="inlineStr">
        <is>
          <t>Soldering</t>
        </is>
      </c>
      <c r="W758" s="3" t="inlineStr">
        <is>
          <t>Repair</t>
        </is>
      </c>
      <c r="X758" s="18" t="n">
        <v>46154</v>
      </c>
      <c r="Y758" s="3">
        <f>X758-A758</f>
        <v/>
      </c>
      <c r="Z758" s="18" t="n">
        <v>46154</v>
      </c>
      <c r="AA758" s="15" t="n"/>
      <c r="AB758" s="15" t="n"/>
    </row>
    <row r="759" hidden="1" s="233">
      <c r="A759" s="6" t="n">
        <v>46107</v>
      </c>
      <c r="B759" s="3" t="n">
        <v>2026</v>
      </c>
      <c r="C759" s="3" t="inlineStr">
        <is>
          <t>Blupine</t>
        </is>
      </c>
      <c r="D759" s="3" t="inlineStr">
        <is>
          <t>Utility and C&amp;I</t>
        </is>
      </c>
      <c r="E759" s="3" t="n"/>
      <c r="F759" s="3" t="inlineStr">
        <is>
          <t>Closed</t>
        </is>
      </c>
      <c r="G759" s="3" t="inlineStr">
        <is>
          <t>Chandrashekar Patidar</t>
        </is>
      </c>
      <c r="H759" s="3" t="n">
        <v>7879764773</v>
      </c>
      <c r="I759" s="11" t="inlineStr">
        <is>
          <t>PE26032601</t>
        </is>
      </c>
      <c r="J759" s="3" t="inlineStr">
        <is>
          <t>Module Diode Failure</t>
        </is>
      </c>
      <c r="K759" s="3" t="inlineStr">
        <is>
          <t>Sadla</t>
        </is>
      </c>
      <c r="L759" s="3" t="inlineStr">
        <is>
          <t>Gujarat</t>
        </is>
      </c>
      <c r="M759" s="9" t="inlineStr">
        <is>
          <t>PS</t>
        </is>
      </c>
      <c r="N759" s="3" t="inlineStr">
        <is>
          <t>Cold Soldering</t>
        </is>
      </c>
      <c r="O759" s="3" t="n">
        <v>570</v>
      </c>
      <c r="P759" s="9" t="inlineStr">
        <is>
          <t>NSMI24060084525</t>
        </is>
      </c>
      <c r="Q759" s="53">
        <f>MID(P759,5,2)</f>
        <v/>
      </c>
      <c r="R759" s="53">
        <f>MID(P759,7,2)</f>
        <v/>
      </c>
      <c r="S759" s="3" t="inlineStr">
        <is>
          <t>G2G</t>
        </is>
      </c>
      <c r="T759" s="3" t="inlineStr">
        <is>
          <t>P4</t>
        </is>
      </c>
      <c r="U759" s="3" t="inlineStr">
        <is>
          <t>P JB Cold Soldering</t>
        </is>
      </c>
      <c r="V759" s="3" t="inlineStr">
        <is>
          <t>Soldering</t>
        </is>
      </c>
      <c r="W759" s="3" t="inlineStr">
        <is>
          <t>Repair</t>
        </is>
      </c>
      <c r="X759" s="18" t="n">
        <v>46154</v>
      </c>
      <c r="Y759" s="3">
        <f>X759-A759</f>
        <v/>
      </c>
      <c r="Z759" s="18" t="n">
        <v>46154</v>
      </c>
      <c r="AA759" s="15" t="n"/>
      <c r="AB759" s="15" t="n"/>
    </row>
    <row r="760" hidden="1" s="233">
      <c r="A760" s="6" t="n">
        <v>46107</v>
      </c>
      <c r="B760" s="3" t="n">
        <v>2026</v>
      </c>
      <c r="C760" s="3" t="inlineStr">
        <is>
          <t>Blupine</t>
        </is>
      </c>
      <c r="D760" s="3" t="inlineStr">
        <is>
          <t>Utility and C&amp;I</t>
        </is>
      </c>
      <c r="E760" s="3" t="n"/>
      <c r="F760" s="3" t="inlineStr">
        <is>
          <t>Closed</t>
        </is>
      </c>
      <c r="G760" s="3" t="inlineStr">
        <is>
          <t>Chandrashekar Patidar</t>
        </is>
      </c>
      <c r="H760" s="3" t="n">
        <v>7879764773</v>
      </c>
      <c r="I760" s="11" t="inlineStr">
        <is>
          <t>PE26032601</t>
        </is>
      </c>
      <c r="J760" s="3" t="inlineStr">
        <is>
          <t>Module Diode Failure</t>
        </is>
      </c>
      <c r="K760" s="3" t="inlineStr">
        <is>
          <t>Sadla</t>
        </is>
      </c>
      <c r="L760" s="3" t="inlineStr">
        <is>
          <t>Gujarat</t>
        </is>
      </c>
      <c r="M760" s="9" t="inlineStr">
        <is>
          <t>NS</t>
        </is>
      </c>
      <c r="N760" s="3" t="inlineStr">
        <is>
          <t>Cold Soldering</t>
        </is>
      </c>
      <c r="O760" s="3" t="n">
        <v>570</v>
      </c>
      <c r="P760" s="9" t="inlineStr">
        <is>
          <t>NSMI24060103052</t>
        </is>
      </c>
      <c r="Q760" s="53">
        <f>MID(P760,5,2)</f>
        <v/>
      </c>
      <c r="R760" s="53">
        <f>MID(P760,7,2)</f>
        <v/>
      </c>
      <c r="S760" s="3" t="inlineStr">
        <is>
          <t>G2G</t>
        </is>
      </c>
      <c r="T760" s="3" t="inlineStr">
        <is>
          <t>P4</t>
        </is>
      </c>
      <c r="U760" s="3" t="inlineStr">
        <is>
          <t>N JB Cold Soldering</t>
        </is>
      </c>
      <c r="V760" s="3" t="inlineStr">
        <is>
          <t>Soldering</t>
        </is>
      </c>
      <c r="W760" s="3" t="inlineStr">
        <is>
          <t>Repair</t>
        </is>
      </c>
      <c r="X760" s="18" t="n">
        <v>46154</v>
      </c>
      <c r="Y760" s="3">
        <f>X760-A760</f>
        <v/>
      </c>
      <c r="Z760" s="18" t="n">
        <v>46154</v>
      </c>
      <c r="AA760" s="15" t="n"/>
      <c r="AB760" s="15" t="n"/>
    </row>
    <row r="761" hidden="1" s="233">
      <c r="A761" s="6" t="n">
        <v>46107</v>
      </c>
      <c r="B761" s="3" t="n">
        <v>2026</v>
      </c>
      <c r="C761" s="3" t="inlineStr">
        <is>
          <t>Blupine</t>
        </is>
      </c>
      <c r="D761" s="3" t="inlineStr">
        <is>
          <t>Utility and C&amp;I</t>
        </is>
      </c>
      <c r="E761" s="3" t="n"/>
      <c r="F761" s="3" t="inlineStr">
        <is>
          <t>Closed</t>
        </is>
      </c>
      <c r="G761" s="3" t="inlineStr">
        <is>
          <t>Chandrashekar Patidar</t>
        </is>
      </c>
      <c r="H761" s="3" t="n">
        <v>7879764773</v>
      </c>
      <c r="I761" s="11" t="inlineStr">
        <is>
          <t>PE26032601</t>
        </is>
      </c>
      <c r="J761" s="3" t="inlineStr">
        <is>
          <t>Module Diode Failure</t>
        </is>
      </c>
      <c r="K761" s="3" t="inlineStr">
        <is>
          <t>Sadla</t>
        </is>
      </c>
      <c r="L761" s="3" t="inlineStr">
        <is>
          <t>Gujarat</t>
        </is>
      </c>
      <c r="M761" s="9" t="inlineStr">
        <is>
          <t>PNS</t>
        </is>
      </c>
      <c r="N761" s="3" t="inlineStr">
        <is>
          <t>Cold Soldering</t>
        </is>
      </c>
      <c r="O761" s="3" t="n">
        <v>570</v>
      </c>
      <c r="P761" s="9" t="inlineStr">
        <is>
          <t>NSMI24050054078</t>
        </is>
      </c>
      <c r="Q761" s="53">
        <f>MID(P761,5,2)</f>
        <v/>
      </c>
      <c r="R761" s="53">
        <f>MID(P761,7,2)</f>
        <v/>
      </c>
      <c r="S761" s="3" t="inlineStr">
        <is>
          <t>G2G</t>
        </is>
      </c>
      <c r="T761" s="3" t="inlineStr">
        <is>
          <t>P4</t>
        </is>
      </c>
      <c r="U761" s="3" t="inlineStr">
        <is>
          <t>P &amp; N JB Cold Soldering</t>
        </is>
      </c>
      <c r="V761" s="3" t="inlineStr">
        <is>
          <t>Soldering</t>
        </is>
      </c>
      <c r="W761" s="3" t="inlineStr">
        <is>
          <t>Repair</t>
        </is>
      </c>
      <c r="X761" s="18" t="n">
        <v>46154</v>
      </c>
      <c r="Y761" s="3">
        <f>X761-A761</f>
        <v/>
      </c>
      <c r="Z761" s="18" t="n">
        <v>46154</v>
      </c>
      <c r="AA761" s="15" t="n"/>
      <c r="AB761" s="15" t="n"/>
    </row>
    <row r="762" hidden="1" s="233">
      <c r="A762" s="6" t="n">
        <v>46107</v>
      </c>
      <c r="B762" s="3" t="n">
        <v>2026</v>
      </c>
      <c r="C762" s="3" t="inlineStr">
        <is>
          <t>Blupine</t>
        </is>
      </c>
      <c r="D762" s="3" t="inlineStr">
        <is>
          <t>Utility and C&amp;I</t>
        </is>
      </c>
      <c r="E762" s="3" t="n"/>
      <c r="F762" s="3" t="inlineStr">
        <is>
          <t>Closed</t>
        </is>
      </c>
      <c r="G762" s="3" t="inlineStr">
        <is>
          <t>Chandrashekar Patidar</t>
        </is>
      </c>
      <c r="H762" s="3" t="n">
        <v>7879764773</v>
      </c>
      <c r="I762" s="11" t="inlineStr">
        <is>
          <t>PE26032601</t>
        </is>
      </c>
      <c r="J762" s="3" t="inlineStr">
        <is>
          <t>Module Diode Failure</t>
        </is>
      </c>
      <c r="K762" s="3" t="inlineStr">
        <is>
          <t>Sadla</t>
        </is>
      </c>
      <c r="L762" s="3" t="inlineStr">
        <is>
          <t>Gujarat</t>
        </is>
      </c>
      <c r="M762" s="9" t="inlineStr">
        <is>
          <t>PS</t>
        </is>
      </c>
      <c r="N762" s="3" t="inlineStr">
        <is>
          <t>Cold Soldering</t>
        </is>
      </c>
      <c r="O762" s="3" t="n">
        <v>570</v>
      </c>
      <c r="P762" s="9" t="inlineStr">
        <is>
          <t>NSMI24050061553</t>
        </is>
      </c>
      <c r="Q762" s="53">
        <f>MID(P762,5,2)</f>
        <v/>
      </c>
      <c r="R762" s="53">
        <f>MID(P762,7,2)</f>
        <v/>
      </c>
      <c r="S762" s="3" t="inlineStr">
        <is>
          <t>G2G</t>
        </is>
      </c>
      <c r="T762" s="3" t="inlineStr">
        <is>
          <t>P4</t>
        </is>
      </c>
      <c r="U762" s="3" t="inlineStr">
        <is>
          <t>P JB Cold Soldering</t>
        </is>
      </c>
      <c r="V762" s="3" t="inlineStr">
        <is>
          <t>Soldering</t>
        </is>
      </c>
      <c r="W762" s="3" t="inlineStr">
        <is>
          <t>Repair</t>
        </is>
      </c>
      <c r="X762" s="18" t="n">
        <v>46154</v>
      </c>
      <c r="Y762" s="3">
        <f>X762-A762</f>
        <v/>
      </c>
      <c r="Z762" s="18" t="n">
        <v>46154</v>
      </c>
      <c r="AA762" s="15" t="n"/>
      <c r="AB762" s="15" t="n"/>
    </row>
    <row r="763" hidden="1" s="233">
      <c r="A763" s="6" t="n">
        <v>46107</v>
      </c>
      <c r="B763" s="3" t="n">
        <v>2026</v>
      </c>
      <c r="C763" s="3" t="inlineStr">
        <is>
          <t>Blupine</t>
        </is>
      </c>
      <c r="D763" s="3" t="inlineStr">
        <is>
          <t>Utility and C&amp;I</t>
        </is>
      </c>
      <c r="E763" s="3" t="n"/>
      <c r="F763" s="3" t="inlineStr">
        <is>
          <t>Closed</t>
        </is>
      </c>
      <c r="G763" s="3" t="inlineStr">
        <is>
          <t>Chandrashekar Patidar</t>
        </is>
      </c>
      <c r="H763" s="3" t="n">
        <v>7879764773</v>
      </c>
      <c r="I763" s="11" t="inlineStr">
        <is>
          <t>PE26032601</t>
        </is>
      </c>
      <c r="J763" s="3" t="inlineStr">
        <is>
          <t>Module Diode Failure</t>
        </is>
      </c>
      <c r="K763" s="3" t="inlineStr">
        <is>
          <t>Sadla</t>
        </is>
      </c>
      <c r="L763" s="3" t="inlineStr">
        <is>
          <t>Gujarat</t>
        </is>
      </c>
      <c r="M763" s="9" t="inlineStr">
        <is>
          <t>NS</t>
        </is>
      </c>
      <c r="N763" s="3" t="inlineStr">
        <is>
          <t>Cold Soldering</t>
        </is>
      </c>
      <c r="O763" s="3" t="n">
        <v>570</v>
      </c>
      <c r="P763" s="9" t="inlineStr">
        <is>
          <t>NSMI24060098054</t>
        </is>
      </c>
      <c r="Q763" s="53">
        <f>MID(P763,5,2)</f>
        <v/>
      </c>
      <c r="R763" s="53">
        <f>MID(P763,7,2)</f>
        <v/>
      </c>
      <c r="S763" s="3" t="inlineStr">
        <is>
          <t>G2G</t>
        </is>
      </c>
      <c r="T763" s="3" t="inlineStr">
        <is>
          <t>P4</t>
        </is>
      </c>
      <c r="U763" s="3" t="inlineStr">
        <is>
          <t>N JB Cold Soldering</t>
        </is>
      </c>
      <c r="V763" s="3" t="inlineStr">
        <is>
          <t>Soldering</t>
        </is>
      </c>
      <c r="W763" s="3" t="inlineStr">
        <is>
          <t>Repair</t>
        </is>
      </c>
      <c r="X763" s="18" t="n">
        <v>46154</v>
      </c>
      <c r="Y763" s="3">
        <f>X763-A763</f>
        <v/>
      </c>
      <c r="Z763" s="18" t="n">
        <v>46154</v>
      </c>
      <c r="AA763" s="15" t="n"/>
      <c r="AB763" s="15" t="n"/>
    </row>
    <row r="764" hidden="1" s="233">
      <c r="A764" s="6" t="n">
        <v>46107</v>
      </c>
      <c r="B764" s="3" t="n">
        <v>2026</v>
      </c>
      <c r="C764" s="3" t="inlineStr">
        <is>
          <t>Blupine</t>
        </is>
      </c>
      <c r="D764" s="3" t="inlineStr">
        <is>
          <t>Utility and C&amp;I</t>
        </is>
      </c>
      <c r="E764" s="3" t="n"/>
      <c r="F764" s="3" t="inlineStr">
        <is>
          <t>Closed</t>
        </is>
      </c>
      <c r="G764" s="3" t="inlineStr">
        <is>
          <t>Chandrashekar Patidar</t>
        </is>
      </c>
      <c r="H764" s="3" t="n">
        <v>7879764773</v>
      </c>
      <c r="I764" s="11" t="inlineStr">
        <is>
          <t>PE26032601</t>
        </is>
      </c>
      <c r="J764" s="3" t="inlineStr">
        <is>
          <t>Module Diode Failure</t>
        </is>
      </c>
      <c r="K764" s="3" t="inlineStr">
        <is>
          <t>Sadla</t>
        </is>
      </c>
      <c r="L764" s="3" t="inlineStr">
        <is>
          <t>Gujarat</t>
        </is>
      </c>
      <c r="M764" s="9" t="inlineStr">
        <is>
          <t>NS</t>
        </is>
      </c>
      <c r="N764" s="3" t="inlineStr">
        <is>
          <t>Cold Soldering</t>
        </is>
      </c>
      <c r="O764" s="3" t="n">
        <v>570</v>
      </c>
      <c r="P764" s="9" t="inlineStr">
        <is>
          <t>NSMI24060090885</t>
        </is>
      </c>
      <c r="Q764" s="53">
        <f>MID(P764,5,2)</f>
        <v/>
      </c>
      <c r="R764" s="53">
        <f>MID(P764,7,2)</f>
        <v/>
      </c>
      <c r="S764" s="3" t="inlineStr">
        <is>
          <t>G2G</t>
        </is>
      </c>
      <c r="T764" s="3" t="inlineStr">
        <is>
          <t>P4</t>
        </is>
      </c>
      <c r="U764" s="3" t="inlineStr">
        <is>
          <t>N JB Cold Soldering</t>
        </is>
      </c>
      <c r="V764" s="3" t="inlineStr">
        <is>
          <t>Soldering</t>
        </is>
      </c>
      <c r="W764" s="3" t="inlineStr">
        <is>
          <t>Repair</t>
        </is>
      </c>
      <c r="X764" s="18" t="n">
        <v>46154</v>
      </c>
      <c r="Y764" s="3">
        <f>X764-A764</f>
        <v/>
      </c>
      <c r="Z764" s="18" t="n">
        <v>46154</v>
      </c>
      <c r="AA764" s="15" t="n"/>
      <c r="AB764" s="15" t="n"/>
    </row>
    <row r="765" hidden="1" s="233">
      <c r="A765" s="6" t="n">
        <v>46107</v>
      </c>
      <c r="B765" s="3" t="n">
        <v>2026</v>
      </c>
      <c r="C765" s="3" t="inlineStr">
        <is>
          <t>Blupine</t>
        </is>
      </c>
      <c r="D765" s="3" t="inlineStr">
        <is>
          <t>Utility and C&amp;I</t>
        </is>
      </c>
      <c r="E765" s="3" t="n"/>
      <c r="F765" s="3" t="inlineStr">
        <is>
          <t>Closed</t>
        </is>
      </c>
      <c r="G765" s="3" t="inlineStr">
        <is>
          <t>Chandrashekar Patidar</t>
        </is>
      </c>
      <c r="H765" s="3" t="n">
        <v>7879764773</v>
      </c>
      <c r="I765" s="11" t="inlineStr">
        <is>
          <t>PE26032601</t>
        </is>
      </c>
      <c r="J765" s="3" t="inlineStr">
        <is>
          <t>Module Diode Failure</t>
        </is>
      </c>
      <c r="K765" s="3" t="inlineStr">
        <is>
          <t>Sadla</t>
        </is>
      </c>
      <c r="L765" s="3" t="inlineStr">
        <is>
          <t>Gujarat</t>
        </is>
      </c>
      <c r="M765" s="9" t="inlineStr">
        <is>
          <t>NS</t>
        </is>
      </c>
      <c r="N765" s="3" t="inlineStr">
        <is>
          <t>Cold Soldering</t>
        </is>
      </c>
      <c r="O765" s="3" t="n">
        <v>570</v>
      </c>
      <c r="P765" s="9" t="inlineStr">
        <is>
          <t>NSMI24060117565</t>
        </is>
      </c>
      <c r="Q765" s="53">
        <f>MID(P765,5,2)</f>
        <v/>
      </c>
      <c r="R765" s="53">
        <f>MID(P765,7,2)</f>
        <v/>
      </c>
      <c r="S765" s="3" t="inlineStr">
        <is>
          <t>G2G</t>
        </is>
      </c>
      <c r="T765" s="3" t="inlineStr">
        <is>
          <t>P4</t>
        </is>
      </c>
      <c r="U765" s="3" t="inlineStr">
        <is>
          <t>N JB Cold Soldering</t>
        </is>
      </c>
      <c r="V765" s="3" t="inlineStr">
        <is>
          <t>Soldering</t>
        </is>
      </c>
      <c r="W765" s="3" t="inlineStr">
        <is>
          <t>Repair</t>
        </is>
      </c>
      <c r="X765" s="18" t="n">
        <v>46154</v>
      </c>
      <c r="Y765" s="3">
        <f>X765-A765</f>
        <v/>
      </c>
      <c r="Z765" s="18" t="n">
        <v>46154</v>
      </c>
      <c r="AA765" s="15" t="n"/>
      <c r="AB765" s="15" t="n"/>
    </row>
    <row r="766" hidden="1" s="233">
      <c r="A766" s="6" t="n">
        <v>46107</v>
      </c>
      <c r="B766" s="3" t="n">
        <v>2026</v>
      </c>
      <c r="C766" s="3" t="inlineStr">
        <is>
          <t>Blupine</t>
        </is>
      </c>
      <c r="D766" s="3" t="inlineStr">
        <is>
          <t>Utility and C&amp;I</t>
        </is>
      </c>
      <c r="E766" s="3" t="n"/>
      <c r="F766" s="3" t="inlineStr">
        <is>
          <t>Closed</t>
        </is>
      </c>
      <c r="G766" s="3" t="inlineStr">
        <is>
          <t>Chandrashekar Patidar</t>
        </is>
      </c>
      <c r="H766" s="3" t="n">
        <v>7879764773</v>
      </c>
      <c r="I766" s="11" t="inlineStr">
        <is>
          <t>PE26032601</t>
        </is>
      </c>
      <c r="J766" s="3" t="inlineStr">
        <is>
          <t>Module Diode Failure</t>
        </is>
      </c>
      <c r="K766" s="3" t="inlineStr">
        <is>
          <t>Sadla</t>
        </is>
      </c>
      <c r="L766" s="3" t="inlineStr">
        <is>
          <t>Gujarat</t>
        </is>
      </c>
      <c r="M766" s="9" t="inlineStr">
        <is>
          <t>NS</t>
        </is>
      </c>
      <c r="N766" s="3" t="inlineStr">
        <is>
          <t>Cold Soldering</t>
        </is>
      </c>
      <c r="O766" s="3" t="n">
        <v>570</v>
      </c>
      <c r="P766" s="9" t="inlineStr">
        <is>
          <t>NSMI24060115942</t>
        </is>
      </c>
      <c r="Q766" s="53">
        <f>MID(P766,5,2)</f>
        <v/>
      </c>
      <c r="R766" s="53">
        <f>MID(P766,7,2)</f>
        <v/>
      </c>
      <c r="S766" s="3" t="inlineStr">
        <is>
          <t>G2G</t>
        </is>
      </c>
      <c r="T766" s="3" t="inlineStr">
        <is>
          <t>P4</t>
        </is>
      </c>
      <c r="U766" s="3" t="inlineStr">
        <is>
          <t>N JB Cold Soldering</t>
        </is>
      </c>
      <c r="V766" s="3" t="inlineStr">
        <is>
          <t>Soldering</t>
        </is>
      </c>
      <c r="W766" s="3" t="inlineStr">
        <is>
          <t>Repair</t>
        </is>
      </c>
      <c r="X766" s="18" t="n">
        <v>46154</v>
      </c>
      <c r="Y766" s="3">
        <f>X766-A766</f>
        <v/>
      </c>
      <c r="Z766" s="18" t="n">
        <v>46154</v>
      </c>
      <c r="AA766" s="15" t="n"/>
      <c r="AB766" s="15" t="n"/>
    </row>
    <row r="767" hidden="1" s="233">
      <c r="A767" s="6" t="n">
        <v>46107</v>
      </c>
      <c r="B767" s="3" t="n">
        <v>2026</v>
      </c>
      <c r="C767" s="3" t="inlineStr">
        <is>
          <t>Blupine</t>
        </is>
      </c>
      <c r="D767" s="3" t="inlineStr">
        <is>
          <t>Utility and C&amp;I</t>
        </is>
      </c>
      <c r="E767" s="3" t="n"/>
      <c r="F767" s="3" t="inlineStr">
        <is>
          <t>Closed</t>
        </is>
      </c>
      <c r="G767" s="3" t="inlineStr">
        <is>
          <t>Chandrashekar Patidar</t>
        </is>
      </c>
      <c r="H767" s="3" t="n">
        <v>7879764773</v>
      </c>
      <c r="I767" s="11" t="inlineStr">
        <is>
          <t>PE26032601</t>
        </is>
      </c>
      <c r="J767" s="3" t="inlineStr">
        <is>
          <t>Module Diode Failure</t>
        </is>
      </c>
      <c r="K767" s="3" t="inlineStr">
        <is>
          <t>Sadla</t>
        </is>
      </c>
      <c r="L767" s="3" t="inlineStr">
        <is>
          <t>Gujarat</t>
        </is>
      </c>
      <c r="M767" s="9" t="inlineStr">
        <is>
          <t>Ok</t>
        </is>
      </c>
      <c r="N767" s="3" t="inlineStr">
        <is>
          <t>No Issue</t>
        </is>
      </c>
      <c r="O767" s="3" t="n">
        <v>570</v>
      </c>
      <c r="P767" s="9" t="inlineStr">
        <is>
          <t>NSMI24050050633</t>
        </is>
      </c>
      <c r="Q767" s="53">
        <f>MID(P767,5,2)</f>
        <v/>
      </c>
      <c r="R767" s="53">
        <f>MID(P767,7,2)</f>
        <v/>
      </c>
      <c r="S767" s="3" t="inlineStr">
        <is>
          <t>G2G</t>
        </is>
      </c>
      <c r="T767" s="3" t="inlineStr">
        <is>
          <t>P4</t>
        </is>
      </c>
      <c r="U767" s="19" t="inlineStr">
        <is>
          <t>No Issue Found</t>
        </is>
      </c>
      <c r="V767" s="19" t="inlineStr">
        <is>
          <t>Found OK</t>
        </is>
      </c>
      <c r="W767" s="3" t="inlineStr">
        <is>
          <t>Repair</t>
        </is>
      </c>
      <c r="X767" s="18" t="n">
        <v>46154</v>
      </c>
      <c r="Y767" s="3">
        <f>X767-A767</f>
        <v/>
      </c>
      <c r="Z767" s="18" t="n">
        <v>46154</v>
      </c>
      <c r="AA767" s="15" t="n"/>
      <c r="AB767" s="15" t="n"/>
    </row>
    <row r="768" hidden="1" s="233">
      <c r="A768" s="6" t="n">
        <v>46107</v>
      </c>
      <c r="B768" s="3" t="n">
        <v>2026</v>
      </c>
      <c r="C768" s="3" t="inlineStr">
        <is>
          <t>Blupine</t>
        </is>
      </c>
      <c r="D768" s="3" t="inlineStr">
        <is>
          <t>Utility and C&amp;I</t>
        </is>
      </c>
      <c r="E768" s="3" t="n"/>
      <c r="F768" s="3" t="inlineStr">
        <is>
          <t>Closed</t>
        </is>
      </c>
      <c r="G768" s="3" t="inlineStr">
        <is>
          <t>Chandrashekar Patidar</t>
        </is>
      </c>
      <c r="H768" s="3" t="n">
        <v>7879764773</v>
      </c>
      <c r="I768" s="11" t="inlineStr">
        <is>
          <t>PE26032601</t>
        </is>
      </c>
      <c r="J768" s="3" t="inlineStr">
        <is>
          <t>Module Diode Failure</t>
        </is>
      </c>
      <c r="K768" s="3" t="inlineStr">
        <is>
          <t>Sadla</t>
        </is>
      </c>
      <c r="L768" s="3" t="inlineStr">
        <is>
          <t>Gujarat</t>
        </is>
      </c>
      <c r="M768" s="9" t="inlineStr">
        <is>
          <t>NR</t>
        </is>
      </c>
      <c r="N768" s="3" t="inlineStr">
        <is>
          <t>JB Issue</t>
        </is>
      </c>
      <c r="O768" s="3" t="n">
        <v>570</v>
      </c>
      <c r="P768" s="9" t="inlineStr">
        <is>
          <t>NSMI24050048937</t>
        </is>
      </c>
      <c r="Q768" s="53">
        <f>MID(P768,5,2)</f>
        <v/>
      </c>
      <c r="R768" s="53">
        <f>MID(P768,7,2)</f>
        <v/>
      </c>
      <c r="S768" s="3" t="inlineStr">
        <is>
          <t>G2G</t>
        </is>
      </c>
      <c r="T768" s="3" t="inlineStr">
        <is>
          <t>P4</t>
        </is>
      </c>
      <c r="U768" s="3" t="inlineStr">
        <is>
          <t>N JB Issue</t>
        </is>
      </c>
      <c r="V768" s="3" t="inlineStr">
        <is>
          <t>JB Changed</t>
        </is>
      </c>
      <c r="W768" s="3" t="inlineStr">
        <is>
          <t>Repair</t>
        </is>
      </c>
      <c r="X768" s="18" t="n">
        <v>46154</v>
      </c>
      <c r="Y768" s="3">
        <f>X768-A768</f>
        <v/>
      </c>
      <c r="Z768" s="18" t="n">
        <v>46154</v>
      </c>
      <c r="AA768" s="15" t="n"/>
      <c r="AB768" s="15" t="n"/>
    </row>
    <row r="769" hidden="1" s="233">
      <c r="A769" s="6" t="n">
        <v>46107</v>
      </c>
      <c r="B769" s="3" t="n">
        <v>2026</v>
      </c>
      <c r="C769" s="3" t="inlineStr">
        <is>
          <t>Blupine</t>
        </is>
      </c>
      <c r="D769" s="3" t="inlineStr">
        <is>
          <t>Utility and C&amp;I</t>
        </is>
      </c>
      <c r="E769" s="3" t="n"/>
      <c r="F769" s="3" t="inlineStr">
        <is>
          <t>Closed</t>
        </is>
      </c>
      <c r="G769" s="3" t="inlineStr">
        <is>
          <t>Chandrashekar Patidar</t>
        </is>
      </c>
      <c r="H769" s="3" t="n">
        <v>7879764773</v>
      </c>
      <c r="I769" s="11" t="inlineStr">
        <is>
          <t>PE26032601</t>
        </is>
      </c>
      <c r="J769" s="3" t="inlineStr">
        <is>
          <t>Module Diode Failure</t>
        </is>
      </c>
      <c r="K769" s="3" t="inlineStr">
        <is>
          <t>Sadla</t>
        </is>
      </c>
      <c r="L769" s="3" t="inlineStr">
        <is>
          <t>Gujarat</t>
        </is>
      </c>
      <c r="M769" s="9" t="inlineStr">
        <is>
          <t>NS</t>
        </is>
      </c>
      <c r="N769" s="3" t="inlineStr">
        <is>
          <t>Cold Soldering</t>
        </is>
      </c>
      <c r="O769" s="3" t="n">
        <v>570</v>
      </c>
      <c r="P769" s="9" t="inlineStr">
        <is>
          <t>NSMI24050049070</t>
        </is>
      </c>
      <c r="Q769" s="53">
        <f>MID(P769,5,2)</f>
        <v/>
      </c>
      <c r="R769" s="53">
        <f>MID(P769,7,2)</f>
        <v/>
      </c>
      <c r="S769" s="3" t="inlineStr">
        <is>
          <t>G2G</t>
        </is>
      </c>
      <c r="T769" s="3" t="inlineStr">
        <is>
          <t>P4</t>
        </is>
      </c>
      <c r="U769" s="3" t="inlineStr">
        <is>
          <t>N JB Cold Soldering</t>
        </is>
      </c>
      <c r="V769" s="3" t="inlineStr">
        <is>
          <t>Soldering</t>
        </is>
      </c>
      <c r="W769" s="3" t="inlineStr">
        <is>
          <t>Repair</t>
        </is>
      </c>
      <c r="X769" s="18" t="n">
        <v>46154</v>
      </c>
      <c r="Y769" s="3">
        <f>X769-A769</f>
        <v/>
      </c>
      <c r="Z769" s="18" t="n">
        <v>46154</v>
      </c>
      <c r="AA769" s="15" t="n"/>
      <c r="AB769" s="15" t="n"/>
    </row>
    <row r="770" hidden="1" s="233">
      <c r="A770" s="6" t="n">
        <v>46107</v>
      </c>
      <c r="B770" s="3" t="n">
        <v>2026</v>
      </c>
      <c r="C770" s="3" t="inlineStr">
        <is>
          <t>Blupine</t>
        </is>
      </c>
      <c r="D770" s="3" t="inlineStr">
        <is>
          <t>Utility and C&amp;I</t>
        </is>
      </c>
      <c r="E770" s="3" t="n"/>
      <c r="F770" s="3" t="inlineStr">
        <is>
          <t>Closed</t>
        </is>
      </c>
      <c r="G770" s="3" t="inlineStr">
        <is>
          <t>Chandrashekar Patidar</t>
        </is>
      </c>
      <c r="H770" s="3" t="n">
        <v>7879764773</v>
      </c>
      <c r="I770" s="11" t="inlineStr">
        <is>
          <t>PE26032601</t>
        </is>
      </c>
      <c r="J770" s="3" t="inlineStr">
        <is>
          <t>Module Diode Failure</t>
        </is>
      </c>
      <c r="K770" s="3" t="inlineStr">
        <is>
          <t>Sadla</t>
        </is>
      </c>
      <c r="L770" s="3" t="inlineStr">
        <is>
          <t>Gujarat</t>
        </is>
      </c>
      <c r="M770" s="9" t="inlineStr">
        <is>
          <t>PS</t>
        </is>
      </c>
      <c r="N770" s="3" t="inlineStr">
        <is>
          <t>Cold Soldering</t>
        </is>
      </c>
      <c r="O770" s="3" t="n">
        <v>570</v>
      </c>
      <c r="P770" s="9" t="inlineStr">
        <is>
          <t>NSMI24060083046</t>
        </is>
      </c>
      <c r="Q770" s="53">
        <f>MID(P770,5,2)</f>
        <v/>
      </c>
      <c r="R770" s="53">
        <f>MID(P770,7,2)</f>
        <v/>
      </c>
      <c r="S770" s="3" t="inlineStr">
        <is>
          <t>G2G</t>
        </is>
      </c>
      <c r="T770" s="3" t="inlineStr">
        <is>
          <t>P4</t>
        </is>
      </c>
      <c r="U770" s="3" t="inlineStr">
        <is>
          <t>P JB Cold Soldering</t>
        </is>
      </c>
      <c r="V770" s="3" t="inlineStr">
        <is>
          <t>Soldering</t>
        </is>
      </c>
      <c r="W770" s="3" t="inlineStr">
        <is>
          <t>Repair</t>
        </is>
      </c>
      <c r="X770" s="18" t="n">
        <v>46154</v>
      </c>
      <c r="Y770" s="3">
        <f>X770-A770</f>
        <v/>
      </c>
      <c r="Z770" s="18" t="n">
        <v>46154</v>
      </c>
      <c r="AA770" s="15" t="n"/>
      <c r="AB770" s="15" t="n"/>
    </row>
    <row r="771" hidden="1" s="233">
      <c r="A771" s="6" t="n">
        <v>46107</v>
      </c>
      <c r="B771" s="3" t="n">
        <v>2026</v>
      </c>
      <c r="C771" s="3" t="inlineStr">
        <is>
          <t>Blupine</t>
        </is>
      </c>
      <c r="D771" s="3" t="inlineStr">
        <is>
          <t>Utility and C&amp;I</t>
        </is>
      </c>
      <c r="E771" s="3" t="n"/>
      <c r="F771" s="3" t="inlineStr">
        <is>
          <t>Closed</t>
        </is>
      </c>
      <c r="G771" s="3" t="inlineStr">
        <is>
          <t>Chandrashekar Patidar</t>
        </is>
      </c>
      <c r="H771" s="3" t="n">
        <v>7879764773</v>
      </c>
      <c r="I771" s="11" t="inlineStr">
        <is>
          <t>PE26032601</t>
        </is>
      </c>
      <c r="J771" s="3" t="inlineStr">
        <is>
          <t>Module Diode Failure</t>
        </is>
      </c>
      <c r="K771" s="3" t="inlineStr">
        <is>
          <t>Sadla</t>
        </is>
      </c>
      <c r="L771" s="3" t="inlineStr">
        <is>
          <t>Gujarat</t>
        </is>
      </c>
      <c r="M771" s="9" t="inlineStr">
        <is>
          <t>NR</t>
        </is>
      </c>
      <c r="N771" s="3" t="inlineStr">
        <is>
          <t>JB Issue</t>
        </is>
      </c>
      <c r="O771" s="3" t="n">
        <v>570</v>
      </c>
      <c r="P771" s="9" t="inlineStr">
        <is>
          <t>NSMI24060077129</t>
        </is>
      </c>
      <c r="Q771" s="53">
        <f>MID(P771,5,2)</f>
        <v/>
      </c>
      <c r="R771" s="53">
        <f>MID(P771,7,2)</f>
        <v/>
      </c>
      <c r="S771" s="3" t="inlineStr">
        <is>
          <t>G2G</t>
        </is>
      </c>
      <c r="T771" s="3" t="inlineStr">
        <is>
          <t>P4</t>
        </is>
      </c>
      <c r="U771" s="3" t="inlineStr">
        <is>
          <t>N JB Issue</t>
        </is>
      </c>
      <c r="V771" s="3" t="inlineStr">
        <is>
          <t>JB Changed</t>
        </is>
      </c>
      <c r="W771" s="3" t="inlineStr">
        <is>
          <t>Repair</t>
        </is>
      </c>
      <c r="X771" s="18" t="n">
        <v>46154</v>
      </c>
      <c r="Y771" s="3">
        <f>X771-A771</f>
        <v/>
      </c>
      <c r="Z771" s="18" t="n">
        <v>46154</v>
      </c>
      <c r="AA771" s="15" t="n"/>
      <c r="AB771" s="15" t="n"/>
    </row>
    <row r="772" hidden="1" s="233">
      <c r="A772" s="6" t="n">
        <v>46107</v>
      </c>
      <c r="B772" s="3" t="n">
        <v>2026</v>
      </c>
      <c r="C772" s="3" t="inlineStr">
        <is>
          <t>Blupine</t>
        </is>
      </c>
      <c r="D772" s="3" t="inlineStr">
        <is>
          <t>Utility and C&amp;I</t>
        </is>
      </c>
      <c r="E772" s="3" t="n"/>
      <c r="F772" s="3" t="inlineStr">
        <is>
          <t>Closed</t>
        </is>
      </c>
      <c r="G772" s="3" t="inlineStr">
        <is>
          <t>Chandrashekar Patidar</t>
        </is>
      </c>
      <c r="H772" s="3" t="n">
        <v>7879764773</v>
      </c>
      <c r="I772" s="11" t="inlineStr">
        <is>
          <t>PE26032601</t>
        </is>
      </c>
      <c r="J772" s="3" t="inlineStr">
        <is>
          <t>Module Diode Failure</t>
        </is>
      </c>
      <c r="K772" s="3" t="inlineStr">
        <is>
          <t>Sadla</t>
        </is>
      </c>
      <c r="L772" s="3" t="inlineStr">
        <is>
          <t>Gujarat</t>
        </is>
      </c>
      <c r="M772" s="9" t="inlineStr">
        <is>
          <t>NS</t>
        </is>
      </c>
      <c r="N772" s="3" t="inlineStr">
        <is>
          <t>Cold Soldering</t>
        </is>
      </c>
      <c r="O772" s="3" t="n">
        <v>570</v>
      </c>
      <c r="P772" s="9" t="inlineStr">
        <is>
          <t>NSMI24060077131</t>
        </is>
      </c>
      <c r="Q772" s="53">
        <f>MID(P772,5,2)</f>
        <v/>
      </c>
      <c r="R772" s="53">
        <f>MID(P772,7,2)</f>
        <v/>
      </c>
      <c r="S772" s="3" t="inlineStr">
        <is>
          <t>G2G</t>
        </is>
      </c>
      <c r="T772" s="3" t="inlineStr">
        <is>
          <t>P4</t>
        </is>
      </c>
      <c r="U772" s="3" t="inlineStr">
        <is>
          <t>N JB Cold Soldering</t>
        </is>
      </c>
      <c r="V772" s="3" t="inlineStr">
        <is>
          <t>Soldering</t>
        </is>
      </c>
      <c r="W772" s="3" t="inlineStr">
        <is>
          <t>Repair</t>
        </is>
      </c>
      <c r="X772" s="18" t="n">
        <v>46154</v>
      </c>
      <c r="Y772" s="3">
        <f>X772-A772</f>
        <v/>
      </c>
      <c r="Z772" s="18" t="n">
        <v>46154</v>
      </c>
      <c r="AA772" s="15" t="n"/>
      <c r="AB772" s="15" t="n"/>
    </row>
    <row r="773" hidden="1" s="233">
      <c r="A773" s="6" t="n">
        <v>46107</v>
      </c>
      <c r="B773" s="3" t="n">
        <v>2026</v>
      </c>
      <c r="C773" s="3" t="inlineStr">
        <is>
          <t>Blupine</t>
        </is>
      </c>
      <c r="D773" s="3" t="inlineStr">
        <is>
          <t>Utility and C&amp;I</t>
        </is>
      </c>
      <c r="E773" s="3" t="n"/>
      <c r="F773" s="3" t="inlineStr">
        <is>
          <t>Closed</t>
        </is>
      </c>
      <c r="G773" s="3" t="inlineStr">
        <is>
          <t>Chandrashekar Patidar</t>
        </is>
      </c>
      <c r="H773" s="3" t="n">
        <v>7879764773</v>
      </c>
      <c r="I773" s="11" t="inlineStr">
        <is>
          <t>PE26032601</t>
        </is>
      </c>
      <c r="J773" s="3" t="inlineStr">
        <is>
          <t>Module Diode Failure</t>
        </is>
      </c>
      <c r="K773" s="3" t="inlineStr">
        <is>
          <t>Sadla</t>
        </is>
      </c>
      <c r="L773" s="3" t="inlineStr">
        <is>
          <t>Gujarat</t>
        </is>
      </c>
      <c r="M773" s="9" t="inlineStr">
        <is>
          <t>PS</t>
        </is>
      </c>
      <c r="N773" s="3" t="inlineStr">
        <is>
          <t>Cold Soldering</t>
        </is>
      </c>
      <c r="O773" s="3" t="n">
        <v>570</v>
      </c>
      <c r="P773" s="9" t="inlineStr">
        <is>
          <t>NSMI24060115798</t>
        </is>
      </c>
      <c r="Q773" s="53">
        <f>MID(P773,5,2)</f>
        <v/>
      </c>
      <c r="R773" s="53">
        <f>MID(P773,7,2)</f>
        <v/>
      </c>
      <c r="S773" s="3" t="inlineStr">
        <is>
          <t>G2G</t>
        </is>
      </c>
      <c r="T773" s="3" t="inlineStr">
        <is>
          <t>P4</t>
        </is>
      </c>
      <c r="U773" s="3" t="inlineStr">
        <is>
          <t>P JB Cold Soldering</t>
        </is>
      </c>
      <c r="V773" s="3" t="inlineStr">
        <is>
          <t>Soldering</t>
        </is>
      </c>
      <c r="W773" s="3" t="inlineStr">
        <is>
          <t>Repair</t>
        </is>
      </c>
      <c r="X773" s="18" t="n">
        <v>46154</v>
      </c>
      <c r="Y773" s="3">
        <f>X773-A773</f>
        <v/>
      </c>
      <c r="Z773" s="18" t="n">
        <v>46154</v>
      </c>
      <c r="AA773" s="15" t="n"/>
      <c r="AB773" s="15" t="n"/>
    </row>
    <row r="774" hidden="1" s="233">
      <c r="A774" s="6" t="n">
        <v>46107</v>
      </c>
      <c r="B774" s="3" t="n">
        <v>2026</v>
      </c>
      <c r="C774" s="3" t="inlineStr">
        <is>
          <t>Blupine</t>
        </is>
      </c>
      <c r="D774" s="3" t="inlineStr">
        <is>
          <t>Utility and C&amp;I</t>
        </is>
      </c>
      <c r="E774" s="3" t="n"/>
      <c r="F774" s="3" t="inlineStr">
        <is>
          <t>Closed</t>
        </is>
      </c>
      <c r="G774" s="3" t="inlineStr">
        <is>
          <t>Chandrashekar Patidar</t>
        </is>
      </c>
      <c r="H774" s="3" t="n">
        <v>7879764773</v>
      </c>
      <c r="I774" s="11" t="inlineStr">
        <is>
          <t>PE26032601</t>
        </is>
      </c>
      <c r="J774" s="3" t="inlineStr">
        <is>
          <t>Module Diode Failure</t>
        </is>
      </c>
      <c r="K774" s="3" t="inlineStr">
        <is>
          <t>Sadla</t>
        </is>
      </c>
      <c r="L774" s="3" t="inlineStr">
        <is>
          <t>Gujarat</t>
        </is>
      </c>
      <c r="M774" s="9" t="inlineStr">
        <is>
          <t>NS</t>
        </is>
      </c>
      <c r="N774" s="3" t="inlineStr">
        <is>
          <t>Cold Soldering</t>
        </is>
      </c>
      <c r="O774" s="3" t="n">
        <v>570</v>
      </c>
      <c r="P774" s="9" t="inlineStr">
        <is>
          <t>NSMI24060077164</t>
        </is>
      </c>
      <c r="Q774" s="53">
        <f>MID(P774,5,2)</f>
        <v/>
      </c>
      <c r="R774" s="53">
        <f>MID(P774,7,2)</f>
        <v/>
      </c>
      <c r="S774" s="3" t="inlineStr">
        <is>
          <t>G2G</t>
        </is>
      </c>
      <c r="T774" s="3" t="inlineStr">
        <is>
          <t>P4</t>
        </is>
      </c>
      <c r="U774" s="3" t="inlineStr">
        <is>
          <t>N JB Cold Soldering</t>
        </is>
      </c>
      <c r="V774" s="3" t="inlineStr">
        <is>
          <t>Soldering</t>
        </is>
      </c>
      <c r="W774" s="3" t="inlineStr">
        <is>
          <t>Repair</t>
        </is>
      </c>
      <c r="X774" s="18" t="n">
        <v>46154</v>
      </c>
      <c r="Y774" s="3">
        <f>X774-A774</f>
        <v/>
      </c>
      <c r="Z774" s="18" t="n">
        <v>46154</v>
      </c>
      <c r="AA774" s="15" t="n"/>
      <c r="AB774" s="15" t="n"/>
    </row>
    <row r="775" hidden="1" s="233">
      <c r="A775" s="6" t="n">
        <v>46107</v>
      </c>
      <c r="B775" s="3" t="n">
        <v>2026</v>
      </c>
      <c r="C775" s="3" t="inlineStr">
        <is>
          <t>Blupine</t>
        </is>
      </c>
      <c r="D775" s="3" t="inlineStr">
        <is>
          <t>Utility and C&amp;I</t>
        </is>
      </c>
      <c r="E775" s="3" t="n"/>
      <c r="F775" s="3" t="inlineStr">
        <is>
          <t>Closed</t>
        </is>
      </c>
      <c r="G775" s="3" t="inlineStr">
        <is>
          <t>Chandrashekar Patidar</t>
        </is>
      </c>
      <c r="H775" s="3" t="n">
        <v>7879764773</v>
      </c>
      <c r="I775" s="11" t="inlineStr">
        <is>
          <t>PE26032601</t>
        </is>
      </c>
      <c r="J775" s="3" t="inlineStr">
        <is>
          <t>Module Diode Failure</t>
        </is>
      </c>
      <c r="K775" s="3" t="inlineStr">
        <is>
          <t>Sadla</t>
        </is>
      </c>
      <c r="L775" s="3" t="inlineStr">
        <is>
          <t>Gujarat</t>
        </is>
      </c>
      <c r="M775" s="9" t="inlineStr">
        <is>
          <t>PS</t>
        </is>
      </c>
      <c r="N775" s="3" t="inlineStr">
        <is>
          <t>Cold Soldering</t>
        </is>
      </c>
      <c r="O775" s="3" t="n">
        <v>570</v>
      </c>
      <c r="P775" s="9" t="inlineStr">
        <is>
          <t>NSMI24060085603</t>
        </is>
      </c>
      <c r="Q775" s="53">
        <f>MID(P775,5,2)</f>
        <v/>
      </c>
      <c r="R775" s="53">
        <f>MID(P775,7,2)</f>
        <v/>
      </c>
      <c r="S775" s="3" t="inlineStr">
        <is>
          <t>G2G</t>
        </is>
      </c>
      <c r="T775" s="3" t="inlineStr">
        <is>
          <t>P4</t>
        </is>
      </c>
      <c r="U775" s="3" t="inlineStr">
        <is>
          <t>P JB Cold Soldering</t>
        </is>
      </c>
      <c r="V775" s="3" t="inlineStr">
        <is>
          <t>Soldering</t>
        </is>
      </c>
      <c r="W775" s="3" t="inlineStr">
        <is>
          <t>Repair</t>
        </is>
      </c>
      <c r="X775" s="18" t="n">
        <v>46154</v>
      </c>
      <c r="Y775" s="3">
        <f>X775-A775</f>
        <v/>
      </c>
      <c r="Z775" s="18" t="n">
        <v>46154</v>
      </c>
      <c r="AA775" s="15" t="n"/>
      <c r="AB775" s="15" t="n"/>
    </row>
    <row r="776" hidden="1" s="233">
      <c r="A776" s="6" t="n">
        <v>46107</v>
      </c>
      <c r="B776" s="3" t="n">
        <v>2026</v>
      </c>
      <c r="C776" s="3" t="inlineStr">
        <is>
          <t>Blupine</t>
        </is>
      </c>
      <c r="D776" s="3" t="inlineStr">
        <is>
          <t>Utility and C&amp;I</t>
        </is>
      </c>
      <c r="E776" s="3" t="n"/>
      <c r="F776" s="3" t="inlineStr">
        <is>
          <t>Closed</t>
        </is>
      </c>
      <c r="G776" s="3" t="inlineStr">
        <is>
          <t>Chandrashekar Patidar</t>
        </is>
      </c>
      <c r="H776" s="3" t="n">
        <v>7879764773</v>
      </c>
      <c r="I776" s="11" t="inlineStr">
        <is>
          <t>PE26032601</t>
        </is>
      </c>
      <c r="J776" s="3" t="inlineStr">
        <is>
          <t>Module Diode Failure</t>
        </is>
      </c>
      <c r="K776" s="3" t="inlineStr">
        <is>
          <t>Sadla</t>
        </is>
      </c>
      <c r="L776" s="3" t="inlineStr">
        <is>
          <t>Gujarat</t>
        </is>
      </c>
      <c r="M776" s="9" t="inlineStr">
        <is>
          <t>NS</t>
        </is>
      </c>
      <c r="N776" s="3" t="inlineStr">
        <is>
          <t>Cold Soldering</t>
        </is>
      </c>
      <c r="O776" s="3" t="n">
        <v>570</v>
      </c>
      <c r="P776" s="9" t="inlineStr">
        <is>
          <t>NSMI24060091112</t>
        </is>
      </c>
      <c r="Q776" s="53">
        <f>MID(P776,5,2)</f>
        <v/>
      </c>
      <c r="R776" s="53">
        <f>MID(P776,7,2)</f>
        <v/>
      </c>
      <c r="S776" s="3" t="inlineStr">
        <is>
          <t>G2G</t>
        </is>
      </c>
      <c r="T776" s="3" t="inlineStr">
        <is>
          <t>P4</t>
        </is>
      </c>
      <c r="U776" s="3" t="inlineStr">
        <is>
          <t>N JB Cold Soldering</t>
        </is>
      </c>
      <c r="V776" s="3" t="inlineStr">
        <is>
          <t>Soldering</t>
        </is>
      </c>
      <c r="W776" s="3" t="inlineStr">
        <is>
          <t>Repair</t>
        </is>
      </c>
      <c r="X776" s="18" t="n">
        <v>46154</v>
      </c>
      <c r="Y776" s="3">
        <f>X776-A776</f>
        <v/>
      </c>
      <c r="Z776" s="18" t="n">
        <v>46154</v>
      </c>
      <c r="AA776" s="15" t="n"/>
      <c r="AB776" s="15" t="n"/>
    </row>
    <row r="777" hidden="1" s="233">
      <c r="A777" s="6" t="n">
        <v>46107</v>
      </c>
      <c r="B777" s="3" t="n">
        <v>2026</v>
      </c>
      <c r="C777" s="3" t="inlineStr">
        <is>
          <t>Blupine</t>
        </is>
      </c>
      <c r="D777" s="3" t="inlineStr">
        <is>
          <t>Utility and C&amp;I</t>
        </is>
      </c>
      <c r="E777" s="3" t="n"/>
      <c r="F777" s="3" t="inlineStr">
        <is>
          <t>Closed</t>
        </is>
      </c>
      <c r="G777" s="3" t="inlineStr">
        <is>
          <t>Chandrashekar Patidar</t>
        </is>
      </c>
      <c r="H777" s="3" t="n">
        <v>7879764773</v>
      </c>
      <c r="I777" s="11" t="inlineStr">
        <is>
          <t>PE26032601</t>
        </is>
      </c>
      <c r="J777" s="3" t="inlineStr">
        <is>
          <t>Module Diode Failure</t>
        </is>
      </c>
      <c r="K777" s="3" t="inlineStr">
        <is>
          <t>Sadla</t>
        </is>
      </c>
      <c r="L777" s="3" t="inlineStr">
        <is>
          <t>Gujarat</t>
        </is>
      </c>
      <c r="M777" s="9" t="inlineStr">
        <is>
          <t>NR</t>
        </is>
      </c>
      <c r="N777" s="3" t="inlineStr">
        <is>
          <t>JB Issue</t>
        </is>
      </c>
      <c r="O777" s="3" t="n">
        <v>570</v>
      </c>
      <c r="P777" s="9" t="inlineStr">
        <is>
          <t>NSMI24060091553</t>
        </is>
      </c>
      <c r="Q777" s="53">
        <f>MID(P777,5,2)</f>
        <v/>
      </c>
      <c r="R777" s="53">
        <f>MID(P777,7,2)</f>
        <v/>
      </c>
      <c r="S777" s="3" t="inlineStr">
        <is>
          <t>G2G</t>
        </is>
      </c>
      <c r="T777" s="3" t="inlineStr">
        <is>
          <t>P4</t>
        </is>
      </c>
      <c r="U777" s="3" t="inlineStr">
        <is>
          <t>N JB Issue</t>
        </is>
      </c>
      <c r="V777" s="3" t="inlineStr">
        <is>
          <t>JB Changed</t>
        </is>
      </c>
      <c r="W777" s="3" t="inlineStr">
        <is>
          <t>Repair</t>
        </is>
      </c>
      <c r="X777" s="18" t="n">
        <v>46154</v>
      </c>
      <c r="Y777" s="3">
        <f>X777-A777</f>
        <v/>
      </c>
      <c r="Z777" s="18" t="n">
        <v>46154</v>
      </c>
      <c r="AA777" s="15" t="n"/>
      <c r="AB777" s="15" t="n"/>
    </row>
    <row r="778" hidden="1" s="233">
      <c r="A778" s="6" t="n">
        <v>46107</v>
      </c>
      <c r="B778" s="3" t="n">
        <v>2026</v>
      </c>
      <c r="C778" s="3" t="inlineStr">
        <is>
          <t>Blupine</t>
        </is>
      </c>
      <c r="D778" s="3" t="inlineStr">
        <is>
          <t>Utility and C&amp;I</t>
        </is>
      </c>
      <c r="E778" s="3" t="n"/>
      <c r="F778" s="3" t="inlineStr">
        <is>
          <t>Closed</t>
        </is>
      </c>
      <c r="G778" s="3" t="inlineStr">
        <is>
          <t>Chandrashekar Patidar</t>
        </is>
      </c>
      <c r="H778" s="3" t="n">
        <v>7879764773</v>
      </c>
      <c r="I778" s="11" t="inlineStr">
        <is>
          <t>PE26032601</t>
        </is>
      </c>
      <c r="J778" s="3" t="inlineStr">
        <is>
          <t>Module Diode Failure</t>
        </is>
      </c>
      <c r="K778" s="3" t="inlineStr">
        <is>
          <t>Sadla</t>
        </is>
      </c>
      <c r="L778" s="3" t="inlineStr">
        <is>
          <t>Gujarat</t>
        </is>
      </c>
      <c r="M778" s="9" t="inlineStr">
        <is>
          <t>NS</t>
        </is>
      </c>
      <c r="N778" s="3" t="inlineStr">
        <is>
          <t>Cold Soldering</t>
        </is>
      </c>
      <c r="O778" s="3" t="n">
        <v>570</v>
      </c>
      <c r="P778" s="9" t="inlineStr">
        <is>
          <t>NSMI24060091890</t>
        </is>
      </c>
      <c r="Q778" s="53">
        <f>MID(P778,5,2)</f>
        <v/>
      </c>
      <c r="R778" s="53">
        <f>MID(P778,7,2)</f>
        <v/>
      </c>
      <c r="S778" s="3" t="inlineStr">
        <is>
          <t>G2G</t>
        </is>
      </c>
      <c r="T778" s="3" t="inlineStr">
        <is>
          <t>P4</t>
        </is>
      </c>
      <c r="U778" s="3" t="inlineStr">
        <is>
          <t>N JB Cold Soldering</t>
        </is>
      </c>
      <c r="V778" s="3" t="inlineStr">
        <is>
          <t>Soldering</t>
        </is>
      </c>
      <c r="W778" s="3" t="inlineStr">
        <is>
          <t>Repair</t>
        </is>
      </c>
      <c r="X778" s="18" t="n">
        <v>46154</v>
      </c>
      <c r="Y778" s="3">
        <f>X778-A778</f>
        <v/>
      </c>
      <c r="Z778" s="18" t="n">
        <v>46154</v>
      </c>
      <c r="AA778" s="15" t="n"/>
      <c r="AB778" s="15" t="n"/>
    </row>
    <row r="779" hidden="1" s="233">
      <c r="A779" s="6" t="n">
        <v>46107</v>
      </c>
      <c r="B779" s="3" t="n">
        <v>2026</v>
      </c>
      <c r="C779" s="3" t="inlineStr">
        <is>
          <t>Blupine</t>
        </is>
      </c>
      <c r="D779" s="3" t="inlineStr">
        <is>
          <t>Utility and C&amp;I</t>
        </is>
      </c>
      <c r="E779" s="3" t="n"/>
      <c r="F779" s="3" t="inlineStr">
        <is>
          <t>Closed</t>
        </is>
      </c>
      <c r="G779" s="3" t="inlineStr">
        <is>
          <t>Chandrashekar Patidar</t>
        </is>
      </c>
      <c r="H779" s="3" t="n">
        <v>7879764773</v>
      </c>
      <c r="I779" s="11" t="inlineStr">
        <is>
          <t>PE26032601</t>
        </is>
      </c>
      <c r="J779" s="3" t="inlineStr">
        <is>
          <t>Module Diode Failure</t>
        </is>
      </c>
      <c r="K779" s="3" t="inlineStr">
        <is>
          <t>Sadla</t>
        </is>
      </c>
      <c r="L779" s="3" t="inlineStr">
        <is>
          <t>Gujarat</t>
        </is>
      </c>
      <c r="M779" s="9" t="inlineStr">
        <is>
          <t>PS</t>
        </is>
      </c>
      <c r="N779" s="3" t="inlineStr">
        <is>
          <t>Cold Soldering</t>
        </is>
      </c>
      <c r="O779" s="3" t="n">
        <v>570</v>
      </c>
      <c r="P779" s="9" t="inlineStr">
        <is>
          <t>NSMI24060090901</t>
        </is>
      </c>
      <c r="Q779" s="53">
        <f>MID(P779,5,2)</f>
        <v/>
      </c>
      <c r="R779" s="53">
        <f>MID(P779,7,2)</f>
        <v/>
      </c>
      <c r="S779" s="3" t="inlineStr">
        <is>
          <t>G2G</t>
        </is>
      </c>
      <c r="T779" s="3" t="inlineStr">
        <is>
          <t>P4</t>
        </is>
      </c>
      <c r="U779" s="3" t="inlineStr">
        <is>
          <t>P JB Cold Soldering</t>
        </is>
      </c>
      <c r="V779" s="3" t="inlineStr">
        <is>
          <t>Soldering</t>
        </is>
      </c>
      <c r="W779" s="3" t="inlineStr">
        <is>
          <t>Repair</t>
        </is>
      </c>
      <c r="X779" s="18" t="n">
        <v>46154</v>
      </c>
      <c r="Y779" s="3">
        <f>X779-A779</f>
        <v/>
      </c>
      <c r="Z779" s="18" t="n">
        <v>46154</v>
      </c>
      <c r="AA779" s="15" t="n"/>
      <c r="AB779" s="15" t="n"/>
    </row>
    <row r="780" hidden="1" s="233">
      <c r="A780" s="6" t="n">
        <v>46107</v>
      </c>
      <c r="B780" s="3" t="n">
        <v>2026</v>
      </c>
      <c r="C780" s="3" t="inlineStr">
        <is>
          <t>Blupine</t>
        </is>
      </c>
      <c r="D780" s="3" t="inlineStr">
        <is>
          <t>Utility and C&amp;I</t>
        </is>
      </c>
      <c r="E780" s="3" t="n"/>
      <c r="F780" s="3" t="inlineStr">
        <is>
          <t>Closed</t>
        </is>
      </c>
      <c r="G780" s="3" t="inlineStr">
        <is>
          <t>Chandrashekar Patidar</t>
        </is>
      </c>
      <c r="H780" s="3" t="n">
        <v>7879764773</v>
      </c>
      <c r="I780" s="11" t="inlineStr">
        <is>
          <t>PE26032601</t>
        </is>
      </c>
      <c r="J780" s="3" t="inlineStr">
        <is>
          <t>Module Diode Failure</t>
        </is>
      </c>
      <c r="K780" s="3" t="inlineStr">
        <is>
          <t>Sadla</t>
        </is>
      </c>
      <c r="L780" s="3" t="inlineStr">
        <is>
          <t>Gujarat</t>
        </is>
      </c>
      <c r="M780" s="9" t="inlineStr">
        <is>
          <t>PS</t>
        </is>
      </c>
      <c r="N780" s="3" t="inlineStr">
        <is>
          <t>Cold Soldering</t>
        </is>
      </c>
      <c r="O780" s="3" t="n">
        <v>570</v>
      </c>
      <c r="P780" s="9" t="inlineStr">
        <is>
          <t>NSMI24050061550</t>
        </is>
      </c>
      <c r="Q780" s="53">
        <f>MID(P780,5,2)</f>
        <v/>
      </c>
      <c r="R780" s="53">
        <f>MID(P780,7,2)</f>
        <v/>
      </c>
      <c r="S780" s="3" t="inlineStr">
        <is>
          <t>G2G</t>
        </is>
      </c>
      <c r="T780" s="3" t="inlineStr">
        <is>
          <t>P4</t>
        </is>
      </c>
      <c r="U780" s="3" t="inlineStr">
        <is>
          <t>P JB Cold Soldering</t>
        </is>
      </c>
      <c r="V780" s="3" t="inlineStr">
        <is>
          <t>Soldering</t>
        </is>
      </c>
      <c r="W780" s="3" t="inlineStr">
        <is>
          <t>Repair</t>
        </is>
      </c>
      <c r="X780" s="18" t="n">
        <v>46154</v>
      </c>
      <c r="Y780" s="3">
        <f>X780-A780</f>
        <v/>
      </c>
      <c r="Z780" s="18" t="n">
        <v>46154</v>
      </c>
      <c r="AA780" s="15" t="n"/>
      <c r="AB780" s="15" t="n"/>
    </row>
    <row r="781" hidden="1" s="233">
      <c r="A781" s="6" t="n">
        <v>46107</v>
      </c>
      <c r="B781" s="3" t="n">
        <v>2026</v>
      </c>
      <c r="C781" s="3" t="inlineStr">
        <is>
          <t>Blupine</t>
        </is>
      </c>
      <c r="D781" s="3" t="inlineStr">
        <is>
          <t>Utility and C&amp;I</t>
        </is>
      </c>
      <c r="E781" s="3" t="n"/>
      <c r="F781" s="3" t="inlineStr">
        <is>
          <t>Closed</t>
        </is>
      </c>
      <c r="G781" s="3" t="inlineStr">
        <is>
          <t>Chandrashekar Patidar</t>
        </is>
      </c>
      <c r="H781" s="3" t="n">
        <v>7879764773</v>
      </c>
      <c r="I781" s="11" t="inlineStr">
        <is>
          <t>PE26032601</t>
        </is>
      </c>
      <c r="J781" s="3" t="inlineStr">
        <is>
          <t>Module Diode Failure</t>
        </is>
      </c>
      <c r="K781" s="3" t="inlineStr">
        <is>
          <t>Sadla</t>
        </is>
      </c>
      <c r="L781" s="3" t="inlineStr">
        <is>
          <t>Gujarat</t>
        </is>
      </c>
      <c r="M781" s="9" t="inlineStr">
        <is>
          <t>NS</t>
        </is>
      </c>
      <c r="N781" s="3" t="inlineStr">
        <is>
          <t>Cold Soldering</t>
        </is>
      </c>
      <c r="O781" s="3" t="n">
        <v>570</v>
      </c>
      <c r="P781" s="9" t="inlineStr">
        <is>
          <t>NSMI24060094598</t>
        </is>
      </c>
      <c r="Q781" s="53">
        <f>MID(P781,5,2)</f>
        <v/>
      </c>
      <c r="R781" s="53">
        <f>MID(P781,7,2)</f>
        <v/>
      </c>
      <c r="S781" s="3" t="inlineStr">
        <is>
          <t>G2G</t>
        </is>
      </c>
      <c r="T781" s="3" t="inlineStr">
        <is>
          <t>P4</t>
        </is>
      </c>
      <c r="U781" s="3" t="inlineStr">
        <is>
          <t>N JB Cold Soldering</t>
        </is>
      </c>
      <c r="V781" s="3" t="inlineStr">
        <is>
          <t>Soldering</t>
        </is>
      </c>
      <c r="W781" s="3" t="inlineStr">
        <is>
          <t>Repair</t>
        </is>
      </c>
      <c r="X781" s="18" t="n">
        <v>46154</v>
      </c>
      <c r="Y781" s="3">
        <f>X781-A781</f>
        <v/>
      </c>
      <c r="Z781" s="18" t="n">
        <v>46154</v>
      </c>
      <c r="AA781" s="15" t="n"/>
      <c r="AB781" s="15" t="n"/>
    </row>
    <row r="782" hidden="1" s="233">
      <c r="A782" s="6" t="n">
        <v>46107</v>
      </c>
      <c r="B782" s="3" t="n">
        <v>2026</v>
      </c>
      <c r="C782" s="3" t="inlineStr">
        <is>
          <t>Blupine</t>
        </is>
      </c>
      <c r="D782" s="3" t="inlineStr">
        <is>
          <t>Utility and C&amp;I</t>
        </is>
      </c>
      <c r="E782" s="3" t="n"/>
      <c r="F782" s="3" t="inlineStr">
        <is>
          <t>Closed</t>
        </is>
      </c>
      <c r="G782" s="3" t="inlineStr">
        <is>
          <t>Chandrashekar Patidar</t>
        </is>
      </c>
      <c r="H782" s="3" t="n">
        <v>7879764773</v>
      </c>
      <c r="I782" s="11" t="inlineStr">
        <is>
          <t>PE26032601</t>
        </is>
      </c>
      <c r="J782" s="3" t="inlineStr">
        <is>
          <t>Module Diode Failure</t>
        </is>
      </c>
      <c r="K782" s="3" t="inlineStr">
        <is>
          <t>Sadla</t>
        </is>
      </c>
      <c r="L782" s="3" t="inlineStr">
        <is>
          <t>Gujarat</t>
        </is>
      </c>
      <c r="M782" s="9" t="inlineStr">
        <is>
          <t>PS</t>
        </is>
      </c>
      <c r="N782" s="3" t="inlineStr">
        <is>
          <t>Cold Soldering</t>
        </is>
      </c>
      <c r="O782" s="3" t="n">
        <v>570</v>
      </c>
      <c r="P782" s="9" t="inlineStr">
        <is>
          <t>NSMI24050067694</t>
        </is>
      </c>
      <c r="Q782" s="53">
        <f>MID(P782,5,2)</f>
        <v/>
      </c>
      <c r="R782" s="53">
        <f>MID(P782,7,2)</f>
        <v/>
      </c>
      <c r="S782" s="3" t="inlineStr">
        <is>
          <t>G2G</t>
        </is>
      </c>
      <c r="T782" s="3" t="inlineStr">
        <is>
          <t>P4</t>
        </is>
      </c>
      <c r="U782" s="3" t="inlineStr">
        <is>
          <t>P JB Cold Soldering</t>
        </is>
      </c>
      <c r="V782" s="3" t="inlineStr">
        <is>
          <t>Soldering</t>
        </is>
      </c>
      <c r="W782" s="3" t="inlineStr">
        <is>
          <t>Repair</t>
        </is>
      </c>
      <c r="X782" s="18" t="n">
        <v>46154</v>
      </c>
      <c r="Y782" s="3">
        <f>X782-A782</f>
        <v/>
      </c>
      <c r="Z782" s="18" t="n">
        <v>46154</v>
      </c>
      <c r="AA782" s="15" t="n"/>
      <c r="AB782" s="15" t="n"/>
    </row>
    <row r="783" hidden="1" s="233">
      <c r="A783" s="6" t="n">
        <v>46107</v>
      </c>
      <c r="B783" s="3" t="n">
        <v>2026</v>
      </c>
      <c r="C783" s="3" t="inlineStr">
        <is>
          <t>Blupine</t>
        </is>
      </c>
      <c r="D783" s="3" t="inlineStr">
        <is>
          <t>Utility and C&amp;I</t>
        </is>
      </c>
      <c r="E783" s="3" t="n"/>
      <c r="F783" s="3" t="inlineStr">
        <is>
          <t>Closed</t>
        </is>
      </c>
      <c r="G783" s="3" t="inlineStr">
        <is>
          <t>Chandrashekar Patidar</t>
        </is>
      </c>
      <c r="H783" s="3" t="n">
        <v>7879764773</v>
      </c>
      <c r="I783" s="11" t="inlineStr">
        <is>
          <t>PE26032601</t>
        </is>
      </c>
      <c r="J783" s="3" t="inlineStr">
        <is>
          <t>Module Diode Failure</t>
        </is>
      </c>
      <c r="K783" s="3" t="inlineStr">
        <is>
          <t>Sadla</t>
        </is>
      </c>
      <c r="L783" s="3" t="inlineStr">
        <is>
          <t>Gujarat</t>
        </is>
      </c>
      <c r="M783" s="9" t="inlineStr">
        <is>
          <t>NS</t>
        </is>
      </c>
      <c r="N783" s="3" t="inlineStr">
        <is>
          <t>Cold Soldering</t>
        </is>
      </c>
      <c r="O783" s="3" t="n">
        <v>570</v>
      </c>
      <c r="P783" s="9" t="inlineStr">
        <is>
          <t>NSMI24060093204</t>
        </is>
      </c>
      <c r="Q783" s="53">
        <f>MID(P783,5,2)</f>
        <v/>
      </c>
      <c r="R783" s="53">
        <f>MID(P783,7,2)</f>
        <v/>
      </c>
      <c r="S783" s="3" t="inlineStr">
        <is>
          <t>G2G</t>
        </is>
      </c>
      <c r="T783" s="3" t="inlineStr">
        <is>
          <t>P4</t>
        </is>
      </c>
      <c r="U783" s="3" t="inlineStr">
        <is>
          <t>N JB Cold Soldering</t>
        </is>
      </c>
      <c r="V783" s="3" t="inlineStr">
        <is>
          <t>Soldering</t>
        </is>
      </c>
      <c r="W783" s="3" t="inlineStr">
        <is>
          <t>Repair</t>
        </is>
      </c>
      <c r="X783" s="18" t="n">
        <v>46154</v>
      </c>
      <c r="Y783" s="3">
        <f>X783-A783</f>
        <v/>
      </c>
      <c r="Z783" s="18" t="n">
        <v>46154</v>
      </c>
      <c r="AA783" s="15" t="n"/>
      <c r="AB783" s="15" t="n"/>
    </row>
    <row r="784" hidden="1" s="233">
      <c r="A784" s="6" t="n">
        <v>46107</v>
      </c>
      <c r="B784" s="3" t="n">
        <v>2026</v>
      </c>
      <c r="C784" s="3" t="inlineStr">
        <is>
          <t>Blupine</t>
        </is>
      </c>
      <c r="D784" s="3" t="inlineStr">
        <is>
          <t>Utility and C&amp;I</t>
        </is>
      </c>
      <c r="E784" s="3" t="n"/>
      <c r="F784" s="3" t="inlineStr">
        <is>
          <t>Closed</t>
        </is>
      </c>
      <c r="G784" s="3" t="inlineStr">
        <is>
          <t>Chandrashekar Patidar</t>
        </is>
      </c>
      <c r="H784" s="3" t="n">
        <v>7879764773</v>
      </c>
      <c r="I784" s="11" t="inlineStr">
        <is>
          <t>PE26032601</t>
        </is>
      </c>
      <c r="J784" s="3" t="inlineStr">
        <is>
          <t>Module Diode Failure</t>
        </is>
      </c>
      <c r="K784" s="3" t="inlineStr">
        <is>
          <t>Sadla</t>
        </is>
      </c>
      <c r="L784" s="3" t="inlineStr">
        <is>
          <t>Gujarat</t>
        </is>
      </c>
      <c r="M784" s="9" t="inlineStr">
        <is>
          <t>PNS</t>
        </is>
      </c>
      <c r="N784" s="3" t="inlineStr">
        <is>
          <t>Cold Soldering</t>
        </is>
      </c>
      <c r="O784" s="3" t="n">
        <v>570</v>
      </c>
      <c r="P784" s="9" t="inlineStr">
        <is>
          <t>NSMI24060094381</t>
        </is>
      </c>
      <c r="Q784" s="53">
        <f>MID(P784,5,2)</f>
        <v/>
      </c>
      <c r="R784" s="53">
        <f>MID(P784,7,2)</f>
        <v/>
      </c>
      <c r="S784" s="3" t="inlineStr">
        <is>
          <t>G2G</t>
        </is>
      </c>
      <c r="T784" s="3" t="inlineStr">
        <is>
          <t>P4</t>
        </is>
      </c>
      <c r="U784" s="3" t="inlineStr">
        <is>
          <t>P &amp; N JB Cold Soldering</t>
        </is>
      </c>
      <c r="V784" s="3" t="inlineStr">
        <is>
          <t>Soldering</t>
        </is>
      </c>
      <c r="W784" s="3" t="inlineStr">
        <is>
          <t>Repair</t>
        </is>
      </c>
      <c r="X784" s="18" t="n">
        <v>46154</v>
      </c>
      <c r="Y784" s="3">
        <f>X784-A784</f>
        <v/>
      </c>
      <c r="Z784" s="18" t="n">
        <v>46154</v>
      </c>
      <c r="AA784" s="15" t="n"/>
      <c r="AB784" s="15" t="n"/>
    </row>
    <row r="785" hidden="1" s="233">
      <c r="A785" s="6" t="n">
        <v>46107</v>
      </c>
      <c r="B785" s="3" t="n">
        <v>2026</v>
      </c>
      <c r="C785" s="3" t="inlineStr">
        <is>
          <t>Blupine</t>
        </is>
      </c>
      <c r="D785" s="3" t="inlineStr">
        <is>
          <t>Utility and C&amp;I</t>
        </is>
      </c>
      <c r="E785" s="3" t="n"/>
      <c r="F785" s="3" t="inlineStr">
        <is>
          <t>Closed</t>
        </is>
      </c>
      <c r="G785" s="3" t="inlineStr">
        <is>
          <t>Chandrashekar Patidar</t>
        </is>
      </c>
      <c r="H785" s="3" t="n">
        <v>7879764773</v>
      </c>
      <c r="I785" s="11" t="inlineStr">
        <is>
          <t>PE26032601</t>
        </is>
      </c>
      <c r="J785" s="3" t="inlineStr">
        <is>
          <t>Module Diode Failure</t>
        </is>
      </c>
      <c r="K785" s="3" t="inlineStr">
        <is>
          <t>Sadla</t>
        </is>
      </c>
      <c r="L785" s="3" t="inlineStr">
        <is>
          <t>Gujarat</t>
        </is>
      </c>
      <c r="M785" s="9" t="inlineStr">
        <is>
          <t>PS</t>
        </is>
      </c>
      <c r="N785" s="3" t="inlineStr">
        <is>
          <t>Cold Soldering</t>
        </is>
      </c>
      <c r="O785" s="3" t="n">
        <v>570</v>
      </c>
      <c r="P785" s="9" t="inlineStr">
        <is>
          <t>NSMI24060094324</t>
        </is>
      </c>
      <c r="Q785" s="53">
        <f>MID(P785,5,2)</f>
        <v/>
      </c>
      <c r="R785" s="53">
        <f>MID(P785,7,2)</f>
        <v/>
      </c>
      <c r="S785" s="3" t="inlineStr">
        <is>
          <t>G2G</t>
        </is>
      </c>
      <c r="T785" s="3" t="inlineStr">
        <is>
          <t>P4</t>
        </is>
      </c>
      <c r="U785" s="3" t="inlineStr">
        <is>
          <t>P JB Cold Soldering</t>
        </is>
      </c>
      <c r="V785" s="3" t="inlineStr">
        <is>
          <t>Soldering</t>
        </is>
      </c>
      <c r="W785" s="3" t="inlineStr">
        <is>
          <t>Repair</t>
        </is>
      </c>
      <c r="X785" s="18" t="n">
        <v>46154</v>
      </c>
      <c r="Y785" s="3">
        <f>X785-A785</f>
        <v/>
      </c>
      <c r="Z785" s="18" t="n">
        <v>46154</v>
      </c>
      <c r="AA785" s="15" t="n"/>
      <c r="AB785" s="15" t="n"/>
    </row>
    <row r="786" hidden="1" s="233">
      <c r="A786" s="6" t="n">
        <v>46107</v>
      </c>
      <c r="B786" s="3" t="n">
        <v>2026</v>
      </c>
      <c r="C786" s="3" t="inlineStr">
        <is>
          <t>Blupine</t>
        </is>
      </c>
      <c r="D786" s="3" t="inlineStr">
        <is>
          <t>Utility and C&amp;I</t>
        </is>
      </c>
      <c r="E786" s="3" t="n"/>
      <c r="F786" s="3" t="inlineStr">
        <is>
          <t>Closed</t>
        </is>
      </c>
      <c r="G786" s="3" t="inlineStr">
        <is>
          <t>Chandrashekar Patidar</t>
        </is>
      </c>
      <c r="H786" s="3" t="n">
        <v>7879764773</v>
      </c>
      <c r="I786" s="11" t="inlineStr">
        <is>
          <t>PE26032601</t>
        </is>
      </c>
      <c r="J786" s="3" t="inlineStr">
        <is>
          <t>Module Diode Failure</t>
        </is>
      </c>
      <c r="K786" s="3" t="inlineStr">
        <is>
          <t>Sadla</t>
        </is>
      </c>
      <c r="L786" s="3" t="inlineStr">
        <is>
          <t>Gujarat</t>
        </is>
      </c>
      <c r="M786" s="9" t="inlineStr">
        <is>
          <t>PS</t>
        </is>
      </c>
      <c r="N786" s="3" t="inlineStr">
        <is>
          <t>Cold Soldering</t>
        </is>
      </c>
      <c r="O786" s="3" t="n">
        <v>570</v>
      </c>
      <c r="P786" s="9" t="inlineStr">
        <is>
          <t>NSMI24060094370</t>
        </is>
      </c>
      <c r="Q786" s="53">
        <f>MID(P786,5,2)</f>
        <v/>
      </c>
      <c r="R786" s="53">
        <f>MID(P786,7,2)</f>
        <v/>
      </c>
      <c r="S786" s="3" t="inlineStr">
        <is>
          <t>G2G</t>
        </is>
      </c>
      <c r="T786" s="3" t="inlineStr">
        <is>
          <t>P4</t>
        </is>
      </c>
      <c r="U786" s="3" t="inlineStr">
        <is>
          <t>P JB Cold Soldering</t>
        </is>
      </c>
      <c r="V786" s="3" t="inlineStr">
        <is>
          <t>Soldering</t>
        </is>
      </c>
      <c r="W786" s="3" t="inlineStr">
        <is>
          <t>Repair</t>
        </is>
      </c>
      <c r="X786" s="18" t="n">
        <v>46154</v>
      </c>
      <c r="Y786" s="3">
        <f>X786-A786</f>
        <v/>
      </c>
      <c r="Z786" s="18" t="n">
        <v>46154</v>
      </c>
      <c r="AA786" s="15" t="n"/>
      <c r="AB786" s="15" t="n"/>
    </row>
    <row r="787" hidden="1" s="233">
      <c r="A787" s="6" t="n">
        <v>46107</v>
      </c>
      <c r="B787" s="3" t="n">
        <v>2026</v>
      </c>
      <c r="C787" s="3" t="inlineStr">
        <is>
          <t>Blupine</t>
        </is>
      </c>
      <c r="D787" s="3" t="inlineStr">
        <is>
          <t>Utility and C&amp;I</t>
        </is>
      </c>
      <c r="E787" s="3" t="n"/>
      <c r="F787" s="3" t="inlineStr">
        <is>
          <t>Closed</t>
        </is>
      </c>
      <c r="G787" s="3" t="inlineStr">
        <is>
          <t>Chandrashekar Patidar</t>
        </is>
      </c>
      <c r="H787" s="3" t="n">
        <v>7879764773</v>
      </c>
      <c r="I787" s="11" t="inlineStr">
        <is>
          <t>PE26032601</t>
        </is>
      </c>
      <c r="J787" s="3" t="inlineStr">
        <is>
          <t>Module Diode Failure</t>
        </is>
      </c>
      <c r="K787" s="3" t="inlineStr">
        <is>
          <t>Sadla</t>
        </is>
      </c>
      <c r="L787" s="3" t="inlineStr">
        <is>
          <t>Gujarat</t>
        </is>
      </c>
      <c r="M787" s="9" t="inlineStr">
        <is>
          <t>PS</t>
        </is>
      </c>
      <c r="N787" s="3" t="inlineStr">
        <is>
          <t>Cold Soldering</t>
        </is>
      </c>
      <c r="O787" s="3" t="n">
        <v>570</v>
      </c>
      <c r="P787" s="9" t="inlineStr">
        <is>
          <t>NSMI24060098665</t>
        </is>
      </c>
      <c r="Q787" s="53">
        <f>MID(P787,5,2)</f>
        <v/>
      </c>
      <c r="R787" s="53">
        <f>MID(P787,7,2)</f>
        <v/>
      </c>
      <c r="S787" s="3" t="inlineStr">
        <is>
          <t>G2G</t>
        </is>
      </c>
      <c r="T787" s="3" t="inlineStr">
        <is>
          <t>P4</t>
        </is>
      </c>
      <c r="U787" s="3" t="inlineStr">
        <is>
          <t>P JB Cold Soldering</t>
        </is>
      </c>
      <c r="V787" s="3" t="inlineStr">
        <is>
          <t>Soldering</t>
        </is>
      </c>
      <c r="W787" s="3" t="inlineStr">
        <is>
          <t>Repair</t>
        </is>
      </c>
      <c r="X787" s="18" t="n">
        <v>46154</v>
      </c>
      <c r="Y787" s="3">
        <f>X787-A787</f>
        <v/>
      </c>
      <c r="Z787" s="18" t="n">
        <v>46154</v>
      </c>
      <c r="AA787" s="15" t="n"/>
      <c r="AB787" s="15" t="n"/>
    </row>
    <row r="788" hidden="1" s="233">
      <c r="A788" s="6" t="n">
        <v>46107</v>
      </c>
      <c r="B788" s="3" t="n">
        <v>2026</v>
      </c>
      <c r="C788" s="3" t="inlineStr">
        <is>
          <t>Blupine</t>
        </is>
      </c>
      <c r="D788" s="3" t="inlineStr">
        <is>
          <t>Utility and C&amp;I</t>
        </is>
      </c>
      <c r="E788" s="3" t="n"/>
      <c r="F788" s="3" t="inlineStr">
        <is>
          <t>Closed</t>
        </is>
      </c>
      <c r="G788" s="3" t="inlineStr">
        <is>
          <t>Chandrashekar Patidar</t>
        </is>
      </c>
      <c r="H788" s="3" t="n">
        <v>7879764773</v>
      </c>
      <c r="I788" s="11" t="inlineStr">
        <is>
          <t>PE26032601</t>
        </is>
      </c>
      <c r="J788" s="3" t="inlineStr">
        <is>
          <t>Module Diode Failure</t>
        </is>
      </c>
      <c r="K788" s="3" t="inlineStr">
        <is>
          <t>Sadla</t>
        </is>
      </c>
      <c r="L788" s="3" t="inlineStr">
        <is>
          <t>Gujarat</t>
        </is>
      </c>
      <c r="M788" s="9" t="inlineStr">
        <is>
          <t>NS</t>
        </is>
      </c>
      <c r="N788" s="3" t="inlineStr">
        <is>
          <t>Cold Soldering</t>
        </is>
      </c>
      <c r="O788" s="3" t="n">
        <v>570</v>
      </c>
      <c r="P788" s="9" t="inlineStr">
        <is>
          <t>NSMI24060096889</t>
        </is>
      </c>
      <c r="Q788" s="53">
        <f>MID(P788,5,2)</f>
        <v/>
      </c>
      <c r="R788" s="53">
        <f>MID(P788,7,2)</f>
        <v/>
      </c>
      <c r="S788" s="3" t="inlineStr">
        <is>
          <t>G2G</t>
        </is>
      </c>
      <c r="T788" s="3" t="inlineStr">
        <is>
          <t>P4</t>
        </is>
      </c>
      <c r="U788" s="3" t="inlineStr">
        <is>
          <t>N JB Cold Soldering</t>
        </is>
      </c>
      <c r="V788" s="3" t="inlineStr">
        <is>
          <t>Soldering</t>
        </is>
      </c>
      <c r="W788" s="3" t="inlineStr">
        <is>
          <t>Repair</t>
        </is>
      </c>
      <c r="X788" s="18" t="n">
        <v>46154</v>
      </c>
      <c r="Y788" s="3">
        <f>X788-A788</f>
        <v/>
      </c>
      <c r="Z788" s="18" t="n">
        <v>46154</v>
      </c>
      <c r="AA788" s="15" t="n"/>
      <c r="AB788" s="15" t="n"/>
    </row>
    <row r="789" hidden="1" s="233">
      <c r="A789" s="6" t="n">
        <v>46107</v>
      </c>
      <c r="B789" s="3" t="n">
        <v>2026</v>
      </c>
      <c r="C789" s="3" t="inlineStr">
        <is>
          <t>Blupine</t>
        </is>
      </c>
      <c r="D789" s="3" t="inlineStr">
        <is>
          <t>Utility and C&amp;I</t>
        </is>
      </c>
      <c r="E789" s="3" t="n"/>
      <c r="F789" s="3" t="inlineStr">
        <is>
          <t>Closed</t>
        </is>
      </c>
      <c r="G789" s="3" t="inlineStr">
        <is>
          <t>Chandrashekar Patidar</t>
        </is>
      </c>
      <c r="H789" s="3" t="n">
        <v>7879764773</v>
      </c>
      <c r="I789" s="11" t="inlineStr">
        <is>
          <t>PE26032601</t>
        </is>
      </c>
      <c r="J789" s="3" t="inlineStr">
        <is>
          <t>Module Diode Failure</t>
        </is>
      </c>
      <c r="K789" s="3" t="inlineStr">
        <is>
          <t>Sadla</t>
        </is>
      </c>
      <c r="L789" s="3" t="inlineStr">
        <is>
          <t>Gujarat</t>
        </is>
      </c>
      <c r="M789" s="9" t="inlineStr">
        <is>
          <t>PS</t>
        </is>
      </c>
      <c r="N789" s="3" t="inlineStr">
        <is>
          <t>Cold Soldering</t>
        </is>
      </c>
      <c r="O789" s="3" t="n">
        <v>570</v>
      </c>
      <c r="P789" s="9" t="inlineStr">
        <is>
          <t>NSMI24060097346</t>
        </is>
      </c>
      <c r="Q789" s="53">
        <f>MID(P789,5,2)</f>
        <v/>
      </c>
      <c r="R789" s="53">
        <f>MID(P789,7,2)</f>
        <v/>
      </c>
      <c r="S789" s="3" t="inlineStr">
        <is>
          <t>G2G</t>
        </is>
      </c>
      <c r="T789" s="3" t="inlineStr">
        <is>
          <t>P4</t>
        </is>
      </c>
      <c r="U789" s="3" t="inlineStr">
        <is>
          <t>P JB Cold Soldering</t>
        </is>
      </c>
      <c r="V789" s="3" t="inlineStr">
        <is>
          <t>Soldering</t>
        </is>
      </c>
      <c r="W789" s="3" t="inlineStr">
        <is>
          <t>Repair</t>
        </is>
      </c>
      <c r="X789" s="18" t="n">
        <v>46154</v>
      </c>
      <c r="Y789" s="3">
        <f>X789-A789</f>
        <v/>
      </c>
      <c r="Z789" s="18" t="n">
        <v>46154</v>
      </c>
      <c r="AA789" s="15" t="n"/>
      <c r="AB789" s="15" t="n"/>
    </row>
    <row r="790" hidden="1" s="233">
      <c r="A790" s="6" t="n">
        <v>46107</v>
      </c>
      <c r="B790" s="3" t="n">
        <v>2026</v>
      </c>
      <c r="C790" s="3" t="inlineStr">
        <is>
          <t>Blupine</t>
        </is>
      </c>
      <c r="D790" s="3" t="inlineStr">
        <is>
          <t>Utility and C&amp;I</t>
        </is>
      </c>
      <c r="E790" s="3" t="n"/>
      <c r="F790" s="3" t="inlineStr">
        <is>
          <t>Closed</t>
        </is>
      </c>
      <c r="G790" s="3" t="inlineStr">
        <is>
          <t>Chandrashekar Patidar</t>
        </is>
      </c>
      <c r="H790" s="3" t="n">
        <v>7879764773</v>
      </c>
      <c r="I790" s="11" t="inlineStr">
        <is>
          <t>PE26032601</t>
        </is>
      </c>
      <c r="J790" s="3" t="inlineStr">
        <is>
          <t>Module Diode Failure</t>
        </is>
      </c>
      <c r="K790" s="3" t="inlineStr">
        <is>
          <t>Sadla</t>
        </is>
      </c>
      <c r="L790" s="3" t="inlineStr">
        <is>
          <t>Gujarat</t>
        </is>
      </c>
      <c r="M790" s="9" t="inlineStr">
        <is>
          <t>PS</t>
        </is>
      </c>
      <c r="N790" s="3" t="inlineStr">
        <is>
          <t>Cold Soldering</t>
        </is>
      </c>
      <c r="O790" s="3" t="n">
        <v>570</v>
      </c>
      <c r="P790" s="9" t="inlineStr">
        <is>
          <t>NSMI24060093754</t>
        </is>
      </c>
      <c r="Q790" s="53">
        <f>MID(P790,5,2)</f>
        <v/>
      </c>
      <c r="R790" s="53">
        <f>MID(P790,7,2)</f>
        <v/>
      </c>
      <c r="S790" s="3" t="inlineStr">
        <is>
          <t>G2G</t>
        </is>
      </c>
      <c r="T790" s="3" t="inlineStr">
        <is>
          <t>P4</t>
        </is>
      </c>
      <c r="U790" s="3" t="inlineStr">
        <is>
          <t>P JB Cold Soldering</t>
        </is>
      </c>
      <c r="V790" s="3" t="inlineStr">
        <is>
          <t>Soldering</t>
        </is>
      </c>
      <c r="W790" s="3" t="inlineStr">
        <is>
          <t>Repair</t>
        </is>
      </c>
      <c r="X790" s="18" t="n">
        <v>46154</v>
      </c>
      <c r="Y790" s="3">
        <f>X790-A790</f>
        <v/>
      </c>
      <c r="Z790" s="18" t="n">
        <v>46154</v>
      </c>
      <c r="AA790" s="15" t="n"/>
      <c r="AB790" s="15" t="n"/>
    </row>
    <row r="791" hidden="1" s="233">
      <c r="A791" s="6" t="n">
        <v>46107</v>
      </c>
      <c r="B791" s="3" t="n">
        <v>2026</v>
      </c>
      <c r="C791" s="3" t="inlineStr">
        <is>
          <t>Blupine</t>
        </is>
      </c>
      <c r="D791" s="3" t="inlineStr">
        <is>
          <t>Utility and C&amp;I</t>
        </is>
      </c>
      <c r="E791" s="3" t="n"/>
      <c r="F791" s="3" t="inlineStr">
        <is>
          <t>Closed</t>
        </is>
      </c>
      <c r="G791" s="3" t="inlineStr">
        <is>
          <t>Chandrashekar Patidar</t>
        </is>
      </c>
      <c r="H791" s="3" t="n">
        <v>7879764773</v>
      </c>
      <c r="I791" s="11" t="inlineStr">
        <is>
          <t>PE26032601</t>
        </is>
      </c>
      <c r="J791" s="3" t="inlineStr">
        <is>
          <t>Module Diode Failure</t>
        </is>
      </c>
      <c r="K791" s="3" t="inlineStr">
        <is>
          <t>Sadla</t>
        </is>
      </c>
      <c r="L791" s="3" t="inlineStr">
        <is>
          <t>Gujarat</t>
        </is>
      </c>
      <c r="M791" s="9" t="inlineStr">
        <is>
          <t>NS</t>
        </is>
      </c>
      <c r="N791" s="3" t="inlineStr">
        <is>
          <t>Cold Soldering</t>
        </is>
      </c>
      <c r="O791" s="3" t="n">
        <v>570</v>
      </c>
      <c r="P791" s="9" t="inlineStr">
        <is>
          <t>NSMI24060090786</t>
        </is>
      </c>
      <c r="Q791" s="53">
        <f>MID(P791,5,2)</f>
        <v/>
      </c>
      <c r="R791" s="53">
        <f>MID(P791,7,2)</f>
        <v/>
      </c>
      <c r="S791" s="3" t="inlineStr">
        <is>
          <t>G2G</t>
        </is>
      </c>
      <c r="T791" s="3" t="inlineStr">
        <is>
          <t>P4</t>
        </is>
      </c>
      <c r="U791" s="3" t="inlineStr">
        <is>
          <t>N JB Cold Soldering</t>
        </is>
      </c>
      <c r="V791" s="3" t="inlineStr">
        <is>
          <t>Soldering</t>
        </is>
      </c>
      <c r="W791" s="3" t="inlineStr">
        <is>
          <t>Repair</t>
        </is>
      </c>
      <c r="X791" s="18" t="n">
        <v>46154</v>
      </c>
      <c r="Y791" s="3">
        <f>X791-A791</f>
        <v/>
      </c>
      <c r="Z791" s="18" t="n">
        <v>46154</v>
      </c>
      <c r="AA791" s="15" t="n"/>
      <c r="AB791" s="15" t="n"/>
    </row>
    <row r="792" hidden="1" s="233">
      <c r="A792" s="6" t="n">
        <v>46107</v>
      </c>
      <c r="B792" s="3" t="n">
        <v>2026</v>
      </c>
      <c r="C792" s="3" t="inlineStr">
        <is>
          <t>Blupine</t>
        </is>
      </c>
      <c r="D792" s="3" t="inlineStr">
        <is>
          <t>Utility and C&amp;I</t>
        </is>
      </c>
      <c r="E792" s="3" t="n"/>
      <c r="F792" s="3" t="inlineStr">
        <is>
          <t>Closed</t>
        </is>
      </c>
      <c r="G792" s="3" t="inlineStr">
        <is>
          <t>Chandrashekar Patidar</t>
        </is>
      </c>
      <c r="H792" s="3" t="n">
        <v>7879764773</v>
      </c>
      <c r="I792" s="11" t="inlineStr">
        <is>
          <t>PE26032601</t>
        </is>
      </c>
      <c r="J792" s="3" t="inlineStr">
        <is>
          <t>Module Diode Failure</t>
        </is>
      </c>
      <c r="K792" s="3" t="inlineStr">
        <is>
          <t>Sadla</t>
        </is>
      </c>
      <c r="L792" s="3" t="inlineStr">
        <is>
          <t>Gujarat</t>
        </is>
      </c>
      <c r="M792" s="9" t="inlineStr">
        <is>
          <t>PS</t>
        </is>
      </c>
      <c r="N792" s="3" t="inlineStr">
        <is>
          <t>Cold Soldering</t>
        </is>
      </c>
      <c r="O792" s="3" t="n">
        <v>570</v>
      </c>
      <c r="P792" s="9" t="inlineStr">
        <is>
          <t>NSMI24060093145</t>
        </is>
      </c>
      <c r="Q792" s="53">
        <f>MID(P792,5,2)</f>
        <v/>
      </c>
      <c r="R792" s="53">
        <f>MID(P792,7,2)</f>
        <v/>
      </c>
      <c r="S792" s="3" t="inlineStr">
        <is>
          <t>G2G</t>
        </is>
      </c>
      <c r="T792" s="3" t="inlineStr">
        <is>
          <t>P4</t>
        </is>
      </c>
      <c r="U792" s="3" t="inlineStr">
        <is>
          <t>P JB Cold Soldering</t>
        </is>
      </c>
      <c r="V792" s="3" t="inlineStr">
        <is>
          <t>Soldering</t>
        </is>
      </c>
      <c r="W792" s="3" t="inlineStr">
        <is>
          <t>Repair</t>
        </is>
      </c>
      <c r="X792" s="18" t="n">
        <v>46154</v>
      </c>
      <c r="Y792" s="3">
        <f>X792-A792</f>
        <v/>
      </c>
      <c r="Z792" s="18" t="n">
        <v>46154</v>
      </c>
      <c r="AA792" s="15" t="n"/>
      <c r="AB792" s="15" t="n"/>
    </row>
    <row r="793" hidden="1" s="233">
      <c r="A793" s="6" t="n">
        <v>46107</v>
      </c>
      <c r="B793" s="3" t="n">
        <v>2026</v>
      </c>
      <c r="C793" s="3" t="inlineStr">
        <is>
          <t>Blupine</t>
        </is>
      </c>
      <c r="D793" s="3" t="inlineStr">
        <is>
          <t>Utility and C&amp;I</t>
        </is>
      </c>
      <c r="E793" s="3" t="n"/>
      <c r="F793" s="3" t="inlineStr">
        <is>
          <t>Closed</t>
        </is>
      </c>
      <c r="G793" s="3" t="inlineStr">
        <is>
          <t>Chandrashekar Patidar</t>
        </is>
      </c>
      <c r="H793" s="3" t="n">
        <v>7879764773</v>
      </c>
      <c r="I793" s="11" t="inlineStr">
        <is>
          <t>PE26032601</t>
        </is>
      </c>
      <c r="J793" s="3" t="inlineStr">
        <is>
          <t>Module Diode Failure</t>
        </is>
      </c>
      <c r="K793" s="3" t="inlineStr">
        <is>
          <t>Sadla</t>
        </is>
      </c>
      <c r="L793" s="3" t="inlineStr">
        <is>
          <t>Gujarat</t>
        </is>
      </c>
      <c r="M793" s="9" t="inlineStr">
        <is>
          <t>NS</t>
        </is>
      </c>
      <c r="N793" s="3" t="inlineStr">
        <is>
          <t>Cold Soldering</t>
        </is>
      </c>
      <c r="O793" s="3" t="n">
        <v>570</v>
      </c>
      <c r="P793" s="9" t="inlineStr">
        <is>
          <t>NSMI24060094497</t>
        </is>
      </c>
      <c r="Q793" s="53">
        <f>MID(P793,5,2)</f>
        <v/>
      </c>
      <c r="R793" s="53">
        <f>MID(P793,7,2)</f>
        <v/>
      </c>
      <c r="S793" s="3" t="inlineStr">
        <is>
          <t>G2G</t>
        </is>
      </c>
      <c r="T793" s="3" t="inlineStr">
        <is>
          <t>P4</t>
        </is>
      </c>
      <c r="U793" s="3" t="inlineStr">
        <is>
          <t>N JB Cold Soldering</t>
        </is>
      </c>
      <c r="V793" s="3" t="inlineStr">
        <is>
          <t>Soldering</t>
        </is>
      </c>
      <c r="W793" s="3" t="inlineStr">
        <is>
          <t>Repair</t>
        </is>
      </c>
      <c r="X793" s="18" t="n">
        <v>46154</v>
      </c>
      <c r="Y793" s="3">
        <f>X793-A793</f>
        <v/>
      </c>
      <c r="Z793" s="18" t="n">
        <v>46154</v>
      </c>
      <c r="AA793" s="15" t="n"/>
      <c r="AB793" s="15" t="n"/>
    </row>
    <row r="794" hidden="1" s="233">
      <c r="A794" s="6" t="n">
        <v>46107</v>
      </c>
      <c r="B794" s="3" t="n">
        <v>2026</v>
      </c>
      <c r="C794" s="3" t="inlineStr">
        <is>
          <t>Blupine</t>
        </is>
      </c>
      <c r="D794" s="3" t="inlineStr">
        <is>
          <t>Utility and C&amp;I</t>
        </is>
      </c>
      <c r="E794" s="3" t="n"/>
      <c r="F794" s="3" t="inlineStr">
        <is>
          <t>Closed</t>
        </is>
      </c>
      <c r="G794" s="3" t="inlineStr">
        <is>
          <t>Chandrashekar Patidar</t>
        </is>
      </c>
      <c r="H794" s="3" t="n">
        <v>7879764773</v>
      </c>
      <c r="I794" s="11" t="inlineStr">
        <is>
          <t>PE26032601</t>
        </is>
      </c>
      <c r="J794" s="3" t="inlineStr">
        <is>
          <t>Module Diode Failure</t>
        </is>
      </c>
      <c r="K794" s="3" t="inlineStr">
        <is>
          <t>Sadla</t>
        </is>
      </c>
      <c r="L794" s="3" t="inlineStr">
        <is>
          <t>Gujarat</t>
        </is>
      </c>
      <c r="M794" s="9" t="inlineStr">
        <is>
          <t>NS</t>
        </is>
      </c>
      <c r="N794" s="3" t="inlineStr">
        <is>
          <t>Cold Soldering</t>
        </is>
      </c>
      <c r="O794" s="3" t="n">
        <v>570</v>
      </c>
      <c r="P794" s="9" t="inlineStr">
        <is>
          <t>NSMI24060094472</t>
        </is>
      </c>
      <c r="Q794" s="53">
        <f>MID(P794,5,2)</f>
        <v/>
      </c>
      <c r="R794" s="53">
        <f>MID(P794,7,2)</f>
        <v/>
      </c>
      <c r="S794" s="3" t="inlineStr">
        <is>
          <t>G2G</t>
        </is>
      </c>
      <c r="T794" s="3" t="inlineStr">
        <is>
          <t>P4</t>
        </is>
      </c>
      <c r="U794" s="3" t="inlineStr">
        <is>
          <t>N JB Cold Soldering</t>
        </is>
      </c>
      <c r="V794" s="3" t="inlineStr">
        <is>
          <t>Soldering</t>
        </is>
      </c>
      <c r="W794" s="3" t="inlineStr">
        <is>
          <t>Repair</t>
        </is>
      </c>
      <c r="X794" s="18" t="n">
        <v>46154</v>
      </c>
      <c r="Y794" s="3">
        <f>X794-A794</f>
        <v/>
      </c>
      <c r="Z794" s="18" t="n">
        <v>46154</v>
      </c>
      <c r="AA794" s="15" t="n"/>
      <c r="AB794" s="15" t="n"/>
    </row>
    <row r="795" hidden="1" s="233">
      <c r="A795" s="6" t="n">
        <v>46107</v>
      </c>
      <c r="B795" s="3" t="n">
        <v>2026</v>
      </c>
      <c r="C795" s="3" t="inlineStr">
        <is>
          <t>Blupine</t>
        </is>
      </c>
      <c r="D795" s="3" t="inlineStr">
        <is>
          <t>Utility and C&amp;I</t>
        </is>
      </c>
      <c r="E795" s="3" t="n"/>
      <c r="F795" s="3" t="inlineStr">
        <is>
          <t>Closed</t>
        </is>
      </c>
      <c r="G795" s="3" t="inlineStr">
        <is>
          <t>Chandrashekar Patidar</t>
        </is>
      </c>
      <c r="H795" s="3" t="n">
        <v>7879764773</v>
      </c>
      <c r="I795" s="11" t="inlineStr">
        <is>
          <t>PE26032601</t>
        </is>
      </c>
      <c r="J795" s="3" t="inlineStr">
        <is>
          <t>Module Diode Failure</t>
        </is>
      </c>
      <c r="K795" s="3" t="inlineStr">
        <is>
          <t>Sadla</t>
        </is>
      </c>
      <c r="L795" s="3" t="inlineStr">
        <is>
          <t>Gujarat</t>
        </is>
      </c>
      <c r="M795" s="9" t="inlineStr">
        <is>
          <t>PS</t>
        </is>
      </c>
      <c r="N795" s="3" t="inlineStr">
        <is>
          <t>Cold Soldering</t>
        </is>
      </c>
      <c r="O795" s="3" t="n">
        <v>570</v>
      </c>
      <c r="P795" s="9" t="inlineStr">
        <is>
          <t>NSMI24060093350</t>
        </is>
      </c>
      <c r="Q795" s="53">
        <f>MID(P795,5,2)</f>
        <v/>
      </c>
      <c r="R795" s="53">
        <f>MID(P795,7,2)</f>
        <v/>
      </c>
      <c r="S795" s="3" t="inlineStr">
        <is>
          <t>G2G</t>
        </is>
      </c>
      <c r="T795" s="3" t="inlineStr">
        <is>
          <t>P4</t>
        </is>
      </c>
      <c r="U795" s="3" t="inlineStr">
        <is>
          <t>P JB Cold Soldering</t>
        </is>
      </c>
      <c r="V795" s="3" t="inlineStr">
        <is>
          <t>Soldering</t>
        </is>
      </c>
      <c r="W795" s="3" t="inlineStr">
        <is>
          <t>Repair</t>
        </is>
      </c>
      <c r="X795" s="18" t="n">
        <v>46154</v>
      </c>
      <c r="Y795" s="3">
        <f>X795-A795</f>
        <v/>
      </c>
      <c r="Z795" s="18" t="n">
        <v>46154</v>
      </c>
      <c r="AA795" s="15" t="n"/>
      <c r="AB795" s="15" t="n"/>
    </row>
    <row r="796" hidden="1" s="233">
      <c r="A796" s="6" t="n">
        <v>46107</v>
      </c>
      <c r="B796" s="3" t="n">
        <v>2026</v>
      </c>
      <c r="C796" s="3" t="inlineStr">
        <is>
          <t>Blupine</t>
        </is>
      </c>
      <c r="D796" s="3" t="inlineStr">
        <is>
          <t>Utility and C&amp;I</t>
        </is>
      </c>
      <c r="E796" s="3" t="n"/>
      <c r="F796" s="3" t="inlineStr">
        <is>
          <t>Closed</t>
        </is>
      </c>
      <c r="G796" s="3" t="inlineStr">
        <is>
          <t>Chandrashekar Patidar</t>
        </is>
      </c>
      <c r="H796" s="3" t="n">
        <v>7879764773</v>
      </c>
      <c r="I796" s="11" t="inlineStr">
        <is>
          <t>PE26032601</t>
        </is>
      </c>
      <c r="J796" s="3" t="inlineStr">
        <is>
          <t>Module Diode Failure</t>
        </is>
      </c>
      <c r="K796" s="3" t="inlineStr">
        <is>
          <t>Sadla</t>
        </is>
      </c>
      <c r="L796" s="3" t="inlineStr">
        <is>
          <t>Gujarat</t>
        </is>
      </c>
      <c r="M796" s="9" t="inlineStr">
        <is>
          <t>NR</t>
        </is>
      </c>
      <c r="N796" s="3" t="inlineStr">
        <is>
          <t>JB Issue</t>
        </is>
      </c>
      <c r="O796" s="3" t="n">
        <v>570</v>
      </c>
      <c r="P796" s="9" t="inlineStr">
        <is>
          <t>NSMI24060093202</t>
        </is>
      </c>
      <c r="Q796" s="53">
        <f>MID(P796,5,2)</f>
        <v/>
      </c>
      <c r="R796" s="53">
        <f>MID(P796,7,2)</f>
        <v/>
      </c>
      <c r="S796" s="3" t="inlineStr">
        <is>
          <t>G2G</t>
        </is>
      </c>
      <c r="T796" s="3" t="inlineStr">
        <is>
          <t>P4</t>
        </is>
      </c>
      <c r="U796" s="3" t="inlineStr">
        <is>
          <t>N JB Issue</t>
        </is>
      </c>
      <c r="V796" s="3" t="inlineStr">
        <is>
          <t>JB Changed</t>
        </is>
      </c>
      <c r="W796" s="3" t="inlineStr">
        <is>
          <t>Repair</t>
        </is>
      </c>
      <c r="X796" s="18" t="n">
        <v>46154</v>
      </c>
      <c r="Y796" s="3">
        <f>X796-A796</f>
        <v/>
      </c>
      <c r="Z796" s="18" t="n">
        <v>46154</v>
      </c>
      <c r="AA796" s="15" t="n"/>
      <c r="AB796" s="15" t="n"/>
    </row>
    <row r="797" hidden="1" s="233">
      <c r="A797" s="6" t="n">
        <v>46107</v>
      </c>
      <c r="B797" s="3" t="n">
        <v>2026</v>
      </c>
      <c r="C797" s="3" t="inlineStr">
        <is>
          <t>Blupine</t>
        </is>
      </c>
      <c r="D797" s="3" t="inlineStr">
        <is>
          <t>Utility and C&amp;I</t>
        </is>
      </c>
      <c r="E797" s="3" t="n"/>
      <c r="F797" s="3" t="inlineStr">
        <is>
          <t>Closed</t>
        </is>
      </c>
      <c r="G797" s="3" t="inlineStr">
        <is>
          <t>Chandrashekar Patidar</t>
        </is>
      </c>
      <c r="H797" s="3" t="n">
        <v>7879764773</v>
      </c>
      <c r="I797" s="11" t="inlineStr">
        <is>
          <t>PE26032601</t>
        </is>
      </c>
      <c r="J797" s="3" t="inlineStr">
        <is>
          <t>Module Diode Failure</t>
        </is>
      </c>
      <c r="K797" s="3" t="inlineStr">
        <is>
          <t>Sadla</t>
        </is>
      </c>
      <c r="L797" s="3" t="inlineStr">
        <is>
          <t>Gujarat</t>
        </is>
      </c>
      <c r="M797" s="9" t="inlineStr">
        <is>
          <t>NS</t>
        </is>
      </c>
      <c r="N797" s="3" t="inlineStr">
        <is>
          <t>Cold Soldering</t>
        </is>
      </c>
      <c r="O797" s="3" t="n">
        <v>570</v>
      </c>
      <c r="P797" s="9" t="inlineStr">
        <is>
          <t>NSMI24060084200</t>
        </is>
      </c>
      <c r="Q797" s="53">
        <f>MID(P797,5,2)</f>
        <v/>
      </c>
      <c r="R797" s="53">
        <f>MID(P797,7,2)</f>
        <v/>
      </c>
      <c r="S797" s="3" t="inlineStr">
        <is>
          <t>G2G</t>
        </is>
      </c>
      <c r="T797" s="3" t="inlineStr">
        <is>
          <t>P4</t>
        </is>
      </c>
      <c r="U797" s="3" t="inlineStr">
        <is>
          <t>N JB Cold Soldering</t>
        </is>
      </c>
      <c r="V797" s="3" t="inlineStr">
        <is>
          <t>Soldering</t>
        </is>
      </c>
      <c r="W797" s="3" t="inlineStr">
        <is>
          <t>Repair</t>
        </is>
      </c>
      <c r="X797" s="18" t="n">
        <v>46154</v>
      </c>
      <c r="Y797" s="3">
        <f>X797-A797</f>
        <v/>
      </c>
      <c r="Z797" s="18" t="n">
        <v>46154</v>
      </c>
      <c r="AA797" s="15" t="n"/>
      <c r="AB797" s="15" t="n"/>
    </row>
    <row r="798" hidden="1" s="233">
      <c r="A798" s="6" t="n">
        <v>46107</v>
      </c>
      <c r="B798" s="3" t="n">
        <v>2026</v>
      </c>
      <c r="C798" s="3" t="inlineStr">
        <is>
          <t>Blupine</t>
        </is>
      </c>
      <c r="D798" s="3" t="inlineStr">
        <is>
          <t>Utility and C&amp;I</t>
        </is>
      </c>
      <c r="E798" s="3" t="n"/>
      <c r="F798" s="3" t="inlineStr">
        <is>
          <t>Closed</t>
        </is>
      </c>
      <c r="G798" s="3" t="inlineStr">
        <is>
          <t>Chandrashekar Patidar</t>
        </is>
      </c>
      <c r="H798" s="3" t="n">
        <v>7879764773</v>
      </c>
      <c r="I798" s="11" t="inlineStr">
        <is>
          <t>PE26032601</t>
        </is>
      </c>
      <c r="J798" s="3" t="inlineStr">
        <is>
          <t>Module Diode Failure</t>
        </is>
      </c>
      <c r="K798" s="3" t="inlineStr">
        <is>
          <t>Sadla</t>
        </is>
      </c>
      <c r="L798" s="3" t="inlineStr">
        <is>
          <t>Gujarat</t>
        </is>
      </c>
      <c r="M798" s="9" t="inlineStr">
        <is>
          <t>PS</t>
        </is>
      </c>
      <c r="N798" s="3" t="inlineStr">
        <is>
          <t>Cold Soldering</t>
        </is>
      </c>
      <c r="O798" s="3" t="n">
        <v>570</v>
      </c>
      <c r="P798" s="9" t="inlineStr">
        <is>
          <t>NSMI24060084313</t>
        </is>
      </c>
      <c r="Q798" s="53">
        <f>MID(P798,5,2)</f>
        <v/>
      </c>
      <c r="R798" s="53">
        <f>MID(P798,7,2)</f>
        <v/>
      </c>
      <c r="S798" s="3" t="inlineStr">
        <is>
          <t>G2G</t>
        </is>
      </c>
      <c r="T798" s="3" t="inlineStr">
        <is>
          <t>P4</t>
        </is>
      </c>
      <c r="U798" s="3" t="inlineStr">
        <is>
          <t>P JB Cold Soldering</t>
        </is>
      </c>
      <c r="V798" s="3" t="inlineStr">
        <is>
          <t>Soldering</t>
        </is>
      </c>
      <c r="W798" s="3" t="inlineStr">
        <is>
          <t>Repair</t>
        </is>
      </c>
      <c r="X798" s="18" t="n">
        <v>46154</v>
      </c>
      <c r="Y798" s="3">
        <f>X798-A798</f>
        <v/>
      </c>
      <c r="Z798" s="18" t="n">
        <v>46154</v>
      </c>
      <c r="AA798" s="15" t="n"/>
      <c r="AB798" s="15" t="n"/>
    </row>
    <row r="799" hidden="1" s="233">
      <c r="A799" s="6" t="n">
        <v>46107</v>
      </c>
      <c r="B799" s="3" t="n">
        <v>2026</v>
      </c>
      <c r="C799" s="3" t="inlineStr">
        <is>
          <t>Blupine</t>
        </is>
      </c>
      <c r="D799" s="3" t="inlineStr">
        <is>
          <t>Utility and C&amp;I</t>
        </is>
      </c>
      <c r="E799" s="3" t="n"/>
      <c r="F799" s="3" t="inlineStr">
        <is>
          <t>Closed</t>
        </is>
      </c>
      <c r="G799" s="3" t="inlineStr">
        <is>
          <t>Chandrashekar Patidar</t>
        </is>
      </c>
      <c r="H799" s="3" t="n">
        <v>7879764773</v>
      </c>
      <c r="I799" s="11" t="inlineStr">
        <is>
          <t>PE26032601</t>
        </is>
      </c>
      <c r="J799" s="3" t="inlineStr">
        <is>
          <t>Module Diode Failure</t>
        </is>
      </c>
      <c r="K799" s="3" t="inlineStr">
        <is>
          <t>Sadla</t>
        </is>
      </c>
      <c r="L799" s="3" t="inlineStr">
        <is>
          <t>Gujarat</t>
        </is>
      </c>
      <c r="M799" s="9" t="inlineStr">
        <is>
          <t>NS</t>
        </is>
      </c>
      <c r="N799" s="3" t="inlineStr">
        <is>
          <t>Cold Soldering</t>
        </is>
      </c>
      <c r="O799" s="3" t="n">
        <v>570</v>
      </c>
      <c r="P799" s="9" t="inlineStr">
        <is>
          <t>NSMI24060107709</t>
        </is>
      </c>
      <c r="Q799" s="53">
        <f>MID(P799,5,2)</f>
        <v/>
      </c>
      <c r="R799" s="53">
        <f>MID(P799,7,2)</f>
        <v/>
      </c>
      <c r="S799" s="3" t="inlineStr">
        <is>
          <t>G2G</t>
        </is>
      </c>
      <c r="T799" s="3" t="inlineStr">
        <is>
          <t>P4</t>
        </is>
      </c>
      <c r="U799" s="3" t="inlineStr">
        <is>
          <t>N JB Cold Soldering</t>
        </is>
      </c>
      <c r="V799" s="3" t="inlineStr">
        <is>
          <t>Soldering</t>
        </is>
      </c>
      <c r="W799" s="3" t="inlineStr">
        <is>
          <t>Repair</t>
        </is>
      </c>
      <c r="X799" s="18" t="n">
        <v>46154</v>
      </c>
      <c r="Y799" s="3">
        <f>X799-A799</f>
        <v/>
      </c>
      <c r="Z799" s="18" t="n">
        <v>46154</v>
      </c>
      <c r="AA799" s="15" t="n"/>
      <c r="AB799" s="15" t="n"/>
    </row>
    <row r="800" hidden="1" s="233">
      <c r="A800" s="6" t="n">
        <v>46107</v>
      </c>
      <c r="B800" s="3" t="n">
        <v>2026</v>
      </c>
      <c r="C800" s="3" t="inlineStr">
        <is>
          <t>Blupine</t>
        </is>
      </c>
      <c r="D800" s="3" t="inlineStr">
        <is>
          <t>Utility and C&amp;I</t>
        </is>
      </c>
      <c r="E800" s="3" t="n"/>
      <c r="F800" s="3" t="inlineStr">
        <is>
          <t>Closed</t>
        </is>
      </c>
      <c r="G800" s="3" t="inlineStr">
        <is>
          <t>Chandrashekar Patidar</t>
        </is>
      </c>
      <c r="H800" s="3" t="n">
        <v>7879764773</v>
      </c>
      <c r="I800" s="11" t="inlineStr">
        <is>
          <t>PE26032601</t>
        </is>
      </c>
      <c r="J800" s="3" t="inlineStr">
        <is>
          <t>Module Diode Failure</t>
        </is>
      </c>
      <c r="K800" s="3" t="inlineStr">
        <is>
          <t>Sadla</t>
        </is>
      </c>
      <c r="L800" s="3" t="inlineStr">
        <is>
          <t>Gujarat</t>
        </is>
      </c>
      <c r="M800" s="9" t="inlineStr">
        <is>
          <t>PS</t>
        </is>
      </c>
      <c r="N800" s="3" t="inlineStr">
        <is>
          <t>Cold Soldering</t>
        </is>
      </c>
      <c r="O800" s="3" t="n">
        <v>570</v>
      </c>
      <c r="P800" s="9" t="inlineStr">
        <is>
          <t>NSMI24060107880</t>
        </is>
      </c>
      <c r="Q800" s="53">
        <f>MID(P800,5,2)</f>
        <v/>
      </c>
      <c r="R800" s="53">
        <f>MID(P800,7,2)</f>
        <v/>
      </c>
      <c r="S800" s="3" t="inlineStr">
        <is>
          <t>G2G</t>
        </is>
      </c>
      <c r="T800" s="3" t="inlineStr">
        <is>
          <t>P4</t>
        </is>
      </c>
      <c r="U800" s="3" t="inlineStr">
        <is>
          <t>P JB Cold Soldering</t>
        </is>
      </c>
      <c r="V800" s="3" t="inlineStr">
        <is>
          <t>Soldering</t>
        </is>
      </c>
      <c r="W800" s="3" t="inlineStr">
        <is>
          <t>Repair</t>
        </is>
      </c>
      <c r="X800" s="18" t="n">
        <v>46154</v>
      </c>
      <c r="Y800" s="3">
        <f>X800-A800</f>
        <v/>
      </c>
      <c r="Z800" s="18" t="n">
        <v>46154</v>
      </c>
      <c r="AA800" s="15" t="n"/>
      <c r="AB800" s="15" t="n"/>
    </row>
    <row r="801" hidden="1" s="233">
      <c r="A801" s="6" t="n">
        <v>46107</v>
      </c>
      <c r="B801" s="3" t="n">
        <v>2026</v>
      </c>
      <c r="C801" s="3" t="inlineStr">
        <is>
          <t>Blupine</t>
        </is>
      </c>
      <c r="D801" s="3" t="inlineStr">
        <is>
          <t>Utility and C&amp;I</t>
        </is>
      </c>
      <c r="E801" s="3" t="n"/>
      <c r="F801" s="3" t="inlineStr">
        <is>
          <t>Closed</t>
        </is>
      </c>
      <c r="G801" s="3" t="inlineStr">
        <is>
          <t>Chandrashekar Patidar</t>
        </is>
      </c>
      <c r="H801" s="3" t="n">
        <v>7879764773</v>
      </c>
      <c r="I801" s="11" t="inlineStr">
        <is>
          <t>PE26032601</t>
        </is>
      </c>
      <c r="J801" s="3" t="inlineStr">
        <is>
          <t>Module Diode Failure</t>
        </is>
      </c>
      <c r="K801" s="3" t="inlineStr">
        <is>
          <t>Sadla</t>
        </is>
      </c>
      <c r="L801" s="3" t="inlineStr">
        <is>
          <t>Gujarat</t>
        </is>
      </c>
      <c r="M801" s="9" t="inlineStr">
        <is>
          <t>NS</t>
        </is>
      </c>
      <c r="N801" s="3" t="inlineStr">
        <is>
          <t>Cold Soldering</t>
        </is>
      </c>
      <c r="O801" s="3" t="n">
        <v>570</v>
      </c>
      <c r="P801" s="9" t="inlineStr">
        <is>
          <t>NSMI24060079211</t>
        </is>
      </c>
      <c r="Q801" s="53">
        <f>MID(P801,5,2)</f>
        <v/>
      </c>
      <c r="R801" s="53">
        <f>MID(P801,7,2)</f>
        <v/>
      </c>
      <c r="S801" s="3" t="inlineStr">
        <is>
          <t>G2G</t>
        </is>
      </c>
      <c r="T801" s="3" t="inlineStr">
        <is>
          <t>P4</t>
        </is>
      </c>
      <c r="U801" s="3" t="inlineStr">
        <is>
          <t>N JB Cold Soldering</t>
        </is>
      </c>
      <c r="V801" s="3" t="inlineStr">
        <is>
          <t>Soldering</t>
        </is>
      </c>
      <c r="W801" s="3" t="inlineStr">
        <is>
          <t>Repair</t>
        </is>
      </c>
      <c r="X801" s="18" t="n">
        <v>46154</v>
      </c>
      <c r="Y801" s="3">
        <f>X801-A801</f>
        <v/>
      </c>
      <c r="Z801" s="18" t="n">
        <v>46154</v>
      </c>
      <c r="AA801" s="15" t="n"/>
      <c r="AB801" s="15" t="n"/>
    </row>
    <row r="802" hidden="1" s="233">
      <c r="A802" s="6" t="n">
        <v>46107</v>
      </c>
      <c r="B802" s="3" t="n">
        <v>2026</v>
      </c>
      <c r="C802" s="3" t="inlineStr">
        <is>
          <t>Blupine</t>
        </is>
      </c>
      <c r="D802" s="3" t="inlineStr">
        <is>
          <t>Utility and C&amp;I</t>
        </is>
      </c>
      <c r="E802" s="3" t="n"/>
      <c r="F802" s="3" t="inlineStr">
        <is>
          <t>Closed</t>
        </is>
      </c>
      <c r="G802" s="3" t="inlineStr">
        <is>
          <t>Chandrashekar Patidar</t>
        </is>
      </c>
      <c r="H802" s="3" t="n">
        <v>7879764773</v>
      </c>
      <c r="I802" s="11" t="inlineStr">
        <is>
          <t>PE26032601</t>
        </is>
      </c>
      <c r="J802" s="3" t="inlineStr">
        <is>
          <t>Module Diode Failure</t>
        </is>
      </c>
      <c r="K802" s="3" t="inlineStr">
        <is>
          <t>Sadla</t>
        </is>
      </c>
      <c r="L802" s="3" t="inlineStr">
        <is>
          <t>Gujarat</t>
        </is>
      </c>
      <c r="M802" s="9" t="inlineStr">
        <is>
          <t>PS</t>
        </is>
      </c>
      <c r="N802" s="3" t="inlineStr">
        <is>
          <t>Cold Soldering</t>
        </is>
      </c>
      <c r="O802" s="3" t="n">
        <v>570</v>
      </c>
      <c r="P802" s="9" t="inlineStr">
        <is>
          <t>NSMI24060079223</t>
        </is>
      </c>
      <c r="Q802" s="53">
        <f>MID(P802,5,2)</f>
        <v/>
      </c>
      <c r="R802" s="53">
        <f>MID(P802,7,2)</f>
        <v/>
      </c>
      <c r="S802" s="3" t="inlineStr">
        <is>
          <t>G2G</t>
        </is>
      </c>
      <c r="T802" s="3" t="inlineStr">
        <is>
          <t>P4</t>
        </is>
      </c>
      <c r="U802" s="3" t="inlineStr">
        <is>
          <t>P JB Cold Soldering</t>
        </is>
      </c>
      <c r="V802" s="3" t="inlineStr">
        <is>
          <t>Soldering</t>
        </is>
      </c>
      <c r="W802" s="3" t="inlineStr">
        <is>
          <t>Repair</t>
        </is>
      </c>
      <c r="X802" s="18" t="n">
        <v>46154</v>
      </c>
      <c r="Y802" s="3">
        <f>X802-A802</f>
        <v/>
      </c>
      <c r="Z802" s="18" t="n">
        <v>46154</v>
      </c>
      <c r="AA802" s="15" t="n"/>
      <c r="AB802" s="15" t="n"/>
    </row>
    <row r="803" hidden="1" s="233">
      <c r="A803" s="6" t="n">
        <v>46107</v>
      </c>
      <c r="B803" s="3" t="n">
        <v>2026</v>
      </c>
      <c r="C803" s="3" t="inlineStr">
        <is>
          <t>Blupine</t>
        </is>
      </c>
      <c r="D803" s="3" t="inlineStr">
        <is>
          <t>Utility and C&amp;I</t>
        </is>
      </c>
      <c r="E803" s="3" t="n"/>
      <c r="F803" s="3" t="inlineStr">
        <is>
          <t>Closed</t>
        </is>
      </c>
      <c r="G803" s="3" t="inlineStr">
        <is>
          <t>Chandrashekar Patidar</t>
        </is>
      </c>
      <c r="H803" s="3" t="n">
        <v>7879764773</v>
      </c>
      <c r="I803" s="11" t="inlineStr">
        <is>
          <t>PE26032601</t>
        </is>
      </c>
      <c r="J803" s="3" t="inlineStr">
        <is>
          <t>Module Diode Failure</t>
        </is>
      </c>
      <c r="K803" s="3" t="inlineStr">
        <is>
          <t>Sadla</t>
        </is>
      </c>
      <c r="L803" s="3" t="inlineStr">
        <is>
          <t>Gujarat</t>
        </is>
      </c>
      <c r="M803" s="9" t="inlineStr">
        <is>
          <t>NR</t>
        </is>
      </c>
      <c r="N803" s="3" t="inlineStr">
        <is>
          <t>JB Issue</t>
        </is>
      </c>
      <c r="O803" s="3" t="n">
        <v>570</v>
      </c>
      <c r="P803" s="9" t="inlineStr">
        <is>
          <t>NSMI24050066190</t>
        </is>
      </c>
      <c r="Q803" s="53">
        <f>MID(P803,5,2)</f>
        <v/>
      </c>
      <c r="R803" s="53">
        <f>MID(P803,7,2)</f>
        <v/>
      </c>
      <c r="S803" s="3" t="inlineStr">
        <is>
          <t>G2G</t>
        </is>
      </c>
      <c r="T803" s="3" t="inlineStr">
        <is>
          <t>P4</t>
        </is>
      </c>
      <c r="U803" s="3" t="inlineStr">
        <is>
          <t>N JB Issue</t>
        </is>
      </c>
      <c r="V803" s="3" t="inlineStr">
        <is>
          <t>JB Changed</t>
        </is>
      </c>
      <c r="W803" s="3" t="inlineStr">
        <is>
          <t>Repair</t>
        </is>
      </c>
      <c r="X803" s="18" t="n">
        <v>46154</v>
      </c>
      <c r="Y803" s="3">
        <f>X803-A803</f>
        <v/>
      </c>
      <c r="Z803" s="18" t="n">
        <v>46154</v>
      </c>
      <c r="AA803" s="15" t="n"/>
      <c r="AB803" s="15" t="n"/>
    </row>
    <row r="804" hidden="1" s="233">
      <c r="A804" s="6" t="n">
        <v>46107</v>
      </c>
      <c r="B804" s="3" t="n">
        <v>2026</v>
      </c>
      <c r="C804" s="3" t="inlineStr">
        <is>
          <t>Blupine</t>
        </is>
      </c>
      <c r="D804" s="3" t="inlineStr">
        <is>
          <t>Utility and C&amp;I</t>
        </is>
      </c>
      <c r="E804" s="3" t="n"/>
      <c r="F804" s="3" t="inlineStr">
        <is>
          <t>Closed</t>
        </is>
      </c>
      <c r="G804" s="3" t="inlineStr">
        <is>
          <t>Chandrashekar Patidar</t>
        </is>
      </c>
      <c r="H804" s="3" t="n">
        <v>7879764773</v>
      </c>
      <c r="I804" s="11" t="inlineStr">
        <is>
          <t>PE26032601</t>
        </is>
      </c>
      <c r="J804" s="3" t="inlineStr">
        <is>
          <t>Module Diode Failure</t>
        </is>
      </c>
      <c r="K804" s="3" t="inlineStr">
        <is>
          <t>Sadla</t>
        </is>
      </c>
      <c r="L804" s="3" t="inlineStr">
        <is>
          <t>Gujarat</t>
        </is>
      </c>
      <c r="M804" s="9" t="inlineStr">
        <is>
          <t>NS</t>
        </is>
      </c>
      <c r="N804" s="3" t="inlineStr">
        <is>
          <t>Cold Soldering</t>
        </is>
      </c>
      <c r="O804" s="3" t="n">
        <v>570</v>
      </c>
      <c r="P804" s="9" t="inlineStr">
        <is>
          <t>NSMI24060077429</t>
        </is>
      </c>
      <c r="Q804" s="53">
        <f>MID(P804,5,2)</f>
        <v/>
      </c>
      <c r="R804" s="53">
        <f>MID(P804,7,2)</f>
        <v/>
      </c>
      <c r="S804" s="3" t="inlineStr">
        <is>
          <t>G2G</t>
        </is>
      </c>
      <c r="T804" s="3" t="inlineStr">
        <is>
          <t>P4</t>
        </is>
      </c>
      <c r="U804" s="3" t="inlineStr">
        <is>
          <t>N JB Cold Soldering</t>
        </is>
      </c>
      <c r="V804" s="3" t="inlineStr">
        <is>
          <t>Soldering</t>
        </is>
      </c>
      <c r="W804" s="3" t="inlineStr">
        <is>
          <t>Repair</t>
        </is>
      </c>
      <c r="X804" s="18" t="n">
        <v>46154</v>
      </c>
      <c r="Y804" s="3">
        <f>X804-A804</f>
        <v/>
      </c>
      <c r="Z804" s="18" t="n">
        <v>46154</v>
      </c>
      <c r="AA804" s="15" t="n"/>
      <c r="AB804" s="15" t="n"/>
    </row>
    <row r="805" hidden="1" s="233">
      <c r="A805" s="6" t="n">
        <v>46107</v>
      </c>
      <c r="B805" s="3" t="n">
        <v>2026</v>
      </c>
      <c r="C805" s="3" t="inlineStr">
        <is>
          <t>Blupine</t>
        </is>
      </c>
      <c r="D805" s="3" t="inlineStr">
        <is>
          <t>Utility and C&amp;I</t>
        </is>
      </c>
      <c r="E805" s="3" t="n"/>
      <c r="F805" s="3" t="inlineStr">
        <is>
          <t>Closed</t>
        </is>
      </c>
      <c r="G805" s="3" t="inlineStr">
        <is>
          <t>Chandrashekar Patidar</t>
        </is>
      </c>
      <c r="H805" s="3" t="n">
        <v>7879764773</v>
      </c>
      <c r="I805" s="11" t="inlineStr">
        <is>
          <t>PE26032601</t>
        </is>
      </c>
      <c r="J805" s="3" t="inlineStr">
        <is>
          <t>Module Diode Failure</t>
        </is>
      </c>
      <c r="K805" s="3" t="inlineStr">
        <is>
          <t>Sadla</t>
        </is>
      </c>
      <c r="L805" s="3" t="inlineStr">
        <is>
          <t>Gujarat</t>
        </is>
      </c>
      <c r="M805" s="9" t="inlineStr">
        <is>
          <t>PS</t>
        </is>
      </c>
      <c r="N805" s="3" t="inlineStr">
        <is>
          <t>Cold Soldering</t>
        </is>
      </c>
      <c r="O805" s="3" t="n">
        <v>570</v>
      </c>
      <c r="P805" s="9" t="inlineStr">
        <is>
          <t>NSMI24050067884</t>
        </is>
      </c>
      <c r="Q805" s="53">
        <f>MID(P805,5,2)</f>
        <v/>
      </c>
      <c r="R805" s="53">
        <f>MID(P805,7,2)</f>
        <v/>
      </c>
      <c r="S805" s="3" t="inlineStr">
        <is>
          <t>G2G</t>
        </is>
      </c>
      <c r="T805" s="3" t="inlineStr">
        <is>
          <t>P4</t>
        </is>
      </c>
      <c r="U805" s="3" t="inlineStr">
        <is>
          <t>P JB Cold Soldering</t>
        </is>
      </c>
      <c r="V805" s="3" t="inlineStr">
        <is>
          <t>Soldering</t>
        </is>
      </c>
      <c r="W805" s="3" t="inlineStr">
        <is>
          <t>Repair</t>
        </is>
      </c>
      <c r="X805" s="18" t="n">
        <v>46154</v>
      </c>
      <c r="Y805" s="3">
        <f>X805-A805</f>
        <v/>
      </c>
      <c r="Z805" s="18" t="n">
        <v>46154</v>
      </c>
      <c r="AA805" s="15" t="n"/>
      <c r="AB805" s="15" t="n"/>
    </row>
    <row r="806" hidden="1" s="233">
      <c r="A806" s="6" t="n">
        <v>46107</v>
      </c>
      <c r="B806" s="3" t="n">
        <v>2026</v>
      </c>
      <c r="C806" s="3" t="inlineStr">
        <is>
          <t>Blupine</t>
        </is>
      </c>
      <c r="D806" s="3" t="inlineStr">
        <is>
          <t>Utility and C&amp;I</t>
        </is>
      </c>
      <c r="E806" s="3" t="n"/>
      <c r="F806" s="3" t="inlineStr">
        <is>
          <t>Closed</t>
        </is>
      </c>
      <c r="G806" s="3" t="inlineStr">
        <is>
          <t>Chandrashekar Patidar</t>
        </is>
      </c>
      <c r="H806" s="3" t="n">
        <v>7879764773</v>
      </c>
      <c r="I806" s="11" t="inlineStr">
        <is>
          <t>PE26032601</t>
        </is>
      </c>
      <c r="J806" s="3" t="inlineStr">
        <is>
          <t>Module Diode Failure</t>
        </is>
      </c>
      <c r="K806" s="3" t="inlineStr">
        <is>
          <t>Sadla</t>
        </is>
      </c>
      <c r="L806" s="3" t="inlineStr">
        <is>
          <t>Gujarat</t>
        </is>
      </c>
      <c r="M806" s="9" t="inlineStr">
        <is>
          <t>PS</t>
        </is>
      </c>
      <c r="N806" s="3" t="inlineStr">
        <is>
          <t>Cold Soldering</t>
        </is>
      </c>
      <c r="O806" s="3" t="n">
        <v>570</v>
      </c>
      <c r="P806" s="9" t="inlineStr">
        <is>
          <t>NSMI24050067852</t>
        </is>
      </c>
      <c r="Q806" s="53">
        <f>MID(P806,5,2)</f>
        <v/>
      </c>
      <c r="R806" s="53">
        <f>MID(P806,7,2)</f>
        <v/>
      </c>
      <c r="S806" s="3" t="inlineStr">
        <is>
          <t>G2G</t>
        </is>
      </c>
      <c r="T806" s="3" t="inlineStr">
        <is>
          <t>P4</t>
        </is>
      </c>
      <c r="U806" s="3" t="inlineStr">
        <is>
          <t>P JB Cold Soldering</t>
        </is>
      </c>
      <c r="V806" s="3" t="inlineStr">
        <is>
          <t>Soldering</t>
        </is>
      </c>
      <c r="W806" s="3" t="inlineStr">
        <is>
          <t>Repair</t>
        </is>
      </c>
      <c r="X806" s="18" t="n">
        <v>46154</v>
      </c>
      <c r="Y806" s="3">
        <f>X806-A806</f>
        <v/>
      </c>
      <c r="Z806" s="18" t="n">
        <v>46154</v>
      </c>
      <c r="AA806" s="15" t="n"/>
      <c r="AB806" s="15" t="n"/>
    </row>
    <row r="807" hidden="1" s="233">
      <c r="A807" s="6" t="n">
        <v>46107</v>
      </c>
      <c r="B807" s="3" t="n">
        <v>2026</v>
      </c>
      <c r="C807" s="3" t="inlineStr">
        <is>
          <t>Blupine</t>
        </is>
      </c>
      <c r="D807" s="3" t="inlineStr">
        <is>
          <t>Utility and C&amp;I</t>
        </is>
      </c>
      <c r="E807" s="3" t="n"/>
      <c r="F807" s="3" t="inlineStr">
        <is>
          <t>Closed</t>
        </is>
      </c>
      <c r="G807" s="3" t="inlineStr">
        <is>
          <t>Chandrashekar Patidar</t>
        </is>
      </c>
      <c r="H807" s="3" t="n">
        <v>7879764773</v>
      </c>
      <c r="I807" s="11" t="inlineStr">
        <is>
          <t>PE26032601</t>
        </is>
      </c>
      <c r="J807" s="3" t="inlineStr">
        <is>
          <t>Module Diode Failure</t>
        </is>
      </c>
      <c r="K807" s="3" t="inlineStr">
        <is>
          <t>Sadla</t>
        </is>
      </c>
      <c r="L807" s="3" t="inlineStr">
        <is>
          <t>Gujarat</t>
        </is>
      </c>
      <c r="M807" s="9" t="inlineStr">
        <is>
          <t>PS</t>
        </is>
      </c>
      <c r="N807" s="3" t="inlineStr">
        <is>
          <t>Cold Soldering</t>
        </is>
      </c>
      <c r="O807" s="3" t="n">
        <v>570</v>
      </c>
      <c r="P807" s="9" t="inlineStr">
        <is>
          <t>NSMI24050060962</t>
        </is>
      </c>
      <c r="Q807" s="53">
        <f>MID(P807,5,2)</f>
        <v/>
      </c>
      <c r="R807" s="53">
        <f>MID(P807,7,2)</f>
        <v/>
      </c>
      <c r="S807" s="3" t="inlineStr">
        <is>
          <t>G2G</t>
        </is>
      </c>
      <c r="T807" s="3" t="inlineStr">
        <is>
          <t>P4</t>
        </is>
      </c>
      <c r="U807" s="3" t="inlineStr">
        <is>
          <t>P JB Cold Soldering</t>
        </is>
      </c>
      <c r="V807" s="3" t="inlineStr">
        <is>
          <t>Soldering</t>
        </is>
      </c>
      <c r="W807" s="3" t="inlineStr">
        <is>
          <t>Repair</t>
        </is>
      </c>
      <c r="X807" s="18" t="n">
        <v>46154</v>
      </c>
      <c r="Y807" s="3">
        <f>X807-A807</f>
        <v/>
      </c>
      <c r="Z807" s="18" t="n">
        <v>46154</v>
      </c>
      <c r="AA807" s="15" t="n"/>
      <c r="AB807" s="15" t="n"/>
    </row>
    <row r="808" hidden="1" s="233">
      <c r="A808" s="6" t="n">
        <v>46107</v>
      </c>
      <c r="B808" s="3" t="n">
        <v>2026</v>
      </c>
      <c r="C808" s="3" t="inlineStr">
        <is>
          <t>Blupine</t>
        </is>
      </c>
      <c r="D808" s="3" t="inlineStr">
        <is>
          <t>Utility and C&amp;I</t>
        </is>
      </c>
      <c r="E808" s="3" t="n"/>
      <c r="F808" s="3" t="inlineStr">
        <is>
          <t>Closed</t>
        </is>
      </c>
      <c r="G808" s="3" t="inlineStr">
        <is>
          <t>Chandrashekar Patidar</t>
        </is>
      </c>
      <c r="H808" s="3" t="n">
        <v>7879764773</v>
      </c>
      <c r="I808" s="11" t="inlineStr">
        <is>
          <t>PE26032601</t>
        </is>
      </c>
      <c r="J808" s="3" t="inlineStr">
        <is>
          <t>Module Diode Failure</t>
        </is>
      </c>
      <c r="K808" s="3" t="inlineStr">
        <is>
          <t>Sadla</t>
        </is>
      </c>
      <c r="L808" s="3" t="inlineStr">
        <is>
          <t>Gujarat</t>
        </is>
      </c>
      <c r="M808" s="9" t="inlineStr">
        <is>
          <t>PS</t>
        </is>
      </c>
      <c r="N808" s="3" t="inlineStr">
        <is>
          <t>Cold Soldering</t>
        </is>
      </c>
      <c r="O808" s="3" t="n">
        <v>570</v>
      </c>
      <c r="P808" s="9" t="inlineStr">
        <is>
          <t>NSMI24060085037</t>
        </is>
      </c>
      <c r="Q808" s="53">
        <f>MID(P808,5,2)</f>
        <v/>
      </c>
      <c r="R808" s="53">
        <f>MID(P808,7,2)</f>
        <v/>
      </c>
      <c r="S808" s="3" t="inlineStr">
        <is>
          <t>G2G</t>
        </is>
      </c>
      <c r="T808" s="3" t="inlineStr">
        <is>
          <t>P4</t>
        </is>
      </c>
      <c r="U808" s="3" t="inlineStr">
        <is>
          <t>P JB Cold Soldering</t>
        </is>
      </c>
      <c r="V808" s="3" t="inlineStr">
        <is>
          <t>Soldering</t>
        </is>
      </c>
      <c r="W808" s="3" t="inlineStr">
        <is>
          <t>Repair</t>
        </is>
      </c>
      <c r="X808" s="18" t="n">
        <v>46154</v>
      </c>
      <c r="Y808" s="3">
        <f>X808-A808</f>
        <v/>
      </c>
      <c r="Z808" s="18" t="n">
        <v>46154</v>
      </c>
      <c r="AA808" s="15" t="n"/>
      <c r="AB808" s="15" t="n"/>
    </row>
    <row r="809" hidden="1" s="233">
      <c r="A809" s="6" t="n">
        <v>46107</v>
      </c>
      <c r="B809" s="3" t="n">
        <v>2026</v>
      </c>
      <c r="C809" s="3" t="inlineStr">
        <is>
          <t>Blupine</t>
        </is>
      </c>
      <c r="D809" s="3" t="inlineStr">
        <is>
          <t>Utility and C&amp;I</t>
        </is>
      </c>
      <c r="E809" s="3" t="n"/>
      <c r="F809" s="3" t="inlineStr">
        <is>
          <t>Closed</t>
        </is>
      </c>
      <c r="G809" s="3" t="inlineStr">
        <is>
          <t>Chandrashekar Patidar</t>
        </is>
      </c>
      <c r="H809" s="3" t="n">
        <v>7879764773</v>
      </c>
      <c r="I809" s="11" t="inlineStr">
        <is>
          <t>PE26032601</t>
        </is>
      </c>
      <c r="J809" s="3" t="inlineStr">
        <is>
          <t>Module Diode Failure</t>
        </is>
      </c>
      <c r="K809" s="3" t="inlineStr">
        <is>
          <t>Sadla</t>
        </is>
      </c>
      <c r="L809" s="3" t="inlineStr">
        <is>
          <t>Gujarat</t>
        </is>
      </c>
      <c r="M809" s="9" t="inlineStr">
        <is>
          <t>PS</t>
        </is>
      </c>
      <c r="N809" s="3" t="inlineStr">
        <is>
          <t>Cold Soldering</t>
        </is>
      </c>
      <c r="O809" s="3" t="n">
        <v>570</v>
      </c>
      <c r="P809" s="9" t="inlineStr">
        <is>
          <t>NSMI24060092429</t>
        </is>
      </c>
      <c r="Q809" s="53">
        <f>MID(P809,5,2)</f>
        <v/>
      </c>
      <c r="R809" s="53">
        <f>MID(P809,7,2)</f>
        <v/>
      </c>
      <c r="S809" s="3" t="inlineStr">
        <is>
          <t>G2G</t>
        </is>
      </c>
      <c r="T809" s="3" t="inlineStr">
        <is>
          <t>P4</t>
        </is>
      </c>
      <c r="U809" s="3" t="inlineStr">
        <is>
          <t>P JB Cold Soldering</t>
        </is>
      </c>
      <c r="V809" s="3" t="inlineStr">
        <is>
          <t>Soldering</t>
        </is>
      </c>
      <c r="W809" s="3" t="inlineStr">
        <is>
          <t>Repair</t>
        </is>
      </c>
      <c r="X809" s="18" t="n">
        <v>46154</v>
      </c>
      <c r="Y809" s="3">
        <f>X809-A809</f>
        <v/>
      </c>
      <c r="Z809" s="18" t="n">
        <v>46154</v>
      </c>
      <c r="AA809" s="15" t="n"/>
      <c r="AB809" s="15" t="n"/>
    </row>
    <row r="810" hidden="1" s="233">
      <c r="A810" s="6" t="n">
        <v>46107</v>
      </c>
      <c r="B810" s="3" t="n">
        <v>2026</v>
      </c>
      <c r="C810" s="3" t="inlineStr">
        <is>
          <t>Blupine</t>
        </is>
      </c>
      <c r="D810" s="3" t="inlineStr">
        <is>
          <t>Utility and C&amp;I</t>
        </is>
      </c>
      <c r="E810" s="3" t="n"/>
      <c r="F810" s="3" t="inlineStr">
        <is>
          <t>Closed</t>
        </is>
      </c>
      <c r="G810" s="3" t="inlineStr">
        <is>
          <t>Chandrashekar Patidar</t>
        </is>
      </c>
      <c r="H810" s="3" t="n">
        <v>7879764773</v>
      </c>
      <c r="I810" s="11" t="inlineStr">
        <is>
          <t>PE26032601</t>
        </is>
      </c>
      <c r="J810" s="3" t="inlineStr">
        <is>
          <t>Module Diode Failure</t>
        </is>
      </c>
      <c r="K810" s="3" t="inlineStr">
        <is>
          <t>Sadla</t>
        </is>
      </c>
      <c r="L810" s="3" t="inlineStr">
        <is>
          <t>Gujarat</t>
        </is>
      </c>
      <c r="M810" s="9" t="inlineStr">
        <is>
          <t>PNS</t>
        </is>
      </c>
      <c r="N810" s="3" t="inlineStr">
        <is>
          <t>Cold Soldering</t>
        </is>
      </c>
      <c r="O810" s="3" t="n">
        <v>570</v>
      </c>
      <c r="P810" s="9" t="inlineStr">
        <is>
          <t>NSMI24060092451</t>
        </is>
      </c>
      <c r="Q810" s="53">
        <f>MID(P810,5,2)</f>
        <v/>
      </c>
      <c r="R810" s="53">
        <f>MID(P810,7,2)</f>
        <v/>
      </c>
      <c r="S810" s="3" t="inlineStr">
        <is>
          <t>G2G</t>
        </is>
      </c>
      <c r="T810" s="3" t="inlineStr">
        <is>
          <t>P4</t>
        </is>
      </c>
      <c r="U810" s="3" t="inlineStr">
        <is>
          <t>P &amp; N JB Cold Soldering</t>
        </is>
      </c>
      <c r="V810" s="3" t="inlineStr">
        <is>
          <t>Soldering</t>
        </is>
      </c>
      <c r="W810" s="3" t="inlineStr">
        <is>
          <t>Repair</t>
        </is>
      </c>
      <c r="X810" s="18" t="n">
        <v>46154</v>
      </c>
      <c r="Y810" s="3">
        <f>X810-A810</f>
        <v/>
      </c>
      <c r="Z810" s="18" t="n">
        <v>46154</v>
      </c>
      <c r="AA810" s="15" t="n"/>
      <c r="AB810" s="15" t="n"/>
    </row>
    <row r="811" hidden="1" s="233">
      <c r="A811" s="6" t="n">
        <v>46107</v>
      </c>
      <c r="B811" s="3" t="n">
        <v>2026</v>
      </c>
      <c r="C811" s="3" t="inlineStr">
        <is>
          <t>Blupine</t>
        </is>
      </c>
      <c r="D811" s="3" t="inlineStr">
        <is>
          <t>Utility and C&amp;I</t>
        </is>
      </c>
      <c r="E811" s="3" t="n"/>
      <c r="F811" s="3" t="inlineStr">
        <is>
          <t>Closed</t>
        </is>
      </c>
      <c r="G811" s="3" t="inlineStr">
        <is>
          <t>Chandrashekar Patidar</t>
        </is>
      </c>
      <c r="H811" s="3" t="n">
        <v>7879764773</v>
      </c>
      <c r="I811" s="11" t="inlineStr">
        <is>
          <t>PE26032601</t>
        </is>
      </c>
      <c r="J811" s="3" t="inlineStr">
        <is>
          <t>Module Diode Failure</t>
        </is>
      </c>
      <c r="K811" s="3" t="inlineStr">
        <is>
          <t>Sadla</t>
        </is>
      </c>
      <c r="L811" s="3" t="inlineStr">
        <is>
          <t>Gujarat</t>
        </is>
      </c>
      <c r="M811" s="9" t="inlineStr">
        <is>
          <t>PS</t>
        </is>
      </c>
      <c r="N811" s="3" t="inlineStr">
        <is>
          <t>Cold Soldering</t>
        </is>
      </c>
      <c r="O811" s="3" t="n">
        <v>570</v>
      </c>
      <c r="P811" s="9" t="inlineStr">
        <is>
          <t>NSMI24050067660</t>
        </is>
      </c>
      <c r="Q811" s="53">
        <f>MID(P811,5,2)</f>
        <v/>
      </c>
      <c r="R811" s="53">
        <f>MID(P811,7,2)</f>
        <v/>
      </c>
      <c r="S811" s="3" t="inlineStr">
        <is>
          <t>G2G</t>
        </is>
      </c>
      <c r="T811" s="3" t="inlineStr">
        <is>
          <t>P4</t>
        </is>
      </c>
      <c r="U811" s="3" t="inlineStr">
        <is>
          <t>P JB Cold Soldering</t>
        </is>
      </c>
      <c r="V811" s="3" t="inlineStr">
        <is>
          <t>Soldering</t>
        </is>
      </c>
      <c r="W811" s="3" t="inlineStr">
        <is>
          <t>Repair</t>
        </is>
      </c>
      <c r="X811" s="18" t="n">
        <v>46154</v>
      </c>
      <c r="Y811" s="3">
        <f>X811-A811</f>
        <v/>
      </c>
      <c r="Z811" s="18" t="n">
        <v>46154</v>
      </c>
      <c r="AA811" s="15" t="n"/>
      <c r="AB811" s="15" t="n"/>
    </row>
    <row r="812" hidden="1" s="233">
      <c r="A812" s="6" t="n">
        <v>46107</v>
      </c>
      <c r="B812" s="3" t="n">
        <v>2026</v>
      </c>
      <c r="C812" s="3" t="inlineStr">
        <is>
          <t>Blupine</t>
        </is>
      </c>
      <c r="D812" s="3" t="inlineStr">
        <is>
          <t>Utility and C&amp;I</t>
        </is>
      </c>
      <c r="E812" s="3" t="n"/>
      <c r="F812" s="3" t="inlineStr">
        <is>
          <t>Closed</t>
        </is>
      </c>
      <c r="G812" s="3" t="inlineStr">
        <is>
          <t>Chandrashekar Patidar</t>
        </is>
      </c>
      <c r="H812" s="3" t="n">
        <v>7879764773</v>
      </c>
      <c r="I812" s="11" t="inlineStr">
        <is>
          <t>PE26032601</t>
        </is>
      </c>
      <c r="J812" s="3" t="inlineStr">
        <is>
          <t>Module Diode Failure</t>
        </is>
      </c>
      <c r="K812" s="3" t="inlineStr">
        <is>
          <t>Sadla</t>
        </is>
      </c>
      <c r="L812" s="3" t="inlineStr">
        <is>
          <t>Gujarat</t>
        </is>
      </c>
      <c r="M812" s="9" t="inlineStr">
        <is>
          <t>NS</t>
        </is>
      </c>
      <c r="N812" s="3" t="inlineStr">
        <is>
          <t>Cold Soldering</t>
        </is>
      </c>
      <c r="O812" s="3" t="n">
        <v>570</v>
      </c>
      <c r="P812" s="9" t="inlineStr">
        <is>
          <t>NSMI24050064997</t>
        </is>
      </c>
      <c r="Q812" s="53">
        <f>MID(P812,5,2)</f>
        <v/>
      </c>
      <c r="R812" s="53">
        <f>MID(P812,7,2)</f>
        <v/>
      </c>
      <c r="S812" s="3" t="inlineStr">
        <is>
          <t>G2G</t>
        </is>
      </c>
      <c r="T812" s="3" t="inlineStr">
        <is>
          <t>P4</t>
        </is>
      </c>
      <c r="U812" s="3" t="inlineStr">
        <is>
          <t>N JB Cold Soldering</t>
        </is>
      </c>
      <c r="V812" s="3" t="inlineStr">
        <is>
          <t>Soldering</t>
        </is>
      </c>
      <c r="W812" s="3" t="inlineStr">
        <is>
          <t>Repair</t>
        </is>
      </c>
      <c r="X812" s="18" t="n">
        <v>46154</v>
      </c>
      <c r="Y812" s="3">
        <f>X812-A812</f>
        <v/>
      </c>
      <c r="Z812" s="18" t="n">
        <v>46154</v>
      </c>
      <c r="AA812" s="15" t="n"/>
      <c r="AB812" s="15" t="n"/>
    </row>
    <row r="813" hidden="1" s="233">
      <c r="A813" s="6" t="n">
        <v>46107</v>
      </c>
      <c r="B813" s="3" t="n">
        <v>2026</v>
      </c>
      <c r="C813" s="3" t="inlineStr">
        <is>
          <t>Blupine</t>
        </is>
      </c>
      <c r="D813" s="3" t="inlineStr">
        <is>
          <t>Utility and C&amp;I</t>
        </is>
      </c>
      <c r="E813" s="3" t="n"/>
      <c r="F813" s="3" t="inlineStr">
        <is>
          <t>Closed</t>
        </is>
      </c>
      <c r="G813" s="3" t="inlineStr">
        <is>
          <t>Chandrashekar Patidar</t>
        </is>
      </c>
      <c r="H813" s="3" t="n">
        <v>7879764773</v>
      </c>
      <c r="I813" s="11" t="inlineStr">
        <is>
          <t>PE26032601</t>
        </is>
      </c>
      <c r="J813" s="3" t="inlineStr">
        <is>
          <t>Module Diode Failure</t>
        </is>
      </c>
      <c r="K813" s="3" t="inlineStr">
        <is>
          <t>Sadla</t>
        </is>
      </c>
      <c r="L813" s="3" t="inlineStr">
        <is>
          <t>Gujarat</t>
        </is>
      </c>
      <c r="M813" s="9" t="inlineStr">
        <is>
          <t>NR</t>
        </is>
      </c>
      <c r="N813" s="3" t="inlineStr">
        <is>
          <t>JB Issue</t>
        </is>
      </c>
      <c r="O813" s="3" t="n">
        <v>570</v>
      </c>
      <c r="P813" s="9" t="inlineStr">
        <is>
          <t>NSMI24060090886</t>
        </is>
      </c>
      <c r="Q813" s="53">
        <f>MID(P813,5,2)</f>
        <v/>
      </c>
      <c r="R813" s="53">
        <f>MID(P813,7,2)</f>
        <v/>
      </c>
      <c r="S813" s="3" t="inlineStr">
        <is>
          <t>G2G</t>
        </is>
      </c>
      <c r="T813" s="3" t="inlineStr">
        <is>
          <t>P4</t>
        </is>
      </c>
      <c r="U813" s="3" t="inlineStr">
        <is>
          <t>N JB Issue</t>
        </is>
      </c>
      <c r="V813" s="3" t="inlineStr">
        <is>
          <t>JB Changed</t>
        </is>
      </c>
      <c r="W813" s="3" t="inlineStr">
        <is>
          <t>Repair</t>
        </is>
      </c>
      <c r="X813" s="18" t="n">
        <v>46154</v>
      </c>
      <c r="Y813" s="3">
        <f>X813-A813</f>
        <v/>
      </c>
      <c r="Z813" s="18" t="n">
        <v>46154</v>
      </c>
      <c r="AA813" s="15" t="n"/>
      <c r="AB813" s="15" t="n"/>
    </row>
    <row r="814" hidden="1" s="233">
      <c r="A814" s="6" t="n">
        <v>46107</v>
      </c>
      <c r="B814" s="3" t="n">
        <v>2026</v>
      </c>
      <c r="C814" s="3" t="inlineStr">
        <is>
          <t>Blupine</t>
        </is>
      </c>
      <c r="D814" s="3" t="inlineStr">
        <is>
          <t>Utility and C&amp;I</t>
        </is>
      </c>
      <c r="E814" s="3" t="n"/>
      <c r="F814" s="3" t="inlineStr">
        <is>
          <t>Closed</t>
        </is>
      </c>
      <c r="G814" s="3" t="inlineStr">
        <is>
          <t>Chandrashekar Patidar</t>
        </is>
      </c>
      <c r="H814" s="3" t="n">
        <v>7879764773</v>
      </c>
      <c r="I814" s="11" t="inlineStr">
        <is>
          <t>PE26032601</t>
        </is>
      </c>
      <c r="J814" s="3" t="inlineStr">
        <is>
          <t>Module Diode Failure</t>
        </is>
      </c>
      <c r="K814" s="3" t="inlineStr">
        <is>
          <t>Sadla</t>
        </is>
      </c>
      <c r="L814" s="3" t="inlineStr">
        <is>
          <t>Gujarat</t>
        </is>
      </c>
      <c r="M814" s="9" t="inlineStr">
        <is>
          <t>NS</t>
        </is>
      </c>
      <c r="N814" s="3" t="inlineStr">
        <is>
          <t>Cold Soldering</t>
        </is>
      </c>
      <c r="O814" s="3" t="n">
        <v>570</v>
      </c>
      <c r="P814" s="9" t="inlineStr">
        <is>
          <t>NSMI24060113099</t>
        </is>
      </c>
      <c r="Q814" s="53">
        <f>MID(P814,5,2)</f>
        <v/>
      </c>
      <c r="R814" s="53">
        <f>MID(P814,7,2)</f>
        <v/>
      </c>
      <c r="S814" s="3" t="inlineStr">
        <is>
          <t>G2G</t>
        </is>
      </c>
      <c r="T814" s="3" t="inlineStr">
        <is>
          <t>P4</t>
        </is>
      </c>
      <c r="U814" s="3" t="inlineStr">
        <is>
          <t>N JB Cold Soldering</t>
        </is>
      </c>
      <c r="V814" s="3" t="inlineStr">
        <is>
          <t>Soldering</t>
        </is>
      </c>
      <c r="W814" s="3" t="inlineStr">
        <is>
          <t>Repair</t>
        </is>
      </c>
      <c r="X814" s="18" t="n">
        <v>46154</v>
      </c>
      <c r="Y814" s="3">
        <f>X814-A814</f>
        <v/>
      </c>
      <c r="Z814" s="18" t="n">
        <v>46154</v>
      </c>
      <c r="AA814" s="15" t="n"/>
      <c r="AB814" s="15" t="n"/>
    </row>
    <row r="815" hidden="1" s="233">
      <c r="A815" s="6" t="n">
        <v>46107</v>
      </c>
      <c r="B815" s="3" t="n">
        <v>2026</v>
      </c>
      <c r="C815" s="3" t="inlineStr">
        <is>
          <t>Blupine</t>
        </is>
      </c>
      <c r="D815" s="3" t="inlineStr">
        <is>
          <t>Utility and C&amp;I</t>
        </is>
      </c>
      <c r="E815" s="3" t="n"/>
      <c r="F815" s="3" t="inlineStr">
        <is>
          <t>Closed</t>
        </is>
      </c>
      <c r="G815" s="3" t="inlineStr">
        <is>
          <t>Chandrashekar Patidar</t>
        </is>
      </c>
      <c r="H815" s="3" t="n">
        <v>7879764773</v>
      </c>
      <c r="I815" s="11" t="inlineStr">
        <is>
          <t>PE26032601</t>
        </is>
      </c>
      <c r="J815" s="3" t="inlineStr">
        <is>
          <t>Module Diode Failure</t>
        </is>
      </c>
      <c r="K815" s="3" t="inlineStr">
        <is>
          <t>Sadla</t>
        </is>
      </c>
      <c r="L815" s="3" t="inlineStr">
        <is>
          <t>Gujarat</t>
        </is>
      </c>
      <c r="M815" s="9" t="inlineStr">
        <is>
          <t>NS</t>
        </is>
      </c>
      <c r="N815" s="3" t="inlineStr">
        <is>
          <t>Cold Soldering</t>
        </is>
      </c>
      <c r="O815" s="3" t="n">
        <v>570</v>
      </c>
      <c r="P815" s="9" t="inlineStr">
        <is>
          <t>NSMI24060113081</t>
        </is>
      </c>
      <c r="Q815" s="53">
        <f>MID(P815,5,2)</f>
        <v/>
      </c>
      <c r="R815" s="53">
        <f>MID(P815,7,2)</f>
        <v/>
      </c>
      <c r="S815" s="3" t="inlineStr">
        <is>
          <t>G2G</t>
        </is>
      </c>
      <c r="T815" s="3" t="inlineStr">
        <is>
          <t>P4</t>
        </is>
      </c>
      <c r="U815" s="3" t="inlineStr">
        <is>
          <t>N JB Cold Soldering</t>
        </is>
      </c>
      <c r="V815" s="3" t="inlineStr">
        <is>
          <t>Soldering</t>
        </is>
      </c>
      <c r="W815" s="3" t="inlineStr">
        <is>
          <t>Repair</t>
        </is>
      </c>
      <c r="X815" s="18" t="n">
        <v>46154</v>
      </c>
      <c r="Y815" s="3">
        <f>X815-A815</f>
        <v/>
      </c>
      <c r="Z815" s="18" t="n">
        <v>46154</v>
      </c>
      <c r="AA815" s="15" t="n"/>
      <c r="AB815" s="15" t="n"/>
    </row>
    <row r="816" hidden="1" s="233">
      <c r="A816" s="6" t="n">
        <v>46107</v>
      </c>
      <c r="B816" s="3" t="n">
        <v>2026</v>
      </c>
      <c r="C816" s="3" t="inlineStr">
        <is>
          <t>Blupine</t>
        </is>
      </c>
      <c r="D816" s="3" t="inlineStr">
        <is>
          <t>Utility and C&amp;I</t>
        </is>
      </c>
      <c r="E816" s="3" t="n"/>
      <c r="F816" s="3" t="inlineStr">
        <is>
          <t>Closed</t>
        </is>
      </c>
      <c r="G816" s="3" t="inlineStr">
        <is>
          <t>Chandrashekar Patidar</t>
        </is>
      </c>
      <c r="H816" s="3" t="n">
        <v>7879764773</v>
      </c>
      <c r="I816" s="11" t="inlineStr">
        <is>
          <t>PE26032601</t>
        </is>
      </c>
      <c r="J816" s="3" t="inlineStr">
        <is>
          <t>Module Diode Failure</t>
        </is>
      </c>
      <c r="K816" s="3" t="inlineStr">
        <is>
          <t>Sadla</t>
        </is>
      </c>
      <c r="L816" s="3" t="inlineStr">
        <is>
          <t>Gujarat</t>
        </is>
      </c>
      <c r="M816" s="9" t="inlineStr">
        <is>
          <t>NS</t>
        </is>
      </c>
      <c r="N816" s="3" t="inlineStr">
        <is>
          <t>Cold Soldering</t>
        </is>
      </c>
      <c r="O816" s="3" t="n">
        <v>570</v>
      </c>
      <c r="P816" s="9" t="inlineStr">
        <is>
          <t>NSMI24060113095</t>
        </is>
      </c>
      <c r="Q816" s="53">
        <f>MID(P816,5,2)</f>
        <v/>
      </c>
      <c r="R816" s="53">
        <f>MID(P816,7,2)</f>
        <v/>
      </c>
      <c r="S816" s="3" t="inlineStr">
        <is>
          <t>G2G</t>
        </is>
      </c>
      <c r="T816" s="3" t="inlineStr">
        <is>
          <t>P4</t>
        </is>
      </c>
      <c r="U816" s="3" t="inlineStr">
        <is>
          <t>N JB Cold Soldering</t>
        </is>
      </c>
      <c r="V816" s="3" t="inlineStr">
        <is>
          <t>Soldering</t>
        </is>
      </c>
      <c r="W816" s="3" t="inlineStr">
        <is>
          <t>Repair</t>
        </is>
      </c>
      <c r="X816" s="18" t="n">
        <v>46154</v>
      </c>
      <c r="Y816" s="3">
        <f>X816-A816</f>
        <v/>
      </c>
      <c r="Z816" s="18" t="n">
        <v>46154</v>
      </c>
      <c r="AA816" s="15" t="n"/>
      <c r="AB816" s="15" t="n"/>
    </row>
    <row r="817" hidden="1" s="233">
      <c r="A817" s="6" t="n">
        <v>46107</v>
      </c>
      <c r="B817" s="3" t="n">
        <v>2026</v>
      </c>
      <c r="C817" s="3" t="inlineStr">
        <is>
          <t>Blupine</t>
        </is>
      </c>
      <c r="D817" s="3" t="inlineStr">
        <is>
          <t>Utility and C&amp;I</t>
        </is>
      </c>
      <c r="E817" s="3" t="n"/>
      <c r="F817" s="3" t="inlineStr">
        <is>
          <t>Closed</t>
        </is>
      </c>
      <c r="G817" s="3" t="inlineStr">
        <is>
          <t>Chandrashekar Patidar</t>
        </is>
      </c>
      <c r="H817" s="3" t="n">
        <v>7879764773</v>
      </c>
      <c r="I817" s="11" t="inlineStr">
        <is>
          <t>PE26032601</t>
        </is>
      </c>
      <c r="J817" s="3" t="inlineStr">
        <is>
          <t>Module Diode Failure</t>
        </is>
      </c>
      <c r="K817" s="3" t="inlineStr">
        <is>
          <t>Sadla</t>
        </is>
      </c>
      <c r="L817" s="3" t="inlineStr">
        <is>
          <t>Gujarat</t>
        </is>
      </c>
      <c r="M817" s="9" t="inlineStr">
        <is>
          <t>PS</t>
        </is>
      </c>
      <c r="N817" s="3" t="inlineStr">
        <is>
          <t>Cold Soldering</t>
        </is>
      </c>
      <c r="O817" s="3" t="n">
        <v>570</v>
      </c>
      <c r="P817" s="9" t="inlineStr">
        <is>
          <t>NSMI24060113008</t>
        </is>
      </c>
      <c r="Q817" s="53">
        <f>MID(P817,5,2)</f>
        <v/>
      </c>
      <c r="R817" s="53">
        <f>MID(P817,7,2)</f>
        <v/>
      </c>
      <c r="S817" s="3" t="inlineStr">
        <is>
          <t>G2G</t>
        </is>
      </c>
      <c r="T817" s="3" t="inlineStr">
        <is>
          <t>P4</t>
        </is>
      </c>
      <c r="U817" s="3" t="inlineStr">
        <is>
          <t>P JB Cold Soldering</t>
        </is>
      </c>
      <c r="V817" s="3" t="inlineStr">
        <is>
          <t>Soldering</t>
        </is>
      </c>
      <c r="W817" s="3" t="inlineStr">
        <is>
          <t>Repair</t>
        </is>
      </c>
      <c r="X817" s="18" t="n">
        <v>46154</v>
      </c>
      <c r="Y817" s="3">
        <f>X817-A817</f>
        <v/>
      </c>
      <c r="Z817" s="18" t="n">
        <v>46154</v>
      </c>
      <c r="AA817" s="15" t="n"/>
      <c r="AB817" s="15" t="n"/>
    </row>
    <row r="818" hidden="1" s="233">
      <c r="A818" s="6" t="n">
        <v>46107</v>
      </c>
      <c r="B818" s="3" t="n">
        <v>2026</v>
      </c>
      <c r="C818" s="3" t="inlineStr">
        <is>
          <t>Blupine</t>
        </is>
      </c>
      <c r="D818" s="3" t="inlineStr">
        <is>
          <t>Utility and C&amp;I</t>
        </is>
      </c>
      <c r="E818" s="3" t="n"/>
      <c r="F818" s="3" t="inlineStr">
        <is>
          <t>Closed</t>
        </is>
      </c>
      <c r="G818" s="3" t="inlineStr">
        <is>
          <t>Chandrashekar Patidar</t>
        </is>
      </c>
      <c r="H818" s="3" t="n">
        <v>7879764773</v>
      </c>
      <c r="I818" s="11" t="inlineStr">
        <is>
          <t>PE26032601</t>
        </is>
      </c>
      <c r="J818" s="3" t="inlineStr">
        <is>
          <t>Module Diode Failure</t>
        </is>
      </c>
      <c r="K818" s="3" t="inlineStr">
        <is>
          <t>Sadla</t>
        </is>
      </c>
      <c r="L818" s="3" t="inlineStr">
        <is>
          <t>Gujarat</t>
        </is>
      </c>
      <c r="M818" s="9" t="inlineStr">
        <is>
          <t>NS</t>
        </is>
      </c>
      <c r="N818" s="3" t="inlineStr">
        <is>
          <t>Cold Soldering</t>
        </is>
      </c>
      <c r="O818" s="3" t="n">
        <v>570</v>
      </c>
      <c r="P818" s="9" t="inlineStr">
        <is>
          <t>NSMI24060074164</t>
        </is>
      </c>
      <c r="Q818" s="53">
        <f>MID(P818,5,2)</f>
        <v/>
      </c>
      <c r="R818" s="53">
        <f>MID(P818,7,2)</f>
        <v/>
      </c>
      <c r="S818" s="3" t="inlineStr">
        <is>
          <t>G2G</t>
        </is>
      </c>
      <c r="T818" s="3" t="inlineStr">
        <is>
          <t>P4</t>
        </is>
      </c>
      <c r="U818" s="3" t="inlineStr">
        <is>
          <t>N JB Cold Soldering</t>
        </is>
      </c>
      <c r="V818" s="3" t="inlineStr">
        <is>
          <t>Soldering</t>
        </is>
      </c>
      <c r="W818" s="3" t="inlineStr">
        <is>
          <t>Repair</t>
        </is>
      </c>
      <c r="X818" s="18" t="n">
        <v>46154</v>
      </c>
      <c r="Y818" s="3">
        <f>X818-A818</f>
        <v/>
      </c>
      <c r="Z818" s="18" t="n">
        <v>46154</v>
      </c>
      <c r="AA818" s="15" t="n"/>
      <c r="AB818" s="15" t="n"/>
    </row>
    <row r="819" hidden="1" s="233">
      <c r="A819" s="6" t="n">
        <v>46107</v>
      </c>
      <c r="B819" s="3" t="n">
        <v>2026</v>
      </c>
      <c r="C819" s="3" t="inlineStr">
        <is>
          <t>Blupine</t>
        </is>
      </c>
      <c r="D819" s="3" t="inlineStr">
        <is>
          <t>Utility and C&amp;I</t>
        </is>
      </c>
      <c r="E819" s="3" t="n"/>
      <c r="F819" s="3" t="inlineStr">
        <is>
          <t>Closed</t>
        </is>
      </c>
      <c r="G819" s="3" t="inlineStr">
        <is>
          <t>Chandrashekar Patidar</t>
        </is>
      </c>
      <c r="H819" s="3" t="n">
        <v>7879764773</v>
      </c>
      <c r="I819" s="11" t="inlineStr">
        <is>
          <t>PE26032601</t>
        </is>
      </c>
      <c r="J819" s="3" t="inlineStr">
        <is>
          <t>Module Diode Failure</t>
        </is>
      </c>
      <c r="K819" s="3" t="inlineStr">
        <is>
          <t>Sadla</t>
        </is>
      </c>
      <c r="L819" s="3" t="inlineStr">
        <is>
          <t>Gujarat</t>
        </is>
      </c>
      <c r="M819" s="9" t="inlineStr">
        <is>
          <t>NS</t>
        </is>
      </c>
      <c r="N819" s="3" t="inlineStr">
        <is>
          <t>Cold Soldering</t>
        </is>
      </c>
      <c r="O819" s="3" t="n">
        <v>570</v>
      </c>
      <c r="P819" s="9" t="inlineStr">
        <is>
          <t>NSMI24050067831</t>
        </is>
      </c>
      <c r="Q819" s="53">
        <f>MID(P819,5,2)</f>
        <v/>
      </c>
      <c r="R819" s="53">
        <f>MID(P819,7,2)</f>
        <v/>
      </c>
      <c r="S819" s="3" t="inlineStr">
        <is>
          <t>G2G</t>
        </is>
      </c>
      <c r="T819" s="3" t="inlineStr">
        <is>
          <t>P4</t>
        </is>
      </c>
      <c r="U819" s="3" t="inlineStr">
        <is>
          <t>N JB Cold Soldering</t>
        </is>
      </c>
      <c r="V819" s="3" t="inlineStr">
        <is>
          <t>Soldering</t>
        </is>
      </c>
      <c r="W819" s="3" t="inlineStr">
        <is>
          <t>Repair</t>
        </is>
      </c>
      <c r="X819" s="18" t="n">
        <v>46154</v>
      </c>
      <c r="Y819" s="3">
        <f>X819-A819</f>
        <v/>
      </c>
      <c r="Z819" s="18" t="n">
        <v>46154</v>
      </c>
      <c r="AA819" s="15" t="n"/>
      <c r="AB819" s="15" t="n"/>
    </row>
    <row r="820" hidden="1" s="233">
      <c r="A820" s="6" t="n">
        <v>46107</v>
      </c>
      <c r="B820" s="3" t="n">
        <v>2026</v>
      </c>
      <c r="C820" s="3" t="inlineStr">
        <is>
          <t>Blupine</t>
        </is>
      </c>
      <c r="D820" s="3" t="inlineStr">
        <is>
          <t>Utility and C&amp;I</t>
        </is>
      </c>
      <c r="E820" s="3" t="n"/>
      <c r="F820" s="3" t="inlineStr">
        <is>
          <t>Closed</t>
        </is>
      </c>
      <c r="G820" s="3" t="inlineStr">
        <is>
          <t>Chandrashekar Patidar</t>
        </is>
      </c>
      <c r="H820" s="3" t="n">
        <v>7879764773</v>
      </c>
      <c r="I820" s="11" t="inlineStr">
        <is>
          <t>PE26032601</t>
        </is>
      </c>
      <c r="J820" s="3" t="inlineStr">
        <is>
          <t>Module Diode Failure</t>
        </is>
      </c>
      <c r="K820" s="3" t="inlineStr">
        <is>
          <t>Sadla</t>
        </is>
      </c>
      <c r="L820" s="3" t="inlineStr">
        <is>
          <t>Gujarat</t>
        </is>
      </c>
      <c r="M820" s="9" t="inlineStr">
        <is>
          <t>NS</t>
        </is>
      </c>
      <c r="N820" s="3" t="inlineStr">
        <is>
          <t>Cold Soldering</t>
        </is>
      </c>
      <c r="O820" s="3" t="n">
        <v>570</v>
      </c>
      <c r="P820" s="9" t="inlineStr">
        <is>
          <t>NSMI24060115183</t>
        </is>
      </c>
      <c r="Q820" s="53">
        <f>MID(P820,5,2)</f>
        <v/>
      </c>
      <c r="R820" s="53">
        <f>MID(P820,7,2)</f>
        <v/>
      </c>
      <c r="S820" s="3" t="inlineStr">
        <is>
          <t>G2G</t>
        </is>
      </c>
      <c r="T820" s="3" t="inlineStr">
        <is>
          <t>P4</t>
        </is>
      </c>
      <c r="U820" s="3" t="inlineStr">
        <is>
          <t>N JB Cold Soldering</t>
        </is>
      </c>
      <c r="V820" s="3" t="inlineStr">
        <is>
          <t>Soldering</t>
        </is>
      </c>
      <c r="W820" s="3" t="inlineStr">
        <is>
          <t>Repair</t>
        </is>
      </c>
      <c r="X820" s="18" t="n">
        <v>46154</v>
      </c>
      <c r="Y820" s="3">
        <f>X820-A820</f>
        <v/>
      </c>
      <c r="Z820" s="18" t="n">
        <v>46154</v>
      </c>
      <c r="AA820" s="15" t="n"/>
      <c r="AB820" s="15" t="n"/>
    </row>
    <row r="821" hidden="1" s="233">
      <c r="A821" s="6" t="n">
        <v>46107</v>
      </c>
      <c r="B821" s="3" t="n">
        <v>2026</v>
      </c>
      <c r="C821" s="3" t="inlineStr">
        <is>
          <t>Blupine</t>
        </is>
      </c>
      <c r="D821" s="3" t="inlineStr">
        <is>
          <t>Utility and C&amp;I</t>
        </is>
      </c>
      <c r="E821" s="3" t="n"/>
      <c r="F821" s="3" t="inlineStr">
        <is>
          <t>Closed</t>
        </is>
      </c>
      <c r="G821" s="3" t="inlineStr">
        <is>
          <t>Chandrashekar Patidar</t>
        </is>
      </c>
      <c r="H821" s="3" t="n">
        <v>7879764773</v>
      </c>
      <c r="I821" s="11" t="inlineStr">
        <is>
          <t>PE26032601</t>
        </is>
      </c>
      <c r="J821" s="3" t="inlineStr">
        <is>
          <t>Module Diode Failure</t>
        </is>
      </c>
      <c r="K821" s="3" t="inlineStr">
        <is>
          <t>Sadla</t>
        </is>
      </c>
      <c r="L821" s="3" t="inlineStr">
        <is>
          <t>Gujarat</t>
        </is>
      </c>
      <c r="M821" s="9" t="inlineStr">
        <is>
          <t>PS</t>
        </is>
      </c>
      <c r="N821" s="3" t="inlineStr">
        <is>
          <t>Cold Soldering</t>
        </is>
      </c>
      <c r="O821" s="3" t="n">
        <v>570</v>
      </c>
      <c r="P821" s="9" t="inlineStr">
        <is>
          <t>NSMI24060114791</t>
        </is>
      </c>
      <c r="Q821" s="53">
        <f>MID(P821,5,2)</f>
        <v/>
      </c>
      <c r="R821" s="53">
        <f>MID(P821,7,2)</f>
        <v/>
      </c>
      <c r="S821" s="3" t="inlineStr">
        <is>
          <t>G2G</t>
        </is>
      </c>
      <c r="T821" s="3" t="inlineStr">
        <is>
          <t>P4</t>
        </is>
      </c>
      <c r="U821" s="3" t="inlineStr">
        <is>
          <t>P JB Cold Soldering</t>
        </is>
      </c>
      <c r="V821" s="3" t="inlineStr">
        <is>
          <t>Soldering</t>
        </is>
      </c>
      <c r="W821" s="3" t="inlineStr">
        <is>
          <t>Repair</t>
        </is>
      </c>
      <c r="X821" s="18" t="n">
        <v>46154</v>
      </c>
      <c r="Y821" s="3">
        <f>X821-A821</f>
        <v/>
      </c>
      <c r="Z821" s="18" t="n">
        <v>46154</v>
      </c>
      <c r="AA821" s="15" t="n"/>
      <c r="AB821" s="15" t="n"/>
    </row>
    <row r="822" hidden="1" s="233">
      <c r="A822" s="6" t="n">
        <v>46107</v>
      </c>
      <c r="B822" s="3" t="n">
        <v>2026</v>
      </c>
      <c r="C822" s="3" t="inlineStr">
        <is>
          <t>Blupine</t>
        </is>
      </c>
      <c r="D822" s="3" t="inlineStr">
        <is>
          <t>Utility and C&amp;I</t>
        </is>
      </c>
      <c r="E822" s="3" t="n"/>
      <c r="F822" s="3" t="inlineStr">
        <is>
          <t>Closed</t>
        </is>
      </c>
      <c r="G822" s="3" t="inlineStr">
        <is>
          <t>Chandrashekar Patidar</t>
        </is>
      </c>
      <c r="H822" s="3" t="n">
        <v>7879764773</v>
      </c>
      <c r="I822" s="11" t="inlineStr">
        <is>
          <t>PE26032601</t>
        </is>
      </c>
      <c r="J822" s="3" t="inlineStr">
        <is>
          <t>Module Diode Failure</t>
        </is>
      </c>
      <c r="K822" s="3" t="inlineStr">
        <is>
          <t>Sadla</t>
        </is>
      </c>
      <c r="L822" s="3" t="inlineStr">
        <is>
          <t>Gujarat</t>
        </is>
      </c>
      <c r="M822" s="9" t="inlineStr">
        <is>
          <t>NS</t>
        </is>
      </c>
      <c r="N822" s="3" t="inlineStr">
        <is>
          <t>Cold Soldering</t>
        </is>
      </c>
      <c r="O822" s="3" t="n">
        <v>570</v>
      </c>
      <c r="P822" s="9" t="inlineStr">
        <is>
          <t>NSMI24060091863</t>
        </is>
      </c>
      <c r="Q822" s="53">
        <f>MID(P822,5,2)</f>
        <v/>
      </c>
      <c r="R822" s="53">
        <f>MID(P822,7,2)</f>
        <v/>
      </c>
      <c r="S822" s="3" t="inlineStr">
        <is>
          <t>G2G</t>
        </is>
      </c>
      <c r="T822" s="3" t="inlineStr">
        <is>
          <t>P4</t>
        </is>
      </c>
      <c r="U822" s="3" t="inlineStr">
        <is>
          <t>N JB Cold Soldering</t>
        </is>
      </c>
      <c r="V822" s="3" t="inlineStr">
        <is>
          <t>Soldering</t>
        </is>
      </c>
      <c r="W822" s="3" t="inlineStr">
        <is>
          <t>Repair</t>
        </is>
      </c>
      <c r="X822" s="18" t="n">
        <v>46154</v>
      </c>
      <c r="Y822" s="3">
        <f>X822-A822</f>
        <v/>
      </c>
      <c r="Z822" s="18" t="n">
        <v>46154</v>
      </c>
      <c r="AA822" s="15" t="n"/>
      <c r="AB822" s="15" t="n"/>
    </row>
    <row r="823" hidden="1" s="233">
      <c r="A823" s="6" t="n">
        <v>46107</v>
      </c>
      <c r="B823" s="3" t="n">
        <v>2026</v>
      </c>
      <c r="C823" s="3" t="inlineStr">
        <is>
          <t>Blupine</t>
        </is>
      </c>
      <c r="D823" s="3" t="inlineStr">
        <is>
          <t>Utility and C&amp;I</t>
        </is>
      </c>
      <c r="E823" s="3" t="n"/>
      <c r="F823" s="3" t="inlineStr">
        <is>
          <t>Closed</t>
        </is>
      </c>
      <c r="G823" s="3" t="inlineStr">
        <is>
          <t>Chandrashekar Patidar</t>
        </is>
      </c>
      <c r="H823" s="3" t="n">
        <v>7879764773</v>
      </c>
      <c r="I823" s="11" t="inlineStr">
        <is>
          <t>PE26032601</t>
        </is>
      </c>
      <c r="J823" s="3" t="inlineStr">
        <is>
          <t>Module Diode Failure</t>
        </is>
      </c>
      <c r="K823" s="3" t="inlineStr">
        <is>
          <t>Sadla</t>
        </is>
      </c>
      <c r="L823" s="3" t="inlineStr">
        <is>
          <t>Gujarat</t>
        </is>
      </c>
      <c r="M823" s="9" t="inlineStr">
        <is>
          <t>PS</t>
        </is>
      </c>
      <c r="N823" s="3" t="inlineStr">
        <is>
          <t>Cold Soldering</t>
        </is>
      </c>
      <c r="O823" s="3" t="n">
        <v>570</v>
      </c>
      <c r="P823" s="9" t="inlineStr">
        <is>
          <t>NSMI24060084384</t>
        </is>
      </c>
      <c r="Q823" s="53">
        <f>MID(P823,5,2)</f>
        <v/>
      </c>
      <c r="R823" s="53">
        <f>MID(P823,7,2)</f>
        <v/>
      </c>
      <c r="S823" s="3" t="inlineStr">
        <is>
          <t>G2G</t>
        </is>
      </c>
      <c r="T823" s="3" t="inlineStr">
        <is>
          <t>P4</t>
        </is>
      </c>
      <c r="U823" s="3" t="inlineStr">
        <is>
          <t>P JB Cold Soldering</t>
        </is>
      </c>
      <c r="V823" s="3" t="inlineStr">
        <is>
          <t>Soldering</t>
        </is>
      </c>
      <c r="W823" s="3" t="inlineStr">
        <is>
          <t>Repair</t>
        </is>
      </c>
      <c r="X823" s="18" t="n">
        <v>46154</v>
      </c>
      <c r="Y823" s="3">
        <f>X823-A823</f>
        <v/>
      </c>
      <c r="Z823" s="18" t="n">
        <v>46154</v>
      </c>
      <c r="AA823" s="15" t="n"/>
      <c r="AB823" s="15" t="n"/>
    </row>
    <row r="824" hidden="1" s="233">
      <c r="A824" s="6" t="n">
        <v>46107</v>
      </c>
      <c r="B824" s="3" t="n">
        <v>2026</v>
      </c>
      <c r="C824" s="3" t="inlineStr">
        <is>
          <t>Blupine</t>
        </is>
      </c>
      <c r="D824" s="3" t="inlineStr">
        <is>
          <t>Utility and C&amp;I</t>
        </is>
      </c>
      <c r="E824" s="3" t="n"/>
      <c r="F824" s="3" t="inlineStr">
        <is>
          <t>Closed</t>
        </is>
      </c>
      <c r="G824" s="3" t="inlineStr">
        <is>
          <t>Chandrashekar Patidar</t>
        </is>
      </c>
      <c r="H824" s="3" t="n">
        <v>7879764773</v>
      </c>
      <c r="I824" s="11" t="inlineStr">
        <is>
          <t>PE26032601</t>
        </is>
      </c>
      <c r="J824" s="3" t="inlineStr">
        <is>
          <t>Module Diode Failure</t>
        </is>
      </c>
      <c r="K824" s="3" t="inlineStr">
        <is>
          <t>Sadla</t>
        </is>
      </c>
      <c r="L824" s="3" t="inlineStr">
        <is>
          <t>Gujarat</t>
        </is>
      </c>
      <c r="M824" s="9" t="inlineStr">
        <is>
          <t>PS</t>
        </is>
      </c>
      <c r="N824" s="3" t="inlineStr">
        <is>
          <t>Cold Soldering</t>
        </is>
      </c>
      <c r="O824" s="3" t="n">
        <v>570</v>
      </c>
      <c r="P824" s="9" t="inlineStr">
        <is>
          <t>NSMI24060123419</t>
        </is>
      </c>
      <c r="Q824" s="53">
        <f>MID(P824,5,2)</f>
        <v/>
      </c>
      <c r="R824" s="53">
        <f>MID(P824,7,2)</f>
        <v/>
      </c>
      <c r="S824" s="3" t="inlineStr">
        <is>
          <t>G2G</t>
        </is>
      </c>
      <c r="T824" s="3" t="inlineStr">
        <is>
          <t>P4</t>
        </is>
      </c>
      <c r="U824" s="3" t="inlineStr">
        <is>
          <t>P JB Cold Soldering</t>
        </is>
      </c>
      <c r="V824" s="3" t="inlineStr">
        <is>
          <t>Soldering</t>
        </is>
      </c>
      <c r="W824" s="3" t="inlineStr">
        <is>
          <t>Repair</t>
        </is>
      </c>
      <c r="X824" s="18" t="n">
        <v>46154</v>
      </c>
      <c r="Y824" s="3">
        <f>X824-A824</f>
        <v/>
      </c>
      <c r="Z824" s="18" t="n">
        <v>46154</v>
      </c>
      <c r="AA824" s="15" t="n"/>
      <c r="AB824" s="15" t="n"/>
    </row>
    <row r="825" hidden="1" s="233">
      <c r="A825" s="6" t="n">
        <v>46107</v>
      </c>
      <c r="B825" s="3" t="n">
        <v>2026</v>
      </c>
      <c r="C825" s="3" t="inlineStr">
        <is>
          <t>Blupine</t>
        </is>
      </c>
      <c r="D825" s="3" t="inlineStr">
        <is>
          <t>Utility and C&amp;I</t>
        </is>
      </c>
      <c r="E825" s="3" t="n"/>
      <c r="F825" s="3" t="inlineStr">
        <is>
          <t>Closed</t>
        </is>
      </c>
      <c r="G825" s="3" t="inlineStr">
        <is>
          <t>Chandrashekar Patidar</t>
        </is>
      </c>
      <c r="H825" s="3" t="n">
        <v>7879764773</v>
      </c>
      <c r="I825" s="11" t="inlineStr">
        <is>
          <t>PE26032601</t>
        </is>
      </c>
      <c r="J825" s="3" t="inlineStr">
        <is>
          <t>Module Diode Failure</t>
        </is>
      </c>
      <c r="K825" s="3" t="inlineStr">
        <is>
          <t>Sadla</t>
        </is>
      </c>
      <c r="L825" s="3" t="inlineStr">
        <is>
          <t>Gujarat</t>
        </is>
      </c>
      <c r="M825" s="9" t="inlineStr">
        <is>
          <t>PS</t>
        </is>
      </c>
      <c r="N825" s="3" t="inlineStr">
        <is>
          <t>Cold Soldering</t>
        </is>
      </c>
      <c r="O825" s="3" t="n">
        <v>570</v>
      </c>
      <c r="P825" s="9" t="inlineStr">
        <is>
          <t>NSMI24060123391</t>
        </is>
      </c>
      <c r="Q825" s="53">
        <f>MID(P825,5,2)</f>
        <v/>
      </c>
      <c r="R825" s="53">
        <f>MID(P825,7,2)</f>
        <v/>
      </c>
      <c r="S825" s="3" t="inlineStr">
        <is>
          <t>G2G</t>
        </is>
      </c>
      <c r="T825" s="3" t="inlineStr">
        <is>
          <t>P4</t>
        </is>
      </c>
      <c r="U825" s="3" t="inlineStr">
        <is>
          <t>P JB Cold Soldering</t>
        </is>
      </c>
      <c r="V825" s="3" t="inlineStr">
        <is>
          <t>Soldering</t>
        </is>
      </c>
      <c r="W825" s="3" t="inlineStr">
        <is>
          <t>Repair</t>
        </is>
      </c>
      <c r="X825" s="18" t="n">
        <v>46154</v>
      </c>
      <c r="Y825" s="3">
        <f>X825-A825</f>
        <v/>
      </c>
      <c r="Z825" s="18" t="n">
        <v>46154</v>
      </c>
      <c r="AA825" s="15" t="n"/>
      <c r="AB825" s="15" t="n"/>
    </row>
    <row r="826" hidden="1" s="233">
      <c r="A826" s="6" t="n">
        <v>46107</v>
      </c>
      <c r="B826" s="3" t="n">
        <v>2026</v>
      </c>
      <c r="C826" s="3" t="inlineStr">
        <is>
          <t>Blupine</t>
        </is>
      </c>
      <c r="D826" s="3" t="inlineStr">
        <is>
          <t>Utility and C&amp;I</t>
        </is>
      </c>
      <c r="E826" s="3" t="n"/>
      <c r="F826" s="3" t="inlineStr">
        <is>
          <t>Closed</t>
        </is>
      </c>
      <c r="G826" s="3" t="inlineStr">
        <is>
          <t>Chandrashekar Patidar</t>
        </is>
      </c>
      <c r="H826" s="3" t="n">
        <v>7879764773</v>
      </c>
      <c r="I826" s="11" t="inlineStr">
        <is>
          <t>PE26032601</t>
        </is>
      </c>
      <c r="J826" s="3" t="inlineStr">
        <is>
          <t>Module Diode Failure</t>
        </is>
      </c>
      <c r="K826" s="3" t="inlineStr">
        <is>
          <t>Sadla</t>
        </is>
      </c>
      <c r="L826" s="3" t="inlineStr">
        <is>
          <t>Gujarat</t>
        </is>
      </c>
      <c r="M826" s="9" t="inlineStr">
        <is>
          <t>NS</t>
        </is>
      </c>
      <c r="N826" s="3" t="inlineStr">
        <is>
          <t>Cold Soldering</t>
        </is>
      </c>
      <c r="O826" s="3" t="n">
        <v>570</v>
      </c>
      <c r="P826" s="9" t="inlineStr">
        <is>
          <t>NSMI24060096906</t>
        </is>
      </c>
      <c r="Q826" s="53">
        <f>MID(P826,5,2)</f>
        <v/>
      </c>
      <c r="R826" s="53">
        <f>MID(P826,7,2)</f>
        <v/>
      </c>
      <c r="S826" s="3" t="inlineStr">
        <is>
          <t>G2G</t>
        </is>
      </c>
      <c r="T826" s="3" t="inlineStr">
        <is>
          <t>P4</t>
        </is>
      </c>
      <c r="U826" s="3" t="inlineStr">
        <is>
          <t>N JB Cold Soldering</t>
        </is>
      </c>
      <c r="V826" s="3" t="inlineStr">
        <is>
          <t>Soldering</t>
        </is>
      </c>
      <c r="W826" s="3" t="inlineStr">
        <is>
          <t>Repair</t>
        </is>
      </c>
      <c r="X826" s="18" t="n">
        <v>46154</v>
      </c>
      <c r="Y826" s="3">
        <f>X826-A826</f>
        <v/>
      </c>
      <c r="Z826" s="18" t="n">
        <v>46154</v>
      </c>
      <c r="AA826" s="15" t="n"/>
      <c r="AB826" s="15" t="n"/>
    </row>
    <row r="827" hidden="1" s="233">
      <c r="A827" s="6" t="n">
        <v>46107</v>
      </c>
      <c r="B827" s="3" t="n">
        <v>2026</v>
      </c>
      <c r="C827" s="3" t="inlineStr">
        <is>
          <t>Blupine</t>
        </is>
      </c>
      <c r="D827" s="3" t="inlineStr">
        <is>
          <t>Utility and C&amp;I</t>
        </is>
      </c>
      <c r="E827" s="3" t="n"/>
      <c r="F827" s="3" t="inlineStr">
        <is>
          <t>Closed</t>
        </is>
      </c>
      <c r="G827" s="3" t="inlineStr">
        <is>
          <t>Chandrashekar Patidar</t>
        </is>
      </c>
      <c r="H827" s="3" t="n">
        <v>7879764773</v>
      </c>
      <c r="I827" s="11" t="inlineStr">
        <is>
          <t>PE26032601</t>
        </is>
      </c>
      <c r="J827" s="3" t="inlineStr">
        <is>
          <t>Module Diode Failure</t>
        </is>
      </c>
      <c r="K827" s="3" t="inlineStr">
        <is>
          <t>Sadla</t>
        </is>
      </c>
      <c r="L827" s="3" t="inlineStr">
        <is>
          <t>Gujarat</t>
        </is>
      </c>
      <c r="M827" s="9" t="inlineStr">
        <is>
          <t>NS</t>
        </is>
      </c>
      <c r="N827" s="3" t="inlineStr">
        <is>
          <t>Cold Soldering</t>
        </is>
      </c>
      <c r="O827" s="3" t="n">
        <v>570</v>
      </c>
      <c r="P827" s="9" t="inlineStr">
        <is>
          <t>NSMI24060096893</t>
        </is>
      </c>
      <c r="Q827" s="53">
        <f>MID(P827,5,2)</f>
        <v/>
      </c>
      <c r="R827" s="53">
        <f>MID(P827,7,2)</f>
        <v/>
      </c>
      <c r="S827" s="3" t="inlineStr">
        <is>
          <t>G2G</t>
        </is>
      </c>
      <c r="T827" s="3" t="inlineStr">
        <is>
          <t>P4</t>
        </is>
      </c>
      <c r="U827" s="3" t="inlineStr">
        <is>
          <t>N JB Cold Soldering</t>
        </is>
      </c>
      <c r="V827" s="3" t="inlineStr">
        <is>
          <t>Soldering</t>
        </is>
      </c>
      <c r="W827" s="3" t="inlineStr">
        <is>
          <t>Repair</t>
        </is>
      </c>
      <c r="X827" s="18" t="n">
        <v>46154</v>
      </c>
      <c r="Y827" s="3">
        <f>X827-A827</f>
        <v/>
      </c>
      <c r="Z827" s="18" t="n">
        <v>46154</v>
      </c>
      <c r="AA827" s="15" t="n"/>
      <c r="AB827" s="15" t="n"/>
    </row>
    <row r="828" hidden="1" s="233">
      <c r="A828" s="6" t="n">
        <v>46107</v>
      </c>
      <c r="B828" s="3" t="n">
        <v>2026</v>
      </c>
      <c r="C828" s="3" t="inlineStr">
        <is>
          <t>Blupine</t>
        </is>
      </c>
      <c r="D828" s="3" t="inlineStr">
        <is>
          <t>Utility and C&amp;I</t>
        </is>
      </c>
      <c r="E828" s="3" t="n"/>
      <c r="F828" s="3" t="inlineStr">
        <is>
          <t>Closed</t>
        </is>
      </c>
      <c r="G828" s="3" t="inlineStr">
        <is>
          <t>Chandrashekar Patidar</t>
        </is>
      </c>
      <c r="H828" s="3" t="n">
        <v>7879764773</v>
      </c>
      <c r="I828" s="11" t="inlineStr">
        <is>
          <t>PE26032601</t>
        </is>
      </c>
      <c r="J828" s="3" t="inlineStr">
        <is>
          <t>Module Diode Failure</t>
        </is>
      </c>
      <c r="K828" s="3" t="inlineStr">
        <is>
          <t>Sadla</t>
        </is>
      </c>
      <c r="L828" s="3" t="inlineStr">
        <is>
          <t>Gujarat</t>
        </is>
      </c>
      <c r="M828" s="9" t="inlineStr">
        <is>
          <t>NS</t>
        </is>
      </c>
      <c r="N828" s="3" t="inlineStr">
        <is>
          <t>Cold Soldering</t>
        </is>
      </c>
      <c r="O828" s="3" t="n">
        <v>570</v>
      </c>
      <c r="P828" s="9" t="inlineStr">
        <is>
          <t>NSMI24060096904</t>
        </is>
      </c>
      <c r="Q828" s="53">
        <f>MID(P828,5,2)</f>
        <v/>
      </c>
      <c r="R828" s="53">
        <f>MID(P828,7,2)</f>
        <v/>
      </c>
      <c r="S828" s="3" t="inlineStr">
        <is>
          <t>G2G</t>
        </is>
      </c>
      <c r="T828" s="3" t="inlineStr">
        <is>
          <t>P4</t>
        </is>
      </c>
      <c r="U828" s="3" t="inlineStr">
        <is>
          <t>N JB Cold Soldering</t>
        </is>
      </c>
      <c r="V828" s="3" t="inlineStr">
        <is>
          <t>Soldering</t>
        </is>
      </c>
      <c r="W828" s="3" t="inlineStr">
        <is>
          <t>Repair</t>
        </is>
      </c>
      <c r="X828" s="18" t="n">
        <v>46154</v>
      </c>
      <c r="Y828" s="3">
        <f>X828-A828</f>
        <v/>
      </c>
      <c r="Z828" s="18" t="n">
        <v>46154</v>
      </c>
      <c r="AA828" s="15" t="n"/>
      <c r="AB828" s="15" t="n"/>
    </row>
    <row r="829" hidden="1" s="233">
      <c r="A829" s="6" t="n">
        <v>46107</v>
      </c>
      <c r="B829" s="3" t="n">
        <v>2026</v>
      </c>
      <c r="C829" s="3" t="inlineStr">
        <is>
          <t>Blupine</t>
        </is>
      </c>
      <c r="D829" s="3" t="inlineStr">
        <is>
          <t>Utility and C&amp;I</t>
        </is>
      </c>
      <c r="E829" s="3" t="n"/>
      <c r="F829" s="3" t="inlineStr">
        <is>
          <t>Closed</t>
        </is>
      </c>
      <c r="G829" s="3" t="inlineStr">
        <is>
          <t>Chandrashekar Patidar</t>
        </is>
      </c>
      <c r="H829" s="3" t="n">
        <v>7879764773</v>
      </c>
      <c r="I829" s="11" t="inlineStr">
        <is>
          <t>PE26032601</t>
        </is>
      </c>
      <c r="J829" s="3" t="inlineStr">
        <is>
          <t>Module Diode Failure</t>
        </is>
      </c>
      <c r="K829" s="3" t="inlineStr">
        <is>
          <t>Sadla</t>
        </is>
      </c>
      <c r="L829" s="3" t="inlineStr">
        <is>
          <t>Gujarat</t>
        </is>
      </c>
      <c r="M829" s="9" t="inlineStr">
        <is>
          <t>NS</t>
        </is>
      </c>
      <c r="N829" s="3" t="inlineStr">
        <is>
          <t>Cold Soldering</t>
        </is>
      </c>
      <c r="O829" s="3" t="n">
        <v>570</v>
      </c>
      <c r="P829" s="9" t="inlineStr">
        <is>
          <t>NSMI24060096878</t>
        </is>
      </c>
      <c r="Q829" s="53">
        <f>MID(P829,5,2)</f>
        <v/>
      </c>
      <c r="R829" s="53">
        <f>MID(P829,7,2)</f>
        <v/>
      </c>
      <c r="S829" s="3" t="inlineStr">
        <is>
          <t>G2G</t>
        </is>
      </c>
      <c r="T829" s="3" t="inlineStr">
        <is>
          <t>P4</t>
        </is>
      </c>
      <c r="U829" s="3" t="inlineStr">
        <is>
          <t>N JB Cold Soldering</t>
        </is>
      </c>
      <c r="V829" s="3" t="inlineStr">
        <is>
          <t>Soldering</t>
        </is>
      </c>
      <c r="W829" s="3" t="inlineStr">
        <is>
          <t>Repair</t>
        </is>
      </c>
      <c r="X829" s="18" t="n">
        <v>46154</v>
      </c>
      <c r="Y829" s="3">
        <f>X829-A829</f>
        <v/>
      </c>
      <c r="Z829" s="18" t="n">
        <v>46154</v>
      </c>
      <c r="AA829" s="15" t="n"/>
      <c r="AB829" s="15" t="n"/>
    </row>
    <row r="830" hidden="1" s="233">
      <c r="A830" s="6" t="n">
        <v>46107</v>
      </c>
      <c r="B830" s="3" t="n">
        <v>2026</v>
      </c>
      <c r="C830" s="3" t="inlineStr">
        <is>
          <t>Blupine</t>
        </is>
      </c>
      <c r="D830" s="3" t="inlineStr">
        <is>
          <t>Utility and C&amp;I</t>
        </is>
      </c>
      <c r="E830" s="3" t="n"/>
      <c r="F830" s="3" t="inlineStr">
        <is>
          <t>Closed</t>
        </is>
      </c>
      <c r="G830" s="3" t="inlineStr">
        <is>
          <t>Chandrashekar Patidar</t>
        </is>
      </c>
      <c r="H830" s="3" t="n">
        <v>7879764773</v>
      </c>
      <c r="I830" s="11" t="inlineStr">
        <is>
          <t>PE26032601</t>
        </is>
      </c>
      <c r="J830" s="3" t="inlineStr">
        <is>
          <t>Module Diode Failure</t>
        </is>
      </c>
      <c r="K830" s="3" t="inlineStr">
        <is>
          <t>Sadla</t>
        </is>
      </c>
      <c r="L830" s="3" t="inlineStr">
        <is>
          <t>Gujarat</t>
        </is>
      </c>
      <c r="M830" s="9" t="inlineStr">
        <is>
          <t>NS</t>
        </is>
      </c>
      <c r="N830" s="3" t="inlineStr">
        <is>
          <t>Cold Soldering</t>
        </is>
      </c>
      <c r="O830" s="3" t="n">
        <v>570</v>
      </c>
      <c r="P830" s="9" t="inlineStr">
        <is>
          <t>NSMI24060094216</t>
        </is>
      </c>
      <c r="Q830" s="53">
        <f>MID(P830,5,2)</f>
        <v/>
      </c>
      <c r="R830" s="53">
        <f>MID(P830,7,2)</f>
        <v/>
      </c>
      <c r="S830" s="3" t="inlineStr">
        <is>
          <t>G2G</t>
        </is>
      </c>
      <c r="T830" s="3" t="inlineStr">
        <is>
          <t>P4</t>
        </is>
      </c>
      <c r="U830" s="3" t="inlineStr">
        <is>
          <t>N JB Cold Soldering</t>
        </is>
      </c>
      <c r="V830" s="3" t="inlineStr">
        <is>
          <t>Soldering</t>
        </is>
      </c>
      <c r="W830" s="3" t="inlineStr">
        <is>
          <t>Repair</t>
        </is>
      </c>
      <c r="X830" s="18" t="n">
        <v>46154</v>
      </c>
      <c r="Y830" s="3">
        <f>X830-A830</f>
        <v/>
      </c>
      <c r="Z830" s="18" t="n">
        <v>46154</v>
      </c>
      <c r="AA830" s="15" t="n"/>
      <c r="AB830" s="15" t="n"/>
    </row>
    <row r="831" hidden="1" s="233">
      <c r="A831" s="6" t="n">
        <v>46107</v>
      </c>
      <c r="B831" s="3" t="n">
        <v>2026</v>
      </c>
      <c r="C831" s="3" t="inlineStr">
        <is>
          <t>Blupine</t>
        </is>
      </c>
      <c r="D831" s="3" t="inlineStr">
        <is>
          <t>Utility and C&amp;I</t>
        </is>
      </c>
      <c r="E831" s="3" t="n"/>
      <c r="F831" s="3" t="inlineStr">
        <is>
          <t>Closed</t>
        </is>
      </c>
      <c r="G831" s="3" t="inlineStr">
        <is>
          <t>Chandrashekar Patidar</t>
        </is>
      </c>
      <c r="H831" s="3" t="n">
        <v>7879764773</v>
      </c>
      <c r="I831" s="11" t="inlineStr">
        <is>
          <t>PE26032601</t>
        </is>
      </c>
      <c r="J831" s="3" t="inlineStr">
        <is>
          <t>Module Diode Failure</t>
        </is>
      </c>
      <c r="K831" s="3" t="inlineStr">
        <is>
          <t>Sadla</t>
        </is>
      </c>
      <c r="L831" s="3" t="inlineStr">
        <is>
          <t>Gujarat</t>
        </is>
      </c>
      <c r="M831" s="9" t="inlineStr">
        <is>
          <t>NS</t>
        </is>
      </c>
      <c r="N831" s="3" t="inlineStr">
        <is>
          <t>Cold Soldering</t>
        </is>
      </c>
      <c r="O831" s="3" t="n">
        <v>570</v>
      </c>
      <c r="P831" s="9" t="inlineStr">
        <is>
          <t>NSMI24060097004</t>
        </is>
      </c>
      <c r="Q831" s="53">
        <f>MID(P831,5,2)</f>
        <v/>
      </c>
      <c r="R831" s="53">
        <f>MID(P831,7,2)</f>
        <v/>
      </c>
      <c r="S831" s="3" t="inlineStr">
        <is>
          <t>G2G</t>
        </is>
      </c>
      <c r="T831" s="3" t="inlineStr">
        <is>
          <t>P4</t>
        </is>
      </c>
      <c r="U831" s="3" t="inlineStr">
        <is>
          <t>N JB Cold Soldering</t>
        </is>
      </c>
      <c r="V831" s="3" t="inlineStr">
        <is>
          <t>Soldering</t>
        </is>
      </c>
      <c r="W831" s="3" t="inlineStr">
        <is>
          <t>Repair</t>
        </is>
      </c>
      <c r="X831" s="18" t="n">
        <v>46154</v>
      </c>
      <c r="Y831" s="3">
        <f>X831-A831</f>
        <v/>
      </c>
      <c r="Z831" s="18" t="n">
        <v>46154</v>
      </c>
      <c r="AA831" s="15" t="n"/>
      <c r="AB831" s="15" t="n"/>
    </row>
    <row r="832" hidden="1" s="233">
      <c r="A832" s="6" t="n">
        <v>46107</v>
      </c>
      <c r="B832" s="3" t="n">
        <v>2026</v>
      </c>
      <c r="C832" s="3" t="inlineStr">
        <is>
          <t>Blupine</t>
        </is>
      </c>
      <c r="D832" s="3" t="inlineStr">
        <is>
          <t>Utility and C&amp;I</t>
        </is>
      </c>
      <c r="E832" s="3" t="n"/>
      <c r="F832" s="3" t="inlineStr">
        <is>
          <t>Closed</t>
        </is>
      </c>
      <c r="G832" s="3" t="inlineStr">
        <is>
          <t>Chandrashekar Patidar</t>
        </is>
      </c>
      <c r="H832" s="3" t="n">
        <v>7879764773</v>
      </c>
      <c r="I832" s="11" t="inlineStr">
        <is>
          <t>PE26032601</t>
        </is>
      </c>
      <c r="J832" s="3" t="inlineStr">
        <is>
          <t>Module Diode Failure</t>
        </is>
      </c>
      <c r="K832" s="3" t="inlineStr">
        <is>
          <t>Sadla</t>
        </is>
      </c>
      <c r="L832" s="3" t="inlineStr">
        <is>
          <t>Gujarat</t>
        </is>
      </c>
      <c r="M832" s="9" t="inlineStr">
        <is>
          <t>NR</t>
        </is>
      </c>
      <c r="N832" s="3" t="inlineStr">
        <is>
          <t>JB Issue</t>
        </is>
      </c>
      <c r="O832" s="3" t="n">
        <v>570</v>
      </c>
      <c r="P832" s="9" t="inlineStr">
        <is>
          <t>NSMI24060096928</t>
        </is>
      </c>
      <c r="Q832" s="53">
        <f>MID(P832,5,2)</f>
        <v/>
      </c>
      <c r="R832" s="53">
        <f>MID(P832,7,2)</f>
        <v/>
      </c>
      <c r="S832" s="3" t="inlineStr">
        <is>
          <t>G2G</t>
        </is>
      </c>
      <c r="T832" s="3" t="inlineStr">
        <is>
          <t>P4</t>
        </is>
      </c>
      <c r="U832" s="3" t="inlineStr">
        <is>
          <t>N JB Issue</t>
        </is>
      </c>
      <c r="V832" s="3" t="inlineStr">
        <is>
          <t>JB Changed</t>
        </is>
      </c>
      <c r="W832" s="3" t="inlineStr">
        <is>
          <t>Repair</t>
        </is>
      </c>
      <c r="X832" s="18" t="n">
        <v>46154</v>
      </c>
      <c r="Y832" s="3">
        <f>X832-A832</f>
        <v/>
      </c>
      <c r="Z832" s="18" t="n">
        <v>46154</v>
      </c>
      <c r="AA832" s="15" t="n"/>
      <c r="AB832" s="15" t="n"/>
    </row>
    <row r="833" hidden="1" s="233">
      <c r="A833" s="6" t="n">
        <v>46107</v>
      </c>
      <c r="B833" s="3" t="n">
        <v>2026</v>
      </c>
      <c r="C833" s="3" t="inlineStr">
        <is>
          <t>Blupine</t>
        </is>
      </c>
      <c r="D833" s="3" t="inlineStr">
        <is>
          <t>Utility and C&amp;I</t>
        </is>
      </c>
      <c r="E833" s="3" t="n"/>
      <c r="F833" s="3" t="inlineStr">
        <is>
          <t>Closed</t>
        </is>
      </c>
      <c r="G833" s="3" t="inlineStr">
        <is>
          <t>Chandrashekar Patidar</t>
        </is>
      </c>
      <c r="H833" s="3" t="n">
        <v>7879764773</v>
      </c>
      <c r="I833" s="11" t="inlineStr">
        <is>
          <t>PE26032601</t>
        </is>
      </c>
      <c r="J833" s="3" t="inlineStr">
        <is>
          <t>Module Diode Failure</t>
        </is>
      </c>
      <c r="K833" s="3" t="inlineStr">
        <is>
          <t>Sadla</t>
        </is>
      </c>
      <c r="L833" s="3" t="inlineStr">
        <is>
          <t>Gujarat</t>
        </is>
      </c>
      <c r="M833" s="9" t="inlineStr">
        <is>
          <t>NS</t>
        </is>
      </c>
      <c r="N833" s="3" t="inlineStr">
        <is>
          <t>Cold Soldering</t>
        </is>
      </c>
      <c r="O833" s="3" t="n">
        <v>570</v>
      </c>
      <c r="P833" s="9" t="inlineStr">
        <is>
          <t>NSMI24060089941</t>
        </is>
      </c>
      <c r="Q833" s="53">
        <f>MID(P833,5,2)</f>
        <v/>
      </c>
      <c r="R833" s="53">
        <f>MID(P833,7,2)</f>
        <v/>
      </c>
      <c r="S833" s="3" t="inlineStr">
        <is>
          <t>G2G</t>
        </is>
      </c>
      <c r="T833" s="3" t="inlineStr">
        <is>
          <t>P4</t>
        </is>
      </c>
      <c r="U833" s="3" t="inlineStr">
        <is>
          <t>N JB Cold Soldering</t>
        </is>
      </c>
      <c r="V833" s="3" t="inlineStr">
        <is>
          <t>Soldering</t>
        </is>
      </c>
      <c r="W833" s="3" t="inlineStr">
        <is>
          <t>Repair</t>
        </is>
      </c>
      <c r="X833" s="18" t="n">
        <v>46155</v>
      </c>
      <c r="Y833" s="3">
        <f>X833-A833</f>
        <v/>
      </c>
      <c r="Z833" s="18" t="n">
        <v>46155</v>
      </c>
      <c r="AA833" s="15" t="n"/>
      <c r="AB833" s="15" t="n"/>
    </row>
    <row r="834" hidden="1" s="233">
      <c r="A834" s="6" t="n">
        <v>46107</v>
      </c>
      <c r="B834" s="3" t="n">
        <v>2026</v>
      </c>
      <c r="C834" s="3" t="inlineStr">
        <is>
          <t>Blupine</t>
        </is>
      </c>
      <c r="D834" s="3" t="inlineStr">
        <is>
          <t>Utility and C&amp;I</t>
        </is>
      </c>
      <c r="E834" s="3" t="n"/>
      <c r="F834" s="3" t="inlineStr">
        <is>
          <t>Closed</t>
        </is>
      </c>
      <c r="G834" s="3" t="inlineStr">
        <is>
          <t>Chandrashekar Patidar</t>
        </is>
      </c>
      <c r="H834" s="3" t="n">
        <v>7879764773</v>
      </c>
      <c r="I834" s="11" t="inlineStr">
        <is>
          <t>PE26032601</t>
        </is>
      </c>
      <c r="J834" s="3" t="inlineStr">
        <is>
          <t>Module Diode Failure</t>
        </is>
      </c>
      <c r="K834" s="3" t="inlineStr">
        <is>
          <t>Sadla</t>
        </is>
      </c>
      <c r="L834" s="3" t="inlineStr">
        <is>
          <t>Gujarat</t>
        </is>
      </c>
      <c r="M834" s="9" t="inlineStr">
        <is>
          <t>PS</t>
        </is>
      </c>
      <c r="N834" s="3" t="inlineStr">
        <is>
          <t>Cold Soldering</t>
        </is>
      </c>
      <c r="O834" s="3" t="n">
        <v>570</v>
      </c>
      <c r="P834" s="9" t="inlineStr">
        <is>
          <t>NSMI24060097962</t>
        </is>
      </c>
      <c r="Q834" s="53">
        <f>MID(P834,5,2)</f>
        <v/>
      </c>
      <c r="R834" s="53">
        <f>MID(P834,7,2)</f>
        <v/>
      </c>
      <c r="S834" s="3" t="inlineStr">
        <is>
          <t>G2G</t>
        </is>
      </c>
      <c r="T834" s="3" t="inlineStr">
        <is>
          <t>P4</t>
        </is>
      </c>
      <c r="U834" s="3" t="inlineStr">
        <is>
          <t>P JB Cold Soldering</t>
        </is>
      </c>
      <c r="V834" s="3" t="inlineStr">
        <is>
          <t>Soldering</t>
        </is>
      </c>
      <c r="W834" s="3" t="inlineStr">
        <is>
          <t>Repair</t>
        </is>
      </c>
      <c r="X834" s="18" t="n">
        <v>46155</v>
      </c>
      <c r="Y834" s="3">
        <f>X834-A834</f>
        <v/>
      </c>
      <c r="Z834" s="18" t="n">
        <v>46155</v>
      </c>
      <c r="AA834" s="15" t="n"/>
      <c r="AB834" s="15" t="n"/>
    </row>
    <row r="835" hidden="1" s="233">
      <c r="A835" s="6" t="n">
        <v>46107</v>
      </c>
      <c r="B835" s="3" t="n">
        <v>2026</v>
      </c>
      <c r="C835" s="3" t="inlineStr">
        <is>
          <t>Blupine</t>
        </is>
      </c>
      <c r="D835" s="3" t="inlineStr">
        <is>
          <t>Utility and C&amp;I</t>
        </is>
      </c>
      <c r="E835" s="3" t="n"/>
      <c r="F835" s="3" t="inlineStr">
        <is>
          <t>Closed</t>
        </is>
      </c>
      <c r="G835" s="3" t="inlineStr">
        <is>
          <t>Chandrashekar Patidar</t>
        </is>
      </c>
      <c r="H835" s="3" t="n">
        <v>7879764773</v>
      </c>
      <c r="I835" s="11" t="inlineStr">
        <is>
          <t>PE26032601</t>
        </is>
      </c>
      <c r="J835" s="3" t="inlineStr">
        <is>
          <t>Module Diode Failure</t>
        </is>
      </c>
      <c r="K835" s="3" t="inlineStr">
        <is>
          <t>Sadla</t>
        </is>
      </c>
      <c r="L835" s="3" t="inlineStr">
        <is>
          <t>Gujarat</t>
        </is>
      </c>
      <c r="M835" s="9" t="inlineStr">
        <is>
          <t>NS</t>
        </is>
      </c>
      <c r="N835" s="3" t="inlineStr">
        <is>
          <t>Cold Soldering</t>
        </is>
      </c>
      <c r="O835" s="3" t="n">
        <v>570</v>
      </c>
      <c r="P835" s="9" t="inlineStr">
        <is>
          <t>NSMI24060096945</t>
        </is>
      </c>
      <c r="Q835" s="53">
        <f>MID(P835,5,2)</f>
        <v/>
      </c>
      <c r="R835" s="53">
        <f>MID(P835,7,2)</f>
        <v/>
      </c>
      <c r="S835" s="3" t="inlineStr">
        <is>
          <t>G2G</t>
        </is>
      </c>
      <c r="T835" s="3" t="inlineStr">
        <is>
          <t>P4</t>
        </is>
      </c>
      <c r="U835" s="3" t="inlineStr">
        <is>
          <t>N JB Cold Soldering</t>
        </is>
      </c>
      <c r="V835" s="3" t="inlineStr">
        <is>
          <t>Soldering</t>
        </is>
      </c>
      <c r="W835" s="3" t="inlineStr">
        <is>
          <t>Repair</t>
        </is>
      </c>
      <c r="X835" s="18" t="n">
        <v>46155</v>
      </c>
      <c r="Y835" s="3">
        <f>X835-A835</f>
        <v/>
      </c>
      <c r="Z835" s="18" t="n">
        <v>46155</v>
      </c>
      <c r="AA835" s="15" t="n"/>
      <c r="AB835" s="15" t="n"/>
    </row>
    <row r="836" hidden="1" s="233">
      <c r="A836" s="6" t="n">
        <v>46107</v>
      </c>
      <c r="B836" s="3" t="n">
        <v>2026</v>
      </c>
      <c r="C836" s="3" t="inlineStr">
        <is>
          <t>Blupine</t>
        </is>
      </c>
      <c r="D836" s="3" t="inlineStr">
        <is>
          <t>Utility and C&amp;I</t>
        </is>
      </c>
      <c r="E836" s="3" t="n"/>
      <c r="F836" s="3" t="inlineStr">
        <is>
          <t>Closed</t>
        </is>
      </c>
      <c r="G836" s="3" t="inlineStr">
        <is>
          <t>Chandrashekar Patidar</t>
        </is>
      </c>
      <c r="H836" s="3" t="n">
        <v>7879764773</v>
      </c>
      <c r="I836" s="11" t="inlineStr">
        <is>
          <t>PE26032601</t>
        </is>
      </c>
      <c r="J836" s="3" t="inlineStr">
        <is>
          <t>Module Diode Failure</t>
        </is>
      </c>
      <c r="K836" s="3" t="inlineStr">
        <is>
          <t>Sadla</t>
        </is>
      </c>
      <c r="L836" s="3" t="inlineStr">
        <is>
          <t>Gujarat</t>
        </is>
      </c>
      <c r="M836" s="9" t="inlineStr">
        <is>
          <t>NS</t>
        </is>
      </c>
      <c r="N836" s="3" t="inlineStr">
        <is>
          <t>Cold Soldering</t>
        </is>
      </c>
      <c r="O836" s="3" t="n">
        <v>570</v>
      </c>
      <c r="P836" s="9" t="inlineStr">
        <is>
          <t>NSMI24060085186</t>
        </is>
      </c>
      <c r="Q836" s="53">
        <f>MID(P836,5,2)</f>
        <v/>
      </c>
      <c r="R836" s="53">
        <f>MID(P836,7,2)</f>
        <v/>
      </c>
      <c r="S836" s="3" t="inlineStr">
        <is>
          <t>G2G</t>
        </is>
      </c>
      <c r="T836" s="3" t="inlineStr">
        <is>
          <t>P4</t>
        </is>
      </c>
      <c r="U836" s="3" t="inlineStr">
        <is>
          <t>N JB Cold Soldering</t>
        </is>
      </c>
      <c r="V836" s="3" t="inlineStr">
        <is>
          <t>Soldering</t>
        </is>
      </c>
      <c r="W836" s="3" t="inlineStr">
        <is>
          <t>Repair</t>
        </is>
      </c>
      <c r="X836" s="18" t="n">
        <v>46155</v>
      </c>
      <c r="Y836" s="3">
        <f>X836-A836</f>
        <v/>
      </c>
      <c r="Z836" s="18" t="n">
        <v>46155</v>
      </c>
      <c r="AA836" s="15" t="n"/>
      <c r="AB836" s="15" t="n"/>
    </row>
    <row r="837" hidden="1" s="233">
      <c r="A837" s="6" t="n">
        <v>46107</v>
      </c>
      <c r="B837" s="3" t="n">
        <v>2026</v>
      </c>
      <c r="C837" s="3" t="inlineStr">
        <is>
          <t>Blupine</t>
        </is>
      </c>
      <c r="D837" s="3" t="inlineStr">
        <is>
          <t>Utility and C&amp;I</t>
        </is>
      </c>
      <c r="E837" s="3" t="n"/>
      <c r="F837" s="3" t="inlineStr">
        <is>
          <t>Closed</t>
        </is>
      </c>
      <c r="G837" s="3" t="inlineStr">
        <is>
          <t>Chandrashekar Patidar</t>
        </is>
      </c>
      <c r="H837" s="3" t="n">
        <v>7879764773</v>
      </c>
      <c r="I837" s="11" t="inlineStr">
        <is>
          <t>PE26032601</t>
        </is>
      </c>
      <c r="J837" s="3" t="inlineStr">
        <is>
          <t>Module Diode Failure</t>
        </is>
      </c>
      <c r="K837" s="3" t="inlineStr">
        <is>
          <t>Sadla</t>
        </is>
      </c>
      <c r="L837" s="3" t="inlineStr">
        <is>
          <t>Gujarat</t>
        </is>
      </c>
      <c r="M837" s="9" t="inlineStr">
        <is>
          <t>PS</t>
        </is>
      </c>
      <c r="N837" s="3" t="inlineStr">
        <is>
          <t>Cold Soldering</t>
        </is>
      </c>
      <c r="O837" s="3" t="n">
        <v>570</v>
      </c>
      <c r="P837" s="9" t="inlineStr">
        <is>
          <t>NSMI24060085163</t>
        </is>
      </c>
      <c r="Q837" s="53">
        <f>MID(P837,5,2)</f>
        <v/>
      </c>
      <c r="R837" s="53">
        <f>MID(P837,7,2)</f>
        <v/>
      </c>
      <c r="S837" s="3" t="inlineStr">
        <is>
          <t>G2G</t>
        </is>
      </c>
      <c r="T837" s="3" t="inlineStr">
        <is>
          <t>P4</t>
        </is>
      </c>
      <c r="U837" s="3" t="inlineStr">
        <is>
          <t>P JB Cold Soldering</t>
        </is>
      </c>
      <c r="V837" s="3" t="inlineStr">
        <is>
          <t>Soldering</t>
        </is>
      </c>
      <c r="W837" s="3" t="inlineStr">
        <is>
          <t>Repair</t>
        </is>
      </c>
      <c r="X837" s="18" t="n">
        <v>46155</v>
      </c>
      <c r="Y837" s="3">
        <f>X837-A837</f>
        <v/>
      </c>
      <c r="Z837" s="18" t="n">
        <v>46155</v>
      </c>
      <c r="AA837" s="15" t="n"/>
      <c r="AB837" s="15" t="n"/>
    </row>
    <row r="838" hidden="1" s="233">
      <c r="A838" s="6" t="n">
        <v>46107</v>
      </c>
      <c r="B838" s="3" t="n">
        <v>2026</v>
      </c>
      <c r="C838" s="3" t="inlineStr">
        <is>
          <t>Blupine</t>
        </is>
      </c>
      <c r="D838" s="3" t="inlineStr">
        <is>
          <t>Utility and C&amp;I</t>
        </is>
      </c>
      <c r="E838" s="3" t="n"/>
      <c r="F838" s="3" t="inlineStr">
        <is>
          <t>Closed</t>
        </is>
      </c>
      <c r="G838" s="3" t="inlineStr">
        <is>
          <t>Chandrashekar Patidar</t>
        </is>
      </c>
      <c r="H838" s="3" t="n">
        <v>7879764773</v>
      </c>
      <c r="I838" s="11" t="inlineStr">
        <is>
          <t>PE26032601</t>
        </is>
      </c>
      <c r="J838" s="3" t="inlineStr">
        <is>
          <t>Module Diode Failure</t>
        </is>
      </c>
      <c r="K838" s="3" t="inlineStr">
        <is>
          <t>Sadla</t>
        </is>
      </c>
      <c r="L838" s="3" t="inlineStr">
        <is>
          <t>Gujarat</t>
        </is>
      </c>
      <c r="M838" s="9" t="inlineStr">
        <is>
          <t>NS</t>
        </is>
      </c>
      <c r="N838" s="3" t="inlineStr">
        <is>
          <t>Cold Soldering</t>
        </is>
      </c>
      <c r="O838" s="3" t="n">
        <v>570</v>
      </c>
      <c r="P838" s="9" t="inlineStr">
        <is>
          <t>NSMI24060096210</t>
        </is>
      </c>
      <c r="Q838" s="53">
        <f>MID(P838,5,2)</f>
        <v/>
      </c>
      <c r="R838" s="53">
        <f>MID(P838,7,2)</f>
        <v/>
      </c>
      <c r="S838" s="3" t="inlineStr">
        <is>
          <t>G2G</t>
        </is>
      </c>
      <c r="T838" s="3" t="inlineStr">
        <is>
          <t>P4</t>
        </is>
      </c>
      <c r="U838" s="3" t="inlineStr">
        <is>
          <t>N JB Cold Soldering</t>
        </is>
      </c>
      <c r="V838" s="3" t="inlineStr">
        <is>
          <t>Soldering</t>
        </is>
      </c>
      <c r="W838" s="3" t="inlineStr">
        <is>
          <t>Repair</t>
        </is>
      </c>
      <c r="X838" s="18" t="n">
        <v>46155</v>
      </c>
      <c r="Y838" s="3">
        <f>X838-A838</f>
        <v/>
      </c>
      <c r="Z838" s="18" t="n">
        <v>46155</v>
      </c>
      <c r="AA838" s="15" t="n"/>
      <c r="AB838" s="15" t="n"/>
    </row>
    <row r="839" hidden="1" s="233">
      <c r="A839" s="6" t="n">
        <v>46107</v>
      </c>
      <c r="B839" s="3" t="n">
        <v>2026</v>
      </c>
      <c r="C839" s="3" t="inlineStr">
        <is>
          <t>Blupine</t>
        </is>
      </c>
      <c r="D839" s="3" t="inlineStr">
        <is>
          <t>Utility and C&amp;I</t>
        </is>
      </c>
      <c r="E839" s="3" t="n"/>
      <c r="F839" s="3" t="inlineStr">
        <is>
          <t>Closed</t>
        </is>
      </c>
      <c r="G839" s="3" t="inlineStr">
        <is>
          <t>Chandrashekar Patidar</t>
        </is>
      </c>
      <c r="H839" s="3" t="n">
        <v>7879764773</v>
      </c>
      <c r="I839" s="11" t="inlineStr">
        <is>
          <t>PE26032601</t>
        </is>
      </c>
      <c r="J839" s="3" t="inlineStr">
        <is>
          <t>Module Diode Failure</t>
        </is>
      </c>
      <c r="K839" s="3" t="inlineStr">
        <is>
          <t>Sadla</t>
        </is>
      </c>
      <c r="L839" s="3" t="inlineStr">
        <is>
          <t>Gujarat</t>
        </is>
      </c>
      <c r="M839" s="9" t="inlineStr">
        <is>
          <t>NS</t>
        </is>
      </c>
      <c r="N839" s="3" t="inlineStr">
        <is>
          <t>Cold Soldering</t>
        </is>
      </c>
      <c r="O839" s="3" t="n">
        <v>570</v>
      </c>
      <c r="P839" s="9" t="inlineStr">
        <is>
          <t>NSMI24060096527</t>
        </is>
      </c>
      <c r="Q839" s="53">
        <f>MID(P839,5,2)</f>
        <v/>
      </c>
      <c r="R839" s="53">
        <f>MID(P839,7,2)</f>
        <v/>
      </c>
      <c r="S839" s="3" t="inlineStr">
        <is>
          <t>G2G</t>
        </is>
      </c>
      <c r="T839" s="3" t="inlineStr">
        <is>
          <t>P4</t>
        </is>
      </c>
      <c r="U839" s="3" t="inlineStr">
        <is>
          <t>N JB Cold Soldering</t>
        </is>
      </c>
      <c r="V839" s="3" t="inlineStr">
        <is>
          <t>Soldering</t>
        </is>
      </c>
      <c r="W839" s="3" t="inlineStr">
        <is>
          <t>Repair</t>
        </is>
      </c>
      <c r="X839" s="18" t="n">
        <v>46155</v>
      </c>
      <c r="Y839" s="3">
        <f>X839-A839</f>
        <v/>
      </c>
      <c r="Z839" s="18" t="n">
        <v>46155</v>
      </c>
      <c r="AA839" s="15" t="n"/>
      <c r="AB839" s="15" t="n"/>
    </row>
    <row r="840" hidden="1" s="233">
      <c r="A840" s="6" t="n">
        <v>46107</v>
      </c>
      <c r="B840" s="3" t="n">
        <v>2026</v>
      </c>
      <c r="C840" s="3" t="inlineStr">
        <is>
          <t>Blupine</t>
        </is>
      </c>
      <c r="D840" s="3" t="inlineStr">
        <is>
          <t>Utility and C&amp;I</t>
        </is>
      </c>
      <c r="E840" s="3" t="n"/>
      <c r="F840" s="3" t="inlineStr">
        <is>
          <t>Closed</t>
        </is>
      </c>
      <c r="G840" s="3" t="inlineStr">
        <is>
          <t>Chandrashekar Patidar</t>
        </is>
      </c>
      <c r="H840" s="3" t="n">
        <v>7879764773</v>
      </c>
      <c r="I840" s="11" t="inlineStr">
        <is>
          <t>PE26032601</t>
        </is>
      </c>
      <c r="J840" s="3" t="inlineStr">
        <is>
          <t>Module Diode Failure</t>
        </is>
      </c>
      <c r="K840" s="3" t="inlineStr">
        <is>
          <t>Sadla</t>
        </is>
      </c>
      <c r="L840" s="3" t="inlineStr">
        <is>
          <t>Gujarat</t>
        </is>
      </c>
      <c r="M840" s="9" t="inlineStr">
        <is>
          <t>NS</t>
        </is>
      </c>
      <c r="N840" s="3" t="inlineStr">
        <is>
          <t>Cold Soldering</t>
        </is>
      </c>
      <c r="O840" s="3" t="n">
        <v>570</v>
      </c>
      <c r="P840" s="9" t="inlineStr">
        <is>
          <t>NSMI24060094924</t>
        </is>
      </c>
      <c r="Q840" s="53">
        <f>MID(P840,5,2)</f>
        <v/>
      </c>
      <c r="R840" s="53">
        <f>MID(P840,7,2)</f>
        <v/>
      </c>
      <c r="S840" s="3" t="inlineStr">
        <is>
          <t>G2G</t>
        </is>
      </c>
      <c r="T840" s="3" t="inlineStr">
        <is>
          <t>P4</t>
        </is>
      </c>
      <c r="U840" s="3" t="inlineStr">
        <is>
          <t>N JB Cold Soldering</t>
        </is>
      </c>
      <c r="V840" s="3" t="inlineStr">
        <is>
          <t>Soldering</t>
        </is>
      </c>
      <c r="W840" s="3" t="inlineStr">
        <is>
          <t>Repair</t>
        </is>
      </c>
      <c r="X840" s="18" t="n">
        <v>46155</v>
      </c>
      <c r="Y840" s="3">
        <f>X840-A840</f>
        <v/>
      </c>
      <c r="Z840" s="18" t="n">
        <v>46155</v>
      </c>
      <c r="AA840" s="15" t="n"/>
      <c r="AB840" s="15" t="n"/>
    </row>
    <row r="841" hidden="1" s="233">
      <c r="A841" s="6" t="n">
        <v>46107</v>
      </c>
      <c r="B841" s="3" t="n">
        <v>2026</v>
      </c>
      <c r="C841" s="3" t="inlineStr">
        <is>
          <t>Blupine</t>
        </is>
      </c>
      <c r="D841" s="3" t="inlineStr">
        <is>
          <t>Utility and C&amp;I</t>
        </is>
      </c>
      <c r="E841" s="3" t="n"/>
      <c r="F841" s="3" t="inlineStr">
        <is>
          <t>Closed</t>
        </is>
      </c>
      <c r="G841" s="3" t="inlineStr">
        <is>
          <t>Chandrashekar Patidar</t>
        </is>
      </c>
      <c r="H841" s="3" t="n">
        <v>7879764773</v>
      </c>
      <c r="I841" s="11" t="inlineStr">
        <is>
          <t>PE26032601</t>
        </is>
      </c>
      <c r="J841" s="3" t="inlineStr">
        <is>
          <t>Module Diode Failure</t>
        </is>
      </c>
      <c r="K841" s="3" t="inlineStr">
        <is>
          <t>Sadla</t>
        </is>
      </c>
      <c r="L841" s="3" t="inlineStr">
        <is>
          <t>Gujarat</t>
        </is>
      </c>
      <c r="M841" s="9" t="inlineStr">
        <is>
          <t>NS</t>
        </is>
      </c>
      <c r="N841" s="3" t="inlineStr">
        <is>
          <t>Cold Soldering</t>
        </is>
      </c>
      <c r="O841" s="3" t="n">
        <v>570</v>
      </c>
      <c r="P841" s="9" t="inlineStr">
        <is>
          <t>NSMI24060094537</t>
        </is>
      </c>
      <c r="Q841" s="53">
        <f>MID(P841,5,2)</f>
        <v/>
      </c>
      <c r="R841" s="53">
        <f>MID(P841,7,2)</f>
        <v/>
      </c>
      <c r="S841" s="3" t="inlineStr">
        <is>
          <t>G2G</t>
        </is>
      </c>
      <c r="T841" s="3" t="inlineStr">
        <is>
          <t>P4</t>
        </is>
      </c>
      <c r="U841" s="3" t="inlineStr">
        <is>
          <t>N JB Cold Soldering</t>
        </is>
      </c>
      <c r="V841" s="3" t="inlineStr">
        <is>
          <t>Soldering</t>
        </is>
      </c>
      <c r="W841" s="3" t="inlineStr">
        <is>
          <t>Repair</t>
        </is>
      </c>
      <c r="X841" s="18" t="n">
        <v>46155</v>
      </c>
      <c r="Y841" s="3">
        <f>X841-A841</f>
        <v/>
      </c>
      <c r="Z841" s="18" t="n">
        <v>46155</v>
      </c>
      <c r="AA841" s="15" t="n"/>
      <c r="AB841" s="15" t="n"/>
    </row>
    <row r="842" hidden="1" s="233">
      <c r="A842" s="6" t="n">
        <v>46107</v>
      </c>
      <c r="B842" s="3" t="n">
        <v>2026</v>
      </c>
      <c r="C842" s="3" t="inlineStr">
        <is>
          <t>Blupine</t>
        </is>
      </c>
      <c r="D842" s="3" t="inlineStr">
        <is>
          <t>Utility and C&amp;I</t>
        </is>
      </c>
      <c r="E842" s="3" t="n"/>
      <c r="F842" s="3" t="inlineStr">
        <is>
          <t>Closed</t>
        </is>
      </c>
      <c r="G842" s="3" t="inlineStr">
        <is>
          <t>Chandrashekar Patidar</t>
        </is>
      </c>
      <c r="H842" s="3" t="n">
        <v>7879764773</v>
      </c>
      <c r="I842" s="11" t="inlineStr">
        <is>
          <t>PE26032601</t>
        </is>
      </c>
      <c r="J842" s="3" t="inlineStr">
        <is>
          <t>Module Diode Failure</t>
        </is>
      </c>
      <c r="K842" s="3" t="inlineStr">
        <is>
          <t>Sadla</t>
        </is>
      </c>
      <c r="L842" s="3" t="inlineStr">
        <is>
          <t>Gujarat</t>
        </is>
      </c>
      <c r="M842" s="9" t="inlineStr">
        <is>
          <t>NS</t>
        </is>
      </c>
      <c r="N842" s="3" t="inlineStr">
        <is>
          <t>Cold Soldering</t>
        </is>
      </c>
      <c r="O842" s="3" t="n">
        <v>570</v>
      </c>
      <c r="P842" s="9" t="inlineStr">
        <is>
          <t>NSMI24060094431</t>
        </is>
      </c>
      <c r="Q842" s="53">
        <f>MID(P842,5,2)</f>
        <v/>
      </c>
      <c r="R842" s="53">
        <f>MID(P842,7,2)</f>
        <v/>
      </c>
      <c r="S842" s="3" t="inlineStr">
        <is>
          <t>G2G</t>
        </is>
      </c>
      <c r="T842" s="3" t="inlineStr">
        <is>
          <t>P4</t>
        </is>
      </c>
      <c r="U842" s="3" t="inlineStr">
        <is>
          <t>N JB Cold Soldering</t>
        </is>
      </c>
      <c r="V842" s="3" t="inlineStr">
        <is>
          <t>Soldering</t>
        </is>
      </c>
      <c r="W842" s="3" t="inlineStr">
        <is>
          <t>Repair</t>
        </is>
      </c>
      <c r="X842" s="18" t="n">
        <v>46155</v>
      </c>
      <c r="Y842" s="3">
        <f>X842-A842</f>
        <v/>
      </c>
      <c r="Z842" s="18" t="n">
        <v>46155</v>
      </c>
      <c r="AA842" s="15" t="n"/>
      <c r="AB842" s="15" t="n"/>
    </row>
    <row r="843" hidden="1" s="233">
      <c r="A843" s="6" t="n">
        <v>46107</v>
      </c>
      <c r="B843" s="3" t="n">
        <v>2026</v>
      </c>
      <c r="C843" s="3" t="inlineStr">
        <is>
          <t>Blupine</t>
        </is>
      </c>
      <c r="D843" s="3" t="inlineStr">
        <is>
          <t>Utility and C&amp;I</t>
        </is>
      </c>
      <c r="E843" s="3" t="n"/>
      <c r="F843" s="3" t="inlineStr">
        <is>
          <t>Closed</t>
        </is>
      </c>
      <c r="G843" s="3" t="inlineStr">
        <is>
          <t>Chandrashekar Patidar</t>
        </is>
      </c>
      <c r="H843" s="3" t="n">
        <v>7879764773</v>
      </c>
      <c r="I843" s="11" t="inlineStr">
        <is>
          <t>PE26032601</t>
        </is>
      </c>
      <c r="J843" s="3" t="inlineStr">
        <is>
          <t>Module Diode Failure</t>
        </is>
      </c>
      <c r="K843" s="3" t="inlineStr">
        <is>
          <t>Sadla</t>
        </is>
      </c>
      <c r="L843" s="3" t="inlineStr">
        <is>
          <t>Gujarat</t>
        </is>
      </c>
      <c r="M843" s="9" t="inlineStr">
        <is>
          <t>NS</t>
        </is>
      </c>
      <c r="N843" s="3" t="inlineStr">
        <is>
          <t>Cold Soldering</t>
        </is>
      </c>
      <c r="O843" s="3" t="n">
        <v>570</v>
      </c>
      <c r="P843" s="9" t="inlineStr">
        <is>
          <t>NSMI24060093220</t>
        </is>
      </c>
      <c r="Q843" s="53">
        <f>MID(P843,5,2)</f>
        <v/>
      </c>
      <c r="R843" s="53">
        <f>MID(P843,7,2)</f>
        <v/>
      </c>
      <c r="S843" s="3" t="inlineStr">
        <is>
          <t>G2G</t>
        </is>
      </c>
      <c r="T843" s="3" t="inlineStr">
        <is>
          <t>P4</t>
        </is>
      </c>
      <c r="U843" s="3" t="inlineStr">
        <is>
          <t>N JB Cold Soldering</t>
        </is>
      </c>
      <c r="V843" s="3" t="inlineStr">
        <is>
          <t>Soldering</t>
        </is>
      </c>
      <c r="W843" s="3" t="inlineStr">
        <is>
          <t>Repair</t>
        </is>
      </c>
      <c r="X843" s="18" t="n">
        <v>46155</v>
      </c>
      <c r="Y843" s="3">
        <f>X843-A843</f>
        <v/>
      </c>
      <c r="Z843" s="18" t="n">
        <v>46155</v>
      </c>
      <c r="AA843" s="15" t="n"/>
      <c r="AB843" s="15" t="n"/>
    </row>
    <row r="844" hidden="1" s="233">
      <c r="A844" s="6" t="n">
        <v>46107</v>
      </c>
      <c r="B844" s="3" t="n">
        <v>2026</v>
      </c>
      <c r="C844" s="3" t="inlineStr">
        <is>
          <t>Blupine</t>
        </is>
      </c>
      <c r="D844" s="3" t="inlineStr">
        <is>
          <t>Utility and C&amp;I</t>
        </is>
      </c>
      <c r="E844" s="3" t="n"/>
      <c r="F844" s="3" t="inlineStr">
        <is>
          <t>Closed</t>
        </is>
      </c>
      <c r="G844" s="3" t="inlineStr">
        <is>
          <t>Chandrashekar Patidar</t>
        </is>
      </c>
      <c r="H844" s="3" t="n">
        <v>7879764773</v>
      </c>
      <c r="I844" s="11" t="inlineStr">
        <is>
          <t>PE26032601</t>
        </is>
      </c>
      <c r="J844" s="3" t="inlineStr">
        <is>
          <t>Module Diode Failure</t>
        </is>
      </c>
      <c r="K844" s="3" t="inlineStr">
        <is>
          <t>Sadla</t>
        </is>
      </c>
      <c r="L844" s="3" t="inlineStr">
        <is>
          <t>Gujarat</t>
        </is>
      </c>
      <c r="M844" s="9" t="inlineStr">
        <is>
          <t>PS</t>
        </is>
      </c>
      <c r="N844" s="3" t="inlineStr">
        <is>
          <t>Cold Soldering</t>
        </is>
      </c>
      <c r="O844" s="3" t="n">
        <v>570</v>
      </c>
      <c r="P844" s="9" t="inlineStr">
        <is>
          <t>NSMI24060094535</t>
        </is>
      </c>
      <c r="Q844" s="53">
        <f>MID(P844,5,2)</f>
        <v/>
      </c>
      <c r="R844" s="53">
        <f>MID(P844,7,2)</f>
        <v/>
      </c>
      <c r="S844" s="3" t="inlineStr">
        <is>
          <t>G2G</t>
        </is>
      </c>
      <c r="T844" s="3" t="inlineStr">
        <is>
          <t>P4</t>
        </is>
      </c>
      <c r="U844" s="3" t="inlineStr">
        <is>
          <t>P JB Cold Soldering</t>
        </is>
      </c>
      <c r="V844" s="3" t="inlineStr">
        <is>
          <t>Soldering</t>
        </is>
      </c>
      <c r="W844" s="3" t="inlineStr">
        <is>
          <t>Repair</t>
        </is>
      </c>
      <c r="X844" s="18" t="n">
        <v>46155</v>
      </c>
      <c r="Y844" s="3">
        <f>X844-A844</f>
        <v/>
      </c>
      <c r="Z844" s="18" t="n">
        <v>46155</v>
      </c>
      <c r="AA844" s="15" t="n"/>
      <c r="AB844" s="15" t="n"/>
    </row>
    <row r="845" hidden="1" s="233">
      <c r="A845" s="6" t="n">
        <v>46107</v>
      </c>
      <c r="B845" s="3" t="n">
        <v>2026</v>
      </c>
      <c r="C845" s="3" t="inlineStr">
        <is>
          <t>Blupine</t>
        </is>
      </c>
      <c r="D845" s="3" t="inlineStr">
        <is>
          <t>Utility and C&amp;I</t>
        </is>
      </c>
      <c r="E845" s="3" t="n"/>
      <c r="F845" s="3" t="inlineStr">
        <is>
          <t>Closed</t>
        </is>
      </c>
      <c r="G845" s="3" t="inlineStr">
        <is>
          <t>Chandrashekar Patidar</t>
        </is>
      </c>
      <c r="H845" s="3" t="n">
        <v>7879764773</v>
      </c>
      <c r="I845" s="11" t="inlineStr">
        <is>
          <t>PE26032601</t>
        </is>
      </c>
      <c r="J845" s="3" t="inlineStr">
        <is>
          <t>Module Diode Failure</t>
        </is>
      </c>
      <c r="K845" s="3" t="inlineStr">
        <is>
          <t>Sadla</t>
        </is>
      </c>
      <c r="L845" s="3" t="inlineStr">
        <is>
          <t>Gujarat</t>
        </is>
      </c>
      <c r="M845" s="9" t="inlineStr">
        <is>
          <t>NS</t>
        </is>
      </c>
      <c r="N845" s="3" t="inlineStr">
        <is>
          <t>Cold Soldering</t>
        </is>
      </c>
      <c r="O845" s="3" t="n">
        <v>570</v>
      </c>
      <c r="P845" s="9" t="inlineStr">
        <is>
          <t>NSMI24060095214</t>
        </is>
      </c>
      <c r="Q845" s="53">
        <f>MID(P845,5,2)</f>
        <v/>
      </c>
      <c r="R845" s="53">
        <f>MID(P845,7,2)</f>
        <v/>
      </c>
      <c r="S845" s="3" t="inlineStr">
        <is>
          <t>G2G</t>
        </is>
      </c>
      <c r="T845" s="3" t="inlineStr">
        <is>
          <t>P4</t>
        </is>
      </c>
      <c r="U845" s="3" t="inlineStr">
        <is>
          <t>N JB Cold Soldering</t>
        </is>
      </c>
      <c r="V845" s="3" t="inlineStr">
        <is>
          <t>Soldering</t>
        </is>
      </c>
      <c r="W845" s="3" t="inlineStr">
        <is>
          <t>Repair</t>
        </is>
      </c>
      <c r="X845" s="18" t="n">
        <v>46155</v>
      </c>
      <c r="Y845" s="3">
        <f>X845-A845</f>
        <v/>
      </c>
      <c r="Z845" s="18" t="n">
        <v>46155</v>
      </c>
      <c r="AA845" s="15" t="n"/>
      <c r="AB845" s="15" t="n"/>
    </row>
    <row r="846" hidden="1" s="233">
      <c r="A846" s="6" t="n">
        <v>46107</v>
      </c>
      <c r="B846" s="3" t="n">
        <v>2026</v>
      </c>
      <c r="C846" s="3" t="inlineStr">
        <is>
          <t>Blupine</t>
        </is>
      </c>
      <c r="D846" s="3" t="inlineStr">
        <is>
          <t>Utility and C&amp;I</t>
        </is>
      </c>
      <c r="E846" s="3" t="n"/>
      <c r="F846" s="3" t="inlineStr">
        <is>
          <t>Closed</t>
        </is>
      </c>
      <c r="G846" s="3" t="inlineStr">
        <is>
          <t>Chandrashekar Patidar</t>
        </is>
      </c>
      <c r="H846" s="3" t="n">
        <v>7879764773</v>
      </c>
      <c r="I846" s="11" t="inlineStr">
        <is>
          <t>PE26032601</t>
        </is>
      </c>
      <c r="J846" s="3" t="inlineStr">
        <is>
          <t>Module Diode Failure</t>
        </is>
      </c>
      <c r="K846" s="3" t="inlineStr">
        <is>
          <t>Sadla</t>
        </is>
      </c>
      <c r="L846" s="3" t="inlineStr">
        <is>
          <t>Gujarat</t>
        </is>
      </c>
      <c r="M846" s="9" t="inlineStr">
        <is>
          <t>NS</t>
        </is>
      </c>
      <c r="N846" s="3" t="inlineStr">
        <is>
          <t>Cold Soldering</t>
        </is>
      </c>
      <c r="O846" s="3" t="n">
        <v>570</v>
      </c>
      <c r="P846" s="9" t="inlineStr">
        <is>
          <t>NSMI24060078372</t>
        </is>
      </c>
      <c r="Q846" s="53">
        <f>MID(P846,5,2)</f>
        <v/>
      </c>
      <c r="R846" s="53">
        <f>MID(P846,7,2)</f>
        <v/>
      </c>
      <c r="S846" s="3" t="inlineStr">
        <is>
          <t>G2G</t>
        </is>
      </c>
      <c r="T846" s="3" t="inlineStr">
        <is>
          <t>P4</t>
        </is>
      </c>
      <c r="U846" s="3" t="inlineStr">
        <is>
          <t>N JB Cold Soldering</t>
        </is>
      </c>
      <c r="V846" s="3" t="inlineStr">
        <is>
          <t>Soldering</t>
        </is>
      </c>
      <c r="W846" s="3" t="inlineStr">
        <is>
          <t>Repair</t>
        </is>
      </c>
      <c r="X846" s="18" t="n">
        <v>46155</v>
      </c>
      <c r="Y846" s="3">
        <f>X846-A846</f>
        <v/>
      </c>
      <c r="Z846" s="18" t="n">
        <v>46155</v>
      </c>
      <c r="AA846" s="15" t="n"/>
      <c r="AB846" s="15" t="n"/>
    </row>
    <row r="847" hidden="1" s="233">
      <c r="A847" s="6" t="n">
        <v>46107</v>
      </c>
      <c r="B847" s="3" t="n">
        <v>2026</v>
      </c>
      <c r="C847" s="3" t="inlineStr">
        <is>
          <t>Blupine</t>
        </is>
      </c>
      <c r="D847" s="3" t="inlineStr">
        <is>
          <t>Utility and C&amp;I</t>
        </is>
      </c>
      <c r="E847" s="3" t="n"/>
      <c r="F847" s="3" t="inlineStr">
        <is>
          <t>Closed</t>
        </is>
      </c>
      <c r="G847" s="3" t="inlineStr">
        <is>
          <t>Chandrashekar Patidar</t>
        </is>
      </c>
      <c r="H847" s="3" t="n">
        <v>7879764773</v>
      </c>
      <c r="I847" s="11" t="inlineStr">
        <is>
          <t>PE26032601</t>
        </is>
      </c>
      <c r="J847" s="3" t="inlineStr">
        <is>
          <t>Module Diode Failure</t>
        </is>
      </c>
      <c r="K847" s="3" t="inlineStr">
        <is>
          <t>Sadla</t>
        </is>
      </c>
      <c r="L847" s="3" t="inlineStr">
        <is>
          <t>Gujarat</t>
        </is>
      </c>
      <c r="M847" s="9" t="inlineStr">
        <is>
          <t>PS</t>
        </is>
      </c>
      <c r="N847" s="3" t="inlineStr">
        <is>
          <t>Cold Soldering</t>
        </is>
      </c>
      <c r="O847" s="3" t="n">
        <v>570</v>
      </c>
      <c r="P847" s="9" t="inlineStr">
        <is>
          <t>NSMI24060078981</t>
        </is>
      </c>
      <c r="Q847" s="53">
        <f>MID(P847,5,2)</f>
        <v/>
      </c>
      <c r="R847" s="53">
        <f>MID(P847,7,2)</f>
        <v/>
      </c>
      <c r="S847" s="3" t="inlineStr">
        <is>
          <t>G2G</t>
        </is>
      </c>
      <c r="T847" s="3" t="inlineStr">
        <is>
          <t>P4</t>
        </is>
      </c>
      <c r="U847" s="3" t="inlineStr">
        <is>
          <t>P JB Cold Soldering</t>
        </is>
      </c>
      <c r="V847" s="3" t="inlineStr">
        <is>
          <t>Soldering</t>
        </is>
      </c>
      <c r="W847" s="3" t="inlineStr">
        <is>
          <t>Repair</t>
        </is>
      </c>
      <c r="X847" s="18" t="n">
        <v>46155</v>
      </c>
      <c r="Y847" s="3">
        <f>X847-A847</f>
        <v/>
      </c>
      <c r="Z847" s="18" t="n">
        <v>46155</v>
      </c>
      <c r="AA847" s="15" t="n"/>
      <c r="AB847" s="15" t="n"/>
    </row>
    <row r="848" hidden="1" s="233">
      <c r="A848" s="6" t="n">
        <v>46107</v>
      </c>
      <c r="B848" s="3" t="n">
        <v>2026</v>
      </c>
      <c r="C848" s="3" t="inlineStr">
        <is>
          <t>Blupine</t>
        </is>
      </c>
      <c r="D848" s="3" t="inlineStr">
        <is>
          <t>Utility and C&amp;I</t>
        </is>
      </c>
      <c r="E848" s="3" t="n"/>
      <c r="F848" s="3" t="inlineStr">
        <is>
          <t>Closed</t>
        </is>
      </c>
      <c r="G848" s="3" t="inlineStr">
        <is>
          <t>Chandrashekar Patidar</t>
        </is>
      </c>
      <c r="H848" s="3" t="n">
        <v>7879764773</v>
      </c>
      <c r="I848" s="11" t="inlineStr">
        <is>
          <t>PE26032601</t>
        </is>
      </c>
      <c r="J848" s="3" t="inlineStr">
        <is>
          <t>Module Diode Failure</t>
        </is>
      </c>
      <c r="K848" s="3" t="inlineStr">
        <is>
          <t>Sadla</t>
        </is>
      </c>
      <c r="L848" s="3" t="inlineStr">
        <is>
          <t>Gujarat</t>
        </is>
      </c>
      <c r="M848" s="9" t="inlineStr">
        <is>
          <t>NS</t>
        </is>
      </c>
      <c r="N848" s="3" t="inlineStr">
        <is>
          <t>Cold Soldering</t>
        </is>
      </c>
      <c r="O848" s="3" t="n">
        <v>570</v>
      </c>
      <c r="P848" s="9" t="inlineStr">
        <is>
          <t>NSMI24060078317</t>
        </is>
      </c>
      <c r="Q848" s="53">
        <f>MID(P848,5,2)</f>
        <v/>
      </c>
      <c r="R848" s="53">
        <f>MID(P848,7,2)</f>
        <v/>
      </c>
      <c r="S848" s="3" t="inlineStr">
        <is>
          <t>G2G</t>
        </is>
      </c>
      <c r="T848" s="3" t="inlineStr">
        <is>
          <t>P4</t>
        </is>
      </c>
      <c r="U848" s="3" t="inlineStr">
        <is>
          <t>N JB Cold Soldering</t>
        </is>
      </c>
      <c r="V848" s="3" t="inlineStr">
        <is>
          <t>Soldering</t>
        </is>
      </c>
      <c r="W848" s="3" t="inlineStr">
        <is>
          <t>Repair</t>
        </is>
      </c>
      <c r="X848" s="18" t="n">
        <v>46155</v>
      </c>
      <c r="Y848" s="3">
        <f>X848-A848</f>
        <v/>
      </c>
      <c r="Z848" s="18" t="n">
        <v>46155</v>
      </c>
      <c r="AA848" s="15" t="n"/>
      <c r="AB848" s="15" t="n"/>
    </row>
    <row r="849" hidden="1" s="233">
      <c r="A849" s="6" t="n">
        <v>46107</v>
      </c>
      <c r="B849" s="3" t="n">
        <v>2026</v>
      </c>
      <c r="C849" s="3" t="inlineStr">
        <is>
          <t>Blupine</t>
        </is>
      </c>
      <c r="D849" s="3" t="inlineStr">
        <is>
          <t>Utility and C&amp;I</t>
        </is>
      </c>
      <c r="E849" s="3" t="n"/>
      <c r="F849" s="3" t="inlineStr">
        <is>
          <t>Closed</t>
        </is>
      </c>
      <c r="G849" s="3" t="inlineStr">
        <is>
          <t>Chandrashekar Patidar</t>
        </is>
      </c>
      <c r="H849" s="3" t="n">
        <v>7879764773</v>
      </c>
      <c r="I849" s="11" t="inlineStr">
        <is>
          <t>PE26032601</t>
        </is>
      </c>
      <c r="J849" s="3" t="inlineStr">
        <is>
          <t>Module Diode Failure</t>
        </is>
      </c>
      <c r="K849" s="3" t="inlineStr">
        <is>
          <t>Sadla</t>
        </is>
      </c>
      <c r="L849" s="3" t="inlineStr">
        <is>
          <t>Gujarat</t>
        </is>
      </c>
      <c r="M849" s="9" t="inlineStr">
        <is>
          <t>NS</t>
        </is>
      </c>
      <c r="N849" s="3" t="inlineStr">
        <is>
          <t>Cold Soldering</t>
        </is>
      </c>
      <c r="O849" s="3" t="n">
        <v>570</v>
      </c>
      <c r="P849" s="9" t="inlineStr">
        <is>
          <t>NSMI24060138191</t>
        </is>
      </c>
      <c r="Q849" s="53">
        <f>MID(P849,5,2)</f>
        <v/>
      </c>
      <c r="R849" s="53">
        <f>MID(P849,7,2)</f>
        <v/>
      </c>
      <c r="S849" s="3" t="inlineStr">
        <is>
          <t>G2G</t>
        </is>
      </c>
      <c r="T849" s="3" t="inlineStr">
        <is>
          <t>P4</t>
        </is>
      </c>
      <c r="U849" s="3" t="inlineStr">
        <is>
          <t>N JB Cold Soldering</t>
        </is>
      </c>
      <c r="V849" s="3" t="inlineStr">
        <is>
          <t>Soldering</t>
        </is>
      </c>
      <c r="W849" s="3" t="inlineStr">
        <is>
          <t>Repair</t>
        </is>
      </c>
      <c r="X849" s="18" t="n">
        <v>46155</v>
      </c>
      <c r="Y849" s="3">
        <f>X849-A849</f>
        <v/>
      </c>
      <c r="Z849" s="18" t="n">
        <v>46155</v>
      </c>
      <c r="AA849" s="15" t="n"/>
      <c r="AB849" s="15" t="n"/>
    </row>
    <row r="850" hidden="1" s="233">
      <c r="A850" s="6" t="n">
        <v>46107</v>
      </c>
      <c r="B850" s="3" t="n">
        <v>2026</v>
      </c>
      <c r="C850" s="3" t="inlineStr">
        <is>
          <t>Blupine</t>
        </is>
      </c>
      <c r="D850" s="3" t="inlineStr">
        <is>
          <t>Utility and C&amp;I</t>
        </is>
      </c>
      <c r="E850" s="3" t="n"/>
      <c r="F850" s="3" t="inlineStr">
        <is>
          <t>Closed</t>
        </is>
      </c>
      <c r="G850" s="3" t="inlineStr">
        <is>
          <t>Chandrashekar Patidar</t>
        </is>
      </c>
      <c r="H850" s="3" t="n">
        <v>7879764773</v>
      </c>
      <c r="I850" s="11" t="inlineStr">
        <is>
          <t>PE26032601</t>
        </is>
      </c>
      <c r="J850" s="3" t="inlineStr">
        <is>
          <t>Module Diode Failure</t>
        </is>
      </c>
      <c r="K850" s="3" t="inlineStr">
        <is>
          <t>Sadla</t>
        </is>
      </c>
      <c r="L850" s="3" t="inlineStr">
        <is>
          <t>Gujarat</t>
        </is>
      </c>
      <c r="M850" s="9" t="inlineStr">
        <is>
          <t>NS</t>
        </is>
      </c>
      <c r="N850" s="3" t="inlineStr">
        <is>
          <t>Cold Soldering</t>
        </is>
      </c>
      <c r="O850" s="3" t="n">
        <v>570</v>
      </c>
      <c r="P850" s="9" t="inlineStr">
        <is>
          <t>NSMI24060091843</t>
        </is>
      </c>
      <c r="Q850" s="53">
        <f>MID(P850,5,2)</f>
        <v/>
      </c>
      <c r="R850" s="53">
        <f>MID(P850,7,2)</f>
        <v/>
      </c>
      <c r="S850" s="3" t="inlineStr">
        <is>
          <t>G2G</t>
        </is>
      </c>
      <c r="T850" s="3" t="inlineStr">
        <is>
          <t>P4</t>
        </is>
      </c>
      <c r="U850" s="3" t="inlineStr">
        <is>
          <t>N JB Cold Soldering</t>
        </is>
      </c>
      <c r="V850" s="3" t="inlineStr">
        <is>
          <t>Soldering</t>
        </is>
      </c>
      <c r="W850" s="3" t="inlineStr">
        <is>
          <t>Repair</t>
        </is>
      </c>
      <c r="X850" s="18" t="n">
        <v>46155</v>
      </c>
      <c r="Y850" s="3">
        <f>X850-A850</f>
        <v/>
      </c>
      <c r="Z850" s="18" t="n">
        <v>46155</v>
      </c>
      <c r="AA850" s="15" t="n"/>
      <c r="AB850" s="15" t="n"/>
    </row>
    <row r="851" hidden="1" s="233">
      <c r="A851" s="6" t="n">
        <v>46107</v>
      </c>
      <c r="B851" s="3" t="n">
        <v>2026</v>
      </c>
      <c r="C851" s="3" t="inlineStr">
        <is>
          <t>Blupine</t>
        </is>
      </c>
      <c r="D851" s="3" t="inlineStr">
        <is>
          <t>Utility and C&amp;I</t>
        </is>
      </c>
      <c r="E851" s="3" t="n"/>
      <c r="F851" s="3" t="inlineStr">
        <is>
          <t>Closed</t>
        </is>
      </c>
      <c r="G851" s="3" t="inlineStr">
        <is>
          <t>Chandrashekar Patidar</t>
        </is>
      </c>
      <c r="H851" s="3" t="n">
        <v>7879764773</v>
      </c>
      <c r="I851" s="11" t="inlineStr">
        <is>
          <t>PE26032601</t>
        </is>
      </c>
      <c r="J851" s="3" t="inlineStr">
        <is>
          <t>Module Diode Failure</t>
        </is>
      </c>
      <c r="K851" s="3" t="inlineStr">
        <is>
          <t>Sadla</t>
        </is>
      </c>
      <c r="L851" s="3" t="inlineStr">
        <is>
          <t>Gujarat</t>
        </is>
      </c>
      <c r="M851" s="9" t="inlineStr">
        <is>
          <t>NS</t>
        </is>
      </c>
      <c r="N851" s="3" t="inlineStr">
        <is>
          <t>Cold Soldering</t>
        </is>
      </c>
      <c r="O851" s="3" t="n">
        <v>570</v>
      </c>
      <c r="P851" s="9" t="inlineStr">
        <is>
          <t>NSMI24060091806</t>
        </is>
      </c>
      <c r="Q851" s="53">
        <f>MID(P851,5,2)</f>
        <v/>
      </c>
      <c r="R851" s="53">
        <f>MID(P851,7,2)</f>
        <v/>
      </c>
      <c r="S851" s="3" t="inlineStr">
        <is>
          <t>G2G</t>
        </is>
      </c>
      <c r="T851" s="3" t="inlineStr">
        <is>
          <t>P4</t>
        </is>
      </c>
      <c r="U851" s="3" t="inlineStr">
        <is>
          <t>N JB Cold Soldering</t>
        </is>
      </c>
      <c r="V851" s="3" t="inlineStr">
        <is>
          <t>Soldering</t>
        </is>
      </c>
      <c r="W851" s="3" t="inlineStr">
        <is>
          <t>Repair</t>
        </is>
      </c>
      <c r="X851" s="18" t="n">
        <v>46155</v>
      </c>
      <c r="Y851" s="3">
        <f>X851-A851</f>
        <v/>
      </c>
      <c r="Z851" s="18" t="n">
        <v>46155</v>
      </c>
      <c r="AA851" s="15" t="n"/>
      <c r="AB851" s="15" t="n"/>
    </row>
    <row r="852" hidden="1" s="233">
      <c r="A852" s="6" t="n">
        <v>46107</v>
      </c>
      <c r="B852" s="3" t="n">
        <v>2026</v>
      </c>
      <c r="C852" s="3" t="inlineStr">
        <is>
          <t>Blupine</t>
        </is>
      </c>
      <c r="D852" s="3" t="inlineStr">
        <is>
          <t>Utility and C&amp;I</t>
        </is>
      </c>
      <c r="E852" s="3" t="n"/>
      <c r="F852" s="3" t="inlineStr">
        <is>
          <t>Closed</t>
        </is>
      </c>
      <c r="G852" s="3" t="inlineStr">
        <is>
          <t>Chandrashekar Patidar</t>
        </is>
      </c>
      <c r="H852" s="3" t="n">
        <v>7879764773</v>
      </c>
      <c r="I852" s="11" t="inlineStr">
        <is>
          <t>PE26032601</t>
        </is>
      </c>
      <c r="J852" s="3" t="inlineStr">
        <is>
          <t>Module Diode Failure</t>
        </is>
      </c>
      <c r="K852" s="3" t="inlineStr">
        <is>
          <t>Sadla</t>
        </is>
      </c>
      <c r="L852" s="3" t="inlineStr">
        <is>
          <t>Gujarat</t>
        </is>
      </c>
      <c r="M852" s="9" t="inlineStr">
        <is>
          <t>NR</t>
        </is>
      </c>
      <c r="N852" s="3" t="inlineStr">
        <is>
          <t>JB Issue</t>
        </is>
      </c>
      <c r="O852" s="3" t="n">
        <v>570</v>
      </c>
      <c r="P852" s="9" t="inlineStr">
        <is>
          <t>NSMI24060091790</t>
        </is>
      </c>
      <c r="Q852" s="53">
        <f>MID(P852,5,2)</f>
        <v/>
      </c>
      <c r="R852" s="53">
        <f>MID(P852,7,2)</f>
        <v/>
      </c>
      <c r="S852" s="3" t="inlineStr">
        <is>
          <t>G2G</t>
        </is>
      </c>
      <c r="T852" s="3" t="inlineStr">
        <is>
          <t>P4</t>
        </is>
      </c>
      <c r="U852" s="3" t="inlineStr">
        <is>
          <t>N JB Issue</t>
        </is>
      </c>
      <c r="V852" s="3" t="inlineStr">
        <is>
          <t>JB Changed</t>
        </is>
      </c>
      <c r="W852" s="3" t="inlineStr">
        <is>
          <t>Repair</t>
        </is>
      </c>
      <c r="X852" s="18" t="n">
        <v>46155</v>
      </c>
      <c r="Y852" s="3">
        <f>X852-A852</f>
        <v/>
      </c>
      <c r="Z852" s="18" t="n">
        <v>46155</v>
      </c>
      <c r="AA852" s="15" t="n"/>
      <c r="AB852" s="15" t="n"/>
    </row>
    <row r="853" hidden="1" s="233">
      <c r="A853" s="6" t="n">
        <v>46107</v>
      </c>
      <c r="B853" s="3" t="n">
        <v>2026</v>
      </c>
      <c r="C853" s="3" t="inlineStr">
        <is>
          <t>Blupine</t>
        </is>
      </c>
      <c r="D853" s="3" t="inlineStr">
        <is>
          <t>Utility and C&amp;I</t>
        </is>
      </c>
      <c r="E853" s="3" t="n"/>
      <c r="F853" s="3" t="inlineStr">
        <is>
          <t>Closed</t>
        </is>
      </c>
      <c r="G853" s="3" t="inlineStr">
        <is>
          <t>Chandrashekar Patidar</t>
        </is>
      </c>
      <c r="H853" s="3" t="n">
        <v>7879764773</v>
      </c>
      <c r="I853" s="11" t="inlineStr">
        <is>
          <t>PE26032601</t>
        </is>
      </c>
      <c r="J853" s="3" t="inlineStr">
        <is>
          <t>Module Diode Failure</t>
        </is>
      </c>
      <c r="K853" s="3" t="inlineStr">
        <is>
          <t>Sadla</t>
        </is>
      </c>
      <c r="L853" s="3" t="inlineStr">
        <is>
          <t>Gujarat</t>
        </is>
      </c>
      <c r="M853" s="9" t="inlineStr">
        <is>
          <t>NS</t>
        </is>
      </c>
      <c r="N853" s="3" t="inlineStr">
        <is>
          <t>Cold Soldering</t>
        </is>
      </c>
      <c r="O853" s="3" t="n">
        <v>570</v>
      </c>
      <c r="P853" s="9" t="inlineStr">
        <is>
          <t>NSMI24060091878</t>
        </is>
      </c>
      <c r="Q853" s="53">
        <f>MID(P853,5,2)</f>
        <v/>
      </c>
      <c r="R853" s="53">
        <f>MID(P853,7,2)</f>
        <v/>
      </c>
      <c r="S853" s="3" t="inlineStr">
        <is>
          <t>G2G</t>
        </is>
      </c>
      <c r="T853" s="3" t="inlineStr">
        <is>
          <t>P4</t>
        </is>
      </c>
      <c r="U853" s="3" t="inlineStr">
        <is>
          <t>N JB Cold Soldering</t>
        </is>
      </c>
      <c r="V853" s="3" t="inlineStr">
        <is>
          <t>Soldering</t>
        </is>
      </c>
      <c r="W853" s="3" t="inlineStr">
        <is>
          <t>Repair</t>
        </is>
      </c>
      <c r="X853" s="18" t="n">
        <v>46155</v>
      </c>
      <c r="Y853" s="3">
        <f>X853-A853</f>
        <v/>
      </c>
      <c r="Z853" s="18" t="n">
        <v>46155</v>
      </c>
      <c r="AA853" s="15" t="n"/>
      <c r="AB853" s="15" t="n"/>
    </row>
    <row r="854" hidden="1" s="233">
      <c r="A854" s="6" t="n">
        <v>46107</v>
      </c>
      <c r="B854" s="3" t="n">
        <v>2026</v>
      </c>
      <c r="C854" s="3" t="inlineStr">
        <is>
          <t>Blupine</t>
        </is>
      </c>
      <c r="D854" s="3" t="inlineStr">
        <is>
          <t>Utility and C&amp;I</t>
        </is>
      </c>
      <c r="E854" s="3" t="n"/>
      <c r="F854" s="3" t="inlineStr">
        <is>
          <t>Closed</t>
        </is>
      </c>
      <c r="G854" s="3" t="inlineStr">
        <is>
          <t>Chandrashekar Patidar</t>
        </is>
      </c>
      <c r="H854" s="3" t="n">
        <v>7879764773</v>
      </c>
      <c r="I854" s="11" t="inlineStr">
        <is>
          <t>PE26032601</t>
        </is>
      </c>
      <c r="J854" s="3" t="inlineStr">
        <is>
          <t>Module Diode Failure</t>
        </is>
      </c>
      <c r="K854" s="3" t="inlineStr">
        <is>
          <t>Sadla</t>
        </is>
      </c>
      <c r="L854" s="3" t="inlineStr">
        <is>
          <t>Gujarat</t>
        </is>
      </c>
      <c r="M854" s="9" t="inlineStr">
        <is>
          <t>NS</t>
        </is>
      </c>
      <c r="N854" s="3" t="inlineStr">
        <is>
          <t>Cold Soldering</t>
        </is>
      </c>
      <c r="O854" s="3" t="n">
        <v>570</v>
      </c>
      <c r="P854" s="9" t="inlineStr">
        <is>
          <t>NSMI24060098541</t>
        </is>
      </c>
      <c r="Q854" s="53">
        <f>MID(P854,5,2)</f>
        <v/>
      </c>
      <c r="R854" s="53">
        <f>MID(P854,7,2)</f>
        <v/>
      </c>
      <c r="S854" s="3" t="inlineStr">
        <is>
          <t>G2G</t>
        </is>
      </c>
      <c r="T854" s="3" t="inlineStr">
        <is>
          <t>P4</t>
        </is>
      </c>
      <c r="U854" s="3" t="inlineStr">
        <is>
          <t>N JB Cold Soldering</t>
        </is>
      </c>
      <c r="V854" s="3" t="inlineStr">
        <is>
          <t>Soldering</t>
        </is>
      </c>
      <c r="W854" s="3" t="inlineStr">
        <is>
          <t>Repair</t>
        </is>
      </c>
      <c r="X854" s="18" t="n">
        <v>46155</v>
      </c>
      <c r="Y854" s="3">
        <f>X854-A854</f>
        <v/>
      </c>
      <c r="Z854" s="18" t="n">
        <v>46155</v>
      </c>
      <c r="AA854" s="15" t="n"/>
      <c r="AB854" s="15" t="n"/>
    </row>
    <row r="855" hidden="1" s="233">
      <c r="A855" s="6" t="n">
        <v>46107</v>
      </c>
      <c r="B855" s="3" t="n">
        <v>2026</v>
      </c>
      <c r="C855" s="3" t="inlineStr">
        <is>
          <t>Blupine</t>
        </is>
      </c>
      <c r="D855" s="3" t="inlineStr">
        <is>
          <t>Utility and C&amp;I</t>
        </is>
      </c>
      <c r="E855" s="3" t="n"/>
      <c r="F855" s="3" t="inlineStr">
        <is>
          <t>Closed</t>
        </is>
      </c>
      <c r="G855" s="3" t="inlineStr">
        <is>
          <t>Chandrashekar Patidar</t>
        </is>
      </c>
      <c r="H855" s="3" t="n">
        <v>7879764773</v>
      </c>
      <c r="I855" s="11" t="inlineStr">
        <is>
          <t>PE26032601</t>
        </is>
      </c>
      <c r="J855" s="3" t="inlineStr">
        <is>
          <t>Module Diode Failure</t>
        </is>
      </c>
      <c r="K855" s="3" t="inlineStr">
        <is>
          <t>Sadla</t>
        </is>
      </c>
      <c r="L855" s="3" t="inlineStr">
        <is>
          <t>Gujarat</t>
        </is>
      </c>
      <c r="M855" s="9" t="inlineStr">
        <is>
          <t>NR</t>
        </is>
      </c>
      <c r="N855" s="3" t="inlineStr">
        <is>
          <t>JB Issue</t>
        </is>
      </c>
      <c r="O855" s="3" t="n">
        <v>570</v>
      </c>
      <c r="P855" s="9" t="inlineStr">
        <is>
          <t>NSMI24060098510</t>
        </is>
      </c>
      <c r="Q855" s="53">
        <f>MID(P855,5,2)</f>
        <v/>
      </c>
      <c r="R855" s="53">
        <f>MID(P855,7,2)</f>
        <v/>
      </c>
      <c r="S855" s="3" t="inlineStr">
        <is>
          <t>G2G</t>
        </is>
      </c>
      <c r="T855" s="3" t="inlineStr">
        <is>
          <t>P4</t>
        </is>
      </c>
      <c r="U855" s="3" t="inlineStr">
        <is>
          <t>N JB Issue</t>
        </is>
      </c>
      <c r="V855" s="3" t="inlineStr">
        <is>
          <t>JB Changed</t>
        </is>
      </c>
      <c r="W855" s="3" t="inlineStr">
        <is>
          <t>Repair</t>
        </is>
      </c>
      <c r="X855" s="18" t="n">
        <v>46155</v>
      </c>
      <c r="Y855" s="3">
        <f>X855-A855</f>
        <v/>
      </c>
      <c r="Z855" s="18" t="n">
        <v>46155</v>
      </c>
      <c r="AA855" s="15" t="n"/>
      <c r="AB855" s="15" t="n"/>
    </row>
    <row r="856" hidden="1" s="233">
      <c r="A856" s="6" t="n">
        <v>46107</v>
      </c>
      <c r="B856" s="3" t="n">
        <v>2026</v>
      </c>
      <c r="C856" s="3" t="inlineStr">
        <is>
          <t>Blupine</t>
        </is>
      </c>
      <c r="D856" s="3" t="inlineStr">
        <is>
          <t>Utility and C&amp;I</t>
        </is>
      </c>
      <c r="E856" s="3" t="n"/>
      <c r="F856" s="3" t="inlineStr">
        <is>
          <t>Closed</t>
        </is>
      </c>
      <c r="G856" s="3" t="inlineStr">
        <is>
          <t>Chandrashekar Patidar</t>
        </is>
      </c>
      <c r="H856" s="3" t="n">
        <v>7879764773</v>
      </c>
      <c r="I856" s="11" t="inlineStr">
        <is>
          <t>PE26032601</t>
        </is>
      </c>
      <c r="J856" s="3" t="inlineStr">
        <is>
          <t>Module Diode Failure</t>
        </is>
      </c>
      <c r="K856" s="3" t="inlineStr">
        <is>
          <t>Sadla</t>
        </is>
      </c>
      <c r="L856" s="3" t="inlineStr">
        <is>
          <t>Gujarat</t>
        </is>
      </c>
      <c r="M856" s="9" t="inlineStr">
        <is>
          <t>NS</t>
        </is>
      </c>
      <c r="N856" s="3" t="inlineStr">
        <is>
          <t>Cold Soldering</t>
        </is>
      </c>
      <c r="O856" s="3" t="n">
        <v>570</v>
      </c>
      <c r="P856" s="9" t="inlineStr">
        <is>
          <t>NSMI24050066453</t>
        </is>
      </c>
      <c r="Q856" s="53">
        <f>MID(P856,5,2)</f>
        <v/>
      </c>
      <c r="R856" s="53">
        <f>MID(P856,7,2)</f>
        <v/>
      </c>
      <c r="S856" s="3" t="inlineStr">
        <is>
          <t>G2G</t>
        </is>
      </c>
      <c r="T856" s="3" t="inlineStr">
        <is>
          <t>P4</t>
        </is>
      </c>
      <c r="U856" s="3" t="inlineStr">
        <is>
          <t>N JB Cold Soldering</t>
        </is>
      </c>
      <c r="V856" s="3" t="inlineStr">
        <is>
          <t>Soldering</t>
        </is>
      </c>
      <c r="W856" s="3" t="inlineStr">
        <is>
          <t>Repair</t>
        </is>
      </c>
      <c r="X856" s="18" t="n">
        <v>46155</v>
      </c>
      <c r="Y856" s="3">
        <f>X856-A856</f>
        <v/>
      </c>
      <c r="Z856" s="18" t="n">
        <v>46155</v>
      </c>
      <c r="AA856" s="15" t="n"/>
      <c r="AB856" s="15" t="n"/>
    </row>
    <row r="857" hidden="1" s="233">
      <c r="A857" s="6" t="n">
        <v>46107</v>
      </c>
      <c r="B857" s="3" t="n">
        <v>2026</v>
      </c>
      <c r="C857" s="3" t="inlineStr">
        <is>
          <t>Blupine</t>
        </is>
      </c>
      <c r="D857" s="3" t="inlineStr">
        <is>
          <t>Utility and C&amp;I</t>
        </is>
      </c>
      <c r="E857" s="3" t="n"/>
      <c r="F857" s="3" t="inlineStr">
        <is>
          <t>Closed</t>
        </is>
      </c>
      <c r="G857" s="3" t="inlineStr">
        <is>
          <t>Chandrashekar Patidar</t>
        </is>
      </c>
      <c r="H857" s="3" t="n">
        <v>7879764773</v>
      </c>
      <c r="I857" s="11" t="inlineStr">
        <is>
          <t>PE26032601</t>
        </is>
      </c>
      <c r="J857" s="3" t="inlineStr">
        <is>
          <t>Module Diode Failure</t>
        </is>
      </c>
      <c r="K857" s="3" t="inlineStr">
        <is>
          <t>Sadla</t>
        </is>
      </c>
      <c r="L857" s="3" t="inlineStr">
        <is>
          <t>Gujarat</t>
        </is>
      </c>
      <c r="M857" s="9" t="inlineStr">
        <is>
          <t>NS</t>
        </is>
      </c>
      <c r="N857" s="3" t="inlineStr">
        <is>
          <t>Cold Soldering</t>
        </is>
      </c>
      <c r="O857" s="3" t="n">
        <v>570</v>
      </c>
      <c r="P857" s="9" t="inlineStr">
        <is>
          <t>NSMI24060078356</t>
        </is>
      </c>
      <c r="Q857" s="53">
        <f>MID(P857,5,2)</f>
        <v/>
      </c>
      <c r="R857" s="53">
        <f>MID(P857,7,2)</f>
        <v/>
      </c>
      <c r="S857" s="3" t="inlineStr">
        <is>
          <t>G2G</t>
        </is>
      </c>
      <c r="T857" s="3" t="inlineStr">
        <is>
          <t>P4</t>
        </is>
      </c>
      <c r="U857" s="3" t="inlineStr">
        <is>
          <t>N JB Cold Soldering</t>
        </is>
      </c>
      <c r="V857" s="3" t="inlineStr">
        <is>
          <t>Soldering</t>
        </is>
      </c>
      <c r="W857" s="3" t="inlineStr">
        <is>
          <t>Repair</t>
        </is>
      </c>
      <c r="X857" s="18" t="n">
        <v>46155</v>
      </c>
      <c r="Y857" s="3">
        <f>X857-A857</f>
        <v/>
      </c>
      <c r="Z857" s="18" t="n">
        <v>46155</v>
      </c>
      <c r="AA857" s="15" t="n"/>
      <c r="AB857" s="15" t="n"/>
    </row>
    <row r="858" hidden="1" s="233">
      <c r="A858" s="6" t="n">
        <v>46107</v>
      </c>
      <c r="B858" s="3" t="n">
        <v>2026</v>
      </c>
      <c r="C858" s="3" t="inlineStr">
        <is>
          <t>Blupine</t>
        </is>
      </c>
      <c r="D858" s="3" t="inlineStr">
        <is>
          <t>Utility and C&amp;I</t>
        </is>
      </c>
      <c r="E858" s="3" t="n"/>
      <c r="F858" s="3" t="inlineStr">
        <is>
          <t>Closed</t>
        </is>
      </c>
      <c r="G858" s="3" t="inlineStr">
        <is>
          <t>Chandrashekar Patidar</t>
        </is>
      </c>
      <c r="H858" s="3" t="n">
        <v>7879764773</v>
      </c>
      <c r="I858" s="11" t="inlineStr">
        <is>
          <t>PE26032601</t>
        </is>
      </c>
      <c r="J858" s="3" t="inlineStr">
        <is>
          <t>Module Diode Failure</t>
        </is>
      </c>
      <c r="K858" s="3" t="inlineStr">
        <is>
          <t>Sadla</t>
        </is>
      </c>
      <c r="L858" s="3" t="inlineStr">
        <is>
          <t>Gujarat</t>
        </is>
      </c>
      <c r="M858" s="9" t="inlineStr">
        <is>
          <t>PS</t>
        </is>
      </c>
      <c r="N858" s="3" t="inlineStr">
        <is>
          <t>Cold Soldering</t>
        </is>
      </c>
      <c r="O858" s="3" t="n">
        <v>570</v>
      </c>
      <c r="P858" s="9" t="inlineStr">
        <is>
          <t>NSMI24060079077</t>
        </is>
      </c>
      <c r="Q858" s="53">
        <f>MID(P858,5,2)</f>
        <v/>
      </c>
      <c r="R858" s="53">
        <f>MID(P858,7,2)</f>
        <v/>
      </c>
      <c r="S858" s="3" t="inlineStr">
        <is>
          <t>G2G</t>
        </is>
      </c>
      <c r="T858" s="3" t="inlineStr">
        <is>
          <t>P4</t>
        </is>
      </c>
      <c r="U858" s="3" t="inlineStr">
        <is>
          <t>P JB Cold Soldering</t>
        </is>
      </c>
      <c r="V858" s="3" t="inlineStr">
        <is>
          <t>Soldering</t>
        </is>
      </c>
      <c r="W858" s="3" t="inlineStr">
        <is>
          <t>Repair</t>
        </is>
      </c>
      <c r="X858" s="18" t="n">
        <v>46155</v>
      </c>
      <c r="Y858" s="3">
        <f>X858-A858</f>
        <v/>
      </c>
      <c r="Z858" s="18" t="n">
        <v>46155</v>
      </c>
      <c r="AA858" s="15" t="n"/>
      <c r="AB858" s="15" t="n"/>
    </row>
    <row r="859" hidden="1" s="233">
      <c r="A859" s="6" t="n">
        <v>46107</v>
      </c>
      <c r="B859" s="3" t="n">
        <v>2026</v>
      </c>
      <c r="C859" s="3" t="inlineStr">
        <is>
          <t>Blupine</t>
        </is>
      </c>
      <c r="D859" s="3" t="inlineStr">
        <is>
          <t>Utility and C&amp;I</t>
        </is>
      </c>
      <c r="E859" s="3" t="n"/>
      <c r="F859" s="3" t="inlineStr">
        <is>
          <t>Closed</t>
        </is>
      </c>
      <c r="G859" s="3" t="inlineStr">
        <is>
          <t>Chandrashekar Patidar</t>
        </is>
      </c>
      <c r="H859" s="3" t="n">
        <v>7879764773</v>
      </c>
      <c r="I859" s="11" t="inlineStr">
        <is>
          <t>PE26032601</t>
        </is>
      </c>
      <c r="J859" s="3" t="inlineStr">
        <is>
          <t>Module Diode Failure</t>
        </is>
      </c>
      <c r="K859" s="3" t="inlineStr">
        <is>
          <t>Sadla</t>
        </is>
      </c>
      <c r="L859" s="3" t="inlineStr">
        <is>
          <t>Gujarat</t>
        </is>
      </c>
      <c r="M859" s="9" t="inlineStr">
        <is>
          <t>NS</t>
        </is>
      </c>
      <c r="N859" s="3" t="inlineStr">
        <is>
          <t>Cold Soldering</t>
        </is>
      </c>
      <c r="O859" s="3" t="n">
        <v>570</v>
      </c>
      <c r="P859" s="9" t="inlineStr">
        <is>
          <t>NSMI24060081012</t>
        </is>
      </c>
      <c r="Q859" s="53">
        <f>MID(P859,5,2)</f>
        <v/>
      </c>
      <c r="R859" s="53">
        <f>MID(P859,7,2)</f>
        <v/>
      </c>
      <c r="S859" s="3" t="inlineStr">
        <is>
          <t>G2G</t>
        </is>
      </c>
      <c r="T859" s="3" t="inlineStr">
        <is>
          <t>P4</t>
        </is>
      </c>
      <c r="U859" s="3" t="inlineStr">
        <is>
          <t>N JB Cold Soldering</t>
        </is>
      </c>
      <c r="V859" s="3" t="inlineStr">
        <is>
          <t>Soldering</t>
        </is>
      </c>
      <c r="W859" s="3" t="inlineStr">
        <is>
          <t>Repair</t>
        </is>
      </c>
      <c r="X859" s="18" t="n">
        <v>46155</v>
      </c>
      <c r="Y859" s="3">
        <f>X859-A859</f>
        <v/>
      </c>
      <c r="Z859" s="18" t="n">
        <v>46155</v>
      </c>
      <c r="AA859" s="15" t="n"/>
      <c r="AB859" s="15" t="n"/>
    </row>
    <row r="860" hidden="1" s="233">
      <c r="A860" s="6" t="n">
        <v>46107</v>
      </c>
      <c r="B860" s="3" t="n">
        <v>2026</v>
      </c>
      <c r="C860" s="3" t="inlineStr">
        <is>
          <t>Blupine</t>
        </is>
      </c>
      <c r="D860" s="3" t="inlineStr">
        <is>
          <t>Utility and C&amp;I</t>
        </is>
      </c>
      <c r="E860" s="3" t="n"/>
      <c r="F860" s="3" t="inlineStr">
        <is>
          <t>Closed</t>
        </is>
      </c>
      <c r="G860" s="3" t="inlineStr">
        <is>
          <t>Chandrashekar Patidar</t>
        </is>
      </c>
      <c r="H860" s="3" t="n">
        <v>7879764773</v>
      </c>
      <c r="I860" s="11" t="inlineStr">
        <is>
          <t>PE26032601</t>
        </is>
      </c>
      <c r="J860" s="3" t="inlineStr">
        <is>
          <t>Module Diode Failure</t>
        </is>
      </c>
      <c r="K860" s="3" t="inlineStr">
        <is>
          <t>Sadla</t>
        </is>
      </c>
      <c r="L860" s="3" t="inlineStr">
        <is>
          <t>Gujarat</t>
        </is>
      </c>
      <c r="M860" s="9" t="inlineStr">
        <is>
          <t>NS</t>
        </is>
      </c>
      <c r="N860" s="3" t="inlineStr">
        <is>
          <t>Cold Soldering</t>
        </is>
      </c>
      <c r="O860" s="3" t="n">
        <v>570</v>
      </c>
      <c r="P860" s="9" t="inlineStr">
        <is>
          <t>NSMI24060096477</t>
        </is>
      </c>
      <c r="Q860" s="53">
        <f>MID(P860,5,2)</f>
        <v/>
      </c>
      <c r="R860" s="53">
        <f>MID(P860,7,2)</f>
        <v/>
      </c>
      <c r="S860" s="3" t="inlineStr">
        <is>
          <t>G2G</t>
        </is>
      </c>
      <c r="T860" s="3" t="inlineStr">
        <is>
          <t>P4</t>
        </is>
      </c>
      <c r="U860" s="3" t="inlineStr">
        <is>
          <t>N JB Cold Soldering</t>
        </is>
      </c>
      <c r="V860" s="3" t="inlineStr">
        <is>
          <t>Soldering</t>
        </is>
      </c>
      <c r="W860" s="3" t="inlineStr">
        <is>
          <t>Repair</t>
        </is>
      </c>
      <c r="X860" s="18" t="n">
        <v>46155</v>
      </c>
      <c r="Y860" s="3">
        <f>X860-A860</f>
        <v/>
      </c>
      <c r="Z860" s="18" t="n">
        <v>46155</v>
      </c>
      <c r="AA860" s="15" t="n"/>
      <c r="AB860" s="15" t="n"/>
    </row>
    <row r="861" hidden="1" s="233">
      <c r="A861" s="6" t="n">
        <v>46107</v>
      </c>
      <c r="B861" s="3" t="n">
        <v>2026</v>
      </c>
      <c r="C861" s="3" t="inlineStr">
        <is>
          <t>Blupine</t>
        </is>
      </c>
      <c r="D861" s="3" t="inlineStr">
        <is>
          <t>Utility and C&amp;I</t>
        </is>
      </c>
      <c r="E861" s="3" t="n"/>
      <c r="F861" s="3" t="inlineStr">
        <is>
          <t>Closed</t>
        </is>
      </c>
      <c r="G861" s="3" t="inlineStr">
        <is>
          <t>Chandrashekar Patidar</t>
        </is>
      </c>
      <c r="H861" s="3" t="n">
        <v>7879764773</v>
      </c>
      <c r="I861" s="11" t="inlineStr">
        <is>
          <t>PE26032601</t>
        </is>
      </c>
      <c r="J861" s="3" t="inlineStr">
        <is>
          <t>Module Diode Failure</t>
        </is>
      </c>
      <c r="K861" s="3" t="inlineStr">
        <is>
          <t>Sadla</t>
        </is>
      </c>
      <c r="L861" s="3" t="inlineStr">
        <is>
          <t>Gujarat</t>
        </is>
      </c>
      <c r="M861" s="9" t="inlineStr">
        <is>
          <t>PS</t>
        </is>
      </c>
      <c r="N861" s="3" t="inlineStr">
        <is>
          <t>Cold Soldering</t>
        </is>
      </c>
      <c r="O861" s="3" t="n">
        <v>570</v>
      </c>
      <c r="P861" s="9" t="inlineStr">
        <is>
          <t>NSMI24060098539</t>
        </is>
      </c>
      <c r="Q861" s="53">
        <f>MID(P861,5,2)</f>
        <v/>
      </c>
      <c r="R861" s="53">
        <f>MID(P861,7,2)</f>
        <v/>
      </c>
      <c r="S861" s="3" t="inlineStr">
        <is>
          <t>G2G</t>
        </is>
      </c>
      <c r="T861" s="3" t="inlineStr">
        <is>
          <t>P4</t>
        </is>
      </c>
      <c r="U861" s="3" t="inlineStr">
        <is>
          <t>P JB Cold Soldering</t>
        </is>
      </c>
      <c r="V861" s="3" t="inlineStr">
        <is>
          <t>Soldering</t>
        </is>
      </c>
      <c r="W861" s="3" t="inlineStr">
        <is>
          <t>Repair</t>
        </is>
      </c>
      <c r="X861" s="18" t="n">
        <v>46155</v>
      </c>
      <c r="Y861" s="3">
        <f>X861-A861</f>
        <v/>
      </c>
      <c r="Z861" s="18" t="n">
        <v>46155</v>
      </c>
      <c r="AA861" s="15" t="n"/>
      <c r="AB861" s="15" t="n"/>
    </row>
    <row r="862" hidden="1" s="233">
      <c r="A862" s="6" t="n">
        <v>46107</v>
      </c>
      <c r="B862" s="3" t="n">
        <v>2026</v>
      </c>
      <c r="C862" s="3" t="inlineStr">
        <is>
          <t>Blupine</t>
        </is>
      </c>
      <c r="D862" s="3" t="inlineStr">
        <is>
          <t>Utility and C&amp;I</t>
        </is>
      </c>
      <c r="E862" s="3" t="n"/>
      <c r="F862" s="3" t="inlineStr">
        <is>
          <t>Closed</t>
        </is>
      </c>
      <c r="G862" s="3" t="inlineStr">
        <is>
          <t>Chandrashekar Patidar</t>
        </is>
      </c>
      <c r="H862" s="3" t="n">
        <v>7879764773</v>
      </c>
      <c r="I862" s="11" t="inlineStr">
        <is>
          <t>PE26032601</t>
        </is>
      </c>
      <c r="J862" s="3" t="inlineStr">
        <is>
          <t>Module Diode Failure</t>
        </is>
      </c>
      <c r="K862" s="3" t="inlineStr">
        <is>
          <t>Sadla</t>
        </is>
      </c>
      <c r="L862" s="3" t="inlineStr">
        <is>
          <t>Gujarat</t>
        </is>
      </c>
      <c r="M862" s="9" t="inlineStr">
        <is>
          <t>NS</t>
        </is>
      </c>
      <c r="N862" s="3" t="inlineStr">
        <is>
          <t>Cold Soldering</t>
        </is>
      </c>
      <c r="O862" s="3" t="n">
        <v>570</v>
      </c>
      <c r="P862" s="9" t="inlineStr">
        <is>
          <t>NSMI24060096554</t>
        </is>
      </c>
      <c r="Q862" s="53">
        <f>MID(P862,5,2)</f>
        <v/>
      </c>
      <c r="R862" s="53">
        <f>MID(P862,7,2)</f>
        <v/>
      </c>
      <c r="S862" s="3" t="inlineStr">
        <is>
          <t>G2G</t>
        </is>
      </c>
      <c r="T862" s="3" t="inlineStr">
        <is>
          <t>P4</t>
        </is>
      </c>
      <c r="U862" s="3" t="inlineStr">
        <is>
          <t>N JB Cold Soldering</t>
        </is>
      </c>
      <c r="V862" s="3" t="inlineStr">
        <is>
          <t>Soldering</t>
        </is>
      </c>
      <c r="W862" s="3" t="inlineStr">
        <is>
          <t>Repair</t>
        </is>
      </c>
      <c r="X862" s="18" t="n">
        <v>46155</v>
      </c>
      <c r="Y862" s="3">
        <f>X862-A862</f>
        <v/>
      </c>
      <c r="Z862" s="18" t="n">
        <v>46155</v>
      </c>
      <c r="AA862" s="15" t="n"/>
      <c r="AB862" s="15" t="n"/>
    </row>
    <row r="863" hidden="1" s="233">
      <c r="A863" s="6" t="n">
        <v>46107</v>
      </c>
      <c r="B863" s="3" t="n">
        <v>2026</v>
      </c>
      <c r="C863" s="3" t="inlineStr">
        <is>
          <t>Blupine</t>
        </is>
      </c>
      <c r="D863" s="3" t="inlineStr">
        <is>
          <t>Utility and C&amp;I</t>
        </is>
      </c>
      <c r="E863" s="3" t="n"/>
      <c r="F863" s="3" t="inlineStr">
        <is>
          <t>Closed</t>
        </is>
      </c>
      <c r="G863" s="3" t="inlineStr">
        <is>
          <t>Chandrashekar Patidar</t>
        </is>
      </c>
      <c r="H863" s="3" t="n">
        <v>7879764773</v>
      </c>
      <c r="I863" s="11" t="inlineStr">
        <is>
          <t>PE26032601</t>
        </is>
      </c>
      <c r="J863" s="3" t="inlineStr">
        <is>
          <t>Module Diode Failure</t>
        </is>
      </c>
      <c r="K863" s="3" t="inlineStr">
        <is>
          <t>Sadla</t>
        </is>
      </c>
      <c r="L863" s="3" t="inlineStr">
        <is>
          <t>Gujarat</t>
        </is>
      </c>
      <c r="M863" s="9" t="inlineStr">
        <is>
          <t>PS</t>
        </is>
      </c>
      <c r="N863" s="3" t="inlineStr">
        <is>
          <t>Cold Soldering</t>
        </is>
      </c>
      <c r="O863" s="3" t="n">
        <v>570</v>
      </c>
      <c r="P863" s="9" t="inlineStr">
        <is>
          <t>NSMI24060098527</t>
        </is>
      </c>
      <c r="Q863" s="53">
        <f>MID(P863,5,2)</f>
        <v/>
      </c>
      <c r="R863" s="53">
        <f>MID(P863,7,2)</f>
        <v/>
      </c>
      <c r="S863" s="3" t="inlineStr">
        <is>
          <t>G2G</t>
        </is>
      </c>
      <c r="T863" s="3" t="inlineStr">
        <is>
          <t>P4</t>
        </is>
      </c>
      <c r="U863" s="3" t="inlineStr">
        <is>
          <t>P JB Cold Soldering</t>
        </is>
      </c>
      <c r="V863" s="3" t="inlineStr">
        <is>
          <t>Soldering</t>
        </is>
      </c>
      <c r="W863" s="3" t="inlineStr">
        <is>
          <t>Repair</t>
        </is>
      </c>
      <c r="X863" s="18" t="n">
        <v>46155</v>
      </c>
      <c r="Y863" s="3">
        <f>X863-A863</f>
        <v/>
      </c>
      <c r="Z863" s="18" t="n">
        <v>46155</v>
      </c>
      <c r="AA863" s="15" t="n"/>
      <c r="AB863" s="15" t="n"/>
    </row>
    <row r="864" hidden="1" s="233">
      <c r="A864" s="6" t="n">
        <v>46107</v>
      </c>
      <c r="B864" s="3" t="n">
        <v>2026</v>
      </c>
      <c r="C864" s="3" t="inlineStr">
        <is>
          <t>Blupine</t>
        </is>
      </c>
      <c r="D864" s="3" t="inlineStr">
        <is>
          <t>Utility and C&amp;I</t>
        </is>
      </c>
      <c r="E864" s="3" t="n"/>
      <c r="F864" s="3" t="inlineStr">
        <is>
          <t>Closed</t>
        </is>
      </c>
      <c r="G864" s="3" t="inlineStr">
        <is>
          <t>Chandrashekar Patidar</t>
        </is>
      </c>
      <c r="H864" s="3" t="n">
        <v>7879764773</v>
      </c>
      <c r="I864" s="11" t="inlineStr">
        <is>
          <t>PE26032601</t>
        </is>
      </c>
      <c r="J864" s="3" t="inlineStr">
        <is>
          <t>Module Diode Failure</t>
        </is>
      </c>
      <c r="K864" s="3" t="inlineStr">
        <is>
          <t>Sadla</t>
        </is>
      </c>
      <c r="L864" s="3" t="inlineStr">
        <is>
          <t>Gujarat</t>
        </is>
      </c>
      <c r="M864" s="9" t="inlineStr">
        <is>
          <t>NS</t>
        </is>
      </c>
      <c r="N864" s="3" t="inlineStr">
        <is>
          <t>Cold Soldering</t>
        </is>
      </c>
      <c r="O864" s="3" t="n">
        <v>570</v>
      </c>
      <c r="P864" s="9" t="inlineStr">
        <is>
          <t>NSMI24060076563</t>
        </is>
      </c>
      <c r="Q864" s="53">
        <f>MID(P864,5,2)</f>
        <v/>
      </c>
      <c r="R864" s="53">
        <f>MID(P864,7,2)</f>
        <v/>
      </c>
      <c r="S864" s="3" t="inlineStr">
        <is>
          <t>G2G</t>
        </is>
      </c>
      <c r="T864" s="3" t="inlineStr">
        <is>
          <t>P4</t>
        </is>
      </c>
      <c r="U864" s="3" t="inlineStr">
        <is>
          <t>N JB Cold Soldering</t>
        </is>
      </c>
      <c r="V864" s="3" t="inlineStr">
        <is>
          <t>Soldering</t>
        </is>
      </c>
      <c r="W864" s="3" t="inlineStr">
        <is>
          <t>Repair</t>
        </is>
      </c>
      <c r="X864" s="18" t="n">
        <v>46155</v>
      </c>
      <c r="Y864" s="3">
        <f>X864-A864</f>
        <v/>
      </c>
      <c r="Z864" s="18" t="n">
        <v>46155</v>
      </c>
      <c r="AA864" s="15" t="n"/>
      <c r="AB864" s="15" t="n"/>
    </row>
    <row r="865" hidden="1" s="233">
      <c r="A865" s="6" t="n">
        <v>46107</v>
      </c>
      <c r="B865" s="3" t="n">
        <v>2026</v>
      </c>
      <c r="C865" s="3" t="inlineStr">
        <is>
          <t>Blupine</t>
        </is>
      </c>
      <c r="D865" s="3" t="inlineStr">
        <is>
          <t>Utility and C&amp;I</t>
        </is>
      </c>
      <c r="E865" s="3" t="n"/>
      <c r="F865" s="3" t="inlineStr">
        <is>
          <t>Closed</t>
        </is>
      </c>
      <c r="G865" s="3" t="inlineStr">
        <is>
          <t>Chandrashekar Patidar</t>
        </is>
      </c>
      <c r="H865" s="3" t="n">
        <v>7879764773</v>
      </c>
      <c r="I865" s="11" t="inlineStr">
        <is>
          <t>PE26032601</t>
        </is>
      </c>
      <c r="J865" s="3" t="inlineStr">
        <is>
          <t>Module Diode Failure</t>
        </is>
      </c>
      <c r="K865" s="3" t="inlineStr">
        <is>
          <t>Sadla</t>
        </is>
      </c>
      <c r="L865" s="3" t="inlineStr">
        <is>
          <t>Gujarat</t>
        </is>
      </c>
      <c r="M865" s="9" t="inlineStr">
        <is>
          <t>PR</t>
        </is>
      </c>
      <c r="N865" s="3" t="inlineStr">
        <is>
          <t>JB Issue</t>
        </is>
      </c>
      <c r="O865" s="3" t="n">
        <v>570</v>
      </c>
      <c r="P865" s="9" t="inlineStr">
        <is>
          <t>NSMI24060076617</t>
        </is>
      </c>
      <c r="Q865" s="53">
        <f>MID(P865,5,2)</f>
        <v/>
      </c>
      <c r="R865" s="53">
        <f>MID(P865,7,2)</f>
        <v/>
      </c>
      <c r="S865" s="3" t="inlineStr">
        <is>
          <t>G2G</t>
        </is>
      </c>
      <c r="T865" s="3" t="inlineStr">
        <is>
          <t>P4</t>
        </is>
      </c>
      <c r="U865" s="3" t="inlineStr">
        <is>
          <t>P JB Issue</t>
        </is>
      </c>
      <c r="V865" s="15" t="inlineStr">
        <is>
          <t>JB Changed</t>
        </is>
      </c>
      <c r="W865" s="3" t="inlineStr">
        <is>
          <t>Repair</t>
        </is>
      </c>
      <c r="X865" s="18" t="n">
        <v>46155</v>
      </c>
      <c r="Y865" s="3">
        <f>X865-A865</f>
        <v/>
      </c>
      <c r="Z865" s="18" t="n">
        <v>46155</v>
      </c>
      <c r="AA865" s="15" t="n"/>
      <c r="AB865" s="15" t="n"/>
    </row>
    <row r="866" hidden="1" s="233">
      <c r="A866" s="6" t="n">
        <v>46107</v>
      </c>
      <c r="B866" s="3" t="n">
        <v>2026</v>
      </c>
      <c r="C866" s="3" t="inlineStr">
        <is>
          <t>Blupine</t>
        </is>
      </c>
      <c r="D866" s="3" t="inlineStr">
        <is>
          <t>Utility and C&amp;I</t>
        </is>
      </c>
      <c r="E866" s="3" t="n"/>
      <c r="F866" s="3" t="inlineStr">
        <is>
          <t>Closed</t>
        </is>
      </c>
      <c r="G866" s="3" t="inlineStr">
        <is>
          <t>Chandrashekar Patidar</t>
        </is>
      </c>
      <c r="H866" s="3" t="n">
        <v>7879764773</v>
      </c>
      <c r="I866" s="11" t="inlineStr">
        <is>
          <t>PE26032601</t>
        </is>
      </c>
      <c r="J866" s="3" t="inlineStr">
        <is>
          <t>Module Diode Failure</t>
        </is>
      </c>
      <c r="K866" s="3" t="inlineStr">
        <is>
          <t>Sadla</t>
        </is>
      </c>
      <c r="L866" s="3" t="inlineStr">
        <is>
          <t>Gujarat</t>
        </is>
      </c>
      <c r="M866" s="9" t="inlineStr">
        <is>
          <t>NS</t>
        </is>
      </c>
      <c r="N866" s="3" t="inlineStr">
        <is>
          <t>Cold Soldering</t>
        </is>
      </c>
      <c r="O866" s="3" t="n">
        <v>570</v>
      </c>
      <c r="P866" s="9" t="inlineStr">
        <is>
          <t>NSMI24060076627</t>
        </is>
      </c>
      <c r="Q866" s="53">
        <f>MID(P866,5,2)</f>
        <v/>
      </c>
      <c r="R866" s="53">
        <f>MID(P866,7,2)</f>
        <v/>
      </c>
      <c r="S866" s="3" t="inlineStr">
        <is>
          <t>G2G</t>
        </is>
      </c>
      <c r="T866" s="3" t="inlineStr">
        <is>
          <t>P4</t>
        </is>
      </c>
      <c r="U866" s="3" t="inlineStr">
        <is>
          <t>N JB Cold Soldering</t>
        </is>
      </c>
      <c r="V866" s="3" t="inlineStr">
        <is>
          <t>Soldering</t>
        </is>
      </c>
      <c r="W866" s="3" t="inlineStr">
        <is>
          <t>Repair</t>
        </is>
      </c>
      <c r="X866" s="18" t="n">
        <v>46155</v>
      </c>
      <c r="Y866" s="3">
        <f>X866-A866</f>
        <v/>
      </c>
      <c r="Z866" s="18" t="n">
        <v>46155</v>
      </c>
      <c r="AA866" s="15" t="n"/>
      <c r="AB866" s="15" t="n"/>
    </row>
    <row r="867" hidden="1" s="233">
      <c r="A867" s="6" t="n">
        <v>46107</v>
      </c>
      <c r="B867" s="3" t="n">
        <v>2026</v>
      </c>
      <c r="C867" s="3" t="inlineStr">
        <is>
          <t>Blupine</t>
        </is>
      </c>
      <c r="D867" s="3" t="inlineStr">
        <is>
          <t>Utility and C&amp;I</t>
        </is>
      </c>
      <c r="E867" s="3" t="n"/>
      <c r="F867" s="3" t="inlineStr">
        <is>
          <t>Closed</t>
        </is>
      </c>
      <c r="G867" s="3" t="inlineStr">
        <is>
          <t>Chandrashekar Patidar</t>
        </is>
      </c>
      <c r="H867" s="3" t="n">
        <v>7879764773</v>
      </c>
      <c r="I867" s="11" t="inlineStr">
        <is>
          <t>PE26032601</t>
        </is>
      </c>
      <c r="J867" s="3" t="inlineStr">
        <is>
          <t>Module Diode Failure</t>
        </is>
      </c>
      <c r="K867" s="3" t="inlineStr">
        <is>
          <t>Sadla</t>
        </is>
      </c>
      <c r="L867" s="3" t="inlineStr">
        <is>
          <t>Gujarat</t>
        </is>
      </c>
      <c r="M867" s="9" t="inlineStr">
        <is>
          <t>NR</t>
        </is>
      </c>
      <c r="N867" s="3" t="inlineStr">
        <is>
          <t>JB Issue</t>
        </is>
      </c>
      <c r="O867" s="3" t="n">
        <v>570</v>
      </c>
      <c r="P867" s="9" t="inlineStr">
        <is>
          <t>NSMI24060076628</t>
        </is>
      </c>
      <c r="Q867" s="53">
        <f>MID(P867,5,2)</f>
        <v/>
      </c>
      <c r="R867" s="53">
        <f>MID(P867,7,2)</f>
        <v/>
      </c>
      <c r="S867" s="3" t="inlineStr">
        <is>
          <t>G2G</t>
        </is>
      </c>
      <c r="T867" s="3" t="inlineStr">
        <is>
          <t>P4</t>
        </is>
      </c>
      <c r="U867" s="3" t="inlineStr">
        <is>
          <t>N JB Issue</t>
        </is>
      </c>
      <c r="V867" s="3" t="inlineStr">
        <is>
          <t>JB Changed</t>
        </is>
      </c>
      <c r="W867" s="3" t="inlineStr">
        <is>
          <t>Repair</t>
        </is>
      </c>
      <c r="X867" s="18" t="n">
        <v>46155</v>
      </c>
      <c r="Y867" s="3">
        <f>X867-A867</f>
        <v/>
      </c>
      <c r="Z867" s="18" t="n">
        <v>46155</v>
      </c>
      <c r="AA867" s="15" t="n"/>
      <c r="AB867" s="15" t="n"/>
    </row>
    <row r="868" hidden="1" s="233">
      <c r="A868" s="6" t="n">
        <v>46107</v>
      </c>
      <c r="B868" s="3" t="n">
        <v>2026</v>
      </c>
      <c r="C868" s="3" t="inlineStr">
        <is>
          <t>Blupine</t>
        </is>
      </c>
      <c r="D868" s="3" t="inlineStr">
        <is>
          <t>Utility and C&amp;I</t>
        </is>
      </c>
      <c r="E868" s="3" t="n"/>
      <c r="F868" s="3" t="inlineStr">
        <is>
          <t>Closed</t>
        </is>
      </c>
      <c r="G868" s="3" t="inlineStr">
        <is>
          <t>Chandrashekar Patidar</t>
        </is>
      </c>
      <c r="H868" s="3" t="n">
        <v>7879764773</v>
      </c>
      <c r="I868" s="11" t="inlineStr">
        <is>
          <t>PE26032601</t>
        </is>
      </c>
      <c r="J868" s="3" t="inlineStr">
        <is>
          <t>Module Diode Failure</t>
        </is>
      </c>
      <c r="K868" s="3" t="inlineStr">
        <is>
          <t>Sadla</t>
        </is>
      </c>
      <c r="L868" s="3" t="inlineStr">
        <is>
          <t>Gujarat</t>
        </is>
      </c>
      <c r="M868" s="9" t="inlineStr">
        <is>
          <t>NS</t>
        </is>
      </c>
      <c r="N868" s="3" t="inlineStr">
        <is>
          <t>Cold Soldering</t>
        </is>
      </c>
      <c r="O868" s="3" t="n">
        <v>570</v>
      </c>
      <c r="P868" s="9" t="inlineStr">
        <is>
          <t>NSMI24060096513</t>
        </is>
      </c>
      <c r="Q868" s="53">
        <f>MID(P868,5,2)</f>
        <v/>
      </c>
      <c r="R868" s="53">
        <f>MID(P868,7,2)</f>
        <v/>
      </c>
      <c r="S868" s="3" t="inlineStr">
        <is>
          <t>G2G</t>
        </is>
      </c>
      <c r="T868" s="3" t="inlineStr">
        <is>
          <t>P4</t>
        </is>
      </c>
      <c r="U868" s="3" t="inlineStr">
        <is>
          <t>N JB Cold Soldering</t>
        </is>
      </c>
      <c r="V868" s="3" t="inlineStr">
        <is>
          <t>Soldering</t>
        </is>
      </c>
      <c r="W868" s="3" t="inlineStr">
        <is>
          <t>Repair</t>
        </is>
      </c>
      <c r="X868" s="18" t="n">
        <v>46155</v>
      </c>
      <c r="Y868" s="3">
        <f>X868-A868</f>
        <v/>
      </c>
      <c r="Z868" s="18" t="n">
        <v>46155</v>
      </c>
      <c r="AA868" s="15" t="n"/>
      <c r="AB868" s="15" t="n"/>
    </row>
    <row r="869" hidden="1" s="233">
      <c r="A869" s="6" t="n">
        <v>46107</v>
      </c>
      <c r="B869" s="3" t="n">
        <v>2026</v>
      </c>
      <c r="C869" s="3" t="inlineStr">
        <is>
          <t>Blupine</t>
        </is>
      </c>
      <c r="D869" s="3" t="inlineStr">
        <is>
          <t>Utility and C&amp;I</t>
        </is>
      </c>
      <c r="E869" s="3" t="n"/>
      <c r="F869" s="3" t="inlineStr">
        <is>
          <t>Closed</t>
        </is>
      </c>
      <c r="G869" s="3" t="inlineStr">
        <is>
          <t>Chandrashekar Patidar</t>
        </is>
      </c>
      <c r="H869" s="3" t="n">
        <v>7879764773</v>
      </c>
      <c r="I869" s="11" t="inlineStr">
        <is>
          <t>PE26032601</t>
        </is>
      </c>
      <c r="J869" s="3" t="inlineStr">
        <is>
          <t>Module Diode Failure</t>
        </is>
      </c>
      <c r="K869" s="3" t="inlineStr">
        <is>
          <t>Sadla</t>
        </is>
      </c>
      <c r="L869" s="3" t="inlineStr">
        <is>
          <t>Gujarat</t>
        </is>
      </c>
      <c r="M869" s="9" t="inlineStr">
        <is>
          <t>NS</t>
        </is>
      </c>
      <c r="N869" s="3" t="inlineStr">
        <is>
          <t>Cold Soldering</t>
        </is>
      </c>
      <c r="O869" s="3" t="n">
        <v>570</v>
      </c>
      <c r="P869" s="9" t="inlineStr">
        <is>
          <t>NSMI24060096547</t>
        </is>
      </c>
      <c r="Q869" s="53">
        <f>MID(P869,5,2)</f>
        <v/>
      </c>
      <c r="R869" s="53">
        <f>MID(P869,7,2)</f>
        <v/>
      </c>
      <c r="S869" s="3" t="inlineStr">
        <is>
          <t>G2G</t>
        </is>
      </c>
      <c r="T869" s="3" t="inlineStr">
        <is>
          <t>P4</t>
        </is>
      </c>
      <c r="U869" s="3" t="inlineStr">
        <is>
          <t>N JB Cold Soldering</t>
        </is>
      </c>
      <c r="V869" s="3" t="inlineStr">
        <is>
          <t>Soldering</t>
        </is>
      </c>
      <c r="W869" s="3" t="inlineStr">
        <is>
          <t>Repair</t>
        </is>
      </c>
      <c r="X869" s="18" t="n">
        <v>46155</v>
      </c>
      <c r="Y869" s="3">
        <f>X869-A869</f>
        <v/>
      </c>
      <c r="Z869" s="18" t="n">
        <v>46155</v>
      </c>
      <c r="AA869" s="15" t="n"/>
      <c r="AB869" s="15" t="n"/>
    </row>
    <row r="870" hidden="1" s="233">
      <c r="A870" s="6" t="n">
        <v>46107</v>
      </c>
      <c r="B870" s="3" t="n">
        <v>2026</v>
      </c>
      <c r="C870" s="3" t="inlineStr">
        <is>
          <t>Blupine</t>
        </is>
      </c>
      <c r="D870" s="3" t="inlineStr">
        <is>
          <t>Utility and C&amp;I</t>
        </is>
      </c>
      <c r="E870" s="3" t="n"/>
      <c r="F870" s="3" t="inlineStr">
        <is>
          <t>Closed</t>
        </is>
      </c>
      <c r="G870" s="3" t="inlineStr">
        <is>
          <t>Chandrashekar Patidar</t>
        </is>
      </c>
      <c r="H870" s="3" t="n">
        <v>7879764773</v>
      </c>
      <c r="I870" s="11" t="inlineStr">
        <is>
          <t>PE26032601</t>
        </is>
      </c>
      <c r="J870" s="3" t="inlineStr">
        <is>
          <t>Module Diode Failure</t>
        </is>
      </c>
      <c r="K870" s="3" t="inlineStr">
        <is>
          <t>Sadla</t>
        </is>
      </c>
      <c r="L870" s="3" t="inlineStr">
        <is>
          <t>Gujarat</t>
        </is>
      </c>
      <c r="M870" s="9" t="inlineStr">
        <is>
          <t>NS</t>
        </is>
      </c>
      <c r="N870" s="3" t="inlineStr">
        <is>
          <t>Cold Soldering</t>
        </is>
      </c>
      <c r="O870" s="3" t="n">
        <v>570</v>
      </c>
      <c r="P870" s="9" t="inlineStr">
        <is>
          <t>NSMI24060096014</t>
        </is>
      </c>
      <c r="Q870" s="53">
        <f>MID(P870,5,2)</f>
        <v/>
      </c>
      <c r="R870" s="53">
        <f>MID(P870,7,2)</f>
        <v/>
      </c>
      <c r="S870" s="3" t="inlineStr">
        <is>
          <t>G2G</t>
        </is>
      </c>
      <c r="T870" s="3" t="inlineStr">
        <is>
          <t>P4</t>
        </is>
      </c>
      <c r="U870" s="3" t="inlineStr">
        <is>
          <t>N JB Cold Soldering</t>
        </is>
      </c>
      <c r="V870" s="3" t="inlineStr">
        <is>
          <t>Soldering</t>
        </is>
      </c>
      <c r="W870" s="3" t="inlineStr">
        <is>
          <t>Repair</t>
        </is>
      </c>
      <c r="X870" s="18" t="n">
        <v>46155</v>
      </c>
      <c r="Y870" s="3">
        <f>X870-A870</f>
        <v/>
      </c>
      <c r="Z870" s="18" t="n">
        <v>46155</v>
      </c>
      <c r="AA870" s="15" t="n"/>
      <c r="AB870" s="15" t="n"/>
    </row>
    <row r="871" hidden="1" s="233">
      <c r="A871" s="6" t="n">
        <v>46107</v>
      </c>
      <c r="B871" s="3" t="n">
        <v>2026</v>
      </c>
      <c r="C871" s="3" t="inlineStr">
        <is>
          <t>Blupine</t>
        </is>
      </c>
      <c r="D871" s="3" t="inlineStr">
        <is>
          <t>Utility and C&amp;I</t>
        </is>
      </c>
      <c r="E871" s="3" t="n"/>
      <c r="F871" s="3" t="inlineStr">
        <is>
          <t>Closed</t>
        </is>
      </c>
      <c r="G871" s="3" t="inlineStr">
        <is>
          <t>Chandrashekar Patidar</t>
        </is>
      </c>
      <c r="H871" s="3" t="n">
        <v>7879764773</v>
      </c>
      <c r="I871" s="11" t="inlineStr">
        <is>
          <t>PE26032601</t>
        </is>
      </c>
      <c r="J871" s="3" t="inlineStr">
        <is>
          <t>Module Diode Failure</t>
        </is>
      </c>
      <c r="K871" s="3" t="inlineStr">
        <is>
          <t>Sadla</t>
        </is>
      </c>
      <c r="L871" s="3" t="inlineStr">
        <is>
          <t>Gujarat</t>
        </is>
      </c>
      <c r="M871" s="9" t="inlineStr">
        <is>
          <t>NS</t>
        </is>
      </c>
      <c r="N871" s="3" t="inlineStr">
        <is>
          <t>Cold Soldering</t>
        </is>
      </c>
      <c r="O871" s="3" t="n">
        <v>570</v>
      </c>
      <c r="P871" s="9" t="inlineStr">
        <is>
          <t>NSMI24060097439</t>
        </is>
      </c>
      <c r="Q871" s="53">
        <f>MID(P871,5,2)</f>
        <v/>
      </c>
      <c r="R871" s="53">
        <f>MID(P871,7,2)</f>
        <v/>
      </c>
      <c r="S871" s="3" t="inlineStr">
        <is>
          <t>G2G</t>
        </is>
      </c>
      <c r="T871" s="3" t="inlineStr">
        <is>
          <t>P4</t>
        </is>
      </c>
      <c r="U871" s="3" t="inlineStr">
        <is>
          <t>N JB Cold Soldering</t>
        </is>
      </c>
      <c r="V871" s="3" t="inlineStr">
        <is>
          <t>Soldering</t>
        </is>
      </c>
      <c r="W871" s="3" t="inlineStr">
        <is>
          <t>Repair</t>
        </is>
      </c>
      <c r="X871" s="18" t="n">
        <v>46155</v>
      </c>
      <c r="Y871" s="3">
        <f>X871-A871</f>
        <v/>
      </c>
      <c r="Z871" s="18" t="n">
        <v>46155</v>
      </c>
      <c r="AA871" s="15" t="n"/>
      <c r="AB871" s="15" t="n"/>
    </row>
    <row r="872" hidden="1" s="233">
      <c r="A872" s="6" t="n">
        <v>46107</v>
      </c>
      <c r="B872" s="3" t="n">
        <v>2026</v>
      </c>
      <c r="C872" s="3" t="inlineStr">
        <is>
          <t>Blupine</t>
        </is>
      </c>
      <c r="D872" s="3" t="inlineStr">
        <is>
          <t>Utility and C&amp;I</t>
        </is>
      </c>
      <c r="E872" s="3" t="n"/>
      <c r="F872" s="3" t="inlineStr">
        <is>
          <t>Closed</t>
        </is>
      </c>
      <c r="G872" s="3" t="inlineStr">
        <is>
          <t>Chandrashekar Patidar</t>
        </is>
      </c>
      <c r="H872" s="3" t="n">
        <v>7879764773</v>
      </c>
      <c r="I872" s="11" t="inlineStr">
        <is>
          <t>PE26032601</t>
        </is>
      </c>
      <c r="J872" s="3" t="inlineStr">
        <is>
          <t>Module Diode Failure</t>
        </is>
      </c>
      <c r="K872" s="3" t="inlineStr">
        <is>
          <t>Sadla</t>
        </is>
      </c>
      <c r="L872" s="3" t="inlineStr">
        <is>
          <t>Gujarat</t>
        </is>
      </c>
      <c r="M872" s="9" t="inlineStr">
        <is>
          <t>NS</t>
        </is>
      </c>
      <c r="N872" s="3" t="inlineStr">
        <is>
          <t>Cold Soldering</t>
        </is>
      </c>
      <c r="O872" s="3" t="n">
        <v>570</v>
      </c>
      <c r="P872" s="9" t="inlineStr">
        <is>
          <t>NSMI24060096564</t>
        </is>
      </c>
      <c r="Q872" s="53">
        <f>MID(P872,5,2)</f>
        <v/>
      </c>
      <c r="R872" s="53">
        <f>MID(P872,7,2)</f>
        <v/>
      </c>
      <c r="S872" s="3" t="inlineStr">
        <is>
          <t>G2G</t>
        </is>
      </c>
      <c r="T872" s="3" t="inlineStr">
        <is>
          <t>P4</t>
        </is>
      </c>
      <c r="U872" s="3" t="inlineStr">
        <is>
          <t>N JB Cold Soldering</t>
        </is>
      </c>
      <c r="V872" s="3" t="inlineStr">
        <is>
          <t>Soldering</t>
        </is>
      </c>
      <c r="W872" s="3" t="inlineStr">
        <is>
          <t>Repair</t>
        </is>
      </c>
      <c r="X872" s="18" t="n">
        <v>46155</v>
      </c>
      <c r="Y872" s="3">
        <f>X872-A872</f>
        <v/>
      </c>
      <c r="Z872" s="18" t="n">
        <v>46155</v>
      </c>
      <c r="AA872" s="15" t="n"/>
      <c r="AB872" s="15" t="n"/>
    </row>
    <row r="873" hidden="1" s="233">
      <c r="A873" s="6" t="n">
        <v>46107</v>
      </c>
      <c r="B873" s="3" t="n">
        <v>2026</v>
      </c>
      <c r="C873" s="3" t="inlineStr">
        <is>
          <t>Blupine</t>
        </is>
      </c>
      <c r="D873" s="3" t="inlineStr">
        <is>
          <t>Utility and C&amp;I</t>
        </is>
      </c>
      <c r="E873" s="3" t="n"/>
      <c r="F873" s="3" t="inlineStr">
        <is>
          <t>Closed</t>
        </is>
      </c>
      <c r="G873" s="3" t="inlineStr">
        <is>
          <t>Chandrashekar Patidar</t>
        </is>
      </c>
      <c r="H873" s="3" t="n">
        <v>7879764773</v>
      </c>
      <c r="I873" s="11" t="inlineStr">
        <is>
          <t>PE26032601</t>
        </is>
      </c>
      <c r="J873" s="3" t="inlineStr">
        <is>
          <t>Module Diode Failure</t>
        </is>
      </c>
      <c r="K873" s="3" t="inlineStr">
        <is>
          <t>Sadla</t>
        </is>
      </c>
      <c r="L873" s="3" t="inlineStr">
        <is>
          <t>Gujarat</t>
        </is>
      </c>
      <c r="M873" s="9" t="inlineStr">
        <is>
          <t>NS</t>
        </is>
      </c>
      <c r="N873" s="3" t="inlineStr">
        <is>
          <t>Cold Soldering</t>
        </is>
      </c>
      <c r="O873" s="3" t="n">
        <v>570</v>
      </c>
      <c r="P873" s="9" t="inlineStr">
        <is>
          <t>NSMI24060096588</t>
        </is>
      </c>
      <c r="Q873" s="53">
        <f>MID(P873,5,2)</f>
        <v/>
      </c>
      <c r="R873" s="53">
        <f>MID(P873,7,2)</f>
        <v/>
      </c>
      <c r="S873" s="3" t="inlineStr">
        <is>
          <t>G2G</t>
        </is>
      </c>
      <c r="T873" s="3" t="inlineStr">
        <is>
          <t>P4</t>
        </is>
      </c>
      <c r="U873" s="3" t="inlineStr">
        <is>
          <t>N JB Cold Soldering</t>
        </is>
      </c>
      <c r="V873" s="3" t="inlineStr">
        <is>
          <t>Soldering</t>
        </is>
      </c>
      <c r="W873" s="3" t="inlineStr">
        <is>
          <t>Repair</t>
        </is>
      </c>
      <c r="X873" s="18" t="n">
        <v>46155</v>
      </c>
      <c r="Y873" s="3">
        <f>X873-A873</f>
        <v/>
      </c>
      <c r="Z873" s="18" t="n">
        <v>46155</v>
      </c>
      <c r="AA873" s="15" t="n"/>
      <c r="AB873" s="15" t="n"/>
    </row>
    <row r="874" hidden="1" s="233">
      <c r="A874" s="6" t="n">
        <v>46107</v>
      </c>
      <c r="B874" s="3" t="n">
        <v>2026</v>
      </c>
      <c r="C874" s="3" t="inlineStr">
        <is>
          <t>Blupine</t>
        </is>
      </c>
      <c r="D874" s="3" t="inlineStr">
        <is>
          <t>Utility and C&amp;I</t>
        </is>
      </c>
      <c r="E874" s="3" t="n"/>
      <c r="F874" s="3" t="inlineStr">
        <is>
          <t>Closed</t>
        </is>
      </c>
      <c r="G874" s="3" t="inlineStr">
        <is>
          <t>Chandrashekar Patidar</t>
        </is>
      </c>
      <c r="H874" s="3" t="n">
        <v>7879764773</v>
      </c>
      <c r="I874" s="11" t="inlineStr">
        <is>
          <t>PE26032601</t>
        </is>
      </c>
      <c r="J874" s="3" t="inlineStr">
        <is>
          <t>Module Diode Failure</t>
        </is>
      </c>
      <c r="K874" s="3" t="inlineStr">
        <is>
          <t>Sadla</t>
        </is>
      </c>
      <c r="L874" s="3" t="inlineStr">
        <is>
          <t>Gujarat</t>
        </is>
      </c>
      <c r="M874" s="9" t="inlineStr">
        <is>
          <t>NS</t>
        </is>
      </c>
      <c r="N874" s="3" t="inlineStr">
        <is>
          <t>Cold Soldering</t>
        </is>
      </c>
      <c r="O874" s="3" t="n">
        <v>570</v>
      </c>
      <c r="P874" s="9" t="inlineStr">
        <is>
          <t>NSMI24060096587</t>
        </is>
      </c>
      <c r="Q874" s="53">
        <f>MID(P874,5,2)</f>
        <v/>
      </c>
      <c r="R874" s="53">
        <f>MID(P874,7,2)</f>
        <v/>
      </c>
      <c r="S874" s="3" t="inlineStr">
        <is>
          <t>G2G</t>
        </is>
      </c>
      <c r="T874" s="3" t="inlineStr">
        <is>
          <t>P4</t>
        </is>
      </c>
      <c r="U874" s="3" t="inlineStr">
        <is>
          <t>N JB Cold Soldering</t>
        </is>
      </c>
      <c r="V874" s="3" t="inlineStr">
        <is>
          <t>Soldering</t>
        </is>
      </c>
      <c r="W874" s="3" t="inlineStr">
        <is>
          <t>Repair</t>
        </is>
      </c>
      <c r="X874" s="18" t="n">
        <v>46155</v>
      </c>
      <c r="Y874" s="3">
        <f>X874-A874</f>
        <v/>
      </c>
      <c r="Z874" s="18" t="n">
        <v>46155</v>
      </c>
      <c r="AA874" s="15" t="n"/>
      <c r="AB874" s="15" t="n"/>
    </row>
    <row r="875" hidden="1" s="233">
      <c r="A875" s="6" t="n">
        <v>46107</v>
      </c>
      <c r="B875" s="3" t="n">
        <v>2026</v>
      </c>
      <c r="C875" s="3" t="inlineStr">
        <is>
          <t>Blupine</t>
        </is>
      </c>
      <c r="D875" s="3" t="inlineStr">
        <is>
          <t>Utility and C&amp;I</t>
        </is>
      </c>
      <c r="E875" s="3" t="n"/>
      <c r="F875" s="3" t="inlineStr">
        <is>
          <t>Closed</t>
        </is>
      </c>
      <c r="G875" s="3" t="inlineStr">
        <is>
          <t>Chandrashekar Patidar</t>
        </is>
      </c>
      <c r="H875" s="3" t="n">
        <v>7879764773</v>
      </c>
      <c r="I875" s="11" t="inlineStr">
        <is>
          <t>PE26032601</t>
        </is>
      </c>
      <c r="J875" s="3" t="inlineStr">
        <is>
          <t>Module Diode Failure</t>
        </is>
      </c>
      <c r="K875" s="3" t="inlineStr">
        <is>
          <t>Sadla</t>
        </is>
      </c>
      <c r="L875" s="3" t="inlineStr">
        <is>
          <t>Gujarat</t>
        </is>
      </c>
      <c r="M875" s="9" t="inlineStr">
        <is>
          <t>PS</t>
        </is>
      </c>
      <c r="N875" s="3" t="inlineStr">
        <is>
          <t>Cold Soldering</t>
        </is>
      </c>
      <c r="O875" s="3" t="n">
        <v>570</v>
      </c>
      <c r="P875" s="9" t="inlineStr">
        <is>
          <t>NSMI24060084751</t>
        </is>
      </c>
      <c r="Q875" s="53">
        <f>MID(P875,5,2)</f>
        <v/>
      </c>
      <c r="R875" s="53">
        <f>MID(P875,7,2)</f>
        <v/>
      </c>
      <c r="S875" s="3" t="inlineStr">
        <is>
          <t>G2G</t>
        </is>
      </c>
      <c r="T875" s="3" t="inlineStr">
        <is>
          <t>P4</t>
        </is>
      </c>
      <c r="U875" s="3" t="inlineStr">
        <is>
          <t>P JB Cold Soldering</t>
        </is>
      </c>
      <c r="V875" s="3" t="inlineStr">
        <is>
          <t>Soldering</t>
        </is>
      </c>
      <c r="W875" s="3" t="inlineStr">
        <is>
          <t>Repair</t>
        </is>
      </c>
      <c r="X875" s="18" t="n">
        <v>46155</v>
      </c>
      <c r="Y875" s="3">
        <f>X875-A875</f>
        <v/>
      </c>
      <c r="Z875" s="18" t="n">
        <v>46155</v>
      </c>
      <c r="AA875" s="15" t="n"/>
      <c r="AB875" s="15" t="n"/>
    </row>
    <row r="876" hidden="1" s="233">
      <c r="A876" s="6" t="n">
        <v>46107</v>
      </c>
      <c r="B876" s="3" t="n">
        <v>2026</v>
      </c>
      <c r="C876" s="3" t="inlineStr">
        <is>
          <t>Blupine</t>
        </is>
      </c>
      <c r="D876" s="3" t="inlineStr">
        <is>
          <t>Utility and C&amp;I</t>
        </is>
      </c>
      <c r="E876" s="3" t="n"/>
      <c r="F876" s="3" t="inlineStr">
        <is>
          <t>Closed</t>
        </is>
      </c>
      <c r="G876" s="3" t="inlineStr">
        <is>
          <t>Chandrashekar Patidar</t>
        </is>
      </c>
      <c r="H876" s="3" t="n">
        <v>7879764773</v>
      </c>
      <c r="I876" s="11" t="inlineStr">
        <is>
          <t>PE26032601</t>
        </is>
      </c>
      <c r="J876" s="3" t="inlineStr">
        <is>
          <t>Module Diode Failure</t>
        </is>
      </c>
      <c r="K876" s="3" t="inlineStr">
        <is>
          <t>Sadla</t>
        </is>
      </c>
      <c r="L876" s="3" t="inlineStr">
        <is>
          <t>Gujarat</t>
        </is>
      </c>
      <c r="M876" s="9" t="inlineStr">
        <is>
          <t>NS</t>
        </is>
      </c>
      <c r="N876" s="3" t="inlineStr">
        <is>
          <t>Cold Soldering</t>
        </is>
      </c>
      <c r="O876" s="3" t="n">
        <v>570</v>
      </c>
      <c r="P876" s="9" t="inlineStr">
        <is>
          <t>NSMI24060096407</t>
        </is>
      </c>
      <c r="Q876" s="53">
        <f>MID(P876,5,2)</f>
        <v/>
      </c>
      <c r="R876" s="53">
        <f>MID(P876,7,2)</f>
        <v/>
      </c>
      <c r="S876" s="3" t="inlineStr">
        <is>
          <t>G2G</t>
        </is>
      </c>
      <c r="T876" s="3" t="inlineStr">
        <is>
          <t>P4</t>
        </is>
      </c>
      <c r="U876" s="3" t="inlineStr">
        <is>
          <t>N JB Cold Soldering</t>
        </is>
      </c>
      <c r="V876" s="3" t="inlineStr">
        <is>
          <t>Soldering</t>
        </is>
      </c>
      <c r="W876" s="3" t="inlineStr">
        <is>
          <t>Repair</t>
        </is>
      </c>
      <c r="X876" s="18" t="n">
        <v>46155</v>
      </c>
      <c r="Y876" s="3">
        <f>X876-A876</f>
        <v/>
      </c>
      <c r="Z876" s="18" t="n">
        <v>46155</v>
      </c>
      <c r="AA876" s="15" t="n"/>
      <c r="AB876" s="15" t="n"/>
    </row>
    <row r="877" hidden="1" s="233">
      <c r="A877" s="6" t="n">
        <v>46107</v>
      </c>
      <c r="B877" s="3" t="n">
        <v>2026</v>
      </c>
      <c r="C877" s="3" t="inlineStr">
        <is>
          <t>Blupine</t>
        </is>
      </c>
      <c r="D877" s="3" t="inlineStr">
        <is>
          <t>Utility and C&amp;I</t>
        </is>
      </c>
      <c r="E877" s="3" t="n"/>
      <c r="F877" s="3" t="inlineStr">
        <is>
          <t>Closed</t>
        </is>
      </c>
      <c r="G877" s="3" t="inlineStr">
        <is>
          <t>Chandrashekar Patidar</t>
        </is>
      </c>
      <c r="H877" s="3" t="n">
        <v>7879764773</v>
      </c>
      <c r="I877" s="11" t="inlineStr">
        <is>
          <t>PE26032601</t>
        </is>
      </c>
      <c r="J877" s="3" t="inlineStr">
        <is>
          <t>Module Diode Failure</t>
        </is>
      </c>
      <c r="K877" s="3" t="inlineStr">
        <is>
          <t>Sadla</t>
        </is>
      </c>
      <c r="L877" s="3" t="inlineStr">
        <is>
          <t>Gujarat</t>
        </is>
      </c>
      <c r="M877" s="9" t="inlineStr">
        <is>
          <t>NS</t>
        </is>
      </c>
      <c r="N877" s="3" t="inlineStr">
        <is>
          <t>Cold Soldering</t>
        </is>
      </c>
      <c r="O877" s="3" t="n">
        <v>570</v>
      </c>
      <c r="P877" s="5" t="inlineStr">
        <is>
          <t>NSMI24060092781</t>
        </is>
      </c>
      <c r="Q877" s="53">
        <f>MID(P877,5,2)</f>
        <v/>
      </c>
      <c r="R877" s="53">
        <f>MID(P877,7,2)</f>
        <v/>
      </c>
      <c r="S877" s="3" t="inlineStr">
        <is>
          <t>G2G</t>
        </is>
      </c>
      <c r="T877" s="3" t="inlineStr">
        <is>
          <t>P4</t>
        </is>
      </c>
      <c r="U877" s="3" t="inlineStr">
        <is>
          <t>N JB Cold Soldering</t>
        </is>
      </c>
      <c r="V877" s="3" t="inlineStr">
        <is>
          <t>Soldering</t>
        </is>
      </c>
      <c r="W877" s="3" t="inlineStr">
        <is>
          <t>Repair</t>
        </is>
      </c>
      <c r="X877" s="18" t="n">
        <v>46155</v>
      </c>
      <c r="Y877" s="3">
        <f>X877-A877</f>
        <v/>
      </c>
      <c r="Z877" s="18" t="n">
        <v>46155</v>
      </c>
      <c r="AA877" s="15" t="n"/>
      <c r="AB877" s="15" t="n"/>
    </row>
    <row r="878" hidden="1" s="233">
      <c r="A878" s="6" t="n">
        <v>46107</v>
      </c>
      <c r="B878" s="3" t="n">
        <v>2026</v>
      </c>
      <c r="C878" s="3" t="inlineStr">
        <is>
          <t>Blupine</t>
        </is>
      </c>
      <c r="D878" s="3" t="inlineStr">
        <is>
          <t>Utility and C&amp;I</t>
        </is>
      </c>
      <c r="E878" s="3" t="n"/>
      <c r="F878" s="3" t="inlineStr">
        <is>
          <t>Closed</t>
        </is>
      </c>
      <c r="G878" s="3" t="inlineStr">
        <is>
          <t>Chandrashekar Patidar</t>
        </is>
      </c>
      <c r="H878" s="3" t="n">
        <v>7879764773</v>
      </c>
      <c r="I878" s="11" t="inlineStr">
        <is>
          <t>PE26032601</t>
        </is>
      </c>
      <c r="J878" s="3" t="inlineStr">
        <is>
          <t>Module Diode Failure</t>
        </is>
      </c>
      <c r="K878" s="3" t="inlineStr">
        <is>
          <t>Sadla</t>
        </is>
      </c>
      <c r="L878" s="3" t="inlineStr">
        <is>
          <t>Gujarat</t>
        </is>
      </c>
      <c r="M878" s="9" t="inlineStr">
        <is>
          <t>NS</t>
        </is>
      </c>
      <c r="N878" s="3" t="inlineStr">
        <is>
          <t>Cold Soldering</t>
        </is>
      </c>
      <c r="O878" s="3" t="n">
        <v>570</v>
      </c>
      <c r="P878" s="3" t="inlineStr">
        <is>
          <t>NSMI24060100710</t>
        </is>
      </c>
      <c r="Q878" s="53">
        <f>MID(P878,5,2)</f>
        <v/>
      </c>
      <c r="R878" s="53">
        <f>MID(P878,7,2)</f>
        <v/>
      </c>
      <c r="S878" s="3" t="inlineStr">
        <is>
          <t>G2G</t>
        </is>
      </c>
      <c r="T878" s="3" t="inlineStr">
        <is>
          <t>P4</t>
        </is>
      </c>
      <c r="U878" s="3" t="inlineStr">
        <is>
          <t>N JB Cold Soldering</t>
        </is>
      </c>
      <c r="V878" s="3" t="inlineStr">
        <is>
          <t>Soldering</t>
        </is>
      </c>
      <c r="W878" s="3" t="inlineStr">
        <is>
          <t>Repair</t>
        </is>
      </c>
      <c r="X878" s="18" t="n">
        <v>46155</v>
      </c>
      <c r="Y878" s="3">
        <f>X878-A878</f>
        <v/>
      </c>
      <c r="Z878" s="18" t="n">
        <v>46155</v>
      </c>
      <c r="AA878" s="15" t="n"/>
      <c r="AB878" s="15" t="n"/>
    </row>
    <row r="879" hidden="1" s="233">
      <c r="A879" s="6" t="n">
        <v>46107</v>
      </c>
      <c r="B879" s="3" t="n">
        <v>2026</v>
      </c>
      <c r="C879" s="3" t="inlineStr">
        <is>
          <t>Blupine</t>
        </is>
      </c>
      <c r="D879" s="3" t="inlineStr">
        <is>
          <t>Utility and C&amp;I</t>
        </is>
      </c>
      <c r="E879" s="3" t="n"/>
      <c r="F879" s="3" t="inlineStr">
        <is>
          <t>Closed</t>
        </is>
      </c>
      <c r="G879" s="3" t="inlineStr">
        <is>
          <t>Chandrashekar Patidar</t>
        </is>
      </c>
      <c r="H879" s="3" t="n">
        <v>7879764773</v>
      </c>
      <c r="I879" s="11" t="inlineStr">
        <is>
          <t>PE26032601</t>
        </is>
      </c>
      <c r="J879" s="3" t="inlineStr">
        <is>
          <t>Module Diode Failure</t>
        </is>
      </c>
      <c r="K879" s="3" t="inlineStr">
        <is>
          <t>Sadla</t>
        </is>
      </c>
      <c r="L879" s="3" t="inlineStr">
        <is>
          <t>Gujarat</t>
        </is>
      </c>
      <c r="M879" s="9" t="inlineStr">
        <is>
          <t>NS</t>
        </is>
      </c>
      <c r="N879" s="3" t="inlineStr">
        <is>
          <t>Cold Soldering</t>
        </is>
      </c>
      <c r="O879" s="3" t="n">
        <v>570</v>
      </c>
      <c r="P879" s="9" t="inlineStr">
        <is>
          <t>NSMI24060100756</t>
        </is>
      </c>
      <c r="Q879" s="53">
        <f>MID(P879,5,2)</f>
        <v/>
      </c>
      <c r="R879" s="53">
        <f>MID(P879,7,2)</f>
        <v/>
      </c>
      <c r="S879" s="3" t="inlineStr">
        <is>
          <t>G2G</t>
        </is>
      </c>
      <c r="T879" s="3" t="inlineStr">
        <is>
          <t>P4</t>
        </is>
      </c>
      <c r="U879" s="3" t="inlineStr">
        <is>
          <t>N JB Cold Soldering</t>
        </is>
      </c>
      <c r="V879" s="3" t="inlineStr">
        <is>
          <t>Soldering</t>
        </is>
      </c>
      <c r="W879" s="3" t="inlineStr">
        <is>
          <t>Repair</t>
        </is>
      </c>
      <c r="X879" s="18" t="n">
        <v>46155</v>
      </c>
      <c r="Y879" s="3">
        <f>X879-A879</f>
        <v/>
      </c>
      <c r="Z879" s="18" t="n">
        <v>46155</v>
      </c>
      <c r="AA879" s="15" t="n"/>
      <c r="AB879" s="15" t="n"/>
    </row>
    <row r="880" hidden="1" s="233">
      <c r="A880" s="6" t="n">
        <v>46107</v>
      </c>
      <c r="B880" s="3" t="n">
        <v>2026</v>
      </c>
      <c r="C880" s="3" t="inlineStr">
        <is>
          <t>Blupine</t>
        </is>
      </c>
      <c r="D880" s="3" t="inlineStr">
        <is>
          <t>Utility and C&amp;I</t>
        </is>
      </c>
      <c r="E880" s="3" t="n"/>
      <c r="F880" s="3" t="inlineStr">
        <is>
          <t>Closed</t>
        </is>
      </c>
      <c r="G880" s="3" t="inlineStr">
        <is>
          <t>Chandrashekar Patidar</t>
        </is>
      </c>
      <c r="H880" s="3" t="n">
        <v>7879764773</v>
      </c>
      <c r="I880" s="11" t="inlineStr">
        <is>
          <t>PE26032601</t>
        </is>
      </c>
      <c r="J880" s="3" t="inlineStr">
        <is>
          <t>Module Diode Failure</t>
        </is>
      </c>
      <c r="K880" s="3" t="inlineStr">
        <is>
          <t>Sadla</t>
        </is>
      </c>
      <c r="L880" s="3" t="inlineStr">
        <is>
          <t>Gujarat</t>
        </is>
      </c>
      <c r="M880" s="9" t="inlineStr">
        <is>
          <t>NS</t>
        </is>
      </c>
      <c r="N880" s="3" t="inlineStr">
        <is>
          <t>Cold Soldering</t>
        </is>
      </c>
      <c r="O880" s="3" t="n">
        <v>570</v>
      </c>
      <c r="P880" s="9" t="inlineStr">
        <is>
          <t>NSMI24060100759</t>
        </is>
      </c>
      <c r="Q880" s="53">
        <f>MID(P880,5,2)</f>
        <v/>
      </c>
      <c r="R880" s="53">
        <f>MID(P880,7,2)</f>
        <v/>
      </c>
      <c r="S880" s="3" t="inlineStr">
        <is>
          <t>G2G</t>
        </is>
      </c>
      <c r="T880" s="3" t="inlineStr">
        <is>
          <t>P4</t>
        </is>
      </c>
      <c r="U880" s="3" t="inlineStr">
        <is>
          <t>N JB Cold Soldering</t>
        </is>
      </c>
      <c r="V880" s="3" t="inlineStr">
        <is>
          <t>Soldering</t>
        </is>
      </c>
      <c r="W880" s="3" t="inlineStr">
        <is>
          <t>Repair</t>
        </is>
      </c>
      <c r="X880" s="18" t="n">
        <v>46155</v>
      </c>
      <c r="Y880" s="3">
        <f>X880-A880</f>
        <v/>
      </c>
      <c r="Z880" s="18" t="n">
        <v>46155</v>
      </c>
      <c r="AA880" s="15" t="n"/>
      <c r="AB880" s="15" t="n"/>
    </row>
    <row r="881" hidden="1" s="233">
      <c r="A881" s="6" t="n">
        <v>46107</v>
      </c>
      <c r="B881" s="3" t="n">
        <v>2026</v>
      </c>
      <c r="C881" s="3" t="inlineStr">
        <is>
          <t>Blupine</t>
        </is>
      </c>
      <c r="D881" s="3" t="inlineStr">
        <is>
          <t>Utility and C&amp;I</t>
        </is>
      </c>
      <c r="E881" s="3" t="n"/>
      <c r="F881" s="3" t="inlineStr">
        <is>
          <t>Closed</t>
        </is>
      </c>
      <c r="G881" s="3" t="inlineStr">
        <is>
          <t>Chandrashekar Patidar</t>
        </is>
      </c>
      <c r="H881" s="3" t="n">
        <v>7879764773</v>
      </c>
      <c r="I881" s="11" t="inlineStr">
        <is>
          <t>PE26032601</t>
        </is>
      </c>
      <c r="J881" s="3" t="inlineStr">
        <is>
          <t>Module Diode Failure</t>
        </is>
      </c>
      <c r="K881" s="3" t="inlineStr">
        <is>
          <t>Sadla</t>
        </is>
      </c>
      <c r="L881" s="3" t="inlineStr">
        <is>
          <t>Gujarat</t>
        </is>
      </c>
      <c r="M881" s="9" t="inlineStr">
        <is>
          <t>NS</t>
        </is>
      </c>
      <c r="N881" s="3" t="inlineStr">
        <is>
          <t>Cold Soldering</t>
        </is>
      </c>
      <c r="O881" s="3" t="n">
        <v>570</v>
      </c>
      <c r="P881" s="9" t="inlineStr">
        <is>
          <t>NSMI24060120727</t>
        </is>
      </c>
      <c r="Q881" s="53">
        <f>MID(P881,5,2)</f>
        <v/>
      </c>
      <c r="R881" s="53">
        <f>MID(P881,7,2)</f>
        <v/>
      </c>
      <c r="S881" s="3" t="inlineStr">
        <is>
          <t>G2G</t>
        </is>
      </c>
      <c r="T881" s="3" t="inlineStr">
        <is>
          <t>P4</t>
        </is>
      </c>
      <c r="U881" s="3" t="inlineStr">
        <is>
          <t>N JB Cold Soldering</t>
        </is>
      </c>
      <c r="V881" s="3" t="inlineStr">
        <is>
          <t>Soldering</t>
        </is>
      </c>
      <c r="W881" s="3" t="inlineStr">
        <is>
          <t>Repair</t>
        </is>
      </c>
      <c r="X881" s="18" t="n">
        <v>46155</v>
      </c>
      <c r="Y881" s="3">
        <f>X881-A881</f>
        <v/>
      </c>
      <c r="Z881" s="18" t="n">
        <v>46155</v>
      </c>
      <c r="AA881" s="15" t="n"/>
      <c r="AB881" s="15" t="n"/>
    </row>
    <row r="882" hidden="1" s="233">
      <c r="A882" s="6" t="n">
        <v>46107</v>
      </c>
      <c r="B882" s="3" t="n">
        <v>2026</v>
      </c>
      <c r="C882" s="3" t="inlineStr">
        <is>
          <t>Blupine</t>
        </is>
      </c>
      <c r="D882" s="3" t="inlineStr">
        <is>
          <t>Utility and C&amp;I</t>
        </is>
      </c>
      <c r="E882" s="3" t="n"/>
      <c r="F882" s="3" t="inlineStr">
        <is>
          <t>Closed</t>
        </is>
      </c>
      <c r="G882" s="3" t="inlineStr">
        <is>
          <t>Chandrashekar Patidar</t>
        </is>
      </c>
      <c r="H882" s="3" t="n">
        <v>7879764773</v>
      </c>
      <c r="I882" s="11" t="inlineStr">
        <is>
          <t>PE26032601</t>
        </is>
      </c>
      <c r="J882" s="3" t="inlineStr">
        <is>
          <t>Module Diode Failure</t>
        </is>
      </c>
      <c r="K882" s="3" t="inlineStr">
        <is>
          <t>Sadla</t>
        </is>
      </c>
      <c r="L882" s="3" t="inlineStr">
        <is>
          <t>Gujarat</t>
        </is>
      </c>
      <c r="M882" s="9" t="inlineStr">
        <is>
          <t>NS</t>
        </is>
      </c>
      <c r="N882" s="3" t="inlineStr">
        <is>
          <t>Cold Soldering</t>
        </is>
      </c>
      <c r="O882" s="3" t="n">
        <v>570</v>
      </c>
      <c r="P882" s="9" t="inlineStr">
        <is>
          <t>NSMI24060082227</t>
        </is>
      </c>
      <c r="Q882" s="53">
        <f>MID(P882,5,2)</f>
        <v/>
      </c>
      <c r="R882" s="53">
        <f>MID(P882,7,2)</f>
        <v/>
      </c>
      <c r="S882" s="3" t="inlineStr">
        <is>
          <t>G2G</t>
        </is>
      </c>
      <c r="T882" s="3" t="inlineStr">
        <is>
          <t>P4</t>
        </is>
      </c>
      <c r="U882" s="3" t="inlineStr">
        <is>
          <t>N JB Cold Soldering</t>
        </is>
      </c>
      <c r="V882" s="3" t="inlineStr">
        <is>
          <t>Soldering</t>
        </is>
      </c>
      <c r="W882" s="3" t="inlineStr">
        <is>
          <t>Repair</t>
        </is>
      </c>
      <c r="X882" s="18" t="n">
        <v>46155</v>
      </c>
      <c r="Y882" s="3">
        <f>X882-A882</f>
        <v/>
      </c>
      <c r="Z882" s="18" t="n">
        <v>46155</v>
      </c>
      <c r="AA882" s="15" t="n"/>
      <c r="AB882" s="15" t="n"/>
    </row>
    <row r="883" hidden="1" s="233">
      <c r="A883" s="6" t="n">
        <v>46107</v>
      </c>
      <c r="B883" s="3" t="n">
        <v>2026</v>
      </c>
      <c r="C883" s="3" t="inlineStr">
        <is>
          <t>Blupine</t>
        </is>
      </c>
      <c r="D883" s="3" t="inlineStr">
        <is>
          <t>Utility and C&amp;I</t>
        </is>
      </c>
      <c r="E883" s="3" t="n"/>
      <c r="F883" s="3" t="inlineStr">
        <is>
          <t>Closed</t>
        </is>
      </c>
      <c r="G883" s="3" t="inlineStr">
        <is>
          <t>Chandrashekar Patidar</t>
        </is>
      </c>
      <c r="H883" s="3" t="n">
        <v>7879764773</v>
      </c>
      <c r="I883" s="11" t="inlineStr">
        <is>
          <t>PE26032601</t>
        </is>
      </c>
      <c r="J883" s="3" t="inlineStr">
        <is>
          <t>Module Diode Failure</t>
        </is>
      </c>
      <c r="K883" s="3" t="inlineStr">
        <is>
          <t>Sadla</t>
        </is>
      </c>
      <c r="L883" s="3" t="inlineStr">
        <is>
          <t>Gujarat</t>
        </is>
      </c>
      <c r="M883" s="9" t="inlineStr">
        <is>
          <t>PNS</t>
        </is>
      </c>
      <c r="N883" s="3" t="inlineStr">
        <is>
          <t>Cold Soldering</t>
        </is>
      </c>
      <c r="O883" s="3" t="n">
        <v>570</v>
      </c>
      <c r="P883" s="9" t="inlineStr">
        <is>
          <t>NSMI24060091934</t>
        </is>
      </c>
      <c r="Q883" s="53">
        <f>MID(P883,5,2)</f>
        <v/>
      </c>
      <c r="R883" s="53">
        <f>MID(P883,7,2)</f>
        <v/>
      </c>
      <c r="S883" s="3" t="inlineStr">
        <is>
          <t>G2G</t>
        </is>
      </c>
      <c r="T883" s="3" t="inlineStr">
        <is>
          <t>P4</t>
        </is>
      </c>
      <c r="U883" s="3" t="inlineStr">
        <is>
          <t>P &amp; N JB Cold Soldering</t>
        </is>
      </c>
      <c r="V883" s="3" t="inlineStr">
        <is>
          <t>Soldering</t>
        </is>
      </c>
      <c r="W883" s="3" t="inlineStr">
        <is>
          <t>Repair</t>
        </is>
      </c>
      <c r="X883" s="18" t="n">
        <v>46155</v>
      </c>
      <c r="Y883" s="3">
        <f>X883-A883</f>
        <v/>
      </c>
      <c r="Z883" s="18" t="n">
        <v>46155</v>
      </c>
      <c r="AA883" s="15" t="n"/>
      <c r="AB883" s="15" t="n"/>
    </row>
    <row r="884" hidden="1" s="233">
      <c r="A884" s="6" t="n">
        <v>46107</v>
      </c>
      <c r="B884" s="3" t="n">
        <v>2026</v>
      </c>
      <c r="C884" s="3" t="inlineStr">
        <is>
          <t>Blupine</t>
        </is>
      </c>
      <c r="D884" s="3" t="inlineStr">
        <is>
          <t>Utility and C&amp;I</t>
        </is>
      </c>
      <c r="E884" s="3" t="n"/>
      <c r="F884" s="3" t="inlineStr">
        <is>
          <t>Closed</t>
        </is>
      </c>
      <c r="G884" s="3" t="inlineStr">
        <is>
          <t>Chandrashekar Patidar</t>
        </is>
      </c>
      <c r="H884" s="3" t="n">
        <v>7879764773</v>
      </c>
      <c r="I884" s="11" t="inlineStr">
        <is>
          <t>PE26032601</t>
        </is>
      </c>
      <c r="J884" s="3" t="inlineStr">
        <is>
          <t>Module Diode Failure</t>
        </is>
      </c>
      <c r="K884" s="3" t="inlineStr">
        <is>
          <t>Sadla</t>
        </is>
      </c>
      <c r="L884" s="3" t="inlineStr">
        <is>
          <t>Gujarat</t>
        </is>
      </c>
      <c r="M884" s="9" t="inlineStr">
        <is>
          <t>PS</t>
        </is>
      </c>
      <c r="N884" s="3" t="inlineStr">
        <is>
          <t>Cold Soldering</t>
        </is>
      </c>
      <c r="O884" s="3" t="n">
        <v>570</v>
      </c>
      <c r="P884" s="9" t="inlineStr">
        <is>
          <t>NSMI24060095563</t>
        </is>
      </c>
      <c r="Q884" s="53">
        <f>MID(P884,5,2)</f>
        <v/>
      </c>
      <c r="R884" s="53">
        <f>MID(P884,7,2)</f>
        <v/>
      </c>
      <c r="S884" s="3" t="inlineStr">
        <is>
          <t>G2G</t>
        </is>
      </c>
      <c r="T884" s="3" t="inlineStr">
        <is>
          <t>P4</t>
        </is>
      </c>
      <c r="U884" s="3" t="inlineStr">
        <is>
          <t>P JB Cold Soldering</t>
        </is>
      </c>
      <c r="V884" s="3" t="inlineStr">
        <is>
          <t>Soldering</t>
        </is>
      </c>
      <c r="W884" s="3" t="inlineStr">
        <is>
          <t>Repair</t>
        </is>
      </c>
      <c r="X884" s="18" t="n">
        <v>46155</v>
      </c>
      <c r="Y884" s="3">
        <f>X884-A884</f>
        <v/>
      </c>
      <c r="Z884" s="18" t="n">
        <v>46155</v>
      </c>
      <c r="AA884" s="15" t="n"/>
      <c r="AB884" s="15" t="n"/>
    </row>
    <row r="885" hidden="1" s="233">
      <c r="A885" s="6" t="n">
        <v>46107</v>
      </c>
      <c r="B885" s="3" t="n">
        <v>2026</v>
      </c>
      <c r="C885" s="3" t="inlineStr">
        <is>
          <t>Blupine</t>
        </is>
      </c>
      <c r="D885" s="3" t="inlineStr">
        <is>
          <t>Utility and C&amp;I</t>
        </is>
      </c>
      <c r="E885" s="3" t="n"/>
      <c r="F885" s="3" t="inlineStr">
        <is>
          <t>Closed</t>
        </is>
      </c>
      <c r="G885" s="3" t="inlineStr">
        <is>
          <t>Chandrashekar Patidar</t>
        </is>
      </c>
      <c r="H885" s="3" t="n">
        <v>7879764773</v>
      </c>
      <c r="I885" s="11" t="inlineStr">
        <is>
          <t>PE26032601</t>
        </is>
      </c>
      <c r="J885" s="3" t="inlineStr">
        <is>
          <t>Module Diode Failure</t>
        </is>
      </c>
      <c r="K885" s="3" t="inlineStr">
        <is>
          <t>Sadla</t>
        </is>
      </c>
      <c r="L885" s="3" t="inlineStr">
        <is>
          <t>Gujarat</t>
        </is>
      </c>
      <c r="M885" s="9" t="inlineStr">
        <is>
          <t>NS</t>
        </is>
      </c>
      <c r="N885" s="3" t="inlineStr">
        <is>
          <t>Cold Soldering</t>
        </is>
      </c>
      <c r="O885" s="3" t="n">
        <v>570</v>
      </c>
      <c r="P885" s="9" t="inlineStr">
        <is>
          <t>NSMI24060114834</t>
        </is>
      </c>
      <c r="Q885" s="53">
        <f>MID(P885,5,2)</f>
        <v/>
      </c>
      <c r="R885" s="53">
        <f>MID(P885,7,2)</f>
        <v/>
      </c>
      <c r="S885" s="3" t="inlineStr">
        <is>
          <t>G2G</t>
        </is>
      </c>
      <c r="T885" s="3" t="inlineStr">
        <is>
          <t>P4</t>
        </is>
      </c>
      <c r="U885" s="3" t="inlineStr">
        <is>
          <t>N JB Cold Soldering</t>
        </is>
      </c>
      <c r="V885" s="3" t="inlineStr">
        <is>
          <t>Soldering</t>
        </is>
      </c>
      <c r="W885" s="3" t="inlineStr">
        <is>
          <t>Repair</t>
        </is>
      </c>
      <c r="X885" s="18" t="n">
        <v>46155</v>
      </c>
      <c r="Y885" s="3">
        <f>X885-A885</f>
        <v/>
      </c>
      <c r="Z885" s="18" t="n">
        <v>46155</v>
      </c>
      <c r="AA885" s="15" t="n"/>
      <c r="AB885" s="15" t="n"/>
    </row>
    <row r="886" hidden="1" s="233">
      <c r="A886" s="6" t="n">
        <v>46107</v>
      </c>
      <c r="B886" s="3" t="n">
        <v>2026</v>
      </c>
      <c r="C886" s="3" t="inlineStr">
        <is>
          <t>Blupine</t>
        </is>
      </c>
      <c r="D886" s="3" t="inlineStr">
        <is>
          <t>Utility and C&amp;I</t>
        </is>
      </c>
      <c r="E886" s="3" t="n"/>
      <c r="F886" s="3" t="inlineStr">
        <is>
          <t>Closed</t>
        </is>
      </c>
      <c r="G886" s="3" t="inlineStr">
        <is>
          <t>Chandrashekar Patidar</t>
        </is>
      </c>
      <c r="H886" s="3" t="n">
        <v>7879764773</v>
      </c>
      <c r="I886" s="11" t="inlineStr">
        <is>
          <t>PE26032601</t>
        </is>
      </c>
      <c r="J886" s="3" t="inlineStr">
        <is>
          <t>Module Diode Failure</t>
        </is>
      </c>
      <c r="K886" s="3" t="inlineStr">
        <is>
          <t>Sadla</t>
        </is>
      </c>
      <c r="L886" s="3" t="inlineStr">
        <is>
          <t>Gujarat</t>
        </is>
      </c>
      <c r="M886" s="9" t="inlineStr">
        <is>
          <t>PS</t>
        </is>
      </c>
      <c r="N886" s="3" t="inlineStr">
        <is>
          <t>Cold Soldering</t>
        </is>
      </c>
      <c r="O886" s="3" t="n">
        <v>570</v>
      </c>
      <c r="P886" s="9" t="inlineStr">
        <is>
          <t>NSMI24060077497</t>
        </is>
      </c>
      <c r="Q886" s="53">
        <f>MID(P886,5,2)</f>
        <v/>
      </c>
      <c r="R886" s="53">
        <f>MID(P886,7,2)</f>
        <v/>
      </c>
      <c r="S886" s="3" t="inlineStr">
        <is>
          <t>G2G</t>
        </is>
      </c>
      <c r="T886" s="3" t="inlineStr">
        <is>
          <t>P4</t>
        </is>
      </c>
      <c r="U886" s="3" t="inlineStr">
        <is>
          <t>P JB Cold Soldering</t>
        </is>
      </c>
      <c r="V886" s="3" t="inlineStr">
        <is>
          <t>Soldering</t>
        </is>
      </c>
      <c r="W886" s="3" t="inlineStr">
        <is>
          <t>Repair</t>
        </is>
      </c>
      <c r="X886" s="18" t="n">
        <v>46155</v>
      </c>
      <c r="Y886" s="3">
        <f>X886-A886</f>
        <v/>
      </c>
      <c r="Z886" s="18" t="n">
        <v>46155</v>
      </c>
      <c r="AA886" s="15" t="n"/>
      <c r="AB886" s="15" t="n"/>
    </row>
    <row r="887" hidden="1" s="233">
      <c r="A887" s="6" t="n">
        <v>46107</v>
      </c>
      <c r="B887" s="3" t="n">
        <v>2026</v>
      </c>
      <c r="C887" s="3" t="inlineStr">
        <is>
          <t>Blupine</t>
        </is>
      </c>
      <c r="D887" s="3" t="inlineStr">
        <is>
          <t>Utility and C&amp;I</t>
        </is>
      </c>
      <c r="E887" s="3" t="n"/>
      <c r="F887" s="3" t="inlineStr">
        <is>
          <t>Closed</t>
        </is>
      </c>
      <c r="G887" s="3" t="inlineStr">
        <is>
          <t>Chandrashekar Patidar</t>
        </is>
      </c>
      <c r="H887" s="3" t="n">
        <v>7879764773</v>
      </c>
      <c r="I887" s="11" t="inlineStr">
        <is>
          <t>PE26032601</t>
        </is>
      </c>
      <c r="J887" s="3" t="inlineStr">
        <is>
          <t>Module Diode Failure</t>
        </is>
      </c>
      <c r="K887" s="3" t="inlineStr">
        <is>
          <t>Sadla</t>
        </is>
      </c>
      <c r="L887" s="3" t="inlineStr">
        <is>
          <t>Gujarat</t>
        </is>
      </c>
      <c r="M887" s="9" t="inlineStr">
        <is>
          <t>PS</t>
        </is>
      </c>
      <c r="N887" s="3" t="inlineStr">
        <is>
          <t>Cold Soldering</t>
        </is>
      </c>
      <c r="O887" s="3" t="n">
        <v>570</v>
      </c>
      <c r="P887" s="9" t="inlineStr">
        <is>
          <t>NSMI24060076817</t>
        </is>
      </c>
      <c r="Q887" s="53">
        <f>MID(P887,5,2)</f>
        <v/>
      </c>
      <c r="R887" s="53">
        <f>MID(P887,7,2)</f>
        <v/>
      </c>
      <c r="S887" s="3" t="inlineStr">
        <is>
          <t>G2G</t>
        </is>
      </c>
      <c r="T887" s="3" t="inlineStr">
        <is>
          <t>P4</t>
        </is>
      </c>
      <c r="U887" s="3" t="inlineStr">
        <is>
          <t>P JB Cold Soldering &amp; Glass Breakage</t>
        </is>
      </c>
      <c r="V887" s="3" t="inlineStr">
        <is>
          <t>Soldering</t>
        </is>
      </c>
      <c r="W887" s="3" t="inlineStr">
        <is>
          <t>Repair</t>
        </is>
      </c>
      <c r="X887" s="18" t="n">
        <v>46155</v>
      </c>
      <c r="Y887" s="3">
        <f>X887-A887</f>
        <v/>
      </c>
      <c r="Z887" s="18" t="n">
        <v>46155</v>
      </c>
      <c r="AA887" s="15" t="n"/>
      <c r="AB887" s="15" t="n"/>
    </row>
    <row r="888">
      <c r="A888" s="37" t="n">
        <v>46143</v>
      </c>
      <c r="B888" s="3" t="n">
        <v>2026</v>
      </c>
      <c r="C888" s="26" t="inlineStr">
        <is>
          <t>Yanara Power</t>
        </is>
      </c>
      <c r="D888" s="3" t="inlineStr">
        <is>
          <t>Utility and C&amp;I</t>
        </is>
      </c>
      <c r="E888" s="3" t="n"/>
      <c r="F888" s="3" t="inlineStr">
        <is>
          <t>Closed</t>
        </is>
      </c>
      <c r="G888" s="9" t="inlineStr">
        <is>
          <t xml:space="preserve">Ashish Jindal </t>
        </is>
      </c>
      <c r="H888" s="26" t="n">
        <v>9983975581</v>
      </c>
      <c r="I888" s="38" t="inlineStr">
        <is>
          <t>PE01052601</t>
        </is>
      </c>
      <c r="J888" s="26" t="inlineStr">
        <is>
          <t>Multiple Issues</t>
        </is>
      </c>
      <c r="K888" s="39" t="inlineStr">
        <is>
          <t>Holi</t>
        </is>
      </c>
      <c r="L888" s="39" t="inlineStr">
        <is>
          <t>Maharashtra</t>
        </is>
      </c>
      <c r="M888" s="9" t="inlineStr">
        <is>
          <t>PR</t>
        </is>
      </c>
      <c r="N888" s="3" t="inlineStr">
        <is>
          <t>JB Issue</t>
        </is>
      </c>
      <c r="O888" s="39" t="n">
        <v>575</v>
      </c>
      <c r="P888" s="9" t="inlineStr">
        <is>
          <t>NSMI24070194517</t>
        </is>
      </c>
      <c r="Q888" s="53">
        <f>MID(P888,5,2)</f>
        <v/>
      </c>
      <c r="R888" s="53">
        <f>MID(P888,7,2)</f>
        <v/>
      </c>
      <c r="S888" s="3" t="inlineStr">
        <is>
          <t>G2TB</t>
        </is>
      </c>
      <c r="T888" s="3" t="inlineStr">
        <is>
          <t>P4</t>
        </is>
      </c>
      <c r="U888" s="3" t="inlineStr">
        <is>
          <t>P JB Issue</t>
        </is>
      </c>
      <c r="V888" s="15" t="inlineStr">
        <is>
          <t>JB Changed</t>
        </is>
      </c>
      <c r="W888" s="3" t="inlineStr">
        <is>
          <t>Repair</t>
        </is>
      </c>
      <c r="X888" s="18" t="n">
        <v>46155</v>
      </c>
      <c r="Y888" s="3">
        <f>X888-A888</f>
        <v/>
      </c>
      <c r="Z888" s="18" t="n">
        <v>46155</v>
      </c>
      <c r="AA888" s="15" t="n"/>
      <c r="AB888" s="15" t="n"/>
    </row>
    <row r="889">
      <c r="A889" s="37" t="n">
        <v>46143</v>
      </c>
      <c r="B889" s="3" t="n">
        <v>2026</v>
      </c>
      <c r="C889" s="26" t="inlineStr">
        <is>
          <t>Yanara Power</t>
        </is>
      </c>
      <c r="D889" s="3" t="inlineStr">
        <is>
          <t>Utility and C&amp;I</t>
        </is>
      </c>
      <c r="E889" s="3" t="n"/>
      <c r="F889" s="3" t="inlineStr">
        <is>
          <t>Closed</t>
        </is>
      </c>
      <c r="G889" s="9" t="inlineStr">
        <is>
          <t xml:space="preserve">Ashish Jindal </t>
        </is>
      </c>
      <c r="H889" s="26" t="n">
        <v>9983975581</v>
      </c>
      <c r="I889" s="38" t="inlineStr">
        <is>
          <t>PE01052601</t>
        </is>
      </c>
      <c r="J889" s="26" t="inlineStr">
        <is>
          <t>Multiple Issues</t>
        </is>
      </c>
      <c r="K889" s="39" t="inlineStr">
        <is>
          <t>Holi</t>
        </is>
      </c>
      <c r="L889" s="39" t="inlineStr">
        <is>
          <t>Maharashtra</t>
        </is>
      </c>
      <c r="M889" s="9" t="inlineStr">
        <is>
          <t>PS</t>
        </is>
      </c>
      <c r="N889" s="3" t="inlineStr">
        <is>
          <t>Cold Soldering</t>
        </is>
      </c>
      <c r="O889" s="39" t="n">
        <v>575</v>
      </c>
      <c r="P889" s="9" t="inlineStr">
        <is>
          <t>NSMI24070198902</t>
        </is>
      </c>
      <c r="Q889" s="53">
        <f>MID(P889,5,2)</f>
        <v/>
      </c>
      <c r="R889" s="53">
        <f>MID(P889,7,2)</f>
        <v/>
      </c>
      <c r="S889" s="3" t="inlineStr">
        <is>
          <t>G2G</t>
        </is>
      </c>
      <c r="T889" s="3" t="inlineStr">
        <is>
          <t>P4</t>
        </is>
      </c>
      <c r="U889" s="3" t="inlineStr">
        <is>
          <t>P JB Cold Soldering</t>
        </is>
      </c>
      <c r="V889" s="3" t="inlineStr">
        <is>
          <t>Soldering</t>
        </is>
      </c>
      <c r="W889" s="3" t="inlineStr">
        <is>
          <t>Repair</t>
        </is>
      </c>
      <c r="X889" s="18" t="n">
        <v>46155</v>
      </c>
      <c r="Y889" s="3">
        <f>X889-A889</f>
        <v/>
      </c>
      <c r="Z889" s="18" t="n">
        <v>46155</v>
      </c>
      <c r="AA889" s="15" t="n"/>
      <c r="AB889" s="15" t="n"/>
    </row>
    <row r="890">
      <c r="A890" s="37" t="n">
        <v>46143</v>
      </c>
      <c r="B890" s="3" t="n">
        <v>2026</v>
      </c>
      <c r="C890" s="26" t="inlineStr">
        <is>
          <t>Yanara Power</t>
        </is>
      </c>
      <c r="D890" s="3" t="inlineStr">
        <is>
          <t>Utility and C&amp;I</t>
        </is>
      </c>
      <c r="E890" s="3" t="n"/>
      <c r="F890" s="3" t="inlineStr">
        <is>
          <t>Closed</t>
        </is>
      </c>
      <c r="G890" s="9" t="inlineStr">
        <is>
          <t xml:space="preserve">Ashish Jindal </t>
        </is>
      </c>
      <c r="H890" s="26" t="n">
        <v>9983975581</v>
      </c>
      <c r="I890" s="38" t="inlineStr">
        <is>
          <t>PE01052601</t>
        </is>
      </c>
      <c r="J890" s="26" t="inlineStr">
        <is>
          <t>Multiple Issues</t>
        </is>
      </c>
      <c r="K890" s="39" t="inlineStr">
        <is>
          <t>Holi</t>
        </is>
      </c>
      <c r="L890" s="39" t="inlineStr">
        <is>
          <t>Maharashtra</t>
        </is>
      </c>
      <c r="M890" s="9" t="inlineStr">
        <is>
          <t>PS</t>
        </is>
      </c>
      <c r="N890" s="3" t="inlineStr">
        <is>
          <t>Cold Soldering</t>
        </is>
      </c>
      <c r="O890" s="39" t="n">
        <v>575</v>
      </c>
      <c r="P890" s="9" t="inlineStr">
        <is>
          <t>NSMI24070183172</t>
        </is>
      </c>
      <c r="Q890" s="53">
        <f>MID(P890,5,2)</f>
        <v/>
      </c>
      <c r="R890" s="53">
        <f>MID(P890,7,2)</f>
        <v/>
      </c>
      <c r="S890" s="3" t="inlineStr">
        <is>
          <t>G2G</t>
        </is>
      </c>
      <c r="T890" s="3" t="inlineStr">
        <is>
          <t>P4</t>
        </is>
      </c>
      <c r="U890" s="3" t="inlineStr">
        <is>
          <t>P JB Cold Soldering</t>
        </is>
      </c>
      <c r="V890" s="3" t="inlineStr">
        <is>
          <t>Soldering</t>
        </is>
      </c>
      <c r="W890" s="3" t="inlineStr">
        <is>
          <t>Repair</t>
        </is>
      </c>
      <c r="X890" s="18" t="n">
        <v>46155</v>
      </c>
      <c r="Y890" s="3">
        <f>X890-A890</f>
        <v/>
      </c>
      <c r="Z890" s="18" t="n">
        <v>46155</v>
      </c>
      <c r="AA890" s="15" t="n"/>
      <c r="AB890" s="15" t="n"/>
    </row>
    <row r="891">
      <c r="A891" s="37" t="n">
        <v>46143</v>
      </c>
      <c r="B891" s="3" t="n">
        <v>2026</v>
      </c>
      <c r="C891" s="26" t="inlineStr">
        <is>
          <t>Yanara Power</t>
        </is>
      </c>
      <c r="D891" s="3" t="inlineStr">
        <is>
          <t>Utility and C&amp;I</t>
        </is>
      </c>
      <c r="E891" s="3" t="n"/>
      <c r="F891" s="3" t="inlineStr">
        <is>
          <t>Closed</t>
        </is>
      </c>
      <c r="G891" s="9" t="inlineStr">
        <is>
          <t xml:space="preserve">Ashish Jindal </t>
        </is>
      </c>
      <c r="H891" s="26" t="n">
        <v>9983975581</v>
      </c>
      <c r="I891" s="38" t="inlineStr">
        <is>
          <t>PE01052601</t>
        </is>
      </c>
      <c r="J891" s="26" t="inlineStr">
        <is>
          <t>Multiple Issues</t>
        </is>
      </c>
      <c r="K891" s="39" t="inlineStr">
        <is>
          <t>Holi</t>
        </is>
      </c>
      <c r="L891" s="39" t="inlineStr">
        <is>
          <t>Maharashtra</t>
        </is>
      </c>
      <c r="M891" s="9" t="inlineStr">
        <is>
          <t>NS</t>
        </is>
      </c>
      <c r="N891" s="3" t="inlineStr">
        <is>
          <t>Cold Soldering</t>
        </is>
      </c>
      <c r="O891" s="39" t="n">
        <v>575</v>
      </c>
      <c r="P891" s="9" t="inlineStr">
        <is>
          <t>NSMI24070183105</t>
        </is>
      </c>
      <c r="Q891" s="53">
        <f>MID(P891,5,2)</f>
        <v/>
      </c>
      <c r="R891" s="53">
        <f>MID(P891,7,2)</f>
        <v/>
      </c>
      <c r="S891" s="3" t="inlineStr">
        <is>
          <t>G2TB</t>
        </is>
      </c>
      <c r="T891" s="3" t="inlineStr">
        <is>
          <t>P4</t>
        </is>
      </c>
      <c r="U891" s="3" t="inlineStr">
        <is>
          <t>N JB Cold Soldering</t>
        </is>
      </c>
      <c r="V891" s="3" t="inlineStr">
        <is>
          <t>Soldering</t>
        </is>
      </c>
      <c r="W891" s="3" t="inlineStr">
        <is>
          <t>Repair</t>
        </is>
      </c>
      <c r="X891" s="18" t="n">
        <v>46155</v>
      </c>
      <c r="Y891" s="3">
        <f>X891-A891</f>
        <v/>
      </c>
      <c r="Z891" s="18" t="n">
        <v>46155</v>
      </c>
      <c r="AA891" s="15" t="n"/>
      <c r="AB891" s="15" t="n"/>
    </row>
    <row r="892">
      <c r="A892" s="37" t="n">
        <v>46143</v>
      </c>
      <c r="B892" s="3" t="n">
        <v>2026</v>
      </c>
      <c r="C892" s="26" t="inlineStr">
        <is>
          <t>Yanara Power</t>
        </is>
      </c>
      <c r="D892" s="3" t="inlineStr">
        <is>
          <t>Utility and C&amp;I</t>
        </is>
      </c>
      <c r="E892" s="3" t="n"/>
      <c r="F892" s="3" t="inlineStr">
        <is>
          <t>Closed</t>
        </is>
      </c>
      <c r="G892" s="9" t="inlineStr">
        <is>
          <t xml:space="preserve">Ashish Jindal </t>
        </is>
      </c>
      <c r="H892" s="26" t="n">
        <v>9983975581</v>
      </c>
      <c r="I892" s="38" t="inlineStr">
        <is>
          <t>PE01052601</t>
        </is>
      </c>
      <c r="J892" s="26" t="inlineStr">
        <is>
          <t>Multiple Issues</t>
        </is>
      </c>
      <c r="K892" s="39" t="inlineStr">
        <is>
          <t>Holi</t>
        </is>
      </c>
      <c r="L892" s="39" t="inlineStr">
        <is>
          <t>Maharashtra</t>
        </is>
      </c>
      <c r="M892" s="9" t="inlineStr">
        <is>
          <t>PS</t>
        </is>
      </c>
      <c r="N892" s="3" t="inlineStr">
        <is>
          <t>Cold Soldering</t>
        </is>
      </c>
      <c r="O892" s="39" t="n">
        <v>575</v>
      </c>
      <c r="P892" s="9" t="inlineStr">
        <is>
          <t>NSMI24070183189</t>
        </is>
      </c>
      <c r="Q892" s="53">
        <f>MID(P892,5,2)</f>
        <v/>
      </c>
      <c r="R892" s="53">
        <f>MID(P892,7,2)</f>
        <v/>
      </c>
      <c r="S892" s="3" t="inlineStr">
        <is>
          <t>G2G</t>
        </is>
      </c>
      <c r="T892" s="3" t="inlineStr">
        <is>
          <t>P4</t>
        </is>
      </c>
      <c r="U892" s="3" t="inlineStr">
        <is>
          <t>P JB Cold Soldering</t>
        </is>
      </c>
      <c r="V892" s="3" t="inlineStr">
        <is>
          <t>Soldering</t>
        </is>
      </c>
      <c r="W892" s="3" t="inlineStr">
        <is>
          <t>Repair</t>
        </is>
      </c>
      <c r="X892" s="18" t="n">
        <v>46155</v>
      </c>
      <c r="Y892" s="3">
        <f>X892-A892</f>
        <v/>
      </c>
      <c r="Z892" s="18" t="n">
        <v>46155</v>
      </c>
      <c r="AA892" s="15" t="n"/>
      <c r="AB892" s="15" t="n"/>
    </row>
    <row r="893">
      <c r="A893" s="37" t="n">
        <v>46143</v>
      </c>
      <c r="B893" s="3" t="n">
        <v>2026</v>
      </c>
      <c r="C893" s="26" t="inlineStr">
        <is>
          <t>Yanara Power</t>
        </is>
      </c>
      <c r="D893" s="3" t="inlineStr">
        <is>
          <t>Utility and C&amp;I</t>
        </is>
      </c>
      <c r="E893" s="3" t="n"/>
      <c r="F893" s="3" t="inlineStr">
        <is>
          <t>Closed</t>
        </is>
      </c>
      <c r="G893" s="9" t="inlineStr">
        <is>
          <t xml:space="preserve">Ashish Jindal </t>
        </is>
      </c>
      <c r="H893" s="26" t="n">
        <v>9983975581</v>
      </c>
      <c r="I893" s="38" t="inlineStr">
        <is>
          <t>PE01052601</t>
        </is>
      </c>
      <c r="J893" s="26" t="inlineStr">
        <is>
          <t>Multiple Issues</t>
        </is>
      </c>
      <c r="K893" s="39" t="inlineStr">
        <is>
          <t>Holi</t>
        </is>
      </c>
      <c r="L893" s="39" t="inlineStr">
        <is>
          <t>Maharashtra</t>
        </is>
      </c>
      <c r="M893" s="9" t="inlineStr">
        <is>
          <t>NS</t>
        </is>
      </c>
      <c r="N893" s="3" t="inlineStr">
        <is>
          <t>Cold Soldering</t>
        </is>
      </c>
      <c r="O893" s="39" t="n">
        <v>575</v>
      </c>
      <c r="P893" s="9" t="inlineStr">
        <is>
          <t>NSMI24070183157</t>
        </is>
      </c>
      <c r="Q893" s="53">
        <f>MID(P893,5,2)</f>
        <v/>
      </c>
      <c r="R893" s="53">
        <f>MID(P893,7,2)</f>
        <v/>
      </c>
      <c r="S893" s="3" t="inlineStr">
        <is>
          <t>G2TB</t>
        </is>
      </c>
      <c r="T893" s="3" t="inlineStr">
        <is>
          <t>P4</t>
        </is>
      </c>
      <c r="U893" s="3" t="inlineStr">
        <is>
          <t>N JB Cold Soldering</t>
        </is>
      </c>
      <c r="V893" s="3" t="inlineStr">
        <is>
          <t>Soldering</t>
        </is>
      </c>
      <c r="W893" s="3" t="inlineStr">
        <is>
          <t>Repair</t>
        </is>
      </c>
      <c r="X893" s="18" t="n">
        <v>46155</v>
      </c>
      <c r="Y893" s="3">
        <f>X893-A893</f>
        <v/>
      </c>
      <c r="Z893" s="18" t="n">
        <v>46155</v>
      </c>
      <c r="AA893" s="15" t="n"/>
      <c r="AB893" s="15" t="n"/>
    </row>
    <row r="894">
      <c r="A894" s="37" t="n">
        <v>46143</v>
      </c>
      <c r="B894" s="3" t="n">
        <v>2026</v>
      </c>
      <c r="C894" s="26" t="inlineStr">
        <is>
          <t>Yanara Power</t>
        </is>
      </c>
      <c r="D894" s="3" t="inlineStr">
        <is>
          <t>Utility and C&amp;I</t>
        </is>
      </c>
      <c r="E894" s="3" t="n"/>
      <c r="F894" s="3" t="inlineStr">
        <is>
          <t>Closed</t>
        </is>
      </c>
      <c r="G894" s="9" t="inlineStr">
        <is>
          <t xml:space="preserve">Ashish Jindal </t>
        </is>
      </c>
      <c r="H894" s="26" t="n">
        <v>9983975581</v>
      </c>
      <c r="I894" s="38" t="inlineStr">
        <is>
          <t>PE01052601</t>
        </is>
      </c>
      <c r="J894" s="26" t="inlineStr">
        <is>
          <t>Multiple Issues</t>
        </is>
      </c>
      <c r="K894" s="39" t="inlineStr">
        <is>
          <t>Holi</t>
        </is>
      </c>
      <c r="L894" s="39" t="inlineStr">
        <is>
          <t>Maharashtra</t>
        </is>
      </c>
      <c r="M894" s="9" t="inlineStr">
        <is>
          <t>PNS</t>
        </is>
      </c>
      <c r="N894" s="3" t="inlineStr">
        <is>
          <t>Cold Soldering</t>
        </is>
      </c>
      <c r="O894" s="39" t="n">
        <v>575</v>
      </c>
      <c r="P894" s="9" t="inlineStr">
        <is>
          <t>NSMI24070198298</t>
        </is>
      </c>
      <c r="Q894" s="53">
        <f>MID(P894,5,2)</f>
        <v/>
      </c>
      <c r="R894" s="53">
        <f>MID(P894,7,2)</f>
        <v/>
      </c>
      <c r="S894" s="3" t="inlineStr">
        <is>
          <t>G2TB</t>
        </is>
      </c>
      <c r="T894" s="3" t="inlineStr">
        <is>
          <t>P4</t>
        </is>
      </c>
      <c r="U894" s="3" t="inlineStr">
        <is>
          <t>P &amp; N JB Cold Soldering</t>
        </is>
      </c>
      <c r="V894" s="3" t="inlineStr">
        <is>
          <t>Soldering</t>
        </is>
      </c>
      <c r="W894" s="3" t="inlineStr">
        <is>
          <t>Repair</t>
        </is>
      </c>
      <c r="X894" s="18" t="n">
        <v>46155</v>
      </c>
      <c r="Y894" s="3">
        <f>X894-A894</f>
        <v/>
      </c>
      <c r="Z894" s="18" t="n">
        <v>46155</v>
      </c>
      <c r="AA894" s="15" t="n"/>
      <c r="AB894" s="15" t="n"/>
    </row>
    <row r="895">
      <c r="A895" s="37" t="n">
        <v>46143</v>
      </c>
      <c r="B895" s="3" t="n">
        <v>2026</v>
      </c>
      <c r="C895" s="26" t="inlineStr">
        <is>
          <t>Yanara Power</t>
        </is>
      </c>
      <c r="D895" s="3" t="inlineStr">
        <is>
          <t>Utility and C&amp;I</t>
        </is>
      </c>
      <c r="E895" s="3" t="n"/>
      <c r="F895" s="3" t="inlineStr">
        <is>
          <t>Closed</t>
        </is>
      </c>
      <c r="G895" s="9" t="inlineStr">
        <is>
          <t xml:space="preserve">Ashish Jindal </t>
        </is>
      </c>
      <c r="H895" s="26" t="n">
        <v>9983975581</v>
      </c>
      <c r="I895" s="38" t="inlineStr">
        <is>
          <t>PE01052601</t>
        </is>
      </c>
      <c r="J895" s="26" t="inlineStr">
        <is>
          <t>Multiple Issues</t>
        </is>
      </c>
      <c r="K895" s="39" t="inlineStr">
        <is>
          <t>Holi</t>
        </is>
      </c>
      <c r="L895" s="39" t="inlineStr">
        <is>
          <t>Maharashtra</t>
        </is>
      </c>
      <c r="M895" s="9" t="inlineStr">
        <is>
          <t>PS</t>
        </is>
      </c>
      <c r="N895" s="3" t="inlineStr">
        <is>
          <t>Cold Soldering</t>
        </is>
      </c>
      <c r="O895" s="39" t="n">
        <v>575</v>
      </c>
      <c r="P895" s="9" t="inlineStr">
        <is>
          <t>NSMI24070179047</t>
        </is>
      </c>
      <c r="Q895" s="53">
        <f>MID(P895,5,2)</f>
        <v/>
      </c>
      <c r="R895" s="53">
        <f>MID(P895,7,2)</f>
        <v/>
      </c>
      <c r="S895" s="3" t="inlineStr">
        <is>
          <t>G2G</t>
        </is>
      </c>
      <c r="T895" s="3" t="inlineStr">
        <is>
          <t>P4</t>
        </is>
      </c>
      <c r="U895" s="3" t="inlineStr">
        <is>
          <t>P JB Cold Soldering</t>
        </is>
      </c>
      <c r="V895" s="3" t="inlineStr">
        <is>
          <t>Soldering</t>
        </is>
      </c>
      <c r="W895" s="3" t="inlineStr">
        <is>
          <t>Repair</t>
        </is>
      </c>
      <c r="X895" s="18" t="n">
        <v>46155</v>
      </c>
      <c r="Y895" s="3">
        <f>X895-A895</f>
        <v/>
      </c>
      <c r="Z895" s="18" t="n">
        <v>46155</v>
      </c>
      <c r="AA895" s="15" t="n"/>
      <c r="AB895" s="15" t="n"/>
    </row>
    <row r="896">
      <c r="A896" s="37" t="n">
        <v>46143</v>
      </c>
      <c r="B896" s="3" t="n">
        <v>2026</v>
      </c>
      <c r="C896" s="26" t="inlineStr">
        <is>
          <t>Yanara Power</t>
        </is>
      </c>
      <c r="D896" s="3" t="inlineStr">
        <is>
          <t>Utility and C&amp;I</t>
        </is>
      </c>
      <c r="E896" s="3" t="n"/>
      <c r="F896" s="3" t="inlineStr">
        <is>
          <t>Closed</t>
        </is>
      </c>
      <c r="G896" s="9" t="inlineStr">
        <is>
          <t xml:space="preserve">Ashish Jindal </t>
        </is>
      </c>
      <c r="H896" s="26" t="n">
        <v>9983975581</v>
      </c>
      <c r="I896" s="38" t="inlineStr">
        <is>
          <t>PE01052601</t>
        </is>
      </c>
      <c r="J896" s="26" t="inlineStr">
        <is>
          <t>Multiple Issues</t>
        </is>
      </c>
      <c r="K896" s="39" t="inlineStr">
        <is>
          <t>Holi</t>
        </is>
      </c>
      <c r="L896" s="39" t="inlineStr">
        <is>
          <t>Maharashtra</t>
        </is>
      </c>
      <c r="M896" s="9" t="inlineStr">
        <is>
          <t>PS</t>
        </is>
      </c>
      <c r="N896" s="3" t="inlineStr">
        <is>
          <t>Cold Soldering</t>
        </is>
      </c>
      <c r="O896" s="39" t="n">
        <v>575</v>
      </c>
      <c r="P896" s="9" t="inlineStr">
        <is>
          <t>NSMI24070178780</t>
        </is>
      </c>
      <c r="Q896" s="53">
        <f>MID(P896,5,2)</f>
        <v/>
      </c>
      <c r="R896" s="53">
        <f>MID(P896,7,2)</f>
        <v/>
      </c>
      <c r="S896" s="3" t="inlineStr">
        <is>
          <t>G2G</t>
        </is>
      </c>
      <c r="T896" s="3" t="inlineStr">
        <is>
          <t>P4</t>
        </is>
      </c>
      <c r="U896" s="3" t="inlineStr">
        <is>
          <t>P JB Cold Soldering</t>
        </is>
      </c>
      <c r="V896" s="3" t="inlineStr">
        <is>
          <t>Soldering</t>
        </is>
      </c>
      <c r="W896" s="3" t="inlineStr">
        <is>
          <t>Repair</t>
        </is>
      </c>
      <c r="X896" s="18" t="n">
        <v>46155</v>
      </c>
      <c r="Y896" s="3">
        <f>X896-A896</f>
        <v/>
      </c>
      <c r="Z896" s="18" t="n">
        <v>46155</v>
      </c>
      <c r="AA896" s="15" t="n"/>
      <c r="AB896" s="15" t="n"/>
    </row>
    <row r="897">
      <c r="A897" s="37" t="n">
        <v>46143</v>
      </c>
      <c r="B897" s="3" t="n">
        <v>2026</v>
      </c>
      <c r="C897" s="26" t="inlineStr">
        <is>
          <t>Yanara Power</t>
        </is>
      </c>
      <c r="D897" s="3" t="inlineStr">
        <is>
          <t>Utility and C&amp;I</t>
        </is>
      </c>
      <c r="E897" s="3" t="n"/>
      <c r="F897" s="3" t="inlineStr">
        <is>
          <t>Closed</t>
        </is>
      </c>
      <c r="G897" s="9" t="inlineStr">
        <is>
          <t xml:space="preserve">Ashish Jindal </t>
        </is>
      </c>
      <c r="H897" s="26" t="n">
        <v>9983975581</v>
      </c>
      <c r="I897" s="38" t="inlineStr">
        <is>
          <t>PE01052601</t>
        </is>
      </c>
      <c r="J897" s="26" t="inlineStr">
        <is>
          <t>Multiple Issues</t>
        </is>
      </c>
      <c r="K897" s="39" t="inlineStr">
        <is>
          <t>Holi</t>
        </is>
      </c>
      <c r="L897" s="39" t="inlineStr">
        <is>
          <t>Maharashtra</t>
        </is>
      </c>
      <c r="M897" s="9" t="inlineStr">
        <is>
          <t>PR</t>
        </is>
      </c>
      <c r="N897" s="3" t="inlineStr">
        <is>
          <t>JB Issue</t>
        </is>
      </c>
      <c r="O897" s="39" t="n">
        <v>575</v>
      </c>
      <c r="P897" s="9" t="inlineStr">
        <is>
          <t>NSMI24070201666</t>
        </is>
      </c>
      <c r="Q897" s="53">
        <f>MID(P897,5,2)</f>
        <v/>
      </c>
      <c r="R897" s="53">
        <f>MID(P897,7,2)</f>
        <v/>
      </c>
      <c r="S897" s="3" t="inlineStr">
        <is>
          <t>G2TB</t>
        </is>
      </c>
      <c r="T897" s="3" t="inlineStr">
        <is>
          <t>P4</t>
        </is>
      </c>
      <c r="U897" s="3" t="inlineStr">
        <is>
          <t>P JB Issue</t>
        </is>
      </c>
      <c r="V897" s="15" t="inlineStr">
        <is>
          <t>JB Changed</t>
        </is>
      </c>
      <c r="W897" s="3" t="inlineStr">
        <is>
          <t>Repair</t>
        </is>
      </c>
      <c r="X897" s="18" t="n">
        <v>46155</v>
      </c>
      <c r="Y897" s="3">
        <f>X897-A897</f>
        <v/>
      </c>
      <c r="Z897" s="18" t="n">
        <v>46155</v>
      </c>
      <c r="AA897" s="15" t="n"/>
      <c r="AB897" s="15" t="n"/>
    </row>
    <row r="898">
      <c r="A898" s="37" t="n">
        <v>46143</v>
      </c>
      <c r="B898" s="3" t="n">
        <v>2026</v>
      </c>
      <c r="C898" s="26" t="inlineStr">
        <is>
          <t>Yanara Power</t>
        </is>
      </c>
      <c r="D898" s="3" t="inlineStr">
        <is>
          <t>Utility and C&amp;I</t>
        </is>
      </c>
      <c r="E898" s="3" t="n"/>
      <c r="F898" s="3" t="inlineStr">
        <is>
          <t>Closed</t>
        </is>
      </c>
      <c r="G898" s="9" t="inlineStr">
        <is>
          <t xml:space="preserve">Ashish Jindal </t>
        </is>
      </c>
      <c r="H898" s="26" t="n">
        <v>9983975581</v>
      </c>
      <c r="I898" s="38" t="inlineStr">
        <is>
          <t>PE01052601</t>
        </is>
      </c>
      <c r="J898" s="26" t="inlineStr">
        <is>
          <t>Multiple Issues</t>
        </is>
      </c>
      <c r="K898" s="39" t="inlineStr">
        <is>
          <t>Holi</t>
        </is>
      </c>
      <c r="L898" s="39" t="inlineStr">
        <is>
          <t>Maharashtra</t>
        </is>
      </c>
      <c r="M898" s="9" t="inlineStr">
        <is>
          <t>PR</t>
        </is>
      </c>
      <c r="N898" s="3" t="inlineStr">
        <is>
          <t>JB Issue</t>
        </is>
      </c>
      <c r="O898" s="39" t="n">
        <v>575</v>
      </c>
      <c r="P898" s="9" t="inlineStr">
        <is>
          <t>NSMI24070201698</t>
        </is>
      </c>
      <c r="Q898" s="53">
        <f>MID(P898,5,2)</f>
        <v/>
      </c>
      <c r="R898" s="53">
        <f>MID(P898,7,2)</f>
        <v/>
      </c>
      <c r="S898" s="3" t="inlineStr">
        <is>
          <t>G2TB</t>
        </is>
      </c>
      <c r="T898" s="3" t="inlineStr">
        <is>
          <t>P4</t>
        </is>
      </c>
      <c r="U898" s="3" t="inlineStr">
        <is>
          <t>P JB Issue</t>
        </is>
      </c>
      <c r="V898" s="15" t="inlineStr">
        <is>
          <t>JB Changed</t>
        </is>
      </c>
      <c r="W898" s="3" t="inlineStr">
        <is>
          <t>Repair</t>
        </is>
      </c>
      <c r="X898" s="18" t="n">
        <v>46155</v>
      </c>
      <c r="Y898" s="3">
        <f>X898-A898</f>
        <v/>
      </c>
      <c r="Z898" s="18" t="n">
        <v>46155</v>
      </c>
      <c r="AA898" s="15" t="n"/>
      <c r="AB898" s="15" t="n"/>
    </row>
    <row r="899">
      <c r="A899" s="37" t="n">
        <v>46143</v>
      </c>
      <c r="B899" s="3" t="n">
        <v>2026</v>
      </c>
      <c r="C899" s="26" t="inlineStr">
        <is>
          <t>Yanara Power</t>
        </is>
      </c>
      <c r="D899" s="3" t="inlineStr">
        <is>
          <t>Utility and C&amp;I</t>
        </is>
      </c>
      <c r="E899" s="3" t="n"/>
      <c r="F899" s="3" t="inlineStr">
        <is>
          <t>Closed</t>
        </is>
      </c>
      <c r="G899" s="9" t="inlineStr">
        <is>
          <t xml:space="preserve">Ashish Jindal </t>
        </is>
      </c>
      <c r="H899" s="26" t="n">
        <v>9983975581</v>
      </c>
      <c r="I899" s="38" t="inlineStr">
        <is>
          <t>PE01052601</t>
        </is>
      </c>
      <c r="J899" s="26" t="inlineStr">
        <is>
          <t>Multiple Issues</t>
        </is>
      </c>
      <c r="K899" s="39" t="inlineStr">
        <is>
          <t>Holi</t>
        </is>
      </c>
      <c r="L899" s="39" t="inlineStr">
        <is>
          <t>Maharashtra</t>
        </is>
      </c>
      <c r="M899" s="9" t="inlineStr">
        <is>
          <t>PS</t>
        </is>
      </c>
      <c r="N899" s="3" t="inlineStr">
        <is>
          <t>Cold Soldering</t>
        </is>
      </c>
      <c r="O899" s="39" t="n">
        <v>575</v>
      </c>
      <c r="P899" s="9" t="inlineStr">
        <is>
          <t>NSMI24070191158</t>
        </is>
      </c>
      <c r="Q899" s="53">
        <f>MID(P899,5,2)</f>
        <v/>
      </c>
      <c r="R899" s="53">
        <f>MID(P899,7,2)</f>
        <v/>
      </c>
      <c r="S899" s="3" t="inlineStr">
        <is>
          <t>G2G</t>
        </is>
      </c>
      <c r="T899" s="3" t="inlineStr">
        <is>
          <t>P4</t>
        </is>
      </c>
      <c r="U899" s="3" t="inlineStr">
        <is>
          <t>P JB Cold Soldering</t>
        </is>
      </c>
      <c r="V899" s="3" t="inlineStr">
        <is>
          <t>Soldering</t>
        </is>
      </c>
      <c r="W899" s="3" t="inlineStr">
        <is>
          <t>Repair</t>
        </is>
      </c>
      <c r="X899" s="18" t="n">
        <v>46155</v>
      </c>
      <c r="Y899" s="3">
        <f>X899-A899</f>
        <v/>
      </c>
      <c r="Z899" s="18" t="n">
        <v>46155</v>
      </c>
      <c r="AA899" s="15" t="n"/>
      <c r="AB899" s="15" t="n"/>
    </row>
    <row r="900">
      <c r="A900" s="37" t="n">
        <v>46143</v>
      </c>
      <c r="B900" s="3" t="n">
        <v>2026</v>
      </c>
      <c r="C900" s="26" t="inlineStr">
        <is>
          <t>Yanara Power</t>
        </is>
      </c>
      <c r="D900" s="3" t="inlineStr">
        <is>
          <t>Utility and C&amp;I</t>
        </is>
      </c>
      <c r="E900" s="3" t="n"/>
      <c r="F900" s="3" t="inlineStr">
        <is>
          <t>Closed</t>
        </is>
      </c>
      <c r="G900" s="9" t="inlineStr">
        <is>
          <t xml:space="preserve">Ashish Jindal </t>
        </is>
      </c>
      <c r="H900" s="26" t="n">
        <v>9983975581</v>
      </c>
      <c r="I900" s="38" t="inlineStr">
        <is>
          <t>PE01052601</t>
        </is>
      </c>
      <c r="J900" s="26" t="inlineStr">
        <is>
          <t>Multiple Issues</t>
        </is>
      </c>
      <c r="K900" s="39" t="inlineStr">
        <is>
          <t>Holi</t>
        </is>
      </c>
      <c r="L900" s="39" t="inlineStr">
        <is>
          <t>Maharashtra</t>
        </is>
      </c>
      <c r="M900" s="9" t="inlineStr">
        <is>
          <t>PS</t>
        </is>
      </c>
      <c r="N900" s="3" t="inlineStr">
        <is>
          <t>Cold Soldering</t>
        </is>
      </c>
      <c r="O900" s="39" t="n">
        <v>575</v>
      </c>
      <c r="P900" s="9" t="inlineStr">
        <is>
          <t>NSMI24070190786</t>
        </is>
      </c>
      <c r="Q900" s="53">
        <f>MID(P900,5,2)</f>
        <v/>
      </c>
      <c r="R900" s="53">
        <f>MID(P900,7,2)</f>
        <v/>
      </c>
      <c r="S900" s="3" t="inlineStr">
        <is>
          <t>G2G</t>
        </is>
      </c>
      <c r="T900" s="3" t="inlineStr">
        <is>
          <t>P4</t>
        </is>
      </c>
      <c r="U900" s="3" t="inlineStr">
        <is>
          <t>P JB Cold Soldering</t>
        </is>
      </c>
      <c r="V900" s="3" t="inlineStr">
        <is>
          <t>Soldering</t>
        </is>
      </c>
      <c r="W900" s="3" t="inlineStr">
        <is>
          <t>Repair</t>
        </is>
      </c>
      <c r="X900" s="18" t="n">
        <v>46155</v>
      </c>
      <c r="Y900" s="3">
        <f>X900-A900</f>
        <v/>
      </c>
      <c r="Z900" s="18" t="n">
        <v>46155</v>
      </c>
      <c r="AA900" s="15" t="n"/>
      <c r="AB900" s="15" t="n"/>
    </row>
    <row r="901">
      <c r="A901" s="37" t="n">
        <v>46143</v>
      </c>
      <c r="B901" s="3" t="n">
        <v>2026</v>
      </c>
      <c r="C901" s="26" t="inlineStr">
        <is>
          <t>Yanara Power</t>
        </is>
      </c>
      <c r="D901" s="3" t="inlineStr">
        <is>
          <t>Utility and C&amp;I</t>
        </is>
      </c>
      <c r="E901" s="3" t="n"/>
      <c r="F901" s="3" t="inlineStr">
        <is>
          <t>Closed</t>
        </is>
      </c>
      <c r="G901" s="9" t="inlineStr">
        <is>
          <t xml:space="preserve">Ashish Jindal </t>
        </is>
      </c>
      <c r="H901" s="26" t="n">
        <v>9983975581</v>
      </c>
      <c r="I901" s="38" t="inlineStr">
        <is>
          <t>PE01052601</t>
        </is>
      </c>
      <c r="J901" s="26" t="inlineStr">
        <is>
          <t>Multiple Issues</t>
        </is>
      </c>
      <c r="K901" s="39" t="inlineStr">
        <is>
          <t>Holi</t>
        </is>
      </c>
      <c r="L901" s="39" t="inlineStr">
        <is>
          <t>Maharashtra</t>
        </is>
      </c>
      <c r="M901" s="9" t="inlineStr">
        <is>
          <t>PS</t>
        </is>
      </c>
      <c r="N901" s="3" t="inlineStr">
        <is>
          <t>Cold Soldering</t>
        </is>
      </c>
      <c r="O901" s="39" t="n">
        <v>575</v>
      </c>
      <c r="P901" s="9" t="inlineStr">
        <is>
          <t>NSMI24070217754</t>
        </is>
      </c>
      <c r="Q901" s="53">
        <f>MID(P901,5,2)</f>
        <v/>
      </c>
      <c r="R901" s="53">
        <f>MID(P901,7,2)</f>
        <v/>
      </c>
      <c r="S901" s="3" t="inlineStr">
        <is>
          <t>G2G</t>
        </is>
      </c>
      <c r="T901" s="3" t="inlineStr">
        <is>
          <t>P4</t>
        </is>
      </c>
      <c r="U901" s="3" t="inlineStr">
        <is>
          <t>P JB Cold Soldering</t>
        </is>
      </c>
      <c r="V901" s="3" t="inlineStr">
        <is>
          <t>Soldering</t>
        </is>
      </c>
      <c r="W901" s="3" t="inlineStr">
        <is>
          <t>Repair</t>
        </is>
      </c>
      <c r="X901" s="18" t="n">
        <v>46155</v>
      </c>
      <c r="Y901" s="3">
        <f>X901-A901</f>
        <v/>
      </c>
      <c r="Z901" s="18" t="n">
        <v>46155</v>
      </c>
      <c r="AA901" s="15" t="n"/>
      <c r="AB901" s="15" t="n"/>
    </row>
    <row r="902">
      <c r="A902" s="37" t="n">
        <v>46143</v>
      </c>
      <c r="B902" s="3" t="n">
        <v>2026</v>
      </c>
      <c r="C902" s="26" t="inlineStr">
        <is>
          <t>Yanara Power</t>
        </is>
      </c>
      <c r="D902" s="3" t="inlineStr">
        <is>
          <t>Utility and C&amp;I</t>
        </is>
      </c>
      <c r="E902" s="3" t="n"/>
      <c r="F902" s="3" t="inlineStr">
        <is>
          <t>Closed</t>
        </is>
      </c>
      <c r="G902" s="9" t="inlineStr">
        <is>
          <t xml:space="preserve">Ashish Jindal </t>
        </is>
      </c>
      <c r="H902" s="26" t="n">
        <v>9983975581</v>
      </c>
      <c r="I902" s="38" t="inlineStr">
        <is>
          <t>PE01052601</t>
        </is>
      </c>
      <c r="J902" s="26" t="inlineStr">
        <is>
          <t>Multiple Issues</t>
        </is>
      </c>
      <c r="K902" s="39" t="inlineStr">
        <is>
          <t>Holi</t>
        </is>
      </c>
      <c r="L902" s="39" t="inlineStr">
        <is>
          <t>Maharashtra</t>
        </is>
      </c>
      <c r="M902" s="9" t="inlineStr">
        <is>
          <t>PS</t>
        </is>
      </c>
      <c r="N902" s="3" t="inlineStr">
        <is>
          <t>Cold Soldering</t>
        </is>
      </c>
      <c r="O902" s="39" t="n">
        <v>575</v>
      </c>
      <c r="P902" s="9" t="inlineStr">
        <is>
          <t>NSMI24070218696</t>
        </is>
      </c>
      <c r="Q902" s="53">
        <f>MID(P902,5,2)</f>
        <v/>
      </c>
      <c r="R902" s="53">
        <f>MID(P902,7,2)</f>
        <v/>
      </c>
      <c r="S902" s="3" t="inlineStr">
        <is>
          <t>G2G</t>
        </is>
      </c>
      <c r="T902" s="3" t="inlineStr">
        <is>
          <t>P4</t>
        </is>
      </c>
      <c r="U902" s="3" t="inlineStr">
        <is>
          <t>P JB Cold Soldering</t>
        </is>
      </c>
      <c r="V902" s="3" t="inlineStr">
        <is>
          <t>Soldering</t>
        </is>
      </c>
      <c r="W902" s="3" t="inlineStr">
        <is>
          <t>Repair</t>
        </is>
      </c>
      <c r="X902" s="18" t="n">
        <v>46155</v>
      </c>
      <c r="Y902" s="3">
        <f>X902-A902</f>
        <v/>
      </c>
      <c r="Z902" s="18" t="n">
        <v>46155</v>
      </c>
      <c r="AA902" s="15" t="n"/>
      <c r="AB902" s="15" t="n"/>
    </row>
    <row r="903">
      <c r="A903" s="37" t="n">
        <v>46143</v>
      </c>
      <c r="B903" s="3" t="n">
        <v>2026</v>
      </c>
      <c r="C903" s="26" t="inlineStr">
        <is>
          <t>Yanara Power</t>
        </is>
      </c>
      <c r="D903" s="3" t="inlineStr">
        <is>
          <t>Utility and C&amp;I</t>
        </is>
      </c>
      <c r="E903" s="3" t="n"/>
      <c r="F903" s="3" t="inlineStr">
        <is>
          <t>Closed</t>
        </is>
      </c>
      <c r="G903" s="9" t="inlineStr">
        <is>
          <t xml:space="preserve">Ashish Jindal </t>
        </is>
      </c>
      <c r="H903" s="26" t="n">
        <v>9983975581</v>
      </c>
      <c r="I903" s="38" t="inlineStr">
        <is>
          <t>PE01052601</t>
        </is>
      </c>
      <c r="J903" s="26" t="inlineStr">
        <is>
          <t>Multiple Issues</t>
        </is>
      </c>
      <c r="K903" s="39" t="inlineStr">
        <is>
          <t>Holi</t>
        </is>
      </c>
      <c r="L903" s="39" t="inlineStr">
        <is>
          <t>Maharashtra</t>
        </is>
      </c>
      <c r="M903" s="9" t="inlineStr">
        <is>
          <t>NS</t>
        </is>
      </c>
      <c r="N903" s="3" t="inlineStr">
        <is>
          <t>Cold Soldering</t>
        </is>
      </c>
      <c r="O903" s="39" t="n">
        <v>575</v>
      </c>
      <c r="P903" s="9" t="inlineStr">
        <is>
          <t>NSMI24070194929</t>
        </is>
      </c>
      <c r="Q903" s="53">
        <f>MID(P903,5,2)</f>
        <v/>
      </c>
      <c r="R903" s="53">
        <f>MID(P903,7,2)</f>
        <v/>
      </c>
      <c r="S903" s="3" t="inlineStr">
        <is>
          <t>G2TB</t>
        </is>
      </c>
      <c r="T903" s="3" t="inlineStr">
        <is>
          <t>P4</t>
        </is>
      </c>
      <c r="U903" s="3" t="inlineStr">
        <is>
          <t>N JB Cold Soldering</t>
        </is>
      </c>
      <c r="V903" s="3" t="inlineStr">
        <is>
          <t>Soldering</t>
        </is>
      </c>
      <c r="W903" s="3" t="inlineStr">
        <is>
          <t>Repair</t>
        </is>
      </c>
      <c r="X903" s="18" t="n">
        <v>46155</v>
      </c>
      <c r="Y903" s="3">
        <f>X903-A903</f>
        <v/>
      </c>
      <c r="Z903" s="18" t="n">
        <v>46155</v>
      </c>
      <c r="AA903" s="15" t="n"/>
      <c r="AB903" s="15" t="n"/>
    </row>
    <row r="904">
      <c r="A904" s="37" t="n">
        <v>46143</v>
      </c>
      <c r="B904" s="3" t="n">
        <v>2026</v>
      </c>
      <c r="C904" s="26" t="inlineStr">
        <is>
          <t>Yanara Power</t>
        </is>
      </c>
      <c r="D904" s="3" t="inlineStr">
        <is>
          <t>Utility and C&amp;I</t>
        </is>
      </c>
      <c r="E904" s="3" t="n"/>
      <c r="F904" s="3" t="inlineStr">
        <is>
          <t>Closed</t>
        </is>
      </c>
      <c r="G904" s="9" t="inlineStr">
        <is>
          <t xml:space="preserve">Ashish Jindal </t>
        </is>
      </c>
      <c r="H904" s="26" t="n">
        <v>9983975581</v>
      </c>
      <c r="I904" s="38" t="inlineStr">
        <is>
          <t>PE01052601</t>
        </is>
      </c>
      <c r="J904" s="26" t="inlineStr">
        <is>
          <t>Multiple Issues</t>
        </is>
      </c>
      <c r="K904" s="39" t="inlineStr">
        <is>
          <t>Holi</t>
        </is>
      </c>
      <c r="L904" s="39" t="inlineStr">
        <is>
          <t>Maharashtra</t>
        </is>
      </c>
      <c r="M904" s="9" t="inlineStr">
        <is>
          <t>NS</t>
        </is>
      </c>
      <c r="N904" s="3" t="inlineStr">
        <is>
          <t>Cold Soldering</t>
        </is>
      </c>
      <c r="O904" s="39" t="n">
        <v>575</v>
      </c>
      <c r="P904" s="9" t="inlineStr">
        <is>
          <t>NSMI24070201991</t>
        </is>
      </c>
      <c r="Q904" s="53">
        <f>MID(P904,5,2)</f>
        <v/>
      </c>
      <c r="R904" s="53">
        <f>MID(P904,7,2)</f>
        <v/>
      </c>
      <c r="S904" s="3" t="inlineStr">
        <is>
          <t>G2TB</t>
        </is>
      </c>
      <c r="T904" s="3" t="inlineStr">
        <is>
          <t>P4</t>
        </is>
      </c>
      <c r="U904" s="3" t="inlineStr">
        <is>
          <t>N JB Cold Soldering</t>
        </is>
      </c>
      <c r="V904" s="3" t="inlineStr">
        <is>
          <t>Soldering</t>
        </is>
      </c>
      <c r="W904" s="3" t="inlineStr">
        <is>
          <t>Repair</t>
        </is>
      </c>
      <c r="X904" s="18" t="n">
        <v>46155</v>
      </c>
      <c r="Y904" s="3">
        <f>X904-A904</f>
        <v/>
      </c>
      <c r="Z904" s="18" t="n">
        <v>46155</v>
      </c>
      <c r="AA904" s="15" t="n"/>
      <c r="AB904" s="15" t="n"/>
    </row>
    <row r="905">
      <c r="A905" s="37" t="n">
        <v>46143</v>
      </c>
      <c r="B905" s="3" t="n">
        <v>2026</v>
      </c>
      <c r="C905" s="26" t="inlineStr">
        <is>
          <t>Yanara Power</t>
        </is>
      </c>
      <c r="D905" s="3" t="inlineStr">
        <is>
          <t>Utility and C&amp;I</t>
        </is>
      </c>
      <c r="E905" s="3" t="n"/>
      <c r="F905" s="3" t="inlineStr">
        <is>
          <t>Closed</t>
        </is>
      </c>
      <c r="G905" s="9" t="inlineStr">
        <is>
          <t xml:space="preserve">Ashish Jindal </t>
        </is>
      </c>
      <c r="H905" s="26" t="n">
        <v>9983975581</v>
      </c>
      <c r="I905" s="38" t="inlineStr">
        <is>
          <t>PE01052601</t>
        </is>
      </c>
      <c r="J905" s="26" t="inlineStr">
        <is>
          <t>Multiple Issues</t>
        </is>
      </c>
      <c r="K905" s="39" t="inlineStr">
        <is>
          <t>Holi</t>
        </is>
      </c>
      <c r="L905" s="39" t="inlineStr">
        <is>
          <t>Maharashtra</t>
        </is>
      </c>
      <c r="M905" s="9" t="inlineStr">
        <is>
          <t>PS</t>
        </is>
      </c>
      <c r="N905" s="3" t="inlineStr">
        <is>
          <t>Cold Soldering</t>
        </is>
      </c>
      <c r="O905" s="39" t="n">
        <v>575</v>
      </c>
      <c r="P905" s="9" t="inlineStr">
        <is>
          <t>NSMI24070202028</t>
        </is>
      </c>
      <c r="Q905" s="53">
        <f>MID(P905,5,2)</f>
        <v/>
      </c>
      <c r="R905" s="53">
        <f>MID(P905,7,2)</f>
        <v/>
      </c>
      <c r="S905" s="3" t="inlineStr">
        <is>
          <t>G2G</t>
        </is>
      </c>
      <c r="T905" s="3" t="inlineStr">
        <is>
          <t>P4</t>
        </is>
      </c>
      <c r="U905" s="3" t="inlineStr">
        <is>
          <t>P JB Cold Soldering</t>
        </is>
      </c>
      <c r="V905" s="3" t="inlineStr">
        <is>
          <t>Soldering</t>
        </is>
      </c>
      <c r="W905" s="3" t="inlineStr">
        <is>
          <t>Repair</t>
        </is>
      </c>
      <c r="X905" s="18" t="n">
        <v>46155</v>
      </c>
      <c r="Y905" s="3">
        <f>X905-A905</f>
        <v/>
      </c>
      <c r="Z905" s="18" t="n">
        <v>46155</v>
      </c>
      <c r="AA905" s="15" t="n"/>
      <c r="AB905" s="15" t="n"/>
    </row>
    <row r="906">
      <c r="A906" s="37" t="n">
        <v>46143</v>
      </c>
      <c r="B906" s="3" t="n">
        <v>2026</v>
      </c>
      <c r="C906" s="26" t="inlineStr">
        <is>
          <t>Yanara Power</t>
        </is>
      </c>
      <c r="D906" s="3" t="inlineStr">
        <is>
          <t>Utility and C&amp;I</t>
        </is>
      </c>
      <c r="E906" s="3" t="n"/>
      <c r="F906" s="3" t="inlineStr">
        <is>
          <t>Closed</t>
        </is>
      </c>
      <c r="G906" s="9" t="inlineStr">
        <is>
          <t xml:space="preserve">Ashish Jindal </t>
        </is>
      </c>
      <c r="H906" s="26" t="n">
        <v>9983975581</v>
      </c>
      <c r="I906" s="38" t="inlineStr">
        <is>
          <t>PE01052601</t>
        </is>
      </c>
      <c r="J906" s="26" t="inlineStr">
        <is>
          <t>Multiple Issues</t>
        </is>
      </c>
      <c r="K906" s="39" t="inlineStr">
        <is>
          <t>Holi</t>
        </is>
      </c>
      <c r="L906" s="39" t="inlineStr">
        <is>
          <t>Maharashtra</t>
        </is>
      </c>
      <c r="M906" s="9" t="inlineStr">
        <is>
          <t>PS</t>
        </is>
      </c>
      <c r="N906" s="3" t="inlineStr">
        <is>
          <t>Cold Soldering</t>
        </is>
      </c>
      <c r="O906" s="39" t="n">
        <v>575</v>
      </c>
      <c r="P906" s="9" t="inlineStr">
        <is>
          <t>NSMI24070184440</t>
        </is>
      </c>
      <c r="Q906" s="53">
        <f>MID(P906,5,2)</f>
        <v/>
      </c>
      <c r="R906" s="53">
        <f>MID(P906,7,2)</f>
        <v/>
      </c>
      <c r="S906" s="3" t="inlineStr">
        <is>
          <t>G2G</t>
        </is>
      </c>
      <c r="T906" s="3" t="inlineStr">
        <is>
          <t>P4</t>
        </is>
      </c>
      <c r="U906" s="3" t="inlineStr">
        <is>
          <t>P JB Cold Soldering</t>
        </is>
      </c>
      <c r="V906" s="3" t="inlineStr">
        <is>
          <t>Soldering</t>
        </is>
      </c>
      <c r="W906" s="3" t="inlineStr">
        <is>
          <t>Repair</t>
        </is>
      </c>
      <c r="X906" s="18" t="n">
        <v>46155</v>
      </c>
      <c r="Y906" s="3">
        <f>X906-A906</f>
        <v/>
      </c>
      <c r="Z906" s="18" t="n">
        <v>46155</v>
      </c>
      <c r="AA906" s="15" t="n"/>
      <c r="AB906" s="15" t="n"/>
    </row>
    <row r="907">
      <c r="A907" s="37" t="n">
        <v>46143</v>
      </c>
      <c r="B907" s="3" t="n">
        <v>2026</v>
      </c>
      <c r="C907" s="26" t="inlineStr">
        <is>
          <t>Yanara Power</t>
        </is>
      </c>
      <c r="D907" s="3" t="inlineStr">
        <is>
          <t>Utility and C&amp;I</t>
        </is>
      </c>
      <c r="E907" s="3" t="n"/>
      <c r="F907" s="3" t="inlineStr">
        <is>
          <t>Closed</t>
        </is>
      </c>
      <c r="G907" s="9" t="inlineStr">
        <is>
          <t xml:space="preserve">Ashish Jindal </t>
        </is>
      </c>
      <c r="H907" s="26" t="n">
        <v>9983975581</v>
      </c>
      <c r="I907" s="38" t="inlineStr">
        <is>
          <t>PE01052601</t>
        </is>
      </c>
      <c r="J907" s="26" t="inlineStr">
        <is>
          <t>Multiple Issues</t>
        </is>
      </c>
      <c r="K907" s="39" t="inlineStr">
        <is>
          <t>Holi</t>
        </is>
      </c>
      <c r="L907" s="39" t="inlineStr">
        <is>
          <t>Maharashtra</t>
        </is>
      </c>
      <c r="M907" s="9" t="inlineStr">
        <is>
          <t>PS</t>
        </is>
      </c>
      <c r="N907" s="3" t="inlineStr">
        <is>
          <t>Cold Soldering</t>
        </is>
      </c>
      <c r="O907" s="39" t="n">
        <v>575</v>
      </c>
      <c r="P907" s="9" t="inlineStr">
        <is>
          <t>NSMI24070184499</t>
        </is>
      </c>
      <c r="Q907" s="53">
        <f>MID(P907,5,2)</f>
        <v/>
      </c>
      <c r="R907" s="53">
        <f>MID(P907,7,2)</f>
        <v/>
      </c>
      <c r="S907" s="3" t="inlineStr">
        <is>
          <t>G2G</t>
        </is>
      </c>
      <c r="T907" s="3" t="inlineStr">
        <is>
          <t>P4</t>
        </is>
      </c>
      <c r="U907" s="3" t="inlineStr">
        <is>
          <t>P JB Cold Soldering</t>
        </is>
      </c>
      <c r="V907" s="3" t="inlineStr">
        <is>
          <t>Soldering</t>
        </is>
      </c>
      <c r="W907" s="3" t="inlineStr">
        <is>
          <t>Repair</t>
        </is>
      </c>
      <c r="X907" s="18" t="n">
        <v>46155</v>
      </c>
      <c r="Y907" s="3">
        <f>X907-A907</f>
        <v/>
      </c>
      <c r="Z907" s="18" t="n">
        <v>46155</v>
      </c>
      <c r="AA907" s="15" t="n"/>
      <c r="AB907" s="15" t="n"/>
    </row>
    <row r="908">
      <c r="A908" s="37" t="n">
        <v>46143</v>
      </c>
      <c r="B908" s="3" t="n">
        <v>2026</v>
      </c>
      <c r="C908" s="26" t="inlineStr">
        <is>
          <t>Yanara Power</t>
        </is>
      </c>
      <c r="D908" s="3" t="inlineStr">
        <is>
          <t>Utility and C&amp;I</t>
        </is>
      </c>
      <c r="E908" s="3" t="n"/>
      <c r="F908" s="3" t="inlineStr">
        <is>
          <t>Closed</t>
        </is>
      </c>
      <c r="G908" s="9" t="inlineStr">
        <is>
          <t xml:space="preserve">Ashish Jindal </t>
        </is>
      </c>
      <c r="H908" s="26" t="n">
        <v>9983975581</v>
      </c>
      <c r="I908" s="38" t="inlineStr">
        <is>
          <t>PE01052601</t>
        </is>
      </c>
      <c r="J908" s="26" t="inlineStr">
        <is>
          <t>Multiple Issues</t>
        </is>
      </c>
      <c r="K908" s="39" t="inlineStr">
        <is>
          <t>Holi</t>
        </is>
      </c>
      <c r="L908" s="39" t="inlineStr">
        <is>
          <t>Maharashtra</t>
        </is>
      </c>
      <c r="M908" s="9" t="inlineStr">
        <is>
          <t>PS</t>
        </is>
      </c>
      <c r="N908" s="3" t="inlineStr">
        <is>
          <t>Cold Soldering</t>
        </is>
      </c>
      <c r="O908" s="39" t="n">
        <v>575</v>
      </c>
      <c r="P908" s="9" t="inlineStr">
        <is>
          <t>NSMI24070188740</t>
        </is>
      </c>
      <c r="Q908" s="53">
        <f>MID(P908,5,2)</f>
        <v/>
      </c>
      <c r="R908" s="53">
        <f>MID(P908,7,2)</f>
        <v/>
      </c>
      <c r="S908" s="3" t="inlineStr">
        <is>
          <t>G2G</t>
        </is>
      </c>
      <c r="T908" s="3" t="inlineStr">
        <is>
          <t>P4</t>
        </is>
      </c>
      <c r="U908" s="3" t="inlineStr">
        <is>
          <t>P JB Cold Soldering</t>
        </is>
      </c>
      <c r="V908" s="3" t="inlineStr">
        <is>
          <t>Soldering</t>
        </is>
      </c>
      <c r="W908" s="3" t="inlineStr">
        <is>
          <t>Repair</t>
        </is>
      </c>
      <c r="X908" s="18" t="n">
        <v>46155</v>
      </c>
      <c r="Y908" s="3">
        <f>X908-A908</f>
        <v/>
      </c>
      <c r="Z908" s="18" t="n">
        <v>46155</v>
      </c>
      <c r="AA908" s="15" t="n"/>
      <c r="AB908" s="15" t="n"/>
    </row>
    <row r="909">
      <c r="A909" s="37" t="n">
        <v>46143</v>
      </c>
      <c r="B909" s="3" t="n">
        <v>2026</v>
      </c>
      <c r="C909" s="26" t="inlineStr">
        <is>
          <t>Yanara Power</t>
        </is>
      </c>
      <c r="D909" s="3" t="inlineStr">
        <is>
          <t>Utility and C&amp;I</t>
        </is>
      </c>
      <c r="E909" s="3" t="n"/>
      <c r="F909" s="3" t="inlineStr">
        <is>
          <t>Closed</t>
        </is>
      </c>
      <c r="G909" s="9" t="inlineStr">
        <is>
          <t xml:space="preserve">Ashish Jindal </t>
        </is>
      </c>
      <c r="H909" s="26" t="n">
        <v>9983975581</v>
      </c>
      <c r="I909" s="38" t="inlineStr">
        <is>
          <t>PE01052601</t>
        </is>
      </c>
      <c r="J909" s="26" t="inlineStr">
        <is>
          <t>Multiple Issues</t>
        </is>
      </c>
      <c r="K909" s="39" t="inlineStr">
        <is>
          <t>Holi</t>
        </is>
      </c>
      <c r="L909" s="39" t="inlineStr">
        <is>
          <t>Maharashtra</t>
        </is>
      </c>
      <c r="M909" s="9" t="inlineStr">
        <is>
          <t>PS</t>
        </is>
      </c>
      <c r="N909" s="3" t="inlineStr">
        <is>
          <t>Cold Soldering</t>
        </is>
      </c>
      <c r="O909" s="39" t="n">
        <v>575</v>
      </c>
      <c r="P909" s="9" t="inlineStr">
        <is>
          <t>NSMI24070181142</t>
        </is>
      </c>
      <c r="Q909" s="53">
        <f>MID(P909,5,2)</f>
        <v/>
      </c>
      <c r="R909" s="53">
        <f>MID(P909,7,2)</f>
        <v/>
      </c>
      <c r="S909" s="3" t="inlineStr">
        <is>
          <t>G2G</t>
        </is>
      </c>
      <c r="T909" s="3" t="inlineStr">
        <is>
          <t>P4</t>
        </is>
      </c>
      <c r="U909" s="3" t="inlineStr">
        <is>
          <t>P JB Cold Soldering</t>
        </is>
      </c>
      <c r="V909" s="3" t="inlineStr">
        <is>
          <t>Soldering</t>
        </is>
      </c>
      <c r="W909" s="3" t="inlineStr">
        <is>
          <t>Repair</t>
        </is>
      </c>
      <c r="X909" s="18" t="n">
        <v>46155</v>
      </c>
      <c r="Y909" s="3">
        <f>X909-A909</f>
        <v/>
      </c>
      <c r="Z909" s="18" t="n">
        <v>46155</v>
      </c>
      <c r="AA909" s="15" t="n"/>
      <c r="AB909" s="15" t="n"/>
    </row>
    <row r="910">
      <c r="A910" s="37" t="n">
        <v>46143</v>
      </c>
      <c r="B910" s="3" t="n">
        <v>2026</v>
      </c>
      <c r="C910" s="26" t="inlineStr">
        <is>
          <t>Yanara Power</t>
        </is>
      </c>
      <c r="D910" s="3" t="inlineStr">
        <is>
          <t>Utility and C&amp;I</t>
        </is>
      </c>
      <c r="E910" s="3" t="n"/>
      <c r="F910" s="3" t="inlineStr">
        <is>
          <t>Closed</t>
        </is>
      </c>
      <c r="G910" s="9" t="inlineStr">
        <is>
          <t xml:space="preserve">Ashish Jindal </t>
        </is>
      </c>
      <c r="H910" s="26" t="n">
        <v>9983975581</v>
      </c>
      <c r="I910" s="38" t="inlineStr">
        <is>
          <t>PE01052601</t>
        </is>
      </c>
      <c r="J910" s="26" t="inlineStr">
        <is>
          <t>Multiple Issues</t>
        </is>
      </c>
      <c r="K910" s="39" t="inlineStr">
        <is>
          <t>Holi</t>
        </is>
      </c>
      <c r="L910" s="39" t="inlineStr">
        <is>
          <t>Maharashtra</t>
        </is>
      </c>
      <c r="M910" s="9" t="inlineStr">
        <is>
          <t>PNS</t>
        </is>
      </c>
      <c r="N910" s="3" t="inlineStr">
        <is>
          <t>Cold Soldering</t>
        </is>
      </c>
      <c r="O910" s="39" t="n">
        <v>575</v>
      </c>
      <c r="P910" s="9" t="inlineStr">
        <is>
          <t>NSMI24070181087</t>
        </is>
      </c>
      <c r="Q910" s="53">
        <f>MID(P910,5,2)</f>
        <v/>
      </c>
      <c r="R910" s="53">
        <f>MID(P910,7,2)</f>
        <v/>
      </c>
      <c r="S910" s="3" t="inlineStr">
        <is>
          <t>G2TB</t>
        </is>
      </c>
      <c r="T910" s="3" t="inlineStr">
        <is>
          <t>P4</t>
        </is>
      </c>
      <c r="U910" s="3" t="inlineStr">
        <is>
          <t>P &amp; N JB Cold Soldering</t>
        </is>
      </c>
      <c r="V910" s="3" t="inlineStr">
        <is>
          <t>Soldering</t>
        </is>
      </c>
      <c r="W910" s="3" t="inlineStr">
        <is>
          <t>Repair</t>
        </is>
      </c>
      <c r="X910" s="18" t="n">
        <v>46155</v>
      </c>
      <c r="Y910" s="3">
        <f>X910-A910</f>
        <v/>
      </c>
      <c r="Z910" s="18" t="n">
        <v>46155</v>
      </c>
      <c r="AA910" s="15" t="n"/>
      <c r="AB910" s="15" t="n"/>
    </row>
    <row r="911">
      <c r="A911" s="37" t="n">
        <v>46143</v>
      </c>
      <c r="B911" s="3" t="n">
        <v>2026</v>
      </c>
      <c r="C911" s="26" t="inlineStr">
        <is>
          <t>Yanara Power</t>
        </is>
      </c>
      <c r="D911" s="3" t="inlineStr">
        <is>
          <t>Utility and C&amp;I</t>
        </is>
      </c>
      <c r="E911" s="3" t="n"/>
      <c r="F911" s="3" t="inlineStr">
        <is>
          <t>Closed</t>
        </is>
      </c>
      <c r="G911" s="9" t="inlineStr">
        <is>
          <t xml:space="preserve">Ashish Jindal </t>
        </is>
      </c>
      <c r="H911" s="26" t="n">
        <v>9983975581</v>
      </c>
      <c r="I911" s="38" t="inlineStr">
        <is>
          <t>PE01052601</t>
        </is>
      </c>
      <c r="J911" s="26" t="inlineStr">
        <is>
          <t>Multiple Issues</t>
        </is>
      </c>
      <c r="K911" s="39" t="inlineStr">
        <is>
          <t>Holi</t>
        </is>
      </c>
      <c r="L911" s="39" t="inlineStr">
        <is>
          <t>Maharashtra</t>
        </is>
      </c>
      <c r="M911" s="9" t="inlineStr">
        <is>
          <t>PS</t>
        </is>
      </c>
      <c r="N911" s="3" t="inlineStr">
        <is>
          <t>Cold Soldering</t>
        </is>
      </c>
      <c r="O911" s="39" t="n">
        <v>575</v>
      </c>
      <c r="P911" s="9" t="inlineStr">
        <is>
          <t>NSMI24070183806</t>
        </is>
      </c>
      <c r="Q911" s="53">
        <f>MID(P911,5,2)</f>
        <v/>
      </c>
      <c r="R911" s="53">
        <f>MID(P911,7,2)</f>
        <v/>
      </c>
      <c r="S911" s="3" t="inlineStr">
        <is>
          <t>G2G</t>
        </is>
      </c>
      <c r="T911" s="3" t="inlineStr">
        <is>
          <t>P4</t>
        </is>
      </c>
      <c r="U911" s="3" t="inlineStr">
        <is>
          <t>P JB Cold Soldering</t>
        </is>
      </c>
      <c r="V911" s="3" t="inlineStr">
        <is>
          <t>Soldering</t>
        </is>
      </c>
      <c r="W911" s="3" t="inlineStr">
        <is>
          <t>Repair</t>
        </is>
      </c>
      <c r="X911" s="18" t="n">
        <v>46155</v>
      </c>
      <c r="Y911" s="3">
        <f>X911-A911</f>
        <v/>
      </c>
      <c r="Z911" s="18" t="n">
        <v>46155</v>
      </c>
      <c r="AA911" s="15" t="n"/>
      <c r="AB911" s="15" t="n"/>
    </row>
    <row r="912">
      <c r="A912" s="37" t="n">
        <v>46143</v>
      </c>
      <c r="B912" s="3" t="n">
        <v>2026</v>
      </c>
      <c r="C912" s="26" t="inlineStr">
        <is>
          <t>Yanara Power</t>
        </is>
      </c>
      <c r="D912" s="3" t="inlineStr">
        <is>
          <t>Utility and C&amp;I</t>
        </is>
      </c>
      <c r="E912" s="3" t="n"/>
      <c r="F912" s="3" t="inlineStr">
        <is>
          <t>Closed</t>
        </is>
      </c>
      <c r="G912" s="9" t="inlineStr">
        <is>
          <t xml:space="preserve">Ashish Jindal </t>
        </is>
      </c>
      <c r="H912" s="26" t="n">
        <v>9983975581</v>
      </c>
      <c r="I912" s="38" t="inlineStr">
        <is>
          <t>PE01052601</t>
        </is>
      </c>
      <c r="J912" s="26" t="inlineStr">
        <is>
          <t>Multiple Issues</t>
        </is>
      </c>
      <c r="K912" s="39" t="inlineStr">
        <is>
          <t>Holi</t>
        </is>
      </c>
      <c r="L912" s="39" t="inlineStr">
        <is>
          <t>Maharashtra</t>
        </is>
      </c>
      <c r="M912" s="9" t="inlineStr">
        <is>
          <t>PS</t>
        </is>
      </c>
      <c r="N912" s="3" t="inlineStr">
        <is>
          <t>Cold Soldering</t>
        </is>
      </c>
      <c r="O912" s="39" t="n">
        <v>575</v>
      </c>
      <c r="P912" s="9" t="inlineStr">
        <is>
          <t>NSMI24070183214</t>
        </is>
      </c>
      <c r="Q912" s="53">
        <f>MID(P912,5,2)</f>
        <v/>
      </c>
      <c r="R912" s="53">
        <f>MID(P912,7,2)</f>
        <v/>
      </c>
      <c r="S912" s="3" t="inlineStr">
        <is>
          <t>G2G</t>
        </is>
      </c>
      <c r="T912" s="3" t="inlineStr">
        <is>
          <t>P4</t>
        </is>
      </c>
      <c r="U912" s="3" t="inlineStr">
        <is>
          <t>P JB Cold Soldering</t>
        </is>
      </c>
      <c r="V912" s="3" t="inlineStr">
        <is>
          <t>Soldering</t>
        </is>
      </c>
      <c r="W912" s="3" t="inlineStr">
        <is>
          <t>Repair</t>
        </is>
      </c>
      <c r="X912" s="18" t="n">
        <v>46155</v>
      </c>
      <c r="Y912" s="3">
        <f>X912-A912</f>
        <v/>
      </c>
      <c r="Z912" s="18" t="n">
        <v>46155</v>
      </c>
      <c r="AA912" s="15" t="n"/>
      <c r="AB912" s="15" t="n"/>
    </row>
    <row r="913">
      <c r="A913" s="37" t="n">
        <v>46143</v>
      </c>
      <c r="B913" s="3" t="n">
        <v>2026</v>
      </c>
      <c r="C913" s="26" t="inlineStr">
        <is>
          <t>Yanara Power</t>
        </is>
      </c>
      <c r="D913" s="3" t="inlineStr">
        <is>
          <t>Utility and C&amp;I</t>
        </is>
      </c>
      <c r="E913" s="3" t="n"/>
      <c r="F913" s="3" t="inlineStr">
        <is>
          <t>Closed</t>
        </is>
      </c>
      <c r="G913" s="9" t="inlineStr">
        <is>
          <t xml:space="preserve">Ashish Jindal </t>
        </is>
      </c>
      <c r="H913" s="26" t="n">
        <v>9983975581</v>
      </c>
      <c r="I913" s="38" t="inlineStr">
        <is>
          <t>PE01052601</t>
        </is>
      </c>
      <c r="J913" s="26" t="inlineStr">
        <is>
          <t>Multiple Issues</t>
        </is>
      </c>
      <c r="K913" s="39" t="inlineStr">
        <is>
          <t>Holi</t>
        </is>
      </c>
      <c r="L913" s="39" t="inlineStr">
        <is>
          <t>Maharashtra</t>
        </is>
      </c>
      <c r="M913" s="9" t="inlineStr">
        <is>
          <t>NS</t>
        </is>
      </c>
      <c r="N913" s="3" t="inlineStr">
        <is>
          <t>Cold Soldering</t>
        </is>
      </c>
      <c r="O913" s="39" t="n">
        <v>575</v>
      </c>
      <c r="P913" s="9" t="inlineStr">
        <is>
          <t>NSMI24070185622</t>
        </is>
      </c>
      <c r="Q913" s="53">
        <f>MID(P913,5,2)</f>
        <v/>
      </c>
      <c r="R913" s="53">
        <f>MID(P913,7,2)</f>
        <v/>
      </c>
      <c r="S913" s="3" t="inlineStr">
        <is>
          <t>G2TB</t>
        </is>
      </c>
      <c r="T913" s="3" t="inlineStr">
        <is>
          <t>P4</t>
        </is>
      </c>
      <c r="U913" s="3" t="inlineStr">
        <is>
          <t>N JB Cold Soldering</t>
        </is>
      </c>
      <c r="V913" s="3" t="inlineStr">
        <is>
          <t>Soldering</t>
        </is>
      </c>
      <c r="W913" s="3" t="inlineStr">
        <is>
          <t>Repair</t>
        </is>
      </c>
      <c r="X913" s="18" t="n">
        <v>46155</v>
      </c>
      <c r="Y913" s="3">
        <f>X913-A913</f>
        <v/>
      </c>
      <c r="Z913" s="18" t="n">
        <v>46155</v>
      </c>
      <c r="AA913" s="15" t="n"/>
      <c r="AB913" s="15" t="n"/>
    </row>
    <row r="914">
      <c r="A914" s="37" t="n">
        <v>46143</v>
      </c>
      <c r="B914" s="3" t="n">
        <v>2026</v>
      </c>
      <c r="C914" s="26" t="inlineStr">
        <is>
          <t>Yanara Power</t>
        </is>
      </c>
      <c r="D914" s="3" t="inlineStr">
        <is>
          <t>Utility and C&amp;I</t>
        </is>
      </c>
      <c r="E914" s="3" t="n"/>
      <c r="F914" s="3" t="inlineStr">
        <is>
          <t>Closed</t>
        </is>
      </c>
      <c r="G914" s="9" t="inlineStr">
        <is>
          <t xml:space="preserve">Ashish Jindal </t>
        </is>
      </c>
      <c r="H914" s="26" t="n">
        <v>9983975581</v>
      </c>
      <c r="I914" s="38" t="inlineStr">
        <is>
          <t>PE01052601</t>
        </is>
      </c>
      <c r="J914" s="26" t="inlineStr">
        <is>
          <t>Multiple Issues</t>
        </is>
      </c>
      <c r="K914" s="39" t="inlineStr">
        <is>
          <t>Holi</t>
        </is>
      </c>
      <c r="L914" s="39" t="inlineStr">
        <is>
          <t>Maharashtra</t>
        </is>
      </c>
      <c r="M914" s="9" t="inlineStr">
        <is>
          <t>PS</t>
        </is>
      </c>
      <c r="N914" s="3" t="inlineStr">
        <is>
          <t>Cold Soldering</t>
        </is>
      </c>
      <c r="O914" s="39" t="n">
        <v>575</v>
      </c>
      <c r="P914" s="9" t="inlineStr">
        <is>
          <t>NSMI24070195602</t>
        </is>
      </c>
      <c r="Q914" s="53">
        <f>MID(P914,5,2)</f>
        <v/>
      </c>
      <c r="R914" s="53">
        <f>MID(P914,7,2)</f>
        <v/>
      </c>
      <c r="S914" s="3" t="inlineStr">
        <is>
          <t>G2G</t>
        </is>
      </c>
      <c r="T914" s="3" t="inlineStr">
        <is>
          <t>P4</t>
        </is>
      </c>
      <c r="U914" s="3" t="inlineStr">
        <is>
          <t>P JB Cold Soldering</t>
        </is>
      </c>
      <c r="V914" s="3" t="inlineStr">
        <is>
          <t>Soldering</t>
        </is>
      </c>
      <c r="W914" s="3" t="inlineStr">
        <is>
          <t>Repair</t>
        </is>
      </c>
      <c r="X914" s="18" t="n">
        <v>46155</v>
      </c>
      <c r="Y914" s="3">
        <f>X914-A914</f>
        <v/>
      </c>
      <c r="Z914" s="18" t="n">
        <v>46155</v>
      </c>
      <c r="AA914" s="15" t="n"/>
      <c r="AB914" s="15" t="n"/>
    </row>
    <row r="915">
      <c r="A915" s="37" t="n">
        <v>46143</v>
      </c>
      <c r="B915" s="3" t="n">
        <v>2026</v>
      </c>
      <c r="C915" s="26" t="inlineStr">
        <is>
          <t>Yanara Power</t>
        </is>
      </c>
      <c r="D915" s="3" t="inlineStr">
        <is>
          <t>Utility and C&amp;I</t>
        </is>
      </c>
      <c r="E915" s="3" t="n"/>
      <c r="F915" s="3" t="inlineStr">
        <is>
          <t>Closed</t>
        </is>
      </c>
      <c r="G915" s="9" t="inlineStr">
        <is>
          <t xml:space="preserve">Ashish Jindal </t>
        </is>
      </c>
      <c r="H915" s="26" t="n">
        <v>9983975581</v>
      </c>
      <c r="I915" s="38" t="inlineStr">
        <is>
          <t>PE01052601</t>
        </is>
      </c>
      <c r="J915" s="26" t="inlineStr">
        <is>
          <t>Multiple Issues</t>
        </is>
      </c>
      <c r="K915" s="39" t="inlineStr">
        <is>
          <t>Holi</t>
        </is>
      </c>
      <c r="L915" s="39" t="inlineStr">
        <is>
          <t>Maharashtra</t>
        </is>
      </c>
      <c r="M915" s="9" t="inlineStr">
        <is>
          <t>PS</t>
        </is>
      </c>
      <c r="N915" s="3" t="inlineStr">
        <is>
          <t>Cold Soldering</t>
        </is>
      </c>
      <c r="O915" s="39" t="n">
        <v>575</v>
      </c>
      <c r="P915" s="9" t="inlineStr">
        <is>
          <t>NSMI24070201930</t>
        </is>
      </c>
      <c r="Q915" s="53">
        <f>MID(P915,5,2)</f>
        <v/>
      </c>
      <c r="R915" s="53">
        <f>MID(P915,7,2)</f>
        <v/>
      </c>
      <c r="S915" s="3" t="inlineStr">
        <is>
          <t>G2G</t>
        </is>
      </c>
      <c r="T915" s="3" t="inlineStr">
        <is>
          <t>P4</t>
        </is>
      </c>
      <c r="U915" s="3" t="inlineStr">
        <is>
          <t>P JB Cold Soldering</t>
        </is>
      </c>
      <c r="V915" s="3" t="inlineStr">
        <is>
          <t>Soldering</t>
        </is>
      </c>
      <c r="W915" s="3" t="inlineStr">
        <is>
          <t>Repair</t>
        </is>
      </c>
      <c r="X915" s="18" t="n">
        <v>46155</v>
      </c>
      <c r="Y915" s="3">
        <f>X915-A915</f>
        <v/>
      </c>
      <c r="Z915" s="18" t="n">
        <v>46155</v>
      </c>
      <c r="AA915" s="15" t="n"/>
      <c r="AB915" s="15" t="n"/>
    </row>
    <row r="916">
      <c r="A916" s="37" t="n">
        <v>46143</v>
      </c>
      <c r="B916" s="3" t="n">
        <v>2026</v>
      </c>
      <c r="C916" s="26" t="inlineStr">
        <is>
          <t>Yanara Power</t>
        </is>
      </c>
      <c r="D916" s="3" t="inlineStr">
        <is>
          <t>Utility and C&amp;I</t>
        </is>
      </c>
      <c r="E916" s="3" t="n"/>
      <c r="F916" s="3" t="inlineStr">
        <is>
          <t>Closed</t>
        </is>
      </c>
      <c r="G916" s="9" t="inlineStr">
        <is>
          <t xml:space="preserve">Ashish Jindal </t>
        </is>
      </c>
      <c r="H916" s="26" t="n">
        <v>9983975581</v>
      </c>
      <c r="I916" s="38" t="inlineStr">
        <is>
          <t>PE01052601</t>
        </is>
      </c>
      <c r="J916" s="26" t="inlineStr">
        <is>
          <t>Multiple Issues</t>
        </is>
      </c>
      <c r="K916" s="39" t="inlineStr">
        <is>
          <t>Holi</t>
        </is>
      </c>
      <c r="L916" s="39" t="inlineStr">
        <is>
          <t>Maharashtra</t>
        </is>
      </c>
      <c r="M916" s="9" t="inlineStr">
        <is>
          <t>NS</t>
        </is>
      </c>
      <c r="N916" s="3" t="inlineStr">
        <is>
          <t>Cold Soldering</t>
        </is>
      </c>
      <c r="O916" s="39" t="n">
        <v>575</v>
      </c>
      <c r="P916" s="9" t="inlineStr">
        <is>
          <t>NSMI24070201903</t>
        </is>
      </c>
      <c r="Q916" s="53">
        <f>MID(P916,5,2)</f>
        <v/>
      </c>
      <c r="R916" s="53">
        <f>MID(P916,7,2)</f>
        <v/>
      </c>
      <c r="S916" s="3" t="inlineStr">
        <is>
          <t>G2TB</t>
        </is>
      </c>
      <c r="T916" s="3" t="inlineStr">
        <is>
          <t>P4</t>
        </is>
      </c>
      <c r="U916" s="3" t="inlineStr">
        <is>
          <t>N JB Cold Soldering</t>
        </is>
      </c>
      <c r="V916" s="3" t="inlineStr">
        <is>
          <t>Soldering</t>
        </is>
      </c>
      <c r="W916" s="3" t="inlineStr">
        <is>
          <t>Repair</t>
        </is>
      </c>
      <c r="X916" s="18" t="n">
        <v>46155</v>
      </c>
      <c r="Y916" s="3">
        <f>X916-A916</f>
        <v/>
      </c>
      <c r="Z916" s="18" t="n">
        <v>46155</v>
      </c>
      <c r="AA916" s="15" t="n"/>
      <c r="AB916" s="15" t="n"/>
    </row>
    <row r="917">
      <c r="A917" s="37" t="n">
        <v>46143</v>
      </c>
      <c r="B917" s="3" t="n">
        <v>2026</v>
      </c>
      <c r="C917" s="26" t="inlineStr">
        <is>
          <t>Yanara Power</t>
        </is>
      </c>
      <c r="D917" s="3" t="inlineStr">
        <is>
          <t>Utility and C&amp;I</t>
        </is>
      </c>
      <c r="E917" s="3" t="n"/>
      <c r="F917" s="3" t="inlineStr">
        <is>
          <t>Closed</t>
        </is>
      </c>
      <c r="G917" s="9" t="inlineStr">
        <is>
          <t xml:space="preserve">Ashish Jindal </t>
        </is>
      </c>
      <c r="H917" s="26" t="n">
        <v>9983975581</v>
      </c>
      <c r="I917" s="38" t="inlineStr">
        <is>
          <t>PE01052601</t>
        </is>
      </c>
      <c r="J917" s="26" t="inlineStr">
        <is>
          <t>Multiple Issues</t>
        </is>
      </c>
      <c r="K917" s="39" t="inlineStr">
        <is>
          <t>Holi</t>
        </is>
      </c>
      <c r="L917" s="39" t="inlineStr">
        <is>
          <t>Maharashtra</t>
        </is>
      </c>
      <c r="M917" s="9" t="inlineStr">
        <is>
          <t>PS</t>
        </is>
      </c>
      <c r="N917" s="3" t="inlineStr">
        <is>
          <t>Cold Soldering</t>
        </is>
      </c>
      <c r="O917" s="39" t="n">
        <v>575</v>
      </c>
      <c r="P917" s="9" t="inlineStr">
        <is>
          <t>NSMI24070202000</t>
        </is>
      </c>
      <c r="Q917" s="53">
        <f>MID(P917,5,2)</f>
        <v/>
      </c>
      <c r="R917" s="53">
        <f>MID(P917,7,2)</f>
        <v/>
      </c>
      <c r="S917" s="3" t="inlineStr">
        <is>
          <t>G2G</t>
        </is>
      </c>
      <c r="T917" s="3" t="inlineStr">
        <is>
          <t>P4</t>
        </is>
      </c>
      <c r="U917" s="3" t="inlineStr">
        <is>
          <t>P JB Cold Soldering</t>
        </is>
      </c>
      <c r="V917" s="3" t="inlineStr">
        <is>
          <t>Soldering</t>
        </is>
      </c>
      <c r="W917" s="3" t="inlineStr">
        <is>
          <t>Repair</t>
        </is>
      </c>
      <c r="X917" s="18" t="n">
        <v>46155</v>
      </c>
      <c r="Y917" s="3">
        <f>X917-A917</f>
        <v/>
      </c>
      <c r="Z917" s="18" t="n">
        <v>46155</v>
      </c>
      <c r="AA917" s="15" t="n"/>
      <c r="AB917" s="15" t="n"/>
    </row>
    <row r="918">
      <c r="A918" s="37" t="n">
        <v>46143</v>
      </c>
      <c r="B918" s="3" t="n">
        <v>2026</v>
      </c>
      <c r="C918" s="26" t="inlineStr">
        <is>
          <t>Yanara Power</t>
        </is>
      </c>
      <c r="D918" s="3" t="inlineStr">
        <is>
          <t>Utility and C&amp;I</t>
        </is>
      </c>
      <c r="E918" s="3" t="n"/>
      <c r="F918" s="3" t="inlineStr">
        <is>
          <t>Closed</t>
        </is>
      </c>
      <c r="G918" s="9" t="inlineStr">
        <is>
          <t xml:space="preserve">Ashish Jindal </t>
        </is>
      </c>
      <c r="H918" s="26" t="n">
        <v>9983975581</v>
      </c>
      <c r="I918" s="38" t="inlineStr">
        <is>
          <t>PE01052601</t>
        </is>
      </c>
      <c r="J918" s="26" t="inlineStr">
        <is>
          <t>Multiple Issues</t>
        </is>
      </c>
      <c r="K918" s="39" t="inlineStr">
        <is>
          <t>Holi</t>
        </is>
      </c>
      <c r="L918" s="39" t="inlineStr">
        <is>
          <t>Maharashtra</t>
        </is>
      </c>
      <c r="M918" s="9" t="inlineStr">
        <is>
          <t>NS</t>
        </is>
      </c>
      <c r="N918" s="3" t="inlineStr">
        <is>
          <t>Cold Soldering</t>
        </is>
      </c>
      <c r="O918" s="39" t="n">
        <v>575</v>
      </c>
      <c r="P918" s="9" t="inlineStr">
        <is>
          <t>NSMI24070201973</t>
        </is>
      </c>
      <c r="Q918" s="53">
        <f>MID(P918,5,2)</f>
        <v/>
      </c>
      <c r="R918" s="53">
        <f>MID(P918,7,2)</f>
        <v/>
      </c>
      <c r="S918" s="3" t="inlineStr">
        <is>
          <t>G2TB</t>
        </is>
      </c>
      <c r="T918" s="3" t="inlineStr">
        <is>
          <t>P4</t>
        </is>
      </c>
      <c r="U918" s="3" t="inlineStr">
        <is>
          <t>N JB Cold Soldering</t>
        </is>
      </c>
      <c r="V918" s="3" t="inlineStr">
        <is>
          <t>Soldering</t>
        </is>
      </c>
      <c r="W918" s="3" t="inlineStr">
        <is>
          <t>Repair</t>
        </is>
      </c>
      <c r="X918" s="18" t="n">
        <v>46155</v>
      </c>
      <c r="Y918" s="3">
        <f>X918-A918</f>
        <v/>
      </c>
      <c r="Z918" s="18" t="n">
        <v>46155</v>
      </c>
      <c r="AA918" s="15" t="n"/>
      <c r="AB918" s="15" t="n"/>
    </row>
    <row r="919">
      <c r="A919" s="37" t="n">
        <v>46143</v>
      </c>
      <c r="B919" s="3" t="n">
        <v>2026</v>
      </c>
      <c r="C919" s="26" t="inlineStr">
        <is>
          <t>Yanara Power</t>
        </is>
      </c>
      <c r="D919" s="3" t="inlineStr">
        <is>
          <t>Utility and C&amp;I</t>
        </is>
      </c>
      <c r="E919" s="3" t="n"/>
      <c r="F919" s="3" t="inlineStr">
        <is>
          <t>Closed</t>
        </is>
      </c>
      <c r="G919" s="9" t="inlineStr">
        <is>
          <t xml:space="preserve">Ashish Jindal </t>
        </is>
      </c>
      <c r="H919" s="26" t="n">
        <v>9983975581</v>
      </c>
      <c r="I919" s="38" t="inlineStr">
        <is>
          <t>PE01052601</t>
        </is>
      </c>
      <c r="J919" s="26" t="inlineStr">
        <is>
          <t>Multiple Issues</t>
        </is>
      </c>
      <c r="K919" s="39" t="inlineStr">
        <is>
          <t>Holi</t>
        </is>
      </c>
      <c r="L919" s="39" t="inlineStr">
        <is>
          <t>Maharashtra</t>
        </is>
      </c>
      <c r="M919" s="9" t="inlineStr">
        <is>
          <t>PS</t>
        </is>
      </c>
      <c r="N919" s="3" t="inlineStr">
        <is>
          <t>Cold Soldering</t>
        </is>
      </c>
      <c r="O919" s="39" t="n">
        <v>575</v>
      </c>
      <c r="P919" s="9" t="inlineStr">
        <is>
          <t>NSMI24070201972</t>
        </is>
      </c>
      <c r="Q919" s="53">
        <f>MID(P919,5,2)</f>
        <v/>
      </c>
      <c r="R919" s="53">
        <f>MID(P919,7,2)</f>
        <v/>
      </c>
      <c r="S919" s="3" t="inlineStr">
        <is>
          <t>G2G</t>
        </is>
      </c>
      <c r="T919" s="3" t="inlineStr">
        <is>
          <t>P4</t>
        </is>
      </c>
      <c r="U919" s="3" t="inlineStr">
        <is>
          <t>P JB Cold Soldering</t>
        </is>
      </c>
      <c r="V919" s="3" t="inlineStr">
        <is>
          <t>Soldering</t>
        </is>
      </c>
      <c r="W919" s="3" t="inlineStr">
        <is>
          <t>Repair</t>
        </is>
      </c>
      <c r="X919" s="18" t="n">
        <v>46155</v>
      </c>
      <c r="Y919" s="3">
        <f>X919-A919</f>
        <v/>
      </c>
      <c r="Z919" s="18" t="n">
        <v>46155</v>
      </c>
      <c r="AA919" s="15" t="n"/>
      <c r="AB919" s="15" t="n"/>
    </row>
    <row r="920">
      <c r="A920" s="37" t="n">
        <v>46143</v>
      </c>
      <c r="B920" s="3" t="n">
        <v>2026</v>
      </c>
      <c r="C920" s="26" t="inlineStr">
        <is>
          <t>Yanara Power</t>
        </is>
      </c>
      <c r="D920" s="3" t="inlineStr">
        <is>
          <t>Utility and C&amp;I</t>
        </is>
      </c>
      <c r="E920" s="3" t="n"/>
      <c r="F920" s="3" t="inlineStr">
        <is>
          <t>Closed</t>
        </is>
      </c>
      <c r="G920" s="9" t="inlineStr">
        <is>
          <t xml:space="preserve">Ashish Jindal </t>
        </is>
      </c>
      <c r="H920" s="26" t="n">
        <v>9983975581</v>
      </c>
      <c r="I920" s="38" t="inlineStr">
        <is>
          <t>PE01052601</t>
        </is>
      </c>
      <c r="J920" s="26" t="inlineStr">
        <is>
          <t>Multiple Issues</t>
        </is>
      </c>
      <c r="K920" s="39" t="inlineStr">
        <is>
          <t>Holi</t>
        </is>
      </c>
      <c r="L920" s="39" t="inlineStr">
        <is>
          <t>Maharashtra</t>
        </is>
      </c>
      <c r="M920" s="9" t="inlineStr">
        <is>
          <t>NS</t>
        </is>
      </c>
      <c r="N920" s="3" t="inlineStr">
        <is>
          <t>Cold Soldering</t>
        </is>
      </c>
      <c r="O920" s="39" t="n">
        <v>575</v>
      </c>
      <c r="P920" s="9" t="inlineStr">
        <is>
          <t>NSMI24070201899</t>
        </is>
      </c>
      <c r="Q920" s="53">
        <f>MID(P920,5,2)</f>
        <v/>
      </c>
      <c r="R920" s="53">
        <f>MID(P920,7,2)</f>
        <v/>
      </c>
      <c r="S920" s="3" t="inlineStr">
        <is>
          <t>G2TB</t>
        </is>
      </c>
      <c r="T920" s="3" t="inlineStr">
        <is>
          <t>P4</t>
        </is>
      </c>
      <c r="U920" s="3" t="inlineStr">
        <is>
          <t>N JB Cold Soldering</t>
        </is>
      </c>
      <c r="V920" s="3" t="inlineStr">
        <is>
          <t>Soldering</t>
        </is>
      </c>
      <c r="W920" s="3" t="inlineStr">
        <is>
          <t>Repair</t>
        </is>
      </c>
      <c r="X920" s="18" t="n">
        <v>46155</v>
      </c>
      <c r="Y920" s="3">
        <f>X920-A920</f>
        <v/>
      </c>
      <c r="Z920" s="18" t="n">
        <v>46155</v>
      </c>
      <c r="AA920" s="15" t="n"/>
      <c r="AB920" s="15" t="n"/>
    </row>
    <row r="921">
      <c r="A921" s="37" t="n">
        <v>46143</v>
      </c>
      <c r="B921" s="3" t="n">
        <v>2026</v>
      </c>
      <c r="C921" s="26" t="inlineStr">
        <is>
          <t>Yanara Power</t>
        </is>
      </c>
      <c r="D921" s="3" t="inlineStr">
        <is>
          <t>Utility and C&amp;I</t>
        </is>
      </c>
      <c r="E921" s="3" t="n"/>
      <c r="F921" s="3" t="inlineStr">
        <is>
          <t>Closed</t>
        </is>
      </c>
      <c r="G921" s="9" t="inlineStr">
        <is>
          <t xml:space="preserve">Ashish Jindal </t>
        </is>
      </c>
      <c r="H921" s="26" t="n">
        <v>9983975581</v>
      </c>
      <c r="I921" s="38" t="inlineStr">
        <is>
          <t>PE01052601</t>
        </is>
      </c>
      <c r="J921" s="26" t="inlineStr">
        <is>
          <t>Multiple Issues</t>
        </is>
      </c>
      <c r="K921" s="39" t="inlineStr">
        <is>
          <t>Holi</t>
        </is>
      </c>
      <c r="L921" s="39" t="inlineStr">
        <is>
          <t>Maharashtra</t>
        </is>
      </c>
      <c r="M921" s="9" t="inlineStr">
        <is>
          <t>PS</t>
        </is>
      </c>
      <c r="N921" s="3" t="inlineStr">
        <is>
          <t>Cold Soldering</t>
        </is>
      </c>
      <c r="O921" s="39" t="n">
        <v>575</v>
      </c>
      <c r="P921" s="9" t="inlineStr">
        <is>
          <t>NSMI24070191008</t>
        </is>
      </c>
      <c r="Q921" s="53">
        <f>MID(P921,5,2)</f>
        <v/>
      </c>
      <c r="R921" s="53">
        <f>MID(P921,7,2)</f>
        <v/>
      </c>
      <c r="S921" s="3" t="inlineStr">
        <is>
          <t>G2G</t>
        </is>
      </c>
      <c r="T921" s="3" t="inlineStr">
        <is>
          <t>P4</t>
        </is>
      </c>
      <c r="U921" s="3" t="inlineStr">
        <is>
          <t>P JB Cold Soldering &amp; Back Glass Broken</t>
        </is>
      </c>
      <c r="V921" s="3" t="inlineStr">
        <is>
          <t>Soldering</t>
        </is>
      </c>
      <c r="W921" s="3" t="inlineStr">
        <is>
          <t>Repair</t>
        </is>
      </c>
      <c r="X921" s="18" t="n">
        <v>46155</v>
      </c>
      <c r="Y921" s="3">
        <f>X921-A921</f>
        <v/>
      </c>
      <c r="Z921" s="18" t="n">
        <v>46155</v>
      </c>
      <c r="AA921" s="15" t="n"/>
      <c r="AB921" s="15" t="n"/>
    </row>
    <row r="922">
      <c r="A922" s="37" t="n">
        <v>46143</v>
      </c>
      <c r="B922" s="3" t="n">
        <v>2026</v>
      </c>
      <c r="C922" s="26" t="inlineStr">
        <is>
          <t>Yanara Power</t>
        </is>
      </c>
      <c r="D922" s="3" t="inlineStr">
        <is>
          <t>Utility and C&amp;I</t>
        </is>
      </c>
      <c r="E922" s="3" t="n"/>
      <c r="F922" s="3" t="inlineStr">
        <is>
          <t>Closed</t>
        </is>
      </c>
      <c r="G922" s="9" t="inlineStr">
        <is>
          <t xml:space="preserve">Ashish Jindal </t>
        </is>
      </c>
      <c r="H922" s="26" t="n">
        <v>9983975581</v>
      </c>
      <c r="I922" s="38" t="inlineStr">
        <is>
          <t>PE01052601</t>
        </is>
      </c>
      <c r="J922" s="26" t="inlineStr">
        <is>
          <t>Multiple Issues</t>
        </is>
      </c>
      <c r="K922" s="39" t="inlineStr">
        <is>
          <t>Holi</t>
        </is>
      </c>
      <c r="L922" s="39" t="inlineStr">
        <is>
          <t>Maharashtra</t>
        </is>
      </c>
      <c r="M922" s="9" t="inlineStr">
        <is>
          <t>NS</t>
        </is>
      </c>
      <c r="N922" s="3" t="inlineStr">
        <is>
          <t>Cold Soldering</t>
        </is>
      </c>
      <c r="O922" s="39" t="n">
        <v>575</v>
      </c>
      <c r="P922" s="9" t="inlineStr">
        <is>
          <t>NSMI24070191017</t>
        </is>
      </c>
      <c r="Q922" s="53">
        <f>MID(P922,5,2)</f>
        <v/>
      </c>
      <c r="R922" s="53">
        <f>MID(P922,7,2)</f>
        <v/>
      </c>
      <c r="S922" s="3" t="inlineStr">
        <is>
          <t>G2TB</t>
        </is>
      </c>
      <c r="T922" s="3" t="inlineStr">
        <is>
          <t>P4</t>
        </is>
      </c>
      <c r="U922" s="3" t="inlineStr">
        <is>
          <t>N JB Cold Soldering</t>
        </is>
      </c>
      <c r="V922" s="3" t="inlineStr">
        <is>
          <t>Soldering</t>
        </is>
      </c>
      <c r="W922" s="3" t="inlineStr">
        <is>
          <t>Repair</t>
        </is>
      </c>
      <c r="X922" s="18" t="n">
        <v>46155</v>
      </c>
      <c r="Y922" s="3">
        <f>X922-A922</f>
        <v/>
      </c>
      <c r="Z922" s="18" t="n">
        <v>46155</v>
      </c>
      <c r="AA922" s="15" t="n"/>
      <c r="AB922" s="15" t="n"/>
    </row>
    <row r="923">
      <c r="A923" s="37" t="n">
        <v>46143</v>
      </c>
      <c r="B923" s="3" t="n">
        <v>2026</v>
      </c>
      <c r="C923" s="26" t="inlineStr">
        <is>
          <t>Yanara Power</t>
        </is>
      </c>
      <c r="D923" s="3" t="inlineStr">
        <is>
          <t>Utility and C&amp;I</t>
        </is>
      </c>
      <c r="E923" s="3" t="n"/>
      <c r="F923" s="3" t="inlineStr">
        <is>
          <t>Closed</t>
        </is>
      </c>
      <c r="G923" s="9" t="inlineStr">
        <is>
          <t xml:space="preserve">Ashish Jindal </t>
        </is>
      </c>
      <c r="H923" s="26" t="n">
        <v>9983975581</v>
      </c>
      <c r="I923" s="38" t="inlineStr">
        <is>
          <t>PE01052601</t>
        </is>
      </c>
      <c r="J923" s="26" t="inlineStr">
        <is>
          <t>Multiple Issues</t>
        </is>
      </c>
      <c r="K923" s="39" t="inlineStr">
        <is>
          <t>Holi</t>
        </is>
      </c>
      <c r="L923" s="39" t="inlineStr">
        <is>
          <t>Maharashtra</t>
        </is>
      </c>
      <c r="M923" s="9" t="inlineStr">
        <is>
          <t>PS</t>
        </is>
      </c>
      <c r="N923" s="3" t="inlineStr">
        <is>
          <t>Cold Soldering</t>
        </is>
      </c>
      <c r="O923" s="39" t="n">
        <v>575</v>
      </c>
      <c r="P923" s="9" t="inlineStr">
        <is>
          <t>NSMI24070191019</t>
        </is>
      </c>
      <c r="Q923" s="53">
        <f>MID(P923,5,2)</f>
        <v/>
      </c>
      <c r="R923" s="53">
        <f>MID(P923,7,2)</f>
        <v/>
      </c>
      <c r="S923" s="3" t="inlineStr">
        <is>
          <t>G2G</t>
        </is>
      </c>
      <c r="T923" s="3" t="inlineStr">
        <is>
          <t>P4</t>
        </is>
      </c>
      <c r="U923" s="3" t="inlineStr">
        <is>
          <t>P JB Cold Soldering</t>
        </is>
      </c>
      <c r="V923" s="3" t="inlineStr">
        <is>
          <t>Soldering</t>
        </is>
      </c>
      <c r="W923" s="3" t="inlineStr">
        <is>
          <t>Repair</t>
        </is>
      </c>
      <c r="X923" s="18" t="n">
        <v>46155</v>
      </c>
      <c r="Y923" s="3">
        <f>X923-A923</f>
        <v/>
      </c>
      <c r="Z923" s="18" t="n">
        <v>46155</v>
      </c>
      <c r="AA923" s="15" t="n"/>
      <c r="AB923" s="15" t="n"/>
    </row>
    <row r="924">
      <c r="A924" s="37" t="n">
        <v>46143</v>
      </c>
      <c r="B924" s="3" t="n">
        <v>2026</v>
      </c>
      <c r="C924" s="26" t="inlineStr">
        <is>
          <t>Yanara Power</t>
        </is>
      </c>
      <c r="D924" s="3" t="inlineStr">
        <is>
          <t>Utility and C&amp;I</t>
        </is>
      </c>
      <c r="E924" s="3" t="n"/>
      <c r="F924" s="3" t="inlineStr">
        <is>
          <t>Closed</t>
        </is>
      </c>
      <c r="G924" s="9" t="inlineStr">
        <is>
          <t xml:space="preserve">Ashish Jindal </t>
        </is>
      </c>
      <c r="H924" s="26" t="n">
        <v>9983975581</v>
      </c>
      <c r="I924" s="38" t="inlineStr">
        <is>
          <t>PE01052601</t>
        </is>
      </c>
      <c r="J924" s="26" t="inlineStr">
        <is>
          <t>Multiple Issues</t>
        </is>
      </c>
      <c r="K924" s="39" t="inlineStr">
        <is>
          <t>Holi</t>
        </is>
      </c>
      <c r="L924" s="39" t="inlineStr">
        <is>
          <t>Maharashtra</t>
        </is>
      </c>
      <c r="M924" s="9" t="inlineStr">
        <is>
          <t>PS</t>
        </is>
      </c>
      <c r="N924" s="3" t="inlineStr">
        <is>
          <t>Cold Soldering</t>
        </is>
      </c>
      <c r="O924" s="39" t="n">
        <v>575</v>
      </c>
      <c r="P924" s="9" t="inlineStr">
        <is>
          <t>NSMI24070219254</t>
        </is>
      </c>
      <c r="Q924" s="53">
        <f>MID(P924,5,2)</f>
        <v/>
      </c>
      <c r="R924" s="53">
        <f>MID(P924,7,2)</f>
        <v/>
      </c>
      <c r="S924" s="3" t="inlineStr">
        <is>
          <t>G2G</t>
        </is>
      </c>
      <c r="T924" s="3" t="inlineStr">
        <is>
          <t>P4</t>
        </is>
      </c>
      <c r="U924" s="3" t="inlineStr">
        <is>
          <t>P JB Cold Soldering</t>
        </is>
      </c>
      <c r="V924" s="3" t="inlineStr">
        <is>
          <t>Soldering</t>
        </is>
      </c>
      <c r="W924" s="3" t="inlineStr">
        <is>
          <t>Repair</t>
        </is>
      </c>
      <c r="X924" s="18" t="n">
        <v>46155</v>
      </c>
      <c r="Y924" s="3">
        <f>X924-A924</f>
        <v/>
      </c>
      <c r="Z924" s="18" t="n">
        <v>46155</v>
      </c>
      <c r="AA924" s="15" t="n"/>
      <c r="AB924" s="15" t="n"/>
    </row>
    <row r="925" hidden="1" s="233">
      <c r="A925" s="37" t="n">
        <v>46139</v>
      </c>
      <c r="B925" s="3" t="n">
        <v>2026</v>
      </c>
      <c r="C925" s="26" t="inlineStr">
        <is>
          <t>Solar Square</t>
        </is>
      </c>
      <c r="D925" s="26" t="inlineStr">
        <is>
          <t>OEM</t>
        </is>
      </c>
      <c r="E925" s="3" t="n"/>
      <c r="F925" s="3" t="inlineStr">
        <is>
          <t>Closed</t>
        </is>
      </c>
      <c r="G925" s="39" t="inlineStr">
        <is>
          <t>Murali</t>
        </is>
      </c>
      <c r="H925" s="39" t="n">
        <v>9703345015</v>
      </c>
      <c r="I925" s="38" t="inlineStr">
        <is>
          <t>PE27042601</t>
        </is>
      </c>
      <c r="J925" s="26" t="inlineStr">
        <is>
          <t>Low VOC</t>
        </is>
      </c>
      <c r="K925" s="26" t="inlineStr">
        <is>
          <t>Hyderabad</t>
        </is>
      </c>
      <c r="L925" s="26" t="inlineStr">
        <is>
          <t>Telangana</t>
        </is>
      </c>
      <c r="M925" s="9" t="inlineStr">
        <is>
          <t>PS</t>
        </is>
      </c>
      <c r="N925" s="3" t="inlineStr">
        <is>
          <t>Cold Soldering</t>
        </is>
      </c>
      <c r="O925" s="39" t="n">
        <v>545</v>
      </c>
      <c r="P925" s="8" t="inlineStr">
        <is>
          <t>NSMP2211207221</t>
        </is>
      </c>
      <c r="Q925" s="53">
        <f>MID(P925,5,2)</f>
        <v/>
      </c>
      <c r="R925" s="53">
        <f>MID(P925,7,2)</f>
        <v/>
      </c>
      <c r="S925" s="3" t="inlineStr">
        <is>
          <t>G2B</t>
        </is>
      </c>
      <c r="T925" s="3" t="inlineStr">
        <is>
          <t>P2</t>
        </is>
      </c>
      <c r="U925" s="3" t="inlineStr">
        <is>
          <t>P JB Cold Soldering</t>
        </is>
      </c>
      <c r="V925" s="3" t="inlineStr">
        <is>
          <t>Soldering</t>
        </is>
      </c>
      <c r="W925" s="3" t="inlineStr">
        <is>
          <t>Repair</t>
        </is>
      </c>
      <c r="X925" s="18" t="n">
        <v>46156</v>
      </c>
      <c r="Y925" s="3">
        <f>X925-A925</f>
        <v/>
      </c>
      <c r="Z925" s="18" t="n">
        <v>46156</v>
      </c>
      <c r="AA925" s="15" t="n"/>
      <c r="AB925" s="15" t="n"/>
    </row>
    <row r="926" hidden="1" s="233">
      <c r="A926" s="37" t="n">
        <v>46139</v>
      </c>
      <c r="B926" s="3" t="n">
        <v>2026</v>
      </c>
      <c r="C926" s="26" t="inlineStr">
        <is>
          <t>Solar Square</t>
        </is>
      </c>
      <c r="D926" s="26" t="inlineStr">
        <is>
          <t>OEM</t>
        </is>
      </c>
      <c r="E926" s="3" t="n"/>
      <c r="F926" s="3" t="inlineStr">
        <is>
          <t>Closed</t>
        </is>
      </c>
      <c r="G926" s="39" t="inlineStr">
        <is>
          <t>Murali</t>
        </is>
      </c>
      <c r="H926" s="39" t="n">
        <v>9703345015</v>
      </c>
      <c r="I926" s="38" t="inlineStr">
        <is>
          <t>PE27042602</t>
        </is>
      </c>
      <c r="J926" s="26" t="inlineStr">
        <is>
          <t>Low VOC</t>
        </is>
      </c>
      <c r="K926" s="26" t="inlineStr">
        <is>
          <t>Hyderabad</t>
        </is>
      </c>
      <c r="L926" s="26" t="inlineStr">
        <is>
          <t>Telangana</t>
        </is>
      </c>
      <c r="M926" s="9" t="inlineStr">
        <is>
          <t>PS</t>
        </is>
      </c>
      <c r="N926" s="3" t="inlineStr">
        <is>
          <t>Cold Soldering</t>
        </is>
      </c>
      <c r="O926" s="39" t="n">
        <v>545</v>
      </c>
      <c r="P926" s="9" t="inlineStr">
        <is>
          <t>NSMP2211207221</t>
        </is>
      </c>
      <c r="Q926" s="53">
        <f>MID(P926,5,2)</f>
        <v/>
      </c>
      <c r="R926" s="53">
        <f>MID(P926,7,2)</f>
        <v/>
      </c>
      <c r="S926" s="3" t="inlineStr">
        <is>
          <t>G2B</t>
        </is>
      </c>
      <c r="T926" s="3" t="inlineStr">
        <is>
          <t>P2</t>
        </is>
      </c>
      <c r="U926" s="3" t="inlineStr">
        <is>
          <t>P JB Cold Soldering</t>
        </is>
      </c>
      <c r="V926" s="3" t="inlineStr">
        <is>
          <t>Soldering</t>
        </is>
      </c>
      <c r="W926" s="3" t="inlineStr">
        <is>
          <t>Repair</t>
        </is>
      </c>
      <c r="X926" s="18" t="n">
        <v>46156</v>
      </c>
      <c r="Y926" s="3">
        <f>X926-A926</f>
        <v/>
      </c>
      <c r="Z926" s="18" t="n">
        <v>46156</v>
      </c>
      <c r="AA926" s="15" t="n"/>
      <c r="AB926" s="15" t="n"/>
    </row>
    <row r="927" hidden="1" s="233">
      <c r="A927" s="37" t="n">
        <v>46139</v>
      </c>
      <c r="B927" s="3" t="n">
        <v>2026</v>
      </c>
      <c r="C927" s="26" t="inlineStr">
        <is>
          <t>Solar Square</t>
        </is>
      </c>
      <c r="D927" s="26" t="inlineStr">
        <is>
          <t>OEM</t>
        </is>
      </c>
      <c r="E927" s="3" t="n"/>
      <c r="F927" s="3" t="inlineStr">
        <is>
          <t>Closed</t>
        </is>
      </c>
      <c r="G927" s="39" t="inlineStr">
        <is>
          <t>Murali</t>
        </is>
      </c>
      <c r="H927" s="39" t="n">
        <v>9703345015</v>
      </c>
      <c r="I927" s="38" t="inlineStr">
        <is>
          <t>PE27042602</t>
        </is>
      </c>
      <c r="J927" s="26" t="inlineStr">
        <is>
          <t>Low VOC</t>
        </is>
      </c>
      <c r="K927" s="26" t="inlineStr">
        <is>
          <t>Hyderabad</t>
        </is>
      </c>
      <c r="L927" s="26" t="inlineStr">
        <is>
          <t>Telangana</t>
        </is>
      </c>
      <c r="M927" s="9" t="inlineStr">
        <is>
          <t>PS</t>
        </is>
      </c>
      <c r="N927" s="3" t="inlineStr">
        <is>
          <t>Cold Soldering</t>
        </is>
      </c>
      <c r="O927" s="39" t="n">
        <v>545</v>
      </c>
      <c r="P927" s="9" t="inlineStr">
        <is>
          <t>NSMP2211207246</t>
        </is>
      </c>
      <c r="Q927" s="53">
        <f>MID(P927,5,2)</f>
        <v/>
      </c>
      <c r="R927" s="53">
        <f>MID(P927,7,2)</f>
        <v/>
      </c>
      <c r="S927" s="3" t="inlineStr">
        <is>
          <t>G2B</t>
        </is>
      </c>
      <c r="T927" s="3" t="inlineStr">
        <is>
          <t>P2</t>
        </is>
      </c>
      <c r="U927" s="3" t="inlineStr">
        <is>
          <t>P JB Cold Soldering</t>
        </is>
      </c>
      <c r="V927" s="3" t="inlineStr">
        <is>
          <t>Soldering</t>
        </is>
      </c>
      <c r="W927" s="3" t="inlineStr">
        <is>
          <t>Repair</t>
        </is>
      </c>
      <c r="X927" s="18" t="n">
        <v>46156</v>
      </c>
      <c r="Y927" s="3">
        <f>X927-A927</f>
        <v/>
      </c>
      <c r="Z927" s="18" t="n">
        <v>46156</v>
      </c>
      <c r="AA927" s="15" t="n"/>
      <c r="AB927" s="15" t="n"/>
    </row>
    <row r="928" hidden="1" s="233">
      <c r="A928" s="6" t="n">
        <v>46107</v>
      </c>
      <c r="B928" s="3" t="n">
        <v>2026</v>
      </c>
      <c r="C928" s="3" t="inlineStr">
        <is>
          <t>Blupine</t>
        </is>
      </c>
      <c r="D928" s="3" t="inlineStr">
        <is>
          <t>Utility and C&amp;I</t>
        </is>
      </c>
      <c r="E928" s="3" t="n"/>
      <c r="F928" s="3" t="inlineStr">
        <is>
          <t>Closed</t>
        </is>
      </c>
      <c r="G928" s="3" t="inlineStr">
        <is>
          <t>Chandrashekar Patidar</t>
        </is>
      </c>
      <c r="H928" s="3" t="n">
        <v>7879764773</v>
      </c>
      <c r="I928" s="11" t="inlineStr">
        <is>
          <t>PE26032601</t>
        </is>
      </c>
      <c r="J928" s="3" t="inlineStr">
        <is>
          <t>Module Diode Failure</t>
        </is>
      </c>
      <c r="K928" s="3" t="inlineStr">
        <is>
          <t>Sadla</t>
        </is>
      </c>
      <c r="L928" s="3" t="inlineStr">
        <is>
          <t>Gujarat</t>
        </is>
      </c>
      <c r="M928" s="9" t="inlineStr">
        <is>
          <t>PR</t>
        </is>
      </c>
      <c r="N928" s="3" t="inlineStr">
        <is>
          <t>JB Issue</t>
        </is>
      </c>
      <c r="O928" s="3" t="n">
        <v>570</v>
      </c>
      <c r="P928" s="9" t="inlineStr">
        <is>
          <t>NSMI24060084449</t>
        </is>
      </c>
      <c r="Q928" s="53">
        <f>MID(P928,5,2)</f>
        <v/>
      </c>
      <c r="R928" s="53">
        <f>MID(P928,7,2)</f>
        <v/>
      </c>
      <c r="S928" s="3" t="inlineStr">
        <is>
          <t>G2G</t>
        </is>
      </c>
      <c r="T928" s="3" t="inlineStr">
        <is>
          <t>P4</t>
        </is>
      </c>
      <c r="U928" s="3" t="inlineStr">
        <is>
          <t>P JB Issue</t>
        </is>
      </c>
      <c r="V928" s="15" t="inlineStr">
        <is>
          <t>JB Changed</t>
        </is>
      </c>
      <c r="W928" s="3" t="inlineStr">
        <is>
          <t>Repair</t>
        </is>
      </c>
      <c r="X928" s="18" t="n">
        <v>46156</v>
      </c>
      <c r="Y928" s="3">
        <f>X928-A928</f>
        <v/>
      </c>
      <c r="Z928" s="18" t="n">
        <v>46156</v>
      </c>
      <c r="AA928" s="15" t="n"/>
      <c r="AB928" s="15" t="n"/>
    </row>
    <row r="929" hidden="1" s="233">
      <c r="A929" s="6" t="n">
        <v>46107</v>
      </c>
      <c r="B929" s="3" t="n">
        <v>2026</v>
      </c>
      <c r="C929" s="3" t="inlineStr">
        <is>
          <t>Blupine</t>
        </is>
      </c>
      <c r="D929" s="3" t="inlineStr">
        <is>
          <t>Utility and C&amp;I</t>
        </is>
      </c>
      <c r="E929" s="3" t="n"/>
      <c r="F929" s="3" t="inlineStr">
        <is>
          <t>Closed</t>
        </is>
      </c>
      <c r="G929" s="3" t="inlineStr">
        <is>
          <t>Chandrashekar Patidar</t>
        </is>
      </c>
      <c r="H929" s="3" t="n">
        <v>7879764773</v>
      </c>
      <c r="I929" s="11" t="inlineStr">
        <is>
          <t>PE26032601</t>
        </is>
      </c>
      <c r="J929" s="3" t="inlineStr">
        <is>
          <t>Module Diode Failure</t>
        </is>
      </c>
      <c r="K929" s="3" t="inlineStr">
        <is>
          <t>Sadla</t>
        </is>
      </c>
      <c r="L929" s="3" t="inlineStr">
        <is>
          <t>Gujarat</t>
        </is>
      </c>
      <c r="M929" s="9" t="inlineStr">
        <is>
          <t>Ok</t>
        </is>
      </c>
      <c r="N929" s="3" t="inlineStr">
        <is>
          <t>No Issue</t>
        </is>
      </c>
      <c r="O929" s="3" t="n">
        <v>570</v>
      </c>
      <c r="P929" s="9" t="inlineStr">
        <is>
          <t>NSMI24060084123</t>
        </is>
      </c>
      <c r="Q929" s="53">
        <f>MID(P929,5,2)</f>
        <v/>
      </c>
      <c r="R929" s="53">
        <f>MID(P929,7,2)</f>
        <v/>
      </c>
      <c r="S929" s="3" t="inlineStr">
        <is>
          <t>G2G</t>
        </is>
      </c>
      <c r="T929" s="3" t="inlineStr">
        <is>
          <t>P4</t>
        </is>
      </c>
      <c r="U929" s="19" t="inlineStr">
        <is>
          <t>No Issue Found</t>
        </is>
      </c>
      <c r="V929" s="19" t="inlineStr">
        <is>
          <t>Found OK</t>
        </is>
      </c>
      <c r="W929" s="3" t="inlineStr">
        <is>
          <t>Repair</t>
        </is>
      </c>
      <c r="X929" s="18" t="n">
        <v>46156</v>
      </c>
      <c r="Y929" s="3">
        <f>X929-A929</f>
        <v/>
      </c>
      <c r="Z929" s="18" t="n">
        <v>46156</v>
      </c>
      <c r="AA929" s="15" t="n"/>
      <c r="AB929" s="15" t="n"/>
    </row>
    <row r="930" hidden="1" s="233">
      <c r="A930" s="6" t="n">
        <v>46107</v>
      </c>
      <c r="B930" s="3" t="n">
        <v>2026</v>
      </c>
      <c r="C930" s="3" t="inlineStr">
        <is>
          <t>Blupine</t>
        </is>
      </c>
      <c r="D930" s="3" t="inlineStr">
        <is>
          <t>Utility and C&amp;I</t>
        </is>
      </c>
      <c r="E930" s="3" t="n"/>
      <c r="F930" s="3" t="inlineStr">
        <is>
          <t>Closed</t>
        </is>
      </c>
      <c r="G930" s="3" t="inlineStr">
        <is>
          <t>Chandrashekar Patidar</t>
        </is>
      </c>
      <c r="H930" s="3" t="n">
        <v>7879764773</v>
      </c>
      <c r="I930" s="11" t="inlineStr">
        <is>
          <t>PE26032601</t>
        </is>
      </c>
      <c r="J930" s="3" t="inlineStr">
        <is>
          <t>Module Diode Failure</t>
        </is>
      </c>
      <c r="K930" s="3" t="inlineStr">
        <is>
          <t>Sadla</t>
        </is>
      </c>
      <c r="L930" s="3" t="inlineStr">
        <is>
          <t>Gujarat</t>
        </is>
      </c>
      <c r="M930" s="9" t="inlineStr">
        <is>
          <t>NS</t>
        </is>
      </c>
      <c r="N930" s="3" t="inlineStr">
        <is>
          <t>Cold Soldering</t>
        </is>
      </c>
      <c r="O930" s="3" t="n">
        <v>570</v>
      </c>
      <c r="P930" s="9" t="inlineStr">
        <is>
          <t>NSMI24060101004</t>
        </is>
      </c>
      <c r="Q930" s="53">
        <f>MID(P930,5,2)</f>
        <v/>
      </c>
      <c r="R930" s="53">
        <f>MID(P930,7,2)</f>
        <v/>
      </c>
      <c r="S930" s="3" t="inlineStr">
        <is>
          <t>G2G</t>
        </is>
      </c>
      <c r="T930" s="3" t="inlineStr">
        <is>
          <t>P4</t>
        </is>
      </c>
      <c r="U930" s="3" t="inlineStr">
        <is>
          <t>N JB Cold Soldering</t>
        </is>
      </c>
      <c r="V930" s="3" t="inlineStr">
        <is>
          <t>Soldering</t>
        </is>
      </c>
      <c r="W930" s="3" t="inlineStr">
        <is>
          <t>Repair</t>
        </is>
      </c>
      <c r="X930" s="18" t="n">
        <v>46156</v>
      </c>
      <c r="Y930" s="3">
        <f>X930-A930</f>
        <v/>
      </c>
      <c r="Z930" s="18" t="n">
        <v>46156</v>
      </c>
      <c r="AA930" s="15" t="n"/>
      <c r="AB930" s="15" t="n"/>
    </row>
    <row r="931" hidden="1" s="233">
      <c r="A931" s="6" t="n">
        <v>46107</v>
      </c>
      <c r="B931" s="3" t="n">
        <v>2026</v>
      </c>
      <c r="C931" s="3" t="inlineStr">
        <is>
          <t>Blupine</t>
        </is>
      </c>
      <c r="D931" s="3" t="inlineStr">
        <is>
          <t>Utility and C&amp;I</t>
        </is>
      </c>
      <c r="E931" s="3" t="n"/>
      <c r="F931" s="3" t="inlineStr">
        <is>
          <t>Closed</t>
        </is>
      </c>
      <c r="G931" s="3" t="inlineStr">
        <is>
          <t>Chandrashekar Patidar</t>
        </is>
      </c>
      <c r="H931" s="3" t="n">
        <v>7879764773</v>
      </c>
      <c r="I931" s="11" t="inlineStr">
        <is>
          <t>PE26032601</t>
        </is>
      </c>
      <c r="J931" s="3" t="inlineStr">
        <is>
          <t>Module Diode Failure</t>
        </is>
      </c>
      <c r="K931" s="3" t="inlineStr">
        <is>
          <t>Sadla</t>
        </is>
      </c>
      <c r="L931" s="3" t="inlineStr">
        <is>
          <t>Gujarat</t>
        </is>
      </c>
      <c r="M931" s="9" t="inlineStr">
        <is>
          <t>PS</t>
        </is>
      </c>
      <c r="N931" s="3" t="inlineStr">
        <is>
          <t>Cold Soldering</t>
        </is>
      </c>
      <c r="O931" s="3" t="n">
        <v>570</v>
      </c>
      <c r="P931" s="9" t="inlineStr">
        <is>
          <t>NSMI24050067808</t>
        </is>
      </c>
      <c r="Q931" s="53">
        <f>MID(P931,5,2)</f>
        <v/>
      </c>
      <c r="R931" s="53">
        <f>MID(P931,7,2)</f>
        <v/>
      </c>
      <c r="S931" s="3" t="inlineStr">
        <is>
          <t>G2G</t>
        </is>
      </c>
      <c r="T931" s="3" t="inlineStr">
        <is>
          <t>P4</t>
        </is>
      </c>
      <c r="U931" s="3" t="inlineStr">
        <is>
          <t>P JB Cold Soldering</t>
        </is>
      </c>
      <c r="V931" s="3" t="inlineStr">
        <is>
          <t>Soldering</t>
        </is>
      </c>
      <c r="W931" s="3" t="inlineStr">
        <is>
          <t>Repair</t>
        </is>
      </c>
      <c r="X931" s="18" t="n">
        <v>46156</v>
      </c>
      <c r="Y931" s="3">
        <f>X931-A931</f>
        <v/>
      </c>
      <c r="Z931" s="18" t="n">
        <v>46156</v>
      </c>
      <c r="AA931" s="15" t="n"/>
      <c r="AB931" s="15" t="n"/>
    </row>
    <row r="932" hidden="1" s="233">
      <c r="A932" s="6" t="n">
        <v>46107</v>
      </c>
      <c r="B932" s="3" t="n">
        <v>2026</v>
      </c>
      <c r="C932" s="3" t="inlineStr">
        <is>
          <t>Blupine</t>
        </is>
      </c>
      <c r="D932" s="3" t="inlineStr">
        <is>
          <t>Utility and C&amp;I</t>
        </is>
      </c>
      <c r="E932" s="3" t="n"/>
      <c r="F932" s="3" t="inlineStr">
        <is>
          <t>Closed</t>
        </is>
      </c>
      <c r="G932" s="3" t="inlineStr">
        <is>
          <t>Chandrashekar Patidar</t>
        </is>
      </c>
      <c r="H932" s="3" t="n">
        <v>7879764773</v>
      </c>
      <c r="I932" s="11" t="inlineStr">
        <is>
          <t>PE26032601</t>
        </is>
      </c>
      <c r="J932" s="3" t="inlineStr">
        <is>
          <t>Module Diode Failure</t>
        </is>
      </c>
      <c r="K932" s="3" t="inlineStr">
        <is>
          <t>Sadla</t>
        </is>
      </c>
      <c r="L932" s="3" t="inlineStr">
        <is>
          <t>Gujarat</t>
        </is>
      </c>
      <c r="M932" s="9" t="inlineStr">
        <is>
          <t>NR</t>
        </is>
      </c>
      <c r="N932" s="3" t="inlineStr">
        <is>
          <t>JB Issue</t>
        </is>
      </c>
      <c r="O932" s="3" t="n">
        <v>570</v>
      </c>
      <c r="P932" s="9" t="inlineStr">
        <is>
          <t>NSMI24060125498</t>
        </is>
      </c>
      <c r="Q932" s="53">
        <f>MID(P932,5,2)</f>
        <v/>
      </c>
      <c r="R932" s="53">
        <f>MID(P932,7,2)</f>
        <v/>
      </c>
      <c r="S932" s="3" t="inlineStr">
        <is>
          <t>G2G</t>
        </is>
      </c>
      <c r="T932" s="3" t="inlineStr">
        <is>
          <t>P4</t>
        </is>
      </c>
      <c r="U932" s="3" t="inlineStr">
        <is>
          <t>N JB Issue</t>
        </is>
      </c>
      <c r="V932" s="3" t="inlineStr">
        <is>
          <t>JB Changed</t>
        </is>
      </c>
      <c r="W932" s="3" t="inlineStr">
        <is>
          <t>Repair</t>
        </is>
      </c>
      <c r="X932" s="18" t="n">
        <v>46156</v>
      </c>
      <c r="Y932" s="3">
        <f>X932-A932</f>
        <v/>
      </c>
      <c r="Z932" s="18" t="n">
        <v>46156</v>
      </c>
      <c r="AA932" s="15" t="n"/>
      <c r="AB932" s="15" t="n"/>
    </row>
    <row r="933" hidden="1" s="233">
      <c r="A933" s="6" t="n">
        <v>46107</v>
      </c>
      <c r="B933" s="3" t="n">
        <v>2026</v>
      </c>
      <c r="C933" s="3" t="inlineStr">
        <is>
          <t>Blupine</t>
        </is>
      </c>
      <c r="D933" s="3" t="inlineStr">
        <is>
          <t>Utility and C&amp;I</t>
        </is>
      </c>
      <c r="E933" s="3" t="n"/>
      <c r="F933" s="3" t="inlineStr">
        <is>
          <t>Closed</t>
        </is>
      </c>
      <c r="G933" s="3" t="inlineStr">
        <is>
          <t>Chandrashekar Patidar</t>
        </is>
      </c>
      <c r="H933" s="3" t="n">
        <v>7879764773</v>
      </c>
      <c r="I933" s="11" t="inlineStr">
        <is>
          <t>PE26032601</t>
        </is>
      </c>
      <c r="J933" s="3" t="inlineStr">
        <is>
          <t>Module Diode Failure</t>
        </is>
      </c>
      <c r="K933" s="3" t="inlineStr">
        <is>
          <t>Sadla</t>
        </is>
      </c>
      <c r="L933" s="3" t="inlineStr">
        <is>
          <t>Gujarat</t>
        </is>
      </c>
      <c r="M933" s="9" t="inlineStr">
        <is>
          <t>PS</t>
        </is>
      </c>
      <c r="N933" s="3" t="inlineStr">
        <is>
          <t>Cold Soldering</t>
        </is>
      </c>
      <c r="O933" s="3" t="n">
        <v>570</v>
      </c>
      <c r="P933" s="9" t="inlineStr">
        <is>
          <t>NSMI24060112415</t>
        </is>
      </c>
      <c r="Q933" s="53">
        <f>MID(P933,5,2)</f>
        <v/>
      </c>
      <c r="R933" s="53">
        <f>MID(P933,7,2)</f>
        <v/>
      </c>
      <c r="S933" s="3" t="inlineStr">
        <is>
          <t>G2G</t>
        </is>
      </c>
      <c r="T933" s="3" t="inlineStr">
        <is>
          <t>P4</t>
        </is>
      </c>
      <c r="U933" s="3" t="inlineStr">
        <is>
          <t>P JB Cold Soldering &amp; Glass Breakage</t>
        </is>
      </c>
      <c r="V933" s="3" t="inlineStr">
        <is>
          <t>Soldering</t>
        </is>
      </c>
      <c r="W933" s="3" t="inlineStr">
        <is>
          <t>Repair</t>
        </is>
      </c>
      <c r="X933" s="18" t="n">
        <v>46156</v>
      </c>
      <c r="Y933" s="3">
        <f>X933-A933</f>
        <v/>
      </c>
      <c r="Z933" s="18" t="n">
        <v>46156</v>
      </c>
      <c r="AA933" s="15" t="n"/>
      <c r="AB933" s="15" t="n"/>
    </row>
    <row r="934" hidden="1" s="233">
      <c r="A934" s="6" t="n">
        <v>46107</v>
      </c>
      <c r="B934" s="3" t="n">
        <v>2026</v>
      </c>
      <c r="C934" s="3" t="inlineStr">
        <is>
          <t>Blupine</t>
        </is>
      </c>
      <c r="D934" s="3" t="inlineStr">
        <is>
          <t>Utility and C&amp;I</t>
        </is>
      </c>
      <c r="E934" s="3" t="n"/>
      <c r="F934" s="3" t="inlineStr">
        <is>
          <t>Closed</t>
        </is>
      </c>
      <c r="G934" s="3" t="inlineStr">
        <is>
          <t>Chandrashekar Patidar</t>
        </is>
      </c>
      <c r="H934" s="3" t="n">
        <v>7879764773</v>
      </c>
      <c r="I934" s="11" t="inlineStr">
        <is>
          <t>PE26032601</t>
        </is>
      </c>
      <c r="J934" s="3" t="inlineStr">
        <is>
          <t>Module Diode Failure</t>
        </is>
      </c>
      <c r="K934" s="3" t="inlineStr">
        <is>
          <t>Sadla</t>
        </is>
      </c>
      <c r="L934" s="3" t="inlineStr">
        <is>
          <t>Gujarat</t>
        </is>
      </c>
      <c r="M934" s="9" t="inlineStr">
        <is>
          <t>NS</t>
        </is>
      </c>
      <c r="N934" s="3" t="inlineStr">
        <is>
          <t>Cold Soldering</t>
        </is>
      </c>
      <c r="O934" s="3" t="n">
        <v>570</v>
      </c>
      <c r="P934" s="9" t="inlineStr">
        <is>
          <t>NSMI24060112429</t>
        </is>
      </c>
      <c r="Q934" s="53">
        <f>MID(P934,5,2)</f>
        <v/>
      </c>
      <c r="R934" s="53">
        <f>MID(P934,7,2)</f>
        <v/>
      </c>
      <c r="S934" s="3" t="inlineStr">
        <is>
          <t>G2G</t>
        </is>
      </c>
      <c r="T934" s="3" t="inlineStr">
        <is>
          <t>P4</t>
        </is>
      </c>
      <c r="U934" s="3" t="inlineStr">
        <is>
          <t>P JB Cold Soldering &amp; Glass Breakage</t>
        </is>
      </c>
      <c r="V934" s="3" t="inlineStr">
        <is>
          <t>Soldering</t>
        </is>
      </c>
      <c r="W934" s="3" t="inlineStr">
        <is>
          <t>Repair</t>
        </is>
      </c>
      <c r="X934" s="18" t="n">
        <v>46156</v>
      </c>
      <c r="Y934" s="3">
        <f>X934-A934</f>
        <v/>
      </c>
      <c r="Z934" s="18" t="n">
        <v>46156</v>
      </c>
      <c r="AA934" s="15" t="n"/>
      <c r="AB934" s="15" t="n"/>
    </row>
    <row r="935" hidden="1" s="233">
      <c r="A935" s="6" t="n">
        <v>46107</v>
      </c>
      <c r="B935" s="3" t="n">
        <v>2026</v>
      </c>
      <c r="C935" s="3" t="inlineStr">
        <is>
          <t>Blupine</t>
        </is>
      </c>
      <c r="D935" s="3" t="inlineStr">
        <is>
          <t>Utility and C&amp;I</t>
        </is>
      </c>
      <c r="E935" s="3" t="n"/>
      <c r="F935" s="3" t="inlineStr">
        <is>
          <t>Closed</t>
        </is>
      </c>
      <c r="G935" s="3" t="inlineStr">
        <is>
          <t>Chandrashekar Patidar</t>
        </is>
      </c>
      <c r="H935" s="3" t="n">
        <v>7879764773</v>
      </c>
      <c r="I935" s="11" t="inlineStr">
        <is>
          <t>PE26032601</t>
        </is>
      </c>
      <c r="J935" s="3" t="inlineStr">
        <is>
          <t>Module Diode Failure</t>
        </is>
      </c>
      <c r="K935" s="3" t="inlineStr">
        <is>
          <t>Sadla</t>
        </is>
      </c>
      <c r="L935" s="3" t="inlineStr">
        <is>
          <t>Gujarat</t>
        </is>
      </c>
      <c r="M935" s="9" t="inlineStr">
        <is>
          <t>NS</t>
        </is>
      </c>
      <c r="N935" s="3" t="inlineStr">
        <is>
          <t>Cold Soldering</t>
        </is>
      </c>
      <c r="O935" s="3" t="n">
        <v>570</v>
      </c>
      <c r="P935" s="9" t="inlineStr">
        <is>
          <t>NSMI24060112384</t>
        </is>
      </c>
      <c r="Q935" s="53">
        <f>MID(P935,5,2)</f>
        <v/>
      </c>
      <c r="R935" s="53">
        <f>MID(P935,7,2)</f>
        <v/>
      </c>
      <c r="S935" s="3" t="inlineStr">
        <is>
          <t>G2G</t>
        </is>
      </c>
      <c r="T935" s="3" t="inlineStr">
        <is>
          <t>P4</t>
        </is>
      </c>
      <c r="U935" s="3" t="inlineStr">
        <is>
          <t>N JB Cold Soldering</t>
        </is>
      </c>
      <c r="V935" s="3" t="inlineStr">
        <is>
          <t>Soldering</t>
        </is>
      </c>
      <c r="W935" s="3" t="inlineStr">
        <is>
          <t>Repair</t>
        </is>
      </c>
      <c r="X935" s="18" t="n">
        <v>46156</v>
      </c>
      <c r="Y935" s="3">
        <f>X935-A935</f>
        <v/>
      </c>
      <c r="Z935" s="18" t="n">
        <v>46156</v>
      </c>
      <c r="AA935" s="15" t="n"/>
      <c r="AB935" s="15" t="n"/>
    </row>
    <row r="936" hidden="1" s="233">
      <c r="A936" s="6" t="n">
        <v>46107</v>
      </c>
      <c r="B936" s="3" t="n">
        <v>2026</v>
      </c>
      <c r="C936" s="3" t="inlineStr">
        <is>
          <t>Blupine</t>
        </is>
      </c>
      <c r="D936" s="3" t="inlineStr">
        <is>
          <t>Utility and C&amp;I</t>
        </is>
      </c>
      <c r="E936" s="3" t="n"/>
      <c r="F936" s="3" t="inlineStr">
        <is>
          <t>Closed</t>
        </is>
      </c>
      <c r="G936" s="3" t="inlineStr">
        <is>
          <t>Chandrashekar Patidar</t>
        </is>
      </c>
      <c r="H936" s="3" t="n">
        <v>7879764773</v>
      </c>
      <c r="I936" s="11" t="inlineStr">
        <is>
          <t>PE26032601</t>
        </is>
      </c>
      <c r="J936" s="3" t="inlineStr">
        <is>
          <t>Module Diode Failure</t>
        </is>
      </c>
      <c r="K936" s="3" t="inlineStr">
        <is>
          <t>Sadla</t>
        </is>
      </c>
      <c r="L936" s="3" t="inlineStr">
        <is>
          <t>Gujarat</t>
        </is>
      </c>
      <c r="M936" s="9" t="inlineStr">
        <is>
          <t>NS</t>
        </is>
      </c>
      <c r="N936" s="3" t="inlineStr">
        <is>
          <t>Cold Soldering</t>
        </is>
      </c>
      <c r="O936" s="3" t="n">
        <v>570</v>
      </c>
      <c r="P936" s="9" t="inlineStr">
        <is>
          <t>NSMI24060112399</t>
        </is>
      </c>
      <c r="Q936" s="53">
        <f>MID(P936,5,2)</f>
        <v/>
      </c>
      <c r="R936" s="53">
        <f>MID(P936,7,2)</f>
        <v/>
      </c>
      <c r="S936" s="3" t="inlineStr">
        <is>
          <t>G2G</t>
        </is>
      </c>
      <c r="T936" s="3" t="inlineStr">
        <is>
          <t>P4</t>
        </is>
      </c>
      <c r="U936" s="3" t="inlineStr">
        <is>
          <t>N JB Cold Soldering</t>
        </is>
      </c>
      <c r="V936" s="3" t="inlineStr">
        <is>
          <t>Soldering</t>
        </is>
      </c>
      <c r="W936" s="3" t="inlineStr">
        <is>
          <t>Repair</t>
        </is>
      </c>
      <c r="X936" s="18" t="n">
        <v>46156</v>
      </c>
      <c r="Y936" s="3">
        <f>X936-A936</f>
        <v/>
      </c>
      <c r="Z936" s="18" t="n">
        <v>46156</v>
      </c>
      <c r="AA936" s="15" t="n"/>
      <c r="AB936" s="15" t="n"/>
    </row>
    <row r="937" hidden="1" s="233">
      <c r="A937" s="6" t="n">
        <v>46107</v>
      </c>
      <c r="B937" s="3" t="n">
        <v>2026</v>
      </c>
      <c r="C937" s="3" t="inlineStr">
        <is>
          <t>Blupine</t>
        </is>
      </c>
      <c r="D937" s="3" t="inlineStr">
        <is>
          <t>Utility and C&amp;I</t>
        </is>
      </c>
      <c r="E937" s="3" t="n"/>
      <c r="F937" s="3" t="inlineStr">
        <is>
          <t>Closed</t>
        </is>
      </c>
      <c r="G937" s="3" t="inlineStr">
        <is>
          <t>Chandrashekar Patidar</t>
        </is>
      </c>
      <c r="H937" s="3" t="n">
        <v>7879764773</v>
      </c>
      <c r="I937" s="11" t="inlineStr">
        <is>
          <t>PE26032601</t>
        </is>
      </c>
      <c r="J937" s="3" t="inlineStr">
        <is>
          <t>Module Diode Failure</t>
        </is>
      </c>
      <c r="K937" s="3" t="inlineStr">
        <is>
          <t>Sadla</t>
        </is>
      </c>
      <c r="L937" s="3" t="inlineStr">
        <is>
          <t>Gujarat</t>
        </is>
      </c>
      <c r="M937" s="9" t="inlineStr">
        <is>
          <t>PR</t>
        </is>
      </c>
      <c r="N937" s="3" t="inlineStr">
        <is>
          <t>JB Issue</t>
        </is>
      </c>
      <c r="O937" s="3" t="n">
        <v>570</v>
      </c>
      <c r="P937" s="9" t="inlineStr">
        <is>
          <t>NSMI24060095750</t>
        </is>
      </c>
      <c r="Q937" s="53">
        <f>MID(P937,5,2)</f>
        <v/>
      </c>
      <c r="R937" s="53">
        <f>MID(P937,7,2)</f>
        <v/>
      </c>
      <c r="S937" s="3" t="inlineStr">
        <is>
          <t>G2G</t>
        </is>
      </c>
      <c r="T937" s="3" t="inlineStr">
        <is>
          <t>P4</t>
        </is>
      </c>
      <c r="U937" s="3" t="inlineStr">
        <is>
          <t>P JB Issue &amp; Glass Breakage</t>
        </is>
      </c>
      <c r="V937" s="15" t="inlineStr">
        <is>
          <t>JB Changed</t>
        </is>
      </c>
      <c r="W937" s="3" t="inlineStr">
        <is>
          <t>Repair</t>
        </is>
      </c>
      <c r="X937" s="18" t="n">
        <v>46156</v>
      </c>
      <c r="Y937" s="3">
        <f>X937-A937</f>
        <v/>
      </c>
      <c r="Z937" s="18" t="n">
        <v>46156</v>
      </c>
      <c r="AA937" s="15" t="n"/>
      <c r="AB937" s="15" t="n"/>
    </row>
    <row r="938" hidden="1" s="233">
      <c r="A938" s="6" t="n">
        <v>46107</v>
      </c>
      <c r="B938" s="3" t="n">
        <v>2026</v>
      </c>
      <c r="C938" s="3" t="inlineStr">
        <is>
          <t>Blupine</t>
        </is>
      </c>
      <c r="D938" s="3" t="inlineStr">
        <is>
          <t>Utility and C&amp;I</t>
        </is>
      </c>
      <c r="E938" s="3" t="n"/>
      <c r="F938" s="3" t="inlineStr">
        <is>
          <t>Closed</t>
        </is>
      </c>
      <c r="G938" s="3" t="inlineStr">
        <is>
          <t>Chandrashekar Patidar</t>
        </is>
      </c>
      <c r="H938" s="3" t="n">
        <v>7879764773</v>
      </c>
      <c r="I938" s="11" t="inlineStr">
        <is>
          <t>PE26032601</t>
        </is>
      </c>
      <c r="J938" s="3" t="inlineStr">
        <is>
          <t>Module Diode Failure</t>
        </is>
      </c>
      <c r="K938" s="3" t="inlineStr">
        <is>
          <t>Sadla</t>
        </is>
      </c>
      <c r="L938" s="3" t="inlineStr">
        <is>
          <t>Gujarat</t>
        </is>
      </c>
      <c r="M938" s="9" t="inlineStr">
        <is>
          <t>NS</t>
        </is>
      </c>
      <c r="N938" s="3" t="inlineStr">
        <is>
          <t>Cold Soldering</t>
        </is>
      </c>
      <c r="O938" s="3" t="n">
        <v>570</v>
      </c>
      <c r="P938" s="9" t="inlineStr">
        <is>
          <t>NSMI24060095465</t>
        </is>
      </c>
      <c r="Q938" s="53">
        <f>MID(P938,5,2)</f>
        <v/>
      </c>
      <c r="R938" s="53">
        <f>MID(P938,7,2)</f>
        <v/>
      </c>
      <c r="S938" s="3" t="inlineStr">
        <is>
          <t>G2G</t>
        </is>
      </c>
      <c r="T938" s="3" t="inlineStr">
        <is>
          <t>P4</t>
        </is>
      </c>
      <c r="U938" s="3" t="inlineStr">
        <is>
          <t>N JB Cold Soldering</t>
        </is>
      </c>
      <c r="V938" s="3" t="inlineStr">
        <is>
          <t>Soldering</t>
        </is>
      </c>
      <c r="W938" s="3" t="inlineStr">
        <is>
          <t>Repair</t>
        </is>
      </c>
      <c r="X938" s="18" t="n">
        <v>46156</v>
      </c>
      <c r="Y938" s="3">
        <f>X938-A938</f>
        <v/>
      </c>
      <c r="Z938" s="18" t="n">
        <v>46156</v>
      </c>
      <c r="AA938" s="15" t="n"/>
      <c r="AB938" s="15" t="n"/>
    </row>
    <row r="939" hidden="1" s="233">
      <c r="A939" s="6" t="n">
        <v>46107</v>
      </c>
      <c r="B939" s="3" t="n">
        <v>2026</v>
      </c>
      <c r="C939" s="3" t="inlineStr">
        <is>
          <t>Blupine</t>
        </is>
      </c>
      <c r="D939" s="3" t="inlineStr">
        <is>
          <t>Utility and C&amp;I</t>
        </is>
      </c>
      <c r="E939" s="3" t="n"/>
      <c r="F939" s="3" t="inlineStr">
        <is>
          <t>Closed</t>
        </is>
      </c>
      <c r="G939" s="3" t="inlineStr">
        <is>
          <t>Chandrashekar Patidar</t>
        </is>
      </c>
      <c r="H939" s="3" t="n">
        <v>7879764773</v>
      </c>
      <c r="I939" s="11" t="inlineStr">
        <is>
          <t>PE26032601</t>
        </is>
      </c>
      <c r="J939" s="3" t="inlineStr">
        <is>
          <t>Module Diode Failure</t>
        </is>
      </c>
      <c r="K939" s="3" t="inlineStr">
        <is>
          <t>Sadla</t>
        </is>
      </c>
      <c r="L939" s="3" t="inlineStr">
        <is>
          <t>Gujarat</t>
        </is>
      </c>
      <c r="M939" s="9" t="inlineStr">
        <is>
          <t>NS</t>
        </is>
      </c>
      <c r="N939" s="3" t="inlineStr">
        <is>
          <t>Cold Soldering</t>
        </is>
      </c>
      <c r="O939" s="3" t="n">
        <v>570</v>
      </c>
      <c r="P939" s="9" t="inlineStr">
        <is>
          <t>NSMI24060094867</t>
        </is>
      </c>
      <c r="Q939" s="53">
        <f>MID(P939,5,2)</f>
        <v/>
      </c>
      <c r="R939" s="53">
        <f>MID(P939,7,2)</f>
        <v/>
      </c>
      <c r="S939" s="3" t="inlineStr">
        <is>
          <t>G2G</t>
        </is>
      </c>
      <c r="T939" s="3" t="inlineStr">
        <is>
          <t>P4</t>
        </is>
      </c>
      <c r="U939" s="3" t="inlineStr">
        <is>
          <t>N JB Cold Soldering</t>
        </is>
      </c>
      <c r="V939" s="3" t="inlineStr">
        <is>
          <t>Soldering</t>
        </is>
      </c>
      <c r="W939" s="3" t="inlineStr">
        <is>
          <t>Repair</t>
        </is>
      </c>
      <c r="X939" s="18" t="n">
        <v>46156</v>
      </c>
      <c r="Y939" s="3">
        <f>X939-A939</f>
        <v/>
      </c>
      <c r="Z939" s="18" t="n">
        <v>46156</v>
      </c>
      <c r="AA939" s="15" t="n"/>
      <c r="AB939" s="15" t="n"/>
    </row>
    <row r="940" hidden="1" s="233">
      <c r="A940" s="6" t="n">
        <v>46107</v>
      </c>
      <c r="B940" s="3" t="n">
        <v>2026</v>
      </c>
      <c r="C940" s="3" t="inlineStr">
        <is>
          <t>Blupine</t>
        </is>
      </c>
      <c r="D940" s="3" t="inlineStr">
        <is>
          <t>Utility and C&amp;I</t>
        </is>
      </c>
      <c r="E940" s="3" t="n"/>
      <c r="F940" s="3" t="inlineStr">
        <is>
          <t>Closed</t>
        </is>
      </c>
      <c r="G940" s="3" t="inlineStr">
        <is>
          <t>Chandrashekar Patidar</t>
        </is>
      </c>
      <c r="H940" s="3" t="n">
        <v>7879764773</v>
      </c>
      <c r="I940" s="11" t="inlineStr">
        <is>
          <t>PE26032601</t>
        </is>
      </c>
      <c r="J940" s="3" t="inlineStr">
        <is>
          <t>Module Diode Failure</t>
        </is>
      </c>
      <c r="K940" s="3" t="inlineStr">
        <is>
          <t>Sadla</t>
        </is>
      </c>
      <c r="L940" s="3" t="inlineStr">
        <is>
          <t>Gujarat</t>
        </is>
      </c>
      <c r="M940" s="9" t="inlineStr">
        <is>
          <t>NS</t>
        </is>
      </c>
      <c r="N940" s="3" t="inlineStr">
        <is>
          <t>Cold Soldering</t>
        </is>
      </c>
      <c r="O940" s="3" t="n">
        <v>570</v>
      </c>
      <c r="P940" s="9" t="inlineStr">
        <is>
          <t>NSMI24060096102</t>
        </is>
      </c>
      <c r="Q940" s="53">
        <f>MID(P940,5,2)</f>
        <v/>
      </c>
      <c r="R940" s="53">
        <f>MID(P940,7,2)</f>
        <v/>
      </c>
      <c r="S940" s="3" t="inlineStr">
        <is>
          <t>G2G</t>
        </is>
      </c>
      <c r="T940" s="3" t="inlineStr">
        <is>
          <t>P4</t>
        </is>
      </c>
      <c r="U940" s="3" t="inlineStr">
        <is>
          <t>N JB Cold Soldering</t>
        </is>
      </c>
      <c r="V940" s="3" t="inlineStr">
        <is>
          <t>Soldering</t>
        </is>
      </c>
      <c r="W940" s="3" t="inlineStr">
        <is>
          <t>Repair</t>
        </is>
      </c>
      <c r="X940" s="18" t="n">
        <v>46156</v>
      </c>
      <c r="Y940" s="3">
        <f>X940-A940</f>
        <v/>
      </c>
      <c r="Z940" s="18" t="n">
        <v>46156</v>
      </c>
      <c r="AA940" s="15" t="n"/>
      <c r="AB940" s="15" t="n"/>
    </row>
    <row r="941" hidden="1" s="233">
      <c r="A941" s="6" t="n">
        <v>46107</v>
      </c>
      <c r="B941" s="3" t="n">
        <v>2026</v>
      </c>
      <c r="C941" s="3" t="inlineStr">
        <is>
          <t>Blupine</t>
        </is>
      </c>
      <c r="D941" s="3" t="inlineStr">
        <is>
          <t>Utility and C&amp;I</t>
        </is>
      </c>
      <c r="E941" s="3" t="n"/>
      <c r="F941" s="3" t="inlineStr">
        <is>
          <t>Closed</t>
        </is>
      </c>
      <c r="G941" s="3" t="inlineStr">
        <is>
          <t>Chandrashekar Patidar</t>
        </is>
      </c>
      <c r="H941" s="3" t="n">
        <v>7879764773</v>
      </c>
      <c r="I941" s="11" t="inlineStr">
        <is>
          <t>PE26032601</t>
        </is>
      </c>
      <c r="J941" s="3" t="inlineStr">
        <is>
          <t>Module Diode Failure</t>
        </is>
      </c>
      <c r="K941" s="3" t="inlineStr">
        <is>
          <t>Sadla</t>
        </is>
      </c>
      <c r="L941" s="3" t="inlineStr">
        <is>
          <t>Gujarat</t>
        </is>
      </c>
      <c r="M941" s="9" t="inlineStr">
        <is>
          <t>PS</t>
        </is>
      </c>
      <c r="N941" s="3" t="inlineStr">
        <is>
          <t>Cold Soldering</t>
        </is>
      </c>
      <c r="O941" s="3" t="n">
        <v>570</v>
      </c>
      <c r="P941" s="9" t="inlineStr">
        <is>
          <t>NSMI24050057605</t>
        </is>
      </c>
      <c r="Q941" s="53">
        <f>MID(P941,5,2)</f>
        <v/>
      </c>
      <c r="R941" s="53">
        <f>MID(P941,7,2)</f>
        <v/>
      </c>
      <c r="S941" s="3" t="inlineStr">
        <is>
          <t>G2G</t>
        </is>
      </c>
      <c r="T941" s="3" t="inlineStr">
        <is>
          <t>P4</t>
        </is>
      </c>
      <c r="U941" s="3" t="inlineStr">
        <is>
          <t>P JB Cold Soldering</t>
        </is>
      </c>
      <c r="V941" s="3" t="inlineStr">
        <is>
          <t>Soldering</t>
        </is>
      </c>
      <c r="W941" s="3" t="inlineStr">
        <is>
          <t>Repair</t>
        </is>
      </c>
      <c r="X941" s="18" t="n">
        <v>46156</v>
      </c>
      <c r="Y941" s="3">
        <f>X941-A941</f>
        <v/>
      </c>
      <c r="Z941" s="18" t="n">
        <v>46156</v>
      </c>
      <c r="AA941" s="15" t="n"/>
      <c r="AB941" s="15" t="n"/>
    </row>
    <row r="942" hidden="1" s="233">
      <c r="A942" s="6" t="n">
        <v>46107</v>
      </c>
      <c r="B942" s="3" t="n">
        <v>2026</v>
      </c>
      <c r="C942" s="3" t="inlineStr">
        <is>
          <t>Blupine</t>
        </is>
      </c>
      <c r="D942" s="3" t="inlineStr">
        <is>
          <t>Utility and C&amp;I</t>
        </is>
      </c>
      <c r="E942" s="3" t="n"/>
      <c r="F942" s="3" t="inlineStr">
        <is>
          <t>Closed</t>
        </is>
      </c>
      <c r="G942" s="3" t="inlineStr">
        <is>
          <t>Chandrashekar Patidar</t>
        </is>
      </c>
      <c r="H942" s="3" t="n">
        <v>7879764773</v>
      </c>
      <c r="I942" s="11" t="inlineStr">
        <is>
          <t>PE26032601</t>
        </is>
      </c>
      <c r="J942" s="3" t="inlineStr">
        <is>
          <t>Module Diode Failure</t>
        </is>
      </c>
      <c r="K942" s="3" t="inlineStr">
        <is>
          <t>Sadla</t>
        </is>
      </c>
      <c r="L942" s="3" t="inlineStr">
        <is>
          <t>Gujarat</t>
        </is>
      </c>
      <c r="M942" s="9" t="inlineStr">
        <is>
          <t>NS</t>
        </is>
      </c>
      <c r="N942" s="3" t="inlineStr">
        <is>
          <t>Cold Soldering</t>
        </is>
      </c>
      <c r="O942" s="3" t="n">
        <v>570</v>
      </c>
      <c r="P942" s="9" t="inlineStr">
        <is>
          <t>NSMI24060084970</t>
        </is>
      </c>
      <c r="Q942" s="53">
        <f>MID(P942,5,2)</f>
        <v/>
      </c>
      <c r="R942" s="53">
        <f>MID(P942,7,2)</f>
        <v/>
      </c>
      <c r="S942" s="3" t="inlineStr">
        <is>
          <t>G2G</t>
        </is>
      </c>
      <c r="T942" s="3" t="inlineStr">
        <is>
          <t>P4</t>
        </is>
      </c>
      <c r="U942" s="3" t="inlineStr">
        <is>
          <t>N JB Cold Soldering</t>
        </is>
      </c>
      <c r="V942" s="3" t="inlineStr">
        <is>
          <t>Soldering</t>
        </is>
      </c>
      <c r="W942" s="3" t="inlineStr">
        <is>
          <t>Repair</t>
        </is>
      </c>
      <c r="X942" s="18" t="n">
        <v>46156</v>
      </c>
      <c r="Y942" s="3">
        <f>X942-A942</f>
        <v/>
      </c>
      <c r="Z942" s="18" t="n">
        <v>46156</v>
      </c>
      <c r="AA942" s="15" t="n"/>
      <c r="AB942" s="15" t="n"/>
    </row>
    <row r="943" hidden="1" s="233">
      <c r="A943" s="6" t="n">
        <v>46107</v>
      </c>
      <c r="B943" s="3" t="n">
        <v>2026</v>
      </c>
      <c r="C943" s="3" t="inlineStr">
        <is>
          <t>Blupine</t>
        </is>
      </c>
      <c r="D943" s="3" t="inlineStr">
        <is>
          <t>Utility and C&amp;I</t>
        </is>
      </c>
      <c r="E943" s="3" t="n"/>
      <c r="F943" s="3" t="inlineStr">
        <is>
          <t>Closed</t>
        </is>
      </c>
      <c r="G943" s="3" t="inlineStr">
        <is>
          <t>Chandrashekar Patidar</t>
        </is>
      </c>
      <c r="H943" s="3" t="n">
        <v>7879764773</v>
      </c>
      <c r="I943" s="11" t="inlineStr">
        <is>
          <t>PE26032601</t>
        </is>
      </c>
      <c r="J943" s="3" t="inlineStr">
        <is>
          <t>Module Diode Failure</t>
        </is>
      </c>
      <c r="K943" s="3" t="inlineStr">
        <is>
          <t>Sadla</t>
        </is>
      </c>
      <c r="L943" s="3" t="inlineStr">
        <is>
          <t>Gujarat</t>
        </is>
      </c>
      <c r="M943" s="9" t="inlineStr">
        <is>
          <t>NS</t>
        </is>
      </c>
      <c r="N943" s="3" t="inlineStr">
        <is>
          <t>Cold Soldering</t>
        </is>
      </c>
      <c r="O943" s="3" t="n">
        <v>570</v>
      </c>
      <c r="P943" s="9" t="inlineStr">
        <is>
          <t>NSMI24060076706</t>
        </is>
      </c>
      <c r="Q943" s="53">
        <f>MID(P943,5,2)</f>
        <v/>
      </c>
      <c r="R943" s="53">
        <f>MID(P943,7,2)</f>
        <v/>
      </c>
      <c r="S943" s="3" t="inlineStr">
        <is>
          <t>G2G</t>
        </is>
      </c>
      <c r="T943" s="3" t="inlineStr">
        <is>
          <t>P4</t>
        </is>
      </c>
      <c r="U943" s="3" t="inlineStr">
        <is>
          <t>N JB Cold Soldering</t>
        </is>
      </c>
      <c r="V943" s="3" t="inlineStr">
        <is>
          <t>Soldering</t>
        </is>
      </c>
      <c r="W943" s="3" t="inlineStr">
        <is>
          <t>Repair</t>
        </is>
      </c>
      <c r="X943" s="18" t="n">
        <v>46156</v>
      </c>
      <c r="Y943" s="3">
        <f>X943-A943</f>
        <v/>
      </c>
      <c r="Z943" s="18" t="n">
        <v>46156</v>
      </c>
      <c r="AA943" s="15" t="n"/>
      <c r="AB943" s="15" t="n"/>
    </row>
    <row r="944" hidden="1" s="233">
      <c r="A944" s="6" t="n">
        <v>46107</v>
      </c>
      <c r="B944" s="3" t="n">
        <v>2026</v>
      </c>
      <c r="C944" s="3" t="inlineStr">
        <is>
          <t>Blupine</t>
        </is>
      </c>
      <c r="D944" s="3" t="inlineStr">
        <is>
          <t>Utility and C&amp;I</t>
        </is>
      </c>
      <c r="E944" s="3" t="n"/>
      <c r="F944" s="3" t="inlineStr">
        <is>
          <t>Closed</t>
        </is>
      </c>
      <c r="G944" s="3" t="inlineStr">
        <is>
          <t>Chandrashekar Patidar</t>
        </is>
      </c>
      <c r="H944" s="3" t="n">
        <v>7879764773</v>
      </c>
      <c r="I944" s="11" t="inlineStr">
        <is>
          <t>PE26032601</t>
        </is>
      </c>
      <c r="J944" s="3" t="inlineStr">
        <is>
          <t>Module Diode Failure</t>
        </is>
      </c>
      <c r="K944" s="3" t="inlineStr">
        <is>
          <t>Sadla</t>
        </is>
      </c>
      <c r="L944" s="3" t="inlineStr">
        <is>
          <t>Gujarat</t>
        </is>
      </c>
      <c r="M944" s="9" t="inlineStr">
        <is>
          <t>NS</t>
        </is>
      </c>
      <c r="N944" s="3" t="inlineStr">
        <is>
          <t>Cold Soldering</t>
        </is>
      </c>
      <c r="O944" s="3" t="n">
        <v>570</v>
      </c>
      <c r="P944" s="9" t="inlineStr">
        <is>
          <t>NSMI24060090495</t>
        </is>
      </c>
      <c r="Q944" s="53">
        <f>MID(P944,5,2)</f>
        <v/>
      </c>
      <c r="R944" s="53">
        <f>MID(P944,7,2)</f>
        <v/>
      </c>
      <c r="S944" s="3" t="inlineStr">
        <is>
          <t>G2G</t>
        </is>
      </c>
      <c r="T944" s="3" t="inlineStr">
        <is>
          <t>P4</t>
        </is>
      </c>
      <c r="U944" s="3" t="inlineStr">
        <is>
          <t>N JB Cold Soldering</t>
        </is>
      </c>
      <c r="V944" s="3" t="inlineStr">
        <is>
          <t>Soldering</t>
        </is>
      </c>
      <c r="W944" s="3" t="inlineStr">
        <is>
          <t>Repair</t>
        </is>
      </c>
      <c r="X944" s="18" t="n">
        <v>46156</v>
      </c>
      <c r="Y944" s="3">
        <f>X944-A944</f>
        <v/>
      </c>
      <c r="Z944" s="18" t="n">
        <v>46156</v>
      </c>
      <c r="AA944" s="15" t="n"/>
      <c r="AB944" s="15" t="n"/>
    </row>
    <row r="945" hidden="1" s="233">
      <c r="A945" s="6" t="n">
        <v>46107</v>
      </c>
      <c r="B945" s="3" t="n">
        <v>2026</v>
      </c>
      <c r="C945" s="3" t="inlineStr">
        <is>
          <t>Blupine</t>
        </is>
      </c>
      <c r="D945" s="3" t="inlineStr">
        <is>
          <t>Utility and C&amp;I</t>
        </is>
      </c>
      <c r="E945" s="3" t="n"/>
      <c r="F945" s="3" t="inlineStr">
        <is>
          <t>Closed</t>
        </is>
      </c>
      <c r="G945" s="3" t="inlineStr">
        <is>
          <t>Chandrashekar Patidar</t>
        </is>
      </c>
      <c r="H945" s="3" t="n">
        <v>7879764773</v>
      </c>
      <c r="I945" s="11" t="inlineStr">
        <is>
          <t>PE26032601</t>
        </is>
      </c>
      <c r="J945" s="3" t="inlineStr">
        <is>
          <t>Module Diode Failure</t>
        </is>
      </c>
      <c r="K945" s="3" t="inlineStr">
        <is>
          <t>Sadla</t>
        </is>
      </c>
      <c r="L945" s="3" t="inlineStr">
        <is>
          <t>Gujarat</t>
        </is>
      </c>
      <c r="M945" s="9" t="inlineStr">
        <is>
          <t>PS</t>
        </is>
      </c>
      <c r="N945" s="3" t="inlineStr">
        <is>
          <t>Cold Soldering</t>
        </is>
      </c>
      <c r="O945" s="3" t="n">
        <v>570</v>
      </c>
      <c r="P945" s="9" t="inlineStr">
        <is>
          <t>NSMI24060091975</t>
        </is>
      </c>
      <c r="Q945" s="53">
        <f>MID(P945,5,2)</f>
        <v/>
      </c>
      <c r="R945" s="53">
        <f>MID(P945,7,2)</f>
        <v/>
      </c>
      <c r="S945" s="3" t="inlineStr">
        <is>
          <t>G2G</t>
        </is>
      </c>
      <c r="T945" s="3" t="inlineStr">
        <is>
          <t>P4</t>
        </is>
      </c>
      <c r="U945" s="3" t="inlineStr">
        <is>
          <t>P JB Cold Soldering</t>
        </is>
      </c>
      <c r="V945" s="3" t="inlineStr">
        <is>
          <t>Soldering</t>
        </is>
      </c>
      <c r="W945" s="3" t="inlineStr">
        <is>
          <t>Repair</t>
        </is>
      </c>
      <c r="X945" s="18" t="n">
        <v>46156</v>
      </c>
      <c r="Y945" s="3">
        <f>X945-A945</f>
        <v/>
      </c>
      <c r="Z945" s="18" t="n">
        <v>46156</v>
      </c>
      <c r="AA945" s="15" t="n"/>
      <c r="AB945" s="15" t="n"/>
    </row>
    <row r="946" hidden="1" s="233">
      <c r="A946" s="6" t="n">
        <v>46107</v>
      </c>
      <c r="B946" s="3" t="n">
        <v>2026</v>
      </c>
      <c r="C946" s="3" t="inlineStr">
        <is>
          <t>Blupine</t>
        </is>
      </c>
      <c r="D946" s="3" t="inlineStr">
        <is>
          <t>Utility and C&amp;I</t>
        </is>
      </c>
      <c r="E946" s="3" t="n"/>
      <c r="F946" s="3" t="inlineStr">
        <is>
          <t>Closed</t>
        </is>
      </c>
      <c r="G946" s="3" t="inlineStr">
        <is>
          <t>Chandrashekar Patidar</t>
        </is>
      </c>
      <c r="H946" s="3" t="n">
        <v>7879764773</v>
      </c>
      <c r="I946" s="11" t="inlineStr">
        <is>
          <t>PE26032601</t>
        </is>
      </c>
      <c r="J946" s="3" t="inlineStr">
        <is>
          <t>Module Diode Failure</t>
        </is>
      </c>
      <c r="K946" s="3" t="inlineStr">
        <is>
          <t>Sadla</t>
        </is>
      </c>
      <c r="L946" s="3" t="inlineStr">
        <is>
          <t>Gujarat</t>
        </is>
      </c>
      <c r="M946" s="9" t="inlineStr">
        <is>
          <t>NS</t>
        </is>
      </c>
      <c r="N946" s="3" t="inlineStr">
        <is>
          <t>Cold Soldering</t>
        </is>
      </c>
      <c r="O946" s="3" t="n">
        <v>570</v>
      </c>
      <c r="P946" s="9" t="inlineStr">
        <is>
          <t>NSMI24060097924</t>
        </is>
      </c>
      <c r="Q946" s="53">
        <f>MID(P946,5,2)</f>
        <v/>
      </c>
      <c r="R946" s="53">
        <f>MID(P946,7,2)</f>
        <v/>
      </c>
      <c r="S946" s="3" t="inlineStr">
        <is>
          <t>G2G</t>
        </is>
      </c>
      <c r="T946" s="3" t="inlineStr">
        <is>
          <t>P4</t>
        </is>
      </c>
      <c r="U946" s="3" t="inlineStr">
        <is>
          <t>N JB Cold Soldering</t>
        </is>
      </c>
      <c r="V946" s="3" t="inlineStr">
        <is>
          <t>Soldering</t>
        </is>
      </c>
      <c r="W946" s="3" t="inlineStr">
        <is>
          <t>Repair</t>
        </is>
      </c>
      <c r="X946" s="18" t="n">
        <v>46156</v>
      </c>
      <c r="Y946" s="3">
        <f>X946-A946</f>
        <v/>
      </c>
      <c r="Z946" s="18" t="n">
        <v>46156</v>
      </c>
      <c r="AA946" s="15" t="n"/>
      <c r="AB946" s="15" t="n"/>
    </row>
    <row r="947" hidden="1" s="233">
      <c r="A947" s="6" t="n">
        <v>46107</v>
      </c>
      <c r="B947" s="3" t="n">
        <v>2026</v>
      </c>
      <c r="C947" s="3" t="inlineStr">
        <is>
          <t>Blupine</t>
        </is>
      </c>
      <c r="D947" s="3" t="inlineStr">
        <is>
          <t>Utility and C&amp;I</t>
        </is>
      </c>
      <c r="E947" s="3" t="n"/>
      <c r="F947" s="3" t="inlineStr">
        <is>
          <t>Closed</t>
        </is>
      </c>
      <c r="G947" s="3" t="inlineStr">
        <is>
          <t>Chandrashekar Patidar</t>
        </is>
      </c>
      <c r="H947" s="3" t="n">
        <v>7879764773</v>
      </c>
      <c r="I947" s="11" t="inlineStr">
        <is>
          <t>PE26032601</t>
        </is>
      </c>
      <c r="J947" s="3" t="inlineStr">
        <is>
          <t>Module Diode Failure</t>
        </is>
      </c>
      <c r="K947" s="3" t="inlineStr">
        <is>
          <t>Sadla</t>
        </is>
      </c>
      <c r="L947" s="3" t="inlineStr">
        <is>
          <t>Gujarat</t>
        </is>
      </c>
      <c r="M947" s="9" t="inlineStr">
        <is>
          <t>PS</t>
        </is>
      </c>
      <c r="N947" s="3" t="inlineStr">
        <is>
          <t>Cold Soldering</t>
        </is>
      </c>
      <c r="O947" s="3" t="n">
        <v>570</v>
      </c>
      <c r="P947" s="9" t="inlineStr">
        <is>
          <t>NSMI24060092437</t>
        </is>
      </c>
      <c r="Q947" s="53">
        <f>MID(P947,5,2)</f>
        <v/>
      </c>
      <c r="R947" s="53">
        <f>MID(P947,7,2)</f>
        <v/>
      </c>
      <c r="S947" s="3" t="inlineStr">
        <is>
          <t>G2G</t>
        </is>
      </c>
      <c r="T947" s="3" t="inlineStr">
        <is>
          <t>P4</t>
        </is>
      </c>
      <c r="U947" s="3" t="inlineStr">
        <is>
          <t>P JB Cold Soldering</t>
        </is>
      </c>
      <c r="V947" s="3" t="inlineStr">
        <is>
          <t>Soldering</t>
        </is>
      </c>
      <c r="W947" s="3" t="inlineStr">
        <is>
          <t>Repair</t>
        </is>
      </c>
      <c r="X947" s="18" t="n">
        <v>46156</v>
      </c>
      <c r="Y947" s="3">
        <f>X947-A947</f>
        <v/>
      </c>
      <c r="Z947" s="18" t="n">
        <v>46156</v>
      </c>
      <c r="AA947" s="15" t="n"/>
      <c r="AB947" s="15" t="n"/>
    </row>
    <row r="948" hidden="1" s="233">
      <c r="A948" s="6" t="n">
        <v>46107</v>
      </c>
      <c r="B948" s="3" t="n">
        <v>2026</v>
      </c>
      <c r="C948" s="3" t="inlineStr">
        <is>
          <t>Blupine</t>
        </is>
      </c>
      <c r="D948" s="3" t="inlineStr">
        <is>
          <t>Utility and C&amp;I</t>
        </is>
      </c>
      <c r="E948" s="3" t="n"/>
      <c r="F948" s="3" t="inlineStr">
        <is>
          <t>Closed</t>
        </is>
      </c>
      <c r="G948" s="3" t="inlineStr">
        <is>
          <t>Chandrashekar Patidar</t>
        </is>
      </c>
      <c r="H948" s="3" t="n">
        <v>7879764773</v>
      </c>
      <c r="I948" s="11" t="inlineStr">
        <is>
          <t>PE26032601</t>
        </is>
      </c>
      <c r="J948" s="3" t="inlineStr">
        <is>
          <t>Module Diode Failure</t>
        </is>
      </c>
      <c r="K948" s="3" t="inlineStr">
        <is>
          <t>Sadla</t>
        </is>
      </c>
      <c r="L948" s="3" t="inlineStr">
        <is>
          <t>Gujarat</t>
        </is>
      </c>
      <c r="M948" s="9" t="inlineStr">
        <is>
          <t>PS</t>
        </is>
      </c>
      <c r="N948" s="3" t="inlineStr">
        <is>
          <t>Cold Soldering</t>
        </is>
      </c>
      <c r="O948" s="3" t="n">
        <v>570</v>
      </c>
      <c r="P948" s="9" t="inlineStr">
        <is>
          <t>NSMI24050066265</t>
        </is>
      </c>
      <c r="Q948" s="53">
        <f>MID(P948,5,2)</f>
        <v/>
      </c>
      <c r="R948" s="53">
        <f>MID(P948,7,2)</f>
        <v/>
      </c>
      <c r="S948" s="3" t="inlineStr">
        <is>
          <t>G2G</t>
        </is>
      </c>
      <c r="T948" s="3" t="inlineStr">
        <is>
          <t>P4</t>
        </is>
      </c>
      <c r="U948" s="3" t="inlineStr">
        <is>
          <t>P JB Cold Soldering</t>
        </is>
      </c>
      <c r="V948" s="3" t="inlineStr">
        <is>
          <t>Soldering</t>
        </is>
      </c>
      <c r="W948" s="3" t="inlineStr">
        <is>
          <t>Repair</t>
        </is>
      </c>
      <c r="X948" s="18" t="n">
        <v>46156</v>
      </c>
      <c r="Y948" s="3">
        <f>X948-A948</f>
        <v/>
      </c>
      <c r="Z948" s="18" t="n">
        <v>46156</v>
      </c>
      <c r="AA948" s="15" t="n"/>
      <c r="AB948" s="15" t="n"/>
    </row>
    <row r="949" hidden="1" s="233">
      <c r="A949" s="6" t="n">
        <v>46107</v>
      </c>
      <c r="B949" s="3" t="n">
        <v>2026</v>
      </c>
      <c r="C949" s="3" t="inlineStr">
        <is>
          <t>Blupine</t>
        </is>
      </c>
      <c r="D949" s="3" t="inlineStr">
        <is>
          <t>Utility and C&amp;I</t>
        </is>
      </c>
      <c r="E949" s="3" t="n"/>
      <c r="F949" s="3" t="inlineStr">
        <is>
          <t>Closed</t>
        </is>
      </c>
      <c r="G949" s="3" t="inlineStr">
        <is>
          <t>Chandrashekar Patidar</t>
        </is>
      </c>
      <c r="H949" s="3" t="n">
        <v>7879764773</v>
      </c>
      <c r="I949" s="11" t="inlineStr">
        <is>
          <t>PE26032601</t>
        </is>
      </c>
      <c r="J949" s="3" t="inlineStr">
        <is>
          <t>Module Diode Failure</t>
        </is>
      </c>
      <c r="K949" s="3" t="inlineStr">
        <is>
          <t>Sadla</t>
        </is>
      </c>
      <c r="L949" s="3" t="inlineStr">
        <is>
          <t>Gujarat</t>
        </is>
      </c>
      <c r="M949" s="9" t="inlineStr">
        <is>
          <t>PS</t>
        </is>
      </c>
      <c r="N949" s="3" t="inlineStr">
        <is>
          <t>Cold Soldering</t>
        </is>
      </c>
      <c r="O949" s="3" t="n">
        <v>570</v>
      </c>
      <c r="P949" s="9" t="inlineStr">
        <is>
          <t>NSMI24060092626</t>
        </is>
      </c>
      <c r="Q949" s="53">
        <f>MID(P949,5,2)</f>
        <v/>
      </c>
      <c r="R949" s="53">
        <f>MID(P949,7,2)</f>
        <v/>
      </c>
      <c r="S949" s="3" t="inlineStr">
        <is>
          <t>G2G</t>
        </is>
      </c>
      <c r="T949" s="3" t="inlineStr">
        <is>
          <t>P4</t>
        </is>
      </c>
      <c r="U949" s="3" t="inlineStr">
        <is>
          <t>P JB Cold Soldering</t>
        </is>
      </c>
      <c r="V949" s="3" t="inlineStr">
        <is>
          <t>Soldering</t>
        </is>
      </c>
      <c r="W949" s="3" t="inlineStr">
        <is>
          <t>Repair</t>
        </is>
      </c>
      <c r="X949" s="18" t="n">
        <v>46156</v>
      </c>
      <c r="Y949" s="3">
        <f>X949-A949</f>
        <v/>
      </c>
      <c r="Z949" s="18" t="n">
        <v>46156</v>
      </c>
      <c r="AA949" s="15" t="n"/>
      <c r="AB949" s="15" t="n"/>
    </row>
    <row r="950" hidden="1" s="233">
      <c r="A950" s="6" t="n">
        <v>46107</v>
      </c>
      <c r="B950" s="3" t="n">
        <v>2026</v>
      </c>
      <c r="C950" s="3" t="inlineStr">
        <is>
          <t>Blupine</t>
        </is>
      </c>
      <c r="D950" s="3" t="inlineStr">
        <is>
          <t>Utility and C&amp;I</t>
        </is>
      </c>
      <c r="E950" s="3" t="n"/>
      <c r="F950" s="3" t="inlineStr">
        <is>
          <t>Closed</t>
        </is>
      </c>
      <c r="G950" s="3" t="inlineStr">
        <is>
          <t>Chandrashekar Patidar</t>
        </is>
      </c>
      <c r="H950" s="3" t="n">
        <v>7879764773</v>
      </c>
      <c r="I950" s="11" t="inlineStr">
        <is>
          <t>PE26032601</t>
        </is>
      </c>
      <c r="J950" s="3" t="inlineStr">
        <is>
          <t>Module Diode Failure</t>
        </is>
      </c>
      <c r="K950" s="3" t="inlineStr">
        <is>
          <t>Sadla</t>
        </is>
      </c>
      <c r="L950" s="3" t="inlineStr">
        <is>
          <t>Gujarat</t>
        </is>
      </c>
      <c r="M950" s="9" t="inlineStr">
        <is>
          <t>PS</t>
        </is>
      </c>
      <c r="N950" s="3" t="inlineStr">
        <is>
          <t>Cold Soldering</t>
        </is>
      </c>
      <c r="O950" s="3" t="n">
        <v>570</v>
      </c>
      <c r="P950" s="9" t="inlineStr">
        <is>
          <t>NSMI24060078676</t>
        </is>
      </c>
      <c r="Q950" s="53">
        <f>MID(P950,5,2)</f>
        <v/>
      </c>
      <c r="R950" s="53">
        <f>MID(P950,7,2)</f>
        <v/>
      </c>
      <c r="S950" s="3" t="inlineStr">
        <is>
          <t>G2G</t>
        </is>
      </c>
      <c r="T950" s="3" t="inlineStr">
        <is>
          <t>P4</t>
        </is>
      </c>
      <c r="U950" s="3" t="inlineStr">
        <is>
          <t>P JB Cold Soldering</t>
        </is>
      </c>
      <c r="V950" s="3" t="inlineStr">
        <is>
          <t>Soldering</t>
        </is>
      </c>
      <c r="W950" s="3" t="inlineStr">
        <is>
          <t>Repair</t>
        </is>
      </c>
      <c r="X950" s="18" t="n">
        <v>46156</v>
      </c>
      <c r="Y950" s="3">
        <f>X950-A950</f>
        <v/>
      </c>
      <c r="Z950" s="18" t="n">
        <v>46156</v>
      </c>
      <c r="AA950" s="15" t="n"/>
      <c r="AB950" s="15" t="n"/>
    </row>
    <row r="951" hidden="1" s="233">
      <c r="A951" s="6" t="n">
        <v>46107</v>
      </c>
      <c r="B951" s="3" t="n">
        <v>2026</v>
      </c>
      <c r="C951" s="3" t="inlineStr">
        <is>
          <t>Blupine</t>
        </is>
      </c>
      <c r="D951" s="3" t="inlineStr">
        <is>
          <t>Utility and C&amp;I</t>
        </is>
      </c>
      <c r="E951" s="3" t="n"/>
      <c r="F951" s="3" t="inlineStr">
        <is>
          <t>Closed</t>
        </is>
      </c>
      <c r="G951" s="3" t="inlineStr">
        <is>
          <t>Chandrashekar Patidar</t>
        </is>
      </c>
      <c r="H951" s="3" t="n">
        <v>7879764773</v>
      </c>
      <c r="I951" s="11" t="inlineStr">
        <is>
          <t>PE26032601</t>
        </is>
      </c>
      <c r="J951" s="3" t="inlineStr">
        <is>
          <t>Module Diode Failure</t>
        </is>
      </c>
      <c r="K951" s="3" t="inlineStr">
        <is>
          <t>Sadla</t>
        </is>
      </c>
      <c r="L951" s="3" t="inlineStr">
        <is>
          <t>Gujarat</t>
        </is>
      </c>
      <c r="M951" s="9" t="inlineStr">
        <is>
          <t>NS</t>
        </is>
      </c>
      <c r="N951" s="3" t="inlineStr">
        <is>
          <t>Cold Soldering</t>
        </is>
      </c>
      <c r="O951" s="3" t="n">
        <v>570</v>
      </c>
      <c r="P951" s="9" t="inlineStr">
        <is>
          <t>NSMI24060095443</t>
        </is>
      </c>
      <c r="Q951" s="53">
        <f>MID(P951,5,2)</f>
        <v/>
      </c>
      <c r="R951" s="53">
        <f>MID(P951,7,2)</f>
        <v/>
      </c>
      <c r="S951" s="3" t="inlineStr">
        <is>
          <t>G2G</t>
        </is>
      </c>
      <c r="T951" s="3" t="inlineStr">
        <is>
          <t>P4</t>
        </is>
      </c>
      <c r="U951" s="3" t="inlineStr">
        <is>
          <t>N JB Cold Soldering</t>
        </is>
      </c>
      <c r="V951" s="3" t="inlineStr">
        <is>
          <t>Soldering</t>
        </is>
      </c>
      <c r="W951" s="3" t="inlineStr">
        <is>
          <t>Repair</t>
        </is>
      </c>
      <c r="X951" s="18" t="n">
        <v>46156</v>
      </c>
      <c r="Y951" s="3">
        <f>X951-A951</f>
        <v/>
      </c>
      <c r="Z951" s="18" t="n">
        <v>46156</v>
      </c>
      <c r="AA951" s="15" t="n"/>
      <c r="AB951" s="15" t="n"/>
    </row>
    <row r="952" hidden="1" s="233">
      <c r="A952" s="6" t="n">
        <v>46107</v>
      </c>
      <c r="B952" s="3" t="n">
        <v>2026</v>
      </c>
      <c r="C952" s="3" t="inlineStr">
        <is>
          <t>Blupine</t>
        </is>
      </c>
      <c r="D952" s="3" t="inlineStr">
        <is>
          <t>Utility and C&amp;I</t>
        </is>
      </c>
      <c r="E952" s="3" t="n"/>
      <c r="F952" s="3" t="inlineStr">
        <is>
          <t>Closed</t>
        </is>
      </c>
      <c r="G952" s="3" t="inlineStr">
        <is>
          <t>Chandrashekar Patidar</t>
        </is>
      </c>
      <c r="H952" s="3" t="n">
        <v>7879764773</v>
      </c>
      <c r="I952" s="11" t="inlineStr">
        <is>
          <t>PE26032601</t>
        </is>
      </c>
      <c r="J952" s="3" t="inlineStr">
        <is>
          <t>Module Diode Failure</t>
        </is>
      </c>
      <c r="K952" s="3" t="inlineStr">
        <is>
          <t>Sadla</t>
        </is>
      </c>
      <c r="L952" s="3" t="inlineStr">
        <is>
          <t>Gujarat</t>
        </is>
      </c>
      <c r="M952" s="9" t="inlineStr">
        <is>
          <t>NS</t>
        </is>
      </c>
      <c r="N952" s="3" t="inlineStr">
        <is>
          <t>Cold Soldering</t>
        </is>
      </c>
      <c r="O952" s="3" t="n">
        <v>570</v>
      </c>
      <c r="P952" s="9" t="inlineStr">
        <is>
          <t>NSMI24060111090</t>
        </is>
      </c>
      <c r="Q952" s="53">
        <f>MID(P952,5,2)</f>
        <v/>
      </c>
      <c r="R952" s="53">
        <f>MID(P952,7,2)</f>
        <v/>
      </c>
      <c r="S952" s="3" t="inlineStr">
        <is>
          <t>G2G</t>
        </is>
      </c>
      <c r="T952" s="3" t="inlineStr">
        <is>
          <t>P4</t>
        </is>
      </c>
      <c r="U952" s="3" t="inlineStr">
        <is>
          <t>N JB Cold Soldering</t>
        </is>
      </c>
      <c r="V952" s="3" t="inlineStr">
        <is>
          <t>Soldering</t>
        </is>
      </c>
      <c r="W952" s="3" t="inlineStr">
        <is>
          <t>Repair</t>
        </is>
      </c>
      <c r="X952" s="18" t="n">
        <v>46156</v>
      </c>
      <c r="Y952" s="3">
        <f>X952-A952</f>
        <v/>
      </c>
      <c r="Z952" s="18" t="n">
        <v>46156</v>
      </c>
      <c r="AA952" s="15" t="n"/>
      <c r="AB952" s="15" t="n"/>
    </row>
    <row r="953" hidden="1" s="233">
      <c r="A953" s="6" t="n">
        <v>46107</v>
      </c>
      <c r="B953" s="3" t="n">
        <v>2026</v>
      </c>
      <c r="C953" s="3" t="inlineStr">
        <is>
          <t>Blupine</t>
        </is>
      </c>
      <c r="D953" s="3" t="inlineStr">
        <is>
          <t>Utility and C&amp;I</t>
        </is>
      </c>
      <c r="E953" s="3" t="n"/>
      <c r="F953" s="3" t="inlineStr">
        <is>
          <t>Closed</t>
        </is>
      </c>
      <c r="G953" s="3" t="inlineStr">
        <is>
          <t>Chandrashekar Patidar</t>
        </is>
      </c>
      <c r="H953" s="3" t="n">
        <v>7879764773</v>
      </c>
      <c r="I953" s="11" t="inlineStr">
        <is>
          <t>PE26032601</t>
        </is>
      </c>
      <c r="J953" s="3" t="inlineStr">
        <is>
          <t>Module Diode Failure</t>
        </is>
      </c>
      <c r="K953" s="3" t="inlineStr">
        <is>
          <t>Sadla</t>
        </is>
      </c>
      <c r="L953" s="3" t="inlineStr">
        <is>
          <t>Gujarat</t>
        </is>
      </c>
      <c r="M953" s="9" t="inlineStr">
        <is>
          <t>NS</t>
        </is>
      </c>
      <c r="N953" s="3" t="inlineStr">
        <is>
          <t>Cold Soldering</t>
        </is>
      </c>
      <c r="O953" s="3" t="n">
        <v>570</v>
      </c>
      <c r="P953" s="9" t="inlineStr">
        <is>
          <t>NSMI24060137324</t>
        </is>
      </c>
      <c r="Q953" s="53">
        <f>MID(P953,5,2)</f>
        <v/>
      </c>
      <c r="R953" s="53">
        <f>MID(P953,7,2)</f>
        <v/>
      </c>
      <c r="S953" s="3" t="inlineStr">
        <is>
          <t>G2G</t>
        </is>
      </c>
      <c r="T953" s="3" t="inlineStr">
        <is>
          <t>P4</t>
        </is>
      </c>
      <c r="U953" s="3" t="inlineStr">
        <is>
          <t>N JB Cold Soldering</t>
        </is>
      </c>
      <c r="V953" s="3" t="inlineStr">
        <is>
          <t>Soldering</t>
        </is>
      </c>
      <c r="W953" s="3" t="inlineStr">
        <is>
          <t>Repair</t>
        </is>
      </c>
      <c r="X953" s="18" t="n">
        <v>46156</v>
      </c>
      <c r="Y953" s="3">
        <f>X953-A953</f>
        <v/>
      </c>
      <c r="Z953" s="18" t="n">
        <v>46156</v>
      </c>
      <c r="AA953" s="15" t="n"/>
      <c r="AB953" s="15" t="n"/>
    </row>
    <row r="954" hidden="1" s="233">
      <c r="A954" s="6" t="n">
        <v>46107</v>
      </c>
      <c r="B954" s="3" t="n">
        <v>2026</v>
      </c>
      <c r="C954" s="3" t="inlineStr">
        <is>
          <t>Blupine</t>
        </is>
      </c>
      <c r="D954" s="3" t="inlineStr">
        <is>
          <t>Utility and C&amp;I</t>
        </is>
      </c>
      <c r="E954" s="3" t="n"/>
      <c r="F954" s="3" t="inlineStr">
        <is>
          <t>Closed</t>
        </is>
      </c>
      <c r="G954" s="3" t="inlineStr">
        <is>
          <t>Chandrashekar Patidar</t>
        </is>
      </c>
      <c r="H954" s="3" t="n">
        <v>7879764773</v>
      </c>
      <c r="I954" s="11" t="inlineStr">
        <is>
          <t>PE26032601</t>
        </is>
      </c>
      <c r="J954" s="3" t="inlineStr">
        <is>
          <t>Module Diode Failure</t>
        </is>
      </c>
      <c r="K954" s="3" t="inlineStr">
        <is>
          <t>Sadla</t>
        </is>
      </c>
      <c r="L954" s="3" t="inlineStr">
        <is>
          <t>Gujarat</t>
        </is>
      </c>
      <c r="M954" s="9" t="inlineStr">
        <is>
          <t>NS</t>
        </is>
      </c>
      <c r="N954" s="3" t="inlineStr">
        <is>
          <t>Cold Soldering</t>
        </is>
      </c>
      <c r="O954" s="3" t="n">
        <v>570</v>
      </c>
      <c r="P954" s="9" t="inlineStr">
        <is>
          <t>NSMI24060137479</t>
        </is>
      </c>
      <c r="Q954" s="53">
        <f>MID(P954,5,2)</f>
        <v/>
      </c>
      <c r="R954" s="53">
        <f>MID(P954,7,2)</f>
        <v/>
      </c>
      <c r="S954" s="3" t="inlineStr">
        <is>
          <t>G2G</t>
        </is>
      </c>
      <c r="T954" s="3" t="inlineStr">
        <is>
          <t>P4</t>
        </is>
      </c>
      <c r="U954" s="3" t="inlineStr">
        <is>
          <t>N JB Cold Soldering</t>
        </is>
      </c>
      <c r="V954" s="3" t="inlineStr">
        <is>
          <t>Soldering</t>
        </is>
      </c>
      <c r="W954" s="3" t="inlineStr">
        <is>
          <t>Repair</t>
        </is>
      </c>
      <c r="X954" s="18" t="n">
        <v>46156</v>
      </c>
      <c r="Y954" s="3">
        <f>X954-A954</f>
        <v/>
      </c>
      <c r="Z954" s="18" t="n">
        <v>46156</v>
      </c>
      <c r="AA954" s="15" t="n"/>
      <c r="AB954" s="15" t="n"/>
    </row>
    <row r="955" hidden="1" s="233">
      <c r="A955" s="6" t="n">
        <v>46107</v>
      </c>
      <c r="B955" s="3" t="n">
        <v>2026</v>
      </c>
      <c r="C955" s="3" t="inlineStr">
        <is>
          <t>Blupine</t>
        </is>
      </c>
      <c r="D955" s="3" t="inlineStr">
        <is>
          <t>Utility and C&amp;I</t>
        </is>
      </c>
      <c r="E955" s="3" t="n"/>
      <c r="F955" s="3" t="inlineStr">
        <is>
          <t>Closed</t>
        </is>
      </c>
      <c r="G955" s="3" t="inlineStr">
        <is>
          <t>Chandrashekar Patidar</t>
        </is>
      </c>
      <c r="H955" s="3" t="n">
        <v>7879764773</v>
      </c>
      <c r="I955" s="11" t="inlineStr">
        <is>
          <t>PE26032601</t>
        </is>
      </c>
      <c r="J955" s="3" t="inlineStr">
        <is>
          <t>Module Diode Failure</t>
        </is>
      </c>
      <c r="K955" s="3" t="inlineStr">
        <is>
          <t>Sadla</t>
        </is>
      </c>
      <c r="L955" s="3" t="inlineStr">
        <is>
          <t>Gujarat</t>
        </is>
      </c>
      <c r="M955" s="9" t="inlineStr">
        <is>
          <t>PR</t>
        </is>
      </c>
      <c r="N955" s="3" t="inlineStr">
        <is>
          <t>JB Issue</t>
        </is>
      </c>
      <c r="O955" s="3" t="n">
        <v>570</v>
      </c>
      <c r="P955" s="9" t="inlineStr">
        <is>
          <t>NSMI24060079195</t>
        </is>
      </c>
      <c r="Q955" s="53">
        <f>MID(P955,5,2)</f>
        <v/>
      </c>
      <c r="R955" s="53">
        <f>MID(P955,7,2)</f>
        <v/>
      </c>
      <c r="S955" s="3" t="inlineStr">
        <is>
          <t>G2G</t>
        </is>
      </c>
      <c r="T955" s="3" t="inlineStr">
        <is>
          <t>P4</t>
        </is>
      </c>
      <c r="U955" s="3" t="inlineStr">
        <is>
          <t>P JB Issue</t>
        </is>
      </c>
      <c r="V955" s="15" t="inlineStr">
        <is>
          <t>JB Changed</t>
        </is>
      </c>
      <c r="W955" s="3" t="inlineStr">
        <is>
          <t>Repair</t>
        </is>
      </c>
      <c r="X955" s="18" t="n">
        <v>46156</v>
      </c>
      <c r="Y955" s="3">
        <f>X955-A955</f>
        <v/>
      </c>
      <c r="Z955" s="18" t="n">
        <v>46156</v>
      </c>
      <c r="AA955" s="15" t="n"/>
      <c r="AB955" s="15" t="n"/>
    </row>
    <row r="956" hidden="1" s="233">
      <c r="A956" s="6" t="n">
        <v>46107</v>
      </c>
      <c r="B956" s="3" t="n">
        <v>2026</v>
      </c>
      <c r="C956" s="3" t="inlineStr">
        <is>
          <t>Blupine</t>
        </is>
      </c>
      <c r="D956" s="3" t="inlineStr">
        <is>
          <t>Utility and C&amp;I</t>
        </is>
      </c>
      <c r="E956" s="3" t="n"/>
      <c r="F956" s="3" t="inlineStr">
        <is>
          <t>Closed</t>
        </is>
      </c>
      <c r="G956" s="3" t="inlineStr">
        <is>
          <t>Chandrashekar Patidar</t>
        </is>
      </c>
      <c r="H956" s="3" t="n">
        <v>7879764773</v>
      </c>
      <c r="I956" s="11" t="inlineStr">
        <is>
          <t>PE26032601</t>
        </is>
      </c>
      <c r="J956" s="3" t="inlineStr">
        <is>
          <t>Module Diode Failure</t>
        </is>
      </c>
      <c r="K956" s="3" t="inlineStr">
        <is>
          <t>Sadla</t>
        </is>
      </c>
      <c r="L956" s="3" t="inlineStr">
        <is>
          <t>Gujarat</t>
        </is>
      </c>
      <c r="M956" s="9" t="inlineStr">
        <is>
          <t>PNR</t>
        </is>
      </c>
      <c r="N956" s="3" t="inlineStr">
        <is>
          <t>JB Issue</t>
        </is>
      </c>
      <c r="O956" s="3" t="n">
        <v>570</v>
      </c>
      <c r="P956" s="9" t="inlineStr">
        <is>
          <t>NSMI24060079186</t>
        </is>
      </c>
      <c r="Q956" s="53">
        <f>MID(P956,5,2)</f>
        <v/>
      </c>
      <c r="R956" s="53">
        <f>MID(P956,7,2)</f>
        <v/>
      </c>
      <c r="S956" s="3" t="inlineStr">
        <is>
          <t>G2G</t>
        </is>
      </c>
      <c r="T956" s="3" t="inlineStr">
        <is>
          <t>P4</t>
        </is>
      </c>
      <c r="U956" s="3" t="inlineStr">
        <is>
          <t>P &amp; N JB Issue &amp; Glass Breakage</t>
        </is>
      </c>
      <c r="V956" s="15" t="inlineStr">
        <is>
          <t>JB Changed</t>
        </is>
      </c>
      <c r="W956" s="3" t="inlineStr">
        <is>
          <t>Repair</t>
        </is>
      </c>
      <c r="X956" s="18" t="n">
        <v>46156</v>
      </c>
      <c r="Y956" s="3">
        <f>X956-A956</f>
        <v/>
      </c>
      <c r="Z956" s="18" t="n">
        <v>46156</v>
      </c>
      <c r="AA956" s="15" t="n"/>
      <c r="AB956" s="15" t="n"/>
    </row>
    <row r="957" hidden="1" s="233">
      <c r="A957" s="6" t="n">
        <v>46107</v>
      </c>
      <c r="B957" s="3" t="n">
        <v>2026</v>
      </c>
      <c r="C957" s="3" t="inlineStr">
        <is>
          <t>Blupine</t>
        </is>
      </c>
      <c r="D957" s="3" t="inlineStr">
        <is>
          <t>Utility and C&amp;I</t>
        </is>
      </c>
      <c r="E957" s="3" t="n"/>
      <c r="F957" s="3" t="inlineStr">
        <is>
          <t>Closed</t>
        </is>
      </c>
      <c r="G957" s="3" t="inlineStr">
        <is>
          <t>Chandrashekar Patidar</t>
        </is>
      </c>
      <c r="H957" s="3" t="n">
        <v>7879764773</v>
      </c>
      <c r="I957" s="11" t="inlineStr">
        <is>
          <t>PE26032601</t>
        </is>
      </c>
      <c r="J957" s="3" t="inlineStr">
        <is>
          <t>Module Diode Failure</t>
        </is>
      </c>
      <c r="K957" s="3" t="inlineStr">
        <is>
          <t>Sadla</t>
        </is>
      </c>
      <c r="L957" s="3" t="inlineStr">
        <is>
          <t>Gujarat</t>
        </is>
      </c>
      <c r="M957" s="9" t="inlineStr">
        <is>
          <t>NS</t>
        </is>
      </c>
      <c r="N957" s="3" t="inlineStr">
        <is>
          <t>Cold Soldering</t>
        </is>
      </c>
      <c r="O957" s="3" t="n">
        <v>570</v>
      </c>
      <c r="P957" s="9" t="inlineStr">
        <is>
          <t>NSMI24060095271</t>
        </is>
      </c>
      <c r="Q957" s="53">
        <f>MID(P957,5,2)</f>
        <v/>
      </c>
      <c r="R957" s="53">
        <f>MID(P957,7,2)</f>
        <v/>
      </c>
      <c r="S957" s="3" t="inlineStr">
        <is>
          <t>G2G</t>
        </is>
      </c>
      <c r="T957" s="3" t="inlineStr">
        <is>
          <t>P4</t>
        </is>
      </c>
      <c r="U957" s="3" t="inlineStr">
        <is>
          <t>N JB Cold Soldering</t>
        </is>
      </c>
      <c r="V957" s="3" t="inlineStr">
        <is>
          <t>Soldering</t>
        </is>
      </c>
      <c r="W957" s="3" t="inlineStr">
        <is>
          <t>Repair</t>
        </is>
      </c>
      <c r="X957" s="18" t="n">
        <v>46156</v>
      </c>
      <c r="Y957" s="3">
        <f>X957-A957</f>
        <v/>
      </c>
      <c r="Z957" s="18" t="n">
        <v>46156</v>
      </c>
      <c r="AA957" s="15" t="n"/>
      <c r="AB957" s="15" t="n"/>
    </row>
    <row r="958" hidden="1" s="233">
      <c r="A958" s="6" t="n">
        <v>46107</v>
      </c>
      <c r="B958" s="3" t="n">
        <v>2026</v>
      </c>
      <c r="C958" s="3" t="inlineStr">
        <is>
          <t>Blupine</t>
        </is>
      </c>
      <c r="D958" s="3" t="inlineStr">
        <is>
          <t>Utility and C&amp;I</t>
        </is>
      </c>
      <c r="E958" s="3" t="n"/>
      <c r="F958" s="3" t="inlineStr">
        <is>
          <t>Closed</t>
        </is>
      </c>
      <c r="G958" s="3" t="inlineStr">
        <is>
          <t>Chandrashekar Patidar</t>
        </is>
      </c>
      <c r="H958" s="3" t="n">
        <v>7879764773</v>
      </c>
      <c r="I958" s="11" t="inlineStr">
        <is>
          <t>PE26032601</t>
        </is>
      </c>
      <c r="J958" s="3" t="inlineStr">
        <is>
          <t>Module Diode Failure</t>
        </is>
      </c>
      <c r="K958" s="3" t="inlineStr">
        <is>
          <t>Sadla</t>
        </is>
      </c>
      <c r="L958" s="3" t="inlineStr">
        <is>
          <t>Gujarat</t>
        </is>
      </c>
      <c r="M958" s="9" t="inlineStr">
        <is>
          <t>NR</t>
        </is>
      </c>
      <c r="N958" s="3" t="inlineStr">
        <is>
          <t>JB Issue</t>
        </is>
      </c>
      <c r="O958" s="3" t="n">
        <v>570</v>
      </c>
      <c r="P958" s="9" t="inlineStr">
        <is>
          <t>NSMI24060095322</t>
        </is>
      </c>
      <c r="Q958" s="53">
        <f>MID(P958,5,2)</f>
        <v/>
      </c>
      <c r="R958" s="53">
        <f>MID(P958,7,2)</f>
        <v/>
      </c>
      <c r="S958" s="3" t="inlineStr">
        <is>
          <t>G2G</t>
        </is>
      </c>
      <c r="T958" s="3" t="inlineStr">
        <is>
          <t>P4</t>
        </is>
      </c>
      <c r="U958" s="3" t="inlineStr">
        <is>
          <t>N JB Issue</t>
        </is>
      </c>
      <c r="V958" s="3" t="inlineStr">
        <is>
          <t>JB Changed</t>
        </is>
      </c>
      <c r="W958" s="3" t="inlineStr">
        <is>
          <t>Repair</t>
        </is>
      </c>
      <c r="X958" s="18" t="n">
        <v>46156</v>
      </c>
      <c r="Y958" s="3">
        <f>X958-A958</f>
        <v/>
      </c>
      <c r="Z958" s="18" t="n">
        <v>46156</v>
      </c>
      <c r="AA958" s="15" t="n"/>
      <c r="AB958" s="15" t="n"/>
    </row>
    <row r="959" hidden="1" s="233">
      <c r="A959" s="6" t="n">
        <v>46107</v>
      </c>
      <c r="B959" s="3" t="n">
        <v>2026</v>
      </c>
      <c r="C959" s="3" t="inlineStr">
        <is>
          <t>Blupine</t>
        </is>
      </c>
      <c r="D959" s="3" t="inlineStr">
        <is>
          <t>Utility and C&amp;I</t>
        </is>
      </c>
      <c r="E959" s="3" t="n"/>
      <c r="F959" s="3" t="inlineStr">
        <is>
          <t>Closed</t>
        </is>
      </c>
      <c r="G959" s="3" t="inlineStr">
        <is>
          <t>Chandrashekar Patidar</t>
        </is>
      </c>
      <c r="H959" s="3" t="n">
        <v>7879764773</v>
      </c>
      <c r="I959" s="11" t="inlineStr">
        <is>
          <t>PE26032601</t>
        </is>
      </c>
      <c r="J959" s="3" t="inlineStr">
        <is>
          <t>Module Diode Failure</t>
        </is>
      </c>
      <c r="K959" s="3" t="inlineStr">
        <is>
          <t>Sadla</t>
        </is>
      </c>
      <c r="L959" s="3" t="inlineStr">
        <is>
          <t>Gujarat</t>
        </is>
      </c>
      <c r="M959" s="9" t="inlineStr">
        <is>
          <t>NS</t>
        </is>
      </c>
      <c r="N959" s="3" t="inlineStr">
        <is>
          <t>Cold Soldering</t>
        </is>
      </c>
      <c r="O959" s="3" t="n">
        <v>570</v>
      </c>
      <c r="P959" s="9" t="inlineStr">
        <is>
          <t>NSMI24060094566</t>
        </is>
      </c>
      <c r="Q959" s="53">
        <f>MID(P959,5,2)</f>
        <v/>
      </c>
      <c r="R959" s="53">
        <f>MID(P959,7,2)</f>
        <v/>
      </c>
      <c r="S959" s="3" t="inlineStr">
        <is>
          <t>G2G</t>
        </is>
      </c>
      <c r="T959" s="3" t="inlineStr">
        <is>
          <t>P4</t>
        </is>
      </c>
      <c r="U959" s="3" t="inlineStr">
        <is>
          <t>N JB Cold Soldering</t>
        </is>
      </c>
      <c r="V959" s="3" t="inlineStr">
        <is>
          <t>Soldering</t>
        </is>
      </c>
      <c r="W959" s="3" t="inlineStr">
        <is>
          <t>Repair</t>
        </is>
      </c>
      <c r="X959" s="18" t="n">
        <v>46156</v>
      </c>
      <c r="Y959" s="3">
        <f>X959-A959</f>
        <v/>
      </c>
      <c r="Z959" s="18" t="n">
        <v>46156</v>
      </c>
      <c r="AA959" s="15" t="n"/>
      <c r="AB959" s="15" t="n"/>
    </row>
    <row r="960" hidden="1" s="233">
      <c r="A960" s="6" t="n">
        <v>46107</v>
      </c>
      <c r="B960" s="3" t="n">
        <v>2026</v>
      </c>
      <c r="C960" s="3" t="inlineStr">
        <is>
          <t>Blupine</t>
        </is>
      </c>
      <c r="D960" s="3" t="inlineStr">
        <is>
          <t>Utility and C&amp;I</t>
        </is>
      </c>
      <c r="E960" s="3" t="n"/>
      <c r="F960" s="3" t="inlineStr">
        <is>
          <t>Closed</t>
        </is>
      </c>
      <c r="G960" s="3" t="inlineStr">
        <is>
          <t>Chandrashekar Patidar</t>
        </is>
      </c>
      <c r="H960" s="3" t="n">
        <v>7879764773</v>
      </c>
      <c r="I960" s="11" t="inlineStr">
        <is>
          <t>PE26032601</t>
        </is>
      </c>
      <c r="J960" s="3" t="inlineStr">
        <is>
          <t>Module Diode Failure</t>
        </is>
      </c>
      <c r="K960" s="3" t="inlineStr">
        <is>
          <t>Sadla</t>
        </is>
      </c>
      <c r="L960" s="3" t="inlineStr">
        <is>
          <t>Gujarat</t>
        </is>
      </c>
      <c r="M960" s="9" t="inlineStr">
        <is>
          <t>NR</t>
        </is>
      </c>
      <c r="N960" s="3" t="inlineStr">
        <is>
          <t>JB Issue</t>
        </is>
      </c>
      <c r="O960" s="3" t="n">
        <v>570</v>
      </c>
      <c r="P960" s="9" t="inlineStr">
        <is>
          <t>NSMI24060151818</t>
        </is>
      </c>
      <c r="Q960" s="53">
        <f>MID(P960,5,2)</f>
        <v/>
      </c>
      <c r="R960" s="53">
        <f>MID(P960,7,2)</f>
        <v/>
      </c>
      <c r="S960" s="3" t="inlineStr">
        <is>
          <t>G2G</t>
        </is>
      </c>
      <c r="T960" s="3" t="inlineStr">
        <is>
          <t>P4</t>
        </is>
      </c>
      <c r="U960" s="3" t="inlineStr">
        <is>
          <t>N JB Issue</t>
        </is>
      </c>
      <c r="V960" s="3" t="inlineStr">
        <is>
          <t>JB Changed</t>
        </is>
      </c>
      <c r="W960" s="3" t="inlineStr">
        <is>
          <t>Repair</t>
        </is>
      </c>
      <c r="X960" s="18" t="n">
        <v>46156</v>
      </c>
      <c r="Y960" s="3">
        <f>X960-A960</f>
        <v/>
      </c>
      <c r="Z960" s="18" t="n">
        <v>46156</v>
      </c>
      <c r="AA960" s="15" t="n"/>
      <c r="AB960" s="15" t="n"/>
    </row>
    <row r="961" hidden="1" s="233">
      <c r="A961" s="6" t="n">
        <v>46107</v>
      </c>
      <c r="B961" s="3" t="n">
        <v>2026</v>
      </c>
      <c r="C961" s="3" t="inlineStr">
        <is>
          <t>Blupine</t>
        </is>
      </c>
      <c r="D961" s="3" t="inlineStr">
        <is>
          <t>Utility and C&amp;I</t>
        </is>
      </c>
      <c r="E961" s="3" t="n"/>
      <c r="F961" s="3" t="inlineStr">
        <is>
          <t>Closed</t>
        </is>
      </c>
      <c r="G961" s="3" t="inlineStr">
        <is>
          <t>Chandrashekar Patidar</t>
        </is>
      </c>
      <c r="H961" s="3" t="n">
        <v>7879764773</v>
      </c>
      <c r="I961" s="11" t="inlineStr">
        <is>
          <t>PE26032601</t>
        </is>
      </c>
      <c r="J961" s="3" t="inlineStr">
        <is>
          <t>Module Diode Failure</t>
        </is>
      </c>
      <c r="K961" s="3" t="inlineStr">
        <is>
          <t>Sadla</t>
        </is>
      </c>
      <c r="L961" s="3" t="inlineStr">
        <is>
          <t>Gujarat</t>
        </is>
      </c>
      <c r="M961" s="9" t="inlineStr">
        <is>
          <t>PR</t>
        </is>
      </c>
      <c r="N961" s="3" t="inlineStr">
        <is>
          <t>JB Issue</t>
        </is>
      </c>
      <c r="O961" s="3" t="n">
        <v>570</v>
      </c>
      <c r="P961" s="9" t="inlineStr">
        <is>
          <t>NSMI24060090289</t>
        </is>
      </c>
      <c r="Q961" s="53">
        <f>MID(P961,5,2)</f>
        <v/>
      </c>
      <c r="R961" s="53">
        <f>MID(P961,7,2)</f>
        <v/>
      </c>
      <c r="S961" s="3" t="inlineStr">
        <is>
          <t>G2G</t>
        </is>
      </c>
      <c r="T961" s="3" t="inlineStr">
        <is>
          <t>P4</t>
        </is>
      </c>
      <c r="U961" s="3" t="inlineStr">
        <is>
          <t>P JB Issue</t>
        </is>
      </c>
      <c r="V961" s="15" t="inlineStr">
        <is>
          <t>JB Changed</t>
        </is>
      </c>
      <c r="W961" s="3" t="inlineStr">
        <is>
          <t>Repair</t>
        </is>
      </c>
      <c r="X961" s="18" t="n">
        <v>46156</v>
      </c>
      <c r="Y961" s="3">
        <f>X961-A961</f>
        <v/>
      </c>
      <c r="Z961" s="18" t="n">
        <v>46156</v>
      </c>
      <c r="AA961" s="15" t="n"/>
      <c r="AB961" s="15" t="n"/>
    </row>
    <row r="962" hidden="1" s="233">
      <c r="A962" s="6" t="n">
        <v>46107</v>
      </c>
      <c r="B962" s="3" t="n">
        <v>2026</v>
      </c>
      <c r="C962" s="3" t="inlineStr">
        <is>
          <t>Blupine</t>
        </is>
      </c>
      <c r="D962" s="3" t="inlineStr">
        <is>
          <t>Utility and C&amp;I</t>
        </is>
      </c>
      <c r="E962" s="3" t="n"/>
      <c r="F962" s="3" t="inlineStr">
        <is>
          <t>Closed</t>
        </is>
      </c>
      <c r="G962" s="3" t="inlineStr">
        <is>
          <t>Chandrashekar Patidar</t>
        </is>
      </c>
      <c r="H962" s="3" t="n">
        <v>7879764773</v>
      </c>
      <c r="I962" s="11" t="inlineStr">
        <is>
          <t>PE26032601</t>
        </is>
      </c>
      <c r="J962" s="3" t="inlineStr">
        <is>
          <t>Module Diode Failure</t>
        </is>
      </c>
      <c r="K962" s="3" t="inlineStr">
        <is>
          <t>Sadla</t>
        </is>
      </c>
      <c r="L962" s="3" t="inlineStr">
        <is>
          <t>Gujarat</t>
        </is>
      </c>
      <c r="M962" s="9" t="inlineStr">
        <is>
          <t>NS</t>
        </is>
      </c>
      <c r="N962" s="3" t="inlineStr">
        <is>
          <t>Cold Soldering</t>
        </is>
      </c>
      <c r="O962" s="3" t="n">
        <v>570</v>
      </c>
      <c r="P962" s="9" t="inlineStr">
        <is>
          <t>NSMI24060110647</t>
        </is>
      </c>
      <c r="Q962" s="53">
        <f>MID(P962,5,2)</f>
        <v/>
      </c>
      <c r="R962" s="53">
        <f>MID(P962,7,2)</f>
        <v/>
      </c>
      <c r="S962" s="3" t="inlineStr">
        <is>
          <t>G2G</t>
        </is>
      </c>
      <c r="T962" s="3" t="inlineStr">
        <is>
          <t>P4</t>
        </is>
      </c>
      <c r="U962" s="3" t="inlineStr">
        <is>
          <t>N JB Cold Soldering</t>
        </is>
      </c>
      <c r="V962" s="3" t="inlineStr">
        <is>
          <t>Soldering</t>
        </is>
      </c>
      <c r="W962" s="3" t="inlineStr">
        <is>
          <t>Repair</t>
        </is>
      </c>
      <c r="X962" s="18" t="n">
        <v>46156</v>
      </c>
      <c r="Y962" s="3">
        <f>X962-A962</f>
        <v/>
      </c>
      <c r="Z962" s="18" t="n">
        <v>46156</v>
      </c>
      <c r="AA962" s="15" t="n"/>
      <c r="AB962" s="15" t="n"/>
    </row>
    <row r="963" hidden="1" s="233">
      <c r="A963" s="6" t="n">
        <v>46107</v>
      </c>
      <c r="B963" s="3" t="n">
        <v>2026</v>
      </c>
      <c r="C963" s="3" t="inlineStr">
        <is>
          <t>Blupine</t>
        </is>
      </c>
      <c r="D963" s="3" t="inlineStr">
        <is>
          <t>Utility and C&amp;I</t>
        </is>
      </c>
      <c r="E963" s="3" t="n"/>
      <c r="F963" s="3" t="inlineStr">
        <is>
          <t>Closed</t>
        </is>
      </c>
      <c r="G963" s="3" t="inlineStr">
        <is>
          <t>Chandrashekar Patidar</t>
        </is>
      </c>
      <c r="H963" s="3" t="n">
        <v>7879764773</v>
      </c>
      <c r="I963" s="11" t="inlineStr">
        <is>
          <t>PE26032601</t>
        </is>
      </c>
      <c r="J963" s="3" t="inlineStr">
        <is>
          <t>Module Diode Failure</t>
        </is>
      </c>
      <c r="K963" s="3" t="inlineStr">
        <is>
          <t>Sadla</t>
        </is>
      </c>
      <c r="L963" s="3" t="inlineStr">
        <is>
          <t>Gujarat</t>
        </is>
      </c>
      <c r="M963" s="9" t="inlineStr">
        <is>
          <t>NS</t>
        </is>
      </c>
      <c r="N963" s="3" t="inlineStr">
        <is>
          <t>Cold Soldering</t>
        </is>
      </c>
      <c r="O963" s="3" t="n">
        <v>570</v>
      </c>
      <c r="P963" s="9" t="inlineStr">
        <is>
          <t>NSMI24060110211</t>
        </is>
      </c>
      <c r="Q963" s="53">
        <f>MID(P963,5,2)</f>
        <v/>
      </c>
      <c r="R963" s="53">
        <f>MID(P963,7,2)</f>
        <v/>
      </c>
      <c r="S963" s="3" t="inlineStr">
        <is>
          <t>G2G</t>
        </is>
      </c>
      <c r="T963" s="3" t="inlineStr">
        <is>
          <t>P4</t>
        </is>
      </c>
      <c r="U963" s="3" t="inlineStr">
        <is>
          <t>N JB Cold Soldering</t>
        </is>
      </c>
      <c r="V963" s="3" t="inlineStr">
        <is>
          <t>Soldering</t>
        </is>
      </c>
      <c r="W963" s="3" t="inlineStr">
        <is>
          <t>Repair</t>
        </is>
      </c>
      <c r="X963" s="18" t="n">
        <v>46156</v>
      </c>
      <c r="Y963" s="3">
        <f>X963-A963</f>
        <v/>
      </c>
      <c r="Z963" s="18" t="n">
        <v>46156</v>
      </c>
      <c r="AA963" s="15" t="n"/>
      <c r="AB963" s="15" t="n"/>
    </row>
    <row r="964" hidden="1" s="233">
      <c r="A964" s="6" t="n">
        <v>46107</v>
      </c>
      <c r="B964" s="3" t="n">
        <v>2026</v>
      </c>
      <c r="C964" s="3" t="inlineStr">
        <is>
          <t>Blupine</t>
        </is>
      </c>
      <c r="D964" s="3" t="inlineStr">
        <is>
          <t>Utility and C&amp;I</t>
        </is>
      </c>
      <c r="E964" s="3" t="n"/>
      <c r="F964" s="3" t="inlineStr">
        <is>
          <t>Closed</t>
        </is>
      </c>
      <c r="G964" s="3" t="inlineStr">
        <is>
          <t>Chandrashekar Patidar</t>
        </is>
      </c>
      <c r="H964" s="3" t="n">
        <v>7879764773</v>
      </c>
      <c r="I964" s="11" t="inlineStr">
        <is>
          <t>PE26032601</t>
        </is>
      </c>
      <c r="J964" s="3" t="inlineStr">
        <is>
          <t>Module Diode Failure</t>
        </is>
      </c>
      <c r="K964" s="3" t="inlineStr">
        <is>
          <t>Sadla</t>
        </is>
      </c>
      <c r="L964" s="3" t="inlineStr">
        <is>
          <t>Gujarat</t>
        </is>
      </c>
      <c r="M964" s="9" t="inlineStr">
        <is>
          <t>NS</t>
        </is>
      </c>
      <c r="N964" s="3" t="inlineStr">
        <is>
          <t>Cold Soldering</t>
        </is>
      </c>
      <c r="O964" s="3" t="n">
        <v>570</v>
      </c>
      <c r="P964" s="9" t="inlineStr">
        <is>
          <t>NSMI24060111034</t>
        </is>
      </c>
      <c r="Q964" s="53">
        <f>MID(P964,5,2)</f>
        <v/>
      </c>
      <c r="R964" s="53">
        <f>MID(P964,7,2)</f>
        <v/>
      </c>
      <c r="S964" s="3" t="inlineStr">
        <is>
          <t>G2G</t>
        </is>
      </c>
      <c r="T964" s="3" t="inlineStr">
        <is>
          <t>P4</t>
        </is>
      </c>
      <c r="U964" s="3" t="inlineStr">
        <is>
          <t>N JB Cold Soldering</t>
        </is>
      </c>
      <c r="V964" s="3" t="inlineStr">
        <is>
          <t>Soldering</t>
        </is>
      </c>
      <c r="W964" s="3" t="inlineStr">
        <is>
          <t>Repair</t>
        </is>
      </c>
      <c r="X964" s="18" t="n">
        <v>46156</v>
      </c>
      <c r="Y964" s="3">
        <f>X964-A964</f>
        <v/>
      </c>
      <c r="Z964" s="18" t="n">
        <v>46156</v>
      </c>
      <c r="AA964" s="15" t="n"/>
      <c r="AB964" s="15" t="n"/>
    </row>
    <row r="965" hidden="1" s="233">
      <c r="A965" s="6" t="n">
        <v>46107</v>
      </c>
      <c r="B965" s="3" t="n">
        <v>2026</v>
      </c>
      <c r="C965" s="3" t="inlineStr">
        <is>
          <t>Blupine</t>
        </is>
      </c>
      <c r="D965" s="3" t="inlineStr">
        <is>
          <t>Utility and C&amp;I</t>
        </is>
      </c>
      <c r="E965" s="3" t="n"/>
      <c r="F965" s="3" t="inlineStr">
        <is>
          <t>Closed</t>
        </is>
      </c>
      <c r="G965" s="3" t="inlineStr">
        <is>
          <t>Chandrashekar Patidar</t>
        </is>
      </c>
      <c r="H965" s="3" t="n">
        <v>7879764773</v>
      </c>
      <c r="I965" s="11" t="inlineStr">
        <is>
          <t>PE26032601</t>
        </is>
      </c>
      <c r="J965" s="3" t="inlineStr">
        <is>
          <t>Module Diode Failure</t>
        </is>
      </c>
      <c r="K965" s="3" t="inlineStr">
        <is>
          <t>Sadla</t>
        </is>
      </c>
      <c r="L965" s="3" t="inlineStr">
        <is>
          <t>Gujarat</t>
        </is>
      </c>
      <c r="M965" s="9" t="inlineStr">
        <is>
          <t>NS</t>
        </is>
      </c>
      <c r="N965" s="3" t="inlineStr">
        <is>
          <t>Cold Soldering</t>
        </is>
      </c>
      <c r="O965" s="3" t="n">
        <v>570</v>
      </c>
      <c r="P965" s="9" t="inlineStr">
        <is>
          <t>NSMI24060110665</t>
        </is>
      </c>
      <c r="Q965" s="53">
        <f>MID(P965,5,2)</f>
        <v/>
      </c>
      <c r="R965" s="53">
        <f>MID(P965,7,2)</f>
        <v/>
      </c>
      <c r="S965" s="3" t="inlineStr">
        <is>
          <t>G2G</t>
        </is>
      </c>
      <c r="T965" s="3" t="inlineStr">
        <is>
          <t>P4</t>
        </is>
      </c>
      <c r="U965" s="3" t="inlineStr">
        <is>
          <t>N JB Cold Soldering</t>
        </is>
      </c>
      <c r="V965" s="3" t="inlineStr">
        <is>
          <t>Soldering</t>
        </is>
      </c>
      <c r="W965" s="3" t="inlineStr">
        <is>
          <t>Repair</t>
        </is>
      </c>
      <c r="X965" s="18" t="n">
        <v>46156</v>
      </c>
      <c r="Y965" s="3">
        <f>X965-A965</f>
        <v/>
      </c>
      <c r="Z965" s="18" t="n">
        <v>46156</v>
      </c>
      <c r="AA965" s="15" t="n"/>
      <c r="AB965" s="15" t="n"/>
    </row>
    <row r="966" hidden="1" s="233">
      <c r="A966" s="6" t="n">
        <v>46107</v>
      </c>
      <c r="B966" s="3" t="n">
        <v>2026</v>
      </c>
      <c r="C966" s="3" t="inlineStr">
        <is>
          <t>Blupine</t>
        </is>
      </c>
      <c r="D966" s="3" t="inlineStr">
        <is>
          <t>Utility and C&amp;I</t>
        </is>
      </c>
      <c r="E966" s="3" t="n"/>
      <c r="F966" s="3" t="inlineStr">
        <is>
          <t>Closed</t>
        </is>
      </c>
      <c r="G966" s="3" t="inlineStr">
        <is>
          <t>Chandrashekar Patidar</t>
        </is>
      </c>
      <c r="H966" s="3" t="n">
        <v>7879764773</v>
      </c>
      <c r="I966" s="11" t="inlineStr">
        <is>
          <t>PE26032601</t>
        </is>
      </c>
      <c r="J966" s="3" t="inlineStr">
        <is>
          <t>Module Diode Failure</t>
        </is>
      </c>
      <c r="K966" s="3" t="inlineStr">
        <is>
          <t>Sadla</t>
        </is>
      </c>
      <c r="L966" s="3" t="inlineStr">
        <is>
          <t>Gujarat</t>
        </is>
      </c>
      <c r="M966" s="9" t="inlineStr">
        <is>
          <t>PS</t>
        </is>
      </c>
      <c r="N966" s="3" t="inlineStr">
        <is>
          <t>Cold Soldering</t>
        </is>
      </c>
      <c r="O966" s="3" t="n">
        <v>570</v>
      </c>
      <c r="P966" s="9" t="inlineStr">
        <is>
          <t>NSMI24060164590</t>
        </is>
      </c>
      <c r="Q966" s="53">
        <f>MID(P966,5,2)</f>
        <v/>
      </c>
      <c r="R966" s="53">
        <f>MID(P966,7,2)</f>
        <v/>
      </c>
      <c r="S966" s="3" t="inlineStr">
        <is>
          <t>G2G</t>
        </is>
      </c>
      <c r="T966" s="3" t="inlineStr">
        <is>
          <t>P4</t>
        </is>
      </c>
      <c r="U966" s="3" t="inlineStr">
        <is>
          <t>P JB Cold Soldering</t>
        </is>
      </c>
      <c r="V966" s="3" t="inlineStr">
        <is>
          <t>Soldering</t>
        </is>
      </c>
      <c r="W966" s="3" t="inlineStr">
        <is>
          <t>Repair</t>
        </is>
      </c>
      <c r="X966" s="18" t="n">
        <v>46156</v>
      </c>
      <c r="Y966" s="3">
        <f>X966-A966</f>
        <v/>
      </c>
      <c r="Z966" s="18" t="n">
        <v>46156</v>
      </c>
      <c r="AA966" s="15" t="n"/>
      <c r="AB966" s="15" t="n"/>
    </row>
    <row r="967" hidden="1" s="233">
      <c r="A967" s="6" t="n">
        <v>46107</v>
      </c>
      <c r="B967" s="3" t="n">
        <v>2026</v>
      </c>
      <c r="C967" s="3" t="inlineStr">
        <is>
          <t>Blupine</t>
        </is>
      </c>
      <c r="D967" s="3" t="inlineStr">
        <is>
          <t>Utility and C&amp;I</t>
        </is>
      </c>
      <c r="E967" s="3" t="n"/>
      <c r="F967" s="3" t="inlineStr">
        <is>
          <t>Closed</t>
        </is>
      </c>
      <c r="G967" s="3" t="inlineStr">
        <is>
          <t>Chandrashekar Patidar</t>
        </is>
      </c>
      <c r="H967" s="3" t="n">
        <v>7879764773</v>
      </c>
      <c r="I967" s="11" t="inlineStr">
        <is>
          <t>PE26032601</t>
        </is>
      </c>
      <c r="J967" s="3" t="inlineStr">
        <is>
          <t>Module Diode Failure</t>
        </is>
      </c>
      <c r="K967" s="3" t="inlineStr">
        <is>
          <t>Sadla</t>
        </is>
      </c>
      <c r="L967" s="3" t="inlineStr">
        <is>
          <t>Gujarat</t>
        </is>
      </c>
      <c r="M967" s="9" t="inlineStr">
        <is>
          <t>PS</t>
        </is>
      </c>
      <c r="N967" s="3" t="inlineStr">
        <is>
          <t>Cold Soldering</t>
        </is>
      </c>
      <c r="O967" s="3" t="n">
        <v>570</v>
      </c>
      <c r="P967" s="9" t="inlineStr">
        <is>
          <t>NSMI24060155714</t>
        </is>
      </c>
      <c r="Q967" s="53">
        <f>MID(P967,5,2)</f>
        <v/>
      </c>
      <c r="R967" s="53">
        <f>MID(P967,7,2)</f>
        <v/>
      </c>
      <c r="S967" s="3" t="inlineStr">
        <is>
          <t>G2G</t>
        </is>
      </c>
      <c r="T967" s="3" t="inlineStr">
        <is>
          <t>P4</t>
        </is>
      </c>
      <c r="U967" s="3" t="inlineStr">
        <is>
          <t>P JB Cold Soldering</t>
        </is>
      </c>
      <c r="V967" s="3" t="inlineStr">
        <is>
          <t>Soldering</t>
        </is>
      </c>
      <c r="W967" s="3" t="inlineStr">
        <is>
          <t>Repair</t>
        </is>
      </c>
      <c r="X967" s="18" t="n">
        <v>46156</v>
      </c>
      <c r="Y967" s="3">
        <f>X967-A967</f>
        <v/>
      </c>
      <c r="Z967" s="18" t="n">
        <v>46156</v>
      </c>
      <c r="AA967" s="15" t="n"/>
      <c r="AB967" s="15" t="n"/>
    </row>
    <row r="968" hidden="1" s="233">
      <c r="A968" s="6" t="n">
        <v>46107</v>
      </c>
      <c r="B968" s="3" t="n">
        <v>2026</v>
      </c>
      <c r="C968" s="3" t="inlineStr">
        <is>
          <t>Blupine</t>
        </is>
      </c>
      <c r="D968" s="3" t="inlineStr">
        <is>
          <t>Utility and C&amp;I</t>
        </is>
      </c>
      <c r="E968" s="3" t="n"/>
      <c r="F968" s="3" t="inlineStr">
        <is>
          <t>Closed</t>
        </is>
      </c>
      <c r="G968" s="3" t="inlineStr">
        <is>
          <t>Chandrashekar Patidar</t>
        </is>
      </c>
      <c r="H968" s="3" t="n">
        <v>7879764773</v>
      </c>
      <c r="I968" s="11" t="inlineStr">
        <is>
          <t>PE26032601</t>
        </is>
      </c>
      <c r="J968" s="3" t="inlineStr">
        <is>
          <t>Module Diode Failure</t>
        </is>
      </c>
      <c r="K968" s="3" t="inlineStr">
        <is>
          <t>Sadla</t>
        </is>
      </c>
      <c r="L968" s="3" t="inlineStr">
        <is>
          <t>Gujarat</t>
        </is>
      </c>
      <c r="M968" s="9" t="inlineStr">
        <is>
          <t>NS</t>
        </is>
      </c>
      <c r="N968" s="3" t="inlineStr">
        <is>
          <t>Cold Soldering</t>
        </is>
      </c>
      <c r="O968" s="3" t="n">
        <v>570</v>
      </c>
      <c r="P968" s="9" t="inlineStr">
        <is>
          <t>NSMI24060159410</t>
        </is>
      </c>
      <c r="Q968" s="53">
        <f>MID(P968,5,2)</f>
        <v/>
      </c>
      <c r="R968" s="53">
        <f>MID(P968,7,2)</f>
        <v/>
      </c>
      <c r="S968" s="3" t="inlineStr">
        <is>
          <t>G2G</t>
        </is>
      </c>
      <c r="T968" s="3" t="inlineStr">
        <is>
          <t>P4</t>
        </is>
      </c>
      <c r="U968" s="3" t="inlineStr">
        <is>
          <t>N JB Cold Soldering</t>
        </is>
      </c>
      <c r="V968" s="3" t="inlineStr">
        <is>
          <t>Soldering</t>
        </is>
      </c>
      <c r="W968" s="3" t="inlineStr">
        <is>
          <t>Repair</t>
        </is>
      </c>
      <c r="X968" s="18" t="n">
        <v>46156</v>
      </c>
      <c r="Y968" s="3">
        <f>X968-A968</f>
        <v/>
      </c>
      <c r="Z968" s="18" t="n">
        <v>46156</v>
      </c>
      <c r="AA968" s="15" t="n"/>
      <c r="AB968" s="15" t="n"/>
    </row>
    <row r="969" hidden="1" s="233">
      <c r="A969" s="6" t="n">
        <v>46107</v>
      </c>
      <c r="B969" s="3" t="n">
        <v>2026</v>
      </c>
      <c r="C969" s="3" t="inlineStr">
        <is>
          <t>Blupine</t>
        </is>
      </c>
      <c r="D969" s="3" t="inlineStr">
        <is>
          <t>Utility and C&amp;I</t>
        </is>
      </c>
      <c r="E969" s="3" t="n"/>
      <c r="F969" s="3" t="inlineStr">
        <is>
          <t>Closed</t>
        </is>
      </c>
      <c r="G969" s="3" t="inlineStr">
        <is>
          <t>Chandrashekar Patidar</t>
        </is>
      </c>
      <c r="H969" s="3" t="n">
        <v>7879764773</v>
      </c>
      <c r="I969" s="11" t="inlineStr">
        <is>
          <t>PE26032601</t>
        </is>
      </c>
      <c r="J969" s="3" t="inlineStr">
        <is>
          <t>Module Diode Failure</t>
        </is>
      </c>
      <c r="K969" s="3" t="inlineStr">
        <is>
          <t>Sadla</t>
        </is>
      </c>
      <c r="L969" s="3" t="inlineStr">
        <is>
          <t>Gujarat</t>
        </is>
      </c>
      <c r="M969" s="9" t="inlineStr">
        <is>
          <t>NS</t>
        </is>
      </c>
      <c r="N969" s="3" t="inlineStr">
        <is>
          <t>Cold Soldering</t>
        </is>
      </c>
      <c r="O969" s="3" t="n">
        <v>570</v>
      </c>
      <c r="P969" s="9" t="inlineStr">
        <is>
          <t>NSMI24060159979</t>
        </is>
      </c>
      <c r="Q969" s="53">
        <f>MID(P969,5,2)</f>
        <v/>
      </c>
      <c r="R969" s="53">
        <f>MID(P969,7,2)</f>
        <v/>
      </c>
      <c r="S969" s="3" t="inlineStr">
        <is>
          <t>G2G</t>
        </is>
      </c>
      <c r="T969" s="3" t="inlineStr">
        <is>
          <t>P4</t>
        </is>
      </c>
      <c r="U969" s="3" t="inlineStr">
        <is>
          <t>N JB Cold Soldering</t>
        </is>
      </c>
      <c r="V969" s="3" t="inlineStr">
        <is>
          <t>Soldering</t>
        </is>
      </c>
      <c r="W969" s="3" t="inlineStr">
        <is>
          <t>Repair</t>
        </is>
      </c>
      <c r="X969" s="18" t="n">
        <v>46156</v>
      </c>
      <c r="Y969" s="3">
        <f>X969-A969</f>
        <v/>
      </c>
      <c r="Z969" s="18" t="n">
        <v>46156</v>
      </c>
      <c r="AA969" s="15" t="n"/>
      <c r="AB969" s="15" t="n"/>
    </row>
    <row r="970" hidden="1" s="233">
      <c r="A970" s="6" t="n">
        <v>46107</v>
      </c>
      <c r="B970" s="3" t="n">
        <v>2026</v>
      </c>
      <c r="C970" s="3" t="inlineStr">
        <is>
          <t>Blupine</t>
        </is>
      </c>
      <c r="D970" s="3" t="inlineStr">
        <is>
          <t>Utility and C&amp;I</t>
        </is>
      </c>
      <c r="E970" s="3" t="n"/>
      <c r="F970" s="3" t="inlineStr">
        <is>
          <t>Closed</t>
        </is>
      </c>
      <c r="G970" s="3" t="inlineStr">
        <is>
          <t>Chandrashekar Patidar</t>
        </is>
      </c>
      <c r="H970" s="3" t="n">
        <v>7879764773</v>
      </c>
      <c r="I970" s="11" t="inlineStr">
        <is>
          <t>PE26032601</t>
        </is>
      </c>
      <c r="J970" s="3" t="inlineStr">
        <is>
          <t>Module Diode Failure</t>
        </is>
      </c>
      <c r="K970" s="3" t="inlineStr">
        <is>
          <t>Sadla</t>
        </is>
      </c>
      <c r="L970" s="3" t="inlineStr">
        <is>
          <t>Gujarat</t>
        </is>
      </c>
      <c r="M970" s="9" t="inlineStr">
        <is>
          <t>NS</t>
        </is>
      </c>
      <c r="N970" s="3" t="inlineStr">
        <is>
          <t>Cold Soldering</t>
        </is>
      </c>
      <c r="O970" s="3" t="n">
        <v>570</v>
      </c>
      <c r="P970" s="9" t="inlineStr">
        <is>
          <t>NSMI24060160009</t>
        </is>
      </c>
      <c r="Q970" s="53">
        <f>MID(P970,5,2)</f>
        <v/>
      </c>
      <c r="R970" s="53">
        <f>MID(P970,7,2)</f>
        <v/>
      </c>
      <c r="S970" s="3" t="inlineStr">
        <is>
          <t>G2G</t>
        </is>
      </c>
      <c r="T970" s="3" t="inlineStr">
        <is>
          <t>P4</t>
        </is>
      </c>
      <c r="U970" s="3" t="inlineStr">
        <is>
          <t>N JB Cold Soldering</t>
        </is>
      </c>
      <c r="V970" s="3" t="inlineStr">
        <is>
          <t>Soldering</t>
        </is>
      </c>
      <c r="W970" s="3" t="inlineStr">
        <is>
          <t>Repair</t>
        </is>
      </c>
      <c r="X970" s="18" t="n">
        <v>46156</v>
      </c>
      <c r="Y970" s="3">
        <f>X970-A970</f>
        <v/>
      </c>
      <c r="Z970" s="18" t="n">
        <v>46156</v>
      </c>
      <c r="AA970" s="15" t="n"/>
      <c r="AB970" s="15" t="n"/>
    </row>
    <row r="971" hidden="1" s="233">
      <c r="A971" s="6" t="n">
        <v>46107</v>
      </c>
      <c r="B971" s="3" t="n">
        <v>2026</v>
      </c>
      <c r="C971" s="3" t="inlineStr">
        <is>
          <t>Blupine</t>
        </is>
      </c>
      <c r="D971" s="3" t="inlineStr">
        <is>
          <t>Utility and C&amp;I</t>
        </is>
      </c>
      <c r="E971" s="3" t="n"/>
      <c r="F971" s="3" t="inlineStr">
        <is>
          <t>Closed</t>
        </is>
      </c>
      <c r="G971" s="3" t="inlineStr">
        <is>
          <t>Chandrashekar Patidar</t>
        </is>
      </c>
      <c r="H971" s="3" t="n">
        <v>7879764773</v>
      </c>
      <c r="I971" s="11" t="inlineStr">
        <is>
          <t>PE26032601</t>
        </is>
      </c>
      <c r="J971" s="3" t="inlineStr">
        <is>
          <t>Module Diode Failure</t>
        </is>
      </c>
      <c r="K971" s="3" t="inlineStr">
        <is>
          <t>Sadla</t>
        </is>
      </c>
      <c r="L971" s="3" t="inlineStr">
        <is>
          <t>Gujarat</t>
        </is>
      </c>
      <c r="M971" s="9" t="inlineStr">
        <is>
          <t>NS</t>
        </is>
      </c>
      <c r="N971" s="3" t="inlineStr">
        <is>
          <t>Cold Soldering</t>
        </is>
      </c>
      <c r="O971" s="3" t="n">
        <v>570</v>
      </c>
      <c r="P971" s="9" t="inlineStr">
        <is>
          <t>NSMI24060163806</t>
        </is>
      </c>
      <c r="Q971" s="53">
        <f>MID(P971,5,2)</f>
        <v/>
      </c>
      <c r="R971" s="53">
        <f>MID(P971,7,2)</f>
        <v/>
      </c>
      <c r="S971" s="3" t="inlineStr">
        <is>
          <t>G2G</t>
        </is>
      </c>
      <c r="T971" s="3" t="inlineStr">
        <is>
          <t>P4</t>
        </is>
      </c>
      <c r="U971" s="3" t="inlineStr">
        <is>
          <t>N JB Cold Soldering</t>
        </is>
      </c>
      <c r="V971" s="3" t="inlineStr">
        <is>
          <t>Soldering</t>
        </is>
      </c>
      <c r="W971" s="3" t="inlineStr">
        <is>
          <t>Repair</t>
        </is>
      </c>
      <c r="X971" s="18" t="n">
        <v>46156</v>
      </c>
      <c r="Y971" s="3">
        <f>X971-A971</f>
        <v/>
      </c>
      <c r="Z971" s="18" t="n">
        <v>46156</v>
      </c>
      <c r="AA971" s="15" t="n"/>
      <c r="AB971" s="15" t="n"/>
    </row>
    <row r="972" hidden="1" s="233">
      <c r="A972" s="6" t="n">
        <v>46107</v>
      </c>
      <c r="B972" s="3" t="n">
        <v>2026</v>
      </c>
      <c r="C972" s="3" t="inlineStr">
        <is>
          <t>Blupine</t>
        </is>
      </c>
      <c r="D972" s="3" t="inlineStr">
        <is>
          <t>Utility and C&amp;I</t>
        </is>
      </c>
      <c r="E972" s="3" t="n"/>
      <c r="F972" s="3" t="inlineStr">
        <is>
          <t>Closed</t>
        </is>
      </c>
      <c r="G972" s="3" t="inlineStr">
        <is>
          <t>Chandrashekar Patidar</t>
        </is>
      </c>
      <c r="H972" s="3" t="n">
        <v>7879764773</v>
      </c>
      <c r="I972" s="11" t="inlineStr">
        <is>
          <t>PE26032601</t>
        </is>
      </c>
      <c r="J972" s="3" t="inlineStr">
        <is>
          <t>Module Diode Failure</t>
        </is>
      </c>
      <c r="K972" s="3" t="inlineStr">
        <is>
          <t>Sadla</t>
        </is>
      </c>
      <c r="L972" s="3" t="inlineStr">
        <is>
          <t>Gujarat</t>
        </is>
      </c>
      <c r="M972" s="9" t="inlineStr">
        <is>
          <t>NS</t>
        </is>
      </c>
      <c r="N972" s="3" t="inlineStr">
        <is>
          <t>Cold Soldering</t>
        </is>
      </c>
      <c r="O972" s="3" t="n">
        <v>570</v>
      </c>
      <c r="P972" s="9" t="inlineStr">
        <is>
          <t>NSMI24060146673</t>
        </is>
      </c>
      <c r="Q972" s="53">
        <f>MID(P972,5,2)</f>
        <v/>
      </c>
      <c r="R972" s="53">
        <f>MID(P972,7,2)</f>
        <v/>
      </c>
      <c r="S972" s="3" t="inlineStr">
        <is>
          <t>G2G</t>
        </is>
      </c>
      <c r="T972" s="3" t="inlineStr">
        <is>
          <t>P4</t>
        </is>
      </c>
      <c r="U972" s="3" t="inlineStr">
        <is>
          <t>N JB Cold Soldering</t>
        </is>
      </c>
      <c r="V972" s="3" t="inlineStr">
        <is>
          <t>Soldering</t>
        </is>
      </c>
      <c r="W972" s="3" t="inlineStr">
        <is>
          <t>Repair</t>
        </is>
      </c>
      <c r="X972" s="18" t="n">
        <v>46156</v>
      </c>
      <c r="Y972" s="3">
        <f>X972-A972</f>
        <v/>
      </c>
      <c r="Z972" s="18" t="n">
        <v>46156</v>
      </c>
      <c r="AA972" s="15" t="n"/>
      <c r="AB972" s="15" t="n"/>
    </row>
    <row r="973" hidden="1" s="233">
      <c r="A973" s="6" t="n">
        <v>46107</v>
      </c>
      <c r="B973" s="3" t="n">
        <v>2026</v>
      </c>
      <c r="C973" s="3" t="inlineStr">
        <is>
          <t>Blupine</t>
        </is>
      </c>
      <c r="D973" s="3" t="inlineStr">
        <is>
          <t>Utility and C&amp;I</t>
        </is>
      </c>
      <c r="E973" s="3" t="n"/>
      <c r="F973" s="3" t="inlineStr">
        <is>
          <t>Closed</t>
        </is>
      </c>
      <c r="G973" s="3" t="inlineStr">
        <is>
          <t>Chandrashekar Patidar</t>
        </is>
      </c>
      <c r="H973" s="3" t="n">
        <v>7879764773</v>
      </c>
      <c r="I973" s="11" t="inlineStr">
        <is>
          <t>PE26032601</t>
        </is>
      </c>
      <c r="J973" s="3" t="inlineStr">
        <is>
          <t>Module Diode Failure</t>
        </is>
      </c>
      <c r="K973" s="3" t="inlineStr">
        <is>
          <t>Sadla</t>
        </is>
      </c>
      <c r="L973" s="3" t="inlineStr">
        <is>
          <t>Gujarat</t>
        </is>
      </c>
      <c r="M973" s="9" t="inlineStr">
        <is>
          <t>NS</t>
        </is>
      </c>
      <c r="N973" s="3" t="inlineStr">
        <is>
          <t>Cold Soldering</t>
        </is>
      </c>
      <c r="O973" s="3" t="n">
        <v>570</v>
      </c>
      <c r="P973" s="9" t="inlineStr">
        <is>
          <t>NSMI24060147007</t>
        </is>
      </c>
      <c r="Q973" s="53">
        <f>MID(P973,5,2)</f>
        <v/>
      </c>
      <c r="R973" s="53">
        <f>MID(P973,7,2)</f>
        <v/>
      </c>
      <c r="S973" s="3" t="inlineStr">
        <is>
          <t>G2G</t>
        </is>
      </c>
      <c r="T973" s="3" t="inlineStr">
        <is>
          <t>P4</t>
        </is>
      </c>
      <c r="U973" s="3" t="inlineStr">
        <is>
          <t>N JB Cold Soldering</t>
        </is>
      </c>
      <c r="V973" s="3" t="inlineStr">
        <is>
          <t>Soldering</t>
        </is>
      </c>
      <c r="W973" s="3" t="inlineStr">
        <is>
          <t>Repair</t>
        </is>
      </c>
      <c r="X973" s="18" t="n">
        <v>46156</v>
      </c>
      <c r="Y973" s="3">
        <f>X973-A973</f>
        <v/>
      </c>
      <c r="Z973" s="18" t="n">
        <v>46156</v>
      </c>
      <c r="AA973" s="15" t="n"/>
      <c r="AB973" s="15" t="n"/>
    </row>
    <row r="974" hidden="1" s="233">
      <c r="A974" s="6" t="n">
        <v>46107</v>
      </c>
      <c r="B974" s="3" t="n">
        <v>2026</v>
      </c>
      <c r="C974" s="3" t="inlineStr">
        <is>
          <t>Blupine</t>
        </is>
      </c>
      <c r="D974" s="3" t="inlineStr">
        <is>
          <t>Utility and C&amp;I</t>
        </is>
      </c>
      <c r="E974" s="3" t="n"/>
      <c r="F974" s="3" t="inlineStr">
        <is>
          <t>Closed</t>
        </is>
      </c>
      <c r="G974" s="3" t="inlineStr">
        <is>
          <t>Chandrashekar Patidar</t>
        </is>
      </c>
      <c r="H974" s="3" t="n">
        <v>7879764773</v>
      </c>
      <c r="I974" s="11" t="inlineStr">
        <is>
          <t>PE26032601</t>
        </is>
      </c>
      <c r="J974" s="3" t="inlineStr">
        <is>
          <t>Module Diode Failure</t>
        </is>
      </c>
      <c r="K974" s="3" t="inlineStr">
        <is>
          <t>Sadla</t>
        </is>
      </c>
      <c r="L974" s="3" t="inlineStr">
        <is>
          <t>Gujarat</t>
        </is>
      </c>
      <c r="M974" s="9" t="inlineStr">
        <is>
          <t>NS</t>
        </is>
      </c>
      <c r="N974" s="3" t="inlineStr">
        <is>
          <t>Cold Soldering</t>
        </is>
      </c>
      <c r="O974" s="3" t="n">
        <v>570</v>
      </c>
      <c r="P974" s="9" t="inlineStr">
        <is>
          <t>NSMI24060090883</t>
        </is>
      </c>
      <c r="Q974" s="53">
        <f>MID(P974,5,2)</f>
        <v/>
      </c>
      <c r="R974" s="53">
        <f>MID(P974,7,2)</f>
        <v/>
      </c>
      <c r="S974" s="3" t="inlineStr">
        <is>
          <t>G2G</t>
        </is>
      </c>
      <c r="T974" s="3" t="inlineStr">
        <is>
          <t>P4</t>
        </is>
      </c>
      <c r="U974" s="3" t="inlineStr">
        <is>
          <t>N JB Cold Soldering</t>
        </is>
      </c>
      <c r="V974" s="3" t="inlineStr">
        <is>
          <t>Soldering</t>
        </is>
      </c>
      <c r="W974" s="3" t="inlineStr">
        <is>
          <t>Repair</t>
        </is>
      </c>
      <c r="X974" s="18" t="n">
        <v>46156</v>
      </c>
      <c r="Y974" s="3">
        <f>X974-A974</f>
        <v/>
      </c>
      <c r="Z974" s="18" t="n">
        <v>46156</v>
      </c>
      <c r="AA974" s="15" t="n"/>
      <c r="AB974" s="15" t="n"/>
    </row>
    <row r="975" hidden="1" s="233">
      <c r="A975" s="6" t="n">
        <v>46107</v>
      </c>
      <c r="B975" s="3" t="n">
        <v>2026</v>
      </c>
      <c r="C975" s="3" t="inlineStr">
        <is>
          <t>Blupine</t>
        </is>
      </c>
      <c r="D975" s="3" t="inlineStr">
        <is>
          <t>Utility and C&amp;I</t>
        </is>
      </c>
      <c r="E975" s="3" t="n"/>
      <c r="F975" s="3" t="inlineStr">
        <is>
          <t>Closed</t>
        </is>
      </c>
      <c r="G975" s="3" t="inlineStr">
        <is>
          <t>Chandrashekar Patidar</t>
        </is>
      </c>
      <c r="H975" s="3" t="n">
        <v>7879764773</v>
      </c>
      <c r="I975" s="11" t="inlineStr">
        <is>
          <t>PE26032601</t>
        </is>
      </c>
      <c r="J975" s="3" t="inlineStr">
        <is>
          <t>Module Diode Failure</t>
        </is>
      </c>
      <c r="K975" s="3" t="inlineStr">
        <is>
          <t>Sadla</t>
        </is>
      </c>
      <c r="L975" s="3" t="inlineStr">
        <is>
          <t>Gujarat</t>
        </is>
      </c>
      <c r="M975" s="9" t="inlineStr">
        <is>
          <t>NS</t>
        </is>
      </c>
      <c r="N975" s="3" t="inlineStr">
        <is>
          <t>Cold Soldering</t>
        </is>
      </c>
      <c r="O975" s="3" t="n">
        <v>570</v>
      </c>
      <c r="P975" s="9" t="inlineStr">
        <is>
          <t>NSMI24060090182</t>
        </is>
      </c>
      <c r="Q975" s="53">
        <f>MID(P975,5,2)</f>
        <v/>
      </c>
      <c r="R975" s="53">
        <f>MID(P975,7,2)</f>
        <v/>
      </c>
      <c r="S975" s="3" t="inlineStr">
        <is>
          <t>G2G</t>
        </is>
      </c>
      <c r="T975" s="3" t="inlineStr">
        <is>
          <t>P4</t>
        </is>
      </c>
      <c r="U975" s="3" t="inlineStr">
        <is>
          <t>N JB Cold Soldering</t>
        </is>
      </c>
      <c r="V975" s="3" t="inlineStr">
        <is>
          <t>Soldering</t>
        </is>
      </c>
      <c r="W975" s="3" t="inlineStr">
        <is>
          <t>Repair</t>
        </is>
      </c>
      <c r="X975" s="18" t="n">
        <v>46156</v>
      </c>
      <c r="Y975" s="3">
        <f>X975-A975</f>
        <v/>
      </c>
      <c r="Z975" s="18" t="n">
        <v>46156</v>
      </c>
      <c r="AA975" s="15" t="n"/>
      <c r="AB975" s="15" t="n"/>
    </row>
    <row r="976" hidden="1" s="233">
      <c r="A976" s="6" t="n">
        <v>46107</v>
      </c>
      <c r="B976" s="3" t="n">
        <v>2026</v>
      </c>
      <c r="C976" s="3" t="inlineStr">
        <is>
          <t>Blupine</t>
        </is>
      </c>
      <c r="D976" s="3" t="inlineStr">
        <is>
          <t>Utility and C&amp;I</t>
        </is>
      </c>
      <c r="E976" s="3" t="n"/>
      <c r="F976" s="3" t="inlineStr">
        <is>
          <t>Closed</t>
        </is>
      </c>
      <c r="G976" s="3" t="inlineStr">
        <is>
          <t>Chandrashekar Patidar</t>
        </is>
      </c>
      <c r="H976" s="3" t="n">
        <v>7879764773</v>
      </c>
      <c r="I976" s="11" t="inlineStr">
        <is>
          <t>PE26032601</t>
        </is>
      </c>
      <c r="J976" s="3" t="inlineStr">
        <is>
          <t>Module Diode Failure</t>
        </is>
      </c>
      <c r="K976" s="3" t="inlineStr">
        <is>
          <t>Sadla</t>
        </is>
      </c>
      <c r="L976" s="3" t="inlineStr">
        <is>
          <t>Gujarat</t>
        </is>
      </c>
      <c r="M976" s="9" t="inlineStr">
        <is>
          <t>NS</t>
        </is>
      </c>
      <c r="N976" s="3" t="inlineStr">
        <is>
          <t>Cold Soldering</t>
        </is>
      </c>
      <c r="O976" s="3" t="n">
        <v>570</v>
      </c>
      <c r="P976" s="9" t="inlineStr">
        <is>
          <t>NSMI24060090680</t>
        </is>
      </c>
      <c r="Q976" s="53">
        <f>MID(P976,5,2)</f>
        <v/>
      </c>
      <c r="R976" s="53">
        <f>MID(P976,7,2)</f>
        <v/>
      </c>
      <c r="S976" s="3" t="inlineStr">
        <is>
          <t>G2G</t>
        </is>
      </c>
      <c r="T976" s="3" t="inlineStr">
        <is>
          <t>P4</t>
        </is>
      </c>
      <c r="U976" s="3" t="inlineStr">
        <is>
          <t>N JB Cold Soldering</t>
        </is>
      </c>
      <c r="V976" s="3" t="inlineStr">
        <is>
          <t>Soldering</t>
        </is>
      </c>
      <c r="W976" s="3" t="inlineStr">
        <is>
          <t>Repair</t>
        </is>
      </c>
      <c r="X976" s="18" t="n">
        <v>46156</v>
      </c>
      <c r="Y976" s="3">
        <f>X976-A976</f>
        <v/>
      </c>
      <c r="Z976" s="18" t="n">
        <v>46156</v>
      </c>
      <c r="AA976" s="15" t="n"/>
      <c r="AB976" s="15" t="n"/>
    </row>
    <row r="977" hidden="1" s="233">
      <c r="A977" s="6" t="n">
        <v>46107</v>
      </c>
      <c r="B977" s="3" t="n">
        <v>2026</v>
      </c>
      <c r="C977" s="3" t="inlineStr">
        <is>
          <t>Blupine</t>
        </is>
      </c>
      <c r="D977" s="3" t="inlineStr">
        <is>
          <t>Utility and C&amp;I</t>
        </is>
      </c>
      <c r="E977" s="3" t="n"/>
      <c r="F977" s="3" t="inlineStr">
        <is>
          <t>Closed</t>
        </is>
      </c>
      <c r="G977" s="3" t="inlineStr">
        <is>
          <t>Chandrashekar Patidar</t>
        </is>
      </c>
      <c r="H977" s="3" t="n">
        <v>7879764773</v>
      </c>
      <c r="I977" s="11" t="inlineStr">
        <is>
          <t>PE26032601</t>
        </is>
      </c>
      <c r="J977" s="3" t="inlineStr">
        <is>
          <t>Module Diode Failure</t>
        </is>
      </c>
      <c r="K977" s="3" t="inlineStr">
        <is>
          <t>Sadla</t>
        </is>
      </c>
      <c r="L977" s="3" t="inlineStr">
        <is>
          <t>Gujarat</t>
        </is>
      </c>
      <c r="M977" s="9" t="inlineStr">
        <is>
          <t>PS</t>
        </is>
      </c>
      <c r="N977" s="3" t="inlineStr">
        <is>
          <t>Cold Soldering</t>
        </is>
      </c>
      <c r="O977" s="3" t="n">
        <v>570</v>
      </c>
      <c r="P977" s="9" t="inlineStr">
        <is>
          <t>NSMI24060076758</t>
        </is>
      </c>
      <c r="Q977" s="53">
        <f>MID(P977,5,2)</f>
        <v/>
      </c>
      <c r="R977" s="53">
        <f>MID(P977,7,2)</f>
        <v/>
      </c>
      <c r="S977" s="3" t="inlineStr">
        <is>
          <t>G2G</t>
        </is>
      </c>
      <c r="T977" s="3" t="inlineStr">
        <is>
          <t>P4</t>
        </is>
      </c>
      <c r="U977" s="3" t="inlineStr">
        <is>
          <t>P JB Cold Soldering</t>
        </is>
      </c>
      <c r="V977" s="3" t="inlineStr">
        <is>
          <t>Soldering</t>
        </is>
      </c>
      <c r="W977" s="3" t="inlineStr">
        <is>
          <t>Repair</t>
        </is>
      </c>
      <c r="X977" s="18" t="n">
        <v>46156</v>
      </c>
      <c r="Y977" s="3">
        <f>X977-A977</f>
        <v/>
      </c>
      <c r="Z977" s="18" t="n">
        <v>46156</v>
      </c>
      <c r="AA977" s="15" t="n"/>
      <c r="AB977" s="15" t="n"/>
    </row>
    <row r="978" hidden="1" s="233">
      <c r="A978" s="6" t="n">
        <v>46107</v>
      </c>
      <c r="B978" s="3" t="n">
        <v>2026</v>
      </c>
      <c r="C978" s="3" t="inlineStr">
        <is>
          <t>Blupine</t>
        </is>
      </c>
      <c r="D978" s="3" t="inlineStr">
        <is>
          <t>Utility and C&amp;I</t>
        </is>
      </c>
      <c r="E978" s="3" t="n"/>
      <c r="F978" s="3" t="inlineStr">
        <is>
          <t>Closed</t>
        </is>
      </c>
      <c r="G978" s="3" t="inlineStr">
        <is>
          <t>Chandrashekar Patidar</t>
        </is>
      </c>
      <c r="H978" s="3" t="n">
        <v>7879764773</v>
      </c>
      <c r="I978" s="11" t="inlineStr">
        <is>
          <t>PE26032601</t>
        </is>
      </c>
      <c r="J978" s="3" t="inlineStr">
        <is>
          <t>Module Diode Failure</t>
        </is>
      </c>
      <c r="K978" s="3" t="inlineStr">
        <is>
          <t>Sadla</t>
        </is>
      </c>
      <c r="L978" s="3" t="inlineStr">
        <is>
          <t>Gujarat</t>
        </is>
      </c>
      <c r="M978" s="9" t="inlineStr">
        <is>
          <t>NS</t>
        </is>
      </c>
      <c r="N978" s="3" t="inlineStr">
        <is>
          <t>Cold Soldering</t>
        </is>
      </c>
      <c r="O978" s="3" t="n">
        <v>570</v>
      </c>
      <c r="P978" s="9" t="inlineStr">
        <is>
          <t>NSMI24060092807</t>
        </is>
      </c>
      <c r="Q978" s="53">
        <f>MID(P978,5,2)</f>
        <v/>
      </c>
      <c r="R978" s="53">
        <f>MID(P978,7,2)</f>
        <v/>
      </c>
      <c r="S978" s="3" t="inlineStr">
        <is>
          <t>G2G</t>
        </is>
      </c>
      <c r="T978" s="3" t="inlineStr">
        <is>
          <t>P4</t>
        </is>
      </c>
      <c r="U978" s="3" t="inlineStr">
        <is>
          <t>N JB Cold Soldering</t>
        </is>
      </c>
      <c r="V978" s="3" t="inlineStr">
        <is>
          <t>Soldering</t>
        </is>
      </c>
      <c r="W978" s="3" t="inlineStr">
        <is>
          <t>Repair</t>
        </is>
      </c>
      <c r="X978" s="18" t="n">
        <v>46156</v>
      </c>
      <c r="Y978" s="3">
        <f>X978-A978</f>
        <v/>
      </c>
      <c r="Z978" s="18" t="n">
        <v>46156</v>
      </c>
      <c r="AA978" s="15" t="n"/>
      <c r="AB978" s="15" t="n"/>
    </row>
    <row r="979" hidden="1" s="233">
      <c r="A979" s="6" t="n">
        <v>46107</v>
      </c>
      <c r="B979" s="3" t="n">
        <v>2026</v>
      </c>
      <c r="C979" s="3" t="inlineStr">
        <is>
          <t>Blupine</t>
        </is>
      </c>
      <c r="D979" s="3" t="inlineStr">
        <is>
          <t>Utility and C&amp;I</t>
        </is>
      </c>
      <c r="E979" s="3" t="n"/>
      <c r="F979" s="3" t="inlineStr">
        <is>
          <t>Closed</t>
        </is>
      </c>
      <c r="G979" s="3" t="inlineStr">
        <is>
          <t>Chandrashekar Patidar</t>
        </is>
      </c>
      <c r="H979" s="3" t="n">
        <v>7879764773</v>
      </c>
      <c r="I979" s="11" t="inlineStr">
        <is>
          <t>PE26032601</t>
        </is>
      </c>
      <c r="J979" s="3" t="inlineStr">
        <is>
          <t>Module Diode Failure</t>
        </is>
      </c>
      <c r="K979" s="3" t="inlineStr">
        <is>
          <t>Sadla</t>
        </is>
      </c>
      <c r="L979" s="3" t="inlineStr">
        <is>
          <t>Gujarat</t>
        </is>
      </c>
      <c r="M979" s="9" t="inlineStr">
        <is>
          <t>NS</t>
        </is>
      </c>
      <c r="N979" s="3" t="inlineStr">
        <is>
          <t>Cold Soldering</t>
        </is>
      </c>
      <c r="O979" s="3" t="n">
        <v>570</v>
      </c>
      <c r="P979" s="9" t="inlineStr">
        <is>
          <t>NSMI24060093019</t>
        </is>
      </c>
      <c r="Q979" s="53">
        <f>MID(P979,5,2)</f>
        <v/>
      </c>
      <c r="R979" s="53">
        <f>MID(P979,7,2)</f>
        <v/>
      </c>
      <c r="S979" s="3" t="inlineStr">
        <is>
          <t>G2G</t>
        </is>
      </c>
      <c r="T979" s="3" t="inlineStr">
        <is>
          <t>P4</t>
        </is>
      </c>
      <c r="U979" s="3" t="inlineStr">
        <is>
          <t>N JB Cold Soldering</t>
        </is>
      </c>
      <c r="V979" s="3" t="inlineStr">
        <is>
          <t>Soldering</t>
        </is>
      </c>
      <c r="W979" s="3" t="inlineStr">
        <is>
          <t>Repair</t>
        </is>
      </c>
      <c r="X979" s="18" t="n">
        <v>46156</v>
      </c>
      <c r="Y979" s="3">
        <f>X979-A979</f>
        <v/>
      </c>
      <c r="Z979" s="18" t="n">
        <v>46156</v>
      </c>
      <c r="AA979" s="15" t="n"/>
      <c r="AB979" s="15" t="n"/>
    </row>
    <row r="980" hidden="1" s="233">
      <c r="A980" s="6" t="n">
        <v>46107</v>
      </c>
      <c r="B980" s="3" t="n">
        <v>2026</v>
      </c>
      <c r="C980" s="3" t="inlineStr">
        <is>
          <t>Blupine</t>
        </is>
      </c>
      <c r="D980" s="3" t="inlineStr">
        <is>
          <t>Utility and C&amp;I</t>
        </is>
      </c>
      <c r="E980" s="3" t="n"/>
      <c r="F980" s="3" t="inlineStr">
        <is>
          <t>Closed</t>
        </is>
      </c>
      <c r="G980" s="3" t="inlineStr">
        <is>
          <t>Chandrashekar Patidar</t>
        </is>
      </c>
      <c r="H980" s="3" t="n">
        <v>7879764773</v>
      </c>
      <c r="I980" s="11" t="inlineStr">
        <is>
          <t>PE26032601</t>
        </is>
      </c>
      <c r="J980" s="3" t="inlineStr">
        <is>
          <t>Module Diode Failure</t>
        </is>
      </c>
      <c r="K980" s="3" t="inlineStr">
        <is>
          <t>Sadla</t>
        </is>
      </c>
      <c r="L980" s="3" t="inlineStr">
        <is>
          <t>Gujarat</t>
        </is>
      </c>
      <c r="M980" s="9" t="inlineStr">
        <is>
          <t>PS</t>
        </is>
      </c>
      <c r="N980" s="3" t="inlineStr">
        <is>
          <t>Cold Soldering</t>
        </is>
      </c>
      <c r="O980" s="3" t="n">
        <v>570</v>
      </c>
      <c r="P980" s="9" t="inlineStr">
        <is>
          <t>NSMI24060092914</t>
        </is>
      </c>
      <c r="Q980" s="53">
        <f>MID(P980,5,2)</f>
        <v/>
      </c>
      <c r="R980" s="53">
        <f>MID(P980,7,2)</f>
        <v/>
      </c>
      <c r="S980" s="3" t="inlineStr">
        <is>
          <t>G2G</t>
        </is>
      </c>
      <c r="T980" s="3" t="inlineStr">
        <is>
          <t>P4</t>
        </is>
      </c>
      <c r="U980" s="3" t="inlineStr">
        <is>
          <t>P JB Cold Soldering</t>
        </is>
      </c>
      <c r="V980" s="3" t="inlineStr">
        <is>
          <t>Soldering</t>
        </is>
      </c>
      <c r="W980" s="3" t="inlineStr">
        <is>
          <t>Repair</t>
        </is>
      </c>
      <c r="X980" s="18" t="n">
        <v>46156</v>
      </c>
      <c r="Y980" s="3">
        <f>X980-A980</f>
        <v/>
      </c>
      <c r="Z980" s="18" t="n">
        <v>46156</v>
      </c>
      <c r="AA980" s="15" t="n"/>
      <c r="AB980" s="15" t="n"/>
    </row>
    <row r="981" hidden="1" s="233">
      <c r="A981" s="6" t="n">
        <v>46107</v>
      </c>
      <c r="B981" s="3" t="n">
        <v>2026</v>
      </c>
      <c r="C981" s="3" t="inlineStr">
        <is>
          <t>Blupine</t>
        </is>
      </c>
      <c r="D981" s="3" t="inlineStr">
        <is>
          <t>Utility and C&amp;I</t>
        </is>
      </c>
      <c r="E981" s="3" t="n"/>
      <c r="F981" s="3" t="inlineStr">
        <is>
          <t>Closed</t>
        </is>
      </c>
      <c r="G981" s="3" t="inlineStr">
        <is>
          <t>Chandrashekar Patidar</t>
        </is>
      </c>
      <c r="H981" s="3" t="n">
        <v>7879764773</v>
      </c>
      <c r="I981" s="11" t="inlineStr">
        <is>
          <t>PE26032601</t>
        </is>
      </c>
      <c r="J981" s="3" t="inlineStr">
        <is>
          <t>Module Diode Failure</t>
        </is>
      </c>
      <c r="K981" s="3" t="inlineStr">
        <is>
          <t>Sadla</t>
        </is>
      </c>
      <c r="L981" s="3" t="inlineStr">
        <is>
          <t>Gujarat</t>
        </is>
      </c>
      <c r="M981" s="9" t="inlineStr">
        <is>
          <t>NS</t>
        </is>
      </c>
      <c r="N981" s="3" t="inlineStr">
        <is>
          <t>Cold Soldering</t>
        </is>
      </c>
      <c r="O981" s="3" t="n">
        <v>570</v>
      </c>
      <c r="P981" s="9" t="inlineStr">
        <is>
          <t>NSMI24060096020</t>
        </is>
      </c>
      <c r="Q981" s="53">
        <f>MID(P981,5,2)</f>
        <v/>
      </c>
      <c r="R981" s="53">
        <f>MID(P981,7,2)</f>
        <v/>
      </c>
      <c r="S981" s="3" t="inlineStr">
        <is>
          <t>G2G</t>
        </is>
      </c>
      <c r="T981" s="3" t="inlineStr">
        <is>
          <t>P4</t>
        </is>
      </c>
      <c r="U981" s="3" t="inlineStr">
        <is>
          <t>N JB Cold Soldering</t>
        </is>
      </c>
      <c r="V981" s="3" t="inlineStr">
        <is>
          <t>Soldering</t>
        </is>
      </c>
      <c r="W981" s="3" t="inlineStr">
        <is>
          <t>Repair</t>
        </is>
      </c>
      <c r="X981" s="18" t="n">
        <v>46156</v>
      </c>
      <c r="Y981" s="3">
        <f>X981-A981</f>
        <v/>
      </c>
      <c r="Z981" s="18" t="n">
        <v>46156</v>
      </c>
      <c r="AA981" s="15" t="n"/>
      <c r="AB981" s="15" t="n"/>
    </row>
    <row r="982" hidden="1" s="233">
      <c r="A982" s="6" t="n">
        <v>46107</v>
      </c>
      <c r="B982" s="3" t="n">
        <v>2026</v>
      </c>
      <c r="C982" s="3" t="inlineStr">
        <is>
          <t>Blupine</t>
        </is>
      </c>
      <c r="D982" s="3" t="inlineStr">
        <is>
          <t>Utility and C&amp;I</t>
        </is>
      </c>
      <c r="E982" s="3" t="n"/>
      <c r="F982" s="3" t="inlineStr">
        <is>
          <t>Closed</t>
        </is>
      </c>
      <c r="G982" s="3" t="inlineStr">
        <is>
          <t>Chandrashekar Patidar</t>
        </is>
      </c>
      <c r="H982" s="3" t="n">
        <v>7879764773</v>
      </c>
      <c r="I982" s="11" t="inlineStr">
        <is>
          <t>PE26032601</t>
        </is>
      </c>
      <c r="J982" s="3" t="inlineStr">
        <is>
          <t>Module Diode Failure</t>
        </is>
      </c>
      <c r="K982" s="3" t="inlineStr">
        <is>
          <t>Sadla</t>
        </is>
      </c>
      <c r="L982" s="3" t="inlineStr">
        <is>
          <t>Gujarat</t>
        </is>
      </c>
      <c r="M982" s="9" t="inlineStr">
        <is>
          <t>NS</t>
        </is>
      </c>
      <c r="N982" s="3" t="inlineStr">
        <is>
          <t>Cold Soldering</t>
        </is>
      </c>
      <c r="O982" s="3" t="n">
        <v>570</v>
      </c>
      <c r="P982" s="9" t="inlineStr">
        <is>
          <t>NSMI24060096079</t>
        </is>
      </c>
      <c r="Q982" s="53">
        <f>MID(P982,5,2)</f>
        <v/>
      </c>
      <c r="R982" s="53">
        <f>MID(P982,7,2)</f>
        <v/>
      </c>
      <c r="S982" s="3" t="inlineStr">
        <is>
          <t>G2G</t>
        </is>
      </c>
      <c r="T982" s="3" t="inlineStr">
        <is>
          <t>P4</t>
        </is>
      </c>
      <c r="U982" s="3" t="inlineStr">
        <is>
          <t>N JB Cold Soldering</t>
        </is>
      </c>
      <c r="V982" s="3" t="inlineStr">
        <is>
          <t>Soldering</t>
        </is>
      </c>
      <c r="W982" s="3" t="inlineStr">
        <is>
          <t>Repair</t>
        </is>
      </c>
      <c r="X982" s="18" t="n">
        <v>46156</v>
      </c>
      <c r="Y982" s="3">
        <f>X982-A982</f>
        <v/>
      </c>
      <c r="Z982" s="18" t="n">
        <v>46156</v>
      </c>
      <c r="AA982" s="15" t="n"/>
      <c r="AB982" s="15" t="n"/>
    </row>
    <row r="983" hidden="1" s="233">
      <c r="A983" s="6" t="n">
        <v>46107</v>
      </c>
      <c r="B983" s="3" t="n">
        <v>2026</v>
      </c>
      <c r="C983" s="3" t="inlineStr">
        <is>
          <t>Blupine</t>
        </is>
      </c>
      <c r="D983" s="3" t="inlineStr">
        <is>
          <t>Utility and C&amp;I</t>
        </is>
      </c>
      <c r="E983" s="3" t="n"/>
      <c r="F983" s="3" t="inlineStr">
        <is>
          <t>Closed</t>
        </is>
      </c>
      <c r="G983" s="3" t="inlineStr">
        <is>
          <t>Chandrashekar Patidar</t>
        </is>
      </c>
      <c r="H983" s="3" t="n">
        <v>7879764773</v>
      </c>
      <c r="I983" s="11" t="inlineStr">
        <is>
          <t>PE26032601</t>
        </is>
      </c>
      <c r="J983" s="3" t="inlineStr">
        <is>
          <t>Module Diode Failure</t>
        </is>
      </c>
      <c r="K983" s="3" t="inlineStr">
        <is>
          <t>Sadla</t>
        </is>
      </c>
      <c r="L983" s="3" t="inlineStr">
        <is>
          <t>Gujarat</t>
        </is>
      </c>
      <c r="M983" s="9" t="inlineStr">
        <is>
          <t>PS</t>
        </is>
      </c>
      <c r="N983" s="3" t="inlineStr">
        <is>
          <t>Cold Soldering</t>
        </is>
      </c>
      <c r="O983" s="3" t="n">
        <v>570</v>
      </c>
      <c r="P983" s="9" t="inlineStr">
        <is>
          <t>NSMI24060098241</t>
        </is>
      </c>
      <c r="Q983" s="53">
        <f>MID(P983,5,2)</f>
        <v/>
      </c>
      <c r="R983" s="53">
        <f>MID(P983,7,2)</f>
        <v/>
      </c>
      <c r="S983" s="3" t="inlineStr">
        <is>
          <t>G2G</t>
        </is>
      </c>
      <c r="T983" s="3" t="inlineStr">
        <is>
          <t>P4</t>
        </is>
      </c>
      <c r="U983" s="3" t="inlineStr">
        <is>
          <t>P JB Cold Soldering</t>
        </is>
      </c>
      <c r="V983" s="3" t="inlineStr">
        <is>
          <t>Soldering</t>
        </is>
      </c>
      <c r="W983" s="3" t="inlineStr">
        <is>
          <t>Repair</t>
        </is>
      </c>
      <c r="X983" s="18" t="n">
        <v>46156</v>
      </c>
      <c r="Y983" s="3">
        <f>X983-A983</f>
        <v/>
      </c>
      <c r="Z983" s="18" t="n">
        <v>46156</v>
      </c>
      <c r="AA983" s="15" t="n"/>
      <c r="AB983" s="15" t="n"/>
    </row>
    <row r="984" hidden="1" s="233">
      <c r="A984" s="6" t="n">
        <v>46107</v>
      </c>
      <c r="B984" s="3" t="n">
        <v>2026</v>
      </c>
      <c r="C984" s="3" t="inlineStr">
        <is>
          <t>Blupine</t>
        </is>
      </c>
      <c r="D984" s="3" t="inlineStr">
        <is>
          <t>Utility and C&amp;I</t>
        </is>
      </c>
      <c r="E984" s="3" t="n"/>
      <c r="F984" s="3" t="inlineStr">
        <is>
          <t>Closed</t>
        </is>
      </c>
      <c r="G984" s="3" t="inlineStr">
        <is>
          <t>Chandrashekar Patidar</t>
        </is>
      </c>
      <c r="H984" s="3" t="n">
        <v>7879764773</v>
      </c>
      <c r="I984" s="11" t="inlineStr">
        <is>
          <t>PE26032601</t>
        </is>
      </c>
      <c r="J984" s="3" t="inlineStr">
        <is>
          <t>Module Diode Failure</t>
        </is>
      </c>
      <c r="K984" s="3" t="inlineStr">
        <is>
          <t>Sadla</t>
        </is>
      </c>
      <c r="L984" s="3" t="inlineStr">
        <is>
          <t>Gujarat</t>
        </is>
      </c>
      <c r="M984" s="9" t="inlineStr">
        <is>
          <t>NS</t>
        </is>
      </c>
      <c r="N984" s="3" t="inlineStr">
        <is>
          <t>Cold Soldering</t>
        </is>
      </c>
      <c r="O984" s="3" t="n">
        <v>570</v>
      </c>
      <c r="P984" s="9" t="inlineStr">
        <is>
          <t>NSMI24060091784</t>
        </is>
      </c>
      <c r="Q984" s="53">
        <f>MID(P984,5,2)</f>
        <v/>
      </c>
      <c r="R984" s="53">
        <f>MID(P984,7,2)</f>
        <v/>
      </c>
      <c r="S984" s="3" t="inlineStr">
        <is>
          <t>G2G</t>
        </is>
      </c>
      <c r="T984" s="3" t="inlineStr">
        <is>
          <t>P4</t>
        </is>
      </c>
      <c r="U984" s="3" t="inlineStr">
        <is>
          <t>N JB Cold Soldering</t>
        </is>
      </c>
      <c r="V984" s="3" t="inlineStr">
        <is>
          <t>Soldering</t>
        </is>
      </c>
      <c r="W984" s="3" t="inlineStr">
        <is>
          <t>Repair</t>
        </is>
      </c>
      <c r="X984" s="18" t="n">
        <v>46156</v>
      </c>
      <c r="Y984" s="3">
        <f>X984-A984</f>
        <v/>
      </c>
      <c r="Z984" s="18" t="n">
        <v>46156</v>
      </c>
      <c r="AA984" s="15" t="n"/>
      <c r="AB984" s="15" t="n"/>
    </row>
    <row r="985" hidden="1" s="233">
      <c r="A985" s="6" t="n">
        <v>46107</v>
      </c>
      <c r="B985" s="3" t="n">
        <v>2026</v>
      </c>
      <c r="C985" s="3" t="inlineStr">
        <is>
          <t>Blupine</t>
        </is>
      </c>
      <c r="D985" s="3" t="inlineStr">
        <is>
          <t>Utility and C&amp;I</t>
        </is>
      </c>
      <c r="E985" s="3" t="n"/>
      <c r="F985" s="3" t="inlineStr">
        <is>
          <t>Closed</t>
        </is>
      </c>
      <c r="G985" s="3" t="inlineStr">
        <is>
          <t>Chandrashekar Patidar</t>
        </is>
      </c>
      <c r="H985" s="3" t="n">
        <v>7879764773</v>
      </c>
      <c r="I985" s="11" t="inlineStr">
        <is>
          <t>PE26032601</t>
        </is>
      </c>
      <c r="J985" s="3" t="inlineStr">
        <is>
          <t>Module Diode Failure</t>
        </is>
      </c>
      <c r="K985" s="3" t="inlineStr">
        <is>
          <t>Sadla</t>
        </is>
      </c>
      <c r="L985" s="3" t="inlineStr">
        <is>
          <t>Gujarat</t>
        </is>
      </c>
      <c r="M985" s="9" t="inlineStr">
        <is>
          <t>NS</t>
        </is>
      </c>
      <c r="N985" s="3" t="inlineStr">
        <is>
          <t>Cold Soldering</t>
        </is>
      </c>
      <c r="O985" s="3" t="n">
        <v>570</v>
      </c>
      <c r="P985" s="9" t="inlineStr">
        <is>
          <t>NSMI24060091408</t>
        </is>
      </c>
      <c r="Q985" s="53">
        <f>MID(P985,5,2)</f>
        <v/>
      </c>
      <c r="R985" s="53">
        <f>MID(P985,7,2)</f>
        <v/>
      </c>
      <c r="S985" s="3" t="inlineStr">
        <is>
          <t>G2G</t>
        </is>
      </c>
      <c r="T985" s="3" t="inlineStr">
        <is>
          <t>P4</t>
        </is>
      </c>
      <c r="U985" s="3" t="inlineStr">
        <is>
          <t>N JB Cold Soldering</t>
        </is>
      </c>
      <c r="V985" s="3" t="inlineStr">
        <is>
          <t>Soldering</t>
        </is>
      </c>
      <c r="W985" s="3" t="inlineStr">
        <is>
          <t>Repair</t>
        </is>
      </c>
      <c r="X985" s="18" t="n">
        <v>46156</v>
      </c>
      <c r="Y985" s="3">
        <f>X985-A985</f>
        <v/>
      </c>
      <c r="Z985" s="18" t="n">
        <v>46156</v>
      </c>
      <c r="AA985" s="15" t="n"/>
      <c r="AB985" s="15" t="n"/>
    </row>
    <row r="986" hidden="1" s="233">
      <c r="A986" s="6" t="n">
        <v>46107</v>
      </c>
      <c r="B986" s="3" t="n">
        <v>2026</v>
      </c>
      <c r="C986" s="3" t="inlineStr">
        <is>
          <t>Blupine</t>
        </is>
      </c>
      <c r="D986" s="3" t="inlineStr">
        <is>
          <t>Utility and C&amp;I</t>
        </is>
      </c>
      <c r="E986" s="3" t="n"/>
      <c r="F986" s="3" t="inlineStr">
        <is>
          <t>Closed</t>
        </is>
      </c>
      <c r="G986" s="3" t="inlineStr">
        <is>
          <t>Chandrashekar Patidar</t>
        </is>
      </c>
      <c r="H986" s="3" t="n">
        <v>7879764773</v>
      </c>
      <c r="I986" s="11" t="inlineStr">
        <is>
          <t>PE26032601</t>
        </is>
      </c>
      <c r="J986" s="3" t="inlineStr">
        <is>
          <t>Module Diode Failure</t>
        </is>
      </c>
      <c r="K986" s="3" t="inlineStr">
        <is>
          <t>Sadla</t>
        </is>
      </c>
      <c r="L986" s="3" t="inlineStr">
        <is>
          <t>Gujarat</t>
        </is>
      </c>
      <c r="M986" s="9" t="inlineStr">
        <is>
          <t>PS</t>
        </is>
      </c>
      <c r="N986" s="3" t="inlineStr">
        <is>
          <t>Cold Soldering</t>
        </is>
      </c>
      <c r="O986" s="3" t="n">
        <v>570</v>
      </c>
      <c r="P986" s="9" t="inlineStr">
        <is>
          <t>NSMI24060092587</t>
        </is>
      </c>
      <c r="Q986" s="53">
        <f>MID(P986,5,2)</f>
        <v/>
      </c>
      <c r="R986" s="53">
        <f>MID(P986,7,2)</f>
        <v/>
      </c>
      <c r="S986" s="3" t="inlineStr">
        <is>
          <t>G2G</t>
        </is>
      </c>
      <c r="T986" s="3" t="inlineStr">
        <is>
          <t>P4</t>
        </is>
      </c>
      <c r="U986" s="3" t="inlineStr">
        <is>
          <t>P JB Cold Soldering</t>
        </is>
      </c>
      <c r="V986" s="3" t="inlineStr">
        <is>
          <t>Soldering</t>
        </is>
      </c>
      <c r="W986" s="3" t="inlineStr">
        <is>
          <t>Repair</t>
        </is>
      </c>
      <c r="X986" s="18" t="n">
        <v>46156</v>
      </c>
      <c r="Y986" s="3">
        <f>X986-A986</f>
        <v/>
      </c>
      <c r="Z986" s="18" t="n">
        <v>46156</v>
      </c>
      <c r="AA986" s="15" t="n"/>
      <c r="AB986" s="15" t="n"/>
    </row>
    <row r="987" hidden="1" s="233">
      <c r="A987" s="6" t="n">
        <v>46107</v>
      </c>
      <c r="B987" s="3" t="n">
        <v>2026</v>
      </c>
      <c r="C987" s="3" t="inlineStr">
        <is>
          <t>Blupine</t>
        </is>
      </c>
      <c r="D987" s="3" t="inlineStr">
        <is>
          <t>Utility and C&amp;I</t>
        </is>
      </c>
      <c r="E987" s="3" t="n"/>
      <c r="F987" s="3" t="inlineStr">
        <is>
          <t>Closed</t>
        </is>
      </c>
      <c r="G987" s="3" t="inlineStr">
        <is>
          <t>Chandrashekar Patidar</t>
        </is>
      </c>
      <c r="H987" s="3" t="n">
        <v>7879764773</v>
      </c>
      <c r="I987" s="11" t="inlineStr">
        <is>
          <t>PE26032601</t>
        </is>
      </c>
      <c r="J987" s="3" t="inlineStr">
        <is>
          <t>Module Diode Failure</t>
        </is>
      </c>
      <c r="K987" s="3" t="inlineStr">
        <is>
          <t>Sadla</t>
        </is>
      </c>
      <c r="L987" s="3" t="inlineStr">
        <is>
          <t>Gujarat</t>
        </is>
      </c>
      <c r="M987" s="9" t="inlineStr">
        <is>
          <t>NS</t>
        </is>
      </c>
      <c r="N987" s="3" t="inlineStr">
        <is>
          <t>Cold Soldering</t>
        </is>
      </c>
      <c r="O987" s="3" t="n">
        <v>570</v>
      </c>
      <c r="P987" s="9" t="inlineStr">
        <is>
          <t>NSMI24060092667</t>
        </is>
      </c>
      <c r="Q987" s="53">
        <f>MID(P987,5,2)</f>
        <v/>
      </c>
      <c r="R987" s="53">
        <f>MID(P987,7,2)</f>
        <v/>
      </c>
      <c r="S987" s="3" t="inlineStr">
        <is>
          <t>G2G</t>
        </is>
      </c>
      <c r="T987" s="3" t="inlineStr">
        <is>
          <t>P4</t>
        </is>
      </c>
      <c r="U987" s="3" t="inlineStr">
        <is>
          <t>N JB Cold Soldering</t>
        </is>
      </c>
      <c r="V987" s="3" t="inlineStr">
        <is>
          <t>Soldering</t>
        </is>
      </c>
      <c r="W987" s="3" t="inlineStr">
        <is>
          <t>Repair</t>
        </is>
      </c>
      <c r="X987" s="18" t="n">
        <v>46156</v>
      </c>
      <c r="Y987" s="3">
        <f>X987-A987</f>
        <v/>
      </c>
      <c r="Z987" s="18" t="n">
        <v>46156</v>
      </c>
      <c r="AA987" s="15" t="n"/>
      <c r="AB987" s="15" t="n"/>
    </row>
    <row r="988" hidden="1" s="233">
      <c r="A988" s="6" t="n">
        <v>46107</v>
      </c>
      <c r="B988" s="3" t="n">
        <v>2026</v>
      </c>
      <c r="C988" s="3" t="inlineStr">
        <is>
          <t>Blupine</t>
        </is>
      </c>
      <c r="D988" s="3" t="inlineStr">
        <is>
          <t>Utility and C&amp;I</t>
        </is>
      </c>
      <c r="E988" s="3" t="n"/>
      <c r="F988" s="3" t="inlineStr">
        <is>
          <t>Closed</t>
        </is>
      </c>
      <c r="G988" s="3" t="inlineStr">
        <is>
          <t>Chandrashekar Patidar</t>
        </is>
      </c>
      <c r="H988" s="3" t="n">
        <v>7879764773</v>
      </c>
      <c r="I988" s="11" t="inlineStr">
        <is>
          <t>PE26032601</t>
        </is>
      </c>
      <c r="J988" s="3" t="inlineStr">
        <is>
          <t>Module Diode Failure</t>
        </is>
      </c>
      <c r="K988" s="3" t="inlineStr">
        <is>
          <t>Sadla</t>
        </is>
      </c>
      <c r="L988" s="3" t="inlineStr">
        <is>
          <t>Gujarat</t>
        </is>
      </c>
      <c r="M988" s="9" t="inlineStr">
        <is>
          <t>PS</t>
        </is>
      </c>
      <c r="N988" s="3" t="inlineStr">
        <is>
          <t>Cold Soldering</t>
        </is>
      </c>
      <c r="O988" s="3" t="n">
        <v>570</v>
      </c>
      <c r="P988" s="9" t="inlineStr">
        <is>
          <t>NSMI24060084518</t>
        </is>
      </c>
      <c r="Q988" s="53">
        <f>MID(P988,5,2)</f>
        <v/>
      </c>
      <c r="R988" s="53">
        <f>MID(P988,7,2)</f>
        <v/>
      </c>
      <c r="S988" s="3" t="inlineStr">
        <is>
          <t>G2G</t>
        </is>
      </c>
      <c r="T988" s="3" t="inlineStr">
        <is>
          <t>P4</t>
        </is>
      </c>
      <c r="U988" s="3" t="inlineStr">
        <is>
          <t>P JB Cold Soldering</t>
        </is>
      </c>
      <c r="V988" s="3" t="inlineStr">
        <is>
          <t>Soldering</t>
        </is>
      </c>
      <c r="W988" s="3" t="inlineStr">
        <is>
          <t>Repair</t>
        </is>
      </c>
      <c r="X988" s="18" t="n">
        <v>46156</v>
      </c>
      <c r="Y988" s="3">
        <f>X988-A988</f>
        <v/>
      </c>
      <c r="Z988" s="18" t="n">
        <v>46156</v>
      </c>
      <c r="AA988" s="15" t="n"/>
      <c r="AB988" s="15" t="n"/>
    </row>
    <row r="989" hidden="1" s="233">
      <c r="A989" s="6" t="n">
        <v>46107</v>
      </c>
      <c r="B989" s="3" t="n">
        <v>2026</v>
      </c>
      <c r="C989" s="3" t="inlineStr">
        <is>
          <t>Blupine</t>
        </is>
      </c>
      <c r="D989" s="3" t="inlineStr">
        <is>
          <t>Utility and C&amp;I</t>
        </is>
      </c>
      <c r="E989" s="3" t="n"/>
      <c r="F989" s="3" t="inlineStr">
        <is>
          <t>Closed</t>
        </is>
      </c>
      <c r="G989" s="3" t="inlineStr">
        <is>
          <t>Chandrashekar Patidar</t>
        </is>
      </c>
      <c r="H989" s="3" t="n">
        <v>7879764773</v>
      </c>
      <c r="I989" s="11" t="inlineStr">
        <is>
          <t>PE26032601</t>
        </is>
      </c>
      <c r="J989" s="3" t="inlineStr">
        <is>
          <t>Module Diode Failure</t>
        </is>
      </c>
      <c r="K989" s="3" t="inlineStr">
        <is>
          <t>Sadla</t>
        </is>
      </c>
      <c r="L989" s="3" t="inlineStr">
        <is>
          <t>Gujarat</t>
        </is>
      </c>
      <c r="M989" s="9" t="inlineStr">
        <is>
          <t>PS</t>
        </is>
      </c>
      <c r="N989" s="3" t="inlineStr">
        <is>
          <t>Cold Soldering</t>
        </is>
      </c>
      <c r="O989" s="3" t="n">
        <v>570</v>
      </c>
      <c r="P989" s="9" t="inlineStr">
        <is>
          <t>NSMI24050051554</t>
        </is>
      </c>
      <c r="Q989" s="53">
        <f>MID(P989,5,2)</f>
        <v/>
      </c>
      <c r="R989" s="53">
        <f>MID(P989,7,2)</f>
        <v/>
      </c>
      <c r="S989" s="3" t="inlineStr">
        <is>
          <t>G2G</t>
        </is>
      </c>
      <c r="T989" s="3" t="inlineStr">
        <is>
          <t>P4</t>
        </is>
      </c>
      <c r="U989" s="3" t="inlineStr">
        <is>
          <t>P JB Cold Soldering</t>
        </is>
      </c>
      <c r="V989" s="3" t="inlineStr">
        <is>
          <t>Soldering</t>
        </is>
      </c>
      <c r="W989" s="3" t="inlineStr">
        <is>
          <t>Repair</t>
        </is>
      </c>
      <c r="X989" s="18" t="n">
        <v>46156</v>
      </c>
      <c r="Y989" s="3">
        <f>X989-A989</f>
        <v/>
      </c>
      <c r="Z989" s="18" t="n">
        <v>46156</v>
      </c>
      <c r="AA989" s="15" t="n"/>
      <c r="AB989" s="15" t="n"/>
    </row>
    <row r="990" hidden="1" s="233">
      <c r="A990" s="6" t="n">
        <v>46107</v>
      </c>
      <c r="B990" s="3" t="n">
        <v>2026</v>
      </c>
      <c r="C990" s="3" t="inlineStr">
        <is>
          <t>Blupine</t>
        </is>
      </c>
      <c r="D990" s="3" t="inlineStr">
        <is>
          <t>Utility and C&amp;I</t>
        </is>
      </c>
      <c r="E990" s="3" t="n"/>
      <c r="F990" s="3" t="inlineStr">
        <is>
          <t>Closed</t>
        </is>
      </c>
      <c r="G990" s="3" t="inlineStr">
        <is>
          <t>Chandrashekar Patidar</t>
        </is>
      </c>
      <c r="H990" s="3" t="n">
        <v>7879764773</v>
      </c>
      <c r="I990" s="11" t="inlineStr">
        <is>
          <t>PE26032601</t>
        </is>
      </c>
      <c r="J990" s="3" t="inlineStr">
        <is>
          <t>Module Diode Failure</t>
        </is>
      </c>
      <c r="K990" s="3" t="inlineStr">
        <is>
          <t>Sadla</t>
        </is>
      </c>
      <c r="L990" s="3" t="inlineStr">
        <is>
          <t>Gujarat</t>
        </is>
      </c>
      <c r="M990" s="9" t="inlineStr">
        <is>
          <t>PS</t>
        </is>
      </c>
      <c r="N990" s="3" t="inlineStr">
        <is>
          <t>Cold Soldering</t>
        </is>
      </c>
      <c r="O990" s="3" t="n">
        <v>570</v>
      </c>
      <c r="P990" s="9" t="inlineStr">
        <is>
          <t>NSMI24050067229</t>
        </is>
      </c>
      <c r="Q990" s="53">
        <f>MID(P990,5,2)</f>
        <v/>
      </c>
      <c r="R990" s="53">
        <f>MID(P990,7,2)</f>
        <v/>
      </c>
      <c r="S990" s="3" t="inlineStr">
        <is>
          <t>G2G</t>
        </is>
      </c>
      <c r="T990" s="3" t="inlineStr">
        <is>
          <t>P4</t>
        </is>
      </c>
      <c r="U990" s="3" t="inlineStr">
        <is>
          <t>P JB Cold Soldering</t>
        </is>
      </c>
      <c r="V990" s="3" t="inlineStr">
        <is>
          <t>Soldering</t>
        </is>
      </c>
      <c r="W990" s="3" t="inlineStr">
        <is>
          <t>Repair</t>
        </is>
      </c>
      <c r="X990" s="18" t="n">
        <v>46156</v>
      </c>
      <c r="Y990" s="3">
        <f>X990-A990</f>
        <v/>
      </c>
      <c r="Z990" s="18" t="n">
        <v>46156</v>
      </c>
      <c r="AA990" s="15" t="n"/>
      <c r="AB990" s="15" t="n"/>
    </row>
    <row r="991" hidden="1" s="233">
      <c r="A991" s="6" t="n">
        <v>46107</v>
      </c>
      <c r="B991" s="3" t="n">
        <v>2026</v>
      </c>
      <c r="C991" s="3" t="inlineStr">
        <is>
          <t>Blupine</t>
        </is>
      </c>
      <c r="D991" s="3" t="inlineStr">
        <is>
          <t>Utility and C&amp;I</t>
        </is>
      </c>
      <c r="E991" s="3" t="n"/>
      <c r="F991" s="3" t="inlineStr">
        <is>
          <t>Closed</t>
        </is>
      </c>
      <c r="G991" s="3" t="inlineStr">
        <is>
          <t>Chandrashekar Patidar</t>
        </is>
      </c>
      <c r="H991" s="3" t="n">
        <v>7879764773</v>
      </c>
      <c r="I991" s="11" t="inlineStr">
        <is>
          <t>PE26032601</t>
        </is>
      </c>
      <c r="J991" s="3" t="inlineStr">
        <is>
          <t>Module Diode Failure</t>
        </is>
      </c>
      <c r="K991" s="3" t="inlineStr">
        <is>
          <t>Sadla</t>
        </is>
      </c>
      <c r="L991" s="3" t="inlineStr">
        <is>
          <t>Gujarat</t>
        </is>
      </c>
      <c r="M991" s="9" t="inlineStr">
        <is>
          <t>PS</t>
        </is>
      </c>
      <c r="N991" s="3" t="inlineStr">
        <is>
          <t>Cold Soldering</t>
        </is>
      </c>
      <c r="O991" s="3" t="n">
        <v>570</v>
      </c>
      <c r="P991" s="9" t="inlineStr">
        <is>
          <t>NSMI24050067319</t>
        </is>
      </c>
      <c r="Q991" s="53">
        <f>MID(P991,5,2)</f>
        <v/>
      </c>
      <c r="R991" s="53">
        <f>MID(P991,7,2)</f>
        <v/>
      </c>
      <c r="S991" s="3" t="inlineStr">
        <is>
          <t>G2G</t>
        </is>
      </c>
      <c r="T991" s="3" t="inlineStr">
        <is>
          <t>P4</t>
        </is>
      </c>
      <c r="U991" s="3" t="inlineStr">
        <is>
          <t>P JB Cold Soldering</t>
        </is>
      </c>
      <c r="V991" s="3" t="inlineStr">
        <is>
          <t>Soldering</t>
        </is>
      </c>
      <c r="W991" s="3" t="inlineStr">
        <is>
          <t>Repair</t>
        </is>
      </c>
      <c r="X991" s="18" t="n">
        <v>46156</v>
      </c>
      <c r="Y991" s="3">
        <f>X991-A991</f>
        <v/>
      </c>
      <c r="Z991" s="18" t="n">
        <v>46156</v>
      </c>
      <c r="AA991" s="15" t="n"/>
      <c r="AB991" s="15" t="n"/>
    </row>
    <row r="992" hidden="1" s="233">
      <c r="A992" s="6" t="n">
        <v>46107</v>
      </c>
      <c r="B992" s="3" t="n">
        <v>2026</v>
      </c>
      <c r="C992" s="3" t="inlineStr">
        <is>
          <t>Blupine</t>
        </is>
      </c>
      <c r="D992" s="3" t="inlineStr">
        <is>
          <t>Utility and C&amp;I</t>
        </is>
      </c>
      <c r="E992" s="3" t="n"/>
      <c r="F992" s="3" t="inlineStr">
        <is>
          <t>Closed</t>
        </is>
      </c>
      <c r="G992" s="3" t="inlineStr">
        <is>
          <t>Chandrashekar Patidar</t>
        </is>
      </c>
      <c r="H992" s="3" t="n">
        <v>7879764773</v>
      </c>
      <c r="I992" s="11" t="inlineStr">
        <is>
          <t>PE26032601</t>
        </is>
      </c>
      <c r="J992" s="3" t="inlineStr">
        <is>
          <t>Module Diode Failure</t>
        </is>
      </c>
      <c r="K992" s="3" t="inlineStr">
        <is>
          <t>Sadla</t>
        </is>
      </c>
      <c r="L992" s="3" t="inlineStr">
        <is>
          <t>Gujarat</t>
        </is>
      </c>
      <c r="M992" s="9" t="inlineStr">
        <is>
          <t>Ok</t>
        </is>
      </c>
      <c r="N992" s="3" t="inlineStr">
        <is>
          <t>No Issue</t>
        </is>
      </c>
      <c r="O992" s="3" t="n">
        <v>570</v>
      </c>
      <c r="P992" s="9" t="inlineStr">
        <is>
          <t>NSMI24060093888</t>
        </is>
      </c>
      <c r="Q992" s="53">
        <f>MID(P992,5,2)</f>
        <v/>
      </c>
      <c r="R992" s="53">
        <f>MID(P992,7,2)</f>
        <v/>
      </c>
      <c r="S992" s="3" t="inlineStr">
        <is>
          <t>G2G</t>
        </is>
      </c>
      <c r="T992" s="3" t="inlineStr">
        <is>
          <t>P4</t>
        </is>
      </c>
      <c r="U992" s="19" t="inlineStr">
        <is>
          <t>No Issue Found</t>
        </is>
      </c>
      <c r="V992" s="19" t="inlineStr">
        <is>
          <t>Found OK</t>
        </is>
      </c>
      <c r="W992" s="3" t="inlineStr">
        <is>
          <t>Repair</t>
        </is>
      </c>
      <c r="X992" s="18" t="n">
        <v>46156</v>
      </c>
      <c r="Y992" s="3">
        <f>X992-A992</f>
        <v/>
      </c>
      <c r="Z992" s="18" t="n">
        <v>46156</v>
      </c>
      <c r="AA992" s="15" t="n"/>
      <c r="AB992" s="15" t="n"/>
    </row>
    <row r="993" hidden="1" s="233">
      <c r="A993" s="6" t="n">
        <v>46107</v>
      </c>
      <c r="B993" s="3" t="n">
        <v>2026</v>
      </c>
      <c r="C993" s="3" t="inlineStr">
        <is>
          <t>Blupine</t>
        </is>
      </c>
      <c r="D993" s="3" t="inlineStr">
        <is>
          <t>Utility and C&amp;I</t>
        </is>
      </c>
      <c r="E993" s="3" t="n"/>
      <c r="F993" s="3" t="inlineStr">
        <is>
          <t>Closed</t>
        </is>
      </c>
      <c r="G993" s="3" t="inlineStr">
        <is>
          <t>Chandrashekar Patidar</t>
        </is>
      </c>
      <c r="H993" s="3" t="n">
        <v>7879764773</v>
      </c>
      <c r="I993" s="11" t="inlineStr">
        <is>
          <t>PE26032601</t>
        </is>
      </c>
      <c r="J993" s="3" t="inlineStr">
        <is>
          <t>Module Diode Failure</t>
        </is>
      </c>
      <c r="K993" s="3" t="inlineStr">
        <is>
          <t>Sadla</t>
        </is>
      </c>
      <c r="L993" s="3" t="inlineStr">
        <is>
          <t>Gujarat</t>
        </is>
      </c>
      <c r="M993" s="9" t="inlineStr">
        <is>
          <t>NS</t>
        </is>
      </c>
      <c r="N993" s="3" t="inlineStr">
        <is>
          <t>Cold Soldering</t>
        </is>
      </c>
      <c r="O993" s="3" t="n">
        <v>570</v>
      </c>
      <c r="P993" s="9" t="inlineStr">
        <is>
          <t>NSMI24060078797</t>
        </is>
      </c>
      <c r="Q993" s="53">
        <f>MID(P993,5,2)</f>
        <v/>
      </c>
      <c r="R993" s="53">
        <f>MID(P993,7,2)</f>
        <v/>
      </c>
      <c r="S993" s="3" t="inlineStr">
        <is>
          <t>G2G</t>
        </is>
      </c>
      <c r="T993" s="3" t="inlineStr">
        <is>
          <t>P4</t>
        </is>
      </c>
      <c r="U993" s="3" t="inlineStr">
        <is>
          <t>N JB Cold Soldering</t>
        </is>
      </c>
      <c r="V993" s="3" t="inlineStr">
        <is>
          <t>Soldering</t>
        </is>
      </c>
      <c r="W993" s="3" t="inlineStr">
        <is>
          <t>Repair</t>
        </is>
      </c>
      <c r="X993" s="18" t="n">
        <v>46156</v>
      </c>
      <c r="Y993" s="3">
        <f>X993-A993</f>
        <v/>
      </c>
      <c r="Z993" s="18" t="n">
        <v>46156</v>
      </c>
      <c r="AA993" s="15" t="n"/>
      <c r="AB993" s="15" t="n"/>
    </row>
    <row r="994" hidden="1" s="233">
      <c r="A994" s="6" t="n">
        <v>46107</v>
      </c>
      <c r="B994" s="3" t="n">
        <v>2026</v>
      </c>
      <c r="C994" s="3" t="inlineStr">
        <is>
          <t>Blupine</t>
        </is>
      </c>
      <c r="D994" s="3" t="inlineStr">
        <is>
          <t>Utility and C&amp;I</t>
        </is>
      </c>
      <c r="E994" s="3" t="n"/>
      <c r="F994" s="3" t="inlineStr">
        <is>
          <t>Closed</t>
        </is>
      </c>
      <c r="G994" s="3" t="inlineStr">
        <is>
          <t>Chandrashekar Patidar</t>
        </is>
      </c>
      <c r="H994" s="3" t="n">
        <v>7879764773</v>
      </c>
      <c r="I994" s="11" t="inlineStr">
        <is>
          <t>PE26032601</t>
        </is>
      </c>
      <c r="J994" s="3" t="inlineStr">
        <is>
          <t>Module Diode Failure</t>
        </is>
      </c>
      <c r="K994" s="3" t="inlineStr">
        <is>
          <t>Sadla</t>
        </is>
      </c>
      <c r="L994" s="3" t="inlineStr">
        <is>
          <t>Gujarat</t>
        </is>
      </c>
      <c r="M994" s="9" t="inlineStr">
        <is>
          <t>PS</t>
        </is>
      </c>
      <c r="N994" s="3" t="inlineStr">
        <is>
          <t>Cold Soldering</t>
        </is>
      </c>
      <c r="O994" s="3" t="n">
        <v>570</v>
      </c>
      <c r="P994" s="9" t="inlineStr">
        <is>
          <t>NSMI24060078817</t>
        </is>
      </c>
      <c r="Q994" s="53">
        <f>MID(P994,5,2)</f>
        <v/>
      </c>
      <c r="R994" s="53">
        <f>MID(P994,7,2)</f>
        <v/>
      </c>
      <c r="S994" s="3" t="inlineStr">
        <is>
          <t>G2G</t>
        </is>
      </c>
      <c r="T994" s="3" t="inlineStr">
        <is>
          <t>P4</t>
        </is>
      </c>
      <c r="U994" s="3" t="inlineStr">
        <is>
          <t>P JB Cold Soldering</t>
        </is>
      </c>
      <c r="V994" s="3" t="inlineStr">
        <is>
          <t>Soldering</t>
        </is>
      </c>
      <c r="W994" s="3" t="inlineStr">
        <is>
          <t>Repair</t>
        </is>
      </c>
      <c r="X994" s="18" t="n">
        <v>46156</v>
      </c>
      <c r="Y994" s="3">
        <f>X994-A994</f>
        <v/>
      </c>
      <c r="Z994" s="18" t="n">
        <v>46156</v>
      </c>
      <c r="AA994" s="15" t="n"/>
      <c r="AB994" s="15" t="n"/>
    </row>
    <row r="995" hidden="1" s="233">
      <c r="A995" s="6" t="n">
        <v>46107</v>
      </c>
      <c r="B995" s="3" t="n">
        <v>2026</v>
      </c>
      <c r="C995" s="3" t="inlineStr">
        <is>
          <t>Blupine</t>
        </is>
      </c>
      <c r="D995" s="3" t="inlineStr">
        <is>
          <t>Utility and C&amp;I</t>
        </is>
      </c>
      <c r="E995" s="3" t="n"/>
      <c r="F995" s="3" t="inlineStr">
        <is>
          <t>Closed</t>
        </is>
      </c>
      <c r="G995" s="3" t="inlineStr">
        <is>
          <t>Chandrashekar Patidar</t>
        </is>
      </c>
      <c r="H995" s="3" t="n">
        <v>7879764773</v>
      </c>
      <c r="I995" s="11" t="inlineStr">
        <is>
          <t>PE26032601</t>
        </is>
      </c>
      <c r="J995" s="3" t="inlineStr">
        <is>
          <t>Module Diode Failure</t>
        </is>
      </c>
      <c r="K995" s="3" t="inlineStr">
        <is>
          <t>Sadla</t>
        </is>
      </c>
      <c r="L995" s="3" t="inlineStr">
        <is>
          <t>Gujarat</t>
        </is>
      </c>
      <c r="M995" s="9" t="inlineStr">
        <is>
          <t>PS</t>
        </is>
      </c>
      <c r="N995" s="3" t="inlineStr">
        <is>
          <t>Cold Soldering</t>
        </is>
      </c>
      <c r="O995" s="3" t="n">
        <v>570</v>
      </c>
      <c r="P995" s="9" t="inlineStr">
        <is>
          <t>NSMI24060110892</t>
        </is>
      </c>
      <c r="Q995" s="53">
        <f>MID(P995,5,2)</f>
        <v/>
      </c>
      <c r="R995" s="53">
        <f>MID(P995,7,2)</f>
        <v/>
      </c>
      <c r="S995" s="3" t="inlineStr">
        <is>
          <t>G2G</t>
        </is>
      </c>
      <c r="T995" s="3" t="inlineStr">
        <is>
          <t>P4</t>
        </is>
      </c>
      <c r="U995" s="3" t="inlineStr">
        <is>
          <t>P JB Cold Soldering</t>
        </is>
      </c>
      <c r="V995" s="3" t="inlineStr">
        <is>
          <t>Soldering</t>
        </is>
      </c>
      <c r="W995" s="3" t="inlineStr">
        <is>
          <t>Repair</t>
        </is>
      </c>
      <c r="X995" s="18" t="n">
        <v>46156</v>
      </c>
      <c r="Y995" s="3">
        <f>X995-A995</f>
        <v/>
      </c>
      <c r="Z995" s="18" t="n">
        <v>46156</v>
      </c>
      <c r="AA995" s="15" t="n"/>
      <c r="AB995" s="15" t="n"/>
    </row>
    <row r="996" hidden="1" s="233">
      <c r="A996" s="6" t="n">
        <v>46107</v>
      </c>
      <c r="B996" s="3" t="n">
        <v>2026</v>
      </c>
      <c r="C996" s="3" t="inlineStr">
        <is>
          <t>Blupine</t>
        </is>
      </c>
      <c r="D996" s="3" t="inlineStr">
        <is>
          <t>Utility and C&amp;I</t>
        </is>
      </c>
      <c r="E996" s="3" t="n"/>
      <c r="F996" s="3" t="inlineStr">
        <is>
          <t>Closed</t>
        </is>
      </c>
      <c r="G996" s="3" t="inlineStr">
        <is>
          <t>Chandrashekar Patidar</t>
        </is>
      </c>
      <c r="H996" s="3" t="n">
        <v>7879764773</v>
      </c>
      <c r="I996" s="11" t="inlineStr">
        <is>
          <t>PE26032601</t>
        </is>
      </c>
      <c r="J996" s="3" t="inlineStr">
        <is>
          <t>Module Diode Failure</t>
        </is>
      </c>
      <c r="K996" s="3" t="inlineStr">
        <is>
          <t>Sadla</t>
        </is>
      </c>
      <c r="L996" s="3" t="inlineStr">
        <is>
          <t>Gujarat</t>
        </is>
      </c>
      <c r="M996" s="9" t="inlineStr">
        <is>
          <t>NS</t>
        </is>
      </c>
      <c r="N996" s="3" t="inlineStr">
        <is>
          <t>Cold Soldering</t>
        </is>
      </c>
      <c r="O996" s="3" t="n">
        <v>570</v>
      </c>
      <c r="P996" s="9" t="inlineStr">
        <is>
          <t>NSMI24060122514</t>
        </is>
      </c>
      <c r="Q996" s="53">
        <f>MID(P996,5,2)</f>
        <v/>
      </c>
      <c r="R996" s="53">
        <f>MID(P996,7,2)</f>
        <v/>
      </c>
      <c r="S996" s="3" t="inlineStr">
        <is>
          <t>G2G</t>
        </is>
      </c>
      <c r="T996" s="3" t="inlineStr">
        <is>
          <t>P4</t>
        </is>
      </c>
      <c r="U996" s="3" t="inlineStr">
        <is>
          <t>N JB Cold Soldering</t>
        </is>
      </c>
      <c r="V996" s="3" t="inlineStr">
        <is>
          <t>Soldering</t>
        </is>
      </c>
      <c r="W996" s="3" t="inlineStr">
        <is>
          <t>Repair</t>
        </is>
      </c>
      <c r="X996" s="18" t="n">
        <v>46156</v>
      </c>
      <c r="Y996" s="3">
        <f>X996-A996</f>
        <v/>
      </c>
      <c r="Z996" s="18" t="n">
        <v>46156</v>
      </c>
      <c r="AA996" s="15" t="n"/>
      <c r="AB996" s="15" t="n"/>
    </row>
    <row r="997" hidden="1" s="233">
      <c r="A997" s="6" t="n">
        <v>46107</v>
      </c>
      <c r="B997" s="3" t="n">
        <v>2026</v>
      </c>
      <c r="C997" s="3" t="inlineStr">
        <is>
          <t>Blupine</t>
        </is>
      </c>
      <c r="D997" s="3" t="inlineStr">
        <is>
          <t>Utility and C&amp;I</t>
        </is>
      </c>
      <c r="E997" s="3" t="n"/>
      <c r="F997" s="3" t="inlineStr">
        <is>
          <t>Closed</t>
        </is>
      </c>
      <c r="G997" s="3" t="inlineStr">
        <is>
          <t>Chandrashekar Patidar</t>
        </is>
      </c>
      <c r="H997" s="3" t="n">
        <v>7879764773</v>
      </c>
      <c r="I997" s="11" t="inlineStr">
        <is>
          <t>PE26032601</t>
        </is>
      </c>
      <c r="J997" s="3" t="inlineStr">
        <is>
          <t>Module Diode Failure</t>
        </is>
      </c>
      <c r="K997" s="3" t="inlineStr">
        <is>
          <t>Sadla</t>
        </is>
      </c>
      <c r="L997" s="3" t="inlineStr">
        <is>
          <t>Gujarat</t>
        </is>
      </c>
      <c r="M997" s="9" t="inlineStr">
        <is>
          <t>NS</t>
        </is>
      </c>
      <c r="N997" s="3" t="inlineStr">
        <is>
          <t>Cold Soldering</t>
        </is>
      </c>
      <c r="O997" s="3" t="n">
        <v>570</v>
      </c>
      <c r="P997" s="9" t="inlineStr">
        <is>
          <t>NSMI24060125591</t>
        </is>
      </c>
      <c r="Q997" s="53">
        <f>MID(P997,5,2)</f>
        <v/>
      </c>
      <c r="R997" s="53">
        <f>MID(P997,7,2)</f>
        <v/>
      </c>
      <c r="S997" s="3" t="inlineStr">
        <is>
          <t>G2G</t>
        </is>
      </c>
      <c r="T997" s="3" t="inlineStr">
        <is>
          <t>P4</t>
        </is>
      </c>
      <c r="U997" s="3" t="inlineStr">
        <is>
          <t>N JB Cold Soldering</t>
        </is>
      </c>
      <c r="V997" s="3" t="inlineStr">
        <is>
          <t>Soldering</t>
        </is>
      </c>
      <c r="W997" s="3" t="inlineStr">
        <is>
          <t>Repair</t>
        </is>
      </c>
      <c r="X997" s="18" t="n">
        <v>46156</v>
      </c>
      <c r="Y997" s="3">
        <f>X997-A997</f>
        <v/>
      </c>
      <c r="Z997" s="18" t="n">
        <v>46156</v>
      </c>
      <c r="AA997" s="15" t="n"/>
      <c r="AB997" s="15" t="n"/>
    </row>
    <row r="998" hidden="1" s="233">
      <c r="A998" s="6" t="n">
        <v>46107</v>
      </c>
      <c r="B998" s="3" t="n">
        <v>2026</v>
      </c>
      <c r="C998" s="3" t="inlineStr">
        <is>
          <t>Blupine</t>
        </is>
      </c>
      <c r="D998" s="3" t="inlineStr">
        <is>
          <t>Utility and C&amp;I</t>
        </is>
      </c>
      <c r="E998" s="3" t="n"/>
      <c r="F998" s="3" t="inlineStr">
        <is>
          <t>Closed</t>
        </is>
      </c>
      <c r="G998" s="3" t="inlineStr">
        <is>
          <t>Chandrashekar Patidar</t>
        </is>
      </c>
      <c r="H998" s="3" t="n">
        <v>7879764773</v>
      </c>
      <c r="I998" s="11" t="inlineStr">
        <is>
          <t>PE26032601</t>
        </is>
      </c>
      <c r="J998" s="3" t="inlineStr">
        <is>
          <t>Module Diode Failure</t>
        </is>
      </c>
      <c r="K998" s="3" t="inlineStr">
        <is>
          <t>Sadla</t>
        </is>
      </c>
      <c r="L998" s="3" t="inlineStr">
        <is>
          <t>Gujarat</t>
        </is>
      </c>
      <c r="M998" s="9" t="inlineStr">
        <is>
          <t>NS</t>
        </is>
      </c>
      <c r="N998" s="3" t="inlineStr">
        <is>
          <t>Cold Soldering</t>
        </is>
      </c>
      <c r="O998" s="3" t="n">
        <v>570</v>
      </c>
      <c r="P998" s="9" t="inlineStr">
        <is>
          <t>NSMI24060160863</t>
        </is>
      </c>
      <c r="Q998" s="53">
        <f>MID(P998,5,2)</f>
        <v/>
      </c>
      <c r="R998" s="53">
        <f>MID(P998,7,2)</f>
        <v/>
      </c>
      <c r="S998" s="3" t="inlineStr">
        <is>
          <t>G2G</t>
        </is>
      </c>
      <c r="T998" s="3" t="inlineStr">
        <is>
          <t>P4</t>
        </is>
      </c>
      <c r="U998" s="3" t="inlineStr">
        <is>
          <t>N JB Cold Soldering</t>
        </is>
      </c>
      <c r="V998" s="3" t="inlineStr">
        <is>
          <t>Soldering</t>
        </is>
      </c>
      <c r="W998" s="3" t="inlineStr">
        <is>
          <t>Repair</t>
        </is>
      </c>
      <c r="X998" s="18" t="n">
        <v>46156</v>
      </c>
      <c r="Y998" s="3">
        <f>X998-A998</f>
        <v/>
      </c>
      <c r="Z998" s="18" t="n">
        <v>46156</v>
      </c>
      <c r="AA998" s="15" t="n"/>
      <c r="AB998" s="15" t="n"/>
    </row>
    <row r="999" hidden="1" s="233">
      <c r="A999" s="6" t="n">
        <v>46107</v>
      </c>
      <c r="B999" s="3" t="n">
        <v>2026</v>
      </c>
      <c r="C999" s="3" t="inlineStr">
        <is>
          <t>Blupine</t>
        </is>
      </c>
      <c r="D999" s="3" t="inlineStr">
        <is>
          <t>Utility and C&amp;I</t>
        </is>
      </c>
      <c r="E999" s="3" t="n"/>
      <c r="F999" s="3" t="inlineStr">
        <is>
          <t>Closed</t>
        </is>
      </c>
      <c r="G999" s="3" t="inlineStr">
        <is>
          <t>Chandrashekar Patidar</t>
        </is>
      </c>
      <c r="H999" s="3" t="n">
        <v>7879764773</v>
      </c>
      <c r="I999" s="11" t="inlineStr">
        <is>
          <t>PE26032601</t>
        </is>
      </c>
      <c r="J999" s="3" t="inlineStr">
        <is>
          <t>Module Diode Failure</t>
        </is>
      </c>
      <c r="K999" s="3" t="inlineStr">
        <is>
          <t>Sadla</t>
        </is>
      </c>
      <c r="L999" s="3" t="inlineStr">
        <is>
          <t>Gujarat</t>
        </is>
      </c>
      <c r="M999" s="9" t="inlineStr">
        <is>
          <t>PS</t>
        </is>
      </c>
      <c r="N999" s="3" t="inlineStr">
        <is>
          <t>Cold Soldering</t>
        </is>
      </c>
      <c r="O999" s="3" t="n">
        <v>570</v>
      </c>
      <c r="P999" s="9" t="inlineStr">
        <is>
          <t>NSMI24060146916</t>
        </is>
      </c>
      <c r="Q999" s="53">
        <f>MID(P999,5,2)</f>
        <v/>
      </c>
      <c r="R999" s="53">
        <f>MID(P999,7,2)</f>
        <v/>
      </c>
      <c r="S999" s="3" t="inlineStr">
        <is>
          <t>G2G</t>
        </is>
      </c>
      <c r="T999" s="3" t="inlineStr">
        <is>
          <t>P4</t>
        </is>
      </c>
      <c r="U999" s="3" t="inlineStr">
        <is>
          <t>P JB Cold Soldering</t>
        </is>
      </c>
      <c r="V999" s="3" t="inlineStr">
        <is>
          <t>Soldering</t>
        </is>
      </c>
      <c r="W999" s="3" t="inlineStr">
        <is>
          <t>Repair</t>
        </is>
      </c>
      <c r="X999" s="18" t="n">
        <v>46156</v>
      </c>
      <c r="Y999" s="3">
        <f>X999-A999</f>
        <v/>
      </c>
      <c r="Z999" s="18" t="n">
        <v>46156</v>
      </c>
      <c r="AA999" s="15" t="n"/>
      <c r="AB999" s="15" t="n"/>
    </row>
    <row r="1000" hidden="1" s="233">
      <c r="A1000" s="6" t="n">
        <v>46107</v>
      </c>
      <c r="B1000" s="3" t="n">
        <v>2026</v>
      </c>
      <c r="C1000" s="3" t="inlineStr">
        <is>
          <t>Blupine</t>
        </is>
      </c>
      <c r="D1000" s="3" t="inlineStr">
        <is>
          <t>Utility and C&amp;I</t>
        </is>
      </c>
      <c r="E1000" s="3" t="n"/>
      <c r="F1000" s="3" t="inlineStr">
        <is>
          <t>Closed</t>
        </is>
      </c>
      <c r="G1000" s="3" t="inlineStr">
        <is>
          <t>Chandrashekar Patidar</t>
        </is>
      </c>
      <c r="H1000" s="3" t="n">
        <v>7879764773</v>
      </c>
      <c r="I1000" s="11" t="inlineStr">
        <is>
          <t>PE26032601</t>
        </is>
      </c>
      <c r="J1000" s="3" t="inlineStr">
        <is>
          <t>Module Diode Failure</t>
        </is>
      </c>
      <c r="K1000" s="3" t="inlineStr">
        <is>
          <t>Sadla</t>
        </is>
      </c>
      <c r="L1000" s="3" t="inlineStr">
        <is>
          <t>Gujarat</t>
        </is>
      </c>
      <c r="M1000" s="9" t="inlineStr">
        <is>
          <t>NS</t>
        </is>
      </c>
      <c r="N1000" s="3" t="inlineStr">
        <is>
          <t>Cold Soldering</t>
        </is>
      </c>
      <c r="O1000" s="3" t="n">
        <v>570</v>
      </c>
      <c r="P1000" s="9" t="inlineStr">
        <is>
          <t>NSMI24060146507</t>
        </is>
      </c>
      <c r="Q1000" s="53">
        <f>MID(P1000,5,2)</f>
        <v/>
      </c>
      <c r="R1000" s="53">
        <f>MID(P1000,7,2)</f>
        <v/>
      </c>
      <c r="S1000" s="3" t="inlineStr">
        <is>
          <t>G2G</t>
        </is>
      </c>
      <c r="T1000" s="3" t="inlineStr">
        <is>
          <t>P4</t>
        </is>
      </c>
      <c r="U1000" s="3" t="inlineStr">
        <is>
          <t>N JB Cold Soldering</t>
        </is>
      </c>
      <c r="V1000" s="3" t="inlineStr">
        <is>
          <t>Soldering</t>
        </is>
      </c>
      <c r="W1000" s="3" t="inlineStr">
        <is>
          <t>Repair</t>
        </is>
      </c>
      <c r="X1000" s="18" t="n">
        <v>46156</v>
      </c>
      <c r="Y1000" s="3">
        <f>X1000-A1000</f>
        <v/>
      </c>
      <c r="Z1000" s="18" t="n">
        <v>46156</v>
      </c>
      <c r="AA1000" s="15" t="n"/>
      <c r="AB1000" s="15" t="n"/>
    </row>
    <row r="1001" hidden="1" s="233">
      <c r="A1001" s="6" t="n">
        <v>46107</v>
      </c>
      <c r="B1001" s="3" t="n">
        <v>2026</v>
      </c>
      <c r="C1001" s="3" t="inlineStr">
        <is>
          <t>Blupine</t>
        </is>
      </c>
      <c r="D1001" s="3" t="inlineStr">
        <is>
          <t>Utility and C&amp;I</t>
        </is>
      </c>
      <c r="E1001" s="3" t="n"/>
      <c r="F1001" s="3" t="inlineStr">
        <is>
          <t>Closed</t>
        </is>
      </c>
      <c r="G1001" s="3" t="inlineStr">
        <is>
          <t>Chandrashekar Patidar</t>
        </is>
      </c>
      <c r="H1001" s="3" t="n">
        <v>7879764773</v>
      </c>
      <c r="I1001" s="11" t="inlineStr">
        <is>
          <t>PE26032601</t>
        </is>
      </c>
      <c r="J1001" s="3" t="inlineStr">
        <is>
          <t>Module Diode Failure</t>
        </is>
      </c>
      <c r="K1001" s="3" t="inlineStr">
        <is>
          <t>Sadla</t>
        </is>
      </c>
      <c r="L1001" s="3" t="inlineStr">
        <is>
          <t>Gujarat</t>
        </is>
      </c>
      <c r="M1001" s="9" t="inlineStr">
        <is>
          <t>NS</t>
        </is>
      </c>
      <c r="N1001" s="3" t="inlineStr">
        <is>
          <t>Cold Soldering</t>
        </is>
      </c>
      <c r="O1001" s="3" t="n">
        <v>570</v>
      </c>
      <c r="P1001" s="9" t="inlineStr">
        <is>
          <t>NSMI24060147535</t>
        </is>
      </c>
      <c r="Q1001" s="53">
        <f>MID(P1001,5,2)</f>
        <v/>
      </c>
      <c r="R1001" s="53">
        <f>MID(P1001,7,2)</f>
        <v/>
      </c>
      <c r="S1001" s="3" t="inlineStr">
        <is>
          <t>G2G</t>
        </is>
      </c>
      <c r="T1001" s="3" t="inlineStr">
        <is>
          <t>P4</t>
        </is>
      </c>
      <c r="U1001" s="3" t="inlineStr">
        <is>
          <t>N JB Cold Soldering</t>
        </is>
      </c>
      <c r="V1001" s="3" t="inlineStr">
        <is>
          <t>Soldering</t>
        </is>
      </c>
      <c r="W1001" s="3" t="inlineStr">
        <is>
          <t>Repair</t>
        </is>
      </c>
      <c r="X1001" s="18" t="n">
        <v>46156</v>
      </c>
      <c r="Y1001" s="3">
        <f>X1001-A1001</f>
        <v/>
      </c>
      <c r="Z1001" s="18" t="n">
        <v>46156</v>
      </c>
      <c r="AA1001" s="15" t="n"/>
      <c r="AB1001" s="15" t="n"/>
    </row>
    <row r="1002" hidden="1" s="233">
      <c r="A1002" s="6" t="n">
        <v>46107</v>
      </c>
      <c r="B1002" s="3" t="n">
        <v>2026</v>
      </c>
      <c r="C1002" s="3" t="inlineStr">
        <is>
          <t>Blupine</t>
        </is>
      </c>
      <c r="D1002" s="3" t="inlineStr">
        <is>
          <t>Utility and C&amp;I</t>
        </is>
      </c>
      <c r="E1002" s="3" t="n"/>
      <c r="F1002" s="3" t="inlineStr">
        <is>
          <t>Closed</t>
        </is>
      </c>
      <c r="G1002" s="3" t="inlineStr">
        <is>
          <t>Chandrashekar Patidar</t>
        </is>
      </c>
      <c r="H1002" s="3" t="n">
        <v>7879764773</v>
      </c>
      <c r="I1002" s="11" t="inlineStr">
        <is>
          <t>PE26032601</t>
        </is>
      </c>
      <c r="J1002" s="3" t="inlineStr">
        <is>
          <t>Module Diode Failure</t>
        </is>
      </c>
      <c r="K1002" s="3" t="inlineStr">
        <is>
          <t>Sadla</t>
        </is>
      </c>
      <c r="L1002" s="3" t="inlineStr">
        <is>
          <t>Gujarat</t>
        </is>
      </c>
      <c r="M1002" s="9" t="inlineStr">
        <is>
          <t>NR</t>
        </is>
      </c>
      <c r="N1002" s="3" t="inlineStr">
        <is>
          <t>JB Issue</t>
        </is>
      </c>
      <c r="O1002" s="3" t="n">
        <v>570</v>
      </c>
      <c r="P1002" s="9" t="inlineStr">
        <is>
          <t>NSMI24060162667</t>
        </is>
      </c>
      <c r="Q1002" s="53">
        <f>MID(P1002,5,2)</f>
        <v/>
      </c>
      <c r="R1002" s="53">
        <f>MID(P1002,7,2)</f>
        <v/>
      </c>
      <c r="S1002" s="3" t="inlineStr">
        <is>
          <t>G2G</t>
        </is>
      </c>
      <c r="T1002" s="3" t="inlineStr">
        <is>
          <t>P4</t>
        </is>
      </c>
      <c r="U1002" s="3" t="inlineStr">
        <is>
          <t>N JB Issue</t>
        </is>
      </c>
      <c r="V1002" s="3" t="inlineStr">
        <is>
          <t>JB Changed</t>
        </is>
      </c>
      <c r="W1002" s="3" t="inlineStr">
        <is>
          <t>Repair</t>
        </is>
      </c>
      <c r="X1002" s="18" t="n">
        <v>46156</v>
      </c>
      <c r="Y1002" s="3">
        <f>X1002-A1002</f>
        <v/>
      </c>
      <c r="Z1002" s="18" t="n">
        <v>46156</v>
      </c>
      <c r="AA1002" s="15" t="n"/>
      <c r="AB1002" s="15" t="n"/>
    </row>
    <row r="1003" hidden="1" s="233">
      <c r="A1003" s="6" t="n">
        <v>46107</v>
      </c>
      <c r="B1003" s="3" t="n">
        <v>2026</v>
      </c>
      <c r="C1003" s="3" t="inlineStr">
        <is>
          <t>Blupine</t>
        </is>
      </c>
      <c r="D1003" s="3" t="inlineStr">
        <is>
          <t>Utility and C&amp;I</t>
        </is>
      </c>
      <c r="E1003" s="3" t="n"/>
      <c r="F1003" s="3" t="inlineStr">
        <is>
          <t>Closed</t>
        </is>
      </c>
      <c r="G1003" s="3" t="inlineStr">
        <is>
          <t>Chandrashekar Patidar</t>
        </is>
      </c>
      <c r="H1003" s="3" t="n">
        <v>7879764773</v>
      </c>
      <c r="I1003" s="11" t="inlineStr">
        <is>
          <t>PE26032601</t>
        </is>
      </c>
      <c r="J1003" s="3" t="inlineStr">
        <is>
          <t>Module Diode Failure</t>
        </is>
      </c>
      <c r="K1003" s="3" t="inlineStr">
        <is>
          <t>Sadla</t>
        </is>
      </c>
      <c r="L1003" s="3" t="inlineStr">
        <is>
          <t>Gujarat</t>
        </is>
      </c>
      <c r="M1003" s="9" t="inlineStr">
        <is>
          <t>NR</t>
        </is>
      </c>
      <c r="N1003" s="3" t="inlineStr">
        <is>
          <t>JB Issue</t>
        </is>
      </c>
      <c r="O1003" s="3" t="n">
        <v>570</v>
      </c>
      <c r="P1003" s="9" t="inlineStr">
        <is>
          <t>NSMI24060162742</t>
        </is>
      </c>
      <c r="Q1003" s="53">
        <f>MID(P1003,5,2)</f>
        <v/>
      </c>
      <c r="R1003" s="53">
        <f>MID(P1003,7,2)</f>
        <v/>
      </c>
      <c r="S1003" s="3" t="inlineStr">
        <is>
          <t>G2G</t>
        </is>
      </c>
      <c r="T1003" s="3" t="inlineStr">
        <is>
          <t>P4</t>
        </is>
      </c>
      <c r="U1003" s="3" t="inlineStr">
        <is>
          <t>N JB Issue</t>
        </is>
      </c>
      <c r="V1003" s="3" t="inlineStr">
        <is>
          <t>JB Changed</t>
        </is>
      </c>
      <c r="W1003" s="3" t="inlineStr">
        <is>
          <t>Repair</t>
        </is>
      </c>
      <c r="X1003" s="18" t="n">
        <v>46156</v>
      </c>
      <c r="Y1003" s="3">
        <f>X1003-A1003</f>
        <v/>
      </c>
      <c r="Z1003" s="18" t="n">
        <v>46156</v>
      </c>
      <c r="AA1003" s="15" t="n"/>
      <c r="AB1003" s="15" t="n"/>
    </row>
    <row r="1004" hidden="1" s="233">
      <c r="A1004" s="6" t="n">
        <v>46107</v>
      </c>
      <c r="B1004" s="3" t="n">
        <v>2026</v>
      </c>
      <c r="C1004" s="3" t="inlineStr">
        <is>
          <t>Blupine</t>
        </is>
      </c>
      <c r="D1004" s="3" t="inlineStr">
        <is>
          <t>Utility and C&amp;I</t>
        </is>
      </c>
      <c r="E1004" s="3" t="n"/>
      <c r="F1004" s="3" t="inlineStr">
        <is>
          <t>Closed</t>
        </is>
      </c>
      <c r="G1004" s="3" t="inlineStr">
        <is>
          <t>Chandrashekar Patidar</t>
        </is>
      </c>
      <c r="H1004" s="3" t="n">
        <v>7879764773</v>
      </c>
      <c r="I1004" s="11" t="inlineStr">
        <is>
          <t>PE26032601</t>
        </is>
      </c>
      <c r="J1004" s="3" t="inlineStr">
        <is>
          <t>Module Diode Failure</t>
        </is>
      </c>
      <c r="K1004" s="3" t="inlineStr">
        <is>
          <t>Sadla</t>
        </is>
      </c>
      <c r="L1004" s="3" t="inlineStr">
        <is>
          <t>Gujarat</t>
        </is>
      </c>
      <c r="M1004" s="9" t="inlineStr">
        <is>
          <t>NR</t>
        </is>
      </c>
      <c r="N1004" s="3" t="inlineStr">
        <is>
          <t>JB Issue</t>
        </is>
      </c>
      <c r="O1004" s="3" t="n">
        <v>570</v>
      </c>
      <c r="P1004" s="9" t="inlineStr">
        <is>
          <t>NSMI24060162800</t>
        </is>
      </c>
      <c r="Q1004" s="53">
        <f>MID(P1004,5,2)</f>
        <v/>
      </c>
      <c r="R1004" s="53">
        <f>MID(P1004,7,2)</f>
        <v/>
      </c>
      <c r="S1004" s="3" t="inlineStr">
        <is>
          <t>G2G</t>
        </is>
      </c>
      <c r="T1004" s="3" t="inlineStr">
        <is>
          <t>P4</t>
        </is>
      </c>
      <c r="U1004" s="3" t="inlineStr">
        <is>
          <t>N JB Issue</t>
        </is>
      </c>
      <c r="V1004" s="3" t="inlineStr">
        <is>
          <t>JB Changed</t>
        </is>
      </c>
      <c r="W1004" s="3" t="inlineStr">
        <is>
          <t>Repair</t>
        </is>
      </c>
      <c r="X1004" s="18" t="n">
        <v>46156</v>
      </c>
      <c r="Y1004" s="3">
        <f>X1004-A1004</f>
        <v/>
      </c>
      <c r="Z1004" s="18" t="n">
        <v>46156</v>
      </c>
      <c r="AA1004" s="15" t="n"/>
      <c r="AB1004" s="15" t="n"/>
    </row>
    <row r="1005" hidden="1" s="233">
      <c r="A1005" s="6" t="n">
        <v>46107</v>
      </c>
      <c r="B1005" s="3" t="n">
        <v>2026</v>
      </c>
      <c r="C1005" s="3" t="inlineStr">
        <is>
          <t>Blupine</t>
        </is>
      </c>
      <c r="D1005" s="3" t="inlineStr">
        <is>
          <t>Utility and C&amp;I</t>
        </is>
      </c>
      <c r="E1005" s="3" t="n"/>
      <c r="F1005" s="3" t="inlineStr">
        <is>
          <t>Closed</t>
        </is>
      </c>
      <c r="G1005" s="3" t="inlineStr">
        <is>
          <t>Chandrashekar Patidar</t>
        </is>
      </c>
      <c r="H1005" s="3" t="n">
        <v>7879764773</v>
      </c>
      <c r="I1005" s="11" t="inlineStr">
        <is>
          <t>PE26032601</t>
        </is>
      </c>
      <c r="J1005" s="3" t="inlineStr">
        <is>
          <t>Module Diode Failure</t>
        </is>
      </c>
      <c r="K1005" s="3" t="inlineStr">
        <is>
          <t>Sadla</t>
        </is>
      </c>
      <c r="L1005" s="3" t="inlineStr">
        <is>
          <t>Gujarat</t>
        </is>
      </c>
      <c r="M1005" s="9" t="inlineStr">
        <is>
          <t>NS</t>
        </is>
      </c>
      <c r="N1005" s="3" t="inlineStr">
        <is>
          <t>Cold Soldering</t>
        </is>
      </c>
      <c r="O1005" s="3" t="n">
        <v>570</v>
      </c>
      <c r="P1005" s="9" t="inlineStr">
        <is>
          <t>NSMI24060095280</t>
        </is>
      </c>
      <c r="Q1005" s="53">
        <f>MID(P1005,5,2)</f>
        <v/>
      </c>
      <c r="R1005" s="53">
        <f>MID(P1005,7,2)</f>
        <v/>
      </c>
      <c r="S1005" s="3" t="inlineStr">
        <is>
          <t>G2G</t>
        </is>
      </c>
      <c r="T1005" s="3" t="inlineStr">
        <is>
          <t>P4</t>
        </is>
      </c>
      <c r="U1005" s="3" t="inlineStr">
        <is>
          <t>N JB Cold Soldering</t>
        </is>
      </c>
      <c r="V1005" s="3" t="inlineStr">
        <is>
          <t>Soldering</t>
        </is>
      </c>
      <c r="W1005" s="3" t="inlineStr">
        <is>
          <t>Repair</t>
        </is>
      </c>
      <c r="X1005" s="18" t="n">
        <v>46156</v>
      </c>
      <c r="Y1005" s="3">
        <f>X1005-A1005</f>
        <v/>
      </c>
      <c r="Z1005" s="18" t="n">
        <v>46156</v>
      </c>
      <c r="AA1005" s="15" t="n"/>
      <c r="AB1005" s="15" t="n"/>
    </row>
    <row r="1006" hidden="1" s="233">
      <c r="A1006" s="6" t="n">
        <v>46107</v>
      </c>
      <c r="B1006" s="3" t="n">
        <v>2026</v>
      </c>
      <c r="C1006" s="3" t="inlineStr">
        <is>
          <t>Blupine</t>
        </is>
      </c>
      <c r="D1006" s="3" t="inlineStr">
        <is>
          <t>Utility and C&amp;I</t>
        </is>
      </c>
      <c r="E1006" s="3" t="n"/>
      <c r="F1006" s="3" t="inlineStr">
        <is>
          <t>Closed</t>
        </is>
      </c>
      <c r="G1006" s="3" t="inlineStr">
        <is>
          <t>Chandrashekar Patidar</t>
        </is>
      </c>
      <c r="H1006" s="3" t="n">
        <v>7879764773</v>
      </c>
      <c r="I1006" s="11" t="inlineStr">
        <is>
          <t>PE26032601</t>
        </is>
      </c>
      <c r="J1006" s="3" t="inlineStr">
        <is>
          <t>Module Diode Failure</t>
        </is>
      </c>
      <c r="K1006" s="3" t="inlineStr">
        <is>
          <t>Sadla</t>
        </is>
      </c>
      <c r="L1006" s="3" t="inlineStr">
        <is>
          <t>Gujarat</t>
        </is>
      </c>
      <c r="M1006" s="9" t="inlineStr">
        <is>
          <t>NS</t>
        </is>
      </c>
      <c r="N1006" s="3" t="inlineStr">
        <is>
          <t>Cold Soldering</t>
        </is>
      </c>
      <c r="O1006" s="3" t="n">
        <v>570</v>
      </c>
      <c r="P1006" s="9" t="inlineStr">
        <is>
          <t>NSMI24060094513</t>
        </is>
      </c>
      <c r="Q1006" s="53">
        <f>MID(P1006,5,2)</f>
        <v/>
      </c>
      <c r="R1006" s="53">
        <f>MID(P1006,7,2)</f>
        <v/>
      </c>
      <c r="S1006" s="3" t="inlineStr">
        <is>
          <t>G2G</t>
        </is>
      </c>
      <c r="T1006" s="3" t="inlineStr">
        <is>
          <t>P4</t>
        </is>
      </c>
      <c r="U1006" s="3" t="inlineStr">
        <is>
          <t>N JB Cold Soldering</t>
        </is>
      </c>
      <c r="V1006" s="3" t="inlineStr">
        <is>
          <t>Soldering</t>
        </is>
      </c>
      <c r="W1006" s="3" t="inlineStr">
        <is>
          <t>Repair</t>
        </is>
      </c>
      <c r="X1006" s="18" t="n">
        <v>46156</v>
      </c>
      <c r="Y1006" s="3">
        <f>X1006-A1006</f>
        <v/>
      </c>
      <c r="Z1006" s="18" t="n">
        <v>46156</v>
      </c>
      <c r="AA1006" s="15" t="n"/>
      <c r="AB1006" s="15" t="n"/>
    </row>
    <row r="1007" hidden="1" s="233">
      <c r="A1007" s="6" t="n">
        <v>46107</v>
      </c>
      <c r="B1007" s="3" t="n">
        <v>2026</v>
      </c>
      <c r="C1007" s="3" t="inlineStr">
        <is>
          <t>Blupine</t>
        </is>
      </c>
      <c r="D1007" s="3" t="inlineStr">
        <is>
          <t>Utility and C&amp;I</t>
        </is>
      </c>
      <c r="E1007" s="3" t="n"/>
      <c r="F1007" s="3" t="inlineStr">
        <is>
          <t>Closed</t>
        </is>
      </c>
      <c r="G1007" s="3" t="inlineStr">
        <is>
          <t>Chandrashekar Patidar</t>
        </is>
      </c>
      <c r="H1007" s="3" t="n">
        <v>7879764773</v>
      </c>
      <c r="I1007" s="11" t="inlineStr">
        <is>
          <t>PE26032601</t>
        </is>
      </c>
      <c r="J1007" s="3" t="inlineStr">
        <is>
          <t>Module Diode Failure</t>
        </is>
      </c>
      <c r="K1007" s="3" t="inlineStr">
        <is>
          <t>Sadla</t>
        </is>
      </c>
      <c r="L1007" s="3" t="inlineStr">
        <is>
          <t>Gujarat</t>
        </is>
      </c>
      <c r="M1007" s="9" t="inlineStr">
        <is>
          <t>NS</t>
        </is>
      </c>
      <c r="N1007" s="3" t="inlineStr">
        <is>
          <t>Cold Soldering</t>
        </is>
      </c>
      <c r="O1007" s="3" t="n">
        <v>570</v>
      </c>
      <c r="P1007" s="9" t="inlineStr">
        <is>
          <t>NSMI24060143459</t>
        </is>
      </c>
      <c r="Q1007" s="53">
        <f>MID(P1007,5,2)</f>
        <v/>
      </c>
      <c r="R1007" s="53">
        <f>MID(P1007,7,2)</f>
        <v/>
      </c>
      <c r="S1007" s="3" t="inlineStr">
        <is>
          <t>G2G</t>
        </is>
      </c>
      <c r="T1007" s="3" t="inlineStr">
        <is>
          <t>P4</t>
        </is>
      </c>
      <c r="U1007" s="3" t="inlineStr">
        <is>
          <t>N JB Cold Soldering</t>
        </is>
      </c>
      <c r="V1007" s="3" t="inlineStr">
        <is>
          <t>Soldering</t>
        </is>
      </c>
      <c r="W1007" s="3" t="inlineStr">
        <is>
          <t>Repair</t>
        </is>
      </c>
      <c r="X1007" s="18" t="n">
        <v>46156</v>
      </c>
      <c r="Y1007" s="3">
        <f>X1007-A1007</f>
        <v/>
      </c>
      <c r="Z1007" s="18" t="n">
        <v>46156</v>
      </c>
      <c r="AA1007" s="15" t="n"/>
      <c r="AB1007" s="15" t="n"/>
    </row>
    <row r="1008" hidden="1" s="233">
      <c r="A1008" s="6" t="n">
        <v>46107</v>
      </c>
      <c r="B1008" s="3" t="n">
        <v>2026</v>
      </c>
      <c r="C1008" s="3" t="inlineStr">
        <is>
          <t>Blupine</t>
        </is>
      </c>
      <c r="D1008" s="3" t="inlineStr">
        <is>
          <t>Utility and C&amp;I</t>
        </is>
      </c>
      <c r="E1008" s="3" t="n"/>
      <c r="F1008" s="3" t="inlineStr">
        <is>
          <t>Closed</t>
        </is>
      </c>
      <c r="G1008" s="3" t="inlineStr">
        <is>
          <t>Chandrashekar Patidar</t>
        </is>
      </c>
      <c r="H1008" s="3" t="n">
        <v>7879764773</v>
      </c>
      <c r="I1008" s="11" t="inlineStr">
        <is>
          <t>PE26032601</t>
        </is>
      </c>
      <c r="J1008" s="3" t="inlineStr">
        <is>
          <t>Module Diode Failure</t>
        </is>
      </c>
      <c r="K1008" s="3" t="inlineStr">
        <is>
          <t>Sadla</t>
        </is>
      </c>
      <c r="L1008" s="3" t="inlineStr">
        <is>
          <t>Gujarat</t>
        </is>
      </c>
      <c r="M1008" s="9" t="inlineStr">
        <is>
          <t>NR</t>
        </is>
      </c>
      <c r="N1008" s="3" t="inlineStr">
        <is>
          <t>JB Issue</t>
        </is>
      </c>
      <c r="O1008" s="3" t="n">
        <v>570</v>
      </c>
      <c r="P1008" s="9" t="inlineStr">
        <is>
          <t>NSMI24060162495</t>
        </is>
      </c>
      <c r="Q1008" s="53">
        <f>MID(P1008,5,2)</f>
        <v/>
      </c>
      <c r="R1008" s="53">
        <f>MID(P1008,7,2)</f>
        <v/>
      </c>
      <c r="S1008" s="3" t="inlineStr">
        <is>
          <t>G2G</t>
        </is>
      </c>
      <c r="T1008" s="3" t="inlineStr">
        <is>
          <t>P4</t>
        </is>
      </c>
      <c r="U1008" s="3" t="inlineStr">
        <is>
          <t>N JB Issue</t>
        </is>
      </c>
      <c r="V1008" s="3" t="inlineStr">
        <is>
          <t>JB Changed</t>
        </is>
      </c>
      <c r="W1008" s="3" t="inlineStr">
        <is>
          <t>Repair</t>
        </is>
      </c>
      <c r="X1008" s="18" t="n">
        <v>46156</v>
      </c>
      <c r="Y1008" s="3">
        <f>X1008-A1008</f>
        <v/>
      </c>
      <c r="Z1008" s="18" t="n">
        <v>46156</v>
      </c>
      <c r="AA1008" s="15" t="n"/>
      <c r="AB1008" s="15" t="n"/>
    </row>
    <row r="1009" hidden="1" s="233">
      <c r="A1009" s="6" t="n">
        <v>46107</v>
      </c>
      <c r="B1009" s="3" t="n">
        <v>2026</v>
      </c>
      <c r="C1009" s="3" t="inlineStr">
        <is>
          <t>Blupine</t>
        </is>
      </c>
      <c r="D1009" s="3" t="inlineStr">
        <is>
          <t>Utility and C&amp;I</t>
        </is>
      </c>
      <c r="E1009" s="3" t="n"/>
      <c r="F1009" s="3" t="inlineStr">
        <is>
          <t>Closed</t>
        </is>
      </c>
      <c r="G1009" s="3" t="inlineStr">
        <is>
          <t>Chandrashekar Patidar</t>
        </is>
      </c>
      <c r="H1009" s="3" t="n">
        <v>7879764773</v>
      </c>
      <c r="I1009" s="11" t="inlineStr">
        <is>
          <t>PE26032601</t>
        </is>
      </c>
      <c r="J1009" s="3" t="inlineStr">
        <is>
          <t>Module Diode Failure</t>
        </is>
      </c>
      <c r="K1009" s="3" t="inlineStr">
        <is>
          <t>Sadla</t>
        </is>
      </c>
      <c r="L1009" s="3" t="inlineStr">
        <is>
          <t>Gujarat</t>
        </is>
      </c>
      <c r="M1009" s="9" t="inlineStr">
        <is>
          <t>PR</t>
        </is>
      </c>
      <c r="N1009" s="3" t="inlineStr">
        <is>
          <t>JB Issue</t>
        </is>
      </c>
      <c r="O1009" s="3" t="n">
        <v>570</v>
      </c>
      <c r="P1009" s="9" t="inlineStr">
        <is>
          <t>NSMI24060144467</t>
        </is>
      </c>
      <c r="Q1009" s="53">
        <f>MID(P1009,5,2)</f>
        <v/>
      </c>
      <c r="R1009" s="53">
        <f>MID(P1009,7,2)</f>
        <v/>
      </c>
      <c r="S1009" s="3" t="inlineStr">
        <is>
          <t>G2G</t>
        </is>
      </c>
      <c r="T1009" s="3" t="inlineStr">
        <is>
          <t>P4</t>
        </is>
      </c>
      <c r="U1009" s="3" t="inlineStr">
        <is>
          <t>P JB Issue</t>
        </is>
      </c>
      <c r="V1009" s="15" t="inlineStr">
        <is>
          <t>JB Changed</t>
        </is>
      </c>
      <c r="W1009" s="3" t="inlineStr">
        <is>
          <t>Repair</t>
        </is>
      </c>
      <c r="X1009" s="18" t="n">
        <v>46156</v>
      </c>
      <c r="Y1009" s="3">
        <f>X1009-A1009</f>
        <v/>
      </c>
      <c r="Z1009" s="18" t="n">
        <v>46156</v>
      </c>
      <c r="AA1009" s="15" t="n"/>
      <c r="AB1009" s="15" t="n"/>
    </row>
    <row r="1010" hidden="1" s="233">
      <c r="A1010" s="6" t="n">
        <v>46107</v>
      </c>
      <c r="B1010" s="3" t="n">
        <v>2026</v>
      </c>
      <c r="C1010" s="3" t="inlineStr">
        <is>
          <t>Blupine</t>
        </is>
      </c>
      <c r="D1010" s="3" t="inlineStr">
        <is>
          <t>Utility and C&amp;I</t>
        </is>
      </c>
      <c r="E1010" s="3" t="n"/>
      <c r="F1010" s="3" t="inlineStr">
        <is>
          <t>Closed</t>
        </is>
      </c>
      <c r="G1010" s="3" t="inlineStr">
        <is>
          <t>Chandrashekar Patidar</t>
        </is>
      </c>
      <c r="H1010" s="3" t="n">
        <v>7879764773</v>
      </c>
      <c r="I1010" s="11" t="inlineStr">
        <is>
          <t>PE26032601</t>
        </is>
      </c>
      <c r="J1010" s="3" t="inlineStr">
        <is>
          <t>Module Diode Failure</t>
        </is>
      </c>
      <c r="K1010" s="3" t="inlineStr">
        <is>
          <t>Sadla</t>
        </is>
      </c>
      <c r="L1010" s="3" t="inlineStr">
        <is>
          <t>Gujarat</t>
        </is>
      </c>
      <c r="M1010" s="9" t="inlineStr">
        <is>
          <t>NS</t>
        </is>
      </c>
      <c r="N1010" s="3" t="inlineStr">
        <is>
          <t>Cold Soldering</t>
        </is>
      </c>
      <c r="O1010" s="3" t="n">
        <v>570</v>
      </c>
      <c r="P1010" s="9" t="inlineStr">
        <is>
          <t>NSMI24060164537</t>
        </is>
      </c>
      <c r="Q1010" s="53">
        <f>MID(P1010,5,2)</f>
        <v/>
      </c>
      <c r="R1010" s="53">
        <f>MID(P1010,7,2)</f>
        <v/>
      </c>
      <c r="S1010" s="3" t="inlineStr">
        <is>
          <t>G2G</t>
        </is>
      </c>
      <c r="T1010" s="3" t="inlineStr">
        <is>
          <t>P4</t>
        </is>
      </c>
      <c r="U1010" s="3" t="inlineStr">
        <is>
          <t>N JB Cold Soldering</t>
        </is>
      </c>
      <c r="V1010" s="3" t="inlineStr">
        <is>
          <t>Soldering</t>
        </is>
      </c>
      <c r="W1010" s="3" t="inlineStr">
        <is>
          <t>Repair</t>
        </is>
      </c>
      <c r="X1010" s="18" t="n">
        <v>46156</v>
      </c>
      <c r="Y1010" s="3">
        <f>X1010-A1010</f>
        <v/>
      </c>
      <c r="Z1010" s="18" t="n">
        <v>46156</v>
      </c>
      <c r="AA1010" s="15" t="n"/>
      <c r="AB1010" s="15" t="n"/>
    </row>
    <row r="1011" hidden="1" s="233">
      <c r="A1011" s="6" t="n">
        <v>46107</v>
      </c>
      <c r="B1011" s="3" t="n">
        <v>2026</v>
      </c>
      <c r="C1011" s="3" t="inlineStr">
        <is>
          <t>Blupine</t>
        </is>
      </c>
      <c r="D1011" s="3" t="inlineStr">
        <is>
          <t>Utility and C&amp;I</t>
        </is>
      </c>
      <c r="E1011" s="3" t="n"/>
      <c r="F1011" s="3" t="inlineStr">
        <is>
          <t>Closed</t>
        </is>
      </c>
      <c r="G1011" s="3" t="inlineStr">
        <is>
          <t>Chandrashekar Patidar</t>
        </is>
      </c>
      <c r="H1011" s="3" t="n">
        <v>7879764773</v>
      </c>
      <c r="I1011" s="11" t="inlineStr">
        <is>
          <t>PE26032601</t>
        </is>
      </c>
      <c r="J1011" s="3" t="inlineStr">
        <is>
          <t>Module Diode Failure</t>
        </is>
      </c>
      <c r="K1011" s="3" t="inlineStr">
        <is>
          <t>Sadla</t>
        </is>
      </c>
      <c r="L1011" s="3" t="inlineStr">
        <is>
          <t>Gujarat</t>
        </is>
      </c>
      <c r="M1011" s="9" t="inlineStr">
        <is>
          <t>NS</t>
        </is>
      </c>
      <c r="N1011" s="3" t="inlineStr">
        <is>
          <t>Cold Soldering</t>
        </is>
      </c>
      <c r="O1011" s="3" t="n">
        <v>570</v>
      </c>
      <c r="P1011" s="9" t="inlineStr">
        <is>
          <t>NSMI24060152017</t>
        </is>
      </c>
      <c r="Q1011" s="53">
        <f>MID(P1011,5,2)</f>
        <v/>
      </c>
      <c r="R1011" s="53">
        <f>MID(P1011,7,2)</f>
        <v/>
      </c>
      <c r="S1011" s="3" t="inlineStr">
        <is>
          <t>G2G</t>
        </is>
      </c>
      <c r="T1011" s="3" t="inlineStr">
        <is>
          <t>P4</t>
        </is>
      </c>
      <c r="U1011" s="3" t="inlineStr">
        <is>
          <t>N JB Cold Soldering</t>
        </is>
      </c>
      <c r="V1011" s="3" t="inlineStr">
        <is>
          <t>Soldering</t>
        </is>
      </c>
      <c r="W1011" s="3" t="inlineStr">
        <is>
          <t>Repair</t>
        </is>
      </c>
      <c r="X1011" s="18" t="n">
        <v>46156</v>
      </c>
      <c r="Y1011" s="3">
        <f>X1011-A1011</f>
        <v/>
      </c>
      <c r="Z1011" s="18" t="n">
        <v>46156</v>
      </c>
      <c r="AA1011" s="15" t="n"/>
      <c r="AB1011" s="15" t="n"/>
    </row>
    <row r="1012" hidden="1" s="233">
      <c r="A1012" s="6" t="n">
        <v>46107</v>
      </c>
      <c r="B1012" s="3" t="n">
        <v>2026</v>
      </c>
      <c r="C1012" s="3" t="inlineStr">
        <is>
          <t>Blupine</t>
        </is>
      </c>
      <c r="D1012" s="3" t="inlineStr">
        <is>
          <t>Utility and C&amp;I</t>
        </is>
      </c>
      <c r="E1012" s="3" t="n"/>
      <c r="F1012" s="3" t="inlineStr">
        <is>
          <t>Closed</t>
        </is>
      </c>
      <c r="G1012" s="3" t="inlineStr">
        <is>
          <t>Chandrashekar Patidar</t>
        </is>
      </c>
      <c r="H1012" s="3" t="n">
        <v>7879764773</v>
      </c>
      <c r="I1012" s="11" t="inlineStr">
        <is>
          <t>PE26032601</t>
        </is>
      </c>
      <c r="J1012" s="3" t="inlineStr">
        <is>
          <t>Module Diode Failure</t>
        </is>
      </c>
      <c r="K1012" s="3" t="inlineStr">
        <is>
          <t>Sadla</t>
        </is>
      </c>
      <c r="L1012" s="3" t="inlineStr">
        <is>
          <t>Gujarat</t>
        </is>
      </c>
      <c r="M1012" s="9" t="inlineStr">
        <is>
          <t>NS</t>
        </is>
      </c>
      <c r="N1012" s="3" t="inlineStr">
        <is>
          <t>Cold Soldering</t>
        </is>
      </c>
      <c r="O1012" s="3" t="n">
        <v>570</v>
      </c>
      <c r="P1012" s="9" t="inlineStr">
        <is>
          <t>NSMI24060162826</t>
        </is>
      </c>
      <c r="Q1012" s="53">
        <f>MID(P1012,5,2)</f>
        <v/>
      </c>
      <c r="R1012" s="53">
        <f>MID(P1012,7,2)</f>
        <v/>
      </c>
      <c r="S1012" s="3" t="inlineStr">
        <is>
          <t>G2G</t>
        </is>
      </c>
      <c r="T1012" s="3" t="inlineStr">
        <is>
          <t>P4</t>
        </is>
      </c>
      <c r="U1012" s="3" t="inlineStr">
        <is>
          <t>N JB Cold Soldering</t>
        </is>
      </c>
      <c r="V1012" s="3" t="inlineStr">
        <is>
          <t>Soldering</t>
        </is>
      </c>
      <c r="W1012" s="3" t="inlineStr">
        <is>
          <t>Repair</t>
        </is>
      </c>
      <c r="X1012" s="18" t="n">
        <v>46156</v>
      </c>
      <c r="Y1012" s="3">
        <f>X1012-A1012</f>
        <v/>
      </c>
      <c r="Z1012" s="18" t="n">
        <v>46156</v>
      </c>
      <c r="AA1012" s="15" t="n"/>
      <c r="AB1012" s="15" t="n"/>
    </row>
    <row r="1013" hidden="1" s="233">
      <c r="A1013" s="6" t="n">
        <v>46107</v>
      </c>
      <c r="B1013" s="3" t="n">
        <v>2026</v>
      </c>
      <c r="C1013" s="3" t="inlineStr">
        <is>
          <t>Blupine</t>
        </is>
      </c>
      <c r="D1013" s="3" t="inlineStr">
        <is>
          <t>Utility and C&amp;I</t>
        </is>
      </c>
      <c r="E1013" s="3" t="n"/>
      <c r="F1013" s="3" t="inlineStr">
        <is>
          <t>Closed</t>
        </is>
      </c>
      <c r="G1013" s="3" t="inlineStr">
        <is>
          <t>Chandrashekar Patidar</t>
        </is>
      </c>
      <c r="H1013" s="3" t="n">
        <v>7879764773</v>
      </c>
      <c r="I1013" s="11" t="inlineStr">
        <is>
          <t>PE26032601</t>
        </is>
      </c>
      <c r="J1013" s="3" t="inlineStr">
        <is>
          <t>Module Diode Failure</t>
        </is>
      </c>
      <c r="K1013" s="3" t="inlineStr">
        <is>
          <t>Sadla</t>
        </is>
      </c>
      <c r="L1013" s="3" t="inlineStr">
        <is>
          <t>Gujarat</t>
        </is>
      </c>
      <c r="M1013" s="9" t="inlineStr">
        <is>
          <t>NS</t>
        </is>
      </c>
      <c r="N1013" s="3" t="inlineStr">
        <is>
          <t>Cold Soldering</t>
        </is>
      </c>
      <c r="O1013" s="3" t="n">
        <v>570</v>
      </c>
      <c r="P1013" s="9" t="inlineStr">
        <is>
          <t>NSMI24060144730</t>
        </is>
      </c>
      <c r="Q1013" s="53">
        <f>MID(P1013,5,2)</f>
        <v/>
      </c>
      <c r="R1013" s="53">
        <f>MID(P1013,7,2)</f>
        <v/>
      </c>
      <c r="S1013" s="3" t="inlineStr">
        <is>
          <t>G2G</t>
        </is>
      </c>
      <c r="T1013" s="3" t="inlineStr">
        <is>
          <t>P4</t>
        </is>
      </c>
      <c r="U1013" s="3" t="inlineStr">
        <is>
          <t>N JB Cold Soldering</t>
        </is>
      </c>
      <c r="V1013" s="3" t="inlineStr">
        <is>
          <t>Soldering</t>
        </is>
      </c>
      <c r="W1013" s="3" t="inlineStr">
        <is>
          <t>Repair</t>
        </is>
      </c>
      <c r="X1013" s="18" t="n">
        <v>46156</v>
      </c>
      <c r="Y1013" s="3">
        <f>X1013-A1013</f>
        <v/>
      </c>
      <c r="Z1013" s="18" t="n">
        <v>46156</v>
      </c>
      <c r="AA1013" s="15" t="n"/>
      <c r="AB1013" s="15" t="n"/>
    </row>
    <row r="1014" hidden="1" s="233">
      <c r="A1014" s="6" t="n">
        <v>46107</v>
      </c>
      <c r="B1014" s="3" t="n">
        <v>2026</v>
      </c>
      <c r="C1014" s="3" t="inlineStr">
        <is>
          <t>Blupine</t>
        </is>
      </c>
      <c r="D1014" s="3" t="inlineStr">
        <is>
          <t>Utility and C&amp;I</t>
        </is>
      </c>
      <c r="E1014" s="3" t="n"/>
      <c r="F1014" s="3" t="inlineStr">
        <is>
          <t>Closed</t>
        </is>
      </c>
      <c r="G1014" s="3" t="inlineStr">
        <is>
          <t>Chandrashekar Patidar</t>
        </is>
      </c>
      <c r="H1014" s="3" t="n">
        <v>7879764773</v>
      </c>
      <c r="I1014" s="11" t="inlineStr">
        <is>
          <t>PE26032601</t>
        </is>
      </c>
      <c r="J1014" s="3" t="inlineStr">
        <is>
          <t>Module Diode Failure</t>
        </is>
      </c>
      <c r="K1014" s="3" t="inlineStr">
        <is>
          <t>Sadla</t>
        </is>
      </c>
      <c r="L1014" s="3" t="inlineStr">
        <is>
          <t>Gujarat</t>
        </is>
      </c>
      <c r="M1014" s="9" t="inlineStr">
        <is>
          <t>NS</t>
        </is>
      </c>
      <c r="N1014" s="3" t="inlineStr">
        <is>
          <t>Cold Soldering</t>
        </is>
      </c>
      <c r="O1014" s="3" t="n">
        <v>570</v>
      </c>
      <c r="P1014" s="9" t="inlineStr">
        <is>
          <t>NSMI24060142723</t>
        </is>
      </c>
      <c r="Q1014" s="53">
        <f>MID(P1014,5,2)</f>
        <v/>
      </c>
      <c r="R1014" s="53">
        <f>MID(P1014,7,2)</f>
        <v/>
      </c>
      <c r="S1014" s="3" t="inlineStr">
        <is>
          <t>G2G</t>
        </is>
      </c>
      <c r="T1014" s="3" t="inlineStr">
        <is>
          <t>P4</t>
        </is>
      </c>
      <c r="U1014" s="3" t="inlineStr">
        <is>
          <t>N JB Cold Soldering</t>
        </is>
      </c>
      <c r="V1014" s="3" t="inlineStr">
        <is>
          <t>Soldering</t>
        </is>
      </c>
      <c r="W1014" s="3" t="inlineStr">
        <is>
          <t>Repair</t>
        </is>
      </c>
      <c r="X1014" s="18" t="n">
        <v>46156</v>
      </c>
      <c r="Y1014" s="3">
        <f>X1014-A1014</f>
        <v/>
      </c>
      <c r="Z1014" s="18" t="n">
        <v>46156</v>
      </c>
      <c r="AA1014" s="15" t="n"/>
      <c r="AB1014" s="15" t="n"/>
    </row>
    <row r="1015" hidden="1" s="233">
      <c r="A1015" s="6" t="n">
        <v>46107</v>
      </c>
      <c r="B1015" s="3" t="n">
        <v>2026</v>
      </c>
      <c r="C1015" s="3" t="inlineStr">
        <is>
          <t>Blupine</t>
        </is>
      </c>
      <c r="D1015" s="3" t="inlineStr">
        <is>
          <t>Utility and C&amp;I</t>
        </is>
      </c>
      <c r="E1015" s="3" t="n"/>
      <c r="F1015" s="3" t="inlineStr">
        <is>
          <t>Closed</t>
        </is>
      </c>
      <c r="G1015" s="3" t="inlineStr">
        <is>
          <t>Chandrashekar Patidar</t>
        </is>
      </c>
      <c r="H1015" s="3" t="n">
        <v>7879764773</v>
      </c>
      <c r="I1015" s="11" t="inlineStr">
        <is>
          <t>PE26032601</t>
        </is>
      </c>
      <c r="J1015" s="3" t="inlineStr">
        <is>
          <t>Module Diode Failure</t>
        </is>
      </c>
      <c r="K1015" s="3" t="inlineStr">
        <is>
          <t>Sadla</t>
        </is>
      </c>
      <c r="L1015" s="3" t="inlineStr">
        <is>
          <t>Gujarat</t>
        </is>
      </c>
      <c r="M1015" s="9" t="inlineStr">
        <is>
          <t>PS</t>
        </is>
      </c>
      <c r="N1015" s="3" t="inlineStr">
        <is>
          <t>Cold Soldering</t>
        </is>
      </c>
      <c r="O1015" s="3" t="n">
        <v>570</v>
      </c>
      <c r="P1015" s="9" t="inlineStr">
        <is>
          <t>NSMI24060143430</t>
        </is>
      </c>
      <c r="Q1015" s="53">
        <f>MID(P1015,5,2)</f>
        <v/>
      </c>
      <c r="R1015" s="53">
        <f>MID(P1015,7,2)</f>
        <v/>
      </c>
      <c r="S1015" s="3" t="inlineStr">
        <is>
          <t>G2G</t>
        </is>
      </c>
      <c r="T1015" s="3" t="inlineStr">
        <is>
          <t>P4</t>
        </is>
      </c>
      <c r="U1015" s="3" t="inlineStr">
        <is>
          <t>P JB Cold Soldering</t>
        </is>
      </c>
      <c r="V1015" s="3" t="inlineStr">
        <is>
          <t>Soldering</t>
        </is>
      </c>
      <c r="W1015" s="3" t="inlineStr">
        <is>
          <t>Repair</t>
        </is>
      </c>
      <c r="X1015" s="18" t="n">
        <v>46156</v>
      </c>
      <c r="Y1015" s="3">
        <f>X1015-A1015</f>
        <v/>
      </c>
      <c r="Z1015" s="18" t="n">
        <v>46156</v>
      </c>
      <c r="AA1015" s="15" t="n"/>
      <c r="AB1015" s="15" t="n"/>
    </row>
    <row r="1016" hidden="1" s="233">
      <c r="A1016" s="6" t="n">
        <v>46107</v>
      </c>
      <c r="B1016" s="3" t="n">
        <v>2026</v>
      </c>
      <c r="C1016" s="3" t="inlineStr">
        <is>
          <t>Blupine</t>
        </is>
      </c>
      <c r="D1016" s="3" t="inlineStr">
        <is>
          <t>Utility and C&amp;I</t>
        </is>
      </c>
      <c r="E1016" s="3" t="n"/>
      <c r="F1016" s="3" t="inlineStr">
        <is>
          <t>Closed</t>
        </is>
      </c>
      <c r="G1016" s="3" t="inlineStr">
        <is>
          <t>Chandrashekar Patidar</t>
        </is>
      </c>
      <c r="H1016" s="3" t="n">
        <v>7879764773</v>
      </c>
      <c r="I1016" s="11" t="inlineStr">
        <is>
          <t>PE26032601</t>
        </is>
      </c>
      <c r="J1016" s="3" t="inlineStr">
        <is>
          <t>Module Diode Failure</t>
        </is>
      </c>
      <c r="K1016" s="3" t="inlineStr">
        <is>
          <t>Sadla</t>
        </is>
      </c>
      <c r="L1016" s="3" t="inlineStr">
        <is>
          <t>Gujarat</t>
        </is>
      </c>
      <c r="M1016" s="9" t="inlineStr">
        <is>
          <t>NS</t>
        </is>
      </c>
      <c r="N1016" s="3" t="inlineStr">
        <is>
          <t>Cold Soldering</t>
        </is>
      </c>
      <c r="O1016" s="3" t="n">
        <v>570</v>
      </c>
      <c r="P1016" s="9" t="inlineStr">
        <is>
          <t>NSMI24060161515</t>
        </is>
      </c>
      <c r="Q1016" s="53">
        <f>MID(P1016,5,2)</f>
        <v/>
      </c>
      <c r="R1016" s="53">
        <f>MID(P1016,7,2)</f>
        <v/>
      </c>
      <c r="S1016" s="3" t="inlineStr">
        <is>
          <t>G2G</t>
        </is>
      </c>
      <c r="T1016" s="3" t="inlineStr">
        <is>
          <t>P4</t>
        </is>
      </c>
      <c r="U1016" s="3" t="inlineStr">
        <is>
          <t>N JB Cold Soldering</t>
        </is>
      </c>
      <c r="V1016" s="3" t="inlineStr">
        <is>
          <t>Soldering</t>
        </is>
      </c>
      <c r="W1016" s="3" t="inlineStr">
        <is>
          <t>Repair</t>
        </is>
      </c>
      <c r="X1016" s="18" t="n">
        <v>46156</v>
      </c>
      <c r="Y1016" s="3">
        <f>X1016-A1016</f>
        <v/>
      </c>
      <c r="Z1016" s="18" t="n">
        <v>46156</v>
      </c>
      <c r="AA1016" s="15" t="n"/>
      <c r="AB1016" s="15" t="n"/>
    </row>
    <row r="1017" hidden="1" s="233">
      <c r="A1017" s="6" t="n">
        <v>46107</v>
      </c>
      <c r="B1017" s="3" t="n">
        <v>2026</v>
      </c>
      <c r="C1017" s="3" t="inlineStr">
        <is>
          <t>Blupine</t>
        </is>
      </c>
      <c r="D1017" s="3" t="inlineStr">
        <is>
          <t>Utility and C&amp;I</t>
        </is>
      </c>
      <c r="E1017" s="3" t="n"/>
      <c r="F1017" s="3" t="inlineStr">
        <is>
          <t>Closed</t>
        </is>
      </c>
      <c r="G1017" s="3" t="inlineStr">
        <is>
          <t>Chandrashekar Patidar</t>
        </is>
      </c>
      <c r="H1017" s="3" t="n">
        <v>7879764773</v>
      </c>
      <c r="I1017" s="11" t="inlineStr">
        <is>
          <t>PE26032601</t>
        </is>
      </c>
      <c r="J1017" s="3" t="inlineStr">
        <is>
          <t>Module Diode Failure</t>
        </is>
      </c>
      <c r="K1017" s="3" t="inlineStr">
        <is>
          <t>Sadla</t>
        </is>
      </c>
      <c r="L1017" s="3" t="inlineStr">
        <is>
          <t>Gujarat</t>
        </is>
      </c>
      <c r="M1017" s="9" t="inlineStr">
        <is>
          <t>NS</t>
        </is>
      </c>
      <c r="N1017" s="3" t="inlineStr">
        <is>
          <t>Cold Soldering</t>
        </is>
      </c>
      <c r="O1017" s="3" t="n">
        <v>570</v>
      </c>
      <c r="P1017" s="9" t="inlineStr">
        <is>
          <t>NSMI24060146165</t>
        </is>
      </c>
      <c r="Q1017" s="53">
        <f>MID(P1017,5,2)</f>
        <v/>
      </c>
      <c r="R1017" s="53">
        <f>MID(P1017,7,2)</f>
        <v/>
      </c>
      <c r="S1017" s="3" t="inlineStr">
        <is>
          <t>G2G</t>
        </is>
      </c>
      <c r="T1017" s="3" t="inlineStr">
        <is>
          <t>P4</t>
        </is>
      </c>
      <c r="U1017" s="3" t="inlineStr">
        <is>
          <t>N JB Cold Soldering</t>
        </is>
      </c>
      <c r="V1017" s="3" t="inlineStr">
        <is>
          <t>Soldering</t>
        </is>
      </c>
      <c r="W1017" s="3" t="inlineStr">
        <is>
          <t>Repair</t>
        </is>
      </c>
      <c r="X1017" s="18" t="n">
        <v>46156</v>
      </c>
      <c r="Y1017" s="3">
        <f>X1017-A1017</f>
        <v/>
      </c>
      <c r="Z1017" s="18" t="n">
        <v>46156</v>
      </c>
      <c r="AA1017" s="15" t="n"/>
      <c r="AB1017" s="15" t="n"/>
    </row>
    <row r="1018" hidden="1" s="233">
      <c r="A1018" s="6" t="n">
        <v>46107</v>
      </c>
      <c r="B1018" s="3" t="n">
        <v>2026</v>
      </c>
      <c r="C1018" s="3" t="inlineStr">
        <is>
          <t>Blupine</t>
        </is>
      </c>
      <c r="D1018" s="3" t="inlineStr">
        <is>
          <t>Utility and C&amp;I</t>
        </is>
      </c>
      <c r="E1018" s="3" t="n"/>
      <c r="F1018" s="3" t="inlineStr">
        <is>
          <t>Closed</t>
        </is>
      </c>
      <c r="G1018" s="3" t="inlineStr">
        <is>
          <t>Chandrashekar Patidar</t>
        </is>
      </c>
      <c r="H1018" s="3" t="n">
        <v>7879764773</v>
      </c>
      <c r="I1018" s="11" t="inlineStr">
        <is>
          <t>PE26032601</t>
        </is>
      </c>
      <c r="J1018" s="3" t="inlineStr">
        <is>
          <t>Module Diode Failure</t>
        </is>
      </c>
      <c r="K1018" s="3" t="inlineStr">
        <is>
          <t>Sadla</t>
        </is>
      </c>
      <c r="L1018" s="3" t="inlineStr">
        <is>
          <t>Gujarat</t>
        </is>
      </c>
      <c r="M1018" s="9" t="inlineStr">
        <is>
          <t>NS</t>
        </is>
      </c>
      <c r="N1018" s="3" t="inlineStr">
        <is>
          <t>Cold Soldering</t>
        </is>
      </c>
      <c r="O1018" s="3" t="n">
        <v>570</v>
      </c>
      <c r="P1018" s="9" t="inlineStr">
        <is>
          <t>NSMI24070166698</t>
        </is>
      </c>
      <c r="Q1018" s="53">
        <f>MID(P1018,5,2)</f>
        <v/>
      </c>
      <c r="R1018" s="53">
        <f>MID(P1018,7,2)</f>
        <v/>
      </c>
      <c r="S1018" s="3" t="inlineStr">
        <is>
          <t>G2G</t>
        </is>
      </c>
      <c r="T1018" s="3" t="inlineStr">
        <is>
          <t>P4</t>
        </is>
      </c>
      <c r="U1018" s="3" t="inlineStr">
        <is>
          <t>N JB Cold Soldering</t>
        </is>
      </c>
      <c r="V1018" s="3" t="inlineStr">
        <is>
          <t>Soldering</t>
        </is>
      </c>
      <c r="W1018" s="3" t="inlineStr">
        <is>
          <t>Repair</t>
        </is>
      </c>
      <c r="X1018" s="18" t="n">
        <v>46156</v>
      </c>
      <c r="Y1018" s="3">
        <f>X1018-A1018</f>
        <v/>
      </c>
      <c r="Z1018" s="18" t="n">
        <v>46156</v>
      </c>
      <c r="AA1018" s="15" t="n"/>
      <c r="AB1018" s="15" t="n"/>
    </row>
    <row r="1019" hidden="1" s="233">
      <c r="A1019" s="6" t="n">
        <v>46107</v>
      </c>
      <c r="B1019" s="3" t="n">
        <v>2026</v>
      </c>
      <c r="C1019" s="3" t="inlineStr">
        <is>
          <t>Blupine</t>
        </is>
      </c>
      <c r="D1019" s="3" t="inlineStr">
        <is>
          <t>Utility and C&amp;I</t>
        </is>
      </c>
      <c r="E1019" s="3" t="n"/>
      <c r="F1019" s="3" t="inlineStr">
        <is>
          <t>Closed</t>
        </is>
      </c>
      <c r="G1019" s="3" t="inlineStr">
        <is>
          <t>Chandrashekar Patidar</t>
        </is>
      </c>
      <c r="H1019" s="3" t="n">
        <v>7879764773</v>
      </c>
      <c r="I1019" s="11" t="inlineStr">
        <is>
          <t>PE26032601</t>
        </is>
      </c>
      <c r="J1019" s="3" t="inlineStr">
        <is>
          <t>Module Diode Failure</t>
        </is>
      </c>
      <c r="K1019" s="3" t="inlineStr">
        <is>
          <t>Sadla</t>
        </is>
      </c>
      <c r="L1019" s="3" t="inlineStr">
        <is>
          <t>Gujarat</t>
        </is>
      </c>
      <c r="M1019" s="9" t="inlineStr">
        <is>
          <t>NS</t>
        </is>
      </c>
      <c r="N1019" s="3" t="inlineStr">
        <is>
          <t>Cold Soldering</t>
        </is>
      </c>
      <c r="O1019" s="3" t="n">
        <v>570</v>
      </c>
      <c r="P1019" s="9" t="inlineStr">
        <is>
          <t>NSMI24070166686</t>
        </is>
      </c>
      <c r="Q1019" s="53">
        <f>MID(P1019,5,2)</f>
        <v/>
      </c>
      <c r="R1019" s="53">
        <f>MID(P1019,7,2)</f>
        <v/>
      </c>
      <c r="S1019" s="3" t="inlineStr">
        <is>
          <t>G2G</t>
        </is>
      </c>
      <c r="T1019" s="3" t="inlineStr">
        <is>
          <t>P4</t>
        </is>
      </c>
      <c r="U1019" s="3" t="inlineStr">
        <is>
          <t>N JB Cold Soldering</t>
        </is>
      </c>
      <c r="V1019" s="3" t="inlineStr">
        <is>
          <t>Soldering</t>
        </is>
      </c>
      <c r="W1019" s="3" t="inlineStr">
        <is>
          <t>Repair</t>
        </is>
      </c>
      <c r="X1019" s="18" t="n">
        <v>46156</v>
      </c>
      <c r="Y1019" s="3">
        <f>X1019-A1019</f>
        <v/>
      </c>
      <c r="Z1019" s="18" t="n">
        <v>46156</v>
      </c>
      <c r="AA1019" s="15" t="n"/>
      <c r="AB1019" s="15" t="n"/>
    </row>
    <row r="1020" hidden="1" s="233">
      <c r="A1020" s="6" t="n">
        <v>46107</v>
      </c>
      <c r="B1020" s="3" t="n">
        <v>2026</v>
      </c>
      <c r="C1020" s="3" t="inlineStr">
        <is>
          <t>Blupine</t>
        </is>
      </c>
      <c r="D1020" s="3" t="inlineStr">
        <is>
          <t>Utility and C&amp;I</t>
        </is>
      </c>
      <c r="E1020" s="3" t="n"/>
      <c r="F1020" s="3" t="inlineStr">
        <is>
          <t>Closed</t>
        </is>
      </c>
      <c r="G1020" s="3" t="inlineStr">
        <is>
          <t>Chandrashekar Patidar</t>
        </is>
      </c>
      <c r="H1020" s="3" t="n">
        <v>7879764773</v>
      </c>
      <c r="I1020" s="11" t="inlineStr">
        <is>
          <t>PE26032601</t>
        </is>
      </c>
      <c r="J1020" s="3" t="inlineStr">
        <is>
          <t>Module Diode Failure</t>
        </is>
      </c>
      <c r="K1020" s="3" t="inlineStr">
        <is>
          <t>Sadla</t>
        </is>
      </c>
      <c r="L1020" s="3" t="inlineStr">
        <is>
          <t>Gujarat</t>
        </is>
      </c>
      <c r="M1020" s="9" t="inlineStr">
        <is>
          <t>NS</t>
        </is>
      </c>
      <c r="N1020" s="3" t="inlineStr">
        <is>
          <t>Cold Soldering</t>
        </is>
      </c>
      <c r="O1020" s="3" t="n">
        <v>570</v>
      </c>
      <c r="P1020" s="9" t="inlineStr">
        <is>
          <t>NSMI24070167388</t>
        </is>
      </c>
      <c r="Q1020" s="53">
        <f>MID(P1020,5,2)</f>
        <v/>
      </c>
      <c r="R1020" s="53">
        <f>MID(P1020,7,2)</f>
        <v/>
      </c>
      <c r="S1020" s="3" t="inlineStr">
        <is>
          <t>G2G</t>
        </is>
      </c>
      <c r="T1020" s="3" t="inlineStr">
        <is>
          <t>P4</t>
        </is>
      </c>
      <c r="U1020" s="3" t="inlineStr">
        <is>
          <t>N JB Cold Soldering</t>
        </is>
      </c>
      <c r="V1020" s="3" t="inlineStr">
        <is>
          <t>Soldering</t>
        </is>
      </c>
      <c r="W1020" s="3" t="inlineStr">
        <is>
          <t>Repair</t>
        </is>
      </c>
      <c r="X1020" s="18" t="n">
        <v>46156</v>
      </c>
      <c r="Y1020" s="3">
        <f>X1020-A1020</f>
        <v/>
      </c>
      <c r="Z1020" s="18" t="n">
        <v>46156</v>
      </c>
      <c r="AA1020" s="15" t="n"/>
      <c r="AB1020" s="15" t="n"/>
    </row>
    <row r="1021" hidden="1" s="233">
      <c r="A1021" s="6" t="n">
        <v>46107</v>
      </c>
      <c r="B1021" s="3" t="n">
        <v>2026</v>
      </c>
      <c r="C1021" s="3" t="inlineStr">
        <is>
          <t>Blupine</t>
        </is>
      </c>
      <c r="D1021" s="3" t="inlineStr">
        <is>
          <t>Utility and C&amp;I</t>
        </is>
      </c>
      <c r="E1021" s="3" t="n"/>
      <c r="F1021" s="3" t="inlineStr">
        <is>
          <t>Closed</t>
        </is>
      </c>
      <c r="G1021" s="3" t="inlineStr">
        <is>
          <t>Chandrashekar Patidar</t>
        </is>
      </c>
      <c r="H1021" s="3" t="n">
        <v>7879764773</v>
      </c>
      <c r="I1021" s="11" t="inlineStr">
        <is>
          <t>PE26032601</t>
        </is>
      </c>
      <c r="J1021" s="3" t="inlineStr">
        <is>
          <t>Module Diode Failure</t>
        </is>
      </c>
      <c r="K1021" s="3" t="inlineStr">
        <is>
          <t>Sadla</t>
        </is>
      </c>
      <c r="L1021" s="3" t="inlineStr">
        <is>
          <t>Gujarat</t>
        </is>
      </c>
      <c r="M1021" s="9" t="inlineStr">
        <is>
          <t>NS</t>
        </is>
      </c>
      <c r="N1021" s="3" t="inlineStr">
        <is>
          <t>Cold Soldering</t>
        </is>
      </c>
      <c r="O1021" s="3" t="n">
        <v>570</v>
      </c>
      <c r="P1021" s="9" t="inlineStr">
        <is>
          <t>NSMI24060154849</t>
        </is>
      </c>
      <c r="Q1021" s="53">
        <f>MID(P1021,5,2)</f>
        <v/>
      </c>
      <c r="R1021" s="53">
        <f>MID(P1021,7,2)</f>
        <v/>
      </c>
      <c r="S1021" s="3" t="inlineStr">
        <is>
          <t>G2G</t>
        </is>
      </c>
      <c r="T1021" s="3" t="inlineStr">
        <is>
          <t>P4</t>
        </is>
      </c>
      <c r="U1021" s="3" t="inlineStr">
        <is>
          <t>N JB Cold Soldering</t>
        </is>
      </c>
      <c r="V1021" s="3" t="inlineStr">
        <is>
          <t>Soldering</t>
        </is>
      </c>
      <c r="W1021" s="3" t="inlineStr">
        <is>
          <t>Repair</t>
        </is>
      </c>
      <c r="X1021" s="18" t="n">
        <v>46156</v>
      </c>
      <c r="Y1021" s="3">
        <f>X1021-A1021</f>
        <v/>
      </c>
      <c r="Z1021" s="18" t="n">
        <v>46156</v>
      </c>
      <c r="AA1021" s="15" t="n"/>
      <c r="AB1021" s="15" t="n"/>
    </row>
    <row r="1022" hidden="1" s="233">
      <c r="A1022" s="6" t="n">
        <v>46107</v>
      </c>
      <c r="B1022" s="3" t="n">
        <v>2026</v>
      </c>
      <c r="C1022" s="3" t="inlineStr">
        <is>
          <t>Blupine</t>
        </is>
      </c>
      <c r="D1022" s="3" t="inlineStr">
        <is>
          <t>Utility and C&amp;I</t>
        </is>
      </c>
      <c r="E1022" s="3" t="n"/>
      <c r="F1022" s="3" t="inlineStr">
        <is>
          <t>Closed</t>
        </is>
      </c>
      <c r="G1022" s="3" t="inlineStr">
        <is>
          <t>Chandrashekar Patidar</t>
        </is>
      </c>
      <c r="H1022" s="3" t="n">
        <v>7879764773</v>
      </c>
      <c r="I1022" s="11" t="inlineStr">
        <is>
          <t>PE26032601</t>
        </is>
      </c>
      <c r="J1022" s="3" t="inlineStr">
        <is>
          <t>Module Diode Failure</t>
        </is>
      </c>
      <c r="K1022" s="3" t="inlineStr">
        <is>
          <t>Sadla</t>
        </is>
      </c>
      <c r="L1022" s="3" t="inlineStr">
        <is>
          <t>Gujarat</t>
        </is>
      </c>
      <c r="M1022" s="9" t="inlineStr">
        <is>
          <t>NS</t>
        </is>
      </c>
      <c r="N1022" s="3" t="inlineStr">
        <is>
          <t>Cold Soldering</t>
        </is>
      </c>
      <c r="O1022" s="3" t="n">
        <v>570</v>
      </c>
      <c r="P1022" s="9" t="inlineStr">
        <is>
          <t>NSMI24070166948</t>
        </is>
      </c>
      <c r="Q1022" s="53">
        <f>MID(P1022,5,2)</f>
        <v/>
      </c>
      <c r="R1022" s="53">
        <f>MID(P1022,7,2)</f>
        <v/>
      </c>
      <c r="S1022" s="3" t="inlineStr">
        <is>
          <t>G2G</t>
        </is>
      </c>
      <c r="T1022" s="3" t="inlineStr">
        <is>
          <t>P4</t>
        </is>
      </c>
      <c r="U1022" s="3" t="inlineStr">
        <is>
          <t>N JB Cold Soldering</t>
        </is>
      </c>
      <c r="V1022" s="3" t="inlineStr">
        <is>
          <t>Soldering</t>
        </is>
      </c>
      <c r="W1022" s="3" t="inlineStr">
        <is>
          <t>Repair</t>
        </is>
      </c>
      <c r="X1022" s="18" t="n">
        <v>46156</v>
      </c>
      <c r="Y1022" s="3">
        <f>X1022-A1022</f>
        <v/>
      </c>
      <c r="Z1022" s="18" t="n">
        <v>46156</v>
      </c>
      <c r="AA1022" s="15" t="n"/>
      <c r="AB1022" s="15" t="n"/>
    </row>
    <row r="1023" hidden="1" s="233">
      <c r="A1023" s="6" t="n">
        <v>46107</v>
      </c>
      <c r="B1023" s="3" t="n">
        <v>2026</v>
      </c>
      <c r="C1023" s="3" t="inlineStr">
        <is>
          <t>Blupine</t>
        </is>
      </c>
      <c r="D1023" s="3" t="inlineStr">
        <is>
          <t>Utility and C&amp;I</t>
        </is>
      </c>
      <c r="E1023" s="3" t="n"/>
      <c r="F1023" s="3" t="inlineStr">
        <is>
          <t>Closed</t>
        </is>
      </c>
      <c r="G1023" s="3" t="inlineStr">
        <is>
          <t>Chandrashekar Patidar</t>
        </is>
      </c>
      <c r="H1023" s="3" t="n">
        <v>7879764773</v>
      </c>
      <c r="I1023" s="11" t="inlineStr">
        <is>
          <t>PE26032601</t>
        </is>
      </c>
      <c r="J1023" s="3" t="inlineStr">
        <is>
          <t>Module Diode Failure</t>
        </is>
      </c>
      <c r="K1023" s="3" t="inlineStr">
        <is>
          <t>Sadla</t>
        </is>
      </c>
      <c r="L1023" s="3" t="inlineStr">
        <is>
          <t>Gujarat</t>
        </is>
      </c>
      <c r="M1023" s="9" t="inlineStr">
        <is>
          <t>NS</t>
        </is>
      </c>
      <c r="N1023" s="3" t="inlineStr">
        <is>
          <t>Cold Soldering</t>
        </is>
      </c>
      <c r="O1023" s="3" t="n">
        <v>570</v>
      </c>
      <c r="P1023" s="9" t="inlineStr">
        <is>
          <t>NSMI24060154820</t>
        </is>
      </c>
      <c r="Q1023" s="53">
        <f>MID(P1023,5,2)</f>
        <v/>
      </c>
      <c r="R1023" s="53">
        <f>MID(P1023,7,2)</f>
        <v/>
      </c>
      <c r="S1023" s="3" t="inlineStr">
        <is>
          <t>G2G</t>
        </is>
      </c>
      <c r="T1023" s="3" t="inlineStr">
        <is>
          <t>P4</t>
        </is>
      </c>
      <c r="U1023" s="3" t="inlineStr">
        <is>
          <t>N JB Cold Soldering</t>
        </is>
      </c>
      <c r="V1023" s="3" t="inlineStr">
        <is>
          <t>Soldering</t>
        </is>
      </c>
      <c r="W1023" s="3" t="inlineStr">
        <is>
          <t>Repair</t>
        </is>
      </c>
      <c r="X1023" s="18" t="n">
        <v>46156</v>
      </c>
      <c r="Y1023" s="3">
        <f>X1023-A1023</f>
        <v/>
      </c>
      <c r="Z1023" s="18" t="n">
        <v>46156</v>
      </c>
      <c r="AA1023" s="15" t="n"/>
      <c r="AB1023" s="15" t="n"/>
    </row>
    <row r="1024" hidden="1" s="233">
      <c r="A1024" s="6" t="n">
        <v>46107</v>
      </c>
      <c r="B1024" s="3" t="n">
        <v>2026</v>
      </c>
      <c r="C1024" s="3" t="inlineStr">
        <is>
          <t>Blupine</t>
        </is>
      </c>
      <c r="D1024" s="3" t="inlineStr">
        <is>
          <t>Utility and C&amp;I</t>
        </is>
      </c>
      <c r="E1024" s="3" t="n"/>
      <c r="F1024" s="3" t="inlineStr">
        <is>
          <t>Closed</t>
        </is>
      </c>
      <c r="G1024" s="3" t="inlineStr">
        <is>
          <t>Chandrashekar Patidar</t>
        </is>
      </c>
      <c r="H1024" s="3" t="n">
        <v>7879764773</v>
      </c>
      <c r="I1024" s="11" t="inlineStr">
        <is>
          <t>PE26032601</t>
        </is>
      </c>
      <c r="J1024" s="3" t="inlineStr">
        <is>
          <t>Module Diode Failure</t>
        </is>
      </c>
      <c r="K1024" s="3" t="inlineStr">
        <is>
          <t>Sadla</t>
        </is>
      </c>
      <c r="L1024" s="3" t="inlineStr">
        <is>
          <t>Gujarat</t>
        </is>
      </c>
      <c r="M1024" s="9" t="inlineStr">
        <is>
          <t>NS</t>
        </is>
      </c>
      <c r="N1024" s="3" t="inlineStr">
        <is>
          <t>Cold Soldering</t>
        </is>
      </c>
      <c r="O1024" s="3" t="n">
        <v>570</v>
      </c>
      <c r="P1024" s="9" t="inlineStr">
        <is>
          <t>NSMI24060153579</t>
        </is>
      </c>
      <c r="Q1024" s="53">
        <f>MID(P1024,5,2)</f>
        <v/>
      </c>
      <c r="R1024" s="53">
        <f>MID(P1024,7,2)</f>
        <v/>
      </c>
      <c r="S1024" s="3" t="inlineStr">
        <is>
          <t>G2G</t>
        </is>
      </c>
      <c r="T1024" s="3" t="inlineStr">
        <is>
          <t>P4</t>
        </is>
      </c>
      <c r="U1024" s="3" t="inlineStr">
        <is>
          <t>N JB Cold Soldering</t>
        </is>
      </c>
      <c r="V1024" s="3" t="inlineStr">
        <is>
          <t>Soldering</t>
        </is>
      </c>
      <c r="W1024" s="3" t="inlineStr">
        <is>
          <t>Repair</t>
        </is>
      </c>
      <c r="X1024" s="18" t="n">
        <v>46156</v>
      </c>
      <c r="Y1024" s="3">
        <f>X1024-A1024</f>
        <v/>
      </c>
      <c r="Z1024" s="18" t="n">
        <v>46156</v>
      </c>
      <c r="AA1024" s="15" t="n"/>
      <c r="AB1024" s="15" t="n"/>
    </row>
    <row r="1025" hidden="1" s="233">
      <c r="A1025" s="6" t="n">
        <v>46107</v>
      </c>
      <c r="B1025" s="3" t="n">
        <v>2026</v>
      </c>
      <c r="C1025" s="3" t="inlineStr">
        <is>
          <t>Blupine</t>
        </is>
      </c>
      <c r="D1025" s="3" t="inlineStr">
        <is>
          <t>Utility and C&amp;I</t>
        </is>
      </c>
      <c r="E1025" s="3" t="n"/>
      <c r="F1025" s="3" t="inlineStr">
        <is>
          <t>Closed</t>
        </is>
      </c>
      <c r="G1025" s="3" t="inlineStr">
        <is>
          <t>Chandrashekar Patidar</t>
        </is>
      </c>
      <c r="H1025" s="3" t="n">
        <v>7879764773</v>
      </c>
      <c r="I1025" s="11" t="inlineStr">
        <is>
          <t>PE26032601</t>
        </is>
      </c>
      <c r="J1025" s="3" t="inlineStr">
        <is>
          <t>Module Diode Failure</t>
        </is>
      </c>
      <c r="K1025" s="3" t="inlineStr">
        <is>
          <t>Sadla</t>
        </is>
      </c>
      <c r="L1025" s="3" t="inlineStr">
        <is>
          <t>Gujarat</t>
        </is>
      </c>
      <c r="M1025" s="9" t="inlineStr">
        <is>
          <t>NS</t>
        </is>
      </c>
      <c r="N1025" s="3" t="inlineStr">
        <is>
          <t>Cold Soldering</t>
        </is>
      </c>
      <c r="O1025" s="3" t="n">
        <v>570</v>
      </c>
      <c r="P1025" s="9" t="inlineStr">
        <is>
          <t>NSMI24060146922</t>
        </is>
      </c>
      <c r="Q1025" s="53">
        <f>MID(P1025,5,2)</f>
        <v/>
      </c>
      <c r="R1025" s="53">
        <f>MID(P1025,7,2)</f>
        <v/>
      </c>
      <c r="S1025" s="3" t="inlineStr">
        <is>
          <t>G2G</t>
        </is>
      </c>
      <c r="T1025" s="3" t="inlineStr">
        <is>
          <t>P4</t>
        </is>
      </c>
      <c r="U1025" s="3" t="inlineStr">
        <is>
          <t>N JB Cold Soldering</t>
        </is>
      </c>
      <c r="V1025" s="3" t="inlineStr">
        <is>
          <t>Soldering</t>
        </is>
      </c>
      <c r="W1025" s="3" t="inlineStr">
        <is>
          <t>Repair</t>
        </is>
      </c>
      <c r="X1025" s="18" t="n">
        <v>46156</v>
      </c>
      <c r="Y1025" s="3">
        <f>X1025-A1025</f>
        <v/>
      </c>
      <c r="Z1025" s="18" t="n">
        <v>46156</v>
      </c>
      <c r="AA1025" s="15" t="n"/>
      <c r="AB1025" s="15" t="n"/>
    </row>
    <row r="1026" hidden="1" s="233">
      <c r="A1026" s="6" t="n">
        <v>46107</v>
      </c>
      <c r="B1026" s="3" t="n">
        <v>2026</v>
      </c>
      <c r="C1026" s="3" t="inlineStr">
        <is>
          <t>Blupine</t>
        </is>
      </c>
      <c r="D1026" s="3" t="inlineStr">
        <is>
          <t>Utility and C&amp;I</t>
        </is>
      </c>
      <c r="E1026" s="3" t="n"/>
      <c r="F1026" s="3" t="inlineStr">
        <is>
          <t>Closed</t>
        </is>
      </c>
      <c r="G1026" s="3" t="inlineStr">
        <is>
          <t>Chandrashekar Patidar</t>
        </is>
      </c>
      <c r="H1026" s="3" t="n">
        <v>7879764773</v>
      </c>
      <c r="I1026" s="11" t="inlineStr">
        <is>
          <t>PE26032601</t>
        </is>
      </c>
      <c r="J1026" s="3" t="inlineStr">
        <is>
          <t>Module Diode Failure</t>
        </is>
      </c>
      <c r="K1026" s="3" t="inlineStr">
        <is>
          <t>Sadla</t>
        </is>
      </c>
      <c r="L1026" s="3" t="inlineStr">
        <is>
          <t>Gujarat</t>
        </is>
      </c>
      <c r="M1026" s="9" t="inlineStr">
        <is>
          <t>NR</t>
        </is>
      </c>
      <c r="N1026" s="3" t="inlineStr">
        <is>
          <t>JB Issue</t>
        </is>
      </c>
      <c r="O1026" s="3" t="n">
        <v>570</v>
      </c>
      <c r="P1026" s="9" t="inlineStr">
        <is>
          <t>NSMI24060111081</t>
        </is>
      </c>
      <c r="Q1026" s="53">
        <f>MID(P1026,5,2)</f>
        <v/>
      </c>
      <c r="R1026" s="53">
        <f>MID(P1026,7,2)</f>
        <v/>
      </c>
      <c r="S1026" s="3" t="inlineStr">
        <is>
          <t>G2G</t>
        </is>
      </c>
      <c r="T1026" s="3" t="inlineStr">
        <is>
          <t>P4</t>
        </is>
      </c>
      <c r="U1026" s="3" t="inlineStr">
        <is>
          <t>N JB Issue</t>
        </is>
      </c>
      <c r="V1026" s="3" t="inlineStr">
        <is>
          <t>JB Changed</t>
        </is>
      </c>
      <c r="W1026" s="3" t="inlineStr">
        <is>
          <t>Repair</t>
        </is>
      </c>
      <c r="X1026" s="18" t="n">
        <v>46156</v>
      </c>
      <c r="Y1026" s="3">
        <f>X1026-A1026</f>
        <v/>
      </c>
      <c r="Z1026" s="18" t="n">
        <v>46156</v>
      </c>
      <c r="AA1026" s="15" t="n"/>
      <c r="AB1026" s="15" t="n"/>
    </row>
    <row r="1027" hidden="1" s="233">
      <c r="A1027" s="6" t="n">
        <v>46107</v>
      </c>
      <c r="B1027" s="3" t="n">
        <v>2026</v>
      </c>
      <c r="C1027" s="3" t="inlineStr">
        <is>
          <t>Blupine</t>
        </is>
      </c>
      <c r="D1027" s="3" t="inlineStr">
        <is>
          <t>Utility and C&amp;I</t>
        </is>
      </c>
      <c r="E1027" s="3" t="n"/>
      <c r="F1027" s="3" t="inlineStr">
        <is>
          <t>Closed</t>
        </is>
      </c>
      <c r="G1027" s="3" t="inlineStr">
        <is>
          <t>Chandrashekar Patidar</t>
        </is>
      </c>
      <c r="H1027" s="3" t="n">
        <v>7879764773</v>
      </c>
      <c r="I1027" s="11" t="inlineStr">
        <is>
          <t>PE26032601</t>
        </is>
      </c>
      <c r="J1027" s="3" t="inlineStr">
        <is>
          <t>Module Diode Failure</t>
        </is>
      </c>
      <c r="K1027" s="3" t="inlineStr">
        <is>
          <t>Sadla</t>
        </is>
      </c>
      <c r="L1027" s="3" t="inlineStr">
        <is>
          <t>Gujarat</t>
        </is>
      </c>
      <c r="M1027" s="9" t="inlineStr">
        <is>
          <t>NR</t>
        </is>
      </c>
      <c r="N1027" s="3" t="inlineStr">
        <is>
          <t>JB Issue</t>
        </is>
      </c>
      <c r="O1027" s="3" t="n">
        <v>570</v>
      </c>
      <c r="P1027" s="9" t="inlineStr">
        <is>
          <t>NSMI24060091603</t>
        </is>
      </c>
      <c r="Q1027" s="53">
        <f>MID(P1027,5,2)</f>
        <v/>
      </c>
      <c r="R1027" s="53">
        <f>MID(P1027,7,2)</f>
        <v/>
      </c>
      <c r="S1027" s="3" t="inlineStr">
        <is>
          <t>G2G</t>
        </is>
      </c>
      <c r="T1027" s="3" t="inlineStr">
        <is>
          <t>P4</t>
        </is>
      </c>
      <c r="U1027" s="3" t="inlineStr">
        <is>
          <t>N JB Issue</t>
        </is>
      </c>
      <c r="V1027" s="3" t="inlineStr">
        <is>
          <t>JB Changed</t>
        </is>
      </c>
      <c r="W1027" s="3" t="inlineStr">
        <is>
          <t>Repair</t>
        </is>
      </c>
      <c r="X1027" s="18" t="n">
        <v>46156</v>
      </c>
      <c r="Y1027" s="3">
        <f>X1027-A1027</f>
        <v/>
      </c>
      <c r="Z1027" s="18" t="n">
        <v>46156</v>
      </c>
      <c r="AA1027" s="15" t="n"/>
      <c r="AB1027" s="15" t="n"/>
    </row>
    <row r="1028" hidden="1" s="233">
      <c r="A1028" s="6" t="n">
        <v>46107</v>
      </c>
      <c r="B1028" s="3" t="n">
        <v>2026</v>
      </c>
      <c r="C1028" s="3" t="inlineStr">
        <is>
          <t>Blupine</t>
        </is>
      </c>
      <c r="D1028" s="3" t="inlineStr">
        <is>
          <t>Utility and C&amp;I</t>
        </is>
      </c>
      <c r="E1028" s="3" t="n"/>
      <c r="F1028" s="3" t="inlineStr">
        <is>
          <t>Closed</t>
        </is>
      </c>
      <c r="G1028" s="3" t="inlineStr">
        <is>
          <t>Chandrashekar Patidar</t>
        </is>
      </c>
      <c r="H1028" s="3" t="n">
        <v>7879764773</v>
      </c>
      <c r="I1028" s="11" t="inlineStr">
        <is>
          <t>PE26032601</t>
        </is>
      </c>
      <c r="J1028" s="3" t="inlineStr">
        <is>
          <t>Module Diode Failure</t>
        </is>
      </c>
      <c r="K1028" s="3" t="inlineStr">
        <is>
          <t>Sadla</t>
        </is>
      </c>
      <c r="L1028" s="3" t="inlineStr">
        <is>
          <t>Gujarat</t>
        </is>
      </c>
      <c r="M1028" s="9" t="inlineStr">
        <is>
          <t>PR</t>
        </is>
      </c>
      <c r="N1028" s="3" t="inlineStr">
        <is>
          <t>JB Issue</t>
        </is>
      </c>
      <c r="O1028" s="3" t="n">
        <v>570</v>
      </c>
      <c r="P1028" s="9" t="inlineStr">
        <is>
          <t>NSMI24060096124</t>
        </is>
      </c>
      <c r="Q1028" s="53">
        <f>MID(P1028,5,2)</f>
        <v/>
      </c>
      <c r="R1028" s="53">
        <f>MID(P1028,7,2)</f>
        <v/>
      </c>
      <c r="S1028" s="3" t="inlineStr">
        <is>
          <t>G2G</t>
        </is>
      </c>
      <c r="T1028" s="3" t="inlineStr">
        <is>
          <t>P4</t>
        </is>
      </c>
      <c r="U1028" s="3" t="inlineStr">
        <is>
          <t>P JB Issue</t>
        </is>
      </c>
      <c r="V1028" s="15" t="inlineStr">
        <is>
          <t>JB Changed</t>
        </is>
      </c>
      <c r="W1028" s="3" t="inlineStr">
        <is>
          <t>Repair</t>
        </is>
      </c>
      <c r="X1028" s="18" t="n">
        <v>46156</v>
      </c>
      <c r="Y1028" s="3">
        <f>X1028-A1028</f>
        <v/>
      </c>
      <c r="Z1028" s="18" t="n">
        <v>46156</v>
      </c>
      <c r="AA1028" s="15" t="n"/>
      <c r="AB1028" s="15" t="n"/>
    </row>
    <row r="1029">
      <c r="A1029" s="37" t="n">
        <v>46143</v>
      </c>
      <c r="B1029" s="3" t="n">
        <v>2026</v>
      </c>
      <c r="C1029" s="26" t="inlineStr">
        <is>
          <t>Yanara Power</t>
        </is>
      </c>
      <c r="D1029" s="3" t="inlineStr">
        <is>
          <t>Utility and C&amp;I</t>
        </is>
      </c>
      <c r="E1029" s="3" t="n"/>
      <c r="F1029" s="3" t="inlineStr">
        <is>
          <t>Closed</t>
        </is>
      </c>
      <c r="G1029" s="9" t="inlineStr">
        <is>
          <t xml:space="preserve">Ashish Jindal </t>
        </is>
      </c>
      <c r="H1029" s="26" t="n">
        <v>9983975581</v>
      </c>
      <c r="I1029" s="38" t="inlineStr">
        <is>
          <t>PE01052601</t>
        </is>
      </c>
      <c r="J1029" s="26" t="inlineStr">
        <is>
          <t>Multiple Issues</t>
        </is>
      </c>
      <c r="K1029" s="39" t="inlineStr">
        <is>
          <t>Holi</t>
        </is>
      </c>
      <c r="L1029" s="39" t="inlineStr">
        <is>
          <t>Maharashtra</t>
        </is>
      </c>
      <c r="M1029" s="9" t="inlineStr">
        <is>
          <t>PS</t>
        </is>
      </c>
      <c r="N1029" s="3" t="inlineStr">
        <is>
          <t>Cold Soldering</t>
        </is>
      </c>
      <c r="O1029" s="39" t="n">
        <v>575</v>
      </c>
      <c r="P1029" s="9" t="inlineStr">
        <is>
          <t>NSMI24070190991</t>
        </is>
      </c>
      <c r="Q1029" s="53">
        <f>MID(P1029,5,2)</f>
        <v/>
      </c>
      <c r="R1029" s="53">
        <f>MID(P1029,7,2)</f>
        <v/>
      </c>
      <c r="S1029" s="3" t="inlineStr">
        <is>
          <t>G2G</t>
        </is>
      </c>
      <c r="T1029" s="3" t="inlineStr">
        <is>
          <t>P4</t>
        </is>
      </c>
      <c r="U1029" s="19" t="inlineStr">
        <is>
          <t>P JB Cold Soldering</t>
        </is>
      </c>
      <c r="V1029" s="19" t="inlineStr">
        <is>
          <t>Soldering</t>
        </is>
      </c>
      <c r="W1029" s="3" t="inlineStr">
        <is>
          <t>Repair</t>
        </is>
      </c>
      <c r="X1029" s="18" t="n">
        <v>46156</v>
      </c>
      <c r="Y1029" s="3">
        <f>X1029-A1029</f>
        <v/>
      </c>
      <c r="Z1029" s="18" t="n">
        <v>46156</v>
      </c>
      <c r="AA1029" s="15" t="n"/>
      <c r="AB1029" s="15" t="n"/>
    </row>
    <row r="1030">
      <c r="A1030" s="37" t="n">
        <v>46143</v>
      </c>
      <c r="B1030" s="3" t="n">
        <v>2026</v>
      </c>
      <c r="C1030" s="26" t="inlineStr">
        <is>
          <t>Yanara Power</t>
        </is>
      </c>
      <c r="D1030" s="3" t="inlineStr">
        <is>
          <t>Utility and C&amp;I</t>
        </is>
      </c>
      <c r="E1030" s="3" t="n"/>
      <c r="F1030" s="3" t="inlineStr">
        <is>
          <t>Closed</t>
        </is>
      </c>
      <c r="G1030" s="9" t="inlineStr">
        <is>
          <t xml:space="preserve">Ashish Jindal </t>
        </is>
      </c>
      <c r="H1030" s="26" t="n">
        <v>9983975581</v>
      </c>
      <c r="I1030" s="38" t="inlineStr">
        <is>
          <t>PE01052601</t>
        </is>
      </c>
      <c r="J1030" s="26" t="inlineStr">
        <is>
          <t>Multiple Issues</t>
        </is>
      </c>
      <c r="K1030" s="39" t="inlineStr">
        <is>
          <t>Holi</t>
        </is>
      </c>
      <c r="L1030" s="39" t="inlineStr">
        <is>
          <t>Maharashtra</t>
        </is>
      </c>
      <c r="M1030" s="9" t="inlineStr">
        <is>
          <t>PS</t>
        </is>
      </c>
      <c r="N1030" s="3" t="inlineStr">
        <is>
          <t>Cold Soldering</t>
        </is>
      </c>
      <c r="O1030" s="39" t="n">
        <v>575</v>
      </c>
      <c r="P1030" s="9" t="inlineStr">
        <is>
          <t>NSMI24070190960</t>
        </is>
      </c>
      <c r="Q1030" s="53">
        <f>MID(P1030,5,2)</f>
        <v/>
      </c>
      <c r="R1030" s="53">
        <f>MID(P1030,7,2)</f>
        <v/>
      </c>
      <c r="S1030" s="3" t="inlineStr">
        <is>
          <t>G2G</t>
        </is>
      </c>
      <c r="T1030" s="3" t="inlineStr">
        <is>
          <t>P4</t>
        </is>
      </c>
      <c r="U1030" s="19" t="inlineStr">
        <is>
          <t>P JB Cold Soldering</t>
        </is>
      </c>
      <c r="V1030" s="19" t="inlineStr">
        <is>
          <t>Soldering</t>
        </is>
      </c>
      <c r="W1030" s="3" t="inlineStr">
        <is>
          <t>Repair</t>
        </is>
      </c>
      <c r="X1030" s="18" t="n">
        <v>46156</v>
      </c>
      <c r="Y1030" s="3">
        <f>X1030-A1030</f>
        <v/>
      </c>
      <c r="Z1030" s="18" t="n">
        <v>46156</v>
      </c>
      <c r="AA1030" s="15" t="n"/>
      <c r="AB1030" s="15" t="n"/>
    </row>
    <row r="1031">
      <c r="A1031" s="37" t="n">
        <v>46143</v>
      </c>
      <c r="B1031" s="3" t="n">
        <v>2026</v>
      </c>
      <c r="C1031" s="26" t="inlineStr">
        <is>
          <t>Yanara Power</t>
        </is>
      </c>
      <c r="D1031" s="3" t="inlineStr">
        <is>
          <t>Utility and C&amp;I</t>
        </is>
      </c>
      <c r="E1031" s="3" t="n"/>
      <c r="F1031" s="3" t="inlineStr">
        <is>
          <t>Closed</t>
        </is>
      </c>
      <c r="G1031" s="9" t="inlineStr">
        <is>
          <t xml:space="preserve">Ashish Jindal </t>
        </is>
      </c>
      <c r="H1031" s="26" t="n">
        <v>9983975581</v>
      </c>
      <c r="I1031" s="38" t="inlineStr">
        <is>
          <t>PE01052601</t>
        </is>
      </c>
      <c r="J1031" s="26" t="inlineStr">
        <is>
          <t>Multiple Issues</t>
        </is>
      </c>
      <c r="K1031" s="39" t="inlineStr">
        <is>
          <t>Holi</t>
        </is>
      </c>
      <c r="L1031" s="39" t="inlineStr">
        <is>
          <t>Maharashtra</t>
        </is>
      </c>
      <c r="M1031" s="9" t="inlineStr">
        <is>
          <t>PS</t>
        </is>
      </c>
      <c r="N1031" s="3" t="inlineStr">
        <is>
          <t>Cold Soldering</t>
        </is>
      </c>
      <c r="O1031" s="39" t="n">
        <v>575</v>
      </c>
      <c r="P1031" s="9" t="inlineStr">
        <is>
          <t>NSMI24070192743</t>
        </is>
      </c>
      <c r="Q1031" s="53">
        <f>MID(P1031,5,2)</f>
        <v/>
      </c>
      <c r="R1031" s="53">
        <f>MID(P1031,7,2)</f>
        <v/>
      </c>
      <c r="S1031" s="3" t="inlineStr">
        <is>
          <t>G2G</t>
        </is>
      </c>
      <c r="T1031" s="3" t="inlineStr">
        <is>
          <t>P4</t>
        </is>
      </c>
      <c r="U1031" s="19" t="inlineStr">
        <is>
          <t>P JB Cold Soldering</t>
        </is>
      </c>
      <c r="V1031" s="19" t="inlineStr">
        <is>
          <t>Soldering</t>
        </is>
      </c>
      <c r="W1031" s="3" t="inlineStr">
        <is>
          <t>Repair</t>
        </is>
      </c>
      <c r="X1031" s="18" t="n">
        <v>46156</v>
      </c>
      <c r="Y1031" s="3">
        <f>X1031-A1031</f>
        <v/>
      </c>
      <c r="Z1031" s="18" t="n">
        <v>46156</v>
      </c>
      <c r="AA1031" s="15" t="n"/>
      <c r="AB1031" s="15" t="n"/>
    </row>
    <row r="1032">
      <c r="A1032" s="37" t="n">
        <v>46143</v>
      </c>
      <c r="B1032" s="3" t="n">
        <v>2026</v>
      </c>
      <c r="C1032" s="26" t="inlineStr">
        <is>
          <t>Yanara Power</t>
        </is>
      </c>
      <c r="D1032" s="3" t="inlineStr">
        <is>
          <t>Utility and C&amp;I</t>
        </is>
      </c>
      <c r="E1032" s="3" t="n"/>
      <c r="F1032" s="3" t="inlineStr">
        <is>
          <t>Closed</t>
        </is>
      </c>
      <c r="G1032" s="9" t="inlineStr">
        <is>
          <t xml:space="preserve">Ashish Jindal </t>
        </is>
      </c>
      <c r="H1032" s="26" t="n">
        <v>9983975581</v>
      </c>
      <c r="I1032" s="38" t="inlineStr">
        <is>
          <t>PE01052601</t>
        </is>
      </c>
      <c r="J1032" s="26" t="inlineStr">
        <is>
          <t>Multiple Issues</t>
        </is>
      </c>
      <c r="K1032" s="39" t="inlineStr">
        <is>
          <t>Holi</t>
        </is>
      </c>
      <c r="L1032" s="39" t="inlineStr">
        <is>
          <t>Maharashtra</t>
        </is>
      </c>
      <c r="M1032" s="9" t="inlineStr">
        <is>
          <t>NS</t>
        </is>
      </c>
      <c r="N1032" s="3" t="inlineStr">
        <is>
          <t>Cold Soldering</t>
        </is>
      </c>
      <c r="O1032" s="39" t="n">
        <v>575</v>
      </c>
      <c r="P1032" s="9" t="inlineStr">
        <is>
          <t>NSMI24070202809</t>
        </is>
      </c>
      <c r="Q1032" s="53">
        <f>MID(P1032,5,2)</f>
        <v/>
      </c>
      <c r="R1032" s="53">
        <f>MID(P1032,7,2)</f>
        <v/>
      </c>
      <c r="S1032" s="3" t="inlineStr">
        <is>
          <t>G2G</t>
        </is>
      </c>
      <c r="T1032" s="3" t="inlineStr">
        <is>
          <t>P4</t>
        </is>
      </c>
      <c r="U1032" s="3" t="inlineStr">
        <is>
          <t>N JB Cold Soldering</t>
        </is>
      </c>
      <c r="V1032" s="3" t="inlineStr">
        <is>
          <t>Soldering</t>
        </is>
      </c>
      <c r="W1032" s="3" t="inlineStr">
        <is>
          <t>Repair</t>
        </is>
      </c>
      <c r="X1032" s="18" t="n">
        <v>46156</v>
      </c>
      <c r="Y1032" s="3">
        <f>X1032-A1032</f>
        <v/>
      </c>
      <c r="Z1032" s="18" t="n">
        <v>46156</v>
      </c>
      <c r="AA1032" s="15" t="n"/>
      <c r="AB1032" s="15" t="n"/>
    </row>
    <row r="1033">
      <c r="A1033" s="37" t="n">
        <v>46143</v>
      </c>
      <c r="B1033" s="3" t="n">
        <v>2026</v>
      </c>
      <c r="C1033" s="26" t="inlineStr">
        <is>
          <t>Yanara Power</t>
        </is>
      </c>
      <c r="D1033" s="3" t="inlineStr">
        <is>
          <t>Utility and C&amp;I</t>
        </is>
      </c>
      <c r="E1033" s="3" t="n"/>
      <c r="F1033" s="3" t="inlineStr">
        <is>
          <t>Closed</t>
        </is>
      </c>
      <c r="G1033" s="9" t="inlineStr">
        <is>
          <t xml:space="preserve">Ashish Jindal </t>
        </is>
      </c>
      <c r="H1033" s="26" t="n">
        <v>9983975581</v>
      </c>
      <c r="I1033" s="38" t="inlineStr">
        <is>
          <t>PE01052601</t>
        </is>
      </c>
      <c r="J1033" s="26" t="inlineStr">
        <is>
          <t>Multiple Issues</t>
        </is>
      </c>
      <c r="K1033" s="39" t="inlineStr">
        <is>
          <t>Holi</t>
        </is>
      </c>
      <c r="L1033" s="39" t="inlineStr">
        <is>
          <t>Maharashtra</t>
        </is>
      </c>
      <c r="M1033" s="9" t="inlineStr">
        <is>
          <t>PS</t>
        </is>
      </c>
      <c r="N1033" s="3" t="inlineStr">
        <is>
          <t>Cold Soldering</t>
        </is>
      </c>
      <c r="O1033" s="39" t="n">
        <v>575</v>
      </c>
      <c r="P1033" s="9" t="inlineStr">
        <is>
          <t>NSMI24070178355</t>
        </is>
      </c>
      <c r="Q1033" s="53">
        <f>MID(P1033,5,2)</f>
        <v/>
      </c>
      <c r="R1033" s="53">
        <f>MID(P1033,7,2)</f>
        <v/>
      </c>
      <c r="S1033" s="3" t="inlineStr">
        <is>
          <t>G2G</t>
        </is>
      </c>
      <c r="T1033" s="3" t="inlineStr">
        <is>
          <t>P4</t>
        </is>
      </c>
      <c r="U1033" s="19" t="inlineStr">
        <is>
          <t>P JB Cold Soldering</t>
        </is>
      </c>
      <c r="V1033" s="19" t="inlineStr">
        <is>
          <t>Soldering</t>
        </is>
      </c>
      <c r="W1033" s="3" t="inlineStr">
        <is>
          <t>Repair</t>
        </is>
      </c>
      <c r="X1033" s="18" t="n">
        <v>46156</v>
      </c>
      <c r="Y1033" s="3">
        <f>X1033-A1033</f>
        <v/>
      </c>
      <c r="Z1033" s="18" t="n">
        <v>46156</v>
      </c>
      <c r="AA1033" s="15" t="n"/>
      <c r="AB1033" s="15" t="n"/>
    </row>
    <row r="1034">
      <c r="A1034" s="37" t="n">
        <v>46143</v>
      </c>
      <c r="B1034" s="3" t="n">
        <v>2026</v>
      </c>
      <c r="C1034" s="26" t="inlineStr">
        <is>
          <t>Yanara Power</t>
        </is>
      </c>
      <c r="D1034" s="3" t="inlineStr">
        <is>
          <t>Utility and C&amp;I</t>
        </is>
      </c>
      <c r="E1034" s="3" t="n"/>
      <c r="F1034" s="3" t="inlineStr">
        <is>
          <t>Closed</t>
        </is>
      </c>
      <c r="G1034" s="9" t="inlineStr">
        <is>
          <t xml:space="preserve">Ashish Jindal </t>
        </is>
      </c>
      <c r="H1034" s="26" t="n">
        <v>9983975581</v>
      </c>
      <c r="I1034" s="38" t="inlineStr">
        <is>
          <t>PE01052601</t>
        </is>
      </c>
      <c r="J1034" s="26" t="inlineStr">
        <is>
          <t>Multiple Issues</t>
        </is>
      </c>
      <c r="K1034" s="39" t="inlineStr">
        <is>
          <t>Holi</t>
        </is>
      </c>
      <c r="L1034" s="39" t="inlineStr">
        <is>
          <t>Maharashtra</t>
        </is>
      </c>
      <c r="M1034" s="9" t="inlineStr">
        <is>
          <t>PS</t>
        </is>
      </c>
      <c r="N1034" s="3" t="inlineStr">
        <is>
          <t>Cold Soldering</t>
        </is>
      </c>
      <c r="O1034" s="39" t="n">
        <v>575</v>
      </c>
      <c r="P1034" s="9" t="inlineStr">
        <is>
          <t>NSMI24070183640</t>
        </is>
      </c>
      <c r="Q1034" s="53">
        <f>MID(P1034,5,2)</f>
        <v/>
      </c>
      <c r="R1034" s="53">
        <f>MID(P1034,7,2)</f>
        <v/>
      </c>
      <c r="S1034" s="3" t="inlineStr">
        <is>
          <t>G2G</t>
        </is>
      </c>
      <c r="T1034" s="3" t="inlineStr">
        <is>
          <t>P4</t>
        </is>
      </c>
      <c r="U1034" s="19" t="inlineStr">
        <is>
          <t>P JB Cold Soldering</t>
        </is>
      </c>
      <c r="V1034" s="19" t="inlineStr">
        <is>
          <t>Soldering</t>
        </is>
      </c>
      <c r="W1034" s="3" t="inlineStr">
        <is>
          <t>Repair</t>
        </is>
      </c>
      <c r="X1034" s="18" t="n">
        <v>46156</v>
      </c>
      <c r="Y1034" s="3">
        <f>X1034-A1034</f>
        <v/>
      </c>
      <c r="Z1034" s="18" t="n">
        <v>46156</v>
      </c>
      <c r="AA1034" s="15" t="n"/>
      <c r="AB1034" s="15" t="n"/>
    </row>
    <row r="1035">
      <c r="A1035" s="37" t="n">
        <v>46143</v>
      </c>
      <c r="B1035" s="3" t="n">
        <v>2026</v>
      </c>
      <c r="C1035" s="26" t="inlineStr">
        <is>
          <t>Yanara Power</t>
        </is>
      </c>
      <c r="D1035" s="3" t="inlineStr">
        <is>
          <t>Utility and C&amp;I</t>
        </is>
      </c>
      <c r="E1035" s="3" t="n"/>
      <c r="F1035" s="3" t="inlineStr">
        <is>
          <t>Closed</t>
        </is>
      </c>
      <c r="G1035" s="9" t="inlineStr">
        <is>
          <t xml:space="preserve">Ashish Jindal </t>
        </is>
      </c>
      <c r="H1035" s="26" t="n">
        <v>9983975581</v>
      </c>
      <c r="I1035" s="38" t="inlineStr">
        <is>
          <t>PE01052601</t>
        </is>
      </c>
      <c r="J1035" s="26" t="inlineStr">
        <is>
          <t>Multiple Issues</t>
        </is>
      </c>
      <c r="K1035" s="39" t="inlineStr">
        <is>
          <t>Holi</t>
        </is>
      </c>
      <c r="L1035" s="39" t="inlineStr">
        <is>
          <t>Maharashtra</t>
        </is>
      </c>
      <c r="M1035" s="9" t="inlineStr">
        <is>
          <t>PS</t>
        </is>
      </c>
      <c r="N1035" s="3" t="inlineStr">
        <is>
          <t>Cold Soldering</t>
        </is>
      </c>
      <c r="O1035" s="39" t="n">
        <v>575</v>
      </c>
      <c r="P1035" s="9" t="inlineStr">
        <is>
          <t>NSMI24070183582</t>
        </is>
      </c>
      <c r="Q1035" s="53">
        <f>MID(P1035,5,2)</f>
        <v/>
      </c>
      <c r="R1035" s="53">
        <f>MID(P1035,7,2)</f>
        <v/>
      </c>
      <c r="S1035" s="3" t="inlineStr">
        <is>
          <t>G2G</t>
        </is>
      </c>
      <c r="T1035" s="3" t="inlineStr">
        <is>
          <t>P4</t>
        </is>
      </c>
      <c r="U1035" s="19" t="inlineStr">
        <is>
          <t>P JB Cold Soldering</t>
        </is>
      </c>
      <c r="V1035" s="19" t="inlineStr">
        <is>
          <t>Soldering</t>
        </is>
      </c>
      <c r="W1035" s="3" t="inlineStr">
        <is>
          <t>Repair</t>
        </is>
      </c>
      <c r="X1035" s="18" t="n">
        <v>46156</v>
      </c>
      <c r="Y1035" s="3">
        <f>X1035-A1035</f>
        <v/>
      </c>
      <c r="Z1035" s="18" t="n">
        <v>46156</v>
      </c>
      <c r="AA1035" s="15" t="n"/>
      <c r="AB1035" s="15" t="n"/>
    </row>
    <row r="1036">
      <c r="A1036" s="37" t="n">
        <v>46143</v>
      </c>
      <c r="B1036" s="3" t="n">
        <v>2026</v>
      </c>
      <c r="C1036" s="26" t="inlineStr">
        <is>
          <t>Yanara Power</t>
        </is>
      </c>
      <c r="D1036" s="3" t="inlineStr">
        <is>
          <t>Utility and C&amp;I</t>
        </is>
      </c>
      <c r="E1036" s="3" t="n"/>
      <c r="F1036" s="3" t="inlineStr">
        <is>
          <t>Closed</t>
        </is>
      </c>
      <c r="G1036" s="9" t="inlineStr">
        <is>
          <t xml:space="preserve">Ashish Jindal </t>
        </is>
      </c>
      <c r="H1036" s="26" t="n">
        <v>9983975581</v>
      </c>
      <c r="I1036" s="38" t="inlineStr">
        <is>
          <t>PE01052601</t>
        </is>
      </c>
      <c r="J1036" s="26" t="inlineStr">
        <is>
          <t>Multiple Issues</t>
        </is>
      </c>
      <c r="K1036" s="39" t="inlineStr">
        <is>
          <t>Holi</t>
        </is>
      </c>
      <c r="L1036" s="39" t="inlineStr">
        <is>
          <t>Maharashtra</t>
        </is>
      </c>
      <c r="M1036" s="9" t="inlineStr">
        <is>
          <t>PS</t>
        </is>
      </c>
      <c r="N1036" s="3" t="inlineStr">
        <is>
          <t>Cold Soldering</t>
        </is>
      </c>
      <c r="O1036" s="39" t="n">
        <v>575</v>
      </c>
      <c r="P1036" s="9" t="inlineStr">
        <is>
          <t>NSMI24070196194</t>
        </is>
      </c>
      <c r="Q1036" s="53">
        <f>MID(P1036,5,2)</f>
        <v/>
      </c>
      <c r="R1036" s="53">
        <f>MID(P1036,7,2)</f>
        <v/>
      </c>
      <c r="S1036" s="3" t="inlineStr">
        <is>
          <t>G2G</t>
        </is>
      </c>
      <c r="T1036" s="3" t="inlineStr">
        <is>
          <t>P4</t>
        </is>
      </c>
      <c r="U1036" s="19" t="inlineStr">
        <is>
          <t>P JB Cold Soldering</t>
        </is>
      </c>
      <c r="V1036" s="19" t="inlineStr">
        <is>
          <t>Soldering</t>
        </is>
      </c>
      <c r="W1036" s="3" t="inlineStr">
        <is>
          <t>Repair</t>
        </is>
      </c>
      <c r="X1036" s="18" t="n">
        <v>46156</v>
      </c>
      <c r="Y1036" s="3">
        <f>X1036-A1036</f>
        <v/>
      </c>
      <c r="Z1036" s="18" t="n">
        <v>46156</v>
      </c>
      <c r="AA1036" s="15" t="n"/>
      <c r="AB1036" s="15" t="n"/>
    </row>
    <row r="1037">
      <c r="A1037" s="37" t="n">
        <v>46143</v>
      </c>
      <c r="B1037" s="3" t="n">
        <v>2026</v>
      </c>
      <c r="C1037" s="26" t="inlineStr">
        <is>
          <t>Yanara Power</t>
        </is>
      </c>
      <c r="D1037" s="3" t="inlineStr">
        <is>
          <t>Utility and C&amp;I</t>
        </is>
      </c>
      <c r="E1037" s="3" t="n"/>
      <c r="F1037" s="3" t="inlineStr">
        <is>
          <t>Closed</t>
        </is>
      </c>
      <c r="G1037" s="9" t="inlineStr">
        <is>
          <t xml:space="preserve">Ashish Jindal </t>
        </is>
      </c>
      <c r="H1037" s="26" t="n">
        <v>9983975581</v>
      </c>
      <c r="I1037" s="38" t="inlineStr">
        <is>
          <t>PE01052601</t>
        </is>
      </c>
      <c r="J1037" s="26" t="inlineStr">
        <is>
          <t>Multiple Issues</t>
        </is>
      </c>
      <c r="K1037" s="39" t="inlineStr">
        <is>
          <t>Holi</t>
        </is>
      </c>
      <c r="L1037" s="39" t="inlineStr">
        <is>
          <t>Maharashtra</t>
        </is>
      </c>
      <c r="M1037" s="9" t="inlineStr">
        <is>
          <t>NS</t>
        </is>
      </c>
      <c r="N1037" s="3" t="inlineStr">
        <is>
          <t>Cold Soldering</t>
        </is>
      </c>
      <c r="O1037" s="39" t="n">
        <v>575</v>
      </c>
      <c r="P1037" s="9" t="inlineStr">
        <is>
          <t>NSMI24070183695</t>
        </is>
      </c>
      <c r="Q1037" s="53">
        <f>MID(P1037,5,2)</f>
        <v/>
      </c>
      <c r="R1037" s="53">
        <f>MID(P1037,7,2)</f>
        <v/>
      </c>
      <c r="S1037" s="3" t="inlineStr">
        <is>
          <t>G2G</t>
        </is>
      </c>
      <c r="T1037" s="3" t="inlineStr">
        <is>
          <t>P4</t>
        </is>
      </c>
      <c r="U1037" s="3" t="inlineStr">
        <is>
          <t>N JB Cold Soldering</t>
        </is>
      </c>
      <c r="V1037" s="3" t="inlineStr">
        <is>
          <t>Soldering</t>
        </is>
      </c>
      <c r="W1037" s="3" t="inlineStr">
        <is>
          <t>Repair</t>
        </is>
      </c>
      <c r="X1037" s="18" t="n">
        <v>46156</v>
      </c>
      <c r="Y1037" s="3">
        <f>X1037-A1037</f>
        <v/>
      </c>
      <c r="Z1037" s="18" t="n">
        <v>46156</v>
      </c>
      <c r="AA1037" s="15" t="n"/>
      <c r="AB1037" s="15" t="n"/>
    </row>
    <row r="1038">
      <c r="A1038" s="37" t="n">
        <v>46143</v>
      </c>
      <c r="B1038" s="3" t="n">
        <v>2026</v>
      </c>
      <c r="C1038" s="26" t="inlineStr">
        <is>
          <t>Yanara Power</t>
        </is>
      </c>
      <c r="D1038" s="3" t="inlineStr">
        <is>
          <t>Utility and C&amp;I</t>
        </is>
      </c>
      <c r="E1038" s="3" t="n"/>
      <c r="F1038" s="3" t="inlineStr">
        <is>
          <t>Closed</t>
        </is>
      </c>
      <c r="G1038" s="9" t="inlineStr">
        <is>
          <t xml:space="preserve">Ashish Jindal </t>
        </is>
      </c>
      <c r="H1038" s="26" t="n">
        <v>9983975581</v>
      </c>
      <c r="I1038" s="38" t="inlineStr">
        <is>
          <t>PE01052601</t>
        </is>
      </c>
      <c r="J1038" s="26" t="inlineStr">
        <is>
          <t>Multiple Issues</t>
        </is>
      </c>
      <c r="K1038" s="39" t="inlineStr">
        <is>
          <t>Holi</t>
        </is>
      </c>
      <c r="L1038" s="39" t="inlineStr">
        <is>
          <t>Maharashtra</t>
        </is>
      </c>
      <c r="M1038" s="9" t="inlineStr">
        <is>
          <t>PR</t>
        </is>
      </c>
      <c r="N1038" s="3" t="inlineStr">
        <is>
          <t>JB Issue</t>
        </is>
      </c>
      <c r="O1038" s="39" t="n">
        <v>575</v>
      </c>
      <c r="P1038" s="9" t="inlineStr">
        <is>
          <t>NSMI24070200315</t>
        </is>
      </c>
      <c r="Q1038" s="53">
        <f>MID(P1038,5,2)</f>
        <v/>
      </c>
      <c r="R1038" s="53">
        <f>MID(P1038,7,2)</f>
        <v/>
      </c>
      <c r="S1038" s="3" t="inlineStr">
        <is>
          <t>G2G</t>
        </is>
      </c>
      <c r="T1038" s="3" t="inlineStr">
        <is>
          <t>P4</t>
        </is>
      </c>
      <c r="U1038" s="3" t="inlineStr">
        <is>
          <t>P JB Issue</t>
        </is>
      </c>
      <c r="V1038" s="15" t="inlineStr">
        <is>
          <t>JB Changed</t>
        </is>
      </c>
      <c r="W1038" s="3" t="inlineStr">
        <is>
          <t>Repair</t>
        </is>
      </c>
      <c r="X1038" s="18" t="n">
        <v>46156</v>
      </c>
      <c r="Y1038" s="3">
        <f>X1038-A1038</f>
        <v/>
      </c>
      <c r="Z1038" s="18" t="n">
        <v>46156</v>
      </c>
      <c r="AA1038" s="15" t="n"/>
      <c r="AB1038" s="15" t="n"/>
    </row>
    <row r="1039">
      <c r="A1039" s="37" t="n">
        <v>46143</v>
      </c>
      <c r="B1039" s="3" t="n">
        <v>2026</v>
      </c>
      <c r="C1039" s="26" t="inlineStr">
        <is>
          <t>Yanara Power</t>
        </is>
      </c>
      <c r="D1039" s="3" t="inlineStr">
        <is>
          <t>Utility and C&amp;I</t>
        </is>
      </c>
      <c r="E1039" s="3" t="n"/>
      <c r="F1039" s="3" t="inlineStr">
        <is>
          <t>Closed</t>
        </is>
      </c>
      <c r="G1039" s="9" t="inlineStr">
        <is>
          <t xml:space="preserve">Ashish Jindal </t>
        </is>
      </c>
      <c r="H1039" s="26" t="n">
        <v>9983975581</v>
      </c>
      <c r="I1039" s="38" t="inlineStr">
        <is>
          <t>PE01052601</t>
        </is>
      </c>
      <c r="J1039" s="26" t="inlineStr">
        <is>
          <t>Multiple Issues</t>
        </is>
      </c>
      <c r="K1039" s="39" t="inlineStr">
        <is>
          <t>Holi</t>
        </is>
      </c>
      <c r="L1039" s="39" t="inlineStr">
        <is>
          <t>Maharashtra</t>
        </is>
      </c>
      <c r="M1039" s="9" t="inlineStr">
        <is>
          <t>PR</t>
        </is>
      </c>
      <c r="N1039" s="3" t="inlineStr">
        <is>
          <t>JB Issue</t>
        </is>
      </c>
      <c r="O1039" s="39" t="n">
        <v>575</v>
      </c>
      <c r="P1039" s="9" t="inlineStr">
        <is>
          <t>NSMI24070200312</t>
        </is>
      </c>
      <c r="Q1039" s="53">
        <f>MID(P1039,5,2)</f>
        <v/>
      </c>
      <c r="R1039" s="53">
        <f>MID(P1039,7,2)</f>
        <v/>
      </c>
      <c r="S1039" s="3" t="inlineStr">
        <is>
          <t>G2G</t>
        </is>
      </c>
      <c r="T1039" s="3" t="inlineStr">
        <is>
          <t>P4</t>
        </is>
      </c>
      <c r="U1039" s="3" t="inlineStr">
        <is>
          <t>P JB Issue</t>
        </is>
      </c>
      <c r="V1039" s="15" t="inlineStr">
        <is>
          <t>JB Changed</t>
        </is>
      </c>
      <c r="W1039" s="3" t="inlineStr">
        <is>
          <t>Repair</t>
        </is>
      </c>
      <c r="X1039" s="18" t="n">
        <v>46156</v>
      </c>
      <c r="Y1039" s="3">
        <f>X1039-A1039</f>
        <v/>
      </c>
      <c r="Z1039" s="18" t="n">
        <v>46156</v>
      </c>
      <c r="AA1039" s="15" t="n"/>
      <c r="AB1039" s="15" t="n"/>
    </row>
    <row r="1040">
      <c r="A1040" s="37" t="n">
        <v>46143</v>
      </c>
      <c r="B1040" s="3" t="n">
        <v>2026</v>
      </c>
      <c r="C1040" s="26" t="inlineStr">
        <is>
          <t>Yanara Power</t>
        </is>
      </c>
      <c r="D1040" s="3" t="inlineStr">
        <is>
          <t>Utility and C&amp;I</t>
        </is>
      </c>
      <c r="E1040" s="3" t="n"/>
      <c r="F1040" s="3" t="inlineStr">
        <is>
          <t>Closed</t>
        </is>
      </c>
      <c r="G1040" s="9" t="inlineStr">
        <is>
          <t xml:space="preserve">Ashish Jindal </t>
        </is>
      </c>
      <c r="H1040" s="26" t="n">
        <v>9983975581</v>
      </c>
      <c r="I1040" s="38" t="inlineStr">
        <is>
          <t>PE01052601</t>
        </is>
      </c>
      <c r="J1040" s="26" t="inlineStr">
        <is>
          <t>Multiple Issues</t>
        </is>
      </c>
      <c r="K1040" s="39" t="inlineStr">
        <is>
          <t>Holi</t>
        </is>
      </c>
      <c r="L1040" s="39" t="inlineStr">
        <is>
          <t>Maharashtra</t>
        </is>
      </c>
      <c r="M1040" s="9" t="inlineStr">
        <is>
          <t>NS</t>
        </is>
      </c>
      <c r="N1040" s="3" t="inlineStr">
        <is>
          <t>Cold Soldering</t>
        </is>
      </c>
      <c r="O1040" s="39" t="n">
        <v>575</v>
      </c>
      <c r="P1040" s="9" t="inlineStr">
        <is>
          <t>NSMI24070200182</t>
        </is>
      </c>
      <c r="Q1040" s="53">
        <f>MID(P1040,5,2)</f>
        <v/>
      </c>
      <c r="R1040" s="53">
        <f>MID(P1040,7,2)</f>
        <v/>
      </c>
      <c r="S1040" s="3" t="inlineStr">
        <is>
          <t>G2G</t>
        </is>
      </c>
      <c r="T1040" s="3" t="inlineStr">
        <is>
          <t>P4</t>
        </is>
      </c>
      <c r="U1040" s="3" t="inlineStr">
        <is>
          <t>N JB Cold Soldering</t>
        </is>
      </c>
      <c r="V1040" s="3" t="inlineStr">
        <is>
          <t>Soldering</t>
        </is>
      </c>
      <c r="W1040" s="3" t="inlineStr">
        <is>
          <t>Repair</t>
        </is>
      </c>
      <c r="X1040" s="18" t="n">
        <v>46156</v>
      </c>
      <c r="Y1040" s="3">
        <f>X1040-A1040</f>
        <v/>
      </c>
      <c r="Z1040" s="18" t="n">
        <v>46156</v>
      </c>
      <c r="AA1040" s="15" t="n"/>
      <c r="AB1040" s="15" t="n"/>
    </row>
    <row r="1041">
      <c r="A1041" s="37" t="n">
        <v>46143</v>
      </c>
      <c r="B1041" s="3" t="n">
        <v>2026</v>
      </c>
      <c r="C1041" s="26" t="inlineStr">
        <is>
          <t>Yanara Power</t>
        </is>
      </c>
      <c r="D1041" s="3" t="inlineStr">
        <is>
          <t>Utility and C&amp;I</t>
        </is>
      </c>
      <c r="E1041" s="3" t="n"/>
      <c r="F1041" s="3" t="inlineStr">
        <is>
          <t>Closed</t>
        </is>
      </c>
      <c r="G1041" s="9" t="inlineStr">
        <is>
          <t xml:space="preserve">Ashish Jindal </t>
        </is>
      </c>
      <c r="H1041" s="26" t="n">
        <v>9983975581</v>
      </c>
      <c r="I1041" s="38" t="inlineStr">
        <is>
          <t>PE01052601</t>
        </is>
      </c>
      <c r="J1041" s="26" t="inlineStr">
        <is>
          <t>Multiple Issues</t>
        </is>
      </c>
      <c r="K1041" s="39" t="inlineStr">
        <is>
          <t>Holi</t>
        </is>
      </c>
      <c r="L1041" s="39" t="inlineStr">
        <is>
          <t>Maharashtra</t>
        </is>
      </c>
      <c r="M1041" s="9" t="inlineStr">
        <is>
          <t>PNS</t>
        </is>
      </c>
      <c r="N1041" s="3" t="inlineStr">
        <is>
          <t>Cold Soldering</t>
        </is>
      </c>
      <c r="O1041" s="39" t="n">
        <v>575</v>
      </c>
      <c r="P1041" s="9" t="inlineStr">
        <is>
          <t>NSMI24070188499</t>
        </is>
      </c>
      <c r="Q1041" s="53">
        <f>MID(P1041,5,2)</f>
        <v/>
      </c>
      <c r="R1041" s="53">
        <f>MID(P1041,7,2)</f>
        <v/>
      </c>
      <c r="S1041" s="3" t="inlineStr">
        <is>
          <t>G2G</t>
        </is>
      </c>
      <c r="T1041" s="3" t="inlineStr">
        <is>
          <t>P4</t>
        </is>
      </c>
      <c r="U1041" s="3" t="inlineStr">
        <is>
          <t>P &amp; N JB Cold Soldering</t>
        </is>
      </c>
      <c r="V1041" s="3" t="inlineStr">
        <is>
          <t>Soldering</t>
        </is>
      </c>
      <c r="W1041" s="3" t="inlineStr">
        <is>
          <t>Repair</t>
        </is>
      </c>
      <c r="X1041" s="18" t="n">
        <v>46156</v>
      </c>
      <c r="Y1041" s="3">
        <f>X1041-A1041</f>
        <v/>
      </c>
      <c r="Z1041" s="18" t="n">
        <v>46156</v>
      </c>
      <c r="AA1041" s="15" t="n"/>
      <c r="AB1041" s="15" t="n"/>
    </row>
    <row r="1042">
      <c r="A1042" s="37" t="n">
        <v>46143</v>
      </c>
      <c r="B1042" s="3" t="n">
        <v>2026</v>
      </c>
      <c r="C1042" s="26" t="inlineStr">
        <is>
          <t>Yanara Power</t>
        </is>
      </c>
      <c r="D1042" s="3" t="inlineStr">
        <is>
          <t>Utility and C&amp;I</t>
        </is>
      </c>
      <c r="E1042" s="3" t="n"/>
      <c r="F1042" s="3" t="inlineStr">
        <is>
          <t>Closed</t>
        </is>
      </c>
      <c r="G1042" s="9" t="inlineStr">
        <is>
          <t xml:space="preserve">Ashish Jindal </t>
        </is>
      </c>
      <c r="H1042" s="26" t="n">
        <v>9983975581</v>
      </c>
      <c r="I1042" s="38" t="inlineStr">
        <is>
          <t>PE01052601</t>
        </is>
      </c>
      <c r="J1042" s="26" t="inlineStr">
        <is>
          <t>Multiple Issues</t>
        </is>
      </c>
      <c r="K1042" s="39" t="inlineStr">
        <is>
          <t>Holi</t>
        </is>
      </c>
      <c r="L1042" s="39" t="inlineStr">
        <is>
          <t>Maharashtra</t>
        </is>
      </c>
      <c r="M1042" s="9" t="inlineStr">
        <is>
          <t>PR</t>
        </is>
      </c>
      <c r="N1042" s="3" t="inlineStr">
        <is>
          <t>JB Issue</t>
        </is>
      </c>
      <c r="O1042" s="39" t="n">
        <v>575</v>
      </c>
      <c r="P1042" s="9" t="inlineStr">
        <is>
          <t>NSMI24070195707</t>
        </is>
      </c>
      <c r="Q1042" s="53">
        <f>MID(P1042,5,2)</f>
        <v/>
      </c>
      <c r="R1042" s="53">
        <f>MID(P1042,7,2)</f>
        <v/>
      </c>
      <c r="S1042" s="3" t="inlineStr">
        <is>
          <t>G2G</t>
        </is>
      </c>
      <c r="T1042" s="3" t="inlineStr">
        <is>
          <t>P4</t>
        </is>
      </c>
      <c r="U1042" s="3" t="inlineStr">
        <is>
          <t>P JB Issue</t>
        </is>
      </c>
      <c r="V1042" s="15" t="inlineStr">
        <is>
          <t>JB Changed</t>
        </is>
      </c>
      <c r="W1042" s="3" t="inlineStr">
        <is>
          <t>Repair</t>
        </is>
      </c>
      <c r="X1042" s="18" t="n">
        <v>46156</v>
      </c>
      <c r="Y1042" s="3">
        <f>X1042-A1042</f>
        <v/>
      </c>
      <c r="Z1042" s="18" t="n">
        <v>46156</v>
      </c>
      <c r="AA1042" s="15" t="n"/>
      <c r="AB1042" s="15" t="n"/>
    </row>
    <row r="1043">
      <c r="A1043" s="37" t="n">
        <v>46143</v>
      </c>
      <c r="B1043" s="3" t="n">
        <v>2026</v>
      </c>
      <c r="C1043" s="26" t="inlineStr">
        <is>
          <t>Yanara Power</t>
        </is>
      </c>
      <c r="D1043" s="3" t="inlineStr">
        <is>
          <t>Utility and C&amp;I</t>
        </is>
      </c>
      <c r="E1043" s="3" t="n"/>
      <c r="F1043" s="3" t="inlineStr">
        <is>
          <t>Closed</t>
        </is>
      </c>
      <c r="G1043" s="9" t="inlineStr">
        <is>
          <t xml:space="preserve">Ashish Jindal </t>
        </is>
      </c>
      <c r="H1043" s="26" t="n">
        <v>9983975581</v>
      </c>
      <c r="I1043" s="38" t="inlineStr">
        <is>
          <t>PE01052601</t>
        </is>
      </c>
      <c r="J1043" s="26" t="inlineStr">
        <is>
          <t>Multiple Issues</t>
        </is>
      </c>
      <c r="K1043" s="39" t="inlineStr">
        <is>
          <t>Holi</t>
        </is>
      </c>
      <c r="L1043" s="39" t="inlineStr">
        <is>
          <t>Maharashtra</t>
        </is>
      </c>
      <c r="M1043" s="9" t="inlineStr">
        <is>
          <t>PR</t>
        </is>
      </c>
      <c r="N1043" s="3" t="inlineStr">
        <is>
          <t>JB Issue</t>
        </is>
      </c>
      <c r="O1043" s="39" t="n">
        <v>575</v>
      </c>
      <c r="P1043" s="9" t="inlineStr">
        <is>
          <t>NSMI24070201931</t>
        </is>
      </c>
      <c r="Q1043" s="53">
        <f>MID(P1043,5,2)</f>
        <v/>
      </c>
      <c r="R1043" s="53">
        <f>MID(P1043,7,2)</f>
        <v/>
      </c>
      <c r="S1043" s="3" t="inlineStr">
        <is>
          <t>G2G</t>
        </is>
      </c>
      <c r="T1043" s="3" t="inlineStr">
        <is>
          <t>P4</t>
        </is>
      </c>
      <c r="U1043" s="3" t="inlineStr">
        <is>
          <t>P JB Issue</t>
        </is>
      </c>
      <c r="V1043" s="15" t="inlineStr">
        <is>
          <t>JB Changed</t>
        </is>
      </c>
      <c r="W1043" s="3" t="inlineStr">
        <is>
          <t>Repair</t>
        </is>
      </c>
      <c r="X1043" s="18" t="n">
        <v>46156</v>
      </c>
      <c r="Y1043" s="3">
        <f>X1043-A1043</f>
        <v/>
      </c>
      <c r="Z1043" s="18" t="n">
        <v>46156</v>
      </c>
      <c r="AA1043" s="15" t="n"/>
      <c r="AB1043" s="15" t="n"/>
    </row>
    <row r="1044">
      <c r="A1044" s="37" t="n">
        <v>46143</v>
      </c>
      <c r="B1044" s="3" t="n">
        <v>2026</v>
      </c>
      <c r="C1044" s="26" t="inlineStr">
        <is>
          <t>Yanara Power</t>
        </is>
      </c>
      <c r="D1044" s="3" t="inlineStr">
        <is>
          <t>Utility and C&amp;I</t>
        </is>
      </c>
      <c r="E1044" s="3" t="n"/>
      <c r="F1044" s="3" t="inlineStr">
        <is>
          <t>Closed</t>
        </is>
      </c>
      <c r="G1044" s="9" t="inlineStr">
        <is>
          <t xml:space="preserve">Ashish Jindal </t>
        </is>
      </c>
      <c r="H1044" s="26" t="n">
        <v>9983975581</v>
      </c>
      <c r="I1044" s="38" t="inlineStr">
        <is>
          <t>PE01052601</t>
        </is>
      </c>
      <c r="J1044" s="26" t="inlineStr">
        <is>
          <t>Multiple Issues</t>
        </is>
      </c>
      <c r="K1044" s="39" t="inlineStr">
        <is>
          <t>Holi</t>
        </is>
      </c>
      <c r="L1044" s="39" t="inlineStr">
        <is>
          <t>Maharashtra</t>
        </is>
      </c>
      <c r="M1044" s="9" t="inlineStr">
        <is>
          <t>PS</t>
        </is>
      </c>
      <c r="N1044" s="3" t="inlineStr">
        <is>
          <t>Cold Soldering</t>
        </is>
      </c>
      <c r="O1044" s="39" t="n">
        <v>575</v>
      </c>
      <c r="P1044" s="9" t="inlineStr">
        <is>
          <t>NSMI24070191763</t>
        </is>
      </c>
      <c r="Q1044" s="53">
        <f>MID(P1044,5,2)</f>
        <v/>
      </c>
      <c r="R1044" s="53">
        <f>MID(P1044,7,2)</f>
        <v/>
      </c>
      <c r="S1044" s="3" t="inlineStr">
        <is>
          <t>G2G</t>
        </is>
      </c>
      <c r="T1044" s="3" t="inlineStr">
        <is>
          <t>P4</t>
        </is>
      </c>
      <c r="U1044" s="19" t="inlineStr">
        <is>
          <t>P JB Cold Soldering</t>
        </is>
      </c>
      <c r="V1044" s="19" t="inlineStr">
        <is>
          <t>Soldering</t>
        </is>
      </c>
      <c r="W1044" s="3" t="inlineStr">
        <is>
          <t>Repair</t>
        </is>
      </c>
      <c r="X1044" s="18" t="n">
        <v>46156</v>
      </c>
      <c r="Y1044" s="3">
        <f>X1044-A1044</f>
        <v/>
      </c>
      <c r="Z1044" s="18" t="n">
        <v>46156</v>
      </c>
      <c r="AA1044" s="15" t="n"/>
      <c r="AB1044" s="15" t="n"/>
    </row>
    <row r="1045">
      <c r="A1045" s="37" t="n">
        <v>46143</v>
      </c>
      <c r="B1045" s="3" t="n">
        <v>2026</v>
      </c>
      <c r="C1045" s="26" t="inlineStr">
        <is>
          <t>Yanara Power</t>
        </is>
      </c>
      <c r="D1045" s="3" t="inlineStr">
        <is>
          <t>Utility and C&amp;I</t>
        </is>
      </c>
      <c r="E1045" s="3" t="n"/>
      <c r="F1045" s="3" t="inlineStr">
        <is>
          <t>Closed</t>
        </is>
      </c>
      <c r="G1045" s="9" t="inlineStr">
        <is>
          <t xml:space="preserve">Ashish Jindal </t>
        </is>
      </c>
      <c r="H1045" s="26" t="n">
        <v>9983975581</v>
      </c>
      <c r="I1045" s="38" t="inlineStr">
        <is>
          <t>PE01052601</t>
        </is>
      </c>
      <c r="J1045" s="26" t="inlineStr">
        <is>
          <t>Multiple Issues</t>
        </is>
      </c>
      <c r="K1045" s="39" t="inlineStr">
        <is>
          <t>Holi</t>
        </is>
      </c>
      <c r="L1045" s="39" t="inlineStr">
        <is>
          <t>Maharashtra</t>
        </is>
      </c>
      <c r="M1045" s="9" t="inlineStr">
        <is>
          <t>NS</t>
        </is>
      </c>
      <c r="N1045" s="3" t="inlineStr">
        <is>
          <t>Cold Soldering</t>
        </is>
      </c>
      <c r="O1045" s="39" t="n">
        <v>575</v>
      </c>
      <c r="P1045" s="9" t="inlineStr">
        <is>
          <t>NSMI24070178369</t>
        </is>
      </c>
      <c r="Q1045" s="53">
        <f>MID(P1045,5,2)</f>
        <v/>
      </c>
      <c r="R1045" s="53">
        <f>MID(P1045,7,2)</f>
        <v/>
      </c>
      <c r="S1045" s="3" t="inlineStr">
        <is>
          <t>G2G</t>
        </is>
      </c>
      <c r="T1045" s="3" t="inlineStr">
        <is>
          <t>P4</t>
        </is>
      </c>
      <c r="U1045" s="3" t="inlineStr">
        <is>
          <t>N JB Cold Soldering</t>
        </is>
      </c>
      <c r="V1045" s="3" t="inlineStr">
        <is>
          <t>Soldering</t>
        </is>
      </c>
      <c r="W1045" s="3" t="inlineStr">
        <is>
          <t>Repair</t>
        </is>
      </c>
      <c r="X1045" s="18" t="n">
        <v>46156</v>
      </c>
      <c r="Y1045" s="3">
        <f>X1045-A1045</f>
        <v/>
      </c>
      <c r="Z1045" s="18" t="n">
        <v>46156</v>
      </c>
      <c r="AA1045" s="15" t="n"/>
      <c r="AB1045" s="15" t="n"/>
    </row>
    <row r="1046">
      <c r="A1046" s="37" t="n">
        <v>46143</v>
      </c>
      <c r="B1046" s="3" t="n">
        <v>2026</v>
      </c>
      <c r="C1046" s="26" t="inlineStr">
        <is>
          <t>Yanara Power</t>
        </is>
      </c>
      <c r="D1046" s="3" t="inlineStr">
        <is>
          <t>Utility and C&amp;I</t>
        </is>
      </c>
      <c r="E1046" s="3" t="n"/>
      <c r="F1046" s="3" t="inlineStr">
        <is>
          <t>Closed</t>
        </is>
      </c>
      <c r="G1046" s="9" t="inlineStr">
        <is>
          <t xml:space="preserve">Ashish Jindal </t>
        </is>
      </c>
      <c r="H1046" s="26" t="n">
        <v>9983975581</v>
      </c>
      <c r="I1046" s="38" t="inlineStr">
        <is>
          <t>PE01052601</t>
        </is>
      </c>
      <c r="J1046" s="26" t="inlineStr">
        <is>
          <t>Multiple Issues</t>
        </is>
      </c>
      <c r="K1046" s="39" t="inlineStr">
        <is>
          <t>Holi</t>
        </is>
      </c>
      <c r="L1046" s="39" t="inlineStr">
        <is>
          <t>Maharashtra</t>
        </is>
      </c>
      <c r="M1046" s="9" t="inlineStr">
        <is>
          <t>PS</t>
        </is>
      </c>
      <c r="N1046" s="3" t="inlineStr">
        <is>
          <t>Cold Soldering</t>
        </is>
      </c>
      <c r="O1046" s="39" t="n">
        <v>575</v>
      </c>
      <c r="P1046" s="9" t="inlineStr">
        <is>
          <t>NSMI24070178355</t>
        </is>
      </c>
      <c r="Q1046" s="53">
        <f>MID(P1046,5,2)</f>
        <v/>
      </c>
      <c r="R1046" s="53">
        <f>MID(P1046,7,2)</f>
        <v/>
      </c>
      <c r="S1046" s="3" t="inlineStr">
        <is>
          <t>G2G</t>
        </is>
      </c>
      <c r="T1046" s="3" t="inlineStr">
        <is>
          <t>P4</t>
        </is>
      </c>
      <c r="U1046" s="19" t="inlineStr">
        <is>
          <t>P JB Cold Soldering</t>
        </is>
      </c>
      <c r="V1046" s="19" t="inlineStr">
        <is>
          <t>Soldering</t>
        </is>
      </c>
      <c r="W1046" s="3" t="inlineStr">
        <is>
          <t>Repair</t>
        </is>
      </c>
      <c r="X1046" s="18" t="n">
        <v>46156</v>
      </c>
      <c r="Y1046" s="3">
        <f>X1046-A1046</f>
        <v/>
      </c>
      <c r="Z1046" s="18" t="n">
        <v>46156</v>
      </c>
      <c r="AA1046" s="15" t="n"/>
      <c r="AB1046" s="15" t="n"/>
    </row>
    <row r="1047">
      <c r="A1047" s="37" t="n">
        <v>46143</v>
      </c>
      <c r="B1047" s="3" t="n">
        <v>2026</v>
      </c>
      <c r="C1047" s="26" t="inlineStr">
        <is>
          <t>Yanara Power</t>
        </is>
      </c>
      <c r="D1047" s="3" t="inlineStr">
        <is>
          <t>Utility and C&amp;I</t>
        </is>
      </c>
      <c r="E1047" s="3" t="n"/>
      <c r="F1047" s="3" t="inlineStr">
        <is>
          <t>Closed</t>
        </is>
      </c>
      <c r="G1047" s="9" t="inlineStr">
        <is>
          <t xml:space="preserve">Ashish Jindal </t>
        </is>
      </c>
      <c r="H1047" s="26" t="n">
        <v>9983975581</v>
      </c>
      <c r="I1047" s="38" t="inlineStr">
        <is>
          <t>PE01052601</t>
        </is>
      </c>
      <c r="J1047" s="26" t="inlineStr">
        <is>
          <t>Multiple Issues</t>
        </is>
      </c>
      <c r="K1047" s="39" t="inlineStr">
        <is>
          <t>Holi</t>
        </is>
      </c>
      <c r="L1047" s="39" t="inlineStr">
        <is>
          <t>Maharashtra</t>
        </is>
      </c>
      <c r="M1047" s="9" t="inlineStr">
        <is>
          <t>PS</t>
        </is>
      </c>
      <c r="N1047" s="3" t="inlineStr">
        <is>
          <t>Cold Soldering</t>
        </is>
      </c>
      <c r="O1047" s="39" t="n">
        <v>575</v>
      </c>
      <c r="P1047" s="9" t="inlineStr">
        <is>
          <t>NSMI24070195629</t>
        </is>
      </c>
      <c r="Q1047" s="53">
        <f>MID(P1047,5,2)</f>
        <v/>
      </c>
      <c r="R1047" s="53">
        <f>MID(P1047,7,2)</f>
        <v/>
      </c>
      <c r="S1047" s="3" t="inlineStr">
        <is>
          <t>G2G</t>
        </is>
      </c>
      <c r="T1047" s="3" t="inlineStr">
        <is>
          <t>P4</t>
        </is>
      </c>
      <c r="U1047" s="19" t="inlineStr">
        <is>
          <t>P JB Cold Soldering</t>
        </is>
      </c>
      <c r="V1047" s="19" t="inlineStr">
        <is>
          <t>Soldering</t>
        </is>
      </c>
      <c r="W1047" s="3" t="inlineStr">
        <is>
          <t>Repair</t>
        </is>
      </c>
      <c r="X1047" s="18" t="n">
        <v>46156</v>
      </c>
      <c r="Y1047" s="3">
        <f>X1047-A1047</f>
        <v/>
      </c>
      <c r="Z1047" s="18" t="n">
        <v>46156</v>
      </c>
      <c r="AA1047" s="15" t="n"/>
      <c r="AB1047" s="15" t="n"/>
    </row>
    <row r="1048">
      <c r="A1048" s="37" t="n">
        <v>46143</v>
      </c>
      <c r="B1048" s="3" t="n">
        <v>2026</v>
      </c>
      <c r="C1048" s="26" t="inlineStr">
        <is>
          <t>Yanara Power</t>
        </is>
      </c>
      <c r="D1048" s="3" t="inlineStr">
        <is>
          <t>Utility and C&amp;I</t>
        </is>
      </c>
      <c r="E1048" s="3" t="n"/>
      <c r="F1048" s="3" t="inlineStr">
        <is>
          <t>Closed</t>
        </is>
      </c>
      <c r="G1048" s="9" t="inlineStr">
        <is>
          <t xml:space="preserve">Ashish Jindal </t>
        </is>
      </c>
      <c r="H1048" s="26" t="n">
        <v>9983975581</v>
      </c>
      <c r="I1048" s="38" t="inlineStr">
        <is>
          <t>PE01052601</t>
        </is>
      </c>
      <c r="J1048" s="26" t="inlineStr">
        <is>
          <t>Multiple Issues</t>
        </is>
      </c>
      <c r="K1048" s="39" t="inlineStr">
        <is>
          <t>Holi</t>
        </is>
      </c>
      <c r="L1048" s="39" t="inlineStr">
        <is>
          <t>Maharashtra</t>
        </is>
      </c>
      <c r="M1048" s="9" t="inlineStr">
        <is>
          <t>PS</t>
        </is>
      </c>
      <c r="N1048" s="3" t="inlineStr">
        <is>
          <t>Cold Soldering</t>
        </is>
      </c>
      <c r="O1048" s="39" t="n">
        <v>575</v>
      </c>
      <c r="P1048" s="9" t="inlineStr">
        <is>
          <t>NSMI24070195648</t>
        </is>
      </c>
      <c r="Q1048" s="53">
        <f>MID(P1048,5,2)</f>
        <v/>
      </c>
      <c r="R1048" s="53">
        <f>MID(P1048,7,2)</f>
        <v/>
      </c>
      <c r="S1048" s="3" t="inlineStr">
        <is>
          <t>G2G</t>
        </is>
      </c>
      <c r="T1048" s="3" t="inlineStr">
        <is>
          <t>P4</t>
        </is>
      </c>
      <c r="U1048" s="19" t="inlineStr">
        <is>
          <t>P JB Cold Soldering</t>
        </is>
      </c>
      <c r="V1048" s="19" t="inlineStr">
        <is>
          <t>Soldering</t>
        </is>
      </c>
      <c r="W1048" s="3" t="inlineStr">
        <is>
          <t>Repair</t>
        </is>
      </c>
      <c r="X1048" s="18" t="n">
        <v>46156</v>
      </c>
      <c r="Y1048" s="3">
        <f>X1048-A1048</f>
        <v/>
      </c>
      <c r="Z1048" s="18" t="n">
        <v>46156</v>
      </c>
      <c r="AA1048" s="15" t="n"/>
      <c r="AB1048" s="15" t="n"/>
    </row>
    <row r="1049">
      <c r="A1049" s="37" t="n">
        <v>46143</v>
      </c>
      <c r="B1049" s="3" t="n">
        <v>2026</v>
      </c>
      <c r="C1049" s="26" t="inlineStr">
        <is>
          <t>Yanara Power</t>
        </is>
      </c>
      <c r="D1049" s="3" t="inlineStr">
        <is>
          <t>Utility and C&amp;I</t>
        </is>
      </c>
      <c r="E1049" s="3" t="n"/>
      <c r="F1049" s="3" t="inlineStr">
        <is>
          <t>Closed</t>
        </is>
      </c>
      <c r="G1049" s="9" t="inlineStr">
        <is>
          <t xml:space="preserve">Ashish Jindal </t>
        </is>
      </c>
      <c r="H1049" s="26" t="n">
        <v>9983975581</v>
      </c>
      <c r="I1049" s="38" t="inlineStr">
        <is>
          <t>PE01052601</t>
        </is>
      </c>
      <c r="J1049" s="26" t="inlineStr">
        <is>
          <t>Multiple Issues</t>
        </is>
      </c>
      <c r="K1049" s="39" t="inlineStr">
        <is>
          <t>Holi</t>
        </is>
      </c>
      <c r="L1049" s="39" t="inlineStr">
        <is>
          <t>Maharashtra</t>
        </is>
      </c>
      <c r="M1049" s="9" t="inlineStr">
        <is>
          <t>NS</t>
        </is>
      </c>
      <c r="N1049" s="3" t="inlineStr">
        <is>
          <t>Cold Soldering</t>
        </is>
      </c>
      <c r="O1049" s="39" t="n">
        <v>575</v>
      </c>
      <c r="P1049" s="9" t="inlineStr">
        <is>
          <t>NSMI24070195634</t>
        </is>
      </c>
      <c r="Q1049" s="53">
        <f>MID(P1049,5,2)</f>
        <v/>
      </c>
      <c r="R1049" s="53">
        <f>MID(P1049,7,2)</f>
        <v/>
      </c>
      <c r="S1049" s="3" t="inlineStr">
        <is>
          <t>G2G</t>
        </is>
      </c>
      <c r="T1049" s="3" t="inlineStr">
        <is>
          <t>P4</t>
        </is>
      </c>
      <c r="U1049" s="3" t="inlineStr">
        <is>
          <t>N JB Cold Soldering</t>
        </is>
      </c>
      <c r="V1049" s="3" t="inlineStr">
        <is>
          <t>Soldering</t>
        </is>
      </c>
      <c r="W1049" s="3" t="inlineStr">
        <is>
          <t>Repair</t>
        </is>
      </c>
      <c r="X1049" s="18" t="n">
        <v>46156</v>
      </c>
      <c r="Y1049" s="3">
        <f>X1049-A1049</f>
        <v/>
      </c>
      <c r="Z1049" s="18" t="n">
        <v>46156</v>
      </c>
      <c r="AA1049" s="15" t="n"/>
      <c r="AB1049" s="15" t="n"/>
    </row>
    <row r="1050">
      <c r="A1050" s="37" t="n">
        <v>46143</v>
      </c>
      <c r="B1050" s="3" t="n">
        <v>2026</v>
      </c>
      <c r="C1050" s="26" t="inlineStr">
        <is>
          <t>Yanara Power</t>
        </is>
      </c>
      <c r="D1050" s="3" t="inlineStr">
        <is>
          <t>Utility and C&amp;I</t>
        </is>
      </c>
      <c r="E1050" s="3" t="n"/>
      <c r="F1050" s="3" t="inlineStr">
        <is>
          <t>Closed</t>
        </is>
      </c>
      <c r="G1050" s="9" t="inlineStr">
        <is>
          <t xml:space="preserve">Ashish Jindal </t>
        </is>
      </c>
      <c r="H1050" s="26" t="n">
        <v>9983975581</v>
      </c>
      <c r="I1050" s="38" t="inlineStr">
        <is>
          <t>PE01052601</t>
        </is>
      </c>
      <c r="J1050" s="26" t="inlineStr">
        <is>
          <t>Multiple Issues</t>
        </is>
      </c>
      <c r="K1050" s="39" t="inlineStr">
        <is>
          <t>Holi</t>
        </is>
      </c>
      <c r="L1050" s="39" t="inlineStr">
        <is>
          <t>Maharashtra</t>
        </is>
      </c>
      <c r="M1050" s="9" t="inlineStr">
        <is>
          <t>NS</t>
        </is>
      </c>
      <c r="N1050" s="3" t="inlineStr">
        <is>
          <t>Cold Soldering</t>
        </is>
      </c>
      <c r="O1050" s="39" t="n">
        <v>575</v>
      </c>
      <c r="P1050" s="9" t="inlineStr">
        <is>
          <t>NSMI24070195635</t>
        </is>
      </c>
      <c r="Q1050" s="53">
        <f>MID(P1050,5,2)</f>
        <v/>
      </c>
      <c r="R1050" s="53">
        <f>MID(P1050,7,2)</f>
        <v/>
      </c>
      <c r="S1050" s="3" t="inlineStr">
        <is>
          <t>G2G</t>
        </is>
      </c>
      <c r="T1050" s="3" t="inlineStr">
        <is>
          <t>P4</t>
        </is>
      </c>
      <c r="U1050" s="3" t="inlineStr">
        <is>
          <t>N JB Cold Soldering</t>
        </is>
      </c>
      <c r="V1050" s="3" t="inlineStr">
        <is>
          <t>Soldering</t>
        </is>
      </c>
      <c r="W1050" s="3" t="inlineStr">
        <is>
          <t>Repair</t>
        </is>
      </c>
      <c r="X1050" s="18" t="n">
        <v>46156</v>
      </c>
      <c r="Y1050" s="3">
        <f>X1050-A1050</f>
        <v/>
      </c>
      <c r="Z1050" s="18" t="n">
        <v>46156</v>
      </c>
      <c r="AA1050" s="15" t="n"/>
      <c r="AB1050" s="15" t="n"/>
    </row>
    <row r="1051">
      <c r="A1051" s="37" t="n">
        <v>46143</v>
      </c>
      <c r="B1051" s="3" t="n">
        <v>2026</v>
      </c>
      <c r="C1051" s="26" t="inlineStr">
        <is>
          <t>Yanara Power</t>
        </is>
      </c>
      <c r="D1051" s="3" t="inlineStr">
        <is>
          <t>Utility and C&amp;I</t>
        </is>
      </c>
      <c r="E1051" s="3" t="n"/>
      <c r="F1051" s="3" t="inlineStr">
        <is>
          <t>Closed</t>
        </is>
      </c>
      <c r="G1051" s="9" t="inlineStr">
        <is>
          <t xml:space="preserve">Ashish Jindal </t>
        </is>
      </c>
      <c r="H1051" s="26" t="n">
        <v>9983975581</v>
      </c>
      <c r="I1051" s="38" t="inlineStr">
        <is>
          <t>PE01052601</t>
        </is>
      </c>
      <c r="J1051" s="26" t="inlineStr">
        <is>
          <t>Multiple Issues</t>
        </is>
      </c>
      <c r="K1051" s="39" t="inlineStr">
        <is>
          <t>Holi</t>
        </is>
      </c>
      <c r="L1051" s="39" t="inlineStr">
        <is>
          <t>Maharashtra</t>
        </is>
      </c>
      <c r="M1051" s="9" t="inlineStr">
        <is>
          <t>NS</t>
        </is>
      </c>
      <c r="N1051" s="3" t="inlineStr">
        <is>
          <t>Cold Soldering</t>
        </is>
      </c>
      <c r="O1051" s="39" t="n">
        <v>575</v>
      </c>
      <c r="P1051" s="9" t="inlineStr">
        <is>
          <t>NSMI24070195577</t>
        </is>
      </c>
      <c r="Q1051" s="53">
        <f>MID(P1051,5,2)</f>
        <v/>
      </c>
      <c r="R1051" s="53">
        <f>MID(P1051,7,2)</f>
        <v/>
      </c>
      <c r="S1051" s="3" t="inlineStr">
        <is>
          <t>G2G</t>
        </is>
      </c>
      <c r="T1051" s="3" t="inlineStr">
        <is>
          <t>P4</t>
        </is>
      </c>
      <c r="U1051" s="3" t="inlineStr">
        <is>
          <t>N JB Cold Soldering</t>
        </is>
      </c>
      <c r="V1051" s="3" t="inlineStr">
        <is>
          <t>Soldering</t>
        </is>
      </c>
      <c r="W1051" s="3" t="inlineStr">
        <is>
          <t>Repair</t>
        </is>
      </c>
      <c r="X1051" s="18" t="n">
        <v>46156</v>
      </c>
      <c r="Y1051" s="3">
        <f>X1051-A1051</f>
        <v/>
      </c>
      <c r="Z1051" s="18" t="n">
        <v>46156</v>
      </c>
      <c r="AA1051" s="15" t="n"/>
      <c r="AB1051" s="15" t="n"/>
    </row>
    <row r="1052">
      <c r="A1052" s="37" t="n">
        <v>46143</v>
      </c>
      <c r="B1052" s="3" t="n">
        <v>2026</v>
      </c>
      <c r="C1052" s="26" t="inlineStr">
        <is>
          <t>Yanara Power</t>
        </is>
      </c>
      <c r="D1052" s="3" t="inlineStr">
        <is>
          <t>Utility and C&amp;I</t>
        </is>
      </c>
      <c r="E1052" s="3" t="n"/>
      <c r="F1052" s="3" t="inlineStr">
        <is>
          <t>Closed</t>
        </is>
      </c>
      <c r="G1052" s="9" t="inlineStr">
        <is>
          <t xml:space="preserve">Ashish Jindal </t>
        </is>
      </c>
      <c r="H1052" s="26" t="n">
        <v>9983975581</v>
      </c>
      <c r="I1052" s="38" t="inlineStr">
        <is>
          <t>PE01052601</t>
        </is>
      </c>
      <c r="J1052" s="26" t="inlineStr">
        <is>
          <t>Multiple Issues</t>
        </is>
      </c>
      <c r="K1052" s="39" t="inlineStr">
        <is>
          <t>Holi</t>
        </is>
      </c>
      <c r="L1052" s="39" t="inlineStr">
        <is>
          <t>Maharashtra</t>
        </is>
      </c>
      <c r="M1052" s="9" t="inlineStr">
        <is>
          <t>NS</t>
        </is>
      </c>
      <c r="N1052" s="3" t="inlineStr">
        <is>
          <t>Cold Soldering</t>
        </is>
      </c>
      <c r="O1052" s="39" t="n">
        <v>575</v>
      </c>
      <c r="P1052" s="9" t="inlineStr">
        <is>
          <t>NSMI24070195637</t>
        </is>
      </c>
      <c r="Q1052" s="53">
        <f>MID(P1052,5,2)</f>
        <v/>
      </c>
      <c r="R1052" s="53">
        <f>MID(P1052,7,2)</f>
        <v/>
      </c>
      <c r="S1052" s="3" t="inlineStr">
        <is>
          <t>G2G</t>
        </is>
      </c>
      <c r="T1052" s="3" t="inlineStr">
        <is>
          <t>P4</t>
        </is>
      </c>
      <c r="U1052" s="3" t="inlineStr">
        <is>
          <t>N JB Cold Soldering</t>
        </is>
      </c>
      <c r="V1052" s="3" t="inlineStr">
        <is>
          <t>Soldering</t>
        </is>
      </c>
      <c r="W1052" s="3" t="inlineStr">
        <is>
          <t>Repair</t>
        </is>
      </c>
      <c r="X1052" s="18" t="n">
        <v>46156</v>
      </c>
      <c r="Y1052" s="3">
        <f>X1052-A1052</f>
        <v/>
      </c>
      <c r="Z1052" s="18" t="n">
        <v>46156</v>
      </c>
      <c r="AA1052" s="15" t="n"/>
      <c r="AB1052" s="15" t="n"/>
    </row>
    <row r="1053">
      <c r="A1053" s="37" t="n">
        <v>46143</v>
      </c>
      <c r="B1053" s="3" t="n">
        <v>2026</v>
      </c>
      <c r="C1053" s="26" t="inlineStr">
        <is>
          <t>Yanara Power</t>
        </is>
      </c>
      <c r="D1053" s="3" t="inlineStr">
        <is>
          <t>Utility and C&amp;I</t>
        </is>
      </c>
      <c r="E1053" s="3" t="n"/>
      <c r="F1053" s="3" t="inlineStr">
        <is>
          <t>Closed</t>
        </is>
      </c>
      <c r="G1053" s="9" t="inlineStr">
        <is>
          <t xml:space="preserve">Ashish Jindal </t>
        </is>
      </c>
      <c r="H1053" s="26" t="n">
        <v>9983975581</v>
      </c>
      <c r="I1053" s="38" t="inlineStr">
        <is>
          <t>PE01052601</t>
        </is>
      </c>
      <c r="J1053" s="26" t="inlineStr">
        <is>
          <t>Multiple Issues</t>
        </is>
      </c>
      <c r="K1053" s="39" t="inlineStr">
        <is>
          <t>Holi</t>
        </is>
      </c>
      <c r="L1053" s="39" t="inlineStr">
        <is>
          <t>Maharashtra</t>
        </is>
      </c>
      <c r="M1053" s="9" t="inlineStr">
        <is>
          <t>PS</t>
        </is>
      </c>
      <c r="N1053" s="3" t="inlineStr">
        <is>
          <t>Cold Soldering</t>
        </is>
      </c>
      <c r="O1053" s="39" t="n">
        <v>575</v>
      </c>
      <c r="P1053" s="9" t="inlineStr">
        <is>
          <t>NSMI24070195638</t>
        </is>
      </c>
      <c r="Q1053" s="53">
        <f>MID(P1053,5,2)</f>
        <v/>
      </c>
      <c r="R1053" s="53">
        <f>MID(P1053,7,2)</f>
        <v/>
      </c>
      <c r="S1053" s="3" t="inlineStr">
        <is>
          <t>G2G</t>
        </is>
      </c>
      <c r="T1053" s="3" t="inlineStr">
        <is>
          <t>P4</t>
        </is>
      </c>
      <c r="U1053" s="19" t="inlineStr">
        <is>
          <t>P JB Cold Soldering</t>
        </is>
      </c>
      <c r="V1053" s="19" t="inlineStr">
        <is>
          <t>Soldering</t>
        </is>
      </c>
      <c r="W1053" s="3" t="inlineStr">
        <is>
          <t>Repair</t>
        </is>
      </c>
      <c r="X1053" s="18" t="n">
        <v>46156</v>
      </c>
      <c r="Y1053" s="3">
        <f>X1053-A1053</f>
        <v/>
      </c>
      <c r="Z1053" s="18" t="n">
        <v>46156</v>
      </c>
      <c r="AA1053" s="15" t="n"/>
      <c r="AB1053" s="15" t="n"/>
    </row>
    <row r="1054">
      <c r="A1054" s="37" t="n">
        <v>46143</v>
      </c>
      <c r="B1054" s="3" t="n">
        <v>2026</v>
      </c>
      <c r="C1054" s="26" t="inlineStr">
        <is>
          <t>Yanara Power</t>
        </is>
      </c>
      <c r="D1054" s="3" t="inlineStr">
        <is>
          <t>Utility and C&amp;I</t>
        </is>
      </c>
      <c r="E1054" s="3" t="n"/>
      <c r="F1054" s="3" t="inlineStr">
        <is>
          <t>Closed</t>
        </is>
      </c>
      <c r="G1054" s="9" t="inlineStr">
        <is>
          <t xml:space="preserve">Ashish Jindal </t>
        </is>
      </c>
      <c r="H1054" s="26" t="n">
        <v>9983975581</v>
      </c>
      <c r="I1054" s="38" t="inlineStr">
        <is>
          <t>PE01052601</t>
        </is>
      </c>
      <c r="J1054" s="26" t="inlineStr">
        <is>
          <t>Multiple Issues</t>
        </is>
      </c>
      <c r="K1054" s="39" t="inlineStr">
        <is>
          <t>Holi</t>
        </is>
      </c>
      <c r="L1054" s="39" t="inlineStr">
        <is>
          <t>Maharashtra</t>
        </is>
      </c>
      <c r="M1054" s="9" t="inlineStr">
        <is>
          <t>PR</t>
        </is>
      </c>
      <c r="N1054" s="3" t="inlineStr">
        <is>
          <t>JB Issue</t>
        </is>
      </c>
      <c r="O1054" s="39" t="n">
        <v>575</v>
      </c>
      <c r="P1054" s="9" t="inlineStr">
        <is>
          <t>NSMI24070196194</t>
        </is>
      </c>
      <c r="Q1054" s="53">
        <f>MID(P1054,5,2)</f>
        <v/>
      </c>
      <c r="R1054" s="53">
        <f>MID(P1054,7,2)</f>
        <v/>
      </c>
      <c r="S1054" s="3" t="inlineStr">
        <is>
          <t>G2G</t>
        </is>
      </c>
      <c r="T1054" s="3" t="inlineStr">
        <is>
          <t>P4</t>
        </is>
      </c>
      <c r="U1054" s="3" t="inlineStr">
        <is>
          <t>P JB Issue</t>
        </is>
      </c>
      <c r="V1054" s="15" t="inlineStr">
        <is>
          <t>JB Changed</t>
        </is>
      </c>
      <c r="W1054" s="3" t="inlineStr">
        <is>
          <t>Repair</t>
        </is>
      </c>
      <c r="X1054" s="18" t="n">
        <v>46156</v>
      </c>
      <c r="Y1054" s="3">
        <f>X1054-A1054</f>
        <v/>
      </c>
      <c r="Z1054" s="18" t="n">
        <v>46156</v>
      </c>
      <c r="AA1054" s="15" t="n"/>
      <c r="AB1054" s="15" t="n"/>
    </row>
    <row r="1055">
      <c r="A1055" s="37" t="n">
        <v>46143</v>
      </c>
      <c r="B1055" s="3" t="n">
        <v>2026</v>
      </c>
      <c r="C1055" s="26" t="inlineStr">
        <is>
          <t>Yanara Power</t>
        </is>
      </c>
      <c r="D1055" s="3" t="inlineStr">
        <is>
          <t>Utility and C&amp;I</t>
        </is>
      </c>
      <c r="E1055" s="3" t="n"/>
      <c r="F1055" s="3" t="inlineStr">
        <is>
          <t>Closed</t>
        </is>
      </c>
      <c r="G1055" s="9" t="inlineStr">
        <is>
          <t xml:space="preserve">Ashish Jindal </t>
        </is>
      </c>
      <c r="H1055" s="26" t="n">
        <v>9983975581</v>
      </c>
      <c r="I1055" s="38" t="inlineStr">
        <is>
          <t>PE01052601</t>
        </is>
      </c>
      <c r="J1055" s="26" t="inlineStr">
        <is>
          <t>Multiple Issues</t>
        </is>
      </c>
      <c r="K1055" s="39" t="inlineStr">
        <is>
          <t>Holi</t>
        </is>
      </c>
      <c r="L1055" s="39" t="inlineStr">
        <is>
          <t>Maharashtra</t>
        </is>
      </c>
      <c r="M1055" s="9" t="inlineStr">
        <is>
          <t>PS</t>
        </is>
      </c>
      <c r="N1055" s="3" t="inlineStr">
        <is>
          <t>Cold Soldering</t>
        </is>
      </c>
      <c r="O1055" s="39" t="n">
        <v>575</v>
      </c>
      <c r="P1055" s="9" t="inlineStr">
        <is>
          <t>NSMI24070195477</t>
        </is>
      </c>
      <c r="Q1055" s="53">
        <f>MID(P1055,5,2)</f>
        <v/>
      </c>
      <c r="R1055" s="53">
        <f>MID(P1055,7,2)</f>
        <v/>
      </c>
      <c r="S1055" s="3" t="inlineStr">
        <is>
          <t>G2G</t>
        </is>
      </c>
      <c r="T1055" s="3" t="inlineStr">
        <is>
          <t>P4</t>
        </is>
      </c>
      <c r="U1055" s="19" t="inlineStr">
        <is>
          <t>P JB Cold Soldering</t>
        </is>
      </c>
      <c r="V1055" s="19" t="inlineStr">
        <is>
          <t>Soldering</t>
        </is>
      </c>
      <c r="W1055" s="3" t="inlineStr">
        <is>
          <t>Repair</t>
        </is>
      </c>
      <c r="X1055" s="18" t="n">
        <v>46156</v>
      </c>
      <c r="Y1055" s="3">
        <f>X1055-A1055</f>
        <v/>
      </c>
      <c r="Z1055" s="18" t="n">
        <v>46156</v>
      </c>
      <c r="AA1055" s="15" t="n"/>
      <c r="AB1055" s="15" t="n"/>
    </row>
    <row r="1056">
      <c r="A1056" s="37" t="n">
        <v>46143</v>
      </c>
      <c r="B1056" s="3" t="n">
        <v>2026</v>
      </c>
      <c r="C1056" s="26" t="inlineStr">
        <is>
          <t>Yanara Power</t>
        </is>
      </c>
      <c r="D1056" s="3" t="inlineStr">
        <is>
          <t>Utility and C&amp;I</t>
        </is>
      </c>
      <c r="E1056" s="3" t="n"/>
      <c r="F1056" s="3" t="inlineStr">
        <is>
          <t>Closed</t>
        </is>
      </c>
      <c r="G1056" s="9" t="inlineStr">
        <is>
          <t xml:space="preserve">Ashish Jindal </t>
        </is>
      </c>
      <c r="H1056" s="26" t="n">
        <v>9983975581</v>
      </c>
      <c r="I1056" s="38" t="inlineStr">
        <is>
          <t>PE01052601</t>
        </is>
      </c>
      <c r="J1056" s="26" t="inlineStr">
        <is>
          <t>Multiple Issues</t>
        </is>
      </c>
      <c r="K1056" s="39" t="inlineStr">
        <is>
          <t>Holi</t>
        </is>
      </c>
      <c r="L1056" s="39" t="inlineStr">
        <is>
          <t>Maharashtra</t>
        </is>
      </c>
      <c r="M1056" s="9" t="inlineStr">
        <is>
          <t>PS</t>
        </is>
      </c>
      <c r="N1056" s="3" t="inlineStr">
        <is>
          <t>Cold Soldering</t>
        </is>
      </c>
      <c r="O1056" s="39" t="n">
        <v>575</v>
      </c>
      <c r="P1056" s="9" t="inlineStr">
        <is>
          <t>NSMI24070195330</t>
        </is>
      </c>
      <c r="Q1056" s="53">
        <f>MID(P1056,5,2)</f>
        <v/>
      </c>
      <c r="R1056" s="53">
        <f>MID(P1056,7,2)</f>
        <v/>
      </c>
      <c r="S1056" s="3" t="inlineStr">
        <is>
          <t>G2G</t>
        </is>
      </c>
      <c r="T1056" s="3" t="inlineStr">
        <is>
          <t>P4</t>
        </is>
      </c>
      <c r="U1056" s="19" t="inlineStr">
        <is>
          <t>P JB Cold Soldering</t>
        </is>
      </c>
      <c r="V1056" s="19" t="inlineStr">
        <is>
          <t>Soldering</t>
        </is>
      </c>
      <c r="W1056" s="3" t="inlineStr">
        <is>
          <t>Repair</t>
        </is>
      </c>
      <c r="X1056" s="18" t="n">
        <v>46156</v>
      </c>
      <c r="Y1056" s="3">
        <f>X1056-A1056</f>
        <v/>
      </c>
      <c r="Z1056" s="18" t="n">
        <v>46156</v>
      </c>
      <c r="AA1056" s="15" t="n"/>
      <c r="AB1056" s="15" t="n"/>
    </row>
    <row r="1057">
      <c r="A1057" s="37" t="n">
        <v>46143</v>
      </c>
      <c r="B1057" s="3" t="n">
        <v>2026</v>
      </c>
      <c r="C1057" s="26" t="inlineStr">
        <is>
          <t>Yanara Power</t>
        </is>
      </c>
      <c r="D1057" s="3" t="inlineStr">
        <is>
          <t>Utility and C&amp;I</t>
        </is>
      </c>
      <c r="E1057" s="3" t="n"/>
      <c r="F1057" s="3" t="inlineStr">
        <is>
          <t>Closed</t>
        </is>
      </c>
      <c r="G1057" s="9" t="inlineStr">
        <is>
          <t xml:space="preserve">Ashish Jindal </t>
        </is>
      </c>
      <c r="H1057" s="26" t="n">
        <v>9983975581</v>
      </c>
      <c r="I1057" s="38" t="inlineStr">
        <is>
          <t>PE01052601</t>
        </is>
      </c>
      <c r="J1057" s="26" t="inlineStr">
        <is>
          <t>Multiple Issues</t>
        </is>
      </c>
      <c r="K1057" s="39" t="inlineStr">
        <is>
          <t>Holi</t>
        </is>
      </c>
      <c r="L1057" s="39" t="inlineStr">
        <is>
          <t>Maharashtra</t>
        </is>
      </c>
      <c r="M1057" s="9" t="inlineStr">
        <is>
          <t>NS</t>
        </is>
      </c>
      <c r="N1057" s="3" t="inlineStr">
        <is>
          <t>Cold Soldering</t>
        </is>
      </c>
      <c r="O1057" s="39" t="n">
        <v>575</v>
      </c>
      <c r="P1057" s="9" t="inlineStr">
        <is>
          <t>NSMI24070195334</t>
        </is>
      </c>
      <c r="Q1057" s="53">
        <f>MID(P1057,5,2)</f>
        <v/>
      </c>
      <c r="R1057" s="53">
        <f>MID(P1057,7,2)</f>
        <v/>
      </c>
      <c r="S1057" s="3" t="inlineStr">
        <is>
          <t>G2G</t>
        </is>
      </c>
      <c r="T1057" s="3" t="inlineStr">
        <is>
          <t>P4</t>
        </is>
      </c>
      <c r="U1057" s="3" t="inlineStr">
        <is>
          <t>N JB Cold Soldering</t>
        </is>
      </c>
      <c r="V1057" s="3" t="inlineStr">
        <is>
          <t>Soldering</t>
        </is>
      </c>
      <c r="W1057" s="3" t="inlineStr">
        <is>
          <t>Repair</t>
        </is>
      </c>
      <c r="X1057" s="18" t="n">
        <v>46156</v>
      </c>
      <c r="Y1057" s="3">
        <f>X1057-A1057</f>
        <v/>
      </c>
      <c r="Z1057" s="18" t="n">
        <v>46156</v>
      </c>
      <c r="AA1057" s="15" t="n"/>
      <c r="AB1057" s="15" t="n"/>
    </row>
    <row r="1058">
      <c r="A1058" s="37" t="n">
        <v>46143</v>
      </c>
      <c r="B1058" s="3" t="n">
        <v>2026</v>
      </c>
      <c r="C1058" s="26" t="inlineStr">
        <is>
          <t>Yanara Power</t>
        </is>
      </c>
      <c r="D1058" s="3" t="inlineStr">
        <is>
          <t>Utility and C&amp;I</t>
        </is>
      </c>
      <c r="E1058" s="3" t="n"/>
      <c r="F1058" s="3" t="inlineStr">
        <is>
          <t>Closed</t>
        </is>
      </c>
      <c r="G1058" s="9" t="inlineStr">
        <is>
          <t xml:space="preserve">Ashish Jindal </t>
        </is>
      </c>
      <c r="H1058" s="26" t="n">
        <v>9983975581</v>
      </c>
      <c r="I1058" s="38" t="inlineStr">
        <is>
          <t>PE01052601</t>
        </is>
      </c>
      <c r="J1058" s="26" t="inlineStr">
        <is>
          <t>Multiple Issues</t>
        </is>
      </c>
      <c r="K1058" s="39" t="inlineStr">
        <is>
          <t>Holi</t>
        </is>
      </c>
      <c r="L1058" s="39" t="inlineStr">
        <is>
          <t>Maharashtra</t>
        </is>
      </c>
      <c r="M1058" s="9" t="inlineStr">
        <is>
          <t>PS</t>
        </is>
      </c>
      <c r="N1058" s="3" t="inlineStr">
        <is>
          <t>Cold Soldering</t>
        </is>
      </c>
      <c r="O1058" s="39" t="n">
        <v>575</v>
      </c>
      <c r="P1058" s="9" t="inlineStr">
        <is>
          <t>NSMI24070195481</t>
        </is>
      </c>
      <c r="Q1058" s="53">
        <f>MID(P1058,5,2)</f>
        <v/>
      </c>
      <c r="R1058" s="53">
        <f>MID(P1058,7,2)</f>
        <v/>
      </c>
      <c r="S1058" s="3" t="inlineStr">
        <is>
          <t>G2G</t>
        </is>
      </c>
      <c r="T1058" s="3" t="inlineStr">
        <is>
          <t>P4</t>
        </is>
      </c>
      <c r="U1058" s="19" t="inlineStr">
        <is>
          <t>P JB Cold Soldering</t>
        </is>
      </c>
      <c r="V1058" s="19" t="inlineStr">
        <is>
          <t>Soldering</t>
        </is>
      </c>
      <c r="W1058" s="3" t="inlineStr">
        <is>
          <t>Repair</t>
        </is>
      </c>
      <c r="X1058" s="18" t="n">
        <v>46156</v>
      </c>
      <c r="Y1058" s="3">
        <f>X1058-A1058</f>
        <v/>
      </c>
      <c r="Z1058" s="18" t="n">
        <v>46156</v>
      </c>
      <c r="AA1058" s="15" t="n"/>
      <c r="AB1058" s="15" t="n"/>
    </row>
    <row r="1059">
      <c r="A1059" s="37" t="n">
        <v>46143</v>
      </c>
      <c r="B1059" s="3" t="n">
        <v>2026</v>
      </c>
      <c r="C1059" s="26" t="inlineStr">
        <is>
          <t>Yanara Power</t>
        </is>
      </c>
      <c r="D1059" s="3" t="inlineStr">
        <is>
          <t>Utility and C&amp;I</t>
        </is>
      </c>
      <c r="E1059" s="3" t="n"/>
      <c r="F1059" s="3" t="inlineStr">
        <is>
          <t>Closed</t>
        </is>
      </c>
      <c r="G1059" s="9" t="inlineStr">
        <is>
          <t xml:space="preserve">Ashish Jindal </t>
        </is>
      </c>
      <c r="H1059" s="26" t="n">
        <v>9983975581</v>
      </c>
      <c r="I1059" s="38" t="inlineStr">
        <is>
          <t>PE01052601</t>
        </is>
      </c>
      <c r="J1059" s="26" t="inlineStr">
        <is>
          <t>Multiple Issues</t>
        </is>
      </c>
      <c r="K1059" s="39" t="inlineStr">
        <is>
          <t>Holi</t>
        </is>
      </c>
      <c r="L1059" s="39" t="inlineStr">
        <is>
          <t>Maharashtra</t>
        </is>
      </c>
      <c r="M1059" s="9" t="inlineStr">
        <is>
          <t>PS</t>
        </is>
      </c>
      <c r="N1059" s="3" t="inlineStr">
        <is>
          <t>Cold Soldering</t>
        </is>
      </c>
      <c r="O1059" s="39" t="n">
        <v>575</v>
      </c>
      <c r="P1059" s="9" t="inlineStr">
        <is>
          <t>NSMI24070184898</t>
        </is>
      </c>
      <c r="Q1059" s="53">
        <f>MID(P1059,5,2)</f>
        <v/>
      </c>
      <c r="R1059" s="53">
        <f>MID(P1059,7,2)</f>
        <v/>
      </c>
      <c r="S1059" s="3" t="inlineStr">
        <is>
          <t>G2G</t>
        </is>
      </c>
      <c r="T1059" s="3" t="inlineStr">
        <is>
          <t>P4</t>
        </is>
      </c>
      <c r="U1059" s="19" t="inlineStr">
        <is>
          <t>P JB Cold Soldering</t>
        </is>
      </c>
      <c r="V1059" s="19" t="inlineStr">
        <is>
          <t>Soldering</t>
        </is>
      </c>
      <c r="W1059" s="3" t="inlineStr">
        <is>
          <t>Repair</t>
        </is>
      </c>
      <c r="X1059" s="18" t="n">
        <v>46156</v>
      </c>
      <c r="Y1059" s="3">
        <f>X1059-A1059</f>
        <v/>
      </c>
      <c r="Z1059" s="18" t="n">
        <v>46156</v>
      </c>
      <c r="AA1059" s="15" t="n"/>
      <c r="AB1059" s="15" t="n"/>
    </row>
    <row r="1060">
      <c r="A1060" s="37" t="n">
        <v>46143</v>
      </c>
      <c r="B1060" s="3" t="n">
        <v>2026</v>
      </c>
      <c r="C1060" s="26" t="inlineStr">
        <is>
          <t>Yanara Power</t>
        </is>
      </c>
      <c r="D1060" s="3" t="inlineStr">
        <is>
          <t>Utility and C&amp;I</t>
        </is>
      </c>
      <c r="E1060" s="3" t="n"/>
      <c r="F1060" s="3" t="inlineStr">
        <is>
          <t>Closed</t>
        </is>
      </c>
      <c r="G1060" s="9" t="inlineStr">
        <is>
          <t xml:space="preserve">Ashish Jindal </t>
        </is>
      </c>
      <c r="H1060" s="26" t="n">
        <v>9983975581</v>
      </c>
      <c r="I1060" s="38" t="inlineStr">
        <is>
          <t>PE01052601</t>
        </is>
      </c>
      <c r="J1060" s="26" t="inlineStr">
        <is>
          <t>Multiple Issues</t>
        </is>
      </c>
      <c r="K1060" s="39" t="inlineStr">
        <is>
          <t>Holi</t>
        </is>
      </c>
      <c r="L1060" s="39" t="inlineStr">
        <is>
          <t>Maharashtra</t>
        </is>
      </c>
      <c r="M1060" s="9" t="inlineStr">
        <is>
          <t>PNS</t>
        </is>
      </c>
      <c r="N1060" s="3" t="inlineStr">
        <is>
          <t>Cold Soldering</t>
        </is>
      </c>
      <c r="O1060" s="39" t="n">
        <v>575</v>
      </c>
      <c r="P1060" s="9" t="inlineStr">
        <is>
          <t>NSMI24070184904</t>
        </is>
      </c>
      <c r="Q1060" s="53">
        <f>MID(P1060,5,2)</f>
        <v/>
      </c>
      <c r="R1060" s="53">
        <f>MID(P1060,7,2)</f>
        <v/>
      </c>
      <c r="S1060" s="3" t="inlineStr">
        <is>
          <t>G2G</t>
        </is>
      </c>
      <c r="T1060" s="3" t="inlineStr">
        <is>
          <t>P4</t>
        </is>
      </c>
      <c r="U1060" s="3" t="inlineStr">
        <is>
          <t>P &amp; N JB Cold Soldering</t>
        </is>
      </c>
      <c r="V1060" s="3" t="inlineStr">
        <is>
          <t>Soldering</t>
        </is>
      </c>
      <c r="W1060" s="3" t="inlineStr">
        <is>
          <t>Repair</t>
        </is>
      </c>
      <c r="X1060" s="18" t="n">
        <v>46156</v>
      </c>
      <c r="Y1060" s="3">
        <f>X1060-A1060</f>
        <v/>
      </c>
      <c r="Z1060" s="18" t="n">
        <v>46156</v>
      </c>
      <c r="AA1060" s="15" t="n"/>
      <c r="AB1060" s="15" t="n"/>
    </row>
    <row r="1061">
      <c r="A1061" s="37" t="n">
        <v>46143</v>
      </c>
      <c r="B1061" s="3" t="n">
        <v>2026</v>
      </c>
      <c r="C1061" s="26" t="inlineStr">
        <is>
          <t>Yanara Power</t>
        </is>
      </c>
      <c r="D1061" s="3" t="inlineStr">
        <is>
          <t>Utility and C&amp;I</t>
        </is>
      </c>
      <c r="E1061" s="3" t="n"/>
      <c r="F1061" s="3" t="inlineStr">
        <is>
          <t>Closed</t>
        </is>
      </c>
      <c r="G1061" s="9" t="inlineStr">
        <is>
          <t xml:space="preserve">Ashish Jindal </t>
        </is>
      </c>
      <c r="H1061" s="26" t="n">
        <v>9983975581</v>
      </c>
      <c r="I1061" s="38" t="inlineStr">
        <is>
          <t>PE01052601</t>
        </is>
      </c>
      <c r="J1061" s="26" t="inlineStr">
        <is>
          <t>Multiple Issues</t>
        </is>
      </c>
      <c r="K1061" s="39" t="inlineStr">
        <is>
          <t>Holi</t>
        </is>
      </c>
      <c r="L1061" s="39" t="inlineStr">
        <is>
          <t>Maharashtra</t>
        </is>
      </c>
      <c r="M1061" s="9" t="inlineStr">
        <is>
          <t>PS</t>
        </is>
      </c>
      <c r="N1061" s="3" t="inlineStr">
        <is>
          <t>Cold Soldering</t>
        </is>
      </c>
      <c r="O1061" s="39" t="n">
        <v>575</v>
      </c>
      <c r="P1061" s="9" t="inlineStr">
        <is>
          <t>NSMI24070192884</t>
        </is>
      </c>
      <c r="Q1061" s="53">
        <f>MID(P1061,5,2)</f>
        <v/>
      </c>
      <c r="R1061" s="53">
        <f>MID(P1061,7,2)</f>
        <v/>
      </c>
      <c r="S1061" s="3" t="inlineStr">
        <is>
          <t>G2G</t>
        </is>
      </c>
      <c r="T1061" s="3" t="inlineStr">
        <is>
          <t>P4</t>
        </is>
      </c>
      <c r="U1061" s="19" t="inlineStr">
        <is>
          <t>P JB Cold Soldering</t>
        </is>
      </c>
      <c r="V1061" s="19" t="inlineStr">
        <is>
          <t>Soldering</t>
        </is>
      </c>
      <c r="W1061" s="3" t="inlineStr">
        <is>
          <t>Repair</t>
        </is>
      </c>
      <c r="X1061" s="18" t="n">
        <v>46156</v>
      </c>
      <c r="Y1061" s="3">
        <f>X1061-A1061</f>
        <v/>
      </c>
      <c r="Z1061" s="18" t="n">
        <v>46156</v>
      </c>
      <c r="AA1061" s="15" t="n"/>
      <c r="AB1061" s="15" t="n"/>
    </row>
    <row r="1062">
      <c r="A1062" s="37" t="n">
        <v>46143</v>
      </c>
      <c r="B1062" s="3" t="n">
        <v>2026</v>
      </c>
      <c r="C1062" s="26" t="inlineStr">
        <is>
          <t>Yanara Power</t>
        </is>
      </c>
      <c r="D1062" s="3" t="inlineStr">
        <is>
          <t>Utility and C&amp;I</t>
        </is>
      </c>
      <c r="E1062" s="3" t="n"/>
      <c r="F1062" s="3" t="inlineStr">
        <is>
          <t>Closed</t>
        </is>
      </c>
      <c r="G1062" s="9" t="inlineStr">
        <is>
          <t xml:space="preserve">Ashish Jindal </t>
        </is>
      </c>
      <c r="H1062" s="26" t="n">
        <v>9983975581</v>
      </c>
      <c r="I1062" s="38" t="inlineStr">
        <is>
          <t>PE01052601</t>
        </is>
      </c>
      <c r="J1062" s="26" t="inlineStr">
        <is>
          <t>Multiple Issues</t>
        </is>
      </c>
      <c r="K1062" s="39" t="inlineStr">
        <is>
          <t>Holi</t>
        </is>
      </c>
      <c r="L1062" s="39" t="inlineStr">
        <is>
          <t>Maharashtra</t>
        </is>
      </c>
      <c r="M1062" s="9" t="inlineStr">
        <is>
          <t>PS</t>
        </is>
      </c>
      <c r="N1062" s="3" t="inlineStr">
        <is>
          <t>Cold Soldering</t>
        </is>
      </c>
      <c r="O1062" s="39" t="n">
        <v>575</v>
      </c>
      <c r="P1062" s="9" t="inlineStr">
        <is>
          <t>NSMI24070192886</t>
        </is>
      </c>
      <c r="Q1062" s="53">
        <f>MID(P1062,5,2)</f>
        <v/>
      </c>
      <c r="R1062" s="53">
        <f>MID(P1062,7,2)</f>
        <v/>
      </c>
      <c r="S1062" s="3" t="inlineStr">
        <is>
          <t>G2G</t>
        </is>
      </c>
      <c r="T1062" s="3" t="inlineStr">
        <is>
          <t>P4</t>
        </is>
      </c>
      <c r="U1062" s="19" t="inlineStr">
        <is>
          <t>P JB Cold Soldering</t>
        </is>
      </c>
      <c r="V1062" s="19" t="inlineStr">
        <is>
          <t>Soldering</t>
        </is>
      </c>
      <c r="W1062" s="3" t="inlineStr">
        <is>
          <t>Repair</t>
        </is>
      </c>
      <c r="X1062" s="18" t="n">
        <v>46156</v>
      </c>
      <c r="Y1062" s="3">
        <f>X1062-A1062</f>
        <v/>
      </c>
      <c r="Z1062" s="18" t="n">
        <v>46156</v>
      </c>
      <c r="AA1062" s="15" t="n"/>
      <c r="AB1062" s="15" t="n"/>
    </row>
    <row r="1063">
      <c r="A1063" s="37" t="n">
        <v>46143</v>
      </c>
      <c r="B1063" s="3" t="n">
        <v>2026</v>
      </c>
      <c r="C1063" s="26" t="inlineStr">
        <is>
          <t>Yanara Power</t>
        </is>
      </c>
      <c r="D1063" s="3" t="inlineStr">
        <is>
          <t>Utility and C&amp;I</t>
        </is>
      </c>
      <c r="E1063" s="3" t="n"/>
      <c r="F1063" s="3" t="inlineStr">
        <is>
          <t>Closed</t>
        </is>
      </c>
      <c r="G1063" s="9" t="inlineStr">
        <is>
          <t xml:space="preserve">Ashish Jindal </t>
        </is>
      </c>
      <c r="H1063" s="26" t="n">
        <v>9983975581</v>
      </c>
      <c r="I1063" s="38" t="inlineStr">
        <is>
          <t>PE01052601</t>
        </is>
      </c>
      <c r="J1063" s="26" t="inlineStr">
        <is>
          <t>Multiple Issues</t>
        </is>
      </c>
      <c r="K1063" s="39" t="inlineStr">
        <is>
          <t>Holi</t>
        </is>
      </c>
      <c r="L1063" s="39" t="inlineStr">
        <is>
          <t>Maharashtra</t>
        </is>
      </c>
      <c r="M1063" s="9" t="inlineStr">
        <is>
          <t>NS</t>
        </is>
      </c>
      <c r="N1063" s="3" t="inlineStr">
        <is>
          <t>Cold Soldering</t>
        </is>
      </c>
      <c r="O1063" s="39" t="n">
        <v>575</v>
      </c>
      <c r="P1063" s="9" t="inlineStr">
        <is>
          <t>NSMI24070192836</t>
        </is>
      </c>
      <c r="Q1063" s="53">
        <f>MID(P1063,5,2)</f>
        <v/>
      </c>
      <c r="R1063" s="53">
        <f>MID(P1063,7,2)</f>
        <v/>
      </c>
      <c r="S1063" s="3" t="inlineStr">
        <is>
          <t>G2G</t>
        </is>
      </c>
      <c r="T1063" s="3" t="inlineStr">
        <is>
          <t>P4</t>
        </is>
      </c>
      <c r="U1063" s="3" t="inlineStr">
        <is>
          <t>N JB Cold Soldering</t>
        </is>
      </c>
      <c r="V1063" s="3" t="inlineStr">
        <is>
          <t>Soldering</t>
        </is>
      </c>
      <c r="W1063" s="3" t="inlineStr">
        <is>
          <t>Repair</t>
        </is>
      </c>
      <c r="X1063" s="18" t="n">
        <v>46156</v>
      </c>
      <c r="Y1063" s="3">
        <f>X1063-A1063</f>
        <v/>
      </c>
      <c r="Z1063" s="18" t="n">
        <v>46156</v>
      </c>
      <c r="AA1063" s="15" t="n"/>
      <c r="AB1063" s="15" t="n"/>
    </row>
    <row r="1064">
      <c r="A1064" s="37" t="n">
        <v>46143</v>
      </c>
      <c r="B1064" s="3" t="n">
        <v>2026</v>
      </c>
      <c r="C1064" s="26" t="inlineStr">
        <is>
          <t>Yanara Power</t>
        </is>
      </c>
      <c r="D1064" s="3" t="inlineStr">
        <is>
          <t>Utility and C&amp;I</t>
        </is>
      </c>
      <c r="E1064" s="3" t="n"/>
      <c r="F1064" s="3" t="inlineStr">
        <is>
          <t>Closed</t>
        </is>
      </c>
      <c r="G1064" s="9" t="inlineStr">
        <is>
          <t xml:space="preserve">Ashish Jindal </t>
        </is>
      </c>
      <c r="H1064" s="26" t="n">
        <v>9983975581</v>
      </c>
      <c r="I1064" s="38" t="inlineStr">
        <is>
          <t>PE01052601</t>
        </is>
      </c>
      <c r="J1064" s="26" t="inlineStr">
        <is>
          <t>Multiple Issues</t>
        </is>
      </c>
      <c r="K1064" s="39" t="inlineStr">
        <is>
          <t>Holi</t>
        </is>
      </c>
      <c r="L1064" s="39" t="inlineStr">
        <is>
          <t>Maharashtra</t>
        </is>
      </c>
      <c r="M1064" s="9" t="inlineStr">
        <is>
          <t>PS</t>
        </is>
      </c>
      <c r="N1064" s="3" t="inlineStr">
        <is>
          <t>Cold Soldering</t>
        </is>
      </c>
      <c r="O1064" s="39" t="n">
        <v>575</v>
      </c>
      <c r="P1064" s="9" t="inlineStr">
        <is>
          <t>NSMI24070193152</t>
        </is>
      </c>
      <c r="Q1064" s="53">
        <f>MID(P1064,5,2)</f>
        <v/>
      </c>
      <c r="R1064" s="53">
        <f>MID(P1064,7,2)</f>
        <v/>
      </c>
      <c r="S1064" s="3" t="inlineStr">
        <is>
          <t>G2G</t>
        </is>
      </c>
      <c r="T1064" s="3" t="inlineStr">
        <is>
          <t>P4</t>
        </is>
      </c>
      <c r="U1064" s="19" t="inlineStr">
        <is>
          <t>P JB Cold Soldering</t>
        </is>
      </c>
      <c r="V1064" s="19" t="inlineStr">
        <is>
          <t>Soldering</t>
        </is>
      </c>
      <c r="W1064" s="3" t="inlineStr">
        <is>
          <t>Repair</t>
        </is>
      </c>
      <c r="X1064" s="18" t="n">
        <v>46156</v>
      </c>
      <c r="Y1064" s="3">
        <f>X1064-A1064</f>
        <v/>
      </c>
      <c r="Z1064" s="18" t="n">
        <v>46156</v>
      </c>
      <c r="AA1064" s="15" t="n"/>
      <c r="AB1064" s="15" t="n"/>
    </row>
    <row r="1065">
      <c r="A1065" s="37" t="n">
        <v>46143</v>
      </c>
      <c r="B1065" s="3" t="n">
        <v>2026</v>
      </c>
      <c r="C1065" s="26" t="inlineStr">
        <is>
          <t>Yanara Power</t>
        </is>
      </c>
      <c r="D1065" s="3" t="inlineStr">
        <is>
          <t>Utility and C&amp;I</t>
        </is>
      </c>
      <c r="E1065" s="3" t="n"/>
      <c r="F1065" s="3" t="inlineStr">
        <is>
          <t>Closed</t>
        </is>
      </c>
      <c r="G1065" s="9" t="inlineStr">
        <is>
          <t xml:space="preserve">Ashish Jindal </t>
        </is>
      </c>
      <c r="H1065" s="26" t="n">
        <v>9983975581</v>
      </c>
      <c r="I1065" s="38" t="inlineStr">
        <is>
          <t>PE01052601</t>
        </is>
      </c>
      <c r="J1065" s="26" t="inlineStr">
        <is>
          <t>Multiple Issues</t>
        </is>
      </c>
      <c r="K1065" s="39" t="inlineStr">
        <is>
          <t>Holi</t>
        </is>
      </c>
      <c r="L1065" s="39" t="inlineStr">
        <is>
          <t>Maharashtra</t>
        </is>
      </c>
      <c r="M1065" s="9" t="inlineStr">
        <is>
          <t>PR</t>
        </is>
      </c>
      <c r="N1065" s="3" t="inlineStr">
        <is>
          <t>JB Issue</t>
        </is>
      </c>
      <c r="O1065" s="39" t="n">
        <v>575</v>
      </c>
      <c r="P1065" s="9" t="inlineStr">
        <is>
          <t>NSMI24070193391</t>
        </is>
      </c>
      <c r="Q1065" s="53">
        <f>MID(P1065,5,2)</f>
        <v/>
      </c>
      <c r="R1065" s="53">
        <f>MID(P1065,7,2)</f>
        <v/>
      </c>
      <c r="S1065" s="3" t="inlineStr">
        <is>
          <t>G2G</t>
        </is>
      </c>
      <c r="T1065" s="3" t="inlineStr">
        <is>
          <t>P4</t>
        </is>
      </c>
      <c r="U1065" s="3" t="inlineStr">
        <is>
          <t>P JB Issue</t>
        </is>
      </c>
      <c r="V1065" s="15" t="inlineStr">
        <is>
          <t>JB Changed</t>
        </is>
      </c>
      <c r="W1065" s="3" t="inlineStr">
        <is>
          <t>Repair</t>
        </is>
      </c>
      <c r="X1065" s="18" t="n">
        <v>46156</v>
      </c>
      <c r="Y1065" s="3">
        <f>X1065-A1065</f>
        <v/>
      </c>
      <c r="Z1065" s="18" t="n">
        <v>46156</v>
      </c>
      <c r="AA1065" s="15" t="n"/>
      <c r="AB1065" s="15" t="n"/>
    </row>
    <row r="1066">
      <c r="A1066" s="37" t="n">
        <v>46143</v>
      </c>
      <c r="B1066" s="3" t="n">
        <v>2026</v>
      </c>
      <c r="C1066" s="26" t="inlineStr">
        <is>
          <t>Yanara Power</t>
        </is>
      </c>
      <c r="D1066" s="3" t="inlineStr">
        <is>
          <t>Utility and C&amp;I</t>
        </is>
      </c>
      <c r="E1066" s="3" t="n"/>
      <c r="F1066" s="3" t="inlineStr">
        <is>
          <t>Closed</t>
        </is>
      </c>
      <c r="G1066" s="9" t="inlineStr">
        <is>
          <t xml:space="preserve">Ashish Jindal </t>
        </is>
      </c>
      <c r="H1066" s="26" t="n">
        <v>9983975581</v>
      </c>
      <c r="I1066" s="38" t="inlineStr">
        <is>
          <t>PE01052601</t>
        </is>
      </c>
      <c r="J1066" s="26" t="inlineStr">
        <is>
          <t>Multiple Issues</t>
        </is>
      </c>
      <c r="K1066" s="39" t="inlineStr">
        <is>
          <t>Holi</t>
        </is>
      </c>
      <c r="L1066" s="39" t="inlineStr">
        <is>
          <t>Maharashtra</t>
        </is>
      </c>
      <c r="M1066" s="9" t="inlineStr">
        <is>
          <t>NS</t>
        </is>
      </c>
      <c r="N1066" s="3" t="inlineStr">
        <is>
          <t>Cold Soldering</t>
        </is>
      </c>
      <c r="O1066" s="39" t="n">
        <v>575</v>
      </c>
      <c r="P1066" s="9" t="inlineStr">
        <is>
          <t>NSMI24070176630</t>
        </is>
      </c>
      <c r="Q1066" s="53">
        <f>MID(P1066,5,2)</f>
        <v/>
      </c>
      <c r="R1066" s="53">
        <f>MID(P1066,7,2)</f>
        <v/>
      </c>
      <c r="S1066" s="3" t="inlineStr">
        <is>
          <t>G2G</t>
        </is>
      </c>
      <c r="T1066" s="3" t="inlineStr">
        <is>
          <t>P4</t>
        </is>
      </c>
      <c r="U1066" s="3" t="inlineStr">
        <is>
          <t>N JB Cold Soldering</t>
        </is>
      </c>
      <c r="V1066" s="3" t="inlineStr">
        <is>
          <t>Soldering</t>
        </is>
      </c>
      <c r="W1066" s="3" t="inlineStr">
        <is>
          <t>Repair</t>
        </is>
      </c>
      <c r="X1066" s="18" t="n">
        <v>46156</v>
      </c>
      <c r="Y1066" s="3">
        <f>X1066-A1066</f>
        <v/>
      </c>
      <c r="Z1066" s="18" t="n">
        <v>46156</v>
      </c>
      <c r="AA1066" s="15" t="n"/>
      <c r="AB1066" s="15" t="n"/>
    </row>
    <row r="1067">
      <c r="A1067" s="37" t="n">
        <v>46143</v>
      </c>
      <c r="B1067" s="3" t="n">
        <v>2026</v>
      </c>
      <c r="C1067" s="26" t="inlineStr">
        <is>
          <t>Yanara Power</t>
        </is>
      </c>
      <c r="D1067" s="3" t="inlineStr">
        <is>
          <t>Utility and C&amp;I</t>
        </is>
      </c>
      <c r="E1067" s="3" t="n"/>
      <c r="F1067" s="3" t="inlineStr">
        <is>
          <t>Closed</t>
        </is>
      </c>
      <c r="G1067" s="9" t="inlineStr">
        <is>
          <t xml:space="preserve">Ashish Jindal </t>
        </is>
      </c>
      <c r="H1067" s="26" t="n">
        <v>9983975581</v>
      </c>
      <c r="I1067" s="38" t="inlineStr">
        <is>
          <t>PE01052601</t>
        </is>
      </c>
      <c r="J1067" s="26" t="inlineStr">
        <is>
          <t>Multiple Issues</t>
        </is>
      </c>
      <c r="K1067" s="39" t="inlineStr">
        <is>
          <t>Holi</t>
        </is>
      </c>
      <c r="L1067" s="39" t="inlineStr">
        <is>
          <t>Maharashtra</t>
        </is>
      </c>
      <c r="M1067" s="9" t="inlineStr">
        <is>
          <t>PS</t>
        </is>
      </c>
      <c r="N1067" s="3" t="inlineStr">
        <is>
          <t>Cold Soldering</t>
        </is>
      </c>
      <c r="O1067" s="39" t="n">
        <v>575</v>
      </c>
      <c r="P1067" s="9" t="inlineStr">
        <is>
          <t>NSMI24070190815</t>
        </is>
      </c>
      <c r="Q1067" s="53">
        <f>MID(P1067,5,2)</f>
        <v/>
      </c>
      <c r="R1067" s="53">
        <f>MID(P1067,7,2)</f>
        <v/>
      </c>
      <c r="S1067" s="3" t="inlineStr">
        <is>
          <t>G2G</t>
        </is>
      </c>
      <c r="T1067" s="3" t="inlineStr">
        <is>
          <t>P4</t>
        </is>
      </c>
      <c r="U1067" s="19" t="inlineStr">
        <is>
          <t>P JB Cold Soldering</t>
        </is>
      </c>
      <c r="V1067" s="19" t="inlineStr">
        <is>
          <t>Soldering</t>
        </is>
      </c>
      <c r="W1067" s="3" t="inlineStr">
        <is>
          <t>Repair</t>
        </is>
      </c>
      <c r="X1067" s="18" t="n">
        <v>46156</v>
      </c>
      <c r="Y1067" s="3">
        <f>X1067-A1067</f>
        <v/>
      </c>
      <c r="Z1067" s="18" t="n">
        <v>46156</v>
      </c>
      <c r="AA1067" s="15" t="n"/>
      <c r="AB1067" s="15" t="n"/>
    </row>
    <row r="1068">
      <c r="A1068" s="37" t="n">
        <v>46143</v>
      </c>
      <c r="B1068" s="3" t="n">
        <v>2026</v>
      </c>
      <c r="C1068" s="26" t="inlineStr">
        <is>
          <t>Yanara Power</t>
        </is>
      </c>
      <c r="D1068" s="3" t="inlineStr">
        <is>
          <t>Utility and C&amp;I</t>
        </is>
      </c>
      <c r="E1068" s="3" t="n"/>
      <c r="F1068" s="3" t="inlineStr">
        <is>
          <t>Closed</t>
        </is>
      </c>
      <c r="G1068" s="9" t="inlineStr">
        <is>
          <t xml:space="preserve">Ashish Jindal </t>
        </is>
      </c>
      <c r="H1068" s="26" t="n">
        <v>9983975581</v>
      </c>
      <c r="I1068" s="38" t="inlineStr">
        <is>
          <t>PE01052601</t>
        </is>
      </c>
      <c r="J1068" s="26" t="inlineStr">
        <is>
          <t>Multiple Issues</t>
        </is>
      </c>
      <c r="K1068" s="39" t="inlineStr">
        <is>
          <t>Holi</t>
        </is>
      </c>
      <c r="L1068" s="39" t="inlineStr">
        <is>
          <t>Maharashtra</t>
        </is>
      </c>
      <c r="M1068" s="9" t="inlineStr">
        <is>
          <t>PS</t>
        </is>
      </c>
      <c r="N1068" s="3" t="inlineStr">
        <is>
          <t>Cold Soldering</t>
        </is>
      </c>
      <c r="O1068" s="39" t="n">
        <v>575</v>
      </c>
      <c r="P1068" s="9" t="inlineStr">
        <is>
          <t>NSMI24070201936</t>
        </is>
      </c>
      <c r="Q1068" s="53">
        <f>MID(P1068,5,2)</f>
        <v/>
      </c>
      <c r="R1068" s="53">
        <f>MID(P1068,7,2)</f>
        <v/>
      </c>
      <c r="S1068" s="3" t="inlineStr">
        <is>
          <t>G2G</t>
        </is>
      </c>
      <c r="T1068" s="3" t="inlineStr">
        <is>
          <t>P4</t>
        </is>
      </c>
      <c r="U1068" s="19" t="inlineStr">
        <is>
          <t>P JB Cold Soldering</t>
        </is>
      </c>
      <c r="V1068" s="19" t="inlineStr">
        <is>
          <t>Soldering</t>
        </is>
      </c>
      <c r="W1068" s="3" t="inlineStr">
        <is>
          <t>Repair</t>
        </is>
      </c>
      <c r="X1068" s="18" t="n">
        <v>46156</v>
      </c>
      <c r="Y1068" s="3">
        <f>X1068-A1068</f>
        <v/>
      </c>
      <c r="Z1068" s="18" t="n">
        <v>46156</v>
      </c>
      <c r="AA1068" s="15" t="n"/>
      <c r="AB1068" s="15" t="n"/>
    </row>
    <row r="1069">
      <c r="A1069" s="37" t="n">
        <v>46143</v>
      </c>
      <c r="B1069" s="3" t="n">
        <v>2026</v>
      </c>
      <c r="C1069" s="26" t="inlineStr">
        <is>
          <t>Yanara Power</t>
        </is>
      </c>
      <c r="D1069" s="3" t="inlineStr">
        <is>
          <t>Utility and C&amp;I</t>
        </is>
      </c>
      <c r="E1069" s="3" t="n"/>
      <c r="F1069" s="3" t="inlineStr">
        <is>
          <t>Closed</t>
        </is>
      </c>
      <c r="G1069" s="9" t="inlineStr">
        <is>
          <t xml:space="preserve">Ashish Jindal </t>
        </is>
      </c>
      <c r="H1069" s="26" t="n">
        <v>9983975581</v>
      </c>
      <c r="I1069" s="38" t="inlineStr">
        <is>
          <t>PE01052601</t>
        </is>
      </c>
      <c r="J1069" s="26" t="inlineStr">
        <is>
          <t>Multiple Issues</t>
        </is>
      </c>
      <c r="K1069" s="39" t="inlineStr">
        <is>
          <t>Holi</t>
        </is>
      </c>
      <c r="L1069" s="39" t="inlineStr">
        <is>
          <t>Maharashtra</t>
        </is>
      </c>
      <c r="M1069" s="9" t="inlineStr">
        <is>
          <t>PS</t>
        </is>
      </c>
      <c r="N1069" s="3" t="inlineStr">
        <is>
          <t>Cold Soldering</t>
        </is>
      </c>
      <c r="O1069" s="39" t="n">
        <v>575</v>
      </c>
      <c r="P1069" s="9" t="inlineStr">
        <is>
          <t>NSMI24070195280</t>
        </is>
      </c>
      <c r="Q1069" s="53">
        <f>MID(P1069,5,2)</f>
        <v/>
      </c>
      <c r="R1069" s="53">
        <f>MID(P1069,7,2)</f>
        <v/>
      </c>
      <c r="S1069" s="3" t="inlineStr">
        <is>
          <t>G2G</t>
        </is>
      </c>
      <c r="T1069" s="3" t="inlineStr">
        <is>
          <t>P4</t>
        </is>
      </c>
      <c r="U1069" s="19" t="inlineStr">
        <is>
          <t>P JB Cold Soldering</t>
        </is>
      </c>
      <c r="V1069" s="19" t="inlineStr">
        <is>
          <t>Soldering</t>
        </is>
      </c>
      <c r="W1069" s="3" t="inlineStr">
        <is>
          <t>Repair</t>
        </is>
      </c>
      <c r="X1069" s="18" t="n">
        <v>46156</v>
      </c>
      <c r="Y1069" s="3">
        <f>X1069-A1069</f>
        <v/>
      </c>
      <c r="Z1069" s="18" t="n">
        <v>46156</v>
      </c>
      <c r="AA1069" s="15" t="n"/>
      <c r="AB1069" s="15" t="n"/>
    </row>
    <row r="1070">
      <c r="A1070" s="37" t="n">
        <v>46143</v>
      </c>
      <c r="B1070" s="3" t="n">
        <v>2026</v>
      </c>
      <c r="C1070" s="26" t="inlineStr">
        <is>
          <t>Yanara Power</t>
        </is>
      </c>
      <c r="D1070" s="3" t="inlineStr">
        <is>
          <t>Utility and C&amp;I</t>
        </is>
      </c>
      <c r="E1070" s="3" t="n"/>
      <c r="F1070" s="3" t="inlineStr">
        <is>
          <t>Closed</t>
        </is>
      </c>
      <c r="G1070" s="9" t="inlineStr">
        <is>
          <t xml:space="preserve">Ashish Jindal </t>
        </is>
      </c>
      <c r="H1070" s="26" t="n">
        <v>9983975581</v>
      </c>
      <c r="I1070" s="38" t="inlineStr">
        <is>
          <t>PE01052601</t>
        </is>
      </c>
      <c r="J1070" s="26" t="inlineStr">
        <is>
          <t>Multiple Issues</t>
        </is>
      </c>
      <c r="K1070" s="39" t="inlineStr">
        <is>
          <t>Holi</t>
        </is>
      </c>
      <c r="L1070" s="39" t="inlineStr">
        <is>
          <t>Maharashtra</t>
        </is>
      </c>
      <c r="M1070" s="9" t="inlineStr">
        <is>
          <t>NS</t>
        </is>
      </c>
      <c r="N1070" s="3" t="inlineStr">
        <is>
          <t>Cold Soldering</t>
        </is>
      </c>
      <c r="O1070" s="39" t="n">
        <v>575</v>
      </c>
      <c r="P1070" s="9" t="inlineStr">
        <is>
          <t>NSMI24070189437</t>
        </is>
      </c>
      <c r="Q1070" s="53">
        <f>MID(P1070,5,2)</f>
        <v/>
      </c>
      <c r="R1070" s="53">
        <f>MID(P1070,7,2)</f>
        <v/>
      </c>
      <c r="S1070" s="3" t="inlineStr">
        <is>
          <t>G2G</t>
        </is>
      </c>
      <c r="T1070" s="3" t="inlineStr">
        <is>
          <t>P4</t>
        </is>
      </c>
      <c r="U1070" s="3" t="inlineStr">
        <is>
          <t>N JB Cold Soldering</t>
        </is>
      </c>
      <c r="V1070" s="3" t="inlineStr">
        <is>
          <t>Soldering</t>
        </is>
      </c>
      <c r="W1070" s="3" t="inlineStr">
        <is>
          <t>Repair</t>
        </is>
      </c>
      <c r="X1070" s="18" t="n">
        <v>46156</v>
      </c>
      <c r="Y1070" s="3">
        <f>X1070-A1070</f>
        <v/>
      </c>
      <c r="Z1070" s="18" t="n">
        <v>46156</v>
      </c>
      <c r="AA1070" s="15" t="n"/>
      <c r="AB1070" s="15" t="n"/>
    </row>
    <row r="1071">
      <c r="A1071" s="37" t="n">
        <v>46143</v>
      </c>
      <c r="B1071" s="3" t="n">
        <v>2026</v>
      </c>
      <c r="C1071" s="26" t="inlineStr">
        <is>
          <t>Yanara Power</t>
        </is>
      </c>
      <c r="D1071" s="3" t="inlineStr">
        <is>
          <t>Utility and C&amp;I</t>
        </is>
      </c>
      <c r="E1071" s="3" t="n"/>
      <c r="F1071" s="3" t="inlineStr">
        <is>
          <t>Closed</t>
        </is>
      </c>
      <c r="G1071" s="9" t="inlineStr">
        <is>
          <t xml:space="preserve">Ashish Jindal </t>
        </is>
      </c>
      <c r="H1071" s="26" t="n">
        <v>9983975581</v>
      </c>
      <c r="I1071" s="38" t="inlineStr">
        <is>
          <t>PE01052601</t>
        </is>
      </c>
      <c r="J1071" s="26" t="inlineStr">
        <is>
          <t>Multiple Issues</t>
        </is>
      </c>
      <c r="K1071" s="39" t="inlineStr">
        <is>
          <t>Holi</t>
        </is>
      </c>
      <c r="L1071" s="39" t="inlineStr">
        <is>
          <t>Maharashtra</t>
        </is>
      </c>
      <c r="M1071" s="9" t="inlineStr">
        <is>
          <t>PS</t>
        </is>
      </c>
      <c r="N1071" s="3" t="inlineStr">
        <is>
          <t>Cold Soldering</t>
        </is>
      </c>
      <c r="O1071" s="39" t="n">
        <v>575</v>
      </c>
      <c r="P1071" s="9" t="inlineStr">
        <is>
          <t>NSMI24070190508</t>
        </is>
      </c>
      <c r="Q1071" s="53">
        <f>MID(P1071,5,2)</f>
        <v/>
      </c>
      <c r="R1071" s="53">
        <f>MID(P1071,7,2)</f>
        <v/>
      </c>
      <c r="S1071" s="3" t="inlineStr">
        <is>
          <t>G2G</t>
        </is>
      </c>
      <c r="T1071" s="3" t="inlineStr">
        <is>
          <t>P4</t>
        </is>
      </c>
      <c r="U1071" s="19" t="inlineStr">
        <is>
          <t>P JB Cold Soldering</t>
        </is>
      </c>
      <c r="V1071" s="19" t="inlineStr">
        <is>
          <t>Soldering</t>
        </is>
      </c>
      <c r="W1071" s="3" t="inlineStr">
        <is>
          <t>Repair</t>
        </is>
      </c>
      <c r="X1071" s="18" t="n">
        <v>46156</v>
      </c>
      <c r="Y1071" s="3">
        <f>X1071-A1071</f>
        <v/>
      </c>
      <c r="Z1071" s="18" t="n">
        <v>46156</v>
      </c>
      <c r="AA1071" s="15" t="n"/>
      <c r="AB1071" s="15" t="n"/>
    </row>
    <row r="1072">
      <c r="A1072" s="37" t="n">
        <v>46143</v>
      </c>
      <c r="B1072" s="3" t="n">
        <v>2026</v>
      </c>
      <c r="C1072" s="26" t="inlineStr">
        <is>
          <t>Yanara Power</t>
        </is>
      </c>
      <c r="D1072" s="3" t="inlineStr">
        <is>
          <t>Utility and C&amp;I</t>
        </is>
      </c>
      <c r="E1072" s="3" t="n"/>
      <c r="F1072" s="3" t="inlineStr">
        <is>
          <t>Closed</t>
        </is>
      </c>
      <c r="G1072" s="9" t="inlineStr">
        <is>
          <t xml:space="preserve">Ashish Jindal </t>
        </is>
      </c>
      <c r="H1072" s="26" t="n">
        <v>9983975581</v>
      </c>
      <c r="I1072" s="38" t="inlineStr">
        <is>
          <t>PE01052601</t>
        </is>
      </c>
      <c r="J1072" s="26" t="inlineStr">
        <is>
          <t>Multiple Issues</t>
        </is>
      </c>
      <c r="K1072" s="39" t="inlineStr">
        <is>
          <t>Holi</t>
        </is>
      </c>
      <c r="L1072" s="39" t="inlineStr">
        <is>
          <t>Maharashtra</t>
        </is>
      </c>
      <c r="M1072" s="9" t="inlineStr">
        <is>
          <t>AR</t>
        </is>
      </c>
      <c r="N1072" s="19" t="inlineStr">
        <is>
          <t>JB Issue</t>
        </is>
      </c>
      <c r="O1072" s="39" t="n">
        <v>575</v>
      </c>
      <c r="P1072" s="9" t="inlineStr">
        <is>
          <t>NSMI24070192957</t>
        </is>
      </c>
      <c r="Q1072" s="53">
        <f>MID(P1072,5,2)</f>
        <v/>
      </c>
      <c r="R1072" s="53">
        <f>MID(P1072,7,2)</f>
        <v/>
      </c>
      <c r="S1072" s="3" t="inlineStr">
        <is>
          <t>G2G</t>
        </is>
      </c>
      <c r="T1072" s="3" t="inlineStr">
        <is>
          <t>P4</t>
        </is>
      </c>
      <c r="U1072" s="19" t="inlineStr">
        <is>
          <t>All JB Issue</t>
        </is>
      </c>
      <c r="V1072" s="19" t="inlineStr">
        <is>
          <t>JB Changed</t>
        </is>
      </c>
      <c r="W1072" s="3" t="inlineStr">
        <is>
          <t>Repair</t>
        </is>
      </c>
      <c r="X1072" s="18" t="n">
        <v>46156</v>
      </c>
      <c r="Y1072" s="3">
        <f>X1072-A1072</f>
        <v/>
      </c>
      <c r="Z1072" s="18" t="n">
        <v>46156</v>
      </c>
      <c r="AA1072" s="15" t="n"/>
      <c r="AB1072" s="15" t="n"/>
    </row>
    <row r="1073">
      <c r="A1073" s="37" t="n">
        <v>46143</v>
      </c>
      <c r="B1073" s="3" t="n">
        <v>2026</v>
      </c>
      <c r="C1073" s="26" t="inlineStr">
        <is>
          <t>Yanara Power</t>
        </is>
      </c>
      <c r="D1073" s="3" t="inlineStr">
        <is>
          <t>Utility and C&amp;I</t>
        </is>
      </c>
      <c r="E1073" s="3" t="n"/>
      <c r="F1073" s="3" t="inlineStr">
        <is>
          <t>Closed</t>
        </is>
      </c>
      <c r="G1073" s="9" t="inlineStr">
        <is>
          <t xml:space="preserve">Ashish Jindal </t>
        </is>
      </c>
      <c r="H1073" s="26" t="n">
        <v>9983975581</v>
      </c>
      <c r="I1073" s="38" t="inlineStr">
        <is>
          <t>PE01052601</t>
        </is>
      </c>
      <c r="J1073" s="26" t="inlineStr">
        <is>
          <t>Multiple Issues</t>
        </is>
      </c>
      <c r="K1073" s="39" t="inlineStr">
        <is>
          <t>Holi</t>
        </is>
      </c>
      <c r="L1073" s="39" t="inlineStr">
        <is>
          <t>Maharashtra</t>
        </is>
      </c>
      <c r="M1073" s="9" t="inlineStr">
        <is>
          <t>PS</t>
        </is>
      </c>
      <c r="N1073" s="3" t="inlineStr">
        <is>
          <t>Cold Soldering</t>
        </is>
      </c>
      <c r="O1073" s="39" t="n">
        <v>575</v>
      </c>
      <c r="P1073" s="9" t="inlineStr">
        <is>
          <t>NSMI24070216979</t>
        </is>
      </c>
      <c r="Q1073" s="53">
        <f>MID(P1073,5,2)</f>
        <v/>
      </c>
      <c r="R1073" s="53">
        <f>MID(P1073,7,2)</f>
        <v/>
      </c>
      <c r="S1073" s="3" t="inlineStr">
        <is>
          <t>G2G</t>
        </is>
      </c>
      <c r="T1073" s="3" t="inlineStr">
        <is>
          <t>P4</t>
        </is>
      </c>
      <c r="U1073" s="19" t="inlineStr">
        <is>
          <t>P JB Cold Soldering</t>
        </is>
      </c>
      <c r="V1073" s="19" t="inlineStr">
        <is>
          <t>Soldering</t>
        </is>
      </c>
      <c r="W1073" s="3" t="inlineStr">
        <is>
          <t>Repair</t>
        </is>
      </c>
      <c r="X1073" s="18" t="n">
        <v>46156</v>
      </c>
      <c r="Y1073" s="3">
        <f>X1073-A1073</f>
        <v/>
      </c>
      <c r="Z1073" s="18" t="n">
        <v>46156</v>
      </c>
      <c r="AA1073" s="15" t="n"/>
      <c r="AB1073" s="15" t="n"/>
    </row>
    <row r="1074">
      <c r="A1074" s="37" t="n">
        <v>46143</v>
      </c>
      <c r="B1074" s="3" t="n">
        <v>2026</v>
      </c>
      <c r="C1074" s="26" t="inlineStr">
        <is>
          <t>Yanara Power</t>
        </is>
      </c>
      <c r="D1074" s="3" t="inlineStr">
        <is>
          <t>Utility and C&amp;I</t>
        </is>
      </c>
      <c r="E1074" s="3" t="n"/>
      <c r="F1074" s="3" t="inlineStr">
        <is>
          <t>Closed</t>
        </is>
      </c>
      <c r="G1074" s="9" t="inlineStr">
        <is>
          <t xml:space="preserve">Ashish Jindal </t>
        </is>
      </c>
      <c r="H1074" s="26" t="n">
        <v>9983975581</v>
      </c>
      <c r="I1074" s="38" t="inlineStr">
        <is>
          <t>PE01052601</t>
        </is>
      </c>
      <c r="J1074" s="26" t="inlineStr">
        <is>
          <t>Multiple Issues</t>
        </is>
      </c>
      <c r="K1074" s="39" t="inlineStr">
        <is>
          <t>Holi</t>
        </is>
      </c>
      <c r="L1074" s="39" t="inlineStr">
        <is>
          <t>Maharashtra</t>
        </is>
      </c>
      <c r="M1074" s="9" t="inlineStr">
        <is>
          <t>PS</t>
        </is>
      </c>
      <c r="N1074" s="3" t="inlineStr">
        <is>
          <t>Cold Soldering</t>
        </is>
      </c>
      <c r="O1074" s="39" t="n">
        <v>575</v>
      </c>
      <c r="P1074" s="9" t="inlineStr">
        <is>
          <t>NSMI24070202920</t>
        </is>
      </c>
      <c r="Q1074" s="53">
        <f>MID(P1074,5,2)</f>
        <v/>
      </c>
      <c r="R1074" s="53">
        <f>MID(P1074,7,2)</f>
        <v/>
      </c>
      <c r="S1074" s="3" t="inlineStr">
        <is>
          <t>G2G</t>
        </is>
      </c>
      <c r="T1074" s="3" t="inlineStr">
        <is>
          <t>P4</t>
        </is>
      </c>
      <c r="U1074" s="19" t="inlineStr">
        <is>
          <t>P JB Cold Soldering</t>
        </is>
      </c>
      <c r="V1074" s="19" t="inlineStr">
        <is>
          <t>Soldering</t>
        </is>
      </c>
      <c r="W1074" s="3" t="inlineStr">
        <is>
          <t>Repair</t>
        </is>
      </c>
      <c r="X1074" s="18" t="n">
        <v>46156</v>
      </c>
      <c r="Y1074" s="3">
        <f>X1074-A1074</f>
        <v/>
      </c>
      <c r="Z1074" s="18" t="n">
        <v>46156</v>
      </c>
      <c r="AA1074" s="15" t="n"/>
      <c r="AB1074" s="15" t="n"/>
    </row>
    <row r="1075">
      <c r="A1075" s="37" t="n">
        <v>46143</v>
      </c>
      <c r="B1075" s="3" t="n">
        <v>2026</v>
      </c>
      <c r="C1075" s="26" t="inlineStr">
        <is>
          <t>Yanara Power</t>
        </is>
      </c>
      <c r="D1075" s="3" t="inlineStr">
        <is>
          <t>Utility and C&amp;I</t>
        </is>
      </c>
      <c r="E1075" s="3" t="n"/>
      <c r="F1075" s="3" t="inlineStr">
        <is>
          <t>Closed</t>
        </is>
      </c>
      <c r="G1075" s="9" t="inlineStr">
        <is>
          <t xml:space="preserve">Ashish Jindal </t>
        </is>
      </c>
      <c r="H1075" s="26" t="n">
        <v>9983975581</v>
      </c>
      <c r="I1075" s="38" t="inlineStr">
        <is>
          <t>PE01052601</t>
        </is>
      </c>
      <c r="J1075" s="26" t="inlineStr">
        <is>
          <t>Multiple Issues</t>
        </is>
      </c>
      <c r="K1075" s="39" t="inlineStr">
        <is>
          <t>Holi</t>
        </is>
      </c>
      <c r="L1075" s="39" t="inlineStr">
        <is>
          <t>Maharashtra</t>
        </is>
      </c>
      <c r="M1075" s="9" t="inlineStr">
        <is>
          <t>PS</t>
        </is>
      </c>
      <c r="N1075" s="3" t="inlineStr">
        <is>
          <t>Cold Soldering</t>
        </is>
      </c>
      <c r="O1075" s="39" t="n">
        <v>575</v>
      </c>
      <c r="P1075" s="9" t="inlineStr">
        <is>
          <t>NSMI24070202278</t>
        </is>
      </c>
      <c r="Q1075" s="53">
        <f>MID(P1075,5,2)</f>
        <v/>
      </c>
      <c r="R1075" s="53">
        <f>MID(P1075,7,2)</f>
        <v/>
      </c>
      <c r="S1075" s="3" t="inlineStr">
        <is>
          <t>G2G</t>
        </is>
      </c>
      <c r="T1075" s="3" t="inlineStr">
        <is>
          <t>P4</t>
        </is>
      </c>
      <c r="U1075" s="19" t="inlineStr">
        <is>
          <t>P JB Cold Soldering</t>
        </is>
      </c>
      <c r="V1075" s="19" t="inlineStr">
        <is>
          <t>Soldering</t>
        </is>
      </c>
      <c r="W1075" s="3" t="inlineStr">
        <is>
          <t>Repair</t>
        </is>
      </c>
      <c r="X1075" s="18" t="n">
        <v>46156</v>
      </c>
      <c r="Y1075" s="3">
        <f>X1075-A1075</f>
        <v/>
      </c>
      <c r="Z1075" s="18" t="n">
        <v>46156</v>
      </c>
      <c r="AA1075" s="15" t="n"/>
      <c r="AB1075" s="15" t="n"/>
    </row>
    <row r="1076">
      <c r="A1076" s="37" t="n">
        <v>46143</v>
      </c>
      <c r="B1076" s="3" t="n">
        <v>2026</v>
      </c>
      <c r="C1076" s="26" t="inlineStr">
        <is>
          <t>Yanara Power</t>
        </is>
      </c>
      <c r="D1076" s="3" t="inlineStr">
        <is>
          <t>Utility and C&amp;I</t>
        </is>
      </c>
      <c r="E1076" s="3" t="n"/>
      <c r="F1076" s="3" t="inlineStr">
        <is>
          <t>Closed</t>
        </is>
      </c>
      <c r="G1076" s="9" t="inlineStr">
        <is>
          <t xml:space="preserve">Ashish Jindal </t>
        </is>
      </c>
      <c r="H1076" s="26" t="n">
        <v>9983975581</v>
      </c>
      <c r="I1076" s="38" t="inlineStr">
        <is>
          <t>PE01052601</t>
        </is>
      </c>
      <c r="J1076" s="26" t="inlineStr">
        <is>
          <t>Multiple Issues</t>
        </is>
      </c>
      <c r="K1076" s="39" t="inlineStr">
        <is>
          <t>Holi</t>
        </is>
      </c>
      <c r="L1076" s="39" t="inlineStr">
        <is>
          <t>Maharashtra</t>
        </is>
      </c>
      <c r="M1076" s="9" t="inlineStr">
        <is>
          <t>PS</t>
        </is>
      </c>
      <c r="N1076" s="3" t="inlineStr">
        <is>
          <t>Cold Soldering</t>
        </is>
      </c>
      <c r="O1076" s="39" t="n">
        <v>575</v>
      </c>
      <c r="P1076" s="9" t="inlineStr">
        <is>
          <t>NSMI24070194198</t>
        </is>
      </c>
      <c r="Q1076" s="53">
        <f>MID(P1076,5,2)</f>
        <v/>
      </c>
      <c r="R1076" s="53">
        <f>MID(P1076,7,2)</f>
        <v/>
      </c>
      <c r="S1076" s="3" t="inlineStr">
        <is>
          <t>G2G</t>
        </is>
      </c>
      <c r="T1076" s="3" t="inlineStr">
        <is>
          <t>P4</t>
        </is>
      </c>
      <c r="U1076" s="19" t="inlineStr">
        <is>
          <t>P JB Cold Soldering</t>
        </is>
      </c>
      <c r="V1076" s="19" t="inlineStr">
        <is>
          <t>Soldering</t>
        </is>
      </c>
      <c r="W1076" s="3" t="inlineStr">
        <is>
          <t>Repair</t>
        </is>
      </c>
      <c r="X1076" s="18" t="n">
        <v>46156</v>
      </c>
      <c r="Y1076" s="3">
        <f>X1076-A1076</f>
        <v/>
      </c>
      <c r="Z1076" s="18" t="n">
        <v>46156</v>
      </c>
      <c r="AA1076" s="15" t="n"/>
      <c r="AB1076" s="15" t="n"/>
    </row>
    <row r="1077">
      <c r="A1077" s="37" t="n">
        <v>46143</v>
      </c>
      <c r="B1077" s="3" t="n">
        <v>2026</v>
      </c>
      <c r="C1077" s="26" t="inlineStr">
        <is>
          <t>Yanara Power</t>
        </is>
      </c>
      <c r="D1077" s="3" t="inlineStr">
        <is>
          <t>Utility and C&amp;I</t>
        </is>
      </c>
      <c r="E1077" s="3" t="n"/>
      <c r="F1077" s="3" t="inlineStr">
        <is>
          <t>Closed</t>
        </is>
      </c>
      <c r="G1077" s="9" t="inlineStr">
        <is>
          <t xml:space="preserve">Ashish Jindal </t>
        </is>
      </c>
      <c r="H1077" s="26" t="n">
        <v>9983975581</v>
      </c>
      <c r="I1077" s="38" t="inlineStr">
        <is>
          <t>PE01052601</t>
        </is>
      </c>
      <c r="J1077" s="26" t="inlineStr">
        <is>
          <t>Multiple Issues</t>
        </is>
      </c>
      <c r="K1077" s="39" t="inlineStr">
        <is>
          <t>Holi</t>
        </is>
      </c>
      <c r="L1077" s="39" t="inlineStr">
        <is>
          <t>Maharashtra</t>
        </is>
      </c>
      <c r="M1077" s="9" t="inlineStr">
        <is>
          <t>NS</t>
        </is>
      </c>
      <c r="N1077" s="3" t="inlineStr">
        <is>
          <t>Cold Soldering</t>
        </is>
      </c>
      <c r="O1077" s="39" t="n">
        <v>575</v>
      </c>
      <c r="P1077" s="9" t="inlineStr">
        <is>
          <t>NSMI24070189652</t>
        </is>
      </c>
      <c r="Q1077" s="53">
        <f>MID(P1077,5,2)</f>
        <v/>
      </c>
      <c r="R1077" s="53">
        <f>MID(P1077,7,2)</f>
        <v/>
      </c>
      <c r="S1077" s="3" t="inlineStr">
        <is>
          <t>G2G</t>
        </is>
      </c>
      <c r="T1077" s="3" t="inlineStr">
        <is>
          <t>P4</t>
        </is>
      </c>
      <c r="U1077" s="3" t="inlineStr">
        <is>
          <t>N JB Cold Soldering</t>
        </is>
      </c>
      <c r="V1077" s="3" t="inlineStr">
        <is>
          <t>Soldering</t>
        </is>
      </c>
      <c r="W1077" s="3" t="inlineStr">
        <is>
          <t>Repair</t>
        </is>
      </c>
      <c r="X1077" s="18" t="n">
        <v>46156</v>
      </c>
      <c r="Y1077" s="3">
        <f>X1077-A1077</f>
        <v/>
      </c>
      <c r="Z1077" s="18" t="n">
        <v>46156</v>
      </c>
      <c r="AA1077" s="15" t="n"/>
      <c r="AB1077" s="15" t="n"/>
    </row>
    <row r="1078">
      <c r="A1078" s="37" t="n">
        <v>46143</v>
      </c>
      <c r="B1078" s="3" t="n">
        <v>2026</v>
      </c>
      <c r="C1078" s="26" t="inlineStr">
        <is>
          <t>Yanara Power</t>
        </is>
      </c>
      <c r="D1078" s="3" t="inlineStr">
        <is>
          <t>Utility and C&amp;I</t>
        </is>
      </c>
      <c r="E1078" s="3" t="n"/>
      <c r="F1078" s="3" t="inlineStr">
        <is>
          <t>Closed</t>
        </is>
      </c>
      <c r="G1078" s="9" t="inlineStr">
        <is>
          <t xml:space="preserve">Ashish Jindal </t>
        </is>
      </c>
      <c r="H1078" s="26" t="n">
        <v>9983975581</v>
      </c>
      <c r="I1078" s="38" t="inlineStr">
        <is>
          <t>PE01052601</t>
        </is>
      </c>
      <c r="J1078" s="26" t="inlineStr">
        <is>
          <t>Multiple Issues</t>
        </is>
      </c>
      <c r="K1078" s="39" t="inlineStr">
        <is>
          <t>Holi</t>
        </is>
      </c>
      <c r="L1078" s="39" t="inlineStr">
        <is>
          <t>Maharashtra</t>
        </is>
      </c>
      <c r="M1078" s="9" t="inlineStr">
        <is>
          <t>PS</t>
        </is>
      </c>
      <c r="N1078" s="3" t="inlineStr">
        <is>
          <t>Cold Soldering</t>
        </is>
      </c>
      <c r="O1078" s="39" t="n">
        <v>575</v>
      </c>
      <c r="P1078" s="9" t="inlineStr">
        <is>
          <t>NSMI24070186322</t>
        </is>
      </c>
      <c r="Q1078" s="53">
        <f>MID(P1078,5,2)</f>
        <v/>
      </c>
      <c r="R1078" s="53">
        <f>MID(P1078,7,2)</f>
        <v/>
      </c>
      <c r="S1078" s="3" t="inlineStr">
        <is>
          <t>G2G</t>
        </is>
      </c>
      <c r="T1078" s="3" t="inlineStr">
        <is>
          <t>P4</t>
        </is>
      </c>
      <c r="U1078" s="19" t="inlineStr">
        <is>
          <t>P JB Cold Soldering</t>
        </is>
      </c>
      <c r="V1078" s="19" t="inlineStr">
        <is>
          <t>Soldering</t>
        </is>
      </c>
      <c r="W1078" s="3" t="inlineStr">
        <is>
          <t>Repair</t>
        </is>
      </c>
      <c r="X1078" s="18" t="n">
        <v>46156</v>
      </c>
      <c r="Y1078" s="3">
        <f>X1078-A1078</f>
        <v/>
      </c>
      <c r="Z1078" s="18" t="n">
        <v>46156</v>
      </c>
      <c r="AA1078" s="15" t="n"/>
      <c r="AB1078" s="15" t="n"/>
    </row>
    <row r="1079">
      <c r="A1079" s="37" t="n">
        <v>46143</v>
      </c>
      <c r="B1079" s="3" t="n">
        <v>2026</v>
      </c>
      <c r="C1079" s="26" t="inlineStr">
        <is>
          <t>Yanara Power</t>
        </is>
      </c>
      <c r="D1079" s="3" t="inlineStr">
        <is>
          <t>Utility and C&amp;I</t>
        </is>
      </c>
      <c r="E1079" s="3" t="n"/>
      <c r="F1079" s="3" t="inlineStr">
        <is>
          <t>Closed</t>
        </is>
      </c>
      <c r="G1079" s="9" t="inlineStr">
        <is>
          <t xml:space="preserve">Ashish Jindal </t>
        </is>
      </c>
      <c r="H1079" s="26" t="n">
        <v>9983975581</v>
      </c>
      <c r="I1079" s="38" t="inlineStr">
        <is>
          <t>PE01052601</t>
        </is>
      </c>
      <c r="J1079" s="26" t="inlineStr">
        <is>
          <t>Multiple Issues</t>
        </is>
      </c>
      <c r="K1079" s="39" t="inlineStr">
        <is>
          <t>Holi</t>
        </is>
      </c>
      <c r="L1079" s="39" t="inlineStr">
        <is>
          <t>Maharashtra</t>
        </is>
      </c>
      <c r="M1079" s="9" t="inlineStr">
        <is>
          <t>PNS</t>
        </is>
      </c>
      <c r="N1079" s="3" t="inlineStr">
        <is>
          <t>Cold Soldering</t>
        </is>
      </c>
      <c r="O1079" s="39" t="n">
        <v>575</v>
      </c>
      <c r="P1079" s="9" t="inlineStr">
        <is>
          <t>NSMI24070191758</t>
        </is>
      </c>
      <c r="Q1079" s="53">
        <f>MID(P1079,5,2)</f>
        <v/>
      </c>
      <c r="R1079" s="53">
        <f>MID(P1079,7,2)</f>
        <v/>
      </c>
      <c r="S1079" s="3" t="inlineStr">
        <is>
          <t>G2G</t>
        </is>
      </c>
      <c r="T1079" s="3" t="inlineStr">
        <is>
          <t>P4</t>
        </is>
      </c>
      <c r="U1079" s="3" t="inlineStr">
        <is>
          <t>P &amp; N JB Cold Soldering</t>
        </is>
      </c>
      <c r="V1079" s="3" t="inlineStr">
        <is>
          <t>Soldering</t>
        </is>
      </c>
      <c r="W1079" s="3" t="inlineStr">
        <is>
          <t>Repair</t>
        </is>
      </c>
      <c r="X1079" s="18" t="n">
        <v>46156</v>
      </c>
      <c r="Y1079" s="3">
        <f>X1079-A1079</f>
        <v/>
      </c>
      <c r="Z1079" s="18" t="n">
        <v>46156</v>
      </c>
      <c r="AA1079" s="15" t="n"/>
      <c r="AB1079" s="15" t="n"/>
    </row>
    <row r="1080">
      <c r="A1080" s="37" t="n">
        <v>46143</v>
      </c>
      <c r="B1080" s="3" t="n">
        <v>2026</v>
      </c>
      <c r="C1080" s="26" t="inlineStr">
        <is>
          <t>Yanara Power</t>
        </is>
      </c>
      <c r="D1080" s="3" t="inlineStr">
        <is>
          <t>Utility and C&amp;I</t>
        </is>
      </c>
      <c r="E1080" s="3" t="n"/>
      <c r="F1080" s="3" t="inlineStr">
        <is>
          <t>Closed</t>
        </is>
      </c>
      <c r="G1080" s="9" t="inlineStr">
        <is>
          <t xml:space="preserve">Ashish Jindal </t>
        </is>
      </c>
      <c r="H1080" s="26" t="n">
        <v>9983975581</v>
      </c>
      <c r="I1080" s="38" t="inlineStr">
        <is>
          <t>PE01052601</t>
        </is>
      </c>
      <c r="J1080" s="26" t="inlineStr">
        <is>
          <t>Multiple Issues</t>
        </is>
      </c>
      <c r="K1080" s="39" t="inlineStr">
        <is>
          <t>Holi</t>
        </is>
      </c>
      <c r="L1080" s="39" t="inlineStr">
        <is>
          <t>Maharashtra</t>
        </is>
      </c>
      <c r="M1080" s="9" t="inlineStr">
        <is>
          <t>PS</t>
        </is>
      </c>
      <c r="N1080" s="3" t="inlineStr">
        <is>
          <t>Cold Soldering</t>
        </is>
      </c>
      <c r="O1080" s="39" t="n">
        <v>575</v>
      </c>
      <c r="P1080" s="9" t="inlineStr">
        <is>
          <t>NSMI24070191508</t>
        </is>
      </c>
      <c r="Q1080" s="53">
        <f>MID(P1080,5,2)</f>
        <v/>
      </c>
      <c r="R1080" s="53">
        <f>MID(P1080,7,2)</f>
        <v/>
      </c>
      <c r="S1080" s="3" t="inlineStr">
        <is>
          <t>G2G</t>
        </is>
      </c>
      <c r="T1080" s="3" t="inlineStr">
        <is>
          <t>P4</t>
        </is>
      </c>
      <c r="U1080" s="19" t="inlineStr">
        <is>
          <t>P JB Cold Soldering</t>
        </is>
      </c>
      <c r="V1080" s="19" t="inlineStr">
        <is>
          <t>Soldering</t>
        </is>
      </c>
      <c r="W1080" s="3" t="inlineStr">
        <is>
          <t>Repair</t>
        </is>
      </c>
      <c r="X1080" s="18" t="n">
        <v>46156</v>
      </c>
      <c r="Y1080" s="3">
        <f>X1080-A1080</f>
        <v/>
      </c>
      <c r="Z1080" s="18" t="n">
        <v>46156</v>
      </c>
      <c r="AA1080" s="15" t="n"/>
      <c r="AB1080" s="15" t="n"/>
    </row>
    <row r="1081" hidden="1" s="233">
      <c r="A1081" s="6" t="n">
        <v>46107</v>
      </c>
      <c r="B1081" s="3" t="n">
        <v>2026</v>
      </c>
      <c r="C1081" s="3" t="inlineStr">
        <is>
          <t>Blupine</t>
        </is>
      </c>
      <c r="D1081" s="3" t="inlineStr">
        <is>
          <t>Utility and C&amp;I</t>
        </is>
      </c>
      <c r="E1081" s="3" t="n"/>
      <c r="F1081" s="3" t="inlineStr">
        <is>
          <t>Closed</t>
        </is>
      </c>
      <c r="G1081" s="3" t="inlineStr">
        <is>
          <t>Chandrashekar Patidar</t>
        </is>
      </c>
      <c r="H1081" s="3" t="n">
        <v>7879764773</v>
      </c>
      <c r="I1081" s="11" t="inlineStr">
        <is>
          <t>PE26032601</t>
        </is>
      </c>
      <c r="J1081" s="3" t="inlineStr">
        <is>
          <t>Module Diode Failure</t>
        </is>
      </c>
      <c r="K1081" s="3" t="inlineStr">
        <is>
          <t>Sadla</t>
        </is>
      </c>
      <c r="L1081" s="3" t="inlineStr">
        <is>
          <t>Gujarat</t>
        </is>
      </c>
      <c r="M1081" s="9" t="inlineStr">
        <is>
          <t>NS</t>
        </is>
      </c>
      <c r="N1081" s="3" t="inlineStr">
        <is>
          <t>Cold Soldering</t>
        </is>
      </c>
      <c r="O1081" s="3" t="n">
        <v>570</v>
      </c>
      <c r="P1081" s="9" t="inlineStr">
        <is>
          <t>NSMI24060165124</t>
        </is>
      </c>
      <c r="Q1081" s="53">
        <f>MID(P1081,5,2)</f>
        <v/>
      </c>
      <c r="R1081" s="53">
        <f>MID(P1081,7,2)</f>
        <v/>
      </c>
      <c r="S1081" s="3" t="inlineStr">
        <is>
          <t>G2G</t>
        </is>
      </c>
      <c r="T1081" s="3" t="inlineStr">
        <is>
          <t>P4</t>
        </is>
      </c>
      <c r="U1081" s="3" t="inlineStr">
        <is>
          <t>N JB Cold Soldering</t>
        </is>
      </c>
      <c r="V1081" s="3" t="inlineStr">
        <is>
          <t>Soldering</t>
        </is>
      </c>
      <c r="W1081" s="3" t="inlineStr">
        <is>
          <t>Repair</t>
        </is>
      </c>
      <c r="X1081" s="18" t="n">
        <v>46157</v>
      </c>
      <c r="Y1081" s="3">
        <f>X1081-A1081</f>
        <v/>
      </c>
      <c r="Z1081" s="18" t="n">
        <v>46157</v>
      </c>
      <c r="AA1081" s="15" t="n"/>
      <c r="AB1081" s="15" t="n"/>
    </row>
    <row r="1082" hidden="1" s="233">
      <c r="A1082" s="6" t="n">
        <v>46107</v>
      </c>
      <c r="B1082" s="3" t="n">
        <v>2026</v>
      </c>
      <c r="C1082" s="3" t="inlineStr">
        <is>
          <t>Blupine</t>
        </is>
      </c>
      <c r="D1082" s="3" t="inlineStr">
        <is>
          <t>Utility and C&amp;I</t>
        </is>
      </c>
      <c r="E1082" s="3" t="n"/>
      <c r="F1082" s="3" t="inlineStr">
        <is>
          <t>Closed</t>
        </is>
      </c>
      <c r="G1082" s="3" t="inlineStr">
        <is>
          <t>Chandrashekar Patidar</t>
        </is>
      </c>
      <c r="H1082" s="3" t="n">
        <v>7879764773</v>
      </c>
      <c r="I1082" s="11" t="inlineStr">
        <is>
          <t>PE26032601</t>
        </is>
      </c>
      <c r="J1082" s="3" t="inlineStr">
        <is>
          <t>Module Diode Failure</t>
        </is>
      </c>
      <c r="K1082" s="3" t="inlineStr">
        <is>
          <t>Sadla</t>
        </is>
      </c>
      <c r="L1082" s="3" t="inlineStr">
        <is>
          <t>Gujarat</t>
        </is>
      </c>
      <c r="M1082" s="9" t="inlineStr">
        <is>
          <t>PS</t>
        </is>
      </c>
      <c r="N1082" s="3" t="inlineStr">
        <is>
          <t>Cold Soldering</t>
        </is>
      </c>
      <c r="O1082" s="3" t="n">
        <v>570</v>
      </c>
      <c r="P1082" s="9" t="inlineStr">
        <is>
          <t>NSMI24060143832</t>
        </is>
      </c>
      <c r="Q1082" s="53">
        <f>MID(P1082,5,2)</f>
        <v/>
      </c>
      <c r="R1082" s="53">
        <f>MID(P1082,7,2)</f>
        <v/>
      </c>
      <c r="S1082" s="3" t="inlineStr">
        <is>
          <t>G2G</t>
        </is>
      </c>
      <c r="T1082" s="3" t="inlineStr">
        <is>
          <t>P4</t>
        </is>
      </c>
      <c r="U1082" s="3" t="inlineStr">
        <is>
          <t>P JB Cold Soldering</t>
        </is>
      </c>
      <c r="V1082" s="3" t="inlineStr">
        <is>
          <t>Soldering</t>
        </is>
      </c>
      <c r="W1082" s="3" t="inlineStr">
        <is>
          <t>Repair</t>
        </is>
      </c>
      <c r="X1082" s="18" t="n">
        <v>46157</v>
      </c>
      <c r="Y1082" s="3">
        <f>X1082-A1082</f>
        <v/>
      </c>
      <c r="Z1082" s="18" t="n">
        <v>46157</v>
      </c>
      <c r="AA1082" s="15" t="n"/>
      <c r="AB1082" s="15" t="n"/>
    </row>
    <row r="1083" hidden="1" s="233">
      <c r="A1083" s="6" t="n">
        <v>46107</v>
      </c>
      <c r="B1083" s="3" t="n">
        <v>2026</v>
      </c>
      <c r="C1083" s="3" t="inlineStr">
        <is>
          <t>Blupine</t>
        </is>
      </c>
      <c r="D1083" s="3" t="inlineStr">
        <is>
          <t>Utility and C&amp;I</t>
        </is>
      </c>
      <c r="E1083" s="3" t="n"/>
      <c r="F1083" s="3" t="inlineStr">
        <is>
          <t>Closed</t>
        </is>
      </c>
      <c r="G1083" s="3" t="inlineStr">
        <is>
          <t>Chandrashekar Patidar</t>
        </is>
      </c>
      <c r="H1083" s="3" t="n">
        <v>7879764773</v>
      </c>
      <c r="I1083" s="11" t="inlineStr">
        <is>
          <t>PE26032601</t>
        </is>
      </c>
      <c r="J1083" s="3" t="inlineStr">
        <is>
          <t>Module Diode Failure</t>
        </is>
      </c>
      <c r="K1083" s="3" t="inlineStr">
        <is>
          <t>Sadla</t>
        </is>
      </c>
      <c r="L1083" s="3" t="inlineStr">
        <is>
          <t>Gujarat</t>
        </is>
      </c>
      <c r="M1083" s="9" t="inlineStr">
        <is>
          <t>NS</t>
        </is>
      </c>
      <c r="N1083" s="3" t="inlineStr">
        <is>
          <t>Cold Soldering</t>
        </is>
      </c>
      <c r="O1083" s="3" t="n">
        <v>570</v>
      </c>
      <c r="P1083" s="9" t="inlineStr">
        <is>
          <t>NSMI24060147526</t>
        </is>
      </c>
      <c r="Q1083" s="53">
        <f>MID(P1083,5,2)</f>
        <v/>
      </c>
      <c r="R1083" s="53">
        <f>MID(P1083,7,2)</f>
        <v/>
      </c>
      <c r="S1083" s="3" t="inlineStr">
        <is>
          <t>G2G</t>
        </is>
      </c>
      <c r="T1083" s="3" t="inlineStr">
        <is>
          <t>P4</t>
        </is>
      </c>
      <c r="U1083" s="3" t="inlineStr">
        <is>
          <t>N JB Cold Soldering</t>
        </is>
      </c>
      <c r="V1083" s="3" t="inlineStr">
        <is>
          <t>Soldering</t>
        </is>
      </c>
      <c r="W1083" s="3" t="inlineStr">
        <is>
          <t>Repair</t>
        </is>
      </c>
      <c r="X1083" s="18" t="n">
        <v>46157</v>
      </c>
      <c r="Y1083" s="3">
        <f>X1083-A1083</f>
        <v/>
      </c>
      <c r="Z1083" s="18" t="n">
        <v>46157</v>
      </c>
      <c r="AA1083" s="15" t="n"/>
      <c r="AB1083" s="15" t="n"/>
    </row>
    <row r="1084" hidden="1" s="233">
      <c r="A1084" s="6" t="n">
        <v>46107</v>
      </c>
      <c r="B1084" s="3" t="n">
        <v>2026</v>
      </c>
      <c r="C1084" s="3" t="inlineStr">
        <is>
          <t>Blupine</t>
        </is>
      </c>
      <c r="D1084" s="3" t="inlineStr">
        <is>
          <t>Utility and C&amp;I</t>
        </is>
      </c>
      <c r="E1084" s="3" t="n"/>
      <c r="F1084" s="3" t="inlineStr">
        <is>
          <t>Closed</t>
        </is>
      </c>
      <c r="G1084" s="3" t="inlineStr">
        <is>
          <t>Chandrashekar Patidar</t>
        </is>
      </c>
      <c r="H1084" s="3" t="n">
        <v>7879764773</v>
      </c>
      <c r="I1084" s="11" t="inlineStr">
        <is>
          <t>PE26032601</t>
        </is>
      </c>
      <c r="J1084" s="3" t="inlineStr">
        <is>
          <t>Module Diode Failure</t>
        </is>
      </c>
      <c r="K1084" s="3" t="inlineStr">
        <is>
          <t>Sadla</t>
        </is>
      </c>
      <c r="L1084" s="3" t="inlineStr">
        <is>
          <t>Gujarat</t>
        </is>
      </c>
      <c r="M1084" s="9" t="inlineStr">
        <is>
          <t>NS</t>
        </is>
      </c>
      <c r="N1084" s="3" t="inlineStr">
        <is>
          <t>Cold Soldering</t>
        </is>
      </c>
      <c r="O1084" s="3" t="n">
        <v>570</v>
      </c>
      <c r="P1084" s="9" t="inlineStr">
        <is>
          <t>NSMI24070167280</t>
        </is>
      </c>
      <c r="Q1084" s="53">
        <f>MID(P1084,5,2)</f>
        <v/>
      </c>
      <c r="R1084" s="53">
        <f>MID(P1084,7,2)</f>
        <v/>
      </c>
      <c r="S1084" s="3" t="inlineStr">
        <is>
          <t>G2G</t>
        </is>
      </c>
      <c r="T1084" s="3" t="inlineStr">
        <is>
          <t>P4</t>
        </is>
      </c>
      <c r="U1084" s="3" t="inlineStr">
        <is>
          <t>N JB Cold Soldering</t>
        </is>
      </c>
      <c r="V1084" s="3" t="inlineStr">
        <is>
          <t>Soldering</t>
        </is>
      </c>
      <c r="W1084" s="3" t="inlineStr">
        <is>
          <t>Repair</t>
        </is>
      </c>
      <c r="X1084" s="18" t="n">
        <v>46157</v>
      </c>
      <c r="Y1084" s="3">
        <f>X1084-A1084</f>
        <v/>
      </c>
      <c r="Z1084" s="18" t="n">
        <v>46157</v>
      </c>
      <c r="AA1084" s="15" t="n"/>
      <c r="AB1084" s="15" t="n"/>
    </row>
    <row r="1085" hidden="1" s="233">
      <c r="A1085" s="6" t="n">
        <v>46107</v>
      </c>
      <c r="B1085" s="3" t="n">
        <v>2026</v>
      </c>
      <c r="C1085" s="3" t="inlineStr">
        <is>
          <t>Blupine</t>
        </is>
      </c>
      <c r="D1085" s="3" t="inlineStr">
        <is>
          <t>Utility and C&amp;I</t>
        </is>
      </c>
      <c r="E1085" s="3" t="n"/>
      <c r="F1085" s="3" t="inlineStr">
        <is>
          <t>Closed</t>
        </is>
      </c>
      <c r="G1085" s="3" t="inlineStr">
        <is>
          <t>Chandrashekar Patidar</t>
        </is>
      </c>
      <c r="H1085" s="3" t="n">
        <v>7879764773</v>
      </c>
      <c r="I1085" s="11" t="inlineStr">
        <is>
          <t>PE26032601</t>
        </is>
      </c>
      <c r="J1085" s="3" t="inlineStr">
        <is>
          <t>Module Diode Failure</t>
        </is>
      </c>
      <c r="K1085" s="3" t="inlineStr">
        <is>
          <t>Sadla</t>
        </is>
      </c>
      <c r="L1085" s="3" t="inlineStr">
        <is>
          <t>Gujarat</t>
        </is>
      </c>
      <c r="M1085" s="9" t="inlineStr">
        <is>
          <t>NS</t>
        </is>
      </c>
      <c r="N1085" s="3" t="inlineStr">
        <is>
          <t>Cold Soldering</t>
        </is>
      </c>
      <c r="O1085" s="3" t="n">
        <v>570</v>
      </c>
      <c r="P1085" s="9" t="inlineStr">
        <is>
          <t>NSMI24060157354</t>
        </is>
      </c>
      <c r="Q1085" s="53">
        <f>MID(P1085,5,2)</f>
        <v/>
      </c>
      <c r="R1085" s="53">
        <f>MID(P1085,7,2)</f>
        <v/>
      </c>
      <c r="S1085" s="3" t="inlineStr">
        <is>
          <t>G2G</t>
        </is>
      </c>
      <c r="T1085" s="3" t="inlineStr">
        <is>
          <t>P4</t>
        </is>
      </c>
      <c r="U1085" s="3" t="inlineStr">
        <is>
          <t>N JB Cold Soldering</t>
        </is>
      </c>
      <c r="V1085" s="3" t="inlineStr">
        <is>
          <t>Soldering</t>
        </is>
      </c>
      <c r="W1085" s="3" t="inlineStr">
        <is>
          <t>Repair</t>
        </is>
      </c>
      <c r="X1085" s="18" t="n">
        <v>46157</v>
      </c>
      <c r="Y1085" s="3">
        <f>X1085-A1085</f>
        <v/>
      </c>
      <c r="Z1085" s="18" t="n">
        <v>46157</v>
      </c>
      <c r="AA1085" s="15" t="n"/>
      <c r="AB1085" s="15" t="n"/>
    </row>
    <row r="1086" hidden="1" s="233">
      <c r="A1086" s="6" t="n">
        <v>46107</v>
      </c>
      <c r="B1086" s="3" t="n">
        <v>2026</v>
      </c>
      <c r="C1086" s="3" t="inlineStr">
        <is>
          <t>Blupine</t>
        </is>
      </c>
      <c r="D1086" s="3" t="inlineStr">
        <is>
          <t>Utility and C&amp;I</t>
        </is>
      </c>
      <c r="E1086" s="3" t="n"/>
      <c r="F1086" s="3" t="inlineStr">
        <is>
          <t>Closed</t>
        </is>
      </c>
      <c r="G1086" s="3" t="inlineStr">
        <is>
          <t>Chandrashekar Patidar</t>
        </is>
      </c>
      <c r="H1086" s="3" t="n">
        <v>7879764773</v>
      </c>
      <c r="I1086" s="11" t="inlineStr">
        <is>
          <t>PE26032601</t>
        </is>
      </c>
      <c r="J1086" s="3" t="inlineStr">
        <is>
          <t>Module Diode Failure</t>
        </is>
      </c>
      <c r="K1086" s="3" t="inlineStr">
        <is>
          <t>Sadla</t>
        </is>
      </c>
      <c r="L1086" s="3" t="inlineStr">
        <is>
          <t>Gujarat</t>
        </is>
      </c>
      <c r="M1086" s="9" t="inlineStr">
        <is>
          <t>NS</t>
        </is>
      </c>
      <c r="N1086" s="3" t="inlineStr">
        <is>
          <t>Cold Soldering</t>
        </is>
      </c>
      <c r="O1086" s="3" t="n">
        <v>570</v>
      </c>
      <c r="P1086" s="9" t="inlineStr">
        <is>
          <t>NSMI24060151643</t>
        </is>
      </c>
      <c r="Q1086" s="53">
        <f>MID(P1086,5,2)</f>
        <v/>
      </c>
      <c r="R1086" s="53">
        <f>MID(P1086,7,2)</f>
        <v/>
      </c>
      <c r="S1086" s="3" t="inlineStr">
        <is>
          <t>G2G</t>
        </is>
      </c>
      <c r="T1086" s="3" t="inlineStr">
        <is>
          <t>P4</t>
        </is>
      </c>
      <c r="U1086" s="3" t="inlineStr">
        <is>
          <t>N JB Cold Soldering</t>
        </is>
      </c>
      <c r="V1086" s="3" t="inlineStr">
        <is>
          <t>Soldering</t>
        </is>
      </c>
      <c r="W1086" s="3" t="inlineStr">
        <is>
          <t>Repair</t>
        </is>
      </c>
      <c r="X1086" s="18" t="n">
        <v>46157</v>
      </c>
      <c r="Y1086" s="3">
        <f>X1086-A1086</f>
        <v/>
      </c>
      <c r="Z1086" s="18" t="n">
        <v>46157</v>
      </c>
      <c r="AA1086" s="15" t="n"/>
      <c r="AB1086" s="15" t="n"/>
    </row>
    <row r="1087" hidden="1" s="233">
      <c r="A1087" s="6" t="n">
        <v>46107</v>
      </c>
      <c r="B1087" s="3" t="n">
        <v>2026</v>
      </c>
      <c r="C1087" s="3" t="inlineStr">
        <is>
          <t>Blupine</t>
        </is>
      </c>
      <c r="D1087" s="3" t="inlineStr">
        <is>
          <t>Utility and C&amp;I</t>
        </is>
      </c>
      <c r="E1087" s="3" t="n"/>
      <c r="F1087" s="3" t="inlineStr">
        <is>
          <t>Closed</t>
        </is>
      </c>
      <c r="G1087" s="3" t="inlineStr">
        <is>
          <t>Chandrashekar Patidar</t>
        </is>
      </c>
      <c r="H1087" s="3" t="n">
        <v>7879764773</v>
      </c>
      <c r="I1087" s="11" t="inlineStr">
        <is>
          <t>PE26032601</t>
        </is>
      </c>
      <c r="J1087" s="3" t="inlineStr">
        <is>
          <t>Module Diode Failure</t>
        </is>
      </c>
      <c r="K1087" s="3" t="inlineStr">
        <is>
          <t>Sadla</t>
        </is>
      </c>
      <c r="L1087" s="3" t="inlineStr">
        <is>
          <t>Gujarat</t>
        </is>
      </c>
      <c r="M1087" s="9" t="inlineStr">
        <is>
          <t>NS</t>
        </is>
      </c>
      <c r="N1087" s="3" t="inlineStr">
        <is>
          <t>Cold Soldering</t>
        </is>
      </c>
      <c r="O1087" s="3" t="n">
        <v>570</v>
      </c>
      <c r="P1087" s="9" t="inlineStr">
        <is>
          <t>NSMI24060155910</t>
        </is>
      </c>
      <c r="Q1087" s="53">
        <f>MID(P1087,5,2)</f>
        <v/>
      </c>
      <c r="R1087" s="53">
        <f>MID(P1087,7,2)</f>
        <v/>
      </c>
      <c r="S1087" s="3" t="inlineStr">
        <is>
          <t>G2G</t>
        </is>
      </c>
      <c r="T1087" s="3" t="inlineStr">
        <is>
          <t>P4</t>
        </is>
      </c>
      <c r="U1087" s="3" t="inlineStr">
        <is>
          <t>N JB Cold Soldering</t>
        </is>
      </c>
      <c r="V1087" s="3" t="inlineStr">
        <is>
          <t>Soldering</t>
        </is>
      </c>
      <c r="W1087" s="3" t="inlineStr">
        <is>
          <t>Repair</t>
        </is>
      </c>
      <c r="X1087" s="18" t="n">
        <v>46157</v>
      </c>
      <c r="Y1087" s="3">
        <f>X1087-A1087</f>
        <v/>
      </c>
      <c r="Z1087" s="18" t="n">
        <v>46157</v>
      </c>
      <c r="AA1087" s="15" t="n"/>
      <c r="AB1087" s="15" t="n"/>
    </row>
    <row r="1088" hidden="1" s="233">
      <c r="A1088" s="6" t="n">
        <v>46107</v>
      </c>
      <c r="B1088" s="3" t="n">
        <v>2026</v>
      </c>
      <c r="C1088" s="3" t="inlineStr">
        <is>
          <t>Blupine</t>
        </is>
      </c>
      <c r="D1088" s="3" t="inlineStr">
        <is>
          <t>Utility and C&amp;I</t>
        </is>
      </c>
      <c r="E1088" s="3" t="n"/>
      <c r="F1088" s="3" t="inlineStr">
        <is>
          <t>Closed</t>
        </is>
      </c>
      <c r="G1088" s="3" t="inlineStr">
        <is>
          <t>Chandrashekar Patidar</t>
        </is>
      </c>
      <c r="H1088" s="3" t="n">
        <v>7879764773</v>
      </c>
      <c r="I1088" s="11" t="inlineStr">
        <is>
          <t>PE26032601</t>
        </is>
      </c>
      <c r="J1088" s="3" t="inlineStr">
        <is>
          <t>Module Diode Failure</t>
        </is>
      </c>
      <c r="K1088" s="3" t="inlineStr">
        <is>
          <t>Sadla</t>
        </is>
      </c>
      <c r="L1088" s="3" t="inlineStr">
        <is>
          <t>Gujarat</t>
        </is>
      </c>
      <c r="M1088" s="9" t="inlineStr">
        <is>
          <t>NS</t>
        </is>
      </c>
      <c r="N1088" s="3" t="inlineStr">
        <is>
          <t>Cold Soldering</t>
        </is>
      </c>
      <c r="O1088" s="3" t="n">
        <v>570</v>
      </c>
      <c r="P1088" s="9" t="inlineStr">
        <is>
          <t>NSMI24060151736</t>
        </is>
      </c>
      <c r="Q1088" s="53">
        <f>MID(P1088,5,2)</f>
        <v/>
      </c>
      <c r="R1088" s="53">
        <f>MID(P1088,7,2)</f>
        <v/>
      </c>
      <c r="S1088" s="3" t="inlineStr">
        <is>
          <t>G2G</t>
        </is>
      </c>
      <c r="T1088" s="3" t="inlineStr">
        <is>
          <t>P4</t>
        </is>
      </c>
      <c r="U1088" s="3" t="inlineStr">
        <is>
          <t>N JB Cold Soldering</t>
        </is>
      </c>
      <c r="V1088" s="3" t="inlineStr">
        <is>
          <t>Soldering</t>
        </is>
      </c>
      <c r="W1088" s="3" t="inlineStr">
        <is>
          <t>Repair</t>
        </is>
      </c>
      <c r="X1088" s="18" t="n">
        <v>46157</v>
      </c>
      <c r="Y1088" s="3">
        <f>X1088-A1088</f>
        <v/>
      </c>
      <c r="Z1088" s="18" t="n">
        <v>46157</v>
      </c>
      <c r="AA1088" s="15" t="n"/>
      <c r="AB1088" s="15" t="n"/>
    </row>
    <row r="1089" hidden="1" s="233">
      <c r="A1089" s="6" t="n">
        <v>46107</v>
      </c>
      <c r="B1089" s="3" t="n">
        <v>2026</v>
      </c>
      <c r="C1089" s="3" t="inlineStr">
        <is>
          <t>Blupine</t>
        </is>
      </c>
      <c r="D1089" s="3" t="inlineStr">
        <is>
          <t>Utility and C&amp;I</t>
        </is>
      </c>
      <c r="E1089" s="3" t="n"/>
      <c r="F1089" s="3" t="inlineStr">
        <is>
          <t>Closed</t>
        </is>
      </c>
      <c r="G1089" s="3" t="inlineStr">
        <is>
          <t>Chandrashekar Patidar</t>
        </is>
      </c>
      <c r="H1089" s="3" t="n">
        <v>7879764773</v>
      </c>
      <c r="I1089" s="11" t="inlineStr">
        <is>
          <t>PE26032601</t>
        </is>
      </c>
      <c r="J1089" s="3" t="inlineStr">
        <is>
          <t>Module Diode Failure</t>
        </is>
      </c>
      <c r="K1089" s="3" t="inlineStr">
        <is>
          <t>Sadla</t>
        </is>
      </c>
      <c r="L1089" s="3" t="inlineStr">
        <is>
          <t>Gujarat</t>
        </is>
      </c>
      <c r="M1089" s="9" t="inlineStr">
        <is>
          <t>NS</t>
        </is>
      </c>
      <c r="N1089" s="3" t="inlineStr">
        <is>
          <t>Cold Soldering</t>
        </is>
      </c>
      <c r="O1089" s="3" t="n">
        <v>570</v>
      </c>
      <c r="P1089" s="9" t="inlineStr">
        <is>
          <t>NSMI24060158542</t>
        </is>
      </c>
      <c r="Q1089" s="53">
        <f>MID(P1089,5,2)</f>
        <v/>
      </c>
      <c r="R1089" s="53">
        <f>MID(P1089,7,2)</f>
        <v/>
      </c>
      <c r="S1089" s="3" t="inlineStr">
        <is>
          <t>G2G</t>
        </is>
      </c>
      <c r="T1089" s="3" t="inlineStr">
        <is>
          <t>P4</t>
        </is>
      </c>
      <c r="U1089" s="3" t="inlineStr">
        <is>
          <t>N JB Cold Soldering</t>
        </is>
      </c>
      <c r="V1089" s="3" t="inlineStr">
        <is>
          <t>Soldering</t>
        </is>
      </c>
      <c r="W1089" s="3" t="inlineStr">
        <is>
          <t>Repair</t>
        </is>
      </c>
      <c r="X1089" s="18" t="n">
        <v>46157</v>
      </c>
      <c r="Y1089" s="3">
        <f>X1089-A1089</f>
        <v/>
      </c>
      <c r="Z1089" s="18" t="n">
        <v>46157</v>
      </c>
      <c r="AA1089" s="15" t="n"/>
      <c r="AB1089" s="15" t="n"/>
    </row>
    <row r="1090" hidden="1" s="233">
      <c r="A1090" s="6" t="n">
        <v>46107</v>
      </c>
      <c r="B1090" s="3" t="n">
        <v>2026</v>
      </c>
      <c r="C1090" s="3" t="inlineStr">
        <is>
          <t>Blupine</t>
        </is>
      </c>
      <c r="D1090" s="3" t="inlineStr">
        <is>
          <t>Utility and C&amp;I</t>
        </is>
      </c>
      <c r="E1090" s="3" t="n"/>
      <c r="F1090" s="3" t="inlineStr">
        <is>
          <t>Closed</t>
        </is>
      </c>
      <c r="G1090" s="3" t="inlineStr">
        <is>
          <t>Chandrashekar Patidar</t>
        </is>
      </c>
      <c r="H1090" s="3" t="n">
        <v>7879764773</v>
      </c>
      <c r="I1090" s="11" t="inlineStr">
        <is>
          <t>PE26032601</t>
        </is>
      </c>
      <c r="J1090" s="3" t="inlineStr">
        <is>
          <t>Module Diode Failure</t>
        </is>
      </c>
      <c r="K1090" s="3" t="inlineStr">
        <is>
          <t>Sadla</t>
        </is>
      </c>
      <c r="L1090" s="3" t="inlineStr">
        <is>
          <t>Gujarat</t>
        </is>
      </c>
      <c r="M1090" s="9" t="inlineStr">
        <is>
          <t>PS</t>
        </is>
      </c>
      <c r="N1090" s="3" t="inlineStr">
        <is>
          <t>Cold Soldering</t>
        </is>
      </c>
      <c r="O1090" s="3" t="n">
        <v>570</v>
      </c>
      <c r="P1090" s="9" t="inlineStr">
        <is>
          <t>NSMI24060146423</t>
        </is>
      </c>
      <c r="Q1090" s="53">
        <f>MID(P1090,5,2)</f>
        <v/>
      </c>
      <c r="R1090" s="53">
        <f>MID(P1090,7,2)</f>
        <v/>
      </c>
      <c r="S1090" s="3" t="inlineStr">
        <is>
          <t>G2G</t>
        </is>
      </c>
      <c r="T1090" s="3" t="inlineStr">
        <is>
          <t>P4</t>
        </is>
      </c>
      <c r="U1090" s="3" t="inlineStr">
        <is>
          <t>P JB Cold Soldering</t>
        </is>
      </c>
      <c r="V1090" s="3" t="inlineStr">
        <is>
          <t>Soldering</t>
        </is>
      </c>
      <c r="W1090" s="3" t="inlineStr">
        <is>
          <t>Repair</t>
        </is>
      </c>
      <c r="X1090" s="18" t="n">
        <v>46157</v>
      </c>
      <c r="Y1090" s="3">
        <f>X1090-A1090</f>
        <v/>
      </c>
      <c r="Z1090" s="18" t="n">
        <v>46157</v>
      </c>
      <c r="AA1090" s="15" t="n"/>
      <c r="AB1090" s="15" t="n"/>
    </row>
    <row r="1091" hidden="1" s="233">
      <c r="A1091" s="6" t="n">
        <v>46107</v>
      </c>
      <c r="B1091" s="3" t="n">
        <v>2026</v>
      </c>
      <c r="C1091" s="3" t="inlineStr">
        <is>
          <t>Blupine</t>
        </is>
      </c>
      <c r="D1091" s="3" t="inlineStr">
        <is>
          <t>Utility and C&amp;I</t>
        </is>
      </c>
      <c r="E1091" s="3" t="n"/>
      <c r="F1091" s="3" t="inlineStr">
        <is>
          <t>Closed</t>
        </is>
      </c>
      <c r="G1091" s="3" t="inlineStr">
        <is>
          <t>Chandrashekar Patidar</t>
        </is>
      </c>
      <c r="H1091" s="3" t="n">
        <v>7879764773</v>
      </c>
      <c r="I1091" s="11" t="inlineStr">
        <is>
          <t>PE26032601</t>
        </is>
      </c>
      <c r="J1091" s="3" t="inlineStr">
        <is>
          <t>Module Diode Failure</t>
        </is>
      </c>
      <c r="K1091" s="3" t="inlineStr">
        <is>
          <t>Sadla</t>
        </is>
      </c>
      <c r="L1091" s="3" t="inlineStr">
        <is>
          <t>Gujarat</t>
        </is>
      </c>
      <c r="M1091" s="9" t="inlineStr">
        <is>
          <t>OK</t>
        </is>
      </c>
      <c r="N1091" s="3" t="inlineStr">
        <is>
          <t>No Issue</t>
        </is>
      </c>
      <c r="O1091" s="3" t="n">
        <v>570</v>
      </c>
      <c r="P1091" s="9" t="inlineStr">
        <is>
          <t>NSMI24060145392</t>
        </is>
      </c>
      <c r="Q1091" s="53">
        <f>MID(P1091,5,2)</f>
        <v/>
      </c>
      <c r="R1091" s="53">
        <f>MID(P1091,7,2)</f>
        <v/>
      </c>
      <c r="S1091" s="3" t="inlineStr">
        <is>
          <t>G2G</t>
        </is>
      </c>
      <c r="T1091" s="3" t="inlineStr">
        <is>
          <t>P4</t>
        </is>
      </c>
      <c r="U1091" s="19" t="inlineStr">
        <is>
          <t>No Issue Found &amp; Glass Breakage</t>
        </is>
      </c>
      <c r="V1091" s="19" t="inlineStr">
        <is>
          <t>Found OK</t>
        </is>
      </c>
      <c r="W1091" s="3" t="inlineStr">
        <is>
          <t>Repair</t>
        </is>
      </c>
      <c r="X1091" s="18" t="n">
        <v>46157</v>
      </c>
      <c r="Y1091" s="3">
        <f>X1091-A1091</f>
        <v/>
      </c>
      <c r="Z1091" s="18" t="n">
        <v>46157</v>
      </c>
      <c r="AA1091" s="15" t="n"/>
      <c r="AB1091" s="15" t="n"/>
    </row>
    <row r="1092" hidden="1" s="233">
      <c r="A1092" s="6" t="n">
        <v>46107</v>
      </c>
      <c r="B1092" s="3" t="n">
        <v>2026</v>
      </c>
      <c r="C1092" s="3" t="inlineStr">
        <is>
          <t>Blupine</t>
        </is>
      </c>
      <c r="D1092" s="3" t="inlineStr">
        <is>
          <t>Utility and C&amp;I</t>
        </is>
      </c>
      <c r="E1092" s="3" t="n"/>
      <c r="F1092" s="3" t="inlineStr">
        <is>
          <t>Closed</t>
        </is>
      </c>
      <c r="G1092" s="3" t="inlineStr">
        <is>
          <t>Chandrashekar Patidar</t>
        </is>
      </c>
      <c r="H1092" s="3" t="n">
        <v>7879764773</v>
      </c>
      <c r="I1092" s="11" t="inlineStr">
        <is>
          <t>PE26032601</t>
        </is>
      </c>
      <c r="J1092" s="3" t="inlineStr">
        <is>
          <t>Module Diode Failure</t>
        </is>
      </c>
      <c r="K1092" s="3" t="inlineStr">
        <is>
          <t>Sadla</t>
        </is>
      </c>
      <c r="L1092" s="3" t="inlineStr">
        <is>
          <t>Gujarat</t>
        </is>
      </c>
      <c r="M1092" s="9" t="inlineStr">
        <is>
          <t>NS</t>
        </is>
      </c>
      <c r="N1092" s="3" t="inlineStr">
        <is>
          <t>Cold Soldering</t>
        </is>
      </c>
      <c r="O1092" s="3" t="n">
        <v>570</v>
      </c>
      <c r="P1092" s="9" t="inlineStr">
        <is>
          <t>NSMI24060155614</t>
        </is>
      </c>
      <c r="Q1092" s="53">
        <f>MID(P1092,5,2)</f>
        <v/>
      </c>
      <c r="R1092" s="53">
        <f>MID(P1092,7,2)</f>
        <v/>
      </c>
      <c r="S1092" s="3" t="inlineStr">
        <is>
          <t>G2G</t>
        </is>
      </c>
      <c r="T1092" s="3" t="inlineStr">
        <is>
          <t>P4</t>
        </is>
      </c>
      <c r="U1092" s="3" t="inlineStr">
        <is>
          <t>N JB Cold Soldering</t>
        </is>
      </c>
      <c r="V1092" s="3" t="inlineStr">
        <is>
          <t>Soldering</t>
        </is>
      </c>
      <c r="W1092" s="3" t="inlineStr">
        <is>
          <t>Repair</t>
        </is>
      </c>
      <c r="X1092" s="18" t="n">
        <v>46157</v>
      </c>
      <c r="Y1092" s="3">
        <f>X1092-A1092</f>
        <v/>
      </c>
      <c r="Z1092" s="18" t="n">
        <v>46157</v>
      </c>
      <c r="AA1092" s="15" t="n"/>
      <c r="AB1092" s="15" t="n"/>
    </row>
    <row r="1093" hidden="1" s="233">
      <c r="A1093" s="6" t="n">
        <v>46107</v>
      </c>
      <c r="B1093" s="3" t="n">
        <v>2026</v>
      </c>
      <c r="C1093" s="3" t="inlineStr">
        <is>
          <t>Blupine</t>
        </is>
      </c>
      <c r="D1093" s="3" t="inlineStr">
        <is>
          <t>Utility and C&amp;I</t>
        </is>
      </c>
      <c r="E1093" s="3" t="n"/>
      <c r="F1093" s="3" t="inlineStr">
        <is>
          <t>Closed</t>
        </is>
      </c>
      <c r="G1093" s="3" t="inlineStr">
        <is>
          <t>Chandrashekar Patidar</t>
        </is>
      </c>
      <c r="H1093" s="3" t="n">
        <v>7879764773</v>
      </c>
      <c r="I1093" s="11" t="inlineStr">
        <is>
          <t>PE26032601</t>
        </is>
      </c>
      <c r="J1093" s="3" t="inlineStr">
        <is>
          <t>Module Diode Failure</t>
        </is>
      </c>
      <c r="K1093" s="3" t="inlineStr">
        <is>
          <t>Sadla</t>
        </is>
      </c>
      <c r="L1093" s="3" t="inlineStr">
        <is>
          <t>Gujarat</t>
        </is>
      </c>
      <c r="M1093" s="9" t="inlineStr">
        <is>
          <t>NS</t>
        </is>
      </c>
      <c r="N1093" s="3" t="inlineStr">
        <is>
          <t>Cold Soldering</t>
        </is>
      </c>
      <c r="O1093" s="3" t="n">
        <v>570</v>
      </c>
      <c r="P1093" s="9" t="inlineStr">
        <is>
          <t>NSMI24060157257</t>
        </is>
      </c>
      <c r="Q1093" s="53">
        <f>MID(P1093,5,2)</f>
        <v/>
      </c>
      <c r="R1093" s="53">
        <f>MID(P1093,7,2)</f>
        <v/>
      </c>
      <c r="S1093" s="3" t="inlineStr">
        <is>
          <t>G2G</t>
        </is>
      </c>
      <c r="T1093" s="3" t="inlineStr">
        <is>
          <t>P4</t>
        </is>
      </c>
      <c r="U1093" s="3" t="inlineStr">
        <is>
          <t>N JB Cold Soldering</t>
        </is>
      </c>
      <c r="V1093" s="3" t="inlineStr">
        <is>
          <t>Soldering</t>
        </is>
      </c>
      <c r="W1093" s="3" t="inlineStr">
        <is>
          <t>Repair</t>
        </is>
      </c>
      <c r="X1093" s="18" t="n">
        <v>46157</v>
      </c>
      <c r="Y1093" s="3">
        <f>X1093-A1093</f>
        <v/>
      </c>
      <c r="Z1093" s="18" t="n">
        <v>46157</v>
      </c>
      <c r="AA1093" s="15" t="n"/>
      <c r="AB1093" s="15" t="n"/>
    </row>
    <row r="1094" hidden="1" s="233">
      <c r="A1094" s="6" t="n">
        <v>46107</v>
      </c>
      <c r="B1094" s="3" t="n">
        <v>2026</v>
      </c>
      <c r="C1094" s="3" t="inlineStr">
        <is>
          <t>Blupine</t>
        </is>
      </c>
      <c r="D1094" s="3" t="inlineStr">
        <is>
          <t>Utility and C&amp;I</t>
        </is>
      </c>
      <c r="E1094" s="3" t="n"/>
      <c r="F1094" s="3" t="inlineStr">
        <is>
          <t>Closed</t>
        </is>
      </c>
      <c r="G1094" s="3" t="inlineStr">
        <is>
          <t>Chandrashekar Patidar</t>
        </is>
      </c>
      <c r="H1094" s="3" t="n">
        <v>7879764773</v>
      </c>
      <c r="I1094" s="11" t="inlineStr">
        <is>
          <t>PE26032601</t>
        </is>
      </c>
      <c r="J1094" s="3" t="inlineStr">
        <is>
          <t>Module Diode Failure</t>
        </is>
      </c>
      <c r="K1094" s="3" t="inlineStr">
        <is>
          <t>Sadla</t>
        </is>
      </c>
      <c r="L1094" s="3" t="inlineStr">
        <is>
          <t>Gujarat</t>
        </is>
      </c>
      <c r="M1094" s="9" t="inlineStr">
        <is>
          <t>NS</t>
        </is>
      </c>
      <c r="N1094" s="3" t="inlineStr">
        <is>
          <t>Cold Soldering</t>
        </is>
      </c>
      <c r="O1094" s="3" t="n">
        <v>570</v>
      </c>
      <c r="P1094" s="9" t="inlineStr">
        <is>
          <t>NSMI24060155777</t>
        </is>
      </c>
      <c r="Q1094" s="53">
        <f>MID(P1094,5,2)</f>
        <v/>
      </c>
      <c r="R1094" s="53">
        <f>MID(P1094,7,2)</f>
        <v/>
      </c>
      <c r="S1094" s="3" t="inlineStr">
        <is>
          <t>G2G</t>
        </is>
      </c>
      <c r="T1094" s="3" t="inlineStr">
        <is>
          <t>P4</t>
        </is>
      </c>
      <c r="U1094" s="3" t="inlineStr">
        <is>
          <t>N JB Cold Soldering</t>
        </is>
      </c>
      <c r="V1094" s="3" t="inlineStr">
        <is>
          <t>Soldering</t>
        </is>
      </c>
      <c r="W1094" s="3" t="inlineStr">
        <is>
          <t>Repair</t>
        </is>
      </c>
      <c r="X1094" s="18" t="n">
        <v>46157</v>
      </c>
      <c r="Y1094" s="3">
        <f>X1094-A1094</f>
        <v/>
      </c>
      <c r="Z1094" s="18" t="n">
        <v>46157</v>
      </c>
      <c r="AA1094" s="15" t="n"/>
      <c r="AB1094" s="15" t="n"/>
    </row>
    <row r="1095" hidden="1" s="233">
      <c r="A1095" s="6" t="n">
        <v>46107</v>
      </c>
      <c r="B1095" s="3" t="n">
        <v>2026</v>
      </c>
      <c r="C1095" s="3" t="inlineStr">
        <is>
          <t>Blupine</t>
        </is>
      </c>
      <c r="D1095" s="3" t="inlineStr">
        <is>
          <t>Utility and C&amp;I</t>
        </is>
      </c>
      <c r="E1095" s="3" t="n"/>
      <c r="F1095" s="3" t="inlineStr">
        <is>
          <t>Closed</t>
        </is>
      </c>
      <c r="G1095" s="3" t="inlineStr">
        <is>
          <t>Chandrashekar Patidar</t>
        </is>
      </c>
      <c r="H1095" s="3" t="n">
        <v>7879764773</v>
      </c>
      <c r="I1095" s="11" t="inlineStr">
        <is>
          <t>PE26032601</t>
        </is>
      </c>
      <c r="J1095" s="3" t="inlineStr">
        <is>
          <t>Module Diode Failure</t>
        </is>
      </c>
      <c r="K1095" s="3" t="inlineStr">
        <is>
          <t>Sadla</t>
        </is>
      </c>
      <c r="L1095" s="3" t="inlineStr">
        <is>
          <t>Gujarat</t>
        </is>
      </c>
      <c r="M1095" s="9" t="inlineStr">
        <is>
          <t>NS</t>
        </is>
      </c>
      <c r="N1095" s="3" t="inlineStr">
        <is>
          <t>Cold Soldering</t>
        </is>
      </c>
      <c r="O1095" s="3" t="n">
        <v>570</v>
      </c>
      <c r="P1095" s="9" t="inlineStr">
        <is>
          <t>NSMI24060157306</t>
        </is>
      </c>
      <c r="Q1095" s="53">
        <f>MID(P1095,5,2)</f>
        <v/>
      </c>
      <c r="R1095" s="53">
        <f>MID(P1095,7,2)</f>
        <v/>
      </c>
      <c r="S1095" s="3" t="inlineStr">
        <is>
          <t>G2G</t>
        </is>
      </c>
      <c r="T1095" s="3" t="inlineStr">
        <is>
          <t>P4</t>
        </is>
      </c>
      <c r="U1095" s="3" t="inlineStr">
        <is>
          <t>N JB Cold Soldering</t>
        </is>
      </c>
      <c r="V1095" s="3" t="inlineStr">
        <is>
          <t>Soldering</t>
        </is>
      </c>
      <c r="W1095" s="3" t="inlineStr">
        <is>
          <t>Repair</t>
        </is>
      </c>
      <c r="X1095" s="18" t="n">
        <v>46157</v>
      </c>
      <c r="Y1095" s="3">
        <f>X1095-A1095</f>
        <v/>
      </c>
      <c r="Z1095" s="18" t="n">
        <v>46157</v>
      </c>
      <c r="AA1095" s="15" t="n"/>
      <c r="AB1095" s="15" t="n"/>
    </row>
    <row r="1096" hidden="1" s="233">
      <c r="A1096" s="6" t="n">
        <v>46107</v>
      </c>
      <c r="B1096" s="3" t="n">
        <v>2026</v>
      </c>
      <c r="C1096" s="3" t="inlineStr">
        <is>
          <t>Blupine</t>
        </is>
      </c>
      <c r="D1096" s="3" t="inlineStr">
        <is>
          <t>Utility and C&amp;I</t>
        </is>
      </c>
      <c r="E1096" s="3" t="n"/>
      <c r="F1096" s="3" t="inlineStr">
        <is>
          <t>Closed</t>
        </is>
      </c>
      <c r="G1096" s="3" t="inlineStr">
        <is>
          <t>Chandrashekar Patidar</t>
        </is>
      </c>
      <c r="H1096" s="3" t="n">
        <v>7879764773</v>
      </c>
      <c r="I1096" s="11" t="inlineStr">
        <is>
          <t>PE26032601</t>
        </is>
      </c>
      <c r="J1096" s="3" t="inlineStr">
        <is>
          <t>Module Diode Failure</t>
        </is>
      </c>
      <c r="K1096" s="3" t="inlineStr">
        <is>
          <t>Sadla</t>
        </is>
      </c>
      <c r="L1096" s="3" t="inlineStr">
        <is>
          <t>Gujarat</t>
        </is>
      </c>
      <c r="M1096" s="9" t="inlineStr">
        <is>
          <t>PS</t>
        </is>
      </c>
      <c r="N1096" s="3" t="inlineStr">
        <is>
          <t>Cold Soldering</t>
        </is>
      </c>
      <c r="O1096" s="3" t="n">
        <v>570</v>
      </c>
      <c r="P1096" s="9" t="inlineStr">
        <is>
          <t>NSMI24060146149</t>
        </is>
      </c>
      <c r="Q1096" s="53">
        <f>MID(P1096,5,2)</f>
        <v/>
      </c>
      <c r="R1096" s="53">
        <f>MID(P1096,7,2)</f>
        <v/>
      </c>
      <c r="S1096" s="3" t="inlineStr">
        <is>
          <t>G2G</t>
        </is>
      </c>
      <c r="T1096" s="3" t="inlineStr">
        <is>
          <t>P4</t>
        </is>
      </c>
      <c r="U1096" s="3" t="inlineStr">
        <is>
          <t>P JB Cold Soldering</t>
        </is>
      </c>
      <c r="V1096" s="3" t="inlineStr">
        <is>
          <t>Soldering</t>
        </is>
      </c>
      <c r="W1096" s="3" t="inlineStr">
        <is>
          <t>Repair</t>
        </is>
      </c>
      <c r="X1096" s="18" t="n">
        <v>46157</v>
      </c>
      <c r="Y1096" s="3">
        <f>X1096-A1096</f>
        <v/>
      </c>
      <c r="Z1096" s="18" t="n">
        <v>46157</v>
      </c>
      <c r="AA1096" s="15" t="n"/>
      <c r="AB1096" s="15" t="n"/>
    </row>
    <row r="1097" hidden="1" s="233">
      <c r="A1097" s="6" t="n">
        <v>46107</v>
      </c>
      <c r="B1097" s="3" t="n">
        <v>2026</v>
      </c>
      <c r="C1097" s="3" t="inlineStr">
        <is>
          <t>Blupine</t>
        </is>
      </c>
      <c r="D1097" s="3" t="inlineStr">
        <is>
          <t>Utility and C&amp;I</t>
        </is>
      </c>
      <c r="E1097" s="3" t="n"/>
      <c r="F1097" s="3" t="inlineStr">
        <is>
          <t>Closed</t>
        </is>
      </c>
      <c r="G1097" s="3" t="inlineStr">
        <is>
          <t>Chandrashekar Patidar</t>
        </is>
      </c>
      <c r="H1097" s="3" t="n">
        <v>7879764773</v>
      </c>
      <c r="I1097" s="11" t="inlineStr">
        <is>
          <t>PE26032601</t>
        </is>
      </c>
      <c r="J1097" s="3" t="inlineStr">
        <is>
          <t>Module Diode Failure</t>
        </is>
      </c>
      <c r="K1097" s="3" t="inlineStr">
        <is>
          <t>Sadla</t>
        </is>
      </c>
      <c r="L1097" s="3" t="inlineStr">
        <is>
          <t>Gujarat</t>
        </is>
      </c>
      <c r="M1097" s="9" t="inlineStr">
        <is>
          <t>NS</t>
        </is>
      </c>
      <c r="N1097" s="3" t="inlineStr">
        <is>
          <t>Cold Soldering</t>
        </is>
      </c>
      <c r="O1097" s="3" t="n">
        <v>570</v>
      </c>
      <c r="P1097" s="9" t="inlineStr">
        <is>
          <t>NSMI24060156328</t>
        </is>
      </c>
      <c r="Q1097" s="53">
        <f>MID(P1097,5,2)</f>
        <v/>
      </c>
      <c r="R1097" s="53">
        <f>MID(P1097,7,2)</f>
        <v/>
      </c>
      <c r="S1097" s="3" t="inlineStr">
        <is>
          <t>G2G</t>
        </is>
      </c>
      <c r="T1097" s="3" t="inlineStr">
        <is>
          <t>P4</t>
        </is>
      </c>
      <c r="U1097" s="3" t="inlineStr">
        <is>
          <t>N JB Cold Soldering</t>
        </is>
      </c>
      <c r="V1097" s="3" t="inlineStr">
        <is>
          <t>Soldering</t>
        </is>
      </c>
      <c r="W1097" s="3" t="inlineStr">
        <is>
          <t>Repair</t>
        </is>
      </c>
      <c r="X1097" s="18" t="n">
        <v>46157</v>
      </c>
      <c r="Y1097" s="3">
        <f>X1097-A1097</f>
        <v/>
      </c>
      <c r="Z1097" s="18" t="n">
        <v>46157</v>
      </c>
      <c r="AA1097" s="15" t="n"/>
      <c r="AB1097" s="15" t="n"/>
    </row>
    <row r="1098" hidden="1" s="233">
      <c r="A1098" s="6" t="n">
        <v>46107</v>
      </c>
      <c r="B1098" s="3" t="n">
        <v>2026</v>
      </c>
      <c r="C1098" s="3" t="inlineStr">
        <is>
          <t>Blupine</t>
        </is>
      </c>
      <c r="D1098" s="3" t="inlineStr">
        <is>
          <t>Utility and C&amp;I</t>
        </is>
      </c>
      <c r="E1098" s="3" t="n"/>
      <c r="F1098" s="3" t="inlineStr">
        <is>
          <t>Closed</t>
        </is>
      </c>
      <c r="G1098" s="3" t="inlineStr">
        <is>
          <t>Chandrashekar Patidar</t>
        </is>
      </c>
      <c r="H1098" s="3" t="n">
        <v>7879764773</v>
      </c>
      <c r="I1098" s="11" t="inlineStr">
        <is>
          <t>PE26032601</t>
        </is>
      </c>
      <c r="J1098" s="3" t="inlineStr">
        <is>
          <t>Module Diode Failure</t>
        </is>
      </c>
      <c r="K1098" s="3" t="inlineStr">
        <is>
          <t>Sadla</t>
        </is>
      </c>
      <c r="L1098" s="3" t="inlineStr">
        <is>
          <t>Gujarat</t>
        </is>
      </c>
      <c r="M1098" s="9" t="inlineStr">
        <is>
          <t>NS</t>
        </is>
      </c>
      <c r="N1098" s="3" t="inlineStr">
        <is>
          <t>Cold Soldering</t>
        </is>
      </c>
      <c r="O1098" s="3" t="n">
        <v>570</v>
      </c>
      <c r="P1098" s="9" t="inlineStr">
        <is>
          <t>NSMI24060156269</t>
        </is>
      </c>
      <c r="Q1098" s="53">
        <f>MID(P1098,5,2)</f>
        <v/>
      </c>
      <c r="R1098" s="53">
        <f>MID(P1098,7,2)</f>
        <v/>
      </c>
      <c r="S1098" s="3" t="inlineStr">
        <is>
          <t>G2G</t>
        </is>
      </c>
      <c r="T1098" s="3" t="inlineStr">
        <is>
          <t>P4</t>
        </is>
      </c>
      <c r="U1098" s="3" t="inlineStr">
        <is>
          <t>N JB Cold Soldering</t>
        </is>
      </c>
      <c r="V1098" s="3" t="inlineStr">
        <is>
          <t>Soldering</t>
        </is>
      </c>
      <c r="W1098" s="3" t="inlineStr">
        <is>
          <t>Repair</t>
        </is>
      </c>
      <c r="X1098" s="18" t="n">
        <v>46157</v>
      </c>
      <c r="Y1098" s="3">
        <f>X1098-A1098</f>
        <v/>
      </c>
      <c r="Z1098" s="18" t="n">
        <v>46157</v>
      </c>
      <c r="AA1098" s="15" t="n"/>
      <c r="AB1098" s="15" t="n"/>
    </row>
    <row r="1099" hidden="1" s="233">
      <c r="A1099" s="6" t="n">
        <v>46107</v>
      </c>
      <c r="B1099" s="3" t="n">
        <v>2026</v>
      </c>
      <c r="C1099" s="3" t="inlineStr">
        <is>
          <t>Blupine</t>
        </is>
      </c>
      <c r="D1099" s="3" t="inlineStr">
        <is>
          <t>Utility and C&amp;I</t>
        </is>
      </c>
      <c r="E1099" s="3" t="n"/>
      <c r="F1099" s="3" t="inlineStr">
        <is>
          <t>Closed</t>
        </is>
      </c>
      <c r="G1099" s="3" t="inlineStr">
        <is>
          <t>Chandrashekar Patidar</t>
        </is>
      </c>
      <c r="H1099" s="3" t="n">
        <v>7879764773</v>
      </c>
      <c r="I1099" s="11" t="inlineStr">
        <is>
          <t>PE26032601</t>
        </is>
      </c>
      <c r="J1099" s="3" t="inlineStr">
        <is>
          <t>Module Diode Failure</t>
        </is>
      </c>
      <c r="K1099" s="3" t="inlineStr">
        <is>
          <t>Sadla</t>
        </is>
      </c>
      <c r="L1099" s="3" t="inlineStr">
        <is>
          <t>Gujarat</t>
        </is>
      </c>
      <c r="M1099" s="9" t="inlineStr">
        <is>
          <t>NS</t>
        </is>
      </c>
      <c r="N1099" s="3" t="inlineStr">
        <is>
          <t>Cold Soldering</t>
        </is>
      </c>
      <c r="O1099" s="3" t="n">
        <v>570</v>
      </c>
      <c r="P1099" s="9" t="inlineStr">
        <is>
          <t>NSMI24060151122</t>
        </is>
      </c>
      <c r="Q1099" s="53">
        <f>MID(P1099,5,2)</f>
        <v/>
      </c>
      <c r="R1099" s="53">
        <f>MID(P1099,7,2)</f>
        <v/>
      </c>
      <c r="S1099" s="3" t="inlineStr">
        <is>
          <t>G2G</t>
        </is>
      </c>
      <c r="T1099" s="3" t="inlineStr">
        <is>
          <t>P4</t>
        </is>
      </c>
      <c r="U1099" s="3" t="inlineStr">
        <is>
          <t>N JB Cold Soldering</t>
        </is>
      </c>
      <c r="V1099" s="3" t="inlineStr">
        <is>
          <t>Soldering</t>
        </is>
      </c>
      <c r="W1099" s="3" t="inlineStr">
        <is>
          <t>Repair</t>
        </is>
      </c>
      <c r="X1099" s="18" t="n">
        <v>46157</v>
      </c>
      <c r="Y1099" s="3">
        <f>X1099-A1099</f>
        <v/>
      </c>
      <c r="Z1099" s="18" t="n">
        <v>46157</v>
      </c>
      <c r="AA1099" s="15" t="n"/>
      <c r="AB1099" s="15" t="n"/>
    </row>
    <row r="1100" hidden="1" s="233">
      <c r="A1100" s="6" t="n">
        <v>46107</v>
      </c>
      <c r="B1100" s="3" t="n">
        <v>2026</v>
      </c>
      <c r="C1100" s="3" t="inlineStr">
        <is>
          <t>Blupine</t>
        </is>
      </c>
      <c r="D1100" s="3" t="inlineStr">
        <is>
          <t>Utility and C&amp;I</t>
        </is>
      </c>
      <c r="E1100" s="3" t="n"/>
      <c r="F1100" s="3" t="inlineStr">
        <is>
          <t>Closed</t>
        </is>
      </c>
      <c r="G1100" s="3" t="inlineStr">
        <is>
          <t>Chandrashekar Patidar</t>
        </is>
      </c>
      <c r="H1100" s="3" t="n">
        <v>7879764773</v>
      </c>
      <c r="I1100" s="11" t="inlineStr">
        <is>
          <t>PE26032601</t>
        </is>
      </c>
      <c r="J1100" s="3" t="inlineStr">
        <is>
          <t>Module Diode Failure</t>
        </is>
      </c>
      <c r="K1100" s="3" t="inlineStr">
        <is>
          <t>Sadla</t>
        </is>
      </c>
      <c r="L1100" s="3" t="inlineStr">
        <is>
          <t>Gujarat</t>
        </is>
      </c>
      <c r="M1100" s="9" t="inlineStr">
        <is>
          <t>OK</t>
        </is>
      </c>
      <c r="N1100" s="3" t="inlineStr">
        <is>
          <t>No Issue</t>
        </is>
      </c>
      <c r="O1100" s="3" t="n">
        <v>570</v>
      </c>
      <c r="P1100" s="9" t="inlineStr">
        <is>
          <t>NSMI24060163557</t>
        </is>
      </c>
      <c r="Q1100" s="53">
        <f>MID(P1100,5,2)</f>
        <v/>
      </c>
      <c r="R1100" s="53">
        <f>MID(P1100,7,2)</f>
        <v/>
      </c>
      <c r="S1100" s="3" t="inlineStr">
        <is>
          <t>G2G</t>
        </is>
      </c>
      <c r="T1100" s="3" t="inlineStr">
        <is>
          <t>P4</t>
        </is>
      </c>
      <c r="U1100" s="19" t="inlineStr">
        <is>
          <t>No Issue Found</t>
        </is>
      </c>
      <c r="V1100" s="19" t="inlineStr">
        <is>
          <t>Found OK</t>
        </is>
      </c>
      <c r="W1100" s="3" t="inlineStr">
        <is>
          <t>Repair</t>
        </is>
      </c>
      <c r="X1100" s="18" t="n">
        <v>46157</v>
      </c>
      <c r="Y1100" s="3">
        <f>X1100-A1100</f>
        <v/>
      </c>
      <c r="Z1100" s="18" t="n">
        <v>46157</v>
      </c>
      <c r="AA1100" s="15" t="n"/>
      <c r="AB1100" s="15" t="n"/>
    </row>
    <row r="1101" hidden="1" s="233">
      <c r="A1101" s="6" t="n">
        <v>46107</v>
      </c>
      <c r="B1101" s="3" t="n">
        <v>2026</v>
      </c>
      <c r="C1101" s="3" t="inlineStr">
        <is>
          <t>Blupine</t>
        </is>
      </c>
      <c r="D1101" s="3" t="inlineStr">
        <is>
          <t>Utility and C&amp;I</t>
        </is>
      </c>
      <c r="E1101" s="3" t="n"/>
      <c r="F1101" s="3" t="inlineStr">
        <is>
          <t>Closed</t>
        </is>
      </c>
      <c r="G1101" s="3" t="inlineStr">
        <is>
          <t>Chandrashekar Patidar</t>
        </is>
      </c>
      <c r="H1101" s="3" t="n">
        <v>7879764773</v>
      </c>
      <c r="I1101" s="11" t="inlineStr">
        <is>
          <t>PE26032601</t>
        </is>
      </c>
      <c r="J1101" s="3" t="inlineStr">
        <is>
          <t>Module Diode Failure</t>
        </is>
      </c>
      <c r="K1101" s="3" t="inlineStr">
        <is>
          <t>Sadla</t>
        </is>
      </c>
      <c r="L1101" s="3" t="inlineStr">
        <is>
          <t>Gujarat</t>
        </is>
      </c>
      <c r="M1101" s="9" t="inlineStr">
        <is>
          <t>NS</t>
        </is>
      </c>
      <c r="N1101" s="3" t="inlineStr">
        <is>
          <t>Cold Soldering</t>
        </is>
      </c>
      <c r="O1101" s="3" t="n">
        <v>570</v>
      </c>
      <c r="P1101" s="9" t="inlineStr">
        <is>
          <t>NSMI24060157467</t>
        </is>
      </c>
      <c r="Q1101" s="53">
        <f>MID(P1101,5,2)</f>
        <v/>
      </c>
      <c r="R1101" s="53">
        <f>MID(P1101,7,2)</f>
        <v/>
      </c>
      <c r="S1101" s="3" t="inlineStr">
        <is>
          <t>G2G</t>
        </is>
      </c>
      <c r="T1101" s="3" t="inlineStr">
        <is>
          <t>P4</t>
        </is>
      </c>
      <c r="U1101" s="3" t="inlineStr">
        <is>
          <t>N JB Cold Soldering</t>
        </is>
      </c>
      <c r="V1101" s="3" t="inlineStr">
        <is>
          <t>Soldering</t>
        </is>
      </c>
      <c r="W1101" s="3" t="inlineStr">
        <is>
          <t>Repair</t>
        </is>
      </c>
      <c r="X1101" s="18" t="n">
        <v>46157</v>
      </c>
      <c r="Y1101" s="3">
        <f>X1101-A1101</f>
        <v/>
      </c>
      <c r="Z1101" s="18" t="n">
        <v>46157</v>
      </c>
      <c r="AA1101" s="15" t="n"/>
      <c r="AB1101" s="15" t="n"/>
    </row>
    <row r="1102" hidden="1" s="233">
      <c r="A1102" s="6" t="n">
        <v>46107</v>
      </c>
      <c r="B1102" s="3" t="n">
        <v>2026</v>
      </c>
      <c r="C1102" s="3" t="inlineStr">
        <is>
          <t>Blupine</t>
        </is>
      </c>
      <c r="D1102" s="3" t="inlineStr">
        <is>
          <t>Utility and C&amp;I</t>
        </is>
      </c>
      <c r="E1102" s="3" t="n"/>
      <c r="F1102" s="3" t="inlineStr">
        <is>
          <t>Closed</t>
        </is>
      </c>
      <c r="G1102" s="3" t="inlineStr">
        <is>
          <t>Chandrashekar Patidar</t>
        </is>
      </c>
      <c r="H1102" s="3" t="n">
        <v>7879764773</v>
      </c>
      <c r="I1102" s="11" t="inlineStr">
        <is>
          <t>PE26032601</t>
        </is>
      </c>
      <c r="J1102" s="3" t="inlineStr">
        <is>
          <t>Module Diode Failure</t>
        </is>
      </c>
      <c r="K1102" s="3" t="inlineStr">
        <is>
          <t>Sadla</t>
        </is>
      </c>
      <c r="L1102" s="3" t="inlineStr">
        <is>
          <t>Gujarat</t>
        </is>
      </c>
      <c r="M1102" s="9" t="inlineStr">
        <is>
          <t>NS</t>
        </is>
      </c>
      <c r="N1102" s="3" t="inlineStr">
        <is>
          <t>Cold Soldering</t>
        </is>
      </c>
      <c r="O1102" s="3" t="n">
        <v>570</v>
      </c>
      <c r="P1102" s="9" t="inlineStr">
        <is>
          <t>NSMI24060160015</t>
        </is>
      </c>
      <c r="Q1102" s="53">
        <f>MID(P1102,5,2)</f>
        <v/>
      </c>
      <c r="R1102" s="53">
        <f>MID(P1102,7,2)</f>
        <v/>
      </c>
      <c r="S1102" s="3" t="inlineStr">
        <is>
          <t>G2G</t>
        </is>
      </c>
      <c r="T1102" s="3" t="inlineStr">
        <is>
          <t>P4</t>
        </is>
      </c>
      <c r="U1102" s="3" t="inlineStr">
        <is>
          <t>N JB Cold Soldering</t>
        </is>
      </c>
      <c r="V1102" s="3" t="inlineStr">
        <is>
          <t>Soldering</t>
        </is>
      </c>
      <c r="W1102" s="3" t="inlineStr">
        <is>
          <t>Repair</t>
        </is>
      </c>
      <c r="X1102" s="18" t="n">
        <v>46157</v>
      </c>
      <c r="Y1102" s="3">
        <f>X1102-A1102</f>
        <v/>
      </c>
      <c r="Z1102" s="18" t="n">
        <v>46157</v>
      </c>
      <c r="AA1102" s="15" t="n"/>
      <c r="AB1102" s="15" t="n"/>
    </row>
    <row r="1103" hidden="1" s="233">
      <c r="A1103" s="6" t="n">
        <v>46107</v>
      </c>
      <c r="B1103" s="3" t="n">
        <v>2026</v>
      </c>
      <c r="C1103" s="3" t="inlineStr">
        <is>
          <t>Blupine</t>
        </is>
      </c>
      <c r="D1103" s="3" t="inlineStr">
        <is>
          <t>Utility and C&amp;I</t>
        </is>
      </c>
      <c r="E1103" s="3" t="n"/>
      <c r="F1103" s="3" t="inlineStr">
        <is>
          <t>Closed</t>
        </is>
      </c>
      <c r="G1103" s="3" t="inlineStr">
        <is>
          <t>Chandrashekar Patidar</t>
        </is>
      </c>
      <c r="H1103" s="3" t="n">
        <v>7879764773</v>
      </c>
      <c r="I1103" s="11" t="inlineStr">
        <is>
          <t>PE26032601</t>
        </is>
      </c>
      <c r="J1103" s="3" t="inlineStr">
        <is>
          <t>Module Diode Failure</t>
        </is>
      </c>
      <c r="K1103" s="3" t="inlineStr">
        <is>
          <t>Sadla</t>
        </is>
      </c>
      <c r="L1103" s="3" t="inlineStr">
        <is>
          <t>Gujarat</t>
        </is>
      </c>
      <c r="M1103" s="9" t="inlineStr">
        <is>
          <t>NS</t>
        </is>
      </c>
      <c r="N1103" s="3" t="inlineStr">
        <is>
          <t>Cold Soldering</t>
        </is>
      </c>
      <c r="O1103" s="3" t="n">
        <v>570</v>
      </c>
      <c r="P1103" s="9" t="inlineStr">
        <is>
          <t>NSMI24060147438</t>
        </is>
      </c>
      <c r="Q1103" s="53">
        <f>MID(P1103,5,2)</f>
        <v/>
      </c>
      <c r="R1103" s="53">
        <f>MID(P1103,7,2)</f>
        <v/>
      </c>
      <c r="S1103" s="3" t="inlineStr">
        <is>
          <t>G2G</t>
        </is>
      </c>
      <c r="T1103" s="3" t="inlineStr">
        <is>
          <t>P4</t>
        </is>
      </c>
      <c r="U1103" s="3" t="inlineStr">
        <is>
          <t>N JB Cold Soldering</t>
        </is>
      </c>
      <c r="V1103" s="3" t="inlineStr">
        <is>
          <t>Soldering</t>
        </is>
      </c>
      <c r="W1103" s="3" t="inlineStr">
        <is>
          <t>Repair</t>
        </is>
      </c>
      <c r="X1103" s="18" t="n">
        <v>46157</v>
      </c>
      <c r="Y1103" s="3">
        <f>X1103-A1103</f>
        <v/>
      </c>
      <c r="Z1103" s="18" t="n">
        <v>46157</v>
      </c>
      <c r="AA1103" s="15" t="n"/>
      <c r="AB1103" s="15" t="n"/>
    </row>
    <row r="1104" hidden="1" s="233">
      <c r="A1104" s="6" t="n">
        <v>46107</v>
      </c>
      <c r="B1104" s="3" t="n">
        <v>2026</v>
      </c>
      <c r="C1104" s="3" t="inlineStr">
        <is>
          <t>Blupine</t>
        </is>
      </c>
      <c r="D1104" s="3" t="inlineStr">
        <is>
          <t>Utility and C&amp;I</t>
        </is>
      </c>
      <c r="E1104" s="3" t="n"/>
      <c r="F1104" s="3" t="inlineStr">
        <is>
          <t>Closed</t>
        </is>
      </c>
      <c r="G1104" s="3" t="inlineStr">
        <is>
          <t>Chandrashekar Patidar</t>
        </is>
      </c>
      <c r="H1104" s="3" t="n">
        <v>7879764773</v>
      </c>
      <c r="I1104" s="11" t="inlineStr">
        <is>
          <t>PE26032601</t>
        </is>
      </c>
      <c r="J1104" s="3" t="inlineStr">
        <is>
          <t>Module Diode Failure</t>
        </is>
      </c>
      <c r="K1104" s="3" t="inlineStr">
        <is>
          <t>Sadla</t>
        </is>
      </c>
      <c r="L1104" s="3" t="inlineStr">
        <is>
          <t>Gujarat</t>
        </is>
      </c>
      <c r="M1104" s="9" t="inlineStr">
        <is>
          <t>NR</t>
        </is>
      </c>
      <c r="N1104" s="3" t="inlineStr">
        <is>
          <t>JB Issue</t>
        </is>
      </c>
      <c r="O1104" s="3" t="n">
        <v>570</v>
      </c>
      <c r="P1104" s="9" t="inlineStr">
        <is>
          <t>NSMI24060144958</t>
        </is>
      </c>
      <c r="Q1104" s="53">
        <f>MID(P1104,5,2)</f>
        <v/>
      </c>
      <c r="R1104" s="53">
        <f>MID(P1104,7,2)</f>
        <v/>
      </c>
      <c r="S1104" s="3" t="inlineStr">
        <is>
          <t>G2G</t>
        </is>
      </c>
      <c r="T1104" s="3" t="inlineStr">
        <is>
          <t>P4</t>
        </is>
      </c>
      <c r="U1104" s="3" t="inlineStr">
        <is>
          <t>N JB Issue</t>
        </is>
      </c>
      <c r="V1104" s="3" t="inlineStr">
        <is>
          <t>JB Changed</t>
        </is>
      </c>
      <c r="W1104" s="3" t="inlineStr">
        <is>
          <t>Repair</t>
        </is>
      </c>
      <c r="X1104" s="18" t="n">
        <v>46157</v>
      </c>
      <c r="Y1104" s="3">
        <f>X1104-A1104</f>
        <v/>
      </c>
      <c r="Z1104" s="18" t="n">
        <v>46157</v>
      </c>
      <c r="AA1104" s="15" t="n"/>
      <c r="AB1104" s="15" t="n"/>
    </row>
    <row r="1105" hidden="1" s="233">
      <c r="A1105" s="6" t="n">
        <v>46107</v>
      </c>
      <c r="B1105" s="3" t="n">
        <v>2026</v>
      </c>
      <c r="C1105" s="3" t="inlineStr">
        <is>
          <t>Blupine</t>
        </is>
      </c>
      <c r="D1105" s="3" t="inlineStr">
        <is>
          <t>Utility and C&amp;I</t>
        </is>
      </c>
      <c r="E1105" s="3" t="n"/>
      <c r="F1105" s="3" t="inlineStr">
        <is>
          <t>Closed</t>
        </is>
      </c>
      <c r="G1105" s="3" t="inlineStr">
        <is>
          <t>Chandrashekar Patidar</t>
        </is>
      </c>
      <c r="H1105" s="3" t="n">
        <v>7879764773</v>
      </c>
      <c r="I1105" s="11" t="inlineStr">
        <is>
          <t>PE26032601</t>
        </is>
      </c>
      <c r="J1105" s="3" t="inlineStr">
        <is>
          <t>Module Diode Failure</t>
        </is>
      </c>
      <c r="K1105" s="3" t="inlineStr">
        <is>
          <t>Sadla</t>
        </is>
      </c>
      <c r="L1105" s="3" t="inlineStr">
        <is>
          <t>Gujarat</t>
        </is>
      </c>
      <c r="M1105" s="9" t="inlineStr">
        <is>
          <t>NS</t>
        </is>
      </c>
      <c r="N1105" s="3" t="inlineStr">
        <is>
          <t>Cold Soldering</t>
        </is>
      </c>
      <c r="O1105" s="3" t="n">
        <v>570</v>
      </c>
      <c r="P1105" s="9" t="inlineStr">
        <is>
          <t>NSMI24060145333</t>
        </is>
      </c>
      <c r="Q1105" s="53">
        <f>MID(P1105,5,2)</f>
        <v/>
      </c>
      <c r="R1105" s="53">
        <f>MID(P1105,7,2)</f>
        <v/>
      </c>
      <c r="S1105" s="3" t="inlineStr">
        <is>
          <t>G2G</t>
        </is>
      </c>
      <c r="T1105" s="3" t="inlineStr">
        <is>
          <t>P4</t>
        </is>
      </c>
      <c r="U1105" s="3" t="inlineStr">
        <is>
          <t>N JB Cold Soldering</t>
        </is>
      </c>
      <c r="V1105" s="3" t="inlineStr">
        <is>
          <t>Soldering</t>
        </is>
      </c>
      <c r="W1105" s="3" t="inlineStr">
        <is>
          <t>Repair</t>
        </is>
      </c>
      <c r="X1105" s="18" t="n">
        <v>46157</v>
      </c>
      <c r="Y1105" s="3">
        <f>X1105-A1105</f>
        <v/>
      </c>
      <c r="Z1105" s="18" t="n">
        <v>46157</v>
      </c>
      <c r="AA1105" s="15" t="n"/>
      <c r="AB1105" s="15" t="n"/>
    </row>
    <row r="1106" hidden="1" s="233">
      <c r="A1106" s="6" t="n">
        <v>46107</v>
      </c>
      <c r="B1106" s="3" t="n">
        <v>2026</v>
      </c>
      <c r="C1106" s="3" t="inlineStr">
        <is>
          <t>Blupine</t>
        </is>
      </c>
      <c r="D1106" s="3" t="inlineStr">
        <is>
          <t>Utility and C&amp;I</t>
        </is>
      </c>
      <c r="E1106" s="3" t="n"/>
      <c r="F1106" s="3" t="inlineStr">
        <is>
          <t>Closed</t>
        </is>
      </c>
      <c r="G1106" s="3" t="inlineStr">
        <is>
          <t>Chandrashekar Patidar</t>
        </is>
      </c>
      <c r="H1106" s="3" t="n">
        <v>7879764773</v>
      </c>
      <c r="I1106" s="11" t="inlineStr">
        <is>
          <t>PE26032601</t>
        </is>
      </c>
      <c r="J1106" s="3" t="inlineStr">
        <is>
          <t>Module Diode Failure</t>
        </is>
      </c>
      <c r="K1106" s="3" t="inlineStr">
        <is>
          <t>Sadla</t>
        </is>
      </c>
      <c r="L1106" s="3" t="inlineStr">
        <is>
          <t>Gujarat</t>
        </is>
      </c>
      <c r="M1106" s="9" t="inlineStr">
        <is>
          <t>PS</t>
        </is>
      </c>
      <c r="N1106" s="3" t="inlineStr">
        <is>
          <t>Cold Soldering</t>
        </is>
      </c>
      <c r="O1106" s="3" t="n">
        <v>570</v>
      </c>
      <c r="P1106" s="9" t="inlineStr">
        <is>
          <t>NSMI24060162309</t>
        </is>
      </c>
      <c r="Q1106" s="53">
        <f>MID(P1106,5,2)</f>
        <v/>
      </c>
      <c r="R1106" s="53">
        <f>MID(P1106,7,2)</f>
        <v/>
      </c>
      <c r="S1106" s="3" t="inlineStr">
        <is>
          <t>G2G</t>
        </is>
      </c>
      <c r="T1106" s="3" t="inlineStr">
        <is>
          <t>P4</t>
        </is>
      </c>
      <c r="U1106" s="3" t="inlineStr">
        <is>
          <t>P JB Cold Soldering</t>
        </is>
      </c>
      <c r="V1106" s="3" t="inlineStr">
        <is>
          <t>Soldering</t>
        </is>
      </c>
      <c r="W1106" s="3" t="inlineStr">
        <is>
          <t>Repair</t>
        </is>
      </c>
      <c r="X1106" s="18" t="n">
        <v>46157</v>
      </c>
      <c r="Y1106" s="3">
        <f>X1106-A1106</f>
        <v/>
      </c>
      <c r="Z1106" s="18" t="n">
        <v>46157</v>
      </c>
      <c r="AA1106" s="15" t="n"/>
      <c r="AB1106" s="15" t="n"/>
    </row>
    <row r="1107" hidden="1" s="233">
      <c r="A1107" s="6" t="n">
        <v>46107</v>
      </c>
      <c r="B1107" s="3" t="n">
        <v>2026</v>
      </c>
      <c r="C1107" s="3" t="inlineStr">
        <is>
          <t>Blupine</t>
        </is>
      </c>
      <c r="D1107" s="3" t="inlineStr">
        <is>
          <t>Utility and C&amp;I</t>
        </is>
      </c>
      <c r="E1107" s="3" t="n"/>
      <c r="F1107" s="3" t="inlineStr">
        <is>
          <t>Closed</t>
        </is>
      </c>
      <c r="G1107" s="3" t="inlineStr">
        <is>
          <t>Chandrashekar Patidar</t>
        </is>
      </c>
      <c r="H1107" s="3" t="n">
        <v>7879764773</v>
      </c>
      <c r="I1107" s="11" t="inlineStr">
        <is>
          <t>PE26032601</t>
        </is>
      </c>
      <c r="J1107" s="3" t="inlineStr">
        <is>
          <t>Module Diode Failure</t>
        </is>
      </c>
      <c r="K1107" s="3" t="inlineStr">
        <is>
          <t>Sadla</t>
        </is>
      </c>
      <c r="L1107" s="3" t="inlineStr">
        <is>
          <t>Gujarat</t>
        </is>
      </c>
      <c r="M1107" s="9" t="inlineStr">
        <is>
          <t>NS</t>
        </is>
      </c>
      <c r="N1107" s="3" t="inlineStr">
        <is>
          <t>Cold Soldering</t>
        </is>
      </c>
      <c r="O1107" s="3" t="n">
        <v>570</v>
      </c>
      <c r="P1107" s="9" t="inlineStr">
        <is>
          <t>NSMI24060162620</t>
        </is>
      </c>
      <c r="Q1107" s="53">
        <f>MID(P1107,5,2)</f>
        <v/>
      </c>
      <c r="R1107" s="53">
        <f>MID(P1107,7,2)</f>
        <v/>
      </c>
      <c r="S1107" s="3" t="inlineStr">
        <is>
          <t>G2G</t>
        </is>
      </c>
      <c r="T1107" s="3" t="inlineStr">
        <is>
          <t>P4</t>
        </is>
      </c>
      <c r="U1107" s="3" t="inlineStr">
        <is>
          <t>N JB Cold Soldering</t>
        </is>
      </c>
      <c r="V1107" s="3" t="inlineStr">
        <is>
          <t>Soldering</t>
        </is>
      </c>
      <c r="W1107" s="3" t="inlineStr">
        <is>
          <t>Repair</t>
        </is>
      </c>
      <c r="X1107" s="18" t="n">
        <v>46157</v>
      </c>
      <c r="Y1107" s="3">
        <f>X1107-A1107</f>
        <v/>
      </c>
      <c r="Z1107" s="18" t="n">
        <v>46157</v>
      </c>
      <c r="AA1107" s="15" t="n"/>
      <c r="AB1107" s="15" t="n"/>
    </row>
    <row r="1108" hidden="1" s="233">
      <c r="A1108" s="6" t="n">
        <v>46107</v>
      </c>
      <c r="B1108" s="3" t="n">
        <v>2026</v>
      </c>
      <c r="C1108" s="3" t="inlineStr">
        <is>
          <t>Blupine</t>
        </is>
      </c>
      <c r="D1108" s="3" t="inlineStr">
        <is>
          <t>Utility and C&amp;I</t>
        </is>
      </c>
      <c r="E1108" s="3" t="n"/>
      <c r="F1108" s="3" t="inlineStr">
        <is>
          <t>Closed</t>
        </is>
      </c>
      <c r="G1108" s="3" t="inlineStr">
        <is>
          <t>Chandrashekar Patidar</t>
        </is>
      </c>
      <c r="H1108" s="3" t="n">
        <v>7879764773</v>
      </c>
      <c r="I1108" s="11" t="inlineStr">
        <is>
          <t>PE26032601</t>
        </is>
      </c>
      <c r="J1108" s="3" t="inlineStr">
        <is>
          <t>Module Diode Failure</t>
        </is>
      </c>
      <c r="K1108" s="3" t="inlineStr">
        <is>
          <t>Sadla</t>
        </is>
      </c>
      <c r="L1108" s="3" t="inlineStr">
        <is>
          <t>Gujarat</t>
        </is>
      </c>
      <c r="M1108" s="9" t="inlineStr">
        <is>
          <t>NS</t>
        </is>
      </c>
      <c r="N1108" s="3" t="inlineStr">
        <is>
          <t>Cold Soldering</t>
        </is>
      </c>
      <c r="O1108" s="3" t="n">
        <v>570</v>
      </c>
      <c r="P1108" s="9" t="inlineStr">
        <is>
          <t>NSMI24060162526</t>
        </is>
      </c>
      <c r="Q1108" s="53">
        <f>MID(P1108,5,2)</f>
        <v/>
      </c>
      <c r="R1108" s="53">
        <f>MID(P1108,7,2)</f>
        <v/>
      </c>
      <c r="S1108" s="3" t="inlineStr">
        <is>
          <t>G2G</t>
        </is>
      </c>
      <c r="T1108" s="3" t="inlineStr">
        <is>
          <t>P4</t>
        </is>
      </c>
      <c r="U1108" s="3" t="inlineStr">
        <is>
          <t>N JB Cold Soldering</t>
        </is>
      </c>
      <c r="V1108" s="3" t="inlineStr">
        <is>
          <t>Soldering</t>
        </is>
      </c>
      <c r="W1108" s="3" t="inlineStr">
        <is>
          <t>Repair</t>
        </is>
      </c>
      <c r="X1108" s="18" t="n">
        <v>46157</v>
      </c>
      <c r="Y1108" s="3">
        <f>X1108-A1108</f>
        <v/>
      </c>
      <c r="Z1108" s="18" t="n">
        <v>46157</v>
      </c>
      <c r="AA1108" s="15" t="n"/>
      <c r="AB1108" s="15" t="n"/>
    </row>
    <row r="1109" hidden="1" s="233">
      <c r="A1109" s="6" t="n">
        <v>46107</v>
      </c>
      <c r="B1109" s="3" t="n">
        <v>2026</v>
      </c>
      <c r="C1109" s="3" t="inlineStr">
        <is>
          <t>Blupine</t>
        </is>
      </c>
      <c r="D1109" s="3" t="inlineStr">
        <is>
          <t>Utility and C&amp;I</t>
        </is>
      </c>
      <c r="E1109" s="3" t="n"/>
      <c r="F1109" s="3" t="inlineStr">
        <is>
          <t>Closed</t>
        </is>
      </c>
      <c r="G1109" s="3" t="inlineStr">
        <is>
          <t>Chandrashekar Patidar</t>
        </is>
      </c>
      <c r="H1109" s="3" t="n">
        <v>7879764773</v>
      </c>
      <c r="I1109" s="11" t="inlineStr">
        <is>
          <t>PE26032601</t>
        </is>
      </c>
      <c r="J1109" s="3" t="inlineStr">
        <is>
          <t>Module Diode Failure</t>
        </is>
      </c>
      <c r="K1109" s="3" t="inlineStr">
        <is>
          <t>Sadla</t>
        </is>
      </c>
      <c r="L1109" s="3" t="inlineStr">
        <is>
          <t>Gujarat</t>
        </is>
      </c>
      <c r="M1109" s="9" t="inlineStr">
        <is>
          <t>NS</t>
        </is>
      </c>
      <c r="N1109" s="3" t="inlineStr">
        <is>
          <t>Cold Soldering</t>
        </is>
      </c>
      <c r="O1109" s="3" t="n">
        <v>570</v>
      </c>
      <c r="P1109" s="9" t="inlineStr">
        <is>
          <t>NSMI24060145055</t>
        </is>
      </c>
      <c r="Q1109" s="53">
        <f>MID(P1109,5,2)</f>
        <v/>
      </c>
      <c r="R1109" s="53">
        <f>MID(P1109,7,2)</f>
        <v/>
      </c>
      <c r="S1109" s="3" t="inlineStr">
        <is>
          <t>G2G</t>
        </is>
      </c>
      <c r="T1109" s="3" t="inlineStr">
        <is>
          <t>P4</t>
        </is>
      </c>
      <c r="U1109" s="3" t="inlineStr">
        <is>
          <t>N JB Cold Soldering</t>
        </is>
      </c>
      <c r="V1109" s="3" t="inlineStr">
        <is>
          <t>Soldering</t>
        </is>
      </c>
      <c r="W1109" s="3" t="inlineStr">
        <is>
          <t>Repair</t>
        </is>
      </c>
      <c r="X1109" s="18" t="n">
        <v>46157</v>
      </c>
      <c r="Y1109" s="3">
        <f>X1109-A1109</f>
        <v/>
      </c>
      <c r="Z1109" s="18" t="n">
        <v>46157</v>
      </c>
      <c r="AA1109" s="15" t="n"/>
      <c r="AB1109" s="15" t="n"/>
    </row>
    <row r="1110" hidden="1" s="233">
      <c r="A1110" s="6" t="n">
        <v>46107</v>
      </c>
      <c r="B1110" s="3" t="n">
        <v>2026</v>
      </c>
      <c r="C1110" s="3" t="inlineStr">
        <is>
          <t>Blupine</t>
        </is>
      </c>
      <c r="D1110" s="3" t="inlineStr">
        <is>
          <t>Utility and C&amp;I</t>
        </is>
      </c>
      <c r="E1110" s="3" t="n"/>
      <c r="F1110" s="3" t="inlineStr">
        <is>
          <t>Closed</t>
        </is>
      </c>
      <c r="G1110" s="3" t="inlineStr">
        <is>
          <t>Chandrashekar Patidar</t>
        </is>
      </c>
      <c r="H1110" s="3" t="n">
        <v>7879764773</v>
      </c>
      <c r="I1110" s="11" t="inlineStr">
        <is>
          <t>PE26032601</t>
        </is>
      </c>
      <c r="J1110" s="3" t="inlineStr">
        <is>
          <t>Module Diode Failure</t>
        </is>
      </c>
      <c r="K1110" s="3" t="inlineStr">
        <is>
          <t>Sadla</t>
        </is>
      </c>
      <c r="L1110" s="3" t="inlineStr">
        <is>
          <t>Gujarat</t>
        </is>
      </c>
      <c r="M1110" s="9" t="inlineStr">
        <is>
          <t>NS</t>
        </is>
      </c>
      <c r="N1110" s="3" t="inlineStr">
        <is>
          <t>Cold Soldering</t>
        </is>
      </c>
      <c r="O1110" s="3" t="n">
        <v>570</v>
      </c>
      <c r="P1110" s="9" t="inlineStr">
        <is>
          <t>NSMI24060157074</t>
        </is>
      </c>
      <c r="Q1110" s="53">
        <f>MID(P1110,5,2)</f>
        <v/>
      </c>
      <c r="R1110" s="53">
        <f>MID(P1110,7,2)</f>
        <v/>
      </c>
      <c r="S1110" s="3" t="inlineStr">
        <is>
          <t>G2G</t>
        </is>
      </c>
      <c r="T1110" s="3" t="inlineStr">
        <is>
          <t>P4</t>
        </is>
      </c>
      <c r="U1110" s="3" t="inlineStr">
        <is>
          <t>N JB Cold Soldering</t>
        </is>
      </c>
      <c r="V1110" s="3" t="inlineStr">
        <is>
          <t>Soldering</t>
        </is>
      </c>
      <c r="W1110" s="3" t="inlineStr">
        <is>
          <t>Repair</t>
        </is>
      </c>
      <c r="X1110" s="18" t="n">
        <v>46157</v>
      </c>
      <c r="Y1110" s="3">
        <f>X1110-A1110</f>
        <v/>
      </c>
      <c r="Z1110" s="18" t="n">
        <v>46157</v>
      </c>
      <c r="AA1110" s="15" t="n"/>
      <c r="AB1110" s="15" t="n"/>
    </row>
    <row r="1111" hidden="1" s="233">
      <c r="A1111" s="6" t="n">
        <v>46107</v>
      </c>
      <c r="B1111" s="3" t="n">
        <v>2026</v>
      </c>
      <c r="C1111" s="3" t="inlineStr">
        <is>
          <t>Blupine</t>
        </is>
      </c>
      <c r="D1111" s="3" t="inlineStr">
        <is>
          <t>Utility and C&amp;I</t>
        </is>
      </c>
      <c r="E1111" s="3" t="n"/>
      <c r="F1111" s="3" t="inlineStr">
        <is>
          <t>Closed</t>
        </is>
      </c>
      <c r="G1111" s="3" t="inlineStr">
        <is>
          <t>Chandrashekar Patidar</t>
        </is>
      </c>
      <c r="H1111" s="3" t="n">
        <v>7879764773</v>
      </c>
      <c r="I1111" s="11" t="inlineStr">
        <is>
          <t>PE26032601</t>
        </is>
      </c>
      <c r="J1111" s="3" t="inlineStr">
        <is>
          <t>Module Diode Failure</t>
        </is>
      </c>
      <c r="K1111" s="3" t="inlineStr">
        <is>
          <t>Sadla</t>
        </is>
      </c>
      <c r="L1111" s="3" t="inlineStr">
        <is>
          <t>Gujarat</t>
        </is>
      </c>
      <c r="M1111" s="9" t="inlineStr">
        <is>
          <t>PS</t>
        </is>
      </c>
      <c r="N1111" s="3" t="inlineStr">
        <is>
          <t>Cold Soldering</t>
        </is>
      </c>
      <c r="O1111" s="3" t="n">
        <v>570</v>
      </c>
      <c r="P1111" s="9" t="inlineStr">
        <is>
          <t>NSMI24070166945</t>
        </is>
      </c>
      <c r="Q1111" s="53">
        <f>MID(P1111,5,2)</f>
        <v/>
      </c>
      <c r="R1111" s="53">
        <f>MID(P1111,7,2)</f>
        <v/>
      </c>
      <c r="S1111" s="3" t="inlineStr">
        <is>
          <t>G2G</t>
        </is>
      </c>
      <c r="T1111" s="3" t="inlineStr">
        <is>
          <t>P4</t>
        </is>
      </c>
      <c r="U1111" s="3" t="inlineStr">
        <is>
          <t>P JB Cold Soldering</t>
        </is>
      </c>
      <c r="V1111" s="3" t="inlineStr">
        <is>
          <t>Soldering</t>
        </is>
      </c>
      <c r="W1111" s="3" t="inlineStr">
        <is>
          <t>Repair</t>
        </is>
      </c>
      <c r="X1111" s="18" t="n">
        <v>46157</v>
      </c>
      <c r="Y1111" s="3">
        <f>X1111-A1111</f>
        <v/>
      </c>
      <c r="Z1111" s="18" t="n">
        <v>46157</v>
      </c>
      <c r="AA1111" s="15" t="n"/>
      <c r="AB1111" s="15" t="n"/>
    </row>
    <row r="1112" hidden="1" s="233">
      <c r="A1112" s="6" t="n">
        <v>46107</v>
      </c>
      <c r="B1112" s="3" t="n">
        <v>2026</v>
      </c>
      <c r="C1112" s="3" t="inlineStr">
        <is>
          <t>Blupine</t>
        </is>
      </c>
      <c r="D1112" s="3" t="inlineStr">
        <is>
          <t>Utility and C&amp;I</t>
        </is>
      </c>
      <c r="E1112" s="3" t="n"/>
      <c r="F1112" s="3" t="inlineStr">
        <is>
          <t>Closed</t>
        </is>
      </c>
      <c r="G1112" s="3" t="inlineStr">
        <is>
          <t>Chandrashekar Patidar</t>
        </is>
      </c>
      <c r="H1112" s="3" t="n">
        <v>7879764773</v>
      </c>
      <c r="I1112" s="11" t="inlineStr">
        <is>
          <t>PE26032601</t>
        </is>
      </c>
      <c r="J1112" s="3" t="inlineStr">
        <is>
          <t>Module Diode Failure</t>
        </is>
      </c>
      <c r="K1112" s="3" t="inlineStr">
        <is>
          <t>Sadla</t>
        </is>
      </c>
      <c r="L1112" s="3" t="inlineStr">
        <is>
          <t>Gujarat</t>
        </is>
      </c>
      <c r="M1112" s="9" t="inlineStr">
        <is>
          <t>PS</t>
        </is>
      </c>
      <c r="N1112" s="3" t="inlineStr">
        <is>
          <t>Cold Soldering</t>
        </is>
      </c>
      <c r="O1112" s="3" t="n">
        <v>570</v>
      </c>
      <c r="P1112" s="9" t="inlineStr">
        <is>
          <t>NSMI24060143885</t>
        </is>
      </c>
      <c r="Q1112" s="53">
        <f>MID(P1112,5,2)</f>
        <v/>
      </c>
      <c r="R1112" s="53">
        <f>MID(P1112,7,2)</f>
        <v/>
      </c>
      <c r="S1112" s="3" t="inlineStr">
        <is>
          <t>G2G</t>
        </is>
      </c>
      <c r="T1112" s="3" t="inlineStr">
        <is>
          <t>P4</t>
        </is>
      </c>
      <c r="U1112" s="3" t="inlineStr">
        <is>
          <t>P JB Cold Soldering</t>
        </is>
      </c>
      <c r="V1112" s="3" t="inlineStr">
        <is>
          <t>Soldering</t>
        </is>
      </c>
      <c r="W1112" s="3" t="inlineStr">
        <is>
          <t>Repair</t>
        </is>
      </c>
      <c r="X1112" s="18" t="n">
        <v>46157</v>
      </c>
      <c r="Y1112" s="3">
        <f>X1112-A1112</f>
        <v/>
      </c>
      <c r="Z1112" s="18" t="n">
        <v>46157</v>
      </c>
      <c r="AA1112" s="15" t="n"/>
      <c r="AB1112" s="15" t="n"/>
    </row>
    <row r="1113" hidden="1" s="233">
      <c r="A1113" s="6" t="n">
        <v>46107</v>
      </c>
      <c r="B1113" s="3" t="n">
        <v>2026</v>
      </c>
      <c r="C1113" s="3" t="inlineStr">
        <is>
          <t>Blupine</t>
        </is>
      </c>
      <c r="D1113" s="3" t="inlineStr">
        <is>
          <t>Utility and C&amp;I</t>
        </is>
      </c>
      <c r="E1113" s="3" t="n"/>
      <c r="F1113" s="3" t="inlineStr">
        <is>
          <t>Closed</t>
        </is>
      </c>
      <c r="G1113" s="3" t="inlineStr">
        <is>
          <t>Chandrashekar Patidar</t>
        </is>
      </c>
      <c r="H1113" s="3" t="n">
        <v>7879764773</v>
      </c>
      <c r="I1113" s="11" t="inlineStr">
        <is>
          <t>PE26032601</t>
        </is>
      </c>
      <c r="J1113" s="3" t="inlineStr">
        <is>
          <t>Module Diode Failure</t>
        </is>
      </c>
      <c r="K1113" s="3" t="inlineStr">
        <is>
          <t>Sadla</t>
        </is>
      </c>
      <c r="L1113" s="3" t="inlineStr">
        <is>
          <t>Gujarat</t>
        </is>
      </c>
      <c r="M1113" s="9" t="inlineStr">
        <is>
          <t>NS</t>
        </is>
      </c>
      <c r="N1113" s="3" t="inlineStr">
        <is>
          <t>Cold Soldering</t>
        </is>
      </c>
      <c r="O1113" s="3" t="n">
        <v>570</v>
      </c>
      <c r="P1113" s="9" t="inlineStr">
        <is>
          <t>NSMI24060142428</t>
        </is>
      </c>
      <c r="Q1113" s="53">
        <f>MID(P1113,5,2)</f>
        <v/>
      </c>
      <c r="R1113" s="53">
        <f>MID(P1113,7,2)</f>
        <v/>
      </c>
      <c r="S1113" s="3" t="inlineStr">
        <is>
          <t>G2G</t>
        </is>
      </c>
      <c r="T1113" s="3" t="inlineStr">
        <is>
          <t>P4</t>
        </is>
      </c>
      <c r="U1113" s="3" t="inlineStr">
        <is>
          <t>N JB Cold Soldering</t>
        </is>
      </c>
      <c r="V1113" s="3" t="inlineStr">
        <is>
          <t>Soldering</t>
        </is>
      </c>
      <c r="W1113" s="3" t="inlineStr">
        <is>
          <t>Repair</t>
        </is>
      </c>
      <c r="X1113" s="18" t="n">
        <v>46157</v>
      </c>
      <c r="Y1113" s="3">
        <f>X1113-A1113</f>
        <v/>
      </c>
      <c r="Z1113" s="18" t="n">
        <v>46157</v>
      </c>
      <c r="AA1113" s="15" t="n"/>
      <c r="AB1113" s="15" t="n"/>
    </row>
    <row r="1114" hidden="1" s="233">
      <c r="A1114" s="6" t="n">
        <v>46107</v>
      </c>
      <c r="B1114" s="3" t="n">
        <v>2026</v>
      </c>
      <c r="C1114" s="3" t="inlineStr">
        <is>
          <t>Blupine</t>
        </is>
      </c>
      <c r="D1114" s="3" t="inlineStr">
        <is>
          <t>Utility and C&amp;I</t>
        </is>
      </c>
      <c r="E1114" s="3" t="n"/>
      <c r="F1114" s="3" t="inlineStr">
        <is>
          <t>Closed</t>
        </is>
      </c>
      <c r="G1114" s="3" t="inlineStr">
        <is>
          <t>Chandrashekar Patidar</t>
        </is>
      </c>
      <c r="H1114" s="3" t="n">
        <v>7879764773</v>
      </c>
      <c r="I1114" s="11" t="inlineStr">
        <is>
          <t>PE26032601</t>
        </is>
      </c>
      <c r="J1114" s="3" t="inlineStr">
        <is>
          <t>Module Diode Failure</t>
        </is>
      </c>
      <c r="K1114" s="3" t="inlineStr">
        <is>
          <t>Sadla</t>
        </is>
      </c>
      <c r="L1114" s="3" t="inlineStr">
        <is>
          <t>Gujarat</t>
        </is>
      </c>
      <c r="M1114" s="9" t="inlineStr">
        <is>
          <t>NS</t>
        </is>
      </c>
      <c r="N1114" s="3" t="inlineStr">
        <is>
          <t>Cold Soldering</t>
        </is>
      </c>
      <c r="O1114" s="3" t="n">
        <v>570</v>
      </c>
      <c r="P1114" s="9" t="inlineStr">
        <is>
          <t>NSMI24060144935</t>
        </is>
      </c>
      <c r="Q1114" s="53">
        <f>MID(P1114,5,2)</f>
        <v/>
      </c>
      <c r="R1114" s="53">
        <f>MID(P1114,7,2)</f>
        <v/>
      </c>
      <c r="S1114" s="3" t="inlineStr">
        <is>
          <t>G2G</t>
        </is>
      </c>
      <c r="T1114" s="3" t="inlineStr">
        <is>
          <t>P4</t>
        </is>
      </c>
      <c r="U1114" s="3" t="inlineStr">
        <is>
          <t>N JB Cold Soldering</t>
        </is>
      </c>
      <c r="V1114" s="3" t="inlineStr">
        <is>
          <t>Soldering</t>
        </is>
      </c>
      <c r="W1114" s="3" t="inlineStr">
        <is>
          <t>Repair</t>
        </is>
      </c>
      <c r="X1114" s="18" t="n">
        <v>46157</v>
      </c>
      <c r="Y1114" s="3">
        <f>X1114-A1114</f>
        <v/>
      </c>
      <c r="Z1114" s="18" t="n">
        <v>46157</v>
      </c>
      <c r="AA1114" s="15" t="n"/>
      <c r="AB1114" s="15" t="n"/>
    </row>
    <row r="1115" hidden="1" s="233">
      <c r="A1115" s="6" t="n">
        <v>46107</v>
      </c>
      <c r="B1115" s="3" t="n">
        <v>2026</v>
      </c>
      <c r="C1115" s="3" t="inlineStr">
        <is>
          <t>Blupine</t>
        </is>
      </c>
      <c r="D1115" s="3" t="inlineStr">
        <is>
          <t>Utility and C&amp;I</t>
        </is>
      </c>
      <c r="E1115" s="3" t="n"/>
      <c r="F1115" s="3" t="inlineStr">
        <is>
          <t>Closed</t>
        </is>
      </c>
      <c r="G1115" s="3" t="inlineStr">
        <is>
          <t>Chandrashekar Patidar</t>
        </is>
      </c>
      <c r="H1115" s="3" t="n">
        <v>7879764773</v>
      </c>
      <c r="I1115" s="11" t="inlineStr">
        <is>
          <t>PE26032601</t>
        </is>
      </c>
      <c r="J1115" s="3" t="inlineStr">
        <is>
          <t>Module Diode Failure</t>
        </is>
      </c>
      <c r="K1115" s="3" t="inlineStr">
        <is>
          <t>Sadla</t>
        </is>
      </c>
      <c r="L1115" s="3" t="inlineStr">
        <is>
          <t>Gujarat</t>
        </is>
      </c>
      <c r="M1115" s="9" t="inlineStr">
        <is>
          <t>NS</t>
        </is>
      </c>
      <c r="N1115" s="3" t="inlineStr">
        <is>
          <t>Cold Soldering</t>
        </is>
      </c>
      <c r="O1115" s="3" t="n">
        <v>570</v>
      </c>
      <c r="P1115" s="9" t="inlineStr">
        <is>
          <t>NSMI24070167258</t>
        </is>
      </c>
      <c r="Q1115" s="53">
        <f>MID(P1115,5,2)</f>
        <v/>
      </c>
      <c r="R1115" s="53">
        <f>MID(P1115,7,2)</f>
        <v/>
      </c>
      <c r="S1115" s="3" t="inlineStr">
        <is>
          <t>G2G</t>
        </is>
      </c>
      <c r="T1115" s="3" t="inlineStr">
        <is>
          <t>P4</t>
        </is>
      </c>
      <c r="U1115" s="3" t="inlineStr">
        <is>
          <t>N JB Cold Soldering</t>
        </is>
      </c>
      <c r="V1115" s="3" t="inlineStr">
        <is>
          <t>Soldering</t>
        </is>
      </c>
      <c r="W1115" s="3" t="inlineStr">
        <is>
          <t>Repair</t>
        </is>
      </c>
      <c r="X1115" s="18" t="n">
        <v>46157</v>
      </c>
      <c r="Y1115" s="3">
        <f>X1115-A1115</f>
        <v/>
      </c>
      <c r="Z1115" s="18" t="n">
        <v>46157</v>
      </c>
      <c r="AA1115" s="15" t="n"/>
      <c r="AB1115" s="15" t="n"/>
    </row>
    <row r="1116" hidden="1" s="233">
      <c r="A1116" s="6" t="n">
        <v>46107</v>
      </c>
      <c r="B1116" s="3" t="n">
        <v>2026</v>
      </c>
      <c r="C1116" s="3" t="inlineStr">
        <is>
          <t>Blupine</t>
        </is>
      </c>
      <c r="D1116" s="3" t="inlineStr">
        <is>
          <t>Utility and C&amp;I</t>
        </is>
      </c>
      <c r="E1116" s="3" t="n"/>
      <c r="F1116" s="3" t="inlineStr">
        <is>
          <t>Closed</t>
        </is>
      </c>
      <c r="G1116" s="3" t="inlineStr">
        <is>
          <t>Chandrashekar Patidar</t>
        </is>
      </c>
      <c r="H1116" s="3" t="n">
        <v>7879764773</v>
      </c>
      <c r="I1116" s="11" t="inlineStr">
        <is>
          <t>PE26032601</t>
        </is>
      </c>
      <c r="J1116" s="3" t="inlineStr">
        <is>
          <t>Module Diode Failure</t>
        </is>
      </c>
      <c r="K1116" s="3" t="inlineStr">
        <is>
          <t>Sadla</t>
        </is>
      </c>
      <c r="L1116" s="3" t="inlineStr">
        <is>
          <t>Gujarat</t>
        </is>
      </c>
      <c r="M1116" s="9" t="inlineStr">
        <is>
          <t>NS</t>
        </is>
      </c>
      <c r="N1116" s="3" t="inlineStr">
        <is>
          <t>Cold Soldering</t>
        </is>
      </c>
      <c r="O1116" s="3" t="n">
        <v>570</v>
      </c>
      <c r="P1116" s="9" t="inlineStr">
        <is>
          <t>NSMI24070167251</t>
        </is>
      </c>
      <c r="Q1116" s="53">
        <f>MID(P1116,5,2)</f>
        <v/>
      </c>
      <c r="R1116" s="53">
        <f>MID(P1116,7,2)</f>
        <v/>
      </c>
      <c r="S1116" s="3" t="inlineStr">
        <is>
          <t>G2G</t>
        </is>
      </c>
      <c r="T1116" s="3" t="inlineStr">
        <is>
          <t>P4</t>
        </is>
      </c>
      <c r="U1116" s="3" t="inlineStr">
        <is>
          <t>N JB Cold Soldering</t>
        </is>
      </c>
      <c r="V1116" s="3" t="inlineStr">
        <is>
          <t>Soldering</t>
        </is>
      </c>
      <c r="W1116" s="3" t="inlineStr">
        <is>
          <t>Repair</t>
        </is>
      </c>
      <c r="X1116" s="18" t="n">
        <v>46157</v>
      </c>
      <c r="Y1116" s="3">
        <f>X1116-A1116</f>
        <v/>
      </c>
      <c r="Z1116" s="18" t="n">
        <v>46157</v>
      </c>
      <c r="AA1116" s="15" t="n"/>
      <c r="AB1116" s="15" t="n"/>
    </row>
    <row r="1117" hidden="1" s="233">
      <c r="A1117" s="6" t="n">
        <v>46107</v>
      </c>
      <c r="B1117" s="3" t="n">
        <v>2026</v>
      </c>
      <c r="C1117" s="3" t="inlineStr">
        <is>
          <t>Blupine</t>
        </is>
      </c>
      <c r="D1117" s="3" t="inlineStr">
        <is>
          <t>Utility and C&amp;I</t>
        </is>
      </c>
      <c r="E1117" s="3" t="n"/>
      <c r="F1117" s="3" t="inlineStr">
        <is>
          <t>Closed</t>
        </is>
      </c>
      <c r="G1117" s="3" t="inlineStr">
        <is>
          <t>Chandrashekar Patidar</t>
        </is>
      </c>
      <c r="H1117" s="3" t="n">
        <v>7879764773</v>
      </c>
      <c r="I1117" s="11" t="inlineStr">
        <is>
          <t>PE26032601</t>
        </is>
      </c>
      <c r="J1117" s="3" t="inlineStr">
        <is>
          <t>Module Diode Failure</t>
        </is>
      </c>
      <c r="K1117" s="3" t="inlineStr">
        <is>
          <t>Sadla</t>
        </is>
      </c>
      <c r="L1117" s="3" t="inlineStr">
        <is>
          <t>Gujarat</t>
        </is>
      </c>
      <c r="M1117" s="9" t="inlineStr">
        <is>
          <t>NS</t>
        </is>
      </c>
      <c r="N1117" s="3" t="inlineStr">
        <is>
          <t>Cold Soldering</t>
        </is>
      </c>
      <c r="O1117" s="3" t="n">
        <v>570</v>
      </c>
      <c r="P1117" s="9" t="inlineStr">
        <is>
          <t>NSMI24060157194</t>
        </is>
      </c>
      <c r="Q1117" s="53">
        <f>MID(P1117,5,2)</f>
        <v/>
      </c>
      <c r="R1117" s="53">
        <f>MID(P1117,7,2)</f>
        <v/>
      </c>
      <c r="S1117" s="3" t="inlineStr">
        <is>
          <t>G2G</t>
        </is>
      </c>
      <c r="T1117" s="3" t="inlineStr">
        <is>
          <t>P4</t>
        </is>
      </c>
      <c r="U1117" s="3" t="inlineStr">
        <is>
          <t>N JB Cold Soldering</t>
        </is>
      </c>
      <c r="V1117" s="3" t="inlineStr">
        <is>
          <t>Soldering</t>
        </is>
      </c>
      <c r="W1117" s="3" t="inlineStr">
        <is>
          <t>Repair</t>
        </is>
      </c>
      <c r="X1117" s="18" t="n">
        <v>46157</v>
      </c>
      <c r="Y1117" s="3">
        <f>X1117-A1117</f>
        <v/>
      </c>
      <c r="Z1117" s="18" t="n">
        <v>46157</v>
      </c>
      <c r="AA1117" s="15" t="n"/>
      <c r="AB1117" s="15" t="n"/>
    </row>
    <row r="1118" hidden="1" s="233">
      <c r="A1118" s="6" t="n">
        <v>46107</v>
      </c>
      <c r="B1118" s="3" t="n">
        <v>2026</v>
      </c>
      <c r="C1118" s="3" t="inlineStr">
        <is>
          <t>Blupine</t>
        </is>
      </c>
      <c r="D1118" s="3" t="inlineStr">
        <is>
          <t>Utility and C&amp;I</t>
        </is>
      </c>
      <c r="E1118" s="3" t="n"/>
      <c r="F1118" s="3" t="inlineStr">
        <is>
          <t>Closed</t>
        </is>
      </c>
      <c r="G1118" s="3" t="inlineStr">
        <is>
          <t>Chandrashekar Patidar</t>
        </is>
      </c>
      <c r="H1118" s="3" t="n">
        <v>7879764773</v>
      </c>
      <c r="I1118" s="11" t="inlineStr">
        <is>
          <t>PE26032601</t>
        </is>
      </c>
      <c r="J1118" s="3" t="inlineStr">
        <is>
          <t>Module Diode Failure</t>
        </is>
      </c>
      <c r="K1118" s="3" t="inlineStr">
        <is>
          <t>Sadla</t>
        </is>
      </c>
      <c r="L1118" s="3" t="inlineStr">
        <is>
          <t>Gujarat</t>
        </is>
      </c>
      <c r="M1118" s="9" t="inlineStr">
        <is>
          <t>NS</t>
        </is>
      </c>
      <c r="N1118" s="3" t="inlineStr">
        <is>
          <t>Cold Soldering</t>
        </is>
      </c>
      <c r="O1118" s="3" t="n">
        <v>570</v>
      </c>
      <c r="P1118" s="9" t="inlineStr">
        <is>
          <t>NSMI24060157283</t>
        </is>
      </c>
      <c r="Q1118" s="53">
        <f>MID(P1118,5,2)</f>
        <v/>
      </c>
      <c r="R1118" s="53">
        <f>MID(P1118,7,2)</f>
        <v/>
      </c>
      <c r="S1118" s="3" t="inlineStr">
        <is>
          <t>G2G</t>
        </is>
      </c>
      <c r="T1118" s="3" t="inlineStr">
        <is>
          <t>P4</t>
        </is>
      </c>
      <c r="U1118" s="3" t="inlineStr">
        <is>
          <t>N JB Cold Soldering</t>
        </is>
      </c>
      <c r="V1118" s="3" t="inlineStr">
        <is>
          <t>Soldering</t>
        </is>
      </c>
      <c r="W1118" s="3" t="inlineStr">
        <is>
          <t>Repair</t>
        </is>
      </c>
      <c r="X1118" s="18" t="n">
        <v>46157</v>
      </c>
      <c r="Y1118" s="3">
        <f>X1118-A1118</f>
        <v/>
      </c>
      <c r="Z1118" s="18" t="n">
        <v>46157</v>
      </c>
      <c r="AA1118" s="15" t="n"/>
      <c r="AB1118" s="15" t="n"/>
    </row>
    <row r="1119" hidden="1" s="233">
      <c r="A1119" s="6" t="n">
        <v>46107</v>
      </c>
      <c r="B1119" s="3" t="n">
        <v>2026</v>
      </c>
      <c r="C1119" s="3" t="inlineStr">
        <is>
          <t>Blupine</t>
        </is>
      </c>
      <c r="D1119" s="3" t="inlineStr">
        <is>
          <t>Utility and C&amp;I</t>
        </is>
      </c>
      <c r="E1119" s="3" t="n"/>
      <c r="F1119" s="3" t="inlineStr">
        <is>
          <t>Closed</t>
        </is>
      </c>
      <c r="G1119" s="3" t="inlineStr">
        <is>
          <t>Chandrashekar Patidar</t>
        </is>
      </c>
      <c r="H1119" s="3" t="n">
        <v>7879764773</v>
      </c>
      <c r="I1119" s="11" t="inlineStr">
        <is>
          <t>PE26032601</t>
        </is>
      </c>
      <c r="J1119" s="3" t="inlineStr">
        <is>
          <t>Module Diode Failure</t>
        </is>
      </c>
      <c r="K1119" s="3" t="inlineStr">
        <is>
          <t>Sadla</t>
        </is>
      </c>
      <c r="L1119" s="3" t="inlineStr">
        <is>
          <t>Gujarat</t>
        </is>
      </c>
      <c r="M1119" s="9" t="inlineStr">
        <is>
          <t>NS</t>
        </is>
      </c>
      <c r="N1119" s="3" t="inlineStr">
        <is>
          <t>Cold Soldering</t>
        </is>
      </c>
      <c r="O1119" s="3" t="n">
        <v>570</v>
      </c>
      <c r="P1119" s="9" t="inlineStr">
        <is>
          <t>NSMI24060156790</t>
        </is>
      </c>
      <c r="Q1119" s="53">
        <f>MID(P1119,5,2)</f>
        <v/>
      </c>
      <c r="R1119" s="53">
        <f>MID(P1119,7,2)</f>
        <v/>
      </c>
      <c r="S1119" s="3" t="inlineStr">
        <is>
          <t>G2G</t>
        </is>
      </c>
      <c r="T1119" s="3" t="inlineStr">
        <is>
          <t>P4</t>
        </is>
      </c>
      <c r="U1119" s="3" t="inlineStr">
        <is>
          <t>N JB Cold Soldering</t>
        </is>
      </c>
      <c r="V1119" s="3" t="inlineStr">
        <is>
          <t>Soldering</t>
        </is>
      </c>
      <c r="W1119" s="3" t="inlineStr">
        <is>
          <t>Repair</t>
        </is>
      </c>
      <c r="X1119" s="18" t="n">
        <v>46157</v>
      </c>
      <c r="Y1119" s="3">
        <f>X1119-A1119</f>
        <v/>
      </c>
      <c r="Z1119" s="18" t="n">
        <v>46157</v>
      </c>
      <c r="AA1119" s="15" t="n"/>
      <c r="AB1119" s="15" t="n"/>
    </row>
    <row r="1120" hidden="1" s="233">
      <c r="A1120" s="6" t="n">
        <v>46107</v>
      </c>
      <c r="B1120" s="3" t="n">
        <v>2026</v>
      </c>
      <c r="C1120" s="3" t="inlineStr">
        <is>
          <t>Blupine</t>
        </is>
      </c>
      <c r="D1120" s="3" t="inlineStr">
        <is>
          <t>Utility and C&amp;I</t>
        </is>
      </c>
      <c r="E1120" s="3" t="n"/>
      <c r="F1120" s="3" t="inlineStr">
        <is>
          <t>Closed</t>
        </is>
      </c>
      <c r="G1120" s="3" t="inlineStr">
        <is>
          <t>Chandrashekar Patidar</t>
        </is>
      </c>
      <c r="H1120" s="3" t="n">
        <v>7879764773</v>
      </c>
      <c r="I1120" s="11" t="inlineStr">
        <is>
          <t>PE26032601</t>
        </is>
      </c>
      <c r="J1120" s="3" t="inlineStr">
        <is>
          <t>Module Diode Failure</t>
        </is>
      </c>
      <c r="K1120" s="3" t="inlineStr">
        <is>
          <t>Sadla</t>
        </is>
      </c>
      <c r="L1120" s="3" t="inlineStr">
        <is>
          <t>Gujarat</t>
        </is>
      </c>
      <c r="M1120" s="9" t="inlineStr">
        <is>
          <t>NR</t>
        </is>
      </c>
      <c r="N1120" s="3" t="inlineStr">
        <is>
          <t>JB Issue</t>
        </is>
      </c>
      <c r="O1120" s="3" t="n">
        <v>570</v>
      </c>
      <c r="P1120" s="9" t="inlineStr">
        <is>
          <t>NSMI24060145691</t>
        </is>
      </c>
      <c r="Q1120" s="53">
        <f>MID(P1120,5,2)</f>
        <v/>
      </c>
      <c r="R1120" s="53">
        <f>MID(P1120,7,2)</f>
        <v/>
      </c>
      <c r="S1120" s="3" t="inlineStr">
        <is>
          <t>G2G</t>
        </is>
      </c>
      <c r="T1120" s="3" t="inlineStr">
        <is>
          <t>P4</t>
        </is>
      </c>
      <c r="U1120" s="3" t="inlineStr">
        <is>
          <t>N JB Issue</t>
        </is>
      </c>
      <c r="V1120" s="3" t="inlineStr">
        <is>
          <t>JB Changed</t>
        </is>
      </c>
      <c r="W1120" s="3" t="inlineStr">
        <is>
          <t>Repair</t>
        </is>
      </c>
      <c r="X1120" s="18" t="n">
        <v>46157</v>
      </c>
      <c r="Y1120" s="3">
        <f>X1120-A1120</f>
        <v/>
      </c>
      <c r="Z1120" s="18" t="n">
        <v>46157</v>
      </c>
      <c r="AA1120" s="15" t="n"/>
      <c r="AB1120" s="15" t="n"/>
    </row>
    <row r="1121" hidden="1" s="233">
      <c r="A1121" s="6" t="n">
        <v>46107</v>
      </c>
      <c r="B1121" s="3" t="n">
        <v>2026</v>
      </c>
      <c r="C1121" s="3" t="inlineStr">
        <is>
          <t>Blupine</t>
        </is>
      </c>
      <c r="D1121" s="3" t="inlineStr">
        <is>
          <t>Utility and C&amp;I</t>
        </is>
      </c>
      <c r="E1121" s="3" t="n"/>
      <c r="F1121" s="3" t="inlineStr">
        <is>
          <t>Closed</t>
        </is>
      </c>
      <c r="G1121" s="3" t="inlineStr">
        <is>
          <t>Chandrashekar Patidar</t>
        </is>
      </c>
      <c r="H1121" s="3" t="n">
        <v>7879764773</v>
      </c>
      <c r="I1121" s="11" t="inlineStr">
        <is>
          <t>PE26032601</t>
        </is>
      </c>
      <c r="J1121" s="3" t="inlineStr">
        <is>
          <t>Module Diode Failure</t>
        </is>
      </c>
      <c r="K1121" s="3" t="inlineStr">
        <is>
          <t>Sadla</t>
        </is>
      </c>
      <c r="L1121" s="3" t="inlineStr">
        <is>
          <t>Gujarat</t>
        </is>
      </c>
      <c r="M1121" s="9" t="inlineStr">
        <is>
          <t>NS</t>
        </is>
      </c>
      <c r="N1121" s="3" t="inlineStr">
        <is>
          <t>Cold Soldering</t>
        </is>
      </c>
      <c r="O1121" s="3" t="n">
        <v>570</v>
      </c>
      <c r="P1121" s="9" t="inlineStr">
        <is>
          <t>NSMI24060145792</t>
        </is>
      </c>
      <c r="Q1121" s="53">
        <f>MID(P1121,5,2)</f>
        <v/>
      </c>
      <c r="R1121" s="53">
        <f>MID(P1121,7,2)</f>
        <v/>
      </c>
      <c r="S1121" s="3" t="inlineStr">
        <is>
          <t>G2G</t>
        </is>
      </c>
      <c r="T1121" s="3" t="inlineStr">
        <is>
          <t>P4</t>
        </is>
      </c>
      <c r="U1121" s="3" t="inlineStr">
        <is>
          <t>N JB Cold Soldering</t>
        </is>
      </c>
      <c r="V1121" s="3" t="inlineStr">
        <is>
          <t>Soldering</t>
        </is>
      </c>
      <c r="W1121" s="3" t="inlineStr">
        <is>
          <t>Repair</t>
        </is>
      </c>
      <c r="X1121" s="18" t="n">
        <v>46157</v>
      </c>
      <c r="Y1121" s="3">
        <f>X1121-A1121</f>
        <v/>
      </c>
      <c r="Z1121" s="18" t="n">
        <v>46157</v>
      </c>
      <c r="AA1121" s="15" t="n"/>
      <c r="AB1121" s="15" t="n"/>
    </row>
    <row r="1122" hidden="1" s="233">
      <c r="A1122" s="6" t="n">
        <v>46107</v>
      </c>
      <c r="B1122" s="3" t="n">
        <v>2026</v>
      </c>
      <c r="C1122" s="3" t="inlineStr">
        <is>
          <t>Blupine</t>
        </is>
      </c>
      <c r="D1122" s="3" t="inlineStr">
        <is>
          <t>Utility and C&amp;I</t>
        </is>
      </c>
      <c r="E1122" s="3" t="n"/>
      <c r="F1122" s="3" t="inlineStr">
        <is>
          <t>Closed</t>
        </is>
      </c>
      <c r="G1122" s="3" t="inlineStr">
        <is>
          <t>Chandrashekar Patidar</t>
        </is>
      </c>
      <c r="H1122" s="3" t="n">
        <v>7879764773</v>
      </c>
      <c r="I1122" s="11" t="inlineStr">
        <is>
          <t>PE26032601</t>
        </is>
      </c>
      <c r="J1122" s="3" t="inlineStr">
        <is>
          <t>Module Diode Failure</t>
        </is>
      </c>
      <c r="K1122" s="3" t="inlineStr">
        <is>
          <t>Sadla</t>
        </is>
      </c>
      <c r="L1122" s="3" t="inlineStr">
        <is>
          <t>Gujarat</t>
        </is>
      </c>
      <c r="M1122" s="9" t="inlineStr">
        <is>
          <t>NS</t>
        </is>
      </c>
      <c r="N1122" s="3" t="inlineStr">
        <is>
          <t>Cold Soldering</t>
        </is>
      </c>
      <c r="O1122" s="3" t="n">
        <v>570</v>
      </c>
      <c r="P1122" s="9" t="inlineStr">
        <is>
          <t>NSMI24060152214</t>
        </is>
      </c>
      <c r="Q1122" s="53">
        <f>MID(P1122,5,2)</f>
        <v/>
      </c>
      <c r="R1122" s="53">
        <f>MID(P1122,7,2)</f>
        <v/>
      </c>
      <c r="S1122" s="3" t="inlineStr">
        <is>
          <t>G2G</t>
        </is>
      </c>
      <c r="T1122" s="3" t="inlineStr">
        <is>
          <t>P4</t>
        </is>
      </c>
      <c r="U1122" s="3" t="inlineStr">
        <is>
          <t>N JB Cold Soldering</t>
        </is>
      </c>
      <c r="V1122" s="3" t="inlineStr">
        <is>
          <t>Soldering</t>
        </is>
      </c>
      <c r="W1122" s="3" t="inlineStr">
        <is>
          <t>Repair</t>
        </is>
      </c>
      <c r="X1122" s="18" t="n">
        <v>46157</v>
      </c>
      <c r="Y1122" s="3">
        <f>X1122-A1122</f>
        <v/>
      </c>
      <c r="Z1122" s="18" t="n">
        <v>46157</v>
      </c>
      <c r="AA1122" s="15" t="n"/>
      <c r="AB1122" s="15" t="n"/>
    </row>
    <row r="1123" hidden="1" s="233">
      <c r="A1123" s="6" t="n">
        <v>46107</v>
      </c>
      <c r="B1123" s="3" t="n">
        <v>2026</v>
      </c>
      <c r="C1123" s="3" t="inlineStr">
        <is>
          <t>Blupine</t>
        </is>
      </c>
      <c r="D1123" s="3" t="inlineStr">
        <is>
          <t>Utility and C&amp;I</t>
        </is>
      </c>
      <c r="E1123" s="3" t="n"/>
      <c r="F1123" s="3" t="inlineStr">
        <is>
          <t>Closed</t>
        </is>
      </c>
      <c r="G1123" s="3" t="inlineStr">
        <is>
          <t>Chandrashekar Patidar</t>
        </is>
      </c>
      <c r="H1123" s="3" t="n">
        <v>7879764773</v>
      </c>
      <c r="I1123" s="11" t="inlineStr">
        <is>
          <t>PE26032601</t>
        </is>
      </c>
      <c r="J1123" s="3" t="inlineStr">
        <is>
          <t>Module Diode Failure</t>
        </is>
      </c>
      <c r="K1123" s="3" t="inlineStr">
        <is>
          <t>Sadla</t>
        </is>
      </c>
      <c r="L1123" s="3" t="inlineStr">
        <is>
          <t>Gujarat</t>
        </is>
      </c>
      <c r="M1123" s="9" t="inlineStr">
        <is>
          <t>NS</t>
        </is>
      </c>
      <c r="N1123" s="3" t="inlineStr">
        <is>
          <t>Cold Soldering</t>
        </is>
      </c>
      <c r="O1123" s="3" t="n">
        <v>570</v>
      </c>
      <c r="P1123" s="9" t="inlineStr">
        <is>
          <t>NSMI24060142858</t>
        </is>
      </c>
      <c r="Q1123" s="53">
        <f>MID(P1123,5,2)</f>
        <v/>
      </c>
      <c r="R1123" s="53">
        <f>MID(P1123,7,2)</f>
        <v/>
      </c>
      <c r="S1123" s="3" t="inlineStr">
        <is>
          <t>G2G</t>
        </is>
      </c>
      <c r="T1123" s="3" t="inlineStr">
        <is>
          <t>P4</t>
        </is>
      </c>
      <c r="U1123" s="3" t="inlineStr">
        <is>
          <t>N JB Cold Soldering</t>
        </is>
      </c>
      <c r="V1123" s="3" t="inlineStr">
        <is>
          <t>Soldering</t>
        </is>
      </c>
      <c r="W1123" s="3" t="inlineStr">
        <is>
          <t>Repair</t>
        </is>
      </c>
      <c r="X1123" s="18" t="n">
        <v>46157</v>
      </c>
      <c r="Y1123" s="3">
        <f>X1123-A1123</f>
        <v/>
      </c>
      <c r="Z1123" s="18" t="n">
        <v>46157</v>
      </c>
      <c r="AA1123" s="15" t="n"/>
      <c r="AB1123" s="15" t="n"/>
    </row>
    <row r="1124" hidden="1" s="233">
      <c r="A1124" s="6" t="n">
        <v>46107</v>
      </c>
      <c r="B1124" s="3" t="n">
        <v>2026</v>
      </c>
      <c r="C1124" s="3" t="inlineStr">
        <is>
          <t>Blupine</t>
        </is>
      </c>
      <c r="D1124" s="3" t="inlineStr">
        <is>
          <t>Utility and C&amp;I</t>
        </is>
      </c>
      <c r="E1124" s="3" t="n"/>
      <c r="F1124" s="3" t="inlineStr">
        <is>
          <t>Closed</t>
        </is>
      </c>
      <c r="G1124" s="3" t="inlineStr">
        <is>
          <t>Chandrashekar Patidar</t>
        </is>
      </c>
      <c r="H1124" s="3" t="n">
        <v>7879764773</v>
      </c>
      <c r="I1124" s="11" t="inlineStr">
        <is>
          <t>PE26032601</t>
        </is>
      </c>
      <c r="J1124" s="3" t="inlineStr">
        <is>
          <t>Module Diode Failure</t>
        </is>
      </c>
      <c r="K1124" s="3" t="inlineStr">
        <is>
          <t>Sadla</t>
        </is>
      </c>
      <c r="L1124" s="3" t="inlineStr">
        <is>
          <t>Gujarat</t>
        </is>
      </c>
      <c r="M1124" s="9" t="inlineStr">
        <is>
          <t>NS</t>
        </is>
      </c>
      <c r="N1124" s="3" t="inlineStr">
        <is>
          <t>Cold Soldering</t>
        </is>
      </c>
      <c r="O1124" s="3" t="n">
        <v>570</v>
      </c>
      <c r="P1124" s="9" t="inlineStr">
        <is>
          <t>NSMI24060152136</t>
        </is>
      </c>
      <c r="Q1124" s="53">
        <f>MID(P1124,5,2)</f>
        <v/>
      </c>
      <c r="R1124" s="53">
        <f>MID(P1124,7,2)</f>
        <v/>
      </c>
      <c r="S1124" s="3" t="inlineStr">
        <is>
          <t>G2G</t>
        </is>
      </c>
      <c r="T1124" s="3" t="inlineStr">
        <is>
          <t>P4</t>
        </is>
      </c>
      <c r="U1124" s="3" t="inlineStr">
        <is>
          <t>N JB Cold Soldering</t>
        </is>
      </c>
      <c r="V1124" s="3" t="inlineStr">
        <is>
          <t>Soldering</t>
        </is>
      </c>
      <c r="W1124" s="3" t="inlineStr">
        <is>
          <t>Repair</t>
        </is>
      </c>
      <c r="X1124" s="18" t="n">
        <v>46157</v>
      </c>
      <c r="Y1124" s="3">
        <f>X1124-A1124</f>
        <v/>
      </c>
      <c r="Z1124" s="18" t="n">
        <v>46157</v>
      </c>
      <c r="AA1124" s="15" t="n"/>
      <c r="AB1124" s="15" t="n"/>
    </row>
    <row r="1125" hidden="1" s="233">
      <c r="A1125" s="6" t="n">
        <v>46107</v>
      </c>
      <c r="B1125" s="3" t="n">
        <v>2026</v>
      </c>
      <c r="C1125" s="3" t="inlineStr">
        <is>
          <t>Blupine</t>
        </is>
      </c>
      <c r="D1125" s="3" t="inlineStr">
        <is>
          <t>Utility and C&amp;I</t>
        </is>
      </c>
      <c r="E1125" s="3" t="n"/>
      <c r="F1125" s="3" t="inlineStr">
        <is>
          <t>Closed</t>
        </is>
      </c>
      <c r="G1125" s="3" t="inlineStr">
        <is>
          <t>Chandrashekar Patidar</t>
        </is>
      </c>
      <c r="H1125" s="3" t="n">
        <v>7879764773</v>
      </c>
      <c r="I1125" s="11" t="inlineStr">
        <is>
          <t>PE26032601</t>
        </is>
      </c>
      <c r="J1125" s="3" t="inlineStr">
        <is>
          <t>Module Diode Failure</t>
        </is>
      </c>
      <c r="K1125" s="3" t="inlineStr">
        <is>
          <t>Sadla</t>
        </is>
      </c>
      <c r="L1125" s="3" t="inlineStr">
        <is>
          <t>Gujarat</t>
        </is>
      </c>
      <c r="M1125" s="9" t="inlineStr">
        <is>
          <t>NS</t>
        </is>
      </c>
      <c r="N1125" s="3" t="inlineStr">
        <is>
          <t>Cold Soldering</t>
        </is>
      </c>
      <c r="O1125" s="3" t="n">
        <v>570</v>
      </c>
      <c r="P1125" s="9" t="inlineStr">
        <is>
          <t>NSMI24060152139</t>
        </is>
      </c>
      <c r="Q1125" s="53">
        <f>MID(P1125,5,2)</f>
        <v/>
      </c>
      <c r="R1125" s="53">
        <f>MID(P1125,7,2)</f>
        <v/>
      </c>
      <c r="S1125" s="3" t="inlineStr">
        <is>
          <t>G2G</t>
        </is>
      </c>
      <c r="T1125" s="3" t="inlineStr">
        <is>
          <t>P4</t>
        </is>
      </c>
      <c r="U1125" s="3" t="inlineStr">
        <is>
          <t>N JB Cold Soldering</t>
        </is>
      </c>
      <c r="V1125" s="3" t="inlineStr">
        <is>
          <t>Soldering</t>
        </is>
      </c>
      <c r="W1125" s="3" t="inlineStr">
        <is>
          <t>Repair</t>
        </is>
      </c>
      <c r="X1125" s="18" t="n">
        <v>46157</v>
      </c>
      <c r="Y1125" s="3">
        <f>X1125-A1125</f>
        <v/>
      </c>
      <c r="Z1125" s="18" t="n">
        <v>46157</v>
      </c>
      <c r="AA1125" s="15" t="n"/>
      <c r="AB1125" s="15" t="n"/>
    </row>
    <row r="1126" hidden="1" s="233">
      <c r="A1126" s="6" t="n">
        <v>46107</v>
      </c>
      <c r="B1126" s="3" t="n">
        <v>2026</v>
      </c>
      <c r="C1126" s="3" t="inlineStr">
        <is>
          <t>Blupine</t>
        </is>
      </c>
      <c r="D1126" s="3" t="inlineStr">
        <is>
          <t>Utility and C&amp;I</t>
        </is>
      </c>
      <c r="E1126" s="3" t="n"/>
      <c r="F1126" s="3" t="inlineStr">
        <is>
          <t>Closed</t>
        </is>
      </c>
      <c r="G1126" s="3" t="inlineStr">
        <is>
          <t>Chandrashekar Patidar</t>
        </is>
      </c>
      <c r="H1126" s="3" t="n">
        <v>7879764773</v>
      </c>
      <c r="I1126" s="11" t="inlineStr">
        <is>
          <t>PE26032601</t>
        </is>
      </c>
      <c r="J1126" s="3" t="inlineStr">
        <is>
          <t>Module Diode Failure</t>
        </is>
      </c>
      <c r="K1126" s="3" t="inlineStr">
        <is>
          <t>Sadla</t>
        </is>
      </c>
      <c r="L1126" s="3" t="inlineStr">
        <is>
          <t>Gujarat</t>
        </is>
      </c>
      <c r="M1126" s="9" t="inlineStr">
        <is>
          <t>NS</t>
        </is>
      </c>
      <c r="N1126" s="3" t="inlineStr">
        <is>
          <t>Cold Soldering</t>
        </is>
      </c>
      <c r="O1126" s="3" t="n">
        <v>570</v>
      </c>
      <c r="P1126" s="9" t="inlineStr">
        <is>
          <t>NSMI24060154745</t>
        </is>
      </c>
      <c r="Q1126" s="53">
        <f>MID(P1126,5,2)</f>
        <v/>
      </c>
      <c r="R1126" s="53">
        <f>MID(P1126,7,2)</f>
        <v/>
      </c>
      <c r="S1126" s="3" t="inlineStr">
        <is>
          <t>G2G</t>
        </is>
      </c>
      <c r="T1126" s="3" t="inlineStr">
        <is>
          <t>P4</t>
        </is>
      </c>
      <c r="U1126" s="3" t="inlineStr">
        <is>
          <t>N JB Cold Soldering</t>
        </is>
      </c>
      <c r="V1126" s="3" t="inlineStr">
        <is>
          <t>Soldering</t>
        </is>
      </c>
      <c r="W1126" s="3" t="inlineStr">
        <is>
          <t>Repair</t>
        </is>
      </c>
      <c r="X1126" s="18" t="n">
        <v>46157</v>
      </c>
      <c r="Y1126" s="3">
        <f>X1126-A1126</f>
        <v/>
      </c>
      <c r="Z1126" s="18" t="n">
        <v>46157</v>
      </c>
      <c r="AA1126" s="15" t="n"/>
      <c r="AB1126" s="15" t="n"/>
    </row>
    <row r="1127" hidden="1" s="233">
      <c r="A1127" s="6" t="n">
        <v>46107</v>
      </c>
      <c r="B1127" s="3" t="n">
        <v>2026</v>
      </c>
      <c r="C1127" s="3" t="inlineStr">
        <is>
          <t>Blupine</t>
        </is>
      </c>
      <c r="D1127" s="3" t="inlineStr">
        <is>
          <t>Utility and C&amp;I</t>
        </is>
      </c>
      <c r="E1127" s="3" t="n"/>
      <c r="F1127" s="3" t="inlineStr">
        <is>
          <t>Closed</t>
        </is>
      </c>
      <c r="G1127" s="3" t="inlineStr">
        <is>
          <t>Chandrashekar Patidar</t>
        </is>
      </c>
      <c r="H1127" s="3" t="n">
        <v>7879764773</v>
      </c>
      <c r="I1127" s="11" t="inlineStr">
        <is>
          <t>PE26032601</t>
        </is>
      </c>
      <c r="J1127" s="3" t="inlineStr">
        <is>
          <t>Module Diode Failure</t>
        </is>
      </c>
      <c r="K1127" s="3" t="inlineStr">
        <is>
          <t>Sadla</t>
        </is>
      </c>
      <c r="L1127" s="3" t="inlineStr">
        <is>
          <t>Gujarat</t>
        </is>
      </c>
      <c r="M1127" s="9" t="inlineStr">
        <is>
          <t>PS</t>
        </is>
      </c>
      <c r="N1127" s="3" t="inlineStr">
        <is>
          <t>Cold Soldering</t>
        </is>
      </c>
      <c r="O1127" s="3" t="n">
        <v>570</v>
      </c>
      <c r="P1127" s="9" t="inlineStr">
        <is>
          <t>NSMI24060156003</t>
        </is>
      </c>
      <c r="Q1127" s="53">
        <f>MID(P1127,5,2)</f>
        <v/>
      </c>
      <c r="R1127" s="53">
        <f>MID(P1127,7,2)</f>
        <v/>
      </c>
      <c r="S1127" s="3" t="inlineStr">
        <is>
          <t>G2G</t>
        </is>
      </c>
      <c r="T1127" s="3" t="inlineStr">
        <is>
          <t>P4</t>
        </is>
      </c>
      <c r="U1127" s="3" t="inlineStr">
        <is>
          <t>P JB Cold Soldering</t>
        </is>
      </c>
      <c r="V1127" s="3" t="inlineStr">
        <is>
          <t>Soldering</t>
        </is>
      </c>
      <c r="W1127" s="3" t="inlineStr">
        <is>
          <t>Repair</t>
        </is>
      </c>
      <c r="X1127" s="18" t="n">
        <v>46157</v>
      </c>
      <c r="Y1127" s="3">
        <f>X1127-A1127</f>
        <v/>
      </c>
      <c r="Z1127" s="18" t="n">
        <v>46157</v>
      </c>
      <c r="AA1127" s="15" t="n"/>
      <c r="AB1127" s="15" t="n"/>
    </row>
    <row r="1128" hidden="1" s="233">
      <c r="A1128" s="6" t="n">
        <v>46107</v>
      </c>
      <c r="B1128" s="3" t="n">
        <v>2026</v>
      </c>
      <c r="C1128" s="3" t="inlineStr">
        <is>
          <t>Blupine</t>
        </is>
      </c>
      <c r="D1128" s="3" t="inlineStr">
        <is>
          <t>Utility and C&amp;I</t>
        </is>
      </c>
      <c r="E1128" s="3" t="n"/>
      <c r="F1128" s="3" t="inlineStr">
        <is>
          <t>Closed</t>
        </is>
      </c>
      <c r="G1128" s="3" t="inlineStr">
        <is>
          <t>Chandrashekar Patidar</t>
        </is>
      </c>
      <c r="H1128" s="3" t="n">
        <v>7879764773</v>
      </c>
      <c r="I1128" s="11" t="inlineStr">
        <is>
          <t>PE26032601</t>
        </is>
      </c>
      <c r="J1128" s="3" t="inlineStr">
        <is>
          <t>Module Diode Failure</t>
        </is>
      </c>
      <c r="K1128" s="3" t="inlineStr">
        <is>
          <t>Sadla</t>
        </is>
      </c>
      <c r="L1128" s="3" t="inlineStr">
        <is>
          <t>Gujarat</t>
        </is>
      </c>
      <c r="M1128" s="9" t="inlineStr">
        <is>
          <t>NS</t>
        </is>
      </c>
      <c r="N1128" s="3" t="inlineStr">
        <is>
          <t>Cold Soldering</t>
        </is>
      </c>
      <c r="O1128" s="3" t="n">
        <v>570</v>
      </c>
      <c r="P1128" s="9" t="inlineStr">
        <is>
          <t>NSMI24060139346</t>
        </is>
      </c>
      <c r="Q1128" s="53">
        <f>MID(P1128,5,2)</f>
        <v/>
      </c>
      <c r="R1128" s="53">
        <f>MID(P1128,7,2)</f>
        <v/>
      </c>
      <c r="S1128" s="3" t="inlineStr">
        <is>
          <t>G2G</t>
        </is>
      </c>
      <c r="T1128" s="3" t="inlineStr">
        <is>
          <t>P4</t>
        </is>
      </c>
      <c r="U1128" s="3" t="inlineStr">
        <is>
          <t>N JB Cold Soldering</t>
        </is>
      </c>
      <c r="V1128" s="3" t="inlineStr">
        <is>
          <t>Soldering</t>
        </is>
      </c>
      <c r="W1128" s="3" t="inlineStr">
        <is>
          <t>Repair</t>
        </is>
      </c>
      <c r="X1128" s="18" t="n">
        <v>46157</v>
      </c>
      <c r="Y1128" s="3">
        <f>X1128-A1128</f>
        <v/>
      </c>
      <c r="Z1128" s="18" t="n">
        <v>46157</v>
      </c>
      <c r="AA1128" s="15" t="n"/>
      <c r="AB1128" s="15" t="n"/>
    </row>
    <row r="1129" hidden="1" s="233">
      <c r="A1129" s="6" t="n">
        <v>46107</v>
      </c>
      <c r="B1129" s="3" t="n">
        <v>2026</v>
      </c>
      <c r="C1129" s="3" t="inlineStr">
        <is>
          <t>Blupine</t>
        </is>
      </c>
      <c r="D1129" s="3" t="inlineStr">
        <is>
          <t>Utility and C&amp;I</t>
        </is>
      </c>
      <c r="E1129" s="3" t="n"/>
      <c r="F1129" s="3" t="inlineStr">
        <is>
          <t>Closed</t>
        </is>
      </c>
      <c r="G1129" s="3" t="inlineStr">
        <is>
          <t>Chandrashekar Patidar</t>
        </is>
      </c>
      <c r="H1129" s="3" t="n">
        <v>7879764773</v>
      </c>
      <c r="I1129" s="11" t="inlineStr">
        <is>
          <t>PE26032601</t>
        </is>
      </c>
      <c r="J1129" s="3" t="inlineStr">
        <is>
          <t>Module Diode Failure</t>
        </is>
      </c>
      <c r="K1129" s="3" t="inlineStr">
        <is>
          <t>Sadla</t>
        </is>
      </c>
      <c r="L1129" s="3" t="inlineStr">
        <is>
          <t>Gujarat</t>
        </is>
      </c>
      <c r="M1129" s="9" t="inlineStr">
        <is>
          <t>NS</t>
        </is>
      </c>
      <c r="N1129" s="3" t="inlineStr">
        <is>
          <t>Cold Soldering</t>
        </is>
      </c>
      <c r="O1129" s="3" t="n">
        <v>570</v>
      </c>
      <c r="P1129" s="9" t="inlineStr">
        <is>
          <t>NSMI24060151672</t>
        </is>
      </c>
      <c r="Q1129" s="53">
        <f>MID(P1129,5,2)</f>
        <v/>
      </c>
      <c r="R1129" s="53">
        <f>MID(P1129,7,2)</f>
        <v/>
      </c>
      <c r="S1129" s="3" t="inlineStr">
        <is>
          <t>G2G</t>
        </is>
      </c>
      <c r="T1129" s="3" t="inlineStr">
        <is>
          <t>P4</t>
        </is>
      </c>
      <c r="U1129" s="3" t="inlineStr">
        <is>
          <t>N JB Cold Soldering</t>
        </is>
      </c>
      <c r="V1129" s="3" t="inlineStr">
        <is>
          <t>Soldering</t>
        </is>
      </c>
      <c r="W1129" s="3" t="inlineStr">
        <is>
          <t>Repair</t>
        </is>
      </c>
      <c r="X1129" s="18" t="n">
        <v>46157</v>
      </c>
      <c r="Y1129" s="3">
        <f>X1129-A1129</f>
        <v/>
      </c>
      <c r="Z1129" s="18" t="n">
        <v>46157</v>
      </c>
      <c r="AA1129" s="15" t="n"/>
      <c r="AB1129" s="15" t="n"/>
    </row>
    <row r="1130" hidden="1" s="233">
      <c r="A1130" s="6" t="n">
        <v>46107</v>
      </c>
      <c r="B1130" s="3" t="n">
        <v>2026</v>
      </c>
      <c r="C1130" s="3" t="inlineStr">
        <is>
          <t>Blupine</t>
        </is>
      </c>
      <c r="D1130" s="3" t="inlineStr">
        <is>
          <t>Utility and C&amp;I</t>
        </is>
      </c>
      <c r="E1130" s="3" t="n"/>
      <c r="F1130" s="3" t="inlineStr">
        <is>
          <t>Closed</t>
        </is>
      </c>
      <c r="G1130" s="3" t="inlineStr">
        <is>
          <t>Chandrashekar Patidar</t>
        </is>
      </c>
      <c r="H1130" s="3" t="n">
        <v>7879764773</v>
      </c>
      <c r="I1130" s="11" t="inlineStr">
        <is>
          <t>PE26032601</t>
        </is>
      </c>
      <c r="J1130" s="3" t="inlineStr">
        <is>
          <t>Module Diode Failure</t>
        </is>
      </c>
      <c r="K1130" s="3" t="inlineStr">
        <is>
          <t>Sadla</t>
        </is>
      </c>
      <c r="L1130" s="3" t="inlineStr">
        <is>
          <t>Gujarat</t>
        </is>
      </c>
      <c r="M1130" s="9" t="inlineStr">
        <is>
          <t>NS</t>
        </is>
      </c>
      <c r="N1130" s="3" t="inlineStr">
        <is>
          <t>Cold Soldering</t>
        </is>
      </c>
      <c r="O1130" s="3" t="n">
        <v>570</v>
      </c>
      <c r="P1130" s="9" t="inlineStr">
        <is>
          <t>NSMI24060151685</t>
        </is>
      </c>
      <c r="Q1130" s="53">
        <f>MID(P1130,5,2)</f>
        <v/>
      </c>
      <c r="R1130" s="53">
        <f>MID(P1130,7,2)</f>
        <v/>
      </c>
      <c r="S1130" s="3" t="inlineStr">
        <is>
          <t>G2G</t>
        </is>
      </c>
      <c r="T1130" s="3" t="inlineStr">
        <is>
          <t>P4</t>
        </is>
      </c>
      <c r="U1130" s="3" t="inlineStr">
        <is>
          <t>N JB Cold Soldering</t>
        </is>
      </c>
      <c r="V1130" s="3" t="inlineStr">
        <is>
          <t>Soldering</t>
        </is>
      </c>
      <c r="W1130" s="3" t="inlineStr">
        <is>
          <t>Repair</t>
        </is>
      </c>
      <c r="X1130" s="18" t="n">
        <v>46157</v>
      </c>
      <c r="Y1130" s="3">
        <f>X1130-A1130</f>
        <v/>
      </c>
      <c r="Z1130" s="18" t="n">
        <v>46157</v>
      </c>
      <c r="AA1130" s="15" t="n"/>
      <c r="AB1130" s="15" t="n"/>
    </row>
    <row r="1131" hidden="1" s="233">
      <c r="A1131" s="6" t="n">
        <v>46107</v>
      </c>
      <c r="B1131" s="3" t="n">
        <v>2026</v>
      </c>
      <c r="C1131" s="3" t="inlineStr">
        <is>
          <t>Blupine</t>
        </is>
      </c>
      <c r="D1131" s="3" t="inlineStr">
        <is>
          <t>Utility and C&amp;I</t>
        </is>
      </c>
      <c r="E1131" s="3" t="n"/>
      <c r="F1131" s="3" t="inlineStr">
        <is>
          <t>Closed</t>
        </is>
      </c>
      <c r="G1131" s="3" t="inlineStr">
        <is>
          <t>Chandrashekar Patidar</t>
        </is>
      </c>
      <c r="H1131" s="3" t="n">
        <v>7879764773</v>
      </c>
      <c r="I1131" s="11" t="inlineStr">
        <is>
          <t>PE26032601</t>
        </is>
      </c>
      <c r="J1131" s="3" t="inlineStr">
        <is>
          <t>Module Diode Failure</t>
        </is>
      </c>
      <c r="K1131" s="3" t="inlineStr">
        <is>
          <t>Sadla</t>
        </is>
      </c>
      <c r="L1131" s="3" t="inlineStr">
        <is>
          <t>Gujarat</t>
        </is>
      </c>
      <c r="M1131" s="9" t="inlineStr">
        <is>
          <t>PS</t>
        </is>
      </c>
      <c r="N1131" s="3" t="inlineStr">
        <is>
          <t>Cold Soldering</t>
        </is>
      </c>
      <c r="O1131" s="3" t="n">
        <v>570</v>
      </c>
      <c r="P1131" s="9" t="inlineStr">
        <is>
          <t>NSMI24060144109</t>
        </is>
      </c>
      <c r="Q1131" s="53">
        <f>MID(P1131,5,2)</f>
        <v/>
      </c>
      <c r="R1131" s="53">
        <f>MID(P1131,7,2)</f>
        <v/>
      </c>
      <c r="S1131" s="3" t="inlineStr">
        <is>
          <t>G2G</t>
        </is>
      </c>
      <c r="T1131" s="3" t="inlineStr">
        <is>
          <t>P4</t>
        </is>
      </c>
      <c r="U1131" s="3" t="inlineStr">
        <is>
          <t>P JB Cold Soldering</t>
        </is>
      </c>
      <c r="V1131" s="3" t="inlineStr">
        <is>
          <t>Soldering</t>
        </is>
      </c>
      <c r="W1131" s="3" t="inlineStr">
        <is>
          <t>Repair</t>
        </is>
      </c>
      <c r="X1131" s="18" t="n">
        <v>46157</v>
      </c>
      <c r="Y1131" s="3">
        <f>X1131-A1131</f>
        <v/>
      </c>
      <c r="Z1131" s="18" t="n">
        <v>46157</v>
      </c>
      <c r="AA1131" s="15" t="n"/>
      <c r="AB1131" s="15" t="n"/>
    </row>
    <row r="1132">
      <c r="A1132" s="37" t="n">
        <v>46143</v>
      </c>
      <c r="B1132" s="3" t="n">
        <v>2026</v>
      </c>
      <c r="C1132" s="26" t="inlineStr">
        <is>
          <t>Yanara Power</t>
        </is>
      </c>
      <c r="D1132" s="3" t="inlineStr">
        <is>
          <t>Utility and C&amp;I</t>
        </is>
      </c>
      <c r="E1132" s="3" t="n"/>
      <c r="F1132" s="3" t="inlineStr">
        <is>
          <t>Closed</t>
        </is>
      </c>
      <c r="G1132" s="9" t="inlineStr">
        <is>
          <t xml:space="preserve">Ashish Jindal </t>
        </is>
      </c>
      <c r="H1132" s="26" t="n">
        <v>9983975581</v>
      </c>
      <c r="I1132" s="38" t="inlineStr">
        <is>
          <t>PE01052601</t>
        </is>
      </c>
      <c r="J1132" s="26" t="inlineStr">
        <is>
          <t>Multiple Issues</t>
        </is>
      </c>
      <c r="K1132" s="39" t="inlineStr">
        <is>
          <t>Holi</t>
        </is>
      </c>
      <c r="L1132" s="39" t="inlineStr">
        <is>
          <t>Maharashtra</t>
        </is>
      </c>
      <c r="M1132" s="9" t="inlineStr">
        <is>
          <t>PS</t>
        </is>
      </c>
      <c r="N1132" s="3" t="inlineStr">
        <is>
          <t>Cold Soldering</t>
        </is>
      </c>
      <c r="O1132" s="39" t="n">
        <v>575</v>
      </c>
      <c r="P1132" s="9" t="inlineStr">
        <is>
          <t>NSMI24070222496</t>
        </is>
      </c>
      <c r="Q1132" s="53">
        <f>MID(P1132,5,2)</f>
        <v/>
      </c>
      <c r="R1132" s="53">
        <f>MID(P1132,7,2)</f>
        <v/>
      </c>
      <c r="S1132" s="3" t="inlineStr">
        <is>
          <t>G2G</t>
        </is>
      </c>
      <c r="T1132" s="3" t="inlineStr">
        <is>
          <t>P4</t>
        </is>
      </c>
      <c r="U1132" s="19" t="inlineStr">
        <is>
          <t>P JB Cold Soldering</t>
        </is>
      </c>
      <c r="V1132" s="19" t="inlineStr">
        <is>
          <t>Soldering</t>
        </is>
      </c>
      <c r="W1132" s="3" t="inlineStr">
        <is>
          <t>Repair</t>
        </is>
      </c>
      <c r="X1132" s="18" t="n">
        <v>46157</v>
      </c>
      <c r="Y1132" s="3">
        <f>X1132-A1132</f>
        <v/>
      </c>
      <c r="Z1132" s="18" t="n">
        <v>46157</v>
      </c>
      <c r="AA1132" s="15" t="n"/>
      <c r="AB1132" s="15" t="n"/>
    </row>
    <row r="1133">
      <c r="A1133" s="37" t="n">
        <v>46143</v>
      </c>
      <c r="B1133" s="3" t="n">
        <v>2026</v>
      </c>
      <c r="C1133" s="26" t="inlineStr">
        <is>
          <t>Yanara Power</t>
        </is>
      </c>
      <c r="D1133" s="3" t="inlineStr">
        <is>
          <t>Utility and C&amp;I</t>
        </is>
      </c>
      <c r="E1133" s="3" t="n"/>
      <c r="F1133" s="3" t="inlineStr">
        <is>
          <t>Closed</t>
        </is>
      </c>
      <c r="G1133" s="9" t="inlineStr">
        <is>
          <t xml:space="preserve">Ashish Jindal </t>
        </is>
      </c>
      <c r="H1133" s="26" t="n">
        <v>9983975581</v>
      </c>
      <c r="I1133" s="38" t="inlineStr">
        <is>
          <t>PE01052601</t>
        </is>
      </c>
      <c r="J1133" s="26" t="inlineStr">
        <is>
          <t>Multiple Issues</t>
        </is>
      </c>
      <c r="K1133" s="39" t="inlineStr">
        <is>
          <t>Holi</t>
        </is>
      </c>
      <c r="L1133" s="39" t="inlineStr">
        <is>
          <t>Maharashtra</t>
        </is>
      </c>
      <c r="M1133" s="9" t="inlineStr">
        <is>
          <t>PS</t>
        </is>
      </c>
      <c r="N1133" s="3" t="inlineStr">
        <is>
          <t>Cold Soldering</t>
        </is>
      </c>
      <c r="O1133" s="39" t="n">
        <v>575</v>
      </c>
      <c r="P1133" s="9" t="inlineStr">
        <is>
          <t>NSMI24070218176</t>
        </is>
      </c>
      <c r="Q1133" s="53">
        <f>MID(P1133,5,2)</f>
        <v/>
      </c>
      <c r="R1133" s="53">
        <f>MID(P1133,7,2)</f>
        <v/>
      </c>
      <c r="S1133" s="3" t="inlineStr">
        <is>
          <t>G2G</t>
        </is>
      </c>
      <c r="T1133" s="3" t="inlineStr">
        <is>
          <t>P4</t>
        </is>
      </c>
      <c r="U1133" s="19" t="inlineStr">
        <is>
          <t>P JB Cold Soldering</t>
        </is>
      </c>
      <c r="V1133" s="19" t="inlineStr">
        <is>
          <t>Soldering</t>
        </is>
      </c>
      <c r="W1133" s="3" t="inlineStr">
        <is>
          <t>Repair</t>
        </is>
      </c>
      <c r="X1133" s="18" t="n">
        <v>46157</v>
      </c>
      <c r="Y1133" s="3">
        <f>X1133-A1133</f>
        <v/>
      </c>
      <c r="Z1133" s="18" t="n">
        <v>46157</v>
      </c>
      <c r="AA1133" s="15" t="n"/>
      <c r="AB1133" s="15" t="n"/>
    </row>
    <row r="1134">
      <c r="A1134" s="37" t="n">
        <v>46143</v>
      </c>
      <c r="B1134" s="3" t="n">
        <v>2026</v>
      </c>
      <c r="C1134" s="26" t="inlineStr">
        <is>
          <t>Yanara Power</t>
        </is>
      </c>
      <c r="D1134" s="3" t="inlineStr">
        <is>
          <t>Utility and C&amp;I</t>
        </is>
      </c>
      <c r="E1134" s="3" t="n"/>
      <c r="F1134" s="3" t="inlineStr">
        <is>
          <t>Closed</t>
        </is>
      </c>
      <c r="G1134" s="9" t="inlineStr">
        <is>
          <t xml:space="preserve">Ashish Jindal </t>
        </is>
      </c>
      <c r="H1134" s="26" t="n">
        <v>9983975581</v>
      </c>
      <c r="I1134" s="38" t="inlineStr">
        <is>
          <t>PE01052601</t>
        </is>
      </c>
      <c r="J1134" s="26" t="inlineStr">
        <is>
          <t>Multiple Issues</t>
        </is>
      </c>
      <c r="K1134" s="39" t="inlineStr">
        <is>
          <t>Holi</t>
        </is>
      </c>
      <c r="L1134" s="39" t="inlineStr">
        <is>
          <t>Maharashtra</t>
        </is>
      </c>
      <c r="M1134" s="9" t="inlineStr">
        <is>
          <t>NS</t>
        </is>
      </c>
      <c r="N1134" s="3" t="inlineStr">
        <is>
          <t>Cold Soldering</t>
        </is>
      </c>
      <c r="O1134" s="39" t="n">
        <v>575</v>
      </c>
      <c r="P1134" s="9" t="inlineStr">
        <is>
          <t>NSMI24070218136</t>
        </is>
      </c>
      <c r="Q1134" s="53">
        <f>MID(P1134,5,2)</f>
        <v/>
      </c>
      <c r="R1134" s="53">
        <f>MID(P1134,7,2)</f>
        <v/>
      </c>
      <c r="S1134" s="3" t="inlineStr">
        <is>
          <t>G2G</t>
        </is>
      </c>
      <c r="T1134" s="3" t="inlineStr">
        <is>
          <t>P4</t>
        </is>
      </c>
      <c r="U1134" s="3" t="inlineStr">
        <is>
          <t>N JB Cold Soldering</t>
        </is>
      </c>
      <c r="V1134" s="3" t="inlineStr">
        <is>
          <t>Soldering</t>
        </is>
      </c>
      <c r="W1134" s="3" t="inlineStr">
        <is>
          <t>Repair</t>
        </is>
      </c>
      <c r="X1134" s="18" t="n">
        <v>46157</v>
      </c>
      <c r="Y1134" s="3">
        <f>X1134-A1134</f>
        <v/>
      </c>
      <c r="Z1134" s="18" t="n">
        <v>46157</v>
      </c>
      <c r="AA1134" s="15" t="n"/>
      <c r="AB1134" s="15" t="n"/>
    </row>
    <row r="1135">
      <c r="A1135" s="37" t="n">
        <v>46143</v>
      </c>
      <c r="B1135" s="3" t="n">
        <v>2026</v>
      </c>
      <c r="C1135" s="26" t="inlineStr">
        <is>
          <t>Yanara Power</t>
        </is>
      </c>
      <c r="D1135" s="3" t="inlineStr">
        <is>
          <t>Utility and C&amp;I</t>
        </is>
      </c>
      <c r="E1135" s="3" t="n"/>
      <c r="F1135" s="3" t="inlineStr">
        <is>
          <t>Closed</t>
        </is>
      </c>
      <c r="G1135" s="9" t="inlineStr">
        <is>
          <t xml:space="preserve">Ashish Jindal </t>
        </is>
      </c>
      <c r="H1135" s="26" t="n">
        <v>9983975581</v>
      </c>
      <c r="I1135" s="38" t="inlineStr">
        <is>
          <t>PE01052601</t>
        </is>
      </c>
      <c r="J1135" s="26" t="inlineStr">
        <is>
          <t>Multiple Issues</t>
        </is>
      </c>
      <c r="K1135" s="39" t="inlineStr">
        <is>
          <t>Holi</t>
        </is>
      </c>
      <c r="L1135" s="39" t="inlineStr">
        <is>
          <t>Maharashtra</t>
        </is>
      </c>
      <c r="M1135" s="9" t="inlineStr">
        <is>
          <t>PS</t>
        </is>
      </c>
      <c r="N1135" s="3" t="inlineStr">
        <is>
          <t>Cold Soldering</t>
        </is>
      </c>
      <c r="O1135" s="39" t="n">
        <v>575</v>
      </c>
      <c r="P1135" s="9" t="inlineStr">
        <is>
          <t>NSMI24070200589</t>
        </is>
      </c>
      <c r="Q1135" s="53">
        <f>MID(P1135,5,2)</f>
        <v/>
      </c>
      <c r="R1135" s="53">
        <f>MID(P1135,7,2)</f>
        <v/>
      </c>
      <c r="S1135" s="3" t="inlineStr">
        <is>
          <t>G2G</t>
        </is>
      </c>
      <c r="T1135" s="3" t="inlineStr">
        <is>
          <t>P4</t>
        </is>
      </c>
      <c r="U1135" s="19" t="inlineStr">
        <is>
          <t>P JB Cold Soldering</t>
        </is>
      </c>
      <c r="V1135" s="19" t="inlineStr">
        <is>
          <t>Soldering</t>
        </is>
      </c>
      <c r="W1135" s="3" t="inlineStr">
        <is>
          <t>Repair</t>
        </is>
      </c>
      <c r="X1135" s="18" t="n">
        <v>46157</v>
      </c>
      <c r="Y1135" s="3">
        <f>X1135-A1135</f>
        <v/>
      </c>
      <c r="Z1135" s="18" t="n">
        <v>46157</v>
      </c>
      <c r="AA1135" s="15" t="n"/>
      <c r="AB1135" s="15" t="n"/>
    </row>
    <row r="1136">
      <c r="A1136" s="37" t="n">
        <v>46143</v>
      </c>
      <c r="B1136" s="3" t="n">
        <v>2026</v>
      </c>
      <c r="C1136" s="26" t="inlineStr">
        <is>
          <t>Yanara Power</t>
        </is>
      </c>
      <c r="D1136" s="3" t="inlineStr">
        <is>
          <t>Utility and C&amp;I</t>
        </is>
      </c>
      <c r="E1136" s="3" t="n"/>
      <c r="F1136" s="3" t="inlineStr">
        <is>
          <t>Closed</t>
        </is>
      </c>
      <c r="G1136" s="9" t="inlineStr">
        <is>
          <t xml:space="preserve">Ashish Jindal </t>
        </is>
      </c>
      <c r="H1136" s="26" t="n">
        <v>9983975581</v>
      </c>
      <c r="I1136" s="38" t="inlineStr">
        <is>
          <t>PE01052601</t>
        </is>
      </c>
      <c r="J1136" s="26" t="inlineStr">
        <is>
          <t>Multiple Issues</t>
        </is>
      </c>
      <c r="K1136" s="39" t="inlineStr">
        <is>
          <t>Holi</t>
        </is>
      </c>
      <c r="L1136" s="39" t="inlineStr">
        <is>
          <t>Maharashtra</t>
        </is>
      </c>
      <c r="M1136" s="9" t="inlineStr">
        <is>
          <t>PNS</t>
        </is>
      </c>
      <c r="N1136" s="3" t="inlineStr">
        <is>
          <t>Cold Soldering</t>
        </is>
      </c>
      <c r="O1136" s="39" t="n">
        <v>575</v>
      </c>
      <c r="P1136" s="9" t="inlineStr">
        <is>
          <t>NSMI24070195266</t>
        </is>
      </c>
      <c r="Q1136" s="53">
        <f>MID(P1136,5,2)</f>
        <v/>
      </c>
      <c r="R1136" s="53">
        <f>MID(P1136,7,2)</f>
        <v/>
      </c>
      <c r="S1136" s="3" t="inlineStr">
        <is>
          <t>G2G</t>
        </is>
      </c>
      <c r="T1136" s="3" t="inlineStr">
        <is>
          <t>P4</t>
        </is>
      </c>
      <c r="U1136" s="3" t="inlineStr">
        <is>
          <t>P &amp; N JB Cold Soldering</t>
        </is>
      </c>
      <c r="V1136" s="3" t="inlineStr">
        <is>
          <t>Soldering</t>
        </is>
      </c>
      <c r="W1136" s="3" t="inlineStr">
        <is>
          <t>Repair</t>
        </is>
      </c>
      <c r="X1136" s="18" t="n">
        <v>46157</v>
      </c>
      <c r="Y1136" s="3">
        <f>X1136-A1136</f>
        <v/>
      </c>
      <c r="Z1136" s="18" t="n">
        <v>46157</v>
      </c>
      <c r="AA1136" s="15" t="n"/>
      <c r="AB1136" s="15" t="n"/>
    </row>
    <row r="1137">
      <c r="A1137" s="37" t="n">
        <v>46143</v>
      </c>
      <c r="B1137" s="3" t="n">
        <v>2026</v>
      </c>
      <c r="C1137" s="26" t="inlineStr">
        <is>
          <t>Yanara Power</t>
        </is>
      </c>
      <c r="D1137" s="3" t="inlineStr">
        <is>
          <t>Utility and C&amp;I</t>
        </is>
      </c>
      <c r="E1137" s="3" t="n"/>
      <c r="F1137" s="3" t="inlineStr">
        <is>
          <t>Closed</t>
        </is>
      </c>
      <c r="G1137" s="9" t="inlineStr">
        <is>
          <t xml:space="preserve">Ashish Jindal </t>
        </is>
      </c>
      <c r="H1137" s="26" t="n">
        <v>9983975581</v>
      </c>
      <c r="I1137" s="38" t="inlineStr">
        <is>
          <t>PE01052601</t>
        </is>
      </c>
      <c r="J1137" s="26" t="inlineStr">
        <is>
          <t>Multiple Issues</t>
        </is>
      </c>
      <c r="K1137" s="39" t="inlineStr">
        <is>
          <t>Holi</t>
        </is>
      </c>
      <c r="L1137" s="39" t="inlineStr">
        <is>
          <t>Maharashtra</t>
        </is>
      </c>
      <c r="M1137" s="9" t="inlineStr">
        <is>
          <t>PNS</t>
        </is>
      </c>
      <c r="N1137" s="3" t="inlineStr">
        <is>
          <t>Cold Soldering</t>
        </is>
      </c>
      <c r="O1137" s="39" t="n">
        <v>575</v>
      </c>
      <c r="P1137" s="9" t="inlineStr">
        <is>
          <t>NSMI24070201948</t>
        </is>
      </c>
      <c r="Q1137" s="53">
        <f>MID(P1137,5,2)</f>
        <v/>
      </c>
      <c r="R1137" s="53">
        <f>MID(P1137,7,2)</f>
        <v/>
      </c>
      <c r="S1137" s="3" t="inlineStr">
        <is>
          <t>G2G</t>
        </is>
      </c>
      <c r="T1137" s="3" t="inlineStr">
        <is>
          <t>P4</t>
        </is>
      </c>
      <c r="U1137" s="3" t="inlineStr">
        <is>
          <t>P &amp; N JB Cold Soldering</t>
        </is>
      </c>
      <c r="V1137" s="3" t="inlineStr">
        <is>
          <t>Soldering</t>
        </is>
      </c>
      <c r="W1137" s="3" t="inlineStr">
        <is>
          <t>Repair</t>
        </is>
      </c>
      <c r="X1137" s="18" t="n">
        <v>46157</v>
      </c>
      <c r="Y1137" s="3">
        <f>X1137-A1137</f>
        <v/>
      </c>
      <c r="Z1137" s="18" t="n">
        <v>46157</v>
      </c>
      <c r="AA1137" s="15" t="n"/>
      <c r="AB1137" s="15" t="n"/>
    </row>
    <row r="1138">
      <c r="A1138" s="37" t="n">
        <v>46143</v>
      </c>
      <c r="B1138" s="3" t="n">
        <v>2026</v>
      </c>
      <c r="C1138" s="26" t="inlineStr">
        <is>
          <t>Yanara Power</t>
        </is>
      </c>
      <c r="D1138" s="3" t="inlineStr">
        <is>
          <t>Utility and C&amp;I</t>
        </is>
      </c>
      <c r="E1138" s="3" t="n"/>
      <c r="F1138" s="3" t="inlineStr">
        <is>
          <t>Closed</t>
        </is>
      </c>
      <c r="G1138" s="9" t="inlineStr">
        <is>
          <t xml:space="preserve">Ashish Jindal </t>
        </is>
      </c>
      <c r="H1138" s="26" t="n">
        <v>9983975581</v>
      </c>
      <c r="I1138" s="38" t="inlineStr">
        <is>
          <t>PE01052601</t>
        </is>
      </c>
      <c r="J1138" s="26" t="inlineStr">
        <is>
          <t>Multiple Issues</t>
        </is>
      </c>
      <c r="K1138" s="39" t="inlineStr">
        <is>
          <t>Holi</t>
        </is>
      </c>
      <c r="L1138" s="39" t="inlineStr">
        <is>
          <t>Maharashtra</t>
        </is>
      </c>
      <c r="M1138" s="9" t="inlineStr">
        <is>
          <t>PS</t>
        </is>
      </c>
      <c r="N1138" s="3" t="inlineStr">
        <is>
          <t>Cold Soldering</t>
        </is>
      </c>
      <c r="O1138" s="39" t="n">
        <v>575</v>
      </c>
      <c r="P1138" s="9" t="inlineStr">
        <is>
          <t>NSMI24070201492</t>
        </is>
      </c>
      <c r="Q1138" s="53">
        <f>MID(P1138,5,2)</f>
        <v/>
      </c>
      <c r="R1138" s="53">
        <f>MID(P1138,7,2)</f>
        <v/>
      </c>
      <c r="S1138" s="3" t="inlineStr">
        <is>
          <t>G2G</t>
        </is>
      </c>
      <c r="T1138" s="3" t="inlineStr">
        <is>
          <t>P4</t>
        </is>
      </c>
      <c r="U1138" s="19" t="inlineStr">
        <is>
          <t>P JB Cold Soldering</t>
        </is>
      </c>
      <c r="V1138" s="19" t="inlineStr">
        <is>
          <t>Soldering</t>
        </is>
      </c>
      <c r="W1138" s="3" t="inlineStr">
        <is>
          <t>Repair</t>
        </is>
      </c>
      <c r="X1138" s="18" t="n">
        <v>46157</v>
      </c>
      <c r="Y1138" s="3">
        <f>X1138-A1138</f>
        <v/>
      </c>
      <c r="Z1138" s="18" t="n">
        <v>46157</v>
      </c>
      <c r="AA1138" s="15" t="n"/>
      <c r="AB1138" s="15" t="n"/>
    </row>
    <row r="1139">
      <c r="A1139" s="37" t="n">
        <v>46143</v>
      </c>
      <c r="B1139" s="3" t="n">
        <v>2026</v>
      </c>
      <c r="C1139" s="26" t="inlineStr">
        <is>
          <t>Yanara Power</t>
        </is>
      </c>
      <c r="D1139" s="3" t="inlineStr">
        <is>
          <t>Utility and C&amp;I</t>
        </is>
      </c>
      <c r="E1139" s="3" t="n"/>
      <c r="F1139" s="3" t="inlineStr">
        <is>
          <t>Closed</t>
        </is>
      </c>
      <c r="G1139" s="9" t="inlineStr">
        <is>
          <t xml:space="preserve">Ashish Jindal </t>
        </is>
      </c>
      <c r="H1139" s="26" t="n">
        <v>9983975581</v>
      </c>
      <c r="I1139" s="38" t="inlineStr">
        <is>
          <t>PE01052601</t>
        </is>
      </c>
      <c r="J1139" s="26" t="inlineStr">
        <is>
          <t>Multiple Issues</t>
        </is>
      </c>
      <c r="K1139" s="39" t="inlineStr">
        <is>
          <t>Holi</t>
        </is>
      </c>
      <c r="L1139" s="39" t="inlineStr">
        <is>
          <t>Maharashtra</t>
        </is>
      </c>
      <c r="M1139" s="9" t="inlineStr">
        <is>
          <t>PS</t>
        </is>
      </c>
      <c r="N1139" s="3" t="inlineStr">
        <is>
          <t>Cold Soldering</t>
        </is>
      </c>
      <c r="O1139" s="39" t="n">
        <v>575</v>
      </c>
      <c r="P1139" s="9" t="inlineStr">
        <is>
          <t>NSMI24070190842</t>
        </is>
      </c>
      <c r="Q1139" s="53">
        <f>MID(P1139,5,2)</f>
        <v/>
      </c>
      <c r="R1139" s="53">
        <f>MID(P1139,7,2)</f>
        <v/>
      </c>
      <c r="S1139" s="3" t="inlineStr">
        <is>
          <t>G2G</t>
        </is>
      </c>
      <c r="T1139" s="3" t="inlineStr">
        <is>
          <t>P4</t>
        </is>
      </c>
      <c r="U1139" s="19" t="inlineStr">
        <is>
          <t>P JB Cold Soldering</t>
        </is>
      </c>
      <c r="V1139" s="19" t="inlineStr">
        <is>
          <t>Soldering</t>
        </is>
      </c>
      <c r="W1139" s="3" t="inlineStr">
        <is>
          <t>Repair</t>
        </is>
      </c>
      <c r="X1139" s="18" t="n">
        <v>46157</v>
      </c>
      <c r="Y1139" s="3">
        <f>X1139-A1139</f>
        <v/>
      </c>
      <c r="Z1139" s="18" t="n">
        <v>46157</v>
      </c>
      <c r="AA1139" s="15" t="n"/>
      <c r="AB1139" s="15" t="n"/>
    </row>
    <row r="1140">
      <c r="A1140" s="37" t="n">
        <v>46143</v>
      </c>
      <c r="B1140" s="3" t="n">
        <v>2026</v>
      </c>
      <c r="C1140" s="26" t="inlineStr">
        <is>
          <t>Yanara Power</t>
        </is>
      </c>
      <c r="D1140" s="3" t="inlineStr">
        <is>
          <t>Utility and C&amp;I</t>
        </is>
      </c>
      <c r="E1140" s="3" t="n"/>
      <c r="F1140" s="3" t="inlineStr">
        <is>
          <t>Closed</t>
        </is>
      </c>
      <c r="G1140" s="9" t="inlineStr">
        <is>
          <t xml:space="preserve">Ashish Jindal </t>
        </is>
      </c>
      <c r="H1140" s="26" t="n">
        <v>9983975581</v>
      </c>
      <c r="I1140" s="38" t="inlineStr">
        <is>
          <t>PE01052601</t>
        </is>
      </c>
      <c r="J1140" s="26" t="inlineStr">
        <is>
          <t>Multiple Issues</t>
        </is>
      </c>
      <c r="K1140" s="39" t="inlineStr">
        <is>
          <t>Holi</t>
        </is>
      </c>
      <c r="L1140" s="39" t="inlineStr">
        <is>
          <t>Maharashtra</t>
        </is>
      </c>
      <c r="M1140" s="9" t="inlineStr">
        <is>
          <t>PS</t>
        </is>
      </c>
      <c r="N1140" s="3" t="inlineStr">
        <is>
          <t>Cold Soldering</t>
        </is>
      </c>
      <c r="O1140" s="39" t="n">
        <v>575</v>
      </c>
      <c r="P1140" s="9" t="inlineStr">
        <is>
          <t>NSMI24070200617</t>
        </is>
      </c>
      <c r="Q1140" s="53">
        <f>MID(P1140,5,2)</f>
        <v/>
      </c>
      <c r="R1140" s="53">
        <f>MID(P1140,7,2)</f>
        <v/>
      </c>
      <c r="S1140" s="3" t="inlineStr">
        <is>
          <t>G2G</t>
        </is>
      </c>
      <c r="T1140" s="3" t="inlineStr">
        <is>
          <t>P4</t>
        </is>
      </c>
      <c r="U1140" s="19" t="inlineStr">
        <is>
          <t>P JB Cold Soldering</t>
        </is>
      </c>
      <c r="V1140" s="19" t="inlineStr">
        <is>
          <t>Soldering</t>
        </is>
      </c>
      <c r="W1140" s="3" t="inlineStr">
        <is>
          <t>Repair</t>
        </is>
      </c>
      <c r="X1140" s="18" t="n">
        <v>46157</v>
      </c>
      <c r="Y1140" s="3">
        <f>X1140-A1140</f>
        <v/>
      </c>
      <c r="Z1140" s="18" t="n">
        <v>46157</v>
      </c>
      <c r="AA1140" s="15" t="n"/>
      <c r="AB1140" s="15" t="n"/>
    </row>
    <row r="1141">
      <c r="A1141" s="37" t="n">
        <v>46143</v>
      </c>
      <c r="B1141" s="3" t="n">
        <v>2026</v>
      </c>
      <c r="C1141" s="26" t="inlineStr">
        <is>
          <t>Yanara Power</t>
        </is>
      </c>
      <c r="D1141" s="3" t="inlineStr">
        <is>
          <t>Utility and C&amp;I</t>
        </is>
      </c>
      <c r="E1141" s="3" t="n"/>
      <c r="F1141" s="3" t="inlineStr">
        <is>
          <t>Closed</t>
        </is>
      </c>
      <c r="G1141" s="9" t="inlineStr">
        <is>
          <t xml:space="preserve">Ashish Jindal </t>
        </is>
      </c>
      <c r="H1141" s="26" t="n">
        <v>9983975581</v>
      </c>
      <c r="I1141" s="38" t="inlineStr">
        <is>
          <t>PE01052601</t>
        </is>
      </c>
      <c r="J1141" s="26" t="inlineStr">
        <is>
          <t>Multiple Issues</t>
        </is>
      </c>
      <c r="K1141" s="39" t="inlineStr">
        <is>
          <t>Holi</t>
        </is>
      </c>
      <c r="L1141" s="39" t="inlineStr">
        <is>
          <t>Maharashtra</t>
        </is>
      </c>
      <c r="M1141" s="9" t="inlineStr">
        <is>
          <t>NS</t>
        </is>
      </c>
      <c r="N1141" s="3" t="inlineStr">
        <is>
          <t>Cold Soldering</t>
        </is>
      </c>
      <c r="O1141" s="39" t="n">
        <v>575</v>
      </c>
      <c r="P1141" s="9" t="inlineStr">
        <is>
          <t>NSMI24070191064</t>
        </is>
      </c>
      <c r="Q1141" s="53">
        <f>MID(P1141,5,2)</f>
        <v/>
      </c>
      <c r="R1141" s="53">
        <f>MID(P1141,7,2)</f>
        <v/>
      </c>
      <c r="S1141" s="3" t="inlineStr">
        <is>
          <t>G2G</t>
        </is>
      </c>
      <c r="T1141" s="3" t="inlineStr">
        <is>
          <t>P4</t>
        </is>
      </c>
      <c r="U1141" s="3" t="inlineStr">
        <is>
          <t>N JB Cold Soldering</t>
        </is>
      </c>
      <c r="V1141" s="3" t="inlineStr">
        <is>
          <t>Soldering</t>
        </is>
      </c>
      <c r="W1141" s="3" t="inlineStr">
        <is>
          <t>Repair</t>
        </is>
      </c>
      <c r="X1141" s="18" t="n">
        <v>46157</v>
      </c>
      <c r="Y1141" s="3">
        <f>X1141-A1141</f>
        <v/>
      </c>
      <c r="Z1141" s="18" t="n">
        <v>46157</v>
      </c>
      <c r="AA1141" s="15" t="n"/>
      <c r="AB1141" s="15" t="n"/>
    </row>
    <row r="1142">
      <c r="A1142" s="37" t="n">
        <v>46143</v>
      </c>
      <c r="B1142" s="3" t="n">
        <v>2026</v>
      </c>
      <c r="C1142" s="26" t="inlineStr">
        <is>
          <t>Yanara Power</t>
        </is>
      </c>
      <c r="D1142" s="3" t="inlineStr">
        <is>
          <t>Utility and C&amp;I</t>
        </is>
      </c>
      <c r="E1142" s="3" t="n"/>
      <c r="F1142" s="3" t="inlineStr">
        <is>
          <t>Closed</t>
        </is>
      </c>
      <c r="G1142" s="9" t="inlineStr">
        <is>
          <t xml:space="preserve">Ashish Jindal </t>
        </is>
      </c>
      <c r="H1142" s="26" t="n">
        <v>9983975581</v>
      </c>
      <c r="I1142" s="38" t="inlineStr">
        <is>
          <t>PE01052601</t>
        </is>
      </c>
      <c r="J1142" s="26" t="inlineStr">
        <is>
          <t>Multiple Issues</t>
        </is>
      </c>
      <c r="K1142" s="39" t="inlineStr">
        <is>
          <t>Holi</t>
        </is>
      </c>
      <c r="L1142" s="39" t="inlineStr">
        <is>
          <t>Maharashtra</t>
        </is>
      </c>
      <c r="M1142" s="9" t="inlineStr">
        <is>
          <t>PS</t>
        </is>
      </c>
      <c r="N1142" s="3" t="inlineStr">
        <is>
          <t>Cold Soldering</t>
        </is>
      </c>
      <c r="O1142" s="39" t="n">
        <v>575</v>
      </c>
      <c r="P1142" s="9" t="inlineStr">
        <is>
          <t>NSMI24070190970</t>
        </is>
      </c>
      <c r="Q1142" s="53">
        <f>MID(P1142,5,2)</f>
        <v/>
      </c>
      <c r="R1142" s="53">
        <f>MID(P1142,7,2)</f>
        <v/>
      </c>
      <c r="S1142" s="3" t="inlineStr">
        <is>
          <t>G2G</t>
        </is>
      </c>
      <c r="T1142" s="3" t="inlineStr">
        <is>
          <t>P4</t>
        </is>
      </c>
      <c r="U1142" s="19" t="inlineStr">
        <is>
          <t>P JB Cold Soldering</t>
        </is>
      </c>
      <c r="V1142" s="19" t="inlineStr">
        <is>
          <t>Soldering</t>
        </is>
      </c>
      <c r="W1142" s="3" t="inlineStr">
        <is>
          <t>Repair</t>
        </is>
      </c>
      <c r="X1142" s="18" t="n">
        <v>46157</v>
      </c>
      <c r="Y1142" s="3">
        <f>X1142-A1142</f>
        <v/>
      </c>
      <c r="Z1142" s="18" t="n">
        <v>46157</v>
      </c>
      <c r="AA1142" s="15" t="n"/>
      <c r="AB1142" s="15" t="n"/>
    </row>
    <row r="1143">
      <c r="A1143" s="37" t="n">
        <v>46143</v>
      </c>
      <c r="B1143" s="3" t="n">
        <v>2026</v>
      </c>
      <c r="C1143" s="26" t="inlineStr">
        <is>
          <t>Yanara Power</t>
        </is>
      </c>
      <c r="D1143" s="3" t="inlineStr">
        <is>
          <t>Utility and C&amp;I</t>
        </is>
      </c>
      <c r="E1143" s="3" t="n"/>
      <c r="F1143" s="3" t="inlineStr">
        <is>
          <t>Closed</t>
        </is>
      </c>
      <c r="G1143" s="9" t="inlineStr">
        <is>
          <t xml:space="preserve">Ashish Jindal </t>
        </is>
      </c>
      <c r="H1143" s="26" t="n">
        <v>9983975581</v>
      </c>
      <c r="I1143" s="38" t="inlineStr">
        <is>
          <t>PE01052601</t>
        </is>
      </c>
      <c r="J1143" s="26" t="inlineStr">
        <is>
          <t>Multiple Issues</t>
        </is>
      </c>
      <c r="K1143" s="39" t="inlineStr">
        <is>
          <t>Holi</t>
        </is>
      </c>
      <c r="L1143" s="39" t="inlineStr">
        <is>
          <t>Maharashtra</t>
        </is>
      </c>
      <c r="M1143" s="9" t="inlineStr">
        <is>
          <t>PS</t>
        </is>
      </c>
      <c r="N1143" s="3" t="inlineStr">
        <is>
          <t>Cold Soldering</t>
        </is>
      </c>
      <c r="O1143" s="39" t="n">
        <v>575</v>
      </c>
      <c r="P1143" s="9" t="inlineStr">
        <is>
          <t>NSMI24070190874</t>
        </is>
      </c>
      <c r="Q1143" s="53">
        <f>MID(P1143,5,2)</f>
        <v/>
      </c>
      <c r="R1143" s="53">
        <f>MID(P1143,7,2)</f>
        <v/>
      </c>
      <c r="S1143" s="3" t="inlineStr">
        <is>
          <t>G2G</t>
        </is>
      </c>
      <c r="T1143" s="3" t="inlineStr">
        <is>
          <t>P4</t>
        </is>
      </c>
      <c r="U1143" s="19" t="inlineStr">
        <is>
          <t>P JB Cold Soldering</t>
        </is>
      </c>
      <c r="V1143" s="19" t="inlineStr">
        <is>
          <t>Soldering</t>
        </is>
      </c>
      <c r="W1143" s="3" t="inlineStr">
        <is>
          <t>Repair</t>
        </is>
      </c>
      <c r="X1143" s="18" t="n">
        <v>46157</v>
      </c>
      <c r="Y1143" s="3">
        <f>X1143-A1143</f>
        <v/>
      </c>
      <c r="Z1143" s="18" t="n">
        <v>46157</v>
      </c>
      <c r="AA1143" s="15" t="n"/>
      <c r="AB1143" s="15" t="n"/>
    </row>
    <row r="1144">
      <c r="A1144" s="37" t="n">
        <v>46143</v>
      </c>
      <c r="B1144" s="3" t="n">
        <v>2026</v>
      </c>
      <c r="C1144" s="26" t="inlineStr">
        <is>
          <t>Yanara Power</t>
        </is>
      </c>
      <c r="D1144" s="3" t="inlineStr">
        <is>
          <t>Utility and C&amp;I</t>
        </is>
      </c>
      <c r="E1144" s="3" t="n"/>
      <c r="F1144" s="3" t="inlineStr">
        <is>
          <t>Closed</t>
        </is>
      </c>
      <c r="G1144" s="9" t="inlineStr">
        <is>
          <t xml:space="preserve">Ashish Jindal </t>
        </is>
      </c>
      <c r="H1144" s="26" t="n">
        <v>9983975581</v>
      </c>
      <c r="I1144" s="38" t="inlineStr">
        <is>
          <t>PE01052601</t>
        </is>
      </c>
      <c r="J1144" s="26" t="inlineStr">
        <is>
          <t>Multiple Issues</t>
        </is>
      </c>
      <c r="K1144" s="39" t="inlineStr">
        <is>
          <t>Holi</t>
        </is>
      </c>
      <c r="L1144" s="39" t="inlineStr">
        <is>
          <t>Maharashtra</t>
        </is>
      </c>
      <c r="M1144" s="9" t="inlineStr">
        <is>
          <t>PS</t>
        </is>
      </c>
      <c r="N1144" s="3" t="inlineStr">
        <is>
          <t>Cold Soldering</t>
        </is>
      </c>
      <c r="O1144" s="39" t="n">
        <v>575</v>
      </c>
      <c r="P1144" s="9" t="inlineStr">
        <is>
          <t>NSMI24070198800</t>
        </is>
      </c>
      <c r="Q1144" s="53">
        <f>MID(P1144,5,2)</f>
        <v/>
      </c>
      <c r="R1144" s="53">
        <f>MID(P1144,7,2)</f>
        <v/>
      </c>
      <c r="S1144" s="3" t="inlineStr">
        <is>
          <t>G2G</t>
        </is>
      </c>
      <c r="T1144" s="3" t="inlineStr">
        <is>
          <t>P4</t>
        </is>
      </c>
      <c r="U1144" s="19" t="inlineStr">
        <is>
          <t>P JB Cold Soldering</t>
        </is>
      </c>
      <c r="V1144" s="19" t="inlineStr">
        <is>
          <t>Soldering</t>
        </is>
      </c>
      <c r="W1144" s="3" t="inlineStr">
        <is>
          <t>Repair</t>
        </is>
      </c>
      <c r="X1144" s="18" t="n">
        <v>46157</v>
      </c>
      <c r="Y1144" s="3">
        <f>X1144-A1144</f>
        <v/>
      </c>
      <c r="Z1144" s="18" t="n">
        <v>46157</v>
      </c>
      <c r="AA1144" s="15" t="n"/>
      <c r="AB1144" s="15" t="n"/>
    </row>
    <row r="1145">
      <c r="A1145" s="37" t="n">
        <v>46143</v>
      </c>
      <c r="B1145" s="3" t="n">
        <v>2026</v>
      </c>
      <c r="C1145" s="26" t="inlineStr">
        <is>
          <t>Yanara Power</t>
        </is>
      </c>
      <c r="D1145" s="3" t="inlineStr">
        <is>
          <t>Utility and C&amp;I</t>
        </is>
      </c>
      <c r="E1145" s="3" t="n"/>
      <c r="F1145" s="3" t="inlineStr">
        <is>
          <t>Closed</t>
        </is>
      </c>
      <c r="G1145" s="9" t="inlineStr">
        <is>
          <t xml:space="preserve">Ashish Jindal </t>
        </is>
      </c>
      <c r="H1145" s="26" t="n">
        <v>9983975581</v>
      </c>
      <c r="I1145" s="38" t="inlineStr">
        <is>
          <t>PE01052601</t>
        </is>
      </c>
      <c r="J1145" s="26" t="inlineStr">
        <is>
          <t>Multiple Issues</t>
        </is>
      </c>
      <c r="K1145" s="39" t="inlineStr">
        <is>
          <t>Holi</t>
        </is>
      </c>
      <c r="L1145" s="39" t="inlineStr">
        <is>
          <t>Maharashtra</t>
        </is>
      </c>
      <c r="M1145" s="9" t="inlineStr">
        <is>
          <t>PS</t>
        </is>
      </c>
      <c r="N1145" s="3" t="inlineStr">
        <is>
          <t>Cold Soldering</t>
        </is>
      </c>
      <c r="O1145" s="39" t="n">
        <v>575</v>
      </c>
      <c r="P1145" s="9" t="inlineStr">
        <is>
          <t>NSMI24070190999</t>
        </is>
      </c>
      <c r="Q1145" s="53">
        <f>MID(P1145,5,2)</f>
        <v/>
      </c>
      <c r="R1145" s="53">
        <f>MID(P1145,7,2)</f>
        <v/>
      </c>
      <c r="S1145" s="3" t="inlineStr">
        <is>
          <t>G2G</t>
        </is>
      </c>
      <c r="T1145" s="3" t="inlineStr">
        <is>
          <t>P4</t>
        </is>
      </c>
      <c r="U1145" s="19" t="inlineStr">
        <is>
          <t>P JB Cold Soldering</t>
        </is>
      </c>
      <c r="V1145" s="19" t="inlineStr">
        <is>
          <t>Soldering</t>
        </is>
      </c>
      <c r="W1145" s="3" t="inlineStr">
        <is>
          <t>Repair</t>
        </is>
      </c>
      <c r="X1145" s="18" t="n">
        <v>46157</v>
      </c>
      <c r="Y1145" s="3">
        <f>X1145-A1145</f>
        <v/>
      </c>
      <c r="Z1145" s="18" t="n">
        <v>46157</v>
      </c>
      <c r="AA1145" s="15" t="n"/>
      <c r="AB1145" s="15" t="n"/>
    </row>
    <row r="1146">
      <c r="A1146" s="37" t="n">
        <v>46143</v>
      </c>
      <c r="B1146" s="3" t="n">
        <v>2026</v>
      </c>
      <c r="C1146" s="26" t="inlineStr">
        <is>
          <t>Yanara Power</t>
        </is>
      </c>
      <c r="D1146" s="3" t="inlineStr">
        <is>
          <t>Utility and C&amp;I</t>
        </is>
      </c>
      <c r="E1146" s="3" t="n"/>
      <c r="F1146" s="3" t="inlineStr">
        <is>
          <t>Closed</t>
        </is>
      </c>
      <c r="G1146" s="9" t="inlineStr">
        <is>
          <t xml:space="preserve">Ashish Jindal </t>
        </is>
      </c>
      <c r="H1146" s="26" t="n">
        <v>9983975581</v>
      </c>
      <c r="I1146" s="38" t="inlineStr">
        <is>
          <t>PE01052601</t>
        </is>
      </c>
      <c r="J1146" s="26" t="inlineStr">
        <is>
          <t>Multiple Issues</t>
        </is>
      </c>
      <c r="K1146" s="39" t="inlineStr">
        <is>
          <t>Holi</t>
        </is>
      </c>
      <c r="L1146" s="39" t="inlineStr">
        <is>
          <t>Maharashtra</t>
        </is>
      </c>
      <c r="M1146" s="9" t="inlineStr">
        <is>
          <t>NS</t>
        </is>
      </c>
      <c r="N1146" s="3" t="inlineStr">
        <is>
          <t>Cold Soldering</t>
        </is>
      </c>
      <c r="O1146" s="39" t="n">
        <v>575</v>
      </c>
      <c r="P1146" s="9" t="inlineStr">
        <is>
          <t>NSMI24070190788</t>
        </is>
      </c>
      <c r="Q1146" s="53">
        <f>MID(P1146,5,2)</f>
        <v/>
      </c>
      <c r="R1146" s="53">
        <f>MID(P1146,7,2)</f>
        <v/>
      </c>
      <c r="S1146" s="3" t="inlineStr">
        <is>
          <t>G2G</t>
        </is>
      </c>
      <c r="T1146" s="3" t="inlineStr">
        <is>
          <t>P4</t>
        </is>
      </c>
      <c r="U1146" s="3" t="inlineStr">
        <is>
          <t>N JB Cold Soldering</t>
        </is>
      </c>
      <c r="V1146" s="3" t="inlineStr">
        <is>
          <t>Soldering</t>
        </is>
      </c>
      <c r="W1146" s="3" t="inlineStr">
        <is>
          <t>Repair</t>
        </is>
      </c>
      <c r="X1146" s="18" t="n">
        <v>46157</v>
      </c>
      <c r="Y1146" s="3">
        <f>X1146-A1146</f>
        <v/>
      </c>
      <c r="Z1146" s="18" t="n">
        <v>46157</v>
      </c>
      <c r="AA1146" s="15" t="n"/>
      <c r="AB1146" s="15" t="n"/>
    </row>
    <row r="1147">
      <c r="A1147" s="37" t="n">
        <v>46143</v>
      </c>
      <c r="B1147" s="3" t="n">
        <v>2026</v>
      </c>
      <c r="C1147" s="26" t="inlineStr">
        <is>
          <t>Yanara Power</t>
        </is>
      </c>
      <c r="D1147" s="3" t="inlineStr">
        <is>
          <t>Utility and C&amp;I</t>
        </is>
      </c>
      <c r="E1147" s="3" t="n"/>
      <c r="F1147" s="3" t="inlineStr">
        <is>
          <t>Closed</t>
        </is>
      </c>
      <c r="G1147" s="9" t="inlineStr">
        <is>
          <t xml:space="preserve">Ashish Jindal </t>
        </is>
      </c>
      <c r="H1147" s="26" t="n">
        <v>9983975581</v>
      </c>
      <c r="I1147" s="38" t="inlineStr">
        <is>
          <t>PE01052601</t>
        </is>
      </c>
      <c r="J1147" s="26" t="inlineStr">
        <is>
          <t>Multiple Issues</t>
        </is>
      </c>
      <c r="K1147" s="39" t="inlineStr">
        <is>
          <t>Holi</t>
        </is>
      </c>
      <c r="L1147" s="39" t="inlineStr">
        <is>
          <t>Maharashtra</t>
        </is>
      </c>
      <c r="M1147" s="9" t="inlineStr">
        <is>
          <t>PS</t>
        </is>
      </c>
      <c r="N1147" s="3" t="inlineStr">
        <is>
          <t>Cold Soldering</t>
        </is>
      </c>
      <c r="O1147" s="39" t="n">
        <v>575</v>
      </c>
      <c r="P1147" s="9" t="inlineStr">
        <is>
          <t>NSMI24070191081</t>
        </is>
      </c>
      <c r="Q1147" s="53">
        <f>MID(P1147,5,2)</f>
        <v/>
      </c>
      <c r="R1147" s="53">
        <f>MID(P1147,7,2)</f>
        <v/>
      </c>
      <c r="S1147" s="3" t="inlineStr">
        <is>
          <t>G2G</t>
        </is>
      </c>
      <c r="T1147" s="3" t="inlineStr">
        <is>
          <t>P4</t>
        </is>
      </c>
      <c r="U1147" s="19" t="inlineStr">
        <is>
          <t>P JB Cold Soldering</t>
        </is>
      </c>
      <c r="V1147" s="19" t="inlineStr">
        <is>
          <t>Soldering</t>
        </is>
      </c>
      <c r="W1147" s="3" t="inlineStr">
        <is>
          <t>Repair</t>
        </is>
      </c>
      <c r="X1147" s="18" t="n">
        <v>46157</v>
      </c>
      <c r="Y1147" s="3">
        <f>X1147-A1147</f>
        <v/>
      </c>
      <c r="Z1147" s="18" t="n">
        <v>46157</v>
      </c>
      <c r="AA1147" s="15" t="n"/>
      <c r="AB1147" s="15" t="n"/>
    </row>
    <row r="1148">
      <c r="A1148" s="37" t="n">
        <v>46143</v>
      </c>
      <c r="B1148" s="3" t="n">
        <v>2026</v>
      </c>
      <c r="C1148" s="26" t="inlineStr">
        <is>
          <t>Yanara Power</t>
        </is>
      </c>
      <c r="D1148" s="3" t="inlineStr">
        <is>
          <t>Utility and C&amp;I</t>
        </is>
      </c>
      <c r="E1148" s="3" t="n"/>
      <c r="F1148" s="3" t="inlineStr">
        <is>
          <t>Closed</t>
        </is>
      </c>
      <c r="G1148" s="9" t="inlineStr">
        <is>
          <t xml:space="preserve">Ashish Jindal </t>
        </is>
      </c>
      <c r="H1148" s="26" t="n">
        <v>9983975581</v>
      </c>
      <c r="I1148" s="38" t="inlineStr">
        <is>
          <t>PE01052601</t>
        </is>
      </c>
      <c r="J1148" s="26" t="inlineStr">
        <is>
          <t>Multiple Issues</t>
        </is>
      </c>
      <c r="K1148" s="39" t="inlineStr">
        <is>
          <t>Holi</t>
        </is>
      </c>
      <c r="L1148" s="39" t="inlineStr">
        <is>
          <t>Maharashtra</t>
        </is>
      </c>
      <c r="M1148" s="9" t="inlineStr">
        <is>
          <t>PNS</t>
        </is>
      </c>
      <c r="N1148" s="3" t="inlineStr">
        <is>
          <t>Cold Soldering</t>
        </is>
      </c>
      <c r="O1148" s="39" t="n">
        <v>575</v>
      </c>
      <c r="P1148" s="9" t="inlineStr">
        <is>
          <t>NSMI24070195348</t>
        </is>
      </c>
      <c r="Q1148" s="53">
        <f>MID(P1148,5,2)</f>
        <v/>
      </c>
      <c r="R1148" s="53">
        <f>MID(P1148,7,2)</f>
        <v/>
      </c>
      <c r="S1148" s="3" t="inlineStr">
        <is>
          <t>G2G</t>
        </is>
      </c>
      <c r="T1148" s="3" t="inlineStr">
        <is>
          <t>P4</t>
        </is>
      </c>
      <c r="U1148" s="3" t="inlineStr">
        <is>
          <t>P &amp; N JB Cold Soldering</t>
        </is>
      </c>
      <c r="V1148" s="3" t="inlineStr">
        <is>
          <t>Soldering</t>
        </is>
      </c>
      <c r="W1148" s="3" t="inlineStr">
        <is>
          <t>Repair</t>
        </is>
      </c>
      <c r="X1148" s="18" t="n">
        <v>46157</v>
      </c>
      <c r="Y1148" s="3">
        <f>X1148-A1148</f>
        <v/>
      </c>
      <c r="Z1148" s="18" t="n">
        <v>46157</v>
      </c>
      <c r="AA1148" s="15" t="n"/>
      <c r="AB1148" s="15" t="n"/>
    </row>
    <row r="1149">
      <c r="A1149" s="37" t="n">
        <v>46143</v>
      </c>
      <c r="B1149" s="3" t="n">
        <v>2026</v>
      </c>
      <c r="C1149" s="26" t="inlineStr">
        <is>
          <t>Yanara Power</t>
        </is>
      </c>
      <c r="D1149" s="3" t="inlineStr">
        <is>
          <t>Utility and C&amp;I</t>
        </is>
      </c>
      <c r="E1149" s="3" t="n"/>
      <c r="F1149" s="3" t="inlineStr">
        <is>
          <t>Closed</t>
        </is>
      </c>
      <c r="G1149" s="9" t="inlineStr">
        <is>
          <t xml:space="preserve">Ashish Jindal </t>
        </is>
      </c>
      <c r="H1149" s="26" t="n">
        <v>9983975581</v>
      </c>
      <c r="I1149" s="38" t="inlineStr">
        <is>
          <t>PE01052601</t>
        </is>
      </c>
      <c r="J1149" s="26" t="inlineStr">
        <is>
          <t>Multiple Issues</t>
        </is>
      </c>
      <c r="K1149" s="39" t="inlineStr">
        <is>
          <t>Holi</t>
        </is>
      </c>
      <c r="L1149" s="39" t="inlineStr">
        <is>
          <t>Maharashtra</t>
        </is>
      </c>
      <c r="M1149" s="9" t="inlineStr">
        <is>
          <t>NS</t>
        </is>
      </c>
      <c r="N1149" s="3" t="inlineStr">
        <is>
          <t>Cold Soldering</t>
        </is>
      </c>
      <c r="O1149" s="39" t="n">
        <v>575</v>
      </c>
      <c r="P1149" s="9" t="inlineStr">
        <is>
          <t>NSMI24070195146</t>
        </is>
      </c>
      <c r="Q1149" s="53">
        <f>MID(P1149,5,2)</f>
        <v/>
      </c>
      <c r="R1149" s="53">
        <f>MID(P1149,7,2)</f>
        <v/>
      </c>
      <c r="S1149" s="3" t="inlineStr">
        <is>
          <t>G2G</t>
        </is>
      </c>
      <c r="T1149" s="3" t="inlineStr">
        <is>
          <t>P4</t>
        </is>
      </c>
      <c r="U1149" s="3" t="inlineStr">
        <is>
          <t>N JB Cold Soldering</t>
        </is>
      </c>
      <c r="V1149" s="3" t="inlineStr">
        <is>
          <t>Soldering</t>
        </is>
      </c>
      <c r="W1149" s="3" t="inlineStr">
        <is>
          <t>Repair</t>
        </is>
      </c>
      <c r="X1149" s="18" t="n">
        <v>46157</v>
      </c>
      <c r="Y1149" s="3">
        <f>X1149-A1149</f>
        <v/>
      </c>
      <c r="Z1149" s="18" t="n">
        <v>46157</v>
      </c>
      <c r="AA1149" s="15" t="n"/>
      <c r="AB1149" s="15" t="n"/>
    </row>
    <row r="1150">
      <c r="A1150" s="37" t="n">
        <v>46143</v>
      </c>
      <c r="B1150" s="3" t="n">
        <v>2026</v>
      </c>
      <c r="C1150" s="26" t="inlineStr">
        <is>
          <t>Yanara Power</t>
        </is>
      </c>
      <c r="D1150" s="3" t="inlineStr">
        <is>
          <t>Utility and C&amp;I</t>
        </is>
      </c>
      <c r="E1150" s="3" t="n"/>
      <c r="F1150" s="3" t="inlineStr">
        <is>
          <t>Closed</t>
        </is>
      </c>
      <c r="G1150" s="9" t="inlineStr">
        <is>
          <t xml:space="preserve">Ashish Jindal </t>
        </is>
      </c>
      <c r="H1150" s="26" t="n">
        <v>9983975581</v>
      </c>
      <c r="I1150" s="38" t="inlineStr">
        <is>
          <t>PE01052601</t>
        </is>
      </c>
      <c r="J1150" s="26" t="inlineStr">
        <is>
          <t>Multiple Issues</t>
        </is>
      </c>
      <c r="K1150" s="39" t="inlineStr">
        <is>
          <t>Holi</t>
        </is>
      </c>
      <c r="L1150" s="39" t="inlineStr">
        <is>
          <t>Maharashtra</t>
        </is>
      </c>
      <c r="M1150" s="9" t="inlineStr">
        <is>
          <t>PS</t>
        </is>
      </c>
      <c r="N1150" s="3" t="inlineStr">
        <is>
          <t>Cold Soldering</t>
        </is>
      </c>
      <c r="O1150" s="39" t="n">
        <v>575</v>
      </c>
      <c r="P1150" s="9" t="inlineStr">
        <is>
          <t>NSMI24070218548</t>
        </is>
      </c>
      <c r="Q1150" s="53">
        <f>MID(P1150,5,2)</f>
        <v/>
      </c>
      <c r="R1150" s="53">
        <f>MID(P1150,7,2)</f>
        <v/>
      </c>
      <c r="S1150" s="3" t="inlineStr">
        <is>
          <t>G2G</t>
        </is>
      </c>
      <c r="T1150" s="3" t="inlineStr">
        <is>
          <t>P4</t>
        </is>
      </c>
      <c r="U1150" s="19" t="inlineStr">
        <is>
          <t>P JB Cold Soldering</t>
        </is>
      </c>
      <c r="V1150" s="19" t="inlineStr">
        <is>
          <t>Soldering</t>
        </is>
      </c>
      <c r="W1150" s="3" t="inlineStr">
        <is>
          <t>Repair</t>
        </is>
      </c>
      <c r="X1150" s="18" t="n">
        <v>46157</v>
      </c>
      <c r="Y1150" s="3">
        <f>X1150-A1150</f>
        <v/>
      </c>
      <c r="Z1150" s="18" t="n">
        <v>46157</v>
      </c>
      <c r="AA1150" s="15" t="n"/>
      <c r="AB1150" s="15" t="n"/>
    </row>
    <row r="1151">
      <c r="A1151" s="37" t="n">
        <v>46143</v>
      </c>
      <c r="B1151" s="3" t="n">
        <v>2026</v>
      </c>
      <c r="C1151" s="26" t="inlineStr">
        <is>
          <t>Yanara Power</t>
        </is>
      </c>
      <c r="D1151" s="3" t="inlineStr">
        <is>
          <t>Utility and C&amp;I</t>
        </is>
      </c>
      <c r="E1151" s="3" t="n"/>
      <c r="F1151" s="3" t="inlineStr">
        <is>
          <t>Closed</t>
        </is>
      </c>
      <c r="G1151" s="9" t="inlineStr">
        <is>
          <t xml:space="preserve">Ashish Jindal </t>
        </is>
      </c>
      <c r="H1151" s="26" t="n">
        <v>9983975581</v>
      </c>
      <c r="I1151" s="38" t="inlineStr">
        <is>
          <t>PE01052601</t>
        </is>
      </c>
      <c r="J1151" s="26" t="inlineStr">
        <is>
          <t>Multiple Issues</t>
        </is>
      </c>
      <c r="K1151" s="39" t="inlineStr">
        <is>
          <t>Holi</t>
        </is>
      </c>
      <c r="L1151" s="39" t="inlineStr">
        <is>
          <t>Maharashtra</t>
        </is>
      </c>
      <c r="M1151" s="9" t="inlineStr">
        <is>
          <t>PS</t>
        </is>
      </c>
      <c r="N1151" s="3" t="inlineStr">
        <is>
          <t>Cold Soldering</t>
        </is>
      </c>
      <c r="O1151" s="39" t="n">
        <v>575</v>
      </c>
      <c r="P1151" s="9" t="inlineStr">
        <is>
          <t>NSMI24070204527</t>
        </is>
      </c>
      <c r="Q1151" s="53">
        <f>MID(P1151,5,2)</f>
        <v/>
      </c>
      <c r="R1151" s="53">
        <f>MID(P1151,7,2)</f>
        <v/>
      </c>
      <c r="S1151" s="3" t="inlineStr">
        <is>
          <t>G2G</t>
        </is>
      </c>
      <c r="T1151" s="3" t="inlineStr">
        <is>
          <t>P4</t>
        </is>
      </c>
      <c r="U1151" s="19" t="inlineStr">
        <is>
          <t>P JB Cold Soldering</t>
        </is>
      </c>
      <c r="V1151" s="19" t="inlineStr">
        <is>
          <t>Soldering</t>
        </is>
      </c>
      <c r="W1151" s="3" t="inlineStr">
        <is>
          <t>Repair</t>
        </is>
      </c>
      <c r="X1151" s="18" t="n">
        <v>46157</v>
      </c>
      <c r="Y1151" s="3">
        <f>X1151-A1151</f>
        <v/>
      </c>
      <c r="Z1151" s="18" t="n">
        <v>46157</v>
      </c>
      <c r="AA1151" s="15" t="n"/>
      <c r="AB1151" s="15" t="n"/>
    </row>
    <row r="1152">
      <c r="A1152" s="37" t="n">
        <v>46143</v>
      </c>
      <c r="B1152" s="3" t="n">
        <v>2026</v>
      </c>
      <c r="C1152" s="26" t="inlineStr">
        <is>
          <t>Yanara Power</t>
        </is>
      </c>
      <c r="D1152" s="3" t="inlineStr">
        <is>
          <t>Utility and C&amp;I</t>
        </is>
      </c>
      <c r="E1152" s="3" t="n"/>
      <c r="F1152" s="3" t="inlineStr">
        <is>
          <t>Closed</t>
        </is>
      </c>
      <c r="G1152" s="9" t="inlineStr">
        <is>
          <t xml:space="preserve">Ashish Jindal </t>
        </is>
      </c>
      <c r="H1152" s="26" t="n">
        <v>9983975581</v>
      </c>
      <c r="I1152" s="38" t="inlineStr">
        <is>
          <t>PE01052601</t>
        </is>
      </c>
      <c r="J1152" s="26" t="inlineStr">
        <is>
          <t>Multiple Issues</t>
        </is>
      </c>
      <c r="K1152" s="39" t="inlineStr">
        <is>
          <t>Holi</t>
        </is>
      </c>
      <c r="L1152" s="39" t="inlineStr">
        <is>
          <t>Maharashtra</t>
        </is>
      </c>
      <c r="M1152" s="9" t="inlineStr">
        <is>
          <t>PS</t>
        </is>
      </c>
      <c r="N1152" s="3" t="inlineStr">
        <is>
          <t>Cold Soldering</t>
        </is>
      </c>
      <c r="O1152" s="39" t="n">
        <v>575</v>
      </c>
      <c r="P1152" s="9" t="inlineStr">
        <is>
          <t>NSMI24070215441</t>
        </is>
      </c>
      <c r="Q1152" s="53">
        <f>MID(P1152,5,2)</f>
        <v/>
      </c>
      <c r="R1152" s="53">
        <f>MID(P1152,7,2)</f>
        <v/>
      </c>
      <c r="S1152" s="3" t="inlineStr">
        <is>
          <t>G2G</t>
        </is>
      </c>
      <c r="T1152" s="3" t="inlineStr">
        <is>
          <t>P4</t>
        </is>
      </c>
      <c r="U1152" s="19" t="inlineStr">
        <is>
          <t>P JB Cold Soldering</t>
        </is>
      </c>
      <c r="V1152" s="19" t="inlineStr">
        <is>
          <t>Soldering</t>
        </is>
      </c>
      <c r="W1152" s="3" t="inlineStr">
        <is>
          <t>Repair</t>
        </is>
      </c>
      <c r="X1152" s="18" t="n">
        <v>46157</v>
      </c>
      <c r="Y1152" s="3">
        <f>X1152-A1152</f>
        <v/>
      </c>
      <c r="Z1152" s="18" t="n">
        <v>46157</v>
      </c>
      <c r="AA1152" s="15" t="n"/>
      <c r="AB1152" s="15" t="n"/>
    </row>
    <row r="1153">
      <c r="A1153" s="37" t="n">
        <v>46143</v>
      </c>
      <c r="B1153" s="3" t="n">
        <v>2026</v>
      </c>
      <c r="C1153" s="26" t="inlineStr">
        <is>
          <t>Yanara Power</t>
        </is>
      </c>
      <c r="D1153" s="3" t="inlineStr">
        <is>
          <t>Utility and C&amp;I</t>
        </is>
      </c>
      <c r="E1153" s="3" t="n"/>
      <c r="F1153" s="3" t="inlineStr">
        <is>
          <t>Closed</t>
        </is>
      </c>
      <c r="G1153" s="9" t="inlineStr">
        <is>
          <t xml:space="preserve">Ashish Jindal </t>
        </is>
      </c>
      <c r="H1153" s="26" t="n">
        <v>9983975581</v>
      </c>
      <c r="I1153" s="38" t="inlineStr">
        <is>
          <t>PE01052601</t>
        </is>
      </c>
      <c r="J1153" s="26" t="inlineStr">
        <is>
          <t>Multiple Issues</t>
        </is>
      </c>
      <c r="K1153" s="39" t="inlineStr">
        <is>
          <t>Holi</t>
        </is>
      </c>
      <c r="L1153" s="39" t="inlineStr">
        <is>
          <t>Maharashtra</t>
        </is>
      </c>
      <c r="M1153" s="9" t="inlineStr">
        <is>
          <t>PS</t>
        </is>
      </c>
      <c r="N1153" s="3" t="inlineStr">
        <is>
          <t>Cold Soldering</t>
        </is>
      </c>
      <c r="O1153" s="39" t="n">
        <v>575</v>
      </c>
      <c r="P1153" s="9" t="inlineStr">
        <is>
          <t>NSMI24070185728</t>
        </is>
      </c>
      <c r="Q1153" s="53">
        <f>MID(P1153,5,2)</f>
        <v/>
      </c>
      <c r="R1153" s="53">
        <f>MID(P1153,7,2)</f>
        <v/>
      </c>
      <c r="S1153" s="3" t="inlineStr">
        <is>
          <t>G2G</t>
        </is>
      </c>
      <c r="T1153" s="3" t="inlineStr">
        <is>
          <t>P4</t>
        </is>
      </c>
      <c r="U1153" s="19" t="inlineStr">
        <is>
          <t>P JB Cold Soldering</t>
        </is>
      </c>
      <c r="V1153" s="19" t="inlineStr">
        <is>
          <t>Soldering</t>
        </is>
      </c>
      <c r="W1153" s="3" t="inlineStr">
        <is>
          <t>Repair</t>
        </is>
      </c>
      <c r="X1153" s="18" t="n">
        <v>46157</v>
      </c>
      <c r="Y1153" s="3">
        <f>X1153-A1153</f>
        <v/>
      </c>
      <c r="Z1153" s="18" t="n">
        <v>46157</v>
      </c>
      <c r="AA1153" s="15" t="n"/>
      <c r="AB1153" s="15" t="n"/>
    </row>
    <row r="1154">
      <c r="A1154" s="37" t="n">
        <v>46143</v>
      </c>
      <c r="B1154" s="3" t="n">
        <v>2026</v>
      </c>
      <c r="C1154" s="26" t="inlineStr">
        <is>
          <t>Yanara Power</t>
        </is>
      </c>
      <c r="D1154" s="3" t="inlineStr">
        <is>
          <t>Utility and C&amp;I</t>
        </is>
      </c>
      <c r="E1154" s="3" t="n"/>
      <c r="F1154" s="3" t="inlineStr">
        <is>
          <t>Closed</t>
        </is>
      </c>
      <c r="G1154" s="9" t="inlineStr">
        <is>
          <t xml:space="preserve">Ashish Jindal </t>
        </is>
      </c>
      <c r="H1154" s="26" t="n">
        <v>9983975581</v>
      </c>
      <c r="I1154" s="38" t="inlineStr">
        <is>
          <t>PE01052601</t>
        </is>
      </c>
      <c r="J1154" s="26" t="inlineStr">
        <is>
          <t>Multiple Issues</t>
        </is>
      </c>
      <c r="K1154" s="39" t="inlineStr">
        <is>
          <t>Holi</t>
        </is>
      </c>
      <c r="L1154" s="39" t="inlineStr">
        <is>
          <t>Maharashtra</t>
        </is>
      </c>
      <c r="M1154" s="9" t="inlineStr">
        <is>
          <t>NS</t>
        </is>
      </c>
      <c r="N1154" s="3" t="inlineStr">
        <is>
          <t>Cold Soldering</t>
        </is>
      </c>
      <c r="O1154" s="39" t="n">
        <v>575</v>
      </c>
      <c r="P1154" s="9" t="inlineStr">
        <is>
          <t>NSMI24070188130</t>
        </is>
      </c>
      <c r="Q1154" s="53">
        <f>MID(P1154,5,2)</f>
        <v/>
      </c>
      <c r="R1154" s="53">
        <f>MID(P1154,7,2)</f>
        <v/>
      </c>
      <c r="S1154" s="3" t="inlineStr">
        <is>
          <t>G2G</t>
        </is>
      </c>
      <c r="T1154" s="3" t="inlineStr">
        <is>
          <t>P4</t>
        </is>
      </c>
      <c r="U1154" s="3" t="inlineStr">
        <is>
          <t>N JB Cold Soldering</t>
        </is>
      </c>
      <c r="V1154" s="3" t="inlineStr">
        <is>
          <t>Soldering</t>
        </is>
      </c>
      <c r="W1154" s="3" t="inlineStr">
        <is>
          <t>Repair</t>
        </is>
      </c>
      <c r="X1154" s="18" t="n">
        <v>46157</v>
      </c>
      <c r="Y1154" s="3">
        <f>X1154-A1154</f>
        <v/>
      </c>
      <c r="Z1154" s="18" t="n">
        <v>46157</v>
      </c>
      <c r="AA1154" s="15" t="n"/>
      <c r="AB1154" s="15" t="n"/>
    </row>
    <row r="1155">
      <c r="A1155" s="37" t="n">
        <v>46143</v>
      </c>
      <c r="B1155" s="3" t="n">
        <v>2026</v>
      </c>
      <c r="C1155" s="26" t="inlineStr">
        <is>
          <t>Yanara Power</t>
        </is>
      </c>
      <c r="D1155" s="3" t="inlineStr">
        <is>
          <t>Utility and C&amp;I</t>
        </is>
      </c>
      <c r="E1155" s="3" t="n"/>
      <c r="F1155" s="3" t="inlineStr">
        <is>
          <t>Closed</t>
        </is>
      </c>
      <c r="G1155" s="9" t="inlineStr">
        <is>
          <t xml:space="preserve">Ashish Jindal </t>
        </is>
      </c>
      <c r="H1155" s="26" t="n">
        <v>9983975581</v>
      </c>
      <c r="I1155" s="38" t="inlineStr">
        <is>
          <t>PE01052601</t>
        </is>
      </c>
      <c r="J1155" s="26" t="inlineStr">
        <is>
          <t>Multiple Issues</t>
        </is>
      </c>
      <c r="K1155" s="39" t="inlineStr">
        <is>
          <t>Holi</t>
        </is>
      </c>
      <c r="L1155" s="39" t="inlineStr">
        <is>
          <t>Maharashtra</t>
        </is>
      </c>
      <c r="M1155" s="9" t="inlineStr">
        <is>
          <t>PS</t>
        </is>
      </c>
      <c r="N1155" s="3" t="inlineStr">
        <is>
          <t>Cold Soldering</t>
        </is>
      </c>
      <c r="O1155" s="39" t="n">
        <v>575</v>
      </c>
      <c r="P1155" s="9" t="inlineStr">
        <is>
          <t>NSMI24070188058</t>
        </is>
      </c>
      <c r="Q1155" s="53">
        <f>MID(P1155,5,2)</f>
        <v/>
      </c>
      <c r="R1155" s="53">
        <f>MID(P1155,7,2)</f>
        <v/>
      </c>
      <c r="S1155" s="3" t="inlineStr">
        <is>
          <t>G2G</t>
        </is>
      </c>
      <c r="T1155" s="3" t="inlineStr">
        <is>
          <t>P4</t>
        </is>
      </c>
      <c r="U1155" s="19" t="inlineStr">
        <is>
          <t>P JB Cold Soldering</t>
        </is>
      </c>
      <c r="V1155" s="19" t="inlineStr">
        <is>
          <t>Soldering</t>
        </is>
      </c>
      <c r="W1155" s="3" t="inlineStr">
        <is>
          <t>Repair</t>
        </is>
      </c>
      <c r="X1155" s="18" t="n">
        <v>46157</v>
      </c>
      <c r="Y1155" s="3">
        <f>X1155-A1155</f>
        <v/>
      </c>
      <c r="Z1155" s="18" t="n">
        <v>46157</v>
      </c>
      <c r="AA1155" s="15" t="n"/>
      <c r="AB1155" s="15" t="n"/>
    </row>
    <row r="1156">
      <c r="A1156" s="37" t="n">
        <v>46143</v>
      </c>
      <c r="B1156" s="3" t="n">
        <v>2026</v>
      </c>
      <c r="C1156" s="26" t="inlineStr">
        <is>
          <t>Yanara Power</t>
        </is>
      </c>
      <c r="D1156" s="3" t="inlineStr">
        <is>
          <t>Utility and C&amp;I</t>
        </is>
      </c>
      <c r="E1156" s="3" t="n"/>
      <c r="F1156" s="3" t="inlineStr">
        <is>
          <t>Closed</t>
        </is>
      </c>
      <c r="G1156" s="9" t="inlineStr">
        <is>
          <t xml:space="preserve">Ashish Jindal </t>
        </is>
      </c>
      <c r="H1156" s="26" t="n">
        <v>9983975581</v>
      </c>
      <c r="I1156" s="38" t="inlineStr">
        <is>
          <t>PE01052601</t>
        </is>
      </c>
      <c r="J1156" s="26" t="inlineStr">
        <is>
          <t>Multiple Issues</t>
        </is>
      </c>
      <c r="K1156" s="39" t="inlineStr">
        <is>
          <t>Holi</t>
        </is>
      </c>
      <c r="L1156" s="39" t="inlineStr">
        <is>
          <t>Maharashtra</t>
        </is>
      </c>
      <c r="M1156" s="9" t="inlineStr">
        <is>
          <t>NS</t>
        </is>
      </c>
      <c r="N1156" s="3" t="inlineStr">
        <is>
          <t>Cold Soldering</t>
        </is>
      </c>
      <c r="O1156" s="39" t="n">
        <v>575</v>
      </c>
      <c r="P1156" s="9" t="inlineStr">
        <is>
          <t>NSMI24070193990</t>
        </is>
      </c>
      <c r="Q1156" s="53">
        <f>MID(P1156,5,2)</f>
        <v/>
      </c>
      <c r="R1156" s="53">
        <f>MID(P1156,7,2)</f>
        <v/>
      </c>
      <c r="S1156" s="3" t="inlineStr">
        <is>
          <t>G2G</t>
        </is>
      </c>
      <c r="T1156" s="3" t="inlineStr">
        <is>
          <t>P4</t>
        </is>
      </c>
      <c r="U1156" s="3" t="inlineStr">
        <is>
          <t>N JB Cold Soldering</t>
        </is>
      </c>
      <c r="V1156" s="3" t="inlineStr">
        <is>
          <t>Soldering</t>
        </is>
      </c>
      <c r="W1156" s="3" t="inlineStr">
        <is>
          <t>Repair</t>
        </is>
      </c>
      <c r="X1156" s="18" t="n">
        <v>46157</v>
      </c>
      <c r="Y1156" s="3">
        <f>X1156-A1156</f>
        <v/>
      </c>
      <c r="Z1156" s="18" t="n">
        <v>46157</v>
      </c>
      <c r="AA1156" s="15" t="n"/>
      <c r="AB1156" s="15" t="n"/>
    </row>
    <row r="1157">
      <c r="A1157" s="37" t="n">
        <v>46143</v>
      </c>
      <c r="B1157" s="3" t="n">
        <v>2026</v>
      </c>
      <c r="C1157" s="26" t="inlineStr">
        <is>
          <t>Yanara Power</t>
        </is>
      </c>
      <c r="D1157" s="3" t="inlineStr">
        <is>
          <t>Utility and C&amp;I</t>
        </is>
      </c>
      <c r="E1157" s="3" t="n"/>
      <c r="F1157" s="3" t="inlineStr">
        <is>
          <t>Closed</t>
        </is>
      </c>
      <c r="G1157" s="9" t="inlineStr">
        <is>
          <t xml:space="preserve">Ashish Jindal </t>
        </is>
      </c>
      <c r="H1157" s="26" t="n">
        <v>9983975581</v>
      </c>
      <c r="I1157" s="38" t="inlineStr">
        <is>
          <t>PE01052601</t>
        </is>
      </c>
      <c r="J1157" s="26" t="inlineStr">
        <is>
          <t>Multiple Issues</t>
        </is>
      </c>
      <c r="K1157" s="39" t="inlineStr">
        <is>
          <t>Holi</t>
        </is>
      </c>
      <c r="L1157" s="39" t="inlineStr">
        <is>
          <t>Maharashtra</t>
        </is>
      </c>
      <c r="M1157" s="9" t="inlineStr">
        <is>
          <t>PS</t>
        </is>
      </c>
      <c r="N1157" s="3" t="inlineStr">
        <is>
          <t>Cold Soldering</t>
        </is>
      </c>
      <c r="O1157" s="39" t="n">
        <v>575</v>
      </c>
      <c r="P1157" s="9" t="inlineStr">
        <is>
          <t>NSMI24070194881</t>
        </is>
      </c>
      <c r="Q1157" s="53">
        <f>MID(P1157,5,2)</f>
        <v/>
      </c>
      <c r="R1157" s="53">
        <f>MID(P1157,7,2)</f>
        <v/>
      </c>
      <c r="S1157" s="3" t="inlineStr">
        <is>
          <t>G2G</t>
        </is>
      </c>
      <c r="T1157" s="3" t="inlineStr">
        <is>
          <t>P4</t>
        </is>
      </c>
      <c r="U1157" s="19" t="inlineStr">
        <is>
          <t>P JB Cold Soldering</t>
        </is>
      </c>
      <c r="V1157" s="19" t="inlineStr">
        <is>
          <t>Soldering</t>
        </is>
      </c>
      <c r="W1157" s="3" t="inlineStr">
        <is>
          <t>Repair</t>
        </is>
      </c>
      <c r="X1157" s="18" t="n">
        <v>46157</v>
      </c>
      <c r="Y1157" s="3">
        <f>X1157-A1157</f>
        <v/>
      </c>
      <c r="Z1157" s="18" t="n">
        <v>46157</v>
      </c>
      <c r="AA1157" s="15" t="n"/>
      <c r="AB1157" s="15" t="n"/>
    </row>
    <row r="1158">
      <c r="A1158" s="37" t="n">
        <v>46143</v>
      </c>
      <c r="B1158" s="3" t="n">
        <v>2026</v>
      </c>
      <c r="C1158" s="26" t="inlineStr">
        <is>
          <t>Yanara Power</t>
        </is>
      </c>
      <c r="D1158" s="3" t="inlineStr">
        <is>
          <t>Utility and C&amp;I</t>
        </is>
      </c>
      <c r="E1158" s="3" t="n"/>
      <c r="F1158" s="3" t="inlineStr">
        <is>
          <t>Closed</t>
        </is>
      </c>
      <c r="G1158" s="9" t="inlineStr">
        <is>
          <t xml:space="preserve">Ashish Jindal </t>
        </is>
      </c>
      <c r="H1158" s="26" t="n">
        <v>9983975581</v>
      </c>
      <c r="I1158" s="38" t="inlineStr">
        <is>
          <t>PE01052601</t>
        </is>
      </c>
      <c r="J1158" s="26" t="inlineStr">
        <is>
          <t>Multiple Issues</t>
        </is>
      </c>
      <c r="K1158" s="39" t="inlineStr">
        <is>
          <t>Holi</t>
        </is>
      </c>
      <c r="L1158" s="39" t="inlineStr">
        <is>
          <t>Maharashtra</t>
        </is>
      </c>
      <c r="M1158" s="9" t="inlineStr">
        <is>
          <t>NS</t>
        </is>
      </c>
      <c r="N1158" s="3" t="inlineStr">
        <is>
          <t>Cold Soldering</t>
        </is>
      </c>
      <c r="O1158" s="39" t="n">
        <v>575</v>
      </c>
      <c r="P1158" s="9" t="inlineStr">
        <is>
          <t>NSMI24070221859</t>
        </is>
      </c>
      <c r="Q1158" s="53">
        <f>MID(P1158,5,2)</f>
        <v/>
      </c>
      <c r="R1158" s="53">
        <f>MID(P1158,7,2)</f>
        <v/>
      </c>
      <c r="S1158" s="3" t="inlineStr">
        <is>
          <t>G2G</t>
        </is>
      </c>
      <c r="T1158" s="3" t="inlineStr">
        <is>
          <t>P4</t>
        </is>
      </c>
      <c r="U1158" s="3" t="inlineStr">
        <is>
          <t>N JB Cold Soldering</t>
        </is>
      </c>
      <c r="V1158" s="3" t="inlineStr">
        <is>
          <t>Soldering</t>
        </is>
      </c>
      <c r="W1158" s="3" t="inlineStr">
        <is>
          <t>Repair</t>
        </is>
      </c>
      <c r="X1158" s="18" t="n">
        <v>46157</v>
      </c>
      <c r="Y1158" s="3">
        <f>X1158-A1158</f>
        <v/>
      </c>
      <c r="Z1158" s="18" t="n">
        <v>46157</v>
      </c>
      <c r="AA1158" s="15" t="n"/>
      <c r="AB1158" s="15" t="n"/>
    </row>
    <row r="1159">
      <c r="A1159" s="37" t="n">
        <v>46143</v>
      </c>
      <c r="B1159" s="3" t="n">
        <v>2026</v>
      </c>
      <c r="C1159" s="26" t="inlineStr">
        <is>
          <t>Yanara Power</t>
        </is>
      </c>
      <c r="D1159" s="3" t="inlineStr">
        <is>
          <t>Utility and C&amp;I</t>
        </is>
      </c>
      <c r="E1159" s="3" t="n"/>
      <c r="F1159" s="3" t="inlineStr">
        <is>
          <t>Closed</t>
        </is>
      </c>
      <c r="G1159" s="9" t="inlineStr">
        <is>
          <t xml:space="preserve">Ashish Jindal </t>
        </is>
      </c>
      <c r="H1159" s="26" t="n">
        <v>9983975581</v>
      </c>
      <c r="I1159" s="38" t="inlineStr">
        <is>
          <t>PE01052601</t>
        </is>
      </c>
      <c r="J1159" s="26" t="inlineStr">
        <is>
          <t>Multiple Issues</t>
        </is>
      </c>
      <c r="K1159" s="39" t="inlineStr">
        <is>
          <t>Holi</t>
        </is>
      </c>
      <c r="L1159" s="39" t="inlineStr">
        <is>
          <t>Maharashtra</t>
        </is>
      </c>
      <c r="M1159" s="9" t="inlineStr">
        <is>
          <t>PS</t>
        </is>
      </c>
      <c r="N1159" s="3" t="inlineStr">
        <is>
          <t>Cold Soldering</t>
        </is>
      </c>
      <c r="O1159" s="39" t="n">
        <v>575</v>
      </c>
      <c r="P1159" s="9" t="inlineStr">
        <is>
          <t>NSMI24070178175</t>
        </is>
      </c>
      <c r="Q1159" s="53">
        <f>MID(P1159,5,2)</f>
        <v/>
      </c>
      <c r="R1159" s="53">
        <f>MID(P1159,7,2)</f>
        <v/>
      </c>
      <c r="S1159" s="3" t="inlineStr">
        <is>
          <t>G2G</t>
        </is>
      </c>
      <c r="T1159" s="3" t="inlineStr">
        <is>
          <t>P4</t>
        </is>
      </c>
      <c r="U1159" s="19" t="inlineStr">
        <is>
          <t>P JB Cold Soldering</t>
        </is>
      </c>
      <c r="V1159" s="19" t="inlineStr">
        <is>
          <t>Soldering</t>
        </is>
      </c>
      <c r="W1159" s="3" t="inlineStr">
        <is>
          <t>Repair</t>
        </is>
      </c>
      <c r="X1159" s="18" t="n">
        <v>46157</v>
      </c>
      <c r="Y1159" s="3">
        <f>X1159-A1159</f>
        <v/>
      </c>
      <c r="Z1159" s="18" t="n">
        <v>46157</v>
      </c>
      <c r="AA1159" s="15" t="n"/>
      <c r="AB1159" s="15" t="n"/>
    </row>
    <row r="1160">
      <c r="A1160" s="37" t="n">
        <v>46143</v>
      </c>
      <c r="B1160" s="3" t="n">
        <v>2026</v>
      </c>
      <c r="C1160" s="26" t="inlineStr">
        <is>
          <t>Yanara Power</t>
        </is>
      </c>
      <c r="D1160" s="3" t="inlineStr">
        <is>
          <t>Utility and C&amp;I</t>
        </is>
      </c>
      <c r="E1160" s="3" t="n"/>
      <c r="F1160" s="3" t="inlineStr">
        <is>
          <t>Closed</t>
        </is>
      </c>
      <c r="G1160" s="9" t="inlineStr">
        <is>
          <t xml:space="preserve">Ashish Jindal </t>
        </is>
      </c>
      <c r="H1160" s="26" t="n">
        <v>9983975581</v>
      </c>
      <c r="I1160" s="38" t="inlineStr">
        <is>
          <t>PE01052601</t>
        </is>
      </c>
      <c r="J1160" s="26" t="inlineStr">
        <is>
          <t>Multiple Issues</t>
        </is>
      </c>
      <c r="K1160" s="39" t="inlineStr">
        <is>
          <t>Holi</t>
        </is>
      </c>
      <c r="L1160" s="39" t="inlineStr">
        <is>
          <t>Maharashtra</t>
        </is>
      </c>
      <c r="M1160" s="9" t="inlineStr">
        <is>
          <t>PS</t>
        </is>
      </c>
      <c r="N1160" s="3" t="inlineStr">
        <is>
          <t>Cold Soldering</t>
        </is>
      </c>
      <c r="O1160" s="39" t="n">
        <v>575</v>
      </c>
      <c r="P1160" s="9" t="inlineStr">
        <is>
          <t>NSMI24070201306</t>
        </is>
      </c>
      <c r="Q1160" s="53">
        <f>MID(P1160,5,2)</f>
        <v/>
      </c>
      <c r="R1160" s="53">
        <f>MID(P1160,7,2)</f>
        <v/>
      </c>
      <c r="S1160" s="3" t="inlineStr">
        <is>
          <t>G2G</t>
        </is>
      </c>
      <c r="T1160" s="3" t="inlineStr">
        <is>
          <t>P4</t>
        </is>
      </c>
      <c r="U1160" s="19" t="inlineStr">
        <is>
          <t>P JB Cold Soldering</t>
        </is>
      </c>
      <c r="V1160" s="19" t="inlineStr">
        <is>
          <t>Soldering</t>
        </is>
      </c>
      <c r="W1160" s="3" t="inlineStr">
        <is>
          <t>Repair</t>
        </is>
      </c>
      <c r="X1160" s="18" t="n">
        <v>46157</v>
      </c>
      <c r="Y1160" s="3">
        <f>X1160-A1160</f>
        <v/>
      </c>
      <c r="Z1160" s="18" t="n">
        <v>46157</v>
      </c>
      <c r="AA1160" s="15" t="n"/>
      <c r="AB1160" s="15" t="n"/>
    </row>
    <row r="1161">
      <c r="A1161" s="37" t="n">
        <v>46143</v>
      </c>
      <c r="B1161" s="3" t="n">
        <v>2026</v>
      </c>
      <c r="C1161" s="26" t="inlineStr">
        <is>
          <t>Yanara Power</t>
        </is>
      </c>
      <c r="D1161" s="3" t="inlineStr">
        <is>
          <t>Utility and C&amp;I</t>
        </is>
      </c>
      <c r="E1161" s="3" t="n"/>
      <c r="F1161" s="3" t="inlineStr">
        <is>
          <t>Closed</t>
        </is>
      </c>
      <c r="G1161" s="9" t="inlineStr">
        <is>
          <t xml:space="preserve">Ashish Jindal </t>
        </is>
      </c>
      <c r="H1161" s="26" t="n">
        <v>9983975581</v>
      </c>
      <c r="I1161" s="38" t="inlineStr">
        <is>
          <t>PE01052601</t>
        </is>
      </c>
      <c r="J1161" s="26" t="inlineStr">
        <is>
          <t>Multiple Issues</t>
        </is>
      </c>
      <c r="K1161" s="39" t="inlineStr">
        <is>
          <t>Holi</t>
        </is>
      </c>
      <c r="L1161" s="39" t="inlineStr">
        <is>
          <t>Maharashtra</t>
        </is>
      </c>
      <c r="M1161" s="9" t="inlineStr">
        <is>
          <t>PS</t>
        </is>
      </c>
      <c r="N1161" s="3" t="inlineStr">
        <is>
          <t>Cold Soldering</t>
        </is>
      </c>
      <c r="O1161" s="39" t="n">
        <v>575</v>
      </c>
      <c r="P1161" s="9" t="inlineStr">
        <is>
          <t>NSMI24070184600</t>
        </is>
      </c>
      <c r="Q1161" s="53">
        <f>MID(P1161,5,2)</f>
        <v/>
      </c>
      <c r="R1161" s="53">
        <f>MID(P1161,7,2)</f>
        <v/>
      </c>
      <c r="S1161" s="3" t="inlineStr">
        <is>
          <t>G2G</t>
        </is>
      </c>
      <c r="T1161" s="3" t="inlineStr">
        <is>
          <t>P4</t>
        </is>
      </c>
      <c r="U1161" s="19" t="inlineStr">
        <is>
          <t>P JB Cold Soldering</t>
        </is>
      </c>
      <c r="V1161" s="19" t="inlineStr">
        <is>
          <t>Soldering</t>
        </is>
      </c>
      <c r="W1161" s="3" t="inlineStr">
        <is>
          <t>Repair</t>
        </is>
      </c>
      <c r="X1161" s="18" t="n">
        <v>46157</v>
      </c>
      <c r="Y1161" s="3">
        <f>X1161-A1161</f>
        <v/>
      </c>
      <c r="Z1161" s="18" t="n">
        <v>46157</v>
      </c>
      <c r="AA1161" s="15" t="n"/>
      <c r="AB1161" s="15" t="n"/>
    </row>
    <row r="1162">
      <c r="A1162" s="37" t="n">
        <v>46143</v>
      </c>
      <c r="B1162" s="3" t="n">
        <v>2026</v>
      </c>
      <c r="C1162" s="26" t="inlineStr">
        <is>
          <t>Yanara Power</t>
        </is>
      </c>
      <c r="D1162" s="3" t="inlineStr">
        <is>
          <t>Utility and C&amp;I</t>
        </is>
      </c>
      <c r="E1162" s="3" t="n"/>
      <c r="F1162" s="3" t="inlineStr">
        <is>
          <t>Closed</t>
        </is>
      </c>
      <c r="G1162" s="9" t="inlineStr">
        <is>
          <t xml:space="preserve">Ashish Jindal </t>
        </is>
      </c>
      <c r="H1162" s="26" t="n">
        <v>9983975581</v>
      </c>
      <c r="I1162" s="38" t="inlineStr">
        <is>
          <t>PE01052601</t>
        </is>
      </c>
      <c r="J1162" s="26" t="inlineStr">
        <is>
          <t>Multiple Issues</t>
        </is>
      </c>
      <c r="K1162" s="39" t="inlineStr">
        <is>
          <t>Holi</t>
        </is>
      </c>
      <c r="L1162" s="39" t="inlineStr">
        <is>
          <t>Maharashtra</t>
        </is>
      </c>
      <c r="M1162" s="9" t="inlineStr">
        <is>
          <t>NS</t>
        </is>
      </c>
      <c r="N1162" s="3" t="inlineStr">
        <is>
          <t>Cold Soldering</t>
        </is>
      </c>
      <c r="O1162" s="39" t="n">
        <v>575</v>
      </c>
      <c r="P1162" s="9" t="inlineStr">
        <is>
          <t>NSMI24070184582</t>
        </is>
      </c>
      <c r="Q1162" s="53">
        <f>MID(P1162,5,2)</f>
        <v/>
      </c>
      <c r="R1162" s="53">
        <f>MID(P1162,7,2)</f>
        <v/>
      </c>
      <c r="S1162" s="3" t="inlineStr">
        <is>
          <t>G2G</t>
        </is>
      </c>
      <c r="T1162" s="3" t="inlineStr">
        <is>
          <t>P4</t>
        </is>
      </c>
      <c r="U1162" s="3" t="inlineStr">
        <is>
          <t>N JB Cold Soldering</t>
        </is>
      </c>
      <c r="V1162" s="3" t="inlineStr">
        <is>
          <t>Soldering</t>
        </is>
      </c>
      <c r="W1162" s="3" t="inlineStr">
        <is>
          <t>Repair</t>
        </is>
      </c>
      <c r="X1162" s="18" t="n">
        <v>46157</v>
      </c>
      <c r="Y1162" s="3">
        <f>X1162-A1162</f>
        <v/>
      </c>
      <c r="Z1162" s="18" t="n">
        <v>46157</v>
      </c>
      <c r="AA1162" s="15" t="n"/>
      <c r="AB1162" s="15" t="n"/>
    </row>
    <row r="1163">
      <c r="A1163" s="37" t="n">
        <v>46143</v>
      </c>
      <c r="B1163" s="3" t="n">
        <v>2026</v>
      </c>
      <c r="C1163" s="26" t="inlineStr">
        <is>
          <t>Yanara Power</t>
        </is>
      </c>
      <c r="D1163" s="3" t="inlineStr">
        <is>
          <t>Utility and C&amp;I</t>
        </is>
      </c>
      <c r="E1163" s="3" t="n"/>
      <c r="F1163" s="3" t="inlineStr">
        <is>
          <t>Closed</t>
        </is>
      </c>
      <c r="G1163" s="9" t="inlineStr">
        <is>
          <t xml:space="preserve">Ashish Jindal </t>
        </is>
      </c>
      <c r="H1163" s="26" t="n">
        <v>9983975581</v>
      </c>
      <c r="I1163" s="38" t="inlineStr">
        <is>
          <t>PE01052601</t>
        </is>
      </c>
      <c r="J1163" s="26" t="inlineStr">
        <is>
          <t>Multiple Issues</t>
        </is>
      </c>
      <c r="K1163" s="39" t="inlineStr">
        <is>
          <t>Holi</t>
        </is>
      </c>
      <c r="L1163" s="39" t="inlineStr">
        <is>
          <t>Maharashtra</t>
        </is>
      </c>
      <c r="M1163" s="9" t="inlineStr">
        <is>
          <t>NS</t>
        </is>
      </c>
      <c r="N1163" s="3" t="inlineStr">
        <is>
          <t>Cold Soldering</t>
        </is>
      </c>
      <c r="O1163" s="39" t="n">
        <v>575</v>
      </c>
      <c r="P1163" s="9" t="inlineStr">
        <is>
          <t>NSMI24070193915</t>
        </is>
      </c>
      <c r="Q1163" s="53">
        <f>MID(P1163,5,2)</f>
        <v/>
      </c>
      <c r="R1163" s="53">
        <f>MID(P1163,7,2)</f>
        <v/>
      </c>
      <c r="S1163" s="3" t="inlineStr">
        <is>
          <t>G2G</t>
        </is>
      </c>
      <c r="T1163" s="3" t="inlineStr">
        <is>
          <t>P4</t>
        </is>
      </c>
      <c r="U1163" s="3" t="inlineStr">
        <is>
          <t>N JB Cold Soldering</t>
        </is>
      </c>
      <c r="V1163" s="3" t="inlineStr">
        <is>
          <t>Soldering</t>
        </is>
      </c>
      <c r="W1163" s="3" t="inlineStr">
        <is>
          <t>Repair</t>
        </is>
      </c>
      <c r="X1163" s="18" t="n">
        <v>46157</v>
      </c>
      <c r="Y1163" s="3">
        <f>X1163-A1163</f>
        <v/>
      </c>
      <c r="Z1163" s="18" t="n">
        <v>46157</v>
      </c>
      <c r="AA1163" s="15" t="n"/>
      <c r="AB1163" s="15" t="n"/>
    </row>
    <row r="1164">
      <c r="A1164" s="37" t="n">
        <v>46143</v>
      </c>
      <c r="B1164" s="3" t="n">
        <v>2026</v>
      </c>
      <c r="C1164" s="26" t="inlineStr">
        <is>
          <t>Yanara Power</t>
        </is>
      </c>
      <c r="D1164" s="3" t="inlineStr">
        <is>
          <t>Utility and C&amp;I</t>
        </is>
      </c>
      <c r="E1164" s="3" t="n"/>
      <c r="F1164" s="3" t="inlineStr">
        <is>
          <t>Closed</t>
        </is>
      </c>
      <c r="G1164" s="9" t="inlineStr">
        <is>
          <t xml:space="preserve">Ashish Jindal </t>
        </is>
      </c>
      <c r="H1164" s="26" t="n">
        <v>9983975581</v>
      </c>
      <c r="I1164" s="38" t="inlineStr">
        <is>
          <t>PE01052601</t>
        </is>
      </c>
      <c r="J1164" s="26" t="inlineStr">
        <is>
          <t>Multiple Issues</t>
        </is>
      </c>
      <c r="K1164" s="39" t="inlineStr">
        <is>
          <t>Holi</t>
        </is>
      </c>
      <c r="L1164" s="39" t="inlineStr">
        <is>
          <t>Maharashtra</t>
        </is>
      </c>
      <c r="M1164" s="9" t="inlineStr">
        <is>
          <t>PS</t>
        </is>
      </c>
      <c r="N1164" s="3" t="inlineStr">
        <is>
          <t>Cold Soldering</t>
        </is>
      </c>
      <c r="O1164" s="39" t="n">
        <v>575</v>
      </c>
      <c r="P1164" s="9" t="inlineStr">
        <is>
          <t>NSMI24070215293</t>
        </is>
      </c>
      <c r="Q1164" s="53">
        <f>MID(P1164,5,2)</f>
        <v/>
      </c>
      <c r="R1164" s="53">
        <f>MID(P1164,7,2)</f>
        <v/>
      </c>
      <c r="S1164" s="3" t="inlineStr">
        <is>
          <t>G2G</t>
        </is>
      </c>
      <c r="T1164" s="3" t="inlineStr">
        <is>
          <t>P4</t>
        </is>
      </c>
      <c r="U1164" s="19" t="inlineStr">
        <is>
          <t>P JB Cold Soldering</t>
        </is>
      </c>
      <c r="V1164" s="19" t="inlineStr">
        <is>
          <t>Soldering</t>
        </is>
      </c>
      <c r="W1164" s="3" t="inlineStr">
        <is>
          <t>Repair</t>
        </is>
      </c>
      <c r="X1164" s="18" t="n">
        <v>46157</v>
      </c>
      <c r="Y1164" s="3">
        <f>X1164-A1164</f>
        <v/>
      </c>
      <c r="Z1164" s="18" t="n">
        <v>46157</v>
      </c>
      <c r="AA1164" s="15" t="n"/>
      <c r="AB1164" s="15" t="n"/>
    </row>
    <row r="1165">
      <c r="A1165" s="37" t="n">
        <v>46143</v>
      </c>
      <c r="B1165" s="3" t="n">
        <v>2026</v>
      </c>
      <c r="C1165" s="26" t="inlineStr">
        <is>
          <t>Yanara Power</t>
        </is>
      </c>
      <c r="D1165" s="3" t="inlineStr">
        <is>
          <t>Utility and C&amp;I</t>
        </is>
      </c>
      <c r="E1165" s="3" t="n"/>
      <c r="F1165" s="3" t="inlineStr">
        <is>
          <t>Closed</t>
        </is>
      </c>
      <c r="G1165" s="9" t="inlineStr">
        <is>
          <t xml:space="preserve">Ashish Jindal </t>
        </is>
      </c>
      <c r="H1165" s="26" t="n">
        <v>9983975581</v>
      </c>
      <c r="I1165" s="38" t="inlineStr">
        <is>
          <t>PE01052601</t>
        </is>
      </c>
      <c r="J1165" s="26" t="inlineStr">
        <is>
          <t>Multiple Issues</t>
        </is>
      </c>
      <c r="K1165" s="39" t="inlineStr">
        <is>
          <t>Holi</t>
        </is>
      </c>
      <c r="L1165" s="39" t="inlineStr">
        <is>
          <t>Maharashtra</t>
        </is>
      </c>
      <c r="M1165" s="9" t="inlineStr">
        <is>
          <t>PNS</t>
        </is>
      </c>
      <c r="N1165" s="3" t="inlineStr">
        <is>
          <t>Cold Soldering</t>
        </is>
      </c>
      <c r="O1165" s="39" t="n">
        <v>575</v>
      </c>
      <c r="P1165" s="9" t="inlineStr">
        <is>
          <t>NSMI24070181202</t>
        </is>
      </c>
      <c r="Q1165" s="53">
        <f>MID(P1165,5,2)</f>
        <v/>
      </c>
      <c r="R1165" s="53">
        <f>MID(P1165,7,2)</f>
        <v/>
      </c>
      <c r="S1165" s="3" t="inlineStr">
        <is>
          <t>G2G</t>
        </is>
      </c>
      <c r="T1165" s="3" t="inlineStr">
        <is>
          <t>P4</t>
        </is>
      </c>
      <c r="U1165" s="3" t="inlineStr">
        <is>
          <t>P &amp; N JB Cold Soldering</t>
        </is>
      </c>
      <c r="V1165" s="3" t="inlineStr">
        <is>
          <t>Soldering</t>
        </is>
      </c>
      <c r="W1165" s="3" t="inlineStr">
        <is>
          <t>Repair</t>
        </is>
      </c>
      <c r="X1165" s="18" t="n">
        <v>46157</v>
      </c>
      <c r="Y1165" s="3">
        <f>X1165-A1165</f>
        <v/>
      </c>
      <c r="Z1165" s="18" t="n">
        <v>46157</v>
      </c>
      <c r="AA1165" s="15" t="n"/>
      <c r="AB1165" s="15" t="n"/>
    </row>
    <row r="1166">
      <c r="A1166" s="37" t="n">
        <v>46143</v>
      </c>
      <c r="B1166" s="3" t="n">
        <v>2026</v>
      </c>
      <c r="C1166" s="26" t="inlineStr">
        <is>
          <t>Yanara Power</t>
        </is>
      </c>
      <c r="D1166" s="3" t="inlineStr">
        <is>
          <t>Utility and C&amp;I</t>
        </is>
      </c>
      <c r="E1166" s="3" t="n"/>
      <c r="F1166" s="3" t="inlineStr">
        <is>
          <t>Closed</t>
        </is>
      </c>
      <c r="G1166" s="9" t="inlineStr">
        <is>
          <t xml:space="preserve">Ashish Jindal </t>
        </is>
      </c>
      <c r="H1166" s="26" t="n">
        <v>9983975581</v>
      </c>
      <c r="I1166" s="38" t="inlineStr">
        <is>
          <t>PE01052601</t>
        </is>
      </c>
      <c r="J1166" s="26" t="inlineStr">
        <is>
          <t>Multiple Issues</t>
        </is>
      </c>
      <c r="K1166" s="39" t="inlineStr">
        <is>
          <t>Holi</t>
        </is>
      </c>
      <c r="L1166" s="39" t="inlineStr">
        <is>
          <t>Maharashtra</t>
        </is>
      </c>
      <c r="M1166" s="9" t="inlineStr">
        <is>
          <t>PS</t>
        </is>
      </c>
      <c r="N1166" s="3" t="inlineStr">
        <is>
          <t>Cold Soldering</t>
        </is>
      </c>
      <c r="O1166" s="39" t="n">
        <v>575</v>
      </c>
      <c r="P1166" s="9" t="inlineStr">
        <is>
          <t>NSMI24070180822</t>
        </is>
      </c>
      <c r="Q1166" s="53">
        <f>MID(P1166,5,2)</f>
        <v/>
      </c>
      <c r="R1166" s="53">
        <f>MID(P1166,7,2)</f>
        <v/>
      </c>
      <c r="S1166" s="3" t="inlineStr">
        <is>
          <t>G2G</t>
        </is>
      </c>
      <c r="T1166" s="3" t="inlineStr">
        <is>
          <t>P4</t>
        </is>
      </c>
      <c r="U1166" s="19" t="inlineStr">
        <is>
          <t>P JB Cold Soldering</t>
        </is>
      </c>
      <c r="V1166" s="19" t="inlineStr">
        <is>
          <t>Soldering</t>
        </is>
      </c>
      <c r="W1166" s="3" t="inlineStr">
        <is>
          <t>Repair</t>
        </is>
      </c>
      <c r="X1166" s="18" t="n">
        <v>46157</v>
      </c>
      <c r="Y1166" s="3">
        <f>X1166-A1166</f>
        <v/>
      </c>
      <c r="Z1166" s="18" t="n">
        <v>46157</v>
      </c>
      <c r="AA1166" s="15" t="n"/>
      <c r="AB1166" s="15" t="n"/>
    </row>
    <row r="1167">
      <c r="A1167" s="37" t="n">
        <v>46143</v>
      </c>
      <c r="B1167" s="3" t="n">
        <v>2026</v>
      </c>
      <c r="C1167" s="26" t="inlineStr">
        <is>
          <t>Yanara Power</t>
        </is>
      </c>
      <c r="D1167" s="3" t="inlineStr">
        <is>
          <t>Utility and C&amp;I</t>
        </is>
      </c>
      <c r="E1167" s="3" t="n"/>
      <c r="F1167" s="3" t="inlineStr">
        <is>
          <t>Closed</t>
        </is>
      </c>
      <c r="G1167" s="9" t="inlineStr">
        <is>
          <t xml:space="preserve">Ashish Jindal </t>
        </is>
      </c>
      <c r="H1167" s="26" t="n">
        <v>9983975581</v>
      </c>
      <c r="I1167" s="38" t="inlineStr">
        <is>
          <t>PE01052601</t>
        </is>
      </c>
      <c r="J1167" s="26" t="inlineStr">
        <is>
          <t>Multiple Issues</t>
        </is>
      </c>
      <c r="K1167" s="39" t="inlineStr">
        <is>
          <t>Holi</t>
        </is>
      </c>
      <c r="L1167" s="39" t="inlineStr">
        <is>
          <t>Maharashtra</t>
        </is>
      </c>
      <c r="M1167" s="9" t="inlineStr">
        <is>
          <t>NS</t>
        </is>
      </c>
      <c r="N1167" s="3" t="inlineStr">
        <is>
          <t>Cold Soldering</t>
        </is>
      </c>
      <c r="O1167" s="39" t="n">
        <v>575</v>
      </c>
      <c r="P1167" s="9" t="inlineStr">
        <is>
          <t>NSMI24070195915</t>
        </is>
      </c>
      <c r="Q1167" s="53">
        <f>MID(P1167,5,2)</f>
        <v/>
      </c>
      <c r="R1167" s="53">
        <f>MID(P1167,7,2)</f>
        <v/>
      </c>
      <c r="S1167" s="3" t="inlineStr">
        <is>
          <t>G2G</t>
        </is>
      </c>
      <c r="T1167" s="3" t="inlineStr">
        <is>
          <t>P4</t>
        </is>
      </c>
      <c r="U1167" s="3" t="inlineStr">
        <is>
          <t>N JB Cold Soldering</t>
        </is>
      </c>
      <c r="V1167" s="3" t="inlineStr">
        <is>
          <t>Soldering</t>
        </is>
      </c>
      <c r="W1167" s="3" t="inlineStr">
        <is>
          <t>Repair</t>
        </is>
      </c>
      <c r="X1167" s="18" t="n">
        <v>46157</v>
      </c>
      <c r="Y1167" s="3">
        <f>X1167-A1167</f>
        <v/>
      </c>
      <c r="Z1167" s="18" t="n">
        <v>46157</v>
      </c>
      <c r="AA1167" s="15" t="n"/>
      <c r="AB1167" s="15" t="n"/>
    </row>
    <row r="1168">
      <c r="A1168" s="37" t="n">
        <v>46143</v>
      </c>
      <c r="B1168" s="3" t="n">
        <v>2026</v>
      </c>
      <c r="C1168" s="26" t="inlineStr">
        <is>
          <t>Yanara Power</t>
        </is>
      </c>
      <c r="D1168" s="3" t="inlineStr">
        <is>
          <t>Utility and C&amp;I</t>
        </is>
      </c>
      <c r="E1168" s="3" t="n"/>
      <c r="F1168" s="3" t="inlineStr">
        <is>
          <t>Closed</t>
        </is>
      </c>
      <c r="G1168" s="9" t="inlineStr">
        <is>
          <t xml:space="preserve">Ashish Jindal </t>
        </is>
      </c>
      <c r="H1168" s="26" t="n">
        <v>9983975581</v>
      </c>
      <c r="I1168" s="38" t="inlineStr">
        <is>
          <t>PE01052601</t>
        </is>
      </c>
      <c r="J1168" s="26" t="inlineStr">
        <is>
          <t>Multiple Issues</t>
        </is>
      </c>
      <c r="K1168" s="39" t="inlineStr">
        <is>
          <t>Holi</t>
        </is>
      </c>
      <c r="L1168" s="39" t="inlineStr">
        <is>
          <t>Maharashtra</t>
        </is>
      </c>
      <c r="M1168" s="9" t="inlineStr">
        <is>
          <t>PS</t>
        </is>
      </c>
      <c r="N1168" s="3" t="inlineStr">
        <is>
          <t>Cold Soldering</t>
        </is>
      </c>
      <c r="O1168" s="39" t="n">
        <v>575</v>
      </c>
      <c r="P1168" s="9" t="inlineStr">
        <is>
          <t>NSMI24070201264</t>
        </is>
      </c>
      <c r="Q1168" s="53">
        <f>MID(P1168,5,2)</f>
        <v/>
      </c>
      <c r="R1168" s="53">
        <f>MID(P1168,7,2)</f>
        <v/>
      </c>
      <c r="S1168" s="3" t="inlineStr">
        <is>
          <t>G2G</t>
        </is>
      </c>
      <c r="T1168" s="3" t="inlineStr">
        <is>
          <t>P4</t>
        </is>
      </c>
      <c r="U1168" s="19" t="inlineStr">
        <is>
          <t>P JB Cold Soldering</t>
        </is>
      </c>
      <c r="V1168" s="19" t="inlineStr">
        <is>
          <t>Soldering</t>
        </is>
      </c>
      <c r="W1168" s="3" t="inlineStr">
        <is>
          <t>Repair</t>
        </is>
      </c>
      <c r="X1168" s="18" t="n">
        <v>46157</v>
      </c>
      <c r="Y1168" s="3">
        <f>X1168-A1168</f>
        <v/>
      </c>
      <c r="Z1168" s="18" t="n">
        <v>46157</v>
      </c>
      <c r="AA1168" s="15" t="n"/>
      <c r="AB1168" s="15" t="n"/>
    </row>
    <row r="1169">
      <c r="A1169" s="37" t="n">
        <v>46143</v>
      </c>
      <c r="B1169" s="3" t="n">
        <v>2026</v>
      </c>
      <c r="C1169" s="26" t="inlineStr">
        <is>
          <t>Yanara Power</t>
        </is>
      </c>
      <c r="D1169" s="3" t="inlineStr">
        <is>
          <t>Utility and C&amp;I</t>
        </is>
      </c>
      <c r="E1169" s="3" t="n"/>
      <c r="F1169" s="3" t="inlineStr">
        <is>
          <t>Closed</t>
        </is>
      </c>
      <c r="G1169" s="9" t="inlineStr">
        <is>
          <t xml:space="preserve">Ashish Jindal </t>
        </is>
      </c>
      <c r="H1169" s="26" t="n">
        <v>9983975581</v>
      </c>
      <c r="I1169" s="38" t="inlineStr">
        <is>
          <t>PE01052601</t>
        </is>
      </c>
      <c r="J1169" s="26" t="inlineStr">
        <is>
          <t>Multiple Issues</t>
        </is>
      </c>
      <c r="K1169" s="39" t="inlineStr">
        <is>
          <t>Holi</t>
        </is>
      </c>
      <c r="L1169" s="39" t="inlineStr">
        <is>
          <t>Maharashtra</t>
        </is>
      </c>
      <c r="M1169" s="9" t="inlineStr">
        <is>
          <t>NS</t>
        </is>
      </c>
      <c r="N1169" s="3" t="inlineStr">
        <is>
          <t>Cold Soldering</t>
        </is>
      </c>
      <c r="O1169" s="39" t="n">
        <v>575</v>
      </c>
      <c r="P1169" s="9" t="inlineStr">
        <is>
          <t>NSMI24070179795</t>
        </is>
      </c>
      <c r="Q1169" s="53">
        <f>MID(P1169,5,2)</f>
        <v/>
      </c>
      <c r="R1169" s="53">
        <f>MID(P1169,7,2)</f>
        <v/>
      </c>
      <c r="S1169" s="3" t="inlineStr">
        <is>
          <t>G2G</t>
        </is>
      </c>
      <c r="T1169" s="3" t="inlineStr">
        <is>
          <t>P4</t>
        </is>
      </c>
      <c r="U1169" s="3" t="inlineStr">
        <is>
          <t>N JB Cold Soldering</t>
        </is>
      </c>
      <c r="V1169" s="3" t="inlineStr">
        <is>
          <t>Soldering</t>
        </is>
      </c>
      <c r="W1169" s="3" t="inlineStr">
        <is>
          <t>Repair</t>
        </is>
      </c>
      <c r="X1169" s="18" t="n">
        <v>46157</v>
      </c>
      <c r="Y1169" s="3">
        <f>X1169-A1169</f>
        <v/>
      </c>
      <c r="Z1169" s="18" t="n">
        <v>46157</v>
      </c>
      <c r="AA1169" s="15" t="n"/>
      <c r="AB1169" s="15" t="n"/>
    </row>
    <row r="1170">
      <c r="A1170" s="37" t="n">
        <v>46143</v>
      </c>
      <c r="B1170" s="3" t="n">
        <v>2026</v>
      </c>
      <c r="C1170" s="26" t="inlineStr">
        <is>
          <t>Yanara Power</t>
        </is>
      </c>
      <c r="D1170" s="3" t="inlineStr">
        <is>
          <t>Utility and C&amp;I</t>
        </is>
      </c>
      <c r="E1170" s="3" t="n"/>
      <c r="F1170" s="3" t="inlineStr">
        <is>
          <t>Closed</t>
        </is>
      </c>
      <c r="G1170" s="9" t="inlineStr">
        <is>
          <t xml:space="preserve">Ashish Jindal </t>
        </is>
      </c>
      <c r="H1170" s="26" t="n">
        <v>9983975581</v>
      </c>
      <c r="I1170" s="38" t="inlineStr">
        <is>
          <t>PE01052601</t>
        </is>
      </c>
      <c r="J1170" s="26" t="inlineStr">
        <is>
          <t>Multiple Issues</t>
        </is>
      </c>
      <c r="K1170" s="39" t="inlineStr">
        <is>
          <t>Holi</t>
        </is>
      </c>
      <c r="L1170" s="39" t="inlineStr">
        <is>
          <t>Maharashtra</t>
        </is>
      </c>
      <c r="M1170" s="9" t="inlineStr">
        <is>
          <t>PS</t>
        </is>
      </c>
      <c r="N1170" s="3" t="inlineStr">
        <is>
          <t>Cold Soldering</t>
        </is>
      </c>
      <c r="O1170" s="39" t="n">
        <v>575</v>
      </c>
      <c r="P1170" s="9" t="inlineStr">
        <is>
          <t>NSMI24070180295</t>
        </is>
      </c>
      <c r="Q1170" s="53">
        <f>MID(P1170,5,2)</f>
        <v/>
      </c>
      <c r="R1170" s="53">
        <f>MID(P1170,7,2)</f>
        <v/>
      </c>
      <c r="S1170" s="3" t="inlineStr">
        <is>
          <t>G2G</t>
        </is>
      </c>
      <c r="T1170" s="3" t="inlineStr">
        <is>
          <t>P4</t>
        </is>
      </c>
      <c r="U1170" s="19" t="inlineStr">
        <is>
          <t>P JB Cold Soldering</t>
        </is>
      </c>
      <c r="V1170" s="19" t="inlineStr">
        <is>
          <t>Soldering</t>
        </is>
      </c>
      <c r="W1170" s="3" t="inlineStr">
        <is>
          <t>Repair</t>
        </is>
      </c>
      <c r="X1170" s="18" t="n">
        <v>46157</v>
      </c>
      <c r="Y1170" s="3">
        <f>X1170-A1170</f>
        <v/>
      </c>
      <c r="Z1170" s="18" t="n">
        <v>46157</v>
      </c>
      <c r="AA1170" s="15" t="n"/>
      <c r="AB1170" s="15" t="n"/>
    </row>
    <row r="1171">
      <c r="A1171" s="37" t="n">
        <v>46143</v>
      </c>
      <c r="B1171" s="3" t="n">
        <v>2026</v>
      </c>
      <c r="C1171" s="26" t="inlineStr">
        <is>
          <t>Yanara Power</t>
        </is>
      </c>
      <c r="D1171" s="3" t="inlineStr">
        <is>
          <t>Utility and C&amp;I</t>
        </is>
      </c>
      <c r="E1171" s="3" t="n"/>
      <c r="F1171" s="3" t="inlineStr">
        <is>
          <t>Closed</t>
        </is>
      </c>
      <c r="G1171" s="9" t="inlineStr">
        <is>
          <t xml:space="preserve">Ashish Jindal </t>
        </is>
      </c>
      <c r="H1171" s="26" t="n">
        <v>9983975581</v>
      </c>
      <c r="I1171" s="38" t="inlineStr">
        <is>
          <t>PE01052601</t>
        </is>
      </c>
      <c r="J1171" s="26" t="inlineStr">
        <is>
          <t>Multiple Issues</t>
        </is>
      </c>
      <c r="K1171" s="39" t="inlineStr">
        <is>
          <t>Holi</t>
        </is>
      </c>
      <c r="L1171" s="39" t="inlineStr">
        <is>
          <t>Maharashtra</t>
        </is>
      </c>
      <c r="M1171" s="9" t="inlineStr">
        <is>
          <t>PS</t>
        </is>
      </c>
      <c r="N1171" s="3" t="inlineStr">
        <is>
          <t>Cold Soldering</t>
        </is>
      </c>
      <c r="O1171" s="39" t="n">
        <v>575</v>
      </c>
      <c r="P1171" s="9" t="inlineStr">
        <is>
          <t>NSMI24070180436</t>
        </is>
      </c>
      <c r="Q1171" s="53">
        <f>MID(P1171,5,2)</f>
        <v/>
      </c>
      <c r="R1171" s="53">
        <f>MID(P1171,7,2)</f>
        <v/>
      </c>
      <c r="S1171" s="3" t="inlineStr">
        <is>
          <t>G2G</t>
        </is>
      </c>
      <c r="T1171" s="3" t="inlineStr">
        <is>
          <t>P4</t>
        </is>
      </c>
      <c r="U1171" s="19" t="inlineStr">
        <is>
          <t>P JB Cold Soldering</t>
        </is>
      </c>
      <c r="V1171" s="19" t="inlineStr">
        <is>
          <t>Soldering</t>
        </is>
      </c>
      <c r="W1171" s="3" t="inlineStr">
        <is>
          <t>Repair</t>
        </is>
      </c>
      <c r="X1171" s="18" t="n">
        <v>46157</v>
      </c>
      <c r="Y1171" s="3">
        <f>X1171-A1171</f>
        <v/>
      </c>
      <c r="Z1171" s="18" t="n">
        <v>46157</v>
      </c>
      <c r="AA1171" s="15" t="n"/>
      <c r="AB1171" s="15" t="n"/>
    </row>
    <row r="1172">
      <c r="A1172" s="37" t="n">
        <v>46143</v>
      </c>
      <c r="B1172" s="3" t="n">
        <v>2026</v>
      </c>
      <c r="C1172" s="26" t="inlineStr">
        <is>
          <t>Yanara Power</t>
        </is>
      </c>
      <c r="D1172" s="3" t="inlineStr">
        <is>
          <t>Utility and C&amp;I</t>
        </is>
      </c>
      <c r="E1172" s="3" t="n"/>
      <c r="F1172" s="3" t="inlineStr">
        <is>
          <t>Closed</t>
        </is>
      </c>
      <c r="G1172" s="9" t="inlineStr">
        <is>
          <t xml:space="preserve">Ashish Jindal </t>
        </is>
      </c>
      <c r="H1172" s="26" t="n">
        <v>9983975581</v>
      </c>
      <c r="I1172" s="38" t="inlineStr">
        <is>
          <t>PE01052601</t>
        </is>
      </c>
      <c r="J1172" s="26" t="inlineStr">
        <is>
          <t>Multiple Issues</t>
        </is>
      </c>
      <c r="K1172" s="39" t="inlineStr">
        <is>
          <t>Holi</t>
        </is>
      </c>
      <c r="L1172" s="39" t="inlineStr">
        <is>
          <t>Maharashtra</t>
        </is>
      </c>
      <c r="M1172" s="9" t="inlineStr">
        <is>
          <t>NS</t>
        </is>
      </c>
      <c r="N1172" s="3" t="inlineStr">
        <is>
          <t>Cold Soldering</t>
        </is>
      </c>
      <c r="O1172" s="39" t="n">
        <v>575</v>
      </c>
      <c r="P1172" s="9" t="inlineStr">
        <is>
          <t>NSMI24070179478</t>
        </is>
      </c>
      <c r="Q1172" s="53">
        <f>MID(P1172,5,2)</f>
        <v/>
      </c>
      <c r="R1172" s="53">
        <f>MID(P1172,7,2)</f>
        <v/>
      </c>
      <c r="S1172" s="3" t="inlineStr">
        <is>
          <t>G2G</t>
        </is>
      </c>
      <c r="T1172" s="3" t="inlineStr">
        <is>
          <t>P4</t>
        </is>
      </c>
      <c r="U1172" s="3" t="inlineStr">
        <is>
          <t>N JB Cold Soldering</t>
        </is>
      </c>
      <c r="V1172" s="3" t="inlineStr">
        <is>
          <t>Soldering</t>
        </is>
      </c>
      <c r="W1172" s="3" t="inlineStr">
        <is>
          <t>Repair</t>
        </is>
      </c>
      <c r="X1172" s="18" t="n">
        <v>46157</v>
      </c>
      <c r="Y1172" s="3">
        <f>X1172-A1172</f>
        <v/>
      </c>
      <c r="Z1172" s="18" t="n">
        <v>46157</v>
      </c>
      <c r="AA1172" s="15" t="n"/>
      <c r="AB1172" s="15" t="n"/>
    </row>
    <row r="1173">
      <c r="A1173" s="37" t="n">
        <v>46143</v>
      </c>
      <c r="B1173" s="3" t="n">
        <v>2026</v>
      </c>
      <c r="C1173" s="26" t="inlineStr">
        <is>
          <t>Yanara Power</t>
        </is>
      </c>
      <c r="D1173" s="3" t="inlineStr">
        <is>
          <t>Utility and C&amp;I</t>
        </is>
      </c>
      <c r="E1173" s="3" t="n"/>
      <c r="F1173" s="3" t="inlineStr">
        <is>
          <t>Closed</t>
        </is>
      </c>
      <c r="G1173" s="9" t="inlineStr">
        <is>
          <t xml:space="preserve">Ashish Jindal </t>
        </is>
      </c>
      <c r="H1173" s="26" t="n">
        <v>9983975581</v>
      </c>
      <c r="I1173" s="38" t="inlineStr">
        <is>
          <t>PE01052601</t>
        </is>
      </c>
      <c r="J1173" s="26" t="inlineStr">
        <is>
          <t>Multiple Issues</t>
        </is>
      </c>
      <c r="K1173" s="39" t="inlineStr">
        <is>
          <t>Holi</t>
        </is>
      </c>
      <c r="L1173" s="39" t="inlineStr">
        <is>
          <t>Maharashtra</t>
        </is>
      </c>
      <c r="M1173" s="9" t="inlineStr">
        <is>
          <t>PS</t>
        </is>
      </c>
      <c r="N1173" s="3" t="inlineStr">
        <is>
          <t>Cold Soldering</t>
        </is>
      </c>
      <c r="O1173" s="39" t="n">
        <v>575</v>
      </c>
      <c r="P1173" s="9" t="inlineStr">
        <is>
          <t>NSMI24070165975</t>
        </is>
      </c>
      <c r="Q1173" s="53">
        <f>MID(P1173,5,2)</f>
        <v/>
      </c>
      <c r="R1173" s="53">
        <f>MID(P1173,7,2)</f>
        <v/>
      </c>
      <c r="S1173" s="3" t="inlineStr">
        <is>
          <t>G2G</t>
        </is>
      </c>
      <c r="T1173" s="3" t="inlineStr">
        <is>
          <t>P4</t>
        </is>
      </c>
      <c r="U1173" s="19" t="inlineStr">
        <is>
          <t>P JB Cold Soldering</t>
        </is>
      </c>
      <c r="V1173" s="19" t="inlineStr">
        <is>
          <t>Soldering</t>
        </is>
      </c>
      <c r="W1173" s="3" t="inlineStr">
        <is>
          <t>Repair</t>
        </is>
      </c>
      <c r="X1173" s="18" t="n">
        <v>46157</v>
      </c>
      <c r="Y1173" s="3">
        <f>X1173-A1173</f>
        <v/>
      </c>
      <c r="Z1173" s="18" t="n">
        <v>46157</v>
      </c>
      <c r="AA1173" s="15" t="n"/>
      <c r="AB1173" s="15" t="n"/>
    </row>
    <row r="1174">
      <c r="A1174" s="37" t="n">
        <v>46143</v>
      </c>
      <c r="B1174" s="3" t="n">
        <v>2026</v>
      </c>
      <c r="C1174" s="26" t="inlineStr">
        <is>
          <t>Yanara Power</t>
        </is>
      </c>
      <c r="D1174" s="3" t="inlineStr">
        <is>
          <t>Utility and C&amp;I</t>
        </is>
      </c>
      <c r="E1174" s="3" t="n"/>
      <c r="F1174" s="3" t="inlineStr">
        <is>
          <t>Closed</t>
        </is>
      </c>
      <c r="G1174" s="9" t="inlineStr">
        <is>
          <t xml:space="preserve">Ashish Jindal </t>
        </is>
      </c>
      <c r="H1174" s="26" t="n">
        <v>9983975581</v>
      </c>
      <c r="I1174" s="38" t="inlineStr">
        <is>
          <t>PE01052601</t>
        </is>
      </c>
      <c r="J1174" s="26" t="inlineStr">
        <is>
          <t>Multiple Issues</t>
        </is>
      </c>
      <c r="K1174" s="39" t="inlineStr">
        <is>
          <t>Holi</t>
        </is>
      </c>
      <c r="L1174" s="39" t="inlineStr">
        <is>
          <t>Maharashtra</t>
        </is>
      </c>
      <c r="M1174" s="9" t="inlineStr">
        <is>
          <t>PS</t>
        </is>
      </c>
      <c r="N1174" s="3" t="inlineStr">
        <is>
          <t>Cold Soldering</t>
        </is>
      </c>
      <c r="O1174" s="39" t="n">
        <v>575</v>
      </c>
      <c r="P1174" s="9" t="inlineStr">
        <is>
          <t>NSMI24070165872</t>
        </is>
      </c>
      <c r="Q1174" s="53">
        <f>MID(P1174,5,2)</f>
        <v/>
      </c>
      <c r="R1174" s="53">
        <f>MID(P1174,7,2)</f>
        <v/>
      </c>
      <c r="S1174" s="3" t="inlineStr">
        <is>
          <t>G2G</t>
        </is>
      </c>
      <c r="T1174" s="3" t="inlineStr">
        <is>
          <t>P4</t>
        </is>
      </c>
      <c r="U1174" s="19" t="inlineStr">
        <is>
          <t>P JB Cold Soldering</t>
        </is>
      </c>
      <c r="V1174" s="19" t="inlineStr">
        <is>
          <t>Soldering</t>
        </is>
      </c>
      <c r="W1174" s="3" t="inlineStr">
        <is>
          <t>Repair</t>
        </is>
      </c>
      <c r="X1174" s="18" t="n">
        <v>46157</v>
      </c>
      <c r="Y1174" s="3">
        <f>X1174-A1174</f>
        <v/>
      </c>
      <c r="Z1174" s="18" t="n">
        <v>46157</v>
      </c>
      <c r="AA1174" s="15" t="n"/>
      <c r="AB1174" s="15" t="n"/>
    </row>
    <row r="1175" hidden="1" s="233">
      <c r="A1175" s="6" t="n">
        <v>46107</v>
      </c>
      <c r="B1175" s="3" t="n">
        <v>2026</v>
      </c>
      <c r="C1175" s="3" t="inlineStr">
        <is>
          <t>Blupine</t>
        </is>
      </c>
      <c r="D1175" s="3" t="inlineStr">
        <is>
          <t>Utility and C&amp;I</t>
        </is>
      </c>
      <c r="E1175" s="3" t="n"/>
      <c r="F1175" s="3" t="inlineStr">
        <is>
          <t>Closed</t>
        </is>
      </c>
      <c r="G1175" s="3" t="inlineStr">
        <is>
          <t>Chandrashekar Patidar</t>
        </is>
      </c>
      <c r="H1175" s="3" t="n">
        <v>7879764773</v>
      </c>
      <c r="I1175" s="11" t="inlineStr">
        <is>
          <t>PE26032601</t>
        </is>
      </c>
      <c r="J1175" s="3" t="inlineStr">
        <is>
          <t>Module Diode Failure</t>
        </is>
      </c>
      <c r="K1175" s="3" t="inlineStr">
        <is>
          <t>Sadla</t>
        </is>
      </c>
      <c r="L1175" s="3" t="inlineStr">
        <is>
          <t>Gujarat</t>
        </is>
      </c>
      <c r="M1175" s="9" t="inlineStr">
        <is>
          <t>PNS</t>
        </is>
      </c>
      <c r="N1175" s="3" t="inlineStr">
        <is>
          <t>Cold Soldering</t>
        </is>
      </c>
      <c r="O1175" s="3" t="n">
        <v>570</v>
      </c>
      <c r="P1175" s="9" t="inlineStr">
        <is>
          <t>NSMI24080341932</t>
        </is>
      </c>
      <c r="Q1175" s="53">
        <f>MID(P1175,5,2)</f>
        <v/>
      </c>
      <c r="R1175" s="53">
        <f>MID(P1175,7,2)</f>
        <v/>
      </c>
      <c r="S1175" s="3" t="inlineStr">
        <is>
          <t>G2G</t>
        </is>
      </c>
      <c r="T1175" s="3" t="inlineStr">
        <is>
          <t>P4</t>
        </is>
      </c>
      <c r="U1175" s="3" t="inlineStr">
        <is>
          <t>P &amp; N JB Cold Soldering &amp; Glass Breakage</t>
        </is>
      </c>
      <c r="V1175" s="3" t="inlineStr">
        <is>
          <t>Soldering</t>
        </is>
      </c>
      <c r="W1175" s="3" t="inlineStr">
        <is>
          <t>Repair</t>
        </is>
      </c>
      <c r="X1175" s="18" t="n">
        <v>46158</v>
      </c>
      <c r="Y1175" s="3">
        <f>X1175-A1175</f>
        <v/>
      </c>
      <c r="Z1175" s="18" t="n">
        <v>46158</v>
      </c>
      <c r="AA1175" s="15" t="n"/>
      <c r="AB1175" s="15" t="n"/>
    </row>
    <row r="1176" hidden="1" s="233">
      <c r="A1176" s="6" t="n">
        <v>46107</v>
      </c>
      <c r="B1176" s="3" t="n">
        <v>2026</v>
      </c>
      <c r="C1176" s="3" t="inlineStr">
        <is>
          <t>Blupine</t>
        </is>
      </c>
      <c r="D1176" s="3" t="inlineStr">
        <is>
          <t>Utility and C&amp;I</t>
        </is>
      </c>
      <c r="E1176" s="3" t="n"/>
      <c r="F1176" s="3" t="inlineStr">
        <is>
          <t>Closed</t>
        </is>
      </c>
      <c r="G1176" s="3" t="inlineStr">
        <is>
          <t>Chandrashekar Patidar</t>
        </is>
      </c>
      <c r="H1176" s="3" t="n">
        <v>7879764773</v>
      </c>
      <c r="I1176" s="11" t="inlineStr">
        <is>
          <t>PE26032601</t>
        </is>
      </c>
      <c r="J1176" s="3" t="inlineStr">
        <is>
          <t>Module Diode Failure</t>
        </is>
      </c>
      <c r="K1176" s="3" t="inlineStr">
        <is>
          <t>Sadla</t>
        </is>
      </c>
      <c r="L1176" s="3" t="inlineStr">
        <is>
          <t>Gujarat</t>
        </is>
      </c>
      <c r="M1176" s="9" t="inlineStr">
        <is>
          <t>NS</t>
        </is>
      </c>
      <c r="N1176" s="3" t="inlineStr">
        <is>
          <t>Cold Soldering</t>
        </is>
      </c>
      <c r="O1176" s="3" t="n">
        <v>570</v>
      </c>
      <c r="P1176" s="9" t="inlineStr">
        <is>
          <t>NSMI24060143748</t>
        </is>
      </c>
      <c r="Q1176" s="53">
        <f>MID(P1176,5,2)</f>
        <v/>
      </c>
      <c r="R1176" s="53">
        <f>MID(P1176,7,2)</f>
        <v/>
      </c>
      <c r="S1176" s="3" t="inlineStr">
        <is>
          <t>G2G</t>
        </is>
      </c>
      <c r="T1176" s="3" t="inlineStr">
        <is>
          <t>P4</t>
        </is>
      </c>
      <c r="U1176" s="3" t="inlineStr">
        <is>
          <t>N JB Cold Soldering</t>
        </is>
      </c>
      <c r="V1176" s="3" t="inlineStr">
        <is>
          <t>Soldering</t>
        </is>
      </c>
      <c r="W1176" s="3" t="inlineStr">
        <is>
          <t>Repair</t>
        </is>
      </c>
      <c r="X1176" s="18" t="n">
        <v>46158</v>
      </c>
      <c r="Y1176" s="3">
        <f>X1176-A1176</f>
        <v/>
      </c>
      <c r="Z1176" s="18" t="n">
        <v>46158</v>
      </c>
      <c r="AA1176" s="15" t="n"/>
      <c r="AB1176" s="15" t="n"/>
    </row>
    <row r="1177" hidden="1" s="233">
      <c r="A1177" s="6" t="n">
        <v>46107</v>
      </c>
      <c r="B1177" s="3" t="n">
        <v>2026</v>
      </c>
      <c r="C1177" s="3" t="inlineStr">
        <is>
          <t>Blupine</t>
        </is>
      </c>
      <c r="D1177" s="3" t="inlineStr">
        <is>
          <t>Utility and C&amp;I</t>
        </is>
      </c>
      <c r="E1177" s="3" t="n"/>
      <c r="F1177" s="3" t="inlineStr">
        <is>
          <t>Closed</t>
        </is>
      </c>
      <c r="G1177" s="3" t="inlineStr">
        <is>
          <t>Chandrashekar Patidar</t>
        </is>
      </c>
      <c r="H1177" s="3" t="n">
        <v>7879764773</v>
      </c>
      <c r="I1177" s="11" t="inlineStr">
        <is>
          <t>PE26032601</t>
        </is>
      </c>
      <c r="J1177" s="3" t="inlineStr">
        <is>
          <t>Module Diode Failure</t>
        </is>
      </c>
      <c r="K1177" s="3" t="inlineStr">
        <is>
          <t>Sadla</t>
        </is>
      </c>
      <c r="L1177" s="3" t="inlineStr">
        <is>
          <t>Gujarat</t>
        </is>
      </c>
      <c r="M1177" s="9" t="inlineStr">
        <is>
          <t>PS</t>
        </is>
      </c>
      <c r="N1177" s="3" t="inlineStr">
        <is>
          <t>Cold Soldering</t>
        </is>
      </c>
      <c r="O1177" s="3" t="n">
        <v>570</v>
      </c>
      <c r="P1177" s="9" t="inlineStr">
        <is>
          <t>NSMI24060144177</t>
        </is>
      </c>
      <c r="Q1177" s="53">
        <f>MID(P1177,5,2)</f>
        <v/>
      </c>
      <c r="R1177" s="53">
        <f>MID(P1177,7,2)</f>
        <v/>
      </c>
      <c r="S1177" s="3" t="inlineStr">
        <is>
          <t>G2G</t>
        </is>
      </c>
      <c r="T1177" s="3" t="inlineStr">
        <is>
          <t>P4</t>
        </is>
      </c>
      <c r="U1177" s="3" t="inlineStr">
        <is>
          <t>P JB Cold Soldering</t>
        </is>
      </c>
      <c r="V1177" s="3" t="inlineStr">
        <is>
          <t>Soldering</t>
        </is>
      </c>
      <c r="W1177" s="3" t="inlineStr">
        <is>
          <t>Repair</t>
        </is>
      </c>
      <c r="X1177" s="18" t="n">
        <v>46158</v>
      </c>
      <c r="Y1177" s="3">
        <f>X1177-A1177</f>
        <v/>
      </c>
      <c r="Z1177" s="18" t="n">
        <v>46158</v>
      </c>
      <c r="AA1177" s="15" t="n"/>
      <c r="AB1177" s="15" t="n"/>
    </row>
    <row r="1178" hidden="1" s="233">
      <c r="A1178" s="6" t="n">
        <v>46107</v>
      </c>
      <c r="B1178" s="3" t="n">
        <v>2026</v>
      </c>
      <c r="C1178" s="3" t="inlineStr">
        <is>
          <t>Blupine</t>
        </is>
      </c>
      <c r="D1178" s="3" t="inlineStr">
        <is>
          <t>Utility and C&amp;I</t>
        </is>
      </c>
      <c r="E1178" s="3" t="n"/>
      <c r="F1178" s="3" t="inlineStr">
        <is>
          <t>Closed</t>
        </is>
      </c>
      <c r="G1178" s="3" t="inlineStr">
        <is>
          <t>Chandrashekar Patidar</t>
        </is>
      </c>
      <c r="H1178" s="3" t="n">
        <v>7879764773</v>
      </c>
      <c r="I1178" s="11" t="inlineStr">
        <is>
          <t>PE26032601</t>
        </is>
      </c>
      <c r="J1178" s="3" t="inlineStr">
        <is>
          <t>Module Diode Failure</t>
        </is>
      </c>
      <c r="K1178" s="3" t="inlineStr">
        <is>
          <t>Sadla</t>
        </is>
      </c>
      <c r="L1178" s="3" t="inlineStr">
        <is>
          <t>Gujarat</t>
        </is>
      </c>
      <c r="M1178" s="9" t="inlineStr">
        <is>
          <t>PS</t>
        </is>
      </c>
      <c r="N1178" s="3" t="inlineStr">
        <is>
          <t>Cold Soldering</t>
        </is>
      </c>
      <c r="O1178" s="3" t="n">
        <v>570</v>
      </c>
      <c r="P1178" s="9" t="inlineStr">
        <is>
          <t>NSMI24060162318</t>
        </is>
      </c>
      <c r="Q1178" s="53">
        <f>MID(P1178,5,2)</f>
        <v/>
      </c>
      <c r="R1178" s="53">
        <f>MID(P1178,7,2)</f>
        <v/>
      </c>
      <c r="S1178" s="3" t="inlineStr">
        <is>
          <t>G2G</t>
        </is>
      </c>
      <c r="T1178" s="3" t="inlineStr">
        <is>
          <t>P4</t>
        </is>
      </c>
      <c r="U1178" s="3" t="inlineStr">
        <is>
          <t>P JB Cold Soldering</t>
        </is>
      </c>
      <c r="V1178" s="3" t="inlineStr">
        <is>
          <t>Soldering</t>
        </is>
      </c>
      <c r="W1178" s="3" t="inlineStr">
        <is>
          <t>Repair</t>
        </is>
      </c>
      <c r="X1178" s="18" t="n">
        <v>46158</v>
      </c>
      <c r="Y1178" s="3">
        <f>X1178-A1178</f>
        <v/>
      </c>
      <c r="Z1178" s="18" t="n">
        <v>46158</v>
      </c>
      <c r="AA1178" s="15" t="n"/>
      <c r="AB1178" s="15" t="n"/>
    </row>
    <row r="1179" hidden="1" s="233">
      <c r="A1179" s="6" t="n">
        <v>46107</v>
      </c>
      <c r="B1179" s="3" t="n">
        <v>2026</v>
      </c>
      <c r="C1179" s="3" t="inlineStr">
        <is>
          <t>Blupine</t>
        </is>
      </c>
      <c r="D1179" s="3" t="inlineStr">
        <is>
          <t>Utility and C&amp;I</t>
        </is>
      </c>
      <c r="E1179" s="3" t="n"/>
      <c r="F1179" s="3" t="inlineStr">
        <is>
          <t>Closed</t>
        </is>
      </c>
      <c r="G1179" s="3" t="inlineStr">
        <is>
          <t>Chandrashekar Patidar</t>
        </is>
      </c>
      <c r="H1179" s="3" t="n">
        <v>7879764773</v>
      </c>
      <c r="I1179" s="11" t="inlineStr">
        <is>
          <t>PE26032601</t>
        </is>
      </c>
      <c r="J1179" s="3" t="inlineStr">
        <is>
          <t>Module Diode Failure</t>
        </is>
      </c>
      <c r="K1179" s="3" t="inlineStr">
        <is>
          <t>Sadla</t>
        </is>
      </c>
      <c r="L1179" s="3" t="inlineStr">
        <is>
          <t>Gujarat</t>
        </is>
      </c>
      <c r="M1179" s="9" t="inlineStr">
        <is>
          <t>NS</t>
        </is>
      </c>
      <c r="N1179" s="3" t="inlineStr">
        <is>
          <t>Cold Soldering</t>
        </is>
      </c>
      <c r="O1179" s="3" t="n">
        <v>570</v>
      </c>
      <c r="P1179" s="9" t="inlineStr">
        <is>
          <t>NSMI24060163039</t>
        </is>
      </c>
      <c r="Q1179" s="53">
        <f>MID(P1179,5,2)</f>
        <v/>
      </c>
      <c r="R1179" s="53">
        <f>MID(P1179,7,2)</f>
        <v/>
      </c>
      <c r="S1179" s="3" t="inlineStr">
        <is>
          <t>G2G</t>
        </is>
      </c>
      <c r="T1179" s="3" t="inlineStr">
        <is>
          <t>P4</t>
        </is>
      </c>
      <c r="U1179" s="3" t="inlineStr">
        <is>
          <t>N JB Cold Soldering</t>
        </is>
      </c>
      <c r="V1179" s="3" t="inlineStr">
        <is>
          <t>Soldering</t>
        </is>
      </c>
      <c r="W1179" s="3" t="inlineStr">
        <is>
          <t>Repair</t>
        </is>
      </c>
      <c r="X1179" s="18" t="n">
        <v>46158</v>
      </c>
      <c r="Y1179" s="3">
        <f>X1179-A1179</f>
        <v/>
      </c>
      <c r="Z1179" s="18" t="n">
        <v>46158</v>
      </c>
      <c r="AA1179" s="15" t="n"/>
      <c r="AB1179" s="15" t="n"/>
    </row>
    <row r="1180" hidden="1" s="233">
      <c r="A1180" s="6" t="n">
        <v>46107</v>
      </c>
      <c r="B1180" s="3" t="n">
        <v>2026</v>
      </c>
      <c r="C1180" s="3" t="inlineStr">
        <is>
          <t>Blupine</t>
        </is>
      </c>
      <c r="D1180" s="3" t="inlineStr">
        <is>
          <t>Utility and C&amp;I</t>
        </is>
      </c>
      <c r="E1180" s="3" t="n"/>
      <c r="F1180" s="3" t="inlineStr">
        <is>
          <t>Closed</t>
        </is>
      </c>
      <c r="G1180" s="3" t="inlineStr">
        <is>
          <t>Chandrashekar Patidar</t>
        </is>
      </c>
      <c r="H1180" s="3" t="n">
        <v>7879764773</v>
      </c>
      <c r="I1180" s="11" t="inlineStr">
        <is>
          <t>PE26032601</t>
        </is>
      </c>
      <c r="J1180" s="3" t="inlineStr">
        <is>
          <t>Module Diode Failure</t>
        </is>
      </c>
      <c r="K1180" s="3" t="inlineStr">
        <is>
          <t>Sadla</t>
        </is>
      </c>
      <c r="L1180" s="3" t="inlineStr">
        <is>
          <t>Gujarat</t>
        </is>
      </c>
      <c r="M1180" s="9" t="inlineStr">
        <is>
          <t>NS</t>
        </is>
      </c>
      <c r="N1180" s="3" t="inlineStr">
        <is>
          <t>Cold Soldering</t>
        </is>
      </c>
      <c r="O1180" s="3" t="n">
        <v>570</v>
      </c>
      <c r="P1180" s="9" t="inlineStr">
        <is>
          <t>NSMI24060145838</t>
        </is>
      </c>
      <c r="Q1180" s="53">
        <f>MID(P1180,5,2)</f>
        <v/>
      </c>
      <c r="R1180" s="53">
        <f>MID(P1180,7,2)</f>
        <v/>
      </c>
      <c r="S1180" s="3" t="inlineStr">
        <is>
          <t>G2G</t>
        </is>
      </c>
      <c r="T1180" s="3" t="inlineStr">
        <is>
          <t>P4</t>
        </is>
      </c>
      <c r="U1180" s="3" t="inlineStr">
        <is>
          <t>N JB Cold Soldering</t>
        </is>
      </c>
      <c r="V1180" s="3" t="inlineStr">
        <is>
          <t>Soldering</t>
        </is>
      </c>
      <c r="W1180" s="3" t="inlineStr">
        <is>
          <t>Repair</t>
        </is>
      </c>
      <c r="X1180" s="18" t="n">
        <v>46158</v>
      </c>
      <c r="Y1180" s="3">
        <f>X1180-A1180</f>
        <v/>
      </c>
      <c r="Z1180" s="18" t="n">
        <v>46158</v>
      </c>
      <c r="AA1180" s="15" t="n"/>
      <c r="AB1180" s="15" t="n"/>
    </row>
    <row r="1181" hidden="1" s="233">
      <c r="A1181" s="6" t="n">
        <v>46107</v>
      </c>
      <c r="B1181" s="3" t="n">
        <v>2026</v>
      </c>
      <c r="C1181" s="3" t="inlineStr">
        <is>
          <t>Blupine</t>
        </is>
      </c>
      <c r="D1181" s="3" t="inlineStr">
        <is>
          <t>Utility and C&amp;I</t>
        </is>
      </c>
      <c r="E1181" s="3" t="n"/>
      <c r="F1181" s="3" t="inlineStr">
        <is>
          <t>Closed</t>
        </is>
      </c>
      <c r="G1181" s="3" t="inlineStr">
        <is>
          <t>Chandrashekar Patidar</t>
        </is>
      </c>
      <c r="H1181" s="3" t="n">
        <v>7879764773</v>
      </c>
      <c r="I1181" s="11" t="inlineStr">
        <is>
          <t>PE26032601</t>
        </is>
      </c>
      <c r="J1181" s="3" t="inlineStr">
        <is>
          <t>Module Diode Failure</t>
        </is>
      </c>
      <c r="K1181" s="3" t="inlineStr">
        <is>
          <t>Sadla</t>
        </is>
      </c>
      <c r="L1181" s="3" t="inlineStr">
        <is>
          <t>Gujarat</t>
        </is>
      </c>
      <c r="M1181" s="9" t="inlineStr">
        <is>
          <t>NS</t>
        </is>
      </c>
      <c r="N1181" s="3" t="inlineStr">
        <is>
          <t>Cold Soldering</t>
        </is>
      </c>
      <c r="O1181" s="3" t="n">
        <v>570</v>
      </c>
      <c r="P1181" s="9" t="inlineStr">
        <is>
          <t>NSMI24060151087</t>
        </is>
      </c>
      <c r="Q1181" s="53">
        <f>MID(P1181,5,2)</f>
        <v/>
      </c>
      <c r="R1181" s="53">
        <f>MID(P1181,7,2)</f>
        <v/>
      </c>
      <c r="S1181" s="3" t="inlineStr">
        <is>
          <t>G2G</t>
        </is>
      </c>
      <c r="T1181" s="3" t="inlineStr">
        <is>
          <t>P4</t>
        </is>
      </c>
      <c r="U1181" s="3" t="inlineStr">
        <is>
          <t>N JB Cold Soldering</t>
        </is>
      </c>
      <c r="V1181" s="3" t="inlineStr">
        <is>
          <t>Soldering</t>
        </is>
      </c>
      <c r="W1181" s="3" t="inlineStr">
        <is>
          <t>Repair</t>
        </is>
      </c>
      <c r="X1181" s="18" t="n">
        <v>46158</v>
      </c>
      <c r="Y1181" s="3">
        <f>X1181-A1181</f>
        <v/>
      </c>
      <c r="Z1181" s="18" t="n">
        <v>46158</v>
      </c>
      <c r="AA1181" s="15" t="n"/>
      <c r="AB1181" s="15" t="n"/>
    </row>
    <row r="1182" hidden="1" s="233">
      <c r="A1182" s="6" t="n">
        <v>46107</v>
      </c>
      <c r="B1182" s="3" t="n">
        <v>2026</v>
      </c>
      <c r="C1182" s="3" t="inlineStr">
        <is>
          <t>Blupine</t>
        </is>
      </c>
      <c r="D1182" s="3" t="inlineStr">
        <is>
          <t>Utility and C&amp;I</t>
        </is>
      </c>
      <c r="E1182" s="3" t="n"/>
      <c r="F1182" s="3" t="inlineStr">
        <is>
          <t>Closed</t>
        </is>
      </c>
      <c r="G1182" s="3" t="inlineStr">
        <is>
          <t>Chandrashekar Patidar</t>
        </is>
      </c>
      <c r="H1182" s="3" t="n">
        <v>7879764773</v>
      </c>
      <c r="I1182" s="11" t="inlineStr">
        <is>
          <t>PE26032601</t>
        </is>
      </c>
      <c r="J1182" s="3" t="inlineStr">
        <is>
          <t>Module Diode Failure</t>
        </is>
      </c>
      <c r="K1182" s="3" t="inlineStr">
        <is>
          <t>Sadla</t>
        </is>
      </c>
      <c r="L1182" s="3" t="inlineStr">
        <is>
          <t>Gujarat</t>
        </is>
      </c>
      <c r="M1182" s="9" t="inlineStr">
        <is>
          <t>NS</t>
        </is>
      </c>
      <c r="N1182" s="3" t="inlineStr">
        <is>
          <t>Cold Soldering</t>
        </is>
      </c>
      <c r="O1182" s="3" t="n">
        <v>570</v>
      </c>
      <c r="P1182" s="9" t="inlineStr">
        <is>
          <t>NSMI24060145983</t>
        </is>
      </c>
      <c r="Q1182" s="53">
        <f>MID(P1182,5,2)</f>
        <v/>
      </c>
      <c r="R1182" s="53">
        <f>MID(P1182,7,2)</f>
        <v/>
      </c>
      <c r="S1182" s="3" t="inlineStr">
        <is>
          <t>G2G</t>
        </is>
      </c>
      <c r="T1182" s="3" t="inlineStr">
        <is>
          <t>P4</t>
        </is>
      </c>
      <c r="U1182" s="3" t="inlineStr">
        <is>
          <t>N JB Cold Soldering &amp; Glass Breakage</t>
        </is>
      </c>
      <c r="V1182" s="3" t="inlineStr">
        <is>
          <t>Soldering</t>
        </is>
      </c>
      <c r="W1182" s="3" t="inlineStr">
        <is>
          <t>Repair</t>
        </is>
      </c>
      <c r="X1182" s="18" t="n">
        <v>46158</v>
      </c>
      <c r="Y1182" s="3">
        <f>X1182-A1182</f>
        <v/>
      </c>
      <c r="Z1182" s="18" t="n">
        <v>46158</v>
      </c>
      <c r="AA1182" s="15" t="n"/>
      <c r="AB1182" s="15" t="n"/>
    </row>
    <row r="1183" hidden="1" s="233">
      <c r="A1183" s="6" t="n">
        <v>46107</v>
      </c>
      <c r="B1183" s="3" t="n">
        <v>2026</v>
      </c>
      <c r="C1183" s="3" t="inlineStr">
        <is>
          <t>Blupine</t>
        </is>
      </c>
      <c r="D1183" s="3" t="inlineStr">
        <is>
          <t>Utility and C&amp;I</t>
        </is>
      </c>
      <c r="E1183" s="3" t="n"/>
      <c r="F1183" s="3" t="inlineStr">
        <is>
          <t>Closed</t>
        </is>
      </c>
      <c r="G1183" s="3" t="inlineStr">
        <is>
          <t>Chandrashekar Patidar</t>
        </is>
      </c>
      <c r="H1183" s="3" t="n">
        <v>7879764773</v>
      </c>
      <c r="I1183" s="11" t="inlineStr">
        <is>
          <t>PE26032601</t>
        </is>
      </c>
      <c r="J1183" s="3" t="inlineStr">
        <is>
          <t>Module Diode Failure</t>
        </is>
      </c>
      <c r="K1183" s="3" t="inlineStr">
        <is>
          <t>Sadla</t>
        </is>
      </c>
      <c r="L1183" s="3" t="inlineStr">
        <is>
          <t>Gujarat</t>
        </is>
      </c>
      <c r="M1183" s="9" t="inlineStr">
        <is>
          <t>PS</t>
        </is>
      </c>
      <c r="N1183" s="3" t="inlineStr">
        <is>
          <t>Cold Soldering</t>
        </is>
      </c>
      <c r="O1183" s="3" t="n">
        <v>570</v>
      </c>
      <c r="P1183" s="9" t="inlineStr">
        <is>
          <t>NSMI24060145754</t>
        </is>
      </c>
      <c r="Q1183" s="53">
        <f>MID(P1183,5,2)</f>
        <v/>
      </c>
      <c r="R1183" s="53">
        <f>MID(P1183,7,2)</f>
        <v/>
      </c>
      <c r="S1183" s="3" t="inlineStr">
        <is>
          <t>G2G</t>
        </is>
      </c>
      <c r="T1183" s="3" t="inlineStr">
        <is>
          <t>P4</t>
        </is>
      </c>
      <c r="U1183" s="3" t="inlineStr">
        <is>
          <t>P JB Cold Soldering</t>
        </is>
      </c>
      <c r="V1183" s="3" t="inlineStr">
        <is>
          <t>Soldering</t>
        </is>
      </c>
      <c r="W1183" s="3" t="inlineStr">
        <is>
          <t>Repair</t>
        </is>
      </c>
      <c r="X1183" s="18" t="n">
        <v>46158</v>
      </c>
      <c r="Y1183" s="3">
        <f>X1183-A1183</f>
        <v/>
      </c>
      <c r="Z1183" s="18" t="n">
        <v>46158</v>
      </c>
      <c r="AA1183" s="15" t="n"/>
      <c r="AB1183" s="15" t="n"/>
    </row>
    <row r="1184" hidden="1" s="233">
      <c r="A1184" s="6" t="n">
        <v>46107</v>
      </c>
      <c r="B1184" s="3" t="n">
        <v>2026</v>
      </c>
      <c r="C1184" s="3" t="inlineStr">
        <is>
          <t>Blupine</t>
        </is>
      </c>
      <c r="D1184" s="3" t="inlineStr">
        <is>
          <t>Utility and C&amp;I</t>
        </is>
      </c>
      <c r="E1184" s="3" t="n"/>
      <c r="F1184" s="3" t="inlineStr">
        <is>
          <t>Closed</t>
        </is>
      </c>
      <c r="G1184" s="3" t="inlineStr">
        <is>
          <t>Chandrashekar Patidar</t>
        </is>
      </c>
      <c r="H1184" s="3" t="n">
        <v>7879764773</v>
      </c>
      <c r="I1184" s="11" t="inlineStr">
        <is>
          <t>PE26032601</t>
        </is>
      </c>
      <c r="J1184" s="3" t="inlineStr">
        <is>
          <t>Module Diode Failure</t>
        </is>
      </c>
      <c r="K1184" s="3" t="inlineStr">
        <is>
          <t>Sadla</t>
        </is>
      </c>
      <c r="L1184" s="3" t="inlineStr">
        <is>
          <t>Gujarat</t>
        </is>
      </c>
      <c r="M1184" s="9" t="inlineStr">
        <is>
          <t>NS</t>
        </is>
      </c>
      <c r="N1184" s="3" t="inlineStr">
        <is>
          <t>Cold Soldering</t>
        </is>
      </c>
      <c r="O1184" s="3" t="n">
        <v>570</v>
      </c>
      <c r="P1184" s="9" t="inlineStr">
        <is>
          <t>NSMI24060156209</t>
        </is>
      </c>
      <c r="Q1184" s="53">
        <f>MID(P1184,5,2)</f>
        <v/>
      </c>
      <c r="R1184" s="53">
        <f>MID(P1184,7,2)</f>
        <v/>
      </c>
      <c r="S1184" s="3" t="inlineStr">
        <is>
          <t>G2G</t>
        </is>
      </c>
      <c r="T1184" s="3" t="inlineStr">
        <is>
          <t>P4</t>
        </is>
      </c>
      <c r="U1184" s="3" t="inlineStr">
        <is>
          <t>N JB Cold Soldering</t>
        </is>
      </c>
      <c r="V1184" s="3" t="inlineStr">
        <is>
          <t>Soldering</t>
        </is>
      </c>
      <c r="W1184" s="3" t="inlineStr">
        <is>
          <t>Repair</t>
        </is>
      </c>
      <c r="X1184" s="18" t="n">
        <v>46158</v>
      </c>
      <c r="Y1184" s="3">
        <f>X1184-A1184</f>
        <v/>
      </c>
      <c r="Z1184" s="18" t="n">
        <v>46158</v>
      </c>
      <c r="AA1184" s="15" t="n"/>
      <c r="AB1184" s="15" t="n"/>
    </row>
    <row r="1185" hidden="1" s="233">
      <c r="A1185" s="6" t="n">
        <v>46107</v>
      </c>
      <c r="B1185" s="3" t="n">
        <v>2026</v>
      </c>
      <c r="C1185" s="3" t="inlineStr">
        <is>
          <t>Blupine</t>
        </is>
      </c>
      <c r="D1185" s="3" t="inlineStr">
        <is>
          <t>Utility and C&amp;I</t>
        </is>
      </c>
      <c r="E1185" s="3" t="n"/>
      <c r="F1185" s="3" t="inlineStr">
        <is>
          <t>Closed</t>
        </is>
      </c>
      <c r="G1185" s="3" t="inlineStr">
        <is>
          <t>Chandrashekar Patidar</t>
        </is>
      </c>
      <c r="H1185" s="3" t="n">
        <v>7879764773</v>
      </c>
      <c r="I1185" s="11" t="inlineStr">
        <is>
          <t>PE26032601</t>
        </is>
      </c>
      <c r="J1185" s="3" t="inlineStr">
        <is>
          <t>Module Diode Failure</t>
        </is>
      </c>
      <c r="K1185" s="3" t="inlineStr">
        <is>
          <t>Sadla</t>
        </is>
      </c>
      <c r="L1185" s="3" t="inlineStr">
        <is>
          <t>Gujarat</t>
        </is>
      </c>
      <c r="M1185" s="9" t="inlineStr">
        <is>
          <t>PR</t>
        </is>
      </c>
      <c r="N1185" s="3" t="inlineStr">
        <is>
          <t>JB Issue</t>
        </is>
      </c>
      <c r="O1185" s="3" t="n">
        <v>570</v>
      </c>
      <c r="P1185" s="9" t="inlineStr">
        <is>
          <t>NSMI24060159804</t>
        </is>
      </c>
      <c r="Q1185" s="53">
        <f>MID(P1185,5,2)</f>
        <v/>
      </c>
      <c r="R1185" s="53">
        <f>MID(P1185,7,2)</f>
        <v/>
      </c>
      <c r="S1185" s="3" t="inlineStr">
        <is>
          <t>G2G</t>
        </is>
      </c>
      <c r="T1185" s="3" t="inlineStr">
        <is>
          <t>P4</t>
        </is>
      </c>
      <c r="U1185" s="3" t="inlineStr">
        <is>
          <t>P JB Issue</t>
        </is>
      </c>
      <c r="V1185" s="15" t="inlineStr">
        <is>
          <t>JB Changed</t>
        </is>
      </c>
      <c r="W1185" s="3" t="inlineStr">
        <is>
          <t>Repair</t>
        </is>
      </c>
      <c r="X1185" s="18" t="n">
        <v>46158</v>
      </c>
      <c r="Y1185" s="3">
        <f>X1185-A1185</f>
        <v/>
      </c>
      <c r="Z1185" s="18" t="n">
        <v>46158</v>
      </c>
      <c r="AA1185" s="15" t="n"/>
      <c r="AB1185" s="15" t="n"/>
    </row>
    <row r="1186" hidden="1" s="233">
      <c r="A1186" s="6" t="n">
        <v>46107</v>
      </c>
      <c r="B1186" s="3" t="n">
        <v>2026</v>
      </c>
      <c r="C1186" s="3" t="inlineStr">
        <is>
          <t>Blupine</t>
        </is>
      </c>
      <c r="D1186" s="3" t="inlineStr">
        <is>
          <t>Utility and C&amp;I</t>
        </is>
      </c>
      <c r="E1186" s="3" t="n"/>
      <c r="F1186" s="3" t="inlineStr">
        <is>
          <t>Closed</t>
        </is>
      </c>
      <c r="G1186" s="3" t="inlineStr">
        <is>
          <t>Chandrashekar Patidar</t>
        </is>
      </c>
      <c r="H1186" s="3" t="n">
        <v>7879764773</v>
      </c>
      <c r="I1186" s="11" t="inlineStr">
        <is>
          <t>PE26032601</t>
        </is>
      </c>
      <c r="J1186" s="3" t="inlineStr">
        <is>
          <t>Module Diode Failure</t>
        </is>
      </c>
      <c r="K1186" s="3" t="inlineStr">
        <is>
          <t>Sadla</t>
        </is>
      </c>
      <c r="L1186" s="3" t="inlineStr">
        <is>
          <t>Gujarat</t>
        </is>
      </c>
      <c r="M1186" s="9" t="inlineStr">
        <is>
          <t>NS</t>
        </is>
      </c>
      <c r="N1186" s="3" t="inlineStr">
        <is>
          <t>Cold Soldering</t>
        </is>
      </c>
      <c r="O1186" s="3" t="n">
        <v>570</v>
      </c>
      <c r="P1186" s="9" t="inlineStr">
        <is>
          <t>NSMI24060153744</t>
        </is>
      </c>
      <c r="Q1186" s="53">
        <f>MID(P1186,5,2)</f>
        <v/>
      </c>
      <c r="R1186" s="53">
        <f>MID(P1186,7,2)</f>
        <v/>
      </c>
      <c r="S1186" s="3" t="inlineStr">
        <is>
          <t>G2G</t>
        </is>
      </c>
      <c r="T1186" s="3" t="inlineStr">
        <is>
          <t>P4</t>
        </is>
      </c>
      <c r="U1186" s="3" t="inlineStr">
        <is>
          <t>N JB Cold Soldering</t>
        </is>
      </c>
      <c r="V1186" s="3" t="inlineStr">
        <is>
          <t>Soldering</t>
        </is>
      </c>
      <c r="W1186" s="3" t="inlineStr">
        <is>
          <t>Repair</t>
        </is>
      </c>
      <c r="X1186" s="18" t="n">
        <v>46158</v>
      </c>
      <c r="Y1186" s="3">
        <f>X1186-A1186</f>
        <v/>
      </c>
      <c r="Z1186" s="18" t="n">
        <v>46158</v>
      </c>
      <c r="AA1186" s="15" t="n"/>
      <c r="AB1186" s="15" t="n"/>
    </row>
    <row r="1187" hidden="1" s="233">
      <c r="A1187" s="6" t="n">
        <v>46107</v>
      </c>
      <c r="B1187" s="3" t="n">
        <v>2026</v>
      </c>
      <c r="C1187" s="3" t="inlineStr">
        <is>
          <t>Blupine</t>
        </is>
      </c>
      <c r="D1187" s="3" t="inlineStr">
        <is>
          <t>Utility and C&amp;I</t>
        </is>
      </c>
      <c r="E1187" s="3" t="n"/>
      <c r="F1187" s="3" t="inlineStr">
        <is>
          <t>Closed</t>
        </is>
      </c>
      <c r="G1187" s="3" t="inlineStr">
        <is>
          <t>Chandrashekar Patidar</t>
        </is>
      </c>
      <c r="H1187" s="3" t="n">
        <v>7879764773</v>
      </c>
      <c r="I1187" s="11" t="inlineStr">
        <is>
          <t>PE26032601</t>
        </is>
      </c>
      <c r="J1187" s="3" t="inlineStr">
        <is>
          <t>Module Diode Failure</t>
        </is>
      </c>
      <c r="K1187" s="3" t="inlineStr">
        <is>
          <t>Sadla</t>
        </is>
      </c>
      <c r="L1187" s="3" t="inlineStr">
        <is>
          <t>Gujarat</t>
        </is>
      </c>
      <c r="M1187" s="9" t="inlineStr">
        <is>
          <t>NS</t>
        </is>
      </c>
      <c r="N1187" s="3" t="inlineStr">
        <is>
          <t>Cold Soldering</t>
        </is>
      </c>
      <c r="O1187" s="3" t="n">
        <v>570</v>
      </c>
      <c r="P1187" s="9" t="inlineStr">
        <is>
          <t>NSMI24060159370</t>
        </is>
      </c>
      <c r="Q1187" s="53">
        <f>MID(P1187,5,2)</f>
        <v/>
      </c>
      <c r="R1187" s="53">
        <f>MID(P1187,7,2)</f>
        <v/>
      </c>
      <c r="S1187" s="3" t="inlineStr">
        <is>
          <t>G2G</t>
        </is>
      </c>
      <c r="T1187" s="3" t="inlineStr">
        <is>
          <t>P4</t>
        </is>
      </c>
      <c r="U1187" s="3" t="inlineStr">
        <is>
          <t>N JB Cold Soldering</t>
        </is>
      </c>
      <c r="V1187" s="3" t="inlineStr">
        <is>
          <t>Soldering</t>
        </is>
      </c>
      <c r="W1187" s="3" t="inlineStr">
        <is>
          <t>Repair</t>
        </is>
      </c>
      <c r="X1187" s="18" t="n">
        <v>46158</v>
      </c>
      <c r="Y1187" s="3">
        <f>X1187-A1187</f>
        <v/>
      </c>
      <c r="Z1187" s="18" t="n">
        <v>46158</v>
      </c>
      <c r="AA1187" s="15" t="n"/>
      <c r="AB1187" s="15" t="n"/>
    </row>
    <row r="1188" hidden="1" s="233">
      <c r="A1188" s="6" t="n">
        <v>46107</v>
      </c>
      <c r="B1188" s="3" t="n">
        <v>2026</v>
      </c>
      <c r="C1188" s="3" t="inlineStr">
        <is>
          <t>Blupine</t>
        </is>
      </c>
      <c r="D1188" s="3" t="inlineStr">
        <is>
          <t>Utility and C&amp;I</t>
        </is>
      </c>
      <c r="E1188" s="3" t="n"/>
      <c r="F1188" s="3" t="inlineStr">
        <is>
          <t>Closed</t>
        </is>
      </c>
      <c r="G1188" s="3" t="inlineStr">
        <is>
          <t>Chandrashekar Patidar</t>
        </is>
      </c>
      <c r="H1188" s="3" t="n">
        <v>7879764773</v>
      </c>
      <c r="I1188" s="11" t="inlineStr">
        <is>
          <t>PE26032601</t>
        </is>
      </c>
      <c r="J1188" s="3" t="inlineStr">
        <is>
          <t>Module Diode Failure</t>
        </is>
      </c>
      <c r="K1188" s="3" t="inlineStr">
        <is>
          <t>Sadla</t>
        </is>
      </c>
      <c r="L1188" s="3" t="inlineStr">
        <is>
          <t>Gujarat</t>
        </is>
      </c>
      <c r="M1188" s="9" t="inlineStr">
        <is>
          <t>NS</t>
        </is>
      </c>
      <c r="N1188" s="3" t="inlineStr">
        <is>
          <t>Cold Soldering</t>
        </is>
      </c>
      <c r="O1188" s="3" t="n">
        <v>570</v>
      </c>
      <c r="P1188" s="9" t="inlineStr">
        <is>
          <t>NSMI24060161072</t>
        </is>
      </c>
      <c r="Q1188" s="53">
        <f>MID(P1188,5,2)</f>
        <v/>
      </c>
      <c r="R1188" s="53">
        <f>MID(P1188,7,2)</f>
        <v/>
      </c>
      <c r="S1188" s="3" t="inlineStr">
        <is>
          <t>G2G</t>
        </is>
      </c>
      <c r="T1188" s="3" t="inlineStr">
        <is>
          <t>P4</t>
        </is>
      </c>
      <c r="U1188" s="3" t="inlineStr">
        <is>
          <t>N JB Cold Soldering</t>
        </is>
      </c>
      <c r="V1188" s="3" t="inlineStr">
        <is>
          <t>Soldering</t>
        </is>
      </c>
      <c r="W1188" s="3" t="inlineStr">
        <is>
          <t>Repair</t>
        </is>
      </c>
      <c r="X1188" s="18" t="n">
        <v>46158</v>
      </c>
      <c r="Y1188" s="3">
        <f>X1188-A1188</f>
        <v/>
      </c>
      <c r="Z1188" s="18" t="n">
        <v>46158</v>
      </c>
      <c r="AA1188" s="15" t="n"/>
      <c r="AB1188" s="15" t="n"/>
    </row>
    <row r="1189" hidden="1" s="233">
      <c r="A1189" s="6" t="n">
        <v>46107</v>
      </c>
      <c r="B1189" s="3" t="n">
        <v>2026</v>
      </c>
      <c r="C1189" s="3" t="inlineStr">
        <is>
          <t>Blupine</t>
        </is>
      </c>
      <c r="D1189" s="3" t="inlineStr">
        <is>
          <t>Utility and C&amp;I</t>
        </is>
      </c>
      <c r="E1189" s="3" t="n"/>
      <c r="F1189" s="3" t="inlineStr">
        <is>
          <t>Closed</t>
        </is>
      </c>
      <c r="G1189" s="3" t="inlineStr">
        <is>
          <t>Chandrashekar Patidar</t>
        </is>
      </c>
      <c r="H1189" s="3" t="n">
        <v>7879764773</v>
      </c>
      <c r="I1189" s="11" t="inlineStr">
        <is>
          <t>PE26032601</t>
        </is>
      </c>
      <c r="J1189" s="3" t="inlineStr">
        <is>
          <t>Module Diode Failure</t>
        </is>
      </c>
      <c r="K1189" s="3" t="inlineStr">
        <is>
          <t>Sadla</t>
        </is>
      </c>
      <c r="L1189" s="3" t="inlineStr">
        <is>
          <t>Gujarat</t>
        </is>
      </c>
      <c r="M1189" s="9" t="inlineStr">
        <is>
          <t>NS</t>
        </is>
      </c>
      <c r="N1189" s="3" t="inlineStr">
        <is>
          <t>Cold Soldering</t>
        </is>
      </c>
      <c r="O1189" s="3" t="n">
        <v>570</v>
      </c>
      <c r="P1189" s="9" t="inlineStr">
        <is>
          <t>NSMI24060160896</t>
        </is>
      </c>
      <c r="Q1189" s="53">
        <f>MID(P1189,5,2)</f>
        <v/>
      </c>
      <c r="R1189" s="53">
        <f>MID(P1189,7,2)</f>
        <v/>
      </c>
      <c r="S1189" s="3" t="inlineStr">
        <is>
          <t>G2G</t>
        </is>
      </c>
      <c r="T1189" s="3" t="inlineStr">
        <is>
          <t>P4</t>
        </is>
      </c>
      <c r="U1189" s="3" t="inlineStr">
        <is>
          <t>N JB Cold Soldering</t>
        </is>
      </c>
      <c r="V1189" s="3" t="inlineStr">
        <is>
          <t>Soldering</t>
        </is>
      </c>
      <c r="W1189" s="3" t="inlineStr">
        <is>
          <t>Repair</t>
        </is>
      </c>
      <c r="X1189" s="18" t="n">
        <v>46158</v>
      </c>
      <c r="Y1189" s="3">
        <f>X1189-A1189</f>
        <v/>
      </c>
      <c r="Z1189" s="18" t="n">
        <v>46158</v>
      </c>
      <c r="AA1189" s="15" t="n"/>
      <c r="AB1189" s="15" t="n"/>
    </row>
    <row r="1190" hidden="1" s="233">
      <c r="A1190" s="6" t="n">
        <v>46107</v>
      </c>
      <c r="B1190" s="3" t="n">
        <v>2026</v>
      </c>
      <c r="C1190" s="3" t="inlineStr">
        <is>
          <t>Blupine</t>
        </is>
      </c>
      <c r="D1190" s="3" t="inlineStr">
        <is>
          <t>Utility and C&amp;I</t>
        </is>
      </c>
      <c r="E1190" s="3" t="n"/>
      <c r="F1190" s="3" t="inlineStr">
        <is>
          <t>Closed</t>
        </is>
      </c>
      <c r="G1190" s="3" t="inlineStr">
        <is>
          <t>Chandrashekar Patidar</t>
        </is>
      </c>
      <c r="H1190" s="3" t="n">
        <v>7879764773</v>
      </c>
      <c r="I1190" s="11" t="inlineStr">
        <is>
          <t>PE26032601</t>
        </is>
      </c>
      <c r="J1190" s="3" t="inlineStr">
        <is>
          <t>Module Diode Failure</t>
        </is>
      </c>
      <c r="K1190" s="3" t="inlineStr">
        <is>
          <t>Sadla</t>
        </is>
      </c>
      <c r="L1190" s="3" t="inlineStr">
        <is>
          <t>Gujarat</t>
        </is>
      </c>
      <c r="M1190" s="9" t="inlineStr">
        <is>
          <t>NS</t>
        </is>
      </c>
      <c r="N1190" s="3" t="inlineStr">
        <is>
          <t>Cold Soldering</t>
        </is>
      </c>
      <c r="O1190" s="3" t="n">
        <v>570</v>
      </c>
      <c r="P1190" s="9" t="inlineStr">
        <is>
          <t>NSMI24060160877</t>
        </is>
      </c>
      <c r="Q1190" s="53">
        <f>MID(P1190,5,2)</f>
        <v/>
      </c>
      <c r="R1190" s="53">
        <f>MID(P1190,7,2)</f>
        <v/>
      </c>
      <c r="S1190" s="3" t="inlineStr">
        <is>
          <t>G2G</t>
        </is>
      </c>
      <c r="T1190" s="3" t="inlineStr">
        <is>
          <t>P4</t>
        </is>
      </c>
      <c r="U1190" s="3" t="inlineStr">
        <is>
          <t>N JB Cold Soldering</t>
        </is>
      </c>
      <c r="V1190" s="3" t="inlineStr">
        <is>
          <t>Soldering</t>
        </is>
      </c>
      <c r="W1190" s="3" t="inlineStr">
        <is>
          <t>Repair</t>
        </is>
      </c>
      <c r="X1190" s="18" t="n">
        <v>46158</v>
      </c>
      <c r="Y1190" s="3">
        <f>X1190-A1190</f>
        <v/>
      </c>
      <c r="Z1190" s="18" t="n">
        <v>46158</v>
      </c>
      <c r="AA1190" s="15" t="n"/>
      <c r="AB1190" s="15" t="n"/>
    </row>
    <row r="1191" hidden="1" s="233">
      <c r="A1191" s="6" t="n">
        <v>46107</v>
      </c>
      <c r="B1191" s="3" t="n">
        <v>2026</v>
      </c>
      <c r="C1191" s="3" t="inlineStr">
        <is>
          <t>Blupine</t>
        </is>
      </c>
      <c r="D1191" s="3" t="inlineStr">
        <is>
          <t>Utility and C&amp;I</t>
        </is>
      </c>
      <c r="E1191" s="3" t="n"/>
      <c r="F1191" s="3" t="inlineStr">
        <is>
          <t>Closed</t>
        </is>
      </c>
      <c r="G1191" s="3" t="inlineStr">
        <is>
          <t>Chandrashekar Patidar</t>
        </is>
      </c>
      <c r="H1191" s="3" t="n">
        <v>7879764773</v>
      </c>
      <c r="I1191" s="11" t="inlineStr">
        <is>
          <t>PE26032601</t>
        </is>
      </c>
      <c r="J1191" s="3" t="inlineStr">
        <is>
          <t>Module Diode Failure</t>
        </is>
      </c>
      <c r="K1191" s="3" t="inlineStr">
        <is>
          <t>Sadla</t>
        </is>
      </c>
      <c r="L1191" s="3" t="inlineStr">
        <is>
          <t>Gujarat</t>
        </is>
      </c>
      <c r="M1191" s="9" t="inlineStr">
        <is>
          <t>NS</t>
        </is>
      </c>
      <c r="N1191" s="3" t="inlineStr">
        <is>
          <t>Cold Soldering</t>
        </is>
      </c>
      <c r="O1191" s="3" t="n">
        <v>570</v>
      </c>
      <c r="P1191" s="9" t="inlineStr">
        <is>
          <t>NSMI24060160865</t>
        </is>
      </c>
      <c r="Q1191" s="53">
        <f>MID(P1191,5,2)</f>
        <v/>
      </c>
      <c r="R1191" s="53">
        <f>MID(P1191,7,2)</f>
        <v/>
      </c>
      <c r="S1191" s="3" t="inlineStr">
        <is>
          <t>G2G</t>
        </is>
      </c>
      <c r="T1191" s="3" t="inlineStr">
        <is>
          <t>P4</t>
        </is>
      </c>
      <c r="U1191" s="3" t="inlineStr">
        <is>
          <t>N JB Cold Soldering</t>
        </is>
      </c>
      <c r="V1191" s="3" t="inlineStr">
        <is>
          <t>Soldering</t>
        </is>
      </c>
      <c r="W1191" s="3" t="inlineStr">
        <is>
          <t>Repair</t>
        </is>
      </c>
      <c r="X1191" s="18" t="n">
        <v>46158</v>
      </c>
      <c r="Y1191" s="3">
        <f>X1191-A1191</f>
        <v/>
      </c>
      <c r="Z1191" s="18" t="n">
        <v>46158</v>
      </c>
      <c r="AA1191" s="15" t="n"/>
      <c r="AB1191" s="15" t="n"/>
    </row>
    <row r="1192" hidden="1" s="233">
      <c r="A1192" s="6" t="n">
        <v>46107</v>
      </c>
      <c r="B1192" s="3" t="n">
        <v>2026</v>
      </c>
      <c r="C1192" s="3" t="inlineStr">
        <is>
          <t>Blupine</t>
        </is>
      </c>
      <c r="D1192" s="3" t="inlineStr">
        <is>
          <t>Utility and C&amp;I</t>
        </is>
      </c>
      <c r="E1192" s="3" t="n"/>
      <c r="F1192" s="3" t="inlineStr">
        <is>
          <t>Closed</t>
        </is>
      </c>
      <c r="G1192" s="3" t="inlineStr">
        <is>
          <t>Chandrashekar Patidar</t>
        </is>
      </c>
      <c r="H1192" s="3" t="n">
        <v>7879764773</v>
      </c>
      <c r="I1192" s="11" t="inlineStr">
        <is>
          <t>PE26032601</t>
        </is>
      </c>
      <c r="J1192" s="3" t="inlineStr">
        <is>
          <t>Module Diode Failure</t>
        </is>
      </c>
      <c r="K1192" s="3" t="inlineStr">
        <is>
          <t>Sadla</t>
        </is>
      </c>
      <c r="L1192" s="3" t="inlineStr">
        <is>
          <t>Gujarat</t>
        </is>
      </c>
      <c r="M1192" s="9" t="inlineStr">
        <is>
          <t>PS</t>
        </is>
      </c>
      <c r="N1192" s="3" t="inlineStr">
        <is>
          <t>Cold Soldering</t>
        </is>
      </c>
      <c r="O1192" s="3" t="n">
        <v>570</v>
      </c>
      <c r="P1192" s="9" t="inlineStr">
        <is>
          <t>NSMI24060147105</t>
        </is>
      </c>
      <c r="Q1192" s="53">
        <f>MID(P1192,5,2)</f>
        <v/>
      </c>
      <c r="R1192" s="53">
        <f>MID(P1192,7,2)</f>
        <v/>
      </c>
      <c r="S1192" s="3" t="inlineStr">
        <is>
          <t>G2G</t>
        </is>
      </c>
      <c r="T1192" s="3" t="inlineStr">
        <is>
          <t>P4</t>
        </is>
      </c>
      <c r="U1192" s="3" t="inlineStr">
        <is>
          <t>P JB Cold Soldering</t>
        </is>
      </c>
      <c r="V1192" s="3" t="inlineStr">
        <is>
          <t>Soldering</t>
        </is>
      </c>
      <c r="W1192" s="3" t="inlineStr">
        <is>
          <t>Repair</t>
        </is>
      </c>
      <c r="X1192" s="18" t="n">
        <v>46158</v>
      </c>
      <c r="Y1192" s="3">
        <f>X1192-A1192</f>
        <v/>
      </c>
      <c r="Z1192" s="18" t="n">
        <v>46158</v>
      </c>
      <c r="AA1192" s="15" t="n"/>
      <c r="AB1192" s="15" t="n"/>
    </row>
    <row r="1193" hidden="1" s="233">
      <c r="A1193" s="6" t="n">
        <v>46107</v>
      </c>
      <c r="B1193" s="3" t="n">
        <v>2026</v>
      </c>
      <c r="C1193" s="3" t="inlineStr">
        <is>
          <t>Blupine</t>
        </is>
      </c>
      <c r="D1193" s="3" t="inlineStr">
        <is>
          <t>Utility and C&amp;I</t>
        </is>
      </c>
      <c r="E1193" s="3" t="n"/>
      <c r="F1193" s="3" t="inlineStr">
        <is>
          <t>Closed</t>
        </is>
      </c>
      <c r="G1193" s="3" t="inlineStr">
        <is>
          <t>Chandrashekar Patidar</t>
        </is>
      </c>
      <c r="H1193" s="3" t="n">
        <v>7879764773</v>
      </c>
      <c r="I1193" s="11" t="inlineStr">
        <is>
          <t>PE26032601</t>
        </is>
      </c>
      <c r="J1193" s="3" t="inlineStr">
        <is>
          <t>Module Diode Failure</t>
        </is>
      </c>
      <c r="K1193" s="3" t="inlineStr">
        <is>
          <t>Sadla</t>
        </is>
      </c>
      <c r="L1193" s="3" t="inlineStr">
        <is>
          <t>Gujarat</t>
        </is>
      </c>
      <c r="M1193" s="9" t="inlineStr">
        <is>
          <t>NS</t>
        </is>
      </c>
      <c r="N1193" s="3" t="inlineStr">
        <is>
          <t>Cold Soldering</t>
        </is>
      </c>
      <c r="O1193" s="3" t="n">
        <v>570</v>
      </c>
      <c r="P1193" s="9" t="inlineStr">
        <is>
          <t>NSMI24060147227</t>
        </is>
      </c>
      <c r="Q1193" s="53">
        <f>MID(P1193,5,2)</f>
        <v/>
      </c>
      <c r="R1193" s="53">
        <f>MID(P1193,7,2)</f>
        <v/>
      </c>
      <c r="S1193" s="3" t="inlineStr">
        <is>
          <t>G2G</t>
        </is>
      </c>
      <c r="T1193" s="3" t="inlineStr">
        <is>
          <t>P4</t>
        </is>
      </c>
      <c r="U1193" s="3" t="inlineStr">
        <is>
          <t>N JB Cold Soldering</t>
        </is>
      </c>
      <c r="V1193" s="3" t="inlineStr">
        <is>
          <t>Soldering</t>
        </is>
      </c>
      <c r="W1193" s="3" t="inlineStr">
        <is>
          <t>Repair</t>
        </is>
      </c>
      <c r="X1193" s="18" t="n">
        <v>46158</v>
      </c>
      <c r="Y1193" s="3">
        <f>X1193-A1193</f>
        <v/>
      </c>
      <c r="Z1193" s="18" t="n">
        <v>46158</v>
      </c>
      <c r="AA1193" s="15" t="n"/>
      <c r="AB1193" s="15" t="n"/>
    </row>
    <row r="1194" hidden="1" s="233">
      <c r="A1194" s="6" t="n">
        <v>46107</v>
      </c>
      <c r="B1194" s="3" t="n">
        <v>2026</v>
      </c>
      <c r="C1194" s="3" t="inlineStr">
        <is>
          <t>Blupine</t>
        </is>
      </c>
      <c r="D1194" s="3" t="inlineStr">
        <is>
          <t>Utility and C&amp;I</t>
        </is>
      </c>
      <c r="E1194" s="3" t="n"/>
      <c r="F1194" s="3" t="inlineStr">
        <is>
          <t>Closed</t>
        </is>
      </c>
      <c r="G1194" s="3" t="inlineStr">
        <is>
          <t>Chandrashekar Patidar</t>
        </is>
      </c>
      <c r="H1194" s="3" t="n">
        <v>7879764773</v>
      </c>
      <c r="I1194" s="11" t="inlineStr">
        <is>
          <t>PE26032601</t>
        </is>
      </c>
      <c r="J1194" s="3" t="inlineStr">
        <is>
          <t>Module Diode Failure</t>
        </is>
      </c>
      <c r="K1194" s="3" t="inlineStr">
        <is>
          <t>Sadla</t>
        </is>
      </c>
      <c r="L1194" s="3" t="inlineStr">
        <is>
          <t>Gujarat</t>
        </is>
      </c>
      <c r="M1194" s="9" t="inlineStr">
        <is>
          <t>NS</t>
        </is>
      </c>
      <c r="N1194" s="3" t="inlineStr">
        <is>
          <t>Cold Soldering</t>
        </is>
      </c>
      <c r="O1194" s="3" t="n">
        <v>570</v>
      </c>
      <c r="P1194" s="9" t="inlineStr">
        <is>
          <t>NSMI24060145941</t>
        </is>
      </c>
      <c r="Q1194" s="53">
        <f>MID(P1194,5,2)</f>
        <v/>
      </c>
      <c r="R1194" s="53">
        <f>MID(P1194,7,2)</f>
        <v/>
      </c>
      <c r="S1194" s="3" t="inlineStr">
        <is>
          <t>G2G</t>
        </is>
      </c>
      <c r="T1194" s="3" t="inlineStr">
        <is>
          <t>P4</t>
        </is>
      </c>
      <c r="U1194" s="3" t="inlineStr">
        <is>
          <t>N JB Cold Soldering</t>
        </is>
      </c>
      <c r="V1194" s="3" t="inlineStr">
        <is>
          <t>Soldering</t>
        </is>
      </c>
      <c r="W1194" s="3" t="inlineStr">
        <is>
          <t>Repair</t>
        </is>
      </c>
      <c r="X1194" s="18" t="n">
        <v>46158</v>
      </c>
      <c r="Y1194" s="3">
        <f>X1194-A1194</f>
        <v/>
      </c>
      <c r="Z1194" s="18" t="n">
        <v>46158</v>
      </c>
      <c r="AA1194" s="15" t="n"/>
      <c r="AB1194" s="15" t="n"/>
    </row>
    <row r="1195" hidden="1" s="233">
      <c r="A1195" s="6" t="n">
        <v>46107</v>
      </c>
      <c r="B1195" s="3" t="n">
        <v>2026</v>
      </c>
      <c r="C1195" s="3" t="inlineStr">
        <is>
          <t>Blupine</t>
        </is>
      </c>
      <c r="D1195" s="3" t="inlineStr">
        <is>
          <t>Utility and C&amp;I</t>
        </is>
      </c>
      <c r="E1195" s="3" t="n"/>
      <c r="F1195" s="3" t="inlineStr">
        <is>
          <t>Closed</t>
        </is>
      </c>
      <c r="G1195" s="3" t="inlineStr">
        <is>
          <t>Chandrashekar Patidar</t>
        </is>
      </c>
      <c r="H1195" s="3" t="n">
        <v>7879764773</v>
      </c>
      <c r="I1195" s="11" t="inlineStr">
        <is>
          <t>PE26032601</t>
        </is>
      </c>
      <c r="J1195" s="3" t="inlineStr">
        <is>
          <t>Module Diode Failure</t>
        </is>
      </c>
      <c r="K1195" s="3" t="inlineStr">
        <is>
          <t>Sadla</t>
        </is>
      </c>
      <c r="L1195" s="3" t="inlineStr">
        <is>
          <t>Gujarat</t>
        </is>
      </c>
      <c r="M1195" s="9" t="inlineStr">
        <is>
          <t>NS</t>
        </is>
      </c>
      <c r="N1195" s="3" t="inlineStr">
        <is>
          <t>Cold Soldering</t>
        </is>
      </c>
      <c r="O1195" s="3" t="n">
        <v>570</v>
      </c>
      <c r="P1195" s="9" t="inlineStr">
        <is>
          <t>NSMI24060160700</t>
        </is>
      </c>
      <c r="Q1195" s="53">
        <f>MID(P1195,5,2)</f>
        <v/>
      </c>
      <c r="R1195" s="53">
        <f>MID(P1195,7,2)</f>
        <v/>
      </c>
      <c r="S1195" s="3" t="inlineStr">
        <is>
          <t>G2G</t>
        </is>
      </c>
      <c r="T1195" s="3" t="inlineStr">
        <is>
          <t>P4</t>
        </is>
      </c>
      <c r="U1195" s="3" t="inlineStr">
        <is>
          <t>N JB Cold Soldering</t>
        </is>
      </c>
      <c r="V1195" s="3" t="inlineStr">
        <is>
          <t>Soldering</t>
        </is>
      </c>
      <c r="W1195" s="3" t="inlineStr">
        <is>
          <t>Repair</t>
        </is>
      </c>
      <c r="X1195" s="18" t="n">
        <v>46158</v>
      </c>
      <c r="Y1195" s="3">
        <f>X1195-A1195</f>
        <v/>
      </c>
      <c r="Z1195" s="18" t="n">
        <v>46158</v>
      </c>
      <c r="AA1195" s="15" t="n"/>
      <c r="AB1195" s="15" t="n"/>
    </row>
    <row r="1196" hidden="1" s="233">
      <c r="A1196" s="6" t="n">
        <v>46107</v>
      </c>
      <c r="B1196" s="3" t="n">
        <v>2026</v>
      </c>
      <c r="C1196" s="3" t="inlineStr">
        <is>
          <t>Blupine</t>
        </is>
      </c>
      <c r="D1196" s="3" t="inlineStr">
        <is>
          <t>Utility and C&amp;I</t>
        </is>
      </c>
      <c r="E1196" s="3" t="n"/>
      <c r="F1196" s="3" t="inlineStr">
        <is>
          <t>Closed</t>
        </is>
      </c>
      <c r="G1196" s="3" t="inlineStr">
        <is>
          <t>Chandrashekar Patidar</t>
        </is>
      </c>
      <c r="H1196" s="3" t="n">
        <v>7879764773</v>
      </c>
      <c r="I1196" s="11" t="inlineStr">
        <is>
          <t>PE26032601</t>
        </is>
      </c>
      <c r="J1196" s="3" t="inlineStr">
        <is>
          <t>Module Diode Failure</t>
        </is>
      </c>
      <c r="K1196" s="3" t="inlineStr">
        <is>
          <t>Sadla</t>
        </is>
      </c>
      <c r="L1196" s="3" t="inlineStr">
        <is>
          <t>Gujarat</t>
        </is>
      </c>
      <c r="M1196" s="9" t="inlineStr">
        <is>
          <t>NS</t>
        </is>
      </c>
      <c r="N1196" s="3" t="inlineStr">
        <is>
          <t>Cold Soldering</t>
        </is>
      </c>
      <c r="O1196" s="3" t="n">
        <v>570</v>
      </c>
      <c r="P1196" s="9" t="inlineStr">
        <is>
          <t>NSMI24060162581</t>
        </is>
      </c>
      <c r="Q1196" s="53">
        <f>MID(P1196,5,2)</f>
        <v/>
      </c>
      <c r="R1196" s="53">
        <f>MID(P1196,7,2)</f>
        <v/>
      </c>
      <c r="S1196" s="3" t="inlineStr">
        <is>
          <t>G2G</t>
        </is>
      </c>
      <c r="T1196" s="3" t="inlineStr">
        <is>
          <t>P4</t>
        </is>
      </c>
      <c r="U1196" s="3" t="inlineStr">
        <is>
          <t>N JB Cold Soldering</t>
        </is>
      </c>
      <c r="V1196" s="3" t="inlineStr">
        <is>
          <t>Soldering</t>
        </is>
      </c>
      <c r="W1196" s="3" t="inlineStr">
        <is>
          <t>Repair</t>
        </is>
      </c>
      <c r="X1196" s="18" t="n">
        <v>46158</v>
      </c>
      <c r="Y1196" s="3">
        <f>X1196-A1196</f>
        <v/>
      </c>
      <c r="Z1196" s="18" t="n">
        <v>46158</v>
      </c>
      <c r="AA1196" s="15" t="n"/>
      <c r="AB1196" s="15" t="n"/>
    </row>
    <row r="1197" hidden="1" s="233">
      <c r="A1197" s="6" t="n">
        <v>46107</v>
      </c>
      <c r="B1197" s="3" t="n">
        <v>2026</v>
      </c>
      <c r="C1197" s="3" t="inlineStr">
        <is>
          <t>Blupine</t>
        </is>
      </c>
      <c r="D1197" s="3" t="inlineStr">
        <is>
          <t>Utility and C&amp;I</t>
        </is>
      </c>
      <c r="E1197" s="3" t="n"/>
      <c r="F1197" s="3" t="inlineStr">
        <is>
          <t>Closed</t>
        </is>
      </c>
      <c r="G1197" s="3" t="inlineStr">
        <is>
          <t>Chandrashekar Patidar</t>
        </is>
      </c>
      <c r="H1197" s="3" t="n">
        <v>7879764773</v>
      </c>
      <c r="I1197" s="11" t="inlineStr">
        <is>
          <t>PE26032601</t>
        </is>
      </c>
      <c r="J1197" s="3" t="inlineStr">
        <is>
          <t>Module Diode Failure</t>
        </is>
      </c>
      <c r="K1197" s="3" t="inlineStr">
        <is>
          <t>Sadla</t>
        </is>
      </c>
      <c r="L1197" s="3" t="inlineStr">
        <is>
          <t>Gujarat</t>
        </is>
      </c>
      <c r="M1197" s="9" t="inlineStr">
        <is>
          <t>PS</t>
        </is>
      </c>
      <c r="N1197" s="3" t="inlineStr">
        <is>
          <t>Cold Soldering</t>
        </is>
      </c>
      <c r="O1197" s="3" t="n">
        <v>570</v>
      </c>
      <c r="P1197" s="9" t="inlineStr">
        <is>
          <t>NSMI24060144939</t>
        </is>
      </c>
      <c r="Q1197" s="53">
        <f>MID(P1197,5,2)</f>
        <v/>
      </c>
      <c r="R1197" s="53">
        <f>MID(P1197,7,2)</f>
        <v/>
      </c>
      <c r="S1197" s="3" t="inlineStr">
        <is>
          <t>G2G</t>
        </is>
      </c>
      <c r="T1197" s="3" t="inlineStr">
        <is>
          <t>P4</t>
        </is>
      </c>
      <c r="U1197" s="3" t="inlineStr">
        <is>
          <t>P JB Cold Soldering</t>
        </is>
      </c>
      <c r="V1197" s="3" t="inlineStr">
        <is>
          <t>Soldering</t>
        </is>
      </c>
      <c r="W1197" s="3" t="inlineStr">
        <is>
          <t>Repair</t>
        </is>
      </c>
      <c r="X1197" s="18" t="n">
        <v>46158</v>
      </c>
      <c r="Y1197" s="3">
        <f>X1197-A1197</f>
        <v/>
      </c>
      <c r="Z1197" s="18" t="n">
        <v>46158</v>
      </c>
      <c r="AA1197" s="15" t="n"/>
      <c r="AB1197" s="15" t="n"/>
    </row>
    <row r="1198" hidden="1" s="233">
      <c r="A1198" s="6" t="n">
        <v>46107</v>
      </c>
      <c r="B1198" s="3" t="n">
        <v>2026</v>
      </c>
      <c r="C1198" s="3" t="inlineStr">
        <is>
          <t>Blupine</t>
        </is>
      </c>
      <c r="D1198" s="3" t="inlineStr">
        <is>
          <t>Utility and C&amp;I</t>
        </is>
      </c>
      <c r="E1198" s="3" t="n"/>
      <c r="F1198" s="3" t="inlineStr">
        <is>
          <t>Closed</t>
        </is>
      </c>
      <c r="G1198" s="3" t="inlineStr">
        <is>
          <t>Chandrashekar Patidar</t>
        </is>
      </c>
      <c r="H1198" s="3" t="n">
        <v>7879764773</v>
      </c>
      <c r="I1198" s="11" t="inlineStr">
        <is>
          <t>PE26032601</t>
        </is>
      </c>
      <c r="J1198" s="3" t="inlineStr">
        <is>
          <t>Module Diode Failure</t>
        </is>
      </c>
      <c r="K1198" s="3" t="inlineStr">
        <is>
          <t>Sadla</t>
        </is>
      </c>
      <c r="L1198" s="3" t="inlineStr">
        <is>
          <t>Gujarat</t>
        </is>
      </c>
      <c r="M1198" s="9" t="inlineStr">
        <is>
          <t>PS</t>
        </is>
      </c>
      <c r="N1198" s="3" t="inlineStr">
        <is>
          <t>Cold Soldering</t>
        </is>
      </c>
      <c r="O1198" s="3" t="n">
        <v>570</v>
      </c>
      <c r="P1198" s="9" t="inlineStr">
        <is>
          <t>NSMI24060145050</t>
        </is>
      </c>
      <c r="Q1198" s="53">
        <f>MID(P1198,5,2)</f>
        <v/>
      </c>
      <c r="R1198" s="53">
        <f>MID(P1198,7,2)</f>
        <v/>
      </c>
      <c r="S1198" s="3" t="inlineStr">
        <is>
          <t>G2G</t>
        </is>
      </c>
      <c r="T1198" s="3" t="inlineStr">
        <is>
          <t>P4</t>
        </is>
      </c>
      <c r="U1198" s="3" t="inlineStr">
        <is>
          <t>P JB Cold Soldering</t>
        </is>
      </c>
      <c r="V1198" s="3" t="inlineStr">
        <is>
          <t>Soldering</t>
        </is>
      </c>
      <c r="W1198" s="3" t="inlineStr">
        <is>
          <t>Repair</t>
        </is>
      </c>
      <c r="X1198" s="18" t="n">
        <v>46158</v>
      </c>
      <c r="Y1198" s="3">
        <f>X1198-A1198</f>
        <v/>
      </c>
      <c r="Z1198" s="18" t="n">
        <v>46158</v>
      </c>
      <c r="AA1198" s="15" t="n"/>
      <c r="AB1198" s="15" t="n"/>
    </row>
    <row r="1199" hidden="1" s="233">
      <c r="A1199" s="6" t="n">
        <v>46107</v>
      </c>
      <c r="B1199" s="3" t="n">
        <v>2026</v>
      </c>
      <c r="C1199" s="3" t="inlineStr">
        <is>
          <t>Blupine</t>
        </is>
      </c>
      <c r="D1199" s="3" t="inlineStr">
        <is>
          <t>Utility and C&amp;I</t>
        </is>
      </c>
      <c r="E1199" s="3" t="n"/>
      <c r="F1199" s="3" t="inlineStr">
        <is>
          <t>Closed</t>
        </is>
      </c>
      <c r="G1199" s="3" t="inlineStr">
        <is>
          <t>Chandrashekar Patidar</t>
        </is>
      </c>
      <c r="H1199" s="3" t="n">
        <v>7879764773</v>
      </c>
      <c r="I1199" s="11" t="inlineStr">
        <is>
          <t>PE26032601</t>
        </is>
      </c>
      <c r="J1199" s="3" t="inlineStr">
        <is>
          <t>Module Diode Failure</t>
        </is>
      </c>
      <c r="K1199" s="3" t="inlineStr">
        <is>
          <t>Sadla</t>
        </is>
      </c>
      <c r="L1199" s="3" t="inlineStr">
        <is>
          <t>Gujarat</t>
        </is>
      </c>
      <c r="M1199" s="9" t="inlineStr">
        <is>
          <t>PS</t>
        </is>
      </c>
      <c r="N1199" s="3" t="inlineStr">
        <is>
          <t>Cold Soldering</t>
        </is>
      </c>
      <c r="O1199" s="3" t="n">
        <v>570</v>
      </c>
      <c r="P1199" s="9" t="inlineStr">
        <is>
          <t>NSMI24060145053</t>
        </is>
      </c>
      <c r="Q1199" s="53">
        <f>MID(P1199,5,2)</f>
        <v/>
      </c>
      <c r="R1199" s="53">
        <f>MID(P1199,7,2)</f>
        <v/>
      </c>
      <c r="S1199" s="3" t="inlineStr">
        <is>
          <t>G2G</t>
        </is>
      </c>
      <c r="T1199" s="3" t="inlineStr">
        <is>
          <t>P4</t>
        </is>
      </c>
      <c r="U1199" s="3" t="inlineStr">
        <is>
          <t>P JB Cold Soldering</t>
        </is>
      </c>
      <c r="V1199" s="3" t="inlineStr">
        <is>
          <t>Soldering</t>
        </is>
      </c>
      <c r="W1199" s="3" t="inlineStr">
        <is>
          <t>Repair</t>
        </is>
      </c>
      <c r="X1199" s="18" t="n">
        <v>46158</v>
      </c>
      <c r="Y1199" s="3">
        <f>X1199-A1199</f>
        <v/>
      </c>
      <c r="Z1199" s="18" t="n">
        <v>46158</v>
      </c>
      <c r="AA1199" s="15" t="n"/>
      <c r="AB1199" s="15" t="n"/>
    </row>
    <row r="1200" hidden="1" s="233">
      <c r="A1200" s="6" t="n">
        <v>46107</v>
      </c>
      <c r="B1200" s="3" t="n">
        <v>2026</v>
      </c>
      <c r="C1200" s="3" t="inlineStr">
        <is>
          <t>Blupine</t>
        </is>
      </c>
      <c r="D1200" s="3" t="inlineStr">
        <is>
          <t>Utility and C&amp;I</t>
        </is>
      </c>
      <c r="E1200" s="3" t="n"/>
      <c r="F1200" s="3" t="inlineStr">
        <is>
          <t>Closed</t>
        </is>
      </c>
      <c r="G1200" s="3" t="inlineStr">
        <is>
          <t>Chandrashekar Patidar</t>
        </is>
      </c>
      <c r="H1200" s="3" t="n">
        <v>7879764773</v>
      </c>
      <c r="I1200" s="11" t="inlineStr">
        <is>
          <t>PE26032601</t>
        </is>
      </c>
      <c r="J1200" s="3" t="inlineStr">
        <is>
          <t>Module Diode Failure</t>
        </is>
      </c>
      <c r="K1200" s="3" t="inlineStr">
        <is>
          <t>Sadla</t>
        </is>
      </c>
      <c r="L1200" s="3" t="inlineStr">
        <is>
          <t>Gujarat</t>
        </is>
      </c>
      <c r="M1200" s="9" t="inlineStr">
        <is>
          <t>PS</t>
        </is>
      </c>
      <c r="N1200" s="3" t="inlineStr">
        <is>
          <t>Cold Soldering</t>
        </is>
      </c>
      <c r="O1200" s="3" t="n">
        <v>570</v>
      </c>
      <c r="P1200" s="9" t="inlineStr">
        <is>
          <t>NSMI24060144448</t>
        </is>
      </c>
      <c r="Q1200" s="53">
        <f>MID(P1200,5,2)</f>
        <v/>
      </c>
      <c r="R1200" s="53">
        <f>MID(P1200,7,2)</f>
        <v/>
      </c>
      <c r="S1200" s="3" t="inlineStr">
        <is>
          <t>G2G</t>
        </is>
      </c>
      <c r="T1200" s="3" t="inlineStr">
        <is>
          <t>P4</t>
        </is>
      </c>
      <c r="U1200" s="3" t="inlineStr">
        <is>
          <t>P JB Cold Soldering</t>
        </is>
      </c>
      <c r="V1200" s="3" t="inlineStr">
        <is>
          <t>Soldering</t>
        </is>
      </c>
      <c r="W1200" s="3" t="inlineStr">
        <is>
          <t>Repair</t>
        </is>
      </c>
      <c r="X1200" s="18" t="n">
        <v>46158</v>
      </c>
      <c r="Y1200" s="3">
        <f>X1200-A1200</f>
        <v/>
      </c>
      <c r="Z1200" s="18" t="n">
        <v>46158</v>
      </c>
      <c r="AA1200" s="15" t="n"/>
      <c r="AB1200" s="15" t="n"/>
    </row>
    <row r="1201" hidden="1" s="233">
      <c r="A1201" s="6" t="n">
        <v>46107</v>
      </c>
      <c r="B1201" s="3" t="n">
        <v>2026</v>
      </c>
      <c r="C1201" s="3" t="inlineStr">
        <is>
          <t>Blupine</t>
        </is>
      </c>
      <c r="D1201" s="3" t="inlineStr">
        <is>
          <t>Utility and C&amp;I</t>
        </is>
      </c>
      <c r="E1201" s="3" t="n"/>
      <c r="F1201" s="3" t="inlineStr">
        <is>
          <t>Closed</t>
        </is>
      </c>
      <c r="G1201" s="3" t="inlineStr">
        <is>
          <t>Chandrashekar Patidar</t>
        </is>
      </c>
      <c r="H1201" s="3" t="n">
        <v>7879764773</v>
      </c>
      <c r="I1201" s="11" t="inlineStr">
        <is>
          <t>PE26032601</t>
        </is>
      </c>
      <c r="J1201" s="3" t="inlineStr">
        <is>
          <t>Module Diode Failure</t>
        </is>
      </c>
      <c r="K1201" s="3" t="inlineStr">
        <is>
          <t>Sadla</t>
        </is>
      </c>
      <c r="L1201" s="3" t="inlineStr">
        <is>
          <t>Gujarat</t>
        </is>
      </c>
      <c r="M1201" s="9" t="inlineStr">
        <is>
          <t>NS</t>
        </is>
      </c>
      <c r="N1201" s="3" t="inlineStr">
        <is>
          <t>Cold Soldering</t>
        </is>
      </c>
      <c r="O1201" s="3" t="n">
        <v>570</v>
      </c>
      <c r="P1201" s="9" t="inlineStr">
        <is>
          <t>NSMI24060163925</t>
        </is>
      </c>
      <c r="Q1201" s="53">
        <f>MID(P1201,5,2)</f>
        <v/>
      </c>
      <c r="R1201" s="53">
        <f>MID(P1201,7,2)</f>
        <v/>
      </c>
      <c r="S1201" s="3" t="inlineStr">
        <is>
          <t>G2G</t>
        </is>
      </c>
      <c r="T1201" s="3" t="inlineStr">
        <is>
          <t>P4</t>
        </is>
      </c>
      <c r="U1201" s="3" t="inlineStr">
        <is>
          <t>N JB Cold Soldering</t>
        </is>
      </c>
      <c r="V1201" s="3" t="inlineStr">
        <is>
          <t>Soldering</t>
        </is>
      </c>
      <c r="W1201" s="3" t="inlineStr">
        <is>
          <t>Repair</t>
        </is>
      </c>
      <c r="X1201" s="18" t="n">
        <v>46158</v>
      </c>
      <c r="Y1201" s="3">
        <f>X1201-A1201</f>
        <v/>
      </c>
      <c r="Z1201" s="18" t="n">
        <v>46158</v>
      </c>
      <c r="AA1201" s="15" t="n"/>
      <c r="AB1201" s="15" t="n"/>
    </row>
    <row r="1202" hidden="1" s="233">
      <c r="A1202" s="6" t="n">
        <v>46107</v>
      </c>
      <c r="B1202" s="3" t="n">
        <v>2026</v>
      </c>
      <c r="C1202" s="3" t="inlineStr">
        <is>
          <t>Blupine</t>
        </is>
      </c>
      <c r="D1202" s="3" t="inlineStr">
        <is>
          <t>Utility and C&amp;I</t>
        </is>
      </c>
      <c r="E1202" s="3" t="n"/>
      <c r="F1202" s="3" t="inlineStr">
        <is>
          <t>Closed</t>
        </is>
      </c>
      <c r="G1202" s="3" t="inlineStr">
        <is>
          <t>Chandrashekar Patidar</t>
        </is>
      </c>
      <c r="H1202" s="3" t="n">
        <v>7879764773</v>
      </c>
      <c r="I1202" s="11" t="inlineStr">
        <is>
          <t>PE26032601</t>
        </is>
      </c>
      <c r="J1202" s="3" t="inlineStr">
        <is>
          <t>Module Diode Failure</t>
        </is>
      </c>
      <c r="K1202" s="3" t="inlineStr">
        <is>
          <t>Sadla</t>
        </is>
      </c>
      <c r="L1202" s="3" t="inlineStr">
        <is>
          <t>Gujarat</t>
        </is>
      </c>
      <c r="M1202" s="9" t="inlineStr">
        <is>
          <t>PS</t>
        </is>
      </c>
      <c r="N1202" s="3" t="inlineStr">
        <is>
          <t>Cold Soldering</t>
        </is>
      </c>
      <c r="O1202" s="3" t="n">
        <v>570</v>
      </c>
      <c r="P1202" s="9" t="inlineStr">
        <is>
          <t>NSMI24060159470</t>
        </is>
      </c>
      <c r="Q1202" s="53">
        <f>MID(P1202,5,2)</f>
        <v/>
      </c>
      <c r="R1202" s="53">
        <f>MID(P1202,7,2)</f>
        <v/>
      </c>
      <c r="S1202" s="3" t="inlineStr">
        <is>
          <t>G2G</t>
        </is>
      </c>
      <c r="T1202" s="3" t="inlineStr">
        <is>
          <t>P4</t>
        </is>
      </c>
      <c r="U1202" s="3" t="inlineStr">
        <is>
          <t>P JB Cold Soldering</t>
        </is>
      </c>
      <c r="V1202" s="3" t="inlineStr">
        <is>
          <t>Soldering</t>
        </is>
      </c>
      <c r="W1202" s="3" t="inlineStr">
        <is>
          <t>Repair</t>
        </is>
      </c>
      <c r="X1202" s="18" t="n">
        <v>46158</v>
      </c>
      <c r="Y1202" s="3">
        <f>X1202-A1202</f>
        <v/>
      </c>
      <c r="Z1202" s="18" t="n">
        <v>46158</v>
      </c>
      <c r="AA1202" s="15" t="n"/>
      <c r="AB1202" s="15" t="n"/>
    </row>
    <row r="1203" hidden="1" s="233">
      <c r="A1203" s="6" t="n">
        <v>46107</v>
      </c>
      <c r="B1203" s="3" t="n">
        <v>2026</v>
      </c>
      <c r="C1203" s="3" t="inlineStr">
        <is>
          <t>Blupine</t>
        </is>
      </c>
      <c r="D1203" s="3" t="inlineStr">
        <is>
          <t>Utility and C&amp;I</t>
        </is>
      </c>
      <c r="E1203" s="3" t="n"/>
      <c r="F1203" s="3" t="inlineStr">
        <is>
          <t>Closed</t>
        </is>
      </c>
      <c r="G1203" s="3" t="inlineStr">
        <is>
          <t>Chandrashekar Patidar</t>
        </is>
      </c>
      <c r="H1203" s="3" t="n">
        <v>7879764773</v>
      </c>
      <c r="I1203" s="11" t="inlineStr">
        <is>
          <t>PE26032601</t>
        </is>
      </c>
      <c r="J1203" s="3" t="inlineStr">
        <is>
          <t>Module Diode Failure</t>
        </is>
      </c>
      <c r="K1203" s="3" t="inlineStr">
        <is>
          <t>Sadla</t>
        </is>
      </c>
      <c r="L1203" s="3" t="inlineStr">
        <is>
          <t>Gujarat</t>
        </is>
      </c>
      <c r="M1203" s="9" t="inlineStr">
        <is>
          <t>NS</t>
        </is>
      </c>
      <c r="N1203" s="3" t="inlineStr">
        <is>
          <t>Cold Soldering</t>
        </is>
      </c>
      <c r="O1203" s="3" t="n">
        <v>570</v>
      </c>
      <c r="P1203" s="9" t="inlineStr">
        <is>
          <t>NSMI24060153498</t>
        </is>
      </c>
      <c r="Q1203" s="53">
        <f>MID(P1203,5,2)</f>
        <v/>
      </c>
      <c r="R1203" s="53">
        <f>MID(P1203,7,2)</f>
        <v/>
      </c>
      <c r="S1203" s="3" t="inlineStr">
        <is>
          <t>G2G</t>
        </is>
      </c>
      <c r="T1203" s="3" t="inlineStr">
        <is>
          <t>P4</t>
        </is>
      </c>
      <c r="U1203" s="3" t="inlineStr">
        <is>
          <t>N JB Cold Soldering</t>
        </is>
      </c>
      <c r="V1203" s="3" t="inlineStr">
        <is>
          <t>Soldering</t>
        </is>
      </c>
      <c r="W1203" s="3" t="inlineStr">
        <is>
          <t>Repair</t>
        </is>
      </c>
      <c r="X1203" s="18" t="n">
        <v>46158</v>
      </c>
      <c r="Y1203" s="3">
        <f>X1203-A1203</f>
        <v/>
      </c>
      <c r="Z1203" s="18" t="n">
        <v>46158</v>
      </c>
      <c r="AA1203" s="15" t="n"/>
      <c r="AB1203" s="15" t="n"/>
    </row>
    <row r="1204" hidden="1" s="233">
      <c r="A1204" s="6" t="n">
        <v>46107</v>
      </c>
      <c r="B1204" s="3" t="n">
        <v>2026</v>
      </c>
      <c r="C1204" s="3" t="inlineStr">
        <is>
          <t>Blupine</t>
        </is>
      </c>
      <c r="D1204" s="3" t="inlineStr">
        <is>
          <t>Utility and C&amp;I</t>
        </is>
      </c>
      <c r="E1204" s="3" t="n"/>
      <c r="F1204" s="3" t="inlineStr">
        <is>
          <t>Closed</t>
        </is>
      </c>
      <c r="G1204" s="3" t="inlineStr">
        <is>
          <t>Chandrashekar Patidar</t>
        </is>
      </c>
      <c r="H1204" s="3" t="n">
        <v>7879764773</v>
      </c>
      <c r="I1204" s="11" t="inlineStr">
        <is>
          <t>PE26032601</t>
        </is>
      </c>
      <c r="J1204" s="3" t="inlineStr">
        <is>
          <t>Module Diode Failure</t>
        </is>
      </c>
      <c r="K1204" s="3" t="inlineStr">
        <is>
          <t>Sadla</t>
        </is>
      </c>
      <c r="L1204" s="3" t="inlineStr">
        <is>
          <t>Gujarat</t>
        </is>
      </c>
      <c r="M1204" s="9" t="inlineStr">
        <is>
          <t>PS</t>
        </is>
      </c>
      <c r="N1204" s="3" t="inlineStr">
        <is>
          <t>Cold Soldering</t>
        </is>
      </c>
      <c r="O1204" s="3" t="n">
        <v>570</v>
      </c>
      <c r="P1204" s="9" t="inlineStr">
        <is>
          <t>NSMI24060161541</t>
        </is>
      </c>
      <c r="Q1204" s="53">
        <f>MID(P1204,5,2)</f>
        <v/>
      </c>
      <c r="R1204" s="53">
        <f>MID(P1204,7,2)</f>
        <v/>
      </c>
      <c r="S1204" s="3" t="inlineStr">
        <is>
          <t>G2G</t>
        </is>
      </c>
      <c r="T1204" s="3" t="inlineStr">
        <is>
          <t>P4</t>
        </is>
      </c>
      <c r="U1204" s="3" t="inlineStr">
        <is>
          <t>P JB Cold Soldering</t>
        </is>
      </c>
      <c r="V1204" s="3" t="inlineStr">
        <is>
          <t>Soldering</t>
        </is>
      </c>
      <c r="W1204" s="3" t="inlineStr">
        <is>
          <t>Repair</t>
        </is>
      </c>
      <c r="X1204" s="18" t="n">
        <v>46158</v>
      </c>
      <c r="Y1204" s="3">
        <f>X1204-A1204</f>
        <v/>
      </c>
      <c r="Z1204" s="18" t="n">
        <v>46158</v>
      </c>
      <c r="AA1204" s="15" t="n"/>
      <c r="AB1204" s="15" t="n"/>
    </row>
    <row r="1205" hidden="1" s="233">
      <c r="A1205" s="6" t="n">
        <v>46107</v>
      </c>
      <c r="B1205" s="3" t="n">
        <v>2026</v>
      </c>
      <c r="C1205" s="3" t="inlineStr">
        <is>
          <t>Blupine</t>
        </is>
      </c>
      <c r="D1205" s="3" t="inlineStr">
        <is>
          <t>Utility and C&amp;I</t>
        </is>
      </c>
      <c r="E1205" s="3" t="n"/>
      <c r="F1205" s="3" t="inlineStr">
        <is>
          <t>Closed</t>
        </is>
      </c>
      <c r="G1205" s="3" t="inlineStr">
        <is>
          <t>Chandrashekar Patidar</t>
        </is>
      </c>
      <c r="H1205" s="3" t="n">
        <v>7879764773</v>
      </c>
      <c r="I1205" s="11" t="inlineStr">
        <is>
          <t>PE26032601</t>
        </is>
      </c>
      <c r="J1205" s="3" t="inlineStr">
        <is>
          <t>Module Diode Failure</t>
        </is>
      </c>
      <c r="K1205" s="3" t="inlineStr">
        <is>
          <t>Sadla</t>
        </is>
      </c>
      <c r="L1205" s="3" t="inlineStr">
        <is>
          <t>Gujarat</t>
        </is>
      </c>
      <c r="M1205" s="9" t="inlineStr">
        <is>
          <t>NS</t>
        </is>
      </c>
      <c r="N1205" s="3" t="inlineStr">
        <is>
          <t>Cold Soldering</t>
        </is>
      </c>
      <c r="O1205" s="3" t="n">
        <v>570</v>
      </c>
      <c r="P1205" s="9" t="inlineStr">
        <is>
          <t>NSMI24060161149</t>
        </is>
      </c>
      <c r="Q1205" s="53">
        <f>MID(P1205,5,2)</f>
        <v/>
      </c>
      <c r="R1205" s="53">
        <f>MID(P1205,7,2)</f>
        <v/>
      </c>
      <c r="S1205" s="3" t="inlineStr">
        <is>
          <t>G2G</t>
        </is>
      </c>
      <c r="T1205" s="3" t="inlineStr">
        <is>
          <t>P4</t>
        </is>
      </c>
      <c r="U1205" s="3" t="inlineStr">
        <is>
          <t>N JB Cold Soldering</t>
        </is>
      </c>
      <c r="V1205" s="3" t="inlineStr">
        <is>
          <t>Soldering</t>
        </is>
      </c>
      <c r="W1205" s="3" t="inlineStr">
        <is>
          <t>Repair</t>
        </is>
      </c>
      <c r="X1205" s="18" t="n">
        <v>46158</v>
      </c>
      <c r="Y1205" s="3">
        <f>X1205-A1205</f>
        <v/>
      </c>
      <c r="Z1205" s="18" t="n">
        <v>46158</v>
      </c>
      <c r="AA1205" s="15" t="n"/>
      <c r="AB1205" s="15" t="n"/>
    </row>
    <row r="1206" hidden="1" s="233">
      <c r="A1206" s="6" t="n">
        <v>46107</v>
      </c>
      <c r="B1206" s="3" t="n">
        <v>2026</v>
      </c>
      <c r="C1206" s="3" t="inlineStr">
        <is>
          <t>Blupine</t>
        </is>
      </c>
      <c r="D1206" s="3" t="inlineStr">
        <is>
          <t>Utility and C&amp;I</t>
        </is>
      </c>
      <c r="E1206" s="3" t="n"/>
      <c r="F1206" s="3" t="inlineStr">
        <is>
          <t>Closed</t>
        </is>
      </c>
      <c r="G1206" s="3" t="inlineStr">
        <is>
          <t>Chandrashekar Patidar</t>
        </is>
      </c>
      <c r="H1206" s="3" t="n">
        <v>7879764773</v>
      </c>
      <c r="I1206" s="11" t="inlineStr">
        <is>
          <t>PE26032601</t>
        </is>
      </c>
      <c r="J1206" s="3" t="inlineStr">
        <is>
          <t>Module Diode Failure</t>
        </is>
      </c>
      <c r="K1206" s="3" t="inlineStr">
        <is>
          <t>Sadla</t>
        </is>
      </c>
      <c r="L1206" s="3" t="inlineStr">
        <is>
          <t>Gujarat</t>
        </is>
      </c>
      <c r="M1206" s="9" t="inlineStr">
        <is>
          <t>NS</t>
        </is>
      </c>
      <c r="N1206" s="3" t="inlineStr">
        <is>
          <t>Cold Soldering</t>
        </is>
      </c>
      <c r="O1206" s="3" t="n">
        <v>570</v>
      </c>
      <c r="P1206" s="9" t="inlineStr">
        <is>
          <t>NSMI24060155947</t>
        </is>
      </c>
      <c r="Q1206" s="53">
        <f>MID(P1206,5,2)</f>
        <v/>
      </c>
      <c r="R1206" s="53">
        <f>MID(P1206,7,2)</f>
        <v/>
      </c>
      <c r="S1206" s="3" t="inlineStr">
        <is>
          <t>G2G</t>
        </is>
      </c>
      <c r="T1206" s="3" t="inlineStr">
        <is>
          <t>P4</t>
        </is>
      </c>
      <c r="U1206" s="3" t="inlineStr">
        <is>
          <t>N JB Cold Soldering</t>
        </is>
      </c>
      <c r="V1206" s="3" t="inlineStr">
        <is>
          <t>Soldering</t>
        </is>
      </c>
      <c r="W1206" s="3" t="inlineStr">
        <is>
          <t>Repair</t>
        </is>
      </c>
      <c r="X1206" s="18" t="n">
        <v>46158</v>
      </c>
      <c r="Y1206" s="3">
        <f>X1206-A1206</f>
        <v/>
      </c>
      <c r="Z1206" s="18" t="n">
        <v>46158</v>
      </c>
      <c r="AA1206" s="15" t="n"/>
      <c r="AB1206" s="15" t="n"/>
    </row>
    <row r="1207" hidden="1" s="233">
      <c r="A1207" s="6" t="n">
        <v>46107</v>
      </c>
      <c r="B1207" s="3" t="n">
        <v>2026</v>
      </c>
      <c r="C1207" s="3" t="inlineStr">
        <is>
          <t>Blupine</t>
        </is>
      </c>
      <c r="D1207" s="3" t="inlineStr">
        <is>
          <t>Utility and C&amp;I</t>
        </is>
      </c>
      <c r="E1207" s="3" t="n"/>
      <c r="F1207" s="3" t="inlineStr">
        <is>
          <t>Closed</t>
        </is>
      </c>
      <c r="G1207" s="3" t="inlineStr">
        <is>
          <t>Chandrashekar Patidar</t>
        </is>
      </c>
      <c r="H1207" s="3" t="n">
        <v>7879764773</v>
      </c>
      <c r="I1207" s="11" t="inlineStr">
        <is>
          <t>PE26032601</t>
        </is>
      </c>
      <c r="J1207" s="3" t="inlineStr">
        <is>
          <t>Module Diode Failure</t>
        </is>
      </c>
      <c r="K1207" s="3" t="inlineStr">
        <is>
          <t>Sadla</t>
        </is>
      </c>
      <c r="L1207" s="3" t="inlineStr">
        <is>
          <t>Gujarat</t>
        </is>
      </c>
      <c r="M1207" s="9" t="inlineStr">
        <is>
          <t>NS</t>
        </is>
      </c>
      <c r="N1207" s="3" t="inlineStr">
        <is>
          <t>Cold Soldering</t>
        </is>
      </c>
      <c r="O1207" s="3" t="n">
        <v>570</v>
      </c>
      <c r="P1207" s="9" t="inlineStr">
        <is>
          <t>NSMI24060155757</t>
        </is>
      </c>
      <c r="Q1207" s="53">
        <f>MID(P1207,5,2)</f>
        <v/>
      </c>
      <c r="R1207" s="53">
        <f>MID(P1207,7,2)</f>
        <v/>
      </c>
      <c r="S1207" s="3" t="inlineStr">
        <is>
          <t>G2G</t>
        </is>
      </c>
      <c r="T1207" s="3" t="inlineStr">
        <is>
          <t>P4</t>
        </is>
      </c>
      <c r="U1207" s="3" t="inlineStr">
        <is>
          <t>N JB Cold Soldering</t>
        </is>
      </c>
      <c r="V1207" s="3" t="inlineStr">
        <is>
          <t>Soldering</t>
        </is>
      </c>
      <c r="W1207" s="3" t="inlineStr">
        <is>
          <t>Repair</t>
        </is>
      </c>
      <c r="X1207" s="18" t="n">
        <v>46158</v>
      </c>
      <c r="Y1207" s="3">
        <f>X1207-A1207</f>
        <v/>
      </c>
      <c r="Z1207" s="18" t="n">
        <v>46158</v>
      </c>
      <c r="AA1207" s="15" t="n"/>
      <c r="AB1207" s="15" t="n"/>
    </row>
    <row r="1208" hidden="1" s="233">
      <c r="A1208" s="6" t="n">
        <v>46107</v>
      </c>
      <c r="B1208" s="3" t="n">
        <v>2026</v>
      </c>
      <c r="C1208" s="3" t="inlineStr">
        <is>
          <t>Blupine</t>
        </is>
      </c>
      <c r="D1208" s="3" t="inlineStr">
        <is>
          <t>Utility and C&amp;I</t>
        </is>
      </c>
      <c r="E1208" s="3" t="n"/>
      <c r="F1208" s="3" t="inlineStr">
        <is>
          <t>Closed</t>
        </is>
      </c>
      <c r="G1208" s="3" t="inlineStr">
        <is>
          <t>Chandrashekar Patidar</t>
        </is>
      </c>
      <c r="H1208" s="3" t="n">
        <v>7879764773</v>
      </c>
      <c r="I1208" s="11" t="inlineStr">
        <is>
          <t>PE26032601</t>
        </is>
      </c>
      <c r="J1208" s="3" t="inlineStr">
        <is>
          <t>Module Diode Failure</t>
        </is>
      </c>
      <c r="K1208" s="3" t="inlineStr">
        <is>
          <t>Sadla</t>
        </is>
      </c>
      <c r="L1208" s="3" t="inlineStr">
        <is>
          <t>Gujarat</t>
        </is>
      </c>
      <c r="M1208" s="9" t="inlineStr">
        <is>
          <t>NS</t>
        </is>
      </c>
      <c r="N1208" s="3" t="inlineStr">
        <is>
          <t>Cold Soldering</t>
        </is>
      </c>
      <c r="O1208" s="3" t="n">
        <v>570</v>
      </c>
      <c r="P1208" s="9" t="inlineStr">
        <is>
          <t>NSMI24060161566</t>
        </is>
      </c>
      <c r="Q1208" s="53">
        <f>MID(P1208,5,2)</f>
        <v/>
      </c>
      <c r="R1208" s="53">
        <f>MID(P1208,7,2)</f>
        <v/>
      </c>
      <c r="S1208" s="3" t="inlineStr">
        <is>
          <t>G2G</t>
        </is>
      </c>
      <c r="T1208" s="3" t="inlineStr">
        <is>
          <t>P4</t>
        </is>
      </c>
      <c r="U1208" s="3" t="inlineStr">
        <is>
          <t>N JB Cold Soldering</t>
        </is>
      </c>
      <c r="V1208" s="3" t="inlineStr">
        <is>
          <t>Soldering</t>
        </is>
      </c>
      <c r="W1208" s="3" t="inlineStr">
        <is>
          <t>Repair</t>
        </is>
      </c>
      <c r="X1208" s="18" t="n">
        <v>46158</v>
      </c>
      <c r="Y1208" s="3">
        <f>X1208-A1208</f>
        <v/>
      </c>
      <c r="Z1208" s="18" t="n">
        <v>46158</v>
      </c>
      <c r="AA1208" s="15" t="n"/>
      <c r="AB1208" s="15" t="n"/>
    </row>
    <row r="1209" hidden="1" s="233">
      <c r="A1209" s="6" t="n">
        <v>46107</v>
      </c>
      <c r="B1209" s="3" t="n">
        <v>2026</v>
      </c>
      <c r="C1209" s="3" t="inlineStr">
        <is>
          <t>Blupine</t>
        </is>
      </c>
      <c r="D1209" s="3" t="inlineStr">
        <is>
          <t>Utility and C&amp;I</t>
        </is>
      </c>
      <c r="E1209" s="3" t="n"/>
      <c r="F1209" s="3" t="inlineStr">
        <is>
          <t>Closed</t>
        </is>
      </c>
      <c r="G1209" s="3" t="inlineStr">
        <is>
          <t>Chandrashekar Patidar</t>
        </is>
      </c>
      <c r="H1209" s="3" t="n">
        <v>7879764773</v>
      </c>
      <c r="I1209" s="11" t="inlineStr">
        <is>
          <t>PE26032601</t>
        </is>
      </c>
      <c r="J1209" s="3" t="inlineStr">
        <is>
          <t>Module Diode Failure</t>
        </is>
      </c>
      <c r="K1209" s="3" t="inlineStr">
        <is>
          <t>Sadla</t>
        </is>
      </c>
      <c r="L1209" s="3" t="inlineStr">
        <is>
          <t>Gujarat</t>
        </is>
      </c>
      <c r="M1209" s="9" t="inlineStr">
        <is>
          <t>OK</t>
        </is>
      </c>
      <c r="N1209" s="3" t="inlineStr">
        <is>
          <t>No Issue</t>
        </is>
      </c>
      <c r="O1209" s="3" t="n">
        <v>570</v>
      </c>
      <c r="P1209" s="9" t="inlineStr">
        <is>
          <t>NSMI24060161000</t>
        </is>
      </c>
      <c r="Q1209" s="53">
        <f>MID(P1209,5,2)</f>
        <v/>
      </c>
      <c r="R1209" s="53">
        <f>MID(P1209,7,2)</f>
        <v/>
      </c>
      <c r="S1209" s="3" t="inlineStr">
        <is>
          <t>G2G</t>
        </is>
      </c>
      <c r="T1209" s="3" t="inlineStr">
        <is>
          <t>P4</t>
        </is>
      </c>
      <c r="U1209" s="19" t="inlineStr">
        <is>
          <t>No Issue Found</t>
        </is>
      </c>
      <c r="V1209" s="19" t="inlineStr">
        <is>
          <t>Found OK</t>
        </is>
      </c>
      <c r="W1209" s="3" t="inlineStr">
        <is>
          <t>Repair</t>
        </is>
      </c>
      <c r="X1209" s="18" t="n">
        <v>46158</v>
      </c>
      <c r="Y1209" s="3">
        <f>X1209-A1209</f>
        <v/>
      </c>
      <c r="Z1209" s="18" t="n">
        <v>46158</v>
      </c>
      <c r="AA1209" s="15" t="n"/>
      <c r="AB1209" s="15" t="n"/>
    </row>
    <row r="1210" hidden="1" s="233">
      <c r="A1210" s="6" t="n">
        <v>46107</v>
      </c>
      <c r="B1210" s="3" t="n">
        <v>2026</v>
      </c>
      <c r="C1210" s="3" t="inlineStr">
        <is>
          <t>Blupine</t>
        </is>
      </c>
      <c r="D1210" s="3" t="inlineStr">
        <is>
          <t>Utility and C&amp;I</t>
        </is>
      </c>
      <c r="E1210" s="3" t="n"/>
      <c r="F1210" s="3" t="inlineStr">
        <is>
          <t>Closed</t>
        </is>
      </c>
      <c r="G1210" s="3" t="inlineStr">
        <is>
          <t>Chandrashekar Patidar</t>
        </is>
      </c>
      <c r="H1210" s="3" t="n">
        <v>7879764773</v>
      </c>
      <c r="I1210" s="11" t="inlineStr">
        <is>
          <t>PE26032601</t>
        </is>
      </c>
      <c r="J1210" s="3" t="inlineStr">
        <is>
          <t>Module Diode Failure</t>
        </is>
      </c>
      <c r="K1210" s="3" t="inlineStr">
        <is>
          <t>Sadla</t>
        </is>
      </c>
      <c r="L1210" s="3" t="inlineStr">
        <is>
          <t>Gujarat</t>
        </is>
      </c>
      <c r="M1210" s="9" t="inlineStr">
        <is>
          <t>NS</t>
        </is>
      </c>
      <c r="N1210" s="3" t="inlineStr">
        <is>
          <t>Cold Soldering</t>
        </is>
      </c>
      <c r="O1210" s="3" t="n">
        <v>570</v>
      </c>
      <c r="P1210" s="9" t="inlineStr">
        <is>
          <t>NSMI24060165178</t>
        </is>
      </c>
      <c r="Q1210" s="53">
        <f>MID(P1210,5,2)</f>
        <v/>
      </c>
      <c r="R1210" s="53">
        <f>MID(P1210,7,2)</f>
        <v/>
      </c>
      <c r="S1210" s="3" t="inlineStr">
        <is>
          <t>G2G</t>
        </is>
      </c>
      <c r="T1210" s="3" t="inlineStr">
        <is>
          <t>P4</t>
        </is>
      </c>
      <c r="U1210" s="3" t="inlineStr">
        <is>
          <t>N JB Cold Soldering</t>
        </is>
      </c>
      <c r="V1210" s="3" t="inlineStr">
        <is>
          <t>Soldering</t>
        </is>
      </c>
      <c r="W1210" s="3" t="inlineStr">
        <is>
          <t>Repair</t>
        </is>
      </c>
      <c r="X1210" s="18" t="n">
        <v>46158</v>
      </c>
      <c r="Y1210" s="3">
        <f>X1210-A1210</f>
        <v/>
      </c>
      <c r="Z1210" s="18" t="n">
        <v>46158</v>
      </c>
      <c r="AA1210" s="15" t="n"/>
      <c r="AB1210" s="15" t="n"/>
    </row>
    <row r="1211" hidden="1" s="233">
      <c r="A1211" s="6" t="n">
        <v>46107</v>
      </c>
      <c r="B1211" s="3" t="n">
        <v>2026</v>
      </c>
      <c r="C1211" s="3" t="inlineStr">
        <is>
          <t>Blupine</t>
        </is>
      </c>
      <c r="D1211" s="3" t="inlineStr">
        <is>
          <t>Utility and C&amp;I</t>
        </is>
      </c>
      <c r="E1211" s="3" t="n"/>
      <c r="F1211" s="3" t="inlineStr">
        <is>
          <t>Closed</t>
        </is>
      </c>
      <c r="G1211" s="3" t="inlineStr">
        <is>
          <t>Chandrashekar Patidar</t>
        </is>
      </c>
      <c r="H1211" s="3" t="n">
        <v>7879764773</v>
      </c>
      <c r="I1211" s="11" t="inlineStr">
        <is>
          <t>PE26032601</t>
        </is>
      </c>
      <c r="J1211" s="3" t="inlineStr">
        <is>
          <t>Module Diode Failure</t>
        </is>
      </c>
      <c r="K1211" s="3" t="inlineStr">
        <is>
          <t>Sadla</t>
        </is>
      </c>
      <c r="L1211" s="3" t="inlineStr">
        <is>
          <t>Gujarat</t>
        </is>
      </c>
      <c r="M1211" s="9" t="inlineStr">
        <is>
          <t>NS</t>
        </is>
      </c>
      <c r="N1211" s="3" t="inlineStr">
        <is>
          <t>Cold Soldering</t>
        </is>
      </c>
      <c r="O1211" s="3" t="n">
        <v>570</v>
      </c>
      <c r="P1211" s="9" t="inlineStr">
        <is>
          <t>NSMI24060165131</t>
        </is>
      </c>
      <c r="Q1211" s="53">
        <f>MID(P1211,5,2)</f>
        <v/>
      </c>
      <c r="R1211" s="53">
        <f>MID(P1211,7,2)</f>
        <v/>
      </c>
      <c r="S1211" s="3" t="inlineStr">
        <is>
          <t>G2G</t>
        </is>
      </c>
      <c r="T1211" s="3" t="inlineStr">
        <is>
          <t>P4</t>
        </is>
      </c>
      <c r="U1211" s="3" t="inlineStr">
        <is>
          <t>N JB Cold Soldering</t>
        </is>
      </c>
      <c r="V1211" s="3" t="inlineStr">
        <is>
          <t>Soldering</t>
        </is>
      </c>
      <c r="W1211" s="3" t="inlineStr">
        <is>
          <t>Repair</t>
        </is>
      </c>
      <c r="X1211" s="18" t="n">
        <v>46158</v>
      </c>
      <c r="Y1211" s="3">
        <f>X1211-A1211</f>
        <v/>
      </c>
      <c r="Z1211" s="18" t="n">
        <v>46158</v>
      </c>
      <c r="AA1211" s="15" t="n"/>
      <c r="AB1211" s="15" t="n"/>
    </row>
    <row r="1212" hidden="1" s="233">
      <c r="A1212" s="6" t="n">
        <v>46107</v>
      </c>
      <c r="B1212" s="3" t="n">
        <v>2026</v>
      </c>
      <c r="C1212" s="3" t="inlineStr">
        <is>
          <t>Blupine</t>
        </is>
      </c>
      <c r="D1212" s="3" t="inlineStr">
        <is>
          <t>Utility and C&amp;I</t>
        </is>
      </c>
      <c r="E1212" s="3" t="n"/>
      <c r="F1212" s="3" t="inlineStr">
        <is>
          <t>Closed</t>
        </is>
      </c>
      <c r="G1212" s="3" t="inlineStr">
        <is>
          <t>Chandrashekar Patidar</t>
        </is>
      </c>
      <c r="H1212" s="3" t="n">
        <v>7879764773</v>
      </c>
      <c r="I1212" s="11" t="inlineStr">
        <is>
          <t>PE26032601</t>
        </is>
      </c>
      <c r="J1212" s="3" t="inlineStr">
        <is>
          <t>Module Diode Failure</t>
        </is>
      </c>
      <c r="K1212" s="3" t="inlineStr">
        <is>
          <t>Sadla</t>
        </is>
      </c>
      <c r="L1212" s="3" t="inlineStr">
        <is>
          <t>Gujarat</t>
        </is>
      </c>
      <c r="M1212" s="9" t="inlineStr">
        <is>
          <t>NS</t>
        </is>
      </c>
      <c r="N1212" s="3" t="inlineStr">
        <is>
          <t>Cold Soldering</t>
        </is>
      </c>
      <c r="O1212" s="3" t="n">
        <v>570</v>
      </c>
      <c r="P1212" s="9" t="inlineStr">
        <is>
          <t>NSMI24060159591</t>
        </is>
      </c>
      <c r="Q1212" s="53">
        <f>MID(P1212,5,2)</f>
        <v/>
      </c>
      <c r="R1212" s="53">
        <f>MID(P1212,7,2)</f>
        <v/>
      </c>
      <c r="S1212" s="3" t="inlineStr">
        <is>
          <t>G2G</t>
        </is>
      </c>
      <c r="T1212" s="3" t="inlineStr">
        <is>
          <t>P4</t>
        </is>
      </c>
      <c r="U1212" s="3" t="inlineStr">
        <is>
          <t>N JB Cold Soldering</t>
        </is>
      </c>
      <c r="V1212" s="3" t="inlineStr">
        <is>
          <t>Soldering</t>
        </is>
      </c>
      <c r="W1212" s="3" t="inlineStr">
        <is>
          <t>Repair</t>
        </is>
      </c>
      <c r="X1212" s="18" t="n">
        <v>46158</v>
      </c>
      <c r="Y1212" s="3">
        <f>X1212-A1212</f>
        <v/>
      </c>
      <c r="Z1212" s="18" t="n">
        <v>46158</v>
      </c>
      <c r="AA1212" s="15" t="n"/>
      <c r="AB1212" s="15" t="n"/>
    </row>
    <row r="1213" hidden="1" s="233">
      <c r="A1213" s="6" t="n">
        <v>46107</v>
      </c>
      <c r="B1213" s="3" t="n">
        <v>2026</v>
      </c>
      <c r="C1213" s="3" t="inlineStr">
        <is>
          <t>Blupine</t>
        </is>
      </c>
      <c r="D1213" s="3" t="inlineStr">
        <is>
          <t>Utility and C&amp;I</t>
        </is>
      </c>
      <c r="E1213" s="3" t="n"/>
      <c r="F1213" s="3" t="inlineStr">
        <is>
          <t>Closed</t>
        </is>
      </c>
      <c r="G1213" s="3" t="inlineStr">
        <is>
          <t>Chandrashekar Patidar</t>
        </is>
      </c>
      <c r="H1213" s="3" t="n">
        <v>7879764773</v>
      </c>
      <c r="I1213" s="11" t="inlineStr">
        <is>
          <t>PE26032601</t>
        </is>
      </c>
      <c r="J1213" s="3" t="inlineStr">
        <is>
          <t>Module Diode Failure</t>
        </is>
      </c>
      <c r="K1213" s="3" t="inlineStr">
        <is>
          <t>Sadla</t>
        </is>
      </c>
      <c r="L1213" s="3" t="inlineStr">
        <is>
          <t>Gujarat</t>
        </is>
      </c>
      <c r="M1213" s="9" t="inlineStr">
        <is>
          <t>NS</t>
        </is>
      </c>
      <c r="N1213" s="3" t="inlineStr">
        <is>
          <t>Cold Soldering</t>
        </is>
      </c>
      <c r="O1213" s="3" t="n">
        <v>570</v>
      </c>
      <c r="P1213" s="9" t="inlineStr">
        <is>
          <t>NSMI24060155613</t>
        </is>
      </c>
      <c r="Q1213" s="53">
        <f>MID(P1213,5,2)</f>
        <v/>
      </c>
      <c r="R1213" s="53">
        <f>MID(P1213,7,2)</f>
        <v/>
      </c>
      <c r="S1213" s="3" t="inlineStr">
        <is>
          <t>G2G</t>
        </is>
      </c>
      <c r="T1213" s="3" t="inlineStr">
        <is>
          <t>P4</t>
        </is>
      </c>
      <c r="U1213" s="3" t="inlineStr">
        <is>
          <t>N JB Cold Soldering</t>
        </is>
      </c>
      <c r="V1213" s="3" t="inlineStr">
        <is>
          <t>Soldering</t>
        </is>
      </c>
      <c r="W1213" s="3" t="inlineStr">
        <is>
          <t>Repair</t>
        </is>
      </c>
      <c r="X1213" s="18" t="n">
        <v>46158</v>
      </c>
      <c r="Y1213" s="3">
        <f>X1213-A1213</f>
        <v/>
      </c>
      <c r="Z1213" s="18" t="n">
        <v>46158</v>
      </c>
      <c r="AA1213" s="15" t="n"/>
      <c r="AB1213" s="15" t="n"/>
    </row>
    <row r="1214" hidden="1" s="233">
      <c r="A1214" s="6" t="n">
        <v>46107</v>
      </c>
      <c r="B1214" s="3" t="n">
        <v>2026</v>
      </c>
      <c r="C1214" s="3" t="inlineStr">
        <is>
          <t>Blupine</t>
        </is>
      </c>
      <c r="D1214" s="3" t="inlineStr">
        <is>
          <t>Utility and C&amp;I</t>
        </is>
      </c>
      <c r="E1214" s="3" t="n"/>
      <c r="F1214" s="3" t="inlineStr">
        <is>
          <t>Closed</t>
        </is>
      </c>
      <c r="G1214" s="3" t="inlineStr">
        <is>
          <t>Chandrashekar Patidar</t>
        </is>
      </c>
      <c r="H1214" s="3" t="n">
        <v>7879764773</v>
      </c>
      <c r="I1214" s="11" t="inlineStr">
        <is>
          <t>PE26032601</t>
        </is>
      </c>
      <c r="J1214" s="3" t="inlineStr">
        <is>
          <t>Module Diode Failure</t>
        </is>
      </c>
      <c r="K1214" s="3" t="inlineStr">
        <is>
          <t>Sadla</t>
        </is>
      </c>
      <c r="L1214" s="3" t="inlineStr">
        <is>
          <t>Gujarat</t>
        </is>
      </c>
      <c r="M1214" s="9" t="inlineStr">
        <is>
          <t>NS</t>
        </is>
      </c>
      <c r="N1214" s="3" t="inlineStr">
        <is>
          <t>Cold Soldering</t>
        </is>
      </c>
      <c r="O1214" s="3" t="n">
        <v>570</v>
      </c>
      <c r="P1214" s="9" t="inlineStr">
        <is>
          <t>NSMI24060160604</t>
        </is>
      </c>
      <c r="Q1214" s="53">
        <f>MID(P1214,5,2)</f>
        <v/>
      </c>
      <c r="R1214" s="53">
        <f>MID(P1214,7,2)</f>
        <v/>
      </c>
      <c r="S1214" s="3" t="inlineStr">
        <is>
          <t>G2G</t>
        </is>
      </c>
      <c r="T1214" s="3" t="inlineStr">
        <is>
          <t>P4</t>
        </is>
      </c>
      <c r="U1214" s="3" t="inlineStr">
        <is>
          <t>N JB Cold Soldering</t>
        </is>
      </c>
      <c r="V1214" s="3" t="inlineStr">
        <is>
          <t>Soldering</t>
        </is>
      </c>
      <c r="W1214" s="3" t="inlineStr">
        <is>
          <t>Repair</t>
        </is>
      </c>
      <c r="X1214" s="18" t="n">
        <v>46158</v>
      </c>
      <c r="Y1214" s="3">
        <f>X1214-A1214</f>
        <v/>
      </c>
      <c r="Z1214" s="18" t="n">
        <v>46158</v>
      </c>
      <c r="AA1214" s="15" t="n"/>
      <c r="AB1214" s="15" t="n"/>
    </row>
    <row r="1215" hidden="1" s="233">
      <c r="A1215" s="6" t="n">
        <v>46107</v>
      </c>
      <c r="B1215" s="3" t="n">
        <v>2026</v>
      </c>
      <c r="C1215" s="3" t="inlineStr">
        <is>
          <t>Blupine</t>
        </is>
      </c>
      <c r="D1215" s="3" t="inlineStr">
        <is>
          <t>Utility and C&amp;I</t>
        </is>
      </c>
      <c r="E1215" s="3" t="n"/>
      <c r="F1215" s="3" t="inlineStr">
        <is>
          <t>Closed</t>
        </is>
      </c>
      <c r="G1215" s="3" t="inlineStr">
        <is>
          <t>Chandrashekar Patidar</t>
        </is>
      </c>
      <c r="H1215" s="3" t="n">
        <v>7879764773</v>
      </c>
      <c r="I1215" s="11" t="inlineStr">
        <is>
          <t>PE26032601</t>
        </is>
      </c>
      <c r="J1215" s="3" t="inlineStr">
        <is>
          <t>Module Diode Failure</t>
        </is>
      </c>
      <c r="K1215" s="3" t="inlineStr">
        <is>
          <t>Sadla</t>
        </is>
      </c>
      <c r="L1215" s="3" t="inlineStr">
        <is>
          <t>Gujarat</t>
        </is>
      </c>
      <c r="M1215" s="9" t="inlineStr">
        <is>
          <t>NS</t>
        </is>
      </c>
      <c r="N1215" s="3" t="inlineStr">
        <is>
          <t>Cold Soldering</t>
        </is>
      </c>
      <c r="O1215" s="3" t="n">
        <v>570</v>
      </c>
      <c r="P1215" s="9" t="inlineStr">
        <is>
          <t>NSMI24070166446</t>
        </is>
      </c>
      <c r="Q1215" s="53">
        <f>MID(P1215,5,2)</f>
        <v/>
      </c>
      <c r="R1215" s="53">
        <f>MID(P1215,7,2)</f>
        <v/>
      </c>
      <c r="S1215" s="3" t="inlineStr">
        <is>
          <t>G2G</t>
        </is>
      </c>
      <c r="T1215" s="3" t="inlineStr">
        <is>
          <t>P4</t>
        </is>
      </c>
      <c r="U1215" s="3" t="inlineStr">
        <is>
          <t>N JB Cold Soldering</t>
        </is>
      </c>
      <c r="V1215" s="3" t="inlineStr">
        <is>
          <t>Soldering</t>
        </is>
      </c>
      <c r="W1215" s="3" t="inlineStr">
        <is>
          <t>Repair</t>
        </is>
      </c>
      <c r="X1215" s="18" t="n">
        <v>46158</v>
      </c>
      <c r="Y1215" s="3">
        <f>X1215-A1215</f>
        <v/>
      </c>
      <c r="Z1215" s="18" t="n">
        <v>46158</v>
      </c>
      <c r="AA1215" s="15" t="n"/>
      <c r="AB1215" s="15" t="n"/>
    </row>
    <row r="1216" hidden="1" s="233">
      <c r="A1216" s="6" t="n">
        <v>46107</v>
      </c>
      <c r="B1216" s="3" t="n">
        <v>2026</v>
      </c>
      <c r="C1216" s="3" t="inlineStr">
        <is>
          <t>Blupine</t>
        </is>
      </c>
      <c r="D1216" s="3" t="inlineStr">
        <is>
          <t>Utility and C&amp;I</t>
        </is>
      </c>
      <c r="E1216" s="3" t="n"/>
      <c r="F1216" s="3" t="inlineStr">
        <is>
          <t>Closed</t>
        </is>
      </c>
      <c r="G1216" s="3" t="inlineStr">
        <is>
          <t>Chandrashekar Patidar</t>
        </is>
      </c>
      <c r="H1216" s="3" t="n">
        <v>7879764773</v>
      </c>
      <c r="I1216" s="11" t="inlineStr">
        <is>
          <t>PE26032601</t>
        </is>
      </c>
      <c r="J1216" s="3" t="inlineStr">
        <is>
          <t>Module Diode Failure</t>
        </is>
      </c>
      <c r="K1216" s="3" t="inlineStr">
        <is>
          <t>Sadla</t>
        </is>
      </c>
      <c r="L1216" s="3" t="inlineStr">
        <is>
          <t>Gujarat</t>
        </is>
      </c>
      <c r="M1216" s="9" t="inlineStr">
        <is>
          <t>NS</t>
        </is>
      </c>
      <c r="N1216" s="3" t="inlineStr">
        <is>
          <t>Cold Soldering</t>
        </is>
      </c>
      <c r="O1216" s="3" t="n">
        <v>570</v>
      </c>
      <c r="P1216" s="9" t="inlineStr">
        <is>
          <t>NSMI24070166326</t>
        </is>
      </c>
      <c r="Q1216" s="53">
        <f>MID(P1216,5,2)</f>
        <v/>
      </c>
      <c r="R1216" s="53">
        <f>MID(P1216,7,2)</f>
        <v/>
      </c>
      <c r="S1216" s="3" t="inlineStr">
        <is>
          <t>G2G</t>
        </is>
      </c>
      <c r="T1216" s="3" t="inlineStr">
        <is>
          <t>P4</t>
        </is>
      </c>
      <c r="U1216" s="3" t="inlineStr">
        <is>
          <t>N JB Cold Soldering</t>
        </is>
      </c>
      <c r="V1216" s="3" t="inlineStr">
        <is>
          <t>Soldering</t>
        </is>
      </c>
      <c r="W1216" s="3" t="inlineStr">
        <is>
          <t>Repair</t>
        </is>
      </c>
      <c r="X1216" s="18" t="n">
        <v>46158</v>
      </c>
      <c r="Y1216" s="3">
        <f>X1216-A1216</f>
        <v/>
      </c>
      <c r="Z1216" s="18" t="n">
        <v>46158</v>
      </c>
      <c r="AA1216" s="15" t="n"/>
      <c r="AB1216" s="15" t="n"/>
    </row>
    <row r="1217" hidden="1" s="233">
      <c r="A1217" s="6" t="n">
        <v>46107</v>
      </c>
      <c r="B1217" s="3" t="n">
        <v>2026</v>
      </c>
      <c r="C1217" s="3" t="inlineStr">
        <is>
          <t>Blupine</t>
        </is>
      </c>
      <c r="D1217" s="3" t="inlineStr">
        <is>
          <t>Utility and C&amp;I</t>
        </is>
      </c>
      <c r="E1217" s="3" t="n"/>
      <c r="F1217" s="3" t="inlineStr">
        <is>
          <t>Closed</t>
        </is>
      </c>
      <c r="G1217" s="3" t="inlineStr">
        <is>
          <t>Chandrashekar Patidar</t>
        </is>
      </c>
      <c r="H1217" s="3" t="n">
        <v>7879764773</v>
      </c>
      <c r="I1217" s="11" t="inlineStr">
        <is>
          <t>PE26032601</t>
        </is>
      </c>
      <c r="J1217" s="3" t="inlineStr">
        <is>
          <t>Module Diode Failure</t>
        </is>
      </c>
      <c r="K1217" s="3" t="inlineStr">
        <is>
          <t>Sadla</t>
        </is>
      </c>
      <c r="L1217" s="3" t="inlineStr">
        <is>
          <t>Gujarat</t>
        </is>
      </c>
      <c r="M1217" s="9" t="inlineStr">
        <is>
          <t>NS</t>
        </is>
      </c>
      <c r="N1217" s="3" t="inlineStr">
        <is>
          <t>Cold Soldering</t>
        </is>
      </c>
      <c r="O1217" s="3" t="n">
        <v>570</v>
      </c>
      <c r="P1217" s="9" t="inlineStr">
        <is>
          <t>NSMI24060146409</t>
        </is>
      </c>
      <c r="Q1217" s="53">
        <f>MID(P1217,5,2)</f>
        <v/>
      </c>
      <c r="R1217" s="53">
        <f>MID(P1217,7,2)</f>
        <v/>
      </c>
      <c r="S1217" s="3" t="inlineStr">
        <is>
          <t>G2G</t>
        </is>
      </c>
      <c r="T1217" s="3" t="inlineStr">
        <is>
          <t>P4</t>
        </is>
      </c>
      <c r="U1217" s="3" t="inlineStr">
        <is>
          <t>N JB Cold Soldering</t>
        </is>
      </c>
      <c r="V1217" s="3" t="inlineStr">
        <is>
          <t>Soldering</t>
        </is>
      </c>
      <c r="W1217" s="3" t="inlineStr">
        <is>
          <t>Repair</t>
        </is>
      </c>
      <c r="X1217" s="18" t="n">
        <v>46158</v>
      </c>
      <c r="Y1217" s="3">
        <f>X1217-A1217</f>
        <v/>
      </c>
      <c r="Z1217" s="18" t="n">
        <v>46158</v>
      </c>
      <c r="AA1217" s="15" t="n"/>
      <c r="AB1217" s="15" t="n"/>
    </row>
    <row r="1218" hidden="1" s="233">
      <c r="A1218" s="6" t="n">
        <v>46107</v>
      </c>
      <c r="B1218" s="3" t="n">
        <v>2026</v>
      </c>
      <c r="C1218" s="3" t="inlineStr">
        <is>
          <t>Blupine</t>
        </is>
      </c>
      <c r="D1218" s="3" t="inlineStr">
        <is>
          <t>Utility and C&amp;I</t>
        </is>
      </c>
      <c r="E1218" s="3" t="n"/>
      <c r="F1218" s="3" t="inlineStr">
        <is>
          <t>Closed</t>
        </is>
      </c>
      <c r="G1218" s="3" t="inlineStr">
        <is>
          <t>Chandrashekar Patidar</t>
        </is>
      </c>
      <c r="H1218" s="3" t="n">
        <v>7879764773</v>
      </c>
      <c r="I1218" s="11" t="inlineStr">
        <is>
          <t>PE26032601</t>
        </is>
      </c>
      <c r="J1218" s="3" t="inlineStr">
        <is>
          <t>Module Diode Failure</t>
        </is>
      </c>
      <c r="K1218" s="3" t="inlineStr">
        <is>
          <t>Sadla</t>
        </is>
      </c>
      <c r="L1218" s="3" t="inlineStr">
        <is>
          <t>Gujarat</t>
        </is>
      </c>
      <c r="M1218" s="9" t="inlineStr">
        <is>
          <t>NS</t>
        </is>
      </c>
      <c r="N1218" s="3" t="inlineStr">
        <is>
          <t>Cold Soldering</t>
        </is>
      </c>
      <c r="O1218" s="3" t="n">
        <v>570</v>
      </c>
      <c r="P1218" s="9" t="inlineStr">
        <is>
          <t>NSMI24070167285</t>
        </is>
      </c>
      <c r="Q1218" s="53">
        <f>MID(P1218,5,2)</f>
        <v/>
      </c>
      <c r="R1218" s="53">
        <f>MID(P1218,7,2)</f>
        <v/>
      </c>
      <c r="S1218" s="3" t="inlineStr">
        <is>
          <t>G2G</t>
        </is>
      </c>
      <c r="T1218" s="3" t="inlineStr">
        <is>
          <t>P4</t>
        </is>
      </c>
      <c r="U1218" s="3" t="inlineStr">
        <is>
          <t>N JB Cold Soldering</t>
        </is>
      </c>
      <c r="V1218" s="3" t="inlineStr">
        <is>
          <t>Soldering</t>
        </is>
      </c>
      <c r="W1218" s="3" t="inlineStr">
        <is>
          <t>Repair</t>
        </is>
      </c>
      <c r="X1218" s="18" t="n">
        <v>46158</v>
      </c>
      <c r="Y1218" s="3">
        <f>X1218-A1218</f>
        <v/>
      </c>
      <c r="Z1218" s="18" t="n">
        <v>46158</v>
      </c>
      <c r="AA1218" s="15" t="n"/>
      <c r="AB1218" s="15" t="n"/>
    </row>
    <row r="1219" hidden="1" s="233">
      <c r="A1219" s="6" t="n">
        <v>46107</v>
      </c>
      <c r="B1219" s="3" t="n">
        <v>2026</v>
      </c>
      <c r="C1219" s="3" t="inlineStr">
        <is>
          <t>Blupine</t>
        </is>
      </c>
      <c r="D1219" s="3" t="inlineStr">
        <is>
          <t>Utility and C&amp;I</t>
        </is>
      </c>
      <c r="E1219" s="3" t="n"/>
      <c r="F1219" s="3" t="inlineStr">
        <is>
          <t>Closed</t>
        </is>
      </c>
      <c r="G1219" s="3" t="inlineStr">
        <is>
          <t>Chandrashekar Patidar</t>
        </is>
      </c>
      <c r="H1219" s="3" t="n">
        <v>7879764773</v>
      </c>
      <c r="I1219" s="11" t="inlineStr">
        <is>
          <t>PE26032601</t>
        </is>
      </c>
      <c r="J1219" s="3" t="inlineStr">
        <is>
          <t>Module Diode Failure</t>
        </is>
      </c>
      <c r="K1219" s="3" t="inlineStr">
        <is>
          <t>Sadla</t>
        </is>
      </c>
      <c r="L1219" s="3" t="inlineStr">
        <is>
          <t>Gujarat</t>
        </is>
      </c>
      <c r="M1219" s="9" t="inlineStr">
        <is>
          <t>NS</t>
        </is>
      </c>
      <c r="N1219" s="3" t="inlineStr">
        <is>
          <t>Cold Soldering</t>
        </is>
      </c>
      <c r="O1219" s="3" t="n">
        <v>570</v>
      </c>
      <c r="P1219" s="9" t="inlineStr">
        <is>
          <t>NSMI24070167321</t>
        </is>
      </c>
      <c r="Q1219" s="53">
        <f>MID(P1219,5,2)</f>
        <v/>
      </c>
      <c r="R1219" s="53">
        <f>MID(P1219,7,2)</f>
        <v/>
      </c>
      <c r="S1219" s="3" t="inlineStr">
        <is>
          <t>G2G</t>
        </is>
      </c>
      <c r="T1219" s="3" t="inlineStr">
        <is>
          <t>P4</t>
        </is>
      </c>
      <c r="U1219" s="3" t="inlineStr">
        <is>
          <t>N JB Cold Soldering</t>
        </is>
      </c>
      <c r="V1219" s="3" t="inlineStr">
        <is>
          <t>Soldering</t>
        </is>
      </c>
      <c r="W1219" s="3" t="inlineStr">
        <is>
          <t>Repair</t>
        </is>
      </c>
      <c r="X1219" s="18" t="n">
        <v>46158</v>
      </c>
      <c r="Y1219" s="3">
        <f>X1219-A1219</f>
        <v/>
      </c>
      <c r="Z1219" s="18" t="n">
        <v>46158</v>
      </c>
      <c r="AA1219" s="15" t="n"/>
      <c r="AB1219" s="15" t="n"/>
    </row>
    <row r="1220" hidden="1" s="233">
      <c r="A1220" s="6" t="n">
        <v>46107</v>
      </c>
      <c r="B1220" s="3" t="n">
        <v>2026</v>
      </c>
      <c r="C1220" s="3" t="inlineStr">
        <is>
          <t>Blupine</t>
        </is>
      </c>
      <c r="D1220" s="3" t="inlineStr">
        <is>
          <t>Utility and C&amp;I</t>
        </is>
      </c>
      <c r="E1220" s="3" t="n"/>
      <c r="F1220" s="3" t="inlineStr">
        <is>
          <t>Closed</t>
        </is>
      </c>
      <c r="G1220" s="3" t="inlineStr">
        <is>
          <t>Chandrashekar Patidar</t>
        </is>
      </c>
      <c r="H1220" s="3" t="n">
        <v>7879764773</v>
      </c>
      <c r="I1220" s="11" t="inlineStr">
        <is>
          <t>PE26032601</t>
        </is>
      </c>
      <c r="J1220" s="3" t="inlineStr">
        <is>
          <t>Module Diode Failure</t>
        </is>
      </c>
      <c r="K1220" s="3" t="inlineStr">
        <is>
          <t>Sadla</t>
        </is>
      </c>
      <c r="L1220" s="3" t="inlineStr">
        <is>
          <t>Gujarat</t>
        </is>
      </c>
      <c r="M1220" s="9" t="inlineStr">
        <is>
          <t>NS</t>
        </is>
      </c>
      <c r="N1220" s="3" t="inlineStr">
        <is>
          <t>Cold Soldering</t>
        </is>
      </c>
      <c r="O1220" s="3" t="n">
        <v>570</v>
      </c>
      <c r="P1220" s="9" t="inlineStr">
        <is>
          <t>NSMI24060162834</t>
        </is>
      </c>
      <c r="Q1220" s="53">
        <f>MID(P1220,5,2)</f>
        <v/>
      </c>
      <c r="R1220" s="53">
        <f>MID(P1220,7,2)</f>
        <v/>
      </c>
      <c r="S1220" s="3" t="inlineStr">
        <is>
          <t>G2G</t>
        </is>
      </c>
      <c r="T1220" s="3" t="inlineStr">
        <is>
          <t>P4</t>
        </is>
      </c>
      <c r="U1220" s="3" t="inlineStr">
        <is>
          <t>N JB Cold Soldering</t>
        </is>
      </c>
      <c r="V1220" s="3" t="inlineStr">
        <is>
          <t>Soldering</t>
        </is>
      </c>
      <c r="W1220" s="3" t="inlineStr">
        <is>
          <t>Repair</t>
        </is>
      </c>
      <c r="X1220" s="18" t="n">
        <v>46158</v>
      </c>
      <c r="Y1220" s="3">
        <f>X1220-A1220</f>
        <v/>
      </c>
      <c r="Z1220" s="18" t="n">
        <v>46158</v>
      </c>
      <c r="AA1220" s="15" t="n"/>
      <c r="AB1220" s="15" t="n"/>
    </row>
    <row r="1221" hidden="1" s="233">
      <c r="A1221" s="6" t="n">
        <v>46107</v>
      </c>
      <c r="B1221" s="3" t="n">
        <v>2026</v>
      </c>
      <c r="C1221" s="3" t="inlineStr">
        <is>
          <t>Blupine</t>
        </is>
      </c>
      <c r="D1221" s="3" t="inlineStr">
        <is>
          <t>Utility and C&amp;I</t>
        </is>
      </c>
      <c r="E1221" s="3" t="n"/>
      <c r="F1221" s="3" t="inlineStr">
        <is>
          <t>Closed</t>
        </is>
      </c>
      <c r="G1221" s="3" t="inlineStr">
        <is>
          <t>Chandrashekar Patidar</t>
        </is>
      </c>
      <c r="H1221" s="3" t="n">
        <v>7879764773</v>
      </c>
      <c r="I1221" s="11" t="inlineStr">
        <is>
          <t>PE26032601</t>
        </is>
      </c>
      <c r="J1221" s="3" t="inlineStr">
        <is>
          <t>Module Diode Failure</t>
        </is>
      </c>
      <c r="K1221" s="3" t="inlineStr">
        <is>
          <t>Sadla</t>
        </is>
      </c>
      <c r="L1221" s="3" t="inlineStr">
        <is>
          <t>Gujarat</t>
        </is>
      </c>
      <c r="M1221" s="9" t="inlineStr">
        <is>
          <t>NS</t>
        </is>
      </c>
      <c r="N1221" s="3" t="inlineStr">
        <is>
          <t>Cold Soldering</t>
        </is>
      </c>
      <c r="O1221" s="3" t="n">
        <v>570</v>
      </c>
      <c r="P1221" s="9" t="inlineStr">
        <is>
          <t>NSMI24060141787</t>
        </is>
      </c>
      <c r="Q1221" s="53">
        <f>MID(P1221,5,2)</f>
        <v/>
      </c>
      <c r="R1221" s="53">
        <f>MID(P1221,7,2)</f>
        <v/>
      </c>
      <c r="S1221" s="3" t="inlineStr">
        <is>
          <t>G2G</t>
        </is>
      </c>
      <c r="T1221" s="3" t="inlineStr">
        <is>
          <t>P4</t>
        </is>
      </c>
      <c r="U1221" s="3" t="inlineStr">
        <is>
          <t>N JB Cold Soldering</t>
        </is>
      </c>
      <c r="V1221" s="3" t="inlineStr">
        <is>
          <t>Soldering</t>
        </is>
      </c>
      <c r="W1221" s="3" t="inlineStr">
        <is>
          <t>Repair</t>
        </is>
      </c>
      <c r="X1221" s="18" t="n">
        <v>46158</v>
      </c>
      <c r="Y1221" s="3">
        <f>X1221-A1221</f>
        <v/>
      </c>
      <c r="Z1221" s="18" t="n">
        <v>46158</v>
      </c>
      <c r="AA1221" s="15" t="n"/>
      <c r="AB1221" s="15" t="n"/>
    </row>
    <row r="1222" hidden="1" s="233">
      <c r="A1222" s="6" t="n">
        <v>46107</v>
      </c>
      <c r="B1222" s="3" t="n">
        <v>2026</v>
      </c>
      <c r="C1222" s="3" t="inlineStr">
        <is>
          <t>Blupine</t>
        </is>
      </c>
      <c r="D1222" s="3" t="inlineStr">
        <is>
          <t>Utility and C&amp;I</t>
        </is>
      </c>
      <c r="E1222" s="3" t="n"/>
      <c r="F1222" s="3" t="inlineStr">
        <is>
          <t>Closed</t>
        </is>
      </c>
      <c r="G1222" s="3" t="inlineStr">
        <is>
          <t>Chandrashekar Patidar</t>
        </is>
      </c>
      <c r="H1222" s="3" t="n">
        <v>7879764773</v>
      </c>
      <c r="I1222" s="11" t="inlineStr">
        <is>
          <t>PE26032601</t>
        </is>
      </c>
      <c r="J1222" s="3" t="inlineStr">
        <is>
          <t>Module Diode Failure</t>
        </is>
      </c>
      <c r="K1222" s="3" t="inlineStr">
        <is>
          <t>Sadla</t>
        </is>
      </c>
      <c r="L1222" s="3" t="inlineStr">
        <is>
          <t>Gujarat</t>
        </is>
      </c>
      <c r="M1222" s="9" t="inlineStr">
        <is>
          <t>PS</t>
        </is>
      </c>
      <c r="N1222" s="3" t="inlineStr">
        <is>
          <t>Cold Soldering</t>
        </is>
      </c>
      <c r="O1222" s="3" t="n">
        <v>570</v>
      </c>
      <c r="P1222" s="9" t="inlineStr">
        <is>
          <t>NSMI24060145424</t>
        </is>
      </c>
      <c r="Q1222" s="53">
        <f>MID(P1222,5,2)</f>
        <v/>
      </c>
      <c r="R1222" s="53">
        <f>MID(P1222,7,2)</f>
        <v/>
      </c>
      <c r="S1222" s="3" t="inlineStr">
        <is>
          <t>G2G</t>
        </is>
      </c>
      <c r="T1222" s="3" t="inlineStr">
        <is>
          <t>P4</t>
        </is>
      </c>
      <c r="U1222" s="3" t="inlineStr">
        <is>
          <t>P JB Cold Soldering</t>
        </is>
      </c>
      <c r="V1222" s="3" t="inlineStr">
        <is>
          <t>Soldering</t>
        </is>
      </c>
      <c r="W1222" s="3" t="inlineStr">
        <is>
          <t>Repair</t>
        </is>
      </c>
      <c r="X1222" s="18" t="n">
        <v>46158</v>
      </c>
      <c r="Y1222" s="3">
        <f>X1222-A1222</f>
        <v/>
      </c>
      <c r="Z1222" s="18" t="n">
        <v>46158</v>
      </c>
      <c r="AA1222" s="15" t="n"/>
      <c r="AB1222" s="15" t="n"/>
    </row>
    <row r="1223" hidden="1" s="233">
      <c r="A1223" s="6" t="n">
        <v>46107</v>
      </c>
      <c r="B1223" s="3" t="n">
        <v>2026</v>
      </c>
      <c r="C1223" s="3" t="inlineStr">
        <is>
          <t>Blupine</t>
        </is>
      </c>
      <c r="D1223" s="3" t="inlineStr">
        <is>
          <t>Utility and C&amp;I</t>
        </is>
      </c>
      <c r="E1223" s="3" t="n"/>
      <c r="F1223" s="3" t="inlineStr">
        <is>
          <t>Closed</t>
        </is>
      </c>
      <c r="G1223" s="3" t="inlineStr">
        <is>
          <t>Chandrashekar Patidar</t>
        </is>
      </c>
      <c r="H1223" s="3" t="n">
        <v>7879764773</v>
      </c>
      <c r="I1223" s="11" t="inlineStr">
        <is>
          <t>PE26032601</t>
        </is>
      </c>
      <c r="J1223" s="3" t="inlineStr">
        <is>
          <t>Module Diode Failure</t>
        </is>
      </c>
      <c r="K1223" s="3" t="inlineStr">
        <is>
          <t>Sadla</t>
        </is>
      </c>
      <c r="L1223" s="3" t="inlineStr">
        <is>
          <t>Gujarat</t>
        </is>
      </c>
      <c r="M1223" s="9" t="inlineStr">
        <is>
          <t>PS</t>
        </is>
      </c>
      <c r="N1223" s="3" t="inlineStr">
        <is>
          <t>Cold Soldering</t>
        </is>
      </c>
      <c r="O1223" s="3" t="n">
        <v>570</v>
      </c>
      <c r="P1223" s="9" t="inlineStr">
        <is>
          <t>NSMI24060145416</t>
        </is>
      </c>
      <c r="Q1223" s="53">
        <f>MID(P1223,5,2)</f>
        <v/>
      </c>
      <c r="R1223" s="53">
        <f>MID(P1223,7,2)</f>
        <v/>
      </c>
      <c r="S1223" s="3" t="inlineStr">
        <is>
          <t>G2G</t>
        </is>
      </c>
      <c r="T1223" s="3" t="inlineStr">
        <is>
          <t>P4</t>
        </is>
      </c>
      <c r="U1223" s="3" t="inlineStr">
        <is>
          <t>P JB Cold Soldering</t>
        </is>
      </c>
      <c r="V1223" s="3" t="inlineStr">
        <is>
          <t>Soldering</t>
        </is>
      </c>
      <c r="W1223" s="3" t="inlineStr">
        <is>
          <t>Repair</t>
        </is>
      </c>
      <c r="X1223" s="18" t="n">
        <v>46158</v>
      </c>
      <c r="Y1223" s="3">
        <f>X1223-A1223</f>
        <v/>
      </c>
      <c r="Z1223" s="18" t="n">
        <v>46158</v>
      </c>
      <c r="AA1223" s="15" t="n"/>
      <c r="AB1223" s="15" t="n"/>
    </row>
    <row r="1224" hidden="1" s="233">
      <c r="A1224" s="6" t="n">
        <v>46107</v>
      </c>
      <c r="B1224" s="3" t="n">
        <v>2026</v>
      </c>
      <c r="C1224" s="3" t="inlineStr">
        <is>
          <t>Blupine</t>
        </is>
      </c>
      <c r="D1224" s="3" t="inlineStr">
        <is>
          <t>Utility and C&amp;I</t>
        </is>
      </c>
      <c r="E1224" s="3" t="n"/>
      <c r="F1224" s="3" t="inlineStr">
        <is>
          <t>Closed</t>
        </is>
      </c>
      <c r="G1224" s="3" t="inlineStr">
        <is>
          <t>Chandrashekar Patidar</t>
        </is>
      </c>
      <c r="H1224" s="3" t="n">
        <v>7879764773</v>
      </c>
      <c r="I1224" s="11" t="inlineStr">
        <is>
          <t>PE26032601</t>
        </is>
      </c>
      <c r="J1224" s="3" t="inlineStr">
        <is>
          <t>Module Diode Failure</t>
        </is>
      </c>
      <c r="K1224" s="3" t="inlineStr">
        <is>
          <t>Sadla</t>
        </is>
      </c>
      <c r="L1224" s="3" t="inlineStr">
        <is>
          <t>Gujarat</t>
        </is>
      </c>
      <c r="M1224" s="9" t="inlineStr">
        <is>
          <t>NS</t>
        </is>
      </c>
      <c r="N1224" s="3" t="inlineStr">
        <is>
          <t>Cold Soldering</t>
        </is>
      </c>
      <c r="O1224" s="3" t="n">
        <v>570</v>
      </c>
      <c r="P1224" s="9" t="inlineStr">
        <is>
          <t>NSMI24060141864</t>
        </is>
      </c>
      <c r="Q1224" s="53">
        <f>MID(P1224,5,2)</f>
        <v/>
      </c>
      <c r="R1224" s="53">
        <f>MID(P1224,7,2)</f>
        <v/>
      </c>
      <c r="S1224" s="3" t="inlineStr">
        <is>
          <t>G2G</t>
        </is>
      </c>
      <c r="T1224" s="3" t="inlineStr">
        <is>
          <t>P4</t>
        </is>
      </c>
      <c r="U1224" s="3" t="inlineStr">
        <is>
          <t>N JB Cold Soldering</t>
        </is>
      </c>
      <c r="V1224" s="3" t="inlineStr">
        <is>
          <t>Soldering</t>
        </is>
      </c>
      <c r="W1224" s="3" t="inlineStr">
        <is>
          <t>Repair</t>
        </is>
      </c>
      <c r="X1224" s="18" t="n">
        <v>46158</v>
      </c>
      <c r="Y1224" s="3">
        <f>X1224-A1224</f>
        <v/>
      </c>
      <c r="Z1224" s="18" t="n">
        <v>46158</v>
      </c>
      <c r="AA1224" s="15" t="n"/>
      <c r="AB1224" s="15" t="n"/>
    </row>
    <row r="1225" hidden="1" s="233">
      <c r="A1225" s="6" t="n">
        <v>46107</v>
      </c>
      <c r="B1225" s="3" t="n">
        <v>2026</v>
      </c>
      <c r="C1225" s="3" t="inlineStr">
        <is>
          <t>Blupine</t>
        </is>
      </c>
      <c r="D1225" s="3" t="inlineStr">
        <is>
          <t>Utility and C&amp;I</t>
        </is>
      </c>
      <c r="E1225" s="3" t="n"/>
      <c r="F1225" s="3" t="inlineStr">
        <is>
          <t>Closed</t>
        </is>
      </c>
      <c r="G1225" s="3" t="inlineStr">
        <is>
          <t>Chandrashekar Patidar</t>
        </is>
      </c>
      <c r="H1225" s="3" t="n">
        <v>7879764773</v>
      </c>
      <c r="I1225" s="11" t="inlineStr">
        <is>
          <t>PE26032601</t>
        </is>
      </c>
      <c r="J1225" s="3" t="inlineStr">
        <is>
          <t>Module Diode Failure</t>
        </is>
      </c>
      <c r="K1225" s="3" t="inlineStr">
        <is>
          <t>Sadla</t>
        </is>
      </c>
      <c r="L1225" s="3" t="inlineStr">
        <is>
          <t>Gujarat</t>
        </is>
      </c>
      <c r="M1225" s="9" t="inlineStr">
        <is>
          <t>NS</t>
        </is>
      </c>
      <c r="N1225" s="3" t="inlineStr">
        <is>
          <t>Cold Soldering</t>
        </is>
      </c>
      <c r="O1225" s="3" t="n">
        <v>570</v>
      </c>
      <c r="P1225" s="9" t="inlineStr">
        <is>
          <t>NSMI24060163161</t>
        </is>
      </c>
      <c r="Q1225" s="53">
        <f>MID(P1225,5,2)</f>
        <v/>
      </c>
      <c r="R1225" s="53">
        <f>MID(P1225,7,2)</f>
        <v/>
      </c>
      <c r="S1225" s="3" t="inlineStr">
        <is>
          <t>G2G</t>
        </is>
      </c>
      <c r="T1225" s="3" t="inlineStr">
        <is>
          <t>P4</t>
        </is>
      </c>
      <c r="U1225" s="3" t="inlineStr">
        <is>
          <t>N JB Cold Soldering</t>
        </is>
      </c>
      <c r="V1225" s="3" t="inlineStr">
        <is>
          <t>Soldering</t>
        </is>
      </c>
      <c r="W1225" s="3" t="inlineStr">
        <is>
          <t>Repair</t>
        </is>
      </c>
      <c r="X1225" s="18" t="n">
        <v>46158</v>
      </c>
      <c r="Y1225" s="3">
        <f>X1225-A1225</f>
        <v/>
      </c>
      <c r="Z1225" s="18" t="n">
        <v>46158</v>
      </c>
      <c r="AA1225" s="15" t="n"/>
      <c r="AB1225" s="15" t="n"/>
    </row>
    <row r="1226" hidden="1" s="233">
      <c r="A1226" s="6" t="n">
        <v>46107</v>
      </c>
      <c r="B1226" s="3" t="n">
        <v>2026</v>
      </c>
      <c r="C1226" s="3" t="inlineStr">
        <is>
          <t>Blupine</t>
        </is>
      </c>
      <c r="D1226" s="3" t="inlineStr">
        <is>
          <t>Utility and C&amp;I</t>
        </is>
      </c>
      <c r="E1226" s="3" t="n"/>
      <c r="F1226" s="3" t="inlineStr">
        <is>
          <t>Closed</t>
        </is>
      </c>
      <c r="G1226" s="3" t="inlineStr">
        <is>
          <t>Chandrashekar Patidar</t>
        </is>
      </c>
      <c r="H1226" s="3" t="n">
        <v>7879764773</v>
      </c>
      <c r="I1226" s="11" t="inlineStr">
        <is>
          <t>PE26032601</t>
        </is>
      </c>
      <c r="J1226" s="3" t="inlineStr">
        <is>
          <t>Module Diode Failure</t>
        </is>
      </c>
      <c r="K1226" s="3" t="inlineStr">
        <is>
          <t>Sadla</t>
        </is>
      </c>
      <c r="L1226" s="3" t="inlineStr">
        <is>
          <t>Gujarat</t>
        </is>
      </c>
      <c r="M1226" s="9" t="inlineStr">
        <is>
          <t>NS</t>
        </is>
      </c>
      <c r="N1226" s="3" t="inlineStr">
        <is>
          <t>Cold Soldering</t>
        </is>
      </c>
      <c r="O1226" s="3" t="n">
        <v>570</v>
      </c>
      <c r="P1226" s="9" t="inlineStr">
        <is>
          <t>NSMI24060158692</t>
        </is>
      </c>
      <c r="Q1226" s="53">
        <f>MID(P1226,5,2)</f>
        <v/>
      </c>
      <c r="R1226" s="53">
        <f>MID(P1226,7,2)</f>
        <v/>
      </c>
      <c r="S1226" s="3" t="inlineStr">
        <is>
          <t>G2G</t>
        </is>
      </c>
      <c r="T1226" s="3" t="inlineStr">
        <is>
          <t>P4</t>
        </is>
      </c>
      <c r="U1226" s="3" t="inlineStr">
        <is>
          <t>N JB Cold Soldering</t>
        </is>
      </c>
      <c r="V1226" s="3" t="inlineStr">
        <is>
          <t>Soldering</t>
        </is>
      </c>
      <c r="W1226" s="3" t="inlineStr">
        <is>
          <t>Repair</t>
        </is>
      </c>
      <c r="X1226" s="18" t="n">
        <v>46158</v>
      </c>
      <c r="Y1226" s="3">
        <f>X1226-A1226</f>
        <v/>
      </c>
      <c r="Z1226" s="18" t="n">
        <v>46158</v>
      </c>
      <c r="AA1226" s="15" t="n"/>
      <c r="AB1226" s="15" t="n"/>
    </row>
    <row r="1227" hidden="1" s="233">
      <c r="A1227" s="6" t="n">
        <v>46107</v>
      </c>
      <c r="B1227" s="3" t="n">
        <v>2026</v>
      </c>
      <c r="C1227" s="3" t="inlineStr">
        <is>
          <t>Blupine</t>
        </is>
      </c>
      <c r="D1227" s="3" t="inlineStr">
        <is>
          <t>Utility and C&amp;I</t>
        </is>
      </c>
      <c r="E1227" s="3" t="n"/>
      <c r="F1227" s="3" t="inlineStr">
        <is>
          <t>Closed</t>
        </is>
      </c>
      <c r="G1227" s="3" t="inlineStr">
        <is>
          <t>Chandrashekar Patidar</t>
        </is>
      </c>
      <c r="H1227" s="3" t="n">
        <v>7879764773</v>
      </c>
      <c r="I1227" s="11" t="inlineStr">
        <is>
          <t>PE26032601</t>
        </is>
      </c>
      <c r="J1227" s="3" t="inlineStr">
        <is>
          <t>Module Diode Failure</t>
        </is>
      </c>
      <c r="K1227" s="3" t="inlineStr">
        <is>
          <t>Sadla</t>
        </is>
      </c>
      <c r="L1227" s="3" t="inlineStr">
        <is>
          <t>Gujarat</t>
        </is>
      </c>
      <c r="M1227" s="9" t="inlineStr">
        <is>
          <t>NS</t>
        </is>
      </c>
      <c r="N1227" s="3" t="inlineStr">
        <is>
          <t>Cold Soldering</t>
        </is>
      </c>
      <c r="O1227" s="3" t="n">
        <v>570</v>
      </c>
      <c r="P1227" s="9" t="inlineStr">
        <is>
          <t>NSMI24060155608</t>
        </is>
      </c>
      <c r="Q1227" s="53">
        <f>MID(P1227,5,2)</f>
        <v/>
      </c>
      <c r="R1227" s="53">
        <f>MID(P1227,7,2)</f>
        <v/>
      </c>
      <c r="S1227" s="3" t="inlineStr">
        <is>
          <t>G2G</t>
        </is>
      </c>
      <c r="T1227" s="3" t="inlineStr">
        <is>
          <t>P4</t>
        </is>
      </c>
      <c r="U1227" s="3" t="inlineStr">
        <is>
          <t>N JB Cold Soldering</t>
        </is>
      </c>
      <c r="V1227" s="3" t="inlineStr">
        <is>
          <t>Soldering</t>
        </is>
      </c>
      <c r="W1227" s="3" t="inlineStr">
        <is>
          <t>Repair</t>
        </is>
      </c>
      <c r="X1227" s="18" t="n">
        <v>46158</v>
      </c>
      <c r="Y1227" s="3">
        <f>X1227-A1227</f>
        <v/>
      </c>
      <c r="Z1227" s="18" t="n">
        <v>46158</v>
      </c>
      <c r="AA1227" s="15" t="n"/>
      <c r="AB1227" s="15" t="n"/>
    </row>
    <row r="1228" hidden="1" s="233">
      <c r="A1228" s="6" t="n">
        <v>46107</v>
      </c>
      <c r="B1228" s="3" t="n">
        <v>2026</v>
      </c>
      <c r="C1228" s="3" t="inlineStr">
        <is>
          <t>Blupine</t>
        </is>
      </c>
      <c r="D1228" s="3" t="inlineStr">
        <is>
          <t>Utility and C&amp;I</t>
        </is>
      </c>
      <c r="E1228" s="3" t="n"/>
      <c r="F1228" s="3" t="inlineStr">
        <is>
          <t>Closed</t>
        </is>
      </c>
      <c r="G1228" s="3" t="inlineStr">
        <is>
          <t>Chandrashekar Patidar</t>
        </is>
      </c>
      <c r="H1228" s="3" t="n">
        <v>7879764773</v>
      </c>
      <c r="I1228" s="11" t="inlineStr">
        <is>
          <t>PE26032601</t>
        </is>
      </c>
      <c r="J1228" s="3" t="inlineStr">
        <is>
          <t>Module Diode Failure</t>
        </is>
      </c>
      <c r="K1228" s="3" t="inlineStr">
        <is>
          <t>Sadla</t>
        </is>
      </c>
      <c r="L1228" s="3" t="inlineStr">
        <is>
          <t>Gujarat</t>
        </is>
      </c>
      <c r="M1228" s="9" t="inlineStr">
        <is>
          <t>NS</t>
        </is>
      </c>
      <c r="N1228" s="3" t="inlineStr">
        <is>
          <t>Cold Soldering</t>
        </is>
      </c>
      <c r="O1228" s="3" t="n">
        <v>570</v>
      </c>
      <c r="P1228" s="9" t="inlineStr">
        <is>
          <t>NSMI24070167308</t>
        </is>
      </c>
      <c r="Q1228" s="53">
        <f>MID(P1228,5,2)</f>
        <v/>
      </c>
      <c r="R1228" s="53">
        <f>MID(P1228,7,2)</f>
        <v/>
      </c>
      <c r="S1228" s="3" t="inlineStr">
        <is>
          <t>G2G</t>
        </is>
      </c>
      <c r="T1228" s="3" t="inlineStr">
        <is>
          <t>P4</t>
        </is>
      </c>
      <c r="U1228" s="3" t="inlineStr">
        <is>
          <t>N JB Cold Soldering</t>
        </is>
      </c>
      <c r="V1228" s="3" t="inlineStr">
        <is>
          <t>Soldering</t>
        </is>
      </c>
      <c r="W1228" s="3" t="inlineStr">
        <is>
          <t>Repair</t>
        </is>
      </c>
      <c r="X1228" s="18" t="n">
        <v>46158</v>
      </c>
      <c r="Y1228" s="3">
        <f>X1228-A1228</f>
        <v/>
      </c>
      <c r="Z1228" s="18" t="n">
        <v>46158</v>
      </c>
      <c r="AA1228" s="15" t="n"/>
      <c r="AB1228" s="15" t="n"/>
    </row>
    <row r="1229" hidden="1" s="233">
      <c r="A1229" s="6" t="n">
        <v>46107</v>
      </c>
      <c r="B1229" s="3" t="n">
        <v>2026</v>
      </c>
      <c r="C1229" s="3" t="inlineStr">
        <is>
          <t>Blupine</t>
        </is>
      </c>
      <c r="D1229" s="3" t="inlineStr">
        <is>
          <t>Utility and C&amp;I</t>
        </is>
      </c>
      <c r="E1229" s="3" t="n"/>
      <c r="F1229" s="3" t="inlineStr">
        <is>
          <t>Closed</t>
        </is>
      </c>
      <c r="G1229" s="3" t="inlineStr">
        <is>
          <t>Chandrashekar Patidar</t>
        </is>
      </c>
      <c r="H1229" s="3" t="n">
        <v>7879764773</v>
      </c>
      <c r="I1229" s="11" t="inlineStr">
        <is>
          <t>PE26032601</t>
        </is>
      </c>
      <c r="J1229" s="3" t="inlineStr">
        <is>
          <t>Module Diode Failure</t>
        </is>
      </c>
      <c r="K1229" s="3" t="inlineStr">
        <is>
          <t>Sadla</t>
        </is>
      </c>
      <c r="L1229" s="3" t="inlineStr">
        <is>
          <t>Gujarat</t>
        </is>
      </c>
      <c r="M1229" s="9" t="inlineStr">
        <is>
          <t>PS</t>
        </is>
      </c>
      <c r="N1229" s="3" t="inlineStr">
        <is>
          <t>Cold Soldering</t>
        </is>
      </c>
      <c r="O1229" s="3" t="n">
        <v>570</v>
      </c>
      <c r="P1229" s="9" t="inlineStr">
        <is>
          <t>NSMI24060143953</t>
        </is>
      </c>
      <c r="Q1229" s="53">
        <f>MID(P1229,5,2)</f>
        <v/>
      </c>
      <c r="R1229" s="53">
        <f>MID(P1229,7,2)</f>
        <v/>
      </c>
      <c r="S1229" s="3" t="inlineStr">
        <is>
          <t>G2G</t>
        </is>
      </c>
      <c r="T1229" s="3" t="inlineStr">
        <is>
          <t>P4</t>
        </is>
      </c>
      <c r="U1229" s="3" t="inlineStr">
        <is>
          <t>P JB Cold Soldering</t>
        </is>
      </c>
      <c r="V1229" s="3" t="inlineStr">
        <is>
          <t>Soldering</t>
        </is>
      </c>
      <c r="W1229" s="3" t="inlineStr">
        <is>
          <t>Repair</t>
        </is>
      </c>
      <c r="X1229" s="18" t="n">
        <v>46158</v>
      </c>
      <c r="Y1229" s="3">
        <f>X1229-A1229</f>
        <v/>
      </c>
      <c r="Z1229" s="18" t="n">
        <v>46158</v>
      </c>
      <c r="AA1229" s="15" t="n"/>
      <c r="AB1229" s="15" t="n"/>
    </row>
    <row r="1230" hidden="1" s="233">
      <c r="A1230" s="6" t="n">
        <v>46107</v>
      </c>
      <c r="B1230" s="3" t="n">
        <v>2026</v>
      </c>
      <c r="C1230" s="3" t="inlineStr">
        <is>
          <t>Blupine</t>
        </is>
      </c>
      <c r="D1230" s="3" t="inlineStr">
        <is>
          <t>Utility and C&amp;I</t>
        </is>
      </c>
      <c r="E1230" s="3" t="n"/>
      <c r="F1230" s="3" t="inlineStr">
        <is>
          <t>Closed</t>
        </is>
      </c>
      <c r="G1230" s="3" t="inlineStr">
        <is>
          <t>Chandrashekar Patidar</t>
        </is>
      </c>
      <c r="H1230" s="3" t="n">
        <v>7879764773</v>
      </c>
      <c r="I1230" s="11" t="inlineStr">
        <is>
          <t>PE26032601</t>
        </is>
      </c>
      <c r="J1230" s="3" t="inlineStr">
        <is>
          <t>Module Diode Failure</t>
        </is>
      </c>
      <c r="K1230" s="3" t="inlineStr">
        <is>
          <t>Sadla</t>
        </is>
      </c>
      <c r="L1230" s="3" t="inlineStr">
        <is>
          <t>Gujarat</t>
        </is>
      </c>
      <c r="M1230" s="9" t="inlineStr">
        <is>
          <t>NS</t>
        </is>
      </c>
      <c r="N1230" s="3" t="inlineStr">
        <is>
          <t>Cold Soldering</t>
        </is>
      </c>
      <c r="O1230" s="3" t="n">
        <v>570</v>
      </c>
      <c r="P1230" s="9" t="inlineStr">
        <is>
          <t>NSMI24060158226</t>
        </is>
      </c>
      <c r="Q1230" s="53">
        <f>MID(P1230,5,2)</f>
        <v/>
      </c>
      <c r="R1230" s="53">
        <f>MID(P1230,7,2)</f>
        <v/>
      </c>
      <c r="S1230" s="3" t="inlineStr">
        <is>
          <t>G2G</t>
        </is>
      </c>
      <c r="T1230" s="3" t="inlineStr">
        <is>
          <t>P4</t>
        </is>
      </c>
      <c r="U1230" s="3" t="inlineStr">
        <is>
          <t>N JB Cold Soldering</t>
        </is>
      </c>
      <c r="V1230" s="3" t="inlineStr">
        <is>
          <t>Soldering</t>
        </is>
      </c>
      <c r="W1230" s="3" t="inlineStr">
        <is>
          <t>Repair</t>
        </is>
      </c>
      <c r="X1230" s="18" t="n">
        <v>46158</v>
      </c>
      <c r="Y1230" s="3">
        <f>X1230-A1230</f>
        <v/>
      </c>
      <c r="Z1230" s="18" t="n">
        <v>46158</v>
      </c>
      <c r="AA1230" s="15" t="n"/>
      <c r="AB1230" s="15" t="n"/>
    </row>
    <row r="1231" hidden="1" s="233">
      <c r="A1231" s="6" t="n">
        <v>46107</v>
      </c>
      <c r="B1231" s="3" t="n">
        <v>2026</v>
      </c>
      <c r="C1231" s="3" t="inlineStr">
        <is>
          <t>Blupine</t>
        </is>
      </c>
      <c r="D1231" s="3" t="inlineStr">
        <is>
          <t>Utility and C&amp;I</t>
        </is>
      </c>
      <c r="E1231" s="3" t="n"/>
      <c r="F1231" s="3" t="inlineStr">
        <is>
          <t>Closed</t>
        </is>
      </c>
      <c r="G1231" s="3" t="inlineStr">
        <is>
          <t>Chandrashekar Patidar</t>
        </is>
      </c>
      <c r="H1231" s="3" t="n">
        <v>7879764773</v>
      </c>
      <c r="I1231" s="11" t="inlineStr">
        <is>
          <t>PE26032601</t>
        </is>
      </c>
      <c r="J1231" s="3" t="inlineStr">
        <is>
          <t>Module Diode Failure</t>
        </is>
      </c>
      <c r="K1231" s="3" t="inlineStr">
        <is>
          <t>Sadla</t>
        </is>
      </c>
      <c r="L1231" s="3" t="inlineStr">
        <is>
          <t>Gujarat</t>
        </is>
      </c>
      <c r="M1231" s="9" t="inlineStr">
        <is>
          <t>PS</t>
        </is>
      </c>
      <c r="N1231" s="3" t="inlineStr">
        <is>
          <t>Cold Soldering</t>
        </is>
      </c>
      <c r="O1231" s="3" t="n">
        <v>570</v>
      </c>
      <c r="P1231" s="9" t="inlineStr">
        <is>
          <t>NSMI24060163641</t>
        </is>
      </c>
      <c r="Q1231" s="53">
        <f>MID(P1231,5,2)</f>
        <v/>
      </c>
      <c r="R1231" s="53">
        <f>MID(P1231,7,2)</f>
        <v/>
      </c>
      <c r="S1231" s="3" t="inlineStr">
        <is>
          <t>G2G</t>
        </is>
      </c>
      <c r="T1231" s="3" t="inlineStr">
        <is>
          <t>P4</t>
        </is>
      </c>
      <c r="U1231" s="3" t="inlineStr">
        <is>
          <t>P JB Cold Soldering</t>
        </is>
      </c>
      <c r="V1231" s="3" t="inlineStr">
        <is>
          <t>Soldering</t>
        </is>
      </c>
      <c r="W1231" s="3" t="inlineStr">
        <is>
          <t>Repair</t>
        </is>
      </c>
      <c r="X1231" s="18" t="n">
        <v>46158</v>
      </c>
      <c r="Y1231" s="3">
        <f>X1231-A1231</f>
        <v/>
      </c>
      <c r="Z1231" s="18" t="n">
        <v>46158</v>
      </c>
      <c r="AA1231" s="15" t="n"/>
      <c r="AB1231" s="15" t="n"/>
    </row>
    <row r="1232" hidden="1" s="233">
      <c r="A1232" s="6" t="n">
        <v>46107</v>
      </c>
      <c r="B1232" s="3" t="n">
        <v>2026</v>
      </c>
      <c r="C1232" s="3" t="inlineStr">
        <is>
          <t>Blupine</t>
        </is>
      </c>
      <c r="D1232" s="3" t="inlineStr">
        <is>
          <t>Utility and C&amp;I</t>
        </is>
      </c>
      <c r="E1232" s="3" t="n"/>
      <c r="F1232" s="3" t="inlineStr">
        <is>
          <t>Closed</t>
        </is>
      </c>
      <c r="G1232" s="3" t="inlineStr">
        <is>
          <t>Chandrashekar Patidar</t>
        </is>
      </c>
      <c r="H1232" s="3" t="n">
        <v>7879764773</v>
      </c>
      <c r="I1232" s="11" t="inlineStr">
        <is>
          <t>PE26032601</t>
        </is>
      </c>
      <c r="J1232" s="3" t="inlineStr">
        <is>
          <t>Module Diode Failure</t>
        </is>
      </c>
      <c r="K1232" s="3" t="inlineStr">
        <is>
          <t>Sadla</t>
        </is>
      </c>
      <c r="L1232" s="3" t="inlineStr">
        <is>
          <t>Gujarat</t>
        </is>
      </c>
      <c r="M1232" s="9" t="inlineStr">
        <is>
          <t>NS</t>
        </is>
      </c>
      <c r="N1232" s="3" t="inlineStr">
        <is>
          <t>Cold Soldering</t>
        </is>
      </c>
      <c r="O1232" s="3" t="n">
        <v>570</v>
      </c>
      <c r="P1232" s="9" t="inlineStr">
        <is>
          <t>NSMI24060151318</t>
        </is>
      </c>
      <c r="Q1232" s="53">
        <f>MID(P1232,5,2)</f>
        <v/>
      </c>
      <c r="R1232" s="53">
        <f>MID(P1232,7,2)</f>
        <v/>
      </c>
      <c r="S1232" s="3" t="inlineStr">
        <is>
          <t>G2G</t>
        </is>
      </c>
      <c r="T1232" s="3" t="inlineStr">
        <is>
          <t>P4</t>
        </is>
      </c>
      <c r="U1232" s="3" t="inlineStr">
        <is>
          <t>N JB Cold Soldering</t>
        </is>
      </c>
      <c r="V1232" s="3" t="inlineStr">
        <is>
          <t>Soldering</t>
        </is>
      </c>
      <c r="W1232" s="3" t="inlineStr">
        <is>
          <t>Repair</t>
        </is>
      </c>
      <c r="X1232" s="18" t="n">
        <v>46158</v>
      </c>
      <c r="Y1232" s="3">
        <f>X1232-A1232</f>
        <v/>
      </c>
      <c r="Z1232" s="18" t="n">
        <v>46158</v>
      </c>
      <c r="AA1232" s="15" t="n"/>
      <c r="AB1232" s="15" t="n"/>
    </row>
    <row r="1233" hidden="1" s="233">
      <c r="A1233" s="6" t="n">
        <v>46107</v>
      </c>
      <c r="B1233" s="3" t="n">
        <v>2026</v>
      </c>
      <c r="C1233" s="3" t="inlineStr">
        <is>
          <t>Blupine</t>
        </is>
      </c>
      <c r="D1233" s="3" t="inlineStr">
        <is>
          <t>Utility and C&amp;I</t>
        </is>
      </c>
      <c r="E1233" s="3" t="n"/>
      <c r="F1233" s="3" t="inlineStr">
        <is>
          <t>Closed</t>
        </is>
      </c>
      <c r="G1233" s="3" t="inlineStr">
        <is>
          <t>Chandrashekar Patidar</t>
        </is>
      </c>
      <c r="H1233" s="3" t="n">
        <v>7879764773</v>
      </c>
      <c r="I1233" s="11" t="inlineStr">
        <is>
          <t>PE26032601</t>
        </is>
      </c>
      <c r="J1233" s="3" t="inlineStr">
        <is>
          <t>Module Diode Failure</t>
        </is>
      </c>
      <c r="K1233" s="3" t="inlineStr">
        <is>
          <t>Sadla</t>
        </is>
      </c>
      <c r="L1233" s="3" t="inlineStr">
        <is>
          <t>Gujarat</t>
        </is>
      </c>
      <c r="M1233" s="9" t="inlineStr">
        <is>
          <t>NR</t>
        </is>
      </c>
      <c r="N1233" s="3" t="inlineStr">
        <is>
          <t>JB Issue</t>
        </is>
      </c>
      <c r="O1233" s="3" t="n">
        <v>570</v>
      </c>
      <c r="P1233" s="9" t="inlineStr">
        <is>
          <t>NSMI24060145700</t>
        </is>
      </c>
      <c r="Q1233" s="53">
        <f>MID(P1233,5,2)</f>
        <v/>
      </c>
      <c r="R1233" s="53">
        <f>MID(P1233,7,2)</f>
        <v/>
      </c>
      <c r="S1233" s="3" t="inlineStr">
        <is>
          <t>G2G</t>
        </is>
      </c>
      <c r="T1233" s="3" t="inlineStr">
        <is>
          <t>P4</t>
        </is>
      </c>
      <c r="U1233" s="3" t="inlineStr">
        <is>
          <t>N JB Issue</t>
        </is>
      </c>
      <c r="V1233" s="3" t="inlineStr">
        <is>
          <t>JB Changed</t>
        </is>
      </c>
      <c r="W1233" s="3" t="inlineStr">
        <is>
          <t>Repair</t>
        </is>
      </c>
      <c r="X1233" s="18" t="n">
        <v>46158</v>
      </c>
      <c r="Y1233" s="3">
        <f>X1233-A1233</f>
        <v/>
      </c>
      <c r="Z1233" s="18" t="n">
        <v>46158</v>
      </c>
      <c r="AA1233" s="15" t="n"/>
      <c r="AB1233" s="15" t="n"/>
    </row>
    <row r="1234" hidden="1" s="233">
      <c r="A1234" s="6" t="n">
        <v>46107</v>
      </c>
      <c r="B1234" s="3" t="n">
        <v>2026</v>
      </c>
      <c r="C1234" s="3" t="inlineStr">
        <is>
          <t>Blupine</t>
        </is>
      </c>
      <c r="D1234" s="3" t="inlineStr">
        <is>
          <t>Utility and C&amp;I</t>
        </is>
      </c>
      <c r="E1234" s="3" t="n"/>
      <c r="F1234" s="3" t="inlineStr">
        <is>
          <t>Closed</t>
        </is>
      </c>
      <c r="G1234" s="3" t="inlineStr">
        <is>
          <t>Chandrashekar Patidar</t>
        </is>
      </c>
      <c r="H1234" s="3" t="n">
        <v>7879764773</v>
      </c>
      <c r="I1234" s="11" t="inlineStr">
        <is>
          <t>PE26032601</t>
        </is>
      </c>
      <c r="J1234" s="3" t="inlineStr">
        <is>
          <t>Module Diode Failure</t>
        </is>
      </c>
      <c r="K1234" s="3" t="inlineStr">
        <is>
          <t>Sadla</t>
        </is>
      </c>
      <c r="L1234" s="3" t="inlineStr">
        <is>
          <t>Gujarat</t>
        </is>
      </c>
      <c r="M1234" s="9" t="inlineStr">
        <is>
          <t>NS</t>
        </is>
      </c>
      <c r="N1234" s="3" t="inlineStr">
        <is>
          <t>Cold Soldering</t>
        </is>
      </c>
      <c r="O1234" s="3" t="n">
        <v>570</v>
      </c>
      <c r="P1234" s="9" t="inlineStr">
        <is>
          <t>NSMI24060145036</t>
        </is>
      </c>
      <c r="Q1234" s="53">
        <f>MID(P1234,5,2)</f>
        <v/>
      </c>
      <c r="R1234" s="53">
        <f>MID(P1234,7,2)</f>
        <v/>
      </c>
      <c r="S1234" s="3" t="inlineStr">
        <is>
          <t>G2G</t>
        </is>
      </c>
      <c r="T1234" s="3" t="inlineStr">
        <is>
          <t>P4</t>
        </is>
      </c>
      <c r="U1234" s="3" t="inlineStr">
        <is>
          <t>N JB Cold Soldering</t>
        </is>
      </c>
      <c r="V1234" s="3" t="inlineStr">
        <is>
          <t>Soldering</t>
        </is>
      </c>
      <c r="W1234" s="3" t="inlineStr">
        <is>
          <t>Repair</t>
        </is>
      </c>
      <c r="X1234" s="18" t="n">
        <v>46158</v>
      </c>
      <c r="Y1234" s="3">
        <f>X1234-A1234</f>
        <v/>
      </c>
      <c r="Z1234" s="18" t="n">
        <v>46158</v>
      </c>
      <c r="AA1234" s="15" t="n"/>
      <c r="AB1234" s="15" t="n"/>
    </row>
    <row r="1235" hidden="1" s="233">
      <c r="A1235" s="6" t="n">
        <v>46107</v>
      </c>
      <c r="B1235" s="3" t="n">
        <v>2026</v>
      </c>
      <c r="C1235" s="3" t="inlineStr">
        <is>
          <t>Blupine</t>
        </is>
      </c>
      <c r="D1235" s="3" t="inlineStr">
        <is>
          <t>Utility and C&amp;I</t>
        </is>
      </c>
      <c r="E1235" s="3" t="n"/>
      <c r="F1235" s="3" t="inlineStr">
        <is>
          <t>Closed</t>
        </is>
      </c>
      <c r="G1235" s="3" t="inlineStr">
        <is>
          <t>Chandrashekar Patidar</t>
        </is>
      </c>
      <c r="H1235" s="3" t="n">
        <v>7879764773</v>
      </c>
      <c r="I1235" s="11" t="inlineStr">
        <is>
          <t>PE26032601</t>
        </is>
      </c>
      <c r="J1235" s="3" t="inlineStr">
        <is>
          <t>Module Diode Failure</t>
        </is>
      </c>
      <c r="K1235" s="3" t="inlineStr">
        <is>
          <t>Sadla</t>
        </is>
      </c>
      <c r="L1235" s="3" t="inlineStr">
        <is>
          <t>Gujarat</t>
        </is>
      </c>
      <c r="M1235" s="9" t="inlineStr">
        <is>
          <t>NS</t>
        </is>
      </c>
      <c r="N1235" s="3" t="inlineStr">
        <is>
          <t>Cold Soldering</t>
        </is>
      </c>
      <c r="O1235" s="3" t="n">
        <v>570</v>
      </c>
      <c r="P1235" s="9" t="inlineStr">
        <is>
          <t>NSMI24060145030</t>
        </is>
      </c>
      <c r="Q1235" s="53">
        <f>MID(P1235,5,2)</f>
        <v/>
      </c>
      <c r="R1235" s="53">
        <f>MID(P1235,7,2)</f>
        <v/>
      </c>
      <c r="S1235" s="3" t="inlineStr">
        <is>
          <t>G2G</t>
        </is>
      </c>
      <c r="T1235" s="3" t="inlineStr">
        <is>
          <t>P4</t>
        </is>
      </c>
      <c r="U1235" s="3" t="inlineStr">
        <is>
          <t>N JB Cold Soldering</t>
        </is>
      </c>
      <c r="V1235" s="3" t="inlineStr">
        <is>
          <t>Soldering</t>
        </is>
      </c>
      <c r="W1235" s="3" t="inlineStr">
        <is>
          <t>Repair</t>
        </is>
      </c>
      <c r="X1235" s="18" t="n">
        <v>46158</v>
      </c>
      <c r="Y1235" s="3">
        <f>X1235-A1235</f>
        <v/>
      </c>
      <c r="Z1235" s="18" t="n">
        <v>46158</v>
      </c>
      <c r="AA1235" s="15" t="n"/>
      <c r="AB1235" s="15" t="n"/>
    </row>
    <row r="1236" hidden="1" s="233">
      <c r="A1236" s="6" t="n">
        <v>46107</v>
      </c>
      <c r="B1236" s="3" t="n">
        <v>2026</v>
      </c>
      <c r="C1236" s="3" t="inlineStr">
        <is>
          <t>Blupine</t>
        </is>
      </c>
      <c r="D1236" s="3" t="inlineStr">
        <is>
          <t>Utility and C&amp;I</t>
        </is>
      </c>
      <c r="E1236" s="3" t="n"/>
      <c r="F1236" s="3" t="inlineStr">
        <is>
          <t>Closed</t>
        </is>
      </c>
      <c r="G1236" s="3" t="inlineStr">
        <is>
          <t>Chandrashekar Patidar</t>
        </is>
      </c>
      <c r="H1236" s="3" t="n">
        <v>7879764773</v>
      </c>
      <c r="I1236" s="11" t="inlineStr">
        <is>
          <t>PE26032601</t>
        </is>
      </c>
      <c r="J1236" s="3" t="inlineStr">
        <is>
          <t>Module Diode Failure</t>
        </is>
      </c>
      <c r="K1236" s="3" t="inlineStr">
        <is>
          <t>Sadla</t>
        </is>
      </c>
      <c r="L1236" s="3" t="inlineStr">
        <is>
          <t>Gujarat</t>
        </is>
      </c>
      <c r="M1236" s="9" t="inlineStr">
        <is>
          <t>NS</t>
        </is>
      </c>
      <c r="N1236" s="3" t="inlineStr">
        <is>
          <t>Cold Soldering</t>
        </is>
      </c>
      <c r="O1236" s="3" t="n">
        <v>570</v>
      </c>
      <c r="P1236" s="9" t="inlineStr">
        <is>
          <t>NSMI24060145121</t>
        </is>
      </c>
      <c r="Q1236" s="53">
        <f>MID(P1236,5,2)</f>
        <v/>
      </c>
      <c r="R1236" s="53">
        <f>MID(P1236,7,2)</f>
        <v/>
      </c>
      <c r="S1236" s="3" t="inlineStr">
        <is>
          <t>G2G</t>
        </is>
      </c>
      <c r="T1236" s="3" t="inlineStr">
        <is>
          <t>P4</t>
        </is>
      </c>
      <c r="U1236" s="3" t="inlineStr">
        <is>
          <t>N JB Cold Soldering</t>
        </is>
      </c>
      <c r="V1236" s="3" t="inlineStr">
        <is>
          <t>Soldering</t>
        </is>
      </c>
      <c r="W1236" s="3" t="inlineStr">
        <is>
          <t>Repair</t>
        </is>
      </c>
      <c r="X1236" s="18" t="n">
        <v>46158</v>
      </c>
      <c r="Y1236" s="3">
        <f>X1236-A1236</f>
        <v/>
      </c>
      <c r="Z1236" s="18" t="n">
        <v>46158</v>
      </c>
      <c r="AA1236" s="15" t="n"/>
      <c r="AB1236" s="15" t="n"/>
    </row>
    <row r="1237" hidden="1" s="233">
      <c r="A1237" s="6" t="n">
        <v>46107</v>
      </c>
      <c r="B1237" s="3" t="n">
        <v>2026</v>
      </c>
      <c r="C1237" s="3" t="inlineStr">
        <is>
          <t>Blupine</t>
        </is>
      </c>
      <c r="D1237" s="3" t="inlineStr">
        <is>
          <t>Utility and C&amp;I</t>
        </is>
      </c>
      <c r="E1237" s="3" t="n"/>
      <c r="F1237" s="3" t="inlineStr">
        <is>
          <t>Closed</t>
        </is>
      </c>
      <c r="G1237" s="3" t="inlineStr">
        <is>
          <t>Chandrashekar Patidar</t>
        </is>
      </c>
      <c r="H1237" s="3" t="n">
        <v>7879764773</v>
      </c>
      <c r="I1237" s="11" t="inlineStr">
        <is>
          <t>PE26032601</t>
        </is>
      </c>
      <c r="J1237" s="3" t="inlineStr">
        <is>
          <t>Module Diode Failure</t>
        </is>
      </c>
      <c r="K1237" s="3" t="inlineStr">
        <is>
          <t>Sadla</t>
        </is>
      </c>
      <c r="L1237" s="3" t="inlineStr">
        <is>
          <t>Gujarat</t>
        </is>
      </c>
      <c r="M1237" s="9" t="inlineStr">
        <is>
          <t>PS</t>
        </is>
      </c>
      <c r="N1237" s="3" t="inlineStr">
        <is>
          <t>Cold Soldering</t>
        </is>
      </c>
      <c r="O1237" s="3" t="n">
        <v>570</v>
      </c>
      <c r="P1237" s="9" t="inlineStr">
        <is>
          <t>NSMI24060143567</t>
        </is>
      </c>
      <c r="Q1237" s="53">
        <f>MID(P1237,5,2)</f>
        <v/>
      </c>
      <c r="R1237" s="53">
        <f>MID(P1237,7,2)</f>
        <v/>
      </c>
      <c r="S1237" s="3" t="inlineStr">
        <is>
          <t>G2G</t>
        </is>
      </c>
      <c r="T1237" s="3" t="inlineStr">
        <is>
          <t>P4</t>
        </is>
      </c>
      <c r="U1237" s="3" t="inlineStr">
        <is>
          <t>P JB Cold Soldering</t>
        </is>
      </c>
      <c r="V1237" s="3" t="inlineStr">
        <is>
          <t>Soldering</t>
        </is>
      </c>
      <c r="W1237" s="3" t="inlineStr">
        <is>
          <t>Repair</t>
        </is>
      </c>
      <c r="X1237" s="18" t="n">
        <v>46158</v>
      </c>
      <c r="Y1237" s="3">
        <f>X1237-A1237</f>
        <v/>
      </c>
      <c r="Z1237" s="18" t="n">
        <v>46158</v>
      </c>
      <c r="AA1237" s="15" t="n"/>
      <c r="AB1237" s="15" t="n"/>
    </row>
    <row r="1238" hidden="1" s="233">
      <c r="A1238" s="6" t="n">
        <v>46107</v>
      </c>
      <c r="B1238" s="3" t="n">
        <v>2026</v>
      </c>
      <c r="C1238" s="3" t="inlineStr">
        <is>
          <t>Blupine</t>
        </is>
      </c>
      <c r="D1238" s="3" t="inlineStr">
        <is>
          <t>Utility and C&amp;I</t>
        </is>
      </c>
      <c r="E1238" s="3" t="n"/>
      <c r="F1238" s="3" t="inlineStr">
        <is>
          <t>Closed</t>
        </is>
      </c>
      <c r="G1238" s="3" t="inlineStr">
        <is>
          <t>Chandrashekar Patidar</t>
        </is>
      </c>
      <c r="H1238" s="3" t="n">
        <v>7879764773</v>
      </c>
      <c r="I1238" s="11" t="inlineStr">
        <is>
          <t>PE26032601</t>
        </is>
      </c>
      <c r="J1238" s="3" t="inlineStr">
        <is>
          <t>Module Diode Failure</t>
        </is>
      </c>
      <c r="K1238" s="3" t="inlineStr">
        <is>
          <t>Sadla</t>
        </is>
      </c>
      <c r="L1238" s="3" t="inlineStr">
        <is>
          <t>Gujarat</t>
        </is>
      </c>
      <c r="M1238" s="9" t="inlineStr">
        <is>
          <t>PNS</t>
        </is>
      </c>
      <c r="N1238" s="3" t="inlineStr">
        <is>
          <t>Cold Soldering</t>
        </is>
      </c>
      <c r="O1238" s="3" t="n">
        <v>570</v>
      </c>
      <c r="P1238" s="9" t="inlineStr">
        <is>
          <t>NSMI24060145680</t>
        </is>
      </c>
      <c r="Q1238" s="53">
        <f>MID(P1238,5,2)</f>
        <v/>
      </c>
      <c r="R1238" s="53">
        <f>MID(P1238,7,2)</f>
        <v/>
      </c>
      <c r="S1238" s="3" t="inlineStr">
        <is>
          <t>G2G</t>
        </is>
      </c>
      <c r="T1238" s="3" t="inlineStr">
        <is>
          <t>P4</t>
        </is>
      </c>
      <c r="U1238" s="3" t="inlineStr">
        <is>
          <t>P &amp; N JB Cold Soldering</t>
        </is>
      </c>
      <c r="V1238" s="3" t="inlineStr">
        <is>
          <t>Soldering</t>
        </is>
      </c>
      <c r="W1238" s="3" t="inlineStr">
        <is>
          <t>Repair</t>
        </is>
      </c>
      <c r="X1238" s="18" t="n">
        <v>46158</v>
      </c>
      <c r="Y1238" s="3">
        <f>X1238-A1238</f>
        <v/>
      </c>
      <c r="Z1238" s="18" t="n">
        <v>46158</v>
      </c>
      <c r="AA1238" s="15" t="n"/>
      <c r="AB1238" s="15" t="n"/>
    </row>
    <row r="1239" hidden="1" s="233">
      <c r="A1239" s="6" t="n">
        <v>46107</v>
      </c>
      <c r="B1239" s="3" t="n">
        <v>2026</v>
      </c>
      <c r="C1239" s="3" t="inlineStr">
        <is>
          <t>Blupine</t>
        </is>
      </c>
      <c r="D1239" s="3" t="inlineStr">
        <is>
          <t>Utility and C&amp;I</t>
        </is>
      </c>
      <c r="E1239" s="3" t="n"/>
      <c r="F1239" s="3" t="inlineStr">
        <is>
          <t>Closed</t>
        </is>
      </c>
      <c r="G1239" s="3" t="inlineStr">
        <is>
          <t>Chandrashekar Patidar</t>
        </is>
      </c>
      <c r="H1239" s="3" t="n">
        <v>7879764773</v>
      </c>
      <c r="I1239" s="11" t="inlineStr">
        <is>
          <t>PE26032601</t>
        </is>
      </c>
      <c r="J1239" s="3" t="inlineStr">
        <is>
          <t>Module Diode Failure</t>
        </is>
      </c>
      <c r="K1239" s="3" t="inlineStr">
        <is>
          <t>Sadla</t>
        </is>
      </c>
      <c r="L1239" s="3" t="inlineStr">
        <is>
          <t>Gujarat</t>
        </is>
      </c>
      <c r="M1239" s="9" t="inlineStr">
        <is>
          <t>NS</t>
        </is>
      </c>
      <c r="N1239" s="3" t="inlineStr">
        <is>
          <t>Cold Soldering</t>
        </is>
      </c>
      <c r="O1239" s="3" t="n">
        <v>570</v>
      </c>
      <c r="P1239" s="9" t="inlineStr">
        <is>
          <t>NSMI24060153714</t>
        </is>
      </c>
      <c r="Q1239" s="53">
        <f>MID(P1239,5,2)</f>
        <v/>
      </c>
      <c r="R1239" s="53">
        <f>MID(P1239,7,2)</f>
        <v/>
      </c>
      <c r="S1239" s="3" t="inlineStr">
        <is>
          <t>G2G</t>
        </is>
      </c>
      <c r="T1239" s="3" t="inlineStr">
        <is>
          <t>P4</t>
        </is>
      </c>
      <c r="U1239" s="3" t="inlineStr">
        <is>
          <t>N JB Cold Soldering</t>
        </is>
      </c>
      <c r="V1239" s="3" t="inlineStr">
        <is>
          <t>Soldering</t>
        </is>
      </c>
      <c r="W1239" s="3" t="inlineStr">
        <is>
          <t>Repair</t>
        </is>
      </c>
      <c r="X1239" s="18" t="n">
        <v>46158</v>
      </c>
      <c r="Y1239" s="3">
        <f>X1239-A1239</f>
        <v/>
      </c>
      <c r="Z1239" s="18" t="n">
        <v>46158</v>
      </c>
      <c r="AA1239" s="15" t="n"/>
      <c r="AB1239" s="15" t="n"/>
    </row>
    <row r="1240" hidden="1" s="233">
      <c r="A1240" s="6" t="n">
        <v>46107</v>
      </c>
      <c r="B1240" s="3" t="n">
        <v>2026</v>
      </c>
      <c r="C1240" s="3" t="inlineStr">
        <is>
          <t>Blupine</t>
        </is>
      </c>
      <c r="D1240" s="3" t="inlineStr">
        <is>
          <t>Utility and C&amp;I</t>
        </is>
      </c>
      <c r="E1240" s="3" t="n"/>
      <c r="F1240" s="3" t="inlineStr">
        <is>
          <t>Closed</t>
        </is>
      </c>
      <c r="G1240" s="3" t="inlineStr">
        <is>
          <t>Chandrashekar Patidar</t>
        </is>
      </c>
      <c r="H1240" s="3" t="n">
        <v>7879764773</v>
      </c>
      <c r="I1240" s="11" t="inlineStr">
        <is>
          <t>PE26032601</t>
        </is>
      </c>
      <c r="J1240" s="3" t="inlineStr">
        <is>
          <t>Module Diode Failure</t>
        </is>
      </c>
      <c r="K1240" s="3" t="inlineStr">
        <is>
          <t>Sadla</t>
        </is>
      </c>
      <c r="L1240" s="3" t="inlineStr">
        <is>
          <t>Gujarat</t>
        </is>
      </c>
      <c r="M1240" s="9" t="inlineStr">
        <is>
          <t>NS</t>
        </is>
      </c>
      <c r="N1240" s="3" t="inlineStr">
        <is>
          <t>Cold Soldering</t>
        </is>
      </c>
      <c r="O1240" s="3" t="n">
        <v>570</v>
      </c>
      <c r="P1240" s="9" t="inlineStr">
        <is>
          <t>NSMI24060144785</t>
        </is>
      </c>
      <c r="Q1240" s="53">
        <f>MID(P1240,5,2)</f>
        <v/>
      </c>
      <c r="R1240" s="53">
        <f>MID(P1240,7,2)</f>
        <v/>
      </c>
      <c r="S1240" s="3" t="inlineStr">
        <is>
          <t>G2G</t>
        </is>
      </c>
      <c r="T1240" s="3" t="inlineStr">
        <is>
          <t>P4</t>
        </is>
      </c>
      <c r="U1240" s="3" t="inlineStr">
        <is>
          <t>N JB Cold Soldering</t>
        </is>
      </c>
      <c r="V1240" s="3" t="inlineStr">
        <is>
          <t>Soldering</t>
        </is>
      </c>
      <c r="W1240" s="3" t="inlineStr">
        <is>
          <t>Repair</t>
        </is>
      </c>
      <c r="X1240" s="18" t="n">
        <v>46158</v>
      </c>
      <c r="Y1240" s="3">
        <f>X1240-A1240</f>
        <v/>
      </c>
      <c r="Z1240" s="18" t="n">
        <v>46158</v>
      </c>
      <c r="AA1240" s="15" t="n"/>
      <c r="AB1240" s="15" t="n"/>
    </row>
    <row r="1241" hidden="1" s="233">
      <c r="A1241" s="6" t="n">
        <v>46107</v>
      </c>
      <c r="B1241" s="3" t="n">
        <v>2026</v>
      </c>
      <c r="C1241" s="3" t="inlineStr">
        <is>
          <t>Blupine</t>
        </is>
      </c>
      <c r="D1241" s="3" t="inlineStr">
        <is>
          <t>Utility and C&amp;I</t>
        </is>
      </c>
      <c r="E1241" s="3" t="n"/>
      <c r="F1241" s="3" t="inlineStr">
        <is>
          <t>Closed</t>
        </is>
      </c>
      <c r="G1241" s="3" t="inlineStr">
        <is>
          <t>Chandrashekar Patidar</t>
        </is>
      </c>
      <c r="H1241" s="3" t="n">
        <v>7879764773</v>
      </c>
      <c r="I1241" s="11" t="inlineStr">
        <is>
          <t>PE26032601</t>
        </is>
      </c>
      <c r="J1241" s="3" t="inlineStr">
        <is>
          <t>Module Diode Failure</t>
        </is>
      </c>
      <c r="K1241" s="3" t="inlineStr">
        <is>
          <t>Sadla</t>
        </is>
      </c>
      <c r="L1241" s="3" t="inlineStr">
        <is>
          <t>Gujarat</t>
        </is>
      </c>
      <c r="M1241" s="9" t="inlineStr">
        <is>
          <t>NS</t>
        </is>
      </c>
      <c r="N1241" s="3" t="inlineStr">
        <is>
          <t>Cold Soldering</t>
        </is>
      </c>
      <c r="O1241" s="3" t="n">
        <v>570</v>
      </c>
      <c r="P1241" s="9" t="inlineStr">
        <is>
          <t>NSMI24060147399</t>
        </is>
      </c>
      <c r="Q1241" s="53">
        <f>MID(P1241,5,2)</f>
        <v/>
      </c>
      <c r="R1241" s="53">
        <f>MID(P1241,7,2)</f>
        <v/>
      </c>
      <c r="S1241" s="3" t="inlineStr">
        <is>
          <t>G2G</t>
        </is>
      </c>
      <c r="T1241" s="3" t="inlineStr">
        <is>
          <t>P4</t>
        </is>
      </c>
      <c r="U1241" s="3" t="inlineStr">
        <is>
          <t>N JB Cold Soldering</t>
        </is>
      </c>
      <c r="V1241" s="3" t="inlineStr">
        <is>
          <t>Soldering</t>
        </is>
      </c>
      <c r="W1241" s="3" t="inlineStr">
        <is>
          <t>Repair</t>
        </is>
      </c>
      <c r="X1241" s="18" t="n">
        <v>46158</v>
      </c>
      <c r="Y1241" s="3">
        <f>X1241-A1241</f>
        <v/>
      </c>
      <c r="Z1241" s="18" t="n">
        <v>46158</v>
      </c>
      <c r="AA1241" s="15" t="n"/>
      <c r="AB1241" s="15" t="n"/>
    </row>
    <row r="1242" hidden="1" s="233">
      <c r="A1242" s="6" t="n">
        <v>46107</v>
      </c>
      <c r="B1242" s="3" t="n">
        <v>2026</v>
      </c>
      <c r="C1242" s="3" t="inlineStr">
        <is>
          <t>Blupine</t>
        </is>
      </c>
      <c r="D1242" s="3" t="inlineStr">
        <is>
          <t>Utility and C&amp;I</t>
        </is>
      </c>
      <c r="E1242" s="3" t="n"/>
      <c r="F1242" s="3" t="inlineStr">
        <is>
          <t>Closed</t>
        </is>
      </c>
      <c r="G1242" s="3" t="inlineStr">
        <is>
          <t>Chandrashekar Patidar</t>
        </is>
      </c>
      <c r="H1242" s="3" t="n">
        <v>7879764773</v>
      </c>
      <c r="I1242" s="11" t="inlineStr">
        <is>
          <t>PE26032601</t>
        </is>
      </c>
      <c r="J1242" s="3" t="inlineStr">
        <is>
          <t>Module Diode Failure</t>
        </is>
      </c>
      <c r="K1242" s="3" t="inlineStr">
        <is>
          <t>Sadla</t>
        </is>
      </c>
      <c r="L1242" s="3" t="inlineStr">
        <is>
          <t>Gujarat</t>
        </is>
      </c>
      <c r="M1242" s="9" t="inlineStr">
        <is>
          <t>NS</t>
        </is>
      </c>
      <c r="N1242" s="3" t="inlineStr">
        <is>
          <t>Cold Soldering</t>
        </is>
      </c>
      <c r="O1242" s="3" t="n">
        <v>570</v>
      </c>
      <c r="P1242" s="9" t="inlineStr">
        <is>
          <t>NSMI24060147389</t>
        </is>
      </c>
      <c r="Q1242" s="53">
        <f>MID(P1242,5,2)</f>
        <v/>
      </c>
      <c r="R1242" s="53">
        <f>MID(P1242,7,2)</f>
        <v/>
      </c>
      <c r="S1242" s="3" t="inlineStr">
        <is>
          <t>G2G</t>
        </is>
      </c>
      <c r="T1242" s="3" t="inlineStr">
        <is>
          <t>P4</t>
        </is>
      </c>
      <c r="U1242" s="3" t="inlineStr">
        <is>
          <t>N JB Cold Soldering</t>
        </is>
      </c>
      <c r="V1242" s="3" t="inlineStr">
        <is>
          <t>Soldering</t>
        </is>
      </c>
      <c r="W1242" s="3" t="inlineStr">
        <is>
          <t>Repair</t>
        </is>
      </c>
      <c r="X1242" s="18" t="n">
        <v>46158</v>
      </c>
      <c r="Y1242" s="3">
        <f>X1242-A1242</f>
        <v/>
      </c>
      <c r="Z1242" s="18" t="n">
        <v>46158</v>
      </c>
      <c r="AA1242" s="15" t="n"/>
      <c r="AB1242" s="15" t="n"/>
    </row>
    <row r="1243" hidden="1" s="233">
      <c r="A1243" s="6" t="n">
        <v>46107</v>
      </c>
      <c r="B1243" s="3" t="n">
        <v>2026</v>
      </c>
      <c r="C1243" s="3" t="inlineStr">
        <is>
          <t>Blupine</t>
        </is>
      </c>
      <c r="D1243" s="3" t="inlineStr">
        <is>
          <t>Utility and C&amp;I</t>
        </is>
      </c>
      <c r="E1243" s="3" t="n"/>
      <c r="F1243" s="3" t="inlineStr">
        <is>
          <t>Closed</t>
        </is>
      </c>
      <c r="G1243" s="3" t="inlineStr">
        <is>
          <t>Chandrashekar Patidar</t>
        </is>
      </c>
      <c r="H1243" s="3" t="n">
        <v>7879764773</v>
      </c>
      <c r="I1243" s="11" t="inlineStr">
        <is>
          <t>PE26032601</t>
        </is>
      </c>
      <c r="J1243" s="3" t="inlineStr">
        <is>
          <t>Module Diode Failure</t>
        </is>
      </c>
      <c r="K1243" s="3" t="inlineStr">
        <is>
          <t>Sadla</t>
        </is>
      </c>
      <c r="L1243" s="3" t="inlineStr">
        <is>
          <t>Gujarat</t>
        </is>
      </c>
      <c r="M1243" s="9" t="inlineStr">
        <is>
          <t>NS</t>
        </is>
      </c>
      <c r="N1243" s="3" t="inlineStr">
        <is>
          <t>Cold Soldering</t>
        </is>
      </c>
      <c r="O1243" s="3" t="n">
        <v>570</v>
      </c>
      <c r="P1243" s="9" t="inlineStr">
        <is>
          <t>NSMI24060159404</t>
        </is>
      </c>
      <c r="Q1243" s="53">
        <f>MID(P1243,5,2)</f>
        <v/>
      </c>
      <c r="R1243" s="53">
        <f>MID(P1243,7,2)</f>
        <v/>
      </c>
      <c r="S1243" s="3" t="inlineStr">
        <is>
          <t>G2G</t>
        </is>
      </c>
      <c r="T1243" s="3" t="inlineStr">
        <is>
          <t>P4</t>
        </is>
      </c>
      <c r="U1243" s="3" t="inlineStr">
        <is>
          <t>N JB Cold Soldering</t>
        </is>
      </c>
      <c r="V1243" s="3" t="inlineStr">
        <is>
          <t>Soldering</t>
        </is>
      </c>
      <c r="W1243" s="3" t="inlineStr">
        <is>
          <t>Repair</t>
        </is>
      </c>
      <c r="X1243" s="18" t="n">
        <v>46158</v>
      </c>
      <c r="Y1243" s="3">
        <f>X1243-A1243</f>
        <v/>
      </c>
      <c r="Z1243" s="18" t="n">
        <v>46158</v>
      </c>
      <c r="AA1243" s="15" t="n"/>
      <c r="AB1243" s="15" t="n"/>
    </row>
    <row r="1244" hidden="1" s="233">
      <c r="A1244" s="6" t="n">
        <v>46107</v>
      </c>
      <c r="B1244" s="3" t="n">
        <v>2026</v>
      </c>
      <c r="C1244" s="3" t="inlineStr">
        <is>
          <t>Blupine</t>
        </is>
      </c>
      <c r="D1244" s="3" t="inlineStr">
        <is>
          <t>Utility and C&amp;I</t>
        </is>
      </c>
      <c r="E1244" s="3" t="n"/>
      <c r="F1244" s="3" t="inlineStr">
        <is>
          <t>Closed</t>
        </is>
      </c>
      <c r="G1244" s="3" t="inlineStr">
        <is>
          <t>Chandrashekar Patidar</t>
        </is>
      </c>
      <c r="H1244" s="3" t="n">
        <v>7879764773</v>
      </c>
      <c r="I1244" s="11" t="inlineStr">
        <is>
          <t>PE26032601</t>
        </is>
      </c>
      <c r="J1244" s="3" t="inlineStr">
        <is>
          <t>Module Diode Failure</t>
        </is>
      </c>
      <c r="K1244" s="3" t="inlineStr">
        <is>
          <t>Sadla</t>
        </is>
      </c>
      <c r="L1244" s="3" t="inlineStr">
        <is>
          <t>Gujarat</t>
        </is>
      </c>
      <c r="M1244" s="9" t="inlineStr">
        <is>
          <t>NS</t>
        </is>
      </c>
      <c r="N1244" s="3" t="inlineStr">
        <is>
          <t>Cold Soldering</t>
        </is>
      </c>
      <c r="O1244" s="3" t="n">
        <v>570</v>
      </c>
      <c r="P1244" s="9" t="inlineStr">
        <is>
          <t>NSMI24060153941</t>
        </is>
      </c>
      <c r="Q1244" s="53">
        <f>MID(P1244,5,2)</f>
        <v/>
      </c>
      <c r="R1244" s="53">
        <f>MID(P1244,7,2)</f>
        <v/>
      </c>
      <c r="S1244" s="3" t="inlineStr">
        <is>
          <t>G2G</t>
        </is>
      </c>
      <c r="T1244" s="3" t="inlineStr">
        <is>
          <t>P4</t>
        </is>
      </c>
      <c r="U1244" s="3" t="inlineStr">
        <is>
          <t>N JB Cold Soldering</t>
        </is>
      </c>
      <c r="V1244" s="3" t="inlineStr">
        <is>
          <t>Soldering</t>
        </is>
      </c>
      <c r="W1244" s="3" t="inlineStr">
        <is>
          <t>Repair</t>
        </is>
      </c>
      <c r="X1244" s="18" t="n">
        <v>46158</v>
      </c>
      <c r="Y1244" s="3">
        <f>X1244-A1244</f>
        <v/>
      </c>
      <c r="Z1244" s="18" t="n">
        <v>46158</v>
      </c>
      <c r="AA1244" s="15" t="n"/>
      <c r="AB1244" s="15" t="n"/>
    </row>
    <row r="1245" hidden="1" s="233">
      <c r="A1245" s="6" t="n">
        <v>46107</v>
      </c>
      <c r="B1245" s="3" t="n">
        <v>2026</v>
      </c>
      <c r="C1245" s="3" t="inlineStr">
        <is>
          <t>Blupine</t>
        </is>
      </c>
      <c r="D1245" s="3" t="inlineStr">
        <is>
          <t>Utility and C&amp;I</t>
        </is>
      </c>
      <c r="E1245" s="3" t="n"/>
      <c r="F1245" s="3" t="inlineStr">
        <is>
          <t>Closed</t>
        </is>
      </c>
      <c r="G1245" s="3" t="inlineStr">
        <is>
          <t>Chandrashekar Patidar</t>
        </is>
      </c>
      <c r="H1245" s="3" t="n">
        <v>7879764773</v>
      </c>
      <c r="I1245" s="11" t="inlineStr">
        <is>
          <t>PE26032601</t>
        </is>
      </c>
      <c r="J1245" s="3" t="inlineStr">
        <is>
          <t>Module Diode Failure</t>
        </is>
      </c>
      <c r="K1245" s="3" t="inlineStr">
        <is>
          <t>Sadla</t>
        </is>
      </c>
      <c r="L1245" s="3" t="inlineStr">
        <is>
          <t>Gujarat</t>
        </is>
      </c>
      <c r="M1245" s="9" t="inlineStr">
        <is>
          <t>NS</t>
        </is>
      </c>
      <c r="N1245" s="3" t="inlineStr">
        <is>
          <t>Cold Soldering</t>
        </is>
      </c>
      <c r="O1245" s="3" t="n">
        <v>570</v>
      </c>
      <c r="P1245" s="9" t="inlineStr">
        <is>
          <t>NSMI24060142622</t>
        </is>
      </c>
      <c r="Q1245" s="53">
        <f>MID(P1245,5,2)</f>
        <v/>
      </c>
      <c r="R1245" s="53">
        <f>MID(P1245,7,2)</f>
        <v/>
      </c>
      <c r="S1245" s="3" t="inlineStr">
        <is>
          <t>G2G</t>
        </is>
      </c>
      <c r="T1245" s="3" t="inlineStr">
        <is>
          <t>P4</t>
        </is>
      </c>
      <c r="U1245" s="3" t="inlineStr">
        <is>
          <t>N JB Cold Soldering</t>
        </is>
      </c>
      <c r="V1245" s="3" t="inlineStr">
        <is>
          <t>Soldering</t>
        </is>
      </c>
      <c r="W1245" s="3" t="inlineStr">
        <is>
          <t>Repair</t>
        </is>
      </c>
      <c r="X1245" s="18" t="n">
        <v>46158</v>
      </c>
      <c r="Y1245" s="3">
        <f>X1245-A1245</f>
        <v/>
      </c>
      <c r="Z1245" s="18" t="n">
        <v>46158</v>
      </c>
      <c r="AA1245" s="15" t="n"/>
      <c r="AB1245" s="15" t="n"/>
    </row>
    <row r="1246" hidden="1" s="233">
      <c r="A1246" s="6" t="n">
        <v>46107</v>
      </c>
      <c r="B1246" s="3" t="n">
        <v>2026</v>
      </c>
      <c r="C1246" s="3" t="inlineStr">
        <is>
          <t>Blupine</t>
        </is>
      </c>
      <c r="D1246" s="3" t="inlineStr">
        <is>
          <t>Utility and C&amp;I</t>
        </is>
      </c>
      <c r="E1246" s="3" t="n"/>
      <c r="F1246" s="3" t="inlineStr">
        <is>
          <t>Closed</t>
        </is>
      </c>
      <c r="G1246" s="3" t="inlineStr">
        <is>
          <t>Chandrashekar Patidar</t>
        </is>
      </c>
      <c r="H1246" s="3" t="n">
        <v>7879764773</v>
      </c>
      <c r="I1246" s="11" t="inlineStr">
        <is>
          <t>PE26032601</t>
        </is>
      </c>
      <c r="J1246" s="3" t="inlineStr">
        <is>
          <t>Module Diode Failure</t>
        </is>
      </c>
      <c r="K1246" s="3" t="inlineStr">
        <is>
          <t>Sadla</t>
        </is>
      </c>
      <c r="L1246" s="3" t="inlineStr">
        <is>
          <t>Gujarat</t>
        </is>
      </c>
      <c r="M1246" s="9" t="inlineStr">
        <is>
          <t>NS</t>
        </is>
      </c>
      <c r="N1246" s="3" t="inlineStr">
        <is>
          <t>Cold Soldering</t>
        </is>
      </c>
      <c r="O1246" s="3" t="n">
        <v>570</v>
      </c>
      <c r="P1246" s="9" t="inlineStr">
        <is>
          <t>NSMI24060144883</t>
        </is>
      </c>
      <c r="Q1246" s="53">
        <f>MID(P1246,5,2)</f>
        <v/>
      </c>
      <c r="R1246" s="53">
        <f>MID(P1246,7,2)</f>
        <v/>
      </c>
      <c r="S1246" s="3" t="inlineStr">
        <is>
          <t>G2G</t>
        </is>
      </c>
      <c r="T1246" s="3" t="inlineStr">
        <is>
          <t>P4</t>
        </is>
      </c>
      <c r="U1246" s="3" t="inlineStr">
        <is>
          <t>N JB Cold Soldering</t>
        </is>
      </c>
      <c r="V1246" s="3" t="inlineStr">
        <is>
          <t>Soldering</t>
        </is>
      </c>
      <c r="W1246" s="3" t="inlineStr">
        <is>
          <t>Repair</t>
        </is>
      </c>
      <c r="X1246" s="18" t="n">
        <v>46158</v>
      </c>
      <c r="Y1246" s="3">
        <f>X1246-A1246</f>
        <v/>
      </c>
      <c r="Z1246" s="18" t="n">
        <v>46158</v>
      </c>
      <c r="AA1246" s="15" t="n"/>
      <c r="AB1246" s="15" t="n"/>
    </row>
    <row r="1247" hidden="1" s="233">
      <c r="A1247" s="6" t="n">
        <v>46107</v>
      </c>
      <c r="B1247" s="3" t="n">
        <v>2026</v>
      </c>
      <c r="C1247" s="3" t="inlineStr">
        <is>
          <t>Blupine</t>
        </is>
      </c>
      <c r="D1247" s="3" t="inlineStr">
        <is>
          <t>Utility and C&amp;I</t>
        </is>
      </c>
      <c r="E1247" s="3" t="n"/>
      <c r="F1247" s="3" t="inlineStr">
        <is>
          <t>Closed</t>
        </is>
      </c>
      <c r="G1247" s="3" t="inlineStr">
        <is>
          <t>Chandrashekar Patidar</t>
        </is>
      </c>
      <c r="H1247" s="3" t="n">
        <v>7879764773</v>
      </c>
      <c r="I1247" s="11" t="inlineStr">
        <is>
          <t>PE26032601</t>
        </is>
      </c>
      <c r="J1247" s="3" t="inlineStr">
        <is>
          <t>Module Diode Failure</t>
        </is>
      </c>
      <c r="K1247" s="3" t="inlineStr">
        <is>
          <t>Sadla</t>
        </is>
      </c>
      <c r="L1247" s="3" t="inlineStr">
        <is>
          <t>Gujarat</t>
        </is>
      </c>
      <c r="M1247" s="9" t="inlineStr">
        <is>
          <t>NS</t>
        </is>
      </c>
      <c r="N1247" s="3" t="inlineStr">
        <is>
          <t>Cold Soldering</t>
        </is>
      </c>
      <c r="O1247" s="3" t="n">
        <v>570</v>
      </c>
      <c r="P1247" s="9" t="inlineStr">
        <is>
          <t>NSMI24060144879</t>
        </is>
      </c>
      <c r="Q1247" s="53">
        <f>MID(P1247,5,2)</f>
        <v/>
      </c>
      <c r="R1247" s="53">
        <f>MID(P1247,7,2)</f>
        <v/>
      </c>
      <c r="S1247" s="3" t="inlineStr">
        <is>
          <t>G2G</t>
        </is>
      </c>
      <c r="T1247" s="3" t="inlineStr">
        <is>
          <t>P4</t>
        </is>
      </c>
      <c r="U1247" s="3" t="inlineStr">
        <is>
          <t>N JB Cold Soldering</t>
        </is>
      </c>
      <c r="V1247" s="3" t="inlineStr">
        <is>
          <t>Soldering</t>
        </is>
      </c>
      <c r="W1247" s="3" t="inlineStr">
        <is>
          <t>Repair</t>
        </is>
      </c>
      <c r="X1247" s="18" t="n">
        <v>46158</v>
      </c>
      <c r="Y1247" s="3">
        <f>X1247-A1247</f>
        <v/>
      </c>
      <c r="Z1247" s="18" t="n">
        <v>46158</v>
      </c>
      <c r="AA1247" s="15" t="n"/>
      <c r="AB1247" s="15" t="n"/>
    </row>
    <row r="1248" hidden="1" s="233">
      <c r="A1248" s="6" t="n">
        <v>46107</v>
      </c>
      <c r="B1248" s="3" t="n">
        <v>2026</v>
      </c>
      <c r="C1248" s="3" t="inlineStr">
        <is>
          <t>Blupine</t>
        </is>
      </c>
      <c r="D1248" s="3" t="inlineStr">
        <is>
          <t>Utility and C&amp;I</t>
        </is>
      </c>
      <c r="E1248" s="3" t="n"/>
      <c r="F1248" s="3" t="inlineStr">
        <is>
          <t>Closed</t>
        </is>
      </c>
      <c r="G1248" s="3" t="inlineStr">
        <is>
          <t>Chandrashekar Patidar</t>
        </is>
      </c>
      <c r="H1248" s="3" t="n">
        <v>7879764773</v>
      </c>
      <c r="I1248" s="11" t="inlineStr">
        <is>
          <t>PE26032601</t>
        </is>
      </c>
      <c r="J1248" s="3" t="inlineStr">
        <is>
          <t>Module Diode Failure</t>
        </is>
      </c>
      <c r="K1248" s="3" t="inlineStr">
        <is>
          <t>Sadla</t>
        </is>
      </c>
      <c r="L1248" s="3" t="inlineStr">
        <is>
          <t>Gujarat</t>
        </is>
      </c>
      <c r="M1248" s="9" t="inlineStr">
        <is>
          <t>NS</t>
        </is>
      </c>
      <c r="N1248" s="3" t="inlineStr">
        <is>
          <t>Cold Soldering</t>
        </is>
      </c>
      <c r="O1248" s="3" t="n">
        <v>570</v>
      </c>
      <c r="P1248" s="9" t="inlineStr">
        <is>
          <t>NSMI24060147248</t>
        </is>
      </c>
      <c r="Q1248" s="53">
        <f>MID(P1248,5,2)</f>
        <v/>
      </c>
      <c r="R1248" s="53">
        <f>MID(P1248,7,2)</f>
        <v/>
      </c>
      <c r="S1248" s="3" t="inlineStr">
        <is>
          <t>G2G</t>
        </is>
      </c>
      <c r="T1248" s="3" t="inlineStr">
        <is>
          <t>P4</t>
        </is>
      </c>
      <c r="U1248" s="3" t="inlineStr">
        <is>
          <t>N JB Cold Soldering</t>
        </is>
      </c>
      <c r="V1248" s="3" t="inlineStr">
        <is>
          <t>Soldering</t>
        </is>
      </c>
      <c r="W1248" s="3" t="inlineStr">
        <is>
          <t>Repair</t>
        </is>
      </c>
      <c r="X1248" s="18" t="n">
        <v>46158</v>
      </c>
      <c r="Y1248" s="3">
        <f>X1248-A1248</f>
        <v/>
      </c>
      <c r="Z1248" s="18" t="n">
        <v>46158</v>
      </c>
      <c r="AA1248" s="15" t="n"/>
      <c r="AB1248" s="15" t="n"/>
    </row>
    <row r="1249" hidden="1" s="233">
      <c r="A1249" s="6" t="n">
        <v>46107</v>
      </c>
      <c r="B1249" s="3" t="n">
        <v>2026</v>
      </c>
      <c r="C1249" s="3" t="inlineStr">
        <is>
          <t>Blupine</t>
        </is>
      </c>
      <c r="D1249" s="3" t="inlineStr">
        <is>
          <t>Utility and C&amp;I</t>
        </is>
      </c>
      <c r="E1249" s="3" t="n"/>
      <c r="F1249" s="3" t="inlineStr">
        <is>
          <t>Closed</t>
        </is>
      </c>
      <c r="G1249" s="3" t="inlineStr">
        <is>
          <t>Chandrashekar Patidar</t>
        </is>
      </c>
      <c r="H1249" s="3" t="n">
        <v>7879764773</v>
      </c>
      <c r="I1249" s="11" t="inlineStr">
        <is>
          <t>PE26032601</t>
        </is>
      </c>
      <c r="J1249" s="3" t="inlineStr">
        <is>
          <t>Module Diode Failure</t>
        </is>
      </c>
      <c r="K1249" s="3" t="inlineStr">
        <is>
          <t>Sadla</t>
        </is>
      </c>
      <c r="L1249" s="3" t="inlineStr">
        <is>
          <t>Gujarat</t>
        </is>
      </c>
      <c r="M1249" s="9" t="inlineStr">
        <is>
          <t>PS</t>
        </is>
      </c>
      <c r="N1249" s="3" t="inlineStr">
        <is>
          <t>Cold Soldering</t>
        </is>
      </c>
      <c r="O1249" s="3" t="n">
        <v>570</v>
      </c>
      <c r="P1249" s="9" t="inlineStr">
        <is>
          <t>NSMI24060144004</t>
        </is>
      </c>
      <c r="Q1249" s="53">
        <f>MID(P1249,5,2)</f>
        <v/>
      </c>
      <c r="R1249" s="53">
        <f>MID(P1249,7,2)</f>
        <v/>
      </c>
      <c r="S1249" s="3" t="inlineStr">
        <is>
          <t>G2G</t>
        </is>
      </c>
      <c r="T1249" s="3" t="inlineStr">
        <is>
          <t>P4</t>
        </is>
      </c>
      <c r="U1249" s="3" t="inlineStr">
        <is>
          <t>P JB Cold Soldering</t>
        </is>
      </c>
      <c r="V1249" s="3" t="inlineStr">
        <is>
          <t>Soldering</t>
        </is>
      </c>
      <c r="W1249" s="3" t="inlineStr">
        <is>
          <t>Repair</t>
        </is>
      </c>
      <c r="X1249" s="18" t="n">
        <v>46158</v>
      </c>
      <c r="Y1249" s="3">
        <f>X1249-A1249</f>
        <v/>
      </c>
      <c r="Z1249" s="18" t="n">
        <v>46158</v>
      </c>
      <c r="AA1249" s="15" t="n"/>
      <c r="AB1249" s="15" t="n"/>
    </row>
    <row r="1250" hidden="1" s="233">
      <c r="A1250" s="6" t="n">
        <v>46107</v>
      </c>
      <c r="B1250" s="3" t="n">
        <v>2026</v>
      </c>
      <c r="C1250" s="3" t="inlineStr">
        <is>
          <t>Blupine</t>
        </is>
      </c>
      <c r="D1250" s="3" t="inlineStr">
        <is>
          <t>Utility and C&amp;I</t>
        </is>
      </c>
      <c r="E1250" s="3" t="n"/>
      <c r="F1250" s="3" t="inlineStr">
        <is>
          <t>Closed</t>
        </is>
      </c>
      <c r="G1250" s="3" t="inlineStr">
        <is>
          <t>Chandrashekar Patidar</t>
        </is>
      </c>
      <c r="H1250" s="3" t="n">
        <v>7879764773</v>
      </c>
      <c r="I1250" s="11" t="inlineStr">
        <is>
          <t>PE26032601</t>
        </is>
      </c>
      <c r="J1250" s="3" t="inlineStr">
        <is>
          <t>Module Diode Failure</t>
        </is>
      </c>
      <c r="K1250" s="3" t="inlineStr">
        <is>
          <t>Sadla</t>
        </is>
      </c>
      <c r="L1250" s="3" t="inlineStr">
        <is>
          <t>Gujarat</t>
        </is>
      </c>
      <c r="M1250" s="9" t="inlineStr">
        <is>
          <t>NS</t>
        </is>
      </c>
      <c r="N1250" s="3" t="inlineStr">
        <is>
          <t>Cold Soldering</t>
        </is>
      </c>
      <c r="O1250" s="3" t="n">
        <v>570</v>
      </c>
      <c r="P1250" s="9" t="inlineStr">
        <is>
          <t>NSMI24060146803</t>
        </is>
      </c>
      <c r="Q1250" s="53">
        <f>MID(P1250,5,2)</f>
        <v/>
      </c>
      <c r="R1250" s="53">
        <f>MID(P1250,7,2)</f>
        <v/>
      </c>
      <c r="S1250" s="3" t="inlineStr">
        <is>
          <t>G2G</t>
        </is>
      </c>
      <c r="T1250" s="3" t="inlineStr">
        <is>
          <t>P4</t>
        </is>
      </c>
      <c r="U1250" s="3" t="inlineStr">
        <is>
          <t>N JB Cold Soldering</t>
        </is>
      </c>
      <c r="V1250" s="3" t="inlineStr">
        <is>
          <t>Soldering</t>
        </is>
      </c>
      <c r="W1250" s="3" t="inlineStr">
        <is>
          <t>Repair</t>
        </is>
      </c>
      <c r="X1250" s="18" t="n">
        <v>46158</v>
      </c>
      <c r="Y1250" s="3">
        <f>X1250-A1250</f>
        <v/>
      </c>
      <c r="Z1250" s="18" t="n">
        <v>46158</v>
      </c>
      <c r="AA1250" s="15" t="n"/>
      <c r="AB1250" s="15" t="n"/>
    </row>
    <row r="1251" hidden="1" s="233">
      <c r="A1251" s="6" t="n">
        <v>46107</v>
      </c>
      <c r="B1251" s="3" t="n">
        <v>2026</v>
      </c>
      <c r="C1251" s="3" t="inlineStr">
        <is>
          <t>Blupine</t>
        </is>
      </c>
      <c r="D1251" s="3" t="inlineStr">
        <is>
          <t>Utility and C&amp;I</t>
        </is>
      </c>
      <c r="E1251" s="3" t="n"/>
      <c r="F1251" s="3" t="inlineStr">
        <is>
          <t>Closed</t>
        </is>
      </c>
      <c r="G1251" s="3" t="inlineStr">
        <is>
          <t>Chandrashekar Patidar</t>
        </is>
      </c>
      <c r="H1251" s="3" t="n">
        <v>7879764773</v>
      </c>
      <c r="I1251" s="11" t="inlineStr">
        <is>
          <t>PE26032601</t>
        </is>
      </c>
      <c r="J1251" s="3" t="inlineStr">
        <is>
          <t>Module Diode Failure</t>
        </is>
      </c>
      <c r="K1251" s="3" t="inlineStr">
        <is>
          <t>Sadla</t>
        </is>
      </c>
      <c r="L1251" s="3" t="inlineStr">
        <is>
          <t>Gujarat</t>
        </is>
      </c>
      <c r="M1251" s="9" t="inlineStr">
        <is>
          <t>PS</t>
        </is>
      </c>
      <c r="N1251" s="3" t="inlineStr">
        <is>
          <t>Cold Soldering</t>
        </is>
      </c>
      <c r="O1251" s="3" t="n">
        <v>570</v>
      </c>
      <c r="P1251" s="9" t="inlineStr">
        <is>
          <t>NSMI24060157616</t>
        </is>
      </c>
      <c r="Q1251" s="53">
        <f>MID(P1251,5,2)</f>
        <v/>
      </c>
      <c r="R1251" s="53">
        <f>MID(P1251,7,2)</f>
        <v/>
      </c>
      <c r="S1251" s="3" t="inlineStr">
        <is>
          <t>G2G</t>
        </is>
      </c>
      <c r="T1251" s="3" t="inlineStr">
        <is>
          <t>P4</t>
        </is>
      </c>
      <c r="U1251" s="3" t="inlineStr">
        <is>
          <t>P JB Cold Soldering</t>
        </is>
      </c>
      <c r="V1251" s="3" t="inlineStr">
        <is>
          <t>Soldering</t>
        </is>
      </c>
      <c r="W1251" s="3" t="inlineStr">
        <is>
          <t>Repair</t>
        </is>
      </c>
      <c r="X1251" s="18" t="n">
        <v>46158</v>
      </c>
      <c r="Y1251" s="3">
        <f>X1251-A1251</f>
        <v/>
      </c>
      <c r="Z1251" s="18" t="n">
        <v>46158</v>
      </c>
      <c r="AA1251" s="15" t="n"/>
      <c r="AB1251" s="15" t="n"/>
    </row>
    <row r="1252" hidden="1" s="233">
      <c r="A1252" s="6" t="n">
        <v>46107</v>
      </c>
      <c r="B1252" s="3" t="n">
        <v>2026</v>
      </c>
      <c r="C1252" s="3" t="inlineStr">
        <is>
          <t>Blupine</t>
        </is>
      </c>
      <c r="D1252" s="3" t="inlineStr">
        <is>
          <t>Utility and C&amp;I</t>
        </is>
      </c>
      <c r="E1252" s="3" t="n"/>
      <c r="F1252" s="3" t="inlineStr">
        <is>
          <t>Closed</t>
        </is>
      </c>
      <c r="G1252" s="3" t="inlineStr">
        <is>
          <t>Chandrashekar Patidar</t>
        </is>
      </c>
      <c r="H1252" s="3" t="n">
        <v>7879764773</v>
      </c>
      <c r="I1252" s="11" t="inlineStr">
        <is>
          <t>PE26032601</t>
        </is>
      </c>
      <c r="J1252" s="3" t="inlineStr">
        <is>
          <t>Module Diode Failure</t>
        </is>
      </c>
      <c r="K1252" s="3" t="inlineStr">
        <is>
          <t>Sadla</t>
        </is>
      </c>
      <c r="L1252" s="3" t="inlineStr">
        <is>
          <t>Gujarat</t>
        </is>
      </c>
      <c r="M1252" s="9" t="inlineStr">
        <is>
          <t>PS</t>
        </is>
      </c>
      <c r="N1252" s="3" t="inlineStr">
        <is>
          <t>Cold Soldering</t>
        </is>
      </c>
      <c r="O1252" s="3" t="n">
        <v>570</v>
      </c>
      <c r="P1252" s="9" t="inlineStr">
        <is>
          <t>NSMI24060142924</t>
        </is>
      </c>
      <c r="Q1252" s="53">
        <f>MID(P1252,5,2)</f>
        <v/>
      </c>
      <c r="R1252" s="53">
        <f>MID(P1252,7,2)</f>
        <v/>
      </c>
      <c r="S1252" s="3" t="inlineStr">
        <is>
          <t>G2G</t>
        </is>
      </c>
      <c r="T1252" s="3" t="inlineStr">
        <is>
          <t>P4</t>
        </is>
      </c>
      <c r="U1252" s="3" t="inlineStr">
        <is>
          <t>P JB Cold Soldering</t>
        </is>
      </c>
      <c r="V1252" s="3" t="inlineStr">
        <is>
          <t>Soldering</t>
        </is>
      </c>
      <c r="W1252" s="3" t="inlineStr">
        <is>
          <t>Repair</t>
        </is>
      </c>
      <c r="X1252" s="18" t="n">
        <v>46158</v>
      </c>
      <c r="Y1252" s="3">
        <f>X1252-A1252</f>
        <v/>
      </c>
      <c r="Z1252" s="18" t="n">
        <v>46158</v>
      </c>
      <c r="AA1252" s="15" t="n"/>
      <c r="AB1252" s="15" t="n"/>
    </row>
    <row r="1253" hidden="1" s="233">
      <c r="A1253" s="6" t="n">
        <v>46107</v>
      </c>
      <c r="B1253" s="3" t="n">
        <v>2026</v>
      </c>
      <c r="C1253" s="3" t="inlineStr">
        <is>
          <t>Blupine</t>
        </is>
      </c>
      <c r="D1253" s="3" t="inlineStr">
        <is>
          <t>Utility and C&amp;I</t>
        </is>
      </c>
      <c r="E1253" s="3" t="n"/>
      <c r="F1253" s="3" t="inlineStr">
        <is>
          <t>Closed</t>
        </is>
      </c>
      <c r="G1253" s="3" t="inlineStr">
        <is>
          <t>Chandrashekar Patidar</t>
        </is>
      </c>
      <c r="H1253" s="3" t="n">
        <v>7879764773</v>
      </c>
      <c r="I1253" s="11" t="inlineStr">
        <is>
          <t>PE26032601</t>
        </is>
      </c>
      <c r="J1253" s="3" t="inlineStr">
        <is>
          <t>Module Diode Failure</t>
        </is>
      </c>
      <c r="K1253" s="3" t="inlineStr">
        <is>
          <t>Sadla</t>
        </is>
      </c>
      <c r="L1253" s="3" t="inlineStr">
        <is>
          <t>Gujarat</t>
        </is>
      </c>
      <c r="M1253" s="9" t="inlineStr">
        <is>
          <t>NS</t>
        </is>
      </c>
      <c r="N1253" s="3" t="inlineStr">
        <is>
          <t>Cold Soldering</t>
        </is>
      </c>
      <c r="O1253" s="3" t="n">
        <v>570</v>
      </c>
      <c r="P1253" s="9" t="inlineStr">
        <is>
          <t>NSMI24060158158</t>
        </is>
      </c>
      <c r="Q1253" s="53">
        <f>MID(P1253,5,2)</f>
        <v/>
      </c>
      <c r="R1253" s="53">
        <f>MID(P1253,7,2)</f>
        <v/>
      </c>
      <c r="S1253" s="3" t="inlineStr">
        <is>
          <t>G2G</t>
        </is>
      </c>
      <c r="T1253" s="3" t="inlineStr">
        <is>
          <t>P4</t>
        </is>
      </c>
      <c r="U1253" s="3" t="inlineStr">
        <is>
          <t>N JB Cold Soldering</t>
        </is>
      </c>
      <c r="V1253" s="3" t="inlineStr">
        <is>
          <t>Soldering</t>
        </is>
      </c>
      <c r="W1253" s="3" t="inlineStr">
        <is>
          <t>Repair</t>
        </is>
      </c>
      <c r="X1253" s="18" t="n">
        <v>46158</v>
      </c>
      <c r="Y1253" s="3">
        <f>X1253-A1253</f>
        <v/>
      </c>
      <c r="Z1253" s="18" t="n">
        <v>46158</v>
      </c>
      <c r="AA1253" s="15" t="n"/>
      <c r="AB1253" s="15" t="n"/>
    </row>
    <row r="1254" hidden="1" s="233">
      <c r="A1254" s="6" t="n">
        <v>46107</v>
      </c>
      <c r="B1254" s="3" t="n">
        <v>2026</v>
      </c>
      <c r="C1254" s="3" t="inlineStr">
        <is>
          <t>Blupine</t>
        </is>
      </c>
      <c r="D1254" s="3" t="inlineStr">
        <is>
          <t>Utility and C&amp;I</t>
        </is>
      </c>
      <c r="E1254" s="3" t="n"/>
      <c r="F1254" s="3" t="inlineStr">
        <is>
          <t>Closed</t>
        </is>
      </c>
      <c r="G1254" s="3" t="inlineStr">
        <is>
          <t>Chandrashekar Patidar</t>
        </is>
      </c>
      <c r="H1254" s="3" t="n">
        <v>7879764773</v>
      </c>
      <c r="I1254" s="11" t="inlineStr">
        <is>
          <t>PE26032601</t>
        </is>
      </c>
      <c r="J1254" s="3" t="inlineStr">
        <is>
          <t>Module Diode Failure</t>
        </is>
      </c>
      <c r="K1254" s="3" t="inlineStr">
        <is>
          <t>Sadla</t>
        </is>
      </c>
      <c r="L1254" s="3" t="inlineStr">
        <is>
          <t>Gujarat</t>
        </is>
      </c>
      <c r="M1254" s="9" t="inlineStr">
        <is>
          <t>PNS</t>
        </is>
      </c>
      <c r="N1254" s="3" t="inlineStr">
        <is>
          <t>Cold Soldering</t>
        </is>
      </c>
      <c r="O1254" s="3" t="n">
        <v>570</v>
      </c>
      <c r="P1254" s="9" t="inlineStr">
        <is>
          <t>NSMI24060142013</t>
        </is>
      </c>
      <c r="Q1254" s="53">
        <f>MID(P1254,5,2)</f>
        <v/>
      </c>
      <c r="R1254" s="53">
        <f>MID(P1254,7,2)</f>
        <v/>
      </c>
      <c r="S1254" s="3" t="inlineStr">
        <is>
          <t>G2G</t>
        </is>
      </c>
      <c r="T1254" s="3" t="inlineStr">
        <is>
          <t>P4</t>
        </is>
      </c>
      <c r="U1254" s="3" t="inlineStr">
        <is>
          <t>P &amp; N JB Cold Soldering</t>
        </is>
      </c>
      <c r="V1254" s="3" t="inlineStr">
        <is>
          <t>Soldering</t>
        </is>
      </c>
      <c r="W1254" s="3" t="inlineStr">
        <is>
          <t>Repair</t>
        </is>
      </c>
      <c r="X1254" s="18" t="n">
        <v>46158</v>
      </c>
      <c r="Y1254" s="3">
        <f>X1254-A1254</f>
        <v/>
      </c>
      <c r="Z1254" s="18" t="n">
        <v>46158</v>
      </c>
      <c r="AA1254" s="15" t="n"/>
      <c r="AB1254" s="15" t="n"/>
    </row>
    <row r="1255" hidden="1" s="233">
      <c r="A1255" s="6" t="n">
        <v>46107</v>
      </c>
      <c r="B1255" s="3" t="n">
        <v>2026</v>
      </c>
      <c r="C1255" s="3" t="inlineStr">
        <is>
          <t>Blupine</t>
        </is>
      </c>
      <c r="D1255" s="3" t="inlineStr">
        <is>
          <t>Utility and C&amp;I</t>
        </is>
      </c>
      <c r="E1255" s="3" t="n"/>
      <c r="F1255" s="3" t="inlineStr">
        <is>
          <t>Closed</t>
        </is>
      </c>
      <c r="G1255" s="3" t="inlineStr">
        <is>
          <t>Chandrashekar Patidar</t>
        </is>
      </c>
      <c r="H1255" s="3" t="n">
        <v>7879764773</v>
      </c>
      <c r="I1255" s="11" t="inlineStr">
        <is>
          <t>PE26032601</t>
        </is>
      </c>
      <c r="J1255" s="3" t="inlineStr">
        <is>
          <t>Module Diode Failure</t>
        </is>
      </c>
      <c r="K1255" s="3" t="inlineStr">
        <is>
          <t>Sadla</t>
        </is>
      </c>
      <c r="L1255" s="3" t="inlineStr">
        <is>
          <t>Gujarat</t>
        </is>
      </c>
      <c r="M1255" s="9" t="inlineStr">
        <is>
          <t>NS</t>
        </is>
      </c>
      <c r="N1255" s="3" t="inlineStr">
        <is>
          <t>Cold Soldering</t>
        </is>
      </c>
      <c r="O1255" s="3" t="n">
        <v>570</v>
      </c>
      <c r="P1255" s="9" t="inlineStr">
        <is>
          <t>NSMI24060157596</t>
        </is>
      </c>
      <c r="Q1255" s="53">
        <f>MID(P1255,5,2)</f>
        <v/>
      </c>
      <c r="R1255" s="53">
        <f>MID(P1255,7,2)</f>
        <v/>
      </c>
      <c r="S1255" s="3" t="inlineStr">
        <is>
          <t>G2G</t>
        </is>
      </c>
      <c r="T1255" s="3" t="inlineStr">
        <is>
          <t>P4</t>
        </is>
      </c>
      <c r="U1255" s="3" t="inlineStr">
        <is>
          <t>N JB Cold Soldering</t>
        </is>
      </c>
      <c r="V1255" s="3" t="inlineStr">
        <is>
          <t>Soldering</t>
        </is>
      </c>
      <c r="W1255" s="3" t="inlineStr">
        <is>
          <t>Repair</t>
        </is>
      </c>
      <c r="X1255" s="18" t="n">
        <v>46158</v>
      </c>
      <c r="Y1255" s="3">
        <f>X1255-A1255</f>
        <v/>
      </c>
      <c r="Z1255" s="18" t="n">
        <v>46158</v>
      </c>
      <c r="AA1255" s="15" t="n"/>
      <c r="AB1255" s="15" t="n"/>
    </row>
    <row r="1256" hidden="1" s="233">
      <c r="A1256" s="6" t="n">
        <v>46107</v>
      </c>
      <c r="B1256" s="3" t="n">
        <v>2026</v>
      </c>
      <c r="C1256" s="3" t="inlineStr">
        <is>
          <t>Blupine</t>
        </is>
      </c>
      <c r="D1256" s="3" t="inlineStr">
        <is>
          <t>Utility and C&amp;I</t>
        </is>
      </c>
      <c r="E1256" s="3" t="n"/>
      <c r="F1256" s="3" t="inlineStr">
        <is>
          <t>Closed</t>
        </is>
      </c>
      <c r="G1256" s="3" t="inlineStr">
        <is>
          <t>Chandrashekar Patidar</t>
        </is>
      </c>
      <c r="H1256" s="3" t="n">
        <v>7879764773</v>
      </c>
      <c r="I1256" s="11" t="inlineStr">
        <is>
          <t>PE26032601</t>
        </is>
      </c>
      <c r="J1256" s="3" t="inlineStr">
        <is>
          <t>Module Diode Failure</t>
        </is>
      </c>
      <c r="K1256" s="3" t="inlineStr">
        <is>
          <t>Sadla</t>
        </is>
      </c>
      <c r="L1256" s="3" t="inlineStr">
        <is>
          <t>Gujarat</t>
        </is>
      </c>
      <c r="M1256" s="9" t="inlineStr">
        <is>
          <t>NS</t>
        </is>
      </c>
      <c r="N1256" s="3" t="inlineStr">
        <is>
          <t>Cold Soldering</t>
        </is>
      </c>
      <c r="O1256" s="3" t="n">
        <v>570</v>
      </c>
      <c r="P1256" s="9" t="inlineStr">
        <is>
          <t>NSMI24060157598</t>
        </is>
      </c>
      <c r="Q1256" s="53">
        <f>MID(P1256,5,2)</f>
        <v/>
      </c>
      <c r="R1256" s="53">
        <f>MID(P1256,7,2)</f>
        <v/>
      </c>
      <c r="S1256" s="3" t="inlineStr">
        <is>
          <t>G2G</t>
        </is>
      </c>
      <c r="T1256" s="3" t="inlineStr">
        <is>
          <t>P4</t>
        </is>
      </c>
      <c r="U1256" s="3" t="inlineStr">
        <is>
          <t>N JB Cold Soldering</t>
        </is>
      </c>
      <c r="V1256" s="3" t="inlineStr">
        <is>
          <t>Soldering</t>
        </is>
      </c>
      <c r="W1256" s="3" t="inlineStr">
        <is>
          <t>Repair</t>
        </is>
      </c>
      <c r="X1256" s="18" t="n">
        <v>46158</v>
      </c>
      <c r="Y1256" s="3">
        <f>X1256-A1256</f>
        <v/>
      </c>
      <c r="Z1256" s="18" t="n">
        <v>46158</v>
      </c>
      <c r="AA1256" s="15" t="n"/>
      <c r="AB1256" s="15" t="n"/>
    </row>
    <row r="1257" hidden="1" s="233">
      <c r="A1257" s="6" t="n">
        <v>46107</v>
      </c>
      <c r="B1257" s="3" t="n">
        <v>2026</v>
      </c>
      <c r="C1257" s="3" t="inlineStr">
        <is>
          <t>Blupine</t>
        </is>
      </c>
      <c r="D1257" s="3" t="inlineStr">
        <is>
          <t>Utility and C&amp;I</t>
        </is>
      </c>
      <c r="E1257" s="3" t="n"/>
      <c r="F1257" s="3" t="inlineStr">
        <is>
          <t>Closed</t>
        </is>
      </c>
      <c r="G1257" s="3" t="inlineStr">
        <is>
          <t>Chandrashekar Patidar</t>
        </is>
      </c>
      <c r="H1257" s="3" t="n">
        <v>7879764773</v>
      </c>
      <c r="I1257" s="11" t="inlineStr">
        <is>
          <t>PE26032601</t>
        </is>
      </c>
      <c r="J1257" s="3" t="inlineStr">
        <is>
          <t>Module Diode Failure</t>
        </is>
      </c>
      <c r="K1257" s="3" t="inlineStr">
        <is>
          <t>Sadla</t>
        </is>
      </c>
      <c r="L1257" s="3" t="inlineStr">
        <is>
          <t>Gujarat</t>
        </is>
      </c>
      <c r="M1257" s="9" t="inlineStr">
        <is>
          <t>NS</t>
        </is>
      </c>
      <c r="N1257" s="3" t="inlineStr">
        <is>
          <t>Cold Soldering</t>
        </is>
      </c>
      <c r="O1257" s="3" t="n">
        <v>570</v>
      </c>
      <c r="P1257" s="9" t="inlineStr">
        <is>
          <t>NSMI24060157597</t>
        </is>
      </c>
      <c r="Q1257" s="53">
        <f>MID(P1257,5,2)</f>
        <v/>
      </c>
      <c r="R1257" s="53">
        <f>MID(P1257,7,2)</f>
        <v/>
      </c>
      <c r="S1257" s="3" t="inlineStr">
        <is>
          <t>G2G</t>
        </is>
      </c>
      <c r="T1257" s="3" t="inlineStr">
        <is>
          <t>P4</t>
        </is>
      </c>
      <c r="U1257" s="3" t="inlineStr">
        <is>
          <t>N JB Cold Soldering &amp; Cell Burn</t>
        </is>
      </c>
      <c r="V1257" s="3" t="inlineStr">
        <is>
          <t>Soldering</t>
        </is>
      </c>
      <c r="W1257" s="3" t="inlineStr">
        <is>
          <t>Repair</t>
        </is>
      </c>
      <c r="X1257" s="18" t="n">
        <v>46158</v>
      </c>
      <c r="Y1257" s="3">
        <f>X1257-A1257</f>
        <v/>
      </c>
      <c r="Z1257" s="18" t="n">
        <v>46158</v>
      </c>
      <c r="AA1257" s="15" t="n"/>
      <c r="AB1257" s="15" t="n"/>
    </row>
    <row r="1258" hidden="1" s="233">
      <c r="A1258" s="6" t="n">
        <v>46107</v>
      </c>
      <c r="B1258" s="3" t="n">
        <v>2026</v>
      </c>
      <c r="C1258" s="3" t="inlineStr">
        <is>
          <t>Blupine</t>
        </is>
      </c>
      <c r="D1258" s="3" t="inlineStr">
        <is>
          <t>Utility and C&amp;I</t>
        </is>
      </c>
      <c r="E1258" s="3" t="n"/>
      <c r="F1258" s="3" t="inlineStr">
        <is>
          <t>Closed</t>
        </is>
      </c>
      <c r="G1258" s="3" t="inlineStr">
        <is>
          <t>Chandrashekar Patidar</t>
        </is>
      </c>
      <c r="H1258" s="3" t="n">
        <v>7879764773</v>
      </c>
      <c r="I1258" s="11" t="inlineStr">
        <is>
          <t>PE26032601</t>
        </is>
      </c>
      <c r="J1258" s="3" t="inlineStr">
        <is>
          <t>Module Diode Failure</t>
        </is>
      </c>
      <c r="K1258" s="3" t="inlineStr">
        <is>
          <t>Sadla</t>
        </is>
      </c>
      <c r="L1258" s="3" t="inlineStr">
        <is>
          <t>Gujarat</t>
        </is>
      </c>
      <c r="M1258" s="9" t="inlineStr">
        <is>
          <t>NS</t>
        </is>
      </c>
      <c r="N1258" s="3" t="inlineStr">
        <is>
          <t>Cold Soldering</t>
        </is>
      </c>
      <c r="O1258" s="3" t="n">
        <v>570</v>
      </c>
      <c r="P1258" s="9" t="inlineStr">
        <is>
          <t>NSMI24060147325</t>
        </is>
      </c>
      <c r="Q1258" s="53">
        <f>MID(P1258,5,2)</f>
        <v/>
      </c>
      <c r="R1258" s="53">
        <f>MID(P1258,7,2)</f>
        <v/>
      </c>
      <c r="S1258" s="3" t="inlineStr">
        <is>
          <t>G2G</t>
        </is>
      </c>
      <c r="T1258" s="3" t="inlineStr">
        <is>
          <t>P4</t>
        </is>
      </c>
      <c r="U1258" s="3" t="inlineStr">
        <is>
          <t>N JB Cold Soldering</t>
        </is>
      </c>
      <c r="V1258" s="3" t="inlineStr">
        <is>
          <t>Soldering</t>
        </is>
      </c>
      <c r="W1258" s="3" t="inlineStr">
        <is>
          <t>Repair</t>
        </is>
      </c>
      <c r="X1258" s="18" t="n">
        <v>46158</v>
      </c>
      <c r="Y1258" s="3">
        <f>X1258-A1258</f>
        <v/>
      </c>
      <c r="Z1258" s="18" t="n">
        <v>46158</v>
      </c>
      <c r="AA1258" s="15" t="n"/>
      <c r="AB1258" s="15" t="n"/>
    </row>
    <row r="1259" hidden="1" s="233">
      <c r="A1259" s="6" t="n">
        <v>46107</v>
      </c>
      <c r="B1259" s="3" t="n">
        <v>2026</v>
      </c>
      <c r="C1259" s="3" t="inlineStr">
        <is>
          <t>Blupine</t>
        </is>
      </c>
      <c r="D1259" s="3" t="inlineStr">
        <is>
          <t>Utility and C&amp;I</t>
        </is>
      </c>
      <c r="E1259" s="3" t="n"/>
      <c r="F1259" s="3" t="inlineStr">
        <is>
          <t>Closed</t>
        </is>
      </c>
      <c r="G1259" s="3" t="inlineStr">
        <is>
          <t>Chandrashekar Patidar</t>
        </is>
      </c>
      <c r="H1259" s="3" t="n">
        <v>7879764773</v>
      </c>
      <c r="I1259" s="11" t="inlineStr">
        <is>
          <t>PE26032601</t>
        </is>
      </c>
      <c r="J1259" s="3" t="inlineStr">
        <is>
          <t>Module Diode Failure</t>
        </is>
      </c>
      <c r="K1259" s="3" t="inlineStr">
        <is>
          <t>Sadla</t>
        </is>
      </c>
      <c r="L1259" s="3" t="inlineStr">
        <is>
          <t>Gujarat</t>
        </is>
      </c>
      <c r="M1259" s="9" t="inlineStr">
        <is>
          <t>NS</t>
        </is>
      </c>
      <c r="N1259" s="3" t="inlineStr">
        <is>
          <t>Cold Soldering</t>
        </is>
      </c>
      <c r="O1259" s="3" t="n">
        <v>570</v>
      </c>
      <c r="P1259" s="9" t="inlineStr">
        <is>
          <t>NSMI24060147270</t>
        </is>
      </c>
      <c r="Q1259" s="53">
        <f>MID(P1259,5,2)</f>
        <v/>
      </c>
      <c r="R1259" s="53">
        <f>MID(P1259,7,2)</f>
        <v/>
      </c>
      <c r="S1259" s="3" t="inlineStr">
        <is>
          <t>G2G</t>
        </is>
      </c>
      <c r="T1259" s="3" t="inlineStr">
        <is>
          <t>P4</t>
        </is>
      </c>
      <c r="U1259" s="3" t="inlineStr">
        <is>
          <t>N JB Cold Soldering</t>
        </is>
      </c>
      <c r="V1259" s="3" t="inlineStr">
        <is>
          <t>Soldering</t>
        </is>
      </c>
      <c r="W1259" s="3" t="inlineStr">
        <is>
          <t>Repair</t>
        </is>
      </c>
      <c r="X1259" s="18" t="n">
        <v>46158</v>
      </c>
      <c r="Y1259" s="3">
        <f>X1259-A1259</f>
        <v/>
      </c>
      <c r="Z1259" s="18" t="n">
        <v>46158</v>
      </c>
      <c r="AA1259" s="15" t="n"/>
      <c r="AB1259" s="15" t="n"/>
    </row>
    <row r="1260" hidden="1" s="233">
      <c r="A1260" s="6" t="n">
        <v>46107</v>
      </c>
      <c r="B1260" s="3" t="n">
        <v>2026</v>
      </c>
      <c r="C1260" s="3" t="inlineStr">
        <is>
          <t>Blupine</t>
        </is>
      </c>
      <c r="D1260" s="3" t="inlineStr">
        <is>
          <t>Utility and C&amp;I</t>
        </is>
      </c>
      <c r="E1260" s="3" t="n"/>
      <c r="F1260" s="3" t="inlineStr">
        <is>
          <t>Closed</t>
        </is>
      </c>
      <c r="G1260" s="3" t="inlineStr">
        <is>
          <t>Chandrashekar Patidar</t>
        </is>
      </c>
      <c r="H1260" s="3" t="n">
        <v>7879764773</v>
      </c>
      <c r="I1260" s="11" t="inlineStr">
        <is>
          <t>PE26032601</t>
        </is>
      </c>
      <c r="J1260" s="3" t="inlineStr">
        <is>
          <t>Module Diode Failure</t>
        </is>
      </c>
      <c r="K1260" s="3" t="inlineStr">
        <is>
          <t>Sadla</t>
        </is>
      </c>
      <c r="L1260" s="3" t="inlineStr">
        <is>
          <t>Gujarat</t>
        </is>
      </c>
      <c r="M1260" s="9" t="inlineStr">
        <is>
          <t>NS</t>
        </is>
      </c>
      <c r="N1260" s="3" t="inlineStr">
        <is>
          <t>Cold Soldering</t>
        </is>
      </c>
      <c r="O1260" s="3" t="n">
        <v>570</v>
      </c>
      <c r="P1260" s="9" t="inlineStr">
        <is>
          <t>NSMI24060144748</t>
        </is>
      </c>
      <c r="Q1260" s="53">
        <f>MID(P1260,5,2)</f>
        <v/>
      </c>
      <c r="R1260" s="53">
        <f>MID(P1260,7,2)</f>
        <v/>
      </c>
      <c r="S1260" s="3" t="inlineStr">
        <is>
          <t>G2G</t>
        </is>
      </c>
      <c r="T1260" s="3" t="inlineStr">
        <is>
          <t>P4</t>
        </is>
      </c>
      <c r="U1260" s="3" t="inlineStr">
        <is>
          <t>N JB Cold Soldering</t>
        </is>
      </c>
      <c r="V1260" s="3" t="inlineStr">
        <is>
          <t>Soldering</t>
        </is>
      </c>
      <c r="W1260" s="3" t="inlineStr">
        <is>
          <t>Repair</t>
        </is>
      </c>
      <c r="X1260" s="18" t="n">
        <v>46158</v>
      </c>
      <c r="Y1260" s="3">
        <f>X1260-A1260</f>
        <v/>
      </c>
      <c r="Z1260" s="18" t="n">
        <v>46158</v>
      </c>
      <c r="AA1260" s="15" t="n"/>
      <c r="AB1260" s="15" t="n"/>
    </row>
    <row r="1261" hidden="1" s="233">
      <c r="A1261" s="6" t="n">
        <v>46107</v>
      </c>
      <c r="B1261" s="3" t="n">
        <v>2026</v>
      </c>
      <c r="C1261" s="3" t="inlineStr">
        <is>
          <t>Blupine</t>
        </is>
      </c>
      <c r="D1261" s="3" t="inlineStr">
        <is>
          <t>Utility and C&amp;I</t>
        </is>
      </c>
      <c r="E1261" s="3" t="n"/>
      <c r="F1261" s="3" t="inlineStr">
        <is>
          <t>Closed</t>
        </is>
      </c>
      <c r="G1261" s="3" t="inlineStr">
        <is>
          <t>Chandrashekar Patidar</t>
        </is>
      </c>
      <c r="H1261" s="3" t="n">
        <v>7879764773</v>
      </c>
      <c r="I1261" s="11" t="inlineStr">
        <is>
          <t>PE26032601</t>
        </is>
      </c>
      <c r="J1261" s="3" t="inlineStr">
        <is>
          <t>Module Diode Failure</t>
        </is>
      </c>
      <c r="K1261" s="3" t="inlineStr">
        <is>
          <t>Sadla</t>
        </is>
      </c>
      <c r="L1261" s="3" t="inlineStr">
        <is>
          <t>Gujarat</t>
        </is>
      </c>
      <c r="M1261" s="9" t="inlineStr">
        <is>
          <t>NS</t>
        </is>
      </c>
      <c r="N1261" s="3" t="inlineStr">
        <is>
          <t>Cold Soldering</t>
        </is>
      </c>
      <c r="O1261" s="3" t="n">
        <v>570</v>
      </c>
      <c r="P1261" s="9" t="inlineStr">
        <is>
          <t>NSMI24060144837</t>
        </is>
      </c>
      <c r="Q1261" s="53">
        <f>MID(P1261,5,2)</f>
        <v/>
      </c>
      <c r="R1261" s="53">
        <f>MID(P1261,7,2)</f>
        <v/>
      </c>
      <c r="S1261" s="3" t="inlineStr">
        <is>
          <t>G2G</t>
        </is>
      </c>
      <c r="T1261" s="3" t="inlineStr">
        <is>
          <t>P4</t>
        </is>
      </c>
      <c r="U1261" s="3" t="inlineStr">
        <is>
          <t>N JB Cold Soldering</t>
        </is>
      </c>
      <c r="V1261" s="3" t="inlineStr">
        <is>
          <t>Soldering</t>
        </is>
      </c>
      <c r="W1261" s="3" t="inlineStr">
        <is>
          <t>Repair</t>
        </is>
      </c>
      <c r="X1261" s="18" t="n">
        <v>46158</v>
      </c>
      <c r="Y1261" s="3">
        <f>X1261-A1261</f>
        <v/>
      </c>
      <c r="Z1261" s="18" t="n">
        <v>46158</v>
      </c>
      <c r="AA1261" s="15" t="n"/>
      <c r="AB1261" s="15" t="n"/>
    </row>
    <row r="1262" hidden="1" s="233">
      <c r="A1262" s="6" t="n">
        <v>46107</v>
      </c>
      <c r="B1262" s="3" t="n">
        <v>2026</v>
      </c>
      <c r="C1262" s="3" t="inlineStr">
        <is>
          <t>Blupine</t>
        </is>
      </c>
      <c r="D1262" s="3" t="inlineStr">
        <is>
          <t>Utility and C&amp;I</t>
        </is>
      </c>
      <c r="E1262" s="3" t="n"/>
      <c r="F1262" s="3" t="inlineStr">
        <is>
          <t>Closed</t>
        </is>
      </c>
      <c r="G1262" s="3" t="inlineStr">
        <is>
          <t>Chandrashekar Patidar</t>
        </is>
      </c>
      <c r="H1262" s="3" t="n">
        <v>7879764773</v>
      </c>
      <c r="I1262" s="11" t="inlineStr">
        <is>
          <t>PE26032601</t>
        </is>
      </c>
      <c r="J1262" s="3" t="inlineStr">
        <is>
          <t>Module Diode Failure</t>
        </is>
      </c>
      <c r="K1262" s="3" t="inlineStr">
        <is>
          <t>Sadla</t>
        </is>
      </c>
      <c r="L1262" s="3" t="inlineStr">
        <is>
          <t>Gujarat</t>
        </is>
      </c>
      <c r="M1262" s="9" t="inlineStr">
        <is>
          <t>NS</t>
        </is>
      </c>
      <c r="N1262" s="3" t="inlineStr">
        <is>
          <t>Cold Soldering</t>
        </is>
      </c>
      <c r="O1262" s="3" t="n">
        <v>570</v>
      </c>
      <c r="P1262" s="9" t="inlineStr">
        <is>
          <t>NSMI24060150937</t>
        </is>
      </c>
      <c r="Q1262" s="53">
        <f>MID(P1262,5,2)</f>
        <v/>
      </c>
      <c r="R1262" s="53">
        <f>MID(P1262,7,2)</f>
        <v/>
      </c>
      <c r="S1262" s="3" t="inlineStr">
        <is>
          <t>G2G</t>
        </is>
      </c>
      <c r="T1262" s="3" t="inlineStr">
        <is>
          <t>P4</t>
        </is>
      </c>
      <c r="U1262" s="3" t="inlineStr">
        <is>
          <t>N JB Cold Soldering</t>
        </is>
      </c>
      <c r="V1262" s="3" t="inlineStr">
        <is>
          <t>Soldering</t>
        </is>
      </c>
      <c r="W1262" s="3" t="inlineStr">
        <is>
          <t>Repair</t>
        </is>
      </c>
      <c r="X1262" s="18" t="n">
        <v>46159</v>
      </c>
      <c r="Y1262" s="3">
        <f>X1262-A1262</f>
        <v/>
      </c>
      <c r="Z1262" s="18" t="n">
        <v>46159</v>
      </c>
      <c r="AA1262" s="15" t="n"/>
      <c r="AB1262" s="15" t="n"/>
    </row>
    <row r="1263" hidden="1" s="233">
      <c r="A1263" s="6" t="n">
        <v>46107</v>
      </c>
      <c r="B1263" s="3" t="n">
        <v>2026</v>
      </c>
      <c r="C1263" s="3" t="inlineStr">
        <is>
          <t>Blupine</t>
        </is>
      </c>
      <c r="D1263" s="3" t="inlineStr">
        <is>
          <t>Utility and C&amp;I</t>
        </is>
      </c>
      <c r="E1263" s="3" t="n"/>
      <c r="F1263" s="3" t="inlineStr">
        <is>
          <t>Closed</t>
        </is>
      </c>
      <c r="G1263" s="3" t="inlineStr">
        <is>
          <t>Chandrashekar Patidar</t>
        </is>
      </c>
      <c r="H1263" s="3" t="n">
        <v>7879764773</v>
      </c>
      <c r="I1263" s="11" t="inlineStr">
        <is>
          <t>PE26032601</t>
        </is>
      </c>
      <c r="J1263" s="3" t="inlineStr">
        <is>
          <t>Module Diode Failure</t>
        </is>
      </c>
      <c r="K1263" s="3" t="inlineStr">
        <is>
          <t>Sadla</t>
        </is>
      </c>
      <c r="L1263" s="3" t="inlineStr">
        <is>
          <t>Gujarat</t>
        </is>
      </c>
      <c r="M1263" s="9" t="inlineStr">
        <is>
          <t>NS</t>
        </is>
      </c>
      <c r="N1263" s="3" t="inlineStr">
        <is>
          <t>Cold Soldering</t>
        </is>
      </c>
      <c r="O1263" s="3" t="n">
        <v>570</v>
      </c>
      <c r="P1263" s="9" t="inlineStr">
        <is>
          <t>NSMI24060156420</t>
        </is>
      </c>
      <c r="Q1263" s="53">
        <f>MID(P1263,5,2)</f>
        <v/>
      </c>
      <c r="R1263" s="53">
        <f>MID(P1263,7,2)</f>
        <v/>
      </c>
      <c r="S1263" s="3" t="inlineStr">
        <is>
          <t>G2G</t>
        </is>
      </c>
      <c r="T1263" s="3" t="inlineStr">
        <is>
          <t>P4</t>
        </is>
      </c>
      <c r="U1263" s="3" t="inlineStr">
        <is>
          <t>N JB Cold Soldering</t>
        </is>
      </c>
      <c r="V1263" s="3" t="inlineStr">
        <is>
          <t>Soldering</t>
        </is>
      </c>
      <c r="W1263" s="3" t="inlineStr">
        <is>
          <t>Repair</t>
        </is>
      </c>
      <c r="X1263" s="18" t="n">
        <v>46159</v>
      </c>
      <c r="Y1263" s="3">
        <f>X1263-A1263</f>
        <v/>
      </c>
      <c r="Z1263" s="18" t="n">
        <v>46159</v>
      </c>
      <c r="AA1263" s="15" t="n"/>
      <c r="AB1263" s="15" t="n"/>
    </row>
    <row r="1264" hidden="1" s="233">
      <c r="A1264" s="6" t="n">
        <v>46107</v>
      </c>
      <c r="B1264" s="3" t="n">
        <v>2026</v>
      </c>
      <c r="C1264" s="3" t="inlineStr">
        <is>
          <t>Blupine</t>
        </is>
      </c>
      <c r="D1264" s="3" t="inlineStr">
        <is>
          <t>Utility and C&amp;I</t>
        </is>
      </c>
      <c r="E1264" s="3" t="n"/>
      <c r="F1264" s="3" t="inlineStr">
        <is>
          <t>Closed</t>
        </is>
      </c>
      <c r="G1264" s="3" t="inlineStr">
        <is>
          <t>Chandrashekar Patidar</t>
        </is>
      </c>
      <c r="H1264" s="3" t="n">
        <v>7879764773</v>
      </c>
      <c r="I1264" s="11" t="inlineStr">
        <is>
          <t>PE26032601</t>
        </is>
      </c>
      <c r="J1264" s="3" t="inlineStr">
        <is>
          <t>Module Diode Failure</t>
        </is>
      </c>
      <c r="K1264" s="3" t="inlineStr">
        <is>
          <t>Sadla</t>
        </is>
      </c>
      <c r="L1264" s="3" t="inlineStr">
        <is>
          <t>Gujarat</t>
        </is>
      </c>
      <c r="M1264" s="9" t="inlineStr">
        <is>
          <t>NS</t>
        </is>
      </c>
      <c r="N1264" s="3" t="inlineStr">
        <is>
          <t>Cold Soldering</t>
        </is>
      </c>
      <c r="O1264" s="3" t="n">
        <v>570</v>
      </c>
      <c r="P1264" s="9" t="inlineStr">
        <is>
          <t>NSMI24060154622</t>
        </is>
      </c>
      <c r="Q1264" s="53">
        <f>MID(P1264,5,2)</f>
        <v/>
      </c>
      <c r="R1264" s="53">
        <f>MID(P1264,7,2)</f>
        <v/>
      </c>
      <c r="S1264" s="3" t="inlineStr">
        <is>
          <t>G2G</t>
        </is>
      </c>
      <c r="T1264" s="3" t="inlineStr">
        <is>
          <t>P4</t>
        </is>
      </c>
      <c r="U1264" s="3" t="inlineStr">
        <is>
          <t>N JB Cold Soldering</t>
        </is>
      </c>
      <c r="V1264" s="3" t="inlineStr">
        <is>
          <t>Soldering</t>
        </is>
      </c>
      <c r="W1264" s="3" t="inlineStr">
        <is>
          <t>Repair</t>
        </is>
      </c>
      <c r="X1264" s="18" t="n">
        <v>46159</v>
      </c>
      <c r="Y1264" s="3">
        <f>X1264-A1264</f>
        <v/>
      </c>
      <c r="Z1264" s="18" t="n">
        <v>46159</v>
      </c>
      <c r="AA1264" s="15" t="n"/>
      <c r="AB1264" s="15" t="n"/>
    </row>
    <row r="1265" hidden="1" s="233">
      <c r="A1265" s="6" t="n">
        <v>46107</v>
      </c>
      <c r="B1265" s="3" t="n">
        <v>2026</v>
      </c>
      <c r="C1265" s="3" t="inlineStr">
        <is>
          <t>Blupine</t>
        </is>
      </c>
      <c r="D1265" s="3" t="inlineStr">
        <is>
          <t>Utility and C&amp;I</t>
        </is>
      </c>
      <c r="E1265" s="3" t="n"/>
      <c r="F1265" s="3" t="inlineStr">
        <is>
          <t>Closed</t>
        </is>
      </c>
      <c r="G1265" s="3" t="inlineStr">
        <is>
          <t>Chandrashekar Patidar</t>
        </is>
      </c>
      <c r="H1265" s="3" t="n">
        <v>7879764773</v>
      </c>
      <c r="I1265" s="11" t="inlineStr">
        <is>
          <t>PE26032601</t>
        </is>
      </c>
      <c r="J1265" s="3" t="inlineStr">
        <is>
          <t>Module Diode Failure</t>
        </is>
      </c>
      <c r="K1265" s="3" t="inlineStr">
        <is>
          <t>Sadla</t>
        </is>
      </c>
      <c r="L1265" s="3" t="inlineStr">
        <is>
          <t>Gujarat</t>
        </is>
      </c>
      <c r="M1265" s="9" t="inlineStr">
        <is>
          <t>NS</t>
        </is>
      </c>
      <c r="N1265" s="3" t="inlineStr">
        <is>
          <t>Cold Soldering</t>
        </is>
      </c>
      <c r="O1265" s="3" t="n">
        <v>570</v>
      </c>
      <c r="P1265" s="9" t="inlineStr">
        <is>
          <t>NSMI24070166716</t>
        </is>
      </c>
      <c r="Q1265" s="53">
        <f>MID(P1265,5,2)</f>
        <v/>
      </c>
      <c r="R1265" s="53">
        <f>MID(P1265,7,2)</f>
        <v/>
      </c>
      <c r="S1265" s="3" t="inlineStr">
        <is>
          <t>G2G</t>
        </is>
      </c>
      <c r="T1265" s="3" t="inlineStr">
        <is>
          <t>P4</t>
        </is>
      </c>
      <c r="U1265" s="3" t="inlineStr">
        <is>
          <t>N JB Cold Soldering</t>
        </is>
      </c>
      <c r="V1265" s="3" t="inlineStr">
        <is>
          <t>Soldering</t>
        </is>
      </c>
      <c r="W1265" s="3" t="inlineStr">
        <is>
          <t>Repair</t>
        </is>
      </c>
      <c r="X1265" s="18" t="n">
        <v>46159</v>
      </c>
      <c r="Y1265" s="3">
        <f>X1265-A1265</f>
        <v/>
      </c>
      <c r="Z1265" s="18" t="n">
        <v>46159</v>
      </c>
      <c r="AA1265" s="15" t="n"/>
      <c r="AB1265" s="15" t="n"/>
    </row>
    <row r="1266" hidden="1" s="233">
      <c r="A1266" s="6" t="n">
        <v>46107</v>
      </c>
      <c r="B1266" s="3" t="n">
        <v>2026</v>
      </c>
      <c r="C1266" s="3" t="inlineStr">
        <is>
          <t>Blupine</t>
        </is>
      </c>
      <c r="D1266" s="3" t="inlineStr">
        <is>
          <t>Utility and C&amp;I</t>
        </is>
      </c>
      <c r="E1266" s="3" t="n"/>
      <c r="F1266" s="3" t="inlineStr">
        <is>
          <t>Closed</t>
        </is>
      </c>
      <c r="G1266" s="3" t="inlineStr">
        <is>
          <t>Chandrashekar Patidar</t>
        </is>
      </c>
      <c r="H1266" s="3" t="n">
        <v>7879764773</v>
      </c>
      <c r="I1266" s="11" t="inlineStr">
        <is>
          <t>PE26032601</t>
        </is>
      </c>
      <c r="J1266" s="3" t="inlineStr">
        <is>
          <t>Module Diode Failure</t>
        </is>
      </c>
      <c r="K1266" s="3" t="inlineStr">
        <is>
          <t>Sadla</t>
        </is>
      </c>
      <c r="L1266" s="3" t="inlineStr">
        <is>
          <t>Gujarat</t>
        </is>
      </c>
      <c r="M1266" s="9" t="inlineStr">
        <is>
          <t>NS</t>
        </is>
      </c>
      <c r="N1266" s="3" t="inlineStr">
        <is>
          <t>Cold Soldering</t>
        </is>
      </c>
      <c r="O1266" s="3" t="n">
        <v>570</v>
      </c>
      <c r="P1266" s="9" t="inlineStr">
        <is>
          <t>NSMI24060162801</t>
        </is>
      </c>
      <c r="Q1266" s="53">
        <f>MID(P1266,5,2)</f>
        <v/>
      </c>
      <c r="R1266" s="53">
        <f>MID(P1266,7,2)</f>
        <v/>
      </c>
      <c r="S1266" s="3" t="inlineStr">
        <is>
          <t>G2G</t>
        </is>
      </c>
      <c r="T1266" s="3" t="inlineStr">
        <is>
          <t>P4</t>
        </is>
      </c>
      <c r="U1266" s="3" t="inlineStr">
        <is>
          <t>N JB Cold Soldering</t>
        </is>
      </c>
      <c r="V1266" s="3" t="inlineStr">
        <is>
          <t>Soldering</t>
        </is>
      </c>
      <c r="W1266" s="3" t="inlineStr">
        <is>
          <t>Repair</t>
        </is>
      </c>
      <c r="X1266" s="18" t="n">
        <v>46159</v>
      </c>
      <c r="Y1266" s="3">
        <f>X1266-A1266</f>
        <v/>
      </c>
      <c r="Z1266" s="18" t="n">
        <v>46159</v>
      </c>
      <c r="AA1266" s="15" t="n"/>
      <c r="AB1266" s="15" t="n"/>
    </row>
    <row r="1267" hidden="1" s="233">
      <c r="A1267" s="6" t="n">
        <v>46107</v>
      </c>
      <c r="B1267" s="3" t="n">
        <v>2026</v>
      </c>
      <c r="C1267" s="3" t="inlineStr">
        <is>
          <t>Blupine</t>
        </is>
      </c>
      <c r="D1267" s="3" t="inlineStr">
        <is>
          <t>Utility and C&amp;I</t>
        </is>
      </c>
      <c r="E1267" s="3" t="n"/>
      <c r="F1267" s="3" t="inlineStr">
        <is>
          <t>Closed</t>
        </is>
      </c>
      <c r="G1267" s="3" t="inlineStr">
        <is>
          <t>Chandrashekar Patidar</t>
        </is>
      </c>
      <c r="H1267" s="3" t="n">
        <v>7879764773</v>
      </c>
      <c r="I1267" s="11" t="inlineStr">
        <is>
          <t>PE26032601</t>
        </is>
      </c>
      <c r="J1267" s="3" t="inlineStr">
        <is>
          <t>Module Diode Failure</t>
        </is>
      </c>
      <c r="K1267" s="3" t="inlineStr">
        <is>
          <t>Sadla</t>
        </is>
      </c>
      <c r="L1267" s="3" t="inlineStr">
        <is>
          <t>Gujarat</t>
        </is>
      </c>
      <c r="M1267" s="9" t="inlineStr">
        <is>
          <t>NS</t>
        </is>
      </c>
      <c r="N1267" s="3" t="inlineStr">
        <is>
          <t>Cold Soldering</t>
        </is>
      </c>
      <c r="O1267" s="3" t="n">
        <v>570</v>
      </c>
      <c r="P1267" s="9" t="inlineStr">
        <is>
          <t>NSMI24060157130</t>
        </is>
      </c>
      <c r="Q1267" s="53">
        <f>MID(P1267,5,2)</f>
        <v/>
      </c>
      <c r="R1267" s="53">
        <f>MID(P1267,7,2)</f>
        <v/>
      </c>
      <c r="S1267" s="3" t="inlineStr">
        <is>
          <t>G2G</t>
        </is>
      </c>
      <c r="T1267" s="3" t="inlineStr">
        <is>
          <t>P4</t>
        </is>
      </c>
      <c r="U1267" s="3" t="inlineStr">
        <is>
          <t>N JB Cold Soldering</t>
        </is>
      </c>
      <c r="V1267" s="3" t="inlineStr">
        <is>
          <t>Soldering</t>
        </is>
      </c>
      <c r="W1267" s="3" t="inlineStr">
        <is>
          <t>Repair</t>
        </is>
      </c>
      <c r="X1267" s="18" t="n">
        <v>46159</v>
      </c>
      <c r="Y1267" s="3">
        <f>X1267-A1267</f>
        <v/>
      </c>
      <c r="Z1267" s="18" t="n">
        <v>46159</v>
      </c>
      <c r="AA1267" s="15" t="n"/>
      <c r="AB1267" s="15" t="n"/>
    </row>
    <row r="1268" hidden="1" s="233">
      <c r="A1268" s="6" t="n">
        <v>46107</v>
      </c>
      <c r="B1268" s="3" t="n">
        <v>2026</v>
      </c>
      <c r="C1268" s="3" t="inlineStr">
        <is>
          <t>Blupine</t>
        </is>
      </c>
      <c r="D1268" s="3" t="inlineStr">
        <is>
          <t>Utility and C&amp;I</t>
        </is>
      </c>
      <c r="E1268" s="3" t="n"/>
      <c r="F1268" s="3" t="inlineStr">
        <is>
          <t>Closed</t>
        </is>
      </c>
      <c r="G1268" s="3" t="inlineStr">
        <is>
          <t>Chandrashekar Patidar</t>
        </is>
      </c>
      <c r="H1268" s="3" t="n">
        <v>7879764773</v>
      </c>
      <c r="I1268" s="11" t="inlineStr">
        <is>
          <t>PE26032601</t>
        </is>
      </c>
      <c r="J1268" s="3" t="inlineStr">
        <is>
          <t>Module Diode Failure</t>
        </is>
      </c>
      <c r="K1268" s="3" t="inlineStr">
        <is>
          <t>Sadla</t>
        </is>
      </c>
      <c r="L1268" s="3" t="inlineStr">
        <is>
          <t>Gujarat</t>
        </is>
      </c>
      <c r="M1268" s="9" t="inlineStr">
        <is>
          <t>NS</t>
        </is>
      </c>
      <c r="N1268" s="3" t="inlineStr">
        <is>
          <t>Cold Soldering</t>
        </is>
      </c>
      <c r="O1268" s="3" t="n">
        <v>570</v>
      </c>
      <c r="P1268" s="9" t="inlineStr">
        <is>
          <t>NSMI24060147286</t>
        </is>
      </c>
      <c r="Q1268" s="53">
        <f>MID(P1268,5,2)</f>
        <v/>
      </c>
      <c r="R1268" s="53">
        <f>MID(P1268,7,2)</f>
        <v/>
      </c>
      <c r="S1268" s="3" t="inlineStr">
        <is>
          <t>G2G</t>
        </is>
      </c>
      <c r="T1268" s="3" t="inlineStr">
        <is>
          <t>P4</t>
        </is>
      </c>
      <c r="U1268" s="3" t="inlineStr">
        <is>
          <t>N JB Cold Soldering</t>
        </is>
      </c>
      <c r="V1268" s="3" t="inlineStr">
        <is>
          <t>Soldering</t>
        </is>
      </c>
      <c r="W1268" s="3" t="inlineStr">
        <is>
          <t>Repair</t>
        </is>
      </c>
      <c r="X1268" s="18" t="n">
        <v>46159</v>
      </c>
      <c r="Y1268" s="3">
        <f>X1268-A1268</f>
        <v/>
      </c>
      <c r="Z1268" s="18" t="n">
        <v>46159</v>
      </c>
      <c r="AA1268" s="15" t="n"/>
      <c r="AB1268" s="15" t="n"/>
    </row>
    <row r="1269" hidden="1" s="233">
      <c r="A1269" s="6" t="n">
        <v>46107</v>
      </c>
      <c r="B1269" s="3" t="n">
        <v>2026</v>
      </c>
      <c r="C1269" s="3" t="inlineStr">
        <is>
          <t>Blupine</t>
        </is>
      </c>
      <c r="D1269" s="3" t="inlineStr">
        <is>
          <t>Utility and C&amp;I</t>
        </is>
      </c>
      <c r="E1269" s="3" t="n"/>
      <c r="F1269" s="3" t="inlineStr">
        <is>
          <t>Closed</t>
        </is>
      </c>
      <c r="G1269" s="3" t="inlineStr">
        <is>
          <t>Chandrashekar Patidar</t>
        </is>
      </c>
      <c r="H1269" s="3" t="n">
        <v>7879764773</v>
      </c>
      <c r="I1269" s="11" t="inlineStr">
        <is>
          <t>PE26032601</t>
        </is>
      </c>
      <c r="J1269" s="3" t="inlineStr">
        <is>
          <t>Module Diode Failure</t>
        </is>
      </c>
      <c r="K1269" s="3" t="inlineStr">
        <is>
          <t>Sadla</t>
        </is>
      </c>
      <c r="L1269" s="3" t="inlineStr">
        <is>
          <t>Gujarat</t>
        </is>
      </c>
      <c r="M1269" s="9" t="inlineStr">
        <is>
          <t>NS</t>
        </is>
      </c>
      <c r="N1269" s="3" t="inlineStr">
        <is>
          <t>Cold Soldering</t>
        </is>
      </c>
      <c r="O1269" s="3" t="n">
        <v>570</v>
      </c>
      <c r="P1269" s="9" t="inlineStr">
        <is>
          <t>NSMI24060146429</t>
        </is>
      </c>
      <c r="Q1269" s="53">
        <f>MID(P1269,5,2)</f>
        <v/>
      </c>
      <c r="R1269" s="53">
        <f>MID(P1269,7,2)</f>
        <v/>
      </c>
      <c r="S1269" s="3" t="inlineStr">
        <is>
          <t>G2G</t>
        </is>
      </c>
      <c r="T1269" s="3" t="inlineStr">
        <is>
          <t>P4</t>
        </is>
      </c>
      <c r="U1269" s="3" t="inlineStr">
        <is>
          <t>N JB Cold Soldering</t>
        </is>
      </c>
      <c r="V1269" s="3" t="inlineStr">
        <is>
          <t>Soldering</t>
        </is>
      </c>
      <c r="W1269" s="3" t="inlineStr">
        <is>
          <t>Repair</t>
        </is>
      </c>
      <c r="X1269" s="18" t="n">
        <v>46159</v>
      </c>
      <c r="Y1269" s="3">
        <f>X1269-A1269</f>
        <v/>
      </c>
      <c r="Z1269" s="18" t="n">
        <v>46159</v>
      </c>
      <c r="AA1269" s="15" t="n"/>
      <c r="AB1269" s="15" t="n"/>
    </row>
    <row r="1270" hidden="1" s="233">
      <c r="A1270" s="6" t="n">
        <v>46107</v>
      </c>
      <c r="B1270" s="3" t="n">
        <v>2026</v>
      </c>
      <c r="C1270" s="3" t="inlineStr">
        <is>
          <t>Blupine</t>
        </is>
      </c>
      <c r="D1270" s="3" t="inlineStr">
        <is>
          <t>Utility and C&amp;I</t>
        </is>
      </c>
      <c r="E1270" s="3" t="n"/>
      <c r="F1270" s="3" t="inlineStr">
        <is>
          <t>Closed</t>
        </is>
      </c>
      <c r="G1270" s="3" t="inlineStr">
        <is>
          <t>Chandrashekar Patidar</t>
        </is>
      </c>
      <c r="H1270" s="3" t="n">
        <v>7879764773</v>
      </c>
      <c r="I1270" s="11" t="inlineStr">
        <is>
          <t>PE26032601</t>
        </is>
      </c>
      <c r="J1270" s="3" t="inlineStr">
        <is>
          <t>Module Diode Failure</t>
        </is>
      </c>
      <c r="K1270" s="3" t="inlineStr">
        <is>
          <t>Sadla</t>
        </is>
      </c>
      <c r="L1270" s="3" t="inlineStr">
        <is>
          <t>Gujarat</t>
        </is>
      </c>
      <c r="M1270" s="9" t="inlineStr">
        <is>
          <t>NS</t>
        </is>
      </c>
      <c r="N1270" s="3" t="inlineStr">
        <is>
          <t>Cold Soldering</t>
        </is>
      </c>
      <c r="O1270" s="3" t="n">
        <v>570</v>
      </c>
      <c r="P1270" s="9" t="inlineStr">
        <is>
          <t>NSMI24070166341</t>
        </is>
      </c>
      <c r="Q1270" s="53">
        <f>MID(P1270,5,2)</f>
        <v/>
      </c>
      <c r="R1270" s="53">
        <f>MID(P1270,7,2)</f>
        <v/>
      </c>
      <c r="S1270" s="3" t="inlineStr">
        <is>
          <t>G2G</t>
        </is>
      </c>
      <c r="T1270" s="3" t="inlineStr">
        <is>
          <t>P4</t>
        </is>
      </c>
      <c r="U1270" s="3" t="inlineStr">
        <is>
          <t>N JB Cold Soldering</t>
        </is>
      </c>
      <c r="V1270" s="3" t="inlineStr">
        <is>
          <t>Soldering</t>
        </is>
      </c>
      <c r="W1270" s="3" t="inlineStr">
        <is>
          <t>Repair</t>
        </is>
      </c>
      <c r="X1270" s="18" t="n">
        <v>46159</v>
      </c>
      <c r="Y1270" s="3">
        <f>X1270-A1270</f>
        <v/>
      </c>
      <c r="Z1270" s="18" t="n">
        <v>46159</v>
      </c>
      <c r="AA1270" s="15" t="n"/>
      <c r="AB1270" s="15" t="n"/>
    </row>
    <row r="1271" hidden="1" s="233">
      <c r="A1271" s="6" t="n">
        <v>46107</v>
      </c>
      <c r="B1271" s="3" t="n">
        <v>2026</v>
      </c>
      <c r="C1271" s="3" t="inlineStr">
        <is>
          <t>Blupine</t>
        </is>
      </c>
      <c r="D1271" s="3" t="inlineStr">
        <is>
          <t>Utility and C&amp;I</t>
        </is>
      </c>
      <c r="E1271" s="3" t="n"/>
      <c r="F1271" s="3" t="inlineStr">
        <is>
          <t>Closed</t>
        </is>
      </c>
      <c r="G1271" s="3" t="inlineStr">
        <is>
          <t>Chandrashekar Patidar</t>
        </is>
      </c>
      <c r="H1271" s="3" t="n">
        <v>7879764773</v>
      </c>
      <c r="I1271" s="11" t="inlineStr">
        <is>
          <t>PE26032601</t>
        </is>
      </c>
      <c r="J1271" s="3" t="inlineStr">
        <is>
          <t>Module Diode Failure</t>
        </is>
      </c>
      <c r="K1271" s="3" t="inlineStr">
        <is>
          <t>Sadla</t>
        </is>
      </c>
      <c r="L1271" s="3" t="inlineStr">
        <is>
          <t>Gujarat</t>
        </is>
      </c>
      <c r="M1271" s="9" t="inlineStr">
        <is>
          <t>PS</t>
        </is>
      </c>
      <c r="N1271" s="3" t="inlineStr">
        <is>
          <t>Cold Soldering</t>
        </is>
      </c>
      <c r="O1271" s="3" t="n">
        <v>570</v>
      </c>
      <c r="P1271" s="9" t="inlineStr">
        <is>
          <t>NSMI24060158871</t>
        </is>
      </c>
      <c r="Q1271" s="53">
        <f>MID(P1271,5,2)</f>
        <v/>
      </c>
      <c r="R1271" s="53">
        <f>MID(P1271,7,2)</f>
        <v/>
      </c>
      <c r="S1271" s="3" t="inlineStr">
        <is>
          <t>G2G</t>
        </is>
      </c>
      <c r="T1271" s="3" t="inlineStr">
        <is>
          <t>P4</t>
        </is>
      </c>
      <c r="U1271" s="3" t="inlineStr">
        <is>
          <t>P JB Cold Soldering</t>
        </is>
      </c>
      <c r="V1271" s="3" t="inlineStr">
        <is>
          <t>Soldering</t>
        </is>
      </c>
      <c r="W1271" s="3" t="inlineStr">
        <is>
          <t>Repair</t>
        </is>
      </c>
      <c r="X1271" s="18" t="n">
        <v>46159</v>
      </c>
      <c r="Y1271" s="3">
        <f>X1271-A1271</f>
        <v/>
      </c>
      <c r="Z1271" s="18" t="n">
        <v>46159</v>
      </c>
      <c r="AA1271" s="15" t="n"/>
      <c r="AB1271" s="15" t="n"/>
    </row>
    <row r="1272" hidden="1" s="233">
      <c r="A1272" s="6" t="n">
        <v>46107</v>
      </c>
      <c r="B1272" s="3" t="n">
        <v>2026</v>
      </c>
      <c r="C1272" s="3" t="inlineStr">
        <is>
          <t>Blupine</t>
        </is>
      </c>
      <c r="D1272" s="3" t="inlineStr">
        <is>
          <t>Utility and C&amp;I</t>
        </is>
      </c>
      <c r="E1272" s="3" t="n"/>
      <c r="F1272" s="3" t="inlineStr">
        <is>
          <t>Closed</t>
        </is>
      </c>
      <c r="G1272" s="3" t="inlineStr">
        <is>
          <t>Chandrashekar Patidar</t>
        </is>
      </c>
      <c r="H1272" s="3" t="n">
        <v>7879764773</v>
      </c>
      <c r="I1272" s="11" t="inlineStr">
        <is>
          <t>PE26032601</t>
        </is>
      </c>
      <c r="J1272" s="3" t="inlineStr">
        <is>
          <t>Module Diode Failure</t>
        </is>
      </c>
      <c r="K1272" s="3" t="inlineStr">
        <is>
          <t>Sadla</t>
        </is>
      </c>
      <c r="L1272" s="3" t="inlineStr">
        <is>
          <t>Gujarat</t>
        </is>
      </c>
      <c r="M1272" s="9" t="inlineStr">
        <is>
          <t>NS</t>
        </is>
      </c>
      <c r="N1272" s="3" t="inlineStr">
        <is>
          <t>Cold Soldering</t>
        </is>
      </c>
      <c r="O1272" s="3" t="n">
        <v>570</v>
      </c>
      <c r="P1272" s="9" t="inlineStr">
        <is>
          <t>NSMI24060157985</t>
        </is>
      </c>
      <c r="Q1272" s="53">
        <f>MID(P1272,5,2)</f>
        <v/>
      </c>
      <c r="R1272" s="53">
        <f>MID(P1272,7,2)</f>
        <v/>
      </c>
      <c r="S1272" s="3" t="inlineStr">
        <is>
          <t>G2G</t>
        </is>
      </c>
      <c r="T1272" s="3" t="inlineStr">
        <is>
          <t>P4</t>
        </is>
      </c>
      <c r="U1272" s="3" t="inlineStr">
        <is>
          <t>N JB Cold Soldering</t>
        </is>
      </c>
      <c r="V1272" s="3" t="inlineStr">
        <is>
          <t>Soldering</t>
        </is>
      </c>
      <c r="W1272" s="3" t="inlineStr">
        <is>
          <t>Repair</t>
        </is>
      </c>
      <c r="X1272" s="18" t="n">
        <v>46159</v>
      </c>
      <c r="Y1272" s="3">
        <f>X1272-A1272</f>
        <v/>
      </c>
      <c r="Z1272" s="18" t="n">
        <v>46159</v>
      </c>
      <c r="AA1272" s="15" t="n"/>
      <c r="AB1272" s="15" t="n"/>
    </row>
    <row r="1273" hidden="1" s="233">
      <c r="A1273" s="6" t="n">
        <v>46107</v>
      </c>
      <c r="B1273" s="3" t="n">
        <v>2026</v>
      </c>
      <c r="C1273" s="3" t="inlineStr">
        <is>
          <t>Blupine</t>
        </is>
      </c>
      <c r="D1273" s="3" t="inlineStr">
        <is>
          <t>Utility and C&amp;I</t>
        </is>
      </c>
      <c r="E1273" s="3" t="n"/>
      <c r="F1273" s="3" t="inlineStr">
        <is>
          <t>Closed</t>
        </is>
      </c>
      <c r="G1273" s="3" t="inlineStr">
        <is>
          <t>Chandrashekar Patidar</t>
        </is>
      </c>
      <c r="H1273" s="3" t="n">
        <v>7879764773</v>
      </c>
      <c r="I1273" s="11" t="inlineStr">
        <is>
          <t>PE26032601</t>
        </is>
      </c>
      <c r="J1273" s="3" t="inlineStr">
        <is>
          <t>Module Diode Failure</t>
        </is>
      </c>
      <c r="K1273" s="3" t="inlineStr">
        <is>
          <t>Sadla</t>
        </is>
      </c>
      <c r="L1273" s="3" t="inlineStr">
        <is>
          <t>Gujarat</t>
        </is>
      </c>
      <c r="M1273" s="9" t="inlineStr">
        <is>
          <t>NS</t>
        </is>
      </c>
      <c r="N1273" s="3" t="inlineStr">
        <is>
          <t>Cold Soldering</t>
        </is>
      </c>
      <c r="O1273" s="3" t="n">
        <v>570</v>
      </c>
      <c r="P1273" s="9" t="inlineStr">
        <is>
          <t>NSMI24060160698</t>
        </is>
      </c>
      <c r="Q1273" s="53">
        <f>MID(P1273,5,2)</f>
        <v/>
      </c>
      <c r="R1273" s="53">
        <f>MID(P1273,7,2)</f>
        <v/>
      </c>
      <c r="S1273" s="3" t="inlineStr">
        <is>
          <t>G2G</t>
        </is>
      </c>
      <c r="T1273" s="3" t="inlineStr">
        <is>
          <t>P4</t>
        </is>
      </c>
      <c r="U1273" s="3" t="inlineStr">
        <is>
          <t>N JB Cold Soldering</t>
        </is>
      </c>
      <c r="V1273" s="3" t="inlineStr">
        <is>
          <t>Soldering</t>
        </is>
      </c>
      <c r="W1273" s="3" t="inlineStr">
        <is>
          <t>Repair</t>
        </is>
      </c>
      <c r="X1273" s="18" t="n">
        <v>46159</v>
      </c>
      <c r="Y1273" s="3">
        <f>X1273-A1273</f>
        <v/>
      </c>
      <c r="Z1273" s="18" t="n">
        <v>46159</v>
      </c>
      <c r="AA1273" s="15" t="n"/>
      <c r="AB1273" s="15" t="n"/>
    </row>
    <row r="1274" hidden="1" s="233">
      <c r="A1274" s="6" t="n">
        <v>46107</v>
      </c>
      <c r="B1274" s="3" t="n">
        <v>2026</v>
      </c>
      <c r="C1274" s="3" t="inlineStr">
        <is>
          <t>Blupine</t>
        </is>
      </c>
      <c r="D1274" s="3" t="inlineStr">
        <is>
          <t>Utility and C&amp;I</t>
        </is>
      </c>
      <c r="E1274" s="3" t="n"/>
      <c r="F1274" s="3" t="inlineStr">
        <is>
          <t>Closed</t>
        </is>
      </c>
      <c r="G1274" s="3" t="inlineStr">
        <is>
          <t>Chandrashekar Patidar</t>
        </is>
      </c>
      <c r="H1274" s="3" t="n">
        <v>7879764773</v>
      </c>
      <c r="I1274" s="11" t="inlineStr">
        <is>
          <t>PE26032601</t>
        </is>
      </c>
      <c r="J1274" s="3" t="inlineStr">
        <is>
          <t>Module Diode Failure</t>
        </is>
      </c>
      <c r="K1274" s="3" t="inlineStr">
        <is>
          <t>Sadla</t>
        </is>
      </c>
      <c r="L1274" s="3" t="inlineStr">
        <is>
          <t>Gujarat</t>
        </is>
      </c>
      <c r="M1274" s="9" t="inlineStr">
        <is>
          <t>PS</t>
        </is>
      </c>
      <c r="N1274" s="3" t="inlineStr">
        <is>
          <t>Cold Soldering</t>
        </is>
      </c>
      <c r="O1274" s="3" t="n">
        <v>570</v>
      </c>
      <c r="P1274" s="9" t="inlineStr">
        <is>
          <t>NSMI24060163431</t>
        </is>
      </c>
      <c r="Q1274" s="53">
        <f>MID(P1274,5,2)</f>
        <v/>
      </c>
      <c r="R1274" s="53">
        <f>MID(P1274,7,2)</f>
        <v/>
      </c>
      <c r="S1274" s="3" t="inlineStr">
        <is>
          <t>G2G</t>
        </is>
      </c>
      <c r="T1274" s="3" t="inlineStr">
        <is>
          <t>P4</t>
        </is>
      </c>
      <c r="U1274" s="3" t="inlineStr">
        <is>
          <t>P JB Cold Soldering</t>
        </is>
      </c>
      <c r="V1274" s="3" t="inlineStr">
        <is>
          <t>Soldering</t>
        </is>
      </c>
      <c r="W1274" s="3" t="inlineStr">
        <is>
          <t>Repair</t>
        </is>
      </c>
      <c r="X1274" s="18" t="n">
        <v>46159</v>
      </c>
      <c r="Y1274" s="3">
        <f>X1274-A1274</f>
        <v/>
      </c>
      <c r="Z1274" s="18" t="n">
        <v>46159</v>
      </c>
      <c r="AA1274" s="15" t="n"/>
      <c r="AB1274" s="15" t="n"/>
    </row>
    <row r="1275" hidden="1" s="233">
      <c r="A1275" s="6" t="n">
        <v>46107</v>
      </c>
      <c r="B1275" s="3" t="n">
        <v>2026</v>
      </c>
      <c r="C1275" s="3" t="inlineStr">
        <is>
          <t>Blupine</t>
        </is>
      </c>
      <c r="D1275" s="3" t="inlineStr">
        <is>
          <t>Utility and C&amp;I</t>
        </is>
      </c>
      <c r="E1275" s="3" t="n"/>
      <c r="F1275" s="3" t="inlineStr">
        <is>
          <t>Closed</t>
        </is>
      </c>
      <c r="G1275" s="3" t="inlineStr">
        <is>
          <t>Chandrashekar Patidar</t>
        </is>
      </c>
      <c r="H1275" s="3" t="n">
        <v>7879764773</v>
      </c>
      <c r="I1275" s="11" t="inlineStr">
        <is>
          <t>PE26032601</t>
        </is>
      </c>
      <c r="J1275" s="3" t="inlineStr">
        <is>
          <t>Module Diode Failure</t>
        </is>
      </c>
      <c r="K1275" s="3" t="inlineStr">
        <is>
          <t>Sadla</t>
        </is>
      </c>
      <c r="L1275" s="3" t="inlineStr">
        <is>
          <t>Gujarat</t>
        </is>
      </c>
      <c r="M1275" s="9" t="inlineStr">
        <is>
          <t>NS</t>
        </is>
      </c>
      <c r="N1275" s="3" t="inlineStr">
        <is>
          <t>Cold Soldering</t>
        </is>
      </c>
      <c r="O1275" s="3" t="n">
        <v>570</v>
      </c>
      <c r="P1275" s="9" t="inlineStr">
        <is>
          <t>NSMI24060165274</t>
        </is>
      </c>
      <c r="Q1275" s="53">
        <f>MID(P1275,5,2)</f>
        <v/>
      </c>
      <c r="R1275" s="53">
        <f>MID(P1275,7,2)</f>
        <v/>
      </c>
      <c r="S1275" s="3" t="inlineStr">
        <is>
          <t>G2G</t>
        </is>
      </c>
      <c r="T1275" s="3" t="inlineStr">
        <is>
          <t>P4</t>
        </is>
      </c>
      <c r="U1275" s="3" t="inlineStr">
        <is>
          <t>N JB Cold Soldering</t>
        </is>
      </c>
      <c r="V1275" s="3" t="inlineStr">
        <is>
          <t>Soldering</t>
        </is>
      </c>
      <c r="W1275" s="3" t="inlineStr">
        <is>
          <t>Repair</t>
        </is>
      </c>
      <c r="X1275" s="18" t="n">
        <v>46159</v>
      </c>
      <c r="Y1275" s="3">
        <f>X1275-A1275</f>
        <v/>
      </c>
      <c r="Z1275" s="18" t="n">
        <v>46159</v>
      </c>
      <c r="AA1275" s="15" t="n"/>
      <c r="AB1275" s="15" t="n"/>
    </row>
    <row r="1276" hidden="1" s="233">
      <c r="A1276" s="6" t="n">
        <v>46107</v>
      </c>
      <c r="B1276" s="3" t="n">
        <v>2026</v>
      </c>
      <c r="C1276" s="3" t="inlineStr">
        <is>
          <t>Blupine</t>
        </is>
      </c>
      <c r="D1276" s="3" t="inlineStr">
        <is>
          <t>Utility and C&amp;I</t>
        </is>
      </c>
      <c r="E1276" s="3" t="n"/>
      <c r="F1276" s="3" t="inlineStr">
        <is>
          <t>Closed</t>
        </is>
      </c>
      <c r="G1276" s="3" t="inlineStr">
        <is>
          <t>Chandrashekar Patidar</t>
        </is>
      </c>
      <c r="H1276" s="3" t="n">
        <v>7879764773</v>
      </c>
      <c r="I1276" s="11" t="inlineStr">
        <is>
          <t>PE26032601</t>
        </is>
      </c>
      <c r="J1276" s="3" t="inlineStr">
        <is>
          <t>Module Diode Failure</t>
        </is>
      </c>
      <c r="K1276" s="3" t="inlineStr">
        <is>
          <t>Sadla</t>
        </is>
      </c>
      <c r="L1276" s="3" t="inlineStr">
        <is>
          <t>Gujarat</t>
        </is>
      </c>
      <c r="M1276" s="9" t="inlineStr">
        <is>
          <t>NS</t>
        </is>
      </c>
      <c r="N1276" s="3" t="inlineStr">
        <is>
          <t>Cold Soldering</t>
        </is>
      </c>
      <c r="O1276" s="3" t="n">
        <v>570</v>
      </c>
      <c r="P1276" s="9" t="inlineStr">
        <is>
          <t>NSMI24060113164</t>
        </is>
      </c>
      <c r="Q1276" s="53">
        <f>MID(P1276,5,2)</f>
        <v/>
      </c>
      <c r="R1276" s="53">
        <f>MID(P1276,7,2)</f>
        <v/>
      </c>
      <c r="S1276" s="3" t="inlineStr">
        <is>
          <t>G2G</t>
        </is>
      </c>
      <c r="T1276" s="3" t="inlineStr">
        <is>
          <t>P4</t>
        </is>
      </c>
      <c r="U1276" s="3" t="inlineStr">
        <is>
          <t>N JB Cold Soldering</t>
        </is>
      </c>
      <c r="V1276" s="3" t="inlineStr">
        <is>
          <t>Soldering</t>
        </is>
      </c>
      <c r="W1276" s="3" t="inlineStr">
        <is>
          <t>Repair</t>
        </is>
      </c>
      <c r="X1276" s="18" t="n">
        <v>46159</v>
      </c>
      <c r="Y1276" s="3">
        <f>X1276-A1276</f>
        <v/>
      </c>
      <c r="Z1276" s="18" t="n">
        <v>46159</v>
      </c>
      <c r="AA1276" s="15" t="n"/>
      <c r="AB1276" s="15" t="n"/>
    </row>
    <row r="1277" hidden="1" s="233">
      <c r="A1277" s="6" t="n">
        <v>46107</v>
      </c>
      <c r="B1277" s="3" t="n">
        <v>2026</v>
      </c>
      <c r="C1277" s="3" t="inlineStr">
        <is>
          <t>Blupine</t>
        </is>
      </c>
      <c r="D1277" s="3" t="inlineStr">
        <is>
          <t>Utility and C&amp;I</t>
        </is>
      </c>
      <c r="E1277" s="3" t="n"/>
      <c r="F1277" s="3" t="inlineStr">
        <is>
          <t>Closed</t>
        </is>
      </c>
      <c r="G1277" s="3" t="inlineStr">
        <is>
          <t>Chandrashekar Patidar</t>
        </is>
      </c>
      <c r="H1277" s="3" t="n">
        <v>7879764773</v>
      </c>
      <c r="I1277" s="11" t="inlineStr">
        <is>
          <t>PE26032601</t>
        </is>
      </c>
      <c r="J1277" s="3" t="inlineStr">
        <is>
          <t>Module Diode Failure</t>
        </is>
      </c>
      <c r="K1277" s="3" t="inlineStr">
        <is>
          <t>Sadla</t>
        </is>
      </c>
      <c r="L1277" s="3" t="inlineStr">
        <is>
          <t>Gujarat</t>
        </is>
      </c>
      <c r="M1277" s="9" t="inlineStr">
        <is>
          <t>NS</t>
        </is>
      </c>
      <c r="N1277" s="3" t="inlineStr">
        <is>
          <t>Cold Soldering</t>
        </is>
      </c>
      <c r="O1277" s="3" t="n">
        <v>570</v>
      </c>
      <c r="P1277" s="9" t="inlineStr">
        <is>
          <t>NSMI24060113156</t>
        </is>
      </c>
      <c r="Q1277" s="53">
        <f>MID(P1277,5,2)</f>
        <v/>
      </c>
      <c r="R1277" s="53">
        <f>MID(P1277,7,2)</f>
        <v/>
      </c>
      <c r="S1277" s="3" t="inlineStr">
        <is>
          <t>G2G</t>
        </is>
      </c>
      <c r="T1277" s="3" t="inlineStr">
        <is>
          <t>P4</t>
        </is>
      </c>
      <c r="U1277" s="3" t="inlineStr">
        <is>
          <t>N JB Cold Soldering</t>
        </is>
      </c>
      <c r="V1277" s="3" t="inlineStr">
        <is>
          <t>Soldering</t>
        </is>
      </c>
      <c r="W1277" s="3" t="inlineStr">
        <is>
          <t>Repair</t>
        </is>
      </c>
      <c r="X1277" s="18" t="n">
        <v>46159</v>
      </c>
      <c r="Y1277" s="3">
        <f>X1277-A1277</f>
        <v/>
      </c>
      <c r="Z1277" s="18" t="n">
        <v>46159</v>
      </c>
      <c r="AA1277" s="15" t="n"/>
      <c r="AB1277" s="15" t="n"/>
    </row>
    <row r="1278" hidden="1" s="233">
      <c r="A1278" s="6" t="n">
        <v>46107</v>
      </c>
      <c r="B1278" s="3" t="n">
        <v>2026</v>
      </c>
      <c r="C1278" s="3" t="inlineStr">
        <is>
          <t>Blupine</t>
        </is>
      </c>
      <c r="D1278" s="3" t="inlineStr">
        <is>
          <t>Utility and C&amp;I</t>
        </is>
      </c>
      <c r="E1278" s="3" t="n"/>
      <c r="F1278" s="3" t="inlineStr">
        <is>
          <t>Closed</t>
        </is>
      </c>
      <c r="G1278" s="3" t="inlineStr">
        <is>
          <t>Chandrashekar Patidar</t>
        </is>
      </c>
      <c r="H1278" s="3" t="n">
        <v>7879764773</v>
      </c>
      <c r="I1278" s="11" t="inlineStr">
        <is>
          <t>PE26032601</t>
        </is>
      </c>
      <c r="J1278" s="3" t="inlineStr">
        <is>
          <t>Module Diode Failure</t>
        </is>
      </c>
      <c r="K1278" s="3" t="inlineStr">
        <is>
          <t>Sadla</t>
        </is>
      </c>
      <c r="L1278" s="3" t="inlineStr">
        <is>
          <t>Gujarat</t>
        </is>
      </c>
      <c r="M1278" s="9" t="inlineStr">
        <is>
          <t>NS</t>
        </is>
      </c>
      <c r="N1278" s="3" t="inlineStr">
        <is>
          <t>Cold Soldering</t>
        </is>
      </c>
      <c r="O1278" s="3" t="n">
        <v>570</v>
      </c>
      <c r="P1278" s="9" t="inlineStr">
        <is>
          <t>NSMI24050050433</t>
        </is>
      </c>
      <c r="Q1278" s="53">
        <f>MID(P1278,5,2)</f>
        <v/>
      </c>
      <c r="R1278" s="53">
        <f>MID(P1278,7,2)</f>
        <v/>
      </c>
      <c r="S1278" s="3" t="inlineStr">
        <is>
          <t>G2G</t>
        </is>
      </c>
      <c r="T1278" s="3" t="inlineStr">
        <is>
          <t>P4</t>
        </is>
      </c>
      <c r="U1278" s="3" t="inlineStr">
        <is>
          <t>N JB Cold Soldering</t>
        </is>
      </c>
      <c r="V1278" s="3" t="inlineStr">
        <is>
          <t>Soldering</t>
        </is>
      </c>
      <c r="W1278" s="3" t="inlineStr">
        <is>
          <t>Repair</t>
        </is>
      </c>
      <c r="X1278" s="18" t="n">
        <v>46159</v>
      </c>
      <c r="Y1278" s="3">
        <f>X1278-A1278</f>
        <v/>
      </c>
      <c r="Z1278" s="18" t="n">
        <v>46159</v>
      </c>
      <c r="AA1278" s="15" t="n"/>
      <c r="AB1278" s="15" t="n"/>
    </row>
    <row r="1279" hidden="1" s="233">
      <c r="A1279" s="6" t="n">
        <v>46107</v>
      </c>
      <c r="B1279" s="3" t="n">
        <v>2026</v>
      </c>
      <c r="C1279" s="3" t="inlineStr">
        <is>
          <t>Blupine</t>
        </is>
      </c>
      <c r="D1279" s="3" t="inlineStr">
        <is>
          <t>Utility and C&amp;I</t>
        </is>
      </c>
      <c r="E1279" s="3" t="n"/>
      <c r="F1279" s="3" t="inlineStr">
        <is>
          <t>Closed</t>
        </is>
      </c>
      <c r="G1279" s="3" t="inlineStr">
        <is>
          <t>Chandrashekar Patidar</t>
        </is>
      </c>
      <c r="H1279" s="3" t="n">
        <v>7879764773</v>
      </c>
      <c r="I1279" s="11" t="inlineStr">
        <is>
          <t>PE26032601</t>
        </is>
      </c>
      <c r="J1279" s="3" t="inlineStr">
        <is>
          <t>Module Diode Failure</t>
        </is>
      </c>
      <c r="K1279" s="3" t="inlineStr">
        <is>
          <t>Sadla</t>
        </is>
      </c>
      <c r="L1279" s="3" t="inlineStr">
        <is>
          <t>Gujarat</t>
        </is>
      </c>
      <c r="M1279" s="9" t="inlineStr">
        <is>
          <t>NS</t>
        </is>
      </c>
      <c r="N1279" s="3" t="inlineStr">
        <is>
          <t>Cold Soldering</t>
        </is>
      </c>
      <c r="O1279" s="3" t="n">
        <v>570</v>
      </c>
      <c r="P1279" s="9" t="inlineStr">
        <is>
          <t>NSMI24060102060</t>
        </is>
      </c>
      <c r="Q1279" s="53">
        <f>MID(P1279,5,2)</f>
        <v/>
      </c>
      <c r="R1279" s="53">
        <f>MID(P1279,7,2)</f>
        <v/>
      </c>
      <c r="S1279" s="3" t="inlineStr">
        <is>
          <t>G2G</t>
        </is>
      </c>
      <c r="T1279" s="3" t="inlineStr">
        <is>
          <t>P4</t>
        </is>
      </c>
      <c r="U1279" s="3" t="inlineStr">
        <is>
          <t>N JB Cold Soldering</t>
        </is>
      </c>
      <c r="V1279" s="3" t="inlineStr">
        <is>
          <t>Soldering</t>
        </is>
      </c>
      <c r="W1279" s="3" t="inlineStr">
        <is>
          <t>Repair</t>
        </is>
      </c>
      <c r="X1279" s="18" t="n">
        <v>46159</v>
      </c>
      <c r="Y1279" s="3">
        <f>X1279-A1279</f>
        <v/>
      </c>
      <c r="Z1279" s="18" t="n">
        <v>46159</v>
      </c>
      <c r="AA1279" s="15" t="n"/>
      <c r="AB1279" s="15" t="n"/>
    </row>
    <row r="1280" hidden="1" s="233">
      <c r="A1280" s="6" t="n">
        <v>46107</v>
      </c>
      <c r="B1280" s="3" t="n">
        <v>2026</v>
      </c>
      <c r="C1280" s="3" t="inlineStr">
        <is>
          <t>Blupine</t>
        </is>
      </c>
      <c r="D1280" s="3" t="inlineStr">
        <is>
          <t>Utility and C&amp;I</t>
        </is>
      </c>
      <c r="E1280" s="3" t="n"/>
      <c r="F1280" s="3" t="inlineStr">
        <is>
          <t>Closed</t>
        </is>
      </c>
      <c r="G1280" s="3" t="inlineStr">
        <is>
          <t>Chandrashekar Patidar</t>
        </is>
      </c>
      <c r="H1280" s="3" t="n">
        <v>7879764773</v>
      </c>
      <c r="I1280" s="11" t="inlineStr">
        <is>
          <t>PE26032601</t>
        </is>
      </c>
      <c r="J1280" s="3" t="inlineStr">
        <is>
          <t>Module Diode Failure</t>
        </is>
      </c>
      <c r="K1280" s="3" t="inlineStr">
        <is>
          <t>Sadla</t>
        </is>
      </c>
      <c r="L1280" s="3" t="inlineStr">
        <is>
          <t>Gujarat</t>
        </is>
      </c>
      <c r="M1280" s="9" t="inlineStr">
        <is>
          <t>PS</t>
        </is>
      </c>
      <c r="N1280" s="3" t="inlineStr">
        <is>
          <t>Cold Soldering</t>
        </is>
      </c>
      <c r="O1280" s="3" t="n">
        <v>570</v>
      </c>
      <c r="P1280" s="9" t="inlineStr">
        <is>
          <t>NSMI24060082867</t>
        </is>
      </c>
      <c r="Q1280" s="53">
        <f>MID(P1280,5,2)</f>
        <v/>
      </c>
      <c r="R1280" s="53">
        <f>MID(P1280,7,2)</f>
        <v/>
      </c>
      <c r="S1280" s="3" t="inlineStr">
        <is>
          <t>G2G</t>
        </is>
      </c>
      <c r="T1280" s="3" t="inlineStr">
        <is>
          <t>P4</t>
        </is>
      </c>
      <c r="U1280" s="3" t="inlineStr">
        <is>
          <t>P JB Cold Soldering</t>
        </is>
      </c>
      <c r="V1280" s="3" t="inlineStr">
        <is>
          <t>Soldering</t>
        </is>
      </c>
      <c r="W1280" s="3" t="inlineStr">
        <is>
          <t>Repair</t>
        </is>
      </c>
      <c r="X1280" s="18" t="n">
        <v>46159</v>
      </c>
      <c r="Y1280" s="3">
        <f>X1280-A1280</f>
        <v/>
      </c>
      <c r="Z1280" s="18" t="n">
        <v>46159</v>
      </c>
      <c r="AA1280" s="15" t="n"/>
      <c r="AB1280" s="15" t="n"/>
    </row>
    <row r="1281" hidden="1" s="233">
      <c r="A1281" s="6" t="n">
        <v>46107</v>
      </c>
      <c r="B1281" s="3" t="n">
        <v>2026</v>
      </c>
      <c r="C1281" s="3" t="inlineStr">
        <is>
          <t>Blupine</t>
        </is>
      </c>
      <c r="D1281" s="3" t="inlineStr">
        <is>
          <t>Utility and C&amp;I</t>
        </is>
      </c>
      <c r="E1281" s="3" t="n"/>
      <c r="F1281" s="3" t="inlineStr">
        <is>
          <t>Closed</t>
        </is>
      </c>
      <c r="G1281" s="3" t="inlineStr">
        <is>
          <t>Chandrashekar Patidar</t>
        </is>
      </c>
      <c r="H1281" s="3" t="n">
        <v>7879764773</v>
      </c>
      <c r="I1281" s="11" t="inlineStr">
        <is>
          <t>PE26032601</t>
        </is>
      </c>
      <c r="J1281" s="3" t="inlineStr">
        <is>
          <t>Module Diode Failure</t>
        </is>
      </c>
      <c r="K1281" s="3" t="inlineStr">
        <is>
          <t>Sadla</t>
        </is>
      </c>
      <c r="L1281" s="3" t="inlineStr">
        <is>
          <t>Gujarat</t>
        </is>
      </c>
      <c r="M1281" s="9" t="inlineStr">
        <is>
          <t>NS</t>
        </is>
      </c>
      <c r="N1281" s="3" t="inlineStr">
        <is>
          <t>Cold Soldering</t>
        </is>
      </c>
      <c r="O1281" s="3" t="n">
        <v>570</v>
      </c>
      <c r="P1281" s="9" t="inlineStr">
        <is>
          <t>NSMI24050064419</t>
        </is>
      </c>
      <c r="Q1281" s="53">
        <f>MID(P1281,5,2)</f>
        <v/>
      </c>
      <c r="R1281" s="53">
        <f>MID(P1281,7,2)</f>
        <v/>
      </c>
      <c r="S1281" s="3" t="inlineStr">
        <is>
          <t>G2G</t>
        </is>
      </c>
      <c r="T1281" s="3" t="inlineStr">
        <is>
          <t>P4</t>
        </is>
      </c>
      <c r="U1281" s="3" t="inlineStr">
        <is>
          <t>N JB Cold Soldering</t>
        </is>
      </c>
      <c r="V1281" s="3" t="inlineStr">
        <is>
          <t>Soldering</t>
        </is>
      </c>
      <c r="W1281" s="3" t="inlineStr">
        <is>
          <t>Repair</t>
        </is>
      </c>
      <c r="X1281" s="18" t="n">
        <v>46159</v>
      </c>
      <c r="Y1281" s="3">
        <f>X1281-A1281</f>
        <v/>
      </c>
      <c r="Z1281" s="18" t="n">
        <v>46159</v>
      </c>
      <c r="AA1281" s="15" t="n"/>
      <c r="AB1281" s="15" t="n"/>
    </row>
    <row r="1282" hidden="1" s="233">
      <c r="A1282" s="6" t="n">
        <v>46107</v>
      </c>
      <c r="B1282" s="3" t="n">
        <v>2026</v>
      </c>
      <c r="C1282" s="3" t="inlineStr">
        <is>
          <t>Blupine</t>
        </is>
      </c>
      <c r="D1282" s="3" t="inlineStr">
        <is>
          <t>Utility and C&amp;I</t>
        </is>
      </c>
      <c r="E1282" s="3" t="n"/>
      <c r="F1282" s="3" t="inlineStr">
        <is>
          <t>Closed</t>
        </is>
      </c>
      <c r="G1282" s="3" t="inlineStr">
        <is>
          <t>Chandrashekar Patidar</t>
        </is>
      </c>
      <c r="H1282" s="3" t="n">
        <v>7879764773</v>
      </c>
      <c r="I1282" s="11" t="inlineStr">
        <is>
          <t>PE26032601</t>
        </is>
      </c>
      <c r="J1282" s="3" t="inlineStr">
        <is>
          <t>Module Diode Failure</t>
        </is>
      </c>
      <c r="K1282" s="3" t="inlineStr">
        <is>
          <t>Sadla</t>
        </is>
      </c>
      <c r="L1282" s="3" t="inlineStr">
        <is>
          <t>Gujarat</t>
        </is>
      </c>
      <c r="M1282" s="9" t="inlineStr">
        <is>
          <t>PS</t>
        </is>
      </c>
      <c r="N1282" s="3" t="inlineStr">
        <is>
          <t>Cold Soldering</t>
        </is>
      </c>
      <c r="O1282" s="3" t="n">
        <v>570</v>
      </c>
      <c r="P1282" s="9" t="inlineStr">
        <is>
          <t>NSMI24060081983</t>
        </is>
      </c>
      <c r="Q1282" s="53">
        <f>MID(P1282,5,2)</f>
        <v/>
      </c>
      <c r="R1282" s="53">
        <f>MID(P1282,7,2)</f>
        <v/>
      </c>
      <c r="S1282" s="3" t="inlineStr">
        <is>
          <t>G2G</t>
        </is>
      </c>
      <c r="T1282" s="3" t="inlineStr">
        <is>
          <t>P4</t>
        </is>
      </c>
      <c r="U1282" s="3" t="inlineStr">
        <is>
          <t>P JB Cold Soldering</t>
        </is>
      </c>
      <c r="V1282" s="3" t="inlineStr">
        <is>
          <t>Soldering</t>
        </is>
      </c>
      <c r="W1282" s="3" t="inlineStr">
        <is>
          <t>Repair</t>
        </is>
      </c>
      <c r="X1282" s="18" t="n">
        <v>46159</v>
      </c>
      <c r="Y1282" s="3">
        <f>X1282-A1282</f>
        <v/>
      </c>
      <c r="Z1282" s="18" t="n">
        <v>46159</v>
      </c>
      <c r="AA1282" s="15" t="n"/>
      <c r="AB1282" s="15" t="n"/>
    </row>
    <row r="1283" hidden="1" s="233">
      <c r="A1283" s="6" t="n">
        <v>46107</v>
      </c>
      <c r="B1283" s="3" t="n">
        <v>2026</v>
      </c>
      <c r="C1283" s="3" t="inlineStr">
        <is>
          <t>Blupine</t>
        </is>
      </c>
      <c r="D1283" s="3" t="inlineStr">
        <is>
          <t>Utility and C&amp;I</t>
        </is>
      </c>
      <c r="E1283" s="3" t="n"/>
      <c r="F1283" s="3" t="inlineStr">
        <is>
          <t>Closed</t>
        </is>
      </c>
      <c r="G1283" s="3" t="inlineStr">
        <is>
          <t>Chandrashekar Patidar</t>
        </is>
      </c>
      <c r="H1283" s="3" t="n">
        <v>7879764773</v>
      </c>
      <c r="I1283" s="11" t="inlineStr">
        <is>
          <t>PE26032601</t>
        </is>
      </c>
      <c r="J1283" s="3" t="inlineStr">
        <is>
          <t>Module Diode Failure</t>
        </is>
      </c>
      <c r="K1283" s="3" t="inlineStr">
        <is>
          <t>Sadla</t>
        </is>
      </c>
      <c r="L1283" s="3" t="inlineStr">
        <is>
          <t>Gujarat</t>
        </is>
      </c>
      <c r="M1283" s="9" t="inlineStr">
        <is>
          <t>NS</t>
        </is>
      </c>
      <c r="N1283" s="3" t="inlineStr">
        <is>
          <t>Cold Soldering</t>
        </is>
      </c>
      <c r="O1283" s="3" t="n">
        <v>570</v>
      </c>
      <c r="P1283" s="9" t="inlineStr">
        <is>
          <t>NSMI24060121756</t>
        </is>
      </c>
      <c r="Q1283" s="53">
        <f>MID(P1283,5,2)</f>
        <v/>
      </c>
      <c r="R1283" s="53">
        <f>MID(P1283,7,2)</f>
        <v/>
      </c>
      <c r="S1283" s="3" t="inlineStr">
        <is>
          <t>G2G</t>
        </is>
      </c>
      <c r="T1283" s="3" t="inlineStr">
        <is>
          <t>P4</t>
        </is>
      </c>
      <c r="U1283" s="3" t="inlineStr">
        <is>
          <t>N JB Cold Soldering</t>
        </is>
      </c>
      <c r="V1283" s="3" t="inlineStr">
        <is>
          <t>Soldering</t>
        </is>
      </c>
      <c r="W1283" s="3" t="inlineStr">
        <is>
          <t>Repair</t>
        </is>
      </c>
      <c r="X1283" s="18" t="n">
        <v>46159</v>
      </c>
      <c r="Y1283" s="3">
        <f>X1283-A1283</f>
        <v/>
      </c>
      <c r="Z1283" s="18" t="n">
        <v>46159</v>
      </c>
      <c r="AA1283" s="15" t="n"/>
      <c r="AB1283" s="15" t="n"/>
    </row>
    <row r="1284" hidden="1" s="233">
      <c r="A1284" s="6" t="n">
        <v>46107</v>
      </c>
      <c r="B1284" s="3" t="n">
        <v>2026</v>
      </c>
      <c r="C1284" s="3" t="inlineStr">
        <is>
          <t>Blupine</t>
        </is>
      </c>
      <c r="D1284" s="3" t="inlineStr">
        <is>
          <t>Utility and C&amp;I</t>
        </is>
      </c>
      <c r="E1284" s="3" t="n"/>
      <c r="F1284" s="3" t="inlineStr">
        <is>
          <t>Closed</t>
        </is>
      </c>
      <c r="G1284" s="3" t="inlineStr">
        <is>
          <t>Chandrashekar Patidar</t>
        </is>
      </c>
      <c r="H1284" s="3" t="n">
        <v>7879764773</v>
      </c>
      <c r="I1284" s="11" t="inlineStr">
        <is>
          <t>PE26032601</t>
        </is>
      </c>
      <c r="J1284" s="3" t="inlineStr">
        <is>
          <t>Module Diode Failure</t>
        </is>
      </c>
      <c r="K1284" s="3" t="inlineStr">
        <is>
          <t>Sadla</t>
        </is>
      </c>
      <c r="L1284" s="3" t="inlineStr">
        <is>
          <t>Gujarat</t>
        </is>
      </c>
      <c r="M1284" s="9" t="inlineStr">
        <is>
          <t>NS</t>
        </is>
      </c>
      <c r="N1284" s="3" t="inlineStr">
        <is>
          <t>Cold Soldering</t>
        </is>
      </c>
      <c r="O1284" s="3" t="n">
        <v>570</v>
      </c>
      <c r="P1284" s="9" t="inlineStr">
        <is>
          <t>NSMI24060076121</t>
        </is>
      </c>
      <c r="Q1284" s="53">
        <f>MID(P1284,5,2)</f>
        <v/>
      </c>
      <c r="R1284" s="53">
        <f>MID(P1284,7,2)</f>
        <v/>
      </c>
      <c r="S1284" s="3" t="inlineStr">
        <is>
          <t>G2G</t>
        </is>
      </c>
      <c r="T1284" s="3" t="inlineStr">
        <is>
          <t>P4</t>
        </is>
      </c>
      <c r="U1284" s="3" t="inlineStr">
        <is>
          <t>N JB Cold Soldering</t>
        </is>
      </c>
      <c r="V1284" s="3" t="inlineStr">
        <is>
          <t>Soldering</t>
        </is>
      </c>
      <c r="W1284" s="3" t="inlineStr">
        <is>
          <t>Repair</t>
        </is>
      </c>
      <c r="X1284" s="18" t="n">
        <v>46159</v>
      </c>
      <c r="Y1284" s="3">
        <f>X1284-A1284</f>
        <v/>
      </c>
      <c r="Z1284" s="18" t="n">
        <v>46159</v>
      </c>
      <c r="AA1284" s="15" t="n"/>
      <c r="AB1284" s="15" t="n"/>
    </row>
    <row r="1285" hidden="1" s="233">
      <c r="A1285" s="6" t="n">
        <v>46107</v>
      </c>
      <c r="B1285" s="3" t="n">
        <v>2026</v>
      </c>
      <c r="C1285" s="3" t="inlineStr">
        <is>
          <t>Blupine</t>
        </is>
      </c>
      <c r="D1285" s="3" t="inlineStr">
        <is>
          <t>Utility and C&amp;I</t>
        </is>
      </c>
      <c r="E1285" s="3" t="n"/>
      <c r="F1285" s="3" t="inlineStr">
        <is>
          <t>Closed</t>
        </is>
      </c>
      <c r="G1285" s="3" t="inlineStr">
        <is>
          <t>Chandrashekar Patidar</t>
        </is>
      </c>
      <c r="H1285" s="3" t="n">
        <v>7879764773</v>
      </c>
      <c r="I1285" s="11" t="inlineStr">
        <is>
          <t>PE26032601</t>
        </is>
      </c>
      <c r="J1285" s="3" t="inlineStr">
        <is>
          <t>Module Diode Failure</t>
        </is>
      </c>
      <c r="K1285" s="3" t="inlineStr">
        <is>
          <t>Sadla</t>
        </is>
      </c>
      <c r="L1285" s="3" t="inlineStr">
        <is>
          <t>Gujarat</t>
        </is>
      </c>
      <c r="M1285" s="9" t="inlineStr">
        <is>
          <t>NS</t>
        </is>
      </c>
      <c r="N1285" s="3" t="inlineStr">
        <is>
          <t>Cold Soldering</t>
        </is>
      </c>
      <c r="O1285" s="3" t="n">
        <v>570</v>
      </c>
      <c r="P1285" s="9" t="inlineStr">
        <is>
          <t>NSMI24060076144</t>
        </is>
      </c>
      <c r="Q1285" s="53">
        <f>MID(P1285,5,2)</f>
        <v/>
      </c>
      <c r="R1285" s="53">
        <f>MID(P1285,7,2)</f>
        <v/>
      </c>
      <c r="S1285" s="3" t="inlineStr">
        <is>
          <t>G2G</t>
        </is>
      </c>
      <c r="T1285" s="3" t="inlineStr">
        <is>
          <t>P4</t>
        </is>
      </c>
      <c r="U1285" s="3" t="inlineStr">
        <is>
          <t>N JB Cold Soldering</t>
        </is>
      </c>
      <c r="V1285" s="3" t="inlineStr">
        <is>
          <t>Soldering</t>
        </is>
      </c>
      <c r="W1285" s="3" t="inlineStr">
        <is>
          <t>Repair</t>
        </is>
      </c>
      <c r="X1285" s="18" t="n">
        <v>46159</v>
      </c>
      <c r="Y1285" s="3">
        <f>X1285-A1285</f>
        <v/>
      </c>
      <c r="Z1285" s="18" t="n">
        <v>46159</v>
      </c>
      <c r="AA1285" s="15" t="n"/>
      <c r="AB1285" s="15" t="n"/>
    </row>
    <row r="1286" hidden="1" s="233">
      <c r="A1286" s="6" t="n">
        <v>46107</v>
      </c>
      <c r="B1286" s="3" t="n">
        <v>2026</v>
      </c>
      <c r="C1286" s="3" t="inlineStr">
        <is>
          <t>Blupine</t>
        </is>
      </c>
      <c r="D1286" s="3" t="inlineStr">
        <is>
          <t>Utility and C&amp;I</t>
        </is>
      </c>
      <c r="E1286" s="3" t="n"/>
      <c r="F1286" s="3" t="inlineStr">
        <is>
          <t>Closed</t>
        </is>
      </c>
      <c r="G1286" s="3" t="inlineStr">
        <is>
          <t>Chandrashekar Patidar</t>
        </is>
      </c>
      <c r="H1286" s="3" t="n">
        <v>7879764773</v>
      </c>
      <c r="I1286" s="11" t="inlineStr">
        <is>
          <t>PE26032601</t>
        </is>
      </c>
      <c r="J1286" s="3" t="inlineStr">
        <is>
          <t>Module Diode Failure</t>
        </is>
      </c>
      <c r="K1286" s="3" t="inlineStr">
        <is>
          <t>Sadla</t>
        </is>
      </c>
      <c r="L1286" s="3" t="inlineStr">
        <is>
          <t>Gujarat</t>
        </is>
      </c>
      <c r="M1286" s="9" t="inlineStr">
        <is>
          <t>NS</t>
        </is>
      </c>
      <c r="N1286" s="3" t="inlineStr">
        <is>
          <t>Cold Soldering</t>
        </is>
      </c>
      <c r="O1286" s="3" t="n">
        <v>570</v>
      </c>
      <c r="P1286" s="9" t="inlineStr">
        <is>
          <t>NSMI24050067238</t>
        </is>
      </c>
      <c r="Q1286" s="53">
        <f>MID(P1286,5,2)</f>
        <v/>
      </c>
      <c r="R1286" s="53">
        <f>MID(P1286,7,2)</f>
        <v/>
      </c>
      <c r="S1286" s="3" t="inlineStr">
        <is>
          <t>G2G</t>
        </is>
      </c>
      <c r="T1286" s="3" t="inlineStr">
        <is>
          <t>P4</t>
        </is>
      </c>
      <c r="U1286" s="3" t="inlineStr">
        <is>
          <t>N JB Cold Soldering</t>
        </is>
      </c>
      <c r="V1286" s="3" t="inlineStr">
        <is>
          <t>Soldering</t>
        </is>
      </c>
      <c r="W1286" s="3" t="inlineStr">
        <is>
          <t>Repair</t>
        </is>
      </c>
      <c r="X1286" s="18" t="n">
        <v>46159</v>
      </c>
      <c r="Y1286" s="3">
        <f>X1286-A1286</f>
        <v/>
      </c>
      <c r="Z1286" s="18" t="n">
        <v>46159</v>
      </c>
      <c r="AA1286" s="15" t="n"/>
      <c r="AB1286" s="15" t="n"/>
    </row>
    <row r="1287" hidden="1" s="233">
      <c r="A1287" s="6" t="n">
        <v>46107</v>
      </c>
      <c r="B1287" s="3" t="n">
        <v>2026</v>
      </c>
      <c r="C1287" s="3" t="inlineStr">
        <is>
          <t>Blupine</t>
        </is>
      </c>
      <c r="D1287" s="3" t="inlineStr">
        <is>
          <t>Utility and C&amp;I</t>
        </is>
      </c>
      <c r="E1287" s="3" t="n"/>
      <c r="F1287" s="3" t="inlineStr">
        <is>
          <t>Closed</t>
        </is>
      </c>
      <c r="G1287" s="3" t="inlineStr">
        <is>
          <t>Chandrashekar Patidar</t>
        </is>
      </c>
      <c r="H1287" s="3" t="n">
        <v>7879764773</v>
      </c>
      <c r="I1287" s="11" t="inlineStr">
        <is>
          <t>PE26032601</t>
        </is>
      </c>
      <c r="J1287" s="3" t="inlineStr">
        <is>
          <t>Module Diode Failure</t>
        </is>
      </c>
      <c r="K1287" s="3" t="inlineStr">
        <is>
          <t>Sadla</t>
        </is>
      </c>
      <c r="L1287" s="3" t="inlineStr">
        <is>
          <t>Gujarat</t>
        </is>
      </c>
      <c r="M1287" s="9" t="inlineStr">
        <is>
          <t>PS</t>
        </is>
      </c>
      <c r="N1287" s="3" t="inlineStr">
        <is>
          <t>Cold Soldering</t>
        </is>
      </c>
      <c r="O1287" s="3" t="n">
        <v>570</v>
      </c>
      <c r="P1287" s="9" t="inlineStr">
        <is>
          <t>NSMI24050067526</t>
        </is>
      </c>
      <c r="Q1287" s="53">
        <f>MID(P1287,5,2)</f>
        <v/>
      </c>
      <c r="R1287" s="53">
        <f>MID(P1287,7,2)</f>
        <v/>
      </c>
      <c r="S1287" s="3" t="inlineStr">
        <is>
          <t>G2G</t>
        </is>
      </c>
      <c r="T1287" s="3" t="inlineStr">
        <is>
          <t>P4</t>
        </is>
      </c>
      <c r="U1287" s="3" t="inlineStr">
        <is>
          <t>P JB Cold Soldering</t>
        </is>
      </c>
      <c r="V1287" s="3" t="inlineStr">
        <is>
          <t>Soldering</t>
        </is>
      </c>
      <c r="W1287" s="3" t="inlineStr">
        <is>
          <t>Repair</t>
        </is>
      </c>
      <c r="X1287" s="18" t="n">
        <v>46159</v>
      </c>
      <c r="Y1287" s="3">
        <f>X1287-A1287</f>
        <v/>
      </c>
      <c r="Z1287" s="18" t="n">
        <v>46159</v>
      </c>
      <c r="AA1287" s="15" t="n"/>
      <c r="AB1287" s="15" t="n"/>
    </row>
    <row r="1288" hidden="1" s="233">
      <c r="A1288" s="6" t="n">
        <v>46107</v>
      </c>
      <c r="B1288" s="3" t="n">
        <v>2026</v>
      </c>
      <c r="C1288" s="3" t="inlineStr">
        <is>
          <t>Blupine</t>
        </is>
      </c>
      <c r="D1288" s="3" t="inlineStr">
        <is>
          <t>Utility and C&amp;I</t>
        </is>
      </c>
      <c r="E1288" s="3" t="n"/>
      <c r="F1288" s="3" t="inlineStr">
        <is>
          <t>Closed</t>
        </is>
      </c>
      <c r="G1288" s="3" t="inlineStr">
        <is>
          <t>Chandrashekar Patidar</t>
        </is>
      </c>
      <c r="H1288" s="3" t="n">
        <v>7879764773</v>
      </c>
      <c r="I1288" s="11" t="inlineStr">
        <is>
          <t>PE26032601</t>
        </is>
      </c>
      <c r="J1288" s="3" t="inlineStr">
        <is>
          <t>Module Diode Failure</t>
        </is>
      </c>
      <c r="K1288" s="3" t="inlineStr">
        <is>
          <t>Sadla</t>
        </is>
      </c>
      <c r="L1288" s="3" t="inlineStr">
        <is>
          <t>Gujarat</t>
        </is>
      </c>
      <c r="M1288" s="9" t="inlineStr">
        <is>
          <t xml:space="preserve">Burning Module </t>
        </is>
      </c>
      <c r="N1288" s="3" t="inlineStr">
        <is>
          <t>Module Burn</t>
        </is>
      </c>
      <c r="O1288" s="3" t="n">
        <v>570</v>
      </c>
      <c r="P1288" s="9" t="inlineStr">
        <is>
          <t>NSMI24050067040</t>
        </is>
      </c>
      <c r="Q1288" s="53">
        <f>MID(P1288,5,2)</f>
        <v/>
      </c>
      <c r="R1288" s="53">
        <f>MID(P1288,7,2)</f>
        <v/>
      </c>
      <c r="S1288" s="3" t="inlineStr">
        <is>
          <t>G2G</t>
        </is>
      </c>
      <c r="T1288" s="3" t="inlineStr">
        <is>
          <t>P4</t>
        </is>
      </c>
      <c r="U1288" s="3" t="inlineStr">
        <is>
          <t>Module Burn</t>
        </is>
      </c>
      <c r="V1288" s="3" t="inlineStr">
        <is>
          <t>Inspection</t>
        </is>
      </c>
      <c r="W1288" s="3" t="inlineStr">
        <is>
          <t>WIP</t>
        </is>
      </c>
      <c r="X1288" s="18" t="n"/>
      <c r="Y1288" s="3">
        <f>X1288-A1288</f>
        <v/>
      </c>
      <c r="Z1288" s="18" t="n">
        <v>46159</v>
      </c>
      <c r="AA1288" s="15" t="n"/>
      <c r="AB1288" s="15" t="n"/>
    </row>
    <row r="1289" hidden="1" s="233">
      <c r="A1289" s="6" t="n">
        <v>46107</v>
      </c>
      <c r="B1289" s="3" t="n">
        <v>2026</v>
      </c>
      <c r="C1289" s="3" t="inlineStr">
        <is>
          <t>Blupine</t>
        </is>
      </c>
      <c r="D1289" s="3" t="inlineStr">
        <is>
          <t>Utility and C&amp;I</t>
        </is>
      </c>
      <c r="E1289" s="3" t="n"/>
      <c r="F1289" s="3" t="inlineStr">
        <is>
          <t>Closed</t>
        </is>
      </c>
      <c r="G1289" s="3" t="inlineStr">
        <is>
          <t>Chandrashekar Patidar</t>
        </is>
      </c>
      <c r="H1289" s="3" t="n">
        <v>7879764773</v>
      </c>
      <c r="I1289" s="11" t="inlineStr">
        <is>
          <t>PE26032601</t>
        </is>
      </c>
      <c r="J1289" s="3" t="inlineStr">
        <is>
          <t>Module Diode Failure</t>
        </is>
      </c>
      <c r="K1289" s="3" t="inlineStr">
        <is>
          <t>Sadla</t>
        </is>
      </c>
      <c r="L1289" s="3" t="inlineStr">
        <is>
          <t>Gujarat</t>
        </is>
      </c>
      <c r="M1289" s="9" t="inlineStr">
        <is>
          <t>NS</t>
        </is>
      </c>
      <c r="N1289" s="3" t="inlineStr">
        <is>
          <t>Cold Soldering</t>
        </is>
      </c>
      <c r="O1289" s="3" t="n">
        <v>570</v>
      </c>
      <c r="P1289" s="9" t="inlineStr">
        <is>
          <t>NSMI24060128859</t>
        </is>
      </c>
      <c r="Q1289" s="53">
        <f>MID(P1289,5,2)</f>
        <v/>
      </c>
      <c r="R1289" s="53">
        <f>MID(P1289,7,2)</f>
        <v/>
      </c>
      <c r="S1289" s="3" t="inlineStr">
        <is>
          <t>G2G</t>
        </is>
      </c>
      <c r="T1289" s="3" t="inlineStr">
        <is>
          <t>P4</t>
        </is>
      </c>
      <c r="U1289" s="3" t="inlineStr">
        <is>
          <t>N JB Cold Soldering</t>
        </is>
      </c>
      <c r="V1289" s="3" t="inlineStr">
        <is>
          <t>Soldering</t>
        </is>
      </c>
      <c r="W1289" s="3" t="inlineStr">
        <is>
          <t>Repair</t>
        </is>
      </c>
      <c r="X1289" s="18" t="n">
        <v>46159</v>
      </c>
      <c r="Y1289" s="3">
        <f>X1289-A1289</f>
        <v/>
      </c>
      <c r="Z1289" s="18" t="n">
        <v>46159</v>
      </c>
      <c r="AA1289" s="15" t="n"/>
      <c r="AB1289" s="15" t="n"/>
    </row>
    <row r="1290" hidden="1" s="233">
      <c r="A1290" s="6" t="n">
        <v>46107</v>
      </c>
      <c r="B1290" s="3" t="n">
        <v>2026</v>
      </c>
      <c r="C1290" s="3" t="inlineStr">
        <is>
          <t>Blupine</t>
        </is>
      </c>
      <c r="D1290" s="3" t="inlineStr">
        <is>
          <t>Utility and C&amp;I</t>
        </is>
      </c>
      <c r="E1290" s="3" t="n"/>
      <c r="F1290" s="3" t="inlineStr">
        <is>
          <t>Closed</t>
        </is>
      </c>
      <c r="G1290" s="3" t="inlineStr">
        <is>
          <t>Chandrashekar Patidar</t>
        </is>
      </c>
      <c r="H1290" s="3" t="n">
        <v>7879764773</v>
      </c>
      <c r="I1290" s="11" t="inlineStr">
        <is>
          <t>PE26032601</t>
        </is>
      </c>
      <c r="J1290" s="3" t="inlineStr">
        <is>
          <t>Module Diode Failure</t>
        </is>
      </c>
      <c r="K1290" s="3" t="inlineStr">
        <is>
          <t>Sadla</t>
        </is>
      </c>
      <c r="L1290" s="3" t="inlineStr">
        <is>
          <t>Gujarat</t>
        </is>
      </c>
      <c r="M1290" s="9" t="inlineStr">
        <is>
          <t>NS</t>
        </is>
      </c>
      <c r="N1290" s="3" t="inlineStr">
        <is>
          <t>Cold Soldering</t>
        </is>
      </c>
      <c r="O1290" s="3" t="n">
        <v>570</v>
      </c>
      <c r="P1290" s="9" t="inlineStr">
        <is>
          <t>NSMI24060128861</t>
        </is>
      </c>
      <c r="Q1290" s="53">
        <f>MID(P1290,5,2)</f>
        <v/>
      </c>
      <c r="R1290" s="53">
        <f>MID(P1290,7,2)</f>
        <v/>
      </c>
      <c r="S1290" s="3" t="inlineStr">
        <is>
          <t>G2G</t>
        </is>
      </c>
      <c r="T1290" s="3" t="inlineStr">
        <is>
          <t>P4</t>
        </is>
      </c>
      <c r="U1290" s="3" t="inlineStr">
        <is>
          <t>N JB Cold Soldering</t>
        </is>
      </c>
      <c r="V1290" s="3" t="inlineStr">
        <is>
          <t>Soldering</t>
        </is>
      </c>
      <c r="W1290" s="3" t="inlineStr">
        <is>
          <t>Repair</t>
        </is>
      </c>
      <c r="X1290" s="18" t="n">
        <v>46159</v>
      </c>
      <c r="Y1290" s="3">
        <f>X1290-A1290</f>
        <v/>
      </c>
      <c r="Z1290" s="18" t="n">
        <v>46159</v>
      </c>
      <c r="AA1290" s="15" t="n"/>
      <c r="AB1290" s="15" t="n"/>
    </row>
    <row r="1291" hidden="1" s="233">
      <c r="A1291" s="6" t="n">
        <v>46107</v>
      </c>
      <c r="B1291" s="3" t="n">
        <v>2026</v>
      </c>
      <c r="C1291" s="3" t="inlineStr">
        <is>
          <t>Blupine</t>
        </is>
      </c>
      <c r="D1291" s="3" t="inlineStr">
        <is>
          <t>Utility and C&amp;I</t>
        </is>
      </c>
      <c r="E1291" s="3" t="n"/>
      <c r="F1291" s="3" t="inlineStr">
        <is>
          <t>Closed</t>
        </is>
      </c>
      <c r="G1291" s="3" t="inlineStr">
        <is>
          <t>Chandrashekar Patidar</t>
        </is>
      </c>
      <c r="H1291" s="3" t="n">
        <v>7879764773</v>
      </c>
      <c r="I1291" s="11" t="inlineStr">
        <is>
          <t>PE26032601</t>
        </is>
      </c>
      <c r="J1291" s="3" t="inlineStr">
        <is>
          <t>Module Diode Failure</t>
        </is>
      </c>
      <c r="K1291" s="3" t="inlineStr">
        <is>
          <t>Sadla</t>
        </is>
      </c>
      <c r="L1291" s="3" t="inlineStr">
        <is>
          <t>Gujarat</t>
        </is>
      </c>
      <c r="M1291" s="9" t="inlineStr">
        <is>
          <t>PS</t>
        </is>
      </c>
      <c r="N1291" s="3" t="inlineStr">
        <is>
          <t>Cold Soldering</t>
        </is>
      </c>
      <c r="O1291" s="3" t="n">
        <v>570</v>
      </c>
      <c r="P1291" s="9" t="inlineStr">
        <is>
          <t>NSMI24060084871</t>
        </is>
      </c>
      <c r="Q1291" s="53">
        <f>MID(P1291,5,2)</f>
        <v/>
      </c>
      <c r="R1291" s="53">
        <f>MID(P1291,7,2)</f>
        <v/>
      </c>
      <c r="S1291" s="3" t="inlineStr">
        <is>
          <t>G2G</t>
        </is>
      </c>
      <c r="T1291" s="3" t="inlineStr">
        <is>
          <t>P4</t>
        </is>
      </c>
      <c r="U1291" s="3" t="inlineStr">
        <is>
          <t>P JB Cold Soldering</t>
        </is>
      </c>
      <c r="V1291" s="3" t="inlineStr">
        <is>
          <t>Soldering</t>
        </is>
      </c>
      <c r="W1291" s="3" t="inlineStr">
        <is>
          <t>Repair</t>
        </is>
      </c>
      <c r="X1291" s="18" t="n">
        <v>46159</v>
      </c>
      <c r="Y1291" s="3">
        <f>X1291-A1291</f>
        <v/>
      </c>
      <c r="Z1291" s="18" t="n">
        <v>46159</v>
      </c>
      <c r="AA1291" s="15" t="n"/>
      <c r="AB1291" s="15" t="n"/>
    </row>
    <row r="1292" hidden="1" s="233">
      <c r="A1292" s="6" t="n">
        <v>46107</v>
      </c>
      <c r="B1292" s="3" t="n">
        <v>2026</v>
      </c>
      <c r="C1292" s="3" t="inlineStr">
        <is>
          <t>Blupine</t>
        </is>
      </c>
      <c r="D1292" s="3" t="inlineStr">
        <is>
          <t>Utility and C&amp;I</t>
        </is>
      </c>
      <c r="E1292" s="3" t="n"/>
      <c r="F1292" s="3" t="inlineStr">
        <is>
          <t>Closed</t>
        </is>
      </c>
      <c r="G1292" s="3" t="inlineStr">
        <is>
          <t>Chandrashekar Patidar</t>
        </is>
      </c>
      <c r="H1292" s="3" t="n">
        <v>7879764773</v>
      </c>
      <c r="I1292" s="11" t="inlineStr">
        <is>
          <t>PE26032601</t>
        </is>
      </c>
      <c r="J1292" s="3" t="inlineStr">
        <is>
          <t>Module Diode Failure</t>
        </is>
      </c>
      <c r="K1292" s="3" t="inlineStr">
        <is>
          <t>Sadla</t>
        </is>
      </c>
      <c r="L1292" s="3" t="inlineStr">
        <is>
          <t>Gujarat</t>
        </is>
      </c>
      <c r="M1292" s="9" t="inlineStr">
        <is>
          <t>PS</t>
        </is>
      </c>
      <c r="N1292" s="3" t="inlineStr">
        <is>
          <t>Cold Soldering</t>
        </is>
      </c>
      <c r="O1292" s="3" t="n">
        <v>570</v>
      </c>
      <c r="P1292" s="9" t="inlineStr">
        <is>
          <t>NSMI24060084919</t>
        </is>
      </c>
      <c r="Q1292" s="53">
        <f>MID(P1292,5,2)</f>
        <v/>
      </c>
      <c r="R1292" s="53">
        <f>MID(P1292,7,2)</f>
        <v/>
      </c>
      <c r="S1292" s="3" t="inlineStr">
        <is>
          <t>G2G</t>
        </is>
      </c>
      <c r="T1292" s="3" t="inlineStr">
        <is>
          <t>P4</t>
        </is>
      </c>
      <c r="U1292" s="3" t="inlineStr">
        <is>
          <t>P JB Cold Soldering</t>
        </is>
      </c>
      <c r="V1292" s="3" t="inlineStr">
        <is>
          <t>Soldering</t>
        </is>
      </c>
      <c r="W1292" s="3" t="inlineStr">
        <is>
          <t>Repair</t>
        </is>
      </c>
      <c r="X1292" s="18" t="n">
        <v>46159</v>
      </c>
      <c r="Y1292" s="3">
        <f>X1292-A1292</f>
        <v/>
      </c>
      <c r="Z1292" s="18" t="n">
        <v>46159</v>
      </c>
      <c r="AA1292" s="15" t="n"/>
      <c r="AB1292" s="15" t="n"/>
    </row>
    <row r="1293" hidden="1" s="233">
      <c r="A1293" s="6" t="n">
        <v>46107</v>
      </c>
      <c r="B1293" s="3" t="n">
        <v>2026</v>
      </c>
      <c r="C1293" s="3" t="inlineStr">
        <is>
          <t>Blupine</t>
        </is>
      </c>
      <c r="D1293" s="3" t="inlineStr">
        <is>
          <t>Utility and C&amp;I</t>
        </is>
      </c>
      <c r="E1293" s="3" t="n"/>
      <c r="F1293" s="3" t="inlineStr">
        <is>
          <t>Closed</t>
        </is>
      </c>
      <c r="G1293" s="3" t="inlineStr">
        <is>
          <t>Chandrashekar Patidar</t>
        </is>
      </c>
      <c r="H1293" s="3" t="n">
        <v>7879764773</v>
      </c>
      <c r="I1293" s="11" t="inlineStr">
        <is>
          <t>PE26032601</t>
        </is>
      </c>
      <c r="J1293" s="3" t="inlineStr">
        <is>
          <t>Module Diode Failure</t>
        </is>
      </c>
      <c r="K1293" s="3" t="inlineStr">
        <is>
          <t>Sadla</t>
        </is>
      </c>
      <c r="L1293" s="3" t="inlineStr">
        <is>
          <t>Gujarat</t>
        </is>
      </c>
      <c r="M1293" s="9" t="inlineStr">
        <is>
          <t>NS</t>
        </is>
      </c>
      <c r="N1293" s="3" t="inlineStr">
        <is>
          <t>Cold Soldering</t>
        </is>
      </c>
      <c r="O1293" s="3" t="n">
        <v>570</v>
      </c>
      <c r="P1293" s="9" t="inlineStr">
        <is>
          <t>NSMI24060142648</t>
        </is>
      </c>
      <c r="Q1293" s="53">
        <f>MID(P1293,5,2)</f>
        <v/>
      </c>
      <c r="R1293" s="53">
        <f>MID(P1293,7,2)</f>
        <v/>
      </c>
      <c r="S1293" s="3" t="inlineStr">
        <is>
          <t>G2G</t>
        </is>
      </c>
      <c r="T1293" s="3" t="inlineStr">
        <is>
          <t>P4</t>
        </is>
      </c>
      <c r="U1293" s="3" t="inlineStr">
        <is>
          <t>N JB Cold Soldering</t>
        </is>
      </c>
      <c r="V1293" s="3" t="inlineStr">
        <is>
          <t>Soldering</t>
        </is>
      </c>
      <c r="W1293" s="3" t="inlineStr">
        <is>
          <t>Repair</t>
        </is>
      </c>
      <c r="X1293" s="18" t="n">
        <v>46159</v>
      </c>
      <c r="Y1293" s="3">
        <f>X1293-A1293</f>
        <v/>
      </c>
      <c r="Z1293" s="18" t="n">
        <v>46159</v>
      </c>
      <c r="AA1293" s="15" t="n"/>
      <c r="AB1293" s="15" t="n"/>
    </row>
    <row r="1294" hidden="1" s="233">
      <c r="A1294" s="6" t="n">
        <v>46107</v>
      </c>
      <c r="B1294" s="3" t="n">
        <v>2026</v>
      </c>
      <c r="C1294" s="3" t="inlineStr">
        <is>
          <t>Blupine</t>
        </is>
      </c>
      <c r="D1294" s="3" t="inlineStr">
        <is>
          <t>Utility and C&amp;I</t>
        </is>
      </c>
      <c r="E1294" s="3" t="n"/>
      <c r="F1294" s="3" t="inlineStr">
        <is>
          <t>Closed</t>
        </is>
      </c>
      <c r="G1294" s="3" t="inlineStr">
        <is>
          <t>Chandrashekar Patidar</t>
        </is>
      </c>
      <c r="H1294" s="3" t="n">
        <v>7879764773</v>
      </c>
      <c r="I1294" s="11" t="inlineStr">
        <is>
          <t>PE26032601</t>
        </is>
      </c>
      <c r="J1294" s="3" t="inlineStr">
        <is>
          <t>Module Diode Failure</t>
        </is>
      </c>
      <c r="K1294" s="3" t="inlineStr">
        <is>
          <t>Sadla</t>
        </is>
      </c>
      <c r="L1294" s="3" t="inlineStr">
        <is>
          <t>Gujarat</t>
        </is>
      </c>
      <c r="M1294" s="9" t="inlineStr">
        <is>
          <t>PS</t>
        </is>
      </c>
      <c r="N1294" s="3" t="inlineStr">
        <is>
          <t>Cold Soldering</t>
        </is>
      </c>
      <c r="O1294" s="3" t="n">
        <v>570</v>
      </c>
      <c r="P1294" s="9" t="inlineStr">
        <is>
          <t>NSMI24060142601</t>
        </is>
      </c>
      <c r="Q1294" s="53">
        <f>MID(P1294,5,2)</f>
        <v/>
      </c>
      <c r="R1294" s="53">
        <f>MID(P1294,7,2)</f>
        <v/>
      </c>
      <c r="S1294" s="3" t="inlineStr">
        <is>
          <t>G2G</t>
        </is>
      </c>
      <c r="T1294" s="3" t="inlineStr">
        <is>
          <t>P4</t>
        </is>
      </c>
      <c r="U1294" s="3" t="inlineStr">
        <is>
          <t>P JB Cold Soldering</t>
        </is>
      </c>
      <c r="V1294" s="3" t="inlineStr">
        <is>
          <t>Soldering</t>
        </is>
      </c>
      <c r="W1294" s="3" t="inlineStr">
        <is>
          <t>Repair</t>
        </is>
      </c>
      <c r="X1294" s="18" t="n">
        <v>46159</v>
      </c>
      <c r="Y1294" s="3">
        <f>X1294-A1294</f>
        <v/>
      </c>
      <c r="Z1294" s="18" t="n">
        <v>46159</v>
      </c>
      <c r="AA1294" s="15" t="n"/>
      <c r="AB1294" s="15" t="n"/>
    </row>
    <row r="1295" hidden="1" s="233">
      <c r="A1295" s="6" t="n">
        <v>46107</v>
      </c>
      <c r="B1295" s="3" t="n">
        <v>2026</v>
      </c>
      <c r="C1295" s="3" t="inlineStr">
        <is>
          <t>Blupine</t>
        </is>
      </c>
      <c r="D1295" s="3" t="inlineStr">
        <is>
          <t>Utility and C&amp;I</t>
        </is>
      </c>
      <c r="E1295" s="3" t="n"/>
      <c r="F1295" s="3" t="inlineStr">
        <is>
          <t>Closed</t>
        </is>
      </c>
      <c r="G1295" s="3" t="inlineStr">
        <is>
          <t>Chandrashekar Patidar</t>
        </is>
      </c>
      <c r="H1295" s="3" t="n">
        <v>7879764773</v>
      </c>
      <c r="I1295" s="11" t="inlineStr">
        <is>
          <t>PE26032601</t>
        </is>
      </c>
      <c r="J1295" s="3" t="inlineStr">
        <is>
          <t>Module Diode Failure</t>
        </is>
      </c>
      <c r="K1295" s="3" t="inlineStr">
        <is>
          <t>Sadla</t>
        </is>
      </c>
      <c r="L1295" s="3" t="inlineStr">
        <is>
          <t>Gujarat</t>
        </is>
      </c>
      <c r="M1295" s="9" t="inlineStr">
        <is>
          <t>PS</t>
        </is>
      </c>
      <c r="N1295" s="3" t="inlineStr">
        <is>
          <t>Cold Soldering</t>
        </is>
      </c>
      <c r="O1295" s="3" t="n">
        <v>570</v>
      </c>
      <c r="P1295" s="9" t="inlineStr">
        <is>
          <t>NSMI24060153587</t>
        </is>
      </c>
      <c r="Q1295" s="53">
        <f>MID(P1295,5,2)</f>
        <v/>
      </c>
      <c r="R1295" s="53">
        <f>MID(P1295,7,2)</f>
        <v/>
      </c>
      <c r="S1295" s="3" t="inlineStr">
        <is>
          <t>G2G</t>
        </is>
      </c>
      <c r="T1295" s="3" t="inlineStr">
        <is>
          <t>P4</t>
        </is>
      </c>
      <c r="U1295" s="3" t="inlineStr">
        <is>
          <t>P JB Cold Soldering</t>
        </is>
      </c>
      <c r="V1295" s="3" t="inlineStr">
        <is>
          <t>Soldering</t>
        </is>
      </c>
      <c r="W1295" s="3" t="inlineStr">
        <is>
          <t>Repair</t>
        </is>
      </c>
      <c r="X1295" s="18" t="n">
        <v>46159</v>
      </c>
      <c r="Y1295" s="3">
        <f>X1295-A1295</f>
        <v/>
      </c>
      <c r="Z1295" s="18" t="n">
        <v>46159</v>
      </c>
      <c r="AA1295" s="15" t="n"/>
      <c r="AB1295" s="15" t="n"/>
    </row>
    <row r="1296" hidden="1" s="233">
      <c r="A1296" s="6" t="n">
        <v>46107</v>
      </c>
      <c r="B1296" s="3" t="n">
        <v>2026</v>
      </c>
      <c r="C1296" s="3" t="inlineStr">
        <is>
          <t>Blupine</t>
        </is>
      </c>
      <c r="D1296" s="3" t="inlineStr">
        <is>
          <t>Utility and C&amp;I</t>
        </is>
      </c>
      <c r="E1296" s="3" t="n"/>
      <c r="F1296" s="3" t="inlineStr">
        <is>
          <t>Closed</t>
        </is>
      </c>
      <c r="G1296" s="3" t="inlineStr">
        <is>
          <t>Chandrashekar Patidar</t>
        </is>
      </c>
      <c r="H1296" s="3" t="n">
        <v>7879764773</v>
      </c>
      <c r="I1296" s="11" t="inlineStr">
        <is>
          <t>PE26032601</t>
        </is>
      </c>
      <c r="J1296" s="3" t="inlineStr">
        <is>
          <t>Module Diode Failure</t>
        </is>
      </c>
      <c r="K1296" s="3" t="inlineStr">
        <is>
          <t>Sadla</t>
        </is>
      </c>
      <c r="L1296" s="3" t="inlineStr">
        <is>
          <t>Gujarat</t>
        </is>
      </c>
      <c r="M1296" s="9" t="inlineStr">
        <is>
          <t>PS</t>
        </is>
      </c>
      <c r="N1296" s="3" t="inlineStr">
        <is>
          <t>Cold Soldering</t>
        </is>
      </c>
      <c r="O1296" s="3" t="n">
        <v>570</v>
      </c>
      <c r="P1296" s="9" t="inlineStr">
        <is>
          <t>NSMI24060142854</t>
        </is>
      </c>
      <c r="Q1296" s="53">
        <f>MID(P1296,5,2)</f>
        <v/>
      </c>
      <c r="R1296" s="53">
        <f>MID(P1296,7,2)</f>
        <v/>
      </c>
      <c r="S1296" s="3" t="inlineStr">
        <is>
          <t>G2G</t>
        </is>
      </c>
      <c r="T1296" s="3" t="inlineStr">
        <is>
          <t>P4</t>
        </is>
      </c>
      <c r="U1296" s="3" t="inlineStr">
        <is>
          <t>P JB Cold Soldering</t>
        </is>
      </c>
      <c r="V1296" s="3" t="inlineStr">
        <is>
          <t>Soldering</t>
        </is>
      </c>
      <c r="W1296" s="3" t="inlineStr">
        <is>
          <t>Repair</t>
        </is>
      </c>
      <c r="X1296" s="18" t="n">
        <v>46159</v>
      </c>
      <c r="Y1296" s="3">
        <f>X1296-A1296</f>
        <v/>
      </c>
      <c r="Z1296" s="18" t="n">
        <v>46159</v>
      </c>
      <c r="AA1296" s="15" t="n"/>
      <c r="AB1296" s="15" t="n"/>
    </row>
    <row r="1297" hidden="1" s="233">
      <c r="A1297" s="6" t="n">
        <v>46107</v>
      </c>
      <c r="B1297" s="3" t="n">
        <v>2026</v>
      </c>
      <c r="C1297" s="3" t="inlineStr">
        <is>
          <t>Blupine</t>
        </is>
      </c>
      <c r="D1297" s="3" t="inlineStr">
        <is>
          <t>Utility and C&amp;I</t>
        </is>
      </c>
      <c r="E1297" s="3" t="n"/>
      <c r="F1297" s="3" t="inlineStr">
        <is>
          <t>Closed</t>
        </is>
      </c>
      <c r="G1297" s="3" t="inlineStr">
        <is>
          <t>Chandrashekar Patidar</t>
        </is>
      </c>
      <c r="H1297" s="3" t="n">
        <v>7879764773</v>
      </c>
      <c r="I1297" s="11" t="inlineStr">
        <is>
          <t>PE26032601</t>
        </is>
      </c>
      <c r="J1297" s="3" t="inlineStr">
        <is>
          <t>Module Diode Failure</t>
        </is>
      </c>
      <c r="K1297" s="3" t="inlineStr">
        <is>
          <t>Sadla</t>
        </is>
      </c>
      <c r="L1297" s="3" t="inlineStr">
        <is>
          <t>Gujarat</t>
        </is>
      </c>
      <c r="M1297" s="9" t="inlineStr">
        <is>
          <t>NS</t>
        </is>
      </c>
      <c r="N1297" s="3" t="inlineStr">
        <is>
          <t>Cold Soldering</t>
        </is>
      </c>
      <c r="O1297" s="3" t="n">
        <v>570</v>
      </c>
      <c r="P1297" s="9" t="inlineStr">
        <is>
          <t>NSMI24060162809</t>
        </is>
      </c>
      <c r="Q1297" s="53">
        <f>MID(P1297,5,2)</f>
        <v/>
      </c>
      <c r="R1297" s="53">
        <f>MID(P1297,7,2)</f>
        <v/>
      </c>
      <c r="S1297" s="3" t="inlineStr">
        <is>
          <t>G2G</t>
        </is>
      </c>
      <c r="T1297" s="3" t="inlineStr">
        <is>
          <t>P4</t>
        </is>
      </c>
      <c r="U1297" s="3" t="inlineStr">
        <is>
          <t>N JB Cold Soldering</t>
        </is>
      </c>
      <c r="V1297" s="3" t="inlineStr">
        <is>
          <t>Soldering</t>
        </is>
      </c>
      <c r="W1297" s="3" t="inlineStr">
        <is>
          <t>Repair</t>
        </is>
      </c>
      <c r="X1297" s="18" t="n">
        <v>46159</v>
      </c>
      <c r="Y1297" s="3">
        <f>X1297-A1297</f>
        <v/>
      </c>
      <c r="Z1297" s="18" t="n">
        <v>46159</v>
      </c>
      <c r="AA1297" s="15" t="n"/>
      <c r="AB1297" s="15" t="n"/>
    </row>
    <row r="1298" hidden="1" s="233">
      <c r="A1298" s="6" t="n">
        <v>46107</v>
      </c>
      <c r="B1298" s="3" t="n">
        <v>2026</v>
      </c>
      <c r="C1298" s="3" t="inlineStr">
        <is>
          <t>Blupine</t>
        </is>
      </c>
      <c r="D1298" s="3" t="inlineStr">
        <is>
          <t>Utility and C&amp;I</t>
        </is>
      </c>
      <c r="E1298" s="3" t="n"/>
      <c r="F1298" s="3" t="inlineStr">
        <is>
          <t>Closed</t>
        </is>
      </c>
      <c r="G1298" s="3" t="inlineStr">
        <is>
          <t>Chandrashekar Patidar</t>
        </is>
      </c>
      <c r="H1298" s="3" t="n">
        <v>7879764773</v>
      </c>
      <c r="I1298" s="11" t="inlineStr">
        <is>
          <t>PE26032601</t>
        </is>
      </c>
      <c r="J1298" s="3" t="inlineStr">
        <is>
          <t>Module Diode Failure</t>
        </is>
      </c>
      <c r="K1298" s="3" t="inlineStr">
        <is>
          <t>Sadla</t>
        </is>
      </c>
      <c r="L1298" s="3" t="inlineStr">
        <is>
          <t>Gujarat</t>
        </is>
      </c>
      <c r="M1298" s="9" t="inlineStr">
        <is>
          <t>NS</t>
        </is>
      </c>
      <c r="N1298" s="3" t="inlineStr">
        <is>
          <t>Cold Soldering</t>
        </is>
      </c>
      <c r="O1298" s="3" t="n">
        <v>570</v>
      </c>
      <c r="P1298" s="9" t="inlineStr">
        <is>
          <t>NSMI24060160834</t>
        </is>
      </c>
      <c r="Q1298" s="53">
        <f>MID(P1298,5,2)</f>
        <v/>
      </c>
      <c r="R1298" s="53">
        <f>MID(P1298,7,2)</f>
        <v/>
      </c>
      <c r="S1298" s="3" t="inlineStr">
        <is>
          <t>G2G</t>
        </is>
      </c>
      <c r="T1298" s="3" t="inlineStr">
        <is>
          <t>P4</t>
        </is>
      </c>
      <c r="U1298" s="3" t="inlineStr">
        <is>
          <t>N JB Cold Soldering</t>
        </is>
      </c>
      <c r="V1298" s="3" t="inlineStr">
        <is>
          <t>Soldering</t>
        </is>
      </c>
      <c r="W1298" s="3" t="inlineStr">
        <is>
          <t>Repair</t>
        </is>
      </c>
      <c r="X1298" s="18" t="n">
        <v>46159</v>
      </c>
      <c r="Y1298" s="3">
        <f>X1298-A1298</f>
        <v/>
      </c>
      <c r="Z1298" s="18" t="n">
        <v>46159</v>
      </c>
      <c r="AA1298" s="15" t="n"/>
      <c r="AB1298" s="15" t="n"/>
    </row>
    <row r="1299" hidden="1" s="233">
      <c r="A1299" s="6" t="n">
        <v>46107</v>
      </c>
      <c r="B1299" s="3" t="n">
        <v>2026</v>
      </c>
      <c r="C1299" s="3" t="inlineStr">
        <is>
          <t>Blupine</t>
        </is>
      </c>
      <c r="D1299" s="3" t="inlineStr">
        <is>
          <t>Utility and C&amp;I</t>
        </is>
      </c>
      <c r="E1299" s="3" t="n"/>
      <c r="F1299" s="3" t="inlineStr">
        <is>
          <t>Closed</t>
        </is>
      </c>
      <c r="G1299" s="3" t="inlineStr">
        <is>
          <t>Chandrashekar Patidar</t>
        </is>
      </c>
      <c r="H1299" s="3" t="n">
        <v>7879764773</v>
      </c>
      <c r="I1299" s="11" t="inlineStr">
        <is>
          <t>PE26032601</t>
        </is>
      </c>
      <c r="J1299" s="3" t="inlineStr">
        <is>
          <t>Module Diode Failure</t>
        </is>
      </c>
      <c r="K1299" s="3" t="inlineStr">
        <is>
          <t>Sadla</t>
        </is>
      </c>
      <c r="L1299" s="3" t="inlineStr">
        <is>
          <t>Gujarat</t>
        </is>
      </c>
      <c r="M1299" s="9" t="inlineStr">
        <is>
          <t>PS</t>
        </is>
      </c>
      <c r="N1299" s="3" t="inlineStr">
        <is>
          <t>Cold Soldering</t>
        </is>
      </c>
      <c r="O1299" s="3" t="n">
        <v>570</v>
      </c>
      <c r="P1299" s="9" t="inlineStr">
        <is>
          <t>NSMI24060158965</t>
        </is>
      </c>
      <c r="Q1299" s="53">
        <f>MID(P1299,5,2)</f>
        <v/>
      </c>
      <c r="R1299" s="53">
        <f>MID(P1299,7,2)</f>
        <v/>
      </c>
      <c r="S1299" s="3" t="inlineStr">
        <is>
          <t>G2G</t>
        </is>
      </c>
      <c r="T1299" s="3" t="inlineStr">
        <is>
          <t>P4</t>
        </is>
      </c>
      <c r="U1299" s="3" t="inlineStr">
        <is>
          <t>P JB Cold Soldering</t>
        </is>
      </c>
      <c r="V1299" s="3" t="inlineStr">
        <is>
          <t>Soldering</t>
        </is>
      </c>
      <c r="W1299" s="3" t="inlineStr">
        <is>
          <t>Repair</t>
        </is>
      </c>
      <c r="X1299" s="18" t="n">
        <v>46159</v>
      </c>
      <c r="Y1299" s="3">
        <f>X1299-A1299</f>
        <v/>
      </c>
      <c r="Z1299" s="18" t="n">
        <v>46159</v>
      </c>
      <c r="AA1299" s="15" t="n"/>
      <c r="AB1299" s="15" t="n"/>
    </row>
    <row r="1300" hidden="1" s="233">
      <c r="A1300" s="6" t="n">
        <v>46107</v>
      </c>
      <c r="B1300" s="3" t="n">
        <v>2026</v>
      </c>
      <c r="C1300" s="3" t="inlineStr">
        <is>
          <t>Blupine</t>
        </is>
      </c>
      <c r="D1300" s="3" t="inlineStr">
        <is>
          <t>Utility and C&amp;I</t>
        </is>
      </c>
      <c r="E1300" s="3" t="n"/>
      <c r="F1300" s="3" t="inlineStr">
        <is>
          <t>Closed</t>
        </is>
      </c>
      <c r="G1300" s="3" t="inlineStr">
        <is>
          <t>Chandrashekar Patidar</t>
        </is>
      </c>
      <c r="H1300" s="3" t="n">
        <v>7879764773</v>
      </c>
      <c r="I1300" s="11" t="inlineStr">
        <is>
          <t>PE26032601</t>
        </is>
      </c>
      <c r="J1300" s="3" t="inlineStr">
        <is>
          <t>Module Diode Failure</t>
        </is>
      </c>
      <c r="K1300" s="3" t="inlineStr">
        <is>
          <t>Sadla</t>
        </is>
      </c>
      <c r="L1300" s="3" t="inlineStr">
        <is>
          <t>Gujarat</t>
        </is>
      </c>
      <c r="M1300" s="9" t="inlineStr">
        <is>
          <t>NS</t>
        </is>
      </c>
      <c r="N1300" s="3" t="inlineStr">
        <is>
          <t>Cold Soldering</t>
        </is>
      </c>
      <c r="O1300" s="3" t="n">
        <v>570</v>
      </c>
      <c r="P1300" s="9" t="inlineStr">
        <is>
          <t>NSMI24060158961</t>
        </is>
      </c>
      <c r="Q1300" s="53">
        <f>MID(P1300,5,2)</f>
        <v/>
      </c>
      <c r="R1300" s="53">
        <f>MID(P1300,7,2)</f>
        <v/>
      </c>
      <c r="S1300" s="3" t="inlineStr">
        <is>
          <t>G2G</t>
        </is>
      </c>
      <c r="T1300" s="3" t="inlineStr">
        <is>
          <t>P4</t>
        </is>
      </c>
      <c r="U1300" s="3" t="inlineStr">
        <is>
          <t>N JB Cold Soldering</t>
        </is>
      </c>
      <c r="V1300" s="3" t="inlineStr">
        <is>
          <t>Soldering</t>
        </is>
      </c>
      <c r="W1300" s="3" t="inlineStr">
        <is>
          <t>Repair</t>
        </is>
      </c>
      <c r="X1300" s="18" t="n">
        <v>46159</v>
      </c>
      <c r="Y1300" s="3">
        <f>X1300-A1300</f>
        <v/>
      </c>
      <c r="Z1300" s="18" t="n">
        <v>46159</v>
      </c>
      <c r="AA1300" s="15" t="n"/>
      <c r="AB1300" s="15" t="n"/>
    </row>
    <row r="1301" hidden="1" s="233">
      <c r="A1301" s="6" t="n">
        <v>46107</v>
      </c>
      <c r="B1301" s="3" t="n">
        <v>2026</v>
      </c>
      <c r="C1301" s="3" t="inlineStr">
        <is>
          <t>Blupine</t>
        </is>
      </c>
      <c r="D1301" s="3" t="inlineStr">
        <is>
          <t>Utility and C&amp;I</t>
        </is>
      </c>
      <c r="E1301" s="3" t="n"/>
      <c r="F1301" s="3" t="inlineStr">
        <is>
          <t>Closed</t>
        </is>
      </c>
      <c r="G1301" s="3" t="inlineStr">
        <is>
          <t>Chandrashekar Patidar</t>
        </is>
      </c>
      <c r="H1301" s="3" t="n">
        <v>7879764773</v>
      </c>
      <c r="I1301" s="11" t="inlineStr">
        <is>
          <t>PE26032601</t>
        </is>
      </c>
      <c r="J1301" s="3" t="inlineStr">
        <is>
          <t>Module Diode Failure</t>
        </is>
      </c>
      <c r="K1301" s="3" t="inlineStr">
        <is>
          <t>Sadla</t>
        </is>
      </c>
      <c r="L1301" s="3" t="inlineStr">
        <is>
          <t>Gujarat</t>
        </is>
      </c>
      <c r="M1301" s="9" t="inlineStr">
        <is>
          <t>PS</t>
        </is>
      </c>
      <c r="N1301" s="3" t="inlineStr">
        <is>
          <t>Cold Soldering</t>
        </is>
      </c>
      <c r="O1301" s="3" t="n">
        <v>570</v>
      </c>
      <c r="P1301" s="9" t="inlineStr">
        <is>
          <t>NSMI24060147364</t>
        </is>
      </c>
      <c r="Q1301" s="53">
        <f>MID(P1301,5,2)</f>
        <v/>
      </c>
      <c r="R1301" s="53">
        <f>MID(P1301,7,2)</f>
        <v/>
      </c>
      <c r="S1301" s="3" t="inlineStr">
        <is>
          <t>G2G</t>
        </is>
      </c>
      <c r="T1301" s="3" t="inlineStr">
        <is>
          <t>P4</t>
        </is>
      </c>
      <c r="U1301" s="3" t="inlineStr">
        <is>
          <t>P JB Cold Soldering</t>
        </is>
      </c>
      <c r="V1301" s="3" t="inlineStr">
        <is>
          <t>Soldering</t>
        </is>
      </c>
      <c r="W1301" s="3" t="inlineStr">
        <is>
          <t>Repair</t>
        </is>
      </c>
      <c r="X1301" s="18" t="n">
        <v>46159</v>
      </c>
      <c r="Y1301" s="3">
        <f>X1301-A1301</f>
        <v/>
      </c>
      <c r="Z1301" s="18" t="n">
        <v>46159</v>
      </c>
      <c r="AA1301" s="15" t="n"/>
      <c r="AB1301" s="15" t="n"/>
    </row>
    <row r="1302" hidden="1" s="233">
      <c r="A1302" s="6" t="n">
        <v>46107</v>
      </c>
      <c r="B1302" s="3" t="n">
        <v>2026</v>
      </c>
      <c r="C1302" s="3" t="inlineStr">
        <is>
          <t>Blupine</t>
        </is>
      </c>
      <c r="D1302" s="3" t="inlineStr">
        <is>
          <t>Utility and C&amp;I</t>
        </is>
      </c>
      <c r="E1302" s="3" t="n"/>
      <c r="F1302" s="3" t="inlineStr">
        <is>
          <t>Closed</t>
        </is>
      </c>
      <c r="G1302" s="3" t="inlineStr">
        <is>
          <t>Chandrashekar Patidar</t>
        </is>
      </c>
      <c r="H1302" s="3" t="n">
        <v>7879764773</v>
      </c>
      <c r="I1302" s="11" t="inlineStr">
        <is>
          <t>PE26032601</t>
        </is>
      </c>
      <c r="J1302" s="3" t="inlineStr">
        <is>
          <t>Module Diode Failure</t>
        </is>
      </c>
      <c r="K1302" s="3" t="inlineStr">
        <is>
          <t>Sadla</t>
        </is>
      </c>
      <c r="L1302" s="3" t="inlineStr">
        <is>
          <t>Gujarat</t>
        </is>
      </c>
      <c r="M1302" s="9" t="inlineStr">
        <is>
          <t>PS</t>
        </is>
      </c>
      <c r="N1302" s="3" t="inlineStr">
        <is>
          <t>Cold Soldering</t>
        </is>
      </c>
      <c r="O1302" s="3" t="n">
        <v>570</v>
      </c>
      <c r="P1302" s="9" t="inlineStr">
        <is>
          <t>NSMI24060145928</t>
        </is>
      </c>
      <c r="Q1302" s="53">
        <f>MID(P1302,5,2)</f>
        <v/>
      </c>
      <c r="R1302" s="53">
        <f>MID(P1302,7,2)</f>
        <v/>
      </c>
      <c r="S1302" s="3" t="inlineStr">
        <is>
          <t>G2G</t>
        </is>
      </c>
      <c r="T1302" s="3" t="inlineStr">
        <is>
          <t>P4</t>
        </is>
      </c>
      <c r="U1302" s="3" t="inlineStr">
        <is>
          <t>P JB Cold Soldering</t>
        </is>
      </c>
      <c r="V1302" s="3" t="inlineStr">
        <is>
          <t>Soldering</t>
        </is>
      </c>
      <c r="W1302" s="3" t="inlineStr">
        <is>
          <t>Repair</t>
        </is>
      </c>
      <c r="X1302" s="18" t="n">
        <v>46159</v>
      </c>
      <c r="Y1302" s="3">
        <f>X1302-A1302</f>
        <v/>
      </c>
      <c r="Z1302" s="18" t="n">
        <v>46159</v>
      </c>
      <c r="AA1302" s="15" t="n"/>
      <c r="AB1302" s="15" t="n"/>
    </row>
    <row r="1303" hidden="1" s="233">
      <c r="A1303" s="6" t="n">
        <v>46107</v>
      </c>
      <c r="B1303" s="3" t="n">
        <v>2026</v>
      </c>
      <c r="C1303" s="3" t="inlineStr">
        <is>
          <t>Blupine</t>
        </is>
      </c>
      <c r="D1303" s="3" t="inlineStr">
        <is>
          <t>Utility and C&amp;I</t>
        </is>
      </c>
      <c r="E1303" s="3" t="n"/>
      <c r="F1303" s="3" t="inlineStr">
        <is>
          <t>Closed</t>
        </is>
      </c>
      <c r="G1303" s="3" t="inlineStr">
        <is>
          <t>Chandrashekar Patidar</t>
        </is>
      </c>
      <c r="H1303" s="3" t="n">
        <v>7879764773</v>
      </c>
      <c r="I1303" s="11" t="inlineStr">
        <is>
          <t>PE26032601</t>
        </is>
      </c>
      <c r="J1303" s="3" t="inlineStr">
        <is>
          <t>Module Diode Failure</t>
        </is>
      </c>
      <c r="K1303" s="3" t="inlineStr">
        <is>
          <t>Sadla</t>
        </is>
      </c>
      <c r="L1303" s="3" t="inlineStr">
        <is>
          <t>Gujarat</t>
        </is>
      </c>
      <c r="M1303" s="9" t="inlineStr">
        <is>
          <t>NS</t>
        </is>
      </c>
      <c r="N1303" s="3" t="inlineStr">
        <is>
          <t>Cold Soldering</t>
        </is>
      </c>
      <c r="O1303" s="3" t="n">
        <v>570</v>
      </c>
      <c r="P1303" s="9" t="inlineStr">
        <is>
          <t>NSMI24060155166</t>
        </is>
      </c>
      <c r="Q1303" s="53">
        <f>MID(P1303,5,2)</f>
        <v/>
      </c>
      <c r="R1303" s="53">
        <f>MID(P1303,7,2)</f>
        <v/>
      </c>
      <c r="S1303" s="3" t="inlineStr">
        <is>
          <t>G2G</t>
        </is>
      </c>
      <c r="T1303" s="3" t="inlineStr">
        <is>
          <t>P4</t>
        </is>
      </c>
      <c r="U1303" s="3" t="inlineStr">
        <is>
          <t>N JB Cold Soldering</t>
        </is>
      </c>
      <c r="V1303" s="3" t="inlineStr">
        <is>
          <t>Soldering</t>
        </is>
      </c>
      <c r="W1303" s="3" t="inlineStr">
        <is>
          <t>Repair</t>
        </is>
      </c>
      <c r="X1303" s="18" t="n">
        <v>46159</v>
      </c>
      <c r="Y1303" s="3">
        <f>X1303-A1303</f>
        <v/>
      </c>
      <c r="Z1303" s="18" t="n">
        <v>46159</v>
      </c>
      <c r="AA1303" s="15" t="n"/>
      <c r="AB1303" s="15" t="n"/>
    </row>
    <row r="1304" hidden="1" s="233">
      <c r="A1304" s="6" t="n">
        <v>46107</v>
      </c>
      <c r="B1304" s="3" t="n">
        <v>2026</v>
      </c>
      <c r="C1304" s="3" t="inlineStr">
        <is>
          <t>Blupine</t>
        </is>
      </c>
      <c r="D1304" s="3" t="inlineStr">
        <is>
          <t>Utility and C&amp;I</t>
        </is>
      </c>
      <c r="E1304" s="3" t="n"/>
      <c r="F1304" s="3" t="inlineStr">
        <is>
          <t>Closed</t>
        </is>
      </c>
      <c r="G1304" s="3" t="inlineStr">
        <is>
          <t>Chandrashekar Patidar</t>
        </is>
      </c>
      <c r="H1304" s="3" t="n">
        <v>7879764773</v>
      </c>
      <c r="I1304" s="11" t="inlineStr">
        <is>
          <t>PE26032601</t>
        </is>
      </c>
      <c r="J1304" s="3" t="inlineStr">
        <is>
          <t>Module Diode Failure</t>
        </is>
      </c>
      <c r="K1304" s="3" t="inlineStr">
        <is>
          <t>Sadla</t>
        </is>
      </c>
      <c r="L1304" s="3" t="inlineStr">
        <is>
          <t>Gujarat</t>
        </is>
      </c>
      <c r="M1304" s="9" t="inlineStr">
        <is>
          <t>PS</t>
        </is>
      </c>
      <c r="N1304" s="3" t="inlineStr">
        <is>
          <t>Cold Soldering</t>
        </is>
      </c>
      <c r="O1304" s="3" t="n">
        <v>570</v>
      </c>
      <c r="P1304" s="9" t="inlineStr">
        <is>
          <t>NSMI24060101463</t>
        </is>
      </c>
      <c r="Q1304" s="53">
        <f>MID(P1304,5,2)</f>
        <v/>
      </c>
      <c r="R1304" s="53">
        <f>MID(P1304,7,2)</f>
        <v/>
      </c>
      <c r="S1304" s="3" t="inlineStr">
        <is>
          <t>G2G</t>
        </is>
      </c>
      <c r="T1304" s="3" t="inlineStr">
        <is>
          <t>P4</t>
        </is>
      </c>
      <c r="U1304" s="3" t="inlineStr">
        <is>
          <t>P JB Cold Soldering</t>
        </is>
      </c>
      <c r="V1304" s="3" t="inlineStr">
        <is>
          <t>Soldering</t>
        </is>
      </c>
      <c r="W1304" s="3" t="inlineStr">
        <is>
          <t>Repair</t>
        </is>
      </c>
      <c r="X1304" s="18" t="n">
        <v>46159</v>
      </c>
      <c r="Y1304" s="3">
        <f>X1304-A1304</f>
        <v/>
      </c>
      <c r="Z1304" s="18" t="n">
        <v>46159</v>
      </c>
      <c r="AA1304" s="15" t="n"/>
      <c r="AB1304" s="15" t="n"/>
    </row>
    <row r="1305" hidden="1" s="233">
      <c r="A1305" s="6" t="n">
        <v>46107</v>
      </c>
      <c r="B1305" s="3" t="n">
        <v>2026</v>
      </c>
      <c r="C1305" s="3" t="inlineStr">
        <is>
          <t>Blupine</t>
        </is>
      </c>
      <c r="D1305" s="3" t="inlineStr">
        <is>
          <t>Utility and C&amp;I</t>
        </is>
      </c>
      <c r="E1305" s="3" t="n"/>
      <c r="F1305" s="3" t="inlineStr">
        <is>
          <t>Closed</t>
        </is>
      </c>
      <c r="G1305" s="3" t="inlineStr">
        <is>
          <t>Chandrashekar Patidar</t>
        </is>
      </c>
      <c r="H1305" s="3" t="n">
        <v>7879764773</v>
      </c>
      <c r="I1305" s="11" t="inlineStr">
        <is>
          <t>PE26032601</t>
        </is>
      </c>
      <c r="J1305" s="3" t="inlineStr">
        <is>
          <t>Module Diode Failure</t>
        </is>
      </c>
      <c r="K1305" s="3" t="inlineStr">
        <is>
          <t>Sadla</t>
        </is>
      </c>
      <c r="L1305" s="3" t="inlineStr">
        <is>
          <t>Gujarat</t>
        </is>
      </c>
      <c r="M1305" s="9" t="inlineStr">
        <is>
          <t>NR</t>
        </is>
      </c>
      <c r="N1305" s="3" t="inlineStr">
        <is>
          <t>JB Issue</t>
        </is>
      </c>
      <c r="O1305" s="3" t="n">
        <v>570</v>
      </c>
      <c r="P1305" s="9" t="inlineStr">
        <is>
          <t>NSMI24060155976</t>
        </is>
      </c>
      <c r="Q1305" s="53">
        <f>MID(P1305,5,2)</f>
        <v/>
      </c>
      <c r="R1305" s="53">
        <f>MID(P1305,7,2)</f>
        <v/>
      </c>
      <c r="S1305" s="3" t="inlineStr">
        <is>
          <t>G2G</t>
        </is>
      </c>
      <c r="T1305" s="3" t="inlineStr">
        <is>
          <t>P4</t>
        </is>
      </c>
      <c r="U1305" s="3" t="inlineStr">
        <is>
          <t>N JB Issue</t>
        </is>
      </c>
      <c r="V1305" s="3" t="inlineStr">
        <is>
          <t>JB Changed</t>
        </is>
      </c>
      <c r="W1305" s="3" t="inlineStr">
        <is>
          <t>Repair</t>
        </is>
      </c>
      <c r="X1305" s="18" t="n">
        <v>46159</v>
      </c>
      <c r="Y1305" s="3">
        <f>X1305-A1305</f>
        <v/>
      </c>
      <c r="Z1305" s="18" t="n">
        <v>46159</v>
      </c>
      <c r="AA1305" s="15" t="n"/>
      <c r="AB1305" s="15" t="n"/>
    </row>
    <row r="1306" hidden="1" s="233">
      <c r="A1306" s="6" t="n">
        <v>46107</v>
      </c>
      <c r="B1306" s="3" t="n">
        <v>2026</v>
      </c>
      <c r="C1306" s="3" t="inlineStr">
        <is>
          <t>Blupine</t>
        </is>
      </c>
      <c r="D1306" s="3" t="inlineStr">
        <is>
          <t>Utility and C&amp;I</t>
        </is>
      </c>
      <c r="E1306" s="3" t="n"/>
      <c r="F1306" s="3" t="inlineStr">
        <is>
          <t>Closed</t>
        </is>
      </c>
      <c r="G1306" s="3" t="inlineStr">
        <is>
          <t>Chandrashekar Patidar</t>
        </is>
      </c>
      <c r="H1306" s="3" t="n">
        <v>7879764773</v>
      </c>
      <c r="I1306" s="11" t="inlineStr">
        <is>
          <t>PE26032601</t>
        </is>
      </c>
      <c r="J1306" s="3" t="inlineStr">
        <is>
          <t>Module Diode Failure</t>
        </is>
      </c>
      <c r="K1306" s="3" t="inlineStr">
        <is>
          <t>Sadla</t>
        </is>
      </c>
      <c r="L1306" s="3" t="inlineStr">
        <is>
          <t>Gujarat</t>
        </is>
      </c>
      <c r="M1306" s="9" t="inlineStr">
        <is>
          <t>NR</t>
        </is>
      </c>
      <c r="N1306" s="3" t="inlineStr">
        <is>
          <t>JB Issue</t>
        </is>
      </c>
      <c r="O1306" s="3" t="n">
        <v>570</v>
      </c>
      <c r="P1306" s="9" t="inlineStr">
        <is>
          <t>NSMI24050066714</t>
        </is>
      </c>
      <c r="Q1306" s="53">
        <f>MID(P1306,5,2)</f>
        <v/>
      </c>
      <c r="R1306" s="53">
        <f>MID(P1306,7,2)</f>
        <v/>
      </c>
      <c r="S1306" s="3" t="inlineStr">
        <is>
          <t>G2G</t>
        </is>
      </c>
      <c r="T1306" s="3" t="inlineStr">
        <is>
          <t>P4</t>
        </is>
      </c>
      <c r="U1306" s="3" t="inlineStr">
        <is>
          <t>N JB Issue</t>
        </is>
      </c>
      <c r="V1306" s="3" t="inlineStr">
        <is>
          <t>JB Changed</t>
        </is>
      </c>
      <c r="W1306" s="3" t="inlineStr">
        <is>
          <t>Repair</t>
        </is>
      </c>
      <c r="X1306" s="18" t="n">
        <v>46159</v>
      </c>
      <c r="Y1306" s="3">
        <f>X1306-A1306</f>
        <v/>
      </c>
      <c r="Z1306" s="18" t="n">
        <v>46159</v>
      </c>
      <c r="AA1306" s="15" t="n"/>
      <c r="AB1306" s="15" t="n"/>
    </row>
    <row r="1307" hidden="1" s="233">
      <c r="A1307" s="6" t="n">
        <v>46107</v>
      </c>
      <c r="B1307" s="3" t="n">
        <v>2026</v>
      </c>
      <c r="C1307" s="3" t="inlineStr">
        <is>
          <t>Blupine</t>
        </is>
      </c>
      <c r="D1307" s="3" t="inlineStr">
        <is>
          <t>Utility and C&amp;I</t>
        </is>
      </c>
      <c r="E1307" s="3" t="n"/>
      <c r="F1307" s="3" t="inlineStr">
        <is>
          <t>Closed</t>
        </is>
      </c>
      <c r="G1307" s="3" t="inlineStr">
        <is>
          <t>Chandrashekar Patidar</t>
        </is>
      </c>
      <c r="H1307" s="3" t="n">
        <v>7879764773</v>
      </c>
      <c r="I1307" s="11" t="inlineStr">
        <is>
          <t>PE26032601</t>
        </is>
      </c>
      <c r="J1307" s="3" t="inlineStr">
        <is>
          <t>Module Diode Failure</t>
        </is>
      </c>
      <c r="K1307" s="3" t="inlineStr">
        <is>
          <t>Sadla</t>
        </is>
      </c>
      <c r="L1307" s="3" t="inlineStr">
        <is>
          <t>Gujarat</t>
        </is>
      </c>
      <c r="M1307" s="9" t="inlineStr">
        <is>
          <t>NS</t>
        </is>
      </c>
      <c r="N1307" s="3" t="inlineStr">
        <is>
          <t>Cold Soldering</t>
        </is>
      </c>
      <c r="O1307" s="3" t="n">
        <v>570</v>
      </c>
      <c r="P1307" s="9" t="inlineStr">
        <is>
          <t>NSMI24050066053</t>
        </is>
      </c>
      <c r="Q1307" s="53">
        <f>MID(P1307,5,2)</f>
        <v/>
      </c>
      <c r="R1307" s="53">
        <f>MID(P1307,7,2)</f>
        <v/>
      </c>
      <c r="S1307" s="3" t="inlineStr">
        <is>
          <t>G2G</t>
        </is>
      </c>
      <c r="T1307" s="3" t="inlineStr">
        <is>
          <t>P4</t>
        </is>
      </c>
      <c r="U1307" s="3" t="inlineStr">
        <is>
          <t>N JB Cold Soldering</t>
        </is>
      </c>
      <c r="V1307" s="3" t="inlineStr">
        <is>
          <t>Soldering</t>
        </is>
      </c>
      <c r="W1307" s="3" t="inlineStr">
        <is>
          <t>Repair</t>
        </is>
      </c>
      <c r="X1307" s="18" t="n">
        <v>46159</v>
      </c>
      <c r="Y1307" s="3">
        <f>X1307-A1307</f>
        <v/>
      </c>
      <c r="Z1307" s="18" t="n">
        <v>46159</v>
      </c>
      <c r="AA1307" s="15" t="n"/>
      <c r="AB1307" s="15" t="n"/>
    </row>
    <row r="1308" hidden="1" s="233">
      <c r="A1308" s="6" t="n">
        <v>46107</v>
      </c>
      <c r="B1308" s="3" t="n">
        <v>2026</v>
      </c>
      <c r="C1308" s="3" t="inlineStr">
        <is>
          <t>Blupine</t>
        </is>
      </c>
      <c r="D1308" s="3" t="inlineStr">
        <is>
          <t>Utility and C&amp;I</t>
        </is>
      </c>
      <c r="E1308" s="3" t="n"/>
      <c r="F1308" s="3" t="inlineStr">
        <is>
          <t>Closed</t>
        </is>
      </c>
      <c r="G1308" s="3" t="inlineStr">
        <is>
          <t>Chandrashekar Patidar</t>
        </is>
      </c>
      <c r="H1308" s="3" t="n">
        <v>7879764773</v>
      </c>
      <c r="I1308" s="11" t="inlineStr">
        <is>
          <t>PE26032601</t>
        </is>
      </c>
      <c r="J1308" s="3" t="inlineStr">
        <is>
          <t>Module Diode Failure</t>
        </is>
      </c>
      <c r="K1308" s="3" t="inlineStr">
        <is>
          <t>Sadla</t>
        </is>
      </c>
      <c r="L1308" s="3" t="inlineStr">
        <is>
          <t>Gujarat</t>
        </is>
      </c>
      <c r="M1308" s="9" t="inlineStr">
        <is>
          <t>NS</t>
        </is>
      </c>
      <c r="N1308" s="3" t="inlineStr">
        <is>
          <t>Cold Soldering</t>
        </is>
      </c>
      <c r="O1308" s="3" t="n">
        <v>570</v>
      </c>
      <c r="P1308" s="9" t="inlineStr">
        <is>
          <t>NSMI24060074184</t>
        </is>
      </c>
      <c r="Q1308" s="53">
        <f>MID(P1308,5,2)</f>
        <v/>
      </c>
      <c r="R1308" s="53">
        <f>MID(P1308,7,2)</f>
        <v/>
      </c>
      <c r="S1308" s="3" t="inlineStr">
        <is>
          <t>G2G</t>
        </is>
      </c>
      <c r="T1308" s="3" t="inlineStr">
        <is>
          <t>P4</t>
        </is>
      </c>
      <c r="U1308" s="3" t="inlineStr">
        <is>
          <t>N JB Cold Soldering</t>
        </is>
      </c>
      <c r="V1308" s="3" t="inlineStr">
        <is>
          <t>Soldering</t>
        </is>
      </c>
      <c r="W1308" s="3" t="inlineStr">
        <is>
          <t>Repair</t>
        </is>
      </c>
      <c r="X1308" s="18" t="n">
        <v>46159</v>
      </c>
      <c r="Y1308" s="3">
        <f>X1308-A1308</f>
        <v/>
      </c>
      <c r="Z1308" s="18" t="n">
        <v>46159</v>
      </c>
      <c r="AA1308" s="15" t="n"/>
      <c r="AB1308" s="15" t="n"/>
    </row>
    <row r="1309" hidden="1" s="233">
      <c r="A1309" s="6" t="n">
        <v>46107</v>
      </c>
      <c r="B1309" s="3" t="n">
        <v>2026</v>
      </c>
      <c r="C1309" s="3" t="inlineStr">
        <is>
          <t>Blupine</t>
        </is>
      </c>
      <c r="D1309" s="3" t="inlineStr">
        <is>
          <t>Utility and C&amp;I</t>
        </is>
      </c>
      <c r="E1309" s="3" t="n"/>
      <c r="F1309" s="3" t="inlineStr">
        <is>
          <t>Closed</t>
        </is>
      </c>
      <c r="G1309" s="3" t="inlineStr">
        <is>
          <t>Chandrashekar Patidar</t>
        </is>
      </c>
      <c r="H1309" s="3" t="n">
        <v>7879764773</v>
      </c>
      <c r="I1309" s="11" t="inlineStr">
        <is>
          <t>PE26032601</t>
        </is>
      </c>
      <c r="J1309" s="3" t="inlineStr">
        <is>
          <t>Module Diode Failure</t>
        </is>
      </c>
      <c r="K1309" s="3" t="inlineStr">
        <is>
          <t>Sadla</t>
        </is>
      </c>
      <c r="L1309" s="3" t="inlineStr">
        <is>
          <t>Gujarat</t>
        </is>
      </c>
      <c r="M1309" s="9" t="inlineStr">
        <is>
          <t>NS</t>
        </is>
      </c>
      <c r="N1309" s="3" t="inlineStr">
        <is>
          <t>Cold Soldering</t>
        </is>
      </c>
      <c r="O1309" s="3" t="n">
        <v>570</v>
      </c>
      <c r="P1309" s="9" t="inlineStr">
        <is>
          <t>NSMI24060074241</t>
        </is>
      </c>
      <c r="Q1309" s="53">
        <f>MID(P1309,5,2)</f>
        <v/>
      </c>
      <c r="R1309" s="53">
        <f>MID(P1309,7,2)</f>
        <v/>
      </c>
      <c r="S1309" s="3" t="inlineStr">
        <is>
          <t>G2G</t>
        </is>
      </c>
      <c r="T1309" s="3" t="inlineStr">
        <is>
          <t>P4</t>
        </is>
      </c>
      <c r="U1309" s="3" t="inlineStr">
        <is>
          <t>N JB Cold Soldering</t>
        </is>
      </c>
      <c r="V1309" s="3" t="inlineStr">
        <is>
          <t>Soldering</t>
        </is>
      </c>
      <c r="W1309" s="3" t="inlineStr">
        <is>
          <t>Repair</t>
        </is>
      </c>
      <c r="X1309" s="18" t="n">
        <v>46159</v>
      </c>
      <c r="Y1309" s="3">
        <f>X1309-A1309</f>
        <v/>
      </c>
      <c r="Z1309" s="18" t="n">
        <v>46159</v>
      </c>
      <c r="AA1309" s="15" t="n"/>
      <c r="AB1309" s="15" t="n"/>
    </row>
    <row r="1310" hidden="1" s="233">
      <c r="A1310" s="6" t="n">
        <v>46107</v>
      </c>
      <c r="B1310" s="3" t="n">
        <v>2026</v>
      </c>
      <c r="C1310" s="3" t="inlineStr">
        <is>
          <t>Blupine</t>
        </is>
      </c>
      <c r="D1310" s="3" t="inlineStr">
        <is>
          <t>Utility and C&amp;I</t>
        </is>
      </c>
      <c r="E1310" s="3" t="n"/>
      <c r="F1310" s="3" t="inlineStr">
        <is>
          <t>Closed</t>
        </is>
      </c>
      <c r="G1310" s="3" t="inlineStr">
        <is>
          <t>Chandrashekar Patidar</t>
        </is>
      </c>
      <c r="H1310" s="3" t="n">
        <v>7879764773</v>
      </c>
      <c r="I1310" s="11" t="inlineStr">
        <is>
          <t>PE26032601</t>
        </is>
      </c>
      <c r="J1310" s="3" t="inlineStr">
        <is>
          <t>Module Diode Failure</t>
        </is>
      </c>
      <c r="K1310" s="3" t="inlineStr">
        <is>
          <t>Sadla</t>
        </is>
      </c>
      <c r="L1310" s="3" t="inlineStr">
        <is>
          <t>Gujarat</t>
        </is>
      </c>
      <c r="M1310" s="9" t="inlineStr">
        <is>
          <t>NS</t>
        </is>
      </c>
      <c r="N1310" s="3" t="inlineStr">
        <is>
          <t>Cold Soldering</t>
        </is>
      </c>
      <c r="O1310" s="3" t="n">
        <v>570</v>
      </c>
      <c r="P1310" s="9" t="inlineStr">
        <is>
          <t>NSMI24060074245</t>
        </is>
      </c>
      <c r="Q1310" s="53">
        <f>MID(P1310,5,2)</f>
        <v/>
      </c>
      <c r="R1310" s="53">
        <f>MID(P1310,7,2)</f>
        <v/>
      </c>
      <c r="S1310" s="3" t="inlineStr">
        <is>
          <t>G2G</t>
        </is>
      </c>
      <c r="T1310" s="3" t="inlineStr">
        <is>
          <t>P4</t>
        </is>
      </c>
      <c r="U1310" s="3" t="inlineStr">
        <is>
          <t>N JB Cold Soldering</t>
        </is>
      </c>
      <c r="V1310" s="3" t="inlineStr">
        <is>
          <t>Soldering</t>
        </is>
      </c>
      <c r="W1310" s="3" t="inlineStr">
        <is>
          <t>Repair</t>
        </is>
      </c>
      <c r="X1310" s="18" t="n">
        <v>46159</v>
      </c>
      <c r="Y1310" s="3">
        <f>X1310-A1310</f>
        <v/>
      </c>
      <c r="Z1310" s="18" t="n">
        <v>46159</v>
      </c>
      <c r="AA1310" s="15" t="n"/>
      <c r="AB1310" s="15" t="n"/>
    </row>
    <row r="1311" hidden="1" s="233">
      <c r="A1311" s="6" t="n">
        <v>46107</v>
      </c>
      <c r="B1311" s="3" t="n">
        <v>2026</v>
      </c>
      <c r="C1311" s="3" t="inlineStr">
        <is>
          <t>Blupine</t>
        </is>
      </c>
      <c r="D1311" s="3" t="inlineStr">
        <is>
          <t>Utility and C&amp;I</t>
        </is>
      </c>
      <c r="E1311" s="3" t="n"/>
      <c r="F1311" s="3" t="inlineStr">
        <is>
          <t>Closed</t>
        </is>
      </c>
      <c r="G1311" s="3" t="inlineStr">
        <is>
          <t>Chandrashekar Patidar</t>
        </is>
      </c>
      <c r="H1311" s="3" t="n">
        <v>7879764773</v>
      </c>
      <c r="I1311" s="11" t="inlineStr">
        <is>
          <t>PE26032601</t>
        </is>
      </c>
      <c r="J1311" s="3" t="inlineStr">
        <is>
          <t>Module Diode Failure</t>
        </is>
      </c>
      <c r="K1311" s="3" t="inlineStr">
        <is>
          <t>Sadla</t>
        </is>
      </c>
      <c r="L1311" s="3" t="inlineStr">
        <is>
          <t>Gujarat</t>
        </is>
      </c>
      <c r="M1311" s="9" t="inlineStr">
        <is>
          <t>NR</t>
        </is>
      </c>
      <c r="N1311" s="3" t="inlineStr">
        <is>
          <t>JB Issue</t>
        </is>
      </c>
      <c r="O1311" s="3" t="n">
        <v>570</v>
      </c>
      <c r="P1311" s="9" t="inlineStr">
        <is>
          <t>NSMI24050066780</t>
        </is>
      </c>
      <c r="Q1311" s="53">
        <f>MID(P1311,5,2)</f>
        <v/>
      </c>
      <c r="R1311" s="53">
        <f>MID(P1311,7,2)</f>
        <v/>
      </c>
      <c r="S1311" s="3" t="inlineStr">
        <is>
          <t>G2G</t>
        </is>
      </c>
      <c r="T1311" s="3" t="inlineStr">
        <is>
          <t>P4</t>
        </is>
      </c>
      <c r="U1311" s="3" t="inlineStr">
        <is>
          <t>N JB Issue</t>
        </is>
      </c>
      <c r="V1311" s="3" t="inlineStr">
        <is>
          <t>JB Changed</t>
        </is>
      </c>
      <c r="W1311" s="3" t="inlineStr">
        <is>
          <t>Repair</t>
        </is>
      </c>
      <c r="X1311" s="18" t="n">
        <v>46159</v>
      </c>
      <c r="Y1311" s="3">
        <f>X1311-A1311</f>
        <v/>
      </c>
      <c r="Z1311" s="18" t="n">
        <v>46159</v>
      </c>
      <c r="AA1311" s="15" t="n"/>
      <c r="AB1311" s="15" t="n"/>
    </row>
    <row r="1312" hidden="1" s="233">
      <c r="A1312" s="6" t="n">
        <v>46107</v>
      </c>
      <c r="B1312" s="3" t="n">
        <v>2026</v>
      </c>
      <c r="C1312" s="3" t="inlineStr">
        <is>
          <t>Blupine</t>
        </is>
      </c>
      <c r="D1312" s="3" t="inlineStr">
        <is>
          <t>Utility and C&amp;I</t>
        </is>
      </c>
      <c r="E1312" s="3" t="n"/>
      <c r="F1312" s="3" t="inlineStr">
        <is>
          <t>Closed</t>
        </is>
      </c>
      <c r="G1312" s="3" t="inlineStr">
        <is>
          <t>Chandrashekar Patidar</t>
        </is>
      </c>
      <c r="H1312" s="3" t="n">
        <v>7879764773</v>
      </c>
      <c r="I1312" s="11" t="inlineStr">
        <is>
          <t>PE26032601</t>
        </is>
      </c>
      <c r="J1312" s="3" t="inlineStr">
        <is>
          <t>Module Diode Failure</t>
        </is>
      </c>
      <c r="K1312" s="3" t="inlineStr">
        <is>
          <t>Sadla</t>
        </is>
      </c>
      <c r="L1312" s="3" t="inlineStr">
        <is>
          <t>Gujarat</t>
        </is>
      </c>
      <c r="M1312" s="9" t="inlineStr">
        <is>
          <t>PS</t>
        </is>
      </c>
      <c r="N1312" s="3" t="inlineStr">
        <is>
          <t>Cold Soldering</t>
        </is>
      </c>
      <c r="O1312" s="3" t="n">
        <v>570</v>
      </c>
      <c r="P1312" s="9" t="inlineStr">
        <is>
          <t>NSMI24060080441</t>
        </is>
      </c>
      <c r="Q1312" s="53">
        <f>MID(P1312,5,2)</f>
        <v/>
      </c>
      <c r="R1312" s="53">
        <f>MID(P1312,7,2)</f>
        <v/>
      </c>
      <c r="S1312" s="3" t="inlineStr">
        <is>
          <t>G2G</t>
        </is>
      </c>
      <c r="T1312" s="3" t="inlineStr">
        <is>
          <t>P4</t>
        </is>
      </c>
      <c r="U1312" s="3" t="inlineStr">
        <is>
          <t>P JB Cold Soldering</t>
        </is>
      </c>
      <c r="V1312" s="3" t="inlineStr">
        <is>
          <t>Soldering</t>
        </is>
      </c>
      <c r="W1312" s="3" t="inlineStr">
        <is>
          <t>Repair</t>
        </is>
      </c>
      <c r="X1312" s="18" t="n">
        <v>46159</v>
      </c>
      <c r="Y1312" s="3">
        <f>X1312-A1312</f>
        <v/>
      </c>
      <c r="Z1312" s="18" t="n">
        <v>46159</v>
      </c>
      <c r="AA1312" s="15" t="n"/>
      <c r="AB1312" s="15" t="n"/>
    </row>
    <row r="1313" hidden="1" s="233">
      <c r="A1313" s="6" t="n">
        <v>46107</v>
      </c>
      <c r="B1313" s="3" t="n">
        <v>2026</v>
      </c>
      <c r="C1313" s="3" t="inlineStr">
        <is>
          <t>Blupine</t>
        </is>
      </c>
      <c r="D1313" s="3" t="inlineStr">
        <is>
          <t>Utility and C&amp;I</t>
        </is>
      </c>
      <c r="E1313" s="3" t="n"/>
      <c r="F1313" s="3" t="inlineStr">
        <is>
          <t>Closed</t>
        </is>
      </c>
      <c r="G1313" s="3" t="inlineStr">
        <is>
          <t>Chandrashekar Patidar</t>
        </is>
      </c>
      <c r="H1313" s="3" t="n">
        <v>7879764773</v>
      </c>
      <c r="I1313" s="11" t="inlineStr">
        <is>
          <t>PE26032601</t>
        </is>
      </c>
      <c r="J1313" s="3" t="inlineStr">
        <is>
          <t>Module Diode Failure</t>
        </is>
      </c>
      <c r="K1313" s="3" t="inlineStr">
        <is>
          <t>Sadla</t>
        </is>
      </c>
      <c r="L1313" s="3" t="inlineStr">
        <is>
          <t>Gujarat</t>
        </is>
      </c>
      <c r="M1313" s="9" t="inlineStr">
        <is>
          <t>NS</t>
        </is>
      </c>
      <c r="N1313" s="3" t="inlineStr">
        <is>
          <t>Cold Soldering</t>
        </is>
      </c>
      <c r="O1313" s="3" t="n">
        <v>570</v>
      </c>
      <c r="P1313" s="9" t="inlineStr">
        <is>
          <t>NSMI24060080046</t>
        </is>
      </c>
      <c r="Q1313" s="53">
        <f>MID(P1313,5,2)</f>
        <v/>
      </c>
      <c r="R1313" s="53">
        <f>MID(P1313,7,2)</f>
        <v/>
      </c>
      <c r="S1313" s="3" t="inlineStr">
        <is>
          <t>G2G</t>
        </is>
      </c>
      <c r="T1313" s="3" t="inlineStr">
        <is>
          <t>P4</t>
        </is>
      </c>
      <c r="U1313" s="3" t="inlineStr">
        <is>
          <t>N JB Cold Soldering</t>
        </is>
      </c>
      <c r="V1313" s="3" t="inlineStr">
        <is>
          <t>Soldering</t>
        </is>
      </c>
      <c r="W1313" s="3" t="inlineStr">
        <is>
          <t>Repair</t>
        </is>
      </c>
      <c r="X1313" s="18" t="n">
        <v>46159</v>
      </c>
      <c r="Y1313" s="3">
        <f>X1313-A1313</f>
        <v/>
      </c>
      <c r="Z1313" s="18" t="n">
        <v>46159</v>
      </c>
      <c r="AA1313" s="15" t="n"/>
      <c r="AB1313" s="15" t="n"/>
    </row>
    <row r="1314" hidden="1" s="233">
      <c r="A1314" s="6" t="n">
        <v>46107</v>
      </c>
      <c r="B1314" s="3" t="n">
        <v>2026</v>
      </c>
      <c r="C1314" s="3" t="inlineStr">
        <is>
          <t>Blupine</t>
        </is>
      </c>
      <c r="D1314" s="3" t="inlineStr">
        <is>
          <t>Utility and C&amp;I</t>
        </is>
      </c>
      <c r="E1314" s="3" t="n"/>
      <c r="F1314" s="3" t="inlineStr">
        <is>
          <t>Closed</t>
        </is>
      </c>
      <c r="G1314" s="3" t="inlineStr">
        <is>
          <t>Chandrashekar Patidar</t>
        </is>
      </c>
      <c r="H1314" s="3" t="n">
        <v>7879764773</v>
      </c>
      <c r="I1314" s="11" t="inlineStr">
        <is>
          <t>PE26032601</t>
        </is>
      </c>
      <c r="J1314" s="3" t="inlineStr">
        <is>
          <t>Module Diode Failure</t>
        </is>
      </c>
      <c r="K1314" s="3" t="inlineStr">
        <is>
          <t>Sadla</t>
        </is>
      </c>
      <c r="L1314" s="3" t="inlineStr">
        <is>
          <t>Gujarat</t>
        </is>
      </c>
      <c r="M1314" s="9" t="inlineStr">
        <is>
          <t>NS</t>
        </is>
      </c>
      <c r="N1314" s="3" t="inlineStr">
        <is>
          <t>Cold Soldering</t>
        </is>
      </c>
      <c r="O1314" s="3" t="n">
        <v>570</v>
      </c>
      <c r="P1314" s="9" t="inlineStr">
        <is>
          <t>NSMI24060080114</t>
        </is>
      </c>
      <c r="Q1314" s="53">
        <f>MID(P1314,5,2)</f>
        <v/>
      </c>
      <c r="R1314" s="53">
        <f>MID(P1314,7,2)</f>
        <v/>
      </c>
      <c r="S1314" s="3" t="inlineStr">
        <is>
          <t>G2G</t>
        </is>
      </c>
      <c r="T1314" s="3" t="inlineStr">
        <is>
          <t>P4</t>
        </is>
      </c>
      <c r="U1314" s="3" t="inlineStr">
        <is>
          <t>N JB Cold Soldering</t>
        </is>
      </c>
      <c r="V1314" s="3" t="inlineStr">
        <is>
          <t>Soldering</t>
        </is>
      </c>
      <c r="W1314" s="3" t="inlineStr">
        <is>
          <t>Repair</t>
        </is>
      </c>
      <c r="X1314" s="18" t="n">
        <v>46159</v>
      </c>
      <c r="Y1314" s="3">
        <f>X1314-A1314</f>
        <v/>
      </c>
      <c r="Z1314" s="18" t="n">
        <v>46159</v>
      </c>
      <c r="AA1314" s="15" t="n"/>
      <c r="AB1314" s="15" t="n"/>
    </row>
    <row r="1315" hidden="1" s="233">
      <c r="A1315" s="6" t="n">
        <v>46107</v>
      </c>
      <c r="B1315" s="3" t="n">
        <v>2026</v>
      </c>
      <c r="C1315" s="3" t="inlineStr">
        <is>
          <t>Blupine</t>
        </is>
      </c>
      <c r="D1315" s="3" t="inlineStr">
        <is>
          <t>Utility and C&amp;I</t>
        </is>
      </c>
      <c r="E1315" s="3" t="n"/>
      <c r="F1315" s="3" t="inlineStr">
        <is>
          <t>Closed</t>
        </is>
      </c>
      <c r="G1315" s="3" t="inlineStr">
        <is>
          <t>Chandrashekar Patidar</t>
        </is>
      </c>
      <c r="H1315" s="3" t="n">
        <v>7879764773</v>
      </c>
      <c r="I1315" s="11" t="inlineStr">
        <is>
          <t>PE26032601</t>
        </is>
      </c>
      <c r="J1315" s="3" t="inlineStr">
        <is>
          <t>Module Diode Failure</t>
        </is>
      </c>
      <c r="K1315" s="3" t="inlineStr">
        <is>
          <t>Sadla</t>
        </is>
      </c>
      <c r="L1315" s="3" t="inlineStr">
        <is>
          <t>Gujarat</t>
        </is>
      </c>
      <c r="M1315" s="9" t="inlineStr">
        <is>
          <t>NS</t>
        </is>
      </c>
      <c r="N1315" s="3" t="inlineStr">
        <is>
          <t>Cold Soldering</t>
        </is>
      </c>
      <c r="O1315" s="3" t="n">
        <v>570</v>
      </c>
      <c r="P1315" s="9" t="inlineStr">
        <is>
          <t>NSMI24060080062</t>
        </is>
      </c>
      <c r="Q1315" s="53">
        <f>MID(P1315,5,2)</f>
        <v/>
      </c>
      <c r="R1315" s="53">
        <f>MID(P1315,7,2)</f>
        <v/>
      </c>
      <c r="S1315" s="3" t="inlineStr">
        <is>
          <t>G2G</t>
        </is>
      </c>
      <c r="T1315" s="3" t="inlineStr">
        <is>
          <t>P4</t>
        </is>
      </c>
      <c r="U1315" s="3" t="inlineStr">
        <is>
          <t>N JB Cold Soldering</t>
        </is>
      </c>
      <c r="V1315" s="3" t="inlineStr">
        <is>
          <t>Soldering</t>
        </is>
      </c>
      <c r="W1315" s="3" t="inlineStr">
        <is>
          <t>Repair</t>
        </is>
      </c>
      <c r="X1315" s="18" t="n">
        <v>46159</v>
      </c>
      <c r="Y1315" s="3">
        <f>X1315-A1315</f>
        <v/>
      </c>
      <c r="Z1315" s="18" t="n">
        <v>46159</v>
      </c>
      <c r="AA1315" s="15" t="n"/>
      <c r="AB1315" s="15" t="n"/>
    </row>
    <row r="1316" hidden="1" s="233">
      <c r="A1316" s="6" t="n">
        <v>46107</v>
      </c>
      <c r="B1316" s="3" t="n">
        <v>2026</v>
      </c>
      <c r="C1316" s="3" t="inlineStr">
        <is>
          <t>Blupine</t>
        </is>
      </c>
      <c r="D1316" s="3" t="inlineStr">
        <is>
          <t>Utility and C&amp;I</t>
        </is>
      </c>
      <c r="E1316" s="3" t="n"/>
      <c r="F1316" s="3" t="inlineStr">
        <is>
          <t>Closed</t>
        </is>
      </c>
      <c r="G1316" s="3" t="inlineStr">
        <is>
          <t>Chandrashekar Patidar</t>
        </is>
      </c>
      <c r="H1316" s="3" t="n">
        <v>7879764773</v>
      </c>
      <c r="I1316" s="11" t="inlineStr">
        <is>
          <t>PE26032601</t>
        </is>
      </c>
      <c r="J1316" s="3" t="inlineStr">
        <is>
          <t>Module Diode Failure</t>
        </is>
      </c>
      <c r="K1316" s="3" t="inlineStr">
        <is>
          <t>Sadla</t>
        </is>
      </c>
      <c r="L1316" s="3" t="inlineStr">
        <is>
          <t>Gujarat</t>
        </is>
      </c>
      <c r="M1316" s="9" t="inlineStr">
        <is>
          <t>NS</t>
        </is>
      </c>
      <c r="N1316" s="3" t="inlineStr">
        <is>
          <t>Cold Soldering</t>
        </is>
      </c>
      <c r="O1316" s="3" t="n">
        <v>570</v>
      </c>
      <c r="P1316" s="9" t="inlineStr">
        <is>
          <t>NSMI24060080053</t>
        </is>
      </c>
      <c r="Q1316" s="53">
        <f>MID(P1316,5,2)</f>
        <v/>
      </c>
      <c r="R1316" s="53">
        <f>MID(P1316,7,2)</f>
        <v/>
      </c>
      <c r="S1316" s="3" t="inlineStr">
        <is>
          <t>G2G</t>
        </is>
      </c>
      <c r="T1316" s="3" t="inlineStr">
        <is>
          <t>P4</t>
        </is>
      </c>
      <c r="U1316" s="3" t="inlineStr">
        <is>
          <t>N JB Cold Soldering</t>
        </is>
      </c>
      <c r="V1316" s="3" t="inlineStr">
        <is>
          <t>Soldering</t>
        </is>
      </c>
      <c r="W1316" s="3" t="inlineStr">
        <is>
          <t>Repair</t>
        </is>
      </c>
      <c r="X1316" s="18" t="n">
        <v>46159</v>
      </c>
      <c r="Y1316" s="3">
        <f>X1316-A1316</f>
        <v/>
      </c>
      <c r="Z1316" s="18" t="n">
        <v>46159</v>
      </c>
      <c r="AA1316" s="15" t="n"/>
      <c r="AB1316" s="15" t="n"/>
    </row>
    <row r="1317" hidden="1" s="233">
      <c r="A1317" s="6" t="n">
        <v>46107</v>
      </c>
      <c r="B1317" s="3" t="n">
        <v>2026</v>
      </c>
      <c r="C1317" s="3" t="inlineStr">
        <is>
          <t>Blupine</t>
        </is>
      </c>
      <c r="D1317" s="3" t="inlineStr">
        <is>
          <t>Utility and C&amp;I</t>
        </is>
      </c>
      <c r="E1317" s="3" t="n"/>
      <c r="F1317" s="3" t="inlineStr">
        <is>
          <t>Closed</t>
        </is>
      </c>
      <c r="G1317" s="3" t="inlineStr">
        <is>
          <t>Chandrashekar Patidar</t>
        </is>
      </c>
      <c r="H1317" s="3" t="n">
        <v>7879764773</v>
      </c>
      <c r="I1317" s="11" t="inlineStr">
        <is>
          <t>PE26032601</t>
        </is>
      </c>
      <c r="J1317" s="3" t="inlineStr">
        <is>
          <t>Module Diode Failure</t>
        </is>
      </c>
      <c r="K1317" s="3" t="inlineStr">
        <is>
          <t>Sadla</t>
        </is>
      </c>
      <c r="L1317" s="3" t="inlineStr">
        <is>
          <t>Gujarat</t>
        </is>
      </c>
      <c r="M1317" s="9" t="inlineStr">
        <is>
          <t>NS</t>
        </is>
      </c>
      <c r="N1317" s="3" t="inlineStr">
        <is>
          <t>Cold Soldering</t>
        </is>
      </c>
      <c r="O1317" s="3" t="n">
        <v>570</v>
      </c>
      <c r="P1317" s="9" t="inlineStr">
        <is>
          <t>NSMI24050065832</t>
        </is>
      </c>
      <c r="Q1317" s="53">
        <f>MID(P1317,5,2)</f>
        <v/>
      </c>
      <c r="R1317" s="53">
        <f>MID(P1317,7,2)</f>
        <v/>
      </c>
      <c r="S1317" s="3" t="inlineStr">
        <is>
          <t>G2G</t>
        </is>
      </c>
      <c r="T1317" s="3" t="inlineStr">
        <is>
          <t>P4</t>
        </is>
      </c>
      <c r="U1317" s="3" t="inlineStr">
        <is>
          <t>N JB Cold Soldering</t>
        </is>
      </c>
      <c r="V1317" s="3" t="inlineStr">
        <is>
          <t>Soldering</t>
        </is>
      </c>
      <c r="W1317" s="3" t="inlineStr">
        <is>
          <t>Repair</t>
        </is>
      </c>
      <c r="X1317" s="18" t="n">
        <v>46159</v>
      </c>
      <c r="Y1317" s="3">
        <f>X1317-A1317</f>
        <v/>
      </c>
      <c r="Z1317" s="18" t="n">
        <v>46159</v>
      </c>
      <c r="AA1317" s="15" t="n"/>
      <c r="AB1317" s="15" t="n"/>
    </row>
    <row r="1318" hidden="1" s="233">
      <c r="A1318" s="6" t="n">
        <v>46107</v>
      </c>
      <c r="B1318" s="3" t="n">
        <v>2026</v>
      </c>
      <c r="C1318" s="3" t="inlineStr">
        <is>
          <t>Blupine</t>
        </is>
      </c>
      <c r="D1318" s="3" t="inlineStr">
        <is>
          <t>Utility and C&amp;I</t>
        </is>
      </c>
      <c r="E1318" s="3" t="n"/>
      <c r="F1318" s="3" t="inlineStr">
        <is>
          <t>Closed</t>
        </is>
      </c>
      <c r="G1318" s="3" t="inlineStr">
        <is>
          <t>Chandrashekar Patidar</t>
        </is>
      </c>
      <c r="H1318" s="3" t="n">
        <v>7879764773</v>
      </c>
      <c r="I1318" s="11" t="inlineStr">
        <is>
          <t>PE26032601</t>
        </is>
      </c>
      <c r="J1318" s="3" t="inlineStr">
        <is>
          <t>Module Diode Failure</t>
        </is>
      </c>
      <c r="K1318" s="3" t="inlineStr">
        <is>
          <t>Sadla</t>
        </is>
      </c>
      <c r="L1318" s="3" t="inlineStr">
        <is>
          <t>Gujarat</t>
        </is>
      </c>
      <c r="M1318" s="9" t="inlineStr">
        <is>
          <t>PS</t>
        </is>
      </c>
      <c r="N1318" s="3" t="inlineStr">
        <is>
          <t>Cold Soldering</t>
        </is>
      </c>
      <c r="O1318" s="3" t="n">
        <v>570</v>
      </c>
      <c r="P1318" s="9" t="inlineStr">
        <is>
          <t>NSMI24060082671</t>
        </is>
      </c>
      <c r="Q1318" s="53">
        <f>MID(P1318,5,2)</f>
        <v/>
      </c>
      <c r="R1318" s="53">
        <f>MID(P1318,7,2)</f>
        <v/>
      </c>
      <c r="S1318" s="3" t="inlineStr">
        <is>
          <t>G2G</t>
        </is>
      </c>
      <c r="T1318" s="3" t="inlineStr">
        <is>
          <t>P4</t>
        </is>
      </c>
      <c r="U1318" s="3" t="inlineStr">
        <is>
          <t>P JB Cold Soldering</t>
        </is>
      </c>
      <c r="V1318" s="3" t="inlineStr">
        <is>
          <t>Soldering</t>
        </is>
      </c>
      <c r="W1318" s="3" t="inlineStr">
        <is>
          <t>Repair</t>
        </is>
      </c>
      <c r="X1318" s="18" t="n">
        <v>46159</v>
      </c>
      <c r="Y1318" s="3">
        <f>X1318-A1318</f>
        <v/>
      </c>
      <c r="Z1318" s="18" t="n">
        <v>46159</v>
      </c>
      <c r="AA1318" s="15" t="n"/>
      <c r="AB1318" s="15" t="n"/>
    </row>
    <row r="1319" hidden="1" s="233">
      <c r="A1319" s="6" t="n">
        <v>46107</v>
      </c>
      <c r="B1319" s="3" t="n">
        <v>2026</v>
      </c>
      <c r="C1319" s="3" t="inlineStr">
        <is>
          <t>Blupine</t>
        </is>
      </c>
      <c r="D1319" s="3" t="inlineStr">
        <is>
          <t>Utility and C&amp;I</t>
        </is>
      </c>
      <c r="E1319" s="3" t="n"/>
      <c r="F1319" s="3" t="inlineStr">
        <is>
          <t>Closed</t>
        </is>
      </c>
      <c r="G1319" s="3" t="inlineStr">
        <is>
          <t>Chandrashekar Patidar</t>
        </is>
      </c>
      <c r="H1319" s="3" t="n">
        <v>7879764773</v>
      </c>
      <c r="I1319" s="11" t="inlineStr">
        <is>
          <t>PE26032601</t>
        </is>
      </c>
      <c r="J1319" s="3" t="inlineStr">
        <is>
          <t>Module Diode Failure</t>
        </is>
      </c>
      <c r="K1319" s="3" t="inlineStr">
        <is>
          <t>Sadla</t>
        </is>
      </c>
      <c r="L1319" s="3" t="inlineStr">
        <is>
          <t>Gujarat</t>
        </is>
      </c>
      <c r="M1319" s="9" t="inlineStr">
        <is>
          <t>NS</t>
        </is>
      </c>
      <c r="N1319" s="3" t="inlineStr">
        <is>
          <t>Cold Soldering</t>
        </is>
      </c>
      <c r="O1319" s="3" t="n">
        <v>570</v>
      </c>
      <c r="P1319" s="9" t="inlineStr">
        <is>
          <t>NSMI24050064856</t>
        </is>
      </c>
      <c r="Q1319" s="53">
        <f>MID(P1319,5,2)</f>
        <v/>
      </c>
      <c r="R1319" s="53">
        <f>MID(P1319,7,2)</f>
        <v/>
      </c>
      <c r="S1319" s="3" t="inlineStr">
        <is>
          <t>G2G</t>
        </is>
      </c>
      <c r="T1319" s="3" t="inlineStr">
        <is>
          <t>P4</t>
        </is>
      </c>
      <c r="U1319" s="3" t="inlineStr">
        <is>
          <t>N JB Cold Soldering</t>
        </is>
      </c>
      <c r="V1319" s="3" t="inlineStr">
        <is>
          <t>Soldering</t>
        </is>
      </c>
      <c r="W1319" s="3" t="inlineStr">
        <is>
          <t>Repair</t>
        </is>
      </c>
      <c r="X1319" s="18" t="n">
        <v>46159</v>
      </c>
      <c r="Y1319" s="3">
        <f>X1319-A1319</f>
        <v/>
      </c>
      <c r="Z1319" s="18" t="n">
        <v>46159</v>
      </c>
      <c r="AA1319" s="15" t="n"/>
      <c r="AB1319" s="15" t="n"/>
    </row>
    <row r="1320" hidden="1" s="233">
      <c r="A1320" s="6" t="n">
        <v>46107</v>
      </c>
      <c r="B1320" s="3" t="n">
        <v>2026</v>
      </c>
      <c r="C1320" s="3" t="inlineStr">
        <is>
          <t>Blupine</t>
        </is>
      </c>
      <c r="D1320" s="3" t="inlineStr">
        <is>
          <t>Utility and C&amp;I</t>
        </is>
      </c>
      <c r="E1320" s="3" t="n"/>
      <c r="F1320" s="3" t="inlineStr">
        <is>
          <t>Closed</t>
        </is>
      </c>
      <c r="G1320" s="3" t="inlineStr">
        <is>
          <t>Chandrashekar Patidar</t>
        </is>
      </c>
      <c r="H1320" s="3" t="n">
        <v>7879764773</v>
      </c>
      <c r="I1320" s="11" t="inlineStr">
        <is>
          <t>PE26032601</t>
        </is>
      </c>
      <c r="J1320" s="3" t="inlineStr">
        <is>
          <t>Module Diode Failure</t>
        </is>
      </c>
      <c r="K1320" s="3" t="inlineStr">
        <is>
          <t>Sadla</t>
        </is>
      </c>
      <c r="L1320" s="3" t="inlineStr">
        <is>
          <t>Gujarat</t>
        </is>
      </c>
      <c r="M1320" s="9" t="inlineStr">
        <is>
          <t>NS</t>
        </is>
      </c>
      <c r="N1320" s="3" t="inlineStr">
        <is>
          <t>Cold Soldering</t>
        </is>
      </c>
      <c r="O1320" s="3" t="n">
        <v>570</v>
      </c>
      <c r="P1320" s="9" t="inlineStr">
        <is>
          <t>NSMI24050064481</t>
        </is>
      </c>
      <c r="Q1320" s="53">
        <f>MID(P1320,5,2)</f>
        <v/>
      </c>
      <c r="R1320" s="53">
        <f>MID(P1320,7,2)</f>
        <v/>
      </c>
      <c r="S1320" s="3" t="inlineStr">
        <is>
          <t>G2G</t>
        </is>
      </c>
      <c r="T1320" s="3" t="inlineStr">
        <is>
          <t>P4</t>
        </is>
      </c>
      <c r="U1320" s="3" t="inlineStr">
        <is>
          <t>N JB Cold Soldering</t>
        </is>
      </c>
      <c r="V1320" s="3" t="inlineStr">
        <is>
          <t>Soldering</t>
        </is>
      </c>
      <c r="W1320" s="3" t="inlineStr">
        <is>
          <t>Repair</t>
        </is>
      </c>
      <c r="X1320" s="18" t="n">
        <v>46159</v>
      </c>
      <c r="Y1320" s="3">
        <f>X1320-A1320</f>
        <v/>
      </c>
      <c r="Z1320" s="18" t="n">
        <v>46159</v>
      </c>
      <c r="AA1320" s="15" t="n"/>
      <c r="AB1320" s="15" t="n"/>
    </row>
    <row r="1321" hidden="1" s="233">
      <c r="A1321" s="6" t="n">
        <v>46107</v>
      </c>
      <c r="B1321" s="3" t="n">
        <v>2026</v>
      </c>
      <c r="C1321" s="3" t="inlineStr">
        <is>
          <t>Blupine</t>
        </is>
      </c>
      <c r="D1321" s="3" t="inlineStr">
        <is>
          <t>Utility and C&amp;I</t>
        </is>
      </c>
      <c r="E1321" s="3" t="n"/>
      <c r="F1321" s="3" t="inlineStr">
        <is>
          <t>Closed</t>
        </is>
      </c>
      <c r="G1321" s="3" t="inlineStr">
        <is>
          <t>Chandrashekar Patidar</t>
        </is>
      </c>
      <c r="H1321" s="3" t="n">
        <v>7879764773</v>
      </c>
      <c r="I1321" s="11" t="inlineStr">
        <is>
          <t>PE26032601</t>
        </is>
      </c>
      <c r="J1321" s="3" t="inlineStr">
        <is>
          <t>Module Diode Failure</t>
        </is>
      </c>
      <c r="K1321" s="3" t="inlineStr">
        <is>
          <t>Sadla</t>
        </is>
      </c>
      <c r="L1321" s="3" t="inlineStr">
        <is>
          <t>Gujarat</t>
        </is>
      </c>
      <c r="M1321" s="9" t="inlineStr">
        <is>
          <t>NR</t>
        </is>
      </c>
      <c r="N1321" s="3" t="inlineStr">
        <is>
          <t>JB Issue</t>
        </is>
      </c>
      <c r="O1321" s="3" t="n">
        <v>570</v>
      </c>
      <c r="P1321" s="9" t="inlineStr">
        <is>
          <t>NSMI24050065214</t>
        </is>
      </c>
      <c r="Q1321" s="53">
        <f>MID(P1321,5,2)</f>
        <v/>
      </c>
      <c r="R1321" s="53">
        <f>MID(P1321,7,2)</f>
        <v/>
      </c>
      <c r="S1321" s="3" t="inlineStr">
        <is>
          <t>G2G</t>
        </is>
      </c>
      <c r="T1321" s="3" t="inlineStr">
        <is>
          <t>P4</t>
        </is>
      </c>
      <c r="U1321" s="3" t="inlineStr">
        <is>
          <t>N JB Issue</t>
        </is>
      </c>
      <c r="V1321" s="3" t="inlineStr">
        <is>
          <t>JB Changed</t>
        </is>
      </c>
      <c r="W1321" s="3" t="inlineStr">
        <is>
          <t>Repair</t>
        </is>
      </c>
      <c r="X1321" s="18" t="n">
        <v>46159</v>
      </c>
      <c r="Y1321" s="3">
        <f>X1321-A1321</f>
        <v/>
      </c>
      <c r="Z1321" s="18" t="n">
        <v>46159</v>
      </c>
      <c r="AA1321" s="15" t="n"/>
      <c r="AB1321" s="15" t="n"/>
    </row>
    <row r="1322" hidden="1" s="233">
      <c r="A1322" s="6" t="n">
        <v>46107</v>
      </c>
      <c r="B1322" s="3" t="n">
        <v>2026</v>
      </c>
      <c r="C1322" s="3" t="inlineStr">
        <is>
          <t>Blupine</t>
        </is>
      </c>
      <c r="D1322" s="3" t="inlineStr">
        <is>
          <t>Utility and C&amp;I</t>
        </is>
      </c>
      <c r="E1322" s="3" t="n"/>
      <c r="F1322" s="3" t="inlineStr">
        <is>
          <t>Closed</t>
        </is>
      </c>
      <c r="G1322" s="3" t="inlineStr">
        <is>
          <t>Chandrashekar Patidar</t>
        </is>
      </c>
      <c r="H1322" s="3" t="n">
        <v>7879764773</v>
      </c>
      <c r="I1322" s="11" t="inlineStr">
        <is>
          <t>PE26032601</t>
        </is>
      </c>
      <c r="J1322" s="3" t="inlineStr">
        <is>
          <t>Module Diode Failure</t>
        </is>
      </c>
      <c r="K1322" s="3" t="inlineStr">
        <is>
          <t>Sadla</t>
        </is>
      </c>
      <c r="L1322" s="3" t="inlineStr">
        <is>
          <t>Gujarat</t>
        </is>
      </c>
      <c r="M1322" s="9" t="inlineStr">
        <is>
          <t>NS</t>
        </is>
      </c>
      <c r="N1322" s="3" t="inlineStr">
        <is>
          <t>Cold Soldering</t>
        </is>
      </c>
      <c r="O1322" s="3" t="n">
        <v>570</v>
      </c>
      <c r="P1322" s="9" t="inlineStr">
        <is>
          <t>NSMI24050064423</t>
        </is>
      </c>
      <c r="Q1322" s="53">
        <f>MID(P1322,5,2)</f>
        <v/>
      </c>
      <c r="R1322" s="53">
        <f>MID(P1322,7,2)</f>
        <v/>
      </c>
      <c r="S1322" s="3" t="inlineStr">
        <is>
          <t>G2G</t>
        </is>
      </c>
      <c r="T1322" s="3" t="inlineStr">
        <is>
          <t>P4</t>
        </is>
      </c>
      <c r="U1322" s="3" t="inlineStr">
        <is>
          <t>N JB Cold Soldering</t>
        </is>
      </c>
      <c r="V1322" s="3" t="inlineStr">
        <is>
          <t>Soldering</t>
        </is>
      </c>
      <c r="W1322" s="3" t="inlineStr">
        <is>
          <t>Repair</t>
        </is>
      </c>
      <c r="X1322" s="18" t="n">
        <v>46159</v>
      </c>
      <c r="Y1322" s="3">
        <f>X1322-A1322</f>
        <v/>
      </c>
      <c r="Z1322" s="18" t="n">
        <v>46159</v>
      </c>
      <c r="AA1322" s="15" t="n"/>
      <c r="AB1322" s="15" t="n"/>
    </row>
    <row r="1323" hidden="1" s="233">
      <c r="A1323" s="6" t="n">
        <v>46107</v>
      </c>
      <c r="B1323" s="3" t="n">
        <v>2026</v>
      </c>
      <c r="C1323" s="3" t="inlineStr">
        <is>
          <t>Blupine</t>
        </is>
      </c>
      <c r="D1323" s="3" t="inlineStr">
        <is>
          <t>Utility and C&amp;I</t>
        </is>
      </c>
      <c r="E1323" s="3" t="n"/>
      <c r="F1323" s="3" t="inlineStr">
        <is>
          <t>Closed</t>
        </is>
      </c>
      <c r="G1323" s="3" t="inlineStr">
        <is>
          <t>Chandrashekar Patidar</t>
        </is>
      </c>
      <c r="H1323" s="3" t="n">
        <v>7879764773</v>
      </c>
      <c r="I1323" s="11" t="inlineStr">
        <is>
          <t>PE26032601</t>
        </is>
      </c>
      <c r="J1323" s="3" t="inlineStr">
        <is>
          <t>Module Diode Failure</t>
        </is>
      </c>
      <c r="K1323" s="3" t="inlineStr">
        <is>
          <t>Sadla</t>
        </is>
      </c>
      <c r="L1323" s="3" t="inlineStr">
        <is>
          <t>Gujarat</t>
        </is>
      </c>
      <c r="M1323" s="9" t="inlineStr">
        <is>
          <t>PS</t>
        </is>
      </c>
      <c r="N1323" s="3" t="inlineStr">
        <is>
          <t>Cold Soldering</t>
        </is>
      </c>
      <c r="O1323" s="3" t="n">
        <v>570</v>
      </c>
      <c r="P1323" s="9" t="inlineStr">
        <is>
          <t>NSMI24050064266</t>
        </is>
      </c>
      <c r="Q1323" s="53">
        <f>MID(P1323,5,2)</f>
        <v/>
      </c>
      <c r="R1323" s="53">
        <f>MID(P1323,7,2)</f>
        <v/>
      </c>
      <c r="S1323" s="3" t="inlineStr">
        <is>
          <t>G2G</t>
        </is>
      </c>
      <c r="T1323" s="3" t="inlineStr">
        <is>
          <t>P4</t>
        </is>
      </c>
      <c r="U1323" s="3" t="inlineStr">
        <is>
          <t>P JB Cold Soldering</t>
        </is>
      </c>
      <c r="V1323" s="3" t="inlineStr">
        <is>
          <t>Soldering</t>
        </is>
      </c>
      <c r="W1323" s="3" t="inlineStr">
        <is>
          <t>Repair</t>
        </is>
      </c>
      <c r="X1323" s="18" t="n">
        <v>46159</v>
      </c>
      <c r="Y1323" s="3">
        <f>X1323-A1323</f>
        <v/>
      </c>
      <c r="Z1323" s="18" t="n">
        <v>46159</v>
      </c>
      <c r="AA1323" s="15" t="n"/>
      <c r="AB1323" s="15" t="n"/>
    </row>
    <row r="1324">
      <c r="A1324" s="37" t="n">
        <v>46143</v>
      </c>
      <c r="B1324" s="3" t="n">
        <v>2026</v>
      </c>
      <c r="C1324" s="26" t="inlineStr">
        <is>
          <t>Yanara Power</t>
        </is>
      </c>
      <c r="D1324" s="3" t="inlineStr">
        <is>
          <t>Utility and C&amp;I</t>
        </is>
      </c>
      <c r="E1324" s="3" t="n"/>
      <c r="F1324" s="3" t="inlineStr">
        <is>
          <t>Closed</t>
        </is>
      </c>
      <c r="G1324" s="9" t="inlineStr">
        <is>
          <t xml:space="preserve">Ashish Jindal </t>
        </is>
      </c>
      <c r="H1324" s="26" t="n">
        <v>9983975581</v>
      </c>
      <c r="I1324" s="38" t="inlineStr">
        <is>
          <t>PE01052601</t>
        </is>
      </c>
      <c r="J1324" s="26" t="inlineStr">
        <is>
          <t>Multiple Issues</t>
        </is>
      </c>
      <c r="K1324" s="39" t="inlineStr">
        <is>
          <t>Holi</t>
        </is>
      </c>
      <c r="L1324" s="39" t="inlineStr">
        <is>
          <t>Maharashtra</t>
        </is>
      </c>
      <c r="M1324" s="9" t="inlineStr">
        <is>
          <t>PS</t>
        </is>
      </c>
      <c r="N1324" s="3" t="inlineStr">
        <is>
          <t>Cold Soldering</t>
        </is>
      </c>
      <c r="O1324" s="39" t="n">
        <v>575</v>
      </c>
      <c r="P1324" s="9" t="inlineStr">
        <is>
          <t>NSMI24070198637</t>
        </is>
      </c>
      <c r="Q1324" s="53">
        <f>MID(P1324,5,2)</f>
        <v/>
      </c>
      <c r="R1324" s="53">
        <f>MID(P1324,7,2)</f>
        <v/>
      </c>
      <c r="S1324" s="3" t="inlineStr">
        <is>
          <t>G2G</t>
        </is>
      </c>
      <c r="T1324" s="3" t="inlineStr">
        <is>
          <t>P4</t>
        </is>
      </c>
      <c r="U1324" s="19" t="inlineStr">
        <is>
          <t>P JB Cold Soldering</t>
        </is>
      </c>
      <c r="V1324" s="19" t="inlineStr">
        <is>
          <t>Soldering</t>
        </is>
      </c>
      <c r="W1324" s="3" t="inlineStr">
        <is>
          <t>Repair</t>
        </is>
      </c>
      <c r="X1324" s="18" t="n">
        <v>46158</v>
      </c>
      <c r="Y1324" s="3">
        <f>X1324-A1324</f>
        <v/>
      </c>
      <c r="Z1324" s="18" t="n">
        <v>46158</v>
      </c>
      <c r="AA1324" s="15" t="n"/>
      <c r="AB1324" s="15" t="n"/>
    </row>
    <row r="1325">
      <c r="A1325" s="37" t="n">
        <v>46143</v>
      </c>
      <c r="B1325" s="3" t="n">
        <v>2026</v>
      </c>
      <c r="C1325" s="26" t="inlineStr">
        <is>
          <t>Yanara Power</t>
        </is>
      </c>
      <c r="D1325" s="3" t="inlineStr">
        <is>
          <t>Utility and C&amp;I</t>
        </is>
      </c>
      <c r="E1325" s="3" t="n"/>
      <c r="F1325" s="3" t="inlineStr">
        <is>
          <t>Closed</t>
        </is>
      </c>
      <c r="G1325" s="9" t="inlineStr">
        <is>
          <t xml:space="preserve">Ashish Jindal </t>
        </is>
      </c>
      <c r="H1325" s="26" t="n">
        <v>9983975581</v>
      </c>
      <c r="I1325" s="38" t="inlineStr">
        <is>
          <t>PE01052601</t>
        </is>
      </c>
      <c r="J1325" s="26" t="inlineStr">
        <is>
          <t>Multiple Issues</t>
        </is>
      </c>
      <c r="K1325" s="39" t="inlineStr">
        <is>
          <t>Holi</t>
        </is>
      </c>
      <c r="L1325" s="39" t="inlineStr">
        <is>
          <t>Maharashtra</t>
        </is>
      </c>
      <c r="M1325" s="9" t="inlineStr">
        <is>
          <t>PS</t>
        </is>
      </c>
      <c r="N1325" s="3" t="inlineStr">
        <is>
          <t>Cold Soldering</t>
        </is>
      </c>
      <c r="O1325" s="39" t="n">
        <v>575</v>
      </c>
      <c r="P1325" s="9" t="inlineStr">
        <is>
          <t>NSMI24070199647</t>
        </is>
      </c>
      <c r="Q1325" s="53">
        <f>MID(P1325,5,2)</f>
        <v/>
      </c>
      <c r="R1325" s="53">
        <f>MID(P1325,7,2)</f>
        <v/>
      </c>
      <c r="S1325" s="3" t="inlineStr">
        <is>
          <t>G2G</t>
        </is>
      </c>
      <c r="T1325" s="3" t="inlineStr">
        <is>
          <t>P4</t>
        </is>
      </c>
      <c r="U1325" s="19" t="inlineStr">
        <is>
          <t>P JB Cold Soldering</t>
        </is>
      </c>
      <c r="V1325" s="19" t="inlineStr">
        <is>
          <t>Soldering</t>
        </is>
      </c>
      <c r="W1325" s="3" t="inlineStr">
        <is>
          <t>Repair</t>
        </is>
      </c>
      <c r="X1325" s="18" t="n">
        <v>46158</v>
      </c>
      <c r="Y1325" s="3">
        <f>X1325-A1325</f>
        <v/>
      </c>
      <c r="Z1325" s="18" t="n">
        <v>46158</v>
      </c>
      <c r="AA1325" s="15" t="n"/>
      <c r="AB1325" s="15" t="n"/>
    </row>
    <row r="1326">
      <c r="A1326" s="37" t="n">
        <v>46143</v>
      </c>
      <c r="B1326" s="3" t="n">
        <v>2026</v>
      </c>
      <c r="C1326" s="26" t="inlineStr">
        <is>
          <t>Yanara Power</t>
        </is>
      </c>
      <c r="D1326" s="3" t="inlineStr">
        <is>
          <t>Utility and C&amp;I</t>
        </is>
      </c>
      <c r="E1326" s="3" t="n"/>
      <c r="F1326" s="3" t="inlineStr">
        <is>
          <t>Closed</t>
        </is>
      </c>
      <c r="G1326" s="9" t="inlineStr">
        <is>
          <t xml:space="preserve">Ashish Jindal </t>
        </is>
      </c>
      <c r="H1326" s="26" t="n">
        <v>9983975581</v>
      </c>
      <c r="I1326" s="38" t="inlineStr">
        <is>
          <t>PE01052601</t>
        </is>
      </c>
      <c r="J1326" s="26" t="inlineStr">
        <is>
          <t>Multiple Issues</t>
        </is>
      </c>
      <c r="K1326" s="39" t="inlineStr">
        <is>
          <t>Holi</t>
        </is>
      </c>
      <c r="L1326" s="39" t="inlineStr">
        <is>
          <t>Maharashtra</t>
        </is>
      </c>
      <c r="M1326" s="9" t="inlineStr">
        <is>
          <t>PS</t>
        </is>
      </c>
      <c r="N1326" s="3" t="inlineStr">
        <is>
          <t>Cold Soldering</t>
        </is>
      </c>
      <c r="O1326" s="39" t="n">
        <v>575</v>
      </c>
      <c r="P1326" s="9" t="inlineStr">
        <is>
          <t>NSMI24070215300</t>
        </is>
      </c>
      <c r="Q1326" s="53">
        <f>MID(P1326,5,2)</f>
        <v/>
      </c>
      <c r="R1326" s="53">
        <f>MID(P1326,7,2)</f>
        <v/>
      </c>
      <c r="S1326" s="3" t="inlineStr">
        <is>
          <t>G2G</t>
        </is>
      </c>
      <c r="T1326" s="3" t="inlineStr">
        <is>
          <t>P4</t>
        </is>
      </c>
      <c r="U1326" s="19" t="inlineStr">
        <is>
          <t>P JB Cold Soldering</t>
        </is>
      </c>
      <c r="V1326" s="19" t="inlineStr">
        <is>
          <t>Soldering</t>
        </is>
      </c>
      <c r="W1326" s="3" t="inlineStr">
        <is>
          <t>Repair</t>
        </is>
      </c>
      <c r="X1326" s="18" t="n">
        <v>46158</v>
      </c>
      <c r="Y1326" s="3">
        <f>X1326-A1326</f>
        <v/>
      </c>
      <c r="Z1326" s="18" t="n">
        <v>46158</v>
      </c>
      <c r="AA1326" s="15" t="n"/>
      <c r="AB1326" s="15" t="n"/>
    </row>
    <row r="1327">
      <c r="A1327" s="37" t="n">
        <v>46143</v>
      </c>
      <c r="B1327" s="3" t="n">
        <v>2026</v>
      </c>
      <c r="C1327" s="26" t="inlineStr">
        <is>
          <t>Yanara Power</t>
        </is>
      </c>
      <c r="D1327" s="3" t="inlineStr">
        <is>
          <t>Utility and C&amp;I</t>
        </is>
      </c>
      <c r="E1327" s="3" t="n"/>
      <c r="F1327" s="3" t="inlineStr">
        <is>
          <t>Closed</t>
        </is>
      </c>
      <c r="G1327" s="9" t="inlineStr">
        <is>
          <t xml:space="preserve">Ashish Jindal </t>
        </is>
      </c>
      <c r="H1327" s="26" t="n">
        <v>9983975581</v>
      </c>
      <c r="I1327" s="38" t="inlineStr">
        <is>
          <t>PE01052601</t>
        </is>
      </c>
      <c r="J1327" s="26" t="inlineStr">
        <is>
          <t>Multiple Issues</t>
        </is>
      </c>
      <c r="K1327" s="39" t="inlineStr">
        <is>
          <t>Holi</t>
        </is>
      </c>
      <c r="L1327" s="39" t="inlineStr">
        <is>
          <t>Maharashtra</t>
        </is>
      </c>
      <c r="M1327" s="9" t="inlineStr">
        <is>
          <t>NS</t>
        </is>
      </c>
      <c r="N1327" s="3" t="inlineStr">
        <is>
          <t>Cold Soldering</t>
        </is>
      </c>
      <c r="O1327" s="39" t="n">
        <v>575</v>
      </c>
      <c r="P1327" s="9" t="inlineStr">
        <is>
          <t>NSMI24070181207</t>
        </is>
      </c>
      <c r="Q1327" s="53">
        <f>MID(P1327,5,2)</f>
        <v/>
      </c>
      <c r="R1327" s="53">
        <f>MID(P1327,7,2)</f>
        <v/>
      </c>
      <c r="S1327" s="3" t="inlineStr">
        <is>
          <t>G2G</t>
        </is>
      </c>
      <c r="T1327" s="3" t="inlineStr">
        <is>
          <t>P4</t>
        </is>
      </c>
      <c r="U1327" s="3" t="inlineStr">
        <is>
          <t>N JB Cold Soldering</t>
        </is>
      </c>
      <c r="V1327" s="3" t="inlineStr">
        <is>
          <t>Soldering</t>
        </is>
      </c>
      <c r="W1327" s="3" t="inlineStr">
        <is>
          <t>Repair</t>
        </is>
      </c>
      <c r="X1327" s="18" t="n">
        <v>46158</v>
      </c>
      <c r="Y1327" s="3">
        <f>X1327-A1327</f>
        <v/>
      </c>
      <c r="Z1327" s="18" t="n">
        <v>46158</v>
      </c>
      <c r="AA1327" s="15" t="n"/>
      <c r="AB1327" s="15" t="n"/>
    </row>
    <row r="1328">
      <c r="A1328" s="37" t="n">
        <v>46143</v>
      </c>
      <c r="B1328" s="3" t="n">
        <v>2026</v>
      </c>
      <c r="C1328" s="26" t="inlineStr">
        <is>
          <t>Yanara Power</t>
        </is>
      </c>
      <c r="D1328" s="3" t="inlineStr">
        <is>
          <t>Utility and C&amp;I</t>
        </is>
      </c>
      <c r="E1328" s="3" t="n"/>
      <c r="F1328" s="3" t="inlineStr">
        <is>
          <t>Closed</t>
        </is>
      </c>
      <c r="G1328" s="9" t="inlineStr">
        <is>
          <t xml:space="preserve">Ashish Jindal </t>
        </is>
      </c>
      <c r="H1328" s="26" t="n">
        <v>9983975581</v>
      </c>
      <c r="I1328" s="38" t="inlineStr">
        <is>
          <t>PE01052601</t>
        </is>
      </c>
      <c r="J1328" s="26" t="inlineStr">
        <is>
          <t>Multiple Issues</t>
        </is>
      </c>
      <c r="K1328" s="39" t="inlineStr">
        <is>
          <t>Holi</t>
        </is>
      </c>
      <c r="L1328" s="39" t="inlineStr">
        <is>
          <t>Maharashtra</t>
        </is>
      </c>
      <c r="M1328" s="9" t="inlineStr">
        <is>
          <t>PS</t>
        </is>
      </c>
      <c r="N1328" s="3" t="inlineStr">
        <is>
          <t>Cold Soldering</t>
        </is>
      </c>
      <c r="O1328" s="39" t="n">
        <v>575</v>
      </c>
      <c r="P1328" s="9" t="inlineStr">
        <is>
          <t>NSMI24070181248</t>
        </is>
      </c>
      <c r="Q1328" s="53">
        <f>MID(P1328,5,2)</f>
        <v/>
      </c>
      <c r="R1328" s="53">
        <f>MID(P1328,7,2)</f>
        <v/>
      </c>
      <c r="S1328" s="3" t="inlineStr">
        <is>
          <t>G2G</t>
        </is>
      </c>
      <c r="T1328" s="3" t="inlineStr">
        <is>
          <t>P4</t>
        </is>
      </c>
      <c r="U1328" s="19" t="inlineStr">
        <is>
          <t>P JB Cold Soldering</t>
        </is>
      </c>
      <c r="V1328" s="19" t="inlineStr">
        <is>
          <t>Soldering</t>
        </is>
      </c>
      <c r="W1328" s="3" t="inlineStr">
        <is>
          <t>Repair</t>
        </is>
      </c>
      <c r="X1328" s="18" t="n">
        <v>46158</v>
      </c>
      <c r="Y1328" s="3">
        <f>X1328-A1328</f>
        <v/>
      </c>
      <c r="Z1328" s="18" t="n">
        <v>46158</v>
      </c>
      <c r="AA1328" s="15" t="n"/>
      <c r="AB1328" s="15" t="n"/>
    </row>
    <row r="1329">
      <c r="A1329" s="37" t="n">
        <v>46143</v>
      </c>
      <c r="B1329" s="3" t="n">
        <v>2026</v>
      </c>
      <c r="C1329" s="26" t="inlineStr">
        <is>
          <t>Yanara Power</t>
        </is>
      </c>
      <c r="D1329" s="3" t="inlineStr">
        <is>
          <t>Utility and C&amp;I</t>
        </is>
      </c>
      <c r="E1329" s="3" t="n"/>
      <c r="F1329" s="3" t="inlineStr">
        <is>
          <t>Closed</t>
        </is>
      </c>
      <c r="G1329" s="9" t="inlineStr">
        <is>
          <t xml:space="preserve">Ashish Jindal </t>
        </is>
      </c>
      <c r="H1329" s="26" t="n">
        <v>9983975581</v>
      </c>
      <c r="I1329" s="38" t="inlineStr">
        <is>
          <t>PE01052601</t>
        </is>
      </c>
      <c r="J1329" s="26" t="inlineStr">
        <is>
          <t>Multiple Issues</t>
        </is>
      </c>
      <c r="K1329" s="39" t="inlineStr">
        <is>
          <t>Holi</t>
        </is>
      </c>
      <c r="L1329" s="39" t="inlineStr">
        <is>
          <t>Maharashtra</t>
        </is>
      </c>
      <c r="M1329" s="9" t="inlineStr">
        <is>
          <t>PS</t>
        </is>
      </c>
      <c r="N1329" s="3" t="inlineStr">
        <is>
          <t>Cold Soldering</t>
        </is>
      </c>
      <c r="O1329" s="39" t="n">
        <v>575</v>
      </c>
      <c r="P1329" s="9" t="inlineStr">
        <is>
          <t>NSMI24070181120</t>
        </is>
      </c>
      <c r="Q1329" s="53">
        <f>MID(P1329,5,2)</f>
        <v/>
      </c>
      <c r="R1329" s="53">
        <f>MID(P1329,7,2)</f>
        <v/>
      </c>
      <c r="S1329" s="3" t="inlineStr">
        <is>
          <t>G2G</t>
        </is>
      </c>
      <c r="T1329" s="3" t="inlineStr">
        <is>
          <t>P4</t>
        </is>
      </c>
      <c r="U1329" s="19" t="inlineStr">
        <is>
          <t>P JB Cold Soldering</t>
        </is>
      </c>
      <c r="V1329" s="19" t="inlineStr">
        <is>
          <t>Soldering</t>
        </is>
      </c>
      <c r="W1329" s="3" t="inlineStr">
        <is>
          <t>Repair</t>
        </is>
      </c>
      <c r="X1329" s="18" t="n">
        <v>46158</v>
      </c>
      <c r="Y1329" s="3">
        <f>X1329-A1329</f>
        <v/>
      </c>
      <c r="Z1329" s="18" t="n">
        <v>46158</v>
      </c>
      <c r="AA1329" s="15" t="n"/>
      <c r="AB1329" s="15" t="n"/>
    </row>
    <row r="1330">
      <c r="A1330" s="37" t="n">
        <v>46143</v>
      </c>
      <c r="B1330" s="3" t="n">
        <v>2026</v>
      </c>
      <c r="C1330" s="26" t="inlineStr">
        <is>
          <t>Yanara Power</t>
        </is>
      </c>
      <c r="D1330" s="3" t="inlineStr">
        <is>
          <t>Utility and C&amp;I</t>
        </is>
      </c>
      <c r="E1330" s="3" t="n"/>
      <c r="F1330" s="3" t="inlineStr">
        <is>
          <t>Closed</t>
        </is>
      </c>
      <c r="G1330" s="9" t="inlineStr">
        <is>
          <t xml:space="preserve">Ashish Jindal </t>
        </is>
      </c>
      <c r="H1330" s="26" t="n">
        <v>9983975581</v>
      </c>
      <c r="I1330" s="38" t="inlineStr">
        <is>
          <t>PE01052601</t>
        </is>
      </c>
      <c r="J1330" s="26" t="inlineStr">
        <is>
          <t>Multiple Issues</t>
        </is>
      </c>
      <c r="K1330" s="39" t="inlineStr">
        <is>
          <t>Holi</t>
        </is>
      </c>
      <c r="L1330" s="39" t="inlineStr">
        <is>
          <t>Maharashtra</t>
        </is>
      </c>
      <c r="M1330" s="9" t="inlineStr">
        <is>
          <t>PS</t>
        </is>
      </c>
      <c r="N1330" s="3" t="inlineStr">
        <is>
          <t>Cold Soldering</t>
        </is>
      </c>
      <c r="O1330" s="39" t="n">
        <v>575</v>
      </c>
      <c r="P1330" s="9" t="inlineStr">
        <is>
          <t>NSMI24070181179</t>
        </is>
      </c>
      <c r="Q1330" s="53">
        <f>MID(P1330,5,2)</f>
        <v/>
      </c>
      <c r="R1330" s="53">
        <f>MID(P1330,7,2)</f>
        <v/>
      </c>
      <c r="S1330" s="3" t="inlineStr">
        <is>
          <t>G2G</t>
        </is>
      </c>
      <c r="T1330" s="3" t="inlineStr">
        <is>
          <t>P4</t>
        </is>
      </c>
      <c r="U1330" s="19" t="inlineStr">
        <is>
          <t>P JB Cold Soldering</t>
        </is>
      </c>
      <c r="V1330" s="19" t="inlineStr">
        <is>
          <t>Soldering</t>
        </is>
      </c>
      <c r="W1330" s="3" t="inlineStr">
        <is>
          <t>Repair</t>
        </is>
      </c>
      <c r="X1330" s="18" t="n">
        <v>46158</v>
      </c>
      <c r="Y1330" s="3">
        <f>X1330-A1330</f>
        <v/>
      </c>
      <c r="Z1330" s="18" t="n">
        <v>46158</v>
      </c>
      <c r="AA1330" s="15" t="n"/>
      <c r="AB1330" s="15" t="n"/>
    </row>
    <row r="1331">
      <c r="A1331" s="37" t="n">
        <v>46143</v>
      </c>
      <c r="B1331" s="3" t="n">
        <v>2026</v>
      </c>
      <c r="C1331" s="26" t="inlineStr">
        <is>
          <t>Yanara Power</t>
        </is>
      </c>
      <c r="D1331" s="3" t="inlineStr">
        <is>
          <t>Utility and C&amp;I</t>
        </is>
      </c>
      <c r="E1331" s="3" t="n"/>
      <c r="F1331" s="3" t="inlineStr">
        <is>
          <t>Closed</t>
        </is>
      </c>
      <c r="G1331" s="9" t="inlineStr">
        <is>
          <t xml:space="preserve">Ashish Jindal </t>
        </is>
      </c>
      <c r="H1331" s="26" t="n">
        <v>9983975581</v>
      </c>
      <c r="I1331" s="38" t="inlineStr">
        <is>
          <t>PE01052601</t>
        </is>
      </c>
      <c r="J1331" s="26" t="inlineStr">
        <is>
          <t>Multiple Issues</t>
        </is>
      </c>
      <c r="K1331" s="39" t="inlineStr">
        <is>
          <t>Holi</t>
        </is>
      </c>
      <c r="L1331" s="39" t="inlineStr">
        <is>
          <t>Maharashtra</t>
        </is>
      </c>
      <c r="M1331" s="9" t="inlineStr">
        <is>
          <t>NS</t>
        </is>
      </c>
      <c r="N1331" s="3" t="inlineStr">
        <is>
          <t>Cold Soldering</t>
        </is>
      </c>
      <c r="O1331" s="39" t="n">
        <v>575</v>
      </c>
      <c r="P1331" s="9" t="inlineStr">
        <is>
          <t>NSMI24070178940</t>
        </is>
      </c>
      <c r="Q1331" s="53">
        <f>MID(P1331,5,2)</f>
        <v/>
      </c>
      <c r="R1331" s="53">
        <f>MID(P1331,7,2)</f>
        <v/>
      </c>
      <c r="S1331" s="3" t="inlineStr">
        <is>
          <t>G2G</t>
        </is>
      </c>
      <c r="T1331" s="3" t="inlineStr">
        <is>
          <t>P4</t>
        </is>
      </c>
      <c r="U1331" s="3" t="inlineStr">
        <is>
          <t>N JB Cold Soldering</t>
        </is>
      </c>
      <c r="V1331" s="3" t="inlineStr">
        <is>
          <t>Soldering</t>
        </is>
      </c>
      <c r="W1331" s="3" t="inlineStr">
        <is>
          <t>Repair</t>
        </is>
      </c>
      <c r="X1331" s="18" t="n">
        <v>46158</v>
      </c>
      <c r="Y1331" s="3">
        <f>X1331-A1331</f>
        <v/>
      </c>
      <c r="Z1331" s="18" t="n">
        <v>46158</v>
      </c>
      <c r="AA1331" s="15" t="n"/>
      <c r="AB1331" s="15" t="n"/>
    </row>
    <row r="1332">
      <c r="A1332" s="37" t="n">
        <v>46143</v>
      </c>
      <c r="B1332" s="3" t="n">
        <v>2026</v>
      </c>
      <c r="C1332" s="26" t="inlineStr">
        <is>
          <t>Yanara Power</t>
        </is>
      </c>
      <c r="D1332" s="3" t="inlineStr">
        <is>
          <t>Utility and C&amp;I</t>
        </is>
      </c>
      <c r="E1332" s="3" t="n"/>
      <c r="F1332" s="3" t="inlineStr">
        <is>
          <t>Closed</t>
        </is>
      </c>
      <c r="G1332" s="9" t="inlineStr">
        <is>
          <t xml:space="preserve">Ashish Jindal </t>
        </is>
      </c>
      <c r="H1332" s="26" t="n">
        <v>9983975581</v>
      </c>
      <c r="I1332" s="38" t="inlineStr">
        <is>
          <t>PE01052601</t>
        </is>
      </c>
      <c r="J1332" s="26" t="inlineStr">
        <is>
          <t>Multiple Issues</t>
        </is>
      </c>
      <c r="K1332" s="39" t="inlineStr">
        <is>
          <t>Holi</t>
        </is>
      </c>
      <c r="L1332" s="39" t="inlineStr">
        <is>
          <t>Maharashtra</t>
        </is>
      </c>
      <c r="M1332" s="9" t="inlineStr">
        <is>
          <t>PS</t>
        </is>
      </c>
      <c r="N1332" s="3" t="inlineStr">
        <is>
          <t>Cold Soldering</t>
        </is>
      </c>
      <c r="O1332" s="39" t="n">
        <v>575</v>
      </c>
      <c r="P1332" s="9" t="inlineStr">
        <is>
          <t>NSMI24070177153</t>
        </is>
      </c>
      <c r="Q1332" s="53">
        <f>MID(P1332,5,2)</f>
        <v/>
      </c>
      <c r="R1332" s="53">
        <f>MID(P1332,7,2)</f>
        <v/>
      </c>
      <c r="S1332" s="3" t="inlineStr">
        <is>
          <t>G2G</t>
        </is>
      </c>
      <c r="T1332" s="3" t="inlineStr">
        <is>
          <t>P4</t>
        </is>
      </c>
      <c r="U1332" s="19" t="inlineStr">
        <is>
          <t>P JB Cold Soldering</t>
        </is>
      </c>
      <c r="V1332" s="19" t="inlineStr">
        <is>
          <t>Soldering</t>
        </is>
      </c>
      <c r="W1332" s="3" t="inlineStr">
        <is>
          <t>Repair</t>
        </is>
      </c>
      <c r="X1332" s="18" t="n">
        <v>46158</v>
      </c>
      <c r="Y1332" s="3">
        <f>X1332-A1332</f>
        <v/>
      </c>
      <c r="Z1332" s="18" t="n">
        <v>46158</v>
      </c>
      <c r="AA1332" s="15" t="n"/>
      <c r="AB1332" s="15" t="n"/>
    </row>
    <row r="1333">
      <c r="A1333" s="37" t="n">
        <v>46143</v>
      </c>
      <c r="B1333" s="3" t="n">
        <v>2026</v>
      </c>
      <c r="C1333" s="26" t="inlineStr">
        <is>
          <t>Yanara Power</t>
        </is>
      </c>
      <c r="D1333" s="3" t="inlineStr">
        <is>
          <t>Utility and C&amp;I</t>
        </is>
      </c>
      <c r="E1333" s="3" t="n"/>
      <c r="F1333" s="3" t="inlineStr">
        <is>
          <t>Closed</t>
        </is>
      </c>
      <c r="G1333" s="9" t="inlineStr">
        <is>
          <t xml:space="preserve">Ashish Jindal </t>
        </is>
      </c>
      <c r="H1333" s="26" t="n">
        <v>9983975581</v>
      </c>
      <c r="I1333" s="38" t="inlineStr">
        <is>
          <t>PE01052601</t>
        </is>
      </c>
      <c r="J1333" s="26" t="inlineStr">
        <is>
          <t>Multiple Issues</t>
        </is>
      </c>
      <c r="K1333" s="39" t="inlineStr">
        <is>
          <t>Holi</t>
        </is>
      </c>
      <c r="L1333" s="39" t="inlineStr">
        <is>
          <t>Maharashtra</t>
        </is>
      </c>
      <c r="M1333" s="9" t="inlineStr">
        <is>
          <t>PS</t>
        </is>
      </c>
      <c r="N1333" s="3" t="inlineStr">
        <is>
          <t>Cold Soldering</t>
        </is>
      </c>
      <c r="O1333" s="39" t="n">
        <v>575</v>
      </c>
      <c r="P1333" s="9" t="inlineStr">
        <is>
          <t>NSMI24070203874</t>
        </is>
      </c>
      <c r="Q1333" s="53">
        <f>MID(P1333,5,2)</f>
        <v/>
      </c>
      <c r="R1333" s="53">
        <f>MID(P1333,7,2)</f>
        <v/>
      </c>
      <c r="S1333" s="3" t="inlineStr">
        <is>
          <t>G2G</t>
        </is>
      </c>
      <c r="T1333" s="3" t="inlineStr">
        <is>
          <t>P4</t>
        </is>
      </c>
      <c r="U1333" s="19" t="inlineStr">
        <is>
          <t>P JB Cold Soldering</t>
        </is>
      </c>
      <c r="V1333" s="19" t="inlineStr">
        <is>
          <t>Soldering</t>
        </is>
      </c>
      <c r="W1333" s="3" t="inlineStr">
        <is>
          <t>Repair</t>
        </is>
      </c>
      <c r="X1333" s="18" t="n">
        <v>46158</v>
      </c>
      <c r="Y1333" s="3">
        <f>X1333-A1333</f>
        <v/>
      </c>
      <c r="Z1333" s="18" t="n">
        <v>46158</v>
      </c>
      <c r="AA1333" s="15" t="n"/>
      <c r="AB1333" s="15" t="n"/>
    </row>
    <row r="1334">
      <c r="A1334" s="37" t="n">
        <v>46143</v>
      </c>
      <c r="B1334" s="3" t="n">
        <v>2026</v>
      </c>
      <c r="C1334" s="26" t="inlineStr">
        <is>
          <t>Yanara Power</t>
        </is>
      </c>
      <c r="D1334" s="3" t="inlineStr">
        <is>
          <t>Utility and C&amp;I</t>
        </is>
      </c>
      <c r="E1334" s="3" t="n"/>
      <c r="F1334" s="3" t="inlineStr">
        <is>
          <t>Closed</t>
        </is>
      </c>
      <c r="G1334" s="9" t="inlineStr">
        <is>
          <t xml:space="preserve">Ashish Jindal </t>
        </is>
      </c>
      <c r="H1334" s="26" t="n">
        <v>9983975581</v>
      </c>
      <c r="I1334" s="38" t="inlineStr">
        <is>
          <t>PE01052601</t>
        </is>
      </c>
      <c r="J1334" s="26" t="inlineStr">
        <is>
          <t>Multiple Issues</t>
        </is>
      </c>
      <c r="K1334" s="39" t="inlineStr">
        <is>
          <t>Holi</t>
        </is>
      </c>
      <c r="L1334" s="39" t="inlineStr">
        <is>
          <t>Maharashtra</t>
        </is>
      </c>
      <c r="M1334" s="9" t="inlineStr">
        <is>
          <t>PS</t>
        </is>
      </c>
      <c r="N1334" s="3" t="inlineStr">
        <is>
          <t>Cold Soldering</t>
        </is>
      </c>
      <c r="O1334" s="39" t="n">
        <v>575</v>
      </c>
      <c r="P1334" s="9" t="inlineStr">
        <is>
          <t>NSMI24070217808</t>
        </is>
      </c>
      <c r="Q1334" s="53">
        <f>MID(P1334,5,2)</f>
        <v/>
      </c>
      <c r="R1334" s="53">
        <f>MID(P1334,7,2)</f>
        <v/>
      </c>
      <c r="S1334" s="3" t="inlineStr">
        <is>
          <t>G2G</t>
        </is>
      </c>
      <c r="T1334" s="3" t="inlineStr">
        <is>
          <t>P4</t>
        </is>
      </c>
      <c r="U1334" s="19" t="inlineStr">
        <is>
          <t>P JB Cold Soldering</t>
        </is>
      </c>
      <c r="V1334" s="19" t="inlineStr">
        <is>
          <t>Soldering</t>
        </is>
      </c>
      <c r="W1334" s="3" t="inlineStr">
        <is>
          <t>Repair</t>
        </is>
      </c>
      <c r="X1334" s="18" t="n">
        <v>46158</v>
      </c>
      <c r="Y1334" s="3">
        <f>X1334-A1334</f>
        <v/>
      </c>
      <c r="Z1334" s="18" t="n">
        <v>46158</v>
      </c>
      <c r="AA1334" s="15" t="n"/>
      <c r="AB1334" s="15" t="n"/>
    </row>
    <row r="1335">
      <c r="A1335" s="37" t="n">
        <v>46143</v>
      </c>
      <c r="B1335" s="3" t="n">
        <v>2026</v>
      </c>
      <c r="C1335" s="26" t="inlineStr">
        <is>
          <t>Yanara Power</t>
        </is>
      </c>
      <c r="D1335" s="3" t="inlineStr">
        <is>
          <t>Utility and C&amp;I</t>
        </is>
      </c>
      <c r="E1335" s="3" t="n"/>
      <c r="F1335" s="3" t="inlineStr">
        <is>
          <t>Closed</t>
        </is>
      </c>
      <c r="G1335" s="9" t="inlineStr">
        <is>
          <t xml:space="preserve">Ashish Jindal </t>
        </is>
      </c>
      <c r="H1335" s="26" t="n">
        <v>9983975581</v>
      </c>
      <c r="I1335" s="38" t="inlineStr">
        <is>
          <t>PE01052601</t>
        </is>
      </c>
      <c r="J1335" s="26" t="inlineStr">
        <is>
          <t>Multiple Issues</t>
        </is>
      </c>
      <c r="K1335" s="39" t="inlineStr">
        <is>
          <t>Holi</t>
        </is>
      </c>
      <c r="L1335" s="39" t="inlineStr">
        <is>
          <t>Maharashtra</t>
        </is>
      </c>
      <c r="M1335" s="9" t="inlineStr">
        <is>
          <t>PS</t>
        </is>
      </c>
      <c r="N1335" s="3" t="inlineStr">
        <is>
          <t>Cold Soldering</t>
        </is>
      </c>
      <c r="O1335" s="39" t="n">
        <v>575</v>
      </c>
      <c r="P1335" s="9" t="inlineStr">
        <is>
          <t>NSMI24070217810</t>
        </is>
      </c>
      <c r="Q1335" s="53">
        <f>MID(P1335,5,2)</f>
        <v/>
      </c>
      <c r="R1335" s="53">
        <f>MID(P1335,7,2)</f>
        <v/>
      </c>
      <c r="S1335" s="3" t="inlineStr">
        <is>
          <t>G2G</t>
        </is>
      </c>
      <c r="T1335" s="3" t="inlineStr">
        <is>
          <t>P4</t>
        </is>
      </c>
      <c r="U1335" s="19" t="inlineStr">
        <is>
          <t>P JB Cold Soldering</t>
        </is>
      </c>
      <c r="V1335" s="19" t="inlineStr">
        <is>
          <t>Soldering</t>
        </is>
      </c>
      <c r="W1335" s="3" t="inlineStr">
        <is>
          <t>Repair</t>
        </is>
      </c>
      <c r="X1335" s="18" t="n">
        <v>46158</v>
      </c>
      <c r="Y1335" s="3">
        <f>X1335-A1335</f>
        <v/>
      </c>
      <c r="Z1335" s="18" t="n">
        <v>46158</v>
      </c>
      <c r="AA1335" s="15" t="n"/>
      <c r="AB1335" s="15" t="n"/>
    </row>
    <row r="1336">
      <c r="A1336" s="37" t="n">
        <v>46143</v>
      </c>
      <c r="B1336" s="3" t="n">
        <v>2026</v>
      </c>
      <c r="C1336" s="26" t="inlineStr">
        <is>
          <t>Yanara Power</t>
        </is>
      </c>
      <c r="D1336" s="3" t="inlineStr">
        <is>
          <t>Utility and C&amp;I</t>
        </is>
      </c>
      <c r="E1336" s="3" t="n"/>
      <c r="F1336" s="3" t="inlineStr">
        <is>
          <t>Closed</t>
        </is>
      </c>
      <c r="G1336" s="9" t="inlineStr">
        <is>
          <t xml:space="preserve">Ashish Jindal </t>
        </is>
      </c>
      <c r="H1336" s="26" t="n">
        <v>9983975581</v>
      </c>
      <c r="I1336" s="38" t="inlineStr">
        <is>
          <t>PE01052601</t>
        </is>
      </c>
      <c r="J1336" s="26" t="inlineStr">
        <is>
          <t>Multiple Issues</t>
        </is>
      </c>
      <c r="K1336" s="39" t="inlineStr">
        <is>
          <t>Holi</t>
        </is>
      </c>
      <c r="L1336" s="39" t="inlineStr">
        <is>
          <t>Maharashtra</t>
        </is>
      </c>
      <c r="M1336" s="9" t="inlineStr">
        <is>
          <t>PS</t>
        </is>
      </c>
      <c r="N1336" s="3" t="inlineStr">
        <is>
          <t>Cold Soldering</t>
        </is>
      </c>
      <c r="O1336" s="39" t="n">
        <v>575</v>
      </c>
      <c r="P1336" s="9" t="inlineStr">
        <is>
          <t>NSMI24070198414</t>
        </is>
      </c>
      <c r="Q1336" s="53">
        <f>MID(P1336,5,2)</f>
        <v/>
      </c>
      <c r="R1336" s="53">
        <f>MID(P1336,7,2)</f>
        <v/>
      </c>
      <c r="S1336" s="3" t="inlineStr">
        <is>
          <t>G2G</t>
        </is>
      </c>
      <c r="T1336" s="3" t="inlineStr">
        <is>
          <t>P4</t>
        </is>
      </c>
      <c r="U1336" s="19" t="inlineStr">
        <is>
          <t>P JB Cold Soldering</t>
        </is>
      </c>
      <c r="V1336" s="19" t="inlineStr">
        <is>
          <t>Soldering</t>
        </is>
      </c>
      <c r="W1336" s="3" t="inlineStr">
        <is>
          <t>Repair</t>
        </is>
      </c>
      <c r="X1336" s="18" t="n">
        <v>46158</v>
      </c>
      <c r="Y1336" s="3">
        <f>X1336-A1336</f>
        <v/>
      </c>
      <c r="Z1336" s="18" t="n">
        <v>46158</v>
      </c>
      <c r="AA1336" s="15" t="n"/>
      <c r="AB1336" s="15" t="n"/>
    </row>
    <row r="1337">
      <c r="A1337" s="37" t="n">
        <v>46143</v>
      </c>
      <c r="B1337" s="3" t="n">
        <v>2026</v>
      </c>
      <c r="C1337" s="26" t="inlineStr">
        <is>
          <t>Yanara Power</t>
        </is>
      </c>
      <c r="D1337" s="3" t="inlineStr">
        <is>
          <t>Utility and C&amp;I</t>
        </is>
      </c>
      <c r="E1337" s="3" t="n"/>
      <c r="F1337" s="3" t="inlineStr">
        <is>
          <t>Closed</t>
        </is>
      </c>
      <c r="G1337" s="9" t="inlineStr">
        <is>
          <t xml:space="preserve">Ashish Jindal </t>
        </is>
      </c>
      <c r="H1337" s="26" t="n">
        <v>9983975581</v>
      </c>
      <c r="I1337" s="38" t="inlineStr">
        <is>
          <t>PE01052601</t>
        </is>
      </c>
      <c r="J1337" s="26" t="inlineStr">
        <is>
          <t>Multiple Issues</t>
        </is>
      </c>
      <c r="K1337" s="39" t="inlineStr">
        <is>
          <t>Holi</t>
        </is>
      </c>
      <c r="L1337" s="39" t="inlineStr">
        <is>
          <t>Maharashtra</t>
        </is>
      </c>
      <c r="M1337" s="9" t="inlineStr">
        <is>
          <t>NS</t>
        </is>
      </c>
      <c r="N1337" s="3" t="inlineStr">
        <is>
          <t>Cold Soldering</t>
        </is>
      </c>
      <c r="O1337" s="39" t="n">
        <v>575</v>
      </c>
      <c r="P1337" s="9" t="inlineStr">
        <is>
          <t>NSMI24070198509</t>
        </is>
      </c>
      <c r="Q1337" s="53">
        <f>MID(P1337,5,2)</f>
        <v/>
      </c>
      <c r="R1337" s="53">
        <f>MID(P1337,7,2)</f>
        <v/>
      </c>
      <c r="S1337" s="3" t="inlineStr">
        <is>
          <t>G2G</t>
        </is>
      </c>
      <c r="T1337" s="3" t="inlineStr">
        <is>
          <t>P4</t>
        </is>
      </c>
      <c r="U1337" s="3" t="inlineStr">
        <is>
          <t>N JB Cold Soldering</t>
        </is>
      </c>
      <c r="V1337" s="3" t="inlineStr">
        <is>
          <t>Soldering</t>
        </is>
      </c>
      <c r="W1337" s="3" t="inlineStr">
        <is>
          <t>Repair</t>
        </is>
      </c>
      <c r="X1337" s="18" t="n">
        <v>46158</v>
      </c>
      <c r="Y1337" s="3">
        <f>X1337-A1337</f>
        <v/>
      </c>
      <c r="Z1337" s="18" t="n">
        <v>46158</v>
      </c>
      <c r="AA1337" s="15" t="n"/>
      <c r="AB1337" s="15" t="n"/>
    </row>
    <row r="1338">
      <c r="A1338" s="37" t="n">
        <v>46143</v>
      </c>
      <c r="B1338" s="3" t="n">
        <v>2026</v>
      </c>
      <c r="C1338" s="26" t="inlineStr">
        <is>
          <t>Yanara Power</t>
        </is>
      </c>
      <c r="D1338" s="3" t="inlineStr">
        <is>
          <t>Utility and C&amp;I</t>
        </is>
      </c>
      <c r="E1338" s="3" t="n"/>
      <c r="F1338" s="3" t="inlineStr">
        <is>
          <t>Closed</t>
        </is>
      </c>
      <c r="G1338" s="9" t="inlineStr">
        <is>
          <t xml:space="preserve">Ashish Jindal </t>
        </is>
      </c>
      <c r="H1338" s="26" t="n">
        <v>9983975581</v>
      </c>
      <c r="I1338" s="38" t="inlineStr">
        <is>
          <t>PE01052601</t>
        </is>
      </c>
      <c r="J1338" s="26" t="inlineStr">
        <is>
          <t>Multiple Issues</t>
        </is>
      </c>
      <c r="K1338" s="39" t="inlineStr">
        <is>
          <t>Holi</t>
        </is>
      </c>
      <c r="L1338" s="39" t="inlineStr">
        <is>
          <t>Maharashtra</t>
        </is>
      </c>
      <c r="M1338" s="9" t="inlineStr">
        <is>
          <t>NS</t>
        </is>
      </c>
      <c r="N1338" s="3" t="inlineStr">
        <is>
          <t>Cold Soldering</t>
        </is>
      </c>
      <c r="O1338" s="39" t="n">
        <v>575</v>
      </c>
      <c r="P1338" s="9" t="inlineStr">
        <is>
          <t>NSMI24070190781</t>
        </is>
      </c>
      <c r="Q1338" s="53">
        <f>MID(P1338,5,2)</f>
        <v/>
      </c>
      <c r="R1338" s="53">
        <f>MID(P1338,7,2)</f>
        <v/>
      </c>
      <c r="S1338" s="3" t="inlineStr">
        <is>
          <t>G2G</t>
        </is>
      </c>
      <c r="T1338" s="3" t="inlineStr">
        <is>
          <t>P4</t>
        </is>
      </c>
      <c r="U1338" s="3" t="inlineStr">
        <is>
          <t>N JB Cold Soldering</t>
        </is>
      </c>
      <c r="V1338" s="3" t="inlineStr">
        <is>
          <t>Soldering</t>
        </is>
      </c>
      <c r="W1338" s="3" t="inlineStr">
        <is>
          <t>Repair</t>
        </is>
      </c>
      <c r="X1338" s="18" t="n">
        <v>46158</v>
      </c>
      <c r="Y1338" s="3">
        <f>X1338-A1338</f>
        <v/>
      </c>
      <c r="Z1338" s="18" t="n">
        <v>46158</v>
      </c>
      <c r="AA1338" s="15" t="n"/>
      <c r="AB1338" s="15" t="n"/>
    </row>
    <row r="1339">
      <c r="A1339" s="37" t="n">
        <v>46143</v>
      </c>
      <c r="B1339" s="3" t="n">
        <v>2026</v>
      </c>
      <c r="C1339" s="26" t="inlineStr">
        <is>
          <t>Yanara Power</t>
        </is>
      </c>
      <c r="D1339" s="3" t="inlineStr">
        <is>
          <t>Utility and C&amp;I</t>
        </is>
      </c>
      <c r="E1339" s="3" t="n"/>
      <c r="F1339" s="3" t="inlineStr">
        <is>
          <t>Closed</t>
        </is>
      </c>
      <c r="G1339" s="9" t="inlineStr">
        <is>
          <t xml:space="preserve">Ashish Jindal </t>
        </is>
      </c>
      <c r="H1339" s="26" t="n">
        <v>9983975581</v>
      </c>
      <c r="I1339" s="38" t="inlineStr">
        <is>
          <t>PE01052601</t>
        </is>
      </c>
      <c r="J1339" s="26" t="inlineStr">
        <is>
          <t>Multiple Issues</t>
        </is>
      </c>
      <c r="K1339" s="39" t="inlineStr">
        <is>
          <t>Holi</t>
        </is>
      </c>
      <c r="L1339" s="39" t="inlineStr">
        <is>
          <t>Maharashtra</t>
        </is>
      </c>
      <c r="M1339" s="9" t="inlineStr">
        <is>
          <t>NS</t>
        </is>
      </c>
      <c r="N1339" s="3" t="inlineStr">
        <is>
          <t>Cold Soldering</t>
        </is>
      </c>
      <c r="O1339" s="39" t="n">
        <v>575</v>
      </c>
      <c r="P1339" s="9" t="inlineStr">
        <is>
          <t>NSMI24070190666</t>
        </is>
      </c>
      <c r="Q1339" s="53">
        <f>MID(P1339,5,2)</f>
        <v/>
      </c>
      <c r="R1339" s="53">
        <f>MID(P1339,7,2)</f>
        <v/>
      </c>
      <c r="S1339" s="3" t="inlineStr">
        <is>
          <t>G2G</t>
        </is>
      </c>
      <c r="T1339" s="3" t="inlineStr">
        <is>
          <t>P4</t>
        </is>
      </c>
      <c r="U1339" s="3" t="inlineStr">
        <is>
          <t>N JB Cold Soldering</t>
        </is>
      </c>
      <c r="V1339" s="3" t="inlineStr">
        <is>
          <t>Soldering</t>
        </is>
      </c>
      <c r="W1339" s="3" t="inlineStr">
        <is>
          <t>Repair</t>
        </is>
      </c>
      <c r="X1339" s="18" t="n">
        <v>46158</v>
      </c>
      <c r="Y1339" s="3">
        <f>X1339-A1339</f>
        <v/>
      </c>
      <c r="Z1339" s="18" t="n">
        <v>46158</v>
      </c>
      <c r="AA1339" s="15" t="n"/>
      <c r="AB1339" s="15" t="n"/>
    </row>
    <row r="1340">
      <c r="A1340" s="37" t="n">
        <v>46143</v>
      </c>
      <c r="B1340" s="3" t="n">
        <v>2026</v>
      </c>
      <c r="C1340" s="26" t="inlineStr">
        <is>
          <t>Yanara Power</t>
        </is>
      </c>
      <c r="D1340" s="3" t="inlineStr">
        <is>
          <t>Utility and C&amp;I</t>
        </is>
      </c>
      <c r="E1340" s="3" t="n"/>
      <c r="F1340" s="3" t="inlineStr">
        <is>
          <t>Closed</t>
        </is>
      </c>
      <c r="G1340" s="9" t="inlineStr">
        <is>
          <t xml:space="preserve">Ashish Jindal </t>
        </is>
      </c>
      <c r="H1340" s="26" t="n">
        <v>9983975581</v>
      </c>
      <c r="I1340" s="38" t="inlineStr">
        <is>
          <t>PE01052601</t>
        </is>
      </c>
      <c r="J1340" s="26" t="inlineStr">
        <is>
          <t>Multiple Issues</t>
        </is>
      </c>
      <c r="K1340" s="39" t="inlineStr">
        <is>
          <t>Holi</t>
        </is>
      </c>
      <c r="L1340" s="39" t="inlineStr">
        <is>
          <t>Maharashtra</t>
        </is>
      </c>
      <c r="M1340" s="9" t="inlineStr">
        <is>
          <t>PS</t>
        </is>
      </c>
      <c r="N1340" s="3" t="inlineStr">
        <is>
          <t>Cold Soldering</t>
        </is>
      </c>
      <c r="O1340" s="39" t="n">
        <v>575</v>
      </c>
      <c r="P1340" s="9" t="inlineStr">
        <is>
          <t>NSMI24070190760</t>
        </is>
      </c>
      <c r="Q1340" s="53">
        <f>MID(P1340,5,2)</f>
        <v/>
      </c>
      <c r="R1340" s="53">
        <f>MID(P1340,7,2)</f>
        <v/>
      </c>
      <c r="S1340" s="3" t="inlineStr">
        <is>
          <t>G2G</t>
        </is>
      </c>
      <c r="T1340" s="3" t="inlineStr">
        <is>
          <t>P4</t>
        </is>
      </c>
      <c r="U1340" s="19" t="inlineStr">
        <is>
          <t>P JB Cold Soldering</t>
        </is>
      </c>
      <c r="V1340" s="19" t="inlineStr">
        <is>
          <t>Soldering</t>
        </is>
      </c>
      <c r="W1340" s="3" t="inlineStr">
        <is>
          <t>Repair</t>
        </is>
      </c>
      <c r="X1340" s="18" t="n">
        <v>46158</v>
      </c>
      <c r="Y1340" s="3">
        <f>X1340-A1340</f>
        <v/>
      </c>
      <c r="Z1340" s="18" t="n">
        <v>46158</v>
      </c>
      <c r="AA1340" s="15" t="n"/>
      <c r="AB1340" s="15" t="n"/>
    </row>
    <row r="1341">
      <c r="A1341" s="37" t="n">
        <v>46143</v>
      </c>
      <c r="B1341" s="3" t="n">
        <v>2026</v>
      </c>
      <c r="C1341" s="26" t="inlineStr">
        <is>
          <t>Yanara Power</t>
        </is>
      </c>
      <c r="D1341" s="3" t="inlineStr">
        <is>
          <t>Utility and C&amp;I</t>
        </is>
      </c>
      <c r="E1341" s="3" t="n"/>
      <c r="F1341" s="3" t="inlineStr">
        <is>
          <t>Closed</t>
        </is>
      </c>
      <c r="G1341" s="9" t="inlineStr">
        <is>
          <t xml:space="preserve">Ashish Jindal </t>
        </is>
      </c>
      <c r="H1341" s="26" t="n">
        <v>9983975581</v>
      </c>
      <c r="I1341" s="38" t="inlineStr">
        <is>
          <t>PE01052601</t>
        </is>
      </c>
      <c r="J1341" s="26" t="inlineStr">
        <is>
          <t>Multiple Issues</t>
        </is>
      </c>
      <c r="K1341" s="39" t="inlineStr">
        <is>
          <t>Holi</t>
        </is>
      </c>
      <c r="L1341" s="39" t="inlineStr">
        <is>
          <t>Maharashtra</t>
        </is>
      </c>
      <c r="M1341" s="9" t="inlineStr">
        <is>
          <t>PS</t>
        </is>
      </c>
      <c r="N1341" s="3" t="inlineStr">
        <is>
          <t>Cold Soldering</t>
        </is>
      </c>
      <c r="O1341" s="39" t="n">
        <v>575</v>
      </c>
      <c r="P1341" s="9" t="inlineStr">
        <is>
          <t>NSMI24070190852</t>
        </is>
      </c>
      <c r="Q1341" s="53">
        <f>MID(P1341,5,2)</f>
        <v/>
      </c>
      <c r="R1341" s="53">
        <f>MID(P1341,7,2)</f>
        <v/>
      </c>
      <c r="S1341" s="3" t="inlineStr">
        <is>
          <t>G2G</t>
        </is>
      </c>
      <c r="T1341" s="3" t="inlineStr">
        <is>
          <t>P4</t>
        </is>
      </c>
      <c r="U1341" s="19" t="inlineStr">
        <is>
          <t>P JB Cold Soldering</t>
        </is>
      </c>
      <c r="V1341" s="19" t="inlineStr">
        <is>
          <t>Soldering</t>
        </is>
      </c>
      <c r="W1341" s="3" t="inlineStr">
        <is>
          <t>Repair</t>
        </is>
      </c>
      <c r="X1341" s="18" t="n">
        <v>46158</v>
      </c>
      <c r="Y1341" s="3">
        <f>X1341-A1341</f>
        <v/>
      </c>
      <c r="Z1341" s="18" t="n">
        <v>46158</v>
      </c>
      <c r="AA1341" s="15" t="n"/>
      <c r="AB1341" s="15" t="n"/>
    </row>
    <row r="1342">
      <c r="A1342" s="37" t="n">
        <v>46143</v>
      </c>
      <c r="B1342" s="3" t="n">
        <v>2026</v>
      </c>
      <c r="C1342" s="26" t="inlineStr">
        <is>
          <t>Yanara Power</t>
        </is>
      </c>
      <c r="D1342" s="3" t="inlineStr">
        <is>
          <t>Utility and C&amp;I</t>
        </is>
      </c>
      <c r="E1342" s="3" t="n"/>
      <c r="F1342" s="3" t="inlineStr">
        <is>
          <t>Closed</t>
        </is>
      </c>
      <c r="G1342" s="9" t="inlineStr">
        <is>
          <t xml:space="preserve">Ashish Jindal </t>
        </is>
      </c>
      <c r="H1342" s="26" t="n">
        <v>9983975581</v>
      </c>
      <c r="I1342" s="38" t="inlineStr">
        <is>
          <t>PE01052601</t>
        </is>
      </c>
      <c r="J1342" s="26" t="inlineStr">
        <is>
          <t>Multiple Issues</t>
        </is>
      </c>
      <c r="K1342" s="39" t="inlineStr">
        <is>
          <t>Holi</t>
        </is>
      </c>
      <c r="L1342" s="39" t="inlineStr">
        <is>
          <t>Maharashtra</t>
        </is>
      </c>
      <c r="M1342" s="9" t="inlineStr">
        <is>
          <t>PS</t>
        </is>
      </c>
      <c r="N1342" s="3" t="inlineStr">
        <is>
          <t>Cold Soldering</t>
        </is>
      </c>
      <c r="O1342" s="39" t="n">
        <v>575</v>
      </c>
      <c r="P1342" s="9" t="inlineStr">
        <is>
          <t>NSMI24070217899</t>
        </is>
      </c>
      <c r="Q1342" s="53">
        <f>MID(P1342,5,2)</f>
        <v/>
      </c>
      <c r="R1342" s="53">
        <f>MID(P1342,7,2)</f>
        <v/>
      </c>
      <c r="S1342" s="3" t="inlineStr">
        <is>
          <t>G2G</t>
        </is>
      </c>
      <c r="T1342" s="3" t="inlineStr">
        <is>
          <t>P4</t>
        </is>
      </c>
      <c r="U1342" s="19" t="inlineStr">
        <is>
          <t>P JB Cold Soldering</t>
        </is>
      </c>
      <c r="V1342" s="19" t="inlineStr">
        <is>
          <t>Soldering</t>
        </is>
      </c>
      <c r="W1342" s="3" t="inlineStr">
        <is>
          <t>Repair</t>
        </is>
      </c>
      <c r="X1342" s="18" t="n">
        <v>46158</v>
      </c>
      <c r="Y1342" s="3">
        <f>X1342-A1342</f>
        <v/>
      </c>
      <c r="Z1342" s="18" t="n">
        <v>46158</v>
      </c>
      <c r="AA1342" s="15" t="n"/>
      <c r="AB1342" s="15" t="n"/>
    </row>
    <row r="1343">
      <c r="A1343" s="37" t="n">
        <v>46143</v>
      </c>
      <c r="B1343" s="3" t="n">
        <v>2026</v>
      </c>
      <c r="C1343" s="26" t="inlineStr">
        <is>
          <t>Yanara Power</t>
        </is>
      </c>
      <c r="D1343" s="3" t="inlineStr">
        <is>
          <t>Utility and C&amp;I</t>
        </is>
      </c>
      <c r="E1343" s="3" t="n"/>
      <c r="F1343" s="3" t="inlineStr">
        <is>
          <t>Closed</t>
        </is>
      </c>
      <c r="G1343" s="9" t="inlineStr">
        <is>
          <t xml:space="preserve">Ashish Jindal </t>
        </is>
      </c>
      <c r="H1343" s="26" t="n">
        <v>9983975581</v>
      </c>
      <c r="I1343" s="38" t="inlineStr">
        <is>
          <t>PE01052601</t>
        </is>
      </c>
      <c r="J1343" s="26" t="inlineStr">
        <is>
          <t>Multiple Issues</t>
        </is>
      </c>
      <c r="K1343" s="39" t="inlineStr">
        <is>
          <t>Holi</t>
        </is>
      </c>
      <c r="L1343" s="39" t="inlineStr">
        <is>
          <t>Maharashtra</t>
        </is>
      </c>
      <c r="M1343" s="9" t="inlineStr">
        <is>
          <t>PS</t>
        </is>
      </c>
      <c r="N1343" s="3" t="inlineStr">
        <is>
          <t>Cold Soldering</t>
        </is>
      </c>
      <c r="O1343" s="39" t="n">
        <v>575</v>
      </c>
      <c r="P1343" s="9" t="inlineStr">
        <is>
          <t>NSMI24070217507</t>
        </is>
      </c>
      <c r="Q1343" s="53">
        <f>MID(P1343,5,2)</f>
        <v/>
      </c>
      <c r="R1343" s="53">
        <f>MID(P1343,7,2)</f>
        <v/>
      </c>
      <c r="S1343" s="3" t="inlineStr">
        <is>
          <t>G2G</t>
        </is>
      </c>
      <c r="T1343" s="3" t="inlineStr">
        <is>
          <t>P4</t>
        </is>
      </c>
      <c r="U1343" s="19" t="inlineStr">
        <is>
          <t>P JB Cold Soldering</t>
        </is>
      </c>
      <c r="V1343" s="19" t="inlineStr">
        <is>
          <t>Soldering</t>
        </is>
      </c>
      <c r="W1343" s="3" t="inlineStr">
        <is>
          <t>Repair</t>
        </is>
      </c>
      <c r="X1343" s="18" t="n">
        <v>46158</v>
      </c>
      <c r="Y1343" s="3">
        <f>X1343-A1343</f>
        <v/>
      </c>
      <c r="Z1343" s="18" t="n">
        <v>46158</v>
      </c>
      <c r="AA1343" s="15" t="n"/>
      <c r="AB1343" s="15" t="n"/>
    </row>
    <row r="1344">
      <c r="A1344" s="37" t="n">
        <v>46143</v>
      </c>
      <c r="B1344" s="3" t="n">
        <v>2026</v>
      </c>
      <c r="C1344" s="26" t="inlineStr">
        <is>
          <t>Yanara Power</t>
        </is>
      </c>
      <c r="D1344" s="3" t="inlineStr">
        <is>
          <t>Utility and C&amp;I</t>
        </is>
      </c>
      <c r="E1344" s="3" t="n"/>
      <c r="F1344" s="3" t="inlineStr">
        <is>
          <t>Closed</t>
        </is>
      </c>
      <c r="G1344" s="9" t="inlineStr">
        <is>
          <t xml:space="preserve">Ashish Jindal </t>
        </is>
      </c>
      <c r="H1344" s="26" t="n">
        <v>9983975581</v>
      </c>
      <c r="I1344" s="38" t="inlineStr">
        <is>
          <t>PE01052601</t>
        </is>
      </c>
      <c r="J1344" s="26" t="inlineStr">
        <is>
          <t>Multiple Issues</t>
        </is>
      </c>
      <c r="K1344" s="39" t="inlineStr">
        <is>
          <t>Holi</t>
        </is>
      </c>
      <c r="L1344" s="39" t="inlineStr">
        <is>
          <t>Maharashtra</t>
        </is>
      </c>
      <c r="M1344" s="9" t="inlineStr">
        <is>
          <t>PS</t>
        </is>
      </c>
      <c r="N1344" s="3" t="inlineStr">
        <is>
          <t>Cold Soldering</t>
        </is>
      </c>
      <c r="O1344" s="39" t="n">
        <v>575</v>
      </c>
      <c r="P1344" s="9" t="inlineStr">
        <is>
          <t>NSMI24070217885</t>
        </is>
      </c>
      <c r="Q1344" s="53">
        <f>MID(P1344,5,2)</f>
        <v/>
      </c>
      <c r="R1344" s="53">
        <f>MID(P1344,7,2)</f>
        <v/>
      </c>
      <c r="S1344" s="3" t="inlineStr">
        <is>
          <t>G2G</t>
        </is>
      </c>
      <c r="T1344" s="3" t="inlineStr">
        <is>
          <t>P4</t>
        </is>
      </c>
      <c r="U1344" s="19" t="inlineStr">
        <is>
          <t>P JB Cold Soldering</t>
        </is>
      </c>
      <c r="V1344" s="19" t="inlineStr">
        <is>
          <t>Soldering</t>
        </is>
      </c>
      <c r="W1344" s="3" t="inlineStr">
        <is>
          <t>Repair</t>
        </is>
      </c>
      <c r="X1344" s="18" t="n">
        <v>46158</v>
      </c>
      <c r="Y1344" s="3">
        <f>X1344-A1344</f>
        <v/>
      </c>
      <c r="Z1344" s="18" t="n">
        <v>46158</v>
      </c>
      <c r="AA1344" s="15" t="n"/>
      <c r="AB1344" s="15" t="n"/>
    </row>
    <row r="1345">
      <c r="A1345" s="37" t="n">
        <v>46143</v>
      </c>
      <c r="B1345" s="3" t="n">
        <v>2026</v>
      </c>
      <c r="C1345" s="26" t="inlineStr">
        <is>
          <t>Yanara Power</t>
        </is>
      </c>
      <c r="D1345" s="3" t="inlineStr">
        <is>
          <t>Utility and C&amp;I</t>
        </is>
      </c>
      <c r="E1345" s="3" t="n"/>
      <c r="F1345" s="3" t="inlineStr">
        <is>
          <t>Closed</t>
        </is>
      </c>
      <c r="G1345" s="9" t="inlineStr">
        <is>
          <t xml:space="preserve">Ashish Jindal </t>
        </is>
      </c>
      <c r="H1345" s="26" t="n">
        <v>9983975581</v>
      </c>
      <c r="I1345" s="38" t="inlineStr">
        <is>
          <t>PE01052601</t>
        </is>
      </c>
      <c r="J1345" s="26" t="inlineStr">
        <is>
          <t>Multiple Issues</t>
        </is>
      </c>
      <c r="K1345" s="39" t="inlineStr">
        <is>
          <t>Holi</t>
        </is>
      </c>
      <c r="L1345" s="39" t="inlineStr">
        <is>
          <t>Maharashtra</t>
        </is>
      </c>
      <c r="M1345" s="9" t="inlineStr">
        <is>
          <t>NS</t>
        </is>
      </c>
      <c r="N1345" s="3" t="inlineStr">
        <is>
          <t>Cold Soldering</t>
        </is>
      </c>
      <c r="O1345" s="39" t="n">
        <v>575</v>
      </c>
      <c r="P1345" s="9" t="inlineStr">
        <is>
          <t>NSMI24070194989</t>
        </is>
      </c>
      <c r="Q1345" s="53">
        <f>MID(P1345,5,2)</f>
        <v/>
      </c>
      <c r="R1345" s="53">
        <f>MID(P1345,7,2)</f>
        <v/>
      </c>
      <c r="S1345" s="3" t="inlineStr">
        <is>
          <t>G2G</t>
        </is>
      </c>
      <c r="T1345" s="3" t="inlineStr">
        <is>
          <t>P4</t>
        </is>
      </c>
      <c r="U1345" s="3" t="inlineStr">
        <is>
          <t>N JB Cold Soldering</t>
        </is>
      </c>
      <c r="V1345" s="3" t="inlineStr">
        <is>
          <t>Soldering</t>
        </is>
      </c>
      <c r="W1345" s="3" t="inlineStr">
        <is>
          <t>Repair</t>
        </is>
      </c>
      <c r="X1345" s="18" t="n">
        <v>46158</v>
      </c>
      <c r="Y1345" s="3">
        <f>X1345-A1345</f>
        <v/>
      </c>
      <c r="Z1345" s="18" t="n">
        <v>46158</v>
      </c>
      <c r="AA1345" s="15" t="n"/>
      <c r="AB1345" s="15" t="n"/>
    </row>
    <row r="1346">
      <c r="A1346" s="37" t="n">
        <v>46143</v>
      </c>
      <c r="B1346" s="3" t="n">
        <v>2026</v>
      </c>
      <c r="C1346" s="26" t="inlineStr">
        <is>
          <t>Yanara Power</t>
        </is>
      </c>
      <c r="D1346" s="3" t="inlineStr">
        <is>
          <t>Utility and C&amp;I</t>
        </is>
      </c>
      <c r="E1346" s="3" t="n"/>
      <c r="F1346" s="3" t="inlineStr">
        <is>
          <t>Closed</t>
        </is>
      </c>
      <c r="G1346" s="9" t="inlineStr">
        <is>
          <t xml:space="preserve">Ashish Jindal </t>
        </is>
      </c>
      <c r="H1346" s="26" t="n">
        <v>9983975581</v>
      </c>
      <c r="I1346" s="38" t="inlineStr">
        <is>
          <t>PE01052601</t>
        </is>
      </c>
      <c r="J1346" s="26" t="inlineStr">
        <is>
          <t>Multiple Issues</t>
        </is>
      </c>
      <c r="K1346" s="39" t="inlineStr">
        <is>
          <t>Holi</t>
        </is>
      </c>
      <c r="L1346" s="39" t="inlineStr">
        <is>
          <t>Maharashtra</t>
        </is>
      </c>
      <c r="M1346" s="9" t="inlineStr">
        <is>
          <t>PS</t>
        </is>
      </c>
      <c r="N1346" s="3" t="inlineStr">
        <is>
          <t>Cold Soldering</t>
        </is>
      </c>
      <c r="O1346" s="39" t="n">
        <v>575</v>
      </c>
      <c r="P1346" s="9" t="inlineStr">
        <is>
          <t>NSMI24070183517</t>
        </is>
      </c>
      <c r="Q1346" s="53">
        <f>MID(P1346,5,2)</f>
        <v/>
      </c>
      <c r="R1346" s="53">
        <f>MID(P1346,7,2)</f>
        <v/>
      </c>
      <c r="S1346" s="3" t="inlineStr">
        <is>
          <t>G2G</t>
        </is>
      </c>
      <c r="T1346" s="3" t="inlineStr">
        <is>
          <t>P4</t>
        </is>
      </c>
      <c r="U1346" s="19" t="inlineStr">
        <is>
          <t>P JB Cold Soldering</t>
        </is>
      </c>
      <c r="V1346" s="19" t="inlineStr">
        <is>
          <t>Soldering</t>
        </is>
      </c>
      <c r="W1346" s="3" t="inlineStr">
        <is>
          <t>Repair</t>
        </is>
      </c>
      <c r="X1346" s="18" t="n">
        <v>46158</v>
      </c>
      <c r="Y1346" s="3">
        <f>X1346-A1346</f>
        <v/>
      </c>
      <c r="Z1346" s="18" t="n">
        <v>46158</v>
      </c>
      <c r="AA1346" s="15" t="n"/>
      <c r="AB1346" s="15" t="n"/>
    </row>
    <row r="1347">
      <c r="A1347" s="37" t="n">
        <v>46143</v>
      </c>
      <c r="B1347" s="3" t="n">
        <v>2026</v>
      </c>
      <c r="C1347" s="26" t="inlineStr">
        <is>
          <t>Yanara Power</t>
        </is>
      </c>
      <c r="D1347" s="3" t="inlineStr">
        <is>
          <t>Utility and C&amp;I</t>
        </is>
      </c>
      <c r="E1347" s="3" t="n"/>
      <c r="F1347" s="3" t="inlineStr">
        <is>
          <t>Closed</t>
        </is>
      </c>
      <c r="G1347" s="9" t="inlineStr">
        <is>
          <t xml:space="preserve">Ashish Jindal </t>
        </is>
      </c>
      <c r="H1347" s="26" t="n">
        <v>9983975581</v>
      </c>
      <c r="I1347" s="38" t="inlineStr">
        <is>
          <t>PE01052601</t>
        </is>
      </c>
      <c r="J1347" s="26" t="inlineStr">
        <is>
          <t>Multiple Issues</t>
        </is>
      </c>
      <c r="K1347" s="39" t="inlineStr">
        <is>
          <t>Holi</t>
        </is>
      </c>
      <c r="L1347" s="39" t="inlineStr">
        <is>
          <t>Maharashtra</t>
        </is>
      </c>
      <c r="M1347" s="9" t="inlineStr">
        <is>
          <t>OK</t>
        </is>
      </c>
      <c r="N1347" s="3" t="inlineStr">
        <is>
          <t>No Issue</t>
        </is>
      </c>
      <c r="O1347" s="39" t="n">
        <v>575</v>
      </c>
      <c r="P1347" s="9" t="inlineStr">
        <is>
          <t>NSMI24070197953</t>
        </is>
      </c>
      <c r="Q1347" s="53">
        <f>MID(P1347,5,2)</f>
        <v/>
      </c>
      <c r="R1347" s="53">
        <f>MID(P1347,7,2)</f>
        <v/>
      </c>
      <c r="S1347" s="3" t="inlineStr">
        <is>
          <t>G2G</t>
        </is>
      </c>
      <c r="T1347" s="3" t="inlineStr">
        <is>
          <t>P4</t>
        </is>
      </c>
      <c r="U1347" s="19" t="inlineStr">
        <is>
          <t>No Issue Found</t>
        </is>
      </c>
      <c r="V1347" s="19" t="inlineStr">
        <is>
          <t>Found OK</t>
        </is>
      </c>
      <c r="W1347" s="3" t="inlineStr">
        <is>
          <t>Repair</t>
        </is>
      </c>
      <c r="X1347" s="18" t="n">
        <v>46158</v>
      </c>
      <c r="Y1347" s="3">
        <f>X1347-A1347</f>
        <v/>
      </c>
      <c r="Z1347" s="18" t="n">
        <v>46158</v>
      </c>
      <c r="AA1347" s="15" t="n"/>
      <c r="AB1347" s="15" t="n"/>
    </row>
    <row r="1348">
      <c r="A1348" s="37" t="n">
        <v>46143</v>
      </c>
      <c r="B1348" s="3" t="n">
        <v>2026</v>
      </c>
      <c r="C1348" s="26" t="inlineStr">
        <is>
          <t>Yanara Power</t>
        </is>
      </c>
      <c r="D1348" s="3" t="inlineStr">
        <is>
          <t>Utility and C&amp;I</t>
        </is>
      </c>
      <c r="E1348" s="3" t="n"/>
      <c r="F1348" s="3" t="inlineStr">
        <is>
          <t>Closed</t>
        </is>
      </c>
      <c r="G1348" s="9" t="inlineStr">
        <is>
          <t xml:space="preserve">Ashish Jindal </t>
        </is>
      </c>
      <c r="H1348" s="26" t="n">
        <v>9983975581</v>
      </c>
      <c r="I1348" s="38" t="inlineStr">
        <is>
          <t>PE01052601</t>
        </is>
      </c>
      <c r="J1348" s="26" t="inlineStr">
        <is>
          <t>Multiple Issues</t>
        </is>
      </c>
      <c r="K1348" s="39" t="inlineStr">
        <is>
          <t>Holi</t>
        </is>
      </c>
      <c r="L1348" s="39" t="inlineStr">
        <is>
          <t>Maharashtra</t>
        </is>
      </c>
      <c r="M1348" s="9" t="inlineStr">
        <is>
          <t>PS</t>
        </is>
      </c>
      <c r="N1348" s="3" t="inlineStr">
        <is>
          <t>Cold Soldering</t>
        </is>
      </c>
      <c r="O1348" s="39" t="n">
        <v>575</v>
      </c>
      <c r="P1348" s="9" t="inlineStr">
        <is>
          <t>NSMI24070216851</t>
        </is>
      </c>
      <c r="Q1348" s="53">
        <f>MID(P1348,5,2)</f>
        <v/>
      </c>
      <c r="R1348" s="53">
        <f>MID(P1348,7,2)</f>
        <v/>
      </c>
      <c r="S1348" s="3" t="inlineStr">
        <is>
          <t>G2G</t>
        </is>
      </c>
      <c r="T1348" s="3" t="inlineStr">
        <is>
          <t>P4</t>
        </is>
      </c>
      <c r="U1348" s="19" t="inlineStr">
        <is>
          <t>P JB Cold Soldering</t>
        </is>
      </c>
      <c r="V1348" s="19" t="inlineStr">
        <is>
          <t>Soldering</t>
        </is>
      </c>
      <c r="W1348" s="3" t="inlineStr">
        <is>
          <t>Repair</t>
        </is>
      </c>
      <c r="X1348" s="18" t="n">
        <v>46158</v>
      </c>
      <c r="Y1348" s="3">
        <f>X1348-A1348</f>
        <v/>
      </c>
      <c r="Z1348" s="18" t="n">
        <v>46158</v>
      </c>
      <c r="AA1348" s="15" t="n"/>
      <c r="AB1348" s="15" t="n"/>
    </row>
    <row r="1349">
      <c r="A1349" s="37" t="n">
        <v>46143</v>
      </c>
      <c r="B1349" s="3" t="n">
        <v>2026</v>
      </c>
      <c r="C1349" s="26" t="inlineStr">
        <is>
          <t>Yanara Power</t>
        </is>
      </c>
      <c r="D1349" s="3" t="inlineStr">
        <is>
          <t>Utility and C&amp;I</t>
        </is>
      </c>
      <c r="E1349" s="3" t="n"/>
      <c r="F1349" s="3" t="inlineStr">
        <is>
          <t>Closed</t>
        </is>
      </c>
      <c r="G1349" s="9" t="inlineStr">
        <is>
          <t xml:space="preserve">Ashish Jindal </t>
        </is>
      </c>
      <c r="H1349" s="26" t="n">
        <v>9983975581</v>
      </c>
      <c r="I1349" s="38" t="inlineStr">
        <is>
          <t>PE01052601</t>
        </is>
      </c>
      <c r="J1349" s="26" t="inlineStr">
        <is>
          <t>Multiple Issues</t>
        </is>
      </c>
      <c r="K1349" s="39" t="inlineStr">
        <is>
          <t>Holi</t>
        </is>
      </c>
      <c r="L1349" s="39" t="inlineStr">
        <is>
          <t>Maharashtra</t>
        </is>
      </c>
      <c r="M1349" s="9" t="inlineStr">
        <is>
          <t>NS</t>
        </is>
      </c>
      <c r="N1349" s="3" t="inlineStr">
        <is>
          <t>Cold Soldering</t>
        </is>
      </c>
      <c r="O1349" s="39" t="n">
        <v>575</v>
      </c>
      <c r="P1349" s="9" t="inlineStr">
        <is>
          <t>NSMI24070197302</t>
        </is>
      </c>
      <c r="Q1349" s="53">
        <f>MID(P1349,5,2)</f>
        <v/>
      </c>
      <c r="R1349" s="53">
        <f>MID(P1349,7,2)</f>
        <v/>
      </c>
      <c r="S1349" s="3" t="inlineStr">
        <is>
          <t>G2G</t>
        </is>
      </c>
      <c r="T1349" s="3" t="inlineStr">
        <is>
          <t>P4</t>
        </is>
      </c>
      <c r="U1349" s="3" t="inlineStr">
        <is>
          <t>N JB Cold Soldering</t>
        </is>
      </c>
      <c r="V1349" s="3" t="inlineStr">
        <is>
          <t>Soldering</t>
        </is>
      </c>
      <c r="W1349" s="3" t="inlineStr">
        <is>
          <t>Repair</t>
        </is>
      </c>
      <c r="X1349" s="18" t="n">
        <v>46158</v>
      </c>
      <c r="Y1349" s="3">
        <f>X1349-A1349</f>
        <v/>
      </c>
      <c r="Z1349" s="18" t="n">
        <v>46158</v>
      </c>
      <c r="AA1349" s="15" t="n"/>
      <c r="AB1349" s="15" t="n"/>
    </row>
    <row r="1350">
      <c r="A1350" s="37" t="n">
        <v>46143</v>
      </c>
      <c r="B1350" s="3" t="n">
        <v>2026</v>
      </c>
      <c r="C1350" s="26" t="inlineStr">
        <is>
          <t>Yanara Power</t>
        </is>
      </c>
      <c r="D1350" s="3" t="inlineStr">
        <is>
          <t>Utility and C&amp;I</t>
        </is>
      </c>
      <c r="E1350" s="3" t="n"/>
      <c r="F1350" s="3" t="inlineStr">
        <is>
          <t>Closed</t>
        </is>
      </c>
      <c r="G1350" s="9" t="inlineStr">
        <is>
          <t xml:space="preserve">Ashish Jindal </t>
        </is>
      </c>
      <c r="H1350" s="26" t="n">
        <v>9983975581</v>
      </c>
      <c r="I1350" s="38" t="inlineStr">
        <is>
          <t>PE01052601</t>
        </is>
      </c>
      <c r="J1350" s="26" t="inlineStr">
        <is>
          <t>Multiple Issues</t>
        </is>
      </c>
      <c r="K1350" s="39" t="inlineStr">
        <is>
          <t>Holi</t>
        </is>
      </c>
      <c r="L1350" s="39" t="inlineStr">
        <is>
          <t>Maharashtra</t>
        </is>
      </c>
      <c r="M1350" s="9" t="inlineStr">
        <is>
          <t>PS</t>
        </is>
      </c>
      <c r="N1350" s="3" t="inlineStr">
        <is>
          <t>Cold Soldering</t>
        </is>
      </c>
      <c r="O1350" s="39" t="n">
        <v>575</v>
      </c>
      <c r="P1350" s="9" t="inlineStr">
        <is>
          <t>NSMI24070197200</t>
        </is>
      </c>
      <c r="Q1350" s="53">
        <f>MID(P1350,5,2)</f>
        <v/>
      </c>
      <c r="R1350" s="53">
        <f>MID(P1350,7,2)</f>
        <v/>
      </c>
      <c r="S1350" s="3" t="inlineStr">
        <is>
          <t>G2G</t>
        </is>
      </c>
      <c r="T1350" s="3" t="inlineStr">
        <is>
          <t>P4</t>
        </is>
      </c>
      <c r="U1350" s="19" t="inlineStr">
        <is>
          <t>P JB Cold Soldering</t>
        </is>
      </c>
      <c r="V1350" s="19" t="inlineStr">
        <is>
          <t>Soldering</t>
        </is>
      </c>
      <c r="W1350" s="3" t="inlineStr">
        <is>
          <t>Repair</t>
        </is>
      </c>
      <c r="X1350" s="18" t="n">
        <v>46158</v>
      </c>
      <c r="Y1350" s="3">
        <f>X1350-A1350</f>
        <v/>
      </c>
      <c r="Z1350" s="18" t="n">
        <v>46158</v>
      </c>
      <c r="AA1350" s="15" t="n"/>
      <c r="AB1350" s="15" t="n"/>
    </row>
    <row r="1351">
      <c r="A1351" s="37" t="n">
        <v>46143</v>
      </c>
      <c r="B1351" s="3" t="n">
        <v>2026</v>
      </c>
      <c r="C1351" s="26" t="inlineStr">
        <is>
          <t>Yanara Power</t>
        </is>
      </c>
      <c r="D1351" s="3" t="inlineStr">
        <is>
          <t>Utility and C&amp;I</t>
        </is>
      </c>
      <c r="E1351" s="3" t="n"/>
      <c r="F1351" s="3" t="inlineStr">
        <is>
          <t>Closed</t>
        </is>
      </c>
      <c r="G1351" s="9" t="inlineStr">
        <is>
          <t xml:space="preserve">Ashish Jindal </t>
        </is>
      </c>
      <c r="H1351" s="26" t="n">
        <v>9983975581</v>
      </c>
      <c r="I1351" s="38" t="inlineStr">
        <is>
          <t>PE01052601</t>
        </is>
      </c>
      <c r="J1351" s="26" t="inlineStr">
        <is>
          <t>Multiple Issues</t>
        </is>
      </c>
      <c r="K1351" s="39" t="inlineStr">
        <is>
          <t>Holi</t>
        </is>
      </c>
      <c r="L1351" s="39" t="inlineStr">
        <is>
          <t>Maharashtra</t>
        </is>
      </c>
      <c r="M1351" s="9" t="inlineStr">
        <is>
          <t>NS</t>
        </is>
      </c>
      <c r="N1351" s="3" t="inlineStr">
        <is>
          <t>Cold Soldering</t>
        </is>
      </c>
      <c r="O1351" s="39" t="n">
        <v>575</v>
      </c>
      <c r="P1351" s="9" t="inlineStr">
        <is>
          <t>NSMI24070196838</t>
        </is>
      </c>
      <c r="Q1351" s="53">
        <f>MID(P1351,5,2)</f>
        <v/>
      </c>
      <c r="R1351" s="53">
        <f>MID(P1351,7,2)</f>
        <v/>
      </c>
      <c r="S1351" s="3" t="inlineStr">
        <is>
          <t>G2G</t>
        </is>
      </c>
      <c r="T1351" s="3" t="inlineStr">
        <is>
          <t>P4</t>
        </is>
      </c>
      <c r="U1351" s="3" t="inlineStr">
        <is>
          <t>N JB Cold Soldering</t>
        </is>
      </c>
      <c r="V1351" s="3" t="inlineStr">
        <is>
          <t>Soldering</t>
        </is>
      </c>
      <c r="W1351" s="3" t="inlineStr">
        <is>
          <t>Repair</t>
        </is>
      </c>
      <c r="X1351" s="18" t="n">
        <v>46158</v>
      </c>
      <c r="Y1351" s="3">
        <f>X1351-A1351</f>
        <v/>
      </c>
      <c r="Z1351" s="18" t="n">
        <v>46158</v>
      </c>
      <c r="AA1351" s="15" t="n"/>
      <c r="AB1351" s="15" t="n"/>
    </row>
    <row r="1352">
      <c r="A1352" s="37" t="n">
        <v>46143</v>
      </c>
      <c r="B1352" s="3" t="n">
        <v>2026</v>
      </c>
      <c r="C1352" s="26" t="inlineStr">
        <is>
          <t>Yanara Power</t>
        </is>
      </c>
      <c r="D1352" s="3" t="inlineStr">
        <is>
          <t>Utility and C&amp;I</t>
        </is>
      </c>
      <c r="E1352" s="3" t="n"/>
      <c r="F1352" s="3" t="inlineStr">
        <is>
          <t>Closed</t>
        </is>
      </c>
      <c r="G1352" s="9" t="inlineStr">
        <is>
          <t xml:space="preserve">Ashish Jindal </t>
        </is>
      </c>
      <c r="H1352" s="26" t="n">
        <v>9983975581</v>
      </c>
      <c r="I1352" s="38" t="inlineStr">
        <is>
          <t>PE01052601</t>
        </is>
      </c>
      <c r="J1352" s="26" t="inlineStr">
        <is>
          <t>Multiple Issues</t>
        </is>
      </c>
      <c r="K1352" s="39" t="inlineStr">
        <is>
          <t>Holi</t>
        </is>
      </c>
      <c r="L1352" s="39" t="inlineStr">
        <is>
          <t>Maharashtra</t>
        </is>
      </c>
      <c r="M1352" s="9" t="inlineStr">
        <is>
          <t>PNS</t>
        </is>
      </c>
      <c r="N1352" s="3" t="inlineStr">
        <is>
          <t>Cold Soldering</t>
        </is>
      </c>
      <c r="O1352" s="39" t="n">
        <v>575</v>
      </c>
      <c r="P1352" s="9" t="inlineStr">
        <is>
          <t>NSMI24070196116</t>
        </is>
      </c>
      <c r="Q1352" s="53">
        <f>MID(P1352,5,2)</f>
        <v/>
      </c>
      <c r="R1352" s="53">
        <f>MID(P1352,7,2)</f>
        <v/>
      </c>
      <c r="S1352" s="3" t="inlineStr">
        <is>
          <t>G2G</t>
        </is>
      </c>
      <c r="T1352" s="3" t="inlineStr">
        <is>
          <t>P4</t>
        </is>
      </c>
      <c r="U1352" s="3" t="inlineStr">
        <is>
          <t>P &amp; N JB Cold Soldering</t>
        </is>
      </c>
      <c r="V1352" s="3" t="inlineStr">
        <is>
          <t>Soldering</t>
        </is>
      </c>
      <c r="W1352" s="3" t="inlineStr">
        <is>
          <t>Repair</t>
        </is>
      </c>
      <c r="X1352" s="18" t="n">
        <v>46158</v>
      </c>
      <c r="Y1352" s="3">
        <f>X1352-A1352</f>
        <v/>
      </c>
      <c r="Z1352" s="18" t="n">
        <v>46158</v>
      </c>
      <c r="AA1352" s="15" t="n"/>
      <c r="AB1352" s="15" t="n"/>
    </row>
    <row r="1353">
      <c r="A1353" s="37" t="n">
        <v>46143</v>
      </c>
      <c r="B1353" s="3" t="n">
        <v>2026</v>
      </c>
      <c r="C1353" s="26" t="inlineStr">
        <is>
          <t>Yanara Power</t>
        </is>
      </c>
      <c r="D1353" s="3" t="inlineStr">
        <is>
          <t>Utility and C&amp;I</t>
        </is>
      </c>
      <c r="E1353" s="3" t="n"/>
      <c r="F1353" s="3" t="inlineStr">
        <is>
          <t>Closed</t>
        </is>
      </c>
      <c r="G1353" s="9" t="inlineStr">
        <is>
          <t xml:space="preserve">Ashish Jindal </t>
        </is>
      </c>
      <c r="H1353" s="26" t="n">
        <v>9983975581</v>
      </c>
      <c r="I1353" s="38" t="inlineStr">
        <is>
          <t>PE01052601</t>
        </is>
      </c>
      <c r="J1353" s="26" t="inlineStr">
        <is>
          <t>Multiple Issues</t>
        </is>
      </c>
      <c r="K1353" s="39" t="inlineStr">
        <is>
          <t>Holi</t>
        </is>
      </c>
      <c r="L1353" s="39" t="inlineStr">
        <is>
          <t>Maharashtra</t>
        </is>
      </c>
      <c r="M1353" s="9" t="inlineStr">
        <is>
          <t>PS</t>
        </is>
      </c>
      <c r="N1353" s="3" t="inlineStr">
        <is>
          <t>Cold Soldering</t>
        </is>
      </c>
      <c r="O1353" s="39" t="n">
        <v>575</v>
      </c>
      <c r="P1353" s="9" t="inlineStr">
        <is>
          <t>NSMI24070196436</t>
        </is>
      </c>
      <c r="Q1353" s="53">
        <f>MID(P1353,5,2)</f>
        <v/>
      </c>
      <c r="R1353" s="53">
        <f>MID(P1353,7,2)</f>
        <v/>
      </c>
      <c r="S1353" s="3" t="inlineStr">
        <is>
          <t>G2G</t>
        </is>
      </c>
      <c r="T1353" s="3" t="inlineStr">
        <is>
          <t>P4</t>
        </is>
      </c>
      <c r="U1353" s="19" t="inlineStr">
        <is>
          <t>P JB Cold Soldering</t>
        </is>
      </c>
      <c r="V1353" s="19" t="inlineStr">
        <is>
          <t>Soldering</t>
        </is>
      </c>
      <c r="W1353" s="3" t="inlineStr">
        <is>
          <t>Repair</t>
        </is>
      </c>
      <c r="X1353" s="18" t="n">
        <v>46158</v>
      </c>
      <c r="Y1353" s="3">
        <f>X1353-A1353</f>
        <v/>
      </c>
      <c r="Z1353" s="18" t="n">
        <v>46158</v>
      </c>
      <c r="AA1353" s="15" t="n"/>
      <c r="AB1353" s="15" t="n"/>
    </row>
    <row r="1354">
      <c r="A1354" s="37" t="n">
        <v>46143</v>
      </c>
      <c r="B1354" s="3" t="n">
        <v>2026</v>
      </c>
      <c r="C1354" s="26" t="inlineStr">
        <is>
          <t>Yanara Power</t>
        </is>
      </c>
      <c r="D1354" s="3" t="inlineStr">
        <is>
          <t>Utility and C&amp;I</t>
        </is>
      </c>
      <c r="E1354" s="3" t="n"/>
      <c r="F1354" s="3" t="inlineStr">
        <is>
          <t>Closed</t>
        </is>
      </c>
      <c r="G1354" s="9" t="inlineStr">
        <is>
          <t xml:space="preserve">Ashish Jindal </t>
        </is>
      </c>
      <c r="H1354" s="26" t="n">
        <v>9983975581</v>
      </c>
      <c r="I1354" s="38" t="inlineStr">
        <is>
          <t>PE01052601</t>
        </is>
      </c>
      <c r="J1354" s="26" t="inlineStr">
        <is>
          <t>Multiple Issues</t>
        </is>
      </c>
      <c r="K1354" s="39" t="inlineStr">
        <is>
          <t>Holi</t>
        </is>
      </c>
      <c r="L1354" s="39" t="inlineStr">
        <is>
          <t>Maharashtra</t>
        </is>
      </c>
      <c r="M1354" s="9" t="inlineStr">
        <is>
          <t>NS</t>
        </is>
      </c>
      <c r="N1354" s="3" t="inlineStr">
        <is>
          <t>Cold Soldering</t>
        </is>
      </c>
      <c r="O1354" s="39" t="n">
        <v>575</v>
      </c>
      <c r="P1354" s="9" t="inlineStr">
        <is>
          <t>NSMI24070197206</t>
        </is>
      </c>
      <c r="Q1354" s="53">
        <f>MID(P1354,5,2)</f>
        <v/>
      </c>
      <c r="R1354" s="53">
        <f>MID(P1354,7,2)</f>
        <v/>
      </c>
      <c r="S1354" s="3" t="inlineStr">
        <is>
          <t>G2G</t>
        </is>
      </c>
      <c r="T1354" s="3" t="inlineStr">
        <is>
          <t>P4</t>
        </is>
      </c>
      <c r="U1354" s="3" t="inlineStr">
        <is>
          <t>N JB Cold Soldering</t>
        </is>
      </c>
      <c r="V1354" s="3" t="inlineStr">
        <is>
          <t>Soldering</t>
        </is>
      </c>
      <c r="W1354" s="3" t="inlineStr">
        <is>
          <t>Repair</t>
        </is>
      </c>
      <c r="X1354" s="18" t="n">
        <v>46158</v>
      </c>
      <c r="Y1354" s="3">
        <f>X1354-A1354</f>
        <v/>
      </c>
      <c r="Z1354" s="18" t="n">
        <v>46158</v>
      </c>
      <c r="AA1354" s="15" t="n"/>
      <c r="AB1354" s="15" t="n"/>
    </row>
    <row r="1355">
      <c r="A1355" s="37" t="n">
        <v>46143</v>
      </c>
      <c r="B1355" s="3" t="n">
        <v>2026</v>
      </c>
      <c r="C1355" s="26" t="inlineStr">
        <is>
          <t>Yanara Power</t>
        </is>
      </c>
      <c r="D1355" s="3" t="inlineStr">
        <is>
          <t>Utility and C&amp;I</t>
        </is>
      </c>
      <c r="E1355" s="3" t="n"/>
      <c r="F1355" s="3" t="inlineStr">
        <is>
          <t>Closed</t>
        </is>
      </c>
      <c r="G1355" s="9" t="inlineStr">
        <is>
          <t xml:space="preserve">Ashish Jindal </t>
        </is>
      </c>
      <c r="H1355" s="26" t="n">
        <v>9983975581</v>
      </c>
      <c r="I1355" s="38" t="inlineStr">
        <is>
          <t>PE01052601</t>
        </is>
      </c>
      <c r="J1355" s="26" t="inlineStr">
        <is>
          <t>Multiple Issues</t>
        </is>
      </c>
      <c r="K1355" s="39" t="inlineStr">
        <is>
          <t>Holi</t>
        </is>
      </c>
      <c r="L1355" s="39" t="inlineStr">
        <is>
          <t>Maharashtra</t>
        </is>
      </c>
      <c r="M1355" s="9" t="inlineStr">
        <is>
          <t>NS</t>
        </is>
      </c>
      <c r="N1355" s="3" t="inlineStr">
        <is>
          <t>Cold Soldering</t>
        </is>
      </c>
      <c r="O1355" s="39" t="n">
        <v>575</v>
      </c>
      <c r="P1355" s="9" t="inlineStr">
        <is>
          <t>NSMI24070197231</t>
        </is>
      </c>
      <c r="Q1355" s="53">
        <f>MID(P1355,5,2)</f>
        <v/>
      </c>
      <c r="R1355" s="53">
        <f>MID(P1355,7,2)</f>
        <v/>
      </c>
      <c r="S1355" s="3" t="inlineStr">
        <is>
          <t>G2G</t>
        </is>
      </c>
      <c r="T1355" s="3" t="inlineStr">
        <is>
          <t>P4</t>
        </is>
      </c>
      <c r="U1355" s="3" t="inlineStr">
        <is>
          <t>N JB Cold Soldering</t>
        </is>
      </c>
      <c r="V1355" s="3" t="inlineStr">
        <is>
          <t>Soldering</t>
        </is>
      </c>
      <c r="W1355" s="3" t="inlineStr">
        <is>
          <t>Repair</t>
        </is>
      </c>
      <c r="X1355" s="18" t="n">
        <v>46158</v>
      </c>
      <c r="Y1355" s="3">
        <f>X1355-A1355</f>
        <v/>
      </c>
      <c r="Z1355" s="18" t="n">
        <v>46158</v>
      </c>
      <c r="AA1355" s="15" t="n"/>
      <c r="AB1355" s="15" t="n"/>
    </row>
    <row r="1356">
      <c r="A1356" s="37" t="n">
        <v>46143</v>
      </c>
      <c r="B1356" s="3" t="n">
        <v>2026</v>
      </c>
      <c r="C1356" s="26" t="inlineStr">
        <is>
          <t>Yanara Power</t>
        </is>
      </c>
      <c r="D1356" s="3" t="inlineStr">
        <is>
          <t>Utility and C&amp;I</t>
        </is>
      </c>
      <c r="E1356" s="3" t="n"/>
      <c r="F1356" s="3" t="inlineStr">
        <is>
          <t>Closed</t>
        </is>
      </c>
      <c r="G1356" s="9" t="inlineStr">
        <is>
          <t xml:space="preserve">Ashish Jindal </t>
        </is>
      </c>
      <c r="H1356" s="26" t="n">
        <v>9983975581</v>
      </c>
      <c r="I1356" s="38" t="inlineStr">
        <is>
          <t>PE01052601</t>
        </is>
      </c>
      <c r="J1356" s="26" t="inlineStr">
        <is>
          <t>Multiple Issues</t>
        </is>
      </c>
      <c r="K1356" s="39" t="inlineStr">
        <is>
          <t>Holi</t>
        </is>
      </c>
      <c r="L1356" s="39" t="inlineStr">
        <is>
          <t>Maharashtra</t>
        </is>
      </c>
      <c r="M1356" s="9" t="inlineStr">
        <is>
          <t>PS</t>
        </is>
      </c>
      <c r="N1356" s="3" t="inlineStr">
        <is>
          <t>Cold Soldering</t>
        </is>
      </c>
      <c r="O1356" s="39" t="n">
        <v>575</v>
      </c>
      <c r="P1356" s="9" t="inlineStr">
        <is>
          <t>NSMI24070197940</t>
        </is>
      </c>
      <c r="Q1356" s="53">
        <f>MID(P1356,5,2)</f>
        <v/>
      </c>
      <c r="R1356" s="53">
        <f>MID(P1356,7,2)</f>
        <v/>
      </c>
      <c r="S1356" s="3" t="inlineStr">
        <is>
          <t>G2G</t>
        </is>
      </c>
      <c r="T1356" s="3" t="inlineStr">
        <is>
          <t>P4</t>
        </is>
      </c>
      <c r="U1356" s="19" t="inlineStr">
        <is>
          <t>P JB Cold Soldering</t>
        </is>
      </c>
      <c r="V1356" s="19" t="inlineStr">
        <is>
          <t>Soldering</t>
        </is>
      </c>
      <c r="W1356" s="3" t="inlineStr">
        <is>
          <t>Repair</t>
        </is>
      </c>
      <c r="X1356" s="18" t="n">
        <v>46158</v>
      </c>
      <c r="Y1356" s="3">
        <f>X1356-A1356</f>
        <v/>
      </c>
      <c r="Z1356" s="18" t="n">
        <v>46158</v>
      </c>
      <c r="AA1356" s="15" t="n"/>
      <c r="AB1356" s="15" t="n"/>
    </row>
    <row r="1357">
      <c r="A1357" s="37" t="n">
        <v>46143</v>
      </c>
      <c r="B1357" s="3" t="n">
        <v>2026</v>
      </c>
      <c r="C1357" s="26" t="inlineStr">
        <is>
          <t>Yanara Power</t>
        </is>
      </c>
      <c r="D1357" s="3" t="inlineStr">
        <is>
          <t>Utility and C&amp;I</t>
        </is>
      </c>
      <c r="E1357" s="3" t="n"/>
      <c r="F1357" s="3" t="inlineStr">
        <is>
          <t>Closed</t>
        </is>
      </c>
      <c r="G1357" s="9" t="inlineStr">
        <is>
          <t xml:space="preserve">Ashish Jindal </t>
        </is>
      </c>
      <c r="H1357" s="26" t="n">
        <v>9983975581</v>
      </c>
      <c r="I1357" s="38" t="inlineStr">
        <is>
          <t>PE01052601</t>
        </is>
      </c>
      <c r="J1357" s="26" t="inlineStr">
        <is>
          <t>Multiple Issues</t>
        </is>
      </c>
      <c r="K1357" s="39" t="inlineStr">
        <is>
          <t>Holi</t>
        </is>
      </c>
      <c r="L1357" s="39" t="inlineStr">
        <is>
          <t>Maharashtra</t>
        </is>
      </c>
      <c r="M1357" s="9" t="inlineStr">
        <is>
          <t>PS</t>
        </is>
      </c>
      <c r="N1357" s="3" t="inlineStr">
        <is>
          <t>Cold Soldering</t>
        </is>
      </c>
      <c r="O1357" s="39" t="n">
        <v>575</v>
      </c>
      <c r="P1357" s="9" t="inlineStr">
        <is>
          <t>NSMI24070196147</t>
        </is>
      </c>
      <c r="Q1357" s="53">
        <f>MID(P1357,5,2)</f>
        <v/>
      </c>
      <c r="R1357" s="53">
        <f>MID(P1357,7,2)</f>
        <v/>
      </c>
      <c r="S1357" s="3" t="inlineStr">
        <is>
          <t>G2G</t>
        </is>
      </c>
      <c r="T1357" s="3" t="inlineStr">
        <is>
          <t>P4</t>
        </is>
      </c>
      <c r="U1357" s="19" t="inlineStr">
        <is>
          <t>P JB Cold Soldering</t>
        </is>
      </c>
      <c r="V1357" s="19" t="inlineStr">
        <is>
          <t>Soldering</t>
        </is>
      </c>
      <c r="W1357" s="3" t="inlineStr">
        <is>
          <t>Repair</t>
        </is>
      </c>
      <c r="X1357" s="18" t="n">
        <v>46158</v>
      </c>
      <c r="Y1357" s="3">
        <f>X1357-A1357</f>
        <v/>
      </c>
      <c r="Z1357" s="18" t="n">
        <v>46158</v>
      </c>
      <c r="AA1357" s="15" t="n"/>
      <c r="AB1357" s="15" t="n"/>
    </row>
    <row r="1358">
      <c r="A1358" s="37" t="n">
        <v>46143</v>
      </c>
      <c r="B1358" s="3" t="n">
        <v>2026</v>
      </c>
      <c r="C1358" s="26" t="inlineStr">
        <is>
          <t>Yanara Power</t>
        </is>
      </c>
      <c r="D1358" s="3" t="inlineStr">
        <is>
          <t>Utility and C&amp;I</t>
        </is>
      </c>
      <c r="E1358" s="3" t="n"/>
      <c r="F1358" s="3" t="inlineStr">
        <is>
          <t>Closed</t>
        </is>
      </c>
      <c r="G1358" s="9" t="inlineStr">
        <is>
          <t xml:space="preserve">Ashish Jindal </t>
        </is>
      </c>
      <c r="H1358" s="26" t="n">
        <v>9983975581</v>
      </c>
      <c r="I1358" s="38" t="inlineStr">
        <is>
          <t>PE01052601</t>
        </is>
      </c>
      <c r="J1358" s="26" t="inlineStr">
        <is>
          <t>Multiple Issues</t>
        </is>
      </c>
      <c r="K1358" s="39" t="inlineStr">
        <is>
          <t>Holi</t>
        </is>
      </c>
      <c r="L1358" s="39" t="inlineStr">
        <is>
          <t>Maharashtra</t>
        </is>
      </c>
      <c r="M1358" s="9" t="inlineStr">
        <is>
          <t>NS</t>
        </is>
      </c>
      <c r="N1358" s="3" t="inlineStr">
        <is>
          <t>Cold Soldering</t>
        </is>
      </c>
      <c r="O1358" s="39" t="n">
        <v>575</v>
      </c>
      <c r="P1358" s="9" t="inlineStr">
        <is>
          <t>NSMI24070185458</t>
        </is>
      </c>
      <c r="Q1358" s="53">
        <f>MID(P1358,5,2)</f>
        <v/>
      </c>
      <c r="R1358" s="53">
        <f>MID(P1358,7,2)</f>
        <v/>
      </c>
      <c r="S1358" s="3" t="inlineStr">
        <is>
          <t>G2G</t>
        </is>
      </c>
      <c r="T1358" s="3" t="inlineStr">
        <is>
          <t>P4</t>
        </is>
      </c>
      <c r="U1358" s="3" t="inlineStr">
        <is>
          <t>N JB Cold Soldering</t>
        </is>
      </c>
      <c r="V1358" s="3" t="inlineStr">
        <is>
          <t>Soldering</t>
        </is>
      </c>
      <c r="W1358" s="3" t="inlineStr">
        <is>
          <t>Repair</t>
        </is>
      </c>
      <c r="X1358" s="18" t="n">
        <v>46159</v>
      </c>
      <c r="Y1358" s="3">
        <f>X1358-A1358</f>
        <v/>
      </c>
      <c r="Z1358" s="18" t="n">
        <v>46159</v>
      </c>
      <c r="AA1358" s="15" t="n"/>
      <c r="AB1358" s="15" t="n"/>
    </row>
    <row r="1359">
      <c r="A1359" s="37" t="n">
        <v>46143</v>
      </c>
      <c r="B1359" s="3" t="n">
        <v>2026</v>
      </c>
      <c r="C1359" s="26" t="inlineStr">
        <is>
          <t>Yanara Power</t>
        </is>
      </c>
      <c r="D1359" s="3" t="inlineStr">
        <is>
          <t>Utility and C&amp;I</t>
        </is>
      </c>
      <c r="E1359" s="3" t="n"/>
      <c r="F1359" s="3" t="inlineStr">
        <is>
          <t>Closed</t>
        </is>
      </c>
      <c r="G1359" s="9" t="inlineStr">
        <is>
          <t xml:space="preserve">Ashish Jindal </t>
        </is>
      </c>
      <c r="H1359" s="26" t="n">
        <v>9983975581</v>
      </c>
      <c r="I1359" s="38" t="inlineStr">
        <is>
          <t>PE01052601</t>
        </is>
      </c>
      <c r="J1359" s="26" t="inlineStr">
        <is>
          <t>Multiple Issues</t>
        </is>
      </c>
      <c r="K1359" s="39" t="inlineStr">
        <is>
          <t>Holi</t>
        </is>
      </c>
      <c r="L1359" s="39" t="inlineStr">
        <is>
          <t>Maharashtra</t>
        </is>
      </c>
      <c r="M1359" s="9" t="inlineStr">
        <is>
          <t>OK</t>
        </is>
      </c>
      <c r="N1359" s="3" t="inlineStr">
        <is>
          <t>No Issue</t>
        </is>
      </c>
      <c r="O1359" s="39" t="n">
        <v>575</v>
      </c>
      <c r="P1359" s="9" t="inlineStr">
        <is>
          <t>NSMI24070185733</t>
        </is>
      </c>
      <c r="Q1359" s="53">
        <f>MID(P1359,5,2)</f>
        <v/>
      </c>
      <c r="R1359" s="53">
        <f>MID(P1359,7,2)</f>
        <v/>
      </c>
      <c r="S1359" s="3" t="inlineStr">
        <is>
          <t>G2G</t>
        </is>
      </c>
      <c r="T1359" s="3" t="inlineStr">
        <is>
          <t>P4</t>
        </is>
      </c>
      <c r="U1359" s="19" t="inlineStr">
        <is>
          <t>No Issue Found</t>
        </is>
      </c>
      <c r="V1359" s="19" t="inlineStr">
        <is>
          <t>Found OK</t>
        </is>
      </c>
      <c r="W1359" s="3" t="inlineStr">
        <is>
          <t>Repair</t>
        </is>
      </c>
      <c r="X1359" s="18" t="n">
        <v>46159</v>
      </c>
      <c r="Y1359" s="3">
        <f>X1359-A1359</f>
        <v/>
      </c>
      <c r="Z1359" s="18" t="n">
        <v>46159</v>
      </c>
      <c r="AA1359" s="15" t="n"/>
      <c r="AB1359" s="15" t="n"/>
    </row>
    <row r="1360">
      <c r="A1360" s="37" t="n">
        <v>46143</v>
      </c>
      <c r="B1360" s="3" t="n">
        <v>2026</v>
      </c>
      <c r="C1360" s="26" t="inlineStr">
        <is>
          <t>Yanara Power</t>
        </is>
      </c>
      <c r="D1360" s="3" t="inlineStr">
        <is>
          <t>Utility and C&amp;I</t>
        </is>
      </c>
      <c r="E1360" s="3" t="n"/>
      <c r="F1360" s="3" t="inlineStr">
        <is>
          <t>Closed</t>
        </is>
      </c>
      <c r="G1360" s="9" t="inlineStr">
        <is>
          <t xml:space="preserve">Ashish Jindal </t>
        </is>
      </c>
      <c r="H1360" s="26" t="n">
        <v>9983975581</v>
      </c>
      <c r="I1360" s="38" t="inlineStr">
        <is>
          <t>PE01052601</t>
        </is>
      </c>
      <c r="J1360" s="26" t="inlineStr">
        <is>
          <t>Multiple Issues</t>
        </is>
      </c>
      <c r="K1360" s="39" t="inlineStr">
        <is>
          <t>Holi</t>
        </is>
      </c>
      <c r="L1360" s="39" t="inlineStr">
        <is>
          <t>Maharashtra</t>
        </is>
      </c>
      <c r="M1360" s="9" t="inlineStr">
        <is>
          <t>NS</t>
        </is>
      </c>
      <c r="N1360" s="3" t="inlineStr">
        <is>
          <t>Cold Soldering</t>
        </is>
      </c>
      <c r="O1360" s="39" t="n">
        <v>575</v>
      </c>
      <c r="P1360" s="9" t="inlineStr">
        <is>
          <t>NSMI24070198585</t>
        </is>
      </c>
      <c r="Q1360" s="53">
        <f>MID(P1360,5,2)</f>
        <v/>
      </c>
      <c r="R1360" s="53">
        <f>MID(P1360,7,2)</f>
        <v/>
      </c>
      <c r="S1360" s="3" t="inlineStr">
        <is>
          <t>G2G</t>
        </is>
      </c>
      <c r="T1360" s="3" t="inlineStr">
        <is>
          <t>P4</t>
        </is>
      </c>
      <c r="U1360" s="3" t="inlineStr">
        <is>
          <t>N JB Cold Soldering</t>
        </is>
      </c>
      <c r="V1360" s="3" t="inlineStr">
        <is>
          <t>Soldering</t>
        </is>
      </c>
      <c r="W1360" s="3" t="inlineStr">
        <is>
          <t>Repair</t>
        </is>
      </c>
      <c r="X1360" s="18" t="n">
        <v>46159</v>
      </c>
      <c r="Y1360" s="3">
        <f>X1360-A1360</f>
        <v/>
      </c>
      <c r="Z1360" s="18" t="n">
        <v>46159</v>
      </c>
      <c r="AA1360" s="15" t="n"/>
      <c r="AB1360" s="15" t="n"/>
    </row>
    <row r="1361">
      <c r="A1361" s="37" t="n">
        <v>46143</v>
      </c>
      <c r="B1361" s="3" t="n">
        <v>2026</v>
      </c>
      <c r="C1361" s="26" t="inlineStr">
        <is>
          <t>Yanara Power</t>
        </is>
      </c>
      <c r="D1361" s="3" t="inlineStr">
        <is>
          <t>Utility and C&amp;I</t>
        </is>
      </c>
      <c r="E1361" s="3" t="n"/>
      <c r="F1361" s="3" t="inlineStr">
        <is>
          <t>Closed</t>
        </is>
      </c>
      <c r="G1361" s="9" t="inlineStr">
        <is>
          <t xml:space="preserve">Ashish Jindal </t>
        </is>
      </c>
      <c r="H1361" s="26" t="n">
        <v>9983975581</v>
      </c>
      <c r="I1361" s="38" t="inlineStr">
        <is>
          <t>PE01052601</t>
        </is>
      </c>
      <c r="J1361" s="26" t="inlineStr">
        <is>
          <t>Multiple Issues</t>
        </is>
      </c>
      <c r="K1361" s="39" t="inlineStr">
        <is>
          <t>Holi</t>
        </is>
      </c>
      <c r="L1361" s="39" t="inlineStr">
        <is>
          <t>Maharashtra</t>
        </is>
      </c>
      <c r="M1361" s="9" t="inlineStr">
        <is>
          <t>PS</t>
        </is>
      </c>
      <c r="N1361" s="3" t="inlineStr">
        <is>
          <t>Cold Soldering</t>
        </is>
      </c>
      <c r="O1361" s="39" t="n">
        <v>575</v>
      </c>
      <c r="P1361" s="9" t="inlineStr">
        <is>
          <t>NSMI24070187468</t>
        </is>
      </c>
      <c r="Q1361" s="53">
        <f>MID(P1361,5,2)</f>
        <v/>
      </c>
      <c r="R1361" s="53">
        <f>MID(P1361,7,2)</f>
        <v/>
      </c>
      <c r="S1361" s="3" t="inlineStr">
        <is>
          <t>G2G</t>
        </is>
      </c>
      <c r="T1361" s="3" t="inlineStr">
        <is>
          <t>P4</t>
        </is>
      </c>
      <c r="U1361" s="19" t="inlineStr">
        <is>
          <t>P JB Cold Soldering</t>
        </is>
      </c>
      <c r="V1361" s="19" t="inlineStr">
        <is>
          <t>Soldering</t>
        </is>
      </c>
      <c r="W1361" s="3" t="inlineStr">
        <is>
          <t>Repair</t>
        </is>
      </c>
      <c r="X1361" s="18" t="n">
        <v>46159</v>
      </c>
      <c r="Y1361" s="3">
        <f>X1361-A1361</f>
        <v/>
      </c>
      <c r="Z1361" s="18" t="n">
        <v>46159</v>
      </c>
      <c r="AA1361" s="15" t="n"/>
      <c r="AB1361" s="15" t="n"/>
    </row>
    <row r="1362">
      <c r="A1362" s="37" t="n">
        <v>46143</v>
      </c>
      <c r="B1362" s="3" t="n">
        <v>2026</v>
      </c>
      <c r="C1362" s="26" t="inlineStr">
        <is>
          <t>Yanara Power</t>
        </is>
      </c>
      <c r="D1362" s="3" t="inlineStr">
        <is>
          <t>Utility and C&amp;I</t>
        </is>
      </c>
      <c r="E1362" s="3" t="n"/>
      <c r="F1362" s="3" t="inlineStr">
        <is>
          <t>Closed</t>
        </is>
      </c>
      <c r="G1362" s="9" t="inlineStr">
        <is>
          <t xml:space="preserve">Ashish Jindal </t>
        </is>
      </c>
      <c r="H1362" s="26" t="n">
        <v>9983975581</v>
      </c>
      <c r="I1362" s="38" t="inlineStr">
        <is>
          <t>PE01052601</t>
        </is>
      </c>
      <c r="J1362" s="26" t="inlineStr">
        <is>
          <t>Multiple Issues</t>
        </is>
      </c>
      <c r="K1362" s="39" t="inlineStr">
        <is>
          <t>Holi</t>
        </is>
      </c>
      <c r="L1362" s="39" t="inlineStr">
        <is>
          <t>Maharashtra</t>
        </is>
      </c>
      <c r="M1362" s="9" t="inlineStr">
        <is>
          <t>PS</t>
        </is>
      </c>
      <c r="N1362" s="3" t="inlineStr">
        <is>
          <t>Cold Soldering</t>
        </is>
      </c>
      <c r="O1362" s="39" t="n">
        <v>575</v>
      </c>
      <c r="P1362" s="9" t="inlineStr">
        <is>
          <t>NSMI24070202258</t>
        </is>
      </c>
      <c r="Q1362" s="53">
        <f>MID(P1362,5,2)</f>
        <v/>
      </c>
      <c r="R1362" s="53">
        <f>MID(P1362,7,2)</f>
        <v/>
      </c>
      <c r="S1362" s="3" t="inlineStr">
        <is>
          <t>G2G</t>
        </is>
      </c>
      <c r="T1362" s="3" t="inlineStr">
        <is>
          <t>P4</t>
        </is>
      </c>
      <c r="U1362" s="19" t="inlineStr">
        <is>
          <t>P JB Cold Soldering</t>
        </is>
      </c>
      <c r="V1362" s="19" t="inlineStr">
        <is>
          <t>Soldering</t>
        </is>
      </c>
      <c r="W1362" s="3" t="inlineStr">
        <is>
          <t>Repair</t>
        </is>
      </c>
      <c r="X1362" s="18" t="n">
        <v>46159</v>
      </c>
      <c r="Y1362" s="3">
        <f>X1362-A1362</f>
        <v/>
      </c>
      <c r="Z1362" s="18" t="n">
        <v>46159</v>
      </c>
      <c r="AA1362" s="15" t="n"/>
      <c r="AB1362" s="15" t="n"/>
    </row>
    <row r="1363">
      <c r="A1363" s="37" t="n">
        <v>46143</v>
      </c>
      <c r="B1363" s="3" t="n">
        <v>2026</v>
      </c>
      <c r="C1363" s="26" t="inlineStr">
        <is>
          <t>Yanara Power</t>
        </is>
      </c>
      <c r="D1363" s="3" t="inlineStr">
        <is>
          <t>Utility and C&amp;I</t>
        </is>
      </c>
      <c r="E1363" s="3" t="n"/>
      <c r="F1363" s="3" t="inlineStr">
        <is>
          <t>Closed</t>
        </is>
      </c>
      <c r="G1363" s="9" t="inlineStr">
        <is>
          <t xml:space="preserve">Ashish Jindal </t>
        </is>
      </c>
      <c r="H1363" s="26" t="n">
        <v>9983975581</v>
      </c>
      <c r="I1363" s="38" t="inlineStr">
        <is>
          <t>PE01052601</t>
        </is>
      </c>
      <c r="J1363" s="26" t="inlineStr">
        <is>
          <t>Multiple Issues</t>
        </is>
      </c>
      <c r="K1363" s="39" t="inlineStr">
        <is>
          <t>Holi</t>
        </is>
      </c>
      <c r="L1363" s="39" t="inlineStr">
        <is>
          <t>Maharashtra</t>
        </is>
      </c>
      <c r="M1363" s="9" t="inlineStr">
        <is>
          <t>PS</t>
        </is>
      </c>
      <c r="N1363" s="3" t="inlineStr">
        <is>
          <t>Cold Soldering</t>
        </is>
      </c>
      <c r="O1363" s="39" t="n">
        <v>575</v>
      </c>
      <c r="P1363" s="9" t="inlineStr">
        <is>
          <t>NSMI24070202555</t>
        </is>
      </c>
      <c r="Q1363" s="53">
        <f>MID(P1363,5,2)</f>
        <v/>
      </c>
      <c r="R1363" s="53">
        <f>MID(P1363,7,2)</f>
        <v/>
      </c>
      <c r="S1363" s="3" t="inlineStr">
        <is>
          <t>G2G</t>
        </is>
      </c>
      <c r="T1363" s="3" t="inlineStr">
        <is>
          <t>P4</t>
        </is>
      </c>
      <c r="U1363" s="19" t="inlineStr">
        <is>
          <t>P JB Cold Soldering</t>
        </is>
      </c>
      <c r="V1363" s="19" t="inlineStr">
        <is>
          <t>Soldering</t>
        </is>
      </c>
      <c r="W1363" s="3" t="inlineStr">
        <is>
          <t>Repair</t>
        </is>
      </c>
      <c r="X1363" s="18" t="n">
        <v>46159</v>
      </c>
      <c r="Y1363" s="3">
        <f>X1363-A1363</f>
        <v/>
      </c>
      <c r="Z1363" s="18" t="n">
        <v>46159</v>
      </c>
      <c r="AA1363" s="15" t="n"/>
      <c r="AB1363" s="15" t="n"/>
    </row>
    <row r="1364">
      <c r="A1364" s="37" t="n">
        <v>46143</v>
      </c>
      <c r="B1364" s="3" t="n">
        <v>2026</v>
      </c>
      <c r="C1364" s="26" t="inlineStr">
        <is>
          <t>Yanara Power</t>
        </is>
      </c>
      <c r="D1364" s="3" t="inlineStr">
        <is>
          <t>Utility and C&amp;I</t>
        </is>
      </c>
      <c r="E1364" s="3" t="n"/>
      <c r="F1364" s="3" t="inlineStr">
        <is>
          <t>Closed</t>
        </is>
      </c>
      <c r="G1364" s="9" t="inlineStr">
        <is>
          <t xml:space="preserve">Ashish Jindal </t>
        </is>
      </c>
      <c r="H1364" s="26" t="n">
        <v>9983975581</v>
      </c>
      <c r="I1364" s="38" t="inlineStr">
        <is>
          <t>PE01052601</t>
        </is>
      </c>
      <c r="J1364" s="26" t="inlineStr">
        <is>
          <t>Multiple Issues</t>
        </is>
      </c>
      <c r="K1364" s="39" t="inlineStr">
        <is>
          <t>Holi</t>
        </is>
      </c>
      <c r="L1364" s="39" t="inlineStr">
        <is>
          <t>Maharashtra</t>
        </is>
      </c>
      <c r="M1364" s="9" t="inlineStr">
        <is>
          <t>PS</t>
        </is>
      </c>
      <c r="N1364" s="3" t="inlineStr">
        <is>
          <t>Cold Soldering</t>
        </is>
      </c>
      <c r="O1364" s="39" t="n">
        <v>575</v>
      </c>
      <c r="P1364" s="9" t="inlineStr">
        <is>
          <t>NSMI24070202591</t>
        </is>
      </c>
      <c r="Q1364" s="53">
        <f>MID(P1364,5,2)</f>
        <v/>
      </c>
      <c r="R1364" s="53">
        <f>MID(P1364,7,2)</f>
        <v/>
      </c>
      <c r="S1364" s="3" t="inlineStr">
        <is>
          <t>G2G</t>
        </is>
      </c>
      <c r="T1364" s="3" t="inlineStr">
        <is>
          <t>P4</t>
        </is>
      </c>
      <c r="U1364" s="19" t="inlineStr">
        <is>
          <t>P JB Cold Soldering</t>
        </is>
      </c>
      <c r="V1364" s="19" t="inlineStr">
        <is>
          <t>Soldering</t>
        </is>
      </c>
      <c r="W1364" s="3" t="inlineStr">
        <is>
          <t>Repair</t>
        </is>
      </c>
      <c r="X1364" s="18" t="n">
        <v>46159</v>
      </c>
      <c r="Y1364" s="3">
        <f>X1364-A1364</f>
        <v/>
      </c>
      <c r="Z1364" s="18" t="n">
        <v>46159</v>
      </c>
      <c r="AA1364" s="15" t="n"/>
      <c r="AB1364" s="15" t="n"/>
    </row>
    <row r="1365">
      <c r="A1365" s="37" t="n">
        <v>46143</v>
      </c>
      <c r="B1365" s="3" t="n">
        <v>2026</v>
      </c>
      <c r="C1365" s="26" t="inlineStr">
        <is>
          <t>Yanara Power</t>
        </is>
      </c>
      <c r="D1365" s="3" t="inlineStr">
        <is>
          <t>Utility and C&amp;I</t>
        </is>
      </c>
      <c r="E1365" s="3" t="n"/>
      <c r="F1365" s="3" t="inlineStr">
        <is>
          <t>Closed</t>
        </is>
      </c>
      <c r="G1365" s="9" t="inlineStr">
        <is>
          <t xml:space="preserve">Ashish Jindal </t>
        </is>
      </c>
      <c r="H1365" s="26" t="n">
        <v>9983975581</v>
      </c>
      <c r="I1365" s="38" t="inlineStr">
        <is>
          <t>PE01052601</t>
        </is>
      </c>
      <c r="J1365" s="26" t="inlineStr">
        <is>
          <t>Multiple Issues</t>
        </is>
      </c>
      <c r="K1365" s="39" t="inlineStr">
        <is>
          <t>Holi</t>
        </is>
      </c>
      <c r="L1365" s="39" t="inlineStr">
        <is>
          <t>Maharashtra</t>
        </is>
      </c>
      <c r="M1365" s="9" t="inlineStr">
        <is>
          <t>PS</t>
        </is>
      </c>
      <c r="N1365" s="3" t="inlineStr">
        <is>
          <t>Cold Soldering</t>
        </is>
      </c>
      <c r="O1365" s="39" t="n">
        <v>575</v>
      </c>
      <c r="P1365" s="9" t="inlineStr">
        <is>
          <t>NSMI24070202404</t>
        </is>
      </c>
      <c r="Q1365" s="53">
        <f>MID(P1365,5,2)</f>
        <v/>
      </c>
      <c r="R1365" s="53">
        <f>MID(P1365,7,2)</f>
        <v/>
      </c>
      <c r="S1365" s="3" t="inlineStr">
        <is>
          <t>G2G</t>
        </is>
      </c>
      <c r="T1365" s="3" t="inlineStr">
        <is>
          <t>P4</t>
        </is>
      </c>
      <c r="U1365" s="19" t="inlineStr">
        <is>
          <t>P JB Cold Soldering</t>
        </is>
      </c>
      <c r="V1365" s="19" t="inlineStr">
        <is>
          <t>Soldering</t>
        </is>
      </c>
      <c r="W1365" s="3" t="inlineStr">
        <is>
          <t>Repair</t>
        </is>
      </c>
      <c r="X1365" s="18" t="n">
        <v>46159</v>
      </c>
      <c r="Y1365" s="3">
        <f>X1365-A1365</f>
        <v/>
      </c>
      <c r="Z1365" s="18" t="n">
        <v>46159</v>
      </c>
      <c r="AA1365" s="15" t="n"/>
      <c r="AB1365" s="15" t="n"/>
    </row>
    <row r="1366">
      <c r="A1366" s="37" t="n">
        <v>46143</v>
      </c>
      <c r="B1366" s="3" t="n">
        <v>2026</v>
      </c>
      <c r="C1366" s="26" t="inlineStr">
        <is>
          <t>Yanara Power</t>
        </is>
      </c>
      <c r="D1366" s="3" t="inlineStr">
        <is>
          <t>Utility and C&amp;I</t>
        </is>
      </c>
      <c r="E1366" s="3" t="n"/>
      <c r="F1366" s="3" t="inlineStr">
        <is>
          <t>Closed</t>
        </is>
      </c>
      <c r="G1366" s="9" t="inlineStr">
        <is>
          <t xml:space="preserve">Ashish Jindal </t>
        </is>
      </c>
      <c r="H1366" s="26" t="n">
        <v>9983975581</v>
      </c>
      <c r="I1366" s="38" t="inlineStr">
        <is>
          <t>PE01052601</t>
        </is>
      </c>
      <c r="J1366" s="26" t="inlineStr">
        <is>
          <t>Multiple Issues</t>
        </is>
      </c>
      <c r="K1366" s="39" t="inlineStr">
        <is>
          <t>Holi</t>
        </is>
      </c>
      <c r="L1366" s="39" t="inlineStr">
        <is>
          <t>Maharashtra</t>
        </is>
      </c>
      <c r="M1366" s="9" t="inlineStr">
        <is>
          <t>PS</t>
        </is>
      </c>
      <c r="N1366" s="3" t="inlineStr">
        <is>
          <t>Cold Soldering</t>
        </is>
      </c>
      <c r="O1366" s="39" t="n">
        <v>575</v>
      </c>
      <c r="P1366" s="9" t="inlineStr">
        <is>
          <t>NSMI24070202520</t>
        </is>
      </c>
      <c r="Q1366" s="53">
        <f>MID(P1366,5,2)</f>
        <v/>
      </c>
      <c r="R1366" s="53">
        <f>MID(P1366,7,2)</f>
        <v/>
      </c>
      <c r="S1366" s="3" t="inlineStr">
        <is>
          <t>G2G</t>
        </is>
      </c>
      <c r="T1366" s="3" t="inlineStr">
        <is>
          <t>P4</t>
        </is>
      </c>
      <c r="U1366" s="19" t="inlineStr">
        <is>
          <t>P JB Cold Soldering</t>
        </is>
      </c>
      <c r="V1366" s="19" t="inlineStr">
        <is>
          <t>Soldering</t>
        </is>
      </c>
      <c r="W1366" s="3" t="inlineStr">
        <is>
          <t>Repair</t>
        </is>
      </c>
      <c r="X1366" s="18" t="n">
        <v>46159</v>
      </c>
      <c r="Y1366" s="3">
        <f>X1366-A1366</f>
        <v/>
      </c>
      <c r="Z1366" s="18" t="n">
        <v>46159</v>
      </c>
      <c r="AA1366" s="15" t="n"/>
      <c r="AB1366" s="15" t="n"/>
    </row>
    <row r="1367">
      <c r="A1367" s="37" t="n">
        <v>46143</v>
      </c>
      <c r="B1367" s="3" t="n">
        <v>2026</v>
      </c>
      <c r="C1367" s="26" t="inlineStr">
        <is>
          <t>Yanara Power</t>
        </is>
      </c>
      <c r="D1367" s="3" t="inlineStr">
        <is>
          <t>Utility and C&amp;I</t>
        </is>
      </c>
      <c r="E1367" s="3" t="n"/>
      <c r="F1367" s="3" t="inlineStr">
        <is>
          <t>Closed</t>
        </is>
      </c>
      <c r="G1367" s="9" t="inlineStr">
        <is>
          <t xml:space="preserve">Ashish Jindal </t>
        </is>
      </c>
      <c r="H1367" s="26" t="n">
        <v>9983975581</v>
      </c>
      <c r="I1367" s="38" t="inlineStr">
        <is>
          <t>PE01052601</t>
        </is>
      </c>
      <c r="J1367" s="26" t="inlineStr">
        <is>
          <t>Multiple Issues</t>
        </is>
      </c>
      <c r="K1367" s="39" t="inlineStr">
        <is>
          <t>Holi</t>
        </is>
      </c>
      <c r="L1367" s="39" t="inlineStr">
        <is>
          <t>Maharashtra</t>
        </is>
      </c>
      <c r="M1367" s="9" t="inlineStr">
        <is>
          <t>NS</t>
        </is>
      </c>
      <c r="N1367" s="3" t="inlineStr">
        <is>
          <t>Cold Soldering</t>
        </is>
      </c>
      <c r="O1367" s="39" t="n">
        <v>575</v>
      </c>
      <c r="P1367" s="9" t="inlineStr">
        <is>
          <t>NSMI24070221134</t>
        </is>
      </c>
      <c r="Q1367" s="53">
        <f>MID(P1367,5,2)</f>
        <v/>
      </c>
      <c r="R1367" s="53">
        <f>MID(P1367,7,2)</f>
        <v/>
      </c>
      <c r="S1367" s="3" t="inlineStr">
        <is>
          <t>G2G</t>
        </is>
      </c>
      <c r="T1367" s="3" t="inlineStr">
        <is>
          <t>P4</t>
        </is>
      </c>
      <c r="U1367" s="3" t="inlineStr">
        <is>
          <t>N JB Cold Soldering</t>
        </is>
      </c>
      <c r="V1367" s="3" t="inlineStr">
        <is>
          <t>Soldering</t>
        </is>
      </c>
      <c r="W1367" s="3" t="inlineStr">
        <is>
          <t>Repair</t>
        </is>
      </c>
      <c r="X1367" s="18" t="n">
        <v>46159</v>
      </c>
      <c r="Y1367" s="3">
        <f>X1367-A1367</f>
        <v/>
      </c>
      <c r="Z1367" s="18" t="n">
        <v>46159</v>
      </c>
      <c r="AA1367" s="15" t="n"/>
      <c r="AB1367" s="15" t="n"/>
    </row>
    <row r="1368">
      <c r="A1368" s="37" t="n">
        <v>46143</v>
      </c>
      <c r="B1368" s="3" t="n">
        <v>2026</v>
      </c>
      <c r="C1368" s="26" t="inlineStr">
        <is>
          <t>Yanara Power</t>
        </is>
      </c>
      <c r="D1368" s="3" t="inlineStr">
        <is>
          <t>Utility and C&amp;I</t>
        </is>
      </c>
      <c r="E1368" s="3" t="n"/>
      <c r="F1368" s="3" t="inlineStr">
        <is>
          <t>Closed</t>
        </is>
      </c>
      <c r="G1368" s="9" t="inlineStr">
        <is>
          <t xml:space="preserve">Ashish Jindal </t>
        </is>
      </c>
      <c r="H1368" s="26" t="n">
        <v>9983975581</v>
      </c>
      <c r="I1368" s="38" t="inlineStr">
        <is>
          <t>PE01052601</t>
        </is>
      </c>
      <c r="J1368" s="26" t="inlineStr">
        <is>
          <t>Multiple Issues</t>
        </is>
      </c>
      <c r="K1368" s="39" t="inlineStr">
        <is>
          <t>Holi</t>
        </is>
      </c>
      <c r="L1368" s="39" t="inlineStr">
        <is>
          <t>Maharashtra</t>
        </is>
      </c>
      <c r="M1368" s="9" t="inlineStr">
        <is>
          <t>PS</t>
        </is>
      </c>
      <c r="N1368" s="3" t="inlineStr">
        <is>
          <t>Cold Soldering</t>
        </is>
      </c>
      <c r="O1368" s="39" t="n">
        <v>575</v>
      </c>
      <c r="P1368" s="9" t="inlineStr">
        <is>
          <t>NSMI24070198553</t>
        </is>
      </c>
      <c r="Q1368" s="53">
        <f>MID(P1368,5,2)</f>
        <v/>
      </c>
      <c r="R1368" s="53">
        <f>MID(P1368,7,2)</f>
        <v/>
      </c>
      <c r="S1368" s="3" t="inlineStr">
        <is>
          <t>G2G</t>
        </is>
      </c>
      <c r="T1368" s="3" t="inlineStr">
        <is>
          <t>P4</t>
        </is>
      </c>
      <c r="U1368" s="19" t="inlineStr">
        <is>
          <t>P JB Cold Soldering</t>
        </is>
      </c>
      <c r="V1368" s="19" t="inlineStr">
        <is>
          <t>Soldering</t>
        </is>
      </c>
      <c r="W1368" s="3" t="inlineStr">
        <is>
          <t>Repair</t>
        </is>
      </c>
      <c r="X1368" s="18" t="n">
        <v>46159</v>
      </c>
      <c r="Y1368" s="3">
        <f>X1368-A1368</f>
        <v/>
      </c>
      <c r="Z1368" s="18" t="n">
        <v>46159</v>
      </c>
      <c r="AA1368" s="15" t="n"/>
      <c r="AB1368" s="15" t="n"/>
    </row>
    <row r="1369">
      <c r="A1369" s="37" t="n">
        <v>46143</v>
      </c>
      <c r="B1369" s="3" t="n">
        <v>2026</v>
      </c>
      <c r="C1369" s="26" t="inlineStr">
        <is>
          <t>Yanara Power</t>
        </is>
      </c>
      <c r="D1369" s="3" t="inlineStr">
        <is>
          <t>Utility and C&amp;I</t>
        </is>
      </c>
      <c r="E1369" s="3" t="n"/>
      <c r="F1369" s="3" t="inlineStr">
        <is>
          <t>Closed</t>
        </is>
      </c>
      <c r="G1369" s="9" t="inlineStr">
        <is>
          <t xml:space="preserve">Ashish Jindal </t>
        </is>
      </c>
      <c r="H1369" s="26" t="n">
        <v>9983975581</v>
      </c>
      <c r="I1369" s="38" t="inlineStr">
        <is>
          <t>PE01052601</t>
        </is>
      </c>
      <c r="J1369" s="26" t="inlineStr">
        <is>
          <t>Multiple Issues</t>
        </is>
      </c>
      <c r="K1369" s="39" t="inlineStr">
        <is>
          <t>Holi</t>
        </is>
      </c>
      <c r="L1369" s="39" t="inlineStr">
        <is>
          <t>Maharashtra</t>
        </is>
      </c>
      <c r="M1369" s="9" t="inlineStr">
        <is>
          <t>PNS</t>
        </is>
      </c>
      <c r="N1369" s="3" t="inlineStr">
        <is>
          <t>Cold Soldering</t>
        </is>
      </c>
      <c r="O1369" s="39" t="n">
        <v>575</v>
      </c>
      <c r="P1369" s="9" t="inlineStr">
        <is>
          <t>NSMI24070198260</t>
        </is>
      </c>
      <c r="Q1369" s="53">
        <f>MID(P1369,5,2)</f>
        <v/>
      </c>
      <c r="R1369" s="53">
        <f>MID(P1369,7,2)</f>
        <v/>
      </c>
      <c r="S1369" s="3" t="inlineStr">
        <is>
          <t>G2G</t>
        </is>
      </c>
      <c r="T1369" s="3" t="inlineStr">
        <is>
          <t>P4</t>
        </is>
      </c>
      <c r="U1369" s="3" t="inlineStr">
        <is>
          <t>P &amp; N JB Cold Soldering</t>
        </is>
      </c>
      <c r="V1369" s="3" t="inlineStr">
        <is>
          <t>Soldering</t>
        </is>
      </c>
      <c r="W1369" s="3" t="inlineStr">
        <is>
          <t>Repair</t>
        </is>
      </c>
      <c r="X1369" s="18" t="n">
        <v>46159</v>
      </c>
      <c r="Y1369" s="3">
        <f>X1369-A1369</f>
        <v/>
      </c>
      <c r="Z1369" s="18" t="n">
        <v>46159</v>
      </c>
      <c r="AA1369" s="15" t="n"/>
      <c r="AB1369" s="15" t="n"/>
    </row>
    <row r="1370">
      <c r="A1370" s="37" t="n">
        <v>46143</v>
      </c>
      <c r="B1370" s="3" t="n">
        <v>2026</v>
      </c>
      <c r="C1370" s="26" t="inlineStr">
        <is>
          <t>Yanara Power</t>
        </is>
      </c>
      <c r="D1370" s="3" t="inlineStr">
        <is>
          <t>Utility and C&amp;I</t>
        </is>
      </c>
      <c r="E1370" s="3" t="n"/>
      <c r="F1370" s="3" t="inlineStr">
        <is>
          <t>Closed</t>
        </is>
      </c>
      <c r="G1370" s="9" t="inlineStr">
        <is>
          <t xml:space="preserve">Ashish Jindal </t>
        </is>
      </c>
      <c r="H1370" s="26" t="n">
        <v>9983975581</v>
      </c>
      <c r="I1370" s="38" t="inlineStr">
        <is>
          <t>PE01052601</t>
        </is>
      </c>
      <c r="J1370" s="26" t="inlineStr">
        <is>
          <t>Multiple Issues</t>
        </is>
      </c>
      <c r="K1370" s="39" t="inlineStr">
        <is>
          <t>Holi</t>
        </is>
      </c>
      <c r="L1370" s="39" t="inlineStr">
        <is>
          <t>Maharashtra</t>
        </is>
      </c>
      <c r="M1370" s="9" t="inlineStr">
        <is>
          <t>PNS</t>
        </is>
      </c>
      <c r="N1370" s="3" t="inlineStr">
        <is>
          <t>Cold Soldering</t>
        </is>
      </c>
      <c r="O1370" s="39" t="n">
        <v>575</v>
      </c>
      <c r="P1370" s="9" t="inlineStr">
        <is>
          <t>NSMI24070198706</t>
        </is>
      </c>
      <c r="Q1370" s="53">
        <f>MID(P1370,5,2)</f>
        <v/>
      </c>
      <c r="R1370" s="53">
        <f>MID(P1370,7,2)</f>
        <v/>
      </c>
      <c r="S1370" s="3" t="inlineStr">
        <is>
          <t>G2G</t>
        </is>
      </c>
      <c r="T1370" s="3" t="inlineStr">
        <is>
          <t>P4</t>
        </is>
      </c>
      <c r="U1370" s="3" t="inlineStr">
        <is>
          <t>P &amp; N JB Cold Soldering</t>
        </is>
      </c>
      <c r="V1370" s="3" t="inlineStr">
        <is>
          <t>Soldering</t>
        </is>
      </c>
      <c r="W1370" s="3" t="inlineStr">
        <is>
          <t>Repair</t>
        </is>
      </c>
      <c r="X1370" s="18" t="n">
        <v>46159</v>
      </c>
      <c r="Y1370" s="3">
        <f>X1370-A1370</f>
        <v/>
      </c>
      <c r="Z1370" s="18" t="n">
        <v>46159</v>
      </c>
      <c r="AA1370" s="15" t="n"/>
      <c r="AB1370" s="15" t="n"/>
    </row>
    <row r="1371">
      <c r="A1371" s="37" t="n">
        <v>46143</v>
      </c>
      <c r="B1371" s="3" t="n">
        <v>2026</v>
      </c>
      <c r="C1371" s="26" t="inlineStr">
        <is>
          <t>Yanara Power</t>
        </is>
      </c>
      <c r="D1371" s="3" t="inlineStr">
        <is>
          <t>Utility and C&amp;I</t>
        </is>
      </c>
      <c r="E1371" s="3" t="n"/>
      <c r="F1371" s="3" t="inlineStr">
        <is>
          <t>Closed</t>
        </is>
      </c>
      <c r="G1371" s="9" t="inlineStr">
        <is>
          <t xml:space="preserve">Ashish Jindal </t>
        </is>
      </c>
      <c r="H1371" s="26" t="n">
        <v>9983975581</v>
      </c>
      <c r="I1371" s="38" t="inlineStr">
        <is>
          <t>PE01052601</t>
        </is>
      </c>
      <c r="J1371" s="26" t="inlineStr">
        <is>
          <t>Multiple Issues</t>
        </is>
      </c>
      <c r="K1371" s="39" t="inlineStr">
        <is>
          <t>Holi</t>
        </is>
      </c>
      <c r="L1371" s="39" t="inlineStr">
        <is>
          <t>Maharashtra</t>
        </is>
      </c>
      <c r="M1371" s="9" t="inlineStr">
        <is>
          <t>NS</t>
        </is>
      </c>
      <c r="N1371" s="3" t="inlineStr">
        <is>
          <t>Cold Soldering</t>
        </is>
      </c>
      <c r="O1371" s="39" t="n">
        <v>575</v>
      </c>
      <c r="P1371" s="9" t="inlineStr">
        <is>
          <t>NSMI24070186131</t>
        </is>
      </c>
      <c r="Q1371" s="53">
        <f>MID(P1371,5,2)</f>
        <v/>
      </c>
      <c r="R1371" s="53">
        <f>MID(P1371,7,2)</f>
        <v/>
      </c>
      <c r="S1371" s="3" t="inlineStr">
        <is>
          <t>G2G</t>
        </is>
      </c>
      <c r="T1371" s="3" t="inlineStr">
        <is>
          <t>P4</t>
        </is>
      </c>
      <c r="U1371" s="3" t="inlineStr">
        <is>
          <t>N JB Cold Soldering</t>
        </is>
      </c>
      <c r="V1371" s="3" t="inlineStr">
        <is>
          <t>Soldering</t>
        </is>
      </c>
      <c r="W1371" s="3" t="inlineStr">
        <is>
          <t>Repair</t>
        </is>
      </c>
      <c r="X1371" s="18" t="n">
        <v>46159</v>
      </c>
      <c r="Y1371" s="3">
        <f>X1371-A1371</f>
        <v/>
      </c>
      <c r="Z1371" s="18" t="n">
        <v>46159</v>
      </c>
      <c r="AA1371" s="15" t="n"/>
      <c r="AB1371" s="15" t="n"/>
    </row>
    <row r="1372">
      <c r="A1372" s="37" t="n">
        <v>46143</v>
      </c>
      <c r="B1372" s="3" t="n">
        <v>2026</v>
      </c>
      <c r="C1372" s="26" t="inlineStr">
        <is>
          <t>Yanara Power</t>
        </is>
      </c>
      <c r="D1372" s="3" t="inlineStr">
        <is>
          <t>Utility and C&amp;I</t>
        </is>
      </c>
      <c r="E1372" s="3" t="n"/>
      <c r="F1372" s="3" t="inlineStr">
        <is>
          <t>Closed</t>
        </is>
      </c>
      <c r="G1372" s="9" t="inlineStr">
        <is>
          <t xml:space="preserve">Ashish Jindal </t>
        </is>
      </c>
      <c r="H1372" s="26" t="n">
        <v>9983975581</v>
      </c>
      <c r="I1372" s="38" t="inlineStr">
        <is>
          <t>PE01052601</t>
        </is>
      </c>
      <c r="J1372" s="26" t="inlineStr">
        <is>
          <t>Multiple Issues</t>
        </is>
      </c>
      <c r="K1372" s="39" t="inlineStr">
        <is>
          <t>Holi</t>
        </is>
      </c>
      <c r="L1372" s="39" t="inlineStr">
        <is>
          <t>Maharashtra</t>
        </is>
      </c>
      <c r="M1372" s="9" t="inlineStr">
        <is>
          <t>NS</t>
        </is>
      </c>
      <c r="N1372" s="3" t="inlineStr">
        <is>
          <t>Cold Soldering</t>
        </is>
      </c>
      <c r="O1372" s="39" t="n">
        <v>575</v>
      </c>
      <c r="P1372" s="9" t="inlineStr">
        <is>
          <t>NSMI24070186135</t>
        </is>
      </c>
      <c r="Q1372" s="53">
        <f>MID(P1372,5,2)</f>
        <v/>
      </c>
      <c r="R1372" s="53">
        <f>MID(P1372,7,2)</f>
        <v/>
      </c>
      <c r="S1372" s="3" t="inlineStr">
        <is>
          <t>G2G</t>
        </is>
      </c>
      <c r="T1372" s="3" t="inlineStr">
        <is>
          <t>P4</t>
        </is>
      </c>
      <c r="U1372" s="3" t="inlineStr">
        <is>
          <t>N JB Cold Soldering</t>
        </is>
      </c>
      <c r="V1372" s="3" t="inlineStr">
        <is>
          <t>Soldering</t>
        </is>
      </c>
      <c r="W1372" s="3" t="inlineStr">
        <is>
          <t>Repair</t>
        </is>
      </c>
      <c r="X1372" s="18" t="n">
        <v>46159</v>
      </c>
      <c r="Y1372" s="3">
        <f>X1372-A1372</f>
        <v/>
      </c>
      <c r="Z1372" s="18" t="n">
        <v>46159</v>
      </c>
      <c r="AA1372" s="15" t="n"/>
      <c r="AB1372" s="15" t="n"/>
    </row>
    <row r="1373">
      <c r="A1373" s="37" t="n">
        <v>46143</v>
      </c>
      <c r="B1373" s="3" t="n">
        <v>2026</v>
      </c>
      <c r="C1373" s="26" t="inlineStr">
        <is>
          <t>Yanara Power</t>
        </is>
      </c>
      <c r="D1373" s="3" t="inlineStr">
        <is>
          <t>Utility and C&amp;I</t>
        </is>
      </c>
      <c r="E1373" s="3" t="n"/>
      <c r="F1373" s="3" t="inlineStr">
        <is>
          <t>Closed</t>
        </is>
      </c>
      <c r="G1373" s="9" t="inlineStr">
        <is>
          <t xml:space="preserve">Ashish Jindal </t>
        </is>
      </c>
      <c r="H1373" s="26" t="n">
        <v>9983975581</v>
      </c>
      <c r="I1373" s="38" t="inlineStr">
        <is>
          <t>PE01052601</t>
        </is>
      </c>
      <c r="J1373" s="26" t="inlineStr">
        <is>
          <t>Multiple Issues</t>
        </is>
      </c>
      <c r="K1373" s="39" t="inlineStr">
        <is>
          <t>Holi</t>
        </is>
      </c>
      <c r="L1373" s="39" t="inlineStr">
        <is>
          <t>Maharashtra</t>
        </is>
      </c>
      <c r="M1373" s="9" t="inlineStr">
        <is>
          <t>PS</t>
        </is>
      </c>
      <c r="N1373" s="3" t="inlineStr">
        <is>
          <t>Cold Soldering</t>
        </is>
      </c>
      <c r="O1373" s="39" t="n">
        <v>575</v>
      </c>
      <c r="P1373" s="9" t="inlineStr">
        <is>
          <t>NSMI24070198890</t>
        </is>
      </c>
      <c r="Q1373" s="53">
        <f>MID(P1373,5,2)</f>
        <v/>
      </c>
      <c r="R1373" s="53">
        <f>MID(P1373,7,2)</f>
        <v/>
      </c>
      <c r="S1373" s="3" t="inlineStr">
        <is>
          <t>G2G</t>
        </is>
      </c>
      <c r="T1373" s="3" t="inlineStr">
        <is>
          <t>P4</t>
        </is>
      </c>
      <c r="U1373" s="19" t="inlineStr">
        <is>
          <t>P JB Cold Soldering</t>
        </is>
      </c>
      <c r="V1373" s="19" t="inlineStr">
        <is>
          <t>Soldering</t>
        </is>
      </c>
      <c r="W1373" s="3" t="inlineStr">
        <is>
          <t>Repair</t>
        </is>
      </c>
      <c r="X1373" s="18" t="n">
        <v>46159</v>
      </c>
      <c r="Y1373" s="3">
        <f>X1373-A1373</f>
        <v/>
      </c>
      <c r="Z1373" s="18" t="n">
        <v>46159</v>
      </c>
      <c r="AA1373" s="15" t="n"/>
      <c r="AB1373" s="15" t="n"/>
    </row>
    <row r="1374">
      <c r="A1374" s="37" t="n">
        <v>46143</v>
      </c>
      <c r="B1374" s="3" t="n">
        <v>2026</v>
      </c>
      <c r="C1374" s="26" t="inlineStr">
        <is>
          <t>Yanara Power</t>
        </is>
      </c>
      <c r="D1374" s="3" t="inlineStr">
        <is>
          <t>Utility and C&amp;I</t>
        </is>
      </c>
      <c r="E1374" s="3" t="n"/>
      <c r="F1374" s="3" t="inlineStr">
        <is>
          <t>Closed</t>
        </is>
      </c>
      <c r="G1374" s="9" t="inlineStr">
        <is>
          <t xml:space="preserve">Ashish Jindal </t>
        </is>
      </c>
      <c r="H1374" s="26" t="n">
        <v>9983975581</v>
      </c>
      <c r="I1374" s="38" t="inlineStr">
        <is>
          <t>PE01052601</t>
        </is>
      </c>
      <c r="J1374" s="26" t="inlineStr">
        <is>
          <t>Multiple Issues</t>
        </is>
      </c>
      <c r="K1374" s="39" t="inlineStr">
        <is>
          <t>Holi</t>
        </is>
      </c>
      <c r="L1374" s="39" t="inlineStr">
        <is>
          <t>Maharashtra</t>
        </is>
      </c>
      <c r="M1374" s="9" t="inlineStr">
        <is>
          <t>PS</t>
        </is>
      </c>
      <c r="N1374" s="3" t="inlineStr">
        <is>
          <t>Cold Soldering</t>
        </is>
      </c>
      <c r="O1374" s="39" t="n">
        <v>575</v>
      </c>
      <c r="P1374" s="9" t="inlineStr">
        <is>
          <t>NSMI24070198853</t>
        </is>
      </c>
      <c r="Q1374" s="53">
        <f>MID(P1374,5,2)</f>
        <v/>
      </c>
      <c r="R1374" s="53">
        <f>MID(P1374,7,2)</f>
        <v/>
      </c>
      <c r="S1374" s="3" t="inlineStr">
        <is>
          <t>G2G</t>
        </is>
      </c>
      <c r="T1374" s="3" t="inlineStr">
        <is>
          <t>P4</t>
        </is>
      </c>
      <c r="U1374" s="19" t="inlineStr">
        <is>
          <t>P JB Cold Soldering</t>
        </is>
      </c>
      <c r="V1374" s="19" t="inlineStr">
        <is>
          <t>Soldering</t>
        </is>
      </c>
      <c r="W1374" s="3" t="inlineStr">
        <is>
          <t>Repair</t>
        </is>
      </c>
      <c r="X1374" s="18" t="n">
        <v>46159</v>
      </c>
      <c r="Y1374" s="3">
        <f>X1374-A1374</f>
        <v/>
      </c>
      <c r="Z1374" s="18" t="n">
        <v>46159</v>
      </c>
      <c r="AA1374" s="15" t="n"/>
      <c r="AB1374" s="15" t="n"/>
    </row>
    <row r="1375">
      <c r="A1375" s="37" t="n">
        <v>46143</v>
      </c>
      <c r="B1375" s="3" t="n">
        <v>2026</v>
      </c>
      <c r="C1375" s="26" t="inlineStr">
        <is>
          <t>Yanara Power</t>
        </is>
      </c>
      <c r="D1375" s="3" t="inlineStr">
        <is>
          <t>Utility and C&amp;I</t>
        </is>
      </c>
      <c r="E1375" s="3" t="n"/>
      <c r="F1375" s="3" t="inlineStr">
        <is>
          <t>Closed</t>
        </is>
      </c>
      <c r="G1375" s="9" t="inlineStr">
        <is>
          <t xml:space="preserve">Ashish Jindal </t>
        </is>
      </c>
      <c r="H1375" s="26" t="n">
        <v>9983975581</v>
      </c>
      <c r="I1375" s="38" t="inlineStr">
        <is>
          <t>PE01052601</t>
        </is>
      </c>
      <c r="J1375" s="26" t="inlineStr">
        <is>
          <t>Multiple Issues</t>
        </is>
      </c>
      <c r="K1375" s="39" t="inlineStr">
        <is>
          <t>Holi</t>
        </is>
      </c>
      <c r="L1375" s="39" t="inlineStr">
        <is>
          <t>Maharashtra</t>
        </is>
      </c>
      <c r="M1375" s="9" t="inlineStr">
        <is>
          <t>PS</t>
        </is>
      </c>
      <c r="N1375" s="3" t="inlineStr">
        <is>
          <t>Cold Soldering</t>
        </is>
      </c>
      <c r="O1375" s="39" t="n">
        <v>575</v>
      </c>
      <c r="P1375" s="9" t="inlineStr">
        <is>
          <t>NSMI24070217262</t>
        </is>
      </c>
      <c r="Q1375" s="53">
        <f>MID(P1375,5,2)</f>
        <v/>
      </c>
      <c r="R1375" s="53">
        <f>MID(P1375,7,2)</f>
        <v/>
      </c>
      <c r="S1375" s="3" t="inlineStr">
        <is>
          <t>G2G</t>
        </is>
      </c>
      <c r="T1375" s="3" t="inlineStr">
        <is>
          <t>P4</t>
        </is>
      </c>
      <c r="U1375" s="19" t="inlineStr">
        <is>
          <t>P JB Cold Soldering</t>
        </is>
      </c>
      <c r="V1375" s="19" t="inlineStr">
        <is>
          <t>Soldering</t>
        </is>
      </c>
      <c r="W1375" s="3" t="inlineStr">
        <is>
          <t>Repair</t>
        </is>
      </c>
      <c r="X1375" s="18" t="n">
        <v>46159</v>
      </c>
      <c r="Y1375" s="3">
        <f>X1375-A1375</f>
        <v/>
      </c>
      <c r="Z1375" s="18" t="n">
        <v>46159</v>
      </c>
      <c r="AA1375" s="15" t="n"/>
      <c r="AB1375" s="15" t="n"/>
    </row>
    <row r="1376">
      <c r="A1376" s="37" t="n">
        <v>46143</v>
      </c>
      <c r="B1376" s="3" t="n">
        <v>2026</v>
      </c>
      <c r="C1376" s="26" t="inlineStr">
        <is>
          <t>Yanara Power</t>
        </is>
      </c>
      <c r="D1376" s="3" t="inlineStr">
        <is>
          <t>Utility and C&amp;I</t>
        </is>
      </c>
      <c r="E1376" s="3" t="n"/>
      <c r="F1376" s="3" t="inlineStr">
        <is>
          <t>Closed</t>
        </is>
      </c>
      <c r="G1376" s="9" t="inlineStr">
        <is>
          <t xml:space="preserve">Ashish Jindal </t>
        </is>
      </c>
      <c r="H1376" s="26" t="n">
        <v>9983975581</v>
      </c>
      <c r="I1376" s="38" t="inlineStr">
        <is>
          <t>PE01052601</t>
        </is>
      </c>
      <c r="J1376" s="26" t="inlineStr">
        <is>
          <t>Multiple Issues</t>
        </is>
      </c>
      <c r="K1376" s="39" t="inlineStr">
        <is>
          <t>Holi</t>
        </is>
      </c>
      <c r="L1376" s="39" t="inlineStr">
        <is>
          <t>Maharashtra</t>
        </is>
      </c>
      <c r="M1376" s="9" t="inlineStr">
        <is>
          <t>NS</t>
        </is>
      </c>
      <c r="N1376" s="3" t="inlineStr">
        <is>
          <t>Cold Soldering</t>
        </is>
      </c>
      <c r="O1376" s="39" t="n">
        <v>575</v>
      </c>
      <c r="P1376" s="9" t="inlineStr">
        <is>
          <t>NSMI24070187806</t>
        </is>
      </c>
      <c r="Q1376" s="53">
        <f>MID(P1376,5,2)</f>
        <v/>
      </c>
      <c r="R1376" s="53">
        <f>MID(P1376,7,2)</f>
        <v/>
      </c>
      <c r="S1376" s="3" t="inlineStr">
        <is>
          <t>G2G</t>
        </is>
      </c>
      <c r="T1376" s="3" t="inlineStr">
        <is>
          <t>P4</t>
        </is>
      </c>
      <c r="U1376" s="3" t="inlineStr">
        <is>
          <t>N JB Cold Soldering</t>
        </is>
      </c>
      <c r="V1376" s="3" t="inlineStr">
        <is>
          <t>Soldering</t>
        </is>
      </c>
      <c r="W1376" s="3" t="inlineStr">
        <is>
          <t>Repair</t>
        </is>
      </c>
      <c r="X1376" s="18" t="n">
        <v>46159</v>
      </c>
      <c r="Y1376" s="3">
        <f>X1376-A1376</f>
        <v/>
      </c>
      <c r="Z1376" s="18" t="n">
        <v>46159</v>
      </c>
      <c r="AA1376" s="15" t="n"/>
      <c r="AB1376" s="15" t="n"/>
    </row>
    <row r="1377">
      <c r="A1377" s="37" t="n">
        <v>46143</v>
      </c>
      <c r="B1377" s="3" t="n">
        <v>2026</v>
      </c>
      <c r="C1377" s="26" t="inlineStr">
        <is>
          <t>Yanara Power</t>
        </is>
      </c>
      <c r="D1377" s="3" t="inlineStr">
        <is>
          <t>Utility and C&amp;I</t>
        </is>
      </c>
      <c r="E1377" s="3" t="n"/>
      <c r="F1377" s="3" t="inlineStr">
        <is>
          <t>Closed</t>
        </is>
      </c>
      <c r="G1377" s="9" t="inlineStr">
        <is>
          <t xml:space="preserve">Ashish Jindal </t>
        </is>
      </c>
      <c r="H1377" s="26" t="n">
        <v>9983975581</v>
      </c>
      <c r="I1377" s="38" t="inlineStr">
        <is>
          <t>PE01052601</t>
        </is>
      </c>
      <c r="J1377" s="26" t="inlineStr">
        <is>
          <t>Multiple Issues</t>
        </is>
      </c>
      <c r="K1377" s="39" t="inlineStr">
        <is>
          <t>Holi</t>
        </is>
      </c>
      <c r="L1377" s="39" t="inlineStr">
        <is>
          <t>Maharashtra</t>
        </is>
      </c>
      <c r="M1377" s="9" t="inlineStr">
        <is>
          <t>PS</t>
        </is>
      </c>
      <c r="N1377" s="3" t="inlineStr">
        <is>
          <t>Cold Soldering</t>
        </is>
      </c>
      <c r="O1377" s="39" t="n">
        <v>575</v>
      </c>
      <c r="P1377" s="9" t="inlineStr">
        <is>
          <t>NSMI24070219038</t>
        </is>
      </c>
      <c r="Q1377" s="53">
        <f>MID(P1377,5,2)</f>
        <v/>
      </c>
      <c r="R1377" s="53">
        <f>MID(P1377,7,2)</f>
        <v/>
      </c>
      <c r="S1377" s="3" t="inlineStr">
        <is>
          <t>G2G</t>
        </is>
      </c>
      <c r="T1377" s="3" t="inlineStr">
        <is>
          <t>P4</t>
        </is>
      </c>
      <c r="U1377" s="19" t="inlineStr">
        <is>
          <t>P JB Cold Soldering</t>
        </is>
      </c>
      <c r="V1377" s="19" t="inlineStr">
        <is>
          <t>Soldering</t>
        </is>
      </c>
      <c r="W1377" s="3" t="inlineStr">
        <is>
          <t>Repair</t>
        </is>
      </c>
      <c r="X1377" s="18" t="n">
        <v>46159</v>
      </c>
      <c r="Y1377" s="3">
        <f>X1377-A1377</f>
        <v/>
      </c>
      <c r="Z1377" s="18" t="n">
        <v>46159</v>
      </c>
      <c r="AA1377" s="15" t="n"/>
      <c r="AB1377" s="15" t="n"/>
    </row>
    <row r="1378">
      <c r="A1378" s="37" t="n">
        <v>46143</v>
      </c>
      <c r="B1378" s="3" t="n">
        <v>2026</v>
      </c>
      <c r="C1378" s="26" t="inlineStr">
        <is>
          <t>Yanara Power</t>
        </is>
      </c>
      <c r="D1378" s="3" t="inlineStr">
        <is>
          <t>Utility and C&amp;I</t>
        </is>
      </c>
      <c r="E1378" s="3" t="n"/>
      <c r="F1378" s="3" t="inlineStr">
        <is>
          <t>Closed</t>
        </is>
      </c>
      <c r="G1378" s="9" t="inlineStr">
        <is>
          <t xml:space="preserve">Ashish Jindal </t>
        </is>
      </c>
      <c r="H1378" s="26" t="n">
        <v>9983975581</v>
      </c>
      <c r="I1378" s="38" t="inlineStr">
        <is>
          <t>PE01052601</t>
        </is>
      </c>
      <c r="J1378" s="26" t="inlineStr">
        <is>
          <t>Multiple Issues</t>
        </is>
      </c>
      <c r="K1378" s="39" t="inlineStr">
        <is>
          <t>Holi</t>
        </is>
      </c>
      <c r="L1378" s="39" t="inlineStr">
        <is>
          <t>Maharashtra</t>
        </is>
      </c>
      <c r="M1378" s="9" t="inlineStr">
        <is>
          <t>NS</t>
        </is>
      </c>
      <c r="N1378" s="3" t="inlineStr">
        <is>
          <t>Cold Soldering</t>
        </is>
      </c>
      <c r="O1378" s="39" t="n">
        <v>575</v>
      </c>
      <c r="P1378" s="9" t="inlineStr">
        <is>
          <t>NSMI24070218456</t>
        </is>
      </c>
      <c r="Q1378" s="53">
        <f>MID(P1378,5,2)</f>
        <v/>
      </c>
      <c r="R1378" s="53">
        <f>MID(P1378,7,2)</f>
        <v/>
      </c>
      <c r="S1378" s="3" t="inlineStr">
        <is>
          <t>G2G</t>
        </is>
      </c>
      <c r="T1378" s="3" t="inlineStr">
        <is>
          <t>P4</t>
        </is>
      </c>
      <c r="U1378" s="3" t="inlineStr">
        <is>
          <t>N JB Cold Soldering</t>
        </is>
      </c>
      <c r="V1378" s="3" t="inlineStr">
        <is>
          <t>Soldering</t>
        </is>
      </c>
      <c r="W1378" s="3" t="inlineStr">
        <is>
          <t>Repair</t>
        </is>
      </c>
      <c r="X1378" s="18" t="n">
        <v>46159</v>
      </c>
      <c r="Y1378" s="3">
        <f>X1378-A1378</f>
        <v/>
      </c>
      <c r="Z1378" s="18" t="n">
        <v>46159</v>
      </c>
      <c r="AA1378" s="15" t="n"/>
      <c r="AB1378" s="15" t="n"/>
    </row>
    <row r="1379">
      <c r="A1379" s="37" t="n">
        <v>46143</v>
      </c>
      <c r="B1379" s="3" t="n">
        <v>2026</v>
      </c>
      <c r="C1379" s="26" t="inlineStr">
        <is>
          <t>Yanara Power</t>
        </is>
      </c>
      <c r="D1379" s="3" t="inlineStr">
        <is>
          <t>Utility and C&amp;I</t>
        </is>
      </c>
      <c r="E1379" s="3" t="n"/>
      <c r="F1379" s="3" t="inlineStr">
        <is>
          <t>Closed</t>
        </is>
      </c>
      <c r="G1379" s="9" t="inlineStr">
        <is>
          <t xml:space="preserve">Ashish Jindal </t>
        </is>
      </c>
      <c r="H1379" s="26" t="n">
        <v>9983975581</v>
      </c>
      <c r="I1379" s="38" t="inlineStr">
        <is>
          <t>PE01052601</t>
        </is>
      </c>
      <c r="J1379" s="26" t="inlineStr">
        <is>
          <t>Multiple Issues</t>
        </is>
      </c>
      <c r="K1379" s="39" t="inlineStr">
        <is>
          <t>Holi</t>
        </is>
      </c>
      <c r="L1379" s="39" t="inlineStr">
        <is>
          <t>Maharashtra</t>
        </is>
      </c>
      <c r="M1379" s="9" t="inlineStr">
        <is>
          <t>PS</t>
        </is>
      </c>
      <c r="N1379" s="3" t="inlineStr">
        <is>
          <t>Cold Soldering</t>
        </is>
      </c>
      <c r="O1379" s="39" t="n">
        <v>575</v>
      </c>
      <c r="P1379" s="9" t="inlineStr">
        <is>
          <t>NSM124070197944</t>
        </is>
      </c>
      <c r="Q1379" s="53">
        <f>MID(P1379,5,2)</f>
        <v/>
      </c>
      <c r="R1379" s="53">
        <f>MID(P1379,7,2)</f>
        <v/>
      </c>
      <c r="S1379" s="3" t="inlineStr">
        <is>
          <t>G2G</t>
        </is>
      </c>
      <c r="T1379" s="3" t="inlineStr">
        <is>
          <t>P4</t>
        </is>
      </c>
      <c r="U1379" s="19" t="inlineStr">
        <is>
          <t>P JB Cold Soldering</t>
        </is>
      </c>
      <c r="V1379" s="19" t="inlineStr">
        <is>
          <t>Soldering</t>
        </is>
      </c>
      <c r="W1379" s="3" t="inlineStr">
        <is>
          <t>Repair</t>
        </is>
      </c>
      <c r="X1379" s="18" t="n">
        <v>46159</v>
      </c>
      <c r="Y1379" s="3">
        <f>X1379-A1379</f>
        <v/>
      </c>
      <c r="Z1379" s="18" t="n">
        <v>46159</v>
      </c>
      <c r="AA1379" s="15" t="n"/>
      <c r="AB1379" s="15" t="n"/>
    </row>
    <row r="1380">
      <c r="A1380" s="37" t="n">
        <v>46143</v>
      </c>
      <c r="B1380" s="3" t="n">
        <v>2026</v>
      </c>
      <c r="C1380" s="26" t="inlineStr">
        <is>
          <t>Yanara Power</t>
        </is>
      </c>
      <c r="D1380" s="3" t="inlineStr">
        <is>
          <t>Utility and C&amp;I</t>
        </is>
      </c>
      <c r="E1380" s="3" t="n"/>
      <c r="F1380" s="3" t="inlineStr">
        <is>
          <t>Closed</t>
        </is>
      </c>
      <c r="G1380" s="9" t="inlineStr">
        <is>
          <t xml:space="preserve">Ashish Jindal </t>
        </is>
      </c>
      <c r="H1380" s="26" t="n">
        <v>9983975581</v>
      </c>
      <c r="I1380" s="38" t="inlineStr">
        <is>
          <t>PE01052601</t>
        </is>
      </c>
      <c r="J1380" s="26" t="inlineStr">
        <is>
          <t>Multiple Issues</t>
        </is>
      </c>
      <c r="K1380" s="39" t="inlineStr">
        <is>
          <t>Holi</t>
        </is>
      </c>
      <c r="L1380" s="39" t="inlineStr">
        <is>
          <t>Maharashtra</t>
        </is>
      </c>
      <c r="M1380" s="9" t="inlineStr">
        <is>
          <t>PNS</t>
        </is>
      </c>
      <c r="N1380" s="3" t="inlineStr">
        <is>
          <t>Cold Soldering</t>
        </is>
      </c>
      <c r="O1380" s="39" t="n">
        <v>575</v>
      </c>
      <c r="P1380" s="9" t="inlineStr">
        <is>
          <t>NSMI24070198234</t>
        </is>
      </c>
      <c r="Q1380" s="53">
        <f>MID(P1380,5,2)</f>
        <v/>
      </c>
      <c r="R1380" s="53">
        <f>MID(P1380,7,2)</f>
        <v/>
      </c>
      <c r="S1380" s="3" t="inlineStr">
        <is>
          <t>G2G</t>
        </is>
      </c>
      <c r="T1380" s="3" t="inlineStr">
        <is>
          <t>P4</t>
        </is>
      </c>
      <c r="U1380" s="3" t="inlineStr">
        <is>
          <t>P &amp; N JB Cold Soldering</t>
        </is>
      </c>
      <c r="V1380" s="3" t="inlineStr">
        <is>
          <t>Soldering</t>
        </is>
      </c>
      <c r="W1380" s="3" t="inlineStr">
        <is>
          <t>Repair</t>
        </is>
      </c>
      <c r="X1380" s="18" t="n">
        <v>46159</v>
      </c>
      <c r="Y1380" s="3">
        <f>X1380-A1380</f>
        <v/>
      </c>
      <c r="Z1380" s="18" t="n">
        <v>46159</v>
      </c>
      <c r="AA1380" s="15" t="n"/>
      <c r="AB1380" s="15" t="n"/>
    </row>
    <row r="1381">
      <c r="A1381" s="37" t="n">
        <v>46143</v>
      </c>
      <c r="B1381" s="3" t="n">
        <v>2026</v>
      </c>
      <c r="C1381" s="26" t="inlineStr">
        <is>
          <t>Yanara Power</t>
        </is>
      </c>
      <c r="D1381" s="3" t="inlineStr">
        <is>
          <t>Utility and C&amp;I</t>
        </is>
      </c>
      <c r="E1381" s="3" t="n"/>
      <c r="F1381" s="3" t="inlineStr">
        <is>
          <t>Closed</t>
        </is>
      </c>
      <c r="G1381" s="9" t="inlineStr">
        <is>
          <t xml:space="preserve">Ashish Jindal </t>
        </is>
      </c>
      <c r="H1381" s="26" t="n">
        <v>9983975581</v>
      </c>
      <c r="I1381" s="38" t="inlineStr">
        <is>
          <t>PE01052601</t>
        </is>
      </c>
      <c r="J1381" s="26" t="inlineStr">
        <is>
          <t>Multiple Issues</t>
        </is>
      </c>
      <c r="K1381" s="39" t="inlineStr">
        <is>
          <t>Holi</t>
        </is>
      </c>
      <c r="L1381" s="39" t="inlineStr">
        <is>
          <t>Maharashtra</t>
        </is>
      </c>
      <c r="M1381" s="9" t="inlineStr">
        <is>
          <t>PS</t>
        </is>
      </c>
      <c r="N1381" s="3" t="inlineStr">
        <is>
          <t>Cold Soldering</t>
        </is>
      </c>
      <c r="O1381" s="39" t="n">
        <v>575</v>
      </c>
      <c r="P1381" s="9" t="inlineStr">
        <is>
          <t>NSMI24070198293</t>
        </is>
      </c>
      <c r="Q1381" s="53">
        <f>MID(P1381,5,2)</f>
        <v/>
      </c>
      <c r="R1381" s="53">
        <f>MID(P1381,7,2)</f>
        <v/>
      </c>
      <c r="S1381" s="3" t="inlineStr">
        <is>
          <t>G2G</t>
        </is>
      </c>
      <c r="T1381" s="3" t="inlineStr">
        <is>
          <t>P4</t>
        </is>
      </c>
      <c r="U1381" s="19" t="inlineStr">
        <is>
          <t>P JB Cold Soldering</t>
        </is>
      </c>
      <c r="V1381" s="19" t="inlineStr">
        <is>
          <t>Soldering</t>
        </is>
      </c>
      <c r="W1381" s="3" t="inlineStr">
        <is>
          <t>Repair</t>
        </is>
      </c>
      <c r="X1381" s="18" t="n">
        <v>46159</v>
      </c>
      <c r="Y1381" s="3">
        <f>X1381-A1381</f>
        <v/>
      </c>
      <c r="Z1381" s="18" t="n">
        <v>46159</v>
      </c>
      <c r="AA1381" s="15" t="n"/>
      <c r="AB1381" s="15" t="n"/>
    </row>
    <row r="1382">
      <c r="A1382" s="37" t="n">
        <v>46143</v>
      </c>
      <c r="B1382" s="3" t="n">
        <v>2026</v>
      </c>
      <c r="C1382" s="26" t="inlineStr">
        <is>
          <t>Yanara Power</t>
        </is>
      </c>
      <c r="D1382" s="3" t="inlineStr">
        <is>
          <t>Utility and C&amp;I</t>
        </is>
      </c>
      <c r="E1382" s="3" t="n"/>
      <c r="F1382" s="3" t="inlineStr">
        <is>
          <t>Closed</t>
        </is>
      </c>
      <c r="G1382" s="9" t="inlineStr">
        <is>
          <t xml:space="preserve">Ashish Jindal </t>
        </is>
      </c>
      <c r="H1382" s="26" t="n">
        <v>9983975581</v>
      </c>
      <c r="I1382" s="38" t="inlineStr">
        <is>
          <t>PE01052601</t>
        </is>
      </c>
      <c r="J1382" s="26" t="inlineStr">
        <is>
          <t>Multiple Issues</t>
        </is>
      </c>
      <c r="K1382" s="39" t="inlineStr">
        <is>
          <t>Holi</t>
        </is>
      </c>
      <c r="L1382" s="39" t="inlineStr">
        <is>
          <t>Maharashtra</t>
        </is>
      </c>
      <c r="M1382" s="9" t="inlineStr">
        <is>
          <t>PS</t>
        </is>
      </c>
      <c r="N1382" s="3" t="inlineStr">
        <is>
          <t>Cold Soldering</t>
        </is>
      </c>
      <c r="O1382" s="39" t="n">
        <v>575</v>
      </c>
      <c r="P1382" s="9" t="inlineStr">
        <is>
          <t>NSMI24070198287</t>
        </is>
      </c>
      <c r="Q1382" s="53">
        <f>MID(P1382,5,2)</f>
        <v/>
      </c>
      <c r="R1382" s="53">
        <f>MID(P1382,7,2)</f>
        <v/>
      </c>
      <c r="S1382" s="3" t="inlineStr">
        <is>
          <t>G2G</t>
        </is>
      </c>
      <c r="T1382" s="3" t="inlineStr">
        <is>
          <t>P4</t>
        </is>
      </c>
      <c r="U1382" s="19" t="inlineStr">
        <is>
          <t>P JB Cold Soldering</t>
        </is>
      </c>
      <c r="V1382" s="19" t="inlineStr">
        <is>
          <t>Soldering</t>
        </is>
      </c>
      <c r="W1382" s="3" t="inlineStr">
        <is>
          <t>Repair</t>
        </is>
      </c>
      <c r="X1382" s="18" t="n">
        <v>46159</v>
      </c>
      <c r="Y1382" s="3">
        <f>X1382-A1382</f>
        <v/>
      </c>
      <c r="Z1382" s="18" t="n">
        <v>46159</v>
      </c>
      <c r="AA1382" s="15" t="n"/>
      <c r="AB1382" s="15" t="n"/>
    </row>
    <row r="1383">
      <c r="A1383" s="37" t="n">
        <v>46143</v>
      </c>
      <c r="B1383" s="3" t="n">
        <v>2026</v>
      </c>
      <c r="C1383" s="26" t="inlineStr">
        <is>
          <t>Yanara Power</t>
        </is>
      </c>
      <c r="D1383" s="3" t="inlineStr">
        <is>
          <t>Utility and C&amp;I</t>
        </is>
      </c>
      <c r="E1383" s="3" t="n"/>
      <c r="F1383" s="3" t="inlineStr">
        <is>
          <t>Closed</t>
        </is>
      </c>
      <c r="G1383" s="9" t="inlineStr">
        <is>
          <t xml:space="preserve">Ashish Jindal </t>
        </is>
      </c>
      <c r="H1383" s="26" t="n">
        <v>9983975581</v>
      </c>
      <c r="I1383" s="38" t="inlineStr">
        <is>
          <t>PE01052601</t>
        </is>
      </c>
      <c r="J1383" s="26" t="inlineStr">
        <is>
          <t>Multiple Issues</t>
        </is>
      </c>
      <c r="K1383" s="39" t="inlineStr">
        <is>
          <t>Holi</t>
        </is>
      </c>
      <c r="L1383" s="39" t="inlineStr">
        <is>
          <t>Maharashtra</t>
        </is>
      </c>
      <c r="M1383" s="9" t="inlineStr">
        <is>
          <t>PNS</t>
        </is>
      </c>
      <c r="N1383" s="3" t="inlineStr">
        <is>
          <t>Cold Soldering</t>
        </is>
      </c>
      <c r="O1383" s="39" t="n">
        <v>575</v>
      </c>
      <c r="P1383" s="9" t="inlineStr">
        <is>
          <t>NSMI24070198295</t>
        </is>
      </c>
      <c r="Q1383" s="53">
        <f>MID(P1383,5,2)</f>
        <v/>
      </c>
      <c r="R1383" s="53">
        <f>MID(P1383,7,2)</f>
        <v/>
      </c>
      <c r="S1383" s="3" t="inlineStr">
        <is>
          <t>G2G</t>
        </is>
      </c>
      <c r="T1383" s="3" t="inlineStr">
        <is>
          <t>P4</t>
        </is>
      </c>
      <c r="U1383" s="3" t="inlineStr">
        <is>
          <t>P &amp; N JB Cold Soldering</t>
        </is>
      </c>
      <c r="V1383" s="3" t="inlineStr">
        <is>
          <t>Soldering</t>
        </is>
      </c>
      <c r="W1383" s="3" t="inlineStr">
        <is>
          <t>Repair</t>
        </is>
      </c>
      <c r="X1383" s="18" t="n">
        <v>46159</v>
      </c>
      <c r="Y1383" s="3">
        <f>X1383-A1383</f>
        <v/>
      </c>
      <c r="Z1383" s="18" t="n">
        <v>46159</v>
      </c>
      <c r="AA1383" s="15" t="n"/>
      <c r="AB1383" s="15" t="n"/>
    </row>
    <row r="1384">
      <c r="A1384" s="37" t="n">
        <v>46143</v>
      </c>
      <c r="B1384" s="3" t="n">
        <v>2026</v>
      </c>
      <c r="C1384" s="26" t="inlineStr">
        <is>
          <t>Yanara Power</t>
        </is>
      </c>
      <c r="D1384" s="3" t="inlineStr">
        <is>
          <t>Utility and C&amp;I</t>
        </is>
      </c>
      <c r="E1384" s="3" t="n"/>
      <c r="F1384" s="3" t="inlineStr">
        <is>
          <t>Closed</t>
        </is>
      </c>
      <c r="G1384" s="9" t="inlineStr">
        <is>
          <t xml:space="preserve">Ashish Jindal </t>
        </is>
      </c>
      <c r="H1384" s="26" t="n">
        <v>9983975581</v>
      </c>
      <c r="I1384" s="38" t="inlineStr">
        <is>
          <t>PE01052601</t>
        </is>
      </c>
      <c r="J1384" s="26" t="inlineStr">
        <is>
          <t>Multiple Issues</t>
        </is>
      </c>
      <c r="K1384" s="39" t="inlineStr">
        <is>
          <t>Holi</t>
        </is>
      </c>
      <c r="L1384" s="39" t="inlineStr">
        <is>
          <t>Maharashtra</t>
        </is>
      </c>
      <c r="M1384" s="9" t="inlineStr">
        <is>
          <t>NS</t>
        </is>
      </c>
      <c r="N1384" s="3" t="inlineStr">
        <is>
          <t>Cold Soldering</t>
        </is>
      </c>
      <c r="O1384" s="39" t="n">
        <v>575</v>
      </c>
      <c r="P1384" s="9" t="inlineStr">
        <is>
          <t>NSMI24070204398</t>
        </is>
      </c>
      <c r="Q1384" s="53">
        <f>MID(P1384,5,2)</f>
        <v/>
      </c>
      <c r="R1384" s="53">
        <f>MID(P1384,7,2)</f>
        <v/>
      </c>
      <c r="S1384" s="3" t="inlineStr">
        <is>
          <t>G2G</t>
        </is>
      </c>
      <c r="T1384" s="3" t="inlineStr">
        <is>
          <t>P4</t>
        </is>
      </c>
      <c r="U1384" s="3" t="inlineStr">
        <is>
          <t>N JB Cold Soldering</t>
        </is>
      </c>
      <c r="V1384" s="3" t="inlineStr">
        <is>
          <t>Soldering</t>
        </is>
      </c>
      <c r="W1384" s="3" t="inlineStr">
        <is>
          <t>Repair</t>
        </is>
      </c>
      <c r="X1384" s="18" t="n">
        <v>46159</v>
      </c>
      <c r="Y1384" s="3">
        <f>X1384-A1384</f>
        <v/>
      </c>
      <c r="Z1384" s="18" t="n">
        <v>46159</v>
      </c>
      <c r="AA1384" s="15" t="n"/>
      <c r="AB1384" s="15" t="n"/>
    </row>
    <row r="1385">
      <c r="A1385" s="37" t="n">
        <v>46143</v>
      </c>
      <c r="B1385" s="3" t="n">
        <v>2026</v>
      </c>
      <c r="C1385" s="26" t="inlineStr">
        <is>
          <t>Yanara Power</t>
        </is>
      </c>
      <c r="D1385" s="3" t="inlineStr">
        <is>
          <t>Utility and C&amp;I</t>
        </is>
      </c>
      <c r="E1385" s="3" t="n"/>
      <c r="F1385" s="3" t="inlineStr">
        <is>
          <t>Closed</t>
        </is>
      </c>
      <c r="G1385" s="9" t="inlineStr">
        <is>
          <t xml:space="preserve">Ashish Jindal </t>
        </is>
      </c>
      <c r="H1385" s="26" t="n">
        <v>9983975581</v>
      </c>
      <c r="I1385" s="38" t="inlineStr">
        <is>
          <t>PE01052601</t>
        </is>
      </c>
      <c r="J1385" s="26" t="inlineStr">
        <is>
          <t>Multiple Issues</t>
        </is>
      </c>
      <c r="K1385" s="39" t="inlineStr">
        <is>
          <t>Holi</t>
        </is>
      </c>
      <c r="L1385" s="39" t="inlineStr">
        <is>
          <t>Maharashtra</t>
        </is>
      </c>
      <c r="M1385" s="9" t="inlineStr">
        <is>
          <t>NS</t>
        </is>
      </c>
      <c r="N1385" s="3" t="inlineStr">
        <is>
          <t>Cold Soldering</t>
        </is>
      </c>
      <c r="O1385" s="39" t="n">
        <v>575</v>
      </c>
      <c r="P1385" s="9" t="inlineStr">
        <is>
          <t>NSMI24070198240</t>
        </is>
      </c>
      <c r="Q1385" s="53">
        <f>MID(P1385,5,2)</f>
        <v/>
      </c>
      <c r="R1385" s="53">
        <f>MID(P1385,7,2)</f>
        <v/>
      </c>
      <c r="S1385" s="3" t="inlineStr">
        <is>
          <t>G2G</t>
        </is>
      </c>
      <c r="T1385" s="3" t="inlineStr">
        <is>
          <t>P4</t>
        </is>
      </c>
      <c r="U1385" s="3" t="inlineStr">
        <is>
          <t>N JB Cold Soldering</t>
        </is>
      </c>
      <c r="V1385" s="3" t="inlineStr">
        <is>
          <t>Soldering</t>
        </is>
      </c>
      <c r="W1385" s="3" t="inlineStr">
        <is>
          <t>Repair</t>
        </is>
      </c>
      <c r="X1385" s="18" t="n">
        <v>46159</v>
      </c>
      <c r="Y1385" s="3">
        <f>X1385-A1385</f>
        <v/>
      </c>
      <c r="Z1385" s="18" t="n">
        <v>46159</v>
      </c>
      <c r="AA1385" s="15" t="n"/>
      <c r="AB1385" s="15" t="n"/>
    </row>
    <row r="1386">
      <c r="A1386" s="37" t="n">
        <v>46143</v>
      </c>
      <c r="B1386" s="3" t="n">
        <v>2026</v>
      </c>
      <c r="C1386" s="26" t="inlineStr">
        <is>
          <t>Yanara Power</t>
        </is>
      </c>
      <c r="D1386" s="3" t="inlineStr">
        <is>
          <t>Utility and C&amp;I</t>
        </is>
      </c>
      <c r="E1386" s="3" t="n"/>
      <c r="F1386" s="3" t="inlineStr">
        <is>
          <t>Closed</t>
        </is>
      </c>
      <c r="G1386" s="9" t="inlineStr">
        <is>
          <t xml:space="preserve">Ashish Jindal </t>
        </is>
      </c>
      <c r="H1386" s="26" t="n">
        <v>9983975581</v>
      </c>
      <c r="I1386" s="38" t="inlineStr">
        <is>
          <t>PE01052601</t>
        </is>
      </c>
      <c r="J1386" s="26" t="inlineStr">
        <is>
          <t>Multiple Issues</t>
        </is>
      </c>
      <c r="K1386" s="39" t="inlineStr">
        <is>
          <t>Holi</t>
        </is>
      </c>
      <c r="L1386" s="39" t="inlineStr">
        <is>
          <t>Maharashtra</t>
        </is>
      </c>
      <c r="M1386" s="9" t="inlineStr">
        <is>
          <t>PS</t>
        </is>
      </c>
      <c r="N1386" s="3" t="inlineStr">
        <is>
          <t>Cold Soldering</t>
        </is>
      </c>
      <c r="O1386" s="39" t="n">
        <v>575</v>
      </c>
      <c r="P1386" s="9" t="inlineStr">
        <is>
          <t>NSMI24070198227</t>
        </is>
      </c>
      <c r="Q1386" s="53">
        <f>MID(P1386,5,2)</f>
        <v/>
      </c>
      <c r="R1386" s="53">
        <f>MID(P1386,7,2)</f>
        <v/>
      </c>
      <c r="S1386" s="3" t="inlineStr">
        <is>
          <t>G2G</t>
        </is>
      </c>
      <c r="T1386" s="3" t="inlineStr">
        <is>
          <t>P4</t>
        </is>
      </c>
      <c r="U1386" s="19" t="inlineStr">
        <is>
          <t>P JB Cold Soldering</t>
        </is>
      </c>
      <c r="V1386" s="19" t="inlineStr">
        <is>
          <t>Soldering</t>
        </is>
      </c>
      <c r="W1386" s="3" t="inlineStr">
        <is>
          <t>Repair</t>
        </is>
      </c>
      <c r="X1386" s="18" t="n">
        <v>46159</v>
      </c>
      <c r="Y1386" s="3">
        <f>X1386-A1386</f>
        <v/>
      </c>
      <c r="Z1386" s="18" t="n">
        <v>46159</v>
      </c>
      <c r="AA1386" s="15" t="n"/>
      <c r="AB1386" s="15" t="n"/>
    </row>
    <row r="1387">
      <c r="A1387" s="37" t="n">
        <v>46143</v>
      </c>
      <c r="B1387" s="3" t="n">
        <v>2026</v>
      </c>
      <c r="C1387" s="26" t="inlineStr">
        <is>
          <t>Yanara Power</t>
        </is>
      </c>
      <c r="D1387" s="3" t="inlineStr">
        <is>
          <t>Utility and C&amp;I</t>
        </is>
      </c>
      <c r="E1387" s="3" t="n"/>
      <c r="F1387" s="3" t="inlineStr">
        <is>
          <t>Closed</t>
        </is>
      </c>
      <c r="G1387" s="9" t="inlineStr">
        <is>
          <t xml:space="preserve">Ashish Jindal </t>
        </is>
      </c>
      <c r="H1387" s="26" t="n">
        <v>9983975581</v>
      </c>
      <c r="I1387" s="38" t="inlineStr">
        <is>
          <t>PE01052601</t>
        </is>
      </c>
      <c r="J1387" s="26" t="inlineStr">
        <is>
          <t>Multiple Issues</t>
        </is>
      </c>
      <c r="K1387" s="39" t="inlineStr">
        <is>
          <t>Holi</t>
        </is>
      </c>
      <c r="L1387" s="39" t="inlineStr">
        <is>
          <t>Maharashtra</t>
        </is>
      </c>
      <c r="M1387" s="9" t="inlineStr">
        <is>
          <t>NR</t>
        </is>
      </c>
      <c r="N1387" s="3" t="inlineStr">
        <is>
          <t>JB Issue</t>
        </is>
      </c>
      <c r="O1387" s="39" t="n">
        <v>575</v>
      </c>
      <c r="P1387" s="9" t="inlineStr">
        <is>
          <t>NSMI24070199086</t>
        </is>
      </c>
      <c r="Q1387" s="53">
        <f>MID(P1387,5,2)</f>
        <v/>
      </c>
      <c r="R1387" s="53">
        <f>MID(P1387,7,2)</f>
        <v/>
      </c>
      <c r="S1387" s="3" t="inlineStr">
        <is>
          <t>G2G</t>
        </is>
      </c>
      <c r="T1387" s="3" t="inlineStr">
        <is>
          <t>P4</t>
        </is>
      </c>
      <c r="U1387" s="3" t="inlineStr">
        <is>
          <t>N JB Issue</t>
        </is>
      </c>
      <c r="V1387" s="3" t="inlineStr">
        <is>
          <t>JB Changed</t>
        </is>
      </c>
      <c r="W1387" s="3" t="inlineStr">
        <is>
          <t>Repair</t>
        </is>
      </c>
      <c r="X1387" s="18" t="n">
        <v>46159</v>
      </c>
      <c r="Y1387" s="3">
        <f>X1387-A1387</f>
        <v/>
      </c>
      <c r="Z1387" s="18" t="n">
        <v>46159</v>
      </c>
      <c r="AA1387" s="15" t="n"/>
      <c r="AB1387" s="15" t="n"/>
    </row>
    <row r="1388">
      <c r="A1388" s="37" t="n">
        <v>46143</v>
      </c>
      <c r="B1388" s="3" t="n">
        <v>2026</v>
      </c>
      <c r="C1388" s="26" t="inlineStr">
        <is>
          <t>Yanara Power</t>
        </is>
      </c>
      <c r="D1388" s="3" t="inlineStr">
        <is>
          <t>Utility and C&amp;I</t>
        </is>
      </c>
      <c r="E1388" s="3" t="n"/>
      <c r="F1388" s="3" t="inlineStr">
        <is>
          <t>Closed</t>
        </is>
      </c>
      <c r="G1388" s="9" t="inlineStr">
        <is>
          <t xml:space="preserve">Ashish Jindal </t>
        </is>
      </c>
      <c r="H1388" s="26" t="n">
        <v>9983975581</v>
      </c>
      <c r="I1388" s="38" t="inlineStr">
        <is>
          <t>PE01052601</t>
        </is>
      </c>
      <c r="J1388" s="26" t="inlineStr">
        <is>
          <t>Multiple Issues</t>
        </is>
      </c>
      <c r="K1388" s="39" t="inlineStr">
        <is>
          <t>Holi</t>
        </is>
      </c>
      <c r="L1388" s="39" t="inlineStr">
        <is>
          <t>Maharashtra</t>
        </is>
      </c>
      <c r="M1388" s="9" t="inlineStr">
        <is>
          <t>PNS</t>
        </is>
      </c>
      <c r="N1388" s="3" t="inlineStr">
        <is>
          <t>Cold Soldering</t>
        </is>
      </c>
      <c r="O1388" s="39" t="n">
        <v>575</v>
      </c>
      <c r="P1388" s="9" t="inlineStr">
        <is>
          <t>NSMI24070218774</t>
        </is>
      </c>
      <c r="Q1388" s="53">
        <f>MID(P1388,5,2)</f>
        <v/>
      </c>
      <c r="R1388" s="53">
        <f>MID(P1388,7,2)</f>
        <v/>
      </c>
      <c r="S1388" s="3" t="inlineStr">
        <is>
          <t>G2G</t>
        </is>
      </c>
      <c r="T1388" s="3" t="inlineStr">
        <is>
          <t>P4</t>
        </is>
      </c>
      <c r="U1388" s="3" t="inlineStr">
        <is>
          <t>P &amp; N JB Cold Soldering</t>
        </is>
      </c>
      <c r="V1388" s="3" t="inlineStr">
        <is>
          <t>Soldering</t>
        </is>
      </c>
      <c r="W1388" s="3" t="inlineStr">
        <is>
          <t>Repair</t>
        </is>
      </c>
      <c r="X1388" s="18" t="n">
        <v>46159</v>
      </c>
      <c r="Y1388" s="3">
        <f>X1388-A1388</f>
        <v/>
      </c>
      <c r="Z1388" s="18" t="n">
        <v>46159</v>
      </c>
      <c r="AA1388" s="15" t="n"/>
      <c r="AB1388" s="15" t="n"/>
    </row>
    <row r="1389">
      <c r="A1389" s="37" t="n">
        <v>46143</v>
      </c>
      <c r="B1389" s="3" t="n">
        <v>2026</v>
      </c>
      <c r="C1389" s="26" t="inlineStr">
        <is>
          <t>Yanara Power</t>
        </is>
      </c>
      <c r="D1389" s="3" t="inlineStr">
        <is>
          <t>Utility and C&amp;I</t>
        </is>
      </c>
      <c r="E1389" s="3" t="n"/>
      <c r="F1389" s="3" t="inlineStr">
        <is>
          <t>Closed</t>
        </is>
      </c>
      <c r="G1389" s="9" t="inlineStr">
        <is>
          <t xml:space="preserve">Ashish Jindal </t>
        </is>
      </c>
      <c r="H1389" s="26" t="n">
        <v>9983975581</v>
      </c>
      <c r="I1389" s="38" t="inlineStr">
        <is>
          <t>PE01052601</t>
        </is>
      </c>
      <c r="J1389" s="26" t="inlineStr">
        <is>
          <t>Multiple Issues</t>
        </is>
      </c>
      <c r="K1389" s="39" t="inlineStr">
        <is>
          <t>Holi</t>
        </is>
      </c>
      <c r="L1389" s="39" t="inlineStr">
        <is>
          <t>Maharashtra</t>
        </is>
      </c>
      <c r="M1389" s="9" t="inlineStr">
        <is>
          <t>PS</t>
        </is>
      </c>
      <c r="N1389" s="3" t="inlineStr">
        <is>
          <t>Cold Soldering</t>
        </is>
      </c>
      <c r="O1389" s="39" t="n">
        <v>575</v>
      </c>
      <c r="P1389" s="9" t="inlineStr">
        <is>
          <t>NSMI24070221880</t>
        </is>
      </c>
      <c r="Q1389" s="53">
        <f>MID(P1389,5,2)</f>
        <v/>
      </c>
      <c r="R1389" s="53">
        <f>MID(P1389,7,2)</f>
        <v/>
      </c>
      <c r="S1389" s="3" t="inlineStr">
        <is>
          <t>G2G</t>
        </is>
      </c>
      <c r="T1389" s="3" t="inlineStr">
        <is>
          <t>P4</t>
        </is>
      </c>
      <c r="U1389" s="19" t="inlineStr">
        <is>
          <t>P JB Cold Soldering</t>
        </is>
      </c>
      <c r="V1389" s="19" t="inlineStr">
        <is>
          <t>Soldering</t>
        </is>
      </c>
      <c r="W1389" s="3" t="inlineStr">
        <is>
          <t>Repair</t>
        </is>
      </c>
      <c r="X1389" s="18" t="n">
        <v>46159</v>
      </c>
      <c r="Y1389" s="3">
        <f>X1389-A1389</f>
        <v/>
      </c>
      <c r="Z1389" s="18" t="n">
        <v>46159</v>
      </c>
      <c r="AA1389" s="15" t="n"/>
      <c r="AB1389" s="15" t="n"/>
    </row>
    <row r="1390">
      <c r="A1390" s="37" t="n">
        <v>46143</v>
      </c>
      <c r="B1390" s="3" t="n">
        <v>2026</v>
      </c>
      <c r="C1390" s="26" t="inlineStr">
        <is>
          <t>Yanara Power</t>
        </is>
      </c>
      <c r="D1390" s="3" t="inlineStr">
        <is>
          <t>Utility and C&amp;I</t>
        </is>
      </c>
      <c r="E1390" s="3" t="n"/>
      <c r="F1390" s="3" t="inlineStr">
        <is>
          <t>Closed</t>
        </is>
      </c>
      <c r="G1390" s="9" t="inlineStr">
        <is>
          <t xml:space="preserve">Ashish Jindal </t>
        </is>
      </c>
      <c r="H1390" s="26" t="n">
        <v>9983975581</v>
      </c>
      <c r="I1390" s="38" t="inlineStr">
        <is>
          <t>PE01052601</t>
        </is>
      </c>
      <c r="J1390" s="26" t="inlineStr">
        <is>
          <t>Multiple Issues</t>
        </is>
      </c>
      <c r="K1390" s="39" t="inlineStr">
        <is>
          <t>Holi</t>
        </is>
      </c>
      <c r="L1390" s="39" t="inlineStr">
        <is>
          <t>Maharashtra</t>
        </is>
      </c>
      <c r="M1390" s="9" t="inlineStr">
        <is>
          <t>PS</t>
        </is>
      </c>
      <c r="N1390" s="3" t="inlineStr">
        <is>
          <t>Cold Soldering</t>
        </is>
      </c>
      <c r="O1390" s="39" t="n">
        <v>575</v>
      </c>
      <c r="P1390" s="9" t="inlineStr">
        <is>
          <t>NSMI24070221361</t>
        </is>
      </c>
      <c r="Q1390" s="53">
        <f>MID(P1390,5,2)</f>
        <v/>
      </c>
      <c r="R1390" s="53">
        <f>MID(P1390,7,2)</f>
        <v/>
      </c>
      <c r="S1390" s="3" t="inlineStr">
        <is>
          <t>G2G</t>
        </is>
      </c>
      <c r="T1390" s="3" t="inlineStr">
        <is>
          <t>P4</t>
        </is>
      </c>
      <c r="U1390" s="19" t="inlineStr">
        <is>
          <t>P JB Cold Soldering</t>
        </is>
      </c>
      <c r="V1390" s="19" t="inlineStr">
        <is>
          <t>Soldering</t>
        </is>
      </c>
      <c r="W1390" s="3" t="inlineStr">
        <is>
          <t>Repair</t>
        </is>
      </c>
      <c r="X1390" s="18" t="n">
        <v>46159</v>
      </c>
      <c r="Y1390" s="3">
        <f>X1390-A1390</f>
        <v/>
      </c>
      <c r="Z1390" s="18" t="n">
        <v>46159</v>
      </c>
      <c r="AA1390" s="15" t="n"/>
      <c r="AB1390" s="15" t="n"/>
    </row>
    <row r="1391">
      <c r="A1391" s="37" t="n">
        <v>46143</v>
      </c>
      <c r="B1391" s="3" t="n">
        <v>2026</v>
      </c>
      <c r="C1391" s="26" t="inlineStr">
        <is>
          <t>Yanara Power</t>
        </is>
      </c>
      <c r="D1391" s="3" t="inlineStr">
        <is>
          <t>Utility and C&amp;I</t>
        </is>
      </c>
      <c r="E1391" s="3" t="n"/>
      <c r="F1391" s="3" t="inlineStr">
        <is>
          <t>Closed</t>
        </is>
      </c>
      <c r="G1391" s="9" t="inlineStr">
        <is>
          <t xml:space="preserve">Ashish Jindal </t>
        </is>
      </c>
      <c r="H1391" s="26" t="n">
        <v>9983975581</v>
      </c>
      <c r="I1391" s="38" t="inlineStr">
        <is>
          <t>PE01052601</t>
        </is>
      </c>
      <c r="J1391" s="26" t="inlineStr">
        <is>
          <t>Multiple Issues</t>
        </is>
      </c>
      <c r="K1391" s="39" t="inlineStr">
        <is>
          <t>Holi</t>
        </is>
      </c>
      <c r="L1391" s="39" t="inlineStr">
        <is>
          <t>Maharashtra</t>
        </is>
      </c>
      <c r="M1391" s="9" t="inlineStr">
        <is>
          <t>AR</t>
        </is>
      </c>
      <c r="N1391" s="19" t="inlineStr">
        <is>
          <t>JB Issue</t>
        </is>
      </c>
      <c r="O1391" s="39" t="n">
        <v>575</v>
      </c>
      <c r="P1391" s="9" t="inlineStr">
        <is>
          <t>NSMI24070222485</t>
        </is>
      </c>
      <c r="Q1391" s="53">
        <f>MID(P1391,5,2)</f>
        <v/>
      </c>
      <c r="R1391" s="53">
        <f>MID(P1391,7,2)</f>
        <v/>
      </c>
      <c r="S1391" s="3" t="inlineStr">
        <is>
          <t>G2G</t>
        </is>
      </c>
      <c r="T1391" s="3" t="inlineStr">
        <is>
          <t>P4</t>
        </is>
      </c>
      <c r="U1391" s="19" t="inlineStr">
        <is>
          <t>All JB Issue</t>
        </is>
      </c>
      <c r="V1391" s="19" t="inlineStr">
        <is>
          <t>JB Changed</t>
        </is>
      </c>
      <c r="W1391" s="3" t="inlineStr">
        <is>
          <t>Repair</t>
        </is>
      </c>
      <c r="X1391" s="18" t="n">
        <v>46159</v>
      </c>
      <c r="Y1391" s="3">
        <f>X1391-A1391</f>
        <v/>
      </c>
      <c r="Z1391" s="18" t="n">
        <v>46159</v>
      </c>
      <c r="AA1391" s="15" t="n"/>
      <c r="AB1391" s="15" t="n"/>
    </row>
    <row r="1392">
      <c r="A1392" s="37" t="n">
        <v>46143</v>
      </c>
      <c r="B1392" s="3" t="n">
        <v>2026</v>
      </c>
      <c r="C1392" s="26" t="inlineStr">
        <is>
          <t>Yanara Power</t>
        </is>
      </c>
      <c r="D1392" s="3" t="inlineStr">
        <is>
          <t>Utility and C&amp;I</t>
        </is>
      </c>
      <c r="E1392" s="3" t="n"/>
      <c r="F1392" s="3" t="inlineStr">
        <is>
          <t>Closed</t>
        </is>
      </c>
      <c r="G1392" s="9" t="inlineStr">
        <is>
          <t xml:space="preserve">Ashish Jindal </t>
        </is>
      </c>
      <c r="H1392" s="26" t="n">
        <v>9983975581</v>
      </c>
      <c r="I1392" s="38" t="inlineStr">
        <is>
          <t>PE01052601</t>
        </is>
      </c>
      <c r="J1392" s="26" t="inlineStr">
        <is>
          <t>Multiple Issues</t>
        </is>
      </c>
      <c r="K1392" s="39" t="inlineStr">
        <is>
          <t>Holi</t>
        </is>
      </c>
      <c r="L1392" s="39" t="inlineStr">
        <is>
          <t>Maharashtra</t>
        </is>
      </c>
      <c r="M1392" s="9" t="inlineStr">
        <is>
          <t>OK</t>
        </is>
      </c>
      <c r="N1392" s="3" t="inlineStr">
        <is>
          <t>No Issue</t>
        </is>
      </c>
      <c r="O1392" s="39" t="n">
        <v>575</v>
      </c>
      <c r="P1392" s="9" t="inlineStr">
        <is>
          <t>NSMI24070193575</t>
        </is>
      </c>
      <c r="Q1392" s="53">
        <f>MID(P1392,5,2)</f>
        <v/>
      </c>
      <c r="R1392" s="53">
        <f>MID(P1392,7,2)</f>
        <v/>
      </c>
      <c r="S1392" s="3" t="inlineStr">
        <is>
          <t>G2G</t>
        </is>
      </c>
      <c r="T1392" s="3" t="inlineStr">
        <is>
          <t>P4</t>
        </is>
      </c>
      <c r="U1392" s="19" t="inlineStr">
        <is>
          <t>No Issue Found</t>
        </is>
      </c>
      <c r="V1392" s="19" t="inlineStr">
        <is>
          <t>Found OK</t>
        </is>
      </c>
      <c r="W1392" s="3" t="inlineStr">
        <is>
          <t>Repair</t>
        </is>
      </c>
      <c r="X1392" s="18" t="n">
        <v>46159</v>
      </c>
      <c r="Y1392" s="3">
        <f>X1392-A1392</f>
        <v/>
      </c>
      <c r="Z1392" s="18" t="n">
        <v>46159</v>
      </c>
      <c r="AA1392" s="15" t="n"/>
      <c r="AB1392" s="15" t="n"/>
    </row>
    <row r="1393">
      <c r="A1393" s="37" t="n">
        <v>46143</v>
      </c>
      <c r="B1393" s="3" t="n">
        <v>2026</v>
      </c>
      <c r="C1393" s="26" t="inlineStr">
        <is>
          <t>Yanara Power</t>
        </is>
      </c>
      <c r="D1393" s="3" t="inlineStr">
        <is>
          <t>Utility and C&amp;I</t>
        </is>
      </c>
      <c r="E1393" s="3" t="n"/>
      <c r="F1393" s="3" t="inlineStr">
        <is>
          <t>Closed</t>
        </is>
      </c>
      <c r="G1393" s="9" t="inlineStr">
        <is>
          <t xml:space="preserve">Ashish Jindal </t>
        </is>
      </c>
      <c r="H1393" s="26" t="n">
        <v>9983975581</v>
      </c>
      <c r="I1393" s="38" t="inlineStr">
        <is>
          <t>PE01052601</t>
        </is>
      </c>
      <c r="J1393" s="26" t="inlineStr">
        <is>
          <t>Multiple Issues</t>
        </is>
      </c>
      <c r="K1393" s="39" t="inlineStr">
        <is>
          <t>Holi</t>
        </is>
      </c>
      <c r="L1393" s="39" t="inlineStr">
        <is>
          <t>Maharashtra</t>
        </is>
      </c>
      <c r="M1393" s="9" t="inlineStr">
        <is>
          <t>NS</t>
        </is>
      </c>
      <c r="N1393" s="3" t="inlineStr">
        <is>
          <t>Cold Soldering</t>
        </is>
      </c>
      <c r="O1393" s="39" t="n">
        <v>575</v>
      </c>
      <c r="P1393" s="9" t="inlineStr">
        <is>
          <t>NSMI24070218909</t>
        </is>
      </c>
      <c r="Q1393" s="53">
        <f>MID(P1393,5,2)</f>
        <v/>
      </c>
      <c r="R1393" s="53">
        <f>MID(P1393,7,2)</f>
        <v/>
      </c>
      <c r="S1393" s="3" t="inlineStr">
        <is>
          <t>G2G</t>
        </is>
      </c>
      <c r="T1393" s="3" t="inlineStr">
        <is>
          <t>P4</t>
        </is>
      </c>
      <c r="U1393" s="3" t="inlineStr">
        <is>
          <t>N JB Cold Soldering</t>
        </is>
      </c>
      <c r="V1393" s="3" t="inlineStr">
        <is>
          <t>Soldering</t>
        </is>
      </c>
      <c r="W1393" s="3" t="inlineStr">
        <is>
          <t>Repair</t>
        </is>
      </c>
      <c r="X1393" s="18" t="n">
        <v>46159</v>
      </c>
      <c r="Y1393" s="3">
        <f>X1393-A1393</f>
        <v/>
      </c>
      <c r="Z1393" s="18" t="n">
        <v>46159</v>
      </c>
      <c r="AA1393" s="15" t="n"/>
      <c r="AB1393" s="15" t="n"/>
    </row>
    <row r="1394">
      <c r="A1394" s="37" t="n">
        <v>46143</v>
      </c>
      <c r="B1394" s="3" t="n">
        <v>2026</v>
      </c>
      <c r="C1394" s="26" t="inlineStr">
        <is>
          <t>Yanara Power</t>
        </is>
      </c>
      <c r="D1394" s="3" t="inlineStr">
        <is>
          <t>Utility and C&amp;I</t>
        </is>
      </c>
      <c r="E1394" s="3" t="n"/>
      <c r="F1394" s="3" t="inlineStr">
        <is>
          <t>Closed</t>
        </is>
      </c>
      <c r="G1394" s="9" t="inlineStr">
        <is>
          <t xml:space="preserve">Ashish Jindal </t>
        </is>
      </c>
      <c r="H1394" s="26" t="n">
        <v>9983975581</v>
      </c>
      <c r="I1394" s="38" t="inlineStr">
        <is>
          <t>PE01052601</t>
        </is>
      </c>
      <c r="J1394" s="26" t="inlineStr">
        <is>
          <t>Multiple Issues</t>
        </is>
      </c>
      <c r="K1394" s="39" t="inlineStr">
        <is>
          <t>Holi</t>
        </is>
      </c>
      <c r="L1394" s="39" t="inlineStr">
        <is>
          <t>Maharashtra</t>
        </is>
      </c>
      <c r="M1394" s="9" t="inlineStr">
        <is>
          <t>PS</t>
        </is>
      </c>
      <c r="N1394" s="3" t="inlineStr">
        <is>
          <t>Cold Soldering</t>
        </is>
      </c>
      <c r="O1394" s="39" t="n">
        <v>575</v>
      </c>
      <c r="P1394" s="9" t="inlineStr">
        <is>
          <t>NSMI24070219383</t>
        </is>
      </c>
      <c r="Q1394" s="53">
        <f>MID(P1394,5,2)</f>
        <v/>
      </c>
      <c r="R1394" s="53">
        <f>MID(P1394,7,2)</f>
        <v/>
      </c>
      <c r="S1394" s="3" t="inlineStr">
        <is>
          <t>G2G</t>
        </is>
      </c>
      <c r="T1394" s="3" t="inlineStr">
        <is>
          <t>P4</t>
        </is>
      </c>
      <c r="U1394" s="19" t="inlineStr">
        <is>
          <t>P JB Cold Soldering</t>
        </is>
      </c>
      <c r="V1394" s="19" t="inlineStr">
        <is>
          <t>Soldering</t>
        </is>
      </c>
      <c r="W1394" s="3" t="inlineStr">
        <is>
          <t>Repair</t>
        </is>
      </c>
      <c r="X1394" s="18" t="n">
        <v>46159</v>
      </c>
      <c r="Y1394" s="3">
        <f>X1394-A1394</f>
        <v/>
      </c>
      <c r="Z1394" s="18" t="n">
        <v>46159</v>
      </c>
      <c r="AA1394" s="15" t="n"/>
      <c r="AB1394" s="15" t="n"/>
    </row>
    <row r="1395">
      <c r="A1395" s="37" t="n">
        <v>46143</v>
      </c>
      <c r="B1395" s="3" t="n">
        <v>2026</v>
      </c>
      <c r="C1395" s="26" t="inlineStr">
        <is>
          <t>Yanara Power</t>
        </is>
      </c>
      <c r="D1395" s="3" t="inlineStr">
        <is>
          <t>Utility and C&amp;I</t>
        </is>
      </c>
      <c r="E1395" s="3" t="n"/>
      <c r="F1395" s="3" t="inlineStr">
        <is>
          <t>Closed</t>
        </is>
      </c>
      <c r="G1395" s="9" t="inlineStr">
        <is>
          <t xml:space="preserve">Ashish Jindal </t>
        </is>
      </c>
      <c r="H1395" s="26" t="n">
        <v>9983975581</v>
      </c>
      <c r="I1395" s="38" t="inlineStr">
        <is>
          <t>PE01052601</t>
        </is>
      </c>
      <c r="J1395" s="26" t="inlineStr">
        <is>
          <t>Multiple Issues</t>
        </is>
      </c>
      <c r="K1395" s="39" t="inlineStr">
        <is>
          <t>Holi</t>
        </is>
      </c>
      <c r="L1395" s="39" t="inlineStr">
        <is>
          <t>Maharashtra</t>
        </is>
      </c>
      <c r="M1395" s="9" t="inlineStr">
        <is>
          <t>PS</t>
        </is>
      </c>
      <c r="N1395" s="3" t="inlineStr">
        <is>
          <t>Cold Soldering</t>
        </is>
      </c>
      <c r="O1395" s="39" t="n">
        <v>575</v>
      </c>
      <c r="P1395" s="9" t="inlineStr">
        <is>
          <t>NSMI24070218931</t>
        </is>
      </c>
      <c r="Q1395" s="53">
        <f>MID(P1395,5,2)</f>
        <v/>
      </c>
      <c r="R1395" s="53">
        <f>MID(P1395,7,2)</f>
        <v/>
      </c>
      <c r="S1395" s="3" t="inlineStr">
        <is>
          <t>G2G</t>
        </is>
      </c>
      <c r="T1395" s="3" t="inlineStr">
        <is>
          <t>P4</t>
        </is>
      </c>
      <c r="U1395" s="19" t="inlineStr">
        <is>
          <t>P JB Cold Soldering</t>
        </is>
      </c>
      <c r="V1395" s="19" t="inlineStr">
        <is>
          <t>Soldering</t>
        </is>
      </c>
      <c r="W1395" s="3" t="inlineStr">
        <is>
          <t>Repair</t>
        </is>
      </c>
      <c r="X1395" s="18" t="n">
        <v>46159</v>
      </c>
      <c r="Y1395" s="3">
        <f>X1395-A1395</f>
        <v/>
      </c>
      <c r="Z1395" s="18" t="n">
        <v>46159</v>
      </c>
      <c r="AA1395" s="15" t="n"/>
      <c r="AB1395" s="15" t="n"/>
    </row>
    <row r="1396">
      <c r="A1396" s="37" t="n">
        <v>46143</v>
      </c>
      <c r="B1396" s="3" t="n">
        <v>2026</v>
      </c>
      <c r="C1396" s="26" t="inlineStr">
        <is>
          <t>Yanara Power</t>
        </is>
      </c>
      <c r="D1396" s="3" t="inlineStr">
        <is>
          <t>Utility and C&amp;I</t>
        </is>
      </c>
      <c r="E1396" s="3" t="n"/>
      <c r="F1396" s="3" t="inlineStr">
        <is>
          <t>Closed</t>
        </is>
      </c>
      <c r="G1396" s="9" t="inlineStr">
        <is>
          <t xml:space="preserve">Ashish Jindal </t>
        </is>
      </c>
      <c r="H1396" s="26" t="n">
        <v>9983975581</v>
      </c>
      <c r="I1396" s="38" t="inlineStr">
        <is>
          <t>PE01052601</t>
        </is>
      </c>
      <c r="J1396" s="26" t="inlineStr">
        <is>
          <t>Multiple Issues</t>
        </is>
      </c>
      <c r="K1396" s="39" t="inlineStr">
        <is>
          <t>Holi</t>
        </is>
      </c>
      <c r="L1396" s="39" t="inlineStr">
        <is>
          <t>Maharashtra</t>
        </is>
      </c>
      <c r="M1396" s="9" t="inlineStr">
        <is>
          <t>PNS</t>
        </is>
      </c>
      <c r="N1396" s="3" t="inlineStr">
        <is>
          <t>Cold Soldering</t>
        </is>
      </c>
      <c r="O1396" s="39" t="n">
        <v>575</v>
      </c>
      <c r="P1396" s="9" t="inlineStr">
        <is>
          <t>NSMI24070216985</t>
        </is>
      </c>
      <c r="Q1396" s="53">
        <f>MID(P1396,5,2)</f>
        <v/>
      </c>
      <c r="R1396" s="53">
        <f>MID(P1396,7,2)</f>
        <v/>
      </c>
      <c r="S1396" s="3" t="inlineStr">
        <is>
          <t>G2G</t>
        </is>
      </c>
      <c r="T1396" s="3" t="inlineStr">
        <is>
          <t>P4</t>
        </is>
      </c>
      <c r="U1396" s="3" t="inlineStr">
        <is>
          <t>P &amp; N JB Cold Soldering</t>
        </is>
      </c>
      <c r="V1396" s="3" t="inlineStr">
        <is>
          <t>Soldering</t>
        </is>
      </c>
      <c r="W1396" s="3" t="inlineStr">
        <is>
          <t>Repair</t>
        </is>
      </c>
      <c r="X1396" s="18" t="n">
        <v>46159</v>
      </c>
      <c r="Y1396" s="3">
        <f>X1396-A1396</f>
        <v/>
      </c>
      <c r="Z1396" s="18" t="n">
        <v>46159</v>
      </c>
      <c r="AA1396" s="15" t="n"/>
      <c r="AB1396" s="15" t="n"/>
    </row>
    <row r="1397">
      <c r="A1397" s="37" t="n">
        <v>46143</v>
      </c>
      <c r="B1397" s="3" t="n">
        <v>2026</v>
      </c>
      <c r="C1397" s="26" t="inlineStr">
        <is>
          <t>Yanara Power</t>
        </is>
      </c>
      <c r="D1397" s="3" t="inlineStr">
        <is>
          <t>Utility and C&amp;I</t>
        </is>
      </c>
      <c r="E1397" s="3" t="n"/>
      <c r="F1397" s="3" t="inlineStr">
        <is>
          <t>Closed</t>
        </is>
      </c>
      <c r="G1397" s="9" t="inlineStr">
        <is>
          <t xml:space="preserve">Ashish Jindal </t>
        </is>
      </c>
      <c r="H1397" s="26" t="n">
        <v>9983975581</v>
      </c>
      <c r="I1397" s="38" t="inlineStr">
        <is>
          <t>PE01052601</t>
        </is>
      </c>
      <c r="J1397" s="26" t="inlineStr">
        <is>
          <t>Multiple Issues</t>
        </is>
      </c>
      <c r="K1397" s="39" t="inlineStr">
        <is>
          <t>Holi</t>
        </is>
      </c>
      <c r="L1397" s="39" t="inlineStr">
        <is>
          <t>Maharashtra</t>
        </is>
      </c>
      <c r="M1397" s="9" t="inlineStr">
        <is>
          <t>PS</t>
        </is>
      </c>
      <c r="N1397" s="3" t="inlineStr">
        <is>
          <t>Cold Soldering</t>
        </is>
      </c>
      <c r="O1397" s="39" t="n">
        <v>575</v>
      </c>
      <c r="P1397" s="9" t="inlineStr">
        <is>
          <t>NSMI24070202347</t>
        </is>
      </c>
      <c r="Q1397" s="53">
        <f>MID(P1397,5,2)</f>
        <v/>
      </c>
      <c r="R1397" s="53">
        <f>MID(P1397,7,2)</f>
        <v/>
      </c>
      <c r="S1397" s="3" t="inlineStr">
        <is>
          <t>G2G</t>
        </is>
      </c>
      <c r="T1397" s="3" t="inlineStr">
        <is>
          <t>P4</t>
        </is>
      </c>
      <c r="U1397" s="19" t="inlineStr">
        <is>
          <t>P JB Cold Soldering</t>
        </is>
      </c>
      <c r="V1397" s="19" t="inlineStr">
        <is>
          <t>Soldering</t>
        </is>
      </c>
      <c r="W1397" s="3" t="inlineStr">
        <is>
          <t>Repair</t>
        </is>
      </c>
      <c r="X1397" s="18" t="n">
        <v>46159</v>
      </c>
      <c r="Y1397" s="3">
        <f>X1397-A1397</f>
        <v/>
      </c>
      <c r="Z1397" s="18" t="n">
        <v>46159</v>
      </c>
      <c r="AA1397" s="15" t="n"/>
      <c r="AB1397" s="15" t="n"/>
    </row>
    <row r="1398">
      <c r="A1398" s="37" t="n">
        <v>46143</v>
      </c>
      <c r="B1398" s="3" t="n">
        <v>2026</v>
      </c>
      <c r="C1398" s="26" t="inlineStr">
        <is>
          <t>Yanara Power</t>
        </is>
      </c>
      <c r="D1398" s="3" t="inlineStr">
        <is>
          <t>Utility and C&amp;I</t>
        </is>
      </c>
      <c r="E1398" s="3" t="n"/>
      <c r="F1398" s="3" t="inlineStr">
        <is>
          <t>Closed</t>
        </is>
      </c>
      <c r="G1398" s="9" t="inlineStr">
        <is>
          <t xml:space="preserve">Ashish Jindal </t>
        </is>
      </c>
      <c r="H1398" s="26" t="n">
        <v>9983975581</v>
      </c>
      <c r="I1398" s="38" t="inlineStr">
        <is>
          <t>PE01052601</t>
        </is>
      </c>
      <c r="J1398" s="26" t="inlineStr">
        <is>
          <t>Multiple Issues</t>
        </is>
      </c>
      <c r="K1398" s="39" t="inlineStr">
        <is>
          <t>Holi</t>
        </is>
      </c>
      <c r="L1398" s="39" t="inlineStr">
        <is>
          <t>Maharashtra</t>
        </is>
      </c>
      <c r="M1398" s="9" t="inlineStr">
        <is>
          <t>AR</t>
        </is>
      </c>
      <c r="N1398" s="19" t="inlineStr">
        <is>
          <t>JB Issue</t>
        </is>
      </c>
      <c r="O1398" s="39" t="n">
        <v>575</v>
      </c>
      <c r="P1398" s="9" t="inlineStr">
        <is>
          <t>NSMI24070218673</t>
        </is>
      </c>
      <c r="Q1398" s="53">
        <f>MID(P1398,5,2)</f>
        <v/>
      </c>
      <c r="R1398" s="53">
        <f>MID(P1398,7,2)</f>
        <v/>
      </c>
      <c r="S1398" s="3" t="inlineStr">
        <is>
          <t>G2G</t>
        </is>
      </c>
      <c r="T1398" s="3" t="inlineStr">
        <is>
          <t>P4</t>
        </is>
      </c>
      <c r="U1398" s="19" t="inlineStr">
        <is>
          <t>All JB Issue</t>
        </is>
      </c>
      <c r="V1398" s="19" t="inlineStr">
        <is>
          <t>JB Changed</t>
        </is>
      </c>
      <c r="W1398" s="3" t="inlineStr">
        <is>
          <t>Repair</t>
        </is>
      </c>
      <c r="X1398" s="18" t="n">
        <v>46159</v>
      </c>
      <c r="Y1398" s="3">
        <f>X1398-A1398</f>
        <v/>
      </c>
      <c r="Z1398" s="18" t="n">
        <v>46159</v>
      </c>
      <c r="AA1398" s="15" t="n"/>
      <c r="AB1398" s="15" t="n"/>
    </row>
    <row r="1399">
      <c r="A1399" s="37" t="n">
        <v>46158</v>
      </c>
      <c r="B1399" s="3" t="n">
        <v>2026</v>
      </c>
      <c r="C1399" s="26" t="inlineStr">
        <is>
          <t>Nabhas Constructions</t>
        </is>
      </c>
      <c r="D1399" s="26" t="inlineStr">
        <is>
          <t>Channel Sales</t>
        </is>
      </c>
      <c r="E1399" s="3" t="n"/>
      <c r="F1399" s="3" t="inlineStr">
        <is>
          <t>Closed</t>
        </is>
      </c>
      <c r="G1399" s="51" t="inlineStr">
        <is>
          <t xml:space="preserve">Akshay Ravi </t>
        </is>
      </c>
      <c r="H1399" s="51" t="n">
        <v>9819889031</v>
      </c>
      <c r="I1399" s="38" t="inlineStr">
        <is>
          <t>PE16052601</t>
        </is>
      </c>
      <c r="J1399" s="26" t="inlineStr">
        <is>
          <t>Manufacturing Defect</t>
        </is>
      </c>
      <c r="K1399" s="26" t="inlineStr">
        <is>
          <t>Kovvuru</t>
        </is>
      </c>
      <c r="L1399" s="26" t="inlineStr">
        <is>
          <t>Andhra Predesh</t>
        </is>
      </c>
      <c r="M1399" s="9" t="inlineStr">
        <is>
          <t>No Visit</t>
        </is>
      </c>
      <c r="N1399" s="42" t="inlineStr">
        <is>
          <t>Transparent backsheet melt down</t>
        </is>
      </c>
      <c r="O1399" s="39" t="n">
        <v>540</v>
      </c>
      <c r="P1399" s="9" t="inlineStr">
        <is>
          <t>NSMP24112017399</t>
        </is>
      </c>
      <c r="Q1399" s="53">
        <f>MID(P1399,5,2)</f>
        <v/>
      </c>
      <c r="R1399" s="53">
        <f>MID(P1399,7,2)</f>
        <v/>
      </c>
      <c r="S1399" s="3" t="inlineStr">
        <is>
          <t>G2TB</t>
        </is>
      </c>
      <c r="T1399" s="3" t="inlineStr">
        <is>
          <t>P2</t>
        </is>
      </c>
      <c r="U1399" s="42" t="inlineStr">
        <is>
          <t>Improper ribbon/tab lead soldering</t>
        </is>
      </c>
      <c r="V1399" s="3" t="inlineStr">
        <is>
          <t>CN / Replacement</t>
        </is>
      </c>
      <c r="W1399" s="3" t="inlineStr">
        <is>
          <t>Replacement</t>
        </is>
      </c>
      <c r="X1399" s="18" t="n">
        <v>46158</v>
      </c>
      <c r="Y1399" s="3">
        <f>X1399-A1399</f>
        <v/>
      </c>
      <c r="Z1399" s="19" t="n"/>
      <c r="AA1399" s="19" t="n"/>
      <c r="AB1399" s="19" t="n"/>
    </row>
    <row r="1400" hidden="1" s="233">
      <c r="A1400" s="6" t="n">
        <v>46107</v>
      </c>
      <c r="B1400" s="3" t="n">
        <v>2026</v>
      </c>
      <c r="C1400" s="3" t="inlineStr">
        <is>
          <t>Blupine</t>
        </is>
      </c>
      <c r="D1400" s="3" t="inlineStr">
        <is>
          <t>Utility and C&amp;I</t>
        </is>
      </c>
      <c r="E1400" s="3" t="n"/>
      <c r="F1400" s="3" t="inlineStr">
        <is>
          <t>Closed</t>
        </is>
      </c>
      <c r="G1400" s="3" t="inlineStr">
        <is>
          <t>Chandrashekar Patidar</t>
        </is>
      </c>
      <c r="H1400" s="3" t="n">
        <v>7879764773</v>
      </c>
      <c r="I1400" s="11" t="inlineStr">
        <is>
          <t>PE26032601</t>
        </is>
      </c>
      <c r="J1400" s="3" t="inlineStr">
        <is>
          <t>Module Diode Failure</t>
        </is>
      </c>
      <c r="K1400" s="3" t="inlineStr">
        <is>
          <t>Sadla</t>
        </is>
      </c>
      <c r="L1400" s="3" t="inlineStr">
        <is>
          <t>Gujarat</t>
        </is>
      </c>
      <c r="M1400" s="9" t="inlineStr">
        <is>
          <t>PNS</t>
        </is>
      </c>
      <c r="N1400" s="3" t="inlineStr">
        <is>
          <t>Cold Soldering</t>
        </is>
      </c>
      <c r="O1400" s="3" t="n">
        <v>570</v>
      </c>
      <c r="P1400" s="9" t="inlineStr">
        <is>
          <t>NSMI24090346682</t>
        </is>
      </c>
      <c r="Q1400" s="54">
        <f>MID(P1400,5,2)</f>
        <v/>
      </c>
      <c r="R1400" s="53">
        <f>MID(P1400,7,2)</f>
        <v/>
      </c>
      <c r="S1400" s="3" t="inlineStr">
        <is>
          <t>G2G</t>
        </is>
      </c>
      <c r="T1400" s="3" t="inlineStr">
        <is>
          <t>P4</t>
        </is>
      </c>
      <c r="U1400" s="3" t="inlineStr">
        <is>
          <t>P &amp; N JB Cold Soldering</t>
        </is>
      </c>
      <c r="V1400" s="3" t="inlineStr">
        <is>
          <t>Soldering</t>
        </is>
      </c>
      <c r="W1400" s="3" t="inlineStr">
        <is>
          <t>Repair</t>
        </is>
      </c>
      <c r="X1400" s="18" t="n">
        <v>46160</v>
      </c>
      <c r="Y1400" s="3">
        <f>X1400-A1400</f>
        <v/>
      </c>
      <c r="Z1400" s="18" t="n">
        <v>46160</v>
      </c>
      <c r="AA1400" s="15" t="n"/>
      <c r="AB1400" s="15" t="n"/>
    </row>
    <row r="1401" hidden="1" s="233">
      <c r="A1401" s="6" t="n">
        <v>46107</v>
      </c>
      <c r="B1401" s="3" t="n">
        <v>2026</v>
      </c>
      <c r="C1401" s="3" t="inlineStr">
        <is>
          <t>Blupine</t>
        </is>
      </c>
      <c r="D1401" s="3" t="inlineStr">
        <is>
          <t>Utility and C&amp;I</t>
        </is>
      </c>
      <c r="E1401" s="3" t="n"/>
      <c r="F1401" s="3" t="inlineStr">
        <is>
          <t>Closed</t>
        </is>
      </c>
      <c r="G1401" s="3" t="inlineStr">
        <is>
          <t>Chandrashekar Patidar</t>
        </is>
      </c>
      <c r="H1401" s="3" t="n">
        <v>7879764773</v>
      </c>
      <c r="I1401" s="11" t="inlineStr">
        <is>
          <t>PE26032601</t>
        </is>
      </c>
      <c r="J1401" s="3" t="inlineStr">
        <is>
          <t>Module Diode Failure</t>
        </is>
      </c>
      <c r="K1401" s="3" t="inlineStr">
        <is>
          <t>Sadla</t>
        </is>
      </c>
      <c r="L1401" s="3" t="inlineStr">
        <is>
          <t>Gujarat</t>
        </is>
      </c>
      <c r="M1401" s="9" t="inlineStr">
        <is>
          <t>PS</t>
        </is>
      </c>
      <c r="N1401" s="3" t="inlineStr">
        <is>
          <t>Cold Soldering</t>
        </is>
      </c>
      <c r="O1401" s="3" t="n">
        <v>570</v>
      </c>
      <c r="P1401" s="9" t="inlineStr">
        <is>
          <t>NSMI24090350403</t>
        </is>
      </c>
      <c r="Q1401" s="54">
        <f>MID(P1401,5,2)</f>
        <v/>
      </c>
      <c r="R1401" s="53">
        <f>MID(P1401,7,2)</f>
        <v/>
      </c>
      <c r="S1401" s="3" t="inlineStr">
        <is>
          <t>G2G</t>
        </is>
      </c>
      <c r="T1401" s="3" t="inlineStr">
        <is>
          <t>P4</t>
        </is>
      </c>
      <c r="U1401" s="3" t="inlineStr">
        <is>
          <t>P JB Cold Soldering</t>
        </is>
      </c>
      <c r="V1401" s="3" t="inlineStr">
        <is>
          <t>Soldering</t>
        </is>
      </c>
      <c r="W1401" s="3" t="inlineStr">
        <is>
          <t>Repair</t>
        </is>
      </c>
      <c r="X1401" s="18" t="n">
        <v>46160</v>
      </c>
      <c r="Y1401" s="3">
        <f>X1401-A1401</f>
        <v/>
      </c>
      <c r="Z1401" s="18" t="n">
        <v>46160</v>
      </c>
      <c r="AA1401" s="15" t="n"/>
      <c r="AB1401" s="15" t="n"/>
    </row>
    <row r="1402" hidden="1" s="233">
      <c r="A1402" s="6" t="n">
        <v>46107</v>
      </c>
      <c r="B1402" s="3" t="n">
        <v>2026</v>
      </c>
      <c r="C1402" s="3" t="inlineStr">
        <is>
          <t>Blupine</t>
        </is>
      </c>
      <c r="D1402" s="3" t="inlineStr">
        <is>
          <t>Utility and C&amp;I</t>
        </is>
      </c>
      <c r="E1402" s="3" t="n"/>
      <c r="F1402" s="3" t="inlineStr">
        <is>
          <t>Closed</t>
        </is>
      </c>
      <c r="G1402" s="3" t="inlineStr">
        <is>
          <t>Chandrashekar Patidar</t>
        </is>
      </c>
      <c r="H1402" s="3" t="n">
        <v>7879764773</v>
      </c>
      <c r="I1402" s="11" t="inlineStr">
        <is>
          <t>PE26032601</t>
        </is>
      </c>
      <c r="J1402" s="3" t="inlineStr">
        <is>
          <t>Module Diode Failure</t>
        </is>
      </c>
      <c r="K1402" s="3" t="inlineStr">
        <is>
          <t>Sadla</t>
        </is>
      </c>
      <c r="L1402" s="3" t="inlineStr">
        <is>
          <t>Gujarat</t>
        </is>
      </c>
      <c r="M1402" s="9" t="inlineStr">
        <is>
          <t>PS</t>
        </is>
      </c>
      <c r="N1402" s="3" t="inlineStr">
        <is>
          <t>Cold Soldering</t>
        </is>
      </c>
      <c r="O1402" s="3" t="n">
        <v>570</v>
      </c>
      <c r="P1402" s="9" t="inlineStr">
        <is>
          <t>NSMI24090347255</t>
        </is>
      </c>
      <c r="Q1402" s="54">
        <f>MID(P1402,5,2)</f>
        <v/>
      </c>
      <c r="R1402" s="53">
        <f>MID(P1402,7,2)</f>
        <v/>
      </c>
      <c r="S1402" s="3" t="inlineStr">
        <is>
          <t>G2G</t>
        </is>
      </c>
      <c r="T1402" s="3" t="inlineStr">
        <is>
          <t>P4</t>
        </is>
      </c>
      <c r="U1402" s="3" t="inlineStr">
        <is>
          <t>P JB Cold Soldering</t>
        </is>
      </c>
      <c r="V1402" s="3" t="inlineStr">
        <is>
          <t>Soldering</t>
        </is>
      </c>
      <c r="W1402" s="3" t="inlineStr">
        <is>
          <t>Repair</t>
        </is>
      </c>
      <c r="X1402" s="18" t="n">
        <v>46160</v>
      </c>
      <c r="Y1402" s="3">
        <f>X1402-A1402</f>
        <v/>
      </c>
      <c r="Z1402" s="18" t="n">
        <v>46160</v>
      </c>
      <c r="AA1402" s="15" t="n"/>
      <c r="AB1402" s="15" t="n"/>
    </row>
    <row r="1403" hidden="1" s="233">
      <c r="A1403" s="6" t="n">
        <v>46107</v>
      </c>
      <c r="B1403" s="3" t="n">
        <v>2026</v>
      </c>
      <c r="C1403" s="3" t="inlineStr">
        <is>
          <t>Blupine</t>
        </is>
      </c>
      <c r="D1403" s="3" t="inlineStr">
        <is>
          <t>Utility and C&amp;I</t>
        </is>
      </c>
      <c r="E1403" s="3" t="n"/>
      <c r="F1403" s="3" t="inlineStr">
        <is>
          <t>Closed</t>
        </is>
      </c>
      <c r="G1403" s="3" t="inlineStr">
        <is>
          <t>Chandrashekar Patidar</t>
        </is>
      </c>
      <c r="H1403" s="3" t="n">
        <v>7879764773</v>
      </c>
      <c r="I1403" s="11" t="inlineStr">
        <is>
          <t>PE26032601</t>
        </is>
      </c>
      <c r="J1403" s="3" t="inlineStr">
        <is>
          <t>Module Diode Failure</t>
        </is>
      </c>
      <c r="K1403" s="3" t="inlineStr">
        <is>
          <t>Sadla</t>
        </is>
      </c>
      <c r="L1403" s="3" t="inlineStr">
        <is>
          <t>Gujarat</t>
        </is>
      </c>
      <c r="M1403" s="9" t="inlineStr">
        <is>
          <t>PS</t>
        </is>
      </c>
      <c r="N1403" s="3" t="inlineStr">
        <is>
          <t>Cold Soldering</t>
        </is>
      </c>
      <c r="O1403" s="3" t="n">
        <v>570</v>
      </c>
      <c r="P1403" s="9" t="inlineStr">
        <is>
          <t>NSMI24090354255</t>
        </is>
      </c>
      <c r="Q1403" s="54">
        <f>MID(P1403,5,2)</f>
        <v/>
      </c>
      <c r="R1403" s="53">
        <f>MID(P1403,7,2)</f>
        <v/>
      </c>
      <c r="S1403" s="3" t="inlineStr">
        <is>
          <t>G2G</t>
        </is>
      </c>
      <c r="T1403" s="3" t="inlineStr">
        <is>
          <t>P4</t>
        </is>
      </c>
      <c r="U1403" s="3" t="inlineStr">
        <is>
          <t>P JB Cold Soldering</t>
        </is>
      </c>
      <c r="V1403" s="3" t="inlineStr">
        <is>
          <t>Soldering</t>
        </is>
      </c>
      <c r="W1403" s="3" t="inlineStr">
        <is>
          <t>Repair</t>
        </is>
      </c>
      <c r="X1403" s="18" t="n">
        <v>46160</v>
      </c>
      <c r="Y1403" s="3">
        <f>X1403-A1403</f>
        <v/>
      </c>
      <c r="Z1403" s="18" t="n">
        <v>46160</v>
      </c>
      <c r="AA1403" s="15" t="n"/>
      <c r="AB1403" s="15" t="n"/>
    </row>
    <row r="1404" hidden="1" s="233">
      <c r="A1404" s="6" t="n">
        <v>46107</v>
      </c>
      <c r="B1404" s="3" t="n">
        <v>2026</v>
      </c>
      <c r="C1404" s="3" t="inlineStr">
        <is>
          <t>Blupine</t>
        </is>
      </c>
      <c r="D1404" s="3" t="inlineStr">
        <is>
          <t>Utility and C&amp;I</t>
        </is>
      </c>
      <c r="E1404" s="3" t="n"/>
      <c r="F1404" s="3" t="inlineStr">
        <is>
          <t>Closed</t>
        </is>
      </c>
      <c r="G1404" s="3" t="inlineStr">
        <is>
          <t>Chandrashekar Patidar</t>
        </is>
      </c>
      <c r="H1404" s="3" t="n">
        <v>7879764773</v>
      </c>
      <c r="I1404" s="11" t="inlineStr">
        <is>
          <t>PE26032601</t>
        </is>
      </c>
      <c r="J1404" s="3" t="inlineStr">
        <is>
          <t>Module Diode Failure</t>
        </is>
      </c>
      <c r="K1404" s="3" t="inlineStr">
        <is>
          <t>Sadla</t>
        </is>
      </c>
      <c r="L1404" s="3" t="inlineStr">
        <is>
          <t>Gujarat</t>
        </is>
      </c>
      <c r="M1404" s="9" t="inlineStr">
        <is>
          <t>PS</t>
        </is>
      </c>
      <c r="N1404" s="3" t="inlineStr">
        <is>
          <t>Cold Soldering</t>
        </is>
      </c>
      <c r="O1404" s="3" t="n">
        <v>570</v>
      </c>
      <c r="P1404" s="9" t="inlineStr">
        <is>
          <t>NSMI24080338432</t>
        </is>
      </c>
      <c r="Q1404" s="54">
        <f>MID(P1404,5,2)</f>
        <v/>
      </c>
      <c r="R1404" s="53">
        <f>MID(P1404,7,2)</f>
        <v/>
      </c>
      <c r="S1404" s="3" t="inlineStr">
        <is>
          <t>G2G</t>
        </is>
      </c>
      <c r="T1404" s="3" t="inlineStr">
        <is>
          <t>P4</t>
        </is>
      </c>
      <c r="U1404" s="3" t="inlineStr">
        <is>
          <t>P JB Cold Soldering</t>
        </is>
      </c>
      <c r="V1404" s="3" t="inlineStr">
        <is>
          <t>Soldering</t>
        </is>
      </c>
      <c r="W1404" s="3" t="inlineStr">
        <is>
          <t>Repair</t>
        </is>
      </c>
      <c r="X1404" s="18" t="n">
        <v>46160</v>
      </c>
      <c r="Y1404" s="3">
        <f>X1404-A1404</f>
        <v/>
      </c>
      <c r="Z1404" s="18" t="n">
        <v>46160</v>
      </c>
      <c r="AA1404" s="15" t="n"/>
      <c r="AB1404" s="15" t="n"/>
    </row>
    <row r="1405" hidden="1" s="233">
      <c r="A1405" s="6" t="n">
        <v>46107</v>
      </c>
      <c r="B1405" s="3" t="n">
        <v>2026</v>
      </c>
      <c r="C1405" s="3" t="inlineStr">
        <is>
          <t>Blupine</t>
        </is>
      </c>
      <c r="D1405" s="3" t="inlineStr">
        <is>
          <t>Utility and C&amp;I</t>
        </is>
      </c>
      <c r="E1405" s="3" t="n"/>
      <c r="F1405" s="3" t="inlineStr">
        <is>
          <t>Closed</t>
        </is>
      </c>
      <c r="G1405" s="3" t="inlineStr">
        <is>
          <t>Chandrashekar Patidar</t>
        </is>
      </c>
      <c r="H1405" s="3" t="n">
        <v>7879764773</v>
      </c>
      <c r="I1405" s="11" t="inlineStr">
        <is>
          <t>PE26032601</t>
        </is>
      </c>
      <c r="J1405" s="3" t="inlineStr">
        <is>
          <t>Module Diode Failure</t>
        </is>
      </c>
      <c r="K1405" s="3" t="inlineStr">
        <is>
          <t>Sadla</t>
        </is>
      </c>
      <c r="L1405" s="3" t="inlineStr">
        <is>
          <t>Gujarat</t>
        </is>
      </c>
      <c r="M1405" s="9" t="inlineStr">
        <is>
          <t>PS</t>
        </is>
      </c>
      <c r="N1405" s="3" t="inlineStr">
        <is>
          <t>Cold Soldering</t>
        </is>
      </c>
      <c r="O1405" s="3" t="n">
        <v>570</v>
      </c>
      <c r="P1405" s="9" t="inlineStr">
        <is>
          <t>NSMI24080345729</t>
        </is>
      </c>
      <c r="Q1405" s="54">
        <f>MID(P1405,5,2)</f>
        <v/>
      </c>
      <c r="R1405" s="53">
        <f>MID(P1405,7,2)</f>
        <v/>
      </c>
      <c r="S1405" s="3" t="inlineStr">
        <is>
          <t>G2G</t>
        </is>
      </c>
      <c r="T1405" s="3" t="inlineStr">
        <is>
          <t>P4</t>
        </is>
      </c>
      <c r="U1405" s="3" t="inlineStr">
        <is>
          <t>P JB Cold Soldering</t>
        </is>
      </c>
      <c r="V1405" s="3" t="inlineStr">
        <is>
          <t>Soldering</t>
        </is>
      </c>
      <c r="W1405" s="3" t="inlineStr">
        <is>
          <t>Repair</t>
        </is>
      </c>
      <c r="X1405" s="18" t="n">
        <v>46160</v>
      </c>
      <c r="Y1405" s="3">
        <f>X1405-A1405</f>
        <v/>
      </c>
      <c r="Z1405" s="18" t="n">
        <v>46160</v>
      </c>
      <c r="AA1405" s="15" t="n"/>
      <c r="AB1405" s="15" t="n"/>
    </row>
    <row r="1406" hidden="1" s="233">
      <c r="A1406" s="6" t="n">
        <v>46107</v>
      </c>
      <c r="B1406" s="3" t="n">
        <v>2026</v>
      </c>
      <c r="C1406" s="3" t="inlineStr">
        <is>
          <t>Blupine</t>
        </is>
      </c>
      <c r="D1406" s="3" t="inlineStr">
        <is>
          <t>Utility and C&amp;I</t>
        </is>
      </c>
      <c r="E1406" s="3" t="n"/>
      <c r="F1406" s="3" t="inlineStr">
        <is>
          <t>Closed</t>
        </is>
      </c>
      <c r="G1406" s="3" t="inlineStr">
        <is>
          <t>Chandrashekar Patidar</t>
        </is>
      </c>
      <c r="H1406" s="3" t="n">
        <v>7879764773</v>
      </c>
      <c r="I1406" s="11" t="inlineStr">
        <is>
          <t>PE26032601</t>
        </is>
      </c>
      <c r="J1406" s="3" t="inlineStr">
        <is>
          <t>Module Diode Failure</t>
        </is>
      </c>
      <c r="K1406" s="3" t="inlineStr">
        <is>
          <t>Sadla</t>
        </is>
      </c>
      <c r="L1406" s="3" t="inlineStr">
        <is>
          <t>Gujarat</t>
        </is>
      </c>
      <c r="M1406" s="9" t="inlineStr">
        <is>
          <t>PS</t>
        </is>
      </c>
      <c r="N1406" s="3" t="inlineStr">
        <is>
          <t>Cold Soldering</t>
        </is>
      </c>
      <c r="O1406" s="3" t="n">
        <v>570</v>
      </c>
      <c r="P1406" s="9" t="inlineStr">
        <is>
          <t>NSMI24080342485</t>
        </is>
      </c>
      <c r="Q1406" s="54">
        <f>MID(P1406,5,2)</f>
        <v/>
      </c>
      <c r="R1406" s="53">
        <f>MID(P1406,7,2)</f>
        <v/>
      </c>
      <c r="S1406" s="3" t="inlineStr">
        <is>
          <t>G2G</t>
        </is>
      </c>
      <c r="T1406" s="3" t="inlineStr">
        <is>
          <t>P4</t>
        </is>
      </c>
      <c r="U1406" s="3" t="inlineStr">
        <is>
          <t>P JB Cold Soldering &amp; Glass Breakage</t>
        </is>
      </c>
      <c r="V1406" s="3" t="inlineStr">
        <is>
          <t>Soldering</t>
        </is>
      </c>
      <c r="W1406" s="3" t="inlineStr">
        <is>
          <t>Repair</t>
        </is>
      </c>
      <c r="X1406" s="18" t="n">
        <v>46160</v>
      </c>
      <c r="Y1406" s="3">
        <f>X1406-A1406</f>
        <v/>
      </c>
      <c r="Z1406" s="18" t="n">
        <v>46160</v>
      </c>
      <c r="AA1406" s="15" t="n"/>
      <c r="AB1406" s="15" t="n"/>
    </row>
    <row r="1407" hidden="1" s="233">
      <c r="A1407" s="6" t="n">
        <v>46107</v>
      </c>
      <c r="B1407" s="3" t="n">
        <v>2026</v>
      </c>
      <c r="C1407" s="3" t="inlineStr">
        <is>
          <t>Blupine</t>
        </is>
      </c>
      <c r="D1407" s="3" t="inlineStr">
        <is>
          <t>Utility and C&amp;I</t>
        </is>
      </c>
      <c r="E1407" s="3" t="n"/>
      <c r="F1407" s="3" t="inlineStr">
        <is>
          <t>Closed</t>
        </is>
      </c>
      <c r="G1407" s="3" t="inlineStr">
        <is>
          <t>Chandrashekar Patidar</t>
        </is>
      </c>
      <c r="H1407" s="3" t="n">
        <v>7879764773</v>
      </c>
      <c r="I1407" s="11" t="inlineStr">
        <is>
          <t>PE26032601</t>
        </is>
      </c>
      <c r="J1407" s="3" t="inlineStr">
        <is>
          <t>Module Diode Failure</t>
        </is>
      </c>
      <c r="K1407" s="3" t="inlineStr">
        <is>
          <t>Sadla</t>
        </is>
      </c>
      <c r="L1407" s="3" t="inlineStr">
        <is>
          <t>Gujarat</t>
        </is>
      </c>
      <c r="M1407" s="9" t="inlineStr">
        <is>
          <t>PS</t>
        </is>
      </c>
      <c r="N1407" s="3" t="inlineStr">
        <is>
          <t>Cold Soldering</t>
        </is>
      </c>
      <c r="O1407" s="3" t="n">
        <v>570</v>
      </c>
      <c r="P1407" s="9" t="inlineStr">
        <is>
          <t>NSMI24090352971</t>
        </is>
      </c>
      <c r="Q1407" s="54">
        <f>MID(P1407,5,2)</f>
        <v/>
      </c>
      <c r="R1407" s="53">
        <f>MID(P1407,7,2)</f>
        <v/>
      </c>
      <c r="S1407" s="3" t="inlineStr">
        <is>
          <t>G2G</t>
        </is>
      </c>
      <c r="T1407" s="3" t="inlineStr">
        <is>
          <t>P4</t>
        </is>
      </c>
      <c r="U1407" s="3" t="inlineStr">
        <is>
          <t>P JB Cold Soldering</t>
        </is>
      </c>
      <c r="V1407" s="3" t="inlineStr">
        <is>
          <t>Soldering</t>
        </is>
      </c>
      <c r="W1407" s="3" t="inlineStr">
        <is>
          <t>Repair</t>
        </is>
      </c>
      <c r="X1407" s="18" t="n">
        <v>46160</v>
      </c>
      <c r="Y1407" s="3">
        <f>X1407-A1407</f>
        <v/>
      </c>
      <c r="Z1407" s="18" t="n">
        <v>46160</v>
      </c>
      <c r="AA1407" s="15" t="n"/>
      <c r="AB1407" s="15" t="n"/>
    </row>
    <row r="1408" hidden="1" s="233">
      <c r="A1408" s="6" t="n">
        <v>46107</v>
      </c>
      <c r="B1408" s="3" t="n">
        <v>2026</v>
      </c>
      <c r="C1408" s="3" t="inlineStr">
        <is>
          <t>Blupine</t>
        </is>
      </c>
      <c r="D1408" s="3" t="inlineStr">
        <is>
          <t>Utility and C&amp;I</t>
        </is>
      </c>
      <c r="E1408" s="3" t="n"/>
      <c r="F1408" s="3" t="inlineStr">
        <is>
          <t>Closed</t>
        </is>
      </c>
      <c r="G1408" s="3" t="inlineStr">
        <is>
          <t>Chandrashekar Patidar</t>
        </is>
      </c>
      <c r="H1408" s="3" t="n">
        <v>7879764773</v>
      </c>
      <c r="I1408" s="11" t="inlineStr">
        <is>
          <t>PE26032601</t>
        </is>
      </c>
      <c r="J1408" s="3" t="inlineStr">
        <is>
          <t>Module Diode Failure</t>
        </is>
      </c>
      <c r="K1408" s="3" t="inlineStr">
        <is>
          <t>Sadla</t>
        </is>
      </c>
      <c r="L1408" s="3" t="inlineStr">
        <is>
          <t>Gujarat</t>
        </is>
      </c>
      <c r="M1408" s="9" t="inlineStr">
        <is>
          <t>PS</t>
        </is>
      </c>
      <c r="N1408" s="3" t="inlineStr">
        <is>
          <t>Cold Soldering</t>
        </is>
      </c>
      <c r="O1408" s="3" t="n">
        <v>570</v>
      </c>
      <c r="P1408" s="9" t="inlineStr">
        <is>
          <t>NSMI24080334797</t>
        </is>
      </c>
      <c r="Q1408" s="54">
        <f>MID(P1408,5,2)</f>
        <v/>
      </c>
      <c r="R1408" s="53">
        <f>MID(P1408,7,2)</f>
        <v/>
      </c>
      <c r="S1408" s="3" t="inlineStr">
        <is>
          <t>G2G</t>
        </is>
      </c>
      <c r="T1408" s="3" t="inlineStr">
        <is>
          <t>P4</t>
        </is>
      </c>
      <c r="U1408" s="3" t="inlineStr">
        <is>
          <t>P JB Cold Soldering</t>
        </is>
      </c>
      <c r="V1408" s="3" t="inlineStr">
        <is>
          <t>Soldering</t>
        </is>
      </c>
      <c r="W1408" s="3" t="inlineStr">
        <is>
          <t>Repair</t>
        </is>
      </c>
      <c r="X1408" s="18" t="n">
        <v>46160</v>
      </c>
      <c r="Y1408" s="3">
        <f>X1408-A1408</f>
        <v/>
      </c>
      <c r="Z1408" s="18" t="n">
        <v>46160</v>
      </c>
      <c r="AA1408" s="15" t="n"/>
      <c r="AB1408" s="15" t="n"/>
    </row>
    <row r="1409" hidden="1" s="233">
      <c r="A1409" s="6" t="n">
        <v>46107</v>
      </c>
      <c r="B1409" s="3" t="n">
        <v>2026</v>
      </c>
      <c r="C1409" s="3" t="inlineStr">
        <is>
          <t>Blupine</t>
        </is>
      </c>
      <c r="D1409" s="3" t="inlineStr">
        <is>
          <t>Utility and C&amp;I</t>
        </is>
      </c>
      <c r="E1409" s="3" t="n"/>
      <c r="F1409" s="3" t="inlineStr">
        <is>
          <t>Closed</t>
        </is>
      </c>
      <c r="G1409" s="3" t="inlineStr">
        <is>
          <t>Chandrashekar Patidar</t>
        </is>
      </c>
      <c r="H1409" s="3" t="n">
        <v>7879764773</v>
      </c>
      <c r="I1409" s="11" t="inlineStr">
        <is>
          <t>PE26032601</t>
        </is>
      </c>
      <c r="J1409" s="3" t="inlineStr">
        <is>
          <t>Module Diode Failure</t>
        </is>
      </c>
      <c r="K1409" s="3" t="inlineStr">
        <is>
          <t>Sadla</t>
        </is>
      </c>
      <c r="L1409" s="3" t="inlineStr">
        <is>
          <t>Gujarat</t>
        </is>
      </c>
      <c r="M1409" s="9" t="inlineStr">
        <is>
          <t>PS</t>
        </is>
      </c>
      <c r="N1409" s="3" t="inlineStr">
        <is>
          <t>Cold Soldering</t>
        </is>
      </c>
      <c r="O1409" s="3" t="n">
        <v>570</v>
      </c>
      <c r="P1409" s="9" t="inlineStr">
        <is>
          <t>NSMI24080340318</t>
        </is>
      </c>
      <c r="Q1409" s="54">
        <f>MID(P1409,5,2)</f>
        <v/>
      </c>
      <c r="R1409" s="53">
        <f>MID(P1409,7,2)</f>
        <v/>
      </c>
      <c r="S1409" s="3" t="inlineStr">
        <is>
          <t>G2G</t>
        </is>
      </c>
      <c r="T1409" s="3" t="inlineStr">
        <is>
          <t>P4</t>
        </is>
      </c>
      <c r="U1409" s="3" t="inlineStr">
        <is>
          <t>P JB Cold Soldering</t>
        </is>
      </c>
      <c r="V1409" s="3" t="inlineStr">
        <is>
          <t>Soldering</t>
        </is>
      </c>
      <c r="W1409" s="3" t="inlineStr">
        <is>
          <t>Repair</t>
        </is>
      </c>
      <c r="X1409" s="18" t="n">
        <v>46160</v>
      </c>
      <c r="Y1409" s="3">
        <f>X1409-A1409</f>
        <v/>
      </c>
      <c r="Z1409" s="18" t="n">
        <v>46160</v>
      </c>
      <c r="AA1409" s="15" t="n"/>
      <c r="AB1409" s="15" t="n"/>
    </row>
    <row r="1410" hidden="1" s="233">
      <c r="A1410" s="6" t="n">
        <v>46107</v>
      </c>
      <c r="B1410" s="3" t="n">
        <v>2026</v>
      </c>
      <c r="C1410" s="3" t="inlineStr">
        <is>
          <t>Blupine</t>
        </is>
      </c>
      <c r="D1410" s="3" t="inlineStr">
        <is>
          <t>Utility and C&amp;I</t>
        </is>
      </c>
      <c r="E1410" s="3" t="n"/>
      <c r="F1410" s="3" t="inlineStr">
        <is>
          <t>Closed</t>
        </is>
      </c>
      <c r="G1410" s="3" t="inlineStr">
        <is>
          <t>Chandrashekar Patidar</t>
        </is>
      </c>
      <c r="H1410" s="3" t="n">
        <v>7879764773</v>
      </c>
      <c r="I1410" s="11" t="inlineStr">
        <is>
          <t>PE26032601</t>
        </is>
      </c>
      <c r="J1410" s="3" t="inlineStr">
        <is>
          <t>Module Diode Failure</t>
        </is>
      </c>
      <c r="K1410" s="3" t="inlineStr">
        <is>
          <t>Sadla</t>
        </is>
      </c>
      <c r="L1410" s="3" t="inlineStr">
        <is>
          <t>Gujarat</t>
        </is>
      </c>
      <c r="M1410" s="9" t="inlineStr">
        <is>
          <t>PS</t>
        </is>
      </c>
      <c r="N1410" s="3" t="inlineStr">
        <is>
          <t>Cold Soldering</t>
        </is>
      </c>
      <c r="O1410" s="3" t="n">
        <v>570</v>
      </c>
      <c r="P1410" s="9" t="inlineStr">
        <is>
          <t>NSMI24080336783</t>
        </is>
      </c>
      <c r="Q1410" s="54">
        <f>MID(P1410,5,2)</f>
        <v/>
      </c>
      <c r="R1410" s="53">
        <f>MID(P1410,7,2)</f>
        <v/>
      </c>
      <c r="S1410" s="3" t="inlineStr">
        <is>
          <t>G2G</t>
        </is>
      </c>
      <c r="T1410" s="3" t="inlineStr">
        <is>
          <t>P4</t>
        </is>
      </c>
      <c r="U1410" s="3" t="inlineStr">
        <is>
          <t>P JB Cold Soldering</t>
        </is>
      </c>
      <c r="V1410" s="3" t="inlineStr">
        <is>
          <t>Soldering</t>
        </is>
      </c>
      <c r="W1410" s="3" t="inlineStr">
        <is>
          <t>Repair</t>
        </is>
      </c>
      <c r="X1410" s="18" t="n">
        <v>46160</v>
      </c>
      <c r="Y1410" s="3">
        <f>X1410-A1410</f>
        <v/>
      </c>
      <c r="Z1410" s="18" t="n">
        <v>46160</v>
      </c>
      <c r="AA1410" s="15" t="n"/>
      <c r="AB1410" s="15" t="n"/>
    </row>
    <row r="1411" hidden="1" s="233">
      <c r="A1411" s="6" t="n">
        <v>46107</v>
      </c>
      <c r="B1411" s="3" t="n">
        <v>2026</v>
      </c>
      <c r="C1411" s="3" t="inlineStr">
        <is>
          <t>Blupine</t>
        </is>
      </c>
      <c r="D1411" s="3" t="inlineStr">
        <is>
          <t>Utility and C&amp;I</t>
        </is>
      </c>
      <c r="E1411" s="3" t="n"/>
      <c r="F1411" s="3" t="inlineStr">
        <is>
          <t>Closed</t>
        </is>
      </c>
      <c r="G1411" s="3" t="inlineStr">
        <is>
          <t>Chandrashekar Patidar</t>
        </is>
      </c>
      <c r="H1411" s="3" t="n">
        <v>7879764773</v>
      </c>
      <c r="I1411" s="11" t="inlineStr">
        <is>
          <t>PE26032601</t>
        </is>
      </c>
      <c r="J1411" s="3" t="inlineStr">
        <is>
          <t>Module Diode Failure</t>
        </is>
      </c>
      <c r="K1411" s="3" t="inlineStr">
        <is>
          <t>Sadla</t>
        </is>
      </c>
      <c r="L1411" s="3" t="inlineStr">
        <is>
          <t>Gujarat</t>
        </is>
      </c>
      <c r="M1411" s="9" t="inlineStr">
        <is>
          <t>PS</t>
        </is>
      </c>
      <c r="N1411" s="3" t="inlineStr">
        <is>
          <t>Cold Soldering</t>
        </is>
      </c>
      <c r="O1411" s="3" t="n">
        <v>570</v>
      </c>
      <c r="P1411" s="9" t="inlineStr">
        <is>
          <t>NSMI24080334720</t>
        </is>
      </c>
      <c r="Q1411" s="54">
        <f>MID(P1411,5,2)</f>
        <v/>
      </c>
      <c r="R1411" s="53">
        <f>MID(P1411,7,2)</f>
        <v/>
      </c>
      <c r="S1411" s="3" t="inlineStr">
        <is>
          <t>G2G</t>
        </is>
      </c>
      <c r="T1411" s="3" t="inlineStr">
        <is>
          <t>P4</t>
        </is>
      </c>
      <c r="U1411" s="3" t="inlineStr">
        <is>
          <t>P JB Cold Soldering</t>
        </is>
      </c>
      <c r="V1411" s="3" t="inlineStr">
        <is>
          <t>Soldering</t>
        </is>
      </c>
      <c r="W1411" s="3" t="inlineStr">
        <is>
          <t>Repair</t>
        </is>
      </c>
      <c r="X1411" s="18" t="n">
        <v>46160</v>
      </c>
      <c r="Y1411" s="3">
        <f>X1411-A1411</f>
        <v/>
      </c>
      <c r="Z1411" s="18" t="n">
        <v>46160</v>
      </c>
      <c r="AA1411" s="15" t="n"/>
      <c r="AB1411" s="15" t="n"/>
    </row>
    <row r="1412" hidden="1" s="233">
      <c r="A1412" s="6" t="n">
        <v>46107</v>
      </c>
      <c r="B1412" s="3" t="n">
        <v>2026</v>
      </c>
      <c r="C1412" s="3" t="inlineStr">
        <is>
          <t>Blupine</t>
        </is>
      </c>
      <c r="D1412" s="3" t="inlineStr">
        <is>
          <t>Utility and C&amp;I</t>
        </is>
      </c>
      <c r="E1412" s="3" t="n"/>
      <c r="F1412" s="3" t="inlineStr">
        <is>
          <t>Closed</t>
        </is>
      </c>
      <c r="G1412" s="3" t="inlineStr">
        <is>
          <t>Chandrashekar Patidar</t>
        </is>
      </c>
      <c r="H1412" s="3" t="n">
        <v>7879764773</v>
      </c>
      <c r="I1412" s="11" t="inlineStr">
        <is>
          <t>PE26032601</t>
        </is>
      </c>
      <c r="J1412" s="3" t="inlineStr">
        <is>
          <t>Module Diode Failure</t>
        </is>
      </c>
      <c r="K1412" s="3" t="inlineStr">
        <is>
          <t>Sadla</t>
        </is>
      </c>
      <c r="L1412" s="3" t="inlineStr">
        <is>
          <t>Gujarat</t>
        </is>
      </c>
      <c r="M1412" s="9" t="inlineStr">
        <is>
          <t>PS</t>
        </is>
      </c>
      <c r="N1412" s="3" t="inlineStr">
        <is>
          <t>Cold Soldering</t>
        </is>
      </c>
      <c r="O1412" s="3" t="n">
        <v>570</v>
      </c>
      <c r="P1412" s="9" t="inlineStr">
        <is>
          <t>NSMI24080340709</t>
        </is>
      </c>
      <c r="Q1412" s="54">
        <f>MID(P1412,5,2)</f>
        <v/>
      </c>
      <c r="R1412" s="53">
        <f>MID(P1412,7,2)</f>
        <v/>
      </c>
      <c r="S1412" s="3" t="inlineStr">
        <is>
          <t>G2G</t>
        </is>
      </c>
      <c r="T1412" s="3" t="inlineStr">
        <is>
          <t>P4</t>
        </is>
      </c>
      <c r="U1412" s="3" t="inlineStr">
        <is>
          <t>P JB Cold Soldering</t>
        </is>
      </c>
      <c r="V1412" s="3" t="inlineStr">
        <is>
          <t>Soldering</t>
        </is>
      </c>
      <c r="W1412" s="3" t="inlineStr">
        <is>
          <t>Repair</t>
        </is>
      </c>
      <c r="X1412" s="18" t="n">
        <v>46160</v>
      </c>
      <c r="Y1412" s="3">
        <f>X1412-A1412</f>
        <v/>
      </c>
      <c r="Z1412" s="18" t="n">
        <v>46160</v>
      </c>
      <c r="AA1412" s="15" t="n"/>
      <c r="AB1412" s="15" t="n"/>
    </row>
    <row r="1413" hidden="1" s="233">
      <c r="A1413" s="6" t="n">
        <v>46107</v>
      </c>
      <c r="B1413" s="3" t="n">
        <v>2026</v>
      </c>
      <c r="C1413" s="3" t="inlineStr">
        <is>
          <t>Blupine</t>
        </is>
      </c>
      <c r="D1413" s="3" t="inlineStr">
        <is>
          <t>Utility and C&amp;I</t>
        </is>
      </c>
      <c r="E1413" s="3" t="n"/>
      <c r="F1413" s="3" t="inlineStr">
        <is>
          <t>Closed</t>
        </is>
      </c>
      <c r="G1413" s="3" t="inlineStr">
        <is>
          <t>Chandrashekar Patidar</t>
        </is>
      </c>
      <c r="H1413" s="3" t="n">
        <v>7879764773</v>
      </c>
      <c r="I1413" s="11" t="inlineStr">
        <is>
          <t>PE26032601</t>
        </is>
      </c>
      <c r="J1413" s="3" t="inlineStr">
        <is>
          <t>Module Diode Failure</t>
        </is>
      </c>
      <c r="K1413" s="3" t="inlineStr">
        <is>
          <t>Sadla</t>
        </is>
      </c>
      <c r="L1413" s="3" t="inlineStr">
        <is>
          <t>Gujarat</t>
        </is>
      </c>
      <c r="M1413" s="9" t="inlineStr">
        <is>
          <t>NS</t>
        </is>
      </c>
      <c r="N1413" s="3" t="inlineStr">
        <is>
          <t>Cold Soldering</t>
        </is>
      </c>
      <c r="O1413" s="3" t="n">
        <v>570</v>
      </c>
      <c r="P1413" s="9" t="inlineStr">
        <is>
          <t>NSMI24080334400</t>
        </is>
      </c>
      <c r="Q1413" s="54">
        <f>MID(P1413,5,2)</f>
        <v/>
      </c>
      <c r="R1413" s="53">
        <f>MID(P1413,7,2)</f>
        <v/>
      </c>
      <c r="S1413" s="3" t="inlineStr">
        <is>
          <t>G2G</t>
        </is>
      </c>
      <c r="T1413" s="3" t="inlineStr">
        <is>
          <t>P4</t>
        </is>
      </c>
      <c r="U1413" s="3" t="inlineStr">
        <is>
          <t>N JB Cold Soldering</t>
        </is>
      </c>
      <c r="V1413" s="3" t="inlineStr">
        <is>
          <t>Soldering</t>
        </is>
      </c>
      <c r="W1413" s="3" t="inlineStr">
        <is>
          <t>Repair</t>
        </is>
      </c>
      <c r="X1413" s="18" t="n">
        <v>46160</v>
      </c>
      <c r="Y1413" s="3">
        <f>X1413-A1413</f>
        <v/>
      </c>
      <c r="Z1413" s="18" t="n">
        <v>46160</v>
      </c>
      <c r="AA1413" s="15" t="n"/>
      <c r="AB1413" s="15" t="n"/>
    </row>
    <row r="1414" hidden="1" s="233">
      <c r="A1414" s="6" t="n">
        <v>46107</v>
      </c>
      <c r="B1414" s="3" t="n">
        <v>2026</v>
      </c>
      <c r="C1414" s="3" t="inlineStr">
        <is>
          <t>Blupine</t>
        </is>
      </c>
      <c r="D1414" s="3" t="inlineStr">
        <is>
          <t>Utility and C&amp;I</t>
        </is>
      </c>
      <c r="E1414" s="3" t="n"/>
      <c r="F1414" s="3" t="inlineStr">
        <is>
          <t>Closed</t>
        </is>
      </c>
      <c r="G1414" s="3" t="inlineStr">
        <is>
          <t>Chandrashekar Patidar</t>
        </is>
      </c>
      <c r="H1414" s="3" t="n">
        <v>7879764773</v>
      </c>
      <c r="I1414" s="11" t="inlineStr">
        <is>
          <t>PE26032601</t>
        </is>
      </c>
      <c r="J1414" s="3" t="inlineStr">
        <is>
          <t>Module Diode Failure</t>
        </is>
      </c>
      <c r="K1414" s="3" t="inlineStr">
        <is>
          <t>Sadla</t>
        </is>
      </c>
      <c r="L1414" s="3" t="inlineStr">
        <is>
          <t>Gujarat</t>
        </is>
      </c>
      <c r="M1414" s="9" t="inlineStr">
        <is>
          <t>PS</t>
        </is>
      </c>
      <c r="N1414" s="3" t="inlineStr">
        <is>
          <t>Cold Soldering</t>
        </is>
      </c>
      <c r="O1414" s="3" t="n">
        <v>570</v>
      </c>
      <c r="P1414" s="9" t="inlineStr">
        <is>
          <t>NSMI24090350385</t>
        </is>
      </c>
      <c r="Q1414" s="54">
        <f>MID(P1414,5,2)</f>
        <v/>
      </c>
      <c r="R1414" s="53">
        <f>MID(P1414,7,2)</f>
        <v/>
      </c>
      <c r="S1414" s="3" t="inlineStr">
        <is>
          <t>G2G</t>
        </is>
      </c>
      <c r="T1414" s="3" t="inlineStr">
        <is>
          <t>P4</t>
        </is>
      </c>
      <c r="U1414" s="3" t="inlineStr">
        <is>
          <t>P JB Cold Soldering</t>
        </is>
      </c>
      <c r="V1414" s="3" t="inlineStr">
        <is>
          <t>Soldering</t>
        </is>
      </c>
      <c r="W1414" s="3" t="inlineStr">
        <is>
          <t>Repair</t>
        </is>
      </c>
      <c r="X1414" s="18" t="n">
        <v>46160</v>
      </c>
      <c r="Y1414" s="3">
        <f>X1414-A1414</f>
        <v/>
      </c>
      <c r="Z1414" s="18" t="n">
        <v>46160</v>
      </c>
      <c r="AA1414" s="15" t="n"/>
      <c r="AB1414" s="15" t="n"/>
    </row>
    <row r="1415" hidden="1" s="233">
      <c r="A1415" s="6" t="n">
        <v>46107</v>
      </c>
      <c r="B1415" s="3" t="n">
        <v>2026</v>
      </c>
      <c r="C1415" s="3" t="inlineStr">
        <is>
          <t>Blupine</t>
        </is>
      </c>
      <c r="D1415" s="3" t="inlineStr">
        <is>
          <t>Utility and C&amp;I</t>
        </is>
      </c>
      <c r="E1415" s="3" t="n"/>
      <c r="F1415" s="3" t="inlineStr">
        <is>
          <t>Closed</t>
        </is>
      </c>
      <c r="G1415" s="3" t="inlineStr">
        <is>
          <t>Chandrashekar Patidar</t>
        </is>
      </c>
      <c r="H1415" s="3" t="n">
        <v>7879764773</v>
      </c>
      <c r="I1415" s="11" t="inlineStr">
        <is>
          <t>PE26032601</t>
        </is>
      </c>
      <c r="J1415" s="3" t="inlineStr">
        <is>
          <t>Module Diode Failure</t>
        </is>
      </c>
      <c r="K1415" s="3" t="inlineStr">
        <is>
          <t>Sadla</t>
        </is>
      </c>
      <c r="L1415" s="3" t="inlineStr">
        <is>
          <t>Gujarat</t>
        </is>
      </c>
      <c r="M1415" s="9" t="inlineStr">
        <is>
          <t>PS</t>
        </is>
      </c>
      <c r="N1415" s="3" t="inlineStr">
        <is>
          <t>Cold Soldering</t>
        </is>
      </c>
      <c r="O1415" s="3" t="n">
        <v>570</v>
      </c>
      <c r="P1415" s="9" t="inlineStr">
        <is>
          <t>NSMI24080344553</t>
        </is>
      </c>
      <c r="Q1415" s="54">
        <f>MID(P1415,5,2)</f>
        <v/>
      </c>
      <c r="R1415" s="53">
        <f>MID(P1415,7,2)</f>
        <v/>
      </c>
      <c r="S1415" s="3" t="inlineStr">
        <is>
          <t>G2G</t>
        </is>
      </c>
      <c r="T1415" s="3" t="inlineStr">
        <is>
          <t>P4</t>
        </is>
      </c>
      <c r="U1415" s="3" t="inlineStr">
        <is>
          <t>P JB Cold Soldering</t>
        </is>
      </c>
      <c r="V1415" s="3" t="inlineStr">
        <is>
          <t>Soldering</t>
        </is>
      </c>
      <c r="W1415" s="3" t="inlineStr">
        <is>
          <t>Repair</t>
        </is>
      </c>
      <c r="X1415" s="18" t="n">
        <v>46160</v>
      </c>
      <c r="Y1415" s="3">
        <f>X1415-A1415</f>
        <v/>
      </c>
      <c r="Z1415" s="18" t="n">
        <v>46160</v>
      </c>
      <c r="AA1415" s="15" t="n"/>
      <c r="AB1415" s="15" t="n"/>
    </row>
    <row r="1416" hidden="1" s="233">
      <c r="A1416" s="6" t="n">
        <v>46107</v>
      </c>
      <c r="B1416" s="3" t="n">
        <v>2026</v>
      </c>
      <c r="C1416" s="3" t="inlineStr">
        <is>
          <t>Blupine</t>
        </is>
      </c>
      <c r="D1416" s="3" t="inlineStr">
        <is>
          <t>Utility and C&amp;I</t>
        </is>
      </c>
      <c r="E1416" s="3" t="n"/>
      <c r="F1416" s="3" t="inlineStr">
        <is>
          <t>Closed</t>
        </is>
      </c>
      <c r="G1416" s="3" t="inlineStr">
        <is>
          <t>Chandrashekar Patidar</t>
        </is>
      </c>
      <c r="H1416" s="3" t="n">
        <v>7879764773</v>
      </c>
      <c r="I1416" s="11" t="inlineStr">
        <is>
          <t>PE26032601</t>
        </is>
      </c>
      <c r="J1416" s="3" t="inlineStr">
        <is>
          <t>Module Diode Failure</t>
        </is>
      </c>
      <c r="K1416" s="3" t="inlineStr">
        <is>
          <t>Sadla</t>
        </is>
      </c>
      <c r="L1416" s="3" t="inlineStr">
        <is>
          <t>Gujarat</t>
        </is>
      </c>
      <c r="M1416" s="9" t="inlineStr">
        <is>
          <t>PS</t>
        </is>
      </c>
      <c r="N1416" s="3" t="inlineStr">
        <is>
          <t>Cold Soldering</t>
        </is>
      </c>
      <c r="O1416" s="3" t="n">
        <v>570</v>
      </c>
      <c r="P1416" s="9" t="inlineStr">
        <is>
          <t>NSMI24080336839</t>
        </is>
      </c>
      <c r="Q1416" s="54">
        <f>MID(P1416,5,2)</f>
        <v/>
      </c>
      <c r="R1416" s="53">
        <f>MID(P1416,7,2)</f>
        <v/>
      </c>
      <c r="S1416" s="3" t="inlineStr">
        <is>
          <t>G2G</t>
        </is>
      </c>
      <c r="T1416" s="3" t="inlineStr">
        <is>
          <t>P4</t>
        </is>
      </c>
      <c r="U1416" s="3" t="inlineStr">
        <is>
          <t>P JB Cold Soldering</t>
        </is>
      </c>
      <c r="V1416" s="3" t="inlineStr">
        <is>
          <t>Soldering</t>
        </is>
      </c>
      <c r="W1416" s="3" t="inlineStr">
        <is>
          <t>Repair</t>
        </is>
      </c>
      <c r="X1416" s="18" t="n">
        <v>46160</v>
      </c>
      <c r="Y1416" s="3">
        <f>X1416-A1416</f>
        <v/>
      </c>
      <c r="Z1416" s="18" t="n">
        <v>46160</v>
      </c>
      <c r="AA1416" s="15" t="n"/>
      <c r="AB1416" s="15" t="n"/>
    </row>
    <row r="1417" hidden="1" s="233">
      <c r="A1417" s="6" t="n">
        <v>46107</v>
      </c>
      <c r="B1417" s="3" t="n">
        <v>2026</v>
      </c>
      <c r="C1417" s="3" t="inlineStr">
        <is>
          <t>Blupine</t>
        </is>
      </c>
      <c r="D1417" s="3" t="inlineStr">
        <is>
          <t>Utility and C&amp;I</t>
        </is>
      </c>
      <c r="E1417" s="3" t="n"/>
      <c r="F1417" s="3" t="inlineStr">
        <is>
          <t>Closed</t>
        </is>
      </c>
      <c r="G1417" s="3" t="inlineStr">
        <is>
          <t>Chandrashekar Patidar</t>
        </is>
      </c>
      <c r="H1417" s="3" t="n">
        <v>7879764773</v>
      </c>
      <c r="I1417" s="11" t="inlineStr">
        <is>
          <t>PE26032601</t>
        </is>
      </c>
      <c r="J1417" s="3" t="inlineStr">
        <is>
          <t>Module Diode Failure</t>
        </is>
      </c>
      <c r="K1417" s="3" t="inlineStr">
        <is>
          <t>Sadla</t>
        </is>
      </c>
      <c r="L1417" s="3" t="inlineStr">
        <is>
          <t>Gujarat</t>
        </is>
      </c>
      <c r="M1417" s="9" t="inlineStr">
        <is>
          <t>PS</t>
        </is>
      </c>
      <c r="N1417" s="3" t="inlineStr">
        <is>
          <t>Cold Soldering</t>
        </is>
      </c>
      <c r="O1417" s="3" t="n">
        <v>570</v>
      </c>
      <c r="P1417" s="9" t="inlineStr">
        <is>
          <t>NSMI24090352327</t>
        </is>
      </c>
      <c r="Q1417" s="54">
        <f>MID(P1417,5,2)</f>
        <v/>
      </c>
      <c r="R1417" s="53">
        <f>MID(P1417,7,2)</f>
        <v/>
      </c>
      <c r="S1417" s="3" t="inlineStr">
        <is>
          <t>G2G</t>
        </is>
      </c>
      <c r="T1417" s="3" t="inlineStr">
        <is>
          <t>P4</t>
        </is>
      </c>
      <c r="U1417" s="3" t="inlineStr">
        <is>
          <t>P JB Cold Soldering</t>
        </is>
      </c>
      <c r="V1417" s="3" t="inlineStr">
        <is>
          <t>Soldering</t>
        </is>
      </c>
      <c r="W1417" s="3" t="inlineStr">
        <is>
          <t>Repair</t>
        </is>
      </c>
      <c r="X1417" s="18" t="n">
        <v>46160</v>
      </c>
      <c r="Y1417" s="3">
        <f>X1417-A1417</f>
        <v/>
      </c>
      <c r="Z1417" s="18" t="n">
        <v>46160</v>
      </c>
      <c r="AA1417" s="15" t="n"/>
      <c r="AB1417" s="15" t="n"/>
    </row>
    <row r="1418" hidden="1" s="233">
      <c r="A1418" s="6" t="n">
        <v>46107</v>
      </c>
      <c r="B1418" s="3" t="n">
        <v>2026</v>
      </c>
      <c r="C1418" s="3" t="inlineStr">
        <is>
          <t>Blupine</t>
        </is>
      </c>
      <c r="D1418" s="3" t="inlineStr">
        <is>
          <t>Utility and C&amp;I</t>
        </is>
      </c>
      <c r="E1418" s="3" t="n"/>
      <c r="F1418" s="3" t="inlineStr">
        <is>
          <t>Closed</t>
        </is>
      </c>
      <c r="G1418" s="3" t="inlineStr">
        <is>
          <t>Chandrashekar Patidar</t>
        </is>
      </c>
      <c r="H1418" s="3" t="n">
        <v>7879764773</v>
      </c>
      <c r="I1418" s="11" t="inlineStr">
        <is>
          <t>PE26032601</t>
        </is>
      </c>
      <c r="J1418" s="3" t="inlineStr">
        <is>
          <t>Module Diode Failure</t>
        </is>
      </c>
      <c r="K1418" s="3" t="inlineStr">
        <is>
          <t>Sadla</t>
        </is>
      </c>
      <c r="L1418" s="3" t="inlineStr">
        <is>
          <t>Gujarat</t>
        </is>
      </c>
      <c r="M1418" s="9" t="inlineStr">
        <is>
          <t>PS</t>
        </is>
      </c>
      <c r="N1418" s="3" t="inlineStr">
        <is>
          <t>Cold Soldering</t>
        </is>
      </c>
      <c r="O1418" s="3" t="n">
        <v>570</v>
      </c>
      <c r="P1418" s="9" t="inlineStr">
        <is>
          <t>NSMI24090352488</t>
        </is>
      </c>
      <c r="Q1418" s="54">
        <f>MID(P1418,5,2)</f>
        <v/>
      </c>
      <c r="R1418" s="53">
        <f>MID(P1418,7,2)</f>
        <v/>
      </c>
      <c r="S1418" s="3" t="inlineStr">
        <is>
          <t>G2G</t>
        </is>
      </c>
      <c r="T1418" s="3" t="inlineStr">
        <is>
          <t>P4</t>
        </is>
      </c>
      <c r="U1418" s="3" t="inlineStr">
        <is>
          <t>P JB Cold Soldering</t>
        </is>
      </c>
      <c r="V1418" s="3" t="inlineStr">
        <is>
          <t>Soldering</t>
        </is>
      </c>
      <c r="W1418" s="3" t="inlineStr">
        <is>
          <t>Repair</t>
        </is>
      </c>
      <c r="X1418" s="18" t="n">
        <v>46160</v>
      </c>
      <c r="Y1418" s="3">
        <f>X1418-A1418</f>
        <v/>
      </c>
      <c r="Z1418" s="18" t="n">
        <v>46160</v>
      </c>
      <c r="AA1418" s="15" t="n"/>
      <c r="AB1418" s="15" t="n"/>
    </row>
    <row r="1419" hidden="1" s="233">
      <c r="A1419" s="6" t="n">
        <v>46107</v>
      </c>
      <c r="B1419" s="3" t="n">
        <v>2026</v>
      </c>
      <c r="C1419" s="3" t="inlineStr">
        <is>
          <t>Blupine</t>
        </is>
      </c>
      <c r="D1419" s="3" t="inlineStr">
        <is>
          <t>Utility and C&amp;I</t>
        </is>
      </c>
      <c r="E1419" s="3" t="n"/>
      <c r="F1419" s="3" t="inlineStr">
        <is>
          <t>Closed</t>
        </is>
      </c>
      <c r="G1419" s="3" t="inlineStr">
        <is>
          <t>Chandrashekar Patidar</t>
        </is>
      </c>
      <c r="H1419" s="3" t="n">
        <v>7879764773</v>
      </c>
      <c r="I1419" s="11" t="inlineStr">
        <is>
          <t>PE26032601</t>
        </is>
      </c>
      <c r="J1419" s="3" t="inlineStr">
        <is>
          <t>Module Diode Failure</t>
        </is>
      </c>
      <c r="K1419" s="3" t="inlineStr">
        <is>
          <t>Sadla</t>
        </is>
      </c>
      <c r="L1419" s="3" t="inlineStr">
        <is>
          <t>Gujarat</t>
        </is>
      </c>
      <c r="M1419" s="9" t="inlineStr">
        <is>
          <t>PS</t>
        </is>
      </c>
      <c r="N1419" s="3" t="inlineStr">
        <is>
          <t>Cold Soldering</t>
        </is>
      </c>
      <c r="O1419" s="3" t="n">
        <v>570</v>
      </c>
      <c r="P1419" s="9" t="inlineStr">
        <is>
          <t>NSMI24080334745</t>
        </is>
      </c>
      <c r="Q1419" s="54">
        <f>MID(P1419,5,2)</f>
        <v/>
      </c>
      <c r="R1419" s="53">
        <f>MID(P1419,7,2)</f>
        <v/>
      </c>
      <c r="S1419" s="3" t="inlineStr">
        <is>
          <t>G2G</t>
        </is>
      </c>
      <c r="T1419" s="3" t="inlineStr">
        <is>
          <t>P4</t>
        </is>
      </c>
      <c r="U1419" s="3" t="inlineStr">
        <is>
          <t>P JB Cold Soldering</t>
        </is>
      </c>
      <c r="V1419" s="3" t="inlineStr">
        <is>
          <t>Soldering</t>
        </is>
      </c>
      <c r="W1419" s="3" t="inlineStr">
        <is>
          <t>Repair</t>
        </is>
      </c>
      <c r="X1419" s="18" t="n">
        <v>46160</v>
      </c>
      <c r="Y1419" s="3">
        <f>X1419-A1419</f>
        <v/>
      </c>
      <c r="Z1419" s="18" t="n">
        <v>46160</v>
      </c>
      <c r="AA1419" s="15" t="n"/>
      <c r="AB1419" s="15" t="n"/>
    </row>
    <row r="1420" hidden="1" s="233">
      <c r="A1420" s="6" t="n">
        <v>46107</v>
      </c>
      <c r="B1420" s="3" t="n">
        <v>2026</v>
      </c>
      <c r="C1420" s="3" t="inlineStr">
        <is>
          <t>Blupine</t>
        </is>
      </c>
      <c r="D1420" s="3" t="inlineStr">
        <is>
          <t>Utility and C&amp;I</t>
        </is>
      </c>
      <c r="E1420" s="3" t="n"/>
      <c r="F1420" s="3" t="inlineStr">
        <is>
          <t>Closed</t>
        </is>
      </c>
      <c r="G1420" s="3" t="inlineStr">
        <is>
          <t>Chandrashekar Patidar</t>
        </is>
      </c>
      <c r="H1420" s="3" t="n">
        <v>7879764773</v>
      </c>
      <c r="I1420" s="11" t="inlineStr">
        <is>
          <t>PE26032601</t>
        </is>
      </c>
      <c r="J1420" s="3" t="inlineStr">
        <is>
          <t>Module Diode Failure</t>
        </is>
      </c>
      <c r="K1420" s="3" t="inlineStr">
        <is>
          <t>Sadla</t>
        </is>
      </c>
      <c r="L1420" s="3" t="inlineStr">
        <is>
          <t>Gujarat</t>
        </is>
      </c>
      <c r="M1420" s="9" t="inlineStr">
        <is>
          <t>PS</t>
        </is>
      </c>
      <c r="N1420" s="3" t="inlineStr">
        <is>
          <t>Cold Soldering</t>
        </is>
      </c>
      <c r="O1420" s="3" t="n">
        <v>570</v>
      </c>
      <c r="P1420" s="9" t="inlineStr">
        <is>
          <t>NSMI24080342058</t>
        </is>
      </c>
      <c r="Q1420" s="54">
        <f>MID(P1420,5,2)</f>
        <v/>
      </c>
      <c r="R1420" s="53">
        <f>MID(P1420,7,2)</f>
        <v/>
      </c>
      <c r="S1420" s="3" t="inlineStr">
        <is>
          <t>G2G</t>
        </is>
      </c>
      <c r="T1420" s="3" t="inlineStr">
        <is>
          <t>P4</t>
        </is>
      </c>
      <c r="U1420" s="3" t="inlineStr">
        <is>
          <t>P JB Cold Soldering</t>
        </is>
      </c>
      <c r="V1420" s="3" t="inlineStr">
        <is>
          <t>Soldering</t>
        </is>
      </c>
      <c r="W1420" s="3" t="inlineStr">
        <is>
          <t>Repair</t>
        </is>
      </c>
      <c r="X1420" s="18" t="n">
        <v>46160</v>
      </c>
      <c r="Y1420" s="3">
        <f>X1420-A1420</f>
        <v/>
      </c>
      <c r="Z1420" s="18" t="n">
        <v>46160</v>
      </c>
      <c r="AA1420" s="15" t="n"/>
      <c r="AB1420" s="15" t="n"/>
    </row>
    <row r="1421" hidden="1" s="233">
      <c r="A1421" s="6" t="n">
        <v>46107</v>
      </c>
      <c r="B1421" s="3" t="n">
        <v>2026</v>
      </c>
      <c r="C1421" s="3" t="inlineStr">
        <is>
          <t>Blupine</t>
        </is>
      </c>
      <c r="D1421" s="3" t="inlineStr">
        <is>
          <t>Utility and C&amp;I</t>
        </is>
      </c>
      <c r="E1421" s="3" t="n"/>
      <c r="F1421" s="3" t="inlineStr">
        <is>
          <t>Closed</t>
        </is>
      </c>
      <c r="G1421" s="3" t="inlineStr">
        <is>
          <t>Chandrashekar Patidar</t>
        </is>
      </c>
      <c r="H1421" s="3" t="n">
        <v>7879764773</v>
      </c>
      <c r="I1421" s="11" t="inlineStr">
        <is>
          <t>PE26032601</t>
        </is>
      </c>
      <c r="J1421" s="3" t="inlineStr">
        <is>
          <t>Module Diode Failure</t>
        </is>
      </c>
      <c r="K1421" s="3" t="inlineStr">
        <is>
          <t>Sadla</t>
        </is>
      </c>
      <c r="L1421" s="3" t="inlineStr">
        <is>
          <t>Gujarat</t>
        </is>
      </c>
      <c r="M1421" s="9" t="inlineStr">
        <is>
          <t>PR</t>
        </is>
      </c>
      <c r="N1421" s="3" t="inlineStr">
        <is>
          <t>JB Issue</t>
        </is>
      </c>
      <c r="O1421" s="3" t="n">
        <v>570</v>
      </c>
      <c r="P1421" s="9" t="inlineStr">
        <is>
          <t>NSMI24080345335</t>
        </is>
      </c>
      <c r="Q1421" s="54">
        <f>MID(P1421,5,2)</f>
        <v/>
      </c>
      <c r="R1421" s="53">
        <f>MID(P1421,7,2)</f>
        <v/>
      </c>
      <c r="S1421" s="3" t="inlineStr">
        <is>
          <t>G2G</t>
        </is>
      </c>
      <c r="T1421" s="3" t="inlineStr">
        <is>
          <t>P4</t>
        </is>
      </c>
      <c r="U1421" s="3" t="inlineStr">
        <is>
          <t>P JB Issue</t>
        </is>
      </c>
      <c r="V1421" s="15" t="inlineStr">
        <is>
          <t>JB Changed</t>
        </is>
      </c>
      <c r="W1421" s="3" t="inlineStr">
        <is>
          <t>Repair</t>
        </is>
      </c>
      <c r="X1421" s="18" t="n">
        <v>46160</v>
      </c>
      <c r="Y1421" s="3">
        <f>X1421-A1421</f>
        <v/>
      </c>
      <c r="Z1421" s="18" t="n">
        <v>46160</v>
      </c>
      <c r="AA1421" s="15" t="n"/>
      <c r="AB1421" s="15" t="n"/>
    </row>
    <row r="1422" hidden="1" s="233">
      <c r="A1422" s="6" t="n">
        <v>46107</v>
      </c>
      <c r="B1422" s="3" t="n">
        <v>2026</v>
      </c>
      <c r="C1422" s="3" t="inlineStr">
        <is>
          <t>Blupine</t>
        </is>
      </c>
      <c r="D1422" s="3" t="inlineStr">
        <is>
          <t>Utility and C&amp;I</t>
        </is>
      </c>
      <c r="E1422" s="3" t="n"/>
      <c r="F1422" s="3" t="inlineStr">
        <is>
          <t>Closed</t>
        </is>
      </c>
      <c r="G1422" s="3" t="inlineStr">
        <is>
          <t>Chandrashekar Patidar</t>
        </is>
      </c>
      <c r="H1422" s="3" t="n">
        <v>7879764773</v>
      </c>
      <c r="I1422" s="11" t="inlineStr">
        <is>
          <t>PE26032601</t>
        </is>
      </c>
      <c r="J1422" s="3" t="inlineStr">
        <is>
          <t>Module Diode Failure</t>
        </is>
      </c>
      <c r="K1422" s="3" t="inlineStr">
        <is>
          <t>Sadla</t>
        </is>
      </c>
      <c r="L1422" s="3" t="inlineStr">
        <is>
          <t>Gujarat</t>
        </is>
      </c>
      <c r="M1422" s="9" t="inlineStr">
        <is>
          <t>AR</t>
        </is>
      </c>
      <c r="N1422" s="3" t="inlineStr">
        <is>
          <t>JB Issue</t>
        </is>
      </c>
      <c r="O1422" s="3" t="n">
        <v>570</v>
      </c>
      <c r="P1422" s="9" t="inlineStr">
        <is>
          <t>NSMI24080333042</t>
        </is>
      </c>
      <c r="Q1422" s="54">
        <f>MID(P1422,5,2)</f>
        <v/>
      </c>
      <c r="R1422" s="53">
        <f>MID(P1422,7,2)</f>
        <v/>
      </c>
      <c r="S1422" s="3" t="inlineStr">
        <is>
          <t>G2G</t>
        </is>
      </c>
      <c r="T1422" s="3" t="inlineStr">
        <is>
          <t>P4</t>
        </is>
      </c>
      <c r="U1422" s="3" t="inlineStr">
        <is>
          <t>All JB Issue &amp; Glass Breakage</t>
        </is>
      </c>
      <c r="V1422" s="15" t="inlineStr">
        <is>
          <t>JB Changed</t>
        </is>
      </c>
      <c r="W1422" s="3" t="inlineStr">
        <is>
          <t>Repair</t>
        </is>
      </c>
      <c r="X1422" s="18" t="n">
        <v>46160</v>
      </c>
      <c r="Y1422" s="3">
        <f>X1422-A1422</f>
        <v/>
      </c>
      <c r="Z1422" s="18" t="n">
        <v>46160</v>
      </c>
      <c r="AA1422" s="15" t="n"/>
      <c r="AB1422" s="15" t="n"/>
    </row>
    <row r="1423" hidden="1" s="233">
      <c r="A1423" s="6" t="n">
        <v>46107</v>
      </c>
      <c r="B1423" s="3" t="n">
        <v>2026</v>
      </c>
      <c r="C1423" s="3" t="inlineStr">
        <is>
          <t>Blupine</t>
        </is>
      </c>
      <c r="D1423" s="3" t="inlineStr">
        <is>
          <t>Utility and C&amp;I</t>
        </is>
      </c>
      <c r="E1423" s="3" t="n"/>
      <c r="F1423" s="3" t="inlineStr">
        <is>
          <t>Closed</t>
        </is>
      </c>
      <c r="G1423" s="3" t="inlineStr">
        <is>
          <t>Chandrashekar Patidar</t>
        </is>
      </c>
      <c r="H1423" s="3" t="n">
        <v>7879764773</v>
      </c>
      <c r="I1423" s="11" t="inlineStr">
        <is>
          <t>PE26032601</t>
        </is>
      </c>
      <c r="J1423" s="3" t="inlineStr">
        <is>
          <t>Module Diode Failure</t>
        </is>
      </c>
      <c r="K1423" s="3" t="inlineStr">
        <is>
          <t>Sadla</t>
        </is>
      </c>
      <c r="L1423" s="3" t="inlineStr">
        <is>
          <t>Gujarat</t>
        </is>
      </c>
      <c r="M1423" s="9" t="inlineStr">
        <is>
          <t>OK</t>
        </is>
      </c>
      <c r="N1423" s="3" t="inlineStr">
        <is>
          <t>No Issue</t>
        </is>
      </c>
      <c r="O1423" s="3" t="n">
        <v>570</v>
      </c>
      <c r="P1423" s="9" t="inlineStr">
        <is>
          <t>NSMI24090352273</t>
        </is>
      </c>
      <c r="Q1423" s="54">
        <f>MID(P1423,5,2)</f>
        <v/>
      </c>
      <c r="R1423" s="53">
        <f>MID(P1423,7,2)</f>
        <v/>
      </c>
      <c r="S1423" s="3" t="inlineStr">
        <is>
          <t>G2G</t>
        </is>
      </c>
      <c r="T1423" s="3" t="inlineStr">
        <is>
          <t>P4</t>
        </is>
      </c>
      <c r="U1423" s="19" t="inlineStr">
        <is>
          <t>No Issue Found</t>
        </is>
      </c>
      <c r="V1423" s="19" t="inlineStr">
        <is>
          <t>Found OK</t>
        </is>
      </c>
      <c r="W1423" s="3" t="inlineStr">
        <is>
          <t>Repair</t>
        </is>
      </c>
      <c r="X1423" s="18" t="n">
        <v>46160</v>
      </c>
      <c r="Y1423" s="3">
        <f>X1423-A1423</f>
        <v/>
      </c>
      <c r="Z1423" s="18" t="n">
        <v>46160</v>
      </c>
      <c r="AA1423" s="15" t="n"/>
      <c r="AB1423" s="15" t="n"/>
    </row>
    <row r="1424" hidden="1" s="233">
      <c r="A1424" s="6" t="n">
        <v>46107</v>
      </c>
      <c r="B1424" s="3" t="n">
        <v>2026</v>
      </c>
      <c r="C1424" s="3" t="inlineStr">
        <is>
          <t>Blupine</t>
        </is>
      </c>
      <c r="D1424" s="3" t="inlineStr">
        <is>
          <t>Utility and C&amp;I</t>
        </is>
      </c>
      <c r="E1424" s="3" t="n"/>
      <c r="F1424" s="3" t="inlineStr">
        <is>
          <t>Closed</t>
        </is>
      </c>
      <c r="G1424" s="3" t="inlineStr">
        <is>
          <t>Chandrashekar Patidar</t>
        </is>
      </c>
      <c r="H1424" s="3" t="n">
        <v>7879764773</v>
      </c>
      <c r="I1424" s="11" t="inlineStr">
        <is>
          <t>PE26032601</t>
        </is>
      </c>
      <c r="J1424" s="3" t="inlineStr">
        <is>
          <t>Module Diode Failure</t>
        </is>
      </c>
      <c r="K1424" s="3" t="inlineStr">
        <is>
          <t>Sadla</t>
        </is>
      </c>
      <c r="L1424" s="3" t="inlineStr">
        <is>
          <t>Gujarat</t>
        </is>
      </c>
      <c r="M1424" s="9" t="inlineStr">
        <is>
          <t>PS</t>
        </is>
      </c>
      <c r="N1424" s="3" t="inlineStr">
        <is>
          <t>Cold Soldering</t>
        </is>
      </c>
      <c r="O1424" s="3" t="n">
        <v>570</v>
      </c>
      <c r="P1424" s="9" t="inlineStr">
        <is>
          <t>NSMI24080339440</t>
        </is>
      </c>
      <c r="Q1424" s="54">
        <f>MID(P1424,5,2)</f>
        <v/>
      </c>
      <c r="R1424" s="53">
        <f>MID(P1424,7,2)</f>
        <v/>
      </c>
      <c r="S1424" s="3" t="inlineStr">
        <is>
          <t>G2G</t>
        </is>
      </c>
      <c r="T1424" s="3" t="inlineStr">
        <is>
          <t>P4</t>
        </is>
      </c>
      <c r="U1424" s="3" t="inlineStr">
        <is>
          <t>P JB Cold Soldering</t>
        </is>
      </c>
      <c r="V1424" s="3" t="inlineStr">
        <is>
          <t>Soldering</t>
        </is>
      </c>
      <c r="W1424" s="3" t="inlineStr">
        <is>
          <t>Repair</t>
        </is>
      </c>
      <c r="X1424" s="18" t="n">
        <v>46160</v>
      </c>
      <c r="Y1424" s="3">
        <f>X1424-A1424</f>
        <v/>
      </c>
      <c r="Z1424" s="18" t="n">
        <v>46160</v>
      </c>
      <c r="AA1424" s="15" t="n"/>
      <c r="AB1424" s="15" t="n"/>
    </row>
    <row r="1425" hidden="1" s="233">
      <c r="A1425" s="6" t="n">
        <v>46107</v>
      </c>
      <c r="B1425" s="3" t="n">
        <v>2026</v>
      </c>
      <c r="C1425" s="3" t="inlineStr">
        <is>
          <t>Blupine</t>
        </is>
      </c>
      <c r="D1425" s="3" t="inlineStr">
        <is>
          <t>Utility and C&amp;I</t>
        </is>
      </c>
      <c r="E1425" s="3" t="n"/>
      <c r="F1425" s="3" t="inlineStr">
        <is>
          <t>Closed</t>
        </is>
      </c>
      <c r="G1425" s="3" t="inlineStr">
        <is>
          <t>Chandrashekar Patidar</t>
        </is>
      </c>
      <c r="H1425" s="3" t="n">
        <v>7879764773</v>
      </c>
      <c r="I1425" s="11" t="inlineStr">
        <is>
          <t>PE26032601</t>
        </is>
      </c>
      <c r="J1425" s="3" t="inlineStr">
        <is>
          <t>Module Diode Failure</t>
        </is>
      </c>
      <c r="K1425" s="3" t="inlineStr">
        <is>
          <t>Sadla</t>
        </is>
      </c>
      <c r="L1425" s="3" t="inlineStr">
        <is>
          <t>Gujarat</t>
        </is>
      </c>
      <c r="M1425" s="9" t="inlineStr">
        <is>
          <t>PS</t>
        </is>
      </c>
      <c r="N1425" s="3" t="inlineStr">
        <is>
          <t>Cold Soldering</t>
        </is>
      </c>
      <c r="O1425" s="3" t="n">
        <v>570</v>
      </c>
      <c r="P1425" s="9" t="inlineStr">
        <is>
          <t>NSMI24080342112</t>
        </is>
      </c>
      <c r="Q1425" s="54">
        <f>MID(P1425,5,2)</f>
        <v/>
      </c>
      <c r="R1425" s="53">
        <f>MID(P1425,7,2)</f>
        <v/>
      </c>
      <c r="S1425" s="3" t="inlineStr">
        <is>
          <t>G2G</t>
        </is>
      </c>
      <c r="T1425" s="3" t="inlineStr">
        <is>
          <t>P4</t>
        </is>
      </c>
      <c r="U1425" s="3" t="inlineStr">
        <is>
          <t>P JB Cold Soldering</t>
        </is>
      </c>
      <c r="V1425" s="3" t="inlineStr">
        <is>
          <t>Soldering</t>
        </is>
      </c>
      <c r="W1425" s="3" t="inlineStr">
        <is>
          <t>Repair</t>
        </is>
      </c>
      <c r="X1425" s="18" t="n">
        <v>46160</v>
      </c>
      <c r="Y1425" s="3">
        <f>X1425-A1425</f>
        <v/>
      </c>
      <c r="Z1425" s="18" t="n">
        <v>46160</v>
      </c>
      <c r="AA1425" s="15" t="n"/>
      <c r="AB1425" s="15" t="n"/>
    </row>
    <row r="1426" hidden="1" s="233">
      <c r="A1426" s="6" t="n">
        <v>46107</v>
      </c>
      <c r="B1426" s="3" t="n">
        <v>2026</v>
      </c>
      <c r="C1426" s="3" t="inlineStr">
        <is>
          <t>Blupine</t>
        </is>
      </c>
      <c r="D1426" s="3" t="inlineStr">
        <is>
          <t>Utility and C&amp;I</t>
        </is>
      </c>
      <c r="E1426" s="3" t="n"/>
      <c r="F1426" s="3" t="inlineStr">
        <is>
          <t>Closed</t>
        </is>
      </c>
      <c r="G1426" s="3" t="inlineStr">
        <is>
          <t>Chandrashekar Patidar</t>
        </is>
      </c>
      <c r="H1426" s="3" t="n">
        <v>7879764773</v>
      </c>
      <c r="I1426" s="11" t="inlineStr">
        <is>
          <t>PE26032601</t>
        </is>
      </c>
      <c r="J1426" s="3" t="inlineStr">
        <is>
          <t>Module Diode Failure</t>
        </is>
      </c>
      <c r="K1426" s="3" t="inlineStr">
        <is>
          <t>Sadla</t>
        </is>
      </c>
      <c r="L1426" s="3" t="inlineStr">
        <is>
          <t>Gujarat</t>
        </is>
      </c>
      <c r="M1426" s="9" t="inlineStr">
        <is>
          <t>OK</t>
        </is>
      </c>
      <c r="N1426" s="3" t="inlineStr">
        <is>
          <t>No Issue</t>
        </is>
      </c>
      <c r="O1426" s="3" t="n">
        <v>570</v>
      </c>
      <c r="P1426" s="9" t="inlineStr">
        <is>
          <t>NSMI24080345209</t>
        </is>
      </c>
      <c r="Q1426" s="54">
        <f>MID(P1426,5,2)</f>
        <v/>
      </c>
      <c r="R1426" s="53">
        <f>MID(P1426,7,2)</f>
        <v/>
      </c>
      <c r="S1426" s="3" t="inlineStr">
        <is>
          <t>G2G</t>
        </is>
      </c>
      <c r="T1426" s="3" t="inlineStr">
        <is>
          <t>P4</t>
        </is>
      </c>
      <c r="U1426" s="19" t="inlineStr">
        <is>
          <t>No Issue Found</t>
        </is>
      </c>
      <c r="V1426" s="19" t="inlineStr">
        <is>
          <t>Found OK</t>
        </is>
      </c>
      <c r="W1426" s="3" t="inlineStr">
        <is>
          <t>Repair</t>
        </is>
      </c>
      <c r="X1426" s="18" t="n">
        <v>46160</v>
      </c>
      <c r="Y1426" s="3">
        <f>X1426-A1426</f>
        <v/>
      </c>
      <c r="Z1426" s="18" t="n">
        <v>46160</v>
      </c>
      <c r="AA1426" s="15" t="n"/>
      <c r="AB1426" s="15" t="n"/>
    </row>
    <row r="1427" hidden="1" s="233">
      <c r="A1427" s="6" t="n">
        <v>46107</v>
      </c>
      <c r="B1427" s="3" t="n">
        <v>2026</v>
      </c>
      <c r="C1427" s="3" t="inlineStr">
        <is>
          <t>Blupine</t>
        </is>
      </c>
      <c r="D1427" s="3" t="inlineStr">
        <is>
          <t>Utility and C&amp;I</t>
        </is>
      </c>
      <c r="E1427" s="3" t="n"/>
      <c r="F1427" s="3" t="inlineStr">
        <is>
          <t>Closed</t>
        </is>
      </c>
      <c r="G1427" s="3" t="inlineStr">
        <is>
          <t>Chandrashekar Patidar</t>
        </is>
      </c>
      <c r="H1427" s="3" t="n">
        <v>7879764773</v>
      </c>
      <c r="I1427" s="11" t="inlineStr">
        <is>
          <t>PE26032601</t>
        </is>
      </c>
      <c r="J1427" s="3" t="inlineStr">
        <is>
          <t>Module Diode Failure</t>
        </is>
      </c>
      <c r="K1427" s="3" t="inlineStr">
        <is>
          <t>Sadla</t>
        </is>
      </c>
      <c r="L1427" s="3" t="inlineStr">
        <is>
          <t>Gujarat</t>
        </is>
      </c>
      <c r="M1427" s="9" t="inlineStr">
        <is>
          <t>OK</t>
        </is>
      </c>
      <c r="N1427" s="3" t="inlineStr">
        <is>
          <t>No Issue</t>
        </is>
      </c>
      <c r="O1427" s="3" t="n">
        <v>570</v>
      </c>
      <c r="P1427" s="9" t="inlineStr">
        <is>
          <t>NSMI24080336766</t>
        </is>
      </c>
      <c r="Q1427" s="54">
        <f>MID(P1427,5,2)</f>
        <v/>
      </c>
      <c r="R1427" s="53">
        <f>MID(P1427,7,2)</f>
        <v/>
      </c>
      <c r="S1427" s="3" t="inlineStr">
        <is>
          <t>G2G</t>
        </is>
      </c>
      <c r="T1427" s="3" t="inlineStr">
        <is>
          <t>P4</t>
        </is>
      </c>
      <c r="U1427" s="19" t="inlineStr">
        <is>
          <t>No Issue Found</t>
        </is>
      </c>
      <c r="V1427" s="19" t="inlineStr">
        <is>
          <t>Found OK</t>
        </is>
      </c>
      <c r="W1427" s="3" t="inlineStr">
        <is>
          <t>Repair</t>
        </is>
      </c>
      <c r="X1427" s="18" t="n">
        <v>46160</v>
      </c>
      <c r="Y1427" s="3">
        <f>X1427-A1427</f>
        <v/>
      </c>
      <c r="Z1427" s="18" t="n">
        <v>46160</v>
      </c>
      <c r="AA1427" s="15" t="n"/>
      <c r="AB1427" s="15" t="n"/>
    </row>
    <row r="1428" hidden="1" s="233">
      <c r="A1428" s="6" t="n">
        <v>46107</v>
      </c>
      <c r="B1428" s="3" t="n">
        <v>2026</v>
      </c>
      <c r="C1428" s="3" t="inlineStr">
        <is>
          <t>Blupine</t>
        </is>
      </c>
      <c r="D1428" s="3" t="inlineStr">
        <is>
          <t>Utility and C&amp;I</t>
        </is>
      </c>
      <c r="E1428" s="3" t="n"/>
      <c r="F1428" s="3" t="inlineStr">
        <is>
          <t>Closed</t>
        </is>
      </c>
      <c r="G1428" s="3" t="inlineStr">
        <is>
          <t>Chandrashekar Patidar</t>
        </is>
      </c>
      <c r="H1428" s="3" t="n">
        <v>7879764773</v>
      </c>
      <c r="I1428" s="11" t="inlineStr">
        <is>
          <t>PE26032601</t>
        </is>
      </c>
      <c r="J1428" s="3" t="inlineStr">
        <is>
          <t>Module Diode Failure</t>
        </is>
      </c>
      <c r="K1428" s="3" t="inlineStr">
        <is>
          <t>Sadla</t>
        </is>
      </c>
      <c r="L1428" s="3" t="inlineStr">
        <is>
          <t>Gujarat</t>
        </is>
      </c>
      <c r="M1428" s="9" t="inlineStr">
        <is>
          <t>OK</t>
        </is>
      </c>
      <c r="N1428" s="3" t="inlineStr">
        <is>
          <t>No Issue</t>
        </is>
      </c>
      <c r="O1428" s="3" t="n">
        <v>570</v>
      </c>
      <c r="P1428" s="9" t="inlineStr">
        <is>
          <t>NSMI24080342865</t>
        </is>
      </c>
      <c r="Q1428" s="54">
        <f>MID(P1428,5,2)</f>
        <v/>
      </c>
      <c r="R1428" s="53">
        <f>MID(P1428,7,2)</f>
        <v/>
      </c>
      <c r="S1428" s="3" t="inlineStr">
        <is>
          <t>G2G</t>
        </is>
      </c>
      <c r="T1428" s="3" t="inlineStr">
        <is>
          <t>P4</t>
        </is>
      </c>
      <c r="U1428" s="19" t="inlineStr">
        <is>
          <t>No Issue Found</t>
        </is>
      </c>
      <c r="V1428" s="19" t="inlineStr">
        <is>
          <t>Found OK</t>
        </is>
      </c>
      <c r="W1428" s="3" t="inlineStr">
        <is>
          <t>Repair</t>
        </is>
      </c>
      <c r="X1428" s="18" t="n">
        <v>46160</v>
      </c>
      <c r="Y1428" s="3">
        <f>X1428-A1428</f>
        <v/>
      </c>
      <c r="Z1428" s="18" t="n">
        <v>46160</v>
      </c>
      <c r="AA1428" s="15" t="n"/>
      <c r="AB1428" s="15" t="n"/>
    </row>
    <row r="1429" hidden="1" s="233">
      <c r="A1429" s="6" t="n">
        <v>46107</v>
      </c>
      <c r="B1429" s="3" t="n">
        <v>2026</v>
      </c>
      <c r="C1429" s="3" t="inlineStr">
        <is>
          <t>Blupine</t>
        </is>
      </c>
      <c r="D1429" s="3" t="inlineStr">
        <is>
          <t>Utility and C&amp;I</t>
        </is>
      </c>
      <c r="E1429" s="3" t="n"/>
      <c r="F1429" s="3" t="inlineStr">
        <is>
          <t>Closed</t>
        </is>
      </c>
      <c r="G1429" s="3" t="inlineStr">
        <is>
          <t>Chandrashekar Patidar</t>
        </is>
      </c>
      <c r="H1429" s="3" t="n">
        <v>7879764773</v>
      </c>
      <c r="I1429" s="11" t="inlineStr">
        <is>
          <t>PE26032601</t>
        </is>
      </c>
      <c r="J1429" s="3" t="inlineStr">
        <is>
          <t>Module Diode Failure</t>
        </is>
      </c>
      <c r="K1429" s="3" t="inlineStr">
        <is>
          <t>Sadla</t>
        </is>
      </c>
      <c r="L1429" s="3" t="inlineStr">
        <is>
          <t>Gujarat</t>
        </is>
      </c>
      <c r="M1429" s="9" t="inlineStr">
        <is>
          <t>OK</t>
        </is>
      </c>
      <c r="N1429" s="3" t="inlineStr">
        <is>
          <t>No Issue</t>
        </is>
      </c>
      <c r="O1429" s="3" t="n">
        <v>570</v>
      </c>
      <c r="P1429" s="9" t="inlineStr">
        <is>
          <t>NSMI24080338815</t>
        </is>
      </c>
      <c r="Q1429" s="54">
        <f>MID(P1429,5,2)</f>
        <v/>
      </c>
      <c r="R1429" s="53">
        <f>MID(P1429,7,2)</f>
        <v/>
      </c>
      <c r="S1429" s="3" t="inlineStr">
        <is>
          <t>G2G</t>
        </is>
      </c>
      <c r="T1429" s="3" t="inlineStr">
        <is>
          <t>P4</t>
        </is>
      </c>
      <c r="U1429" s="19" t="inlineStr">
        <is>
          <t>No Issue Found</t>
        </is>
      </c>
      <c r="V1429" s="19" t="inlineStr">
        <is>
          <t>Found OK</t>
        </is>
      </c>
      <c r="W1429" s="3" t="inlineStr">
        <is>
          <t>Repair</t>
        </is>
      </c>
      <c r="X1429" s="18" t="n">
        <v>46160</v>
      </c>
      <c r="Y1429" s="3">
        <f>X1429-A1429</f>
        <v/>
      </c>
      <c r="Z1429" s="18" t="n">
        <v>46160</v>
      </c>
      <c r="AA1429" s="15" t="n"/>
      <c r="AB1429" s="15" t="n"/>
    </row>
    <row r="1430" hidden="1" s="233">
      <c r="A1430" s="6" t="n">
        <v>46107</v>
      </c>
      <c r="B1430" s="3" t="n">
        <v>2026</v>
      </c>
      <c r="C1430" s="3" t="inlineStr">
        <is>
          <t>Blupine</t>
        </is>
      </c>
      <c r="D1430" s="3" t="inlineStr">
        <is>
          <t>Utility and C&amp;I</t>
        </is>
      </c>
      <c r="E1430" s="3" t="n"/>
      <c r="F1430" s="3" t="inlineStr">
        <is>
          <t>Closed</t>
        </is>
      </c>
      <c r="G1430" s="3" t="inlineStr">
        <is>
          <t>Chandrashekar Patidar</t>
        </is>
      </c>
      <c r="H1430" s="3" t="n">
        <v>7879764773</v>
      </c>
      <c r="I1430" s="11" t="inlineStr">
        <is>
          <t>PE26032601</t>
        </is>
      </c>
      <c r="J1430" s="3" t="inlineStr">
        <is>
          <t>Module Diode Failure</t>
        </is>
      </c>
      <c r="K1430" s="3" t="inlineStr">
        <is>
          <t>Sadla</t>
        </is>
      </c>
      <c r="L1430" s="3" t="inlineStr">
        <is>
          <t>Gujarat</t>
        </is>
      </c>
      <c r="M1430" s="9" t="inlineStr">
        <is>
          <t>PS</t>
        </is>
      </c>
      <c r="N1430" s="3" t="inlineStr">
        <is>
          <t>Cold Soldering</t>
        </is>
      </c>
      <c r="O1430" s="3" t="n">
        <v>570</v>
      </c>
      <c r="P1430" s="9" t="inlineStr">
        <is>
          <t>NSMI24080338504</t>
        </is>
      </c>
      <c r="Q1430" s="54">
        <f>MID(P1430,5,2)</f>
        <v/>
      </c>
      <c r="R1430" s="53">
        <f>MID(P1430,7,2)</f>
        <v/>
      </c>
      <c r="S1430" s="3" t="inlineStr">
        <is>
          <t>G2G</t>
        </is>
      </c>
      <c r="T1430" s="3" t="inlineStr">
        <is>
          <t>P4</t>
        </is>
      </c>
      <c r="U1430" s="3" t="inlineStr">
        <is>
          <t>P JB Cold Soldering</t>
        </is>
      </c>
      <c r="V1430" s="3" t="inlineStr">
        <is>
          <t>Soldering</t>
        </is>
      </c>
      <c r="W1430" s="3" t="inlineStr">
        <is>
          <t>Repair</t>
        </is>
      </c>
      <c r="X1430" s="18" t="n">
        <v>46160</v>
      </c>
      <c r="Y1430" s="3">
        <f>X1430-A1430</f>
        <v/>
      </c>
      <c r="Z1430" s="18" t="n">
        <v>46160</v>
      </c>
      <c r="AA1430" s="15" t="n"/>
      <c r="AB1430" s="15" t="n"/>
    </row>
    <row r="1431">
      <c r="A1431" s="37" t="n">
        <v>46143</v>
      </c>
      <c r="B1431" s="3" t="n">
        <v>2026</v>
      </c>
      <c r="C1431" s="26" t="inlineStr">
        <is>
          <t>Yanara Power</t>
        </is>
      </c>
      <c r="D1431" s="3" t="inlineStr">
        <is>
          <t>Utility and C&amp;I</t>
        </is>
      </c>
      <c r="E1431" s="3" t="n"/>
      <c r="F1431" s="3" t="inlineStr">
        <is>
          <t>Closed</t>
        </is>
      </c>
      <c r="G1431" s="9" t="inlineStr">
        <is>
          <t xml:space="preserve">Ashish Jindal </t>
        </is>
      </c>
      <c r="H1431" s="26" t="n">
        <v>9983975581</v>
      </c>
      <c r="I1431" s="38" t="inlineStr">
        <is>
          <t>PE01052601</t>
        </is>
      </c>
      <c r="J1431" s="26" t="inlineStr">
        <is>
          <t>Multiple Issues</t>
        </is>
      </c>
      <c r="K1431" s="39" t="inlineStr">
        <is>
          <t>Holi</t>
        </is>
      </c>
      <c r="L1431" s="39" t="inlineStr">
        <is>
          <t>Maharashtra</t>
        </is>
      </c>
      <c r="M1431" s="9" t="inlineStr">
        <is>
          <t>PS</t>
        </is>
      </c>
      <c r="N1431" s="3" t="inlineStr">
        <is>
          <t>Cold Soldering</t>
        </is>
      </c>
      <c r="O1431" s="39" t="n">
        <v>575</v>
      </c>
      <c r="P1431" s="46" t="inlineStr">
        <is>
          <t>NSMI24070218682</t>
        </is>
      </c>
      <c r="Q1431" s="53">
        <f>MID(P1431,5,2)</f>
        <v/>
      </c>
      <c r="R1431" s="53">
        <f>MID(P1431,7,2)</f>
        <v/>
      </c>
      <c r="S1431" s="3" t="inlineStr">
        <is>
          <t>G2G</t>
        </is>
      </c>
      <c r="T1431" s="3" t="inlineStr">
        <is>
          <t>P4</t>
        </is>
      </c>
      <c r="U1431" s="19" t="inlineStr">
        <is>
          <t>P JB Cold Soldering</t>
        </is>
      </c>
      <c r="V1431" s="19" t="inlineStr">
        <is>
          <t>Soldering</t>
        </is>
      </c>
      <c r="W1431" s="3" t="inlineStr">
        <is>
          <t>Repair</t>
        </is>
      </c>
      <c r="X1431" s="18" t="n">
        <v>46160</v>
      </c>
      <c r="Y1431" s="3">
        <f>X1431-A1431</f>
        <v/>
      </c>
      <c r="Z1431" s="18" t="n">
        <v>46160</v>
      </c>
      <c r="AA1431" s="15" t="n"/>
      <c r="AB1431" s="15" t="n"/>
    </row>
    <row r="1432">
      <c r="A1432" s="37" t="n">
        <v>46143</v>
      </c>
      <c r="B1432" s="3" t="n">
        <v>2026</v>
      </c>
      <c r="C1432" s="26" t="inlineStr">
        <is>
          <t>Yanara Power</t>
        </is>
      </c>
      <c r="D1432" s="3" t="inlineStr">
        <is>
          <t>Utility and C&amp;I</t>
        </is>
      </c>
      <c r="E1432" s="3" t="n"/>
      <c r="F1432" s="3" t="inlineStr">
        <is>
          <t>Closed</t>
        </is>
      </c>
      <c r="G1432" s="9" t="inlineStr">
        <is>
          <t xml:space="preserve">Ashish Jindal </t>
        </is>
      </c>
      <c r="H1432" s="26" t="n">
        <v>9983975581</v>
      </c>
      <c r="I1432" s="38" t="inlineStr">
        <is>
          <t>PE01052601</t>
        </is>
      </c>
      <c r="J1432" s="26" t="inlineStr">
        <is>
          <t>Multiple Issues</t>
        </is>
      </c>
      <c r="K1432" s="39" t="inlineStr">
        <is>
          <t>Holi</t>
        </is>
      </c>
      <c r="L1432" s="39" t="inlineStr">
        <is>
          <t>Maharashtra</t>
        </is>
      </c>
      <c r="M1432" s="9" t="inlineStr">
        <is>
          <t>PS</t>
        </is>
      </c>
      <c r="N1432" s="3" t="inlineStr">
        <is>
          <t>Cold Soldering</t>
        </is>
      </c>
      <c r="O1432" s="39" t="n">
        <v>575</v>
      </c>
      <c r="P1432" s="46" t="inlineStr">
        <is>
          <t>NSMI24070188869</t>
        </is>
      </c>
      <c r="Q1432" s="53">
        <f>MID(P1432,5,2)</f>
        <v/>
      </c>
      <c r="R1432" s="53">
        <f>MID(P1432,7,2)</f>
        <v/>
      </c>
      <c r="S1432" s="3" t="inlineStr">
        <is>
          <t>G2G</t>
        </is>
      </c>
      <c r="T1432" s="3" t="inlineStr">
        <is>
          <t>P4</t>
        </is>
      </c>
      <c r="U1432" s="19" t="inlineStr">
        <is>
          <t>P JB Cold Soldering</t>
        </is>
      </c>
      <c r="V1432" s="19" t="inlineStr">
        <is>
          <t>Soldering</t>
        </is>
      </c>
      <c r="W1432" s="3" t="inlineStr">
        <is>
          <t>Repair</t>
        </is>
      </c>
      <c r="X1432" s="18" t="n">
        <v>46160</v>
      </c>
      <c r="Y1432" s="3">
        <f>X1432-A1432</f>
        <v/>
      </c>
      <c r="Z1432" s="18" t="n">
        <v>46160</v>
      </c>
      <c r="AA1432" s="15" t="n"/>
      <c r="AB1432" s="15" t="n"/>
    </row>
    <row r="1433">
      <c r="A1433" s="37" t="n">
        <v>46143</v>
      </c>
      <c r="B1433" s="3" t="n">
        <v>2026</v>
      </c>
      <c r="C1433" s="26" t="inlineStr">
        <is>
          <t>Yanara Power</t>
        </is>
      </c>
      <c r="D1433" s="3" t="inlineStr">
        <is>
          <t>Utility and C&amp;I</t>
        </is>
      </c>
      <c r="E1433" s="3" t="n"/>
      <c r="F1433" s="3" t="inlineStr">
        <is>
          <t>Closed</t>
        </is>
      </c>
      <c r="G1433" s="9" t="inlineStr">
        <is>
          <t xml:space="preserve">Ashish Jindal </t>
        </is>
      </c>
      <c r="H1433" s="26" t="n">
        <v>9983975581</v>
      </c>
      <c r="I1433" s="38" t="inlineStr">
        <is>
          <t>PE01052601</t>
        </is>
      </c>
      <c r="J1433" s="26" t="inlineStr">
        <is>
          <t>Multiple Issues</t>
        </is>
      </c>
      <c r="K1433" s="39" t="inlineStr">
        <is>
          <t>Holi</t>
        </is>
      </c>
      <c r="L1433" s="39" t="inlineStr">
        <is>
          <t>Maharashtra</t>
        </is>
      </c>
      <c r="M1433" s="9" t="inlineStr">
        <is>
          <t>NS</t>
        </is>
      </c>
      <c r="N1433" s="3" t="inlineStr">
        <is>
          <t>Cold Soldering</t>
        </is>
      </c>
      <c r="O1433" s="39" t="n">
        <v>575</v>
      </c>
      <c r="P1433" s="46" t="inlineStr">
        <is>
          <t>NSMI24070218683</t>
        </is>
      </c>
      <c r="Q1433" s="53">
        <f>MID(P1433,5,2)</f>
        <v/>
      </c>
      <c r="R1433" s="53">
        <f>MID(P1433,7,2)</f>
        <v/>
      </c>
      <c r="S1433" s="3" t="inlineStr">
        <is>
          <t>G2G</t>
        </is>
      </c>
      <c r="T1433" s="3" t="inlineStr">
        <is>
          <t>P4</t>
        </is>
      </c>
      <c r="U1433" s="3" t="inlineStr">
        <is>
          <t>N JB Cold Soldering</t>
        </is>
      </c>
      <c r="V1433" s="3" t="inlineStr">
        <is>
          <t>Soldering</t>
        </is>
      </c>
      <c r="W1433" s="3" t="inlineStr">
        <is>
          <t>Repair</t>
        </is>
      </c>
      <c r="X1433" s="18" t="n">
        <v>46160</v>
      </c>
      <c r="Y1433" s="3">
        <f>X1433-A1433</f>
        <v/>
      </c>
      <c r="Z1433" s="18" t="n">
        <v>46160</v>
      </c>
      <c r="AA1433" s="15" t="n"/>
      <c r="AB1433" s="15" t="n"/>
    </row>
    <row r="1434">
      <c r="A1434" s="37" t="n">
        <v>46143</v>
      </c>
      <c r="B1434" s="3" t="n">
        <v>2026</v>
      </c>
      <c r="C1434" s="26" t="inlineStr">
        <is>
          <t>Yanara Power</t>
        </is>
      </c>
      <c r="D1434" s="3" t="inlineStr">
        <is>
          <t>Utility and C&amp;I</t>
        </is>
      </c>
      <c r="E1434" s="3" t="n"/>
      <c r="F1434" s="3" t="inlineStr">
        <is>
          <t>Closed</t>
        </is>
      </c>
      <c r="G1434" s="9" t="inlineStr">
        <is>
          <t xml:space="preserve">Ashish Jindal </t>
        </is>
      </c>
      <c r="H1434" s="26" t="n">
        <v>9983975581</v>
      </c>
      <c r="I1434" s="38" t="inlineStr">
        <is>
          <t>PE01052601</t>
        </is>
      </c>
      <c r="J1434" s="26" t="inlineStr">
        <is>
          <t>Multiple Issues</t>
        </is>
      </c>
      <c r="K1434" s="39" t="inlineStr">
        <is>
          <t>Holi</t>
        </is>
      </c>
      <c r="L1434" s="39" t="inlineStr">
        <is>
          <t>Maharashtra</t>
        </is>
      </c>
      <c r="M1434" s="9" t="inlineStr">
        <is>
          <t>PS</t>
        </is>
      </c>
      <c r="N1434" s="3" t="inlineStr">
        <is>
          <t>Cold Soldering</t>
        </is>
      </c>
      <c r="O1434" s="39" t="n">
        <v>575</v>
      </c>
      <c r="P1434" s="46" t="inlineStr">
        <is>
          <t>NSMI24070176366</t>
        </is>
      </c>
      <c r="Q1434" s="53">
        <f>MID(P1434,5,2)</f>
        <v/>
      </c>
      <c r="R1434" s="53">
        <f>MID(P1434,7,2)</f>
        <v/>
      </c>
      <c r="S1434" s="3" t="inlineStr">
        <is>
          <t>G2G</t>
        </is>
      </c>
      <c r="T1434" s="3" t="inlineStr">
        <is>
          <t>P4</t>
        </is>
      </c>
      <c r="U1434" s="19" t="inlineStr">
        <is>
          <t>P JB Cold Soldering</t>
        </is>
      </c>
      <c r="V1434" s="19" t="inlineStr">
        <is>
          <t>Soldering</t>
        </is>
      </c>
      <c r="W1434" s="3" t="inlineStr">
        <is>
          <t>Repair</t>
        </is>
      </c>
      <c r="X1434" s="18" t="n">
        <v>46160</v>
      </c>
      <c r="Y1434" s="3">
        <f>X1434-A1434</f>
        <v/>
      </c>
      <c r="Z1434" s="18" t="n">
        <v>46160</v>
      </c>
      <c r="AA1434" s="15" t="n"/>
      <c r="AB1434" s="15" t="n"/>
    </row>
    <row r="1435">
      <c r="A1435" s="37" t="n">
        <v>46143</v>
      </c>
      <c r="B1435" s="3" t="n">
        <v>2026</v>
      </c>
      <c r="C1435" s="26" t="inlineStr">
        <is>
          <t>Yanara Power</t>
        </is>
      </c>
      <c r="D1435" s="3" t="inlineStr">
        <is>
          <t>Utility and C&amp;I</t>
        </is>
      </c>
      <c r="E1435" s="3" t="n"/>
      <c r="F1435" s="3" t="inlineStr">
        <is>
          <t>Closed</t>
        </is>
      </c>
      <c r="G1435" s="9" t="inlineStr">
        <is>
          <t xml:space="preserve">Ashish Jindal </t>
        </is>
      </c>
      <c r="H1435" s="26" t="n">
        <v>9983975581</v>
      </c>
      <c r="I1435" s="38" t="inlineStr">
        <is>
          <t>PE01052601</t>
        </is>
      </c>
      <c r="J1435" s="26" t="inlineStr">
        <is>
          <t>Multiple Issues</t>
        </is>
      </c>
      <c r="K1435" s="39" t="inlineStr">
        <is>
          <t>Holi</t>
        </is>
      </c>
      <c r="L1435" s="39" t="inlineStr">
        <is>
          <t>Maharashtra</t>
        </is>
      </c>
      <c r="M1435" s="9" t="inlineStr">
        <is>
          <t>NS</t>
        </is>
      </c>
      <c r="N1435" s="3" t="inlineStr">
        <is>
          <t>Cold Soldering</t>
        </is>
      </c>
      <c r="O1435" s="39" t="n">
        <v>575</v>
      </c>
      <c r="P1435" s="46" t="inlineStr">
        <is>
          <t>NSMI24070202550</t>
        </is>
      </c>
      <c r="Q1435" s="53">
        <f>MID(P1435,5,2)</f>
        <v/>
      </c>
      <c r="R1435" s="53">
        <f>MID(P1435,7,2)</f>
        <v/>
      </c>
      <c r="S1435" s="3" t="inlineStr">
        <is>
          <t>G2G</t>
        </is>
      </c>
      <c r="T1435" s="3" t="inlineStr">
        <is>
          <t>P4</t>
        </is>
      </c>
      <c r="U1435" s="3" t="inlineStr">
        <is>
          <t>N JB Cold Soldering</t>
        </is>
      </c>
      <c r="V1435" s="3" t="inlineStr">
        <is>
          <t>Soldering</t>
        </is>
      </c>
      <c r="W1435" s="3" t="inlineStr">
        <is>
          <t>Repair</t>
        </is>
      </c>
      <c r="X1435" s="18" t="n">
        <v>46160</v>
      </c>
      <c r="Y1435" s="3">
        <f>X1435-A1435</f>
        <v/>
      </c>
      <c r="Z1435" s="18" t="n">
        <v>46160</v>
      </c>
      <c r="AA1435" s="15" t="n"/>
      <c r="AB1435" s="15" t="n"/>
    </row>
    <row r="1436">
      <c r="A1436" s="37" t="n">
        <v>46143</v>
      </c>
      <c r="B1436" s="3" t="n">
        <v>2026</v>
      </c>
      <c r="C1436" s="26" t="inlineStr">
        <is>
          <t>Yanara Power</t>
        </is>
      </c>
      <c r="D1436" s="3" t="inlineStr">
        <is>
          <t>Utility and C&amp;I</t>
        </is>
      </c>
      <c r="E1436" s="3" t="n"/>
      <c r="F1436" s="3" t="inlineStr">
        <is>
          <t>Closed</t>
        </is>
      </c>
      <c r="G1436" s="9" t="inlineStr">
        <is>
          <t xml:space="preserve">Ashish Jindal </t>
        </is>
      </c>
      <c r="H1436" s="26" t="n">
        <v>9983975581</v>
      </c>
      <c r="I1436" s="38" t="inlineStr">
        <is>
          <t>PE01052601</t>
        </is>
      </c>
      <c r="J1436" s="26" t="inlineStr">
        <is>
          <t>Multiple Issues</t>
        </is>
      </c>
      <c r="K1436" s="39" t="inlineStr">
        <is>
          <t>Holi</t>
        </is>
      </c>
      <c r="L1436" s="39" t="inlineStr">
        <is>
          <t>Maharashtra</t>
        </is>
      </c>
      <c r="M1436" s="9" t="inlineStr">
        <is>
          <t>PS</t>
        </is>
      </c>
      <c r="N1436" s="3" t="inlineStr">
        <is>
          <t>Cold Soldering</t>
        </is>
      </c>
      <c r="O1436" s="39" t="n">
        <v>575</v>
      </c>
      <c r="P1436" s="46" t="inlineStr">
        <is>
          <t>NSMI24070194150</t>
        </is>
      </c>
      <c r="Q1436" s="53">
        <f>MID(P1436,5,2)</f>
        <v/>
      </c>
      <c r="R1436" s="53">
        <f>MID(P1436,7,2)</f>
        <v/>
      </c>
      <c r="S1436" s="3" t="inlineStr">
        <is>
          <t>G2G</t>
        </is>
      </c>
      <c r="T1436" s="3" t="inlineStr">
        <is>
          <t>P4</t>
        </is>
      </c>
      <c r="U1436" s="19" t="inlineStr">
        <is>
          <t>P JB Cold Soldering</t>
        </is>
      </c>
      <c r="V1436" s="19" t="inlineStr">
        <is>
          <t>Soldering</t>
        </is>
      </c>
      <c r="W1436" s="3" t="inlineStr">
        <is>
          <t>Repair</t>
        </is>
      </c>
      <c r="X1436" s="18" t="n">
        <v>46160</v>
      </c>
      <c r="Y1436" s="3">
        <f>X1436-A1436</f>
        <v/>
      </c>
      <c r="Z1436" s="18" t="n">
        <v>46160</v>
      </c>
      <c r="AA1436" s="15" t="n"/>
      <c r="AB1436" s="15" t="n"/>
    </row>
    <row r="1437">
      <c r="A1437" s="37" t="n">
        <v>46143</v>
      </c>
      <c r="B1437" s="3" t="n">
        <v>2026</v>
      </c>
      <c r="C1437" s="26" t="inlineStr">
        <is>
          <t>Yanara Power</t>
        </is>
      </c>
      <c r="D1437" s="3" t="inlineStr">
        <is>
          <t>Utility and C&amp;I</t>
        </is>
      </c>
      <c r="E1437" s="3" t="n"/>
      <c r="F1437" s="3" t="inlineStr">
        <is>
          <t>Closed</t>
        </is>
      </c>
      <c r="G1437" s="9" t="inlineStr">
        <is>
          <t xml:space="preserve">Ashish Jindal </t>
        </is>
      </c>
      <c r="H1437" s="26" t="n">
        <v>9983975581</v>
      </c>
      <c r="I1437" s="38" t="inlineStr">
        <is>
          <t>PE01052601</t>
        </is>
      </c>
      <c r="J1437" s="26" t="inlineStr">
        <is>
          <t>Multiple Issues</t>
        </is>
      </c>
      <c r="K1437" s="39" t="inlineStr">
        <is>
          <t>Holi</t>
        </is>
      </c>
      <c r="L1437" s="39" t="inlineStr">
        <is>
          <t>Maharashtra</t>
        </is>
      </c>
      <c r="M1437" s="9" t="inlineStr">
        <is>
          <t>PS</t>
        </is>
      </c>
      <c r="N1437" s="3" t="inlineStr">
        <is>
          <t>Cold Soldering</t>
        </is>
      </c>
      <c r="O1437" s="39" t="n">
        <v>575</v>
      </c>
      <c r="P1437" s="46" t="inlineStr">
        <is>
          <t>NSMI24070195775</t>
        </is>
      </c>
      <c r="Q1437" s="53">
        <f>MID(P1437,5,2)</f>
        <v/>
      </c>
      <c r="R1437" s="53">
        <f>MID(P1437,7,2)</f>
        <v/>
      </c>
      <c r="S1437" s="3" t="inlineStr">
        <is>
          <t>G2G</t>
        </is>
      </c>
      <c r="T1437" s="3" t="inlineStr">
        <is>
          <t>P4</t>
        </is>
      </c>
      <c r="U1437" s="19" t="inlineStr">
        <is>
          <t>P JB Cold Soldering</t>
        </is>
      </c>
      <c r="V1437" s="19" t="inlineStr">
        <is>
          <t>Soldering</t>
        </is>
      </c>
      <c r="W1437" s="3" t="inlineStr">
        <is>
          <t>Repair</t>
        </is>
      </c>
      <c r="X1437" s="18" t="n">
        <v>46160</v>
      </c>
      <c r="Y1437" s="3">
        <f>X1437-A1437</f>
        <v/>
      </c>
      <c r="Z1437" s="18" t="n">
        <v>46160</v>
      </c>
      <c r="AA1437" s="15" t="n"/>
      <c r="AB1437" s="15" t="n"/>
    </row>
    <row r="1438">
      <c r="A1438" s="37" t="n">
        <v>46143</v>
      </c>
      <c r="B1438" s="3" t="n">
        <v>2026</v>
      </c>
      <c r="C1438" s="26" t="inlineStr">
        <is>
          <t>Yanara Power</t>
        </is>
      </c>
      <c r="D1438" s="3" t="inlineStr">
        <is>
          <t>Utility and C&amp;I</t>
        </is>
      </c>
      <c r="E1438" s="3" t="n"/>
      <c r="F1438" s="3" t="inlineStr">
        <is>
          <t>Closed</t>
        </is>
      </c>
      <c r="G1438" s="9" t="inlineStr">
        <is>
          <t xml:space="preserve">Ashish Jindal </t>
        </is>
      </c>
      <c r="H1438" s="26" t="n">
        <v>9983975581</v>
      </c>
      <c r="I1438" s="38" t="inlineStr">
        <is>
          <t>PE01052601</t>
        </is>
      </c>
      <c r="J1438" s="26" t="inlineStr">
        <is>
          <t>Multiple Issues</t>
        </is>
      </c>
      <c r="K1438" s="39" t="inlineStr">
        <is>
          <t>Holi</t>
        </is>
      </c>
      <c r="L1438" s="39" t="inlineStr">
        <is>
          <t>Maharashtra</t>
        </is>
      </c>
      <c r="M1438" s="9" t="inlineStr">
        <is>
          <t>PS</t>
        </is>
      </c>
      <c r="N1438" s="3" t="inlineStr">
        <is>
          <t>Cold Soldering</t>
        </is>
      </c>
      <c r="O1438" s="39" t="n">
        <v>575</v>
      </c>
      <c r="P1438" s="46" t="inlineStr">
        <is>
          <t>NSMI24070192903</t>
        </is>
      </c>
      <c r="Q1438" s="53">
        <f>MID(P1438,5,2)</f>
        <v/>
      </c>
      <c r="R1438" s="53">
        <f>MID(P1438,7,2)</f>
        <v/>
      </c>
      <c r="S1438" s="3" t="inlineStr">
        <is>
          <t>G2G</t>
        </is>
      </c>
      <c r="T1438" s="3" t="inlineStr">
        <is>
          <t>P4</t>
        </is>
      </c>
      <c r="U1438" s="19" t="inlineStr">
        <is>
          <t>P JB Cold Soldering</t>
        </is>
      </c>
      <c r="V1438" s="19" t="inlineStr">
        <is>
          <t>Soldering</t>
        </is>
      </c>
      <c r="W1438" s="3" t="inlineStr">
        <is>
          <t>Repair</t>
        </is>
      </c>
      <c r="X1438" s="18" t="n">
        <v>46160</v>
      </c>
      <c r="Y1438" s="3">
        <f>X1438-A1438</f>
        <v/>
      </c>
      <c r="Z1438" s="18" t="n">
        <v>46160</v>
      </c>
      <c r="AA1438" s="15" t="n"/>
      <c r="AB1438" s="15" t="n"/>
    </row>
    <row r="1439">
      <c r="A1439" s="37" t="n">
        <v>46143</v>
      </c>
      <c r="B1439" s="3" t="n">
        <v>2026</v>
      </c>
      <c r="C1439" s="26" t="inlineStr">
        <is>
          <t>Yanara Power</t>
        </is>
      </c>
      <c r="D1439" s="3" t="inlineStr">
        <is>
          <t>Utility and C&amp;I</t>
        </is>
      </c>
      <c r="E1439" s="3" t="n"/>
      <c r="F1439" s="3" t="inlineStr">
        <is>
          <t>Closed</t>
        </is>
      </c>
      <c r="G1439" s="9" t="inlineStr">
        <is>
          <t xml:space="preserve">Ashish Jindal </t>
        </is>
      </c>
      <c r="H1439" s="26" t="n">
        <v>9983975581</v>
      </c>
      <c r="I1439" s="38" t="inlineStr">
        <is>
          <t>PE01052601</t>
        </is>
      </c>
      <c r="J1439" s="26" t="inlineStr">
        <is>
          <t>Multiple Issues</t>
        </is>
      </c>
      <c r="K1439" s="39" t="inlineStr">
        <is>
          <t>Holi</t>
        </is>
      </c>
      <c r="L1439" s="39" t="inlineStr">
        <is>
          <t>Maharashtra</t>
        </is>
      </c>
      <c r="M1439" s="9" t="inlineStr">
        <is>
          <t>PNS</t>
        </is>
      </c>
      <c r="N1439" s="3" t="inlineStr">
        <is>
          <t>Cold Soldering</t>
        </is>
      </c>
      <c r="O1439" s="39" t="n">
        <v>575</v>
      </c>
      <c r="P1439" s="46" t="inlineStr">
        <is>
          <t>NSMI24070183637</t>
        </is>
      </c>
      <c r="Q1439" s="53">
        <f>MID(P1439,5,2)</f>
        <v/>
      </c>
      <c r="R1439" s="53">
        <f>MID(P1439,7,2)</f>
        <v/>
      </c>
      <c r="S1439" s="3" t="inlineStr">
        <is>
          <t>G2G</t>
        </is>
      </c>
      <c r="T1439" s="3" t="inlineStr">
        <is>
          <t>P4</t>
        </is>
      </c>
      <c r="U1439" s="3" t="inlineStr">
        <is>
          <t>P &amp; N JB Cold Soldering</t>
        </is>
      </c>
      <c r="V1439" s="3" t="inlineStr">
        <is>
          <t>Soldering</t>
        </is>
      </c>
      <c r="W1439" s="3" t="inlineStr">
        <is>
          <t>Repair</t>
        </is>
      </c>
      <c r="X1439" s="18" t="n">
        <v>46160</v>
      </c>
      <c r="Y1439" s="3">
        <f>X1439-A1439</f>
        <v/>
      </c>
      <c r="Z1439" s="18" t="n">
        <v>46160</v>
      </c>
      <c r="AA1439" s="15" t="n"/>
      <c r="AB1439" s="15" t="n"/>
    </row>
    <row r="1440">
      <c r="A1440" s="37" t="n">
        <v>46143</v>
      </c>
      <c r="B1440" s="3" t="n">
        <v>2026</v>
      </c>
      <c r="C1440" s="26" t="inlineStr">
        <is>
          <t>Yanara Power</t>
        </is>
      </c>
      <c r="D1440" s="3" t="inlineStr">
        <is>
          <t>Utility and C&amp;I</t>
        </is>
      </c>
      <c r="E1440" s="3" t="n"/>
      <c r="F1440" s="3" t="inlineStr">
        <is>
          <t>Closed</t>
        </is>
      </c>
      <c r="G1440" s="9" t="inlineStr">
        <is>
          <t xml:space="preserve">Ashish Jindal </t>
        </is>
      </c>
      <c r="H1440" s="26" t="n">
        <v>9983975581</v>
      </c>
      <c r="I1440" s="38" t="inlineStr">
        <is>
          <t>PE01052601</t>
        </is>
      </c>
      <c r="J1440" s="26" t="inlineStr">
        <is>
          <t>Multiple Issues</t>
        </is>
      </c>
      <c r="K1440" s="39" t="inlineStr">
        <is>
          <t>Holi</t>
        </is>
      </c>
      <c r="L1440" s="39" t="inlineStr">
        <is>
          <t>Maharashtra</t>
        </is>
      </c>
      <c r="M1440" s="9" t="inlineStr">
        <is>
          <t>PS</t>
        </is>
      </c>
      <c r="N1440" s="3" t="inlineStr">
        <is>
          <t>Cold Soldering</t>
        </is>
      </c>
      <c r="O1440" s="39" t="n">
        <v>575</v>
      </c>
      <c r="P1440" s="46" t="inlineStr">
        <is>
          <t>NSMI24070183583</t>
        </is>
      </c>
      <c r="Q1440" s="53">
        <f>MID(P1440,5,2)</f>
        <v/>
      </c>
      <c r="R1440" s="53">
        <f>MID(P1440,7,2)</f>
        <v/>
      </c>
      <c r="S1440" s="3" t="inlineStr">
        <is>
          <t>G2G</t>
        </is>
      </c>
      <c r="T1440" s="3" t="inlineStr">
        <is>
          <t>P4</t>
        </is>
      </c>
      <c r="U1440" s="19" t="inlineStr">
        <is>
          <t>P JB Cold Soldering</t>
        </is>
      </c>
      <c r="V1440" s="19" t="inlineStr">
        <is>
          <t>Soldering</t>
        </is>
      </c>
      <c r="W1440" s="3" t="inlineStr">
        <is>
          <t>Repair</t>
        </is>
      </c>
      <c r="X1440" s="18" t="n">
        <v>46160</v>
      </c>
      <c r="Y1440" s="3">
        <f>X1440-A1440</f>
        <v/>
      </c>
      <c r="Z1440" s="18" t="n">
        <v>46160</v>
      </c>
      <c r="AA1440" s="15" t="n"/>
      <c r="AB1440" s="15" t="n"/>
    </row>
    <row r="1441">
      <c r="A1441" s="37" t="n">
        <v>46143</v>
      </c>
      <c r="B1441" s="3" t="n">
        <v>2026</v>
      </c>
      <c r="C1441" s="26" t="inlineStr">
        <is>
          <t>Yanara Power</t>
        </is>
      </c>
      <c r="D1441" s="3" t="inlineStr">
        <is>
          <t>Utility and C&amp;I</t>
        </is>
      </c>
      <c r="E1441" s="3" t="n"/>
      <c r="F1441" s="3" t="inlineStr">
        <is>
          <t>Closed</t>
        </is>
      </c>
      <c r="G1441" s="9" t="inlineStr">
        <is>
          <t xml:space="preserve">Ashish Jindal </t>
        </is>
      </c>
      <c r="H1441" s="26" t="n">
        <v>9983975581</v>
      </c>
      <c r="I1441" s="38" t="inlineStr">
        <is>
          <t>PE01052601</t>
        </is>
      </c>
      <c r="J1441" s="26" t="inlineStr">
        <is>
          <t>Multiple Issues</t>
        </is>
      </c>
      <c r="K1441" s="39" t="inlineStr">
        <is>
          <t>Holi</t>
        </is>
      </c>
      <c r="L1441" s="39" t="inlineStr">
        <is>
          <t>Maharashtra</t>
        </is>
      </c>
      <c r="M1441" s="9" t="inlineStr">
        <is>
          <t>NS</t>
        </is>
      </c>
      <c r="N1441" s="3" t="inlineStr">
        <is>
          <t>Cold Soldering</t>
        </is>
      </c>
      <c r="O1441" s="39" t="n">
        <v>575</v>
      </c>
      <c r="P1441" s="46" t="inlineStr">
        <is>
          <t>NSMI24070181456</t>
        </is>
      </c>
      <c r="Q1441" s="53">
        <f>MID(P1441,5,2)</f>
        <v/>
      </c>
      <c r="R1441" s="53">
        <f>MID(P1441,7,2)</f>
        <v/>
      </c>
      <c r="S1441" s="3" t="inlineStr">
        <is>
          <t>G2G</t>
        </is>
      </c>
      <c r="T1441" s="3" t="inlineStr">
        <is>
          <t>P4</t>
        </is>
      </c>
      <c r="U1441" s="3" t="inlineStr">
        <is>
          <t>N JB Cold Soldering</t>
        </is>
      </c>
      <c r="V1441" s="3" t="inlineStr">
        <is>
          <t>Soldering</t>
        </is>
      </c>
      <c r="W1441" s="3" t="inlineStr">
        <is>
          <t>Repair</t>
        </is>
      </c>
      <c r="X1441" s="18" t="n">
        <v>46160</v>
      </c>
      <c r="Y1441" s="3">
        <f>X1441-A1441</f>
        <v/>
      </c>
      <c r="Z1441" s="18" t="n">
        <v>46160</v>
      </c>
      <c r="AA1441" s="15" t="n"/>
      <c r="AB1441" s="15" t="n"/>
    </row>
    <row r="1442">
      <c r="A1442" s="37" t="n">
        <v>46143</v>
      </c>
      <c r="B1442" s="3" t="n">
        <v>2026</v>
      </c>
      <c r="C1442" s="26" t="inlineStr">
        <is>
          <t>Yanara Power</t>
        </is>
      </c>
      <c r="D1442" s="3" t="inlineStr">
        <is>
          <t>Utility and C&amp;I</t>
        </is>
      </c>
      <c r="E1442" s="3" t="n"/>
      <c r="F1442" s="3" t="inlineStr">
        <is>
          <t>Closed</t>
        </is>
      </c>
      <c r="G1442" s="9" t="inlineStr">
        <is>
          <t xml:space="preserve">Ashish Jindal </t>
        </is>
      </c>
      <c r="H1442" s="26" t="n">
        <v>9983975581</v>
      </c>
      <c r="I1442" s="38" t="inlineStr">
        <is>
          <t>PE01052601</t>
        </is>
      </c>
      <c r="J1442" s="26" t="inlineStr">
        <is>
          <t>Multiple Issues</t>
        </is>
      </c>
      <c r="K1442" s="39" t="inlineStr">
        <is>
          <t>Holi</t>
        </is>
      </c>
      <c r="L1442" s="39" t="inlineStr">
        <is>
          <t>Maharashtra</t>
        </is>
      </c>
      <c r="M1442" s="9" t="inlineStr">
        <is>
          <t>PS</t>
        </is>
      </c>
      <c r="N1442" s="3" t="inlineStr">
        <is>
          <t>Cold Soldering</t>
        </is>
      </c>
      <c r="O1442" s="39" t="n">
        <v>575</v>
      </c>
      <c r="P1442" s="46" t="inlineStr">
        <is>
          <t>NSMI24070183067</t>
        </is>
      </c>
      <c r="Q1442" s="53">
        <f>MID(P1442,5,2)</f>
        <v/>
      </c>
      <c r="R1442" s="53">
        <f>MID(P1442,7,2)</f>
        <v/>
      </c>
      <c r="S1442" s="3" t="inlineStr">
        <is>
          <t>G2G</t>
        </is>
      </c>
      <c r="T1442" s="3" t="inlineStr">
        <is>
          <t>P4</t>
        </is>
      </c>
      <c r="U1442" s="19" t="inlineStr">
        <is>
          <t>P JB Cold Soldering</t>
        </is>
      </c>
      <c r="V1442" s="19" t="inlineStr">
        <is>
          <t>Soldering</t>
        </is>
      </c>
      <c r="W1442" s="3" t="inlineStr">
        <is>
          <t>Repair</t>
        </is>
      </c>
      <c r="X1442" s="18" t="n">
        <v>46160</v>
      </c>
      <c r="Y1442" s="3">
        <f>X1442-A1442</f>
        <v/>
      </c>
      <c r="Z1442" s="18" t="n">
        <v>46160</v>
      </c>
      <c r="AA1442" s="15" t="n"/>
      <c r="AB1442" s="15" t="n"/>
    </row>
    <row r="1443">
      <c r="A1443" s="37" t="n">
        <v>46143</v>
      </c>
      <c r="B1443" s="3" t="n">
        <v>2026</v>
      </c>
      <c r="C1443" s="26" t="inlineStr">
        <is>
          <t>Yanara Power</t>
        </is>
      </c>
      <c r="D1443" s="3" t="inlineStr">
        <is>
          <t>Utility and C&amp;I</t>
        </is>
      </c>
      <c r="E1443" s="3" t="n"/>
      <c r="F1443" s="3" t="inlineStr">
        <is>
          <t>Closed</t>
        </is>
      </c>
      <c r="G1443" s="9" t="inlineStr">
        <is>
          <t xml:space="preserve">Ashish Jindal </t>
        </is>
      </c>
      <c r="H1443" s="26" t="n">
        <v>9983975581</v>
      </c>
      <c r="I1443" s="38" t="inlineStr">
        <is>
          <t>PE01052601</t>
        </is>
      </c>
      <c r="J1443" s="26" t="inlineStr">
        <is>
          <t>Multiple Issues</t>
        </is>
      </c>
      <c r="K1443" s="39" t="inlineStr">
        <is>
          <t>Holi</t>
        </is>
      </c>
      <c r="L1443" s="39" t="inlineStr">
        <is>
          <t>Maharashtra</t>
        </is>
      </c>
      <c r="M1443" s="9" t="inlineStr">
        <is>
          <t>NS</t>
        </is>
      </c>
      <c r="N1443" s="3" t="inlineStr">
        <is>
          <t>Cold Soldering</t>
        </is>
      </c>
      <c r="O1443" s="39" t="n">
        <v>575</v>
      </c>
      <c r="P1443" s="46" t="inlineStr">
        <is>
          <t>NSMI24070181608</t>
        </is>
      </c>
      <c r="Q1443" s="53">
        <f>MID(P1443,5,2)</f>
        <v/>
      </c>
      <c r="R1443" s="53">
        <f>MID(P1443,7,2)</f>
        <v/>
      </c>
      <c r="S1443" s="3" t="inlineStr">
        <is>
          <t>G2G</t>
        </is>
      </c>
      <c r="T1443" s="3" t="inlineStr">
        <is>
          <t>P4</t>
        </is>
      </c>
      <c r="U1443" s="3" t="inlineStr">
        <is>
          <t>N JB Cold Soldering</t>
        </is>
      </c>
      <c r="V1443" s="3" t="inlineStr">
        <is>
          <t>Soldering</t>
        </is>
      </c>
      <c r="W1443" s="3" t="inlineStr">
        <is>
          <t>Repair</t>
        </is>
      </c>
      <c r="X1443" s="18" t="n">
        <v>46160</v>
      </c>
      <c r="Y1443" s="3">
        <f>X1443-A1443</f>
        <v/>
      </c>
      <c r="Z1443" s="18" t="n">
        <v>46160</v>
      </c>
      <c r="AA1443" s="15" t="n"/>
      <c r="AB1443" s="15" t="n"/>
    </row>
    <row r="1444">
      <c r="A1444" s="37" t="n">
        <v>46143</v>
      </c>
      <c r="B1444" s="3" t="n">
        <v>2026</v>
      </c>
      <c r="C1444" s="26" t="inlineStr">
        <is>
          <t>Yanara Power</t>
        </is>
      </c>
      <c r="D1444" s="3" t="inlineStr">
        <is>
          <t>Utility and C&amp;I</t>
        </is>
      </c>
      <c r="E1444" s="3" t="n"/>
      <c r="F1444" s="3" t="inlineStr">
        <is>
          <t>Closed</t>
        </is>
      </c>
      <c r="G1444" s="9" t="inlineStr">
        <is>
          <t xml:space="preserve">Ashish Jindal </t>
        </is>
      </c>
      <c r="H1444" s="26" t="n">
        <v>9983975581</v>
      </c>
      <c r="I1444" s="38" t="inlineStr">
        <is>
          <t>PE01052601</t>
        </is>
      </c>
      <c r="J1444" s="26" t="inlineStr">
        <is>
          <t>Multiple Issues</t>
        </is>
      </c>
      <c r="K1444" s="39" t="inlineStr">
        <is>
          <t>Holi</t>
        </is>
      </c>
      <c r="L1444" s="39" t="inlineStr">
        <is>
          <t>Maharashtra</t>
        </is>
      </c>
      <c r="M1444" s="9" t="inlineStr">
        <is>
          <t>PS</t>
        </is>
      </c>
      <c r="N1444" s="3" t="inlineStr">
        <is>
          <t>Cold Soldering</t>
        </is>
      </c>
      <c r="O1444" s="39" t="n">
        <v>575</v>
      </c>
      <c r="P1444" s="46" t="inlineStr">
        <is>
          <t>NSMI24070181554</t>
        </is>
      </c>
      <c r="Q1444" s="53">
        <f>MID(P1444,5,2)</f>
        <v/>
      </c>
      <c r="R1444" s="53">
        <f>MID(P1444,7,2)</f>
        <v/>
      </c>
      <c r="S1444" s="3" t="inlineStr">
        <is>
          <t>G2G</t>
        </is>
      </c>
      <c r="T1444" s="3" t="inlineStr">
        <is>
          <t>P4</t>
        </is>
      </c>
      <c r="U1444" s="19" t="inlineStr">
        <is>
          <t>P JB Cold Soldering</t>
        </is>
      </c>
      <c r="V1444" s="19" t="inlineStr">
        <is>
          <t>Soldering</t>
        </is>
      </c>
      <c r="W1444" s="3" t="inlineStr">
        <is>
          <t>Repair</t>
        </is>
      </c>
      <c r="X1444" s="18" t="n">
        <v>46160</v>
      </c>
      <c r="Y1444" s="3">
        <f>X1444-A1444</f>
        <v/>
      </c>
      <c r="Z1444" s="18" t="n">
        <v>46160</v>
      </c>
      <c r="AA1444" s="15" t="n"/>
      <c r="AB1444" s="15" t="n"/>
    </row>
    <row r="1445">
      <c r="A1445" s="37" t="n">
        <v>46143</v>
      </c>
      <c r="B1445" s="3" t="n">
        <v>2026</v>
      </c>
      <c r="C1445" s="26" t="inlineStr">
        <is>
          <t>Yanara Power</t>
        </is>
      </c>
      <c r="D1445" s="3" t="inlineStr">
        <is>
          <t>Utility and C&amp;I</t>
        </is>
      </c>
      <c r="E1445" s="3" t="n"/>
      <c r="F1445" s="3" t="inlineStr">
        <is>
          <t>Closed</t>
        </is>
      </c>
      <c r="G1445" s="9" t="inlineStr">
        <is>
          <t xml:space="preserve">Ashish Jindal </t>
        </is>
      </c>
      <c r="H1445" s="26" t="n">
        <v>9983975581</v>
      </c>
      <c r="I1445" s="38" t="inlineStr">
        <is>
          <t>PE01052601</t>
        </is>
      </c>
      <c r="J1445" s="26" t="inlineStr">
        <is>
          <t>Multiple Issues</t>
        </is>
      </c>
      <c r="K1445" s="39" t="inlineStr">
        <is>
          <t>Holi</t>
        </is>
      </c>
      <c r="L1445" s="39" t="inlineStr">
        <is>
          <t>Maharashtra</t>
        </is>
      </c>
      <c r="M1445" s="9" t="inlineStr">
        <is>
          <t>PS</t>
        </is>
      </c>
      <c r="N1445" s="3" t="inlineStr">
        <is>
          <t>Cold Soldering</t>
        </is>
      </c>
      <c r="O1445" s="39" t="n">
        <v>575</v>
      </c>
      <c r="P1445" s="46" t="inlineStr">
        <is>
          <t>NSMI24070216130</t>
        </is>
      </c>
      <c r="Q1445" s="53">
        <f>MID(P1445,5,2)</f>
        <v/>
      </c>
      <c r="R1445" s="53">
        <f>MID(P1445,7,2)</f>
        <v/>
      </c>
      <c r="S1445" s="3" t="inlineStr">
        <is>
          <t>G2G</t>
        </is>
      </c>
      <c r="T1445" s="3" t="inlineStr">
        <is>
          <t>P4</t>
        </is>
      </c>
      <c r="U1445" s="19" t="inlineStr">
        <is>
          <t>P JB Cold Soldering</t>
        </is>
      </c>
      <c r="V1445" s="19" t="inlineStr">
        <is>
          <t>Soldering</t>
        </is>
      </c>
      <c r="W1445" s="3" t="inlineStr">
        <is>
          <t>Repair</t>
        </is>
      </c>
      <c r="X1445" s="18" t="n">
        <v>46160</v>
      </c>
      <c r="Y1445" s="3">
        <f>X1445-A1445</f>
        <v/>
      </c>
      <c r="Z1445" s="18" t="n">
        <v>46160</v>
      </c>
      <c r="AA1445" s="15" t="n"/>
      <c r="AB1445" s="15" t="n"/>
    </row>
    <row r="1446">
      <c r="A1446" s="37" t="n">
        <v>46143</v>
      </c>
      <c r="B1446" s="3" t="n">
        <v>2026</v>
      </c>
      <c r="C1446" s="26" t="inlineStr">
        <is>
          <t>Yanara Power</t>
        </is>
      </c>
      <c r="D1446" s="3" t="inlineStr">
        <is>
          <t>Utility and C&amp;I</t>
        </is>
      </c>
      <c r="E1446" s="3" t="n"/>
      <c r="F1446" s="3" t="inlineStr">
        <is>
          <t>Closed</t>
        </is>
      </c>
      <c r="G1446" s="9" t="inlineStr">
        <is>
          <t xml:space="preserve">Ashish Jindal </t>
        </is>
      </c>
      <c r="H1446" s="26" t="n">
        <v>9983975581</v>
      </c>
      <c r="I1446" s="38" t="inlineStr">
        <is>
          <t>PE01052601</t>
        </is>
      </c>
      <c r="J1446" s="26" t="inlineStr">
        <is>
          <t>Multiple Issues</t>
        </is>
      </c>
      <c r="K1446" s="39" t="inlineStr">
        <is>
          <t>Holi</t>
        </is>
      </c>
      <c r="L1446" s="39" t="inlineStr">
        <is>
          <t>Maharashtra</t>
        </is>
      </c>
      <c r="M1446" s="9" t="inlineStr">
        <is>
          <t>PNS</t>
        </is>
      </c>
      <c r="N1446" s="3" t="inlineStr">
        <is>
          <t>Cold Soldering</t>
        </is>
      </c>
      <c r="O1446" s="39" t="n">
        <v>575</v>
      </c>
      <c r="P1446" s="46" t="inlineStr">
        <is>
          <t>NSMI24070204753</t>
        </is>
      </c>
      <c r="Q1446" s="53">
        <f>MID(P1446,5,2)</f>
        <v/>
      </c>
      <c r="R1446" s="53">
        <f>MID(P1446,7,2)</f>
        <v/>
      </c>
      <c r="S1446" s="3" t="inlineStr">
        <is>
          <t>G2G</t>
        </is>
      </c>
      <c r="T1446" s="3" t="inlineStr">
        <is>
          <t>P4</t>
        </is>
      </c>
      <c r="U1446" s="3" t="inlineStr">
        <is>
          <t>P &amp; N JB Cold Soldering</t>
        </is>
      </c>
      <c r="V1446" s="3" t="inlineStr">
        <is>
          <t>Soldering</t>
        </is>
      </c>
      <c r="W1446" s="3" t="inlineStr">
        <is>
          <t>Repair</t>
        </is>
      </c>
      <c r="X1446" s="18" t="n">
        <v>46160</v>
      </c>
      <c r="Y1446" s="3">
        <f>X1446-A1446</f>
        <v/>
      </c>
      <c r="Z1446" s="18" t="n">
        <v>46160</v>
      </c>
      <c r="AA1446" s="15" t="n"/>
      <c r="AB1446" s="15" t="n"/>
    </row>
    <row r="1447">
      <c r="A1447" s="37" t="n">
        <v>46143</v>
      </c>
      <c r="B1447" s="3" t="n">
        <v>2026</v>
      </c>
      <c r="C1447" s="26" t="inlineStr">
        <is>
          <t>Yanara Power</t>
        </is>
      </c>
      <c r="D1447" s="3" t="inlineStr">
        <is>
          <t>Utility and C&amp;I</t>
        </is>
      </c>
      <c r="E1447" s="3" t="n"/>
      <c r="F1447" s="3" t="inlineStr">
        <is>
          <t>Closed</t>
        </is>
      </c>
      <c r="G1447" s="9" t="inlineStr">
        <is>
          <t xml:space="preserve">Ashish Jindal </t>
        </is>
      </c>
      <c r="H1447" s="26" t="n">
        <v>9983975581</v>
      </c>
      <c r="I1447" s="38" t="inlineStr">
        <is>
          <t>PE01052601</t>
        </is>
      </c>
      <c r="J1447" s="26" t="inlineStr">
        <is>
          <t>Multiple Issues</t>
        </is>
      </c>
      <c r="K1447" s="39" t="inlineStr">
        <is>
          <t>Holi</t>
        </is>
      </c>
      <c r="L1447" s="39" t="inlineStr">
        <is>
          <t>Maharashtra</t>
        </is>
      </c>
      <c r="M1447" s="9" t="inlineStr">
        <is>
          <t>PS</t>
        </is>
      </c>
      <c r="N1447" s="3" t="inlineStr">
        <is>
          <t>Cold Soldering</t>
        </is>
      </c>
      <c r="O1447" s="39" t="n">
        <v>575</v>
      </c>
      <c r="P1447" s="46" t="inlineStr">
        <is>
          <t>NSMI24070182218</t>
        </is>
      </c>
      <c r="Q1447" s="53">
        <f>MID(P1447,5,2)</f>
        <v/>
      </c>
      <c r="R1447" s="53">
        <f>MID(P1447,7,2)</f>
        <v/>
      </c>
      <c r="S1447" s="3" t="inlineStr">
        <is>
          <t>G2G</t>
        </is>
      </c>
      <c r="T1447" s="3" t="inlineStr">
        <is>
          <t>P4</t>
        </is>
      </c>
      <c r="U1447" s="19" t="inlineStr">
        <is>
          <t>P JB Cold Soldering</t>
        </is>
      </c>
      <c r="V1447" s="19" t="inlineStr">
        <is>
          <t>Soldering</t>
        </is>
      </c>
      <c r="W1447" s="3" t="inlineStr">
        <is>
          <t>Repair</t>
        </is>
      </c>
      <c r="X1447" s="18" t="n">
        <v>46160</v>
      </c>
      <c r="Y1447" s="3">
        <f>X1447-A1447</f>
        <v/>
      </c>
      <c r="Z1447" s="18" t="n">
        <v>46160</v>
      </c>
      <c r="AA1447" s="15" t="n"/>
      <c r="AB1447" s="15" t="n"/>
    </row>
    <row r="1448">
      <c r="A1448" s="37" t="n">
        <v>46143</v>
      </c>
      <c r="B1448" s="3" t="n">
        <v>2026</v>
      </c>
      <c r="C1448" s="26" t="inlineStr">
        <is>
          <t>Yanara Power</t>
        </is>
      </c>
      <c r="D1448" s="3" t="inlineStr">
        <is>
          <t>Utility and C&amp;I</t>
        </is>
      </c>
      <c r="E1448" s="3" t="n"/>
      <c r="F1448" s="3" t="inlineStr">
        <is>
          <t>Closed</t>
        </is>
      </c>
      <c r="G1448" s="9" t="inlineStr">
        <is>
          <t xml:space="preserve">Ashish Jindal </t>
        </is>
      </c>
      <c r="H1448" s="26" t="n">
        <v>9983975581</v>
      </c>
      <c r="I1448" s="38" t="inlineStr">
        <is>
          <t>PE01052601</t>
        </is>
      </c>
      <c r="J1448" s="26" t="inlineStr">
        <is>
          <t>Multiple Issues</t>
        </is>
      </c>
      <c r="K1448" s="39" t="inlineStr">
        <is>
          <t>Holi</t>
        </is>
      </c>
      <c r="L1448" s="39" t="inlineStr">
        <is>
          <t>Maharashtra</t>
        </is>
      </c>
      <c r="M1448" s="9" t="inlineStr">
        <is>
          <t>NS</t>
        </is>
      </c>
      <c r="N1448" s="3" t="inlineStr">
        <is>
          <t>Cold Soldering</t>
        </is>
      </c>
      <c r="O1448" s="39" t="n">
        <v>575</v>
      </c>
      <c r="P1448" s="46" t="inlineStr">
        <is>
          <t>NSMI24070182150</t>
        </is>
      </c>
      <c r="Q1448" s="53">
        <f>MID(P1448,5,2)</f>
        <v/>
      </c>
      <c r="R1448" s="53">
        <f>MID(P1448,7,2)</f>
        <v/>
      </c>
      <c r="S1448" s="3" t="inlineStr">
        <is>
          <t>G2G</t>
        </is>
      </c>
      <c r="T1448" s="3" t="inlineStr">
        <is>
          <t>P4</t>
        </is>
      </c>
      <c r="U1448" s="3" t="inlineStr">
        <is>
          <t>N JB Cold Soldering</t>
        </is>
      </c>
      <c r="V1448" s="3" t="inlineStr">
        <is>
          <t>Soldering</t>
        </is>
      </c>
      <c r="W1448" s="3" t="inlineStr">
        <is>
          <t>Repair</t>
        </is>
      </c>
      <c r="X1448" s="18" t="n">
        <v>46160</v>
      </c>
      <c r="Y1448" s="3">
        <f>X1448-A1448</f>
        <v/>
      </c>
      <c r="Z1448" s="18" t="n">
        <v>46160</v>
      </c>
      <c r="AA1448" s="15" t="n"/>
      <c r="AB1448" s="15" t="n"/>
    </row>
    <row r="1449">
      <c r="A1449" s="37" t="n">
        <v>46143</v>
      </c>
      <c r="B1449" s="3" t="n">
        <v>2026</v>
      </c>
      <c r="C1449" s="26" t="inlineStr">
        <is>
          <t>Yanara Power</t>
        </is>
      </c>
      <c r="D1449" s="3" t="inlineStr">
        <is>
          <t>Utility and C&amp;I</t>
        </is>
      </c>
      <c r="E1449" s="3" t="n"/>
      <c r="F1449" s="3" t="inlineStr">
        <is>
          <t>Closed</t>
        </is>
      </c>
      <c r="G1449" s="9" t="inlineStr">
        <is>
          <t xml:space="preserve">Ashish Jindal </t>
        </is>
      </c>
      <c r="H1449" s="26" t="n">
        <v>9983975581</v>
      </c>
      <c r="I1449" s="38" t="inlineStr">
        <is>
          <t>PE01052601</t>
        </is>
      </c>
      <c r="J1449" s="26" t="inlineStr">
        <is>
          <t>Multiple Issues</t>
        </is>
      </c>
      <c r="K1449" s="39" t="inlineStr">
        <is>
          <t>Holi</t>
        </is>
      </c>
      <c r="L1449" s="39" t="inlineStr">
        <is>
          <t>Maharashtra</t>
        </is>
      </c>
      <c r="M1449" s="9" t="inlineStr">
        <is>
          <t>PNS</t>
        </is>
      </c>
      <c r="N1449" s="3" t="inlineStr">
        <is>
          <t>Cold Soldering</t>
        </is>
      </c>
      <c r="O1449" s="39" t="n">
        <v>575</v>
      </c>
      <c r="P1449" s="46" t="inlineStr">
        <is>
          <t>NSMI24070176366</t>
        </is>
      </c>
      <c r="Q1449" s="53">
        <f>MID(P1449,5,2)</f>
        <v/>
      </c>
      <c r="R1449" s="53">
        <f>MID(P1449,7,2)</f>
        <v/>
      </c>
      <c r="S1449" s="3" t="inlineStr">
        <is>
          <t>G2G</t>
        </is>
      </c>
      <c r="T1449" s="3" t="inlineStr">
        <is>
          <t>P4</t>
        </is>
      </c>
      <c r="U1449" s="3" t="inlineStr">
        <is>
          <t>P &amp; N JB Cold Soldering</t>
        </is>
      </c>
      <c r="V1449" s="3" t="inlineStr">
        <is>
          <t>Soldering</t>
        </is>
      </c>
      <c r="W1449" s="3" t="inlineStr">
        <is>
          <t>Repair</t>
        </is>
      </c>
      <c r="X1449" s="18" t="n">
        <v>46160</v>
      </c>
      <c r="Y1449" s="3">
        <f>X1449-A1449</f>
        <v/>
      </c>
      <c r="Z1449" s="18" t="n">
        <v>46160</v>
      </c>
      <c r="AA1449" s="15" t="n"/>
      <c r="AB1449" s="15" t="n"/>
    </row>
    <row r="1450">
      <c r="A1450" s="37" t="n">
        <v>46143</v>
      </c>
      <c r="B1450" s="3" t="n">
        <v>2026</v>
      </c>
      <c r="C1450" s="26" t="inlineStr">
        <is>
          <t>Yanara Power</t>
        </is>
      </c>
      <c r="D1450" s="3" t="inlineStr">
        <is>
          <t>Utility and C&amp;I</t>
        </is>
      </c>
      <c r="E1450" s="3" t="n"/>
      <c r="F1450" s="3" t="inlineStr">
        <is>
          <t>Closed</t>
        </is>
      </c>
      <c r="G1450" s="9" t="inlineStr">
        <is>
          <t xml:space="preserve">Ashish Jindal </t>
        </is>
      </c>
      <c r="H1450" s="26" t="n">
        <v>9983975581</v>
      </c>
      <c r="I1450" s="38" t="inlineStr">
        <is>
          <t>PE01052601</t>
        </is>
      </c>
      <c r="J1450" s="26" t="inlineStr">
        <is>
          <t>Multiple Issues</t>
        </is>
      </c>
      <c r="K1450" s="39" t="inlineStr">
        <is>
          <t>Holi</t>
        </is>
      </c>
      <c r="L1450" s="39" t="inlineStr">
        <is>
          <t>Maharashtra</t>
        </is>
      </c>
      <c r="M1450" s="9" t="inlineStr">
        <is>
          <t>PS</t>
        </is>
      </c>
      <c r="N1450" s="3" t="inlineStr">
        <is>
          <t>Cold Soldering</t>
        </is>
      </c>
      <c r="O1450" s="39" t="n">
        <v>575</v>
      </c>
      <c r="P1450" s="46" t="inlineStr">
        <is>
          <t>NSMI24070175336</t>
        </is>
      </c>
      <c r="Q1450" s="53">
        <f>MID(P1450,5,2)</f>
        <v/>
      </c>
      <c r="R1450" s="53">
        <f>MID(P1450,7,2)</f>
        <v/>
      </c>
      <c r="S1450" s="3" t="inlineStr">
        <is>
          <t>G2G</t>
        </is>
      </c>
      <c r="T1450" s="3" t="inlineStr">
        <is>
          <t>P4</t>
        </is>
      </c>
      <c r="U1450" s="19" t="inlineStr">
        <is>
          <t>P JB Cold Soldering</t>
        </is>
      </c>
      <c r="V1450" s="19" t="inlineStr">
        <is>
          <t>Soldering</t>
        </is>
      </c>
      <c r="W1450" s="3" t="inlineStr">
        <is>
          <t>Repair</t>
        </is>
      </c>
      <c r="X1450" s="18" t="n">
        <v>46160</v>
      </c>
      <c r="Y1450" s="3">
        <f>X1450-A1450</f>
        <v/>
      </c>
      <c r="Z1450" s="18" t="n">
        <v>46160</v>
      </c>
      <c r="AA1450" s="15" t="n"/>
      <c r="AB1450" s="15" t="n"/>
    </row>
    <row r="1451">
      <c r="A1451" s="37" t="n">
        <v>46143</v>
      </c>
      <c r="B1451" s="3" t="n">
        <v>2026</v>
      </c>
      <c r="C1451" s="26" t="inlineStr">
        <is>
          <t>Yanara Power</t>
        </is>
      </c>
      <c r="D1451" s="3" t="inlineStr">
        <is>
          <t>Utility and C&amp;I</t>
        </is>
      </c>
      <c r="E1451" s="3" t="n"/>
      <c r="F1451" s="3" t="inlineStr">
        <is>
          <t>Closed</t>
        </is>
      </c>
      <c r="G1451" s="9" t="inlineStr">
        <is>
          <t xml:space="preserve">Ashish Jindal </t>
        </is>
      </c>
      <c r="H1451" s="26" t="n">
        <v>9983975581</v>
      </c>
      <c r="I1451" s="38" t="inlineStr">
        <is>
          <t>PE01052601</t>
        </is>
      </c>
      <c r="J1451" s="26" t="inlineStr">
        <is>
          <t>Multiple Issues</t>
        </is>
      </c>
      <c r="K1451" s="39" t="inlineStr">
        <is>
          <t>Holi</t>
        </is>
      </c>
      <c r="L1451" s="39" t="inlineStr">
        <is>
          <t>Maharashtra</t>
        </is>
      </c>
      <c r="M1451" s="9" t="inlineStr">
        <is>
          <t>PS</t>
        </is>
      </c>
      <c r="N1451" s="3" t="inlineStr">
        <is>
          <t>Cold Soldering</t>
        </is>
      </c>
      <c r="O1451" s="39" t="n">
        <v>575</v>
      </c>
      <c r="P1451" s="46" t="inlineStr">
        <is>
          <t>NSMI24070203099</t>
        </is>
      </c>
      <c r="Q1451" s="53">
        <f>MID(P1451,5,2)</f>
        <v/>
      </c>
      <c r="R1451" s="53">
        <f>MID(P1451,7,2)</f>
        <v/>
      </c>
      <c r="S1451" s="3" t="inlineStr">
        <is>
          <t>G2G</t>
        </is>
      </c>
      <c r="T1451" s="3" t="inlineStr">
        <is>
          <t>P4</t>
        </is>
      </c>
      <c r="U1451" s="19" t="inlineStr">
        <is>
          <t>P JB Cold Soldering</t>
        </is>
      </c>
      <c r="V1451" s="19" t="inlineStr">
        <is>
          <t>Soldering</t>
        </is>
      </c>
      <c r="W1451" s="3" t="inlineStr">
        <is>
          <t>Repair</t>
        </is>
      </c>
      <c r="X1451" s="18" t="n">
        <v>46160</v>
      </c>
      <c r="Y1451" s="3">
        <f>X1451-A1451</f>
        <v/>
      </c>
      <c r="Z1451" s="18" t="n">
        <v>46160</v>
      </c>
      <c r="AA1451" s="15" t="n"/>
      <c r="AB1451" s="15" t="n"/>
    </row>
    <row r="1452">
      <c r="A1452" s="37" t="n">
        <v>46143</v>
      </c>
      <c r="B1452" s="3" t="n">
        <v>2026</v>
      </c>
      <c r="C1452" s="26" t="inlineStr">
        <is>
          <t>Yanara Power</t>
        </is>
      </c>
      <c r="D1452" s="3" t="inlineStr">
        <is>
          <t>Utility and C&amp;I</t>
        </is>
      </c>
      <c r="E1452" s="3" t="n"/>
      <c r="F1452" s="3" t="inlineStr">
        <is>
          <t>Closed</t>
        </is>
      </c>
      <c r="G1452" s="9" t="inlineStr">
        <is>
          <t xml:space="preserve">Ashish Jindal </t>
        </is>
      </c>
      <c r="H1452" s="26" t="n">
        <v>9983975581</v>
      </c>
      <c r="I1452" s="38" t="inlineStr">
        <is>
          <t>PE01052601</t>
        </is>
      </c>
      <c r="J1452" s="26" t="inlineStr">
        <is>
          <t>Multiple Issues</t>
        </is>
      </c>
      <c r="K1452" s="39" t="inlineStr">
        <is>
          <t>Holi</t>
        </is>
      </c>
      <c r="L1452" s="39" t="inlineStr">
        <is>
          <t>Maharashtra</t>
        </is>
      </c>
      <c r="M1452" s="9" t="inlineStr">
        <is>
          <t>PS</t>
        </is>
      </c>
      <c r="N1452" s="3" t="inlineStr">
        <is>
          <t>Cold Soldering</t>
        </is>
      </c>
      <c r="O1452" s="39" t="n">
        <v>575</v>
      </c>
      <c r="P1452" s="46" t="inlineStr">
        <is>
          <t>NSMI24070220111</t>
        </is>
      </c>
      <c r="Q1452" s="53">
        <f>MID(P1452,5,2)</f>
        <v/>
      </c>
      <c r="R1452" s="53">
        <f>MID(P1452,7,2)</f>
        <v/>
      </c>
      <c r="S1452" s="3" t="inlineStr">
        <is>
          <t>G2G</t>
        </is>
      </c>
      <c r="T1452" s="3" t="inlineStr">
        <is>
          <t>P4</t>
        </is>
      </c>
      <c r="U1452" s="19" t="inlineStr">
        <is>
          <t>P JB Cold Soldering</t>
        </is>
      </c>
      <c r="V1452" s="19" t="inlineStr">
        <is>
          <t>Soldering</t>
        </is>
      </c>
      <c r="W1452" s="3" t="inlineStr">
        <is>
          <t>Repair</t>
        </is>
      </c>
      <c r="X1452" s="18" t="n">
        <v>46160</v>
      </c>
      <c r="Y1452" s="3">
        <f>X1452-A1452</f>
        <v/>
      </c>
      <c r="Z1452" s="18" t="n">
        <v>46160</v>
      </c>
      <c r="AA1452" s="15" t="n"/>
      <c r="AB1452" s="15" t="n"/>
    </row>
    <row r="1453">
      <c r="A1453" s="37" t="n">
        <v>46143</v>
      </c>
      <c r="B1453" s="3" t="n">
        <v>2026</v>
      </c>
      <c r="C1453" s="26" t="inlineStr">
        <is>
          <t>Yanara Power</t>
        </is>
      </c>
      <c r="D1453" s="3" t="inlineStr">
        <is>
          <t>Utility and C&amp;I</t>
        </is>
      </c>
      <c r="E1453" s="3" t="n"/>
      <c r="F1453" s="3" t="inlineStr">
        <is>
          <t>Closed</t>
        </is>
      </c>
      <c r="G1453" s="9" t="inlineStr">
        <is>
          <t xml:space="preserve">Ashish Jindal </t>
        </is>
      </c>
      <c r="H1453" s="26" t="n">
        <v>9983975581</v>
      </c>
      <c r="I1453" s="38" t="inlineStr">
        <is>
          <t>PE01052601</t>
        </is>
      </c>
      <c r="J1453" s="26" t="inlineStr">
        <is>
          <t>Multiple Issues</t>
        </is>
      </c>
      <c r="K1453" s="39" t="inlineStr">
        <is>
          <t>Holi</t>
        </is>
      </c>
      <c r="L1453" s="39" t="inlineStr">
        <is>
          <t>Maharashtra</t>
        </is>
      </c>
      <c r="M1453" s="9" t="inlineStr">
        <is>
          <t>NS</t>
        </is>
      </c>
      <c r="N1453" s="3" t="inlineStr">
        <is>
          <t>Cold Soldering</t>
        </is>
      </c>
      <c r="O1453" s="39" t="n">
        <v>575</v>
      </c>
      <c r="P1453" s="46" t="inlineStr">
        <is>
          <t>NSMI24070193841</t>
        </is>
      </c>
      <c r="Q1453" s="53">
        <f>MID(P1453,5,2)</f>
        <v/>
      </c>
      <c r="R1453" s="53">
        <f>MID(P1453,7,2)</f>
        <v/>
      </c>
      <c r="S1453" s="3" t="inlineStr">
        <is>
          <t>G2G</t>
        </is>
      </c>
      <c r="T1453" s="3" t="inlineStr">
        <is>
          <t>P4</t>
        </is>
      </c>
      <c r="U1453" s="3" t="inlineStr">
        <is>
          <t>N JB Cold Soldering</t>
        </is>
      </c>
      <c r="V1453" s="3" t="inlineStr">
        <is>
          <t>Soldering</t>
        </is>
      </c>
      <c r="W1453" s="3" t="inlineStr">
        <is>
          <t>Repair</t>
        </is>
      </c>
      <c r="X1453" s="18" t="n">
        <v>46160</v>
      </c>
      <c r="Y1453" s="3">
        <f>X1453-A1453</f>
        <v/>
      </c>
      <c r="Z1453" s="18" t="n">
        <v>46160</v>
      </c>
      <c r="AA1453" s="15" t="n"/>
      <c r="AB1453" s="15" t="n"/>
    </row>
    <row r="1454">
      <c r="A1454" s="37" t="n">
        <v>46143</v>
      </c>
      <c r="B1454" s="3" t="n">
        <v>2026</v>
      </c>
      <c r="C1454" s="26" t="inlineStr">
        <is>
          <t>Yanara Power</t>
        </is>
      </c>
      <c r="D1454" s="3" t="inlineStr">
        <is>
          <t>Utility and C&amp;I</t>
        </is>
      </c>
      <c r="E1454" s="3" t="n"/>
      <c r="F1454" s="3" t="inlineStr">
        <is>
          <t>Closed</t>
        </is>
      </c>
      <c r="G1454" s="9" t="inlineStr">
        <is>
          <t xml:space="preserve">Ashish Jindal </t>
        </is>
      </c>
      <c r="H1454" s="26" t="n">
        <v>9983975581</v>
      </c>
      <c r="I1454" s="38" t="inlineStr">
        <is>
          <t>PE01052601</t>
        </is>
      </c>
      <c r="J1454" s="26" t="inlineStr">
        <is>
          <t>Multiple Issues</t>
        </is>
      </c>
      <c r="K1454" s="39" t="inlineStr">
        <is>
          <t>Holi</t>
        </is>
      </c>
      <c r="L1454" s="39" t="inlineStr">
        <is>
          <t>Maharashtra</t>
        </is>
      </c>
      <c r="M1454" s="9" t="inlineStr">
        <is>
          <t>PNS</t>
        </is>
      </c>
      <c r="N1454" s="3" t="inlineStr">
        <is>
          <t>Cold Soldering</t>
        </is>
      </c>
      <c r="O1454" s="39" t="n">
        <v>575</v>
      </c>
      <c r="P1454" s="46" t="inlineStr">
        <is>
          <t>NSMI24070195926</t>
        </is>
      </c>
      <c r="Q1454" s="53">
        <f>MID(P1454,5,2)</f>
        <v/>
      </c>
      <c r="R1454" s="53">
        <f>MID(P1454,7,2)</f>
        <v/>
      </c>
      <c r="S1454" s="3" t="inlineStr">
        <is>
          <t>G2G</t>
        </is>
      </c>
      <c r="T1454" s="3" t="inlineStr">
        <is>
          <t>P4</t>
        </is>
      </c>
      <c r="U1454" s="3" t="inlineStr">
        <is>
          <t>P &amp; N JB Cold Soldering</t>
        </is>
      </c>
      <c r="V1454" s="3" t="inlineStr">
        <is>
          <t>Soldering</t>
        </is>
      </c>
      <c r="W1454" s="3" t="inlineStr">
        <is>
          <t>Repair</t>
        </is>
      </c>
      <c r="X1454" s="18" t="n">
        <v>46160</v>
      </c>
      <c r="Y1454" s="3">
        <f>X1454-A1454</f>
        <v/>
      </c>
      <c r="Z1454" s="18" t="n">
        <v>46160</v>
      </c>
      <c r="AA1454" s="15" t="n"/>
      <c r="AB1454" s="15" t="n"/>
    </row>
    <row r="1455">
      <c r="A1455" s="37" t="n">
        <v>46143</v>
      </c>
      <c r="B1455" s="3" t="n">
        <v>2026</v>
      </c>
      <c r="C1455" s="26" t="inlineStr">
        <is>
          <t>Yanara Power</t>
        </is>
      </c>
      <c r="D1455" s="3" t="inlineStr">
        <is>
          <t>Utility and C&amp;I</t>
        </is>
      </c>
      <c r="E1455" s="3" t="n"/>
      <c r="F1455" s="3" t="inlineStr">
        <is>
          <t>Closed</t>
        </is>
      </c>
      <c r="G1455" s="9" t="inlineStr">
        <is>
          <t xml:space="preserve">Ashish Jindal </t>
        </is>
      </c>
      <c r="H1455" s="26" t="n">
        <v>9983975581</v>
      </c>
      <c r="I1455" s="38" t="inlineStr">
        <is>
          <t>PE01052601</t>
        </is>
      </c>
      <c r="J1455" s="26" t="inlineStr">
        <is>
          <t>Multiple Issues</t>
        </is>
      </c>
      <c r="K1455" s="39" t="inlineStr">
        <is>
          <t>Holi</t>
        </is>
      </c>
      <c r="L1455" s="39" t="inlineStr">
        <is>
          <t>Maharashtra</t>
        </is>
      </c>
      <c r="M1455" s="9" t="inlineStr">
        <is>
          <t>PS</t>
        </is>
      </c>
      <c r="N1455" s="3" t="inlineStr">
        <is>
          <t>Cold Soldering</t>
        </is>
      </c>
      <c r="O1455" s="39" t="n">
        <v>575</v>
      </c>
      <c r="P1455" s="46" t="inlineStr">
        <is>
          <t>NSMI24070183896</t>
        </is>
      </c>
      <c r="Q1455" s="53">
        <f>MID(P1455,5,2)</f>
        <v/>
      </c>
      <c r="R1455" s="53">
        <f>MID(P1455,7,2)</f>
        <v/>
      </c>
      <c r="S1455" s="3" t="inlineStr">
        <is>
          <t>G2G</t>
        </is>
      </c>
      <c r="T1455" s="3" t="inlineStr">
        <is>
          <t>P4</t>
        </is>
      </c>
      <c r="U1455" s="19" t="inlineStr">
        <is>
          <t>P JB Cold Soldering</t>
        </is>
      </c>
      <c r="V1455" s="19" t="inlineStr">
        <is>
          <t>Soldering</t>
        </is>
      </c>
      <c r="W1455" s="3" t="inlineStr">
        <is>
          <t>Repair</t>
        </is>
      </c>
      <c r="X1455" s="18" t="n">
        <v>46160</v>
      </c>
      <c r="Y1455" s="3">
        <f>X1455-A1455</f>
        <v/>
      </c>
      <c r="Z1455" s="18" t="n">
        <v>46160</v>
      </c>
      <c r="AA1455" s="15" t="n"/>
      <c r="AB1455" s="15" t="n"/>
    </row>
    <row r="1456">
      <c r="A1456" s="37" t="n">
        <v>46143</v>
      </c>
      <c r="B1456" s="3" t="n">
        <v>2026</v>
      </c>
      <c r="C1456" s="26" t="inlineStr">
        <is>
          <t>Yanara Power</t>
        </is>
      </c>
      <c r="D1456" s="3" t="inlineStr">
        <is>
          <t>Utility and C&amp;I</t>
        </is>
      </c>
      <c r="E1456" s="3" t="n"/>
      <c r="F1456" s="3" t="inlineStr">
        <is>
          <t>Closed</t>
        </is>
      </c>
      <c r="G1456" s="9" t="inlineStr">
        <is>
          <t xml:space="preserve">Ashish Jindal </t>
        </is>
      </c>
      <c r="H1456" s="26" t="n">
        <v>9983975581</v>
      </c>
      <c r="I1456" s="38" t="inlineStr">
        <is>
          <t>PE01052601</t>
        </is>
      </c>
      <c r="J1456" s="26" t="inlineStr">
        <is>
          <t>Multiple Issues</t>
        </is>
      </c>
      <c r="K1456" s="39" t="inlineStr">
        <is>
          <t>Holi</t>
        </is>
      </c>
      <c r="L1456" s="39" t="inlineStr">
        <is>
          <t>Maharashtra</t>
        </is>
      </c>
      <c r="M1456" s="9" t="inlineStr">
        <is>
          <t>PS</t>
        </is>
      </c>
      <c r="N1456" s="3" t="inlineStr">
        <is>
          <t>Cold Soldering</t>
        </is>
      </c>
      <c r="O1456" s="39" t="n">
        <v>575</v>
      </c>
      <c r="P1456" s="46" t="inlineStr">
        <is>
          <t>NSMI24070182890</t>
        </is>
      </c>
      <c r="Q1456" s="53">
        <f>MID(P1456,5,2)</f>
        <v/>
      </c>
      <c r="R1456" s="53">
        <f>MID(P1456,7,2)</f>
        <v/>
      </c>
      <c r="S1456" s="3" t="inlineStr">
        <is>
          <t>G2G</t>
        </is>
      </c>
      <c r="T1456" s="3" t="inlineStr">
        <is>
          <t>P4</t>
        </is>
      </c>
      <c r="U1456" s="19" t="inlineStr">
        <is>
          <t>P JB Cold Soldering</t>
        </is>
      </c>
      <c r="V1456" s="19" t="inlineStr">
        <is>
          <t>Soldering</t>
        </is>
      </c>
      <c r="W1456" s="3" t="inlineStr">
        <is>
          <t>Repair</t>
        </is>
      </c>
      <c r="X1456" s="18" t="n">
        <v>46160</v>
      </c>
      <c r="Y1456" s="3">
        <f>X1456-A1456</f>
        <v/>
      </c>
      <c r="Z1456" s="18" t="n">
        <v>46160</v>
      </c>
      <c r="AA1456" s="15" t="n"/>
      <c r="AB1456" s="15" t="n"/>
    </row>
    <row r="1457">
      <c r="A1457" s="37" t="n">
        <v>46143</v>
      </c>
      <c r="B1457" s="3" t="n">
        <v>2026</v>
      </c>
      <c r="C1457" s="26" t="inlineStr">
        <is>
          <t>Yanara Power</t>
        </is>
      </c>
      <c r="D1457" s="3" t="inlineStr">
        <is>
          <t>Utility and C&amp;I</t>
        </is>
      </c>
      <c r="E1457" s="3" t="n"/>
      <c r="F1457" s="3" t="inlineStr">
        <is>
          <t>Closed</t>
        </is>
      </c>
      <c r="G1457" s="9" t="inlineStr">
        <is>
          <t xml:space="preserve">Ashish Jindal </t>
        </is>
      </c>
      <c r="H1457" s="26" t="n">
        <v>9983975581</v>
      </c>
      <c r="I1457" s="38" t="inlineStr">
        <is>
          <t>PE01052601</t>
        </is>
      </c>
      <c r="J1457" s="26" t="inlineStr">
        <is>
          <t>Multiple Issues</t>
        </is>
      </c>
      <c r="K1457" s="39" t="inlineStr">
        <is>
          <t>Holi</t>
        </is>
      </c>
      <c r="L1457" s="39" t="inlineStr">
        <is>
          <t>Maharashtra</t>
        </is>
      </c>
      <c r="M1457" s="9" t="inlineStr">
        <is>
          <t>PS</t>
        </is>
      </c>
      <c r="N1457" s="3" t="inlineStr">
        <is>
          <t>Cold Soldering</t>
        </is>
      </c>
      <c r="O1457" s="39" t="n">
        <v>575</v>
      </c>
      <c r="P1457" s="46" t="inlineStr">
        <is>
          <t>NSMI24070176743</t>
        </is>
      </c>
      <c r="Q1457" s="53">
        <f>MID(P1457,5,2)</f>
        <v/>
      </c>
      <c r="R1457" s="53">
        <f>MID(P1457,7,2)</f>
        <v/>
      </c>
      <c r="S1457" s="3" t="inlineStr">
        <is>
          <t>G2G</t>
        </is>
      </c>
      <c r="T1457" s="3" t="inlineStr">
        <is>
          <t>P4</t>
        </is>
      </c>
      <c r="U1457" s="19" t="inlineStr">
        <is>
          <t>P JB Cold Soldering</t>
        </is>
      </c>
      <c r="V1457" s="19" t="inlineStr">
        <is>
          <t>Soldering</t>
        </is>
      </c>
      <c r="W1457" s="3" t="inlineStr">
        <is>
          <t>Repair</t>
        </is>
      </c>
      <c r="X1457" s="18" t="n">
        <v>46160</v>
      </c>
      <c r="Y1457" s="3">
        <f>X1457-A1457</f>
        <v/>
      </c>
      <c r="Z1457" s="18" t="n">
        <v>46160</v>
      </c>
      <c r="AA1457" s="15" t="n"/>
      <c r="AB1457" s="15" t="n"/>
    </row>
    <row r="1458">
      <c r="A1458" s="37" t="n">
        <v>46143</v>
      </c>
      <c r="B1458" s="3" t="n">
        <v>2026</v>
      </c>
      <c r="C1458" s="26" t="inlineStr">
        <is>
          <t>Yanara Power</t>
        </is>
      </c>
      <c r="D1458" s="3" t="inlineStr">
        <is>
          <t>Utility and C&amp;I</t>
        </is>
      </c>
      <c r="E1458" s="3" t="n"/>
      <c r="F1458" s="3" t="inlineStr">
        <is>
          <t>Closed</t>
        </is>
      </c>
      <c r="G1458" s="9" t="inlineStr">
        <is>
          <t xml:space="preserve">Ashish Jindal </t>
        </is>
      </c>
      <c r="H1458" s="26" t="n">
        <v>9983975581</v>
      </c>
      <c r="I1458" s="38" t="inlineStr">
        <is>
          <t>PE01052601</t>
        </is>
      </c>
      <c r="J1458" s="26" t="inlineStr">
        <is>
          <t>Multiple Issues</t>
        </is>
      </c>
      <c r="K1458" s="39" t="inlineStr">
        <is>
          <t>Holi</t>
        </is>
      </c>
      <c r="L1458" s="39" t="inlineStr">
        <is>
          <t>Maharashtra</t>
        </is>
      </c>
      <c r="M1458" s="9" t="inlineStr">
        <is>
          <t>PS</t>
        </is>
      </c>
      <c r="N1458" s="3" t="inlineStr">
        <is>
          <t>Cold Soldering</t>
        </is>
      </c>
      <c r="O1458" s="39" t="n">
        <v>575</v>
      </c>
      <c r="P1458" s="46" t="inlineStr">
        <is>
          <t>NSMI24070203114</t>
        </is>
      </c>
      <c r="Q1458" s="53">
        <f>MID(P1458,5,2)</f>
        <v/>
      </c>
      <c r="R1458" s="53">
        <f>MID(P1458,7,2)</f>
        <v/>
      </c>
      <c r="S1458" s="3" t="inlineStr">
        <is>
          <t>G2G</t>
        </is>
      </c>
      <c r="T1458" s="3" t="inlineStr">
        <is>
          <t>P4</t>
        </is>
      </c>
      <c r="U1458" s="19" t="inlineStr">
        <is>
          <t>P JB Cold Soldering</t>
        </is>
      </c>
      <c r="V1458" s="19" t="inlineStr">
        <is>
          <t>Soldering</t>
        </is>
      </c>
      <c r="W1458" s="3" t="inlineStr">
        <is>
          <t>Repair</t>
        </is>
      </c>
      <c r="X1458" s="18" t="n">
        <v>46160</v>
      </c>
      <c r="Y1458" s="3">
        <f>X1458-A1458</f>
        <v/>
      </c>
      <c r="Z1458" s="18" t="n">
        <v>46160</v>
      </c>
      <c r="AA1458" s="15" t="n"/>
      <c r="AB1458" s="15" t="n"/>
    </row>
    <row r="1459">
      <c r="A1459" s="37" t="n">
        <v>46143</v>
      </c>
      <c r="B1459" s="3" t="n">
        <v>2026</v>
      </c>
      <c r="C1459" s="26" t="inlineStr">
        <is>
          <t>Yanara Power</t>
        </is>
      </c>
      <c r="D1459" s="3" t="inlineStr">
        <is>
          <t>Utility and C&amp;I</t>
        </is>
      </c>
      <c r="E1459" s="3" t="n"/>
      <c r="F1459" s="3" t="inlineStr">
        <is>
          <t>Closed</t>
        </is>
      </c>
      <c r="G1459" s="9" t="inlineStr">
        <is>
          <t xml:space="preserve">Ashish Jindal </t>
        </is>
      </c>
      <c r="H1459" s="26" t="n">
        <v>9983975581</v>
      </c>
      <c r="I1459" s="38" t="inlineStr">
        <is>
          <t>PE01052601</t>
        </is>
      </c>
      <c r="J1459" s="26" t="inlineStr">
        <is>
          <t>Multiple Issues</t>
        </is>
      </c>
      <c r="K1459" s="39" t="inlineStr">
        <is>
          <t>Holi</t>
        </is>
      </c>
      <c r="L1459" s="39" t="inlineStr">
        <is>
          <t>Maharashtra</t>
        </is>
      </c>
      <c r="M1459" s="9" t="inlineStr">
        <is>
          <t>NS</t>
        </is>
      </c>
      <c r="N1459" s="3" t="inlineStr">
        <is>
          <t>Cold Soldering</t>
        </is>
      </c>
      <c r="O1459" s="39" t="n">
        <v>575</v>
      </c>
      <c r="P1459" s="46" t="inlineStr">
        <is>
          <t>NSMI24070202963</t>
        </is>
      </c>
      <c r="Q1459" s="53">
        <f>MID(P1459,5,2)</f>
        <v/>
      </c>
      <c r="R1459" s="53">
        <f>MID(P1459,7,2)</f>
        <v/>
      </c>
      <c r="S1459" s="3" t="inlineStr">
        <is>
          <t>G2G</t>
        </is>
      </c>
      <c r="T1459" s="3" t="inlineStr">
        <is>
          <t>P4</t>
        </is>
      </c>
      <c r="U1459" s="3" t="inlineStr">
        <is>
          <t>N JB Cold Soldering</t>
        </is>
      </c>
      <c r="V1459" s="3" t="inlineStr">
        <is>
          <t>Soldering</t>
        </is>
      </c>
      <c r="W1459" s="3" t="inlineStr">
        <is>
          <t>Repair</t>
        </is>
      </c>
      <c r="X1459" s="18" t="n">
        <v>46160</v>
      </c>
      <c r="Y1459" s="3">
        <f>X1459-A1459</f>
        <v/>
      </c>
      <c r="Z1459" s="18" t="n">
        <v>46160</v>
      </c>
      <c r="AA1459" s="15" t="n"/>
      <c r="AB1459" s="15" t="n"/>
    </row>
    <row r="1460">
      <c r="A1460" s="37" t="n">
        <v>46143</v>
      </c>
      <c r="B1460" s="3" t="n">
        <v>2026</v>
      </c>
      <c r="C1460" s="26" t="inlineStr">
        <is>
          <t>Yanara Power</t>
        </is>
      </c>
      <c r="D1460" s="3" t="inlineStr">
        <is>
          <t>Utility and C&amp;I</t>
        </is>
      </c>
      <c r="E1460" s="3" t="n"/>
      <c r="F1460" s="3" t="inlineStr">
        <is>
          <t>Closed</t>
        </is>
      </c>
      <c r="G1460" s="9" t="inlineStr">
        <is>
          <t xml:space="preserve">Ashish Jindal </t>
        </is>
      </c>
      <c r="H1460" s="26" t="n">
        <v>9983975581</v>
      </c>
      <c r="I1460" s="38" t="inlineStr">
        <is>
          <t>PE01052601</t>
        </is>
      </c>
      <c r="J1460" s="26" t="inlineStr">
        <is>
          <t>Multiple Issues</t>
        </is>
      </c>
      <c r="K1460" s="39" t="inlineStr">
        <is>
          <t>Holi</t>
        </is>
      </c>
      <c r="L1460" s="39" t="inlineStr">
        <is>
          <t>Maharashtra</t>
        </is>
      </c>
      <c r="M1460" s="9" t="inlineStr">
        <is>
          <t>PS</t>
        </is>
      </c>
      <c r="N1460" s="3" t="inlineStr">
        <is>
          <t>Cold Soldering</t>
        </is>
      </c>
      <c r="O1460" s="39" t="n">
        <v>575</v>
      </c>
      <c r="P1460" s="46" t="inlineStr">
        <is>
          <t>NSMI24070198186</t>
        </is>
      </c>
      <c r="Q1460" s="53">
        <f>MID(P1460,5,2)</f>
        <v/>
      </c>
      <c r="R1460" s="53">
        <f>MID(P1460,7,2)</f>
        <v/>
      </c>
      <c r="S1460" s="3" t="inlineStr">
        <is>
          <t>G2G</t>
        </is>
      </c>
      <c r="T1460" s="3" t="inlineStr">
        <is>
          <t>P4</t>
        </is>
      </c>
      <c r="U1460" s="19" t="inlineStr">
        <is>
          <t>P JB Cold Soldering</t>
        </is>
      </c>
      <c r="V1460" s="19" t="inlineStr">
        <is>
          <t>Soldering</t>
        </is>
      </c>
      <c r="W1460" s="3" t="inlineStr">
        <is>
          <t>Repair</t>
        </is>
      </c>
      <c r="X1460" s="18" t="n">
        <v>46160</v>
      </c>
      <c r="Y1460" s="3">
        <f>X1460-A1460</f>
        <v/>
      </c>
      <c r="Z1460" s="18" t="n">
        <v>46160</v>
      </c>
      <c r="AA1460" s="15" t="n"/>
      <c r="AB1460" s="15" t="n"/>
    </row>
    <row r="1461">
      <c r="A1461" s="37" t="n">
        <v>46143</v>
      </c>
      <c r="B1461" s="3" t="n">
        <v>2026</v>
      </c>
      <c r="C1461" s="26" t="inlineStr">
        <is>
          <t>Yanara Power</t>
        </is>
      </c>
      <c r="D1461" s="3" t="inlineStr">
        <is>
          <t>Utility and C&amp;I</t>
        </is>
      </c>
      <c r="E1461" s="3" t="n"/>
      <c r="F1461" s="3" t="inlineStr">
        <is>
          <t>Closed</t>
        </is>
      </c>
      <c r="G1461" s="9" t="inlineStr">
        <is>
          <t xml:space="preserve">Ashish Jindal </t>
        </is>
      </c>
      <c r="H1461" s="26" t="n">
        <v>9983975581</v>
      </c>
      <c r="I1461" s="38" t="inlineStr">
        <is>
          <t>PE01052601</t>
        </is>
      </c>
      <c r="J1461" s="26" t="inlineStr">
        <is>
          <t>Multiple Issues</t>
        </is>
      </c>
      <c r="K1461" s="39" t="inlineStr">
        <is>
          <t>Holi</t>
        </is>
      </c>
      <c r="L1461" s="39" t="inlineStr">
        <is>
          <t>Maharashtra</t>
        </is>
      </c>
      <c r="M1461" s="9" t="inlineStr">
        <is>
          <t>NS</t>
        </is>
      </c>
      <c r="N1461" s="3" t="inlineStr">
        <is>
          <t>Cold Soldering</t>
        </is>
      </c>
      <c r="O1461" s="39" t="n">
        <v>575</v>
      </c>
      <c r="P1461" s="46" t="inlineStr">
        <is>
          <t>NSMI24070198189</t>
        </is>
      </c>
      <c r="Q1461" s="53">
        <f>MID(P1461,5,2)</f>
        <v/>
      </c>
      <c r="R1461" s="53">
        <f>MID(P1461,7,2)</f>
        <v/>
      </c>
      <c r="S1461" s="3" t="inlineStr">
        <is>
          <t>G2G</t>
        </is>
      </c>
      <c r="T1461" s="3" t="inlineStr">
        <is>
          <t>P4</t>
        </is>
      </c>
      <c r="U1461" s="3" t="inlineStr">
        <is>
          <t>N JB Cold Soldering</t>
        </is>
      </c>
      <c r="V1461" s="3" t="inlineStr">
        <is>
          <t>Soldering</t>
        </is>
      </c>
      <c r="W1461" s="3" t="inlineStr">
        <is>
          <t>Repair</t>
        </is>
      </c>
      <c r="X1461" s="18" t="n">
        <v>46160</v>
      </c>
      <c r="Y1461" s="3">
        <f>X1461-A1461</f>
        <v/>
      </c>
      <c r="Z1461" s="18" t="n">
        <v>46160</v>
      </c>
      <c r="AA1461" s="15" t="n"/>
      <c r="AB1461" s="15" t="n"/>
    </row>
    <row r="1462">
      <c r="A1462" s="37" t="n">
        <v>46143</v>
      </c>
      <c r="B1462" s="3" t="n">
        <v>2026</v>
      </c>
      <c r="C1462" s="26" t="inlineStr">
        <is>
          <t>Yanara Power</t>
        </is>
      </c>
      <c r="D1462" s="3" t="inlineStr">
        <is>
          <t>Utility and C&amp;I</t>
        </is>
      </c>
      <c r="E1462" s="3" t="n"/>
      <c r="F1462" s="3" t="inlineStr">
        <is>
          <t>Closed</t>
        </is>
      </c>
      <c r="G1462" s="9" t="inlineStr">
        <is>
          <t xml:space="preserve">Ashish Jindal </t>
        </is>
      </c>
      <c r="H1462" s="26" t="n">
        <v>9983975581</v>
      </c>
      <c r="I1462" s="38" t="inlineStr">
        <is>
          <t>PE01052601</t>
        </is>
      </c>
      <c r="J1462" s="26" t="inlineStr">
        <is>
          <t>Multiple Issues</t>
        </is>
      </c>
      <c r="K1462" s="39" t="inlineStr">
        <is>
          <t>Holi</t>
        </is>
      </c>
      <c r="L1462" s="39" t="inlineStr">
        <is>
          <t>Maharashtra</t>
        </is>
      </c>
      <c r="M1462" s="9" t="inlineStr">
        <is>
          <t>PS</t>
        </is>
      </c>
      <c r="N1462" s="3" t="inlineStr">
        <is>
          <t>Cold Soldering</t>
        </is>
      </c>
      <c r="O1462" s="39" t="n">
        <v>575</v>
      </c>
      <c r="P1462" s="46" t="inlineStr">
        <is>
          <t>NSMI24070198196</t>
        </is>
      </c>
      <c r="Q1462" s="53">
        <f>MID(P1462,5,2)</f>
        <v/>
      </c>
      <c r="R1462" s="53">
        <f>MID(P1462,7,2)</f>
        <v/>
      </c>
      <c r="S1462" s="3" t="inlineStr">
        <is>
          <t>G2G</t>
        </is>
      </c>
      <c r="T1462" s="3" t="inlineStr">
        <is>
          <t>P4</t>
        </is>
      </c>
      <c r="U1462" s="19" t="inlineStr">
        <is>
          <t>P JB Cold Soldering</t>
        </is>
      </c>
      <c r="V1462" s="19" t="inlineStr">
        <is>
          <t>Soldering</t>
        </is>
      </c>
      <c r="W1462" s="3" t="inlineStr">
        <is>
          <t>Repair</t>
        </is>
      </c>
      <c r="X1462" s="18" t="n">
        <v>46160</v>
      </c>
      <c r="Y1462" s="3">
        <f>X1462-A1462</f>
        <v/>
      </c>
      <c r="Z1462" s="18" t="n">
        <v>46160</v>
      </c>
      <c r="AA1462" s="15" t="n"/>
      <c r="AB1462" s="15" t="n"/>
    </row>
    <row r="1463">
      <c r="A1463" s="37" t="n">
        <v>46143</v>
      </c>
      <c r="B1463" s="3" t="n">
        <v>2026</v>
      </c>
      <c r="C1463" s="26" t="inlineStr">
        <is>
          <t>Yanara Power</t>
        </is>
      </c>
      <c r="D1463" s="3" t="inlineStr">
        <is>
          <t>Utility and C&amp;I</t>
        </is>
      </c>
      <c r="E1463" s="3" t="n"/>
      <c r="F1463" s="3" t="inlineStr">
        <is>
          <t>Closed</t>
        </is>
      </c>
      <c r="G1463" s="9" t="inlineStr">
        <is>
          <t xml:space="preserve">Ashish Jindal </t>
        </is>
      </c>
      <c r="H1463" s="26" t="n">
        <v>9983975581</v>
      </c>
      <c r="I1463" s="38" t="inlineStr">
        <is>
          <t>PE01052601</t>
        </is>
      </c>
      <c r="J1463" s="26" t="inlineStr">
        <is>
          <t>Multiple Issues</t>
        </is>
      </c>
      <c r="K1463" s="39" t="inlineStr">
        <is>
          <t>Holi</t>
        </is>
      </c>
      <c r="L1463" s="39" t="inlineStr">
        <is>
          <t>Maharashtra</t>
        </is>
      </c>
      <c r="M1463" s="9" t="inlineStr">
        <is>
          <t>PS</t>
        </is>
      </c>
      <c r="N1463" s="3" t="inlineStr">
        <is>
          <t>Cold Soldering</t>
        </is>
      </c>
      <c r="O1463" s="39" t="n">
        <v>575</v>
      </c>
      <c r="P1463" s="46" t="inlineStr">
        <is>
          <t>NSMI24070198198</t>
        </is>
      </c>
      <c r="Q1463" s="53">
        <f>MID(P1463,5,2)</f>
        <v/>
      </c>
      <c r="R1463" s="53">
        <f>MID(P1463,7,2)</f>
        <v/>
      </c>
      <c r="S1463" s="3" t="inlineStr">
        <is>
          <t>G2G</t>
        </is>
      </c>
      <c r="T1463" s="3" t="inlineStr">
        <is>
          <t>P4</t>
        </is>
      </c>
      <c r="U1463" s="19" t="inlineStr">
        <is>
          <t>P JB Cold Soldering</t>
        </is>
      </c>
      <c r="V1463" s="19" t="inlineStr">
        <is>
          <t>Soldering</t>
        </is>
      </c>
      <c r="W1463" s="3" t="inlineStr">
        <is>
          <t>Repair</t>
        </is>
      </c>
      <c r="X1463" s="18" t="n">
        <v>46160</v>
      </c>
      <c r="Y1463" s="3">
        <f>X1463-A1463</f>
        <v/>
      </c>
      <c r="Z1463" s="18" t="n">
        <v>46160</v>
      </c>
      <c r="AA1463" s="15" t="n"/>
      <c r="AB1463" s="15" t="n"/>
    </row>
    <row r="1464">
      <c r="A1464" s="37" t="n">
        <v>46143</v>
      </c>
      <c r="B1464" s="3" t="n">
        <v>2026</v>
      </c>
      <c r="C1464" s="26" t="inlineStr">
        <is>
          <t>Yanara Power</t>
        </is>
      </c>
      <c r="D1464" s="3" t="inlineStr">
        <is>
          <t>Utility and C&amp;I</t>
        </is>
      </c>
      <c r="E1464" s="3" t="n"/>
      <c r="F1464" s="3" t="inlineStr">
        <is>
          <t>Closed</t>
        </is>
      </c>
      <c r="G1464" s="9" t="inlineStr">
        <is>
          <t xml:space="preserve">Ashish Jindal </t>
        </is>
      </c>
      <c r="H1464" s="26" t="n">
        <v>9983975581</v>
      </c>
      <c r="I1464" s="38" t="inlineStr">
        <is>
          <t>PE01052601</t>
        </is>
      </c>
      <c r="J1464" s="26" t="inlineStr">
        <is>
          <t>Multiple Issues</t>
        </is>
      </c>
      <c r="K1464" s="39" t="inlineStr">
        <is>
          <t>Holi</t>
        </is>
      </c>
      <c r="L1464" s="39" t="inlineStr">
        <is>
          <t>Maharashtra</t>
        </is>
      </c>
      <c r="M1464" s="9" t="inlineStr">
        <is>
          <t>PS</t>
        </is>
      </c>
      <c r="N1464" s="3" t="inlineStr">
        <is>
          <t>Cold Soldering</t>
        </is>
      </c>
      <c r="O1464" s="39" t="n">
        <v>575</v>
      </c>
      <c r="P1464" s="46" t="inlineStr">
        <is>
          <t>NSMI24070198006</t>
        </is>
      </c>
      <c r="Q1464" s="53">
        <f>MID(P1464,5,2)</f>
        <v/>
      </c>
      <c r="R1464" s="53">
        <f>MID(P1464,7,2)</f>
        <v/>
      </c>
      <c r="S1464" s="3" t="inlineStr">
        <is>
          <t>G2G</t>
        </is>
      </c>
      <c r="T1464" s="3" t="inlineStr">
        <is>
          <t>P4</t>
        </is>
      </c>
      <c r="U1464" s="19" t="inlineStr">
        <is>
          <t>P JB Cold Soldering</t>
        </is>
      </c>
      <c r="V1464" s="19" t="inlineStr">
        <is>
          <t>Soldering</t>
        </is>
      </c>
      <c r="W1464" s="3" t="inlineStr">
        <is>
          <t>Repair</t>
        </is>
      </c>
      <c r="X1464" s="18" t="n">
        <v>46160</v>
      </c>
      <c r="Y1464" s="3">
        <f>X1464-A1464</f>
        <v/>
      </c>
      <c r="Z1464" s="18" t="n">
        <v>46160</v>
      </c>
      <c r="AA1464" s="15" t="n"/>
      <c r="AB1464" s="15" t="n"/>
    </row>
    <row r="1465">
      <c r="A1465" s="37" t="n">
        <v>46143</v>
      </c>
      <c r="B1465" s="3" t="n">
        <v>2026</v>
      </c>
      <c r="C1465" s="26" t="inlineStr">
        <is>
          <t>Yanara Power</t>
        </is>
      </c>
      <c r="D1465" s="3" t="inlineStr">
        <is>
          <t>Utility and C&amp;I</t>
        </is>
      </c>
      <c r="E1465" s="3" t="n"/>
      <c r="F1465" s="3" t="inlineStr">
        <is>
          <t>Closed</t>
        </is>
      </c>
      <c r="G1465" s="9" t="inlineStr">
        <is>
          <t xml:space="preserve">Ashish Jindal </t>
        </is>
      </c>
      <c r="H1465" s="26" t="n">
        <v>9983975581</v>
      </c>
      <c r="I1465" s="38" t="inlineStr">
        <is>
          <t>PE01052601</t>
        </is>
      </c>
      <c r="J1465" s="26" t="inlineStr">
        <is>
          <t>Multiple Issues</t>
        </is>
      </c>
      <c r="K1465" s="39" t="inlineStr">
        <is>
          <t>Holi</t>
        </is>
      </c>
      <c r="L1465" s="39" t="inlineStr">
        <is>
          <t>Maharashtra</t>
        </is>
      </c>
      <c r="M1465" s="9" t="inlineStr">
        <is>
          <t>PNS</t>
        </is>
      </c>
      <c r="N1465" s="3" t="inlineStr">
        <is>
          <t>Cold Soldering</t>
        </is>
      </c>
      <c r="O1465" s="39" t="n">
        <v>575</v>
      </c>
      <c r="P1465" s="46" t="inlineStr">
        <is>
          <t>NSMI24070189865</t>
        </is>
      </c>
      <c r="Q1465" s="53">
        <f>MID(P1465,5,2)</f>
        <v/>
      </c>
      <c r="R1465" s="53">
        <f>MID(P1465,7,2)</f>
        <v/>
      </c>
      <c r="S1465" s="3" t="inlineStr">
        <is>
          <t>G2G</t>
        </is>
      </c>
      <c r="T1465" s="3" t="inlineStr">
        <is>
          <t>P4</t>
        </is>
      </c>
      <c r="U1465" s="3" t="inlineStr">
        <is>
          <t>P &amp; N JB Cold Soldering</t>
        </is>
      </c>
      <c r="V1465" s="3" t="inlineStr">
        <is>
          <t>Soldering</t>
        </is>
      </c>
      <c r="W1465" s="3" t="inlineStr">
        <is>
          <t>Repair</t>
        </is>
      </c>
      <c r="X1465" s="18" t="n">
        <v>46160</v>
      </c>
      <c r="Y1465" s="3">
        <f>X1465-A1465</f>
        <v/>
      </c>
      <c r="Z1465" s="18" t="n">
        <v>46160</v>
      </c>
      <c r="AA1465" s="15" t="n"/>
      <c r="AB1465" s="15" t="n"/>
    </row>
    <row r="1466">
      <c r="A1466" s="37" t="n">
        <v>46143</v>
      </c>
      <c r="B1466" s="3" t="n">
        <v>2026</v>
      </c>
      <c r="C1466" s="26" t="inlineStr">
        <is>
          <t>Yanara Power</t>
        </is>
      </c>
      <c r="D1466" s="3" t="inlineStr">
        <is>
          <t>Utility and C&amp;I</t>
        </is>
      </c>
      <c r="E1466" s="3" t="n"/>
      <c r="F1466" s="3" t="inlineStr">
        <is>
          <t>Closed</t>
        </is>
      </c>
      <c r="G1466" s="9" t="inlineStr">
        <is>
          <t xml:space="preserve">Ashish Jindal </t>
        </is>
      </c>
      <c r="H1466" s="26" t="n">
        <v>9983975581</v>
      </c>
      <c r="I1466" s="38" t="inlineStr">
        <is>
          <t>PE01052601</t>
        </is>
      </c>
      <c r="J1466" s="26" t="inlineStr">
        <is>
          <t>Multiple Issues</t>
        </is>
      </c>
      <c r="K1466" s="39" t="inlineStr">
        <is>
          <t>Holi</t>
        </is>
      </c>
      <c r="L1466" s="39" t="inlineStr">
        <is>
          <t>Maharashtra</t>
        </is>
      </c>
      <c r="M1466" s="9" t="inlineStr">
        <is>
          <t>PS</t>
        </is>
      </c>
      <c r="N1466" s="3" t="inlineStr">
        <is>
          <t>Cold Soldering</t>
        </is>
      </c>
      <c r="O1466" s="39" t="n">
        <v>575</v>
      </c>
      <c r="P1466" s="46" t="inlineStr">
        <is>
          <t>NSMI24070183837</t>
        </is>
      </c>
      <c r="Q1466" s="53">
        <f>MID(P1466,5,2)</f>
        <v/>
      </c>
      <c r="R1466" s="53">
        <f>MID(P1466,7,2)</f>
        <v/>
      </c>
      <c r="S1466" s="3" t="inlineStr">
        <is>
          <t>G2G</t>
        </is>
      </c>
      <c r="T1466" s="3" t="inlineStr">
        <is>
          <t>P4</t>
        </is>
      </c>
      <c r="U1466" s="19" t="inlineStr">
        <is>
          <t>P JB Cold Soldering</t>
        </is>
      </c>
      <c r="V1466" s="19" t="inlineStr">
        <is>
          <t>Soldering</t>
        </is>
      </c>
      <c r="W1466" s="3" t="inlineStr">
        <is>
          <t>Repair</t>
        </is>
      </c>
      <c r="X1466" s="18" t="n">
        <v>46160</v>
      </c>
      <c r="Y1466" s="3">
        <f>X1466-A1466</f>
        <v/>
      </c>
      <c r="Z1466" s="18" t="n">
        <v>46160</v>
      </c>
      <c r="AA1466" s="15" t="n"/>
      <c r="AB1466" s="15" t="n"/>
    </row>
    <row r="1467">
      <c r="A1467" s="37" t="n">
        <v>46143</v>
      </c>
      <c r="B1467" s="3" t="n">
        <v>2026</v>
      </c>
      <c r="C1467" s="26" t="inlineStr">
        <is>
          <t>Yanara Power</t>
        </is>
      </c>
      <c r="D1467" s="3" t="inlineStr">
        <is>
          <t>Utility and C&amp;I</t>
        </is>
      </c>
      <c r="E1467" s="3" t="n"/>
      <c r="F1467" s="3" t="inlineStr">
        <is>
          <t>Closed</t>
        </is>
      </c>
      <c r="G1467" s="9" t="inlineStr">
        <is>
          <t xml:space="preserve">Ashish Jindal </t>
        </is>
      </c>
      <c r="H1467" s="26" t="n">
        <v>9983975581</v>
      </c>
      <c r="I1467" s="38" t="inlineStr">
        <is>
          <t>PE01052601</t>
        </is>
      </c>
      <c r="J1467" s="26" t="inlineStr">
        <is>
          <t>Multiple Issues</t>
        </is>
      </c>
      <c r="K1467" s="39" t="inlineStr">
        <is>
          <t>Holi</t>
        </is>
      </c>
      <c r="L1467" s="39" t="inlineStr">
        <is>
          <t>Maharashtra</t>
        </is>
      </c>
      <c r="M1467" s="9" t="inlineStr">
        <is>
          <t>PS</t>
        </is>
      </c>
      <c r="N1467" s="3" t="inlineStr">
        <is>
          <t>Cold Soldering</t>
        </is>
      </c>
      <c r="O1467" s="39" t="n">
        <v>575</v>
      </c>
      <c r="P1467" s="46" t="inlineStr">
        <is>
          <t>NSMI24070183917</t>
        </is>
      </c>
      <c r="Q1467" s="53">
        <f>MID(P1467,5,2)</f>
        <v/>
      </c>
      <c r="R1467" s="53">
        <f>MID(P1467,7,2)</f>
        <v/>
      </c>
      <c r="S1467" s="3" t="inlineStr">
        <is>
          <t>G2G</t>
        </is>
      </c>
      <c r="T1467" s="3" t="inlineStr">
        <is>
          <t>P4</t>
        </is>
      </c>
      <c r="U1467" s="19" t="inlineStr">
        <is>
          <t>P JB Cold Soldering</t>
        </is>
      </c>
      <c r="V1467" s="19" t="inlineStr">
        <is>
          <t>Soldering</t>
        </is>
      </c>
      <c r="W1467" s="3" t="inlineStr">
        <is>
          <t>Repair</t>
        </is>
      </c>
      <c r="X1467" s="18" t="n">
        <v>46160</v>
      </c>
      <c r="Y1467" s="3">
        <f>X1467-A1467</f>
        <v/>
      </c>
      <c r="Z1467" s="18" t="n">
        <v>46160</v>
      </c>
      <c r="AA1467" s="15" t="n"/>
      <c r="AB1467" s="15" t="n"/>
    </row>
    <row r="1468">
      <c r="A1468" s="37" t="n">
        <v>46143</v>
      </c>
      <c r="B1468" s="3" t="n">
        <v>2026</v>
      </c>
      <c r="C1468" s="26" t="inlineStr">
        <is>
          <t>Yanara Power</t>
        </is>
      </c>
      <c r="D1468" s="3" t="inlineStr">
        <is>
          <t>Utility and C&amp;I</t>
        </is>
      </c>
      <c r="E1468" s="3" t="n"/>
      <c r="F1468" s="3" t="inlineStr">
        <is>
          <t>Closed</t>
        </is>
      </c>
      <c r="G1468" s="9" t="inlineStr">
        <is>
          <t xml:space="preserve">Ashish Jindal </t>
        </is>
      </c>
      <c r="H1468" s="26" t="n">
        <v>9983975581</v>
      </c>
      <c r="I1468" s="38" t="inlineStr">
        <is>
          <t>PE01052601</t>
        </is>
      </c>
      <c r="J1468" s="26" t="inlineStr">
        <is>
          <t>Multiple Issues</t>
        </is>
      </c>
      <c r="K1468" s="39" t="inlineStr">
        <is>
          <t>Holi</t>
        </is>
      </c>
      <c r="L1468" s="39" t="inlineStr">
        <is>
          <t>Maharashtra</t>
        </is>
      </c>
      <c r="M1468" s="9" t="inlineStr">
        <is>
          <t>NS</t>
        </is>
      </c>
      <c r="N1468" s="3" t="inlineStr">
        <is>
          <t>Cold Soldering</t>
        </is>
      </c>
      <c r="O1468" s="39" t="n">
        <v>575</v>
      </c>
      <c r="P1468" s="46" t="inlineStr">
        <is>
          <t>NSMI24070177272</t>
        </is>
      </c>
      <c r="Q1468" s="53">
        <f>MID(P1468,5,2)</f>
        <v/>
      </c>
      <c r="R1468" s="53">
        <f>MID(P1468,7,2)</f>
        <v/>
      </c>
      <c r="S1468" s="3" t="inlineStr">
        <is>
          <t>G2G</t>
        </is>
      </c>
      <c r="T1468" s="3" t="inlineStr">
        <is>
          <t>P4</t>
        </is>
      </c>
      <c r="U1468" s="3" t="inlineStr">
        <is>
          <t>N JB Cold Soldering</t>
        </is>
      </c>
      <c r="V1468" s="3" t="inlineStr">
        <is>
          <t>Soldering</t>
        </is>
      </c>
      <c r="W1468" s="3" t="inlineStr">
        <is>
          <t>Repair</t>
        </is>
      </c>
      <c r="X1468" s="18" t="n">
        <v>46160</v>
      </c>
      <c r="Y1468" s="3">
        <f>X1468-A1468</f>
        <v/>
      </c>
      <c r="Z1468" s="18" t="n">
        <v>46160</v>
      </c>
      <c r="AA1468" s="15" t="n"/>
      <c r="AB1468" s="15" t="n"/>
    </row>
    <row r="1469">
      <c r="A1469" s="37" t="n">
        <v>46143</v>
      </c>
      <c r="B1469" s="3" t="n">
        <v>2026</v>
      </c>
      <c r="C1469" s="26" t="inlineStr">
        <is>
          <t>Yanara Power</t>
        </is>
      </c>
      <c r="D1469" s="3" t="inlineStr">
        <is>
          <t>Utility and C&amp;I</t>
        </is>
      </c>
      <c r="E1469" s="3" t="n"/>
      <c r="F1469" s="3" t="inlineStr">
        <is>
          <t>Closed</t>
        </is>
      </c>
      <c r="G1469" s="9" t="inlineStr">
        <is>
          <t xml:space="preserve">Ashish Jindal </t>
        </is>
      </c>
      <c r="H1469" s="26" t="n">
        <v>9983975581</v>
      </c>
      <c r="I1469" s="38" t="inlineStr">
        <is>
          <t>PE01052601</t>
        </is>
      </c>
      <c r="J1469" s="26" t="inlineStr">
        <is>
          <t>Multiple Issues</t>
        </is>
      </c>
      <c r="K1469" s="39" t="inlineStr">
        <is>
          <t>Holi</t>
        </is>
      </c>
      <c r="L1469" s="39" t="inlineStr">
        <is>
          <t>Maharashtra</t>
        </is>
      </c>
      <c r="M1469" s="9" t="inlineStr">
        <is>
          <t>PS</t>
        </is>
      </c>
      <c r="N1469" s="3" t="inlineStr">
        <is>
          <t>Cold Soldering</t>
        </is>
      </c>
      <c r="O1469" s="39" t="n">
        <v>575</v>
      </c>
      <c r="P1469" s="46" t="inlineStr">
        <is>
          <t>NSMI24070198360</t>
        </is>
      </c>
      <c r="Q1469" s="53">
        <f>MID(P1469,5,2)</f>
        <v/>
      </c>
      <c r="R1469" s="53">
        <f>MID(P1469,7,2)</f>
        <v/>
      </c>
      <c r="S1469" s="3" t="inlineStr">
        <is>
          <t>G2G</t>
        </is>
      </c>
      <c r="T1469" s="3" t="inlineStr">
        <is>
          <t>P4</t>
        </is>
      </c>
      <c r="U1469" s="19" t="inlineStr">
        <is>
          <t>P JB Cold Soldering</t>
        </is>
      </c>
      <c r="V1469" s="19" t="inlineStr">
        <is>
          <t>Soldering</t>
        </is>
      </c>
      <c r="W1469" s="3" t="inlineStr">
        <is>
          <t>Repair</t>
        </is>
      </c>
      <c r="X1469" s="18" t="n">
        <v>46160</v>
      </c>
      <c r="Y1469" s="3">
        <f>X1469-A1469</f>
        <v/>
      </c>
      <c r="Z1469" s="18" t="n">
        <v>46160</v>
      </c>
      <c r="AA1469" s="15" t="n"/>
      <c r="AB1469" s="15" t="n"/>
    </row>
    <row r="1470">
      <c r="A1470" s="37" t="n">
        <v>46143</v>
      </c>
      <c r="B1470" s="3" t="n">
        <v>2026</v>
      </c>
      <c r="C1470" s="26" t="inlineStr">
        <is>
          <t>Yanara Power</t>
        </is>
      </c>
      <c r="D1470" s="3" t="inlineStr">
        <is>
          <t>Utility and C&amp;I</t>
        </is>
      </c>
      <c r="E1470" s="3" t="n"/>
      <c r="F1470" s="3" t="inlineStr">
        <is>
          <t>Closed</t>
        </is>
      </c>
      <c r="G1470" s="9" t="inlineStr">
        <is>
          <t xml:space="preserve">Ashish Jindal </t>
        </is>
      </c>
      <c r="H1470" s="26" t="n">
        <v>9983975581</v>
      </c>
      <c r="I1470" s="38" t="inlineStr">
        <is>
          <t>PE01052601</t>
        </is>
      </c>
      <c r="J1470" s="26" t="inlineStr">
        <is>
          <t>Multiple Issues</t>
        </is>
      </c>
      <c r="K1470" s="39" t="inlineStr">
        <is>
          <t>Holi</t>
        </is>
      </c>
      <c r="L1470" s="39" t="inlineStr">
        <is>
          <t>Maharashtra</t>
        </is>
      </c>
      <c r="M1470" s="9" t="inlineStr">
        <is>
          <t>PS</t>
        </is>
      </c>
      <c r="N1470" s="3" t="inlineStr">
        <is>
          <t>Cold Soldering</t>
        </is>
      </c>
      <c r="O1470" s="39" t="n">
        <v>575</v>
      </c>
      <c r="P1470" s="46" t="inlineStr">
        <is>
          <t>NSMI24070193940</t>
        </is>
      </c>
      <c r="Q1470" s="53">
        <f>MID(P1470,5,2)</f>
        <v/>
      </c>
      <c r="R1470" s="53">
        <f>MID(P1470,7,2)</f>
        <v/>
      </c>
      <c r="S1470" s="3" t="inlineStr">
        <is>
          <t>G2G</t>
        </is>
      </c>
      <c r="T1470" s="3" t="inlineStr">
        <is>
          <t>P4</t>
        </is>
      </c>
      <c r="U1470" s="19" t="inlineStr">
        <is>
          <t>P JB Cold Soldering</t>
        </is>
      </c>
      <c r="V1470" s="19" t="inlineStr">
        <is>
          <t>Soldering</t>
        </is>
      </c>
      <c r="W1470" s="3" t="inlineStr">
        <is>
          <t>Repair</t>
        </is>
      </c>
      <c r="X1470" s="18" t="n">
        <v>46160</v>
      </c>
      <c r="Y1470" s="3">
        <f>X1470-A1470</f>
        <v/>
      </c>
      <c r="Z1470" s="18" t="n">
        <v>46160</v>
      </c>
      <c r="AA1470" s="15" t="n"/>
      <c r="AB1470" s="15" t="n"/>
    </row>
    <row r="1471">
      <c r="A1471" s="37" t="n">
        <v>46143</v>
      </c>
      <c r="B1471" s="3" t="n">
        <v>2026</v>
      </c>
      <c r="C1471" s="26" t="inlineStr">
        <is>
          <t>Yanara Power</t>
        </is>
      </c>
      <c r="D1471" s="3" t="inlineStr">
        <is>
          <t>Utility and C&amp;I</t>
        </is>
      </c>
      <c r="E1471" s="3" t="n"/>
      <c r="F1471" s="3" t="inlineStr">
        <is>
          <t>Closed</t>
        </is>
      </c>
      <c r="G1471" s="9" t="inlineStr">
        <is>
          <t xml:space="preserve">Ashish Jindal </t>
        </is>
      </c>
      <c r="H1471" s="26" t="n">
        <v>9983975581</v>
      </c>
      <c r="I1471" s="38" t="inlineStr">
        <is>
          <t>PE01052601</t>
        </is>
      </c>
      <c r="J1471" s="26" t="inlineStr">
        <is>
          <t>Multiple Issues</t>
        </is>
      </c>
      <c r="K1471" s="39" t="inlineStr">
        <is>
          <t>Holi</t>
        </is>
      </c>
      <c r="L1471" s="39" t="inlineStr">
        <is>
          <t>Maharashtra</t>
        </is>
      </c>
      <c r="M1471" s="9" t="inlineStr">
        <is>
          <t>NS</t>
        </is>
      </c>
      <c r="N1471" s="3" t="inlineStr">
        <is>
          <t>Cold Soldering</t>
        </is>
      </c>
      <c r="O1471" s="39" t="n">
        <v>575</v>
      </c>
      <c r="P1471" s="46" t="inlineStr">
        <is>
          <t>NSMI24070193984</t>
        </is>
      </c>
      <c r="Q1471" s="53">
        <f>MID(P1471,5,2)</f>
        <v/>
      </c>
      <c r="R1471" s="53">
        <f>MID(P1471,7,2)</f>
        <v/>
      </c>
      <c r="S1471" s="3" t="inlineStr">
        <is>
          <t>G2G</t>
        </is>
      </c>
      <c r="T1471" s="3" t="inlineStr">
        <is>
          <t>P4</t>
        </is>
      </c>
      <c r="U1471" s="3" t="inlineStr">
        <is>
          <t>N JB Cold Soldering</t>
        </is>
      </c>
      <c r="V1471" s="3" t="inlineStr">
        <is>
          <t>Soldering</t>
        </is>
      </c>
      <c r="W1471" s="3" t="inlineStr">
        <is>
          <t>Repair</t>
        </is>
      </c>
      <c r="X1471" s="18" t="n">
        <v>46160</v>
      </c>
      <c r="Y1471" s="3">
        <f>X1471-A1471</f>
        <v/>
      </c>
      <c r="Z1471" s="18" t="n">
        <v>46160</v>
      </c>
      <c r="AA1471" s="15" t="n"/>
      <c r="AB1471" s="15" t="n"/>
    </row>
    <row r="1472">
      <c r="A1472" s="37" t="n">
        <v>46143</v>
      </c>
      <c r="B1472" s="3" t="n">
        <v>2026</v>
      </c>
      <c r="C1472" s="26" t="inlineStr">
        <is>
          <t>Yanara Power</t>
        </is>
      </c>
      <c r="D1472" s="3" t="inlineStr">
        <is>
          <t>Utility and C&amp;I</t>
        </is>
      </c>
      <c r="E1472" s="3" t="n"/>
      <c r="F1472" s="3" t="inlineStr">
        <is>
          <t>Closed</t>
        </is>
      </c>
      <c r="G1472" s="9" t="inlineStr">
        <is>
          <t xml:space="preserve">Ashish Jindal </t>
        </is>
      </c>
      <c r="H1472" s="26" t="n">
        <v>9983975581</v>
      </c>
      <c r="I1472" s="38" t="inlineStr">
        <is>
          <t>PE01052601</t>
        </is>
      </c>
      <c r="J1472" s="26" t="inlineStr">
        <is>
          <t>Multiple Issues</t>
        </is>
      </c>
      <c r="K1472" s="39" t="inlineStr">
        <is>
          <t>Holi</t>
        </is>
      </c>
      <c r="L1472" s="39" t="inlineStr">
        <is>
          <t>Maharashtra</t>
        </is>
      </c>
      <c r="M1472" s="9" t="inlineStr">
        <is>
          <t>PS</t>
        </is>
      </c>
      <c r="N1472" s="3" t="inlineStr">
        <is>
          <t>Cold Soldering</t>
        </is>
      </c>
      <c r="O1472" s="39" t="n">
        <v>575</v>
      </c>
      <c r="P1472" s="46" t="inlineStr">
        <is>
          <t>NSMI24070197770</t>
        </is>
      </c>
      <c r="Q1472" s="53">
        <f>MID(P1472,5,2)</f>
        <v/>
      </c>
      <c r="R1472" s="53">
        <f>MID(P1472,7,2)</f>
        <v/>
      </c>
      <c r="S1472" s="3" t="inlineStr">
        <is>
          <t>G2G</t>
        </is>
      </c>
      <c r="T1472" s="3" t="inlineStr">
        <is>
          <t>P4</t>
        </is>
      </c>
      <c r="U1472" s="19" t="inlineStr">
        <is>
          <t>P JB Cold Soldering</t>
        </is>
      </c>
      <c r="V1472" s="19" t="inlineStr">
        <is>
          <t>Soldering</t>
        </is>
      </c>
      <c r="W1472" s="3" t="inlineStr">
        <is>
          <t>Repair</t>
        </is>
      </c>
      <c r="X1472" s="18" t="n">
        <v>46160</v>
      </c>
      <c r="Y1472" s="3">
        <f>X1472-A1472</f>
        <v/>
      </c>
      <c r="Z1472" s="18" t="n">
        <v>46160</v>
      </c>
      <c r="AA1472" s="15" t="n"/>
      <c r="AB1472" s="15" t="n"/>
    </row>
    <row r="1473">
      <c r="A1473" s="37" t="n">
        <v>46143</v>
      </c>
      <c r="B1473" s="3" t="n">
        <v>2026</v>
      </c>
      <c r="C1473" s="26" t="inlineStr">
        <is>
          <t>Yanara Power</t>
        </is>
      </c>
      <c r="D1473" s="3" t="inlineStr">
        <is>
          <t>Utility and C&amp;I</t>
        </is>
      </c>
      <c r="E1473" s="3" t="n"/>
      <c r="F1473" s="3" t="inlineStr">
        <is>
          <t>Closed</t>
        </is>
      </c>
      <c r="G1473" s="9" t="inlineStr">
        <is>
          <t xml:space="preserve">Ashish Jindal </t>
        </is>
      </c>
      <c r="H1473" s="26" t="n">
        <v>9983975581</v>
      </c>
      <c r="I1473" s="38" t="inlineStr">
        <is>
          <t>PE01052601</t>
        </is>
      </c>
      <c r="J1473" s="26" t="inlineStr">
        <is>
          <t>Multiple Issues</t>
        </is>
      </c>
      <c r="K1473" s="39" t="inlineStr">
        <is>
          <t>Holi</t>
        </is>
      </c>
      <c r="L1473" s="39" t="inlineStr">
        <is>
          <t>Maharashtra</t>
        </is>
      </c>
      <c r="M1473" s="9" t="inlineStr">
        <is>
          <t>PS</t>
        </is>
      </c>
      <c r="N1473" s="3" t="inlineStr">
        <is>
          <t>Cold Soldering</t>
        </is>
      </c>
      <c r="O1473" s="39" t="n">
        <v>575</v>
      </c>
      <c r="P1473" s="46" t="inlineStr">
        <is>
          <t>NSMI24070197965</t>
        </is>
      </c>
      <c r="Q1473" s="53">
        <f>MID(P1473,5,2)</f>
        <v/>
      </c>
      <c r="R1473" s="53">
        <f>MID(P1473,7,2)</f>
        <v/>
      </c>
      <c r="S1473" s="3" t="inlineStr">
        <is>
          <t>G2G</t>
        </is>
      </c>
      <c r="T1473" s="3" t="inlineStr">
        <is>
          <t>P4</t>
        </is>
      </c>
      <c r="U1473" s="19" t="inlineStr">
        <is>
          <t>P JB Cold Soldering</t>
        </is>
      </c>
      <c r="V1473" s="19" t="inlineStr">
        <is>
          <t>Soldering</t>
        </is>
      </c>
      <c r="W1473" s="3" t="inlineStr">
        <is>
          <t>Repair</t>
        </is>
      </c>
      <c r="X1473" s="18" t="n">
        <v>46160</v>
      </c>
      <c r="Y1473" s="3">
        <f>X1473-A1473</f>
        <v/>
      </c>
      <c r="Z1473" s="18" t="n">
        <v>46160</v>
      </c>
      <c r="AA1473" s="15" t="n"/>
      <c r="AB1473" s="15" t="n"/>
    </row>
    <row r="1474">
      <c r="A1474" s="37" t="n">
        <v>46143</v>
      </c>
      <c r="B1474" s="3" t="n">
        <v>2026</v>
      </c>
      <c r="C1474" s="26" t="inlineStr">
        <is>
          <t>Yanara Power</t>
        </is>
      </c>
      <c r="D1474" s="3" t="inlineStr">
        <is>
          <t>Utility and C&amp;I</t>
        </is>
      </c>
      <c r="E1474" s="3" t="n"/>
      <c r="F1474" s="3" t="inlineStr">
        <is>
          <t>Closed</t>
        </is>
      </c>
      <c r="G1474" s="9" t="inlineStr">
        <is>
          <t xml:space="preserve">Ashish Jindal </t>
        </is>
      </c>
      <c r="H1474" s="26" t="n">
        <v>9983975581</v>
      </c>
      <c r="I1474" s="38" t="inlineStr">
        <is>
          <t>PE01052601</t>
        </is>
      </c>
      <c r="J1474" s="26" t="inlineStr">
        <is>
          <t>Multiple Issues</t>
        </is>
      </c>
      <c r="K1474" s="39" t="inlineStr">
        <is>
          <t>Holi</t>
        </is>
      </c>
      <c r="L1474" s="39" t="inlineStr">
        <is>
          <t>Maharashtra</t>
        </is>
      </c>
      <c r="M1474" s="9" t="inlineStr">
        <is>
          <t>PS</t>
        </is>
      </c>
      <c r="N1474" s="3" t="inlineStr">
        <is>
          <t>Cold Soldering</t>
        </is>
      </c>
      <c r="O1474" s="39" t="n">
        <v>575</v>
      </c>
      <c r="P1474" s="46" t="inlineStr">
        <is>
          <t>NSMI24070179957</t>
        </is>
      </c>
      <c r="Q1474" s="53">
        <f>MID(P1474,5,2)</f>
        <v/>
      </c>
      <c r="R1474" s="53">
        <f>MID(P1474,7,2)</f>
        <v/>
      </c>
      <c r="S1474" s="3" t="inlineStr">
        <is>
          <t>G2G</t>
        </is>
      </c>
      <c r="T1474" s="3" t="inlineStr">
        <is>
          <t>P4</t>
        </is>
      </c>
      <c r="U1474" s="19" t="inlineStr">
        <is>
          <t>P JB Cold Soldering</t>
        </is>
      </c>
      <c r="V1474" s="19" t="inlineStr">
        <is>
          <t>Soldering</t>
        </is>
      </c>
      <c r="W1474" s="3" t="inlineStr">
        <is>
          <t>Repair</t>
        </is>
      </c>
      <c r="X1474" s="18" t="n">
        <v>46160</v>
      </c>
      <c r="Y1474" s="3">
        <f>X1474-A1474</f>
        <v/>
      </c>
      <c r="Z1474" s="18" t="n">
        <v>46160</v>
      </c>
      <c r="AA1474" s="15" t="n"/>
      <c r="AB1474" s="15" t="n"/>
    </row>
    <row r="1475">
      <c r="A1475" s="37" t="n">
        <v>46143</v>
      </c>
      <c r="B1475" s="3" t="n">
        <v>2026</v>
      </c>
      <c r="C1475" s="26" t="inlineStr">
        <is>
          <t>Yanara Power</t>
        </is>
      </c>
      <c r="D1475" s="3" t="inlineStr">
        <is>
          <t>Utility and C&amp;I</t>
        </is>
      </c>
      <c r="E1475" s="3" t="n"/>
      <c r="F1475" s="3" t="inlineStr">
        <is>
          <t>Closed</t>
        </is>
      </c>
      <c r="G1475" s="9" t="inlineStr">
        <is>
          <t xml:space="preserve">Ashish Jindal </t>
        </is>
      </c>
      <c r="H1475" s="26" t="n">
        <v>9983975581</v>
      </c>
      <c r="I1475" s="38" t="inlineStr">
        <is>
          <t>PE01052601</t>
        </is>
      </c>
      <c r="J1475" s="26" t="inlineStr">
        <is>
          <t>Multiple Issues</t>
        </is>
      </c>
      <c r="K1475" s="39" t="inlineStr">
        <is>
          <t>Holi</t>
        </is>
      </c>
      <c r="L1475" s="39" t="inlineStr">
        <is>
          <t>Maharashtra</t>
        </is>
      </c>
      <c r="M1475" s="9" t="inlineStr">
        <is>
          <t>NS</t>
        </is>
      </c>
      <c r="N1475" s="3" t="inlineStr">
        <is>
          <t>Cold Soldering</t>
        </is>
      </c>
      <c r="O1475" s="39" t="n">
        <v>575</v>
      </c>
      <c r="P1475" s="46" t="inlineStr">
        <is>
          <t>NSMI24070181699</t>
        </is>
      </c>
      <c r="Q1475" s="53">
        <f>MID(P1475,5,2)</f>
        <v/>
      </c>
      <c r="R1475" s="53">
        <f>MID(P1475,7,2)</f>
        <v/>
      </c>
      <c r="S1475" s="3" t="inlineStr">
        <is>
          <t>G2G</t>
        </is>
      </c>
      <c r="T1475" s="3" t="inlineStr">
        <is>
          <t>P4</t>
        </is>
      </c>
      <c r="U1475" s="3" t="inlineStr">
        <is>
          <t>N JB Cold Soldering</t>
        </is>
      </c>
      <c r="V1475" s="3" t="inlineStr">
        <is>
          <t>Soldering</t>
        </is>
      </c>
      <c r="W1475" s="3" t="inlineStr">
        <is>
          <t>Repair</t>
        </is>
      </c>
      <c r="X1475" s="18" t="n">
        <v>46160</v>
      </c>
      <c r="Y1475" s="3">
        <f>X1475-A1475</f>
        <v/>
      </c>
      <c r="Z1475" s="18" t="n">
        <v>46160</v>
      </c>
      <c r="AA1475" s="15" t="n"/>
      <c r="AB1475" s="15" t="n"/>
    </row>
    <row r="1476">
      <c r="A1476" s="37" t="n">
        <v>46143</v>
      </c>
      <c r="B1476" s="3" t="n">
        <v>2026</v>
      </c>
      <c r="C1476" s="26" t="inlineStr">
        <is>
          <t>Yanara Power</t>
        </is>
      </c>
      <c r="D1476" s="3" t="inlineStr">
        <is>
          <t>Utility and C&amp;I</t>
        </is>
      </c>
      <c r="E1476" s="3" t="n"/>
      <c r="F1476" s="3" t="inlineStr">
        <is>
          <t>Closed</t>
        </is>
      </c>
      <c r="G1476" s="9" t="inlineStr">
        <is>
          <t xml:space="preserve">Ashish Jindal </t>
        </is>
      </c>
      <c r="H1476" s="26" t="n">
        <v>9983975581</v>
      </c>
      <c r="I1476" s="38" t="inlineStr">
        <is>
          <t>PE01052601</t>
        </is>
      </c>
      <c r="J1476" s="26" t="inlineStr">
        <is>
          <t>Multiple Issues</t>
        </is>
      </c>
      <c r="K1476" s="39" t="inlineStr">
        <is>
          <t>Holi</t>
        </is>
      </c>
      <c r="L1476" s="39" t="inlineStr">
        <is>
          <t>Maharashtra</t>
        </is>
      </c>
      <c r="M1476" s="9" t="inlineStr">
        <is>
          <t>PS</t>
        </is>
      </c>
      <c r="N1476" s="3" t="inlineStr">
        <is>
          <t>Cold Soldering</t>
        </is>
      </c>
      <c r="O1476" s="39" t="n">
        <v>575</v>
      </c>
      <c r="P1476" s="46" t="inlineStr">
        <is>
          <t>NSMI24070179987</t>
        </is>
      </c>
      <c r="Q1476" s="53">
        <f>MID(P1476,5,2)</f>
        <v/>
      </c>
      <c r="R1476" s="53">
        <f>MID(P1476,7,2)</f>
        <v/>
      </c>
      <c r="S1476" s="3" t="inlineStr">
        <is>
          <t>G2G</t>
        </is>
      </c>
      <c r="T1476" s="3" t="inlineStr">
        <is>
          <t>P4</t>
        </is>
      </c>
      <c r="U1476" s="19" t="inlineStr">
        <is>
          <t>P JB Cold Soldering</t>
        </is>
      </c>
      <c r="V1476" s="19" t="inlineStr">
        <is>
          <t>Soldering</t>
        </is>
      </c>
      <c r="W1476" s="3" t="inlineStr">
        <is>
          <t>Repair</t>
        </is>
      </c>
      <c r="X1476" s="18" t="n">
        <v>46160</v>
      </c>
      <c r="Y1476" s="3">
        <f>X1476-A1476</f>
        <v/>
      </c>
      <c r="Z1476" s="18" t="n">
        <v>46160</v>
      </c>
      <c r="AA1476" s="15" t="n"/>
      <c r="AB1476" s="15" t="n"/>
    </row>
    <row r="1477">
      <c r="A1477" s="37" t="n">
        <v>46143</v>
      </c>
      <c r="B1477" s="3" t="n">
        <v>2026</v>
      </c>
      <c r="C1477" s="26" t="inlineStr">
        <is>
          <t>Yanara Power</t>
        </is>
      </c>
      <c r="D1477" s="3" t="inlineStr">
        <is>
          <t>Utility and C&amp;I</t>
        </is>
      </c>
      <c r="E1477" s="3" t="n"/>
      <c r="F1477" s="3" t="inlineStr">
        <is>
          <t>Closed</t>
        </is>
      </c>
      <c r="G1477" s="9" t="inlineStr">
        <is>
          <t xml:space="preserve">Ashish Jindal </t>
        </is>
      </c>
      <c r="H1477" s="26" t="n">
        <v>9983975581</v>
      </c>
      <c r="I1477" s="38" t="inlineStr">
        <is>
          <t>PE01052601</t>
        </is>
      </c>
      <c r="J1477" s="26" t="inlineStr">
        <is>
          <t>Multiple Issues</t>
        </is>
      </c>
      <c r="K1477" s="39" t="inlineStr">
        <is>
          <t>Holi</t>
        </is>
      </c>
      <c r="L1477" s="39" t="inlineStr">
        <is>
          <t>Maharashtra</t>
        </is>
      </c>
      <c r="M1477" s="9" t="inlineStr">
        <is>
          <t>PS</t>
        </is>
      </c>
      <c r="N1477" s="3" t="inlineStr">
        <is>
          <t>Cold Soldering</t>
        </is>
      </c>
      <c r="O1477" s="39" t="n">
        <v>575</v>
      </c>
      <c r="P1477" s="46" t="inlineStr">
        <is>
          <t>NSMI24070183981</t>
        </is>
      </c>
      <c r="Q1477" s="53">
        <f>MID(P1477,5,2)</f>
        <v/>
      </c>
      <c r="R1477" s="53">
        <f>MID(P1477,7,2)</f>
        <v/>
      </c>
      <c r="S1477" s="3" t="inlineStr">
        <is>
          <t>G2G</t>
        </is>
      </c>
      <c r="T1477" s="3" t="inlineStr">
        <is>
          <t>P4</t>
        </is>
      </c>
      <c r="U1477" s="19" t="inlineStr">
        <is>
          <t>P JB Cold Soldering</t>
        </is>
      </c>
      <c r="V1477" s="19" t="inlineStr">
        <is>
          <t>Soldering</t>
        </is>
      </c>
      <c r="W1477" s="3" t="inlineStr">
        <is>
          <t>Repair</t>
        </is>
      </c>
      <c r="X1477" s="18" t="n">
        <v>46160</v>
      </c>
      <c r="Y1477" s="3">
        <f>X1477-A1477</f>
        <v/>
      </c>
      <c r="Z1477" s="18" t="n">
        <v>46160</v>
      </c>
      <c r="AA1477" s="15" t="n"/>
      <c r="AB1477" s="15" t="n"/>
    </row>
    <row r="1478">
      <c r="A1478" s="37" t="n">
        <v>46143</v>
      </c>
      <c r="B1478" s="3" t="n">
        <v>2026</v>
      </c>
      <c r="C1478" s="26" t="inlineStr">
        <is>
          <t>Yanara Power</t>
        </is>
      </c>
      <c r="D1478" s="3" t="inlineStr">
        <is>
          <t>Utility and C&amp;I</t>
        </is>
      </c>
      <c r="E1478" s="3" t="n"/>
      <c r="F1478" s="3" t="inlineStr">
        <is>
          <t>Closed</t>
        </is>
      </c>
      <c r="G1478" s="9" t="inlineStr">
        <is>
          <t xml:space="preserve">Ashish Jindal </t>
        </is>
      </c>
      <c r="H1478" s="26" t="n">
        <v>9983975581</v>
      </c>
      <c r="I1478" s="38" t="inlineStr">
        <is>
          <t>PE01052601</t>
        </is>
      </c>
      <c r="J1478" s="26" t="inlineStr">
        <is>
          <t>Multiple Issues</t>
        </is>
      </c>
      <c r="K1478" s="39" t="inlineStr">
        <is>
          <t>Holi</t>
        </is>
      </c>
      <c r="L1478" s="39" t="inlineStr">
        <is>
          <t>Maharashtra</t>
        </is>
      </c>
      <c r="M1478" s="9" t="inlineStr">
        <is>
          <t>NS</t>
        </is>
      </c>
      <c r="N1478" s="3" t="inlineStr">
        <is>
          <t>Cold Soldering</t>
        </is>
      </c>
      <c r="O1478" s="39" t="n">
        <v>575</v>
      </c>
      <c r="P1478" s="46" t="inlineStr">
        <is>
          <t>NSMI24070183955</t>
        </is>
      </c>
      <c r="Q1478" s="53">
        <f>MID(P1478,5,2)</f>
        <v/>
      </c>
      <c r="R1478" s="53">
        <f>MID(P1478,7,2)</f>
        <v/>
      </c>
      <c r="S1478" s="3" t="inlineStr">
        <is>
          <t>G2G</t>
        </is>
      </c>
      <c r="T1478" s="3" t="inlineStr">
        <is>
          <t>P4</t>
        </is>
      </c>
      <c r="U1478" s="3" t="inlineStr">
        <is>
          <t>N JB Cold Soldering</t>
        </is>
      </c>
      <c r="V1478" s="3" t="inlineStr">
        <is>
          <t>Soldering</t>
        </is>
      </c>
      <c r="W1478" s="3" t="inlineStr">
        <is>
          <t>Repair</t>
        </is>
      </c>
      <c r="X1478" s="18" t="n">
        <v>46160</v>
      </c>
      <c r="Y1478" s="3">
        <f>X1478-A1478</f>
        <v/>
      </c>
      <c r="Z1478" s="18" t="n">
        <v>46160</v>
      </c>
      <c r="AA1478" s="15" t="n"/>
      <c r="AB1478" s="15" t="n"/>
    </row>
    <row r="1479">
      <c r="A1479" s="37" t="n">
        <v>46143</v>
      </c>
      <c r="B1479" s="3" t="n">
        <v>2026</v>
      </c>
      <c r="C1479" s="26" t="inlineStr">
        <is>
          <t>Yanara Power</t>
        </is>
      </c>
      <c r="D1479" s="3" t="inlineStr">
        <is>
          <t>Utility and C&amp;I</t>
        </is>
      </c>
      <c r="E1479" s="3" t="n"/>
      <c r="F1479" s="3" t="inlineStr">
        <is>
          <t>Closed</t>
        </is>
      </c>
      <c r="G1479" s="9" t="inlineStr">
        <is>
          <t xml:space="preserve">Ashish Jindal </t>
        </is>
      </c>
      <c r="H1479" s="26" t="n">
        <v>9983975581</v>
      </c>
      <c r="I1479" s="38" t="inlineStr">
        <is>
          <t>PE01052601</t>
        </is>
      </c>
      <c r="J1479" s="26" t="inlineStr">
        <is>
          <t>Multiple Issues</t>
        </is>
      </c>
      <c r="K1479" s="39" t="inlineStr">
        <is>
          <t>Holi</t>
        </is>
      </c>
      <c r="L1479" s="39" t="inlineStr">
        <is>
          <t>Maharashtra</t>
        </is>
      </c>
      <c r="M1479" s="9" t="inlineStr">
        <is>
          <t>PS</t>
        </is>
      </c>
      <c r="N1479" s="3" t="inlineStr">
        <is>
          <t>Cold Soldering</t>
        </is>
      </c>
      <c r="O1479" s="39" t="n">
        <v>575</v>
      </c>
      <c r="P1479" s="46" t="inlineStr">
        <is>
          <t>NSMI24070182406</t>
        </is>
      </c>
      <c r="Q1479" s="53">
        <f>MID(P1479,5,2)</f>
        <v/>
      </c>
      <c r="R1479" s="53">
        <f>MID(P1479,7,2)</f>
        <v/>
      </c>
      <c r="S1479" s="3" t="inlineStr">
        <is>
          <t>G2G</t>
        </is>
      </c>
      <c r="T1479" s="3" t="inlineStr">
        <is>
          <t>P4</t>
        </is>
      </c>
      <c r="U1479" s="19" t="inlineStr">
        <is>
          <t>P JB Cold Soldering</t>
        </is>
      </c>
      <c r="V1479" s="19" t="inlineStr">
        <is>
          <t>Soldering</t>
        </is>
      </c>
      <c r="W1479" s="3" t="inlineStr">
        <is>
          <t>Repair</t>
        </is>
      </c>
      <c r="X1479" s="18" t="n">
        <v>46160</v>
      </c>
      <c r="Y1479" s="3">
        <f>X1479-A1479</f>
        <v/>
      </c>
      <c r="Z1479" s="18" t="n">
        <v>46160</v>
      </c>
      <c r="AA1479" s="15" t="n"/>
      <c r="AB1479" s="15" t="n"/>
    </row>
    <row r="1480">
      <c r="A1480" s="37" t="n">
        <v>46143</v>
      </c>
      <c r="B1480" s="3" t="n">
        <v>2026</v>
      </c>
      <c r="C1480" s="26" t="inlineStr">
        <is>
          <t>Yanara Power</t>
        </is>
      </c>
      <c r="D1480" s="3" t="inlineStr">
        <is>
          <t>Utility and C&amp;I</t>
        </is>
      </c>
      <c r="E1480" s="3" t="n"/>
      <c r="F1480" s="3" t="inlineStr">
        <is>
          <t>Closed</t>
        </is>
      </c>
      <c r="G1480" s="9" t="inlineStr">
        <is>
          <t xml:space="preserve">Ashish Jindal </t>
        </is>
      </c>
      <c r="H1480" s="26" t="n">
        <v>9983975581</v>
      </c>
      <c r="I1480" s="38" t="inlineStr">
        <is>
          <t>PE01052601</t>
        </is>
      </c>
      <c r="J1480" s="26" t="inlineStr">
        <is>
          <t>Multiple Issues</t>
        </is>
      </c>
      <c r="K1480" s="39" t="inlineStr">
        <is>
          <t>Holi</t>
        </is>
      </c>
      <c r="L1480" s="39" t="inlineStr">
        <is>
          <t>Maharashtra</t>
        </is>
      </c>
      <c r="M1480" s="9" t="inlineStr">
        <is>
          <t>PS</t>
        </is>
      </c>
      <c r="N1480" s="3" t="inlineStr">
        <is>
          <t>Cold Soldering</t>
        </is>
      </c>
      <c r="O1480" s="39" t="n">
        <v>575</v>
      </c>
      <c r="P1480" s="46" t="inlineStr">
        <is>
          <t>NSMI24070182354</t>
        </is>
      </c>
      <c r="Q1480" s="53">
        <f>MID(P1480,5,2)</f>
        <v/>
      </c>
      <c r="R1480" s="53">
        <f>MID(P1480,7,2)</f>
        <v/>
      </c>
      <c r="S1480" s="3" t="inlineStr">
        <is>
          <t>G2G</t>
        </is>
      </c>
      <c r="T1480" s="3" t="inlineStr">
        <is>
          <t>P4</t>
        </is>
      </c>
      <c r="U1480" s="19" t="inlineStr">
        <is>
          <t>P JB Cold Soldering</t>
        </is>
      </c>
      <c r="V1480" s="19" t="inlineStr">
        <is>
          <t>Soldering</t>
        </is>
      </c>
      <c r="W1480" s="3" t="inlineStr">
        <is>
          <t>Repair</t>
        </is>
      </c>
      <c r="X1480" s="18" t="n">
        <v>46160</v>
      </c>
      <c r="Y1480" s="3">
        <f>X1480-A1480</f>
        <v/>
      </c>
      <c r="Z1480" s="18" t="n">
        <v>46160</v>
      </c>
      <c r="AA1480" s="15" t="n"/>
      <c r="AB1480" s="15" t="n"/>
    </row>
    <row r="1481">
      <c r="A1481" s="37" t="n">
        <v>46143</v>
      </c>
      <c r="B1481" s="3" t="n">
        <v>2026</v>
      </c>
      <c r="C1481" s="26" t="inlineStr">
        <is>
          <t>Yanara Power</t>
        </is>
      </c>
      <c r="D1481" s="3" t="inlineStr">
        <is>
          <t>Utility and C&amp;I</t>
        </is>
      </c>
      <c r="E1481" s="3" t="n"/>
      <c r="F1481" s="3" t="inlineStr">
        <is>
          <t>Closed</t>
        </is>
      </c>
      <c r="G1481" s="9" t="inlineStr">
        <is>
          <t xml:space="preserve">Ashish Jindal </t>
        </is>
      </c>
      <c r="H1481" s="26" t="n">
        <v>9983975581</v>
      </c>
      <c r="I1481" s="38" t="inlineStr">
        <is>
          <t>PE01052601</t>
        </is>
      </c>
      <c r="J1481" s="26" t="inlineStr">
        <is>
          <t>Multiple Issues</t>
        </is>
      </c>
      <c r="K1481" s="39" t="inlineStr">
        <is>
          <t>Holi</t>
        </is>
      </c>
      <c r="L1481" s="39" t="inlineStr">
        <is>
          <t>Maharashtra</t>
        </is>
      </c>
      <c r="M1481" s="9" t="inlineStr">
        <is>
          <t>PS</t>
        </is>
      </c>
      <c r="N1481" s="3" t="inlineStr">
        <is>
          <t>Cold Soldering</t>
        </is>
      </c>
      <c r="O1481" s="39" t="n">
        <v>575</v>
      </c>
      <c r="P1481" s="46" t="inlineStr">
        <is>
          <t>NSMI24070179430</t>
        </is>
      </c>
      <c r="Q1481" s="53">
        <f>MID(P1481,5,2)</f>
        <v/>
      </c>
      <c r="R1481" s="53">
        <f>MID(P1481,7,2)</f>
        <v/>
      </c>
      <c r="S1481" s="3" t="inlineStr">
        <is>
          <t>G2G</t>
        </is>
      </c>
      <c r="T1481" s="3" t="inlineStr">
        <is>
          <t>P4</t>
        </is>
      </c>
      <c r="U1481" s="19" t="inlineStr">
        <is>
          <t>P JB Cold Soldering</t>
        </is>
      </c>
      <c r="V1481" s="19" t="inlineStr">
        <is>
          <t>Soldering</t>
        </is>
      </c>
      <c r="W1481" s="3" t="inlineStr">
        <is>
          <t>Repair</t>
        </is>
      </c>
      <c r="X1481" s="18" t="n">
        <v>46160</v>
      </c>
      <c r="Y1481" s="3">
        <f>X1481-A1481</f>
        <v/>
      </c>
      <c r="Z1481" s="18" t="n">
        <v>46160</v>
      </c>
      <c r="AA1481" s="15" t="n"/>
      <c r="AB1481" s="15" t="n"/>
    </row>
    <row r="1482">
      <c r="A1482" s="37" t="n">
        <v>46143</v>
      </c>
      <c r="B1482" s="3" t="n">
        <v>2026</v>
      </c>
      <c r="C1482" s="26" t="inlineStr">
        <is>
          <t>Yanara Power</t>
        </is>
      </c>
      <c r="D1482" s="3" t="inlineStr">
        <is>
          <t>Utility and C&amp;I</t>
        </is>
      </c>
      <c r="E1482" s="3" t="n"/>
      <c r="F1482" s="3" t="inlineStr">
        <is>
          <t>Closed</t>
        </is>
      </c>
      <c r="G1482" s="9" t="inlineStr">
        <is>
          <t xml:space="preserve">Ashish Jindal </t>
        </is>
      </c>
      <c r="H1482" s="26" t="n">
        <v>9983975581</v>
      </c>
      <c r="I1482" s="38" t="inlineStr">
        <is>
          <t>PE01052601</t>
        </is>
      </c>
      <c r="J1482" s="26" t="inlineStr">
        <is>
          <t>Multiple Issues</t>
        </is>
      </c>
      <c r="K1482" s="39" t="inlineStr">
        <is>
          <t>Holi</t>
        </is>
      </c>
      <c r="L1482" s="39" t="inlineStr">
        <is>
          <t>Maharashtra</t>
        </is>
      </c>
      <c r="M1482" s="9" t="inlineStr">
        <is>
          <t>NS</t>
        </is>
      </c>
      <c r="N1482" s="3" t="inlineStr">
        <is>
          <t>Cold Soldering</t>
        </is>
      </c>
      <c r="O1482" s="39" t="n">
        <v>575</v>
      </c>
      <c r="P1482" s="46" t="inlineStr">
        <is>
          <t>NSMI24070179398</t>
        </is>
      </c>
      <c r="Q1482" s="53">
        <f>MID(P1482,5,2)</f>
        <v/>
      </c>
      <c r="R1482" s="53">
        <f>MID(P1482,7,2)</f>
        <v/>
      </c>
      <c r="S1482" s="3" t="inlineStr">
        <is>
          <t>G2G</t>
        </is>
      </c>
      <c r="T1482" s="3" t="inlineStr">
        <is>
          <t>P4</t>
        </is>
      </c>
      <c r="U1482" s="3" t="inlineStr">
        <is>
          <t>N JB Cold Soldering</t>
        </is>
      </c>
      <c r="V1482" s="3" t="inlineStr">
        <is>
          <t>Soldering</t>
        </is>
      </c>
      <c r="W1482" s="3" t="inlineStr">
        <is>
          <t>Repair</t>
        </is>
      </c>
      <c r="X1482" s="18" t="n">
        <v>46160</v>
      </c>
      <c r="Y1482" s="3">
        <f>X1482-A1482</f>
        <v/>
      </c>
      <c r="Z1482" s="18" t="n">
        <v>46160</v>
      </c>
      <c r="AA1482" s="15" t="n"/>
      <c r="AB1482" s="15" t="n"/>
    </row>
    <row r="1483">
      <c r="A1483" s="37" t="n">
        <v>46143</v>
      </c>
      <c r="B1483" s="3" t="n">
        <v>2026</v>
      </c>
      <c r="C1483" s="26" t="inlineStr">
        <is>
          <t>Yanara Power</t>
        </is>
      </c>
      <c r="D1483" s="3" t="inlineStr">
        <is>
          <t>Utility and C&amp;I</t>
        </is>
      </c>
      <c r="E1483" s="3" t="n"/>
      <c r="F1483" s="3" t="inlineStr">
        <is>
          <t>Closed</t>
        </is>
      </c>
      <c r="G1483" s="9" t="inlineStr">
        <is>
          <t xml:space="preserve">Ashish Jindal </t>
        </is>
      </c>
      <c r="H1483" s="26" t="n">
        <v>9983975581</v>
      </c>
      <c r="I1483" s="38" t="inlineStr">
        <is>
          <t>PE01052601</t>
        </is>
      </c>
      <c r="J1483" s="26" t="inlineStr">
        <is>
          <t>Multiple Issues</t>
        </is>
      </c>
      <c r="K1483" s="39" t="inlineStr">
        <is>
          <t>Holi</t>
        </is>
      </c>
      <c r="L1483" s="39" t="inlineStr">
        <is>
          <t>Maharashtra</t>
        </is>
      </c>
      <c r="M1483" s="9" t="inlineStr">
        <is>
          <t>PS</t>
        </is>
      </c>
      <c r="N1483" s="3" t="inlineStr">
        <is>
          <t>Cold Soldering</t>
        </is>
      </c>
      <c r="O1483" s="39" t="n">
        <v>575</v>
      </c>
      <c r="P1483" s="46" t="inlineStr">
        <is>
          <t>NSMI24070189479</t>
        </is>
      </c>
      <c r="Q1483" s="53">
        <f>MID(P1483,5,2)</f>
        <v/>
      </c>
      <c r="R1483" s="53">
        <f>MID(P1483,7,2)</f>
        <v/>
      </c>
      <c r="S1483" s="3" t="inlineStr">
        <is>
          <t>G2G</t>
        </is>
      </c>
      <c r="T1483" s="3" t="inlineStr">
        <is>
          <t>P4</t>
        </is>
      </c>
      <c r="U1483" s="19" t="inlineStr">
        <is>
          <t>P JB Cold Soldering</t>
        </is>
      </c>
      <c r="V1483" s="19" t="inlineStr">
        <is>
          <t>Soldering</t>
        </is>
      </c>
      <c r="W1483" s="3" t="inlineStr">
        <is>
          <t>Repair</t>
        </is>
      </c>
      <c r="X1483" s="18" t="n">
        <v>46160</v>
      </c>
      <c r="Y1483" s="3">
        <f>X1483-A1483</f>
        <v/>
      </c>
      <c r="Z1483" s="18" t="n">
        <v>46160</v>
      </c>
      <c r="AA1483" s="15" t="n"/>
      <c r="AB1483" s="15" t="n"/>
    </row>
    <row r="1484">
      <c r="A1484" s="37" t="n">
        <v>46143</v>
      </c>
      <c r="B1484" s="3" t="n">
        <v>2026</v>
      </c>
      <c r="C1484" s="26" t="inlineStr">
        <is>
          <t>Yanara Power</t>
        </is>
      </c>
      <c r="D1484" s="3" t="inlineStr">
        <is>
          <t>Utility and C&amp;I</t>
        </is>
      </c>
      <c r="E1484" s="3" t="n"/>
      <c r="F1484" s="3" t="inlineStr">
        <is>
          <t>Closed</t>
        </is>
      </c>
      <c r="G1484" s="9" t="inlineStr">
        <is>
          <t xml:space="preserve">Ashish Jindal </t>
        </is>
      </c>
      <c r="H1484" s="26" t="n">
        <v>9983975581</v>
      </c>
      <c r="I1484" s="38" t="inlineStr">
        <is>
          <t>PE01052601</t>
        </is>
      </c>
      <c r="J1484" s="26" t="inlineStr">
        <is>
          <t>Multiple Issues</t>
        </is>
      </c>
      <c r="K1484" s="39" t="inlineStr">
        <is>
          <t>Holi</t>
        </is>
      </c>
      <c r="L1484" s="39" t="inlineStr">
        <is>
          <t>Maharashtra</t>
        </is>
      </c>
      <c r="M1484" s="9" t="inlineStr">
        <is>
          <t>PS</t>
        </is>
      </c>
      <c r="N1484" s="3" t="inlineStr">
        <is>
          <t>Cold Soldering</t>
        </is>
      </c>
      <c r="O1484" s="39" t="n">
        <v>575</v>
      </c>
      <c r="P1484" s="46" t="inlineStr">
        <is>
          <t>NSMI24070182227</t>
        </is>
      </c>
      <c r="Q1484" s="53">
        <f>MID(P1484,5,2)</f>
        <v/>
      </c>
      <c r="R1484" s="53">
        <f>MID(P1484,7,2)</f>
        <v/>
      </c>
      <c r="S1484" s="3" t="inlineStr">
        <is>
          <t>G2G</t>
        </is>
      </c>
      <c r="T1484" s="3" t="inlineStr">
        <is>
          <t>P4</t>
        </is>
      </c>
      <c r="U1484" s="19" t="inlineStr">
        <is>
          <t>P JB Cold Soldering</t>
        </is>
      </c>
      <c r="V1484" s="19" t="inlineStr">
        <is>
          <t>Soldering</t>
        </is>
      </c>
      <c r="W1484" s="3" t="inlineStr">
        <is>
          <t>Repair</t>
        </is>
      </c>
      <c r="X1484" s="18" t="n">
        <v>46160</v>
      </c>
      <c r="Y1484" s="3">
        <f>X1484-A1484</f>
        <v/>
      </c>
      <c r="Z1484" s="18" t="n">
        <v>46160</v>
      </c>
      <c r="AA1484" s="15" t="n"/>
      <c r="AB1484" s="15" t="n"/>
    </row>
    <row r="1485">
      <c r="A1485" s="37" t="n">
        <v>46143</v>
      </c>
      <c r="B1485" s="3" t="n">
        <v>2026</v>
      </c>
      <c r="C1485" s="26" t="inlineStr">
        <is>
          <t>Yanara Power</t>
        </is>
      </c>
      <c r="D1485" s="3" t="inlineStr">
        <is>
          <t>Utility and C&amp;I</t>
        </is>
      </c>
      <c r="E1485" s="3" t="n"/>
      <c r="F1485" s="3" t="inlineStr">
        <is>
          <t>Closed</t>
        </is>
      </c>
      <c r="G1485" s="9" t="inlineStr">
        <is>
          <t xml:space="preserve">Ashish Jindal </t>
        </is>
      </c>
      <c r="H1485" s="26" t="n">
        <v>9983975581</v>
      </c>
      <c r="I1485" s="38" t="inlineStr">
        <is>
          <t>PE01052601</t>
        </is>
      </c>
      <c r="J1485" s="26" t="inlineStr">
        <is>
          <t>Multiple Issues</t>
        </is>
      </c>
      <c r="K1485" s="39" t="inlineStr">
        <is>
          <t>Holi</t>
        </is>
      </c>
      <c r="L1485" s="39" t="inlineStr">
        <is>
          <t>Maharashtra</t>
        </is>
      </c>
      <c r="M1485" s="9" t="inlineStr">
        <is>
          <t>NS</t>
        </is>
      </c>
      <c r="N1485" s="3" t="inlineStr">
        <is>
          <t>Cold Soldering</t>
        </is>
      </c>
      <c r="O1485" s="39" t="n">
        <v>575</v>
      </c>
      <c r="P1485" s="46" t="inlineStr">
        <is>
          <t>NSMI24070183166</t>
        </is>
      </c>
      <c r="Q1485" s="53">
        <f>MID(P1485,5,2)</f>
        <v/>
      </c>
      <c r="R1485" s="53">
        <f>MID(P1485,7,2)</f>
        <v/>
      </c>
      <c r="S1485" s="3" t="inlineStr">
        <is>
          <t>G2G</t>
        </is>
      </c>
      <c r="T1485" s="3" t="inlineStr">
        <is>
          <t>P4</t>
        </is>
      </c>
      <c r="U1485" s="3" t="inlineStr">
        <is>
          <t>N JB Cold Soldering</t>
        </is>
      </c>
      <c r="V1485" s="3" t="inlineStr">
        <is>
          <t>Soldering</t>
        </is>
      </c>
      <c r="W1485" s="3" t="inlineStr">
        <is>
          <t>Repair</t>
        </is>
      </c>
      <c r="X1485" s="18" t="n">
        <v>46160</v>
      </c>
      <c r="Y1485" s="3">
        <f>X1485-A1485</f>
        <v/>
      </c>
      <c r="Z1485" s="18" t="n">
        <v>46160</v>
      </c>
      <c r="AA1485" s="15" t="n"/>
      <c r="AB1485" s="15" t="n"/>
    </row>
    <row r="1486">
      <c r="A1486" s="37" t="n">
        <v>46143</v>
      </c>
      <c r="B1486" s="3" t="n">
        <v>2026</v>
      </c>
      <c r="C1486" s="26" t="inlineStr">
        <is>
          <t>Yanara Power</t>
        </is>
      </c>
      <c r="D1486" s="3" t="inlineStr">
        <is>
          <t>Utility and C&amp;I</t>
        </is>
      </c>
      <c r="E1486" s="3" t="n"/>
      <c r="F1486" s="3" t="inlineStr">
        <is>
          <t>Closed</t>
        </is>
      </c>
      <c r="G1486" s="9" t="inlineStr">
        <is>
          <t xml:space="preserve">Ashish Jindal </t>
        </is>
      </c>
      <c r="H1486" s="26" t="n">
        <v>9983975581</v>
      </c>
      <c r="I1486" s="38" t="inlineStr">
        <is>
          <t>PE01052601</t>
        </is>
      </c>
      <c r="J1486" s="26" t="inlineStr">
        <is>
          <t>Multiple Issues</t>
        </is>
      </c>
      <c r="K1486" s="39" t="inlineStr">
        <is>
          <t>Holi</t>
        </is>
      </c>
      <c r="L1486" s="39" t="inlineStr">
        <is>
          <t>Maharashtra</t>
        </is>
      </c>
      <c r="M1486" s="9" t="inlineStr">
        <is>
          <t>PS</t>
        </is>
      </c>
      <c r="N1486" s="3" t="inlineStr">
        <is>
          <t>Cold Soldering</t>
        </is>
      </c>
      <c r="O1486" s="39" t="n">
        <v>575</v>
      </c>
      <c r="P1486" s="46" t="inlineStr">
        <is>
          <t>NSMI24070196543</t>
        </is>
      </c>
      <c r="Q1486" s="53">
        <f>MID(P1486,5,2)</f>
        <v/>
      </c>
      <c r="R1486" s="53">
        <f>MID(P1486,7,2)</f>
        <v/>
      </c>
      <c r="S1486" s="3" t="inlineStr">
        <is>
          <t>G2G</t>
        </is>
      </c>
      <c r="T1486" s="3" t="inlineStr">
        <is>
          <t>P4</t>
        </is>
      </c>
      <c r="U1486" s="19" t="inlineStr">
        <is>
          <t>P JB Cold Soldering</t>
        </is>
      </c>
      <c r="V1486" s="19" t="inlineStr">
        <is>
          <t>Soldering</t>
        </is>
      </c>
      <c r="W1486" s="3" t="inlineStr">
        <is>
          <t>Repair</t>
        </is>
      </c>
      <c r="X1486" s="18" t="n">
        <v>46160</v>
      </c>
      <c r="Y1486" s="3">
        <f>X1486-A1486</f>
        <v/>
      </c>
      <c r="Z1486" s="18" t="n">
        <v>46160</v>
      </c>
      <c r="AA1486" s="15" t="n"/>
      <c r="AB1486" s="15" t="n"/>
    </row>
    <row r="1487">
      <c r="A1487" s="37" t="n">
        <v>46143</v>
      </c>
      <c r="B1487" s="3" t="n">
        <v>2026</v>
      </c>
      <c r="C1487" s="26" t="inlineStr">
        <is>
          <t>Yanara Power</t>
        </is>
      </c>
      <c r="D1487" s="3" t="inlineStr">
        <is>
          <t>Utility and C&amp;I</t>
        </is>
      </c>
      <c r="E1487" s="3" t="n"/>
      <c r="F1487" s="3" t="inlineStr">
        <is>
          <t>Closed</t>
        </is>
      </c>
      <c r="G1487" s="9" t="inlineStr">
        <is>
          <t xml:space="preserve">Ashish Jindal </t>
        </is>
      </c>
      <c r="H1487" s="26" t="n">
        <v>9983975581</v>
      </c>
      <c r="I1487" s="38" t="inlineStr">
        <is>
          <t>PE01052601</t>
        </is>
      </c>
      <c r="J1487" s="26" t="inlineStr">
        <is>
          <t>Multiple Issues</t>
        </is>
      </c>
      <c r="K1487" s="39" t="inlineStr">
        <is>
          <t>Holi</t>
        </is>
      </c>
      <c r="L1487" s="39" t="inlineStr">
        <is>
          <t>Maharashtra</t>
        </is>
      </c>
      <c r="M1487" s="9" t="inlineStr">
        <is>
          <t>PNS</t>
        </is>
      </c>
      <c r="N1487" s="3" t="inlineStr">
        <is>
          <t>Cold Soldering</t>
        </is>
      </c>
      <c r="O1487" s="39" t="n">
        <v>575</v>
      </c>
      <c r="P1487" s="46" t="inlineStr">
        <is>
          <t>NSMI24070181484</t>
        </is>
      </c>
      <c r="Q1487" s="53">
        <f>MID(P1487,5,2)</f>
        <v/>
      </c>
      <c r="R1487" s="53">
        <f>MID(P1487,7,2)</f>
        <v/>
      </c>
      <c r="S1487" s="3" t="inlineStr">
        <is>
          <t>G2G</t>
        </is>
      </c>
      <c r="T1487" s="3" t="inlineStr">
        <is>
          <t>P4</t>
        </is>
      </c>
      <c r="U1487" s="3" t="inlineStr">
        <is>
          <t>P &amp; N JB Cold Soldering</t>
        </is>
      </c>
      <c r="V1487" s="3" t="inlineStr">
        <is>
          <t>Soldering</t>
        </is>
      </c>
      <c r="W1487" s="3" t="inlineStr">
        <is>
          <t>Repair</t>
        </is>
      </c>
      <c r="X1487" s="18" t="n">
        <v>46160</v>
      </c>
      <c r="Y1487" s="3">
        <f>X1487-A1487</f>
        <v/>
      </c>
      <c r="Z1487" s="18" t="n">
        <v>46160</v>
      </c>
      <c r="AA1487" s="15" t="n"/>
      <c r="AB1487" s="15" t="n"/>
    </row>
    <row r="1488">
      <c r="A1488" s="37" t="n">
        <v>46143</v>
      </c>
      <c r="B1488" s="3" t="n">
        <v>2026</v>
      </c>
      <c r="C1488" s="26" t="inlineStr">
        <is>
          <t>Yanara Power</t>
        </is>
      </c>
      <c r="D1488" s="3" t="inlineStr">
        <is>
          <t>Utility and C&amp;I</t>
        </is>
      </c>
      <c r="E1488" s="3" t="n"/>
      <c r="F1488" s="3" t="inlineStr">
        <is>
          <t>Closed</t>
        </is>
      </c>
      <c r="G1488" s="9" t="inlineStr">
        <is>
          <t xml:space="preserve">Ashish Jindal </t>
        </is>
      </c>
      <c r="H1488" s="26" t="n">
        <v>9983975581</v>
      </c>
      <c r="I1488" s="38" t="inlineStr">
        <is>
          <t>PE01052601</t>
        </is>
      </c>
      <c r="J1488" s="26" t="inlineStr">
        <is>
          <t>Multiple Issues</t>
        </is>
      </c>
      <c r="K1488" s="39" t="inlineStr">
        <is>
          <t>Holi</t>
        </is>
      </c>
      <c r="L1488" s="39" t="inlineStr">
        <is>
          <t>Maharashtra</t>
        </is>
      </c>
      <c r="M1488" s="9" t="inlineStr">
        <is>
          <t>PS</t>
        </is>
      </c>
      <c r="N1488" s="3" t="inlineStr">
        <is>
          <t>Cold Soldering</t>
        </is>
      </c>
      <c r="O1488" s="39" t="n">
        <v>575</v>
      </c>
      <c r="P1488" s="46" t="inlineStr">
        <is>
          <t>NSMI24070183129</t>
        </is>
      </c>
      <c r="Q1488" s="53">
        <f>MID(P1488,5,2)</f>
        <v/>
      </c>
      <c r="R1488" s="53">
        <f>MID(P1488,7,2)</f>
        <v/>
      </c>
      <c r="S1488" s="3" t="inlineStr">
        <is>
          <t>G2G</t>
        </is>
      </c>
      <c r="T1488" s="3" t="inlineStr">
        <is>
          <t>P4</t>
        </is>
      </c>
      <c r="U1488" s="19" t="inlineStr">
        <is>
          <t>P JB Cold Soldering</t>
        </is>
      </c>
      <c r="V1488" s="19" t="inlineStr">
        <is>
          <t>Soldering</t>
        </is>
      </c>
      <c r="W1488" s="3" t="inlineStr">
        <is>
          <t>Repair</t>
        </is>
      </c>
      <c r="X1488" s="18" t="n">
        <v>46160</v>
      </c>
      <c r="Y1488" s="3">
        <f>X1488-A1488</f>
        <v/>
      </c>
      <c r="Z1488" s="18" t="n">
        <v>46160</v>
      </c>
      <c r="AA1488" s="15" t="n"/>
      <c r="AB1488" s="15" t="n"/>
    </row>
    <row r="1489">
      <c r="A1489" s="37" t="n">
        <v>46143</v>
      </c>
      <c r="B1489" s="3" t="n">
        <v>2026</v>
      </c>
      <c r="C1489" s="26" t="inlineStr">
        <is>
          <t>Yanara Power</t>
        </is>
      </c>
      <c r="D1489" s="3" t="inlineStr">
        <is>
          <t>Utility and C&amp;I</t>
        </is>
      </c>
      <c r="E1489" s="3" t="n"/>
      <c r="F1489" s="3" t="inlineStr">
        <is>
          <t>Closed</t>
        </is>
      </c>
      <c r="G1489" s="9" t="inlineStr">
        <is>
          <t xml:space="preserve">Ashish Jindal </t>
        </is>
      </c>
      <c r="H1489" s="26" t="n">
        <v>9983975581</v>
      </c>
      <c r="I1489" s="38" t="inlineStr">
        <is>
          <t>PE01052601</t>
        </is>
      </c>
      <c r="J1489" s="26" t="inlineStr">
        <is>
          <t>Multiple Issues</t>
        </is>
      </c>
      <c r="K1489" s="39" t="inlineStr">
        <is>
          <t>Holi</t>
        </is>
      </c>
      <c r="L1489" s="39" t="inlineStr">
        <is>
          <t>Maharashtra</t>
        </is>
      </c>
      <c r="M1489" s="46" t="inlineStr">
        <is>
          <t>PS</t>
        </is>
      </c>
      <c r="N1489" s="3" t="inlineStr">
        <is>
          <t>Cold Soldering</t>
        </is>
      </c>
      <c r="O1489" s="39" t="n">
        <v>575</v>
      </c>
      <c r="P1489" s="46" t="inlineStr">
        <is>
          <t>NSMI24070179360</t>
        </is>
      </c>
      <c r="Q1489" s="53">
        <f>MID(P1489,5,2)</f>
        <v/>
      </c>
      <c r="R1489" s="53">
        <f>MID(P1489,7,2)</f>
        <v/>
      </c>
      <c r="S1489" s="3" t="inlineStr">
        <is>
          <t>G2G</t>
        </is>
      </c>
      <c r="T1489" s="3" t="inlineStr">
        <is>
          <t>P4</t>
        </is>
      </c>
      <c r="U1489" s="19" t="inlineStr">
        <is>
          <t>P JB Cold Soldering</t>
        </is>
      </c>
      <c r="V1489" s="19" t="inlineStr">
        <is>
          <t>Soldering</t>
        </is>
      </c>
      <c r="W1489" s="3" t="inlineStr">
        <is>
          <t>Repair</t>
        </is>
      </c>
      <c r="X1489" s="18" t="n">
        <v>46161</v>
      </c>
      <c r="Y1489" s="3">
        <f>X1489-A1489</f>
        <v/>
      </c>
      <c r="Z1489" s="18" t="n">
        <v>46161</v>
      </c>
      <c r="AA1489" s="15" t="n"/>
      <c r="AB1489" s="15" t="n"/>
    </row>
    <row r="1490">
      <c r="A1490" s="37" t="n">
        <v>46143</v>
      </c>
      <c r="B1490" s="3" t="n">
        <v>2026</v>
      </c>
      <c r="C1490" s="26" t="inlineStr">
        <is>
          <t>Yanara Power</t>
        </is>
      </c>
      <c r="D1490" s="3" t="inlineStr">
        <is>
          <t>Utility and C&amp;I</t>
        </is>
      </c>
      <c r="E1490" s="3" t="n"/>
      <c r="F1490" s="3" t="inlineStr">
        <is>
          <t>Closed</t>
        </is>
      </c>
      <c r="G1490" s="9" t="inlineStr">
        <is>
          <t xml:space="preserve">Ashish Jindal </t>
        </is>
      </c>
      <c r="H1490" s="26" t="n">
        <v>9983975581</v>
      </c>
      <c r="I1490" s="38" t="inlineStr">
        <is>
          <t>PE01052601</t>
        </is>
      </c>
      <c r="J1490" s="26" t="inlineStr">
        <is>
          <t>Multiple Issues</t>
        </is>
      </c>
      <c r="K1490" s="39" t="inlineStr">
        <is>
          <t>Holi</t>
        </is>
      </c>
      <c r="L1490" s="39" t="inlineStr">
        <is>
          <t>Maharashtra</t>
        </is>
      </c>
      <c r="M1490" s="46" t="inlineStr">
        <is>
          <t>PS</t>
        </is>
      </c>
      <c r="N1490" s="3" t="inlineStr">
        <is>
          <t>Cold Soldering</t>
        </is>
      </c>
      <c r="O1490" s="39" t="n">
        <v>575</v>
      </c>
      <c r="P1490" s="46" t="inlineStr">
        <is>
          <t>NSMI24070181534</t>
        </is>
      </c>
      <c r="Q1490" s="53">
        <f>MID(P1490,5,2)</f>
        <v/>
      </c>
      <c r="R1490" s="53">
        <f>MID(P1490,7,2)</f>
        <v/>
      </c>
      <c r="S1490" s="3" t="inlineStr">
        <is>
          <t>G2G</t>
        </is>
      </c>
      <c r="T1490" s="3" t="inlineStr">
        <is>
          <t>P4</t>
        </is>
      </c>
      <c r="U1490" s="19" t="inlineStr">
        <is>
          <t>P JB Cold Soldering</t>
        </is>
      </c>
      <c r="V1490" s="19" t="inlineStr">
        <is>
          <t>Soldering</t>
        </is>
      </c>
      <c r="W1490" s="3" t="inlineStr">
        <is>
          <t>Repair</t>
        </is>
      </c>
      <c r="X1490" s="18" t="n">
        <v>46161</v>
      </c>
      <c r="Y1490" s="3">
        <f>X1490-A1490</f>
        <v/>
      </c>
      <c r="Z1490" s="18" t="n">
        <v>46161</v>
      </c>
      <c r="AA1490" s="15" t="n"/>
      <c r="AB1490" s="15" t="n"/>
    </row>
    <row r="1491">
      <c r="A1491" s="37" t="n">
        <v>46143</v>
      </c>
      <c r="B1491" s="3" t="n">
        <v>2026</v>
      </c>
      <c r="C1491" s="26" t="inlineStr">
        <is>
          <t>Yanara Power</t>
        </is>
      </c>
      <c r="D1491" s="3" t="inlineStr">
        <is>
          <t>Utility and C&amp;I</t>
        </is>
      </c>
      <c r="E1491" s="3" t="n"/>
      <c r="F1491" s="3" t="inlineStr">
        <is>
          <t>Closed</t>
        </is>
      </c>
      <c r="G1491" s="9" t="inlineStr">
        <is>
          <t xml:space="preserve">Ashish Jindal </t>
        </is>
      </c>
      <c r="H1491" s="26" t="n">
        <v>9983975581</v>
      </c>
      <c r="I1491" s="38" t="inlineStr">
        <is>
          <t>PE01052601</t>
        </is>
      </c>
      <c r="J1491" s="26" t="inlineStr">
        <is>
          <t>Multiple Issues</t>
        </is>
      </c>
      <c r="K1491" s="39" t="inlineStr">
        <is>
          <t>Holi</t>
        </is>
      </c>
      <c r="L1491" s="39" t="inlineStr">
        <is>
          <t>Maharashtra</t>
        </is>
      </c>
      <c r="M1491" s="46" t="inlineStr">
        <is>
          <t>PS</t>
        </is>
      </c>
      <c r="N1491" s="3" t="inlineStr">
        <is>
          <t>Cold Soldering</t>
        </is>
      </c>
      <c r="O1491" s="39" t="n">
        <v>575</v>
      </c>
      <c r="P1491" s="46" t="inlineStr">
        <is>
          <t>NSMI24070190089</t>
        </is>
      </c>
      <c r="Q1491" s="53">
        <f>MID(P1491,5,2)</f>
        <v/>
      </c>
      <c r="R1491" s="53">
        <f>MID(P1491,7,2)</f>
        <v/>
      </c>
      <c r="S1491" s="3" t="inlineStr">
        <is>
          <t>G2G</t>
        </is>
      </c>
      <c r="T1491" s="3" t="inlineStr">
        <is>
          <t>P4</t>
        </is>
      </c>
      <c r="U1491" s="19" t="inlineStr">
        <is>
          <t>P JB Cold Soldering</t>
        </is>
      </c>
      <c r="V1491" s="19" t="inlineStr">
        <is>
          <t>Soldering</t>
        </is>
      </c>
      <c r="W1491" s="3" t="inlineStr">
        <is>
          <t>Repair</t>
        </is>
      </c>
      <c r="X1491" s="18" t="n">
        <v>46161</v>
      </c>
      <c r="Y1491" s="3">
        <f>X1491-A1491</f>
        <v/>
      </c>
      <c r="Z1491" s="18" t="n">
        <v>46161</v>
      </c>
      <c r="AA1491" s="15" t="n"/>
      <c r="AB1491" s="15" t="n"/>
    </row>
    <row r="1492">
      <c r="A1492" s="37" t="n">
        <v>46143</v>
      </c>
      <c r="B1492" s="3" t="n">
        <v>2026</v>
      </c>
      <c r="C1492" s="26" t="inlineStr">
        <is>
          <t>Yanara Power</t>
        </is>
      </c>
      <c r="D1492" s="3" t="inlineStr">
        <is>
          <t>Utility and C&amp;I</t>
        </is>
      </c>
      <c r="E1492" s="3" t="n"/>
      <c r="F1492" s="3" t="inlineStr">
        <is>
          <t>Closed</t>
        </is>
      </c>
      <c r="G1492" s="9" t="inlineStr">
        <is>
          <t xml:space="preserve">Ashish Jindal </t>
        </is>
      </c>
      <c r="H1492" s="26" t="n">
        <v>9983975581</v>
      </c>
      <c r="I1492" s="38" t="inlineStr">
        <is>
          <t>PE01052601</t>
        </is>
      </c>
      <c r="J1492" s="26" t="inlineStr">
        <is>
          <t>Multiple Issues</t>
        </is>
      </c>
      <c r="K1492" s="39" t="inlineStr">
        <is>
          <t>Holi</t>
        </is>
      </c>
      <c r="L1492" s="39" t="inlineStr">
        <is>
          <t>Maharashtra</t>
        </is>
      </c>
      <c r="M1492" s="46" t="inlineStr">
        <is>
          <t>PS</t>
        </is>
      </c>
      <c r="N1492" s="3" t="inlineStr">
        <is>
          <t>Cold Soldering</t>
        </is>
      </c>
      <c r="O1492" s="39" t="n">
        <v>575</v>
      </c>
      <c r="P1492" s="46" t="inlineStr">
        <is>
          <t>NSMI24070183953</t>
        </is>
      </c>
      <c r="Q1492" s="53">
        <f>MID(P1492,5,2)</f>
        <v/>
      </c>
      <c r="R1492" s="53">
        <f>MID(P1492,7,2)</f>
        <v/>
      </c>
      <c r="S1492" s="3" t="inlineStr">
        <is>
          <t>G2G</t>
        </is>
      </c>
      <c r="T1492" s="3" t="inlineStr">
        <is>
          <t>P4</t>
        </is>
      </c>
      <c r="U1492" s="19" t="inlineStr">
        <is>
          <t>P JB Cold Soldering</t>
        </is>
      </c>
      <c r="V1492" s="19" t="inlineStr">
        <is>
          <t>Soldering</t>
        </is>
      </c>
      <c r="W1492" s="3" t="inlineStr">
        <is>
          <t>Repair</t>
        </is>
      </c>
      <c r="X1492" s="18" t="n">
        <v>46161</v>
      </c>
      <c r="Y1492" s="3">
        <f>X1492-A1492</f>
        <v/>
      </c>
      <c r="Z1492" s="18" t="n">
        <v>46161</v>
      </c>
      <c r="AA1492" s="15" t="n"/>
      <c r="AB1492" s="15" t="n"/>
    </row>
    <row r="1493">
      <c r="A1493" s="37" t="n">
        <v>46143</v>
      </c>
      <c r="B1493" s="3" t="n">
        <v>2026</v>
      </c>
      <c r="C1493" s="26" t="inlineStr">
        <is>
          <t>Yanara Power</t>
        </is>
      </c>
      <c r="D1493" s="3" t="inlineStr">
        <is>
          <t>Utility and C&amp;I</t>
        </is>
      </c>
      <c r="E1493" s="3" t="n"/>
      <c r="F1493" s="3" t="inlineStr">
        <is>
          <t>Closed</t>
        </is>
      </c>
      <c r="G1493" s="9" t="inlineStr">
        <is>
          <t xml:space="preserve">Ashish Jindal </t>
        </is>
      </c>
      <c r="H1493" s="26" t="n">
        <v>9983975581</v>
      </c>
      <c r="I1493" s="38" t="inlineStr">
        <is>
          <t>PE01052601</t>
        </is>
      </c>
      <c r="J1493" s="26" t="inlineStr">
        <is>
          <t>Multiple Issues</t>
        </is>
      </c>
      <c r="K1493" s="39" t="inlineStr">
        <is>
          <t>Holi</t>
        </is>
      </c>
      <c r="L1493" s="39" t="inlineStr">
        <is>
          <t>Maharashtra</t>
        </is>
      </c>
      <c r="M1493" s="46" t="inlineStr">
        <is>
          <t>NS</t>
        </is>
      </c>
      <c r="N1493" s="3" t="inlineStr">
        <is>
          <t>Cold Soldering</t>
        </is>
      </c>
      <c r="O1493" s="39" t="n">
        <v>575</v>
      </c>
      <c r="P1493" s="46" t="inlineStr">
        <is>
          <t>NSMI24070182416</t>
        </is>
      </c>
      <c r="Q1493" s="53">
        <f>MID(P1493,5,2)</f>
        <v/>
      </c>
      <c r="R1493" s="53">
        <f>MID(P1493,7,2)</f>
        <v/>
      </c>
      <c r="S1493" s="3" t="inlineStr">
        <is>
          <t>G2G</t>
        </is>
      </c>
      <c r="T1493" s="3" t="inlineStr">
        <is>
          <t>P4</t>
        </is>
      </c>
      <c r="U1493" s="3" t="inlineStr">
        <is>
          <t>N JB Cold Soldering</t>
        </is>
      </c>
      <c r="V1493" s="3" t="inlineStr">
        <is>
          <t>Soldering</t>
        </is>
      </c>
      <c r="W1493" s="3" t="inlineStr">
        <is>
          <t>Repair</t>
        </is>
      </c>
      <c r="X1493" s="18" t="n">
        <v>46161</v>
      </c>
      <c r="Y1493" s="3">
        <f>X1493-A1493</f>
        <v/>
      </c>
      <c r="Z1493" s="18" t="n">
        <v>46161</v>
      </c>
      <c r="AA1493" s="15" t="n"/>
      <c r="AB1493" s="15" t="n"/>
    </row>
    <row r="1494">
      <c r="A1494" s="37" t="n">
        <v>46143</v>
      </c>
      <c r="B1494" s="3" t="n">
        <v>2026</v>
      </c>
      <c r="C1494" s="26" t="inlineStr">
        <is>
          <t>Yanara Power</t>
        </is>
      </c>
      <c r="D1494" s="3" t="inlineStr">
        <is>
          <t>Utility and C&amp;I</t>
        </is>
      </c>
      <c r="E1494" s="3" t="n"/>
      <c r="F1494" s="3" t="inlineStr">
        <is>
          <t>Closed</t>
        </is>
      </c>
      <c r="G1494" s="9" t="inlineStr">
        <is>
          <t xml:space="preserve">Ashish Jindal </t>
        </is>
      </c>
      <c r="H1494" s="26" t="n">
        <v>9983975581</v>
      </c>
      <c r="I1494" s="38" t="inlineStr">
        <is>
          <t>PE01052601</t>
        </is>
      </c>
      <c r="J1494" s="26" t="inlineStr">
        <is>
          <t>Multiple Issues</t>
        </is>
      </c>
      <c r="K1494" s="39" t="inlineStr">
        <is>
          <t>Holi</t>
        </is>
      </c>
      <c r="L1494" s="39" t="inlineStr">
        <is>
          <t>Maharashtra</t>
        </is>
      </c>
      <c r="M1494" s="46" t="inlineStr">
        <is>
          <t>PS</t>
        </is>
      </c>
      <c r="N1494" s="3" t="inlineStr">
        <is>
          <t>Cold Soldering</t>
        </is>
      </c>
      <c r="O1494" s="39" t="n">
        <v>575</v>
      </c>
      <c r="P1494" s="46" t="inlineStr">
        <is>
          <t>NSMI24070182355</t>
        </is>
      </c>
      <c r="Q1494" s="53">
        <f>MID(P1494,5,2)</f>
        <v/>
      </c>
      <c r="R1494" s="53">
        <f>MID(P1494,7,2)</f>
        <v/>
      </c>
      <c r="S1494" s="3" t="inlineStr">
        <is>
          <t>G2G</t>
        </is>
      </c>
      <c r="T1494" s="3" t="inlineStr">
        <is>
          <t>P4</t>
        </is>
      </c>
      <c r="U1494" s="19" t="inlineStr">
        <is>
          <t>P JB Cold Soldering</t>
        </is>
      </c>
      <c r="V1494" s="19" t="inlineStr">
        <is>
          <t>Soldering</t>
        </is>
      </c>
      <c r="W1494" s="3" t="inlineStr">
        <is>
          <t>Repair</t>
        </is>
      </c>
      <c r="X1494" s="18" t="n">
        <v>46161</v>
      </c>
      <c r="Y1494" s="3">
        <f>X1494-A1494</f>
        <v/>
      </c>
      <c r="Z1494" s="18" t="n">
        <v>46161</v>
      </c>
      <c r="AA1494" s="15" t="n"/>
      <c r="AB1494" s="15" t="n"/>
    </row>
    <row r="1495">
      <c r="A1495" s="37" t="n">
        <v>46143</v>
      </c>
      <c r="B1495" s="3" t="n">
        <v>2026</v>
      </c>
      <c r="C1495" s="26" t="inlineStr">
        <is>
          <t>Yanara Power</t>
        </is>
      </c>
      <c r="D1495" s="3" t="inlineStr">
        <is>
          <t>Utility and C&amp;I</t>
        </is>
      </c>
      <c r="E1495" s="3" t="n"/>
      <c r="F1495" s="3" t="inlineStr">
        <is>
          <t>Closed</t>
        </is>
      </c>
      <c r="G1495" s="9" t="inlineStr">
        <is>
          <t xml:space="preserve">Ashish Jindal </t>
        </is>
      </c>
      <c r="H1495" s="26" t="n">
        <v>9983975581</v>
      </c>
      <c r="I1495" s="38" t="inlineStr">
        <is>
          <t>PE01052601</t>
        </is>
      </c>
      <c r="J1495" s="26" t="inlineStr">
        <is>
          <t>Multiple Issues</t>
        </is>
      </c>
      <c r="K1495" s="39" t="inlineStr">
        <is>
          <t>Holi</t>
        </is>
      </c>
      <c r="L1495" s="39" t="inlineStr">
        <is>
          <t>Maharashtra</t>
        </is>
      </c>
      <c r="M1495" s="46" t="inlineStr">
        <is>
          <t>PS</t>
        </is>
      </c>
      <c r="N1495" s="3" t="inlineStr">
        <is>
          <t>Cold Soldering</t>
        </is>
      </c>
      <c r="O1495" s="39" t="n">
        <v>575</v>
      </c>
      <c r="P1495" s="46" t="inlineStr">
        <is>
          <t>NSMI24070177830</t>
        </is>
      </c>
      <c r="Q1495" s="53">
        <f>MID(P1495,5,2)</f>
        <v/>
      </c>
      <c r="R1495" s="53">
        <f>MID(P1495,7,2)</f>
        <v/>
      </c>
      <c r="S1495" s="3" t="inlineStr">
        <is>
          <t>G2G</t>
        </is>
      </c>
      <c r="T1495" s="3" t="inlineStr">
        <is>
          <t>P4</t>
        </is>
      </c>
      <c r="U1495" s="19" t="inlineStr">
        <is>
          <t>P JB Cold Soldering</t>
        </is>
      </c>
      <c r="V1495" s="19" t="inlineStr">
        <is>
          <t>Soldering</t>
        </is>
      </c>
      <c r="W1495" s="3" t="inlineStr">
        <is>
          <t>Repair</t>
        </is>
      </c>
      <c r="X1495" s="18" t="n">
        <v>46161</v>
      </c>
      <c r="Y1495" s="3">
        <f>X1495-A1495</f>
        <v/>
      </c>
      <c r="Z1495" s="18" t="n">
        <v>46161</v>
      </c>
      <c r="AA1495" s="15" t="n"/>
      <c r="AB1495" s="15" t="n"/>
    </row>
    <row r="1496">
      <c r="A1496" s="37" t="n">
        <v>46143</v>
      </c>
      <c r="B1496" s="3" t="n">
        <v>2026</v>
      </c>
      <c r="C1496" s="26" t="inlineStr">
        <is>
          <t>Yanara Power</t>
        </is>
      </c>
      <c r="D1496" s="3" t="inlineStr">
        <is>
          <t>Utility and C&amp;I</t>
        </is>
      </c>
      <c r="E1496" s="3" t="n"/>
      <c r="F1496" s="3" t="inlineStr">
        <is>
          <t>Closed</t>
        </is>
      </c>
      <c r="G1496" s="9" t="inlineStr">
        <is>
          <t xml:space="preserve">Ashish Jindal </t>
        </is>
      </c>
      <c r="H1496" s="26" t="n">
        <v>9983975581</v>
      </c>
      <c r="I1496" s="38" t="inlineStr">
        <is>
          <t>PE01052601</t>
        </is>
      </c>
      <c r="J1496" s="26" t="inlineStr">
        <is>
          <t>Multiple Issues</t>
        </is>
      </c>
      <c r="K1496" s="39" t="inlineStr">
        <is>
          <t>Holi</t>
        </is>
      </c>
      <c r="L1496" s="39" t="inlineStr">
        <is>
          <t>Maharashtra</t>
        </is>
      </c>
      <c r="M1496" s="46" t="inlineStr">
        <is>
          <t>PS</t>
        </is>
      </c>
      <c r="N1496" s="3" t="inlineStr">
        <is>
          <t>Cold Soldering</t>
        </is>
      </c>
      <c r="O1496" s="39" t="n">
        <v>575</v>
      </c>
      <c r="P1496" s="46" t="inlineStr">
        <is>
          <t>NSMI24070177887</t>
        </is>
      </c>
      <c r="Q1496" s="53">
        <f>MID(P1496,5,2)</f>
        <v/>
      </c>
      <c r="R1496" s="53">
        <f>MID(P1496,7,2)</f>
        <v/>
      </c>
      <c r="S1496" s="3" t="inlineStr">
        <is>
          <t>G2G</t>
        </is>
      </c>
      <c r="T1496" s="3" t="inlineStr">
        <is>
          <t>P4</t>
        </is>
      </c>
      <c r="U1496" s="19" t="inlineStr">
        <is>
          <t>P JB Cold Soldering</t>
        </is>
      </c>
      <c r="V1496" s="19" t="inlineStr">
        <is>
          <t>Soldering</t>
        </is>
      </c>
      <c r="W1496" s="3" t="inlineStr">
        <is>
          <t>Repair</t>
        </is>
      </c>
      <c r="X1496" s="18" t="n">
        <v>46161</v>
      </c>
      <c r="Y1496" s="3">
        <f>X1496-A1496</f>
        <v/>
      </c>
      <c r="Z1496" s="18" t="n">
        <v>46161</v>
      </c>
      <c r="AA1496" s="15" t="n"/>
      <c r="AB1496" s="15" t="n"/>
    </row>
    <row r="1497">
      <c r="A1497" s="37" t="n">
        <v>46143</v>
      </c>
      <c r="B1497" s="3" t="n">
        <v>2026</v>
      </c>
      <c r="C1497" s="26" t="inlineStr">
        <is>
          <t>Yanara Power</t>
        </is>
      </c>
      <c r="D1497" s="3" t="inlineStr">
        <is>
          <t>Utility and C&amp;I</t>
        </is>
      </c>
      <c r="E1497" s="3" t="n"/>
      <c r="F1497" s="3" t="inlineStr">
        <is>
          <t>Closed</t>
        </is>
      </c>
      <c r="G1497" s="9" t="inlineStr">
        <is>
          <t xml:space="preserve">Ashish Jindal </t>
        </is>
      </c>
      <c r="H1497" s="26" t="n">
        <v>9983975581</v>
      </c>
      <c r="I1497" s="38" t="inlineStr">
        <is>
          <t>PE01052601</t>
        </is>
      </c>
      <c r="J1497" s="26" t="inlineStr">
        <is>
          <t>Multiple Issues</t>
        </is>
      </c>
      <c r="K1497" s="39" t="inlineStr">
        <is>
          <t>Holi</t>
        </is>
      </c>
      <c r="L1497" s="39" t="inlineStr">
        <is>
          <t>Maharashtra</t>
        </is>
      </c>
      <c r="M1497" s="46" t="inlineStr">
        <is>
          <t>NS</t>
        </is>
      </c>
      <c r="N1497" s="3" t="inlineStr">
        <is>
          <t>Cold Soldering</t>
        </is>
      </c>
      <c r="O1497" s="39" t="n">
        <v>575</v>
      </c>
      <c r="P1497" s="46" t="inlineStr">
        <is>
          <t>NSMI24070177897</t>
        </is>
      </c>
      <c r="Q1497" s="53">
        <f>MID(P1497,5,2)</f>
        <v/>
      </c>
      <c r="R1497" s="53">
        <f>MID(P1497,7,2)</f>
        <v/>
      </c>
      <c r="S1497" s="3" t="inlineStr">
        <is>
          <t>G2G</t>
        </is>
      </c>
      <c r="T1497" s="3" t="inlineStr">
        <is>
          <t>P4</t>
        </is>
      </c>
      <c r="U1497" s="3" t="inlineStr">
        <is>
          <t>N JB Cold Soldering</t>
        </is>
      </c>
      <c r="V1497" s="3" t="inlineStr">
        <is>
          <t>Soldering</t>
        </is>
      </c>
      <c r="W1497" s="3" t="inlineStr">
        <is>
          <t>Repair</t>
        </is>
      </c>
      <c r="X1497" s="18" t="n">
        <v>46161</v>
      </c>
      <c r="Y1497" s="3">
        <f>X1497-A1497</f>
        <v/>
      </c>
      <c r="Z1497" s="18" t="n">
        <v>46161</v>
      </c>
      <c r="AA1497" s="15" t="n"/>
      <c r="AB1497" s="15" t="n"/>
    </row>
    <row r="1498">
      <c r="A1498" s="37" t="n">
        <v>46143</v>
      </c>
      <c r="B1498" s="3" t="n">
        <v>2026</v>
      </c>
      <c r="C1498" s="26" t="inlineStr">
        <is>
          <t>Yanara Power</t>
        </is>
      </c>
      <c r="D1498" s="3" t="inlineStr">
        <is>
          <t>Utility and C&amp;I</t>
        </is>
      </c>
      <c r="E1498" s="3" t="n"/>
      <c r="F1498" s="3" t="inlineStr">
        <is>
          <t>Closed</t>
        </is>
      </c>
      <c r="G1498" s="9" t="inlineStr">
        <is>
          <t xml:space="preserve">Ashish Jindal </t>
        </is>
      </c>
      <c r="H1498" s="26" t="n">
        <v>9983975581</v>
      </c>
      <c r="I1498" s="38" t="inlineStr">
        <is>
          <t>PE01052601</t>
        </is>
      </c>
      <c r="J1498" s="26" t="inlineStr">
        <is>
          <t>Multiple Issues</t>
        </is>
      </c>
      <c r="K1498" s="39" t="inlineStr">
        <is>
          <t>Holi</t>
        </is>
      </c>
      <c r="L1498" s="39" t="inlineStr">
        <is>
          <t>Maharashtra</t>
        </is>
      </c>
      <c r="M1498" s="46" t="inlineStr">
        <is>
          <t>PS</t>
        </is>
      </c>
      <c r="N1498" s="3" t="inlineStr">
        <is>
          <t>Cold Soldering</t>
        </is>
      </c>
      <c r="O1498" s="39" t="n">
        <v>575</v>
      </c>
      <c r="P1498" s="46" t="inlineStr">
        <is>
          <t>NSMI24070177896</t>
        </is>
      </c>
      <c r="Q1498" s="53">
        <f>MID(P1498,5,2)</f>
        <v/>
      </c>
      <c r="R1498" s="53">
        <f>MID(P1498,7,2)</f>
        <v/>
      </c>
      <c r="S1498" s="3" t="inlineStr">
        <is>
          <t>G2G</t>
        </is>
      </c>
      <c r="T1498" s="3" t="inlineStr">
        <is>
          <t>P4</t>
        </is>
      </c>
      <c r="U1498" s="19" t="inlineStr">
        <is>
          <t>P JB Cold Soldering</t>
        </is>
      </c>
      <c r="V1498" s="19" t="inlineStr">
        <is>
          <t>Soldering</t>
        </is>
      </c>
      <c r="W1498" s="3" t="inlineStr">
        <is>
          <t>Repair</t>
        </is>
      </c>
      <c r="X1498" s="18" t="n">
        <v>46161</v>
      </c>
      <c r="Y1498" s="3">
        <f>X1498-A1498</f>
        <v/>
      </c>
      <c r="Z1498" s="18" t="n">
        <v>46161</v>
      </c>
      <c r="AA1498" s="15" t="n"/>
      <c r="AB1498" s="15" t="n"/>
    </row>
    <row r="1499">
      <c r="A1499" s="37" t="n">
        <v>46143</v>
      </c>
      <c r="B1499" s="3" t="n">
        <v>2026</v>
      </c>
      <c r="C1499" s="26" t="inlineStr">
        <is>
          <t>Yanara Power</t>
        </is>
      </c>
      <c r="D1499" s="3" t="inlineStr">
        <is>
          <t>Utility and C&amp;I</t>
        </is>
      </c>
      <c r="E1499" s="3" t="n"/>
      <c r="F1499" s="3" t="inlineStr">
        <is>
          <t>Closed</t>
        </is>
      </c>
      <c r="G1499" s="9" t="inlineStr">
        <is>
          <t xml:space="preserve">Ashish Jindal </t>
        </is>
      </c>
      <c r="H1499" s="26" t="n">
        <v>9983975581</v>
      </c>
      <c r="I1499" s="38" t="inlineStr">
        <is>
          <t>PE01052601</t>
        </is>
      </c>
      <c r="J1499" s="26" t="inlineStr">
        <is>
          <t>Multiple Issues</t>
        </is>
      </c>
      <c r="K1499" s="39" t="inlineStr">
        <is>
          <t>Holi</t>
        </is>
      </c>
      <c r="L1499" s="39" t="inlineStr">
        <is>
          <t>Maharashtra</t>
        </is>
      </c>
      <c r="M1499" s="46" t="inlineStr">
        <is>
          <t>PS</t>
        </is>
      </c>
      <c r="N1499" s="3" t="inlineStr">
        <is>
          <t>Cold Soldering</t>
        </is>
      </c>
      <c r="O1499" s="39" t="n">
        <v>575</v>
      </c>
      <c r="P1499" s="46" t="inlineStr">
        <is>
          <t>NSMI24070177900</t>
        </is>
      </c>
      <c r="Q1499" s="53">
        <f>MID(P1499,5,2)</f>
        <v/>
      </c>
      <c r="R1499" s="53">
        <f>MID(P1499,7,2)</f>
        <v/>
      </c>
      <c r="S1499" s="3" t="inlineStr">
        <is>
          <t>G2G</t>
        </is>
      </c>
      <c r="T1499" s="3" t="inlineStr">
        <is>
          <t>P4</t>
        </is>
      </c>
      <c r="U1499" s="19" t="inlineStr">
        <is>
          <t>P JB Cold Soldering</t>
        </is>
      </c>
      <c r="V1499" s="19" t="inlineStr">
        <is>
          <t>Soldering</t>
        </is>
      </c>
      <c r="W1499" s="3" t="inlineStr">
        <is>
          <t>Repair</t>
        </is>
      </c>
      <c r="X1499" s="18" t="n">
        <v>46161</v>
      </c>
      <c r="Y1499" s="3">
        <f>X1499-A1499</f>
        <v/>
      </c>
      <c r="Z1499" s="18" t="n">
        <v>46161</v>
      </c>
      <c r="AA1499" s="15" t="n"/>
      <c r="AB1499" s="15" t="n"/>
    </row>
    <row r="1500">
      <c r="A1500" s="37" t="n">
        <v>46143</v>
      </c>
      <c r="B1500" s="3" t="n">
        <v>2026</v>
      </c>
      <c r="C1500" s="26" t="inlineStr">
        <is>
          <t>Yanara Power</t>
        </is>
      </c>
      <c r="D1500" s="3" t="inlineStr">
        <is>
          <t>Utility and C&amp;I</t>
        </is>
      </c>
      <c r="E1500" s="3" t="n"/>
      <c r="F1500" s="3" t="inlineStr">
        <is>
          <t>Closed</t>
        </is>
      </c>
      <c r="G1500" s="9" t="inlineStr">
        <is>
          <t xml:space="preserve">Ashish Jindal </t>
        </is>
      </c>
      <c r="H1500" s="26" t="n">
        <v>9983975581</v>
      </c>
      <c r="I1500" s="38" t="inlineStr">
        <is>
          <t>PE01052601</t>
        </is>
      </c>
      <c r="J1500" s="26" t="inlineStr">
        <is>
          <t>Multiple Issues</t>
        </is>
      </c>
      <c r="K1500" s="39" t="inlineStr">
        <is>
          <t>Holi</t>
        </is>
      </c>
      <c r="L1500" s="39" t="inlineStr">
        <is>
          <t>Maharashtra</t>
        </is>
      </c>
      <c r="M1500" s="46" t="inlineStr">
        <is>
          <t>NR</t>
        </is>
      </c>
      <c r="N1500" s="3" t="inlineStr">
        <is>
          <t>JB Issue</t>
        </is>
      </c>
      <c r="O1500" s="39" t="n">
        <v>575</v>
      </c>
      <c r="P1500" s="46" t="inlineStr">
        <is>
          <t>NSMI24070219398</t>
        </is>
      </c>
      <c r="Q1500" s="53">
        <f>MID(P1500,5,2)</f>
        <v/>
      </c>
      <c r="R1500" s="53">
        <f>MID(P1500,7,2)</f>
        <v/>
      </c>
      <c r="S1500" s="3" t="inlineStr">
        <is>
          <t>G2G</t>
        </is>
      </c>
      <c r="T1500" s="3" t="inlineStr">
        <is>
          <t>P4</t>
        </is>
      </c>
      <c r="U1500" s="3" t="inlineStr">
        <is>
          <t>N JB Issue</t>
        </is>
      </c>
      <c r="V1500" s="3" t="inlineStr">
        <is>
          <t>JB Changed</t>
        </is>
      </c>
      <c r="W1500" s="3" t="inlineStr">
        <is>
          <t>Repair</t>
        </is>
      </c>
      <c r="X1500" s="18" t="n">
        <v>46161</v>
      </c>
      <c r="Y1500" s="3">
        <f>X1500-A1500</f>
        <v/>
      </c>
      <c r="Z1500" s="18" t="n">
        <v>46161</v>
      </c>
      <c r="AA1500" s="15" t="n"/>
      <c r="AB1500" s="15" t="n"/>
    </row>
    <row r="1501">
      <c r="A1501" s="37" t="n">
        <v>46143</v>
      </c>
      <c r="B1501" s="3" t="n">
        <v>2026</v>
      </c>
      <c r="C1501" s="26" t="inlineStr">
        <is>
          <t>Yanara Power</t>
        </is>
      </c>
      <c r="D1501" s="3" t="inlineStr">
        <is>
          <t>Utility and C&amp;I</t>
        </is>
      </c>
      <c r="E1501" s="3" t="n"/>
      <c r="F1501" s="3" t="inlineStr">
        <is>
          <t>Closed</t>
        </is>
      </c>
      <c r="G1501" s="9" t="inlineStr">
        <is>
          <t xml:space="preserve">Ashish Jindal </t>
        </is>
      </c>
      <c r="H1501" s="26" t="n">
        <v>9983975581</v>
      </c>
      <c r="I1501" s="38" t="inlineStr">
        <is>
          <t>PE01052601</t>
        </is>
      </c>
      <c r="J1501" s="26" t="inlineStr">
        <is>
          <t>Multiple Issues</t>
        </is>
      </c>
      <c r="K1501" s="39" t="inlineStr">
        <is>
          <t>Holi</t>
        </is>
      </c>
      <c r="L1501" s="39" t="inlineStr">
        <is>
          <t>Maharashtra</t>
        </is>
      </c>
      <c r="M1501" s="46" t="inlineStr">
        <is>
          <t>PS</t>
        </is>
      </c>
      <c r="N1501" s="3" t="inlineStr">
        <is>
          <t>Cold Soldering</t>
        </is>
      </c>
      <c r="O1501" s="39" t="n">
        <v>575</v>
      </c>
      <c r="P1501" s="46" t="inlineStr">
        <is>
          <t>NSMI24070179116</t>
        </is>
      </c>
      <c r="Q1501" s="53">
        <f>MID(P1501,5,2)</f>
        <v/>
      </c>
      <c r="R1501" s="53">
        <f>MID(P1501,7,2)</f>
        <v/>
      </c>
      <c r="S1501" s="3" t="inlineStr">
        <is>
          <t>G2G</t>
        </is>
      </c>
      <c r="T1501" s="3" t="inlineStr">
        <is>
          <t>P4</t>
        </is>
      </c>
      <c r="U1501" s="19" t="inlineStr">
        <is>
          <t>P JB Cold Soldering</t>
        </is>
      </c>
      <c r="V1501" s="19" t="inlineStr">
        <is>
          <t>Soldering</t>
        </is>
      </c>
      <c r="W1501" s="3" t="inlineStr">
        <is>
          <t>Repair</t>
        </is>
      </c>
      <c r="X1501" s="18" t="n">
        <v>46161</v>
      </c>
      <c r="Y1501" s="3">
        <f>X1501-A1501</f>
        <v/>
      </c>
      <c r="Z1501" s="18" t="n">
        <v>46161</v>
      </c>
      <c r="AA1501" s="15" t="n"/>
      <c r="AB1501" s="15" t="n"/>
    </row>
    <row r="1502">
      <c r="A1502" s="37" t="n">
        <v>46143</v>
      </c>
      <c r="B1502" s="3" t="n">
        <v>2026</v>
      </c>
      <c r="C1502" s="26" t="inlineStr">
        <is>
          <t>Yanara Power</t>
        </is>
      </c>
      <c r="D1502" s="3" t="inlineStr">
        <is>
          <t>Utility and C&amp;I</t>
        </is>
      </c>
      <c r="E1502" s="3" t="n"/>
      <c r="F1502" s="3" t="inlineStr">
        <is>
          <t>Closed</t>
        </is>
      </c>
      <c r="G1502" s="9" t="inlineStr">
        <is>
          <t xml:space="preserve">Ashish Jindal </t>
        </is>
      </c>
      <c r="H1502" s="26" t="n">
        <v>9983975581</v>
      </c>
      <c r="I1502" s="38" t="inlineStr">
        <is>
          <t>PE01052601</t>
        </is>
      </c>
      <c r="J1502" s="26" t="inlineStr">
        <is>
          <t>Multiple Issues</t>
        </is>
      </c>
      <c r="K1502" s="39" t="inlineStr">
        <is>
          <t>Holi</t>
        </is>
      </c>
      <c r="L1502" s="39" t="inlineStr">
        <is>
          <t>Maharashtra</t>
        </is>
      </c>
      <c r="M1502" s="46" t="inlineStr">
        <is>
          <t>NS</t>
        </is>
      </c>
      <c r="N1502" s="3" t="inlineStr">
        <is>
          <t>Cold Soldering</t>
        </is>
      </c>
      <c r="O1502" s="39" t="n">
        <v>575</v>
      </c>
      <c r="P1502" s="46" t="inlineStr">
        <is>
          <t>NSMI24070183061</t>
        </is>
      </c>
      <c r="Q1502" s="53">
        <f>MID(P1502,5,2)</f>
        <v/>
      </c>
      <c r="R1502" s="53">
        <f>MID(P1502,7,2)</f>
        <v/>
      </c>
      <c r="S1502" s="3" t="inlineStr">
        <is>
          <t>G2G</t>
        </is>
      </c>
      <c r="T1502" s="3" t="inlineStr">
        <is>
          <t>P4</t>
        </is>
      </c>
      <c r="U1502" s="3" t="inlineStr">
        <is>
          <t>N JB Cold Soldering</t>
        </is>
      </c>
      <c r="V1502" s="3" t="inlineStr">
        <is>
          <t>Soldering</t>
        </is>
      </c>
      <c r="W1502" s="3" t="inlineStr">
        <is>
          <t>Repair</t>
        </is>
      </c>
      <c r="X1502" s="18" t="n">
        <v>46161</v>
      </c>
      <c r="Y1502" s="3">
        <f>X1502-A1502</f>
        <v/>
      </c>
      <c r="Z1502" s="18" t="n">
        <v>46161</v>
      </c>
      <c r="AA1502" s="15" t="n"/>
      <c r="AB1502" s="15" t="n"/>
    </row>
    <row r="1503">
      <c r="A1503" s="37" t="n">
        <v>46143</v>
      </c>
      <c r="B1503" s="3" t="n">
        <v>2026</v>
      </c>
      <c r="C1503" s="26" t="inlineStr">
        <is>
          <t>Yanara Power</t>
        </is>
      </c>
      <c r="D1503" s="3" t="inlineStr">
        <is>
          <t>Utility and C&amp;I</t>
        </is>
      </c>
      <c r="E1503" s="3" t="n"/>
      <c r="F1503" s="3" t="inlineStr">
        <is>
          <t>Closed</t>
        </is>
      </c>
      <c r="G1503" s="9" t="inlineStr">
        <is>
          <t xml:space="preserve">Ashish Jindal </t>
        </is>
      </c>
      <c r="H1503" s="26" t="n">
        <v>9983975581</v>
      </c>
      <c r="I1503" s="38" t="inlineStr">
        <is>
          <t>PE01052601</t>
        </is>
      </c>
      <c r="J1503" s="26" t="inlineStr">
        <is>
          <t>Multiple Issues</t>
        </is>
      </c>
      <c r="K1503" s="39" t="inlineStr">
        <is>
          <t>Holi</t>
        </is>
      </c>
      <c r="L1503" s="39" t="inlineStr">
        <is>
          <t>Maharashtra</t>
        </is>
      </c>
      <c r="M1503" s="46" t="inlineStr">
        <is>
          <t>PS</t>
        </is>
      </c>
      <c r="N1503" s="3" t="inlineStr">
        <is>
          <t>Cold Soldering</t>
        </is>
      </c>
      <c r="O1503" s="39" t="n">
        <v>575</v>
      </c>
      <c r="P1503" s="46" t="inlineStr">
        <is>
          <t>NSMI24070191112</t>
        </is>
      </c>
      <c r="Q1503" s="53">
        <f>MID(P1503,5,2)</f>
        <v/>
      </c>
      <c r="R1503" s="53">
        <f>MID(P1503,7,2)</f>
        <v/>
      </c>
      <c r="S1503" s="3" t="inlineStr">
        <is>
          <t>G2G</t>
        </is>
      </c>
      <c r="T1503" s="3" t="inlineStr">
        <is>
          <t>P4</t>
        </is>
      </c>
      <c r="U1503" s="19" t="inlineStr">
        <is>
          <t>P JB Cold Soldering</t>
        </is>
      </c>
      <c r="V1503" s="19" t="inlineStr">
        <is>
          <t>Soldering</t>
        </is>
      </c>
      <c r="W1503" s="3" t="inlineStr">
        <is>
          <t>Repair</t>
        </is>
      </c>
      <c r="X1503" s="18" t="n">
        <v>46161</v>
      </c>
      <c r="Y1503" s="3">
        <f>X1503-A1503</f>
        <v/>
      </c>
      <c r="Z1503" s="18" t="n">
        <v>46161</v>
      </c>
      <c r="AA1503" s="15" t="n"/>
      <c r="AB1503" s="15" t="n"/>
    </row>
    <row r="1504">
      <c r="A1504" s="37" t="n">
        <v>46143</v>
      </c>
      <c r="B1504" s="3" t="n">
        <v>2026</v>
      </c>
      <c r="C1504" s="26" t="inlineStr">
        <is>
          <t>Yanara Power</t>
        </is>
      </c>
      <c r="D1504" s="3" t="inlineStr">
        <is>
          <t>Utility and C&amp;I</t>
        </is>
      </c>
      <c r="E1504" s="3" t="n"/>
      <c r="F1504" s="3" t="inlineStr">
        <is>
          <t>Closed</t>
        </is>
      </c>
      <c r="G1504" s="9" t="inlineStr">
        <is>
          <t xml:space="preserve">Ashish Jindal </t>
        </is>
      </c>
      <c r="H1504" s="26" t="n">
        <v>9983975581</v>
      </c>
      <c r="I1504" s="38" t="inlineStr">
        <is>
          <t>PE01052601</t>
        </is>
      </c>
      <c r="J1504" s="26" t="inlineStr">
        <is>
          <t>Multiple Issues</t>
        </is>
      </c>
      <c r="K1504" s="39" t="inlineStr">
        <is>
          <t>Holi</t>
        </is>
      </c>
      <c r="L1504" s="39" t="inlineStr">
        <is>
          <t>Maharashtra</t>
        </is>
      </c>
      <c r="M1504" s="46" t="inlineStr">
        <is>
          <t>PS</t>
        </is>
      </c>
      <c r="N1504" s="3" t="inlineStr">
        <is>
          <t>Cold Soldering</t>
        </is>
      </c>
      <c r="O1504" s="39" t="n">
        <v>575</v>
      </c>
      <c r="P1504" s="46" t="inlineStr">
        <is>
          <t>NSMI24070191116</t>
        </is>
      </c>
      <c r="Q1504" s="53">
        <f>MID(P1504,5,2)</f>
        <v/>
      </c>
      <c r="R1504" s="53">
        <f>MID(P1504,7,2)</f>
        <v/>
      </c>
      <c r="S1504" s="3" t="inlineStr">
        <is>
          <t>G2G</t>
        </is>
      </c>
      <c r="T1504" s="3" t="inlineStr">
        <is>
          <t>P4</t>
        </is>
      </c>
      <c r="U1504" s="19" t="inlineStr">
        <is>
          <t>P JB Cold Soldering</t>
        </is>
      </c>
      <c r="V1504" s="19" t="inlineStr">
        <is>
          <t>Soldering</t>
        </is>
      </c>
      <c r="W1504" s="3" t="inlineStr">
        <is>
          <t>Repair</t>
        </is>
      </c>
      <c r="X1504" s="18" t="n">
        <v>46161</v>
      </c>
      <c r="Y1504" s="3">
        <f>X1504-A1504</f>
        <v/>
      </c>
      <c r="Z1504" s="18" t="n">
        <v>46161</v>
      </c>
      <c r="AA1504" s="15" t="n"/>
      <c r="AB1504" s="15" t="n"/>
    </row>
    <row r="1505">
      <c r="A1505" s="37" t="n">
        <v>46143</v>
      </c>
      <c r="B1505" s="3" t="n">
        <v>2026</v>
      </c>
      <c r="C1505" s="26" t="inlineStr">
        <is>
          <t>Yanara Power</t>
        </is>
      </c>
      <c r="D1505" s="3" t="inlineStr">
        <is>
          <t>Utility and C&amp;I</t>
        </is>
      </c>
      <c r="E1505" s="3" t="n"/>
      <c r="F1505" s="3" t="inlineStr">
        <is>
          <t>Closed</t>
        </is>
      </c>
      <c r="G1505" s="9" t="inlineStr">
        <is>
          <t xml:space="preserve">Ashish Jindal </t>
        </is>
      </c>
      <c r="H1505" s="26" t="n">
        <v>9983975581</v>
      </c>
      <c r="I1505" s="38" t="inlineStr">
        <is>
          <t>PE01052601</t>
        </is>
      </c>
      <c r="J1505" s="26" t="inlineStr">
        <is>
          <t>Multiple Issues</t>
        </is>
      </c>
      <c r="K1505" s="39" t="inlineStr">
        <is>
          <t>Holi</t>
        </is>
      </c>
      <c r="L1505" s="39" t="inlineStr">
        <is>
          <t>Maharashtra</t>
        </is>
      </c>
      <c r="M1505" s="46" t="inlineStr">
        <is>
          <t>PS</t>
        </is>
      </c>
      <c r="N1505" s="3" t="inlineStr">
        <is>
          <t>Cold Soldering</t>
        </is>
      </c>
      <c r="O1505" s="39" t="n">
        <v>575</v>
      </c>
      <c r="P1505" s="46" t="inlineStr">
        <is>
          <t>NSMI24070191126</t>
        </is>
      </c>
      <c r="Q1505" s="53">
        <f>MID(P1505,5,2)</f>
        <v/>
      </c>
      <c r="R1505" s="53">
        <f>MID(P1505,7,2)</f>
        <v/>
      </c>
      <c r="S1505" s="3" t="inlineStr">
        <is>
          <t>G2G</t>
        </is>
      </c>
      <c r="T1505" s="3" t="inlineStr">
        <is>
          <t>P4</t>
        </is>
      </c>
      <c r="U1505" s="19" t="inlineStr">
        <is>
          <t>P JB Cold Soldering</t>
        </is>
      </c>
      <c r="V1505" s="19" t="inlineStr">
        <is>
          <t>Soldering</t>
        </is>
      </c>
      <c r="W1505" s="3" t="inlineStr">
        <is>
          <t>Repair</t>
        </is>
      </c>
      <c r="X1505" s="18" t="n">
        <v>46161</v>
      </c>
      <c r="Y1505" s="3">
        <f>X1505-A1505</f>
        <v/>
      </c>
      <c r="Z1505" s="18" t="n">
        <v>46161</v>
      </c>
      <c r="AA1505" s="15" t="n"/>
      <c r="AB1505" s="15" t="n"/>
    </row>
    <row r="1506">
      <c r="A1506" s="37" t="n">
        <v>46143</v>
      </c>
      <c r="B1506" s="3" t="n">
        <v>2026</v>
      </c>
      <c r="C1506" s="26" t="inlineStr">
        <is>
          <t>Yanara Power</t>
        </is>
      </c>
      <c r="D1506" s="3" t="inlineStr">
        <is>
          <t>Utility and C&amp;I</t>
        </is>
      </c>
      <c r="E1506" s="3" t="n"/>
      <c r="F1506" s="3" t="inlineStr">
        <is>
          <t>Closed</t>
        </is>
      </c>
      <c r="G1506" s="9" t="inlineStr">
        <is>
          <t xml:space="preserve">Ashish Jindal </t>
        </is>
      </c>
      <c r="H1506" s="26" t="n">
        <v>9983975581</v>
      </c>
      <c r="I1506" s="38" t="inlineStr">
        <is>
          <t>PE01052601</t>
        </is>
      </c>
      <c r="J1506" s="26" t="inlineStr">
        <is>
          <t>Multiple Issues</t>
        </is>
      </c>
      <c r="K1506" s="39" t="inlineStr">
        <is>
          <t>Holi</t>
        </is>
      </c>
      <c r="L1506" s="39" t="inlineStr">
        <is>
          <t>Maharashtra</t>
        </is>
      </c>
      <c r="M1506" s="46" t="inlineStr">
        <is>
          <t>NS</t>
        </is>
      </c>
      <c r="N1506" s="3" t="inlineStr">
        <is>
          <t>Cold Soldering</t>
        </is>
      </c>
      <c r="O1506" s="39" t="n">
        <v>575</v>
      </c>
      <c r="P1506" s="46" t="inlineStr">
        <is>
          <t>NSMI24070178777</t>
        </is>
      </c>
      <c r="Q1506" s="53">
        <f>MID(P1506,5,2)</f>
        <v/>
      </c>
      <c r="R1506" s="53">
        <f>MID(P1506,7,2)</f>
        <v/>
      </c>
      <c r="S1506" s="3" t="inlineStr">
        <is>
          <t>G2G</t>
        </is>
      </c>
      <c r="T1506" s="3" t="inlineStr">
        <is>
          <t>P4</t>
        </is>
      </c>
      <c r="U1506" s="3" t="inlineStr">
        <is>
          <t>N JB Cold Soldering</t>
        </is>
      </c>
      <c r="V1506" s="3" t="inlineStr">
        <is>
          <t>Soldering</t>
        </is>
      </c>
      <c r="W1506" s="3" t="inlineStr">
        <is>
          <t>Repair</t>
        </is>
      </c>
      <c r="X1506" s="18" t="n">
        <v>46161</v>
      </c>
      <c r="Y1506" s="3">
        <f>X1506-A1506</f>
        <v/>
      </c>
      <c r="Z1506" s="18" t="n">
        <v>46161</v>
      </c>
      <c r="AA1506" s="15" t="n"/>
      <c r="AB1506" s="15" t="n"/>
    </row>
    <row r="1507">
      <c r="A1507" s="37" t="n">
        <v>46143</v>
      </c>
      <c r="B1507" s="3" t="n">
        <v>2026</v>
      </c>
      <c r="C1507" s="26" t="inlineStr">
        <is>
          <t>Yanara Power</t>
        </is>
      </c>
      <c r="D1507" s="3" t="inlineStr">
        <is>
          <t>Utility and C&amp;I</t>
        </is>
      </c>
      <c r="E1507" s="3" t="n"/>
      <c r="F1507" s="3" t="inlineStr">
        <is>
          <t>Closed</t>
        </is>
      </c>
      <c r="G1507" s="9" t="inlineStr">
        <is>
          <t xml:space="preserve">Ashish Jindal </t>
        </is>
      </c>
      <c r="H1507" s="26" t="n">
        <v>9983975581</v>
      </c>
      <c r="I1507" s="38" t="inlineStr">
        <is>
          <t>PE01052601</t>
        </is>
      </c>
      <c r="J1507" s="26" t="inlineStr">
        <is>
          <t>Multiple Issues</t>
        </is>
      </c>
      <c r="K1507" s="39" t="inlineStr">
        <is>
          <t>Holi</t>
        </is>
      </c>
      <c r="L1507" s="39" t="inlineStr">
        <is>
          <t>Maharashtra</t>
        </is>
      </c>
      <c r="M1507" s="46" t="inlineStr">
        <is>
          <t>PS</t>
        </is>
      </c>
      <c r="N1507" s="3" t="inlineStr">
        <is>
          <t>Cold Soldering</t>
        </is>
      </c>
      <c r="O1507" s="39" t="n">
        <v>575</v>
      </c>
      <c r="P1507" s="46" t="inlineStr">
        <is>
          <t>NSMI24070184889</t>
        </is>
      </c>
      <c r="Q1507" s="53">
        <f>MID(P1507,5,2)</f>
        <v/>
      </c>
      <c r="R1507" s="53">
        <f>MID(P1507,7,2)</f>
        <v/>
      </c>
      <c r="S1507" s="3" t="inlineStr">
        <is>
          <t>G2G</t>
        </is>
      </c>
      <c r="T1507" s="3" t="inlineStr">
        <is>
          <t>P4</t>
        </is>
      </c>
      <c r="U1507" s="19" t="inlineStr">
        <is>
          <t>P JB Cold Soldering</t>
        </is>
      </c>
      <c r="V1507" s="19" t="inlineStr">
        <is>
          <t>Soldering</t>
        </is>
      </c>
      <c r="W1507" s="3" t="inlineStr">
        <is>
          <t>Repair</t>
        </is>
      </c>
      <c r="X1507" s="18" t="n">
        <v>46161</v>
      </c>
      <c r="Y1507" s="3">
        <f>X1507-A1507</f>
        <v/>
      </c>
      <c r="Z1507" s="18" t="n">
        <v>46161</v>
      </c>
      <c r="AA1507" s="15" t="n"/>
      <c r="AB1507" s="15" t="n"/>
    </row>
    <row r="1508">
      <c r="A1508" s="37" t="n">
        <v>46143</v>
      </c>
      <c r="B1508" s="3" t="n">
        <v>2026</v>
      </c>
      <c r="C1508" s="26" t="inlineStr">
        <is>
          <t>Yanara Power</t>
        </is>
      </c>
      <c r="D1508" s="3" t="inlineStr">
        <is>
          <t>Utility and C&amp;I</t>
        </is>
      </c>
      <c r="E1508" s="3" t="n"/>
      <c r="F1508" s="3" t="inlineStr">
        <is>
          <t>Closed</t>
        </is>
      </c>
      <c r="G1508" s="9" t="inlineStr">
        <is>
          <t xml:space="preserve">Ashish Jindal </t>
        </is>
      </c>
      <c r="H1508" s="26" t="n">
        <v>9983975581</v>
      </c>
      <c r="I1508" s="38" t="inlineStr">
        <is>
          <t>PE01052601</t>
        </is>
      </c>
      <c r="J1508" s="26" t="inlineStr">
        <is>
          <t>Multiple Issues</t>
        </is>
      </c>
      <c r="K1508" s="39" t="inlineStr">
        <is>
          <t>Holi</t>
        </is>
      </c>
      <c r="L1508" s="39" t="inlineStr">
        <is>
          <t>Maharashtra</t>
        </is>
      </c>
      <c r="M1508" s="46" t="inlineStr">
        <is>
          <t>PS</t>
        </is>
      </c>
      <c r="N1508" s="3" t="inlineStr">
        <is>
          <t>Cold Soldering</t>
        </is>
      </c>
      <c r="O1508" s="39" t="n">
        <v>575</v>
      </c>
      <c r="P1508" s="46" t="inlineStr">
        <is>
          <t>NSMI24070178778</t>
        </is>
      </c>
      <c r="Q1508" s="53">
        <f>MID(P1508,5,2)</f>
        <v/>
      </c>
      <c r="R1508" s="53">
        <f>MID(P1508,7,2)</f>
        <v/>
      </c>
      <c r="S1508" s="3" t="inlineStr">
        <is>
          <t>G2G</t>
        </is>
      </c>
      <c r="T1508" s="3" t="inlineStr">
        <is>
          <t>P4</t>
        </is>
      </c>
      <c r="U1508" s="19" t="inlineStr">
        <is>
          <t>P JB Cold Soldering</t>
        </is>
      </c>
      <c r="V1508" s="19" t="inlineStr">
        <is>
          <t>Soldering</t>
        </is>
      </c>
      <c r="W1508" s="3" t="inlineStr">
        <is>
          <t>Repair</t>
        </is>
      </c>
      <c r="X1508" s="18" t="n">
        <v>46161</v>
      </c>
      <c r="Y1508" s="3">
        <f>X1508-A1508</f>
        <v/>
      </c>
      <c r="Z1508" s="18" t="n">
        <v>46161</v>
      </c>
      <c r="AA1508" s="15" t="n"/>
      <c r="AB1508" s="15" t="n"/>
    </row>
    <row r="1509">
      <c r="A1509" s="37" t="n">
        <v>46143</v>
      </c>
      <c r="B1509" s="3" t="n">
        <v>2026</v>
      </c>
      <c r="C1509" s="26" t="inlineStr">
        <is>
          <t>Yanara Power</t>
        </is>
      </c>
      <c r="D1509" s="3" t="inlineStr">
        <is>
          <t>Utility and C&amp;I</t>
        </is>
      </c>
      <c r="E1509" s="3" t="n"/>
      <c r="F1509" s="3" t="inlineStr">
        <is>
          <t>Closed</t>
        </is>
      </c>
      <c r="G1509" s="9" t="inlineStr">
        <is>
          <t xml:space="preserve">Ashish Jindal </t>
        </is>
      </c>
      <c r="H1509" s="26" t="n">
        <v>9983975581</v>
      </c>
      <c r="I1509" s="38" t="inlineStr">
        <is>
          <t>PE01052601</t>
        </is>
      </c>
      <c r="J1509" s="26" t="inlineStr">
        <is>
          <t>Multiple Issues</t>
        </is>
      </c>
      <c r="K1509" s="39" t="inlineStr">
        <is>
          <t>Holi</t>
        </is>
      </c>
      <c r="L1509" s="39" t="inlineStr">
        <is>
          <t>Maharashtra</t>
        </is>
      </c>
      <c r="M1509" s="46" t="inlineStr">
        <is>
          <t>PS</t>
        </is>
      </c>
      <c r="N1509" s="3" t="inlineStr">
        <is>
          <t>Cold Soldering</t>
        </is>
      </c>
      <c r="O1509" s="39" t="n">
        <v>575</v>
      </c>
      <c r="P1509" s="46" t="inlineStr">
        <is>
          <t>NSMI24070179495</t>
        </is>
      </c>
      <c r="Q1509" s="53">
        <f>MID(P1509,5,2)</f>
        <v/>
      </c>
      <c r="R1509" s="53">
        <f>MID(P1509,7,2)</f>
        <v/>
      </c>
      <c r="S1509" s="3" t="inlineStr">
        <is>
          <t>G2G</t>
        </is>
      </c>
      <c r="T1509" s="3" t="inlineStr">
        <is>
          <t>P4</t>
        </is>
      </c>
      <c r="U1509" s="19" t="inlineStr">
        <is>
          <t>P JB Cold Soldering</t>
        </is>
      </c>
      <c r="V1509" s="19" t="inlineStr">
        <is>
          <t>Soldering</t>
        </is>
      </c>
      <c r="W1509" s="3" t="inlineStr">
        <is>
          <t>Repair</t>
        </is>
      </c>
      <c r="X1509" s="18" t="n">
        <v>46161</v>
      </c>
      <c r="Y1509" s="3">
        <f>X1509-A1509</f>
        <v/>
      </c>
      <c r="Z1509" s="18" t="n">
        <v>46161</v>
      </c>
      <c r="AA1509" s="15" t="n"/>
      <c r="AB1509" s="15" t="n"/>
    </row>
    <row r="1510">
      <c r="A1510" s="37" t="n">
        <v>46143</v>
      </c>
      <c r="B1510" s="3" t="n">
        <v>2026</v>
      </c>
      <c r="C1510" s="26" t="inlineStr">
        <is>
          <t>Yanara Power</t>
        </is>
      </c>
      <c r="D1510" s="3" t="inlineStr">
        <is>
          <t>Utility and C&amp;I</t>
        </is>
      </c>
      <c r="E1510" s="3" t="n"/>
      <c r="F1510" s="3" t="inlineStr">
        <is>
          <t>Closed</t>
        </is>
      </c>
      <c r="G1510" s="9" t="inlineStr">
        <is>
          <t xml:space="preserve">Ashish Jindal </t>
        </is>
      </c>
      <c r="H1510" s="26" t="n">
        <v>9983975581</v>
      </c>
      <c r="I1510" s="38" t="inlineStr">
        <is>
          <t>PE01052601</t>
        </is>
      </c>
      <c r="J1510" s="26" t="inlineStr">
        <is>
          <t>Multiple Issues</t>
        </is>
      </c>
      <c r="K1510" s="39" t="inlineStr">
        <is>
          <t>Holi</t>
        </is>
      </c>
      <c r="L1510" s="39" t="inlineStr">
        <is>
          <t>Maharashtra</t>
        </is>
      </c>
      <c r="M1510" s="46" t="inlineStr">
        <is>
          <t>PS</t>
        </is>
      </c>
      <c r="N1510" s="3" t="inlineStr">
        <is>
          <t>Cold Soldering</t>
        </is>
      </c>
      <c r="O1510" s="39" t="n">
        <v>575</v>
      </c>
      <c r="P1510" s="46" t="inlineStr">
        <is>
          <t>NSMI24070179492</t>
        </is>
      </c>
      <c r="Q1510" s="53">
        <f>MID(P1510,5,2)</f>
        <v/>
      </c>
      <c r="R1510" s="53">
        <f>MID(P1510,7,2)</f>
        <v/>
      </c>
      <c r="S1510" s="3" t="inlineStr">
        <is>
          <t>G2G</t>
        </is>
      </c>
      <c r="T1510" s="3" t="inlineStr">
        <is>
          <t>P4</t>
        </is>
      </c>
      <c r="U1510" s="19" t="inlineStr">
        <is>
          <t>P JB Cold Soldering</t>
        </is>
      </c>
      <c r="V1510" s="19" t="inlineStr">
        <is>
          <t>Soldering</t>
        </is>
      </c>
      <c r="W1510" s="3" t="inlineStr">
        <is>
          <t>Repair</t>
        </is>
      </c>
      <c r="X1510" s="18" t="n">
        <v>46161</v>
      </c>
      <c r="Y1510" s="3">
        <f>X1510-A1510</f>
        <v/>
      </c>
      <c r="Z1510" s="18" t="n">
        <v>46161</v>
      </c>
      <c r="AA1510" s="15" t="n"/>
      <c r="AB1510" s="15" t="n"/>
    </row>
    <row r="1511">
      <c r="A1511" s="37" t="n">
        <v>46143</v>
      </c>
      <c r="B1511" s="3" t="n">
        <v>2026</v>
      </c>
      <c r="C1511" s="26" t="inlineStr">
        <is>
          <t>Yanara Power</t>
        </is>
      </c>
      <c r="D1511" s="3" t="inlineStr">
        <is>
          <t>Utility and C&amp;I</t>
        </is>
      </c>
      <c r="E1511" s="3" t="n"/>
      <c r="F1511" s="3" t="inlineStr">
        <is>
          <t>Closed</t>
        </is>
      </c>
      <c r="G1511" s="9" t="inlineStr">
        <is>
          <t xml:space="preserve">Ashish Jindal </t>
        </is>
      </c>
      <c r="H1511" s="26" t="n">
        <v>9983975581</v>
      </c>
      <c r="I1511" s="38" t="inlineStr">
        <is>
          <t>PE01052601</t>
        </is>
      </c>
      <c r="J1511" s="26" t="inlineStr">
        <is>
          <t>Multiple Issues</t>
        </is>
      </c>
      <c r="K1511" s="39" t="inlineStr">
        <is>
          <t>Holi</t>
        </is>
      </c>
      <c r="L1511" s="39" t="inlineStr">
        <is>
          <t>Maharashtra</t>
        </is>
      </c>
      <c r="M1511" s="46" t="inlineStr">
        <is>
          <t>NS</t>
        </is>
      </c>
      <c r="N1511" s="3" t="inlineStr">
        <is>
          <t>Cold Soldering</t>
        </is>
      </c>
      <c r="O1511" s="39" t="n">
        <v>575</v>
      </c>
      <c r="P1511" s="46" t="inlineStr">
        <is>
          <t>NSMI24070179526</t>
        </is>
      </c>
      <c r="Q1511" s="53">
        <f>MID(P1511,5,2)</f>
        <v/>
      </c>
      <c r="R1511" s="53">
        <f>MID(P1511,7,2)</f>
        <v/>
      </c>
      <c r="S1511" s="3" t="inlineStr">
        <is>
          <t>G2G</t>
        </is>
      </c>
      <c r="T1511" s="3" t="inlineStr">
        <is>
          <t>P4</t>
        </is>
      </c>
      <c r="U1511" s="3" t="inlineStr">
        <is>
          <t>N JB Cold Soldering</t>
        </is>
      </c>
      <c r="V1511" s="3" t="inlineStr">
        <is>
          <t>Soldering</t>
        </is>
      </c>
      <c r="W1511" s="3" t="inlineStr">
        <is>
          <t>Repair</t>
        </is>
      </c>
      <c r="X1511" s="18" t="n">
        <v>46161</v>
      </c>
      <c r="Y1511" s="3">
        <f>X1511-A1511</f>
        <v/>
      </c>
      <c r="Z1511" s="18" t="n">
        <v>46161</v>
      </c>
      <c r="AA1511" s="15" t="n"/>
      <c r="AB1511" s="15" t="n"/>
    </row>
    <row r="1512">
      <c r="A1512" s="37" t="n">
        <v>46143</v>
      </c>
      <c r="B1512" s="3" t="n">
        <v>2026</v>
      </c>
      <c r="C1512" s="26" t="inlineStr">
        <is>
          <t>Yanara Power</t>
        </is>
      </c>
      <c r="D1512" s="3" t="inlineStr">
        <is>
          <t>Utility and C&amp;I</t>
        </is>
      </c>
      <c r="E1512" s="3" t="n"/>
      <c r="F1512" s="3" t="inlineStr">
        <is>
          <t>Closed</t>
        </is>
      </c>
      <c r="G1512" s="9" t="inlineStr">
        <is>
          <t xml:space="preserve">Ashish Jindal </t>
        </is>
      </c>
      <c r="H1512" s="26" t="n">
        <v>9983975581</v>
      </c>
      <c r="I1512" s="38" t="inlineStr">
        <is>
          <t>PE01052601</t>
        </is>
      </c>
      <c r="J1512" s="26" t="inlineStr">
        <is>
          <t>Multiple Issues</t>
        </is>
      </c>
      <c r="K1512" s="39" t="inlineStr">
        <is>
          <t>Holi</t>
        </is>
      </c>
      <c r="L1512" s="39" t="inlineStr">
        <is>
          <t>Maharashtra</t>
        </is>
      </c>
      <c r="M1512" s="46" t="inlineStr">
        <is>
          <t>PS</t>
        </is>
      </c>
      <c r="N1512" s="3" t="inlineStr">
        <is>
          <t>Cold Soldering</t>
        </is>
      </c>
      <c r="O1512" s="39" t="n">
        <v>575</v>
      </c>
      <c r="P1512" s="46" t="inlineStr">
        <is>
          <t>NSMI24070182500</t>
        </is>
      </c>
      <c r="Q1512" s="53">
        <f>MID(P1512,5,2)</f>
        <v/>
      </c>
      <c r="R1512" s="53">
        <f>MID(P1512,7,2)</f>
        <v/>
      </c>
      <c r="S1512" s="3" t="inlineStr">
        <is>
          <t>G2G</t>
        </is>
      </c>
      <c r="T1512" s="3" t="inlineStr">
        <is>
          <t>P4</t>
        </is>
      </c>
      <c r="U1512" s="19" t="inlineStr">
        <is>
          <t>P JB Cold Soldering</t>
        </is>
      </c>
      <c r="V1512" s="19" t="inlineStr">
        <is>
          <t>Soldering</t>
        </is>
      </c>
      <c r="W1512" s="3" t="inlineStr">
        <is>
          <t>Repair</t>
        </is>
      </c>
      <c r="X1512" s="18" t="n">
        <v>46161</v>
      </c>
      <c r="Y1512" s="3">
        <f>X1512-A1512</f>
        <v/>
      </c>
      <c r="Z1512" s="18" t="n">
        <v>46161</v>
      </c>
      <c r="AA1512" s="15" t="n"/>
      <c r="AB1512" s="15" t="n"/>
    </row>
    <row r="1513">
      <c r="A1513" s="37" t="n">
        <v>46143</v>
      </c>
      <c r="B1513" s="3" t="n">
        <v>2026</v>
      </c>
      <c r="C1513" s="26" t="inlineStr">
        <is>
          <t>Yanara Power</t>
        </is>
      </c>
      <c r="D1513" s="3" t="inlineStr">
        <is>
          <t>Utility and C&amp;I</t>
        </is>
      </c>
      <c r="E1513" s="3" t="n"/>
      <c r="F1513" s="3" t="inlineStr">
        <is>
          <t>Closed</t>
        </is>
      </c>
      <c r="G1513" s="9" t="inlineStr">
        <is>
          <t xml:space="preserve">Ashish Jindal </t>
        </is>
      </c>
      <c r="H1513" s="26" t="n">
        <v>9983975581</v>
      </c>
      <c r="I1513" s="38" t="inlineStr">
        <is>
          <t>PE01052601</t>
        </is>
      </c>
      <c r="J1513" s="26" t="inlineStr">
        <is>
          <t>Multiple Issues</t>
        </is>
      </c>
      <c r="K1513" s="39" t="inlineStr">
        <is>
          <t>Holi</t>
        </is>
      </c>
      <c r="L1513" s="39" t="inlineStr">
        <is>
          <t>Maharashtra</t>
        </is>
      </c>
      <c r="M1513" s="46" t="inlineStr">
        <is>
          <t>PS</t>
        </is>
      </c>
      <c r="N1513" s="3" t="inlineStr">
        <is>
          <t>Cold Soldering</t>
        </is>
      </c>
      <c r="O1513" s="39" t="n">
        <v>575</v>
      </c>
      <c r="P1513" s="46" t="inlineStr">
        <is>
          <t>NSMI24070184058</t>
        </is>
      </c>
      <c r="Q1513" s="53">
        <f>MID(P1513,5,2)</f>
        <v/>
      </c>
      <c r="R1513" s="53">
        <f>MID(P1513,7,2)</f>
        <v/>
      </c>
      <c r="S1513" s="3" t="inlineStr">
        <is>
          <t>G2G</t>
        </is>
      </c>
      <c r="T1513" s="3" t="inlineStr">
        <is>
          <t>P4</t>
        </is>
      </c>
      <c r="U1513" s="19" t="inlineStr">
        <is>
          <t>P JB Cold Soldering</t>
        </is>
      </c>
      <c r="V1513" s="19" t="inlineStr">
        <is>
          <t>Soldering</t>
        </is>
      </c>
      <c r="W1513" s="3" t="inlineStr">
        <is>
          <t>Repair</t>
        </is>
      </c>
      <c r="X1513" s="18" t="n">
        <v>46161</v>
      </c>
      <c r="Y1513" s="3">
        <f>X1513-A1513</f>
        <v/>
      </c>
      <c r="Z1513" s="18" t="n">
        <v>46161</v>
      </c>
      <c r="AA1513" s="15" t="n"/>
      <c r="AB1513" s="15" t="n"/>
    </row>
    <row r="1514">
      <c r="A1514" s="37" t="n">
        <v>46143</v>
      </c>
      <c r="B1514" s="3" t="n">
        <v>2026</v>
      </c>
      <c r="C1514" s="26" t="inlineStr">
        <is>
          <t>Yanara Power</t>
        </is>
      </c>
      <c r="D1514" s="3" t="inlineStr">
        <is>
          <t>Utility and C&amp;I</t>
        </is>
      </c>
      <c r="E1514" s="3" t="n"/>
      <c r="F1514" s="3" t="inlineStr">
        <is>
          <t>Closed</t>
        </is>
      </c>
      <c r="G1514" s="9" t="inlineStr">
        <is>
          <t xml:space="preserve">Ashish Jindal </t>
        </is>
      </c>
      <c r="H1514" s="26" t="n">
        <v>9983975581</v>
      </c>
      <c r="I1514" s="38" t="inlineStr">
        <is>
          <t>PE01052601</t>
        </is>
      </c>
      <c r="J1514" s="26" t="inlineStr">
        <is>
          <t>Multiple Issues</t>
        </is>
      </c>
      <c r="K1514" s="39" t="inlineStr">
        <is>
          <t>Holi</t>
        </is>
      </c>
      <c r="L1514" s="39" t="inlineStr">
        <is>
          <t>Maharashtra</t>
        </is>
      </c>
      <c r="M1514" s="46" t="inlineStr">
        <is>
          <t>PS</t>
        </is>
      </c>
      <c r="N1514" s="3" t="inlineStr">
        <is>
          <t>Cold Soldering</t>
        </is>
      </c>
      <c r="O1514" s="39" t="n">
        <v>575</v>
      </c>
      <c r="P1514" s="46" t="inlineStr">
        <is>
          <t>NSMI24070184011</t>
        </is>
      </c>
      <c r="Q1514" s="53">
        <f>MID(P1514,5,2)</f>
        <v/>
      </c>
      <c r="R1514" s="53">
        <f>MID(P1514,7,2)</f>
        <v/>
      </c>
      <c r="S1514" s="3" t="inlineStr">
        <is>
          <t>G2G</t>
        </is>
      </c>
      <c r="T1514" s="3" t="inlineStr">
        <is>
          <t>P4</t>
        </is>
      </c>
      <c r="U1514" s="19" t="inlineStr">
        <is>
          <t>P JB Cold Soldering</t>
        </is>
      </c>
      <c r="V1514" s="19" t="inlineStr">
        <is>
          <t>Soldering</t>
        </is>
      </c>
      <c r="W1514" s="3" t="inlineStr">
        <is>
          <t>Repair</t>
        </is>
      </c>
      <c r="X1514" s="18" t="n">
        <v>46161</v>
      </c>
      <c r="Y1514" s="3">
        <f>X1514-A1514</f>
        <v/>
      </c>
      <c r="Z1514" s="18" t="n">
        <v>46161</v>
      </c>
      <c r="AA1514" s="15" t="n"/>
      <c r="AB1514" s="15" t="n"/>
    </row>
    <row r="1515">
      <c r="A1515" s="37" t="n">
        <v>46143</v>
      </c>
      <c r="B1515" s="3" t="n">
        <v>2026</v>
      </c>
      <c r="C1515" s="26" t="inlineStr">
        <is>
          <t>Yanara Power</t>
        </is>
      </c>
      <c r="D1515" s="3" t="inlineStr">
        <is>
          <t>Utility and C&amp;I</t>
        </is>
      </c>
      <c r="E1515" s="3" t="n"/>
      <c r="F1515" s="3" t="inlineStr">
        <is>
          <t>Closed</t>
        </is>
      </c>
      <c r="G1515" s="9" t="inlineStr">
        <is>
          <t xml:space="preserve">Ashish Jindal </t>
        </is>
      </c>
      <c r="H1515" s="26" t="n">
        <v>9983975581</v>
      </c>
      <c r="I1515" s="38" t="inlineStr">
        <is>
          <t>PE01052601</t>
        </is>
      </c>
      <c r="J1515" s="26" t="inlineStr">
        <is>
          <t>Multiple Issues</t>
        </is>
      </c>
      <c r="K1515" s="39" t="inlineStr">
        <is>
          <t>Holi</t>
        </is>
      </c>
      <c r="L1515" s="39" t="inlineStr">
        <is>
          <t>Maharashtra</t>
        </is>
      </c>
      <c r="M1515" s="46" t="inlineStr">
        <is>
          <t>PS</t>
        </is>
      </c>
      <c r="N1515" s="3" t="inlineStr">
        <is>
          <t>Cold Soldering</t>
        </is>
      </c>
      <c r="O1515" s="39" t="n">
        <v>575</v>
      </c>
      <c r="P1515" s="46" t="inlineStr">
        <is>
          <t>NSMI24070182667</t>
        </is>
      </c>
      <c r="Q1515" s="53">
        <f>MID(P1515,5,2)</f>
        <v/>
      </c>
      <c r="R1515" s="53">
        <f>MID(P1515,7,2)</f>
        <v/>
      </c>
      <c r="S1515" s="3" t="inlineStr">
        <is>
          <t>G2G</t>
        </is>
      </c>
      <c r="T1515" s="3" t="inlineStr">
        <is>
          <t>P4</t>
        </is>
      </c>
      <c r="U1515" s="19" t="inlineStr">
        <is>
          <t>P JB Cold Soldering</t>
        </is>
      </c>
      <c r="V1515" s="19" t="inlineStr">
        <is>
          <t>Soldering</t>
        </is>
      </c>
      <c r="W1515" s="3" t="inlineStr">
        <is>
          <t>Repair</t>
        </is>
      </c>
      <c r="X1515" s="18" t="n">
        <v>46161</v>
      </c>
      <c r="Y1515" s="3">
        <f>X1515-A1515</f>
        <v/>
      </c>
      <c r="Z1515" s="18" t="n">
        <v>46161</v>
      </c>
      <c r="AA1515" s="15" t="n"/>
      <c r="AB1515" s="15" t="n"/>
    </row>
    <row r="1516">
      <c r="A1516" s="37" t="n">
        <v>46143</v>
      </c>
      <c r="B1516" s="3" t="n">
        <v>2026</v>
      </c>
      <c r="C1516" s="26" t="inlineStr">
        <is>
          <t>Yanara Power</t>
        </is>
      </c>
      <c r="D1516" s="3" t="inlineStr">
        <is>
          <t>Utility and C&amp;I</t>
        </is>
      </c>
      <c r="E1516" s="3" t="n"/>
      <c r="F1516" s="3" t="inlineStr">
        <is>
          <t>Closed</t>
        </is>
      </c>
      <c r="G1516" s="9" t="inlineStr">
        <is>
          <t xml:space="preserve">Ashish Jindal </t>
        </is>
      </c>
      <c r="H1516" s="26" t="n">
        <v>9983975581</v>
      </c>
      <c r="I1516" s="38" t="inlineStr">
        <is>
          <t>PE01052601</t>
        </is>
      </c>
      <c r="J1516" s="26" t="inlineStr">
        <is>
          <t>Multiple Issues</t>
        </is>
      </c>
      <c r="K1516" s="39" t="inlineStr">
        <is>
          <t>Holi</t>
        </is>
      </c>
      <c r="L1516" s="39" t="inlineStr">
        <is>
          <t>Maharashtra</t>
        </is>
      </c>
      <c r="M1516" s="46" t="inlineStr">
        <is>
          <t>PS</t>
        </is>
      </c>
      <c r="N1516" s="3" t="inlineStr">
        <is>
          <t>Cold Soldering</t>
        </is>
      </c>
      <c r="O1516" s="39" t="n">
        <v>575</v>
      </c>
      <c r="P1516" s="46" t="inlineStr">
        <is>
          <t>NSMI24070182687</t>
        </is>
      </c>
      <c r="Q1516" s="53">
        <f>MID(P1516,5,2)</f>
        <v/>
      </c>
      <c r="R1516" s="53">
        <f>MID(P1516,7,2)</f>
        <v/>
      </c>
      <c r="S1516" s="3" t="inlineStr">
        <is>
          <t>G2G</t>
        </is>
      </c>
      <c r="T1516" s="3" t="inlineStr">
        <is>
          <t>P4</t>
        </is>
      </c>
      <c r="U1516" s="19" t="inlineStr">
        <is>
          <t>P JB Cold Soldering</t>
        </is>
      </c>
      <c r="V1516" s="19" t="inlineStr">
        <is>
          <t>Soldering</t>
        </is>
      </c>
      <c r="W1516" s="3" t="inlineStr">
        <is>
          <t>Repair</t>
        </is>
      </c>
      <c r="X1516" s="18" t="n">
        <v>46161</v>
      </c>
      <c r="Y1516" s="3">
        <f>X1516-A1516</f>
        <v/>
      </c>
      <c r="Z1516" s="18" t="n">
        <v>46161</v>
      </c>
      <c r="AA1516" s="15" t="n"/>
      <c r="AB1516" s="15" t="n"/>
    </row>
    <row r="1517">
      <c r="A1517" s="37" t="n">
        <v>46143</v>
      </c>
      <c r="B1517" s="3" t="n">
        <v>2026</v>
      </c>
      <c r="C1517" s="26" t="inlineStr">
        <is>
          <t>Yanara Power</t>
        </is>
      </c>
      <c r="D1517" s="3" t="inlineStr">
        <is>
          <t>Utility and C&amp;I</t>
        </is>
      </c>
      <c r="E1517" s="3" t="n"/>
      <c r="F1517" s="3" t="inlineStr">
        <is>
          <t>Closed</t>
        </is>
      </c>
      <c r="G1517" s="9" t="inlineStr">
        <is>
          <t xml:space="preserve">Ashish Jindal </t>
        </is>
      </c>
      <c r="H1517" s="26" t="n">
        <v>9983975581</v>
      </c>
      <c r="I1517" s="38" t="inlineStr">
        <is>
          <t>PE01052601</t>
        </is>
      </c>
      <c r="J1517" s="26" t="inlineStr">
        <is>
          <t>Multiple Issues</t>
        </is>
      </c>
      <c r="K1517" s="39" t="inlineStr">
        <is>
          <t>Holi</t>
        </is>
      </c>
      <c r="L1517" s="39" t="inlineStr">
        <is>
          <t>Maharashtra</t>
        </is>
      </c>
      <c r="M1517" s="46" t="inlineStr">
        <is>
          <t>PR</t>
        </is>
      </c>
      <c r="N1517" s="3" t="inlineStr">
        <is>
          <t>JB Issue</t>
        </is>
      </c>
      <c r="O1517" s="39" t="n">
        <v>575</v>
      </c>
      <c r="P1517" s="46" t="inlineStr">
        <is>
          <t>NSMI24070191124</t>
        </is>
      </c>
      <c r="Q1517" s="53">
        <f>MID(P1517,5,2)</f>
        <v/>
      </c>
      <c r="R1517" s="53">
        <f>MID(P1517,7,2)</f>
        <v/>
      </c>
      <c r="S1517" s="3" t="inlineStr">
        <is>
          <t>G2G</t>
        </is>
      </c>
      <c r="T1517" s="3" t="inlineStr">
        <is>
          <t>P4</t>
        </is>
      </c>
      <c r="U1517" s="3" t="inlineStr">
        <is>
          <t>P JB Issue</t>
        </is>
      </c>
      <c r="V1517" s="15" t="inlineStr">
        <is>
          <t>JB Changed</t>
        </is>
      </c>
      <c r="W1517" s="3" t="inlineStr">
        <is>
          <t>Repair</t>
        </is>
      </c>
      <c r="X1517" s="18" t="n">
        <v>46161</v>
      </c>
      <c r="Y1517" s="3">
        <f>X1517-A1517</f>
        <v/>
      </c>
      <c r="Z1517" s="18" t="n">
        <v>46161</v>
      </c>
      <c r="AA1517" s="15" t="n"/>
      <c r="AB1517" s="15" t="n"/>
    </row>
    <row r="1518">
      <c r="A1518" s="37" t="n">
        <v>46143</v>
      </c>
      <c r="B1518" s="3" t="n">
        <v>2026</v>
      </c>
      <c r="C1518" s="26" t="inlineStr">
        <is>
          <t>Yanara Power</t>
        </is>
      </c>
      <c r="D1518" s="3" t="inlineStr">
        <is>
          <t>Utility and C&amp;I</t>
        </is>
      </c>
      <c r="E1518" s="3" t="n"/>
      <c r="F1518" s="3" t="inlineStr">
        <is>
          <t>Closed</t>
        </is>
      </c>
      <c r="G1518" s="9" t="inlineStr">
        <is>
          <t xml:space="preserve">Ashish Jindal </t>
        </is>
      </c>
      <c r="H1518" s="26" t="n">
        <v>9983975581</v>
      </c>
      <c r="I1518" s="38" t="inlineStr">
        <is>
          <t>PE01052601</t>
        </is>
      </c>
      <c r="J1518" s="26" t="inlineStr">
        <is>
          <t>Multiple Issues</t>
        </is>
      </c>
      <c r="K1518" s="39" t="inlineStr">
        <is>
          <t>Holi</t>
        </is>
      </c>
      <c r="L1518" s="39" t="inlineStr">
        <is>
          <t>Maharashtra</t>
        </is>
      </c>
      <c r="M1518" s="46" t="inlineStr">
        <is>
          <t>PS</t>
        </is>
      </c>
      <c r="N1518" s="3" t="inlineStr">
        <is>
          <t>Cold Soldering</t>
        </is>
      </c>
      <c r="O1518" s="39" t="n">
        <v>575</v>
      </c>
      <c r="P1518" s="46" t="inlineStr">
        <is>
          <t>NSMI24070181412</t>
        </is>
      </c>
      <c r="Q1518" s="53">
        <f>MID(P1518,5,2)</f>
        <v/>
      </c>
      <c r="R1518" s="53">
        <f>MID(P1518,7,2)</f>
        <v/>
      </c>
      <c r="S1518" s="3" t="inlineStr">
        <is>
          <t>G2G</t>
        </is>
      </c>
      <c r="T1518" s="3" t="inlineStr">
        <is>
          <t>P4</t>
        </is>
      </c>
      <c r="U1518" s="19" t="inlineStr">
        <is>
          <t>P JB Cold Soldering</t>
        </is>
      </c>
      <c r="V1518" s="19" t="inlineStr">
        <is>
          <t>Soldering</t>
        </is>
      </c>
      <c r="W1518" s="3" t="inlineStr">
        <is>
          <t>Repair</t>
        </is>
      </c>
      <c r="X1518" s="18" t="n">
        <v>46161</v>
      </c>
      <c r="Y1518" s="3">
        <f>X1518-A1518</f>
        <v/>
      </c>
      <c r="Z1518" s="18" t="n">
        <v>46161</v>
      </c>
      <c r="AA1518" s="15" t="n"/>
      <c r="AB1518" s="15" t="n"/>
    </row>
    <row r="1519">
      <c r="A1519" s="37" t="n">
        <v>46143</v>
      </c>
      <c r="B1519" s="3" t="n">
        <v>2026</v>
      </c>
      <c r="C1519" s="26" t="inlineStr">
        <is>
          <t>Yanara Power</t>
        </is>
      </c>
      <c r="D1519" s="3" t="inlineStr">
        <is>
          <t>Utility and C&amp;I</t>
        </is>
      </c>
      <c r="E1519" s="3" t="n"/>
      <c r="F1519" s="3" t="inlineStr">
        <is>
          <t>Closed</t>
        </is>
      </c>
      <c r="G1519" s="9" t="inlineStr">
        <is>
          <t xml:space="preserve">Ashish Jindal </t>
        </is>
      </c>
      <c r="H1519" s="26" t="n">
        <v>9983975581</v>
      </c>
      <c r="I1519" s="38" t="inlineStr">
        <is>
          <t>PE01052601</t>
        </is>
      </c>
      <c r="J1519" s="26" t="inlineStr">
        <is>
          <t>Multiple Issues</t>
        </is>
      </c>
      <c r="K1519" s="39" t="inlineStr">
        <is>
          <t>Holi</t>
        </is>
      </c>
      <c r="L1519" s="39" t="inlineStr">
        <is>
          <t>Maharashtra</t>
        </is>
      </c>
      <c r="M1519" s="46" t="inlineStr">
        <is>
          <t>PS</t>
        </is>
      </c>
      <c r="N1519" s="3" t="inlineStr">
        <is>
          <t>Cold Soldering</t>
        </is>
      </c>
      <c r="O1519" s="39" t="n">
        <v>575</v>
      </c>
      <c r="P1519" s="46" t="inlineStr">
        <is>
          <t>NSMI24070184640</t>
        </is>
      </c>
      <c r="Q1519" s="53">
        <f>MID(P1519,5,2)</f>
        <v/>
      </c>
      <c r="R1519" s="53">
        <f>MID(P1519,7,2)</f>
        <v/>
      </c>
      <c r="S1519" s="3" t="inlineStr">
        <is>
          <t>G2G</t>
        </is>
      </c>
      <c r="T1519" s="3" t="inlineStr">
        <is>
          <t>P4</t>
        </is>
      </c>
      <c r="U1519" s="19" t="inlineStr">
        <is>
          <t>P JB Cold Soldering</t>
        </is>
      </c>
      <c r="V1519" s="19" t="inlineStr">
        <is>
          <t>Soldering</t>
        </is>
      </c>
      <c r="W1519" s="3" t="inlineStr">
        <is>
          <t>Repair</t>
        </is>
      </c>
      <c r="X1519" s="18" t="n">
        <v>46161</v>
      </c>
      <c r="Y1519" s="3">
        <f>X1519-A1519</f>
        <v/>
      </c>
      <c r="Z1519" s="18" t="n">
        <v>46161</v>
      </c>
      <c r="AA1519" s="15" t="n"/>
      <c r="AB1519" s="15" t="n"/>
    </row>
    <row r="1520">
      <c r="A1520" s="37" t="n">
        <v>46143</v>
      </c>
      <c r="B1520" s="3" t="n">
        <v>2026</v>
      </c>
      <c r="C1520" s="26" t="inlineStr">
        <is>
          <t>Yanara Power</t>
        </is>
      </c>
      <c r="D1520" s="3" t="inlineStr">
        <is>
          <t>Utility and C&amp;I</t>
        </is>
      </c>
      <c r="E1520" s="3" t="n"/>
      <c r="F1520" s="3" t="inlineStr">
        <is>
          <t>Closed</t>
        </is>
      </c>
      <c r="G1520" s="9" t="inlineStr">
        <is>
          <t xml:space="preserve">Ashish Jindal </t>
        </is>
      </c>
      <c r="H1520" s="26" t="n">
        <v>9983975581</v>
      </c>
      <c r="I1520" s="38" t="inlineStr">
        <is>
          <t>PE01052601</t>
        </is>
      </c>
      <c r="J1520" s="26" t="inlineStr">
        <is>
          <t>Multiple Issues</t>
        </is>
      </c>
      <c r="K1520" s="39" t="inlineStr">
        <is>
          <t>Holi</t>
        </is>
      </c>
      <c r="L1520" s="39" t="inlineStr">
        <is>
          <t>Maharashtra</t>
        </is>
      </c>
      <c r="M1520" s="46" t="inlineStr">
        <is>
          <t>PS</t>
        </is>
      </c>
      <c r="N1520" s="3" t="inlineStr">
        <is>
          <t>Cold Soldering</t>
        </is>
      </c>
      <c r="O1520" s="39" t="n">
        <v>575</v>
      </c>
      <c r="P1520" s="46" t="inlineStr">
        <is>
          <t>NSMI24070182372</t>
        </is>
      </c>
      <c r="Q1520" s="53">
        <f>MID(P1520,5,2)</f>
        <v/>
      </c>
      <c r="R1520" s="53">
        <f>MID(P1520,7,2)</f>
        <v/>
      </c>
      <c r="S1520" s="3" t="inlineStr">
        <is>
          <t>G2G</t>
        </is>
      </c>
      <c r="T1520" s="3" t="inlineStr">
        <is>
          <t>P4</t>
        </is>
      </c>
      <c r="U1520" s="19" t="inlineStr">
        <is>
          <t>P JB Cold Soldering</t>
        </is>
      </c>
      <c r="V1520" s="19" t="inlineStr">
        <is>
          <t>Soldering</t>
        </is>
      </c>
      <c r="W1520" s="3" t="inlineStr">
        <is>
          <t>Repair</t>
        </is>
      </c>
      <c r="X1520" s="18" t="n">
        <v>46161</v>
      </c>
      <c r="Y1520" s="3">
        <f>X1520-A1520</f>
        <v/>
      </c>
      <c r="Z1520" s="18" t="n">
        <v>46161</v>
      </c>
      <c r="AA1520" s="15" t="n"/>
      <c r="AB1520" s="15" t="n"/>
    </row>
    <row r="1521">
      <c r="A1521" s="37" t="n">
        <v>46143</v>
      </c>
      <c r="B1521" s="3" t="n">
        <v>2026</v>
      </c>
      <c r="C1521" s="26" t="inlineStr">
        <is>
          <t>Yanara Power</t>
        </is>
      </c>
      <c r="D1521" s="3" t="inlineStr">
        <is>
          <t>Utility and C&amp;I</t>
        </is>
      </c>
      <c r="E1521" s="3" t="n"/>
      <c r="F1521" s="3" t="inlineStr">
        <is>
          <t>Closed</t>
        </is>
      </c>
      <c r="G1521" s="9" t="inlineStr">
        <is>
          <t xml:space="preserve">Ashish Jindal </t>
        </is>
      </c>
      <c r="H1521" s="26" t="n">
        <v>9983975581</v>
      </c>
      <c r="I1521" s="38" t="inlineStr">
        <is>
          <t>PE01052601</t>
        </is>
      </c>
      <c r="J1521" s="26" t="inlineStr">
        <is>
          <t>Multiple Issues</t>
        </is>
      </c>
      <c r="K1521" s="39" t="inlineStr">
        <is>
          <t>Holi</t>
        </is>
      </c>
      <c r="L1521" s="39" t="inlineStr">
        <is>
          <t>Maharashtra</t>
        </is>
      </c>
      <c r="M1521" s="46" t="inlineStr">
        <is>
          <t>PS</t>
        </is>
      </c>
      <c r="N1521" s="3" t="inlineStr">
        <is>
          <t>Cold Soldering</t>
        </is>
      </c>
      <c r="O1521" s="39" t="n">
        <v>575</v>
      </c>
      <c r="P1521" s="46" t="inlineStr">
        <is>
          <t>NSMI24070176087</t>
        </is>
      </c>
      <c r="Q1521" s="53">
        <f>MID(P1521,5,2)</f>
        <v/>
      </c>
      <c r="R1521" s="53">
        <f>MID(P1521,7,2)</f>
        <v/>
      </c>
      <c r="S1521" s="3" t="inlineStr">
        <is>
          <t>G2G</t>
        </is>
      </c>
      <c r="T1521" s="3" t="inlineStr">
        <is>
          <t>P4</t>
        </is>
      </c>
      <c r="U1521" s="19" t="inlineStr">
        <is>
          <t>P JB Cold Soldering</t>
        </is>
      </c>
      <c r="V1521" s="19" t="inlineStr">
        <is>
          <t>Soldering</t>
        </is>
      </c>
      <c r="W1521" s="3" t="inlineStr">
        <is>
          <t>Repair</t>
        </is>
      </c>
      <c r="X1521" s="18" t="n">
        <v>46161</v>
      </c>
      <c r="Y1521" s="3">
        <f>X1521-A1521</f>
        <v/>
      </c>
      <c r="Z1521" s="18" t="n">
        <v>46161</v>
      </c>
      <c r="AA1521" s="15" t="n"/>
      <c r="AB1521" s="15" t="n"/>
    </row>
    <row r="1522">
      <c r="A1522" s="37" t="n">
        <v>46143</v>
      </c>
      <c r="B1522" s="3" t="n">
        <v>2026</v>
      </c>
      <c r="C1522" s="26" t="inlineStr">
        <is>
          <t>Yanara Power</t>
        </is>
      </c>
      <c r="D1522" s="3" t="inlineStr">
        <is>
          <t>Utility and C&amp;I</t>
        </is>
      </c>
      <c r="E1522" s="3" t="n"/>
      <c r="F1522" s="3" t="inlineStr">
        <is>
          <t>Closed</t>
        </is>
      </c>
      <c r="G1522" s="9" t="inlineStr">
        <is>
          <t xml:space="preserve">Ashish Jindal </t>
        </is>
      </c>
      <c r="H1522" s="26" t="n">
        <v>9983975581</v>
      </c>
      <c r="I1522" s="38" t="inlineStr">
        <is>
          <t>PE01052601</t>
        </is>
      </c>
      <c r="J1522" s="26" t="inlineStr">
        <is>
          <t>Multiple Issues</t>
        </is>
      </c>
      <c r="K1522" s="39" t="inlineStr">
        <is>
          <t>Holi</t>
        </is>
      </c>
      <c r="L1522" s="39" t="inlineStr">
        <is>
          <t>Maharashtra</t>
        </is>
      </c>
      <c r="M1522" s="46" t="inlineStr">
        <is>
          <t>PS</t>
        </is>
      </c>
      <c r="N1522" s="3" t="inlineStr">
        <is>
          <t>Cold Soldering</t>
        </is>
      </c>
      <c r="O1522" s="39" t="n">
        <v>575</v>
      </c>
      <c r="P1522" s="46" t="inlineStr">
        <is>
          <t>NSMI24070181946</t>
        </is>
      </c>
      <c r="Q1522" s="53">
        <f>MID(P1522,5,2)</f>
        <v/>
      </c>
      <c r="R1522" s="53">
        <f>MID(P1522,7,2)</f>
        <v/>
      </c>
      <c r="S1522" s="3" t="inlineStr">
        <is>
          <t>G2G</t>
        </is>
      </c>
      <c r="T1522" s="3" t="inlineStr">
        <is>
          <t>P4</t>
        </is>
      </c>
      <c r="U1522" s="19" t="inlineStr">
        <is>
          <t>P JB Cold Soldering</t>
        </is>
      </c>
      <c r="V1522" s="19" t="inlineStr">
        <is>
          <t>Soldering</t>
        </is>
      </c>
      <c r="W1522" s="3" t="inlineStr">
        <is>
          <t>Repair</t>
        </is>
      </c>
      <c r="X1522" s="18" t="n">
        <v>46161</v>
      </c>
      <c r="Y1522" s="3">
        <f>X1522-A1522</f>
        <v/>
      </c>
      <c r="Z1522" s="18" t="n">
        <v>46161</v>
      </c>
      <c r="AA1522" s="15" t="n"/>
      <c r="AB1522" s="15" t="n"/>
    </row>
    <row r="1523">
      <c r="A1523" s="37" t="n">
        <v>46143</v>
      </c>
      <c r="B1523" s="3" t="n">
        <v>2026</v>
      </c>
      <c r="C1523" s="26" t="inlineStr">
        <is>
          <t>Yanara Power</t>
        </is>
      </c>
      <c r="D1523" s="3" t="inlineStr">
        <is>
          <t>Utility and C&amp;I</t>
        </is>
      </c>
      <c r="E1523" s="3" t="n"/>
      <c r="F1523" s="3" t="inlineStr">
        <is>
          <t>Closed</t>
        </is>
      </c>
      <c r="G1523" s="9" t="inlineStr">
        <is>
          <t xml:space="preserve">Ashish Jindal </t>
        </is>
      </c>
      <c r="H1523" s="26" t="n">
        <v>9983975581</v>
      </c>
      <c r="I1523" s="38" t="inlineStr">
        <is>
          <t>PE01052601</t>
        </is>
      </c>
      <c r="J1523" s="26" t="inlineStr">
        <is>
          <t>Multiple Issues</t>
        </is>
      </c>
      <c r="K1523" s="39" t="inlineStr">
        <is>
          <t>Holi</t>
        </is>
      </c>
      <c r="L1523" s="39" t="inlineStr">
        <is>
          <t>Maharashtra</t>
        </is>
      </c>
      <c r="M1523" s="46" t="inlineStr">
        <is>
          <t>PS</t>
        </is>
      </c>
      <c r="N1523" s="3" t="inlineStr">
        <is>
          <t>Cold Soldering</t>
        </is>
      </c>
      <c r="O1523" s="39" t="n">
        <v>575</v>
      </c>
      <c r="P1523" s="46" t="inlineStr">
        <is>
          <t>NSMI24070182011</t>
        </is>
      </c>
      <c r="Q1523" s="53">
        <f>MID(P1523,5,2)</f>
        <v/>
      </c>
      <c r="R1523" s="53">
        <f>MID(P1523,7,2)</f>
        <v/>
      </c>
      <c r="S1523" s="3" t="inlineStr">
        <is>
          <t>G2G</t>
        </is>
      </c>
      <c r="T1523" s="3" t="inlineStr">
        <is>
          <t>P4</t>
        </is>
      </c>
      <c r="U1523" s="19" t="inlineStr">
        <is>
          <t>P JB Cold Soldering</t>
        </is>
      </c>
      <c r="V1523" s="19" t="inlineStr">
        <is>
          <t>Soldering</t>
        </is>
      </c>
      <c r="W1523" s="3" t="inlineStr">
        <is>
          <t>Repair</t>
        </is>
      </c>
      <c r="X1523" s="18" t="n">
        <v>46161</v>
      </c>
      <c r="Y1523" s="3">
        <f>X1523-A1523</f>
        <v/>
      </c>
      <c r="Z1523" s="18" t="n">
        <v>46161</v>
      </c>
      <c r="AA1523" s="15" t="n"/>
      <c r="AB1523" s="15" t="n"/>
    </row>
    <row r="1524">
      <c r="A1524" s="37" t="n">
        <v>46143</v>
      </c>
      <c r="B1524" s="3" t="n">
        <v>2026</v>
      </c>
      <c r="C1524" s="26" t="inlineStr">
        <is>
          <t>Yanara Power</t>
        </is>
      </c>
      <c r="D1524" s="3" t="inlineStr">
        <is>
          <t>Utility and C&amp;I</t>
        </is>
      </c>
      <c r="E1524" s="3" t="n"/>
      <c r="F1524" s="3" t="inlineStr">
        <is>
          <t>Closed</t>
        </is>
      </c>
      <c r="G1524" s="9" t="inlineStr">
        <is>
          <t xml:space="preserve">Ashish Jindal </t>
        </is>
      </c>
      <c r="H1524" s="26" t="n">
        <v>9983975581</v>
      </c>
      <c r="I1524" s="38" t="inlineStr">
        <is>
          <t>PE01052601</t>
        </is>
      </c>
      <c r="J1524" s="26" t="inlineStr">
        <is>
          <t>Multiple Issues</t>
        </is>
      </c>
      <c r="K1524" s="39" t="inlineStr">
        <is>
          <t>Holi</t>
        </is>
      </c>
      <c r="L1524" s="39" t="inlineStr">
        <is>
          <t>Maharashtra</t>
        </is>
      </c>
      <c r="M1524" s="46" t="inlineStr">
        <is>
          <t>NS</t>
        </is>
      </c>
      <c r="N1524" s="3" t="inlineStr">
        <is>
          <t>Cold Soldering</t>
        </is>
      </c>
      <c r="O1524" s="39" t="n">
        <v>575</v>
      </c>
      <c r="P1524" s="46" t="inlineStr">
        <is>
          <t>NSMI24070182005</t>
        </is>
      </c>
      <c r="Q1524" s="53">
        <f>MID(P1524,5,2)</f>
        <v/>
      </c>
      <c r="R1524" s="53">
        <f>MID(P1524,7,2)</f>
        <v/>
      </c>
      <c r="S1524" s="3" t="inlineStr">
        <is>
          <t>G2G</t>
        </is>
      </c>
      <c r="T1524" s="3" t="inlineStr">
        <is>
          <t>P4</t>
        </is>
      </c>
      <c r="U1524" s="3" t="inlineStr">
        <is>
          <t>N JB Cold Soldering</t>
        </is>
      </c>
      <c r="V1524" s="3" t="inlineStr">
        <is>
          <t>Soldering</t>
        </is>
      </c>
      <c r="W1524" s="3" t="inlineStr">
        <is>
          <t>Repair</t>
        </is>
      </c>
      <c r="X1524" s="18" t="n">
        <v>46161</v>
      </c>
      <c r="Y1524" s="3">
        <f>X1524-A1524</f>
        <v/>
      </c>
      <c r="Z1524" s="18" t="n">
        <v>46161</v>
      </c>
      <c r="AA1524" s="15" t="n"/>
      <c r="AB1524" s="15" t="n"/>
    </row>
    <row r="1525">
      <c r="A1525" s="37" t="n">
        <v>46143</v>
      </c>
      <c r="B1525" s="3" t="n">
        <v>2026</v>
      </c>
      <c r="C1525" s="26" t="inlineStr">
        <is>
          <t>Yanara Power</t>
        </is>
      </c>
      <c r="D1525" s="3" t="inlineStr">
        <is>
          <t>Utility and C&amp;I</t>
        </is>
      </c>
      <c r="E1525" s="3" t="n"/>
      <c r="F1525" s="3" t="inlineStr">
        <is>
          <t>Closed</t>
        </is>
      </c>
      <c r="G1525" s="9" t="inlineStr">
        <is>
          <t xml:space="preserve">Ashish Jindal </t>
        </is>
      </c>
      <c r="H1525" s="26" t="n">
        <v>9983975581</v>
      </c>
      <c r="I1525" s="38" t="inlineStr">
        <is>
          <t>PE01052601</t>
        </is>
      </c>
      <c r="J1525" s="26" t="inlineStr">
        <is>
          <t>Multiple Issues</t>
        </is>
      </c>
      <c r="K1525" s="39" t="inlineStr">
        <is>
          <t>Holi</t>
        </is>
      </c>
      <c r="L1525" s="39" t="inlineStr">
        <is>
          <t>Maharashtra</t>
        </is>
      </c>
      <c r="M1525" s="46" t="inlineStr">
        <is>
          <t>PS</t>
        </is>
      </c>
      <c r="N1525" s="3" t="inlineStr">
        <is>
          <t>Cold Soldering</t>
        </is>
      </c>
      <c r="O1525" s="39" t="n">
        <v>575</v>
      </c>
      <c r="P1525" s="46" t="inlineStr">
        <is>
          <t>NSMI24070181064</t>
        </is>
      </c>
      <c r="Q1525" s="53">
        <f>MID(P1525,5,2)</f>
        <v/>
      </c>
      <c r="R1525" s="53">
        <f>MID(P1525,7,2)</f>
        <v/>
      </c>
      <c r="S1525" s="3" t="inlineStr">
        <is>
          <t>G2G</t>
        </is>
      </c>
      <c r="T1525" s="3" t="inlineStr">
        <is>
          <t>P4</t>
        </is>
      </c>
      <c r="U1525" s="19" t="inlineStr">
        <is>
          <t>P JB Cold Soldering</t>
        </is>
      </c>
      <c r="V1525" s="19" t="inlineStr">
        <is>
          <t>Soldering</t>
        </is>
      </c>
      <c r="W1525" s="3" t="inlineStr">
        <is>
          <t>Repair</t>
        </is>
      </c>
      <c r="X1525" s="18" t="n">
        <v>46161</v>
      </c>
      <c r="Y1525" s="3">
        <f>X1525-A1525</f>
        <v/>
      </c>
      <c r="Z1525" s="18" t="n">
        <v>46161</v>
      </c>
      <c r="AA1525" s="15" t="n"/>
      <c r="AB1525" s="15" t="n"/>
    </row>
    <row r="1526">
      <c r="A1526" s="37" t="n">
        <v>46143</v>
      </c>
      <c r="B1526" s="3" t="n">
        <v>2026</v>
      </c>
      <c r="C1526" s="26" t="inlineStr">
        <is>
          <t>Yanara Power</t>
        </is>
      </c>
      <c r="D1526" s="3" t="inlineStr">
        <is>
          <t>Utility and C&amp;I</t>
        </is>
      </c>
      <c r="E1526" s="3" t="n"/>
      <c r="F1526" s="3" t="inlineStr">
        <is>
          <t>Closed</t>
        </is>
      </c>
      <c r="G1526" s="9" t="inlineStr">
        <is>
          <t xml:space="preserve">Ashish Jindal </t>
        </is>
      </c>
      <c r="H1526" s="26" t="n">
        <v>9983975581</v>
      </c>
      <c r="I1526" s="38" t="inlineStr">
        <is>
          <t>PE01052601</t>
        </is>
      </c>
      <c r="J1526" s="26" t="inlineStr">
        <is>
          <t>Multiple Issues</t>
        </is>
      </c>
      <c r="K1526" s="39" t="inlineStr">
        <is>
          <t>Holi</t>
        </is>
      </c>
      <c r="L1526" s="39" t="inlineStr">
        <is>
          <t>Maharashtra</t>
        </is>
      </c>
      <c r="M1526" s="46" t="inlineStr">
        <is>
          <t>PS</t>
        </is>
      </c>
      <c r="N1526" s="3" t="inlineStr">
        <is>
          <t>Cold Soldering</t>
        </is>
      </c>
      <c r="O1526" s="39" t="n">
        <v>575</v>
      </c>
      <c r="P1526" s="46" t="inlineStr">
        <is>
          <t>NSMI24070184071</t>
        </is>
      </c>
      <c r="Q1526" s="53">
        <f>MID(P1526,5,2)</f>
        <v/>
      </c>
      <c r="R1526" s="53">
        <f>MID(P1526,7,2)</f>
        <v/>
      </c>
      <c r="S1526" s="3" t="inlineStr">
        <is>
          <t>G2G</t>
        </is>
      </c>
      <c r="T1526" s="3" t="inlineStr">
        <is>
          <t>P4</t>
        </is>
      </c>
      <c r="U1526" s="19" t="inlineStr">
        <is>
          <t>P JB Cold Soldering</t>
        </is>
      </c>
      <c r="V1526" s="19" t="inlineStr">
        <is>
          <t>Soldering</t>
        </is>
      </c>
      <c r="W1526" s="3" t="inlineStr">
        <is>
          <t>Repair</t>
        </is>
      </c>
      <c r="X1526" s="18" t="n">
        <v>46161</v>
      </c>
      <c r="Y1526" s="3">
        <f>X1526-A1526</f>
        <v/>
      </c>
      <c r="Z1526" s="18" t="n">
        <v>46161</v>
      </c>
      <c r="AA1526" s="15" t="n"/>
      <c r="AB1526" s="15" t="n"/>
    </row>
    <row r="1527">
      <c r="A1527" s="37" t="n">
        <v>46143</v>
      </c>
      <c r="B1527" s="3" t="n">
        <v>2026</v>
      </c>
      <c r="C1527" s="26" t="inlineStr">
        <is>
          <t>Yanara Power</t>
        </is>
      </c>
      <c r="D1527" s="3" t="inlineStr">
        <is>
          <t>Utility and C&amp;I</t>
        </is>
      </c>
      <c r="E1527" s="3" t="n"/>
      <c r="F1527" s="3" t="inlineStr">
        <is>
          <t>Closed</t>
        </is>
      </c>
      <c r="G1527" s="9" t="inlineStr">
        <is>
          <t xml:space="preserve">Ashish Jindal </t>
        </is>
      </c>
      <c r="H1527" s="26" t="n">
        <v>9983975581</v>
      </c>
      <c r="I1527" s="38" t="inlineStr">
        <is>
          <t>PE01052601</t>
        </is>
      </c>
      <c r="J1527" s="26" t="inlineStr">
        <is>
          <t>Multiple Issues</t>
        </is>
      </c>
      <c r="K1527" s="39" t="inlineStr">
        <is>
          <t>Holi</t>
        </is>
      </c>
      <c r="L1527" s="39" t="inlineStr">
        <is>
          <t>Maharashtra</t>
        </is>
      </c>
      <c r="M1527" s="46" t="inlineStr">
        <is>
          <t>PS</t>
        </is>
      </c>
      <c r="N1527" s="3" t="inlineStr">
        <is>
          <t>Cold Soldering</t>
        </is>
      </c>
      <c r="O1527" s="39" t="n">
        <v>575</v>
      </c>
      <c r="P1527" s="46" t="inlineStr">
        <is>
          <t>NSMI24070180948</t>
        </is>
      </c>
      <c r="Q1527" s="53">
        <f>MID(P1527,5,2)</f>
        <v/>
      </c>
      <c r="R1527" s="53">
        <f>MID(P1527,7,2)</f>
        <v/>
      </c>
      <c r="S1527" s="3" t="inlineStr">
        <is>
          <t>G2G</t>
        </is>
      </c>
      <c r="T1527" s="3" t="inlineStr">
        <is>
          <t>P4</t>
        </is>
      </c>
      <c r="U1527" s="19" t="inlineStr">
        <is>
          <t>P JB Cold Soldering</t>
        </is>
      </c>
      <c r="V1527" s="19" t="inlineStr">
        <is>
          <t>Soldering</t>
        </is>
      </c>
      <c r="W1527" s="3" t="inlineStr">
        <is>
          <t>Repair</t>
        </is>
      </c>
      <c r="X1527" s="18" t="n">
        <v>46161</v>
      </c>
      <c r="Y1527" s="3">
        <f>X1527-A1527</f>
        <v/>
      </c>
      <c r="Z1527" s="18" t="n">
        <v>46161</v>
      </c>
      <c r="AA1527" s="15" t="n"/>
      <c r="AB1527" s="15" t="n"/>
    </row>
    <row r="1528">
      <c r="A1528" s="37" t="n">
        <v>46143</v>
      </c>
      <c r="B1528" s="3" t="n">
        <v>2026</v>
      </c>
      <c r="C1528" s="26" t="inlineStr">
        <is>
          <t>Yanara Power</t>
        </is>
      </c>
      <c r="D1528" s="3" t="inlineStr">
        <is>
          <t>Utility and C&amp;I</t>
        </is>
      </c>
      <c r="E1528" s="3" t="n"/>
      <c r="F1528" s="3" t="inlineStr">
        <is>
          <t>Closed</t>
        </is>
      </c>
      <c r="G1528" s="9" t="inlineStr">
        <is>
          <t xml:space="preserve">Ashish Jindal </t>
        </is>
      </c>
      <c r="H1528" s="26" t="n">
        <v>9983975581</v>
      </c>
      <c r="I1528" s="38" t="inlineStr">
        <is>
          <t>PE01052601</t>
        </is>
      </c>
      <c r="J1528" s="26" t="inlineStr">
        <is>
          <t>Multiple Issues</t>
        </is>
      </c>
      <c r="K1528" s="39" t="inlineStr">
        <is>
          <t>Holi</t>
        </is>
      </c>
      <c r="L1528" s="39" t="inlineStr">
        <is>
          <t>Maharashtra</t>
        </is>
      </c>
      <c r="M1528" s="46" t="inlineStr">
        <is>
          <t>NS</t>
        </is>
      </c>
      <c r="N1528" s="3" t="inlineStr">
        <is>
          <t>Cold Soldering</t>
        </is>
      </c>
      <c r="O1528" s="39" t="n">
        <v>575</v>
      </c>
      <c r="P1528" s="46" t="inlineStr">
        <is>
          <t>NSMI24070181104</t>
        </is>
      </c>
      <c r="Q1528" s="53">
        <f>MID(P1528,5,2)</f>
        <v/>
      </c>
      <c r="R1528" s="53">
        <f>MID(P1528,7,2)</f>
        <v/>
      </c>
      <c r="S1528" s="3" t="inlineStr">
        <is>
          <t>G2G</t>
        </is>
      </c>
      <c r="T1528" s="3" t="inlineStr">
        <is>
          <t>P4</t>
        </is>
      </c>
      <c r="U1528" s="3" t="inlineStr">
        <is>
          <t>N JB Cold Soldering</t>
        </is>
      </c>
      <c r="V1528" s="3" t="inlineStr">
        <is>
          <t>Soldering</t>
        </is>
      </c>
      <c r="W1528" s="3" t="inlineStr">
        <is>
          <t>Repair</t>
        </is>
      </c>
      <c r="X1528" s="18" t="n">
        <v>46161</v>
      </c>
      <c r="Y1528" s="3">
        <f>X1528-A1528</f>
        <v/>
      </c>
      <c r="Z1528" s="18" t="n">
        <v>46161</v>
      </c>
      <c r="AA1528" s="15" t="n"/>
      <c r="AB1528" s="15" t="n"/>
    </row>
    <row r="1529">
      <c r="A1529" s="37" t="n">
        <v>46143</v>
      </c>
      <c r="B1529" s="3" t="n">
        <v>2026</v>
      </c>
      <c r="C1529" s="26" t="inlineStr">
        <is>
          <t>Yanara Power</t>
        </is>
      </c>
      <c r="D1529" s="3" t="inlineStr">
        <is>
          <t>Utility and C&amp;I</t>
        </is>
      </c>
      <c r="E1529" s="3" t="n"/>
      <c r="F1529" s="3" t="inlineStr">
        <is>
          <t>Closed</t>
        </is>
      </c>
      <c r="G1529" s="9" t="inlineStr">
        <is>
          <t xml:space="preserve">Ashish Jindal </t>
        </is>
      </c>
      <c r="H1529" s="26" t="n">
        <v>9983975581</v>
      </c>
      <c r="I1529" s="38" t="inlineStr">
        <is>
          <t>PE01052601</t>
        </is>
      </c>
      <c r="J1529" s="26" t="inlineStr">
        <is>
          <t>Multiple Issues</t>
        </is>
      </c>
      <c r="K1529" s="39" t="inlineStr">
        <is>
          <t>Holi</t>
        </is>
      </c>
      <c r="L1529" s="39" t="inlineStr">
        <is>
          <t>Maharashtra</t>
        </is>
      </c>
      <c r="M1529" s="46" t="inlineStr">
        <is>
          <t>PS</t>
        </is>
      </c>
      <c r="N1529" s="3" t="inlineStr">
        <is>
          <t>Cold Soldering</t>
        </is>
      </c>
      <c r="O1529" s="39" t="n">
        <v>575</v>
      </c>
      <c r="P1529" s="46" t="inlineStr">
        <is>
          <t>NSMI24070181124</t>
        </is>
      </c>
      <c r="Q1529" s="53">
        <f>MID(P1529,5,2)</f>
        <v/>
      </c>
      <c r="R1529" s="53">
        <f>MID(P1529,7,2)</f>
        <v/>
      </c>
      <c r="S1529" s="3" t="inlineStr">
        <is>
          <t>G2G</t>
        </is>
      </c>
      <c r="T1529" s="3" t="inlineStr">
        <is>
          <t>P4</t>
        </is>
      </c>
      <c r="U1529" s="19" t="inlineStr">
        <is>
          <t>P JB Cold Soldering</t>
        </is>
      </c>
      <c r="V1529" s="19" t="inlineStr">
        <is>
          <t>Soldering</t>
        </is>
      </c>
      <c r="W1529" s="3" t="inlineStr">
        <is>
          <t>Repair</t>
        </is>
      </c>
      <c r="X1529" s="18" t="n">
        <v>46161</v>
      </c>
      <c r="Y1529" s="3">
        <f>X1529-A1529</f>
        <v/>
      </c>
      <c r="Z1529" s="18" t="n">
        <v>46161</v>
      </c>
      <c r="AA1529" s="15" t="n"/>
      <c r="AB1529" s="15" t="n"/>
    </row>
    <row r="1530">
      <c r="A1530" s="37" t="n">
        <v>46143</v>
      </c>
      <c r="B1530" s="3" t="n">
        <v>2026</v>
      </c>
      <c r="C1530" s="26" t="inlineStr">
        <is>
          <t>Yanara Power</t>
        </is>
      </c>
      <c r="D1530" s="3" t="inlineStr">
        <is>
          <t>Utility and C&amp;I</t>
        </is>
      </c>
      <c r="E1530" s="3" t="n"/>
      <c r="F1530" s="3" t="inlineStr">
        <is>
          <t>Closed</t>
        </is>
      </c>
      <c r="G1530" s="9" t="inlineStr">
        <is>
          <t xml:space="preserve">Ashish Jindal </t>
        </is>
      </c>
      <c r="H1530" s="26" t="n">
        <v>9983975581</v>
      </c>
      <c r="I1530" s="38" t="inlineStr">
        <is>
          <t>PE01052601</t>
        </is>
      </c>
      <c r="J1530" s="26" t="inlineStr">
        <is>
          <t>Multiple Issues</t>
        </is>
      </c>
      <c r="K1530" s="39" t="inlineStr">
        <is>
          <t>Holi</t>
        </is>
      </c>
      <c r="L1530" s="39" t="inlineStr">
        <is>
          <t>Maharashtra</t>
        </is>
      </c>
      <c r="M1530" s="47" t="inlineStr">
        <is>
          <t>PS</t>
        </is>
      </c>
      <c r="N1530" s="3" t="inlineStr">
        <is>
          <t>Cold Soldering</t>
        </is>
      </c>
      <c r="O1530" s="39" t="n">
        <v>575</v>
      </c>
      <c r="P1530" s="47" t="inlineStr">
        <is>
          <t>NSMI24070181119</t>
        </is>
      </c>
      <c r="Q1530" s="53">
        <f>MID(P1530,5,2)</f>
        <v/>
      </c>
      <c r="R1530" s="53">
        <f>MID(P1530,7,2)</f>
        <v/>
      </c>
      <c r="S1530" s="3" t="inlineStr">
        <is>
          <t>G2G</t>
        </is>
      </c>
      <c r="T1530" s="3" t="inlineStr">
        <is>
          <t>P4</t>
        </is>
      </c>
      <c r="U1530" s="19" t="inlineStr">
        <is>
          <t>P JB Cold Soldering</t>
        </is>
      </c>
      <c r="V1530" s="19" t="inlineStr">
        <is>
          <t>Soldering</t>
        </is>
      </c>
      <c r="W1530" s="3" t="inlineStr">
        <is>
          <t>Repair</t>
        </is>
      </c>
      <c r="X1530" s="18" t="n">
        <v>46161</v>
      </c>
      <c r="Y1530" s="3">
        <f>X1530-A1530</f>
        <v/>
      </c>
      <c r="Z1530" s="18" t="n">
        <v>46161</v>
      </c>
      <c r="AA1530" s="15" t="n"/>
      <c r="AB1530" s="15" t="n"/>
    </row>
    <row r="1531">
      <c r="A1531" s="37" t="n">
        <v>46162</v>
      </c>
      <c r="B1531" s="3" t="n">
        <v>2026</v>
      </c>
      <c r="C1531" s="26" t="inlineStr">
        <is>
          <t>Solar Square</t>
        </is>
      </c>
      <c r="D1531" s="26" t="inlineStr">
        <is>
          <t>OEM</t>
        </is>
      </c>
      <c r="E1531" s="3" t="n"/>
      <c r="F1531" s="3" t="inlineStr">
        <is>
          <t>Closed</t>
        </is>
      </c>
      <c r="G1531" s="39" t="inlineStr">
        <is>
          <t>Murali</t>
        </is>
      </c>
      <c r="H1531" s="39" t="n">
        <v>9703345015</v>
      </c>
      <c r="I1531" s="38" t="inlineStr">
        <is>
          <t>PE20052601</t>
        </is>
      </c>
      <c r="J1531" s="26" t="inlineStr">
        <is>
          <t>Backsheet dent</t>
        </is>
      </c>
      <c r="K1531" s="26" t="inlineStr">
        <is>
          <t>Pune</t>
        </is>
      </c>
      <c r="L1531" s="26" t="inlineStr">
        <is>
          <t>Maharashtra</t>
        </is>
      </c>
      <c r="M1531" s="9" t="inlineStr">
        <is>
          <t>No Visit</t>
        </is>
      </c>
      <c r="N1531" s="26" t="inlineStr">
        <is>
          <t>Asthetic</t>
        </is>
      </c>
      <c r="O1531" s="39" t="n">
        <v>540</v>
      </c>
      <c r="P1531" s="8" t="inlineStr">
        <is>
          <t>NSMP25090818043</t>
        </is>
      </c>
      <c r="Q1531" s="53">
        <f>MID(P1531,5,2)</f>
        <v/>
      </c>
      <c r="R1531" s="53">
        <f>MID(P1531,7,2)</f>
        <v/>
      </c>
      <c r="S1531" s="3" t="inlineStr">
        <is>
          <t>G2TB</t>
        </is>
      </c>
      <c r="T1531" s="3" t="inlineStr">
        <is>
          <t>P2</t>
        </is>
      </c>
      <c r="U1531" s="19" t="inlineStr">
        <is>
          <t>Asthetic Issue</t>
        </is>
      </c>
      <c r="V1531" s="3" t="inlineStr">
        <is>
          <t>Rejected</t>
        </is>
      </c>
      <c r="W1531" s="3" t="inlineStr">
        <is>
          <t>Rejected</t>
        </is>
      </c>
      <c r="X1531" s="18" t="n">
        <v>46162</v>
      </c>
      <c r="Y1531" s="3">
        <f>X1531-A1531</f>
        <v/>
      </c>
      <c r="Z1531" s="18" t="inlineStr">
        <is>
          <t>No Visit</t>
        </is>
      </c>
      <c r="AA1531" s="15" t="n"/>
      <c r="AB1531" s="15" t="n"/>
    </row>
    <row r="1532" hidden="1" s="233">
      <c r="A1532" s="6" t="n">
        <v>46107</v>
      </c>
      <c r="B1532" s="3" t="n">
        <v>2026</v>
      </c>
      <c r="C1532" s="3" t="inlineStr">
        <is>
          <t>Blupine</t>
        </is>
      </c>
      <c r="D1532" s="3" t="inlineStr">
        <is>
          <t>Utility and C&amp;I</t>
        </is>
      </c>
      <c r="E1532" s="3" t="n"/>
      <c r="F1532" s="3" t="inlineStr">
        <is>
          <t>Closed</t>
        </is>
      </c>
      <c r="G1532" s="3" t="inlineStr">
        <is>
          <t>Chandrashekar Patidar</t>
        </is>
      </c>
      <c r="H1532" s="3" t="n">
        <v>7879764773</v>
      </c>
      <c r="I1532" s="11" t="inlineStr">
        <is>
          <t>PE26032601</t>
        </is>
      </c>
      <c r="J1532" s="3" t="inlineStr">
        <is>
          <t>Module Diode Failure</t>
        </is>
      </c>
      <c r="K1532" s="3" t="inlineStr">
        <is>
          <t>Sadla</t>
        </is>
      </c>
      <c r="L1532" s="3" t="inlineStr">
        <is>
          <t>Gujarat</t>
        </is>
      </c>
      <c r="M1532" s="9" t="inlineStr">
        <is>
          <t>AR</t>
        </is>
      </c>
      <c r="N1532" s="3" t="inlineStr">
        <is>
          <t>JB Issue</t>
        </is>
      </c>
      <c r="O1532" s="3" t="n">
        <v>570</v>
      </c>
      <c r="P1532" s="9" t="inlineStr">
        <is>
          <t>NSMI24060156523</t>
        </is>
      </c>
      <c r="Q1532" s="54">
        <f>MID(P1532,5,2)</f>
        <v/>
      </c>
      <c r="R1532" s="53">
        <f>MID(P1532,7,2)</f>
        <v/>
      </c>
      <c r="S1532" s="3" t="inlineStr">
        <is>
          <t>G2G</t>
        </is>
      </c>
      <c r="T1532" s="3" t="inlineStr">
        <is>
          <t>P4</t>
        </is>
      </c>
      <c r="U1532" s="3" t="inlineStr">
        <is>
          <t>All JB Issue</t>
        </is>
      </c>
      <c r="V1532" s="15" t="inlineStr">
        <is>
          <t>JB Changed</t>
        </is>
      </c>
      <c r="W1532" s="3" t="inlineStr">
        <is>
          <t>Repair</t>
        </is>
      </c>
      <c r="X1532" s="18" t="n">
        <v>46162</v>
      </c>
      <c r="Y1532" s="3">
        <f>X1532-A1532</f>
        <v/>
      </c>
      <c r="Z1532" s="18" t="n">
        <v>46162</v>
      </c>
      <c r="AA1532" s="15" t="n"/>
      <c r="AB1532" s="15" t="n"/>
    </row>
    <row r="1533" hidden="1" s="233">
      <c r="A1533" s="6" t="n">
        <v>46107</v>
      </c>
      <c r="B1533" s="3" t="n">
        <v>2026</v>
      </c>
      <c r="C1533" s="3" t="inlineStr">
        <is>
          <t>Blupine</t>
        </is>
      </c>
      <c r="D1533" s="3" t="inlineStr">
        <is>
          <t>Utility and C&amp;I</t>
        </is>
      </c>
      <c r="E1533" s="3" t="n"/>
      <c r="F1533" s="3" t="inlineStr">
        <is>
          <t>Closed</t>
        </is>
      </c>
      <c r="G1533" s="3" t="inlineStr">
        <is>
          <t>Chandrashekar Patidar</t>
        </is>
      </c>
      <c r="H1533" s="3" t="n">
        <v>7879764773</v>
      </c>
      <c r="I1533" s="11" t="inlineStr">
        <is>
          <t>PE26032601</t>
        </is>
      </c>
      <c r="J1533" s="3" t="inlineStr">
        <is>
          <t>Module Diode Failure</t>
        </is>
      </c>
      <c r="K1533" s="3" t="inlineStr">
        <is>
          <t>Sadla</t>
        </is>
      </c>
      <c r="L1533" s="3" t="inlineStr">
        <is>
          <t>Gujarat</t>
        </is>
      </c>
      <c r="M1533" s="9" t="inlineStr">
        <is>
          <t>NS</t>
        </is>
      </c>
      <c r="N1533" s="3" t="inlineStr">
        <is>
          <t>Cold Soldering</t>
        </is>
      </c>
      <c r="O1533" s="3" t="n">
        <v>570</v>
      </c>
      <c r="P1533" s="9" t="inlineStr">
        <is>
          <t>NSMI24060124290</t>
        </is>
      </c>
      <c r="Q1533" s="54">
        <f>MID(P1533,5,2)</f>
        <v/>
      </c>
      <c r="R1533" s="53">
        <f>MID(P1533,7,2)</f>
        <v/>
      </c>
      <c r="S1533" s="3" t="inlineStr">
        <is>
          <t>G2G</t>
        </is>
      </c>
      <c r="T1533" s="3" t="inlineStr">
        <is>
          <t>P4</t>
        </is>
      </c>
      <c r="U1533" s="3" t="inlineStr">
        <is>
          <t>N JB Cold Soldering</t>
        </is>
      </c>
      <c r="V1533" s="3" t="inlineStr">
        <is>
          <t>Soldering</t>
        </is>
      </c>
      <c r="W1533" s="3" t="inlineStr">
        <is>
          <t>Repair</t>
        </is>
      </c>
      <c r="X1533" s="18" t="n">
        <v>46162</v>
      </c>
      <c r="Y1533" s="3">
        <f>X1533-A1533</f>
        <v/>
      </c>
      <c r="Z1533" s="18" t="n">
        <v>46162</v>
      </c>
      <c r="AA1533" s="15" t="n"/>
      <c r="AB1533" s="15" t="n"/>
    </row>
    <row r="1534" hidden="1" s="233">
      <c r="A1534" s="6" t="n">
        <v>46107</v>
      </c>
      <c r="B1534" s="3" t="n">
        <v>2026</v>
      </c>
      <c r="C1534" s="3" t="inlineStr">
        <is>
          <t>Blupine</t>
        </is>
      </c>
      <c r="D1534" s="3" t="inlineStr">
        <is>
          <t>Utility and C&amp;I</t>
        </is>
      </c>
      <c r="E1534" s="3" t="n"/>
      <c r="F1534" s="3" t="inlineStr">
        <is>
          <t>Closed</t>
        </is>
      </c>
      <c r="G1534" s="3" t="inlineStr">
        <is>
          <t>Chandrashekar Patidar</t>
        </is>
      </c>
      <c r="H1534" s="3" t="n">
        <v>7879764773</v>
      </c>
      <c r="I1534" s="11" t="inlineStr">
        <is>
          <t>PE26032601</t>
        </is>
      </c>
      <c r="J1534" s="3" t="inlineStr">
        <is>
          <t>Module Diode Failure</t>
        </is>
      </c>
      <c r="K1534" s="3" t="inlineStr">
        <is>
          <t>Sadla</t>
        </is>
      </c>
      <c r="L1534" s="3" t="inlineStr">
        <is>
          <t>Gujarat</t>
        </is>
      </c>
      <c r="M1534" s="9" t="inlineStr">
        <is>
          <t>NS</t>
        </is>
      </c>
      <c r="N1534" s="3" t="inlineStr">
        <is>
          <t>Cold Soldering</t>
        </is>
      </c>
      <c r="O1534" s="3" t="n">
        <v>570</v>
      </c>
      <c r="P1534" s="9" t="inlineStr">
        <is>
          <t>NSMI24060124118</t>
        </is>
      </c>
      <c r="Q1534" s="54">
        <f>MID(P1534,5,2)</f>
        <v/>
      </c>
      <c r="R1534" s="53">
        <f>MID(P1534,7,2)</f>
        <v/>
      </c>
      <c r="S1534" s="3" t="inlineStr">
        <is>
          <t>G2G</t>
        </is>
      </c>
      <c r="T1534" s="3" t="inlineStr">
        <is>
          <t>P4</t>
        </is>
      </c>
      <c r="U1534" s="3" t="inlineStr">
        <is>
          <t>N JB Cold Soldering</t>
        </is>
      </c>
      <c r="V1534" s="3" t="inlineStr">
        <is>
          <t>Soldering</t>
        </is>
      </c>
      <c r="W1534" s="3" t="inlineStr">
        <is>
          <t>Repair</t>
        </is>
      </c>
      <c r="X1534" s="18" t="n">
        <v>46162</v>
      </c>
      <c r="Y1534" s="3">
        <f>X1534-A1534</f>
        <v/>
      </c>
      <c r="Z1534" s="18" t="n">
        <v>46162</v>
      </c>
      <c r="AA1534" s="15" t="n"/>
      <c r="AB1534" s="15" t="n"/>
    </row>
    <row r="1535" hidden="1" s="233">
      <c r="A1535" s="6" t="n">
        <v>46107</v>
      </c>
      <c r="B1535" s="3" t="n">
        <v>2026</v>
      </c>
      <c r="C1535" s="3" t="inlineStr">
        <is>
          <t>Blupine</t>
        </is>
      </c>
      <c r="D1535" s="3" t="inlineStr">
        <is>
          <t>Utility and C&amp;I</t>
        </is>
      </c>
      <c r="E1535" s="3" t="n"/>
      <c r="F1535" s="3" t="inlineStr">
        <is>
          <t>Closed</t>
        </is>
      </c>
      <c r="G1535" s="3" t="inlineStr">
        <is>
          <t>Chandrashekar Patidar</t>
        </is>
      </c>
      <c r="H1535" s="3" t="n">
        <v>7879764773</v>
      </c>
      <c r="I1535" s="11" t="inlineStr">
        <is>
          <t>PE26032601</t>
        </is>
      </c>
      <c r="J1535" s="3" t="inlineStr">
        <is>
          <t>Module Diode Failure</t>
        </is>
      </c>
      <c r="K1535" s="3" t="inlineStr">
        <is>
          <t>Sadla</t>
        </is>
      </c>
      <c r="L1535" s="3" t="inlineStr">
        <is>
          <t>Gujarat</t>
        </is>
      </c>
      <c r="M1535" s="9" t="inlineStr">
        <is>
          <t>AR</t>
        </is>
      </c>
      <c r="N1535" s="3" t="inlineStr">
        <is>
          <t>JB Issue</t>
        </is>
      </c>
      <c r="O1535" s="3" t="n">
        <v>570</v>
      </c>
      <c r="P1535" s="9" t="inlineStr">
        <is>
          <t>NSMI24060156528</t>
        </is>
      </c>
      <c r="Q1535" s="54">
        <f>MID(P1535,5,2)</f>
        <v/>
      </c>
      <c r="R1535" s="53">
        <f>MID(P1535,7,2)</f>
        <v/>
      </c>
      <c r="S1535" s="3" t="inlineStr">
        <is>
          <t>G2G</t>
        </is>
      </c>
      <c r="T1535" s="3" t="inlineStr">
        <is>
          <t>P4</t>
        </is>
      </c>
      <c r="U1535" s="3" t="inlineStr">
        <is>
          <t>All JB Issue</t>
        </is>
      </c>
      <c r="V1535" s="15" t="inlineStr">
        <is>
          <t>JB Changed</t>
        </is>
      </c>
      <c r="W1535" s="3" t="inlineStr">
        <is>
          <t>Repair</t>
        </is>
      </c>
      <c r="X1535" s="18" t="n">
        <v>46162</v>
      </c>
      <c r="Y1535" s="3">
        <f>X1535-A1535</f>
        <v/>
      </c>
      <c r="Z1535" s="18" t="n">
        <v>46162</v>
      </c>
      <c r="AA1535" s="15" t="n"/>
      <c r="AB1535" s="15" t="n"/>
    </row>
    <row r="1536" hidden="1" s="233">
      <c r="A1536" s="6" t="n">
        <v>46107</v>
      </c>
      <c r="B1536" s="3" t="n">
        <v>2026</v>
      </c>
      <c r="C1536" s="3" t="inlineStr">
        <is>
          <t>Blupine</t>
        </is>
      </c>
      <c r="D1536" s="3" t="inlineStr">
        <is>
          <t>Utility and C&amp;I</t>
        </is>
      </c>
      <c r="E1536" s="3" t="n"/>
      <c r="F1536" s="3" t="inlineStr">
        <is>
          <t>Closed</t>
        </is>
      </c>
      <c r="G1536" s="3" t="inlineStr">
        <is>
          <t>Chandrashekar Patidar</t>
        </is>
      </c>
      <c r="H1536" s="3" t="n">
        <v>7879764773</v>
      </c>
      <c r="I1536" s="11" t="inlineStr">
        <is>
          <t>PE26032601</t>
        </is>
      </c>
      <c r="J1536" s="3" t="inlineStr">
        <is>
          <t>Module Diode Failure</t>
        </is>
      </c>
      <c r="K1536" s="3" t="inlineStr">
        <is>
          <t>Sadla</t>
        </is>
      </c>
      <c r="L1536" s="3" t="inlineStr">
        <is>
          <t>Gujarat</t>
        </is>
      </c>
      <c r="M1536" s="9" t="inlineStr">
        <is>
          <t>NS</t>
        </is>
      </c>
      <c r="N1536" s="3" t="inlineStr">
        <is>
          <t>Cold Soldering</t>
        </is>
      </c>
      <c r="O1536" s="3" t="n">
        <v>570</v>
      </c>
      <c r="P1536" s="9" t="inlineStr">
        <is>
          <t>NSMI24060126156</t>
        </is>
      </c>
      <c r="Q1536" s="54">
        <f>MID(P1536,5,2)</f>
        <v/>
      </c>
      <c r="R1536" s="53">
        <f>MID(P1536,7,2)</f>
        <v/>
      </c>
      <c r="S1536" s="3" t="inlineStr">
        <is>
          <t>G2G</t>
        </is>
      </c>
      <c r="T1536" s="3" t="inlineStr">
        <is>
          <t>P4</t>
        </is>
      </c>
      <c r="U1536" s="3" t="inlineStr">
        <is>
          <t>N JB Cold Soldering</t>
        </is>
      </c>
      <c r="V1536" s="3" t="inlineStr">
        <is>
          <t>Soldering</t>
        </is>
      </c>
      <c r="W1536" s="3" t="inlineStr">
        <is>
          <t>Repair</t>
        </is>
      </c>
      <c r="X1536" s="18" t="n">
        <v>46162</v>
      </c>
      <c r="Y1536" s="3">
        <f>X1536-A1536</f>
        <v/>
      </c>
      <c r="Z1536" s="18" t="n">
        <v>46162</v>
      </c>
      <c r="AA1536" s="15" t="n"/>
      <c r="AB1536" s="15" t="n"/>
    </row>
    <row r="1537" hidden="1" s="233">
      <c r="A1537" s="6" t="n">
        <v>46107</v>
      </c>
      <c r="B1537" s="3" t="n">
        <v>2026</v>
      </c>
      <c r="C1537" s="3" t="inlineStr">
        <is>
          <t>Blupine</t>
        </is>
      </c>
      <c r="D1537" s="3" t="inlineStr">
        <is>
          <t>Utility and C&amp;I</t>
        </is>
      </c>
      <c r="E1537" s="3" t="n"/>
      <c r="F1537" s="3" t="inlineStr">
        <is>
          <t>Closed</t>
        </is>
      </c>
      <c r="G1537" s="3" t="inlineStr">
        <is>
          <t>Chandrashekar Patidar</t>
        </is>
      </c>
      <c r="H1537" s="3" t="n">
        <v>7879764773</v>
      </c>
      <c r="I1537" s="11" t="inlineStr">
        <is>
          <t>PE26032601</t>
        </is>
      </c>
      <c r="J1537" s="3" t="inlineStr">
        <is>
          <t>Module Diode Failure</t>
        </is>
      </c>
      <c r="K1537" s="3" t="inlineStr">
        <is>
          <t>Sadla</t>
        </is>
      </c>
      <c r="L1537" s="3" t="inlineStr">
        <is>
          <t>Gujarat</t>
        </is>
      </c>
      <c r="M1537" s="9" t="inlineStr">
        <is>
          <t>NR</t>
        </is>
      </c>
      <c r="N1537" s="3" t="inlineStr">
        <is>
          <t>JB Issue</t>
        </is>
      </c>
      <c r="O1537" s="3" t="n">
        <v>570</v>
      </c>
      <c r="P1537" s="9" t="inlineStr">
        <is>
          <t>NSMI24060123067</t>
        </is>
      </c>
      <c r="Q1537" s="54">
        <f>MID(P1537,5,2)</f>
        <v/>
      </c>
      <c r="R1537" s="53">
        <f>MID(P1537,7,2)</f>
        <v/>
      </c>
      <c r="S1537" s="3" t="inlineStr">
        <is>
          <t>G2G</t>
        </is>
      </c>
      <c r="T1537" s="3" t="inlineStr">
        <is>
          <t>P4</t>
        </is>
      </c>
      <c r="U1537" s="3" t="inlineStr">
        <is>
          <t>N JB Issue</t>
        </is>
      </c>
      <c r="V1537" s="3" t="inlineStr">
        <is>
          <t>JB Changed</t>
        </is>
      </c>
      <c r="W1537" s="3" t="inlineStr">
        <is>
          <t>Repair</t>
        </is>
      </c>
      <c r="X1537" s="18" t="n">
        <v>46162</v>
      </c>
      <c r="Y1537" s="3">
        <f>X1537-A1537</f>
        <v/>
      </c>
      <c r="Z1537" s="18" t="n">
        <v>46162</v>
      </c>
      <c r="AA1537" s="15" t="n"/>
      <c r="AB1537" s="15" t="n"/>
    </row>
    <row r="1538" hidden="1" s="233">
      <c r="A1538" s="6" t="n">
        <v>46107</v>
      </c>
      <c r="B1538" s="3" t="n">
        <v>2026</v>
      </c>
      <c r="C1538" s="3" t="inlineStr">
        <is>
          <t>Blupine</t>
        </is>
      </c>
      <c r="D1538" s="3" t="inlineStr">
        <is>
          <t>Utility and C&amp;I</t>
        </is>
      </c>
      <c r="E1538" s="3" t="n"/>
      <c r="F1538" s="3" t="inlineStr">
        <is>
          <t>Closed</t>
        </is>
      </c>
      <c r="G1538" s="3" t="inlineStr">
        <is>
          <t>Chandrashekar Patidar</t>
        </is>
      </c>
      <c r="H1538" s="3" t="n">
        <v>7879764773</v>
      </c>
      <c r="I1538" s="11" t="inlineStr">
        <is>
          <t>PE26032601</t>
        </is>
      </c>
      <c r="J1538" s="3" t="inlineStr">
        <is>
          <t>Module Diode Failure</t>
        </is>
      </c>
      <c r="K1538" s="3" t="inlineStr">
        <is>
          <t>Sadla</t>
        </is>
      </c>
      <c r="L1538" s="3" t="inlineStr">
        <is>
          <t>Gujarat</t>
        </is>
      </c>
      <c r="M1538" s="9" t="inlineStr">
        <is>
          <t>PS</t>
        </is>
      </c>
      <c r="N1538" s="3" t="inlineStr">
        <is>
          <t>Cold Soldering</t>
        </is>
      </c>
      <c r="O1538" s="3" t="n">
        <v>570</v>
      </c>
      <c r="P1538" s="9" t="inlineStr">
        <is>
          <t>NSMI24060123436</t>
        </is>
      </c>
      <c r="Q1538" s="54">
        <f>MID(P1538,5,2)</f>
        <v/>
      </c>
      <c r="R1538" s="53">
        <f>MID(P1538,7,2)</f>
        <v/>
      </c>
      <c r="S1538" s="3" t="inlineStr">
        <is>
          <t>G2G</t>
        </is>
      </c>
      <c r="T1538" s="3" t="inlineStr">
        <is>
          <t>P4</t>
        </is>
      </c>
      <c r="U1538" s="3" t="inlineStr">
        <is>
          <t>P JB Cold Soldering</t>
        </is>
      </c>
      <c r="V1538" s="3" t="inlineStr">
        <is>
          <t>Soldering</t>
        </is>
      </c>
      <c r="W1538" s="3" t="inlineStr">
        <is>
          <t>Repair</t>
        </is>
      </c>
      <c r="X1538" s="18" t="n">
        <v>46162</v>
      </c>
      <c r="Y1538" s="3">
        <f>X1538-A1538</f>
        <v/>
      </c>
      <c r="Z1538" s="18" t="n">
        <v>46162</v>
      </c>
      <c r="AA1538" s="15" t="n"/>
      <c r="AB1538" s="15" t="n"/>
    </row>
    <row r="1539" hidden="1" s="233">
      <c r="A1539" s="6" t="n">
        <v>46107</v>
      </c>
      <c r="B1539" s="3" t="n">
        <v>2026</v>
      </c>
      <c r="C1539" s="3" t="inlineStr">
        <is>
          <t>Blupine</t>
        </is>
      </c>
      <c r="D1539" s="3" t="inlineStr">
        <is>
          <t>Utility and C&amp;I</t>
        </is>
      </c>
      <c r="E1539" s="3" t="n"/>
      <c r="F1539" s="3" t="inlineStr">
        <is>
          <t>Closed</t>
        </is>
      </c>
      <c r="G1539" s="3" t="inlineStr">
        <is>
          <t>Chandrashekar Patidar</t>
        </is>
      </c>
      <c r="H1539" s="3" t="n">
        <v>7879764773</v>
      </c>
      <c r="I1539" s="11" t="inlineStr">
        <is>
          <t>PE26032601</t>
        </is>
      </c>
      <c r="J1539" s="3" t="inlineStr">
        <is>
          <t>Module Diode Failure</t>
        </is>
      </c>
      <c r="K1539" s="3" t="inlineStr">
        <is>
          <t>Sadla</t>
        </is>
      </c>
      <c r="L1539" s="3" t="inlineStr">
        <is>
          <t>Gujarat</t>
        </is>
      </c>
      <c r="M1539" s="9" t="inlineStr">
        <is>
          <t>PMR</t>
        </is>
      </c>
      <c r="N1539" s="3" t="inlineStr">
        <is>
          <t>JB Issue</t>
        </is>
      </c>
      <c r="O1539" s="3" t="n">
        <v>570</v>
      </c>
      <c r="P1539" s="9" t="inlineStr">
        <is>
          <t>NSMI24060156428</t>
        </is>
      </c>
      <c r="Q1539" s="54">
        <f>MID(P1539,5,2)</f>
        <v/>
      </c>
      <c r="R1539" s="53">
        <f>MID(P1539,7,2)</f>
        <v/>
      </c>
      <c r="S1539" s="3" t="inlineStr">
        <is>
          <t>G2G</t>
        </is>
      </c>
      <c r="T1539" s="3" t="inlineStr">
        <is>
          <t>P4</t>
        </is>
      </c>
      <c r="U1539" s="3" t="inlineStr">
        <is>
          <t>P &amp; M JB Issue</t>
        </is>
      </c>
      <c r="V1539" s="15" t="inlineStr">
        <is>
          <t>JB Changed</t>
        </is>
      </c>
      <c r="W1539" s="3" t="inlineStr">
        <is>
          <t>Repair</t>
        </is>
      </c>
      <c r="X1539" s="18" t="n">
        <v>46162</v>
      </c>
      <c r="Y1539" s="3">
        <f>X1539-A1539</f>
        <v/>
      </c>
      <c r="Z1539" s="18" t="n">
        <v>46162</v>
      </c>
      <c r="AA1539" s="15" t="n"/>
      <c r="AB1539" s="15" t="n"/>
    </row>
    <row r="1540" hidden="1" s="233">
      <c r="A1540" s="6" t="n">
        <v>46107</v>
      </c>
      <c r="B1540" s="3" t="n">
        <v>2026</v>
      </c>
      <c r="C1540" s="3" t="inlineStr">
        <is>
          <t>Blupine</t>
        </is>
      </c>
      <c r="D1540" s="3" t="inlineStr">
        <is>
          <t>Utility and C&amp;I</t>
        </is>
      </c>
      <c r="E1540" s="3" t="n"/>
      <c r="F1540" s="3" t="inlineStr">
        <is>
          <t>Closed</t>
        </is>
      </c>
      <c r="G1540" s="3" t="inlineStr">
        <is>
          <t>Chandrashekar Patidar</t>
        </is>
      </c>
      <c r="H1540" s="3" t="n">
        <v>7879764773</v>
      </c>
      <c r="I1540" s="11" t="inlineStr">
        <is>
          <t>PE26032601</t>
        </is>
      </c>
      <c r="J1540" s="3" t="inlineStr">
        <is>
          <t>Module Diode Failure</t>
        </is>
      </c>
      <c r="K1540" s="3" t="inlineStr">
        <is>
          <t>Sadla</t>
        </is>
      </c>
      <c r="L1540" s="3" t="inlineStr">
        <is>
          <t>Gujarat</t>
        </is>
      </c>
      <c r="M1540" s="9" t="inlineStr">
        <is>
          <t>NS</t>
        </is>
      </c>
      <c r="N1540" s="3" t="inlineStr">
        <is>
          <t>Cold Soldering</t>
        </is>
      </c>
      <c r="O1540" s="3" t="n">
        <v>570</v>
      </c>
      <c r="P1540" s="9" t="inlineStr">
        <is>
          <t>NSMI24060124765</t>
        </is>
      </c>
      <c r="Q1540" s="54">
        <f>MID(P1540,5,2)</f>
        <v/>
      </c>
      <c r="R1540" s="53">
        <f>MID(P1540,7,2)</f>
        <v/>
      </c>
      <c r="S1540" s="3" t="inlineStr">
        <is>
          <t>G2G</t>
        </is>
      </c>
      <c r="T1540" s="3" t="inlineStr">
        <is>
          <t>P4</t>
        </is>
      </c>
      <c r="U1540" s="3" t="inlineStr">
        <is>
          <t>N JB Cold Soldering</t>
        </is>
      </c>
      <c r="V1540" s="3" t="inlineStr">
        <is>
          <t>Soldering</t>
        </is>
      </c>
      <c r="W1540" s="3" t="inlineStr">
        <is>
          <t>Repair</t>
        </is>
      </c>
      <c r="X1540" s="18" t="n">
        <v>46162</v>
      </c>
      <c r="Y1540" s="3">
        <f>X1540-A1540</f>
        <v/>
      </c>
      <c r="Z1540" s="18" t="n">
        <v>46162</v>
      </c>
      <c r="AA1540" s="15" t="n"/>
      <c r="AB1540" s="15" t="n"/>
    </row>
    <row r="1541" hidden="1" s="233">
      <c r="A1541" s="6" t="n">
        <v>46107</v>
      </c>
      <c r="B1541" s="3" t="n">
        <v>2026</v>
      </c>
      <c r="C1541" s="3" t="inlineStr">
        <is>
          <t>Blupine</t>
        </is>
      </c>
      <c r="D1541" s="3" t="inlineStr">
        <is>
          <t>Utility and C&amp;I</t>
        </is>
      </c>
      <c r="E1541" s="3" t="n"/>
      <c r="F1541" s="3" t="inlineStr">
        <is>
          <t>Closed</t>
        </is>
      </c>
      <c r="G1541" s="3" t="inlineStr">
        <is>
          <t>Chandrashekar Patidar</t>
        </is>
      </c>
      <c r="H1541" s="3" t="n">
        <v>7879764773</v>
      </c>
      <c r="I1541" s="11" t="inlineStr">
        <is>
          <t>PE26032601</t>
        </is>
      </c>
      <c r="J1541" s="3" t="inlineStr">
        <is>
          <t>Module Diode Failure</t>
        </is>
      </c>
      <c r="K1541" s="3" t="inlineStr">
        <is>
          <t>Sadla</t>
        </is>
      </c>
      <c r="L1541" s="3" t="inlineStr">
        <is>
          <t>Gujarat</t>
        </is>
      </c>
      <c r="M1541" s="9" t="inlineStr">
        <is>
          <t>NS</t>
        </is>
      </c>
      <c r="N1541" s="3" t="inlineStr">
        <is>
          <t>Cold Soldering</t>
        </is>
      </c>
      <c r="O1541" s="3" t="n">
        <v>570</v>
      </c>
      <c r="P1541" s="9" t="inlineStr">
        <is>
          <t>NSMI24060119905</t>
        </is>
      </c>
      <c r="Q1541" s="54">
        <f>MID(P1541,5,2)</f>
        <v/>
      </c>
      <c r="R1541" s="53">
        <f>MID(P1541,7,2)</f>
        <v/>
      </c>
      <c r="S1541" s="3" t="inlineStr">
        <is>
          <t>G2G</t>
        </is>
      </c>
      <c r="T1541" s="3" t="inlineStr">
        <is>
          <t>P4</t>
        </is>
      </c>
      <c r="U1541" s="3" t="inlineStr">
        <is>
          <t>N JB Cold Soldering</t>
        </is>
      </c>
      <c r="V1541" s="3" t="inlineStr">
        <is>
          <t>Soldering</t>
        </is>
      </c>
      <c r="W1541" s="3" t="inlineStr">
        <is>
          <t>Repair</t>
        </is>
      </c>
      <c r="X1541" s="18" t="n">
        <v>46162</v>
      </c>
      <c r="Y1541" s="3">
        <f>X1541-A1541</f>
        <v/>
      </c>
      <c r="Z1541" s="18" t="n">
        <v>46162</v>
      </c>
      <c r="AA1541" s="15" t="n"/>
      <c r="AB1541" s="15" t="n"/>
    </row>
    <row r="1542" hidden="1" s="233">
      <c r="A1542" s="6" t="n">
        <v>46107</v>
      </c>
      <c r="B1542" s="3" t="n">
        <v>2026</v>
      </c>
      <c r="C1542" s="3" t="inlineStr">
        <is>
          <t>Blupine</t>
        </is>
      </c>
      <c r="D1542" s="3" t="inlineStr">
        <is>
          <t>Utility and C&amp;I</t>
        </is>
      </c>
      <c r="E1542" s="3" t="n"/>
      <c r="F1542" s="3" t="inlineStr">
        <is>
          <t>Closed</t>
        </is>
      </c>
      <c r="G1542" s="3" t="inlineStr">
        <is>
          <t>Chandrashekar Patidar</t>
        </is>
      </c>
      <c r="H1542" s="3" t="n">
        <v>7879764773</v>
      </c>
      <c r="I1542" s="11" t="inlineStr">
        <is>
          <t>PE26032601</t>
        </is>
      </c>
      <c r="J1542" s="3" t="inlineStr">
        <is>
          <t>Module Diode Failure</t>
        </is>
      </c>
      <c r="K1542" s="3" t="inlineStr">
        <is>
          <t>Sadla</t>
        </is>
      </c>
      <c r="L1542" s="3" t="inlineStr">
        <is>
          <t>Gujarat</t>
        </is>
      </c>
      <c r="M1542" s="9" t="inlineStr">
        <is>
          <t>NS</t>
        </is>
      </c>
      <c r="N1542" s="3" t="inlineStr">
        <is>
          <t>Cold Soldering</t>
        </is>
      </c>
      <c r="O1542" s="3" t="n">
        <v>570</v>
      </c>
      <c r="P1542" s="9" t="inlineStr">
        <is>
          <t>NSMI24060137197</t>
        </is>
      </c>
      <c r="Q1542" s="54">
        <f>MID(P1542,5,2)</f>
        <v/>
      </c>
      <c r="R1542" s="53">
        <f>MID(P1542,7,2)</f>
        <v/>
      </c>
      <c r="S1542" s="3" t="inlineStr">
        <is>
          <t>G2G</t>
        </is>
      </c>
      <c r="T1542" s="3" t="inlineStr">
        <is>
          <t>P4</t>
        </is>
      </c>
      <c r="U1542" s="3" t="inlineStr">
        <is>
          <t>N JB Cold Soldering</t>
        </is>
      </c>
      <c r="V1542" s="3" t="inlineStr">
        <is>
          <t>Soldering</t>
        </is>
      </c>
      <c r="W1542" s="3" t="inlineStr">
        <is>
          <t>Repair</t>
        </is>
      </c>
      <c r="X1542" s="18" t="n">
        <v>46162</v>
      </c>
      <c r="Y1542" s="3">
        <f>X1542-A1542</f>
        <v/>
      </c>
      <c r="Z1542" s="18" t="n">
        <v>46162</v>
      </c>
      <c r="AA1542" s="15" t="n"/>
      <c r="AB1542" s="15" t="n"/>
    </row>
    <row r="1543" hidden="1" s="233">
      <c r="A1543" s="6" t="n">
        <v>46107</v>
      </c>
      <c r="B1543" s="3" t="n">
        <v>2026</v>
      </c>
      <c r="C1543" s="3" t="inlineStr">
        <is>
          <t>Blupine</t>
        </is>
      </c>
      <c r="D1543" s="3" t="inlineStr">
        <is>
          <t>Utility and C&amp;I</t>
        </is>
      </c>
      <c r="E1543" s="3" t="n"/>
      <c r="F1543" s="3" t="inlineStr">
        <is>
          <t>Closed</t>
        </is>
      </c>
      <c r="G1543" s="3" t="inlineStr">
        <is>
          <t>Chandrashekar Patidar</t>
        </is>
      </c>
      <c r="H1543" s="3" t="n">
        <v>7879764773</v>
      </c>
      <c r="I1543" s="11" t="inlineStr">
        <is>
          <t>PE26032601</t>
        </is>
      </c>
      <c r="J1543" s="3" t="inlineStr">
        <is>
          <t>Module Diode Failure</t>
        </is>
      </c>
      <c r="K1543" s="3" t="inlineStr">
        <is>
          <t>Sadla</t>
        </is>
      </c>
      <c r="L1543" s="3" t="inlineStr">
        <is>
          <t>Gujarat</t>
        </is>
      </c>
      <c r="M1543" s="9" t="inlineStr">
        <is>
          <t>NS</t>
        </is>
      </c>
      <c r="N1543" s="3" t="inlineStr">
        <is>
          <t>Cold Soldering</t>
        </is>
      </c>
      <c r="O1543" s="3" t="n">
        <v>570</v>
      </c>
      <c r="P1543" s="9" t="inlineStr">
        <is>
          <t>NSMI24050056186</t>
        </is>
      </c>
      <c r="Q1543" s="54">
        <f>MID(P1543,5,2)</f>
        <v/>
      </c>
      <c r="R1543" s="53">
        <f>MID(P1543,7,2)</f>
        <v/>
      </c>
      <c r="S1543" s="3" t="inlineStr">
        <is>
          <t>G2G</t>
        </is>
      </c>
      <c r="T1543" s="3" t="inlineStr">
        <is>
          <t>P4</t>
        </is>
      </c>
      <c r="U1543" s="3" t="inlineStr">
        <is>
          <t>N JB Cold Soldering</t>
        </is>
      </c>
      <c r="V1543" s="3" t="inlineStr">
        <is>
          <t>Soldering</t>
        </is>
      </c>
      <c r="W1543" s="3" t="inlineStr">
        <is>
          <t>Repair</t>
        </is>
      </c>
      <c r="X1543" s="18" t="n">
        <v>46162</v>
      </c>
      <c r="Y1543" s="3">
        <f>X1543-A1543</f>
        <v/>
      </c>
      <c r="Z1543" s="18" t="n">
        <v>46162</v>
      </c>
      <c r="AA1543" s="15" t="n"/>
      <c r="AB1543" s="15" t="n"/>
    </row>
    <row r="1544" hidden="1" s="233">
      <c r="A1544" s="6" t="n">
        <v>46107</v>
      </c>
      <c r="B1544" s="3" t="n">
        <v>2026</v>
      </c>
      <c r="C1544" s="3" t="inlineStr">
        <is>
          <t>Blupine</t>
        </is>
      </c>
      <c r="D1544" s="3" t="inlineStr">
        <is>
          <t>Utility and C&amp;I</t>
        </is>
      </c>
      <c r="E1544" s="3" t="n"/>
      <c r="F1544" s="3" t="inlineStr">
        <is>
          <t>Closed</t>
        </is>
      </c>
      <c r="G1544" s="3" t="inlineStr">
        <is>
          <t>Chandrashekar Patidar</t>
        </is>
      </c>
      <c r="H1544" s="3" t="n">
        <v>7879764773</v>
      </c>
      <c r="I1544" s="11" t="inlineStr">
        <is>
          <t>PE26032601</t>
        </is>
      </c>
      <c r="J1544" s="3" t="inlineStr">
        <is>
          <t>Module Diode Failure</t>
        </is>
      </c>
      <c r="K1544" s="3" t="inlineStr">
        <is>
          <t>Sadla</t>
        </is>
      </c>
      <c r="L1544" s="3" t="inlineStr">
        <is>
          <t>Gujarat</t>
        </is>
      </c>
      <c r="M1544" s="9" t="inlineStr">
        <is>
          <t>PMR</t>
        </is>
      </c>
      <c r="N1544" s="3" t="inlineStr">
        <is>
          <t>JB Issue</t>
        </is>
      </c>
      <c r="O1544" s="3" t="n">
        <v>570</v>
      </c>
      <c r="P1544" s="9" t="inlineStr">
        <is>
          <t>NSMI24060156501</t>
        </is>
      </c>
      <c r="Q1544" s="54">
        <f>MID(P1544,5,2)</f>
        <v/>
      </c>
      <c r="R1544" s="53">
        <f>MID(P1544,7,2)</f>
        <v/>
      </c>
      <c r="S1544" s="3" t="inlineStr">
        <is>
          <t>G2G</t>
        </is>
      </c>
      <c r="T1544" s="3" t="inlineStr">
        <is>
          <t>P4</t>
        </is>
      </c>
      <c r="U1544" s="3" t="inlineStr">
        <is>
          <t>P &amp; M JB Issue</t>
        </is>
      </c>
      <c r="V1544" s="15" t="inlineStr">
        <is>
          <t>JB Changed</t>
        </is>
      </c>
      <c r="W1544" s="3" t="inlineStr">
        <is>
          <t>Repair</t>
        </is>
      </c>
      <c r="X1544" s="18" t="n">
        <v>46162</v>
      </c>
      <c r="Y1544" s="3">
        <f>X1544-A1544</f>
        <v/>
      </c>
      <c r="Z1544" s="18" t="n">
        <v>46162</v>
      </c>
      <c r="AA1544" s="15" t="n"/>
      <c r="AB1544" s="15" t="n"/>
    </row>
    <row r="1545" hidden="1" s="233">
      <c r="A1545" s="6" t="n">
        <v>46107</v>
      </c>
      <c r="B1545" s="3" t="n">
        <v>2026</v>
      </c>
      <c r="C1545" s="3" t="inlineStr">
        <is>
          <t>Blupine</t>
        </is>
      </c>
      <c r="D1545" s="3" t="inlineStr">
        <is>
          <t>Utility and C&amp;I</t>
        </is>
      </c>
      <c r="E1545" s="3" t="n"/>
      <c r="F1545" s="3" t="inlineStr">
        <is>
          <t>Closed</t>
        </is>
      </c>
      <c r="G1545" s="3" t="inlineStr">
        <is>
          <t>Chandrashekar Patidar</t>
        </is>
      </c>
      <c r="H1545" s="3" t="n">
        <v>7879764773</v>
      </c>
      <c r="I1545" s="11" t="inlineStr">
        <is>
          <t>PE26032601</t>
        </is>
      </c>
      <c r="J1545" s="3" t="inlineStr">
        <is>
          <t>Module Diode Failure</t>
        </is>
      </c>
      <c r="K1545" s="3" t="inlineStr">
        <is>
          <t>Sadla</t>
        </is>
      </c>
      <c r="L1545" s="3" t="inlineStr">
        <is>
          <t>Gujarat</t>
        </is>
      </c>
      <c r="M1545" s="9" t="inlineStr">
        <is>
          <t>PS</t>
        </is>
      </c>
      <c r="N1545" s="3" t="inlineStr">
        <is>
          <t>Cold Soldering</t>
        </is>
      </c>
      <c r="O1545" s="3" t="n">
        <v>570</v>
      </c>
      <c r="P1545" s="9" t="inlineStr">
        <is>
          <t>NSMI24060077555</t>
        </is>
      </c>
      <c r="Q1545" s="54">
        <f>MID(P1545,5,2)</f>
        <v/>
      </c>
      <c r="R1545" s="53">
        <f>MID(P1545,7,2)</f>
        <v/>
      </c>
      <c r="S1545" s="3" t="inlineStr">
        <is>
          <t>G2G</t>
        </is>
      </c>
      <c r="T1545" s="3" t="inlineStr">
        <is>
          <t>P4</t>
        </is>
      </c>
      <c r="U1545" s="3" t="inlineStr">
        <is>
          <t>P JB Cold Soldering</t>
        </is>
      </c>
      <c r="V1545" s="3" t="inlineStr">
        <is>
          <t>Soldering</t>
        </is>
      </c>
      <c r="W1545" s="3" t="inlineStr">
        <is>
          <t>Repair</t>
        </is>
      </c>
      <c r="X1545" s="18" t="n">
        <v>46162</v>
      </c>
      <c r="Y1545" s="3">
        <f>X1545-A1545</f>
        <v/>
      </c>
      <c r="Z1545" s="18" t="n">
        <v>46162</v>
      </c>
      <c r="AA1545" s="15" t="n"/>
      <c r="AB1545" s="15" t="n"/>
    </row>
    <row r="1546" hidden="1" s="233">
      <c r="A1546" s="6" t="n">
        <v>46107</v>
      </c>
      <c r="B1546" s="3" t="n">
        <v>2026</v>
      </c>
      <c r="C1546" s="3" t="inlineStr">
        <is>
          <t>Blupine</t>
        </is>
      </c>
      <c r="D1546" s="3" t="inlineStr">
        <is>
          <t>Utility and C&amp;I</t>
        </is>
      </c>
      <c r="E1546" s="3" t="n"/>
      <c r="F1546" s="3" t="inlineStr">
        <is>
          <t>Closed</t>
        </is>
      </c>
      <c r="G1546" s="3" t="inlineStr">
        <is>
          <t>Chandrashekar Patidar</t>
        </is>
      </c>
      <c r="H1546" s="3" t="n">
        <v>7879764773</v>
      </c>
      <c r="I1546" s="11" t="inlineStr">
        <is>
          <t>PE26032601</t>
        </is>
      </c>
      <c r="J1546" s="3" t="inlineStr">
        <is>
          <t>Module Diode Failure</t>
        </is>
      </c>
      <c r="K1546" s="3" t="inlineStr">
        <is>
          <t>Sadla</t>
        </is>
      </c>
      <c r="L1546" s="3" t="inlineStr">
        <is>
          <t>Gujarat</t>
        </is>
      </c>
      <c r="M1546" s="9" t="inlineStr">
        <is>
          <t>PS</t>
        </is>
      </c>
      <c r="N1546" s="3" t="inlineStr">
        <is>
          <t>Cold Soldering</t>
        </is>
      </c>
      <c r="O1546" s="3" t="n">
        <v>570</v>
      </c>
      <c r="P1546" s="9" t="inlineStr">
        <is>
          <t>NSMI24050064545</t>
        </is>
      </c>
      <c r="Q1546" s="54">
        <f>MID(P1546,5,2)</f>
        <v/>
      </c>
      <c r="R1546" s="53">
        <f>MID(P1546,7,2)</f>
        <v/>
      </c>
      <c r="S1546" s="3" t="inlineStr">
        <is>
          <t>G2G</t>
        </is>
      </c>
      <c r="T1546" s="3" t="inlineStr">
        <is>
          <t>P4</t>
        </is>
      </c>
      <c r="U1546" s="3" t="inlineStr">
        <is>
          <t>P JB Cold Soldering</t>
        </is>
      </c>
      <c r="V1546" s="3" t="inlineStr">
        <is>
          <t>Soldering</t>
        </is>
      </c>
      <c r="W1546" s="3" t="inlineStr">
        <is>
          <t>Repair</t>
        </is>
      </c>
      <c r="X1546" s="18" t="n">
        <v>46162</v>
      </c>
      <c r="Y1546" s="3">
        <f>X1546-A1546</f>
        <v/>
      </c>
      <c r="Z1546" s="18" t="n">
        <v>46162</v>
      </c>
      <c r="AA1546" s="15" t="n"/>
      <c r="AB1546" s="15" t="n"/>
    </row>
    <row r="1547" hidden="1" s="233">
      <c r="A1547" s="6" t="n">
        <v>46107</v>
      </c>
      <c r="B1547" s="3" t="n">
        <v>2026</v>
      </c>
      <c r="C1547" s="3" t="inlineStr">
        <is>
          <t>Blupine</t>
        </is>
      </c>
      <c r="D1547" s="3" t="inlineStr">
        <is>
          <t>Utility and C&amp;I</t>
        </is>
      </c>
      <c r="E1547" s="3" t="n"/>
      <c r="F1547" s="3" t="inlineStr">
        <is>
          <t>Closed</t>
        </is>
      </c>
      <c r="G1547" s="3" t="inlineStr">
        <is>
          <t>Chandrashekar Patidar</t>
        </is>
      </c>
      <c r="H1547" s="3" t="n">
        <v>7879764773</v>
      </c>
      <c r="I1547" s="11" t="inlineStr">
        <is>
          <t>PE26032601</t>
        </is>
      </c>
      <c r="J1547" s="3" t="inlineStr">
        <is>
          <t>Module Diode Failure</t>
        </is>
      </c>
      <c r="K1547" s="3" t="inlineStr">
        <is>
          <t>Sadla</t>
        </is>
      </c>
      <c r="L1547" s="3" t="inlineStr">
        <is>
          <t>Gujarat</t>
        </is>
      </c>
      <c r="M1547" s="9" t="inlineStr">
        <is>
          <t>NR</t>
        </is>
      </c>
      <c r="N1547" s="3" t="inlineStr">
        <is>
          <t>JB Issue</t>
        </is>
      </c>
      <c r="O1547" s="3" t="n">
        <v>570</v>
      </c>
      <c r="P1547" s="9" t="inlineStr">
        <is>
          <t>NSMI24060163318</t>
        </is>
      </c>
      <c r="Q1547" s="54">
        <f>MID(P1547,5,2)</f>
        <v/>
      </c>
      <c r="R1547" s="53">
        <f>MID(P1547,7,2)</f>
        <v/>
      </c>
      <c r="S1547" s="3" t="inlineStr">
        <is>
          <t>G2G</t>
        </is>
      </c>
      <c r="T1547" s="3" t="inlineStr">
        <is>
          <t>P4</t>
        </is>
      </c>
      <c r="U1547" s="3" t="inlineStr">
        <is>
          <t>N JB Issue</t>
        </is>
      </c>
      <c r="V1547" s="3" t="inlineStr">
        <is>
          <t>JB Changed</t>
        </is>
      </c>
      <c r="W1547" s="3" t="inlineStr">
        <is>
          <t>Repair</t>
        </is>
      </c>
      <c r="X1547" s="18" t="n">
        <v>46162</v>
      </c>
      <c r="Y1547" s="3">
        <f>X1547-A1547</f>
        <v/>
      </c>
      <c r="Z1547" s="18" t="n">
        <v>46162</v>
      </c>
      <c r="AA1547" s="15" t="n"/>
      <c r="AB1547" s="15" t="n"/>
    </row>
    <row r="1548" hidden="1" s="233">
      <c r="A1548" s="6" t="n">
        <v>46107</v>
      </c>
      <c r="B1548" s="3" t="n">
        <v>2026</v>
      </c>
      <c r="C1548" s="3" t="inlineStr">
        <is>
          <t>Blupine</t>
        </is>
      </c>
      <c r="D1548" s="3" t="inlineStr">
        <is>
          <t>Utility and C&amp;I</t>
        </is>
      </c>
      <c r="E1548" s="3" t="n"/>
      <c r="F1548" s="3" t="inlineStr">
        <is>
          <t>Closed</t>
        </is>
      </c>
      <c r="G1548" s="3" t="inlineStr">
        <is>
          <t>Chandrashekar Patidar</t>
        </is>
      </c>
      <c r="H1548" s="3" t="n">
        <v>7879764773</v>
      </c>
      <c r="I1548" s="11" t="inlineStr">
        <is>
          <t>PE26032601</t>
        </is>
      </c>
      <c r="J1548" s="3" t="inlineStr">
        <is>
          <t>Module Diode Failure</t>
        </is>
      </c>
      <c r="K1548" s="3" t="inlineStr">
        <is>
          <t>Sadla</t>
        </is>
      </c>
      <c r="L1548" s="3" t="inlineStr">
        <is>
          <t>Gujarat</t>
        </is>
      </c>
      <c r="M1548" s="9" t="inlineStr">
        <is>
          <t>PS</t>
        </is>
      </c>
      <c r="N1548" s="3" t="inlineStr">
        <is>
          <t>Cold Soldering</t>
        </is>
      </c>
      <c r="O1548" s="3" t="n">
        <v>570</v>
      </c>
      <c r="P1548" s="9" t="inlineStr">
        <is>
          <t>NSMI24050064575</t>
        </is>
      </c>
      <c r="Q1548" s="54">
        <f>MID(P1548,5,2)</f>
        <v/>
      </c>
      <c r="R1548" s="53">
        <f>MID(P1548,7,2)</f>
        <v/>
      </c>
      <c r="S1548" s="3" t="inlineStr">
        <is>
          <t>G2G</t>
        </is>
      </c>
      <c r="T1548" s="3" t="inlineStr">
        <is>
          <t>P4</t>
        </is>
      </c>
      <c r="U1548" s="3" t="inlineStr">
        <is>
          <t>P JB Cold Soldering</t>
        </is>
      </c>
      <c r="V1548" s="3" t="inlineStr">
        <is>
          <t>Soldering</t>
        </is>
      </c>
      <c r="W1548" s="3" t="inlineStr">
        <is>
          <t>Repair</t>
        </is>
      </c>
      <c r="X1548" s="18" t="n">
        <v>46162</v>
      </c>
      <c r="Y1548" s="3">
        <f>X1548-A1548</f>
        <v/>
      </c>
      <c r="Z1548" s="18" t="n">
        <v>46162</v>
      </c>
      <c r="AA1548" s="15" t="n"/>
      <c r="AB1548" s="15" t="n"/>
    </row>
    <row r="1549" hidden="1" s="233">
      <c r="A1549" s="6" t="n">
        <v>46107</v>
      </c>
      <c r="B1549" s="3" t="n">
        <v>2026</v>
      </c>
      <c r="C1549" s="3" t="inlineStr">
        <is>
          <t>Blupine</t>
        </is>
      </c>
      <c r="D1549" s="3" t="inlineStr">
        <is>
          <t>Utility and C&amp;I</t>
        </is>
      </c>
      <c r="E1549" s="3" t="n"/>
      <c r="F1549" s="3" t="inlineStr">
        <is>
          <t>Closed</t>
        </is>
      </c>
      <c r="G1549" s="3" t="inlineStr">
        <is>
          <t>Chandrashekar Patidar</t>
        </is>
      </c>
      <c r="H1549" s="3" t="n">
        <v>7879764773</v>
      </c>
      <c r="I1549" s="11" t="inlineStr">
        <is>
          <t>PE26032601</t>
        </is>
      </c>
      <c r="J1549" s="3" t="inlineStr">
        <is>
          <t>Module Diode Failure</t>
        </is>
      </c>
      <c r="K1549" s="3" t="inlineStr">
        <is>
          <t>Sadla</t>
        </is>
      </c>
      <c r="L1549" s="3" t="inlineStr">
        <is>
          <t>Gujarat</t>
        </is>
      </c>
      <c r="M1549" s="9" t="inlineStr">
        <is>
          <t>PS</t>
        </is>
      </c>
      <c r="N1549" s="3" t="inlineStr">
        <is>
          <t>Cold Soldering</t>
        </is>
      </c>
      <c r="O1549" s="3" t="n">
        <v>570</v>
      </c>
      <c r="P1549" s="9" t="inlineStr">
        <is>
          <t>NSMI24060076801</t>
        </is>
      </c>
      <c r="Q1549" s="54">
        <f>MID(P1549,5,2)</f>
        <v/>
      </c>
      <c r="R1549" s="53">
        <f>MID(P1549,7,2)</f>
        <v/>
      </c>
      <c r="S1549" s="3" t="inlineStr">
        <is>
          <t>G2G</t>
        </is>
      </c>
      <c r="T1549" s="3" t="inlineStr">
        <is>
          <t>P4</t>
        </is>
      </c>
      <c r="U1549" s="3" t="inlineStr">
        <is>
          <t>P JB Cold Soldering</t>
        </is>
      </c>
      <c r="V1549" s="3" t="inlineStr">
        <is>
          <t>Soldering</t>
        </is>
      </c>
      <c r="W1549" s="3" t="inlineStr">
        <is>
          <t>Repair</t>
        </is>
      </c>
      <c r="X1549" s="18" t="n">
        <v>46162</v>
      </c>
      <c r="Y1549" s="3">
        <f>X1549-A1549</f>
        <v/>
      </c>
      <c r="Z1549" s="18" t="n">
        <v>46162</v>
      </c>
      <c r="AA1549" s="15" t="n"/>
      <c r="AB1549" s="15" t="n"/>
    </row>
    <row r="1550" hidden="1" s="233">
      <c r="A1550" s="6" t="n">
        <v>46107</v>
      </c>
      <c r="B1550" s="3" t="n">
        <v>2026</v>
      </c>
      <c r="C1550" s="3" t="inlineStr">
        <is>
          <t>Blupine</t>
        </is>
      </c>
      <c r="D1550" s="3" t="inlineStr">
        <is>
          <t>Utility and C&amp;I</t>
        </is>
      </c>
      <c r="E1550" s="3" t="n"/>
      <c r="F1550" s="3" t="inlineStr">
        <is>
          <t>Closed</t>
        </is>
      </c>
      <c r="G1550" s="3" t="inlineStr">
        <is>
          <t>Chandrashekar Patidar</t>
        </is>
      </c>
      <c r="H1550" s="3" t="n">
        <v>7879764773</v>
      </c>
      <c r="I1550" s="11" t="inlineStr">
        <is>
          <t>PE26032601</t>
        </is>
      </c>
      <c r="J1550" s="3" t="inlineStr">
        <is>
          <t>Module Diode Failure</t>
        </is>
      </c>
      <c r="K1550" s="3" t="inlineStr">
        <is>
          <t>Sadla</t>
        </is>
      </c>
      <c r="L1550" s="3" t="inlineStr">
        <is>
          <t>Gujarat</t>
        </is>
      </c>
      <c r="M1550" s="9" t="inlineStr">
        <is>
          <t>PS</t>
        </is>
      </c>
      <c r="N1550" s="3" t="inlineStr">
        <is>
          <t>Cold Soldering</t>
        </is>
      </c>
      <c r="O1550" s="3" t="n">
        <v>570</v>
      </c>
      <c r="P1550" s="9" t="inlineStr">
        <is>
          <t>NSMI24060076826</t>
        </is>
      </c>
      <c r="Q1550" s="54">
        <f>MID(P1550,5,2)</f>
        <v/>
      </c>
      <c r="R1550" s="53">
        <f>MID(P1550,7,2)</f>
        <v/>
      </c>
      <c r="S1550" s="3" t="inlineStr">
        <is>
          <t>G2G</t>
        </is>
      </c>
      <c r="T1550" s="3" t="inlineStr">
        <is>
          <t>P4</t>
        </is>
      </c>
      <c r="U1550" s="3" t="inlineStr">
        <is>
          <t>P JB Cold Soldering</t>
        </is>
      </c>
      <c r="V1550" s="3" t="inlineStr">
        <is>
          <t>Soldering</t>
        </is>
      </c>
      <c r="W1550" s="3" t="inlineStr">
        <is>
          <t>Repair</t>
        </is>
      </c>
      <c r="X1550" s="18" t="n">
        <v>46162</v>
      </c>
      <c r="Y1550" s="3">
        <f>X1550-A1550</f>
        <v/>
      </c>
      <c r="Z1550" s="18" t="n">
        <v>46162</v>
      </c>
      <c r="AA1550" s="15" t="n"/>
      <c r="AB1550" s="15" t="n"/>
    </row>
    <row r="1551" hidden="1" s="233">
      <c r="A1551" s="6" t="n">
        <v>46107</v>
      </c>
      <c r="B1551" s="3" t="n">
        <v>2026</v>
      </c>
      <c r="C1551" s="3" t="inlineStr">
        <is>
          <t>Blupine</t>
        </is>
      </c>
      <c r="D1551" s="3" t="inlineStr">
        <is>
          <t>Utility and C&amp;I</t>
        </is>
      </c>
      <c r="E1551" s="3" t="n"/>
      <c r="F1551" s="3" t="inlineStr">
        <is>
          <t>Closed</t>
        </is>
      </c>
      <c r="G1551" s="3" t="inlineStr">
        <is>
          <t>Chandrashekar Patidar</t>
        </is>
      </c>
      <c r="H1551" s="3" t="n">
        <v>7879764773</v>
      </c>
      <c r="I1551" s="11" t="inlineStr">
        <is>
          <t>PE26032601</t>
        </is>
      </c>
      <c r="J1551" s="3" t="inlineStr">
        <is>
          <t>Module Diode Failure</t>
        </is>
      </c>
      <c r="K1551" s="3" t="inlineStr">
        <is>
          <t>Sadla</t>
        </is>
      </c>
      <c r="L1551" s="3" t="inlineStr">
        <is>
          <t>Gujarat</t>
        </is>
      </c>
      <c r="M1551" s="9" t="inlineStr">
        <is>
          <t>PR</t>
        </is>
      </c>
      <c r="N1551" s="3" t="inlineStr">
        <is>
          <t>JB Issue</t>
        </is>
      </c>
      <c r="O1551" s="3" t="n">
        <v>570</v>
      </c>
      <c r="P1551" s="9" t="inlineStr">
        <is>
          <t>NSMI24060156467</t>
        </is>
      </c>
      <c r="Q1551" s="54">
        <f>MID(P1551,5,2)</f>
        <v/>
      </c>
      <c r="R1551" s="53">
        <f>MID(P1551,7,2)</f>
        <v/>
      </c>
      <c r="S1551" s="3" t="inlineStr">
        <is>
          <t>G2G</t>
        </is>
      </c>
      <c r="T1551" s="3" t="inlineStr">
        <is>
          <t>P4</t>
        </is>
      </c>
      <c r="U1551" s="3" t="inlineStr">
        <is>
          <t>P JB Issue</t>
        </is>
      </c>
      <c r="V1551" s="15" t="inlineStr">
        <is>
          <t>JB Changed</t>
        </is>
      </c>
      <c r="W1551" s="3" t="inlineStr">
        <is>
          <t>Repair</t>
        </is>
      </c>
      <c r="X1551" s="18" t="n">
        <v>46162</v>
      </c>
      <c r="Y1551" s="3">
        <f>X1551-A1551</f>
        <v/>
      </c>
      <c r="Z1551" s="18" t="n">
        <v>46162</v>
      </c>
      <c r="AA1551" s="15" t="n"/>
      <c r="AB1551" s="15" t="n"/>
    </row>
    <row r="1552" hidden="1" s="233">
      <c r="A1552" s="6" t="n">
        <v>46107</v>
      </c>
      <c r="B1552" s="3" t="n">
        <v>2026</v>
      </c>
      <c r="C1552" s="3" t="inlineStr">
        <is>
          <t>Blupine</t>
        </is>
      </c>
      <c r="D1552" s="3" t="inlineStr">
        <is>
          <t>Utility and C&amp;I</t>
        </is>
      </c>
      <c r="E1552" s="3" t="n"/>
      <c r="F1552" s="3" t="inlineStr">
        <is>
          <t>Closed</t>
        </is>
      </c>
      <c r="G1552" s="3" t="inlineStr">
        <is>
          <t>Chandrashekar Patidar</t>
        </is>
      </c>
      <c r="H1552" s="3" t="n">
        <v>7879764773</v>
      </c>
      <c r="I1552" s="11" t="inlineStr">
        <is>
          <t>PE26032601</t>
        </is>
      </c>
      <c r="J1552" s="3" t="inlineStr">
        <is>
          <t>Module Diode Failure</t>
        </is>
      </c>
      <c r="K1552" s="3" t="inlineStr">
        <is>
          <t>Sadla</t>
        </is>
      </c>
      <c r="L1552" s="3" t="inlineStr">
        <is>
          <t>Gujarat</t>
        </is>
      </c>
      <c r="M1552" s="9" t="inlineStr">
        <is>
          <t>PS</t>
        </is>
      </c>
      <c r="N1552" s="3" t="inlineStr">
        <is>
          <t>Cold Soldering</t>
        </is>
      </c>
      <c r="O1552" s="3" t="n">
        <v>570</v>
      </c>
      <c r="P1552" s="9" t="inlineStr">
        <is>
          <t>NSMI24060084986</t>
        </is>
      </c>
      <c r="Q1552" s="54">
        <f>MID(P1552,5,2)</f>
        <v/>
      </c>
      <c r="R1552" s="53">
        <f>MID(P1552,7,2)</f>
        <v/>
      </c>
      <c r="S1552" s="3" t="inlineStr">
        <is>
          <t>G2G</t>
        </is>
      </c>
      <c r="T1552" s="3" t="inlineStr">
        <is>
          <t>P4</t>
        </is>
      </c>
      <c r="U1552" s="3" t="inlineStr">
        <is>
          <t>P JB Cold Soldering</t>
        </is>
      </c>
      <c r="V1552" s="3" t="inlineStr">
        <is>
          <t>Soldering</t>
        </is>
      </c>
      <c r="W1552" s="3" t="inlineStr">
        <is>
          <t>Repair</t>
        </is>
      </c>
      <c r="X1552" s="18" t="n">
        <v>46162</v>
      </c>
      <c r="Y1552" s="3">
        <f>X1552-A1552</f>
        <v/>
      </c>
      <c r="Z1552" s="18" t="n">
        <v>46162</v>
      </c>
      <c r="AA1552" s="15" t="n"/>
      <c r="AB1552" s="15" t="n"/>
    </row>
    <row r="1553" hidden="1" s="233">
      <c r="A1553" s="6" t="n">
        <v>46107</v>
      </c>
      <c r="B1553" s="3" t="n">
        <v>2026</v>
      </c>
      <c r="C1553" s="3" t="inlineStr">
        <is>
          <t>Blupine</t>
        </is>
      </c>
      <c r="D1553" s="3" t="inlineStr">
        <is>
          <t>Utility and C&amp;I</t>
        </is>
      </c>
      <c r="E1553" s="3" t="n"/>
      <c r="F1553" s="3" t="inlineStr">
        <is>
          <t>Closed</t>
        </is>
      </c>
      <c r="G1553" s="3" t="inlineStr">
        <is>
          <t>Chandrashekar Patidar</t>
        </is>
      </c>
      <c r="H1553" s="3" t="n">
        <v>7879764773</v>
      </c>
      <c r="I1553" s="11" t="inlineStr">
        <is>
          <t>PE26032601</t>
        </is>
      </c>
      <c r="J1553" s="3" t="inlineStr">
        <is>
          <t>Module Diode Failure</t>
        </is>
      </c>
      <c r="K1553" s="3" t="inlineStr">
        <is>
          <t>Sadla</t>
        </is>
      </c>
      <c r="L1553" s="3" t="inlineStr">
        <is>
          <t>Gujarat</t>
        </is>
      </c>
      <c r="M1553" s="9" t="inlineStr">
        <is>
          <t>PS</t>
        </is>
      </c>
      <c r="N1553" s="3" t="inlineStr">
        <is>
          <t>Cold Soldering</t>
        </is>
      </c>
      <c r="O1553" s="3" t="n">
        <v>570</v>
      </c>
      <c r="P1553" s="9" t="inlineStr">
        <is>
          <t>NSMI24060084455</t>
        </is>
      </c>
      <c r="Q1553" s="54">
        <f>MID(P1553,5,2)</f>
        <v/>
      </c>
      <c r="R1553" s="53">
        <f>MID(P1553,7,2)</f>
        <v/>
      </c>
      <c r="S1553" s="3" t="inlineStr">
        <is>
          <t>G2G</t>
        </is>
      </c>
      <c r="T1553" s="3" t="inlineStr">
        <is>
          <t>P4</t>
        </is>
      </c>
      <c r="U1553" s="3" t="inlineStr">
        <is>
          <t>P JB Cold Soldering</t>
        </is>
      </c>
      <c r="V1553" s="3" t="inlineStr">
        <is>
          <t>Soldering</t>
        </is>
      </c>
      <c r="W1553" s="3" t="inlineStr">
        <is>
          <t>Repair</t>
        </is>
      </c>
      <c r="X1553" s="18" t="n">
        <v>46162</v>
      </c>
      <c r="Y1553" s="3">
        <f>X1553-A1553</f>
        <v/>
      </c>
      <c r="Z1553" s="18" t="n">
        <v>46162</v>
      </c>
      <c r="AA1553" s="15" t="n"/>
      <c r="AB1553" s="15" t="n"/>
    </row>
    <row r="1554" hidden="1" s="233">
      <c r="A1554" s="6" t="n">
        <v>46107</v>
      </c>
      <c r="B1554" s="3" t="n">
        <v>2026</v>
      </c>
      <c r="C1554" s="3" t="inlineStr">
        <is>
          <t>Blupine</t>
        </is>
      </c>
      <c r="D1554" s="3" t="inlineStr">
        <is>
          <t>Utility and C&amp;I</t>
        </is>
      </c>
      <c r="E1554" s="3" t="n"/>
      <c r="F1554" s="3" t="inlineStr">
        <is>
          <t>Closed</t>
        </is>
      </c>
      <c r="G1554" s="3" t="inlineStr">
        <is>
          <t>Chandrashekar Patidar</t>
        </is>
      </c>
      <c r="H1554" s="3" t="n">
        <v>7879764773</v>
      </c>
      <c r="I1554" s="11" t="inlineStr">
        <is>
          <t>PE26032601</t>
        </is>
      </c>
      <c r="J1554" s="3" t="inlineStr">
        <is>
          <t>Module Diode Failure</t>
        </is>
      </c>
      <c r="K1554" s="3" t="inlineStr">
        <is>
          <t>Sadla</t>
        </is>
      </c>
      <c r="L1554" s="3" t="inlineStr">
        <is>
          <t>Gujarat</t>
        </is>
      </c>
      <c r="M1554" s="9" t="inlineStr">
        <is>
          <t>NS</t>
        </is>
      </c>
      <c r="N1554" s="3" t="inlineStr">
        <is>
          <t>Cold Soldering</t>
        </is>
      </c>
      <c r="O1554" s="3" t="n">
        <v>570</v>
      </c>
      <c r="P1554" s="9" t="inlineStr">
        <is>
          <t>NSMI24060077053</t>
        </is>
      </c>
      <c r="Q1554" s="54">
        <f>MID(P1554,5,2)</f>
        <v/>
      </c>
      <c r="R1554" s="53">
        <f>MID(P1554,7,2)</f>
        <v/>
      </c>
      <c r="S1554" s="3" t="inlineStr">
        <is>
          <t>G2G</t>
        </is>
      </c>
      <c r="T1554" s="3" t="inlineStr">
        <is>
          <t>P4</t>
        </is>
      </c>
      <c r="U1554" s="3" t="inlineStr">
        <is>
          <t>N JB Cold Soldering</t>
        </is>
      </c>
      <c r="V1554" s="3" t="inlineStr">
        <is>
          <t>Soldering</t>
        </is>
      </c>
      <c r="W1554" s="3" t="inlineStr">
        <is>
          <t>Repair</t>
        </is>
      </c>
      <c r="X1554" s="18" t="n">
        <v>46162</v>
      </c>
      <c r="Y1554" s="3">
        <f>X1554-A1554</f>
        <v/>
      </c>
      <c r="Z1554" s="18" t="n">
        <v>46162</v>
      </c>
      <c r="AA1554" s="15" t="n"/>
      <c r="AB1554" s="15" t="n"/>
    </row>
    <row r="1555" hidden="1" s="233">
      <c r="A1555" s="6" t="n">
        <v>46107</v>
      </c>
      <c r="B1555" s="3" t="n">
        <v>2026</v>
      </c>
      <c r="C1555" s="3" t="inlineStr">
        <is>
          <t>Blupine</t>
        </is>
      </c>
      <c r="D1555" s="3" t="inlineStr">
        <is>
          <t>Utility and C&amp;I</t>
        </is>
      </c>
      <c r="E1555" s="3" t="n"/>
      <c r="F1555" s="3" t="inlineStr">
        <is>
          <t>Closed</t>
        </is>
      </c>
      <c r="G1555" s="3" t="inlineStr">
        <is>
          <t>Chandrashekar Patidar</t>
        </is>
      </c>
      <c r="H1555" s="3" t="n">
        <v>7879764773</v>
      </c>
      <c r="I1555" s="11" t="inlineStr">
        <is>
          <t>PE26032601</t>
        </is>
      </c>
      <c r="J1555" s="3" t="inlineStr">
        <is>
          <t>Module Diode Failure</t>
        </is>
      </c>
      <c r="K1555" s="3" t="inlineStr">
        <is>
          <t>Sadla</t>
        </is>
      </c>
      <c r="L1555" s="3" t="inlineStr">
        <is>
          <t>Gujarat</t>
        </is>
      </c>
      <c r="M1555" s="9" t="inlineStr">
        <is>
          <t>NS</t>
        </is>
      </c>
      <c r="N1555" s="3" t="inlineStr">
        <is>
          <t>Cold Soldering</t>
        </is>
      </c>
      <c r="O1555" s="3" t="n">
        <v>570</v>
      </c>
      <c r="P1555" s="9" t="inlineStr">
        <is>
          <t>NSMI24050056502</t>
        </is>
      </c>
      <c r="Q1555" s="54">
        <f>MID(P1555,5,2)</f>
        <v/>
      </c>
      <c r="R1555" s="53">
        <f>MID(P1555,7,2)</f>
        <v/>
      </c>
      <c r="S1555" s="3" t="inlineStr">
        <is>
          <t>G2G</t>
        </is>
      </c>
      <c r="T1555" s="3" t="inlineStr">
        <is>
          <t>P4</t>
        </is>
      </c>
      <c r="U1555" s="3" t="inlineStr">
        <is>
          <t>N JB Cold Soldering</t>
        </is>
      </c>
      <c r="V1555" s="3" t="inlineStr">
        <is>
          <t>Soldering</t>
        </is>
      </c>
      <c r="W1555" s="3" t="inlineStr">
        <is>
          <t>Repair</t>
        </is>
      </c>
      <c r="X1555" s="18" t="n">
        <v>46162</v>
      </c>
      <c r="Y1555" s="3">
        <f>X1555-A1555</f>
        <v/>
      </c>
      <c r="Z1555" s="18" t="n">
        <v>46162</v>
      </c>
      <c r="AA1555" s="15" t="n"/>
      <c r="AB1555" s="15" t="n"/>
    </row>
    <row r="1556" hidden="1" s="233">
      <c r="A1556" s="6" t="n">
        <v>46107</v>
      </c>
      <c r="B1556" s="3" t="n">
        <v>2026</v>
      </c>
      <c r="C1556" s="3" t="inlineStr">
        <is>
          <t>Blupine</t>
        </is>
      </c>
      <c r="D1556" s="3" t="inlineStr">
        <is>
          <t>Utility and C&amp;I</t>
        </is>
      </c>
      <c r="E1556" s="3" t="n"/>
      <c r="F1556" s="3" t="inlineStr">
        <is>
          <t>Closed</t>
        </is>
      </c>
      <c r="G1556" s="3" t="inlineStr">
        <is>
          <t>Chandrashekar Patidar</t>
        </is>
      </c>
      <c r="H1556" s="3" t="n">
        <v>7879764773</v>
      </c>
      <c r="I1556" s="11" t="inlineStr">
        <is>
          <t>PE26032601</t>
        </is>
      </c>
      <c r="J1556" s="3" t="inlineStr">
        <is>
          <t>Module Diode Failure</t>
        </is>
      </c>
      <c r="K1556" s="3" t="inlineStr">
        <is>
          <t>Sadla</t>
        </is>
      </c>
      <c r="L1556" s="3" t="inlineStr">
        <is>
          <t>Gujarat</t>
        </is>
      </c>
      <c r="M1556" s="9" t="inlineStr">
        <is>
          <t>NS</t>
        </is>
      </c>
      <c r="N1556" s="3" t="inlineStr">
        <is>
          <t>Cold Soldering</t>
        </is>
      </c>
      <c r="O1556" s="3" t="n">
        <v>570</v>
      </c>
      <c r="P1556" s="9" t="inlineStr">
        <is>
          <t>NSMI24060080384</t>
        </is>
      </c>
      <c r="Q1556" s="54">
        <f>MID(P1556,5,2)</f>
        <v/>
      </c>
      <c r="R1556" s="53">
        <f>MID(P1556,7,2)</f>
        <v/>
      </c>
      <c r="S1556" s="3" t="inlineStr">
        <is>
          <t>G2G</t>
        </is>
      </c>
      <c r="T1556" s="3" t="inlineStr">
        <is>
          <t>P4</t>
        </is>
      </c>
      <c r="U1556" s="3" t="inlineStr">
        <is>
          <t>N JB Cold Soldering</t>
        </is>
      </c>
      <c r="V1556" s="3" t="inlineStr">
        <is>
          <t>Soldering</t>
        </is>
      </c>
      <c r="W1556" s="3" t="inlineStr">
        <is>
          <t>Repair</t>
        </is>
      </c>
      <c r="X1556" s="18" t="n">
        <v>46162</v>
      </c>
      <c r="Y1556" s="3">
        <f>X1556-A1556</f>
        <v/>
      </c>
      <c r="Z1556" s="18" t="n">
        <v>46162</v>
      </c>
      <c r="AA1556" s="15" t="n"/>
      <c r="AB1556" s="15" t="n"/>
    </row>
    <row r="1557" hidden="1" s="233">
      <c r="A1557" s="6" t="n">
        <v>46107</v>
      </c>
      <c r="B1557" s="3" t="n">
        <v>2026</v>
      </c>
      <c r="C1557" s="3" t="inlineStr">
        <is>
          <t>Blupine</t>
        </is>
      </c>
      <c r="D1557" s="3" t="inlineStr">
        <is>
          <t>Utility and C&amp;I</t>
        </is>
      </c>
      <c r="E1557" s="3" t="n"/>
      <c r="F1557" s="3" t="inlineStr">
        <is>
          <t>Closed</t>
        </is>
      </c>
      <c r="G1557" s="3" t="inlineStr">
        <is>
          <t>Chandrashekar Patidar</t>
        </is>
      </c>
      <c r="H1557" s="3" t="n">
        <v>7879764773</v>
      </c>
      <c r="I1557" s="11" t="inlineStr">
        <is>
          <t>PE26032601</t>
        </is>
      </c>
      <c r="J1557" s="3" t="inlineStr">
        <is>
          <t>Module Diode Failure</t>
        </is>
      </c>
      <c r="K1557" s="3" t="inlineStr">
        <is>
          <t>Sadla</t>
        </is>
      </c>
      <c r="L1557" s="3" t="inlineStr">
        <is>
          <t>Gujarat</t>
        </is>
      </c>
      <c r="M1557" s="9" t="inlineStr">
        <is>
          <t>NR</t>
        </is>
      </c>
      <c r="N1557" s="3" t="inlineStr">
        <is>
          <t>JB Issue</t>
        </is>
      </c>
      <c r="O1557" s="3" t="n">
        <v>570</v>
      </c>
      <c r="P1557" s="9" t="inlineStr">
        <is>
          <t>NSMI24060163290</t>
        </is>
      </c>
      <c r="Q1557" s="54">
        <f>MID(P1557,5,2)</f>
        <v/>
      </c>
      <c r="R1557" s="53">
        <f>MID(P1557,7,2)</f>
        <v/>
      </c>
      <c r="S1557" s="3" t="inlineStr">
        <is>
          <t>G2G</t>
        </is>
      </c>
      <c r="T1557" s="3" t="inlineStr">
        <is>
          <t>P4</t>
        </is>
      </c>
      <c r="U1557" s="3" t="inlineStr">
        <is>
          <t>N JB Issue</t>
        </is>
      </c>
      <c r="V1557" s="3" t="inlineStr">
        <is>
          <t>JB Changed</t>
        </is>
      </c>
      <c r="W1557" s="3" t="inlineStr">
        <is>
          <t>Repair</t>
        </is>
      </c>
      <c r="X1557" s="18" t="n">
        <v>46162</v>
      </c>
      <c r="Y1557" s="3">
        <f>X1557-A1557</f>
        <v/>
      </c>
      <c r="Z1557" s="18" t="n">
        <v>46162</v>
      </c>
      <c r="AA1557" s="15" t="n"/>
      <c r="AB1557" s="15" t="n"/>
    </row>
    <row r="1558" hidden="1" s="233">
      <c r="A1558" s="6" t="n">
        <v>46107</v>
      </c>
      <c r="B1558" s="3" t="n">
        <v>2026</v>
      </c>
      <c r="C1558" s="3" t="inlineStr">
        <is>
          <t>Blupine</t>
        </is>
      </c>
      <c r="D1558" s="3" t="inlineStr">
        <is>
          <t>Utility and C&amp;I</t>
        </is>
      </c>
      <c r="E1558" s="3" t="n"/>
      <c r="F1558" s="3" t="inlineStr">
        <is>
          <t>Closed</t>
        </is>
      </c>
      <c r="G1558" s="3" t="inlineStr">
        <is>
          <t>Chandrashekar Patidar</t>
        </is>
      </c>
      <c r="H1558" s="3" t="n">
        <v>7879764773</v>
      </c>
      <c r="I1558" s="11" t="inlineStr">
        <is>
          <t>PE26032601</t>
        </is>
      </c>
      <c r="J1558" s="3" t="inlineStr">
        <is>
          <t>Module Diode Failure</t>
        </is>
      </c>
      <c r="K1558" s="3" t="inlineStr">
        <is>
          <t>Sadla</t>
        </is>
      </c>
      <c r="L1558" s="3" t="inlineStr">
        <is>
          <t>Gujarat</t>
        </is>
      </c>
      <c r="M1558" s="9" t="inlineStr">
        <is>
          <t>NS</t>
        </is>
      </c>
      <c r="N1558" s="3" t="inlineStr">
        <is>
          <t>Cold Soldering</t>
        </is>
      </c>
      <c r="O1558" s="3" t="n">
        <v>570</v>
      </c>
      <c r="P1558" s="9" t="inlineStr">
        <is>
          <t>NSMI24050053238</t>
        </is>
      </c>
      <c r="Q1558" s="54">
        <f>MID(P1558,5,2)</f>
        <v/>
      </c>
      <c r="R1558" s="53">
        <f>MID(P1558,7,2)</f>
        <v/>
      </c>
      <c r="S1558" s="3" t="inlineStr">
        <is>
          <t>G2G</t>
        </is>
      </c>
      <c r="T1558" s="3" t="inlineStr">
        <is>
          <t>P4</t>
        </is>
      </c>
      <c r="U1558" s="3" t="inlineStr">
        <is>
          <t>N JB Cold Soldering</t>
        </is>
      </c>
      <c r="V1558" s="3" t="inlineStr">
        <is>
          <t>Soldering</t>
        </is>
      </c>
      <c r="W1558" s="3" t="inlineStr">
        <is>
          <t>Repair</t>
        </is>
      </c>
      <c r="X1558" s="18" t="n">
        <v>46162</v>
      </c>
      <c r="Y1558" s="3">
        <f>X1558-A1558</f>
        <v/>
      </c>
      <c r="Z1558" s="18" t="n">
        <v>46162</v>
      </c>
      <c r="AA1558" s="15" t="n"/>
      <c r="AB1558" s="15" t="n"/>
    </row>
    <row r="1559" hidden="1" s="233">
      <c r="A1559" s="6" t="n">
        <v>46107</v>
      </c>
      <c r="B1559" s="3" t="n">
        <v>2026</v>
      </c>
      <c r="C1559" s="3" t="inlineStr">
        <is>
          <t>Blupine</t>
        </is>
      </c>
      <c r="D1559" s="3" t="inlineStr">
        <is>
          <t>Utility and C&amp;I</t>
        </is>
      </c>
      <c r="E1559" s="3" t="n"/>
      <c r="F1559" s="3" t="inlineStr">
        <is>
          <t>Closed</t>
        </is>
      </c>
      <c r="G1559" s="3" t="inlineStr">
        <is>
          <t>Chandrashekar Patidar</t>
        </is>
      </c>
      <c r="H1559" s="3" t="n">
        <v>7879764773</v>
      </c>
      <c r="I1559" s="11" t="inlineStr">
        <is>
          <t>PE26032601</t>
        </is>
      </c>
      <c r="J1559" s="3" t="inlineStr">
        <is>
          <t>Module Diode Failure</t>
        </is>
      </c>
      <c r="K1559" s="3" t="inlineStr">
        <is>
          <t>Sadla</t>
        </is>
      </c>
      <c r="L1559" s="3" t="inlineStr">
        <is>
          <t>Gujarat</t>
        </is>
      </c>
      <c r="M1559" s="9" t="inlineStr">
        <is>
          <t>PS</t>
        </is>
      </c>
      <c r="N1559" s="3" t="inlineStr">
        <is>
          <t>Cold Soldering</t>
        </is>
      </c>
      <c r="O1559" s="3" t="n">
        <v>570</v>
      </c>
      <c r="P1559" s="9" t="inlineStr">
        <is>
          <t>NSMI24060085576</t>
        </is>
      </c>
      <c r="Q1559" s="54">
        <f>MID(P1559,5,2)</f>
        <v/>
      </c>
      <c r="R1559" s="53">
        <f>MID(P1559,7,2)</f>
        <v/>
      </c>
      <c r="S1559" s="3" t="inlineStr">
        <is>
          <t>G2G</t>
        </is>
      </c>
      <c r="T1559" s="3" t="inlineStr">
        <is>
          <t>P4</t>
        </is>
      </c>
      <c r="U1559" s="3" t="inlineStr">
        <is>
          <t>P JB Cold Soldering</t>
        </is>
      </c>
      <c r="V1559" s="3" t="inlineStr">
        <is>
          <t>Soldering</t>
        </is>
      </c>
      <c r="W1559" s="3" t="inlineStr">
        <is>
          <t>Repair</t>
        </is>
      </c>
      <c r="X1559" s="18" t="n">
        <v>46162</v>
      </c>
      <c r="Y1559" s="3">
        <f>X1559-A1559</f>
        <v/>
      </c>
      <c r="Z1559" s="18" t="n">
        <v>46162</v>
      </c>
      <c r="AA1559" s="15" t="n"/>
      <c r="AB1559" s="15" t="n"/>
    </row>
    <row r="1560" hidden="1" s="233">
      <c r="A1560" s="6" t="n">
        <v>46107</v>
      </c>
      <c r="B1560" s="3" t="n">
        <v>2026</v>
      </c>
      <c r="C1560" s="3" t="inlineStr">
        <is>
          <t>Blupine</t>
        </is>
      </c>
      <c r="D1560" s="3" t="inlineStr">
        <is>
          <t>Utility and C&amp;I</t>
        </is>
      </c>
      <c r="E1560" s="3" t="n"/>
      <c r="F1560" s="3" t="inlineStr">
        <is>
          <t>Closed</t>
        </is>
      </c>
      <c r="G1560" s="3" t="inlineStr">
        <is>
          <t>Chandrashekar Patidar</t>
        </is>
      </c>
      <c r="H1560" s="3" t="n">
        <v>7879764773</v>
      </c>
      <c r="I1560" s="11" t="inlineStr">
        <is>
          <t>PE26032601</t>
        </is>
      </c>
      <c r="J1560" s="3" t="inlineStr">
        <is>
          <t>Module Diode Failure</t>
        </is>
      </c>
      <c r="K1560" s="3" t="inlineStr">
        <is>
          <t>Sadla</t>
        </is>
      </c>
      <c r="L1560" s="3" t="inlineStr">
        <is>
          <t>Gujarat</t>
        </is>
      </c>
      <c r="M1560" s="9" t="inlineStr">
        <is>
          <t>PS</t>
        </is>
      </c>
      <c r="N1560" s="3" t="inlineStr">
        <is>
          <t>Cold Soldering</t>
        </is>
      </c>
      <c r="O1560" s="3" t="n">
        <v>570</v>
      </c>
      <c r="P1560" s="9" t="inlineStr">
        <is>
          <t>NSMI24050060850</t>
        </is>
      </c>
      <c r="Q1560" s="54">
        <f>MID(P1560,5,2)</f>
        <v/>
      </c>
      <c r="R1560" s="53">
        <f>MID(P1560,7,2)</f>
        <v/>
      </c>
      <c r="S1560" s="3" t="inlineStr">
        <is>
          <t>G2G</t>
        </is>
      </c>
      <c r="T1560" s="3" t="inlineStr">
        <is>
          <t>P4</t>
        </is>
      </c>
      <c r="U1560" s="3" t="inlineStr">
        <is>
          <t>P JB Cold Soldering</t>
        </is>
      </c>
      <c r="V1560" s="3" t="inlineStr">
        <is>
          <t>Soldering</t>
        </is>
      </c>
      <c r="W1560" s="3" t="inlineStr">
        <is>
          <t>Repair</t>
        </is>
      </c>
      <c r="X1560" s="18" t="n">
        <v>46162</v>
      </c>
      <c r="Y1560" s="3">
        <f>X1560-A1560</f>
        <v/>
      </c>
      <c r="Z1560" s="18" t="n">
        <v>46162</v>
      </c>
      <c r="AA1560" s="15" t="n"/>
      <c r="AB1560" s="15" t="n"/>
    </row>
    <row r="1561" hidden="1" s="233">
      <c r="A1561" s="6" t="n">
        <v>46107</v>
      </c>
      <c r="B1561" s="3" t="n">
        <v>2026</v>
      </c>
      <c r="C1561" s="3" t="inlineStr">
        <is>
          <t>Blupine</t>
        </is>
      </c>
      <c r="D1561" s="3" t="inlineStr">
        <is>
          <t>Utility and C&amp;I</t>
        </is>
      </c>
      <c r="E1561" s="3" t="n"/>
      <c r="F1561" s="3" t="inlineStr">
        <is>
          <t>Closed</t>
        </is>
      </c>
      <c r="G1561" s="3" t="inlineStr">
        <is>
          <t>Chandrashekar Patidar</t>
        </is>
      </c>
      <c r="H1561" s="3" t="n">
        <v>7879764773</v>
      </c>
      <c r="I1561" s="11" t="inlineStr">
        <is>
          <t>PE26032601</t>
        </is>
      </c>
      <c r="J1561" s="3" t="inlineStr">
        <is>
          <t>Module Diode Failure</t>
        </is>
      </c>
      <c r="K1561" s="3" t="inlineStr">
        <is>
          <t>Sadla</t>
        </is>
      </c>
      <c r="L1561" s="3" t="inlineStr">
        <is>
          <t>Gujarat</t>
        </is>
      </c>
      <c r="M1561" s="9" t="inlineStr">
        <is>
          <t>NS</t>
        </is>
      </c>
      <c r="N1561" s="3" t="inlineStr">
        <is>
          <t>Cold Soldering</t>
        </is>
      </c>
      <c r="O1561" s="3" t="n">
        <v>570</v>
      </c>
      <c r="P1561" s="9" t="inlineStr">
        <is>
          <t>NSMI24060081580</t>
        </is>
      </c>
      <c r="Q1561" s="54">
        <f>MID(P1561,5,2)</f>
        <v/>
      </c>
      <c r="R1561" s="53">
        <f>MID(P1561,7,2)</f>
        <v/>
      </c>
      <c r="S1561" s="3" t="inlineStr">
        <is>
          <t>G2G</t>
        </is>
      </c>
      <c r="T1561" s="3" t="inlineStr">
        <is>
          <t>P4</t>
        </is>
      </c>
      <c r="U1561" s="3" t="inlineStr">
        <is>
          <t>N JB Cold Soldering</t>
        </is>
      </c>
      <c r="V1561" s="3" t="inlineStr">
        <is>
          <t>Soldering</t>
        </is>
      </c>
      <c r="W1561" s="3" t="inlineStr">
        <is>
          <t>Repair</t>
        </is>
      </c>
      <c r="X1561" s="18" t="n">
        <v>46162</v>
      </c>
      <c r="Y1561" s="3">
        <f>X1561-A1561</f>
        <v/>
      </c>
      <c r="Z1561" s="18" t="n">
        <v>46162</v>
      </c>
      <c r="AA1561" s="15" t="n"/>
      <c r="AB1561" s="15" t="n"/>
    </row>
    <row r="1562" hidden="1" s="233">
      <c r="A1562" s="6" t="n">
        <v>46107</v>
      </c>
      <c r="B1562" s="3" t="n">
        <v>2026</v>
      </c>
      <c r="C1562" s="3" t="inlineStr">
        <is>
          <t>Blupine</t>
        </is>
      </c>
      <c r="D1562" s="3" t="inlineStr">
        <is>
          <t>Utility and C&amp;I</t>
        </is>
      </c>
      <c r="E1562" s="3" t="n"/>
      <c r="F1562" s="3" t="inlineStr">
        <is>
          <t>Closed</t>
        </is>
      </c>
      <c r="G1562" s="3" t="inlineStr">
        <is>
          <t>Chandrashekar Patidar</t>
        </is>
      </c>
      <c r="H1562" s="3" t="n">
        <v>7879764773</v>
      </c>
      <c r="I1562" s="11" t="inlineStr">
        <is>
          <t>PE26032601</t>
        </is>
      </c>
      <c r="J1562" s="3" t="inlineStr">
        <is>
          <t>Module Diode Failure</t>
        </is>
      </c>
      <c r="K1562" s="3" t="inlineStr">
        <is>
          <t>Sadla</t>
        </is>
      </c>
      <c r="L1562" s="3" t="inlineStr">
        <is>
          <t>Gujarat</t>
        </is>
      </c>
      <c r="M1562" s="9" t="inlineStr">
        <is>
          <t>NR</t>
        </is>
      </c>
      <c r="N1562" s="3" t="inlineStr">
        <is>
          <t>JB Issue</t>
        </is>
      </c>
      <c r="O1562" s="3" t="n">
        <v>570</v>
      </c>
      <c r="P1562" s="9" t="inlineStr">
        <is>
          <t>NSMI24060081524</t>
        </is>
      </c>
      <c r="Q1562" s="54">
        <f>MID(P1562,5,2)</f>
        <v/>
      </c>
      <c r="R1562" s="53">
        <f>MID(P1562,7,2)</f>
        <v/>
      </c>
      <c r="S1562" s="3" t="inlineStr">
        <is>
          <t>G2G</t>
        </is>
      </c>
      <c r="T1562" s="3" t="inlineStr">
        <is>
          <t>P4</t>
        </is>
      </c>
      <c r="U1562" s="3" t="inlineStr">
        <is>
          <t>N JB Issue</t>
        </is>
      </c>
      <c r="V1562" s="3" t="inlineStr">
        <is>
          <t>JB Changed</t>
        </is>
      </c>
      <c r="W1562" s="3" t="inlineStr">
        <is>
          <t>Repair</t>
        </is>
      </c>
      <c r="X1562" s="18" t="n">
        <v>46162</v>
      </c>
      <c r="Y1562" s="3">
        <f>X1562-A1562</f>
        <v/>
      </c>
      <c r="Z1562" s="18" t="n">
        <v>46162</v>
      </c>
      <c r="AA1562" s="15" t="n"/>
      <c r="AB1562" s="15" t="n"/>
    </row>
    <row r="1563" hidden="1" s="233">
      <c r="A1563" s="6" t="n">
        <v>46107</v>
      </c>
      <c r="B1563" s="3" t="n">
        <v>2026</v>
      </c>
      <c r="C1563" s="3" t="inlineStr">
        <is>
          <t>Blupine</t>
        </is>
      </c>
      <c r="D1563" s="3" t="inlineStr">
        <is>
          <t>Utility and C&amp;I</t>
        </is>
      </c>
      <c r="E1563" s="3" t="n"/>
      <c r="F1563" s="3" t="inlineStr">
        <is>
          <t>Closed</t>
        </is>
      </c>
      <c r="G1563" s="3" t="inlineStr">
        <is>
          <t>Chandrashekar Patidar</t>
        </is>
      </c>
      <c r="H1563" s="3" t="n">
        <v>7879764773</v>
      </c>
      <c r="I1563" s="11" t="inlineStr">
        <is>
          <t>PE26032601</t>
        </is>
      </c>
      <c r="J1563" s="3" t="inlineStr">
        <is>
          <t>Module Diode Failure</t>
        </is>
      </c>
      <c r="K1563" s="3" t="inlineStr">
        <is>
          <t>Sadla</t>
        </is>
      </c>
      <c r="L1563" s="3" t="inlineStr">
        <is>
          <t>Gujarat</t>
        </is>
      </c>
      <c r="M1563" s="9" t="inlineStr">
        <is>
          <t>OK</t>
        </is>
      </c>
      <c r="N1563" s="3" t="inlineStr">
        <is>
          <t>No Issue</t>
        </is>
      </c>
      <c r="O1563" s="3" t="n">
        <v>570</v>
      </c>
      <c r="P1563" s="9" t="inlineStr">
        <is>
          <t>NSMI24060123852</t>
        </is>
      </c>
      <c r="Q1563" s="54">
        <f>MID(P1563,5,2)</f>
        <v/>
      </c>
      <c r="R1563" s="53">
        <f>MID(P1563,7,2)</f>
        <v/>
      </c>
      <c r="S1563" s="3" t="inlineStr">
        <is>
          <t>G2G</t>
        </is>
      </c>
      <c r="T1563" s="3" t="inlineStr">
        <is>
          <t>P4</t>
        </is>
      </c>
      <c r="U1563" s="19" t="inlineStr">
        <is>
          <t>No Issue Found &amp; Glass Breakage</t>
        </is>
      </c>
      <c r="V1563" s="19" t="inlineStr">
        <is>
          <t>Found OK</t>
        </is>
      </c>
      <c r="W1563" s="3" t="inlineStr">
        <is>
          <t>Repair</t>
        </is>
      </c>
      <c r="X1563" s="18" t="n">
        <v>46162</v>
      </c>
      <c r="Y1563" s="3">
        <f>X1563-A1563</f>
        <v/>
      </c>
      <c r="Z1563" s="18" t="n">
        <v>46162</v>
      </c>
      <c r="AA1563" s="15" t="n"/>
      <c r="AB1563" s="15" t="n"/>
    </row>
    <row r="1564" hidden="1" s="233">
      <c r="A1564" s="6" t="n">
        <v>46107</v>
      </c>
      <c r="B1564" s="3" t="n">
        <v>2026</v>
      </c>
      <c r="C1564" s="3" t="inlineStr">
        <is>
          <t>Blupine</t>
        </is>
      </c>
      <c r="D1564" s="3" t="inlineStr">
        <is>
          <t>Utility and C&amp;I</t>
        </is>
      </c>
      <c r="E1564" s="3" t="n"/>
      <c r="F1564" s="3" t="inlineStr">
        <is>
          <t>Closed</t>
        </is>
      </c>
      <c r="G1564" s="3" t="inlineStr">
        <is>
          <t>Chandrashekar Patidar</t>
        </is>
      </c>
      <c r="H1564" s="3" t="n">
        <v>7879764773</v>
      </c>
      <c r="I1564" s="11" t="inlineStr">
        <is>
          <t>PE26032601</t>
        </is>
      </c>
      <c r="J1564" s="3" t="inlineStr">
        <is>
          <t>Module Diode Failure</t>
        </is>
      </c>
      <c r="K1564" s="3" t="inlineStr">
        <is>
          <t>Sadla</t>
        </is>
      </c>
      <c r="L1564" s="3" t="inlineStr">
        <is>
          <t>Gujarat</t>
        </is>
      </c>
      <c r="M1564" s="9" t="inlineStr">
        <is>
          <t>NR</t>
        </is>
      </c>
      <c r="N1564" s="3" t="inlineStr">
        <is>
          <t>JB Issue</t>
        </is>
      </c>
      <c r="O1564" s="3" t="n">
        <v>570</v>
      </c>
      <c r="P1564" s="9" t="inlineStr">
        <is>
          <t>NSMI24060109399</t>
        </is>
      </c>
      <c r="Q1564" s="54">
        <f>MID(P1564,5,2)</f>
        <v/>
      </c>
      <c r="R1564" s="53">
        <f>MID(P1564,7,2)</f>
        <v/>
      </c>
      <c r="S1564" s="3" t="inlineStr">
        <is>
          <t>G2G</t>
        </is>
      </c>
      <c r="T1564" s="3" t="inlineStr">
        <is>
          <t>P4</t>
        </is>
      </c>
      <c r="U1564" s="3" t="inlineStr">
        <is>
          <t>N JB Issue</t>
        </is>
      </c>
      <c r="V1564" s="3" t="inlineStr">
        <is>
          <t>JB Changed</t>
        </is>
      </c>
      <c r="W1564" s="3" t="inlineStr">
        <is>
          <t>Repair</t>
        </is>
      </c>
      <c r="X1564" s="18" t="n">
        <v>46162</v>
      </c>
      <c r="Y1564" s="3">
        <f>X1564-A1564</f>
        <v/>
      </c>
      <c r="Z1564" s="18" t="n">
        <v>46162</v>
      </c>
      <c r="AA1564" s="15" t="n"/>
      <c r="AB1564" s="15" t="n"/>
    </row>
    <row r="1565" hidden="1" s="233">
      <c r="A1565" s="6" t="n">
        <v>46107</v>
      </c>
      <c r="B1565" s="3" t="n">
        <v>2026</v>
      </c>
      <c r="C1565" s="3" t="inlineStr">
        <is>
          <t>Blupine</t>
        </is>
      </c>
      <c r="D1565" s="3" t="inlineStr">
        <is>
          <t>Utility and C&amp;I</t>
        </is>
      </c>
      <c r="E1565" s="3" t="n"/>
      <c r="F1565" s="3" t="inlineStr">
        <is>
          <t>Closed</t>
        </is>
      </c>
      <c r="G1565" s="3" t="inlineStr">
        <is>
          <t>Chandrashekar Patidar</t>
        </is>
      </c>
      <c r="H1565" s="3" t="n">
        <v>7879764773</v>
      </c>
      <c r="I1565" s="11" t="inlineStr">
        <is>
          <t>PE26032601</t>
        </is>
      </c>
      <c r="J1565" s="3" t="inlineStr">
        <is>
          <t>Module Diode Failure</t>
        </is>
      </c>
      <c r="K1565" s="3" t="inlineStr">
        <is>
          <t>Sadla</t>
        </is>
      </c>
      <c r="L1565" s="3" t="inlineStr">
        <is>
          <t>Gujarat</t>
        </is>
      </c>
      <c r="M1565" s="9" t="inlineStr">
        <is>
          <t>PS</t>
        </is>
      </c>
      <c r="N1565" s="3" t="inlineStr">
        <is>
          <t>Cold Soldering</t>
        </is>
      </c>
      <c r="O1565" s="3" t="n">
        <v>570</v>
      </c>
      <c r="P1565" s="9" t="inlineStr">
        <is>
          <t>NSMI24060119302</t>
        </is>
      </c>
      <c r="Q1565" s="54">
        <f>MID(P1565,5,2)</f>
        <v/>
      </c>
      <c r="R1565" s="53">
        <f>MID(P1565,7,2)</f>
        <v/>
      </c>
      <c r="S1565" s="3" t="inlineStr">
        <is>
          <t>G2G</t>
        </is>
      </c>
      <c r="T1565" s="3" t="inlineStr">
        <is>
          <t>P4</t>
        </is>
      </c>
      <c r="U1565" s="3" t="inlineStr">
        <is>
          <t>P JB Cold Soldering</t>
        </is>
      </c>
      <c r="V1565" s="3" t="inlineStr">
        <is>
          <t>Soldering</t>
        </is>
      </c>
      <c r="W1565" s="3" t="inlineStr">
        <is>
          <t>Repair</t>
        </is>
      </c>
      <c r="X1565" s="18" t="n">
        <v>46162</v>
      </c>
      <c r="Y1565" s="3">
        <f>X1565-A1565</f>
        <v/>
      </c>
      <c r="Z1565" s="18" t="n">
        <v>46162</v>
      </c>
      <c r="AA1565" s="15" t="n"/>
      <c r="AB1565" s="15" t="n"/>
    </row>
    <row r="1566" hidden="1" s="233">
      <c r="A1566" s="6" t="n">
        <v>46107</v>
      </c>
      <c r="B1566" s="3" t="n">
        <v>2026</v>
      </c>
      <c r="C1566" s="3" t="inlineStr">
        <is>
          <t>Blupine</t>
        </is>
      </c>
      <c r="D1566" s="3" t="inlineStr">
        <is>
          <t>Utility and C&amp;I</t>
        </is>
      </c>
      <c r="E1566" s="3" t="n"/>
      <c r="F1566" s="3" t="inlineStr">
        <is>
          <t>Closed</t>
        </is>
      </c>
      <c r="G1566" s="3" t="inlineStr">
        <is>
          <t>Chandrashekar Patidar</t>
        </is>
      </c>
      <c r="H1566" s="3" t="n">
        <v>7879764773</v>
      </c>
      <c r="I1566" s="11" t="inlineStr">
        <is>
          <t>PE26032601</t>
        </is>
      </c>
      <c r="J1566" s="3" t="inlineStr">
        <is>
          <t>Module Diode Failure</t>
        </is>
      </c>
      <c r="K1566" s="3" t="inlineStr">
        <is>
          <t>Sadla</t>
        </is>
      </c>
      <c r="L1566" s="3" t="inlineStr">
        <is>
          <t>Gujarat</t>
        </is>
      </c>
      <c r="M1566" s="9" t="inlineStr">
        <is>
          <t>NS</t>
        </is>
      </c>
      <c r="N1566" s="3" t="inlineStr">
        <is>
          <t>Cold Soldering</t>
        </is>
      </c>
      <c r="O1566" s="3" t="n">
        <v>570</v>
      </c>
      <c r="P1566" s="9" t="inlineStr">
        <is>
          <t>NSMI24060118379</t>
        </is>
      </c>
      <c r="Q1566" s="54">
        <f>MID(P1566,5,2)</f>
        <v/>
      </c>
      <c r="R1566" s="53">
        <f>MID(P1566,7,2)</f>
        <v/>
      </c>
      <c r="S1566" s="3" t="inlineStr">
        <is>
          <t>G2G</t>
        </is>
      </c>
      <c r="T1566" s="3" t="inlineStr">
        <is>
          <t>P4</t>
        </is>
      </c>
      <c r="U1566" s="3" t="inlineStr">
        <is>
          <t>N JB Cold Soldering</t>
        </is>
      </c>
      <c r="V1566" s="3" t="inlineStr">
        <is>
          <t>Soldering</t>
        </is>
      </c>
      <c r="W1566" s="3" t="inlineStr">
        <is>
          <t>Repair</t>
        </is>
      </c>
      <c r="X1566" s="18" t="n">
        <v>46162</v>
      </c>
      <c r="Y1566" s="3">
        <f>X1566-A1566</f>
        <v/>
      </c>
      <c r="Z1566" s="18" t="n">
        <v>46162</v>
      </c>
      <c r="AA1566" s="15" t="n"/>
      <c r="AB1566" s="15" t="n"/>
    </row>
    <row r="1567" hidden="1" s="233">
      <c r="A1567" s="6" t="n">
        <v>46107</v>
      </c>
      <c r="B1567" s="3" t="n">
        <v>2026</v>
      </c>
      <c r="C1567" s="3" t="inlineStr">
        <is>
          <t>Blupine</t>
        </is>
      </c>
      <c r="D1567" s="3" t="inlineStr">
        <is>
          <t>Utility and C&amp;I</t>
        </is>
      </c>
      <c r="E1567" s="3" t="n"/>
      <c r="F1567" s="3" t="inlineStr">
        <is>
          <t>Closed</t>
        </is>
      </c>
      <c r="G1567" s="3" t="inlineStr">
        <is>
          <t>Chandrashekar Patidar</t>
        </is>
      </c>
      <c r="H1567" s="3" t="n">
        <v>7879764773</v>
      </c>
      <c r="I1567" s="11" t="inlineStr">
        <is>
          <t>PE26032601</t>
        </is>
      </c>
      <c r="J1567" s="3" t="inlineStr">
        <is>
          <t>Module Diode Failure</t>
        </is>
      </c>
      <c r="K1567" s="3" t="inlineStr">
        <is>
          <t>Sadla</t>
        </is>
      </c>
      <c r="L1567" s="3" t="inlineStr">
        <is>
          <t>Gujarat</t>
        </is>
      </c>
      <c r="M1567" s="9" t="inlineStr">
        <is>
          <t>NS</t>
        </is>
      </c>
      <c r="N1567" s="3" t="inlineStr">
        <is>
          <t>Cold Soldering</t>
        </is>
      </c>
      <c r="O1567" s="3" t="n">
        <v>570</v>
      </c>
      <c r="P1567" s="9" t="inlineStr">
        <is>
          <t>NSMI24060118348</t>
        </is>
      </c>
      <c r="Q1567" s="54">
        <f>MID(P1567,5,2)</f>
        <v/>
      </c>
      <c r="R1567" s="53">
        <f>MID(P1567,7,2)</f>
        <v/>
      </c>
      <c r="S1567" s="3" t="inlineStr">
        <is>
          <t>G2G</t>
        </is>
      </c>
      <c r="T1567" s="3" t="inlineStr">
        <is>
          <t>P4</t>
        </is>
      </c>
      <c r="U1567" s="3" t="inlineStr">
        <is>
          <t>N JB Cold Soldering</t>
        </is>
      </c>
      <c r="V1567" s="3" t="inlineStr">
        <is>
          <t>Soldering</t>
        </is>
      </c>
      <c r="W1567" s="3" t="inlineStr">
        <is>
          <t>Repair</t>
        </is>
      </c>
      <c r="X1567" s="18" t="n">
        <v>46162</v>
      </c>
      <c r="Y1567" s="3">
        <f>X1567-A1567</f>
        <v/>
      </c>
      <c r="Z1567" s="18" t="n">
        <v>46162</v>
      </c>
      <c r="AA1567" s="15" t="n"/>
      <c r="AB1567" s="15" t="n"/>
    </row>
    <row r="1568" hidden="1" s="233">
      <c r="A1568" s="6" t="n">
        <v>46107</v>
      </c>
      <c r="B1568" s="3" t="n">
        <v>2026</v>
      </c>
      <c r="C1568" s="3" t="inlineStr">
        <is>
          <t>Blupine</t>
        </is>
      </c>
      <c r="D1568" s="3" t="inlineStr">
        <is>
          <t>Utility and C&amp;I</t>
        </is>
      </c>
      <c r="E1568" s="3" t="n"/>
      <c r="F1568" s="3" t="inlineStr">
        <is>
          <t>Closed</t>
        </is>
      </c>
      <c r="G1568" s="3" t="inlineStr">
        <is>
          <t>Chandrashekar Patidar</t>
        </is>
      </c>
      <c r="H1568" s="3" t="n">
        <v>7879764773</v>
      </c>
      <c r="I1568" s="11" t="inlineStr">
        <is>
          <t>PE26032601</t>
        </is>
      </c>
      <c r="J1568" s="3" t="inlineStr">
        <is>
          <t>Module Diode Failure</t>
        </is>
      </c>
      <c r="K1568" s="3" t="inlineStr">
        <is>
          <t>Sadla</t>
        </is>
      </c>
      <c r="L1568" s="3" t="inlineStr">
        <is>
          <t>Gujarat</t>
        </is>
      </c>
      <c r="M1568" s="9" t="inlineStr">
        <is>
          <t>NS</t>
        </is>
      </c>
      <c r="N1568" s="3" t="inlineStr">
        <is>
          <t>Cold Soldering</t>
        </is>
      </c>
      <c r="O1568" s="3" t="n">
        <v>570</v>
      </c>
      <c r="P1568" s="9" t="inlineStr">
        <is>
          <t>NSMI24060118377</t>
        </is>
      </c>
      <c r="Q1568" s="54">
        <f>MID(P1568,5,2)</f>
        <v/>
      </c>
      <c r="R1568" s="53">
        <f>MID(P1568,7,2)</f>
        <v/>
      </c>
      <c r="S1568" s="3" t="inlineStr">
        <is>
          <t>G2G</t>
        </is>
      </c>
      <c r="T1568" s="3" t="inlineStr">
        <is>
          <t>P4</t>
        </is>
      </c>
      <c r="U1568" s="3" t="inlineStr">
        <is>
          <t>N JB Cold Soldering</t>
        </is>
      </c>
      <c r="V1568" s="3" t="inlineStr">
        <is>
          <t>Soldering</t>
        </is>
      </c>
      <c r="W1568" s="3" t="inlineStr">
        <is>
          <t>Repair</t>
        </is>
      </c>
      <c r="X1568" s="18" t="n">
        <v>46162</v>
      </c>
      <c r="Y1568" s="3">
        <f>X1568-A1568</f>
        <v/>
      </c>
      <c r="Z1568" s="18" t="n">
        <v>46162</v>
      </c>
      <c r="AA1568" s="15" t="n"/>
      <c r="AB1568" s="15" t="n"/>
    </row>
    <row r="1569" hidden="1" s="233">
      <c r="A1569" s="6" t="n">
        <v>46107</v>
      </c>
      <c r="B1569" s="3" t="n">
        <v>2026</v>
      </c>
      <c r="C1569" s="3" t="inlineStr">
        <is>
          <t>Blupine</t>
        </is>
      </c>
      <c r="D1569" s="3" t="inlineStr">
        <is>
          <t>Utility and C&amp;I</t>
        </is>
      </c>
      <c r="E1569" s="3" t="n"/>
      <c r="F1569" s="3" t="inlineStr">
        <is>
          <t>Closed</t>
        </is>
      </c>
      <c r="G1569" s="3" t="inlineStr">
        <is>
          <t>Chandrashekar Patidar</t>
        </is>
      </c>
      <c r="H1569" s="3" t="n">
        <v>7879764773</v>
      </c>
      <c r="I1569" s="11" t="inlineStr">
        <is>
          <t>PE26032601</t>
        </is>
      </c>
      <c r="J1569" s="3" t="inlineStr">
        <is>
          <t>Module Diode Failure</t>
        </is>
      </c>
      <c r="K1569" s="3" t="inlineStr">
        <is>
          <t>Sadla</t>
        </is>
      </c>
      <c r="L1569" s="3" t="inlineStr">
        <is>
          <t>Gujarat</t>
        </is>
      </c>
      <c r="M1569" s="9" t="inlineStr">
        <is>
          <t>NS</t>
        </is>
      </c>
      <c r="N1569" s="3" t="inlineStr">
        <is>
          <t>Cold Soldering</t>
        </is>
      </c>
      <c r="O1569" s="3" t="n">
        <v>570</v>
      </c>
      <c r="P1569" s="9" t="inlineStr">
        <is>
          <t>NSMI24060101255</t>
        </is>
      </c>
      <c r="Q1569" s="54">
        <f>MID(P1569,5,2)</f>
        <v/>
      </c>
      <c r="R1569" s="53">
        <f>MID(P1569,7,2)</f>
        <v/>
      </c>
      <c r="S1569" s="3" t="inlineStr">
        <is>
          <t>G2G</t>
        </is>
      </c>
      <c r="T1569" s="3" t="inlineStr">
        <is>
          <t>P4</t>
        </is>
      </c>
      <c r="U1569" s="3" t="inlineStr">
        <is>
          <t>N JB Cold Soldering</t>
        </is>
      </c>
      <c r="V1569" s="3" t="inlineStr">
        <is>
          <t>Soldering</t>
        </is>
      </c>
      <c r="W1569" s="3" t="inlineStr">
        <is>
          <t>Repair</t>
        </is>
      </c>
      <c r="X1569" s="18" t="n">
        <v>46162</v>
      </c>
      <c r="Y1569" s="3">
        <f>X1569-A1569</f>
        <v/>
      </c>
      <c r="Z1569" s="18" t="n">
        <v>46162</v>
      </c>
      <c r="AA1569" s="15" t="n"/>
      <c r="AB1569" s="15" t="n"/>
    </row>
    <row r="1570" hidden="1" s="233">
      <c r="A1570" s="6" t="n">
        <v>46107</v>
      </c>
      <c r="B1570" s="3" t="n">
        <v>2026</v>
      </c>
      <c r="C1570" s="3" t="inlineStr">
        <is>
          <t>Blupine</t>
        </is>
      </c>
      <c r="D1570" s="3" t="inlineStr">
        <is>
          <t>Utility and C&amp;I</t>
        </is>
      </c>
      <c r="E1570" s="3" t="n"/>
      <c r="F1570" s="3" t="inlineStr">
        <is>
          <t>Closed</t>
        </is>
      </c>
      <c r="G1570" s="3" t="inlineStr">
        <is>
          <t>Chandrashekar Patidar</t>
        </is>
      </c>
      <c r="H1570" s="3" t="n">
        <v>7879764773</v>
      </c>
      <c r="I1570" s="11" t="inlineStr">
        <is>
          <t>PE26032601</t>
        </is>
      </c>
      <c r="J1570" s="3" t="inlineStr">
        <is>
          <t>Module Diode Failure</t>
        </is>
      </c>
      <c r="K1570" s="3" t="inlineStr">
        <is>
          <t>Sadla</t>
        </is>
      </c>
      <c r="L1570" s="3" t="inlineStr">
        <is>
          <t>Gujarat</t>
        </is>
      </c>
      <c r="M1570" s="9" t="inlineStr">
        <is>
          <t>NS</t>
        </is>
      </c>
      <c r="N1570" s="3" t="inlineStr">
        <is>
          <t>Cold Soldering</t>
        </is>
      </c>
      <c r="O1570" s="3" t="n">
        <v>570</v>
      </c>
      <c r="P1570" s="9" t="inlineStr">
        <is>
          <t>NSMI24060105598</t>
        </is>
      </c>
      <c r="Q1570" s="54">
        <f>MID(P1570,5,2)</f>
        <v/>
      </c>
      <c r="R1570" s="53">
        <f>MID(P1570,7,2)</f>
        <v/>
      </c>
      <c r="S1570" s="3" t="inlineStr">
        <is>
          <t>G2G</t>
        </is>
      </c>
      <c r="T1570" s="3" t="inlineStr">
        <is>
          <t>P4</t>
        </is>
      </c>
      <c r="U1570" s="3" t="inlineStr">
        <is>
          <t>N JB Cold Soldering</t>
        </is>
      </c>
      <c r="V1570" s="3" t="inlineStr">
        <is>
          <t>Soldering</t>
        </is>
      </c>
      <c r="W1570" s="3" t="inlineStr">
        <is>
          <t>Repair</t>
        </is>
      </c>
      <c r="X1570" s="18" t="n">
        <v>46162</v>
      </c>
      <c r="Y1570" s="3">
        <f>X1570-A1570</f>
        <v/>
      </c>
      <c r="Z1570" s="18" t="n">
        <v>46162</v>
      </c>
      <c r="AA1570" s="15" t="n"/>
      <c r="AB1570" s="15" t="n"/>
    </row>
    <row r="1571" hidden="1" s="233">
      <c r="A1571" s="6" t="n">
        <v>46107</v>
      </c>
      <c r="B1571" s="3" t="n">
        <v>2026</v>
      </c>
      <c r="C1571" s="3" t="inlineStr">
        <is>
          <t>Blupine</t>
        </is>
      </c>
      <c r="D1571" s="3" t="inlineStr">
        <is>
          <t>Utility and C&amp;I</t>
        </is>
      </c>
      <c r="E1571" s="3" t="n"/>
      <c r="F1571" s="3" t="inlineStr">
        <is>
          <t>Closed</t>
        </is>
      </c>
      <c r="G1571" s="3" t="inlineStr">
        <is>
          <t>Chandrashekar Patidar</t>
        </is>
      </c>
      <c r="H1571" s="3" t="n">
        <v>7879764773</v>
      </c>
      <c r="I1571" s="11" t="inlineStr">
        <is>
          <t>PE26032601</t>
        </is>
      </c>
      <c r="J1571" s="3" t="inlineStr">
        <is>
          <t>Module Diode Failure</t>
        </is>
      </c>
      <c r="K1571" s="3" t="inlineStr">
        <is>
          <t>Sadla</t>
        </is>
      </c>
      <c r="L1571" s="3" t="inlineStr">
        <is>
          <t>Gujarat</t>
        </is>
      </c>
      <c r="M1571" s="9" t="inlineStr">
        <is>
          <t>NS</t>
        </is>
      </c>
      <c r="N1571" s="3" t="inlineStr">
        <is>
          <t>Cold Soldering</t>
        </is>
      </c>
      <c r="O1571" s="3" t="n">
        <v>570</v>
      </c>
      <c r="P1571" s="9" t="inlineStr">
        <is>
          <t>NSMI24060106708</t>
        </is>
      </c>
      <c r="Q1571" s="54">
        <f>MID(P1571,5,2)</f>
        <v/>
      </c>
      <c r="R1571" s="53">
        <f>MID(P1571,7,2)</f>
        <v/>
      </c>
      <c r="S1571" s="3" t="inlineStr">
        <is>
          <t>G2G</t>
        </is>
      </c>
      <c r="T1571" s="3" t="inlineStr">
        <is>
          <t>P4</t>
        </is>
      </c>
      <c r="U1571" s="3" t="inlineStr">
        <is>
          <t>N JB Cold Soldering</t>
        </is>
      </c>
      <c r="V1571" s="3" t="inlineStr">
        <is>
          <t>Soldering</t>
        </is>
      </c>
      <c r="W1571" s="3" t="inlineStr">
        <is>
          <t>Repair</t>
        </is>
      </c>
      <c r="X1571" s="18" t="n">
        <v>46162</v>
      </c>
      <c r="Y1571" s="3">
        <f>X1571-A1571</f>
        <v/>
      </c>
      <c r="Z1571" s="18" t="n">
        <v>46162</v>
      </c>
      <c r="AA1571" s="15" t="n"/>
      <c r="AB1571" s="15" t="n"/>
    </row>
    <row r="1572" hidden="1" s="233">
      <c r="A1572" s="6" t="n">
        <v>46107</v>
      </c>
      <c r="B1572" s="3" t="n">
        <v>2026</v>
      </c>
      <c r="C1572" s="3" t="inlineStr">
        <is>
          <t>Blupine</t>
        </is>
      </c>
      <c r="D1572" s="3" t="inlineStr">
        <is>
          <t>Utility and C&amp;I</t>
        </is>
      </c>
      <c r="E1572" s="3" t="n"/>
      <c r="F1572" s="3" t="inlineStr">
        <is>
          <t>Closed</t>
        </is>
      </c>
      <c r="G1572" s="3" t="inlineStr">
        <is>
          <t>Chandrashekar Patidar</t>
        </is>
      </c>
      <c r="H1572" s="3" t="n">
        <v>7879764773</v>
      </c>
      <c r="I1572" s="11" t="inlineStr">
        <is>
          <t>PE26032601</t>
        </is>
      </c>
      <c r="J1572" s="3" t="inlineStr">
        <is>
          <t>Module Diode Failure</t>
        </is>
      </c>
      <c r="K1572" s="3" t="inlineStr">
        <is>
          <t>Sadla</t>
        </is>
      </c>
      <c r="L1572" s="3" t="inlineStr">
        <is>
          <t>Gujarat</t>
        </is>
      </c>
      <c r="M1572" s="9" t="inlineStr">
        <is>
          <t>NS</t>
        </is>
      </c>
      <c r="N1572" s="3" t="inlineStr">
        <is>
          <t>Cold Soldering</t>
        </is>
      </c>
      <c r="O1572" s="3" t="n">
        <v>570</v>
      </c>
      <c r="P1572" s="9" t="inlineStr">
        <is>
          <t>NSMI24060106719</t>
        </is>
      </c>
      <c r="Q1572" s="54">
        <f>MID(P1572,5,2)</f>
        <v/>
      </c>
      <c r="R1572" s="53">
        <f>MID(P1572,7,2)</f>
        <v/>
      </c>
      <c r="S1572" s="3" t="inlineStr">
        <is>
          <t>G2G</t>
        </is>
      </c>
      <c r="T1572" s="3" t="inlineStr">
        <is>
          <t>P4</t>
        </is>
      </c>
      <c r="U1572" s="3" t="inlineStr">
        <is>
          <t>N JB Cold Soldering</t>
        </is>
      </c>
      <c r="V1572" s="3" t="inlineStr">
        <is>
          <t>Soldering</t>
        </is>
      </c>
      <c r="W1572" s="3" t="inlineStr">
        <is>
          <t>Repair</t>
        </is>
      </c>
      <c r="X1572" s="18" t="n">
        <v>46162</v>
      </c>
      <c r="Y1572" s="3">
        <f>X1572-A1572</f>
        <v/>
      </c>
      <c r="Z1572" s="18" t="n">
        <v>46162</v>
      </c>
      <c r="AA1572" s="15" t="n"/>
      <c r="AB1572" s="15" t="n"/>
    </row>
    <row r="1573" hidden="1" s="233">
      <c r="A1573" s="6" t="n">
        <v>46107</v>
      </c>
      <c r="B1573" s="3" t="n">
        <v>2026</v>
      </c>
      <c r="C1573" s="3" t="inlineStr">
        <is>
          <t>Blupine</t>
        </is>
      </c>
      <c r="D1573" s="3" t="inlineStr">
        <is>
          <t>Utility and C&amp;I</t>
        </is>
      </c>
      <c r="E1573" s="3" t="n"/>
      <c r="F1573" s="3" t="inlineStr">
        <is>
          <t>Closed</t>
        </is>
      </c>
      <c r="G1573" s="3" t="inlineStr">
        <is>
          <t>Chandrashekar Patidar</t>
        </is>
      </c>
      <c r="H1573" s="3" t="n">
        <v>7879764773</v>
      </c>
      <c r="I1573" s="11" t="inlineStr">
        <is>
          <t>PE26032601</t>
        </is>
      </c>
      <c r="J1573" s="3" t="inlineStr">
        <is>
          <t>Module Diode Failure</t>
        </is>
      </c>
      <c r="K1573" s="3" t="inlineStr">
        <is>
          <t>Sadla</t>
        </is>
      </c>
      <c r="L1573" s="3" t="inlineStr">
        <is>
          <t>Gujarat</t>
        </is>
      </c>
      <c r="M1573" s="9" t="inlineStr">
        <is>
          <t>PS</t>
        </is>
      </c>
      <c r="N1573" s="3" t="inlineStr">
        <is>
          <t>Cold Soldering</t>
        </is>
      </c>
      <c r="O1573" s="3" t="n">
        <v>570</v>
      </c>
      <c r="P1573" s="9" t="inlineStr">
        <is>
          <t>NSMI24060102519</t>
        </is>
      </c>
      <c r="Q1573" s="54">
        <f>MID(P1573,5,2)</f>
        <v/>
      </c>
      <c r="R1573" s="53">
        <f>MID(P1573,7,2)</f>
        <v/>
      </c>
      <c r="S1573" s="3" t="inlineStr">
        <is>
          <t>G2G</t>
        </is>
      </c>
      <c r="T1573" s="3" t="inlineStr">
        <is>
          <t>P4</t>
        </is>
      </c>
      <c r="U1573" s="3" t="inlineStr">
        <is>
          <t>P JB Cold Soldering</t>
        </is>
      </c>
      <c r="V1573" s="3" t="inlineStr">
        <is>
          <t>Soldering</t>
        </is>
      </c>
      <c r="W1573" s="3" t="inlineStr">
        <is>
          <t>Repair</t>
        </is>
      </c>
      <c r="X1573" s="18" t="n">
        <v>46162</v>
      </c>
      <c r="Y1573" s="3">
        <f>X1573-A1573</f>
        <v/>
      </c>
      <c r="Z1573" s="18" t="n">
        <v>46162</v>
      </c>
      <c r="AA1573" s="15" t="n"/>
      <c r="AB1573" s="15" t="n"/>
    </row>
    <row r="1574" hidden="1" s="233">
      <c r="A1574" s="6" t="n">
        <v>46107</v>
      </c>
      <c r="B1574" s="3" t="n">
        <v>2026</v>
      </c>
      <c r="C1574" s="3" t="inlineStr">
        <is>
          <t>Blupine</t>
        </is>
      </c>
      <c r="D1574" s="3" t="inlineStr">
        <is>
          <t>Utility and C&amp;I</t>
        </is>
      </c>
      <c r="E1574" s="3" t="n"/>
      <c r="F1574" s="3" t="inlineStr">
        <is>
          <t>Closed</t>
        </is>
      </c>
      <c r="G1574" s="3" t="inlineStr">
        <is>
          <t>Chandrashekar Patidar</t>
        </is>
      </c>
      <c r="H1574" s="3" t="n">
        <v>7879764773</v>
      </c>
      <c r="I1574" s="11" t="inlineStr">
        <is>
          <t>PE26032601</t>
        </is>
      </c>
      <c r="J1574" s="3" t="inlineStr">
        <is>
          <t>Module Diode Failure</t>
        </is>
      </c>
      <c r="K1574" s="3" t="inlineStr">
        <is>
          <t>Sadla</t>
        </is>
      </c>
      <c r="L1574" s="3" t="inlineStr">
        <is>
          <t>Gujarat</t>
        </is>
      </c>
      <c r="M1574" s="9" t="inlineStr">
        <is>
          <t>OK</t>
        </is>
      </c>
      <c r="N1574" s="3" t="inlineStr">
        <is>
          <t>No Issue</t>
        </is>
      </c>
      <c r="O1574" s="3" t="n">
        <v>570</v>
      </c>
      <c r="P1574" s="9" t="inlineStr">
        <is>
          <t>NSMI24060134579</t>
        </is>
      </c>
      <c r="Q1574" s="54">
        <f>MID(P1574,5,2)</f>
        <v/>
      </c>
      <c r="R1574" s="53">
        <f>MID(P1574,7,2)</f>
        <v/>
      </c>
      <c r="S1574" s="3" t="inlineStr">
        <is>
          <t>G2G</t>
        </is>
      </c>
      <c r="T1574" s="3" t="inlineStr">
        <is>
          <t>P4</t>
        </is>
      </c>
      <c r="U1574" s="19" t="inlineStr">
        <is>
          <t>No Issue Found</t>
        </is>
      </c>
      <c r="V1574" s="19" t="inlineStr">
        <is>
          <t>Found OK</t>
        </is>
      </c>
      <c r="W1574" s="3" t="inlineStr">
        <is>
          <t>Repair</t>
        </is>
      </c>
      <c r="X1574" s="18" t="n">
        <v>46162</v>
      </c>
      <c r="Y1574" s="3">
        <f>X1574-A1574</f>
        <v/>
      </c>
      <c r="Z1574" s="18" t="n">
        <v>46162</v>
      </c>
      <c r="AA1574" s="15" t="n"/>
      <c r="AB1574" s="15" t="n"/>
    </row>
    <row r="1575" hidden="1" s="233">
      <c r="A1575" s="6" t="n">
        <v>46107</v>
      </c>
      <c r="B1575" s="3" t="n">
        <v>2026</v>
      </c>
      <c r="C1575" s="3" t="inlineStr">
        <is>
          <t>Blupine</t>
        </is>
      </c>
      <c r="D1575" s="3" t="inlineStr">
        <is>
          <t>Utility and C&amp;I</t>
        </is>
      </c>
      <c r="E1575" s="3" t="n"/>
      <c r="F1575" s="3" t="inlineStr">
        <is>
          <t>Closed</t>
        </is>
      </c>
      <c r="G1575" s="3" t="inlineStr">
        <is>
          <t>Chandrashekar Patidar</t>
        </is>
      </c>
      <c r="H1575" s="3" t="n">
        <v>7879764773</v>
      </c>
      <c r="I1575" s="11" t="inlineStr">
        <is>
          <t>PE26032601</t>
        </is>
      </c>
      <c r="J1575" s="3" t="inlineStr">
        <is>
          <t>Module Diode Failure</t>
        </is>
      </c>
      <c r="K1575" s="3" t="inlineStr">
        <is>
          <t>Sadla</t>
        </is>
      </c>
      <c r="L1575" s="3" t="inlineStr">
        <is>
          <t>Gujarat</t>
        </is>
      </c>
      <c r="M1575" s="9" t="inlineStr">
        <is>
          <t>NS</t>
        </is>
      </c>
      <c r="N1575" s="3" t="inlineStr">
        <is>
          <t>Cold Soldering</t>
        </is>
      </c>
      <c r="O1575" s="3" t="n">
        <v>570</v>
      </c>
      <c r="P1575" s="9" t="inlineStr">
        <is>
          <t>NSMI24060113272</t>
        </is>
      </c>
      <c r="Q1575" s="54">
        <f>MID(P1575,5,2)</f>
        <v/>
      </c>
      <c r="R1575" s="53">
        <f>MID(P1575,7,2)</f>
        <v/>
      </c>
      <c r="S1575" s="3" t="inlineStr">
        <is>
          <t>G2G</t>
        </is>
      </c>
      <c r="T1575" s="3" t="inlineStr">
        <is>
          <t>P4</t>
        </is>
      </c>
      <c r="U1575" s="3" t="inlineStr">
        <is>
          <t>N JB Cold Soldering</t>
        </is>
      </c>
      <c r="V1575" s="3" t="inlineStr">
        <is>
          <t>Soldering</t>
        </is>
      </c>
      <c r="W1575" s="3" t="inlineStr">
        <is>
          <t>Repair</t>
        </is>
      </c>
      <c r="X1575" s="18" t="n">
        <v>46162</v>
      </c>
      <c r="Y1575" s="3">
        <f>X1575-A1575</f>
        <v/>
      </c>
      <c r="Z1575" s="18" t="n">
        <v>46162</v>
      </c>
      <c r="AA1575" s="15" t="n"/>
      <c r="AB1575" s="15" t="n"/>
    </row>
    <row r="1576" hidden="1" s="233">
      <c r="A1576" s="6" t="n">
        <v>46107</v>
      </c>
      <c r="B1576" s="3" t="n">
        <v>2026</v>
      </c>
      <c r="C1576" s="3" t="inlineStr">
        <is>
          <t>Blupine</t>
        </is>
      </c>
      <c r="D1576" s="3" t="inlineStr">
        <is>
          <t>Utility and C&amp;I</t>
        </is>
      </c>
      <c r="E1576" s="3" t="n"/>
      <c r="F1576" s="3" t="inlineStr">
        <is>
          <t>Closed</t>
        </is>
      </c>
      <c r="G1576" s="3" t="inlineStr">
        <is>
          <t>Chandrashekar Patidar</t>
        </is>
      </c>
      <c r="H1576" s="3" t="n">
        <v>7879764773</v>
      </c>
      <c r="I1576" s="11" t="inlineStr">
        <is>
          <t>PE26032601</t>
        </is>
      </c>
      <c r="J1576" s="3" t="inlineStr">
        <is>
          <t>Module Diode Failure</t>
        </is>
      </c>
      <c r="K1576" s="3" t="inlineStr">
        <is>
          <t>Sadla</t>
        </is>
      </c>
      <c r="L1576" s="3" t="inlineStr">
        <is>
          <t>Gujarat</t>
        </is>
      </c>
      <c r="M1576" s="9" t="inlineStr">
        <is>
          <t>PR</t>
        </is>
      </c>
      <c r="N1576" s="3" t="inlineStr">
        <is>
          <t>JB Issue</t>
        </is>
      </c>
      <c r="O1576" s="3" t="n">
        <v>570</v>
      </c>
      <c r="P1576" s="9" t="inlineStr">
        <is>
          <t>NSMI24060113429</t>
        </is>
      </c>
      <c r="Q1576" s="54">
        <f>MID(P1576,5,2)</f>
        <v/>
      </c>
      <c r="R1576" s="53">
        <f>MID(P1576,7,2)</f>
        <v/>
      </c>
      <c r="S1576" s="3" t="inlineStr">
        <is>
          <t>G2G</t>
        </is>
      </c>
      <c r="T1576" s="3" t="inlineStr">
        <is>
          <t>P4</t>
        </is>
      </c>
      <c r="U1576" s="3" t="inlineStr">
        <is>
          <t>P JB Issue</t>
        </is>
      </c>
      <c r="V1576" s="15" t="inlineStr">
        <is>
          <t>JB Changed</t>
        </is>
      </c>
      <c r="W1576" s="3" t="inlineStr">
        <is>
          <t>Repair</t>
        </is>
      </c>
      <c r="X1576" s="18" t="n">
        <v>46162</v>
      </c>
      <c r="Y1576" s="3">
        <f>X1576-A1576</f>
        <v/>
      </c>
      <c r="Z1576" s="18" t="n">
        <v>46162</v>
      </c>
      <c r="AA1576" s="15" t="n"/>
      <c r="AB1576" s="15" t="n"/>
    </row>
    <row r="1577" hidden="1" s="233">
      <c r="A1577" s="6" t="n">
        <v>46107</v>
      </c>
      <c r="B1577" s="3" t="n">
        <v>2026</v>
      </c>
      <c r="C1577" s="3" t="inlineStr">
        <is>
          <t>Blupine</t>
        </is>
      </c>
      <c r="D1577" s="3" t="inlineStr">
        <is>
          <t>Utility and C&amp;I</t>
        </is>
      </c>
      <c r="E1577" s="3" t="n"/>
      <c r="F1577" s="3" t="inlineStr">
        <is>
          <t>Closed</t>
        </is>
      </c>
      <c r="G1577" s="3" t="inlineStr">
        <is>
          <t>Chandrashekar Patidar</t>
        </is>
      </c>
      <c r="H1577" s="3" t="n">
        <v>7879764773</v>
      </c>
      <c r="I1577" s="11" t="inlineStr">
        <is>
          <t>PE26032601</t>
        </is>
      </c>
      <c r="J1577" s="3" t="inlineStr">
        <is>
          <t>Module Diode Failure</t>
        </is>
      </c>
      <c r="K1577" s="3" t="inlineStr">
        <is>
          <t>Sadla</t>
        </is>
      </c>
      <c r="L1577" s="3" t="inlineStr">
        <is>
          <t>Gujarat</t>
        </is>
      </c>
      <c r="M1577" s="9" t="inlineStr">
        <is>
          <t>PR</t>
        </is>
      </c>
      <c r="N1577" s="3" t="inlineStr">
        <is>
          <t>JB Issue</t>
        </is>
      </c>
      <c r="O1577" s="3" t="n">
        <v>570</v>
      </c>
      <c r="P1577" s="9" t="inlineStr">
        <is>
          <t>NSMI24050061573</t>
        </is>
      </c>
      <c r="Q1577" s="54">
        <f>MID(P1577,5,2)</f>
        <v/>
      </c>
      <c r="R1577" s="53">
        <f>MID(P1577,7,2)</f>
        <v/>
      </c>
      <c r="S1577" s="3" t="inlineStr">
        <is>
          <t>G2G</t>
        </is>
      </c>
      <c r="T1577" s="3" t="inlineStr">
        <is>
          <t>P4</t>
        </is>
      </c>
      <c r="U1577" s="3" t="inlineStr">
        <is>
          <t>P JB Issue</t>
        </is>
      </c>
      <c r="V1577" s="15" t="inlineStr">
        <is>
          <t>JB Changed</t>
        </is>
      </c>
      <c r="W1577" s="3" t="inlineStr">
        <is>
          <t>Repair</t>
        </is>
      </c>
      <c r="X1577" s="18" t="n">
        <v>46162</v>
      </c>
      <c r="Y1577" s="3">
        <f>X1577-A1577</f>
        <v/>
      </c>
      <c r="Z1577" s="18" t="n">
        <v>46162</v>
      </c>
      <c r="AA1577" s="15" t="n"/>
      <c r="AB1577" s="15" t="n"/>
    </row>
    <row r="1578" hidden="1" s="233">
      <c r="A1578" s="6" t="n">
        <v>46107</v>
      </c>
      <c r="B1578" s="3" t="n">
        <v>2026</v>
      </c>
      <c r="C1578" s="3" t="inlineStr">
        <is>
          <t>Blupine</t>
        </is>
      </c>
      <c r="D1578" s="3" t="inlineStr">
        <is>
          <t>Utility and C&amp;I</t>
        </is>
      </c>
      <c r="E1578" s="3" t="n"/>
      <c r="F1578" s="3" t="inlineStr">
        <is>
          <t>Closed</t>
        </is>
      </c>
      <c r="G1578" s="3" t="inlineStr">
        <is>
          <t>Chandrashekar Patidar</t>
        </is>
      </c>
      <c r="H1578" s="3" t="n">
        <v>7879764773</v>
      </c>
      <c r="I1578" s="11" t="inlineStr">
        <is>
          <t>PE26032601</t>
        </is>
      </c>
      <c r="J1578" s="3" t="inlineStr">
        <is>
          <t>Module Diode Failure</t>
        </is>
      </c>
      <c r="K1578" s="3" t="inlineStr">
        <is>
          <t>Sadla</t>
        </is>
      </c>
      <c r="L1578" s="3" t="inlineStr">
        <is>
          <t>Gujarat</t>
        </is>
      </c>
      <c r="M1578" s="9" t="inlineStr">
        <is>
          <t>NS</t>
        </is>
      </c>
      <c r="N1578" s="3" t="inlineStr">
        <is>
          <t>Cold Soldering</t>
        </is>
      </c>
      <c r="O1578" s="3" t="n">
        <v>570</v>
      </c>
      <c r="P1578" s="9" t="inlineStr">
        <is>
          <t>NSMI24060132410</t>
        </is>
      </c>
      <c r="Q1578" s="54">
        <f>MID(P1578,5,2)</f>
        <v/>
      </c>
      <c r="R1578" s="53">
        <f>MID(P1578,7,2)</f>
        <v/>
      </c>
      <c r="S1578" s="3" t="inlineStr">
        <is>
          <t>G2G</t>
        </is>
      </c>
      <c r="T1578" s="3" t="inlineStr">
        <is>
          <t>P4</t>
        </is>
      </c>
      <c r="U1578" s="3" t="inlineStr">
        <is>
          <t>N JB Cold Soldering</t>
        </is>
      </c>
      <c r="V1578" s="3" t="inlineStr">
        <is>
          <t>Soldering</t>
        </is>
      </c>
      <c r="W1578" s="3" t="inlineStr">
        <is>
          <t>Repair</t>
        </is>
      </c>
      <c r="X1578" s="18" t="n">
        <v>46162</v>
      </c>
      <c r="Y1578" s="3">
        <f>X1578-A1578</f>
        <v/>
      </c>
      <c r="Z1578" s="18" t="n">
        <v>46162</v>
      </c>
      <c r="AA1578" s="15" t="n"/>
      <c r="AB1578" s="15" t="n"/>
    </row>
    <row r="1579" hidden="1" s="233">
      <c r="A1579" s="6" t="n">
        <v>46107</v>
      </c>
      <c r="B1579" s="3" t="n">
        <v>2026</v>
      </c>
      <c r="C1579" s="3" t="inlineStr">
        <is>
          <t>Blupine</t>
        </is>
      </c>
      <c r="D1579" s="3" t="inlineStr">
        <is>
          <t>Utility and C&amp;I</t>
        </is>
      </c>
      <c r="E1579" s="3" t="n"/>
      <c r="F1579" s="3" t="inlineStr">
        <is>
          <t>Closed</t>
        </is>
      </c>
      <c r="G1579" s="3" t="inlineStr">
        <is>
          <t>Chandrashekar Patidar</t>
        </is>
      </c>
      <c r="H1579" s="3" t="n">
        <v>7879764773</v>
      </c>
      <c r="I1579" s="11" t="inlineStr">
        <is>
          <t>PE26032601</t>
        </is>
      </c>
      <c r="J1579" s="3" t="inlineStr">
        <is>
          <t>Module Diode Failure</t>
        </is>
      </c>
      <c r="K1579" s="3" t="inlineStr">
        <is>
          <t>Sadla</t>
        </is>
      </c>
      <c r="L1579" s="3" t="inlineStr">
        <is>
          <t>Gujarat</t>
        </is>
      </c>
      <c r="M1579" s="9" t="inlineStr">
        <is>
          <t>PS</t>
        </is>
      </c>
      <c r="N1579" s="3" t="inlineStr">
        <is>
          <t>Cold Soldering</t>
        </is>
      </c>
      <c r="O1579" s="3" t="n">
        <v>570</v>
      </c>
      <c r="P1579" s="9" t="inlineStr">
        <is>
          <t>NSMI24060124944</t>
        </is>
      </c>
      <c r="Q1579" s="54">
        <f>MID(P1579,5,2)</f>
        <v/>
      </c>
      <c r="R1579" s="53">
        <f>MID(P1579,7,2)</f>
        <v/>
      </c>
      <c r="S1579" s="3" t="inlineStr">
        <is>
          <t>G2G</t>
        </is>
      </c>
      <c r="T1579" s="3" t="inlineStr">
        <is>
          <t>P4</t>
        </is>
      </c>
      <c r="U1579" s="3" t="inlineStr">
        <is>
          <t>P JB Cold Soldering</t>
        </is>
      </c>
      <c r="V1579" s="3" t="inlineStr">
        <is>
          <t>Soldering</t>
        </is>
      </c>
      <c r="W1579" s="3" t="inlineStr">
        <is>
          <t>Repair</t>
        </is>
      </c>
      <c r="X1579" s="18" t="n">
        <v>46162</v>
      </c>
      <c r="Y1579" s="3">
        <f>X1579-A1579</f>
        <v/>
      </c>
      <c r="Z1579" s="18" t="n">
        <v>46162</v>
      </c>
      <c r="AA1579" s="15" t="n"/>
      <c r="AB1579" s="15" t="n"/>
    </row>
    <row r="1580" hidden="1" s="233">
      <c r="A1580" s="6" t="n">
        <v>46107</v>
      </c>
      <c r="B1580" s="3" t="n">
        <v>2026</v>
      </c>
      <c r="C1580" s="3" t="inlineStr">
        <is>
          <t>Blupine</t>
        </is>
      </c>
      <c r="D1580" s="3" t="inlineStr">
        <is>
          <t>Utility and C&amp;I</t>
        </is>
      </c>
      <c r="E1580" s="3" t="n"/>
      <c r="F1580" s="3" t="inlineStr">
        <is>
          <t>Closed</t>
        </is>
      </c>
      <c r="G1580" s="3" t="inlineStr">
        <is>
          <t>Chandrashekar Patidar</t>
        </is>
      </c>
      <c r="H1580" s="3" t="n">
        <v>7879764773</v>
      </c>
      <c r="I1580" s="11" t="inlineStr">
        <is>
          <t>PE26032601</t>
        </is>
      </c>
      <c r="J1580" s="3" t="inlineStr">
        <is>
          <t>Module Diode Failure</t>
        </is>
      </c>
      <c r="K1580" s="3" t="inlineStr">
        <is>
          <t>Sadla</t>
        </is>
      </c>
      <c r="L1580" s="3" t="inlineStr">
        <is>
          <t>Gujarat</t>
        </is>
      </c>
      <c r="M1580" s="9" t="inlineStr">
        <is>
          <t>OK</t>
        </is>
      </c>
      <c r="N1580" s="3" t="inlineStr">
        <is>
          <t>No Issue</t>
        </is>
      </c>
      <c r="O1580" s="3" t="n">
        <v>570</v>
      </c>
      <c r="P1580" s="9" t="inlineStr">
        <is>
          <t>NSMI24060134480</t>
        </is>
      </c>
      <c r="Q1580" s="54">
        <f>MID(P1580,5,2)</f>
        <v/>
      </c>
      <c r="R1580" s="53">
        <f>MID(P1580,7,2)</f>
        <v/>
      </c>
      <c r="S1580" s="3" t="inlineStr">
        <is>
          <t>G2G</t>
        </is>
      </c>
      <c r="T1580" s="3" t="inlineStr">
        <is>
          <t>P4</t>
        </is>
      </c>
      <c r="U1580" s="19" t="inlineStr">
        <is>
          <t>No Issue Found</t>
        </is>
      </c>
      <c r="V1580" s="19" t="inlineStr">
        <is>
          <t>Found OK</t>
        </is>
      </c>
      <c r="W1580" s="3" t="inlineStr">
        <is>
          <t>Repair</t>
        </is>
      </c>
      <c r="X1580" s="18" t="n">
        <v>46162</v>
      </c>
      <c r="Y1580" s="3">
        <f>X1580-A1580</f>
        <v/>
      </c>
      <c r="Z1580" s="18" t="n">
        <v>46162</v>
      </c>
      <c r="AA1580" s="15" t="n"/>
      <c r="AB1580" s="15" t="n"/>
    </row>
    <row r="1581" hidden="1" s="233">
      <c r="A1581" s="6" t="n">
        <v>46107</v>
      </c>
      <c r="B1581" s="3" t="n">
        <v>2026</v>
      </c>
      <c r="C1581" s="3" t="inlineStr">
        <is>
          <t>Blupine</t>
        </is>
      </c>
      <c r="D1581" s="3" t="inlineStr">
        <is>
          <t>Utility and C&amp;I</t>
        </is>
      </c>
      <c r="E1581" s="3" t="n"/>
      <c r="F1581" s="3" t="inlineStr">
        <is>
          <t>Closed</t>
        </is>
      </c>
      <c r="G1581" s="3" t="inlineStr">
        <is>
          <t>Chandrashekar Patidar</t>
        </is>
      </c>
      <c r="H1581" s="3" t="n">
        <v>7879764773</v>
      </c>
      <c r="I1581" s="11" t="inlineStr">
        <is>
          <t>PE26032601</t>
        </is>
      </c>
      <c r="J1581" s="3" t="inlineStr">
        <is>
          <t>Module Diode Failure</t>
        </is>
      </c>
      <c r="K1581" s="3" t="inlineStr">
        <is>
          <t>Sadla</t>
        </is>
      </c>
      <c r="L1581" s="3" t="inlineStr">
        <is>
          <t>Gujarat</t>
        </is>
      </c>
      <c r="M1581" s="9" t="inlineStr">
        <is>
          <t>NS</t>
        </is>
      </c>
      <c r="N1581" s="3" t="inlineStr">
        <is>
          <t>Cold Soldering</t>
        </is>
      </c>
      <c r="O1581" s="3" t="n">
        <v>570</v>
      </c>
      <c r="P1581" s="9" t="inlineStr">
        <is>
          <t>NSMI24060123051</t>
        </is>
      </c>
      <c r="Q1581" s="54">
        <f>MID(P1581,5,2)</f>
        <v/>
      </c>
      <c r="R1581" s="53">
        <f>MID(P1581,7,2)</f>
        <v/>
      </c>
      <c r="S1581" s="3" t="inlineStr">
        <is>
          <t>G2G</t>
        </is>
      </c>
      <c r="T1581" s="3" t="inlineStr">
        <is>
          <t>P4</t>
        </is>
      </c>
      <c r="U1581" s="3" t="inlineStr">
        <is>
          <t>N JB Cold Soldering</t>
        </is>
      </c>
      <c r="V1581" s="3" t="inlineStr">
        <is>
          <t>Soldering</t>
        </is>
      </c>
      <c r="W1581" s="3" t="inlineStr">
        <is>
          <t>Repair</t>
        </is>
      </c>
      <c r="X1581" s="18" t="n">
        <v>46162</v>
      </c>
      <c r="Y1581" s="3">
        <f>X1581-A1581</f>
        <v/>
      </c>
      <c r="Z1581" s="18" t="n">
        <v>46162</v>
      </c>
      <c r="AA1581" s="15" t="n"/>
      <c r="AB1581" s="15" t="n"/>
    </row>
    <row r="1582" hidden="1" s="233">
      <c r="A1582" s="6" t="n">
        <v>46107</v>
      </c>
      <c r="B1582" s="3" t="n">
        <v>2026</v>
      </c>
      <c r="C1582" s="3" t="inlineStr">
        <is>
          <t>Blupine</t>
        </is>
      </c>
      <c r="D1582" s="3" t="inlineStr">
        <is>
          <t>Utility and C&amp;I</t>
        </is>
      </c>
      <c r="E1582" s="3" t="n"/>
      <c r="F1582" s="3" t="inlineStr">
        <is>
          <t>Closed</t>
        </is>
      </c>
      <c r="G1582" s="3" t="inlineStr">
        <is>
          <t>Chandrashekar Patidar</t>
        </is>
      </c>
      <c r="H1582" s="3" t="n">
        <v>7879764773</v>
      </c>
      <c r="I1582" s="11" t="inlineStr">
        <is>
          <t>PE26032601</t>
        </is>
      </c>
      <c r="J1582" s="3" t="inlineStr">
        <is>
          <t>Module Diode Failure</t>
        </is>
      </c>
      <c r="K1582" s="3" t="inlineStr">
        <is>
          <t>Sadla</t>
        </is>
      </c>
      <c r="L1582" s="3" t="inlineStr">
        <is>
          <t>Gujarat</t>
        </is>
      </c>
      <c r="M1582" s="9" t="inlineStr">
        <is>
          <t>PS</t>
        </is>
      </c>
      <c r="N1582" s="3" t="inlineStr">
        <is>
          <t>Cold Soldering</t>
        </is>
      </c>
      <c r="O1582" s="3" t="n">
        <v>570</v>
      </c>
      <c r="P1582" s="9" t="inlineStr">
        <is>
          <t>NSMI24060127360</t>
        </is>
      </c>
      <c r="Q1582" s="54">
        <f>MID(P1582,5,2)</f>
        <v/>
      </c>
      <c r="R1582" s="53">
        <f>MID(P1582,7,2)</f>
        <v/>
      </c>
      <c r="S1582" s="3" t="inlineStr">
        <is>
          <t>G2G</t>
        </is>
      </c>
      <c r="T1582" s="3" t="inlineStr">
        <is>
          <t>P4</t>
        </is>
      </c>
      <c r="U1582" s="3" t="inlineStr">
        <is>
          <t>P JB Cold Soldering</t>
        </is>
      </c>
      <c r="V1582" s="3" t="inlineStr">
        <is>
          <t>Soldering</t>
        </is>
      </c>
      <c r="W1582" s="3" t="inlineStr">
        <is>
          <t>Repair</t>
        </is>
      </c>
      <c r="X1582" s="18" t="n">
        <v>46162</v>
      </c>
      <c r="Y1582" s="3">
        <f>X1582-A1582</f>
        <v/>
      </c>
      <c r="Z1582" s="18" t="n">
        <v>46162</v>
      </c>
      <c r="AA1582" s="15" t="n"/>
      <c r="AB1582" s="15" t="n"/>
    </row>
    <row r="1583" hidden="1" s="233">
      <c r="A1583" s="6" t="n">
        <v>46107</v>
      </c>
      <c r="B1583" s="3" t="n">
        <v>2026</v>
      </c>
      <c r="C1583" s="3" t="inlineStr">
        <is>
          <t>Blupine</t>
        </is>
      </c>
      <c r="D1583" s="3" t="inlineStr">
        <is>
          <t>Utility and C&amp;I</t>
        </is>
      </c>
      <c r="E1583" s="3" t="n"/>
      <c r="F1583" s="3" t="inlineStr">
        <is>
          <t>Closed</t>
        </is>
      </c>
      <c r="G1583" s="3" t="inlineStr">
        <is>
          <t>Chandrashekar Patidar</t>
        </is>
      </c>
      <c r="H1583" s="3" t="n">
        <v>7879764773</v>
      </c>
      <c r="I1583" s="11" t="inlineStr">
        <is>
          <t>PE26032601</t>
        </is>
      </c>
      <c r="J1583" s="3" t="inlineStr">
        <is>
          <t>Module Diode Failure</t>
        </is>
      </c>
      <c r="K1583" s="3" t="inlineStr">
        <is>
          <t>Sadla</t>
        </is>
      </c>
      <c r="L1583" s="3" t="inlineStr">
        <is>
          <t>Gujarat</t>
        </is>
      </c>
      <c r="M1583" s="9" t="inlineStr">
        <is>
          <t>PS</t>
        </is>
      </c>
      <c r="N1583" s="3" t="inlineStr">
        <is>
          <t>Cold Soldering</t>
        </is>
      </c>
      <c r="O1583" s="3" t="n">
        <v>570</v>
      </c>
      <c r="P1583" s="9" t="inlineStr">
        <is>
          <t>NSMI24060120467</t>
        </is>
      </c>
      <c r="Q1583" s="54">
        <f>MID(P1583,5,2)</f>
        <v/>
      </c>
      <c r="R1583" s="53">
        <f>MID(P1583,7,2)</f>
        <v/>
      </c>
      <c r="S1583" s="3" t="inlineStr">
        <is>
          <t>G2G</t>
        </is>
      </c>
      <c r="T1583" s="3" t="inlineStr">
        <is>
          <t>P4</t>
        </is>
      </c>
      <c r="U1583" s="3" t="inlineStr">
        <is>
          <t>P JB Cold Soldering</t>
        </is>
      </c>
      <c r="V1583" s="3" t="inlineStr">
        <is>
          <t>Soldering</t>
        </is>
      </c>
      <c r="W1583" s="3" t="inlineStr">
        <is>
          <t>Repair</t>
        </is>
      </c>
      <c r="X1583" s="18" t="n">
        <v>46162</v>
      </c>
      <c r="Y1583" s="3">
        <f>X1583-A1583</f>
        <v/>
      </c>
      <c r="Z1583" s="18" t="n">
        <v>46162</v>
      </c>
      <c r="AA1583" s="15" t="n"/>
      <c r="AB1583" s="15" t="n"/>
    </row>
    <row r="1584" hidden="1" s="233">
      <c r="A1584" s="6" t="n">
        <v>46107</v>
      </c>
      <c r="B1584" s="3" t="n">
        <v>2026</v>
      </c>
      <c r="C1584" s="3" t="inlineStr">
        <is>
          <t>Blupine</t>
        </is>
      </c>
      <c r="D1584" s="3" t="inlineStr">
        <is>
          <t>Utility and C&amp;I</t>
        </is>
      </c>
      <c r="E1584" s="3" t="n"/>
      <c r="F1584" s="3" t="inlineStr">
        <is>
          <t>Closed</t>
        </is>
      </c>
      <c r="G1584" s="3" t="inlineStr">
        <is>
          <t>Chandrashekar Patidar</t>
        </is>
      </c>
      <c r="H1584" s="3" t="n">
        <v>7879764773</v>
      </c>
      <c r="I1584" s="11" t="inlineStr">
        <is>
          <t>PE26032601</t>
        </is>
      </c>
      <c r="J1584" s="3" t="inlineStr">
        <is>
          <t>Module Diode Failure</t>
        </is>
      </c>
      <c r="K1584" s="3" t="inlineStr">
        <is>
          <t>Sadla</t>
        </is>
      </c>
      <c r="L1584" s="3" t="inlineStr">
        <is>
          <t>Gujarat</t>
        </is>
      </c>
      <c r="M1584" s="9" t="inlineStr">
        <is>
          <t>PR</t>
        </is>
      </c>
      <c r="N1584" s="3" t="inlineStr">
        <is>
          <t>JB Issue</t>
        </is>
      </c>
      <c r="O1584" s="3" t="n">
        <v>570</v>
      </c>
      <c r="P1584" s="9" t="inlineStr">
        <is>
          <t>NSMI24060104854</t>
        </is>
      </c>
      <c r="Q1584" s="54">
        <f>MID(P1584,5,2)</f>
        <v/>
      </c>
      <c r="R1584" s="53">
        <f>MID(P1584,7,2)</f>
        <v/>
      </c>
      <c r="S1584" s="3" t="inlineStr">
        <is>
          <t>G2G</t>
        </is>
      </c>
      <c r="T1584" s="3" t="inlineStr">
        <is>
          <t>P4</t>
        </is>
      </c>
      <c r="U1584" s="3" t="inlineStr">
        <is>
          <t>P JB Issue</t>
        </is>
      </c>
      <c r="V1584" s="15" t="inlineStr">
        <is>
          <t>JB Changed</t>
        </is>
      </c>
      <c r="W1584" s="3" t="inlineStr">
        <is>
          <t>Repair</t>
        </is>
      </c>
      <c r="X1584" s="18" t="n">
        <v>46162</v>
      </c>
      <c r="Y1584" s="3">
        <f>X1584-A1584</f>
        <v/>
      </c>
      <c r="Z1584" s="18" t="n">
        <v>46162</v>
      </c>
      <c r="AA1584" s="15" t="n"/>
      <c r="AB1584" s="15" t="n"/>
    </row>
    <row r="1585" hidden="1" s="233">
      <c r="A1585" s="6" t="n">
        <v>46107</v>
      </c>
      <c r="B1585" s="3" t="n">
        <v>2026</v>
      </c>
      <c r="C1585" s="3" t="inlineStr">
        <is>
          <t>Blupine</t>
        </is>
      </c>
      <c r="D1585" s="3" t="inlineStr">
        <is>
          <t>Utility and C&amp;I</t>
        </is>
      </c>
      <c r="E1585" s="3" t="n"/>
      <c r="F1585" s="3" t="inlineStr">
        <is>
          <t>Closed</t>
        </is>
      </c>
      <c r="G1585" s="3" t="inlineStr">
        <is>
          <t>Chandrashekar Patidar</t>
        </is>
      </c>
      <c r="H1585" s="3" t="n">
        <v>7879764773</v>
      </c>
      <c r="I1585" s="11" t="inlineStr">
        <is>
          <t>PE26032601</t>
        </is>
      </c>
      <c r="J1585" s="3" t="inlineStr">
        <is>
          <t>Module Diode Failure</t>
        </is>
      </c>
      <c r="K1585" s="3" t="inlineStr">
        <is>
          <t>Sadla</t>
        </is>
      </c>
      <c r="L1585" s="3" t="inlineStr">
        <is>
          <t>Gujarat</t>
        </is>
      </c>
      <c r="M1585" s="9" t="inlineStr">
        <is>
          <t>NS</t>
        </is>
      </c>
      <c r="N1585" s="3" t="inlineStr">
        <is>
          <t>Cold Soldering</t>
        </is>
      </c>
      <c r="O1585" s="3" t="n">
        <v>570</v>
      </c>
      <c r="P1585" s="9" t="inlineStr">
        <is>
          <t>NSMI24060132819</t>
        </is>
      </c>
      <c r="Q1585" s="54">
        <f>MID(P1585,5,2)</f>
        <v/>
      </c>
      <c r="R1585" s="53">
        <f>MID(P1585,7,2)</f>
        <v/>
      </c>
      <c r="S1585" s="3" t="inlineStr">
        <is>
          <t>G2G</t>
        </is>
      </c>
      <c r="T1585" s="3" t="inlineStr">
        <is>
          <t>P4</t>
        </is>
      </c>
      <c r="U1585" s="3" t="inlineStr">
        <is>
          <t>N JB Cold Soldering</t>
        </is>
      </c>
      <c r="V1585" s="3" t="inlineStr">
        <is>
          <t>Soldering</t>
        </is>
      </c>
      <c r="W1585" s="3" t="inlineStr">
        <is>
          <t>Repair</t>
        </is>
      </c>
      <c r="X1585" s="18" t="n">
        <v>46162</v>
      </c>
      <c r="Y1585" s="3">
        <f>X1585-A1585</f>
        <v/>
      </c>
      <c r="Z1585" s="18" t="n">
        <v>46162</v>
      </c>
      <c r="AA1585" s="15" t="n"/>
      <c r="AB1585" s="15" t="n"/>
    </row>
    <row r="1586" hidden="1" s="233">
      <c r="A1586" s="6" t="n">
        <v>46107</v>
      </c>
      <c r="B1586" s="3" t="n">
        <v>2026</v>
      </c>
      <c r="C1586" s="3" t="inlineStr">
        <is>
          <t>Blupine</t>
        </is>
      </c>
      <c r="D1586" s="3" t="inlineStr">
        <is>
          <t>Utility and C&amp;I</t>
        </is>
      </c>
      <c r="E1586" s="3" t="n"/>
      <c r="F1586" s="3" t="inlineStr">
        <is>
          <t>Closed</t>
        </is>
      </c>
      <c r="G1586" s="3" t="inlineStr">
        <is>
          <t>Chandrashekar Patidar</t>
        </is>
      </c>
      <c r="H1586" s="3" t="n">
        <v>7879764773</v>
      </c>
      <c r="I1586" s="11" t="inlineStr">
        <is>
          <t>PE26032601</t>
        </is>
      </c>
      <c r="J1586" s="3" t="inlineStr">
        <is>
          <t>Module Diode Failure</t>
        </is>
      </c>
      <c r="K1586" s="3" t="inlineStr">
        <is>
          <t>Sadla</t>
        </is>
      </c>
      <c r="L1586" s="3" t="inlineStr">
        <is>
          <t>Gujarat</t>
        </is>
      </c>
      <c r="M1586" s="9" t="inlineStr">
        <is>
          <t>NS</t>
        </is>
      </c>
      <c r="N1586" s="3" t="inlineStr">
        <is>
          <t>Cold Soldering</t>
        </is>
      </c>
      <c r="O1586" s="3" t="n">
        <v>570</v>
      </c>
      <c r="P1586" s="9" t="inlineStr">
        <is>
          <t>NSMI24050057169</t>
        </is>
      </c>
      <c r="Q1586" s="54">
        <f>MID(P1586,5,2)</f>
        <v/>
      </c>
      <c r="R1586" s="53">
        <f>MID(P1586,7,2)</f>
        <v/>
      </c>
      <c r="S1586" s="3" t="inlineStr">
        <is>
          <t>G2G</t>
        </is>
      </c>
      <c r="T1586" s="3" t="inlineStr">
        <is>
          <t>P4</t>
        </is>
      </c>
      <c r="U1586" s="3" t="inlineStr">
        <is>
          <t>N JB Cold Soldering</t>
        </is>
      </c>
      <c r="V1586" s="3" t="inlineStr">
        <is>
          <t>Soldering</t>
        </is>
      </c>
      <c r="W1586" s="3" t="inlineStr">
        <is>
          <t>Repair</t>
        </is>
      </c>
      <c r="X1586" s="18" t="n">
        <v>46162</v>
      </c>
      <c r="Y1586" s="3">
        <f>X1586-A1586</f>
        <v/>
      </c>
      <c r="Z1586" s="18" t="n">
        <v>46162</v>
      </c>
      <c r="AA1586" s="15" t="n"/>
      <c r="AB1586" s="15" t="n"/>
    </row>
    <row r="1587" hidden="1" s="233">
      <c r="A1587" s="6" t="n">
        <v>46107</v>
      </c>
      <c r="B1587" s="3" t="n">
        <v>2026</v>
      </c>
      <c r="C1587" s="3" t="inlineStr">
        <is>
          <t>Blupine</t>
        </is>
      </c>
      <c r="D1587" s="3" t="inlineStr">
        <is>
          <t>Utility and C&amp;I</t>
        </is>
      </c>
      <c r="E1587" s="3" t="n"/>
      <c r="F1587" s="3" t="inlineStr">
        <is>
          <t>Closed</t>
        </is>
      </c>
      <c r="G1587" s="3" t="inlineStr">
        <is>
          <t>Chandrashekar Patidar</t>
        </is>
      </c>
      <c r="H1587" s="3" t="n">
        <v>7879764773</v>
      </c>
      <c r="I1587" s="11" t="inlineStr">
        <is>
          <t>PE26032601</t>
        </is>
      </c>
      <c r="J1587" s="3" t="inlineStr">
        <is>
          <t>Module Diode Failure</t>
        </is>
      </c>
      <c r="K1587" s="3" t="inlineStr">
        <is>
          <t>Sadla</t>
        </is>
      </c>
      <c r="L1587" s="3" t="inlineStr">
        <is>
          <t>Gujarat</t>
        </is>
      </c>
      <c r="M1587" s="9" t="inlineStr">
        <is>
          <t>NS</t>
        </is>
      </c>
      <c r="N1587" s="3" t="inlineStr">
        <is>
          <t>Cold Soldering</t>
        </is>
      </c>
      <c r="O1587" s="3" t="n">
        <v>570</v>
      </c>
      <c r="P1587" s="9" t="inlineStr">
        <is>
          <t>NSMI24060108942</t>
        </is>
      </c>
      <c r="Q1587" s="54">
        <f>MID(P1587,5,2)</f>
        <v/>
      </c>
      <c r="R1587" s="53">
        <f>MID(P1587,7,2)</f>
        <v/>
      </c>
      <c r="S1587" s="3" t="inlineStr">
        <is>
          <t>G2G</t>
        </is>
      </c>
      <c r="T1587" s="3" t="inlineStr">
        <is>
          <t>P4</t>
        </is>
      </c>
      <c r="U1587" s="3" t="inlineStr">
        <is>
          <t>N JB Cold Soldering</t>
        </is>
      </c>
      <c r="V1587" s="3" t="inlineStr">
        <is>
          <t>Soldering</t>
        </is>
      </c>
      <c r="W1587" s="3" t="inlineStr">
        <is>
          <t>Repair</t>
        </is>
      </c>
      <c r="X1587" s="18" t="n">
        <v>46162</v>
      </c>
      <c r="Y1587" s="3">
        <f>X1587-A1587</f>
        <v/>
      </c>
      <c r="Z1587" s="18" t="n">
        <v>46162</v>
      </c>
      <c r="AA1587" s="15" t="n"/>
      <c r="AB1587" s="15" t="n"/>
    </row>
    <row r="1588" hidden="1" s="233">
      <c r="A1588" s="6" t="n">
        <v>46107</v>
      </c>
      <c r="B1588" s="3" t="n">
        <v>2026</v>
      </c>
      <c r="C1588" s="3" t="inlineStr">
        <is>
          <t>Blupine</t>
        </is>
      </c>
      <c r="D1588" s="3" t="inlineStr">
        <is>
          <t>Utility and C&amp;I</t>
        </is>
      </c>
      <c r="E1588" s="3" t="n"/>
      <c r="F1588" s="3" t="inlineStr">
        <is>
          <t>Closed</t>
        </is>
      </c>
      <c r="G1588" s="3" t="inlineStr">
        <is>
          <t>Chandrashekar Patidar</t>
        </is>
      </c>
      <c r="H1588" s="3" t="n">
        <v>7879764773</v>
      </c>
      <c r="I1588" s="11" t="inlineStr">
        <is>
          <t>PE26032601</t>
        </is>
      </c>
      <c r="J1588" s="3" t="inlineStr">
        <is>
          <t>Module Diode Failure</t>
        </is>
      </c>
      <c r="K1588" s="3" t="inlineStr">
        <is>
          <t>Sadla</t>
        </is>
      </c>
      <c r="L1588" s="3" t="inlineStr">
        <is>
          <t>Gujarat</t>
        </is>
      </c>
      <c r="M1588" s="9" t="inlineStr">
        <is>
          <t>NS</t>
        </is>
      </c>
      <c r="N1588" s="3" t="inlineStr">
        <is>
          <t>Cold Soldering</t>
        </is>
      </c>
      <c r="O1588" s="3" t="n">
        <v>570</v>
      </c>
      <c r="P1588" s="9" t="inlineStr">
        <is>
          <t>NSMI24060108286</t>
        </is>
      </c>
      <c r="Q1588" s="54">
        <f>MID(P1588,5,2)</f>
        <v/>
      </c>
      <c r="R1588" s="53">
        <f>MID(P1588,7,2)</f>
        <v/>
      </c>
      <c r="S1588" s="3" t="inlineStr">
        <is>
          <t>G2G</t>
        </is>
      </c>
      <c r="T1588" s="3" t="inlineStr">
        <is>
          <t>P4</t>
        </is>
      </c>
      <c r="U1588" s="3" t="inlineStr">
        <is>
          <t>N JB Cold Soldering</t>
        </is>
      </c>
      <c r="V1588" s="3" t="inlineStr">
        <is>
          <t>Soldering</t>
        </is>
      </c>
      <c r="W1588" s="3" t="inlineStr">
        <is>
          <t>Repair</t>
        </is>
      </c>
      <c r="X1588" s="18" t="n">
        <v>46162</v>
      </c>
      <c r="Y1588" s="3">
        <f>X1588-A1588</f>
        <v/>
      </c>
      <c r="Z1588" s="18" t="n">
        <v>46162</v>
      </c>
      <c r="AA1588" s="15" t="n"/>
      <c r="AB1588" s="15" t="n"/>
    </row>
    <row r="1589" hidden="1" s="233">
      <c r="A1589" s="6" t="n">
        <v>46107</v>
      </c>
      <c r="B1589" s="3" t="n">
        <v>2026</v>
      </c>
      <c r="C1589" s="3" t="inlineStr">
        <is>
          <t>Blupine</t>
        </is>
      </c>
      <c r="D1589" s="3" t="inlineStr">
        <is>
          <t>Utility and C&amp;I</t>
        </is>
      </c>
      <c r="E1589" s="3" t="n"/>
      <c r="F1589" s="3" t="inlineStr">
        <is>
          <t>Closed</t>
        </is>
      </c>
      <c r="G1589" s="3" t="inlineStr">
        <is>
          <t>Chandrashekar Patidar</t>
        </is>
      </c>
      <c r="H1589" s="3" t="n">
        <v>7879764773</v>
      </c>
      <c r="I1589" s="11" t="inlineStr">
        <is>
          <t>PE26032601</t>
        </is>
      </c>
      <c r="J1589" s="3" t="inlineStr">
        <is>
          <t>Module Diode Failure</t>
        </is>
      </c>
      <c r="K1589" s="3" t="inlineStr">
        <is>
          <t>Sadla</t>
        </is>
      </c>
      <c r="L1589" s="3" t="inlineStr">
        <is>
          <t>Gujarat</t>
        </is>
      </c>
      <c r="M1589" s="9" t="inlineStr">
        <is>
          <t>PS</t>
        </is>
      </c>
      <c r="N1589" s="3" t="inlineStr">
        <is>
          <t>Cold Soldering</t>
        </is>
      </c>
      <c r="O1589" s="3" t="n">
        <v>570</v>
      </c>
      <c r="P1589" s="9" t="inlineStr">
        <is>
          <t>NSMI24060104437</t>
        </is>
      </c>
      <c r="Q1589" s="54">
        <f>MID(P1589,5,2)</f>
        <v/>
      </c>
      <c r="R1589" s="53">
        <f>MID(P1589,7,2)</f>
        <v/>
      </c>
      <c r="S1589" s="3" t="inlineStr">
        <is>
          <t>G2G</t>
        </is>
      </c>
      <c r="T1589" s="3" t="inlineStr">
        <is>
          <t>P4</t>
        </is>
      </c>
      <c r="U1589" s="3" t="inlineStr">
        <is>
          <t>P JB Cold Soldering</t>
        </is>
      </c>
      <c r="V1589" s="3" t="inlineStr">
        <is>
          <t>Soldering</t>
        </is>
      </c>
      <c r="W1589" s="3" t="inlineStr">
        <is>
          <t>Repair</t>
        </is>
      </c>
      <c r="X1589" s="18" t="n">
        <v>46162</v>
      </c>
      <c r="Y1589" s="3">
        <f>X1589-A1589</f>
        <v/>
      </c>
      <c r="Z1589" s="18" t="n">
        <v>46162</v>
      </c>
      <c r="AA1589" s="15" t="n"/>
      <c r="AB1589" s="15" t="n"/>
    </row>
    <row r="1590" hidden="1" s="233">
      <c r="A1590" s="6" t="n">
        <v>46107</v>
      </c>
      <c r="B1590" s="3" t="n">
        <v>2026</v>
      </c>
      <c r="C1590" s="3" t="inlineStr">
        <is>
          <t>Blupine</t>
        </is>
      </c>
      <c r="D1590" s="3" t="inlineStr">
        <is>
          <t>Utility and C&amp;I</t>
        </is>
      </c>
      <c r="E1590" s="3" t="n"/>
      <c r="F1590" s="3" t="inlineStr">
        <is>
          <t>Closed</t>
        </is>
      </c>
      <c r="G1590" s="3" t="inlineStr">
        <is>
          <t>Chandrashekar Patidar</t>
        </is>
      </c>
      <c r="H1590" s="3" t="n">
        <v>7879764773</v>
      </c>
      <c r="I1590" s="11" t="inlineStr">
        <is>
          <t>PE26032601</t>
        </is>
      </c>
      <c r="J1590" s="3" t="inlineStr">
        <is>
          <t>Module Diode Failure</t>
        </is>
      </c>
      <c r="K1590" s="3" t="inlineStr">
        <is>
          <t>Sadla</t>
        </is>
      </c>
      <c r="L1590" s="3" t="inlineStr">
        <is>
          <t>Gujarat</t>
        </is>
      </c>
      <c r="M1590" s="9" t="inlineStr">
        <is>
          <t>NS</t>
        </is>
      </c>
      <c r="N1590" s="3" t="inlineStr">
        <is>
          <t>Cold Soldering</t>
        </is>
      </c>
      <c r="O1590" s="3" t="n">
        <v>570</v>
      </c>
      <c r="P1590" s="9" t="inlineStr">
        <is>
          <t>NSMI24060104422</t>
        </is>
      </c>
      <c r="Q1590" s="54">
        <f>MID(P1590,5,2)</f>
        <v/>
      </c>
      <c r="R1590" s="53">
        <f>MID(P1590,7,2)</f>
        <v/>
      </c>
      <c r="S1590" s="3" t="inlineStr">
        <is>
          <t>G2G</t>
        </is>
      </c>
      <c r="T1590" s="3" t="inlineStr">
        <is>
          <t>P4</t>
        </is>
      </c>
      <c r="U1590" s="3" t="inlineStr">
        <is>
          <t>N JB Cold Soldering</t>
        </is>
      </c>
      <c r="V1590" s="3" t="inlineStr">
        <is>
          <t>Soldering</t>
        </is>
      </c>
      <c r="W1590" s="3" t="inlineStr">
        <is>
          <t>Repair</t>
        </is>
      </c>
      <c r="X1590" s="18" t="n">
        <v>46162</v>
      </c>
      <c r="Y1590" s="3">
        <f>X1590-A1590</f>
        <v/>
      </c>
      <c r="Z1590" s="18" t="n">
        <v>46162</v>
      </c>
      <c r="AA1590" s="15" t="n"/>
      <c r="AB1590" s="15" t="n"/>
    </row>
    <row r="1591" hidden="1" s="233">
      <c r="A1591" s="6" t="n">
        <v>46107</v>
      </c>
      <c r="B1591" s="3" t="n">
        <v>2026</v>
      </c>
      <c r="C1591" s="3" t="inlineStr">
        <is>
          <t>Blupine</t>
        </is>
      </c>
      <c r="D1591" s="3" t="inlineStr">
        <is>
          <t>Utility and C&amp;I</t>
        </is>
      </c>
      <c r="E1591" s="3" t="n"/>
      <c r="F1591" s="3" t="inlineStr">
        <is>
          <t>Closed</t>
        </is>
      </c>
      <c r="G1591" s="3" t="inlineStr">
        <is>
          <t>Chandrashekar Patidar</t>
        </is>
      </c>
      <c r="H1591" s="3" t="n">
        <v>7879764773</v>
      </c>
      <c r="I1591" s="11" t="inlineStr">
        <is>
          <t>PE26032601</t>
        </is>
      </c>
      <c r="J1591" s="3" t="inlineStr">
        <is>
          <t>Module Diode Failure</t>
        </is>
      </c>
      <c r="K1591" s="3" t="inlineStr">
        <is>
          <t>Sadla</t>
        </is>
      </c>
      <c r="L1591" s="3" t="inlineStr">
        <is>
          <t>Gujarat</t>
        </is>
      </c>
      <c r="M1591" s="9" t="inlineStr">
        <is>
          <t>PS</t>
        </is>
      </c>
      <c r="N1591" s="3" t="inlineStr">
        <is>
          <t>Cold Soldering</t>
        </is>
      </c>
      <c r="O1591" s="3" t="n">
        <v>570</v>
      </c>
      <c r="P1591" s="9" t="inlineStr">
        <is>
          <t>NSMI24060105226</t>
        </is>
      </c>
      <c r="Q1591" s="54">
        <f>MID(P1591,5,2)</f>
        <v/>
      </c>
      <c r="R1591" s="53">
        <f>MID(P1591,7,2)</f>
        <v/>
      </c>
      <c r="S1591" s="3" t="inlineStr">
        <is>
          <t>G2G</t>
        </is>
      </c>
      <c r="T1591" s="3" t="inlineStr">
        <is>
          <t>P4</t>
        </is>
      </c>
      <c r="U1591" s="3" t="inlineStr">
        <is>
          <t>P JB Cold Soldering</t>
        </is>
      </c>
      <c r="V1591" s="3" t="inlineStr">
        <is>
          <t>Soldering</t>
        </is>
      </c>
      <c r="W1591" s="3" t="inlineStr">
        <is>
          <t>Repair</t>
        </is>
      </c>
      <c r="X1591" s="18" t="n">
        <v>46162</v>
      </c>
      <c r="Y1591" s="3">
        <f>X1591-A1591</f>
        <v/>
      </c>
      <c r="Z1591" s="18" t="n">
        <v>46162</v>
      </c>
      <c r="AA1591" s="15" t="n"/>
      <c r="AB1591" s="15" t="n"/>
    </row>
    <row r="1592" hidden="1" s="233">
      <c r="A1592" s="6" t="n">
        <v>46107</v>
      </c>
      <c r="B1592" s="3" t="n">
        <v>2026</v>
      </c>
      <c r="C1592" s="3" t="inlineStr">
        <is>
          <t>Blupine</t>
        </is>
      </c>
      <c r="D1592" s="3" t="inlineStr">
        <is>
          <t>Utility and C&amp;I</t>
        </is>
      </c>
      <c r="E1592" s="3" t="n"/>
      <c r="F1592" s="3" t="inlineStr">
        <is>
          <t>Closed</t>
        </is>
      </c>
      <c r="G1592" s="3" t="inlineStr">
        <is>
          <t>Chandrashekar Patidar</t>
        </is>
      </c>
      <c r="H1592" s="3" t="n">
        <v>7879764773</v>
      </c>
      <c r="I1592" s="11" t="inlineStr">
        <is>
          <t>PE26032601</t>
        </is>
      </c>
      <c r="J1592" s="3" t="inlineStr">
        <is>
          <t>Module Diode Failure</t>
        </is>
      </c>
      <c r="K1592" s="3" t="inlineStr">
        <is>
          <t>Sadla</t>
        </is>
      </c>
      <c r="L1592" s="3" t="inlineStr">
        <is>
          <t>Gujarat</t>
        </is>
      </c>
      <c r="M1592" s="9" t="inlineStr">
        <is>
          <t>PS</t>
        </is>
      </c>
      <c r="N1592" s="3" t="inlineStr">
        <is>
          <t>Cold Soldering</t>
        </is>
      </c>
      <c r="O1592" s="3" t="n">
        <v>570</v>
      </c>
      <c r="P1592" s="9" t="inlineStr">
        <is>
          <t>NSMI24060124962</t>
        </is>
      </c>
      <c r="Q1592" s="54">
        <f>MID(P1592,5,2)</f>
        <v/>
      </c>
      <c r="R1592" s="53">
        <f>MID(P1592,7,2)</f>
        <v/>
      </c>
      <c r="S1592" s="3" t="inlineStr">
        <is>
          <t>G2G</t>
        </is>
      </c>
      <c r="T1592" s="3" t="inlineStr">
        <is>
          <t>P4</t>
        </is>
      </c>
      <c r="U1592" s="3" t="inlineStr">
        <is>
          <t>P JB Cold Soldering</t>
        </is>
      </c>
      <c r="V1592" s="3" t="inlineStr">
        <is>
          <t>Soldering</t>
        </is>
      </c>
      <c r="W1592" s="3" t="inlineStr">
        <is>
          <t>Repair</t>
        </is>
      </c>
      <c r="X1592" s="18" t="n">
        <v>46162</v>
      </c>
      <c r="Y1592" s="3">
        <f>X1592-A1592</f>
        <v/>
      </c>
      <c r="Z1592" s="18" t="n">
        <v>46162</v>
      </c>
      <c r="AA1592" s="15" t="n"/>
      <c r="AB1592" s="15" t="n"/>
    </row>
    <row r="1593" hidden="1" s="233">
      <c r="A1593" s="6" t="n">
        <v>46107</v>
      </c>
      <c r="B1593" s="3" t="n">
        <v>2026</v>
      </c>
      <c r="C1593" s="3" t="inlineStr">
        <is>
          <t>Blupine</t>
        </is>
      </c>
      <c r="D1593" s="3" t="inlineStr">
        <is>
          <t>Utility and C&amp;I</t>
        </is>
      </c>
      <c r="E1593" s="3" t="n"/>
      <c r="F1593" s="3" t="inlineStr">
        <is>
          <t>Closed</t>
        </is>
      </c>
      <c r="G1593" s="3" t="inlineStr">
        <is>
          <t>Chandrashekar Patidar</t>
        </is>
      </c>
      <c r="H1593" s="3" t="n">
        <v>7879764773</v>
      </c>
      <c r="I1593" s="11" t="inlineStr">
        <is>
          <t>PE26032601</t>
        </is>
      </c>
      <c r="J1593" s="3" t="inlineStr">
        <is>
          <t>Module Diode Failure</t>
        </is>
      </c>
      <c r="K1593" s="3" t="inlineStr">
        <is>
          <t>Sadla</t>
        </is>
      </c>
      <c r="L1593" s="3" t="inlineStr">
        <is>
          <t>Gujarat</t>
        </is>
      </c>
      <c r="M1593" s="9" t="inlineStr">
        <is>
          <t>NS</t>
        </is>
      </c>
      <c r="N1593" s="3" t="inlineStr">
        <is>
          <t>Cold Soldering</t>
        </is>
      </c>
      <c r="O1593" s="3" t="n">
        <v>570</v>
      </c>
      <c r="P1593" s="9" t="inlineStr">
        <is>
          <t>NSMI24060123383</t>
        </is>
      </c>
      <c r="Q1593" s="54">
        <f>MID(P1593,5,2)</f>
        <v/>
      </c>
      <c r="R1593" s="53">
        <f>MID(P1593,7,2)</f>
        <v/>
      </c>
      <c r="S1593" s="3" t="inlineStr">
        <is>
          <t>G2G</t>
        </is>
      </c>
      <c r="T1593" s="3" t="inlineStr">
        <is>
          <t>P4</t>
        </is>
      </c>
      <c r="U1593" s="3" t="inlineStr">
        <is>
          <t>N JB Cold Soldering</t>
        </is>
      </c>
      <c r="V1593" s="3" t="inlineStr">
        <is>
          <t>Soldering</t>
        </is>
      </c>
      <c r="W1593" s="3" t="inlineStr">
        <is>
          <t>Repair</t>
        </is>
      </c>
      <c r="X1593" s="18" t="n">
        <v>46162</v>
      </c>
      <c r="Y1593" s="3">
        <f>X1593-A1593</f>
        <v/>
      </c>
      <c r="Z1593" s="18" t="n">
        <v>46162</v>
      </c>
      <c r="AA1593" s="15" t="n"/>
      <c r="AB1593" s="15" t="n"/>
    </row>
    <row r="1594" hidden="1" s="233">
      <c r="A1594" s="6" t="n">
        <v>46107</v>
      </c>
      <c r="B1594" s="3" t="n">
        <v>2026</v>
      </c>
      <c r="C1594" s="3" t="inlineStr">
        <is>
          <t>Blupine</t>
        </is>
      </c>
      <c r="D1594" s="3" t="inlineStr">
        <is>
          <t>Utility and C&amp;I</t>
        </is>
      </c>
      <c r="E1594" s="3" t="n"/>
      <c r="F1594" s="3" t="inlineStr">
        <is>
          <t>Closed</t>
        </is>
      </c>
      <c r="G1594" s="3" t="inlineStr">
        <is>
          <t>Chandrashekar Patidar</t>
        </is>
      </c>
      <c r="H1594" s="3" t="n">
        <v>7879764773</v>
      </c>
      <c r="I1594" s="11" t="inlineStr">
        <is>
          <t>PE26032601</t>
        </is>
      </c>
      <c r="J1594" s="3" t="inlineStr">
        <is>
          <t>Module Diode Failure</t>
        </is>
      </c>
      <c r="K1594" s="3" t="inlineStr">
        <is>
          <t>Sadla</t>
        </is>
      </c>
      <c r="L1594" s="3" t="inlineStr">
        <is>
          <t>Gujarat</t>
        </is>
      </c>
      <c r="M1594" s="9" t="inlineStr">
        <is>
          <t>NS</t>
        </is>
      </c>
      <c r="N1594" s="3" t="inlineStr">
        <is>
          <t>Cold Soldering</t>
        </is>
      </c>
      <c r="O1594" s="3" t="n">
        <v>570</v>
      </c>
      <c r="P1594" s="9" t="inlineStr">
        <is>
          <t>NSMI24060129156</t>
        </is>
      </c>
      <c r="Q1594" s="54">
        <f>MID(P1594,5,2)</f>
        <v/>
      </c>
      <c r="R1594" s="53">
        <f>MID(P1594,7,2)</f>
        <v/>
      </c>
      <c r="S1594" s="3" t="inlineStr">
        <is>
          <t>G2G</t>
        </is>
      </c>
      <c r="T1594" s="3" t="inlineStr">
        <is>
          <t>P4</t>
        </is>
      </c>
      <c r="U1594" s="3" t="inlineStr">
        <is>
          <t>N JB Cold Soldering</t>
        </is>
      </c>
      <c r="V1594" s="3" t="inlineStr">
        <is>
          <t>Soldering</t>
        </is>
      </c>
      <c r="W1594" s="3" t="inlineStr">
        <is>
          <t>Repair</t>
        </is>
      </c>
      <c r="X1594" s="18" t="n">
        <v>46162</v>
      </c>
      <c r="Y1594" s="3">
        <f>X1594-A1594</f>
        <v/>
      </c>
      <c r="Z1594" s="18" t="n">
        <v>46162</v>
      </c>
      <c r="AA1594" s="15" t="n"/>
      <c r="AB1594" s="15" t="n"/>
    </row>
    <row r="1595" hidden="1" s="233">
      <c r="A1595" s="6" t="n">
        <v>46107</v>
      </c>
      <c r="B1595" s="3" t="n">
        <v>2026</v>
      </c>
      <c r="C1595" s="3" t="inlineStr">
        <is>
          <t>Blupine</t>
        </is>
      </c>
      <c r="D1595" s="3" t="inlineStr">
        <is>
          <t>Utility and C&amp;I</t>
        </is>
      </c>
      <c r="E1595" s="3" t="n"/>
      <c r="F1595" s="3" t="inlineStr">
        <is>
          <t>Closed</t>
        </is>
      </c>
      <c r="G1595" s="3" t="inlineStr">
        <is>
          <t>Chandrashekar Patidar</t>
        </is>
      </c>
      <c r="H1595" s="3" t="n">
        <v>7879764773</v>
      </c>
      <c r="I1595" s="11" t="inlineStr">
        <is>
          <t>PE26032601</t>
        </is>
      </c>
      <c r="J1595" s="3" t="inlineStr">
        <is>
          <t>Module Diode Failure</t>
        </is>
      </c>
      <c r="K1595" s="3" t="inlineStr">
        <is>
          <t>Sadla</t>
        </is>
      </c>
      <c r="L1595" s="3" t="inlineStr">
        <is>
          <t>Gujarat</t>
        </is>
      </c>
      <c r="M1595" s="9" t="inlineStr">
        <is>
          <t>PS</t>
        </is>
      </c>
      <c r="N1595" s="3" t="inlineStr">
        <is>
          <t>Cold Soldering</t>
        </is>
      </c>
      <c r="O1595" s="3" t="n">
        <v>570</v>
      </c>
      <c r="P1595" s="9" t="inlineStr">
        <is>
          <t>NSMI24060085438</t>
        </is>
      </c>
      <c r="Q1595" s="54">
        <f>MID(P1595,5,2)</f>
        <v/>
      </c>
      <c r="R1595" s="53">
        <f>MID(P1595,7,2)</f>
        <v/>
      </c>
      <c r="S1595" s="3" t="inlineStr">
        <is>
          <t>G2G</t>
        </is>
      </c>
      <c r="T1595" s="3" t="inlineStr">
        <is>
          <t>P4</t>
        </is>
      </c>
      <c r="U1595" s="3" t="inlineStr">
        <is>
          <t>P JB Cold Soldering</t>
        </is>
      </c>
      <c r="V1595" s="3" t="inlineStr">
        <is>
          <t>Soldering</t>
        </is>
      </c>
      <c r="W1595" s="3" t="inlineStr">
        <is>
          <t>Repair</t>
        </is>
      </c>
      <c r="X1595" s="18" t="n">
        <v>46162</v>
      </c>
      <c r="Y1595" s="3">
        <f>X1595-A1595</f>
        <v/>
      </c>
      <c r="Z1595" s="18" t="n">
        <v>46162</v>
      </c>
      <c r="AA1595" s="15" t="n"/>
      <c r="AB1595" s="15" t="n"/>
    </row>
    <row r="1596" hidden="1" s="233">
      <c r="A1596" s="6" t="n">
        <v>46107</v>
      </c>
      <c r="B1596" s="3" t="n">
        <v>2026</v>
      </c>
      <c r="C1596" s="3" t="inlineStr">
        <is>
          <t>Blupine</t>
        </is>
      </c>
      <c r="D1596" s="3" t="inlineStr">
        <is>
          <t>Utility and C&amp;I</t>
        </is>
      </c>
      <c r="E1596" s="3" t="n"/>
      <c r="F1596" s="3" t="inlineStr">
        <is>
          <t>Closed</t>
        </is>
      </c>
      <c r="G1596" s="3" t="inlineStr">
        <is>
          <t>Chandrashekar Patidar</t>
        </is>
      </c>
      <c r="H1596" s="3" t="n">
        <v>7879764773</v>
      </c>
      <c r="I1596" s="11" t="inlineStr">
        <is>
          <t>PE26032601</t>
        </is>
      </c>
      <c r="J1596" s="3" t="inlineStr">
        <is>
          <t>Module Diode Failure</t>
        </is>
      </c>
      <c r="K1596" s="3" t="inlineStr">
        <is>
          <t>Sadla</t>
        </is>
      </c>
      <c r="L1596" s="3" t="inlineStr">
        <is>
          <t>Gujarat</t>
        </is>
      </c>
      <c r="M1596" s="9" t="inlineStr">
        <is>
          <t>NS</t>
        </is>
      </c>
      <c r="N1596" s="3" t="inlineStr">
        <is>
          <t>Cold Soldering</t>
        </is>
      </c>
      <c r="O1596" s="3" t="n">
        <v>570</v>
      </c>
      <c r="P1596" s="9" t="inlineStr">
        <is>
          <t>NSMI24050050465</t>
        </is>
      </c>
      <c r="Q1596" s="54">
        <f>MID(P1596,5,2)</f>
        <v/>
      </c>
      <c r="R1596" s="53">
        <f>MID(P1596,7,2)</f>
        <v/>
      </c>
      <c r="S1596" s="3" t="inlineStr">
        <is>
          <t>G2G</t>
        </is>
      </c>
      <c r="T1596" s="3" t="inlineStr">
        <is>
          <t>P4</t>
        </is>
      </c>
      <c r="U1596" s="3" t="inlineStr">
        <is>
          <t>N JB Cold Soldering</t>
        </is>
      </c>
      <c r="V1596" s="3" t="inlineStr">
        <is>
          <t>Soldering</t>
        </is>
      </c>
      <c r="W1596" s="3" t="inlineStr">
        <is>
          <t>Repair</t>
        </is>
      </c>
      <c r="X1596" s="18" t="n">
        <v>46162</v>
      </c>
      <c r="Y1596" s="3">
        <f>X1596-A1596</f>
        <v/>
      </c>
      <c r="Z1596" s="18" t="n">
        <v>46162</v>
      </c>
      <c r="AA1596" s="15" t="n"/>
      <c r="AB1596" s="15" t="n"/>
    </row>
    <row r="1597" hidden="1" s="233">
      <c r="A1597" s="6" t="n">
        <v>46107</v>
      </c>
      <c r="B1597" s="3" t="n">
        <v>2026</v>
      </c>
      <c r="C1597" s="3" t="inlineStr">
        <is>
          <t>Blupine</t>
        </is>
      </c>
      <c r="D1597" s="3" t="inlineStr">
        <is>
          <t>Utility and C&amp;I</t>
        </is>
      </c>
      <c r="E1597" s="3" t="n"/>
      <c r="F1597" s="3" t="inlineStr">
        <is>
          <t>Closed</t>
        </is>
      </c>
      <c r="G1597" s="3" t="inlineStr">
        <is>
          <t>Chandrashekar Patidar</t>
        </is>
      </c>
      <c r="H1597" s="3" t="n">
        <v>7879764773</v>
      </c>
      <c r="I1597" s="11" t="inlineStr">
        <is>
          <t>PE26032601</t>
        </is>
      </c>
      <c r="J1597" s="3" t="inlineStr">
        <is>
          <t>Module Diode Failure</t>
        </is>
      </c>
      <c r="K1597" s="3" t="inlineStr">
        <is>
          <t>Sadla</t>
        </is>
      </c>
      <c r="L1597" s="3" t="inlineStr">
        <is>
          <t>Gujarat</t>
        </is>
      </c>
      <c r="M1597" s="9" t="inlineStr">
        <is>
          <t>NR</t>
        </is>
      </c>
      <c r="N1597" s="3" t="inlineStr">
        <is>
          <t>JB Issue</t>
        </is>
      </c>
      <c r="O1597" s="3" t="n">
        <v>570</v>
      </c>
      <c r="P1597" s="9" t="inlineStr">
        <is>
          <t>NSMI24050062073</t>
        </is>
      </c>
      <c r="Q1597" s="54">
        <f>MID(P1597,5,2)</f>
        <v/>
      </c>
      <c r="R1597" s="53">
        <f>MID(P1597,7,2)</f>
        <v/>
      </c>
      <c r="S1597" s="3" t="inlineStr">
        <is>
          <t>G2G</t>
        </is>
      </c>
      <c r="T1597" s="3" t="inlineStr">
        <is>
          <t>P4</t>
        </is>
      </c>
      <c r="U1597" s="3" t="inlineStr">
        <is>
          <t>N JB Issue</t>
        </is>
      </c>
      <c r="V1597" s="3" t="inlineStr">
        <is>
          <t>JB Changed</t>
        </is>
      </c>
      <c r="W1597" s="3" t="inlineStr">
        <is>
          <t>Repair</t>
        </is>
      </c>
      <c r="X1597" s="18" t="n">
        <v>46162</v>
      </c>
      <c r="Y1597" s="3">
        <f>X1597-A1597</f>
        <v/>
      </c>
      <c r="Z1597" s="18" t="n">
        <v>46162</v>
      </c>
      <c r="AA1597" s="15" t="n"/>
      <c r="AB1597" s="15" t="n"/>
    </row>
    <row r="1598" hidden="1" s="233">
      <c r="A1598" s="6" t="n">
        <v>46107</v>
      </c>
      <c r="B1598" s="3" t="n">
        <v>2026</v>
      </c>
      <c r="C1598" s="3" t="inlineStr">
        <is>
          <t>Blupine</t>
        </is>
      </c>
      <c r="D1598" s="3" t="inlineStr">
        <is>
          <t>Utility and C&amp;I</t>
        </is>
      </c>
      <c r="E1598" s="3" t="n"/>
      <c r="F1598" s="3" t="inlineStr">
        <is>
          <t>Closed</t>
        </is>
      </c>
      <c r="G1598" s="3" t="inlineStr">
        <is>
          <t>Chandrashekar Patidar</t>
        </is>
      </c>
      <c r="H1598" s="3" t="n">
        <v>7879764773</v>
      </c>
      <c r="I1598" s="11" t="inlineStr">
        <is>
          <t>PE26032601</t>
        </is>
      </c>
      <c r="J1598" s="3" t="inlineStr">
        <is>
          <t>Module Diode Failure</t>
        </is>
      </c>
      <c r="K1598" s="3" t="inlineStr">
        <is>
          <t>Sadla</t>
        </is>
      </c>
      <c r="L1598" s="3" t="inlineStr">
        <is>
          <t>Gujarat</t>
        </is>
      </c>
      <c r="M1598" s="9" t="inlineStr">
        <is>
          <t>PNS</t>
        </is>
      </c>
      <c r="N1598" s="3" t="inlineStr">
        <is>
          <t>Cold Soldering</t>
        </is>
      </c>
      <c r="O1598" s="3" t="n">
        <v>570</v>
      </c>
      <c r="P1598" s="9" t="inlineStr">
        <is>
          <t>NSMI24060084083</t>
        </is>
      </c>
      <c r="Q1598" s="54">
        <f>MID(P1598,5,2)</f>
        <v/>
      </c>
      <c r="R1598" s="53">
        <f>MID(P1598,7,2)</f>
        <v/>
      </c>
      <c r="S1598" s="3" t="inlineStr">
        <is>
          <t>G2G</t>
        </is>
      </c>
      <c r="T1598" s="3" t="inlineStr">
        <is>
          <t>P4</t>
        </is>
      </c>
      <c r="U1598" s="3" t="inlineStr">
        <is>
          <t>P &amp; N JB Cold Soldering</t>
        </is>
      </c>
      <c r="V1598" s="3" t="inlineStr">
        <is>
          <t>Soldering</t>
        </is>
      </c>
      <c r="W1598" s="3" t="inlineStr">
        <is>
          <t>Repair</t>
        </is>
      </c>
      <c r="X1598" s="18" t="n">
        <v>46162</v>
      </c>
      <c r="Y1598" s="3">
        <f>X1598-A1598</f>
        <v/>
      </c>
      <c r="Z1598" s="18" t="n">
        <v>46162</v>
      </c>
      <c r="AA1598" s="15" t="n"/>
      <c r="AB1598" s="15" t="n"/>
    </row>
    <row r="1599" hidden="1" s="233">
      <c r="A1599" s="6" t="n">
        <v>46107</v>
      </c>
      <c r="B1599" s="3" t="n">
        <v>2026</v>
      </c>
      <c r="C1599" s="3" t="inlineStr">
        <is>
          <t>Blupine</t>
        </is>
      </c>
      <c r="D1599" s="3" t="inlineStr">
        <is>
          <t>Utility and C&amp;I</t>
        </is>
      </c>
      <c r="E1599" s="3" t="n"/>
      <c r="F1599" s="3" t="inlineStr">
        <is>
          <t>Closed</t>
        </is>
      </c>
      <c r="G1599" s="3" t="inlineStr">
        <is>
          <t>Chandrashekar Patidar</t>
        </is>
      </c>
      <c r="H1599" s="3" t="n">
        <v>7879764773</v>
      </c>
      <c r="I1599" s="11" t="inlineStr">
        <is>
          <t>PE26032601</t>
        </is>
      </c>
      <c r="J1599" s="3" t="inlineStr">
        <is>
          <t>Module Diode Failure</t>
        </is>
      </c>
      <c r="K1599" s="3" t="inlineStr">
        <is>
          <t>Sadla</t>
        </is>
      </c>
      <c r="L1599" s="3" t="inlineStr">
        <is>
          <t>Gujarat</t>
        </is>
      </c>
      <c r="M1599" s="9" t="inlineStr">
        <is>
          <t>NS</t>
        </is>
      </c>
      <c r="N1599" s="3" t="inlineStr">
        <is>
          <t>Cold Soldering</t>
        </is>
      </c>
      <c r="O1599" s="3" t="n">
        <v>570</v>
      </c>
      <c r="P1599" s="9" t="inlineStr">
        <is>
          <t>NSMI24060134552</t>
        </is>
      </c>
      <c r="Q1599" s="54">
        <f>MID(P1599,5,2)</f>
        <v/>
      </c>
      <c r="R1599" s="53">
        <f>MID(P1599,7,2)</f>
        <v/>
      </c>
      <c r="S1599" s="3" t="inlineStr">
        <is>
          <t>G2G</t>
        </is>
      </c>
      <c r="T1599" s="3" t="inlineStr">
        <is>
          <t>P4</t>
        </is>
      </c>
      <c r="U1599" s="3" t="inlineStr">
        <is>
          <t>N JB Cold Soldering</t>
        </is>
      </c>
      <c r="V1599" s="3" t="inlineStr">
        <is>
          <t>Soldering</t>
        </is>
      </c>
      <c r="W1599" s="3" t="inlineStr">
        <is>
          <t>Repair</t>
        </is>
      </c>
      <c r="X1599" s="18" t="n">
        <v>46162</v>
      </c>
      <c r="Y1599" s="3">
        <f>X1599-A1599</f>
        <v/>
      </c>
      <c r="Z1599" s="18" t="n">
        <v>46162</v>
      </c>
      <c r="AA1599" s="15" t="n"/>
      <c r="AB1599" s="15" t="n"/>
    </row>
    <row r="1600" hidden="1" s="233">
      <c r="A1600" s="6" t="n">
        <v>46107</v>
      </c>
      <c r="B1600" s="3" t="n">
        <v>2026</v>
      </c>
      <c r="C1600" s="3" t="inlineStr">
        <is>
          <t>Blupine</t>
        </is>
      </c>
      <c r="D1600" s="3" t="inlineStr">
        <is>
          <t>Utility and C&amp;I</t>
        </is>
      </c>
      <c r="E1600" s="3" t="n"/>
      <c r="F1600" s="3" t="inlineStr">
        <is>
          <t>Closed</t>
        </is>
      </c>
      <c r="G1600" s="3" t="inlineStr">
        <is>
          <t>Chandrashekar Patidar</t>
        </is>
      </c>
      <c r="H1600" s="3" t="n">
        <v>7879764773</v>
      </c>
      <c r="I1600" s="11" t="inlineStr">
        <is>
          <t>PE26032601</t>
        </is>
      </c>
      <c r="J1600" s="3" t="inlineStr">
        <is>
          <t>Module Diode Failure</t>
        </is>
      </c>
      <c r="K1600" s="3" t="inlineStr">
        <is>
          <t>Sadla</t>
        </is>
      </c>
      <c r="L1600" s="3" t="inlineStr">
        <is>
          <t>Gujarat</t>
        </is>
      </c>
      <c r="M1600" s="9" t="inlineStr">
        <is>
          <t>NS</t>
        </is>
      </c>
      <c r="N1600" s="3" t="inlineStr">
        <is>
          <t>Cold Soldering</t>
        </is>
      </c>
      <c r="O1600" s="3" t="n">
        <v>570</v>
      </c>
      <c r="P1600" s="9" t="inlineStr">
        <is>
          <t>NSMI24060134565</t>
        </is>
      </c>
      <c r="Q1600" s="54">
        <f>MID(P1600,5,2)</f>
        <v/>
      </c>
      <c r="R1600" s="53">
        <f>MID(P1600,7,2)</f>
        <v/>
      </c>
      <c r="S1600" s="3" t="inlineStr">
        <is>
          <t>G2G</t>
        </is>
      </c>
      <c r="T1600" s="3" t="inlineStr">
        <is>
          <t>P4</t>
        </is>
      </c>
      <c r="U1600" s="3" t="inlineStr">
        <is>
          <t>N JB Cold Soldering</t>
        </is>
      </c>
      <c r="V1600" s="3" t="inlineStr">
        <is>
          <t>Soldering</t>
        </is>
      </c>
      <c r="W1600" s="3" t="inlineStr">
        <is>
          <t>Repair</t>
        </is>
      </c>
      <c r="X1600" s="18" t="n">
        <v>46162</v>
      </c>
      <c r="Y1600" s="3">
        <f>X1600-A1600</f>
        <v/>
      </c>
      <c r="Z1600" s="18" t="n">
        <v>46162</v>
      </c>
      <c r="AA1600" s="15" t="n"/>
      <c r="AB1600" s="15" t="n"/>
    </row>
    <row r="1601" hidden="1" s="233">
      <c r="A1601" s="6" t="n">
        <v>46107</v>
      </c>
      <c r="B1601" s="3" t="n">
        <v>2026</v>
      </c>
      <c r="C1601" s="3" t="inlineStr">
        <is>
          <t>Blupine</t>
        </is>
      </c>
      <c r="D1601" s="3" t="inlineStr">
        <is>
          <t>Utility and C&amp;I</t>
        </is>
      </c>
      <c r="E1601" s="3" t="n"/>
      <c r="F1601" s="3" t="inlineStr">
        <is>
          <t>Closed</t>
        </is>
      </c>
      <c r="G1601" s="3" t="inlineStr">
        <is>
          <t>Chandrashekar Patidar</t>
        </is>
      </c>
      <c r="H1601" s="3" t="n">
        <v>7879764773</v>
      </c>
      <c r="I1601" s="11" t="inlineStr">
        <is>
          <t>PE26032601</t>
        </is>
      </c>
      <c r="J1601" s="3" t="inlineStr">
        <is>
          <t>Module Diode Failure</t>
        </is>
      </c>
      <c r="K1601" s="3" t="inlineStr">
        <is>
          <t>Sadla</t>
        </is>
      </c>
      <c r="L1601" s="3" t="inlineStr">
        <is>
          <t>Gujarat</t>
        </is>
      </c>
      <c r="M1601" s="9" t="inlineStr">
        <is>
          <t>PS</t>
        </is>
      </c>
      <c r="N1601" s="3" t="inlineStr">
        <is>
          <t>Cold Soldering</t>
        </is>
      </c>
      <c r="O1601" s="3" t="n">
        <v>570</v>
      </c>
      <c r="P1601" s="9" t="inlineStr">
        <is>
          <t>NSMI24060124143</t>
        </is>
      </c>
      <c r="Q1601" s="54">
        <f>MID(P1601,5,2)</f>
        <v/>
      </c>
      <c r="R1601" s="53">
        <f>MID(P1601,7,2)</f>
        <v/>
      </c>
      <c r="S1601" s="3" t="inlineStr">
        <is>
          <t>G2G</t>
        </is>
      </c>
      <c r="T1601" s="3" t="inlineStr">
        <is>
          <t>P4</t>
        </is>
      </c>
      <c r="U1601" s="3" t="inlineStr">
        <is>
          <t>P JB Cold Soldering</t>
        </is>
      </c>
      <c r="V1601" s="3" t="inlineStr">
        <is>
          <t>Soldering</t>
        </is>
      </c>
      <c r="W1601" s="3" t="inlineStr">
        <is>
          <t>Repair</t>
        </is>
      </c>
      <c r="X1601" s="18" t="n">
        <v>46162</v>
      </c>
      <c r="Y1601" s="3">
        <f>X1601-A1601</f>
        <v/>
      </c>
      <c r="Z1601" s="18" t="n">
        <v>46162</v>
      </c>
      <c r="AA1601" s="15" t="n"/>
      <c r="AB1601" s="15" t="n"/>
    </row>
    <row r="1602" hidden="1" s="233">
      <c r="A1602" s="6" t="n">
        <v>46107</v>
      </c>
      <c r="B1602" s="3" t="n">
        <v>2026</v>
      </c>
      <c r="C1602" s="3" t="inlineStr">
        <is>
          <t>Blupine</t>
        </is>
      </c>
      <c r="D1602" s="3" t="inlineStr">
        <is>
          <t>Utility and C&amp;I</t>
        </is>
      </c>
      <c r="E1602" s="3" t="n"/>
      <c r="F1602" s="3" t="inlineStr">
        <is>
          <t>Closed</t>
        </is>
      </c>
      <c r="G1602" s="3" t="inlineStr">
        <is>
          <t>Chandrashekar Patidar</t>
        </is>
      </c>
      <c r="H1602" s="3" t="n">
        <v>7879764773</v>
      </c>
      <c r="I1602" s="11" t="inlineStr">
        <is>
          <t>PE26032601</t>
        </is>
      </c>
      <c r="J1602" s="3" t="inlineStr">
        <is>
          <t>Module Diode Failure</t>
        </is>
      </c>
      <c r="K1602" s="3" t="inlineStr">
        <is>
          <t>Sadla</t>
        </is>
      </c>
      <c r="L1602" s="3" t="inlineStr">
        <is>
          <t>Gujarat</t>
        </is>
      </c>
      <c r="M1602" s="9" t="inlineStr">
        <is>
          <t>NS</t>
        </is>
      </c>
      <c r="N1602" s="3" t="inlineStr">
        <is>
          <t>Cold Soldering</t>
        </is>
      </c>
      <c r="O1602" s="3" t="n">
        <v>570</v>
      </c>
      <c r="P1602" s="9" t="inlineStr">
        <is>
          <t>NSMI24060136797</t>
        </is>
      </c>
      <c r="Q1602" s="54">
        <f>MID(P1602,5,2)</f>
        <v/>
      </c>
      <c r="R1602" s="53">
        <f>MID(P1602,7,2)</f>
        <v/>
      </c>
      <c r="S1602" s="3" t="inlineStr">
        <is>
          <t>G2G</t>
        </is>
      </c>
      <c r="T1602" s="3" t="inlineStr">
        <is>
          <t>P4</t>
        </is>
      </c>
      <c r="U1602" s="3" t="inlineStr">
        <is>
          <t>N JB Cold Soldering</t>
        </is>
      </c>
      <c r="V1602" s="3" t="inlineStr">
        <is>
          <t>Soldering</t>
        </is>
      </c>
      <c r="W1602" s="3" t="inlineStr">
        <is>
          <t>Repair</t>
        </is>
      </c>
      <c r="X1602" s="18" t="n">
        <v>46162</v>
      </c>
      <c r="Y1602" s="3">
        <f>X1602-A1602</f>
        <v/>
      </c>
      <c r="Z1602" s="18" t="n">
        <v>46162</v>
      </c>
      <c r="AA1602" s="15" t="n"/>
      <c r="AB1602" s="15" t="n"/>
    </row>
    <row r="1603" hidden="1" s="233">
      <c r="A1603" s="6" t="n">
        <v>46107</v>
      </c>
      <c r="B1603" s="3" t="n">
        <v>2026</v>
      </c>
      <c r="C1603" s="3" t="inlineStr">
        <is>
          <t>Blupine</t>
        </is>
      </c>
      <c r="D1603" s="3" t="inlineStr">
        <is>
          <t>Utility and C&amp;I</t>
        </is>
      </c>
      <c r="E1603" s="3" t="n"/>
      <c r="F1603" s="3" t="inlineStr">
        <is>
          <t>Closed</t>
        </is>
      </c>
      <c r="G1603" s="3" t="inlineStr">
        <is>
          <t>Chandrashekar Patidar</t>
        </is>
      </c>
      <c r="H1603" s="3" t="n">
        <v>7879764773</v>
      </c>
      <c r="I1603" s="11" t="inlineStr">
        <is>
          <t>PE26032601</t>
        </is>
      </c>
      <c r="J1603" s="3" t="inlineStr">
        <is>
          <t>Module Diode Failure</t>
        </is>
      </c>
      <c r="K1603" s="3" t="inlineStr">
        <is>
          <t>Sadla</t>
        </is>
      </c>
      <c r="L1603" s="3" t="inlineStr">
        <is>
          <t>Gujarat</t>
        </is>
      </c>
      <c r="M1603" s="9" t="inlineStr">
        <is>
          <t>NS</t>
        </is>
      </c>
      <c r="N1603" s="3" t="inlineStr">
        <is>
          <t>Cold Soldering</t>
        </is>
      </c>
      <c r="O1603" s="3" t="n">
        <v>570</v>
      </c>
      <c r="P1603" s="9" t="inlineStr">
        <is>
          <t>NSMI24060124174</t>
        </is>
      </c>
      <c r="Q1603" s="54">
        <f>MID(P1603,5,2)</f>
        <v/>
      </c>
      <c r="R1603" s="53">
        <f>MID(P1603,7,2)</f>
        <v/>
      </c>
      <c r="S1603" s="3" t="inlineStr">
        <is>
          <t>G2G</t>
        </is>
      </c>
      <c r="T1603" s="3" t="inlineStr">
        <is>
          <t>P4</t>
        </is>
      </c>
      <c r="U1603" s="3" t="inlineStr">
        <is>
          <t>N JB Cold Soldering</t>
        </is>
      </c>
      <c r="V1603" s="3" t="inlineStr">
        <is>
          <t>Soldering</t>
        </is>
      </c>
      <c r="W1603" s="3" t="inlineStr">
        <is>
          <t>Repair</t>
        </is>
      </c>
      <c r="X1603" s="18" t="n">
        <v>46162</v>
      </c>
      <c r="Y1603" s="3">
        <f>X1603-A1603</f>
        <v/>
      </c>
      <c r="Z1603" s="18" t="n">
        <v>46162</v>
      </c>
      <c r="AA1603" s="15" t="n"/>
      <c r="AB1603" s="15" t="n"/>
    </row>
    <row r="1604" hidden="1" s="233">
      <c r="A1604" s="6" t="n">
        <v>46107</v>
      </c>
      <c r="B1604" s="3" t="n">
        <v>2026</v>
      </c>
      <c r="C1604" s="3" t="inlineStr">
        <is>
          <t>Blupine</t>
        </is>
      </c>
      <c r="D1604" s="3" t="inlineStr">
        <is>
          <t>Utility and C&amp;I</t>
        </is>
      </c>
      <c r="E1604" s="3" t="n"/>
      <c r="F1604" s="3" t="inlineStr">
        <is>
          <t>Closed</t>
        </is>
      </c>
      <c r="G1604" s="3" t="inlineStr">
        <is>
          <t>Chandrashekar Patidar</t>
        </is>
      </c>
      <c r="H1604" s="3" t="n">
        <v>7879764773</v>
      </c>
      <c r="I1604" s="11" t="inlineStr">
        <is>
          <t>PE26032601</t>
        </is>
      </c>
      <c r="J1604" s="3" t="inlineStr">
        <is>
          <t>Module Diode Failure</t>
        </is>
      </c>
      <c r="K1604" s="3" t="inlineStr">
        <is>
          <t>Sadla</t>
        </is>
      </c>
      <c r="L1604" s="3" t="inlineStr">
        <is>
          <t>Gujarat</t>
        </is>
      </c>
      <c r="M1604" s="9" t="inlineStr">
        <is>
          <t>NS</t>
        </is>
      </c>
      <c r="N1604" s="3" t="inlineStr">
        <is>
          <t>Cold Soldering</t>
        </is>
      </c>
      <c r="O1604" s="3" t="n">
        <v>570</v>
      </c>
      <c r="P1604" s="9" t="inlineStr">
        <is>
          <t>NSMI24060123737</t>
        </is>
      </c>
      <c r="Q1604" s="54">
        <f>MID(P1604,5,2)</f>
        <v/>
      </c>
      <c r="R1604" s="53">
        <f>MID(P1604,7,2)</f>
        <v/>
      </c>
      <c r="S1604" s="3" t="inlineStr">
        <is>
          <t>G2G</t>
        </is>
      </c>
      <c r="T1604" s="3" t="inlineStr">
        <is>
          <t>P4</t>
        </is>
      </c>
      <c r="U1604" s="3" t="inlineStr">
        <is>
          <t>N JB Cold Soldering</t>
        </is>
      </c>
      <c r="V1604" s="3" t="inlineStr">
        <is>
          <t>Soldering</t>
        </is>
      </c>
      <c r="W1604" s="3" t="inlineStr">
        <is>
          <t>Repair</t>
        </is>
      </c>
      <c r="X1604" s="18" t="n">
        <v>46162</v>
      </c>
      <c r="Y1604" s="3">
        <f>X1604-A1604</f>
        <v/>
      </c>
      <c r="Z1604" s="18" t="n">
        <v>46162</v>
      </c>
      <c r="AA1604" s="15" t="n"/>
      <c r="AB1604" s="15" t="n"/>
    </row>
    <row r="1605" hidden="1" s="233">
      <c r="A1605" s="6" t="n">
        <v>46107</v>
      </c>
      <c r="B1605" s="3" t="n">
        <v>2026</v>
      </c>
      <c r="C1605" s="3" t="inlineStr">
        <is>
          <t>Blupine</t>
        </is>
      </c>
      <c r="D1605" s="3" t="inlineStr">
        <is>
          <t>Utility and C&amp;I</t>
        </is>
      </c>
      <c r="E1605" s="3" t="n"/>
      <c r="F1605" s="3" t="inlineStr">
        <is>
          <t>Closed</t>
        </is>
      </c>
      <c r="G1605" s="3" t="inlineStr">
        <is>
          <t>Chandrashekar Patidar</t>
        </is>
      </c>
      <c r="H1605" s="3" t="n">
        <v>7879764773</v>
      </c>
      <c r="I1605" s="11" t="inlineStr">
        <is>
          <t>PE26032601</t>
        </is>
      </c>
      <c r="J1605" s="3" t="inlineStr">
        <is>
          <t>Module Diode Failure</t>
        </is>
      </c>
      <c r="K1605" s="3" t="inlineStr">
        <is>
          <t>Sadla</t>
        </is>
      </c>
      <c r="L1605" s="3" t="inlineStr">
        <is>
          <t>Gujarat</t>
        </is>
      </c>
      <c r="M1605" s="9" t="inlineStr">
        <is>
          <t>NS</t>
        </is>
      </c>
      <c r="N1605" s="3" t="inlineStr">
        <is>
          <t>Cold Soldering</t>
        </is>
      </c>
      <c r="O1605" s="3" t="n">
        <v>570</v>
      </c>
      <c r="P1605" s="9" t="inlineStr">
        <is>
          <t>NSMI24060125782</t>
        </is>
      </c>
      <c r="Q1605" s="54">
        <f>MID(P1605,5,2)</f>
        <v/>
      </c>
      <c r="R1605" s="53">
        <f>MID(P1605,7,2)</f>
        <v/>
      </c>
      <c r="S1605" s="3" t="inlineStr">
        <is>
          <t>G2G</t>
        </is>
      </c>
      <c r="T1605" s="3" t="inlineStr">
        <is>
          <t>P4</t>
        </is>
      </c>
      <c r="U1605" s="3" t="inlineStr">
        <is>
          <t>N JB Cold Soldering</t>
        </is>
      </c>
      <c r="V1605" s="3" t="inlineStr">
        <is>
          <t>Soldering</t>
        </is>
      </c>
      <c r="W1605" s="3" t="inlineStr">
        <is>
          <t>Repair</t>
        </is>
      </c>
      <c r="X1605" s="18" t="n">
        <v>46162</v>
      </c>
      <c r="Y1605" s="3">
        <f>X1605-A1605</f>
        <v/>
      </c>
      <c r="Z1605" s="18" t="n">
        <v>46162</v>
      </c>
      <c r="AA1605" s="15" t="n"/>
      <c r="AB1605" s="15" t="n"/>
    </row>
    <row r="1606" hidden="1" s="233">
      <c r="A1606" s="6" t="n">
        <v>46107</v>
      </c>
      <c r="B1606" s="3" t="n">
        <v>2026</v>
      </c>
      <c r="C1606" s="3" t="inlineStr">
        <is>
          <t>Blupine</t>
        </is>
      </c>
      <c r="D1606" s="3" t="inlineStr">
        <is>
          <t>Utility and C&amp;I</t>
        </is>
      </c>
      <c r="E1606" s="3" t="n"/>
      <c r="F1606" s="3" t="inlineStr">
        <is>
          <t>Closed</t>
        </is>
      </c>
      <c r="G1606" s="3" t="inlineStr">
        <is>
          <t>Chandrashekar Patidar</t>
        </is>
      </c>
      <c r="H1606" s="3" t="n">
        <v>7879764773</v>
      </c>
      <c r="I1606" s="11" t="inlineStr">
        <is>
          <t>PE26032601</t>
        </is>
      </c>
      <c r="J1606" s="3" t="inlineStr">
        <is>
          <t>Module Diode Failure</t>
        </is>
      </c>
      <c r="K1606" s="3" t="inlineStr">
        <is>
          <t>Sadla</t>
        </is>
      </c>
      <c r="L1606" s="3" t="inlineStr">
        <is>
          <t>Gujarat</t>
        </is>
      </c>
      <c r="M1606" s="9" t="inlineStr">
        <is>
          <t>PNS</t>
        </is>
      </c>
      <c r="N1606" s="3" t="inlineStr">
        <is>
          <t>Cold Soldering</t>
        </is>
      </c>
      <c r="O1606" s="3" t="n">
        <v>570</v>
      </c>
      <c r="P1606" s="9" t="inlineStr">
        <is>
          <t>NSMI24060117734</t>
        </is>
      </c>
      <c r="Q1606" s="54">
        <f>MID(P1606,5,2)</f>
        <v/>
      </c>
      <c r="R1606" s="53">
        <f>MID(P1606,7,2)</f>
        <v/>
      </c>
      <c r="S1606" s="3" t="inlineStr">
        <is>
          <t>G2G</t>
        </is>
      </c>
      <c r="T1606" s="3" t="inlineStr">
        <is>
          <t>P4</t>
        </is>
      </c>
      <c r="U1606" s="3" t="inlineStr">
        <is>
          <t>P &amp; N JB Cold Soldering</t>
        </is>
      </c>
      <c r="V1606" s="3" t="inlineStr">
        <is>
          <t>Soldering</t>
        </is>
      </c>
      <c r="W1606" s="3" t="inlineStr">
        <is>
          <t>Repair</t>
        </is>
      </c>
      <c r="X1606" s="18" t="n">
        <v>46162</v>
      </c>
      <c r="Y1606" s="3">
        <f>X1606-A1606</f>
        <v/>
      </c>
      <c r="Z1606" s="18" t="n">
        <v>46162</v>
      </c>
      <c r="AA1606" s="15" t="n"/>
      <c r="AB1606" s="15" t="n"/>
    </row>
    <row r="1607" hidden="1" s="233">
      <c r="A1607" s="6" t="n">
        <v>46107</v>
      </c>
      <c r="B1607" s="3" t="n">
        <v>2026</v>
      </c>
      <c r="C1607" s="3" t="inlineStr">
        <is>
          <t>Blupine</t>
        </is>
      </c>
      <c r="D1607" s="3" t="inlineStr">
        <is>
          <t>Utility and C&amp;I</t>
        </is>
      </c>
      <c r="E1607" s="3" t="n"/>
      <c r="F1607" s="3" t="inlineStr">
        <is>
          <t>Closed</t>
        </is>
      </c>
      <c r="G1607" s="3" t="inlineStr">
        <is>
          <t>Chandrashekar Patidar</t>
        </is>
      </c>
      <c r="H1607" s="3" t="n">
        <v>7879764773</v>
      </c>
      <c r="I1607" s="11" t="inlineStr">
        <is>
          <t>PE26032601</t>
        </is>
      </c>
      <c r="J1607" s="3" t="inlineStr">
        <is>
          <t>Module Diode Failure</t>
        </is>
      </c>
      <c r="K1607" s="3" t="inlineStr">
        <is>
          <t>Sadla</t>
        </is>
      </c>
      <c r="L1607" s="3" t="inlineStr">
        <is>
          <t>Gujarat</t>
        </is>
      </c>
      <c r="M1607" s="9" t="inlineStr">
        <is>
          <t>NS</t>
        </is>
      </c>
      <c r="N1607" s="3" t="inlineStr">
        <is>
          <t>Cold Soldering</t>
        </is>
      </c>
      <c r="O1607" s="3" t="n">
        <v>570</v>
      </c>
      <c r="P1607" s="9" t="inlineStr">
        <is>
          <t>NSMI24050046833</t>
        </is>
      </c>
      <c r="Q1607" s="54">
        <f>MID(P1607,5,2)</f>
        <v/>
      </c>
      <c r="R1607" s="53">
        <f>MID(P1607,7,2)</f>
        <v/>
      </c>
      <c r="S1607" s="3" t="inlineStr">
        <is>
          <t>G2G</t>
        </is>
      </c>
      <c r="T1607" s="3" t="inlineStr">
        <is>
          <t>P4</t>
        </is>
      </c>
      <c r="U1607" s="3" t="inlineStr">
        <is>
          <t>N JB Cold Soldering</t>
        </is>
      </c>
      <c r="V1607" s="3" t="inlineStr">
        <is>
          <t>Soldering</t>
        </is>
      </c>
      <c r="W1607" s="3" t="inlineStr">
        <is>
          <t>Repair</t>
        </is>
      </c>
      <c r="X1607" s="18" t="n">
        <v>46162</v>
      </c>
      <c r="Y1607" s="3">
        <f>X1607-A1607</f>
        <v/>
      </c>
      <c r="Z1607" s="18" t="n">
        <v>46162</v>
      </c>
      <c r="AA1607" s="15" t="n"/>
      <c r="AB1607" s="15" t="n"/>
    </row>
    <row r="1608" hidden="1" s="233">
      <c r="A1608" s="6" t="n">
        <v>46107</v>
      </c>
      <c r="B1608" s="3" t="n">
        <v>2026</v>
      </c>
      <c r="C1608" s="3" t="inlineStr">
        <is>
          <t>Blupine</t>
        </is>
      </c>
      <c r="D1608" s="3" t="inlineStr">
        <is>
          <t>Utility and C&amp;I</t>
        </is>
      </c>
      <c r="E1608" s="3" t="n"/>
      <c r="F1608" s="3" t="inlineStr">
        <is>
          <t>Closed</t>
        </is>
      </c>
      <c r="G1608" s="3" t="inlineStr">
        <is>
          <t>Chandrashekar Patidar</t>
        </is>
      </c>
      <c r="H1608" s="3" t="n">
        <v>7879764773</v>
      </c>
      <c r="I1608" s="11" t="inlineStr">
        <is>
          <t>PE26032601</t>
        </is>
      </c>
      <c r="J1608" s="3" t="inlineStr">
        <is>
          <t>Module Diode Failure</t>
        </is>
      </c>
      <c r="K1608" s="3" t="inlineStr">
        <is>
          <t>Sadla</t>
        </is>
      </c>
      <c r="L1608" s="3" t="inlineStr">
        <is>
          <t>Gujarat</t>
        </is>
      </c>
      <c r="M1608" s="9" t="inlineStr">
        <is>
          <t>NS</t>
        </is>
      </c>
      <c r="N1608" s="3" t="inlineStr">
        <is>
          <t>Cold Soldering</t>
        </is>
      </c>
      <c r="O1608" s="3" t="n">
        <v>570</v>
      </c>
      <c r="P1608" s="9" t="inlineStr">
        <is>
          <t>NSMI24060076948</t>
        </is>
      </c>
      <c r="Q1608" s="54">
        <f>MID(P1608,5,2)</f>
        <v/>
      </c>
      <c r="R1608" s="53">
        <f>MID(P1608,7,2)</f>
        <v/>
      </c>
      <c r="S1608" s="3" t="inlineStr">
        <is>
          <t>G2G</t>
        </is>
      </c>
      <c r="T1608" s="3" t="inlineStr">
        <is>
          <t>P4</t>
        </is>
      </c>
      <c r="U1608" s="3" t="inlineStr">
        <is>
          <t>N JB Cold Soldering</t>
        </is>
      </c>
      <c r="V1608" s="3" t="inlineStr">
        <is>
          <t>Soldering</t>
        </is>
      </c>
      <c r="W1608" s="3" t="inlineStr">
        <is>
          <t>Repair</t>
        </is>
      </c>
      <c r="X1608" s="18" t="n">
        <v>46162</v>
      </c>
      <c r="Y1608" s="3">
        <f>X1608-A1608</f>
        <v/>
      </c>
      <c r="Z1608" s="18" t="n">
        <v>46162</v>
      </c>
      <c r="AA1608" s="15" t="n"/>
      <c r="AB1608" s="15" t="n"/>
    </row>
    <row r="1609" hidden="1" s="233">
      <c r="A1609" s="6" t="n">
        <v>46107</v>
      </c>
      <c r="B1609" s="3" t="n">
        <v>2026</v>
      </c>
      <c r="C1609" s="3" t="inlineStr">
        <is>
          <t>Blupine</t>
        </is>
      </c>
      <c r="D1609" s="3" t="inlineStr">
        <is>
          <t>Utility and C&amp;I</t>
        </is>
      </c>
      <c r="E1609" s="3" t="n"/>
      <c r="F1609" s="3" t="inlineStr">
        <is>
          <t>Closed</t>
        </is>
      </c>
      <c r="G1609" s="3" t="inlineStr">
        <is>
          <t>Chandrashekar Patidar</t>
        </is>
      </c>
      <c r="H1609" s="3" t="n">
        <v>7879764773</v>
      </c>
      <c r="I1609" s="11" t="inlineStr">
        <is>
          <t>PE26032601</t>
        </is>
      </c>
      <c r="J1609" s="3" t="inlineStr">
        <is>
          <t>Module Diode Failure</t>
        </is>
      </c>
      <c r="K1609" s="3" t="inlineStr">
        <is>
          <t>Sadla</t>
        </is>
      </c>
      <c r="L1609" s="3" t="inlineStr">
        <is>
          <t>Gujarat</t>
        </is>
      </c>
      <c r="M1609" s="9" t="inlineStr">
        <is>
          <t>NS</t>
        </is>
      </c>
      <c r="N1609" s="3" t="inlineStr">
        <is>
          <t>Cold Soldering</t>
        </is>
      </c>
      <c r="O1609" s="3" t="n">
        <v>570</v>
      </c>
      <c r="P1609" s="9" t="inlineStr">
        <is>
          <t>NSMI24060076932</t>
        </is>
      </c>
      <c r="Q1609" s="54">
        <f>MID(P1609,5,2)</f>
        <v/>
      </c>
      <c r="R1609" s="53">
        <f>MID(P1609,7,2)</f>
        <v/>
      </c>
      <c r="S1609" s="3" t="inlineStr">
        <is>
          <t>G2G</t>
        </is>
      </c>
      <c r="T1609" s="3" t="inlineStr">
        <is>
          <t>P4</t>
        </is>
      </c>
      <c r="U1609" s="3" t="inlineStr">
        <is>
          <t>N JB Cold Soldering</t>
        </is>
      </c>
      <c r="V1609" s="3" t="inlineStr">
        <is>
          <t>Soldering</t>
        </is>
      </c>
      <c r="W1609" s="3" t="inlineStr">
        <is>
          <t>Repair</t>
        </is>
      </c>
      <c r="X1609" s="18" t="n">
        <v>46162</v>
      </c>
      <c r="Y1609" s="3">
        <f>X1609-A1609</f>
        <v/>
      </c>
      <c r="Z1609" s="18" t="n">
        <v>46162</v>
      </c>
      <c r="AA1609" s="15" t="n"/>
      <c r="AB1609" s="15" t="n"/>
    </row>
    <row r="1610" hidden="1" s="233">
      <c r="A1610" s="6" t="n">
        <v>46107</v>
      </c>
      <c r="B1610" s="3" t="n">
        <v>2026</v>
      </c>
      <c r="C1610" s="3" t="inlineStr">
        <is>
          <t>Blupine</t>
        </is>
      </c>
      <c r="D1610" s="3" t="inlineStr">
        <is>
          <t>Utility and C&amp;I</t>
        </is>
      </c>
      <c r="E1610" s="3" t="n"/>
      <c r="F1610" s="3" t="inlineStr">
        <is>
          <t>Closed</t>
        </is>
      </c>
      <c r="G1610" s="3" t="inlineStr">
        <is>
          <t>Chandrashekar Patidar</t>
        </is>
      </c>
      <c r="H1610" s="3" t="n">
        <v>7879764773</v>
      </c>
      <c r="I1610" s="11" t="inlineStr">
        <is>
          <t>PE26032601</t>
        </is>
      </c>
      <c r="J1610" s="3" t="inlineStr">
        <is>
          <t>Module Diode Failure</t>
        </is>
      </c>
      <c r="K1610" s="3" t="inlineStr">
        <is>
          <t>Sadla</t>
        </is>
      </c>
      <c r="L1610" s="3" t="inlineStr">
        <is>
          <t>Gujarat</t>
        </is>
      </c>
      <c r="M1610" s="9" t="inlineStr">
        <is>
          <t>NS</t>
        </is>
      </c>
      <c r="N1610" s="3" t="inlineStr">
        <is>
          <t>Cold Soldering</t>
        </is>
      </c>
      <c r="O1610" s="3" t="n">
        <v>570</v>
      </c>
      <c r="P1610" s="9" t="inlineStr">
        <is>
          <t>NSMI24060121304</t>
        </is>
      </c>
      <c r="Q1610" s="54">
        <f>MID(P1610,5,2)</f>
        <v/>
      </c>
      <c r="R1610" s="53">
        <f>MID(P1610,7,2)</f>
        <v/>
      </c>
      <c r="S1610" s="3" t="inlineStr">
        <is>
          <t>G2G</t>
        </is>
      </c>
      <c r="T1610" s="3" t="inlineStr">
        <is>
          <t>P4</t>
        </is>
      </c>
      <c r="U1610" s="3" t="inlineStr">
        <is>
          <t>N JB Cold Soldering</t>
        </is>
      </c>
      <c r="V1610" s="3" t="inlineStr">
        <is>
          <t>Soldering</t>
        </is>
      </c>
      <c r="W1610" s="3" t="inlineStr">
        <is>
          <t>Repair</t>
        </is>
      </c>
      <c r="X1610" s="18" t="n">
        <v>46162</v>
      </c>
      <c r="Y1610" s="3">
        <f>X1610-A1610</f>
        <v/>
      </c>
      <c r="Z1610" s="18" t="n">
        <v>46162</v>
      </c>
      <c r="AA1610" s="15" t="n"/>
      <c r="AB1610" s="15" t="n"/>
    </row>
    <row r="1611" hidden="1" s="233">
      <c r="A1611" s="6" t="n">
        <v>46107</v>
      </c>
      <c r="B1611" s="3" t="n">
        <v>2026</v>
      </c>
      <c r="C1611" s="3" t="inlineStr">
        <is>
          <t>Blupine</t>
        </is>
      </c>
      <c r="D1611" s="3" t="inlineStr">
        <is>
          <t>Utility and C&amp;I</t>
        </is>
      </c>
      <c r="E1611" s="3" t="n"/>
      <c r="F1611" s="3" t="inlineStr">
        <is>
          <t>Closed</t>
        </is>
      </c>
      <c r="G1611" s="3" t="inlineStr">
        <is>
          <t>Chandrashekar Patidar</t>
        </is>
      </c>
      <c r="H1611" s="3" t="n">
        <v>7879764773</v>
      </c>
      <c r="I1611" s="11" t="inlineStr">
        <is>
          <t>PE26032601</t>
        </is>
      </c>
      <c r="J1611" s="3" t="inlineStr">
        <is>
          <t>Module Diode Failure</t>
        </is>
      </c>
      <c r="K1611" s="3" t="inlineStr">
        <is>
          <t>Sadla</t>
        </is>
      </c>
      <c r="L1611" s="3" t="inlineStr">
        <is>
          <t>Gujarat</t>
        </is>
      </c>
      <c r="M1611" s="9" t="inlineStr">
        <is>
          <t>NS</t>
        </is>
      </c>
      <c r="N1611" s="3" t="inlineStr">
        <is>
          <t>Cold Soldering</t>
        </is>
      </c>
      <c r="O1611" s="3" t="n">
        <v>570</v>
      </c>
      <c r="P1611" s="9" t="inlineStr">
        <is>
          <t>NSMI24060121305</t>
        </is>
      </c>
      <c r="Q1611" s="54">
        <f>MID(P1611,5,2)</f>
        <v/>
      </c>
      <c r="R1611" s="53">
        <f>MID(P1611,7,2)</f>
        <v/>
      </c>
      <c r="S1611" s="3" t="inlineStr">
        <is>
          <t>G2G</t>
        </is>
      </c>
      <c r="T1611" s="3" t="inlineStr">
        <is>
          <t>P4</t>
        </is>
      </c>
      <c r="U1611" s="3" t="inlineStr">
        <is>
          <t>N JB Cold Soldering</t>
        </is>
      </c>
      <c r="V1611" s="3" t="inlineStr">
        <is>
          <t>Soldering</t>
        </is>
      </c>
      <c r="W1611" s="3" t="inlineStr">
        <is>
          <t>Repair</t>
        </is>
      </c>
      <c r="X1611" s="18" t="n">
        <v>46162</v>
      </c>
      <c r="Y1611" s="3">
        <f>X1611-A1611</f>
        <v/>
      </c>
      <c r="Z1611" s="18" t="n">
        <v>46162</v>
      </c>
      <c r="AA1611" s="15" t="n"/>
      <c r="AB1611" s="15" t="n"/>
    </row>
    <row r="1612">
      <c r="A1612" s="37" t="n">
        <v>46143</v>
      </c>
      <c r="B1612" s="3" t="n">
        <v>2026</v>
      </c>
      <c r="C1612" s="26" t="inlineStr">
        <is>
          <t>Yanara Power</t>
        </is>
      </c>
      <c r="D1612" s="3" t="inlineStr">
        <is>
          <t>Utility and C&amp;I</t>
        </is>
      </c>
      <c r="E1612" s="3" t="n"/>
      <c r="F1612" s="3" t="inlineStr">
        <is>
          <t>Closed</t>
        </is>
      </c>
      <c r="G1612" s="9" t="inlineStr">
        <is>
          <t xml:space="preserve">Ashish Jindal </t>
        </is>
      </c>
      <c r="H1612" s="26" t="n">
        <v>9983975581</v>
      </c>
      <c r="I1612" s="38" t="inlineStr">
        <is>
          <t>PE01052601</t>
        </is>
      </c>
      <c r="J1612" s="26" t="inlineStr">
        <is>
          <t>Multiple Issues</t>
        </is>
      </c>
      <c r="K1612" s="39" t="inlineStr">
        <is>
          <t>Holi</t>
        </is>
      </c>
      <c r="L1612" s="39" t="inlineStr">
        <is>
          <t>Maharashtra</t>
        </is>
      </c>
      <c r="M1612" s="46" t="inlineStr">
        <is>
          <t>PS</t>
        </is>
      </c>
      <c r="N1612" s="3" t="inlineStr">
        <is>
          <t>Cold Soldering</t>
        </is>
      </c>
      <c r="O1612" s="39" t="n">
        <v>575</v>
      </c>
      <c r="P1612" s="46" t="inlineStr">
        <is>
          <t>NSMI24070182018</t>
        </is>
      </c>
      <c r="Q1612" s="53">
        <f>MID(P1612,5,2)</f>
        <v/>
      </c>
      <c r="R1612" s="53">
        <f>MID(P1612,7,2)</f>
        <v/>
      </c>
      <c r="S1612" s="3" t="inlineStr">
        <is>
          <t>G2G</t>
        </is>
      </c>
      <c r="T1612" s="3" t="inlineStr">
        <is>
          <t>P4</t>
        </is>
      </c>
      <c r="U1612" s="19" t="inlineStr">
        <is>
          <t>P JB Cold Soldering</t>
        </is>
      </c>
      <c r="V1612" s="19" t="inlineStr">
        <is>
          <t>Soldering</t>
        </is>
      </c>
      <c r="W1612" s="3" t="inlineStr">
        <is>
          <t>Repair</t>
        </is>
      </c>
      <c r="X1612" s="18" t="n">
        <v>46162</v>
      </c>
      <c r="Y1612" s="3">
        <f>X1612-A1612</f>
        <v/>
      </c>
      <c r="Z1612" s="18" t="n">
        <v>46162</v>
      </c>
      <c r="AA1612" s="15" t="n"/>
      <c r="AB1612" s="15" t="n"/>
    </row>
    <row r="1613">
      <c r="A1613" s="37" t="n">
        <v>46143</v>
      </c>
      <c r="B1613" s="3" t="n">
        <v>2026</v>
      </c>
      <c r="C1613" s="26" t="inlineStr">
        <is>
          <t>Yanara Power</t>
        </is>
      </c>
      <c r="D1613" s="3" t="inlineStr">
        <is>
          <t>Utility and C&amp;I</t>
        </is>
      </c>
      <c r="E1613" s="3" t="n"/>
      <c r="F1613" s="3" t="inlineStr">
        <is>
          <t>Closed</t>
        </is>
      </c>
      <c r="G1613" s="9" t="inlineStr">
        <is>
          <t xml:space="preserve">Ashish Jindal </t>
        </is>
      </c>
      <c r="H1613" s="26" t="n">
        <v>9983975581</v>
      </c>
      <c r="I1613" s="38" t="inlineStr">
        <is>
          <t>PE01052601</t>
        </is>
      </c>
      <c r="J1613" s="26" t="inlineStr">
        <is>
          <t>Multiple Issues</t>
        </is>
      </c>
      <c r="K1613" s="39" t="inlineStr">
        <is>
          <t>Holi</t>
        </is>
      </c>
      <c r="L1613" s="39" t="inlineStr">
        <is>
          <t>Maharashtra</t>
        </is>
      </c>
      <c r="M1613" s="46" t="inlineStr">
        <is>
          <t>PS</t>
        </is>
      </c>
      <c r="N1613" s="3" t="inlineStr">
        <is>
          <t>Cold Soldering</t>
        </is>
      </c>
      <c r="O1613" s="39" t="n">
        <v>575</v>
      </c>
      <c r="P1613" s="46" t="inlineStr">
        <is>
          <t>NSMI24070182022</t>
        </is>
      </c>
      <c r="Q1613" s="53">
        <f>MID(P1613,5,2)</f>
        <v/>
      </c>
      <c r="R1613" s="53">
        <f>MID(P1613,7,2)</f>
        <v/>
      </c>
      <c r="S1613" s="3" t="inlineStr">
        <is>
          <t>G2G</t>
        </is>
      </c>
      <c r="T1613" s="3" t="inlineStr">
        <is>
          <t>P4</t>
        </is>
      </c>
      <c r="U1613" s="19" t="inlineStr">
        <is>
          <t>P JB Cold Soldering</t>
        </is>
      </c>
      <c r="V1613" s="19" t="inlineStr">
        <is>
          <t>Soldering</t>
        </is>
      </c>
      <c r="W1613" s="3" t="inlineStr">
        <is>
          <t>Repair</t>
        </is>
      </c>
      <c r="X1613" s="18" t="n">
        <v>46162</v>
      </c>
      <c r="Y1613" s="3">
        <f>X1613-A1613</f>
        <v/>
      </c>
      <c r="Z1613" s="18" t="n">
        <v>46162</v>
      </c>
      <c r="AA1613" s="15" t="n"/>
      <c r="AB1613" s="15" t="n"/>
    </row>
    <row r="1614">
      <c r="A1614" s="37" t="n">
        <v>46143</v>
      </c>
      <c r="B1614" s="3" t="n">
        <v>2026</v>
      </c>
      <c r="C1614" s="26" t="inlineStr">
        <is>
          <t>Yanara Power</t>
        </is>
      </c>
      <c r="D1614" s="3" t="inlineStr">
        <is>
          <t>Utility and C&amp;I</t>
        </is>
      </c>
      <c r="E1614" s="3" t="n"/>
      <c r="F1614" s="3" t="inlineStr">
        <is>
          <t>Closed</t>
        </is>
      </c>
      <c r="G1614" s="9" t="inlineStr">
        <is>
          <t xml:space="preserve">Ashish Jindal </t>
        </is>
      </c>
      <c r="H1614" s="26" t="n">
        <v>9983975581</v>
      </c>
      <c r="I1614" s="38" t="inlineStr">
        <is>
          <t>PE01052601</t>
        </is>
      </c>
      <c r="J1614" s="26" t="inlineStr">
        <is>
          <t>Multiple Issues</t>
        </is>
      </c>
      <c r="K1614" s="39" t="inlineStr">
        <is>
          <t>Holi</t>
        </is>
      </c>
      <c r="L1614" s="39" t="inlineStr">
        <is>
          <t>Maharashtra</t>
        </is>
      </c>
      <c r="M1614" s="46" t="inlineStr">
        <is>
          <t>NS</t>
        </is>
      </c>
      <c r="N1614" s="3" t="inlineStr">
        <is>
          <t>Cold Soldering</t>
        </is>
      </c>
      <c r="O1614" s="39" t="n">
        <v>575</v>
      </c>
      <c r="P1614" s="46" t="inlineStr">
        <is>
          <t>NSMI24070182020</t>
        </is>
      </c>
      <c r="Q1614" s="53">
        <f>MID(P1614,5,2)</f>
        <v/>
      </c>
      <c r="R1614" s="53">
        <f>MID(P1614,7,2)</f>
        <v/>
      </c>
      <c r="S1614" s="3" t="inlineStr">
        <is>
          <t>G2G</t>
        </is>
      </c>
      <c r="T1614" s="3" t="inlineStr">
        <is>
          <t>P4</t>
        </is>
      </c>
      <c r="U1614" s="3" t="inlineStr">
        <is>
          <t>N JB Cold Soldering</t>
        </is>
      </c>
      <c r="V1614" s="3" t="inlineStr">
        <is>
          <t>Soldering</t>
        </is>
      </c>
      <c r="W1614" s="3" t="inlineStr">
        <is>
          <t>Repair</t>
        </is>
      </c>
      <c r="X1614" s="18" t="n">
        <v>46162</v>
      </c>
      <c r="Y1614" s="3">
        <f>X1614-A1614</f>
        <v/>
      </c>
      <c r="Z1614" s="18" t="n">
        <v>46162</v>
      </c>
      <c r="AA1614" s="15" t="n"/>
      <c r="AB1614" s="15" t="n"/>
    </row>
    <row r="1615">
      <c r="A1615" s="37" t="n">
        <v>46143</v>
      </c>
      <c r="B1615" s="3" t="n">
        <v>2026</v>
      </c>
      <c r="C1615" s="26" t="inlineStr">
        <is>
          <t>Yanara Power</t>
        </is>
      </c>
      <c r="D1615" s="3" t="inlineStr">
        <is>
          <t>Utility and C&amp;I</t>
        </is>
      </c>
      <c r="E1615" s="3" t="n"/>
      <c r="F1615" s="3" t="inlineStr">
        <is>
          <t>Closed</t>
        </is>
      </c>
      <c r="G1615" s="9" t="inlineStr">
        <is>
          <t xml:space="preserve">Ashish Jindal </t>
        </is>
      </c>
      <c r="H1615" s="26" t="n">
        <v>9983975581</v>
      </c>
      <c r="I1615" s="38" t="inlineStr">
        <is>
          <t>PE01052601</t>
        </is>
      </c>
      <c r="J1615" s="26" t="inlineStr">
        <is>
          <t>Multiple Issues</t>
        </is>
      </c>
      <c r="K1615" s="39" t="inlineStr">
        <is>
          <t>Holi</t>
        </is>
      </c>
      <c r="L1615" s="39" t="inlineStr">
        <is>
          <t>Maharashtra</t>
        </is>
      </c>
      <c r="M1615" s="46" t="inlineStr">
        <is>
          <t>PS</t>
        </is>
      </c>
      <c r="N1615" s="3" t="inlineStr">
        <is>
          <t>Cold Soldering</t>
        </is>
      </c>
      <c r="O1615" s="39" t="n">
        <v>575</v>
      </c>
      <c r="P1615" s="46" t="inlineStr">
        <is>
          <t>NSMI24070182017</t>
        </is>
      </c>
      <c r="Q1615" s="53">
        <f>MID(P1615,5,2)</f>
        <v/>
      </c>
      <c r="R1615" s="53">
        <f>MID(P1615,7,2)</f>
        <v/>
      </c>
      <c r="S1615" s="3" t="inlineStr">
        <is>
          <t>G2G</t>
        </is>
      </c>
      <c r="T1615" s="3" t="inlineStr">
        <is>
          <t>P4</t>
        </is>
      </c>
      <c r="U1615" s="19" t="inlineStr">
        <is>
          <t>P JB Cold Soldering</t>
        </is>
      </c>
      <c r="V1615" s="19" t="inlineStr">
        <is>
          <t>Soldering</t>
        </is>
      </c>
      <c r="W1615" s="3" t="inlineStr">
        <is>
          <t>Repair</t>
        </is>
      </c>
      <c r="X1615" s="18" t="n">
        <v>46162</v>
      </c>
      <c r="Y1615" s="3">
        <f>X1615-A1615</f>
        <v/>
      </c>
      <c r="Z1615" s="18" t="n">
        <v>46162</v>
      </c>
      <c r="AA1615" s="15" t="n"/>
      <c r="AB1615" s="15" t="n"/>
    </row>
    <row r="1616">
      <c r="A1616" s="37" t="n">
        <v>46143</v>
      </c>
      <c r="B1616" s="3" t="n">
        <v>2026</v>
      </c>
      <c r="C1616" s="26" t="inlineStr">
        <is>
          <t>Yanara Power</t>
        </is>
      </c>
      <c r="D1616" s="3" t="inlineStr">
        <is>
          <t>Utility and C&amp;I</t>
        </is>
      </c>
      <c r="E1616" s="3" t="n"/>
      <c r="F1616" s="3" t="inlineStr">
        <is>
          <t>Closed</t>
        </is>
      </c>
      <c r="G1616" s="9" t="inlineStr">
        <is>
          <t xml:space="preserve">Ashish Jindal </t>
        </is>
      </c>
      <c r="H1616" s="26" t="n">
        <v>9983975581</v>
      </c>
      <c r="I1616" s="38" t="inlineStr">
        <is>
          <t>PE01052601</t>
        </is>
      </c>
      <c r="J1616" s="26" t="inlineStr">
        <is>
          <t>Multiple Issues</t>
        </is>
      </c>
      <c r="K1616" s="39" t="inlineStr">
        <is>
          <t>Holi</t>
        </is>
      </c>
      <c r="L1616" s="39" t="inlineStr">
        <is>
          <t>Maharashtra</t>
        </is>
      </c>
      <c r="M1616" s="46" t="inlineStr">
        <is>
          <t>PS</t>
        </is>
      </c>
      <c r="N1616" s="3" t="inlineStr">
        <is>
          <t>Cold Soldering</t>
        </is>
      </c>
      <c r="O1616" s="39" t="n">
        <v>575</v>
      </c>
      <c r="P1616" s="46" t="inlineStr">
        <is>
          <t>NSMI24070176069</t>
        </is>
      </c>
      <c r="Q1616" s="53">
        <f>MID(P1616,5,2)</f>
        <v/>
      </c>
      <c r="R1616" s="53">
        <f>MID(P1616,7,2)</f>
        <v/>
      </c>
      <c r="S1616" s="3" t="inlineStr">
        <is>
          <t>G2G</t>
        </is>
      </c>
      <c r="T1616" s="3" t="inlineStr">
        <is>
          <t>P4</t>
        </is>
      </c>
      <c r="U1616" s="19" t="inlineStr">
        <is>
          <t>P JB Cold Soldering</t>
        </is>
      </c>
      <c r="V1616" s="19" t="inlineStr">
        <is>
          <t>Soldering</t>
        </is>
      </c>
      <c r="W1616" s="3" t="inlineStr">
        <is>
          <t>Repair</t>
        </is>
      </c>
      <c r="X1616" s="18" t="n">
        <v>46162</v>
      </c>
      <c r="Y1616" s="3">
        <f>X1616-A1616</f>
        <v/>
      </c>
      <c r="Z1616" s="18" t="n">
        <v>46162</v>
      </c>
      <c r="AA1616" s="15" t="n"/>
      <c r="AB1616" s="15" t="n"/>
    </row>
    <row r="1617">
      <c r="A1617" s="37" t="n">
        <v>46143</v>
      </c>
      <c r="B1617" s="3" t="n">
        <v>2026</v>
      </c>
      <c r="C1617" s="26" t="inlineStr">
        <is>
          <t>Yanara Power</t>
        </is>
      </c>
      <c r="D1617" s="3" t="inlineStr">
        <is>
          <t>Utility and C&amp;I</t>
        </is>
      </c>
      <c r="E1617" s="3" t="n"/>
      <c r="F1617" s="3" t="inlineStr">
        <is>
          <t>Closed</t>
        </is>
      </c>
      <c r="G1617" s="9" t="inlineStr">
        <is>
          <t xml:space="preserve">Ashish Jindal </t>
        </is>
      </c>
      <c r="H1617" s="26" t="n">
        <v>9983975581</v>
      </c>
      <c r="I1617" s="38" t="inlineStr">
        <is>
          <t>PE01052601</t>
        </is>
      </c>
      <c r="J1617" s="26" t="inlineStr">
        <is>
          <t>Multiple Issues</t>
        </is>
      </c>
      <c r="K1617" s="39" t="inlineStr">
        <is>
          <t>Holi</t>
        </is>
      </c>
      <c r="L1617" s="39" t="inlineStr">
        <is>
          <t>Maharashtra</t>
        </is>
      </c>
      <c r="M1617" s="46" t="inlineStr">
        <is>
          <t>PS</t>
        </is>
      </c>
      <c r="N1617" s="3" t="inlineStr">
        <is>
          <t>Cold Soldering</t>
        </is>
      </c>
      <c r="O1617" s="39" t="n">
        <v>575</v>
      </c>
      <c r="P1617" s="46" t="inlineStr">
        <is>
          <t>NSMI24070184624</t>
        </is>
      </c>
      <c r="Q1617" s="53">
        <f>MID(P1617,5,2)</f>
        <v/>
      </c>
      <c r="R1617" s="53">
        <f>MID(P1617,7,2)</f>
        <v/>
      </c>
      <c r="S1617" s="3" t="inlineStr">
        <is>
          <t>G2G</t>
        </is>
      </c>
      <c r="T1617" s="3" t="inlineStr">
        <is>
          <t>P4</t>
        </is>
      </c>
      <c r="U1617" s="19" t="inlineStr">
        <is>
          <t>P JB Cold Soldering</t>
        </is>
      </c>
      <c r="V1617" s="19" t="inlineStr">
        <is>
          <t>Soldering</t>
        </is>
      </c>
      <c r="W1617" s="3" t="inlineStr">
        <is>
          <t>Repair</t>
        </is>
      </c>
      <c r="X1617" s="18" t="n">
        <v>46162</v>
      </c>
      <c r="Y1617" s="3">
        <f>X1617-A1617</f>
        <v/>
      </c>
      <c r="Z1617" s="18" t="n">
        <v>46162</v>
      </c>
      <c r="AA1617" s="15" t="n"/>
      <c r="AB1617" s="15" t="n"/>
    </row>
    <row r="1618">
      <c r="A1618" s="37" t="n">
        <v>46143</v>
      </c>
      <c r="B1618" s="3" t="n">
        <v>2026</v>
      </c>
      <c r="C1618" s="26" t="inlineStr">
        <is>
          <t>Yanara Power</t>
        </is>
      </c>
      <c r="D1618" s="3" t="inlineStr">
        <is>
          <t>Utility and C&amp;I</t>
        </is>
      </c>
      <c r="E1618" s="3" t="n"/>
      <c r="F1618" s="3" t="inlineStr">
        <is>
          <t>Closed</t>
        </is>
      </c>
      <c r="G1618" s="9" t="inlineStr">
        <is>
          <t xml:space="preserve">Ashish Jindal </t>
        </is>
      </c>
      <c r="H1618" s="26" t="n">
        <v>9983975581</v>
      </c>
      <c r="I1618" s="38" t="inlineStr">
        <is>
          <t>PE01052601</t>
        </is>
      </c>
      <c r="J1618" s="26" t="inlineStr">
        <is>
          <t>Multiple Issues</t>
        </is>
      </c>
      <c r="K1618" s="39" t="inlineStr">
        <is>
          <t>Holi</t>
        </is>
      </c>
      <c r="L1618" s="39" t="inlineStr">
        <is>
          <t>Maharashtra</t>
        </is>
      </c>
      <c r="M1618" s="46" t="inlineStr">
        <is>
          <t>PNS</t>
        </is>
      </c>
      <c r="N1618" s="3" t="inlineStr">
        <is>
          <t>Cold Soldering</t>
        </is>
      </c>
      <c r="O1618" s="39" t="n">
        <v>575</v>
      </c>
      <c r="P1618" s="46" t="inlineStr">
        <is>
          <t>NSMI24070184643</t>
        </is>
      </c>
      <c r="Q1618" s="53">
        <f>MID(P1618,5,2)</f>
        <v/>
      </c>
      <c r="R1618" s="53">
        <f>MID(P1618,7,2)</f>
        <v/>
      </c>
      <c r="S1618" s="3" t="inlineStr">
        <is>
          <t>G2G</t>
        </is>
      </c>
      <c r="T1618" s="3" t="inlineStr">
        <is>
          <t>P4</t>
        </is>
      </c>
      <c r="U1618" s="3" t="inlineStr">
        <is>
          <t>P &amp; N JB Cold Soldering</t>
        </is>
      </c>
      <c r="V1618" s="3" t="inlineStr">
        <is>
          <t>Soldering</t>
        </is>
      </c>
      <c r="W1618" s="3" t="inlineStr">
        <is>
          <t>Repair</t>
        </is>
      </c>
      <c r="X1618" s="18" t="n">
        <v>46162</v>
      </c>
      <c r="Y1618" s="3">
        <f>X1618-A1618</f>
        <v/>
      </c>
      <c r="Z1618" s="18" t="n">
        <v>46162</v>
      </c>
      <c r="AA1618" s="15" t="n"/>
      <c r="AB1618" s="15" t="n"/>
    </row>
    <row r="1619">
      <c r="A1619" s="37" t="n">
        <v>46143</v>
      </c>
      <c r="B1619" s="3" t="n">
        <v>2026</v>
      </c>
      <c r="C1619" s="26" t="inlineStr">
        <is>
          <t>Yanara Power</t>
        </is>
      </c>
      <c r="D1619" s="3" t="inlineStr">
        <is>
          <t>Utility and C&amp;I</t>
        </is>
      </c>
      <c r="E1619" s="3" t="n"/>
      <c r="F1619" s="3" t="inlineStr">
        <is>
          <t>Closed</t>
        </is>
      </c>
      <c r="G1619" s="9" t="inlineStr">
        <is>
          <t xml:space="preserve">Ashish Jindal </t>
        </is>
      </c>
      <c r="H1619" s="26" t="n">
        <v>9983975581</v>
      </c>
      <c r="I1619" s="38" t="inlineStr">
        <is>
          <t>PE01052601</t>
        </is>
      </c>
      <c r="J1619" s="26" t="inlineStr">
        <is>
          <t>Multiple Issues</t>
        </is>
      </c>
      <c r="K1619" s="39" t="inlineStr">
        <is>
          <t>Holi</t>
        </is>
      </c>
      <c r="L1619" s="39" t="inlineStr">
        <is>
          <t>Maharashtra</t>
        </is>
      </c>
      <c r="M1619" s="46" t="inlineStr">
        <is>
          <t>PS</t>
        </is>
      </c>
      <c r="N1619" s="3" t="inlineStr">
        <is>
          <t>Cold Soldering</t>
        </is>
      </c>
      <c r="O1619" s="39" t="n">
        <v>575</v>
      </c>
      <c r="P1619" s="46" t="inlineStr">
        <is>
          <t>NSMI24070184616</t>
        </is>
      </c>
      <c r="Q1619" s="53">
        <f>MID(P1619,5,2)</f>
        <v/>
      </c>
      <c r="R1619" s="53">
        <f>MID(P1619,7,2)</f>
        <v/>
      </c>
      <c r="S1619" s="3" t="inlineStr">
        <is>
          <t>G2G</t>
        </is>
      </c>
      <c r="T1619" s="3" t="inlineStr">
        <is>
          <t>P4</t>
        </is>
      </c>
      <c r="U1619" s="19" t="inlineStr">
        <is>
          <t>P JB Cold Soldering</t>
        </is>
      </c>
      <c r="V1619" s="19" t="inlineStr">
        <is>
          <t>Soldering</t>
        </is>
      </c>
      <c r="W1619" s="3" t="inlineStr">
        <is>
          <t>Repair</t>
        </is>
      </c>
      <c r="X1619" s="18" t="n">
        <v>46162</v>
      </c>
      <c r="Y1619" s="3">
        <f>X1619-A1619</f>
        <v/>
      </c>
      <c r="Z1619" s="18" t="n">
        <v>46162</v>
      </c>
      <c r="AA1619" s="15" t="n"/>
      <c r="AB1619" s="15" t="n"/>
    </row>
    <row r="1620">
      <c r="A1620" s="37" t="n">
        <v>46143</v>
      </c>
      <c r="B1620" s="3" t="n">
        <v>2026</v>
      </c>
      <c r="C1620" s="26" t="inlineStr">
        <is>
          <t>Yanara Power</t>
        </is>
      </c>
      <c r="D1620" s="3" t="inlineStr">
        <is>
          <t>Utility and C&amp;I</t>
        </is>
      </c>
      <c r="E1620" s="3" t="n"/>
      <c r="F1620" s="3" t="inlineStr">
        <is>
          <t>Closed</t>
        </is>
      </c>
      <c r="G1620" s="9" t="inlineStr">
        <is>
          <t xml:space="preserve">Ashish Jindal </t>
        </is>
      </c>
      <c r="H1620" s="26" t="n">
        <v>9983975581</v>
      </c>
      <c r="I1620" s="38" t="inlineStr">
        <is>
          <t>PE01052601</t>
        </is>
      </c>
      <c r="J1620" s="26" t="inlineStr">
        <is>
          <t>Multiple Issues</t>
        </is>
      </c>
      <c r="K1620" s="39" t="inlineStr">
        <is>
          <t>Holi</t>
        </is>
      </c>
      <c r="L1620" s="39" t="inlineStr">
        <is>
          <t>Maharashtra</t>
        </is>
      </c>
      <c r="M1620" s="46" t="inlineStr">
        <is>
          <t>PS</t>
        </is>
      </c>
      <c r="N1620" s="3" t="inlineStr">
        <is>
          <t>Cold Soldering</t>
        </is>
      </c>
      <c r="O1620" s="39" t="n">
        <v>575</v>
      </c>
      <c r="P1620" s="46" t="inlineStr">
        <is>
          <t>NSMI24070184584</t>
        </is>
      </c>
      <c r="Q1620" s="53">
        <f>MID(P1620,5,2)</f>
        <v/>
      </c>
      <c r="R1620" s="53">
        <f>MID(P1620,7,2)</f>
        <v/>
      </c>
      <c r="S1620" s="3" t="inlineStr">
        <is>
          <t>G2G</t>
        </is>
      </c>
      <c r="T1620" s="3" t="inlineStr">
        <is>
          <t>P4</t>
        </is>
      </c>
      <c r="U1620" s="19" t="inlineStr">
        <is>
          <t>P JB Cold Soldering</t>
        </is>
      </c>
      <c r="V1620" s="19" t="inlineStr">
        <is>
          <t>Soldering</t>
        </is>
      </c>
      <c r="W1620" s="3" t="inlineStr">
        <is>
          <t>Repair</t>
        </is>
      </c>
      <c r="X1620" s="18" t="n">
        <v>46162</v>
      </c>
      <c r="Y1620" s="3">
        <f>X1620-A1620</f>
        <v/>
      </c>
      <c r="Z1620" s="18" t="n">
        <v>46162</v>
      </c>
      <c r="AA1620" s="15" t="n"/>
      <c r="AB1620" s="15" t="n"/>
    </row>
    <row r="1621">
      <c r="A1621" s="37" t="n">
        <v>46143</v>
      </c>
      <c r="B1621" s="3" t="n">
        <v>2026</v>
      </c>
      <c r="C1621" s="26" t="inlineStr">
        <is>
          <t>Yanara Power</t>
        </is>
      </c>
      <c r="D1621" s="3" t="inlineStr">
        <is>
          <t>Utility and C&amp;I</t>
        </is>
      </c>
      <c r="E1621" s="3" t="n"/>
      <c r="F1621" s="3" t="inlineStr">
        <is>
          <t>Closed</t>
        </is>
      </c>
      <c r="G1621" s="9" t="inlineStr">
        <is>
          <t xml:space="preserve">Ashish Jindal </t>
        </is>
      </c>
      <c r="H1621" s="26" t="n">
        <v>9983975581</v>
      </c>
      <c r="I1621" s="38" t="inlineStr">
        <is>
          <t>PE01052601</t>
        </is>
      </c>
      <c r="J1621" s="26" t="inlineStr">
        <is>
          <t>Multiple Issues</t>
        </is>
      </c>
      <c r="K1621" s="39" t="inlineStr">
        <is>
          <t>Holi</t>
        </is>
      </c>
      <c r="L1621" s="39" t="inlineStr">
        <is>
          <t>Maharashtra</t>
        </is>
      </c>
      <c r="M1621" s="46" t="inlineStr">
        <is>
          <t>PS</t>
        </is>
      </c>
      <c r="N1621" s="3" t="inlineStr">
        <is>
          <t>Cold Soldering</t>
        </is>
      </c>
      <c r="O1621" s="39" t="n">
        <v>575</v>
      </c>
      <c r="P1621" s="46" t="inlineStr">
        <is>
          <t>NSMI24070184579</t>
        </is>
      </c>
      <c r="Q1621" s="53">
        <f>MID(P1621,5,2)</f>
        <v/>
      </c>
      <c r="R1621" s="53">
        <f>MID(P1621,7,2)</f>
        <v/>
      </c>
      <c r="S1621" s="3" t="inlineStr">
        <is>
          <t>G2G</t>
        </is>
      </c>
      <c r="T1621" s="3" t="inlineStr">
        <is>
          <t>P4</t>
        </is>
      </c>
      <c r="U1621" s="19" t="inlineStr">
        <is>
          <t>P JB Cold Soldering</t>
        </is>
      </c>
      <c r="V1621" s="19" t="inlineStr">
        <is>
          <t>Soldering</t>
        </is>
      </c>
      <c r="W1621" s="3" t="inlineStr">
        <is>
          <t>Repair</t>
        </is>
      </c>
      <c r="X1621" s="18" t="n">
        <v>46162</v>
      </c>
      <c r="Y1621" s="3">
        <f>X1621-A1621</f>
        <v/>
      </c>
      <c r="Z1621" s="18" t="n">
        <v>46162</v>
      </c>
      <c r="AA1621" s="15" t="n"/>
      <c r="AB1621" s="15" t="n"/>
    </row>
    <row r="1622">
      <c r="A1622" s="37" t="n">
        <v>46143</v>
      </c>
      <c r="B1622" s="3" t="n">
        <v>2026</v>
      </c>
      <c r="C1622" s="26" t="inlineStr">
        <is>
          <t>Yanara Power</t>
        </is>
      </c>
      <c r="D1622" s="3" t="inlineStr">
        <is>
          <t>Utility and C&amp;I</t>
        </is>
      </c>
      <c r="E1622" s="3" t="n"/>
      <c r="F1622" s="3" t="inlineStr">
        <is>
          <t>Closed</t>
        </is>
      </c>
      <c r="G1622" s="9" t="inlineStr">
        <is>
          <t xml:space="preserve">Ashish Jindal </t>
        </is>
      </c>
      <c r="H1622" s="26" t="n">
        <v>9983975581</v>
      </c>
      <c r="I1622" s="38" t="inlineStr">
        <is>
          <t>PE01052601</t>
        </is>
      </c>
      <c r="J1622" s="26" t="inlineStr">
        <is>
          <t>Multiple Issues</t>
        </is>
      </c>
      <c r="K1622" s="39" t="inlineStr">
        <is>
          <t>Holi</t>
        </is>
      </c>
      <c r="L1622" s="39" t="inlineStr">
        <is>
          <t>Maharashtra</t>
        </is>
      </c>
      <c r="M1622" s="46" t="inlineStr">
        <is>
          <t>PS</t>
        </is>
      </c>
      <c r="N1622" s="3" t="inlineStr">
        <is>
          <t>Cold Soldering</t>
        </is>
      </c>
      <c r="O1622" s="39" t="n">
        <v>575</v>
      </c>
      <c r="P1622" s="46" t="inlineStr">
        <is>
          <t>NSMI24070184580</t>
        </is>
      </c>
      <c r="Q1622" s="53">
        <f>MID(P1622,5,2)</f>
        <v/>
      </c>
      <c r="R1622" s="53">
        <f>MID(P1622,7,2)</f>
        <v/>
      </c>
      <c r="S1622" s="3" t="inlineStr">
        <is>
          <t>G2G</t>
        </is>
      </c>
      <c r="T1622" s="3" t="inlineStr">
        <is>
          <t>P4</t>
        </is>
      </c>
      <c r="U1622" s="19" t="inlineStr">
        <is>
          <t>P JB Cold Soldering</t>
        </is>
      </c>
      <c r="V1622" s="19" t="inlineStr">
        <is>
          <t>Soldering</t>
        </is>
      </c>
      <c r="W1622" s="3" t="inlineStr">
        <is>
          <t>Repair</t>
        </is>
      </c>
      <c r="X1622" s="18" t="n">
        <v>46162</v>
      </c>
      <c r="Y1622" s="3">
        <f>X1622-A1622</f>
        <v/>
      </c>
      <c r="Z1622" s="18" t="n">
        <v>46162</v>
      </c>
      <c r="AA1622" s="15" t="n"/>
      <c r="AB1622" s="15" t="n"/>
    </row>
    <row r="1623">
      <c r="A1623" s="37" t="n">
        <v>46143</v>
      </c>
      <c r="B1623" s="3" t="n">
        <v>2026</v>
      </c>
      <c r="C1623" s="26" t="inlineStr">
        <is>
          <t>Yanara Power</t>
        </is>
      </c>
      <c r="D1623" s="3" t="inlineStr">
        <is>
          <t>Utility and C&amp;I</t>
        </is>
      </c>
      <c r="E1623" s="3" t="n"/>
      <c r="F1623" s="3" t="inlineStr">
        <is>
          <t>Closed</t>
        </is>
      </c>
      <c r="G1623" s="9" t="inlineStr">
        <is>
          <t xml:space="preserve">Ashish Jindal </t>
        </is>
      </c>
      <c r="H1623" s="26" t="n">
        <v>9983975581</v>
      </c>
      <c r="I1623" s="38" t="inlineStr">
        <is>
          <t>PE01052601</t>
        </is>
      </c>
      <c r="J1623" s="26" t="inlineStr">
        <is>
          <t>Multiple Issues</t>
        </is>
      </c>
      <c r="K1623" s="39" t="inlineStr">
        <is>
          <t>Holi</t>
        </is>
      </c>
      <c r="L1623" s="39" t="inlineStr">
        <is>
          <t>Maharashtra</t>
        </is>
      </c>
      <c r="M1623" s="46" t="inlineStr">
        <is>
          <t>PS</t>
        </is>
      </c>
      <c r="N1623" s="3" t="inlineStr">
        <is>
          <t>Cold Soldering</t>
        </is>
      </c>
      <c r="O1623" s="39" t="n">
        <v>575</v>
      </c>
      <c r="P1623" s="46" t="inlineStr">
        <is>
          <t>NSMI24070181448</t>
        </is>
      </c>
      <c r="Q1623" s="53">
        <f>MID(P1623,5,2)</f>
        <v/>
      </c>
      <c r="R1623" s="53">
        <f>MID(P1623,7,2)</f>
        <v/>
      </c>
      <c r="S1623" s="3" t="inlineStr">
        <is>
          <t>G2G</t>
        </is>
      </c>
      <c r="T1623" s="3" t="inlineStr">
        <is>
          <t>P4</t>
        </is>
      </c>
      <c r="U1623" s="19" t="inlineStr">
        <is>
          <t>P JB Cold Soldering</t>
        </is>
      </c>
      <c r="V1623" s="19" t="inlineStr">
        <is>
          <t>Soldering</t>
        </is>
      </c>
      <c r="W1623" s="3" t="inlineStr">
        <is>
          <t>Repair</t>
        </is>
      </c>
      <c r="X1623" s="18" t="n">
        <v>46162</v>
      </c>
      <c r="Y1623" s="3">
        <f>X1623-A1623</f>
        <v/>
      </c>
      <c r="Z1623" s="18" t="n">
        <v>46162</v>
      </c>
      <c r="AA1623" s="15" t="n"/>
      <c r="AB1623" s="15" t="n"/>
    </row>
    <row r="1624">
      <c r="A1624" s="37" t="n">
        <v>46143</v>
      </c>
      <c r="B1624" s="3" t="n">
        <v>2026</v>
      </c>
      <c r="C1624" s="26" t="inlineStr">
        <is>
          <t>Yanara Power</t>
        </is>
      </c>
      <c r="D1624" s="3" t="inlineStr">
        <is>
          <t>Utility and C&amp;I</t>
        </is>
      </c>
      <c r="E1624" s="3" t="n"/>
      <c r="F1624" s="3" t="inlineStr">
        <is>
          <t>Closed</t>
        </is>
      </c>
      <c r="G1624" s="9" t="inlineStr">
        <is>
          <t xml:space="preserve">Ashish Jindal </t>
        </is>
      </c>
      <c r="H1624" s="26" t="n">
        <v>9983975581</v>
      </c>
      <c r="I1624" s="38" t="inlineStr">
        <is>
          <t>PE01052601</t>
        </is>
      </c>
      <c r="J1624" s="26" t="inlineStr">
        <is>
          <t>Multiple Issues</t>
        </is>
      </c>
      <c r="K1624" s="39" t="inlineStr">
        <is>
          <t>Holi</t>
        </is>
      </c>
      <c r="L1624" s="39" t="inlineStr">
        <is>
          <t>Maharashtra</t>
        </is>
      </c>
      <c r="M1624" s="46" t="inlineStr">
        <is>
          <t>PS</t>
        </is>
      </c>
      <c r="N1624" s="3" t="inlineStr">
        <is>
          <t>Cold Soldering</t>
        </is>
      </c>
      <c r="O1624" s="39" t="n">
        <v>575</v>
      </c>
      <c r="P1624" s="46" t="inlineStr">
        <is>
          <t>NSMI24070182175</t>
        </is>
      </c>
      <c r="Q1624" s="53">
        <f>MID(P1624,5,2)</f>
        <v/>
      </c>
      <c r="R1624" s="53">
        <f>MID(P1624,7,2)</f>
        <v/>
      </c>
      <c r="S1624" s="3" t="inlineStr">
        <is>
          <t>G2G</t>
        </is>
      </c>
      <c r="T1624" s="3" t="inlineStr">
        <is>
          <t>P4</t>
        </is>
      </c>
      <c r="U1624" s="19" t="inlineStr">
        <is>
          <t>P JB Cold Soldering</t>
        </is>
      </c>
      <c r="V1624" s="19" t="inlineStr">
        <is>
          <t>Soldering</t>
        </is>
      </c>
      <c r="W1624" s="3" t="inlineStr">
        <is>
          <t>Repair</t>
        </is>
      </c>
      <c r="X1624" s="18" t="n">
        <v>46162</v>
      </c>
      <c r="Y1624" s="3">
        <f>X1624-A1624</f>
        <v/>
      </c>
      <c r="Z1624" s="18" t="n">
        <v>46162</v>
      </c>
      <c r="AA1624" s="15" t="n"/>
      <c r="AB1624" s="15" t="n"/>
    </row>
    <row r="1625">
      <c r="A1625" s="37" t="n">
        <v>46143</v>
      </c>
      <c r="B1625" s="3" t="n">
        <v>2026</v>
      </c>
      <c r="C1625" s="26" t="inlineStr">
        <is>
          <t>Yanara Power</t>
        </is>
      </c>
      <c r="D1625" s="3" t="inlineStr">
        <is>
          <t>Utility and C&amp;I</t>
        </is>
      </c>
      <c r="E1625" s="3" t="n"/>
      <c r="F1625" s="3" t="inlineStr">
        <is>
          <t>Closed</t>
        </is>
      </c>
      <c r="G1625" s="9" t="inlineStr">
        <is>
          <t xml:space="preserve">Ashish Jindal </t>
        </is>
      </c>
      <c r="H1625" s="26" t="n">
        <v>9983975581</v>
      </c>
      <c r="I1625" s="38" t="inlineStr">
        <is>
          <t>PE01052601</t>
        </is>
      </c>
      <c r="J1625" s="26" t="inlineStr">
        <is>
          <t>Multiple Issues</t>
        </is>
      </c>
      <c r="K1625" s="39" t="inlineStr">
        <is>
          <t>Holi</t>
        </is>
      </c>
      <c r="L1625" s="39" t="inlineStr">
        <is>
          <t>Maharashtra</t>
        </is>
      </c>
      <c r="M1625" s="46" t="inlineStr">
        <is>
          <t>NS</t>
        </is>
      </c>
      <c r="N1625" s="3" t="inlineStr">
        <is>
          <t>Cold Soldering</t>
        </is>
      </c>
      <c r="O1625" s="39" t="n">
        <v>575</v>
      </c>
      <c r="P1625" s="46" t="inlineStr">
        <is>
          <t>NSMI24070181936</t>
        </is>
      </c>
      <c r="Q1625" s="53">
        <f>MID(P1625,5,2)</f>
        <v/>
      </c>
      <c r="R1625" s="53">
        <f>MID(P1625,7,2)</f>
        <v/>
      </c>
      <c r="S1625" s="3" t="inlineStr">
        <is>
          <t>G2G</t>
        </is>
      </c>
      <c r="T1625" s="3" t="inlineStr">
        <is>
          <t>P4</t>
        </is>
      </c>
      <c r="U1625" s="3" t="inlineStr">
        <is>
          <t>N JB Cold Soldering</t>
        </is>
      </c>
      <c r="V1625" s="3" t="inlineStr">
        <is>
          <t>Soldering</t>
        </is>
      </c>
      <c r="W1625" s="3" t="inlineStr">
        <is>
          <t>Repair</t>
        </is>
      </c>
      <c r="X1625" s="18" t="n">
        <v>46162</v>
      </c>
      <c r="Y1625" s="3">
        <f>X1625-A1625</f>
        <v/>
      </c>
      <c r="Z1625" s="18" t="n">
        <v>46162</v>
      </c>
      <c r="AA1625" s="15" t="n"/>
      <c r="AB1625" s="15" t="n"/>
    </row>
    <row r="1626">
      <c r="A1626" s="37" t="n">
        <v>46143</v>
      </c>
      <c r="B1626" s="3" t="n">
        <v>2026</v>
      </c>
      <c r="C1626" s="26" t="inlineStr">
        <is>
          <t>Yanara Power</t>
        </is>
      </c>
      <c r="D1626" s="3" t="inlineStr">
        <is>
          <t>Utility and C&amp;I</t>
        </is>
      </c>
      <c r="E1626" s="3" t="n"/>
      <c r="F1626" s="3" t="inlineStr">
        <is>
          <t>Closed</t>
        </is>
      </c>
      <c r="G1626" s="9" t="inlineStr">
        <is>
          <t xml:space="preserve">Ashish Jindal </t>
        </is>
      </c>
      <c r="H1626" s="26" t="n">
        <v>9983975581</v>
      </c>
      <c r="I1626" s="38" t="inlineStr">
        <is>
          <t>PE01052601</t>
        </is>
      </c>
      <c r="J1626" s="26" t="inlineStr">
        <is>
          <t>Multiple Issues</t>
        </is>
      </c>
      <c r="K1626" s="39" t="inlineStr">
        <is>
          <t>Holi</t>
        </is>
      </c>
      <c r="L1626" s="39" t="inlineStr">
        <is>
          <t>Maharashtra</t>
        </is>
      </c>
      <c r="M1626" s="46" t="inlineStr">
        <is>
          <t>PS</t>
        </is>
      </c>
      <c r="N1626" s="3" t="inlineStr">
        <is>
          <t>Cold Soldering</t>
        </is>
      </c>
      <c r="O1626" s="39" t="n">
        <v>575</v>
      </c>
      <c r="P1626" s="46" t="inlineStr">
        <is>
          <t>NSMI24070181056</t>
        </is>
      </c>
      <c r="Q1626" s="53">
        <f>MID(P1626,5,2)</f>
        <v/>
      </c>
      <c r="R1626" s="53">
        <f>MID(P1626,7,2)</f>
        <v/>
      </c>
      <c r="S1626" s="3" t="inlineStr">
        <is>
          <t>G2G</t>
        </is>
      </c>
      <c r="T1626" s="3" t="inlineStr">
        <is>
          <t>P4</t>
        </is>
      </c>
      <c r="U1626" s="19" t="inlineStr">
        <is>
          <t>P JB Cold Soldering</t>
        </is>
      </c>
      <c r="V1626" s="19" t="inlineStr">
        <is>
          <t>Soldering</t>
        </is>
      </c>
      <c r="W1626" s="3" t="inlineStr">
        <is>
          <t>Repair</t>
        </is>
      </c>
      <c r="X1626" s="18" t="n">
        <v>46162</v>
      </c>
      <c r="Y1626" s="3">
        <f>X1626-A1626</f>
        <v/>
      </c>
      <c r="Z1626" s="18" t="n">
        <v>46162</v>
      </c>
      <c r="AA1626" s="15" t="n"/>
      <c r="AB1626" s="15" t="n"/>
    </row>
    <row r="1627">
      <c r="A1627" s="37" t="n">
        <v>46143</v>
      </c>
      <c r="B1627" s="3" t="n">
        <v>2026</v>
      </c>
      <c r="C1627" s="26" t="inlineStr">
        <is>
          <t>Yanara Power</t>
        </is>
      </c>
      <c r="D1627" s="3" t="inlineStr">
        <is>
          <t>Utility and C&amp;I</t>
        </is>
      </c>
      <c r="E1627" s="3" t="n"/>
      <c r="F1627" s="3" t="inlineStr">
        <is>
          <t>Closed</t>
        </is>
      </c>
      <c r="G1627" s="9" t="inlineStr">
        <is>
          <t xml:space="preserve">Ashish Jindal </t>
        </is>
      </c>
      <c r="H1627" s="26" t="n">
        <v>9983975581</v>
      </c>
      <c r="I1627" s="38" t="inlineStr">
        <is>
          <t>PE01052601</t>
        </is>
      </c>
      <c r="J1627" s="26" t="inlineStr">
        <is>
          <t>Multiple Issues</t>
        </is>
      </c>
      <c r="K1627" s="39" t="inlineStr">
        <is>
          <t>Holi</t>
        </is>
      </c>
      <c r="L1627" s="39" t="inlineStr">
        <is>
          <t>Maharashtra</t>
        </is>
      </c>
      <c r="M1627" s="46" t="inlineStr">
        <is>
          <t>PS</t>
        </is>
      </c>
      <c r="N1627" s="3" t="inlineStr">
        <is>
          <t>Cold Soldering</t>
        </is>
      </c>
      <c r="O1627" s="39" t="n">
        <v>575</v>
      </c>
      <c r="P1627" s="46" t="inlineStr">
        <is>
          <t>NSMI24070181058</t>
        </is>
      </c>
      <c r="Q1627" s="53">
        <f>MID(P1627,5,2)</f>
        <v/>
      </c>
      <c r="R1627" s="53">
        <f>MID(P1627,7,2)</f>
        <v/>
      </c>
      <c r="S1627" s="3" t="inlineStr">
        <is>
          <t>G2G</t>
        </is>
      </c>
      <c r="T1627" s="3" t="inlineStr">
        <is>
          <t>P4</t>
        </is>
      </c>
      <c r="U1627" s="19" t="inlineStr">
        <is>
          <t>P JB Cold Soldering</t>
        </is>
      </c>
      <c r="V1627" s="19" t="inlineStr">
        <is>
          <t>Soldering</t>
        </is>
      </c>
      <c r="W1627" s="3" t="inlineStr">
        <is>
          <t>Repair</t>
        </is>
      </c>
      <c r="X1627" s="18" t="n">
        <v>46162</v>
      </c>
      <c r="Y1627" s="3">
        <f>X1627-A1627</f>
        <v/>
      </c>
      <c r="Z1627" s="18" t="n">
        <v>46162</v>
      </c>
      <c r="AA1627" s="15" t="n"/>
      <c r="AB1627" s="15" t="n"/>
    </row>
    <row r="1628">
      <c r="A1628" s="37" t="n">
        <v>46143</v>
      </c>
      <c r="B1628" s="3" t="n">
        <v>2026</v>
      </c>
      <c r="C1628" s="26" t="inlineStr">
        <is>
          <t>Yanara Power</t>
        </is>
      </c>
      <c r="D1628" s="3" t="inlineStr">
        <is>
          <t>Utility and C&amp;I</t>
        </is>
      </c>
      <c r="E1628" s="3" t="n"/>
      <c r="F1628" s="3" t="inlineStr">
        <is>
          <t>Closed</t>
        </is>
      </c>
      <c r="G1628" s="9" t="inlineStr">
        <is>
          <t xml:space="preserve">Ashish Jindal </t>
        </is>
      </c>
      <c r="H1628" s="26" t="n">
        <v>9983975581</v>
      </c>
      <c r="I1628" s="38" t="inlineStr">
        <is>
          <t>PE01052601</t>
        </is>
      </c>
      <c r="J1628" s="26" t="inlineStr">
        <is>
          <t>Multiple Issues</t>
        </is>
      </c>
      <c r="K1628" s="39" t="inlineStr">
        <is>
          <t>Holi</t>
        </is>
      </c>
      <c r="L1628" s="39" t="inlineStr">
        <is>
          <t>Maharashtra</t>
        </is>
      </c>
      <c r="M1628" s="46" t="inlineStr">
        <is>
          <t>PS</t>
        </is>
      </c>
      <c r="N1628" s="3" t="inlineStr">
        <is>
          <t>Cold Soldering</t>
        </is>
      </c>
      <c r="O1628" s="39" t="n">
        <v>575</v>
      </c>
      <c r="P1628" s="46" t="inlineStr">
        <is>
          <t>NSMI24070177474</t>
        </is>
      </c>
      <c r="Q1628" s="53">
        <f>MID(P1628,5,2)</f>
        <v/>
      </c>
      <c r="R1628" s="53">
        <f>MID(P1628,7,2)</f>
        <v/>
      </c>
      <c r="S1628" s="3" t="inlineStr">
        <is>
          <t>G2G</t>
        </is>
      </c>
      <c r="T1628" s="3" t="inlineStr">
        <is>
          <t>P4</t>
        </is>
      </c>
      <c r="U1628" s="19" t="inlineStr">
        <is>
          <t>P JB Cold Soldering</t>
        </is>
      </c>
      <c r="V1628" s="19" t="inlineStr">
        <is>
          <t>Soldering</t>
        </is>
      </c>
      <c r="W1628" s="3" t="inlineStr">
        <is>
          <t>Repair</t>
        </is>
      </c>
      <c r="X1628" s="18" t="n">
        <v>46162</v>
      </c>
      <c r="Y1628" s="3">
        <f>X1628-A1628</f>
        <v/>
      </c>
      <c r="Z1628" s="18" t="n">
        <v>46162</v>
      </c>
      <c r="AA1628" s="15" t="n"/>
      <c r="AB1628" s="15" t="n"/>
    </row>
    <row r="1629">
      <c r="A1629" s="37" t="n">
        <v>46143</v>
      </c>
      <c r="B1629" s="3" t="n">
        <v>2026</v>
      </c>
      <c r="C1629" s="26" t="inlineStr">
        <is>
          <t>Yanara Power</t>
        </is>
      </c>
      <c r="D1629" s="3" t="inlineStr">
        <is>
          <t>Utility and C&amp;I</t>
        </is>
      </c>
      <c r="E1629" s="3" t="n"/>
      <c r="F1629" s="3" t="inlineStr">
        <is>
          <t>Closed</t>
        </is>
      </c>
      <c r="G1629" s="9" t="inlineStr">
        <is>
          <t xml:space="preserve">Ashish Jindal </t>
        </is>
      </c>
      <c r="H1629" s="26" t="n">
        <v>9983975581</v>
      </c>
      <c r="I1629" s="38" t="inlineStr">
        <is>
          <t>PE01052601</t>
        </is>
      </c>
      <c r="J1629" s="26" t="inlineStr">
        <is>
          <t>Multiple Issues</t>
        </is>
      </c>
      <c r="K1629" s="39" t="inlineStr">
        <is>
          <t>Holi</t>
        </is>
      </c>
      <c r="L1629" s="39" t="inlineStr">
        <is>
          <t>Maharashtra</t>
        </is>
      </c>
      <c r="M1629" s="46" t="inlineStr">
        <is>
          <t>PS</t>
        </is>
      </c>
      <c r="N1629" s="3" t="inlineStr">
        <is>
          <t>Cold Soldering</t>
        </is>
      </c>
      <c r="O1629" s="39" t="n">
        <v>575</v>
      </c>
      <c r="P1629" s="46" t="inlineStr">
        <is>
          <t>NSMI24070182813</t>
        </is>
      </c>
      <c r="Q1629" s="53">
        <f>MID(P1629,5,2)</f>
        <v/>
      </c>
      <c r="R1629" s="53">
        <f>MID(P1629,7,2)</f>
        <v/>
      </c>
      <c r="S1629" s="3" t="inlineStr">
        <is>
          <t>G2G</t>
        </is>
      </c>
      <c r="T1629" s="3" t="inlineStr">
        <is>
          <t>P4</t>
        </is>
      </c>
      <c r="U1629" s="19" t="inlineStr">
        <is>
          <t>P JB Cold Soldering</t>
        </is>
      </c>
      <c r="V1629" s="19" t="inlineStr">
        <is>
          <t>Soldering</t>
        </is>
      </c>
      <c r="W1629" s="3" t="inlineStr">
        <is>
          <t>Repair</t>
        </is>
      </c>
      <c r="X1629" s="18" t="n">
        <v>46162</v>
      </c>
      <c r="Y1629" s="3">
        <f>X1629-A1629</f>
        <v/>
      </c>
      <c r="Z1629" s="18" t="n">
        <v>46162</v>
      </c>
      <c r="AA1629" s="15" t="n"/>
      <c r="AB1629" s="15" t="n"/>
    </row>
    <row r="1630">
      <c r="A1630" s="37" t="n">
        <v>46143</v>
      </c>
      <c r="B1630" s="3" t="n">
        <v>2026</v>
      </c>
      <c r="C1630" s="26" t="inlineStr">
        <is>
          <t>Yanara Power</t>
        </is>
      </c>
      <c r="D1630" s="3" t="inlineStr">
        <is>
          <t>Utility and C&amp;I</t>
        </is>
      </c>
      <c r="E1630" s="3" t="n"/>
      <c r="F1630" s="3" t="inlineStr">
        <is>
          <t>Closed</t>
        </is>
      </c>
      <c r="G1630" s="9" t="inlineStr">
        <is>
          <t xml:space="preserve">Ashish Jindal </t>
        </is>
      </c>
      <c r="H1630" s="26" t="n">
        <v>9983975581</v>
      </c>
      <c r="I1630" s="38" t="inlineStr">
        <is>
          <t>PE01052601</t>
        </is>
      </c>
      <c r="J1630" s="26" t="inlineStr">
        <is>
          <t>Multiple Issues</t>
        </is>
      </c>
      <c r="K1630" s="39" t="inlineStr">
        <is>
          <t>Holi</t>
        </is>
      </c>
      <c r="L1630" s="39" t="inlineStr">
        <is>
          <t>Maharashtra</t>
        </is>
      </c>
      <c r="M1630" s="46" t="inlineStr">
        <is>
          <t>PS</t>
        </is>
      </c>
      <c r="N1630" s="3" t="inlineStr">
        <is>
          <t>Cold Soldering</t>
        </is>
      </c>
      <c r="O1630" s="39" t="n">
        <v>575</v>
      </c>
      <c r="P1630" s="46" t="inlineStr">
        <is>
          <t>NSMI24070179282</t>
        </is>
      </c>
      <c r="Q1630" s="53">
        <f>MID(P1630,5,2)</f>
        <v/>
      </c>
      <c r="R1630" s="53">
        <f>MID(P1630,7,2)</f>
        <v/>
      </c>
      <c r="S1630" s="3" t="inlineStr">
        <is>
          <t>G2G</t>
        </is>
      </c>
      <c r="T1630" s="3" t="inlineStr">
        <is>
          <t>P4</t>
        </is>
      </c>
      <c r="U1630" s="19" t="inlineStr">
        <is>
          <t>P JB Cold Soldering</t>
        </is>
      </c>
      <c r="V1630" s="19" t="inlineStr">
        <is>
          <t>Soldering</t>
        </is>
      </c>
      <c r="W1630" s="3" t="inlineStr">
        <is>
          <t>Repair</t>
        </is>
      </c>
      <c r="X1630" s="18" t="n">
        <v>46162</v>
      </c>
      <c r="Y1630" s="3">
        <f>X1630-A1630</f>
        <v/>
      </c>
      <c r="Z1630" s="18" t="n">
        <v>46162</v>
      </c>
      <c r="AA1630" s="15" t="n"/>
      <c r="AB1630" s="15" t="n"/>
    </row>
    <row r="1631">
      <c r="A1631" s="37" t="n">
        <v>46143</v>
      </c>
      <c r="B1631" s="3" t="n">
        <v>2026</v>
      </c>
      <c r="C1631" s="26" t="inlineStr">
        <is>
          <t>Yanara Power</t>
        </is>
      </c>
      <c r="D1631" s="3" t="inlineStr">
        <is>
          <t>Utility and C&amp;I</t>
        </is>
      </c>
      <c r="E1631" s="3" t="n"/>
      <c r="F1631" s="3" t="inlineStr">
        <is>
          <t>Closed</t>
        </is>
      </c>
      <c r="G1631" s="9" t="inlineStr">
        <is>
          <t xml:space="preserve">Ashish Jindal </t>
        </is>
      </c>
      <c r="H1631" s="26" t="n">
        <v>9983975581</v>
      </c>
      <c r="I1631" s="38" t="inlineStr">
        <is>
          <t>PE01052601</t>
        </is>
      </c>
      <c r="J1631" s="26" t="inlineStr">
        <is>
          <t>Multiple Issues</t>
        </is>
      </c>
      <c r="K1631" s="39" t="inlineStr">
        <is>
          <t>Holi</t>
        </is>
      </c>
      <c r="L1631" s="39" t="inlineStr">
        <is>
          <t>Maharashtra</t>
        </is>
      </c>
      <c r="M1631" s="46" t="inlineStr">
        <is>
          <t>PS</t>
        </is>
      </c>
      <c r="N1631" s="3" t="inlineStr">
        <is>
          <t>Cold Soldering</t>
        </is>
      </c>
      <c r="O1631" s="39" t="n">
        <v>575</v>
      </c>
      <c r="P1631" s="46" t="inlineStr">
        <is>
          <t>NSMI24070179261</t>
        </is>
      </c>
      <c r="Q1631" s="53">
        <f>MID(P1631,5,2)</f>
        <v/>
      </c>
      <c r="R1631" s="53">
        <f>MID(P1631,7,2)</f>
        <v/>
      </c>
      <c r="S1631" s="3" t="inlineStr">
        <is>
          <t>G2G</t>
        </is>
      </c>
      <c r="T1631" s="3" t="inlineStr">
        <is>
          <t>P4</t>
        </is>
      </c>
      <c r="U1631" s="19" t="inlineStr">
        <is>
          <t>P JB Cold Soldering</t>
        </is>
      </c>
      <c r="V1631" s="19" t="inlineStr">
        <is>
          <t>Soldering</t>
        </is>
      </c>
      <c r="W1631" s="3" t="inlineStr">
        <is>
          <t>Repair</t>
        </is>
      </c>
      <c r="X1631" s="18" t="n">
        <v>46162</v>
      </c>
      <c r="Y1631" s="3">
        <f>X1631-A1631</f>
        <v/>
      </c>
      <c r="Z1631" s="18" t="n">
        <v>46162</v>
      </c>
      <c r="AA1631" s="15" t="n"/>
      <c r="AB1631" s="15" t="n"/>
    </row>
    <row r="1632">
      <c r="A1632" s="37" t="n">
        <v>46143</v>
      </c>
      <c r="B1632" s="3" t="n">
        <v>2026</v>
      </c>
      <c r="C1632" s="26" t="inlineStr">
        <is>
          <t>Yanara Power</t>
        </is>
      </c>
      <c r="D1632" s="3" t="inlineStr">
        <is>
          <t>Utility and C&amp;I</t>
        </is>
      </c>
      <c r="E1632" s="3" t="n"/>
      <c r="F1632" s="3" t="inlineStr">
        <is>
          <t>Closed</t>
        </is>
      </c>
      <c r="G1632" s="9" t="inlineStr">
        <is>
          <t xml:space="preserve">Ashish Jindal </t>
        </is>
      </c>
      <c r="H1632" s="26" t="n">
        <v>9983975581</v>
      </c>
      <c r="I1632" s="38" t="inlineStr">
        <is>
          <t>PE01052601</t>
        </is>
      </c>
      <c r="J1632" s="26" t="inlineStr">
        <is>
          <t>Multiple Issues</t>
        </is>
      </c>
      <c r="K1632" s="39" t="inlineStr">
        <is>
          <t>Holi</t>
        </is>
      </c>
      <c r="L1632" s="39" t="inlineStr">
        <is>
          <t>Maharashtra</t>
        </is>
      </c>
      <c r="M1632" s="46" t="inlineStr">
        <is>
          <t>PS</t>
        </is>
      </c>
      <c r="N1632" s="3" t="inlineStr">
        <is>
          <t>Cold Soldering</t>
        </is>
      </c>
      <c r="O1632" s="39" t="n">
        <v>575</v>
      </c>
      <c r="P1632" s="46" t="inlineStr">
        <is>
          <t>NSMI24070178789</t>
        </is>
      </c>
      <c r="Q1632" s="53">
        <f>MID(P1632,5,2)</f>
        <v/>
      </c>
      <c r="R1632" s="53">
        <f>MID(P1632,7,2)</f>
        <v/>
      </c>
      <c r="S1632" s="3" t="inlineStr">
        <is>
          <t>G2G</t>
        </is>
      </c>
      <c r="T1632" s="3" t="inlineStr">
        <is>
          <t>P4</t>
        </is>
      </c>
      <c r="U1632" s="19" t="inlineStr">
        <is>
          <t>P JB Cold Soldering</t>
        </is>
      </c>
      <c r="V1632" s="19" t="inlineStr">
        <is>
          <t>Soldering</t>
        </is>
      </c>
      <c r="W1632" s="3" t="inlineStr">
        <is>
          <t>Repair</t>
        </is>
      </c>
      <c r="X1632" s="18" t="n">
        <v>46162</v>
      </c>
      <c r="Y1632" s="3">
        <f>X1632-A1632</f>
        <v/>
      </c>
      <c r="Z1632" s="18" t="n">
        <v>46162</v>
      </c>
      <c r="AA1632" s="15" t="n"/>
      <c r="AB1632" s="15" t="n"/>
    </row>
    <row r="1633">
      <c r="A1633" s="37" t="n">
        <v>46143</v>
      </c>
      <c r="B1633" s="3" t="n">
        <v>2026</v>
      </c>
      <c r="C1633" s="26" t="inlineStr">
        <is>
          <t>Yanara Power</t>
        </is>
      </c>
      <c r="D1633" s="3" t="inlineStr">
        <is>
          <t>Utility and C&amp;I</t>
        </is>
      </c>
      <c r="E1633" s="3" t="n"/>
      <c r="F1633" s="3" t="inlineStr">
        <is>
          <t>Closed</t>
        </is>
      </c>
      <c r="G1633" s="9" t="inlineStr">
        <is>
          <t xml:space="preserve">Ashish Jindal </t>
        </is>
      </c>
      <c r="H1633" s="26" t="n">
        <v>9983975581</v>
      </c>
      <c r="I1633" s="38" t="inlineStr">
        <is>
          <t>PE01052601</t>
        </is>
      </c>
      <c r="J1633" s="26" t="inlineStr">
        <is>
          <t>Multiple Issues</t>
        </is>
      </c>
      <c r="K1633" s="39" t="inlineStr">
        <is>
          <t>Holi</t>
        </is>
      </c>
      <c r="L1633" s="39" t="inlineStr">
        <is>
          <t>Maharashtra</t>
        </is>
      </c>
      <c r="M1633" s="46" t="inlineStr">
        <is>
          <t>PS</t>
        </is>
      </c>
      <c r="N1633" s="3" t="inlineStr">
        <is>
          <t>Cold Soldering</t>
        </is>
      </c>
      <c r="O1633" s="39" t="n">
        <v>575</v>
      </c>
      <c r="P1633" s="46" t="inlineStr">
        <is>
          <t>NSMI24070216982</t>
        </is>
      </c>
      <c r="Q1633" s="53">
        <f>MID(P1633,5,2)</f>
        <v/>
      </c>
      <c r="R1633" s="53">
        <f>MID(P1633,7,2)</f>
        <v/>
      </c>
      <c r="S1633" s="3" t="inlineStr">
        <is>
          <t>G2G</t>
        </is>
      </c>
      <c r="T1633" s="3" t="inlineStr">
        <is>
          <t>P4</t>
        </is>
      </c>
      <c r="U1633" s="19" t="inlineStr">
        <is>
          <t>P JB Cold Soldering</t>
        </is>
      </c>
      <c r="V1633" s="19" t="inlineStr">
        <is>
          <t>Soldering</t>
        </is>
      </c>
      <c r="W1633" s="3" t="inlineStr">
        <is>
          <t>Repair</t>
        </is>
      </c>
      <c r="X1633" s="18" t="n">
        <v>46162</v>
      </c>
      <c r="Y1633" s="3">
        <f>X1633-A1633</f>
        <v/>
      </c>
      <c r="Z1633" s="18" t="n">
        <v>46162</v>
      </c>
      <c r="AA1633" s="15" t="n"/>
      <c r="AB1633" s="15" t="n"/>
    </row>
    <row r="1634">
      <c r="A1634" s="37" t="n">
        <v>46143</v>
      </c>
      <c r="B1634" s="3" t="n">
        <v>2026</v>
      </c>
      <c r="C1634" s="26" t="inlineStr">
        <is>
          <t>Yanara Power</t>
        </is>
      </c>
      <c r="D1634" s="3" t="inlineStr">
        <is>
          <t>Utility and C&amp;I</t>
        </is>
      </c>
      <c r="E1634" s="3" t="n"/>
      <c r="F1634" s="3" t="inlineStr">
        <is>
          <t>Closed</t>
        </is>
      </c>
      <c r="G1634" s="9" t="inlineStr">
        <is>
          <t xml:space="preserve">Ashish Jindal </t>
        </is>
      </c>
      <c r="H1634" s="26" t="n">
        <v>9983975581</v>
      </c>
      <c r="I1634" s="38" t="inlineStr">
        <is>
          <t>PE01052601</t>
        </is>
      </c>
      <c r="J1634" s="26" t="inlineStr">
        <is>
          <t>Multiple Issues</t>
        </is>
      </c>
      <c r="K1634" s="39" t="inlineStr">
        <is>
          <t>Holi</t>
        </is>
      </c>
      <c r="L1634" s="39" t="inlineStr">
        <is>
          <t>Maharashtra</t>
        </is>
      </c>
      <c r="M1634" s="46" t="inlineStr">
        <is>
          <t>PS</t>
        </is>
      </c>
      <c r="N1634" s="3" t="inlineStr">
        <is>
          <t>Cold Soldering</t>
        </is>
      </c>
      <c r="O1634" s="39" t="n">
        <v>575</v>
      </c>
      <c r="P1634" s="46" t="inlineStr">
        <is>
          <t>NSMI24070216964</t>
        </is>
      </c>
      <c r="Q1634" s="53">
        <f>MID(P1634,5,2)</f>
        <v/>
      </c>
      <c r="R1634" s="53">
        <f>MID(P1634,7,2)</f>
        <v/>
      </c>
      <c r="S1634" s="3" t="inlineStr">
        <is>
          <t>G2G</t>
        </is>
      </c>
      <c r="T1634" s="3" t="inlineStr">
        <is>
          <t>P4</t>
        </is>
      </c>
      <c r="U1634" s="19" t="inlineStr">
        <is>
          <t>P JB Cold Soldering</t>
        </is>
      </c>
      <c r="V1634" s="19" t="inlineStr">
        <is>
          <t>Soldering</t>
        </is>
      </c>
      <c r="W1634" s="3" t="inlineStr">
        <is>
          <t>Repair</t>
        </is>
      </c>
      <c r="X1634" s="18" t="n">
        <v>46162</v>
      </c>
      <c r="Y1634" s="3">
        <f>X1634-A1634</f>
        <v/>
      </c>
      <c r="Z1634" s="18" t="n">
        <v>46162</v>
      </c>
      <c r="AA1634" s="15" t="n"/>
      <c r="AB1634" s="15" t="n"/>
    </row>
    <row r="1635">
      <c r="A1635" s="37" t="n">
        <v>46143</v>
      </c>
      <c r="B1635" s="3" t="n">
        <v>2026</v>
      </c>
      <c r="C1635" s="26" t="inlineStr">
        <is>
          <t>Yanara Power</t>
        </is>
      </c>
      <c r="D1635" s="3" t="inlineStr">
        <is>
          <t>Utility and C&amp;I</t>
        </is>
      </c>
      <c r="E1635" s="3" t="n"/>
      <c r="F1635" s="3" t="inlineStr">
        <is>
          <t>Closed</t>
        </is>
      </c>
      <c r="G1635" s="9" t="inlineStr">
        <is>
          <t xml:space="preserve">Ashish Jindal </t>
        </is>
      </c>
      <c r="H1635" s="26" t="n">
        <v>9983975581</v>
      </c>
      <c r="I1635" s="38" t="inlineStr">
        <is>
          <t>PE01052601</t>
        </is>
      </c>
      <c r="J1635" s="26" t="inlineStr">
        <is>
          <t>Multiple Issues</t>
        </is>
      </c>
      <c r="K1635" s="39" t="inlineStr">
        <is>
          <t>Holi</t>
        </is>
      </c>
      <c r="L1635" s="39" t="inlineStr">
        <is>
          <t>Maharashtra</t>
        </is>
      </c>
      <c r="M1635" s="46" t="inlineStr">
        <is>
          <t>PS</t>
        </is>
      </c>
      <c r="N1635" s="3" t="inlineStr">
        <is>
          <t>Cold Soldering</t>
        </is>
      </c>
      <c r="O1635" s="39" t="n">
        <v>575</v>
      </c>
      <c r="P1635" s="46" t="inlineStr">
        <is>
          <t>NSMI24070181869</t>
        </is>
      </c>
      <c r="Q1635" s="53">
        <f>MID(P1635,5,2)</f>
        <v/>
      </c>
      <c r="R1635" s="53">
        <f>MID(P1635,7,2)</f>
        <v/>
      </c>
      <c r="S1635" s="3" t="inlineStr">
        <is>
          <t>G2G</t>
        </is>
      </c>
      <c r="T1635" s="3" t="inlineStr">
        <is>
          <t>P4</t>
        </is>
      </c>
      <c r="U1635" s="19" t="inlineStr">
        <is>
          <t>P JB Cold Soldering</t>
        </is>
      </c>
      <c r="V1635" s="19" t="inlineStr">
        <is>
          <t>Soldering</t>
        </is>
      </c>
      <c r="W1635" s="3" t="inlineStr">
        <is>
          <t>Repair</t>
        </is>
      </c>
      <c r="X1635" s="18" t="n">
        <v>46162</v>
      </c>
      <c r="Y1635" s="3">
        <f>X1635-A1635</f>
        <v/>
      </c>
      <c r="Z1635" s="18" t="n">
        <v>46162</v>
      </c>
      <c r="AA1635" s="15" t="n"/>
      <c r="AB1635" s="15" t="n"/>
    </row>
    <row r="1636">
      <c r="A1636" s="37" t="n">
        <v>46143</v>
      </c>
      <c r="B1636" s="3" t="n">
        <v>2026</v>
      </c>
      <c r="C1636" s="26" t="inlineStr">
        <is>
          <t>Yanara Power</t>
        </is>
      </c>
      <c r="D1636" s="3" t="inlineStr">
        <is>
          <t>Utility and C&amp;I</t>
        </is>
      </c>
      <c r="E1636" s="3" t="n"/>
      <c r="F1636" s="3" t="inlineStr">
        <is>
          <t>Closed</t>
        </is>
      </c>
      <c r="G1636" s="9" t="inlineStr">
        <is>
          <t xml:space="preserve">Ashish Jindal </t>
        </is>
      </c>
      <c r="H1636" s="26" t="n">
        <v>9983975581</v>
      </c>
      <c r="I1636" s="38" t="inlineStr">
        <is>
          <t>PE01052601</t>
        </is>
      </c>
      <c r="J1636" s="26" t="inlineStr">
        <is>
          <t>Multiple Issues</t>
        </is>
      </c>
      <c r="K1636" s="39" t="inlineStr">
        <is>
          <t>Holi</t>
        </is>
      </c>
      <c r="L1636" s="39" t="inlineStr">
        <is>
          <t>Maharashtra</t>
        </is>
      </c>
      <c r="M1636" s="46" t="inlineStr">
        <is>
          <t>PS</t>
        </is>
      </c>
      <c r="N1636" s="3" t="inlineStr">
        <is>
          <t>Cold Soldering</t>
        </is>
      </c>
      <c r="O1636" s="39" t="n">
        <v>575</v>
      </c>
      <c r="P1636" s="46" t="inlineStr">
        <is>
          <t>NSMI24070181835</t>
        </is>
      </c>
      <c r="Q1636" s="53">
        <f>MID(P1636,5,2)</f>
        <v/>
      </c>
      <c r="R1636" s="53">
        <f>MID(P1636,7,2)</f>
        <v/>
      </c>
      <c r="S1636" s="3" t="inlineStr">
        <is>
          <t>G2G</t>
        </is>
      </c>
      <c r="T1636" s="3" t="inlineStr">
        <is>
          <t>P4</t>
        </is>
      </c>
      <c r="U1636" s="19" t="inlineStr">
        <is>
          <t>P JB Cold Soldering</t>
        </is>
      </c>
      <c r="V1636" s="19" t="inlineStr">
        <is>
          <t>Soldering</t>
        </is>
      </c>
      <c r="W1636" s="3" t="inlineStr">
        <is>
          <t>Repair</t>
        </is>
      </c>
      <c r="X1636" s="18" t="n">
        <v>46162</v>
      </c>
      <c r="Y1636" s="3">
        <f>X1636-A1636</f>
        <v/>
      </c>
      <c r="Z1636" s="18" t="n">
        <v>46162</v>
      </c>
      <c r="AA1636" s="15" t="n"/>
      <c r="AB1636" s="15" t="n"/>
    </row>
    <row r="1637">
      <c r="A1637" s="37" t="n">
        <v>46143</v>
      </c>
      <c r="B1637" s="3" t="n">
        <v>2026</v>
      </c>
      <c r="C1637" s="26" t="inlineStr">
        <is>
          <t>Yanara Power</t>
        </is>
      </c>
      <c r="D1637" s="3" t="inlineStr">
        <is>
          <t>Utility and C&amp;I</t>
        </is>
      </c>
      <c r="E1637" s="3" t="n"/>
      <c r="F1637" s="3" t="inlineStr">
        <is>
          <t>Closed</t>
        </is>
      </c>
      <c r="G1637" s="9" t="inlineStr">
        <is>
          <t xml:space="preserve">Ashish Jindal </t>
        </is>
      </c>
      <c r="H1637" s="26" t="n">
        <v>9983975581</v>
      </c>
      <c r="I1637" s="38" t="inlineStr">
        <is>
          <t>PE01052601</t>
        </is>
      </c>
      <c r="J1637" s="26" t="inlineStr">
        <is>
          <t>Multiple Issues</t>
        </is>
      </c>
      <c r="K1637" s="39" t="inlineStr">
        <is>
          <t>Holi</t>
        </is>
      </c>
      <c r="L1637" s="39" t="inlineStr">
        <is>
          <t>Maharashtra</t>
        </is>
      </c>
      <c r="M1637" s="46" t="inlineStr">
        <is>
          <t>NS</t>
        </is>
      </c>
      <c r="N1637" s="3" t="inlineStr">
        <is>
          <t>Cold Soldering</t>
        </is>
      </c>
      <c r="O1637" s="39" t="n">
        <v>575</v>
      </c>
      <c r="P1637" s="46" t="inlineStr">
        <is>
          <t>NSMI24070204142</t>
        </is>
      </c>
      <c r="Q1637" s="53">
        <f>MID(P1637,5,2)</f>
        <v/>
      </c>
      <c r="R1637" s="53">
        <f>MID(P1637,7,2)</f>
        <v/>
      </c>
      <c r="S1637" s="3" t="inlineStr">
        <is>
          <t>G2G</t>
        </is>
      </c>
      <c r="T1637" s="3" t="inlineStr">
        <is>
          <t>P4</t>
        </is>
      </c>
      <c r="U1637" s="3" t="inlineStr">
        <is>
          <t>N JB Cold Soldering</t>
        </is>
      </c>
      <c r="V1637" s="3" t="inlineStr">
        <is>
          <t>Soldering</t>
        </is>
      </c>
      <c r="W1637" s="3" t="inlineStr">
        <is>
          <t>Repair</t>
        </is>
      </c>
      <c r="X1637" s="18" t="n">
        <v>46162</v>
      </c>
      <c r="Y1637" s="3">
        <f>X1637-A1637</f>
        <v/>
      </c>
      <c r="Z1637" s="18" t="n">
        <v>46162</v>
      </c>
      <c r="AA1637" s="15" t="n"/>
      <c r="AB1637" s="15" t="n"/>
    </row>
    <row r="1638">
      <c r="A1638" s="37" t="n">
        <v>46143</v>
      </c>
      <c r="B1638" s="3" t="n">
        <v>2026</v>
      </c>
      <c r="C1638" s="26" t="inlineStr">
        <is>
          <t>Yanara Power</t>
        </is>
      </c>
      <c r="D1638" s="3" t="inlineStr">
        <is>
          <t>Utility and C&amp;I</t>
        </is>
      </c>
      <c r="E1638" s="3" t="n"/>
      <c r="F1638" s="3" t="inlineStr">
        <is>
          <t>Closed</t>
        </is>
      </c>
      <c r="G1638" s="9" t="inlineStr">
        <is>
          <t xml:space="preserve">Ashish Jindal </t>
        </is>
      </c>
      <c r="H1638" s="26" t="n">
        <v>9983975581</v>
      </c>
      <c r="I1638" s="38" t="inlineStr">
        <is>
          <t>PE01052601</t>
        </is>
      </c>
      <c r="J1638" s="26" t="inlineStr">
        <is>
          <t>Multiple Issues</t>
        </is>
      </c>
      <c r="K1638" s="39" t="inlineStr">
        <is>
          <t>Holi</t>
        </is>
      </c>
      <c r="L1638" s="39" t="inlineStr">
        <is>
          <t>Maharashtra</t>
        </is>
      </c>
      <c r="M1638" s="46" t="inlineStr">
        <is>
          <t>PS</t>
        </is>
      </c>
      <c r="N1638" s="3" t="inlineStr">
        <is>
          <t>Cold Soldering</t>
        </is>
      </c>
      <c r="O1638" s="39" t="n">
        <v>575</v>
      </c>
      <c r="P1638" s="46" t="inlineStr">
        <is>
          <t>NSMI24070204130</t>
        </is>
      </c>
      <c r="Q1638" s="53">
        <f>MID(P1638,5,2)</f>
        <v/>
      </c>
      <c r="R1638" s="53">
        <f>MID(P1638,7,2)</f>
        <v/>
      </c>
      <c r="S1638" s="3" t="inlineStr">
        <is>
          <t>G2G</t>
        </is>
      </c>
      <c r="T1638" s="3" t="inlineStr">
        <is>
          <t>P4</t>
        </is>
      </c>
      <c r="U1638" s="19" t="inlineStr">
        <is>
          <t>P JB Cold Soldering</t>
        </is>
      </c>
      <c r="V1638" s="19" t="inlineStr">
        <is>
          <t>Soldering</t>
        </is>
      </c>
      <c r="W1638" s="3" t="inlineStr">
        <is>
          <t>Repair</t>
        </is>
      </c>
      <c r="X1638" s="18" t="n">
        <v>46162</v>
      </c>
      <c r="Y1638" s="3">
        <f>X1638-A1638</f>
        <v/>
      </c>
      <c r="Z1638" s="18" t="n">
        <v>46162</v>
      </c>
      <c r="AA1638" s="15" t="n"/>
      <c r="AB1638" s="15" t="n"/>
    </row>
    <row r="1639">
      <c r="A1639" s="37" t="n">
        <v>46143</v>
      </c>
      <c r="B1639" s="3" t="n">
        <v>2026</v>
      </c>
      <c r="C1639" s="26" t="inlineStr">
        <is>
          <t>Yanara Power</t>
        </is>
      </c>
      <c r="D1639" s="3" t="inlineStr">
        <is>
          <t>Utility and C&amp;I</t>
        </is>
      </c>
      <c r="E1639" s="3" t="n"/>
      <c r="F1639" s="3" t="inlineStr">
        <is>
          <t>Closed</t>
        </is>
      </c>
      <c r="G1639" s="9" t="inlineStr">
        <is>
          <t xml:space="preserve">Ashish Jindal </t>
        </is>
      </c>
      <c r="H1639" s="26" t="n">
        <v>9983975581</v>
      </c>
      <c r="I1639" s="38" t="inlineStr">
        <is>
          <t>PE01052601</t>
        </is>
      </c>
      <c r="J1639" s="26" t="inlineStr">
        <is>
          <t>Multiple Issues</t>
        </is>
      </c>
      <c r="K1639" s="39" t="inlineStr">
        <is>
          <t>Holi</t>
        </is>
      </c>
      <c r="L1639" s="39" t="inlineStr">
        <is>
          <t>Maharashtra</t>
        </is>
      </c>
      <c r="M1639" s="46" t="inlineStr">
        <is>
          <t>PS</t>
        </is>
      </c>
      <c r="N1639" s="3" t="inlineStr">
        <is>
          <t>Cold Soldering</t>
        </is>
      </c>
      <c r="O1639" s="39" t="n">
        <v>575</v>
      </c>
      <c r="P1639" s="46" t="inlineStr">
        <is>
          <t>NSMI24070181818</t>
        </is>
      </c>
      <c r="Q1639" s="53">
        <f>MID(P1639,5,2)</f>
        <v/>
      </c>
      <c r="R1639" s="53">
        <f>MID(P1639,7,2)</f>
        <v/>
      </c>
      <c r="S1639" s="3" t="inlineStr">
        <is>
          <t>G2G</t>
        </is>
      </c>
      <c r="T1639" s="3" t="inlineStr">
        <is>
          <t>P4</t>
        </is>
      </c>
      <c r="U1639" s="19" t="inlineStr">
        <is>
          <t>P JB Cold Soldering</t>
        </is>
      </c>
      <c r="V1639" s="19" t="inlineStr">
        <is>
          <t>Soldering</t>
        </is>
      </c>
      <c r="W1639" s="3" t="inlineStr">
        <is>
          <t>Repair</t>
        </is>
      </c>
      <c r="X1639" s="18" t="n">
        <v>46162</v>
      </c>
      <c r="Y1639" s="3">
        <f>X1639-A1639</f>
        <v/>
      </c>
      <c r="Z1639" s="18" t="n">
        <v>46162</v>
      </c>
      <c r="AA1639" s="15" t="n"/>
      <c r="AB1639" s="15" t="n"/>
    </row>
    <row r="1640">
      <c r="A1640" s="37" t="n">
        <v>46143</v>
      </c>
      <c r="B1640" s="3" t="n">
        <v>2026</v>
      </c>
      <c r="C1640" s="26" t="inlineStr">
        <is>
          <t>Yanara Power</t>
        </is>
      </c>
      <c r="D1640" s="3" t="inlineStr">
        <is>
          <t>Utility and C&amp;I</t>
        </is>
      </c>
      <c r="E1640" s="3" t="n"/>
      <c r="F1640" s="3" t="inlineStr">
        <is>
          <t>Closed</t>
        </is>
      </c>
      <c r="G1640" s="9" t="inlineStr">
        <is>
          <t xml:space="preserve">Ashish Jindal </t>
        </is>
      </c>
      <c r="H1640" s="26" t="n">
        <v>9983975581</v>
      </c>
      <c r="I1640" s="38" t="inlineStr">
        <is>
          <t>PE01052601</t>
        </is>
      </c>
      <c r="J1640" s="26" t="inlineStr">
        <is>
          <t>Multiple Issues</t>
        </is>
      </c>
      <c r="K1640" s="39" t="inlineStr">
        <is>
          <t>Holi</t>
        </is>
      </c>
      <c r="L1640" s="39" t="inlineStr">
        <is>
          <t>Maharashtra</t>
        </is>
      </c>
      <c r="M1640" s="46" t="inlineStr">
        <is>
          <t>PS</t>
        </is>
      </c>
      <c r="N1640" s="3" t="inlineStr">
        <is>
          <t>Cold Soldering</t>
        </is>
      </c>
      <c r="O1640" s="39" t="n">
        <v>575</v>
      </c>
      <c r="P1640" s="46" t="inlineStr">
        <is>
          <t>NSMI24070181832</t>
        </is>
      </c>
      <c r="Q1640" s="53">
        <f>MID(P1640,5,2)</f>
        <v/>
      </c>
      <c r="R1640" s="53">
        <f>MID(P1640,7,2)</f>
        <v/>
      </c>
      <c r="S1640" s="3" t="inlineStr">
        <is>
          <t>G2G</t>
        </is>
      </c>
      <c r="T1640" s="3" t="inlineStr">
        <is>
          <t>P4</t>
        </is>
      </c>
      <c r="U1640" s="19" t="inlineStr">
        <is>
          <t>P JB Cold Soldering</t>
        </is>
      </c>
      <c r="V1640" s="19" t="inlineStr">
        <is>
          <t>Soldering</t>
        </is>
      </c>
      <c r="W1640" s="3" t="inlineStr">
        <is>
          <t>Repair</t>
        </is>
      </c>
      <c r="X1640" s="18" t="n">
        <v>46162</v>
      </c>
      <c r="Y1640" s="3">
        <f>X1640-A1640</f>
        <v/>
      </c>
      <c r="Z1640" s="18" t="n">
        <v>46162</v>
      </c>
      <c r="AA1640" s="15" t="n"/>
      <c r="AB1640" s="15" t="n"/>
    </row>
    <row r="1641">
      <c r="A1641" s="37" t="n">
        <v>46143</v>
      </c>
      <c r="B1641" s="3" t="n">
        <v>2026</v>
      </c>
      <c r="C1641" s="26" t="inlineStr">
        <is>
          <t>Yanara Power</t>
        </is>
      </c>
      <c r="D1641" s="3" t="inlineStr">
        <is>
          <t>Utility and C&amp;I</t>
        </is>
      </c>
      <c r="E1641" s="3" t="n"/>
      <c r="F1641" s="3" t="inlineStr">
        <is>
          <t>Closed</t>
        </is>
      </c>
      <c r="G1641" s="9" t="inlineStr">
        <is>
          <t xml:space="preserve">Ashish Jindal </t>
        </is>
      </c>
      <c r="H1641" s="26" t="n">
        <v>9983975581</v>
      </c>
      <c r="I1641" s="38" t="inlineStr">
        <is>
          <t>PE01052601</t>
        </is>
      </c>
      <c r="J1641" s="26" t="inlineStr">
        <is>
          <t>Multiple Issues</t>
        </is>
      </c>
      <c r="K1641" s="39" t="inlineStr">
        <is>
          <t>Holi</t>
        </is>
      </c>
      <c r="L1641" s="39" t="inlineStr">
        <is>
          <t>Maharashtra</t>
        </is>
      </c>
      <c r="M1641" s="46" t="inlineStr">
        <is>
          <t>PS</t>
        </is>
      </c>
      <c r="N1641" s="3" t="inlineStr">
        <is>
          <t>Cold Soldering</t>
        </is>
      </c>
      <c r="O1641" s="39" t="n">
        <v>575</v>
      </c>
      <c r="P1641" s="46" t="inlineStr">
        <is>
          <t>NSMI24070180536</t>
        </is>
      </c>
      <c r="Q1641" s="53">
        <f>MID(P1641,5,2)</f>
        <v/>
      </c>
      <c r="R1641" s="53">
        <f>MID(P1641,7,2)</f>
        <v/>
      </c>
      <c r="S1641" s="3" t="inlineStr">
        <is>
          <t>G2G</t>
        </is>
      </c>
      <c r="T1641" s="3" t="inlineStr">
        <is>
          <t>P4</t>
        </is>
      </c>
      <c r="U1641" s="19" t="inlineStr">
        <is>
          <t>P JB Cold Soldering</t>
        </is>
      </c>
      <c r="V1641" s="19" t="inlineStr">
        <is>
          <t>Soldering</t>
        </is>
      </c>
      <c r="W1641" s="3" t="inlineStr">
        <is>
          <t>Repair</t>
        </is>
      </c>
      <c r="X1641" s="18" t="n">
        <v>46162</v>
      </c>
      <c r="Y1641" s="3">
        <f>X1641-A1641</f>
        <v/>
      </c>
      <c r="Z1641" s="18" t="n">
        <v>46162</v>
      </c>
      <c r="AA1641" s="15" t="n"/>
      <c r="AB1641" s="15" t="n"/>
    </row>
    <row r="1642">
      <c r="A1642" s="37" t="n">
        <v>46143</v>
      </c>
      <c r="B1642" s="3" t="n">
        <v>2026</v>
      </c>
      <c r="C1642" s="26" t="inlineStr">
        <is>
          <t>Yanara Power</t>
        </is>
      </c>
      <c r="D1642" s="3" t="inlineStr">
        <is>
          <t>Utility and C&amp;I</t>
        </is>
      </c>
      <c r="E1642" s="3" t="n"/>
      <c r="F1642" s="3" t="inlineStr">
        <is>
          <t>Closed</t>
        </is>
      </c>
      <c r="G1642" s="9" t="inlineStr">
        <is>
          <t xml:space="preserve">Ashish Jindal </t>
        </is>
      </c>
      <c r="H1642" s="26" t="n">
        <v>9983975581</v>
      </c>
      <c r="I1642" s="38" t="inlineStr">
        <is>
          <t>PE01052601</t>
        </is>
      </c>
      <c r="J1642" s="26" t="inlineStr">
        <is>
          <t>Multiple Issues</t>
        </is>
      </c>
      <c r="K1642" s="39" t="inlineStr">
        <is>
          <t>Holi</t>
        </is>
      </c>
      <c r="L1642" s="39" t="inlineStr">
        <is>
          <t>Maharashtra</t>
        </is>
      </c>
      <c r="M1642" s="46" t="inlineStr">
        <is>
          <t>PS</t>
        </is>
      </c>
      <c r="N1642" s="3" t="inlineStr">
        <is>
          <t>Cold Soldering</t>
        </is>
      </c>
      <c r="O1642" s="39" t="n">
        <v>575</v>
      </c>
      <c r="P1642" s="46" t="inlineStr">
        <is>
          <t>NSMI24070180610</t>
        </is>
      </c>
      <c r="Q1642" s="53">
        <f>MID(P1642,5,2)</f>
        <v/>
      </c>
      <c r="R1642" s="53">
        <f>MID(P1642,7,2)</f>
        <v/>
      </c>
      <c r="S1642" s="3" t="inlineStr">
        <is>
          <t>G2G</t>
        </is>
      </c>
      <c r="T1642" s="3" t="inlineStr">
        <is>
          <t>P4</t>
        </is>
      </c>
      <c r="U1642" s="19" t="inlineStr">
        <is>
          <t>P JB Cold Soldering</t>
        </is>
      </c>
      <c r="V1642" s="19" t="inlineStr">
        <is>
          <t>Soldering</t>
        </is>
      </c>
      <c r="W1642" s="3" t="inlineStr">
        <is>
          <t>Repair</t>
        </is>
      </c>
      <c r="X1642" s="18" t="n">
        <v>46162</v>
      </c>
      <c r="Y1642" s="3">
        <f>X1642-A1642</f>
        <v/>
      </c>
      <c r="Z1642" s="18" t="n">
        <v>46162</v>
      </c>
      <c r="AA1642" s="15" t="n"/>
      <c r="AB1642" s="15" t="n"/>
    </row>
    <row r="1643">
      <c r="A1643" s="37" t="n">
        <v>46143</v>
      </c>
      <c r="B1643" s="3" t="n">
        <v>2026</v>
      </c>
      <c r="C1643" s="26" t="inlineStr">
        <is>
          <t>Yanara Power</t>
        </is>
      </c>
      <c r="D1643" s="3" t="inlineStr">
        <is>
          <t>Utility and C&amp;I</t>
        </is>
      </c>
      <c r="E1643" s="3" t="n"/>
      <c r="F1643" s="3" t="inlineStr">
        <is>
          <t>Closed</t>
        </is>
      </c>
      <c r="G1643" s="9" t="inlineStr">
        <is>
          <t xml:space="preserve">Ashish Jindal </t>
        </is>
      </c>
      <c r="H1643" s="26" t="n">
        <v>9983975581</v>
      </c>
      <c r="I1643" s="38" t="inlineStr">
        <is>
          <t>PE01052601</t>
        </is>
      </c>
      <c r="J1643" s="26" t="inlineStr">
        <is>
          <t>Multiple Issues</t>
        </is>
      </c>
      <c r="K1643" s="39" t="inlineStr">
        <is>
          <t>Holi</t>
        </is>
      </c>
      <c r="L1643" s="39" t="inlineStr">
        <is>
          <t>Maharashtra</t>
        </is>
      </c>
      <c r="M1643" s="46" t="inlineStr">
        <is>
          <t>PS</t>
        </is>
      </c>
      <c r="N1643" s="3" t="inlineStr">
        <is>
          <t>Cold Soldering</t>
        </is>
      </c>
      <c r="O1643" s="39" t="n">
        <v>575</v>
      </c>
      <c r="P1643" s="46" t="inlineStr">
        <is>
          <t>NSMI24070179186</t>
        </is>
      </c>
      <c r="Q1643" s="53">
        <f>MID(P1643,5,2)</f>
        <v/>
      </c>
      <c r="R1643" s="53">
        <f>MID(P1643,7,2)</f>
        <v/>
      </c>
      <c r="S1643" s="3" t="inlineStr">
        <is>
          <t>G2G</t>
        </is>
      </c>
      <c r="T1643" s="3" t="inlineStr">
        <is>
          <t>P4</t>
        </is>
      </c>
      <c r="U1643" s="19" t="inlineStr">
        <is>
          <t>P JB Cold Soldering</t>
        </is>
      </c>
      <c r="V1643" s="19" t="inlineStr">
        <is>
          <t>Soldering</t>
        </is>
      </c>
      <c r="W1643" s="3" t="inlineStr">
        <is>
          <t>Repair</t>
        </is>
      </c>
      <c r="X1643" s="18" t="n">
        <v>46162</v>
      </c>
      <c r="Y1643" s="3">
        <f>X1643-A1643</f>
        <v/>
      </c>
      <c r="Z1643" s="18" t="n">
        <v>46162</v>
      </c>
      <c r="AA1643" s="15" t="n"/>
      <c r="AB1643" s="15" t="n"/>
    </row>
    <row r="1644">
      <c r="A1644" s="37" t="n">
        <v>46143</v>
      </c>
      <c r="B1644" s="3" t="n">
        <v>2026</v>
      </c>
      <c r="C1644" s="26" t="inlineStr">
        <is>
          <t>Yanara Power</t>
        </is>
      </c>
      <c r="D1644" s="3" t="inlineStr">
        <is>
          <t>Utility and C&amp;I</t>
        </is>
      </c>
      <c r="E1644" s="3" t="n"/>
      <c r="F1644" s="3" t="inlineStr">
        <is>
          <t>Closed</t>
        </is>
      </c>
      <c r="G1644" s="9" t="inlineStr">
        <is>
          <t xml:space="preserve">Ashish Jindal </t>
        </is>
      </c>
      <c r="H1644" s="26" t="n">
        <v>9983975581</v>
      </c>
      <c r="I1644" s="38" t="inlineStr">
        <is>
          <t>PE01052601</t>
        </is>
      </c>
      <c r="J1644" s="26" t="inlineStr">
        <is>
          <t>Multiple Issues</t>
        </is>
      </c>
      <c r="K1644" s="39" t="inlineStr">
        <is>
          <t>Holi</t>
        </is>
      </c>
      <c r="L1644" s="39" t="inlineStr">
        <is>
          <t>Maharashtra</t>
        </is>
      </c>
      <c r="M1644" s="46" t="inlineStr">
        <is>
          <t>PS</t>
        </is>
      </c>
      <c r="N1644" s="3" t="inlineStr">
        <is>
          <t>Cold Soldering</t>
        </is>
      </c>
      <c r="O1644" s="39" t="n">
        <v>575</v>
      </c>
      <c r="P1644" s="46" t="inlineStr">
        <is>
          <t>NSMI24070203569</t>
        </is>
      </c>
      <c r="Q1644" s="53">
        <f>MID(P1644,5,2)</f>
        <v/>
      </c>
      <c r="R1644" s="53">
        <f>MID(P1644,7,2)</f>
        <v/>
      </c>
      <c r="S1644" s="3" t="inlineStr">
        <is>
          <t>G2G</t>
        </is>
      </c>
      <c r="T1644" s="3" t="inlineStr">
        <is>
          <t>P4</t>
        </is>
      </c>
      <c r="U1644" s="19" t="inlineStr">
        <is>
          <t>P JB Cold Soldering</t>
        </is>
      </c>
      <c r="V1644" s="19" t="inlineStr">
        <is>
          <t>Soldering</t>
        </is>
      </c>
      <c r="W1644" s="3" t="inlineStr">
        <is>
          <t>Repair</t>
        </is>
      </c>
      <c r="X1644" s="18" t="n">
        <v>46162</v>
      </c>
      <c r="Y1644" s="3">
        <f>X1644-A1644</f>
        <v/>
      </c>
      <c r="Z1644" s="18" t="n">
        <v>46162</v>
      </c>
      <c r="AA1644" s="15" t="n"/>
      <c r="AB1644" s="15" t="n"/>
    </row>
    <row r="1645" hidden="1" s="233">
      <c r="A1645" s="6" t="n">
        <v>46107</v>
      </c>
      <c r="B1645" s="3" t="n">
        <v>2026</v>
      </c>
      <c r="C1645" s="3" t="inlineStr">
        <is>
          <t>Blupine</t>
        </is>
      </c>
      <c r="D1645" s="3" t="inlineStr">
        <is>
          <t>Utility and C&amp;I</t>
        </is>
      </c>
      <c r="E1645" s="3" t="n"/>
      <c r="F1645" s="3" t="inlineStr">
        <is>
          <t>Closed</t>
        </is>
      </c>
      <c r="G1645" s="3" t="inlineStr">
        <is>
          <t>Chandrashekar Patidar</t>
        </is>
      </c>
      <c r="H1645" s="3" t="n">
        <v>7879764773</v>
      </c>
      <c r="I1645" s="11" t="inlineStr">
        <is>
          <t>PE26032601</t>
        </is>
      </c>
      <c r="J1645" s="3" t="inlineStr">
        <is>
          <t>Module Diode Failure</t>
        </is>
      </c>
      <c r="K1645" s="3" t="inlineStr">
        <is>
          <t>Sadla</t>
        </is>
      </c>
      <c r="L1645" s="3" t="inlineStr">
        <is>
          <t>Gujarat</t>
        </is>
      </c>
      <c r="M1645" s="55" t="inlineStr">
        <is>
          <t>AS</t>
        </is>
      </c>
      <c r="N1645" s="3" t="inlineStr">
        <is>
          <t>Cold Soldering</t>
        </is>
      </c>
      <c r="O1645" s="3" t="n">
        <v>570</v>
      </c>
      <c r="P1645" s="55" t="inlineStr">
        <is>
          <t>NSMI24060075390</t>
        </is>
      </c>
      <c r="Q1645" s="54">
        <f>MID(P1645,5,2)</f>
        <v/>
      </c>
      <c r="R1645" s="53">
        <f>MID(P1645,7,2)</f>
        <v/>
      </c>
      <c r="S1645" s="3" t="inlineStr">
        <is>
          <t>G2G</t>
        </is>
      </c>
      <c r="T1645" s="3" t="inlineStr">
        <is>
          <t>P4</t>
        </is>
      </c>
      <c r="U1645" s="3" t="inlineStr">
        <is>
          <t>All JB Cold Soldering</t>
        </is>
      </c>
      <c r="V1645" s="3" t="inlineStr">
        <is>
          <t>Soldering</t>
        </is>
      </c>
      <c r="W1645" s="3" t="inlineStr">
        <is>
          <t>Repair</t>
        </is>
      </c>
      <c r="X1645" s="18" t="n">
        <v>46163</v>
      </c>
      <c r="Y1645" s="3">
        <f>X1645-A1645</f>
        <v/>
      </c>
      <c r="Z1645" s="18" t="n">
        <v>46163</v>
      </c>
      <c r="AA1645" s="15" t="n"/>
      <c r="AB1645" s="15" t="n"/>
    </row>
    <row r="1646" hidden="1" s="233">
      <c r="A1646" s="6" t="n">
        <v>46107</v>
      </c>
      <c r="B1646" s="3" t="n">
        <v>2026</v>
      </c>
      <c r="C1646" s="3" t="inlineStr">
        <is>
          <t>Blupine</t>
        </is>
      </c>
      <c r="D1646" s="3" t="inlineStr">
        <is>
          <t>Utility and C&amp;I</t>
        </is>
      </c>
      <c r="E1646" s="3" t="n"/>
      <c r="F1646" s="3" t="inlineStr">
        <is>
          <t>Closed</t>
        </is>
      </c>
      <c r="G1646" s="3" t="inlineStr">
        <is>
          <t>Chandrashekar Patidar</t>
        </is>
      </c>
      <c r="H1646" s="3" t="n">
        <v>7879764773</v>
      </c>
      <c r="I1646" s="11" t="inlineStr">
        <is>
          <t>PE26032601</t>
        </is>
      </c>
      <c r="J1646" s="3" t="inlineStr">
        <is>
          <t>Module Diode Failure</t>
        </is>
      </c>
      <c r="K1646" s="3" t="inlineStr">
        <is>
          <t>Sadla</t>
        </is>
      </c>
      <c r="L1646" s="3" t="inlineStr">
        <is>
          <t>Gujarat</t>
        </is>
      </c>
      <c r="M1646" s="55" t="inlineStr">
        <is>
          <t>PS</t>
        </is>
      </c>
      <c r="N1646" s="3" t="inlineStr">
        <is>
          <t>Cold Soldering</t>
        </is>
      </c>
      <c r="O1646" s="3" t="n">
        <v>570</v>
      </c>
      <c r="P1646" s="55" t="inlineStr">
        <is>
          <t>NSMI24060083989</t>
        </is>
      </c>
      <c r="Q1646" s="54">
        <f>MID(P1646,5,2)</f>
        <v/>
      </c>
      <c r="R1646" s="53">
        <f>MID(P1646,7,2)</f>
        <v/>
      </c>
      <c r="S1646" s="3" t="inlineStr">
        <is>
          <t>G2G</t>
        </is>
      </c>
      <c r="T1646" s="3" t="inlineStr">
        <is>
          <t>P4</t>
        </is>
      </c>
      <c r="U1646" s="3" t="inlineStr">
        <is>
          <t>P JB Cold Soldering</t>
        </is>
      </c>
      <c r="V1646" s="3" t="inlineStr">
        <is>
          <t>Soldering</t>
        </is>
      </c>
      <c r="W1646" s="3" t="inlineStr">
        <is>
          <t>Repair</t>
        </is>
      </c>
      <c r="X1646" s="18" t="n">
        <v>46163</v>
      </c>
      <c r="Y1646" s="3">
        <f>X1646-A1646</f>
        <v/>
      </c>
      <c r="Z1646" s="18" t="n">
        <v>46163</v>
      </c>
      <c r="AA1646" s="15" t="n"/>
      <c r="AB1646" s="15" t="n"/>
    </row>
    <row r="1647" hidden="1" s="233">
      <c r="A1647" s="6" t="n">
        <v>46107</v>
      </c>
      <c r="B1647" s="3" t="n">
        <v>2026</v>
      </c>
      <c r="C1647" s="3" t="inlineStr">
        <is>
          <t>Blupine</t>
        </is>
      </c>
      <c r="D1647" s="3" t="inlineStr">
        <is>
          <t>Utility and C&amp;I</t>
        </is>
      </c>
      <c r="E1647" s="3" t="n"/>
      <c r="F1647" s="3" t="inlineStr">
        <is>
          <t>Closed</t>
        </is>
      </c>
      <c r="G1647" s="3" t="inlineStr">
        <is>
          <t>Chandrashekar Patidar</t>
        </is>
      </c>
      <c r="H1647" s="3" t="n">
        <v>7879764773</v>
      </c>
      <c r="I1647" s="11" t="inlineStr">
        <is>
          <t>PE26032601</t>
        </is>
      </c>
      <c r="J1647" s="3" t="inlineStr">
        <is>
          <t>Module Diode Failure</t>
        </is>
      </c>
      <c r="K1647" s="3" t="inlineStr">
        <is>
          <t>Sadla</t>
        </is>
      </c>
      <c r="L1647" s="3" t="inlineStr">
        <is>
          <t>Gujarat</t>
        </is>
      </c>
      <c r="M1647" s="55" t="inlineStr">
        <is>
          <t>PS</t>
        </is>
      </c>
      <c r="N1647" s="3" t="inlineStr">
        <is>
          <t>Cold Soldering</t>
        </is>
      </c>
      <c r="O1647" s="3" t="n">
        <v>570</v>
      </c>
      <c r="P1647" s="55" t="inlineStr">
        <is>
          <t>NSMI24060076365</t>
        </is>
      </c>
      <c r="Q1647" s="54">
        <f>MID(P1647,5,2)</f>
        <v/>
      </c>
      <c r="R1647" s="53">
        <f>MID(P1647,7,2)</f>
        <v/>
      </c>
      <c r="S1647" s="3" t="inlineStr">
        <is>
          <t>G2G</t>
        </is>
      </c>
      <c r="T1647" s="3" t="inlineStr">
        <is>
          <t>P4</t>
        </is>
      </c>
      <c r="U1647" s="3" t="inlineStr">
        <is>
          <t>P JB Cold Soldering</t>
        </is>
      </c>
      <c r="V1647" s="3" t="inlineStr">
        <is>
          <t>Soldering</t>
        </is>
      </c>
      <c r="W1647" s="3" t="inlineStr">
        <is>
          <t>Repair</t>
        </is>
      </c>
      <c r="X1647" s="18" t="n">
        <v>46163</v>
      </c>
      <c r="Y1647" s="3">
        <f>X1647-A1647</f>
        <v/>
      </c>
      <c r="Z1647" s="18" t="n">
        <v>46163</v>
      </c>
      <c r="AA1647" s="15" t="n"/>
      <c r="AB1647" s="15" t="n"/>
    </row>
    <row r="1648" hidden="1" s="233">
      <c r="A1648" s="6" t="n">
        <v>46107</v>
      </c>
      <c r="B1648" s="3" t="n">
        <v>2026</v>
      </c>
      <c r="C1648" s="3" t="inlineStr">
        <is>
          <t>Blupine</t>
        </is>
      </c>
      <c r="D1648" s="3" t="inlineStr">
        <is>
          <t>Utility and C&amp;I</t>
        </is>
      </c>
      <c r="E1648" s="3" t="n"/>
      <c r="F1648" s="3" t="inlineStr">
        <is>
          <t>Closed</t>
        </is>
      </c>
      <c r="G1648" s="3" t="inlineStr">
        <is>
          <t>Chandrashekar Patidar</t>
        </is>
      </c>
      <c r="H1648" s="3" t="n">
        <v>7879764773</v>
      </c>
      <c r="I1648" s="11" t="inlineStr">
        <is>
          <t>PE26032601</t>
        </is>
      </c>
      <c r="J1648" s="3" t="inlineStr">
        <is>
          <t>Module Diode Failure</t>
        </is>
      </c>
      <c r="K1648" s="3" t="inlineStr">
        <is>
          <t>Sadla</t>
        </is>
      </c>
      <c r="L1648" s="3" t="inlineStr">
        <is>
          <t>Gujarat</t>
        </is>
      </c>
      <c r="M1648" s="55" t="inlineStr">
        <is>
          <t>NS</t>
        </is>
      </c>
      <c r="N1648" s="3" t="inlineStr">
        <is>
          <t>Cold Soldering</t>
        </is>
      </c>
      <c r="O1648" s="3" t="n">
        <v>570</v>
      </c>
      <c r="P1648" s="55" t="inlineStr">
        <is>
          <t>NSMI24050066112</t>
        </is>
      </c>
      <c r="Q1648" s="54">
        <f>MID(P1648,5,2)</f>
        <v/>
      </c>
      <c r="R1648" s="53">
        <f>MID(P1648,7,2)</f>
        <v/>
      </c>
      <c r="S1648" s="3" t="inlineStr">
        <is>
          <t>G2G</t>
        </is>
      </c>
      <c r="T1648" s="3" t="inlineStr">
        <is>
          <t>P4</t>
        </is>
      </c>
      <c r="U1648" s="3" t="inlineStr">
        <is>
          <t>N JB Cold Soldering</t>
        </is>
      </c>
      <c r="V1648" s="3" t="inlineStr">
        <is>
          <t>Soldering</t>
        </is>
      </c>
      <c r="W1648" s="3" t="inlineStr">
        <is>
          <t>Repair</t>
        </is>
      </c>
      <c r="X1648" s="18" t="n">
        <v>46163</v>
      </c>
      <c r="Y1648" s="3">
        <f>X1648-A1648</f>
        <v/>
      </c>
      <c r="Z1648" s="18" t="n">
        <v>46163</v>
      </c>
      <c r="AA1648" s="15" t="n"/>
      <c r="AB1648" s="15" t="n"/>
    </row>
    <row r="1649" hidden="1" s="233">
      <c r="A1649" s="6" t="n">
        <v>46107</v>
      </c>
      <c r="B1649" s="3" t="n">
        <v>2026</v>
      </c>
      <c r="C1649" s="3" t="inlineStr">
        <is>
          <t>Blupine</t>
        </is>
      </c>
      <c r="D1649" s="3" t="inlineStr">
        <is>
          <t>Utility and C&amp;I</t>
        </is>
      </c>
      <c r="E1649" s="3" t="n"/>
      <c r="F1649" s="3" t="inlineStr">
        <is>
          <t>Closed</t>
        </is>
      </c>
      <c r="G1649" s="3" t="inlineStr">
        <is>
          <t>Chandrashekar Patidar</t>
        </is>
      </c>
      <c r="H1649" s="3" t="n">
        <v>7879764773</v>
      </c>
      <c r="I1649" s="11" t="inlineStr">
        <is>
          <t>PE26032601</t>
        </is>
      </c>
      <c r="J1649" s="3" t="inlineStr">
        <is>
          <t>Module Diode Failure</t>
        </is>
      </c>
      <c r="K1649" s="3" t="inlineStr">
        <is>
          <t>Sadla</t>
        </is>
      </c>
      <c r="L1649" s="3" t="inlineStr">
        <is>
          <t>Gujarat</t>
        </is>
      </c>
      <c r="M1649" s="55" t="inlineStr">
        <is>
          <t>NS</t>
        </is>
      </c>
      <c r="N1649" s="3" t="inlineStr">
        <is>
          <t>Cold Soldering</t>
        </is>
      </c>
      <c r="O1649" s="3" t="n">
        <v>570</v>
      </c>
      <c r="P1649" s="55" t="inlineStr">
        <is>
          <t>NSMI24050066115</t>
        </is>
      </c>
      <c r="Q1649" s="54">
        <f>MID(P1649,5,2)</f>
        <v/>
      </c>
      <c r="R1649" s="53">
        <f>MID(P1649,7,2)</f>
        <v/>
      </c>
      <c r="S1649" s="3" t="inlineStr">
        <is>
          <t>G2G</t>
        </is>
      </c>
      <c r="T1649" s="3" t="inlineStr">
        <is>
          <t>P4</t>
        </is>
      </c>
      <c r="U1649" s="3" t="inlineStr">
        <is>
          <t>N JB Cold Soldering</t>
        </is>
      </c>
      <c r="V1649" s="3" t="inlineStr">
        <is>
          <t>Soldering</t>
        </is>
      </c>
      <c r="W1649" s="3" t="inlineStr">
        <is>
          <t>Repair</t>
        </is>
      </c>
      <c r="X1649" s="18" t="n">
        <v>46163</v>
      </c>
      <c r="Y1649" s="3">
        <f>X1649-A1649</f>
        <v/>
      </c>
      <c r="Z1649" s="18" t="n">
        <v>46163</v>
      </c>
      <c r="AA1649" s="15" t="n"/>
      <c r="AB1649" s="15" t="n"/>
    </row>
    <row r="1650" hidden="1" s="233">
      <c r="A1650" s="6" t="n">
        <v>46107</v>
      </c>
      <c r="B1650" s="3" t="n">
        <v>2026</v>
      </c>
      <c r="C1650" s="3" t="inlineStr">
        <is>
          <t>Blupine</t>
        </is>
      </c>
      <c r="D1650" s="3" t="inlineStr">
        <is>
          <t>Utility and C&amp;I</t>
        </is>
      </c>
      <c r="E1650" s="3" t="n"/>
      <c r="F1650" s="3" t="inlineStr">
        <is>
          <t>Closed</t>
        </is>
      </c>
      <c r="G1650" s="3" t="inlineStr">
        <is>
          <t>Chandrashekar Patidar</t>
        </is>
      </c>
      <c r="H1650" s="3" t="n">
        <v>7879764773</v>
      </c>
      <c r="I1650" s="11" t="inlineStr">
        <is>
          <t>PE26032601</t>
        </is>
      </c>
      <c r="J1650" s="3" t="inlineStr">
        <is>
          <t>Module Diode Failure</t>
        </is>
      </c>
      <c r="K1650" s="3" t="inlineStr">
        <is>
          <t>Sadla</t>
        </is>
      </c>
      <c r="L1650" s="3" t="inlineStr">
        <is>
          <t>Gujarat</t>
        </is>
      </c>
      <c r="M1650" s="55" t="inlineStr">
        <is>
          <t>NS</t>
        </is>
      </c>
      <c r="N1650" s="3" t="inlineStr">
        <is>
          <t>Cold Soldering</t>
        </is>
      </c>
      <c r="O1650" s="3" t="n">
        <v>570</v>
      </c>
      <c r="P1650" s="55" t="inlineStr">
        <is>
          <t>NSMI24050066147</t>
        </is>
      </c>
      <c r="Q1650" s="54">
        <f>MID(P1650,5,2)</f>
        <v/>
      </c>
      <c r="R1650" s="53">
        <f>MID(P1650,7,2)</f>
        <v/>
      </c>
      <c r="S1650" s="3" t="inlineStr">
        <is>
          <t>G2G</t>
        </is>
      </c>
      <c r="T1650" s="3" t="inlineStr">
        <is>
          <t>P4</t>
        </is>
      </c>
      <c r="U1650" s="3" t="inlineStr">
        <is>
          <t>N JB Cold Soldering</t>
        </is>
      </c>
      <c r="V1650" s="3" t="inlineStr">
        <is>
          <t>Soldering</t>
        </is>
      </c>
      <c r="W1650" s="3" t="inlineStr">
        <is>
          <t>Repair</t>
        </is>
      </c>
      <c r="X1650" s="18" t="n">
        <v>46163</v>
      </c>
      <c r="Y1650" s="3">
        <f>X1650-A1650</f>
        <v/>
      </c>
      <c r="Z1650" s="18" t="n">
        <v>46163</v>
      </c>
      <c r="AA1650" s="15" t="n"/>
      <c r="AB1650" s="15" t="n"/>
    </row>
    <row r="1651" hidden="1" s="233">
      <c r="A1651" s="6" t="n">
        <v>46107</v>
      </c>
      <c r="B1651" s="3" t="n">
        <v>2026</v>
      </c>
      <c r="C1651" s="3" t="inlineStr">
        <is>
          <t>Blupine</t>
        </is>
      </c>
      <c r="D1651" s="3" t="inlineStr">
        <is>
          <t>Utility and C&amp;I</t>
        </is>
      </c>
      <c r="E1651" s="3" t="n"/>
      <c r="F1651" s="3" t="inlineStr">
        <is>
          <t>Closed</t>
        </is>
      </c>
      <c r="G1651" s="3" t="inlineStr">
        <is>
          <t>Chandrashekar Patidar</t>
        </is>
      </c>
      <c r="H1651" s="3" t="n">
        <v>7879764773</v>
      </c>
      <c r="I1651" s="11" t="inlineStr">
        <is>
          <t>PE26032601</t>
        </is>
      </c>
      <c r="J1651" s="3" t="inlineStr">
        <is>
          <t>Module Diode Failure</t>
        </is>
      </c>
      <c r="K1651" s="3" t="inlineStr">
        <is>
          <t>Sadla</t>
        </is>
      </c>
      <c r="L1651" s="3" t="inlineStr">
        <is>
          <t>Gujarat</t>
        </is>
      </c>
      <c r="M1651" s="55" t="inlineStr">
        <is>
          <t>NS</t>
        </is>
      </c>
      <c r="N1651" s="3" t="inlineStr">
        <is>
          <t>Cold Soldering</t>
        </is>
      </c>
      <c r="O1651" s="3" t="n">
        <v>570</v>
      </c>
      <c r="P1651" s="55" t="inlineStr">
        <is>
          <t>NSMI24050065280</t>
        </is>
      </c>
      <c r="Q1651" s="54">
        <f>MID(P1651,5,2)</f>
        <v/>
      </c>
      <c r="R1651" s="53">
        <f>MID(P1651,7,2)</f>
        <v/>
      </c>
      <c r="S1651" s="3" t="inlineStr">
        <is>
          <t>G2G</t>
        </is>
      </c>
      <c r="T1651" s="3" t="inlineStr">
        <is>
          <t>P4</t>
        </is>
      </c>
      <c r="U1651" s="3" t="inlineStr">
        <is>
          <t>N JB Cold Soldering</t>
        </is>
      </c>
      <c r="V1651" s="3" t="inlineStr">
        <is>
          <t>Soldering</t>
        </is>
      </c>
      <c r="W1651" s="3" t="inlineStr">
        <is>
          <t>Repair</t>
        </is>
      </c>
      <c r="X1651" s="18" t="n">
        <v>46163</v>
      </c>
      <c r="Y1651" s="3">
        <f>X1651-A1651</f>
        <v/>
      </c>
      <c r="Z1651" s="18" t="n">
        <v>46163</v>
      </c>
      <c r="AA1651" s="15" t="n"/>
      <c r="AB1651" s="15" t="n"/>
    </row>
    <row r="1652" hidden="1" s="233">
      <c r="A1652" s="6" t="n">
        <v>46107</v>
      </c>
      <c r="B1652" s="3" t="n">
        <v>2026</v>
      </c>
      <c r="C1652" s="3" t="inlineStr">
        <is>
          <t>Blupine</t>
        </is>
      </c>
      <c r="D1652" s="3" t="inlineStr">
        <is>
          <t>Utility and C&amp;I</t>
        </is>
      </c>
      <c r="E1652" s="3" t="n"/>
      <c r="F1652" s="3" t="inlineStr">
        <is>
          <t>Closed</t>
        </is>
      </c>
      <c r="G1652" s="3" t="inlineStr">
        <is>
          <t>Chandrashekar Patidar</t>
        </is>
      </c>
      <c r="H1652" s="3" t="n">
        <v>7879764773</v>
      </c>
      <c r="I1652" s="11" t="inlineStr">
        <is>
          <t>PE26032601</t>
        </is>
      </c>
      <c r="J1652" s="3" t="inlineStr">
        <is>
          <t>Module Diode Failure</t>
        </is>
      </c>
      <c r="K1652" s="3" t="inlineStr">
        <is>
          <t>Sadla</t>
        </is>
      </c>
      <c r="L1652" s="3" t="inlineStr">
        <is>
          <t>Gujarat</t>
        </is>
      </c>
      <c r="M1652" s="55" t="inlineStr">
        <is>
          <t>NS</t>
        </is>
      </c>
      <c r="N1652" s="3" t="inlineStr">
        <is>
          <t>Cold Soldering</t>
        </is>
      </c>
      <c r="O1652" s="3" t="n">
        <v>570</v>
      </c>
      <c r="P1652" s="55" t="inlineStr">
        <is>
          <t>NSMI24050065109</t>
        </is>
      </c>
      <c r="Q1652" s="54">
        <f>MID(P1652,5,2)</f>
        <v/>
      </c>
      <c r="R1652" s="53">
        <f>MID(P1652,7,2)</f>
        <v/>
      </c>
      <c r="S1652" s="3" t="inlineStr">
        <is>
          <t>G2G</t>
        </is>
      </c>
      <c r="T1652" s="3" t="inlineStr">
        <is>
          <t>P4</t>
        </is>
      </c>
      <c r="U1652" s="3" t="inlineStr">
        <is>
          <t>N JB Cold Soldering</t>
        </is>
      </c>
      <c r="V1652" s="3" t="inlineStr">
        <is>
          <t>Soldering</t>
        </is>
      </c>
      <c r="W1652" s="3" t="inlineStr">
        <is>
          <t>Repair</t>
        </is>
      </c>
      <c r="X1652" s="18" t="n">
        <v>46163</v>
      </c>
      <c r="Y1652" s="3">
        <f>X1652-A1652</f>
        <v/>
      </c>
      <c r="Z1652" s="18" t="n">
        <v>46163</v>
      </c>
      <c r="AA1652" s="15" t="n"/>
      <c r="AB1652" s="15" t="n"/>
    </row>
    <row r="1653" hidden="1" s="233">
      <c r="A1653" s="6" t="n">
        <v>46107</v>
      </c>
      <c r="B1653" s="3" t="n">
        <v>2026</v>
      </c>
      <c r="C1653" s="3" t="inlineStr">
        <is>
          <t>Blupine</t>
        </is>
      </c>
      <c r="D1653" s="3" t="inlineStr">
        <is>
          <t>Utility and C&amp;I</t>
        </is>
      </c>
      <c r="E1653" s="3" t="n"/>
      <c r="F1653" s="3" t="inlineStr">
        <is>
          <t>Closed</t>
        </is>
      </c>
      <c r="G1653" s="3" t="inlineStr">
        <is>
          <t>Chandrashekar Patidar</t>
        </is>
      </c>
      <c r="H1653" s="3" t="n">
        <v>7879764773</v>
      </c>
      <c r="I1653" s="11" t="inlineStr">
        <is>
          <t>PE26032601</t>
        </is>
      </c>
      <c r="J1653" s="3" t="inlineStr">
        <is>
          <t>Module Diode Failure</t>
        </is>
      </c>
      <c r="K1653" s="3" t="inlineStr">
        <is>
          <t>Sadla</t>
        </is>
      </c>
      <c r="L1653" s="3" t="inlineStr">
        <is>
          <t>Gujarat</t>
        </is>
      </c>
      <c r="M1653" s="55" t="inlineStr">
        <is>
          <t>NS</t>
        </is>
      </c>
      <c r="N1653" s="3" t="inlineStr">
        <is>
          <t>Cold Soldering</t>
        </is>
      </c>
      <c r="O1653" s="3" t="n">
        <v>570</v>
      </c>
      <c r="P1653" s="55" t="inlineStr">
        <is>
          <t>NSMI24060081653</t>
        </is>
      </c>
      <c r="Q1653" s="54">
        <f>MID(P1653,5,2)</f>
        <v/>
      </c>
      <c r="R1653" s="53">
        <f>MID(P1653,7,2)</f>
        <v/>
      </c>
      <c r="S1653" s="3" t="inlineStr">
        <is>
          <t>G2G</t>
        </is>
      </c>
      <c r="T1653" s="3" t="inlineStr">
        <is>
          <t>P4</t>
        </is>
      </c>
      <c r="U1653" s="3" t="inlineStr">
        <is>
          <t>N JB Cold Soldering</t>
        </is>
      </c>
      <c r="V1653" s="3" t="inlineStr">
        <is>
          <t>Soldering</t>
        </is>
      </c>
      <c r="W1653" s="3" t="inlineStr">
        <is>
          <t>Repair</t>
        </is>
      </c>
      <c r="X1653" s="18" t="n">
        <v>46163</v>
      </c>
      <c r="Y1653" s="3">
        <f>X1653-A1653</f>
        <v/>
      </c>
      <c r="Z1653" s="18" t="n">
        <v>46163</v>
      </c>
      <c r="AA1653" s="15" t="n"/>
      <c r="AB1653" s="15" t="n"/>
    </row>
    <row r="1654" hidden="1" s="233">
      <c r="A1654" s="6" t="n">
        <v>46107</v>
      </c>
      <c r="B1654" s="3" t="n">
        <v>2026</v>
      </c>
      <c r="C1654" s="3" t="inlineStr">
        <is>
          <t>Blupine</t>
        </is>
      </c>
      <c r="D1654" s="3" t="inlineStr">
        <is>
          <t>Utility and C&amp;I</t>
        </is>
      </c>
      <c r="E1654" s="3" t="n"/>
      <c r="F1654" s="3" t="inlineStr">
        <is>
          <t>Closed</t>
        </is>
      </c>
      <c r="G1654" s="3" t="inlineStr">
        <is>
          <t>Chandrashekar Patidar</t>
        </is>
      </c>
      <c r="H1654" s="3" t="n">
        <v>7879764773</v>
      </c>
      <c r="I1654" s="11" t="inlineStr">
        <is>
          <t>PE26032601</t>
        </is>
      </c>
      <c r="J1654" s="3" t="inlineStr">
        <is>
          <t>Module Diode Failure</t>
        </is>
      </c>
      <c r="K1654" s="3" t="inlineStr">
        <is>
          <t>Sadla</t>
        </is>
      </c>
      <c r="L1654" s="3" t="inlineStr">
        <is>
          <t>Gujarat</t>
        </is>
      </c>
      <c r="M1654" s="55" t="inlineStr">
        <is>
          <t>PS</t>
        </is>
      </c>
      <c r="N1654" s="3" t="inlineStr">
        <is>
          <t>Cold Soldering</t>
        </is>
      </c>
      <c r="O1654" s="3" t="n">
        <v>570</v>
      </c>
      <c r="P1654" s="55" t="inlineStr">
        <is>
          <t>NSMI24060082890</t>
        </is>
      </c>
      <c r="Q1654" s="54">
        <f>MID(P1654,5,2)</f>
        <v/>
      </c>
      <c r="R1654" s="53">
        <f>MID(P1654,7,2)</f>
        <v/>
      </c>
      <c r="S1654" s="3" t="inlineStr">
        <is>
          <t>G2G</t>
        </is>
      </c>
      <c r="T1654" s="3" t="inlineStr">
        <is>
          <t>P4</t>
        </is>
      </c>
      <c r="U1654" s="3" t="inlineStr">
        <is>
          <t>P JB Cold Soldering</t>
        </is>
      </c>
      <c r="V1654" s="3" t="inlineStr">
        <is>
          <t>Soldering</t>
        </is>
      </c>
      <c r="W1654" s="3" t="inlineStr">
        <is>
          <t>Repair</t>
        </is>
      </c>
      <c r="X1654" s="18" t="n">
        <v>46163</v>
      </c>
      <c r="Y1654" s="3">
        <f>X1654-A1654</f>
        <v/>
      </c>
      <c r="Z1654" s="18" t="n">
        <v>46163</v>
      </c>
      <c r="AA1654" s="15" t="n"/>
      <c r="AB1654" s="15" t="n"/>
    </row>
    <row r="1655" hidden="1" s="233">
      <c r="A1655" s="6" t="n">
        <v>46107</v>
      </c>
      <c r="B1655" s="3" t="n">
        <v>2026</v>
      </c>
      <c r="C1655" s="3" t="inlineStr">
        <is>
          <t>Blupine</t>
        </is>
      </c>
      <c r="D1655" s="3" t="inlineStr">
        <is>
          <t>Utility and C&amp;I</t>
        </is>
      </c>
      <c r="E1655" s="3" t="n"/>
      <c r="F1655" s="3" t="inlineStr">
        <is>
          <t>Closed</t>
        </is>
      </c>
      <c r="G1655" s="3" t="inlineStr">
        <is>
          <t>Chandrashekar Patidar</t>
        </is>
      </c>
      <c r="H1655" s="3" t="n">
        <v>7879764773</v>
      </c>
      <c r="I1655" s="11" t="inlineStr">
        <is>
          <t>PE26032601</t>
        </is>
      </c>
      <c r="J1655" s="3" t="inlineStr">
        <is>
          <t>Module Diode Failure</t>
        </is>
      </c>
      <c r="K1655" s="3" t="inlineStr">
        <is>
          <t>Sadla</t>
        </is>
      </c>
      <c r="L1655" s="3" t="inlineStr">
        <is>
          <t>Gujarat</t>
        </is>
      </c>
      <c r="M1655" s="55" t="inlineStr">
        <is>
          <t>PR</t>
        </is>
      </c>
      <c r="N1655" s="3" t="inlineStr">
        <is>
          <t>JB Issue</t>
        </is>
      </c>
      <c r="O1655" s="3" t="n">
        <v>570</v>
      </c>
      <c r="P1655" s="55" t="inlineStr">
        <is>
          <t>NSMI24060082839</t>
        </is>
      </c>
      <c r="Q1655" s="54">
        <f>MID(P1655,5,2)</f>
        <v/>
      </c>
      <c r="R1655" s="53">
        <f>MID(P1655,7,2)</f>
        <v/>
      </c>
      <c r="S1655" s="3" t="inlineStr">
        <is>
          <t>G2G</t>
        </is>
      </c>
      <c r="T1655" s="3" t="inlineStr">
        <is>
          <t>P4</t>
        </is>
      </c>
      <c r="U1655" s="3" t="inlineStr">
        <is>
          <t>P JB Issue</t>
        </is>
      </c>
      <c r="V1655" s="15" t="inlineStr">
        <is>
          <t>JB Changed</t>
        </is>
      </c>
      <c r="W1655" s="3" t="inlineStr">
        <is>
          <t>Repair</t>
        </is>
      </c>
      <c r="X1655" s="18" t="n">
        <v>46163</v>
      </c>
      <c r="Y1655" s="3">
        <f>X1655-A1655</f>
        <v/>
      </c>
      <c r="Z1655" s="18" t="n">
        <v>46163</v>
      </c>
      <c r="AA1655" s="15" t="n"/>
      <c r="AB1655" s="15" t="n"/>
    </row>
    <row r="1656" hidden="1" s="233">
      <c r="A1656" s="6" t="n">
        <v>46107</v>
      </c>
      <c r="B1656" s="3" t="n">
        <v>2026</v>
      </c>
      <c r="C1656" s="3" t="inlineStr">
        <is>
          <t>Blupine</t>
        </is>
      </c>
      <c r="D1656" s="3" t="inlineStr">
        <is>
          <t>Utility and C&amp;I</t>
        </is>
      </c>
      <c r="E1656" s="3" t="n"/>
      <c r="F1656" s="3" t="inlineStr">
        <is>
          <t>Closed</t>
        </is>
      </c>
      <c r="G1656" s="3" t="inlineStr">
        <is>
          <t>Chandrashekar Patidar</t>
        </is>
      </c>
      <c r="H1656" s="3" t="n">
        <v>7879764773</v>
      </c>
      <c r="I1656" s="11" t="inlineStr">
        <is>
          <t>PE26032601</t>
        </is>
      </c>
      <c r="J1656" s="3" t="inlineStr">
        <is>
          <t>Module Diode Failure</t>
        </is>
      </c>
      <c r="K1656" s="3" t="inlineStr">
        <is>
          <t>Sadla</t>
        </is>
      </c>
      <c r="L1656" s="3" t="inlineStr">
        <is>
          <t>Gujarat</t>
        </is>
      </c>
      <c r="M1656" s="55" t="inlineStr">
        <is>
          <t>PS</t>
        </is>
      </c>
      <c r="N1656" s="3" t="inlineStr">
        <is>
          <t>Cold Soldering</t>
        </is>
      </c>
      <c r="O1656" s="3" t="n">
        <v>570</v>
      </c>
      <c r="P1656" s="55" t="inlineStr">
        <is>
          <t>NSMI24050050205</t>
        </is>
      </c>
      <c r="Q1656" s="54">
        <f>MID(P1656,5,2)</f>
        <v/>
      </c>
      <c r="R1656" s="53">
        <f>MID(P1656,7,2)</f>
        <v/>
      </c>
      <c r="S1656" s="3" t="inlineStr">
        <is>
          <t>G2G</t>
        </is>
      </c>
      <c r="T1656" s="3" t="inlineStr">
        <is>
          <t>P4</t>
        </is>
      </c>
      <c r="U1656" s="3" t="inlineStr">
        <is>
          <t>P JB Cold Soldering</t>
        </is>
      </c>
      <c r="V1656" s="3" t="inlineStr">
        <is>
          <t>Soldering</t>
        </is>
      </c>
      <c r="W1656" s="3" t="inlineStr">
        <is>
          <t>Repair</t>
        </is>
      </c>
      <c r="X1656" s="18" t="n">
        <v>46163</v>
      </c>
      <c r="Y1656" s="3">
        <f>X1656-A1656</f>
        <v/>
      </c>
      <c r="Z1656" s="18" t="n">
        <v>46163</v>
      </c>
      <c r="AA1656" s="15" t="n"/>
      <c r="AB1656" s="15" t="n"/>
    </row>
    <row r="1657" hidden="1" s="233">
      <c r="A1657" s="6" t="n">
        <v>46107</v>
      </c>
      <c r="B1657" s="3" t="n">
        <v>2026</v>
      </c>
      <c r="C1657" s="3" t="inlineStr">
        <is>
          <t>Blupine</t>
        </is>
      </c>
      <c r="D1657" s="3" t="inlineStr">
        <is>
          <t>Utility and C&amp;I</t>
        </is>
      </c>
      <c r="E1657" s="3" t="n"/>
      <c r="F1657" s="3" t="inlineStr">
        <is>
          <t>Closed</t>
        </is>
      </c>
      <c r="G1657" s="3" t="inlineStr">
        <is>
          <t>Chandrashekar Patidar</t>
        </is>
      </c>
      <c r="H1657" s="3" t="n">
        <v>7879764773</v>
      </c>
      <c r="I1657" s="11" t="inlineStr">
        <is>
          <t>PE26032601</t>
        </is>
      </c>
      <c r="J1657" s="3" t="inlineStr">
        <is>
          <t>Module Diode Failure</t>
        </is>
      </c>
      <c r="K1657" s="3" t="inlineStr">
        <is>
          <t>Sadla</t>
        </is>
      </c>
      <c r="L1657" s="3" t="inlineStr">
        <is>
          <t>Gujarat</t>
        </is>
      </c>
      <c r="M1657" s="55" t="inlineStr">
        <is>
          <t>PS</t>
        </is>
      </c>
      <c r="N1657" s="3" t="inlineStr">
        <is>
          <t>Cold Soldering</t>
        </is>
      </c>
      <c r="O1657" s="3" t="n">
        <v>570</v>
      </c>
      <c r="P1657" s="55" t="inlineStr">
        <is>
          <t>NSMI24060083220</t>
        </is>
      </c>
      <c r="Q1657" s="54">
        <f>MID(P1657,5,2)</f>
        <v/>
      </c>
      <c r="R1657" s="53">
        <f>MID(P1657,7,2)</f>
        <v/>
      </c>
      <c r="S1657" s="3" t="inlineStr">
        <is>
          <t>G2G</t>
        </is>
      </c>
      <c r="T1657" s="3" t="inlineStr">
        <is>
          <t>P4</t>
        </is>
      </c>
      <c r="U1657" s="3" t="inlineStr">
        <is>
          <t>P JB Cold Soldering</t>
        </is>
      </c>
      <c r="V1657" s="3" t="inlineStr">
        <is>
          <t>Soldering</t>
        </is>
      </c>
      <c r="W1657" s="3" t="inlineStr">
        <is>
          <t>Repair</t>
        </is>
      </c>
      <c r="X1657" s="18" t="n">
        <v>46163</v>
      </c>
      <c r="Y1657" s="3">
        <f>X1657-A1657</f>
        <v/>
      </c>
      <c r="Z1657" s="18" t="n">
        <v>46163</v>
      </c>
      <c r="AA1657" s="15" t="n"/>
      <c r="AB1657" s="15" t="n"/>
    </row>
    <row r="1658" hidden="1" s="233">
      <c r="A1658" s="6" t="n">
        <v>46107</v>
      </c>
      <c r="B1658" s="3" t="n">
        <v>2026</v>
      </c>
      <c r="C1658" s="3" t="inlineStr">
        <is>
          <t>Blupine</t>
        </is>
      </c>
      <c r="D1658" s="3" t="inlineStr">
        <is>
          <t>Utility and C&amp;I</t>
        </is>
      </c>
      <c r="E1658" s="3" t="n"/>
      <c r="F1658" s="3" t="inlineStr">
        <is>
          <t>Closed</t>
        </is>
      </c>
      <c r="G1658" s="3" t="inlineStr">
        <is>
          <t>Chandrashekar Patidar</t>
        </is>
      </c>
      <c r="H1658" s="3" t="n">
        <v>7879764773</v>
      </c>
      <c r="I1658" s="11" t="inlineStr">
        <is>
          <t>PE26032601</t>
        </is>
      </c>
      <c r="J1658" s="3" t="inlineStr">
        <is>
          <t>Module Diode Failure</t>
        </is>
      </c>
      <c r="K1658" s="3" t="inlineStr">
        <is>
          <t>Sadla</t>
        </is>
      </c>
      <c r="L1658" s="3" t="inlineStr">
        <is>
          <t>Gujarat</t>
        </is>
      </c>
      <c r="M1658" s="55" t="inlineStr">
        <is>
          <t>NR</t>
        </is>
      </c>
      <c r="N1658" s="3" t="inlineStr">
        <is>
          <t>JB Issue</t>
        </is>
      </c>
      <c r="O1658" s="3" t="n">
        <v>570</v>
      </c>
      <c r="P1658" s="55" t="inlineStr">
        <is>
          <t>NSMI24060085886</t>
        </is>
      </c>
      <c r="Q1658" s="54">
        <f>MID(P1658,5,2)</f>
        <v/>
      </c>
      <c r="R1658" s="53">
        <f>MID(P1658,7,2)</f>
        <v/>
      </c>
      <c r="S1658" s="3" t="inlineStr">
        <is>
          <t>G2G</t>
        </is>
      </c>
      <c r="T1658" s="3" t="inlineStr">
        <is>
          <t>P4</t>
        </is>
      </c>
      <c r="U1658" s="3" t="inlineStr">
        <is>
          <t>N JB Issue</t>
        </is>
      </c>
      <c r="V1658" s="3" t="inlineStr">
        <is>
          <t>JB Changed</t>
        </is>
      </c>
      <c r="W1658" s="3" t="inlineStr">
        <is>
          <t>Repair</t>
        </is>
      </c>
      <c r="X1658" s="18" t="n">
        <v>46163</v>
      </c>
      <c r="Y1658" s="3">
        <f>X1658-A1658</f>
        <v/>
      </c>
      <c r="Z1658" s="18" t="n">
        <v>46163</v>
      </c>
      <c r="AA1658" s="15" t="n"/>
      <c r="AB1658" s="15" t="n"/>
    </row>
    <row r="1659" hidden="1" s="233">
      <c r="A1659" s="6" t="n">
        <v>46107</v>
      </c>
      <c r="B1659" s="3" t="n">
        <v>2026</v>
      </c>
      <c r="C1659" s="3" t="inlineStr">
        <is>
          <t>Blupine</t>
        </is>
      </c>
      <c r="D1659" s="3" t="inlineStr">
        <is>
          <t>Utility and C&amp;I</t>
        </is>
      </c>
      <c r="E1659" s="3" t="n"/>
      <c r="F1659" s="3" t="inlineStr">
        <is>
          <t>Closed</t>
        </is>
      </c>
      <c r="G1659" s="3" t="inlineStr">
        <is>
          <t>Chandrashekar Patidar</t>
        </is>
      </c>
      <c r="H1659" s="3" t="n">
        <v>7879764773</v>
      </c>
      <c r="I1659" s="11" t="inlineStr">
        <is>
          <t>PE26032601</t>
        </is>
      </c>
      <c r="J1659" s="3" t="inlineStr">
        <is>
          <t>Module Diode Failure</t>
        </is>
      </c>
      <c r="K1659" s="3" t="inlineStr">
        <is>
          <t>Sadla</t>
        </is>
      </c>
      <c r="L1659" s="3" t="inlineStr">
        <is>
          <t>Gujarat</t>
        </is>
      </c>
      <c r="M1659" s="55" t="inlineStr">
        <is>
          <t>NS</t>
        </is>
      </c>
      <c r="N1659" s="3" t="inlineStr">
        <is>
          <t>Cold Soldering</t>
        </is>
      </c>
      <c r="O1659" s="3" t="n">
        <v>570</v>
      </c>
      <c r="P1659" s="55" t="inlineStr">
        <is>
          <t>NSMI24060089805</t>
        </is>
      </c>
      <c r="Q1659" s="54">
        <f>MID(P1659,5,2)</f>
        <v/>
      </c>
      <c r="R1659" s="53">
        <f>MID(P1659,7,2)</f>
        <v/>
      </c>
      <c r="S1659" s="3" t="inlineStr">
        <is>
          <t>G2G</t>
        </is>
      </c>
      <c r="T1659" s="3" t="inlineStr">
        <is>
          <t>P4</t>
        </is>
      </c>
      <c r="U1659" s="3" t="inlineStr">
        <is>
          <t>N JB Cold Soldering</t>
        </is>
      </c>
      <c r="V1659" s="3" t="inlineStr">
        <is>
          <t>Soldering</t>
        </is>
      </c>
      <c r="W1659" s="3" t="inlineStr">
        <is>
          <t>Repair</t>
        </is>
      </c>
      <c r="X1659" s="18" t="n">
        <v>46163</v>
      </c>
      <c r="Y1659" s="3">
        <f>X1659-A1659</f>
        <v/>
      </c>
      <c r="Z1659" s="18" t="n">
        <v>46163</v>
      </c>
      <c r="AA1659" s="15" t="n"/>
      <c r="AB1659" s="15" t="n"/>
    </row>
    <row r="1660" hidden="1" s="233">
      <c r="A1660" s="6" t="n">
        <v>46107</v>
      </c>
      <c r="B1660" s="3" t="n">
        <v>2026</v>
      </c>
      <c r="C1660" s="3" t="inlineStr">
        <is>
          <t>Blupine</t>
        </is>
      </c>
      <c r="D1660" s="3" t="inlineStr">
        <is>
          <t>Utility and C&amp;I</t>
        </is>
      </c>
      <c r="E1660" s="3" t="n"/>
      <c r="F1660" s="3" t="inlineStr">
        <is>
          <t>Closed</t>
        </is>
      </c>
      <c r="G1660" s="3" t="inlineStr">
        <is>
          <t>Chandrashekar Patidar</t>
        </is>
      </c>
      <c r="H1660" s="3" t="n">
        <v>7879764773</v>
      </c>
      <c r="I1660" s="11" t="inlineStr">
        <is>
          <t>PE26032601</t>
        </is>
      </c>
      <c r="J1660" s="3" t="inlineStr">
        <is>
          <t>Module Diode Failure</t>
        </is>
      </c>
      <c r="K1660" s="3" t="inlineStr">
        <is>
          <t>Sadla</t>
        </is>
      </c>
      <c r="L1660" s="3" t="inlineStr">
        <is>
          <t>Gujarat</t>
        </is>
      </c>
      <c r="M1660" s="55" t="inlineStr">
        <is>
          <t>PS</t>
        </is>
      </c>
      <c r="N1660" s="3" t="inlineStr">
        <is>
          <t>Cold Soldering</t>
        </is>
      </c>
      <c r="O1660" s="3" t="n">
        <v>570</v>
      </c>
      <c r="P1660" s="55" t="inlineStr">
        <is>
          <t>NSMI24060084095</t>
        </is>
      </c>
      <c r="Q1660" s="54">
        <f>MID(P1660,5,2)</f>
        <v/>
      </c>
      <c r="R1660" s="53">
        <f>MID(P1660,7,2)</f>
        <v/>
      </c>
      <c r="S1660" s="3" t="inlineStr">
        <is>
          <t>G2G</t>
        </is>
      </c>
      <c r="T1660" s="3" t="inlineStr">
        <is>
          <t>P4</t>
        </is>
      </c>
      <c r="U1660" s="3" t="inlineStr">
        <is>
          <t>P JB Cold Soldering</t>
        </is>
      </c>
      <c r="V1660" s="3" t="inlineStr">
        <is>
          <t>Soldering</t>
        </is>
      </c>
      <c r="W1660" s="3" t="inlineStr">
        <is>
          <t>Repair</t>
        </is>
      </c>
      <c r="X1660" s="18" t="n">
        <v>46163</v>
      </c>
      <c r="Y1660" s="3">
        <f>X1660-A1660</f>
        <v/>
      </c>
      <c r="Z1660" s="18" t="n">
        <v>46163</v>
      </c>
      <c r="AA1660" s="15" t="n"/>
      <c r="AB1660" s="15" t="n"/>
    </row>
    <row r="1661" hidden="1" s="233">
      <c r="A1661" s="6" t="n">
        <v>46107</v>
      </c>
      <c r="B1661" s="3" t="n">
        <v>2026</v>
      </c>
      <c r="C1661" s="3" t="inlineStr">
        <is>
          <t>Blupine</t>
        </is>
      </c>
      <c r="D1661" s="3" t="inlineStr">
        <is>
          <t>Utility and C&amp;I</t>
        </is>
      </c>
      <c r="E1661" s="3" t="n"/>
      <c r="F1661" s="3" t="inlineStr">
        <is>
          <t>Closed</t>
        </is>
      </c>
      <c r="G1661" s="3" t="inlineStr">
        <is>
          <t>Chandrashekar Patidar</t>
        </is>
      </c>
      <c r="H1661" s="3" t="n">
        <v>7879764773</v>
      </c>
      <c r="I1661" s="11" t="inlineStr">
        <is>
          <t>PE26032601</t>
        </is>
      </c>
      <c r="J1661" s="3" t="inlineStr">
        <is>
          <t>Module Diode Failure</t>
        </is>
      </c>
      <c r="K1661" s="3" t="inlineStr">
        <is>
          <t>Sadla</t>
        </is>
      </c>
      <c r="L1661" s="3" t="inlineStr">
        <is>
          <t>Gujarat</t>
        </is>
      </c>
      <c r="M1661" s="55" t="inlineStr">
        <is>
          <t>NR</t>
        </is>
      </c>
      <c r="N1661" s="3" t="inlineStr">
        <is>
          <t>JB Issue</t>
        </is>
      </c>
      <c r="O1661" s="3" t="n">
        <v>570</v>
      </c>
      <c r="P1661" s="55" t="inlineStr">
        <is>
          <t>NSMI24050066139</t>
        </is>
      </c>
      <c r="Q1661" s="54">
        <f>MID(P1661,5,2)</f>
        <v/>
      </c>
      <c r="R1661" s="53">
        <f>MID(P1661,7,2)</f>
        <v/>
      </c>
      <c r="S1661" s="3" t="inlineStr">
        <is>
          <t>G2G</t>
        </is>
      </c>
      <c r="T1661" s="3" t="inlineStr">
        <is>
          <t>P4</t>
        </is>
      </c>
      <c r="U1661" s="3" t="inlineStr">
        <is>
          <t>N JB Issue</t>
        </is>
      </c>
      <c r="V1661" s="3" t="inlineStr">
        <is>
          <t>JB Changed</t>
        </is>
      </c>
      <c r="W1661" s="3" t="inlineStr">
        <is>
          <t>Repair</t>
        </is>
      </c>
      <c r="X1661" s="18" t="n">
        <v>46163</v>
      </c>
      <c r="Y1661" s="3">
        <f>X1661-A1661</f>
        <v/>
      </c>
      <c r="Z1661" s="18" t="n">
        <v>46163</v>
      </c>
      <c r="AA1661" s="15" t="n"/>
      <c r="AB1661" s="15" t="n"/>
    </row>
    <row r="1662" hidden="1" s="233">
      <c r="A1662" s="6" t="n">
        <v>46107</v>
      </c>
      <c r="B1662" s="3" t="n">
        <v>2026</v>
      </c>
      <c r="C1662" s="3" t="inlineStr">
        <is>
          <t>Blupine</t>
        </is>
      </c>
      <c r="D1662" s="3" t="inlineStr">
        <is>
          <t>Utility and C&amp;I</t>
        </is>
      </c>
      <c r="E1662" s="3" t="n"/>
      <c r="F1662" s="3" t="inlineStr">
        <is>
          <t>Closed</t>
        </is>
      </c>
      <c r="G1662" s="3" t="inlineStr">
        <is>
          <t>Chandrashekar Patidar</t>
        </is>
      </c>
      <c r="H1662" s="3" t="n">
        <v>7879764773</v>
      </c>
      <c r="I1662" s="11" t="inlineStr">
        <is>
          <t>PE26032601</t>
        </is>
      </c>
      <c r="J1662" s="3" t="inlineStr">
        <is>
          <t>Module Diode Failure</t>
        </is>
      </c>
      <c r="K1662" s="3" t="inlineStr">
        <is>
          <t>Sadla</t>
        </is>
      </c>
      <c r="L1662" s="3" t="inlineStr">
        <is>
          <t>Gujarat</t>
        </is>
      </c>
      <c r="M1662" s="55" t="inlineStr">
        <is>
          <t>PS</t>
        </is>
      </c>
      <c r="N1662" s="3" t="inlineStr">
        <is>
          <t>Cold Soldering</t>
        </is>
      </c>
      <c r="O1662" s="3" t="n">
        <v>570</v>
      </c>
      <c r="P1662" s="55" t="inlineStr">
        <is>
          <t>NSMI24060082547</t>
        </is>
      </c>
      <c r="Q1662" s="54">
        <f>MID(P1662,5,2)</f>
        <v/>
      </c>
      <c r="R1662" s="53">
        <f>MID(P1662,7,2)</f>
        <v/>
      </c>
      <c r="S1662" s="3" t="inlineStr">
        <is>
          <t>G2G</t>
        </is>
      </c>
      <c r="T1662" s="3" t="inlineStr">
        <is>
          <t>P4</t>
        </is>
      </c>
      <c r="U1662" s="3" t="inlineStr">
        <is>
          <t>P JB Cold Soldering</t>
        </is>
      </c>
      <c r="V1662" s="3" t="inlineStr">
        <is>
          <t>Soldering</t>
        </is>
      </c>
      <c r="W1662" s="3" t="inlineStr">
        <is>
          <t>Repair</t>
        </is>
      </c>
      <c r="X1662" s="18" t="n">
        <v>46163</v>
      </c>
      <c r="Y1662" s="3">
        <f>X1662-A1662</f>
        <v/>
      </c>
      <c r="Z1662" s="18" t="n">
        <v>46163</v>
      </c>
      <c r="AA1662" s="15" t="n"/>
      <c r="AB1662" s="15" t="n"/>
    </row>
    <row r="1663" hidden="1" s="233">
      <c r="A1663" s="6" t="n">
        <v>46107</v>
      </c>
      <c r="B1663" s="3" t="n">
        <v>2026</v>
      </c>
      <c r="C1663" s="3" t="inlineStr">
        <is>
          <t>Blupine</t>
        </is>
      </c>
      <c r="D1663" s="3" t="inlineStr">
        <is>
          <t>Utility and C&amp;I</t>
        </is>
      </c>
      <c r="E1663" s="3" t="n"/>
      <c r="F1663" s="3" t="inlineStr">
        <is>
          <t>Closed</t>
        </is>
      </c>
      <c r="G1663" s="3" t="inlineStr">
        <is>
          <t>Chandrashekar Patidar</t>
        </is>
      </c>
      <c r="H1663" s="3" t="n">
        <v>7879764773</v>
      </c>
      <c r="I1663" s="11" t="inlineStr">
        <is>
          <t>PE26032601</t>
        </is>
      </c>
      <c r="J1663" s="3" t="inlineStr">
        <is>
          <t>Module Diode Failure</t>
        </is>
      </c>
      <c r="K1663" s="3" t="inlineStr">
        <is>
          <t>Sadla</t>
        </is>
      </c>
      <c r="L1663" s="3" t="inlineStr">
        <is>
          <t>Gujarat</t>
        </is>
      </c>
      <c r="M1663" s="55" t="inlineStr">
        <is>
          <t>PR</t>
        </is>
      </c>
      <c r="N1663" s="3" t="inlineStr">
        <is>
          <t>JB Issue</t>
        </is>
      </c>
      <c r="O1663" s="3" t="n">
        <v>570</v>
      </c>
      <c r="P1663" s="55" t="inlineStr">
        <is>
          <t>NSMI24050060035</t>
        </is>
      </c>
      <c r="Q1663" s="54">
        <f>MID(P1663,5,2)</f>
        <v/>
      </c>
      <c r="R1663" s="53">
        <f>MID(P1663,7,2)</f>
        <v/>
      </c>
      <c r="S1663" s="3" t="inlineStr">
        <is>
          <t>G2G</t>
        </is>
      </c>
      <c r="T1663" s="3" t="inlineStr">
        <is>
          <t>P4</t>
        </is>
      </c>
      <c r="U1663" s="3" t="inlineStr">
        <is>
          <t>P JB Issue</t>
        </is>
      </c>
      <c r="V1663" s="15" t="inlineStr">
        <is>
          <t>JB Changed</t>
        </is>
      </c>
      <c r="W1663" s="3" t="inlineStr">
        <is>
          <t>Repair</t>
        </is>
      </c>
      <c r="X1663" s="18" t="n">
        <v>46163</v>
      </c>
      <c r="Y1663" s="3">
        <f>X1663-A1663</f>
        <v/>
      </c>
      <c r="Z1663" s="18" t="n">
        <v>46163</v>
      </c>
      <c r="AA1663" s="15" t="n"/>
      <c r="AB1663" s="15" t="n"/>
    </row>
    <row r="1664" hidden="1" s="233">
      <c r="A1664" s="6" t="n">
        <v>46107</v>
      </c>
      <c r="B1664" s="3" t="n">
        <v>2026</v>
      </c>
      <c r="C1664" s="3" t="inlineStr">
        <is>
          <t>Blupine</t>
        </is>
      </c>
      <c r="D1664" s="3" t="inlineStr">
        <is>
          <t>Utility and C&amp;I</t>
        </is>
      </c>
      <c r="E1664" s="3" t="n"/>
      <c r="F1664" s="3" t="inlineStr">
        <is>
          <t>Closed</t>
        </is>
      </c>
      <c r="G1664" s="3" t="inlineStr">
        <is>
          <t>Chandrashekar Patidar</t>
        </is>
      </c>
      <c r="H1664" s="3" t="n">
        <v>7879764773</v>
      </c>
      <c r="I1664" s="11" t="inlineStr">
        <is>
          <t>PE26032601</t>
        </is>
      </c>
      <c r="J1664" s="3" t="inlineStr">
        <is>
          <t>Module Diode Failure</t>
        </is>
      </c>
      <c r="K1664" s="3" t="inlineStr">
        <is>
          <t>Sadla</t>
        </is>
      </c>
      <c r="L1664" s="3" t="inlineStr">
        <is>
          <t>Gujarat</t>
        </is>
      </c>
      <c r="M1664" s="55" t="inlineStr">
        <is>
          <t>PS</t>
        </is>
      </c>
      <c r="N1664" s="3" t="inlineStr">
        <is>
          <t>Cold Soldering</t>
        </is>
      </c>
      <c r="O1664" s="3" t="n">
        <v>570</v>
      </c>
      <c r="P1664" s="55" t="inlineStr">
        <is>
          <t>NSMI24060079718</t>
        </is>
      </c>
      <c r="Q1664" s="54">
        <f>MID(P1664,5,2)</f>
        <v/>
      </c>
      <c r="R1664" s="53">
        <f>MID(P1664,7,2)</f>
        <v/>
      </c>
      <c r="S1664" s="3" t="inlineStr">
        <is>
          <t>G2G</t>
        </is>
      </c>
      <c r="T1664" s="3" t="inlineStr">
        <is>
          <t>P4</t>
        </is>
      </c>
      <c r="U1664" s="3" t="inlineStr">
        <is>
          <t>P JB Cold Soldering</t>
        </is>
      </c>
      <c r="V1664" s="3" t="inlineStr">
        <is>
          <t>Soldering</t>
        </is>
      </c>
      <c r="W1664" s="3" t="inlineStr">
        <is>
          <t>Repair</t>
        </is>
      </c>
      <c r="X1664" s="18" t="n">
        <v>46163</v>
      </c>
      <c r="Y1664" s="3">
        <f>X1664-A1664</f>
        <v/>
      </c>
      <c r="Z1664" s="18" t="n">
        <v>46163</v>
      </c>
      <c r="AA1664" s="15" t="n"/>
      <c r="AB1664" s="15" t="n"/>
    </row>
    <row r="1665" hidden="1" s="233">
      <c r="A1665" s="6" t="n">
        <v>46107</v>
      </c>
      <c r="B1665" s="3" t="n">
        <v>2026</v>
      </c>
      <c r="C1665" s="3" t="inlineStr">
        <is>
          <t>Blupine</t>
        </is>
      </c>
      <c r="D1665" s="3" t="inlineStr">
        <is>
          <t>Utility and C&amp;I</t>
        </is>
      </c>
      <c r="E1665" s="3" t="n"/>
      <c r="F1665" s="3" t="inlineStr">
        <is>
          <t>Closed</t>
        </is>
      </c>
      <c r="G1665" s="3" t="inlineStr">
        <is>
          <t>Chandrashekar Patidar</t>
        </is>
      </c>
      <c r="H1665" s="3" t="n">
        <v>7879764773</v>
      </c>
      <c r="I1665" s="11" t="inlineStr">
        <is>
          <t>PE26032601</t>
        </is>
      </c>
      <c r="J1665" s="3" t="inlineStr">
        <is>
          <t>Module Diode Failure</t>
        </is>
      </c>
      <c r="K1665" s="3" t="inlineStr">
        <is>
          <t>Sadla</t>
        </is>
      </c>
      <c r="L1665" s="3" t="inlineStr">
        <is>
          <t>Gujarat</t>
        </is>
      </c>
      <c r="M1665" s="55" t="inlineStr">
        <is>
          <t>PS</t>
        </is>
      </c>
      <c r="N1665" s="3" t="inlineStr">
        <is>
          <t>Cold Soldering</t>
        </is>
      </c>
      <c r="O1665" s="3" t="n">
        <v>570</v>
      </c>
      <c r="P1665" s="55" t="inlineStr">
        <is>
          <t>NSMI24060076581</t>
        </is>
      </c>
      <c r="Q1665" s="54">
        <f>MID(P1665,5,2)</f>
        <v/>
      </c>
      <c r="R1665" s="53">
        <f>MID(P1665,7,2)</f>
        <v/>
      </c>
      <c r="S1665" s="3" t="inlineStr">
        <is>
          <t>G2G</t>
        </is>
      </c>
      <c r="T1665" s="3" t="inlineStr">
        <is>
          <t>P4</t>
        </is>
      </c>
      <c r="U1665" s="3" t="inlineStr">
        <is>
          <t>P JB Cold Soldering</t>
        </is>
      </c>
      <c r="V1665" s="3" t="inlineStr">
        <is>
          <t>Soldering</t>
        </is>
      </c>
      <c r="W1665" s="3" t="inlineStr">
        <is>
          <t>Repair</t>
        </is>
      </c>
      <c r="X1665" s="18" t="n">
        <v>46163</v>
      </c>
      <c r="Y1665" s="3">
        <f>X1665-A1665</f>
        <v/>
      </c>
      <c r="Z1665" s="18" t="n">
        <v>46163</v>
      </c>
      <c r="AA1665" s="15" t="n"/>
      <c r="AB1665" s="15" t="n"/>
    </row>
    <row r="1666" hidden="1" s="233">
      <c r="A1666" s="6" t="n">
        <v>46107</v>
      </c>
      <c r="B1666" s="3" t="n">
        <v>2026</v>
      </c>
      <c r="C1666" s="3" t="inlineStr">
        <is>
          <t>Blupine</t>
        </is>
      </c>
      <c r="D1666" s="3" t="inlineStr">
        <is>
          <t>Utility and C&amp;I</t>
        </is>
      </c>
      <c r="E1666" s="3" t="n"/>
      <c r="F1666" s="3" t="inlineStr">
        <is>
          <t>Closed</t>
        </is>
      </c>
      <c r="G1666" s="3" t="inlineStr">
        <is>
          <t>Chandrashekar Patidar</t>
        </is>
      </c>
      <c r="H1666" s="3" t="n">
        <v>7879764773</v>
      </c>
      <c r="I1666" s="11" t="inlineStr">
        <is>
          <t>PE26032601</t>
        </is>
      </c>
      <c r="J1666" s="3" t="inlineStr">
        <is>
          <t>Module Diode Failure</t>
        </is>
      </c>
      <c r="K1666" s="3" t="inlineStr">
        <is>
          <t>Sadla</t>
        </is>
      </c>
      <c r="L1666" s="3" t="inlineStr">
        <is>
          <t>Gujarat</t>
        </is>
      </c>
      <c r="M1666" s="55" t="inlineStr">
        <is>
          <t>PR</t>
        </is>
      </c>
      <c r="N1666" s="3" t="inlineStr">
        <is>
          <t>JB Issue</t>
        </is>
      </c>
      <c r="O1666" s="3" t="n">
        <v>570</v>
      </c>
      <c r="P1666" s="55" t="inlineStr">
        <is>
          <t>NSMI24050064437</t>
        </is>
      </c>
      <c r="Q1666" s="54">
        <f>MID(P1666,5,2)</f>
        <v/>
      </c>
      <c r="R1666" s="53">
        <f>MID(P1666,7,2)</f>
        <v/>
      </c>
      <c r="S1666" s="3" t="inlineStr">
        <is>
          <t>G2G</t>
        </is>
      </c>
      <c r="T1666" s="3" t="inlineStr">
        <is>
          <t>P4</t>
        </is>
      </c>
      <c r="U1666" s="3" t="inlineStr">
        <is>
          <t>P JB Issue</t>
        </is>
      </c>
      <c r="V1666" s="15" t="inlineStr">
        <is>
          <t>JB Changed</t>
        </is>
      </c>
      <c r="W1666" s="3" t="inlineStr">
        <is>
          <t>Repair</t>
        </is>
      </c>
      <c r="X1666" s="18" t="n">
        <v>46163</v>
      </c>
      <c r="Y1666" s="3">
        <f>X1666-A1666</f>
        <v/>
      </c>
      <c r="Z1666" s="18" t="n">
        <v>46163</v>
      </c>
      <c r="AA1666" s="15" t="n"/>
      <c r="AB1666" s="15" t="n"/>
    </row>
    <row r="1667" hidden="1" s="233">
      <c r="A1667" s="6" t="n">
        <v>46107</v>
      </c>
      <c r="B1667" s="3" t="n">
        <v>2026</v>
      </c>
      <c r="C1667" s="3" t="inlineStr">
        <is>
          <t>Blupine</t>
        </is>
      </c>
      <c r="D1667" s="3" t="inlineStr">
        <is>
          <t>Utility and C&amp;I</t>
        </is>
      </c>
      <c r="E1667" s="3" t="n"/>
      <c r="F1667" s="3" t="inlineStr">
        <is>
          <t>Closed</t>
        </is>
      </c>
      <c r="G1667" s="3" t="inlineStr">
        <is>
          <t>Chandrashekar Patidar</t>
        </is>
      </c>
      <c r="H1667" s="3" t="n">
        <v>7879764773</v>
      </c>
      <c r="I1667" s="11" t="inlineStr">
        <is>
          <t>PE26032601</t>
        </is>
      </c>
      <c r="J1667" s="3" t="inlineStr">
        <is>
          <t>Module Diode Failure</t>
        </is>
      </c>
      <c r="K1667" s="3" t="inlineStr">
        <is>
          <t>Sadla</t>
        </is>
      </c>
      <c r="L1667" s="3" t="inlineStr">
        <is>
          <t>Gujarat</t>
        </is>
      </c>
      <c r="M1667" s="55" t="inlineStr">
        <is>
          <t>NS</t>
        </is>
      </c>
      <c r="N1667" s="3" t="inlineStr">
        <is>
          <t>Cold Soldering</t>
        </is>
      </c>
      <c r="O1667" s="3" t="n">
        <v>570</v>
      </c>
      <c r="P1667" s="55" t="inlineStr">
        <is>
          <t>NSMI24050065677</t>
        </is>
      </c>
      <c r="Q1667" s="54">
        <f>MID(P1667,5,2)</f>
        <v/>
      </c>
      <c r="R1667" s="53">
        <f>MID(P1667,7,2)</f>
        <v/>
      </c>
      <c r="S1667" s="3" t="inlineStr">
        <is>
          <t>G2G</t>
        </is>
      </c>
      <c r="T1667" s="3" t="inlineStr">
        <is>
          <t>P4</t>
        </is>
      </c>
      <c r="U1667" s="3" t="inlineStr">
        <is>
          <t>N JB Cold Soldering</t>
        </is>
      </c>
      <c r="V1667" s="3" t="inlineStr">
        <is>
          <t>Soldering</t>
        </is>
      </c>
      <c r="W1667" s="3" t="inlineStr">
        <is>
          <t>Repair</t>
        </is>
      </c>
      <c r="X1667" s="18" t="n">
        <v>46163</v>
      </c>
      <c r="Y1667" s="3">
        <f>X1667-A1667</f>
        <v/>
      </c>
      <c r="Z1667" s="18" t="n">
        <v>46163</v>
      </c>
      <c r="AA1667" s="15" t="n"/>
      <c r="AB1667" s="15" t="n"/>
    </row>
    <row r="1668" hidden="1" s="233">
      <c r="A1668" s="6" t="n">
        <v>46107</v>
      </c>
      <c r="B1668" s="3" t="n">
        <v>2026</v>
      </c>
      <c r="C1668" s="3" t="inlineStr">
        <is>
          <t>Blupine</t>
        </is>
      </c>
      <c r="D1668" s="3" t="inlineStr">
        <is>
          <t>Utility and C&amp;I</t>
        </is>
      </c>
      <c r="E1668" s="3" t="n"/>
      <c r="F1668" s="3" t="inlineStr">
        <is>
          <t>Closed</t>
        </is>
      </c>
      <c r="G1668" s="3" t="inlineStr">
        <is>
          <t>Chandrashekar Patidar</t>
        </is>
      </c>
      <c r="H1668" s="3" t="n">
        <v>7879764773</v>
      </c>
      <c r="I1668" s="11" t="inlineStr">
        <is>
          <t>PE26032601</t>
        </is>
      </c>
      <c r="J1668" s="3" t="inlineStr">
        <is>
          <t>Module Diode Failure</t>
        </is>
      </c>
      <c r="K1668" s="3" t="inlineStr">
        <is>
          <t>Sadla</t>
        </is>
      </c>
      <c r="L1668" s="3" t="inlineStr">
        <is>
          <t>Gujarat</t>
        </is>
      </c>
      <c r="M1668" s="55" t="inlineStr">
        <is>
          <t>NS</t>
        </is>
      </c>
      <c r="N1668" s="3" t="inlineStr">
        <is>
          <t>Cold Soldering</t>
        </is>
      </c>
      <c r="O1668" s="3" t="n">
        <v>570</v>
      </c>
      <c r="P1668" s="55" t="inlineStr">
        <is>
          <t>NSMI24050065681</t>
        </is>
      </c>
      <c r="Q1668" s="54">
        <f>MID(P1668,5,2)</f>
        <v/>
      </c>
      <c r="R1668" s="53">
        <f>MID(P1668,7,2)</f>
        <v/>
      </c>
      <c r="S1668" s="3" t="inlineStr">
        <is>
          <t>G2G</t>
        </is>
      </c>
      <c r="T1668" s="3" t="inlineStr">
        <is>
          <t>P4</t>
        </is>
      </c>
      <c r="U1668" s="3" t="inlineStr">
        <is>
          <t>N JB Cold Soldering</t>
        </is>
      </c>
      <c r="V1668" s="3" t="inlineStr">
        <is>
          <t>Soldering</t>
        </is>
      </c>
      <c r="W1668" s="3" t="inlineStr">
        <is>
          <t>Repair</t>
        </is>
      </c>
      <c r="X1668" s="18" t="n">
        <v>46163</v>
      </c>
      <c r="Y1668" s="3">
        <f>X1668-A1668</f>
        <v/>
      </c>
      <c r="Z1668" s="18" t="n">
        <v>46163</v>
      </c>
      <c r="AA1668" s="15" t="n"/>
      <c r="AB1668" s="15" t="n"/>
    </row>
    <row r="1669" hidden="1" s="233">
      <c r="A1669" s="6" t="n">
        <v>46107</v>
      </c>
      <c r="B1669" s="3" t="n">
        <v>2026</v>
      </c>
      <c r="C1669" s="3" t="inlineStr">
        <is>
          <t>Blupine</t>
        </is>
      </c>
      <c r="D1669" s="3" t="inlineStr">
        <is>
          <t>Utility and C&amp;I</t>
        </is>
      </c>
      <c r="E1669" s="3" t="n"/>
      <c r="F1669" s="3" t="inlineStr">
        <is>
          <t>Closed</t>
        </is>
      </c>
      <c r="G1669" s="3" t="inlineStr">
        <is>
          <t>Chandrashekar Patidar</t>
        </is>
      </c>
      <c r="H1669" s="3" t="n">
        <v>7879764773</v>
      </c>
      <c r="I1669" s="11" t="inlineStr">
        <is>
          <t>PE26032601</t>
        </is>
      </c>
      <c r="J1669" s="3" t="inlineStr">
        <is>
          <t>Module Diode Failure</t>
        </is>
      </c>
      <c r="K1669" s="3" t="inlineStr">
        <is>
          <t>Sadla</t>
        </is>
      </c>
      <c r="L1669" s="3" t="inlineStr">
        <is>
          <t>Gujarat</t>
        </is>
      </c>
      <c r="M1669" s="55" t="inlineStr">
        <is>
          <t>NS</t>
        </is>
      </c>
      <c r="N1669" s="3" t="inlineStr">
        <is>
          <t>Cold Soldering</t>
        </is>
      </c>
      <c r="O1669" s="3" t="n">
        <v>570</v>
      </c>
      <c r="P1669" s="55" t="inlineStr">
        <is>
          <t>NSMI24050059054</t>
        </is>
      </c>
      <c r="Q1669" s="54">
        <f>MID(P1669,5,2)</f>
        <v/>
      </c>
      <c r="R1669" s="53">
        <f>MID(P1669,7,2)</f>
        <v/>
      </c>
      <c r="S1669" s="3" t="inlineStr">
        <is>
          <t>G2G</t>
        </is>
      </c>
      <c r="T1669" s="3" t="inlineStr">
        <is>
          <t>P4</t>
        </is>
      </c>
      <c r="U1669" s="3" t="inlineStr">
        <is>
          <t>N JB Cold Soldering</t>
        </is>
      </c>
      <c r="V1669" s="3" t="inlineStr">
        <is>
          <t>Soldering</t>
        </is>
      </c>
      <c r="W1669" s="3" t="inlineStr">
        <is>
          <t>Repair</t>
        </is>
      </c>
      <c r="X1669" s="18" t="n">
        <v>46163</v>
      </c>
      <c r="Y1669" s="3">
        <f>X1669-A1669</f>
        <v/>
      </c>
      <c r="Z1669" s="18" t="n">
        <v>46163</v>
      </c>
      <c r="AA1669" s="15" t="n"/>
      <c r="AB1669" s="15" t="n"/>
    </row>
    <row r="1670" hidden="1" s="233">
      <c r="A1670" s="6" t="n">
        <v>46107</v>
      </c>
      <c r="B1670" s="3" t="n">
        <v>2026</v>
      </c>
      <c r="C1670" s="3" t="inlineStr">
        <is>
          <t>Blupine</t>
        </is>
      </c>
      <c r="D1670" s="3" t="inlineStr">
        <is>
          <t>Utility and C&amp;I</t>
        </is>
      </c>
      <c r="E1670" s="3" t="n"/>
      <c r="F1670" s="3" t="inlineStr">
        <is>
          <t>Closed</t>
        </is>
      </c>
      <c r="G1670" s="3" t="inlineStr">
        <is>
          <t>Chandrashekar Patidar</t>
        </is>
      </c>
      <c r="H1670" s="3" t="n">
        <v>7879764773</v>
      </c>
      <c r="I1670" s="11" t="inlineStr">
        <is>
          <t>PE26032601</t>
        </is>
      </c>
      <c r="J1670" s="3" t="inlineStr">
        <is>
          <t>Module Diode Failure</t>
        </is>
      </c>
      <c r="K1670" s="3" t="inlineStr">
        <is>
          <t>Sadla</t>
        </is>
      </c>
      <c r="L1670" s="3" t="inlineStr">
        <is>
          <t>Gujarat</t>
        </is>
      </c>
      <c r="M1670" s="55" t="inlineStr">
        <is>
          <t>NS</t>
        </is>
      </c>
      <c r="N1670" s="3" t="inlineStr">
        <is>
          <t>Cold Soldering</t>
        </is>
      </c>
      <c r="O1670" s="3" t="n">
        <v>570</v>
      </c>
      <c r="P1670" s="55" t="inlineStr">
        <is>
          <t>NSMI24050059039</t>
        </is>
      </c>
      <c r="Q1670" s="54">
        <f>MID(P1670,5,2)</f>
        <v/>
      </c>
      <c r="R1670" s="53">
        <f>MID(P1670,7,2)</f>
        <v/>
      </c>
      <c r="S1670" s="3" t="inlineStr">
        <is>
          <t>G2G</t>
        </is>
      </c>
      <c r="T1670" s="3" t="inlineStr">
        <is>
          <t>P4</t>
        </is>
      </c>
      <c r="U1670" s="3" t="inlineStr">
        <is>
          <t>N JB Cold Soldering</t>
        </is>
      </c>
      <c r="V1670" s="3" t="inlineStr">
        <is>
          <t>Soldering</t>
        </is>
      </c>
      <c r="W1670" s="3" t="inlineStr">
        <is>
          <t>Repair</t>
        </is>
      </c>
      <c r="X1670" s="18" t="n">
        <v>46163</v>
      </c>
      <c r="Y1670" s="3">
        <f>X1670-A1670</f>
        <v/>
      </c>
      <c r="Z1670" s="18" t="n">
        <v>46163</v>
      </c>
      <c r="AA1670" s="15" t="n"/>
      <c r="AB1670" s="15" t="n"/>
    </row>
    <row r="1671" hidden="1" s="233">
      <c r="A1671" s="6" t="n">
        <v>46107</v>
      </c>
      <c r="B1671" s="3" t="n">
        <v>2026</v>
      </c>
      <c r="C1671" s="3" t="inlineStr">
        <is>
          <t>Blupine</t>
        </is>
      </c>
      <c r="D1671" s="3" t="inlineStr">
        <is>
          <t>Utility and C&amp;I</t>
        </is>
      </c>
      <c r="E1671" s="3" t="n"/>
      <c r="F1671" s="3" t="inlineStr">
        <is>
          <t>Closed</t>
        </is>
      </c>
      <c r="G1671" s="3" t="inlineStr">
        <is>
          <t>Chandrashekar Patidar</t>
        </is>
      </c>
      <c r="H1671" s="3" t="n">
        <v>7879764773</v>
      </c>
      <c r="I1671" s="11" t="inlineStr">
        <is>
          <t>PE26032601</t>
        </is>
      </c>
      <c r="J1671" s="3" t="inlineStr">
        <is>
          <t>Module Diode Failure</t>
        </is>
      </c>
      <c r="K1671" s="3" t="inlineStr">
        <is>
          <t>Sadla</t>
        </is>
      </c>
      <c r="L1671" s="3" t="inlineStr">
        <is>
          <t>Gujarat</t>
        </is>
      </c>
      <c r="M1671" s="55" t="inlineStr">
        <is>
          <t>NS</t>
        </is>
      </c>
      <c r="N1671" s="3" t="inlineStr">
        <is>
          <t>Cold Soldering</t>
        </is>
      </c>
      <c r="O1671" s="3" t="n">
        <v>570</v>
      </c>
      <c r="P1671" s="55" t="inlineStr">
        <is>
          <t>NSMI24050058994</t>
        </is>
      </c>
      <c r="Q1671" s="54">
        <f>MID(P1671,5,2)</f>
        <v/>
      </c>
      <c r="R1671" s="53">
        <f>MID(P1671,7,2)</f>
        <v/>
      </c>
      <c r="S1671" s="3" t="inlineStr">
        <is>
          <t>G2G</t>
        </is>
      </c>
      <c r="T1671" s="3" t="inlineStr">
        <is>
          <t>P4</t>
        </is>
      </c>
      <c r="U1671" s="3" t="inlineStr">
        <is>
          <t>N JB Cold Soldering</t>
        </is>
      </c>
      <c r="V1671" s="3" t="inlineStr">
        <is>
          <t>Soldering</t>
        </is>
      </c>
      <c r="W1671" s="3" t="inlineStr">
        <is>
          <t>Repair</t>
        </is>
      </c>
      <c r="X1671" s="18" t="n">
        <v>46163</v>
      </c>
      <c r="Y1671" s="3">
        <f>X1671-A1671</f>
        <v/>
      </c>
      <c r="Z1671" s="18" t="n">
        <v>46163</v>
      </c>
      <c r="AA1671" s="15" t="n"/>
      <c r="AB1671" s="15" t="n"/>
    </row>
    <row r="1672" hidden="1" s="233">
      <c r="A1672" s="6" t="n">
        <v>46107</v>
      </c>
      <c r="B1672" s="3" t="n">
        <v>2026</v>
      </c>
      <c r="C1672" s="3" t="inlineStr">
        <is>
          <t>Blupine</t>
        </is>
      </c>
      <c r="D1672" s="3" t="inlineStr">
        <is>
          <t>Utility and C&amp;I</t>
        </is>
      </c>
      <c r="E1672" s="3" t="n"/>
      <c r="F1672" s="3" t="inlineStr">
        <is>
          <t>Closed</t>
        </is>
      </c>
      <c r="G1672" s="3" t="inlineStr">
        <is>
          <t>Chandrashekar Patidar</t>
        </is>
      </c>
      <c r="H1672" s="3" t="n">
        <v>7879764773</v>
      </c>
      <c r="I1672" s="11" t="inlineStr">
        <is>
          <t>PE26032601</t>
        </is>
      </c>
      <c r="J1672" s="3" t="inlineStr">
        <is>
          <t>Module Diode Failure</t>
        </is>
      </c>
      <c r="K1672" s="3" t="inlineStr">
        <is>
          <t>Sadla</t>
        </is>
      </c>
      <c r="L1672" s="3" t="inlineStr">
        <is>
          <t>Gujarat</t>
        </is>
      </c>
      <c r="M1672" s="55" t="inlineStr">
        <is>
          <t>Ok</t>
        </is>
      </c>
      <c r="N1672" s="3" t="inlineStr">
        <is>
          <t>No Issue</t>
        </is>
      </c>
      <c r="O1672" s="3" t="n">
        <v>570</v>
      </c>
      <c r="P1672" s="55" t="inlineStr">
        <is>
          <t>NSM124090350385</t>
        </is>
      </c>
      <c r="Q1672" s="54">
        <f>MID(P1672,5,2)</f>
        <v/>
      </c>
      <c r="R1672" s="53">
        <f>MID(P1672,7,2)</f>
        <v/>
      </c>
      <c r="S1672" s="3" t="inlineStr">
        <is>
          <t>G2G</t>
        </is>
      </c>
      <c r="T1672" s="3" t="inlineStr">
        <is>
          <t>P4</t>
        </is>
      </c>
      <c r="U1672" s="19" t="inlineStr">
        <is>
          <t>No Issue Found</t>
        </is>
      </c>
      <c r="V1672" s="19" t="inlineStr">
        <is>
          <t>Found OK</t>
        </is>
      </c>
      <c r="W1672" s="3" t="inlineStr">
        <is>
          <t>Repair</t>
        </is>
      </c>
      <c r="X1672" s="18" t="n">
        <v>46163</v>
      </c>
      <c r="Y1672" s="3">
        <f>X1672-A1672</f>
        <v/>
      </c>
      <c r="Z1672" s="18" t="n">
        <v>46163</v>
      </c>
      <c r="AA1672" s="15" t="n"/>
      <c r="AB1672" s="15" t="n"/>
    </row>
    <row r="1673" hidden="1" s="233">
      <c r="A1673" s="6" t="n">
        <v>46107</v>
      </c>
      <c r="B1673" s="3" t="n">
        <v>2026</v>
      </c>
      <c r="C1673" s="3" t="inlineStr">
        <is>
          <t>Blupine</t>
        </is>
      </c>
      <c r="D1673" s="3" t="inlineStr">
        <is>
          <t>Utility and C&amp;I</t>
        </is>
      </c>
      <c r="E1673" s="3" t="n"/>
      <c r="F1673" s="3" t="inlineStr">
        <is>
          <t>Closed</t>
        </is>
      </c>
      <c r="G1673" s="3" t="inlineStr">
        <is>
          <t>Chandrashekar Patidar</t>
        </is>
      </c>
      <c r="H1673" s="3" t="n">
        <v>7879764773</v>
      </c>
      <c r="I1673" s="11" t="inlineStr">
        <is>
          <t>PE26032601</t>
        </is>
      </c>
      <c r="J1673" s="3" t="inlineStr">
        <is>
          <t>Module Diode Failure</t>
        </is>
      </c>
      <c r="K1673" s="3" t="inlineStr">
        <is>
          <t>Sadla</t>
        </is>
      </c>
      <c r="L1673" s="3" t="inlineStr">
        <is>
          <t>Gujarat</t>
        </is>
      </c>
      <c r="M1673" s="55" t="inlineStr">
        <is>
          <t>PNS</t>
        </is>
      </c>
      <c r="N1673" s="3" t="inlineStr">
        <is>
          <t>Cold Soldering</t>
        </is>
      </c>
      <c r="O1673" s="3" t="n">
        <v>570</v>
      </c>
      <c r="P1673" s="55" t="inlineStr">
        <is>
          <t>NSMI24080340876</t>
        </is>
      </c>
      <c r="Q1673" s="54">
        <f>MID(P1673,5,2)</f>
        <v/>
      </c>
      <c r="R1673" s="53">
        <f>MID(P1673,7,2)</f>
        <v/>
      </c>
      <c r="S1673" s="3" t="inlineStr">
        <is>
          <t>G2G</t>
        </is>
      </c>
      <c r="T1673" s="3" t="inlineStr">
        <is>
          <t>P4</t>
        </is>
      </c>
      <c r="U1673" s="3" t="inlineStr">
        <is>
          <t>P &amp; N JB Cold Soldering</t>
        </is>
      </c>
      <c r="V1673" s="3" t="inlineStr">
        <is>
          <t>Soldering</t>
        </is>
      </c>
      <c r="W1673" s="3" t="inlineStr">
        <is>
          <t>Repair</t>
        </is>
      </c>
      <c r="X1673" s="18" t="n">
        <v>46163</v>
      </c>
      <c r="Y1673" s="3">
        <f>X1673-A1673</f>
        <v/>
      </c>
      <c r="Z1673" s="18" t="n">
        <v>46163</v>
      </c>
      <c r="AA1673" s="15" t="n"/>
      <c r="AB1673" s="15" t="n"/>
    </row>
    <row r="1674" hidden="1" s="233">
      <c r="A1674" s="6" t="n">
        <v>46107</v>
      </c>
      <c r="B1674" s="3" t="n">
        <v>2026</v>
      </c>
      <c r="C1674" s="3" t="inlineStr">
        <is>
          <t>Blupine</t>
        </is>
      </c>
      <c r="D1674" s="3" t="inlineStr">
        <is>
          <t>Utility and C&amp;I</t>
        </is>
      </c>
      <c r="E1674" s="3" t="n"/>
      <c r="F1674" s="3" t="inlineStr">
        <is>
          <t>Closed</t>
        </is>
      </c>
      <c r="G1674" s="3" t="inlineStr">
        <is>
          <t>Chandrashekar Patidar</t>
        </is>
      </c>
      <c r="H1674" s="3" t="n">
        <v>7879764773</v>
      </c>
      <c r="I1674" s="11" t="inlineStr">
        <is>
          <t>PE26032601</t>
        </is>
      </c>
      <c r="J1674" s="3" t="inlineStr">
        <is>
          <t>Module Diode Failure</t>
        </is>
      </c>
      <c r="K1674" s="3" t="inlineStr">
        <is>
          <t>Sadla</t>
        </is>
      </c>
      <c r="L1674" s="3" t="inlineStr">
        <is>
          <t>Gujarat</t>
        </is>
      </c>
      <c r="M1674" s="55" t="inlineStr">
        <is>
          <t>PS</t>
        </is>
      </c>
      <c r="N1674" s="3" t="inlineStr">
        <is>
          <t>Cold Soldering</t>
        </is>
      </c>
      <c r="O1674" s="3" t="n">
        <v>570</v>
      </c>
      <c r="P1674" s="55" t="inlineStr">
        <is>
          <t>NSMI24090350237</t>
        </is>
      </c>
      <c r="Q1674" s="54">
        <f>MID(P1674,5,2)</f>
        <v/>
      </c>
      <c r="R1674" s="53">
        <f>MID(P1674,7,2)</f>
        <v/>
      </c>
      <c r="S1674" s="3" t="inlineStr">
        <is>
          <t>G2G</t>
        </is>
      </c>
      <c r="T1674" s="3" t="inlineStr">
        <is>
          <t>P4</t>
        </is>
      </c>
      <c r="U1674" s="3" t="inlineStr">
        <is>
          <t>P JB Cold Soldering</t>
        </is>
      </c>
      <c r="V1674" s="3" t="inlineStr">
        <is>
          <t>Soldering</t>
        </is>
      </c>
      <c r="W1674" s="3" t="inlineStr">
        <is>
          <t>Repair</t>
        </is>
      </c>
      <c r="X1674" s="18" t="n">
        <v>46163</v>
      </c>
      <c r="Y1674" s="3">
        <f>X1674-A1674</f>
        <v/>
      </c>
      <c r="Z1674" s="18" t="n">
        <v>46163</v>
      </c>
      <c r="AA1674" s="15" t="n"/>
      <c r="AB1674" s="15" t="n"/>
    </row>
    <row r="1675" hidden="1" s="233">
      <c r="A1675" s="6" t="n">
        <v>46107</v>
      </c>
      <c r="B1675" s="3" t="n">
        <v>2026</v>
      </c>
      <c r="C1675" s="3" t="inlineStr">
        <is>
          <t>Blupine</t>
        </is>
      </c>
      <c r="D1675" s="3" t="inlineStr">
        <is>
          <t>Utility and C&amp;I</t>
        </is>
      </c>
      <c r="E1675" s="3" t="n"/>
      <c r="F1675" s="3" t="inlineStr">
        <is>
          <t>Closed</t>
        </is>
      </c>
      <c r="G1675" s="3" t="inlineStr">
        <is>
          <t>Chandrashekar Patidar</t>
        </is>
      </c>
      <c r="H1675" s="3" t="n">
        <v>7879764773</v>
      </c>
      <c r="I1675" s="11" t="inlineStr">
        <is>
          <t>PE26032601</t>
        </is>
      </c>
      <c r="J1675" s="3" t="inlineStr">
        <is>
          <t>Module Diode Failure</t>
        </is>
      </c>
      <c r="K1675" s="3" t="inlineStr">
        <is>
          <t>Sadla</t>
        </is>
      </c>
      <c r="L1675" s="3" t="inlineStr">
        <is>
          <t>Gujarat</t>
        </is>
      </c>
      <c r="M1675" s="55" t="inlineStr">
        <is>
          <t>PS</t>
        </is>
      </c>
      <c r="N1675" s="3" t="inlineStr">
        <is>
          <t>Cold Soldering</t>
        </is>
      </c>
      <c r="O1675" s="3" t="n">
        <v>570</v>
      </c>
      <c r="P1675" s="55" t="inlineStr">
        <is>
          <t>NSMI24080342080</t>
        </is>
      </c>
      <c r="Q1675" s="54">
        <f>MID(P1675,5,2)</f>
        <v/>
      </c>
      <c r="R1675" s="53">
        <f>MID(P1675,7,2)</f>
        <v/>
      </c>
      <c r="S1675" s="3" t="inlineStr">
        <is>
          <t>G2G</t>
        </is>
      </c>
      <c r="T1675" s="3" t="inlineStr">
        <is>
          <t>P4</t>
        </is>
      </c>
      <c r="U1675" s="3" t="inlineStr">
        <is>
          <t>P JB Cold Soldering</t>
        </is>
      </c>
      <c r="V1675" s="3" t="inlineStr">
        <is>
          <t>Soldering</t>
        </is>
      </c>
      <c r="W1675" s="3" t="inlineStr">
        <is>
          <t>Repair</t>
        </is>
      </c>
      <c r="X1675" s="18" t="n">
        <v>46163</v>
      </c>
      <c r="Y1675" s="3">
        <f>X1675-A1675</f>
        <v/>
      </c>
      <c r="Z1675" s="18" t="n">
        <v>46163</v>
      </c>
      <c r="AA1675" s="15" t="n"/>
      <c r="AB1675" s="15" t="n"/>
    </row>
    <row r="1676" hidden="1" s="233">
      <c r="A1676" s="6" t="n">
        <v>46107</v>
      </c>
      <c r="B1676" s="3" t="n">
        <v>2026</v>
      </c>
      <c r="C1676" s="3" t="inlineStr">
        <is>
          <t>Blupine</t>
        </is>
      </c>
      <c r="D1676" s="3" t="inlineStr">
        <is>
          <t>Utility and C&amp;I</t>
        </is>
      </c>
      <c r="E1676" s="3" t="n"/>
      <c r="F1676" s="3" t="inlineStr">
        <is>
          <t>Closed</t>
        </is>
      </c>
      <c r="G1676" s="3" t="inlineStr">
        <is>
          <t>Chandrashekar Patidar</t>
        </is>
      </c>
      <c r="H1676" s="3" t="n">
        <v>7879764773</v>
      </c>
      <c r="I1676" s="11" t="inlineStr">
        <is>
          <t>PE26032601</t>
        </is>
      </c>
      <c r="J1676" s="3" t="inlineStr">
        <is>
          <t>Module Diode Failure</t>
        </is>
      </c>
      <c r="K1676" s="3" t="inlineStr">
        <is>
          <t>Sadla</t>
        </is>
      </c>
      <c r="L1676" s="3" t="inlineStr">
        <is>
          <t>Gujarat</t>
        </is>
      </c>
      <c r="M1676" s="55" t="inlineStr">
        <is>
          <t>PS</t>
        </is>
      </c>
      <c r="N1676" s="3" t="inlineStr">
        <is>
          <t>Cold Soldering</t>
        </is>
      </c>
      <c r="O1676" s="3" t="n">
        <v>570</v>
      </c>
      <c r="P1676" s="55" t="inlineStr">
        <is>
          <t>NSMI24080334141</t>
        </is>
      </c>
      <c r="Q1676" s="54">
        <f>MID(P1676,5,2)</f>
        <v/>
      </c>
      <c r="R1676" s="53">
        <f>MID(P1676,7,2)</f>
        <v/>
      </c>
      <c r="S1676" s="3" t="inlineStr">
        <is>
          <t>G2G</t>
        </is>
      </c>
      <c r="T1676" s="3" t="inlineStr">
        <is>
          <t>P4</t>
        </is>
      </c>
      <c r="U1676" s="3" t="inlineStr">
        <is>
          <t>P JB Cold Soldering</t>
        </is>
      </c>
      <c r="V1676" s="3" t="inlineStr">
        <is>
          <t>Soldering</t>
        </is>
      </c>
      <c r="W1676" s="3" t="inlineStr">
        <is>
          <t>Repair</t>
        </is>
      </c>
      <c r="X1676" s="18" t="n">
        <v>46163</v>
      </c>
      <c r="Y1676" s="3">
        <f>X1676-A1676</f>
        <v/>
      </c>
      <c r="Z1676" s="18" t="n">
        <v>46163</v>
      </c>
      <c r="AA1676" s="15" t="n"/>
      <c r="AB1676" s="15" t="n"/>
    </row>
    <row r="1677" hidden="1" s="233">
      <c r="A1677" s="6" t="n">
        <v>46107</v>
      </c>
      <c r="B1677" s="3" t="n">
        <v>2026</v>
      </c>
      <c r="C1677" s="3" t="inlineStr">
        <is>
          <t>Blupine</t>
        </is>
      </c>
      <c r="D1677" s="3" t="inlineStr">
        <is>
          <t>Utility and C&amp;I</t>
        </is>
      </c>
      <c r="E1677" s="3" t="n"/>
      <c r="F1677" s="3" t="inlineStr">
        <is>
          <t>Closed</t>
        </is>
      </c>
      <c r="G1677" s="3" t="inlineStr">
        <is>
          <t>Chandrashekar Patidar</t>
        </is>
      </c>
      <c r="H1677" s="3" t="n">
        <v>7879764773</v>
      </c>
      <c r="I1677" s="11" t="inlineStr">
        <is>
          <t>PE26032601</t>
        </is>
      </c>
      <c r="J1677" s="3" t="inlineStr">
        <is>
          <t>Module Diode Failure</t>
        </is>
      </c>
      <c r="K1677" s="3" t="inlineStr">
        <is>
          <t>Sadla</t>
        </is>
      </c>
      <c r="L1677" s="3" t="inlineStr">
        <is>
          <t>Gujarat</t>
        </is>
      </c>
      <c r="M1677" s="55" t="inlineStr">
        <is>
          <t>PS</t>
        </is>
      </c>
      <c r="N1677" s="3" t="inlineStr">
        <is>
          <t>Cold Soldering</t>
        </is>
      </c>
      <c r="O1677" s="3" t="n">
        <v>570</v>
      </c>
      <c r="P1677" s="55" t="inlineStr">
        <is>
          <t>NSMI24080339569</t>
        </is>
      </c>
      <c r="Q1677" s="54">
        <f>MID(P1677,5,2)</f>
        <v/>
      </c>
      <c r="R1677" s="53">
        <f>MID(P1677,7,2)</f>
        <v/>
      </c>
      <c r="S1677" s="3" t="inlineStr">
        <is>
          <t>G2G</t>
        </is>
      </c>
      <c r="T1677" s="3" t="inlineStr">
        <is>
          <t>P4</t>
        </is>
      </c>
      <c r="U1677" s="3" t="inlineStr">
        <is>
          <t>P JB Cold Soldering</t>
        </is>
      </c>
      <c r="V1677" s="3" t="inlineStr">
        <is>
          <t>Soldering</t>
        </is>
      </c>
      <c r="W1677" s="3" t="inlineStr">
        <is>
          <t>Repair</t>
        </is>
      </c>
      <c r="X1677" s="18" t="n">
        <v>46163</v>
      </c>
      <c r="Y1677" s="3">
        <f>X1677-A1677</f>
        <v/>
      </c>
      <c r="Z1677" s="18" t="n">
        <v>46163</v>
      </c>
      <c r="AA1677" s="15" t="n"/>
      <c r="AB1677" s="15" t="n"/>
    </row>
    <row r="1678" hidden="1" s="233">
      <c r="A1678" s="6" t="n">
        <v>46107</v>
      </c>
      <c r="B1678" s="3" t="n">
        <v>2026</v>
      </c>
      <c r="C1678" s="3" t="inlineStr">
        <is>
          <t>Blupine</t>
        </is>
      </c>
      <c r="D1678" s="3" t="inlineStr">
        <is>
          <t>Utility and C&amp;I</t>
        </is>
      </c>
      <c r="E1678" s="3" t="n"/>
      <c r="F1678" s="3" t="inlineStr">
        <is>
          <t>Closed</t>
        </is>
      </c>
      <c r="G1678" s="3" t="inlineStr">
        <is>
          <t>Chandrashekar Patidar</t>
        </is>
      </c>
      <c r="H1678" s="3" t="n">
        <v>7879764773</v>
      </c>
      <c r="I1678" s="11" t="inlineStr">
        <is>
          <t>PE26032601</t>
        </is>
      </c>
      <c r="J1678" s="3" t="inlineStr">
        <is>
          <t>Module Diode Failure</t>
        </is>
      </c>
      <c r="K1678" s="3" t="inlineStr">
        <is>
          <t>Sadla</t>
        </is>
      </c>
      <c r="L1678" s="3" t="inlineStr">
        <is>
          <t>Gujarat</t>
        </is>
      </c>
      <c r="M1678" s="55" t="inlineStr">
        <is>
          <t>PS</t>
        </is>
      </c>
      <c r="N1678" s="3" t="inlineStr">
        <is>
          <t>Cold Soldering</t>
        </is>
      </c>
      <c r="O1678" s="3" t="n">
        <v>570</v>
      </c>
      <c r="P1678" s="55" t="inlineStr">
        <is>
          <t>NSMI24080335973</t>
        </is>
      </c>
      <c r="Q1678" s="54">
        <f>MID(P1678,5,2)</f>
        <v/>
      </c>
      <c r="R1678" s="53">
        <f>MID(P1678,7,2)</f>
        <v/>
      </c>
      <c r="S1678" s="3" t="inlineStr">
        <is>
          <t>G2G</t>
        </is>
      </c>
      <c r="T1678" s="3" t="inlineStr">
        <is>
          <t>P4</t>
        </is>
      </c>
      <c r="U1678" s="3" t="inlineStr">
        <is>
          <t>P JB Cold Soldering</t>
        </is>
      </c>
      <c r="V1678" s="3" t="inlineStr">
        <is>
          <t>Soldering</t>
        </is>
      </c>
      <c r="W1678" s="3" t="inlineStr">
        <is>
          <t>Repair</t>
        </is>
      </c>
      <c r="X1678" s="18" t="n">
        <v>46163</v>
      </c>
      <c r="Y1678" s="3">
        <f>X1678-A1678</f>
        <v/>
      </c>
      <c r="Z1678" s="18" t="n">
        <v>46163</v>
      </c>
      <c r="AA1678" s="15" t="n"/>
      <c r="AB1678" s="15" t="n"/>
    </row>
    <row r="1679" hidden="1" s="233">
      <c r="A1679" s="6" t="n">
        <v>46107</v>
      </c>
      <c r="B1679" s="3" t="n">
        <v>2026</v>
      </c>
      <c r="C1679" s="3" t="inlineStr">
        <is>
          <t>Blupine</t>
        </is>
      </c>
      <c r="D1679" s="3" t="inlineStr">
        <is>
          <t>Utility and C&amp;I</t>
        </is>
      </c>
      <c r="E1679" s="3" t="n"/>
      <c r="F1679" s="3" t="inlineStr">
        <is>
          <t>Closed</t>
        </is>
      </c>
      <c r="G1679" s="3" t="inlineStr">
        <is>
          <t>Chandrashekar Patidar</t>
        </is>
      </c>
      <c r="H1679" s="3" t="n">
        <v>7879764773</v>
      </c>
      <c r="I1679" s="11" t="inlineStr">
        <is>
          <t>PE26032601</t>
        </is>
      </c>
      <c r="J1679" s="3" t="inlineStr">
        <is>
          <t>Module Diode Failure</t>
        </is>
      </c>
      <c r="K1679" s="3" t="inlineStr">
        <is>
          <t>Sadla</t>
        </is>
      </c>
      <c r="L1679" s="3" t="inlineStr">
        <is>
          <t>Gujarat</t>
        </is>
      </c>
      <c r="M1679" s="55" t="inlineStr">
        <is>
          <t>PR</t>
        </is>
      </c>
      <c r="N1679" s="3" t="inlineStr">
        <is>
          <t>JB Issue</t>
        </is>
      </c>
      <c r="O1679" s="3" t="n">
        <v>570</v>
      </c>
      <c r="P1679" s="55" t="inlineStr">
        <is>
          <t>NSMI24080336569</t>
        </is>
      </c>
      <c r="Q1679" s="54">
        <f>MID(P1679,5,2)</f>
        <v/>
      </c>
      <c r="R1679" s="53">
        <f>MID(P1679,7,2)</f>
        <v/>
      </c>
      <c r="S1679" s="3" t="inlineStr">
        <is>
          <t>G2G</t>
        </is>
      </c>
      <c r="T1679" s="3" t="inlineStr">
        <is>
          <t>P4</t>
        </is>
      </c>
      <c r="U1679" s="3" t="inlineStr">
        <is>
          <t>P JB Issue</t>
        </is>
      </c>
      <c r="V1679" s="15" t="inlineStr">
        <is>
          <t>JB Changed</t>
        </is>
      </c>
      <c r="W1679" s="3" t="inlineStr">
        <is>
          <t>Repair</t>
        </is>
      </c>
      <c r="X1679" s="18" t="n">
        <v>46163</v>
      </c>
      <c r="Y1679" s="3">
        <f>X1679-A1679</f>
        <v/>
      </c>
      <c r="Z1679" s="18" t="n">
        <v>46163</v>
      </c>
      <c r="AA1679" s="15" t="n"/>
      <c r="AB1679" s="15" t="n"/>
    </row>
    <row r="1680" hidden="1" s="233">
      <c r="A1680" s="6" t="n">
        <v>46107</v>
      </c>
      <c r="B1680" s="3" t="n">
        <v>2026</v>
      </c>
      <c r="C1680" s="3" t="inlineStr">
        <is>
          <t>Blupine</t>
        </is>
      </c>
      <c r="D1680" s="3" t="inlineStr">
        <is>
          <t>Utility and C&amp;I</t>
        </is>
      </c>
      <c r="E1680" s="3" t="n"/>
      <c r="F1680" s="3" t="inlineStr">
        <is>
          <t>Closed</t>
        </is>
      </c>
      <c r="G1680" s="3" t="inlineStr">
        <is>
          <t>Chandrashekar Patidar</t>
        </is>
      </c>
      <c r="H1680" s="3" t="n">
        <v>7879764773</v>
      </c>
      <c r="I1680" s="11" t="inlineStr">
        <is>
          <t>PE26032601</t>
        </is>
      </c>
      <c r="J1680" s="3" t="inlineStr">
        <is>
          <t>Module Diode Failure</t>
        </is>
      </c>
      <c r="K1680" s="3" t="inlineStr">
        <is>
          <t>Sadla</t>
        </is>
      </c>
      <c r="L1680" s="3" t="inlineStr">
        <is>
          <t>Gujarat</t>
        </is>
      </c>
      <c r="M1680" s="55" t="inlineStr">
        <is>
          <t>PS</t>
        </is>
      </c>
      <c r="N1680" s="3" t="inlineStr">
        <is>
          <t>Cold Soldering</t>
        </is>
      </c>
      <c r="O1680" s="3" t="n">
        <v>570</v>
      </c>
      <c r="P1680" s="55" t="inlineStr">
        <is>
          <t>NSMI24050061344</t>
        </is>
      </c>
      <c r="Q1680" s="54">
        <f>MID(P1680,5,2)</f>
        <v/>
      </c>
      <c r="R1680" s="53">
        <f>MID(P1680,7,2)</f>
        <v/>
      </c>
      <c r="S1680" s="3" t="inlineStr">
        <is>
          <t>G2G</t>
        </is>
      </c>
      <c r="T1680" s="3" t="inlineStr">
        <is>
          <t>P4</t>
        </is>
      </c>
      <c r="U1680" s="3" t="inlineStr">
        <is>
          <t>P JB Cold Soldering</t>
        </is>
      </c>
      <c r="V1680" s="3" t="inlineStr">
        <is>
          <t>Soldering</t>
        </is>
      </c>
      <c r="W1680" s="3" t="inlineStr">
        <is>
          <t>Repair</t>
        </is>
      </c>
      <c r="X1680" s="18" t="n">
        <v>46163</v>
      </c>
      <c r="Y1680" s="3">
        <f>X1680-A1680</f>
        <v/>
      </c>
      <c r="Z1680" s="18" t="n">
        <v>46163</v>
      </c>
      <c r="AA1680" s="15" t="n"/>
      <c r="AB1680" s="15" t="n"/>
    </row>
    <row r="1681" hidden="1" s="233">
      <c r="A1681" s="6" t="n">
        <v>46107</v>
      </c>
      <c r="B1681" s="3" t="n">
        <v>2026</v>
      </c>
      <c r="C1681" s="3" t="inlineStr">
        <is>
          <t>Blupine</t>
        </is>
      </c>
      <c r="D1681" s="3" t="inlineStr">
        <is>
          <t>Utility and C&amp;I</t>
        </is>
      </c>
      <c r="E1681" s="3" t="n"/>
      <c r="F1681" s="3" t="inlineStr">
        <is>
          <t>Closed</t>
        </is>
      </c>
      <c r="G1681" s="3" t="inlineStr">
        <is>
          <t>Chandrashekar Patidar</t>
        </is>
      </c>
      <c r="H1681" s="3" t="n">
        <v>7879764773</v>
      </c>
      <c r="I1681" s="11" t="inlineStr">
        <is>
          <t>PE26032601</t>
        </is>
      </c>
      <c r="J1681" s="3" t="inlineStr">
        <is>
          <t>Module Diode Failure</t>
        </is>
      </c>
      <c r="K1681" s="3" t="inlineStr">
        <is>
          <t>Sadla</t>
        </is>
      </c>
      <c r="L1681" s="3" t="inlineStr">
        <is>
          <t>Gujarat</t>
        </is>
      </c>
      <c r="M1681" s="55" t="inlineStr">
        <is>
          <t>NS</t>
        </is>
      </c>
      <c r="N1681" s="3" t="inlineStr">
        <is>
          <t>Cold Soldering</t>
        </is>
      </c>
      <c r="O1681" s="3" t="n">
        <v>570</v>
      </c>
      <c r="P1681" s="55" t="inlineStr">
        <is>
          <t>NSMI24050059057</t>
        </is>
      </c>
      <c r="Q1681" s="54">
        <f>MID(P1681,5,2)</f>
        <v/>
      </c>
      <c r="R1681" s="53">
        <f>MID(P1681,7,2)</f>
        <v/>
      </c>
      <c r="S1681" s="3" t="inlineStr">
        <is>
          <t>G2G</t>
        </is>
      </c>
      <c r="T1681" s="3" t="inlineStr">
        <is>
          <t>P4</t>
        </is>
      </c>
      <c r="U1681" s="3" t="inlineStr">
        <is>
          <t>N JB Cold Soldering</t>
        </is>
      </c>
      <c r="V1681" s="3" t="inlineStr">
        <is>
          <t>Soldering</t>
        </is>
      </c>
      <c r="W1681" s="3" t="inlineStr">
        <is>
          <t>Repair</t>
        </is>
      </c>
      <c r="X1681" s="18" t="n">
        <v>46163</v>
      </c>
      <c r="Y1681" s="3">
        <f>X1681-A1681</f>
        <v/>
      </c>
      <c r="Z1681" s="18" t="n">
        <v>46163</v>
      </c>
      <c r="AA1681" s="15" t="n"/>
      <c r="AB1681" s="15" t="n"/>
    </row>
    <row r="1682" hidden="1" s="233">
      <c r="A1682" s="6" t="n">
        <v>46107</v>
      </c>
      <c r="B1682" s="3" t="n">
        <v>2026</v>
      </c>
      <c r="C1682" s="3" t="inlineStr">
        <is>
          <t>Blupine</t>
        </is>
      </c>
      <c r="D1682" s="3" t="inlineStr">
        <is>
          <t>Utility and C&amp;I</t>
        </is>
      </c>
      <c r="E1682" s="3" t="n"/>
      <c r="F1682" s="3" t="inlineStr">
        <is>
          <t>Closed</t>
        </is>
      </c>
      <c r="G1682" s="3" t="inlineStr">
        <is>
          <t>Chandrashekar Patidar</t>
        </is>
      </c>
      <c r="H1682" s="3" t="n">
        <v>7879764773</v>
      </c>
      <c r="I1682" s="11" t="inlineStr">
        <is>
          <t>PE26032601</t>
        </is>
      </c>
      <c r="J1682" s="3" t="inlineStr">
        <is>
          <t>Module Diode Failure</t>
        </is>
      </c>
      <c r="K1682" s="3" t="inlineStr">
        <is>
          <t>Sadla</t>
        </is>
      </c>
      <c r="L1682" s="3" t="inlineStr">
        <is>
          <t>Gujarat</t>
        </is>
      </c>
      <c r="M1682" s="55" t="inlineStr">
        <is>
          <t>NS</t>
        </is>
      </c>
      <c r="N1682" s="3" t="inlineStr">
        <is>
          <t>Cold Soldering</t>
        </is>
      </c>
      <c r="O1682" s="3" t="n">
        <v>570</v>
      </c>
      <c r="P1682" s="55" t="inlineStr">
        <is>
          <t>NSMI24060078845</t>
        </is>
      </c>
      <c r="Q1682" s="54">
        <f>MID(P1682,5,2)</f>
        <v/>
      </c>
      <c r="R1682" s="53">
        <f>MID(P1682,7,2)</f>
        <v/>
      </c>
      <c r="S1682" s="3" t="inlineStr">
        <is>
          <t>G2G</t>
        </is>
      </c>
      <c r="T1682" s="3" t="inlineStr">
        <is>
          <t>P4</t>
        </is>
      </c>
      <c r="U1682" s="3" t="inlineStr">
        <is>
          <t>N JB Cold Soldering</t>
        </is>
      </c>
      <c r="V1682" s="3" t="inlineStr">
        <is>
          <t>Soldering</t>
        </is>
      </c>
      <c r="W1682" s="3" t="inlineStr">
        <is>
          <t>Repair</t>
        </is>
      </c>
      <c r="X1682" s="18" t="n">
        <v>46163</v>
      </c>
      <c r="Y1682" s="3">
        <f>X1682-A1682</f>
        <v/>
      </c>
      <c r="Z1682" s="18" t="n">
        <v>46163</v>
      </c>
      <c r="AA1682" s="15" t="n"/>
      <c r="AB1682" s="15" t="n"/>
    </row>
    <row r="1683" hidden="1" s="233">
      <c r="A1683" s="6" t="n">
        <v>46107</v>
      </c>
      <c r="B1683" s="3" t="n">
        <v>2026</v>
      </c>
      <c r="C1683" s="3" t="inlineStr">
        <is>
          <t>Blupine</t>
        </is>
      </c>
      <c r="D1683" s="3" t="inlineStr">
        <is>
          <t>Utility and C&amp;I</t>
        </is>
      </c>
      <c r="E1683" s="3" t="n"/>
      <c r="F1683" s="3" t="inlineStr">
        <is>
          <t>Closed</t>
        </is>
      </c>
      <c r="G1683" s="3" t="inlineStr">
        <is>
          <t>Chandrashekar Patidar</t>
        </is>
      </c>
      <c r="H1683" s="3" t="n">
        <v>7879764773</v>
      </c>
      <c r="I1683" s="11" t="inlineStr">
        <is>
          <t>PE26032601</t>
        </is>
      </c>
      <c r="J1683" s="3" t="inlineStr">
        <is>
          <t>Module Diode Failure</t>
        </is>
      </c>
      <c r="K1683" s="3" t="inlineStr">
        <is>
          <t>Sadla</t>
        </is>
      </c>
      <c r="L1683" s="3" t="inlineStr">
        <is>
          <t>Gujarat</t>
        </is>
      </c>
      <c r="M1683" s="55" t="inlineStr">
        <is>
          <t>PS</t>
        </is>
      </c>
      <c r="N1683" s="3" t="inlineStr">
        <is>
          <t>Cold Soldering</t>
        </is>
      </c>
      <c r="O1683" s="3" t="n">
        <v>570</v>
      </c>
      <c r="P1683" s="55" t="inlineStr">
        <is>
          <t>NSMI24060078802</t>
        </is>
      </c>
      <c r="Q1683" s="54">
        <f>MID(P1683,5,2)</f>
        <v/>
      </c>
      <c r="R1683" s="53">
        <f>MID(P1683,7,2)</f>
        <v/>
      </c>
      <c r="S1683" s="3" t="inlineStr">
        <is>
          <t>G2G</t>
        </is>
      </c>
      <c r="T1683" s="3" t="inlineStr">
        <is>
          <t>P4</t>
        </is>
      </c>
      <c r="U1683" s="3" t="inlineStr">
        <is>
          <t>P JB Cold Soldering</t>
        </is>
      </c>
      <c r="V1683" s="3" t="inlineStr">
        <is>
          <t>Soldering</t>
        </is>
      </c>
      <c r="W1683" s="3" t="inlineStr">
        <is>
          <t>Repair</t>
        </is>
      </c>
      <c r="X1683" s="18" t="n">
        <v>46163</v>
      </c>
      <c r="Y1683" s="3">
        <f>X1683-A1683</f>
        <v/>
      </c>
      <c r="Z1683" s="18" t="n">
        <v>46163</v>
      </c>
      <c r="AA1683" s="15" t="n"/>
      <c r="AB1683" s="15" t="n"/>
    </row>
    <row r="1684" hidden="1" s="233">
      <c r="A1684" s="6" t="n">
        <v>46107</v>
      </c>
      <c r="B1684" s="3" t="n">
        <v>2026</v>
      </c>
      <c r="C1684" s="3" t="inlineStr">
        <is>
          <t>Blupine</t>
        </is>
      </c>
      <c r="D1684" s="3" t="inlineStr">
        <is>
          <t>Utility and C&amp;I</t>
        </is>
      </c>
      <c r="E1684" s="3" t="n"/>
      <c r="F1684" s="3" t="inlineStr">
        <is>
          <t>Closed</t>
        </is>
      </c>
      <c r="G1684" s="3" t="inlineStr">
        <is>
          <t>Chandrashekar Patidar</t>
        </is>
      </c>
      <c r="H1684" s="3" t="n">
        <v>7879764773</v>
      </c>
      <c r="I1684" s="11" t="inlineStr">
        <is>
          <t>PE26032601</t>
        </is>
      </c>
      <c r="J1684" s="3" t="inlineStr">
        <is>
          <t>Module Diode Failure</t>
        </is>
      </c>
      <c r="K1684" s="3" t="inlineStr">
        <is>
          <t>Sadla</t>
        </is>
      </c>
      <c r="L1684" s="3" t="inlineStr">
        <is>
          <t>Gujarat</t>
        </is>
      </c>
      <c r="M1684" s="55" t="inlineStr">
        <is>
          <t>PS</t>
        </is>
      </c>
      <c r="N1684" s="3" t="inlineStr">
        <is>
          <t>Cold Soldering</t>
        </is>
      </c>
      <c r="O1684" s="3" t="n">
        <v>570</v>
      </c>
      <c r="P1684" s="55" t="inlineStr">
        <is>
          <t>NSMI24060078758</t>
        </is>
      </c>
      <c r="Q1684" s="54">
        <f>MID(P1684,5,2)</f>
        <v/>
      </c>
      <c r="R1684" s="53">
        <f>MID(P1684,7,2)</f>
        <v/>
      </c>
      <c r="S1684" s="3" t="inlineStr">
        <is>
          <t>G2G</t>
        </is>
      </c>
      <c r="T1684" s="3" t="inlineStr">
        <is>
          <t>P4</t>
        </is>
      </c>
      <c r="U1684" s="3" t="inlineStr">
        <is>
          <t>P JB Cold Soldering</t>
        </is>
      </c>
      <c r="V1684" s="3" t="inlineStr">
        <is>
          <t>Soldering</t>
        </is>
      </c>
      <c r="W1684" s="3" t="inlineStr">
        <is>
          <t>Repair</t>
        </is>
      </c>
      <c r="X1684" s="18" t="n">
        <v>46163</v>
      </c>
      <c r="Y1684" s="3">
        <f>X1684-A1684</f>
        <v/>
      </c>
      <c r="Z1684" s="18" t="n">
        <v>46163</v>
      </c>
      <c r="AA1684" s="15" t="n"/>
      <c r="AB1684" s="15" t="n"/>
    </row>
    <row r="1685" hidden="1" s="233">
      <c r="A1685" s="6" t="n">
        <v>46107</v>
      </c>
      <c r="B1685" s="3" t="n">
        <v>2026</v>
      </c>
      <c r="C1685" s="3" t="inlineStr">
        <is>
          <t>Blupine</t>
        </is>
      </c>
      <c r="D1685" s="3" t="inlineStr">
        <is>
          <t>Utility and C&amp;I</t>
        </is>
      </c>
      <c r="E1685" s="3" t="n"/>
      <c r="F1685" s="3" t="inlineStr">
        <is>
          <t>Closed</t>
        </is>
      </c>
      <c r="G1685" s="3" t="inlineStr">
        <is>
          <t>Chandrashekar Patidar</t>
        </is>
      </c>
      <c r="H1685" s="3" t="n">
        <v>7879764773</v>
      </c>
      <c r="I1685" s="11" t="inlineStr">
        <is>
          <t>PE26032601</t>
        </is>
      </c>
      <c r="J1685" s="3" t="inlineStr">
        <is>
          <t>Module Diode Failure</t>
        </is>
      </c>
      <c r="K1685" s="3" t="inlineStr">
        <is>
          <t>Sadla</t>
        </is>
      </c>
      <c r="L1685" s="3" t="inlineStr">
        <is>
          <t>Gujarat</t>
        </is>
      </c>
      <c r="M1685" s="55" t="inlineStr">
        <is>
          <t>PS</t>
        </is>
      </c>
      <c r="N1685" s="3" t="inlineStr">
        <is>
          <t>Cold Soldering</t>
        </is>
      </c>
      <c r="O1685" s="3" t="n">
        <v>570</v>
      </c>
      <c r="P1685" s="57" t="inlineStr">
        <is>
          <t>NSMI24060078735</t>
        </is>
      </c>
      <c r="Q1685" s="54">
        <f>MID(P1685,5,2)</f>
        <v/>
      </c>
      <c r="R1685" s="53">
        <f>MID(P1685,7,2)</f>
        <v/>
      </c>
      <c r="S1685" s="3" t="inlineStr">
        <is>
          <t>G2G</t>
        </is>
      </c>
      <c r="T1685" s="3" t="inlineStr">
        <is>
          <t>P4</t>
        </is>
      </c>
      <c r="U1685" s="3" t="inlineStr">
        <is>
          <t>P JB Cold Soldering</t>
        </is>
      </c>
      <c r="V1685" s="3" t="inlineStr">
        <is>
          <t>Soldering</t>
        </is>
      </c>
      <c r="W1685" s="3" t="inlineStr">
        <is>
          <t>Repair</t>
        </is>
      </c>
      <c r="X1685" s="18" t="n">
        <v>46163</v>
      </c>
      <c r="Y1685" s="3">
        <f>X1685-A1685</f>
        <v/>
      </c>
      <c r="Z1685" s="18" t="n">
        <v>46163</v>
      </c>
      <c r="AA1685" s="15" t="n"/>
      <c r="AB1685" s="15" t="n"/>
    </row>
    <row r="1686" hidden="1" s="233">
      <c r="A1686" s="6" t="n">
        <v>46107</v>
      </c>
      <c r="B1686" s="3" t="n">
        <v>2026</v>
      </c>
      <c r="C1686" s="3" t="inlineStr">
        <is>
          <t>Blupine</t>
        </is>
      </c>
      <c r="D1686" s="3" t="inlineStr">
        <is>
          <t>Utility and C&amp;I</t>
        </is>
      </c>
      <c r="E1686" s="3" t="n"/>
      <c r="F1686" s="3" t="inlineStr">
        <is>
          <t>Closed</t>
        </is>
      </c>
      <c r="G1686" s="3" t="inlineStr">
        <is>
          <t>Chandrashekar Patidar</t>
        </is>
      </c>
      <c r="H1686" s="3" t="n">
        <v>7879764773</v>
      </c>
      <c r="I1686" s="11" t="inlineStr">
        <is>
          <t>PE26032601</t>
        </is>
      </c>
      <c r="J1686" s="3" t="inlineStr">
        <is>
          <t>Module Diode Failure</t>
        </is>
      </c>
      <c r="K1686" s="3" t="inlineStr">
        <is>
          <t>Sadla</t>
        </is>
      </c>
      <c r="L1686" s="3" t="inlineStr">
        <is>
          <t>Gujarat</t>
        </is>
      </c>
      <c r="M1686" s="55" t="inlineStr">
        <is>
          <t>PS</t>
        </is>
      </c>
      <c r="N1686" s="3" t="inlineStr">
        <is>
          <t>Cold Soldering</t>
        </is>
      </c>
      <c r="O1686" s="3" t="n">
        <v>570</v>
      </c>
      <c r="P1686" s="9" t="inlineStr">
        <is>
          <t>NSMI24060078859</t>
        </is>
      </c>
      <c r="Q1686" s="54">
        <f>MID(P1686,5,2)</f>
        <v/>
      </c>
      <c r="R1686" s="53">
        <f>MID(P1686,7,2)</f>
        <v/>
      </c>
      <c r="S1686" s="3" t="inlineStr">
        <is>
          <t>G2G</t>
        </is>
      </c>
      <c r="T1686" s="3" t="inlineStr">
        <is>
          <t>P4</t>
        </is>
      </c>
      <c r="U1686" s="3" t="inlineStr">
        <is>
          <t>P JB Cold Soldering</t>
        </is>
      </c>
      <c r="V1686" s="3" t="inlineStr">
        <is>
          <t>Soldering</t>
        </is>
      </c>
      <c r="W1686" s="3" t="inlineStr">
        <is>
          <t>Repair</t>
        </is>
      </c>
      <c r="X1686" s="18" t="n">
        <v>46163</v>
      </c>
      <c r="Y1686" s="3">
        <f>X1686-A1686</f>
        <v/>
      </c>
      <c r="Z1686" s="18" t="n">
        <v>46163</v>
      </c>
      <c r="AA1686" s="15" t="n"/>
      <c r="AB1686" s="15" t="n"/>
    </row>
    <row r="1687">
      <c r="A1687" s="37" t="n">
        <v>46143</v>
      </c>
      <c r="B1687" s="3" t="n">
        <v>2026</v>
      </c>
      <c r="C1687" s="26" t="inlineStr">
        <is>
          <t>Yanara Power</t>
        </is>
      </c>
      <c r="D1687" s="3" t="inlineStr">
        <is>
          <t>Utility and C&amp;I</t>
        </is>
      </c>
      <c r="E1687" s="3" t="n"/>
      <c r="F1687" s="3" t="inlineStr">
        <is>
          <t>Closed</t>
        </is>
      </c>
      <c r="G1687" s="9" t="inlineStr">
        <is>
          <t xml:space="preserve">Ashish Jindal </t>
        </is>
      </c>
      <c r="H1687" s="26" t="n">
        <v>9983975581</v>
      </c>
      <c r="I1687" s="38" t="inlineStr">
        <is>
          <t>PE01052601</t>
        </is>
      </c>
      <c r="J1687" s="26" t="inlineStr">
        <is>
          <t>Multiple Issues</t>
        </is>
      </c>
      <c r="K1687" s="39" t="inlineStr">
        <is>
          <t>Holi</t>
        </is>
      </c>
      <c r="L1687" s="39" t="inlineStr">
        <is>
          <t>Maharashtra</t>
        </is>
      </c>
      <c r="M1687" s="46" t="inlineStr">
        <is>
          <t>PS</t>
        </is>
      </c>
      <c r="N1687" s="3" t="inlineStr">
        <is>
          <t>Cold Soldering</t>
        </is>
      </c>
      <c r="O1687" s="56" t="n">
        <v>575</v>
      </c>
      <c r="P1687" s="9" t="inlineStr">
        <is>
          <t>NSMI24070181293</t>
        </is>
      </c>
      <c r="Q1687" s="54">
        <f>MID(P1687,5,2)</f>
        <v/>
      </c>
      <c r="R1687" s="53">
        <f>MID(P1687,7,2)</f>
        <v/>
      </c>
      <c r="S1687" s="3" t="inlineStr">
        <is>
          <t>G2G</t>
        </is>
      </c>
      <c r="T1687" s="3" t="inlineStr">
        <is>
          <t>P4</t>
        </is>
      </c>
      <c r="U1687" s="19" t="inlineStr">
        <is>
          <t>P JB Cold Soldering</t>
        </is>
      </c>
      <c r="V1687" s="19" t="inlineStr">
        <is>
          <t>Soldering</t>
        </is>
      </c>
      <c r="W1687" s="3" t="inlineStr">
        <is>
          <t>Repair</t>
        </is>
      </c>
      <c r="X1687" s="18" t="n">
        <v>46163</v>
      </c>
      <c r="Y1687" s="3">
        <f>X1687-A1687</f>
        <v/>
      </c>
      <c r="Z1687" s="18" t="n">
        <v>46163</v>
      </c>
      <c r="AA1687" s="15" t="n"/>
      <c r="AB1687" s="15" t="n"/>
    </row>
    <row r="1688">
      <c r="A1688" s="37" t="n">
        <v>46143</v>
      </c>
      <c r="B1688" s="3" t="n">
        <v>2026</v>
      </c>
      <c r="C1688" s="26" t="inlineStr">
        <is>
          <t>Yanara Power</t>
        </is>
      </c>
      <c r="D1688" s="3" t="inlineStr">
        <is>
          <t>Utility and C&amp;I</t>
        </is>
      </c>
      <c r="E1688" s="3" t="n"/>
      <c r="F1688" s="3" t="inlineStr">
        <is>
          <t>Closed</t>
        </is>
      </c>
      <c r="G1688" s="9" t="inlineStr">
        <is>
          <t xml:space="preserve">Ashish Jindal </t>
        </is>
      </c>
      <c r="H1688" s="26" t="n">
        <v>9983975581</v>
      </c>
      <c r="I1688" s="38" t="inlineStr">
        <is>
          <t>PE01052601</t>
        </is>
      </c>
      <c r="J1688" s="26" t="inlineStr">
        <is>
          <t>Multiple Issues</t>
        </is>
      </c>
      <c r="K1688" s="39" t="inlineStr">
        <is>
          <t>Holi</t>
        </is>
      </c>
      <c r="L1688" s="39" t="inlineStr">
        <is>
          <t>Maharashtra</t>
        </is>
      </c>
      <c r="M1688" s="46" t="inlineStr">
        <is>
          <t>PS</t>
        </is>
      </c>
      <c r="N1688" s="3" t="inlineStr">
        <is>
          <t>Cold Soldering</t>
        </is>
      </c>
      <c r="O1688" s="56" t="n">
        <v>575</v>
      </c>
      <c r="P1688" s="9" t="inlineStr">
        <is>
          <t>NSMI24070180512</t>
        </is>
      </c>
      <c r="Q1688" s="54">
        <f>MID(P1688,5,2)</f>
        <v/>
      </c>
      <c r="R1688" s="53">
        <f>MID(P1688,7,2)</f>
        <v/>
      </c>
      <c r="S1688" s="3" t="inlineStr">
        <is>
          <t>G2G</t>
        </is>
      </c>
      <c r="T1688" s="3" t="inlineStr">
        <is>
          <t>P4</t>
        </is>
      </c>
      <c r="U1688" s="19" t="inlineStr">
        <is>
          <t>P JB Cold Soldering</t>
        </is>
      </c>
      <c r="V1688" s="19" t="inlineStr">
        <is>
          <t>Soldering</t>
        </is>
      </c>
      <c r="W1688" s="3" t="inlineStr">
        <is>
          <t>Repair</t>
        </is>
      </c>
      <c r="X1688" s="18" t="n">
        <v>46163</v>
      </c>
      <c r="Y1688" s="3">
        <f>X1688-A1688</f>
        <v/>
      </c>
      <c r="Z1688" s="18" t="n">
        <v>46163</v>
      </c>
      <c r="AA1688" s="15" t="n"/>
      <c r="AB1688" s="15" t="n"/>
    </row>
    <row r="1689">
      <c r="A1689" s="37" t="n">
        <v>46143</v>
      </c>
      <c r="B1689" s="3" t="n">
        <v>2026</v>
      </c>
      <c r="C1689" s="26" t="inlineStr">
        <is>
          <t>Yanara Power</t>
        </is>
      </c>
      <c r="D1689" s="3" t="inlineStr">
        <is>
          <t>Utility and C&amp;I</t>
        </is>
      </c>
      <c r="E1689" s="3" t="n"/>
      <c r="F1689" s="3" t="inlineStr">
        <is>
          <t>Closed</t>
        </is>
      </c>
      <c r="G1689" s="9" t="inlineStr">
        <is>
          <t xml:space="preserve">Ashish Jindal </t>
        </is>
      </c>
      <c r="H1689" s="26" t="n">
        <v>9983975581</v>
      </c>
      <c r="I1689" s="38" t="inlineStr">
        <is>
          <t>PE01052601</t>
        </is>
      </c>
      <c r="J1689" s="26" t="inlineStr">
        <is>
          <t>Multiple Issues</t>
        </is>
      </c>
      <c r="K1689" s="39" t="inlineStr">
        <is>
          <t>Holi</t>
        </is>
      </c>
      <c r="L1689" s="39" t="inlineStr">
        <is>
          <t>Maharashtra</t>
        </is>
      </c>
      <c r="M1689" s="46" t="inlineStr">
        <is>
          <t>PS</t>
        </is>
      </c>
      <c r="N1689" s="3" t="inlineStr">
        <is>
          <t>Cold Soldering</t>
        </is>
      </c>
      <c r="O1689" s="56" t="n">
        <v>575</v>
      </c>
      <c r="P1689" s="9" t="inlineStr">
        <is>
          <t>NSMI24070181313</t>
        </is>
      </c>
      <c r="Q1689" s="54">
        <f>MID(P1689,5,2)</f>
        <v/>
      </c>
      <c r="R1689" s="53">
        <f>MID(P1689,7,2)</f>
        <v/>
      </c>
      <c r="S1689" s="3" t="inlineStr">
        <is>
          <t>G2G</t>
        </is>
      </c>
      <c r="T1689" s="3" t="inlineStr">
        <is>
          <t>P4</t>
        </is>
      </c>
      <c r="U1689" s="19" t="inlineStr">
        <is>
          <t>P JB Cold Soldering</t>
        </is>
      </c>
      <c r="V1689" s="19" t="inlineStr">
        <is>
          <t>Soldering</t>
        </is>
      </c>
      <c r="W1689" s="3" t="inlineStr">
        <is>
          <t>Repair</t>
        </is>
      </c>
      <c r="X1689" s="18" t="n">
        <v>46163</v>
      </c>
      <c r="Y1689" s="3">
        <f>X1689-A1689</f>
        <v/>
      </c>
      <c r="Z1689" s="18" t="n">
        <v>46163</v>
      </c>
      <c r="AA1689" s="15" t="n"/>
      <c r="AB1689" s="15" t="n"/>
    </row>
    <row r="1690">
      <c r="A1690" s="37" t="n">
        <v>46143</v>
      </c>
      <c r="B1690" s="3" t="n">
        <v>2026</v>
      </c>
      <c r="C1690" s="26" t="inlineStr">
        <is>
          <t>Yanara Power</t>
        </is>
      </c>
      <c r="D1690" s="3" t="inlineStr">
        <is>
          <t>Utility and C&amp;I</t>
        </is>
      </c>
      <c r="E1690" s="3" t="n"/>
      <c r="F1690" s="3" t="inlineStr">
        <is>
          <t>Closed</t>
        </is>
      </c>
      <c r="G1690" s="9" t="inlineStr">
        <is>
          <t xml:space="preserve">Ashish Jindal </t>
        </is>
      </c>
      <c r="H1690" s="26" t="n">
        <v>9983975581</v>
      </c>
      <c r="I1690" s="38" t="inlineStr">
        <is>
          <t>PE01052601</t>
        </is>
      </c>
      <c r="J1690" s="26" t="inlineStr">
        <is>
          <t>Multiple Issues</t>
        </is>
      </c>
      <c r="K1690" s="39" t="inlineStr">
        <is>
          <t>Holi</t>
        </is>
      </c>
      <c r="L1690" s="39" t="inlineStr">
        <is>
          <t>Maharashtra</t>
        </is>
      </c>
      <c r="M1690" s="46" t="inlineStr">
        <is>
          <t>PS</t>
        </is>
      </c>
      <c r="N1690" s="3" t="inlineStr">
        <is>
          <t>Cold Soldering</t>
        </is>
      </c>
      <c r="O1690" s="56" t="n">
        <v>575</v>
      </c>
      <c r="P1690" s="9" t="inlineStr">
        <is>
          <t>NSMI24070184310</t>
        </is>
      </c>
      <c r="Q1690" s="54">
        <f>MID(P1690,5,2)</f>
        <v/>
      </c>
      <c r="R1690" s="53">
        <f>MID(P1690,7,2)</f>
        <v/>
      </c>
      <c r="S1690" s="3" t="inlineStr">
        <is>
          <t>G2G</t>
        </is>
      </c>
      <c r="T1690" s="3" t="inlineStr">
        <is>
          <t>P4</t>
        </is>
      </c>
      <c r="U1690" s="19" t="inlineStr">
        <is>
          <t>P JB Cold Soldering</t>
        </is>
      </c>
      <c r="V1690" s="19" t="inlineStr">
        <is>
          <t>Soldering</t>
        </is>
      </c>
      <c r="W1690" s="3" t="inlineStr">
        <is>
          <t>Repair</t>
        </is>
      </c>
      <c r="X1690" s="18" t="n">
        <v>46163</v>
      </c>
      <c r="Y1690" s="3">
        <f>X1690-A1690</f>
        <v/>
      </c>
      <c r="Z1690" s="18" t="n">
        <v>46163</v>
      </c>
      <c r="AA1690" s="15" t="n"/>
      <c r="AB1690" s="15" t="n"/>
    </row>
    <row r="1691">
      <c r="A1691" s="37" t="n">
        <v>46143</v>
      </c>
      <c r="B1691" s="3" t="n">
        <v>2026</v>
      </c>
      <c r="C1691" s="26" t="inlineStr">
        <is>
          <t>Yanara Power</t>
        </is>
      </c>
      <c r="D1691" s="3" t="inlineStr">
        <is>
          <t>Utility and C&amp;I</t>
        </is>
      </c>
      <c r="E1691" s="3" t="n"/>
      <c r="F1691" s="3" t="inlineStr">
        <is>
          <t>Closed</t>
        </is>
      </c>
      <c r="G1691" s="9" t="inlineStr">
        <is>
          <t xml:space="preserve">Ashish Jindal </t>
        </is>
      </c>
      <c r="H1691" s="26" t="n">
        <v>9983975581</v>
      </c>
      <c r="I1691" s="38" t="inlineStr">
        <is>
          <t>PE01052601</t>
        </is>
      </c>
      <c r="J1691" s="26" t="inlineStr">
        <is>
          <t>Multiple Issues</t>
        </is>
      </c>
      <c r="K1691" s="39" t="inlineStr">
        <is>
          <t>Holi</t>
        </is>
      </c>
      <c r="L1691" s="39" t="inlineStr">
        <is>
          <t>Maharashtra</t>
        </is>
      </c>
      <c r="M1691" s="46" t="inlineStr">
        <is>
          <t>PS</t>
        </is>
      </c>
      <c r="N1691" s="3" t="inlineStr">
        <is>
          <t>Cold Soldering</t>
        </is>
      </c>
      <c r="O1691" s="56" t="n">
        <v>575</v>
      </c>
      <c r="P1691" s="9" t="inlineStr">
        <is>
          <t>NSMI24070183601</t>
        </is>
      </c>
      <c r="Q1691" s="54">
        <f>MID(P1691,5,2)</f>
        <v/>
      </c>
      <c r="R1691" s="53">
        <f>MID(P1691,7,2)</f>
        <v/>
      </c>
      <c r="S1691" s="3" t="inlineStr">
        <is>
          <t>G2G</t>
        </is>
      </c>
      <c r="T1691" s="3" t="inlineStr">
        <is>
          <t>P4</t>
        </is>
      </c>
      <c r="U1691" s="19" t="inlineStr">
        <is>
          <t>P JB Cold Soldering</t>
        </is>
      </c>
      <c r="V1691" s="19" t="inlineStr">
        <is>
          <t>Soldering</t>
        </is>
      </c>
      <c r="W1691" s="3" t="inlineStr">
        <is>
          <t>Repair</t>
        </is>
      </c>
      <c r="X1691" s="18" t="n">
        <v>46163</v>
      </c>
      <c r="Y1691" s="3">
        <f>X1691-A1691</f>
        <v/>
      </c>
      <c r="Z1691" s="18" t="n">
        <v>46163</v>
      </c>
      <c r="AA1691" s="15" t="n"/>
      <c r="AB1691" s="15" t="n"/>
    </row>
    <row r="1692">
      <c r="A1692" s="37" t="n">
        <v>46143</v>
      </c>
      <c r="B1692" s="3" t="n">
        <v>2026</v>
      </c>
      <c r="C1692" s="26" t="inlineStr">
        <is>
          <t>Yanara Power</t>
        </is>
      </c>
      <c r="D1692" s="3" t="inlineStr">
        <is>
          <t>Utility and C&amp;I</t>
        </is>
      </c>
      <c r="E1692" s="3" t="n"/>
      <c r="F1692" s="3" t="inlineStr">
        <is>
          <t>Closed</t>
        </is>
      </c>
      <c r="G1692" s="9" t="inlineStr">
        <is>
          <t xml:space="preserve">Ashish Jindal </t>
        </is>
      </c>
      <c r="H1692" s="26" t="n">
        <v>9983975581</v>
      </c>
      <c r="I1692" s="38" t="inlineStr">
        <is>
          <t>PE01052601</t>
        </is>
      </c>
      <c r="J1692" s="26" t="inlineStr">
        <is>
          <t>Multiple Issues</t>
        </is>
      </c>
      <c r="K1692" s="39" t="inlineStr">
        <is>
          <t>Holi</t>
        </is>
      </c>
      <c r="L1692" s="39" t="inlineStr">
        <is>
          <t>Maharashtra</t>
        </is>
      </c>
      <c r="M1692" s="46" t="inlineStr">
        <is>
          <t>NS</t>
        </is>
      </c>
      <c r="N1692" s="3" t="inlineStr">
        <is>
          <t>Cold Soldering</t>
        </is>
      </c>
      <c r="O1692" s="56" t="n">
        <v>575</v>
      </c>
      <c r="P1692" s="9" t="inlineStr">
        <is>
          <t>NSMI24070183163</t>
        </is>
      </c>
      <c r="Q1692" s="54">
        <f>MID(P1692,5,2)</f>
        <v/>
      </c>
      <c r="R1692" s="53">
        <f>MID(P1692,7,2)</f>
        <v/>
      </c>
      <c r="S1692" s="3" t="inlineStr">
        <is>
          <t>G2G</t>
        </is>
      </c>
      <c r="T1692" s="3" t="inlineStr">
        <is>
          <t>P4</t>
        </is>
      </c>
      <c r="U1692" s="3" t="inlineStr">
        <is>
          <t>N JB Cold Soldering</t>
        </is>
      </c>
      <c r="V1692" s="3" t="inlineStr">
        <is>
          <t>Soldering</t>
        </is>
      </c>
      <c r="W1692" s="3" t="inlineStr">
        <is>
          <t>Repair</t>
        </is>
      </c>
      <c r="X1692" s="18" t="n">
        <v>46163</v>
      </c>
      <c r="Y1692" s="3">
        <f>X1692-A1692</f>
        <v/>
      </c>
      <c r="Z1692" s="18" t="n">
        <v>46163</v>
      </c>
      <c r="AA1692" s="15" t="n"/>
      <c r="AB1692" s="15" t="n"/>
    </row>
    <row r="1693">
      <c r="A1693" s="37" t="n">
        <v>46143</v>
      </c>
      <c r="B1693" s="3" t="n">
        <v>2026</v>
      </c>
      <c r="C1693" s="26" t="inlineStr">
        <is>
          <t>Yanara Power</t>
        </is>
      </c>
      <c r="D1693" s="3" t="inlineStr">
        <is>
          <t>Utility and C&amp;I</t>
        </is>
      </c>
      <c r="E1693" s="3" t="n"/>
      <c r="F1693" s="3" t="inlineStr">
        <is>
          <t>Closed</t>
        </is>
      </c>
      <c r="G1693" s="9" t="inlineStr">
        <is>
          <t xml:space="preserve">Ashish Jindal </t>
        </is>
      </c>
      <c r="H1693" s="26" t="n">
        <v>9983975581</v>
      </c>
      <c r="I1693" s="38" t="inlineStr">
        <is>
          <t>PE01052601</t>
        </is>
      </c>
      <c r="J1693" s="26" t="inlineStr">
        <is>
          <t>Multiple Issues</t>
        </is>
      </c>
      <c r="K1693" s="39" t="inlineStr">
        <is>
          <t>Holi</t>
        </is>
      </c>
      <c r="L1693" s="39" t="inlineStr">
        <is>
          <t>Maharashtra</t>
        </is>
      </c>
      <c r="M1693" s="46" t="inlineStr">
        <is>
          <t>PS</t>
        </is>
      </c>
      <c r="N1693" s="3" t="inlineStr">
        <is>
          <t>Cold Soldering</t>
        </is>
      </c>
      <c r="O1693" s="56" t="n">
        <v>575</v>
      </c>
      <c r="P1693" s="9" t="inlineStr">
        <is>
          <t>NSMI24070182744</t>
        </is>
      </c>
      <c r="Q1693" s="54">
        <f>MID(P1693,5,2)</f>
        <v/>
      </c>
      <c r="R1693" s="53">
        <f>MID(P1693,7,2)</f>
        <v/>
      </c>
      <c r="S1693" s="3" t="inlineStr">
        <is>
          <t>G2G</t>
        </is>
      </c>
      <c r="T1693" s="3" t="inlineStr">
        <is>
          <t>P4</t>
        </is>
      </c>
      <c r="U1693" s="19" t="inlineStr">
        <is>
          <t>P JB Cold Soldering</t>
        </is>
      </c>
      <c r="V1693" s="19" t="inlineStr">
        <is>
          <t>Soldering</t>
        </is>
      </c>
      <c r="W1693" s="3" t="inlineStr">
        <is>
          <t>Repair</t>
        </is>
      </c>
      <c r="X1693" s="18" t="n">
        <v>46163</v>
      </c>
      <c r="Y1693" s="3">
        <f>X1693-A1693</f>
        <v/>
      </c>
      <c r="Z1693" s="18" t="n">
        <v>46163</v>
      </c>
      <c r="AA1693" s="15" t="n"/>
      <c r="AB1693" s="15" t="n"/>
    </row>
    <row r="1694">
      <c r="A1694" s="37" t="n">
        <v>46143</v>
      </c>
      <c r="B1694" s="3" t="n">
        <v>2026</v>
      </c>
      <c r="C1694" s="26" t="inlineStr">
        <is>
          <t>Yanara Power</t>
        </is>
      </c>
      <c r="D1694" s="3" t="inlineStr">
        <is>
          <t>Utility and C&amp;I</t>
        </is>
      </c>
      <c r="E1694" s="3" t="n"/>
      <c r="F1694" s="3" t="inlineStr">
        <is>
          <t>Closed</t>
        </is>
      </c>
      <c r="G1694" s="9" t="inlineStr">
        <is>
          <t xml:space="preserve">Ashish Jindal </t>
        </is>
      </c>
      <c r="H1694" s="26" t="n">
        <v>9983975581</v>
      </c>
      <c r="I1694" s="38" t="inlineStr">
        <is>
          <t>PE01052601</t>
        </is>
      </c>
      <c r="J1694" s="26" t="inlineStr">
        <is>
          <t>Multiple Issues</t>
        </is>
      </c>
      <c r="K1694" s="39" t="inlineStr">
        <is>
          <t>Holi</t>
        </is>
      </c>
      <c r="L1694" s="39" t="inlineStr">
        <is>
          <t>Maharashtra</t>
        </is>
      </c>
      <c r="M1694" s="46" t="inlineStr">
        <is>
          <t>PS</t>
        </is>
      </c>
      <c r="N1694" s="3" t="inlineStr">
        <is>
          <t>Cold Soldering</t>
        </is>
      </c>
      <c r="O1694" s="56" t="n">
        <v>575</v>
      </c>
      <c r="P1694" s="9" t="inlineStr">
        <is>
          <t>NSMI24070182785</t>
        </is>
      </c>
      <c r="Q1694" s="54">
        <f>MID(P1694,5,2)</f>
        <v/>
      </c>
      <c r="R1694" s="53">
        <f>MID(P1694,7,2)</f>
        <v/>
      </c>
      <c r="S1694" s="3" t="inlineStr">
        <is>
          <t>G2G</t>
        </is>
      </c>
      <c r="T1694" s="3" t="inlineStr">
        <is>
          <t>P4</t>
        </is>
      </c>
      <c r="U1694" s="19" t="inlineStr">
        <is>
          <t>P JB Cold Soldering</t>
        </is>
      </c>
      <c r="V1694" s="19" t="inlineStr">
        <is>
          <t>Soldering</t>
        </is>
      </c>
      <c r="W1694" s="3" t="inlineStr">
        <is>
          <t>Repair</t>
        </is>
      </c>
      <c r="X1694" s="18" t="n">
        <v>46163</v>
      </c>
      <c r="Y1694" s="3">
        <f>X1694-A1694</f>
        <v/>
      </c>
      <c r="Z1694" s="18" t="n">
        <v>46163</v>
      </c>
      <c r="AA1694" s="15" t="n"/>
      <c r="AB1694" s="15" t="n"/>
    </row>
    <row r="1695">
      <c r="A1695" s="37" t="n">
        <v>46143</v>
      </c>
      <c r="B1695" s="3" t="n">
        <v>2026</v>
      </c>
      <c r="C1695" s="26" t="inlineStr">
        <is>
          <t>Yanara Power</t>
        </is>
      </c>
      <c r="D1695" s="3" t="inlineStr">
        <is>
          <t>Utility and C&amp;I</t>
        </is>
      </c>
      <c r="E1695" s="3" t="n"/>
      <c r="F1695" s="3" t="inlineStr">
        <is>
          <t>Closed</t>
        </is>
      </c>
      <c r="G1695" s="9" t="inlineStr">
        <is>
          <t xml:space="preserve">Ashish Jindal </t>
        </is>
      </c>
      <c r="H1695" s="26" t="n">
        <v>9983975581</v>
      </c>
      <c r="I1695" s="38" t="inlineStr">
        <is>
          <t>PE01052601</t>
        </is>
      </c>
      <c r="J1695" s="26" t="inlineStr">
        <is>
          <t>Multiple Issues</t>
        </is>
      </c>
      <c r="K1695" s="39" t="inlineStr">
        <is>
          <t>Holi</t>
        </is>
      </c>
      <c r="L1695" s="39" t="inlineStr">
        <is>
          <t>Maharashtra</t>
        </is>
      </c>
      <c r="M1695" s="46" t="inlineStr">
        <is>
          <t>PS</t>
        </is>
      </c>
      <c r="N1695" s="3" t="inlineStr">
        <is>
          <t>Cold Soldering</t>
        </is>
      </c>
      <c r="O1695" s="56" t="n">
        <v>575</v>
      </c>
      <c r="P1695" s="9" t="inlineStr">
        <is>
          <t>NSMI24070181793</t>
        </is>
      </c>
      <c r="Q1695" s="54">
        <f>MID(P1695,5,2)</f>
        <v/>
      </c>
      <c r="R1695" s="53">
        <f>MID(P1695,7,2)</f>
        <v/>
      </c>
      <c r="S1695" s="3" t="inlineStr">
        <is>
          <t>G2G</t>
        </is>
      </c>
      <c r="T1695" s="3" t="inlineStr">
        <is>
          <t>P4</t>
        </is>
      </c>
      <c r="U1695" s="19" t="inlineStr">
        <is>
          <t>P JB Cold Soldering</t>
        </is>
      </c>
      <c r="V1695" s="19" t="inlineStr">
        <is>
          <t>Soldering</t>
        </is>
      </c>
      <c r="W1695" s="3" t="inlineStr">
        <is>
          <t>Repair</t>
        </is>
      </c>
      <c r="X1695" s="18" t="n">
        <v>46163</v>
      </c>
      <c r="Y1695" s="3">
        <f>X1695-A1695</f>
        <v/>
      </c>
      <c r="Z1695" s="18" t="n">
        <v>46163</v>
      </c>
      <c r="AA1695" s="15" t="n"/>
      <c r="AB1695" s="15" t="n"/>
    </row>
    <row r="1696">
      <c r="A1696" s="37" t="n">
        <v>46143</v>
      </c>
      <c r="B1696" s="3" t="n">
        <v>2026</v>
      </c>
      <c r="C1696" s="26" t="inlineStr">
        <is>
          <t>Yanara Power</t>
        </is>
      </c>
      <c r="D1696" s="3" t="inlineStr">
        <is>
          <t>Utility and C&amp;I</t>
        </is>
      </c>
      <c r="E1696" s="3" t="n"/>
      <c r="F1696" s="3" t="inlineStr">
        <is>
          <t>Closed</t>
        </is>
      </c>
      <c r="G1696" s="9" t="inlineStr">
        <is>
          <t xml:space="preserve">Ashish Jindal </t>
        </is>
      </c>
      <c r="H1696" s="26" t="n">
        <v>9983975581</v>
      </c>
      <c r="I1696" s="38" t="inlineStr">
        <is>
          <t>PE01052601</t>
        </is>
      </c>
      <c r="J1696" s="26" t="inlineStr">
        <is>
          <t>Multiple Issues</t>
        </is>
      </c>
      <c r="K1696" s="39" t="inlineStr">
        <is>
          <t>Holi</t>
        </is>
      </c>
      <c r="L1696" s="39" t="inlineStr">
        <is>
          <t>Maharashtra</t>
        </is>
      </c>
      <c r="M1696" s="46" t="inlineStr">
        <is>
          <t>PS</t>
        </is>
      </c>
      <c r="N1696" s="3" t="inlineStr">
        <is>
          <t>Cold Soldering</t>
        </is>
      </c>
      <c r="O1696" s="56" t="n">
        <v>575</v>
      </c>
      <c r="P1696" s="9" t="inlineStr">
        <is>
          <t>NSMI24070178819</t>
        </is>
      </c>
      <c r="Q1696" s="54">
        <f>MID(P1696,5,2)</f>
        <v/>
      </c>
      <c r="R1696" s="53">
        <f>MID(P1696,7,2)</f>
        <v/>
      </c>
      <c r="S1696" s="3" t="inlineStr">
        <is>
          <t>G2G</t>
        </is>
      </c>
      <c r="T1696" s="3" t="inlineStr">
        <is>
          <t>P4</t>
        </is>
      </c>
      <c r="U1696" s="19" t="inlineStr">
        <is>
          <t>P JB Cold Soldering</t>
        </is>
      </c>
      <c r="V1696" s="19" t="inlineStr">
        <is>
          <t>Soldering</t>
        </is>
      </c>
      <c r="W1696" s="3" t="inlineStr">
        <is>
          <t>Repair</t>
        </is>
      </c>
      <c r="X1696" s="18" t="n">
        <v>46163</v>
      </c>
      <c r="Y1696" s="3">
        <f>X1696-A1696</f>
        <v/>
      </c>
      <c r="Z1696" s="18" t="n">
        <v>46163</v>
      </c>
      <c r="AA1696" s="15" t="n"/>
      <c r="AB1696" s="15" t="n"/>
    </row>
    <row r="1697">
      <c r="A1697" s="37" t="n">
        <v>46143</v>
      </c>
      <c r="B1697" s="3" t="n">
        <v>2026</v>
      </c>
      <c r="C1697" s="26" t="inlineStr">
        <is>
          <t>Yanara Power</t>
        </is>
      </c>
      <c r="D1697" s="3" t="inlineStr">
        <is>
          <t>Utility and C&amp;I</t>
        </is>
      </c>
      <c r="E1697" s="3" t="n"/>
      <c r="F1697" s="3" t="inlineStr">
        <is>
          <t>Closed</t>
        </is>
      </c>
      <c r="G1697" s="9" t="inlineStr">
        <is>
          <t xml:space="preserve">Ashish Jindal </t>
        </is>
      </c>
      <c r="H1697" s="26" t="n">
        <v>9983975581</v>
      </c>
      <c r="I1697" s="38" t="inlineStr">
        <is>
          <t>PE01052601</t>
        </is>
      </c>
      <c r="J1697" s="26" t="inlineStr">
        <is>
          <t>Multiple Issues</t>
        </is>
      </c>
      <c r="K1697" s="39" t="inlineStr">
        <is>
          <t>Holi</t>
        </is>
      </c>
      <c r="L1697" s="39" t="inlineStr">
        <is>
          <t>Maharashtra</t>
        </is>
      </c>
      <c r="M1697" s="46" t="inlineStr">
        <is>
          <t>PS</t>
        </is>
      </c>
      <c r="N1697" s="3" t="inlineStr">
        <is>
          <t>Cold Soldering</t>
        </is>
      </c>
      <c r="O1697" s="56" t="n">
        <v>575</v>
      </c>
      <c r="P1697" s="9" t="inlineStr">
        <is>
          <t>NSMI24070179195</t>
        </is>
      </c>
      <c r="Q1697" s="54">
        <f>MID(P1697,5,2)</f>
        <v/>
      </c>
      <c r="R1697" s="53">
        <f>MID(P1697,7,2)</f>
        <v/>
      </c>
      <c r="S1697" s="3" t="inlineStr">
        <is>
          <t>G2G</t>
        </is>
      </c>
      <c r="T1697" s="3" t="inlineStr">
        <is>
          <t>P4</t>
        </is>
      </c>
      <c r="U1697" s="19" t="inlineStr">
        <is>
          <t>P JB Cold Soldering</t>
        </is>
      </c>
      <c r="V1697" s="19" t="inlineStr">
        <is>
          <t>Soldering</t>
        </is>
      </c>
      <c r="W1697" s="3" t="inlineStr">
        <is>
          <t>Repair</t>
        </is>
      </c>
      <c r="X1697" s="18" t="n">
        <v>46163</v>
      </c>
      <c r="Y1697" s="3">
        <f>X1697-A1697</f>
        <v/>
      </c>
      <c r="Z1697" s="18" t="n">
        <v>46163</v>
      </c>
      <c r="AA1697" s="15" t="n"/>
      <c r="AB1697" s="15" t="n"/>
    </row>
    <row r="1698">
      <c r="A1698" s="37" t="n">
        <v>46143</v>
      </c>
      <c r="B1698" s="3" t="n">
        <v>2026</v>
      </c>
      <c r="C1698" s="26" t="inlineStr">
        <is>
          <t>Yanara Power</t>
        </is>
      </c>
      <c r="D1698" s="3" t="inlineStr">
        <is>
          <t>Utility and C&amp;I</t>
        </is>
      </c>
      <c r="E1698" s="3" t="n"/>
      <c r="F1698" s="3" t="inlineStr">
        <is>
          <t>Closed</t>
        </is>
      </c>
      <c r="G1698" s="9" t="inlineStr">
        <is>
          <t xml:space="preserve">Ashish Jindal </t>
        </is>
      </c>
      <c r="H1698" s="26" t="n">
        <v>9983975581</v>
      </c>
      <c r="I1698" s="38" t="inlineStr">
        <is>
          <t>PE01052601</t>
        </is>
      </c>
      <c r="J1698" s="26" t="inlineStr">
        <is>
          <t>Multiple Issues</t>
        </is>
      </c>
      <c r="K1698" s="39" t="inlineStr">
        <is>
          <t>Holi</t>
        </is>
      </c>
      <c r="L1698" s="39" t="inlineStr">
        <is>
          <t>Maharashtra</t>
        </is>
      </c>
      <c r="M1698" s="46" t="inlineStr">
        <is>
          <t>PS</t>
        </is>
      </c>
      <c r="N1698" s="3" t="inlineStr">
        <is>
          <t>Cold Soldering</t>
        </is>
      </c>
      <c r="O1698" s="56" t="n">
        <v>575</v>
      </c>
      <c r="P1698" s="9" t="inlineStr">
        <is>
          <t>NSMI24070216969</t>
        </is>
      </c>
      <c r="Q1698" s="54">
        <f>MID(P1698,5,2)</f>
        <v/>
      </c>
      <c r="R1698" s="53">
        <f>MID(P1698,7,2)</f>
        <v/>
      </c>
      <c r="S1698" s="3" t="inlineStr">
        <is>
          <t>G2G</t>
        </is>
      </c>
      <c r="T1698" s="3" t="inlineStr">
        <is>
          <t>P4</t>
        </is>
      </c>
      <c r="U1698" s="19" t="inlineStr">
        <is>
          <t>P JB Cold Soldering</t>
        </is>
      </c>
      <c r="V1698" s="19" t="inlineStr">
        <is>
          <t>Soldering</t>
        </is>
      </c>
      <c r="W1698" s="3" t="inlineStr">
        <is>
          <t>Repair</t>
        </is>
      </c>
      <c r="X1698" s="18" t="n">
        <v>46163</v>
      </c>
      <c r="Y1698" s="3">
        <f>X1698-A1698</f>
        <v/>
      </c>
      <c r="Z1698" s="18" t="n">
        <v>46163</v>
      </c>
      <c r="AA1698" s="15" t="n"/>
      <c r="AB1698" s="15" t="n"/>
    </row>
    <row r="1699">
      <c r="A1699" s="37" t="n">
        <v>46143</v>
      </c>
      <c r="B1699" s="3" t="n">
        <v>2026</v>
      </c>
      <c r="C1699" s="26" t="inlineStr">
        <is>
          <t>Yanara Power</t>
        </is>
      </c>
      <c r="D1699" s="3" t="inlineStr">
        <is>
          <t>Utility and C&amp;I</t>
        </is>
      </c>
      <c r="E1699" s="3" t="n"/>
      <c r="F1699" s="3" t="inlineStr">
        <is>
          <t>Closed</t>
        </is>
      </c>
      <c r="G1699" s="9" t="inlineStr">
        <is>
          <t xml:space="preserve">Ashish Jindal </t>
        </is>
      </c>
      <c r="H1699" s="26" t="n">
        <v>9983975581</v>
      </c>
      <c r="I1699" s="38" t="inlineStr">
        <is>
          <t>PE01052601</t>
        </is>
      </c>
      <c r="J1699" s="26" t="inlineStr">
        <is>
          <t>Multiple Issues</t>
        </is>
      </c>
      <c r="K1699" s="39" t="inlineStr">
        <is>
          <t>Holi</t>
        </is>
      </c>
      <c r="L1699" s="39" t="inlineStr">
        <is>
          <t>Maharashtra</t>
        </is>
      </c>
      <c r="M1699" s="46" t="inlineStr">
        <is>
          <t>PS</t>
        </is>
      </c>
      <c r="N1699" s="3" t="inlineStr">
        <is>
          <t>Cold Soldering</t>
        </is>
      </c>
      <c r="O1699" s="56" t="n">
        <v>575</v>
      </c>
      <c r="P1699" s="9" t="inlineStr">
        <is>
          <t>NSMI24070216901</t>
        </is>
      </c>
      <c r="Q1699" s="54">
        <f>MID(P1699,5,2)</f>
        <v/>
      </c>
      <c r="R1699" s="53">
        <f>MID(P1699,7,2)</f>
        <v/>
      </c>
      <c r="S1699" s="3" t="inlineStr">
        <is>
          <t>G2G</t>
        </is>
      </c>
      <c r="T1699" s="3" t="inlineStr">
        <is>
          <t>P4</t>
        </is>
      </c>
      <c r="U1699" s="19" t="inlineStr">
        <is>
          <t>P JB Cold Soldering</t>
        </is>
      </c>
      <c r="V1699" s="19" t="inlineStr">
        <is>
          <t>Soldering</t>
        </is>
      </c>
      <c r="W1699" s="3" t="inlineStr">
        <is>
          <t>Repair</t>
        </is>
      </c>
      <c r="X1699" s="18" t="n">
        <v>46163</v>
      </c>
      <c r="Y1699" s="3">
        <f>X1699-A1699</f>
        <v/>
      </c>
      <c r="Z1699" s="18" t="n">
        <v>46163</v>
      </c>
      <c r="AA1699" s="15" t="n"/>
      <c r="AB1699" s="15" t="n"/>
    </row>
    <row r="1700">
      <c r="A1700" s="37" t="n">
        <v>46143</v>
      </c>
      <c r="B1700" s="3" t="n">
        <v>2026</v>
      </c>
      <c r="C1700" s="26" t="inlineStr">
        <is>
          <t>Yanara Power</t>
        </is>
      </c>
      <c r="D1700" s="3" t="inlineStr">
        <is>
          <t>Utility and C&amp;I</t>
        </is>
      </c>
      <c r="E1700" s="3" t="n"/>
      <c r="F1700" s="3" t="inlineStr">
        <is>
          <t>Closed</t>
        </is>
      </c>
      <c r="G1700" s="9" t="inlineStr">
        <is>
          <t xml:space="preserve">Ashish Jindal </t>
        </is>
      </c>
      <c r="H1700" s="26" t="n">
        <v>9983975581</v>
      </c>
      <c r="I1700" s="38" t="inlineStr">
        <is>
          <t>PE01052601</t>
        </is>
      </c>
      <c r="J1700" s="26" t="inlineStr">
        <is>
          <t>Multiple Issues</t>
        </is>
      </c>
      <c r="K1700" s="39" t="inlineStr">
        <is>
          <t>Holi</t>
        </is>
      </c>
      <c r="L1700" s="39" t="inlineStr">
        <is>
          <t>Maharashtra</t>
        </is>
      </c>
      <c r="M1700" s="46" t="inlineStr">
        <is>
          <t>PNS</t>
        </is>
      </c>
      <c r="N1700" s="3" t="inlineStr">
        <is>
          <t>Cold Soldering</t>
        </is>
      </c>
      <c r="O1700" s="56" t="n">
        <v>575</v>
      </c>
      <c r="P1700" s="9" t="inlineStr">
        <is>
          <t>NSMI24070216924</t>
        </is>
      </c>
      <c r="Q1700" s="54">
        <f>MID(P1700,5,2)</f>
        <v/>
      </c>
      <c r="R1700" s="53">
        <f>MID(P1700,7,2)</f>
        <v/>
      </c>
      <c r="S1700" s="3" t="inlineStr">
        <is>
          <t>G2G</t>
        </is>
      </c>
      <c r="T1700" s="3" t="inlineStr">
        <is>
          <t>P4</t>
        </is>
      </c>
      <c r="U1700" s="3" t="inlineStr">
        <is>
          <t>P &amp; N JB Cold Soldering</t>
        </is>
      </c>
      <c r="V1700" s="3" t="inlineStr">
        <is>
          <t>Soldering</t>
        </is>
      </c>
      <c r="W1700" s="3" t="inlineStr">
        <is>
          <t>Repair</t>
        </is>
      </c>
      <c r="X1700" s="18" t="n">
        <v>46163</v>
      </c>
      <c r="Y1700" s="3">
        <f>X1700-A1700</f>
        <v/>
      </c>
      <c r="Z1700" s="18" t="n">
        <v>46163</v>
      </c>
      <c r="AA1700" s="15" t="n"/>
      <c r="AB1700" s="15" t="n"/>
    </row>
    <row r="1701">
      <c r="A1701" s="37" t="n">
        <v>46143</v>
      </c>
      <c r="B1701" s="3" t="n">
        <v>2026</v>
      </c>
      <c r="C1701" s="26" t="inlineStr">
        <is>
          <t>Yanara Power</t>
        </is>
      </c>
      <c r="D1701" s="3" t="inlineStr">
        <is>
          <t>Utility and C&amp;I</t>
        </is>
      </c>
      <c r="E1701" s="3" t="n"/>
      <c r="F1701" s="3" t="inlineStr">
        <is>
          <t>Closed</t>
        </is>
      </c>
      <c r="G1701" s="9" t="inlineStr">
        <is>
          <t xml:space="preserve">Ashish Jindal </t>
        </is>
      </c>
      <c r="H1701" s="26" t="n">
        <v>9983975581</v>
      </c>
      <c r="I1701" s="38" t="inlineStr">
        <is>
          <t>PE01052601</t>
        </is>
      </c>
      <c r="J1701" s="26" t="inlineStr">
        <is>
          <t>Multiple Issues</t>
        </is>
      </c>
      <c r="K1701" s="39" t="inlineStr">
        <is>
          <t>Holi</t>
        </is>
      </c>
      <c r="L1701" s="39" t="inlineStr">
        <is>
          <t>Maharashtra</t>
        </is>
      </c>
      <c r="M1701" s="46" t="inlineStr">
        <is>
          <t>PS</t>
        </is>
      </c>
      <c r="N1701" s="3" t="inlineStr">
        <is>
          <t>Cold Soldering</t>
        </is>
      </c>
      <c r="O1701" s="56" t="n">
        <v>575</v>
      </c>
      <c r="P1701" s="9" t="inlineStr">
        <is>
          <t>NSMI24070216895</t>
        </is>
      </c>
      <c r="Q1701" s="54">
        <f>MID(P1701,5,2)</f>
        <v/>
      </c>
      <c r="R1701" s="53">
        <f>MID(P1701,7,2)</f>
        <v/>
      </c>
      <c r="S1701" s="3" t="inlineStr">
        <is>
          <t>G2G</t>
        </is>
      </c>
      <c r="T1701" s="3" t="inlineStr">
        <is>
          <t>P4</t>
        </is>
      </c>
      <c r="U1701" s="19" t="inlineStr">
        <is>
          <t>P JB Cold Soldering</t>
        </is>
      </c>
      <c r="V1701" s="19" t="inlineStr">
        <is>
          <t>Soldering</t>
        </is>
      </c>
      <c r="W1701" s="3" t="inlineStr">
        <is>
          <t>Repair</t>
        </is>
      </c>
      <c r="X1701" s="18" t="n">
        <v>46163</v>
      </c>
      <c r="Y1701" s="3">
        <f>X1701-A1701</f>
        <v/>
      </c>
      <c r="Z1701" s="18" t="n">
        <v>46163</v>
      </c>
      <c r="AA1701" s="15" t="n"/>
      <c r="AB1701" s="15" t="n"/>
    </row>
    <row r="1702">
      <c r="A1702" s="37" t="n">
        <v>46143</v>
      </c>
      <c r="B1702" s="3" t="n">
        <v>2026</v>
      </c>
      <c r="C1702" s="26" t="inlineStr">
        <is>
          <t>Yanara Power</t>
        </is>
      </c>
      <c r="D1702" s="3" t="inlineStr">
        <is>
          <t>Utility and C&amp;I</t>
        </is>
      </c>
      <c r="E1702" s="3" t="n"/>
      <c r="F1702" s="3" t="inlineStr">
        <is>
          <t>Closed</t>
        </is>
      </c>
      <c r="G1702" s="9" t="inlineStr">
        <is>
          <t xml:space="preserve">Ashish Jindal </t>
        </is>
      </c>
      <c r="H1702" s="26" t="n">
        <v>9983975581</v>
      </c>
      <c r="I1702" s="38" t="inlineStr">
        <is>
          <t>PE01052601</t>
        </is>
      </c>
      <c r="J1702" s="26" t="inlineStr">
        <is>
          <t>Multiple Issues</t>
        </is>
      </c>
      <c r="K1702" s="39" t="inlineStr">
        <is>
          <t>Holi</t>
        </is>
      </c>
      <c r="L1702" s="39" t="inlineStr">
        <is>
          <t>Maharashtra</t>
        </is>
      </c>
      <c r="M1702" s="46" t="inlineStr">
        <is>
          <t>PNS</t>
        </is>
      </c>
      <c r="N1702" s="3" t="inlineStr">
        <is>
          <t>Cold Soldering</t>
        </is>
      </c>
      <c r="O1702" s="56" t="n">
        <v>575</v>
      </c>
      <c r="P1702" s="9" t="inlineStr">
        <is>
          <t>NSMI24070216899</t>
        </is>
      </c>
      <c r="Q1702" s="54">
        <f>MID(P1702,5,2)</f>
        <v/>
      </c>
      <c r="R1702" s="53">
        <f>MID(P1702,7,2)</f>
        <v/>
      </c>
      <c r="S1702" s="3" t="inlineStr">
        <is>
          <t>G2G</t>
        </is>
      </c>
      <c r="T1702" s="3" t="inlineStr">
        <is>
          <t>P4</t>
        </is>
      </c>
      <c r="U1702" s="3" t="inlineStr">
        <is>
          <t>P &amp; N JB Cold Soldering</t>
        </is>
      </c>
      <c r="V1702" s="3" t="inlineStr">
        <is>
          <t>Soldering</t>
        </is>
      </c>
      <c r="W1702" s="3" t="inlineStr">
        <is>
          <t>Repair</t>
        </is>
      </c>
      <c r="X1702" s="18" t="n">
        <v>46163</v>
      </c>
      <c r="Y1702" s="3">
        <f>X1702-A1702</f>
        <v/>
      </c>
      <c r="Z1702" s="18" t="n">
        <v>46163</v>
      </c>
      <c r="AA1702" s="15" t="n"/>
      <c r="AB1702" s="15" t="n"/>
    </row>
    <row r="1703">
      <c r="A1703" s="37" t="n">
        <v>46143</v>
      </c>
      <c r="B1703" s="3" t="n">
        <v>2026</v>
      </c>
      <c r="C1703" s="26" t="inlineStr">
        <is>
          <t>Yanara Power</t>
        </is>
      </c>
      <c r="D1703" s="3" t="inlineStr">
        <is>
          <t>Utility and C&amp;I</t>
        </is>
      </c>
      <c r="E1703" s="3" t="n"/>
      <c r="F1703" s="3" t="inlineStr">
        <is>
          <t>Closed</t>
        </is>
      </c>
      <c r="G1703" s="9" t="inlineStr">
        <is>
          <t xml:space="preserve">Ashish Jindal </t>
        </is>
      </c>
      <c r="H1703" s="26" t="n">
        <v>9983975581</v>
      </c>
      <c r="I1703" s="38" t="inlineStr">
        <is>
          <t>PE01052601</t>
        </is>
      </c>
      <c r="J1703" s="26" t="inlineStr">
        <is>
          <t>Multiple Issues</t>
        </is>
      </c>
      <c r="K1703" s="39" t="inlineStr">
        <is>
          <t>Holi</t>
        </is>
      </c>
      <c r="L1703" s="39" t="inlineStr">
        <is>
          <t>Maharashtra</t>
        </is>
      </c>
      <c r="M1703" s="46" t="inlineStr">
        <is>
          <t>PS</t>
        </is>
      </c>
      <c r="N1703" s="3" t="inlineStr">
        <is>
          <t>Cold Soldering</t>
        </is>
      </c>
      <c r="O1703" s="56" t="n">
        <v>575</v>
      </c>
      <c r="P1703" s="9" t="inlineStr">
        <is>
          <t>NSMI24070216782</t>
        </is>
      </c>
      <c r="Q1703" s="54">
        <f>MID(P1703,5,2)</f>
        <v/>
      </c>
      <c r="R1703" s="53">
        <f>MID(P1703,7,2)</f>
        <v/>
      </c>
      <c r="S1703" s="3" t="inlineStr">
        <is>
          <t>G2G</t>
        </is>
      </c>
      <c r="T1703" s="3" t="inlineStr">
        <is>
          <t>P4</t>
        </is>
      </c>
      <c r="U1703" s="19" t="inlineStr">
        <is>
          <t>P JB Cold Soldering</t>
        </is>
      </c>
      <c r="V1703" s="19" t="inlineStr">
        <is>
          <t>Soldering</t>
        </is>
      </c>
      <c r="W1703" s="3" t="inlineStr">
        <is>
          <t>Repair</t>
        </is>
      </c>
      <c r="X1703" s="18" t="n">
        <v>46163</v>
      </c>
      <c r="Y1703" s="3">
        <f>X1703-A1703</f>
        <v/>
      </c>
      <c r="Z1703" s="18" t="n">
        <v>46163</v>
      </c>
      <c r="AA1703" s="15" t="n"/>
      <c r="AB1703" s="15" t="n"/>
    </row>
    <row r="1704">
      <c r="A1704" s="37" t="n">
        <v>46143</v>
      </c>
      <c r="B1704" s="3" t="n">
        <v>2026</v>
      </c>
      <c r="C1704" s="26" t="inlineStr">
        <is>
          <t>Yanara Power</t>
        </is>
      </c>
      <c r="D1704" s="3" t="inlineStr">
        <is>
          <t>Utility and C&amp;I</t>
        </is>
      </c>
      <c r="E1704" s="3" t="n"/>
      <c r="F1704" s="3" t="inlineStr">
        <is>
          <t>Closed</t>
        </is>
      </c>
      <c r="G1704" s="9" t="inlineStr">
        <is>
          <t xml:space="preserve">Ashish Jindal </t>
        </is>
      </c>
      <c r="H1704" s="26" t="n">
        <v>9983975581</v>
      </c>
      <c r="I1704" s="38" t="inlineStr">
        <is>
          <t>PE01052601</t>
        </is>
      </c>
      <c r="J1704" s="26" t="inlineStr">
        <is>
          <t>Multiple Issues</t>
        </is>
      </c>
      <c r="K1704" s="39" t="inlineStr">
        <is>
          <t>Holi</t>
        </is>
      </c>
      <c r="L1704" s="39" t="inlineStr">
        <is>
          <t>Maharashtra</t>
        </is>
      </c>
      <c r="M1704" s="46" t="inlineStr">
        <is>
          <t>PS</t>
        </is>
      </c>
      <c r="N1704" s="3" t="inlineStr">
        <is>
          <t>Cold Soldering</t>
        </is>
      </c>
      <c r="O1704" s="56" t="n">
        <v>575</v>
      </c>
      <c r="P1704" s="9" t="inlineStr">
        <is>
          <t>NSMI24070181965</t>
        </is>
      </c>
      <c r="Q1704" s="54">
        <f>MID(P1704,5,2)</f>
        <v/>
      </c>
      <c r="R1704" s="53">
        <f>MID(P1704,7,2)</f>
        <v/>
      </c>
      <c r="S1704" s="3" t="inlineStr">
        <is>
          <t>G2G</t>
        </is>
      </c>
      <c r="T1704" s="3" t="inlineStr">
        <is>
          <t>P4</t>
        </is>
      </c>
      <c r="U1704" s="19" t="inlineStr">
        <is>
          <t>P JB Cold Soldering</t>
        </is>
      </c>
      <c r="V1704" s="19" t="inlineStr">
        <is>
          <t>Soldering</t>
        </is>
      </c>
      <c r="W1704" s="3" t="inlineStr">
        <is>
          <t>Repair</t>
        </is>
      </c>
      <c r="X1704" s="18" t="n">
        <v>46163</v>
      </c>
      <c r="Y1704" s="3">
        <f>X1704-A1704</f>
        <v/>
      </c>
      <c r="Z1704" s="18" t="n">
        <v>46163</v>
      </c>
      <c r="AA1704" s="15" t="n"/>
      <c r="AB1704" s="15" t="n"/>
    </row>
    <row r="1705">
      <c r="A1705" s="37" t="n">
        <v>46143</v>
      </c>
      <c r="B1705" s="3" t="n">
        <v>2026</v>
      </c>
      <c r="C1705" s="26" t="inlineStr">
        <is>
          <t>Yanara Power</t>
        </is>
      </c>
      <c r="D1705" s="3" t="inlineStr">
        <is>
          <t>Utility and C&amp;I</t>
        </is>
      </c>
      <c r="E1705" s="3" t="n"/>
      <c r="F1705" s="3" t="inlineStr">
        <is>
          <t>Closed</t>
        </is>
      </c>
      <c r="G1705" s="9" t="inlineStr">
        <is>
          <t xml:space="preserve">Ashish Jindal </t>
        </is>
      </c>
      <c r="H1705" s="26" t="n">
        <v>9983975581</v>
      </c>
      <c r="I1705" s="38" t="inlineStr">
        <is>
          <t>PE01052601</t>
        </is>
      </c>
      <c r="J1705" s="26" t="inlineStr">
        <is>
          <t>Multiple Issues</t>
        </is>
      </c>
      <c r="K1705" s="39" t="inlineStr">
        <is>
          <t>Holi</t>
        </is>
      </c>
      <c r="L1705" s="39" t="inlineStr">
        <is>
          <t>Maharashtra</t>
        </is>
      </c>
      <c r="M1705" s="46" t="inlineStr">
        <is>
          <t>PS</t>
        </is>
      </c>
      <c r="N1705" s="3" t="inlineStr">
        <is>
          <t>Cold Soldering</t>
        </is>
      </c>
      <c r="O1705" s="56" t="n">
        <v>575</v>
      </c>
      <c r="P1705" s="9" t="inlineStr">
        <is>
          <t>NSMI24070182067</t>
        </is>
      </c>
      <c r="Q1705" s="54">
        <f>MID(P1705,5,2)</f>
        <v/>
      </c>
      <c r="R1705" s="53">
        <f>MID(P1705,7,2)</f>
        <v/>
      </c>
      <c r="S1705" s="3" t="inlineStr">
        <is>
          <t>G2G</t>
        </is>
      </c>
      <c r="T1705" s="3" t="inlineStr">
        <is>
          <t>P4</t>
        </is>
      </c>
      <c r="U1705" s="19" t="inlineStr">
        <is>
          <t>P JB Cold Soldering</t>
        </is>
      </c>
      <c r="V1705" s="19" t="inlineStr">
        <is>
          <t>Soldering</t>
        </is>
      </c>
      <c r="W1705" s="3" t="inlineStr">
        <is>
          <t>Repair</t>
        </is>
      </c>
      <c r="X1705" s="18" t="n">
        <v>46163</v>
      </c>
      <c r="Y1705" s="3">
        <f>X1705-A1705</f>
        <v/>
      </c>
      <c r="Z1705" s="18" t="n">
        <v>46163</v>
      </c>
      <c r="AA1705" s="15" t="n"/>
      <c r="AB1705" s="15" t="n"/>
    </row>
    <row r="1706">
      <c r="A1706" s="37" t="n">
        <v>46143</v>
      </c>
      <c r="B1706" s="3" t="n">
        <v>2026</v>
      </c>
      <c r="C1706" s="26" t="inlineStr">
        <is>
          <t>Yanara Power</t>
        </is>
      </c>
      <c r="D1706" s="3" t="inlineStr">
        <is>
          <t>Utility and C&amp;I</t>
        </is>
      </c>
      <c r="E1706" s="3" t="n"/>
      <c r="F1706" s="3" t="inlineStr">
        <is>
          <t>Closed</t>
        </is>
      </c>
      <c r="G1706" s="9" t="inlineStr">
        <is>
          <t xml:space="preserve">Ashish Jindal </t>
        </is>
      </c>
      <c r="H1706" s="26" t="n">
        <v>9983975581</v>
      </c>
      <c r="I1706" s="38" t="inlineStr">
        <is>
          <t>PE01052601</t>
        </is>
      </c>
      <c r="J1706" s="26" t="inlineStr">
        <is>
          <t>Multiple Issues</t>
        </is>
      </c>
      <c r="K1706" s="39" t="inlineStr">
        <is>
          <t>Holi</t>
        </is>
      </c>
      <c r="L1706" s="39" t="inlineStr">
        <is>
          <t>Maharashtra</t>
        </is>
      </c>
      <c r="M1706" s="46" t="inlineStr">
        <is>
          <t>PS</t>
        </is>
      </c>
      <c r="N1706" s="3" t="inlineStr">
        <is>
          <t>Cold Soldering</t>
        </is>
      </c>
      <c r="O1706" s="56" t="n">
        <v>575</v>
      </c>
      <c r="P1706" s="9" t="inlineStr">
        <is>
          <t>NSMI24070182120</t>
        </is>
      </c>
      <c r="Q1706" s="54">
        <f>MID(P1706,5,2)</f>
        <v/>
      </c>
      <c r="R1706" s="53">
        <f>MID(P1706,7,2)</f>
        <v/>
      </c>
      <c r="S1706" s="3" t="inlineStr">
        <is>
          <t>G2G</t>
        </is>
      </c>
      <c r="T1706" s="3" t="inlineStr">
        <is>
          <t>P4</t>
        </is>
      </c>
      <c r="U1706" s="19" t="inlineStr">
        <is>
          <t>P JB Cold Soldering</t>
        </is>
      </c>
      <c r="V1706" s="19" t="inlineStr">
        <is>
          <t>Soldering</t>
        </is>
      </c>
      <c r="W1706" s="3" t="inlineStr">
        <is>
          <t>Repair</t>
        </is>
      </c>
      <c r="X1706" s="18" t="n">
        <v>46163</v>
      </c>
      <c r="Y1706" s="3">
        <f>X1706-A1706</f>
        <v/>
      </c>
      <c r="Z1706" s="18" t="n">
        <v>46163</v>
      </c>
      <c r="AA1706" s="15" t="n"/>
      <c r="AB1706" s="15" t="n"/>
    </row>
    <row r="1707">
      <c r="A1707" s="37" t="n">
        <v>46143</v>
      </c>
      <c r="B1707" s="3" t="n">
        <v>2026</v>
      </c>
      <c r="C1707" s="26" t="inlineStr">
        <is>
          <t>Yanara Power</t>
        </is>
      </c>
      <c r="D1707" s="3" t="inlineStr">
        <is>
          <t>Utility and C&amp;I</t>
        </is>
      </c>
      <c r="E1707" s="3" t="n"/>
      <c r="F1707" s="3" t="inlineStr">
        <is>
          <t>Closed</t>
        </is>
      </c>
      <c r="G1707" s="9" t="inlineStr">
        <is>
          <t xml:space="preserve">Ashish Jindal </t>
        </is>
      </c>
      <c r="H1707" s="26" t="n">
        <v>9983975581</v>
      </c>
      <c r="I1707" s="38" t="inlineStr">
        <is>
          <t>PE01052601</t>
        </is>
      </c>
      <c r="J1707" s="26" t="inlineStr">
        <is>
          <t>Multiple Issues</t>
        </is>
      </c>
      <c r="K1707" s="39" t="inlineStr">
        <is>
          <t>Holi</t>
        </is>
      </c>
      <c r="L1707" s="39" t="inlineStr">
        <is>
          <t>Maharashtra</t>
        </is>
      </c>
      <c r="M1707" s="46" t="inlineStr">
        <is>
          <t>PS</t>
        </is>
      </c>
      <c r="N1707" s="3" t="inlineStr">
        <is>
          <t>Cold Soldering</t>
        </is>
      </c>
      <c r="O1707" s="56" t="n">
        <v>575</v>
      </c>
      <c r="P1707" s="9" t="inlineStr">
        <is>
          <t>NSMI24070181858</t>
        </is>
      </c>
      <c r="Q1707" s="54">
        <f>MID(P1707,5,2)</f>
        <v/>
      </c>
      <c r="R1707" s="53">
        <f>MID(P1707,7,2)</f>
        <v/>
      </c>
      <c r="S1707" s="3" t="inlineStr">
        <is>
          <t>G2G</t>
        </is>
      </c>
      <c r="T1707" s="3" t="inlineStr">
        <is>
          <t>P4</t>
        </is>
      </c>
      <c r="U1707" s="19" t="inlineStr">
        <is>
          <t>P JB Cold Soldering</t>
        </is>
      </c>
      <c r="V1707" s="19" t="inlineStr">
        <is>
          <t>Soldering</t>
        </is>
      </c>
      <c r="W1707" s="3" t="inlineStr">
        <is>
          <t>Repair</t>
        </is>
      </c>
      <c r="X1707" s="18" t="n">
        <v>46163</v>
      </c>
      <c r="Y1707" s="3">
        <f>X1707-A1707</f>
        <v/>
      </c>
      <c r="Z1707" s="18" t="n">
        <v>46163</v>
      </c>
      <c r="AA1707" s="15" t="n"/>
      <c r="AB1707" s="15" t="n"/>
    </row>
    <row r="1708">
      <c r="A1708" s="37" t="n">
        <v>46143</v>
      </c>
      <c r="B1708" s="3" t="n">
        <v>2026</v>
      </c>
      <c r="C1708" s="26" t="inlineStr">
        <is>
          <t>Yanara Power</t>
        </is>
      </c>
      <c r="D1708" s="3" t="inlineStr">
        <is>
          <t>Utility and C&amp;I</t>
        </is>
      </c>
      <c r="E1708" s="3" t="n"/>
      <c r="F1708" s="3" t="inlineStr">
        <is>
          <t>Closed</t>
        </is>
      </c>
      <c r="G1708" s="9" t="inlineStr">
        <is>
          <t xml:space="preserve">Ashish Jindal </t>
        </is>
      </c>
      <c r="H1708" s="26" t="n">
        <v>9983975581</v>
      </c>
      <c r="I1708" s="38" t="inlineStr">
        <is>
          <t>PE01052601</t>
        </is>
      </c>
      <c r="J1708" s="26" t="inlineStr">
        <is>
          <t>Multiple Issues</t>
        </is>
      </c>
      <c r="K1708" s="39" t="inlineStr">
        <is>
          <t>Holi</t>
        </is>
      </c>
      <c r="L1708" s="39" t="inlineStr">
        <is>
          <t>Maharashtra</t>
        </is>
      </c>
      <c r="M1708" s="46" t="inlineStr">
        <is>
          <t>PS</t>
        </is>
      </c>
      <c r="N1708" s="3" t="inlineStr">
        <is>
          <t>Cold Soldering</t>
        </is>
      </c>
      <c r="O1708" s="56" t="n">
        <v>575</v>
      </c>
      <c r="P1708" s="9" t="inlineStr">
        <is>
          <t>NSMI24070181904</t>
        </is>
      </c>
      <c r="Q1708" s="54">
        <f>MID(P1708,5,2)</f>
        <v/>
      </c>
      <c r="R1708" s="53">
        <f>MID(P1708,7,2)</f>
        <v/>
      </c>
      <c r="S1708" s="3" t="inlineStr">
        <is>
          <t>G2G</t>
        </is>
      </c>
      <c r="T1708" s="3" t="inlineStr">
        <is>
          <t>P4</t>
        </is>
      </c>
      <c r="U1708" s="19" t="inlineStr">
        <is>
          <t>P JB Cold Soldering</t>
        </is>
      </c>
      <c r="V1708" s="19" t="inlineStr">
        <is>
          <t>Soldering</t>
        </is>
      </c>
      <c r="W1708" s="3" t="inlineStr">
        <is>
          <t>Repair</t>
        </is>
      </c>
      <c r="X1708" s="18" t="n">
        <v>46163</v>
      </c>
      <c r="Y1708" s="3">
        <f>X1708-A1708</f>
        <v/>
      </c>
      <c r="Z1708" s="18" t="n">
        <v>46163</v>
      </c>
      <c r="AA1708" s="15" t="n"/>
      <c r="AB1708" s="15" t="n"/>
    </row>
    <row r="1709">
      <c r="A1709" s="37" t="n">
        <v>46143</v>
      </c>
      <c r="B1709" s="3" t="n">
        <v>2026</v>
      </c>
      <c r="C1709" s="26" t="inlineStr">
        <is>
          <t>Yanara Power</t>
        </is>
      </c>
      <c r="D1709" s="3" t="inlineStr">
        <is>
          <t>Utility and C&amp;I</t>
        </is>
      </c>
      <c r="E1709" s="3" t="n"/>
      <c r="F1709" s="3" t="inlineStr">
        <is>
          <t>Closed</t>
        </is>
      </c>
      <c r="G1709" s="9" t="inlineStr">
        <is>
          <t xml:space="preserve">Ashish Jindal </t>
        </is>
      </c>
      <c r="H1709" s="26" t="n">
        <v>9983975581</v>
      </c>
      <c r="I1709" s="38" t="inlineStr">
        <is>
          <t>PE01052601</t>
        </is>
      </c>
      <c r="J1709" s="26" t="inlineStr">
        <is>
          <t>Multiple Issues</t>
        </is>
      </c>
      <c r="K1709" s="39" t="inlineStr">
        <is>
          <t>Holi</t>
        </is>
      </c>
      <c r="L1709" s="39" t="inlineStr">
        <is>
          <t>Maharashtra</t>
        </is>
      </c>
      <c r="M1709" s="46" t="inlineStr">
        <is>
          <t>PS</t>
        </is>
      </c>
      <c r="N1709" s="3" t="inlineStr">
        <is>
          <t>Cold Soldering</t>
        </is>
      </c>
      <c r="O1709" s="56" t="n">
        <v>575</v>
      </c>
      <c r="P1709" s="9" t="inlineStr">
        <is>
          <t>NSMI24070180325</t>
        </is>
      </c>
      <c r="Q1709" s="54">
        <f>MID(P1709,5,2)</f>
        <v/>
      </c>
      <c r="R1709" s="53">
        <f>MID(P1709,7,2)</f>
        <v/>
      </c>
      <c r="S1709" s="3" t="inlineStr">
        <is>
          <t>G2G</t>
        </is>
      </c>
      <c r="T1709" s="3" t="inlineStr">
        <is>
          <t>P4</t>
        </is>
      </c>
      <c r="U1709" s="19" t="inlineStr">
        <is>
          <t>P JB Cold Soldering</t>
        </is>
      </c>
      <c r="V1709" s="19" t="inlineStr">
        <is>
          <t>Soldering</t>
        </is>
      </c>
      <c r="W1709" s="3" t="inlineStr">
        <is>
          <t>Repair</t>
        </is>
      </c>
      <c r="X1709" s="18" t="n">
        <v>46163</v>
      </c>
      <c r="Y1709" s="3">
        <f>X1709-A1709</f>
        <v/>
      </c>
      <c r="Z1709" s="18" t="n">
        <v>46163</v>
      </c>
      <c r="AA1709" s="15" t="n"/>
      <c r="AB1709" s="15" t="n"/>
    </row>
    <row r="1710">
      <c r="A1710" s="37" t="n">
        <v>46143</v>
      </c>
      <c r="B1710" s="3" t="n">
        <v>2026</v>
      </c>
      <c r="C1710" s="26" t="inlineStr">
        <is>
          <t>Yanara Power</t>
        </is>
      </c>
      <c r="D1710" s="3" t="inlineStr">
        <is>
          <t>Utility and C&amp;I</t>
        </is>
      </c>
      <c r="E1710" s="3" t="n"/>
      <c r="F1710" s="3" t="inlineStr">
        <is>
          <t>Closed</t>
        </is>
      </c>
      <c r="G1710" s="9" t="inlineStr">
        <is>
          <t xml:space="preserve">Ashish Jindal </t>
        </is>
      </c>
      <c r="H1710" s="26" t="n">
        <v>9983975581</v>
      </c>
      <c r="I1710" s="38" t="inlineStr">
        <is>
          <t>PE01052601</t>
        </is>
      </c>
      <c r="J1710" s="26" t="inlineStr">
        <is>
          <t>Multiple Issues</t>
        </is>
      </c>
      <c r="K1710" s="39" t="inlineStr">
        <is>
          <t>Holi</t>
        </is>
      </c>
      <c r="L1710" s="39" t="inlineStr">
        <is>
          <t>Maharashtra</t>
        </is>
      </c>
      <c r="M1710" s="46" t="inlineStr">
        <is>
          <t>PS</t>
        </is>
      </c>
      <c r="N1710" s="3" t="inlineStr">
        <is>
          <t>Cold Soldering</t>
        </is>
      </c>
      <c r="O1710" s="56" t="n">
        <v>575</v>
      </c>
      <c r="P1710" s="9" t="inlineStr">
        <is>
          <t>NSMI24070181859</t>
        </is>
      </c>
      <c r="Q1710" s="54">
        <f>MID(P1710,5,2)</f>
        <v/>
      </c>
      <c r="R1710" s="53">
        <f>MID(P1710,7,2)</f>
        <v/>
      </c>
      <c r="S1710" s="3" t="inlineStr">
        <is>
          <t>G2G</t>
        </is>
      </c>
      <c r="T1710" s="3" t="inlineStr">
        <is>
          <t>P4</t>
        </is>
      </c>
      <c r="U1710" s="19" t="inlineStr">
        <is>
          <t>P JB Cold Soldering</t>
        </is>
      </c>
      <c r="V1710" s="19" t="inlineStr">
        <is>
          <t>Soldering</t>
        </is>
      </c>
      <c r="W1710" s="3" t="inlineStr">
        <is>
          <t>Repair</t>
        </is>
      </c>
      <c r="X1710" s="18" t="n">
        <v>46163</v>
      </c>
      <c r="Y1710" s="3">
        <f>X1710-A1710</f>
        <v/>
      </c>
      <c r="Z1710" s="18" t="n">
        <v>46163</v>
      </c>
      <c r="AA1710" s="15" t="n"/>
      <c r="AB1710" s="15" t="n"/>
    </row>
    <row r="1711">
      <c r="A1711" s="37" t="n">
        <v>46143</v>
      </c>
      <c r="B1711" s="3" t="n">
        <v>2026</v>
      </c>
      <c r="C1711" s="26" t="inlineStr">
        <is>
          <t>Yanara Power</t>
        </is>
      </c>
      <c r="D1711" s="3" t="inlineStr">
        <is>
          <t>Utility and C&amp;I</t>
        </is>
      </c>
      <c r="E1711" s="3" t="n"/>
      <c r="F1711" s="3" t="inlineStr">
        <is>
          <t>Closed</t>
        </is>
      </c>
      <c r="G1711" s="9" t="inlineStr">
        <is>
          <t xml:space="preserve">Ashish Jindal </t>
        </is>
      </c>
      <c r="H1711" s="26" t="n">
        <v>9983975581</v>
      </c>
      <c r="I1711" s="38" t="inlineStr">
        <is>
          <t>PE01052601</t>
        </is>
      </c>
      <c r="J1711" s="26" t="inlineStr">
        <is>
          <t>Multiple Issues</t>
        </is>
      </c>
      <c r="K1711" s="39" t="inlineStr">
        <is>
          <t>Holi</t>
        </is>
      </c>
      <c r="L1711" s="39" t="inlineStr">
        <is>
          <t>Maharashtra</t>
        </is>
      </c>
      <c r="M1711" s="46" t="inlineStr">
        <is>
          <t>PS</t>
        </is>
      </c>
      <c r="N1711" s="3" t="inlineStr">
        <is>
          <t>Cold Soldering</t>
        </is>
      </c>
      <c r="O1711" s="56" t="n">
        <v>575</v>
      </c>
      <c r="P1711" s="9" t="inlineStr">
        <is>
          <t>NSMI24070182591</t>
        </is>
      </c>
      <c r="Q1711" s="54">
        <f>MID(P1711,5,2)</f>
        <v/>
      </c>
      <c r="R1711" s="53">
        <f>MID(P1711,7,2)</f>
        <v/>
      </c>
      <c r="S1711" s="3" t="inlineStr">
        <is>
          <t>G2G</t>
        </is>
      </c>
      <c r="T1711" s="3" t="inlineStr">
        <is>
          <t>P4</t>
        </is>
      </c>
      <c r="U1711" s="19" t="inlineStr">
        <is>
          <t>P JB Cold Soldering</t>
        </is>
      </c>
      <c r="V1711" s="19" t="inlineStr">
        <is>
          <t>Soldering</t>
        </is>
      </c>
      <c r="W1711" s="3" t="inlineStr">
        <is>
          <t>Repair</t>
        </is>
      </c>
      <c r="X1711" s="18" t="n">
        <v>46163</v>
      </c>
      <c r="Y1711" s="3">
        <f>X1711-A1711</f>
        <v/>
      </c>
      <c r="Z1711" s="18" t="n">
        <v>46163</v>
      </c>
      <c r="AA1711" s="15" t="n"/>
      <c r="AB1711" s="15" t="n"/>
    </row>
    <row r="1712">
      <c r="A1712" s="37" t="n">
        <v>46143</v>
      </c>
      <c r="B1712" s="3" t="n">
        <v>2026</v>
      </c>
      <c r="C1712" s="26" t="inlineStr">
        <is>
          <t>Yanara Power</t>
        </is>
      </c>
      <c r="D1712" s="3" t="inlineStr">
        <is>
          <t>Utility and C&amp;I</t>
        </is>
      </c>
      <c r="E1712" s="3" t="n"/>
      <c r="F1712" s="3" t="inlineStr">
        <is>
          <t>Closed</t>
        </is>
      </c>
      <c r="G1712" s="9" t="inlineStr">
        <is>
          <t xml:space="preserve">Ashish Jindal </t>
        </is>
      </c>
      <c r="H1712" s="26" t="n">
        <v>9983975581</v>
      </c>
      <c r="I1712" s="38" t="inlineStr">
        <is>
          <t>PE01052601</t>
        </is>
      </c>
      <c r="J1712" s="26" t="inlineStr">
        <is>
          <t>Multiple Issues</t>
        </is>
      </c>
      <c r="K1712" s="39" t="inlineStr">
        <is>
          <t>Holi</t>
        </is>
      </c>
      <c r="L1712" s="39" t="inlineStr">
        <is>
          <t>Maharashtra</t>
        </is>
      </c>
      <c r="M1712" s="46" t="inlineStr">
        <is>
          <t>NS</t>
        </is>
      </c>
      <c r="N1712" s="3" t="inlineStr">
        <is>
          <t>Cold Soldering</t>
        </is>
      </c>
      <c r="O1712" s="56" t="n">
        <v>575</v>
      </c>
      <c r="P1712" s="9" t="inlineStr">
        <is>
          <t>NSMI24070183646</t>
        </is>
      </c>
      <c r="Q1712" s="54">
        <f>MID(P1712,5,2)</f>
        <v/>
      </c>
      <c r="R1712" s="53">
        <f>MID(P1712,7,2)</f>
        <v/>
      </c>
      <c r="S1712" s="3" t="inlineStr">
        <is>
          <t>G2G</t>
        </is>
      </c>
      <c r="T1712" s="3" t="inlineStr">
        <is>
          <t>P4</t>
        </is>
      </c>
      <c r="U1712" s="3" t="inlineStr">
        <is>
          <t>N JB Cold Soldering</t>
        </is>
      </c>
      <c r="V1712" s="3" t="inlineStr">
        <is>
          <t>Soldering</t>
        </is>
      </c>
      <c r="W1712" s="3" t="inlineStr">
        <is>
          <t>Repair</t>
        </is>
      </c>
      <c r="X1712" s="18" t="n">
        <v>46163</v>
      </c>
      <c r="Y1712" s="3">
        <f>X1712-A1712</f>
        <v/>
      </c>
      <c r="Z1712" s="18" t="n">
        <v>46163</v>
      </c>
      <c r="AA1712" s="15" t="n"/>
      <c r="AB1712" s="15" t="n"/>
    </row>
    <row r="1713">
      <c r="A1713" s="37" t="n">
        <v>46143</v>
      </c>
      <c r="B1713" s="3" t="n">
        <v>2026</v>
      </c>
      <c r="C1713" s="26" t="inlineStr">
        <is>
          <t>Yanara Power</t>
        </is>
      </c>
      <c r="D1713" s="3" t="inlineStr">
        <is>
          <t>Utility and C&amp;I</t>
        </is>
      </c>
      <c r="E1713" s="3" t="n"/>
      <c r="F1713" s="3" t="inlineStr">
        <is>
          <t>Closed</t>
        </is>
      </c>
      <c r="G1713" s="9" t="inlineStr">
        <is>
          <t xml:space="preserve">Ashish Jindal </t>
        </is>
      </c>
      <c r="H1713" s="26" t="n">
        <v>9983975581</v>
      </c>
      <c r="I1713" s="38" t="inlineStr">
        <is>
          <t>PE01052601</t>
        </is>
      </c>
      <c r="J1713" s="26" t="inlineStr">
        <is>
          <t>Multiple Issues</t>
        </is>
      </c>
      <c r="K1713" s="39" t="inlineStr">
        <is>
          <t>Holi</t>
        </is>
      </c>
      <c r="L1713" s="39" t="inlineStr">
        <is>
          <t>Maharashtra</t>
        </is>
      </c>
      <c r="M1713" s="46" t="inlineStr">
        <is>
          <t>PS</t>
        </is>
      </c>
      <c r="N1713" s="3" t="inlineStr">
        <is>
          <t>Cold Soldering</t>
        </is>
      </c>
      <c r="O1713" s="56" t="n">
        <v>575</v>
      </c>
      <c r="P1713" s="9" t="inlineStr">
        <is>
          <t>NSMI24070177925</t>
        </is>
      </c>
      <c r="Q1713" s="54">
        <f>MID(P1713,5,2)</f>
        <v/>
      </c>
      <c r="R1713" s="53">
        <f>MID(P1713,7,2)</f>
        <v/>
      </c>
      <c r="S1713" s="3" t="inlineStr">
        <is>
          <t>G2G</t>
        </is>
      </c>
      <c r="T1713" s="3" t="inlineStr">
        <is>
          <t>P4</t>
        </is>
      </c>
      <c r="U1713" s="19" t="inlineStr">
        <is>
          <t>P JB Cold Soldering</t>
        </is>
      </c>
      <c r="V1713" s="19" t="inlineStr">
        <is>
          <t>Soldering</t>
        </is>
      </c>
      <c r="W1713" s="3" t="inlineStr">
        <is>
          <t>Repair</t>
        </is>
      </c>
      <c r="X1713" s="18" t="n">
        <v>46163</v>
      </c>
      <c r="Y1713" s="3">
        <f>X1713-A1713</f>
        <v/>
      </c>
      <c r="Z1713" s="18" t="n">
        <v>46163</v>
      </c>
      <c r="AA1713" s="15" t="n"/>
      <c r="AB1713" s="15" t="n"/>
    </row>
    <row r="1714">
      <c r="A1714" s="37" t="n">
        <v>46143</v>
      </c>
      <c r="B1714" s="3" t="n">
        <v>2026</v>
      </c>
      <c r="C1714" s="26" t="inlineStr">
        <is>
          <t>Yanara Power</t>
        </is>
      </c>
      <c r="D1714" s="3" t="inlineStr">
        <is>
          <t>Utility and C&amp;I</t>
        </is>
      </c>
      <c r="E1714" s="3" t="n"/>
      <c r="F1714" s="3" t="inlineStr">
        <is>
          <t>Closed</t>
        </is>
      </c>
      <c r="G1714" s="9" t="inlineStr">
        <is>
          <t xml:space="preserve">Ashish Jindal </t>
        </is>
      </c>
      <c r="H1714" s="26" t="n">
        <v>9983975581</v>
      </c>
      <c r="I1714" s="38" t="inlineStr">
        <is>
          <t>PE01052601</t>
        </is>
      </c>
      <c r="J1714" s="26" t="inlineStr">
        <is>
          <t>Multiple Issues</t>
        </is>
      </c>
      <c r="K1714" s="39" t="inlineStr">
        <is>
          <t>Holi</t>
        </is>
      </c>
      <c r="L1714" s="39" t="inlineStr">
        <is>
          <t>Maharashtra</t>
        </is>
      </c>
      <c r="M1714" s="46" t="inlineStr">
        <is>
          <t>PS</t>
        </is>
      </c>
      <c r="N1714" s="3" t="inlineStr">
        <is>
          <t>Cold Soldering</t>
        </is>
      </c>
      <c r="O1714" s="56" t="n">
        <v>575</v>
      </c>
      <c r="P1714" s="9" t="inlineStr">
        <is>
          <t>NSMI24070181778</t>
        </is>
      </c>
      <c r="Q1714" s="54">
        <f>MID(P1714,5,2)</f>
        <v/>
      </c>
      <c r="R1714" s="53">
        <f>MID(P1714,7,2)</f>
        <v/>
      </c>
      <c r="S1714" s="3" t="inlineStr">
        <is>
          <t>G2G</t>
        </is>
      </c>
      <c r="T1714" s="3" t="inlineStr">
        <is>
          <t>P4</t>
        </is>
      </c>
      <c r="U1714" s="19" t="inlineStr">
        <is>
          <t>P JB Cold Soldering</t>
        </is>
      </c>
      <c r="V1714" s="19" t="inlineStr">
        <is>
          <t>Soldering</t>
        </is>
      </c>
      <c r="W1714" s="3" t="inlineStr">
        <is>
          <t>Repair</t>
        </is>
      </c>
      <c r="X1714" s="18" t="n">
        <v>46163</v>
      </c>
      <c r="Y1714" s="3">
        <f>X1714-A1714</f>
        <v/>
      </c>
      <c r="Z1714" s="18" t="n">
        <v>46163</v>
      </c>
      <c r="AA1714" s="15" t="n"/>
      <c r="AB1714" s="15" t="n"/>
    </row>
    <row r="1715">
      <c r="A1715" s="37" t="n">
        <v>46143</v>
      </c>
      <c r="B1715" s="3" t="n">
        <v>2026</v>
      </c>
      <c r="C1715" s="26" t="inlineStr">
        <is>
          <t>Yanara Power</t>
        </is>
      </c>
      <c r="D1715" s="3" t="inlineStr">
        <is>
          <t>Utility and C&amp;I</t>
        </is>
      </c>
      <c r="E1715" s="3" t="n"/>
      <c r="F1715" s="3" t="inlineStr">
        <is>
          <t>Closed</t>
        </is>
      </c>
      <c r="G1715" s="9" t="inlineStr">
        <is>
          <t xml:space="preserve">Ashish Jindal </t>
        </is>
      </c>
      <c r="H1715" s="26" t="n">
        <v>9983975581</v>
      </c>
      <c r="I1715" s="38" t="inlineStr">
        <is>
          <t>PE01052601</t>
        </is>
      </c>
      <c r="J1715" s="26" t="inlineStr">
        <is>
          <t>Multiple Issues</t>
        </is>
      </c>
      <c r="K1715" s="39" t="inlineStr">
        <is>
          <t>Holi</t>
        </is>
      </c>
      <c r="L1715" s="39" t="inlineStr">
        <is>
          <t>Maharashtra</t>
        </is>
      </c>
      <c r="M1715" s="46" t="inlineStr">
        <is>
          <t>PS</t>
        </is>
      </c>
      <c r="N1715" s="3" t="inlineStr">
        <is>
          <t>Cold Soldering</t>
        </is>
      </c>
      <c r="O1715" s="56" t="n">
        <v>575</v>
      </c>
      <c r="P1715" s="9" t="inlineStr">
        <is>
          <t>NSMI24070181925</t>
        </is>
      </c>
      <c r="Q1715" s="54">
        <f>MID(P1715,5,2)</f>
        <v/>
      </c>
      <c r="R1715" s="53">
        <f>MID(P1715,7,2)</f>
        <v/>
      </c>
      <c r="S1715" s="3" t="inlineStr">
        <is>
          <t>G2G</t>
        </is>
      </c>
      <c r="T1715" s="3" t="inlineStr">
        <is>
          <t>P4</t>
        </is>
      </c>
      <c r="U1715" s="19" t="inlineStr">
        <is>
          <t>P JB Cold Soldering</t>
        </is>
      </c>
      <c r="V1715" s="19" t="inlineStr">
        <is>
          <t>Soldering</t>
        </is>
      </c>
      <c r="W1715" s="3" t="inlineStr">
        <is>
          <t>Repair</t>
        </is>
      </c>
      <c r="X1715" s="18" t="n">
        <v>46163</v>
      </c>
      <c r="Y1715" s="3">
        <f>X1715-A1715</f>
        <v/>
      </c>
      <c r="Z1715" s="18" t="n">
        <v>46163</v>
      </c>
      <c r="AA1715" s="15" t="n"/>
      <c r="AB1715" s="15" t="n"/>
    </row>
    <row r="1716">
      <c r="A1716" s="37" t="n">
        <v>46143</v>
      </c>
      <c r="B1716" s="3" t="n">
        <v>2026</v>
      </c>
      <c r="C1716" s="26" t="inlineStr">
        <is>
          <t>Yanara Power</t>
        </is>
      </c>
      <c r="D1716" s="3" t="inlineStr">
        <is>
          <t>Utility and C&amp;I</t>
        </is>
      </c>
      <c r="E1716" s="3" t="n"/>
      <c r="F1716" s="3" t="inlineStr">
        <is>
          <t>Closed</t>
        </is>
      </c>
      <c r="G1716" s="9" t="inlineStr">
        <is>
          <t xml:space="preserve">Ashish Jindal </t>
        </is>
      </c>
      <c r="H1716" s="26" t="n">
        <v>9983975581</v>
      </c>
      <c r="I1716" s="38" t="inlineStr">
        <is>
          <t>PE01052601</t>
        </is>
      </c>
      <c r="J1716" s="26" t="inlineStr">
        <is>
          <t>Multiple Issues</t>
        </is>
      </c>
      <c r="K1716" s="39" t="inlineStr">
        <is>
          <t>Holi</t>
        </is>
      </c>
      <c r="L1716" s="39" t="inlineStr">
        <is>
          <t>Maharashtra</t>
        </is>
      </c>
      <c r="M1716" s="46" t="inlineStr">
        <is>
          <t>OK</t>
        </is>
      </c>
      <c r="N1716" s="3" t="inlineStr">
        <is>
          <t>No Issue</t>
        </is>
      </c>
      <c r="O1716" s="56" t="n">
        <v>575</v>
      </c>
      <c r="P1716" s="9" t="inlineStr">
        <is>
          <t>NSMI24070180850</t>
        </is>
      </c>
      <c r="Q1716" s="54">
        <f>MID(P1716,5,2)</f>
        <v/>
      </c>
      <c r="R1716" s="53">
        <f>MID(P1716,7,2)</f>
        <v/>
      </c>
      <c r="S1716" s="3" t="inlineStr">
        <is>
          <t>G2G</t>
        </is>
      </c>
      <c r="T1716" s="3" t="inlineStr">
        <is>
          <t>P4</t>
        </is>
      </c>
      <c r="U1716" s="19" t="inlineStr">
        <is>
          <t>No Issue Found</t>
        </is>
      </c>
      <c r="V1716" s="19" t="inlineStr">
        <is>
          <t>Found OK</t>
        </is>
      </c>
      <c r="W1716" s="3" t="inlineStr">
        <is>
          <t>Repair</t>
        </is>
      </c>
      <c r="X1716" s="18" t="n">
        <v>46163</v>
      </c>
      <c r="Y1716" s="3">
        <f>X1716-A1716</f>
        <v/>
      </c>
      <c r="Z1716" s="18" t="n">
        <v>46163</v>
      </c>
      <c r="AA1716" s="15" t="n"/>
      <c r="AB1716" s="15" t="n"/>
    </row>
    <row r="1717">
      <c r="A1717" s="37" t="n">
        <v>46143</v>
      </c>
      <c r="B1717" s="3" t="n">
        <v>2026</v>
      </c>
      <c r="C1717" s="26" t="inlineStr">
        <is>
          <t>Yanara Power</t>
        </is>
      </c>
      <c r="D1717" s="3" t="inlineStr">
        <is>
          <t>Utility and C&amp;I</t>
        </is>
      </c>
      <c r="E1717" s="3" t="n"/>
      <c r="F1717" s="3" t="inlineStr">
        <is>
          <t>Closed</t>
        </is>
      </c>
      <c r="G1717" s="9" t="inlineStr">
        <is>
          <t xml:space="preserve">Ashish Jindal </t>
        </is>
      </c>
      <c r="H1717" s="26" t="n">
        <v>9983975581</v>
      </c>
      <c r="I1717" s="38" t="inlineStr">
        <is>
          <t>PE01052601</t>
        </is>
      </c>
      <c r="J1717" s="26" t="inlineStr">
        <is>
          <t>Multiple Issues</t>
        </is>
      </c>
      <c r="K1717" s="39" t="inlineStr">
        <is>
          <t>Holi</t>
        </is>
      </c>
      <c r="L1717" s="39" t="inlineStr">
        <is>
          <t>Maharashtra</t>
        </is>
      </c>
      <c r="M1717" s="46" t="inlineStr">
        <is>
          <t>OK</t>
        </is>
      </c>
      <c r="N1717" s="3" t="inlineStr">
        <is>
          <t>No Issue</t>
        </is>
      </c>
      <c r="O1717" s="56" t="n">
        <v>575</v>
      </c>
      <c r="P1717" s="9" t="inlineStr">
        <is>
          <t>NSMI24070184693</t>
        </is>
      </c>
      <c r="Q1717" s="54">
        <f>MID(P1717,5,2)</f>
        <v/>
      </c>
      <c r="R1717" s="53">
        <f>MID(P1717,7,2)</f>
        <v/>
      </c>
      <c r="S1717" s="3" t="inlineStr">
        <is>
          <t>G2G</t>
        </is>
      </c>
      <c r="T1717" s="3" t="inlineStr">
        <is>
          <t>P4</t>
        </is>
      </c>
      <c r="U1717" s="19" t="inlineStr">
        <is>
          <t>No Issue Found</t>
        </is>
      </c>
      <c r="V1717" s="19" t="inlineStr">
        <is>
          <t>Found OK</t>
        </is>
      </c>
      <c r="W1717" s="3" t="inlineStr">
        <is>
          <t>Repair</t>
        </is>
      </c>
      <c r="X1717" s="18" t="n">
        <v>46163</v>
      </c>
      <c r="Y1717" s="3">
        <f>X1717-A1717</f>
        <v/>
      </c>
      <c r="Z1717" s="18" t="n">
        <v>46163</v>
      </c>
      <c r="AA1717" s="15" t="n"/>
      <c r="AB1717" s="15" t="n"/>
    </row>
    <row r="1718">
      <c r="A1718" s="37" t="n">
        <v>46143</v>
      </c>
      <c r="B1718" s="3" t="n">
        <v>2026</v>
      </c>
      <c r="C1718" s="26" t="inlineStr">
        <is>
          <t>Yanara Power</t>
        </is>
      </c>
      <c r="D1718" s="3" t="inlineStr">
        <is>
          <t>Utility and C&amp;I</t>
        </is>
      </c>
      <c r="E1718" s="3" t="n"/>
      <c r="F1718" s="3" t="inlineStr">
        <is>
          <t>Closed</t>
        </is>
      </c>
      <c r="G1718" s="9" t="inlineStr">
        <is>
          <t xml:space="preserve">Ashish Jindal </t>
        </is>
      </c>
      <c r="H1718" s="26" t="n">
        <v>9983975581</v>
      </c>
      <c r="I1718" s="38" t="inlineStr">
        <is>
          <t>PE01052601</t>
        </is>
      </c>
      <c r="J1718" s="26" t="inlineStr">
        <is>
          <t>Multiple Issues</t>
        </is>
      </c>
      <c r="K1718" s="39" t="inlineStr">
        <is>
          <t>Holi</t>
        </is>
      </c>
      <c r="L1718" s="39" t="inlineStr">
        <is>
          <t>Maharashtra</t>
        </is>
      </c>
      <c r="M1718" s="46" t="inlineStr">
        <is>
          <t>PS</t>
        </is>
      </c>
      <c r="N1718" s="3" t="inlineStr">
        <is>
          <t>Cold Soldering</t>
        </is>
      </c>
      <c r="O1718" s="56" t="n">
        <v>575</v>
      </c>
      <c r="P1718" s="9" t="inlineStr">
        <is>
          <t>NSMI24070176853</t>
        </is>
      </c>
      <c r="Q1718" s="54">
        <f>MID(P1718,5,2)</f>
        <v/>
      </c>
      <c r="R1718" s="53">
        <f>MID(P1718,7,2)</f>
        <v/>
      </c>
      <c r="S1718" s="3" t="inlineStr">
        <is>
          <t>G2G</t>
        </is>
      </c>
      <c r="T1718" s="3" t="inlineStr">
        <is>
          <t>P4</t>
        </is>
      </c>
      <c r="U1718" s="19" t="inlineStr">
        <is>
          <t>P JB Cold Soldering</t>
        </is>
      </c>
      <c r="V1718" s="19" t="inlineStr">
        <is>
          <t>Soldering</t>
        </is>
      </c>
      <c r="W1718" s="3" t="inlineStr">
        <is>
          <t>Repair</t>
        </is>
      </c>
      <c r="X1718" s="18" t="n">
        <v>46163</v>
      </c>
      <c r="Y1718" s="3">
        <f>X1718-A1718</f>
        <v/>
      </c>
      <c r="Z1718" s="18" t="n">
        <v>46163</v>
      </c>
      <c r="AA1718" s="15" t="n"/>
      <c r="AB1718" s="15" t="n"/>
    </row>
    <row r="1719">
      <c r="A1719" s="37" t="n">
        <v>46143</v>
      </c>
      <c r="B1719" s="3" t="n">
        <v>2026</v>
      </c>
      <c r="C1719" s="26" t="inlineStr">
        <is>
          <t>Yanara Power</t>
        </is>
      </c>
      <c r="D1719" s="3" t="inlineStr">
        <is>
          <t>Utility and C&amp;I</t>
        </is>
      </c>
      <c r="E1719" s="3" t="n"/>
      <c r="F1719" s="3" t="inlineStr">
        <is>
          <t>Closed</t>
        </is>
      </c>
      <c r="G1719" s="9" t="inlineStr">
        <is>
          <t xml:space="preserve">Ashish Jindal </t>
        </is>
      </c>
      <c r="H1719" s="26" t="n">
        <v>9983975581</v>
      </c>
      <c r="I1719" s="38" t="inlineStr">
        <is>
          <t>PE01052601</t>
        </is>
      </c>
      <c r="J1719" s="26" t="inlineStr">
        <is>
          <t>Multiple Issues</t>
        </is>
      </c>
      <c r="K1719" s="39" t="inlineStr">
        <is>
          <t>Holi</t>
        </is>
      </c>
      <c r="L1719" s="39" t="inlineStr">
        <is>
          <t>Maharashtra</t>
        </is>
      </c>
      <c r="M1719" s="46" t="inlineStr">
        <is>
          <t>PS</t>
        </is>
      </c>
      <c r="N1719" s="3" t="inlineStr">
        <is>
          <t>Cold Soldering</t>
        </is>
      </c>
      <c r="O1719" s="56" t="n">
        <v>575</v>
      </c>
      <c r="P1719" s="9" t="inlineStr">
        <is>
          <t>NSMI24070176859</t>
        </is>
      </c>
      <c r="Q1719" s="54">
        <f>MID(P1719,5,2)</f>
        <v/>
      </c>
      <c r="R1719" s="53">
        <f>MID(P1719,7,2)</f>
        <v/>
      </c>
      <c r="S1719" s="3" t="inlineStr">
        <is>
          <t>G2G</t>
        </is>
      </c>
      <c r="T1719" s="3" t="inlineStr">
        <is>
          <t>P4</t>
        </is>
      </c>
      <c r="U1719" s="19" t="inlineStr">
        <is>
          <t>P JB Cold Soldering</t>
        </is>
      </c>
      <c r="V1719" s="19" t="inlineStr">
        <is>
          <t>Soldering</t>
        </is>
      </c>
      <c r="W1719" s="3" t="inlineStr">
        <is>
          <t>Repair</t>
        </is>
      </c>
      <c r="X1719" s="18" t="n">
        <v>46163</v>
      </c>
      <c r="Y1719" s="3">
        <f>X1719-A1719</f>
        <v/>
      </c>
      <c r="Z1719" s="18" t="n">
        <v>46163</v>
      </c>
      <c r="AA1719" s="15" t="n"/>
      <c r="AB1719" s="15" t="n"/>
    </row>
    <row r="1720">
      <c r="A1720" s="37" t="n">
        <v>46143</v>
      </c>
      <c r="B1720" s="3" t="n">
        <v>2026</v>
      </c>
      <c r="C1720" s="26" t="inlineStr">
        <is>
          <t>Yanara Power</t>
        </is>
      </c>
      <c r="D1720" s="3" t="inlineStr">
        <is>
          <t>Utility and C&amp;I</t>
        </is>
      </c>
      <c r="E1720" s="3" t="n"/>
      <c r="F1720" s="3" t="inlineStr">
        <is>
          <t>Closed</t>
        </is>
      </c>
      <c r="G1720" s="9" t="inlineStr">
        <is>
          <t xml:space="preserve">Ashish Jindal </t>
        </is>
      </c>
      <c r="H1720" s="26" t="n">
        <v>9983975581</v>
      </c>
      <c r="I1720" s="38" t="inlineStr">
        <is>
          <t>PE01052601</t>
        </is>
      </c>
      <c r="J1720" s="26" t="inlineStr">
        <is>
          <t>Multiple Issues</t>
        </is>
      </c>
      <c r="K1720" s="39" t="inlineStr">
        <is>
          <t>Holi</t>
        </is>
      </c>
      <c r="L1720" s="39" t="inlineStr">
        <is>
          <t>Maharashtra</t>
        </is>
      </c>
      <c r="M1720" s="46" t="inlineStr">
        <is>
          <t>PS</t>
        </is>
      </c>
      <c r="N1720" s="3" t="inlineStr">
        <is>
          <t>Cold Soldering</t>
        </is>
      </c>
      <c r="O1720" s="56" t="n">
        <v>575</v>
      </c>
      <c r="P1720" s="9" t="inlineStr">
        <is>
          <t>NSMI24070181971</t>
        </is>
      </c>
      <c r="Q1720" s="54">
        <f>MID(P1720,5,2)</f>
        <v/>
      </c>
      <c r="R1720" s="53">
        <f>MID(P1720,7,2)</f>
        <v/>
      </c>
      <c r="S1720" s="3" t="inlineStr">
        <is>
          <t>G2G</t>
        </is>
      </c>
      <c r="T1720" s="3" t="inlineStr">
        <is>
          <t>P4</t>
        </is>
      </c>
      <c r="U1720" s="19" t="inlineStr">
        <is>
          <t>P JB Cold Soldering</t>
        </is>
      </c>
      <c r="V1720" s="19" t="inlineStr">
        <is>
          <t>Soldering</t>
        </is>
      </c>
      <c r="W1720" s="3" t="inlineStr">
        <is>
          <t>Repair</t>
        </is>
      </c>
      <c r="X1720" s="18" t="n">
        <v>46163</v>
      </c>
      <c r="Y1720" s="3">
        <f>X1720-A1720</f>
        <v/>
      </c>
      <c r="Z1720" s="18" t="n">
        <v>46163</v>
      </c>
      <c r="AA1720" s="15" t="n"/>
      <c r="AB1720" s="15" t="n"/>
    </row>
    <row r="1721">
      <c r="A1721" s="37" t="n">
        <v>46143</v>
      </c>
      <c r="B1721" s="3" t="n">
        <v>2026</v>
      </c>
      <c r="C1721" s="26" t="inlineStr">
        <is>
          <t>Yanara Power</t>
        </is>
      </c>
      <c r="D1721" s="3" t="inlineStr">
        <is>
          <t>Utility and C&amp;I</t>
        </is>
      </c>
      <c r="E1721" s="3" t="n"/>
      <c r="F1721" s="3" t="inlineStr">
        <is>
          <t>Closed</t>
        </is>
      </c>
      <c r="G1721" s="9" t="inlineStr">
        <is>
          <t xml:space="preserve">Ashish Jindal </t>
        </is>
      </c>
      <c r="H1721" s="26" t="n">
        <v>9983975581</v>
      </c>
      <c r="I1721" s="38" t="inlineStr">
        <is>
          <t>PE01052601</t>
        </is>
      </c>
      <c r="J1721" s="26" t="inlineStr">
        <is>
          <t>Multiple Issues</t>
        </is>
      </c>
      <c r="K1721" s="39" t="inlineStr">
        <is>
          <t>Holi</t>
        </is>
      </c>
      <c r="L1721" s="39" t="inlineStr">
        <is>
          <t>Maharashtra</t>
        </is>
      </c>
      <c r="M1721" s="46" t="inlineStr">
        <is>
          <t>PS</t>
        </is>
      </c>
      <c r="N1721" s="3" t="inlineStr">
        <is>
          <t>Cold Soldering</t>
        </is>
      </c>
      <c r="O1721" s="56" t="n">
        <v>575</v>
      </c>
      <c r="P1721" s="9" t="inlineStr">
        <is>
          <t>NSMI24070182076</t>
        </is>
      </c>
      <c r="Q1721" s="54">
        <f>MID(P1721,5,2)</f>
        <v/>
      </c>
      <c r="R1721" s="53">
        <f>MID(P1721,7,2)</f>
        <v/>
      </c>
      <c r="S1721" s="3" t="inlineStr">
        <is>
          <t>G2G</t>
        </is>
      </c>
      <c r="T1721" s="3" t="inlineStr">
        <is>
          <t>P4</t>
        </is>
      </c>
      <c r="U1721" s="19" t="inlineStr">
        <is>
          <t>P JB Cold Soldering</t>
        </is>
      </c>
      <c r="V1721" s="19" t="inlineStr">
        <is>
          <t>Soldering</t>
        </is>
      </c>
      <c r="W1721" s="3" t="inlineStr">
        <is>
          <t>Repair</t>
        </is>
      </c>
      <c r="X1721" s="18" t="n">
        <v>46163</v>
      </c>
      <c r="Y1721" s="3">
        <f>X1721-A1721</f>
        <v/>
      </c>
      <c r="Z1721" s="18" t="n">
        <v>46163</v>
      </c>
      <c r="AA1721" s="15" t="n"/>
      <c r="AB1721" s="15" t="n"/>
    </row>
    <row r="1722">
      <c r="A1722" s="37" t="n">
        <v>46143</v>
      </c>
      <c r="B1722" s="3" t="n">
        <v>2026</v>
      </c>
      <c r="C1722" s="26" t="inlineStr">
        <is>
          <t>Yanara Power</t>
        </is>
      </c>
      <c r="D1722" s="3" t="inlineStr">
        <is>
          <t>Utility and C&amp;I</t>
        </is>
      </c>
      <c r="E1722" s="3" t="n"/>
      <c r="F1722" s="3" t="inlineStr">
        <is>
          <t>Closed</t>
        </is>
      </c>
      <c r="G1722" s="9" t="inlineStr">
        <is>
          <t xml:space="preserve">Ashish Jindal </t>
        </is>
      </c>
      <c r="H1722" s="26" t="n">
        <v>9983975581</v>
      </c>
      <c r="I1722" s="38" t="inlineStr">
        <is>
          <t>PE01052601</t>
        </is>
      </c>
      <c r="J1722" s="26" t="inlineStr">
        <is>
          <t>Multiple Issues</t>
        </is>
      </c>
      <c r="K1722" s="39" t="inlineStr">
        <is>
          <t>Holi</t>
        </is>
      </c>
      <c r="L1722" s="39" t="inlineStr">
        <is>
          <t>Maharashtra</t>
        </is>
      </c>
      <c r="M1722" s="46" t="inlineStr">
        <is>
          <t>PS</t>
        </is>
      </c>
      <c r="N1722" s="3" t="inlineStr">
        <is>
          <t>Cold Soldering</t>
        </is>
      </c>
      <c r="O1722" s="56" t="n">
        <v>575</v>
      </c>
      <c r="P1722" s="9" t="inlineStr">
        <is>
          <t>NSMI24070181821</t>
        </is>
      </c>
      <c r="Q1722" s="54">
        <f>MID(P1722,5,2)</f>
        <v/>
      </c>
      <c r="R1722" s="53">
        <f>MID(P1722,7,2)</f>
        <v/>
      </c>
      <c r="S1722" s="3" t="inlineStr">
        <is>
          <t>G2G</t>
        </is>
      </c>
      <c r="T1722" s="3" t="inlineStr">
        <is>
          <t>P4</t>
        </is>
      </c>
      <c r="U1722" s="19" t="inlineStr">
        <is>
          <t>P JB Cold Soldering</t>
        </is>
      </c>
      <c r="V1722" s="19" t="inlineStr">
        <is>
          <t>Soldering</t>
        </is>
      </c>
      <c r="W1722" s="3" t="inlineStr">
        <is>
          <t>Repair</t>
        </is>
      </c>
      <c r="X1722" s="18" t="n">
        <v>46163</v>
      </c>
      <c r="Y1722" s="3">
        <f>X1722-A1722</f>
        <v/>
      </c>
      <c r="Z1722" s="18" t="n">
        <v>46163</v>
      </c>
      <c r="AA1722" s="15" t="n"/>
      <c r="AB1722" s="15" t="n"/>
    </row>
    <row r="1723">
      <c r="A1723" s="37" t="n">
        <v>46143</v>
      </c>
      <c r="B1723" s="3" t="n">
        <v>2026</v>
      </c>
      <c r="C1723" s="26" t="inlineStr">
        <is>
          <t>Yanara Power</t>
        </is>
      </c>
      <c r="D1723" s="3" t="inlineStr">
        <is>
          <t>Utility and C&amp;I</t>
        </is>
      </c>
      <c r="E1723" s="3" t="n"/>
      <c r="F1723" s="3" t="inlineStr">
        <is>
          <t>Closed</t>
        </is>
      </c>
      <c r="G1723" s="9" t="inlineStr">
        <is>
          <t xml:space="preserve">Ashish Jindal </t>
        </is>
      </c>
      <c r="H1723" s="26" t="n">
        <v>9983975581</v>
      </c>
      <c r="I1723" s="38" t="inlineStr">
        <is>
          <t>PE01052601</t>
        </is>
      </c>
      <c r="J1723" s="26" t="inlineStr">
        <is>
          <t>Multiple Issues</t>
        </is>
      </c>
      <c r="K1723" s="39" t="inlineStr">
        <is>
          <t>Holi</t>
        </is>
      </c>
      <c r="L1723" s="39" t="inlineStr">
        <is>
          <t>Maharashtra</t>
        </is>
      </c>
      <c r="M1723" s="46" t="inlineStr">
        <is>
          <t>PS</t>
        </is>
      </c>
      <c r="N1723" s="3" t="inlineStr">
        <is>
          <t>Cold Soldering</t>
        </is>
      </c>
      <c r="O1723" s="56" t="n">
        <v>575</v>
      </c>
      <c r="P1723" s="9" t="inlineStr">
        <is>
          <t>NSMI24070182545</t>
        </is>
      </c>
      <c r="Q1723" s="54">
        <f>MID(P1723,5,2)</f>
        <v/>
      </c>
      <c r="R1723" s="53">
        <f>MID(P1723,7,2)</f>
        <v/>
      </c>
      <c r="S1723" s="3" t="inlineStr">
        <is>
          <t>G2G</t>
        </is>
      </c>
      <c r="T1723" s="3" t="inlineStr">
        <is>
          <t>P4</t>
        </is>
      </c>
      <c r="U1723" s="19" t="inlineStr">
        <is>
          <t>P JB Cold Soldering</t>
        </is>
      </c>
      <c r="V1723" s="19" t="inlineStr">
        <is>
          <t>Soldering</t>
        </is>
      </c>
      <c r="W1723" s="3" t="inlineStr">
        <is>
          <t>Repair</t>
        </is>
      </c>
      <c r="X1723" s="18" t="n">
        <v>46163</v>
      </c>
      <c r="Y1723" s="3">
        <f>X1723-A1723</f>
        <v/>
      </c>
      <c r="Z1723" s="18" t="n">
        <v>46163</v>
      </c>
      <c r="AA1723" s="15" t="n"/>
      <c r="AB1723" s="15" t="n"/>
    </row>
    <row r="1724">
      <c r="A1724" s="37" t="n">
        <v>46143</v>
      </c>
      <c r="B1724" s="3" t="n">
        <v>2026</v>
      </c>
      <c r="C1724" s="26" t="inlineStr">
        <is>
          <t>Yanara Power</t>
        </is>
      </c>
      <c r="D1724" s="3" t="inlineStr">
        <is>
          <t>Utility and C&amp;I</t>
        </is>
      </c>
      <c r="E1724" s="3" t="n"/>
      <c r="F1724" s="3" t="inlineStr">
        <is>
          <t>Closed</t>
        </is>
      </c>
      <c r="G1724" s="9" t="inlineStr">
        <is>
          <t xml:space="preserve">Ashish Jindal </t>
        </is>
      </c>
      <c r="H1724" s="26" t="n">
        <v>9983975581</v>
      </c>
      <c r="I1724" s="38" t="inlineStr">
        <is>
          <t>PE01052601</t>
        </is>
      </c>
      <c r="J1724" s="26" t="inlineStr">
        <is>
          <t>Multiple Issues</t>
        </is>
      </c>
      <c r="K1724" s="39" t="inlineStr">
        <is>
          <t>Holi</t>
        </is>
      </c>
      <c r="L1724" s="39" t="inlineStr">
        <is>
          <t>Maharashtra</t>
        </is>
      </c>
      <c r="M1724" s="46" t="inlineStr">
        <is>
          <t>PS</t>
        </is>
      </c>
      <c r="N1724" s="3" t="inlineStr">
        <is>
          <t>Cold Soldering</t>
        </is>
      </c>
      <c r="O1724" s="56" t="n">
        <v>575</v>
      </c>
      <c r="P1724" s="9" t="inlineStr">
        <is>
          <t>NSMI24070180566</t>
        </is>
      </c>
      <c r="Q1724" s="54">
        <f>MID(P1724,5,2)</f>
        <v/>
      </c>
      <c r="R1724" s="53">
        <f>MID(P1724,7,2)</f>
        <v/>
      </c>
      <c r="S1724" s="3" t="inlineStr">
        <is>
          <t>G2G</t>
        </is>
      </c>
      <c r="T1724" s="3" t="inlineStr">
        <is>
          <t>P4</t>
        </is>
      </c>
      <c r="U1724" s="19" t="inlineStr">
        <is>
          <t>P JB Cold Soldering</t>
        </is>
      </c>
      <c r="V1724" s="19" t="inlineStr">
        <is>
          <t>Soldering</t>
        </is>
      </c>
      <c r="W1724" s="3" t="inlineStr">
        <is>
          <t>Repair</t>
        </is>
      </c>
      <c r="X1724" s="18" t="n">
        <v>46163</v>
      </c>
      <c r="Y1724" s="3">
        <f>X1724-A1724</f>
        <v/>
      </c>
      <c r="Z1724" s="18" t="n">
        <v>46163</v>
      </c>
      <c r="AA1724" s="15" t="n"/>
      <c r="AB1724" s="15" t="n"/>
    </row>
    <row r="1725">
      <c r="A1725" s="37" t="n">
        <v>46143</v>
      </c>
      <c r="B1725" s="3" t="n">
        <v>2026</v>
      </c>
      <c r="C1725" s="26" t="inlineStr">
        <is>
          <t>Yanara Power</t>
        </is>
      </c>
      <c r="D1725" s="3" t="inlineStr">
        <is>
          <t>Utility and C&amp;I</t>
        </is>
      </c>
      <c r="E1725" s="3" t="n"/>
      <c r="F1725" s="3" t="inlineStr">
        <is>
          <t>Closed</t>
        </is>
      </c>
      <c r="G1725" s="9" t="inlineStr">
        <is>
          <t xml:space="preserve">Ashish Jindal </t>
        </is>
      </c>
      <c r="H1725" s="26" t="n">
        <v>9983975581</v>
      </c>
      <c r="I1725" s="38" t="inlineStr">
        <is>
          <t>PE01052601</t>
        </is>
      </c>
      <c r="J1725" s="26" t="inlineStr">
        <is>
          <t>Multiple Issues</t>
        </is>
      </c>
      <c r="K1725" s="39" t="inlineStr">
        <is>
          <t>Holi</t>
        </is>
      </c>
      <c r="L1725" s="39" t="inlineStr">
        <is>
          <t>Maharashtra</t>
        </is>
      </c>
      <c r="M1725" s="46" t="inlineStr">
        <is>
          <t>PS</t>
        </is>
      </c>
      <c r="N1725" s="3" t="inlineStr">
        <is>
          <t>Cold Soldering</t>
        </is>
      </c>
      <c r="O1725" s="56" t="n">
        <v>575</v>
      </c>
      <c r="P1725" s="9" t="inlineStr">
        <is>
          <t>NSMI24070182561</t>
        </is>
      </c>
      <c r="Q1725" s="54">
        <f>MID(P1725,5,2)</f>
        <v/>
      </c>
      <c r="R1725" s="53">
        <f>MID(P1725,7,2)</f>
        <v/>
      </c>
      <c r="S1725" s="3" t="inlineStr">
        <is>
          <t>G2G</t>
        </is>
      </c>
      <c r="T1725" s="3" t="inlineStr">
        <is>
          <t>P4</t>
        </is>
      </c>
      <c r="U1725" s="19" t="inlineStr">
        <is>
          <t>P JB Cold Soldering</t>
        </is>
      </c>
      <c r="V1725" s="19" t="inlineStr">
        <is>
          <t>Soldering</t>
        </is>
      </c>
      <c r="W1725" s="3" t="inlineStr">
        <is>
          <t>Repair</t>
        </is>
      </c>
      <c r="X1725" s="18" t="n">
        <v>46163</v>
      </c>
      <c r="Y1725" s="3">
        <f>X1725-A1725</f>
        <v/>
      </c>
      <c r="Z1725" s="18" t="n">
        <v>46163</v>
      </c>
      <c r="AA1725" s="15" t="n"/>
      <c r="AB1725" s="15" t="n"/>
    </row>
    <row r="1726">
      <c r="A1726" s="37" t="n">
        <v>46143</v>
      </c>
      <c r="B1726" s="3" t="n">
        <v>2026</v>
      </c>
      <c r="C1726" s="26" t="inlineStr">
        <is>
          <t>Yanara Power</t>
        </is>
      </c>
      <c r="D1726" s="3" t="inlineStr">
        <is>
          <t>Utility and C&amp;I</t>
        </is>
      </c>
      <c r="E1726" s="3" t="n"/>
      <c r="F1726" s="3" t="inlineStr">
        <is>
          <t>Closed</t>
        </is>
      </c>
      <c r="G1726" s="9" t="inlineStr">
        <is>
          <t xml:space="preserve">Ashish Jindal </t>
        </is>
      </c>
      <c r="H1726" s="26" t="n">
        <v>9983975581</v>
      </c>
      <c r="I1726" s="38" t="inlineStr">
        <is>
          <t>PE01052601</t>
        </is>
      </c>
      <c r="J1726" s="26" t="inlineStr">
        <is>
          <t>Multiple Issues</t>
        </is>
      </c>
      <c r="K1726" s="39" t="inlineStr">
        <is>
          <t>Holi</t>
        </is>
      </c>
      <c r="L1726" s="39" t="inlineStr">
        <is>
          <t>Maharashtra</t>
        </is>
      </c>
      <c r="M1726" s="46" t="inlineStr">
        <is>
          <t>PS</t>
        </is>
      </c>
      <c r="N1726" s="3" t="inlineStr">
        <is>
          <t>Cold Soldering</t>
        </is>
      </c>
      <c r="O1726" s="56" t="n">
        <v>575</v>
      </c>
      <c r="P1726" s="9" t="inlineStr">
        <is>
          <t>NSMI24070184282</t>
        </is>
      </c>
      <c r="Q1726" s="54">
        <f>MID(P1726,5,2)</f>
        <v/>
      </c>
      <c r="R1726" s="53">
        <f>MID(P1726,7,2)</f>
        <v/>
      </c>
      <c r="S1726" s="3" t="inlineStr">
        <is>
          <t>G2G</t>
        </is>
      </c>
      <c r="T1726" s="3" t="inlineStr">
        <is>
          <t>P4</t>
        </is>
      </c>
      <c r="U1726" s="19" t="inlineStr">
        <is>
          <t>P JB Cold Soldering</t>
        </is>
      </c>
      <c r="V1726" s="19" t="inlineStr">
        <is>
          <t>Soldering</t>
        </is>
      </c>
      <c r="W1726" s="3" t="inlineStr">
        <is>
          <t>Repair</t>
        </is>
      </c>
      <c r="X1726" s="18" t="n">
        <v>46163</v>
      </c>
      <c r="Y1726" s="3">
        <f>X1726-A1726</f>
        <v/>
      </c>
      <c r="Z1726" s="18" t="n">
        <v>46163</v>
      </c>
      <c r="AA1726" s="15" t="n"/>
      <c r="AB1726" s="15" t="n"/>
    </row>
    <row r="1727">
      <c r="A1727" s="37" t="n">
        <v>46143</v>
      </c>
      <c r="B1727" s="3" t="n">
        <v>2026</v>
      </c>
      <c r="C1727" s="26" t="inlineStr">
        <is>
          <t>Yanara Power</t>
        </is>
      </c>
      <c r="D1727" s="3" t="inlineStr">
        <is>
          <t>Utility and C&amp;I</t>
        </is>
      </c>
      <c r="E1727" s="3" t="n"/>
      <c r="F1727" s="3" t="inlineStr">
        <is>
          <t>Closed</t>
        </is>
      </c>
      <c r="G1727" s="9" t="inlineStr">
        <is>
          <t xml:space="preserve">Ashish Jindal </t>
        </is>
      </c>
      <c r="H1727" s="26" t="n">
        <v>9983975581</v>
      </c>
      <c r="I1727" s="38" t="inlineStr">
        <is>
          <t>PE01052601</t>
        </is>
      </c>
      <c r="J1727" s="26" t="inlineStr">
        <is>
          <t>Multiple Issues</t>
        </is>
      </c>
      <c r="K1727" s="39" t="inlineStr">
        <is>
          <t>Holi</t>
        </is>
      </c>
      <c r="L1727" s="39" t="inlineStr">
        <is>
          <t>Maharashtra</t>
        </is>
      </c>
      <c r="M1727" s="46" t="inlineStr">
        <is>
          <t>PR</t>
        </is>
      </c>
      <c r="N1727" s="3" t="inlineStr">
        <is>
          <t>JB Issue</t>
        </is>
      </c>
      <c r="O1727" s="56" t="n">
        <v>575</v>
      </c>
      <c r="P1727" s="9" t="inlineStr">
        <is>
          <t>NSMI24070181935</t>
        </is>
      </c>
      <c r="Q1727" s="54">
        <f>MID(P1727,5,2)</f>
        <v/>
      </c>
      <c r="R1727" s="53">
        <f>MID(P1727,7,2)</f>
        <v/>
      </c>
      <c r="S1727" s="3" t="inlineStr">
        <is>
          <t>G2G</t>
        </is>
      </c>
      <c r="T1727" s="3" t="inlineStr">
        <is>
          <t>P4</t>
        </is>
      </c>
      <c r="U1727" s="3" t="inlineStr">
        <is>
          <t>P JB Issue</t>
        </is>
      </c>
      <c r="V1727" s="15" t="inlineStr">
        <is>
          <t>JB Changed</t>
        </is>
      </c>
      <c r="W1727" s="3" t="inlineStr">
        <is>
          <t>Repair</t>
        </is>
      </c>
      <c r="X1727" s="18" t="n">
        <v>46163</v>
      </c>
      <c r="Y1727" s="3">
        <f>X1727-A1727</f>
        <v/>
      </c>
      <c r="Z1727" s="18" t="n">
        <v>46163</v>
      </c>
      <c r="AA1727" s="15" t="n"/>
      <c r="AB1727" s="15" t="n"/>
    </row>
    <row r="1728">
      <c r="A1728" s="37" t="n">
        <v>46143</v>
      </c>
      <c r="B1728" s="3" t="n">
        <v>2026</v>
      </c>
      <c r="C1728" s="26" t="inlineStr">
        <is>
          <t>Yanara Power</t>
        </is>
      </c>
      <c r="D1728" s="3" t="inlineStr">
        <is>
          <t>Utility and C&amp;I</t>
        </is>
      </c>
      <c r="E1728" s="3" t="n"/>
      <c r="F1728" s="3" t="inlineStr">
        <is>
          <t>Closed</t>
        </is>
      </c>
      <c r="G1728" s="9" t="inlineStr">
        <is>
          <t xml:space="preserve">Ashish Jindal </t>
        </is>
      </c>
      <c r="H1728" s="26" t="n">
        <v>9983975581</v>
      </c>
      <c r="I1728" s="38" t="inlineStr">
        <is>
          <t>PE01052601</t>
        </is>
      </c>
      <c r="J1728" s="26" t="inlineStr">
        <is>
          <t>Multiple Issues</t>
        </is>
      </c>
      <c r="K1728" s="39" t="inlineStr">
        <is>
          <t>Holi</t>
        </is>
      </c>
      <c r="L1728" s="39" t="inlineStr">
        <is>
          <t>Maharashtra</t>
        </is>
      </c>
      <c r="M1728" s="46" t="inlineStr">
        <is>
          <t>PR</t>
        </is>
      </c>
      <c r="N1728" s="3" t="inlineStr">
        <is>
          <t>JB Issue</t>
        </is>
      </c>
      <c r="O1728" s="56" t="n">
        <v>575</v>
      </c>
      <c r="P1728" s="9" t="inlineStr">
        <is>
          <t>NSMI24070181794</t>
        </is>
      </c>
      <c r="Q1728" s="54">
        <f>MID(P1728,5,2)</f>
        <v/>
      </c>
      <c r="R1728" s="53">
        <f>MID(P1728,7,2)</f>
        <v/>
      </c>
      <c r="S1728" s="3" t="inlineStr">
        <is>
          <t>G2G</t>
        </is>
      </c>
      <c r="T1728" s="3" t="inlineStr">
        <is>
          <t>P4</t>
        </is>
      </c>
      <c r="U1728" s="3" t="inlineStr">
        <is>
          <t>P JB Issue</t>
        </is>
      </c>
      <c r="V1728" s="15" t="inlineStr">
        <is>
          <t>JB Changed</t>
        </is>
      </c>
      <c r="W1728" s="3" t="inlineStr">
        <is>
          <t>Repair</t>
        </is>
      </c>
      <c r="X1728" s="18" t="n">
        <v>46163</v>
      </c>
      <c r="Y1728" s="3">
        <f>X1728-A1728</f>
        <v/>
      </c>
      <c r="Z1728" s="18" t="n">
        <v>46163</v>
      </c>
      <c r="AA1728" s="15" t="n"/>
      <c r="AB1728" s="15" t="n"/>
    </row>
    <row r="1729">
      <c r="A1729" s="37" t="n">
        <v>46143</v>
      </c>
      <c r="B1729" s="3" t="n">
        <v>2026</v>
      </c>
      <c r="C1729" s="26" t="inlineStr">
        <is>
          <t>Yanara Power</t>
        </is>
      </c>
      <c r="D1729" s="3" t="inlineStr">
        <is>
          <t>Utility and C&amp;I</t>
        </is>
      </c>
      <c r="E1729" s="3" t="n"/>
      <c r="F1729" s="3" t="inlineStr">
        <is>
          <t>Closed</t>
        </is>
      </c>
      <c r="G1729" s="9" t="inlineStr">
        <is>
          <t xml:space="preserve">Ashish Jindal </t>
        </is>
      </c>
      <c r="H1729" s="26" t="n">
        <v>9983975581</v>
      </c>
      <c r="I1729" s="38" t="inlineStr">
        <is>
          <t>PE01052601</t>
        </is>
      </c>
      <c r="J1729" s="26" t="inlineStr">
        <is>
          <t>Multiple Issues</t>
        </is>
      </c>
      <c r="K1729" s="39" t="inlineStr">
        <is>
          <t>Holi</t>
        </is>
      </c>
      <c r="L1729" s="39" t="inlineStr">
        <is>
          <t>Maharashtra</t>
        </is>
      </c>
      <c r="M1729" s="46" t="inlineStr">
        <is>
          <t>PS</t>
        </is>
      </c>
      <c r="N1729" s="3" t="inlineStr">
        <is>
          <t>Cold Soldering</t>
        </is>
      </c>
      <c r="O1729" s="56" t="n">
        <v>575</v>
      </c>
      <c r="P1729" s="9" t="inlineStr">
        <is>
          <t>NSMI24070176505</t>
        </is>
      </c>
      <c r="Q1729" s="54">
        <f>MID(P1729,5,2)</f>
        <v/>
      </c>
      <c r="R1729" s="53">
        <f>MID(P1729,7,2)</f>
        <v/>
      </c>
      <c r="S1729" s="3" t="inlineStr">
        <is>
          <t>G2G</t>
        </is>
      </c>
      <c r="T1729" s="3" t="inlineStr">
        <is>
          <t>P4</t>
        </is>
      </c>
      <c r="U1729" s="19" t="inlineStr">
        <is>
          <t>P JB Cold Soldering</t>
        </is>
      </c>
      <c r="V1729" s="19" t="inlineStr">
        <is>
          <t>Soldering</t>
        </is>
      </c>
      <c r="W1729" s="3" t="inlineStr">
        <is>
          <t>Repair</t>
        </is>
      </c>
      <c r="X1729" s="18" t="n">
        <v>46163</v>
      </c>
      <c r="Y1729" s="3">
        <f>X1729-A1729</f>
        <v/>
      </c>
      <c r="Z1729" s="18" t="n">
        <v>46163</v>
      </c>
      <c r="AA1729" s="15" t="n"/>
      <c r="AB1729" s="15" t="n"/>
    </row>
    <row r="1730">
      <c r="A1730" s="37" t="n">
        <v>46143</v>
      </c>
      <c r="B1730" s="3" t="n">
        <v>2026</v>
      </c>
      <c r="C1730" s="26" t="inlineStr">
        <is>
          <t>Yanara Power</t>
        </is>
      </c>
      <c r="D1730" s="3" t="inlineStr">
        <is>
          <t>Utility and C&amp;I</t>
        </is>
      </c>
      <c r="E1730" s="3" t="n"/>
      <c r="F1730" s="3" t="inlineStr">
        <is>
          <t>Closed</t>
        </is>
      </c>
      <c r="G1730" s="9" t="inlineStr">
        <is>
          <t xml:space="preserve">Ashish Jindal </t>
        </is>
      </c>
      <c r="H1730" s="26" t="n">
        <v>9983975581</v>
      </c>
      <c r="I1730" s="38" t="inlineStr">
        <is>
          <t>PE01052601</t>
        </is>
      </c>
      <c r="J1730" s="26" t="inlineStr">
        <is>
          <t>Multiple Issues</t>
        </is>
      </c>
      <c r="K1730" s="39" t="inlineStr">
        <is>
          <t>Holi</t>
        </is>
      </c>
      <c r="L1730" s="39" t="inlineStr">
        <is>
          <t>Maharashtra</t>
        </is>
      </c>
      <c r="M1730" s="46" t="inlineStr">
        <is>
          <t>PS</t>
        </is>
      </c>
      <c r="N1730" s="3" t="inlineStr">
        <is>
          <t>Cold Soldering</t>
        </is>
      </c>
      <c r="O1730" s="56" t="n">
        <v>575</v>
      </c>
      <c r="P1730" s="9" t="inlineStr">
        <is>
          <t>NSMI24070183712</t>
        </is>
      </c>
      <c r="Q1730" s="54">
        <f>MID(P1730,5,2)</f>
        <v/>
      </c>
      <c r="R1730" s="53">
        <f>MID(P1730,7,2)</f>
        <v/>
      </c>
      <c r="S1730" s="3" t="inlineStr">
        <is>
          <t>G2G</t>
        </is>
      </c>
      <c r="T1730" s="3" t="inlineStr">
        <is>
          <t>P4</t>
        </is>
      </c>
      <c r="U1730" s="19" t="inlineStr">
        <is>
          <t>P JB Cold Soldering</t>
        </is>
      </c>
      <c r="V1730" s="19" t="inlineStr">
        <is>
          <t>Soldering</t>
        </is>
      </c>
      <c r="W1730" s="3" t="inlineStr">
        <is>
          <t>Repair</t>
        </is>
      </c>
      <c r="X1730" s="18" t="n">
        <v>46163</v>
      </c>
      <c r="Y1730" s="3">
        <f>X1730-A1730</f>
        <v/>
      </c>
      <c r="Z1730" s="18" t="n">
        <v>46163</v>
      </c>
      <c r="AA1730" s="15" t="n"/>
      <c r="AB1730" s="15" t="n"/>
    </row>
    <row r="1731">
      <c r="A1731" s="37" t="n">
        <v>46143</v>
      </c>
      <c r="B1731" s="3" t="n">
        <v>2026</v>
      </c>
      <c r="C1731" s="26" t="inlineStr">
        <is>
          <t>Yanara Power</t>
        </is>
      </c>
      <c r="D1731" s="3" t="inlineStr">
        <is>
          <t>Utility and C&amp;I</t>
        </is>
      </c>
      <c r="E1731" s="3" t="n"/>
      <c r="F1731" s="3" t="inlineStr">
        <is>
          <t>Closed</t>
        </is>
      </c>
      <c r="G1731" s="9" t="inlineStr">
        <is>
          <t xml:space="preserve">Ashish Jindal </t>
        </is>
      </c>
      <c r="H1731" s="26" t="n">
        <v>9983975581</v>
      </c>
      <c r="I1731" s="38" t="inlineStr">
        <is>
          <t>PE01052601</t>
        </is>
      </c>
      <c r="J1731" s="26" t="inlineStr">
        <is>
          <t>Multiple Issues</t>
        </is>
      </c>
      <c r="K1731" s="39" t="inlineStr">
        <is>
          <t>Holi</t>
        </is>
      </c>
      <c r="L1731" s="39" t="inlineStr">
        <is>
          <t>Maharashtra</t>
        </is>
      </c>
      <c r="M1731" s="46" t="inlineStr">
        <is>
          <t>PS</t>
        </is>
      </c>
      <c r="N1731" s="3" t="inlineStr">
        <is>
          <t>Cold Soldering</t>
        </is>
      </c>
      <c r="O1731" s="56" t="n">
        <v>575</v>
      </c>
      <c r="P1731" s="9" t="inlineStr">
        <is>
          <t>NSMI24070177244</t>
        </is>
      </c>
      <c r="Q1731" s="54">
        <f>MID(P1731,5,2)</f>
        <v/>
      </c>
      <c r="R1731" s="53">
        <f>MID(P1731,7,2)</f>
        <v/>
      </c>
      <c r="S1731" s="3" t="inlineStr">
        <is>
          <t>G2G</t>
        </is>
      </c>
      <c r="T1731" s="3" t="inlineStr">
        <is>
          <t>P4</t>
        </is>
      </c>
      <c r="U1731" s="19" t="inlineStr">
        <is>
          <t>P JB Cold Soldering</t>
        </is>
      </c>
      <c r="V1731" s="19" t="inlineStr">
        <is>
          <t>Soldering</t>
        </is>
      </c>
      <c r="W1731" s="3" t="inlineStr">
        <is>
          <t>Repair</t>
        </is>
      </c>
      <c r="X1731" s="18" t="n">
        <v>46163</v>
      </c>
      <c r="Y1731" s="3">
        <f>X1731-A1731</f>
        <v/>
      </c>
      <c r="Z1731" s="18" t="n">
        <v>46163</v>
      </c>
      <c r="AA1731" s="15" t="n"/>
      <c r="AB1731" s="15" t="n"/>
    </row>
    <row r="1732">
      <c r="A1732" s="37" t="n">
        <v>46143</v>
      </c>
      <c r="B1732" s="3" t="n">
        <v>2026</v>
      </c>
      <c r="C1732" s="26" t="inlineStr">
        <is>
          <t>Yanara Power</t>
        </is>
      </c>
      <c r="D1732" s="3" t="inlineStr">
        <is>
          <t>Utility and C&amp;I</t>
        </is>
      </c>
      <c r="E1732" s="3" t="n"/>
      <c r="F1732" s="3" t="inlineStr">
        <is>
          <t>Closed</t>
        </is>
      </c>
      <c r="G1732" s="9" t="inlineStr">
        <is>
          <t xml:space="preserve">Ashish Jindal </t>
        </is>
      </c>
      <c r="H1732" s="26" t="n">
        <v>9983975581</v>
      </c>
      <c r="I1732" s="38" t="inlineStr">
        <is>
          <t>PE01052601</t>
        </is>
      </c>
      <c r="J1732" s="26" t="inlineStr">
        <is>
          <t>Multiple Issues</t>
        </is>
      </c>
      <c r="K1732" s="39" t="inlineStr">
        <is>
          <t>Holi</t>
        </is>
      </c>
      <c r="L1732" s="39" t="inlineStr">
        <is>
          <t>Maharashtra</t>
        </is>
      </c>
      <c r="M1732" s="46" t="inlineStr">
        <is>
          <t>PNS</t>
        </is>
      </c>
      <c r="N1732" s="3" t="inlineStr">
        <is>
          <t>Cold Soldering</t>
        </is>
      </c>
      <c r="O1732" s="56" t="n">
        <v>575</v>
      </c>
      <c r="P1732" s="9" t="inlineStr">
        <is>
          <t>NSMI24070177774</t>
        </is>
      </c>
      <c r="Q1732" s="54">
        <f>MID(P1732,5,2)</f>
        <v/>
      </c>
      <c r="R1732" s="53">
        <f>MID(P1732,7,2)</f>
        <v/>
      </c>
      <c r="S1732" s="3" t="inlineStr">
        <is>
          <t>G2G</t>
        </is>
      </c>
      <c r="T1732" s="3" t="inlineStr">
        <is>
          <t>P4</t>
        </is>
      </c>
      <c r="U1732" s="3" t="inlineStr">
        <is>
          <t>P &amp; N JB Cold Soldering</t>
        </is>
      </c>
      <c r="V1732" s="3" t="inlineStr">
        <is>
          <t>Soldering</t>
        </is>
      </c>
      <c r="W1732" s="3" t="inlineStr">
        <is>
          <t>Repair</t>
        </is>
      </c>
      <c r="X1732" s="18" t="n">
        <v>46163</v>
      </c>
      <c r="Y1732" s="3">
        <f>X1732-A1732</f>
        <v/>
      </c>
      <c r="Z1732" s="18" t="n">
        <v>46163</v>
      </c>
      <c r="AA1732" s="15" t="n"/>
      <c r="AB1732" s="15" t="n"/>
    </row>
    <row r="1733">
      <c r="A1733" s="37" t="n">
        <v>46143</v>
      </c>
      <c r="B1733" s="3" t="n">
        <v>2026</v>
      </c>
      <c r="C1733" s="26" t="inlineStr">
        <is>
          <t>Yanara Power</t>
        </is>
      </c>
      <c r="D1733" s="3" t="inlineStr">
        <is>
          <t>Utility and C&amp;I</t>
        </is>
      </c>
      <c r="E1733" s="3" t="n"/>
      <c r="F1733" s="3" t="inlineStr">
        <is>
          <t>Closed</t>
        </is>
      </c>
      <c r="G1733" s="9" t="inlineStr">
        <is>
          <t xml:space="preserve">Ashish Jindal </t>
        </is>
      </c>
      <c r="H1733" s="26" t="n">
        <v>9983975581</v>
      </c>
      <c r="I1733" s="38" t="inlineStr">
        <is>
          <t>PE01052601</t>
        </is>
      </c>
      <c r="J1733" s="26" t="inlineStr">
        <is>
          <t>Multiple Issues</t>
        </is>
      </c>
      <c r="K1733" s="39" t="inlineStr">
        <is>
          <t>Holi</t>
        </is>
      </c>
      <c r="L1733" s="39" t="inlineStr">
        <is>
          <t>Maharashtra</t>
        </is>
      </c>
      <c r="M1733" s="46" t="inlineStr">
        <is>
          <t>PS</t>
        </is>
      </c>
      <c r="N1733" s="3" t="inlineStr">
        <is>
          <t>Cold Soldering</t>
        </is>
      </c>
      <c r="O1733" s="56" t="n">
        <v>575</v>
      </c>
      <c r="P1733" s="9" t="inlineStr">
        <is>
          <t>NSMI24070182697</t>
        </is>
      </c>
      <c r="Q1733" s="54">
        <f>MID(P1733,5,2)</f>
        <v/>
      </c>
      <c r="R1733" s="53">
        <f>MID(P1733,7,2)</f>
        <v/>
      </c>
      <c r="S1733" s="3" t="inlineStr">
        <is>
          <t>G2G</t>
        </is>
      </c>
      <c r="T1733" s="3" t="inlineStr">
        <is>
          <t>P4</t>
        </is>
      </c>
      <c r="U1733" s="19" t="inlineStr">
        <is>
          <t>P JB Cold Soldering</t>
        </is>
      </c>
      <c r="V1733" s="19" t="inlineStr">
        <is>
          <t>Soldering</t>
        </is>
      </c>
      <c r="W1733" s="3" t="inlineStr">
        <is>
          <t>Repair</t>
        </is>
      </c>
      <c r="X1733" s="18" t="n">
        <v>46163</v>
      </c>
      <c r="Y1733" s="3">
        <f>X1733-A1733</f>
        <v/>
      </c>
      <c r="Z1733" s="18" t="n">
        <v>46163</v>
      </c>
      <c r="AA1733" s="15" t="n"/>
      <c r="AB1733" s="15" t="n"/>
    </row>
    <row r="1734">
      <c r="A1734" s="37" t="n">
        <v>46143</v>
      </c>
      <c r="B1734" s="3" t="n">
        <v>2026</v>
      </c>
      <c r="C1734" s="26" t="inlineStr">
        <is>
          <t>Yanara Power</t>
        </is>
      </c>
      <c r="D1734" s="3" t="inlineStr">
        <is>
          <t>Utility and C&amp;I</t>
        </is>
      </c>
      <c r="E1734" s="3" t="n"/>
      <c r="F1734" s="3" t="inlineStr">
        <is>
          <t>Closed</t>
        </is>
      </c>
      <c r="G1734" s="9" t="inlineStr">
        <is>
          <t xml:space="preserve">Ashish Jindal </t>
        </is>
      </c>
      <c r="H1734" s="26" t="n">
        <v>9983975581</v>
      </c>
      <c r="I1734" s="38" t="inlineStr">
        <is>
          <t>PE01052601</t>
        </is>
      </c>
      <c r="J1734" s="26" t="inlineStr">
        <is>
          <t>Multiple Issues</t>
        </is>
      </c>
      <c r="K1734" s="39" t="inlineStr">
        <is>
          <t>Holi</t>
        </is>
      </c>
      <c r="L1734" s="39" t="inlineStr">
        <is>
          <t>Maharashtra</t>
        </is>
      </c>
      <c r="M1734" s="46" t="inlineStr">
        <is>
          <t>PS</t>
        </is>
      </c>
      <c r="N1734" s="3" t="inlineStr">
        <is>
          <t>Cold Soldering</t>
        </is>
      </c>
      <c r="O1734" s="56" t="n">
        <v>575</v>
      </c>
      <c r="P1734" s="9" t="inlineStr">
        <is>
          <t>NSMI24070219954</t>
        </is>
      </c>
      <c r="Q1734" s="54">
        <f>MID(P1734,5,2)</f>
        <v/>
      </c>
      <c r="R1734" s="53">
        <f>MID(P1734,7,2)</f>
        <v/>
      </c>
      <c r="S1734" s="3" t="inlineStr">
        <is>
          <t>G2G</t>
        </is>
      </c>
      <c r="T1734" s="3" t="inlineStr">
        <is>
          <t>P4</t>
        </is>
      </c>
      <c r="U1734" s="19" t="inlineStr">
        <is>
          <t>P JB Cold Soldering</t>
        </is>
      </c>
      <c r="V1734" s="19" t="inlineStr">
        <is>
          <t>Soldering</t>
        </is>
      </c>
      <c r="W1734" s="3" t="inlineStr">
        <is>
          <t>Repair</t>
        </is>
      </c>
      <c r="X1734" s="18" t="n">
        <v>46163</v>
      </c>
      <c r="Y1734" s="3">
        <f>X1734-A1734</f>
        <v/>
      </c>
      <c r="Z1734" s="18" t="n">
        <v>46163</v>
      </c>
      <c r="AA1734" s="15" t="n"/>
      <c r="AB1734" s="15" t="n"/>
    </row>
    <row r="1735">
      <c r="A1735" s="37" t="n">
        <v>46143</v>
      </c>
      <c r="B1735" s="3" t="n">
        <v>2026</v>
      </c>
      <c r="C1735" s="26" t="inlineStr">
        <is>
          <t>Yanara Power</t>
        </is>
      </c>
      <c r="D1735" s="3" t="inlineStr">
        <is>
          <t>Utility and C&amp;I</t>
        </is>
      </c>
      <c r="E1735" s="3" t="n"/>
      <c r="F1735" s="3" t="inlineStr">
        <is>
          <t>Closed</t>
        </is>
      </c>
      <c r="G1735" s="9" t="inlineStr">
        <is>
          <t xml:space="preserve">Ashish Jindal </t>
        </is>
      </c>
      <c r="H1735" s="26" t="n">
        <v>9983975581</v>
      </c>
      <c r="I1735" s="38" t="inlineStr">
        <is>
          <t>PE01052601</t>
        </is>
      </c>
      <c r="J1735" s="26" t="inlineStr">
        <is>
          <t>Multiple Issues</t>
        </is>
      </c>
      <c r="K1735" s="39" t="inlineStr">
        <is>
          <t>Holi</t>
        </is>
      </c>
      <c r="L1735" s="39" t="inlineStr">
        <is>
          <t>Maharashtra</t>
        </is>
      </c>
      <c r="M1735" s="46" t="inlineStr">
        <is>
          <t>PS</t>
        </is>
      </c>
      <c r="N1735" s="3" t="inlineStr">
        <is>
          <t>Cold Soldering</t>
        </is>
      </c>
      <c r="O1735" s="56" t="n">
        <v>575</v>
      </c>
      <c r="P1735" s="9" t="inlineStr">
        <is>
          <t>NSMI24070176873</t>
        </is>
      </c>
      <c r="Q1735" s="54">
        <f>MID(P1735,5,2)</f>
        <v/>
      </c>
      <c r="R1735" s="53">
        <f>MID(P1735,7,2)</f>
        <v/>
      </c>
      <c r="S1735" s="3" t="inlineStr">
        <is>
          <t>G2G</t>
        </is>
      </c>
      <c r="T1735" s="3" t="inlineStr">
        <is>
          <t>P4</t>
        </is>
      </c>
      <c r="U1735" s="19" t="inlineStr">
        <is>
          <t>P JB Cold Soldering</t>
        </is>
      </c>
      <c r="V1735" s="19" t="inlineStr">
        <is>
          <t>Soldering</t>
        </is>
      </c>
      <c r="W1735" s="3" t="inlineStr">
        <is>
          <t>Repair</t>
        </is>
      </c>
      <c r="X1735" s="18" t="n">
        <v>46163</v>
      </c>
      <c r="Y1735" s="3">
        <f>X1735-A1735</f>
        <v/>
      </c>
      <c r="Z1735" s="18" t="n">
        <v>46163</v>
      </c>
      <c r="AA1735" s="15" t="n"/>
      <c r="AB1735" s="15" t="n"/>
    </row>
    <row r="1736">
      <c r="A1736" s="37" t="n">
        <v>46143</v>
      </c>
      <c r="B1736" s="3" t="n">
        <v>2026</v>
      </c>
      <c r="C1736" s="26" t="inlineStr">
        <is>
          <t>Yanara Power</t>
        </is>
      </c>
      <c r="D1736" s="3" t="inlineStr">
        <is>
          <t>Utility and C&amp;I</t>
        </is>
      </c>
      <c r="E1736" s="3" t="n"/>
      <c r="F1736" s="3" t="inlineStr">
        <is>
          <t>Closed</t>
        </is>
      </c>
      <c r="G1736" s="9" t="inlineStr">
        <is>
          <t xml:space="preserve">Ashish Jindal </t>
        </is>
      </c>
      <c r="H1736" s="26" t="n">
        <v>9983975581</v>
      </c>
      <c r="I1736" s="38" t="inlineStr">
        <is>
          <t>PE01052601</t>
        </is>
      </c>
      <c r="J1736" s="26" t="inlineStr">
        <is>
          <t>Multiple Issues</t>
        </is>
      </c>
      <c r="K1736" s="39" t="inlineStr">
        <is>
          <t>Holi</t>
        </is>
      </c>
      <c r="L1736" s="39" t="inlineStr">
        <is>
          <t>Maharashtra</t>
        </is>
      </c>
      <c r="M1736" s="46" t="inlineStr">
        <is>
          <t>PS</t>
        </is>
      </c>
      <c r="N1736" s="3" t="inlineStr">
        <is>
          <t>Cold Soldering</t>
        </is>
      </c>
      <c r="O1736" s="56" t="n">
        <v>575</v>
      </c>
      <c r="P1736" s="9" t="inlineStr">
        <is>
          <t>NSMI24070176742</t>
        </is>
      </c>
      <c r="Q1736" s="54">
        <f>MID(P1736,5,2)</f>
        <v/>
      </c>
      <c r="R1736" s="53">
        <f>MID(P1736,7,2)</f>
        <v/>
      </c>
      <c r="S1736" s="3" t="inlineStr">
        <is>
          <t>G2G</t>
        </is>
      </c>
      <c r="T1736" s="3" t="inlineStr">
        <is>
          <t>P4</t>
        </is>
      </c>
      <c r="U1736" s="19" t="inlineStr">
        <is>
          <t>P JB Cold Soldering</t>
        </is>
      </c>
      <c r="V1736" s="19" t="inlineStr">
        <is>
          <t>Soldering</t>
        </is>
      </c>
      <c r="W1736" s="3" t="inlineStr">
        <is>
          <t>Repair</t>
        </is>
      </c>
      <c r="X1736" s="18" t="n">
        <v>46163</v>
      </c>
      <c r="Y1736" s="3">
        <f>X1736-A1736</f>
        <v/>
      </c>
      <c r="Z1736" s="18" t="n">
        <v>46163</v>
      </c>
      <c r="AA1736" s="15" t="n"/>
      <c r="AB1736" s="15" t="n"/>
    </row>
    <row r="1737">
      <c r="A1737" s="37" t="n">
        <v>46143</v>
      </c>
      <c r="B1737" s="3" t="n">
        <v>2026</v>
      </c>
      <c r="C1737" s="26" t="inlineStr">
        <is>
          <t>Yanara Power</t>
        </is>
      </c>
      <c r="D1737" s="3" t="inlineStr">
        <is>
          <t>Utility and C&amp;I</t>
        </is>
      </c>
      <c r="E1737" s="3" t="n"/>
      <c r="F1737" s="3" t="inlineStr">
        <is>
          <t>Closed</t>
        </is>
      </c>
      <c r="G1737" s="9" t="inlineStr">
        <is>
          <t xml:space="preserve">Ashish Jindal </t>
        </is>
      </c>
      <c r="H1737" s="26" t="n">
        <v>9983975581</v>
      </c>
      <c r="I1737" s="38" t="inlineStr">
        <is>
          <t>PE01052601</t>
        </is>
      </c>
      <c r="J1737" s="26" t="inlineStr">
        <is>
          <t>Multiple Issues</t>
        </is>
      </c>
      <c r="K1737" s="39" t="inlineStr">
        <is>
          <t>Holi</t>
        </is>
      </c>
      <c r="L1737" s="39" t="inlineStr">
        <is>
          <t>Maharashtra</t>
        </is>
      </c>
      <c r="M1737" s="46" t="inlineStr">
        <is>
          <t>NS</t>
        </is>
      </c>
      <c r="N1737" s="3" t="inlineStr">
        <is>
          <t>Cold Soldering</t>
        </is>
      </c>
      <c r="O1737" s="56" t="n">
        <v>575</v>
      </c>
      <c r="P1737" s="9" t="inlineStr">
        <is>
          <t>NSMI24070179025</t>
        </is>
      </c>
      <c r="Q1737" s="54">
        <f>MID(P1737,5,2)</f>
        <v/>
      </c>
      <c r="R1737" s="53">
        <f>MID(P1737,7,2)</f>
        <v/>
      </c>
      <c r="S1737" s="3" t="inlineStr">
        <is>
          <t>G2G</t>
        </is>
      </c>
      <c r="T1737" s="3" t="inlineStr">
        <is>
          <t>P4</t>
        </is>
      </c>
      <c r="U1737" s="3" t="inlineStr">
        <is>
          <t>N JB Cold Soldering</t>
        </is>
      </c>
      <c r="V1737" s="3" t="inlineStr">
        <is>
          <t>Soldering</t>
        </is>
      </c>
      <c r="W1737" s="3" t="inlineStr">
        <is>
          <t>Repair</t>
        </is>
      </c>
      <c r="X1737" s="18" t="n">
        <v>46163</v>
      </c>
      <c r="Y1737" s="3">
        <f>X1737-A1737</f>
        <v/>
      </c>
      <c r="Z1737" s="18" t="n">
        <v>46163</v>
      </c>
      <c r="AA1737" s="15" t="n"/>
      <c r="AB1737" s="15" t="n"/>
    </row>
    <row r="1738">
      <c r="A1738" s="37" t="n">
        <v>46143</v>
      </c>
      <c r="B1738" s="3" t="n">
        <v>2026</v>
      </c>
      <c r="C1738" s="26" t="inlineStr">
        <is>
          <t>Yanara Power</t>
        </is>
      </c>
      <c r="D1738" s="3" t="inlineStr">
        <is>
          <t>Utility and C&amp;I</t>
        </is>
      </c>
      <c r="E1738" s="3" t="n"/>
      <c r="F1738" s="3" t="inlineStr">
        <is>
          <t>Closed</t>
        </is>
      </c>
      <c r="G1738" s="9" t="inlineStr">
        <is>
          <t xml:space="preserve">Ashish Jindal </t>
        </is>
      </c>
      <c r="H1738" s="26" t="n">
        <v>9983975581</v>
      </c>
      <c r="I1738" s="38" t="inlineStr">
        <is>
          <t>PE01052601</t>
        </is>
      </c>
      <c r="J1738" s="26" t="inlineStr">
        <is>
          <t>Multiple Issues</t>
        </is>
      </c>
      <c r="K1738" s="39" t="inlineStr">
        <is>
          <t>Holi</t>
        </is>
      </c>
      <c r="L1738" s="39" t="inlineStr">
        <is>
          <t>Maharashtra</t>
        </is>
      </c>
      <c r="M1738" s="46" t="inlineStr">
        <is>
          <t>PS</t>
        </is>
      </c>
      <c r="N1738" s="3" t="inlineStr">
        <is>
          <t>Cold Soldering</t>
        </is>
      </c>
      <c r="O1738" s="56" t="n">
        <v>575</v>
      </c>
      <c r="P1738" s="9" t="inlineStr">
        <is>
          <t>NSMI24070180558</t>
        </is>
      </c>
      <c r="Q1738" s="54">
        <f>MID(P1738,5,2)</f>
        <v/>
      </c>
      <c r="R1738" s="53">
        <f>MID(P1738,7,2)</f>
        <v/>
      </c>
      <c r="S1738" s="3" t="inlineStr">
        <is>
          <t>G2G</t>
        </is>
      </c>
      <c r="T1738" s="3" t="inlineStr">
        <is>
          <t>P4</t>
        </is>
      </c>
      <c r="U1738" s="19" t="inlineStr">
        <is>
          <t>P JB Cold Soldering</t>
        </is>
      </c>
      <c r="V1738" s="19" t="inlineStr">
        <is>
          <t>Soldering</t>
        </is>
      </c>
      <c r="W1738" s="3" t="inlineStr">
        <is>
          <t>Repair</t>
        </is>
      </c>
      <c r="X1738" s="18" t="n">
        <v>46163</v>
      </c>
      <c r="Y1738" s="3">
        <f>X1738-A1738</f>
        <v/>
      </c>
      <c r="Z1738" s="18" t="n">
        <v>46163</v>
      </c>
      <c r="AA1738" s="15" t="n"/>
      <c r="AB1738" s="15" t="n"/>
    </row>
    <row r="1739">
      <c r="A1739" s="37" t="n">
        <v>46143</v>
      </c>
      <c r="B1739" s="3" t="n">
        <v>2026</v>
      </c>
      <c r="C1739" s="26" t="inlineStr">
        <is>
          <t>Yanara Power</t>
        </is>
      </c>
      <c r="D1739" s="3" t="inlineStr">
        <is>
          <t>Utility and C&amp;I</t>
        </is>
      </c>
      <c r="E1739" s="3" t="n"/>
      <c r="F1739" s="3" t="inlineStr">
        <is>
          <t>Closed</t>
        </is>
      </c>
      <c r="G1739" s="9" t="inlineStr">
        <is>
          <t xml:space="preserve">Ashish Jindal </t>
        </is>
      </c>
      <c r="H1739" s="26" t="n">
        <v>9983975581</v>
      </c>
      <c r="I1739" s="38" t="inlineStr">
        <is>
          <t>PE01052601</t>
        </is>
      </c>
      <c r="J1739" s="26" t="inlineStr">
        <is>
          <t>Multiple Issues</t>
        </is>
      </c>
      <c r="K1739" s="39" t="inlineStr">
        <is>
          <t>Holi</t>
        </is>
      </c>
      <c r="L1739" s="39" t="inlineStr">
        <is>
          <t>Maharashtra</t>
        </is>
      </c>
      <c r="M1739" s="46" t="inlineStr">
        <is>
          <t>PS</t>
        </is>
      </c>
      <c r="N1739" s="3" t="inlineStr">
        <is>
          <t>Cold Soldering</t>
        </is>
      </c>
      <c r="O1739" s="56" t="n">
        <v>575</v>
      </c>
      <c r="P1739" s="9" t="inlineStr">
        <is>
          <t>NSMI24070176845</t>
        </is>
      </c>
      <c r="Q1739" s="54">
        <f>MID(P1739,5,2)</f>
        <v/>
      </c>
      <c r="R1739" s="53">
        <f>MID(P1739,7,2)</f>
        <v/>
      </c>
      <c r="S1739" s="3" t="inlineStr">
        <is>
          <t>G2G</t>
        </is>
      </c>
      <c r="T1739" s="3" t="inlineStr">
        <is>
          <t>P4</t>
        </is>
      </c>
      <c r="U1739" s="19" t="inlineStr">
        <is>
          <t>P JB Cold Soldering</t>
        </is>
      </c>
      <c r="V1739" s="19" t="inlineStr">
        <is>
          <t>Soldering</t>
        </is>
      </c>
      <c r="W1739" s="3" t="inlineStr">
        <is>
          <t>Repair</t>
        </is>
      </c>
      <c r="X1739" s="18" t="n">
        <v>46163</v>
      </c>
      <c r="Y1739" s="3">
        <f>X1739-A1739</f>
        <v/>
      </c>
      <c r="Z1739" s="18" t="n">
        <v>46163</v>
      </c>
      <c r="AA1739" s="15" t="n"/>
      <c r="AB1739" s="15" t="n"/>
    </row>
    <row r="1740">
      <c r="A1740" s="37" t="n">
        <v>46143</v>
      </c>
      <c r="B1740" s="3" t="n">
        <v>2026</v>
      </c>
      <c r="C1740" s="26" t="inlineStr">
        <is>
          <t>Yanara Power</t>
        </is>
      </c>
      <c r="D1740" s="3" t="inlineStr">
        <is>
          <t>Utility and C&amp;I</t>
        </is>
      </c>
      <c r="E1740" s="3" t="n"/>
      <c r="F1740" s="3" t="inlineStr">
        <is>
          <t>Closed</t>
        </is>
      </c>
      <c r="G1740" s="9" t="inlineStr">
        <is>
          <t xml:space="preserve">Ashish Jindal </t>
        </is>
      </c>
      <c r="H1740" s="26" t="n">
        <v>9983975581</v>
      </c>
      <c r="I1740" s="38" t="inlineStr">
        <is>
          <t>PE01052601</t>
        </is>
      </c>
      <c r="J1740" s="26" t="inlineStr">
        <is>
          <t>Multiple Issues</t>
        </is>
      </c>
      <c r="K1740" s="39" t="inlineStr">
        <is>
          <t>Holi</t>
        </is>
      </c>
      <c r="L1740" s="39" t="inlineStr">
        <is>
          <t>Maharashtra</t>
        </is>
      </c>
      <c r="M1740" s="46" t="inlineStr">
        <is>
          <t>PS</t>
        </is>
      </c>
      <c r="N1740" s="3" t="inlineStr">
        <is>
          <t>Cold Soldering</t>
        </is>
      </c>
      <c r="O1740" s="56" t="n">
        <v>575</v>
      </c>
      <c r="P1740" s="9" t="inlineStr">
        <is>
          <t>NSMI24070180636</t>
        </is>
      </c>
      <c r="Q1740" s="54">
        <f>MID(P1740,5,2)</f>
        <v/>
      </c>
      <c r="R1740" s="53">
        <f>MID(P1740,7,2)</f>
        <v/>
      </c>
      <c r="S1740" s="3" t="inlineStr">
        <is>
          <t>G2G</t>
        </is>
      </c>
      <c r="T1740" s="3" t="inlineStr">
        <is>
          <t>P4</t>
        </is>
      </c>
      <c r="U1740" s="19" t="inlineStr">
        <is>
          <t>P JB Cold Soldering</t>
        </is>
      </c>
      <c r="V1740" s="19" t="inlineStr">
        <is>
          <t>Soldering</t>
        </is>
      </c>
      <c r="W1740" s="3" t="inlineStr">
        <is>
          <t>Repair</t>
        </is>
      </c>
      <c r="X1740" s="18" t="n">
        <v>46163</v>
      </c>
      <c r="Y1740" s="3">
        <f>X1740-A1740</f>
        <v/>
      </c>
      <c r="Z1740" s="18" t="n">
        <v>46163</v>
      </c>
      <c r="AA1740" s="15" t="n"/>
      <c r="AB1740" s="15" t="n"/>
    </row>
    <row r="1741">
      <c r="A1741" s="37" t="n">
        <v>46143</v>
      </c>
      <c r="B1741" s="3" t="n">
        <v>2026</v>
      </c>
      <c r="C1741" s="26" t="inlineStr">
        <is>
          <t>Yanara Power</t>
        </is>
      </c>
      <c r="D1741" s="3" t="inlineStr">
        <is>
          <t>Utility and C&amp;I</t>
        </is>
      </c>
      <c r="E1741" s="3" t="n"/>
      <c r="F1741" s="3" t="inlineStr">
        <is>
          <t>Closed</t>
        </is>
      </c>
      <c r="G1741" s="9" t="inlineStr">
        <is>
          <t xml:space="preserve">Ashish Jindal </t>
        </is>
      </c>
      <c r="H1741" s="26" t="n">
        <v>9983975581</v>
      </c>
      <c r="I1741" s="38" t="inlineStr">
        <is>
          <t>PE01052601</t>
        </is>
      </c>
      <c r="J1741" s="26" t="inlineStr">
        <is>
          <t>Multiple Issues</t>
        </is>
      </c>
      <c r="K1741" s="39" t="inlineStr">
        <is>
          <t>Holi</t>
        </is>
      </c>
      <c r="L1741" s="39" t="inlineStr">
        <is>
          <t>Maharashtra</t>
        </is>
      </c>
      <c r="M1741" s="46" t="inlineStr">
        <is>
          <t>PS</t>
        </is>
      </c>
      <c r="N1741" s="3" t="inlineStr">
        <is>
          <t>Cold Soldering</t>
        </is>
      </c>
      <c r="O1741" s="56" t="n">
        <v>575</v>
      </c>
      <c r="P1741" s="9" t="inlineStr">
        <is>
          <t>NSMI24070217208</t>
        </is>
      </c>
      <c r="Q1741" s="54">
        <f>MID(P1741,5,2)</f>
        <v/>
      </c>
      <c r="R1741" s="53">
        <f>MID(P1741,7,2)</f>
        <v/>
      </c>
      <c r="S1741" s="3" t="inlineStr">
        <is>
          <t>G2G</t>
        </is>
      </c>
      <c r="T1741" s="3" t="inlineStr">
        <is>
          <t>P4</t>
        </is>
      </c>
      <c r="U1741" s="19" t="inlineStr">
        <is>
          <t>P JB Cold Soldering</t>
        </is>
      </c>
      <c r="V1741" s="19" t="inlineStr">
        <is>
          <t>Soldering</t>
        </is>
      </c>
      <c r="W1741" s="3" t="inlineStr">
        <is>
          <t>Repair</t>
        </is>
      </c>
      <c r="X1741" s="18" t="n">
        <v>46163</v>
      </c>
      <c r="Y1741" s="3">
        <f>X1741-A1741</f>
        <v/>
      </c>
      <c r="Z1741" s="18" t="n">
        <v>46163</v>
      </c>
      <c r="AA1741" s="15" t="n"/>
      <c r="AB1741" s="15" t="n"/>
    </row>
    <row r="1742">
      <c r="A1742" s="37" t="n">
        <v>46143</v>
      </c>
      <c r="B1742" s="3" t="n">
        <v>2026</v>
      </c>
      <c r="C1742" s="26" t="inlineStr">
        <is>
          <t>Yanara Power</t>
        </is>
      </c>
      <c r="D1742" s="3" t="inlineStr">
        <is>
          <t>Utility and C&amp;I</t>
        </is>
      </c>
      <c r="E1742" s="3" t="n"/>
      <c r="F1742" s="3" t="inlineStr">
        <is>
          <t>Closed</t>
        </is>
      </c>
      <c r="G1742" s="9" t="inlineStr">
        <is>
          <t xml:space="preserve">Ashish Jindal </t>
        </is>
      </c>
      <c r="H1742" s="26" t="n">
        <v>9983975581</v>
      </c>
      <c r="I1742" s="38" t="inlineStr">
        <is>
          <t>PE01052601</t>
        </is>
      </c>
      <c r="J1742" s="26" t="inlineStr">
        <is>
          <t>Multiple Issues</t>
        </is>
      </c>
      <c r="K1742" s="39" t="inlineStr">
        <is>
          <t>Holi</t>
        </is>
      </c>
      <c r="L1742" s="39" t="inlineStr">
        <is>
          <t>Maharashtra</t>
        </is>
      </c>
      <c r="M1742" s="46" t="inlineStr">
        <is>
          <t>PS</t>
        </is>
      </c>
      <c r="N1742" s="3" t="inlineStr">
        <is>
          <t>Cold Soldering</t>
        </is>
      </c>
      <c r="O1742" s="56" t="n">
        <v>575</v>
      </c>
      <c r="P1742" s="9" t="inlineStr">
        <is>
          <t>NSMI24070179036</t>
        </is>
      </c>
      <c r="Q1742" s="54">
        <f>MID(P1742,5,2)</f>
        <v/>
      </c>
      <c r="R1742" s="53">
        <f>MID(P1742,7,2)</f>
        <v/>
      </c>
      <c r="S1742" s="3" t="inlineStr">
        <is>
          <t>G2G</t>
        </is>
      </c>
      <c r="T1742" s="3" t="inlineStr">
        <is>
          <t>P4</t>
        </is>
      </c>
      <c r="U1742" s="19" t="inlineStr">
        <is>
          <t>P JB Cold Soldering</t>
        </is>
      </c>
      <c r="V1742" s="19" t="inlineStr">
        <is>
          <t>Soldering</t>
        </is>
      </c>
      <c r="W1742" s="3" t="inlineStr">
        <is>
          <t>Repair</t>
        </is>
      </c>
      <c r="X1742" s="18" t="n">
        <v>46163</v>
      </c>
      <c r="Y1742" s="3">
        <f>X1742-A1742</f>
        <v/>
      </c>
      <c r="Z1742" s="18" t="n">
        <v>46163</v>
      </c>
      <c r="AA1742" s="15" t="n"/>
      <c r="AB1742" s="15" t="n"/>
    </row>
    <row r="1743">
      <c r="A1743" s="37" t="n">
        <v>46143</v>
      </c>
      <c r="B1743" s="3" t="n">
        <v>2026</v>
      </c>
      <c r="C1743" s="26" t="inlineStr">
        <is>
          <t>Yanara Power</t>
        </is>
      </c>
      <c r="D1743" s="3" t="inlineStr">
        <is>
          <t>Utility and C&amp;I</t>
        </is>
      </c>
      <c r="E1743" s="3" t="n"/>
      <c r="F1743" s="3" t="inlineStr">
        <is>
          <t>Closed</t>
        </is>
      </c>
      <c r="G1743" s="9" t="inlineStr">
        <is>
          <t xml:space="preserve">Ashish Jindal </t>
        </is>
      </c>
      <c r="H1743" s="26" t="n">
        <v>9983975581</v>
      </c>
      <c r="I1743" s="38" t="inlineStr">
        <is>
          <t>PE01052601</t>
        </is>
      </c>
      <c r="J1743" s="26" t="inlineStr">
        <is>
          <t>Multiple Issues</t>
        </is>
      </c>
      <c r="K1743" s="39" t="inlineStr">
        <is>
          <t>Holi</t>
        </is>
      </c>
      <c r="L1743" s="39" t="inlineStr">
        <is>
          <t>Maharashtra</t>
        </is>
      </c>
      <c r="M1743" s="46" t="inlineStr">
        <is>
          <t>PS</t>
        </is>
      </c>
      <c r="N1743" s="3" t="inlineStr">
        <is>
          <t>Cold Soldering</t>
        </is>
      </c>
      <c r="O1743" s="56" t="n">
        <v>575</v>
      </c>
      <c r="P1743" s="9" t="inlineStr">
        <is>
          <t>NSMI24070181666</t>
        </is>
      </c>
      <c r="Q1743" s="54">
        <f>MID(P1743,5,2)</f>
        <v/>
      </c>
      <c r="R1743" s="53">
        <f>MID(P1743,7,2)</f>
        <v/>
      </c>
      <c r="S1743" s="3" t="inlineStr">
        <is>
          <t>G2G</t>
        </is>
      </c>
      <c r="T1743" s="3" t="inlineStr">
        <is>
          <t>P4</t>
        </is>
      </c>
      <c r="U1743" s="19" t="inlineStr">
        <is>
          <t>P JB Cold Soldering</t>
        </is>
      </c>
      <c r="V1743" s="19" t="inlineStr">
        <is>
          <t>Soldering</t>
        </is>
      </c>
      <c r="W1743" s="3" t="inlineStr">
        <is>
          <t>Repair</t>
        </is>
      </c>
      <c r="X1743" s="18" t="n">
        <v>46163</v>
      </c>
      <c r="Y1743" s="3">
        <f>X1743-A1743</f>
        <v/>
      </c>
      <c r="Z1743" s="18" t="n">
        <v>46163</v>
      </c>
      <c r="AA1743" s="15" t="n"/>
      <c r="AB1743" s="15" t="n"/>
    </row>
    <row r="1744">
      <c r="A1744" s="37" t="n">
        <v>46143</v>
      </c>
      <c r="B1744" s="3" t="n">
        <v>2026</v>
      </c>
      <c r="C1744" s="26" t="inlineStr">
        <is>
          <t>Yanara Power</t>
        </is>
      </c>
      <c r="D1744" s="3" t="inlineStr">
        <is>
          <t>Utility and C&amp;I</t>
        </is>
      </c>
      <c r="E1744" s="3" t="n"/>
      <c r="F1744" s="3" t="inlineStr">
        <is>
          <t>Closed</t>
        </is>
      </c>
      <c r="G1744" s="9" t="inlineStr">
        <is>
          <t xml:space="preserve">Ashish Jindal </t>
        </is>
      </c>
      <c r="H1744" s="26" t="n">
        <v>9983975581</v>
      </c>
      <c r="I1744" s="38" t="inlineStr">
        <is>
          <t>PE01052601</t>
        </is>
      </c>
      <c r="J1744" s="26" t="inlineStr">
        <is>
          <t>Multiple Issues</t>
        </is>
      </c>
      <c r="K1744" s="39" t="inlineStr">
        <is>
          <t>Holi</t>
        </is>
      </c>
      <c r="L1744" s="39" t="inlineStr">
        <is>
          <t>Maharashtra</t>
        </is>
      </c>
      <c r="M1744" s="46" t="inlineStr">
        <is>
          <t>NS</t>
        </is>
      </c>
      <c r="N1744" s="3" t="inlineStr">
        <is>
          <t>Cold Soldering</t>
        </is>
      </c>
      <c r="O1744" s="56" t="n">
        <v>575</v>
      </c>
      <c r="P1744" s="9" t="inlineStr">
        <is>
          <t>NSMI24070181632</t>
        </is>
      </c>
      <c r="Q1744" s="54">
        <f>MID(P1744,5,2)</f>
        <v/>
      </c>
      <c r="R1744" s="53">
        <f>MID(P1744,7,2)</f>
        <v/>
      </c>
      <c r="S1744" s="3" t="inlineStr">
        <is>
          <t>G2G</t>
        </is>
      </c>
      <c r="T1744" s="3" t="inlineStr">
        <is>
          <t>P4</t>
        </is>
      </c>
      <c r="U1744" s="3" t="inlineStr">
        <is>
          <t>N JB Cold Soldering</t>
        </is>
      </c>
      <c r="V1744" s="3" t="inlineStr">
        <is>
          <t>Soldering</t>
        </is>
      </c>
      <c r="W1744" s="3" t="inlineStr">
        <is>
          <t>Repair</t>
        </is>
      </c>
      <c r="X1744" s="18" t="n">
        <v>46163</v>
      </c>
      <c r="Y1744" s="3">
        <f>X1744-A1744</f>
        <v/>
      </c>
      <c r="Z1744" s="18" t="n">
        <v>46163</v>
      </c>
      <c r="AA1744" s="15" t="n"/>
      <c r="AB1744" s="15" t="n"/>
    </row>
    <row r="1745">
      <c r="A1745" s="37" t="n">
        <v>46143</v>
      </c>
      <c r="B1745" s="3" t="n">
        <v>2026</v>
      </c>
      <c r="C1745" s="26" t="inlineStr">
        <is>
          <t>Yanara Power</t>
        </is>
      </c>
      <c r="D1745" s="3" t="inlineStr">
        <is>
          <t>Utility and C&amp;I</t>
        </is>
      </c>
      <c r="E1745" s="3" t="n"/>
      <c r="F1745" s="3" t="inlineStr">
        <is>
          <t>Closed</t>
        </is>
      </c>
      <c r="G1745" s="9" t="inlineStr">
        <is>
          <t xml:space="preserve">Ashish Jindal </t>
        </is>
      </c>
      <c r="H1745" s="26" t="n">
        <v>9983975581</v>
      </c>
      <c r="I1745" s="38" t="inlineStr">
        <is>
          <t>PE01052601</t>
        </is>
      </c>
      <c r="J1745" s="26" t="inlineStr">
        <is>
          <t>Multiple Issues</t>
        </is>
      </c>
      <c r="K1745" s="39" t="inlineStr">
        <is>
          <t>Holi</t>
        </is>
      </c>
      <c r="L1745" s="39" t="inlineStr">
        <is>
          <t>Maharashtra</t>
        </is>
      </c>
      <c r="M1745" s="46" t="inlineStr">
        <is>
          <t>PS</t>
        </is>
      </c>
      <c r="N1745" s="3" t="inlineStr">
        <is>
          <t>Cold Soldering</t>
        </is>
      </c>
      <c r="O1745" s="56" t="n">
        <v>575</v>
      </c>
      <c r="P1745" s="9" t="inlineStr">
        <is>
          <t>NSMI24070181635</t>
        </is>
      </c>
      <c r="Q1745" s="54">
        <f>MID(P1745,5,2)</f>
        <v/>
      </c>
      <c r="R1745" s="53">
        <f>MID(P1745,7,2)</f>
        <v/>
      </c>
      <c r="S1745" s="3" t="inlineStr">
        <is>
          <t>G2G</t>
        </is>
      </c>
      <c r="T1745" s="3" t="inlineStr">
        <is>
          <t>P4</t>
        </is>
      </c>
      <c r="U1745" s="19" t="inlineStr">
        <is>
          <t>P JB Cold Soldering</t>
        </is>
      </c>
      <c r="V1745" s="19" t="inlineStr">
        <is>
          <t>Soldering</t>
        </is>
      </c>
      <c r="W1745" s="3" t="inlineStr">
        <is>
          <t>Repair</t>
        </is>
      </c>
      <c r="X1745" s="18" t="n">
        <v>46163</v>
      </c>
      <c r="Y1745" s="3">
        <f>X1745-A1745</f>
        <v/>
      </c>
      <c r="Z1745" s="18" t="n">
        <v>46163</v>
      </c>
      <c r="AA1745" s="15" t="n"/>
      <c r="AB1745" s="15" t="n"/>
    </row>
    <row r="1746">
      <c r="A1746" s="37" t="n">
        <v>46143</v>
      </c>
      <c r="B1746" s="3" t="n">
        <v>2026</v>
      </c>
      <c r="C1746" s="26" t="inlineStr">
        <is>
          <t>Yanara Power</t>
        </is>
      </c>
      <c r="D1746" s="3" t="inlineStr">
        <is>
          <t>Utility and C&amp;I</t>
        </is>
      </c>
      <c r="E1746" s="3" t="n"/>
      <c r="F1746" s="3" t="inlineStr">
        <is>
          <t>Closed</t>
        </is>
      </c>
      <c r="G1746" s="9" t="inlineStr">
        <is>
          <t xml:space="preserve">Ashish Jindal </t>
        </is>
      </c>
      <c r="H1746" s="26" t="n">
        <v>9983975581</v>
      </c>
      <c r="I1746" s="38" t="inlineStr">
        <is>
          <t>PE01052601</t>
        </is>
      </c>
      <c r="J1746" s="26" t="inlineStr">
        <is>
          <t>Multiple Issues</t>
        </is>
      </c>
      <c r="K1746" s="39" t="inlineStr">
        <is>
          <t>Holi</t>
        </is>
      </c>
      <c r="L1746" s="39" t="inlineStr">
        <is>
          <t>Maharashtra</t>
        </is>
      </c>
      <c r="M1746" s="46" t="inlineStr">
        <is>
          <t>NS</t>
        </is>
      </c>
      <c r="N1746" s="3" t="inlineStr">
        <is>
          <t>Cold Soldering</t>
        </is>
      </c>
      <c r="O1746" s="56" t="n">
        <v>575</v>
      </c>
      <c r="P1746" s="9" t="inlineStr">
        <is>
          <t>NSMI24070179764</t>
        </is>
      </c>
      <c r="Q1746" s="54">
        <f>MID(P1746,5,2)</f>
        <v/>
      </c>
      <c r="R1746" s="53">
        <f>MID(P1746,7,2)</f>
        <v/>
      </c>
      <c r="S1746" s="3" t="inlineStr">
        <is>
          <t>G2G</t>
        </is>
      </c>
      <c r="T1746" s="3" t="inlineStr">
        <is>
          <t>P4</t>
        </is>
      </c>
      <c r="U1746" s="3" t="inlineStr">
        <is>
          <t>N JB Cold Soldering</t>
        </is>
      </c>
      <c r="V1746" s="3" t="inlineStr">
        <is>
          <t>Soldering</t>
        </is>
      </c>
      <c r="W1746" s="3" t="inlineStr">
        <is>
          <t>Repair</t>
        </is>
      </c>
      <c r="X1746" s="18" t="n">
        <v>46163</v>
      </c>
      <c r="Y1746" s="3">
        <f>X1746-A1746</f>
        <v/>
      </c>
      <c r="Z1746" s="18" t="n">
        <v>46163</v>
      </c>
      <c r="AA1746" s="15" t="n"/>
      <c r="AB1746" s="15" t="n"/>
    </row>
    <row r="1747">
      <c r="A1747" s="37" t="n">
        <v>46143</v>
      </c>
      <c r="B1747" s="3" t="n">
        <v>2026</v>
      </c>
      <c r="C1747" s="26" t="inlineStr">
        <is>
          <t>Yanara Power</t>
        </is>
      </c>
      <c r="D1747" s="3" t="inlineStr">
        <is>
          <t>Utility and C&amp;I</t>
        </is>
      </c>
      <c r="E1747" s="3" t="n"/>
      <c r="F1747" s="3" t="inlineStr">
        <is>
          <t>Closed</t>
        </is>
      </c>
      <c r="G1747" s="9" t="inlineStr">
        <is>
          <t xml:space="preserve">Ashish Jindal </t>
        </is>
      </c>
      <c r="H1747" s="26" t="n">
        <v>9983975581</v>
      </c>
      <c r="I1747" s="38" t="inlineStr">
        <is>
          <t>PE01052601</t>
        </is>
      </c>
      <c r="J1747" s="26" t="inlineStr">
        <is>
          <t>Multiple Issues</t>
        </is>
      </c>
      <c r="K1747" s="39" t="inlineStr">
        <is>
          <t>Holi</t>
        </is>
      </c>
      <c r="L1747" s="39" t="inlineStr">
        <is>
          <t>Maharashtra</t>
        </is>
      </c>
      <c r="M1747" s="47" t="inlineStr">
        <is>
          <t>PS</t>
        </is>
      </c>
      <c r="N1747" s="3" t="inlineStr">
        <is>
          <t>Cold Soldering</t>
        </is>
      </c>
      <c r="O1747" s="56" t="n">
        <v>575</v>
      </c>
      <c r="P1747" s="9" t="inlineStr">
        <is>
          <t>NSMI24070184449</t>
        </is>
      </c>
      <c r="Q1747" s="54">
        <f>MID(P1747,5,2)</f>
        <v/>
      </c>
      <c r="R1747" s="53">
        <f>MID(P1747,7,2)</f>
        <v/>
      </c>
      <c r="S1747" s="3" t="inlineStr">
        <is>
          <t>G2G</t>
        </is>
      </c>
      <c r="T1747" s="3" t="inlineStr">
        <is>
          <t>P4</t>
        </is>
      </c>
      <c r="U1747" s="19" t="inlineStr">
        <is>
          <t>P JB Cold Soldering</t>
        </is>
      </c>
      <c r="V1747" s="19" t="inlineStr">
        <is>
          <t>Soldering</t>
        </is>
      </c>
      <c r="W1747" s="3" t="inlineStr">
        <is>
          <t>Repair</t>
        </is>
      </c>
      <c r="X1747" s="18" t="n">
        <v>46163</v>
      </c>
      <c r="Y1747" s="3">
        <f>X1747-A1747</f>
        <v/>
      </c>
      <c r="Z1747" s="18" t="n">
        <v>46163</v>
      </c>
      <c r="AA1747" s="15" t="n"/>
      <c r="AB1747" s="15" t="n"/>
    </row>
    <row r="1748">
      <c r="A1748" s="37" t="n">
        <v>46143</v>
      </c>
      <c r="B1748" s="3" t="n">
        <v>2026</v>
      </c>
      <c r="C1748" s="26" t="inlineStr">
        <is>
          <t>Yanara Power</t>
        </is>
      </c>
      <c r="D1748" s="3" t="inlineStr">
        <is>
          <t>Utility and C&amp;I</t>
        </is>
      </c>
      <c r="E1748" s="3" t="n"/>
      <c r="F1748" s="3" t="inlineStr">
        <is>
          <t>Closed</t>
        </is>
      </c>
      <c r="G1748" s="9" t="inlineStr">
        <is>
          <t xml:space="preserve">Ashish Jindal </t>
        </is>
      </c>
      <c r="H1748" s="26" t="n">
        <v>9983975581</v>
      </c>
      <c r="I1748" s="38" t="inlineStr">
        <is>
          <t>PE01052601</t>
        </is>
      </c>
      <c r="J1748" s="26" t="inlineStr">
        <is>
          <t>Multiple Issues</t>
        </is>
      </c>
      <c r="K1748" s="39" t="inlineStr">
        <is>
          <t>Holi</t>
        </is>
      </c>
      <c r="L1748" s="39" t="inlineStr">
        <is>
          <t>Maharashtra</t>
        </is>
      </c>
      <c r="M1748" s="46" t="inlineStr">
        <is>
          <t>PS</t>
        </is>
      </c>
      <c r="N1748" s="3" t="inlineStr">
        <is>
          <t>Cold Soldering</t>
        </is>
      </c>
      <c r="O1748" s="56" t="n">
        <v>575</v>
      </c>
      <c r="P1748" s="9" t="inlineStr">
        <is>
          <t>NSMI24070181270</t>
        </is>
      </c>
      <c r="Q1748" s="54">
        <f>MID(P1748,5,2)</f>
        <v/>
      </c>
      <c r="R1748" s="53">
        <f>MID(P1748,7,2)</f>
        <v/>
      </c>
      <c r="S1748" s="3" t="inlineStr">
        <is>
          <t>G2G</t>
        </is>
      </c>
      <c r="T1748" s="3" t="inlineStr">
        <is>
          <t>P4</t>
        </is>
      </c>
      <c r="U1748" s="19" t="inlineStr">
        <is>
          <t>P JB Cold Soldering</t>
        </is>
      </c>
      <c r="V1748" s="19" t="inlineStr">
        <is>
          <t>Soldering</t>
        </is>
      </c>
      <c r="W1748" s="3" t="inlineStr">
        <is>
          <t>Repair</t>
        </is>
      </c>
      <c r="X1748" s="18" t="n">
        <v>46163</v>
      </c>
      <c r="Y1748" s="3">
        <f>X1748-A1748</f>
        <v/>
      </c>
      <c r="Z1748" s="18" t="n">
        <v>46163</v>
      </c>
      <c r="AA1748" s="15" t="n"/>
      <c r="AB1748" s="15" t="n"/>
    </row>
    <row r="1749">
      <c r="A1749" s="37" t="n">
        <v>46143</v>
      </c>
      <c r="B1749" s="3" t="n">
        <v>2026</v>
      </c>
      <c r="C1749" s="26" t="inlineStr">
        <is>
          <t>Yanara Power</t>
        </is>
      </c>
      <c r="D1749" s="3" t="inlineStr">
        <is>
          <t>Utility and C&amp;I</t>
        </is>
      </c>
      <c r="E1749" s="3" t="n"/>
      <c r="F1749" s="3" t="inlineStr">
        <is>
          <t>Closed</t>
        </is>
      </c>
      <c r="G1749" s="9" t="inlineStr">
        <is>
          <t xml:space="preserve">Ashish Jindal </t>
        </is>
      </c>
      <c r="H1749" s="26" t="n">
        <v>9983975581</v>
      </c>
      <c r="I1749" s="38" t="inlineStr">
        <is>
          <t>PE01052601</t>
        </is>
      </c>
      <c r="J1749" s="26" t="inlineStr">
        <is>
          <t>Multiple Issues</t>
        </is>
      </c>
      <c r="K1749" s="39" t="inlineStr">
        <is>
          <t>Holi</t>
        </is>
      </c>
      <c r="L1749" s="39" t="inlineStr">
        <is>
          <t>Maharashtra</t>
        </is>
      </c>
      <c r="M1749" s="46" t="inlineStr">
        <is>
          <t>NS</t>
        </is>
      </c>
      <c r="N1749" s="3" t="inlineStr">
        <is>
          <t>Cold Soldering</t>
        </is>
      </c>
      <c r="O1749" s="56" t="n">
        <v>575</v>
      </c>
      <c r="P1749" s="9" t="inlineStr">
        <is>
          <t>NSMI24070180580</t>
        </is>
      </c>
      <c r="Q1749" s="54">
        <f>MID(P1749,5,2)</f>
        <v/>
      </c>
      <c r="R1749" s="53">
        <f>MID(P1749,7,2)</f>
        <v/>
      </c>
      <c r="S1749" s="3" t="inlineStr">
        <is>
          <t>G2G</t>
        </is>
      </c>
      <c r="T1749" s="3" t="inlineStr">
        <is>
          <t>P4</t>
        </is>
      </c>
      <c r="U1749" s="3" t="inlineStr">
        <is>
          <t>N JB Cold Soldering</t>
        </is>
      </c>
      <c r="V1749" s="3" t="inlineStr">
        <is>
          <t>Soldering</t>
        </is>
      </c>
      <c r="W1749" s="3" t="inlineStr">
        <is>
          <t>Repair</t>
        </is>
      </c>
      <c r="X1749" s="18" t="n">
        <v>46164</v>
      </c>
      <c r="Y1749" s="3">
        <f>X1749-A1749</f>
        <v/>
      </c>
      <c r="Z1749" s="18" t="n">
        <v>46164</v>
      </c>
      <c r="AA1749" s="15" t="n"/>
      <c r="AB1749" s="15" t="n"/>
    </row>
    <row r="1750">
      <c r="A1750" s="37" t="n">
        <v>46143</v>
      </c>
      <c r="B1750" s="3" t="n">
        <v>2026</v>
      </c>
      <c r="C1750" s="26" t="inlineStr">
        <is>
          <t>Yanara Power</t>
        </is>
      </c>
      <c r="D1750" s="3" t="inlineStr">
        <is>
          <t>Utility and C&amp;I</t>
        </is>
      </c>
      <c r="E1750" s="3" t="n"/>
      <c r="F1750" s="3" t="inlineStr">
        <is>
          <t>Closed</t>
        </is>
      </c>
      <c r="G1750" s="9" t="inlineStr">
        <is>
          <t xml:space="preserve">Ashish Jindal </t>
        </is>
      </c>
      <c r="H1750" s="26" t="n">
        <v>9983975581</v>
      </c>
      <c r="I1750" s="38" t="inlineStr">
        <is>
          <t>PE01052601</t>
        </is>
      </c>
      <c r="J1750" s="26" t="inlineStr">
        <is>
          <t>Multiple Issues</t>
        </is>
      </c>
      <c r="K1750" s="39" t="inlineStr">
        <is>
          <t>Holi</t>
        </is>
      </c>
      <c r="L1750" s="39" t="inlineStr">
        <is>
          <t>Maharashtra</t>
        </is>
      </c>
      <c r="M1750" s="46" t="inlineStr">
        <is>
          <t>PNS</t>
        </is>
      </c>
      <c r="N1750" s="3" t="inlineStr">
        <is>
          <t>Cold Soldering</t>
        </is>
      </c>
      <c r="O1750" s="56" t="n">
        <v>575</v>
      </c>
      <c r="P1750" s="9" t="inlineStr">
        <is>
          <t>NSMI24070217230</t>
        </is>
      </c>
      <c r="Q1750" s="54">
        <f>MID(P1750,5,2)</f>
        <v/>
      </c>
      <c r="R1750" s="53">
        <f>MID(P1750,7,2)</f>
        <v/>
      </c>
      <c r="S1750" s="3" t="inlineStr">
        <is>
          <t>G2G</t>
        </is>
      </c>
      <c r="T1750" s="3" t="inlineStr">
        <is>
          <t>P4</t>
        </is>
      </c>
      <c r="U1750" s="3" t="inlineStr">
        <is>
          <t>P &amp; N JB Cold Soldering</t>
        </is>
      </c>
      <c r="V1750" s="3" t="inlineStr">
        <is>
          <t>Soldering</t>
        </is>
      </c>
      <c r="W1750" s="3" t="inlineStr">
        <is>
          <t>Repair</t>
        </is>
      </c>
      <c r="X1750" s="18" t="n">
        <v>46164</v>
      </c>
      <c r="Y1750" s="3">
        <f>X1750-A1750</f>
        <v/>
      </c>
      <c r="Z1750" s="18" t="n">
        <v>46164</v>
      </c>
      <c r="AA1750" s="15" t="n"/>
      <c r="AB1750" s="15" t="n"/>
    </row>
    <row r="1751">
      <c r="A1751" s="37" t="n">
        <v>46143</v>
      </c>
      <c r="B1751" s="3" t="n">
        <v>2026</v>
      </c>
      <c r="C1751" s="26" t="inlineStr">
        <is>
          <t>Yanara Power</t>
        </is>
      </c>
      <c r="D1751" s="3" t="inlineStr">
        <is>
          <t>Utility and C&amp;I</t>
        </is>
      </c>
      <c r="E1751" s="3" t="n"/>
      <c r="F1751" s="3" t="inlineStr">
        <is>
          <t>Closed</t>
        </is>
      </c>
      <c r="G1751" s="9" t="inlineStr">
        <is>
          <t xml:space="preserve">Ashish Jindal </t>
        </is>
      </c>
      <c r="H1751" s="26" t="n">
        <v>9983975581</v>
      </c>
      <c r="I1751" s="38" t="inlineStr">
        <is>
          <t>PE01052601</t>
        </is>
      </c>
      <c r="J1751" s="26" t="inlineStr">
        <is>
          <t>Multiple Issues</t>
        </is>
      </c>
      <c r="K1751" s="39" t="inlineStr">
        <is>
          <t>Holi</t>
        </is>
      </c>
      <c r="L1751" s="39" t="inlineStr">
        <is>
          <t>Maharashtra</t>
        </is>
      </c>
      <c r="M1751" s="46" t="inlineStr">
        <is>
          <t>PS</t>
        </is>
      </c>
      <c r="N1751" s="3" t="inlineStr">
        <is>
          <t>Cold Soldering</t>
        </is>
      </c>
      <c r="O1751" s="56" t="n">
        <v>575</v>
      </c>
      <c r="P1751" s="9" t="inlineStr">
        <is>
          <t>NSMI24070179589</t>
        </is>
      </c>
      <c r="Q1751" s="54">
        <f>MID(P1751,5,2)</f>
        <v/>
      </c>
      <c r="R1751" s="53">
        <f>MID(P1751,7,2)</f>
        <v/>
      </c>
      <c r="S1751" s="3" t="inlineStr">
        <is>
          <t>G2G</t>
        </is>
      </c>
      <c r="T1751" s="3" t="inlineStr">
        <is>
          <t>P4</t>
        </is>
      </c>
      <c r="U1751" s="19" t="inlineStr">
        <is>
          <t>P JB Cold Soldering</t>
        </is>
      </c>
      <c r="V1751" s="19" t="inlineStr">
        <is>
          <t>Soldering</t>
        </is>
      </c>
      <c r="W1751" s="3" t="inlineStr">
        <is>
          <t>Repair</t>
        </is>
      </c>
      <c r="X1751" s="18" t="n">
        <v>46164</v>
      </c>
      <c r="Y1751" s="3">
        <f>X1751-A1751</f>
        <v/>
      </c>
      <c r="Z1751" s="18" t="n">
        <v>46164</v>
      </c>
      <c r="AA1751" s="15" t="n"/>
      <c r="AB1751" s="15" t="n"/>
    </row>
    <row r="1752">
      <c r="A1752" s="37" t="n">
        <v>46143</v>
      </c>
      <c r="B1752" s="3" t="n">
        <v>2026</v>
      </c>
      <c r="C1752" s="26" t="inlineStr">
        <is>
          <t>Yanara Power</t>
        </is>
      </c>
      <c r="D1752" s="3" t="inlineStr">
        <is>
          <t>Utility and C&amp;I</t>
        </is>
      </c>
      <c r="E1752" s="3" t="n"/>
      <c r="F1752" s="3" t="inlineStr">
        <is>
          <t>Closed</t>
        </is>
      </c>
      <c r="G1752" s="9" t="inlineStr">
        <is>
          <t xml:space="preserve">Ashish Jindal </t>
        </is>
      </c>
      <c r="H1752" s="26" t="n">
        <v>9983975581</v>
      </c>
      <c r="I1752" s="38" t="inlineStr">
        <is>
          <t>PE01052601</t>
        </is>
      </c>
      <c r="J1752" s="26" t="inlineStr">
        <is>
          <t>Multiple Issues</t>
        </is>
      </c>
      <c r="K1752" s="39" t="inlineStr">
        <is>
          <t>Holi</t>
        </is>
      </c>
      <c r="L1752" s="39" t="inlineStr">
        <is>
          <t>Maharashtra</t>
        </is>
      </c>
      <c r="M1752" s="46" t="inlineStr">
        <is>
          <t>NS</t>
        </is>
      </c>
      <c r="N1752" s="3" t="inlineStr">
        <is>
          <t>Cold Soldering</t>
        </is>
      </c>
      <c r="O1752" s="56" t="n">
        <v>575</v>
      </c>
      <c r="P1752" s="9" t="inlineStr">
        <is>
          <t>NSMI24070195315</t>
        </is>
      </c>
      <c r="Q1752" s="54">
        <f>MID(P1752,5,2)</f>
        <v/>
      </c>
      <c r="R1752" s="53">
        <f>MID(P1752,7,2)</f>
        <v/>
      </c>
      <c r="S1752" s="3" t="inlineStr">
        <is>
          <t>G2G</t>
        </is>
      </c>
      <c r="T1752" s="3" t="inlineStr">
        <is>
          <t>P4</t>
        </is>
      </c>
      <c r="U1752" s="3" t="inlineStr">
        <is>
          <t>N JB Cold Soldering</t>
        </is>
      </c>
      <c r="V1752" s="3" t="inlineStr">
        <is>
          <t>Soldering</t>
        </is>
      </c>
      <c r="W1752" s="3" t="inlineStr">
        <is>
          <t>Repair</t>
        </is>
      </c>
      <c r="X1752" s="18" t="n">
        <v>46164</v>
      </c>
      <c r="Y1752" s="3">
        <f>X1752-A1752</f>
        <v/>
      </c>
      <c r="Z1752" s="18" t="n">
        <v>46164</v>
      </c>
      <c r="AA1752" s="15" t="n"/>
      <c r="AB1752" s="15" t="n"/>
    </row>
    <row r="1753">
      <c r="A1753" s="37" t="n">
        <v>46143</v>
      </c>
      <c r="B1753" s="3" t="n">
        <v>2026</v>
      </c>
      <c r="C1753" s="26" t="inlineStr">
        <is>
          <t>Yanara Power</t>
        </is>
      </c>
      <c r="D1753" s="3" t="inlineStr">
        <is>
          <t>Utility and C&amp;I</t>
        </is>
      </c>
      <c r="E1753" s="3" t="n"/>
      <c r="F1753" s="3" t="inlineStr">
        <is>
          <t>Closed</t>
        </is>
      </c>
      <c r="G1753" s="9" t="inlineStr">
        <is>
          <t xml:space="preserve">Ashish Jindal </t>
        </is>
      </c>
      <c r="H1753" s="26" t="n">
        <v>9983975581</v>
      </c>
      <c r="I1753" s="38" t="inlineStr">
        <is>
          <t>PE01052601</t>
        </is>
      </c>
      <c r="J1753" s="26" t="inlineStr">
        <is>
          <t>Multiple Issues</t>
        </is>
      </c>
      <c r="K1753" s="39" t="inlineStr">
        <is>
          <t>Holi</t>
        </is>
      </c>
      <c r="L1753" s="39" t="inlineStr">
        <is>
          <t>Maharashtra</t>
        </is>
      </c>
      <c r="M1753" s="46" t="inlineStr">
        <is>
          <t>NS</t>
        </is>
      </c>
      <c r="N1753" s="3" t="inlineStr">
        <is>
          <t>Cold Soldering</t>
        </is>
      </c>
      <c r="O1753" s="56" t="n">
        <v>575</v>
      </c>
      <c r="P1753" s="9" t="inlineStr">
        <is>
          <t>NSMI24070195269</t>
        </is>
      </c>
      <c r="Q1753" s="54">
        <f>MID(P1753,5,2)</f>
        <v/>
      </c>
      <c r="R1753" s="53">
        <f>MID(P1753,7,2)</f>
        <v/>
      </c>
      <c r="S1753" s="3" t="inlineStr">
        <is>
          <t>G2G</t>
        </is>
      </c>
      <c r="T1753" s="3" t="inlineStr">
        <is>
          <t>P4</t>
        </is>
      </c>
      <c r="U1753" s="3" t="inlineStr">
        <is>
          <t>N JB Cold Soldering</t>
        </is>
      </c>
      <c r="V1753" s="3" t="inlineStr">
        <is>
          <t>Soldering</t>
        </is>
      </c>
      <c r="W1753" s="3" t="inlineStr">
        <is>
          <t>Repair</t>
        </is>
      </c>
      <c r="X1753" s="18" t="n">
        <v>46164</v>
      </c>
      <c r="Y1753" s="3">
        <f>X1753-A1753</f>
        <v/>
      </c>
      <c r="Z1753" s="18" t="n">
        <v>46164</v>
      </c>
      <c r="AA1753" s="15" t="n"/>
      <c r="AB1753" s="15" t="n"/>
    </row>
    <row r="1754">
      <c r="A1754" s="37" t="n">
        <v>46143</v>
      </c>
      <c r="B1754" s="3" t="n">
        <v>2026</v>
      </c>
      <c r="C1754" s="26" t="inlineStr">
        <is>
          <t>Yanara Power</t>
        </is>
      </c>
      <c r="D1754" s="3" t="inlineStr">
        <is>
          <t>Utility and C&amp;I</t>
        </is>
      </c>
      <c r="E1754" s="3" t="n"/>
      <c r="F1754" s="3" t="inlineStr">
        <is>
          <t>Closed</t>
        </is>
      </c>
      <c r="G1754" s="9" t="inlineStr">
        <is>
          <t xml:space="preserve">Ashish Jindal </t>
        </is>
      </c>
      <c r="H1754" s="26" t="n">
        <v>9983975581</v>
      </c>
      <c r="I1754" s="38" t="inlineStr">
        <is>
          <t>PE01052601</t>
        </is>
      </c>
      <c r="J1754" s="26" t="inlineStr">
        <is>
          <t>Multiple Issues</t>
        </is>
      </c>
      <c r="K1754" s="39" t="inlineStr">
        <is>
          <t>Holi</t>
        </is>
      </c>
      <c r="L1754" s="39" t="inlineStr">
        <is>
          <t>Maharashtra</t>
        </is>
      </c>
      <c r="M1754" s="46" t="inlineStr">
        <is>
          <t>NS</t>
        </is>
      </c>
      <c r="N1754" s="3" t="inlineStr">
        <is>
          <t>Cold Soldering</t>
        </is>
      </c>
      <c r="O1754" s="56" t="n">
        <v>575</v>
      </c>
      <c r="P1754" s="9" t="inlineStr">
        <is>
          <t>NSMI24070195306</t>
        </is>
      </c>
      <c r="Q1754" s="54">
        <f>MID(P1754,5,2)</f>
        <v/>
      </c>
      <c r="R1754" s="53">
        <f>MID(P1754,7,2)</f>
        <v/>
      </c>
      <c r="S1754" s="3" t="inlineStr">
        <is>
          <t>G2G</t>
        </is>
      </c>
      <c r="T1754" s="3" t="inlineStr">
        <is>
          <t>P4</t>
        </is>
      </c>
      <c r="U1754" s="3" t="inlineStr">
        <is>
          <t>N JB Cold Soldering</t>
        </is>
      </c>
      <c r="V1754" s="3" t="inlineStr">
        <is>
          <t>Soldering</t>
        </is>
      </c>
      <c r="W1754" s="3" t="inlineStr">
        <is>
          <t>Repair</t>
        </is>
      </c>
      <c r="X1754" s="18" t="n">
        <v>46164</v>
      </c>
      <c r="Y1754" s="3">
        <f>X1754-A1754</f>
        <v/>
      </c>
      <c r="Z1754" s="18" t="n">
        <v>46164</v>
      </c>
      <c r="AA1754" s="15" t="n"/>
      <c r="AB1754" s="15" t="n"/>
    </row>
    <row r="1755">
      <c r="A1755" s="37" t="n">
        <v>46143</v>
      </c>
      <c r="B1755" s="3" t="n">
        <v>2026</v>
      </c>
      <c r="C1755" s="26" t="inlineStr">
        <is>
          <t>Yanara Power</t>
        </is>
      </c>
      <c r="D1755" s="3" t="inlineStr">
        <is>
          <t>Utility and C&amp;I</t>
        </is>
      </c>
      <c r="E1755" s="3" t="n"/>
      <c r="F1755" s="3" t="inlineStr">
        <is>
          <t>Closed</t>
        </is>
      </c>
      <c r="G1755" s="9" t="inlineStr">
        <is>
          <t xml:space="preserve">Ashish Jindal </t>
        </is>
      </c>
      <c r="H1755" s="26" t="n">
        <v>9983975581</v>
      </c>
      <c r="I1755" s="38" t="inlineStr">
        <is>
          <t>PE01052601</t>
        </is>
      </c>
      <c r="J1755" s="26" t="inlineStr">
        <is>
          <t>Multiple Issues</t>
        </is>
      </c>
      <c r="K1755" s="39" t="inlineStr">
        <is>
          <t>Holi</t>
        </is>
      </c>
      <c r="L1755" s="39" t="inlineStr">
        <is>
          <t>Maharashtra</t>
        </is>
      </c>
      <c r="M1755" s="46" t="inlineStr">
        <is>
          <t>NS</t>
        </is>
      </c>
      <c r="N1755" s="3" t="inlineStr">
        <is>
          <t>Cold Soldering</t>
        </is>
      </c>
      <c r="O1755" s="56" t="n">
        <v>575</v>
      </c>
      <c r="P1755" s="9" t="inlineStr">
        <is>
          <t>NSMI24070218779</t>
        </is>
      </c>
      <c r="Q1755" s="54">
        <f>MID(P1755,5,2)</f>
        <v/>
      </c>
      <c r="R1755" s="53">
        <f>MID(P1755,7,2)</f>
        <v/>
      </c>
      <c r="S1755" s="3" t="inlineStr">
        <is>
          <t>G2G</t>
        </is>
      </c>
      <c r="T1755" s="3" t="inlineStr">
        <is>
          <t>P4</t>
        </is>
      </c>
      <c r="U1755" s="3" t="inlineStr">
        <is>
          <t>N JB Cold Soldering</t>
        </is>
      </c>
      <c r="V1755" s="3" t="inlineStr">
        <is>
          <t>Soldering</t>
        </is>
      </c>
      <c r="W1755" s="3" t="inlineStr">
        <is>
          <t>Repair</t>
        </is>
      </c>
      <c r="X1755" s="18" t="n">
        <v>46164</v>
      </c>
      <c r="Y1755" s="3">
        <f>X1755-A1755</f>
        <v/>
      </c>
      <c r="Z1755" s="18" t="n">
        <v>46164</v>
      </c>
      <c r="AA1755" s="15" t="n"/>
      <c r="AB1755" s="15" t="n"/>
    </row>
    <row r="1756">
      <c r="A1756" s="37" t="n">
        <v>46143</v>
      </c>
      <c r="B1756" s="3" t="n">
        <v>2026</v>
      </c>
      <c r="C1756" s="26" t="inlineStr">
        <is>
          <t>Yanara Power</t>
        </is>
      </c>
      <c r="D1756" s="3" t="inlineStr">
        <is>
          <t>Utility and C&amp;I</t>
        </is>
      </c>
      <c r="E1756" s="3" t="n"/>
      <c r="F1756" s="3" t="inlineStr">
        <is>
          <t>Closed</t>
        </is>
      </c>
      <c r="G1756" s="9" t="inlineStr">
        <is>
          <t xml:space="preserve">Ashish Jindal </t>
        </is>
      </c>
      <c r="H1756" s="26" t="n">
        <v>9983975581</v>
      </c>
      <c r="I1756" s="38" t="inlineStr">
        <is>
          <t>PE01052601</t>
        </is>
      </c>
      <c r="J1756" s="26" t="inlineStr">
        <is>
          <t>Multiple Issues</t>
        </is>
      </c>
      <c r="K1756" s="39" t="inlineStr">
        <is>
          <t>Holi</t>
        </is>
      </c>
      <c r="L1756" s="39" t="inlineStr">
        <is>
          <t>Maharashtra</t>
        </is>
      </c>
      <c r="M1756" s="46" t="inlineStr">
        <is>
          <t>PS</t>
        </is>
      </c>
      <c r="N1756" s="3" t="inlineStr">
        <is>
          <t>Cold Soldering</t>
        </is>
      </c>
      <c r="O1756" s="56" t="n">
        <v>575</v>
      </c>
      <c r="P1756" s="9" t="inlineStr">
        <is>
          <t>NSMI24070218778</t>
        </is>
      </c>
      <c r="Q1756" s="54">
        <f>MID(P1756,5,2)</f>
        <v/>
      </c>
      <c r="R1756" s="53">
        <f>MID(P1756,7,2)</f>
        <v/>
      </c>
      <c r="S1756" s="3" t="inlineStr">
        <is>
          <t>G2G</t>
        </is>
      </c>
      <c r="T1756" s="3" t="inlineStr">
        <is>
          <t>P4</t>
        </is>
      </c>
      <c r="U1756" s="19" t="inlineStr">
        <is>
          <t>P JB Cold Soldering</t>
        </is>
      </c>
      <c r="V1756" s="19" t="inlineStr">
        <is>
          <t>Soldering</t>
        </is>
      </c>
      <c r="W1756" s="3" t="inlineStr">
        <is>
          <t>Repair</t>
        </is>
      </c>
      <c r="X1756" s="18" t="n">
        <v>46164</v>
      </c>
      <c r="Y1756" s="3">
        <f>X1756-A1756</f>
        <v/>
      </c>
      <c r="Z1756" s="18" t="n">
        <v>46164</v>
      </c>
      <c r="AA1756" s="15" t="n"/>
      <c r="AB1756" s="15" t="n"/>
    </row>
    <row r="1757">
      <c r="A1757" s="37" t="n">
        <v>46143</v>
      </c>
      <c r="B1757" s="3" t="n">
        <v>2026</v>
      </c>
      <c r="C1757" s="26" t="inlineStr">
        <is>
          <t>Yanara Power</t>
        </is>
      </c>
      <c r="D1757" s="3" t="inlineStr">
        <is>
          <t>Utility and C&amp;I</t>
        </is>
      </c>
      <c r="E1757" s="3" t="n"/>
      <c r="F1757" s="3" t="inlineStr">
        <is>
          <t>Closed</t>
        </is>
      </c>
      <c r="G1757" s="9" t="inlineStr">
        <is>
          <t xml:space="preserve">Ashish Jindal </t>
        </is>
      </c>
      <c r="H1757" s="26" t="n">
        <v>9983975581</v>
      </c>
      <c r="I1757" s="38" t="inlineStr">
        <is>
          <t>PE01052601</t>
        </is>
      </c>
      <c r="J1757" s="26" t="inlineStr">
        <is>
          <t>Multiple Issues</t>
        </is>
      </c>
      <c r="K1757" s="39" t="inlineStr">
        <is>
          <t>Holi</t>
        </is>
      </c>
      <c r="L1757" s="39" t="inlineStr">
        <is>
          <t>Maharashtra</t>
        </is>
      </c>
      <c r="M1757" s="46" t="inlineStr">
        <is>
          <t>NS</t>
        </is>
      </c>
      <c r="N1757" s="3" t="inlineStr">
        <is>
          <t>Cold Soldering</t>
        </is>
      </c>
      <c r="O1757" s="56" t="n">
        <v>575</v>
      </c>
      <c r="P1757" s="9" t="inlineStr">
        <is>
          <t>NSMI24070218523</t>
        </is>
      </c>
      <c r="Q1757" s="54">
        <f>MID(P1757,5,2)</f>
        <v/>
      </c>
      <c r="R1757" s="53">
        <f>MID(P1757,7,2)</f>
        <v/>
      </c>
      <c r="S1757" s="3" t="inlineStr">
        <is>
          <t>G2G</t>
        </is>
      </c>
      <c r="T1757" s="3" t="inlineStr">
        <is>
          <t>P4</t>
        </is>
      </c>
      <c r="U1757" s="3" t="inlineStr">
        <is>
          <t>N JB Cold Soldering</t>
        </is>
      </c>
      <c r="V1757" s="3" t="inlineStr">
        <is>
          <t>Soldering</t>
        </is>
      </c>
      <c r="W1757" s="3" t="inlineStr">
        <is>
          <t>Repair</t>
        </is>
      </c>
      <c r="X1757" s="18" t="n">
        <v>46164</v>
      </c>
      <c r="Y1757" s="3">
        <f>X1757-A1757</f>
        <v/>
      </c>
      <c r="Z1757" s="18" t="n">
        <v>46164</v>
      </c>
      <c r="AA1757" s="15" t="n"/>
      <c r="AB1757" s="15" t="n"/>
    </row>
    <row r="1758">
      <c r="A1758" s="37" t="n">
        <v>46143</v>
      </c>
      <c r="B1758" s="3" t="n">
        <v>2026</v>
      </c>
      <c r="C1758" s="26" t="inlineStr">
        <is>
          <t>Yanara Power</t>
        </is>
      </c>
      <c r="D1758" s="3" t="inlineStr">
        <is>
          <t>Utility and C&amp;I</t>
        </is>
      </c>
      <c r="E1758" s="3" t="n"/>
      <c r="F1758" s="3" t="inlineStr">
        <is>
          <t>Closed</t>
        </is>
      </c>
      <c r="G1758" s="9" t="inlineStr">
        <is>
          <t xml:space="preserve">Ashish Jindal </t>
        </is>
      </c>
      <c r="H1758" s="26" t="n">
        <v>9983975581</v>
      </c>
      <c r="I1758" s="38" t="inlineStr">
        <is>
          <t>PE01052601</t>
        </is>
      </c>
      <c r="J1758" s="26" t="inlineStr">
        <is>
          <t>Multiple Issues</t>
        </is>
      </c>
      <c r="K1758" s="39" t="inlineStr">
        <is>
          <t>Holi</t>
        </is>
      </c>
      <c r="L1758" s="39" t="inlineStr">
        <is>
          <t>Maharashtra</t>
        </is>
      </c>
      <c r="M1758" s="46" t="inlineStr">
        <is>
          <t>NS</t>
        </is>
      </c>
      <c r="N1758" s="3" t="inlineStr">
        <is>
          <t>Cold Soldering</t>
        </is>
      </c>
      <c r="O1758" s="56" t="n">
        <v>575</v>
      </c>
      <c r="P1758" s="9" t="inlineStr">
        <is>
          <t>NSMI24070198879</t>
        </is>
      </c>
      <c r="Q1758" s="54">
        <f>MID(P1758,5,2)</f>
        <v/>
      </c>
      <c r="R1758" s="53">
        <f>MID(P1758,7,2)</f>
        <v/>
      </c>
      <c r="S1758" s="3" t="inlineStr">
        <is>
          <t>G2G</t>
        </is>
      </c>
      <c r="T1758" s="3" t="inlineStr">
        <is>
          <t>P4</t>
        </is>
      </c>
      <c r="U1758" s="3" t="inlineStr">
        <is>
          <t>N JB Cold Soldering</t>
        </is>
      </c>
      <c r="V1758" s="3" t="inlineStr">
        <is>
          <t>Soldering</t>
        </is>
      </c>
      <c r="W1758" s="3" t="inlineStr">
        <is>
          <t>Repair</t>
        </is>
      </c>
      <c r="X1758" s="18" t="n">
        <v>46164</v>
      </c>
      <c r="Y1758" s="3">
        <f>X1758-A1758</f>
        <v/>
      </c>
      <c r="Z1758" s="18" t="n">
        <v>46164</v>
      </c>
      <c r="AA1758" s="15" t="n"/>
      <c r="AB1758" s="15" t="n"/>
    </row>
    <row r="1759">
      <c r="A1759" s="37" t="n">
        <v>46143</v>
      </c>
      <c r="B1759" s="3" t="n">
        <v>2026</v>
      </c>
      <c r="C1759" s="26" t="inlineStr">
        <is>
          <t>Yanara Power</t>
        </is>
      </c>
      <c r="D1759" s="3" t="inlineStr">
        <is>
          <t>Utility and C&amp;I</t>
        </is>
      </c>
      <c r="E1759" s="3" t="n"/>
      <c r="F1759" s="3" t="inlineStr">
        <is>
          <t>Closed</t>
        </is>
      </c>
      <c r="G1759" s="9" t="inlineStr">
        <is>
          <t xml:space="preserve">Ashish Jindal </t>
        </is>
      </c>
      <c r="H1759" s="26" t="n">
        <v>9983975581</v>
      </c>
      <c r="I1759" s="38" t="inlineStr">
        <is>
          <t>PE01052601</t>
        </is>
      </c>
      <c r="J1759" s="26" t="inlineStr">
        <is>
          <t>Multiple Issues</t>
        </is>
      </c>
      <c r="K1759" s="39" t="inlineStr">
        <is>
          <t>Holi</t>
        </is>
      </c>
      <c r="L1759" s="39" t="inlineStr">
        <is>
          <t>Maharashtra</t>
        </is>
      </c>
      <c r="M1759" s="46" t="inlineStr">
        <is>
          <t>NS</t>
        </is>
      </c>
      <c r="N1759" s="3" t="inlineStr">
        <is>
          <t>Cold Soldering</t>
        </is>
      </c>
      <c r="O1759" s="56" t="n">
        <v>575</v>
      </c>
      <c r="P1759" s="9" t="inlineStr">
        <is>
          <t>NSMI24070198875</t>
        </is>
      </c>
      <c r="Q1759" s="54">
        <f>MID(P1759,5,2)</f>
        <v/>
      </c>
      <c r="R1759" s="53">
        <f>MID(P1759,7,2)</f>
        <v/>
      </c>
      <c r="S1759" s="3" t="inlineStr">
        <is>
          <t>G2G</t>
        </is>
      </c>
      <c r="T1759" s="3" t="inlineStr">
        <is>
          <t>P4</t>
        </is>
      </c>
      <c r="U1759" s="3" t="inlineStr">
        <is>
          <t>N JB Cold Soldering</t>
        </is>
      </c>
      <c r="V1759" s="3" t="inlineStr">
        <is>
          <t>Soldering</t>
        </is>
      </c>
      <c r="W1759" s="3" t="inlineStr">
        <is>
          <t>Repair</t>
        </is>
      </c>
      <c r="X1759" s="18" t="n">
        <v>46164</v>
      </c>
      <c r="Y1759" s="3">
        <f>X1759-A1759</f>
        <v/>
      </c>
      <c r="Z1759" s="18" t="n">
        <v>46164</v>
      </c>
      <c r="AA1759" s="15" t="n"/>
      <c r="AB1759" s="15" t="n"/>
    </row>
    <row r="1760">
      <c r="A1760" s="37" t="n">
        <v>46143</v>
      </c>
      <c r="B1760" s="3" t="n">
        <v>2026</v>
      </c>
      <c r="C1760" s="26" t="inlineStr">
        <is>
          <t>Yanara Power</t>
        </is>
      </c>
      <c r="D1760" s="3" t="inlineStr">
        <is>
          <t>Utility and C&amp;I</t>
        </is>
      </c>
      <c r="E1760" s="3" t="n"/>
      <c r="F1760" s="3" t="inlineStr">
        <is>
          <t>Closed</t>
        </is>
      </c>
      <c r="G1760" s="9" t="inlineStr">
        <is>
          <t xml:space="preserve">Ashish Jindal </t>
        </is>
      </c>
      <c r="H1760" s="26" t="n">
        <v>9983975581</v>
      </c>
      <c r="I1760" s="38" t="inlineStr">
        <is>
          <t>PE01052601</t>
        </is>
      </c>
      <c r="J1760" s="26" t="inlineStr">
        <is>
          <t>Multiple Issues</t>
        </is>
      </c>
      <c r="K1760" s="39" t="inlineStr">
        <is>
          <t>Holi</t>
        </is>
      </c>
      <c r="L1760" s="39" t="inlineStr">
        <is>
          <t>Maharashtra</t>
        </is>
      </c>
      <c r="M1760" s="46" t="inlineStr">
        <is>
          <t>PS</t>
        </is>
      </c>
      <c r="N1760" s="3" t="inlineStr">
        <is>
          <t>Cold Soldering</t>
        </is>
      </c>
      <c r="O1760" s="56" t="n">
        <v>575</v>
      </c>
      <c r="P1760" s="9" t="inlineStr">
        <is>
          <t>NSMI24070199316</t>
        </is>
      </c>
      <c r="Q1760" s="54">
        <f>MID(P1760,5,2)</f>
        <v/>
      </c>
      <c r="R1760" s="53">
        <f>MID(P1760,7,2)</f>
        <v/>
      </c>
      <c r="S1760" s="3" t="inlineStr">
        <is>
          <t>G2G</t>
        </is>
      </c>
      <c r="T1760" s="3" t="inlineStr">
        <is>
          <t>P4</t>
        </is>
      </c>
      <c r="U1760" s="19" t="inlineStr">
        <is>
          <t>P JB Cold Soldering</t>
        </is>
      </c>
      <c r="V1760" s="19" t="inlineStr">
        <is>
          <t>Soldering</t>
        </is>
      </c>
      <c r="W1760" s="3" t="inlineStr">
        <is>
          <t>Repair</t>
        </is>
      </c>
      <c r="X1760" s="18" t="n">
        <v>46164</v>
      </c>
      <c r="Y1760" s="3">
        <f>X1760-A1760</f>
        <v/>
      </c>
      <c r="Z1760" s="18" t="n">
        <v>46164</v>
      </c>
      <c r="AA1760" s="15" t="n"/>
      <c r="AB1760" s="15" t="n"/>
    </row>
    <row r="1761">
      <c r="A1761" s="37" t="n">
        <v>46143</v>
      </c>
      <c r="B1761" s="3" t="n">
        <v>2026</v>
      </c>
      <c r="C1761" s="26" t="inlineStr">
        <is>
          <t>Yanara Power</t>
        </is>
      </c>
      <c r="D1761" s="3" t="inlineStr">
        <is>
          <t>Utility and C&amp;I</t>
        </is>
      </c>
      <c r="E1761" s="3" t="n"/>
      <c r="F1761" s="3" t="inlineStr">
        <is>
          <t>Closed</t>
        </is>
      </c>
      <c r="G1761" s="9" t="inlineStr">
        <is>
          <t xml:space="preserve">Ashish Jindal </t>
        </is>
      </c>
      <c r="H1761" s="26" t="n">
        <v>9983975581</v>
      </c>
      <c r="I1761" s="38" t="inlineStr">
        <is>
          <t>PE01052601</t>
        </is>
      </c>
      <c r="J1761" s="26" t="inlineStr">
        <is>
          <t>Multiple Issues</t>
        </is>
      </c>
      <c r="K1761" s="39" t="inlineStr">
        <is>
          <t>Holi</t>
        </is>
      </c>
      <c r="L1761" s="39" t="inlineStr">
        <is>
          <t>Maharashtra</t>
        </is>
      </c>
      <c r="M1761" s="46" t="inlineStr">
        <is>
          <t>AR</t>
        </is>
      </c>
      <c r="N1761" s="3" t="inlineStr">
        <is>
          <t>JB Issue</t>
        </is>
      </c>
      <c r="O1761" s="56" t="n">
        <v>575</v>
      </c>
      <c r="P1761" s="9" t="inlineStr">
        <is>
          <t>NSMI24070235950</t>
        </is>
      </c>
      <c r="Q1761" s="54">
        <f>MID(P1761,5,2)</f>
        <v/>
      </c>
      <c r="R1761" s="53">
        <f>MID(P1761,7,2)</f>
        <v/>
      </c>
      <c r="S1761" s="3" t="inlineStr">
        <is>
          <t>G2G</t>
        </is>
      </c>
      <c r="T1761" s="3" t="inlineStr">
        <is>
          <t>P4</t>
        </is>
      </c>
      <c r="U1761" s="3" t="inlineStr">
        <is>
          <t>All JB Issue &amp; JB Reverse</t>
        </is>
      </c>
      <c r="V1761" s="15" t="inlineStr">
        <is>
          <t>JB Changed</t>
        </is>
      </c>
      <c r="W1761" s="3" t="inlineStr">
        <is>
          <t>Repair</t>
        </is>
      </c>
      <c r="X1761" s="18" t="n">
        <v>46164</v>
      </c>
      <c r="Y1761" s="3">
        <f>X1761-A1761</f>
        <v/>
      </c>
      <c r="Z1761" s="18" t="n">
        <v>46164</v>
      </c>
      <c r="AA1761" s="15" t="n"/>
      <c r="AB1761" s="15" t="n"/>
    </row>
    <row r="1762">
      <c r="A1762" s="37" t="n">
        <v>46143</v>
      </c>
      <c r="B1762" s="3" t="n">
        <v>2026</v>
      </c>
      <c r="C1762" s="26" t="inlineStr">
        <is>
          <t>Yanara Power</t>
        </is>
      </c>
      <c r="D1762" s="3" t="inlineStr">
        <is>
          <t>Utility and C&amp;I</t>
        </is>
      </c>
      <c r="E1762" s="3" t="n"/>
      <c r="F1762" s="3" t="inlineStr">
        <is>
          <t>Closed</t>
        </is>
      </c>
      <c r="G1762" s="9" t="inlineStr">
        <is>
          <t xml:space="preserve">Ashish Jindal </t>
        </is>
      </c>
      <c r="H1762" s="26" t="n">
        <v>9983975581</v>
      </c>
      <c r="I1762" s="38" t="inlineStr">
        <is>
          <t>PE01052601</t>
        </is>
      </c>
      <c r="J1762" s="26" t="inlineStr">
        <is>
          <t>Multiple Issues</t>
        </is>
      </c>
      <c r="K1762" s="39" t="inlineStr">
        <is>
          <t>Holi</t>
        </is>
      </c>
      <c r="L1762" s="39" t="inlineStr">
        <is>
          <t>Maharashtra</t>
        </is>
      </c>
      <c r="M1762" s="46" t="inlineStr">
        <is>
          <t>NS</t>
        </is>
      </c>
      <c r="N1762" s="3" t="inlineStr">
        <is>
          <t>Cold Soldering</t>
        </is>
      </c>
      <c r="O1762" s="56" t="n">
        <v>575</v>
      </c>
      <c r="P1762" s="9" t="inlineStr">
        <is>
          <t>NSMI24070195298</t>
        </is>
      </c>
      <c r="Q1762" s="54">
        <f>MID(P1762,5,2)</f>
        <v/>
      </c>
      <c r="R1762" s="53">
        <f>MID(P1762,7,2)</f>
        <v/>
      </c>
      <c r="S1762" s="3" t="inlineStr">
        <is>
          <t>G2G</t>
        </is>
      </c>
      <c r="T1762" s="3" t="inlineStr">
        <is>
          <t>P4</t>
        </is>
      </c>
      <c r="U1762" s="3" t="inlineStr">
        <is>
          <t>N JB Cold Soldering</t>
        </is>
      </c>
      <c r="V1762" s="3" t="inlineStr">
        <is>
          <t>Soldering</t>
        </is>
      </c>
      <c r="W1762" s="3" t="inlineStr">
        <is>
          <t>Repair</t>
        </is>
      </c>
      <c r="X1762" s="18" t="n">
        <v>46164</v>
      </c>
      <c r="Y1762" s="3">
        <f>X1762-A1762</f>
        <v/>
      </c>
      <c r="Z1762" s="18" t="n">
        <v>46164</v>
      </c>
      <c r="AA1762" s="15" t="n"/>
      <c r="AB1762" s="15" t="n"/>
    </row>
    <row r="1763">
      <c r="A1763" s="37" t="n">
        <v>46143</v>
      </c>
      <c r="B1763" s="3" t="n">
        <v>2026</v>
      </c>
      <c r="C1763" s="26" t="inlineStr">
        <is>
          <t>Yanara Power</t>
        </is>
      </c>
      <c r="D1763" s="3" t="inlineStr">
        <is>
          <t>Utility and C&amp;I</t>
        </is>
      </c>
      <c r="E1763" s="3" t="n"/>
      <c r="F1763" s="3" t="inlineStr">
        <is>
          <t>Closed</t>
        </is>
      </c>
      <c r="G1763" s="9" t="inlineStr">
        <is>
          <t xml:space="preserve">Ashish Jindal </t>
        </is>
      </c>
      <c r="H1763" s="26" t="n">
        <v>9983975581</v>
      </c>
      <c r="I1763" s="38" t="inlineStr">
        <is>
          <t>PE01052601</t>
        </is>
      </c>
      <c r="J1763" s="26" t="inlineStr">
        <is>
          <t>Multiple Issues</t>
        </is>
      </c>
      <c r="K1763" s="39" t="inlineStr">
        <is>
          <t>Holi</t>
        </is>
      </c>
      <c r="L1763" s="39" t="inlineStr">
        <is>
          <t>Maharashtra</t>
        </is>
      </c>
      <c r="M1763" s="46" t="inlineStr">
        <is>
          <t>NS</t>
        </is>
      </c>
      <c r="N1763" s="3" t="inlineStr">
        <is>
          <t>Cold Soldering</t>
        </is>
      </c>
      <c r="O1763" s="56" t="n">
        <v>575</v>
      </c>
      <c r="P1763" s="9" t="inlineStr">
        <is>
          <t>NSMI24070195179</t>
        </is>
      </c>
      <c r="Q1763" s="54">
        <f>MID(P1763,5,2)</f>
        <v/>
      </c>
      <c r="R1763" s="53">
        <f>MID(P1763,7,2)</f>
        <v/>
      </c>
      <c r="S1763" s="3" t="inlineStr">
        <is>
          <t>G2G</t>
        </is>
      </c>
      <c r="T1763" s="3" t="inlineStr">
        <is>
          <t>P4</t>
        </is>
      </c>
      <c r="U1763" s="3" t="inlineStr">
        <is>
          <t>N JB Cold Soldering</t>
        </is>
      </c>
      <c r="V1763" s="3" t="inlineStr">
        <is>
          <t>Soldering</t>
        </is>
      </c>
      <c r="W1763" s="3" t="inlineStr">
        <is>
          <t>Repair</t>
        </is>
      </c>
      <c r="X1763" s="18" t="n">
        <v>46164</v>
      </c>
      <c r="Y1763" s="3">
        <f>X1763-A1763</f>
        <v/>
      </c>
      <c r="Z1763" s="18" t="n">
        <v>46164</v>
      </c>
      <c r="AA1763" s="15" t="n"/>
      <c r="AB1763" s="15" t="n"/>
    </row>
    <row r="1764">
      <c r="A1764" s="37" t="n">
        <v>46143</v>
      </c>
      <c r="B1764" s="3" t="n">
        <v>2026</v>
      </c>
      <c r="C1764" s="26" t="inlineStr">
        <is>
          <t>Yanara Power</t>
        </is>
      </c>
      <c r="D1764" s="3" t="inlineStr">
        <is>
          <t>Utility and C&amp;I</t>
        </is>
      </c>
      <c r="E1764" s="3" t="n"/>
      <c r="F1764" s="3" t="inlineStr">
        <is>
          <t>Closed</t>
        </is>
      </c>
      <c r="G1764" s="9" t="inlineStr">
        <is>
          <t xml:space="preserve">Ashish Jindal </t>
        </is>
      </c>
      <c r="H1764" s="26" t="n">
        <v>9983975581</v>
      </c>
      <c r="I1764" s="38" t="inlineStr">
        <is>
          <t>PE01052601</t>
        </is>
      </c>
      <c r="J1764" s="26" t="inlineStr">
        <is>
          <t>Multiple Issues</t>
        </is>
      </c>
      <c r="K1764" s="39" t="inlineStr">
        <is>
          <t>Holi</t>
        </is>
      </c>
      <c r="L1764" s="39" t="inlineStr">
        <is>
          <t>Maharashtra</t>
        </is>
      </c>
      <c r="M1764" s="46" t="inlineStr">
        <is>
          <t>NS</t>
        </is>
      </c>
      <c r="N1764" s="3" t="inlineStr">
        <is>
          <t>Cold Soldering</t>
        </is>
      </c>
      <c r="O1764" s="56" t="n">
        <v>575</v>
      </c>
      <c r="P1764" s="9" t="inlineStr">
        <is>
          <t>NSMI24070195351</t>
        </is>
      </c>
      <c r="Q1764" s="54">
        <f>MID(P1764,5,2)</f>
        <v/>
      </c>
      <c r="R1764" s="53">
        <f>MID(P1764,7,2)</f>
        <v/>
      </c>
      <c r="S1764" s="3" t="inlineStr">
        <is>
          <t>G2G</t>
        </is>
      </c>
      <c r="T1764" s="3" t="inlineStr">
        <is>
          <t>P4</t>
        </is>
      </c>
      <c r="U1764" s="3" t="inlineStr">
        <is>
          <t>N JB Cold Soldering</t>
        </is>
      </c>
      <c r="V1764" s="3" t="inlineStr">
        <is>
          <t>Soldering</t>
        </is>
      </c>
      <c r="W1764" s="3" t="inlineStr">
        <is>
          <t>Repair</t>
        </is>
      </c>
      <c r="X1764" s="18" t="n">
        <v>46164</v>
      </c>
      <c r="Y1764" s="3">
        <f>X1764-A1764</f>
        <v/>
      </c>
      <c r="Z1764" s="18" t="n">
        <v>46164</v>
      </c>
      <c r="AA1764" s="15" t="n"/>
      <c r="AB1764" s="15" t="n"/>
    </row>
    <row r="1765">
      <c r="A1765" s="37" t="n">
        <v>46143</v>
      </c>
      <c r="B1765" s="3" t="n">
        <v>2026</v>
      </c>
      <c r="C1765" s="26" t="inlineStr">
        <is>
          <t>Yanara Power</t>
        </is>
      </c>
      <c r="D1765" s="3" t="inlineStr">
        <is>
          <t>Utility and C&amp;I</t>
        </is>
      </c>
      <c r="E1765" s="3" t="n"/>
      <c r="F1765" s="3" t="inlineStr">
        <is>
          <t>Closed</t>
        </is>
      </c>
      <c r="G1765" s="9" t="inlineStr">
        <is>
          <t xml:space="preserve">Ashish Jindal </t>
        </is>
      </c>
      <c r="H1765" s="26" t="n">
        <v>9983975581</v>
      </c>
      <c r="I1765" s="38" t="inlineStr">
        <is>
          <t>PE01052601</t>
        </is>
      </c>
      <c r="J1765" s="26" t="inlineStr">
        <is>
          <t>Multiple Issues</t>
        </is>
      </c>
      <c r="K1765" s="39" t="inlineStr">
        <is>
          <t>Holi</t>
        </is>
      </c>
      <c r="L1765" s="39" t="inlineStr">
        <is>
          <t>Maharashtra</t>
        </is>
      </c>
      <c r="M1765" s="46" t="inlineStr">
        <is>
          <t>PS</t>
        </is>
      </c>
      <c r="N1765" s="3" t="inlineStr">
        <is>
          <t>Cold Soldering</t>
        </is>
      </c>
      <c r="O1765" s="56" t="n">
        <v>575</v>
      </c>
      <c r="P1765" s="9" t="inlineStr">
        <is>
          <t>NSMI24070195307</t>
        </is>
      </c>
      <c r="Q1765" s="54">
        <f>MID(P1765,5,2)</f>
        <v/>
      </c>
      <c r="R1765" s="53">
        <f>MID(P1765,7,2)</f>
        <v/>
      </c>
      <c r="S1765" s="3" t="inlineStr">
        <is>
          <t>G2G</t>
        </is>
      </c>
      <c r="T1765" s="3" t="inlineStr">
        <is>
          <t>P4</t>
        </is>
      </c>
      <c r="U1765" s="19" t="inlineStr">
        <is>
          <t>P JB Cold Soldering</t>
        </is>
      </c>
      <c r="V1765" s="19" t="inlineStr">
        <is>
          <t>Soldering</t>
        </is>
      </c>
      <c r="W1765" s="3" t="inlineStr">
        <is>
          <t>Repair</t>
        </is>
      </c>
      <c r="X1765" s="18" t="n">
        <v>46164</v>
      </c>
      <c r="Y1765" s="3">
        <f>X1765-A1765</f>
        <v/>
      </c>
      <c r="Z1765" s="18" t="n">
        <v>46164</v>
      </c>
      <c r="AA1765" s="15" t="n"/>
      <c r="AB1765" s="15" t="n"/>
    </row>
    <row r="1766">
      <c r="A1766" s="37" t="n">
        <v>46143</v>
      </c>
      <c r="B1766" s="3" t="n">
        <v>2026</v>
      </c>
      <c r="C1766" s="26" t="inlineStr">
        <is>
          <t>Yanara Power</t>
        </is>
      </c>
      <c r="D1766" s="3" t="inlineStr">
        <is>
          <t>Utility and C&amp;I</t>
        </is>
      </c>
      <c r="E1766" s="3" t="n"/>
      <c r="F1766" s="3" t="inlineStr">
        <is>
          <t>Closed</t>
        </is>
      </c>
      <c r="G1766" s="9" t="inlineStr">
        <is>
          <t xml:space="preserve">Ashish Jindal </t>
        </is>
      </c>
      <c r="H1766" s="26" t="n">
        <v>9983975581</v>
      </c>
      <c r="I1766" s="38" t="inlineStr">
        <is>
          <t>PE01052601</t>
        </is>
      </c>
      <c r="J1766" s="26" t="inlineStr">
        <is>
          <t>Multiple Issues</t>
        </is>
      </c>
      <c r="K1766" s="39" t="inlineStr">
        <is>
          <t>Holi</t>
        </is>
      </c>
      <c r="L1766" s="39" t="inlineStr">
        <is>
          <t>Maharashtra</t>
        </is>
      </c>
      <c r="M1766" s="46" t="inlineStr">
        <is>
          <t>NS</t>
        </is>
      </c>
      <c r="N1766" s="3" t="inlineStr">
        <is>
          <t>Cold Soldering</t>
        </is>
      </c>
      <c r="O1766" s="56" t="n">
        <v>575</v>
      </c>
      <c r="P1766" s="9" t="inlineStr">
        <is>
          <t>NSMI24070218782</t>
        </is>
      </c>
      <c r="Q1766" s="54">
        <f>MID(P1766,5,2)</f>
        <v/>
      </c>
      <c r="R1766" s="53">
        <f>MID(P1766,7,2)</f>
        <v/>
      </c>
      <c r="S1766" s="3" t="inlineStr">
        <is>
          <t>G2G</t>
        </is>
      </c>
      <c r="T1766" s="3" t="inlineStr">
        <is>
          <t>P4</t>
        </is>
      </c>
      <c r="U1766" s="3" t="inlineStr">
        <is>
          <t>N JB Cold Soldering</t>
        </is>
      </c>
      <c r="V1766" s="3" t="inlineStr">
        <is>
          <t>Soldering</t>
        </is>
      </c>
      <c r="W1766" s="3" t="inlineStr">
        <is>
          <t>Repair</t>
        </is>
      </c>
      <c r="X1766" s="18" t="n">
        <v>46164</v>
      </c>
      <c r="Y1766" s="3">
        <f>X1766-A1766</f>
        <v/>
      </c>
      <c r="Z1766" s="18" t="n">
        <v>46164</v>
      </c>
      <c r="AA1766" s="15" t="n"/>
      <c r="AB1766" s="15" t="n"/>
    </row>
    <row r="1767">
      <c r="A1767" s="37" t="n">
        <v>46143</v>
      </c>
      <c r="B1767" s="3" t="n">
        <v>2026</v>
      </c>
      <c r="C1767" s="26" t="inlineStr">
        <is>
          <t>Yanara Power</t>
        </is>
      </c>
      <c r="D1767" s="3" t="inlineStr">
        <is>
          <t>Utility and C&amp;I</t>
        </is>
      </c>
      <c r="E1767" s="3" t="n"/>
      <c r="F1767" s="3" t="inlineStr">
        <is>
          <t>Closed</t>
        </is>
      </c>
      <c r="G1767" s="9" t="inlineStr">
        <is>
          <t xml:space="preserve">Ashish Jindal </t>
        </is>
      </c>
      <c r="H1767" s="26" t="n">
        <v>9983975581</v>
      </c>
      <c r="I1767" s="38" t="inlineStr">
        <is>
          <t>PE01052601</t>
        </is>
      </c>
      <c r="J1767" s="26" t="inlineStr">
        <is>
          <t>Multiple Issues</t>
        </is>
      </c>
      <c r="K1767" s="39" t="inlineStr">
        <is>
          <t>Holi</t>
        </is>
      </c>
      <c r="L1767" s="39" t="inlineStr">
        <is>
          <t>Maharashtra</t>
        </is>
      </c>
      <c r="M1767" s="46" t="inlineStr">
        <is>
          <t>PNS</t>
        </is>
      </c>
      <c r="N1767" s="3" t="inlineStr">
        <is>
          <t>Cold Soldering</t>
        </is>
      </c>
      <c r="O1767" s="56" t="n">
        <v>575</v>
      </c>
      <c r="P1767" s="9" t="inlineStr">
        <is>
          <t>NSMI24070218783</t>
        </is>
      </c>
      <c r="Q1767" s="54">
        <f>MID(P1767,5,2)</f>
        <v/>
      </c>
      <c r="R1767" s="53">
        <f>MID(P1767,7,2)</f>
        <v/>
      </c>
      <c r="S1767" s="3" t="inlineStr">
        <is>
          <t>G2G</t>
        </is>
      </c>
      <c r="T1767" s="3" t="inlineStr">
        <is>
          <t>P4</t>
        </is>
      </c>
      <c r="U1767" s="3" t="inlineStr">
        <is>
          <t>P &amp; N JB Cold Soldering</t>
        </is>
      </c>
      <c r="V1767" s="3" t="inlineStr">
        <is>
          <t>Soldering</t>
        </is>
      </c>
      <c r="W1767" s="3" t="inlineStr">
        <is>
          <t>Repair</t>
        </is>
      </c>
      <c r="X1767" s="18" t="n">
        <v>46164</v>
      </c>
      <c r="Y1767" s="3">
        <f>X1767-A1767</f>
        <v/>
      </c>
      <c r="Z1767" s="18" t="n">
        <v>46164</v>
      </c>
      <c r="AA1767" s="15" t="n"/>
      <c r="AB1767" s="15" t="n"/>
    </row>
    <row r="1768">
      <c r="A1768" s="37" t="n">
        <v>46143</v>
      </c>
      <c r="B1768" s="3" t="n">
        <v>2026</v>
      </c>
      <c r="C1768" s="26" t="inlineStr">
        <is>
          <t>Yanara Power</t>
        </is>
      </c>
      <c r="D1768" s="3" t="inlineStr">
        <is>
          <t>Utility and C&amp;I</t>
        </is>
      </c>
      <c r="E1768" s="3" t="n"/>
      <c r="F1768" s="3" t="inlineStr">
        <is>
          <t>Closed</t>
        </is>
      </c>
      <c r="G1768" s="9" t="inlineStr">
        <is>
          <t xml:space="preserve">Ashish Jindal </t>
        </is>
      </c>
      <c r="H1768" s="26" t="n">
        <v>9983975581</v>
      </c>
      <c r="I1768" s="38" t="inlineStr">
        <is>
          <t>PE01052601</t>
        </is>
      </c>
      <c r="J1768" s="26" t="inlineStr">
        <is>
          <t>Multiple Issues</t>
        </is>
      </c>
      <c r="K1768" s="39" t="inlineStr">
        <is>
          <t>Holi</t>
        </is>
      </c>
      <c r="L1768" s="39" t="inlineStr">
        <is>
          <t>Maharashtra</t>
        </is>
      </c>
      <c r="M1768" s="46" t="inlineStr">
        <is>
          <t>PNS</t>
        </is>
      </c>
      <c r="N1768" s="3" t="inlineStr">
        <is>
          <t>Cold Soldering</t>
        </is>
      </c>
      <c r="O1768" s="56" t="n">
        <v>575</v>
      </c>
      <c r="P1768" s="9" t="inlineStr">
        <is>
          <t>NSMI24070218776</t>
        </is>
      </c>
      <c r="Q1768" s="54">
        <f>MID(P1768,5,2)</f>
        <v/>
      </c>
      <c r="R1768" s="53">
        <f>MID(P1768,7,2)</f>
        <v/>
      </c>
      <c r="S1768" s="3" t="inlineStr">
        <is>
          <t>G2G</t>
        </is>
      </c>
      <c r="T1768" s="3" t="inlineStr">
        <is>
          <t>P4</t>
        </is>
      </c>
      <c r="U1768" s="3" t="inlineStr">
        <is>
          <t>P &amp; N JB Cold Soldering</t>
        </is>
      </c>
      <c r="V1768" s="3" t="inlineStr">
        <is>
          <t>Soldering</t>
        </is>
      </c>
      <c r="W1768" s="3" t="inlineStr">
        <is>
          <t>Repair</t>
        </is>
      </c>
      <c r="X1768" s="18" t="n">
        <v>46164</v>
      </c>
      <c r="Y1768" s="3">
        <f>X1768-A1768</f>
        <v/>
      </c>
      <c r="Z1768" s="18" t="n">
        <v>46164</v>
      </c>
      <c r="AA1768" s="15" t="n"/>
      <c r="AB1768" s="15" t="n"/>
    </row>
    <row r="1769">
      <c r="A1769" s="37" t="n">
        <v>46143</v>
      </c>
      <c r="B1769" s="3" t="n">
        <v>2026</v>
      </c>
      <c r="C1769" s="26" t="inlineStr">
        <is>
          <t>Yanara Power</t>
        </is>
      </c>
      <c r="D1769" s="3" t="inlineStr">
        <is>
          <t>Utility and C&amp;I</t>
        </is>
      </c>
      <c r="E1769" s="3" t="n"/>
      <c r="F1769" s="3" t="inlineStr">
        <is>
          <t>Closed</t>
        </is>
      </c>
      <c r="G1769" s="9" t="inlineStr">
        <is>
          <t xml:space="preserve">Ashish Jindal </t>
        </is>
      </c>
      <c r="H1769" s="26" t="n">
        <v>9983975581</v>
      </c>
      <c r="I1769" s="38" t="inlineStr">
        <is>
          <t>PE01052601</t>
        </is>
      </c>
      <c r="J1769" s="26" t="inlineStr">
        <is>
          <t>Multiple Issues</t>
        </is>
      </c>
      <c r="K1769" s="39" t="inlineStr">
        <is>
          <t>Holi</t>
        </is>
      </c>
      <c r="L1769" s="39" t="inlineStr">
        <is>
          <t>Maharashtra</t>
        </is>
      </c>
      <c r="M1769" s="46" t="inlineStr">
        <is>
          <t>NS</t>
        </is>
      </c>
      <c r="N1769" s="3" t="inlineStr">
        <is>
          <t>Cold Soldering</t>
        </is>
      </c>
      <c r="O1769" s="56" t="n">
        <v>575</v>
      </c>
      <c r="P1769" s="9" t="inlineStr">
        <is>
          <t>NSMI24070239223</t>
        </is>
      </c>
      <c r="Q1769" s="54">
        <f>MID(P1769,5,2)</f>
        <v/>
      </c>
      <c r="R1769" s="53">
        <f>MID(P1769,7,2)</f>
        <v/>
      </c>
      <c r="S1769" s="3" t="inlineStr">
        <is>
          <t>G2G</t>
        </is>
      </c>
      <c r="T1769" s="3" t="inlineStr">
        <is>
          <t>P4</t>
        </is>
      </c>
      <c r="U1769" s="3" t="inlineStr">
        <is>
          <t>N JB Cold Soldering</t>
        </is>
      </c>
      <c r="V1769" s="3" t="inlineStr">
        <is>
          <t>Soldering</t>
        </is>
      </c>
      <c r="W1769" s="3" t="inlineStr">
        <is>
          <t>Repair</t>
        </is>
      </c>
      <c r="X1769" s="18" t="n">
        <v>46164</v>
      </c>
      <c r="Y1769" s="3">
        <f>X1769-A1769</f>
        <v/>
      </c>
      <c r="Z1769" s="18" t="n">
        <v>46164</v>
      </c>
      <c r="AA1769" s="15" t="n"/>
      <c r="AB1769" s="15" t="n"/>
    </row>
    <row r="1770">
      <c r="A1770" s="37" t="n">
        <v>46143</v>
      </c>
      <c r="B1770" s="3" t="n">
        <v>2026</v>
      </c>
      <c r="C1770" s="26" t="inlineStr">
        <is>
          <t>Yanara Power</t>
        </is>
      </c>
      <c r="D1770" s="3" t="inlineStr">
        <is>
          <t>Utility and C&amp;I</t>
        </is>
      </c>
      <c r="E1770" s="3" t="n"/>
      <c r="F1770" s="3" t="inlineStr">
        <is>
          <t>Closed</t>
        </is>
      </c>
      <c r="G1770" s="9" t="inlineStr">
        <is>
          <t xml:space="preserve">Ashish Jindal </t>
        </is>
      </c>
      <c r="H1770" s="26" t="n">
        <v>9983975581</v>
      </c>
      <c r="I1770" s="38" t="inlineStr">
        <is>
          <t>PE01052601</t>
        </is>
      </c>
      <c r="J1770" s="26" t="inlineStr">
        <is>
          <t>Multiple Issues</t>
        </is>
      </c>
      <c r="K1770" s="39" t="inlineStr">
        <is>
          <t>Holi</t>
        </is>
      </c>
      <c r="L1770" s="39" t="inlineStr">
        <is>
          <t>Maharashtra</t>
        </is>
      </c>
      <c r="M1770" s="46" t="inlineStr">
        <is>
          <t>NS</t>
        </is>
      </c>
      <c r="N1770" s="3" t="inlineStr">
        <is>
          <t>Cold Soldering</t>
        </is>
      </c>
      <c r="O1770" s="56" t="n">
        <v>575</v>
      </c>
      <c r="P1770" s="9" t="inlineStr">
        <is>
          <t>NSMI24070185067</t>
        </is>
      </c>
      <c r="Q1770" s="54">
        <f>MID(P1770,5,2)</f>
        <v/>
      </c>
      <c r="R1770" s="53">
        <f>MID(P1770,7,2)</f>
        <v/>
      </c>
      <c r="S1770" s="3" t="inlineStr">
        <is>
          <t>G2G</t>
        </is>
      </c>
      <c r="T1770" s="3" t="inlineStr">
        <is>
          <t>P4</t>
        </is>
      </c>
      <c r="U1770" s="3" t="inlineStr">
        <is>
          <t>N JB Cold Soldering</t>
        </is>
      </c>
      <c r="V1770" s="3" t="inlineStr">
        <is>
          <t>Soldering</t>
        </is>
      </c>
      <c r="W1770" s="3" t="inlineStr">
        <is>
          <t>Repair</t>
        </is>
      </c>
      <c r="X1770" s="18" t="n">
        <v>46164</v>
      </c>
      <c r="Y1770" s="3">
        <f>X1770-A1770</f>
        <v/>
      </c>
      <c r="Z1770" s="18" t="n">
        <v>46164</v>
      </c>
      <c r="AA1770" s="15" t="n"/>
      <c r="AB1770" s="15" t="n"/>
    </row>
    <row r="1771">
      <c r="A1771" s="37" t="n">
        <v>46143</v>
      </c>
      <c r="B1771" s="3" t="n">
        <v>2026</v>
      </c>
      <c r="C1771" s="26" t="inlineStr">
        <is>
          <t>Yanara Power</t>
        </is>
      </c>
      <c r="D1771" s="3" t="inlineStr">
        <is>
          <t>Utility and C&amp;I</t>
        </is>
      </c>
      <c r="E1771" s="3" t="n"/>
      <c r="F1771" s="3" t="inlineStr">
        <is>
          <t>Closed</t>
        </is>
      </c>
      <c r="G1771" s="9" t="inlineStr">
        <is>
          <t xml:space="preserve">Ashish Jindal </t>
        </is>
      </c>
      <c r="H1771" s="26" t="n">
        <v>9983975581</v>
      </c>
      <c r="I1771" s="38" t="inlineStr">
        <is>
          <t>PE01052601</t>
        </is>
      </c>
      <c r="J1771" s="26" t="inlineStr">
        <is>
          <t>Multiple Issues</t>
        </is>
      </c>
      <c r="K1771" s="39" t="inlineStr">
        <is>
          <t>Holi</t>
        </is>
      </c>
      <c r="L1771" s="39" t="inlineStr">
        <is>
          <t>Maharashtra</t>
        </is>
      </c>
      <c r="M1771" s="46" t="inlineStr">
        <is>
          <t>NS</t>
        </is>
      </c>
      <c r="N1771" s="3" t="inlineStr">
        <is>
          <t>Cold Soldering</t>
        </is>
      </c>
      <c r="O1771" s="56" t="n">
        <v>575</v>
      </c>
      <c r="P1771" s="9" t="inlineStr">
        <is>
          <t>NSMI24070216872</t>
        </is>
      </c>
      <c r="Q1771" s="54">
        <f>MID(P1771,5,2)</f>
        <v/>
      </c>
      <c r="R1771" s="53">
        <f>MID(P1771,7,2)</f>
        <v/>
      </c>
      <c r="S1771" s="3" t="inlineStr">
        <is>
          <t>G2G</t>
        </is>
      </c>
      <c r="T1771" s="3" t="inlineStr">
        <is>
          <t>P4</t>
        </is>
      </c>
      <c r="U1771" s="3" t="inlineStr">
        <is>
          <t>N JB Cold Soldering</t>
        </is>
      </c>
      <c r="V1771" s="3" t="inlineStr">
        <is>
          <t>Soldering</t>
        </is>
      </c>
      <c r="W1771" s="3" t="inlineStr">
        <is>
          <t>Repair</t>
        </is>
      </c>
      <c r="X1771" s="18" t="n">
        <v>46164</v>
      </c>
      <c r="Y1771" s="3">
        <f>X1771-A1771</f>
        <v/>
      </c>
      <c r="Z1771" s="18" t="n">
        <v>46164</v>
      </c>
      <c r="AA1771" s="15" t="n"/>
      <c r="AB1771" s="15" t="n"/>
    </row>
    <row r="1772">
      <c r="A1772" s="37" t="n">
        <v>46143</v>
      </c>
      <c r="B1772" s="3" t="n">
        <v>2026</v>
      </c>
      <c r="C1772" s="26" t="inlineStr">
        <is>
          <t>Yanara Power</t>
        </is>
      </c>
      <c r="D1772" s="3" t="inlineStr">
        <is>
          <t>Utility and C&amp;I</t>
        </is>
      </c>
      <c r="E1772" s="3" t="n"/>
      <c r="F1772" s="3" t="inlineStr">
        <is>
          <t>Closed</t>
        </is>
      </c>
      <c r="G1772" s="9" t="inlineStr">
        <is>
          <t xml:space="preserve">Ashish Jindal </t>
        </is>
      </c>
      <c r="H1772" s="26" t="n">
        <v>9983975581</v>
      </c>
      <c r="I1772" s="38" t="inlineStr">
        <is>
          <t>PE01052601</t>
        </is>
      </c>
      <c r="J1772" s="26" t="inlineStr">
        <is>
          <t>Multiple Issues</t>
        </is>
      </c>
      <c r="K1772" s="39" t="inlineStr">
        <is>
          <t>Holi</t>
        </is>
      </c>
      <c r="L1772" s="39" t="inlineStr">
        <is>
          <t>Maharashtra</t>
        </is>
      </c>
      <c r="M1772" s="46" t="inlineStr">
        <is>
          <t>NS</t>
        </is>
      </c>
      <c r="N1772" s="3" t="inlineStr">
        <is>
          <t>Cold Soldering</t>
        </is>
      </c>
      <c r="O1772" s="56" t="n">
        <v>575</v>
      </c>
      <c r="P1772" s="9" t="inlineStr">
        <is>
          <t>NSMI24070220155</t>
        </is>
      </c>
      <c r="Q1772" s="54">
        <f>MID(P1772,5,2)</f>
        <v/>
      </c>
      <c r="R1772" s="53">
        <f>MID(P1772,7,2)</f>
        <v/>
      </c>
      <c r="S1772" s="3" t="inlineStr">
        <is>
          <t>G2G</t>
        </is>
      </c>
      <c r="T1772" s="3" t="inlineStr">
        <is>
          <t>P4</t>
        </is>
      </c>
      <c r="U1772" s="3" t="inlineStr">
        <is>
          <t>N JB Cold Soldering</t>
        </is>
      </c>
      <c r="V1772" s="3" t="inlineStr">
        <is>
          <t>Soldering</t>
        </is>
      </c>
      <c r="W1772" s="3" t="inlineStr">
        <is>
          <t>Repair</t>
        </is>
      </c>
      <c r="X1772" s="18" t="n">
        <v>46164</v>
      </c>
      <c r="Y1772" s="3">
        <f>X1772-A1772</f>
        <v/>
      </c>
      <c r="Z1772" s="18" t="n">
        <v>46164</v>
      </c>
      <c r="AA1772" s="15" t="n"/>
      <c r="AB1772" s="15" t="n"/>
    </row>
    <row r="1773">
      <c r="A1773" s="37" t="n">
        <v>46143</v>
      </c>
      <c r="B1773" s="3" t="n">
        <v>2026</v>
      </c>
      <c r="C1773" s="26" t="inlineStr">
        <is>
          <t>Yanara Power</t>
        </is>
      </c>
      <c r="D1773" s="3" t="inlineStr">
        <is>
          <t>Utility and C&amp;I</t>
        </is>
      </c>
      <c r="E1773" s="3" t="n"/>
      <c r="F1773" s="3" t="inlineStr">
        <is>
          <t>Closed</t>
        </is>
      </c>
      <c r="G1773" s="9" t="inlineStr">
        <is>
          <t xml:space="preserve">Ashish Jindal </t>
        </is>
      </c>
      <c r="H1773" s="26" t="n">
        <v>9983975581</v>
      </c>
      <c r="I1773" s="38" t="inlineStr">
        <is>
          <t>PE01052601</t>
        </is>
      </c>
      <c r="J1773" s="26" t="inlineStr">
        <is>
          <t>Multiple Issues</t>
        </is>
      </c>
      <c r="K1773" s="39" t="inlineStr">
        <is>
          <t>Holi</t>
        </is>
      </c>
      <c r="L1773" s="39" t="inlineStr">
        <is>
          <t>Maharashtra</t>
        </is>
      </c>
      <c r="M1773" s="46" t="inlineStr">
        <is>
          <t>NMS</t>
        </is>
      </c>
      <c r="N1773" s="3" t="inlineStr">
        <is>
          <t>Cold Soldering</t>
        </is>
      </c>
      <c r="O1773" s="56" t="n">
        <v>575</v>
      </c>
      <c r="P1773" s="9" t="inlineStr">
        <is>
          <t>NSMI24070223696</t>
        </is>
      </c>
      <c r="Q1773" s="54">
        <f>MID(P1773,5,2)</f>
        <v/>
      </c>
      <c r="R1773" s="53">
        <f>MID(P1773,7,2)</f>
        <v/>
      </c>
      <c r="S1773" s="3" t="inlineStr">
        <is>
          <t>G2G</t>
        </is>
      </c>
      <c r="T1773" s="3" t="inlineStr">
        <is>
          <t>P4</t>
        </is>
      </c>
      <c r="U1773" s="3" t="inlineStr">
        <is>
          <t>N &amp; M JB Cold Soldering</t>
        </is>
      </c>
      <c r="V1773" s="3" t="inlineStr">
        <is>
          <t>Soldering</t>
        </is>
      </c>
      <c r="W1773" s="3" t="inlineStr">
        <is>
          <t>Repair</t>
        </is>
      </c>
      <c r="X1773" s="18" t="n">
        <v>46164</v>
      </c>
      <c r="Y1773" s="3">
        <f>X1773-A1773</f>
        <v/>
      </c>
      <c r="Z1773" s="18" t="n">
        <v>46164</v>
      </c>
      <c r="AA1773" s="15" t="n"/>
      <c r="AB1773" s="15" t="n"/>
    </row>
    <row r="1774">
      <c r="A1774" s="37" t="n">
        <v>46143</v>
      </c>
      <c r="B1774" s="3" t="n">
        <v>2026</v>
      </c>
      <c r="C1774" s="26" t="inlineStr">
        <is>
          <t>Yanara Power</t>
        </is>
      </c>
      <c r="D1774" s="3" t="inlineStr">
        <is>
          <t>Utility and C&amp;I</t>
        </is>
      </c>
      <c r="E1774" s="3" t="n"/>
      <c r="F1774" s="3" t="inlineStr">
        <is>
          <t>Closed</t>
        </is>
      </c>
      <c r="G1774" s="9" t="inlineStr">
        <is>
          <t xml:space="preserve">Ashish Jindal </t>
        </is>
      </c>
      <c r="H1774" s="26" t="n">
        <v>9983975581</v>
      </c>
      <c r="I1774" s="38" t="inlineStr">
        <is>
          <t>PE01052601</t>
        </is>
      </c>
      <c r="J1774" s="26" t="inlineStr">
        <is>
          <t>Multiple Issues</t>
        </is>
      </c>
      <c r="K1774" s="39" t="inlineStr">
        <is>
          <t>Holi</t>
        </is>
      </c>
      <c r="L1774" s="39" t="inlineStr">
        <is>
          <t>Maharashtra</t>
        </is>
      </c>
      <c r="M1774" s="46" t="inlineStr">
        <is>
          <t>NS</t>
        </is>
      </c>
      <c r="N1774" s="3" t="inlineStr">
        <is>
          <t>Cold Soldering</t>
        </is>
      </c>
      <c r="O1774" s="56" t="n">
        <v>575</v>
      </c>
      <c r="P1774" s="9" t="inlineStr">
        <is>
          <t>NSMI24070231559</t>
        </is>
      </c>
      <c r="Q1774" s="54">
        <f>MID(P1774,5,2)</f>
        <v/>
      </c>
      <c r="R1774" s="53">
        <f>MID(P1774,7,2)</f>
        <v/>
      </c>
      <c r="S1774" s="3" t="inlineStr">
        <is>
          <t>G2G</t>
        </is>
      </c>
      <c r="T1774" s="3" t="inlineStr">
        <is>
          <t>P4</t>
        </is>
      </c>
      <c r="U1774" s="3" t="inlineStr">
        <is>
          <t>N JB Cold Soldering</t>
        </is>
      </c>
      <c r="V1774" s="3" t="inlineStr">
        <is>
          <t>Soldering</t>
        </is>
      </c>
      <c r="W1774" s="3" t="inlineStr">
        <is>
          <t>Repair</t>
        </is>
      </c>
      <c r="X1774" s="18" t="n">
        <v>46164</v>
      </c>
      <c r="Y1774" s="3">
        <f>X1774-A1774</f>
        <v/>
      </c>
      <c r="Z1774" s="18" t="n">
        <v>46164</v>
      </c>
      <c r="AA1774" s="15" t="n"/>
      <c r="AB1774" s="15" t="n"/>
    </row>
    <row r="1775">
      <c r="A1775" s="37" t="n">
        <v>46143</v>
      </c>
      <c r="B1775" s="3" t="n">
        <v>2026</v>
      </c>
      <c r="C1775" s="26" t="inlineStr">
        <is>
          <t>Yanara Power</t>
        </is>
      </c>
      <c r="D1775" s="3" t="inlineStr">
        <is>
          <t>Utility and C&amp;I</t>
        </is>
      </c>
      <c r="E1775" s="3" t="n"/>
      <c r="F1775" s="3" t="inlineStr">
        <is>
          <t>Closed</t>
        </is>
      </c>
      <c r="G1775" s="9" t="inlineStr">
        <is>
          <t xml:space="preserve">Ashish Jindal </t>
        </is>
      </c>
      <c r="H1775" s="26" t="n">
        <v>9983975581</v>
      </c>
      <c r="I1775" s="38" t="inlineStr">
        <is>
          <t>PE01052601</t>
        </is>
      </c>
      <c r="J1775" s="26" t="inlineStr">
        <is>
          <t>Multiple Issues</t>
        </is>
      </c>
      <c r="K1775" s="39" t="inlineStr">
        <is>
          <t>Holi</t>
        </is>
      </c>
      <c r="L1775" s="39" t="inlineStr">
        <is>
          <t>Maharashtra</t>
        </is>
      </c>
      <c r="M1775" s="46" t="inlineStr">
        <is>
          <t>PS</t>
        </is>
      </c>
      <c r="N1775" s="3" t="inlineStr">
        <is>
          <t>Cold Soldering</t>
        </is>
      </c>
      <c r="O1775" s="56" t="n">
        <v>575</v>
      </c>
      <c r="P1775" s="9" t="inlineStr">
        <is>
          <t>NSMI24070231571</t>
        </is>
      </c>
      <c r="Q1775" s="54">
        <f>MID(P1775,5,2)</f>
        <v/>
      </c>
      <c r="R1775" s="53">
        <f>MID(P1775,7,2)</f>
        <v/>
      </c>
      <c r="S1775" s="3" t="inlineStr">
        <is>
          <t>G2G</t>
        </is>
      </c>
      <c r="T1775" s="3" t="inlineStr">
        <is>
          <t>P4</t>
        </is>
      </c>
      <c r="U1775" s="19" t="inlineStr">
        <is>
          <t>P JB Cold Soldering</t>
        </is>
      </c>
      <c r="V1775" s="19" t="inlineStr">
        <is>
          <t>Soldering</t>
        </is>
      </c>
      <c r="W1775" s="3" t="inlineStr">
        <is>
          <t>Repair</t>
        </is>
      </c>
      <c r="X1775" s="18" t="n">
        <v>46164</v>
      </c>
      <c r="Y1775" s="3">
        <f>X1775-A1775</f>
        <v/>
      </c>
      <c r="Z1775" s="18" t="n">
        <v>46164</v>
      </c>
      <c r="AA1775" s="15" t="n"/>
      <c r="AB1775" s="15" t="n"/>
    </row>
    <row r="1776">
      <c r="A1776" s="59" t="n">
        <v>46148</v>
      </c>
      <c r="B1776" s="3" t="n">
        <v>2026</v>
      </c>
      <c r="C1776" s="21" t="inlineStr">
        <is>
          <t>Continuum</t>
        </is>
      </c>
      <c r="D1776" s="3" t="inlineStr">
        <is>
          <t>Utility and C&amp;I</t>
        </is>
      </c>
      <c r="E1776" s="3" t="n"/>
      <c r="F1776" s="3" t="inlineStr">
        <is>
          <t>Closed</t>
        </is>
      </c>
      <c r="G1776" s="21" t="inlineStr">
        <is>
          <t>Amiya Ranjan Behera</t>
        </is>
      </c>
      <c r="H1776" s="21" t="n">
        <v>8917436223</v>
      </c>
      <c r="I1776" s="38" t="inlineStr">
        <is>
          <t>PE06052602</t>
        </is>
      </c>
      <c r="J1776" s="21" t="inlineStr">
        <is>
          <t>Diode Bypass Module Issue</t>
        </is>
      </c>
      <c r="K1776" s="21" t="inlineStr">
        <is>
          <t>Bhavnagar</t>
        </is>
      </c>
      <c r="L1776" s="21" t="inlineStr">
        <is>
          <t>Gujarat</t>
        </is>
      </c>
      <c r="M1776" s="9" t="inlineStr">
        <is>
          <t>PS</t>
        </is>
      </c>
      <c r="N1776" s="3" t="inlineStr">
        <is>
          <t>Cold Soldering</t>
        </is>
      </c>
      <c r="O1776" s="60" t="n">
        <v>540</v>
      </c>
      <c r="P1776" s="9" t="inlineStr">
        <is>
          <t>NSMP2304068738</t>
        </is>
      </c>
      <c r="Q1776" s="53">
        <f>MID(P1776,5,2)</f>
        <v/>
      </c>
      <c r="R1776" s="53">
        <f>MID(P1776,7,2)</f>
        <v/>
      </c>
      <c r="S1776" s="3" t="inlineStr">
        <is>
          <t>G2B</t>
        </is>
      </c>
      <c r="T1776" s="3" t="inlineStr">
        <is>
          <t>P2</t>
        </is>
      </c>
      <c r="U1776" s="3" t="inlineStr">
        <is>
          <t>P JB Cold Soldering</t>
        </is>
      </c>
      <c r="V1776" s="3" t="inlineStr">
        <is>
          <t>Soldering</t>
        </is>
      </c>
      <c r="W1776" s="3" t="inlineStr">
        <is>
          <t>Repair</t>
        </is>
      </c>
      <c r="X1776" s="18" t="n">
        <v>46165</v>
      </c>
      <c r="Y1776" s="3">
        <f>X1776-A1776</f>
        <v/>
      </c>
      <c r="Z1776" s="18" t="n">
        <v>46165</v>
      </c>
      <c r="AA1776" s="15" t="n"/>
      <c r="AB1776" s="15" t="n"/>
    </row>
    <row r="1777">
      <c r="A1777" s="59" t="n">
        <v>46148</v>
      </c>
      <c r="B1777" s="3" t="n">
        <v>2026</v>
      </c>
      <c r="C1777" s="21" t="inlineStr">
        <is>
          <t>Continuum</t>
        </is>
      </c>
      <c r="D1777" s="3" t="inlineStr">
        <is>
          <t>Utility and C&amp;I</t>
        </is>
      </c>
      <c r="E1777" s="3" t="n"/>
      <c r="F1777" s="3" t="inlineStr">
        <is>
          <t>Closed</t>
        </is>
      </c>
      <c r="G1777" s="21" t="inlineStr">
        <is>
          <t>Amiya Ranjan Behera</t>
        </is>
      </c>
      <c r="H1777" s="21" t="n">
        <v>8917436223</v>
      </c>
      <c r="I1777" s="38" t="inlineStr">
        <is>
          <t>PE06052602</t>
        </is>
      </c>
      <c r="J1777" s="21" t="inlineStr">
        <is>
          <t>Diode Bypass Module Issue</t>
        </is>
      </c>
      <c r="K1777" s="21" t="inlineStr">
        <is>
          <t>Bhavnagar</t>
        </is>
      </c>
      <c r="L1777" s="21" t="inlineStr">
        <is>
          <t>Gujarat</t>
        </is>
      </c>
      <c r="M1777" s="9" t="inlineStr">
        <is>
          <t>PS</t>
        </is>
      </c>
      <c r="N1777" s="3" t="inlineStr">
        <is>
          <t>Cold Soldering</t>
        </is>
      </c>
      <c r="O1777" s="60" t="n">
        <v>540</v>
      </c>
      <c r="P1777" s="9" t="inlineStr">
        <is>
          <t>NSMP2304073522</t>
        </is>
      </c>
      <c r="Q1777" s="53">
        <f>MID(P1777,5,2)</f>
        <v/>
      </c>
      <c r="R1777" s="53">
        <f>MID(P1777,7,2)</f>
        <v/>
      </c>
      <c r="S1777" s="3" t="inlineStr">
        <is>
          <t>G2B</t>
        </is>
      </c>
      <c r="T1777" s="3" t="inlineStr">
        <is>
          <t>P2</t>
        </is>
      </c>
      <c r="U1777" s="3" t="inlineStr">
        <is>
          <t>P JB Cold Soldering</t>
        </is>
      </c>
      <c r="V1777" s="3" t="inlineStr">
        <is>
          <t>Soldering</t>
        </is>
      </c>
      <c r="W1777" s="3" t="inlineStr">
        <is>
          <t>Repair</t>
        </is>
      </c>
      <c r="X1777" s="18" t="n">
        <v>46165</v>
      </c>
      <c r="Y1777" s="3">
        <f>X1777-A1777</f>
        <v/>
      </c>
      <c r="Z1777" s="18" t="n">
        <v>46165</v>
      </c>
      <c r="AA1777" s="15" t="n"/>
      <c r="AB1777" s="15" t="n"/>
    </row>
    <row r="1778">
      <c r="A1778" s="59" t="n">
        <v>46148</v>
      </c>
      <c r="B1778" s="3" t="n">
        <v>2026</v>
      </c>
      <c r="C1778" s="21" t="inlineStr">
        <is>
          <t>Continuum</t>
        </is>
      </c>
      <c r="D1778" s="3" t="inlineStr">
        <is>
          <t>Utility and C&amp;I</t>
        </is>
      </c>
      <c r="E1778" s="3" t="n"/>
      <c r="F1778" s="3" t="inlineStr">
        <is>
          <t>Closed</t>
        </is>
      </c>
      <c r="G1778" s="21" t="inlineStr">
        <is>
          <t>Amiya Ranjan Behera</t>
        </is>
      </c>
      <c r="H1778" s="21" t="n">
        <v>8917436223</v>
      </c>
      <c r="I1778" s="38" t="inlineStr">
        <is>
          <t>PE06052602</t>
        </is>
      </c>
      <c r="J1778" s="21" t="inlineStr">
        <is>
          <t>Diode Bypass Module Issue</t>
        </is>
      </c>
      <c r="K1778" s="21" t="inlineStr">
        <is>
          <t>Bhavnagar</t>
        </is>
      </c>
      <c r="L1778" s="21" t="inlineStr">
        <is>
          <t>Gujarat</t>
        </is>
      </c>
      <c r="M1778" s="9" t="inlineStr">
        <is>
          <t>PS</t>
        </is>
      </c>
      <c r="N1778" s="3" t="inlineStr">
        <is>
          <t>Cold Soldering</t>
        </is>
      </c>
      <c r="O1778" s="60" t="n">
        <v>540</v>
      </c>
      <c r="P1778" s="9" t="inlineStr">
        <is>
          <t>NSMP2305131692</t>
        </is>
      </c>
      <c r="Q1778" s="53">
        <f>MID(P1778,5,2)</f>
        <v/>
      </c>
      <c r="R1778" s="53">
        <f>MID(P1778,7,2)</f>
        <v/>
      </c>
      <c r="S1778" s="3" t="inlineStr">
        <is>
          <t>G2B</t>
        </is>
      </c>
      <c r="T1778" s="3" t="inlineStr">
        <is>
          <t>P2</t>
        </is>
      </c>
      <c r="U1778" s="3" t="inlineStr">
        <is>
          <t>P JB Cold Soldering</t>
        </is>
      </c>
      <c r="V1778" s="3" t="inlineStr">
        <is>
          <t>Soldering</t>
        </is>
      </c>
      <c r="W1778" s="3" t="inlineStr">
        <is>
          <t>Repair</t>
        </is>
      </c>
      <c r="X1778" s="18" t="n">
        <v>46165</v>
      </c>
      <c r="Y1778" s="3">
        <f>X1778-A1778</f>
        <v/>
      </c>
      <c r="Z1778" s="18" t="n">
        <v>46165</v>
      </c>
      <c r="AA1778" s="15" t="n"/>
      <c r="AB1778" s="15" t="n"/>
    </row>
    <row r="1779">
      <c r="A1779" s="59" t="n">
        <v>46148</v>
      </c>
      <c r="B1779" s="3" t="n">
        <v>2026</v>
      </c>
      <c r="C1779" s="21" t="inlineStr">
        <is>
          <t>Continuum</t>
        </is>
      </c>
      <c r="D1779" s="3" t="inlineStr">
        <is>
          <t>Utility and C&amp;I</t>
        </is>
      </c>
      <c r="E1779" s="3" t="n"/>
      <c r="F1779" s="3" t="inlineStr">
        <is>
          <t>Closed</t>
        </is>
      </c>
      <c r="G1779" s="21" t="inlineStr">
        <is>
          <t>Amiya Ranjan Behera</t>
        </is>
      </c>
      <c r="H1779" s="21" t="n">
        <v>8917436223</v>
      </c>
      <c r="I1779" s="38" t="inlineStr">
        <is>
          <t>PE06052602</t>
        </is>
      </c>
      <c r="J1779" s="21" t="inlineStr">
        <is>
          <t>Diode Bypass Module Issue</t>
        </is>
      </c>
      <c r="K1779" s="21" t="inlineStr">
        <is>
          <t>Bhavnagar</t>
        </is>
      </c>
      <c r="L1779" s="21" t="inlineStr">
        <is>
          <t>Gujarat</t>
        </is>
      </c>
      <c r="M1779" s="9" t="inlineStr">
        <is>
          <t>PS</t>
        </is>
      </c>
      <c r="N1779" s="3" t="inlineStr">
        <is>
          <t>Cold Soldering</t>
        </is>
      </c>
      <c r="O1779" s="60" t="n">
        <v>540</v>
      </c>
      <c r="P1779" s="9" t="inlineStr">
        <is>
          <t>NSMP2304068691</t>
        </is>
      </c>
      <c r="Q1779" s="53">
        <f>MID(P1779,5,2)</f>
        <v/>
      </c>
      <c r="R1779" s="53">
        <f>MID(P1779,7,2)</f>
        <v/>
      </c>
      <c r="S1779" s="3" t="inlineStr">
        <is>
          <t>G2B</t>
        </is>
      </c>
      <c r="T1779" s="3" t="inlineStr">
        <is>
          <t>P2</t>
        </is>
      </c>
      <c r="U1779" s="3" t="inlineStr">
        <is>
          <t>P JB Cold Soldering</t>
        </is>
      </c>
      <c r="V1779" s="3" t="inlineStr">
        <is>
          <t>Soldering</t>
        </is>
      </c>
      <c r="W1779" s="3" t="inlineStr">
        <is>
          <t>Repair</t>
        </is>
      </c>
      <c r="X1779" s="18" t="n">
        <v>46165</v>
      </c>
      <c r="Y1779" s="3">
        <f>X1779-A1779</f>
        <v/>
      </c>
      <c r="Z1779" s="18" t="n">
        <v>46165</v>
      </c>
      <c r="AA1779" s="15" t="n"/>
      <c r="AB1779" s="15" t="n"/>
    </row>
    <row r="1780">
      <c r="A1780" s="59" t="n">
        <v>46148</v>
      </c>
      <c r="B1780" s="3" t="n">
        <v>2026</v>
      </c>
      <c r="C1780" s="21" t="inlineStr">
        <is>
          <t>Continuum</t>
        </is>
      </c>
      <c r="D1780" s="3" t="inlineStr">
        <is>
          <t>Utility and C&amp;I</t>
        </is>
      </c>
      <c r="E1780" s="3" t="n"/>
      <c r="F1780" s="3" t="inlineStr">
        <is>
          <t>Closed</t>
        </is>
      </c>
      <c r="G1780" s="21" t="inlineStr">
        <is>
          <t>Amiya Ranjan Behera</t>
        </is>
      </c>
      <c r="H1780" s="21" t="n">
        <v>8917436223</v>
      </c>
      <c r="I1780" s="38" t="inlineStr">
        <is>
          <t>PE06052602</t>
        </is>
      </c>
      <c r="J1780" s="21" t="inlineStr">
        <is>
          <t>Diode Bypass Module Issue</t>
        </is>
      </c>
      <c r="K1780" s="21" t="inlineStr">
        <is>
          <t>Bhavnagar</t>
        </is>
      </c>
      <c r="L1780" s="21" t="inlineStr">
        <is>
          <t>Gujarat</t>
        </is>
      </c>
      <c r="M1780" s="9" t="inlineStr">
        <is>
          <t>PS</t>
        </is>
      </c>
      <c r="N1780" s="3" t="inlineStr">
        <is>
          <t>Cold Soldering</t>
        </is>
      </c>
      <c r="O1780" s="60" t="n">
        <v>540</v>
      </c>
      <c r="P1780" s="9" t="inlineStr">
        <is>
          <t>NSMP2304068722</t>
        </is>
      </c>
      <c r="Q1780" s="53">
        <f>MID(P1780,5,2)</f>
        <v/>
      </c>
      <c r="R1780" s="53">
        <f>MID(P1780,7,2)</f>
        <v/>
      </c>
      <c r="S1780" s="3" t="inlineStr">
        <is>
          <t>G2B</t>
        </is>
      </c>
      <c r="T1780" s="3" t="inlineStr">
        <is>
          <t>P2</t>
        </is>
      </c>
      <c r="U1780" s="3" t="inlineStr">
        <is>
          <t>P JB Cold Soldering</t>
        </is>
      </c>
      <c r="V1780" s="3" t="inlineStr">
        <is>
          <t>Soldering</t>
        </is>
      </c>
      <c r="W1780" s="3" t="inlineStr">
        <is>
          <t>Repair</t>
        </is>
      </c>
      <c r="X1780" s="18" t="n">
        <v>46165</v>
      </c>
      <c r="Y1780" s="3">
        <f>X1780-A1780</f>
        <v/>
      </c>
      <c r="Z1780" s="18" t="n">
        <v>46165</v>
      </c>
      <c r="AA1780" s="15" t="n"/>
      <c r="AB1780" s="15" t="n"/>
    </row>
    <row r="1781">
      <c r="A1781" s="59" t="n">
        <v>46148</v>
      </c>
      <c r="B1781" s="3" t="n">
        <v>2026</v>
      </c>
      <c r="C1781" s="21" t="inlineStr">
        <is>
          <t>Continuum</t>
        </is>
      </c>
      <c r="D1781" s="3" t="inlineStr">
        <is>
          <t>Utility and C&amp;I</t>
        </is>
      </c>
      <c r="E1781" s="3" t="n"/>
      <c r="F1781" s="3" t="inlineStr">
        <is>
          <t>Closed</t>
        </is>
      </c>
      <c r="G1781" s="21" t="inlineStr">
        <is>
          <t>Amiya Ranjan Behera</t>
        </is>
      </c>
      <c r="H1781" s="21" t="n">
        <v>8917436223</v>
      </c>
      <c r="I1781" s="38" t="inlineStr">
        <is>
          <t>PE06052602</t>
        </is>
      </c>
      <c r="J1781" s="21" t="inlineStr">
        <is>
          <t>Diode Bypass Module Issue</t>
        </is>
      </c>
      <c r="K1781" s="21" t="inlineStr">
        <is>
          <t>Bhavnagar</t>
        </is>
      </c>
      <c r="L1781" s="21" t="inlineStr">
        <is>
          <t>Gujarat</t>
        </is>
      </c>
      <c r="M1781" s="9" t="inlineStr">
        <is>
          <t>PS</t>
        </is>
      </c>
      <c r="N1781" s="3" t="inlineStr">
        <is>
          <t>Cold Soldering</t>
        </is>
      </c>
      <c r="O1781" s="60" t="n">
        <v>540</v>
      </c>
      <c r="P1781" s="9" t="inlineStr">
        <is>
          <t>NSMP2304068684</t>
        </is>
      </c>
      <c r="Q1781" s="53">
        <f>MID(P1781,5,2)</f>
        <v/>
      </c>
      <c r="R1781" s="53">
        <f>MID(P1781,7,2)</f>
        <v/>
      </c>
      <c r="S1781" s="3" t="inlineStr">
        <is>
          <t>G2B</t>
        </is>
      </c>
      <c r="T1781" s="3" t="inlineStr">
        <is>
          <t>P2</t>
        </is>
      </c>
      <c r="U1781" s="3" t="inlineStr">
        <is>
          <t>P JB Cold Soldering</t>
        </is>
      </c>
      <c r="V1781" s="3" t="inlineStr">
        <is>
          <t>Soldering</t>
        </is>
      </c>
      <c r="W1781" s="3" t="inlineStr">
        <is>
          <t>Repair</t>
        </is>
      </c>
      <c r="X1781" s="18" t="n">
        <v>46165</v>
      </c>
      <c r="Y1781" s="3">
        <f>X1781-A1781</f>
        <v/>
      </c>
      <c r="Z1781" s="18" t="n">
        <v>46165</v>
      </c>
      <c r="AA1781" s="15" t="n"/>
      <c r="AB1781" s="15" t="n"/>
    </row>
    <row r="1782">
      <c r="A1782" s="59" t="n">
        <v>46148</v>
      </c>
      <c r="B1782" s="3" t="n">
        <v>2026</v>
      </c>
      <c r="C1782" s="21" t="inlineStr">
        <is>
          <t>Continuum</t>
        </is>
      </c>
      <c r="D1782" s="3" t="inlineStr">
        <is>
          <t>Utility and C&amp;I</t>
        </is>
      </c>
      <c r="E1782" s="3" t="n"/>
      <c r="F1782" s="3" t="inlineStr">
        <is>
          <t>Closed</t>
        </is>
      </c>
      <c r="G1782" s="21" t="inlineStr">
        <is>
          <t>Amiya Ranjan Behera</t>
        </is>
      </c>
      <c r="H1782" s="21" t="n">
        <v>8917436223</v>
      </c>
      <c r="I1782" s="38" t="inlineStr">
        <is>
          <t>PE06052602</t>
        </is>
      </c>
      <c r="J1782" s="21" t="inlineStr">
        <is>
          <t>Diode Bypass Module Issue</t>
        </is>
      </c>
      <c r="K1782" s="21" t="inlineStr">
        <is>
          <t>Bhavnagar</t>
        </is>
      </c>
      <c r="L1782" s="21" t="inlineStr">
        <is>
          <t>Gujarat</t>
        </is>
      </c>
      <c r="M1782" s="9" t="inlineStr">
        <is>
          <t>PS</t>
        </is>
      </c>
      <c r="N1782" s="3" t="inlineStr">
        <is>
          <t>Cold Soldering</t>
        </is>
      </c>
      <c r="O1782" s="60" t="n">
        <v>540</v>
      </c>
      <c r="P1782" s="9" t="inlineStr">
        <is>
          <t>NSMP2304068772</t>
        </is>
      </c>
      <c r="Q1782" s="53">
        <f>MID(P1782,5,2)</f>
        <v/>
      </c>
      <c r="R1782" s="53">
        <f>MID(P1782,7,2)</f>
        <v/>
      </c>
      <c r="S1782" s="3" t="inlineStr">
        <is>
          <t>G2B</t>
        </is>
      </c>
      <c r="T1782" s="3" t="inlineStr">
        <is>
          <t>P2</t>
        </is>
      </c>
      <c r="U1782" s="3" t="inlineStr">
        <is>
          <t>P JB Cold Soldering</t>
        </is>
      </c>
      <c r="V1782" s="3" t="inlineStr">
        <is>
          <t>Soldering</t>
        </is>
      </c>
      <c r="W1782" s="3" t="inlineStr">
        <is>
          <t>Repair</t>
        </is>
      </c>
      <c r="X1782" s="18" t="n">
        <v>46165</v>
      </c>
      <c r="Y1782" s="3">
        <f>X1782-A1782</f>
        <v/>
      </c>
      <c r="Z1782" s="18" t="n">
        <v>46165</v>
      </c>
      <c r="AA1782" s="15" t="n"/>
      <c r="AB1782" s="15" t="n"/>
    </row>
    <row r="1783">
      <c r="A1783" s="59" t="n">
        <v>46148</v>
      </c>
      <c r="B1783" s="3" t="n">
        <v>2026</v>
      </c>
      <c r="C1783" s="21" t="inlineStr">
        <is>
          <t>Continuum</t>
        </is>
      </c>
      <c r="D1783" s="3" t="inlineStr">
        <is>
          <t>Utility and C&amp;I</t>
        </is>
      </c>
      <c r="E1783" s="3" t="n"/>
      <c r="F1783" s="3" t="inlineStr">
        <is>
          <t>Closed</t>
        </is>
      </c>
      <c r="G1783" s="21" t="inlineStr">
        <is>
          <t>Amiya Ranjan Behera</t>
        </is>
      </c>
      <c r="H1783" s="21" t="n">
        <v>8917436223</v>
      </c>
      <c r="I1783" s="38" t="inlineStr">
        <is>
          <t>PE06052602</t>
        </is>
      </c>
      <c r="J1783" s="21" t="inlineStr">
        <is>
          <t>Diode Bypass Module Issue</t>
        </is>
      </c>
      <c r="K1783" s="21" t="inlineStr">
        <is>
          <t>Bhavnagar</t>
        </is>
      </c>
      <c r="L1783" s="21" t="inlineStr">
        <is>
          <t>Gujarat</t>
        </is>
      </c>
      <c r="M1783" s="9" t="inlineStr">
        <is>
          <t>PS</t>
        </is>
      </c>
      <c r="N1783" s="3" t="inlineStr">
        <is>
          <t>Cold Soldering</t>
        </is>
      </c>
      <c r="O1783" s="60" t="n">
        <v>540</v>
      </c>
      <c r="P1783" s="9" t="inlineStr">
        <is>
          <t>NSMP2304067267</t>
        </is>
      </c>
      <c r="Q1783" s="53">
        <f>MID(P1783,5,2)</f>
        <v/>
      </c>
      <c r="R1783" s="53">
        <f>MID(P1783,7,2)</f>
        <v/>
      </c>
      <c r="S1783" s="3" t="inlineStr">
        <is>
          <t>G2B</t>
        </is>
      </c>
      <c r="T1783" s="3" t="inlineStr">
        <is>
          <t>P2</t>
        </is>
      </c>
      <c r="U1783" s="3" t="inlineStr">
        <is>
          <t>P JB Cold Soldering</t>
        </is>
      </c>
      <c r="V1783" s="3" t="inlineStr">
        <is>
          <t>Soldering</t>
        </is>
      </c>
      <c r="W1783" s="3" t="inlineStr">
        <is>
          <t>Repair</t>
        </is>
      </c>
      <c r="X1783" s="18" t="n">
        <v>46165</v>
      </c>
      <c r="Y1783" s="3">
        <f>X1783-A1783</f>
        <v/>
      </c>
      <c r="Z1783" s="18" t="n">
        <v>46165</v>
      </c>
      <c r="AA1783" s="15" t="n"/>
      <c r="AB1783" s="15" t="n"/>
    </row>
    <row r="1784">
      <c r="A1784" s="59" t="n">
        <v>46148</v>
      </c>
      <c r="B1784" s="3" t="n">
        <v>2026</v>
      </c>
      <c r="C1784" s="21" t="inlineStr">
        <is>
          <t>Continuum</t>
        </is>
      </c>
      <c r="D1784" s="3" t="inlineStr">
        <is>
          <t>Utility and C&amp;I</t>
        </is>
      </c>
      <c r="E1784" s="3" t="n"/>
      <c r="F1784" s="3" t="inlineStr">
        <is>
          <t>Closed</t>
        </is>
      </c>
      <c r="G1784" s="21" t="inlineStr">
        <is>
          <t>Amiya Ranjan Behera</t>
        </is>
      </c>
      <c r="H1784" s="21" t="n">
        <v>8917436223</v>
      </c>
      <c r="I1784" s="38" t="inlineStr">
        <is>
          <t>PE06052602</t>
        </is>
      </c>
      <c r="J1784" s="21" t="inlineStr">
        <is>
          <t>Diode Bypass Module Issue</t>
        </is>
      </c>
      <c r="K1784" s="21" t="inlineStr">
        <is>
          <t>Bhavnagar</t>
        </is>
      </c>
      <c r="L1784" s="21" t="inlineStr">
        <is>
          <t>Gujarat</t>
        </is>
      </c>
      <c r="M1784" s="9" t="inlineStr">
        <is>
          <t>PS</t>
        </is>
      </c>
      <c r="N1784" s="3" t="inlineStr">
        <is>
          <t>Cold Soldering</t>
        </is>
      </c>
      <c r="O1784" s="60" t="n">
        <v>540</v>
      </c>
      <c r="P1784" s="9" t="inlineStr">
        <is>
          <t>NSMP2304045764</t>
        </is>
      </c>
      <c r="Q1784" s="53">
        <f>MID(P1784,5,2)</f>
        <v/>
      </c>
      <c r="R1784" s="53">
        <f>MID(P1784,7,2)</f>
        <v/>
      </c>
      <c r="S1784" s="3" t="inlineStr">
        <is>
          <t>G2B</t>
        </is>
      </c>
      <c r="T1784" s="3" t="inlineStr">
        <is>
          <t>P2</t>
        </is>
      </c>
      <c r="U1784" s="3" t="inlineStr">
        <is>
          <t>P JB Cold Soldering</t>
        </is>
      </c>
      <c r="V1784" s="3" t="inlineStr">
        <is>
          <t>Soldering</t>
        </is>
      </c>
      <c r="W1784" s="3" t="inlineStr">
        <is>
          <t>Repair</t>
        </is>
      </c>
      <c r="X1784" s="18" t="n">
        <v>46165</v>
      </c>
      <c r="Y1784" s="3">
        <f>X1784-A1784</f>
        <v/>
      </c>
      <c r="Z1784" s="18" t="n">
        <v>46165</v>
      </c>
      <c r="AA1784" s="15" t="n"/>
      <c r="AB1784" s="15" t="n"/>
    </row>
    <row r="1785">
      <c r="A1785" s="59" t="n">
        <v>46148</v>
      </c>
      <c r="B1785" s="3" t="n">
        <v>2026</v>
      </c>
      <c r="C1785" s="21" t="inlineStr">
        <is>
          <t>Continuum</t>
        </is>
      </c>
      <c r="D1785" s="3" t="inlineStr">
        <is>
          <t>Utility and C&amp;I</t>
        </is>
      </c>
      <c r="E1785" s="3" t="n"/>
      <c r="F1785" s="3" t="inlineStr">
        <is>
          <t>Closed</t>
        </is>
      </c>
      <c r="G1785" s="21" t="inlineStr">
        <is>
          <t>Amiya Ranjan Behera</t>
        </is>
      </c>
      <c r="H1785" s="21" t="n">
        <v>8917436223</v>
      </c>
      <c r="I1785" s="38" t="inlineStr">
        <is>
          <t>PE06052602</t>
        </is>
      </c>
      <c r="J1785" s="21" t="inlineStr">
        <is>
          <t>Diode Bypass Module Issue</t>
        </is>
      </c>
      <c r="K1785" s="21" t="inlineStr">
        <is>
          <t>Bhavnagar</t>
        </is>
      </c>
      <c r="L1785" s="21" t="inlineStr">
        <is>
          <t>Gujarat</t>
        </is>
      </c>
      <c r="M1785" s="9" t="inlineStr">
        <is>
          <t>PS</t>
        </is>
      </c>
      <c r="N1785" s="3" t="inlineStr">
        <is>
          <t>Cold Soldering</t>
        </is>
      </c>
      <c r="O1785" s="60" t="n">
        <v>540</v>
      </c>
      <c r="P1785" s="9" t="inlineStr">
        <is>
          <t>NSMP2304067248</t>
        </is>
      </c>
      <c r="Q1785" s="53">
        <f>MID(P1785,5,2)</f>
        <v/>
      </c>
      <c r="R1785" s="53">
        <f>MID(P1785,7,2)</f>
        <v/>
      </c>
      <c r="S1785" s="3" t="inlineStr">
        <is>
          <t>G2B</t>
        </is>
      </c>
      <c r="T1785" s="3" t="inlineStr">
        <is>
          <t>P2</t>
        </is>
      </c>
      <c r="U1785" s="3" t="inlineStr">
        <is>
          <t>P JB Cold Soldering</t>
        </is>
      </c>
      <c r="V1785" s="3" t="inlineStr">
        <is>
          <t>Soldering</t>
        </is>
      </c>
      <c r="W1785" s="3" t="inlineStr">
        <is>
          <t>Repair</t>
        </is>
      </c>
      <c r="X1785" s="18" t="n">
        <v>46165</v>
      </c>
      <c r="Y1785" s="3">
        <f>X1785-A1785</f>
        <v/>
      </c>
      <c r="Z1785" s="18" t="n">
        <v>46165</v>
      </c>
      <c r="AA1785" s="15" t="n"/>
      <c r="AB1785" s="15" t="n"/>
    </row>
    <row r="1786">
      <c r="A1786" s="59" t="n">
        <v>46148</v>
      </c>
      <c r="B1786" s="3" t="n">
        <v>2026</v>
      </c>
      <c r="C1786" s="21" t="inlineStr">
        <is>
          <t>Continuum</t>
        </is>
      </c>
      <c r="D1786" s="3" t="inlineStr">
        <is>
          <t>Utility and C&amp;I</t>
        </is>
      </c>
      <c r="E1786" s="3" t="n"/>
      <c r="F1786" s="3" t="inlineStr">
        <is>
          <t>Closed</t>
        </is>
      </c>
      <c r="G1786" s="21" t="inlineStr">
        <is>
          <t>Amiya Ranjan Behera</t>
        </is>
      </c>
      <c r="H1786" s="21" t="n">
        <v>8917436223</v>
      </c>
      <c r="I1786" s="38" t="inlineStr">
        <is>
          <t>PE06052602</t>
        </is>
      </c>
      <c r="J1786" s="21" t="inlineStr">
        <is>
          <t>Diode Bypass Module Issue</t>
        </is>
      </c>
      <c r="K1786" s="21" t="inlineStr">
        <is>
          <t>Bhavnagar</t>
        </is>
      </c>
      <c r="L1786" s="21" t="inlineStr">
        <is>
          <t>Gujarat</t>
        </is>
      </c>
      <c r="M1786" s="9" t="inlineStr">
        <is>
          <t>Ok</t>
        </is>
      </c>
      <c r="N1786" s="3" t="inlineStr">
        <is>
          <t>No Issue</t>
        </is>
      </c>
      <c r="O1786" s="60" t="n">
        <v>540</v>
      </c>
      <c r="P1786" s="9" t="inlineStr">
        <is>
          <t>NSMP2304076911</t>
        </is>
      </c>
      <c r="Q1786" s="53">
        <f>MID(P1786,5,2)</f>
        <v/>
      </c>
      <c r="R1786" s="53">
        <f>MID(P1786,7,2)</f>
        <v/>
      </c>
      <c r="S1786" s="3" t="inlineStr">
        <is>
          <t>G2B</t>
        </is>
      </c>
      <c r="T1786" s="3" t="inlineStr">
        <is>
          <t>P2</t>
        </is>
      </c>
      <c r="U1786" s="19" t="inlineStr">
        <is>
          <t>No Issue Found</t>
        </is>
      </c>
      <c r="V1786" s="19" t="inlineStr">
        <is>
          <t>Found OK</t>
        </is>
      </c>
      <c r="W1786" s="3" t="inlineStr">
        <is>
          <t>Repair</t>
        </is>
      </c>
      <c r="X1786" s="18" t="n">
        <v>46165</v>
      </c>
      <c r="Y1786" s="3">
        <f>X1786-A1786</f>
        <v/>
      </c>
      <c r="Z1786" s="18" t="n">
        <v>46165</v>
      </c>
      <c r="AA1786" s="15" t="n"/>
      <c r="AB1786" s="15" t="n"/>
    </row>
    <row r="1787">
      <c r="A1787" s="59" t="n">
        <v>46148</v>
      </c>
      <c r="B1787" s="3" t="n">
        <v>2026</v>
      </c>
      <c r="C1787" s="21" t="inlineStr">
        <is>
          <t>Continuum</t>
        </is>
      </c>
      <c r="D1787" s="3" t="inlineStr">
        <is>
          <t>Utility and C&amp;I</t>
        </is>
      </c>
      <c r="E1787" s="3" t="n"/>
      <c r="F1787" s="3" t="inlineStr">
        <is>
          <t>Closed</t>
        </is>
      </c>
      <c r="G1787" s="21" t="inlineStr">
        <is>
          <t>Amiya Ranjan Behera</t>
        </is>
      </c>
      <c r="H1787" s="21" t="n">
        <v>8917436223</v>
      </c>
      <c r="I1787" s="38" t="inlineStr">
        <is>
          <t>PE06052602</t>
        </is>
      </c>
      <c r="J1787" s="21" t="inlineStr">
        <is>
          <t>Diode Bypass Module Issue</t>
        </is>
      </c>
      <c r="K1787" s="21" t="inlineStr">
        <is>
          <t>Bhavnagar</t>
        </is>
      </c>
      <c r="L1787" s="21" t="inlineStr">
        <is>
          <t>Gujarat</t>
        </is>
      </c>
      <c r="M1787" s="9" t="inlineStr">
        <is>
          <t>PS</t>
        </is>
      </c>
      <c r="N1787" s="3" t="inlineStr">
        <is>
          <t>Cold Soldering</t>
        </is>
      </c>
      <c r="O1787" s="60" t="n">
        <v>540</v>
      </c>
      <c r="P1787" s="9" t="inlineStr">
        <is>
          <t>NSMP2304067273</t>
        </is>
      </c>
      <c r="Q1787" s="53">
        <f>MID(P1787,5,2)</f>
        <v/>
      </c>
      <c r="R1787" s="53">
        <f>MID(P1787,7,2)</f>
        <v/>
      </c>
      <c r="S1787" s="3" t="inlineStr">
        <is>
          <t>G2B</t>
        </is>
      </c>
      <c r="T1787" s="3" t="inlineStr">
        <is>
          <t>P2</t>
        </is>
      </c>
      <c r="U1787" s="3" t="inlineStr">
        <is>
          <t>P JB Cold Soldering</t>
        </is>
      </c>
      <c r="V1787" s="3" t="inlineStr">
        <is>
          <t>Soldering</t>
        </is>
      </c>
      <c r="W1787" s="3" t="inlineStr">
        <is>
          <t>Repair</t>
        </is>
      </c>
      <c r="X1787" s="18" t="n">
        <v>46165</v>
      </c>
      <c r="Y1787" s="3">
        <f>X1787-A1787</f>
        <v/>
      </c>
      <c r="Z1787" s="18" t="n">
        <v>46165</v>
      </c>
      <c r="AA1787" s="15" t="n"/>
      <c r="AB1787" s="15" t="n"/>
    </row>
    <row r="1788">
      <c r="A1788" s="59" t="n">
        <v>46148</v>
      </c>
      <c r="B1788" s="3" t="n">
        <v>2026</v>
      </c>
      <c r="C1788" s="21" t="inlineStr">
        <is>
          <t>Continuum</t>
        </is>
      </c>
      <c r="D1788" s="3" t="inlineStr">
        <is>
          <t>Utility and C&amp;I</t>
        </is>
      </c>
      <c r="E1788" s="3" t="n"/>
      <c r="F1788" s="3" t="inlineStr">
        <is>
          <t>Closed</t>
        </is>
      </c>
      <c r="G1788" s="21" t="inlineStr">
        <is>
          <t>Amiya Ranjan Behera</t>
        </is>
      </c>
      <c r="H1788" s="21" t="n">
        <v>8917436223</v>
      </c>
      <c r="I1788" s="38" t="inlineStr">
        <is>
          <t>PE06052602</t>
        </is>
      </c>
      <c r="J1788" s="21" t="inlineStr">
        <is>
          <t>Diode Bypass Module Issue</t>
        </is>
      </c>
      <c r="K1788" s="21" t="inlineStr">
        <is>
          <t>Bhavnagar</t>
        </is>
      </c>
      <c r="L1788" s="21" t="inlineStr">
        <is>
          <t>Gujarat</t>
        </is>
      </c>
      <c r="M1788" s="9" t="inlineStr">
        <is>
          <t>PS</t>
        </is>
      </c>
      <c r="N1788" s="3" t="inlineStr">
        <is>
          <t>Cold Soldering</t>
        </is>
      </c>
      <c r="O1788" s="60" t="n">
        <v>540</v>
      </c>
      <c r="P1788" s="9" t="inlineStr">
        <is>
          <t>NSMP2304067271</t>
        </is>
      </c>
      <c r="Q1788" s="53">
        <f>MID(P1788,5,2)</f>
        <v/>
      </c>
      <c r="R1788" s="53">
        <f>MID(P1788,7,2)</f>
        <v/>
      </c>
      <c r="S1788" s="3" t="inlineStr">
        <is>
          <t>G2B</t>
        </is>
      </c>
      <c r="T1788" s="3" t="inlineStr">
        <is>
          <t>P2</t>
        </is>
      </c>
      <c r="U1788" s="3" t="inlineStr">
        <is>
          <t>P JB Cold Soldering</t>
        </is>
      </c>
      <c r="V1788" s="3" t="inlineStr">
        <is>
          <t>Soldering</t>
        </is>
      </c>
      <c r="W1788" s="3" t="inlineStr">
        <is>
          <t>Repair</t>
        </is>
      </c>
      <c r="X1788" s="18" t="n">
        <v>46165</v>
      </c>
      <c r="Y1788" s="3">
        <f>X1788-A1788</f>
        <v/>
      </c>
      <c r="Z1788" s="18" t="n">
        <v>46165</v>
      </c>
      <c r="AA1788" s="15" t="n"/>
      <c r="AB1788" s="15" t="n"/>
    </row>
    <row r="1789">
      <c r="A1789" s="59" t="n">
        <v>46148</v>
      </c>
      <c r="B1789" s="3" t="n">
        <v>2026</v>
      </c>
      <c r="C1789" s="21" t="inlineStr">
        <is>
          <t>Continuum</t>
        </is>
      </c>
      <c r="D1789" s="3" t="inlineStr">
        <is>
          <t>Utility and C&amp;I</t>
        </is>
      </c>
      <c r="E1789" s="3" t="n"/>
      <c r="F1789" s="3" t="inlineStr">
        <is>
          <t>Closed</t>
        </is>
      </c>
      <c r="G1789" s="21" t="inlineStr">
        <is>
          <t>Amiya Ranjan Behera</t>
        </is>
      </c>
      <c r="H1789" s="21" t="n">
        <v>8917436223</v>
      </c>
      <c r="I1789" s="38" t="inlineStr">
        <is>
          <t>PE06052602</t>
        </is>
      </c>
      <c r="J1789" s="21" t="inlineStr">
        <is>
          <t>Diode Bypass Module Issue</t>
        </is>
      </c>
      <c r="K1789" s="21" t="inlineStr">
        <is>
          <t>Bhavnagar</t>
        </is>
      </c>
      <c r="L1789" s="21" t="inlineStr">
        <is>
          <t>Gujarat</t>
        </is>
      </c>
      <c r="M1789" s="9" t="inlineStr">
        <is>
          <t>PR</t>
        </is>
      </c>
      <c r="N1789" s="3" t="inlineStr">
        <is>
          <t>JB Issue</t>
        </is>
      </c>
      <c r="O1789" s="60" t="n">
        <v>540</v>
      </c>
      <c r="P1789" s="9" t="inlineStr">
        <is>
          <t>NSMP2304067293</t>
        </is>
      </c>
      <c r="Q1789" s="53">
        <f>MID(P1789,5,2)</f>
        <v/>
      </c>
      <c r="R1789" s="53">
        <f>MID(P1789,7,2)</f>
        <v/>
      </c>
      <c r="S1789" s="3" t="inlineStr">
        <is>
          <t>G2B</t>
        </is>
      </c>
      <c r="T1789" s="3" t="inlineStr">
        <is>
          <t>P2</t>
        </is>
      </c>
      <c r="U1789" s="3" t="inlineStr">
        <is>
          <t>P JB Issue</t>
        </is>
      </c>
      <c r="V1789" s="15" t="inlineStr">
        <is>
          <t>JB Changed</t>
        </is>
      </c>
      <c r="W1789" s="3" t="inlineStr">
        <is>
          <t>Repair</t>
        </is>
      </c>
      <c r="X1789" s="18" t="n">
        <v>46165</v>
      </c>
      <c r="Y1789" s="3">
        <f>X1789-A1789</f>
        <v/>
      </c>
      <c r="Z1789" s="18" t="n">
        <v>46165</v>
      </c>
      <c r="AA1789" s="15" t="n"/>
      <c r="AB1789" s="15" t="n"/>
    </row>
    <row r="1790">
      <c r="A1790" s="59" t="n">
        <v>46148</v>
      </c>
      <c r="B1790" s="3" t="n">
        <v>2026</v>
      </c>
      <c r="C1790" s="21" t="inlineStr">
        <is>
          <t>Continuum</t>
        </is>
      </c>
      <c r="D1790" s="3" t="inlineStr">
        <is>
          <t>Utility and C&amp;I</t>
        </is>
      </c>
      <c r="E1790" s="3" t="n"/>
      <c r="F1790" s="3" t="inlineStr">
        <is>
          <t>Closed</t>
        </is>
      </c>
      <c r="G1790" s="21" t="inlineStr">
        <is>
          <t>Amiya Ranjan Behera</t>
        </is>
      </c>
      <c r="H1790" s="21" t="n">
        <v>8917436223</v>
      </c>
      <c r="I1790" s="38" t="inlineStr">
        <is>
          <t>PE06052602</t>
        </is>
      </c>
      <c r="J1790" s="21" t="inlineStr">
        <is>
          <t>Diode Bypass Module Issue</t>
        </is>
      </c>
      <c r="K1790" s="21" t="inlineStr">
        <is>
          <t>Bhavnagar</t>
        </is>
      </c>
      <c r="L1790" s="21" t="inlineStr">
        <is>
          <t>Gujarat</t>
        </is>
      </c>
      <c r="M1790" s="9" t="inlineStr">
        <is>
          <t>PS</t>
        </is>
      </c>
      <c r="N1790" s="3" t="inlineStr">
        <is>
          <t>Cold Soldering</t>
        </is>
      </c>
      <c r="O1790" s="60" t="n">
        <v>540</v>
      </c>
      <c r="P1790" s="9" t="inlineStr">
        <is>
          <t>NSMP2304067253</t>
        </is>
      </c>
      <c r="Q1790" s="53">
        <f>MID(P1790,5,2)</f>
        <v/>
      </c>
      <c r="R1790" s="53">
        <f>MID(P1790,7,2)</f>
        <v/>
      </c>
      <c r="S1790" s="3" t="inlineStr">
        <is>
          <t>G2B</t>
        </is>
      </c>
      <c r="T1790" s="3" t="inlineStr">
        <is>
          <t>P2</t>
        </is>
      </c>
      <c r="U1790" s="3" t="inlineStr">
        <is>
          <t>P JB Cold Soldering</t>
        </is>
      </c>
      <c r="V1790" s="3" t="inlineStr">
        <is>
          <t>Soldering</t>
        </is>
      </c>
      <c r="W1790" s="3" t="inlineStr">
        <is>
          <t>Repair</t>
        </is>
      </c>
      <c r="X1790" s="18" t="n">
        <v>46165</v>
      </c>
      <c r="Y1790" s="3">
        <f>X1790-A1790</f>
        <v/>
      </c>
      <c r="Z1790" s="18" t="n">
        <v>46165</v>
      </c>
      <c r="AA1790" s="15" t="n"/>
      <c r="AB1790" s="15" t="n"/>
    </row>
    <row r="1791">
      <c r="A1791" s="59" t="n">
        <v>46148</v>
      </c>
      <c r="B1791" s="3" t="n">
        <v>2026</v>
      </c>
      <c r="C1791" s="21" t="inlineStr">
        <is>
          <t>Continuum</t>
        </is>
      </c>
      <c r="D1791" s="3" t="inlineStr">
        <is>
          <t>Utility and C&amp;I</t>
        </is>
      </c>
      <c r="E1791" s="3" t="n"/>
      <c r="F1791" s="3" t="inlineStr">
        <is>
          <t>Closed</t>
        </is>
      </c>
      <c r="G1791" s="21" t="inlineStr">
        <is>
          <t>Amiya Ranjan Behera</t>
        </is>
      </c>
      <c r="H1791" s="21" t="n">
        <v>8917436223</v>
      </c>
      <c r="I1791" s="38" t="inlineStr">
        <is>
          <t>PE06052602</t>
        </is>
      </c>
      <c r="J1791" s="21" t="inlineStr">
        <is>
          <t>Diode Bypass Module Issue</t>
        </is>
      </c>
      <c r="K1791" s="21" t="inlineStr">
        <is>
          <t>Bhavnagar</t>
        </is>
      </c>
      <c r="L1791" s="21" t="inlineStr">
        <is>
          <t>Gujarat</t>
        </is>
      </c>
      <c r="M1791" s="9" t="inlineStr">
        <is>
          <t>PS</t>
        </is>
      </c>
      <c r="N1791" s="3" t="inlineStr">
        <is>
          <t>Cold Soldering</t>
        </is>
      </c>
      <c r="O1791" s="60" t="n">
        <v>540</v>
      </c>
      <c r="P1791" s="9" t="inlineStr">
        <is>
          <t>NSMP2304067308</t>
        </is>
      </c>
      <c r="Q1791" s="53">
        <f>MID(P1791,5,2)</f>
        <v/>
      </c>
      <c r="R1791" s="53">
        <f>MID(P1791,7,2)</f>
        <v/>
      </c>
      <c r="S1791" s="3" t="inlineStr">
        <is>
          <t>G2B</t>
        </is>
      </c>
      <c r="T1791" s="3" t="inlineStr">
        <is>
          <t>P2</t>
        </is>
      </c>
      <c r="U1791" s="3" t="inlineStr">
        <is>
          <t>P JB Cold Soldering</t>
        </is>
      </c>
      <c r="V1791" s="3" t="inlineStr">
        <is>
          <t>Soldering</t>
        </is>
      </c>
      <c r="W1791" s="3" t="inlineStr">
        <is>
          <t>Repair</t>
        </is>
      </c>
      <c r="X1791" s="18" t="n">
        <v>46165</v>
      </c>
      <c r="Y1791" s="3">
        <f>X1791-A1791</f>
        <v/>
      </c>
      <c r="Z1791" s="18" t="n">
        <v>46165</v>
      </c>
      <c r="AA1791" s="15" t="n"/>
      <c r="AB1791" s="15" t="n"/>
    </row>
    <row r="1792">
      <c r="A1792" s="59" t="n">
        <v>46148</v>
      </c>
      <c r="B1792" s="3" t="n">
        <v>2026</v>
      </c>
      <c r="C1792" s="21" t="inlineStr">
        <is>
          <t>Continuum</t>
        </is>
      </c>
      <c r="D1792" s="3" t="inlineStr">
        <is>
          <t>Utility and C&amp;I</t>
        </is>
      </c>
      <c r="E1792" s="3" t="n"/>
      <c r="F1792" s="3" t="inlineStr">
        <is>
          <t>Closed</t>
        </is>
      </c>
      <c r="G1792" s="21" t="inlineStr">
        <is>
          <t>Amiya Ranjan Behera</t>
        </is>
      </c>
      <c r="H1792" s="21" t="n">
        <v>8917436223</v>
      </c>
      <c r="I1792" s="38" t="inlineStr">
        <is>
          <t>PE06052602</t>
        </is>
      </c>
      <c r="J1792" s="21" t="inlineStr">
        <is>
          <t>Diode Bypass Module Issue</t>
        </is>
      </c>
      <c r="K1792" s="21" t="inlineStr">
        <is>
          <t>Bhavnagar</t>
        </is>
      </c>
      <c r="L1792" s="21" t="inlineStr">
        <is>
          <t>Gujarat</t>
        </is>
      </c>
      <c r="M1792" s="9" t="inlineStr">
        <is>
          <t>PS</t>
        </is>
      </c>
      <c r="N1792" s="3" t="inlineStr">
        <is>
          <t>Cold Soldering</t>
        </is>
      </c>
      <c r="O1792" s="60" t="n">
        <v>540</v>
      </c>
      <c r="P1792" s="9" t="inlineStr">
        <is>
          <t>NSMP2304067263</t>
        </is>
      </c>
      <c r="Q1792" s="53">
        <f>MID(P1792,5,2)</f>
        <v/>
      </c>
      <c r="R1792" s="53">
        <f>MID(P1792,7,2)</f>
        <v/>
      </c>
      <c r="S1792" s="3" t="inlineStr">
        <is>
          <t>G2B</t>
        </is>
      </c>
      <c r="T1792" s="3" t="inlineStr">
        <is>
          <t>P2</t>
        </is>
      </c>
      <c r="U1792" s="3" t="inlineStr">
        <is>
          <t>P JB Cold Soldering</t>
        </is>
      </c>
      <c r="V1792" s="3" t="inlineStr">
        <is>
          <t>Soldering</t>
        </is>
      </c>
      <c r="W1792" s="3" t="inlineStr">
        <is>
          <t>Repair</t>
        </is>
      </c>
      <c r="X1792" s="18" t="n">
        <v>46165</v>
      </c>
      <c r="Y1792" s="3">
        <f>X1792-A1792</f>
        <v/>
      </c>
      <c r="Z1792" s="18" t="n">
        <v>46165</v>
      </c>
      <c r="AA1792" s="15" t="n"/>
      <c r="AB1792" s="15" t="n"/>
    </row>
    <row r="1793">
      <c r="A1793" s="59" t="n">
        <v>46148</v>
      </c>
      <c r="B1793" s="3" t="n">
        <v>2026</v>
      </c>
      <c r="C1793" s="21" t="inlineStr">
        <is>
          <t>Continuum</t>
        </is>
      </c>
      <c r="D1793" s="3" t="inlineStr">
        <is>
          <t>Utility and C&amp;I</t>
        </is>
      </c>
      <c r="E1793" s="3" t="n"/>
      <c r="F1793" s="3" t="inlineStr">
        <is>
          <t>Closed</t>
        </is>
      </c>
      <c r="G1793" s="21" t="inlineStr">
        <is>
          <t>Amiya Ranjan Behera</t>
        </is>
      </c>
      <c r="H1793" s="21" t="n">
        <v>8917436223</v>
      </c>
      <c r="I1793" s="38" t="inlineStr">
        <is>
          <t>PE06052602</t>
        </is>
      </c>
      <c r="J1793" s="21" t="inlineStr">
        <is>
          <t>Diode Bypass Module Issue</t>
        </is>
      </c>
      <c r="K1793" s="21" t="inlineStr">
        <is>
          <t>Bhavnagar</t>
        </is>
      </c>
      <c r="L1793" s="21" t="inlineStr">
        <is>
          <t>Gujarat</t>
        </is>
      </c>
      <c r="M1793" s="9" t="inlineStr">
        <is>
          <t>PS</t>
        </is>
      </c>
      <c r="N1793" s="3" t="inlineStr">
        <is>
          <t>Cold Soldering</t>
        </is>
      </c>
      <c r="O1793" s="60" t="n">
        <v>540</v>
      </c>
      <c r="P1793" s="9" t="inlineStr">
        <is>
          <t>NSMP2304067269</t>
        </is>
      </c>
      <c r="Q1793" s="53">
        <f>MID(P1793,5,2)</f>
        <v/>
      </c>
      <c r="R1793" s="53">
        <f>MID(P1793,7,2)</f>
        <v/>
      </c>
      <c r="S1793" s="3" t="inlineStr">
        <is>
          <t>G2B</t>
        </is>
      </c>
      <c r="T1793" s="3" t="inlineStr">
        <is>
          <t>P2</t>
        </is>
      </c>
      <c r="U1793" s="3" t="inlineStr">
        <is>
          <t>P JB Cold Soldering</t>
        </is>
      </c>
      <c r="V1793" s="3" t="inlineStr">
        <is>
          <t>Soldering</t>
        </is>
      </c>
      <c r="W1793" s="3" t="inlineStr">
        <is>
          <t>Repair</t>
        </is>
      </c>
      <c r="X1793" s="18" t="n">
        <v>46165</v>
      </c>
      <c r="Y1793" s="3">
        <f>X1793-A1793</f>
        <v/>
      </c>
      <c r="Z1793" s="18" t="n">
        <v>46165</v>
      </c>
      <c r="AA1793" s="15" t="n"/>
      <c r="AB1793" s="15" t="n"/>
    </row>
    <row r="1794">
      <c r="A1794" s="59" t="n">
        <v>46148</v>
      </c>
      <c r="B1794" s="3" t="n">
        <v>2026</v>
      </c>
      <c r="C1794" s="21" t="inlineStr">
        <is>
          <t>Continuum</t>
        </is>
      </c>
      <c r="D1794" s="3" t="inlineStr">
        <is>
          <t>Utility and C&amp;I</t>
        </is>
      </c>
      <c r="E1794" s="3" t="n"/>
      <c r="F1794" s="3" t="inlineStr">
        <is>
          <t>Closed</t>
        </is>
      </c>
      <c r="G1794" s="21" t="inlineStr">
        <is>
          <t>Amiya Ranjan Behera</t>
        </is>
      </c>
      <c r="H1794" s="21" t="n">
        <v>8917436223</v>
      </c>
      <c r="I1794" s="38" t="inlineStr">
        <is>
          <t>PE06052602</t>
        </is>
      </c>
      <c r="J1794" s="21" t="inlineStr">
        <is>
          <t>Diode Bypass Module Issue</t>
        </is>
      </c>
      <c r="K1794" s="21" t="inlineStr">
        <is>
          <t>Bhavnagar</t>
        </is>
      </c>
      <c r="L1794" s="21" t="inlineStr">
        <is>
          <t>Gujarat</t>
        </is>
      </c>
      <c r="M1794" s="9" t="inlineStr">
        <is>
          <t>PS</t>
        </is>
      </c>
      <c r="N1794" s="3" t="inlineStr">
        <is>
          <t>Cold Soldering</t>
        </is>
      </c>
      <c r="O1794" s="60" t="n">
        <v>540</v>
      </c>
      <c r="P1794" s="9" t="inlineStr">
        <is>
          <t>NSMP2304045767</t>
        </is>
      </c>
      <c r="Q1794" s="53">
        <f>MID(P1794,5,2)</f>
        <v/>
      </c>
      <c r="R1794" s="53">
        <f>MID(P1794,7,2)</f>
        <v/>
      </c>
      <c r="S1794" s="3" t="inlineStr">
        <is>
          <t>G2B</t>
        </is>
      </c>
      <c r="T1794" s="3" t="inlineStr">
        <is>
          <t>P2</t>
        </is>
      </c>
      <c r="U1794" s="3" t="inlineStr">
        <is>
          <t>P JB Cold Soldering</t>
        </is>
      </c>
      <c r="V1794" s="3" t="inlineStr">
        <is>
          <t>Soldering</t>
        </is>
      </c>
      <c r="W1794" s="3" t="inlineStr">
        <is>
          <t>Repair</t>
        </is>
      </c>
      <c r="X1794" s="18" t="n">
        <v>46165</v>
      </c>
      <c r="Y1794" s="3">
        <f>X1794-A1794</f>
        <v/>
      </c>
      <c r="Z1794" s="18" t="n">
        <v>46165</v>
      </c>
      <c r="AA1794" s="15" t="n"/>
      <c r="AB1794" s="15" t="n"/>
    </row>
    <row r="1795">
      <c r="A1795" s="59" t="n">
        <v>46148</v>
      </c>
      <c r="B1795" s="3" t="n">
        <v>2026</v>
      </c>
      <c r="C1795" s="21" t="inlineStr">
        <is>
          <t>Continuum</t>
        </is>
      </c>
      <c r="D1795" s="3" t="inlineStr">
        <is>
          <t>Utility and C&amp;I</t>
        </is>
      </c>
      <c r="E1795" s="3" t="n"/>
      <c r="F1795" s="3" t="inlineStr">
        <is>
          <t>Closed</t>
        </is>
      </c>
      <c r="G1795" s="21" t="inlineStr">
        <is>
          <t>Amiya Ranjan Behera</t>
        </is>
      </c>
      <c r="H1795" s="21" t="n">
        <v>8917436223</v>
      </c>
      <c r="I1795" s="38" t="inlineStr">
        <is>
          <t>PE06052602</t>
        </is>
      </c>
      <c r="J1795" s="21" t="inlineStr">
        <is>
          <t>Diode Bypass Module Issue</t>
        </is>
      </c>
      <c r="K1795" s="21" t="inlineStr">
        <is>
          <t>Bhavnagar</t>
        </is>
      </c>
      <c r="L1795" s="21" t="inlineStr">
        <is>
          <t>Gujarat</t>
        </is>
      </c>
      <c r="M1795" s="9" t="inlineStr">
        <is>
          <t>PR</t>
        </is>
      </c>
      <c r="N1795" s="3" t="inlineStr">
        <is>
          <t>JB Issue</t>
        </is>
      </c>
      <c r="O1795" s="60" t="n">
        <v>540</v>
      </c>
      <c r="P1795" s="9" t="inlineStr">
        <is>
          <t>NSMP2304077000</t>
        </is>
      </c>
      <c r="Q1795" s="53">
        <f>MID(P1795,5,2)</f>
        <v/>
      </c>
      <c r="R1795" s="53">
        <f>MID(P1795,7,2)</f>
        <v/>
      </c>
      <c r="S1795" s="3" t="inlineStr">
        <is>
          <t>G2B</t>
        </is>
      </c>
      <c r="T1795" s="3" t="inlineStr">
        <is>
          <t>P2</t>
        </is>
      </c>
      <c r="U1795" s="3" t="inlineStr">
        <is>
          <t>P JB Issue</t>
        </is>
      </c>
      <c r="V1795" s="15" t="inlineStr">
        <is>
          <t>JB Changed</t>
        </is>
      </c>
      <c r="W1795" s="3" t="inlineStr">
        <is>
          <t>Repair</t>
        </is>
      </c>
      <c r="X1795" s="18" t="n">
        <v>46165</v>
      </c>
      <c r="Y1795" s="3">
        <f>X1795-A1795</f>
        <v/>
      </c>
      <c r="Z1795" s="18" t="n">
        <v>46165</v>
      </c>
      <c r="AA1795" s="15" t="n"/>
      <c r="AB1795" s="15" t="n"/>
    </row>
    <row r="1796">
      <c r="A1796" s="59" t="n">
        <v>46148</v>
      </c>
      <c r="B1796" s="3" t="n">
        <v>2026</v>
      </c>
      <c r="C1796" s="21" t="inlineStr">
        <is>
          <t>Continuum</t>
        </is>
      </c>
      <c r="D1796" s="3" t="inlineStr">
        <is>
          <t>Utility and C&amp;I</t>
        </is>
      </c>
      <c r="E1796" s="3" t="n"/>
      <c r="F1796" s="3" t="inlineStr">
        <is>
          <t>Closed</t>
        </is>
      </c>
      <c r="G1796" s="21" t="inlineStr">
        <is>
          <t>Amiya Ranjan Behera</t>
        </is>
      </c>
      <c r="H1796" s="21" t="n">
        <v>8917436223</v>
      </c>
      <c r="I1796" s="38" t="inlineStr">
        <is>
          <t>PE06052602</t>
        </is>
      </c>
      <c r="J1796" s="21" t="inlineStr">
        <is>
          <t>Diode Bypass Module Issue</t>
        </is>
      </c>
      <c r="K1796" s="21" t="inlineStr">
        <is>
          <t>Bhavnagar</t>
        </is>
      </c>
      <c r="L1796" s="21" t="inlineStr">
        <is>
          <t>Gujarat</t>
        </is>
      </c>
      <c r="M1796" s="9" t="inlineStr">
        <is>
          <t>AS</t>
        </is>
      </c>
      <c r="N1796" s="3" t="inlineStr">
        <is>
          <t>Cold Soldering</t>
        </is>
      </c>
      <c r="O1796" s="60" t="n">
        <v>540</v>
      </c>
      <c r="P1796" s="9" t="inlineStr">
        <is>
          <t>NSMP2304068647</t>
        </is>
      </c>
      <c r="Q1796" s="53">
        <f>MID(P1796,5,2)</f>
        <v/>
      </c>
      <c r="R1796" s="53">
        <f>MID(P1796,7,2)</f>
        <v/>
      </c>
      <c r="S1796" s="3" t="inlineStr">
        <is>
          <t>G2B</t>
        </is>
      </c>
      <c r="T1796" s="3" t="inlineStr">
        <is>
          <t>P2</t>
        </is>
      </c>
      <c r="U1796" s="3" t="inlineStr">
        <is>
          <t>All JB Cold Soldering</t>
        </is>
      </c>
      <c r="V1796" s="3" t="inlineStr">
        <is>
          <t>Soldering</t>
        </is>
      </c>
      <c r="W1796" s="3" t="inlineStr">
        <is>
          <t>Repair</t>
        </is>
      </c>
      <c r="X1796" s="18" t="n">
        <v>46165</v>
      </c>
      <c r="Y1796" s="3">
        <f>X1796-A1796</f>
        <v/>
      </c>
      <c r="Z1796" s="18" t="n">
        <v>46165</v>
      </c>
      <c r="AA1796" s="15" t="n"/>
      <c r="AB1796" s="15" t="n"/>
    </row>
    <row r="1797">
      <c r="A1797" s="59" t="n">
        <v>46148</v>
      </c>
      <c r="B1797" s="3" t="n">
        <v>2026</v>
      </c>
      <c r="C1797" s="21" t="inlineStr">
        <is>
          <t>Continuum</t>
        </is>
      </c>
      <c r="D1797" s="3" t="inlineStr">
        <is>
          <t>Utility and C&amp;I</t>
        </is>
      </c>
      <c r="E1797" s="3" t="n"/>
      <c r="F1797" s="3" t="inlineStr">
        <is>
          <t>Closed</t>
        </is>
      </c>
      <c r="G1797" s="21" t="inlineStr">
        <is>
          <t>Amiya Ranjan Behera</t>
        </is>
      </c>
      <c r="H1797" s="21" t="n">
        <v>8917436223</v>
      </c>
      <c r="I1797" s="38" t="inlineStr">
        <is>
          <t>PE06052602</t>
        </is>
      </c>
      <c r="J1797" s="21" t="inlineStr">
        <is>
          <t>Diode Bypass Module Issue</t>
        </is>
      </c>
      <c r="K1797" s="21" t="inlineStr">
        <is>
          <t>Bhavnagar</t>
        </is>
      </c>
      <c r="L1797" s="21" t="inlineStr">
        <is>
          <t>Gujarat</t>
        </is>
      </c>
      <c r="M1797" s="9" t="inlineStr">
        <is>
          <t>PMS</t>
        </is>
      </c>
      <c r="N1797" s="3" t="inlineStr">
        <is>
          <t>Cold Soldering</t>
        </is>
      </c>
      <c r="O1797" s="60" t="n">
        <v>540</v>
      </c>
      <c r="P1797" s="9" t="inlineStr">
        <is>
          <t>NSMP2304068669</t>
        </is>
      </c>
      <c r="Q1797" s="53">
        <f>MID(P1797,5,2)</f>
        <v/>
      </c>
      <c r="R1797" s="53">
        <f>MID(P1797,7,2)</f>
        <v/>
      </c>
      <c r="S1797" s="3" t="inlineStr">
        <is>
          <t>G2B</t>
        </is>
      </c>
      <c r="T1797" s="3" t="inlineStr">
        <is>
          <t>P2</t>
        </is>
      </c>
      <c r="U1797" s="3" t="inlineStr">
        <is>
          <t>P &amp; M JB Cold Soldering</t>
        </is>
      </c>
      <c r="V1797" s="3" t="inlineStr">
        <is>
          <t>Soldering</t>
        </is>
      </c>
      <c r="W1797" s="3" t="inlineStr">
        <is>
          <t>Repair</t>
        </is>
      </c>
      <c r="X1797" s="18" t="n">
        <v>46165</v>
      </c>
      <c r="Y1797" s="3">
        <f>X1797-A1797</f>
        <v/>
      </c>
      <c r="Z1797" s="18" t="n">
        <v>46165</v>
      </c>
      <c r="AA1797" s="15" t="n"/>
      <c r="AB1797" s="15" t="n"/>
    </row>
    <row r="1798">
      <c r="A1798" s="59" t="n">
        <v>46148</v>
      </c>
      <c r="B1798" s="3" t="n">
        <v>2026</v>
      </c>
      <c r="C1798" s="21" t="inlineStr">
        <is>
          <t>Continuum</t>
        </is>
      </c>
      <c r="D1798" s="3" t="inlineStr">
        <is>
          <t>Utility and C&amp;I</t>
        </is>
      </c>
      <c r="E1798" s="3" t="n"/>
      <c r="F1798" s="3" t="inlineStr">
        <is>
          <t>Closed</t>
        </is>
      </c>
      <c r="G1798" s="21" t="inlineStr">
        <is>
          <t>Amiya Ranjan Behera</t>
        </is>
      </c>
      <c r="H1798" s="21" t="n">
        <v>8917436223</v>
      </c>
      <c r="I1798" s="38" t="inlineStr">
        <is>
          <t>PE06052602</t>
        </is>
      </c>
      <c r="J1798" s="21" t="inlineStr">
        <is>
          <t>Diode Bypass Module Issue</t>
        </is>
      </c>
      <c r="K1798" s="21" t="inlineStr">
        <is>
          <t>Bhavnagar</t>
        </is>
      </c>
      <c r="L1798" s="21" t="inlineStr">
        <is>
          <t>Gujarat</t>
        </is>
      </c>
      <c r="M1798" s="9" t="inlineStr">
        <is>
          <t>PS</t>
        </is>
      </c>
      <c r="N1798" s="3" t="inlineStr">
        <is>
          <t>Cold Soldering</t>
        </is>
      </c>
      <c r="O1798" s="60" t="n">
        <v>540</v>
      </c>
      <c r="P1798" s="9" t="inlineStr">
        <is>
          <t>NSMP2304068673</t>
        </is>
      </c>
      <c r="Q1798" s="53">
        <f>MID(P1798,5,2)</f>
        <v/>
      </c>
      <c r="R1798" s="53">
        <f>MID(P1798,7,2)</f>
        <v/>
      </c>
      <c r="S1798" s="3" t="inlineStr">
        <is>
          <t>G2B</t>
        </is>
      </c>
      <c r="T1798" s="3" t="inlineStr">
        <is>
          <t>P2</t>
        </is>
      </c>
      <c r="U1798" s="3" t="inlineStr">
        <is>
          <t>P JB Cold Soldering</t>
        </is>
      </c>
      <c r="V1798" s="3" t="inlineStr">
        <is>
          <t>Soldering</t>
        </is>
      </c>
      <c r="W1798" s="3" t="inlineStr">
        <is>
          <t>Repair</t>
        </is>
      </c>
      <c r="X1798" s="18" t="n">
        <v>46165</v>
      </c>
      <c r="Y1798" s="3">
        <f>X1798-A1798</f>
        <v/>
      </c>
      <c r="Z1798" s="18" t="n">
        <v>46165</v>
      </c>
      <c r="AA1798" s="15" t="n"/>
      <c r="AB1798" s="15" t="n"/>
    </row>
    <row r="1799">
      <c r="A1799" s="59" t="n">
        <v>46148</v>
      </c>
      <c r="B1799" s="3" t="n">
        <v>2026</v>
      </c>
      <c r="C1799" s="21" t="inlineStr">
        <is>
          <t>Continuum</t>
        </is>
      </c>
      <c r="D1799" s="3" t="inlineStr">
        <is>
          <t>Utility and C&amp;I</t>
        </is>
      </c>
      <c r="E1799" s="3" t="n"/>
      <c r="F1799" s="3" t="inlineStr">
        <is>
          <t>Closed</t>
        </is>
      </c>
      <c r="G1799" s="21" t="inlineStr">
        <is>
          <t>Amiya Ranjan Behera</t>
        </is>
      </c>
      <c r="H1799" s="21" t="n">
        <v>8917436223</v>
      </c>
      <c r="I1799" s="38" t="inlineStr">
        <is>
          <t>PE06052602</t>
        </is>
      </c>
      <c r="J1799" s="21" t="inlineStr">
        <is>
          <t>Diode Bypass Module Issue</t>
        </is>
      </c>
      <c r="K1799" s="21" t="inlineStr">
        <is>
          <t>Bhavnagar</t>
        </is>
      </c>
      <c r="L1799" s="21" t="inlineStr">
        <is>
          <t>Gujarat</t>
        </is>
      </c>
      <c r="M1799" s="9" t="inlineStr">
        <is>
          <t>PS</t>
        </is>
      </c>
      <c r="N1799" s="3" t="inlineStr">
        <is>
          <t>Cold Soldering</t>
        </is>
      </c>
      <c r="O1799" s="60" t="n">
        <v>540</v>
      </c>
      <c r="P1799" s="9" t="inlineStr">
        <is>
          <t>NSMP2304067321</t>
        </is>
      </c>
      <c r="Q1799" s="53">
        <f>MID(P1799,5,2)</f>
        <v/>
      </c>
      <c r="R1799" s="53">
        <f>MID(P1799,7,2)</f>
        <v/>
      </c>
      <c r="S1799" s="3" t="inlineStr">
        <is>
          <t>G2B</t>
        </is>
      </c>
      <c r="T1799" s="3" t="inlineStr">
        <is>
          <t>P2</t>
        </is>
      </c>
      <c r="U1799" s="3" t="inlineStr">
        <is>
          <t>P JB Cold Soldering</t>
        </is>
      </c>
      <c r="V1799" s="3" t="inlineStr">
        <is>
          <t>Soldering</t>
        </is>
      </c>
      <c r="W1799" s="3" t="inlineStr">
        <is>
          <t>Repair</t>
        </is>
      </c>
      <c r="X1799" s="18" t="n">
        <v>46165</v>
      </c>
      <c r="Y1799" s="3">
        <f>X1799-A1799</f>
        <v/>
      </c>
      <c r="Z1799" s="18" t="n">
        <v>46165</v>
      </c>
      <c r="AA1799" s="15" t="n"/>
      <c r="AB1799" s="15" t="n"/>
    </row>
    <row r="1800">
      <c r="A1800" s="59" t="n">
        <v>46148</v>
      </c>
      <c r="B1800" s="3" t="n">
        <v>2026</v>
      </c>
      <c r="C1800" s="21" t="inlineStr">
        <is>
          <t>Continuum</t>
        </is>
      </c>
      <c r="D1800" s="3" t="inlineStr">
        <is>
          <t>Utility and C&amp;I</t>
        </is>
      </c>
      <c r="E1800" s="3" t="n"/>
      <c r="F1800" s="3" t="inlineStr">
        <is>
          <t>Closed</t>
        </is>
      </c>
      <c r="G1800" s="21" t="inlineStr">
        <is>
          <t>Amiya Ranjan Behera</t>
        </is>
      </c>
      <c r="H1800" s="21" t="n">
        <v>8917436223</v>
      </c>
      <c r="I1800" s="38" t="inlineStr">
        <is>
          <t>PE06052602</t>
        </is>
      </c>
      <c r="J1800" s="21" t="inlineStr">
        <is>
          <t>Diode Bypass Module Issue</t>
        </is>
      </c>
      <c r="K1800" s="21" t="inlineStr">
        <is>
          <t>Bhavnagar</t>
        </is>
      </c>
      <c r="L1800" s="21" t="inlineStr">
        <is>
          <t>Gujarat</t>
        </is>
      </c>
      <c r="M1800" s="9" t="inlineStr">
        <is>
          <t>PS</t>
        </is>
      </c>
      <c r="N1800" s="3" t="inlineStr">
        <is>
          <t>Cold Soldering</t>
        </is>
      </c>
      <c r="O1800" s="60" t="n">
        <v>540</v>
      </c>
      <c r="P1800" s="9" t="inlineStr">
        <is>
          <t>NSMP2304067265</t>
        </is>
      </c>
      <c r="Q1800" s="53">
        <f>MID(P1800,5,2)</f>
        <v/>
      </c>
      <c r="R1800" s="53">
        <f>MID(P1800,7,2)</f>
        <v/>
      </c>
      <c r="S1800" s="3" t="inlineStr">
        <is>
          <t>G2B</t>
        </is>
      </c>
      <c r="T1800" s="3" t="inlineStr">
        <is>
          <t>P2</t>
        </is>
      </c>
      <c r="U1800" s="3" t="inlineStr">
        <is>
          <t>P JB Cold Soldering</t>
        </is>
      </c>
      <c r="V1800" s="3" t="inlineStr">
        <is>
          <t>Soldering</t>
        </is>
      </c>
      <c r="W1800" s="3" t="inlineStr">
        <is>
          <t>Repair</t>
        </is>
      </c>
      <c r="X1800" s="18" t="n">
        <v>46165</v>
      </c>
      <c r="Y1800" s="3">
        <f>X1800-A1800</f>
        <v/>
      </c>
      <c r="Z1800" s="18" t="n">
        <v>46165</v>
      </c>
      <c r="AA1800" s="15" t="n"/>
      <c r="AB1800" s="15" t="n"/>
    </row>
    <row r="1801">
      <c r="A1801" s="59" t="n">
        <v>46148</v>
      </c>
      <c r="B1801" s="3" t="n">
        <v>2026</v>
      </c>
      <c r="C1801" s="21" t="inlineStr">
        <is>
          <t>Continuum</t>
        </is>
      </c>
      <c r="D1801" s="3" t="inlineStr">
        <is>
          <t>Utility and C&amp;I</t>
        </is>
      </c>
      <c r="E1801" s="3" t="n"/>
      <c r="F1801" s="3" t="inlineStr">
        <is>
          <t>Closed</t>
        </is>
      </c>
      <c r="G1801" s="21" t="inlineStr">
        <is>
          <t>Amiya Ranjan Behera</t>
        </is>
      </c>
      <c r="H1801" s="21" t="n">
        <v>8917436223</v>
      </c>
      <c r="I1801" s="38" t="inlineStr">
        <is>
          <t>PE06052602</t>
        </is>
      </c>
      <c r="J1801" s="21" t="inlineStr">
        <is>
          <t>Diode Bypass Module Issue</t>
        </is>
      </c>
      <c r="K1801" s="21" t="inlineStr">
        <is>
          <t>Bhavnagar</t>
        </is>
      </c>
      <c r="L1801" s="21" t="inlineStr">
        <is>
          <t>Gujarat</t>
        </is>
      </c>
      <c r="M1801" s="9" t="inlineStr">
        <is>
          <t>PS</t>
        </is>
      </c>
      <c r="N1801" s="3" t="inlineStr">
        <is>
          <t>Cold Soldering</t>
        </is>
      </c>
      <c r="O1801" s="60" t="n">
        <v>540</v>
      </c>
      <c r="P1801" s="9" t="inlineStr">
        <is>
          <t>NSMP2304067277</t>
        </is>
      </c>
      <c r="Q1801" s="53">
        <f>MID(P1801,5,2)</f>
        <v/>
      </c>
      <c r="R1801" s="53">
        <f>MID(P1801,7,2)</f>
        <v/>
      </c>
      <c r="S1801" s="3" t="inlineStr">
        <is>
          <t>G2B</t>
        </is>
      </c>
      <c r="T1801" s="3" t="inlineStr">
        <is>
          <t>P2</t>
        </is>
      </c>
      <c r="U1801" s="3" t="inlineStr">
        <is>
          <t>P JB Cold Soldering</t>
        </is>
      </c>
      <c r="V1801" s="3" t="inlineStr">
        <is>
          <t>Soldering</t>
        </is>
      </c>
      <c r="W1801" s="3" t="inlineStr">
        <is>
          <t>Repair</t>
        </is>
      </c>
      <c r="X1801" s="18" t="n">
        <v>46165</v>
      </c>
      <c r="Y1801" s="3">
        <f>X1801-A1801</f>
        <v/>
      </c>
      <c r="Z1801" s="18" t="n">
        <v>46165</v>
      </c>
      <c r="AA1801" s="15" t="n"/>
      <c r="AB1801" s="15" t="n"/>
    </row>
    <row r="1802">
      <c r="A1802" s="59" t="n">
        <v>46148</v>
      </c>
      <c r="B1802" s="3" t="n">
        <v>2026</v>
      </c>
      <c r="C1802" s="21" t="inlineStr">
        <is>
          <t>Continuum</t>
        </is>
      </c>
      <c r="D1802" s="3" t="inlineStr">
        <is>
          <t>Utility and C&amp;I</t>
        </is>
      </c>
      <c r="E1802" s="3" t="n"/>
      <c r="F1802" s="3" t="inlineStr">
        <is>
          <t>Closed</t>
        </is>
      </c>
      <c r="G1802" s="21" t="inlineStr">
        <is>
          <t>Amiya Ranjan Behera</t>
        </is>
      </c>
      <c r="H1802" s="21" t="n">
        <v>8917436223</v>
      </c>
      <c r="I1802" s="38" t="inlineStr">
        <is>
          <t>PE06052602</t>
        </is>
      </c>
      <c r="J1802" s="21" t="inlineStr">
        <is>
          <t>Diode Bypass Module Issue</t>
        </is>
      </c>
      <c r="K1802" s="21" t="inlineStr">
        <is>
          <t>Bhavnagar</t>
        </is>
      </c>
      <c r="L1802" s="21" t="inlineStr">
        <is>
          <t>Gujarat</t>
        </is>
      </c>
      <c r="M1802" s="9" t="inlineStr">
        <is>
          <t>PS</t>
        </is>
      </c>
      <c r="N1802" s="3" t="inlineStr">
        <is>
          <t>Cold Soldering</t>
        </is>
      </c>
      <c r="O1802" s="60" t="n">
        <v>540</v>
      </c>
      <c r="P1802" s="9" t="inlineStr">
        <is>
          <t>NSMP2304067261</t>
        </is>
      </c>
      <c r="Q1802" s="53">
        <f>MID(P1802,5,2)</f>
        <v/>
      </c>
      <c r="R1802" s="53">
        <f>MID(P1802,7,2)</f>
        <v/>
      </c>
      <c r="S1802" s="3" t="inlineStr">
        <is>
          <t>G2B</t>
        </is>
      </c>
      <c r="T1802" s="3" t="inlineStr">
        <is>
          <t>P2</t>
        </is>
      </c>
      <c r="U1802" s="3" t="inlineStr">
        <is>
          <t>P JB Cold Soldering</t>
        </is>
      </c>
      <c r="V1802" s="3" t="inlineStr">
        <is>
          <t>Soldering</t>
        </is>
      </c>
      <c r="W1802" s="3" t="inlineStr">
        <is>
          <t>Repair</t>
        </is>
      </c>
      <c r="X1802" s="18" t="n">
        <v>46165</v>
      </c>
      <c r="Y1802" s="3">
        <f>X1802-A1802</f>
        <v/>
      </c>
      <c r="Z1802" s="18" t="n">
        <v>46165</v>
      </c>
      <c r="AA1802" s="15" t="n"/>
      <c r="AB1802" s="15" t="n"/>
    </row>
    <row r="1803">
      <c r="A1803" s="59" t="n">
        <v>46148</v>
      </c>
      <c r="B1803" s="3" t="n">
        <v>2026</v>
      </c>
      <c r="C1803" s="21" t="inlineStr">
        <is>
          <t>Continuum</t>
        </is>
      </c>
      <c r="D1803" s="3" t="inlineStr">
        <is>
          <t>Utility and C&amp;I</t>
        </is>
      </c>
      <c r="E1803" s="3" t="n"/>
      <c r="F1803" s="3" t="inlineStr">
        <is>
          <t>Closed</t>
        </is>
      </c>
      <c r="G1803" s="21" t="inlineStr">
        <is>
          <t>Amiya Ranjan Behera</t>
        </is>
      </c>
      <c r="H1803" s="21" t="n">
        <v>8917436223</v>
      </c>
      <c r="I1803" s="38" t="inlineStr">
        <is>
          <t>PE06052602</t>
        </is>
      </c>
      <c r="J1803" s="21" t="inlineStr">
        <is>
          <t>Diode Bypass Module Issue</t>
        </is>
      </c>
      <c r="K1803" s="21" t="inlineStr">
        <is>
          <t>Bhavnagar</t>
        </is>
      </c>
      <c r="L1803" s="21" t="inlineStr">
        <is>
          <t>Gujarat</t>
        </is>
      </c>
      <c r="M1803" s="9" t="inlineStr">
        <is>
          <t>PS</t>
        </is>
      </c>
      <c r="N1803" s="3" t="inlineStr">
        <is>
          <t>Cold Soldering</t>
        </is>
      </c>
      <c r="O1803" s="60" t="n">
        <v>540</v>
      </c>
      <c r="P1803" s="9" t="inlineStr">
        <is>
          <t>NSMP2304067217</t>
        </is>
      </c>
      <c r="Q1803" s="53">
        <f>MID(P1803,5,2)</f>
        <v/>
      </c>
      <c r="R1803" s="53">
        <f>MID(P1803,7,2)</f>
        <v/>
      </c>
      <c r="S1803" s="3" t="inlineStr">
        <is>
          <t>G2B</t>
        </is>
      </c>
      <c r="T1803" s="3" t="inlineStr">
        <is>
          <t>P2</t>
        </is>
      </c>
      <c r="U1803" s="3" t="inlineStr">
        <is>
          <t>P JB Cold Soldering</t>
        </is>
      </c>
      <c r="V1803" s="3" t="inlineStr">
        <is>
          <t>Soldering</t>
        </is>
      </c>
      <c r="W1803" s="3" t="inlineStr">
        <is>
          <t>Repair</t>
        </is>
      </c>
      <c r="X1803" s="18" t="n">
        <v>46165</v>
      </c>
      <c r="Y1803" s="3">
        <f>X1803-A1803</f>
        <v/>
      </c>
      <c r="Z1803" s="18" t="n">
        <v>46165</v>
      </c>
      <c r="AA1803" s="15" t="n"/>
      <c r="AB1803" s="15" t="n"/>
    </row>
    <row r="1804">
      <c r="A1804" s="59" t="n">
        <v>46148</v>
      </c>
      <c r="B1804" s="3" t="n">
        <v>2026</v>
      </c>
      <c r="C1804" s="21" t="inlineStr">
        <is>
          <t>Continuum</t>
        </is>
      </c>
      <c r="D1804" s="3" t="inlineStr">
        <is>
          <t>Utility and C&amp;I</t>
        </is>
      </c>
      <c r="E1804" s="3" t="n"/>
      <c r="F1804" s="3" t="inlineStr">
        <is>
          <t>Closed</t>
        </is>
      </c>
      <c r="G1804" s="21" t="inlineStr">
        <is>
          <t>Amiya Ranjan Behera</t>
        </is>
      </c>
      <c r="H1804" s="21" t="n">
        <v>8917436223</v>
      </c>
      <c r="I1804" s="38" t="inlineStr">
        <is>
          <t>PE06052602</t>
        </is>
      </c>
      <c r="J1804" s="21" t="inlineStr">
        <is>
          <t>Diode Bypass Module Issue</t>
        </is>
      </c>
      <c r="K1804" s="21" t="inlineStr">
        <is>
          <t>Bhavnagar</t>
        </is>
      </c>
      <c r="L1804" s="21" t="inlineStr">
        <is>
          <t>Gujarat</t>
        </is>
      </c>
      <c r="M1804" s="9" t="inlineStr">
        <is>
          <t>PS</t>
        </is>
      </c>
      <c r="N1804" s="3" t="inlineStr">
        <is>
          <t>Cold Soldering</t>
        </is>
      </c>
      <c r="O1804" s="60" t="n">
        <v>540</v>
      </c>
      <c r="P1804" s="9" t="inlineStr">
        <is>
          <t>NSMP2304066749</t>
        </is>
      </c>
      <c r="Q1804" s="53">
        <f>MID(P1804,5,2)</f>
        <v/>
      </c>
      <c r="R1804" s="53">
        <f>MID(P1804,7,2)</f>
        <v/>
      </c>
      <c r="S1804" s="3" t="inlineStr">
        <is>
          <t>G2B</t>
        </is>
      </c>
      <c r="T1804" s="3" t="inlineStr">
        <is>
          <t>P2</t>
        </is>
      </c>
      <c r="U1804" s="3" t="inlineStr">
        <is>
          <t>P JB Cold Soldering</t>
        </is>
      </c>
      <c r="V1804" s="3" t="inlineStr">
        <is>
          <t>Soldering</t>
        </is>
      </c>
      <c r="W1804" s="3" t="inlineStr">
        <is>
          <t>Repair</t>
        </is>
      </c>
      <c r="X1804" s="18" t="n">
        <v>46165</v>
      </c>
      <c r="Y1804" s="3">
        <f>X1804-A1804</f>
        <v/>
      </c>
      <c r="Z1804" s="18" t="n">
        <v>46165</v>
      </c>
      <c r="AA1804" s="15" t="n"/>
      <c r="AB1804" s="15" t="n"/>
    </row>
    <row r="1805">
      <c r="A1805" s="59" t="n">
        <v>46148</v>
      </c>
      <c r="B1805" s="3" t="n">
        <v>2026</v>
      </c>
      <c r="C1805" s="21" t="inlineStr">
        <is>
          <t>Continuum</t>
        </is>
      </c>
      <c r="D1805" s="3" t="inlineStr">
        <is>
          <t>Utility and C&amp;I</t>
        </is>
      </c>
      <c r="E1805" s="3" t="n"/>
      <c r="F1805" s="3" t="inlineStr">
        <is>
          <t>Closed</t>
        </is>
      </c>
      <c r="G1805" s="21" t="inlineStr">
        <is>
          <t>Amiya Ranjan Behera</t>
        </is>
      </c>
      <c r="H1805" s="21" t="n">
        <v>8917436223</v>
      </c>
      <c r="I1805" s="38" t="inlineStr">
        <is>
          <t>PE06052602</t>
        </is>
      </c>
      <c r="J1805" s="21" t="inlineStr">
        <is>
          <t>Diode Bypass Module Issue</t>
        </is>
      </c>
      <c r="K1805" s="21" t="inlineStr">
        <is>
          <t>Bhavnagar</t>
        </is>
      </c>
      <c r="L1805" s="21" t="inlineStr">
        <is>
          <t>Gujarat</t>
        </is>
      </c>
      <c r="M1805" s="9" t="inlineStr">
        <is>
          <t>PR</t>
        </is>
      </c>
      <c r="N1805" s="3" t="inlineStr">
        <is>
          <t>JB Issue</t>
        </is>
      </c>
      <c r="O1805" s="60" t="n">
        <v>540</v>
      </c>
      <c r="P1805" s="9" t="inlineStr">
        <is>
          <t>NSMP2304067331</t>
        </is>
      </c>
      <c r="Q1805" s="53">
        <f>MID(P1805,5,2)</f>
        <v/>
      </c>
      <c r="R1805" s="53">
        <f>MID(P1805,7,2)</f>
        <v/>
      </c>
      <c r="S1805" s="3" t="inlineStr">
        <is>
          <t>G2B</t>
        </is>
      </c>
      <c r="T1805" s="3" t="inlineStr">
        <is>
          <t>P2</t>
        </is>
      </c>
      <c r="U1805" s="3" t="inlineStr">
        <is>
          <t>P JB Issue</t>
        </is>
      </c>
      <c r="V1805" s="15" t="inlineStr">
        <is>
          <t>JB Changed</t>
        </is>
      </c>
      <c r="W1805" s="3" t="inlineStr">
        <is>
          <t>Repair</t>
        </is>
      </c>
      <c r="X1805" s="18" t="n">
        <v>46165</v>
      </c>
      <c r="Y1805" s="3">
        <f>X1805-A1805</f>
        <v/>
      </c>
      <c r="Z1805" s="18" t="n">
        <v>46165</v>
      </c>
      <c r="AA1805" s="15" t="n"/>
      <c r="AB1805" s="15" t="n"/>
    </row>
    <row r="1806">
      <c r="A1806" s="59" t="n">
        <v>46148</v>
      </c>
      <c r="B1806" s="3" t="n">
        <v>2026</v>
      </c>
      <c r="C1806" s="21" t="inlineStr">
        <is>
          <t>Continuum</t>
        </is>
      </c>
      <c r="D1806" s="3" t="inlineStr">
        <is>
          <t>Utility and C&amp;I</t>
        </is>
      </c>
      <c r="E1806" s="3" t="n"/>
      <c r="F1806" s="3" t="inlineStr">
        <is>
          <t>Closed</t>
        </is>
      </c>
      <c r="G1806" s="21" t="inlineStr">
        <is>
          <t>Amiya Ranjan Behera</t>
        </is>
      </c>
      <c r="H1806" s="21" t="n">
        <v>8917436223</v>
      </c>
      <c r="I1806" s="38" t="inlineStr">
        <is>
          <t>PE06052602</t>
        </is>
      </c>
      <c r="J1806" s="21" t="inlineStr">
        <is>
          <t>Diode Bypass Module Issue</t>
        </is>
      </c>
      <c r="K1806" s="21" t="inlineStr">
        <is>
          <t>Bhavnagar</t>
        </is>
      </c>
      <c r="L1806" s="21" t="inlineStr">
        <is>
          <t>Gujarat</t>
        </is>
      </c>
      <c r="M1806" s="9" t="inlineStr">
        <is>
          <t>PS</t>
        </is>
      </c>
      <c r="N1806" s="3" t="inlineStr">
        <is>
          <t>Cold Soldering</t>
        </is>
      </c>
      <c r="O1806" s="60" t="n">
        <v>540</v>
      </c>
      <c r="P1806" s="9" t="inlineStr">
        <is>
          <t>NSMP2304067160</t>
        </is>
      </c>
      <c r="Q1806" s="53">
        <f>MID(P1806,5,2)</f>
        <v/>
      </c>
      <c r="R1806" s="53">
        <f>MID(P1806,7,2)</f>
        <v/>
      </c>
      <c r="S1806" s="3" t="inlineStr">
        <is>
          <t>G2B</t>
        </is>
      </c>
      <c r="T1806" s="3" t="inlineStr">
        <is>
          <t>P2</t>
        </is>
      </c>
      <c r="U1806" s="3" t="inlineStr">
        <is>
          <t>P JB Cold Soldering</t>
        </is>
      </c>
      <c r="V1806" s="3" t="inlineStr">
        <is>
          <t>Soldering</t>
        </is>
      </c>
      <c r="W1806" s="3" t="inlineStr">
        <is>
          <t>Repair</t>
        </is>
      </c>
      <c r="X1806" s="18" t="n">
        <v>46165</v>
      </c>
      <c r="Y1806" s="3">
        <f>X1806-A1806</f>
        <v/>
      </c>
      <c r="Z1806" s="18" t="n">
        <v>46165</v>
      </c>
      <c r="AA1806" s="15" t="n"/>
      <c r="AB1806" s="15" t="n"/>
    </row>
    <row r="1807">
      <c r="A1807" s="59" t="n">
        <v>46148</v>
      </c>
      <c r="B1807" s="3" t="n">
        <v>2026</v>
      </c>
      <c r="C1807" s="21" t="inlineStr">
        <is>
          <t>Continuum</t>
        </is>
      </c>
      <c r="D1807" s="3" t="inlineStr">
        <is>
          <t>Utility and C&amp;I</t>
        </is>
      </c>
      <c r="E1807" s="3" t="n"/>
      <c r="F1807" s="3" t="inlineStr">
        <is>
          <t>Closed</t>
        </is>
      </c>
      <c r="G1807" s="21" t="inlineStr">
        <is>
          <t>Amiya Ranjan Behera</t>
        </is>
      </c>
      <c r="H1807" s="21" t="n">
        <v>8917436223</v>
      </c>
      <c r="I1807" s="38" t="inlineStr">
        <is>
          <t>PE06052602</t>
        </is>
      </c>
      <c r="J1807" s="21" t="inlineStr">
        <is>
          <t>Diode Bypass Module Issue</t>
        </is>
      </c>
      <c r="K1807" s="21" t="inlineStr">
        <is>
          <t>Bhavnagar</t>
        </is>
      </c>
      <c r="L1807" s="21" t="inlineStr">
        <is>
          <t>Gujarat</t>
        </is>
      </c>
      <c r="M1807" s="9" t="inlineStr">
        <is>
          <t>PS</t>
        </is>
      </c>
      <c r="N1807" s="3" t="inlineStr">
        <is>
          <t>Cold Soldering</t>
        </is>
      </c>
      <c r="O1807" s="60" t="n">
        <v>540</v>
      </c>
      <c r="P1807" s="9" t="inlineStr">
        <is>
          <t>NSMP2304067192</t>
        </is>
      </c>
      <c r="Q1807" s="53">
        <f>MID(P1807,5,2)</f>
        <v/>
      </c>
      <c r="R1807" s="53">
        <f>MID(P1807,7,2)</f>
        <v/>
      </c>
      <c r="S1807" s="3" t="inlineStr">
        <is>
          <t>G2B</t>
        </is>
      </c>
      <c r="T1807" s="3" t="inlineStr">
        <is>
          <t>P2</t>
        </is>
      </c>
      <c r="U1807" s="3" t="inlineStr">
        <is>
          <t>P JB Cold Soldering</t>
        </is>
      </c>
      <c r="V1807" s="3" t="inlineStr">
        <is>
          <t>Soldering</t>
        </is>
      </c>
      <c r="W1807" s="3" t="inlineStr">
        <is>
          <t>Repair</t>
        </is>
      </c>
      <c r="X1807" s="18" t="n">
        <v>46165</v>
      </c>
      <c r="Y1807" s="3">
        <f>X1807-A1807</f>
        <v/>
      </c>
      <c r="Z1807" s="18" t="n">
        <v>46165</v>
      </c>
      <c r="AA1807" s="15" t="n"/>
      <c r="AB1807" s="15" t="n"/>
    </row>
    <row r="1808">
      <c r="A1808" s="59" t="n">
        <v>46148</v>
      </c>
      <c r="B1808" s="3" t="n">
        <v>2026</v>
      </c>
      <c r="C1808" s="21" t="inlineStr">
        <is>
          <t>Continuum</t>
        </is>
      </c>
      <c r="D1808" s="3" t="inlineStr">
        <is>
          <t>Utility and C&amp;I</t>
        </is>
      </c>
      <c r="E1808" s="3" t="n"/>
      <c r="F1808" s="3" t="inlineStr">
        <is>
          <t>Closed</t>
        </is>
      </c>
      <c r="G1808" s="21" t="inlineStr">
        <is>
          <t>Amiya Ranjan Behera</t>
        </is>
      </c>
      <c r="H1808" s="21" t="n">
        <v>8917436223</v>
      </c>
      <c r="I1808" s="38" t="inlineStr">
        <is>
          <t>PE06052602</t>
        </is>
      </c>
      <c r="J1808" s="21" t="inlineStr">
        <is>
          <t>Diode Bypass Module Issue</t>
        </is>
      </c>
      <c r="K1808" s="21" t="inlineStr">
        <is>
          <t>Bhavnagar</t>
        </is>
      </c>
      <c r="L1808" s="21" t="inlineStr">
        <is>
          <t>Gujarat</t>
        </is>
      </c>
      <c r="M1808" s="9" t="inlineStr">
        <is>
          <t>PS</t>
        </is>
      </c>
      <c r="N1808" s="3" t="inlineStr">
        <is>
          <t>Cold Soldering</t>
        </is>
      </c>
      <c r="O1808" s="60" t="n">
        <v>540</v>
      </c>
      <c r="P1808" s="9" t="inlineStr">
        <is>
          <t>NSMP2304068798</t>
        </is>
      </c>
      <c r="Q1808" s="53">
        <f>MID(P1808,5,2)</f>
        <v/>
      </c>
      <c r="R1808" s="53">
        <f>MID(P1808,7,2)</f>
        <v/>
      </c>
      <c r="S1808" s="3" t="inlineStr">
        <is>
          <t>G2B</t>
        </is>
      </c>
      <c r="T1808" s="3" t="inlineStr">
        <is>
          <t>P2</t>
        </is>
      </c>
      <c r="U1808" s="3" t="inlineStr">
        <is>
          <t>P JB Cold Soldering</t>
        </is>
      </c>
      <c r="V1808" s="3" t="inlineStr">
        <is>
          <t>Soldering</t>
        </is>
      </c>
      <c r="W1808" s="3" t="inlineStr">
        <is>
          <t>Repair</t>
        </is>
      </c>
      <c r="X1808" s="18" t="n">
        <v>46165</v>
      </c>
      <c r="Y1808" s="3">
        <f>X1808-A1808</f>
        <v/>
      </c>
      <c r="Z1808" s="18" t="n">
        <v>46165</v>
      </c>
      <c r="AA1808" s="15" t="n"/>
      <c r="AB1808" s="15" t="n"/>
    </row>
    <row r="1809">
      <c r="A1809" s="59" t="n">
        <v>46148</v>
      </c>
      <c r="B1809" s="3" t="n">
        <v>2026</v>
      </c>
      <c r="C1809" s="21" t="inlineStr">
        <is>
          <t>Continuum</t>
        </is>
      </c>
      <c r="D1809" s="3" t="inlineStr">
        <is>
          <t>Utility and C&amp;I</t>
        </is>
      </c>
      <c r="E1809" s="3" t="n"/>
      <c r="F1809" s="3" t="inlineStr">
        <is>
          <t>Closed</t>
        </is>
      </c>
      <c r="G1809" s="21" t="inlineStr">
        <is>
          <t>Amiya Ranjan Behera</t>
        </is>
      </c>
      <c r="H1809" s="21" t="n">
        <v>8917436223</v>
      </c>
      <c r="I1809" s="38" t="inlineStr">
        <is>
          <t>PE06052602</t>
        </is>
      </c>
      <c r="J1809" s="21" t="inlineStr">
        <is>
          <t>Diode Bypass Module Issue</t>
        </is>
      </c>
      <c r="K1809" s="21" t="inlineStr">
        <is>
          <t>Bhavnagar</t>
        </is>
      </c>
      <c r="L1809" s="21" t="inlineStr">
        <is>
          <t>Gujarat</t>
        </is>
      </c>
      <c r="M1809" s="9" t="inlineStr">
        <is>
          <t>PS</t>
        </is>
      </c>
      <c r="N1809" s="3" t="inlineStr">
        <is>
          <t>Cold Soldering</t>
        </is>
      </c>
      <c r="O1809" s="60" t="n">
        <v>540</v>
      </c>
      <c r="P1809" s="9" t="inlineStr">
        <is>
          <t>NSMP2304067159</t>
        </is>
      </c>
      <c r="Q1809" s="53">
        <f>MID(P1809,5,2)</f>
        <v/>
      </c>
      <c r="R1809" s="53">
        <f>MID(P1809,7,2)</f>
        <v/>
      </c>
      <c r="S1809" s="3" t="inlineStr">
        <is>
          <t>G2B</t>
        </is>
      </c>
      <c r="T1809" s="3" t="inlineStr">
        <is>
          <t>P2</t>
        </is>
      </c>
      <c r="U1809" s="3" t="inlineStr">
        <is>
          <t>P JB Cold Soldering</t>
        </is>
      </c>
      <c r="V1809" s="3" t="inlineStr">
        <is>
          <t>Soldering</t>
        </is>
      </c>
      <c r="W1809" s="3" t="inlineStr">
        <is>
          <t>Repair</t>
        </is>
      </c>
      <c r="X1809" s="18" t="n">
        <v>46165</v>
      </c>
      <c r="Y1809" s="3">
        <f>X1809-A1809</f>
        <v/>
      </c>
      <c r="Z1809" s="18" t="n">
        <v>46165</v>
      </c>
      <c r="AA1809" s="15" t="n"/>
      <c r="AB1809" s="15" t="n"/>
    </row>
    <row r="1810">
      <c r="A1810" s="59" t="n">
        <v>46148</v>
      </c>
      <c r="B1810" s="3" t="n">
        <v>2026</v>
      </c>
      <c r="C1810" s="21" t="inlineStr">
        <is>
          <t>Continuum</t>
        </is>
      </c>
      <c r="D1810" s="3" t="inlineStr">
        <is>
          <t>Utility and C&amp;I</t>
        </is>
      </c>
      <c r="E1810" s="3" t="n"/>
      <c r="F1810" s="3" t="inlineStr">
        <is>
          <t>Closed</t>
        </is>
      </c>
      <c r="G1810" s="21" t="inlineStr">
        <is>
          <t>Amiya Ranjan Behera</t>
        </is>
      </c>
      <c r="H1810" s="21" t="n">
        <v>8917436223</v>
      </c>
      <c r="I1810" s="38" t="inlineStr">
        <is>
          <t>PE06052602</t>
        </is>
      </c>
      <c r="J1810" s="21" t="inlineStr">
        <is>
          <t>Diode Bypass Module Issue</t>
        </is>
      </c>
      <c r="K1810" s="21" t="inlineStr">
        <is>
          <t>Bhavnagar</t>
        </is>
      </c>
      <c r="L1810" s="21" t="inlineStr">
        <is>
          <t>Gujarat</t>
        </is>
      </c>
      <c r="M1810" s="9" t="inlineStr">
        <is>
          <t>PS</t>
        </is>
      </c>
      <c r="N1810" s="3" t="inlineStr">
        <is>
          <t>Cold Soldering</t>
        </is>
      </c>
      <c r="O1810" s="60" t="n">
        <v>540</v>
      </c>
      <c r="P1810" s="9" t="inlineStr">
        <is>
          <t>NSMP2304067179</t>
        </is>
      </c>
      <c r="Q1810" s="53">
        <f>MID(P1810,5,2)</f>
        <v/>
      </c>
      <c r="R1810" s="53">
        <f>MID(P1810,7,2)</f>
        <v/>
      </c>
      <c r="S1810" s="3" t="inlineStr">
        <is>
          <t>G2B</t>
        </is>
      </c>
      <c r="T1810" s="3" t="inlineStr">
        <is>
          <t>P2</t>
        </is>
      </c>
      <c r="U1810" s="3" t="inlineStr">
        <is>
          <t>P JB Cold Soldering</t>
        </is>
      </c>
      <c r="V1810" s="3" t="inlineStr">
        <is>
          <t>Soldering</t>
        </is>
      </c>
      <c r="W1810" s="3" t="inlineStr">
        <is>
          <t>Repair</t>
        </is>
      </c>
      <c r="X1810" s="18" t="n">
        <v>46165</v>
      </c>
      <c r="Y1810" s="3">
        <f>X1810-A1810</f>
        <v/>
      </c>
      <c r="Z1810" s="18" t="n">
        <v>46165</v>
      </c>
      <c r="AA1810" s="15" t="n"/>
      <c r="AB1810" s="15" t="n"/>
    </row>
    <row r="1811">
      <c r="A1811" s="59" t="n">
        <v>46148</v>
      </c>
      <c r="B1811" s="3" t="n">
        <v>2026</v>
      </c>
      <c r="C1811" s="21" t="inlineStr">
        <is>
          <t>Continuum</t>
        </is>
      </c>
      <c r="D1811" s="3" t="inlineStr">
        <is>
          <t>Utility and C&amp;I</t>
        </is>
      </c>
      <c r="E1811" s="3" t="n"/>
      <c r="F1811" s="3" t="inlineStr">
        <is>
          <t>Closed</t>
        </is>
      </c>
      <c r="G1811" s="21" t="inlineStr">
        <is>
          <t>Amiya Ranjan Behera</t>
        </is>
      </c>
      <c r="H1811" s="21" t="n">
        <v>8917436223</v>
      </c>
      <c r="I1811" s="38" t="inlineStr">
        <is>
          <t>PE06052602</t>
        </is>
      </c>
      <c r="J1811" s="21" t="inlineStr">
        <is>
          <t>Diode Bypass Module Issue</t>
        </is>
      </c>
      <c r="K1811" s="21" t="inlineStr">
        <is>
          <t>Bhavnagar</t>
        </is>
      </c>
      <c r="L1811" s="21" t="inlineStr">
        <is>
          <t>Gujarat</t>
        </is>
      </c>
      <c r="M1811" s="9" t="inlineStr">
        <is>
          <t>PS</t>
        </is>
      </c>
      <c r="N1811" s="3" t="inlineStr">
        <is>
          <t>Cold Soldering</t>
        </is>
      </c>
      <c r="O1811" s="60" t="n">
        <v>540</v>
      </c>
      <c r="P1811" s="9" t="inlineStr">
        <is>
          <t>NSMP2305133765</t>
        </is>
      </c>
      <c r="Q1811" s="53">
        <f>MID(P1811,5,2)</f>
        <v/>
      </c>
      <c r="R1811" s="53">
        <f>MID(P1811,7,2)</f>
        <v/>
      </c>
      <c r="S1811" s="3" t="inlineStr">
        <is>
          <t>G2B</t>
        </is>
      </c>
      <c r="T1811" s="3" t="inlineStr">
        <is>
          <t>P2</t>
        </is>
      </c>
      <c r="U1811" s="3" t="inlineStr">
        <is>
          <t>P JB Cold Soldering</t>
        </is>
      </c>
      <c r="V1811" s="3" t="inlineStr">
        <is>
          <t>Soldering</t>
        </is>
      </c>
      <c r="W1811" s="3" t="inlineStr">
        <is>
          <t>Repair</t>
        </is>
      </c>
      <c r="X1811" s="18" t="n">
        <v>46165</v>
      </c>
      <c r="Y1811" s="3">
        <f>X1811-A1811</f>
        <v/>
      </c>
      <c r="Z1811" s="18" t="n">
        <v>46165</v>
      </c>
      <c r="AA1811" s="15" t="n"/>
      <c r="AB1811" s="15" t="n"/>
    </row>
    <row r="1812">
      <c r="A1812" s="59" t="n">
        <v>46148</v>
      </c>
      <c r="B1812" s="3" t="n">
        <v>2026</v>
      </c>
      <c r="C1812" s="21" t="inlineStr">
        <is>
          <t>Continuum</t>
        </is>
      </c>
      <c r="D1812" s="3" t="inlineStr">
        <is>
          <t>Utility and C&amp;I</t>
        </is>
      </c>
      <c r="E1812" s="3" t="n"/>
      <c r="F1812" s="3" t="inlineStr">
        <is>
          <t>Closed</t>
        </is>
      </c>
      <c r="G1812" s="21" t="inlineStr">
        <is>
          <t>Amiya Ranjan Behera</t>
        </is>
      </c>
      <c r="H1812" s="21" t="n">
        <v>8917436223</v>
      </c>
      <c r="I1812" s="38" t="inlineStr">
        <is>
          <t>PE06052602</t>
        </is>
      </c>
      <c r="J1812" s="21" t="inlineStr">
        <is>
          <t>Diode Bypass Module Issue</t>
        </is>
      </c>
      <c r="K1812" s="21" t="inlineStr">
        <is>
          <t>Bhavnagar</t>
        </is>
      </c>
      <c r="L1812" s="21" t="inlineStr">
        <is>
          <t>Gujarat</t>
        </is>
      </c>
      <c r="M1812" s="9" t="inlineStr">
        <is>
          <t>PS</t>
        </is>
      </c>
      <c r="N1812" s="3" t="inlineStr">
        <is>
          <t>Cold Soldering</t>
        </is>
      </c>
      <c r="O1812" s="60" t="n">
        <v>540</v>
      </c>
      <c r="P1812" s="9" t="inlineStr">
        <is>
          <t>NSMP2304068793</t>
        </is>
      </c>
      <c r="Q1812" s="53">
        <f>MID(P1812,5,2)</f>
        <v/>
      </c>
      <c r="R1812" s="53">
        <f>MID(P1812,7,2)</f>
        <v/>
      </c>
      <c r="S1812" s="3" t="inlineStr">
        <is>
          <t>G2B</t>
        </is>
      </c>
      <c r="T1812" s="3" t="inlineStr">
        <is>
          <t>P2</t>
        </is>
      </c>
      <c r="U1812" s="3" t="inlineStr">
        <is>
          <t>P JB Cold Soldering</t>
        </is>
      </c>
      <c r="V1812" s="3" t="inlineStr">
        <is>
          <t>Soldering</t>
        </is>
      </c>
      <c r="W1812" s="3" t="inlineStr">
        <is>
          <t>Repair</t>
        </is>
      </c>
      <c r="X1812" s="18" t="n">
        <v>46165</v>
      </c>
      <c r="Y1812" s="3">
        <f>X1812-A1812</f>
        <v/>
      </c>
      <c r="Z1812" s="18" t="n">
        <v>46165</v>
      </c>
      <c r="AA1812" s="15" t="n"/>
      <c r="AB1812" s="15" t="n"/>
    </row>
    <row r="1813">
      <c r="A1813" s="59" t="n">
        <v>46148</v>
      </c>
      <c r="B1813" s="3" t="n">
        <v>2026</v>
      </c>
      <c r="C1813" s="21" t="inlineStr">
        <is>
          <t>Continuum</t>
        </is>
      </c>
      <c r="D1813" s="3" t="inlineStr">
        <is>
          <t>Utility and C&amp;I</t>
        </is>
      </c>
      <c r="E1813" s="3" t="n"/>
      <c r="F1813" s="3" t="inlineStr">
        <is>
          <t>Closed</t>
        </is>
      </c>
      <c r="G1813" s="21" t="inlineStr">
        <is>
          <t>Amiya Ranjan Behera</t>
        </is>
      </c>
      <c r="H1813" s="21" t="n">
        <v>8917436223</v>
      </c>
      <c r="I1813" s="38" t="inlineStr">
        <is>
          <t>PE06052602</t>
        </is>
      </c>
      <c r="J1813" s="21" t="inlineStr">
        <is>
          <t>Diode Bypass Module Issue</t>
        </is>
      </c>
      <c r="K1813" s="21" t="inlineStr">
        <is>
          <t>Bhavnagar</t>
        </is>
      </c>
      <c r="L1813" s="21" t="inlineStr">
        <is>
          <t>Gujarat</t>
        </is>
      </c>
      <c r="M1813" s="9" t="inlineStr">
        <is>
          <t>OK</t>
        </is>
      </c>
      <c r="N1813" s="3" t="inlineStr">
        <is>
          <t>No Issue</t>
        </is>
      </c>
      <c r="O1813" s="60" t="n">
        <v>540</v>
      </c>
      <c r="P1813" s="9" t="inlineStr">
        <is>
          <t>NSMP2304067127</t>
        </is>
      </c>
      <c r="Q1813" s="53">
        <f>MID(P1813,5,2)</f>
        <v/>
      </c>
      <c r="R1813" s="53">
        <f>MID(P1813,7,2)</f>
        <v/>
      </c>
      <c r="S1813" s="3" t="inlineStr">
        <is>
          <t>G2B</t>
        </is>
      </c>
      <c r="T1813" s="3" t="inlineStr">
        <is>
          <t>P2</t>
        </is>
      </c>
      <c r="U1813" s="19" t="inlineStr">
        <is>
          <t>No Issue Found</t>
        </is>
      </c>
      <c r="V1813" s="19" t="inlineStr">
        <is>
          <t>Found OK</t>
        </is>
      </c>
      <c r="W1813" s="3" t="inlineStr">
        <is>
          <t>Repair</t>
        </is>
      </c>
      <c r="X1813" s="18" t="n">
        <v>46165</v>
      </c>
      <c r="Y1813" s="3">
        <f>X1813-A1813</f>
        <v/>
      </c>
      <c r="Z1813" s="18" t="n">
        <v>46165</v>
      </c>
      <c r="AA1813" s="15" t="n"/>
      <c r="AB1813" s="15" t="n"/>
    </row>
    <row r="1814">
      <c r="A1814" s="59" t="n">
        <v>46148</v>
      </c>
      <c r="B1814" s="3" t="n">
        <v>2026</v>
      </c>
      <c r="C1814" s="21" t="inlineStr">
        <is>
          <t>Continuum</t>
        </is>
      </c>
      <c r="D1814" s="3" t="inlineStr">
        <is>
          <t>Utility and C&amp;I</t>
        </is>
      </c>
      <c r="E1814" s="3" t="n"/>
      <c r="F1814" s="3" t="inlineStr">
        <is>
          <t>Closed</t>
        </is>
      </c>
      <c r="G1814" s="21" t="inlineStr">
        <is>
          <t>Amiya Ranjan Behera</t>
        </is>
      </c>
      <c r="H1814" s="21" t="n">
        <v>8917436223</v>
      </c>
      <c r="I1814" s="38" t="inlineStr">
        <is>
          <t>PE06052602</t>
        </is>
      </c>
      <c r="J1814" s="21" t="inlineStr">
        <is>
          <t>Diode Bypass Module Issue</t>
        </is>
      </c>
      <c r="K1814" s="21" t="inlineStr">
        <is>
          <t>Bhavnagar</t>
        </is>
      </c>
      <c r="L1814" s="21" t="inlineStr">
        <is>
          <t>Gujarat</t>
        </is>
      </c>
      <c r="M1814" s="9" t="inlineStr">
        <is>
          <t>PS</t>
        </is>
      </c>
      <c r="N1814" s="3" t="inlineStr">
        <is>
          <t>Cold Soldering</t>
        </is>
      </c>
      <c r="O1814" s="60" t="n">
        <v>540</v>
      </c>
      <c r="P1814" s="9" t="inlineStr">
        <is>
          <t>NSMP2304068789</t>
        </is>
      </c>
      <c r="Q1814" s="53">
        <f>MID(P1814,5,2)</f>
        <v/>
      </c>
      <c r="R1814" s="53">
        <f>MID(P1814,7,2)</f>
        <v/>
      </c>
      <c r="S1814" s="3" t="inlineStr">
        <is>
          <t>G2B</t>
        </is>
      </c>
      <c r="T1814" s="3" t="inlineStr">
        <is>
          <t>P2</t>
        </is>
      </c>
      <c r="U1814" s="3" t="inlineStr">
        <is>
          <t>P JB Cold Soldering</t>
        </is>
      </c>
      <c r="V1814" s="3" t="inlineStr">
        <is>
          <t>Soldering</t>
        </is>
      </c>
      <c r="W1814" s="3" t="inlineStr">
        <is>
          <t>Repair</t>
        </is>
      </c>
      <c r="X1814" s="18" t="n">
        <v>46165</v>
      </c>
      <c r="Y1814" s="3">
        <f>X1814-A1814</f>
        <v/>
      </c>
      <c r="Z1814" s="18" t="n">
        <v>46165</v>
      </c>
      <c r="AA1814" s="15" t="n"/>
      <c r="AB1814" s="15" t="n"/>
    </row>
    <row r="1815">
      <c r="A1815" s="59" t="n">
        <v>46148</v>
      </c>
      <c r="B1815" s="3" t="n">
        <v>2026</v>
      </c>
      <c r="C1815" s="21" t="inlineStr">
        <is>
          <t>Continuum</t>
        </is>
      </c>
      <c r="D1815" s="3" t="inlineStr">
        <is>
          <t>Utility and C&amp;I</t>
        </is>
      </c>
      <c r="E1815" s="3" t="n"/>
      <c r="F1815" s="3" t="inlineStr">
        <is>
          <t>Closed</t>
        </is>
      </c>
      <c r="G1815" s="21" t="inlineStr">
        <is>
          <t>Amiya Ranjan Behera</t>
        </is>
      </c>
      <c r="H1815" s="21" t="n">
        <v>8917436223</v>
      </c>
      <c r="I1815" s="38" t="inlineStr">
        <is>
          <t>PE06052602</t>
        </is>
      </c>
      <c r="J1815" s="21" t="inlineStr">
        <is>
          <t>Diode Bypass Module Issue</t>
        </is>
      </c>
      <c r="K1815" s="21" t="inlineStr">
        <is>
          <t>Bhavnagar</t>
        </is>
      </c>
      <c r="L1815" s="21" t="inlineStr">
        <is>
          <t>Gujarat</t>
        </is>
      </c>
      <c r="M1815" s="9" t="inlineStr">
        <is>
          <t>PS</t>
        </is>
      </c>
      <c r="N1815" s="3" t="inlineStr">
        <is>
          <t>Cold Soldering</t>
        </is>
      </c>
      <c r="O1815" s="60" t="n">
        <v>540</v>
      </c>
      <c r="P1815" s="9" t="inlineStr">
        <is>
          <t>NSMP2305133792</t>
        </is>
      </c>
      <c r="Q1815" s="53">
        <f>MID(P1815,5,2)</f>
        <v/>
      </c>
      <c r="R1815" s="53">
        <f>MID(P1815,7,2)</f>
        <v/>
      </c>
      <c r="S1815" s="3" t="inlineStr">
        <is>
          <t>G2B</t>
        </is>
      </c>
      <c r="T1815" s="3" t="inlineStr">
        <is>
          <t>P2</t>
        </is>
      </c>
      <c r="U1815" s="3" t="inlineStr">
        <is>
          <t>P JB Cold Soldering</t>
        </is>
      </c>
      <c r="V1815" s="3" t="inlineStr">
        <is>
          <t>Soldering</t>
        </is>
      </c>
      <c r="W1815" s="3" t="inlineStr">
        <is>
          <t>Repair</t>
        </is>
      </c>
      <c r="X1815" s="18" t="n">
        <v>46165</v>
      </c>
      <c r="Y1815" s="3">
        <f>X1815-A1815</f>
        <v/>
      </c>
      <c r="Z1815" s="18" t="n">
        <v>46165</v>
      </c>
      <c r="AA1815" s="15" t="n"/>
      <c r="AB1815" s="15" t="n"/>
    </row>
    <row r="1816">
      <c r="A1816" s="59" t="n">
        <v>46148</v>
      </c>
      <c r="B1816" s="3" t="n">
        <v>2026</v>
      </c>
      <c r="C1816" s="21" t="inlineStr">
        <is>
          <t>Continuum</t>
        </is>
      </c>
      <c r="D1816" s="3" t="inlineStr">
        <is>
          <t>Utility and C&amp;I</t>
        </is>
      </c>
      <c r="E1816" s="3" t="n"/>
      <c r="F1816" s="3" t="inlineStr">
        <is>
          <t>Closed</t>
        </is>
      </c>
      <c r="G1816" s="21" t="inlineStr">
        <is>
          <t>Amiya Ranjan Behera</t>
        </is>
      </c>
      <c r="H1816" s="21" t="n">
        <v>8917436223</v>
      </c>
      <c r="I1816" s="38" t="inlineStr">
        <is>
          <t>PE06052602</t>
        </is>
      </c>
      <c r="J1816" s="21" t="inlineStr">
        <is>
          <t>Diode Bypass Module Issue</t>
        </is>
      </c>
      <c r="K1816" s="21" t="inlineStr">
        <is>
          <t>Bhavnagar</t>
        </is>
      </c>
      <c r="L1816" s="21" t="inlineStr">
        <is>
          <t>Gujarat</t>
        </is>
      </c>
      <c r="M1816" s="9" t="inlineStr">
        <is>
          <t>PS</t>
        </is>
      </c>
      <c r="N1816" s="3" t="inlineStr">
        <is>
          <t>Cold Soldering</t>
        </is>
      </c>
      <c r="O1816" s="60" t="n">
        <v>540</v>
      </c>
      <c r="P1816" s="9" t="inlineStr">
        <is>
          <t>NSMP2305133781</t>
        </is>
      </c>
      <c r="Q1816" s="53">
        <f>MID(P1816,5,2)</f>
        <v/>
      </c>
      <c r="R1816" s="53">
        <f>MID(P1816,7,2)</f>
        <v/>
      </c>
      <c r="S1816" s="3" t="inlineStr">
        <is>
          <t>G2B</t>
        </is>
      </c>
      <c r="T1816" s="3" t="inlineStr">
        <is>
          <t>P2</t>
        </is>
      </c>
      <c r="U1816" s="3" t="inlineStr">
        <is>
          <t>P JB Cold Soldering</t>
        </is>
      </c>
      <c r="V1816" s="3" t="inlineStr">
        <is>
          <t>Soldering</t>
        </is>
      </c>
      <c r="W1816" s="3" t="inlineStr">
        <is>
          <t>Repair</t>
        </is>
      </c>
      <c r="X1816" s="18" t="n">
        <v>46165</v>
      </c>
      <c r="Y1816" s="3">
        <f>X1816-A1816</f>
        <v/>
      </c>
      <c r="Z1816" s="18" t="n">
        <v>46165</v>
      </c>
      <c r="AA1816" s="15" t="n"/>
      <c r="AB1816" s="15" t="n"/>
    </row>
    <row r="1817">
      <c r="A1817" s="78" t="n">
        <v>46143</v>
      </c>
      <c r="B1817" s="73" t="n">
        <v>2026</v>
      </c>
      <c r="C1817" s="79" t="inlineStr">
        <is>
          <t>Yanara Power</t>
        </is>
      </c>
      <c r="D1817" s="73" t="inlineStr">
        <is>
          <t>Utility and C&amp;I</t>
        </is>
      </c>
      <c r="E1817" s="73" t="n"/>
      <c r="F1817" s="73" t="inlineStr">
        <is>
          <t>Closed</t>
        </is>
      </c>
      <c r="G1817" s="75" t="inlineStr">
        <is>
          <t xml:space="preserve">Ashish Jindal </t>
        </is>
      </c>
      <c r="H1817" s="79" t="n">
        <v>9983975581</v>
      </c>
      <c r="I1817" s="80" t="inlineStr">
        <is>
          <t>PE01052601</t>
        </is>
      </c>
      <c r="J1817" s="79" t="inlineStr">
        <is>
          <t>Multiple Issues</t>
        </is>
      </c>
      <c r="K1817" s="81" t="inlineStr">
        <is>
          <t>Holi</t>
        </is>
      </c>
      <c r="L1817" s="81" t="inlineStr">
        <is>
          <t>Maharashtra</t>
        </is>
      </c>
      <c r="M1817" s="69" t="inlineStr">
        <is>
          <t>PS</t>
        </is>
      </c>
      <c r="N1817" s="73" t="inlineStr">
        <is>
          <t>Cold Soldering</t>
        </is>
      </c>
      <c r="O1817" s="82" t="n">
        <v>575</v>
      </c>
      <c r="P1817" s="69" t="inlineStr">
        <is>
          <t>NSMI24070232547</t>
        </is>
      </c>
      <c r="Q1817" s="83">
        <f>MID(P1817,5,2)</f>
        <v/>
      </c>
      <c r="R1817" s="77">
        <f>MID(P1817,7,2)</f>
        <v/>
      </c>
      <c r="S1817" s="73" t="inlineStr">
        <is>
          <t>G2G</t>
        </is>
      </c>
      <c r="T1817" s="73" t="inlineStr">
        <is>
          <t>P4</t>
        </is>
      </c>
      <c r="U1817" s="84" t="inlineStr">
        <is>
          <t>P JB Cold Soldering</t>
        </is>
      </c>
      <c r="V1817" s="84" t="inlineStr">
        <is>
          <t>Soldering</t>
        </is>
      </c>
      <c r="W1817" s="73" t="inlineStr">
        <is>
          <t>Repair</t>
        </is>
      </c>
      <c r="X1817" s="85" t="n">
        <v>46165</v>
      </c>
      <c r="Y1817" s="73">
        <f>X1817-A1817</f>
        <v/>
      </c>
      <c r="Z1817" s="85" t="n">
        <v>46165</v>
      </c>
      <c r="AA1817" s="86" t="n"/>
      <c r="AB1817" s="86" t="n"/>
    </row>
    <row r="1818">
      <c r="A1818" s="37" t="n">
        <v>46143</v>
      </c>
      <c r="B1818" s="3" t="n">
        <v>2026</v>
      </c>
      <c r="C1818" s="26" t="inlineStr">
        <is>
          <t>Yanara Power</t>
        </is>
      </c>
      <c r="D1818" s="3" t="inlineStr">
        <is>
          <t>Utility and C&amp;I</t>
        </is>
      </c>
      <c r="E1818" s="3" t="n"/>
      <c r="F1818" s="3" t="inlineStr">
        <is>
          <t>Closed</t>
        </is>
      </c>
      <c r="G1818" s="9" t="inlineStr">
        <is>
          <t xml:space="preserve">Ashish Jindal </t>
        </is>
      </c>
      <c r="H1818" s="26" t="n">
        <v>9983975581</v>
      </c>
      <c r="I1818" s="38" t="inlineStr">
        <is>
          <t>PE01052601</t>
        </is>
      </c>
      <c r="J1818" s="26" t="inlineStr">
        <is>
          <t>Multiple Issues</t>
        </is>
      </c>
      <c r="K1818" s="39" t="inlineStr">
        <is>
          <t>Holi</t>
        </is>
      </c>
      <c r="L1818" s="39" t="inlineStr">
        <is>
          <t>Maharashtra</t>
        </is>
      </c>
      <c r="M1818" s="46" t="inlineStr">
        <is>
          <t>PS</t>
        </is>
      </c>
      <c r="N1818" s="3" t="inlineStr">
        <is>
          <t>Cold Soldering</t>
        </is>
      </c>
      <c r="O1818" s="56" t="n">
        <v>575</v>
      </c>
      <c r="P1818" s="46" t="inlineStr">
        <is>
          <t>NSMI24070225221</t>
        </is>
      </c>
      <c r="Q1818" s="54">
        <f>MID(P1818,5,2)</f>
        <v/>
      </c>
      <c r="R1818" s="53">
        <f>MID(P1818,7,2)</f>
        <v/>
      </c>
      <c r="S1818" s="3" t="inlineStr">
        <is>
          <t>G2G</t>
        </is>
      </c>
      <c r="T1818" s="3" t="inlineStr">
        <is>
          <t>P4</t>
        </is>
      </c>
      <c r="U1818" s="19" t="inlineStr">
        <is>
          <t>P JB Cold Soldering</t>
        </is>
      </c>
      <c r="V1818" s="19" t="inlineStr">
        <is>
          <t>Soldering</t>
        </is>
      </c>
      <c r="W1818" s="3" t="inlineStr">
        <is>
          <t>Repair</t>
        </is>
      </c>
      <c r="X1818" s="18" t="n">
        <v>46165</v>
      </c>
      <c r="Y1818" s="3">
        <f>X1818-A1818</f>
        <v/>
      </c>
      <c r="Z1818" s="18" t="n">
        <v>46165</v>
      </c>
      <c r="AA1818" s="15" t="n"/>
      <c r="AB1818" s="15" t="n"/>
    </row>
    <row r="1819">
      <c r="A1819" s="37" t="n">
        <v>46143</v>
      </c>
      <c r="B1819" s="3" t="n">
        <v>2026</v>
      </c>
      <c r="C1819" s="26" t="inlineStr">
        <is>
          <t>Yanara Power</t>
        </is>
      </c>
      <c r="D1819" s="3" t="inlineStr">
        <is>
          <t>Utility and C&amp;I</t>
        </is>
      </c>
      <c r="E1819" s="3" t="n"/>
      <c r="F1819" s="3" t="inlineStr">
        <is>
          <t>Closed</t>
        </is>
      </c>
      <c r="G1819" s="9" t="inlineStr">
        <is>
          <t xml:space="preserve">Ashish Jindal </t>
        </is>
      </c>
      <c r="H1819" s="26" t="n">
        <v>9983975581</v>
      </c>
      <c r="I1819" s="38" t="inlineStr">
        <is>
          <t>PE01052601</t>
        </is>
      </c>
      <c r="J1819" s="26" t="inlineStr">
        <is>
          <t>Multiple Issues</t>
        </is>
      </c>
      <c r="K1819" s="39" t="inlineStr">
        <is>
          <t>Holi</t>
        </is>
      </c>
      <c r="L1819" s="39" t="inlineStr">
        <is>
          <t>Maharashtra</t>
        </is>
      </c>
      <c r="M1819" s="46" t="inlineStr">
        <is>
          <t>PS</t>
        </is>
      </c>
      <c r="N1819" s="3" t="inlineStr">
        <is>
          <t>Cold Soldering</t>
        </is>
      </c>
      <c r="O1819" s="56" t="n">
        <v>575</v>
      </c>
      <c r="P1819" s="46" t="inlineStr">
        <is>
          <t>NSMI24070226820</t>
        </is>
      </c>
      <c r="Q1819" s="54">
        <f>MID(P1819,5,2)</f>
        <v/>
      </c>
      <c r="R1819" s="53">
        <f>MID(P1819,7,2)</f>
        <v/>
      </c>
      <c r="S1819" s="3" t="inlineStr">
        <is>
          <t>G2G</t>
        </is>
      </c>
      <c r="T1819" s="3" t="inlineStr">
        <is>
          <t>P4</t>
        </is>
      </c>
      <c r="U1819" s="19" t="inlineStr">
        <is>
          <t>P JB Cold Soldering</t>
        </is>
      </c>
      <c r="V1819" s="19" t="inlineStr">
        <is>
          <t>Soldering</t>
        </is>
      </c>
      <c r="W1819" s="3" t="inlineStr">
        <is>
          <t>Repair</t>
        </is>
      </c>
      <c r="X1819" s="18" t="n">
        <v>46165</v>
      </c>
      <c r="Y1819" s="3">
        <f>X1819-A1819</f>
        <v/>
      </c>
      <c r="Z1819" s="18" t="n">
        <v>46165</v>
      </c>
      <c r="AA1819" s="15" t="n"/>
      <c r="AB1819" s="15" t="n"/>
    </row>
    <row r="1820">
      <c r="A1820" s="37" t="n">
        <v>46143</v>
      </c>
      <c r="B1820" s="3" t="n">
        <v>2026</v>
      </c>
      <c r="C1820" s="26" t="inlineStr">
        <is>
          <t>Yanara Power</t>
        </is>
      </c>
      <c r="D1820" s="3" t="inlineStr">
        <is>
          <t>Utility and C&amp;I</t>
        </is>
      </c>
      <c r="E1820" s="3" t="n"/>
      <c r="F1820" s="3" t="inlineStr">
        <is>
          <t>Closed</t>
        </is>
      </c>
      <c r="G1820" s="9" t="inlineStr">
        <is>
          <t xml:space="preserve">Ashish Jindal </t>
        </is>
      </c>
      <c r="H1820" s="26" t="n">
        <v>9983975581</v>
      </c>
      <c r="I1820" s="38" t="inlineStr">
        <is>
          <t>PE01052601</t>
        </is>
      </c>
      <c r="J1820" s="26" t="inlineStr">
        <is>
          <t>Multiple Issues</t>
        </is>
      </c>
      <c r="K1820" s="39" t="inlineStr">
        <is>
          <t>Holi</t>
        </is>
      </c>
      <c r="L1820" s="39" t="inlineStr">
        <is>
          <t>Maharashtra</t>
        </is>
      </c>
      <c r="M1820" s="46" t="inlineStr">
        <is>
          <t>NS</t>
        </is>
      </c>
      <c r="N1820" s="3" t="inlineStr">
        <is>
          <t>Cold Soldering</t>
        </is>
      </c>
      <c r="O1820" s="56" t="n">
        <v>575</v>
      </c>
      <c r="P1820" s="46" t="inlineStr">
        <is>
          <t>NSMI24070195623</t>
        </is>
      </c>
      <c r="Q1820" s="54">
        <f>MID(P1820,5,2)</f>
        <v/>
      </c>
      <c r="R1820" s="53">
        <f>MID(P1820,7,2)</f>
        <v/>
      </c>
      <c r="S1820" s="3" t="inlineStr">
        <is>
          <t>G2G</t>
        </is>
      </c>
      <c r="T1820" s="3" t="inlineStr">
        <is>
          <t>P4</t>
        </is>
      </c>
      <c r="U1820" s="3" t="inlineStr">
        <is>
          <t>N JB Cold Soldering</t>
        </is>
      </c>
      <c r="V1820" s="3" t="inlineStr">
        <is>
          <t>Soldering</t>
        </is>
      </c>
      <c r="W1820" s="3" t="inlineStr">
        <is>
          <t>Repair</t>
        </is>
      </c>
      <c r="X1820" s="18" t="n">
        <v>46165</v>
      </c>
      <c r="Y1820" s="3">
        <f>X1820-A1820</f>
        <v/>
      </c>
      <c r="Z1820" s="18" t="n">
        <v>46165</v>
      </c>
      <c r="AA1820" s="15" t="n"/>
      <c r="AB1820" s="15" t="n"/>
    </row>
    <row r="1821">
      <c r="A1821" s="37" t="n">
        <v>46143</v>
      </c>
      <c r="B1821" s="3" t="n">
        <v>2026</v>
      </c>
      <c r="C1821" s="26" t="inlineStr">
        <is>
          <t>Yanara Power</t>
        </is>
      </c>
      <c r="D1821" s="3" t="inlineStr">
        <is>
          <t>Utility and C&amp;I</t>
        </is>
      </c>
      <c r="E1821" s="3" t="n"/>
      <c r="F1821" s="3" t="inlineStr">
        <is>
          <t>Closed</t>
        </is>
      </c>
      <c r="G1821" s="9" t="inlineStr">
        <is>
          <t xml:space="preserve">Ashish Jindal </t>
        </is>
      </c>
      <c r="H1821" s="26" t="n">
        <v>9983975581</v>
      </c>
      <c r="I1821" s="38" t="inlineStr">
        <is>
          <t>PE01052601</t>
        </is>
      </c>
      <c r="J1821" s="26" t="inlineStr">
        <is>
          <t>Multiple Issues</t>
        </is>
      </c>
      <c r="K1821" s="39" t="inlineStr">
        <is>
          <t>Holi</t>
        </is>
      </c>
      <c r="L1821" s="39" t="inlineStr">
        <is>
          <t>Maharashtra</t>
        </is>
      </c>
      <c r="M1821" s="46" t="inlineStr">
        <is>
          <t>PR</t>
        </is>
      </c>
      <c r="N1821" s="3" t="inlineStr">
        <is>
          <t>JB Issue</t>
        </is>
      </c>
      <c r="O1821" s="56" t="n">
        <v>575</v>
      </c>
      <c r="P1821" s="46" t="inlineStr">
        <is>
          <t>NSMI24070195335</t>
        </is>
      </c>
      <c r="Q1821" s="54">
        <f>MID(P1821,5,2)</f>
        <v/>
      </c>
      <c r="R1821" s="53">
        <f>MID(P1821,7,2)</f>
        <v/>
      </c>
      <c r="S1821" s="3" t="inlineStr">
        <is>
          <t>G2G</t>
        </is>
      </c>
      <c r="T1821" s="3" t="inlineStr">
        <is>
          <t>P4</t>
        </is>
      </c>
      <c r="U1821" s="3" t="inlineStr">
        <is>
          <t>P JB Issue</t>
        </is>
      </c>
      <c r="V1821" s="15" t="inlineStr">
        <is>
          <t>JB Changed</t>
        </is>
      </c>
      <c r="W1821" s="3" t="inlineStr">
        <is>
          <t>Repair</t>
        </is>
      </c>
      <c r="X1821" s="18" t="n">
        <v>46165</v>
      </c>
      <c r="Y1821" s="3">
        <f>X1821-A1821</f>
        <v/>
      </c>
      <c r="Z1821" s="18" t="n">
        <v>46165</v>
      </c>
      <c r="AA1821" s="15" t="n"/>
      <c r="AB1821" s="15" t="n"/>
    </row>
    <row r="1822">
      <c r="A1822" s="37" t="n">
        <v>46143</v>
      </c>
      <c r="B1822" s="3" t="n">
        <v>2026</v>
      </c>
      <c r="C1822" s="26" t="inlineStr">
        <is>
          <t>Yanara Power</t>
        </is>
      </c>
      <c r="D1822" s="3" t="inlineStr">
        <is>
          <t>Utility and C&amp;I</t>
        </is>
      </c>
      <c r="E1822" s="3" t="n"/>
      <c r="F1822" s="3" t="inlineStr">
        <is>
          <t>Closed</t>
        </is>
      </c>
      <c r="G1822" s="9" t="inlineStr">
        <is>
          <t xml:space="preserve">Ashish Jindal </t>
        </is>
      </c>
      <c r="H1822" s="26" t="n">
        <v>9983975581</v>
      </c>
      <c r="I1822" s="38" t="inlineStr">
        <is>
          <t>PE01052601</t>
        </is>
      </c>
      <c r="J1822" s="26" t="inlineStr">
        <is>
          <t>Multiple Issues</t>
        </is>
      </c>
      <c r="K1822" s="39" t="inlineStr">
        <is>
          <t>Holi</t>
        </is>
      </c>
      <c r="L1822" s="39" t="inlineStr">
        <is>
          <t>Maharashtra</t>
        </is>
      </c>
      <c r="M1822" s="46" t="inlineStr">
        <is>
          <t>NS</t>
        </is>
      </c>
      <c r="N1822" s="3" t="inlineStr">
        <is>
          <t>Cold Soldering</t>
        </is>
      </c>
      <c r="O1822" s="56" t="n">
        <v>575</v>
      </c>
      <c r="P1822" s="46" t="inlineStr">
        <is>
          <t>NSMI24070195350</t>
        </is>
      </c>
      <c r="Q1822" s="54">
        <f>MID(P1822,5,2)</f>
        <v/>
      </c>
      <c r="R1822" s="53">
        <f>MID(P1822,7,2)</f>
        <v/>
      </c>
      <c r="S1822" s="3" t="inlineStr">
        <is>
          <t>G2G</t>
        </is>
      </c>
      <c r="T1822" s="3" t="inlineStr">
        <is>
          <t>P4</t>
        </is>
      </c>
      <c r="U1822" s="3" t="inlineStr">
        <is>
          <t>N JB Cold Soldering</t>
        </is>
      </c>
      <c r="V1822" s="3" t="inlineStr">
        <is>
          <t>Soldering</t>
        </is>
      </c>
      <c r="W1822" s="3" t="inlineStr">
        <is>
          <t>Repair</t>
        </is>
      </c>
      <c r="X1822" s="18" t="n">
        <v>46165</v>
      </c>
      <c r="Y1822" s="3">
        <f>X1822-A1822</f>
        <v/>
      </c>
      <c r="Z1822" s="18" t="n">
        <v>46165</v>
      </c>
      <c r="AA1822" s="15" t="n"/>
      <c r="AB1822" s="15" t="n"/>
    </row>
    <row r="1823">
      <c r="A1823" s="37" t="n">
        <v>46143</v>
      </c>
      <c r="B1823" s="3" t="n">
        <v>2026</v>
      </c>
      <c r="C1823" s="26" t="inlineStr">
        <is>
          <t>Yanara Power</t>
        </is>
      </c>
      <c r="D1823" s="3" t="inlineStr">
        <is>
          <t>Utility and C&amp;I</t>
        </is>
      </c>
      <c r="E1823" s="3" t="n"/>
      <c r="F1823" s="3" t="inlineStr">
        <is>
          <t>Closed</t>
        </is>
      </c>
      <c r="G1823" s="9" t="inlineStr">
        <is>
          <t xml:space="preserve">Ashish Jindal </t>
        </is>
      </c>
      <c r="H1823" s="26" t="n">
        <v>9983975581</v>
      </c>
      <c r="I1823" s="38" t="inlineStr">
        <is>
          <t>PE01052601</t>
        </is>
      </c>
      <c r="J1823" s="26" t="inlineStr">
        <is>
          <t>Multiple Issues</t>
        </is>
      </c>
      <c r="K1823" s="39" t="inlineStr">
        <is>
          <t>Holi</t>
        </is>
      </c>
      <c r="L1823" s="39" t="inlineStr">
        <is>
          <t>Maharashtra</t>
        </is>
      </c>
      <c r="M1823" s="46" t="inlineStr">
        <is>
          <t>OK</t>
        </is>
      </c>
      <c r="N1823" s="3" t="inlineStr">
        <is>
          <t>No Issue</t>
        </is>
      </c>
      <c r="O1823" s="56" t="n">
        <v>575</v>
      </c>
      <c r="P1823" s="46" t="inlineStr">
        <is>
          <t>NSMI24070177955</t>
        </is>
      </c>
      <c r="Q1823" s="54">
        <f>MID(P1823,5,2)</f>
        <v/>
      </c>
      <c r="R1823" s="53">
        <f>MID(P1823,7,2)</f>
        <v/>
      </c>
      <c r="S1823" s="3" t="inlineStr">
        <is>
          <t>G2G</t>
        </is>
      </c>
      <c r="T1823" s="3" t="inlineStr">
        <is>
          <t>P4</t>
        </is>
      </c>
      <c r="U1823" s="19" t="inlineStr">
        <is>
          <t>No Issue Found</t>
        </is>
      </c>
      <c r="V1823" s="19" t="inlineStr">
        <is>
          <t>Found OK</t>
        </is>
      </c>
      <c r="W1823" s="3" t="inlineStr">
        <is>
          <t>Repair</t>
        </is>
      </c>
      <c r="X1823" s="18" t="n">
        <v>46165</v>
      </c>
      <c r="Y1823" s="3">
        <f>X1823-A1823</f>
        <v/>
      </c>
      <c r="Z1823" s="18" t="n">
        <v>46165</v>
      </c>
      <c r="AA1823" s="15" t="n"/>
      <c r="AB1823" s="15" t="n"/>
    </row>
    <row r="1824">
      <c r="A1824" s="37" t="n">
        <v>46143</v>
      </c>
      <c r="B1824" s="3" t="n">
        <v>2026</v>
      </c>
      <c r="C1824" s="26" t="inlineStr">
        <is>
          <t>Yanara Power</t>
        </is>
      </c>
      <c r="D1824" s="3" t="inlineStr">
        <is>
          <t>Utility and C&amp;I</t>
        </is>
      </c>
      <c r="E1824" s="3" t="n"/>
      <c r="F1824" s="3" t="inlineStr">
        <is>
          <t>Closed</t>
        </is>
      </c>
      <c r="G1824" s="9" t="inlineStr">
        <is>
          <t xml:space="preserve">Ashish Jindal </t>
        </is>
      </c>
      <c r="H1824" s="26" t="n">
        <v>9983975581</v>
      </c>
      <c r="I1824" s="38" t="inlineStr">
        <is>
          <t>PE01052601</t>
        </is>
      </c>
      <c r="J1824" s="26" t="inlineStr">
        <is>
          <t>Multiple Issues</t>
        </is>
      </c>
      <c r="K1824" s="39" t="inlineStr">
        <is>
          <t>Holi</t>
        </is>
      </c>
      <c r="L1824" s="39" t="inlineStr">
        <is>
          <t>Maharashtra</t>
        </is>
      </c>
      <c r="M1824" s="46" t="inlineStr">
        <is>
          <t>PNS</t>
        </is>
      </c>
      <c r="N1824" s="3" t="inlineStr">
        <is>
          <t>Cold Soldering</t>
        </is>
      </c>
      <c r="O1824" s="56" t="n">
        <v>575</v>
      </c>
      <c r="P1824" s="46" t="inlineStr">
        <is>
          <t>NSMI24070204682</t>
        </is>
      </c>
      <c r="Q1824" s="54">
        <f>MID(P1824,5,2)</f>
        <v/>
      </c>
      <c r="R1824" s="53">
        <f>MID(P1824,7,2)</f>
        <v/>
      </c>
      <c r="S1824" s="3" t="inlineStr">
        <is>
          <t>G2G</t>
        </is>
      </c>
      <c r="T1824" s="3" t="inlineStr">
        <is>
          <t>P4</t>
        </is>
      </c>
      <c r="U1824" s="3" t="inlineStr">
        <is>
          <t>P &amp; N JB Cold Soldering</t>
        </is>
      </c>
      <c r="V1824" s="3" t="inlineStr">
        <is>
          <t>Soldering</t>
        </is>
      </c>
      <c r="W1824" s="3" t="inlineStr">
        <is>
          <t>Repair</t>
        </is>
      </c>
      <c r="X1824" s="18" t="n">
        <v>46165</v>
      </c>
      <c r="Y1824" s="3">
        <f>X1824-A1824</f>
        <v/>
      </c>
      <c r="Z1824" s="18" t="n">
        <v>46165</v>
      </c>
      <c r="AA1824" s="15" t="n"/>
      <c r="AB1824" s="15" t="n"/>
    </row>
    <row r="1825">
      <c r="A1825" s="37" t="n">
        <v>46143</v>
      </c>
      <c r="B1825" s="3" t="n">
        <v>2026</v>
      </c>
      <c r="C1825" s="26" t="inlineStr">
        <is>
          <t>Yanara Power</t>
        </is>
      </c>
      <c r="D1825" s="3" t="inlineStr">
        <is>
          <t>Utility and C&amp;I</t>
        </is>
      </c>
      <c r="E1825" s="3" t="n"/>
      <c r="F1825" s="3" t="inlineStr">
        <is>
          <t>Closed</t>
        </is>
      </c>
      <c r="G1825" s="9" t="inlineStr">
        <is>
          <t xml:space="preserve">Ashish Jindal </t>
        </is>
      </c>
      <c r="H1825" s="26" t="n">
        <v>9983975581</v>
      </c>
      <c r="I1825" s="38" t="inlineStr">
        <is>
          <t>PE01052601</t>
        </is>
      </c>
      <c r="J1825" s="26" t="inlineStr">
        <is>
          <t>Multiple Issues</t>
        </is>
      </c>
      <c r="K1825" s="39" t="inlineStr">
        <is>
          <t>Holi</t>
        </is>
      </c>
      <c r="L1825" s="39" t="inlineStr">
        <is>
          <t>Maharashtra</t>
        </is>
      </c>
      <c r="M1825" s="46" t="inlineStr">
        <is>
          <t>PNS</t>
        </is>
      </c>
      <c r="N1825" s="3" t="inlineStr">
        <is>
          <t>Cold Soldering</t>
        </is>
      </c>
      <c r="O1825" s="56" t="n">
        <v>575</v>
      </c>
      <c r="P1825" s="46" t="inlineStr">
        <is>
          <t>NSMI24070204693</t>
        </is>
      </c>
      <c r="Q1825" s="54">
        <f>MID(P1825,5,2)</f>
        <v/>
      </c>
      <c r="R1825" s="53">
        <f>MID(P1825,7,2)</f>
        <v/>
      </c>
      <c r="S1825" s="3" t="inlineStr">
        <is>
          <t>G2G</t>
        </is>
      </c>
      <c r="T1825" s="3" t="inlineStr">
        <is>
          <t>P4</t>
        </is>
      </c>
      <c r="U1825" s="3" t="inlineStr">
        <is>
          <t>P &amp; N JB Cold Soldering</t>
        </is>
      </c>
      <c r="V1825" s="3" t="inlineStr">
        <is>
          <t>Soldering</t>
        </is>
      </c>
      <c r="W1825" s="3" t="inlineStr">
        <is>
          <t>Repair</t>
        </is>
      </c>
      <c r="X1825" s="18" t="n">
        <v>46165</v>
      </c>
      <c r="Y1825" s="3">
        <f>X1825-A1825</f>
        <v/>
      </c>
      <c r="Z1825" s="18" t="n">
        <v>46165</v>
      </c>
      <c r="AA1825" s="15" t="n"/>
      <c r="AB1825" s="15" t="n"/>
    </row>
    <row r="1826">
      <c r="A1826" s="37" t="n">
        <v>46143</v>
      </c>
      <c r="B1826" s="3" t="n">
        <v>2026</v>
      </c>
      <c r="C1826" s="26" t="inlineStr">
        <is>
          <t>Yanara Power</t>
        </is>
      </c>
      <c r="D1826" s="3" t="inlineStr">
        <is>
          <t>Utility and C&amp;I</t>
        </is>
      </c>
      <c r="E1826" s="3" t="n"/>
      <c r="F1826" s="3" t="inlineStr">
        <is>
          <t>Closed</t>
        </is>
      </c>
      <c r="G1826" s="9" t="inlineStr">
        <is>
          <t xml:space="preserve">Ashish Jindal </t>
        </is>
      </c>
      <c r="H1826" s="26" t="n">
        <v>9983975581</v>
      </c>
      <c r="I1826" s="38" t="inlineStr">
        <is>
          <t>PE01052601</t>
        </is>
      </c>
      <c r="J1826" s="26" t="inlineStr">
        <is>
          <t>Multiple Issues</t>
        </is>
      </c>
      <c r="K1826" s="39" t="inlineStr">
        <is>
          <t>Holi</t>
        </is>
      </c>
      <c r="L1826" s="39" t="inlineStr">
        <is>
          <t>Maharashtra</t>
        </is>
      </c>
      <c r="M1826" s="46" t="inlineStr">
        <is>
          <t>PS</t>
        </is>
      </c>
      <c r="N1826" s="3" t="inlineStr">
        <is>
          <t>Cold Soldering</t>
        </is>
      </c>
      <c r="O1826" s="56" t="n">
        <v>575</v>
      </c>
      <c r="P1826" s="46" t="inlineStr">
        <is>
          <t>NSMI24070204690</t>
        </is>
      </c>
      <c r="Q1826" s="54">
        <f>MID(P1826,5,2)</f>
        <v/>
      </c>
      <c r="R1826" s="53">
        <f>MID(P1826,7,2)</f>
        <v/>
      </c>
      <c r="S1826" s="3" t="inlineStr">
        <is>
          <t>G2G</t>
        </is>
      </c>
      <c r="T1826" s="3" t="inlineStr">
        <is>
          <t>P4</t>
        </is>
      </c>
      <c r="U1826" s="19" t="inlineStr">
        <is>
          <t>P JB Cold Soldering</t>
        </is>
      </c>
      <c r="V1826" s="19" t="inlineStr">
        <is>
          <t>Soldering</t>
        </is>
      </c>
      <c r="W1826" s="3" t="inlineStr">
        <is>
          <t>Repair</t>
        </is>
      </c>
      <c r="X1826" s="18" t="n">
        <v>46165</v>
      </c>
      <c r="Y1826" s="3">
        <f>X1826-A1826</f>
        <v/>
      </c>
      <c r="Z1826" s="18" t="n">
        <v>46165</v>
      </c>
      <c r="AA1826" s="15" t="n"/>
      <c r="AB1826" s="15" t="n"/>
    </row>
    <row r="1827">
      <c r="A1827" s="37" t="n">
        <v>46143</v>
      </c>
      <c r="B1827" s="3" t="n">
        <v>2026</v>
      </c>
      <c r="C1827" s="26" t="inlineStr">
        <is>
          <t>Yanara Power</t>
        </is>
      </c>
      <c r="D1827" s="3" t="inlineStr">
        <is>
          <t>Utility and C&amp;I</t>
        </is>
      </c>
      <c r="E1827" s="3" t="n"/>
      <c r="F1827" s="3" t="inlineStr">
        <is>
          <t>Closed</t>
        </is>
      </c>
      <c r="G1827" s="9" t="inlineStr">
        <is>
          <t xml:space="preserve">Ashish Jindal </t>
        </is>
      </c>
      <c r="H1827" s="26" t="n">
        <v>9983975581</v>
      </c>
      <c r="I1827" s="38" t="inlineStr">
        <is>
          <t>PE01052601</t>
        </is>
      </c>
      <c r="J1827" s="26" t="inlineStr">
        <is>
          <t>Multiple Issues</t>
        </is>
      </c>
      <c r="K1827" s="39" t="inlineStr">
        <is>
          <t>Holi</t>
        </is>
      </c>
      <c r="L1827" s="39" t="inlineStr">
        <is>
          <t>Maharashtra</t>
        </is>
      </c>
      <c r="M1827" s="46" t="inlineStr">
        <is>
          <t>OK</t>
        </is>
      </c>
      <c r="N1827" s="3" t="inlineStr">
        <is>
          <t>No Issue</t>
        </is>
      </c>
      <c r="O1827" s="56" t="n">
        <v>575</v>
      </c>
      <c r="P1827" s="46" t="inlineStr">
        <is>
          <t>NSMI24070177691</t>
        </is>
      </c>
      <c r="Q1827" s="54">
        <f>MID(P1827,5,2)</f>
        <v/>
      </c>
      <c r="R1827" s="53">
        <f>MID(P1827,7,2)</f>
        <v/>
      </c>
      <c r="S1827" s="3" t="inlineStr">
        <is>
          <t>G2G</t>
        </is>
      </c>
      <c r="T1827" s="3" t="inlineStr">
        <is>
          <t>P4</t>
        </is>
      </c>
      <c r="U1827" s="19" t="inlineStr">
        <is>
          <t>No Issue Found</t>
        </is>
      </c>
      <c r="V1827" s="19" t="inlineStr">
        <is>
          <t>Found OK</t>
        </is>
      </c>
      <c r="W1827" s="3" t="inlineStr">
        <is>
          <t>Repair</t>
        </is>
      </c>
      <c r="X1827" s="18" t="n">
        <v>46165</v>
      </c>
      <c r="Y1827" s="3">
        <f>X1827-A1827</f>
        <v/>
      </c>
      <c r="Z1827" s="18" t="n">
        <v>46165</v>
      </c>
      <c r="AA1827" s="15" t="n"/>
      <c r="AB1827" s="15" t="n"/>
    </row>
    <row r="1828">
      <c r="A1828" s="37" t="n">
        <v>46143</v>
      </c>
      <c r="B1828" s="3" t="n">
        <v>2026</v>
      </c>
      <c r="C1828" s="26" t="inlineStr">
        <is>
          <t>Yanara Power</t>
        </is>
      </c>
      <c r="D1828" s="3" t="inlineStr">
        <is>
          <t>Utility and C&amp;I</t>
        </is>
      </c>
      <c r="E1828" s="3" t="n"/>
      <c r="F1828" s="3" t="inlineStr">
        <is>
          <t>Closed</t>
        </is>
      </c>
      <c r="G1828" s="9" t="inlineStr">
        <is>
          <t xml:space="preserve">Ashish Jindal </t>
        </is>
      </c>
      <c r="H1828" s="26" t="n">
        <v>9983975581</v>
      </c>
      <c r="I1828" s="38" t="inlineStr">
        <is>
          <t>PE01052601</t>
        </is>
      </c>
      <c r="J1828" s="26" t="inlineStr">
        <is>
          <t>Multiple Issues</t>
        </is>
      </c>
      <c r="K1828" s="39" t="inlineStr">
        <is>
          <t>Holi</t>
        </is>
      </c>
      <c r="L1828" s="39" t="inlineStr">
        <is>
          <t>Maharashtra</t>
        </is>
      </c>
      <c r="M1828" s="61" t="inlineStr">
        <is>
          <t>MR</t>
        </is>
      </c>
      <c r="N1828" s="19" t="inlineStr">
        <is>
          <t>JB Issue</t>
        </is>
      </c>
      <c r="O1828" s="56" t="n">
        <v>575</v>
      </c>
      <c r="P1828" s="46" t="inlineStr">
        <is>
          <t>NSMI24070226024</t>
        </is>
      </c>
      <c r="Q1828" s="54">
        <f>MID(P1828,5,2)</f>
        <v/>
      </c>
      <c r="R1828" s="53">
        <f>MID(P1828,7,2)</f>
        <v/>
      </c>
      <c r="S1828" s="3" t="inlineStr">
        <is>
          <t>G2G</t>
        </is>
      </c>
      <c r="T1828" s="3" t="inlineStr">
        <is>
          <t>P4</t>
        </is>
      </c>
      <c r="U1828" s="19" t="inlineStr">
        <is>
          <t>M JB Issue</t>
        </is>
      </c>
      <c r="V1828" s="19" t="inlineStr">
        <is>
          <t>JB Changed</t>
        </is>
      </c>
      <c r="W1828" s="3" t="inlineStr">
        <is>
          <t>Repair</t>
        </is>
      </c>
      <c r="X1828" s="18" t="n">
        <v>46165</v>
      </c>
      <c r="Y1828" s="3">
        <f>X1828-A1828</f>
        <v/>
      </c>
      <c r="Z1828" s="18" t="n">
        <v>46165</v>
      </c>
      <c r="AA1828" s="15" t="n"/>
      <c r="AB1828" s="15" t="n"/>
    </row>
    <row r="1829">
      <c r="A1829" s="37" t="n">
        <v>46143</v>
      </c>
      <c r="B1829" s="3" t="n">
        <v>2026</v>
      </c>
      <c r="C1829" s="26" t="inlineStr">
        <is>
          <t>Yanara Power</t>
        </is>
      </c>
      <c r="D1829" s="3" t="inlineStr">
        <is>
          <t>Utility and C&amp;I</t>
        </is>
      </c>
      <c r="E1829" s="3" t="n"/>
      <c r="F1829" s="3" t="inlineStr">
        <is>
          <t>Closed</t>
        </is>
      </c>
      <c r="G1829" s="9" t="inlineStr">
        <is>
          <t xml:space="preserve">Ashish Jindal </t>
        </is>
      </c>
      <c r="H1829" s="26" t="n">
        <v>9983975581</v>
      </c>
      <c r="I1829" s="38" t="inlineStr">
        <is>
          <t>PE01052601</t>
        </is>
      </c>
      <c r="J1829" s="26" t="inlineStr">
        <is>
          <t>Multiple Issues</t>
        </is>
      </c>
      <c r="K1829" s="39" t="inlineStr">
        <is>
          <t>Holi</t>
        </is>
      </c>
      <c r="L1829" s="39" t="inlineStr">
        <is>
          <t>Maharashtra</t>
        </is>
      </c>
      <c r="M1829" s="46" t="inlineStr">
        <is>
          <t>PS</t>
        </is>
      </c>
      <c r="N1829" s="3" t="inlineStr">
        <is>
          <t>Cold Soldering</t>
        </is>
      </c>
      <c r="O1829" s="56" t="n">
        <v>575</v>
      </c>
      <c r="P1829" s="46" t="inlineStr">
        <is>
          <t>NSMI24070235955</t>
        </is>
      </c>
      <c r="Q1829" s="54">
        <f>MID(P1829,5,2)</f>
        <v/>
      </c>
      <c r="R1829" s="53">
        <f>MID(P1829,7,2)</f>
        <v/>
      </c>
      <c r="S1829" s="3" t="inlineStr">
        <is>
          <t>G2G</t>
        </is>
      </c>
      <c r="T1829" s="3" t="inlineStr">
        <is>
          <t>P4</t>
        </is>
      </c>
      <c r="U1829" s="19" t="inlineStr">
        <is>
          <t>P JB Cold Soldering</t>
        </is>
      </c>
      <c r="V1829" s="19" t="inlineStr">
        <is>
          <t>Soldering</t>
        </is>
      </c>
      <c r="W1829" s="3" t="inlineStr">
        <is>
          <t>Repair</t>
        </is>
      </c>
      <c r="X1829" s="18" t="n">
        <v>46165</v>
      </c>
      <c r="Y1829" s="3">
        <f>X1829-A1829</f>
        <v/>
      </c>
      <c r="Z1829" s="18" t="n">
        <v>46165</v>
      </c>
      <c r="AA1829" s="15" t="n"/>
      <c r="AB1829" s="15" t="n"/>
    </row>
    <row r="1830">
      <c r="A1830" s="37" t="n">
        <v>46143</v>
      </c>
      <c r="B1830" s="3" t="n">
        <v>2026</v>
      </c>
      <c r="C1830" s="26" t="inlineStr">
        <is>
          <t>Yanara Power</t>
        </is>
      </c>
      <c r="D1830" s="3" t="inlineStr">
        <is>
          <t>Utility and C&amp;I</t>
        </is>
      </c>
      <c r="E1830" s="3" t="n"/>
      <c r="F1830" s="3" t="inlineStr">
        <is>
          <t>Closed</t>
        </is>
      </c>
      <c r="G1830" s="9" t="inlineStr">
        <is>
          <t xml:space="preserve">Ashish Jindal </t>
        </is>
      </c>
      <c r="H1830" s="26" t="n">
        <v>9983975581</v>
      </c>
      <c r="I1830" s="38" t="inlineStr">
        <is>
          <t>PE01052601</t>
        </is>
      </c>
      <c r="J1830" s="26" t="inlineStr">
        <is>
          <t>Multiple Issues</t>
        </is>
      </c>
      <c r="K1830" s="39" t="inlineStr">
        <is>
          <t>Holi</t>
        </is>
      </c>
      <c r="L1830" s="39" t="inlineStr">
        <is>
          <t>Maharashtra</t>
        </is>
      </c>
      <c r="M1830" s="46" t="inlineStr">
        <is>
          <t>NS</t>
        </is>
      </c>
      <c r="N1830" s="3" t="inlineStr">
        <is>
          <t>Cold Soldering</t>
        </is>
      </c>
      <c r="O1830" s="56" t="n">
        <v>575</v>
      </c>
      <c r="P1830" s="46" t="inlineStr">
        <is>
          <t>NSMI24070235893</t>
        </is>
      </c>
      <c r="Q1830" s="54">
        <f>MID(P1830,5,2)</f>
        <v/>
      </c>
      <c r="R1830" s="53">
        <f>MID(P1830,7,2)</f>
        <v/>
      </c>
      <c r="S1830" s="3" t="inlineStr">
        <is>
          <t>G2G</t>
        </is>
      </c>
      <c r="T1830" s="3" t="inlineStr">
        <is>
          <t>P4</t>
        </is>
      </c>
      <c r="U1830" s="3" t="inlineStr">
        <is>
          <t>N JB Cold Soldering</t>
        </is>
      </c>
      <c r="V1830" s="3" t="inlineStr">
        <is>
          <t>Soldering</t>
        </is>
      </c>
      <c r="W1830" s="3" t="inlineStr">
        <is>
          <t>Repair</t>
        </is>
      </c>
      <c r="X1830" s="18" t="n">
        <v>46165</v>
      </c>
      <c r="Y1830" s="3">
        <f>X1830-A1830</f>
        <v/>
      </c>
      <c r="Z1830" s="18" t="n">
        <v>46165</v>
      </c>
      <c r="AA1830" s="15" t="n"/>
      <c r="AB1830" s="15" t="n"/>
    </row>
    <row r="1831">
      <c r="A1831" s="37" t="n">
        <v>46143</v>
      </c>
      <c r="B1831" s="3" t="n">
        <v>2026</v>
      </c>
      <c r="C1831" s="26" t="inlineStr">
        <is>
          <t>Yanara Power</t>
        </is>
      </c>
      <c r="D1831" s="3" t="inlineStr">
        <is>
          <t>Utility and C&amp;I</t>
        </is>
      </c>
      <c r="E1831" s="3" t="n"/>
      <c r="F1831" s="3" t="inlineStr">
        <is>
          <t>Closed</t>
        </is>
      </c>
      <c r="G1831" s="9" t="inlineStr">
        <is>
          <t xml:space="preserve">Ashish Jindal </t>
        </is>
      </c>
      <c r="H1831" s="26" t="n">
        <v>9983975581</v>
      </c>
      <c r="I1831" s="38" t="inlineStr">
        <is>
          <t>PE01052601</t>
        </is>
      </c>
      <c r="J1831" s="26" t="inlineStr">
        <is>
          <t>Multiple Issues</t>
        </is>
      </c>
      <c r="K1831" s="39" t="inlineStr">
        <is>
          <t>Holi</t>
        </is>
      </c>
      <c r="L1831" s="39" t="inlineStr">
        <is>
          <t>Maharashtra</t>
        </is>
      </c>
      <c r="M1831" s="46" t="inlineStr">
        <is>
          <t>PS</t>
        </is>
      </c>
      <c r="N1831" s="3" t="inlineStr">
        <is>
          <t>Cold Soldering</t>
        </is>
      </c>
      <c r="O1831" s="56" t="n">
        <v>575</v>
      </c>
      <c r="P1831" s="46" t="inlineStr">
        <is>
          <t>NSMI24070190382</t>
        </is>
      </c>
      <c r="Q1831" s="54">
        <f>MID(P1831,5,2)</f>
        <v/>
      </c>
      <c r="R1831" s="53">
        <f>MID(P1831,7,2)</f>
        <v/>
      </c>
      <c r="S1831" s="3" t="inlineStr">
        <is>
          <t>G2G</t>
        </is>
      </c>
      <c r="T1831" s="3" t="inlineStr">
        <is>
          <t>P4</t>
        </is>
      </c>
      <c r="U1831" s="19" t="inlineStr">
        <is>
          <t>P JB Cold Soldering</t>
        </is>
      </c>
      <c r="V1831" s="19" t="inlineStr">
        <is>
          <t>Soldering</t>
        </is>
      </c>
      <c r="W1831" s="3" t="inlineStr">
        <is>
          <t>Repair</t>
        </is>
      </c>
      <c r="X1831" s="18" t="n">
        <v>46165</v>
      </c>
      <c r="Y1831" s="3">
        <f>X1831-A1831</f>
        <v/>
      </c>
      <c r="Z1831" s="18" t="n">
        <v>46165</v>
      </c>
      <c r="AA1831" s="15" t="n"/>
      <c r="AB1831" s="15" t="n"/>
    </row>
    <row r="1832">
      <c r="A1832" s="37" t="n">
        <v>46143</v>
      </c>
      <c r="B1832" s="3" t="n">
        <v>2026</v>
      </c>
      <c r="C1832" s="26" t="inlineStr">
        <is>
          <t>Yanara Power</t>
        </is>
      </c>
      <c r="D1832" s="3" t="inlineStr">
        <is>
          <t>Utility and C&amp;I</t>
        </is>
      </c>
      <c r="E1832" s="3" t="n"/>
      <c r="F1832" s="3" t="inlineStr">
        <is>
          <t>Closed</t>
        </is>
      </c>
      <c r="G1832" s="9" t="inlineStr">
        <is>
          <t xml:space="preserve">Ashish Jindal </t>
        </is>
      </c>
      <c r="H1832" s="26" t="n">
        <v>9983975581</v>
      </c>
      <c r="I1832" s="38" t="inlineStr">
        <is>
          <t>PE01052601</t>
        </is>
      </c>
      <c r="J1832" s="26" t="inlineStr">
        <is>
          <t>Multiple Issues</t>
        </is>
      </c>
      <c r="K1832" s="39" t="inlineStr">
        <is>
          <t>Holi</t>
        </is>
      </c>
      <c r="L1832" s="39" t="inlineStr">
        <is>
          <t>Maharashtra</t>
        </is>
      </c>
      <c r="M1832" s="46" t="inlineStr">
        <is>
          <t>OK</t>
        </is>
      </c>
      <c r="N1832" s="3" t="inlineStr">
        <is>
          <t>No Issue</t>
        </is>
      </c>
      <c r="O1832" s="56" t="n">
        <v>575</v>
      </c>
      <c r="P1832" s="46" t="inlineStr">
        <is>
          <t>NSMI24070177689</t>
        </is>
      </c>
      <c r="Q1832" s="54">
        <f>MID(P1832,5,2)</f>
        <v/>
      </c>
      <c r="R1832" s="53">
        <f>MID(P1832,7,2)</f>
        <v/>
      </c>
      <c r="S1832" s="3" t="inlineStr">
        <is>
          <t>G2G</t>
        </is>
      </c>
      <c r="T1832" s="3" t="inlineStr">
        <is>
          <t>P4</t>
        </is>
      </c>
      <c r="U1832" s="19" t="inlineStr">
        <is>
          <t>No Issue Found</t>
        </is>
      </c>
      <c r="V1832" s="19" t="inlineStr">
        <is>
          <t>Found OK</t>
        </is>
      </c>
      <c r="W1832" s="3" t="inlineStr">
        <is>
          <t>Repair</t>
        </is>
      </c>
      <c r="X1832" s="18" t="n">
        <v>46165</v>
      </c>
      <c r="Y1832" s="3">
        <f>X1832-A1832</f>
        <v/>
      </c>
      <c r="Z1832" s="18" t="n">
        <v>46165</v>
      </c>
      <c r="AA1832" s="15" t="n"/>
      <c r="AB1832" s="15" t="n"/>
    </row>
    <row r="1833">
      <c r="A1833" s="37" t="n">
        <v>46143</v>
      </c>
      <c r="B1833" s="3" t="n">
        <v>2026</v>
      </c>
      <c r="C1833" s="26" t="inlineStr">
        <is>
          <t>Yanara Power</t>
        </is>
      </c>
      <c r="D1833" s="3" t="inlineStr">
        <is>
          <t>Utility and C&amp;I</t>
        </is>
      </c>
      <c r="E1833" s="3" t="n"/>
      <c r="F1833" s="3" t="inlineStr">
        <is>
          <t>Closed</t>
        </is>
      </c>
      <c r="G1833" s="9" t="inlineStr">
        <is>
          <t xml:space="preserve">Ashish Jindal </t>
        </is>
      </c>
      <c r="H1833" s="26" t="n">
        <v>9983975581</v>
      </c>
      <c r="I1833" s="38" t="inlineStr">
        <is>
          <t>PE01052601</t>
        </is>
      </c>
      <c r="J1833" s="26" t="inlineStr">
        <is>
          <t>Multiple Issues</t>
        </is>
      </c>
      <c r="K1833" s="39" t="inlineStr">
        <is>
          <t>Holi</t>
        </is>
      </c>
      <c r="L1833" s="39" t="inlineStr">
        <is>
          <t>Maharashtra</t>
        </is>
      </c>
      <c r="M1833" s="46" t="inlineStr">
        <is>
          <t>PS</t>
        </is>
      </c>
      <c r="N1833" s="3" t="inlineStr">
        <is>
          <t>Cold Soldering</t>
        </is>
      </c>
      <c r="O1833" s="56" t="n">
        <v>575</v>
      </c>
      <c r="P1833" s="46" t="inlineStr">
        <is>
          <t>NSMI24070242931</t>
        </is>
      </c>
      <c r="Q1833" s="54">
        <f>MID(P1833,5,2)</f>
        <v/>
      </c>
      <c r="R1833" s="53">
        <f>MID(P1833,7,2)</f>
        <v/>
      </c>
      <c r="S1833" s="3" t="inlineStr">
        <is>
          <t>G2G</t>
        </is>
      </c>
      <c r="T1833" s="3" t="inlineStr">
        <is>
          <t>P4</t>
        </is>
      </c>
      <c r="U1833" s="19" t="inlineStr">
        <is>
          <t>P JB Cold Soldering</t>
        </is>
      </c>
      <c r="V1833" s="19" t="inlineStr">
        <is>
          <t>Soldering</t>
        </is>
      </c>
      <c r="W1833" s="3" t="inlineStr">
        <is>
          <t>Repair</t>
        </is>
      </c>
      <c r="X1833" s="18" t="n">
        <v>46165</v>
      </c>
      <c r="Y1833" s="3">
        <f>X1833-A1833</f>
        <v/>
      </c>
      <c r="Z1833" s="18" t="n">
        <v>46165</v>
      </c>
      <c r="AA1833" s="15" t="n"/>
      <c r="AB1833" s="15" t="n"/>
    </row>
    <row r="1834">
      <c r="A1834" s="37" t="n">
        <v>46143</v>
      </c>
      <c r="B1834" s="3" t="n">
        <v>2026</v>
      </c>
      <c r="C1834" s="26" t="inlineStr">
        <is>
          <t>Yanara Power</t>
        </is>
      </c>
      <c r="D1834" s="3" t="inlineStr">
        <is>
          <t>Utility and C&amp;I</t>
        </is>
      </c>
      <c r="E1834" s="3" t="n"/>
      <c r="F1834" s="3" t="inlineStr">
        <is>
          <t>Closed</t>
        </is>
      </c>
      <c r="G1834" s="9" t="inlineStr">
        <is>
          <t xml:space="preserve">Ashish Jindal </t>
        </is>
      </c>
      <c r="H1834" s="26" t="n">
        <v>9983975581</v>
      </c>
      <c r="I1834" s="38" t="inlineStr">
        <is>
          <t>PE01052601</t>
        </is>
      </c>
      <c r="J1834" s="26" t="inlineStr">
        <is>
          <t>Multiple Issues</t>
        </is>
      </c>
      <c r="K1834" s="39" t="inlineStr">
        <is>
          <t>Holi</t>
        </is>
      </c>
      <c r="L1834" s="39" t="inlineStr">
        <is>
          <t>Maharashtra</t>
        </is>
      </c>
      <c r="M1834" s="46" t="inlineStr">
        <is>
          <t>PS</t>
        </is>
      </c>
      <c r="N1834" s="3" t="inlineStr">
        <is>
          <t>Cold Soldering</t>
        </is>
      </c>
      <c r="O1834" s="56" t="n">
        <v>575</v>
      </c>
      <c r="P1834" s="46" t="inlineStr">
        <is>
          <t>NSMI24070239738</t>
        </is>
      </c>
      <c r="Q1834" s="54">
        <f>MID(P1834,5,2)</f>
        <v/>
      </c>
      <c r="R1834" s="53">
        <f>MID(P1834,7,2)</f>
        <v/>
      </c>
      <c r="S1834" s="3" t="inlineStr">
        <is>
          <t>G2G</t>
        </is>
      </c>
      <c r="T1834" s="3" t="inlineStr">
        <is>
          <t>P4</t>
        </is>
      </c>
      <c r="U1834" s="19" t="inlineStr">
        <is>
          <t>P JB Cold Soldering</t>
        </is>
      </c>
      <c r="V1834" s="19" t="inlineStr">
        <is>
          <t>Soldering</t>
        </is>
      </c>
      <c r="W1834" s="3" t="inlineStr">
        <is>
          <t>Repair</t>
        </is>
      </c>
      <c r="X1834" s="18" t="n">
        <v>46165</v>
      </c>
      <c r="Y1834" s="3">
        <f>X1834-A1834</f>
        <v/>
      </c>
      <c r="Z1834" s="18" t="n">
        <v>46165</v>
      </c>
      <c r="AA1834" s="15" t="n"/>
      <c r="AB1834" s="15" t="n"/>
    </row>
    <row r="1835">
      <c r="A1835" s="37" t="n">
        <v>46143</v>
      </c>
      <c r="B1835" s="3" t="n">
        <v>2026</v>
      </c>
      <c r="C1835" s="26" t="inlineStr">
        <is>
          <t>Yanara Power</t>
        </is>
      </c>
      <c r="D1835" s="3" t="inlineStr">
        <is>
          <t>Utility and C&amp;I</t>
        </is>
      </c>
      <c r="E1835" s="3" t="n"/>
      <c r="F1835" s="3" t="inlineStr">
        <is>
          <t>Closed</t>
        </is>
      </c>
      <c r="G1835" s="9" t="inlineStr">
        <is>
          <t xml:space="preserve">Ashish Jindal </t>
        </is>
      </c>
      <c r="H1835" s="26" t="n">
        <v>9983975581</v>
      </c>
      <c r="I1835" s="38" t="inlineStr">
        <is>
          <t>PE01052601</t>
        </is>
      </c>
      <c r="J1835" s="26" t="inlineStr">
        <is>
          <t>Multiple Issues</t>
        </is>
      </c>
      <c r="K1835" s="39" t="inlineStr">
        <is>
          <t>Holi</t>
        </is>
      </c>
      <c r="L1835" s="39" t="inlineStr">
        <is>
          <t>Maharashtra</t>
        </is>
      </c>
      <c r="M1835" s="46" t="inlineStr">
        <is>
          <t>PS</t>
        </is>
      </c>
      <c r="N1835" s="3" t="inlineStr">
        <is>
          <t>Cold Soldering</t>
        </is>
      </c>
      <c r="O1835" s="56" t="n">
        <v>575</v>
      </c>
      <c r="P1835" s="46" t="inlineStr">
        <is>
          <t>NSMI24070183723</t>
        </is>
      </c>
      <c r="Q1835" s="54">
        <f>MID(P1835,5,2)</f>
        <v/>
      </c>
      <c r="R1835" s="53">
        <f>MID(P1835,7,2)</f>
        <v/>
      </c>
      <c r="S1835" s="3" t="inlineStr">
        <is>
          <t>G2G</t>
        </is>
      </c>
      <c r="T1835" s="3" t="inlineStr">
        <is>
          <t>P4</t>
        </is>
      </c>
      <c r="U1835" s="19" t="inlineStr">
        <is>
          <t>P JB Cold Soldering</t>
        </is>
      </c>
      <c r="V1835" s="19" t="inlineStr">
        <is>
          <t>Soldering</t>
        </is>
      </c>
      <c r="W1835" s="3" t="inlineStr">
        <is>
          <t>Repair</t>
        </is>
      </c>
      <c r="X1835" s="18" t="n">
        <v>46165</v>
      </c>
      <c r="Y1835" s="3">
        <f>X1835-A1835</f>
        <v/>
      </c>
      <c r="Z1835" s="18" t="n">
        <v>46165</v>
      </c>
      <c r="AA1835" s="15" t="n"/>
      <c r="AB1835" s="15" t="n"/>
    </row>
    <row r="1836">
      <c r="A1836" s="37" t="n">
        <v>46143</v>
      </c>
      <c r="B1836" s="3" t="n">
        <v>2026</v>
      </c>
      <c r="C1836" s="26" t="inlineStr">
        <is>
          <t>Yanara Power</t>
        </is>
      </c>
      <c r="D1836" s="3" t="inlineStr">
        <is>
          <t>Utility and C&amp;I</t>
        </is>
      </c>
      <c r="E1836" s="3" t="n"/>
      <c r="F1836" s="3" t="inlineStr">
        <is>
          <t>Closed</t>
        </is>
      </c>
      <c r="G1836" s="9" t="inlineStr">
        <is>
          <t xml:space="preserve">Ashish Jindal </t>
        </is>
      </c>
      <c r="H1836" s="26" t="n">
        <v>9983975581</v>
      </c>
      <c r="I1836" s="38" t="inlineStr">
        <is>
          <t>PE01052601</t>
        </is>
      </c>
      <c r="J1836" s="26" t="inlineStr">
        <is>
          <t>Multiple Issues</t>
        </is>
      </c>
      <c r="K1836" s="39" t="inlineStr">
        <is>
          <t>Holi</t>
        </is>
      </c>
      <c r="L1836" s="39" t="inlineStr">
        <is>
          <t>Maharashtra</t>
        </is>
      </c>
      <c r="M1836" s="46" t="inlineStr">
        <is>
          <t>NS</t>
        </is>
      </c>
      <c r="N1836" s="3" t="inlineStr">
        <is>
          <t>Cold Soldering</t>
        </is>
      </c>
      <c r="O1836" s="56" t="n">
        <v>575</v>
      </c>
      <c r="P1836" s="46" t="inlineStr">
        <is>
          <t>NSMI24070239169</t>
        </is>
      </c>
      <c r="Q1836" s="54">
        <f>MID(P1836,5,2)</f>
        <v/>
      </c>
      <c r="R1836" s="53">
        <f>MID(P1836,7,2)</f>
        <v/>
      </c>
      <c r="S1836" s="3" t="inlineStr">
        <is>
          <t>G2G</t>
        </is>
      </c>
      <c r="T1836" s="3" t="inlineStr">
        <is>
          <t>P4</t>
        </is>
      </c>
      <c r="U1836" s="3" t="inlineStr">
        <is>
          <t>N JB Cold Soldering</t>
        </is>
      </c>
      <c r="V1836" s="3" t="inlineStr">
        <is>
          <t>Soldering</t>
        </is>
      </c>
      <c r="W1836" s="3" t="inlineStr">
        <is>
          <t>Repair</t>
        </is>
      </c>
      <c r="X1836" s="18" t="n">
        <v>46165</v>
      </c>
      <c r="Y1836" s="3">
        <f>X1836-A1836</f>
        <v/>
      </c>
      <c r="Z1836" s="18" t="n">
        <v>46165</v>
      </c>
      <c r="AA1836" s="15" t="n"/>
      <c r="AB1836" s="15" t="n"/>
    </row>
    <row r="1837">
      <c r="A1837" s="37" t="n">
        <v>46143</v>
      </c>
      <c r="B1837" s="3" t="n">
        <v>2026</v>
      </c>
      <c r="C1837" s="26" t="inlineStr">
        <is>
          <t>Yanara Power</t>
        </is>
      </c>
      <c r="D1837" s="3" t="inlineStr">
        <is>
          <t>Utility and C&amp;I</t>
        </is>
      </c>
      <c r="E1837" s="3" t="n"/>
      <c r="F1837" s="3" t="inlineStr">
        <is>
          <t>Closed</t>
        </is>
      </c>
      <c r="G1837" s="9" t="inlineStr">
        <is>
          <t xml:space="preserve">Ashish Jindal </t>
        </is>
      </c>
      <c r="H1837" s="26" t="n">
        <v>9983975581</v>
      </c>
      <c r="I1837" s="38" t="inlineStr">
        <is>
          <t>PE01052601</t>
        </is>
      </c>
      <c r="J1837" s="26" t="inlineStr">
        <is>
          <t>Multiple Issues</t>
        </is>
      </c>
      <c r="K1837" s="39" t="inlineStr">
        <is>
          <t>Holi</t>
        </is>
      </c>
      <c r="L1837" s="39" t="inlineStr">
        <is>
          <t>Maharashtra</t>
        </is>
      </c>
      <c r="M1837" s="46" t="inlineStr">
        <is>
          <t>PS</t>
        </is>
      </c>
      <c r="N1837" s="3" t="inlineStr">
        <is>
          <t>Cold Soldering</t>
        </is>
      </c>
      <c r="O1837" s="56" t="n">
        <v>575</v>
      </c>
      <c r="P1837" s="46" t="inlineStr">
        <is>
          <t>NSMI24070232596</t>
        </is>
      </c>
      <c r="Q1837" s="54">
        <f>MID(P1837,5,2)</f>
        <v/>
      </c>
      <c r="R1837" s="53">
        <f>MID(P1837,7,2)</f>
        <v/>
      </c>
      <c r="S1837" s="3" t="inlineStr">
        <is>
          <t>G2G</t>
        </is>
      </c>
      <c r="T1837" s="3" t="inlineStr">
        <is>
          <t>P4</t>
        </is>
      </c>
      <c r="U1837" s="19" t="inlineStr">
        <is>
          <t>P JB Cold Soldering</t>
        </is>
      </c>
      <c r="V1837" s="19" t="inlineStr">
        <is>
          <t>Soldering</t>
        </is>
      </c>
      <c r="W1837" s="3" t="inlineStr">
        <is>
          <t>Repair</t>
        </is>
      </c>
      <c r="X1837" s="18" t="n">
        <v>46165</v>
      </c>
      <c r="Y1837" s="3">
        <f>X1837-A1837</f>
        <v/>
      </c>
      <c r="Z1837" s="18" t="n">
        <v>46165</v>
      </c>
      <c r="AA1837" s="15" t="n"/>
      <c r="AB1837" s="15" t="n"/>
    </row>
    <row r="1838">
      <c r="A1838" s="37" t="n">
        <v>46143</v>
      </c>
      <c r="B1838" s="3" t="n">
        <v>2026</v>
      </c>
      <c r="C1838" s="26" t="inlineStr">
        <is>
          <t>Yanara Power</t>
        </is>
      </c>
      <c r="D1838" s="3" t="inlineStr">
        <is>
          <t>Utility and C&amp;I</t>
        </is>
      </c>
      <c r="E1838" s="3" t="n"/>
      <c r="F1838" s="3" t="inlineStr">
        <is>
          <t>Closed</t>
        </is>
      </c>
      <c r="G1838" s="9" t="inlineStr">
        <is>
          <t xml:space="preserve">Ashish Jindal </t>
        </is>
      </c>
      <c r="H1838" s="26" t="n">
        <v>9983975581</v>
      </c>
      <c r="I1838" s="38" t="inlineStr">
        <is>
          <t>PE01052601</t>
        </is>
      </c>
      <c r="J1838" s="26" t="inlineStr">
        <is>
          <t>Multiple Issues</t>
        </is>
      </c>
      <c r="K1838" s="39" t="inlineStr">
        <is>
          <t>Holi</t>
        </is>
      </c>
      <c r="L1838" s="39" t="inlineStr">
        <is>
          <t>Maharashtra</t>
        </is>
      </c>
      <c r="M1838" s="46" t="inlineStr">
        <is>
          <t>PS</t>
        </is>
      </c>
      <c r="N1838" s="3" t="inlineStr">
        <is>
          <t>Cold Soldering</t>
        </is>
      </c>
      <c r="O1838" s="56" t="n">
        <v>575</v>
      </c>
      <c r="P1838" s="46" t="inlineStr">
        <is>
          <t>NSMI24070178414</t>
        </is>
      </c>
      <c r="Q1838" s="54">
        <f>MID(P1838,5,2)</f>
        <v/>
      </c>
      <c r="R1838" s="53">
        <f>MID(P1838,7,2)</f>
        <v/>
      </c>
      <c r="S1838" s="3" t="inlineStr">
        <is>
          <t>G2G</t>
        </is>
      </c>
      <c r="T1838" s="3" t="inlineStr">
        <is>
          <t>P4</t>
        </is>
      </c>
      <c r="U1838" s="19" t="inlineStr">
        <is>
          <t>P JB Cold Soldering</t>
        </is>
      </c>
      <c r="V1838" s="19" t="inlineStr">
        <is>
          <t>Soldering</t>
        </is>
      </c>
      <c r="W1838" s="3" t="inlineStr">
        <is>
          <t>Repair</t>
        </is>
      </c>
      <c r="X1838" s="18" t="n">
        <v>46165</v>
      </c>
      <c r="Y1838" s="3">
        <f>X1838-A1838</f>
        <v/>
      </c>
      <c r="Z1838" s="18" t="n">
        <v>46165</v>
      </c>
      <c r="AA1838" s="15" t="n"/>
      <c r="AB1838" s="15" t="n"/>
    </row>
    <row r="1839">
      <c r="A1839" s="37" t="n">
        <v>46143</v>
      </c>
      <c r="B1839" s="3" t="n">
        <v>2026</v>
      </c>
      <c r="C1839" s="26" t="inlineStr">
        <is>
          <t>Yanara Power</t>
        </is>
      </c>
      <c r="D1839" s="3" t="inlineStr">
        <is>
          <t>Utility and C&amp;I</t>
        </is>
      </c>
      <c r="E1839" s="3" t="n"/>
      <c r="F1839" s="3" t="inlineStr">
        <is>
          <t>Closed</t>
        </is>
      </c>
      <c r="G1839" s="9" t="inlineStr">
        <is>
          <t xml:space="preserve">Ashish Jindal </t>
        </is>
      </c>
      <c r="H1839" s="26" t="n">
        <v>9983975581</v>
      </c>
      <c r="I1839" s="38" t="inlineStr">
        <is>
          <t>PE01052601</t>
        </is>
      </c>
      <c r="J1839" s="26" t="inlineStr">
        <is>
          <t>Multiple Issues</t>
        </is>
      </c>
      <c r="K1839" s="39" t="inlineStr">
        <is>
          <t>Holi</t>
        </is>
      </c>
      <c r="L1839" s="39" t="inlineStr">
        <is>
          <t>Maharashtra</t>
        </is>
      </c>
      <c r="M1839" s="46" t="inlineStr">
        <is>
          <t>PS</t>
        </is>
      </c>
      <c r="N1839" s="3" t="inlineStr">
        <is>
          <t>Cold Soldering</t>
        </is>
      </c>
      <c r="O1839" s="56" t="n">
        <v>575</v>
      </c>
      <c r="P1839" s="46" t="inlineStr">
        <is>
          <t>NSMI24070179657</t>
        </is>
      </c>
      <c r="Q1839" s="54">
        <f>MID(P1839,5,2)</f>
        <v/>
      </c>
      <c r="R1839" s="53">
        <f>MID(P1839,7,2)</f>
        <v/>
      </c>
      <c r="S1839" s="3" t="inlineStr">
        <is>
          <t>G2G</t>
        </is>
      </c>
      <c r="T1839" s="3" t="inlineStr">
        <is>
          <t>P4</t>
        </is>
      </c>
      <c r="U1839" s="19" t="inlineStr">
        <is>
          <t>P JB Cold Soldering</t>
        </is>
      </c>
      <c r="V1839" s="19" t="inlineStr">
        <is>
          <t>Soldering</t>
        </is>
      </c>
      <c r="W1839" s="3" t="inlineStr">
        <is>
          <t>Repair</t>
        </is>
      </c>
      <c r="X1839" s="18" t="n">
        <v>46165</v>
      </c>
      <c r="Y1839" s="3">
        <f>X1839-A1839</f>
        <v/>
      </c>
      <c r="Z1839" s="18" t="n">
        <v>46165</v>
      </c>
      <c r="AA1839" s="15" t="n"/>
      <c r="AB1839" s="15" t="n"/>
    </row>
    <row r="1840">
      <c r="A1840" s="37" t="n">
        <v>46143</v>
      </c>
      <c r="B1840" s="3" t="n">
        <v>2026</v>
      </c>
      <c r="C1840" s="26" t="inlineStr">
        <is>
          <t>Yanara Power</t>
        </is>
      </c>
      <c r="D1840" s="3" t="inlineStr">
        <is>
          <t>Utility and C&amp;I</t>
        </is>
      </c>
      <c r="E1840" s="3" t="n"/>
      <c r="F1840" s="3" t="inlineStr">
        <is>
          <t>Closed</t>
        </is>
      </c>
      <c r="G1840" s="9" t="inlineStr">
        <is>
          <t xml:space="preserve">Ashish Jindal </t>
        </is>
      </c>
      <c r="H1840" s="26" t="n">
        <v>9983975581</v>
      </c>
      <c r="I1840" s="38" t="inlineStr">
        <is>
          <t>PE01052601</t>
        </is>
      </c>
      <c r="J1840" s="26" t="inlineStr">
        <is>
          <t>Multiple Issues</t>
        </is>
      </c>
      <c r="K1840" s="39" t="inlineStr">
        <is>
          <t>Holi</t>
        </is>
      </c>
      <c r="L1840" s="39" t="inlineStr">
        <is>
          <t>Maharashtra</t>
        </is>
      </c>
      <c r="M1840" s="46" t="inlineStr">
        <is>
          <t>PS</t>
        </is>
      </c>
      <c r="N1840" s="3" t="inlineStr">
        <is>
          <t>Cold Soldering</t>
        </is>
      </c>
      <c r="O1840" s="56" t="n">
        <v>575</v>
      </c>
      <c r="P1840" s="46" t="inlineStr">
        <is>
          <t>NSMI24070180722</t>
        </is>
      </c>
      <c r="Q1840" s="54">
        <f>MID(P1840,5,2)</f>
        <v/>
      </c>
      <c r="R1840" s="53">
        <f>MID(P1840,7,2)</f>
        <v/>
      </c>
      <c r="S1840" s="3" t="inlineStr">
        <is>
          <t>G2G</t>
        </is>
      </c>
      <c r="T1840" s="3" t="inlineStr">
        <is>
          <t>P4</t>
        </is>
      </c>
      <c r="U1840" s="19" t="inlineStr">
        <is>
          <t>P JB Cold Soldering</t>
        </is>
      </c>
      <c r="V1840" s="19" t="inlineStr">
        <is>
          <t>Soldering</t>
        </is>
      </c>
      <c r="W1840" s="3" t="inlineStr">
        <is>
          <t>Repair</t>
        </is>
      </c>
      <c r="X1840" s="18" t="n">
        <v>46165</v>
      </c>
      <c r="Y1840" s="3">
        <f>X1840-A1840</f>
        <v/>
      </c>
      <c r="Z1840" s="18" t="n">
        <v>46165</v>
      </c>
      <c r="AA1840" s="15" t="n"/>
      <c r="AB1840" s="15" t="n"/>
    </row>
    <row r="1841">
      <c r="A1841" s="37" t="n">
        <v>46143</v>
      </c>
      <c r="B1841" s="3" t="n">
        <v>2026</v>
      </c>
      <c r="C1841" s="26" t="inlineStr">
        <is>
          <t>Yanara Power</t>
        </is>
      </c>
      <c r="D1841" s="3" t="inlineStr">
        <is>
          <t>Utility and C&amp;I</t>
        </is>
      </c>
      <c r="E1841" s="3" t="n"/>
      <c r="F1841" s="3" t="inlineStr">
        <is>
          <t>Closed</t>
        </is>
      </c>
      <c r="G1841" s="9" t="inlineStr">
        <is>
          <t xml:space="preserve">Ashish Jindal </t>
        </is>
      </c>
      <c r="H1841" s="26" t="n">
        <v>9983975581</v>
      </c>
      <c r="I1841" s="38" t="inlineStr">
        <is>
          <t>PE01052601</t>
        </is>
      </c>
      <c r="J1841" s="26" t="inlineStr">
        <is>
          <t>Multiple Issues</t>
        </is>
      </c>
      <c r="K1841" s="39" t="inlineStr">
        <is>
          <t>Holi</t>
        </is>
      </c>
      <c r="L1841" s="39" t="inlineStr">
        <is>
          <t>Maharashtra</t>
        </is>
      </c>
      <c r="M1841" s="61" t="inlineStr">
        <is>
          <t>AS</t>
        </is>
      </c>
      <c r="N1841" s="19" t="inlineStr">
        <is>
          <t>Cold Soldering</t>
        </is>
      </c>
      <c r="O1841" s="56" t="n">
        <v>575</v>
      </c>
      <c r="P1841" s="46" t="inlineStr">
        <is>
          <t>NSMI24070179718</t>
        </is>
      </c>
      <c r="Q1841" s="54">
        <f>MID(P1841,5,2)</f>
        <v/>
      </c>
      <c r="R1841" s="53">
        <f>MID(P1841,7,2)</f>
        <v/>
      </c>
      <c r="S1841" s="3" t="inlineStr">
        <is>
          <t>G2G</t>
        </is>
      </c>
      <c r="T1841" s="3" t="inlineStr">
        <is>
          <t>P4</t>
        </is>
      </c>
      <c r="U1841" s="19" t="inlineStr">
        <is>
          <t>All JB Cold Soldering</t>
        </is>
      </c>
      <c r="V1841" s="19" t="inlineStr">
        <is>
          <t>Soldering</t>
        </is>
      </c>
      <c r="W1841" s="3" t="inlineStr">
        <is>
          <t>Repair</t>
        </is>
      </c>
      <c r="X1841" s="18" t="n">
        <v>46165</v>
      </c>
      <c r="Y1841" s="3">
        <f>X1841-A1841</f>
        <v/>
      </c>
      <c r="Z1841" s="18" t="n">
        <v>46165</v>
      </c>
      <c r="AA1841" s="15" t="n"/>
      <c r="AB1841" s="15" t="n"/>
    </row>
    <row r="1842">
      <c r="A1842" s="37" t="n">
        <v>46143</v>
      </c>
      <c r="B1842" s="3" t="n">
        <v>2026</v>
      </c>
      <c r="C1842" s="26" t="inlineStr">
        <is>
          <t>Yanara Power</t>
        </is>
      </c>
      <c r="D1842" s="3" t="inlineStr">
        <is>
          <t>Utility and C&amp;I</t>
        </is>
      </c>
      <c r="E1842" s="3" t="n"/>
      <c r="F1842" s="3" t="inlineStr">
        <is>
          <t>Closed</t>
        </is>
      </c>
      <c r="G1842" s="9" t="inlineStr">
        <is>
          <t xml:space="preserve">Ashish Jindal </t>
        </is>
      </c>
      <c r="H1842" s="26" t="n">
        <v>9983975581</v>
      </c>
      <c r="I1842" s="38" t="inlineStr">
        <is>
          <t>PE01052601</t>
        </is>
      </c>
      <c r="J1842" s="26" t="inlineStr">
        <is>
          <t>Multiple Issues</t>
        </is>
      </c>
      <c r="K1842" s="39" t="inlineStr">
        <is>
          <t>Holi</t>
        </is>
      </c>
      <c r="L1842" s="39" t="inlineStr">
        <is>
          <t>Maharashtra</t>
        </is>
      </c>
      <c r="M1842" s="46" t="inlineStr">
        <is>
          <t>PS</t>
        </is>
      </c>
      <c r="N1842" s="3" t="inlineStr">
        <is>
          <t>Cold Soldering</t>
        </is>
      </c>
      <c r="O1842" s="56" t="n">
        <v>575</v>
      </c>
      <c r="P1842" s="46" t="inlineStr">
        <is>
          <t>NSMI24070178458</t>
        </is>
      </c>
      <c r="Q1842" s="54">
        <f>MID(P1842,5,2)</f>
        <v/>
      </c>
      <c r="R1842" s="53">
        <f>MID(P1842,7,2)</f>
        <v/>
      </c>
      <c r="S1842" s="3" t="inlineStr">
        <is>
          <t>G2G</t>
        </is>
      </c>
      <c r="T1842" s="3" t="inlineStr">
        <is>
          <t>P4</t>
        </is>
      </c>
      <c r="U1842" s="19" t="inlineStr">
        <is>
          <t>P JB Cold Soldering</t>
        </is>
      </c>
      <c r="V1842" s="19" t="inlineStr">
        <is>
          <t>Soldering</t>
        </is>
      </c>
      <c r="W1842" s="3" t="inlineStr">
        <is>
          <t>Repair</t>
        </is>
      </c>
      <c r="X1842" s="18" t="n">
        <v>46165</v>
      </c>
      <c r="Y1842" s="3">
        <f>X1842-A1842</f>
        <v/>
      </c>
      <c r="Z1842" s="18" t="n">
        <v>46165</v>
      </c>
      <c r="AA1842" s="15" t="n"/>
      <c r="AB1842" s="15" t="n"/>
    </row>
    <row r="1843">
      <c r="A1843" s="37" t="n">
        <v>46143</v>
      </c>
      <c r="B1843" s="3" t="n">
        <v>2026</v>
      </c>
      <c r="C1843" s="26" t="inlineStr">
        <is>
          <t>Yanara Power</t>
        </is>
      </c>
      <c r="D1843" s="3" t="inlineStr">
        <is>
          <t>Utility and C&amp;I</t>
        </is>
      </c>
      <c r="E1843" s="3" t="n"/>
      <c r="F1843" s="3" t="inlineStr">
        <is>
          <t>Closed</t>
        </is>
      </c>
      <c r="G1843" s="9" t="inlineStr">
        <is>
          <t xml:space="preserve">Ashish Jindal </t>
        </is>
      </c>
      <c r="H1843" s="26" t="n">
        <v>9983975581</v>
      </c>
      <c r="I1843" s="38" t="inlineStr">
        <is>
          <t>PE01052601</t>
        </is>
      </c>
      <c r="J1843" s="26" t="inlineStr">
        <is>
          <t>Multiple Issues</t>
        </is>
      </c>
      <c r="K1843" s="39" t="inlineStr">
        <is>
          <t>Holi</t>
        </is>
      </c>
      <c r="L1843" s="39" t="inlineStr">
        <is>
          <t>Maharashtra</t>
        </is>
      </c>
      <c r="M1843" s="46" t="inlineStr">
        <is>
          <t>PS</t>
        </is>
      </c>
      <c r="N1843" s="3" t="inlineStr">
        <is>
          <t>Cold Soldering</t>
        </is>
      </c>
      <c r="O1843" s="56" t="n">
        <v>575</v>
      </c>
      <c r="P1843" s="46" t="inlineStr">
        <is>
          <t>NSMI24070182444</t>
        </is>
      </c>
      <c r="Q1843" s="54">
        <f>MID(P1843,5,2)</f>
        <v/>
      </c>
      <c r="R1843" s="53">
        <f>MID(P1843,7,2)</f>
        <v/>
      </c>
      <c r="S1843" s="3" t="inlineStr">
        <is>
          <t>G2G</t>
        </is>
      </c>
      <c r="T1843" s="3" t="inlineStr">
        <is>
          <t>P4</t>
        </is>
      </c>
      <c r="U1843" s="19" t="inlineStr">
        <is>
          <t>P JB Cold Soldering</t>
        </is>
      </c>
      <c r="V1843" s="19" t="inlineStr">
        <is>
          <t>Soldering</t>
        </is>
      </c>
      <c r="W1843" s="3" t="inlineStr">
        <is>
          <t>Repair</t>
        </is>
      </c>
      <c r="X1843" s="18" t="n">
        <v>46165</v>
      </c>
      <c r="Y1843" s="3">
        <f>X1843-A1843</f>
        <v/>
      </c>
      <c r="Z1843" s="18" t="n">
        <v>46165</v>
      </c>
      <c r="AA1843" s="15" t="n"/>
      <c r="AB1843" s="15" t="n"/>
    </row>
    <row r="1844">
      <c r="A1844" s="37" t="n">
        <v>46143</v>
      </c>
      <c r="B1844" s="3" t="n">
        <v>2026</v>
      </c>
      <c r="C1844" s="26" t="inlineStr">
        <is>
          <t>Yanara Power</t>
        </is>
      </c>
      <c r="D1844" s="3" t="inlineStr">
        <is>
          <t>Utility and C&amp;I</t>
        </is>
      </c>
      <c r="E1844" s="3" t="n"/>
      <c r="F1844" s="3" t="inlineStr">
        <is>
          <t>Closed</t>
        </is>
      </c>
      <c r="G1844" s="9" t="inlineStr">
        <is>
          <t xml:space="preserve">Ashish Jindal </t>
        </is>
      </c>
      <c r="H1844" s="26" t="n">
        <v>9983975581</v>
      </c>
      <c r="I1844" s="38" t="inlineStr">
        <is>
          <t>PE01052601</t>
        </is>
      </c>
      <c r="J1844" s="26" t="inlineStr">
        <is>
          <t>Multiple Issues</t>
        </is>
      </c>
      <c r="K1844" s="39" t="inlineStr">
        <is>
          <t>Holi</t>
        </is>
      </c>
      <c r="L1844" s="39" t="inlineStr">
        <is>
          <t>Maharashtra</t>
        </is>
      </c>
      <c r="M1844" s="46" t="inlineStr">
        <is>
          <t>PS</t>
        </is>
      </c>
      <c r="N1844" s="3" t="inlineStr">
        <is>
          <t>Cold Soldering</t>
        </is>
      </c>
      <c r="O1844" s="56" t="n">
        <v>575</v>
      </c>
      <c r="P1844" s="46" t="inlineStr">
        <is>
          <t>NSMI24070182486</t>
        </is>
      </c>
      <c r="Q1844" s="54">
        <f>MID(P1844,5,2)</f>
        <v/>
      </c>
      <c r="R1844" s="53">
        <f>MID(P1844,7,2)</f>
        <v/>
      </c>
      <c r="S1844" s="3" t="inlineStr">
        <is>
          <t>G2G</t>
        </is>
      </c>
      <c r="T1844" s="3" t="inlineStr">
        <is>
          <t>P4</t>
        </is>
      </c>
      <c r="U1844" s="19" t="inlineStr">
        <is>
          <t>P JB Cold Soldering</t>
        </is>
      </c>
      <c r="V1844" s="19" t="inlineStr">
        <is>
          <t>Soldering</t>
        </is>
      </c>
      <c r="W1844" s="3" t="inlineStr">
        <is>
          <t>Repair</t>
        </is>
      </c>
      <c r="X1844" s="18" t="n">
        <v>46165</v>
      </c>
      <c r="Y1844" s="3">
        <f>X1844-A1844</f>
        <v/>
      </c>
      <c r="Z1844" s="18" t="n">
        <v>46165</v>
      </c>
      <c r="AA1844" s="15" t="n"/>
      <c r="AB1844" s="15" t="n"/>
    </row>
    <row r="1845">
      <c r="A1845" s="37" t="n">
        <v>46143</v>
      </c>
      <c r="B1845" s="3" t="n">
        <v>2026</v>
      </c>
      <c r="C1845" s="26" t="inlineStr">
        <is>
          <t>Yanara Power</t>
        </is>
      </c>
      <c r="D1845" s="3" t="inlineStr">
        <is>
          <t>Utility and C&amp;I</t>
        </is>
      </c>
      <c r="E1845" s="3" t="n"/>
      <c r="F1845" s="3" t="inlineStr">
        <is>
          <t>Closed</t>
        </is>
      </c>
      <c r="G1845" s="9" t="inlineStr">
        <is>
          <t xml:space="preserve">Ashish Jindal </t>
        </is>
      </c>
      <c r="H1845" s="26" t="n">
        <v>9983975581</v>
      </c>
      <c r="I1845" s="38" t="inlineStr">
        <is>
          <t>PE01052601</t>
        </is>
      </c>
      <c r="J1845" s="26" t="inlineStr">
        <is>
          <t>Multiple Issues</t>
        </is>
      </c>
      <c r="K1845" s="39" t="inlineStr">
        <is>
          <t>Holi</t>
        </is>
      </c>
      <c r="L1845" s="39" t="inlineStr">
        <is>
          <t>Maharashtra</t>
        </is>
      </c>
      <c r="M1845" s="46" t="inlineStr">
        <is>
          <t>PS</t>
        </is>
      </c>
      <c r="N1845" s="3" t="inlineStr">
        <is>
          <t>Cold Soldering</t>
        </is>
      </c>
      <c r="O1845" s="56" t="n">
        <v>575</v>
      </c>
      <c r="P1845" s="46" t="inlineStr">
        <is>
          <t>NSMI24070178720</t>
        </is>
      </c>
      <c r="Q1845" s="54">
        <f>MID(P1845,5,2)</f>
        <v/>
      </c>
      <c r="R1845" s="53">
        <f>MID(P1845,7,2)</f>
        <v/>
      </c>
      <c r="S1845" s="3" t="inlineStr">
        <is>
          <t>G2G</t>
        </is>
      </c>
      <c r="T1845" s="3" t="inlineStr">
        <is>
          <t>P4</t>
        </is>
      </c>
      <c r="U1845" s="19" t="inlineStr">
        <is>
          <t>P JB Cold Soldering</t>
        </is>
      </c>
      <c r="V1845" s="19" t="inlineStr">
        <is>
          <t>Soldering</t>
        </is>
      </c>
      <c r="W1845" s="3" t="inlineStr">
        <is>
          <t>Repair</t>
        </is>
      </c>
      <c r="X1845" s="18" t="n">
        <v>46165</v>
      </c>
      <c r="Y1845" s="3">
        <f>X1845-A1845</f>
        <v/>
      </c>
      <c r="Z1845" s="18" t="n">
        <v>46165</v>
      </c>
      <c r="AA1845" s="15" t="n"/>
      <c r="AB1845" s="15" t="n"/>
    </row>
    <row r="1846">
      <c r="A1846" s="37" t="n">
        <v>46143</v>
      </c>
      <c r="B1846" s="3" t="n">
        <v>2026</v>
      </c>
      <c r="C1846" s="26" t="inlineStr">
        <is>
          <t>Yanara Power</t>
        </is>
      </c>
      <c r="D1846" s="3" t="inlineStr">
        <is>
          <t>Utility and C&amp;I</t>
        </is>
      </c>
      <c r="E1846" s="3" t="n"/>
      <c r="F1846" s="3" t="inlineStr">
        <is>
          <t>Closed</t>
        </is>
      </c>
      <c r="G1846" s="9" t="inlineStr">
        <is>
          <t xml:space="preserve">Ashish Jindal </t>
        </is>
      </c>
      <c r="H1846" s="26" t="n">
        <v>9983975581</v>
      </c>
      <c r="I1846" s="38" t="inlineStr">
        <is>
          <t>PE01052601</t>
        </is>
      </c>
      <c r="J1846" s="26" t="inlineStr">
        <is>
          <t>Multiple Issues</t>
        </is>
      </c>
      <c r="K1846" s="39" t="inlineStr">
        <is>
          <t>Holi</t>
        </is>
      </c>
      <c r="L1846" s="39" t="inlineStr">
        <is>
          <t>Maharashtra</t>
        </is>
      </c>
      <c r="M1846" s="46" t="inlineStr">
        <is>
          <t>PS</t>
        </is>
      </c>
      <c r="N1846" s="3" t="inlineStr">
        <is>
          <t>Cold Soldering</t>
        </is>
      </c>
      <c r="O1846" s="56" t="n">
        <v>575</v>
      </c>
      <c r="P1846" s="46" t="inlineStr">
        <is>
          <t>NSMI24070179660</t>
        </is>
      </c>
      <c r="Q1846" s="54">
        <f>MID(P1846,5,2)</f>
        <v/>
      </c>
      <c r="R1846" s="53">
        <f>MID(P1846,7,2)</f>
        <v/>
      </c>
      <c r="S1846" s="3" t="inlineStr">
        <is>
          <t>G2G</t>
        </is>
      </c>
      <c r="T1846" s="3" t="inlineStr">
        <is>
          <t>P4</t>
        </is>
      </c>
      <c r="U1846" s="19" t="inlineStr">
        <is>
          <t>P JB Cold Soldering</t>
        </is>
      </c>
      <c r="V1846" s="19" t="inlineStr">
        <is>
          <t>Soldering</t>
        </is>
      </c>
      <c r="W1846" s="3" t="inlineStr">
        <is>
          <t>Repair</t>
        </is>
      </c>
      <c r="X1846" s="18" t="n">
        <v>46165</v>
      </c>
      <c r="Y1846" s="3">
        <f>X1846-A1846</f>
        <v/>
      </c>
      <c r="Z1846" s="18" t="n">
        <v>46165</v>
      </c>
      <c r="AA1846" s="15" t="n"/>
      <c r="AB1846" s="15" t="n"/>
    </row>
    <row r="1847">
      <c r="A1847" s="37" t="n">
        <v>46143</v>
      </c>
      <c r="B1847" s="3" t="n">
        <v>2026</v>
      </c>
      <c r="C1847" s="26" t="inlineStr">
        <is>
          <t>Yanara Power</t>
        </is>
      </c>
      <c r="D1847" s="3" t="inlineStr">
        <is>
          <t>Utility and C&amp;I</t>
        </is>
      </c>
      <c r="E1847" s="3" t="n"/>
      <c r="F1847" s="3" t="inlineStr">
        <is>
          <t>Closed</t>
        </is>
      </c>
      <c r="G1847" s="9" t="inlineStr">
        <is>
          <t xml:space="preserve">Ashish Jindal </t>
        </is>
      </c>
      <c r="H1847" s="26" t="n">
        <v>9983975581</v>
      </c>
      <c r="I1847" s="38" t="inlineStr">
        <is>
          <t>PE01052601</t>
        </is>
      </c>
      <c r="J1847" s="26" t="inlineStr">
        <is>
          <t>Multiple Issues</t>
        </is>
      </c>
      <c r="K1847" s="39" t="inlineStr">
        <is>
          <t>Holi</t>
        </is>
      </c>
      <c r="L1847" s="39" t="inlineStr">
        <is>
          <t>Maharashtra</t>
        </is>
      </c>
      <c r="M1847" s="46" t="inlineStr">
        <is>
          <t>NS</t>
        </is>
      </c>
      <c r="N1847" s="3" t="inlineStr">
        <is>
          <t>Cold Soldering</t>
        </is>
      </c>
      <c r="O1847" s="56" t="n">
        <v>575</v>
      </c>
      <c r="P1847" s="46" t="inlineStr">
        <is>
          <t>NSMI24070179663</t>
        </is>
      </c>
      <c r="Q1847" s="54">
        <f>MID(P1847,5,2)</f>
        <v/>
      </c>
      <c r="R1847" s="53">
        <f>MID(P1847,7,2)</f>
        <v/>
      </c>
      <c r="S1847" s="3" t="inlineStr">
        <is>
          <t>G2G</t>
        </is>
      </c>
      <c r="T1847" s="3" t="inlineStr">
        <is>
          <t>P4</t>
        </is>
      </c>
      <c r="U1847" s="3" t="inlineStr">
        <is>
          <t>N JB Cold Soldering</t>
        </is>
      </c>
      <c r="V1847" s="3" t="inlineStr">
        <is>
          <t>Soldering</t>
        </is>
      </c>
      <c r="W1847" s="3" t="inlineStr">
        <is>
          <t>Repair</t>
        </is>
      </c>
      <c r="X1847" s="18" t="n">
        <v>46165</v>
      </c>
      <c r="Y1847" s="3">
        <f>X1847-A1847</f>
        <v/>
      </c>
      <c r="Z1847" s="18" t="n">
        <v>46165</v>
      </c>
      <c r="AA1847" s="15" t="n"/>
      <c r="AB1847" s="15" t="n"/>
    </row>
    <row r="1848">
      <c r="A1848" s="37" t="n">
        <v>46143</v>
      </c>
      <c r="B1848" s="3" t="n">
        <v>2026</v>
      </c>
      <c r="C1848" s="26" t="inlineStr">
        <is>
          <t>Yanara Power</t>
        </is>
      </c>
      <c r="D1848" s="3" t="inlineStr">
        <is>
          <t>Utility and C&amp;I</t>
        </is>
      </c>
      <c r="E1848" s="3" t="n"/>
      <c r="F1848" s="3" t="inlineStr">
        <is>
          <t>Closed</t>
        </is>
      </c>
      <c r="G1848" s="9" t="inlineStr">
        <is>
          <t xml:space="preserve">Ashish Jindal </t>
        </is>
      </c>
      <c r="H1848" s="26" t="n">
        <v>9983975581</v>
      </c>
      <c r="I1848" s="38" t="inlineStr">
        <is>
          <t>PE01052601</t>
        </is>
      </c>
      <c r="J1848" s="26" t="inlineStr">
        <is>
          <t>Multiple Issues</t>
        </is>
      </c>
      <c r="K1848" s="39" t="inlineStr">
        <is>
          <t>Holi</t>
        </is>
      </c>
      <c r="L1848" s="39" t="inlineStr">
        <is>
          <t>Maharashtra</t>
        </is>
      </c>
      <c r="M1848" s="46" t="inlineStr">
        <is>
          <t>NS</t>
        </is>
      </c>
      <c r="N1848" s="3" t="inlineStr">
        <is>
          <t>Cold Soldering</t>
        </is>
      </c>
      <c r="O1848" s="56" t="n">
        <v>575</v>
      </c>
      <c r="P1848" s="46" t="inlineStr">
        <is>
          <t>NSMI24070198013</t>
        </is>
      </c>
      <c r="Q1848" s="54">
        <f>MID(P1848,5,2)</f>
        <v/>
      </c>
      <c r="R1848" s="53">
        <f>MID(P1848,7,2)</f>
        <v/>
      </c>
      <c r="S1848" s="3" t="inlineStr">
        <is>
          <t>G2G</t>
        </is>
      </c>
      <c r="T1848" s="3" t="inlineStr">
        <is>
          <t>P4</t>
        </is>
      </c>
      <c r="U1848" s="3" t="inlineStr">
        <is>
          <t>N JB Cold Soldering</t>
        </is>
      </c>
      <c r="V1848" s="3" t="inlineStr">
        <is>
          <t>Soldering</t>
        </is>
      </c>
      <c r="W1848" s="3" t="inlineStr">
        <is>
          <t>Repair</t>
        </is>
      </c>
      <c r="X1848" s="18" t="n">
        <v>46165</v>
      </c>
      <c r="Y1848" s="3">
        <f>X1848-A1848</f>
        <v/>
      </c>
      <c r="Z1848" s="18" t="n">
        <v>46165</v>
      </c>
      <c r="AA1848" s="15" t="n"/>
      <c r="AB1848" s="15" t="n"/>
    </row>
    <row r="1849">
      <c r="A1849" s="37" t="n">
        <v>46143</v>
      </c>
      <c r="B1849" s="3" t="n">
        <v>2026</v>
      </c>
      <c r="C1849" s="26" t="inlineStr">
        <is>
          <t>Yanara Power</t>
        </is>
      </c>
      <c r="D1849" s="3" t="inlineStr">
        <is>
          <t>Utility and C&amp;I</t>
        </is>
      </c>
      <c r="E1849" s="3" t="n"/>
      <c r="F1849" s="3" t="inlineStr">
        <is>
          <t>Closed</t>
        </is>
      </c>
      <c r="G1849" s="9" t="inlineStr">
        <is>
          <t xml:space="preserve">Ashish Jindal </t>
        </is>
      </c>
      <c r="H1849" s="26" t="n">
        <v>9983975581</v>
      </c>
      <c r="I1849" s="38" t="inlineStr">
        <is>
          <t>PE01052601</t>
        </is>
      </c>
      <c r="J1849" s="26" t="inlineStr">
        <is>
          <t>Multiple Issues</t>
        </is>
      </c>
      <c r="K1849" s="39" t="inlineStr">
        <is>
          <t>Holi</t>
        </is>
      </c>
      <c r="L1849" s="39" t="inlineStr">
        <is>
          <t>Maharashtra</t>
        </is>
      </c>
      <c r="M1849" s="46" t="inlineStr">
        <is>
          <t>PS</t>
        </is>
      </c>
      <c r="N1849" s="3" t="inlineStr">
        <is>
          <t>Cold Soldering</t>
        </is>
      </c>
      <c r="O1849" s="56" t="n">
        <v>575</v>
      </c>
      <c r="P1849" s="46" t="inlineStr">
        <is>
          <t>NSMI24070177876</t>
        </is>
      </c>
      <c r="Q1849" s="54">
        <f>MID(P1849,5,2)</f>
        <v/>
      </c>
      <c r="R1849" s="53">
        <f>MID(P1849,7,2)</f>
        <v/>
      </c>
      <c r="S1849" s="3" t="inlineStr">
        <is>
          <t>G2G</t>
        </is>
      </c>
      <c r="T1849" s="3" t="inlineStr">
        <is>
          <t>P4</t>
        </is>
      </c>
      <c r="U1849" s="19" t="inlineStr">
        <is>
          <t>P JB Cold Soldering</t>
        </is>
      </c>
      <c r="V1849" s="19" t="inlineStr">
        <is>
          <t>Soldering</t>
        </is>
      </c>
      <c r="W1849" s="3" t="inlineStr">
        <is>
          <t>Repair</t>
        </is>
      </c>
      <c r="X1849" s="18" t="n">
        <v>46165</v>
      </c>
      <c r="Y1849" s="3">
        <f>X1849-A1849</f>
        <v/>
      </c>
      <c r="Z1849" s="18" t="n">
        <v>46165</v>
      </c>
      <c r="AA1849" s="15" t="n"/>
      <c r="AB1849" s="15" t="n"/>
    </row>
    <row r="1850">
      <c r="A1850" s="37" t="n">
        <v>46143</v>
      </c>
      <c r="B1850" s="3" t="n">
        <v>2026</v>
      </c>
      <c r="C1850" s="26" t="inlineStr">
        <is>
          <t>Yanara Power</t>
        </is>
      </c>
      <c r="D1850" s="3" t="inlineStr">
        <is>
          <t>Utility and C&amp;I</t>
        </is>
      </c>
      <c r="E1850" s="3" t="n"/>
      <c r="F1850" s="3" t="inlineStr">
        <is>
          <t>Closed</t>
        </is>
      </c>
      <c r="G1850" s="9" t="inlineStr">
        <is>
          <t xml:space="preserve">Ashish Jindal </t>
        </is>
      </c>
      <c r="H1850" s="26" t="n">
        <v>9983975581</v>
      </c>
      <c r="I1850" s="38" t="inlineStr">
        <is>
          <t>PE01052601</t>
        </is>
      </c>
      <c r="J1850" s="26" t="inlineStr">
        <is>
          <t>Multiple Issues</t>
        </is>
      </c>
      <c r="K1850" s="39" t="inlineStr">
        <is>
          <t>Holi</t>
        </is>
      </c>
      <c r="L1850" s="39" t="inlineStr">
        <is>
          <t>Maharashtra</t>
        </is>
      </c>
      <c r="M1850" s="46" t="inlineStr">
        <is>
          <t>PS</t>
        </is>
      </c>
      <c r="N1850" s="3" t="inlineStr">
        <is>
          <t>Cold Soldering</t>
        </is>
      </c>
      <c r="O1850" s="56" t="n">
        <v>575</v>
      </c>
      <c r="P1850" s="46" t="inlineStr">
        <is>
          <t>NSMI24070180666</t>
        </is>
      </c>
      <c r="Q1850" s="54">
        <f>MID(P1850,5,2)</f>
        <v/>
      </c>
      <c r="R1850" s="53">
        <f>MID(P1850,7,2)</f>
        <v/>
      </c>
      <c r="S1850" s="3" t="inlineStr">
        <is>
          <t>G2G</t>
        </is>
      </c>
      <c r="T1850" s="3" t="inlineStr">
        <is>
          <t>P4</t>
        </is>
      </c>
      <c r="U1850" s="19" t="inlineStr">
        <is>
          <t>P JB Cold Soldering</t>
        </is>
      </c>
      <c r="V1850" s="19" t="inlineStr">
        <is>
          <t>Soldering</t>
        </is>
      </c>
      <c r="W1850" s="3" t="inlineStr">
        <is>
          <t>Repair</t>
        </is>
      </c>
      <c r="X1850" s="18" t="n">
        <v>46165</v>
      </c>
      <c r="Y1850" s="3">
        <f>X1850-A1850</f>
        <v/>
      </c>
      <c r="Z1850" s="18" t="n">
        <v>46165</v>
      </c>
      <c r="AA1850" s="15" t="n"/>
      <c r="AB1850" s="15" t="n"/>
    </row>
    <row r="1851">
      <c r="A1851" s="37" t="n">
        <v>46143</v>
      </c>
      <c r="B1851" s="3" t="n">
        <v>2026</v>
      </c>
      <c r="C1851" s="26" t="inlineStr">
        <is>
          <t>Yanara Power</t>
        </is>
      </c>
      <c r="D1851" s="3" t="inlineStr">
        <is>
          <t>Utility and C&amp;I</t>
        </is>
      </c>
      <c r="E1851" s="3" t="n"/>
      <c r="F1851" s="3" t="inlineStr">
        <is>
          <t>Closed</t>
        </is>
      </c>
      <c r="G1851" s="9" t="inlineStr">
        <is>
          <t xml:space="preserve">Ashish Jindal </t>
        </is>
      </c>
      <c r="H1851" s="26" t="n">
        <v>9983975581</v>
      </c>
      <c r="I1851" s="38" t="inlineStr">
        <is>
          <t>PE01052601</t>
        </is>
      </c>
      <c r="J1851" s="26" t="inlineStr">
        <is>
          <t>Multiple Issues</t>
        </is>
      </c>
      <c r="K1851" s="39" t="inlineStr">
        <is>
          <t>Holi</t>
        </is>
      </c>
      <c r="L1851" s="39" t="inlineStr">
        <is>
          <t>Maharashtra</t>
        </is>
      </c>
      <c r="M1851" s="46" t="inlineStr">
        <is>
          <t>PS</t>
        </is>
      </c>
      <c r="N1851" s="3" t="inlineStr">
        <is>
          <t>Cold Soldering</t>
        </is>
      </c>
      <c r="O1851" s="56" t="n">
        <v>575</v>
      </c>
      <c r="P1851" s="46" t="inlineStr">
        <is>
          <t>NSMI24070179617</t>
        </is>
      </c>
      <c r="Q1851" s="54">
        <f>MID(P1851,5,2)</f>
        <v/>
      </c>
      <c r="R1851" s="53">
        <f>MID(P1851,7,2)</f>
        <v/>
      </c>
      <c r="S1851" s="3" t="inlineStr">
        <is>
          <t>G2G</t>
        </is>
      </c>
      <c r="T1851" s="3" t="inlineStr">
        <is>
          <t>P4</t>
        </is>
      </c>
      <c r="U1851" s="19" t="inlineStr">
        <is>
          <t>P JB Cold Soldering</t>
        </is>
      </c>
      <c r="V1851" s="19" t="inlineStr">
        <is>
          <t>Soldering</t>
        </is>
      </c>
      <c r="W1851" s="3" t="inlineStr">
        <is>
          <t>Repair</t>
        </is>
      </c>
      <c r="X1851" s="18" t="n">
        <v>46165</v>
      </c>
      <c r="Y1851" s="3">
        <f>X1851-A1851</f>
        <v/>
      </c>
      <c r="Z1851" s="18" t="n">
        <v>46165</v>
      </c>
      <c r="AA1851" s="15" t="n"/>
      <c r="AB1851" s="15" t="n"/>
    </row>
    <row r="1852">
      <c r="A1852" s="37" t="n">
        <v>46143</v>
      </c>
      <c r="B1852" s="3" t="n">
        <v>2026</v>
      </c>
      <c r="C1852" s="26" t="inlineStr">
        <is>
          <t>Yanara Power</t>
        </is>
      </c>
      <c r="D1852" s="3" t="inlineStr">
        <is>
          <t>Utility and C&amp;I</t>
        </is>
      </c>
      <c r="E1852" s="3" t="n"/>
      <c r="F1852" s="3" t="inlineStr">
        <is>
          <t>Closed</t>
        </is>
      </c>
      <c r="G1852" s="9" t="inlineStr">
        <is>
          <t xml:space="preserve">Ashish Jindal </t>
        </is>
      </c>
      <c r="H1852" s="26" t="n">
        <v>9983975581</v>
      </c>
      <c r="I1852" s="38" t="inlineStr">
        <is>
          <t>PE01052601</t>
        </is>
      </c>
      <c r="J1852" s="26" t="inlineStr">
        <is>
          <t>Multiple Issues</t>
        </is>
      </c>
      <c r="K1852" s="39" t="inlineStr">
        <is>
          <t>Holi</t>
        </is>
      </c>
      <c r="L1852" s="39" t="inlineStr">
        <is>
          <t>Maharashtra</t>
        </is>
      </c>
      <c r="M1852" s="46" t="inlineStr">
        <is>
          <t>PS</t>
        </is>
      </c>
      <c r="N1852" s="3" t="inlineStr">
        <is>
          <t>Cold Soldering</t>
        </is>
      </c>
      <c r="O1852" s="56" t="n">
        <v>575</v>
      </c>
      <c r="P1852" s="46" t="inlineStr">
        <is>
          <t>NSMI24070198871</t>
        </is>
      </c>
      <c r="Q1852" s="54">
        <f>MID(P1852,5,2)</f>
        <v/>
      </c>
      <c r="R1852" s="53">
        <f>MID(P1852,7,2)</f>
        <v/>
      </c>
      <c r="S1852" s="3" t="inlineStr">
        <is>
          <t>G2G</t>
        </is>
      </c>
      <c r="T1852" s="3" t="inlineStr">
        <is>
          <t>P4</t>
        </is>
      </c>
      <c r="U1852" s="19" t="inlineStr">
        <is>
          <t>P JB Cold Soldering</t>
        </is>
      </c>
      <c r="V1852" s="19" t="inlineStr">
        <is>
          <t>Soldering</t>
        </is>
      </c>
      <c r="W1852" s="3" t="inlineStr">
        <is>
          <t>Repair</t>
        </is>
      </c>
      <c r="X1852" s="18" t="n">
        <v>46165</v>
      </c>
      <c r="Y1852" s="3">
        <f>X1852-A1852</f>
        <v/>
      </c>
      <c r="Z1852" s="18" t="n">
        <v>46165</v>
      </c>
      <c r="AA1852" s="15" t="n"/>
      <c r="AB1852" s="15" t="n"/>
    </row>
    <row r="1853">
      <c r="A1853" s="37" t="n">
        <v>46143</v>
      </c>
      <c r="B1853" s="3" t="n">
        <v>2026</v>
      </c>
      <c r="C1853" s="26" t="inlineStr">
        <is>
          <t>Yanara Power</t>
        </is>
      </c>
      <c r="D1853" s="3" t="inlineStr">
        <is>
          <t>Utility and C&amp;I</t>
        </is>
      </c>
      <c r="E1853" s="3" t="n"/>
      <c r="F1853" s="3" t="inlineStr">
        <is>
          <t>Closed</t>
        </is>
      </c>
      <c r="G1853" s="9" t="inlineStr">
        <is>
          <t xml:space="preserve">Ashish Jindal </t>
        </is>
      </c>
      <c r="H1853" s="26" t="n">
        <v>9983975581</v>
      </c>
      <c r="I1853" s="38" t="inlineStr">
        <is>
          <t>PE01052601</t>
        </is>
      </c>
      <c r="J1853" s="26" t="inlineStr">
        <is>
          <t>Multiple Issues</t>
        </is>
      </c>
      <c r="K1853" s="39" t="inlineStr">
        <is>
          <t>Holi</t>
        </is>
      </c>
      <c r="L1853" s="39" t="inlineStr">
        <is>
          <t>Maharashtra</t>
        </is>
      </c>
      <c r="M1853" s="46" t="inlineStr">
        <is>
          <t>NS</t>
        </is>
      </c>
      <c r="N1853" s="3" t="inlineStr">
        <is>
          <t>Cold Soldering</t>
        </is>
      </c>
      <c r="O1853" s="56" t="n">
        <v>575</v>
      </c>
      <c r="P1853" s="46" t="inlineStr">
        <is>
          <t>NSMI24070198838</t>
        </is>
      </c>
      <c r="Q1853" s="54">
        <f>MID(P1853,5,2)</f>
        <v/>
      </c>
      <c r="R1853" s="53">
        <f>MID(P1853,7,2)</f>
        <v/>
      </c>
      <c r="S1853" s="3" t="inlineStr">
        <is>
          <t>G2G</t>
        </is>
      </c>
      <c r="T1853" s="3" t="inlineStr">
        <is>
          <t>P4</t>
        </is>
      </c>
      <c r="U1853" s="3" t="inlineStr">
        <is>
          <t>N JB Cold Soldering</t>
        </is>
      </c>
      <c r="V1853" s="3" t="inlineStr">
        <is>
          <t>Soldering</t>
        </is>
      </c>
      <c r="W1853" s="3" t="inlineStr">
        <is>
          <t>Repair</t>
        </is>
      </c>
      <c r="X1853" s="18" t="n">
        <v>46165</v>
      </c>
      <c r="Y1853" s="3">
        <f>X1853-A1853</f>
        <v/>
      </c>
      <c r="Z1853" s="18" t="n">
        <v>46165</v>
      </c>
      <c r="AA1853" s="15" t="n"/>
      <c r="AB1853" s="15" t="n"/>
    </row>
    <row r="1854">
      <c r="A1854" s="37" t="n">
        <v>46143</v>
      </c>
      <c r="B1854" s="3" t="n">
        <v>2026</v>
      </c>
      <c r="C1854" s="26" t="inlineStr">
        <is>
          <t>Yanara Power</t>
        </is>
      </c>
      <c r="D1854" s="3" t="inlineStr">
        <is>
          <t>Utility and C&amp;I</t>
        </is>
      </c>
      <c r="E1854" s="3" t="n"/>
      <c r="F1854" s="3" t="inlineStr">
        <is>
          <t>Closed</t>
        </is>
      </c>
      <c r="G1854" s="9" t="inlineStr">
        <is>
          <t xml:space="preserve">Ashish Jindal </t>
        </is>
      </c>
      <c r="H1854" s="26" t="n">
        <v>9983975581</v>
      </c>
      <c r="I1854" s="38" t="inlineStr">
        <is>
          <t>PE01052601</t>
        </is>
      </c>
      <c r="J1854" s="26" t="inlineStr">
        <is>
          <t>Multiple Issues</t>
        </is>
      </c>
      <c r="K1854" s="39" t="inlineStr">
        <is>
          <t>Holi</t>
        </is>
      </c>
      <c r="L1854" s="39" t="inlineStr">
        <is>
          <t>Maharashtra</t>
        </is>
      </c>
      <c r="M1854" s="46" t="inlineStr">
        <is>
          <t>PS</t>
        </is>
      </c>
      <c r="N1854" s="3" t="inlineStr">
        <is>
          <t>Cold Soldering</t>
        </is>
      </c>
      <c r="O1854" s="56" t="n">
        <v>575</v>
      </c>
      <c r="P1854" s="46" t="inlineStr">
        <is>
          <t>NSMI24070214598</t>
        </is>
      </c>
      <c r="Q1854" s="54">
        <f>MID(P1854,5,2)</f>
        <v/>
      </c>
      <c r="R1854" s="53">
        <f>MID(P1854,7,2)</f>
        <v/>
      </c>
      <c r="S1854" s="3" t="inlineStr">
        <is>
          <t>G2G</t>
        </is>
      </c>
      <c r="T1854" s="3" t="inlineStr">
        <is>
          <t>P4</t>
        </is>
      </c>
      <c r="U1854" s="19" t="inlineStr">
        <is>
          <t>P JB Cold Soldering</t>
        </is>
      </c>
      <c r="V1854" s="19" t="inlineStr">
        <is>
          <t>Soldering</t>
        </is>
      </c>
      <c r="W1854" s="3" t="inlineStr">
        <is>
          <t>Repair</t>
        </is>
      </c>
      <c r="X1854" s="18" t="n">
        <v>46165</v>
      </c>
      <c r="Y1854" s="3">
        <f>X1854-A1854</f>
        <v/>
      </c>
      <c r="Z1854" s="18" t="n">
        <v>46165</v>
      </c>
      <c r="AA1854" s="15" t="n"/>
      <c r="AB1854" s="15" t="n"/>
    </row>
    <row r="1855">
      <c r="A1855" s="37" t="n">
        <v>46143</v>
      </c>
      <c r="B1855" s="3" t="n">
        <v>2026</v>
      </c>
      <c r="C1855" s="26" t="inlineStr">
        <is>
          <t>Yanara Power</t>
        </is>
      </c>
      <c r="D1855" s="3" t="inlineStr">
        <is>
          <t>Utility and C&amp;I</t>
        </is>
      </c>
      <c r="E1855" s="3" t="n"/>
      <c r="F1855" s="3" t="inlineStr">
        <is>
          <t>Closed</t>
        </is>
      </c>
      <c r="G1855" s="9" t="inlineStr">
        <is>
          <t xml:space="preserve">Ashish Jindal </t>
        </is>
      </c>
      <c r="H1855" s="26" t="n">
        <v>9983975581</v>
      </c>
      <c r="I1855" s="38" t="inlineStr">
        <is>
          <t>PE01052601</t>
        </is>
      </c>
      <c r="J1855" s="26" t="inlineStr">
        <is>
          <t>Multiple Issues</t>
        </is>
      </c>
      <c r="K1855" s="39" t="inlineStr">
        <is>
          <t>Holi</t>
        </is>
      </c>
      <c r="L1855" s="39" t="inlineStr">
        <is>
          <t>Maharashtra</t>
        </is>
      </c>
      <c r="M1855" s="46" t="inlineStr">
        <is>
          <t>PNS</t>
        </is>
      </c>
      <c r="N1855" s="3" t="inlineStr">
        <is>
          <t>Cold Soldering</t>
        </is>
      </c>
      <c r="O1855" s="56" t="n">
        <v>575</v>
      </c>
      <c r="P1855" s="46" t="inlineStr">
        <is>
          <t>NSMI24070218613</t>
        </is>
      </c>
      <c r="Q1855" s="54">
        <f>MID(P1855,5,2)</f>
        <v/>
      </c>
      <c r="R1855" s="53">
        <f>MID(P1855,7,2)</f>
        <v/>
      </c>
      <c r="S1855" s="3" t="inlineStr">
        <is>
          <t>G2G</t>
        </is>
      </c>
      <c r="T1855" s="3" t="inlineStr">
        <is>
          <t>P4</t>
        </is>
      </c>
      <c r="U1855" s="3" t="inlineStr">
        <is>
          <t>P &amp; N JB Cold Soldering</t>
        </is>
      </c>
      <c r="V1855" s="3" t="inlineStr">
        <is>
          <t>Soldering</t>
        </is>
      </c>
      <c r="W1855" s="3" t="inlineStr">
        <is>
          <t>Repair</t>
        </is>
      </c>
      <c r="X1855" s="18" t="n">
        <v>46165</v>
      </c>
      <c r="Y1855" s="3">
        <f>X1855-A1855</f>
        <v/>
      </c>
      <c r="Z1855" s="18" t="n">
        <v>46165</v>
      </c>
      <c r="AA1855" s="15" t="n"/>
      <c r="AB1855" s="15" t="n"/>
    </row>
    <row r="1856">
      <c r="A1856" s="37" t="n">
        <v>46143</v>
      </c>
      <c r="B1856" s="3" t="n">
        <v>2026</v>
      </c>
      <c r="C1856" s="26" t="inlineStr">
        <is>
          <t>Yanara Power</t>
        </is>
      </c>
      <c r="D1856" s="3" t="inlineStr">
        <is>
          <t>Utility and C&amp;I</t>
        </is>
      </c>
      <c r="E1856" s="3" t="n"/>
      <c r="F1856" s="3" t="inlineStr">
        <is>
          <t>Closed</t>
        </is>
      </c>
      <c r="G1856" s="9" t="inlineStr">
        <is>
          <t xml:space="preserve">Ashish Jindal </t>
        </is>
      </c>
      <c r="H1856" s="26" t="n">
        <v>9983975581</v>
      </c>
      <c r="I1856" s="38" t="inlineStr">
        <is>
          <t>PE01052601</t>
        </is>
      </c>
      <c r="J1856" s="26" t="inlineStr">
        <is>
          <t>Multiple Issues</t>
        </is>
      </c>
      <c r="K1856" s="39" t="inlineStr">
        <is>
          <t>Holi</t>
        </is>
      </c>
      <c r="L1856" s="39" t="inlineStr">
        <is>
          <t>Maharashtra</t>
        </is>
      </c>
      <c r="M1856" s="46" t="inlineStr">
        <is>
          <t>PS</t>
        </is>
      </c>
      <c r="N1856" s="3" t="inlineStr">
        <is>
          <t>Cold Soldering</t>
        </is>
      </c>
      <c r="O1856" s="56" t="n">
        <v>575</v>
      </c>
      <c r="P1856" s="46" t="inlineStr">
        <is>
          <t>NSM124070221203</t>
        </is>
      </c>
      <c r="Q1856" s="54">
        <f>MID(P1856,5,2)</f>
        <v/>
      </c>
      <c r="R1856" s="53">
        <f>MID(P1856,7,2)</f>
        <v/>
      </c>
      <c r="S1856" s="3" t="inlineStr">
        <is>
          <t>G2G</t>
        </is>
      </c>
      <c r="T1856" s="3" t="inlineStr">
        <is>
          <t>P4</t>
        </is>
      </c>
      <c r="U1856" s="19" t="inlineStr">
        <is>
          <t>P JB Cold Soldering</t>
        </is>
      </c>
      <c r="V1856" s="19" t="inlineStr">
        <is>
          <t>Soldering</t>
        </is>
      </c>
      <c r="W1856" s="3" t="inlineStr">
        <is>
          <t>Repair</t>
        </is>
      </c>
      <c r="X1856" s="18" t="n">
        <v>46165</v>
      </c>
      <c r="Y1856" s="3">
        <f>X1856-A1856</f>
        <v/>
      </c>
      <c r="Z1856" s="18" t="n">
        <v>46165</v>
      </c>
      <c r="AA1856" s="15" t="n"/>
      <c r="AB1856" s="15" t="n"/>
    </row>
    <row r="1857">
      <c r="A1857" s="37" t="n">
        <v>46143</v>
      </c>
      <c r="B1857" s="3" t="n">
        <v>2026</v>
      </c>
      <c r="C1857" s="26" t="inlineStr">
        <is>
          <t>Yanara Power</t>
        </is>
      </c>
      <c r="D1857" s="3" t="inlineStr">
        <is>
          <t>Utility and C&amp;I</t>
        </is>
      </c>
      <c r="E1857" s="3" t="n"/>
      <c r="F1857" s="3" t="inlineStr">
        <is>
          <t>Closed</t>
        </is>
      </c>
      <c r="G1857" s="9" t="inlineStr">
        <is>
          <t xml:space="preserve">Ashish Jindal </t>
        </is>
      </c>
      <c r="H1857" s="26" t="n">
        <v>9983975581</v>
      </c>
      <c r="I1857" s="38" t="inlineStr">
        <is>
          <t>PE01052601</t>
        </is>
      </c>
      <c r="J1857" s="26" t="inlineStr">
        <is>
          <t>Multiple Issues</t>
        </is>
      </c>
      <c r="K1857" s="39" t="inlineStr">
        <is>
          <t>Holi</t>
        </is>
      </c>
      <c r="L1857" s="39" t="inlineStr">
        <is>
          <t>Maharashtra</t>
        </is>
      </c>
      <c r="M1857" s="46" t="inlineStr">
        <is>
          <t>PS</t>
        </is>
      </c>
      <c r="N1857" s="3" t="inlineStr">
        <is>
          <t>Cold Soldering</t>
        </is>
      </c>
      <c r="O1857" s="56" t="n">
        <v>575</v>
      </c>
      <c r="P1857" s="46" t="inlineStr">
        <is>
          <t>NSMI24070221197</t>
        </is>
      </c>
      <c r="Q1857" s="54">
        <f>MID(P1857,5,2)</f>
        <v/>
      </c>
      <c r="R1857" s="53">
        <f>MID(P1857,7,2)</f>
        <v/>
      </c>
      <c r="S1857" s="3" t="inlineStr">
        <is>
          <t>G2G</t>
        </is>
      </c>
      <c r="T1857" s="3" t="inlineStr">
        <is>
          <t>P4</t>
        </is>
      </c>
      <c r="U1857" s="19" t="inlineStr">
        <is>
          <t>P JB Cold Soldering</t>
        </is>
      </c>
      <c r="V1857" s="19" t="inlineStr">
        <is>
          <t>Soldering</t>
        </is>
      </c>
      <c r="W1857" s="3" t="inlineStr">
        <is>
          <t>Repair</t>
        </is>
      </c>
      <c r="X1857" s="18" t="n">
        <v>46165</v>
      </c>
      <c r="Y1857" s="3">
        <f>X1857-A1857</f>
        <v/>
      </c>
      <c r="Z1857" s="18" t="n">
        <v>46165</v>
      </c>
      <c r="AA1857" s="15" t="n"/>
      <c r="AB1857" s="15" t="n"/>
    </row>
    <row r="1858">
      <c r="A1858" s="37" t="n">
        <v>46143</v>
      </c>
      <c r="B1858" s="3" t="n">
        <v>2026</v>
      </c>
      <c r="C1858" s="26" t="inlineStr">
        <is>
          <t>Yanara Power</t>
        </is>
      </c>
      <c r="D1858" s="3" t="inlineStr">
        <is>
          <t>Utility and C&amp;I</t>
        </is>
      </c>
      <c r="E1858" s="3" t="n"/>
      <c r="F1858" s="3" t="inlineStr">
        <is>
          <t>Closed</t>
        </is>
      </c>
      <c r="G1858" s="9" t="inlineStr">
        <is>
          <t xml:space="preserve">Ashish Jindal </t>
        </is>
      </c>
      <c r="H1858" s="26" t="n">
        <v>9983975581</v>
      </c>
      <c r="I1858" s="38" t="inlineStr">
        <is>
          <t>PE01052601</t>
        </is>
      </c>
      <c r="J1858" s="26" t="inlineStr">
        <is>
          <t>Multiple Issues</t>
        </is>
      </c>
      <c r="K1858" s="39" t="inlineStr">
        <is>
          <t>Holi</t>
        </is>
      </c>
      <c r="L1858" s="39" t="inlineStr">
        <is>
          <t>Maharashtra</t>
        </is>
      </c>
      <c r="M1858" s="46" t="inlineStr">
        <is>
          <t>PS</t>
        </is>
      </c>
      <c r="N1858" s="3" t="inlineStr">
        <is>
          <t>Cold Soldering</t>
        </is>
      </c>
      <c r="O1858" s="56" t="n">
        <v>575</v>
      </c>
      <c r="P1858" s="46" t="inlineStr">
        <is>
          <t>NSMI24070221172</t>
        </is>
      </c>
      <c r="Q1858" s="54">
        <f>MID(P1858,5,2)</f>
        <v/>
      </c>
      <c r="R1858" s="53">
        <f>MID(P1858,7,2)</f>
        <v/>
      </c>
      <c r="S1858" s="3" t="inlineStr">
        <is>
          <t>G2G</t>
        </is>
      </c>
      <c r="T1858" s="3" t="inlineStr">
        <is>
          <t>P4</t>
        </is>
      </c>
      <c r="U1858" s="19" t="inlineStr">
        <is>
          <t>P JB Cold Soldering</t>
        </is>
      </c>
      <c r="V1858" s="19" t="inlineStr">
        <is>
          <t>Soldering</t>
        </is>
      </c>
      <c r="W1858" s="3" t="inlineStr">
        <is>
          <t>Repair</t>
        </is>
      </c>
      <c r="X1858" s="18" t="n">
        <v>46165</v>
      </c>
      <c r="Y1858" s="3">
        <f>X1858-A1858</f>
        <v/>
      </c>
      <c r="Z1858" s="18" t="n">
        <v>46165</v>
      </c>
      <c r="AA1858" s="15" t="n"/>
      <c r="AB1858" s="15" t="n"/>
    </row>
    <row r="1859">
      <c r="A1859" s="37" t="n">
        <v>46143</v>
      </c>
      <c r="B1859" s="3" t="n">
        <v>2026</v>
      </c>
      <c r="C1859" s="26" t="inlineStr">
        <is>
          <t>Yanara Power</t>
        </is>
      </c>
      <c r="D1859" s="3" t="inlineStr">
        <is>
          <t>Utility and C&amp;I</t>
        </is>
      </c>
      <c r="E1859" s="3" t="n"/>
      <c r="F1859" s="3" t="inlineStr">
        <is>
          <t>Closed</t>
        </is>
      </c>
      <c r="G1859" s="9" t="inlineStr">
        <is>
          <t xml:space="preserve">Ashish Jindal </t>
        </is>
      </c>
      <c r="H1859" s="26" t="n">
        <v>9983975581</v>
      </c>
      <c r="I1859" s="38" t="inlineStr">
        <is>
          <t>PE01052601</t>
        </is>
      </c>
      <c r="J1859" s="26" t="inlineStr">
        <is>
          <t>Multiple Issues</t>
        </is>
      </c>
      <c r="K1859" s="39" t="inlineStr">
        <is>
          <t>Holi</t>
        </is>
      </c>
      <c r="L1859" s="39" t="inlineStr">
        <is>
          <t>Maharashtra</t>
        </is>
      </c>
      <c r="M1859" s="46" t="inlineStr">
        <is>
          <t>NS</t>
        </is>
      </c>
      <c r="N1859" s="3" t="inlineStr">
        <is>
          <t>Cold Soldering</t>
        </is>
      </c>
      <c r="O1859" s="56" t="n">
        <v>575</v>
      </c>
      <c r="P1859" s="46" t="inlineStr">
        <is>
          <t>NSMI24070221171</t>
        </is>
      </c>
      <c r="Q1859" s="54">
        <f>MID(P1859,5,2)</f>
        <v/>
      </c>
      <c r="R1859" s="53">
        <f>MID(P1859,7,2)</f>
        <v/>
      </c>
      <c r="S1859" s="3" t="inlineStr">
        <is>
          <t>G2G</t>
        </is>
      </c>
      <c r="T1859" s="3" t="inlineStr">
        <is>
          <t>P4</t>
        </is>
      </c>
      <c r="U1859" s="3" t="inlineStr">
        <is>
          <t>N JB Cold Soldering</t>
        </is>
      </c>
      <c r="V1859" s="3" t="inlineStr">
        <is>
          <t>Soldering</t>
        </is>
      </c>
      <c r="W1859" s="3" t="inlineStr">
        <is>
          <t>Repair</t>
        </is>
      </c>
      <c r="X1859" s="18" t="n">
        <v>46165</v>
      </c>
      <c r="Y1859" s="3">
        <f>X1859-A1859</f>
        <v/>
      </c>
      <c r="Z1859" s="18" t="n">
        <v>46165</v>
      </c>
      <c r="AA1859" s="15" t="n"/>
      <c r="AB1859" s="15" t="n"/>
    </row>
    <row r="1860">
      <c r="A1860" s="37" t="n">
        <v>46143</v>
      </c>
      <c r="B1860" s="3" t="n">
        <v>2026</v>
      </c>
      <c r="C1860" s="26" t="inlineStr">
        <is>
          <t>Yanara Power</t>
        </is>
      </c>
      <c r="D1860" s="3" t="inlineStr">
        <is>
          <t>Utility and C&amp;I</t>
        </is>
      </c>
      <c r="E1860" s="3" t="n"/>
      <c r="F1860" s="3" t="inlineStr">
        <is>
          <t>Closed</t>
        </is>
      </c>
      <c r="G1860" s="9" t="inlineStr">
        <is>
          <t xml:space="preserve">Ashish Jindal </t>
        </is>
      </c>
      <c r="H1860" s="26" t="n">
        <v>9983975581</v>
      </c>
      <c r="I1860" s="38" t="inlineStr">
        <is>
          <t>PE01052601</t>
        </is>
      </c>
      <c r="J1860" s="26" t="inlineStr">
        <is>
          <t>Multiple Issues</t>
        </is>
      </c>
      <c r="K1860" s="39" t="inlineStr">
        <is>
          <t>Holi</t>
        </is>
      </c>
      <c r="L1860" s="39" t="inlineStr">
        <is>
          <t>Maharashtra</t>
        </is>
      </c>
      <c r="M1860" s="46" t="inlineStr">
        <is>
          <t>PS</t>
        </is>
      </c>
      <c r="N1860" s="3" t="inlineStr">
        <is>
          <t>Cold Soldering</t>
        </is>
      </c>
      <c r="O1860" s="56" t="n">
        <v>575</v>
      </c>
      <c r="P1860" s="46" t="inlineStr">
        <is>
          <t>NSMI24070219523</t>
        </is>
      </c>
      <c r="Q1860" s="54">
        <f>MID(P1860,5,2)</f>
        <v/>
      </c>
      <c r="R1860" s="53">
        <f>MID(P1860,7,2)</f>
        <v/>
      </c>
      <c r="S1860" s="3" t="inlineStr">
        <is>
          <t>G2G</t>
        </is>
      </c>
      <c r="T1860" s="3" t="inlineStr">
        <is>
          <t>P4</t>
        </is>
      </c>
      <c r="U1860" s="19" t="inlineStr">
        <is>
          <t>P JB Cold Soldering</t>
        </is>
      </c>
      <c r="V1860" s="19" t="inlineStr">
        <is>
          <t>Soldering</t>
        </is>
      </c>
      <c r="W1860" s="3" t="inlineStr">
        <is>
          <t>Repair</t>
        </is>
      </c>
      <c r="X1860" s="18" t="n">
        <v>46165</v>
      </c>
      <c r="Y1860" s="3">
        <f>X1860-A1860</f>
        <v/>
      </c>
      <c r="Z1860" s="18" t="n">
        <v>46165</v>
      </c>
      <c r="AA1860" s="15" t="n"/>
      <c r="AB1860" s="15" t="n"/>
    </row>
    <row r="1861">
      <c r="A1861" s="37" t="n">
        <v>46143</v>
      </c>
      <c r="B1861" s="3" t="n">
        <v>2026</v>
      </c>
      <c r="C1861" s="26" t="inlineStr">
        <is>
          <t>Yanara Power</t>
        </is>
      </c>
      <c r="D1861" s="3" t="inlineStr">
        <is>
          <t>Utility and C&amp;I</t>
        </is>
      </c>
      <c r="E1861" s="3" t="n"/>
      <c r="F1861" s="3" t="inlineStr">
        <is>
          <t>Closed</t>
        </is>
      </c>
      <c r="G1861" s="9" t="inlineStr">
        <is>
          <t xml:space="preserve">Ashish Jindal </t>
        </is>
      </c>
      <c r="H1861" s="26" t="n">
        <v>9983975581</v>
      </c>
      <c r="I1861" s="38" t="inlineStr">
        <is>
          <t>PE01052601</t>
        </is>
      </c>
      <c r="J1861" s="26" t="inlineStr">
        <is>
          <t>Multiple Issues</t>
        </is>
      </c>
      <c r="K1861" s="39" t="inlineStr">
        <is>
          <t>Holi</t>
        </is>
      </c>
      <c r="L1861" s="39" t="inlineStr">
        <is>
          <t>Maharashtra</t>
        </is>
      </c>
      <c r="M1861" s="46" t="inlineStr">
        <is>
          <t>PS</t>
        </is>
      </c>
      <c r="N1861" s="3" t="inlineStr">
        <is>
          <t>Cold Soldering</t>
        </is>
      </c>
      <c r="O1861" s="56" t="n">
        <v>575</v>
      </c>
      <c r="P1861" s="46" t="inlineStr">
        <is>
          <t>NSMI24070179190</t>
        </is>
      </c>
      <c r="Q1861" s="54">
        <f>MID(P1861,5,2)</f>
        <v/>
      </c>
      <c r="R1861" s="53">
        <f>MID(P1861,7,2)</f>
        <v/>
      </c>
      <c r="S1861" s="3" t="inlineStr">
        <is>
          <t>G2G</t>
        </is>
      </c>
      <c r="T1861" s="3" t="inlineStr">
        <is>
          <t>P4</t>
        </is>
      </c>
      <c r="U1861" s="19" t="inlineStr">
        <is>
          <t>P JB Cold Soldering</t>
        </is>
      </c>
      <c r="V1861" s="19" t="inlineStr">
        <is>
          <t>Soldering</t>
        </is>
      </c>
      <c r="W1861" s="3" t="inlineStr">
        <is>
          <t>Repair</t>
        </is>
      </c>
      <c r="X1861" s="18" t="n">
        <v>46165</v>
      </c>
      <c r="Y1861" s="3">
        <f>X1861-A1861</f>
        <v/>
      </c>
      <c r="Z1861" s="18" t="n">
        <v>46165</v>
      </c>
      <c r="AA1861" s="15" t="n"/>
      <c r="AB1861" s="15" t="n"/>
    </row>
    <row r="1862">
      <c r="A1862" s="37" t="n">
        <v>46143</v>
      </c>
      <c r="B1862" s="3" t="n">
        <v>2026</v>
      </c>
      <c r="C1862" s="26" t="inlineStr">
        <is>
          <t>Yanara Power</t>
        </is>
      </c>
      <c r="D1862" s="3" t="inlineStr">
        <is>
          <t>Utility and C&amp;I</t>
        </is>
      </c>
      <c r="E1862" s="3" t="n"/>
      <c r="F1862" s="3" t="inlineStr">
        <is>
          <t>Closed</t>
        </is>
      </c>
      <c r="G1862" s="9" t="inlineStr">
        <is>
          <t xml:space="preserve">Ashish Jindal </t>
        </is>
      </c>
      <c r="H1862" s="26" t="n">
        <v>9983975581</v>
      </c>
      <c r="I1862" s="38" t="inlineStr">
        <is>
          <t>PE01052601</t>
        </is>
      </c>
      <c r="J1862" s="26" t="inlineStr">
        <is>
          <t>Multiple Issues</t>
        </is>
      </c>
      <c r="K1862" s="39" t="inlineStr">
        <is>
          <t>Holi</t>
        </is>
      </c>
      <c r="L1862" s="39" t="inlineStr">
        <is>
          <t>Maharashtra</t>
        </is>
      </c>
      <c r="M1862" s="46" t="inlineStr">
        <is>
          <t>NS</t>
        </is>
      </c>
      <c r="N1862" s="3" t="inlineStr">
        <is>
          <t>Cold Soldering</t>
        </is>
      </c>
      <c r="O1862" s="56" t="n">
        <v>575</v>
      </c>
      <c r="P1862" s="46" t="inlineStr">
        <is>
          <t>NSMI24070195543</t>
        </is>
      </c>
      <c r="Q1862" s="54">
        <f>MID(P1862,5,2)</f>
        <v/>
      </c>
      <c r="R1862" s="53">
        <f>MID(P1862,7,2)</f>
        <v/>
      </c>
      <c r="S1862" s="3" t="inlineStr">
        <is>
          <t>G2G</t>
        </is>
      </c>
      <c r="T1862" s="3" t="inlineStr">
        <is>
          <t>P4</t>
        </is>
      </c>
      <c r="U1862" s="3" t="inlineStr">
        <is>
          <t>N JB Cold Soldering</t>
        </is>
      </c>
      <c r="V1862" s="3" t="inlineStr">
        <is>
          <t>Soldering</t>
        </is>
      </c>
      <c r="W1862" s="3" t="inlineStr">
        <is>
          <t>Repair</t>
        </is>
      </c>
      <c r="X1862" s="18" t="n">
        <v>46165</v>
      </c>
      <c r="Y1862" s="3">
        <f>X1862-A1862</f>
        <v/>
      </c>
      <c r="Z1862" s="18" t="n">
        <v>46165</v>
      </c>
      <c r="AA1862" s="15" t="n"/>
      <c r="AB1862" s="15" t="n"/>
    </row>
    <row r="1863">
      <c r="A1863" s="37" t="n">
        <v>46143</v>
      </c>
      <c r="B1863" s="3" t="n">
        <v>2026</v>
      </c>
      <c r="C1863" s="26" t="inlineStr">
        <is>
          <t>Yanara Power</t>
        </is>
      </c>
      <c r="D1863" s="3" t="inlineStr">
        <is>
          <t>Utility and C&amp;I</t>
        </is>
      </c>
      <c r="E1863" s="3" t="n"/>
      <c r="F1863" s="3" t="inlineStr">
        <is>
          <t>Closed</t>
        </is>
      </c>
      <c r="G1863" s="9" t="inlineStr">
        <is>
          <t xml:space="preserve">Ashish Jindal </t>
        </is>
      </c>
      <c r="H1863" s="26" t="n">
        <v>9983975581</v>
      </c>
      <c r="I1863" s="38" t="inlineStr">
        <is>
          <t>PE01052601</t>
        </is>
      </c>
      <c r="J1863" s="26" t="inlineStr">
        <is>
          <t>Multiple Issues</t>
        </is>
      </c>
      <c r="K1863" s="39" t="inlineStr">
        <is>
          <t>Holi</t>
        </is>
      </c>
      <c r="L1863" s="39" t="inlineStr">
        <is>
          <t>Maharashtra</t>
        </is>
      </c>
      <c r="M1863" s="46" t="inlineStr">
        <is>
          <t>NS</t>
        </is>
      </c>
      <c r="N1863" s="3" t="inlineStr">
        <is>
          <t>Cold Soldering</t>
        </is>
      </c>
      <c r="O1863" s="56" t="n">
        <v>575</v>
      </c>
      <c r="P1863" s="46" t="inlineStr">
        <is>
          <t>NSMI24070195570</t>
        </is>
      </c>
      <c r="Q1863" s="54">
        <f>MID(P1863,5,2)</f>
        <v/>
      </c>
      <c r="R1863" s="53">
        <f>MID(P1863,7,2)</f>
        <v/>
      </c>
      <c r="S1863" s="3" t="inlineStr">
        <is>
          <t>G2G</t>
        </is>
      </c>
      <c r="T1863" s="3" t="inlineStr">
        <is>
          <t>P4</t>
        </is>
      </c>
      <c r="U1863" s="3" t="inlineStr">
        <is>
          <t>N JB Cold Soldering</t>
        </is>
      </c>
      <c r="V1863" s="3" t="inlineStr">
        <is>
          <t>Soldering</t>
        </is>
      </c>
      <c r="W1863" s="3" t="inlineStr">
        <is>
          <t>Repair</t>
        </is>
      </c>
      <c r="X1863" s="18" t="n">
        <v>46165</v>
      </c>
      <c r="Y1863" s="3">
        <f>X1863-A1863</f>
        <v/>
      </c>
      <c r="Z1863" s="18" t="n">
        <v>46165</v>
      </c>
      <c r="AA1863" s="15" t="n"/>
      <c r="AB1863" s="15" t="n"/>
    </row>
    <row r="1864">
      <c r="A1864" s="37" t="n">
        <v>46143</v>
      </c>
      <c r="B1864" s="3" t="n">
        <v>2026</v>
      </c>
      <c r="C1864" s="26" t="inlineStr">
        <is>
          <t>Yanara Power</t>
        </is>
      </c>
      <c r="D1864" s="3" t="inlineStr">
        <is>
          <t>Utility and C&amp;I</t>
        </is>
      </c>
      <c r="E1864" s="3" t="n"/>
      <c r="F1864" s="3" t="inlineStr">
        <is>
          <t>Closed</t>
        </is>
      </c>
      <c r="G1864" s="9" t="inlineStr">
        <is>
          <t xml:space="preserve">Ashish Jindal </t>
        </is>
      </c>
      <c r="H1864" s="26" t="n">
        <v>9983975581</v>
      </c>
      <c r="I1864" s="38" t="inlineStr">
        <is>
          <t>PE01052601</t>
        </is>
      </c>
      <c r="J1864" s="26" t="inlineStr">
        <is>
          <t>Multiple Issues</t>
        </is>
      </c>
      <c r="K1864" s="39" t="inlineStr">
        <is>
          <t>Holi</t>
        </is>
      </c>
      <c r="L1864" s="39" t="inlineStr">
        <is>
          <t>Maharashtra</t>
        </is>
      </c>
      <c r="M1864" s="46" t="inlineStr">
        <is>
          <t>AR</t>
        </is>
      </c>
      <c r="N1864" s="3" t="inlineStr">
        <is>
          <t>JB Issue</t>
        </is>
      </c>
      <c r="O1864" s="56" t="n">
        <v>575</v>
      </c>
      <c r="P1864" s="46" t="inlineStr">
        <is>
          <t>NSMI24070177513</t>
        </is>
      </c>
      <c r="Q1864" s="54">
        <f>MID(P1864,5,2)</f>
        <v/>
      </c>
      <c r="R1864" s="53">
        <f>MID(P1864,7,2)</f>
        <v/>
      </c>
      <c r="S1864" s="3" t="inlineStr">
        <is>
          <t>G2G</t>
        </is>
      </c>
      <c r="T1864" s="3" t="inlineStr">
        <is>
          <t>P4</t>
        </is>
      </c>
      <c r="U1864" s="3" t="inlineStr">
        <is>
          <t>All JB Issue &amp; JB Reverse</t>
        </is>
      </c>
      <c r="V1864" s="15" t="inlineStr">
        <is>
          <t>JB Changed</t>
        </is>
      </c>
      <c r="W1864" s="3" t="inlineStr">
        <is>
          <t>Repair</t>
        </is>
      </c>
      <c r="X1864" s="18" t="n">
        <v>46165</v>
      </c>
      <c r="Y1864" s="3">
        <f>X1864-A1864</f>
        <v/>
      </c>
      <c r="Z1864" s="18" t="n">
        <v>46165</v>
      </c>
      <c r="AA1864" s="15" t="n"/>
      <c r="AB1864" s="15" t="n"/>
    </row>
    <row r="1865">
      <c r="A1865" s="37" t="n">
        <v>46143</v>
      </c>
      <c r="B1865" s="3" t="n">
        <v>2026</v>
      </c>
      <c r="C1865" s="26" t="inlineStr">
        <is>
          <t>Yanara Power</t>
        </is>
      </c>
      <c r="D1865" s="3" t="inlineStr">
        <is>
          <t>Utility and C&amp;I</t>
        </is>
      </c>
      <c r="E1865" s="3" t="n"/>
      <c r="F1865" s="3" t="inlineStr">
        <is>
          <t>Closed</t>
        </is>
      </c>
      <c r="G1865" s="9" t="inlineStr">
        <is>
          <t xml:space="preserve">Ashish Jindal </t>
        </is>
      </c>
      <c r="H1865" s="26" t="n">
        <v>9983975581</v>
      </c>
      <c r="I1865" s="38" t="inlineStr">
        <is>
          <t>PE01052601</t>
        </is>
      </c>
      <c r="J1865" s="26" t="inlineStr">
        <is>
          <t>Multiple Issues</t>
        </is>
      </c>
      <c r="K1865" s="39" t="inlineStr">
        <is>
          <t>Holi</t>
        </is>
      </c>
      <c r="L1865" s="39" t="inlineStr">
        <is>
          <t>Maharashtra</t>
        </is>
      </c>
      <c r="M1865" s="46" t="inlineStr">
        <is>
          <t>PS</t>
        </is>
      </c>
      <c r="N1865" s="3" t="inlineStr">
        <is>
          <t>Cold Soldering</t>
        </is>
      </c>
      <c r="O1865" s="56" t="n">
        <v>575</v>
      </c>
      <c r="P1865" s="46" t="inlineStr">
        <is>
          <t>NSMI24070177922</t>
        </is>
      </c>
      <c r="Q1865" s="54">
        <f>MID(P1865,5,2)</f>
        <v/>
      </c>
      <c r="R1865" s="53">
        <f>MID(P1865,7,2)</f>
        <v/>
      </c>
      <c r="S1865" s="3" t="inlineStr">
        <is>
          <t>G2G</t>
        </is>
      </c>
      <c r="T1865" s="3" t="inlineStr">
        <is>
          <t>P4</t>
        </is>
      </c>
      <c r="U1865" s="19" t="inlineStr">
        <is>
          <t>P JB Cold Soldering</t>
        </is>
      </c>
      <c r="V1865" s="19" t="inlineStr">
        <is>
          <t>Soldering</t>
        </is>
      </c>
      <c r="W1865" s="3" t="inlineStr">
        <is>
          <t>Repair</t>
        </is>
      </c>
      <c r="X1865" s="18" t="n">
        <v>46165</v>
      </c>
      <c r="Y1865" s="3">
        <f>X1865-A1865</f>
        <v/>
      </c>
      <c r="Z1865" s="18" t="n">
        <v>46165</v>
      </c>
      <c r="AA1865" s="15" t="n"/>
      <c r="AB1865" s="15" t="n"/>
    </row>
    <row r="1866">
      <c r="A1866" s="37" t="n">
        <v>46143</v>
      </c>
      <c r="B1866" s="3" t="n">
        <v>2026</v>
      </c>
      <c r="C1866" s="26" t="inlineStr">
        <is>
          <t>Yanara Power</t>
        </is>
      </c>
      <c r="D1866" s="3" t="inlineStr">
        <is>
          <t>Utility and C&amp;I</t>
        </is>
      </c>
      <c r="E1866" s="3" t="n"/>
      <c r="F1866" s="3" t="inlineStr">
        <is>
          <t>Closed</t>
        </is>
      </c>
      <c r="G1866" s="9" t="inlineStr">
        <is>
          <t xml:space="preserve">Ashish Jindal </t>
        </is>
      </c>
      <c r="H1866" s="26" t="n">
        <v>9983975581</v>
      </c>
      <c r="I1866" s="38" t="inlineStr">
        <is>
          <t>PE01052601</t>
        </is>
      </c>
      <c r="J1866" s="26" t="inlineStr">
        <is>
          <t>Multiple Issues</t>
        </is>
      </c>
      <c r="K1866" s="39" t="inlineStr">
        <is>
          <t>Holi</t>
        </is>
      </c>
      <c r="L1866" s="39" t="inlineStr">
        <is>
          <t>Maharashtra</t>
        </is>
      </c>
      <c r="M1866" s="46" t="inlineStr">
        <is>
          <t>PS</t>
        </is>
      </c>
      <c r="N1866" s="3" t="inlineStr">
        <is>
          <t>Cold Soldering</t>
        </is>
      </c>
      <c r="O1866" s="56" t="n">
        <v>575</v>
      </c>
      <c r="P1866" s="46" t="inlineStr">
        <is>
          <t>NSMI24070177914</t>
        </is>
      </c>
      <c r="Q1866" s="54">
        <f>MID(P1866,5,2)</f>
        <v/>
      </c>
      <c r="R1866" s="53">
        <f>MID(P1866,7,2)</f>
        <v/>
      </c>
      <c r="S1866" s="3" t="inlineStr">
        <is>
          <t>G2G</t>
        </is>
      </c>
      <c r="T1866" s="3" t="inlineStr">
        <is>
          <t>P4</t>
        </is>
      </c>
      <c r="U1866" s="19" t="inlineStr">
        <is>
          <t>P JB Cold Soldering</t>
        </is>
      </c>
      <c r="V1866" s="19" t="inlineStr">
        <is>
          <t>Soldering</t>
        </is>
      </c>
      <c r="W1866" s="3" t="inlineStr">
        <is>
          <t>Repair</t>
        </is>
      </c>
      <c r="X1866" s="18" t="n">
        <v>46165</v>
      </c>
      <c r="Y1866" s="3">
        <f>X1866-A1866</f>
        <v/>
      </c>
      <c r="Z1866" s="18" t="n">
        <v>46165</v>
      </c>
      <c r="AA1866" s="15" t="n"/>
      <c r="AB1866" s="15" t="n"/>
    </row>
    <row r="1867">
      <c r="A1867" s="37" t="n">
        <v>46143</v>
      </c>
      <c r="B1867" s="3" t="n">
        <v>2026</v>
      </c>
      <c r="C1867" s="26" t="inlineStr">
        <is>
          <t>Yanara Power</t>
        </is>
      </c>
      <c r="D1867" s="3" t="inlineStr">
        <is>
          <t>Utility and C&amp;I</t>
        </is>
      </c>
      <c r="E1867" s="3" t="n"/>
      <c r="F1867" s="3" t="inlineStr">
        <is>
          <t>Closed</t>
        </is>
      </c>
      <c r="G1867" s="9" t="inlineStr">
        <is>
          <t xml:space="preserve">Ashish Jindal </t>
        </is>
      </c>
      <c r="H1867" s="26" t="n">
        <v>9983975581</v>
      </c>
      <c r="I1867" s="38" t="inlineStr">
        <is>
          <t>PE01052601</t>
        </is>
      </c>
      <c r="J1867" s="26" t="inlineStr">
        <is>
          <t>Multiple Issues</t>
        </is>
      </c>
      <c r="K1867" s="39" t="inlineStr">
        <is>
          <t>Holi</t>
        </is>
      </c>
      <c r="L1867" s="39" t="inlineStr">
        <is>
          <t>Maharashtra</t>
        </is>
      </c>
      <c r="M1867" s="46" t="inlineStr">
        <is>
          <t>PS</t>
        </is>
      </c>
      <c r="N1867" s="3" t="inlineStr">
        <is>
          <t>Cold Soldering</t>
        </is>
      </c>
      <c r="O1867" s="56" t="n">
        <v>575</v>
      </c>
      <c r="P1867" s="46" t="inlineStr">
        <is>
          <t>NSMI24070177910</t>
        </is>
      </c>
      <c r="Q1867" s="54">
        <f>MID(P1867,5,2)</f>
        <v/>
      </c>
      <c r="R1867" s="53">
        <f>MID(P1867,7,2)</f>
        <v/>
      </c>
      <c r="S1867" s="3" t="inlineStr">
        <is>
          <t>G2G</t>
        </is>
      </c>
      <c r="T1867" s="3" t="inlineStr">
        <is>
          <t>P4</t>
        </is>
      </c>
      <c r="U1867" s="19" t="inlineStr">
        <is>
          <t>P JB Cold Soldering</t>
        </is>
      </c>
      <c r="V1867" s="19" t="inlineStr">
        <is>
          <t>Soldering</t>
        </is>
      </c>
      <c r="W1867" s="3" t="inlineStr">
        <is>
          <t>Repair</t>
        </is>
      </c>
      <c r="X1867" s="18" t="n">
        <v>46165</v>
      </c>
      <c r="Y1867" s="3">
        <f>X1867-A1867</f>
        <v/>
      </c>
      <c r="Z1867" s="18" t="n">
        <v>46165</v>
      </c>
      <c r="AA1867" s="15" t="n"/>
      <c r="AB1867" s="15" t="n"/>
    </row>
    <row r="1868">
      <c r="A1868" s="37" t="n">
        <v>46143</v>
      </c>
      <c r="B1868" s="3" t="n">
        <v>2026</v>
      </c>
      <c r="C1868" s="26" t="inlineStr">
        <is>
          <t>Yanara Power</t>
        </is>
      </c>
      <c r="D1868" s="3" t="inlineStr">
        <is>
          <t>Utility and C&amp;I</t>
        </is>
      </c>
      <c r="E1868" s="3" t="n"/>
      <c r="F1868" s="3" t="inlineStr">
        <is>
          <t>Closed</t>
        </is>
      </c>
      <c r="G1868" s="9" t="inlineStr">
        <is>
          <t xml:space="preserve">Ashish Jindal </t>
        </is>
      </c>
      <c r="H1868" s="26" t="n">
        <v>9983975581</v>
      </c>
      <c r="I1868" s="38" t="inlineStr">
        <is>
          <t>PE01052601</t>
        </is>
      </c>
      <c r="J1868" s="26" t="inlineStr">
        <is>
          <t>Multiple Issues</t>
        </is>
      </c>
      <c r="K1868" s="39" t="inlineStr">
        <is>
          <t>Holi</t>
        </is>
      </c>
      <c r="L1868" s="39" t="inlineStr">
        <is>
          <t>Maharashtra</t>
        </is>
      </c>
      <c r="M1868" s="47" t="inlineStr">
        <is>
          <t>NS</t>
        </is>
      </c>
      <c r="N1868" s="3" t="inlineStr">
        <is>
          <t>Cold Soldering</t>
        </is>
      </c>
      <c r="O1868" s="56" t="n">
        <v>575</v>
      </c>
      <c r="P1868" s="47" t="inlineStr">
        <is>
          <t>NSMI24070198720</t>
        </is>
      </c>
      <c r="Q1868" s="54">
        <f>MID(P1868,5,2)</f>
        <v/>
      </c>
      <c r="R1868" s="53">
        <f>MID(P1868,7,2)</f>
        <v/>
      </c>
      <c r="S1868" s="3" t="inlineStr">
        <is>
          <t>G2G</t>
        </is>
      </c>
      <c r="T1868" s="3" t="inlineStr">
        <is>
          <t>P4</t>
        </is>
      </c>
      <c r="U1868" s="3" t="inlineStr">
        <is>
          <t>N JB Cold Soldering</t>
        </is>
      </c>
      <c r="V1868" s="3" t="inlineStr">
        <is>
          <t>Soldering</t>
        </is>
      </c>
      <c r="W1868" s="3" t="inlineStr">
        <is>
          <t>Repair</t>
        </is>
      </c>
      <c r="X1868" s="18" t="n">
        <v>46165</v>
      </c>
      <c r="Y1868" s="3">
        <f>X1868-A1868</f>
        <v/>
      </c>
      <c r="Z1868" s="18" t="n">
        <v>46165</v>
      </c>
      <c r="AA1868" s="15" t="n"/>
      <c r="AB1868" s="15" t="n"/>
    </row>
    <row r="1869">
      <c r="A1869" s="37" t="n">
        <v>46143</v>
      </c>
      <c r="B1869" s="3" t="n">
        <v>2026</v>
      </c>
      <c r="C1869" s="26" t="inlineStr">
        <is>
          <t>Yanara Power</t>
        </is>
      </c>
      <c r="D1869" s="3" t="inlineStr">
        <is>
          <t>Utility and C&amp;I</t>
        </is>
      </c>
      <c r="E1869" s="3" t="n"/>
      <c r="F1869" s="3" t="inlineStr">
        <is>
          <t>Closed</t>
        </is>
      </c>
      <c r="G1869" s="9" t="inlineStr">
        <is>
          <t xml:space="preserve">Ashish Jindal </t>
        </is>
      </c>
      <c r="H1869" s="26" t="n">
        <v>9983975581</v>
      </c>
      <c r="I1869" s="38" t="inlineStr">
        <is>
          <t>PE01052601</t>
        </is>
      </c>
      <c r="J1869" s="26" t="inlineStr">
        <is>
          <t>Multiple Issues</t>
        </is>
      </c>
      <c r="K1869" s="39" t="inlineStr">
        <is>
          <t>Holi</t>
        </is>
      </c>
      <c r="L1869" s="39" t="inlineStr">
        <is>
          <t>Maharashtra</t>
        </is>
      </c>
      <c r="M1869" s="46" t="inlineStr">
        <is>
          <t>PS</t>
        </is>
      </c>
      <c r="N1869" s="3" t="inlineStr">
        <is>
          <t>Cold Soldering</t>
        </is>
      </c>
      <c r="O1869" s="56" t="n">
        <v>575</v>
      </c>
      <c r="P1869" s="46" t="inlineStr">
        <is>
          <t>NSMI24070185211</t>
        </is>
      </c>
      <c r="Q1869" s="54">
        <f>MID(P1869,5,2)</f>
        <v/>
      </c>
      <c r="R1869" s="53">
        <f>MID(P1869,7,2)</f>
        <v/>
      </c>
      <c r="S1869" s="3" t="inlineStr">
        <is>
          <t>G2G</t>
        </is>
      </c>
      <c r="T1869" s="3" t="inlineStr">
        <is>
          <t>P4</t>
        </is>
      </c>
      <c r="U1869" s="19" t="inlineStr">
        <is>
          <t>P JB Cold Soldering</t>
        </is>
      </c>
      <c r="V1869" s="19" t="inlineStr">
        <is>
          <t>Soldering</t>
        </is>
      </c>
      <c r="W1869" s="3" t="inlineStr">
        <is>
          <t>Repair</t>
        </is>
      </c>
      <c r="X1869" s="18" t="n">
        <v>46166</v>
      </c>
      <c r="Y1869" s="3">
        <f>X1869-A1869</f>
        <v/>
      </c>
      <c r="Z1869" s="18" t="n">
        <v>46166</v>
      </c>
      <c r="AA1869" s="15" t="n"/>
      <c r="AB1869" s="15" t="n"/>
    </row>
    <row r="1870">
      <c r="A1870" s="37" t="n">
        <v>46143</v>
      </c>
      <c r="B1870" s="3" t="n">
        <v>2026</v>
      </c>
      <c r="C1870" s="26" t="inlineStr">
        <is>
          <t>Yanara Power</t>
        </is>
      </c>
      <c r="D1870" s="3" t="inlineStr">
        <is>
          <t>Utility and C&amp;I</t>
        </is>
      </c>
      <c r="E1870" s="3" t="n"/>
      <c r="F1870" s="3" t="inlineStr">
        <is>
          <t>Closed</t>
        </is>
      </c>
      <c r="G1870" s="9" t="inlineStr">
        <is>
          <t xml:space="preserve">Ashish Jindal </t>
        </is>
      </c>
      <c r="H1870" s="26" t="n">
        <v>9983975581</v>
      </c>
      <c r="I1870" s="38" t="inlineStr">
        <is>
          <t>PE01052601</t>
        </is>
      </c>
      <c r="J1870" s="26" t="inlineStr">
        <is>
          <t>Multiple Issues</t>
        </is>
      </c>
      <c r="K1870" s="39" t="inlineStr">
        <is>
          <t>Holi</t>
        </is>
      </c>
      <c r="L1870" s="39" t="inlineStr">
        <is>
          <t>Maharashtra</t>
        </is>
      </c>
      <c r="M1870" s="46" t="inlineStr">
        <is>
          <t>PS</t>
        </is>
      </c>
      <c r="N1870" s="3" t="inlineStr">
        <is>
          <t>Cold Soldering</t>
        </is>
      </c>
      <c r="O1870" s="56" t="n">
        <v>575</v>
      </c>
      <c r="P1870" s="46" t="inlineStr">
        <is>
          <t>NSMI24070195362</t>
        </is>
      </c>
      <c r="Q1870" s="54">
        <f>MID(P1870,5,2)</f>
        <v/>
      </c>
      <c r="R1870" s="53">
        <f>MID(P1870,7,2)</f>
        <v/>
      </c>
      <c r="S1870" s="3" t="inlineStr">
        <is>
          <t>G2G</t>
        </is>
      </c>
      <c r="T1870" s="3" t="inlineStr">
        <is>
          <t>P4</t>
        </is>
      </c>
      <c r="U1870" s="19" t="inlineStr">
        <is>
          <t>P JB Cold Soldering</t>
        </is>
      </c>
      <c r="V1870" s="19" t="inlineStr">
        <is>
          <t>Soldering</t>
        </is>
      </c>
      <c r="W1870" s="3" t="inlineStr">
        <is>
          <t>Repair</t>
        </is>
      </c>
      <c r="X1870" s="18" t="n">
        <v>46166</v>
      </c>
      <c r="Y1870" s="3">
        <f>X1870-A1870</f>
        <v/>
      </c>
      <c r="Z1870" s="18" t="n">
        <v>46166</v>
      </c>
      <c r="AA1870" s="15" t="n"/>
      <c r="AB1870" s="15" t="n"/>
    </row>
    <row r="1871">
      <c r="A1871" s="37" t="n">
        <v>46143</v>
      </c>
      <c r="B1871" s="3" t="n">
        <v>2026</v>
      </c>
      <c r="C1871" s="26" t="inlineStr">
        <is>
          <t>Yanara Power</t>
        </is>
      </c>
      <c r="D1871" s="3" t="inlineStr">
        <is>
          <t>Utility and C&amp;I</t>
        </is>
      </c>
      <c r="E1871" s="3" t="n"/>
      <c r="F1871" s="3" t="inlineStr">
        <is>
          <t>Closed</t>
        </is>
      </c>
      <c r="G1871" s="9" t="inlineStr">
        <is>
          <t xml:space="preserve">Ashish Jindal </t>
        </is>
      </c>
      <c r="H1871" s="26" t="n">
        <v>9983975581</v>
      </c>
      <c r="I1871" s="38" t="inlineStr">
        <is>
          <t>PE01052601</t>
        </is>
      </c>
      <c r="J1871" s="26" t="inlineStr">
        <is>
          <t>Multiple Issues</t>
        </is>
      </c>
      <c r="K1871" s="39" t="inlineStr">
        <is>
          <t>Holi</t>
        </is>
      </c>
      <c r="L1871" s="39" t="inlineStr">
        <is>
          <t>Maharashtra</t>
        </is>
      </c>
      <c r="M1871" s="46" t="inlineStr">
        <is>
          <t>PS</t>
        </is>
      </c>
      <c r="N1871" s="3" t="inlineStr">
        <is>
          <t>Cold Soldering</t>
        </is>
      </c>
      <c r="O1871" s="56" t="n">
        <v>575</v>
      </c>
      <c r="P1871" s="46" t="inlineStr">
        <is>
          <t>NSMI24070195478</t>
        </is>
      </c>
      <c r="Q1871" s="54">
        <f>MID(P1871,5,2)</f>
        <v/>
      </c>
      <c r="R1871" s="53">
        <f>MID(P1871,7,2)</f>
        <v/>
      </c>
      <c r="S1871" s="3" t="inlineStr">
        <is>
          <t>G2G</t>
        </is>
      </c>
      <c r="T1871" s="3" t="inlineStr">
        <is>
          <t>P4</t>
        </is>
      </c>
      <c r="U1871" s="19" t="inlineStr">
        <is>
          <t>P JB Cold Soldering</t>
        </is>
      </c>
      <c r="V1871" s="19" t="inlineStr">
        <is>
          <t>Soldering</t>
        </is>
      </c>
      <c r="W1871" s="3" t="inlineStr">
        <is>
          <t>Repair</t>
        </is>
      </c>
      <c r="X1871" s="18" t="n">
        <v>46166</v>
      </c>
      <c r="Y1871" s="3">
        <f>X1871-A1871</f>
        <v/>
      </c>
      <c r="Z1871" s="18" t="n">
        <v>46166</v>
      </c>
      <c r="AA1871" s="15" t="n"/>
      <c r="AB1871" s="15" t="n"/>
    </row>
    <row r="1872">
      <c r="A1872" s="37" t="n">
        <v>46143</v>
      </c>
      <c r="B1872" s="3" t="n">
        <v>2026</v>
      </c>
      <c r="C1872" s="26" t="inlineStr">
        <is>
          <t>Yanara Power</t>
        </is>
      </c>
      <c r="D1872" s="3" t="inlineStr">
        <is>
          <t>Utility and C&amp;I</t>
        </is>
      </c>
      <c r="E1872" s="3" t="n"/>
      <c r="F1872" s="3" t="inlineStr">
        <is>
          <t>Closed</t>
        </is>
      </c>
      <c r="G1872" s="9" t="inlineStr">
        <is>
          <t xml:space="preserve">Ashish Jindal </t>
        </is>
      </c>
      <c r="H1872" s="26" t="n">
        <v>9983975581</v>
      </c>
      <c r="I1872" s="38" t="inlineStr">
        <is>
          <t>PE01052601</t>
        </is>
      </c>
      <c r="J1872" s="26" t="inlineStr">
        <is>
          <t>Multiple Issues</t>
        </is>
      </c>
      <c r="K1872" s="39" t="inlineStr">
        <is>
          <t>Holi</t>
        </is>
      </c>
      <c r="L1872" s="39" t="inlineStr">
        <is>
          <t>Maharashtra</t>
        </is>
      </c>
      <c r="M1872" s="46" t="inlineStr">
        <is>
          <t>NS</t>
        </is>
      </c>
      <c r="N1872" s="3" t="inlineStr">
        <is>
          <t>Cold Soldering</t>
        </is>
      </c>
      <c r="O1872" s="56" t="n">
        <v>575</v>
      </c>
      <c r="P1872" s="46" t="inlineStr">
        <is>
          <t>NSMI24070216640</t>
        </is>
      </c>
      <c r="Q1872" s="54">
        <f>MID(P1872,5,2)</f>
        <v/>
      </c>
      <c r="R1872" s="53">
        <f>MID(P1872,7,2)</f>
        <v/>
      </c>
      <c r="S1872" s="3" t="inlineStr">
        <is>
          <t>G2G</t>
        </is>
      </c>
      <c r="T1872" s="3" t="inlineStr">
        <is>
          <t>P4</t>
        </is>
      </c>
      <c r="U1872" s="3" t="inlineStr">
        <is>
          <t>N JB Cold Soldering</t>
        </is>
      </c>
      <c r="V1872" s="3" t="inlineStr">
        <is>
          <t>Soldering</t>
        </is>
      </c>
      <c r="W1872" s="3" t="inlineStr">
        <is>
          <t>Repair</t>
        </is>
      </c>
      <c r="X1872" s="18" t="n">
        <v>46166</v>
      </c>
      <c r="Y1872" s="3">
        <f>X1872-A1872</f>
        <v/>
      </c>
      <c r="Z1872" s="18" t="n">
        <v>46166</v>
      </c>
      <c r="AA1872" s="15" t="n"/>
      <c r="AB1872" s="15" t="n"/>
    </row>
    <row r="1873">
      <c r="A1873" s="37" t="n">
        <v>46143</v>
      </c>
      <c r="B1873" s="3" t="n">
        <v>2026</v>
      </c>
      <c r="C1873" s="26" t="inlineStr">
        <is>
          <t>Yanara Power</t>
        </is>
      </c>
      <c r="D1873" s="3" t="inlineStr">
        <is>
          <t>Utility and C&amp;I</t>
        </is>
      </c>
      <c r="E1873" s="3" t="n"/>
      <c r="F1873" s="3" t="inlineStr">
        <is>
          <t>Closed</t>
        </is>
      </c>
      <c r="G1873" s="9" t="inlineStr">
        <is>
          <t xml:space="preserve">Ashish Jindal </t>
        </is>
      </c>
      <c r="H1873" s="26" t="n">
        <v>9983975581</v>
      </c>
      <c r="I1873" s="38" t="inlineStr">
        <is>
          <t>PE01052601</t>
        </is>
      </c>
      <c r="J1873" s="26" t="inlineStr">
        <is>
          <t>Multiple Issues</t>
        </is>
      </c>
      <c r="K1873" s="39" t="inlineStr">
        <is>
          <t>Holi</t>
        </is>
      </c>
      <c r="L1873" s="39" t="inlineStr">
        <is>
          <t>Maharashtra</t>
        </is>
      </c>
      <c r="M1873" s="46" t="inlineStr">
        <is>
          <t>PS</t>
        </is>
      </c>
      <c r="N1873" s="3" t="inlineStr">
        <is>
          <t>Cold Soldering</t>
        </is>
      </c>
      <c r="O1873" s="56" t="n">
        <v>575</v>
      </c>
      <c r="P1873" s="46" t="inlineStr">
        <is>
          <t>NSMI24070177857</t>
        </is>
      </c>
      <c r="Q1873" s="54">
        <f>MID(P1873,5,2)</f>
        <v/>
      </c>
      <c r="R1873" s="53">
        <f>MID(P1873,7,2)</f>
        <v/>
      </c>
      <c r="S1873" s="3" t="inlineStr">
        <is>
          <t>G2G</t>
        </is>
      </c>
      <c r="T1873" s="3" t="inlineStr">
        <is>
          <t>P4</t>
        </is>
      </c>
      <c r="U1873" s="19" t="inlineStr">
        <is>
          <t>P JB Cold Soldering</t>
        </is>
      </c>
      <c r="V1873" s="19" t="inlineStr">
        <is>
          <t>Soldering</t>
        </is>
      </c>
      <c r="W1873" s="3" t="inlineStr">
        <is>
          <t>Repair</t>
        </is>
      </c>
      <c r="X1873" s="18" t="n">
        <v>46166</v>
      </c>
      <c r="Y1873" s="3">
        <f>X1873-A1873</f>
        <v/>
      </c>
      <c r="Z1873" s="18" t="n">
        <v>46166</v>
      </c>
      <c r="AA1873" s="15" t="n"/>
      <c r="AB1873" s="15" t="n"/>
    </row>
    <row r="1874">
      <c r="A1874" s="37" t="n">
        <v>46143</v>
      </c>
      <c r="B1874" s="3" t="n">
        <v>2026</v>
      </c>
      <c r="C1874" s="26" t="inlineStr">
        <is>
          <t>Yanara Power</t>
        </is>
      </c>
      <c r="D1874" s="3" t="inlineStr">
        <is>
          <t>Utility and C&amp;I</t>
        </is>
      </c>
      <c r="E1874" s="3" t="n"/>
      <c r="F1874" s="3" t="inlineStr">
        <is>
          <t>Closed</t>
        </is>
      </c>
      <c r="G1874" s="9" t="inlineStr">
        <is>
          <t xml:space="preserve">Ashish Jindal </t>
        </is>
      </c>
      <c r="H1874" s="26" t="n">
        <v>9983975581</v>
      </c>
      <c r="I1874" s="38" t="inlineStr">
        <is>
          <t>PE01052601</t>
        </is>
      </c>
      <c r="J1874" s="26" t="inlineStr">
        <is>
          <t>Multiple Issues</t>
        </is>
      </c>
      <c r="K1874" s="39" t="inlineStr">
        <is>
          <t>Holi</t>
        </is>
      </c>
      <c r="L1874" s="39" t="inlineStr">
        <is>
          <t>Maharashtra</t>
        </is>
      </c>
      <c r="M1874" s="46" t="inlineStr">
        <is>
          <t>NS</t>
        </is>
      </c>
      <c r="N1874" s="3" t="inlineStr">
        <is>
          <t>Cold Soldering</t>
        </is>
      </c>
      <c r="O1874" s="56" t="n">
        <v>575</v>
      </c>
      <c r="P1874" s="46" t="inlineStr">
        <is>
          <t>NSMI24070177282</t>
        </is>
      </c>
      <c r="Q1874" s="54">
        <f>MID(P1874,5,2)</f>
        <v/>
      </c>
      <c r="R1874" s="53">
        <f>MID(P1874,7,2)</f>
        <v/>
      </c>
      <c r="S1874" s="3" t="inlineStr">
        <is>
          <t>G2G</t>
        </is>
      </c>
      <c r="T1874" s="3" t="inlineStr">
        <is>
          <t>P4</t>
        </is>
      </c>
      <c r="U1874" s="3" t="inlineStr">
        <is>
          <t>N JB Cold Soldering</t>
        </is>
      </c>
      <c r="V1874" s="3" t="inlineStr">
        <is>
          <t>Soldering</t>
        </is>
      </c>
      <c r="W1874" s="3" t="inlineStr">
        <is>
          <t>Repair</t>
        </is>
      </c>
      <c r="X1874" s="18" t="n">
        <v>46166</v>
      </c>
      <c r="Y1874" s="3">
        <f>X1874-A1874</f>
        <v/>
      </c>
      <c r="Z1874" s="18" t="n">
        <v>46166</v>
      </c>
      <c r="AA1874" s="15" t="n"/>
      <c r="AB1874" s="15" t="n"/>
    </row>
    <row r="1875">
      <c r="A1875" s="37" t="n">
        <v>46143</v>
      </c>
      <c r="B1875" s="3" t="n">
        <v>2026</v>
      </c>
      <c r="C1875" s="26" t="inlineStr">
        <is>
          <t>Yanara Power</t>
        </is>
      </c>
      <c r="D1875" s="3" t="inlineStr">
        <is>
          <t>Utility and C&amp;I</t>
        </is>
      </c>
      <c r="E1875" s="3" t="n"/>
      <c r="F1875" s="3" t="inlineStr">
        <is>
          <t>Closed</t>
        </is>
      </c>
      <c r="G1875" s="9" t="inlineStr">
        <is>
          <t xml:space="preserve">Ashish Jindal </t>
        </is>
      </c>
      <c r="H1875" s="26" t="n">
        <v>9983975581</v>
      </c>
      <c r="I1875" s="38" t="inlineStr">
        <is>
          <t>PE01052601</t>
        </is>
      </c>
      <c r="J1875" s="26" t="inlineStr">
        <is>
          <t>Multiple Issues</t>
        </is>
      </c>
      <c r="K1875" s="39" t="inlineStr">
        <is>
          <t>Holi</t>
        </is>
      </c>
      <c r="L1875" s="39" t="inlineStr">
        <is>
          <t>Maharashtra</t>
        </is>
      </c>
      <c r="M1875" s="46" t="inlineStr">
        <is>
          <t>PS</t>
        </is>
      </c>
      <c r="N1875" s="3" t="inlineStr">
        <is>
          <t>Cold Soldering</t>
        </is>
      </c>
      <c r="O1875" s="56" t="n">
        <v>575</v>
      </c>
      <c r="P1875" s="46" t="inlineStr">
        <is>
          <t>NSMI24070181609</t>
        </is>
      </c>
      <c r="Q1875" s="54">
        <f>MID(P1875,5,2)</f>
        <v/>
      </c>
      <c r="R1875" s="53">
        <f>MID(P1875,7,2)</f>
        <v/>
      </c>
      <c r="S1875" s="3" t="inlineStr">
        <is>
          <t>G2G</t>
        </is>
      </c>
      <c r="T1875" s="3" t="inlineStr">
        <is>
          <t>P4</t>
        </is>
      </c>
      <c r="U1875" s="19" t="inlineStr">
        <is>
          <t>P JB Cold Soldering</t>
        </is>
      </c>
      <c r="V1875" s="19" t="inlineStr">
        <is>
          <t>Soldering</t>
        </is>
      </c>
      <c r="W1875" s="3" t="inlineStr">
        <is>
          <t>Repair</t>
        </is>
      </c>
      <c r="X1875" s="18" t="n">
        <v>46166</v>
      </c>
      <c r="Y1875" s="3">
        <f>X1875-A1875</f>
        <v/>
      </c>
      <c r="Z1875" s="18" t="n">
        <v>46166</v>
      </c>
      <c r="AA1875" s="15" t="n"/>
      <c r="AB1875" s="15" t="n"/>
    </row>
    <row r="1876">
      <c r="A1876" s="37" t="n">
        <v>46143</v>
      </c>
      <c r="B1876" s="3" t="n">
        <v>2026</v>
      </c>
      <c r="C1876" s="26" t="inlineStr">
        <is>
          <t>Yanara Power</t>
        </is>
      </c>
      <c r="D1876" s="3" t="inlineStr">
        <is>
          <t>Utility and C&amp;I</t>
        </is>
      </c>
      <c r="E1876" s="3" t="n"/>
      <c r="F1876" s="3" t="inlineStr">
        <is>
          <t>Closed</t>
        </is>
      </c>
      <c r="G1876" s="9" t="inlineStr">
        <is>
          <t xml:space="preserve">Ashish Jindal </t>
        </is>
      </c>
      <c r="H1876" s="26" t="n">
        <v>9983975581</v>
      </c>
      <c r="I1876" s="38" t="inlineStr">
        <is>
          <t>PE01052601</t>
        </is>
      </c>
      <c r="J1876" s="26" t="inlineStr">
        <is>
          <t>Multiple Issues</t>
        </is>
      </c>
      <c r="K1876" s="39" t="inlineStr">
        <is>
          <t>Holi</t>
        </is>
      </c>
      <c r="L1876" s="39" t="inlineStr">
        <is>
          <t>Maharashtra</t>
        </is>
      </c>
      <c r="M1876" s="46" t="inlineStr">
        <is>
          <t>PS</t>
        </is>
      </c>
      <c r="N1876" s="3" t="inlineStr">
        <is>
          <t>Cold Soldering</t>
        </is>
      </c>
      <c r="O1876" s="56" t="n">
        <v>575</v>
      </c>
      <c r="P1876" s="46" t="inlineStr">
        <is>
          <t>NSMI24070181571</t>
        </is>
      </c>
      <c r="Q1876" s="54">
        <f>MID(P1876,5,2)</f>
        <v/>
      </c>
      <c r="R1876" s="53">
        <f>MID(P1876,7,2)</f>
        <v/>
      </c>
      <c r="S1876" s="3" t="inlineStr">
        <is>
          <t>G2G</t>
        </is>
      </c>
      <c r="T1876" s="3" t="inlineStr">
        <is>
          <t>P4</t>
        </is>
      </c>
      <c r="U1876" s="19" t="inlineStr">
        <is>
          <t>P JB Cold Soldering</t>
        </is>
      </c>
      <c r="V1876" s="19" t="inlineStr">
        <is>
          <t>Soldering</t>
        </is>
      </c>
      <c r="W1876" s="3" t="inlineStr">
        <is>
          <t>Repair</t>
        </is>
      </c>
      <c r="X1876" s="18" t="n">
        <v>46166</v>
      </c>
      <c r="Y1876" s="3">
        <f>X1876-A1876</f>
        <v/>
      </c>
      <c r="Z1876" s="18" t="n">
        <v>46166</v>
      </c>
      <c r="AA1876" s="15" t="n"/>
      <c r="AB1876" s="15" t="n"/>
    </row>
    <row r="1877">
      <c r="A1877" s="37" t="n">
        <v>46143</v>
      </c>
      <c r="B1877" s="3" t="n">
        <v>2026</v>
      </c>
      <c r="C1877" s="26" t="inlineStr">
        <is>
          <t>Yanara Power</t>
        </is>
      </c>
      <c r="D1877" s="3" t="inlineStr">
        <is>
          <t>Utility and C&amp;I</t>
        </is>
      </c>
      <c r="E1877" s="3" t="n"/>
      <c r="F1877" s="3" t="inlineStr">
        <is>
          <t>Closed</t>
        </is>
      </c>
      <c r="G1877" s="9" t="inlineStr">
        <is>
          <t xml:space="preserve">Ashish Jindal </t>
        </is>
      </c>
      <c r="H1877" s="26" t="n">
        <v>9983975581</v>
      </c>
      <c r="I1877" s="38" t="inlineStr">
        <is>
          <t>PE01052601</t>
        </is>
      </c>
      <c r="J1877" s="26" t="inlineStr">
        <is>
          <t>Multiple Issues</t>
        </is>
      </c>
      <c r="K1877" s="39" t="inlineStr">
        <is>
          <t>Holi</t>
        </is>
      </c>
      <c r="L1877" s="39" t="inlineStr">
        <is>
          <t>Maharashtra</t>
        </is>
      </c>
      <c r="M1877" s="46" t="inlineStr">
        <is>
          <t>PS</t>
        </is>
      </c>
      <c r="N1877" s="3" t="inlineStr">
        <is>
          <t>Cold Soldering</t>
        </is>
      </c>
      <c r="O1877" s="56" t="n">
        <v>575</v>
      </c>
      <c r="P1877" s="46" t="inlineStr">
        <is>
          <t>NSMI24070177639</t>
        </is>
      </c>
      <c r="Q1877" s="54">
        <f>MID(P1877,5,2)</f>
        <v/>
      </c>
      <c r="R1877" s="53">
        <f>MID(P1877,7,2)</f>
        <v/>
      </c>
      <c r="S1877" s="3" t="inlineStr">
        <is>
          <t>G2G</t>
        </is>
      </c>
      <c r="T1877" s="3" t="inlineStr">
        <is>
          <t>P4</t>
        </is>
      </c>
      <c r="U1877" s="19" t="inlineStr">
        <is>
          <t>P JB Cold Soldering</t>
        </is>
      </c>
      <c r="V1877" s="19" t="inlineStr">
        <is>
          <t>Soldering</t>
        </is>
      </c>
      <c r="W1877" s="3" t="inlineStr">
        <is>
          <t>Repair</t>
        </is>
      </c>
      <c r="X1877" s="18" t="n">
        <v>46166</v>
      </c>
      <c r="Y1877" s="3">
        <f>X1877-A1877</f>
        <v/>
      </c>
      <c r="Z1877" s="18" t="n">
        <v>46166</v>
      </c>
      <c r="AA1877" s="15" t="n"/>
      <c r="AB1877" s="15" t="n"/>
    </row>
    <row r="1878">
      <c r="A1878" s="37" t="n">
        <v>46143</v>
      </c>
      <c r="B1878" s="3" t="n">
        <v>2026</v>
      </c>
      <c r="C1878" s="26" t="inlineStr">
        <is>
          <t>Yanara Power</t>
        </is>
      </c>
      <c r="D1878" s="3" t="inlineStr">
        <is>
          <t>Utility and C&amp;I</t>
        </is>
      </c>
      <c r="E1878" s="3" t="n"/>
      <c r="F1878" s="3" t="inlineStr">
        <is>
          <t>Closed</t>
        </is>
      </c>
      <c r="G1878" s="9" t="inlineStr">
        <is>
          <t xml:space="preserve">Ashish Jindal </t>
        </is>
      </c>
      <c r="H1878" s="26" t="n">
        <v>9983975581</v>
      </c>
      <c r="I1878" s="38" t="inlineStr">
        <is>
          <t>PE01052601</t>
        </is>
      </c>
      <c r="J1878" s="26" t="inlineStr">
        <is>
          <t>Multiple Issues</t>
        </is>
      </c>
      <c r="K1878" s="39" t="inlineStr">
        <is>
          <t>Holi</t>
        </is>
      </c>
      <c r="L1878" s="39" t="inlineStr">
        <is>
          <t>Maharashtra</t>
        </is>
      </c>
      <c r="M1878" s="46" t="inlineStr">
        <is>
          <t>PS</t>
        </is>
      </c>
      <c r="N1878" s="3" t="inlineStr">
        <is>
          <t>Cold Soldering</t>
        </is>
      </c>
      <c r="O1878" s="56" t="n">
        <v>575</v>
      </c>
      <c r="P1878" s="46" t="inlineStr">
        <is>
          <t>NSMI24070179084</t>
        </is>
      </c>
      <c r="Q1878" s="54">
        <f>MID(P1878,5,2)</f>
        <v/>
      </c>
      <c r="R1878" s="53">
        <f>MID(P1878,7,2)</f>
        <v/>
      </c>
      <c r="S1878" s="3" t="inlineStr">
        <is>
          <t>G2G</t>
        </is>
      </c>
      <c r="T1878" s="3" t="inlineStr">
        <is>
          <t>P4</t>
        </is>
      </c>
      <c r="U1878" s="19" t="inlineStr">
        <is>
          <t>P JB Cold Soldering</t>
        </is>
      </c>
      <c r="V1878" s="19" t="inlineStr">
        <is>
          <t>Soldering</t>
        </is>
      </c>
      <c r="W1878" s="3" t="inlineStr">
        <is>
          <t>Repair</t>
        </is>
      </c>
      <c r="X1878" s="18" t="n">
        <v>46166</v>
      </c>
      <c r="Y1878" s="3">
        <f>X1878-A1878</f>
        <v/>
      </c>
      <c r="Z1878" s="18" t="n">
        <v>46166</v>
      </c>
      <c r="AA1878" s="15" t="n"/>
      <c r="AB1878" s="15" t="n"/>
    </row>
    <row r="1879">
      <c r="A1879" s="37" t="n">
        <v>46143</v>
      </c>
      <c r="B1879" s="3" t="n">
        <v>2026</v>
      </c>
      <c r="C1879" s="26" t="inlineStr">
        <is>
          <t>Yanara Power</t>
        </is>
      </c>
      <c r="D1879" s="3" t="inlineStr">
        <is>
          <t>Utility and C&amp;I</t>
        </is>
      </c>
      <c r="E1879" s="3" t="n"/>
      <c r="F1879" s="3" t="inlineStr">
        <is>
          <t>Closed</t>
        </is>
      </c>
      <c r="G1879" s="9" t="inlineStr">
        <is>
          <t xml:space="preserve">Ashish Jindal </t>
        </is>
      </c>
      <c r="H1879" s="26" t="n">
        <v>9983975581</v>
      </c>
      <c r="I1879" s="38" t="inlineStr">
        <is>
          <t>PE01052601</t>
        </is>
      </c>
      <c r="J1879" s="26" t="inlineStr">
        <is>
          <t>Multiple Issues</t>
        </is>
      </c>
      <c r="K1879" s="39" t="inlineStr">
        <is>
          <t>Holi</t>
        </is>
      </c>
      <c r="L1879" s="39" t="inlineStr">
        <is>
          <t>Maharashtra</t>
        </is>
      </c>
      <c r="M1879" s="46" t="inlineStr">
        <is>
          <t>NS</t>
        </is>
      </c>
      <c r="N1879" s="3" t="inlineStr">
        <is>
          <t>Cold Soldering</t>
        </is>
      </c>
      <c r="O1879" s="56" t="n">
        <v>575</v>
      </c>
      <c r="P1879" s="46" t="inlineStr">
        <is>
          <t>NSMI24070195279</t>
        </is>
      </c>
      <c r="Q1879" s="54">
        <f>MID(P1879,5,2)</f>
        <v/>
      </c>
      <c r="R1879" s="53">
        <f>MID(P1879,7,2)</f>
        <v/>
      </c>
      <c r="S1879" s="3" t="inlineStr">
        <is>
          <t>G2G</t>
        </is>
      </c>
      <c r="T1879" s="3" t="inlineStr">
        <is>
          <t>P4</t>
        </is>
      </c>
      <c r="U1879" s="3" t="inlineStr">
        <is>
          <t>N JB Cold Soldering</t>
        </is>
      </c>
      <c r="V1879" s="3" t="inlineStr">
        <is>
          <t>Soldering</t>
        </is>
      </c>
      <c r="W1879" s="3" t="inlineStr">
        <is>
          <t>Repair</t>
        </is>
      </c>
      <c r="X1879" s="18" t="n">
        <v>46166</v>
      </c>
      <c r="Y1879" s="3">
        <f>X1879-A1879</f>
        <v/>
      </c>
      <c r="Z1879" s="18" t="n">
        <v>46166</v>
      </c>
      <c r="AA1879" s="15" t="n"/>
      <c r="AB1879" s="15" t="n"/>
    </row>
    <row r="1880">
      <c r="A1880" s="37" t="n">
        <v>46143</v>
      </c>
      <c r="B1880" s="3" t="n">
        <v>2026</v>
      </c>
      <c r="C1880" s="26" t="inlineStr">
        <is>
          <t>Yanara Power</t>
        </is>
      </c>
      <c r="D1880" s="3" t="inlineStr">
        <is>
          <t>Utility and C&amp;I</t>
        </is>
      </c>
      <c r="E1880" s="3" t="n"/>
      <c r="F1880" s="3" t="inlineStr">
        <is>
          <t>Closed</t>
        </is>
      </c>
      <c r="G1880" s="9" t="inlineStr">
        <is>
          <t xml:space="preserve">Ashish Jindal </t>
        </is>
      </c>
      <c r="H1880" s="26" t="n">
        <v>9983975581</v>
      </c>
      <c r="I1880" s="38" t="inlineStr">
        <is>
          <t>PE01052601</t>
        </is>
      </c>
      <c r="J1880" s="26" t="inlineStr">
        <is>
          <t>Multiple Issues</t>
        </is>
      </c>
      <c r="K1880" s="39" t="inlineStr">
        <is>
          <t>Holi</t>
        </is>
      </c>
      <c r="L1880" s="39" t="inlineStr">
        <is>
          <t>Maharashtra</t>
        </is>
      </c>
      <c r="M1880" s="46" t="inlineStr">
        <is>
          <t>OK</t>
        </is>
      </c>
      <c r="N1880" s="3" t="inlineStr">
        <is>
          <t>No Issue</t>
        </is>
      </c>
      <c r="O1880" s="56" t="n">
        <v>575</v>
      </c>
      <c r="P1880" s="46" t="inlineStr">
        <is>
          <t>NSMI24070222270</t>
        </is>
      </c>
      <c r="Q1880" s="54">
        <f>MID(P1880,5,2)</f>
        <v/>
      </c>
      <c r="R1880" s="53">
        <f>MID(P1880,7,2)</f>
        <v/>
      </c>
      <c r="S1880" s="3" t="inlineStr">
        <is>
          <t>G2G</t>
        </is>
      </c>
      <c r="T1880" s="3" t="inlineStr">
        <is>
          <t>P4</t>
        </is>
      </c>
      <c r="U1880" s="19" t="inlineStr">
        <is>
          <t>No Issue Found</t>
        </is>
      </c>
      <c r="V1880" s="19" t="inlineStr">
        <is>
          <t>Found OK</t>
        </is>
      </c>
      <c r="W1880" s="3" t="inlineStr">
        <is>
          <t>Repair</t>
        </is>
      </c>
      <c r="X1880" s="18" t="n">
        <v>46166</v>
      </c>
      <c r="Y1880" s="3">
        <f>X1880-A1880</f>
        <v/>
      </c>
      <c r="Z1880" s="18" t="n">
        <v>46166</v>
      </c>
      <c r="AA1880" s="15" t="n"/>
      <c r="AB1880" s="15" t="n"/>
    </row>
    <row r="1881">
      <c r="A1881" s="37" t="n">
        <v>46143</v>
      </c>
      <c r="B1881" s="3" t="n">
        <v>2026</v>
      </c>
      <c r="C1881" s="26" t="inlineStr">
        <is>
          <t>Yanara Power</t>
        </is>
      </c>
      <c r="D1881" s="3" t="inlineStr">
        <is>
          <t>Utility and C&amp;I</t>
        </is>
      </c>
      <c r="E1881" s="3" t="n"/>
      <c r="F1881" s="3" t="inlineStr">
        <is>
          <t>Closed</t>
        </is>
      </c>
      <c r="G1881" s="9" t="inlineStr">
        <is>
          <t xml:space="preserve">Ashish Jindal </t>
        </is>
      </c>
      <c r="H1881" s="26" t="n">
        <v>9983975581</v>
      </c>
      <c r="I1881" s="38" t="inlineStr">
        <is>
          <t>PE01052601</t>
        </is>
      </c>
      <c r="J1881" s="26" t="inlineStr">
        <is>
          <t>Multiple Issues</t>
        </is>
      </c>
      <c r="K1881" s="39" t="inlineStr">
        <is>
          <t>Holi</t>
        </is>
      </c>
      <c r="L1881" s="39" t="inlineStr">
        <is>
          <t>Maharashtra</t>
        </is>
      </c>
      <c r="M1881" s="46" t="inlineStr">
        <is>
          <t>PS</t>
        </is>
      </c>
      <c r="N1881" s="3" t="inlineStr">
        <is>
          <t>Cold Soldering</t>
        </is>
      </c>
      <c r="O1881" s="56" t="n">
        <v>575</v>
      </c>
      <c r="P1881" s="46" t="inlineStr">
        <is>
          <t>NSMI24070195525</t>
        </is>
      </c>
      <c r="Q1881" s="54">
        <f>MID(P1881,5,2)</f>
        <v/>
      </c>
      <c r="R1881" s="53">
        <f>MID(P1881,7,2)</f>
        <v/>
      </c>
      <c r="S1881" s="3" t="inlineStr">
        <is>
          <t>G2G</t>
        </is>
      </c>
      <c r="T1881" s="3" t="inlineStr">
        <is>
          <t>P4</t>
        </is>
      </c>
      <c r="U1881" s="19" t="inlineStr">
        <is>
          <t>P JB Cold Soldering</t>
        </is>
      </c>
      <c r="V1881" s="19" t="inlineStr">
        <is>
          <t>Soldering</t>
        </is>
      </c>
      <c r="W1881" s="3" t="inlineStr">
        <is>
          <t>Repair</t>
        </is>
      </c>
      <c r="X1881" s="18" t="n">
        <v>46166</v>
      </c>
      <c r="Y1881" s="3">
        <f>X1881-A1881</f>
        <v/>
      </c>
      <c r="Z1881" s="18" t="n">
        <v>46166</v>
      </c>
      <c r="AA1881" s="15" t="n"/>
      <c r="AB1881" s="15" t="n"/>
    </row>
    <row r="1882">
      <c r="A1882" s="37" t="n">
        <v>46143</v>
      </c>
      <c r="B1882" s="3" t="n">
        <v>2026</v>
      </c>
      <c r="C1882" s="26" t="inlineStr">
        <is>
          <t>Yanara Power</t>
        </is>
      </c>
      <c r="D1882" s="3" t="inlineStr">
        <is>
          <t>Utility and C&amp;I</t>
        </is>
      </c>
      <c r="E1882" s="3" t="n"/>
      <c r="F1882" s="3" t="inlineStr">
        <is>
          <t>Closed</t>
        </is>
      </c>
      <c r="G1882" s="9" t="inlineStr">
        <is>
          <t xml:space="preserve">Ashish Jindal </t>
        </is>
      </c>
      <c r="H1882" s="26" t="n">
        <v>9983975581</v>
      </c>
      <c r="I1882" s="38" t="inlineStr">
        <is>
          <t>PE01052601</t>
        </is>
      </c>
      <c r="J1882" s="26" t="inlineStr">
        <is>
          <t>Multiple Issues</t>
        </is>
      </c>
      <c r="K1882" s="39" t="inlineStr">
        <is>
          <t>Holi</t>
        </is>
      </c>
      <c r="L1882" s="39" t="inlineStr">
        <is>
          <t>Maharashtra</t>
        </is>
      </c>
      <c r="M1882" s="46" t="inlineStr">
        <is>
          <t>PS</t>
        </is>
      </c>
      <c r="N1882" s="3" t="inlineStr">
        <is>
          <t>Cold Soldering</t>
        </is>
      </c>
      <c r="O1882" s="56" t="n">
        <v>575</v>
      </c>
      <c r="P1882" s="46" t="inlineStr">
        <is>
          <t>NSMI24070183184</t>
        </is>
      </c>
      <c r="Q1882" s="54">
        <f>MID(P1882,5,2)</f>
        <v/>
      </c>
      <c r="R1882" s="53">
        <f>MID(P1882,7,2)</f>
        <v/>
      </c>
      <c r="S1882" s="3" t="inlineStr">
        <is>
          <t>G2G</t>
        </is>
      </c>
      <c r="T1882" s="3" t="inlineStr">
        <is>
          <t>P4</t>
        </is>
      </c>
      <c r="U1882" s="19" t="inlineStr">
        <is>
          <t>P JB Cold Soldering</t>
        </is>
      </c>
      <c r="V1882" s="19" t="inlineStr">
        <is>
          <t>Soldering</t>
        </is>
      </c>
      <c r="W1882" s="3" t="inlineStr">
        <is>
          <t>Repair</t>
        </is>
      </c>
      <c r="X1882" s="18" t="n">
        <v>46166</v>
      </c>
      <c r="Y1882" s="3">
        <f>X1882-A1882</f>
        <v/>
      </c>
      <c r="Z1882" s="18" t="n">
        <v>46166</v>
      </c>
      <c r="AA1882" s="15" t="n"/>
      <c r="AB1882" s="15" t="n"/>
    </row>
    <row r="1883">
      <c r="A1883" s="37" t="n">
        <v>46143</v>
      </c>
      <c r="B1883" s="3" t="n">
        <v>2026</v>
      </c>
      <c r="C1883" s="26" t="inlineStr">
        <is>
          <t>Yanara Power</t>
        </is>
      </c>
      <c r="D1883" s="3" t="inlineStr">
        <is>
          <t>Utility and C&amp;I</t>
        </is>
      </c>
      <c r="E1883" s="3" t="n"/>
      <c r="F1883" s="3" t="inlineStr">
        <is>
          <t>Closed</t>
        </is>
      </c>
      <c r="G1883" s="9" t="inlineStr">
        <is>
          <t xml:space="preserve">Ashish Jindal </t>
        </is>
      </c>
      <c r="H1883" s="26" t="n">
        <v>9983975581</v>
      </c>
      <c r="I1883" s="38" t="inlineStr">
        <is>
          <t>PE01052601</t>
        </is>
      </c>
      <c r="J1883" s="26" t="inlineStr">
        <is>
          <t>Multiple Issues</t>
        </is>
      </c>
      <c r="K1883" s="39" t="inlineStr">
        <is>
          <t>Holi</t>
        </is>
      </c>
      <c r="L1883" s="39" t="inlineStr">
        <is>
          <t>Maharashtra</t>
        </is>
      </c>
      <c r="M1883" s="46" t="inlineStr">
        <is>
          <t>PS</t>
        </is>
      </c>
      <c r="N1883" s="3" t="inlineStr">
        <is>
          <t>Cold Soldering</t>
        </is>
      </c>
      <c r="O1883" s="56" t="n">
        <v>575</v>
      </c>
      <c r="P1883" s="46" t="inlineStr">
        <is>
          <t>NSMI24070216963</t>
        </is>
      </c>
      <c r="Q1883" s="54">
        <f>MID(P1883,5,2)</f>
        <v/>
      </c>
      <c r="R1883" s="53">
        <f>MID(P1883,7,2)</f>
        <v/>
      </c>
      <c r="S1883" s="3" t="inlineStr">
        <is>
          <t>G2G</t>
        </is>
      </c>
      <c r="T1883" s="3" t="inlineStr">
        <is>
          <t>P4</t>
        </is>
      </c>
      <c r="U1883" s="19" t="inlineStr">
        <is>
          <t>P JB Cold Soldering</t>
        </is>
      </c>
      <c r="V1883" s="19" t="inlineStr">
        <is>
          <t>Soldering</t>
        </is>
      </c>
      <c r="W1883" s="3" t="inlineStr">
        <is>
          <t>Repair</t>
        </is>
      </c>
      <c r="X1883" s="18" t="n">
        <v>46166</v>
      </c>
      <c r="Y1883" s="3">
        <f>X1883-A1883</f>
        <v/>
      </c>
      <c r="Z1883" s="18" t="n">
        <v>46166</v>
      </c>
      <c r="AA1883" s="15" t="n"/>
      <c r="AB1883" s="15" t="n"/>
    </row>
    <row r="1884">
      <c r="A1884" s="37" t="n">
        <v>46143</v>
      </c>
      <c r="B1884" s="3" t="n">
        <v>2026</v>
      </c>
      <c r="C1884" s="26" t="inlineStr">
        <is>
          <t>Yanara Power</t>
        </is>
      </c>
      <c r="D1884" s="3" t="inlineStr">
        <is>
          <t>Utility and C&amp;I</t>
        </is>
      </c>
      <c r="E1884" s="3" t="n"/>
      <c r="F1884" s="3" t="inlineStr">
        <is>
          <t>Closed</t>
        </is>
      </c>
      <c r="G1884" s="9" t="inlineStr">
        <is>
          <t xml:space="preserve">Ashish Jindal </t>
        </is>
      </c>
      <c r="H1884" s="26" t="n">
        <v>9983975581</v>
      </c>
      <c r="I1884" s="38" t="inlineStr">
        <is>
          <t>PE01052601</t>
        </is>
      </c>
      <c r="J1884" s="26" t="inlineStr">
        <is>
          <t>Multiple Issues</t>
        </is>
      </c>
      <c r="K1884" s="39" t="inlineStr">
        <is>
          <t>Holi</t>
        </is>
      </c>
      <c r="L1884" s="39" t="inlineStr">
        <is>
          <t>Maharashtra</t>
        </is>
      </c>
      <c r="M1884" s="46" t="inlineStr">
        <is>
          <t>NS</t>
        </is>
      </c>
      <c r="N1884" s="3" t="inlineStr">
        <is>
          <t>Cold Soldering</t>
        </is>
      </c>
      <c r="O1884" s="56" t="n">
        <v>575</v>
      </c>
      <c r="P1884" s="46" t="inlineStr">
        <is>
          <t>NSMI24070216435</t>
        </is>
      </c>
      <c r="Q1884" s="54">
        <f>MID(P1884,5,2)</f>
        <v/>
      </c>
      <c r="R1884" s="53">
        <f>MID(P1884,7,2)</f>
        <v/>
      </c>
      <c r="S1884" s="3" t="inlineStr">
        <is>
          <t>G2G</t>
        </is>
      </c>
      <c r="T1884" s="3" t="inlineStr">
        <is>
          <t>P4</t>
        </is>
      </c>
      <c r="U1884" s="3" t="inlineStr">
        <is>
          <t>N JB Cold Soldering</t>
        </is>
      </c>
      <c r="V1884" s="3" t="inlineStr">
        <is>
          <t>Soldering</t>
        </is>
      </c>
      <c r="W1884" s="3" t="inlineStr">
        <is>
          <t>Repair</t>
        </is>
      </c>
      <c r="X1884" s="18" t="n">
        <v>46166</v>
      </c>
      <c r="Y1884" s="3">
        <f>X1884-A1884</f>
        <v/>
      </c>
      <c r="Z1884" s="18" t="n">
        <v>46166</v>
      </c>
      <c r="AA1884" s="15" t="n"/>
      <c r="AB1884" s="15" t="n"/>
    </row>
    <row r="1885">
      <c r="A1885" s="37" t="n">
        <v>46143</v>
      </c>
      <c r="B1885" s="3" t="n">
        <v>2026</v>
      </c>
      <c r="C1885" s="26" t="inlineStr">
        <is>
          <t>Yanara Power</t>
        </is>
      </c>
      <c r="D1885" s="3" t="inlineStr">
        <is>
          <t>Utility and C&amp;I</t>
        </is>
      </c>
      <c r="E1885" s="3" t="n"/>
      <c r="F1885" s="3" t="inlineStr">
        <is>
          <t>Closed</t>
        </is>
      </c>
      <c r="G1885" s="9" t="inlineStr">
        <is>
          <t xml:space="preserve">Ashish Jindal </t>
        </is>
      </c>
      <c r="H1885" s="26" t="n">
        <v>9983975581</v>
      </c>
      <c r="I1885" s="38" t="inlineStr">
        <is>
          <t>PE01052601</t>
        </is>
      </c>
      <c r="J1885" s="26" t="inlineStr">
        <is>
          <t>Multiple Issues</t>
        </is>
      </c>
      <c r="K1885" s="39" t="inlineStr">
        <is>
          <t>Holi</t>
        </is>
      </c>
      <c r="L1885" s="39" t="inlineStr">
        <is>
          <t>Maharashtra</t>
        </is>
      </c>
      <c r="M1885" s="46" t="inlineStr">
        <is>
          <t>PS</t>
        </is>
      </c>
      <c r="N1885" s="3" t="inlineStr">
        <is>
          <t>Cold Soldering</t>
        </is>
      </c>
      <c r="O1885" s="56" t="n">
        <v>575</v>
      </c>
      <c r="P1885" s="46" t="inlineStr">
        <is>
          <t>NSMI24070224017</t>
        </is>
      </c>
      <c r="Q1885" s="54">
        <f>MID(P1885,5,2)</f>
        <v/>
      </c>
      <c r="R1885" s="53">
        <f>MID(P1885,7,2)</f>
        <v/>
      </c>
      <c r="S1885" s="3" t="inlineStr">
        <is>
          <t>G2G</t>
        </is>
      </c>
      <c r="T1885" s="3" t="inlineStr">
        <is>
          <t>P4</t>
        </is>
      </c>
      <c r="U1885" s="19" t="inlineStr">
        <is>
          <t>P JB Cold Soldering</t>
        </is>
      </c>
      <c r="V1885" s="19" t="inlineStr">
        <is>
          <t>Soldering</t>
        </is>
      </c>
      <c r="W1885" s="3" t="inlineStr">
        <is>
          <t>Repair</t>
        </is>
      </c>
      <c r="X1885" s="18" t="n">
        <v>46166</v>
      </c>
      <c r="Y1885" s="3">
        <f>X1885-A1885</f>
        <v/>
      </c>
      <c r="Z1885" s="18" t="n">
        <v>46166</v>
      </c>
      <c r="AA1885" s="15" t="n"/>
      <c r="AB1885" s="15" t="n"/>
    </row>
    <row r="1886">
      <c r="A1886" s="37" t="n">
        <v>46143</v>
      </c>
      <c r="B1886" s="3" t="n">
        <v>2026</v>
      </c>
      <c r="C1886" s="26" t="inlineStr">
        <is>
          <t>Yanara Power</t>
        </is>
      </c>
      <c r="D1886" s="3" t="inlineStr">
        <is>
          <t>Utility and C&amp;I</t>
        </is>
      </c>
      <c r="E1886" s="3" t="n"/>
      <c r="F1886" s="3" t="inlineStr">
        <is>
          <t>Closed</t>
        </is>
      </c>
      <c r="G1886" s="9" t="inlineStr">
        <is>
          <t xml:space="preserve">Ashish Jindal </t>
        </is>
      </c>
      <c r="H1886" s="26" t="n">
        <v>9983975581</v>
      </c>
      <c r="I1886" s="38" t="inlineStr">
        <is>
          <t>PE01052601</t>
        </is>
      </c>
      <c r="J1886" s="26" t="inlineStr">
        <is>
          <t>Multiple Issues</t>
        </is>
      </c>
      <c r="K1886" s="39" t="inlineStr">
        <is>
          <t>Holi</t>
        </is>
      </c>
      <c r="L1886" s="39" t="inlineStr">
        <is>
          <t>Maharashtra</t>
        </is>
      </c>
      <c r="M1886" s="46" t="inlineStr">
        <is>
          <t>PNS</t>
        </is>
      </c>
      <c r="N1886" s="3" t="inlineStr">
        <is>
          <t>Cold Soldering</t>
        </is>
      </c>
      <c r="O1886" s="56" t="n">
        <v>575</v>
      </c>
      <c r="P1886" s="46" t="inlineStr">
        <is>
          <t>NSMI24070219190</t>
        </is>
      </c>
      <c r="Q1886" s="54">
        <f>MID(P1886,5,2)</f>
        <v/>
      </c>
      <c r="R1886" s="53">
        <f>MID(P1886,7,2)</f>
        <v/>
      </c>
      <c r="S1886" s="3" t="inlineStr">
        <is>
          <t>G2G</t>
        </is>
      </c>
      <c r="T1886" s="3" t="inlineStr">
        <is>
          <t>P4</t>
        </is>
      </c>
      <c r="U1886" s="3" t="inlineStr">
        <is>
          <t>P &amp; N JB Cold Soldering</t>
        </is>
      </c>
      <c r="V1886" s="3" t="inlineStr">
        <is>
          <t>Soldering</t>
        </is>
      </c>
      <c r="W1886" s="3" t="inlineStr">
        <is>
          <t>Repair</t>
        </is>
      </c>
      <c r="X1886" s="18" t="n">
        <v>46166</v>
      </c>
      <c r="Y1886" s="3">
        <f>X1886-A1886</f>
        <v/>
      </c>
      <c r="Z1886" s="18" t="n">
        <v>46166</v>
      </c>
      <c r="AA1886" s="15" t="n"/>
      <c r="AB1886" s="15" t="n"/>
    </row>
    <row r="1887">
      <c r="A1887" s="37" t="n">
        <v>46143</v>
      </c>
      <c r="B1887" s="3" t="n">
        <v>2026</v>
      </c>
      <c r="C1887" s="26" t="inlineStr">
        <is>
          <t>Yanara Power</t>
        </is>
      </c>
      <c r="D1887" s="3" t="inlineStr">
        <is>
          <t>Utility and C&amp;I</t>
        </is>
      </c>
      <c r="E1887" s="3" t="n"/>
      <c r="F1887" s="3" t="inlineStr">
        <is>
          <t>Closed</t>
        </is>
      </c>
      <c r="G1887" s="9" t="inlineStr">
        <is>
          <t xml:space="preserve">Ashish Jindal </t>
        </is>
      </c>
      <c r="H1887" s="26" t="n">
        <v>9983975581</v>
      </c>
      <c r="I1887" s="38" t="inlineStr">
        <is>
          <t>PE01052601</t>
        </is>
      </c>
      <c r="J1887" s="26" t="inlineStr">
        <is>
          <t>Multiple Issues</t>
        </is>
      </c>
      <c r="K1887" s="39" t="inlineStr">
        <is>
          <t>Holi</t>
        </is>
      </c>
      <c r="L1887" s="39" t="inlineStr">
        <is>
          <t>Maharashtra</t>
        </is>
      </c>
      <c r="M1887" s="46" t="inlineStr">
        <is>
          <t>NS</t>
        </is>
      </c>
      <c r="N1887" s="3" t="inlineStr">
        <is>
          <t>Cold Soldering</t>
        </is>
      </c>
      <c r="O1887" s="56" t="n">
        <v>575</v>
      </c>
      <c r="P1887" s="46" t="inlineStr">
        <is>
          <t>NSMI24070216955</t>
        </is>
      </c>
      <c r="Q1887" s="54">
        <f>MID(P1887,5,2)</f>
        <v/>
      </c>
      <c r="R1887" s="53">
        <f>MID(P1887,7,2)</f>
        <v/>
      </c>
      <c r="S1887" s="3" t="inlineStr">
        <is>
          <t>G2G</t>
        </is>
      </c>
      <c r="T1887" s="3" t="inlineStr">
        <is>
          <t>P4</t>
        </is>
      </c>
      <c r="U1887" s="3" t="inlineStr">
        <is>
          <t>N JB Cold Soldering</t>
        </is>
      </c>
      <c r="V1887" s="3" t="inlineStr">
        <is>
          <t>Soldering</t>
        </is>
      </c>
      <c r="W1887" s="3" t="inlineStr">
        <is>
          <t>Repair</t>
        </is>
      </c>
      <c r="X1887" s="18" t="n">
        <v>46166</v>
      </c>
      <c r="Y1887" s="3">
        <f>X1887-A1887</f>
        <v/>
      </c>
      <c r="Z1887" s="18" t="n">
        <v>46166</v>
      </c>
      <c r="AA1887" s="15" t="n"/>
      <c r="AB1887" s="15" t="n"/>
    </row>
    <row r="1888">
      <c r="A1888" s="37" t="n">
        <v>46143</v>
      </c>
      <c r="B1888" s="3" t="n">
        <v>2026</v>
      </c>
      <c r="C1888" s="26" t="inlineStr">
        <is>
          <t>Yanara Power</t>
        </is>
      </c>
      <c r="D1888" s="3" t="inlineStr">
        <is>
          <t>Utility and C&amp;I</t>
        </is>
      </c>
      <c r="E1888" s="3" t="n"/>
      <c r="F1888" s="3" t="inlineStr">
        <is>
          <t>Closed</t>
        </is>
      </c>
      <c r="G1888" s="9" t="inlineStr">
        <is>
          <t xml:space="preserve">Ashish Jindal </t>
        </is>
      </c>
      <c r="H1888" s="26" t="n">
        <v>9983975581</v>
      </c>
      <c r="I1888" s="38" t="inlineStr">
        <is>
          <t>PE01052601</t>
        </is>
      </c>
      <c r="J1888" s="26" t="inlineStr">
        <is>
          <t>Multiple Issues</t>
        </is>
      </c>
      <c r="K1888" s="39" t="inlineStr">
        <is>
          <t>Holi</t>
        </is>
      </c>
      <c r="L1888" s="39" t="inlineStr">
        <is>
          <t>Maharashtra</t>
        </is>
      </c>
      <c r="M1888" s="46" t="inlineStr">
        <is>
          <t>PNS</t>
        </is>
      </c>
      <c r="N1888" s="3" t="inlineStr">
        <is>
          <t>Cold Soldering</t>
        </is>
      </c>
      <c r="O1888" s="56" t="n">
        <v>575</v>
      </c>
      <c r="P1888" s="46" t="inlineStr">
        <is>
          <t>NSMI24070216622</t>
        </is>
      </c>
      <c r="Q1888" s="54">
        <f>MID(P1888,5,2)</f>
        <v/>
      </c>
      <c r="R1888" s="53">
        <f>MID(P1888,7,2)</f>
        <v/>
      </c>
      <c r="S1888" s="3" t="inlineStr">
        <is>
          <t>G2G</t>
        </is>
      </c>
      <c r="T1888" s="3" t="inlineStr">
        <is>
          <t>P4</t>
        </is>
      </c>
      <c r="U1888" s="3" t="inlineStr">
        <is>
          <t>P &amp; N JB Cold Soldering</t>
        </is>
      </c>
      <c r="V1888" s="3" t="inlineStr">
        <is>
          <t>Soldering</t>
        </is>
      </c>
      <c r="W1888" s="3" t="inlineStr">
        <is>
          <t>Repair</t>
        </is>
      </c>
      <c r="X1888" s="18" t="n">
        <v>46166</v>
      </c>
      <c r="Y1888" s="3">
        <f>X1888-A1888</f>
        <v/>
      </c>
      <c r="Z1888" s="18" t="n">
        <v>46166</v>
      </c>
      <c r="AA1888" s="15" t="n"/>
      <c r="AB1888" s="15" t="n"/>
    </row>
    <row r="1889">
      <c r="A1889" s="37" t="n">
        <v>46143</v>
      </c>
      <c r="B1889" s="3" t="n">
        <v>2026</v>
      </c>
      <c r="C1889" s="26" t="inlineStr">
        <is>
          <t>Yanara Power</t>
        </is>
      </c>
      <c r="D1889" s="3" t="inlineStr">
        <is>
          <t>Utility and C&amp;I</t>
        </is>
      </c>
      <c r="E1889" s="3" t="n"/>
      <c r="F1889" s="3" t="inlineStr">
        <is>
          <t>Closed</t>
        </is>
      </c>
      <c r="G1889" s="9" t="inlineStr">
        <is>
          <t xml:space="preserve">Ashish Jindal </t>
        </is>
      </c>
      <c r="H1889" s="26" t="n">
        <v>9983975581</v>
      </c>
      <c r="I1889" s="38" t="inlineStr">
        <is>
          <t>PE01052601</t>
        </is>
      </c>
      <c r="J1889" s="26" t="inlineStr">
        <is>
          <t>Multiple Issues</t>
        </is>
      </c>
      <c r="K1889" s="39" t="inlineStr">
        <is>
          <t>Holi</t>
        </is>
      </c>
      <c r="L1889" s="39" t="inlineStr">
        <is>
          <t>Maharashtra</t>
        </is>
      </c>
      <c r="M1889" s="46" t="inlineStr">
        <is>
          <t>PS</t>
        </is>
      </c>
      <c r="N1889" s="3" t="inlineStr">
        <is>
          <t>Cold Soldering</t>
        </is>
      </c>
      <c r="O1889" s="56" t="n">
        <v>575</v>
      </c>
      <c r="P1889" s="46" t="inlineStr">
        <is>
          <t>NSMI24070216630</t>
        </is>
      </c>
      <c r="Q1889" s="54">
        <f>MID(P1889,5,2)</f>
        <v/>
      </c>
      <c r="R1889" s="53">
        <f>MID(P1889,7,2)</f>
        <v/>
      </c>
      <c r="S1889" s="3" t="inlineStr">
        <is>
          <t>G2G</t>
        </is>
      </c>
      <c r="T1889" s="3" t="inlineStr">
        <is>
          <t>P4</t>
        </is>
      </c>
      <c r="U1889" s="19" t="inlineStr">
        <is>
          <t>P JB Cold Soldering</t>
        </is>
      </c>
      <c r="V1889" s="19" t="inlineStr">
        <is>
          <t>Soldering</t>
        </is>
      </c>
      <c r="W1889" s="3" t="inlineStr">
        <is>
          <t>Repair</t>
        </is>
      </c>
      <c r="X1889" s="18" t="n">
        <v>46166</v>
      </c>
      <c r="Y1889" s="3">
        <f>X1889-A1889</f>
        <v/>
      </c>
      <c r="Z1889" s="18" t="n">
        <v>46166</v>
      </c>
      <c r="AA1889" s="15" t="n"/>
      <c r="AB1889" s="15" t="n"/>
    </row>
    <row r="1890">
      <c r="A1890" s="37" t="n">
        <v>46143</v>
      </c>
      <c r="B1890" s="3" t="n">
        <v>2026</v>
      </c>
      <c r="C1890" s="26" t="inlineStr">
        <is>
          <t>Yanara Power</t>
        </is>
      </c>
      <c r="D1890" s="3" t="inlineStr">
        <is>
          <t>Utility and C&amp;I</t>
        </is>
      </c>
      <c r="E1890" s="3" t="n"/>
      <c r="F1890" s="3" t="inlineStr">
        <is>
          <t>Closed</t>
        </is>
      </c>
      <c r="G1890" s="9" t="inlineStr">
        <is>
          <t xml:space="preserve">Ashish Jindal </t>
        </is>
      </c>
      <c r="H1890" s="26" t="n">
        <v>9983975581</v>
      </c>
      <c r="I1890" s="38" t="inlineStr">
        <is>
          <t>PE01052601</t>
        </is>
      </c>
      <c r="J1890" s="26" t="inlineStr">
        <is>
          <t>Multiple Issues</t>
        </is>
      </c>
      <c r="K1890" s="39" t="inlineStr">
        <is>
          <t>Holi</t>
        </is>
      </c>
      <c r="L1890" s="39" t="inlineStr">
        <is>
          <t>Maharashtra</t>
        </is>
      </c>
      <c r="M1890" s="46" t="inlineStr">
        <is>
          <t>PS</t>
        </is>
      </c>
      <c r="N1890" s="3" t="inlineStr">
        <is>
          <t>Cold Soldering</t>
        </is>
      </c>
      <c r="O1890" s="56" t="n">
        <v>575</v>
      </c>
      <c r="P1890" s="46" t="inlineStr">
        <is>
          <t>NSMI24070217656</t>
        </is>
      </c>
      <c r="Q1890" s="54">
        <f>MID(P1890,5,2)</f>
        <v/>
      </c>
      <c r="R1890" s="53">
        <f>MID(P1890,7,2)</f>
        <v/>
      </c>
      <c r="S1890" s="3" t="inlineStr">
        <is>
          <t>G2G</t>
        </is>
      </c>
      <c r="T1890" s="3" t="inlineStr">
        <is>
          <t>P4</t>
        </is>
      </c>
      <c r="U1890" s="19" t="inlineStr">
        <is>
          <t>P JB Cold Soldering</t>
        </is>
      </c>
      <c r="V1890" s="19" t="inlineStr">
        <is>
          <t>Soldering</t>
        </is>
      </c>
      <c r="W1890" s="3" t="inlineStr">
        <is>
          <t>Repair</t>
        </is>
      </c>
      <c r="X1890" s="18" t="n">
        <v>46166</v>
      </c>
      <c r="Y1890" s="3">
        <f>X1890-A1890</f>
        <v/>
      </c>
      <c r="Z1890" s="18" t="n">
        <v>46166</v>
      </c>
      <c r="AA1890" s="15" t="n"/>
      <c r="AB1890" s="15" t="n"/>
    </row>
    <row r="1891">
      <c r="A1891" s="37" t="n">
        <v>46143</v>
      </c>
      <c r="B1891" s="3" t="n">
        <v>2026</v>
      </c>
      <c r="C1891" s="26" t="inlineStr">
        <is>
          <t>Yanara Power</t>
        </is>
      </c>
      <c r="D1891" s="3" t="inlineStr">
        <is>
          <t>Utility and C&amp;I</t>
        </is>
      </c>
      <c r="E1891" s="3" t="n"/>
      <c r="F1891" s="3" t="inlineStr">
        <is>
          <t>Closed</t>
        </is>
      </c>
      <c r="G1891" s="9" t="inlineStr">
        <is>
          <t xml:space="preserve">Ashish Jindal </t>
        </is>
      </c>
      <c r="H1891" s="26" t="n">
        <v>9983975581</v>
      </c>
      <c r="I1891" s="38" t="inlineStr">
        <is>
          <t>PE01052601</t>
        </is>
      </c>
      <c r="J1891" s="26" t="inlineStr">
        <is>
          <t>Multiple Issues</t>
        </is>
      </c>
      <c r="K1891" s="39" t="inlineStr">
        <is>
          <t>Holi</t>
        </is>
      </c>
      <c r="L1891" s="39" t="inlineStr">
        <is>
          <t>Maharashtra</t>
        </is>
      </c>
      <c r="M1891" s="46" t="inlineStr">
        <is>
          <t>PS</t>
        </is>
      </c>
      <c r="N1891" s="3" t="inlineStr">
        <is>
          <t>Cold Soldering</t>
        </is>
      </c>
      <c r="O1891" s="56" t="n">
        <v>575</v>
      </c>
      <c r="P1891" s="46" t="inlineStr">
        <is>
          <t>NSMI24070182029</t>
        </is>
      </c>
      <c r="Q1891" s="54">
        <f>MID(P1891,5,2)</f>
        <v/>
      </c>
      <c r="R1891" s="53">
        <f>MID(P1891,7,2)</f>
        <v/>
      </c>
      <c r="S1891" s="3" t="inlineStr">
        <is>
          <t>G2G</t>
        </is>
      </c>
      <c r="T1891" s="3" t="inlineStr">
        <is>
          <t>P4</t>
        </is>
      </c>
      <c r="U1891" s="19" t="inlineStr">
        <is>
          <t>P JB Cold Soldering</t>
        </is>
      </c>
      <c r="V1891" s="19" t="inlineStr">
        <is>
          <t>Soldering</t>
        </is>
      </c>
      <c r="W1891" s="3" t="inlineStr">
        <is>
          <t>Repair</t>
        </is>
      </c>
      <c r="X1891" s="18" t="n">
        <v>46166</v>
      </c>
      <c r="Y1891" s="3">
        <f>X1891-A1891</f>
        <v/>
      </c>
      <c r="Z1891" s="18" t="n">
        <v>46166</v>
      </c>
      <c r="AA1891" s="15" t="n"/>
      <c r="AB1891" s="15" t="n"/>
    </row>
    <row r="1892">
      <c r="A1892" s="37" t="n">
        <v>46143</v>
      </c>
      <c r="B1892" s="3" t="n">
        <v>2026</v>
      </c>
      <c r="C1892" s="26" t="inlineStr">
        <is>
          <t>Yanara Power</t>
        </is>
      </c>
      <c r="D1892" s="3" t="inlineStr">
        <is>
          <t>Utility and C&amp;I</t>
        </is>
      </c>
      <c r="E1892" s="3" t="n"/>
      <c r="F1892" s="3" t="inlineStr">
        <is>
          <t>Closed</t>
        </is>
      </c>
      <c r="G1892" s="9" t="inlineStr">
        <is>
          <t xml:space="preserve">Ashish Jindal </t>
        </is>
      </c>
      <c r="H1892" s="26" t="n">
        <v>9983975581</v>
      </c>
      <c r="I1892" s="38" t="inlineStr">
        <is>
          <t>PE01052601</t>
        </is>
      </c>
      <c r="J1892" s="26" t="inlineStr">
        <is>
          <t>Multiple Issues</t>
        </is>
      </c>
      <c r="K1892" s="39" t="inlineStr">
        <is>
          <t>Holi</t>
        </is>
      </c>
      <c r="L1892" s="39" t="inlineStr">
        <is>
          <t>Maharashtra</t>
        </is>
      </c>
      <c r="M1892" s="46" t="inlineStr">
        <is>
          <t>NS</t>
        </is>
      </c>
      <c r="N1892" s="3" t="inlineStr">
        <is>
          <t>Cold Soldering</t>
        </is>
      </c>
      <c r="O1892" s="56" t="n">
        <v>575</v>
      </c>
      <c r="P1892" s="46" t="inlineStr">
        <is>
          <t>NSMI24070176803</t>
        </is>
      </c>
      <c r="Q1892" s="54">
        <f>MID(P1892,5,2)</f>
        <v/>
      </c>
      <c r="R1892" s="53">
        <f>MID(P1892,7,2)</f>
        <v/>
      </c>
      <c r="S1892" s="3" t="inlineStr">
        <is>
          <t>G2G</t>
        </is>
      </c>
      <c r="T1892" s="3" t="inlineStr">
        <is>
          <t>P4</t>
        </is>
      </c>
      <c r="U1892" s="3" t="inlineStr">
        <is>
          <t>N JB Cold Soldering</t>
        </is>
      </c>
      <c r="V1892" s="3" t="inlineStr">
        <is>
          <t>Soldering</t>
        </is>
      </c>
      <c r="W1892" s="3" t="inlineStr">
        <is>
          <t>Repair</t>
        </is>
      </c>
      <c r="X1892" s="18" t="n">
        <v>46166</v>
      </c>
      <c r="Y1892" s="3">
        <f>X1892-A1892</f>
        <v/>
      </c>
      <c r="Z1892" s="18" t="n">
        <v>46166</v>
      </c>
      <c r="AA1892" s="15" t="n"/>
      <c r="AB1892" s="15" t="n"/>
    </row>
    <row r="1893">
      <c r="A1893" s="37" t="n">
        <v>46143</v>
      </c>
      <c r="B1893" s="3" t="n">
        <v>2026</v>
      </c>
      <c r="C1893" s="26" t="inlineStr">
        <is>
          <t>Yanara Power</t>
        </is>
      </c>
      <c r="D1893" s="3" t="inlineStr">
        <is>
          <t>Utility and C&amp;I</t>
        </is>
      </c>
      <c r="E1893" s="3" t="n"/>
      <c r="F1893" s="3" t="inlineStr">
        <is>
          <t>Closed</t>
        </is>
      </c>
      <c r="G1893" s="9" t="inlineStr">
        <is>
          <t xml:space="preserve">Ashish Jindal </t>
        </is>
      </c>
      <c r="H1893" s="26" t="n">
        <v>9983975581</v>
      </c>
      <c r="I1893" s="38" t="inlineStr">
        <is>
          <t>PE01052601</t>
        </is>
      </c>
      <c r="J1893" s="26" t="inlineStr">
        <is>
          <t>Multiple Issues</t>
        </is>
      </c>
      <c r="K1893" s="39" t="inlineStr">
        <is>
          <t>Holi</t>
        </is>
      </c>
      <c r="L1893" s="39" t="inlineStr">
        <is>
          <t>Maharashtra</t>
        </is>
      </c>
      <c r="M1893" s="46" t="inlineStr">
        <is>
          <t>PS</t>
        </is>
      </c>
      <c r="N1893" s="3" t="inlineStr">
        <is>
          <t>Cold Soldering</t>
        </is>
      </c>
      <c r="O1893" s="56" t="n">
        <v>575</v>
      </c>
      <c r="P1893" s="46" t="inlineStr">
        <is>
          <t>NSMI24070182133</t>
        </is>
      </c>
      <c r="Q1893" s="54">
        <f>MID(P1893,5,2)</f>
        <v/>
      </c>
      <c r="R1893" s="53">
        <f>MID(P1893,7,2)</f>
        <v/>
      </c>
      <c r="S1893" s="3" t="inlineStr">
        <is>
          <t>G2G</t>
        </is>
      </c>
      <c r="T1893" s="3" t="inlineStr">
        <is>
          <t>P4</t>
        </is>
      </c>
      <c r="U1893" s="19" t="inlineStr">
        <is>
          <t>P JB Cold Soldering</t>
        </is>
      </c>
      <c r="V1893" s="19" t="inlineStr">
        <is>
          <t>Soldering</t>
        </is>
      </c>
      <c r="W1893" s="3" t="inlineStr">
        <is>
          <t>Repair</t>
        </is>
      </c>
      <c r="X1893" s="18" t="n">
        <v>46166</v>
      </c>
      <c r="Y1893" s="3">
        <f>X1893-A1893</f>
        <v/>
      </c>
      <c r="Z1893" s="18" t="n">
        <v>46166</v>
      </c>
      <c r="AA1893" s="15" t="n"/>
      <c r="AB1893" s="15" t="n"/>
    </row>
    <row r="1894">
      <c r="A1894" s="37" t="n">
        <v>46143</v>
      </c>
      <c r="B1894" s="3" t="n">
        <v>2026</v>
      </c>
      <c r="C1894" s="26" t="inlineStr">
        <is>
          <t>Yanara Power</t>
        </is>
      </c>
      <c r="D1894" s="3" t="inlineStr">
        <is>
          <t>Utility and C&amp;I</t>
        </is>
      </c>
      <c r="E1894" s="3" t="n"/>
      <c r="F1894" s="3" t="inlineStr">
        <is>
          <t>Closed</t>
        </is>
      </c>
      <c r="G1894" s="9" t="inlineStr">
        <is>
          <t xml:space="preserve">Ashish Jindal </t>
        </is>
      </c>
      <c r="H1894" s="26" t="n">
        <v>9983975581</v>
      </c>
      <c r="I1894" s="38" t="inlineStr">
        <is>
          <t>PE01052601</t>
        </is>
      </c>
      <c r="J1894" s="26" t="inlineStr">
        <is>
          <t>Multiple Issues</t>
        </is>
      </c>
      <c r="K1894" s="39" t="inlineStr">
        <is>
          <t>Holi</t>
        </is>
      </c>
      <c r="L1894" s="39" t="inlineStr">
        <is>
          <t>Maharashtra</t>
        </is>
      </c>
      <c r="M1894" s="46" t="inlineStr">
        <is>
          <t>NS</t>
        </is>
      </c>
      <c r="N1894" s="3" t="inlineStr">
        <is>
          <t>Cold Soldering</t>
        </is>
      </c>
      <c r="O1894" s="56" t="n">
        <v>575</v>
      </c>
      <c r="P1894" s="46" t="inlineStr">
        <is>
          <t>NSMI24070182047</t>
        </is>
      </c>
      <c r="Q1894" s="54">
        <f>MID(P1894,5,2)</f>
        <v/>
      </c>
      <c r="R1894" s="53">
        <f>MID(P1894,7,2)</f>
        <v/>
      </c>
      <c r="S1894" s="3" t="inlineStr">
        <is>
          <t>G2G</t>
        </is>
      </c>
      <c r="T1894" s="3" t="inlineStr">
        <is>
          <t>P4</t>
        </is>
      </c>
      <c r="U1894" s="3" t="inlineStr">
        <is>
          <t>N JB Cold Soldering</t>
        </is>
      </c>
      <c r="V1894" s="3" t="inlineStr">
        <is>
          <t>Soldering</t>
        </is>
      </c>
      <c r="W1894" s="3" t="inlineStr">
        <is>
          <t>Repair</t>
        </is>
      </c>
      <c r="X1894" s="18" t="n">
        <v>46166</v>
      </c>
      <c r="Y1894" s="3">
        <f>X1894-A1894</f>
        <v/>
      </c>
      <c r="Z1894" s="18" t="n">
        <v>46166</v>
      </c>
      <c r="AA1894" s="15" t="n"/>
      <c r="AB1894" s="15" t="n"/>
    </row>
    <row r="1895">
      <c r="A1895" s="37" t="n">
        <v>46143</v>
      </c>
      <c r="B1895" s="3" t="n">
        <v>2026</v>
      </c>
      <c r="C1895" s="26" t="inlineStr">
        <is>
          <t>Yanara Power</t>
        </is>
      </c>
      <c r="D1895" s="3" t="inlineStr">
        <is>
          <t>Utility and C&amp;I</t>
        </is>
      </c>
      <c r="E1895" s="3" t="n"/>
      <c r="F1895" s="3" t="inlineStr">
        <is>
          <t>Closed</t>
        </is>
      </c>
      <c r="G1895" s="9" t="inlineStr">
        <is>
          <t xml:space="preserve">Ashish Jindal </t>
        </is>
      </c>
      <c r="H1895" s="26" t="n">
        <v>9983975581</v>
      </c>
      <c r="I1895" s="38" t="inlineStr">
        <is>
          <t>PE01052601</t>
        </is>
      </c>
      <c r="J1895" s="26" t="inlineStr">
        <is>
          <t>Multiple Issues</t>
        </is>
      </c>
      <c r="K1895" s="39" t="inlineStr">
        <is>
          <t>Holi</t>
        </is>
      </c>
      <c r="L1895" s="39" t="inlineStr">
        <is>
          <t>Maharashtra</t>
        </is>
      </c>
      <c r="M1895" s="46" t="inlineStr">
        <is>
          <t>PS</t>
        </is>
      </c>
      <c r="N1895" s="3" t="inlineStr">
        <is>
          <t>Cold Soldering</t>
        </is>
      </c>
      <c r="O1895" s="56" t="n">
        <v>575</v>
      </c>
      <c r="P1895" s="46" t="inlineStr">
        <is>
          <t>NSMI24070176783</t>
        </is>
      </c>
      <c r="Q1895" s="54">
        <f>MID(P1895,5,2)</f>
        <v/>
      </c>
      <c r="R1895" s="53">
        <f>MID(P1895,7,2)</f>
        <v/>
      </c>
      <c r="S1895" s="3" t="inlineStr">
        <is>
          <t>G2G</t>
        </is>
      </c>
      <c r="T1895" s="3" t="inlineStr">
        <is>
          <t>P4</t>
        </is>
      </c>
      <c r="U1895" s="19" t="inlineStr">
        <is>
          <t>P JB Cold Soldering</t>
        </is>
      </c>
      <c r="V1895" s="19" t="inlineStr">
        <is>
          <t>Soldering</t>
        </is>
      </c>
      <c r="W1895" s="3" t="inlineStr">
        <is>
          <t>Repair</t>
        </is>
      </c>
      <c r="X1895" s="18" t="n">
        <v>46166</v>
      </c>
      <c r="Y1895" s="3">
        <f>X1895-A1895</f>
        <v/>
      </c>
      <c r="Z1895" s="18" t="n">
        <v>46166</v>
      </c>
      <c r="AA1895" s="15" t="n"/>
      <c r="AB1895" s="15" t="n"/>
    </row>
    <row r="1896">
      <c r="A1896" s="37" t="n">
        <v>46143</v>
      </c>
      <c r="B1896" s="3" t="n">
        <v>2026</v>
      </c>
      <c r="C1896" s="26" t="inlineStr">
        <is>
          <t>Yanara Power</t>
        </is>
      </c>
      <c r="D1896" s="3" t="inlineStr">
        <is>
          <t>Utility and C&amp;I</t>
        </is>
      </c>
      <c r="E1896" s="3" t="n"/>
      <c r="F1896" s="3" t="inlineStr">
        <is>
          <t>Closed</t>
        </is>
      </c>
      <c r="G1896" s="9" t="inlineStr">
        <is>
          <t xml:space="preserve">Ashish Jindal </t>
        </is>
      </c>
      <c r="H1896" s="26" t="n">
        <v>9983975581</v>
      </c>
      <c r="I1896" s="38" t="inlineStr">
        <is>
          <t>PE01052601</t>
        </is>
      </c>
      <c r="J1896" s="26" t="inlineStr">
        <is>
          <t>Multiple Issues</t>
        </is>
      </c>
      <c r="K1896" s="39" t="inlineStr">
        <is>
          <t>Holi</t>
        </is>
      </c>
      <c r="L1896" s="39" t="inlineStr">
        <is>
          <t>Maharashtra</t>
        </is>
      </c>
      <c r="M1896" s="46" t="inlineStr">
        <is>
          <t>PS</t>
        </is>
      </c>
      <c r="N1896" s="3" t="inlineStr">
        <is>
          <t>Cold Soldering</t>
        </is>
      </c>
      <c r="O1896" s="56" t="n">
        <v>575</v>
      </c>
      <c r="P1896" s="46" t="inlineStr">
        <is>
          <t>NSMI24070176861</t>
        </is>
      </c>
      <c r="Q1896" s="54">
        <f>MID(P1896,5,2)</f>
        <v/>
      </c>
      <c r="R1896" s="53">
        <f>MID(P1896,7,2)</f>
        <v/>
      </c>
      <c r="S1896" s="3" t="inlineStr">
        <is>
          <t>G2G</t>
        </is>
      </c>
      <c r="T1896" s="3" t="inlineStr">
        <is>
          <t>P4</t>
        </is>
      </c>
      <c r="U1896" s="19" t="inlineStr">
        <is>
          <t>P JB Cold Soldering</t>
        </is>
      </c>
      <c r="V1896" s="19" t="inlineStr">
        <is>
          <t>Soldering</t>
        </is>
      </c>
      <c r="W1896" s="3" t="inlineStr">
        <is>
          <t>Repair</t>
        </is>
      </c>
      <c r="X1896" s="18" t="n">
        <v>46166</v>
      </c>
      <c r="Y1896" s="3">
        <f>X1896-A1896</f>
        <v/>
      </c>
      <c r="Z1896" s="18" t="n">
        <v>46166</v>
      </c>
      <c r="AA1896" s="15" t="n"/>
      <c r="AB1896" s="15" t="n"/>
    </row>
    <row r="1897">
      <c r="A1897" s="37" t="n">
        <v>46143</v>
      </c>
      <c r="B1897" s="3" t="n">
        <v>2026</v>
      </c>
      <c r="C1897" s="26" t="inlineStr">
        <is>
          <t>Yanara Power</t>
        </is>
      </c>
      <c r="D1897" s="3" t="inlineStr">
        <is>
          <t>Utility and C&amp;I</t>
        </is>
      </c>
      <c r="E1897" s="3" t="n"/>
      <c r="F1897" s="3" t="inlineStr">
        <is>
          <t>Closed</t>
        </is>
      </c>
      <c r="G1897" s="9" t="inlineStr">
        <is>
          <t xml:space="preserve">Ashish Jindal </t>
        </is>
      </c>
      <c r="H1897" s="26" t="n">
        <v>9983975581</v>
      </c>
      <c r="I1897" s="38" t="inlineStr">
        <is>
          <t>PE01052601</t>
        </is>
      </c>
      <c r="J1897" s="26" t="inlineStr">
        <is>
          <t>Multiple Issues</t>
        </is>
      </c>
      <c r="K1897" s="39" t="inlineStr">
        <is>
          <t>Holi</t>
        </is>
      </c>
      <c r="L1897" s="39" t="inlineStr">
        <is>
          <t>Maharashtra</t>
        </is>
      </c>
      <c r="M1897" s="46" t="inlineStr">
        <is>
          <t>PS</t>
        </is>
      </c>
      <c r="N1897" s="3" t="inlineStr">
        <is>
          <t>Cold Soldering</t>
        </is>
      </c>
      <c r="O1897" s="56" t="n">
        <v>575</v>
      </c>
      <c r="P1897" s="46" t="inlineStr">
        <is>
          <t>NSMI24070198528</t>
        </is>
      </c>
      <c r="Q1897" s="54">
        <f>MID(P1897,5,2)</f>
        <v/>
      </c>
      <c r="R1897" s="53">
        <f>MID(P1897,7,2)</f>
        <v/>
      </c>
      <c r="S1897" s="3" t="inlineStr">
        <is>
          <t>G2G</t>
        </is>
      </c>
      <c r="T1897" s="3" t="inlineStr">
        <is>
          <t>P4</t>
        </is>
      </c>
      <c r="U1897" s="19" t="inlineStr">
        <is>
          <t>P JB Cold Soldering</t>
        </is>
      </c>
      <c r="V1897" s="19" t="inlineStr">
        <is>
          <t>Soldering</t>
        </is>
      </c>
      <c r="W1897" s="3" t="inlineStr">
        <is>
          <t>Repair</t>
        </is>
      </c>
      <c r="X1897" s="18" t="n">
        <v>46166</v>
      </c>
      <c r="Y1897" s="3">
        <f>X1897-A1897</f>
        <v/>
      </c>
      <c r="Z1897" s="18" t="n">
        <v>46166</v>
      </c>
      <c r="AA1897" s="15" t="n"/>
      <c r="AB1897" s="15" t="n"/>
    </row>
    <row r="1898">
      <c r="A1898" s="37" t="n">
        <v>46143</v>
      </c>
      <c r="B1898" s="3" t="n">
        <v>2026</v>
      </c>
      <c r="C1898" s="26" t="inlineStr">
        <is>
          <t>Yanara Power</t>
        </is>
      </c>
      <c r="D1898" s="3" t="inlineStr">
        <is>
          <t>Utility and C&amp;I</t>
        </is>
      </c>
      <c r="E1898" s="3" t="n"/>
      <c r="F1898" s="3" t="inlineStr">
        <is>
          <t>Closed</t>
        </is>
      </c>
      <c r="G1898" s="9" t="inlineStr">
        <is>
          <t xml:space="preserve">Ashish Jindal </t>
        </is>
      </c>
      <c r="H1898" s="26" t="n">
        <v>9983975581</v>
      </c>
      <c r="I1898" s="38" t="inlineStr">
        <is>
          <t>PE01052601</t>
        </is>
      </c>
      <c r="J1898" s="26" t="inlineStr">
        <is>
          <t>Multiple Issues</t>
        </is>
      </c>
      <c r="K1898" s="39" t="inlineStr">
        <is>
          <t>Holi</t>
        </is>
      </c>
      <c r="L1898" s="39" t="inlineStr">
        <is>
          <t>Maharashtra</t>
        </is>
      </c>
      <c r="M1898" s="46" t="inlineStr">
        <is>
          <t>OK</t>
        </is>
      </c>
      <c r="N1898" s="3" t="inlineStr">
        <is>
          <t>No Issue</t>
        </is>
      </c>
      <c r="O1898" s="56" t="n">
        <v>575</v>
      </c>
      <c r="P1898" s="46" t="inlineStr">
        <is>
          <t>NSMI24070179370</t>
        </is>
      </c>
      <c r="Q1898" s="54">
        <f>MID(P1898,5,2)</f>
        <v/>
      </c>
      <c r="R1898" s="53">
        <f>MID(P1898,7,2)</f>
        <v/>
      </c>
      <c r="S1898" s="3" t="inlineStr">
        <is>
          <t>G2G</t>
        </is>
      </c>
      <c r="T1898" s="3" t="inlineStr">
        <is>
          <t>P4</t>
        </is>
      </c>
      <c r="U1898" s="19" t="inlineStr">
        <is>
          <t>No Issue Found</t>
        </is>
      </c>
      <c r="V1898" s="19" t="inlineStr">
        <is>
          <t>Found OK</t>
        </is>
      </c>
      <c r="W1898" s="3" t="inlineStr">
        <is>
          <t>Repair</t>
        </is>
      </c>
      <c r="X1898" s="18" t="n">
        <v>46166</v>
      </c>
      <c r="Y1898" s="3">
        <f>X1898-A1898</f>
        <v/>
      </c>
      <c r="Z1898" s="18" t="n">
        <v>46166</v>
      </c>
      <c r="AA1898" s="15" t="n"/>
      <c r="AB1898" s="15" t="n"/>
    </row>
    <row r="1899">
      <c r="A1899" s="37" t="n">
        <v>46143</v>
      </c>
      <c r="B1899" s="3" t="n">
        <v>2026</v>
      </c>
      <c r="C1899" s="26" t="inlineStr">
        <is>
          <t>Yanara Power</t>
        </is>
      </c>
      <c r="D1899" s="3" t="inlineStr">
        <is>
          <t>Utility and C&amp;I</t>
        </is>
      </c>
      <c r="E1899" s="3" t="n"/>
      <c r="F1899" s="3" t="inlineStr">
        <is>
          <t>Closed</t>
        </is>
      </c>
      <c r="G1899" s="9" t="inlineStr">
        <is>
          <t xml:space="preserve">Ashish Jindal </t>
        </is>
      </c>
      <c r="H1899" s="26" t="n">
        <v>9983975581</v>
      </c>
      <c r="I1899" s="38" t="inlineStr">
        <is>
          <t>PE01052601</t>
        </is>
      </c>
      <c r="J1899" s="26" t="inlineStr">
        <is>
          <t>Multiple Issues</t>
        </is>
      </c>
      <c r="K1899" s="39" t="inlineStr">
        <is>
          <t>Holi</t>
        </is>
      </c>
      <c r="L1899" s="39" t="inlineStr">
        <is>
          <t>Maharashtra</t>
        </is>
      </c>
      <c r="M1899" s="46" t="inlineStr">
        <is>
          <t>NS</t>
        </is>
      </c>
      <c r="N1899" s="3" t="inlineStr">
        <is>
          <t>Cold Soldering</t>
        </is>
      </c>
      <c r="O1899" s="56" t="n">
        <v>575</v>
      </c>
      <c r="P1899" s="46" t="inlineStr">
        <is>
          <t>NSMI24070219183</t>
        </is>
      </c>
      <c r="Q1899" s="54">
        <f>MID(P1899,5,2)</f>
        <v/>
      </c>
      <c r="R1899" s="53">
        <f>MID(P1899,7,2)</f>
        <v/>
      </c>
      <c r="S1899" s="3" t="inlineStr">
        <is>
          <t>G2G</t>
        </is>
      </c>
      <c r="T1899" s="3" t="inlineStr">
        <is>
          <t>P4</t>
        </is>
      </c>
      <c r="U1899" s="3" t="inlineStr">
        <is>
          <t>N JB Cold Soldering</t>
        </is>
      </c>
      <c r="V1899" s="3" t="inlineStr">
        <is>
          <t>Soldering</t>
        </is>
      </c>
      <c r="W1899" s="3" t="inlineStr">
        <is>
          <t>Repair</t>
        </is>
      </c>
      <c r="X1899" s="18" t="n">
        <v>46166</v>
      </c>
      <c r="Y1899" s="3">
        <f>X1899-A1899</f>
        <v/>
      </c>
      <c r="Z1899" s="18" t="n">
        <v>46166</v>
      </c>
      <c r="AA1899" s="15" t="n"/>
      <c r="AB1899" s="15" t="n"/>
    </row>
    <row r="1900">
      <c r="A1900" s="37" t="n">
        <v>46143</v>
      </c>
      <c r="B1900" s="3" t="n">
        <v>2026</v>
      </c>
      <c r="C1900" s="26" t="inlineStr">
        <is>
          <t>Yanara Power</t>
        </is>
      </c>
      <c r="D1900" s="3" t="inlineStr">
        <is>
          <t>Utility and C&amp;I</t>
        </is>
      </c>
      <c r="E1900" s="3" t="n"/>
      <c r="F1900" s="3" t="inlineStr">
        <is>
          <t>Closed</t>
        </is>
      </c>
      <c r="G1900" s="9" t="inlineStr">
        <is>
          <t xml:space="preserve">Ashish Jindal </t>
        </is>
      </c>
      <c r="H1900" s="26" t="n">
        <v>9983975581</v>
      </c>
      <c r="I1900" s="38" t="inlineStr">
        <is>
          <t>PE01052601</t>
        </is>
      </c>
      <c r="J1900" s="26" t="inlineStr">
        <is>
          <t>Multiple Issues</t>
        </is>
      </c>
      <c r="K1900" s="39" t="inlineStr">
        <is>
          <t>Holi</t>
        </is>
      </c>
      <c r="L1900" s="39" t="inlineStr">
        <is>
          <t>Maharashtra</t>
        </is>
      </c>
      <c r="M1900" s="46" t="inlineStr">
        <is>
          <t>PS</t>
        </is>
      </c>
      <c r="N1900" s="3" t="inlineStr">
        <is>
          <t>Cold Soldering</t>
        </is>
      </c>
      <c r="O1900" s="56" t="n">
        <v>575</v>
      </c>
      <c r="P1900" s="46" t="inlineStr">
        <is>
          <t>NSMI24070217259</t>
        </is>
      </c>
      <c r="Q1900" s="54">
        <f>MID(P1900,5,2)</f>
        <v/>
      </c>
      <c r="R1900" s="53">
        <f>MID(P1900,7,2)</f>
        <v/>
      </c>
      <c r="S1900" s="3" t="inlineStr">
        <is>
          <t>G2G</t>
        </is>
      </c>
      <c r="T1900" s="3" t="inlineStr">
        <is>
          <t>P4</t>
        </is>
      </c>
      <c r="U1900" s="19" t="inlineStr">
        <is>
          <t>P JB Cold Soldering</t>
        </is>
      </c>
      <c r="V1900" s="19" t="inlineStr">
        <is>
          <t>Soldering</t>
        </is>
      </c>
      <c r="W1900" s="3" t="inlineStr">
        <is>
          <t>Repair</t>
        </is>
      </c>
      <c r="X1900" s="18" t="n">
        <v>46166</v>
      </c>
      <c r="Y1900" s="3">
        <f>X1900-A1900</f>
        <v/>
      </c>
      <c r="Z1900" s="18" t="n">
        <v>46166</v>
      </c>
      <c r="AA1900" s="15" t="n"/>
      <c r="AB1900" s="15" t="n"/>
    </row>
    <row r="1901">
      <c r="A1901" s="37" t="n">
        <v>46143</v>
      </c>
      <c r="B1901" s="3" t="n">
        <v>2026</v>
      </c>
      <c r="C1901" s="26" t="inlineStr">
        <is>
          <t>Yanara Power</t>
        </is>
      </c>
      <c r="D1901" s="3" t="inlineStr">
        <is>
          <t>Utility and C&amp;I</t>
        </is>
      </c>
      <c r="E1901" s="3" t="n"/>
      <c r="F1901" s="3" t="inlineStr">
        <is>
          <t>Closed</t>
        </is>
      </c>
      <c r="G1901" s="9" t="inlineStr">
        <is>
          <t xml:space="preserve">Ashish Jindal </t>
        </is>
      </c>
      <c r="H1901" s="26" t="n">
        <v>9983975581</v>
      </c>
      <c r="I1901" s="38" t="inlineStr">
        <is>
          <t>PE01052601</t>
        </is>
      </c>
      <c r="J1901" s="26" t="inlineStr">
        <is>
          <t>Multiple Issues</t>
        </is>
      </c>
      <c r="K1901" s="39" t="inlineStr">
        <is>
          <t>Holi</t>
        </is>
      </c>
      <c r="L1901" s="39" t="inlineStr">
        <is>
          <t>Maharashtra</t>
        </is>
      </c>
      <c r="M1901" s="46" t="inlineStr">
        <is>
          <t>PS</t>
        </is>
      </c>
      <c r="N1901" s="3" t="inlineStr">
        <is>
          <t>Cold Soldering</t>
        </is>
      </c>
      <c r="O1901" s="56" t="n">
        <v>575</v>
      </c>
      <c r="P1901" s="46" t="inlineStr">
        <is>
          <t>NSMI24070217312</t>
        </is>
      </c>
      <c r="Q1901" s="54">
        <f>MID(P1901,5,2)</f>
        <v/>
      </c>
      <c r="R1901" s="53">
        <f>MID(P1901,7,2)</f>
        <v/>
      </c>
      <c r="S1901" s="3" t="inlineStr">
        <is>
          <t>G2G</t>
        </is>
      </c>
      <c r="T1901" s="3" t="inlineStr">
        <is>
          <t>P4</t>
        </is>
      </c>
      <c r="U1901" s="19" t="inlineStr">
        <is>
          <t>P JB Cold Soldering</t>
        </is>
      </c>
      <c r="V1901" s="19" t="inlineStr">
        <is>
          <t>Soldering</t>
        </is>
      </c>
      <c r="W1901" s="3" t="inlineStr">
        <is>
          <t>Repair</t>
        </is>
      </c>
      <c r="X1901" s="18" t="n">
        <v>46166</v>
      </c>
      <c r="Y1901" s="3">
        <f>X1901-A1901</f>
        <v/>
      </c>
      <c r="Z1901" s="18" t="n">
        <v>46166</v>
      </c>
      <c r="AA1901" s="15" t="n"/>
      <c r="AB1901" s="15" t="n"/>
    </row>
    <row r="1902">
      <c r="A1902" s="37" t="n">
        <v>46143</v>
      </c>
      <c r="B1902" s="3" t="n">
        <v>2026</v>
      </c>
      <c r="C1902" s="26" t="inlineStr">
        <is>
          <t>Yanara Power</t>
        </is>
      </c>
      <c r="D1902" s="3" t="inlineStr">
        <is>
          <t>Utility and C&amp;I</t>
        </is>
      </c>
      <c r="E1902" s="3" t="n"/>
      <c r="F1902" s="3" t="inlineStr">
        <is>
          <t>Closed</t>
        </is>
      </c>
      <c r="G1902" s="9" t="inlineStr">
        <is>
          <t xml:space="preserve">Ashish Jindal </t>
        </is>
      </c>
      <c r="H1902" s="26" t="n">
        <v>9983975581</v>
      </c>
      <c r="I1902" s="38" t="inlineStr">
        <is>
          <t>PE01052601</t>
        </is>
      </c>
      <c r="J1902" s="26" t="inlineStr">
        <is>
          <t>Multiple Issues</t>
        </is>
      </c>
      <c r="K1902" s="39" t="inlineStr">
        <is>
          <t>Holi</t>
        </is>
      </c>
      <c r="L1902" s="39" t="inlineStr">
        <is>
          <t>Maharashtra</t>
        </is>
      </c>
      <c r="M1902" s="46" t="inlineStr">
        <is>
          <t>NS</t>
        </is>
      </c>
      <c r="N1902" s="3" t="inlineStr">
        <is>
          <t>Cold Soldering</t>
        </is>
      </c>
      <c r="O1902" s="56" t="n">
        <v>575</v>
      </c>
      <c r="P1902" s="46" t="inlineStr">
        <is>
          <t>NSMI24070216849</t>
        </is>
      </c>
      <c r="Q1902" s="54">
        <f>MID(P1902,5,2)</f>
        <v/>
      </c>
      <c r="R1902" s="53">
        <f>MID(P1902,7,2)</f>
        <v/>
      </c>
      <c r="S1902" s="3" t="inlineStr">
        <is>
          <t>G2G</t>
        </is>
      </c>
      <c r="T1902" s="3" t="inlineStr">
        <is>
          <t>P4</t>
        </is>
      </c>
      <c r="U1902" s="3" t="inlineStr">
        <is>
          <t>N JB Cold Soldering</t>
        </is>
      </c>
      <c r="V1902" s="3" t="inlineStr">
        <is>
          <t>Soldering</t>
        </is>
      </c>
      <c r="W1902" s="3" t="inlineStr">
        <is>
          <t>Repair</t>
        </is>
      </c>
      <c r="X1902" s="18" t="n">
        <v>46166</v>
      </c>
      <c r="Y1902" s="3">
        <f>X1902-A1902</f>
        <v/>
      </c>
      <c r="Z1902" s="18" t="n">
        <v>46166</v>
      </c>
      <c r="AA1902" s="15" t="n"/>
      <c r="AB1902" s="15" t="n"/>
    </row>
    <row r="1903">
      <c r="A1903" s="37" t="n">
        <v>46143</v>
      </c>
      <c r="B1903" s="3" t="n">
        <v>2026</v>
      </c>
      <c r="C1903" s="26" t="inlineStr">
        <is>
          <t>Yanara Power</t>
        </is>
      </c>
      <c r="D1903" s="3" t="inlineStr">
        <is>
          <t>Utility and C&amp;I</t>
        </is>
      </c>
      <c r="E1903" s="3" t="n"/>
      <c r="F1903" s="3" t="inlineStr">
        <is>
          <t>Closed</t>
        </is>
      </c>
      <c r="G1903" s="9" t="inlineStr">
        <is>
          <t xml:space="preserve">Ashish Jindal </t>
        </is>
      </c>
      <c r="H1903" s="26" t="n">
        <v>9983975581</v>
      </c>
      <c r="I1903" s="38" t="inlineStr">
        <is>
          <t>PE01052601</t>
        </is>
      </c>
      <c r="J1903" s="26" t="inlineStr">
        <is>
          <t>Multiple Issues</t>
        </is>
      </c>
      <c r="K1903" s="39" t="inlineStr">
        <is>
          <t>Holi</t>
        </is>
      </c>
      <c r="L1903" s="39" t="inlineStr">
        <is>
          <t>Maharashtra</t>
        </is>
      </c>
      <c r="M1903" s="46" t="inlineStr">
        <is>
          <t>PR</t>
        </is>
      </c>
      <c r="N1903" s="3" t="inlineStr">
        <is>
          <t>JB Issue</t>
        </is>
      </c>
      <c r="O1903" s="56" t="n">
        <v>575</v>
      </c>
      <c r="P1903" s="46" t="inlineStr">
        <is>
          <t>NSMI24070217143</t>
        </is>
      </c>
      <c r="Q1903" s="54">
        <f>MID(P1903,5,2)</f>
        <v/>
      </c>
      <c r="R1903" s="53">
        <f>MID(P1903,7,2)</f>
        <v/>
      </c>
      <c r="S1903" s="3" t="inlineStr">
        <is>
          <t>G2G</t>
        </is>
      </c>
      <c r="T1903" s="3" t="inlineStr">
        <is>
          <t>P4</t>
        </is>
      </c>
      <c r="U1903" s="3" t="inlineStr">
        <is>
          <t>P JB Issue</t>
        </is>
      </c>
      <c r="V1903" s="15" t="inlineStr">
        <is>
          <t>JB Changed</t>
        </is>
      </c>
      <c r="W1903" s="3" t="inlineStr">
        <is>
          <t>Repair</t>
        </is>
      </c>
      <c r="X1903" s="18" t="n">
        <v>46166</v>
      </c>
      <c r="Y1903" s="3">
        <f>X1903-A1903</f>
        <v/>
      </c>
      <c r="Z1903" s="18" t="n">
        <v>46166</v>
      </c>
      <c r="AA1903" s="15" t="n"/>
      <c r="AB1903" s="15" t="n"/>
    </row>
    <row r="1904">
      <c r="A1904" s="37" t="n">
        <v>46143</v>
      </c>
      <c r="B1904" s="3" t="n">
        <v>2026</v>
      </c>
      <c r="C1904" s="26" t="inlineStr">
        <is>
          <t>Yanara Power</t>
        </is>
      </c>
      <c r="D1904" s="3" t="inlineStr">
        <is>
          <t>Utility and C&amp;I</t>
        </is>
      </c>
      <c r="E1904" s="3" t="n"/>
      <c r="F1904" s="3" t="inlineStr">
        <is>
          <t>Closed</t>
        </is>
      </c>
      <c r="G1904" s="9" t="inlineStr">
        <is>
          <t xml:space="preserve">Ashish Jindal </t>
        </is>
      </c>
      <c r="H1904" s="26" t="n">
        <v>9983975581</v>
      </c>
      <c r="I1904" s="38" t="inlineStr">
        <is>
          <t>PE01052601</t>
        </is>
      </c>
      <c r="J1904" s="26" t="inlineStr">
        <is>
          <t>Multiple Issues</t>
        </is>
      </c>
      <c r="K1904" s="39" t="inlineStr">
        <is>
          <t>Holi</t>
        </is>
      </c>
      <c r="L1904" s="39" t="inlineStr">
        <is>
          <t>Maharashtra</t>
        </is>
      </c>
      <c r="M1904" s="46" t="inlineStr">
        <is>
          <t>PS</t>
        </is>
      </c>
      <c r="N1904" s="3" t="inlineStr">
        <is>
          <t>Cold Soldering</t>
        </is>
      </c>
      <c r="O1904" s="56" t="n">
        <v>575</v>
      </c>
      <c r="P1904" s="46" t="inlineStr">
        <is>
          <t>NSMI24070216191</t>
        </is>
      </c>
      <c r="Q1904" s="54">
        <f>MID(P1904,5,2)</f>
        <v/>
      </c>
      <c r="R1904" s="53">
        <f>MID(P1904,7,2)</f>
        <v/>
      </c>
      <c r="S1904" s="3" t="inlineStr">
        <is>
          <t>G2G</t>
        </is>
      </c>
      <c r="T1904" s="3" t="inlineStr">
        <is>
          <t>P4</t>
        </is>
      </c>
      <c r="U1904" s="19" t="inlineStr">
        <is>
          <t>P JB Cold Soldering</t>
        </is>
      </c>
      <c r="V1904" s="19" t="inlineStr">
        <is>
          <t>Soldering</t>
        </is>
      </c>
      <c r="W1904" s="3" t="inlineStr">
        <is>
          <t>Repair</t>
        </is>
      </c>
      <c r="X1904" s="18" t="n">
        <v>46166</v>
      </c>
      <c r="Y1904" s="3">
        <f>X1904-A1904</f>
        <v/>
      </c>
      <c r="Z1904" s="18" t="n">
        <v>46166</v>
      </c>
      <c r="AA1904" s="15" t="n"/>
      <c r="AB1904" s="15" t="n"/>
    </row>
    <row r="1905">
      <c r="A1905" s="37" t="n">
        <v>46143</v>
      </c>
      <c r="B1905" s="3" t="n">
        <v>2026</v>
      </c>
      <c r="C1905" s="26" t="inlineStr">
        <is>
          <t>Yanara Power</t>
        </is>
      </c>
      <c r="D1905" s="3" t="inlineStr">
        <is>
          <t>Utility and C&amp;I</t>
        </is>
      </c>
      <c r="E1905" s="3" t="n"/>
      <c r="F1905" s="3" t="inlineStr">
        <is>
          <t>Closed</t>
        </is>
      </c>
      <c r="G1905" s="9" t="inlineStr">
        <is>
          <t xml:space="preserve">Ashish Jindal </t>
        </is>
      </c>
      <c r="H1905" s="26" t="n">
        <v>9983975581</v>
      </c>
      <c r="I1905" s="38" t="inlineStr">
        <is>
          <t>PE01052601</t>
        </is>
      </c>
      <c r="J1905" s="26" t="inlineStr">
        <is>
          <t>Multiple Issues</t>
        </is>
      </c>
      <c r="K1905" s="39" t="inlineStr">
        <is>
          <t>Holi</t>
        </is>
      </c>
      <c r="L1905" s="39" t="inlineStr">
        <is>
          <t>Maharashtra</t>
        </is>
      </c>
      <c r="M1905" s="46" t="inlineStr">
        <is>
          <t>NS</t>
        </is>
      </c>
      <c r="N1905" s="3" t="inlineStr">
        <is>
          <t>Cold Soldering</t>
        </is>
      </c>
      <c r="O1905" s="56" t="n">
        <v>575</v>
      </c>
      <c r="P1905" s="46" t="inlineStr">
        <is>
          <t>NSMI24070221934</t>
        </is>
      </c>
      <c r="Q1905" s="54">
        <f>MID(P1905,5,2)</f>
        <v/>
      </c>
      <c r="R1905" s="53">
        <f>MID(P1905,7,2)</f>
        <v/>
      </c>
      <c r="S1905" s="3" t="inlineStr">
        <is>
          <t>G2G</t>
        </is>
      </c>
      <c r="T1905" s="3" t="inlineStr">
        <is>
          <t>P4</t>
        </is>
      </c>
      <c r="U1905" s="3" t="inlineStr">
        <is>
          <t>N JB Cold Soldering</t>
        </is>
      </c>
      <c r="V1905" s="3" t="inlineStr">
        <is>
          <t>Soldering</t>
        </is>
      </c>
      <c r="W1905" s="3" t="inlineStr">
        <is>
          <t>Repair</t>
        </is>
      </c>
      <c r="X1905" s="18" t="n">
        <v>46166</v>
      </c>
      <c r="Y1905" s="3">
        <f>X1905-A1905</f>
        <v/>
      </c>
      <c r="Z1905" s="18" t="n">
        <v>46166</v>
      </c>
      <c r="AA1905" s="15" t="n"/>
      <c r="AB1905" s="15" t="n"/>
    </row>
    <row r="1906">
      <c r="A1906" s="37" t="n">
        <v>46143</v>
      </c>
      <c r="B1906" s="3" t="n">
        <v>2026</v>
      </c>
      <c r="C1906" s="26" t="inlineStr">
        <is>
          <t>Yanara Power</t>
        </is>
      </c>
      <c r="D1906" s="3" t="inlineStr">
        <is>
          <t>Utility and C&amp;I</t>
        </is>
      </c>
      <c r="E1906" s="3" t="n"/>
      <c r="F1906" s="3" t="inlineStr">
        <is>
          <t>Closed</t>
        </is>
      </c>
      <c r="G1906" s="9" t="inlineStr">
        <is>
          <t xml:space="preserve">Ashish Jindal </t>
        </is>
      </c>
      <c r="H1906" s="26" t="n">
        <v>9983975581</v>
      </c>
      <c r="I1906" s="38" t="inlineStr">
        <is>
          <t>PE01052601</t>
        </is>
      </c>
      <c r="J1906" s="26" t="inlineStr">
        <is>
          <t>Multiple Issues</t>
        </is>
      </c>
      <c r="K1906" s="39" t="inlineStr">
        <is>
          <t>Holi</t>
        </is>
      </c>
      <c r="L1906" s="39" t="inlineStr">
        <is>
          <t>Maharashtra</t>
        </is>
      </c>
      <c r="M1906" s="46" t="inlineStr">
        <is>
          <t>NS</t>
        </is>
      </c>
      <c r="N1906" s="3" t="inlineStr">
        <is>
          <t>Cold Soldering</t>
        </is>
      </c>
      <c r="O1906" s="56" t="n">
        <v>575</v>
      </c>
      <c r="P1906" s="46" t="inlineStr">
        <is>
          <t>NSMI24070219732</t>
        </is>
      </c>
      <c r="Q1906" s="54">
        <f>MID(P1906,5,2)</f>
        <v/>
      </c>
      <c r="R1906" s="53">
        <f>MID(P1906,7,2)</f>
        <v/>
      </c>
      <c r="S1906" s="3" t="inlineStr">
        <is>
          <t>G2G</t>
        </is>
      </c>
      <c r="T1906" s="3" t="inlineStr">
        <is>
          <t>P4</t>
        </is>
      </c>
      <c r="U1906" s="3" t="inlineStr">
        <is>
          <t>N JB Cold Soldering</t>
        </is>
      </c>
      <c r="V1906" s="3" t="inlineStr">
        <is>
          <t>Soldering</t>
        </is>
      </c>
      <c r="W1906" s="3" t="inlineStr">
        <is>
          <t>Repair</t>
        </is>
      </c>
      <c r="X1906" s="18" t="n">
        <v>46166</v>
      </c>
      <c r="Y1906" s="3">
        <f>X1906-A1906</f>
        <v/>
      </c>
      <c r="Z1906" s="18" t="n">
        <v>46166</v>
      </c>
      <c r="AA1906" s="15" t="n"/>
      <c r="AB1906" s="15" t="n"/>
    </row>
    <row r="1907">
      <c r="A1907" s="37" t="n">
        <v>46143</v>
      </c>
      <c r="B1907" s="3" t="n">
        <v>2026</v>
      </c>
      <c r="C1907" s="26" t="inlineStr">
        <is>
          <t>Yanara Power</t>
        </is>
      </c>
      <c r="D1907" s="3" t="inlineStr">
        <is>
          <t>Utility and C&amp;I</t>
        </is>
      </c>
      <c r="E1907" s="3" t="n"/>
      <c r="F1907" s="3" t="inlineStr">
        <is>
          <t>Closed</t>
        </is>
      </c>
      <c r="G1907" s="9" t="inlineStr">
        <is>
          <t xml:space="preserve">Ashish Jindal </t>
        </is>
      </c>
      <c r="H1907" s="26" t="n">
        <v>9983975581</v>
      </c>
      <c r="I1907" s="38" t="inlineStr">
        <is>
          <t>PE01052601</t>
        </is>
      </c>
      <c r="J1907" s="26" t="inlineStr">
        <is>
          <t>Multiple Issues</t>
        </is>
      </c>
      <c r="K1907" s="39" t="inlineStr">
        <is>
          <t>Holi</t>
        </is>
      </c>
      <c r="L1907" s="39" t="inlineStr">
        <is>
          <t>Maharashtra</t>
        </is>
      </c>
      <c r="M1907" s="46" t="inlineStr">
        <is>
          <t>PS</t>
        </is>
      </c>
      <c r="N1907" s="3" t="inlineStr">
        <is>
          <t>Cold Soldering</t>
        </is>
      </c>
      <c r="O1907" s="56" t="n">
        <v>575</v>
      </c>
      <c r="P1907" s="46" t="inlineStr">
        <is>
          <t>NSMI24070185064</t>
        </is>
      </c>
      <c r="Q1907" s="54">
        <f>MID(P1907,5,2)</f>
        <v/>
      </c>
      <c r="R1907" s="53">
        <f>MID(P1907,7,2)</f>
        <v/>
      </c>
      <c r="S1907" s="3" t="inlineStr">
        <is>
          <t>G2G</t>
        </is>
      </c>
      <c r="T1907" s="3" t="inlineStr">
        <is>
          <t>P4</t>
        </is>
      </c>
      <c r="U1907" s="19" t="inlineStr">
        <is>
          <t>P JB Cold Soldering</t>
        </is>
      </c>
      <c r="V1907" s="19" t="inlineStr">
        <is>
          <t>Soldering</t>
        </is>
      </c>
      <c r="W1907" s="3" t="inlineStr">
        <is>
          <t>Repair</t>
        </is>
      </c>
      <c r="X1907" s="18" t="n">
        <v>46166</v>
      </c>
      <c r="Y1907" s="3">
        <f>X1907-A1907</f>
        <v/>
      </c>
      <c r="Z1907" s="18" t="n">
        <v>46166</v>
      </c>
      <c r="AA1907" s="15" t="n"/>
      <c r="AB1907" s="15" t="n"/>
    </row>
    <row r="1908">
      <c r="A1908" s="37" t="n">
        <v>46143</v>
      </c>
      <c r="B1908" s="3" t="n">
        <v>2026</v>
      </c>
      <c r="C1908" s="26" t="inlineStr">
        <is>
          <t>Yanara Power</t>
        </is>
      </c>
      <c r="D1908" s="3" t="inlineStr">
        <is>
          <t>Utility and C&amp;I</t>
        </is>
      </c>
      <c r="E1908" s="3" t="n"/>
      <c r="F1908" s="3" t="inlineStr">
        <is>
          <t>Closed</t>
        </is>
      </c>
      <c r="G1908" s="9" t="inlineStr">
        <is>
          <t xml:space="preserve">Ashish Jindal </t>
        </is>
      </c>
      <c r="H1908" s="26" t="n">
        <v>9983975581</v>
      </c>
      <c r="I1908" s="38" t="inlineStr">
        <is>
          <t>PE01052601</t>
        </is>
      </c>
      <c r="J1908" s="26" t="inlineStr">
        <is>
          <t>Multiple Issues</t>
        </is>
      </c>
      <c r="K1908" s="39" t="inlineStr">
        <is>
          <t>Holi</t>
        </is>
      </c>
      <c r="L1908" s="39" t="inlineStr">
        <is>
          <t>Maharashtra</t>
        </is>
      </c>
      <c r="M1908" s="46" t="inlineStr">
        <is>
          <t>OK</t>
        </is>
      </c>
      <c r="N1908" s="3" t="inlineStr">
        <is>
          <t>No Issue</t>
        </is>
      </c>
      <c r="O1908" s="56" t="n">
        <v>575</v>
      </c>
      <c r="P1908" s="46" t="inlineStr">
        <is>
          <t>NSMI24070222196</t>
        </is>
      </c>
      <c r="Q1908" s="54">
        <f>MID(P1908,5,2)</f>
        <v/>
      </c>
      <c r="R1908" s="53">
        <f>MID(P1908,7,2)</f>
        <v/>
      </c>
      <c r="S1908" s="3" t="inlineStr">
        <is>
          <t>G2G</t>
        </is>
      </c>
      <c r="T1908" s="3" t="inlineStr">
        <is>
          <t>P4</t>
        </is>
      </c>
      <c r="U1908" s="19" t="inlineStr">
        <is>
          <t>No Issue Found</t>
        </is>
      </c>
      <c r="V1908" s="19" t="inlineStr">
        <is>
          <t>Found OK</t>
        </is>
      </c>
      <c r="W1908" s="3" t="inlineStr">
        <is>
          <t>Repair</t>
        </is>
      </c>
      <c r="X1908" s="18" t="n">
        <v>46166</v>
      </c>
      <c r="Y1908" s="3">
        <f>X1908-A1908</f>
        <v/>
      </c>
      <c r="Z1908" s="18" t="n">
        <v>46166</v>
      </c>
      <c r="AA1908" s="15" t="n"/>
      <c r="AB1908" s="15" t="n"/>
    </row>
    <row r="1909">
      <c r="A1909" s="37" t="n">
        <v>46143</v>
      </c>
      <c r="B1909" s="3" t="n">
        <v>2026</v>
      </c>
      <c r="C1909" s="26" t="inlineStr">
        <is>
          <t>Yanara Power</t>
        </is>
      </c>
      <c r="D1909" s="3" t="inlineStr">
        <is>
          <t>Utility and C&amp;I</t>
        </is>
      </c>
      <c r="E1909" s="3" t="n"/>
      <c r="F1909" s="3" t="inlineStr">
        <is>
          <t>Closed</t>
        </is>
      </c>
      <c r="G1909" s="9" t="inlineStr">
        <is>
          <t xml:space="preserve">Ashish Jindal </t>
        </is>
      </c>
      <c r="H1909" s="26" t="n">
        <v>9983975581</v>
      </c>
      <c r="I1909" s="38" t="inlineStr">
        <is>
          <t>PE01052601</t>
        </is>
      </c>
      <c r="J1909" s="26" t="inlineStr">
        <is>
          <t>Multiple Issues</t>
        </is>
      </c>
      <c r="K1909" s="39" t="inlineStr">
        <is>
          <t>Holi</t>
        </is>
      </c>
      <c r="L1909" s="39" t="inlineStr">
        <is>
          <t>Maharashtra</t>
        </is>
      </c>
      <c r="M1909" s="46" t="inlineStr">
        <is>
          <t>NS</t>
        </is>
      </c>
      <c r="N1909" s="3" t="inlineStr">
        <is>
          <t>Cold Soldering</t>
        </is>
      </c>
      <c r="O1909" s="56" t="n">
        <v>575</v>
      </c>
      <c r="P1909" s="46" t="inlineStr">
        <is>
          <t>NSMI24070215153</t>
        </is>
      </c>
      <c r="Q1909" s="54">
        <f>MID(P1909,5,2)</f>
        <v/>
      </c>
      <c r="R1909" s="53">
        <f>MID(P1909,7,2)</f>
        <v/>
      </c>
      <c r="S1909" s="3" t="inlineStr">
        <is>
          <t>G2G</t>
        </is>
      </c>
      <c r="T1909" s="3" t="inlineStr">
        <is>
          <t>P4</t>
        </is>
      </c>
      <c r="U1909" s="3" t="inlineStr">
        <is>
          <t>N JB Cold Soldering</t>
        </is>
      </c>
      <c r="V1909" s="3" t="inlineStr">
        <is>
          <t>Soldering</t>
        </is>
      </c>
      <c r="W1909" s="3" t="inlineStr">
        <is>
          <t>Repair</t>
        </is>
      </c>
      <c r="X1909" s="18" t="n">
        <v>46166</v>
      </c>
      <c r="Y1909" s="3">
        <f>X1909-A1909</f>
        <v/>
      </c>
      <c r="Z1909" s="18" t="n">
        <v>46166</v>
      </c>
      <c r="AA1909" s="15" t="n"/>
      <c r="AB1909" s="15" t="n"/>
    </row>
    <row r="1910">
      <c r="A1910" s="37" t="n">
        <v>46143</v>
      </c>
      <c r="B1910" s="3" t="n">
        <v>2026</v>
      </c>
      <c r="C1910" s="26" t="inlineStr">
        <is>
          <t>Yanara Power</t>
        </is>
      </c>
      <c r="D1910" s="3" t="inlineStr">
        <is>
          <t>Utility and C&amp;I</t>
        </is>
      </c>
      <c r="E1910" s="3" t="n"/>
      <c r="F1910" s="3" t="inlineStr">
        <is>
          <t>Closed</t>
        </is>
      </c>
      <c r="G1910" s="9" t="inlineStr">
        <is>
          <t xml:space="preserve">Ashish Jindal </t>
        </is>
      </c>
      <c r="H1910" s="26" t="n">
        <v>9983975581</v>
      </c>
      <c r="I1910" s="38" t="inlineStr">
        <is>
          <t>PE01052601</t>
        </is>
      </c>
      <c r="J1910" s="26" t="inlineStr">
        <is>
          <t>Multiple Issues</t>
        </is>
      </c>
      <c r="K1910" s="39" t="inlineStr">
        <is>
          <t>Holi</t>
        </is>
      </c>
      <c r="L1910" s="39" t="inlineStr">
        <is>
          <t>Maharashtra</t>
        </is>
      </c>
      <c r="M1910" s="46" t="inlineStr">
        <is>
          <t>PS</t>
        </is>
      </c>
      <c r="N1910" s="3" t="inlineStr">
        <is>
          <t>Cold Soldering</t>
        </is>
      </c>
      <c r="O1910" s="56" t="n">
        <v>575</v>
      </c>
      <c r="P1910" s="46" t="inlineStr">
        <is>
          <t>NSMI24070221168</t>
        </is>
      </c>
      <c r="Q1910" s="54">
        <f>MID(P1910,5,2)</f>
        <v/>
      </c>
      <c r="R1910" s="53">
        <f>MID(P1910,7,2)</f>
        <v/>
      </c>
      <c r="S1910" s="3" t="inlineStr">
        <is>
          <t>G2G</t>
        </is>
      </c>
      <c r="T1910" s="3" t="inlineStr">
        <is>
          <t>P4</t>
        </is>
      </c>
      <c r="U1910" s="19" t="inlineStr">
        <is>
          <t>P JB Cold Soldering</t>
        </is>
      </c>
      <c r="V1910" s="19" t="inlineStr">
        <is>
          <t>Soldering</t>
        </is>
      </c>
      <c r="W1910" s="3" t="inlineStr">
        <is>
          <t>Repair</t>
        </is>
      </c>
      <c r="X1910" s="18" t="n">
        <v>46166</v>
      </c>
      <c r="Y1910" s="3">
        <f>X1910-A1910</f>
        <v/>
      </c>
      <c r="Z1910" s="18" t="n">
        <v>46166</v>
      </c>
      <c r="AA1910" s="15" t="n"/>
      <c r="AB1910" s="15" t="n"/>
    </row>
    <row r="1911">
      <c r="A1911" s="37" t="n">
        <v>46143</v>
      </c>
      <c r="B1911" s="3" t="n">
        <v>2026</v>
      </c>
      <c r="C1911" s="26" t="inlineStr">
        <is>
          <t>Yanara Power</t>
        </is>
      </c>
      <c r="D1911" s="3" t="inlineStr">
        <is>
          <t>Utility and C&amp;I</t>
        </is>
      </c>
      <c r="E1911" s="3" t="n"/>
      <c r="F1911" s="3" t="inlineStr">
        <is>
          <t>Closed</t>
        </is>
      </c>
      <c r="G1911" s="9" t="inlineStr">
        <is>
          <t xml:space="preserve">Ashish Jindal </t>
        </is>
      </c>
      <c r="H1911" s="26" t="n">
        <v>9983975581</v>
      </c>
      <c r="I1911" s="38" t="inlineStr">
        <is>
          <t>PE01052601</t>
        </is>
      </c>
      <c r="J1911" s="26" t="inlineStr">
        <is>
          <t>Multiple Issues</t>
        </is>
      </c>
      <c r="K1911" s="39" t="inlineStr">
        <is>
          <t>Holi</t>
        </is>
      </c>
      <c r="L1911" s="39" t="inlineStr">
        <is>
          <t>Maharashtra</t>
        </is>
      </c>
      <c r="M1911" s="46" t="inlineStr">
        <is>
          <t>NS</t>
        </is>
      </c>
      <c r="N1911" s="3" t="inlineStr">
        <is>
          <t>Cold Soldering</t>
        </is>
      </c>
      <c r="O1911" s="56" t="n">
        <v>575</v>
      </c>
      <c r="P1911" s="46" t="inlineStr">
        <is>
          <t>NSMI24070204360</t>
        </is>
      </c>
      <c r="Q1911" s="54">
        <f>MID(P1911,5,2)</f>
        <v/>
      </c>
      <c r="R1911" s="53">
        <f>MID(P1911,7,2)</f>
        <v/>
      </c>
      <c r="S1911" s="3" t="inlineStr">
        <is>
          <t>G2G</t>
        </is>
      </c>
      <c r="T1911" s="3" t="inlineStr">
        <is>
          <t>P4</t>
        </is>
      </c>
      <c r="U1911" s="3" t="inlineStr">
        <is>
          <t>N JB Cold Soldering</t>
        </is>
      </c>
      <c r="V1911" s="3" t="inlineStr">
        <is>
          <t>Soldering</t>
        </is>
      </c>
      <c r="W1911" s="3" t="inlineStr">
        <is>
          <t>Repair</t>
        </is>
      </c>
      <c r="X1911" s="18" t="n">
        <v>46166</v>
      </c>
      <c r="Y1911" s="3">
        <f>X1911-A1911</f>
        <v/>
      </c>
      <c r="Z1911" s="18" t="n">
        <v>46166</v>
      </c>
      <c r="AA1911" s="15" t="n"/>
      <c r="AB1911" s="15" t="n"/>
    </row>
    <row r="1912">
      <c r="A1912" s="37" t="n">
        <v>46143</v>
      </c>
      <c r="B1912" s="3" t="n">
        <v>2026</v>
      </c>
      <c r="C1912" s="26" t="inlineStr">
        <is>
          <t>Yanara Power</t>
        </is>
      </c>
      <c r="D1912" s="3" t="inlineStr">
        <is>
          <t>Utility and C&amp;I</t>
        </is>
      </c>
      <c r="E1912" s="3" t="n"/>
      <c r="F1912" s="3" t="inlineStr">
        <is>
          <t>Closed</t>
        </is>
      </c>
      <c r="G1912" s="9" t="inlineStr">
        <is>
          <t xml:space="preserve">Ashish Jindal </t>
        </is>
      </c>
      <c r="H1912" s="26" t="n">
        <v>9983975581</v>
      </c>
      <c r="I1912" s="38" t="inlineStr">
        <is>
          <t>PE01052601</t>
        </is>
      </c>
      <c r="J1912" s="26" t="inlineStr">
        <is>
          <t>Multiple Issues</t>
        </is>
      </c>
      <c r="K1912" s="39" t="inlineStr">
        <is>
          <t>Holi</t>
        </is>
      </c>
      <c r="L1912" s="39" t="inlineStr">
        <is>
          <t>Maharashtra</t>
        </is>
      </c>
      <c r="M1912" s="46" t="inlineStr">
        <is>
          <t>NS</t>
        </is>
      </c>
      <c r="N1912" s="3" t="inlineStr">
        <is>
          <t>Cold Soldering</t>
        </is>
      </c>
      <c r="O1912" s="56" t="n">
        <v>575</v>
      </c>
      <c r="P1912" s="46" t="inlineStr">
        <is>
          <t>NSMI24070216569</t>
        </is>
      </c>
      <c r="Q1912" s="54">
        <f>MID(P1912,5,2)</f>
        <v/>
      </c>
      <c r="R1912" s="53">
        <f>MID(P1912,7,2)</f>
        <v/>
      </c>
      <c r="S1912" s="3" t="inlineStr">
        <is>
          <t>G2G</t>
        </is>
      </c>
      <c r="T1912" s="3" t="inlineStr">
        <is>
          <t>P4</t>
        </is>
      </c>
      <c r="U1912" s="3" t="inlineStr">
        <is>
          <t>N JB Cold Soldering</t>
        </is>
      </c>
      <c r="V1912" s="3" t="inlineStr">
        <is>
          <t>Soldering</t>
        </is>
      </c>
      <c r="W1912" s="3" t="inlineStr">
        <is>
          <t>Repair</t>
        </is>
      </c>
      <c r="X1912" s="18" t="n">
        <v>46166</v>
      </c>
      <c r="Y1912" s="3">
        <f>X1912-A1912</f>
        <v/>
      </c>
      <c r="Z1912" s="18" t="n">
        <v>46166</v>
      </c>
      <c r="AA1912" s="15" t="n"/>
      <c r="AB1912" s="15" t="n"/>
    </row>
    <row r="1913">
      <c r="A1913" s="37" t="n">
        <v>46143</v>
      </c>
      <c r="B1913" s="3" t="n">
        <v>2026</v>
      </c>
      <c r="C1913" s="26" t="inlineStr">
        <is>
          <t>Yanara Power</t>
        </is>
      </c>
      <c r="D1913" s="3" t="inlineStr">
        <is>
          <t>Utility and C&amp;I</t>
        </is>
      </c>
      <c r="E1913" s="3" t="n"/>
      <c r="F1913" s="3" t="inlineStr">
        <is>
          <t>Closed</t>
        </is>
      </c>
      <c r="G1913" s="9" t="inlineStr">
        <is>
          <t xml:space="preserve">Ashish Jindal </t>
        </is>
      </c>
      <c r="H1913" s="26" t="n">
        <v>9983975581</v>
      </c>
      <c r="I1913" s="38" t="inlineStr">
        <is>
          <t>PE01052601</t>
        </is>
      </c>
      <c r="J1913" s="26" t="inlineStr">
        <is>
          <t>Multiple Issues</t>
        </is>
      </c>
      <c r="K1913" s="39" t="inlineStr">
        <is>
          <t>Holi</t>
        </is>
      </c>
      <c r="L1913" s="39" t="inlineStr">
        <is>
          <t>Maharashtra</t>
        </is>
      </c>
      <c r="M1913" s="46" t="inlineStr">
        <is>
          <t>PS</t>
        </is>
      </c>
      <c r="N1913" s="3" t="inlineStr">
        <is>
          <t>Cold Soldering</t>
        </is>
      </c>
      <c r="O1913" s="56" t="n">
        <v>575</v>
      </c>
      <c r="P1913" s="46" t="inlineStr">
        <is>
          <t>NSMI24070216563</t>
        </is>
      </c>
      <c r="Q1913" s="54">
        <f>MID(P1913,5,2)</f>
        <v/>
      </c>
      <c r="R1913" s="53">
        <f>MID(P1913,7,2)</f>
        <v/>
      </c>
      <c r="S1913" s="3" t="inlineStr">
        <is>
          <t>G2G</t>
        </is>
      </c>
      <c r="T1913" s="3" t="inlineStr">
        <is>
          <t>P4</t>
        </is>
      </c>
      <c r="U1913" s="19" t="inlineStr">
        <is>
          <t>P JB Cold Soldering</t>
        </is>
      </c>
      <c r="V1913" s="19" t="inlineStr">
        <is>
          <t>Soldering</t>
        </is>
      </c>
      <c r="W1913" s="3" t="inlineStr">
        <is>
          <t>Repair</t>
        </is>
      </c>
      <c r="X1913" s="18" t="n">
        <v>46166</v>
      </c>
      <c r="Y1913" s="3">
        <f>X1913-A1913</f>
        <v/>
      </c>
      <c r="Z1913" s="18" t="n">
        <v>46166</v>
      </c>
      <c r="AA1913" s="15" t="n"/>
      <c r="AB1913" s="15" t="n"/>
    </row>
    <row r="1914">
      <c r="A1914" s="37" t="n">
        <v>46143</v>
      </c>
      <c r="B1914" s="3" t="n">
        <v>2026</v>
      </c>
      <c r="C1914" s="26" t="inlineStr">
        <is>
          <t>Yanara Power</t>
        </is>
      </c>
      <c r="D1914" s="3" t="inlineStr">
        <is>
          <t>Utility and C&amp;I</t>
        </is>
      </c>
      <c r="E1914" s="3" t="n"/>
      <c r="F1914" s="3" t="inlineStr">
        <is>
          <t>Closed</t>
        </is>
      </c>
      <c r="G1914" s="9" t="inlineStr">
        <is>
          <t xml:space="preserve">Ashish Jindal </t>
        </is>
      </c>
      <c r="H1914" s="26" t="n">
        <v>9983975581</v>
      </c>
      <c r="I1914" s="38" t="inlineStr">
        <is>
          <t>PE01052601</t>
        </is>
      </c>
      <c r="J1914" s="26" t="inlineStr">
        <is>
          <t>Multiple Issues</t>
        </is>
      </c>
      <c r="K1914" s="39" t="inlineStr">
        <is>
          <t>Holi</t>
        </is>
      </c>
      <c r="L1914" s="39" t="inlineStr">
        <is>
          <t>Maharashtra</t>
        </is>
      </c>
      <c r="M1914" s="46" t="inlineStr">
        <is>
          <t>NS</t>
        </is>
      </c>
      <c r="N1914" s="3" t="inlineStr">
        <is>
          <t>Cold Soldering</t>
        </is>
      </c>
      <c r="O1914" s="56" t="n">
        <v>575</v>
      </c>
      <c r="P1914" s="46" t="inlineStr">
        <is>
          <t>NSMI24070195711</t>
        </is>
      </c>
      <c r="Q1914" s="54">
        <f>MID(P1914,5,2)</f>
        <v/>
      </c>
      <c r="R1914" s="53">
        <f>MID(P1914,7,2)</f>
        <v/>
      </c>
      <c r="S1914" s="3" t="inlineStr">
        <is>
          <t>G2G</t>
        </is>
      </c>
      <c r="T1914" s="3" t="inlineStr">
        <is>
          <t>P4</t>
        </is>
      </c>
      <c r="U1914" s="3" t="inlineStr">
        <is>
          <t>N JB Cold Soldering</t>
        </is>
      </c>
      <c r="V1914" s="3" t="inlineStr">
        <is>
          <t>Soldering</t>
        </is>
      </c>
      <c r="W1914" s="3" t="inlineStr">
        <is>
          <t>Repair</t>
        </is>
      </c>
      <c r="X1914" s="18" t="n">
        <v>46166</v>
      </c>
      <c r="Y1914" s="3">
        <f>X1914-A1914</f>
        <v/>
      </c>
      <c r="Z1914" s="18" t="n">
        <v>46166</v>
      </c>
      <c r="AA1914" s="15" t="n"/>
      <c r="AB1914" s="15" t="n"/>
    </row>
    <row r="1915">
      <c r="A1915" s="37" t="n">
        <v>46143</v>
      </c>
      <c r="B1915" s="3" t="n">
        <v>2026</v>
      </c>
      <c r="C1915" s="26" t="inlineStr">
        <is>
          <t>Yanara Power</t>
        </is>
      </c>
      <c r="D1915" s="3" t="inlineStr">
        <is>
          <t>Utility and C&amp;I</t>
        </is>
      </c>
      <c r="E1915" s="3" t="n"/>
      <c r="F1915" s="3" t="inlineStr">
        <is>
          <t>Closed</t>
        </is>
      </c>
      <c r="G1915" s="9" t="inlineStr">
        <is>
          <t xml:space="preserve">Ashish Jindal </t>
        </is>
      </c>
      <c r="H1915" s="26" t="n">
        <v>9983975581</v>
      </c>
      <c r="I1915" s="38" t="inlineStr">
        <is>
          <t>PE01052601</t>
        </is>
      </c>
      <c r="J1915" s="26" t="inlineStr">
        <is>
          <t>Multiple Issues</t>
        </is>
      </c>
      <c r="K1915" s="39" t="inlineStr">
        <is>
          <t>Holi</t>
        </is>
      </c>
      <c r="L1915" s="39" t="inlineStr">
        <is>
          <t>Maharashtra</t>
        </is>
      </c>
      <c r="M1915" s="46" t="inlineStr">
        <is>
          <t>NS</t>
        </is>
      </c>
      <c r="N1915" s="3" t="inlineStr">
        <is>
          <t>Cold Soldering</t>
        </is>
      </c>
      <c r="O1915" s="56" t="n">
        <v>575</v>
      </c>
      <c r="P1915" s="46" t="inlineStr">
        <is>
          <t>NSMI24070195553</t>
        </is>
      </c>
      <c r="Q1915" s="54">
        <f>MID(P1915,5,2)</f>
        <v/>
      </c>
      <c r="R1915" s="53">
        <f>MID(P1915,7,2)</f>
        <v/>
      </c>
      <c r="S1915" s="3" t="inlineStr">
        <is>
          <t>G2G</t>
        </is>
      </c>
      <c r="T1915" s="3" t="inlineStr">
        <is>
          <t>P4</t>
        </is>
      </c>
      <c r="U1915" s="3" t="inlineStr">
        <is>
          <t>N JB Cold Soldering</t>
        </is>
      </c>
      <c r="V1915" s="3" t="inlineStr">
        <is>
          <t>Soldering</t>
        </is>
      </c>
      <c r="W1915" s="3" t="inlineStr">
        <is>
          <t>Repair</t>
        </is>
      </c>
      <c r="X1915" s="18" t="n">
        <v>46166</v>
      </c>
      <c r="Y1915" s="3">
        <f>X1915-A1915</f>
        <v/>
      </c>
      <c r="Z1915" s="18" t="n">
        <v>46166</v>
      </c>
      <c r="AA1915" s="15" t="n"/>
      <c r="AB1915" s="15" t="n"/>
    </row>
    <row r="1916">
      <c r="A1916" s="37" t="n">
        <v>46143</v>
      </c>
      <c r="B1916" s="3" t="n">
        <v>2026</v>
      </c>
      <c r="C1916" s="26" t="inlineStr">
        <is>
          <t>Yanara Power</t>
        </is>
      </c>
      <c r="D1916" s="3" t="inlineStr">
        <is>
          <t>Utility and C&amp;I</t>
        </is>
      </c>
      <c r="E1916" s="3" t="n"/>
      <c r="F1916" s="3" t="inlineStr">
        <is>
          <t>Closed</t>
        </is>
      </c>
      <c r="G1916" s="9" t="inlineStr">
        <is>
          <t xml:space="preserve">Ashish Jindal </t>
        </is>
      </c>
      <c r="H1916" s="26" t="n">
        <v>9983975581</v>
      </c>
      <c r="I1916" s="38" t="inlineStr">
        <is>
          <t>PE01052601</t>
        </is>
      </c>
      <c r="J1916" s="26" t="inlineStr">
        <is>
          <t>Multiple Issues</t>
        </is>
      </c>
      <c r="K1916" s="39" t="inlineStr">
        <is>
          <t>Holi</t>
        </is>
      </c>
      <c r="L1916" s="39" t="inlineStr">
        <is>
          <t>Maharashtra</t>
        </is>
      </c>
      <c r="M1916" s="46" t="inlineStr">
        <is>
          <t>PS</t>
        </is>
      </c>
      <c r="N1916" s="3" t="inlineStr">
        <is>
          <t>Cold Soldering</t>
        </is>
      </c>
      <c r="O1916" s="56" t="n">
        <v>575</v>
      </c>
      <c r="P1916" s="46" t="inlineStr">
        <is>
          <t>NSMI24070201445</t>
        </is>
      </c>
      <c r="Q1916" s="54">
        <f>MID(P1916,5,2)</f>
        <v/>
      </c>
      <c r="R1916" s="53">
        <f>MID(P1916,7,2)</f>
        <v/>
      </c>
      <c r="S1916" s="3" t="inlineStr">
        <is>
          <t>G2G</t>
        </is>
      </c>
      <c r="T1916" s="3" t="inlineStr">
        <is>
          <t>P4</t>
        </is>
      </c>
      <c r="U1916" s="19" t="inlineStr">
        <is>
          <t>P JB Cold Soldering</t>
        </is>
      </c>
      <c r="V1916" s="19" t="inlineStr">
        <is>
          <t>Soldering</t>
        </is>
      </c>
      <c r="W1916" s="3" t="inlineStr">
        <is>
          <t>Repair</t>
        </is>
      </c>
      <c r="X1916" s="18" t="n">
        <v>46166</v>
      </c>
      <c r="Y1916" s="3">
        <f>X1916-A1916</f>
        <v/>
      </c>
      <c r="Z1916" s="18" t="n">
        <v>46166</v>
      </c>
      <c r="AA1916" s="15" t="n"/>
      <c r="AB1916" s="15" t="n"/>
    </row>
    <row r="1917">
      <c r="A1917" s="37" t="n">
        <v>46143</v>
      </c>
      <c r="B1917" s="3" t="n">
        <v>2026</v>
      </c>
      <c r="C1917" s="26" t="inlineStr">
        <is>
          <t>Yanara Power</t>
        </is>
      </c>
      <c r="D1917" s="3" t="inlineStr">
        <is>
          <t>Utility and C&amp;I</t>
        </is>
      </c>
      <c r="E1917" s="3" t="n"/>
      <c r="F1917" s="3" t="inlineStr">
        <is>
          <t>Closed</t>
        </is>
      </c>
      <c r="G1917" s="9" t="inlineStr">
        <is>
          <t xml:space="preserve">Ashish Jindal </t>
        </is>
      </c>
      <c r="H1917" s="26" t="n">
        <v>9983975581</v>
      </c>
      <c r="I1917" s="38" t="inlineStr">
        <is>
          <t>PE01052601</t>
        </is>
      </c>
      <c r="J1917" s="26" t="inlineStr">
        <is>
          <t>Multiple Issues</t>
        </is>
      </c>
      <c r="K1917" s="39" t="inlineStr">
        <is>
          <t>Holi</t>
        </is>
      </c>
      <c r="L1917" s="39" t="inlineStr">
        <is>
          <t>Maharashtra</t>
        </is>
      </c>
      <c r="M1917" s="46" t="inlineStr">
        <is>
          <t>NS</t>
        </is>
      </c>
      <c r="N1917" s="3" t="inlineStr">
        <is>
          <t>Cold Soldering</t>
        </is>
      </c>
      <c r="O1917" s="56" t="n">
        <v>575</v>
      </c>
      <c r="P1917" s="46" t="inlineStr">
        <is>
          <t>NSMI24070195719</t>
        </is>
      </c>
      <c r="Q1917" s="54">
        <f>MID(P1917,5,2)</f>
        <v/>
      </c>
      <c r="R1917" s="53">
        <f>MID(P1917,7,2)</f>
        <v/>
      </c>
      <c r="S1917" s="3" t="inlineStr">
        <is>
          <t>G2G</t>
        </is>
      </c>
      <c r="T1917" s="3" t="inlineStr">
        <is>
          <t>P4</t>
        </is>
      </c>
      <c r="U1917" s="3" t="inlineStr">
        <is>
          <t>N JB Cold Soldering</t>
        </is>
      </c>
      <c r="V1917" s="3" t="inlineStr">
        <is>
          <t>Soldering</t>
        </is>
      </c>
      <c r="W1917" s="3" t="inlineStr">
        <is>
          <t>Repair</t>
        </is>
      </c>
      <c r="X1917" s="18" t="n">
        <v>46166</v>
      </c>
      <c r="Y1917" s="3">
        <f>X1917-A1917</f>
        <v/>
      </c>
      <c r="Z1917" s="18" t="n">
        <v>46166</v>
      </c>
      <c r="AA1917" s="15" t="n"/>
      <c r="AB1917" s="15" t="n"/>
    </row>
    <row r="1918">
      <c r="A1918" s="37" t="n">
        <v>46143</v>
      </c>
      <c r="B1918" s="3" t="n">
        <v>2026</v>
      </c>
      <c r="C1918" s="26" t="inlineStr">
        <is>
          <t>Yanara Power</t>
        </is>
      </c>
      <c r="D1918" s="3" t="inlineStr">
        <is>
          <t>Utility and C&amp;I</t>
        </is>
      </c>
      <c r="E1918" s="3" t="n"/>
      <c r="F1918" s="3" t="inlineStr">
        <is>
          <t>Closed</t>
        </is>
      </c>
      <c r="G1918" s="9" t="inlineStr">
        <is>
          <t xml:space="preserve">Ashish Jindal </t>
        </is>
      </c>
      <c r="H1918" s="26" t="n">
        <v>9983975581</v>
      </c>
      <c r="I1918" s="38" t="inlineStr">
        <is>
          <t>PE01052601</t>
        </is>
      </c>
      <c r="J1918" s="26" t="inlineStr">
        <is>
          <t>Multiple Issues</t>
        </is>
      </c>
      <c r="K1918" s="39" t="inlineStr">
        <is>
          <t>Holi</t>
        </is>
      </c>
      <c r="L1918" s="39" t="inlineStr">
        <is>
          <t>Maharashtra</t>
        </is>
      </c>
      <c r="M1918" s="46" t="inlineStr">
        <is>
          <t>PS</t>
        </is>
      </c>
      <c r="N1918" s="3" t="inlineStr">
        <is>
          <t>Cold Soldering</t>
        </is>
      </c>
      <c r="O1918" s="56" t="n">
        <v>575</v>
      </c>
      <c r="P1918" s="46" t="inlineStr">
        <is>
          <t>NSMI24070214703</t>
        </is>
      </c>
      <c r="Q1918" s="54">
        <f>MID(P1918,5,2)</f>
        <v/>
      </c>
      <c r="R1918" s="53">
        <f>MID(P1918,7,2)</f>
        <v/>
      </c>
      <c r="S1918" s="3" t="inlineStr">
        <is>
          <t>G2G</t>
        </is>
      </c>
      <c r="T1918" s="3" t="inlineStr">
        <is>
          <t>P4</t>
        </is>
      </c>
      <c r="U1918" s="19" t="inlineStr">
        <is>
          <t>P JB Cold Soldering</t>
        </is>
      </c>
      <c r="V1918" s="19" t="inlineStr">
        <is>
          <t>Soldering</t>
        </is>
      </c>
      <c r="W1918" s="3" t="inlineStr">
        <is>
          <t>Repair</t>
        </is>
      </c>
      <c r="X1918" s="18" t="n">
        <v>46166</v>
      </c>
      <c r="Y1918" s="3">
        <f>X1918-A1918</f>
        <v/>
      </c>
      <c r="Z1918" s="18" t="n">
        <v>46166</v>
      </c>
      <c r="AA1918" s="15" t="n"/>
      <c r="AB1918" s="15" t="n"/>
    </row>
    <row r="1919">
      <c r="A1919" s="37" t="n">
        <v>46143</v>
      </c>
      <c r="B1919" s="3" t="n">
        <v>2026</v>
      </c>
      <c r="C1919" s="26" t="inlineStr">
        <is>
          <t>Yanara Power</t>
        </is>
      </c>
      <c r="D1919" s="3" t="inlineStr">
        <is>
          <t>Utility and C&amp;I</t>
        </is>
      </c>
      <c r="E1919" s="3" t="n"/>
      <c r="F1919" s="3" t="inlineStr">
        <is>
          <t>Closed</t>
        </is>
      </c>
      <c r="G1919" s="9" t="inlineStr">
        <is>
          <t xml:space="preserve">Ashish Jindal </t>
        </is>
      </c>
      <c r="H1919" s="26" t="n">
        <v>9983975581</v>
      </c>
      <c r="I1919" s="38" t="inlineStr">
        <is>
          <t>PE01052601</t>
        </is>
      </c>
      <c r="J1919" s="26" t="inlineStr">
        <is>
          <t>Multiple Issues</t>
        </is>
      </c>
      <c r="K1919" s="39" t="inlineStr">
        <is>
          <t>Holi</t>
        </is>
      </c>
      <c r="L1919" s="39" t="inlineStr">
        <is>
          <t>Maharashtra</t>
        </is>
      </c>
      <c r="M1919" s="46" t="inlineStr">
        <is>
          <t>PS</t>
        </is>
      </c>
      <c r="N1919" s="3" t="inlineStr">
        <is>
          <t>Cold Soldering</t>
        </is>
      </c>
      <c r="O1919" s="56" t="n">
        <v>575</v>
      </c>
      <c r="P1919" s="46" t="inlineStr">
        <is>
          <t>NSMI24070217880</t>
        </is>
      </c>
      <c r="Q1919" s="54">
        <f>MID(P1919,5,2)</f>
        <v/>
      </c>
      <c r="R1919" s="53">
        <f>MID(P1919,7,2)</f>
        <v/>
      </c>
      <c r="S1919" s="3" t="inlineStr">
        <is>
          <t>G2G</t>
        </is>
      </c>
      <c r="T1919" s="3" t="inlineStr">
        <is>
          <t>P4</t>
        </is>
      </c>
      <c r="U1919" s="19" t="inlineStr">
        <is>
          <t>P JB Cold Soldering</t>
        </is>
      </c>
      <c r="V1919" s="19" t="inlineStr">
        <is>
          <t>Soldering</t>
        </is>
      </c>
      <c r="W1919" s="3" t="inlineStr">
        <is>
          <t>Repair</t>
        </is>
      </c>
      <c r="X1919" s="18" t="n">
        <v>46166</v>
      </c>
      <c r="Y1919" s="3">
        <f>X1919-A1919</f>
        <v/>
      </c>
      <c r="Z1919" s="18" t="n">
        <v>46166</v>
      </c>
      <c r="AA1919" s="15" t="n"/>
      <c r="AB1919" s="15" t="n"/>
    </row>
    <row r="1920">
      <c r="A1920" s="37" t="n">
        <v>46143</v>
      </c>
      <c r="B1920" s="3" t="n">
        <v>2026</v>
      </c>
      <c r="C1920" s="26" t="inlineStr">
        <is>
          <t>Yanara Power</t>
        </is>
      </c>
      <c r="D1920" s="3" t="inlineStr">
        <is>
          <t>Utility and C&amp;I</t>
        </is>
      </c>
      <c r="E1920" s="3" t="n"/>
      <c r="F1920" s="3" t="inlineStr">
        <is>
          <t>Closed</t>
        </is>
      </c>
      <c r="G1920" s="9" t="inlineStr">
        <is>
          <t xml:space="preserve">Ashish Jindal </t>
        </is>
      </c>
      <c r="H1920" s="26" t="n">
        <v>9983975581</v>
      </c>
      <c r="I1920" s="38" t="inlineStr">
        <is>
          <t>PE01052601</t>
        </is>
      </c>
      <c r="J1920" s="26" t="inlineStr">
        <is>
          <t>Multiple Issues</t>
        </is>
      </c>
      <c r="K1920" s="39" t="inlineStr">
        <is>
          <t>Holi</t>
        </is>
      </c>
      <c r="L1920" s="39" t="inlineStr">
        <is>
          <t>Maharashtra</t>
        </is>
      </c>
      <c r="M1920" s="46" t="inlineStr">
        <is>
          <t>PS</t>
        </is>
      </c>
      <c r="N1920" s="3" t="inlineStr">
        <is>
          <t>Cold Soldering</t>
        </is>
      </c>
      <c r="O1920" s="56" t="n">
        <v>575</v>
      </c>
      <c r="P1920" s="46" t="inlineStr">
        <is>
          <t>NSMI24070217693</t>
        </is>
      </c>
      <c r="Q1920" s="54">
        <f>MID(P1920,5,2)</f>
        <v/>
      </c>
      <c r="R1920" s="53">
        <f>MID(P1920,7,2)</f>
        <v/>
      </c>
      <c r="S1920" s="3" t="inlineStr">
        <is>
          <t>G2G</t>
        </is>
      </c>
      <c r="T1920" s="3" t="inlineStr">
        <is>
          <t>P4</t>
        </is>
      </c>
      <c r="U1920" s="19" t="inlineStr">
        <is>
          <t>P JB Cold Soldering</t>
        </is>
      </c>
      <c r="V1920" s="19" t="inlineStr">
        <is>
          <t>Soldering</t>
        </is>
      </c>
      <c r="W1920" s="3" t="inlineStr">
        <is>
          <t>Repair</t>
        </is>
      </c>
      <c r="X1920" s="18" t="n">
        <v>46166</v>
      </c>
      <c r="Y1920" s="3">
        <f>X1920-A1920</f>
        <v/>
      </c>
      <c r="Z1920" s="18" t="n">
        <v>46166</v>
      </c>
      <c r="AA1920" s="15" t="n"/>
      <c r="AB1920" s="15" t="n"/>
    </row>
    <row r="1921">
      <c r="A1921" s="37" t="n">
        <v>46143</v>
      </c>
      <c r="B1921" s="3" t="n">
        <v>2026</v>
      </c>
      <c r="C1921" s="26" t="inlineStr">
        <is>
          <t>Yanara Power</t>
        </is>
      </c>
      <c r="D1921" s="3" t="inlineStr">
        <is>
          <t>Utility and C&amp;I</t>
        </is>
      </c>
      <c r="E1921" s="3" t="n"/>
      <c r="F1921" s="3" t="inlineStr">
        <is>
          <t>Closed</t>
        </is>
      </c>
      <c r="G1921" s="9" t="inlineStr">
        <is>
          <t xml:space="preserve">Ashish Jindal </t>
        </is>
      </c>
      <c r="H1921" s="26" t="n">
        <v>9983975581</v>
      </c>
      <c r="I1921" s="38" t="inlineStr">
        <is>
          <t>PE01052601</t>
        </is>
      </c>
      <c r="J1921" s="26" t="inlineStr">
        <is>
          <t>Multiple Issues</t>
        </is>
      </c>
      <c r="K1921" s="39" t="inlineStr">
        <is>
          <t>Holi</t>
        </is>
      </c>
      <c r="L1921" s="39" t="inlineStr">
        <is>
          <t>Maharashtra</t>
        </is>
      </c>
      <c r="M1921" s="46" t="inlineStr">
        <is>
          <t>NS</t>
        </is>
      </c>
      <c r="N1921" s="3" t="inlineStr">
        <is>
          <t>Cold Soldering</t>
        </is>
      </c>
      <c r="O1921" s="56" t="n">
        <v>575</v>
      </c>
      <c r="P1921" s="46" t="inlineStr">
        <is>
          <t>NSMI24070221322</t>
        </is>
      </c>
      <c r="Q1921" s="54">
        <f>MID(P1921,5,2)</f>
        <v/>
      </c>
      <c r="R1921" s="53">
        <f>MID(P1921,7,2)</f>
        <v/>
      </c>
      <c r="S1921" s="3" t="inlineStr">
        <is>
          <t>G2G</t>
        </is>
      </c>
      <c r="T1921" s="3" t="inlineStr">
        <is>
          <t>P4</t>
        </is>
      </c>
      <c r="U1921" s="3" t="inlineStr">
        <is>
          <t>N JB Cold Soldering</t>
        </is>
      </c>
      <c r="V1921" s="3" t="inlineStr">
        <is>
          <t>Soldering</t>
        </is>
      </c>
      <c r="W1921" s="3" t="inlineStr">
        <is>
          <t>Repair</t>
        </is>
      </c>
      <c r="X1921" s="18" t="n">
        <v>46166</v>
      </c>
      <c r="Y1921" s="3">
        <f>X1921-A1921</f>
        <v/>
      </c>
      <c r="Z1921" s="18" t="n">
        <v>46166</v>
      </c>
      <c r="AA1921" s="15" t="n"/>
      <c r="AB1921" s="15" t="n"/>
    </row>
    <row r="1922">
      <c r="A1922" s="37" t="n">
        <v>46143</v>
      </c>
      <c r="B1922" s="3" t="n">
        <v>2026</v>
      </c>
      <c r="C1922" s="26" t="inlineStr">
        <is>
          <t>Yanara Power</t>
        </is>
      </c>
      <c r="D1922" s="3" t="inlineStr">
        <is>
          <t>Utility and C&amp;I</t>
        </is>
      </c>
      <c r="E1922" s="3" t="n"/>
      <c r="F1922" s="3" t="inlineStr">
        <is>
          <t>Closed</t>
        </is>
      </c>
      <c r="G1922" s="9" t="inlineStr">
        <is>
          <t xml:space="preserve">Ashish Jindal </t>
        </is>
      </c>
      <c r="H1922" s="26" t="n">
        <v>9983975581</v>
      </c>
      <c r="I1922" s="38" t="inlineStr">
        <is>
          <t>PE01052601</t>
        </is>
      </c>
      <c r="J1922" s="26" t="inlineStr">
        <is>
          <t>Multiple Issues</t>
        </is>
      </c>
      <c r="K1922" s="39" t="inlineStr">
        <is>
          <t>Holi</t>
        </is>
      </c>
      <c r="L1922" s="39" t="inlineStr">
        <is>
          <t>Maharashtra</t>
        </is>
      </c>
      <c r="M1922" s="46" t="inlineStr">
        <is>
          <t>NS</t>
        </is>
      </c>
      <c r="N1922" s="3" t="inlineStr">
        <is>
          <t>Cold Soldering</t>
        </is>
      </c>
      <c r="O1922" s="56" t="n">
        <v>575</v>
      </c>
      <c r="P1922" s="46" t="inlineStr">
        <is>
          <t>NSMI24070221377</t>
        </is>
      </c>
      <c r="Q1922" s="54">
        <f>MID(P1922,5,2)</f>
        <v/>
      </c>
      <c r="R1922" s="53">
        <f>MID(P1922,7,2)</f>
        <v/>
      </c>
      <c r="S1922" s="3" t="inlineStr">
        <is>
          <t>G2G</t>
        </is>
      </c>
      <c r="T1922" s="3" t="inlineStr">
        <is>
          <t>P4</t>
        </is>
      </c>
      <c r="U1922" s="3" t="inlineStr">
        <is>
          <t>N JB Cold Soldering</t>
        </is>
      </c>
      <c r="V1922" s="3" t="inlineStr">
        <is>
          <t>Soldering</t>
        </is>
      </c>
      <c r="W1922" s="3" t="inlineStr">
        <is>
          <t>Repair</t>
        </is>
      </c>
      <c r="X1922" s="18" t="n">
        <v>46166</v>
      </c>
      <c r="Y1922" s="3">
        <f>X1922-A1922</f>
        <v/>
      </c>
      <c r="Z1922" s="18" t="n">
        <v>46166</v>
      </c>
      <c r="AA1922" s="15" t="n"/>
      <c r="AB1922" s="15" t="n"/>
    </row>
    <row r="1923">
      <c r="A1923" s="37" t="n">
        <v>46143</v>
      </c>
      <c r="B1923" s="3" t="n">
        <v>2026</v>
      </c>
      <c r="C1923" s="26" t="inlineStr">
        <is>
          <t>Yanara Power</t>
        </is>
      </c>
      <c r="D1923" s="3" t="inlineStr">
        <is>
          <t>Utility and C&amp;I</t>
        </is>
      </c>
      <c r="E1923" s="3" t="n"/>
      <c r="F1923" s="3" t="inlineStr">
        <is>
          <t>Closed</t>
        </is>
      </c>
      <c r="G1923" s="9" t="inlineStr">
        <is>
          <t xml:space="preserve">Ashish Jindal </t>
        </is>
      </c>
      <c r="H1923" s="26" t="n">
        <v>9983975581</v>
      </c>
      <c r="I1923" s="38" t="inlineStr">
        <is>
          <t>PE01052601</t>
        </is>
      </c>
      <c r="J1923" s="26" t="inlineStr">
        <is>
          <t>Multiple Issues</t>
        </is>
      </c>
      <c r="K1923" s="39" t="inlineStr">
        <is>
          <t>Holi</t>
        </is>
      </c>
      <c r="L1923" s="39" t="inlineStr">
        <is>
          <t>Maharashtra</t>
        </is>
      </c>
      <c r="M1923" s="46" t="inlineStr">
        <is>
          <t>OK</t>
        </is>
      </c>
      <c r="N1923" s="3" t="inlineStr">
        <is>
          <t>No Issue</t>
        </is>
      </c>
      <c r="O1923" s="56" t="n">
        <v>575</v>
      </c>
      <c r="P1923" s="46" t="inlineStr">
        <is>
          <t>NSMI24070222223</t>
        </is>
      </c>
      <c r="Q1923" s="54">
        <f>MID(P1923,5,2)</f>
        <v/>
      </c>
      <c r="R1923" s="53">
        <f>MID(P1923,7,2)</f>
        <v/>
      </c>
      <c r="S1923" s="3" t="inlineStr">
        <is>
          <t>G2G</t>
        </is>
      </c>
      <c r="T1923" s="3" t="inlineStr">
        <is>
          <t>P4</t>
        </is>
      </c>
      <c r="U1923" s="19" t="inlineStr">
        <is>
          <t>No Issue Found</t>
        </is>
      </c>
      <c r="V1923" s="19" t="inlineStr">
        <is>
          <t>Found OK</t>
        </is>
      </c>
      <c r="W1923" s="3" t="inlineStr">
        <is>
          <t>Repair</t>
        </is>
      </c>
      <c r="X1923" s="18" t="n">
        <v>46166</v>
      </c>
      <c r="Y1923" s="3">
        <f>X1923-A1923</f>
        <v/>
      </c>
      <c r="Z1923" s="18" t="n">
        <v>46166</v>
      </c>
      <c r="AA1923" s="15" t="n"/>
      <c r="AB1923" s="15" t="n"/>
    </row>
    <row r="1924">
      <c r="A1924" s="37" t="n">
        <v>46143</v>
      </c>
      <c r="B1924" s="3" t="n">
        <v>2026</v>
      </c>
      <c r="C1924" s="26" t="inlineStr">
        <is>
          <t>Yanara Power</t>
        </is>
      </c>
      <c r="D1924" s="3" t="inlineStr">
        <is>
          <t>Utility and C&amp;I</t>
        </is>
      </c>
      <c r="E1924" s="3" t="n"/>
      <c r="F1924" s="3" t="inlineStr">
        <is>
          <t>Closed</t>
        </is>
      </c>
      <c r="G1924" s="9" t="inlineStr">
        <is>
          <t xml:space="preserve">Ashish Jindal </t>
        </is>
      </c>
      <c r="H1924" s="26" t="n">
        <v>9983975581</v>
      </c>
      <c r="I1924" s="38" t="inlineStr">
        <is>
          <t>PE01052601</t>
        </is>
      </c>
      <c r="J1924" s="26" t="inlineStr">
        <is>
          <t>Multiple Issues</t>
        </is>
      </c>
      <c r="K1924" s="39" t="inlineStr">
        <is>
          <t>Holi</t>
        </is>
      </c>
      <c r="L1924" s="39" t="inlineStr">
        <is>
          <t>Maharashtra</t>
        </is>
      </c>
      <c r="M1924" s="46" t="inlineStr">
        <is>
          <t>NS</t>
        </is>
      </c>
      <c r="N1924" s="3" t="inlineStr">
        <is>
          <t>Cold Soldering</t>
        </is>
      </c>
      <c r="O1924" s="56" t="n">
        <v>575</v>
      </c>
      <c r="P1924" s="46" t="inlineStr">
        <is>
          <t>NSMI24070176406</t>
        </is>
      </c>
      <c r="Q1924" s="54">
        <f>MID(P1924,5,2)</f>
        <v/>
      </c>
      <c r="R1924" s="53">
        <f>MID(P1924,7,2)</f>
        <v/>
      </c>
      <c r="S1924" s="3" t="inlineStr">
        <is>
          <t>G2G</t>
        </is>
      </c>
      <c r="T1924" s="3" t="inlineStr">
        <is>
          <t>P4</t>
        </is>
      </c>
      <c r="U1924" s="3" t="inlineStr">
        <is>
          <t>N JB Cold Soldering</t>
        </is>
      </c>
      <c r="V1924" s="3" t="inlineStr">
        <is>
          <t>Soldering</t>
        </is>
      </c>
      <c r="W1924" s="3" t="inlineStr">
        <is>
          <t>Repair</t>
        </is>
      </c>
      <c r="X1924" s="18" t="n">
        <v>46166</v>
      </c>
      <c r="Y1924" s="3">
        <f>X1924-A1924</f>
        <v/>
      </c>
      <c r="Z1924" s="18" t="n">
        <v>46166</v>
      </c>
      <c r="AA1924" s="15" t="n"/>
      <c r="AB1924" s="15" t="n"/>
    </row>
    <row r="1925">
      <c r="A1925" s="37" t="n">
        <v>46143</v>
      </c>
      <c r="B1925" s="3" t="n">
        <v>2026</v>
      </c>
      <c r="C1925" s="26" t="inlineStr">
        <is>
          <t>Yanara Power</t>
        </is>
      </c>
      <c r="D1925" s="3" t="inlineStr">
        <is>
          <t>Utility and C&amp;I</t>
        </is>
      </c>
      <c r="E1925" s="3" t="n"/>
      <c r="F1925" s="3" t="inlineStr">
        <is>
          <t>Closed</t>
        </is>
      </c>
      <c r="G1925" s="9" t="inlineStr">
        <is>
          <t xml:space="preserve">Ashish Jindal </t>
        </is>
      </c>
      <c r="H1925" s="26" t="n">
        <v>9983975581</v>
      </c>
      <c r="I1925" s="38" t="inlineStr">
        <is>
          <t>PE01052601</t>
        </is>
      </c>
      <c r="J1925" s="26" t="inlineStr">
        <is>
          <t>Multiple Issues</t>
        </is>
      </c>
      <c r="K1925" s="39" t="inlineStr">
        <is>
          <t>Holi</t>
        </is>
      </c>
      <c r="L1925" s="39" t="inlineStr">
        <is>
          <t>Maharashtra</t>
        </is>
      </c>
      <c r="M1925" s="46" t="inlineStr">
        <is>
          <t>PS</t>
        </is>
      </c>
      <c r="N1925" s="3" t="inlineStr">
        <is>
          <t>Cold Soldering</t>
        </is>
      </c>
      <c r="O1925" s="56" t="n">
        <v>575</v>
      </c>
      <c r="P1925" s="46" t="inlineStr">
        <is>
          <t>NSMI24070176657</t>
        </is>
      </c>
      <c r="Q1925" s="54">
        <f>MID(P1925,5,2)</f>
        <v/>
      </c>
      <c r="R1925" s="53">
        <f>MID(P1925,7,2)</f>
        <v/>
      </c>
      <c r="S1925" s="3" t="inlineStr">
        <is>
          <t>G2G</t>
        </is>
      </c>
      <c r="T1925" s="3" t="inlineStr">
        <is>
          <t>P4</t>
        </is>
      </c>
      <c r="U1925" s="19" t="inlineStr">
        <is>
          <t>P JB Cold Soldering</t>
        </is>
      </c>
      <c r="V1925" s="19" t="inlineStr">
        <is>
          <t>Soldering</t>
        </is>
      </c>
      <c r="W1925" s="3" t="inlineStr">
        <is>
          <t>Repair</t>
        </is>
      </c>
      <c r="X1925" s="18" t="n">
        <v>46166</v>
      </c>
      <c r="Y1925" s="3">
        <f>X1925-A1925</f>
        <v/>
      </c>
      <c r="Z1925" s="18" t="n">
        <v>46166</v>
      </c>
      <c r="AA1925" s="15" t="n"/>
      <c r="AB1925" s="15" t="n"/>
    </row>
    <row r="1926">
      <c r="A1926" s="37" t="n">
        <v>46143</v>
      </c>
      <c r="B1926" s="3" t="n">
        <v>2026</v>
      </c>
      <c r="C1926" s="26" t="inlineStr">
        <is>
          <t>Yanara Power</t>
        </is>
      </c>
      <c r="D1926" s="3" t="inlineStr">
        <is>
          <t>Utility and C&amp;I</t>
        </is>
      </c>
      <c r="E1926" s="3" t="n"/>
      <c r="F1926" s="3" t="inlineStr">
        <is>
          <t>Closed</t>
        </is>
      </c>
      <c r="G1926" s="9" t="inlineStr">
        <is>
          <t xml:space="preserve">Ashish Jindal </t>
        </is>
      </c>
      <c r="H1926" s="26" t="n">
        <v>9983975581</v>
      </c>
      <c r="I1926" s="38" t="inlineStr">
        <is>
          <t>PE01052601</t>
        </is>
      </c>
      <c r="J1926" s="26" t="inlineStr">
        <is>
          <t>Multiple Issues</t>
        </is>
      </c>
      <c r="K1926" s="39" t="inlineStr">
        <is>
          <t>Holi</t>
        </is>
      </c>
      <c r="L1926" s="39" t="inlineStr">
        <is>
          <t>Maharashtra</t>
        </is>
      </c>
      <c r="M1926" s="46" t="inlineStr">
        <is>
          <t>NS</t>
        </is>
      </c>
      <c r="N1926" s="3" t="inlineStr">
        <is>
          <t>Cold Soldering</t>
        </is>
      </c>
      <c r="O1926" s="56" t="n">
        <v>575</v>
      </c>
      <c r="P1926" s="46" t="inlineStr">
        <is>
          <t>NSMI24070178201</t>
        </is>
      </c>
      <c r="Q1926" s="54">
        <f>MID(P1926,5,2)</f>
        <v/>
      </c>
      <c r="R1926" s="53">
        <f>MID(P1926,7,2)</f>
        <v/>
      </c>
      <c r="S1926" s="3" t="inlineStr">
        <is>
          <t>G2G</t>
        </is>
      </c>
      <c r="T1926" s="3" t="inlineStr">
        <is>
          <t>P4</t>
        </is>
      </c>
      <c r="U1926" s="3" t="inlineStr">
        <is>
          <t>N JB Cold Soldering</t>
        </is>
      </c>
      <c r="V1926" s="3" t="inlineStr">
        <is>
          <t>Soldering</t>
        </is>
      </c>
      <c r="W1926" s="3" t="inlineStr">
        <is>
          <t>Repair</t>
        </is>
      </c>
      <c r="X1926" s="18" t="n">
        <v>46166</v>
      </c>
      <c r="Y1926" s="3">
        <f>X1926-A1926</f>
        <v/>
      </c>
      <c r="Z1926" s="18" t="n">
        <v>46166</v>
      </c>
      <c r="AA1926" s="15" t="n"/>
      <c r="AB1926" s="15" t="n"/>
    </row>
    <row r="1927">
      <c r="A1927" s="37" t="n">
        <v>46143</v>
      </c>
      <c r="B1927" s="3" t="n">
        <v>2026</v>
      </c>
      <c r="C1927" s="26" t="inlineStr">
        <is>
          <t>Yanara Power</t>
        </is>
      </c>
      <c r="D1927" s="3" t="inlineStr">
        <is>
          <t>Utility and C&amp;I</t>
        </is>
      </c>
      <c r="E1927" s="3" t="n"/>
      <c r="F1927" s="3" t="inlineStr">
        <is>
          <t>Closed</t>
        </is>
      </c>
      <c r="G1927" s="9" t="inlineStr">
        <is>
          <t xml:space="preserve">Ashish Jindal </t>
        </is>
      </c>
      <c r="H1927" s="26" t="n">
        <v>9983975581</v>
      </c>
      <c r="I1927" s="38" t="inlineStr">
        <is>
          <t>PE01052601</t>
        </is>
      </c>
      <c r="J1927" s="26" t="inlineStr">
        <is>
          <t>Multiple Issues</t>
        </is>
      </c>
      <c r="K1927" s="39" t="inlineStr">
        <is>
          <t>Holi</t>
        </is>
      </c>
      <c r="L1927" s="39" t="inlineStr">
        <is>
          <t>Maharashtra</t>
        </is>
      </c>
      <c r="M1927" s="46" t="inlineStr">
        <is>
          <t>PS</t>
        </is>
      </c>
      <c r="N1927" s="3" t="inlineStr">
        <is>
          <t>Cold Soldering</t>
        </is>
      </c>
      <c r="O1927" s="56" t="n">
        <v>575</v>
      </c>
      <c r="P1927" s="46" t="inlineStr">
        <is>
          <t>NSMI24070180018</t>
        </is>
      </c>
      <c r="Q1927" s="54">
        <f>MID(P1927,5,2)</f>
        <v/>
      </c>
      <c r="R1927" s="53">
        <f>MID(P1927,7,2)</f>
        <v/>
      </c>
      <c r="S1927" s="3" t="inlineStr">
        <is>
          <t>G2G</t>
        </is>
      </c>
      <c r="T1927" s="3" t="inlineStr">
        <is>
          <t>P4</t>
        </is>
      </c>
      <c r="U1927" s="19" t="inlineStr">
        <is>
          <t>P JB Cold Soldering</t>
        </is>
      </c>
      <c r="V1927" s="19" t="inlineStr">
        <is>
          <t>Soldering</t>
        </is>
      </c>
      <c r="W1927" s="3" t="inlineStr">
        <is>
          <t>Repair</t>
        </is>
      </c>
      <c r="X1927" s="18" t="n">
        <v>46166</v>
      </c>
      <c r="Y1927" s="3">
        <f>X1927-A1927</f>
        <v/>
      </c>
      <c r="Z1927" s="18" t="n">
        <v>46166</v>
      </c>
      <c r="AA1927" s="15" t="n"/>
      <c r="AB1927" s="15" t="n"/>
    </row>
    <row r="1928">
      <c r="A1928" s="37" t="n">
        <v>46143</v>
      </c>
      <c r="B1928" s="3" t="n">
        <v>2026</v>
      </c>
      <c r="C1928" s="26" t="inlineStr">
        <is>
          <t>Yanara Power</t>
        </is>
      </c>
      <c r="D1928" s="3" t="inlineStr">
        <is>
          <t>Utility and C&amp;I</t>
        </is>
      </c>
      <c r="E1928" s="3" t="n"/>
      <c r="F1928" s="3" t="inlineStr">
        <is>
          <t>Closed</t>
        </is>
      </c>
      <c r="G1928" s="9" t="inlineStr">
        <is>
          <t xml:space="preserve">Ashish Jindal </t>
        </is>
      </c>
      <c r="H1928" s="26" t="n">
        <v>9983975581</v>
      </c>
      <c r="I1928" s="38" t="inlineStr">
        <is>
          <t>PE01052601</t>
        </is>
      </c>
      <c r="J1928" s="26" t="inlineStr">
        <is>
          <t>Multiple Issues</t>
        </is>
      </c>
      <c r="K1928" s="39" t="inlineStr">
        <is>
          <t>Holi</t>
        </is>
      </c>
      <c r="L1928" s="39" t="inlineStr">
        <is>
          <t>Maharashtra</t>
        </is>
      </c>
      <c r="M1928" s="46" t="inlineStr">
        <is>
          <t>NS</t>
        </is>
      </c>
      <c r="N1928" s="3" t="inlineStr">
        <is>
          <t>Cold Soldering</t>
        </is>
      </c>
      <c r="O1928" s="56" t="n">
        <v>575</v>
      </c>
      <c r="P1928" s="46" t="inlineStr">
        <is>
          <t>NSMI24070178229</t>
        </is>
      </c>
      <c r="Q1928" s="54">
        <f>MID(P1928,5,2)</f>
        <v/>
      </c>
      <c r="R1928" s="53">
        <f>MID(P1928,7,2)</f>
        <v/>
      </c>
      <c r="S1928" s="3" t="inlineStr">
        <is>
          <t>G2G</t>
        </is>
      </c>
      <c r="T1928" s="3" t="inlineStr">
        <is>
          <t>P4</t>
        </is>
      </c>
      <c r="U1928" s="3" t="inlineStr">
        <is>
          <t>N JB Cold Soldering</t>
        </is>
      </c>
      <c r="V1928" s="3" t="inlineStr">
        <is>
          <t>Soldering</t>
        </is>
      </c>
      <c r="W1928" s="3" t="inlineStr">
        <is>
          <t>Repair</t>
        </is>
      </c>
      <c r="X1928" s="18" t="n">
        <v>46166</v>
      </c>
      <c r="Y1928" s="3">
        <f>X1928-A1928</f>
        <v/>
      </c>
      <c r="Z1928" s="18" t="n">
        <v>46166</v>
      </c>
      <c r="AA1928" s="15" t="n"/>
      <c r="AB1928" s="15" t="n"/>
    </row>
    <row r="1929">
      <c r="A1929" s="37" t="n">
        <v>46143</v>
      </c>
      <c r="B1929" s="3" t="n">
        <v>2026</v>
      </c>
      <c r="C1929" s="26" t="inlineStr">
        <is>
          <t>Yanara Power</t>
        </is>
      </c>
      <c r="D1929" s="3" t="inlineStr">
        <is>
          <t>Utility and C&amp;I</t>
        </is>
      </c>
      <c r="E1929" s="3" t="n"/>
      <c r="F1929" s="3" t="inlineStr">
        <is>
          <t>Closed</t>
        </is>
      </c>
      <c r="G1929" s="9" t="inlineStr">
        <is>
          <t xml:space="preserve">Ashish Jindal </t>
        </is>
      </c>
      <c r="H1929" s="26" t="n">
        <v>9983975581</v>
      </c>
      <c r="I1929" s="38" t="inlineStr">
        <is>
          <t>PE01052601</t>
        </is>
      </c>
      <c r="J1929" s="26" t="inlineStr">
        <is>
          <t>Multiple Issues</t>
        </is>
      </c>
      <c r="K1929" s="39" t="inlineStr">
        <is>
          <t>Holi</t>
        </is>
      </c>
      <c r="L1929" s="39" t="inlineStr">
        <is>
          <t>Maharashtra</t>
        </is>
      </c>
      <c r="M1929" s="46" t="inlineStr">
        <is>
          <t>PS</t>
        </is>
      </c>
      <c r="N1929" s="3" t="inlineStr">
        <is>
          <t>Cold Soldering</t>
        </is>
      </c>
      <c r="O1929" s="56" t="n">
        <v>575</v>
      </c>
      <c r="P1929" s="46" t="inlineStr">
        <is>
          <t>NSMI24070180003</t>
        </is>
      </c>
      <c r="Q1929" s="54">
        <f>MID(P1929,5,2)</f>
        <v/>
      </c>
      <c r="R1929" s="53">
        <f>MID(P1929,7,2)</f>
        <v/>
      </c>
      <c r="S1929" s="3" t="inlineStr">
        <is>
          <t>G2G</t>
        </is>
      </c>
      <c r="T1929" s="3" t="inlineStr">
        <is>
          <t>P4</t>
        </is>
      </c>
      <c r="U1929" s="19" t="inlineStr">
        <is>
          <t>P JB Cold Soldering</t>
        </is>
      </c>
      <c r="V1929" s="19" t="inlineStr">
        <is>
          <t>Soldering</t>
        </is>
      </c>
      <c r="W1929" s="3" t="inlineStr">
        <is>
          <t>Repair</t>
        </is>
      </c>
      <c r="X1929" s="18" t="n">
        <v>46166</v>
      </c>
      <c r="Y1929" s="3">
        <f>X1929-A1929</f>
        <v/>
      </c>
      <c r="Z1929" s="18" t="n">
        <v>46166</v>
      </c>
      <c r="AA1929" s="15" t="n"/>
      <c r="AB1929" s="15" t="n"/>
    </row>
    <row r="1930">
      <c r="A1930" s="37" t="n">
        <v>46143</v>
      </c>
      <c r="B1930" s="3" t="n">
        <v>2026</v>
      </c>
      <c r="C1930" s="26" t="inlineStr">
        <is>
          <t>Yanara Power</t>
        </is>
      </c>
      <c r="D1930" s="3" t="inlineStr">
        <is>
          <t>Utility and C&amp;I</t>
        </is>
      </c>
      <c r="E1930" s="3" t="n"/>
      <c r="F1930" s="3" t="inlineStr">
        <is>
          <t>Closed</t>
        </is>
      </c>
      <c r="G1930" s="9" t="inlineStr">
        <is>
          <t xml:space="preserve">Ashish Jindal </t>
        </is>
      </c>
      <c r="H1930" s="26" t="n">
        <v>9983975581</v>
      </c>
      <c r="I1930" s="38" t="inlineStr">
        <is>
          <t>PE01052601</t>
        </is>
      </c>
      <c r="J1930" s="26" t="inlineStr">
        <is>
          <t>Multiple Issues</t>
        </is>
      </c>
      <c r="K1930" s="39" t="inlineStr">
        <is>
          <t>Holi</t>
        </is>
      </c>
      <c r="L1930" s="39" t="inlineStr">
        <is>
          <t>Maharashtra</t>
        </is>
      </c>
      <c r="M1930" s="46" t="inlineStr">
        <is>
          <t>NS</t>
        </is>
      </c>
      <c r="N1930" s="3" t="inlineStr">
        <is>
          <t>Cold Soldering</t>
        </is>
      </c>
      <c r="O1930" s="56" t="n">
        <v>575</v>
      </c>
      <c r="P1930" s="46" t="inlineStr">
        <is>
          <t>NSMI24070180036</t>
        </is>
      </c>
      <c r="Q1930" s="54">
        <f>MID(P1930,5,2)</f>
        <v/>
      </c>
      <c r="R1930" s="53">
        <f>MID(P1930,7,2)</f>
        <v/>
      </c>
      <c r="S1930" s="3" t="inlineStr">
        <is>
          <t>G2G</t>
        </is>
      </c>
      <c r="T1930" s="3" t="inlineStr">
        <is>
          <t>P4</t>
        </is>
      </c>
      <c r="U1930" s="3" t="inlineStr">
        <is>
          <t>N JB Cold Soldering</t>
        </is>
      </c>
      <c r="V1930" s="3" t="inlineStr">
        <is>
          <t>Soldering</t>
        </is>
      </c>
      <c r="W1930" s="3" t="inlineStr">
        <is>
          <t>Repair</t>
        </is>
      </c>
      <c r="X1930" s="18" t="n">
        <v>46166</v>
      </c>
      <c r="Y1930" s="3">
        <f>X1930-A1930</f>
        <v/>
      </c>
      <c r="Z1930" s="18" t="n">
        <v>46166</v>
      </c>
      <c r="AA1930" s="15" t="n"/>
      <c r="AB1930" s="15" t="n"/>
    </row>
    <row r="1931">
      <c r="A1931" s="37" t="n">
        <v>46143</v>
      </c>
      <c r="B1931" s="3" t="n">
        <v>2026</v>
      </c>
      <c r="C1931" s="26" t="inlineStr">
        <is>
          <t>Yanara Power</t>
        </is>
      </c>
      <c r="D1931" s="3" t="inlineStr">
        <is>
          <t>Utility and C&amp;I</t>
        </is>
      </c>
      <c r="E1931" s="3" t="n"/>
      <c r="F1931" s="3" t="inlineStr">
        <is>
          <t>Closed</t>
        </is>
      </c>
      <c r="G1931" s="9" t="inlineStr">
        <is>
          <t xml:space="preserve">Ashish Jindal </t>
        </is>
      </c>
      <c r="H1931" s="26" t="n">
        <v>9983975581</v>
      </c>
      <c r="I1931" s="38" t="inlineStr">
        <is>
          <t>PE01052601</t>
        </is>
      </c>
      <c r="J1931" s="26" t="inlineStr">
        <is>
          <t>Multiple Issues</t>
        </is>
      </c>
      <c r="K1931" s="39" t="inlineStr">
        <is>
          <t>Holi</t>
        </is>
      </c>
      <c r="L1931" s="39" t="inlineStr">
        <is>
          <t>Maharashtra</t>
        </is>
      </c>
      <c r="M1931" s="46" t="inlineStr">
        <is>
          <t>NS</t>
        </is>
      </c>
      <c r="N1931" s="3" t="inlineStr">
        <is>
          <t>Cold Soldering</t>
        </is>
      </c>
      <c r="O1931" s="56" t="n">
        <v>575</v>
      </c>
      <c r="P1931" s="46" t="inlineStr">
        <is>
          <t>NSMI24070177128</t>
        </is>
      </c>
      <c r="Q1931" s="54">
        <f>MID(P1931,5,2)</f>
        <v/>
      </c>
      <c r="R1931" s="53">
        <f>MID(P1931,7,2)</f>
        <v/>
      </c>
      <c r="S1931" s="3" t="inlineStr">
        <is>
          <t>G2G</t>
        </is>
      </c>
      <c r="T1931" s="3" t="inlineStr">
        <is>
          <t>P4</t>
        </is>
      </c>
      <c r="U1931" s="3" t="inlineStr">
        <is>
          <t>N JB Cold Soldering</t>
        </is>
      </c>
      <c r="V1931" s="3" t="inlineStr">
        <is>
          <t>Soldering</t>
        </is>
      </c>
      <c r="W1931" s="3" t="inlineStr">
        <is>
          <t>Repair</t>
        </is>
      </c>
      <c r="X1931" s="18" t="n">
        <v>46166</v>
      </c>
      <c r="Y1931" s="3">
        <f>X1931-A1931</f>
        <v/>
      </c>
      <c r="Z1931" s="18" t="n">
        <v>46166</v>
      </c>
      <c r="AA1931" s="15" t="n"/>
      <c r="AB1931" s="15" t="n"/>
    </row>
    <row r="1932">
      <c r="A1932" s="37" t="n">
        <v>46143</v>
      </c>
      <c r="B1932" s="3" t="n">
        <v>2026</v>
      </c>
      <c r="C1932" s="26" t="inlineStr">
        <is>
          <t>Yanara Power</t>
        </is>
      </c>
      <c r="D1932" s="3" t="inlineStr">
        <is>
          <t>Utility and C&amp;I</t>
        </is>
      </c>
      <c r="E1932" s="3" t="n"/>
      <c r="F1932" s="3" t="inlineStr">
        <is>
          <t>Closed</t>
        </is>
      </c>
      <c r="G1932" s="9" t="inlineStr">
        <is>
          <t xml:space="preserve">Ashish Jindal </t>
        </is>
      </c>
      <c r="H1932" s="26" t="n">
        <v>9983975581</v>
      </c>
      <c r="I1932" s="38" t="inlineStr">
        <is>
          <t>PE01052601</t>
        </is>
      </c>
      <c r="J1932" s="26" t="inlineStr">
        <is>
          <t>Multiple Issues</t>
        </is>
      </c>
      <c r="K1932" s="39" t="inlineStr">
        <is>
          <t>Holi</t>
        </is>
      </c>
      <c r="L1932" s="39" t="inlineStr">
        <is>
          <t>Maharashtra</t>
        </is>
      </c>
      <c r="M1932" s="46" t="inlineStr">
        <is>
          <t>PS</t>
        </is>
      </c>
      <c r="N1932" s="3" t="inlineStr">
        <is>
          <t>Cold Soldering</t>
        </is>
      </c>
      <c r="O1932" s="56" t="n">
        <v>575</v>
      </c>
      <c r="P1932" s="46" t="inlineStr">
        <is>
          <t>NSMI24070180934</t>
        </is>
      </c>
      <c r="Q1932" s="54">
        <f>MID(P1932,5,2)</f>
        <v/>
      </c>
      <c r="R1932" s="53">
        <f>MID(P1932,7,2)</f>
        <v/>
      </c>
      <c r="S1932" s="3" t="inlineStr">
        <is>
          <t>G2G</t>
        </is>
      </c>
      <c r="T1932" s="3" t="inlineStr">
        <is>
          <t>P4</t>
        </is>
      </c>
      <c r="U1932" s="19" t="inlineStr">
        <is>
          <t>P JB Cold Soldering</t>
        </is>
      </c>
      <c r="V1932" s="19" t="inlineStr">
        <is>
          <t>Soldering</t>
        </is>
      </c>
      <c r="W1932" s="3" t="inlineStr">
        <is>
          <t>Repair</t>
        </is>
      </c>
      <c r="X1932" s="18" t="n">
        <v>46166</v>
      </c>
      <c r="Y1932" s="3">
        <f>X1932-A1932</f>
        <v/>
      </c>
      <c r="Z1932" s="18" t="n">
        <v>46166</v>
      </c>
      <c r="AA1932" s="15" t="n"/>
      <c r="AB1932" s="15" t="n"/>
    </row>
    <row r="1933">
      <c r="A1933" s="59" t="n">
        <v>46148</v>
      </c>
      <c r="B1933" s="3" t="n">
        <v>2026</v>
      </c>
      <c r="C1933" s="21" t="inlineStr">
        <is>
          <t>Continuum</t>
        </is>
      </c>
      <c r="D1933" s="3" t="inlineStr">
        <is>
          <t>Utility and C&amp;I</t>
        </is>
      </c>
      <c r="E1933" s="3" t="n"/>
      <c r="F1933" s="3" t="inlineStr">
        <is>
          <t>Closed</t>
        </is>
      </c>
      <c r="G1933" s="21" t="inlineStr">
        <is>
          <t>Amiya Ranjan Behera</t>
        </is>
      </c>
      <c r="H1933" s="21" t="n">
        <v>8917436223</v>
      </c>
      <c r="I1933" s="38" t="inlineStr">
        <is>
          <t>PE06052602</t>
        </is>
      </c>
      <c r="J1933" s="21" t="inlineStr">
        <is>
          <t>Diode Bypass Module Issue</t>
        </is>
      </c>
      <c r="K1933" s="21" t="inlineStr">
        <is>
          <t>Bhavnagar</t>
        </is>
      </c>
      <c r="L1933" s="21" t="inlineStr">
        <is>
          <t>Gujarat</t>
        </is>
      </c>
      <c r="M1933" s="9" t="inlineStr">
        <is>
          <t>PS</t>
        </is>
      </c>
      <c r="N1933" s="3" t="inlineStr">
        <is>
          <t>Cold Soldering</t>
        </is>
      </c>
      <c r="O1933" s="60" t="n">
        <v>540</v>
      </c>
      <c r="P1933" s="9" t="inlineStr">
        <is>
          <t>NSMP2304068775</t>
        </is>
      </c>
      <c r="Q1933" s="53">
        <f>MID(P1933,5,2)</f>
        <v/>
      </c>
      <c r="R1933" s="53">
        <f>MID(P1933,7,2)</f>
        <v/>
      </c>
      <c r="S1933" s="3" t="inlineStr">
        <is>
          <t>G2B</t>
        </is>
      </c>
      <c r="T1933" s="3" t="inlineStr">
        <is>
          <t>P2</t>
        </is>
      </c>
      <c r="U1933" s="3" t="inlineStr">
        <is>
          <t>P JB Cold Soldering</t>
        </is>
      </c>
      <c r="V1933" s="3" t="inlineStr">
        <is>
          <t>Soldering</t>
        </is>
      </c>
      <c r="W1933" s="3" t="inlineStr">
        <is>
          <t>Repair</t>
        </is>
      </c>
      <c r="X1933" s="18" t="n">
        <v>46167</v>
      </c>
      <c r="Y1933" s="3">
        <f>X1933-A1933</f>
        <v/>
      </c>
      <c r="Z1933" s="18" t="n">
        <v>46167</v>
      </c>
      <c r="AA1933" s="15" t="n"/>
      <c r="AB1933" s="15" t="n"/>
    </row>
    <row r="1934">
      <c r="A1934" s="59" t="n">
        <v>46148</v>
      </c>
      <c r="B1934" s="3" t="n">
        <v>2026</v>
      </c>
      <c r="C1934" s="21" t="inlineStr">
        <is>
          <t>Continuum</t>
        </is>
      </c>
      <c r="D1934" s="3" t="inlineStr">
        <is>
          <t>Utility and C&amp;I</t>
        </is>
      </c>
      <c r="E1934" s="3" t="n"/>
      <c r="F1934" s="3" t="inlineStr">
        <is>
          <t>Closed</t>
        </is>
      </c>
      <c r="G1934" s="21" t="inlineStr">
        <is>
          <t>Amiya Ranjan Behera</t>
        </is>
      </c>
      <c r="H1934" s="21" t="n">
        <v>8917436223</v>
      </c>
      <c r="I1934" s="38" t="inlineStr">
        <is>
          <t>PE06052602</t>
        </is>
      </c>
      <c r="J1934" s="21" t="inlineStr">
        <is>
          <t>Diode Bypass Module Issue</t>
        </is>
      </c>
      <c r="K1934" s="21" t="inlineStr">
        <is>
          <t>Bhavnagar</t>
        </is>
      </c>
      <c r="L1934" s="21" t="inlineStr">
        <is>
          <t>Gujarat</t>
        </is>
      </c>
      <c r="M1934" s="9" t="inlineStr">
        <is>
          <t>PS</t>
        </is>
      </c>
      <c r="N1934" s="3" t="inlineStr">
        <is>
          <t>Cold Soldering</t>
        </is>
      </c>
      <c r="O1934" s="60" t="n">
        <v>540</v>
      </c>
      <c r="P1934" s="9" t="inlineStr">
        <is>
          <t>NSMP2304068803</t>
        </is>
      </c>
      <c r="Q1934" s="53">
        <f>MID(P1934,5,2)</f>
        <v/>
      </c>
      <c r="R1934" s="53">
        <f>MID(P1934,7,2)</f>
        <v/>
      </c>
      <c r="S1934" s="3" t="inlineStr">
        <is>
          <t>G2B</t>
        </is>
      </c>
      <c r="T1934" s="3" t="inlineStr">
        <is>
          <t>P2</t>
        </is>
      </c>
      <c r="U1934" s="3" t="inlineStr">
        <is>
          <t>P JB Cold Soldering</t>
        </is>
      </c>
      <c r="V1934" s="3" t="inlineStr">
        <is>
          <t>Soldering</t>
        </is>
      </c>
      <c r="W1934" s="3" t="inlineStr">
        <is>
          <t>Repair</t>
        </is>
      </c>
      <c r="X1934" s="18" t="n">
        <v>46167</v>
      </c>
      <c r="Y1934" s="3">
        <f>X1934-A1934</f>
        <v/>
      </c>
      <c r="Z1934" s="18" t="n">
        <v>46167</v>
      </c>
      <c r="AA1934" s="15" t="n"/>
      <c r="AB1934" s="15" t="n"/>
    </row>
    <row r="1935">
      <c r="A1935" s="59" t="n">
        <v>46148</v>
      </c>
      <c r="B1935" s="3" t="n">
        <v>2026</v>
      </c>
      <c r="C1935" s="21" t="inlineStr">
        <is>
          <t>Continuum</t>
        </is>
      </c>
      <c r="D1935" s="3" t="inlineStr">
        <is>
          <t>Utility and C&amp;I</t>
        </is>
      </c>
      <c r="E1935" s="3" t="n"/>
      <c r="F1935" s="3" t="inlineStr">
        <is>
          <t>Closed</t>
        </is>
      </c>
      <c r="G1935" s="21" t="inlineStr">
        <is>
          <t>Amiya Ranjan Behera</t>
        </is>
      </c>
      <c r="H1935" s="21" t="n">
        <v>8917436223</v>
      </c>
      <c r="I1935" s="38" t="inlineStr">
        <is>
          <t>PE06052602</t>
        </is>
      </c>
      <c r="J1935" s="21" t="inlineStr">
        <is>
          <t>Diode Bypass Module Issue</t>
        </is>
      </c>
      <c r="K1935" s="21" t="inlineStr">
        <is>
          <t>Bhavnagar</t>
        </is>
      </c>
      <c r="L1935" s="21" t="inlineStr">
        <is>
          <t>Gujarat</t>
        </is>
      </c>
      <c r="M1935" s="9" t="inlineStr">
        <is>
          <t>PS</t>
        </is>
      </c>
      <c r="N1935" s="3" t="inlineStr">
        <is>
          <t>Cold Soldering</t>
        </is>
      </c>
      <c r="O1935" s="60" t="n">
        <v>540</v>
      </c>
      <c r="P1935" s="9" t="inlineStr">
        <is>
          <t>NSMP2304070591</t>
        </is>
      </c>
      <c r="Q1935" s="53">
        <f>MID(P1935,5,2)</f>
        <v/>
      </c>
      <c r="R1935" s="53">
        <f>MID(P1935,7,2)</f>
        <v/>
      </c>
      <c r="S1935" s="3" t="inlineStr">
        <is>
          <t>G2B</t>
        </is>
      </c>
      <c r="T1935" s="3" t="inlineStr">
        <is>
          <t>P2</t>
        </is>
      </c>
      <c r="U1935" s="3" t="inlineStr">
        <is>
          <t>P JB Cold Soldering</t>
        </is>
      </c>
      <c r="V1935" s="3" t="inlineStr">
        <is>
          <t>Soldering</t>
        </is>
      </c>
      <c r="W1935" s="3" t="inlineStr">
        <is>
          <t>Repair</t>
        </is>
      </c>
      <c r="X1935" s="18" t="n">
        <v>46167</v>
      </c>
      <c r="Y1935" s="3">
        <f>X1935-A1935</f>
        <v/>
      </c>
      <c r="Z1935" s="18" t="n">
        <v>46167</v>
      </c>
      <c r="AA1935" s="15" t="n"/>
      <c r="AB1935" s="15" t="n"/>
    </row>
    <row r="1936">
      <c r="A1936" s="59" t="n">
        <v>46148</v>
      </c>
      <c r="B1936" s="3" t="n">
        <v>2026</v>
      </c>
      <c r="C1936" s="21" t="inlineStr">
        <is>
          <t>Continuum</t>
        </is>
      </c>
      <c r="D1936" s="3" t="inlineStr">
        <is>
          <t>Utility and C&amp;I</t>
        </is>
      </c>
      <c r="E1936" s="3" t="n"/>
      <c r="F1936" s="3" t="inlineStr">
        <is>
          <t>Closed</t>
        </is>
      </c>
      <c r="G1936" s="21" t="inlineStr">
        <is>
          <t>Amiya Ranjan Behera</t>
        </is>
      </c>
      <c r="H1936" s="21" t="n">
        <v>8917436223</v>
      </c>
      <c r="I1936" s="38" t="inlineStr">
        <is>
          <t>PE06052602</t>
        </is>
      </c>
      <c r="J1936" s="21" t="inlineStr">
        <is>
          <t>Diode Bypass Module Issue</t>
        </is>
      </c>
      <c r="K1936" s="21" t="inlineStr">
        <is>
          <t>Bhavnagar</t>
        </is>
      </c>
      <c r="L1936" s="21" t="inlineStr">
        <is>
          <t>Gujarat</t>
        </is>
      </c>
      <c r="M1936" s="9" t="inlineStr">
        <is>
          <t>PR</t>
        </is>
      </c>
      <c r="N1936" s="3" t="inlineStr">
        <is>
          <t>JB Issue</t>
        </is>
      </c>
      <c r="O1936" s="60" t="n">
        <v>540</v>
      </c>
      <c r="P1936" s="9" t="inlineStr">
        <is>
          <t>NSMP2304068980</t>
        </is>
      </c>
      <c r="Q1936" s="53">
        <f>MID(P1936,5,2)</f>
        <v/>
      </c>
      <c r="R1936" s="53">
        <f>MID(P1936,7,2)</f>
        <v/>
      </c>
      <c r="S1936" s="3" t="inlineStr">
        <is>
          <t>G2B</t>
        </is>
      </c>
      <c r="T1936" s="3" t="inlineStr">
        <is>
          <t>P2</t>
        </is>
      </c>
      <c r="U1936" s="3" t="inlineStr">
        <is>
          <t>P JB Issue</t>
        </is>
      </c>
      <c r="V1936" s="15" t="inlineStr">
        <is>
          <t>JB Changed</t>
        </is>
      </c>
      <c r="W1936" s="3" t="inlineStr">
        <is>
          <t>Repair</t>
        </is>
      </c>
      <c r="X1936" s="18" t="n">
        <v>46167</v>
      </c>
      <c r="Y1936" s="3">
        <f>X1936-A1936</f>
        <v/>
      </c>
      <c r="Z1936" s="18" t="n">
        <v>46167</v>
      </c>
      <c r="AA1936" s="15" t="n"/>
      <c r="AB1936" s="15" t="n"/>
    </row>
    <row r="1937">
      <c r="A1937" s="59" t="n">
        <v>46148</v>
      </c>
      <c r="B1937" s="3" t="n">
        <v>2026</v>
      </c>
      <c r="C1937" s="21" t="inlineStr">
        <is>
          <t>Continuum</t>
        </is>
      </c>
      <c r="D1937" s="3" t="inlineStr">
        <is>
          <t>Utility and C&amp;I</t>
        </is>
      </c>
      <c r="E1937" s="3" t="n"/>
      <c r="F1937" s="3" t="inlineStr">
        <is>
          <t>Closed</t>
        </is>
      </c>
      <c r="G1937" s="21" t="inlineStr">
        <is>
          <t>Amiya Ranjan Behera</t>
        </is>
      </c>
      <c r="H1937" s="21" t="n">
        <v>8917436223</v>
      </c>
      <c r="I1937" s="38" t="inlineStr">
        <is>
          <t>PE06052602</t>
        </is>
      </c>
      <c r="J1937" s="21" t="inlineStr">
        <is>
          <t>Diode Bypass Module Issue</t>
        </is>
      </c>
      <c r="K1937" s="21" t="inlineStr">
        <is>
          <t>Bhavnagar</t>
        </is>
      </c>
      <c r="L1937" s="21" t="inlineStr">
        <is>
          <t>Gujarat</t>
        </is>
      </c>
      <c r="M1937" s="9" t="inlineStr">
        <is>
          <t>PS</t>
        </is>
      </c>
      <c r="N1937" s="3" t="inlineStr">
        <is>
          <t>Cold Soldering</t>
        </is>
      </c>
      <c r="O1937" s="60" t="n">
        <v>540</v>
      </c>
      <c r="P1937" s="9" t="inlineStr">
        <is>
          <t>NSMP2304070627</t>
        </is>
      </c>
      <c r="Q1937" s="53">
        <f>MID(P1937,5,2)</f>
        <v/>
      </c>
      <c r="R1937" s="53">
        <f>MID(P1937,7,2)</f>
        <v/>
      </c>
      <c r="S1937" s="3" t="inlineStr">
        <is>
          <t>G2B</t>
        </is>
      </c>
      <c r="T1937" s="3" t="inlineStr">
        <is>
          <t>P2</t>
        </is>
      </c>
      <c r="U1937" s="3" t="inlineStr">
        <is>
          <t>P JB Cold Soldering</t>
        </is>
      </c>
      <c r="V1937" s="3" t="inlineStr">
        <is>
          <t>Soldering</t>
        </is>
      </c>
      <c r="W1937" s="3" t="inlineStr">
        <is>
          <t>Repair</t>
        </is>
      </c>
      <c r="X1937" s="18" t="n">
        <v>46167</v>
      </c>
      <c r="Y1937" s="3">
        <f>X1937-A1937</f>
        <v/>
      </c>
      <c r="Z1937" s="18" t="n">
        <v>46167</v>
      </c>
      <c r="AA1937" s="15" t="n"/>
      <c r="AB1937" s="15" t="n"/>
    </row>
    <row r="1938">
      <c r="A1938" s="59" t="n">
        <v>46148</v>
      </c>
      <c r="B1938" s="3" t="n">
        <v>2026</v>
      </c>
      <c r="C1938" s="21" t="inlineStr">
        <is>
          <t>Continuum</t>
        </is>
      </c>
      <c r="D1938" s="3" t="inlineStr">
        <is>
          <t>Utility and C&amp;I</t>
        </is>
      </c>
      <c r="E1938" s="3" t="n"/>
      <c r="F1938" s="3" t="inlineStr">
        <is>
          <t>Closed</t>
        </is>
      </c>
      <c r="G1938" s="21" t="inlineStr">
        <is>
          <t>Amiya Ranjan Behera</t>
        </is>
      </c>
      <c r="H1938" s="21" t="n">
        <v>8917436223</v>
      </c>
      <c r="I1938" s="38" t="inlineStr">
        <is>
          <t>PE06052602</t>
        </is>
      </c>
      <c r="J1938" s="21" t="inlineStr">
        <is>
          <t>Diode Bypass Module Issue</t>
        </is>
      </c>
      <c r="K1938" s="21" t="inlineStr">
        <is>
          <t>Bhavnagar</t>
        </is>
      </c>
      <c r="L1938" s="21" t="inlineStr">
        <is>
          <t>Gujarat</t>
        </is>
      </c>
      <c r="M1938" s="9" t="inlineStr">
        <is>
          <t>PR</t>
        </is>
      </c>
      <c r="N1938" s="3" t="inlineStr">
        <is>
          <t>JB Issue</t>
        </is>
      </c>
      <c r="O1938" s="60" t="n">
        <v>540</v>
      </c>
      <c r="P1938" s="9" t="inlineStr">
        <is>
          <t>NSMP2304070654</t>
        </is>
      </c>
      <c r="Q1938" s="53">
        <f>MID(P1938,5,2)</f>
        <v/>
      </c>
      <c r="R1938" s="53">
        <f>MID(P1938,7,2)</f>
        <v/>
      </c>
      <c r="S1938" s="3" t="inlineStr">
        <is>
          <t>G2B</t>
        </is>
      </c>
      <c r="T1938" s="3" t="inlineStr">
        <is>
          <t>P2</t>
        </is>
      </c>
      <c r="U1938" s="3" t="inlineStr">
        <is>
          <t>P JB Issue</t>
        </is>
      </c>
      <c r="V1938" s="15" t="inlineStr">
        <is>
          <t>JB Changed</t>
        </is>
      </c>
      <c r="W1938" s="3" t="inlineStr">
        <is>
          <t>Repair</t>
        </is>
      </c>
      <c r="X1938" s="18" t="n">
        <v>46167</v>
      </c>
      <c r="Y1938" s="3">
        <f>X1938-A1938</f>
        <v/>
      </c>
      <c r="Z1938" s="18" t="n">
        <v>46167</v>
      </c>
      <c r="AA1938" s="15" t="n"/>
      <c r="AB1938" s="15" t="n"/>
    </row>
    <row r="1939">
      <c r="A1939" s="59" t="n">
        <v>46148</v>
      </c>
      <c r="B1939" s="3" t="n">
        <v>2026</v>
      </c>
      <c r="C1939" s="21" t="inlineStr">
        <is>
          <t>Continuum</t>
        </is>
      </c>
      <c r="D1939" s="3" t="inlineStr">
        <is>
          <t>Utility and C&amp;I</t>
        </is>
      </c>
      <c r="E1939" s="3" t="n"/>
      <c r="F1939" s="3" t="inlineStr">
        <is>
          <t>Closed</t>
        </is>
      </c>
      <c r="G1939" s="21" t="inlineStr">
        <is>
          <t>Amiya Ranjan Behera</t>
        </is>
      </c>
      <c r="H1939" s="21" t="n">
        <v>8917436223</v>
      </c>
      <c r="I1939" s="38" t="inlineStr">
        <is>
          <t>PE06052602</t>
        </is>
      </c>
      <c r="J1939" s="21" t="inlineStr">
        <is>
          <t>Diode Bypass Module Issue</t>
        </is>
      </c>
      <c r="K1939" s="21" t="inlineStr">
        <is>
          <t>Bhavnagar</t>
        </is>
      </c>
      <c r="L1939" s="21" t="inlineStr">
        <is>
          <t>Gujarat</t>
        </is>
      </c>
      <c r="M1939" s="9" t="inlineStr">
        <is>
          <t>PS</t>
        </is>
      </c>
      <c r="N1939" s="3" t="inlineStr">
        <is>
          <t>Cold Soldering</t>
        </is>
      </c>
      <c r="O1939" s="60" t="n">
        <v>540</v>
      </c>
      <c r="P1939" s="9" t="inlineStr">
        <is>
          <t>NSMP2304068638</t>
        </is>
      </c>
      <c r="Q1939" s="53">
        <f>MID(P1939,5,2)</f>
        <v/>
      </c>
      <c r="R1939" s="53">
        <f>MID(P1939,7,2)</f>
        <v/>
      </c>
      <c r="S1939" s="3" t="inlineStr">
        <is>
          <t>G2B</t>
        </is>
      </c>
      <c r="T1939" s="3" t="inlineStr">
        <is>
          <t>P2</t>
        </is>
      </c>
      <c r="U1939" s="3" t="inlineStr">
        <is>
          <t>P JB Cold Soldering</t>
        </is>
      </c>
      <c r="V1939" s="3" t="inlineStr">
        <is>
          <t>Soldering</t>
        </is>
      </c>
      <c r="W1939" s="3" t="inlineStr">
        <is>
          <t>Repair</t>
        </is>
      </c>
      <c r="X1939" s="18" t="n">
        <v>46167</v>
      </c>
      <c r="Y1939" s="3">
        <f>X1939-A1939</f>
        <v/>
      </c>
      <c r="Z1939" s="18" t="n">
        <v>46167</v>
      </c>
      <c r="AA1939" s="15" t="n"/>
      <c r="AB1939" s="15" t="n"/>
    </row>
    <row r="1940">
      <c r="A1940" s="59" t="n">
        <v>46148</v>
      </c>
      <c r="B1940" s="3" t="n">
        <v>2026</v>
      </c>
      <c r="C1940" s="21" t="inlineStr">
        <is>
          <t>Continuum</t>
        </is>
      </c>
      <c r="D1940" s="3" t="inlineStr">
        <is>
          <t>Utility and C&amp;I</t>
        </is>
      </c>
      <c r="E1940" s="3" t="n"/>
      <c r="F1940" s="3" t="inlineStr">
        <is>
          <t>Closed</t>
        </is>
      </c>
      <c r="G1940" s="21" t="inlineStr">
        <is>
          <t>Amiya Ranjan Behera</t>
        </is>
      </c>
      <c r="H1940" s="21" t="n">
        <v>8917436223</v>
      </c>
      <c r="I1940" s="38" t="inlineStr">
        <is>
          <t>PE06052602</t>
        </is>
      </c>
      <c r="J1940" s="21" t="inlineStr">
        <is>
          <t>Diode Bypass Module Issue</t>
        </is>
      </c>
      <c r="K1940" s="21" t="inlineStr">
        <is>
          <t>Bhavnagar</t>
        </is>
      </c>
      <c r="L1940" s="21" t="inlineStr">
        <is>
          <t>Gujarat</t>
        </is>
      </c>
      <c r="M1940" s="9" t="inlineStr">
        <is>
          <t>PS</t>
        </is>
      </c>
      <c r="N1940" s="3" t="inlineStr">
        <is>
          <t>Cold Soldering</t>
        </is>
      </c>
      <c r="O1940" s="60" t="n">
        <v>540</v>
      </c>
      <c r="P1940" s="9" t="inlineStr">
        <is>
          <t>NSMP2304068623</t>
        </is>
      </c>
      <c r="Q1940" s="53">
        <f>MID(P1940,5,2)</f>
        <v/>
      </c>
      <c r="R1940" s="53">
        <f>MID(P1940,7,2)</f>
        <v/>
      </c>
      <c r="S1940" s="3" t="inlineStr">
        <is>
          <t>G2B</t>
        </is>
      </c>
      <c r="T1940" s="3" t="inlineStr">
        <is>
          <t>P2</t>
        </is>
      </c>
      <c r="U1940" s="3" t="inlineStr">
        <is>
          <t>P JB Cold Soldering</t>
        </is>
      </c>
      <c r="V1940" s="3" t="inlineStr">
        <is>
          <t>Soldering</t>
        </is>
      </c>
      <c r="W1940" s="3" t="inlineStr">
        <is>
          <t>Repair</t>
        </is>
      </c>
      <c r="X1940" s="18" t="n">
        <v>46167</v>
      </c>
      <c r="Y1940" s="3">
        <f>X1940-A1940</f>
        <v/>
      </c>
      <c r="Z1940" s="18" t="n">
        <v>46167</v>
      </c>
      <c r="AA1940" s="15" t="n"/>
      <c r="AB1940" s="15" t="n"/>
    </row>
    <row r="1941">
      <c r="A1941" s="59" t="n">
        <v>46148</v>
      </c>
      <c r="B1941" s="3" t="n">
        <v>2026</v>
      </c>
      <c r="C1941" s="21" t="inlineStr">
        <is>
          <t>Continuum</t>
        </is>
      </c>
      <c r="D1941" s="3" t="inlineStr">
        <is>
          <t>Utility and C&amp;I</t>
        </is>
      </c>
      <c r="E1941" s="3" t="n"/>
      <c r="F1941" s="3" t="inlineStr">
        <is>
          <t>Closed</t>
        </is>
      </c>
      <c r="G1941" s="21" t="inlineStr">
        <is>
          <t>Amiya Ranjan Behera</t>
        </is>
      </c>
      <c r="H1941" s="21" t="n">
        <v>8917436223</v>
      </c>
      <c r="I1941" s="38" t="inlineStr">
        <is>
          <t>PE06052602</t>
        </is>
      </c>
      <c r="J1941" s="21" t="inlineStr">
        <is>
          <t>Diode Bypass Module Issue</t>
        </is>
      </c>
      <c r="K1941" s="21" t="inlineStr">
        <is>
          <t>Bhavnagar</t>
        </is>
      </c>
      <c r="L1941" s="21" t="inlineStr">
        <is>
          <t>Gujarat</t>
        </is>
      </c>
      <c r="M1941" s="9" t="inlineStr">
        <is>
          <t>PS</t>
        </is>
      </c>
      <c r="N1941" s="3" t="inlineStr">
        <is>
          <t>Cold Soldering</t>
        </is>
      </c>
      <c r="O1941" s="60" t="n">
        <v>540</v>
      </c>
      <c r="P1941" s="9" t="inlineStr">
        <is>
          <t>NSMP2304068658</t>
        </is>
      </c>
      <c r="Q1941" s="53">
        <f>MID(P1941,5,2)</f>
        <v/>
      </c>
      <c r="R1941" s="53">
        <f>MID(P1941,7,2)</f>
        <v/>
      </c>
      <c r="S1941" s="3" t="inlineStr">
        <is>
          <t>G2B</t>
        </is>
      </c>
      <c r="T1941" s="3" t="inlineStr">
        <is>
          <t>P2</t>
        </is>
      </c>
      <c r="U1941" s="3" t="inlineStr">
        <is>
          <t>P JB Cold Soldering</t>
        </is>
      </c>
      <c r="V1941" s="3" t="inlineStr">
        <is>
          <t>Soldering</t>
        </is>
      </c>
      <c r="W1941" s="3" t="inlineStr">
        <is>
          <t>Repair</t>
        </is>
      </c>
      <c r="X1941" s="18" t="n">
        <v>46167</v>
      </c>
      <c r="Y1941" s="3">
        <f>X1941-A1941</f>
        <v/>
      </c>
      <c r="Z1941" s="18" t="n">
        <v>46167</v>
      </c>
      <c r="AA1941" s="15" t="n"/>
      <c r="AB1941" s="15" t="n"/>
    </row>
    <row r="1942">
      <c r="A1942" s="59" t="n">
        <v>46148</v>
      </c>
      <c r="B1942" s="3" t="n">
        <v>2026</v>
      </c>
      <c r="C1942" s="21" t="inlineStr">
        <is>
          <t>Continuum</t>
        </is>
      </c>
      <c r="D1942" s="3" t="inlineStr">
        <is>
          <t>Utility and C&amp;I</t>
        </is>
      </c>
      <c r="E1942" s="3" t="n"/>
      <c r="F1942" s="3" t="inlineStr">
        <is>
          <t>Closed</t>
        </is>
      </c>
      <c r="G1942" s="21" t="inlineStr">
        <is>
          <t>Amiya Ranjan Behera</t>
        </is>
      </c>
      <c r="H1942" s="21" t="n">
        <v>8917436223</v>
      </c>
      <c r="I1942" s="38" t="inlineStr">
        <is>
          <t>PE06052602</t>
        </is>
      </c>
      <c r="J1942" s="21" t="inlineStr">
        <is>
          <t>Diode Bypass Module Issue</t>
        </is>
      </c>
      <c r="K1942" s="21" t="inlineStr">
        <is>
          <t>Bhavnagar</t>
        </is>
      </c>
      <c r="L1942" s="21" t="inlineStr">
        <is>
          <t>Gujarat</t>
        </is>
      </c>
      <c r="M1942" s="9" t="inlineStr">
        <is>
          <t>PS</t>
        </is>
      </c>
      <c r="N1942" s="3" t="inlineStr">
        <is>
          <t>Cold Soldering</t>
        </is>
      </c>
      <c r="O1942" s="60" t="n">
        <v>540</v>
      </c>
      <c r="P1942" s="9" t="inlineStr">
        <is>
          <t>NSMP2304068670</t>
        </is>
      </c>
      <c r="Q1942" s="53">
        <f>MID(P1942,5,2)</f>
        <v/>
      </c>
      <c r="R1942" s="53">
        <f>MID(P1942,7,2)</f>
        <v/>
      </c>
      <c r="S1942" s="3" t="inlineStr">
        <is>
          <t>G2B</t>
        </is>
      </c>
      <c r="T1942" s="3" t="inlineStr">
        <is>
          <t>P2</t>
        </is>
      </c>
      <c r="U1942" s="3" t="inlineStr">
        <is>
          <t>P JB Cold Soldering</t>
        </is>
      </c>
      <c r="V1942" s="3" t="inlineStr">
        <is>
          <t>Soldering</t>
        </is>
      </c>
      <c r="W1942" s="3" t="inlineStr">
        <is>
          <t>Repair</t>
        </is>
      </c>
      <c r="X1942" s="18" t="n">
        <v>46167</v>
      </c>
      <c r="Y1942" s="3">
        <f>X1942-A1942</f>
        <v/>
      </c>
      <c r="Z1942" s="18" t="n">
        <v>46167</v>
      </c>
      <c r="AA1942" s="15" t="n"/>
      <c r="AB1942" s="15" t="n"/>
    </row>
    <row r="1943">
      <c r="A1943" s="59" t="n">
        <v>46148</v>
      </c>
      <c r="B1943" s="3" t="n">
        <v>2026</v>
      </c>
      <c r="C1943" s="21" t="inlineStr">
        <is>
          <t>Continuum</t>
        </is>
      </c>
      <c r="D1943" s="3" t="inlineStr">
        <is>
          <t>Utility and C&amp;I</t>
        </is>
      </c>
      <c r="E1943" s="3" t="n"/>
      <c r="F1943" s="3" t="inlineStr">
        <is>
          <t>Closed</t>
        </is>
      </c>
      <c r="G1943" s="21" t="inlineStr">
        <is>
          <t>Amiya Ranjan Behera</t>
        </is>
      </c>
      <c r="H1943" s="21" t="n">
        <v>8917436223</v>
      </c>
      <c r="I1943" s="38" t="inlineStr">
        <is>
          <t>PE06052602</t>
        </is>
      </c>
      <c r="J1943" s="21" t="inlineStr">
        <is>
          <t>Diode Bypass Module Issue</t>
        </is>
      </c>
      <c r="K1943" s="21" t="inlineStr">
        <is>
          <t>Bhavnagar</t>
        </is>
      </c>
      <c r="L1943" s="21" t="inlineStr">
        <is>
          <t>Gujarat</t>
        </is>
      </c>
      <c r="M1943" s="9" t="inlineStr">
        <is>
          <t>PNS</t>
        </is>
      </c>
      <c r="N1943" s="3" t="inlineStr">
        <is>
          <t>Cold Soldering</t>
        </is>
      </c>
      <c r="O1943" s="60" t="n">
        <v>540</v>
      </c>
      <c r="P1943" s="9" t="inlineStr">
        <is>
          <t>NSMP2304076121</t>
        </is>
      </c>
      <c r="Q1943" s="53">
        <f>MID(P1943,5,2)</f>
        <v/>
      </c>
      <c r="R1943" s="53">
        <f>MID(P1943,7,2)</f>
        <v/>
      </c>
      <c r="S1943" s="3" t="inlineStr">
        <is>
          <t>G2B</t>
        </is>
      </c>
      <c r="T1943" s="3" t="inlineStr">
        <is>
          <t>P2</t>
        </is>
      </c>
      <c r="U1943" s="3" t="inlineStr">
        <is>
          <t>P &amp; N JB Cold Soldering</t>
        </is>
      </c>
      <c r="V1943" s="3" t="inlineStr">
        <is>
          <t>Soldering</t>
        </is>
      </c>
      <c r="W1943" s="3" t="inlineStr">
        <is>
          <t>Repair</t>
        </is>
      </c>
      <c r="X1943" s="18" t="n">
        <v>46167</v>
      </c>
      <c r="Y1943" s="3">
        <f>X1943-A1943</f>
        <v/>
      </c>
      <c r="Z1943" s="18" t="n">
        <v>46167</v>
      </c>
      <c r="AA1943" s="15" t="n"/>
      <c r="AB1943" s="15" t="n"/>
    </row>
    <row r="1944">
      <c r="A1944" s="59" t="n">
        <v>46148</v>
      </c>
      <c r="B1944" s="3" t="n">
        <v>2026</v>
      </c>
      <c r="C1944" s="21" t="inlineStr">
        <is>
          <t>Continuum</t>
        </is>
      </c>
      <c r="D1944" s="3" t="inlineStr">
        <is>
          <t>Utility and C&amp;I</t>
        </is>
      </c>
      <c r="E1944" s="3" t="n"/>
      <c r="F1944" s="3" t="inlineStr">
        <is>
          <t>Closed</t>
        </is>
      </c>
      <c r="G1944" s="21" t="inlineStr">
        <is>
          <t>Amiya Ranjan Behera</t>
        </is>
      </c>
      <c r="H1944" s="21" t="n">
        <v>8917436223</v>
      </c>
      <c r="I1944" s="38" t="inlineStr">
        <is>
          <t>PE06052602</t>
        </is>
      </c>
      <c r="J1944" s="21" t="inlineStr">
        <is>
          <t>Diode Bypass Module Issue</t>
        </is>
      </c>
      <c r="K1944" s="21" t="inlineStr">
        <is>
          <t>Bhavnagar</t>
        </is>
      </c>
      <c r="L1944" s="21" t="inlineStr">
        <is>
          <t>Gujarat</t>
        </is>
      </c>
      <c r="M1944" s="9" t="inlineStr">
        <is>
          <t>PS</t>
        </is>
      </c>
      <c r="N1944" s="3" t="inlineStr">
        <is>
          <t>Cold Soldering</t>
        </is>
      </c>
      <c r="O1944" s="60" t="n">
        <v>540</v>
      </c>
      <c r="P1944" s="9" t="inlineStr">
        <is>
          <t>NSMP2305192727</t>
        </is>
      </c>
      <c r="Q1944" s="53">
        <f>MID(P1944,5,2)</f>
        <v/>
      </c>
      <c r="R1944" s="53">
        <f>MID(P1944,7,2)</f>
        <v/>
      </c>
      <c r="S1944" s="3" t="inlineStr">
        <is>
          <t>G2B</t>
        </is>
      </c>
      <c r="T1944" s="3" t="inlineStr">
        <is>
          <t>P2</t>
        </is>
      </c>
      <c r="U1944" s="3" t="inlineStr">
        <is>
          <t>P JB Cold Soldering</t>
        </is>
      </c>
      <c r="V1944" s="3" t="inlineStr">
        <is>
          <t>Soldering</t>
        </is>
      </c>
      <c r="W1944" s="3" t="inlineStr">
        <is>
          <t>Repair</t>
        </is>
      </c>
      <c r="X1944" s="18" t="n">
        <v>46167</v>
      </c>
      <c r="Y1944" s="3">
        <f>X1944-A1944</f>
        <v/>
      </c>
      <c r="Z1944" s="18" t="n">
        <v>46167</v>
      </c>
      <c r="AA1944" s="15" t="n"/>
      <c r="AB1944" s="15" t="n"/>
    </row>
    <row r="1945">
      <c r="A1945" s="59" t="n">
        <v>46148</v>
      </c>
      <c r="B1945" s="3" t="n">
        <v>2026</v>
      </c>
      <c r="C1945" s="21" t="inlineStr">
        <is>
          <t>Continuum</t>
        </is>
      </c>
      <c r="D1945" s="3" t="inlineStr">
        <is>
          <t>Utility and C&amp;I</t>
        </is>
      </c>
      <c r="E1945" s="3" t="n"/>
      <c r="F1945" s="3" t="inlineStr">
        <is>
          <t>Closed</t>
        </is>
      </c>
      <c r="G1945" s="21" t="inlineStr">
        <is>
          <t>Amiya Ranjan Behera</t>
        </is>
      </c>
      <c r="H1945" s="21" t="n">
        <v>8917436223</v>
      </c>
      <c r="I1945" s="38" t="inlineStr">
        <is>
          <t>PE06052602</t>
        </is>
      </c>
      <c r="J1945" s="21" t="inlineStr">
        <is>
          <t>Diode Bypass Module Issue</t>
        </is>
      </c>
      <c r="K1945" s="21" t="inlineStr">
        <is>
          <t>Bhavnagar</t>
        </is>
      </c>
      <c r="L1945" s="21" t="inlineStr">
        <is>
          <t>Gujarat</t>
        </is>
      </c>
      <c r="M1945" s="9" t="inlineStr">
        <is>
          <t>PR</t>
        </is>
      </c>
      <c r="N1945" s="3" t="inlineStr">
        <is>
          <t>JB Issue</t>
        </is>
      </c>
      <c r="O1945" s="60" t="n">
        <v>540</v>
      </c>
      <c r="P1945" s="9" t="inlineStr">
        <is>
          <t>NSMP2304053961</t>
        </is>
      </c>
      <c r="Q1945" s="53">
        <f>MID(P1945,5,2)</f>
        <v/>
      </c>
      <c r="R1945" s="53">
        <f>MID(P1945,7,2)</f>
        <v/>
      </c>
      <c r="S1945" s="3" t="inlineStr">
        <is>
          <t>G2B</t>
        </is>
      </c>
      <c r="T1945" s="3" t="inlineStr">
        <is>
          <t>P2</t>
        </is>
      </c>
      <c r="U1945" s="3" t="inlineStr">
        <is>
          <t>P JB Issue</t>
        </is>
      </c>
      <c r="V1945" s="15" t="inlineStr">
        <is>
          <t>JB Changed</t>
        </is>
      </c>
      <c r="W1945" s="3" t="inlineStr">
        <is>
          <t>Repair</t>
        </is>
      </c>
      <c r="X1945" s="18" t="n">
        <v>46167</v>
      </c>
      <c r="Y1945" s="3">
        <f>X1945-A1945</f>
        <v/>
      </c>
      <c r="Z1945" s="18" t="n">
        <v>46167</v>
      </c>
      <c r="AA1945" s="15" t="n"/>
      <c r="AB1945" s="15" t="n"/>
    </row>
    <row r="1946">
      <c r="A1946" s="59" t="n">
        <v>46148</v>
      </c>
      <c r="B1946" s="3" t="n">
        <v>2026</v>
      </c>
      <c r="C1946" s="21" t="inlineStr">
        <is>
          <t>Continuum</t>
        </is>
      </c>
      <c r="D1946" s="3" t="inlineStr">
        <is>
          <t>Utility and C&amp;I</t>
        </is>
      </c>
      <c r="E1946" s="3" t="n"/>
      <c r="F1946" s="3" t="inlineStr">
        <is>
          <t>Closed</t>
        </is>
      </c>
      <c r="G1946" s="21" t="inlineStr">
        <is>
          <t>Amiya Ranjan Behera</t>
        </is>
      </c>
      <c r="H1946" s="21" t="n">
        <v>8917436223</v>
      </c>
      <c r="I1946" s="38" t="inlineStr">
        <is>
          <t>PE06052602</t>
        </is>
      </c>
      <c r="J1946" s="21" t="inlineStr">
        <is>
          <t>Diode Bypass Module Issue</t>
        </is>
      </c>
      <c r="K1946" s="21" t="inlineStr">
        <is>
          <t>Bhavnagar</t>
        </is>
      </c>
      <c r="L1946" s="21" t="inlineStr">
        <is>
          <t>Gujarat</t>
        </is>
      </c>
      <c r="M1946" s="9" t="inlineStr">
        <is>
          <t>PS</t>
        </is>
      </c>
      <c r="N1946" s="3" t="inlineStr">
        <is>
          <t>Cold Soldering</t>
        </is>
      </c>
      <c r="O1946" s="60" t="n">
        <v>540</v>
      </c>
      <c r="P1946" s="9" t="inlineStr">
        <is>
          <t>NSMP2305202393</t>
        </is>
      </c>
      <c r="Q1946" s="53">
        <f>MID(P1946,5,2)</f>
        <v/>
      </c>
      <c r="R1946" s="53">
        <f>MID(P1946,7,2)</f>
        <v/>
      </c>
      <c r="S1946" s="3" t="inlineStr">
        <is>
          <t>G2B</t>
        </is>
      </c>
      <c r="T1946" s="3" t="inlineStr">
        <is>
          <t>P2</t>
        </is>
      </c>
      <c r="U1946" s="3" t="inlineStr">
        <is>
          <t>P JB Cold Soldering</t>
        </is>
      </c>
      <c r="V1946" s="3" t="inlineStr">
        <is>
          <t>Soldering</t>
        </is>
      </c>
      <c r="W1946" s="3" t="inlineStr">
        <is>
          <t>Repair</t>
        </is>
      </c>
      <c r="X1946" s="18" t="n">
        <v>46167</v>
      </c>
      <c r="Y1946" s="3">
        <f>X1946-A1946</f>
        <v/>
      </c>
      <c r="Z1946" s="18" t="n">
        <v>46167</v>
      </c>
      <c r="AA1946" s="15" t="n"/>
      <c r="AB1946" s="15" t="n"/>
    </row>
    <row r="1947">
      <c r="A1947" s="59" t="n">
        <v>46148</v>
      </c>
      <c r="B1947" s="3" t="n">
        <v>2026</v>
      </c>
      <c r="C1947" s="21" t="inlineStr">
        <is>
          <t>Continuum</t>
        </is>
      </c>
      <c r="D1947" s="3" t="inlineStr">
        <is>
          <t>Utility and C&amp;I</t>
        </is>
      </c>
      <c r="E1947" s="3" t="n"/>
      <c r="F1947" s="3" t="inlineStr">
        <is>
          <t>Closed</t>
        </is>
      </c>
      <c r="G1947" s="21" t="inlineStr">
        <is>
          <t>Amiya Ranjan Behera</t>
        </is>
      </c>
      <c r="H1947" s="21" t="n">
        <v>8917436223</v>
      </c>
      <c r="I1947" s="38" t="inlineStr">
        <is>
          <t>PE06052602</t>
        </is>
      </c>
      <c r="J1947" s="21" t="inlineStr">
        <is>
          <t>Diode Bypass Module Issue</t>
        </is>
      </c>
      <c r="K1947" s="21" t="inlineStr">
        <is>
          <t>Bhavnagar</t>
        </is>
      </c>
      <c r="L1947" s="21" t="inlineStr">
        <is>
          <t>Gujarat</t>
        </is>
      </c>
      <c r="M1947" s="9" t="inlineStr">
        <is>
          <t>NS</t>
        </is>
      </c>
      <c r="N1947" s="26" t="inlineStr">
        <is>
          <t>Cold Soldering</t>
        </is>
      </c>
      <c r="O1947" s="60" t="n">
        <v>540</v>
      </c>
      <c r="P1947" s="9" t="inlineStr">
        <is>
          <t>NSMP2304044040</t>
        </is>
      </c>
      <c r="Q1947" s="53">
        <f>MID(P1947,5,2)</f>
        <v/>
      </c>
      <c r="R1947" s="53">
        <f>MID(P1947,7,2)</f>
        <v/>
      </c>
      <c r="S1947" s="3" t="inlineStr">
        <is>
          <t>G2B</t>
        </is>
      </c>
      <c r="T1947" s="3" t="inlineStr">
        <is>
          <t>P2</t>
        </is>
      </c>
      <c r="U1947" s="19" t="inlineStr">
        <is>
          <t>N JB Cold Soldering</t>
        </is>
      </c>
      <c r="V1947" s="19" t="inlineStr">
        <is>
          <t>Soldering</t>
        </is>
      </c>
      <c r="W1947" s="3" t="inlineStr">
        <is>
          <t>Repair</t>
        </is>
      </c>
      <c r="X1947" s="18" t="n">
        <v>46167</v>
      </c>
      <c r="Y1947" s="3">
        <f>X1947-A1947</f>
        <v/>
      </c>
      <c r="Z1947" s="18" t="n">
        <v>46167</v>
      </c>
      <c r="AA1947" s="15" t="n"/>
      <c r="AB1947" s="15" t="n"/>
    </row>
    <row r="1948">
      <c r="A1948" s="59" t="n">
        <v>46148</v>
      </c>
      <c r="B1948" s="3" t="n">
        <v>2026</v>
      </c>
      <c r="C1948" s="21" t="inlineStr">
        <is>
          <t>Continuum</t>
        </is>
      </c>
      <c r="D1948" s="3" t="inlineStr">
        <is>
          <t>Utility and C&amp;I</t>
        </is>
      </c>
      <c r="E1948" s="3" t="n"/>
      <c r="F1948" s="3" t="inlineStr">
        <is>
          <t>Closed</t>
        </is>
      </c>
      <c r="G1948" s="21" t="inlineStr">
        <is>
          <t>Amiya Ranjan Behera</t>
        </is>
      </c>
      <c r="H1948" s="21" t="n">
        <v>8917436223</v>
      </c>
      <c r="I1948" s="38" t="inlineStr">
        <is>
          <t>PE06052602</t>
        </is>
      </c>
      <c r="J1948" s="21" t="inlineStr">
        <is>
          <t>Diode Bypass Module Issue</t>
        </is>
      </c>
      <c r="K1948" s="21" t="inlineStr">
        <is>
          <t>Bhavnagar</t>
        </is>
      </c>
      <c r="L1948" s="21" t="inlineStr">
        <is>
          <t>Gujarat</t>
        </is>
      </c>
      <c r="M1948" s="9" t="inlineStr">
        <is>
          <t>NS</t>
        </is>
      </c>
      <c r="N1948" s="26" t="inlineStr">
        <is>
          <t>Cold Soldering</t>
        </is>
      </c>
      <c r="O1948" s="60" t="n">
        <v>540</v>
      </c>
      <c r="P1948" s="9" t="inlineStr">
        <is>
          <t>NSMP2304044126</t>
        </is>
      </c>
      <c r="Q1948" s="53">
        <f>MID(P1948,5,2)</f>
        <v/>
      </c>
      <c r="R1948" s="53">
        <f>MID(P1948,7,2)</f>
        <v/>
      </c>
      <c r="S1948" s="3" t="inlineStr">
        <is>
          <t>G2B</t>
        </is>
      </c>
      <c r="T1948" s="3" t="inlineStr">
        <is>
          <t>P2</t>
        </is>
      </c>
      <c r="U1948" s="19" t="inlineStr">
        <is>
          <t>N JB Cold Soldering</t>
        </is>
      </c>
      <c r="V1948" s="19" t="inlineStr">
        <is>
          <t>Soldering</t>
        </is>
      </c>
      <c r="W1948" s="3" t="inlineStr">
        <is>
          <t>Repair</t>
        </is>
      </c>
      <c r="X1948" s="18" t="n">
        <v>46167</v>
      </c>
      <c r="Y1948" s="3">
        <f>X1948-A1948</f>
        <v/>
      </c>
      <c r="Z1948" s="18" t="n">
        <v>46167</v>
      </c>
      <c r="AA1948" s="15" t="n"/>
      <c r="AB1948" s="15" t="n"/>
    </row>
    <row r="1949">
      <c r="A1949" s="59" t="n">
        <v>46148</v>
      </c>
      <c r="B1949" s="3" t="n">
        <v>2026</v>
      </c>
      <c r="C1949" s="21" t="inlineStr">
        <is>
          <t>Continuum</t>
        </is>
      </c>
      <c r="D1949" s="3" t="inlineStr">
        <is>
          <t>Utility and C&amp;I</t>
        </is>
      </c>
      <c r="E1949" s="3" t="n"/>
      <c r="F1949" s="3" t="inlineStr">
        <is>
          <t>Closed</t>
        </is>
      </c>
      <c r="G1949" s="21" t="inlineStr">
        <is>
          <t>Amiya Ranjan Behera</t>
        </is>
      </c>
      <c r="H1949" s="21" t="n">
        <v>8917436223</v>
      </c>
      <c r="I1949" s="38" t="inlineStr">
        <is>
          <t>PE06052602</t>
        </is>
      </c>
      <c r="J1949" s="21" t="inlineStr">
        <is>
          <t>Diode Bypass Module Issue</t>
        </is>
      </c>
      <c r="K1949" s="21" t="inlineStr">
        <is>
          <t>Bhavnagar</t>
        </is>
      </c>
      <c r="L1949" s="21" t="inlineStr">
        <is>
          <t>Gujarat</t>
        </is>
      </c>
      <c r="M1949" s="9" t="inlineStr">
        <is>
          <t>PS</t>
        </is>
      </c>
      <c r="N1949" s="3" t="inlineStr">
        <is>
          <t>Cold Soldering</t>
        </is>
      </c>
      <c r="O1949" s="60" t="n">
        <v>540</v>
      </c>
      <c r="P1949" s="9" t="inlineStr">
        <is>
          <t>NSMP2305189461</t>
        </is>
      </c>
      <c r="Q1949" s="53">
        <f>MID(P1949,5,2)</f>
        <v/>
      </c>
      <c r="R1949" s="53">
        <f>MID(P1949,7,2)</f>
        <v/>
      </c>
      <c r="S1949" s="3" t="inlineStr">
        <is>
          <t>G2B</t>
        </is>
      </c>
      <c r="T1949" s="3" t="inlineStr">
        <is>
          <t>P2</t>
        </is>
      </c>
      <c r="U1949" s="3" t="inlineStr">
        <is>
          <t>P JB Cold Soldering</t>
        </is>
      </c>
      <c r="V1949" s="3" t="inlineStr">
        <is>
          <t>Soldering</t>
        </is>
      </c>
      <c r="W1949" s="3" t="inlineStr">
        <is>
          <t>Repair</t>
        </is>
      </c>
      <c r="X1949" s="18" t="n">
        <v>46167</v>
      </c>
      <c r="Y1949" s="3">
        <f>X1949-A1949</f>
        <v/>
      </c>
      <c r="Z1949" s="18" t="n">
        <v>46167</v>
      </c>
      <c r="AA1949" s="15" t="n"/>
      <c r="AB1949" s="15" t="n"/>
    </row>
    <row r="1950">
      <c r="A1950" s="59" t="n">
        <v>46148</v>
      </c>
      <c r="B1950" s="3" t="n">
        <v>2026</v>
      </c>
      <c r="C1950" s="21" t="inlineStr">
        <is>
          <t>Continuum</t>
        </is>
      </c>
      <c r="D1950" s="3" t="inlineStr">
        <is>
          <t>Utility and C&amp;I</t>
        </is>
      </c>
      <c r="E1950" s="3" t="n"/>
      <c r="F1950" s="3" t="inlineStr">
        <is>
          <t>Closed</t>
        </is>
      </c>
      <c r="G1950" s="21" t="inlineStr">
        <is>
          <t>Amiya Ranjan Behera</t>
        </is>
      </c>
      <c r="H1950" s="21" t="n">
        <v>8917436223</v>
      </c>
      <c r="I1950" s="38" t="inlineStr">
        <is>
          <t>PE06052602</t>
        </is>
      </c>
      <c r="J1950" s="21" t="inlineStr">
        <is>
          <t>Diode Bypass Module Issue</t>
        </is>
      </c>
      <c r="K1950" s="21" t="inlineStr">
        <is>
          <t>Bhavnagar</t>
        </is>
      </c>
      <c r="L1950" s="21" t="inlineStr">
        <is>
          <t>Gujarat</t>
        </is>
      </c>
      <c r="M1950" s="9" t="inlineStr">
        <is>
          <t>PS</t>
        </is>
      </c>
      <c r="N1950" s="3" t="inlineStr">
        <is>
          <t>Cold Soldering</t>
        </is>
      </c>
      <c r="O1950" s="60" t="n">
        <v>540</v>
      </c>
      <c r="P1950" s="9" t="inlineStr">
        <is>
          <t>NSMP2305192793</t>
        </is>
      </c>
      <c r="Q1950" s="53">
        <f>MID(P1950,5,2)</f>
        <v/>
      </c>
      <c r="R1950" s="53">
        <f>MID(P1950,7,2)</f>
        <v/>
      </c>
      <c r="S1950" s="3" t="inlineStr">
        <is>
          <t>G2B</t>
        </is>
      </c>
      <c r="T1950" s="3" t="inlineStr">
        <is>
          <t>P2</t>
        </is>
      </c>
      <c r="U1950" s="3" t="inlineStr">
        <is>
          <t>P JB Cold Soldering</t>
        </is>
      </c>
      <c r="V1950" s="3" t="inlineStr">
        <is>
          <t>Soldering</t>
        </is>
      </c>
      <c r="W1950" s="3" t="inlineStr">
        <is>
          <t>Repair</t>
        </is>
      </c>
      <c r="X1950" s="18" t="n">
        <v>46167</v>
      </c>
      <c r="Y1950" s="3">
        <f>X1950-A1950</f>
        <v/>
      </c>
      <c r="Z1950" s="18" t="n">
        <v>46167</v>
      </c>
      <c r="AA1950" s="15" t="n"/>
      <c r="AB1950" s="15" t="n"/>
    </row>
    <row r="1951">
      <c r="A1951" s="59" t="n">
        <v>46148</v>
      </c>
      <c r="B1951" s="3" t="n">
        <v>2026</v>
      </c>
      <c r="C1951" s="21" t="inlineStr">
        <is>
          <t>Continuum</t>
        </is>
      </c>
      <c r="D1951" s="3" t="inlineStr">
        <is>
          <t>Utility and C&amp;I</t>
        </is>
      </c>
      <c r="E1951" s="3" t="n"/>
      <c r="F1951" s="3" t="inlineStr">
        <is>
          <t>Closed</t>
        </is>
      </c>
      <c r="G1951" s="21" t="inlineStr">
        <is>
          <t>Amiya Ranjan Behera</t>
        </is>
      </c>
      <c r="H1951" s="21" t="n">
        <v>8917436223</v>
      </c>
      <c r="I1951" s="38" t="inlineStr">
        <is>
          <t>PE06052602</t>
        </is>
      </c>
      <c r="J1951" s="21" t="inlineStr">
        <is>
          <t>Diode Bypass Module Issue</t>
        </is>
      </c>
      <c r="K1951" s="21" t="inlineStr">
        <is>
          <t>Bhavnagar</t>
        </is>
      </c>
      <c r="L1951" s="21" t="inlineStr">
        <is>
          <t>Gujarat</t>
        </is>
      </c>
      <c r="M1951" s="9" t="inlineStr">
        <is>
          <t>PS</t>
        </is>
      </c>
      <c r="N1951" s="3" t="inlineStr">
        <is>
          <t>Cold Soldering</t>
        </is>
      </c>
      <c r="O1951" s="60" t="n">
        <v>540</v>
      </c>
      <c r="P1951" s="9" t="inlineStr">
        <is>
          <t>NSMP2305188543</t>
        </is>
      </c>
      <c r="Q1951" s="53">
        <f>MID(P1951,5,2)</f>
        <v/>
      </c>
      <c r="R1951" s="53">
        <f>MID(P1951,7,2)</f>
        <v/>
      </c>
      <c r="S1951" s="3" t="inlineStr">
        <is>
          <t>G2B</t>
        </is>
      </c>
      <c r="T1951" s="3" t="inlineStr">
        <is>
          <t>P2</t>
        </is>
      </c>
      <c r="U1951" s="3" t="inlineStr">
        <is>
          <t>P JB Cold Soldering</t>
        </is>
      </c>
      <c r="V1951" s="3" t="inlineStr">
        <is>
          <t>Soldering</t>
        </is>
      </c>
      <c r="W1951" s="3" t="inlineStr">
        <is>
          <t>Repair</t>
        </is>
      </c>
      <c r="X1951" s="18" t="n">
        <v>46167</v>
      </c>
      <c r="Y1951" s="3">
        <f>X1951-A1951</f>
        <v/>
      </c>
      <c r="Z1951" s="18" t="n">
        <v>46167</v>
      </c>
      <c r="AA1951" s="15" t="n"/>
      <c r="AB1951" s="15" t="n"/>
    </row>
    <row r="1952">
      <c r="A1952" s="59" t="n">
        <v>46148</v>
      </c>
      <c r="B1952" s="3" t="n">
        <v>2026</v>
      </c>
      <c r="C1952" s="21" t="inlineStr">
        <is>
          <t>Continuum</t>
        </is>
      </c>
      <c r="D1952" s="3" t="inlineStr">
        <is>
          <t>Utility and C&amp;I</t>
        </is>
      </c>
      <c r="E1952" s="3" t="n"/>
      <c r="F1952" s="3" t="inlineStr">
        <is>
          <t>Closed</t>
        </is>
      </c>
      <c r="G1952" s="21" t="inlineStr">
        <is>
          <t>Amiya Ranjan Behera</t>
        </is>
      </c>
      <c r="H1952" s="21" t="n">
        <v>8917436223</v>
      </c>
      <c r="I1952" s="38" t="inlineStr">
        <is>
          <t>PE06052602</t>
        </is>
      </c>
      <c r="J1952" s="21" t="inlineStr">
        <is>
          <t>Diode Bypass Module Issue</t>
        </is>
      </c>
      <c r="K1952" s="21" t="inlineStr">
        <is>
          <t>Bhavnagar</t>
        </is>
      </c>
      <c r="L1952" s="21" t="inlineStr">
        <is>
          <t>Gujarat</t>
        </is>
      </c>
      <c r="M1952" s="9" t="inlineStr">
        <is>
          <t>PS</t>
        </is>
      </c>
      <c r="N1952" s="3" t="inlineStr">
        <is>
          <t>Cold Soldering</t>
        </is>
      </c>
      <c r="O1952" s="60" t="n">
        <v>540</v>
      </c>
      <c r="P1952" s="9" t="inlineStr">
        <is>
          <t>NSMP2305192772</t>
        </is>
      </c>
      <c r="Q1952" s="53">
        <f>MID(P1952,5,2)</f>
        <v/>
      </c>
      <c r="R1952" s="53">
        <f>MID(P1952,7,2)</f>
        <v/>
      </c>
      <c r="S1952" s="3" t="inlineStr">
        <is>
          <t>G2B</t>
        </is>
      </c>
      <c r="T1952" s="3" t="inlineStr">
        <is>
          <t>P2</t>
        </is>
      </c>
      <c r="U1952" s="3" t="inlineStr">
        <is>
          <t>P JB Cold Soldering</t>
        </is>
      </c>
      <c r="V1952" s="3" t="inlineStr">
        <is>
          <t>Soldering</t>
        </is>
      </c>
      <c r="W1952" s="3" t="inlineStr">
        <is>
          <t>Repair</t>
        </is>
      </c>
      <c r="X1952" s="18" t="n">
        <v>46167</v>
      </c>
      <c r="Y1952" s="3">
        <f>X1952-A1952</f>
        <v/>
      </c>
      <c r="Z1952" s="18" t="n">
        <v>46167</v>
      </c>
      <c r="AA1952" s="15" t="n"/>
      <c r="AB1952" s="15" t="n"/>
    </row>
    <row r="1953">
      <c r="A1953" s="59" t="n">
        <v>46148</v>
      </c>
      <c r="B1953" s="3" t="n">
        <v>2026</v>
      </c>
      <c r="C1953" s="21" t="inlineStr">
        <is>
          <t>Continuum</t>
        </is>
      </c>
      <c r="D1953" s="3" t="inlineStr">
        <is>
          <t>Utility and C&amp;I</t>
        </is>
      </c>
      <c r="E1953" s="3" t="n"/>
      <c r="F1953" s="3" t="inlineStr">
        <is>
          <t>Closed</t>
        </is>
      </c>
      <c r="G1953" s="21" t="inlineStr">
        <is>
          <t>Amiya Ranjan Behera</t>
        </is>
      </c>
      <c r="H1953" s="21" t="n">
        <v>8917436223</v>
      </c>
      <c r="I1953" s="38" t="inlineStr">
        <is>
          <t>PE06052602</t>
        </is>
      </c>
      <c r="J1953" s="21" t="inlineStr">
        <is>
          <t>Diode Bypass Module Issue</t>
        </is>
      </c>
      <c r="K1953" s="21" t="inlineStr">
        <is>
          <t>Bhavnagar</t>
        </is>
      </c>
      <c r="L1953" s="21" t="inlineStr">
        <is>
          <t>Gujarat</t>
        </is>
      </c>
      <c r="M1953" s="9" t="inlineStr">
        <is>
          <t>PR</t>
        </is>
      </c>
      <c r="N1953" s="3" t="inlineStr">
        <is>
          <t>JB Issue</t>
        </is>
      </c>
      <c r="O1953" s="60" t="n">
        <v>540</v>
      </c>
      <c r="P1953" s="9" t="inlineStr">
        <is>
          <t>NSMP2305192799</t>
        </is>
      </c>
      <c r="Q1953" s="53">
        <f>MID(P1953,5,2)</f>
        <v/>
      </c>
      <c r="R1953" s="53">
        <f>MID(P1953,7,2)</f>
        <v/>
      </c>
      <c r="S1953" s="3" t="inlineStr">
        <is>
          <t>G2B</t>
        </is>
      </c>
      <c r="T1953" s="3" t="inlineStr">
        <is>
          <t>P2</t>
        </is>
      </c>
      <c r="U1953" s="3" t="inlineStr">
        <is>
          <t>P JB Issue</t>
        </is>
      </c>
      <c r="V1953" s="15" t="inlineStr">
        <is>
          <t>JB Changed</t>
        </is>
      </c>
      <c r="W1953" s="3" t="inlineStr">
        <is>
          <t>Repair</t>
        </is>
      </c>
      <c r="X1953" s="18" t="n">
        <v>46167</v>
      </c>
      <c r="Y1953" s="3">
        <f>X1953-A1953</f>
        <v/>
      </c>
      <c r="Z1953" s="18" t="n">
        <v>46167</v>
      </c>
      <c r="AA1953" s="15" t="n"/>
      <c r="AB1953" s="15" t="n"/>
    </row>
    <row r="1954">
      <c r="A1954" s="59" t="n">
        <v>46148</v>
      </c>
      <c r="B1954" s="3" t="n">
        <v>2026</v>
      </c>
      <c r="C1954" s="21" t="inlineStr">
        <is>
          <t>Continuum</t>
        </is>
      </c>
      <c r="D1954" s="3" t="inlineStr">
        <is>
          <t>Utility and C&amp;I</t>
        </is>
      </c>
      <c r="E1954" s="3" t="n"/>
      <c r="F1954" s="3" t="inlineStr">
        <is>
          <t>Closed</t>
        </is>
      </c>
      <c r="G1954" s="21" t="inlineStr">
        <is>
          <t>Amiya Ranjan Behera</t>
        </is>
      </c>
      <c r="H1954" s="21" t="n">
        <v>8917436223</v>
      </c>
      <c r="I1954" s="38" t="inlineStr">
        <is>
          <t>PE06052602</t>
        </is>
      </c>
      <c r="J1954" s="21" t="inlineStr">
        <is>
          <t>Diode Bypass Module Issue</t>
        </is>
      </c>
      <c r="K1954" s="21" t="inlineStr">
        <is>
          <t>Bhavnagar</t>
        </is>
      </c>
      <c r="L1954" s="21" t="inlineStr">
        <is>
          <t>Gujarat</t>
        </is>
      </c>
      <c r="M1954" s="9" t="inlineStr">
        <is>
          <t>PS</t>
        </is>
      </c>
      <c r="N1954" s="3" t="inlineStr">
        <is>
          <t>Cold Soldering</t>
        </is>
      </c>
      <c r="O1954" s="60" t="n">
        <v>540</v>
      </c>
      <c r="P1954" s="9" t="inlineStr">
        <is>
          <t>NSMP2305189514</t>
        </is>
      </c>
      <c r="Q1954" s="53">
        <f>MID(P1954,5,2)</f>
        <v/>
      </c>
      <c r="R1954" s="53">
        <f>MID(P1954,7,2)</f>
        <v/>
      </c>
      <c r="S1954" s="3" t="inlineStr">
        <is>
          <t>G2B</t>
        </is>
      </c>
      <c r="T1954" s="3" t="inlineStr">
        <is>
          <t>P2</t>
        </is>
      </c>
      <c r="U1954" s="3" t="inlineStr">
        <is>
          <t>P JB Cold Soldering</t>
        </is>
      </c>
      <c r="V1954" s="3" t="inlineStr">
        <is>
          <t>Soldering</t>
        </is>
      </c>
      <c r="W1954" s="3" t="inlineStr">
        <is>
          <t>Repair</t>
        </is>
      </c>
      <c r="X1954" s="18" t="n">
        <v>46167</v>
      </c>
      <c r="Y1954" s="3">
        <f>X1954-A1954</f>
        <v/>
      </c>
      <c r="Z1954" s="18" t="n">
        <v>46167</v>
      </c>
      <c r="AA1954" s="15" t="n"/>
      <c r="AB1954" s="15" t="n"/>
    </row>
    <row r="1955">
      <c r="A1955" s="59" t="n">
        <v>46148</v>
      </c>
      <c r="B1955" s="3" t="n">
        <v>2026</v>
      </c>
      <c r="C1955" s="21" t="inlineStr">
        <is>
          <t>Continuum</t>
        </is>
      </c>
      <c r="D1955" s="3" t="inlineStr">
        <is>
          <t>Utility and C&amp;I</t>
        </is>
      </c>
      <c r="E1955" s="3" t="n"/>
      <c r="F1955" s="3" t="inlineStr">
        <is>
          <t>Closed</t>
        </is>
      </c>
      <c r="G1955" s="21" t="inlineStr">
        <is>
          <t>Amiya Ranjan Behera</t>
        </is>
      </c>
      <c r="H1955" s="21" t="n">
        <v>8917436223</v>
      </c>
      <c r="I1955" s="38" t="inlineStr">
        <is>
          <t>PE06052602</t>
        </is>
      </c>
      <c r="J1955" s="21" t="inlineStr">
        <is>
          <t>Diode Bypass Module Issue</t>
        </is>
      </c>
      <c r="K1955" s="21" t="inlineStr">
        <is>
          <t>Bhavnagar</t>
        </is>
      </c>
      <c r="L1955" s="21" t="inlineStr">
        <is>
          <t>Gujarat</t>
        </is>
      </c>
      <c r="M1955" s="9" t="inlineStr">
        <is>
          <t>PS</t>
        </is>
      </c>
      <c r="N1955" s="3" t="inlineStr">
        <is>
          <t>Cold Soldering</t>
        </is>
      </c>
      <c r="O1955" s="60" t="n">
        <v>540</v>
      </c>
      <c r="P1955" s="9" t="inlineStr">
        <is>
          <t>NSMP2305189523</t>
        </is>
      </c>
      <c r="Q1955" s="53">
        <f>MID(P1955,5,2)</f>
        <v/>
      </c>
      <c r="R1955" s="53">
        <f>MID(P1955,7,2)</f>
        <v/>
      </c>
      <c r="S1955" s="3" t="inlineStr">
        <is>
          <t>G2B</t>
        </is>
      </c>
      <c r="T1955" s="3" t="inlineStr">
        <is>
          <t>P2</t>
        </is>
      </c>
      <c r="U1955" s="3" t="inlineStr">
        <is>
          <t>P JB Cold Soldering</t>
        </is>
      </c>
      <c r="V1955" s="3" t="inlineStr">
        <is>
          <t>Soldering</t>
        </is>
      </c>
      <c r="W1955" s="3" t="inlineStr">
        <is>
          <t>Repair</t>
        </is>
      </c>
      <c r="X1955" s="18" t="n">
        <v>46167</v>
      </c>
      <c r="Y1955" s="3">
        <f>X1955-A1955</f>
        <v/>
      </c>
      <c r="Z1955" s="18" t="n">
        <v>46167</v>
      </c>
      <c r="AA1955" s="15" t="n"/>
      <c r="AB1955" s="15" t="n"/>
    </row>
    <row r="1956">
      <c r="A1956" s="59" t="n">
        <v>46148</v>
      </c>
      <c r="B1956" s="3" t="n">
        <v>2026</v>
      </c>
      <c r="C1956" s="21" t="inlineStr">
        <is>
          <t>Continuum</t>
        </is>
      </c>
      <c r="D1956" s="3" t="inlineStr">
        <is>
          <t>Utility and C&amp;I</t>
        </is>
      </c>
      <c r="E1956" s="3" t="n"/>
      <c r="F1956" s="3" t="inlineStr">
        <is>
          <t>Closed</t>
        </is>
      </c>
      <c r="G1956" s="21" t="inlineStr">
        <is>
          <t>Amiya Ranjan Behera</t>
        </is>
      </c>
      <c r="H1956" s="21" t="n">
        <v>8917436223</v>
      </c>
      <c r="I1956" s="38" t="inlineStr">
        <is>
          <t>PE06052602</t>
        </is>
      </c>
      <c r="J1956" s="21" t="inlineStr">
        <is>
          <t>Diode Bypass Module Issue</t>
        </is>
      </c>
      <c r="K1956" s="21" t="inlineStr">
        <is>
          <t>Bhavnagar</t>
        </is>
      </c>
      <c r="L1956" s="21" t="inlineStr">
        <is>
          <t>Gujarat</t>
        </is>
      </c>
      <c r="M1956" s="9" t="inlineStr">
        <is>
          <t>PS</t>
        </is>
      </c>
      <c r="N1956" s="3" t="inlineStr">
        <is>
          <t>Cold Soldering</t>
        </is>
      </c>
      <c r="O1956" s="60" t="n">
        <v>540</v>
      </c>
      <c r="P1956" s="9" t="inlineStr">
        <is>
          <t>NSMP2305189397</t>
        </is>
      </c>
      <c r="Q1956" s="53">
        <f>MID(P1956,5,2)</f>
        <v/>
      </c>
      <c r="R1956" s="53">
        <f>MID(P1956,7,2)</f>
        <v/>
      </c>
      <c r="S1956" s="3" t="inlineStr">
        <is>
          <t>G2B</t>
        </is>
      </c>
      <c r="T1956" s="3" t="inlineStr">
        <is>
          <t>P2</t>
        </is>
      </c>
      <c r="U1956" s="3" t="inlineStr">
        <is>
          <t>P JB Cold Soldering</t>
        </is>
      </c>
      <c r="V1956" s="3" t="inlineStr">
        <is>
          <t>Soldering</t>
        </is>
      </c>
      <c r="W1956" s="3" t="inlineStr">
        <is>
          <t>Repair</t>
        </is>
      </c>
      <c r="X1956" s="18" t="n">
        <v>46167</v>
      </c>
      <c r="Y1956" s="3">
        <f>X1956-A1956</f>
        <v/>
      </c>
      <c r="Z1956" s="18" t="n">
        <v>46167</v>
      </c>
      <c r="AA1956" s="15" t="n"/>
      <c r="AB1956" s="15" t="n"/>
    </row>
    <row r="1957">
      <c r="A1957" s="59" t="n">
        <v>46148</v>
      </c>
      <c r="B1957" s="3" t="n">
        <v>2026</v>
      </c>
      <c r="C1957" s="21" t="inlineStr">
        <is>
          <t>Continuum</t>
        </is>
      </c>
      <c r="D1957" s="3" t="inlineStr">
        <is>
          <t>Utility and C&amp;I</t>
        </is>
      </c>
      <c r="E1957" s="3" t="n"/>
      <c r="F1957" s="3" t="inlineStr">
        <is>
          <t>Closed</t>
        </is>
      </c>
      <c r="G1957" s="21" t="inlineStr">
        <is>
          <t>Amiya Ranjan Behera</t>
        </is>
      </c>
      <c r="H1957" s="21" t="n">
        <v>8917436223</v>
      </c>
      <c r="I1957" s="38" t="inlineStr">
        <is>
          <t>PE06052602</t>
        </is>
      </c>
      <c r="J1957" s="21" t="inlineStr">
        <is>
          <t>Diode Bypass Module Issue</t>
        </is>
      </c>
      <c r="K1957" s="21" t="inlineStr">
        <is>
          <t>Bhavnagar</t>
        </is>
      </c>
      <c r="L1957" s="21" t="inlineStr">
        <is>
          <t>Gujarat</t>
        </is>
      </c>
      <c r="M1957" s="9" t="inlineStr">
        <is>
          <t>PS</t>
        </is>
      </c>
      <c r="N1957" s="3" t="inlineStr">
        <is>
          <t>Cold Soldering</t>
        </is>
      </c>
      <c r="O1957" s="60" t="n">
        <v>540</v>
      </c>
      <c r="P1957" s="9" t="inlineStr">
        <is>
          <t>NSMP2304067342</t>
        </is>
      </c>
      <c r="Q1957" s="53">
        <f>MID(P1957,5,2)</f>
        <v/>
      </c>
      <c r="R1957" s="53">
        <f>MID(P1957,7,2)</f>
        <v/>
      </c>
      <c r="S1957" s="3" t="inlineStr">
        <is>
          <t>G2B</t>
        </is>
      </c>
      <c r="T1957" s="3" t="inlineStr">
        <is>
          <t>P2</t>
        </is>
      </c>
      <c r="U1957" s="3" t="inlineStr">
        <is>
          <t>P JB Cold Soldering</t>
        </is>
      </c>
      <c r="V1957" s="3" t="inlineStr">
        <is>
          <t>Soldering</t>
        </is>
      </c>
      <c r="W1957" s="3" t="inlineStr">
        <is>
          <t>Repair</t>
        </is>
      </c>
      <c r="X1957" s="18" t="n">
        <v>46167</v>
      </c>
      <c r="Y1957" s="3">
        <f>X1957-A1957</f>
        <v/>
      </c>
      <c r="Z1957" s="18" t="n">
        <v>46167</v>
      </c>
      <c r="AA1957" s="15" t="n"/>
      <c r="AB1957" s="15" t="n"/>
    </row>
    <row r="1958">
      <c r="A1958" s="59" t="n">
        <v>46148</v>
      </c>
      <c r="B1958" s="3" t="n">
        <v>2026</v>
      </c>
      <c r="C1958" s="21" t="inlineStr">
        <is>
          <t>Continuum</t>
        </is>
      </c>
      <c r="D1958" s="3" t="inlineStr">
        <is>
          <t>Utility and C&amp;I</t>
        </is>
      </c>
      <c r="E1958" s="3" t="n"/>
      <c r="F1958" s="3" t="inlineStr">
        <is>
          <t>Closed</t>
        </is>
      </c>
      <c r="G1958" s="21" t="inlineStr">
        <is>
          <t>Amiya Ranjan Behera</t>
        </is>
      </c>
      <c r="H1958" s="21" t="n">
        <v>8917436223</v>
      </c>
      <c r="I1958" s="38" t="inlineStr">
        <is>
          <t>PE06052602</t>
        </is>
      </c>
      <c r="J1958" s="21" t="inlineStr">
        <is>
          <t>Diode Bypass Module Issue</t>
        </is>
      </c>
      <c r="K1958" s="21" t="inlineStr">
        <is>
          <t>Bhavnagar</t>
        </is>
      </c>
      <c r="L1958" s="21" t="inlineStr">
        <is>
          <t>Gujarat</t>
        </is>
      </c>
      <c r="M1958" s="9" t="inlineStr">
        <is>
          <t>PS</t>
        </is>
      </c>
      <c r="N1958" s="3" t="inlineStr">
        <is>
          <t>Cold Soldering</t>
        </is>
      </c>
      <c r="O1958" s="60" t="n">
        <v>540</v>
      </c>
      <c r="P1958" s="9" t="inlineStr">
        <is>
          <t>NSMP2304067352</t>
        </is>
      </c>
      <c r="Q1958" s="53">
        <f>MID(P1958,5,2)</f>
        <v/>
      </c>
      <c r="R1958" s="53">
        <f>MID(P1958,7,2)</f>
        <v/>
      </c>
      <c r="S1958" s="3" t="inlineStr">
        <is>
          <t>G2B</t>
        </is>
      </c>
      <c r="T1958" s="3" t="inlineStr">
        <is>
          <t>P2</t>
        </is>
      </c>
      <c r="U1958" s="3" t="inlineStr">
        <is>
          <t>P JB Cold Soldering</t>
        </is>
      </c>
      <c r="V1958" s="3" t="inlineStr">
        <is>
          <t>Soldering</t>
        </is>
      </c>
      <c r="W1958" s="3" t="inlineStr">
        <is>
          <t>Repair</t>
        </is>
      </c>
      <c r="X1958" s="18" t="n">
        <v>46167</v>
      </c>
      <c r="Y1958" s="3">
        <f>X1958-A1958</f>
        <v/>
      </c>
      <c r="Z1958" s="18" t="n">
        <v>46167</v>
      </c>
      <c r="AA1958" s="15" t="n"/>
      <c r="AB1958" s="15" t="n"/>
    </row>
    <row r="1959">
      <c r="A1959" s="59" t="n">
        <v>46148</v>
      </c>
      <c r="B1959" s="3" t="n">
        <v>2026</v>
      </c>
      <c r="C1959" s="21" t="inlineStr">
        <is>
          <t>Continuum</t>
        </is>
      </c>
      <c r="D1959" s="3" t="inlineStr">
        <is>
          <t>Utility and C&amp;I</t>
        </is>
      </c>
      <c r="E1959" s="3" t="n"/>
      <c r="F1959" s="3" t="inlineStr">
        <is>
          <t>Closed</t>
        </is>
      </c>
      <c r="G1959" s="21" t="inlineStr">
        <is>
          <t>Amiya Ranjan Behera</t>
        </is>
      </c>
      <c r="H1959" s="21" t="n">
        <v>8917436223</v>
      </c>
      <c r="I1959" s="38" t="inlineStr">
        <is>
          <t>PE06052602</t>
        </is>
      </c>
      <c r="J1959" s="21" t="inlineStr">
        <is>
          <t>Diode Bypass Module Issue</t>
        </is>
      </c>
      <c r="K1959" s="21" t="inlineStr">
        <is>
          <t>Bhavnagar</t>
        </is>
      </c>
      <c r="L1959" s="21" t="inlineStr">
        <is>
          <t>Gujarat</t>
        </is>
      </c>
      <c r="M1959" s="9" t="inlineStr">
        <is>
          <t>PS</t>
        </is>
      </c>
      <c r="N1959" s="3" t="inlineStr">
        <is>
          <t>Cold Soldering</t>
        </is>
      </c>
      <c r="O1959" s="60" t="n">
        <v>540</v>
      </c>
      <c r="P1959" s="9" t="inlineStr">
        <is>
          <t>NSMP2305189579</t>
        </is>
      </c>
      <c r="Q1959" s="53">
        <f>MID(P1959,5,2)</f>
        <v/>
      </c>
      <c r="R1959" s="53">
        <f>MID(P1959,7,2)</f>
        <v/>
      </c>
      <c r="S1959" s="3" t="inlineStr">
        <is>
          <t>G2B</t>
        </is>
      </c>
      <c r="T1959" s="3" t="inlineStr">
        <is>
          <t>P2</t>
        </is>
      </c>
      <c r="U1959" s="3" t="inlineStr">
        <is>
          <t>P JB Cold Soldering</t>
        </is>
      </c>
      <c r="V1959" s="3" t="inlineStr">
        <is>
          <t>Soldering</t>
        </is>
      </c>
      <c r="W1959" s="3" t="inlineStr">
        <is>
          <t>Repair</t>
        </is>
      </c>
      <c r="X1959" s="18" t="n">
        <v>46167</v>
      </c>
      <c r="Y1959" s="3">
        <f>X1959-A1959</f>
        <v/>
      </c>
      <c r="Z1959" s="18" t="n">
        <v>46167</v>
      </c>
      <c r="AA1959" s="15" t="n"/>
      <c r="AB1959" s="15" t="n"/>
    </row>
    <row r="1960">
      <c r="A1960" s="59" t="n">
        <v>46148</v>
      </c>
      <c r="B1960" s="3" t="n">
        <v>2026</v>
      </c>
      <c r="C1960" s="21" t="inlineStr">
        <is>
          <t>Continuum</t>
        </is>
      </c>
      <c r="D1960" s="3" t="inlineStr">
        <is>
          <t>Utility and C&amp;I</t>
        </is>
      </c>
      <c r="E1960" s="3" t="n"/>
      <c r="F1960" s="3" t="inlineStr">
        <is>
          <t>Closed</t>
        </is>
      </c>
      <c r="G1960" s="21" t="inlineStr">
        <is>
          <t>Amiya Ranjan Behera</t>
        </is>
      </c>
      <c r="H1960" s="21" t="n">
        <v>8917436223</v>
      </c>
      <c r="I1960" s="38" t="inlineStr">
        <is>
          <t>PE06052602</t>
        </is>
      </c>
      <c r="J1960" s="21" t="inlineStr">
        <is>
          <t>Diode Bypass Module Issue</t>
        </is>
      </c>
      <c r="K1960" s="21" t="inlineStr">
        <is>
          <t>Bhavnagar</t>
        </is>
      </c>
      <c r="L1960" s="21" t="inlineStr">
        <is>
          <t>Gujarat</t>
        </is>
      </c>
      <c r="M1960" s="9" t="inlineStr">
        <is>
          <t>PS</t>
        </is>
      </c>
      <c r="N1960" s="3" t="inlineStr">
        <is>
          <t>Cold Soldering</t>
        </is>
      </c>
      <c r="O1960" s="60" t="n">
        <v>540</v>
      </c>
      <c r="P1960" s="9" t="inlineStr">
        <is>
          <t>NSMP2305189661</t>
        </is>
      </c>
      <c r="Q1960" s="53">
        <f>MID(P1960,5,2)</f>
        <v/>
      </c>
      <c r="R1960" s="53">
        <f>MID(P1960,7,2)</f>
        <v/>
      </c>
      <c r="S1960" s="3" t="inlineStr">
        <is>
          <t>G2B</t>
        </is>
      </c>
      <c r="T1960" s="3" t="inlineStr">
        <is>
          <t>P2</t>
        </is>
      </c>
      <c r="U1960" s="3" t="inlineStr">
        <is>
          <t>P JB Cold Soldering</t>
        </is>
      </c>
      <c r="V1960" s="3" t="inlineStr">
        <is>
          <t>Soldering</t>
        </is>
      </c>
      <c r="W1960" s="3" t="inlineStr">
        <is>
          <t>Repair</t>
        </is>
      </c>
      <c r="X1960" s="18" t="n">
        <v>46167</v>
      </c>
      <c r="Y1960" s="3">
        <f>X1960-A1960</f>
        <v/>
      </c>
      <c r="Z1960" s="18" t="n">
        <v>46167</v>
      </c>
      <c r="AA1960" s="15" t="n"/>
      <c r="AB1960" s="15" t="n"/>
    </row>
    <row r="1961">
      <c r="A1961" s="59" t="n">
        <v>46148</v>
      </c>
      <c r="B1961" s="3" t="n">
        <v>2026</v>
      </c>
      <c r="C1961" s="21" t="inlineStr">
        <is>
          <t>Continuum</t>
        </is>
      </c>
      <c r="D1961" s="3" t="inlineStr">
        <is>
          <t>Utility and C&amp;I</t>
        </is>
      </c>
      <c r="E1961" s="3" t="n"/>
      <c r="F1961" s="3" t="inlineStr">
        <is>
          <t>Closed</t>
        </is>
      </c>
      <c r="G1961" s="21" t="inlineStr">
        <is>
          <t>Amiya Ranjan Behera</t>
        </is>
      </c>
      <c r="H1961" s="21" t="n">
        <v>8917436223</v>
      </c>
      <c r="I1961" s="38" t="inlineStr">
        <is>
          <t>PE06052602</t>
        </is>
      </c>
      <c r="J1961" s="21" t="inlineStr">
        <is>
          <t>Diode Bypass Module Issue</t>
        </is>
      </c>
      <c r="K1961" s="21" t="inlineStr">
        <is>
          <t>Bhavnagar</t>
        </is>
      </c>
      <c r="L1961" s="21" t="inlineStr">
        <is>
          <t>Gujarat</t>
        </is>
      </c>
      <c r="M1961" s="9" t="inlineStr">
        <is>
          <t>PS</t>
        </is>
      </c>
      <c r="N1961" s="3" t="inlineStr">
        <is>
          <t>Cold Soldering</t>
        </is>
      </c>
      <c r="O1961" s="60" t="n">
        <v>540</v>
      </c>
      <c r="P1961" s="9" t="inlineStr">
        <is>
          <t>NSMP2305189447</t>
        </is>
      </c>
      <c r="Q1961" s="53">
        <f>MID(P1961,5,2)</f>
        <v/>
      </c>
      <c r="R1961" s="53">
        <f>MID(P1961,7,2)</f>
        <v/>
      </c>
      <c r="S1961" s="3" t="inlineStr">
        <is>
          <t>G2B</t>
        </is>
      </c>
      <c r="T1961" s="3" t="inlineStr">
        <is>
          <t>P2</t>
        </is>
      </c>
      <c r="U1961" s="3" t="inlineStr">
        <is>
          <t>P JB Cold Soldering</t>
        </is>
      </c>
      <c r="V1961" s="3" t="inlineStr">
        <is>
          <t>Soldering</t>
        </is>
      </c>
      <c r="W1961" s="3" t="inlineStr">
        <is>
          <t>Repair</t>
        </is>
      </c>
      <c r="X1961" s="18" t="n">
        <v>46167</v>
      </c>
      <c r="Y1961" s="3">
        <f>X1961-A1961</f>
        <v/>
      </c>
      <c r="Z1961" s="18" t="n">
        <v>46167</v>
      </c>
      <c r="AA1961" s="15" t="n"/>
      <c r="AB1961" s="15" t="n"/>
    </row>
    <row r="1962">
      <c r="A1962" s="59" t="n">
        <v>46148</v>
      </c>
      <c r="B1962" s="3" t="n">
        <v>2026</v>
      </c>
      <c r="C1962" s="21" t="inlineStr">
        <is>
          <t>Continuum</t>
        </is>
      </c>
      <c r="D1962" s="3" t="inlineStr">
        <is>
          <t>Utility and C&amp;I</t>
        </is>
      </c>
      <c r="E1962" s="3" t="n"/>
      <c r="F1962" s="3" t="inlineStr">
        <is>
          <t>Closed</t>
        </is>
      </c>
      <c r="G1962" s="21" t="inlineStr">
        <is>
          <t>Amiya Ranjan Behera</t>
        </is>
      </c>
      <c r="H1962" s="21" t="n">
        <v>8917436223</v>
      </c>
      <c r="I1962" s="38" t="inlineStr">
        <is>
          <t>PE06052602</t>
        </is>
      </c>
      <c r="J1962" s="21" t="inlineStr">
        <is>
          <t>Diode Bypass Module Issue</t>
        </is>
      </c>
      <c r="K1962" s="21" t="inlineStr">
        <is>
          <t>Bhavnagar</t>
        </is>
      </c>
      <c r="L1962" s="21" t="inlineStr">
        <is>
          <t>Gujarat</t>
        </is>
      </c>
      <c r="M1962" s="9" t="inlineStr">
        <is>
          <t>PS</t>
        </is>
      </c>
      <c r="N1962" s="3" t="inlineStr">
        <is>
          <t>Cold Soldering</t>
        </is>
      </c>
      <c r="O1962" s="60" t="n">
        <v>540</v>
      </c>
      <c r="P1962" s="9" t="inlineStr">
        <is>
          <t>NSMP2305189740</t>
        </is>
      </c>
      <c r="Q1962" s="53">
        <f>MID(P1962,5,2)</f>
        <v/>
      </c>
      <c r="R1962" s="53">
        <f>MID(P1962,7,2)</f>
        <v/>
      </c>
      <c r="S1962" s="3" t="inlineStr">
        <is>
          <t>G2B</t>
        </is>
      </c>
      <c r="T1962" s="3" t="inlineStr">
        <is>
          <t>P2</t>
        </is>
      </c>
      <c r="U1962" s="3" t="inlineStr">
        <is>
          <t>P JB Cold Soldering</t>
        </is>
      </c>
      <c r="V1962" s="3" t="inlineStr">
        <is>
          <t>Soldering</t>
        </is>
      </c>
      <c r="W1962" s="3" t="inlineStr">
        <is>
          <t>Repair</t>
        </is>
      </c>
      <c r="X1962" s="18" t="n">
        <v>46167</v>
      </c>
      <c r="Y1962" s="3">
        <f>X1962-A1962</f>
        <v/>
      </c>
      <c r="Z1962" s="18" t="n">
        <v>46167</v>
      </c>
      <c r="AA1962" s="15" t="n"/>
      <c r="AB1962" s="15" t="n"/>
    </row>
    <row r="1963">
      <c r="A1963" s="59" t="n">
        <v>46148</v>
      </c>
      <c r="B1963" s="3" t="n">
        <v>2026</v>
      </c>
      <c r="C1963" s="21" t="inlineStr">
        <is>
          <t>Continuum</t>
        </is>
      </c>
      <c r="D1963" s="3" t="inlineStr">
        <is>
          <t>Utility and C&amp;I</t>
        </is>
      </c>
      <c r="E1963" s="3" t="n"/>
      <c r="F1963" s="3" t="inlineStr">
        <is>
          <t>Closed</t>
        </is>
      </c>
      <c r="G1963" s="21" t="inlineStr">
        <is>
          <t>Amiya Ranjan Behera</t>
        </is>
      </c>
      <c r="H1963" s="21" t="n">
        <v>8917436223</v>
      </c>
      <c r="I1963" s="38" t="inlineStr">
        <is>
          <t>PE06052602</t>
        </is>
      </c>
      <c r="J1963" s="21" t="inlineStr">
        <is>
          <t>Diode Bypass Module Issue</t>
        </is>
      </c>
      <c r="K1963" s="21" t="inlineStr">
        <is>
          <t>Bhavnagar</t>
        </is>
      </c>
      <c r="L1963" s="21" t="inlineStr">
        <is>
          <t>Gujarat</t>
        </is>
      </c>
      <c r="M1963" s="9" t="inlineStr">
        <is>
          <t>PS</t>
        </is>
      </c>
      <c r="N1963" s="3" t="inlineStr">
        <is>
          <t>Cold Soldering</t>
        </is>
      </c>
      <c r="O1963" s="60" t="n">
        <v>540</v>
      </c>
      <c r="P1963" s="9" t="inlineStr">
        <is>
          <t>NSMP2305189666</t>
        </is>
      </c>
      <c r="Q1963" s="53">
        <f>MID(P1963,5,2)</f>
        <v/>
      </c>
      <c r="R1963" s="53">
        <f>MID(P1963,7,2)</f>
        <v/>
      </c>
      <c r="S1963" s="3" t="inlineStr">
        <is>
          <t>G2B</t>
        </is>
      </c>
      <c r="T1963" s="3" t="inlineStr">
        <is>
          <t>P2</t>
        </is>
      </c>
      <c r="U1963" s="3" t="inlineStr">
        <is>
          <t>P JB Cold Soldering</t>
        </is>
      </c>
      <c r="V1963" s="3" t="inlineStr">
        <is>
          <t>Soldering</t>
        </is>
      </c>
      <c r="W1963" s="3" t="inlineStr">
        <is>
          <t>Repair</t>
        </is>
      </c>
      <c r="X1963" s="18" t="n">
        <v>46167</v>
      </c>
      <c r="Y1963" s="3">
        <f>X1963-A1963</f>
        <v/>
      </c>
      <c r="Z1963" s="18" t="n">
        <v>46167</v>
      </c>
      <c r="AA1963" s="15" t="n"/>
      <c r="AB1963" s="15" t="n"/>
    </row>
    <row r="1964">
      <c r="A1964" s="59" t="n">
        <v>46148</v>
      </c>
      <c r="B1964" s="3" t="n">
        <v>2026</v>
      </c>
      <c r="C1964" s="21" t="inlineStr">
        <is>
          <t>Continuum</t>
        </is>
      </c>
      <c r="D1964" s="3" t="inlineStr">
        <is>
          <t>Utility and C&amp;I</t>
        </is>
      </c>
      <c r="E1964" s="3" t="n"/>
      <c r="F1964" s="3" t="inlineStr">
        <is>
          <t>Closed</t>
        </is>
      </c>
      <c r="G1964" s="21" t="inlineStr">
        <is>
          <t>Amiya Ranjan Behera</t>
        </is>
      </c>
      <c r="H1964" s="21" t="n">
        <v>8917436223</v>
      </c>
      <c r="I1964" s="38" t="inlineStr">
        <is>
          <t>PE06052602</t>
        </is>
      </c>
      <c r="J1964" s="21" t="inlineStr">
        <is>
          <t>Diode Bypass Module Issue</t>
        </is>
      </c>
      <c r="K1964" s="21" t="inlineStr">
        <is>
          <t>Bhavnagar</t>
        </is>
      </c>
      <c r="L1964" s="21" t="inlineStr">
        <is>
          <t>Gujarat</t>
        </is>
      </c>
      <c r="M1964" s="9" t="inlineStr">
        <is>
          <t>PR</t>
        </is>
      </c>
      <c r="N1964" s="3" t="inlineStr">
        <is>
          <t>JB Issue</t>
        </is>
      </c>
      <c r="O1964" s="60" t="n">
        <v>540</v>
      </c>
      <c r="P1964" s="9" t="inlineStr">
        <is>
          <t>NSMP2304069265</t>
        </is>
      </c>
      <c r="Q1964" s="53">
        <f>MID(P1964,5,2)</f>
        <v/>
      </c>
      <c r="R1964" s="53">
        <f>MID(P1964,7,2)</f>
        <v/>
      </c>
      <c r="S1964" s="3" t="inlineStr">
        <is>
          <t>G2B</t>
        </is>
      </c>
      <c r="T1964" s="3" t="inlineStr">
        <is>
          <t>P2</t>
        </is>
      </c>
      <c r="U1964" s="3" t="inlineStr">
        <is>
          <t>P JB Issue</t>
        </is>
      </c>
      <c r="V1964" s="15" t="inlineStr">
        <is>
          <t>JB Changed</t>
        </is>
      </c>
      <c r="W1964" s="3" t="inlineStr">
        <is>
          <t>Repair</t>
        </is>
      </c>
      <c r="X1964" s="18" t="n">
        <v>46167</v>
      </c>
      <c r="Y1964" s="3">
        <f>X1964-A1964</f>
        <v/>
      </c>
      <c r="Z1964" s="18" t="n">
        <v>46167</v>
      </c>
      <c r="AA1964" s="15" t="n"/>
      <c r="AB1964" s="15" t="n"/>
    </row>
    <row r="1965">
      <c r="A1965" s="59" t="n">
        <v>46148</v>
      </c>
      <c r="B1965" s="3" t="n">
        <v>2026</v>
      </c>
      <c r="C1965" s="21" t="inlineStr">
        <is>
          <t>Continuum</t>
        </is>
      </c>
      <c r="D1965" s="3" t="inlineStr">
        <is>
          <t>Utility and C&amp;I</t>
        </is>
      </c>
      <c r="E1965" s="3" t="n"/>
      <c r="F1965" s="3" t="inlineStr">
        <is>
          <t>Closed</t>
        </is>
      </c>
      <c r="G1965" s="21" t="inlineStr">
        <is>
          <t>Amiya Ranjan Behera</t>
        </is>
      </c>
      <c r="H1965" s="21" t="n">
        <v>8917436223</v>
      </c>
      <c r="I1965" s="38" t="inlineStr">
        <is>
          <t>PE06052602</t>
        </is>
      </c>
      <c r="J1965" s="21" t="inlineStr">
        <is>
          <t>Diode Bypass Module Issue</t>
        </is>
      </c>
      <c r="K1965" s="21" t="inlineStr">
        <is>
          <t>Bhavnagar</t>
        </is>
      </c>
      <c r="L1965" s="21" t="inlineStr">
        <is>
          <t>Gujarat</t>
        </is>
      </c>
      <c r="M1965" s="9" t="inlineStr">
        <is>
          <t>PS</t>
        </is>
      </c>
      <c r="N1965" s="3" t="inlineStr">
        <is>
          <t>Cold Soldering</t>
        </is>
      </c>
      <c r="O1965" s="60" t="n">
        <v>540</v>
      </c>
      <c r="P1965" s="9" t="inlineStr">
        <is>
          <t>NSMP2304043418</t>
        </is>
      </c>
      <c r="Q1965" s="53">
        <f>MID(P1965,5,2)</f>
        <v/>
      </c>
      <c r="R1965" s="53">
        <f>MID(P1965,7,2)</f>
        <v/>
      </c>
      <c r="S1965" s="3" t="inlineStr">
        <is>
          <t>G2B</t>
        </is>
      </c>
      <c r="T1965" s="3" t="inlineStr">
        <is>
          <t>P2</t>
        </is>
      </c>
      <c r="U1965" s="3" t="inlineStr">
        <is>
          <t>P JB Cold Soldering</t>
        </is>
      </c>
      <c r="V1965" s="3" t="inlineStr">
        <is>
          <t>Soldering</t>
        </is>
      </c>
      <c r="W1965" s="3" t="inlineStr">
        <is>
          <t>Repair</t>
        </is>
      </c>
      <c r="X1965" s="18" t="n">
        <v>46167</v>
      </c>
      <c r="Y1965" s="3">
        <f>X1965-A1965</f>
        <v/>
      </c>
      <c r="Z1965" s="18" t="n">
        <v>46167</v>
      </c>
      <c r="AA1965" s="15" t="n"/>
      <c r="AB1965" s="15" t="n"/>
    </row>
    <row r="1966">
      <c r="A1966" s="59" t="n">
        <v>46148</v>
      </c>
      <c r="B1966" s="3" t="n">
        <v>2026</v>
      </c>
      <c r="C1966" s="21" t="inlineStr">
        <is>
          <t>Continuum</t>
        </is>
      </c>
      <c r="D1966" s="3" t="inlineStr">
        <is>
          <t>Utility and C&amp;I</t>
        </is>
      </c>
      <c r="E1966" s="3" t="n"/>
      <c r="F1966" s="3" t="inlineStr">
        <is>
          <t>Closed</t>
        </is>
      </c>
      <c r="G1966" s="21" t="inlineStr">
        <is>
          <t>Amiya Ranjan Behera</t>
        </is>
      </c>
      <c r="H1966" s="21" t="n">
        <v>8917436223</v>
      </c>
      <c r="I1966" s="38" t="inlineStr">
        <is>
          <t>PE06052602</t>
        </is>
      </c>
      <c r="J1966" s="21" t="inlineStr">
        <is>
          <t>Diode Bypass Module Issue</t>
        </is>
      </c>
      <c r="K1966" s="21" t="inlineStr">
        <is>
          <t>Bhavnagar</t>
        </is>
      </c>
      <c r="L1966" s="21" t="inlineStr">
        <is>
          <t>Gujarat</t>
        </is>
      </c>
      <c r="M1966" s="9" t="inlineStr">
        <is>
          <t>PR</t>
        </is>
      </c>
      <c r="N1966" s="3" t="inlineStr">
        <is>
          <t>JB Issue</t>
        </is>
      </c>
      <c r="O1966" s="60" t="n">
        <v>540</v>
      </c>
      <c r="P1966" s="9" t="inlineStr">
        <is>
          <t>NSMP2305189613</t>
        </is>
      </c>
      <c r="Q1966" s="53">
        <f>MID(P1966,5,2)</f>
        <v/>
      </c>
      <c r="R1966" s="53">
        <f>MID(P1966,7,2)</f>
        <v/>
      </c>
      <c r="S1966" s="3" t="inlineStr">
        <is>
          <t>G2B</t>
        </is>
      </c>
      <c r="T1966" s="3" t="inlineStr">
        <is>
          <t>P2</t>
        </is>
      </c>
      <c r="U1966" s="3" t="inlineStr">
        <is>
          <t>P JB Issue</t>
        </is>
      </c>
      <c r="V1966" s="15" t="inlineStr">
        <is>
          <t>JB Changed</t>
        </is>
      </c>
      <c r="W1966" s="3" t="inlineStr">
        <is>
          <t>Repair</t>
        </is>
      </c>
      <c r="X1966" s="18" t="n">
        <v>46167</v>
      </c>
      <c r="Y1966" s="3">
        <f>X1966-A1966</f>
        <v/>
      </c>
      <c r="Z1966" s="18" t="n">
        <v>46167</v>
      </c>
      <c r="AA1966" s="15" t="n"/>
      <c r="AB1966" s="15" t="n"/>
    </row>
    <row r="1967">
      <c r="A1967" s="59" t="n">
        <v>46148</v>
      </c>
      <c r="B1967" s="3" t="n">
        <v>2026</v>
      </c>
      <c r="C1967" s="21" t="inlineStr">
        <is>
          <t>Continuum</t>
        </is>
      </c>
      <c r="D1967" s="3" t="inlineStr">
        <is>
          <t>Utility and C&amp;I</t>
        </is>
      </c>
      <c r="E1967" s="3" t="n"/>
      <c r="F1967" s="3" t="inlineStr">
        <is>
          <t>Closed</t>
        </is>
      </c>
      <c r="G1967" s="21" t="inlineStr">
        <is>
          <t>Amiya Ranjan Behera</t>
        </is>
      </c>
      <c r="H1967" s="21" t="n">
        <v>8917436223</v>
      </c>
      <c r="I1967" s="38" t="inlineStr">
        <is>
          <t>PE06052602</t>
        </is>
      </c>
      <c r="J1967" s="21" t="inlineStr">
        <is>
          <t>Diode Bypass Module Issue</t>
        </is>
      </c>
      <c r="K1967" s="21" t="inlineStr">
        <is>
          <t>Bhavnagar</t>
        </is>
      </c>
      <c r="L1967" s="21" t="inlineStr">
        <is>
          <t>Gujarat</t>
        </is>
      </c>
      <c r="M1967" s="9" t="inlineStr">
        <is>
          <t>PS</t>
        </is>
      </c>
      <c r="N1967" s="3" t="inlineStr">
        <is>
          <t>Cold Soldering</t>
        </is>
      </c>
      <c r="O1967" s="60" t="n">
        <v>540</v>
      </c>
      <c r="P1967" s="9" t="inlineStr">
        <is>
          <t>NSMP2305189549</t>
        </is>
      </c>
      <c r="Q1967" s="53">
        <f>MID(P1967,5,2)</f>
        <v/>
      </c>
      <c r="R1967" s="53">
        <f>MID(P1967,7,2)</f>
        <v/>
      </c>
      <c r="S1967" s="3" t="inlineStr">
        <is>
          <t>G2B</t>
        </is>
      </c>
      <c r="T1967" s="3" t="inlineStr">
        <is>
          <t>P2</t>
        </is>
      </c>
      <c r="U1967" s="3" t="inlineStr">
        <is>
          <t>P JB Cold Soldering</t>
        </is>
      </c>
      <c r="V1967" s="3" t="inlineStr">
        <is>
          <t>Soldering</t>
        </is>
      </c>
      <c r="W1967" s="3" t="inlineStr">
        <is>
          <t>Repair</t>
        </is>
      </c>
      <c r="X1967" s="18" t="n">
        <v>46167</v>
      </c>
      <c r="Y1967" s="3">
        <f>X1967-A1967</f>
        <v/>
      </c>
      <c r="Z1967" s="18" t="n">
        <v>46167</v>
      </c>
      <c r="AA1967" s="15" t="n"/>
      <c r="AB1967" s="15" t="n"/>
    </row>
    <row r="1968">
      <c r="A1968" s="59" t="n">
        <v>46148</v>
      </c>
      <c r="B1968" s="3" t="n">
        <v>2026</v>
      </c>
      <c r="C1968" s="21" t="inlineStr">
        <is>
          <t>Continuum</t>
        </is>
      </c>
      <c r="D1968" s="3" t="inlineStr">
        <is>
          <t>Utility and C&amp;I</t>
        </is>
      </c>
      <c r="E1968" s="3" t="n"/>
      <c r="F1968" s="3" t="inlineStr">
        <is>
          <t>Closed</t>
        </is>
      </c>
      <c r="G1968" s="21" t="inlineStr">
        <is>
          <t>Amiya Ranjan Behera</t>
        </is>
      </c>
      <c r="H1968" s="21" t="n">
        <v>8917436223</v>
      </c>
      <c r="I1968" s="38" t="inlineStr">
        <is>
          <t>PE06052602</t>
        </is>
      </c>
      <c r="J1968" s="21" t="inlineStr">
        <is>
          <t>Diode Bypass Module Issue</t>
        </is>
      </c>
      <c r="K1968" s="21" t="inlineStr">
        <is>
          <t>Bhavnagar</t>
        </is>
      </c>
      <c r="L1968" s="21" t="inlineStr">
        <is>
          <t>Gujarat</t>
        </is>
      </c>
      <c r="M1968" s="9" t="inlineStr">
        <is>
          <t>PR</t>
        </is>
      </c>
      <c r="N1968" s="3" t="inlineStr">
        <is>
          <t>JB Issue</t>
        </is>
      </c>
      <c r="O1968" s="60" t="n">
        <v>540</v>
      </c>
      <c r="P1968" s="9" t="inlineStr">
        <is>
          <t>NSMP2305189547</t>
        </is>
      </c>
      <c r="Q1968" s="53">
        <f>MID(P1968,5,2)</f>
        <v/>
      </c>
      <c r="R1968" s="53">
        <f>MID(P1968,7,2)</f>
        <v/>
      </c>
      <c r="S1968" s="3" t="inlineStr">
        <is>
          <t>G2B</t>
        </is>
      </c>
      <c r="T1968" s="3" t="inlineStr">
        <is>
          <t>P2</t>
        </is>
      </c>
      <c r="U1968" s="3" t="inlineStr">
        <is>
          <t>P JB Issue</t>
        </is>
      </c>
      <c r="V1968" s="15" t="inlineStr">
        <is>
          <t>JB Changed</t>
        </is>
      </c>
      <c r="W1968" s="3" t="inlineStr">
        <is>
          <t>Repair</t>
        </is>
      </c>
      <c r="X1968" s="18" t="n">
        <v>46167</v>
      </c>
      <c r="Y1968" s="3">
        <f>X1968-A1968</f>
        <v/>
      </c>
      <c r="Z1968" s="18" t="n">
        <v>46167</v>
      </c>
      <c r="AA1968" s="15" t="n"/>
      <c r="AB1968" s="15" t="n"/>
    </row>
    <row r="1969">
      <c r="A1969" s="59" t="n">
        <v>46148</v>
      </c>
      <c r="B1969" s="3" t="n">
        <v>2026</v>
      </c>
      <c r="C1969" s="21" t="inlineStr">
        <is>
          <t>Continuum</t>
        </is>
      </c>
      <c r="D1969" s="3" t="inlineStr">
        <is>
          <t>Utility and C&amp;I</t>
        </is>
      </c>
      <c r="E1969" s="3" t="n"/>
      <c r="F1969" s="3" t="inlineStr">
        <is>
          <t>Closed</t>
        </is>
      </c>
      <c r="G1969" s="21" t="inlineStr">
        <is>
          <t>Amiya Ranjan Behera</t>
        </is>
      </c>
      <c r="H1969" s="21" t="n">
        <v>8917436223</v>
      </c>
      <c r="I1969" s="38" t="inlineStr">
        <is>
          <t>PE06052602</t>
        </is>
      </c>
      <c r="J1969" s="21" t="inlineStr">
        <is>
          <t>Diode Bypass Module Issue</t>
        </is>
      </c>
      <c r="K1969" s="21" t="inlineStr">
        <is>
          <t>Bhavnagar</t>
        </is>
      </c>
      <c r="L1969" s="21" t="inlineStr">
        <is>
          <t>Gujarat</t>
        </is>
      </c>
      <c r="M1969" s="9" t="inlineStr">
        <is>
          <t>PS</t>
        </is>
      </c>
      <c r="N1969" s="3" t="inlineStr">
        <is>
          <t>Cold Soldering</t>
        </is>
      </c>
      <c r="O1969" s="60" t="n">
        <v>540</v>
      </c>
      <c r="P1969" s="9" t="inlineStr">
        <is>
          <t>NSMP2305189475</t>
        </is>
      </c>
      <c r="Q1969" s="53">
        <f>MID(P1969,5,2)</f>
        <v/>
      </c>
      <c r="R1969" s="53">
        <f>MID(P1969,7,2)</f>
        <v/>
      </c>
      <c r="S1969" s="3" t="inlineStr">
        <is>
          <t>G2B</t>
        </is>
      </c>
      <c r="T1969" s="3" t="inlineStr">
        <is>
          <t>P2</t>
        </is>
      </c>
      <c r="U1969" s="3" t="inlineStr">
        <is>
          <t>P JB Cold Soldering</t>
        </is>
      </c>
      <c r="V1969" s="3" t="inlineStr">
        <is>
          <t>Soldering</t>
        </is>
      </c>
      <c r="W1969" s="3" t="inlineStr">
        <is>
          <t>Repair</t>
        </is>
      </c>
      <c r="X1969" s="18" t="n">
        <v>46167</v>
      </c>
      <c r="Y1969" s="3">
        <f>X1969-A1969</f>
        <v/>
      </c>
      <c r="Z1969" s="18" t="n">
        <v>46167</v>
      </c>
      <c r="AA1969" s="15" t="n"/>
      <c r="AB1969" s="15" t="n"/>
    </row>
    <row r="1970">
      <c r="A1970" s="59" t="n">
        <v>46148</v>
      </c>
      <c r="B1970" s="3" t="n">
        <v>2026</v>
      </c>
      <c r="C1970" s="21" t="inlineStr">
        <is>
          <t>Continuum</t>
        </is>
      </c>
      <c r="D1970" s="3" t="inlineStr">
        <is>
          <t>Utility and C&amp;I</t>
        </is>
      </c>
      <c r="E1970" s="3" t="n"/>
      <c r="F1970" s="3" t="inlineStr">
        <is>
          <t>Closed</t>
        </is>
      </c>
      <c r="G1970" s="21" t="inlineStr">
        <is>
          <t>Amiya Ranjan Behera</t>
        </is>
      </c>
      <c r="H1970" s="21" t="n">
        <v>8917436223</v>
      </c>
      <c r="I1970" s="38" t="inlineStr">
        <is>
          <t>PE06052602</t>
        </is>
      </c>
      <c r="J1970" s="21" t="inlineStr">
        <is>
          <t>Diode Bypass Module Issue</t>
        </is>
      </c>
      <c r="K1970" s="21" t="inlineStr">
        <is>
          <t>Bhavnagar</t>
        </is>
      </c>
      <c r="L1970" s="21" t="inlineStr">
        <is>
          <t>Gujarat</t>
        </is>
      </c>
      <c r="M1970" s="9" t="inlineStr">
        <is>
          <t>NS</t>
        </is>
      </c>
      <c r="N1970" s="26" t="inlineStr">
        <is>
          <t>Cold Soldering</t>
        </is>
      </c>
      <c r="O1970" s="60" t="n">
        <v>540</v>
      </c>
      <c r="P1970" s="9" t="inlineStr">
        <is>
          <t>NSMP2304043855</t>
        </is>
      </c>
      <c r="Q1970" s="53">
        <f>MID(P1970,5,2)</f>
        <v/>
      </c>
      <c r="R1970" s="53">
        <f>MID(P1970,7,2)</f>
        <v/>
      </c>
      <c r="S1970" s="3" t="inlineStr">
        <is>
          <t>G2B</t>
        </is>
      </c>
      <c r="T1970" s="3" t="inlineStr">
        <is>
          <t>P2</t>
        </is>
      </c>
      <c r="U1970" s="19" t="inlineStr">
        <is>
          <t>N JB Cold Soldering</t>
        </is>
      </c>
      <c r="V1970" s="19" t="inlineStr">
        <is>
          <t>Soldering</t>
        </is>
      </c>
      <c r="W1970" s="3" t="inlineStr">
        <is>
          <t>Repair</t>
        </is>
      </c>
      <c r="X1970" s="18" t="n">
        <v>46167</v>
      </c>
      <c r="Y1970" s="3">
        <f>X1970-A1970</f>
        <v/>
      </c>
      <c r="Z1970" s="18" t="n">
        <v>46167</v>
      </c>
      <c r="AA1970" s="15" t="n"/>
      <c r="AB1970" s="15" t="n"/>
    </row>
    <row r="1971">
      <c r="A1971" s="59" t="n">
        <v>46148</v>
      </c>
      <c r="B1971" s="3" t="n">
        <v>2026</v>
      </c>
      <c r="C1971" s="21" t="inlineStr">
        <is>
          <t>Continuum</t>
        </is>
      </c>
      <c r="D1971" s="3" t="inlineStr">
        <is>
          <t>Utility and C&amp;I</t>
        </is>
      </c>
      <c r="E1971" s="3" t="n"/>
      <c r="F1971" s="3" t="inlineStr">
        <is>
          <t>Closed</t>
        </is>
      </c>
      <c r="G1971" s="21" t="inlineStr">
        <is>
          <t>Amiya Ranjan Behera</t>
        </is>
      </c>
      <c r="H1971" s="21" t="n">
        <v>8917436223</v>
      </c>
      <c r="I1971" s="38" t="inlineStr">
        <is>
          <t>PE06052602</t>
        </is>
      </c>
      <c r="J1971" s="21" t="inlineStr">
        <is>
          <t>Diode Bypass Module Issue</t>
        </is>
      </c>
      <c r="K1971" s="21" t="inlineStr">
        <is>
          <t>Bhavnagar</t>
        </is>
      </c>
      <c r="L1971" s="21" t="inlineStr">
        <is>
          <t>Gujarat</t>
        </is>
      </c>
      <c r="M1971" s="9" t="inlineStr">
        <is>
          <t>PR</t>
        </is>
      </c>
      <c r="N1971" s="3" t="inlineStr">
        <is>
          <t>JB Issue</t>
        </is>
      </c>
      <c r="O1971" s="60" t="n">
        <v>540</v>
      </c>
      <c r="P1971" s="9" t="inlineStr">
        <is>
          <t>NSMP2304068806</t>
        </is>
      </c>
      <c r="Q1971" s="53">
        <f>MID(P1971,5,2)</f>
        <v/>
      </c>
      <c r="R1971" s="53">
        <f>MID(P1971,7,2)</f>
        <v/>
      </c>
      <c r="S1971" s="3" t="inlineStr">
        <is>
          <t>G2B</t>
        </is>
      </c>
      <c r="T1971" s="3" t="inlineStr">
        <is>
          <t>P2</t>
        </is>
      </c>
      <c r="U1971" s="3" t="inlineStr">
        <is>
          <t>P JB Issue</t>
        </is>
      </c>
      <c r="V1971" s="15" t="inlineStr">
        <is>
          <t>JB Changed</t>
        </is>
      </c>
      <c r="W1971" s="3" t="inlineStr">
        <is>
          <t>Repair</t>
        </is>
      </c>
      <c r="X1971" s="18" t="n">
        <v>46167</v>
      </c>
      <c r="Y1971" s="3">
        <f>X1971-A1971</f>
        <v/>
      </c>
      <c r="Z1971" s="18" t="n">
        <v>46167</v>
      </c>
      <c r="AA1971" s="15" t="n"/>
      <c r="AB1971" s="15" t="n"/>
    </row>
    <row r="1972">
      <c r="A1972" s="59" t="n">
        <v>46148</v>
      </c>
      <c r="B1972" s="3" t="n">
        <v>2026</v>
      </c>
      <c r="C1972" s="21" t="inlineStr">
        <is>
          <t>Continuum</t>
        </is>
      </c>
      <c r="D1972" s="3" t="inlineStr">
        <is>
          <t>Utility and C&amp;I</t>
        </is>
      </c>
      <c r="E1972" s="3" t="n"/>
      <c r="F1972" s="3" t="inlineStr">
        <is>
          <t>Closed</t>
        </is>
      </c>
      <c r="G1972" s="21" t="inlineStr">
        <is>
          <t>Amiya Ranjan Behera</t>
        </is>
      </c>
      <c r="H1972" s="21" t="n">
        <v>8917436223</v>
      </c>
      <c r="I1972" s="38" t="inlineStr">
        <is>
          <t>PE06052602</t>
        </is>
      </c>
      <c r="J1972" s="21" t="inlineStr">
        <is>
          <t>Diode Bypass Module Issue</t>
        </is>
      </c>
      <c r="K1972" s="21" t="inlineStr">
        <is>
          <t>Bhavnagar</t>
        </is>
      </c>
      <c r="L1972" s="21" t="inlineStr">
        <is>
          <t>Gujarat</t>
        </is>
      </c>
      <c r="M1972" s="9" t="inlineStr">
        <is>
          <t>PS</t>
        </is>
      </c>
      <c r="N1972" s="3" t="inlineStr">
        <is>
          <t>Cold Soldering</t>
        </is>
      </c>
      <c r="O1972" s="60" t="n">
        <v>540</v>
      </c>
      <c r="P1972" s="9" t="inlineStr">
        <is>
          <t>NSMP2305191166</t>
        </is>
      </c>
      <c r="Q1972" s="53">
        <f>MID(P1972,5,2)</f>
        <v/>
      </c>
      <c r="R1972" s="53">
        <f>MID(P1972,7,2)</f>
        <v/>
      </c>
      <c r="S1972" s="3" t="inlineStr">
        <is>
          <t>G2B</t>
        </is>
      </c>
      <c r="T1972" s="3" t="inlineStr">
        <is>
          <t>P2</t>
        </is>
      </c>
      <c r="U1972" s="3" t="inlineStr">
        <is>
          <t>P JB Cold Soldering</t>
        </is>
      </c>
      <c r="V1972" s="3" t="inlineStr">
        <is>
          <t>Soldering</t>
        </is>
      </c>
      <c r="W1972" s="3" t="inlineStr">
        <is>
          <t>Repair</t>
        </is>
      </c>
      <c r="X1972" s="18" t="n">
        <v>46167</v>
      </c>
      <c r="Y1972" s="3">
        <f>X1972-A1972</f>
        <v/>
      </c>
      <c r="Z1972" s="18" t="n">
        <v>46167</v>
      </c>
      <c r="AA1972" s="15" t="n"/>
      <c r="AB1972" s="15" t="n"/>
    </row>
    <row r="1973">
      <c r="A1973" s="59" t="n">
        <v>46148</v>
      </c>
      <c r="B1973" s="3" t="n">
        <v>2026</v>
      </c>
      <c r="C1973" s="21" t="inlineStr">
        <is>
          <t>Continuum</t>
        </is>
      </c>
      <c r="D1973" s="3" t="inlineStr">
        <is>
          <t>Utility and C&amp;I</t>
        </is>
      </c>
      <c r="E1973" s="3" t="n"/>
      <c r="F1973" s="3" t="inlineStr">
        <is>
          <t>Closed</t>
        </is>
      </c>
      <c r="G1973" s="21" t="inlineStr">
        <is>
          <t>Amiya Ranjan Behera</t>
        </is>
      </c>
      <c r="H1973" s="21" t="n">
        <v>8917436223</v>
      </c>
      <c r="I1973" s="38" t="inlineStr">
        <is>
          <t>PE06052602</t>
        </is>
      </c>
      <c r="J1973" s="21" t="inlineStr">
        <is>
          <t>Diode Bypass Module Issue</t>
        </is>
      </c>
      <c r="K1973" s="21" t="inlineStr">
        <is>
          <t>Bhavnagar</t>
        </is>
      </c>
      <c r="L1973" s="21" t="inlineStr">
        <is>
          <t>Gujarat</t>
        </is>
      </c>
      <c r="M1973" s="9" t="inlineStr">
        <is>
          <t>PS</t>
        </is>
      </c>
      <c r="N1973" s="3" t="inlineStr">
        <is>
          <t>Cold Soldering</t>
        </is>
      </c>
      <c r="O1973" s="60" t="n">
        <v>540</v>
      </c>
      <c r="P1973" s="9" t="inlineStr">
        <is>
          <t>NSMP2304075079</t>
        </is>
      </c>
      <c r="Q1973" s="53">
        <f>MID(P1973,5,2)</f>
        <v/>
      </c>
      <c r="R1973" s="53">
        <f>MID(P1973,7,2)</f>
        <v/>
      </c>
      <c r="S1973" s="3" t="inlineStr">
        <is>
          <t>G2B</t>
        </is>
      </c>
      <c r="T1973" s="3" t="inlineStr">
        <is>
          <t>P2</t>
        </is>
      </c>
      <c r="U1973" s="3" t="inlineStr">
        <is>
          <t>P JB Cold Soldering</t>
        </is>
      </c>
      <c r="V1973" s="3" t="inlineStr">
        <is>
          <t>Soldering</t>
        </is>
      </c>
      <c r="W1973" s="3" t="inlineStr">
        <is>
          <t>Repair</t>
        </is>
      </c>
      <c r="X1973" s="18" t="n">
        <v>46167</v>
      </c>
      <c r="Y1973" s="3">
        <f>X1973-A1973</f>
        <v/>
      </c>
      <c r="Z1973" s="18" t="n">
        <v>46167</v>
      </c>
      <c r="AA1973" s="15" t="n"/>
      <c r="AB1973" s="15" t="n"/>
    </row>
    <row r="1974">
      <c r="A1974" s="59" t="n">
        <v>46148</v>
      </c>
      <c r="B1974" s="3" t="n">
        <v>2026</v>
      </c>
      <c r="C1974" s="21" t="inlineStr">
        <is>
          <t>Continuum</t>
        </is>
      </c>
      <c r="D1974" s="3" t="inlineStr">
        <is>
          <t>Utility and C&amp;I</t>
        </is>
      </c>
      <c r="E1974" s="3" t="n"/>
      <c r="F1974" s="3" t="inlineStr">
        <is>
          <t>Closed</t>
        </is>
      </c>
      <c r="G1974" s="21" t="inlineStr">
        <is>
          <t>Amiya Ranjan Behera</t>
        </is>
      </c>
      <c r="H1974" s="21" t="n">
        <v>8917436223</v>
      </c>
      <c r="I1974" s="38" t="inlineStr">
        <is>
          <t>PE06052602</t>
        </is>
      </c>
      <c r="J1974" s="21" t="inlineStr">
        <is>
          <t>Diode Bypass Module Issue</t>
        </is>
      </c>
      <c r="K1974" s="21" t="inlineStr">
        <is>
          <t>Bhavnagar</t>
        </is>
      </c>
      <c r="L1974" s="21" t="inlineStr">
        <is>
          <t>Gujarat</t>
        </is>
      </c>
      <c r="M1974" s="9" t="inlineStr">
        <is>
          <t>PS</t>
        </is>
      </c>
      <c r="N1974" s="3" t="inlineStr">
        <is>
          <t>Cold Soldering</t>
        </is>
      </c>
      <c r="O1974" s="60" t="n">
        <v>540</v>
      </c>
      <c r="P1974" s="9" t="inlineStr">
        <is>
          <t>NSMP2305191596</t>
        </is>
      </c>
      <c r="Q1974" s="53">
        <f>MID(P1974,5,2)</f>
        <v/>
      </c>
      <c r="R1974" s="53">
        <f>MID(P1974,7,2)</f>
        <v/>
      </c>
      <c r="S1974" s="3" t="inlineStr">
        <is>
          <t>G2B</t>
        </is>
      </c>
      <c r="T1974" s="3" t="inlineStr">
        <is>
          <t>P2</t>
        </is>
      </c>
      <c r="U1974" s="3" t="inlineStr">
        <is>
          <t>P JB Cold Soldering</t>
        </is>
      </c>
      <c r="V1974" s="3" t="inlineStr">
        <is>
          <t>Soldering</t>
        </is>
      </c>
      <c r="W1974" s="3" t="inlineStr">
        <is>
          <t>Repair</t>
        </is>
      </c>
      <c r="X1974" s="18" t="n">
        <v>46167</v>
      </c>
      <c r="Y1974" s="3">
        <f>X1974-A1974</f>
        <v/>
      </c>
      <c r="Z1974" s="18" t="n">
        <v>46167</v>
      </c>
      <c r="AA1974" s="15" t="n"/>
      <c r="AB1974" s="15" t="n"/>
    </row>
    <row r="1975">
      <c r="A1975" s="59" t="n">
        <v>46148</v>
      </c>
      <c r="B1975" s="3" t="n">
        <v>2026</v>
      </c>
      <c r="C1975" s="21" t="inlineStr">
        <is>
          <t>Continuum</t>
        </is>
      </c>
      <c r="D1975" s="3" t="inlineStr">
        <is>
          <t>Utility and C&amp;I</t>
        </is>
      </c>
      <c r="E1975" s="3" t="n"/>
      <c r="F1975" s="3" t="inlineStr">
        <is>
          <t>Closed</t>
        </is>
      </c>
      <c r="G1975" s="21" t="inlineStr">
        <is>
          <t>Amiya Ranjan Behera</t>
        </is>
      </c>
      <c r="H1975" s="21" t="n">
        <v>8917436223</v>
      </c>
      <c r="I1975" s="38" t="inlineStr">
        <is>
          <t>PE06052602</t>
        </is>
      </c>
      <c r="J1975" s="21" t="inlineStr">
        <is>
          <t>Diode Bypass Module Issue</t>
        </is>
      </c>
      <c r="K1975" s="21" t="inlineStr">
        <is>
          <t>Bhavnagar</t>
        </is>
      </c>
      <c r="L1975" s="21" t="inlineStr">
        <is>
          <t>Gujarat</t>
        </is>
      </c>
      <c r="M1975" s="9" t="inlineStr">
        <is>
          <t>PS</t>
        </is>
      </c>
      <c r="N1975" s="3" t="inlineStr">
        <is>
          <t>Cold Soldering</t>
        </is>
      </c>
      <c r="O1975" s="60" t="n">
        <v>540</v>
      </c>
      <c r="P1975" s="9" t="inlineStr">
        <is>
          <t>NSMP2305191561</t>
        </is>
      </c>
      <c r="Q1975" s="53">
        <f>MID(P1975,5,2)</f>
        <v/>
      </c>
      <c r="R1975" s="53">
        <f>MID(P1975,7,2)</f>
        <v/>
      </c>
      <c r="S1975" s="3" t="inlineStr">
        <is>
          <t>G2B</t>
        </is>
      </c>
      <c r="T1975" s="3" t="inlineStr">
        <is>
          <t>P2</t>
        </is>
      </c>
      <c r="U1975" s="3" t="inlineStr">
        <is>
          <t>P JB Cold Soldering</t>
        </is>
      </c>
      <c r="V1975" s="3" t="inlineStr">
        <is>
          <t>Soldering</t>
        </is>
      </c>
      <c r="W1975" s="3" t="inlineStr">
        <is>
          <t>Repair</t>
        </is>
      </c>
      <c r="X1975" s="18" t="n">
        <v>46167</v>
      </c>
      <c r="Y1975" s="3">
        <f>X1975-A1975</f>
        <v/>
      </c>
      <c r="Z1975" s="18" t="n">
        <v>46167</v>
      </c>
      <c r="AA1975" s="15" t="n"/>
      <c r="AB1975" s="15" t="n"/>
    </row>
    <row r="1976">
      <c r="A1976" s="59" t="n">
        <v>46148</v>
      </c>
      <c r="B1976" s="3" t="n">
        <v>2026</v>
      </c>
      <c r="C1976" s="21" t="inlineStr">
        <is>
          <t>Continuum</t>
        </is>
      </c>
      <c r="D1976" s="3" t="inlineStr">
        <is>
          <t>Utility and C&amp;I</t>
        </is>
      </c>
      <c r="E1976" s="3" t="n"/>
      <c r="F1976" s="3" t="inlineStr">
        <is>
          <t>Closed</t>
        </is>
      </c>
      <c r="G1976" s="21" t="inlineStr">
        <is>
          <t>Amiya Ranjan Behera</t>
        </is>
      </c>
      <c r="H1976" s="21" t="n">
        <v>8917436223</v>
      </c>
      <c r="I1976" s="38" t="inlineStr">
        <is>
          <t>PE06052602</t>
        </is>
      </c>
      <c r="J1976" s="21" t="inlineStr">
        <is>
          <t>Diode Bypass Module Issue</t>
        </is>
      </c>
      <c r="K1976" s="21" t="inlineStr">
        <is>
          <t>Bhavnagar</t>
        </is>
      </c>
      <c r="L1976" s="21" t="inlineStr">
        <is>
          <t>Gujarat</t>
        </is>
      </c>
      <c r="M1976" s="9" t="inlineStr">
        <is>
          <t>PS</t>
        </is>
      </c>
      <c r="N1976" s="3" t="inlineStr">
        <is>
          <t>Cold Soldering</t>
        </is>
      </c>
      <c r="O1976" s="60" t="n">
        <v>540</v>
      </c>
      <c r="P1976" s="9" t="inlineStr">
        <is>
          <t>NSMP2305191021</t>
        </is>
      </c>
      <c r="Q1976" s="53">
        <f>MID(P1976,5,2)</f>
        <v/>
      </c>
      <c r="R1976" s="53">
        <f>MID(P1976,7,2)</f>
        <v/>
      </c>
      <c r="S1976" s="3" t="inlineStr">
        <is>
          <t>G2B</t>
        </is>
      </c>
      <c r="T1976" s="3" t="inlineStr">
        <is>
          <t>P2</t>
        </is>
      </c>
      <c r="U1976" s="3" t="inlineStr">
        <is>
          <t>P JB Cold Soldering</t>
        </is>
      </c>
      <c r="V1976" s="3" t="inlineStr">
        <is>
          <t>Soldering</t>
        </is>
      </c>
      <c r="W1976" s="3" t="inlineStr">
        <is>
          <t>Repair</t>
        </is>
      </c>
      <c r="X1976" s="18" t="n">
        <v>46167</v>
      </c>
      <c r="Y1976" s="3">
        <f>X1976-A1976</f>
        <v/>
      </c>
      <c r="Z1976" s="18" t="n">
        <v>46167</v>
      </c>
      <c r="AA1976" s="15" t="n"/>
      <c r="AB1976" s="15" t="n"/>
    </row>
    <row r="1977">
      <c r="A1977" s="59" t="n">
        <v>46148</v>
      </c>
      <c r="B1977" s="3" t="n">
        <v>2026</v>
      </c>
      <c r="C1977" s="21" t="inlineStr">
        <is>
          <t>Continuum</t>
        </is>
      </c>
      <c r="D1977" s="3" t="inlineStr">
        <is>
          <t>Utility and C&amp;I</t>
        </is>
      </c>
      <c r="E1977" s="3" t="n"/>
      <c r="F1977" s="3" t="inlineStr">
        <is>
          <t>Closed</t>
        </is>
      </c>
      <c r="G1977" s="21" t="inlineStr">
        <is>
          <t>Amiya Ranjan Behera</t>
        </is>
      </c>
      <c r="H1977" s="21" t="n">
        <v>8917436223</v>
      </c>
      <c r="I1977" s="38" t="inlineStr">
        <is>
          <t>PE06052602</t>
        </is>
      </c>
      <c r="J1977" s="21" t="inlineStr">
        <is>
          <t>Diode Bypass Module Issue</t>
        </is>
      </c>
      <c r="K1977" s="21" t="inlineStr">
        <is>
          <t>Bhavnagar</t>
        </is>
      </c>
      <c r="L1977" s="21" t="inlineStr">
        <is>
          <t>Gujarat</t>
        </is>
      </c>
      <c r="M1977" s="9" t="inlineStr">
        <is>
          <t>PS</t>
        </is>
      </c>
      <c r="N1977" s="3" t="inlineStr">
        <is>
          <t>Cold Soldering</t>
        </is>
      </c>
      <c r="O1977" s="60" t="n">
        <v>540</v>
      </c>
      <c r="P1977" s="9" t="inlineStr">
        <is>
          <t>NSMP2305191142</t>
        </is>
      </c>
      <c r="Q1977" s="53">
        <f>MID(P1977,5,2)</f>
        <v/>
      </c>
      <c r="R1977" s="53">
        <f>MID(P1977,7,2)</f>
        <v/>
      </c>
      <c r="S1977" s="3" t="inlineStr">
        <is>
          <t>G2B</t>
        </is>
      </c>
      <c r="T1977" s="3" t="inlineStr">
        <is>
          <t>P2</t>
        </is>
      </c>
      <c r="U1977" s="3" t="inlineStr">
        <is>
          <t>P JB Cold Soldering</t>
        </is>
      </c>
      <c r="V1977" s="3" t="inlineStr">
        <is>
          <t>Soldering</t>
        </is>
      </c>
      <c r="W1977" s="3" t="inlineStr">
        <is>
          <t>Repair</t>
        </is>
      </c>
      <c r="X1977" s="18" t="n">
        <v>46167</v>
      </c>
      <c r="Y1977" s="3">
        <f>X1977-A1977</f>
        <v/>
      </c>
      <c r="Z1977" s="18" t="n">
        <v>46167</v>
      </c>
      <c r="AA1977" s="15" t="n"/>
      <c r="AB1977" s="15" t="n"/>
    </row>
    <row r="1978">
      <c r="A1978" s="59" t="n">
        <v>46148</v>
      </c>
      <c r="B1978" s="3" t="n">
        <v>2026</v>
      </c>
      <c r="C1978" s="21" t="inlineStr">
        <is>
          <t>Continuum</t>
        </is>
      </c>
      <c r="D1978" s="3" t="inlineStr">
        <is>
          <t>Utility and C&amp;I</t>
        </is>
      </c>
      <c r="E1978" s="3" t="n"/>
      <c r="F1978" s="3" t="inlineStr">
        <is>
          <t>Closed</t>
        </is>
      </c>
      <c r="G1978" s="21" t="inlineStr">
        <is>
          <t>Amiya Ranjan Behera</t>
        </is>
      </c>
      <c r="H1978" s="21" t="n">
        <v>8917436223</v>
      </c>
      <c r="I1978" s="38" t="inlineStr">
        <is>
          <t>PE06052602</t>
        </is>
      </c>
      <c r="J1978" s="21" t="inlineStr">
        <is>
          <t>Diode Bypass Module Issue</t>
        </is>
      </c>
      <c r="K1978" s="21" t="inlineStr">
        <is>
          <t>Bhavnagar</t>
        </is>
      </c>
      <c r="L1978" s="21" t="inlineStr">
        <is>
          <t>Gujarat</t>
        </is>
      </c>
      <c r="M1978" s="9" t="inlineStr">
        <is>
          <t>PS</t>
        </is>
      </c>
      <c r="N1978" s="3" t="inlineStr">
        <is>
          <t>Cold Soldering</t>
        </is>
      </c>
      <c r="O1978" s="60" t="n">
        <v>540</v>
      </c>
      <c r="P1978" s="9" t="inlineStr">
        <is>
          <t>NSMP2305191632</t>
        </is>
      </c>
      <c r="Q1978" s="53">
        <f>MID(P1978,5,2)</f>
        <v/>
      </c>
      <c r="R1978" s="53">
        <f>MID(P1978,7,2)</f>
        <v/>
      </c>
      <c r="S1978" s="3" t="inlineStr">
        <is>
          <t>G2B</t>
        </is>
      </c>
      <c r="T1978" s="3" t="inlineStr">
        <is>
          <t>P2</t>
        </is>
      </c>
      <c r="U1978" s="3" t="inlineStr">
        <is>
          <t>P JB Cold Soldering</t>
        </is>
      </c>
      <c r="V1978" s="3" t="inlineStr">
        <is>
          <t>Soldering</t>
        </is>
      </c>
      <c r="W1978" s="3" t="inlineStr">
        <is>
          <t>Repair</t>
        </is>
      </c>
      <c r="X1978" s="18" t="n">
        <v>46167</v>
      </c>
      <c r="Y1978" s="3">
        <f>X1978-A1978</f>
        <v/>
      </c>
      <c r="Z1978" s="18" t="n">
        <v>46167</v>
      </c>
      <c r="AA1978" s="15" t="n"/>
      <c r="AB1978" s="15" t="n"/>
    </row>
    <row r="1979">
      <c r="A1979" s="59" t="n">
        <v>46148</v>
      </c>
      <c r="B1979" s="3" t="n">
        <v>2026</v>
      </c>
      <c r="C1979" s="21" t="inlineStr">
        <is>
          <t>Continuum</t>
        </is>
      </c>
      <c r="D1979" s="3" t="inlineStr">
        <is>
          <t>Utility and C&amp;I</t>
        </is>
      </c>
      <c r="E1979" s="3" t="n"/>
      <c r="F1979" s="3" t="inlineStr">
        <is>
          <t>Closed</t>
        </is>
      </c>
      <c r="G1979" s="21" t="inlineStr">
        <is>
          <t>Amiya Ranjan Behera</t>
        </is>
      </c>
      <c r="H1979" s="21" t="n">
        <v>8917436223</v>
      </c>
      <c r="I1979" s="38" t="inlineStr">
        <is>
          <t>PE06052602</t>
        </is>
      </c>
      <c r="J1979" s="21" t="inlineStr">
        <is>
          <t>Diode Bypass Module Issue</t>
        </is>
      </c>
      <c r="K1979" s="21" t="inlineStr">
        <is>
          <t>Bhavnagar</t>
        </is>
      </c>
      <c r="L1979" s="21" t="inlineStr">
        <is>
          <t>Gujarat</t>
        </is>
      </c>
      <c r="M1979" s="9" t="inlineStr">
        <is>
          <t>PS</t>
        </is>
      </c>
      <c r="N1979" s="3" t="inlineStr">
        <is>
          <t>Cold Soldering</t>
        </is>
      </c>
      <c r="O1979" s="60" t="n">
        <v>540</v>
      </c>
      <c r="P1979" s="9" t="inlineStr">
        <is>
          <t>NSMP2305190420</t>
        </is>
      </c>
      <c r="Q1979" s="53">
        <f>MID(P1979,5,2)</f>
        <v/>
      </c>
      <c r="R1979" s="53">
        <f>MID(P1979,7,2)</f>
        <v/>
      </c>
      <c r="S1979" s="3" t="inlineStr">
        <is>
          <t>G2B</t>
        </is>
      </c>
      <c r="T1979" s="3" t="inlineStr">
        <is>
          <t>P2</t>
        </is>
      </c>
      <c r="U1979" s="3" t="inlineStr">
        <is>
          <t>P JB Cold Soldering</t>
        </is>
      </c>
      <c r="V1979" s="3" t="inlineStr">
        <is>
          <t>Soldering</t>
        </is>
      </c>
      <c r="W1979" s="3" t="inlineStr">
        <is>
          <t>Repair</t>
        </is>
      </c>
      <c r="X1979" s="18" t="n">
        <v>46167</v>
      </c>
      <c r="Y1979" s="3">
        <f>X1979-A1979</f>
        <v/>
      </c>
      <c r="Z1979" s="18" t="n">
        <v>46167</v>
      </c>
      <c r="AA1979" s="15" t="n"/>
      <c r="AB1979" s="15" t="n"/>
    </row>
    <row r="1980">
      <c r="A1980" s="59" t="n">
        <v>46148</v>
      </c>
      <c r="B1980" s="3" t="n">
        <v>2026</v>
      </c>
      <c r="C1980" s="21" t="inlineStr">
        <is>
          <t>Continuum</t>
        </is>
      </c>
      <c r="D1980" s="3" t="inlineStr">
        <is>
          <t>Utility and C&amp;I</t>
        </is>
      </c>
      <c r="E1980" s="3" t="n"/>
      <c r="F1980" s="3" t="inlineStr">
        <is>
          <t>Closed</t>
        </is>
      </c>
      <c r="G1980" s="21" t="inlineStr">
        <is>
          <t>Amiya Ranjan Behera</t>
        </is>
      </c>
      <c r="H1980" s="21" t="n">
        <v>8917436223</v>
      </c>
      <c r="I1980" s="38" t="inlineStr">
        <is>
          <t>PE06052602</t>
        </is>
      </c>
      <c r="J1980" s="21" t="inlineStr">
        <is>
          <t>Diode Bypass Module Issue</t>
        </is>
      </c>
      <c r="K1980" s="21" t="inlineStr">
        <is>
          <t>Bhavnagar</t>
        </is>
      </c>
      <c r="L1980" s="21" t="inlineStr">
        <is>
          <t>Gujarat</t>
        </is>
      </c>
      <c r="M1980" s="9" t="inlineStr">
        <is>
          <t>PS</t>
        </is>
      </c>
      <c r="N1980" s="3" t="inlineStr">
        <is>
          <t>Cold Soldering</t>
        </is>
      </c>
      <c r="O1980" s="60" t="n">
        <v>540</v>
      </c>
      <c r="P1980" s="9" t="inlineStr">
        <is>
          <t>NSMP2305191600</t>
        </is>
      </c>
      <c r="Q1980" s="53">
        <f>MID(P1980,5,2)</f>
        <v/>
      </c>
      <c r="R1980" s="53">
        <f>MID(P1980,7,2)</f>
        <v/>
      </c>
      <c r="S1980" s="3" t="inlineStr">
        <is>
          <t>G2B</t>
        </is>
      </c>
      <c r="T1980" s="3" t="inlineStr">
        <is>
          <t>P2</t>
        </is>
      </c>
      <c r="U1980" s="3" t="inlineStr">
        <is>
          <t>P JB Cold Soldering</t>
        </is>
      </c>
      <c r="V1980" s="3" t="inlineStr">
        <is>
          <t>Soldering</t>
        </is>
      </c>
      <c r="W1980" s="3" t="inlineStr">
        <is>
          <t>Repair</t>
        </is>
      </c>
      <c r="X1980" s="18" t="n">
        <v>46167</v>
      </c>
      <c r="Y1980" s="3">
        <f>X1980-A1980</f>
        <v/>
      </c>
      <c r="Z1980" s="18" t="n">
        <v>46167</v>
      </c>
      <c r="AA1980" s="15" t="n"/>
      <c r="AB1980" s="15" t="n"/>
    </row>
    <row r="1981">
      <c r="A1981" s="59" t="n">
        <v>46148</v>
      </c>
      <c r="B1981" s="3" t="n">
        <v>2026</v>
      </c>
      <c r="C1981" s="21" t="inlineStr">
        <is>
          <t>Continuum</t>
        </is>
      </c>
      <c r="D1981" s="3" t="inlineStr">
        <is>
          <t>Utility and C&amp;I</t>
        </is>
      </c>
      <c r="E1981" s="3" t="n"/>
      <c r="F1981" s="3" t="inlineStr">
        <is>
          <t>Closed</t>
        </is>
      </c>
      <c r="G1981" s="21" t="inlineStr">
        <is>
          <t>Amiya Ranjan Behera</t>
        </is>
      </c>
      <c r="H1981" s="21" t="n">
        <v>8917436223</v>
      </c>
      <c r="I1981" s="38" t="inlineStr">
        <is>
          <t>PE06052602</t>
        </is>
      </c>
      <c r="J1981" s="21" t="inlineStr">
        <is>
          <t>Diode Bypass Module Issue</t>
        </is>
      </c>
      <c r="K1981" s="21" t="inlineStr">
        <is>
          <t>Bhavnagar</t>
        </is>
      </c>
      <c r="L1981" s="21" t="inlineStr">
        <is>
          <t>Gujarat</t>
        </is>
      </c>
      <c r="M1981" s="9" t="inlineStr">
        <is>
          <t>PS</t>
        </is>
      </c>
      <c r="N1981" s="3" t="inlineStr">
        <is>
          <t>Cold Soldering</t>
        </is>
      </c>
      <c r="O1981" s="60" t="n">
        <v>540</v>
      </c>
      <c r="P1981" s="9" t="inlineStr">
        <is>
          <t>NSMP2305190389</t>
        </is>
      </c>
      <c r="Q1981" s="53">
        <f>MID(P1981,5,2)</f>
        <v/>
      </c>
      <c r="R1981" s="53">
        <f>MID(P1981,7,2)</f>
        <v/>
      </c>
      <c r="S1981" s="3" t="inlineStr">
        <is>
          <t>G2B</t>
        </is>
      </c>
      <c r="T1981" s="3" t="inlineStr">
        <is>
          <t>P2</t>
        </is>
      </c>
      <c r="U1981" s="3" t="inlineStr">
        <is>
          <t>P JB Cold Soldering</t>
        </is>
      </c>
      <c r="V1981" s="3" t="inlineStr">
        <is>
          <t>Soldering</t>
        </is>
      </c>
      <c r="W1981" s="3" t="inlineStr">
        <is>
          <t>Repair</t>
        </is>
      </c>
      <c r="X1981" s="18" t="n">
        <v>46167</v>
      </c>
      <c r="Y1981" s="3">
        <f>X1981-A1981</f>
        <v/>
      </c>
      <c r="Z1981" s="18" t="n">
        <v>46167</v>
      </c>
      <c r="AA1981" s="15" t="n"/>
      <c r="AB1981" s="15" t="n"/>
    </row>
    <row r="1982">
      <c r="A1982" s="59" t="n">
        <v>46148</v>
      </c>
      <c r="B1982" s="3" t="n">
        <v>2026</v>
      </c>
      <c r="C1982" s="21" t="inlineStr">
        <is>
          <t>Continuum</t>
        </is>
      </c>
      <c r="D1982" s="3" t="inlineStr">
        <is>
          <t>Utility and C&amp;I</t>
        </is>
      </c>
      <c r="E1982" s="3" t="n"/>
      <c r="F1982" s="3" t="inlineStr">
        <is>
          <t>Closed</t>
        </is>
      </c>
      <c r="G1982" s="21" t="inlineStr">
        <is>
          <t>Amiya Ranjan Behera</t>
        </is>
      </c>
      <c r="H1982" s="21" t="n">
        <v>8917436223</v>
      </c>
      <c r="I1982" s="38" t="inlineStr">
        <is>
          <t>PE06052602</t>
        </is>
      </c>
      <c r="J1982" s="21" t="inlineStr">
        <is>
          <t>Diode Bypass Module Issue</t>
        </is>
      </c>
      <c r="K1982" s="21" t="inlineStr">
        <is>
          <t>Bhavnagar</t>
        </is>
      </c>
      <c r="L1982" s="21" t="inlineStr">
        <is>
          <t>Gujarat</t>
        </is>
      </c>
      <c r="M1982" s="9" t="inlineStr">
        <is>
          <t>PS</t>
        </is>
      </c>
      <c r="N1982" s="3" t="inlineStr">
        <is>
          <t>Cold Soldering</t>
        </is>
      </c>
      <c r="O1982" s="60" t="n">
        <v>540</v>
      </c>
      <c r="P1982" s="9" t="inlineStr">
        <is>
          <t>NSMP2304039178</t>
        </is>
      </c>
      <c r="Q1982" s="53">
        <f>MID(P1982,5,2)</f>
        <v/>
      </c>
      <c r="R1982" s="53">
        <f>MID(P1982,7,2)</f>
        <v/>
      </c>
      <c r="S1982" s="3" t="inlineStr">
        <is>
          <t>G2B</t>
        </is>
      </c>
      <c r="T1982" s="3" t="inlineStr">
        <is>
          <t>P2</t>
        </is>
      </c>
      <c r="U1982" s="3" t="inlineStr">
        <is>
          <t>P JB Cold Soldering</t>
        </is>
      </c>
      <c r="V1982" s="3" t="inlineStr">
        <is>
          <t>Soldering</t>
        </is>
      </c>
      <c r="W1982" s="3" t="inlineStr">
        <is>
          <t>Repair</t>
        </is>
      </c>
      <c r="X1982" s="18" t="n">
        <v>46167</v>
      </c>
      <c r="Y1982" s="3">
        <f>X1982-A1982</f>
        <v/>
      </c>
      <c r="Z1982" s="18" t="n">
        <v>46167</v>
      </c>
      <c r="AA1982" s="15" t="n"/>
      <c r="AB1982" s="15" t="n"/>
    </row>
    <row r="1983">
      <c r="A1983" s="59" t="n">
        <v>46148</v>
      </c>
      <c r="B1983" s="3" t="n">
        <v>2026</v>
      </c>
      <c r="C1983" s="21" t="inlineStr">
        <is>
          <t>Continuum</t>
        </is>
      </c>
      <c r="D1983" s="3" t="inlineStr">
        <is>
          <t>Utility and C&amp;I</t>
        </is>
      </c>
      <c r="E1983" s="3" t="n"/>
      <c r="F1983" s="3" t="inlineStr">
        <is>
          <t>Closed</t>
        </is>
      </c>
      <c r="G1983" s="21" t="inlineStr">
        <is>
          <t>Amiya Ranjan Behera</t>
        </is>
      </c>
      <c r="H1983" s="21" t="n">
        <v>8917436223</v>
      </c>
      <c r="I1983" s="38" t="inlineStr">
        <is>
          <t>PE06052602</t>
        </is>
      </c>
      <c r="J1983" s="21" t="inlineStr">
        <is>
          <t>Diode Bypass Module Issue</t>
        </is>
      </c>
      <c r="K1983" s="21" t="inlineStr">
        <is>
          <t>Bhavnagar</t>
        </is>
      </c>
      <c r="L1983" s="21" t="inlineStr">
        <is>
          <t>Gujarat</t>
        </is>
      </c>
      <c r="M1983" s="9" t="inlineStr">
        <is>
          <t>PS</t>
        </is>
      </c>
      <c r="N1983" s="3" t="inlineStr">
        <is>
          <t>Cold Soldering</t>
        </is>
      </c>
      <c r="O1983" s="60" t="n">
        <v>540</v>
      </c>
      <c r="P1983" s="9" t="inlineStr">
        <is>
          <t>NSMP2304039174</t>
        </is>
      </c>
      <c r="Q1983" s="53">
        <f>MID(P1983,5,2)</f>
        <v/>
      </c>
      <c r="R1983" s="53">
        <f>MID(P1983,7,2)</f>
        <v/>
      </c>
      <c r="S1983" s="3" t="inlineStr">
        <is>
          <t>G2B</t>
        </is>
      </c>
      <c r="T1983" s="3" t="inlineStr">
        <is>
          <t>P2</t>
        </is>
      </c>
      <c r="U1983" s="3" t="inlineStr">
        <is>
          <t>P JB Cold Soldering</t>
        </is>
      </c>
      <c r="V1983" s="3" t="inlineStr">
        <is>
          <t>Soldering</t>
        </is>
      </c>
      <c r="W1983" s="3" t="inlineStr">
        <is>
          <t>Repair</t>
        </is>
      </c>
      <c r="X1983" s="18" t="n">
        <v>46167</v>
      </c>
      <c r="Y1983" s="3">
        <f>X1983-A1983</f>
        <v/>
      </c>
      <c r="Z1983" s="18" t="n">
        <v>46167</v>
      </c>
      <c r="AA1983" s="15" t="n"/>
      <c r="AB1983" s="15" t="n"/>
    </row>
    <row r="1984">
      <c r="A1984" s="59" t="n">
        <v>46148</v>
      </c>
      <c r="B1984" s="3" t="n">
        <v>2026</v>
      </c>
      <c r="C1984" s="21" t="inlineStr">
        <is>
          <t>Continuum</t>
        </is>
      </c>
      <c r="D1984" s="3" t="inlineStr">
        <is>
          <t>Utility and C&amp;I</t>
        </is>
      </c>
      <c r="E1984" s="3" t="n"/>
      <c r="F1984" s="3" t="inlineStr">
        <is>
          <t>Closed</t>
        </is>
      </c>
      <c r="G1984" s="21" t="inlineStr">
        <is>
          <t>Amiya Ranjan Behera</t>
        </is>
      </c>
      <c r="H1984" s="21" t="n">
        <v>8917436223</v>
      </c>
      <c r="I1984" s="38" t="inlineStr">
        <is>
          <t>PE06052602</t>
        </is>
      </c>
      <c r="J1984" s="21" t="inlineStr">
        <is>
          <t>Diode Bypass Module Issue</t>
        </is>
      </c>
      <c r="K1984" s="21" t="inlineStr">
        <is>
          <t>Bhavnagar</t>
        </is>
      </c>
      <c r="L1984" s="21" t="inlineStr">
        <is>
          <t>Gujarat</t>
        </is>
      </c>
      <c r="M1984" s="9" t="inlineStr">
        <is>
          <t>PS</t>
        </is>
      </c>
      <c r="N1984" s="3" t="inlineStr">
        <is>
          <t>Cold Soldering</t>
        </is>
      </c>
      <c r="O1984" s="60" t="n">
        <v>540</v>
      </c>
      <c r="P1984" s="9" t="inlineStr">
        <is>
          <t>NSMP2304036762</t>
        </is>
      </c>
      <c r="Q1984" s="53">
        <f>MID(P1984,5,2)</f>
        <v/>
      </c>
      <c r="R1984" s="53">
        <f>MID(P1984,7,2)</f>
        <v/>
      </c>
      <c r="S1984" s="3" t="inlineStr">
        <is>
          <t>G2B</t>
        </is>
      </c>
      <c r="T1984" s="3" t="inlineStr">
        <is>
          <t>P2</t>
        </is>
      </c>
      <c r="U1984" s="3" t="inlineStr">
        <is>
          <t>P JB Cold Soldering</t>
        </is>
      </c>
      <c r="V1984" s="3" t="inlineStr">
        <is>
          <t>Soldering</t>
        </is>
      </c>
      <c r="W1984" s="3" t="inlineStr">
        <is>
          <t>Repair</t>
        </is>
      </c>
      <c r="X1984" s="18" t="n">
        <v>46167</v>
      </c>
      <c r="Y1984" s="3">
        <f>X1984-A1984</f>
        <v/>
      </c>
      <c r="Z1984" s="18" t="n">
        <v>46167</v>
      </c>
      <c r="AA1984" s="15" t="n"/>
      <c r="AB1984" s="15" t="n"/>
    </row>
    <row r="1985">
      <c r="A1985" s="59" t="n">
        <v>46148</v>
      </c>
      <c r="B1985" s="3" t="n">
        <v>2026</v>
      </c>
      <c r="C1985" s="21" t="inlineStr">
        <is>
          <t>Continuum</t>
        </is>
      </c>
      <c r="D1985" s="3" t="inlineStr">
        <is>
          <t>Utility and C&amp;I</t>
        </is>
      </c>
      <c r="E1985" s="3" t="n"/>
      <c r="F1985" s="3" t="inlineStr">
        <is>
          <t>Closed</t>
        </is>
      </c>
      <c r="G1985" s="21" t="inlineStr">
        <is>
          <t>Amiya Ranjan Behera</t>
        </is>
      </c>
      <c r="H1985" s="21" t="n">
        <v>8917436223</v>
      </c>
      <c r="I1985" s="38" t="inlineStr">
        <is>
          <t>PE06052602</t>
        </is>
      </c>
      <c r="J1985" s="21" t="inlineStr">
        <is>
          <t>Diode Bypass Module Issue</t>
        </is>
      </c>
      <c r="K1985" s="21" t="inlineStr">
        <is>
          <t>Bhavnagar</t>
        </is>
      </c>
      <c r="L1985" s="21" t="inlineStr">
        <is>
          <t>Gujarat</t>
        </is>
      </c>
      <c r="M1985" s="9" t="inlineStr">
        <is>
          <t>PS</t>
        </is>
      </c>
      <c r="N1985" s="3" t="inlineStr">
        <is>
          <t>Cold Soldering</t>
        </is>
      </c>
      <c r="O1985" s="60" t="n">
        <v>540</v>
      </c>
      <c r="P1985" s="9" t="inlineStr">
        <is>
          <t>NSMP2304068445</t>
        </is>
      </c>
      <c r="Q1985" s="53">
        <f>MID(P1985,5,2)</f>
        <v/>
      </c>
      <c r="R1985" s="53">
        <f>MID(P1985,7,2)</f>
        <v/>
      </c>
      <c r="S1985" s="3" t="inlineStr">
        <is>
          <t>G2B</t>
        </is>
      </c>
      <c r="T1985" s="3" t="inlineStr">
        <is>
          <t>P2</t>
        </is>
      </c>
      <c r="U1985" s="3" t="inlineStr">
        <is>
          <t>P JB Cold Soldering</t>
        </is>
      </c>
      <c r="V1985" s="3" t="inlineStr">
        <is>
          <t>Soldering</t>
        </is>
      </c>
      <c r="W1985" s="3" t="inlineStr">
        <is>
          <t>Repair</t>
        </is>
      </c>
      <c r="X1985" s="18" t="n">
        <v>46167</v>
      </c>
      <c r="Y1985" s="3">
        <f>X1985-A1985</f>
        <v/>
      </c>
      <c r="Z1985" s="18" t="n">
        <v>46167</v>
      </c>
      <c r="AA1985" s="15" t="n"/>
      <c r="AB1985" s="15" t="n"/>
    </row>
    <row r="1986">
      <c r="A1986" s="59" t="n">
        <v>46148</v>
      </c>
      <c r="B1986" s="3" t="n">
        <v>2026</v>
      </c>
      <c r="C1986" s="21" t="inlineStr">
        <is>
          <t>Continuum</t>
        </is>
      </c>
      <c r="D1986" s="3" t="inlineStr">
        <is>
          <t>Utility and C&amp;I</t>
        </is>
      </c>
      <c r="E1986" s="3" t="n"/>
      <c r="F1986" s="3" t="inlineStr">
        <is>
          <t>Closed</t>
        </is>
      </c>
      <c r="G1986" s="21" t="inlineStr">
        <is>
          <t>Amiya Ranjan Behera</t>
        </is>
      </c>
      <c r="H1986" s="21" t="n">
        <v>8917436223</v>
      </c>
      <c r="I1986" s="38" t="inlineStr">
        <is>
          <t>PE06052602</t>
        </is>
      </c>
      <c r="J1986" s="21" t="inlineStr">
        <is>
          <t>Diode Bypass Module Issue</t>
        </is>
      </c>
      <c r="K1986" s="21" t="inlineStr">
        <is>
          <t>Bhavnagar</t>
        </is>
      </c>
      <c r="L1986" s="21" t="inlineStr">
        <is>
          <t>Gujarat</t>
        </is>
      </c>
      <c r="M1986" s="9" t="inlineStr">
        <is>
          <t>PR</t>
        </is>
      </c>
      <c r="N1986" s="3" t="inlineStr">
        <is>
          <t>JB Issue</t>
        </is>
      </c>
      <c r="O1986" s="60" t="n">
        <v>540</v>
      </c>
      <c r="P1986" s="9" t="inlineStr">
        <is>
          <t>NSMP2304077394</t>
        </is>
      </c>
      <c r="Q1986" s="53">
        <f>MID(P1986,5,2)</f>
        <v/>
      </c>
      <c r="R1986" s="53">
        <f>MID(P1986,7,2)</f>
        <v/>
      </c>
      <c r="S1986" s="3" t="inlineStr">
        <is>
          <t>G2B</t>
        </is>
      </c>
      <c r="T1986" s="3" t="inlineStr">
        <is>
          <t>P2</t>
        </is>
      </c>
      <c r="U1986" s="3" t="inlineStr">
        <is>
          <t>P JB Issue</t>
        </is>
      </c>
      <c r="V1986" s="15" t="inlineStr">
        <is>
          <t>JB Changed</t>
        </is>
      </c>
      <c r="W1986" s="3" t="inlineStr">
        <is>
          <t>Repair</t>
        </is>
      </c>
      <c r="X1986" s="18" t="n">
        <v>46167</v>
      </c>
      <c r="Y1986" s="3">
        <f>X1986-A1986</f>
        <v/>
      </c>
      <c r="Z1986" s="18" t="n">
        <v>46167</v>
      </c>
      <c r="AA1986" s="15" t="n"/>
      <c r="AB1986" s="15" t="n"/>
    </row>
    <row r="1987">
      <c r="A1987" s="59" t="n">
        <v>46148</v>
      </c>
      <c r="B1987" s="3" t="n">
        <v>2026</v>
      </c>
      <c r="C1987" s="21" t="inlineStr">
        <is>
          <t>Continuum</t>
        </is>
      </c>
      <c r="D1987" s="3" t="inlineStr">
        <is>
          <t>Utility and C&amp;I</t>
        </is>
      </c>
      <c r="E1987" s="3" t="n"/>
      <c r="F1987" s="3" t="inlineStr">
        <is>
          <t>Closed</t>
        </is>
      </c>
      <c r="G1987" s="21" t="inlineStr">
        <is>
          <t>Amiya Ranjan Behera</t>
        </is>
      </c>
      <c r="H1987" s="21" t="n">
        <v>8917436223</v>
      </c>
      <c r="I1987" s="38" t="inlineStr">
        <is>
          <t>PE06052602</t>
        </is>
      </c>
      <c r="J1987" s="21" t="inlineStr">
        <is>
          <t>Diode Bypass Module Issue</t>
        </is>
      </c>
      <c r="K1987" s="21" t="inlineStr">
        <is>
          <t>Bhavnagar</t>
        </is>
      </c>
      <c r="L1987" s="21" t="inlineStr">
        <is>
          <t>Gujarat</t>
        </is>
      </c>
      <c r="M1987" s="9" t="inlineStr">
        <is>
          <t>PR</t>
        </is>
      </c>
      <c r="N1987" s="3" t="inlineStr">
        <is>
          <t>JB Issue</t>
        </is>
      </c>
      <c r="O1987" s="60" t="n">
        <v>540</v>
      </c>
      <c r="P1987" s="9" t="inlineStr">
        <is>
          <t>NSMP2304067347</t>
        </is>
      </c>
      <c r="Q1987" s="53">
        <f>MID(P1987,5,2)</f>
        <v/>
      </c>
      <c r="R1987" s="53">
        <f>MID(P1987,7,2)</f>
        <v/>
      </c>
      <c r="S1987" s="3" t="inlineStr">
        <is>
          <t>G2B</t>
        </is>
      </c>
      <c r="T1987" s="3" t="inlineStr">
        <is>
          <t>P2</t>
        </is>
      </c>
      <c r="U1987" s="3" t="inlineStr">
        <is>
          <t>P JB Issue</t>
        </is>
      </c>
      <c r="V1987" s="15" t="inlineStr">
        <is>
          <t>JB Changed</t>
        </is>
      </c>
      <c r="W1987" s="3" t="inlineStr">
        <is>
          <t>Repair</t>
        </is>
      </c>
      <c r="X1987" s="18" t="n">
        <v>46167</v>
      </c>
      <c r="Y1987" s="3">
        <f>X1987-A1987</f>
        <v/>
      </c>
      <c r="Z1987" s="18" t="n">
        <v>46167</v>
      </c>
      <c r="AA1987" s="15" t="n"/>
      <c r="AB1987" s="15" t="n"/>
    </row>
    <row r="1988">
      <c r="A1988" s="59" t="n">
        <v>46148</v>
      </c>
      <c r="B1988" s="3" t="n">
        <v>2026</v>
      </c>
      <c r="C1988" s="21" t="inlineStr">
        <is>
          <t>Continuum</t>
        </is>
      </c>
      <c r="D1988" s="3" t="inlineStr">
        <is>
          <t>Utility and C&amp;I</t>
        </is>
      </c>
      <c r="E1988" s="3" t="n"/>
      <c r="F1988" s="3" t="inlineStr">
        <is>
          <t>Closed</t>
        </is>
      </c>
      <c r="G1988" s="21" t="inlineStr">
        <is>
          <t>Amiya Ranjan Behera</t>
        </is>
      </c>
      <c r="H1988" s="21" t="n">
        <v>8917436223</v>
      </c>
      <c r="I1988" s="38" t="inlineStr">
        <is>
          <t>PE06052602</t>
        </is>
      </c>
      <c r="J1988" s="21" t="inlineStr">
        <is>
          <t>Diode Bypass Module Issue</t>
        </is>
      </c>
      <c r="K1988" s="21" t="inlineStr">
        <is>
          <t>Bhavnagar</t>
        </is>
      </c>
      <c r="L1988" s="21" t="inlineStr">
        <is>
          <t>Gujarat</t>
        </is>
      </c>
      <c r="M1988" s="9" t="inlineStr">
        <is>
          <t>PS</t>
        </is>
      </c>
      <c r="N1988" s="3" t="inlineStr">
        <is>
          <t>Cold Soldering</t>
        </is>
      </c>
      <c r="O1988" s="60" t="n">
        <v>540</v>
      </c>
      <c r="P1988" s="9" t="inlineStr">
        <is>
          <t>NSMP2304037250</t>
        </is>
      </c>
      <c r="Q1988" s="53">
        <f>MID(P1988,5,2)</f>
        <v/>
      </c>
      <c r="R1988" s="53">
        <f>MID(P1988,7,2)</f>
        <v/>
      </c>
      <c r="S1988" s="3" t="inlineStr">
        <is>
          <t>G2B</t>
        </is>
      </c>
      <c r="T1988" s="3" t="inlineStr">
        <is>
          <t>P2</t>
        </is>
      </c>
      <c r="U1988" s="3" t="inlineStr">
        <is>
          <t>P JB Cold Soldering</t>
        </is>
      </c>
      <c r="V1988" s="3" t="inlineStr">
        <is>
          <t>Soldering</t>
        </is>
      </c>
      <c r="W1988" s="3" t="inlineStr">
        <is>
          <t>Repair</t>
        </is>
      </c>
      <c r="X1988" s="18" t="n">
        <v>46167</v>
      </c>
      <c r="Y1988" s="3">
        <f>X1988-A1988</f>
        <v/>
      </c>
      <c r="Z1988" s="18" t="n">
        <v>46167</v>
      </c>
      <c r="AA1988" s="15" t="n"/>
      <c r="AB1988" s="15" t="n"/>
    </row>
    <row r="1989">
      <c r="A1989" s="59" t="n">
        <v>46148</v>
      </c>
      <c r="B1989" s="3" t="n">
        <v>2026</v>
      </c>
      <c r="C1989" s="21" t="inlineStr">
        <is>
          <t>Continuum</t>
        </is>
      </c>
      <c r="D1989" s="3" t="inlineStr">
        <is>
          <t>Utility and C&amp;I</t>
        </is>
      </c>
      <c r="E1989" s="3" t="n"/>
      <c r="F1989" s="3" t="inlineStr">
        <is>
          <t>Closed</t>
        </is>
      </c>
      <c r="G1989" s="21" t="inlineStr">
        <is>
          <t>Amiya Ranjan Behera</t>
        </is>
      </c>
      <c r="H1989" s="21" t="n">
        <v>8917436223</v>
      </c>
      <c r="I1989" s="38" t="inlineStr">
        <is>
          <t>PE06052602</t>
        </is>
      </c>
      <c r="J1989" s="21" t="inlineStr">
        <is>
          <t>Diode Bypass Module Issue</t>
        </is>
      </c>
      <c r="K1989" s="21" t="inlineStr">
        <is>
          <t>Bhavnagar</t>
        </is>
      </c>
      <c r="L1989" s="21" t="inlineStr">
        <is>
          <t>Gujarat</t>
        </is>
      </c>
      <c r="M1989" s="9" t="inlineStr">
        <is>
          <t>PS</t>
        </is>
      </c>
      <c r="N1989" s="3" t="inlineStr">
        <is>
          <t>Cold Soldering</t>
        </is>
      </c>
      <c r="O1989" s="60" t="n">
        <v>540</v>
      </c>
      <c r="P1989" s="9" t="inlineStr">
        <is>
          <t>NSMP2305192568</t>
        </is>
      </c>
      <c r="Q1989" s="53">
        <f>MID(P1989,5,2)</f>
        <v/>
      </c>
      <c r="R1989" s="53">
        <f>MID(P1989,7,2)</f>
        <v/>
      </c>
      <c r="S1989" s="3" t="inlineStr">
        <is>
          <t>G2B</t>
        </is>
      </c>
      <c r="T1989" s="3" t="inlineStr">
        <is>
          <t>P2</t>
        </is>
      </c>
      <c r="U1989" s="3" t="inlineStr">
        <is>
          <t>P JB Cold Soldering</t>
        </is>
      </c>
      <c r="V1989" s="3" t="inlineStr">
        <is>
          <t>Soldering</t>
        </is>
      </c>
      <c r="W1989" s="3" t="inlineStr">
        <is>
          <t>Repair</t>
        </is>
      </c>
      <c r="X1989" s="18" t="n">
        <v>46167</v>
      </c>
      <c r="Y1989" s="3">
        <f>X1989-A1989</f>
        <v/>
      </c>
      <c r="Z1989" s="18" t="n">
        <v>46167</v>
      </c>
      <c r="AA1989" s="15" t="n"/>
      <c r="AB1989" s="15" t="n"/>
    </row>
    <row r="1990">
      <c r="A1990" s="59" t="n">
        <v>46148</v>
      </c>
      <c r="B1990" s="3" t="n">
        <v>2026</v>
      </c>
      <c r="C1990" s="21" t="inlineStr">
        <is>
          <t>Continuum</t>
        </is>
      </c>
      <c r="D1990" s="3" t="inlineStr">
        <is>
          <t>Utility and C&amp;I</t>
        </is>
      </c>
      <c r="E1990" s="3" t="n"/>
      <c r="F1990" s="3" t="inlineStr">
        <is>
          <t>Closed</t>
        </is>
      </c>
      <c r="G1990" s="21" t="inlineStr">
        <is>
          <t>Amiya Ranjan Behera</t>
        </is>
      </c>
      <c r="H1990" s="21" t="n">
        <v>8917436223</v>
      </c>
      <c r="I1990" s="38" t="inlineStr">
        <is>
          <t>PE06052602</t>
        </is>
      </c>
      <c r="J1990" s="21" t="inlineStr">
        <is>
          <t>Diode Bypass Module Issue</t>
        </is>
      </c>
      <c r="K1990" s="21" t="inlineStr">
        <is>
          <t>Bhavnagar</t>
        </is>
      </c>
      <c r="L1990" s="21" t="inlineStr">
        <is>
          <t>Gujarat</t>
        </is>
      </c>
      <c r="M1990" s="9" t="inlineStr">
        <is>
          <t>PS</t>
        </is>
      </c>
      <c r="N1990" s="3" t="inlineStr">
        <is>
          <t>Cold Soldering</t>
        </is>
      </c>
      <c r="O1990" s="60" t="n">
        <v>540</v>
      </c>
      <c r="P1990" s="9" t="inlineStr">
        <is>
          <t>NSMP2305191573</t>
        </is>
      </c>
      <c r="Q1990" s="53">
        <f>MID(P1990,5,2)</f>
        <v/>
      </c>
      <c r="R1990" s="53">
        <f>MID(P1990,7,2)</f>
        <v/>
      </c>
      <c r="S1990" s="3" t="inlineStr">
        <is>
          <t>G2B</t>
        </is>
      </c>
      <c r="T1990" s="3" t="inlineStr">
        <is>
          <t>P2</t>
        </is>
      </c>
      <c r="U1990" s="3" t="inlineStr">
        <is>
          <t>P JB Cold Soldering</t>
        </is>
      </c>
      <c r="V1990" s="3" t="inlineStr">
        <is>
          <t>Soldering</t>
        </is>
      </c>
      <c r="W1990" s="3" t="inlineStr">
        <is>
          <t>Repair</t>
        </is>
      </c>
      <c r="X1990" s="18" t="n">
        <v>46167</v>
      </c>
      <c r="Y1990" s="3">
        <f>X1990-A1990</f>
        <v/>
      </c>
      <c r="Z1990" s="18" t="n">
        <v>46167</v>
      </c>
      <c r="AA1990" s="15" t="n"/>
      <c r="AB1990" s="15" t="n"/>
    </row>
    <row r="1991">
      <c r="A1991" s="59" t="n">
        <v>46148</v>
      </c>
      <c r="B1991" s="3" t="n">
        <v>2026</v>
      </c>
      <c r="C1991" s="21" t="inlineStr">
        <is>
          <t>Continuum</t>
        </is>
      </c>
      <c r="D1991" s="3" t="inlineStr">
        <is>
          <t>Utility and C&amp;I</t>
        </is>
      </c>
      <c r="E1991" s="3" t="n"/>
      <c r="F1991" s="3" t="inlineStr">
        <is>
          <t>Closed</t>
        </is>
      </c>
      <c r="G1991" s="21" t="inlineStr">
        <is>
          <t>Amiya Ranjan Behera</t>
        </is>
      </c>
      <c r="H1991" s="21" t="n">
        <v>8917436223</v>
      </c>
      <c r="I1991" s="38" t="inlineStr">
        <is>
          <t>PE06052602</t>
        </is>
      </c>
      <c r="J1991" s="21" t="inlineStr">
        <is>
          <t>Diode Bypass Module Issue</t>
        </is>
      </c>
      <c r="K1991" s="21" t="inlineStr">
        <is>
          <t>Bhavnagar</t>
        </is>
      </c>
      <c r="L1991" s="21" t="inlineStr">
        <is>
          <t>Gujarat</t>
        </is>
      </c>
      <c r="M1991" s="9" t="inlineStr">
        <is>
          <t>PR</t>
        </is>
      </c>
      <c r="N1991" s="3" t="inlineStr">
        <is>
          <t>JB Issue</t>
        </is>
      </c>
      <c r="O1991" s="60" t="n">
        <v>540</v>
      </c>
      <c r="P1991" s="9" t="inlineStr">
        <is>
          <t>NSMP2304068895</t>
        </is>
      </c>
      <c r="Q1991" s="53">
        <f>MID(P1991,5,2)</f>
        <v/>
      </c>
      <c r="R1991" s="53">
        <f>MID(P1991,7,2)</f>
        <v/>
      </c>
      <c r="S1991" s="3" t="inlineStr">
        <is>
          <t>G2B</t>
        </is>
      </c>
      <c r="T1991" s="3" t="inlineStr">
        <is>
          <t>P2</t>
        </is>
      </c>
      <c r="U1991" s="3" t="inlineStr">
        <is>
          <t>P JB Issue</t>
        </is>
      </c>
      <c r="V1991" s="15" t="inlineStr">
        <is>
          <t>JB Changed</t>
        </is>
      </c>
      <c r="W1991" s="3" t="inlineStr">
        <is>
          <t>Repair</t>
        </is>
      </c>
      <c r="X1991" s="18" t="n">
        <v>46167</v>
      </c>
      <c r="Y1991" s="3">
        <f>X1991-A1991</f>
        <v/>
      </c>
      <c r="Z1991" s="18" t="n">
        <v>46167</v>
      </c>
      <c r="AA1991" s="15" t="n"/>
      <c r="AB1991" s="15" t="n"/>
    </row>
    <row r="1992">
      <c r="A1992" s="59" t="n">
        <v>46148</v>
      </c>
      <c r="B1992" s="3" t="n">
        <v>2026</v>
      </c>
      <c r="C1992" s="21" t="inlineStr">
        <is>
          <t>Continuum</t>
        </is>
      </c>
      <c r="D1992" s="3" t="inlineStr">
        <is>
          <t>Utility and C&amp;I</t>
        </is>
      </c>
      <c r="E1992" s="3" t="n"/>
      <c r="F1992" s="3" t="inlineStr">
        <is>
          <t>Closed</t>
        </is>
      </c>
      <c r="G1992" s="21" t="inlineStr">
        <is>
          <t>Amiya Ranjan Behera</t>
        </is>
      </c>
      <c r="H1992" s="21" t="n">
        <v>8917436223</v>
      </c>
      <c r="I1992" s="38" t="inlineStr">
        <is>
          <t>PE06052602</t>
        </is>
      </c>
      <c r="J1992" s="21" t="inlineStr">
        <is>
          <t>Diode Bypass Module Issue</t>
        </is>
      </c>
      <c r="K1992" s="21" t="inlineStr">
        <is>
          <t>Bhavnagar</t>
        </is>
      </c>
      <c r="L1992" s="21" t="inlineStr">
        <is>
          <t>Gujarat</t>
        </is>
      </c>
      <c r="M1992" s="9" t="inlineStr">
        <is>
          <t>OK</t>
        </is>
      </c>
      <c r="N1992" s="3" t="inlineStr">
        <is>
          <t>No Issue</t>
        </is>
      </c>
      <c r="O1992" s="60" t="n">
        <v>540</v>
      </c>
      <c r="P1992" s="9" t="inlineStr">
        <is>
          <t>NSMP2304070161</t>
        </is>
      </c>
      <c r="Q1992" s="53">
        <f>MID(P1992,5,2)</f>
        <v/>
      </c>
      <c r="R1992" s="53">
        <f>MID(P1992,7,2)</f>
        <v/>
      </c>
      <c r="S1992" s="3" t="inlineStr">
        <is>
          <t>G2B</t>
        </is>
      </c>
      <c r="T1992" s="3" t="inlineStr">
        <is>
          <t>P2</t>
        </is>
      </c>
      <c r="U1992" s="19" t="inlineStr">
        <is>
          <t>No Issue Found</t>
        </is>
      </c>
      <c r="V1992" s="19" t="inlineStr">
        <is>
          <t>Found OK</t>
        </is>
      </c>
      <c r="W1992" s="3" t="inlineStr">
        <is>
          <t>Repair</t>
        </is>
      </c>
      <c r="X1992" s="18" t="n">
        <v>46167</v>
      </c>
      <c r="Y1992" s="3">
        <f>X1992-A1992</f>
        <v/>
      </c>
      <c r="Z1992" s="18" t="n">
        <v>46167</v>
      </c>
      <c r="AA1992" s="15" t="n"/>
      <c r="AB1992" s="15" t="n"/>
    </row>
    <row r="1993">
      <c r="A1993" s="59" t="n">
        <v>46148</v>
      </c>
      <c r="B1993" s="3" t="n">
        <v>2026</v>
      </c>
      <c r="C1993" s="21" t="inlineStr">
        <is>
          <t>Continuum</t>
        </is>
      </c>
      <c r="D1993" s="3" t="inlineStr">
        <is>
          <t>Utility and C&amp;I</t>
        </is>
      </c>
      <c r="E1993" s="3" t="n"/>
      <c r="F1993" s="3" t="inlineStr">
        <is>
          <t>Closed</t>
        </is>
      </c>
      <c r="G1993" s="21" t="inlineStr">
        <is>
          <t>Amiya Ranjan Behera</t>
        </is>
      </c>
      <c r="H1993" s="21" t="n">
        <v>8917436223</v>
      </c>
      <c r="I1993" s="38" t="inlineStr">
        <is>
          <t>PE06052602</t>
        </is>
      </c>
      <c r="J1993" s="21" t="inlineStr">
        <is>
          <t>Diode Bypass Module Issue</t>
        </is>
      </c>
      <c r="K1993" s="21" t="inlineStr">
        <is>
          <t>Bhavnagar</t>
        </is>
      </c>
      <c r="L1993" s="21" t="inlineStr">
        <is>
          <t>Gujarat</t>
        </is>
      </c>
      <c r="M1993" s="9" t="inlineStr">
        <is>
          <t>NS</t>
        </is>
      </c>
      <c r="N1993" s="26" t="inlineStr">
        <is>
          <t>Cold Soldering</t>
        </is>
      </c>
      <c r="O1993" s="60" t="n">
        <v>540</v>
      </c>
      <c r="P1993" s="9" t="inlineStr">
        <is>
          <t>NSMP2304068765</t>
        </is>
      </c>
      <c r="Q1993" s="53">
        <f>MID(P1993,5,2)</f>
        <v/>
      </c>
      <c r="R1993" s="53">
        <f>MID(P1993,7,2)</f>
        <v/>
      </c>
      <c r="S1993" s="3" t="inlineStr">
        <is>
          <t>G2B</t>
        </is>
      </c>
      <c r="T1993" s="3" t="inlineStr">
        <is>
          <t>P2</t>
        </is>
      </c>
      <c r="U1993" s="19" t="inlineStr">
        <is>
          <t>N JB Cold Soldering</t>
        </is>
      </c>
      <c r="V1993" s="19" t="inlineStr">
        <is>
          <t>Soldering</t>
        </is>
      </c>
      <c r="W1993" s="3" t="inlineStr">
        <is>
          <t>Repair</t>
        </is>
      </c>
      <c r="X1993" s="18" t="n">
        <v>46167</v>
      </c>
      <c r="Y1993" s="3">
        <f>X1993-A1993</f>
        <v/>
      </c>
      <c r="Z1993" s="18" t="n">
        <v>46167</v>
      </c>
      <c r="AA1993" s="15" t="n"/>
      <c r="AB1993" s="15" t="n"/>
    </row>
    <row r="1994">
      <c r="A1994" s="59" t="n">
        <v>46148</v>
      </c>
      <c r="B1994" s="3" t="n">
        <v>2026</v>
      </c>
      <c r="C1994" s="21" t="inlineStr">
        <is>
          <t>Continuum</t>
        </is>
      </c>
      <c r="D1994" s="3" t="inlineStr">
        <is>
          <t>Utility and C&amp;I</t>
        </is>
      </c>
      <c r="E1994" s="3" t="n"/>
      <c r="F1994" s="3" t="inlineStr">
        <is>
          <t>Closed</t>
        </is>
      </c>
      <c r="G1994" s="21" t="inlineStr">
        <is>
          <t>Amiya Ranjan Behera</t>
        </is>
      </c>
      <c r="H1994" s="21" t="n">
        <v>8917436223</v>
      </c>
      <c r="I1994" s="38" t="inlineStr">
        <is>
          <t>PE06052602</t>
        </is>
      </c>
      <c r="J1994" s="21" t="inlineStr">
        <is>
          <t>Diode Bypass Module Issue</t>
        </is>
      </c>
      <c r="K1994" s="21" t="inlineStr">
        <is>
          <t>Bhavnagar</t>
        </is>
      </c>
      <c r="L1994" s="21" t="inlineStr">
        <is>
          <t>Gujarat</t>
        </is>
      </c>
      <c r="M1994" s="9" t="inlineStr">
        <is>
          <t>PS</t>
        </is>
      </c>
      <c r="N1994" s="3" t="inlineStr">
        <is>
          <t>Cold Soldering</t>
        </is>
      </c>
      <c r="O1994" s="60" t="n">
        <v>540</v>
      </c>
      <c r="P1994" s="9" t="inlineStr">
        <is>
          <t>NSMP2304068804</t>
        </is>
      </c>
      <c r="Q1994" s="53">
        <f>MID(P1994,5,2)</f>
        <v/>
      </c>
      <c r="R1994" s="53">
        <f>MID(P1994,7,2)</f>
        <v/>
      </c>
      <c r="S1994" s="3" t="inlineStr">
        <is>
          <t>G2B</t>
        </is>
      </c>
      <c r="T1994" s="3" t="inlineStr">
        <is>
          <t>P2</t>
        </is>
      </c>
      <c r="U1994" s="3" t="inlineStr">
        <is>
          <t>P JB Cold Soldering</t>
        </is>
      </c>
      <c r="V1994" s="3" t="inlineStr">
        <is>
          <t>Soldering</t>
        </is>
      </c>
      <c r="W1994" s="3" t="inlineStr">
        <is>
          <t>Repair</t>
        </is>
      </c>
      <c r="X1994" s="18" t="n">
        <v>46167</v>
      </c>
      <c r="Y1994" s="3">
        <f>X1994-A1994</f>
        <v/>
      </c>
      <c r="Z1994" s="18" t="n">
        <v>46167</v>
      </c>
      <c r="AA1994" s="15" t="n"/>
      <c r="AB1994" s="15" t="n"/>
    </row>
    <row r="1995">
      <c r="A1995" s="59" t="n">
        <v>46148</v>
      </c>
      <c r="B1995" s="3" t="n">
        <v>2026</v>
      </c>
      <c r="C1995" s="21" t="inlineStr">
        <is>
          <t>Continuum</t>
        </is>
      </c>
      <c r="D1995" s="3" t="inlineStr">
        <is>
          <t>Utility and C&amp;I</t>
        </is>
      </c>
      <c r="E1995" s="3" t="n"/>
      <c r="F1995" s="3" t="inlineStr">
        <is>
          <t>Closed</t>
        </is>
      </c>
      <c r="G1995" s="21" t="inlineStr">
        <is>
          <t>Amiya Ranjan Behera</t>
        </is>
      </c>
      <c r="H1995" s="21" t="n">
        <v>8917436223</v>
      </c>
      <c r="I1995" s="38" t="inlineStr">
        <is>
          <t>PE06052602</t>
        </is>
      </c>
      <c r="J1995" s="21" t="inlineStr">
        <is>
          <t>Diode Bypass Module Issue</t>
        </is>
      </c>
      <c r="K1995" s="21" t="inlineStr">
        <is>
          <t>Bhavnagar</t>
        </is>
      </c>
      <c r="L1995" s="21" t="inlineStr">
        <is>
          <t>Gujarat</t>
        </is>
      </c>
      <c r="M1995" s="9" t="inlineStr">
        <is>
          <t>PS</t>
        </is>
      </c>
      <c r="N1995" s="3" t="inlineStr">
        <is>
          <t>Cold Soldering</t>
        </is>
      </c>
      <c r="O1995" s="60" t="n">
        <v>540</v>
      </c>
      <c r="P1995" s="9" t="inlineStr">
        <is>
          <t>NSMP2305132285</t>
        </is>
      </c>
      <c r="Q1995" s="53">
        <f>MID(P1995,5,2)</f>
        <v/>
      </c>
      <c r="R1995" s="53">
        <f>MID(P1995,7,2)</f>
        <v/>
      </c>
      <c r="S1995" s="3" t="inlineStr">
        <is>
          <t>G2B</t>
        </is>
      </c>
      <c r="T1995" s="3" t="inlineStr">
        <is>
          <t>P2</t>
        </is>
      </c>
      <c r="U1995" s="3" t="inlineStr">
        <is>
          <t>P JB Cold Soldering</t>
        </is>
      </c>
      <c r="V1995" s="3" t="inlineStr">
        <is>
          <t>Soldering</t>
        </is>
      </c>
      <c r="W1995" s="3" t="inlineStr">
        <is>
          <t>Repair</t>
        </is>
      </c>
      <c r="X1995" s="18" t="n">
        <v>46167</v>
      </c>
      <c r="Y1995" s="3">
        <f>X1995-A1995</f>
        <v/>
      </c>
      <c r="Z1995" s="18" t="n">
        <v>46167</v>
      </c>
      <c r="AA1995" s="15" t="n"/>
      <c r="AB1995" s="15" t="n"/>
    </row>
    <row r="1996">
      <c r="A1996" s="59" t="n">
        <v>46148</v>
      </c>
      <c r="B1996" s="3" t="n">
        <v>2026</v>
      </c>
      <c r="C1996" s="21" t="inlineStr">
        <is>
          <t>Continuum</t>
        </is>
      </c>
      <c r="D1996" s="3" t="inlineStr">
        <is>
          <t>Utility and C&amp;I</t>
        </is>
      </c>
      <c r="E1996" s="3" t="n"/>
      <c r="F1996" s="3" t="inlineStr">
        <is>
          <t>Closed</t>
        </is>
      </c>
      <c r="G1996" s="21" t="inlineStr">
        <is>
          <t>Amiya Ranjan Behera</t>
        </is>
      </c>
      <c r="H1996" s="21" t="n">
        <v>8917436223</v>
      </c>
      <c r="I1996" s="38" t="inlineStr">
        <is>
          <t>PE06052602</t>
        </is>
      </c>
      <c r="J1996" s="21" t="inlineStr">
        <is>
          <t>Diode Bypass Module Issue</t>
        </is>
      </c>
      <c r="K1996" s="21" t="inlineStr">
        <is>
          <t>Bhavnagar</t>
        </is>
      </c>
      <c r="L1996" s="21" t="inlineStr">
        <is>
          <t>Gujarat</t>
        </is>
      </c>
      <c r="M1996" s="9" t="inlineStr">
        <is>
          <t>PS</t>
        </is>
      </c>
      <c r="N1996" s="3" t="inlineStr">
        <is>
          <t>Cold Soldering</t>
        </is>
      </c>
      <c r="O1996" s="60" t="n">
        <v>540</v>
      </c>
      <c r="P1996" s="9" t="inlineStr">
        <is>
          <t>NSMP2305132286</t>
        </is>
      </c>
      <c r="Q1996" s="53">
        <f>MID(P1996,5,2)</f>
        <v/>
      </c>
      <c r="R1996" s="53">
        <f>MID(P1996,7,2)</f>
        <v/>
      </c>
      <c r="S1996" s="3" t="inlineStr">
        <is>
          <t>G2B</t>
        </is>
      </c>
      <c r="T1996" s="3" t="inlineStr">
        <is>
          <t>P2</t>
        </is>
      </c>
      <c r="U1996" s="3" t="inlineStr">
        <is>
          <t>P JB Cold Soldering</t>
        </is>
      </c>
      <c r="V1996" s="3" t="inlineStr">
        <is>
          <t>Soldering</t>
        </is>
      </c>
      <c r="W1996" s="3" t="inlineStr">
        <is>
          <t>Repair</t>
        </is>
      </c>
      <c r="X1996" s="18" t="n">
        <v>46167</v>
      </c>
      <c r="Y1996" s="3">
        <f>X1996-A1996</f>
        <v/>
      </c>
      <c r="Z1996" s="18" t="n">
        <v>46167</v>
      </c>
      <c r="AA1996" s="15" t="n"/>
      <c r="AB1996" s="15" t="n"/>
    </row>
    <row r="1997">
      <c r="A1997" s="59" t="n">
        <v>46148</v>
      </c>
      <c r="B1997" s="3" t="n">
        <v>2026</v>
      </c>
      <c r="C1997" s="21" t="inlineStr">
        <is>
          <t>Continuum</t>
        </is>
      </c>
      <c r="D1997" s="3" t="inlineStr">
        <is>
          <t>Utility and C&amp;I</t>
        </is>
      </c>
      <c r="E1997" s="3" t="n"/>
      <c r="F1997" s="3" t="inlineStr">
        <is>
          <t>Closed</t>
        </is>
      </c>
      <c r="G1997" s="21" t="inlineStr">
        <is>
          <t>Amiya Ranjan Behera</t>
        </is>
      </c>
      <c r="H1997" s="21" t="n">
        <v>8917436223</v>
      </c>
      <c r="I1997" s="38" t="inlineStr">
        <is>
          <t>PE06052602</t>
        </is>
      </c>
      <c r="J1997" s="21" t="inlineStr">
        <is>
          <t>Diode Bypass Module Issue</t>
        </is>
      </c>
      <c r="K1997" s="21" t="inlineStr">
        <is>
          <t>Bhavnagar</t>
        </is>
      </c>
      <c r="L1997" s="21" t="inlineStr">
        <is>
          <t>Gujarat</t>
        </is>
      </c>
      <c r="M1997" s="9" t="inlineStr">
        <is>
          <t>PR</t>
        </is>
      </c>
      <c r="N1997" s="3" t="inlineStr">
        <is>
          <t>JB Issue</t>
        </is>
      </c>
      <c r="O1997" s="60" t="n">
        <v>540</v>
      </c>
      <c r="P1997" s="9" t="inlineStr">
        <is>
          <t>NSMP2305129556</t>
        </is>
      </c>
      <c r="Q1997" s="53">
        <f>MID(P1997,5,2)</f>
        <v/>
      </c>
      <c r="R1997" s="53">
        <f>MID(P1997,7,2)</f>
        <v/>
      </c>
      <c r="S1997" s="3" t="inlineStr">
        <is>
          <t>G2B</t>
        </is>
      </c>
      <c r="T1997" s="3" t="inlineStr">
        <is>
          <t>P2</t>
        </is>
      </c>
      <c r="U1997" s="3" t="inlineStr">
        <is>
          <t>P JB Issue</t>
        </is>
      </c>
      <c r="V1997" s="15" t="inlineStr">
        <is>
          <t>JB Changed</t>
        </is>
      </c>
      <c r="W1997" s="3" t="inlineStr">
        <is>
          <t>Repair</t>
        </is>
      </c>
      <c r="X1997" s="18" t="n">
        <v>46167</v>
      </c>
      <c r="Y1997" s="3">
        <f>X1997-A1997</f>
        <v/>
      </c>
      <c r="Z1997" s="18" t="n">
        <v>46167</v>
      </c>
      <c r="AA1997" s="15" t="n"/>
      <c r="AB1997" s="15" t="n"/>
    </row>
    <row r="1998">
      <c r="A1998" s="59" t="n">
        <v>46148</v>
      </c>
      <c r="B1998" s="3" t="n">
        <v>2026</v>
      </c>
      <c r="C1998" s="21" t="inlineStr">
        <is>
          <t>Continuum</t>
        </is>
      </c>
      <c r="D1998" s="3" t="inlineStr">
        <is>
          <t>Utility and C&amp;I</t>
        </is>
      </c>
      <c r="E1998" s="3" t="n"/>
      <c r="F1998" s="3" t="inlineStr">
        <is>
          <t>Closed</t>
        </is>
      </c>
      <c r="G1998" s="21" t="inlineStr">
        <is>
          <t>Amiya Ranjan Behera</t>
        </is>
      </c>
      <c r="H1998" s="21" t="n">
        <v>8917436223</v>
      </c>
      <c r="I1998" s="38" t="inlineStr">
        <is>
          <t>PE06052602</t>
        </is>
      </c>
      <c r="J1998" s="21" t="inlineStr">
        <is>
          <t>Diode Bypass Module Issue</t>
        </is>
      </c>
      <c r="K1998" s="21" t="inlineStr">
        <is>
          <t>Bhavnagar</t>
        </is>
      </c>
      <c r="L1998" s="21" t="inlineStr">
        <is>
          <t>Gujarat</t>
        </is>
      </c>
      <c r="M1998" s="9" t="inlineStr">
        <is>
          <t>OK</t>
        </is>
      </c>
      <c r="N1998" s="3" t="inlineStr">
        <is>
          <t>No Issue</t>
        </is>
      </c>
      <c r="O1998" s="60" t="n">
        <v>540</v>
      </c>
      <c r="P1998" s="9" t="inlineStr">
        <is>
          <t>NSMP2305125817</t>
        </is>
      </c>
      <c r="Q1998" s="53">
        <f>MID(P1998,5,2)</f>
        <v/>
      </c>
      <c r="R1998" s="53">
        <f>MID(P1998,7,2)</f>
        <v/>
      </c>
      <c r="S1998" s="3" t="inlineStr">
        <is>
          <t>G2B</t>
        </is>
      </c>
      <c r="T1998" s="3" t="inlineStr">
        <is>
          <t>P2</t>
        </is>
      </c>
      <c r="U1998" s="19" t="inlineStr">
        <is>
          <t>No Issue Found</t>
        </is>
      </c>
      <c r="V1998" s="19" t="inlineStr">
        <is>
          <t>Found OK</t>
        </is>
      </c>
      <c r="W1998" s="3" t="inlineStr">
        <is>
          <t>Repair</t>
        </is>
      </c>
      <c r="X1998" s="18" t="n">
        <v>46167</v>
      </c>
      <c r="Y1998" s="3">
        <f>X1998-A1998</f>
        <v/>
      </c>
      <c r="Z1998" s="18" t="n">
        <v>46167</v>
      </c>
      <c r="AA1998" s="15" t="n"/>
      <c r="AB1998" s="15" t="n"/>
    </row>
    <row r="1999">
      <c r="A1999" s="59" t="n">
        <v>46148</v>
      </c>
      <c r="B1999" s="3" t="n">
        <v>2026</v>
      </c>
      <c r="C1999" s="21" t="inlineStr">
        <is>
          <t>Continuum</t>
        </is>
      </c>
      <c r="D1999" s="3" t="inlineStr">
        <is>
          <t>Utility and C&amp;I</t>
        </is>
      </c>
      <c r="E1999" s="3" t="n"/>
      <c r="F1999" s="3" t="inlineStr">
        <is>
          <t>Closed</t>
        </is>
      </c>
      <c r="G1999" s="21" t="inlineStr">
        <is>
          <t>Amiya Ranjan Behera</t>
        </is>
      </c>
      <c r="H1999" s="21" t="n">
        <v>8917436223</v>
      </c>
      <c r="I1999" s="38" t="inlineStr">
        <is>
          <t>PE06052602</t>
        </is>
      </c>
      <c r="J1999" s="21" t="inlineStr">
        <is>
          <t>Diode Bypass Module Issue</t>
        </is>
      </c>
      <c r="K1999" s="21" t="inlineStr">
        <is>
          <t>Bhavnagar</t>
        </is>
      </c>
      <c r="L1999" s="21" t="inlineStr">
        <is>
          <t>Gujarat</t>
        </is>
      </c>
      <c r="M1999" s="9" t="inlineStr">
        <is>
          <t>OK</t>
        </is>
      </c>
      <c r="N1999" s="3" t="inlineStr">
        <is>
          <t>No Issue</t>
        </is>
      </c>
      <c r="O1999" s="60" t="n">
        <v>540</v>
      </c>
      <c r="P1999" s="9" t="inlineStr">
        <is>
          <t>NSMP2305125830</t>
        </is>
      </c>
      <c r="Q1999" s="53">
        <f>MID(P1999,5,2)</f>
        <v/>
      </c>
      <c r="R1999" s="53">
        <f>MID(P1999,7,2)</f>
        <v/>
      </c>
      <c r="S1999" s="3" t="inlineStr">
        <is>
          <t>G2B</t>
        </is>
      </c>
      <c r="T1999" s="3" t="inlineStr">
        <is>
          <t>P2</t>
        </is>
      </c>
      <c r="U1999" s="19" t="inlineStr">
        <is>
          <t>No Issue Found</t>
        </is>
      </c>
      <c r="V1999" s="19" t="inlineStr">
        <is>
          <t>Found OK</t>
        </is>
      </c>
      <c r="W1999" s="3" t="inlineStr">
        <is>
          <t>Repair</t>
        </is>
      </c>
      <c r="X1999" s="18" t="n">
        <v>46167</v>
      </c>
      <c r="Y1999" s="3">
        <f>X1999-A1999</f>
        <v/>
      </c>
      <c r="Z1999" s="18" t="n">
        <v>46167</v>
      </c>
      <c r="AA1999" s="15" t="n"/>
      <c r="AB1999" s="15" t="n"/>
    </row>
    <row r="2000">
      <c r="A2000" s="59" t="n">
        <v>46148</v>
      </c>
      <c r="B2000" s="3" t="n">
        <v>2026</v>
      </c>
      <c r="C2000" s="21" t="inlineStr">
        <is>
          <t>Continuum</t>
        </is>
      </c>
      <c r="D2000" s="3" t="inlineStr">
        <is>
          <t>Utility and C&amp;I</t>
        </is>
      </c>
      <c r="E2000" s="3" t="n"/>
      <c r="F2000" s="3" t="inlineStr">
        <is>
          <t>Closed</t>
        </is>
      </c>
      <c r="G2000" s="21" t="inlineStr">
        <is>
          <t>Amiya Ranjan Behera</t>
        </is>
      </c>
      <c r="H2000" s="21" t="n">
        <v>8917436223</v>
      </c>
      <c r="I2000" s="38" t="inlineStr">
        <is>
          <t>PE06052602</t>
        </is>
      </c>
      <c r="J2000" s="21" t="inlineStr">
        <is>
          <t>Diode Bypass Module Issue</t>
        </is>
      </c>
      <c r="K2000" s="21" t="inlineStr">
        <is>
          <t>Bhavnagar</t>
        </is>
      </c>
      <c r="L2000" s="21" t="inlineStr">
        <is>
          <t>Gujarat</t>
        </is>
      </c>
      <c r="M2000" s="9" t="inlineStr">
        <is>
          <t>PS</t>
        </is>
      </c>
      <c r="N2000" s="3" t="inlineStr">
        <is>
          <t>Cold Soldering</t>
        </is>
      </c>
      <c r="O2000" s="60" t="n">
        <v>540</v>
      </c>
      <c r="P2000" s="9" t="inlineStr">
        <is>
          <t>NSMP2305123020</t>
        </is>
      </c>
      <c r="Q2000" s="53">
        <f>MID(P2000,5,2)</f>
        <v/>
      </c>
      <c r="R2000" s="53">
        <f>MID(P2000,7,2)</f>
        <v/>
      </c>
      <c r="S2000" s="3" t="inlineStr">
        <is>
          <t>G2B</t>
        </is>
      </c>
      <c r="T2000" s="3" t="inlineStr">
        <is>
          <t>P2</t>
        </is>
      </c>
      <c r="U2000" s="3" t="inlineStr">
        <is>
          <t>P JB Cold Soldering</t>
        </is>
      </c>
      <c r="V2000" s="3" t="inlineStr">
        <is>
          <t>Soldering</t>
        </is>
      </c>
      <c r="W2000" s="3" t="inlineStr">
        <is>
          <t>Repair</t>
        </is>
      </c>
      <c r="X2000" s="18" t="n">
        <v>46167</v>
      </c>
      <c r="Y2000" s="3">
        <f>X2000-A2000</f>
        <v/>
      </c>
      <c r="Z2000" s="18" t="n">
        <v>46167</v>
      </c>
      <c r="AA2000" s="15" t="n"/>
      <c r="AB2000" s="15" t="n"/>
    </row>
    <row r="2001">
      <c r="A2001" s="59" t="n">
        <v>46148</v>
      </c>
      <c r="B2001" s="3" t="n">
        <v>2026</v>
      </c>
      <c r="C2001" s="21" t="inlineStr">
        <is>
          <t>Continuum</t>
        </is>
      </c>
      <c r="D2001" s="3" t="inlineStr">
        <is>
          <t>Utility and C&amp;I</t>
        </is>
      </c>
      <c r="E2001" s="3" t="n"/>
      <c r="F2001" s="3" t="inlineStr">
        <is>
          <t>Closed</t>
        </is>
      </c>
      <c r="G2001" s="21" t="inlineStr">
        <is>
          <t>Amiya Ranjan Behera</t>
        </is>
      </c>
      <c r="H2001" s="21" t="n">
        <v>8917436223</v>
      </c>
      <c r="I2001" s="38" t="inlineStr">
        <is>
          <t>PE06052602</t>
        </is>
      </c>
      <c r="J2001" s="21" t="inlineStr">
        <is>
          <t>Diode Bypass Module Issue</t>
        </is>
      </c>
      <c r="K2001" s="21" t="inlineStr">
        <is>
          <t>Bhavnagar</t>
        </is>
      </c>
      <c r="L2001" s="21" t="inlineStr">
        <is>
          <t>Gujarat</t>
        </is>
      </c>
      <c r="M2001" s="9" t="inlineStr">
        <is>
          <t>PR</t>
        </is>
      </c>
      <c r="N2001" s="3" t="inlineStr">
        <is>
          <t>JB Issue</t>
        </is>
      </c>
      <c r="O2001" s="60" t="n">
        <v>540</v>
      </c>
      <c r="P2001" s="9" t="inlineStr">
        <is>
          <t>NSMP2305126809</t>
        </is>
      </c>
      <c r="Q2001" s="53">
        <f>MID(P2001,5,2)</f>
        <v/>
      </c>
      <c r="R2001" s="53">
        <f>MID(P2001,7,2)</f>
        <v/>
      </c>
      <c r="S2001" s="3" t="inlineStr">
        <is>
          <t>G2B</t>
        </is>
      </c>
      <c r="T2001" s="3" t="inlineStr">
        <is>
          <t>P2</t>
        </is>
      </c>
      <c r="U2001" s="3" t="inlineStr">
        <is>
          <t>P JB Issue</t>
        </is>
      </c>
      <c r="V2001" s="15" t="inlineStr">
        <is>
          <t>JB Changed</t>
        </is>
      </c>
      <c r="W2001" s="3" t="inlineStr">
        <is>
          <t>Repair</t>
        </is>
      </c>
      <c r="X2001" s="18" t="n">
        <v>46167</v>
      </c>
      <c r="Y2001" s="3">
        <f>X2001-A2001</f>
        <v/>
      </c>
      <c r="Z2001" s="18" t="n">
        <v>46167</v>
      </c>
      <c r="AA2001" s="15" t="n"/>
      <c r="AB2001" s="15" t="n"/>
    </row>
    <row r="2002">
      <c r="A2002" s="59" t="n">
        <v>46148</v>
      </c>
      <c r="B2002" s="3" t="n">
        <v>2026</v>
      </c>
      <c r="C2002" s="21" t="inlineStr">
        <is>
          <t>Continuum</t>
        </is>
      </c>
      <c r="D2002" s="3" t="inlineStr">
        <is>
          <t>Utility and C&amp;I</t>
        </is>
      </c>
      <c r="E2002" s="3" t="n"/>
      <c r="F2002" s="3" t="inlineStr">
        <is>
          <t>Closed</t>
        </is>
      </c>
      <c r="G2002" s="21" t="inlineStr">
        <is>
          <t>Amiya Ranjan Behera</t>
        </is>
      </c>
      <c r="H2002" s="21" t="n">
        <v>8917436223</v>
      </c>
      <c r="I2002" s="38" t="inlineStr">
        <is>
          <t>PE06052602</t>
        </is>
      </c>
      <c r="J2002" s="21" t="inlineStr">
        <is>
          <t>Diode Bypass Module Issue</t>
        </is>
      </c>
      <c r="K2002" s="21" t="inlineStr">
        <is>
          <t>Bhavnagar</t>
        </is>
      </c>
      <c r="L2002" s="21" t="inlineStr">
        <is>
          <t>Gujarat</t>
        </is>
      </c>
      <c r="M2002" s="9" t="inlineStr">
        <is>
          <t>NR</t>
        </is>
      </c>
      <c r="N2002" s="26" t="inlineStr">
        <is>
          <t>JB Issue</t>
        </is>
      </c>
      <c r="O2002" s="60" t="n">
        <v>540</v>
      </c>
      <c r="P2002" s="9" t="inlineStr">
        <is>
          <t>NSMP2305121449</t>
        </is>
      </c>
      <c r="Q2002" s="53">
        <f>MID(P2002,5,2)</f>
        <v/>
      </c>
      <c r="R2002" s="53">
        <f>MID(P2002,7,2)</f>
        <v/>
      </c>
      <c r="S2002" s="3" t="inlineStr">
        <is>
          <t>G2B</t>
        </is>
      </c>
      <c r="T2002" s="3" t="inlineStr">
        <is>
          <t>P2</t>
        </is>
      </c>
      <c r="U2002" s="19" t="inlineStr">
        <is>
          <t>N JB Issue</t>
        </is>
      </c>
      <c r="V2002" s="19" t="inlineStr">
        <is>
          <t>JB Changed</t>
        </is>
      </c>
      <c r="W2002" s="3" t="inlineStr">
        <is>
          <t>Repair</t>
        </is>
      </c>
      <c r="X2002" s="18" t="n">
        <v>46167</v>
      </c>
      <c r="Y2002" s="3">
        <f>X2002-A2002</f>
        <v/>
      </c>
      <c r="Z2002" s="18" t="n">
        <v>46167</v>
      </c>
      <c r="AA2002" s="15" t="n"/>
      <c r="AB2002" s="15" t="n"/>
    </row>
    <row r="2003">
      <c r="A2003" s="59" t="n">
        <v>46148</v>
      </c>
      <c r="B2003" s="3" t="n">
        <v>2026</v>
      </c>
      <c r="C2003" s="21" t="inlineStr">
        <is>
          <t>Continuum</t>
        </is>
      </c>
      <c r="D2003" s="3" t="inlineStr">
        <is>
          <t>Utility and C&amp;I</t>
        </is>
      </c>
      <c r="E2003" s="3" t="n"/>
      <c r="F2003" s="3" t="inlineStr">
        <is>
          <t>Closed</t>
        </is>
      </c>
      <c r="G2003" s="21" t="inlineStr">
        <is>
          <t>Amiya Ranjan Behera</t>
        </is>
      </c>
      <c r="H2003" s="21" t="n">
        <v>8917436223</v>
      </c>
      <c r="I2003" s="38" t="inlineStr">
        <is>
          <t>PE06052602</t>
        </is>
      </c>
      <c r="J2003" s="21" t="inlineStr">
        <is>
          <t>Diode Bypass Module Issue</t>
        </is>
      </c>
      <c r="K2003" s="21" t="inlineStr">
        <is>
          <t>Bhavnagar</t>
        </is>
      </c>
      <c r="L2003" s="21" t="inlineStr">
        <is>
          <t>Gujarat</t>
        </is>
      </c>
      <c r="M2003" s="9" t="inlineStr">
        <is>
          <t>NS</t>
        </is>
      </c>
      <c r="N2003" s="26" t="inlineStr">
        <is>
          <t>Cold Soldering</t>
        </is>
      </c>
      <c r="O2003" s="60" t="n">
        <v>540</v>
      </c>
      <c r="P2003" s="9" t="inlineStr">
        <is>
          <t>NSMP2305126633</t>
        </is>
      </c>
      <c r="Q2003" s="53">
        <f>MID(P2003,5,2)</f>
        <v/>
      </c>
      <c r="R2003" s="53">
        <f>MID(P2003,7,2)</f>
        <v/>
      </c>
      <c r="S2003" s="3" t="inlineStr">
        <is>
          <t>G2B</t>
        </is>
      </c>
      <c r="T2003" s="3" t="inlineStr">
        <is>
          <t>P2</t>
        </is>
      </c>
      <c r="U2003" s="19" t="inlineStr">
        <is>
          <t>N JB Cold Soldering</t>
        </is>
      </c>
      <c r="V2003" s="19" t="inlineStr">
        <is>
          <t>Soldering</t>
        </is>
      </c>
      <c r="W2003" s="3" t="inlineStr">
        <is>
          <t>Repair</t>
        </is>
      </c>
      <c r="X2003" s="18" t="n">
        <v>46167</v>
      </c>
      <c r="Y2003" s="3">
        <f>X2003-A2003</f>
        <v/>
      </c>
      <c r="Z2003" s="18" t="n">
        <v>46167</v>
      </c>
      <c r="AA2003" s="15" t="n"/>
      <c r="AB2003" s="15" t="n"/>
    </row>
    <row r="2004">
      <c r="A2004" s="59" t="n">
        <v>46148</v>
      </c>
      <c r="B2004" s="3" t="n">
        <v>2026</v>
      </c>
      <c r="C2004" s="21" t="inlineStr">
        <is>
          <t>Continuum</t>
        </is>
      </c>
      <c r="D2004" s="3" t="inlineStr">
        <is>
          <t>Utility and C&amp;I</t>
        </is>
      </c>
      <c r="E2004" s="3" t="n"/>
      <c r="F2004" s="3" t="inlineStr">
        <is>
          <t>Closed</t>
        </is>
      </c>
      <c r="G2004" s="21" t="inlineStr">
        <is>
          <t>Amiya Ranjan Behera</t>
        </is>
      </c>
      <c r="H2004" s="21" t="n">
        <v>8917436223</v>
      </c>
      <c r="I2004" s="38" t="inlineStr">
        <is>
          <t>PE06052602</t>
        </is>
      </c>
      <c r="J2004" s="21" t="inlineStr">
        <is>
          <t>Diode Bypass Module Issue</t>
        </is>
      </c>
      <c r="K2004" s="21" t="inlineStr">
        <is>
          <t>Bhavnagar</t>
        </is>
      </c>
      <c r="L2004" s="21" t="inlineStr">
        <is>
          <t>Gujarat</t>
        </is>
      </c>
      <c r="M2004" s="9" t="inlineStr">
        <is>
          <t>PS</t>
        </is>
      </c>
      <c r="N2004" s="3" t="inlineStr">
        <is>
          <t>Cold Soldering</t>
        </is>
      </c>
      <c r="O2004" s="60" t="n">
        <v>540</v>
      </c>
      <c r="P2004" s="9" t="inlineStr">
        <is>
          <t>NSMP2305130368</t>
        </is>
      </c>
      <c r="Q2004" s="53">
        <f>MID(P2004,5,2)</f>
        <v/>
      </c>
      <c r="R2004" s="53">
        <f>MID(P2004,7,2)</f>
        <v/>
      </c>
      <c r="S2004" s="3" t="inlineStr">
        <is>
          <t>G2B</t>
        </is>
      </c>
      <c r="T2004" s="3" t="inlineStr">
        <is>
          <t>P2</t>
        </is>
      </c>
      <c r="U2004" s="3" t="inlineStr">
        <is>
          <t>P JB Cold Soldering</t>
        </is>
      </c>
      <c r="V2004" s="3" t="inlineStr">
        <is>
          <t>Soldering</t>
        </is>
      </c>
      <c r="W2004" s="3" t="inlineStr">
        <is>
          <t>Repair</t>
        </is>
      </c>
      <c r="X2004" s="18" t="n">
        <v>46167</v>
      </c>
      <c r="Y2004" s="3">
        <f>X2004-A2004</f>
        <v/>
      </c>
      <c r="Z2004" s="18" t="n">
        <v>46167</v>
      </c>
      <c r="AA2004" s="15" t="n"/>
      <c r="AB2004" s="15" t="n"/>
    </row>
    <row r="2005">
      <c r="A2005" s="59" t="n">
        <v>46148</v>
      </c>
      <c r="B2005" s="3" t="n">
        <v>2026</v>
      </c>
      <c r="C2005" s="21" t="inlineStr">
        <is>
          <t>Continuum</t>
        </is>
      </c>
      <c r="D2005" s="3" t="inlineStr">
        <is>
          <t>Utility and C&amp;I</t>
        </is>
      </c>
      <c r="E2005" s="3" t="n"/>
      <c r="F2005" s="3" t="inlineStr">
        <is>
          <t>Closed</t>
        </is>
      </c>
      <c r="G2005" s="21" t="inlineStr">
        <is>
          <t>Amiya Ranjan Behera</t>
        </is>
      </c>
      <c r="H2005" s="21" t="n">
        <v>8917436223</v>
      </c>
      <c r="I2005" s="38" t="inlineStr">
        <is>
          <t>PE06052602</t>
        </is>
      </c>
      <c r="J2005" s="21" t="inlineStr">
        <is>
          <t>Diode Bypass Module Issue</t>
        </is>
      </c>
      <c r="K2005" s="21" t="inlineStr">
        <is>
          <t>Bhavnagar</t>
        </is>
      </c>
      <c r="L2005" s="21" t="inlineStr">
        <is>
          <t>Gujarat</t>
        </is>
      </c>
      <c r="M2005" s="9" t="inlineStr">
        <is>
          <t>PS</t>
        </is>
      </c>
      <c r="N2005" s="3" t="inlineStr">
        <is>
          <t>Cold Soldering</t>
        </is>
      </c>
      <c r="O2005" s="60" t="n">
        <v>540</v>
      </c>
      <c r="P2005" s="9" t="inlineStr">
        <is>
          <t>NSMP2305130333</t>
        </is>
      </c>
      <c r="Q2005" s="53">
        <f>MID(P2005,5,2)</f>
        <v/>
      </c>
      <c r="R2005" s="53">
        <f>MID(P2005,7,2)</f>
        <v/>
      </c>
      <c r="S2005" s="3" t="inlineStr">
        <is>
          <t>G2B</t>
        </is>
      </c>
      <c r="T2005" s="3" t="inlineStr">
        <is>
          <t>P2</t>
        </is>
      </c>
      <c r="U2005" s="3" t="inlineStr">
        <is>
          <t>P JB Cold Soldering</t>
        </is>
      </c>
      <c r="V2005" s="3" t="inlineStr">
        <is>
          <t>Soldering</t>
        </is>
      </c>
      <c r="W2005" s="3" t="inlineStr">
        <is>
          <t>Repair</t>
        </is>
      </c>
      <c r="X2005" s="18" t="n">
        <v>46167</v>
      </c>
      <c r="Y2005" s="3">
        <f>X2005-A2005</f>
        <v/>
      </c>
      <c r="Z2005" s="18" t="n">
        <v>46167</v>
      </c>
      <c r="AA2005" s="15" t="n"/>
      <c r="AB2005" s="15" t="n"/>
    </row>
    <row r="2006">
      <c r="A2006" s="59" t="n">
        <v>46148</v>
      </c>
      <c r="B2006" s="3" t="n">
        <v>2026</v>
      </c>
      <c r="C2006" s="21" t="inlineStr">
        <is>
          <t>Continuum</t>
        </is>
      </c>
      <c r="D2006" s="3" t="inlineStr">
        <is>
          <t>Utility and C&amp;I</t>
        </is>
      </c>
      <c r="E2006" s="3" t="n"/>
      <c r="F2006" s="3" t="inlineStr">
        <is>
          <t>Closed</t>
        </is>
      </c>
      <c r="G2006" s="21" t="inlineStr">
        <is>
          <t>Amiya Ranjan Behera</t>
        </is>
      </c>
      <c r="H2006" s="21" t="n">
        <v>8917436223</v>
      </c>
      <c r="I2006" s="38" t="inlineStr">
        <is>
          <t>PE06052602</t>
        </is>
      </c>
      <c r="J2006" s="21" t="inlineStr">
        <is>
          <t>Diode Bypass Module Issue</t>
        </is>
      </c>
      <c r="K2006" s="21" t="inlineStr">
        <is>
          <t>Bhavnagar</t>
        </is>
      </c>
      <c r="L2006" s="21" t="inlineStr">
        <is>
          <t>Gujarat</t>
        </is>
      </c>
      <c r="M2006" s="9" t="inlineStr">
        <is>
          <t>PR</t>
        </is>
      </c>
      <c r="N2006" s="3" t="inlineStr">
        <is>
          <t>JB Issue</t>
        </is>
      </c>
      <c r="O2006" s="60" t="n">
        <v>540</v>
      </c>
      <c r="P2006" s="9" t="inlineStr">
        <is>
          <t>NSMP2305130073</t>
        </is>
      </c>
      <c r="Q2006" s="53">
        <f>MID(P2006,5,2)</f>
        <v/>
      </c>
      <c r="R2006" s="53">
        <f>MID(P2006,7,2)</f>
        <v/>
      </c>
      <c r="S2006" s="3" t="inlineStr">
        <is>
          <t>G2B</t>
        </is>
      </c>
      <c r="T2006" s="3" t="inlineStr">
        <is>
          <t>P2</t>
        </is>
      </c>
      <c r="U2006" s="3" t="inlineStr">
        <is>
          <t>P JB Issue</t>
        </is>
      </c>
      <c r="V2006" s="15" t="inlineStr">
        <is>
          <t>JB Changed</t>
        </is>
      </c>
      <c r="W2006" s="3" t="inlineStr">
        <is>
          <t>Repair</t>
        </is>
      </c>
      <c r="X2006" s="18" t="n">
        <v>46167</v>
      </c>
      <c r="Y2006" s="3">
        <f>X2006-A2006</f>
        <v/>
      </c>
      <c r="Z2006" s="18" t="n">
        <v>46167</v>
      </c>
      <c r="AA2006" s="15" t="n"/>
      <c r="AB2006" s="15" t="n"/>
    </row>
    <row r="2007">
      <c r="A2007" s="59" t="n">
        <v>46148</v>
      </c>
      <c r="B2007" s="3" t="n">
        <v>2026</v>
      </c>
      <c r="C2007" s="21" t="inlineStr">
        <is>
          <t>Continuum</t>
        </is>
      </c>
      <c r="D2007" s="3" t="inlineStr">
        <is>
          <t>Utility and C&amp;I</t>
        </is>
      </c>
      <c r="E2007" s="3" t="n"/>
      <c r="F2007" s="3" t="inlineStr">
        <is>
          <t>Closed</t>
        </is>
      </c>
      <c r="G2007" s="21" t="inlineStr">
        <is>
          <t>Amiya Ranjan Behera</t>
        </is>
      </c>
      <c r="H2007" s="21" t="n">
        <v>8917436223</v>
      </c>
      <c r="I2007" s="38" t="inlineStr">
        <is>
          <t>PE06052602</t>
        </is>
      </c>
      <c r="J2007" s="21" t="inlineStr">
        <is>
          <t>Diode Bypass Module Issue</t>
        </is>
      </c>
      <c r="K2007" s="21" t="inlineStr">
        <is>
          <t>Bhavnagar</t>
        </is>
      </c>
      <c r="L2007" s="21" t="inlineStr">
        <is>
          <t>Gujarat</t>
        </is>
      </c>
      <c r="M2007" s="9" t="inlineStr">
        <is>
          <t>PS</t>
        </is>
      </c>
      <c r="N2007" s="3" t="inlineStr">
        <is>
          <t>Cold Soldering</t>
        </is>
      </c>
      <c r="O2007" s="60" t="n">
        <v>540</v>
      </c>
      <c r="P2007" s="9" t="inlineStr">
        <is>
          <t>NSMP2305130271</t>
        </is>
      </c>
      <c r="Q2007" s="53">
        <f>MID(P2007,5,2)</f>
        <v/>
      </c>
      <c r="R2007" s="53">
        <f>MID(P2007,7,2)</f>
        <v/>
      </c>
      <c r="S2007" s="3" t="inlineStr">
        <is>
          <t>G2B</t>
        </is>
      </c>
      <c r="T2007" s="3" t="inlineStr">
        <is>
          <t>P2</t>
        </is>
      </c>
      <c r="U2007" s="3" t="inlineStr">
        <is>
          <t>P JB Cold Soldering</t>
        </is>
      </c>
      <c r="V2007" s="3" t="inlineStr">
        <is>
          <t>Soldering</t>
        </is>
      </c>
      <c r="W2007" s="3" t="inlineStr">
        <is>
          <t>Repair</t>
        </is>
      </c>
      <c r="X2007" s="18" t="n">
        <v>46167</v>
      </c>
      <c r="Y2007" s="3">
        <f>X2007-A2007</f>
        <v/>
      </c>
      <c r="Z2007" s="18" t="n">
        <v>46167</v>
      </c>
      <c r="AA2007" s="15" t="n"/>
      <c r="AB2007" s="15" t="n"/>
    </row>
    <row r="2008">
      <c r="A2008" s="59" t="n">
        <v>46148</v>
      </c>
      <c r="B2008" s="3" t="n">
        <v>2026</v>
      </c>
      <c r="C2008" s="21" t="inlineStr">
        <is>
          <t>Continuum</t>
        </is>
      </c>
      <c r="D2008" s="3" t="inlineStr">
        <is>
          <t>Utility and C&amp;I</t>
        </is>
      </c>
      <c r="E2008" s="3" t="n"/>
      <c r="F2008" s="3" t="inlineStr">
        <is>
          <t>Closed</t>
        </is>
      </c>
      <c r="G2008" s="21" t="inlineStr">
        <is>
          <t>Amiya Ranjan Behera</t>
        </is>
      </c>
      <c r="H2008" s="21" t="n">
        <v>8917436223</v>
      </c>
      <c r="I2008" s="38" t="inlineStr">
        <is>
          <t>PE06052602</t>
        </is>
      </c>
      <c r="J2008" s="21" t="inlineStr">
        <is>
          <t>Diode Bypass Module Issue</t>
        </is>
      </c>
      <c r="K2008" s="21" t="inlineStr">
        <is>
          <t>Bhavnagar</t>
        </is>
      </c>
      <c r="L2008" s="21" t="inlineStr">
        <is>
          <t>Gujarat</t>
        </is>
      </c>
      <c r="M2008" s="9" t="inlineStr">
        <is>
          <t>NS</t>
        </is>
      </c>
      <c r="N2008" s="26" t="inlineStr">
        <is>
          <t>Cold Soldering</t>
        </is>
      </c>
      <c r="O2008" s="60" t="n">
        <v>540</v>
      </c>
      <c r="P2008" s="9" t="inlineStr">
        <is>
          <t>NSMP2305123075</t>
        </is>
      </c>
      <c r="Q2008" s="53">
        <f>MID(P2008,5,2)</f>
        <v/>
      </c>
      <c r="R2008" s="53">
        <f>MID(P2008,7,2)</f>
        <v/>
      </c>
      <c r="S2008" s="3" t="inlineStr">
        <is>
          <t>G2B</t>
        </is>
      </c>
      <c r="T2008" s="3" t="inlineStr">
        <is>
          <t>P2</t>
        </is>
      </c>
      <c r="U2008" s="19" t="inlineStr">
        <is>
          <t>N JB Cold Soldering</t>
        </is>
      </c>
      <c r="V2008" s="19" t="inlineStr">
        <is>
          <t>Soldering</t>
        </is>
      </c>
      <c r="W2008" s="3" t="inlineStr">
        <is>
          <t>Repair</t>
        </is>
      </c>
      <c r="X2008" s="18" t="n">
        <v>46167</v>
      </c>
      <c r="Y2008" s="3">
        <f>X2008-A2008</f>
        <v/>
      </c>
      <c r="Z2008" s="18" t="n">
        <v>46167</v>
      </c>
      <c r="AA2008" s="15" t="n"/>
      <c r="AB2008" s="15" t="n"/>
    </row>
    <row r="2009">
      <c r="A2009" s="59" t="n">
        <v>46148</v>
      </c>
      <c r="B2009" s="3" t="n">
        <v>2026</v>
      </c>
      <c r="C2009" s="21" t="inlineStr">
        <is>
          <t>Continuum</t>
        </is>
      </c>
      <c r="D2009" s="3" t="inlineStr">
        <is>
          <t>Utility and C&amp;I</t>
        </is>
      </c>
      <c r="E2009" s="3" t="n"/>
      <c r="F2009" s="3" t="inlineStr">
        <is>
          <t>Closed</t>
        </is>
      </c>
      <c r="G2009" s="21" t="inlineStr">
        <is>
          <t>Amiya Ranjan Behera</t>
        </is>
      </c>
      <c r="H2009" s="21" t="n">
        <v>8917436223</v>
      </c>
      <c r="I2009" s="38" t="inlineStr">
        <is>
          <t>PE06052602</t>
        </is>
      </c>
      <c r="J2009" s="21" t="inlineStr">
        <is>
          <t>Diode Bypass Module Issue</t>
        </is>
      </c>
      <c r="K2009" s="21" t="inlineStr">
        <is>
          <t>Bhavnagar</t>
        </is>
      </c>
      <c r="L2009" s="21" t="inlineStr">
        <is>
          <t>Gujarat</t>
        </is>
      </c>
      <c r="M2009" s="9" t="inlineStr">
        <is>
          <t>PS</t>
        </is>
      </c>
      <c r="N2009" s="3" t="inlineStr">
        <is>
          <t>Cold Soldering</t>
        </is>
      </c>
      <c r="O2009" s="60" t="n">
        <v>540</v>
      </c>
      <c r="P2009" s="9" t="inlineStr">
        <is>
          <t>NSMP2305123057</t>
        </is>
      </c>
      <c r="Q2009" s="53">
        <f>MID(P2009,5,2)</f>
        <v/>
      </c>
      <c r="R2009" s="53">
        <f>MID(P2009,7,2)</f>
        <v/>
      </c>
      <c r="S2009" s="3" t="inlineStr">
        <is>
          <t>G2B</t>
        </is>
      </c>
      <c r="T2009" s="3" t="inlineStr">
        <is>
          <t>P2</t>
        </is>
      </c>
      <c r="U2009" s="3" t="inlineStr">
        <is>
          <t>P JB Cold Soldering</t>
        </is>
      </c>
      <c r="V2009" s="3" t="inlineStr">
        <is>
          <t>Soldering</t>
        </is>
      </c>
      <c r="W2009" s="3" t="inlineStr">
        <is>
          <t>Repair</t>
        </is>
      </c>
      <c r="X2009" s="18" t="n">
        <v>46167</v>
      </c>
      <c r="Y2009" s="3">
        <f>X2009-A2009</f>
        <v/>
      </c>
      <c r="Z2009" s="18" t="n">
        <v>46167</v>
      </c>
      <c r="AA2009" s="15" t="n"/>
      <c r="AB2009" s="15" t="n"/>
    </row>
    <row r="2010">
      <c r="A2010" s="59" t="n">
        <v>46148</v>
      </c>
      <c r="B2010" s="3" t="n">
        <v>2026</v>
      </c>
      <c r="C2010" s="21" t="inlineStr">
        <is>
          <t>Continuum</t>
        </is>
      </c>
      <c r="D2010" s="3" t="inlineStr">
        <is>
          <t>Utility and C&amp;I</t>
        </is>
      </c>
      <c r="E2010" s="3" t="n"/>
      <c r="F2010" s="3" t="inlineStr">
        <is>
          <t>Closed</t>
        </is>
      </c>
      <c r="G2010" s="21" t="inlineStr">
        <is>
          <t>Amiya Ranjan Behera</t>
        </is>
      </c>
      <c r="H2010" s="21" t="n">
        <v>8917436223</v>
      </c>
      <c r="I2010" s="38" t="inlineStr">
        <is>
          <t>PE06052602</t>
        </is>
      </c>
      <c r="J2010" s="21" t="inlineStr">
        <is>
          <t>Diode Bypass Module Issue</t>
        </is>
      </c>
      <c r="K2010" s="21" t="inlineStr">
        <is>
          <t>Bhavnagar</t>
        </is>
      </c>
      <c r="L2010" s="21" t="inlineStr">
        <is>
          <t>Gujarat</t>
        </is>
      </c>
      <c r="M2010" s="9" t="inlineStr">
        <is>
          <t>OK</t>
        </is>
      </c>
      <c r="N2010" s="3" t="inlineStr">
        <is>
          <t>No Issue</t>
        </is>
      </c>
      <c r="O2010" s="60" t="n">
        <v>540</v>
      </c>
      <c r="P2010" s="9" t="inlineStr">
        <is>
          <t>NSMP2305130668</t>
        </is>
      </c>
      <c r="Q2010" s="53">
        <f>MID(P2010,5,2)</f>
        <v/>
      </c>
      <c r="R2010" s="53">
        <f>MID(P2010,7,2)</f>
        <v/>
      </c>
      <c r="S2010" s="3" t="inlineStr">
        <is>
          <t>G2B</t>
        </is>
      </c>
      <c r="T2010" s="3" t="inlineStr">
        <is>
          <t>P2</t>
        </is>
      </c>
      <c r="U2010" s="19" t="inlineStr">
        <is>
          <t>No Issue Found</t>
        </is>
      </c>
      <c r="V2010" s="19" t="inlineStr">
        <is>
          <t>Found OK</t>
        </is>
      </c>
      <c r="W2010" s="3" t="inlineStr">
        <is>
          <t>Repair</t>
        </is>
      </c>
      <c r="X2010" s="18" t="n">
        <v>46167</v>
      </c>
      <c r="Y2010" s="3">
        <f>X2010-A2010</f>
        <v/>
      </c>
      <c r="Z2010" s="18" t="n">
        <v>46167</v>
      </c>
      <c r="AA2010" s="15" t="n"/>
      <c r="AB2010" s="15" t="n"/>
    </row>
    <row r="2011">
      <c r="A2011" s="87" t="n">
        <v>46165</v>
      </c>
      <c r="B2011" s="73" t="n">
        <v>2026</v>
      </c>
      <c r="C2011" s="88" t="inlineStr">
        <is>
          <t>Panasonic</t>
        </is>
      </c>
      <c r="D2011" s="88" t="inlineStr">
        <is>
          <t>OEM</t>
        </is>
      </c>
      <c r="E2011" s="73" t="n"/>
      <c r="F2011" s="73" t="inlineStr">
        <is>
          <t>Closed</t>
        </is>
      </c>
      <c r="G2011" s="88" t="inlineStr">
        <is>
          <t>Chirag Tare</t>
        </is>
      </c>
      <c r="H2011" s="88" t="n">
        <v>7719846027</v>
      </c>
      <c r="I2011" s="89" t="inlineStr">
        <is>
          <t>PE23052601</t>
        </is>
      </c>
      <c r="J2011" s="88" t="inlineStr">
        <is>
          <t>Low generation</t>
        </is>
      </c>
      <c r="K2011" s="88" t="inlineStr">
        <is>
          <t>Kochi</t>
        </is>
      </c>
      <c r="L2011" s="88" t="inlineStr">
        <is>
          <t>Kerala</t>
        </is>
      </c>
      <c r="M2011" s="90" t="inlineStr">
        <is>
          <t>PS</t>
        </is>
      </c>
      <c r="N2011" s="79" t="inlineStr">
        <is>
          <t>Cold Soldering</t>
        </is>
      </c>
      <c r="O2011" s="91" t="n">
        <v>450</v>
      </c>
      <c r="P2011" s="92" t="inlineStr">
        <is>
          <t>NSMP2205013074</t>
        </is>
      </c>
      <c r="Q2011" s="83">
        <f>MID(P2011,5,2)</f>
        <v/>
      </c>
      <c r="R2011" s="77">
        <f>MID(P2011,7,2)</f>
        <v/>
      </c>
      <c r="S2011" s="73" t="inlineStr">
        <is>
          <t>G2B</t>
        </is>
      </c>
      <c r="T2011" s="73" t="inlineStr">
        <is>
          <t>P2</t>
        </is>
      </c>
      <c r="U2011" s="73" t="inlineStr">
        <is>
          <t>P JB Cold Soldering</t>
        </is>
      </c>
      <c r="V2011" s="73" t="inlineStr">
        <is>
          <t>Soldering</t>
        </is>
      </c>
      <c r="W2011" s="73" t="inlineStr">
        <is>
          <t>Repair</t>
        </is>
      </c>
      <c r="X2011" s="85" t="n">
        <v>46167</v>
      </c>
      <c r="Y2011" s="73">
        <f>X2011-A2011</f>
        <v/>
      </c>
      <c r="Z2011" s="85" t="n">
        <v>46167</v>
      </c>
      <c r="AA2011" s="86" t="n"/>
      <c r="AB2011" s="86" t="n"/>
    </row>
    <row r="2012">
      <c r="A2012" s="59" t="n">
        <v>46165</v>
      </c>
      <c r="B2012" s="3" t="n">
        <v>2026</v>
      </c>
      <c r="C2012" s="21" t="inlineStr">
        <is>
          <t>Panasonic</t>
        </is>
      </c>
      <c r="D2012" s="21" t="inlineStr">
        <is>
          <t>OEM</t>
        </is>
      </c>
      <c r="E2012" s="3" t="n"/>
      <c r="F2012" s="3" t="inlineStr">
        <is>
          <t>Closed</t>
        </is>
      </c>
      <c r="G2012" s="21" t="inlineStr">
        <is>
          <t>Chirag Tare</t>
        </is>
      </c>
      <c r="H2012" s="21" t="n">
        <v>7719846027</v>
      </c>
      <c r="I2012" s="63" t="inlineStr">
        <is>
          <t>PE23052601</t>
        </is>
      </c>
      <c r="J2012" s="21" t="inlineStr">
        <is>
          <t>Low generation</t>
        </is>
      </c>
      <c r="K2012" s="21" t="inlineStr">
        <is>
          <t>Kochi</t>
        </is>
      </c>
      <c r="L2012" s="21" t="inlineStr">
        <is>
          <t>Kerala</t>
        </is>
      </c>
      <c r="M2012" s="66" t="inlineStr">
        <is>
          <t>OK</t>
        </is>
      </c>
      <c r="N2012" s="3" t="inlineStr">
        <is>
          <t>No Issue</t>
        </is>
      </c>
      <c r="O2012" s="60" t="n">
        <v>450</v>
      </c>
      <c r="P2012" s="65" t="inlineStr">
        <is>
          <t>NSMP2205013060</t>
        </is>
      </c>
      <c r="Q2012" s="54">
        <f>MID(P2012,5,2)</f>
        <v/>
      </c>
      <c r="R2012" s="53">
        <f>MID(P2012,7,2)</f>
        <v/>
      </c>
      <c r="S2012" s="3" t="inlineStr">
        <is>
          <t>G2B</t>
        </is>
      </c>
      <c r="T2012" s="3" t="inlineStr">
        <is>
          <t>P2</t>
        </is>
      </c>
      <c r="U2012" s="19" t="inlineStr">
        <is>
          <t>No Issue Found</t>
        </is>
      </c>
      <c r="V2012" s="19" t="inlineStr">
        <is>
          <t>Found OK</t>
        </is>
      </c>
      <c r="W2012" s="3" t="inlineStr">
        <is>
          <t>Repair</t>
        </is>
      </c>
      <c r="X2012" s="18" t="n">
        <v>46167</v>
      </c>
      <c r="Y2012" s="3">
        <f>X2012-A2012</f>
        <v/>
      </c>
      <c r="Z2012" s="18" t="n">
        <v>46167</v>
      </c>
      <c r="AA2012" s="15" t="n"/>
      <c r="AB2012" s="15" t="n"/>
    </row>
    <row r="2013">
      <c r="A2013" s="59" t="n">
        <v>46165</v>
      </c>
      <c r="B2013" s="3" t="n">
        <v>2026</v>
      </c>
      <c r="C2013" s="21" t="inlineStr">
        <is>
          <t>Panasonic</t>
        </is>
      </c>
      <c r="D2013" s="21" t="inlineStr">
        <is>
          <t>OEM</t>
        </is>
      </c>
      <c r="E2013" s="3" t="n"/>
      <c r="F2013" s="3" t="inlineStr">
        <is>
          <t>Closed</t>
        </is>
      </c>
      <c r="G2013" s="21" t="inlineStr">
        <is>
          <t>Chirag Tare</t>
        </is>
      </c>
      <c r="H2013" s="21" t="n">
        <v>7719846027</v>
      </c>
      <c r="I2013" s="63" t="inlineStr">
        <is>
          <t>PE23052601</t>
        </is>
      </c>
      <c r="J2013" s="21" t="inlineStr">
        <is>
          <t>Low generation</t>
        </is>
      </c>
      <c r="K2013" s="21" t="inlineStr">
        <is>
          <t>Kochi</t>
        </is>
      </c>
      <c r="L2013" s="21" t="inlineStr">
        <is>
          <t>Kerala</t>
        </is>
      </c>
      <c r="M2013" s="66" t="inlineStr">
        <is>
          <t>OK</t>
        </is>
      </c>
      <c r="N2013" s="3" t="inlineStr">
        <is>
          <t>No Issue</t>
        </is>
      </c>
      <c r="O2013" s="60" t="n">
        <v>450</v>
      </c>
      <c r="P2013" s="65" t="inlineStr">
        <is>
          <t>NSMP2205012969</t>
        </is>
      </c>
      <c r="Q2013" s="54">
        <f>MID(P2013,5,2)</f>
        <v/>
      </c>
      <c r="R2013" s="53">
        <f>MID(P2013,7,2)</f>
        <v/>
      </c>
      <c r="S2013" s="3" t="inlineStr">
        <is>
          <t>G2B</t>
        </is>
      </c>
      <c r="T2013" s="3" t="inlineStr">
        <is>
          <t>P2</t>
        </is>
      </c>
      <c r="U2013" s="19" t="inlineStr">
        <is>
          <t>No Issue Found</t>
        </is>
      </c>
      <c r="V2013" s="19" t="inlineStr">
        <is>
          <t>Found OK</t>
        </is>
      </c>
      <c r="W2013" s="3" t="inlineStr">
        <is>
          <t>Repair</t>
        </is>
      </c>
      <c r="X2013" s="18" t="n">
        <v>46167</v>
      </c>
      <c r="Y2013" s="3">
        <f>X2013-A2013</f>
        <v/>
      </c>
      <c r="Z2013" s="18" t="n">
        <v>46167</v>
      </c>
      <c r="AA2013" s="15" t="n"/>
      <c r="AB2013" s="15" t="n"/>
    </row>
    <row r="2014">
      <c r="A2014" s="59" t="n">
        <v>46165</v>
      </c>
      <c r="B2014" s="3" t="n">
        <v>2026</v>
      </c>
      <c r="C2014" s="21" t="inlineStr">
        <is>
          <t>Panasonic</t>
        </is>
      </c>
      <c r="D2014" s="21" t="inlineStr">
        <is>
          <t>OEM</t>
        </is>
      </c>
      <c r="E2014" s="3" t="n"/>
      <c r="F2014" s="3" t="inlineStr">
        <is>
          <t>Closed</t>
        </is>
      </c>
      <c r="G2014" s="21" t="inlineStr">
        <is>
          <t>Chirag Tare</t>
        </is>
      </c>
      <c r="H2014" s="21" t="n">
        <v>7719846027</v>
      </c>
      <c r="I2014" s="63" t="inlineStr">
        <is>
          <t>PE23052601</t>
        </is>
      </c>
      <c r="J2014" s="21" t="inlineStr">
        <is>
          <t>Low generation</t>
        </is>
      </c>
      <c r="K2014" s="21" t="inlineStr">
        <is>
          <t>Kochi</t>
        </is>
      </c>
      <c r="L2014" s="21" t="inlineStr">
        <is>
          <t>Kerala</t>
        </is>
      </c>
      <c r="M2014" s="66" t="inlineStr">
        <is>
          <t>NS</t>
        </is>
      </c>
      <c r="N2014" s="26" t="inlineStr">
        <is>
          <t>Cold Soldering</t>
        </is>
      </c>
      <c r="O2014" s="60" t="n">
        <v>450</v>
      </c>
      <c r="P2014" s="65" t="inlineStr">
        <is>
          <t>NSMP2205013078</t>
        </is>
      </c>
      <c r="Q2014" s="54">
        <f>MID(P2014,5,2)</f>
        <v/>
      </c>
      <c r="R2014" s="53">
        <f>MID(P2014,7,2)</f>
        <v/>
      </c>
      <c r="S2014" s="3" t="inlineStr">
        <is>
          <t>G2B</t>
        </is>
      </c>
      <c r="T2014" s="3" t="inlineStr">
        <is>
          <t>P2</t>
        </is>
      </c>
      <c r="U2014" s="19" t="inlineStr">
        <is>
          <t>N JB Cold Soldering</t>
        </is>
      </c>
      <c r="V2014" s="3" t="inlineStr">
        <is>
          <t>Soldering</t>
        </is>
      </c>
      <c r="W2014" s="3" t="inlineStr">
        <is>
          <t>Repair</t>
        </is>
      </c>
      <c r="X2014" s="18" t="n">
        <v>46167</v>
      </c>
      <c r="Y2014" s="3">
        <f>X2014-A2014</f>
        <v/>
      </c>
      <c r="Z2014" s="18" t="n">
        <v>46167</v>
      </c>
      <c r="AA2014" s="15" t="n"/>
      <c r="AB2014" s="15" t="n"/>
    </row>
    <row r="2015">
      <c r="A2015" s="59" t="n">
        <v>46165</v>
      </c>
      <c r="B2015" s="3" t="n">
        <v>2026</v>
      </c>
      <c r="C2015" s="21" t="inlineStr">
        <is>
          <t>Panasonic</t>
        </is>
      </c>
      <c r="D2015" s="21" t="inlineStr">
        <is>
          <t>OEM</t>
        </is>
      </c>
      <c r="E2015" s="3" t="n"/>
      <c r="F2015" s="3" t="inlineStr">
        <is>
          <t>Closed</t>
        </is>
      </c>
      <c r="G2015" s="21" t="inlineStr">
        <is>
          <t>Chirag Tare</t>
        </is>
      </c>
      <c r="H2015" s="21" t="n">
        <v>7719846027</v>
      </c>
      <c r="I2015" s="63" t="inlineStr">
        <is>
          <t>PE23052601</t>
        </is>
      </c>
      <c r="J2015" s="21" t="inlineStr">
        <is>
          <t>Low generation</t>
        </is>
      </c>
      <c r="K2015" s="21" t="inlineStr">
        <is>
          <t>Kochi</t>
        </is>
      </c>
      <c r="L2015" s="21" t="inlineStr">
        <is>
          <t>Kerala</t>
        </is>
      </c>
      <c r="M2015" s="68" t="inlineStr">
        <is>
          <t>OK</t>
        </is>
      </c>
      <c r="N2015" s="3" t="inlineStr">
        <is>
          <t>No Issue</t>
        </is>
      </c>
      <c r="O2015" s="60" t="n">
        <v>450</v>
      </c>
      <c r="P2015" s="65" t="inlineStr">
        <is>
          <t>NSMP2205013081</t>
        </is>
      </c>
      <c r="Q2015" s="54">
        <f>MID(P2015,5,2)</f>
        <v/>
      </c>
      <c r="R2015" s="53">
        <f>MID(P2015,7,2)</f>
        <v/>
      </c>
      <c r="S2015" s="3" t="inlineStr">
        <is>
          <t>G2B</t>
        </is>
      </c>
      <c r="T2015" s="3" t="inlineStr">
        <is>
          <t>P2</t>
        </is>
      </c>
      <c r="U2015" s="19" t="inlineStr">
        <is>
          <t>No Issue Found</t>
        </is>
      </c>
      <c r="V2015" s="19" t="inlineStr">
        <is>
          <t>Found OK</t>
        </is>
      </c>
      <c r="W2015" s="3" t="inlineStr">
        <is>
          <t>Repair</t>
        </is>
      </c>
      <c r="X2015" s="18" t="n">
        <v>46167</v>
      </c>
      <c r="Y2015" s="3">
        <f>X2015-A2015</f>
        <v/>
      </c>
      <c r="Z2015" s="18" t="n">
        <v>46167</v>
      </c>
      <c r="AA2015" s="15" t="n"/>
      <c r="AB2015" s="15" t="n"/>
    </row>
    <row r="2016">
      <c r="A2016" s="37" t="n">
        <v>46143</v>
      </c>
      <c r="B2016" s="3" t="n">
        <v>2026</v>
      </c>
      <c r="C2016" s="26" t="inlineStr">
        <is>
          <t>Yanara Power</t>
        </is>
      </c>
      <c r="D2016" s="3" t="inlineStr">
        <is>
          <t>Utility and C&amp;I</t>
        </is>
      </c>
      <c r="E2016" s="3" t="n"/>
      <c r="F2016" s="3" t="inlineStr">
        <is>
          <t>Closed</t>
        </is>
      </c>
      <c r="G2016" s="9" t="inlineStr">
        <is>
          <t xml:space="preserve">Ashish Jindal </t>
        </is>
      </c>
      <c r="H2016" s="26" t="n">
        <v>9983975581</v>
      </c>
      <c r="I2016" s="38" t="inlineStr">
        <is>
          <t>PE01052601</t>
        </is>
      </c>
      <c r="J2016" s="26" t="inlineStr">
        <is>
          <t>Multiple Issues</t>
        </is>
      </c>
      <c r="K2016" s="39" t="inlineStr">
        <is>
          <t>Holi</t>
        </is>
      </c>
      <c r="L2016" s="39" t="inlineStr">
        <is>
          <t>Maharashtra</t>
        </is>
      </c>
      <c r="M2016" s="46" t="inlineStr">
        <is>
          <t>PS</t>
        </is>
      </c>
      <c r="N2016" s="3" t="inlineStr">
        <is>
          <t>Cold Soldering</t>
        </is>
      </c>
      <c r="O2016" s="56" t="n">
        <v>575</v>
      </c>
      <c r="P2016" s="67" t="inlineStr">
        <is>
          <t>NSMI24070178161</t>
        </is>
      </c>
      <c r="Q2016" s="54">
        <f>MID(P2016,5,2)</f>
        <v/>
      </c>
      <c r="R2016" s="53">
        <f>MID(P2016,7,2)</f>
        <v/>
      </c>
      <c r="S2016" s="3" t="inlineStr">
        <is>
          <t>G2G</t>
        </is>
      </c>
      <c r="T2016" s="3" t="inlineStr">
        <is>
          <t>P4</t>
        </is>
      </c>
      <c r="U2016" s="19" t="inlineStr">
        <is>
          <t>P JB Cold Soldering</t>
        </is>
      </c>
      <c r="V2016" s="19" t="inlineStr">
        <is>
          <t>Soldering</t>
        </is>
      </c>
      <c r="W2016" s="3" t="inlineStr">
        <is>
          <t>Repair</t>
        </is>
      </c>
      <c r="X2016" s="18" t="n">
        <v>46167</v>
      </c>
      <c r="Y2016" s="3">
        <f>X2016-A2016</f>
        <v/>
      </c>
      <c r="Z2016" s="18" t="n">
        <v>46167</v>
      </c>
      <c r="AA2016" s="15" t="n"/>
      <c r="AB2016" s="15" t="n"/>
    </row>
    <row r="2017">
      <c r="A2017" s="37" t="n">
        <v>46143</v>
      </c>
      <c r="B2017" s="3" t="n">
        <v>2026</v>
      </c>
      <c r="C2017" s="26" t="inlineStr">
        <is>
          <t>Yanara Power</t>
        </is>
      </c>
      <c r="D2017" s="3" t="inlineStr">
        <is>
          <t>Utility and C&amp;I</t>
        </is>
      </c>
      <c r="E2017" s="3" t="n"/>
      <c r="F2017" s="3" t="inlineStr">
        <is>
          <t>Closed</t>
        </is>
      </c>
      <c r="G2017" s="9" t="inlineStr">
        <is>
          <t xml:space="preserve">Ashish Jindal </t>
        </is>
      </c>
      <c r="H2017" s="26" t="n">
        <v>9983975581</v>
      </c>
      <c r="I2017" s="38" t="inlineStr">
        <is>
          <t>PE01052601</t>
        </is>
      </c>
      <c r="J2017" s="26" t="inlineStr">
        <is>
          <t>Multiple Issues</t>
        </is>
      </c>
      <c r="K2017" s="39" t="inlineStr">
        <is>
          <t>Holi</t>
        </is>
      </c>
      <c r="L2017" s="39" t="inlineStr">
        <is>
          <t>Maharashtra</t>
        </is>
      </c>
      <c r="M2017" s="46" t="inlineStr">
        <is>
          <t>PS</t>
        </is>
      </c>
      <c r="N2017" s="3" t="inlineStr">
        <is>
          <t>Cold Soldering</t>
        </is>
      </c>
      <c r="O2017" s="56" t="n">
        <v>575</v>
      </c>
      <c r="P2017" s="67" t="inlineStr">
        <is>
          <t>NSMI24070176543</t>
        </is>
      </c>
      <c r="Q2017" s="54">
        <f>MID(P2017,5,2)</f>
        <v/>
      </c>
      <c r="R2017" s="53">
        <f>MID(P2017,7,2)</f>
        <v/>
      </c>
      <c r="S2017" s="3" t="inlineStr">
        <is>
          <t>G2G</t>
        </is>
      </c>
      <c r="T2017" s="3" t="inlineStr">
        <is>
          <t>P4</t>
        </is>
      </c>
      <c r="U2017" s="19" t="inlineStr">
        <is>
          <t>P JB Cold Soldering</t>
        </is>
      </c>
      <c r="V2017" s="19" t="inlineStr">
        <is>
          <t>Soldering</t>
        </is>
      </c>
      <c r="W2017" s="3" t="inlineStr">
        <is>
          <t>Repair</t>
        </is>
      </c>
      <c r="X2017" s="18" t="n">
        <v>46167</v>
      </c>
      <c r="Y2017" s="3">
        <f>X2017-A2017</f>
        <v/>
      </c>
      <c r="Z2017" s="18" t="n">
        <v>46167</v>
      </c>
      <c r="AA2017" s="15" t="n"/>
      <c r="AB2017" s="15" t="n"/>
    </row>
    <row r="2018">
      <c r="A2018" s="37" t="n">
        <v>46143</v>
      </c>
      <c r="B2018" s="3" t="n">
        <v>2026</v>
      </c>
      <c r="C2018" s="26" t="inlineStr">
        <is>
          <t>Yanara Power</t>
        </is>
      </c>
      <c r="D2018" s="3" t="inlineStr">
        <is>
          <t>Utility and C&amp;I</t>
        </is>
      </c>
      <c r="E2018" s="3" t="n"/>
      <c r="F2018" s="3" t="inlineStr">
        <is>
          <t>Closed</t>
        </is>
      </c>
      <c r="G2018" s="9" t="inlineStr">
        <is>
          <t xml:space="preserve">Ashish Jindal </t>
        </is>
      </c>
      <c r="H2018" s="26" t="n">
        <v>9983975581</v>
      </c>
      <c r="I2018" s="38" t="inlineStr">
        <is>
          <t>PE01052601</t>
        </is>
      </c>
      <c r="J2018" s="26" t="inlineStr">
        <is>
          <t>Multiple Issues</t>
        </is>
      </c>
      <c r="K2018" s="39" t="inlineStr">
        <is>
          <t>Holi</t>
        </is>
      </c>
      <c r="L2018" s="39" t="inlineStr">
        <is>
          <t>Maharashtra</t>
        </is>
      </c>
      <c r="M2018" s="46" t="inlineStr">
        <is>
          <t>NS</t>
        </is>
      </c>
      <c r="N2018" s="3" t="inlineStr">
        <is>
          <t>Cold Soldering</t>
        </is>
      </c>
      <c r="O2018" s="56" t="n">
        <v>575</v>
      </c>
      <c r="P2018" s="67" t="inlineStr">
        <is>
          <t>NSMI24070221362</t>
        </is>
      </c>
      <c r="Q2018" s="54">
        <f>MID(P2018,5,2)</f>
        <v/>
      </c>
      <c r="R2018" s="53">
        <f>MID(P2018,7,2)</f>
        <v/>
      </c>
      <c r="S2018" s="3" t="inlineStr">
        <is>
          <t>G2G</t>
        </is>
      </c>
      <c r="T2018" s="3" t="inlineStr">
        <is>
          <t>P4</t>
        </is>
      </c>
      <c r="U2018" s="3" t="inlineStr">
        <is>
          <t>N JB Cold Soldering</t>
        </is>
      </c>
      <c r="V2018" s="3" t="inlineStr">
        <is>
          <t>Soldering</t>
        </is>
      </c>
      <c r="W2018" s="3" t="inlineStr">
        <is>
          <t>Repair</t>
        </is>
      </c>
      <c r="X2018" s="18" t="n">
        <v>46167</v>
      </c>
      <c r="Y2018" s="3">
        <f>X2018-A2018</f>
        <v/>
      </c>
      <c r="Z2018" s="18" t="n">
        <v>46167</v>
      </c>
      <c r="AA2018" s="15" t="n"/>
      <c r="AB2018" s="15" t="n"/>
    </row>
    <row r="2019">
      <c r="A2019" s="37" t="n">
        <v>46143</v>
      </c>
      <c r="B2019" s="3" t="n">
        <v>2026</v>
      </c>
      <c r="C2019" s="26" t="inlineStr">
        <is>
          <t>Yanara Power</t>
        </is>
      </c>
      <c r="D2019" s="3" t="inlineStr">
        <is>
          <t>Utility and C&amp;I</t>
        </is>
      </c>
      <c r="E2019" s="3" t="n"/>
      <c r="F2019" s="3" t="inlineStr">
        <is>
          <t>Closed</t>
        </is>
      </c>
      <c r="G2019" s="9" t="inlineStr">
        <is>
          <t xml:space="preserve">Ashish Jindal </t>
        </is>
      </c>
      <c r="H2019" s="26" t="n">
        <v>9983975581</v>
      </c>
      <c r="I2019" s="38" t="inlineStr">
        <is>
          <t>PE01052601</t>
        </is>
      </c>
      <c r="J2019" s="26" t="inlineStr">
        <is>
          <t>Multiple Issues</t>
        </is>
      </c>
      <c r="K2019" s="39" t="inlineStr">
        <is>
          <t>Holi</t>
        </is>
      </c>
      <c r="L2019" s="39" t="inlineStr">
        <is>
          <t>Maharashtra</t>
        </is>
      </c>
      <c r="M2019" s="46" t="inlineStr">
        <is>
          <t>PS</t>
        </is>
      </c>
      <c r="N2019" s="3" t="inlineStr">
        <is>
          <t>Cold Soldering</t>
        </is>
      </c>
      <c r="O2019" s="56" t="n">
        <v>575</v>
      </c>
      <c r="P2019" s="67" t="inlineStr">
        <is>
          <t>NSMI24070221320</t>
        </is>
      </c>
      <c r="Q2019" s="54">
        <f>MID(P2019,5,2)</f>
        <v/>
      </c>
      <c r="R2019" s="53">
        <f>MID(P2019,7,2)</f>
        <v/>
      </c>
      <c r="S2019" s="3" t="inlineStr">
        <is>
          <t>G2G</t>
        </is>
      </c>
      <c r="T2019" s="3" t="inlineStr">
        <is>
          <t>P4</t>
        </is>
      </c>
      <c r="U2019" s="19" t="inlineStr">
        <is>
          <t>P JB Cold Soldering</t>
        </is>
      </c>
      <c r="V2019" s="19" t="inlineStr">
        <is>
          <t>Soldering</t>
        </is>
      </c>
      <c r="W2019" s="3" t="inlineStr">
        <is>
          <t>Repair</t>
        </is>
      </c>
      <c r="X2019" s="18" t="n">
        <v>46167</v>
      </c>
      <c r="Y2019" s="3">
        <f>X2019-A2019</f>
        <v/>
      </c>
      <c r="Z2019" s="18" t="n">
        <v>46167</v>
      </c>
      <c r="AA2019" s="15" t="n"/>
      <c r="AB2019" s="15" t="n"/>
    </row>
    <row r="2020">
      <c r="A2020" s="37" t="n">
        <v>46143</v>
      </c>
      <c r="B2020" s="3" t="n">
        <v>2026</v>
      </c>
      <c r="C2020" s="26" t="inlineStr">
        <is>
          <t>Yanara Power</t>
        </is>
      </c>
      <c r="D2020" s="3" t="inlineStr">
        <is>
          <t>Utility and C&amp;I</t>
        </is>
      </c>
      <c r="E2020" s="3" t="n"/>
      <c r="F2020" s="3" t="inlineStr">
        <is>
          <t>Closed</t>
        </is>
      </c>
      <c r="G2020" s="9" t="inlineStr">
        <is>
          <t xml:space="preserve">Ashish Jindal </t>
        </is>
      </c>
      <c r="H2020" s="26" t="n">
        <v>9983975581</v>
      </c>
      <c r="I2020" s="38" t="inlineStr">
        <is>
          <t>PE01052601</t>
        </is>
      </c>
      <c r="J2020" s="26" t="inlineStr">
        <is>
          <t>Multiple Issues</t>
        </is>
      </c>
      <c r="K2020" s="39" t="inlineStr">
        <is>
          <t>Holi</t>
        </is>
      </c>
      <c r="L2020" s="39" t="inlineStr">
        <is>
          <t>Maharashtra</t>
        </is>
      </c>
      <c r="M2020" s="46" t="inlineStr">
        <is>
          <t>PS</t>
        </is>
      </c>
      <c r="N2020" s="3" t="inlineStr">
        <is>
          <t>Cold Soldering</t>
        </is>
      </c>
      <c r="O2020" s="56" t="n">
        <v>575</v>
      </c>
      <c r="P2020" s="67" t="inlineStr">
        <is>
          <t>NSMI24070221326</t>
        </is>
      </c>
      <c r="Q2020" s="54">
        <f>MID(P2020,5,2)</f>
        <v/>
      </c>
      <c r="R2020" s="53">
        <f>MID(P2020,7,2)</f>
        <v/>
      </c>
      <c r="S2020" s="3" t="inlineStr">
        <is>
          <t>G2G</t>
        </is>
      </c>
      <c r="T2020" s="3" t="inlineStr">
        <is>
          <t>P4</t>
        </is>
      </c>
      <c r="U2020" s="19" t="inlineStr">
        <is>
          <t>P JB Cold Soldering</t>
        </is>
      </c>
      <c r="V2020" s="19" t="inlineStr">
        <is>
          <t>Soldering</t>
        </is>
      </c>
      <c r="W2020" s="3" t="inlineStr">
        <is>
          <t>Repair</t>
        </is>
      </c>
      <c r="X2020" s="18" t="n">
        <v>46167</v>
      </c>
      <c r="Y2020" s="3">
        <f>X2020-A2020</f>
        <v/>
      </c>
      <c r="Z2020" s="18" t="n">
        <v>46167</v>
      </c>
      <c r="AA2020" s="15" t="n"/>
      <c r="AB2020" s="15" t="n"/>
    </row>
    <row r="2021">
      <c r="A2021" s="37" t="n">
        <v>46143</v>
      </c>
      <c r="B2021" s="3" t="n">
        <v>2026</v>
      </c>
      <c r="C2021" s="26" t="inlineStr">
        <is>
          <t>Yanara Power</t>
        </is>
      </c>
      <c r="D2021" s="3" t="inlineStr">
        <is>
          <t>Utility and C&amp;I</t>
        </is>
      </c>
      <c r="E2021" s="3" t="n"/>
      <c r="F2021" s="3" t="inlineStr">
        <is>
          <t>Closed</t>
        </is>
      </c>
      <c r="G2021" s="9" t="inlineStr">
        <is>
          <t xml:space="preserve">Ashish Jindal </t>
        </is>
      </c>
      <c r="H2021" s="26" t="n">
        <v>9983975581</v>
      </c>
      <c r="I2021" s="38" t="inlineStr">
        <is>
          <t>PE01052601</t>
        </is>
      </c>
      <c r="J2021" s="26" t="inlineStr">
        <is>
          <t>Multiple Issues</t>
        </is>
      </c>
      <c r="K2021" s="39" t="inlineStr">
        <is>
          <t>Holi</t>
        </is>
      </c>
      <c r="L2021" s="39" t="inlineStr">
        <is>
          <t>Maharashtra</t>
        </is>
      </c>
      <c r="M2021" s="46" t="inlineStr">
        <is>
          <t>PNS</t>
        </is>
      </c>
      <c r="N2021" s="3" t="inlineStr">
        <is>
          <t>Cold Soldering</t>
        </is>
      </c>
      <c r="O2021" s="56" t="n">
        <v>575</v>
      </c>
      <c r="P2021" s="67" t="inlineStr">
        <is>
          <t>NSMI24070216578</t>
        </is>
      </c>
      <c r="Q2021" s="54">
        <f>MID(P2021,5,2)</f>
        <v/>
      </c>
      <c r="R2021" s="53">
        <f>MID(P2021,7,2)</f>
        <v/>
      </c>
      <c r="S2021" s="3" t="inlineStr">
        <is>
          <t>G2G</t>
        </is>
      </c>
      <c r="T2021" s="3" t="inlineStr">
        <is>
          <t>P4</t>
        </is>
      </c>
      <c r="U2021" s="3" t="inlineStr">
        <is>
          <t>P &amp; N JB Cold Soldering</t>
        </is>
      </c>
      <c r="V2021" s="3" t="inlineStr">
        <is>
          <t>Soldering</t>
        </is>
      </c>
      <c r="W2021" s="3" t="inlineStr">
        <is>
          <t>Repair</t>
        </is>
      </c>
      <c r="X2021" s="18" t="n">
        <v>46167</v>
      </c>
      <c r="Y2021" s="3">
        <f>X2021-A2021</f>
        <v/>
      </c>
      <c r="Z2021" s="18" t="n">
        <v>46167</v>
      </c>
      <c r="AA2021" s="15" t="n"/>
      <c r="AB2021" s="15" t="n"/>
    </row>
    <row r="2022">
      <c r="A2022" s="37" t="n">
        <v>46143</v>
      </c>
      <c r="B2022" s="3" t="n">
        <v>2026</v>
      </c>
      <c r="C2022" s="26" t="inlineStr">
        <is>
          <t>Yanara Power</t>
        </is>
      </c>
      <c r="D2022" s="3" t="inlineStr">
        <is>
          <t>Utility and C&amp;I</t>
        </is>
      </c>
      <c r="E2022" s="3" t="n"/>
      <c r="F2022" s="3" t="inlineStr">
        <is>
          <t>Closed</t>
        </is>
      </c>
      <c r="G2022" s="9" t="inlineStr">
        <is>
          <t xml:space="preserve">Ashish Jindal </t>
        </is>
      </c>
      <c r="H2022" s="26" t="n">
        <v>9983975581</v>
      </c>
      <c r="I2022" s="38" t="inlineStr">
        <is>
          <t>PE01052601</t>
        </is>
      </c>
      <c r="J2022" s="26" t="inlineStr">
        <is>
          <t>Multiple Issues</t>
        </is>
      </c>
      <c r="K2022" s="39" t="inlineStr">
        <is>
          <t>Holi</t>
        </is>
      </c>
      <c r="L2022" s="39" t="inlineStr">
        <is>
          <t>Maharashtra</t>
        </is>
      </c>
      <c r="M2022" s="46" t="inlineStr">
        <is>
          <t>NS</t>
        </is>
      </c>
      <c r="N2022" s="3" t="inlineStr">
        <is>
          <t>Cold Soldering</t>
        </is>
      </c>
      <c r="O2022" s="56" t="n">
        <v>575</v>
      </c>
      <c r="P2022" s="67" t="inlineStr">
        <is>
          <t>NSMI24070216312</t>
        </is>
      </c>
      <c r="Q2022" s="54">
        <f>MID(P2022,5,2)</f>
        <v/>
      </c>
      <c r="R2022" s="53">
        <f>MID(P2022,7,2)</f>
        <v/>
      </c>
      <c r="S2022" s="3" t="inlineStr">
        <is>
          <t>G2G</t>
        </is>
      </c>
      <c r="T2022" s="3" t="inlineStr">
        <is>
          <t>P4</t>
        </is>
      </c>
      <c r="U2022" s="3" t="inlineStr">
        <is>
          <t>N JB Cold Soldering</t>
        </is>
      </c>
      <c r="V2022" s="3" t="inlineStr">
        <is>
          <t>Soldering</t>
        </is>
      </c>
      <c r="W2022" s="3" t="inlineStr">
        <is>
          <t>Repair</t>
        </is>
      </c>
      <c r="X2022" s="18" t="n">
        <v>46167</v>
      </c>
      <c r="Y2022" s="3">
        <f>X2022-A2022</f>
        <v/>
      </c>
      <c r="Z2022" s="18" t="n">
        <v>46167</v>
      </c>
      <c r="AA2022" s="15" t="n"/>
      <c r="AB2022" s="15" t="n"/>
    </row>
    <row r="2023">
      <c r="A2023" s="37" t="n">
        <v>46143</v>
      </c>
      <c r="B2023" s="3" t="n">
        <v>2026</v>
      </c>
      <c r="C2023" s="26" t="inlineStr">
        <is>
          <t>Yanara Power</t>
        </is>
      </c>
      <c r="D2023" s="3" t="inlineStr">
        <is>
          <t>Utility and C&amp;I</t>
        </is>
      </c>
      <c r="E2023" s="3" t="n"/>
      <c r="F2023" s="3" t="inlineStr">
        <is>
          <t>Closed</t>
        </is>
      </c>
      <c r="G2023" s="9" t="inlineStr">
        <is>
          <t xml:space="preserve">Ashish Jindal </t>
        </is>
      </c>
      <c r="H2023" s="26" t="n">
        <v>9983975581</v>
      </c>
      <c r="I2023" s="38" t="inlineStr">
        <is>
          <t>PE01052601</t>
        </is>
      </c>
      <c r="J2023" s="26" t="inlineStr">
        <is>
          <t>Multiple Issues</t>
        </is>
      </c>
      <c r="K2023" s="39" t="inlineStr">
        <is>
          <t>Holi</t>
        </is>
      </c>
      <c r="L2023" s="39" t="inlineStr">
        <is>
          <t>Maharashtra</t>
        </is>
      </c>
      <c r="M2023" s="46" t="inlineStr">
        <is>
          <t>PS</t>
        </is>
      </c>
      <c r="N2023" s="3" t="inlineStr">
        <is>
          <t>Cold Soldering</t>
        </is>
      </c>
      <c r="O2023" s="56" t="n">
        <v>575</v>
      </c>
      <c r="P2023" s="67" t="inlineStr">
        <is>
          <t>NSMI24070216384</t>
        </is>
      </c>
      <c r="Q2023" s="54">
        <f>MID(P2023,5,2)</f>
        <v/>
      </c>
      <c r="R2023" s="53">
        <f>MID(P2023,7,2)</f>
        <v/>
      </c>
      <c r="S2023" s="3" t="inlineStr">
        <is>
          <t>G2G</t>
        </is>
      </c>
      <c r="T2023" s="3" t="inlineStr">
        <is>
          <t>P4</t>
        </is>
      </c>
      <c r="U2023" s="19" t="inlineStr">
        <is>
          <t>P JB Cold Soldering</t>
        </is>
      </c>
      <c r="V2023" s="19" t="inlineStr">
        <is>
          <t>Soldering</t>
        </is>
      </c>
      <c r="W2023" s="3" t="inlineStr">
        <is>
          <t>Repair</t>
        </is>
      </c>
      <c r="X2023" s="18" t="n">
        <v>46167</v>
      </c>
      <c r="Y2023" s="3">
        <f>X2023-A2023</f>
        <v/>
      </c>
      <c r="Z2023" s="18" t="n">
        <v>46167</v>
      </c>
      <c r="AA2023" s="15" t="n"/>
      <c r="AB2023" s="15" t="n"/>
    </row>
    <row r="2024">
      <c r="A2024" s="37" t="n">
        <v>46143</v>
      </c>
      <c r="B2024" s="3" t="n">
        <v>2026</v>
      </c>
      <c r="C2024" s="26" t="inlineStr">
        <is>
          <t>Yanara Power</t>
        </is>
      </c>
      <c r="D2024" s="3" t="inlineStr">
        <is>
          <t>Utility and C&amp;I</t>
        </is>
      </c>
      <c r="E2024" s="3" t="n"/>
      <c r="F2024" s="3" t="inlineStr">
        <is>
          <t>Closed</t>
        </is>
      </c>
      <c r="G2024" s="9" t="inlineStr">
        <is>
          <t xml:space="preserve">Ashish Jindal </t>
        </is>
      </c>
      <c r="H2024" s="26" t="n">
        <v>9983975581</v>
      </c>
      <c r="I2024" s="38" t="inlineStr">
        <is>
          <t>PE01052601</t>
        </is>
      </c>
      <c r="J2024" s="26" t="inlineStr">
        <is>
          <t>Multiple Issues</t>
        </is>
      </c>
      <c r="K2024" s="39" t="inlineStr">
        <is>
          <t>Holi</t>
        </is>
      </c>
      <c r="L2024" s="39" t="inlineStr">
        <is>
          <t>Maharashtra</t>
        </is>
      </c>
      <c r="M2024" s="46" t="inlineStr">
        <is>
          <t>PS</t>
        </is>
      </c>
      <c r="N2024" s="3" t="inlineStr">
        <is>
          <t>Cold Soldering</t>
        </is>
      </c>
      <c r="O2024" s="56" t="n">
        <v>575</v>
      </c>
      <c r="P2024" s="67" t="inlineStr">
        <is>
          <t>NSMI24070216682</t>
        </is>
      </c>
      <c r="Q2024" s="54">
        <f>MID(P2024,5,2)</f>
        <v/>
      </c>
      <c r="R2024" s="53">
        <f>MID(P2024,7,2)</f>
        <v/>
      </c>
      <c r="S2024" s="3" t="inlineStr">
        <is>
          <t>G2G</t>
        </is>
      </c>
      <c r="T2024" s="3" t="inlineStr">
        <is>
          <t>P4</t>
        </is>
      </c>
      <c r="U2024" s="19" t="inlineStr">
        <is>
          <t>P JB Cold Soldering</t>
        </is>
      </c>
      <c r="V2024" s="19" t="inlineStr">
        <is>
          <t>Soldering</t>
        </is>
      </c>
      <c r="W2024" s="3" t="inlineStr">
        <is>
          <t>Repair</t>
        </is>
      </c>
      <c r="X2024" s="18" t="n">
        <v>46167</v>
      </c>
      <c r="Y2024" s="3">
        <f>X2024-A2024</f>
        <v/>
      </c>
      <c r="Z2024" s="18" t="n">
        <v>46167</v>
      </c>
      <c r="AA2024" s="15" t="n"/>
      <c r="AB2024" s="15" t="n"/>
    </row>
    <row r="2025">
      <c r="A2025" s="37" t="n">
        <v>46143</v>
      </c>
      <c r="B2025" s="3" t="n">
        <v>2026</v>
      </c>
      <c r="C2025" s="26" t="inlineStr">
        <is>
          <t>Yanara Power</t>
        </is>
      </c>
      <c r="D2025" s="3" t="inlineStr">
        <is>
          <t>Utility and C&amp;I</t>
        </is>
      </c>
      <c r="E2025" s="3" t="n"/>
      <c r="F2025" s="3" t="inlineStr">
        <is>
          <t>Closed</t>
        </is>
      </c>
      <c r="G2025" s="9" t="inlineStr">
        <is>
          <t xml:space="preserve">Ashish Jindal </t>
        </is>
      </c>
      <c r="H2025" s="26" t="n">
        <v>9983975581</v>
      </c>
      <c r="I2025" s="38" t="inlineStr">
        <is>
          <t>PE01052601</t>
        </is>
      </c>
      <c r="J2025" s="26" t="inlineStr">
        <is>
          <t>Multiple Issues</t>
        </is>
      </c>
      <c r="K2025" s="39" t="inlineStr">
        <is>
          <t>Holi</t>
        </is>
      </c>
      <c r="L2025" s="39" t="inlineStr">
        <is>
          <t>Maharashtra</t>
        </is>
      </c>
      <c r="M2025" s="46" t="inlineStr">
        <is>
          <t>PS</t>
        </is>
      </c>
      <c r="N2025" s="3" t="inlineStr">
        <is>
          <t>Cold Soldering</t>
        </is>
      </c>
      <c r="O2025" s="56" t="n">
        <v>575</v>
      </c>
      <c r="P2025" s="67" t="inlineStr">
        <is>
          <t>NSMI24070221329</t>
        </is>
      </c>
      <c r="Q2025" s="54">
        <f>MID(P2025,5,2)</f>
        <v/>
      </c>
      <c r="R2025" s="53">
        <f>MID(P2025,7,2)</f>
        <v/>
      </c>
      <c r="S2025" s="3" t="inlineStr">
        <is>
          <t>G2G</t>
        </is>
      </c>
      <c r="T2025" s="3" t="inlineStr">
        <is>
          <t>P4</t>
        </is>
      </c>
      <c r="U2025" s="19" t="inlineStr">
        <is>
          <t>P JB Cold Soldering</t>
        </is>
      </c>
      <c r="V2025" s="19" t="inlineStr">
        <is>
          <t>Soldering</t>
        </is>
      </c>
      <c r="W2025" s="3" t="inlineStr">
        <is>
          <t>Repair</t>
        </is>
      </c>
      <c r="X2025" s="18" t="n">
        <v>46167</v>
      </c>
      <c r="Y2025" s="3">
        <f>X2025-A2025</f>
        <v/>
      </c>
      <c r="Z2025" s="18" t="n">
        <v>46167</v>
      </c>
      <c r="AA2025" s="15" t="n"/>
      <c r="AB2025" s="15" t="n"/>
    </row>
    <row r="2026">
      <c r="A2026" s="37" t="n">
        <v>46143</v>
      </c>
      <c r="B2026" s="3" t="n">
        <v>2026</v>
      </c>
      <c r="C2026" s="26" t="inlineStr">
        <is>
          <t>Yanara Power</t>
        </is>
      </c>
      <c r="D2026" s="3" t="inlineStr">
        <is>
          <t>Utility and C&amp;I</t>
        </is>
      </c>
      <c r="E2026" s="3" t="n"/>
      <c r="F2026" s="3" t="inlineStr">
        <is>
          <t>Closed</t>
        </is>
      </c>
      <c r="G2026" s="9" t="inlineStr">
        <is>
          <t xml:space="preserve">Ashish Jindal </t>
        </is>
      </c>
      <c r="H2026" s="26" t="n">
        <v>9983975581</v>
      </c>
      <c r="I2026" s="38" t="inlineStr">
        <is>
          <t>PE01052601</t>
        </is>
      </c>
      <c r="J2026" s="26" t="inlineStr">
        <is>
          <t>Multiple Issues</t>
        </is>
      </c>
      <c r="K2026" s="39" t="inlineStr">
        <is>
          <t>Holi</t>
        </is>
      </c>
      <c r="L2026" s="39" t="inlineStr">
        <is>
          <t>Maharashtra</t>
        </is>
      </c>
      <c r="M2026" s="46" t="inlineStr">
        <is>
          <t>PS</t>
        </is>
      </c>
      <c r="N2026" s="3" t="inlineStr">
        <is>
          <t>Cold Soldering</t>
        </is>
      </c>
      <c r="O2026" s="56" t="n">
        <v>575</v>
      </c>
      <c r="P2026" s="67" t="inlineStr">
        <is>
          <t>NSMI24070165390</t>
        </is>
      </c>
      <c r="Q2026" s="54">
        <f>MID(P2026,5,2)</f>
        <v/>
      </c>
      <c r="R2026" s="53">
        <f>MID(P2026,7,2)</f>
        <v/>
      </c>
      <c r="S2026" s="3" t="inlineStr">
        <is>
          <t>G2G</t>
        </is>
      </c>
      <c r="T2026" s="3" t="inlineStr">
        <is>
          <t>P4</t>
        </is>
      </c>
      <c r="U2026" s="19" t="inlineStr">
        <is>
          <t>P JB Cold Soldering</t>
        </is>
      </c>
      <c r="V2026" s="19" t="inlineStr">
        <is>
          <t>Soldering</t>
        </is>
      </c>
      <c r="W2026" s="3" t="inlineStr">
        <is>
          <t>Repair</t>
        </is>
      </c>
      <c r="X2026" s="18" t="n">
        <v>46167</v>
      </c>
      <c r="Y2026" s="3">
        <f>X2026-A2026</f>
        <v/>
      </c>
      <c r="Z2026" s="18" t="n">
        <v>46167</v>
      </c>
      <c r="AA2026" s="15" t="n"/>
      <c r="AB2026" s="15" t="n"/>
    </row>
    <row r="2027">
      <c r="A2027" s="37" t="n">
        <v>46143</v>
      </c>
      <c r="B2027" s="3" t="n">
        <v>2026</v>
      </c>
      <c r="C2027" s="26" t="inlineStr">
        <is>
          <t>Yanara Power</t>
        </is>
      </c>
      <c r="D2027" s="3" t="inlineStr">
        <is>
          <t>Utility and C&amp;I</t>
        </is>
      </c>
      <c r="E2027" s="3" t="n"/>
      <c r="F2027" s="3" t="inlineStr">
        <is>
          <t>Closed</t>
        </is>
      </c>
      <c r="G2027" s="9" t="inlineStr">
        <is>
          <t xml:space="preserve">Ashish Jindal </t>
        </is>
      </c>
      <c r="H2027" s="26" t="n">
        <v>9983975581</v>
      </c>
      <c r="I2027" s="38" t="inlineStr">
        <is>
          <t>PE01052601</t>
        </is>
      </c>
      <c r="J2027" s="26" t="inlineStr">
        <is>
          <t>Multiple Issues</t>
        </is>
      </c>
      <c r="K2027" s="39" t="inlineStr">
        <is>
          <t>Holi</t>
        </is>
      </c>
      <c r="L2027" s="39" t="inlineStr">
        <is>
          <t>Maharashtra</t>
        </is>
      </c>
      <c r="M2027" s="46" t="inlineStr">
        <is>
          <t>PS</t>
        </is>
      </c>
      <c r="N2027" s="3" t="inlineStr">
        <is>
          <t>Cold Soldering</t>
        </is>
      </c>
      <c r="O2027" s="56" t="n">
        <v>575</v>
      </c>
      <c r="P2027" s="67" t="inlineStr">
        <is>
          <t>NSMI24070165394</t>
        </is>
      </c>
      <c r="Q2027" s="54">
        <f>MID(P2027,5,2)</f>
        <v/>
      </c>
      <c r="R2027" s="53">
        <f>MID(P2027,7,2)</f>
        <v/>
      </c>
      <c r="S2027" s="3" t="inlineStr">
        <is>
          <t>G2G</t>
        </is>
      </c>
      <c r="T2027" s="3" t="inlineStr">
        <is>
          <t>P4</t>
        </is>
      </c>
      <c r="U2027" s="19" t="inlineStr">
        <is>
          <t>P JB Cold Soldering</t>
        </is>
      </c>
      <c r="V2027" s="19" t="inlineStr">
        <is>
          <t>Soldering</t>
        </is>
      </c>
      <c r="W2027" s="3" t="inlineStr">
        <is>
          <t>Repair</t>
        </is>
      </c>
      <c r="X2027" s="18" t="n">
        <v>46167</v>
      </c>
      <c r="Y2027" s="3">
        <f>X2027-A2027</f>
        <v/>
      </c>
      <c r="Z2027" s="18" t="n">
        <v>46167</v>
      </c>
      <c r="AA2027" s="15" t="n"/>
      <c r="AB2027" s="15" t="n"/>
    </row>
    <row r="2028">
      <c r="A2028" s="37" t="n">
        <v>46143</v>
      </c>
      <c r="B2028" s="3" t="n">
        <v>2026</v>
      </c>
      <c r="C2028" s="26" t="inlineStr">
        <is>
          <t>Yanara Power</t>
        </is>
      </c>
      <c r="D2028" s="3" t="inlineStr">
        <is>
          <t>Utility and C&amp;I</t>
        </is>
      </c>
      <c r="E2028" s="3" t="n"/>
      <c r="F2028" s="3" t="inlineStr">
        <is>
          <t>Closed</t>
        </is>
      </c>
      <c r="G2028" s="9" t="inlineStr">
        <is>
          <t xml:space="preserve">Ashish Jindal </t>
        </is>
      </c>
      <c r="H2028" s="26" t="n">
        <v>9983975581</v>
      </c>
      <c r="I2028" s="38" t="inlineStr">
        <is>
          <t>PE01052601</t>
        </is>
      </c>
      <c r="J2028" s="26" t="inlineStr">
        <is>
          <t>Multiple Issues</t>
        </is>
      </c>
      <c r="K2028" s="39" t="inlineStr">
        <is>
          <t>Holi</t>
        </is>
      </c>
      <c r="L2028" s="39" t="inlineStr">
        <is>
          <t>Maharashtra</t>
        </is>
      </c>
      <c r="M2028" s="46" t="inlineStr">
        <is>
          <t>NS</t>
        </is>
      </c>
      <c r="N2028" s="3" t="inlineStr">
        <is>
          <t>Cold Soldering</t>
        </is>
      </c>
      <c r="O2028" s="56" t="n">
        <v>575</v>
      </c>
      <c r="P2028" s="67" t="inlineStr">
        <is>
          <t>NSMI24070218590</t>
        </is>
      </c>
      <c r="Q2028" s="54">
        <f>MID(P2028,5,2)</f>
        <v/>
      </c>
      <c r="R2028" s="53">
        <f>MID(P2028,7,2)</f>
        <v/>
      </c>
      <c r="S2028" s="3" t="inlineStr">
        <is>
          <t>G2G</t>
        </is>
      </c>
      <c r="T2028" s="3" t="inlineStr">
        <is>
          <t>P4</t>
        </is>
      </c>
      <c r="U2028" s="3" t="inlineStr">
        <is>
          <t>N JB Cold Soldering</t>
        </is>
      </c>
      <c r="V2028" s="3" t="inlineStr">
        <is>
          <t>Soldering</t>
        </is>
      </c>
      <c r="W2028" s="3" t="inlineStr">
        <is>
          <t>Repair</t>
        </is>
      </c>
      <c r="X2028" s="18" t="n">
        <v>46167</v>
      </c>
      <c r="Y2028" s="3">
        <f>X2028-A2028</f>
        <v/>
      </c>
      <c r="Z2028" s="18" t="n">
        <v>46167</v>
      </c>
      <c r="AA2028" s="15" t="n"/>
      <c r="AB2028" s="15" t="n"/>
    </row>
    <row r="2029">
      <c r="A2029" s="37" t="n">
        <v>46143</v>
      </c>
      <c r="B2029" s="3" t="n">
        <v>2026</v>
      </c>
      <c r="C2029" s="26" t="inlineStr">
        <is>
          <t>Yanara Power</t>
        </is>
      </c>
      <c r="D2029" s="3" t="inlineStr">
        <is>
          <t>Utility and C&amp;I</t>
        </is>
      </c>
      <c r="E2029" s="3" t="n"/>
      <c r="F2029" s="3" t="inlineStr">
        <is>
          <t>Closed</t>
        </is>
      </c>
      <c r="G2029" s="9" t="inlineStr">
        <is>
          <t xml:space="preserve">Ashish Jindal </t>
        </is>
      </c>
      <c r="H2029" s="26" t="n">
        <v>9983975581</v>
      </c>
      <c r="I2029" s="38" t="inlineStr">
        <is>
          <t>PE01052601</t>
        </is>
      </c>
      <c r="J2029" s="26" t="inlineStr">
        <is>
          <t>Multiple Issues</t>
        </is>
      </c>
      <c r="K2029" s="39" t="inlineStr">
        <is>
          <t>Holi</t>
        </is>
      </c>
      <c r="L2029" s="39" t="inlineStr">
        <is>
          <t>Maharashtra</t>
        </is>
      </c>
      <c r="M2029" s="46" t="inlineStr">
        <is>
          <t>PS</t>
        </is>
      </c>
      <c r="N2029" s="3" t="inlineStr">
        <is>
          <t>Cold Soldering</t>
        </is>
      </c>
      <c r="O2029" s="56" t="n">
        <v>575</v>
      </c>
      <c r="P2029" s="67" t="inlineStr">
        <is>
          <t>NSMI24070233033</t>
        </is>
      </c>
      <c r="Q2029" s="54">
        <f>MID(P2029,5,2)</f>
        <v/>
      </c>
      <c r="R2029" s="53">
        <f>MID(P2029,7,2)</f>
        <v/>
      </c>
      <c r="S2029" s="3" t="inlineStr">
        <is>
          <t>G2G</t>
        </is>
      </c>
      <c r="T2029" s="3" t="inlineStr">
        <is>
          <t>P4</t>
        </is>
      </c>
      <c r="U2029" s="19" t="inlineStr">
        <is>
          <t>P JB Cold Soldering</t>
        </is>
      </c>
      <c r="V2029" s="19" t="inlineStr">
        <is>
          <t>Soldering</t>
        </is>
      </c>
      <c r="W2029" s="3" t="inlineStr">
        <is>
          <t>Repair</t>
        </is>
      </c>
      <c r="X2029" s="18" t="n">
        <v>46167</v>
      </c>
      <c r="Y2029" s="3">
        <f>X2029-A2029</f>
        <v/>
      </c>
      <c r="Z2029" s="18" t="n">
        <v>46167</v>
      </c>
      <c r="AA2029" s="15" t="n"/>
      <c r="AB2029" s="15" t="n"/>
    </row>
    <row r="2030">
      <c r="A2030" s="37" t="n">
        <v>46143</v>
      </c>
      <c r="B2030" s="3" t="n">
        <v>2026</v>
      </c>
      <c r="C2030" s="26" t="inlineStr">
        <is>
          <t>Yanara Power</t>
        </is>
      </c>
      <c r="D2030" s="3" t="inlineStr">
        <is>
          <t>Utility and C&amp;I</t>
        </is>
      </c>
      <c r="E2030" s="3" t="n"/>
      <c r="F2030" s="3" t="inlineStr">
        <is>
          <t>Closed</t>
        </is>
      </c>
      <c r="G2030" s="9" t="inlineStr">
        <is>
          <t xml:space="preserve">Ashish Jindal </t>
        </is>
      </c>
      <c r="H2030" s="26" t="n">
        <v>9983975581</v>
      </c>
      <c r="I2030" s="38" t="inlineStr">
        <is>
          <t>PE01052601</t>
        </is>
      </c>
      <c r="J2030" s="26" t="inlineStr">
        <is>
          <t>Multiple Issues</t>
        </is>
      </c>
      <c r="K2030" s="39" t="inlineStr">
        <is>
          <t>Holi</t>
        </is>
      </c>
      <c r="L2030" s="39" t="inlineStr">
        <is>
          <t>Maharashtra</t>
        </is>
      </c>
      <c r="M2030" s="46" t="inlineStr">
        <is>
          <t>NS</t>
        </is>
      </c>
      <c r="N2030" s="3" t="inlineStr">
        <is>
          <t>Cold Soldering</t>
        </is>
      </c>
      <c r="O2030" s="56" t="n">
        <v>575</v>
      </c>
      <c r="P2030" s="67" t="inlineStr">
        <is>
          <t>NSMI24070217024</t>
        </is>
      </c>
      <c r="Q2030" s="54">
        <f>MID(P2030,5,2)</f>
        <v/>
      </c>
      <c r="R2030" s="53">
        <f>MID(P2030,7,2)</f>
        <v/>
      </c>
      <c r="S2030" s="3" t="inlineStr">
        <is>
          <t>G2G</t>
        </is>
      </c>
      <c r="T2030" s="3" t="inlineStr">
        <is>
          <t>P4</t>
        </is>
      </c>
      <c r="U2030" s="3" t="inlineStr">
        <is>
          <t>N JB Cold Soldering</t>
        </is>
      </c>
      <c r="V2030" s="3" t="inlineStr">
        <is>
          <t>Soldering</t>
        </is>
      </c>
      <c r="W2030" s="3" t="inlineStr">
        <is>
          <t>Repair</t>
        </is>
      </c>
      <c r="X2030" s="18" t="n">
        <v>46167</v>
      </c>
      <c r="Y2030" s="3">
        <f>X2030-A2030</f>
        <v/>
      </c>
      <c r="Z2030" s="18" t="n">
        <v>46167</v>
      </c>
      <c r="AA2030" s="15" t="n"/>
      <c r="AB2030" s="15" t="n"/>
    </row>
    <row r="2031">
      <c r="A2031" s="37" t="n">
        <v>46143</v>
      </c>
      <c r="B2031" s="3" t="n">
        <v>2026</v>
      </c>
      <c r="C2031" s="26" t="inlineStr">
        <is>
          <t>Yanara Power</t>
        </is>
      </c>
      <c r="D2031" s="3" t="inlineStr">
        <is>
          <t>Utility and C&amp;I</t>
        </is>
      </c>
      <c r="E2031" s="3" t="n"/>
      <c r="F2031" s="3" t="inlineStr">
        <is>
          <t>Closed</t>
        </is>
      </c>
      <c r="G2031" s="9" t="inlineStr">
        <is>
          <t xml:space="preserve">Ashish Jindal </t>
        </is>
      </c>
      <c r="H2031" s="26" t="n">
        <v>9983975581</v>
      </c>
      <c r="I2031" s="38" t="inlineStr">
        <is>
          <t>PE01052601</t>
        </is>
      </c>
      <c r="J2031" s="26" t="inlineStr">
        <is>
          <t>Multiple Issues</t>
        </is>
      </c>
      <c r="K2031" s="39" t="inlineStr">
        <is>
          <t>Holi</t>
        </is>
      </c>
      <c r="L2031" s="39" t="inlineStr">
        <is>
          <t>Maharashtra</t>
        </is>
      </c>
      <c r="M2031" s="46" t="inlineStr">
        <is>
          <t>PNS</t>
        </is>
      </c>
      <c r="N2031" s="3" t="inlineStr">
        <is>
          <t>Cold Soldering</t>
        </is>
      </c>
      <c r="O2031" s="56" t="n">
        <v>575</v>
      </c>
      <c r="P2031" s="67" t="inlineStr">
        <is>
          <t>NSMI24070165377</t>
        </is>
      </c>
      <c r="Q2031" s="54">
        <f>MID(P2031,5,2)</f>
        <v/>
      </c>
      <c r="R2031" s="53">
        <f>MID(P2031,7,2)</f>
        <v/>
      </c>
      <c r="S2031" s="3" t="inlineStr">
        <is>
          <t>G2G</t>
        </is>
      </c>
      <c r="T2031" s="3" t="inlineStr">
        <is>
          <t>P4</t>
        </is>
      </c>
      <c r="U2031" s="3" t="inlineStr">
        <is>
          <t>P &amp; N JB Cold Soldering</t>
        </is>
      </c>
      <c r="V2031" s="3" t="inlineStr">
        <is>
          <t>Soldering</t>
        </is>
      </c>
      <c r="W2031" s="3" t="inlineStr">
        <is>
          <t>Repair</t>
        </is>
      </c>
      <c r="X2031" s="18" t="n">
        <v>46167</v>
      </c>
      <c r="Y2031" s="3">
        <f>X2031-A2031</f>
        <v/>
      </c>
      <c r="Z2031" s="18" t="n">
        <v>46167</v>
      </c>
      <c r="AA2031" s="15" t="n"/>
      <c r="AB2031" s="15" t="n"/>
    </row>
    <row r="2032">
      <c r="A2032" s="37" t="n">
        <v>46143</v>
      </c>
      <c r="B2032" s="3" t="n">
        <v>2026</v>
      </c>
      <c r="C2032" s="26" t="inlineStr">
        <is>
          <t>Yanara Power</t>
        </is>
      </c>
      <c r="D2032" s="3" t="inlineStr">
        <is>
          <t>Utility and C&amp;I</t>
        </is>
      </c>
      <c r="E2032" s="3" t="n"/>
      <c r="F2032" s="3" t="inlineStr">
        <is>
          <t>Closed</t>
        </is>
      </c>
      <c r="G2032" s="9" t="inlineStr">
        <is>
          <t xml:space="preserve">Ashish Jindal </t>
        </is>
      </c>
      <c r="H2032" s="26" t="n">
        <v>9983975581</v>
      </c>
      <c r="I2032" s="38" t="inlineStr">
        <is>
          <t>PE01052601</t>
        </is>
      </c>
      <c r="J2032" s="26" t="inlineStr">
        <is>
          <t>Multiple Issues</t>
        </is>
      </c>
      <c r="K2032" s="39" t="inlineStr">
        <is>
          <t>Holi</t>
        </is>
      </c>
      <c r="L2032" s="39" t="inlineStr">
        <is>
          <t>Maharashtra</t>
        </is>
      </c>
      <c r="M2032" s="46" t="inlineStr">
        <is>
          <t>PS</t>
        </is>
      </c>
      <c r="N2032" s="3" t="inlineStr">
        <is>
          <t>Cold Soldering</t>
        </is>
      </c>
      <c r="O2032" s="56" t="n">
        <v>575</v>
      </c>
      <c r="P2032" s="67" t="inlineStr">
        <is>
          <t>NSMI24070221841</t>
        </is>
      </c>
      <c r="Q2032" s="54">
        <f>MID(P2032,5,2)</f>
        <v/>
      </c>
      <c r="R2032" s="53">
        <f>MID(P2032,7,2)</f>
        <v/>
      </c>
      <c r="S2032" s="3" t="inlineStr">
        <is>
          <t>G2G</t>
        </is>
      </c>
      <c r="T2032" s="3" t="inlineStr">
        <is>
          <t>P4</t>
        </is>
      </c>
      <c r="U2032" s="19" t="inlineStr">
        <is>
          <t>P JB Cold Soldering</t>
        </is>
      </c>
      <c r="V2032" s="19" t="inlineStr">
        <is>
          <t>Soldering</t>
        </is>
      </c>
      <c r="W2032" s="3" t="inlineStr">
        <is>
          <t>Repair</t>
        </is>
      </c>
      <c r="X2032" s="18" t="n">
        <v>46167</v>
      </c>
      <c r="Y2032" s="3">
        <f>X2032-A2032</f>
        <v/>
      </c>
      <c r="Z2032" s="18" t="n">
        <v>46167</v>
      </c>
      <c r="AA2032" s="15" t="n"/>
      <c r="AB2032" s="15" t="n"/>
    </row>
    <row r="2033">
      <c r="A2033" s="37" t="n">
        <v>46143</v>
      </c>
      <c r="B2033" s="3" t="n">
        <v>2026</v>
      </c>
      <c r="C2033" s="26" t="inlineStr">
        <is>
          <t>Yanara Power</t>
        </is>
      </c>
      <c r="D2033" s="3" t="inlineStr">
        <is>
          <t>Utility and C&amp;I</t>
        </is>
      </c>
      <c r="E2033" s="3" t="n"/>
      <c r="F2033" s="3" t="inlineStr">
        <is>
          <t>Closed</t>
        </is>
      </c>
      <c r="G2033" s="9" t="inlineStr">
        <is>
          <t xml:space="preserve">Ashish Jindal </t>
        </is>
      </c>
      <c r="H2033" s="26" t="n">
        <v>9983975581</v>
      </c>
      <c r="I2033" s="38" t="inlineStr">
        <is>
          <t>PE01052601</t>
        </is>
      </c>
      <c r="J2033" s="26" t="inlineStr">
        <is>
          <t>Multiple Issues</t>
        </is>
      </c>
      <c r="K2033" s="39" t="inlineStr">
        <is>
          <t>Holi</t>
        </is>
      </c>
      <c r="L2033" s="39" t="inlineStr">
        <is>
          <t>Maharashtra</t>
        </is>
      </c>
      <c r="M2033" s="46" t="inlineStr">
        <is>
          <t>NS</t>
        </is>
      </c>
      <c r="N2033" s="3" t="inlineStr">
        <is>
          <t>Cold Soldering</t>
        </is>
      </c>
      <c r="O2033" s="56" t="n">
        <v>575</v>
      </c>
      <c r="P2033" s="67" t="inlineStr">
        <is>
          <t>NSMI24070204168</t>
        </is>
      </c>
      <c r="Q2033" s="54">
        <f>MID(P2033,5,2)</f>
        <v/>
      </c>
      <c r="R2033" s="53">
        <f>MID(P2033,7,2)</f>
        <v/>
      </c>
      <c r="S2033" s="3" t="inlineStr">
        <is>
          <t>G2G</t>
        </is>
      </c>
      <c r="T2033" s="3" t="inlineStr">
        <is>
          <t>P4</t>
        </is>
      </c>
      <c r="U2033" s="3" t="inlineStr">
        <is>
          <t>N JB Cold Soldering</t>
        </is>
      </c>
      <c r="V2033" s="3" t="inlineStr">
        <is>
          <t>Soldering</t>
        </is>
      </c>
      <c r="W2033" s="3" t="inlineStr">
        <is>
          <t>Repair</t>
        </is>
      </c>
      <c r="X2033" s="18" t="n">
        <v>46167</v>
      </c>
      <c r="Y2033" s="3">
        <f>X2033-A2033</f>
        <v/>
      </c>
      <c r="Z2033" s="18" t="n">
        <v>46167</v>
      </c>
      <c r="AA2033" s="15" t="n"/>
      <c r="AB2033" s="15" t="n"/>
    </row>
    <row r="2034">
      <c r="A2034" s="37" t="n">
        <v>46143</v>
      </c>
      <c r="B2034" s="3" t="n">
        <v>2026</v>
      </c>
      <c r="C2034" s="26" t="inlineStr">
        <is>
          <t>Yanara Power</t>
        </is>
      </c>
      <c r="D2034" s="3" t="inlineStr">
        <is>
          <t>Utility and C&amp;I</t>
        </is>
      </c>
      <c r="E2034" s="3" t="n"/>
      <c r="F2034" s="3" t="inlineStr">
        <is>
          <t>Closed</t>
        </is>
      </c>
      <c r="G2034" s="9" t="inlineStr">
        <is>
          <t xml:space="preserve">Ashish Jindal </t>
        </is>
      </c>
      <c r="H2034" s="26" t="n">
        <v>9983975581</v>
      </c>
      <c r="I2034" s="38" t="inlineStr">
        <is>
          <t>PE01052601</t>
        </is>
      </c>
      <c r="J2034" s="26" t="inlineStr">
        <is>
          <t>Multiple Issues</t>
        </is>
      </c>
      <c r="K2034" s="39" t="inlineStr">
        <is>
          <t>Holi</t>
        </is>
      </c>
      <c r="L2034" s="39" t="inlineStr">
        <is>
          <t>Maharashtra</t>
        </is>
      </c>
      <c r="M2034" s="46" t="inlineStr">
        <is>
          <t>PS</t>
        </is>
      </c>
      <c r="N2034" s="3" t="inlineStr">
        <is>
          <t>Cold Soldering</t>
        </is>
      </c>
      <c r="O2034" s="56" t="n">
        <v>575</v>
      </c>
      <c r="P2034" s="67" t="inlineStr">
        <is>
          <t>NSMI24070204140</t>
        </is>
      </c>
      <c r="Q2034" s="54">
        <f>MID(P2034,5,2)</f>
        <v/>
      </c>
      <c r="R2034" s="53">
        <f>MID(P2034,7,2)</f>
        <v/>
      </c>
      <c r="S2034" s="3" t="inlineStr">
        <is>
          <t>G2G</t>
        </is>
      </c>
      <c r="T2034" s="3" t="inlineStr">
        <is>
          <t>P4</t>
        </is>
      </c>
      <c r="U2034" s="19" t="inlineStr">
        <is>
          <t>P JB Cold Soldering</t>
        </is>
      </c>
      <c r="V2034" s="19" t="inlineStr">
        <is>
          <t>Soldering</t>
        </is>
      </c>
      <c r="W2034" s="3" t="inlineStr">
        <is>
          <t>Repair</t>
        </is>
      </c>
      <c r="X2034" s="18" t="n">
        <v>46167</v>
      </c>
      <c r="Y2034" s="3">
        <f>X2034-A2034</f>
        <v/>
      </c>
      <c r="Z2034" s="18" t="n">
        <v>46167</v>
      </c>
      <c r="AA2034" s="15" t="n"/>
      <c r="AB2034" s="15" t="n"/>
    </row>
    <row r="2035">
      <c r="A2035" s="37" t="n">
        <v>46143</v>
      </c>
      <c r="B2035" s="3" t="n">
        <v>2026</v>
      </c>
      <c r="C2035" s="26" t="inlineStr">
        <is>
          <t>Yanara Power</t>
        </is>
      </c>
      <c r="D2035" s="3" t="inlineStr">
        <is>
          <t>Utility and C&amp;I</t>
        </is>
      </c>
      <c r="E2035" s="3" t="n"/>
      <c r="F2035" s="3" t="inlineStr">
        <is>
          <t>Closed</t>
        </is>
      </c>
      <c r="G2035" s="9" t="inlineStr">
        <is>
          <t xml:space="preserve">Ashish Jindal </t>
        </is>
      </c>
      <c r="H2035" s="26" t="n">
        <v>9983975581</v>
      </c>
      <c r="I2035" s="38" t="inlineStr">
        <is>
          <t>PE01052601</t>
        </is>
      </c>
      <c r="J2035" s="26" t="inlineStr">
        <is>
          <t>Multiple Issues</t>
        </is>
      </c>
      <c r="K2035" s="39" t="inlineStr">
        <is>
          <t>Holi</t>
        </is>
      </c>
      <c r="L2035" s="39" t="inlineStr">
        <is>
          <t>Maharashtra</t>
        </is>
      </c>
      <c r="M2035" s="46" t="inlineStr">
        <is>
          <t>PNS</t>
        </is>
      </c>
      <c r="N2035" s="3" t="inlineStr">
        <is>
          <t>Cold Soldering</t>
        </is>
      </c>
      <c r="O2035" s="56" t="n">
        <v>575</v>
      </c>
      <c r="P2035" s="67" t="inlineStr">
        <is>
          <t>NSMI24070216726</t>
        </is>
      </c>
      <c r="Q2035" s="54">
        <f>MID(P2035,5,2)</f>
        <v/>
      </c>
      <c r="R2035" s="53">
        <f>MID(P2035,7,2)</f>
        <v/>
      </c>
      <c r="S2035" s="3" t="inlineStr">
        <is>
          <t>G2G</t>
        </is>
      </c>
      <c r="T2035" s="3" t="inlineStr">
        <is>
          <t>P4</t>
        </is>
      </c>
      <c r="U2035" s="3" t="inlineStr">
        <is>
          <t>P &amp; N JB Cold Soldering</t>
        </is>
      </c>
      <c r="V2035" s="3" t="inlineStr">
        <is>
          <t>Soldering</t>
        </is>
      </c>
      <c r="W2035" s="3" t="inlineStr">
        <is>
          <t>Repair</t>
        </is>
      </c>
      <c r="X2035" s="18" t="n">
        <v>46167</v>
      </c>
      <c r="Y2035" s="3">
        <f>X2035-A2035</f>
        <v/>
      </c>
      <c r="Z2035" s="18" t="n">
        <v>46167</v>
      </c>
      <c r="AA2035" s="15" t="n"/>
      <c r="AB2035" s="15" t="n"/>
    </row>
    <row r="2036">
      <c r="A2036" s="37" t="n">
        <v>46143</v>
      </c>
      <c r="B2036" s="3" t="n">
        <v>2026</v>
      </c>
      <c r="C2036" s="26" t="inlineStr">
        <is>
          <t>Yanara Power</t>
        </is>
      </c>
      <c r="D2036" s="3" t="inlineStr">
        <is>
          <t>Utility and C&amp;I</t>
        </is>
      </c>
      <c r="E2036" s="3" t="n"/>
      <c r="F2036" s="3" t="inlineStr">
        <is>
          <t>Closed</t>
        </is>
      </c>
      <c r="G2036" s="9" t="inlineStr">
        <is>
          <t xml:space="preserve">Ashish Jindal </t>
        </is>
      </c>
      <c r="H2036" s="26" t="n">
        <v>9983975581</v>
      </c>
      <c r="I2036" s="38" t="inlineStr">
        <is>
          <t>PE01052601</t>
        </is>
      </c>
      <c r="J2036" s="26" t="inlineStr">
        <is>
          <t>Multiple Issues</t>
        </is>
      </c>
      <c r="K2036" s="39" t="inlineStr">
        <is>
          <t>Holi</t>
        </is>
      </c>
      <c r="L2036" s="39" t="inlineStr">
        <is>
          <t>Maharashtra</t>
        </is>
      </c>
      <c r="M2036" s="46" t="inlineStr">
        <is>
          <t>PS</t>
        </is>
      </c>
      <c r="N2036" s="3" t="inlineStr">
        <is>
          <t>Cold Soldering</t>
        </is>
      </c>
      <c r="O2036" s="56" t="n">
        <v>575</v>
      </c>
      <c r="P2036" s="67" t="inlineStr">
        <is>
          <t>NSMI24070203541</t>
        </is>
      </c>
      <c r="Q2036" s="54">
        <f>MID(P2036,5,2)</f>
        <v/>
      </c>
      <c r="R2036" s="53">
        <f>MID(P2036,7,2)</f>
        <v/>
      </c>
      <c r="S2036" s="3" t="inlineStr">
        <is>
          <t>G2G</t>
        </is>
      </c>
      <c r="T2036" s="3" t="inlineStr">
        <is>
          <t>P4</t>
        </is>
      </c>
      <c r="U2036" s="19" t="inlineStr">
        <is>
          <t>P JB Cold Soldering</t>
        </is>
      </c>
      <c r="V2036" s="19" t="inlineStr">
        <is>
          <t>Soldering</t>
        </is>
      </c>
      <c r="W2036" s="3" t="inlineStr">
        <is>
          <t>Repair</t>
        </is>
      </c>
      <c r="X2036" s="18" t="n">
        <v>46167</v>
      </c>
      <c r="Y2036" s="3">
        <f>X2036-A2036</f>
        <v/>
      </c>
      <c r="Z2036" s="18" t="n">
        <v>46167</v>
      </c>
      <c r="AA2036" s="15" t="n"/>
      <c r="AB2036" s="15" t="n"/>
    </row>
    <row r="2037">
      <c r="A2037" s="37" t="n">
        <v>46143</v>
      </c>
      <c r="B2037" s="3" t="n">
        <v>2026</v>
      </c>
      <c r="C2037" s="26" t="inlineStr">
        <is>
          <t>Yanara Power</t>
        </is>
      </c>
      <c r="D2037" s="3" t="inlineStr">
        <is>
          <t>Utility and C&amp;I</t>
        </is>
      </c>
      <c r="E2037" s="3" t="n"/>
      <c r="F2037" s="3" t="inlineStr">
        <is>
          <t>Closed</t>
        </is>
      </c>
      <c r="G2037" s="9" t="inlineStr">
        <is>
          <t xml:space="preserve">Ashish Jindal </t>
        </is>
      </c>
      <c r="H2037" s="26" t="n">
        <v>9983975581</v>
      </c>
      <c r="I2037" s="38" t="inlineStr">
        <is>
          <t>PE01052601</t>
        </is>
      </c>
      <c r="J2037" s="26" t="inlineStr">
        <is>
          <t>Multiple Issues</t>
        </is>
      </c>
      <c r="K2037" s="39" t="inlineStr">
        <is>
          <t>Holi</t>
        </is>
      </c>
      <c r="L2037" s="39" t="inlineStr">
        <is>
          <t>Maharashtra</t>
        </is>
      </c>
      <c r="M2037" s="46" t="inlineStr">
        <is>
          <t>PS</t>
        </is>
      </c>
      <c r="N2037" s="3" t="inlineStr">
        <is>
          <t>Cold Soldering</t>
        </is>
      </c>
      <c r="O2037" s="56" t="n">
        <v>575</v>
      </c>
      <c r="P2037" s="67" t="inlineStr">
        <is>
          <t>NSMI24070194849</t>
        </is>
      </c>
      <c r="Q2037" s="54">
        <f>MID(P2037,5,2)</f>
        <v/>
      </c>
      <c r="R2037" s="53">
        <f>MID(P2037,7,2)</f>
        <v/>
      </c>
      <c r="S2037" s="3" t="inlineStr">
        <is>
          <t>G2G</t>
        </is>
      </c>
      <c r="T2037" s="3" t="inlineStr">
        <is>
          <t>P4</t>
        </is>
      </c>
      <c r="U2037" s="19" t="inlineStr">
        <is>
          <t>P JB Cold Soldering</t>
        </is>
      </c>
      <c r="V2037" s="19" t="inlineStr">
        <is>
          <t>Soldering</t>
        </is>
      </c>
      <c r="W2037" s="3" t="inlineStr">
        <is>
          <t>Repair</t>
        </is>
      </c>
      <c r="X2037" s="18" t="n">
        <v>46167</v>
      </c>
      <c r="Y2037" s="3">
        <f>X2037-A2037</f>
        <v/>
      </c>
      <c r="Z2037" s="18" t="n">
        <v>46167</v>
      </c>
      <c r="AA2037" s="15" t="n"/>
      <c r="AB2037" s="15" t="n"/>
    </row>
    <row r="2038">
      <c r="A2038" s="37" t="n">
        <v>46143</v>
      </c>
      <c r="B2038" s="3" t="n">
        <v>2026</v>
      </c>
      <c r="C2038" s="26" t="inlineStr">
        <is>
          <t>Yanara Power</t>
        </is>
      </c>
      <c r="D2038" s="3" t="inlineStr">
        <is>
          <t>Utility and C&amp;I</t>
        </is>
      </c>
      <c r="E2038" s="3" t="n"/>
      <c r="F2038" s="3" t="inlineStr">
        <is>
          <t>Closed</t>
        </is>
      </c>
      <c r="G2038" s="9" t="inlineStr">
        <is>
          <t xml:space="preserve">Ashish Jindal </t>
        </is>
      </c>
      <c r="H2038" s="26" t="n">
        <v>9983975581</v>
      </c>
      <c r="I2038" s="38" t="inlineStr">
        <is>
          <t>PE01052601</t>
        </is>
      </c>
      <c r="J2038" s="26" t="inlineStr">
        <is>
          <t>Multiple Issues</t>
        </is>
      </c>
      <c r="K2038" s="39" t="inlineStr">
        <is>
          <t>Holi</t>
        </is>
      </c>
      <c r="L2038" s="39" t="inlineStr">
        <is>
          <t>Maharashtra</t>
        </is>
      </c>
      <c r="M2038" s="47" t="inlineStr">
        <is>
          <t>PS</t>
        </is>
      </c>
      <c r="N2038" s="3" t="inlineStr">
        <is>
          <t>Cold Soldering</t>
        </is>
      </c>
      <c r="O2038" s="56" t="n">
        <v>575</v>
      </c>
      <c r="P2038" s="67" t="inlineStr">
        <is>
          <t>NSMI24070216771</t>
        </is>
      </c>
      <c r="Q2038" s="54">
        <f>MID(P2038,5,2)</f>
        <v/>
      </c>
      <c r="R2038" s="53">
        <f>MID(P2038,7,2)</f>
        <v/>
      </c>
      <c r="S2038" s="3" t="inlineStr">
        <is>
          <t>G2G</t>
        </is>
      </c>
      <c r="T2038" s="3" t="inlineStr">
        <is>
          <t>P4</t>
        </is>
      </c>
      <c r="U2038" s="19" t="inlineStr">
        <is>
          <t>P JB Cold Soldering</t>
        </is>
      </c>
      <c r="V2038" s="19" t="inlineStr">
        <is>
          <t>Soldering</t>
        </is>
      </c>
      <c r="W2038" s="3" t="inlineStr">
        <is>
          <t>Repair</t>
        </is>
      </c>
      <c r="X2038" s="18" t="n">
        <v>46167</v>
      </c>
      <c r="Y2038" s="3">
        <f>X2038-A2038</f>
        <v/>
      </c>
      <c r="Z2038" s="18" t="n">
        <v>46167</v>
      </c>
      <c r="AA2038" s="15" t="n"/>
      <c r="AB2038" s="15" t="n"/>
    </row>
    <row r="2039">
      <c r="A2039" s="37" t="n">
        <v>46143</v>
      </c>
      <c r="B2039" s="3" t="n">
        <v>2026</v>
      </c>
      <c r="C2039" s="26" t="inlineStr">
        <is>
          <t>Yanara Power</t>
        </is>
      </c>
      <c r="D2039" s="3" t="inlineStr">
        <is>
          <t>Utility and C&amp;I</t>
        </is>
      </c>
      <c r="E2039" s="3" t="n"/>
      <c r="F2039" s="3" t="inlineStr">
        <is>
          <t>Closed</t>
        </is>
      </c>
      <c r="G2039" s="9" t="inlineStr">
        <is>
          <t xml:space="preserve">Ashish Jindal </t>
        </is>
      </c>
      <c r="H2039" s="26" t="n">
        <v>9983975581</v>
      </c>
      <c r="I2039" s="38" t="inlineStr">
        <is>
          <t>PE01052601</t>
        </is>
      </c>
      <c r="J2039" s="26" t="inlineStr">
        <is>
          <t>Multiple Issues</t>
        </is>
      </c>
      <c r="K2039" s="39" t="inlineStr">
        <is>
          <t>Holi</t>
        </is>
      </c>
      <c r="L2039" s="39" t="inlineStr">
        <is>
          <t>Maharashtra</t>
        </is>
      </c>
      <c r="M2039" s="70" t="inlineStr">
        <is>
          <t>BUSBAR OPEN</t>
        </is>
      </c>
      <c r="N2039" s="19" t="inlineStr">
        <is>
          <t>String Busbar Open</t>
        </is>
      </c>
      <c r="O2039" s="56" t="n">
        <v>575</v>
      </c>
      <c r="P2039" s="67" t="inlineStr">
        <is>
          <t>NSMI24070203906</t>
        </is>
      </c>
      <c r="Q2039" s="54">
        <f>MID(P2039,5,2)</f>
        <v/>
      </c>
      <c r="R2039" s="53">
        <f>MID(P2039,7,2)</f>
        <v/>
      </c>
      <c r="S2039" s="3" t="inlineStr">
        <is>
          <t>G2G</t>
        </is>
      </c>
      <c r="T2039" s="3" t="inlineStr">
        <is>
          <t>P4</t>
        </is>
      </c>
      <c r="U2039" s="19" t="inlineStr">
        <is>
          <t>String Busbar Open</t>
        </is>
      </c>
      <c r="V2039" s="15" t="inlineStr">
        <is>
          <t>Inspection</t>
        </is>
      </c>
      <c r="W2039" s="15" t="inlineStr">
        <is>
          <t>WIP</t>
        </is>
      </c>
      <c r="X2039" s="18" t="n"/>
      <c r="Y2039" s="3">
        <f>X2039-A2039</f>
        <v/>
      </c>
      <c r="Z2039" s="18" t="n">
        <v>46167</v>
      </c>
      <c r="AA2039" s="15" t="n"/>
      <c r="AB2039" s="15" t="n"/>
    </row>
    <row r="2040">
      <c r="A2040" s="37" t="n">
        <v>46143</v>
      </c>
      <c r="B2040" s="3" t="n">
        <v>2026</v>
      </c>
      <c r="C2040" s="26" t="inlineStr">
        <is>
          <t>Yanara Power</t>
        </is>
      </c>
      <c r="D2040" s="3" t="inlineStr">
        <is>
          <t>Utility and C&amp;I</t>
        </is>
      </c>
      <c r="E2040" s="3" t="n"/>
      <c r="F2040" s="3" t="inlineStr">
        <is>
          <t>Closed</t>
        </is>
      </c>
      <c r="G2040" s="9" t="inlineStr">
        <is>
          <t xml:space="preserve">Ashish Jindal </t>
        </is>
      </c>
      <c r="H2040" s="26" t="n">
        <v>9983975581</v>
      </c>
      <c r="I2040" s="38" t="inlineStr">
        <is>
          <t>PE01052601</t>
        </is>
      </c>
      <c r="J2040" s="26" t="inlineStr">
        <is>
          <t>Multiple Issues</t>
        </is>
      </c>
      <c r="K2040" s="39" t="inlineStr">
        <is>
          <t>Holi</t>
        </is>
      </c>
      <c r="L2040" s="39" t="inlineStr">
        <is>
          <t>Maharashtra</t>
        </is>
      </c>
      <c r="M2040" s="69" t="inlineStr">
        <is>
          <t>NS</t>
        </is>
      </c>
      <c r="N2040" s="3" t="inlineStr">
        <is>
          <t>Cold Soldering</t>
        </is>
      </c>
      <c r="O2040" s="56" t="n">
        <v>575</v>
      </c>
      <c r="P2040" s="67" t="inlineStr">
        <is>
          <t>NSMI24070189634</t>
        </is>
      </c>
      <c r="Q2040" s="54">
        <f>MID(P2040,5,2)</f>
        <v/>
      </c>
      <c r="R2040" s="53">
        <f>MID(P2040,7,2)</f>
        <v/>
      </c>
      <c r="S2040" s="3" t="inlineStr">
        <is>
          <t>G2G</t>
        </is>
      </c>
      <c r="T2040" s="3" t="inlineStr">
        <is>
          <t>P4</t>
        </is>
      </c>
      <c r="U2040" s="3" t="inlineStr">
        <is>
          <t>N JB Cold Soldering</t>
        </is>
      </c>
      <c r="V2040" s="3" t="inlineStr">
        <is>
          <t>Soldering</t>
        </is>
      </c>
      <c r="W2040" s="3" t="inlineStr">
        <is>
          <t>Repair</t>
        </is>
      </c>
      <c r="X2040" s="18" t="n">
        <v>46167</v>
      </c>
      <c r="Y2040" s="3">
        <f>X2040-A2040</f>
        <v/>
      </c>
      <c r="Z2040" s="18" t="n">
        <v>46167</v>
      </c>
      <c r="AA2040" s="15" t="n"/>
      <c r="AB2040" s="15" t="n"/>
    </row>
    <row r="2041">
      <c r="A2041" s="37" t="n">
        <v>46143</v>
      </c>
      <c r="B2041" s="3" t="n">
        <v>2026</v>
      </c>
      <c r="C2041" s="26" t="inlineStr">
        <is>
          <t>Yanara Power</t>
        </is>
      </c>
      <c r="D2041" s="3" t="inlineStr">
        <is>
          <t>Utility and C&amp;I</t>
        </is>
      </c>
      <c r="E2041" s="3" t="n"/>
      <c r="F2041" s="3" t="inlineStr">
        <is>
          <t>Closed</t>
        </is>
      </c>
      <c r="G2041" s="9" t="inlineStr">
        <is>
          <t xml:space="preserve">Ashish Jindal </t>
        </is>
      </c>
      <c r="H2041" s="26" t="n">
        <v>9983975581</v>
      </c>
      <c r="I2041" s="38" t="inlineStr">
        <is>
          <t>PE01052601</t>
        </is>
      </c>
      <c r="J2041" s="26" t="inlineStr">
        <is>
          <t>Multiple Issues</t>
        </is>
      </c>
      <c r="K2041" s="39" t="inlineStr">
        <is>
          <t>Holi</t>
        </is>
      </c>
      <c r="L2041" s="39" t="inlineStr">
        <is>
          <t>Maharashtra</t>
        </is>
      </c>
      <c r="M2041" s="46" t="inlineStr">
        <is>
          <t>PS</t>
        </is>
      </c>
      <c r="N2041" s="3" t="inlineStr">
        <is>
          <t>Cold Soldering</t>
        </is>
      </c>
      <c r="O2041" s="56" t="n">
        <v>575</v>
      </c>
      <c r="P2041" s="67" t="inlineStr">
        <is>
          <t>NSMI24070178173</t>
        </is>
      </c>
      <c r="Q2041" s="54">
        <f>MID(P2041,5,2)</f>
        <v/>
      </c>
      <c r="R2041" s="53">
        <f>MID(P2041,7,2)</f>
        <v/>
      </c>
      <c r="S2041" s="3" t="inlineStr">
        <is>
          <t>G2G</t>
        </is>
      </c>
      <c r="T2041" s="3" t="inlineStr">
        <is>
          <t>P4</t>
        </is>
      </c>
      <c r="U2041" s="19" t="inlineStr">
        <is>
          <t>P JB Cold Soldering</t>
        </is>
      </c>
      <c r="V2041" s="19" t="inlineStr">
        <is>
          <t>Soldering</t>
        </is>
      </c>
      <c r="W2041" s="3" t="inlineStr">
        <is>
          <t>Repair</t>
        </is>
      </c>
      <c r="X2041" s="18" t="n">
        <v>46167</v>
      </c>
      <c r="Y2041" s="3">
        <f>X2041-A2041</f>
        <v/>
      </c>
      <c r="Z2041" s="18" t="n">
        <v>46167</v>
      </c>
      <c r="AA2041" s="15" t="n"/>
      <c r="AB2041" s="15" t="n"/>
    </row>
    <row r="2042">
      <c r="A2042" s="37" t="n">
        <v>46143</v>
      </c>
      <c r="B2042" s="3" t="n">
        <v>2026</v>
      </c>
      <c r="C2042" s="26" t="inlineStr">
        <is>
          <t>Yanara Power</t>
        </is>
      </c>
      <c r="D2042" s="3" t="inlineStr">
        <is>
          <t>Utility and C&amp;I</t>
        </is>
      </c>
      <c r="E2042" s="3" t="n"/>
      <c r="F2042" s="3" t="inlineStr">
        <is>
          <t>Closed</t>
        </is>
      </c>
      <c r="G2042" s="9" t="inlineStr">
        <is>
          <t xml:space="preserve">Ashish Jindal </t>
        </is>
      </c>
      <c r="H2042" s="26" t="n">
        <v>9983975581</v>
      </c>
      <c r="I2042" s="38" t="inlineStr">
        <is>
          <t>PE01052601</t>
        </is>
      </c>
      <c r="J2042" s="26" t="inlineStr">
        <is>
          <t>Multiple Issues</t>
        </is>
      </c>
      <c r="K2042" s="39" t="inlineStr">
        <is>
          <t>Holi</t>
        </is>
      </c>
      <c r="L2042" s="39" t="inlineStr">
        <is>
          <t>Maharashtra</t>
        </is>
      </c>
      <c r="M2042" s="46" t="inlineStr">
        <is>
          <t>NS</t>
        </is>
      </c>
      <c r="N2042" s="3" t="inlineStr">
        <is>
          <t>Cold Soldering</t>
        </is>
      </c>
      <c r="O2042" s="56" t="n">
        <v>575</v>
      </c>
      <c r="P2042" s="67" t="inlineStr">
        <is>
          <t>NSMI24070189681</t>
        </is>
      </c>
      <c r="Q2042" s="54">
        <f>MID(P2042,5,2)</f>
        <v/>
      </c>
      <c r="R2042" s="53">
        <f>MID(P2042,7,2)</f>
        <v/>
      </c>
      <c r="S2042" s="3" t="inlineStr">
        <is>
          <t>G2G</t>
        </is>
      </c>
      <c r="T2042" s="3" t="inlineStr">
        <is>
          <t>P4</t>
        </is>
      </c>
      <c r="U2042" s="3" t="inlineStr">
        <is>
          <t>N JB Cold Soldering</t>
        </is>
      </c>
      <c r="V2042" s="3" t="inlineStr">
        <is>
          <t>Soldering</t>
        </is>
      </c>
      <c r="W2042" s="3" t="inlineStr">
        <is>
          <t>Repair</t>
        </is>
      </c>
      <c r="X2042" s="18" t="n">
        <v>46167</v>
      </c>
      <c r="Y2042" s="3">
        <f>X2042-A2042</f>
        <v/>
      </c>
      <c r="Z2042" s="18" t="n">
        <v>46167</v>
      </c>
      <c r="AA2042" s="15" t="n"/>
      <c r="AB2042" s="15" t="n"/>
    </row>
    <row r="2043">
      <c r="A2043" s="37" t="n">
        <v>46143</v>
      </c>
      <c r="B2043" s="3" t="n">
        <v>2026</v>
      </c>
      <c r="C2043" s="26" t="inlineStr">
        <is>
          <t>Yanara Power</t>
        </is>
      </c>
      <c r="D2043" s="3" t="inlineStr">
        <is>
          <t>Utility and C&amp;I</t>
        </is>
      </c>
      <c r="E2043" s="3" t="n"/>
      <c r="F2043" s="3" t="inlineStr">
        <is>
          <t>Closed</t>
        </is>
      </c>
      <c r="G2043" s="9" t="inlineStr">
        <is>
          <t xml:space="preserve">Ashish Jindal </t>
        </is>
      </c>
      <c r="H2043" s="26" t="n">
        <v>9983975581</v>
      </c>
      <c r="I2043" s="38" t="inlineStr">
        <is>
          <t>PE01052601</t>
        </is>
      </c>
      <c r="J2043" s="26" t="inlineStr">
        <is>
          <t>Multiple Issues</t>
        </is>
      </c>
      <c r="K2043" s="39" t="inlineStr">
        <is>
          <t>Holi</t>
        </is>
      </c>
      <c r="L2043" s="39" t="inlineStr">
        <is>
          <t>Maharashtra</t>
        </is>
      </c>
      <c r="M2043" s="46" t="inlineStr">
        <is>
          <t>PS</t>
        </is>
      </c>
      <c r="N2043" s="3" t="inlineStr">
        <is>
          <t>Cold Soldering</t>
        </is>
      </c>
      <c r="O2043" s="56" t="n">
        <v>575</v>
      </c>
      <c r="P2043" s="67" t="inlineStr">
        <is>
          <t>NSMI24070195413</t>
        </is>
      </c>
      <c r="Q2043" s="54">
        <f>MID(P2043,5,2)</f>
        <v/>
      </c>
      <c r="R2043" s="53">
        <f>MID(P2043,7,2)</f>
        <v/>
      </c>
      <c r="S2043" s="3" t="inlineStr">
        <is>
          <t>G2G</t>
        </is>
      </c>
      <c r="T2043" s="3" t="inlineStr">
        <is>
          <t>P4</t>
        </is>
      </c>
      <c r="U2043" s="19" t="inlineStr">
        <is>
          <t>P JB Cold Soldering</t>
        </is>
      </c>
      <c r="V2043" s="19" t="inlineStr">
        <is>
          <t>Soldering</t>
        </is>
      </c>
      <c r="W2043" s="3" t="inlineStr">
        <is>
          <t>Repair</t>
        </is>
      </c>
      <c r="X2043" s="18" t="n">
        <v>46167</v>
      </c>
      <c r="Y2043" s="3">
        <f>X2043-A2043</f>
        <v/>
      </c>
      <c r="Z2043" s="18" t="n">
        <v>46167</v>
      </c>
      <c r="AA2043" s="15" t="n"/>
      <c r="AB2043" s="15" t="n"/>
    </row>
    <row r="2044">
      <c r="A2044" s="37" t="n">
        <v>46143</v>
      </c>
      <c r="B2044" s="3" t="n">
        <v>2026</v>
      </c>
      <c r="C2044" s="26" t="inlineStr">
        <is>
          <t>Yanara Power</t>
        </is>
      </c>
      <c r="D2044" s="3" t="inlineStr">
        <is>
          <t>Utility and C&amp;I</t>
        </is>
      </c>
      <c r="E2044" s="3" t="n"/>
      <c r="F2044" s="3" t="inlineStr">
        <is>
          <t>Closed</t>
        </is>
      </c>
      <c r="G2044" s="9" t="inlineStr">
        <is>
          <t xml:space="preserve">Ashish Jindal </t>
        </is>
      </c>
      <c r="H2044" s="26" t="n">
        <v>9983975581</v>
      </c>
      <c r="I2044" s="38" t="inlineStr">
        <is>
          <t>PE01052601</t>
        </is>
      </c>
      <c r="J2044" s="26" t="inlineStr">
        <is>
          <t>Multiple Issues</t>
        </is>
      </c>
      <c r="K2044" s="39" t="inlineStr">
        <is>
          <t>Holi</t>
        </is>
      </c>
      <c r="L2044" s="39" t="inlineStr">
        <is>
          <t>Maharashtra</t>
        </is>
      </c>
      <c r="M2044" s="46" t="inlineStr">
        <is>
          <t>PS</t>
        </is>
      </c>
      <c r="N2044" s="3" t="inlineStr">
        <is>
          <t>Cold Soldering</t>
        </is>
      </c>
      <c r="O2044" s="56" t="n">
        <v>575</v>
      </c>
      <c r="P2044" s="67" t="inlineStr">
        <is>
          <t>NSMI24070216486</t>
        </is>
      </c>
      <c r="Q2044" s="54">
        <f>MID(P2044,5,2)</f>
        <v/>
      </c>
      <c r="R2044" s="53">
        <f>MID(P2044,7,2)</f>
        <v/>
      </c>
      <c r="S2044" s="3" t="inlineStr">
        <is>
          <t>G2G</t>
        </is>
      </c>
      <c r="T2044" s="3" t="inlineStr">
        <is>
          <t>P4</t>
        </is>
      </c>
      <c r="U2044" s="19" t="inlineStr">
        <is>
          <t>P JB Cold Soldering</t>
        </is>
      </c>
      <c r="V2044" s="19" t="inlineStr">
        <is>
          <t>Soldering</t>
        </is>
      </c>
      <c r="W2044" s="3" t="inlineStr">
        <is>
          <t>Repair</t>
        </is>
      </c>
      <c r="X2044" s="18" t="n">
        <v>46167</v>
      </c>
      <c r="Y2044" s="3">
        <f>X2044-A2044</f>
        <v/>
      </c>
      <c r="Z2044" s="18" t="n">
        <v>46167</v>
      </c>
      <c r="AA2044" s="15" t="n"/>
      <c r="AB2044" s="15" t="n"/>
    </row>
    <row r="2045">
      <c r="A2045" s="37" t="n">
        <v>46143</v>
      </c>
      <c r="B2045" s="3" t="n">
        <v>2026</v>
      </c>
      <c r="C2045" s="26" t="inlineStr">
        <is>
          <t>Yanara Power</t>
        </is>
      </c>
      <c r="D2045" s="3" t="inlineStr">
        <is>
          <t>Utility and C&amp;I</t>
        </is>
      </c>
      <c r="E2045" s="3" t="n"/>
      <c r="F2045" s="3" t="inlineStr">
        <is>
          <t>Closed</t>
        </is>
      </c>
      <c r="G2045" s="9" t="inlineStr">
        <is>
          <t xml:space="preserve">Ashish Jindal </t>
        </is>
      </c>
      <c r="H2045" s="26" t="n">
        <v>9983975581</v>
      </c>
      <c r="I2045" s="38" t="inlineStr">
        <is>
          <t>PE01052601</t>
        </is>
      </c>
      <c r="J2045" s="26" t="inlineStr">
        <is>
          <t>Multiple Issues</t>
        </is>
      </c>
      <c r="K2045" s="39" t="inlineStr">
        <is>
          <t>Holi</t>
        </is>
      </c>
      <c r="L2045" s="39" t="inlineStr">
        <is>
          <t>Maharashtra</t>
        </is>
      </c>
      <c r="M2045" s="46" t="inlineStr">
        <is>
          <t>PS</t>
        </is>
      </c>
      <c r="N2045" s="3" t="inlineStr">
        <is>
          <t>Cold Soldering</t>
        </is>
      </c>
      <c r="O2045" s="56" t="n">
        <v>575</v>
      </c>
      <c r="P2045" s="67" t="inlineStr">
        <is>
          <t>NSMI24070177569</t>
        </is>
      </c>
      <c r="Q2045" s="54">
        <f>MID(P2045,5,2)</f>
        <v/>
      </c>
      <c r="R2045" s="53">
        <f>MID(P2045,7,2)</f>
        <v/>
      </c>
      <c r="S2045" s="3" t="inlineStr">
        <is>
          <t>G2G</t>
        </is>
      </c>
      <c r="T2045" s="3" t="inlineStr">
        <is>
          <t>P4</t>
        </is>
      </c>
      <c r="U2045" s="19" t="inlineStr">
        <is>
          <t>P JB Cold Soldering</t>
        </is>
      </c>
      <c r="V2045" s="19" t="inlineStr">
        <is>
          <t>Soldering</t>
        </is>
      </c>
      <c r="W2045" s="3" t="inlineStr">
        <is>
          <t>Repair</t>
        </is>
      </c>
      <c r="X2045" s="18" t="n">
        <v>46167</v>
      </c>
      <c r="Y2045" s="3">
        <f>X2045-A2045</f>
        <v/>
      </c>
      <c r="Z2045" s="18" t="n">
        <v>46167</v>
      </c>
      <c r="AA2045" s="15" t="n"/>
      <c r="AB2045" s="15" t="n"/>
    </row>
    <row r="2046">
      <c r="A2046" s="37" t="n">
        <v>46143</v>
      </c>
      <c r="B2046" s="3" t="n">
        <v>2026</v>
      </c>
      <c r="C2046" s="26" t="inlineStr">
        <is>
          <t>Yanara Power</t>
        </is>
      </c>
      <c r="D2046" s="3" t="inlineStr">
        <is>
          <t>Utility and C&amp;I</t>
        </is>
      </c>
      <c r="E2046" s="3" t="n"/>
      <c r="F2046" s="3" t="inlineStr">
        <is>
          <t>Closed</t>
        </is>
      </c>
      <c r="G2046" s="9" t="inlineStr">
        <is>
          <t xml:space="preserve">Ashish Jindal </t>
        </is>
      </c>
      <c r="H2046" s="26" t="n">
        <v>9983975581</v>
      </c>
      <c r="I2046" s="38" t="inlineStr">
        <is>
          <t>PE01052601</t>
        </is>
      </c>
      <c r="J2046" s="26" t="inlineStr">
        <is>
          <t>Multiple Issues</t>
        </is>
      </c>
      <c r="K2046" s="39" t="inlineStr">
        <is>
          <t>Holi</t>
        </is>
      </c>
      <c r="L2046" s="39" t="inlineStr">
        <is>
          <t>Maharashtra</t>
        </is>
      </c>
      <c r="M2046" s="46" t="inlineStr">
        <is>
          <t>NS</t>
        </is>
      </c>
      <c r="N2046" s="3" t="inlineStr">
        <is>
          <t>Cold Soldering</t>
        </is>
      </c>
      <c r="O2046" s="56" t="n">
        <v>575</v>
      </c>
      <c r="P2046" s="67" t="inlineStr">
        <is>
          <t>NSMI24070216686</t>
        </is>
      </c>
      <c r="Q2046" s="54">
        <f>MID(P2046,5,2)</f>
        <v/>
      </c>
      <c r="R2046" s="53">
        <f>MID(P2046,7,2)</f>
        <v/>
      </c>
      <c r="S2046" s="3" t="inlineStr">
        <is>
          <t>G2G</t>
        </is>
      </c>
      <c r="T2046" s="3" t="inlineStr">
        <is>
          <t>P4</t>
        </is>
      </c>
      <c r="U2046" s="3" t="inlineStr">
        <is>
          <t>N JB Cold Soldering</t>
        </is>
      </c>
      <c r="V2046" s="3" t="inlineStr">
        <is>
          <t>Soldering</t>
        </is>
      </c>
      <c r="W2046" s="3" t="inlineStr">
        <is>
          <t>Repair</t>
        </is>
      </c>
      <c r="X2046" s="18" t="n">
        <v>46167</v>
      </c>
      <c r="Y2046" s="3">
        <f>X2046-A2046</f>
        <v/>
      </c>
      <c r="Z2046" s="18" t="n">
        <v>46167</v>
      </c>
      <c r="AA2046" s="15" t="n"/>
      <c r="AB2046" s="15" t="n"/>
    </row>
    <row r="2047">
      <c r="A2047" s="37" t="n">
        <v>46143</v>
      </c>
      <c r="B2047" s="3" t="n">
        <v>2026</v>
      </c>
      <c r="C2047" s="26" t="inlineStr">
        <is>
          <t>Yanara Power</t>
        </is>
      </c>
      <c r="D2047" s="3" t="inlineStr">
        <is>
          <t>Utility and C&amp;I</t>
        </is>
      </c>
      <c r="E2047" s="3" t="n"/>
      <c r="F2047" s="3" t="inlineStr">
        <is>
          <t>Closed</t>
        </is>
      </c>
      <c r="G2047" s="9" t="inlineStr">
        <is>
          <t xml:space="preserve">Ashish Jindal </t>
        </is>
      </c>
      <c r="H2047" s="26" t="n">
        <v>9983975581</v>
      </c>
      <c r="I2047" s="38" t="inlineStr">
        <is>
          <t>PE01052601</t>
        </is>
      </c>
      <c r="J2047" s="26" t="inlineStr">
        <is>
          <t>Multiple Issues</t>
        </is>
      </c>
      <c r="K2047" s="39" t="inlineStr">
        <is>
          <t>Holi</t>
        </is>
      </c>
      <c r="L2047" s="39" t="inlineStr">
        <is>
          <t>Maharashtra</t>
        </is>
      </c>
      <c r="M2047" s="46" t="inlineStr">
        <is>
          <t>PS</t>
        </is>
      </c>
      <c r="N2047" s="3" t="inlineStr">
        <is>
          <t>Cold Soldering</t>
        </is>
      </c>
      <c r="O2047" s="56" t="n">
        <v>575</v>
      </c>
      <c r="P2047" s="67" t="inlineStr">
        <is>
          <t>NSMI24070216685</t>
        </is>
      </c>
      <c r="Q2047" s="54">
        <f>MID(P2047,5,2)</f>
        <v/>
      </c>
      <c r="R2047" s="53">
        <f>MID(P2047,7,2)</f>
        <v/>
      </c>
      <c r="S2047" s="3" t="inlineStr">
        <is>
          <t>G2G</t>
        </is>
      </c>
      <c r="T2047" s="3" t="inlineStr">
        <is>
          <t>P4</t>
        </is>
      </c>
      <c r="U2047" s="19" t="inlineStr">
        <is>
          <t>P JB Cold Soldering</t>
        </is>
      </c>
      <c r="V2047" s="19" t="inlineStr">
        <is>
          <t>Soldering</t>
        </is>
      </c>
      <c r="W2047" s="3" t="inlineStr">
        <is>
          <t>Repair</t>
        </is>
      </c>
      <c r="X2047" s="18" t="n">
        <v>46167</v>
      </c>
      <c r="Y2047" s="3">
        <f>X2047-A2047</f>
        <v/>
      </c>
      <c r="Z2047" s="18" t="n">
        <v>46167</v>
      </c>
      <c r="AA2047" s="15" t="n"/>
      <c r="AB2047" s="15" t="n"/>
    </row>
    <row r="2048">
      <c r="A2048" s="37" t="n">
        <v>46143</v>
      </c>
      <c r="B2048" s="3" t="n">
        <v>2026</v>
      </c>
      <c r="C2048" s="26" t="inlineStr">
        <is>
          <t>Yanara Power</t>
        </is>
      </c>
      <c r="D2048" s="3" t="inlineStr">
        <is>
          <t>Utility and C&amp;I</t>
        </is>
      </c>
      <c r="E2048" s="3" t="n"/>
      <c r="F2048" s="3" t="inlineStr">
        <is>
          <t>Closed</t>
        </is>
      </c>
      <c r="G2048" s="9" t="inlineStr">
        <is>
          <t xml:space="preserve">Ashish Jindal </t>
        </is>
      </c>
      <c r="H2048" s="26" t="n">
        <v>9983975581</v>
      </c>
      <c r="I2048" s="38" t="inlineStr">
        <is>
          <t>PE01052601</t>
        </is>
      </c>
      <c r="J2048" s="26" t="inlineStr">
        <is>
          <t>Multiple Issues</t>
        </is>
      </c>
      <c r="K2048" s="39" t="inlineStr">
        <is>
          <t>Holi</t>
        </is>
      </c>
      <c r="L2048" s="39" t="inlineStr">
        <is>
          <t>Maharashtra</t>
        </is>
      </c>
      <c r="M2048" s="46" t="inlineStr">
        <is>
          <t>PS</t>
        </is>
      </c>
      <c r="N2048" s="3" t="inlineStr">
        <is>
          <t>Cold Soldering</t>
        </is>
      </c>
      <c r="O2048" s="56" t="n">
        <v>575</v>
      </c>
      <c r="P2048" s="67" t="inlineStr">
        <is>
          <t>NSMI24070216450</t>
        </is>
      </c>
      <c r="Q2048" s="54">
        <f>MID(P2048,5,2)</f>
        <v/>
      </c>
      <c r="R2048" s="53">
        <f>MID(P2048,7,2)</f>
        <v/>
      </c>
      <c r="S2048" s="3" t="inlineStr">
        <is>
          <t>G2G</t>
        </is>
      </c>
      <c r="T2048" s="3" t="inlineStr">
        <is>
          <t>P4</t>
        </is>
      </c>
      <c r="U2048" s="19" t="inlineStr">
        <is>
          <t>P JB Cold Soldering</t>
        </is>
      </c>
      <c r="V2048" s="19" t="inlineStr">
        <is>
          <t>Soldering</t>
        </is>
      </c>
      <c r="W2048" s="3" t="inlineStr">
        <is>
          <t>Repair</t>
        </is>
      </c>
      <c r="X2048" s="18" t="n">
        <v>46167</v>
      </c>
      <c r="Y2048" s="3">
        <f>X2048-A2048</f>
        <v/>
      </c>
      <c r="Z2048" s="18" t="n">
        <v>46167</v>
      </c>
      <c r="AA2048" s="15" t="n"/>
      <c r="AB2048" s="15" t="n"/>
    </row>
    <row r="2049">
      <c r="A2049" s="37" t="n">
        <v>46143</v>
      </c>
      <c r="B2049" s="3" t="n">
        <v>2026</v>
      </c>
      <c r="C2049" s="26" t="inlineStr">
        <is>
          <t>Yanara Power</t>
        </is>
      </c>
      <c r="D2049" s="3" t="inlineStr">
        <is>
          <t>Utility and C&amp;I</t>
        </is>
      </c>
      <c r="E2049" s="3" t="n"/>
      <c r="F2049" s="3" t="inlineStr">
        <is>
          <t>Closed</t>
        </is>
      </c>
      <c r="G2049" s="9" t="inlineStr">
        <is>
          <t xml:space="preserve">Ashish Jindal </t>
        </is>
      </c>
      <c r="H2049" s="26" t="n">
        <v>9983975581</v>
      </c>
      <c r="I2049" s="38" t="inlineStr">
        <is>
          <t>PE01052601</t>
        </is>
      </c>
      <c r="J2049" s="26" t="inlineStr">
        <is>
          <t>Multiple Issues</t>
        </is>
      </c>
      <c r="K2049" s="39" t="inlineStr">
        <is>
          <t>Holi</t>
        </is>
      </c>
      <c r="L2049" s="39" t="inlineStr">
        <is>
          <t>Maharashtra</t>
        </is>
      </c>
      <c r="M2049" s="46" t="inlineStr">
        <is>
          <t>PS</t>
        </is>
      </c>
      <c r="N2049" s="3" t="inlineStr">
        <is>
          <t>Cold Soldering</t>
        </is>
      </c>
      <c r="O2049" s="56" t="n">
        <v>575</v>
      </c>
      <c r="P2049" s="67" t="inlineStr">
        <is>
          <t>NSMI24070184180</t>
        </is>
      </c>
      <c r="Q2049" s="54">
        <f>MID(P2049,5,2)</f>
        <v/>
      </c>
      <c r="R2049" s="53">
        <f>MID(P2049,7,2)</f>
        <v/>
      </c>
      <c r="S2049" s="3" t="inlineStr">
        <is>
          <t>G2G</t>
        </is>
      </c>
      <c r="T2049" s="3" t="inlineStr">
        <is>
          <t>P4</t>
        </is>
      </c>
      <c r="U2049" s="19" t="inlineStr">
        <is>
          <t>P JB Cold Soldering</t>
        </is>
      </c>
      <c r="V2049" s="19" t="inlineStr">
        <is>
          <t>Soldering</t>
        </is>
      </c>
      <c r="W2049" s="3" t="inlineStr">
        <is>
          <t>Repair</t>
        </is>
      </c>
      <c r="X2049" s="18" t="n">
        <v>46167</v>
      </c>
      <c r="Y2049" s="3">
        <f>X2049-A2049</f>
        <v/>
      </c>
      <c r="Z2049" s="18" t="n">
        <v>46167</v>
      </c>
      <c r="AA2049" s="15" t="n"/>
      <c r="AB2049" s="15" t="n"/>
    </row>
    <row r="2050">
      <c r="A2050" s="37" t="n">
        <v>46143</v>
      </c>
      <c r="B2050" s="3" t="n">
        <v>2026</v>
      </c>
      <c r="C2050" s="26" t="inlineStr">
        <is>
          <t>Yanara Power</t>
        </is>
      </c>
      <c r="D2050" s="3" t="inlineStr">
        <is>
          <t>Utility and C&amp;I</t>
        </is>
      </c>
      <c r="E2050" s="3" t="n"/>
      <c r="F2050" s="3" t="inlineStr">
        <is>
          <t>Closed</t>
        </is>
      </c>
      <c r="G2050" s="9" t="inlineStr">
        <is>
          <t xml:space="preserve">Ashish Jindal </t>
        </is>
      </c>
      <c r="H2050" s="26" t="n">
        <v>9983975581</v>
      </c>
      <c r="I2050" s="38" t="inlineStr">
        <is>
          <t>PE01052601</t>
        </is>
      </c>
      <c r="J2050" s="26" t="inlineStr">
        <is>
          <t>Multiple Issues</t>
        </is>
      </c>
      <c r="K2050" s="39" t="inlineStr">
        <is>
          <t>Holi</t>
        </is>
      </c>
      <c r="L2050" s="39" t="inlineStr">
        <is>
          <t>Maharashtra</t>
        </is>
      </c>
      <c r="M2050" s="46" t="inlineStr">
        <is>
          <t>PS</t>
        </is>
      </c>
      <c r="N2050" s="3" t="inlineStr">
        <is>
          <t>Cold Soldering</t>
        </is>
      </c>
      <c r="O2050" s="56" t="n">
        <v>575</v>
      </c>
      <c r="P2050" s="67" t="inlineStr">
        <is>
          <t>NSMI24070189812</t>
        </is>
      </c>
      <c r="Q2050" s="54">
        <f>MID(P2050,5,2)</f>
        <v/>
      </c>
      <c r="R2050" s="53">
        <f>MID(P2050,7,2)</f>
        <v/>
      </c>
      <c r="S2050" s="3" t="inlineStr">
        <is>
          <t>G2G</t>
        </is>
      </c>
      <c r="T2050" s="3" t="inlineStr">
        <is>
          <t>P4</t>
        </is>
      </c>
      <c r="U2050" s="19" t="inlineStr">
        <is>
          <t>P JB Cold Soldering</t>
        </is>
      </c>
      <c r="V2050" s="19" t="inlineStr">
        <is>
          <t>Soldering</t>
        </is>
      </c>
      <c r="W2050" s="3" t="inlineStr">
        <is>
          <t>Repair</t>
        </is>
      </c>
      <c r="X2050" s="18" t="n">
        <v>46167</v>
      </c>
      <c r="Y2050" s="3">
        <f>X2050-A2050</f>
        <v/>
      </c>
      <c r="Z2050" s="18" t="n">
        <v>46167</v>
      </c>
      <c r="AA2050" s="15" t="n"/>
      <c r="AB2050" s="15" t="n"/>
    </row>
    <row r="2051">
      <c r="A2051" s="37" t="n">
        <v>46143</v>
      </c>
      <c r="B2051" s="3" t="n">
        <v>2026</v>
      </c>
      <c r="C2051" s="26" t="inlineStr">
        <is>
          <t>Yanara Power</t>
        </is>
      </c>
      <c r="D2051" s="3" t="inlineStr">
        <is>
          <t>Utility and C&amp;I</t>
        </is>
      </c>
      <c r="E2051" s="3" t="n"/>
      <c r="F2051" s="3" t="inlineStr">
        <is>
          <t>Closed</t>
        </is>
      </c>
      <c r="G2051" s="9" t="inlineStr">
        <is>
          <t xml:space="preserve">Ashish Jindal </t>
        </is>
      </c>
      <c r="H2051" s="26" t="n">
        <v>9983975581</v>
      </c>
      <c r="I2051" s="38" t="inlineStr">
        <is>
          <t>PE01052601</t>
        </is>
      </c>
      <c r="J2051" s="26" t="inlineStr">
        <is>
          <t>Multiple Issues</t>
        </is>
      </c>
      <c r="K2051" s="39" t="inlineStr">
        <is>
          <t>Holi</t>
        </is>
      </c>
      <c r="L2051" s="39" t="inlineStr">
        <is>
          <t>Maharashtra</t>
        </is>
      </c>
      <c r="M2051" s="46" t="inlineStr">
        <is>
          <t>NS</t>
        </is>
      </c>
      <c r="N2051" s="3" t="inlineStr">
        <is>
          <t>Cold Soldering</t>
        </is>
      </c>
      <c r="O2051" s="56" t="n">
        <v>575</v>
      </c>
      <c r="P2051" s="67" t="inlineStr">
        <is>
          <t>NSMI24070189863</t>
        </is>
      </c>
      <c r="Q2051" s="54">
        <f>MID(P2051,5,2)</f>
        <v/>
      </c>
      <c r="R2051" s="53">
        <f>MID(P2051,7,2)</f>
        <v/>
      </c>
      <c r="S2051" s="3" t="inlineStr">
        <is>
          <t>G2G</t>
        </is>
      </c>
      <c r="T2051" s="3" t="inlineStr">
        <is>
          <t>P4</t>
        </is>
      </c>
      <c r="U2051" s="3" t="inlineStr">
        <is>
          <t>N JB Cold Soldering</t>
        </is>
      </c>
      <c r="V2051" s="3" t="inlineStr">
        <is>
          <t>Soldering</t>
        </is>
      </c>
      <c r="W2051" s="3" t="inlineStr">
        <is>
          <t>Repair</t>
        </is>
      </c>
      <c r="X2051" s="18" t="n">
        <v>46167</v>
      </c>
      <c r="Y2051" s="3">
        <f>X2051-A2051</f>
        <v/>
      </c>
      <c r="Z2051" s="18" t="n">
        <v>46167</v>
      </c>
      <c r="AA2051" s="15" t="n"/>
      <c r="AB2051" s="15" t="n"/>
    </row>
    <row r="2052">
      <c r="A2052" s="37" t="n">
        <v>46143</v>
      </c>
      <c r="B2052" s="3" t="n">
        <v>2026</v>
      </c>
      <c r="C2052" s="26" t="inlineStr">
        <is>
          <t>Yanara Power</t>
        </is>
      </c>
      <c r="D2052" s="3" t="inlineStr">
        <is>
          <t>Utility and C&amp;I</t>
        </is>
      </c>
      <c r="E2052" s="3" t="n"/>
      <c r="F2052" s="3" t="inlineStr">
        <is>
          <t>Closed</t>
        </is>
      </c>
      <c r="G2052" s="9" t="inlineStr">
        <is>
          <t xml:space="preserve">Ashish Jindal </t>
        </is>
      </c>
      <c r="H2052" s="26" t="n">
        <v>9983975581</v>
      </c>
      <c r="I2052" s="38" t="inlineStr">
        <is>
          <t>PE01052601</t>
        </is>
      </c>
      <c r="J2052" s="26" t="inlineStr">
        <is>
          <t>Multiple Issues</t>
        </is>
      </c>
      <c r="K2052" s="39" t="inlineStr">
        <is>
          <t>Holi</t>
        </is>
      </c>
      <c r="L2052" s="39" t="inlineStr">
        <is>
          <t>Maharashtra</t>
        </is>
      </c>
      <c r="M2052" s="46" t="inlineStr">
        <is>
          <t>PS</t>
        </is>
      </c>
      <c r="N2052" s="3" t="inlineStr">
        <is>
          <t>Cold Soldering</t>
        </is>
      </c>
      <c r="O2052" s="56" t="n">
        <v>575</v>
      </c>
      <c r="P2052" s="67" t="inlineStr">
        <is>
          <t>NSMI24070179169</t>
        </is>
      </c>
      <c r="Q2052" s="54">
        <f>MID(P2052,5,2)</f>
        <v/>
      </c>
      <c r="R2052" s="53">
        <f>MID(P2052,7,2)</f>
        <v/>
      </c>
      <c r="S2052" s="3" t="inlineStr">
        <is>
          <t>G2G</t>
        </is>
      </c>
      <c r="T2052" s="3" t="inlineStr">
        <is>
          <t>P4</t>
        </is>
      </c>
      <c r="U2052" s="19" t="inlineStr">
        <is>
          <t>P JB Cold Soldering</t>
        </is>
      </c>
      <c r="V2052" s="19" t="inlineStr">
        <is>
          <t>Soldering</t>
        </is>
      </c>
      <c r="W2052" s="3" t="inlineStr">
        <is>
          <t>Repair</t>
        </is>
      </c>
      <c r="X2052" s="18" t="n">
        <v>46167</v>
      </c>
      <c r="Y2052" s="3">
        <f>X2052-A2052</f>
        <v/>
      </c>
      <c r="Z2052" s="18" t="n">
        <v>46167</v>
      </c>
      <c r="AA2052" s="15" t="n"/>
      <c r="AB2052" s="15" t="n"/>
    </row>
    <row r="2053">
      <c r="A2053" s="37" t="n">
        <v>46143</v>
      </c>
      <c r="B2053" s="3" t="n">
        <v>2026</v>
      </c>
      <c r="C2053" s="26" t="inlineStr">
        <is>
          <t>Yanara Power</t>
        </is>
      </c>
      <c r="D2053" s="3" t="inlineStr">
        <is>
          <t>Utility and C&amp;I</t>
        </is>
      </c>
      <c r="E2053" s="3" t="n"/>
      <c r="F2053" s="3" t="inlineStr">
        <is>
          <t>Closed</t>
        </is>
      </c>
      <c r="G2053" s="9" t="inlineStr">
        <is>
          <t xml:space="preserve">Ashish Jindal </t>
        </is>
      </c>
      <c r="H2053" s="26" t="n">
        <v>9983975581</v>
      </c>
      <c r="I2053" s="38" t="inlineStr">
        <is>
          <t>PE01052601</t>
        </is>
      </c>
      <c r="J2053" s="26" t="inlineStr">
        <is>
          <t>Multiple Issues</t>
        </is>
      </c>
      <c r="K2053" s="39" t="inlineStr">
        <is>
          <t>Holi</t>
        </is>
      </c>
      <c r="L2053" s="39" t="inlineStr">
        <is>
          <t>Maharashtra</t>
        </is>
      </c>
      <c r="M2053" s="46" t="inlineStr">
        <is>
          <t>NS</t>
        </is>
      </c>
      <c r="N2053" s="3" t="inlineStr">
        <is>
          <t>Cold Soldering</t>
        </is>
      </c>
      <c r="O2053" s="56" t="n">
        <v>575</v>
      </c>
      <c r="P2053" s="67" t="inlineStr">
        <is>
          <t>NSMI24070177014</t>
        </is>
      </c>
      <c r="Q2053" s="54">
        <f>MID(P2053,5,2)</f>
        <v/>
      </c>
      <c r="R2053" s="53">
        <f>MID(P2053,7,2)</f>
        <v/>
      </c>
      <c r="S2053" s="3" t="inlineStr">
        <is>
          <t>G2G</t>
        </is>
      </c>
      <c r="T2053" s="3" t="inlineStr">
        <is>
          <t>P4</t>
        </is>
      </c>
      <c r="U2053" s="3" t="inlineStr">
        <is>
          <t>N JB Cold Soldering</t>
        </is>
      </c>
      <c r="V2053" s="3" t="inlineStr">
        <is>
          <t>Soldering</t>
        </is>
      </c>
      <c r="W2053" s="3" t="inlineStr">
        <is>
          <t>Repair</t>
        </is>
      </c>
      <c r="X2053" s="18" t="n">
        <v>46167</v>
      </c>
      <c r="Y2053" s="3">
        <f>X2053-A2053</f>
        <v/>
      </c>
      <c r="Z2053" s="18" t="n">
        <v>46167</v>
      </c>
      <c r="AA2053" s="15" t="n"/>
      <c r="AB2053" s="15" t="n"/>
    </row>
    <row r="2054">
      <c r="A2054" s="37" t="n">
        <v>46143</v>
      </c>
      <c r="B2054" s="3" t="n">
        <v>2026</v>
      </c>
      <c r="C2054" s="26" t="inlineStr">
        <is>
          <t>Yanara Power</t>
        </is>
      </c>
      <c r="D2054" s="3" t="inlineStr">
        <is>
          <t>Utility and C&amp;I</t>
        </is>
      </c>
      <c r="E2054" s="3" t="n"/>
      <c r="F2054" s="3" t="inlineStr">
        <is>
          <t>Closed</t>
        </is>
      </c>
      <c r="G2054" s="9" t="inlineStr">
        <is>
          <t xml:space="preserve">Ashish Jindal </t>
        </is>
      </c>
      <c r="H2054" s="26" t="n">
        <v>9983975581</v>
      </c>
      <c r="I2054" s="38" t="inlineStr">
        <is>
          <t>PE01052601</t>
        </is>
      </c>
      <c r="J2054" s="26" t="inlineStr">
        <is>
          <t>Multiple Issues</t>
        </is>
      </c>
      <c r="K2054" s="39" t="inlineStr">
        <is>
          <t>Holi</t>
        </is>
      </c>
      <c r="L2054" s="39" t="inlineStr">
        <is>
          <t>Maharashtra</t>
        </is>
      </c>
      <c r="M2054" s="46" t="inlineStr">
        <is>
          <t>PS</t>
        </is>
      </c>
      <c r="N2054" s="3" t="inlineStr">
        <is>
          <t>Cold Soldering</t>
        </is>
      </c>
      <c r="O2054" s="56" t="n">
        <v>575</v>
      </c>
      <c r="P2054" s="67" t="inlineStr">
        <is>
          <t>NSMI24070177030</t>
        </is>
      </c>
      <c r="Q2054" s="54">
        <f>MID(P2054,5,2)</f>
        <v/>
      </c>
      <c r="R2054" s="53">
        <f>MID(P2054,7,2)</f>
        <v/>
      </c>
      <c r="S2054" s="3" t="inlineStr">
        <is>
          <t>G2G</t>
        </is>
      </c>
      <c r="T2054" s="3" t="inlineStr">
        <is>
          <t>P4</t>
        </is>
      </c>
      <c r="U2054" s="19" t="inlineStr">
        <is>
          <t>P JB Cold Soldering</t>
        </is>
      </c>
      <c r="V2054" s="19" t="inlineStr">
        <is>
          <t>Soldering</t>
        </is>
      </c>
      <c r="W2054" s="3" t="inlineStr">
        <is>
          <t>Repair</t>
        </is>
      </c>
      <c r="X2054" s="18" t="n">
        <v>46167</v>
      </c>
      <c r="Y2054" s="3">
        <f>X2054-A2054</f>
        <v/>
      </c>
      <c r="Z2054" s="18" t="n">
        <v>46167</v>
      </c>
      <c r="AA2054" s="15" t="n"/>
      <c r="AB2054" s="15" t="n"/>
    </row>
    <row r="2055">
      <c r="A2055" s="37" t="n">
        <v>46143</v>
      </c>
      <c r="B2055" s="3" t="n">
        <v>2026</v>
      </c>
      <c r="C2055" s="26" t="inlineStr">
        <is>
          <t>Yanara Power</t>
        </is>
      </c>
      <c r="D2055" s="3" t="inlineStr">
        <is>
          <t>Utility and C&amp;I</t>
        </is>
      </c>
      <c r="E2055" s="3" t="n"/>
      <c r="F2055" s="3" t="inlineStr">
        <is>
          <t>Closed</t>
        </is>
      </c>
      <c r="G2055" s="9" t="inlineStr">
        <is>
          <t xml:space="preserve">Ashish Jindal </t>
        </is>
      </c>
      <c r="H2055" s="26" t="n">
        <v>9983975581</v>
      </c>
      <c r="I2055" s="38" t="inlineStr">
        <is>
          <t>PE01052601</t>
        </is>
      </c>
      <c r="J2055" s="26" t="inlineStr">
        <is>
          <t>Multiple Issues</t>
        </is>
      </c>
      <c r="K2055" s="39" t="inlineStr">
        <is>
          <t>Holi</t>
        </is>
      </c>
      <c r="L2055" s="39" t="inlineStr">
        <is>
          <t>Maharashtra</t>
        </is>
      </c>
      <c r="M2055" s="46" t="inlineStr">
        <is>
          <t>PS</t>
        </is>
      </c>
      <c r="N2055" s="3" t="inlineStr">
        <is>
          <t>Cold Soldering</t>
        </is>
      </c>
      <c r="O2055" s="56" t="n">
        <v>575</v>
      </c>
      <c r="P2055" s="67" t="inlineStr">
        <is>
          <t>NSMI24070190138</t>
        </is>
      </c>
      <c r="Q2055" s="54">
        <f>MID(P2055,5,2)</f>
        <v/>
      </c>
      <c r="R2055" s="53">
        <f>MID(P2055,7,2)</f>
        <v/>
      </c>
      <c r="S2055" s="3" t="inlineStr">
        <is>
          <t>G2G</t>
        </is>
      </c>
      <c r="T2055" s="3" t="inlineStr">
        <is>
          <t>P4</t>
        </is>
      </c>
      <c r="U2055" s="19" t="inlineStr">
        <is>
          <t>P JB Cold Soldering</t>
        </is>
      </c>
      <c r="V2055" s="19" t="inlineStr">
        <is>
          <t>Soldering</t>
        </is>
      </c>
      <c r="W2055" s="3" t="inlineStr">
        <is>
          <t>Repair</t>
        </is>
      </c>
      <c r="X2055" s="18" t="n">
        <v>46167</v>
      </c>
      <c r="Y2055" s="3">
        <f>X2055-A2055</f>
        <v/>
      </c>
      <c r="Z2055" s="18" t="n">
        <v>46167</v>
      </c>
      <c r="AA2055" s="15" t="n"/>
      <c r="AB2055" s="15" t="n"/>
    </row>
    <row r="2056">
      <c r="A2056" s="37" t="n">
        <v>46143</v>
      </c>
      <c r="B2056" s="3" t="n">
        <v>2026</v>
      </c>
      <c r="C2056" s="26" t="inlineStr">
        <is>
          <t>Yanara Power</t>
        </is>
      </c>
      <c r="D2056" s="3" t="inlineStr">
        <is>
          <t>Utility and C&amp;I</t>
        </is>
      </c>
      <c r="E2056" s="3" t="n"/>
      <c r="F2056" s="3" t="inlineStr">
        <is>
          <t>Closed</t>
        </is>
      </c>
      <c r="G2056" s="9" t="inlineStr">
        <is>
          <t xml:space="preserve">Ashish Jindal </t>
        </is>
      </c>
      <c r="H2056" s="26" t="n">
        <v>9983975581</v>
      </c>
      <c r="I2056" s="38" t="inlineStr">
        <is>
          <t>PE01052601</t>
        </is>
      </c>
      <c r="J2056" s="26" t="inlineStr">
        <is>
          <t>Multiple Issues</t>
        </is>
      </c>
      <c r="K2056" s="39" t="inlineStr">
        <is>
          <t>Holi</t>
        </is>
      </c>
      <c r="L2056" s="39" t="inlineStr">
        <is>
          <t>Maharashtra</t>
        </is>
      </c>
      <c r="M2056" s="46" t="inlineStr">
        <is>
          <t>PS</t>
        </is>
      </c>
      <c r="N2056" s="3" t="inlineStr">
        <is>
          <t>Cold Soldering</t>
        </is>
      </c>
      <c r="O2056" s="56" t="n">
        <v>575</v>
      </c>
      <c r="P2056" s="67" t="inlineStr">
        <is>
          <t>NSMI24070196870</t>
        </is>
      </c>
      <c r="Q2056" s="54">
        <f>MID(P2056,5,2)</f>
        <v/>
      </c>
      <c r="R2056" s="53">
        <f>MID(P2056,7,2)</f>
        <v/>
      </c>
      <c r="S2056" s="3" t="inlineStr">
        <is>
          <t>G2G</t>
        </is>
      </c>
      <c r="T2056" s="3" t="inlineStr">
        <is>
          <t>P4</t>
        </is>
      </c>
      <c r="U2056" s="19" t="inlineStr">
        <is>
          <t>P JB Cold Soldering</t>
        </is>
      </c>
      <c r="V2056" s="19" t="inlineStr">
        <is>
          <t>Soldering</t>
        </is>
      </c>
      <c r="W2056" s="3" t="inlineStr">
        <is>
          <t>Repair</t>
        </is>
      </c>
      <c r="X2056" s="18" t="n">
        <v>46167</v>
      </c>
      <c r="Y2056" s="3">
        <f>X2056-A2056</f>
        <v/>
      </c>
      <c r="Z2056" s="18" t="n">
        <v>46167</v>
      </c>
      <c r="AA2056" s="15" t="n"/>
      <c r="AB2056" s="15" t="n"/>
    </row>
    <row r="2057">
      <c r="A2057" s="37" t="n">
        <v>46143</v>
      </c>
      <c r="B2057" s="3" t="n">
        <v>2026</v>
      </c>
      <c r="C2057" s="26" t="inlineStr">
        <is>
          <t>Yanara Power</t>
        </is>
      </c>
      <c r="D2057" s="3" t="inlineStr">
        <is>
          <t>Utility and C&amp;I</t>
        </is>
      </c>
      <c r="E2057" s="3" t="n"/>
      <c r="F2057" s="3" t="inlineStr">
        <is>
          <t>Closed</t>
        </is>
      </c>
      <c r="G2057" s="9" t="inlineStr">
        <is>
          <t xml:space="preserve">Ashish Jindal </t>
        </is>
      </c>
      <c r="H2057" s="26" t="n">
        <v>9983975581</v>
      </c>
      <c r="I2057" s="38" t="inlineStr">
        <is>
          <t>PE01052601</t>
        </is>
      </c>
      <c r="J2057" s="26" t="inlineStr">
        <is>
          <t>Multiple Issues</t>
        </is>
      </c>
      <c r="K2057" s="39" t="inlineStr">
        <is>
          <t>Holi</t>
        </is>
      </c>
      <c r="L2057" s="39" t="inlineStr">
        <is>
          <t>Maharashtra</t>
        </is>
      </c>
      <c r="M2057" s="46" t="inlineStr">
        <is>
          <t>PS</t>
        </is>
      </c>
      <c r="N2057" s="3" t="inlineStr">
        <is>
          <t>Cold Soldering</t>
        </is>
      </c>
      <c r="O2057" s="56" t="n">
        <v>575</v>
      </c>
      <c r="P2057" s="67" t="inlineStr">
        <is>
          <t>NSMI24070197199</t>
        </is>
      </c>
      <c r="Q2057" s="54">
        <f>MID(P2057,5,2)</f>
        <v/>
      </c>
      <c r="R2057" s="53">
        <f>MID(P2057,7,2)</f>
        <v/>
      </c>
      <c r="S2057" s="3" t="inlineStr">
        <is>
          <t>G2G</t>
        </is>
      </c>
      <c r="T2057" s="3" t="inlineStr">
        <is>
          <t>P4</t>
        </is>
      </c>
      <c r="U2057" s="19" t="inlineStr">
        <is>
          <t>P JB Cold Soldering</t>
        </is>
      </c>
      <c r="V2057" s="19" t="inlineStr">
        <is>
          <t>Soldering</t>
        </is>
      </c>
      <c r="W2057" s="3" t="inlineStr">
        <is>
          <t>Repair</t>
        </is>
      </c>
      <c r="X2057" s="18" t="n">
        <v>46167</v>
      </c>
      <c r="Y2057" s="3">
        <f>X2057-A2057</f>
        <v/>
      </c>
      <c r="Z2057" s="18" t="n">
        <v>46167</v>
      </c>
      <c r="AA2057" s="15" t="n"/>
      <c r="AB2057" s="15" t="n"/>
    </row>
    <row r="2058">
      <c r="A2058" s="37" t="n">
        <v>46143</v>
      </c>
      <c r="B2058" s="3" t="n">
        <v>2026</v>
      </c>
      <c r="C2058" s="26" t="inlineStr">
        <is>
          <t>Yanara Power</t>
        </is>
      </c>
      <c r="D2058" s="3" t="inlineStr">
        <is>
          <t>Utility and C&amp;I</t>
        </is>
      </c>
      <c r="E2058" s="3" t="n"/>
      <c r="F2058" s="3" t="inlineStr">
        <is>
          <t>Closed</t>
        </is>
      </c>
      <c r="G2058" s="9" t="inlineStr">
        <is>
          <t xml:space="preserve">Ashish Jindal </t>
        </is>
      </c>
      <c r="H2058" s="26" t="n">
        <v>9983975581</v>
      </c>
      <c r="I2058" s="38" t="inlineStr">
        <is>
          <t>PE01052601</t>
        </is>
      </c>
      <c r="J2058" s="26" t="inlineStr">
        <is>
          <t>Multiple Issues</t>
        </is>
      </c>
      <c r="K2058" s="39" t="inlineStr">
        <is>
          <t>Holi</t>
        </is>
      </c>
      <c r="L2058" s="39" t="inlineStr">
        <is>
          <t>Maharashtra</t>
        </is>
      </c>
      <c r="M2058" s="46" t="inlineStr">
        <is>
          <t>PS</t>
        </is>
      </c>
      <c r="N2058" s="3" t="inlineStr">
        <is>
          <t>Cold Soldering</t>
        </is>
      </c>
      <c r="O2058" s="56" t="n">
        <v>575</v>
      </c>
      <c r="P2058" s="67" t="inlineStr">
        <is>
          <t>NSMI24070196890</t>
        </is>
      </c>
      <c r="Q2058" s="54">
        <f>MID(P2058,5,2)</f>
        <v/>
      </c>
      <c r="R2058" s="53">
        <f>MID(P2058,7,2)</f>
        <v/>
      </c>
      <c r="S2058" s="3" t="inlineStr">
        <is>
          <t>G2G</t>
        </is>
      </c>
      <c r="T2058" s="3" t="inlineStr">
        <is>
          <t>P4</t>
        </is>
      </c>
      <c r="U2058" s="19" t="inlineStr">
        <is>
          <t>P JB Cold Soldering</t>
        </is>
      </c>
      <c r="V2058" s="19" t="inlineStr">
        <is>
          <t>Soldering</t>
        </is>
      </c>
      <c r="W2058" s="3" t="inlineStr">
        <is>
          <t>Repair</t>
        </is>
      </c>
      <c r="X2058" s="18" t="n">
        <v>46167</v>
      </c>
      <c r="Y2058" s="3">
        <f>X2058-A2058</f>
        <v/>
      </c>
      <c r="Z2058" s="18" t="n">
        <v>46167</v>
      </c>
      <c r="AA2058" s="15" t="n"/>
      <c r="AB2058" s="15" t="n"/>
    </row>
    <row r="2059">
      <c r="A2059" s="37" t="n">
        <v>46143</v>
      </c>
      <c r="B2059" s="3" t="n">
        <v>2026</v>
      </c>
      <c r="C2059" s="26" t="inlineStr">
        <is>
          <t>Yanara Power</t>
        </is>
      </c>
      <c r="D2059" s="3" t="inlineStr">
        <is>
          <t>Utility and C&amp;I</t>
        </is>
      </c>
      <c r="E2059" s="3" t="n"/>
      <c r="F2059" s="3" t="inlineStr">
        <is>
          <t>Closed</t>
        </is>
      </c>
      <c r="G2059" s="9" t="inlineStr">
        <is>
          <t xml:space="preserve">Ashish Jindal </t>
        </is>
      </c>
      <c r="H2059" s="26" t="n">
        <v>9983975581</v>
      </c>
      <c r="I2059" s="38" t="inlineStr">
        <is>
          <t>PE01052601</t>
        </is>
      </c>
      <c r="J2059" s="26" t="inlineStr">
        <is>
          <t>Multiple Issues</t>
        </is>
      </c>
      <c r="K2059" s="39" t="inlineStr">
        <is>
          <t>Holi</t>
        </is>
      </c>
      <c r="L2059" s="39" t="inlineStr">
        <is>
          <t>Maharashtra</t>
        </is>
      </c>
      <c r="M2059" s="46" t="inlineStr">
        <is>
          <t>PS</t>
        </is>
      </c>
      <c r="N2059" s="3" t="inlineStr">
        <is>
          <t>Cold Soldering</t>
        </is>
      </c>
      <c r="O2059" s="56" t="n">
        <v>575</v>
      </c>
      <c r="P2059" s="67" t="inlineStr">
        <is>
          <t>NSMI24070197174</t>
        </is>
      </c>
      <c r="Q2059" s="54">
        <f>MID(P2059,5,2)</f>
        <v/>
      </c>
      <c r="R2059" s="53">
        <f>MID(P2059,7,2)</f>
        <v/>
      </c>
      <c r="S2059" s="3" t="inlineStr">
        <is>
          <t>G2G</t>
        </is>
      </c>
      <c r="T2059" s="3" t="inlineStr">
        <is>
          <t>P4</t>
        </is>
      </c>
      <c r="U2059" s="19" t="inlineStr">
        <is>
          <t>P JB Cold Soldering</t>
        </is>
      </c>
      <c r="V2059" s="19" t="inlineStr">
        <is>
          <t>Soldering</t>
        </is>
      </c>
      <c r="W2059" s="3" t="inlineStr">
        <is>
          <t>Repair</t>
        </is>
      </c>
      <c r="X2059" s="18" t="n">
        <v>46167</v>
      </c>
      <c r="Y2059" s="3">
        <f>X2059-A2059</f>
        <v/>
      </c>
      <c r="Z2059" s="18" t="n">
        <v>46167</v>
      </c>
      <c r="AA2059" s="15" t="n"/>
      <c r="AB2059" s="15" t="n"/>
    </row>
    <row r="2060">
      <c r="A2060" s="37" t="n">
        <v>46143</v>
      </c>
      <c r="B2060" s="3" t="n">
        <v>2026</v>
      </c>
      <c r="C2060" s="26" t="inlineStr">
        <is>
          <t>Yanara Power</t>
        </is>
      </c>
      <c r="D2060" s="3" t="inlineStr">
        <is>
          <t>Utility and C&amp;I</t>
        </is>
      </c>
      <c r="E2060" s="3" t="n"/>
      <c r="F2060" s="3" t="inlineStr">
        <is>
          <t>Closed</t>
        </is>
      </c>
      <c r="G2060" s="9" t="inlineStr">
        <is>
          <t xml:space="preserve">Ashish Jindal </t>
        </is>
      </c>
      <c r="H2060" s="26" t="n">
        <v>9983975581</v>
      </c>
      <c r="I2060" s="38" t="inlineStr">
        <is>
          <t>PE01052601</t>
        </is>
      </c>
      <c r="J2060" s="26" t="inlineStr">
        <is>
          <t>Multiple Issues</t>
        </is>
      </c>
      <c r="K2060" s="39" t="inlineStr">
        <is>
          <t>Holi</t>
        </is>
      </c>
      <c r="L2060" s="39" t="inlineStr">
        <is>
          <t>Maharashtra</t>
        </is>
      </c>
      <c r="M2060" s="46" t="inlineStr">
        <is>
          <t>PS</t>
        </is>
      </c>
      <c r="N2060" s="3" t="inlineStr">
        <is>
          <t>Cold Soldering</t>
        </is>
      </c>
      <c r="O2060" s="56" t="n">
        <v>575</v>
      </c>
      <c r="P2060" s="67" t="inlineStr">
        <is>
          <t>NSMI24070184387</t>
        </is>
      </c>
      <c r="Q2060" s="54">
        <f>MID(P2060,5,2)</f>
        <v/>
      </c>
      <c r="R2060" s="53">
        <f>MID(P2060,7,2)</f>
        <v/>
      </c>
      <c r="S2060" s="3" t="inlineStr">
        <is>
          <t>G2G</t>
        </is>
      </c>
      <c r="T2060" s="3" t="inlineStr">
        <is>
          <t>P4</t>
        </is>
      </c>
      <c r="U2060" s="19" t="inlineStr">
        <is>
          <t>P JB Cold Soldering</t>
        </is>
      </c>
      <c r="V2060" s="19" t="inlineStr">
        <is>
          <t>Soldering</t>
        </is>
      </c>
      <c r="W2060" s="3" t="inlineStr">
        <is>
          <t>Repair</t>
        </is>
      </c>
      <c r="X2060" s="18" t="n">
        <v>46167</v>
      </c>
      <c r="Y2060" s="3">
        <f>X2060-A2060</f>
        <v/>
      </c>
      <c r="Z2060" s="18" t="n">
        <v>46167</v>
      </c>
      <c r="AA2060" s="15" t="n"/>
      <c r="AB2060" s="15" t="n"/>
    </row>
    <row r="2061">
      <c r="A2061" s="37" t="n">
        <v>46143</v>
      </c>
      <c r="B2061" s="3" t="n">
        <v>2026</v>
      </c>
      <c r="C2061" s="26" t="inlineStr">
        <is>
          <t>Yanara Power</t>
        </is>
      </c>
      <c r="D2061" s="3" t="inlineStr">
        <is>
          <t>Utility and C&amp;I</t>
        </is>
      </c>
      <c r="E2061" s="3" t="n"/>
      <c r="F2061" s="3" t="inlineStr">
        <is>
          <t>Closed</t>
        </is>
      </c>
      <c r="G2061" s="9" t="inlineStr">
        <is>
          <t xml:space="preserve">Ashish Jindal </t>
        </is>
      </c>
      <c r="H2061" s="26" t="n">
        <v>9983975581</v>
      </c>
      <c r="I2061" s="38" t="inlineStr">
        <is>
          <t>PE01052601</t>
        </is>
      </c>
      <c r="J2061" s="26" t="inlineStr">
        <is>
          <t>Multiple Issues</t>
        </is>
      </c>
      <c r="K2061" s="39" t="inlineStr">
        <is>
          <t>Holi</t>
        </is>
      </c>
      <c r="L2061" s="39" t="inlineStr">
        <is>
          <t>Maharashtra</t>
        </is>
      </c>
      <c r="M2061" s="46" t="inlineStr">
        <is>
          <t>NS</t>
        </is>
      </c>
      <c r="N2061" s="3" t="inlineStr">
        <is>
          <t>Cold Soldering</t>
        </is>
      </c>
      <c r="O2061" s="56" t="n">
        <v>575</v>
      </c>
      <c r="P2061" s="67" t="inlineStr">
        <is>
          <t>NSMI24070180891</t>
        </is>
      </c>
      <c r="Q2061" s="54">
        <f>MID(P2061,5,2)</f>
        <v/>
      </c>
      <c r="R2061" s="53">
        <f>MID(P2061,7,2)</f>
        <v/>
      </c>
      <c r="S2061" s="3" t="inlineStr">
        <is>
          <t>G2G</t>
        </is>
      </c>
      <c r="T2061" s="3" t="inlineStr">
        <is>
          <t>P4</t>
        </is>
      </c>
      <c r="U2061" s="3" t="inlineStr">
        <is>
          <t>N JB Cold Soldering</t>
        </is>
      </c>
      <c r="V2061" s="3" t="inlineStr">
        <is>
          <t>Soldering</t>
        </is>
      </c>
      <c r="W2061" s="3" t="inlineStr">
        <is>
          <t>Repair</t>
        </is>
      </c>
      <c r="X2061" s="18" t="n">
        <v>46167</v>
      </c>
      <c r="Y2061" s="3">
        <f>X2061-A2061</f>
        <v/>
      </c>
      <c r="Z2061" s="18" t="n">
        <v>46167</v>
      </c>
      <c r="AA2061" s="15" t="n"/>
      <c r="AB2061" s="15" t="n"/>
    </row>
    <row r="2062">
      <c r="A2062" s="37" t="n">
        <v>46143</v>
      </c>
      <c r="B2062" s="3" t="n">
        <v>2026</v>
      </c>
      <c r="C2062" s="26" t="inlineStr">
        <is>
          <t>Yanara Power</t>
        </is>
      </c>
      <c r="D2062" s="3" t="inlineStr">
        <is>
          <t>Utility and C&amp;I</t>
        </is>
      </c>
      <c r="E2062" s="3" t="n"/>
      <c r="F2062" s="3" t="inlineStr">
        <is>
          <t>Closed</t>
        </is>
      </c>
      <c r="G2062" s="9" t="inlineStr">
        <is>
          <t xml:space="preserve">Ashish Jindal </t>
        </is>
      </c>
      <c r="H2062" s="26" t="n">
        <v>9983975581</v>
      </c>
      <c r="I2062" s="38" t="inlineStr">
        <is>
          <t>PE01052601</t>
        </is>
      </c>
      <c r="J2062" s="26" t="inlineStr">
        <is>
          <t>Multiple Issues</t>
        </is>
      </c>
      <c r="K2062" s="39" t="inlineStr">
        <is>
          <t>Holi</t>
        </is>
      </c>
      <c r="L2062" s="39" t="inlineStr">
        <is>
          <t>Maharashtra</t>
        </is>
      </c>
      <c r="M2062" s="46" t="inlineStr">
        <is>
          <t>PS</t>
        </is>
      </c>
      <c r="N2062" s="3" t="inlineStr">
        <is>
          <t>Cold Soldering</t>
        </is>
      </c>
      <c r="O2062" s="56" t="n">
        <v>575</v>
      </c>
      <c r="P2062" s="67" t="inlineStr">
        <is>
          <t>NSMI24070201392</t>
        </is>
      </c>
      <c r="Q2062" s="54">
        <f>MID(P2062,5,2)</f>
        <v/>
      </c>
      <c r="R2062" s="53">
        <f>MID(P2062,7,2)</f>
        <v/>
      </c>
      <c r="S2062" s="3" t="inlineStr">
        <is>
          <t>G2G</t>
        </is>
      </c>
      <c r="T2062" s="3" t="inlineStr">
        <is>
          <t>P4</t>
        </is>
      </c>
      <c r="U2062" s="19" t="inlineStr">
        <is>
          <t>P JB Cold Soldering</t>
        </is>
      </c>
      <c r="V2062" s="19" t="inlineStr">
        <is>
          <t>Soldering</t>
        </is>
      </c>
      <c r="W2062" s="3" t="inlineStr">
        <is>
          <t>Repair</t>
        </is>
      </c>
      <c r="X2062" s="18" t="n">
        <v>46167</v>
      </c>
      <c r="Y2062" s="3">
        <f>X2062-A2062</f>
        <v/>
      </c>
      <c r="Z2062" s="18" t="n">
        <v>46167</v>
      </c>
      <c r="AA2062" s="15" t="n"/>
      <c r="AB2062" s="15" t="n"/>
    </row>
    <row r="2063">
      <c r="A2063" s="37" t="n">
        <v>46143</v>
      </c>
      <c r="B2063" s="3" t="n">
        <v>2026</v>
      </c>
      <c r="C2063" s="26" t="inlineStr">
        <is>
          <t>Yanara Power</t>
        </is>
      </c>
      <c r="D2063" s="3" t="inlineStr">
        <is>
          <t>Utility and C&amp;I</t>
        </is>
      </c>
      <c r="E2063" s="3" t="n"/>
      <c r="F2063" s="3" t="inlineStr">
        <is>
          <t>Closed</t>
        </is>
      </c>
      <c r="G2063" s="9" t="inlineStr">
        <is>
          <t xml:space="preserve">Ashish Jindal </t>
        </is>
      </c>
      <c r="H2063" s="26" t="n">
        <v>9983975581</v>
      </c>
      <c r="I2063" s="38" t="inlineStr">
        <is>
          <t>PE01052601</t>
        </is>
      </c>
      <c r="J2063" s="26" t="inlineStr">
        <is>
          <t>Multiple Issues</t>
        </is>
      </c>
      <c r="K2063" s="39" t="inlineStr">
        <is>
          <t>Holi</t>
        </is>
      </c>
      <c r="L2063" s="39" t="inlineStr">
        <is>
          <t>Maharashtra</t>
        </is>
      </c>
      <c r="M2063" s="46" t="inlineStr">
        <is>
          <t>NS</t>
        </is>
      </c>
      <c r="N2063" s="3" t="inlineStr">
        <is>
          <t>Cold Soldering</t>
        </is>
      </c>
      <c r="O2063" s="56" t="n">
        <v>575</v>
      </c>
      <c r="P2063" s="67" t="inlineStr">
        <is>
          <t>NSMI24070177760</t>
        </is>
      </c>
      <c r="Q2063" s="54">
        <f>MID(P2063,5,2)</f>
        <v/>
      </c>
      <c r="R2063" s="53">
        <f>MID(P2063,7,2)</f>
        <v/>
      </c>
      <c r="S2063" s="3" t="inlineStr">
        <is>
          <t>G2G</t>
        </is>
      </c>
      <c r="T2063" s="3" t="inlineStr">
        <is>
          <t>P4</t>
        </is>
      </c>
      <c r="U2063" s="3" t="inlineStr">
        <is>
          <t>N JB Cold Soldering</t>
        </is>
      </c>
      <c r="V2063" s="3" t="inlineStr">
        <is>
          <t>Soldering</t>
        </is>
      </c>
      <c r="W2063" s="3" t="inlineStr">
        <is>
          <t>Repair</t>
        </is>
      </c>
      <c r="X2063" s="18" t="n">
        <v>46167</v>
      </c>
      <c r="Y2063" s="3">
        <f>X2063-A2063</f>
        <v/>
      </c>
      <c r="Z2063" s="18" t="n">
        <v>46167</v>
      </c>
      <c r="AA2063" s="15" t="n"/>
      <c r="AB2063" s="15" t="n"/>
    </row>
    <row r="2064">
      <c r="A2064" s="37" t="n">
        <v>46143</v>
      </c>
      <c r="B2064" s="3" t="n">
        <v>2026</v>
      </c>
      <c r="C2064" s="26" t="inlineStr">
        <is>
          <t>Yanara Power</t>
        </is>
      </c>
      <c r="D2064" s="3" t="inlineStr">
        <is>
          <t>Utility and C&amp;I</t>
        </is>
      </c>
      <c r="E2064" s="3" t="n"/>
      <c r="F2064" s="3" t="inlineStr">
        <is>
          <t>Closed</t>
        </is>
      </c>
      <c r="G2064" s="9" t="inlineStr">
        <is>
          <t xml:space="preserve">Ashish Jindal </t>
        </is>
      </c>
      <c r="H2064" s="26" t="n">
        <v>9983975581</v>
      </c>
      <c r="I2064" s="38" t="inlineStr">
        <is>
          <t>PE01052601</t>
        </is>
      </c>
      <c r="J2064" s="26" t="inlineStr">
        <is>
          <t>Multiple Issues</t>
        </is>
      </c>
      <c r="K2064" s="39" t="inlineStr">
        <is>
          <t>Holi</t>
        </is>
      </c>
      <c r="L2064" s="39" t="inlineStr">
        <is>
          <t>Maharashtra</t>
        </is>
      </c>
      <c r="M2064" s="46" t="inlineStr">
        <is>
          <t>PS</t>
        </is>
      </c>
      <c r="N2064" s="3" t="inlineStr">
        <is>
          <t>Cold Soldering</t>
        </is>
      </c>
      <c r="O2064" s="56" t="n">
        <v>575</v>
      </c>
      <c r="P2064" s="67" t="inlineStr">
        <is>
          <t>NSMI24070176802</t>
        </is>
      </c>
      <c r="Q2064" s="54">
        <f>MID(P2064,5,2)</f>
        <v/>
      </c>
      <c r="R2064" s="53">
        <f>MID(P2064,7,2)</f>
        <v/>
      </c>
      <c r="S2064" s="3" t="inlineStr">
        <is>
          <t>G2G</t>
        </is>
      </c>
      <c r="T2064" s="3" t="inlineStr">
        <is>
          <t>P4</t>
        </is>
      </c>
      <c r="U2064" s="19" t="inlineStr">
        <is>
          <t>P JB Cold Soldering</t>
        </is>
      </c>
      <c r="V2064" s="19" t="inlineStr">
        <is>
          <t>Soldering</t>
        </is>
      </c>
      <c r="W2064" s="3" t="inlineStr">
        <is>
          <t>Repair</t>
        </is>
      </c>
      <c r="X2064" s="18" t="n">
        <v>46167</v>
      </c>
      <c r="Y2064" s="3">
        <f>X2064-A2064</f>
        <v/>
      </c>
      <c r="Z2064" s="18" t="n">
        <v>46167</v>
      </c>
      <c r="AA2064" s="15" t="n"/>
      <c r="AB2064" s="15" t="n"/>
    </row>
    <row r="2065">
      <c r="A2065" s="37" t="n">
        <v>46143</v>
      </c>
      <c r="B2065" s="3" t="n">
        <v>2026</v>
      </c>
      <c r="C2065" s="26" t="inlineStr">
        <is>
          <t>Yanara Power</t>
        </is>
      </c>
      <c r="D2065" s="3" t="inlineStr">
        <is>
          <t>Utility and C&amp;I</t>
        </is>
      </c>
      <c r="E2065" s="3" t="n"/>
      <c r="F2065" s="3" t="inlineStr">
        <is>
          <t>Closed</t>
        </is>
      </c>
      <c r="G2065" s="9" t="inlineStr">
        <is>
          <t xml:space="preserve">Ashish Jindal </t>
        </is>
      </c>
      <c r="H2065" s="26" t="n">
        <v>9983975581</v>
      </c>
      <c r="I2065" s="38" t="inlineStr">
        <is>
          <t>PE01052601</t>
        </is>
      </c>
      <c r="J2065" s="26" t="inlineStr">
        <is>
          <t>Multiple Issues</t>
        </is>
      </c>
      <c r="K2065" s="39" t="inlineStr">
        <is>
          <t>Holi</t>
        </is>
      </c>
      <c r="L2065" s="39" t="inlineStr">
        <is>
          <t>Maharashtra</t>
        </is>
      </c>
      <c r="M2065" s="46" t="inlineStr">
        <is>
          <t>PS</t>
        </is>
      </c>
      <c r="N2065" s="3" t="inlineStr">
        <is>
          <t>Cold Soldering</t>
        </is>
      </c>
      <c r="O2065" s="56" t="n">
        <v>575</v>
      </c>
      <c r="P2065" s="67" t="inlineStr">
        <is>
          <t>NSMI24070182299</t>
        </is>
      </c>
      <c r="Q2065" s="54">
        <f>MID(P2065,5,2)</f>
        <v/>
      </c>
      <c r="R2065" s="53">
        <f>MID(P2065,7,2)</f>
        <v/>
      </c>
      <c r="S2065" s="3" t="inlineStr">
        <is>
          <t>G2G</t>
        </is>
      </c>
      <c r="T2065" s="3" t="inlineStr">
        <is>
          <t>P4</t>
        </is>
      </c>
      <c r="U2065" s="19" t="inlineStr">
        <is>
          <t>P JB Cold Soldering</t>
        </is>
      </c>
      <c r="V2065" s="19" t="inlineStr">
        <is>
          <t>Soldering</t>
        </is>
      </c>
      <c r="W2065" s="3" t="inlineStr">
        <is>
          <t>Repair</t>
        </is>
      </c>
      <c r="X2065" s="18" t="n">
        <v>46167</v>
      </c>
      <c r="Y2065" s="3">
        <f>X2065-A2065</f>
        <v/>
      </c>
      <c r="Z2065" s="18" t="n">
        <v>46167</v>
      </c>
      <c r="AA2065" s="15" t="n"/>
      <c r="AB2065" s="15" t="n"/>
    </row>
    <row r="2066">
      <c r="A2066" s="37" t="n">
        <v>46143</v>
      </c>
      <c r="B2066" s="3" t="n">
        <v>2026</v>
      </c>
      <c r="C2066" s="26" t="inlineStr">
        <is>
          <t>Yanara Power</t>
        </is>
      </c>
      <c r="D2066" s="3" t="inlineStr">
        <is>
          <t>Utility and C&amp;I</t>
        </is>
      </c>
      <c r="E2066" s="3" t="n"/>
      <c r="F2066" s="3" t="inlineStr">
        <is>
          <t>Closed</t>
        </is>
      </c>
      <c r="G2066" s="9" t="inlineStr">
        <is>
          <t xml:space="preserve">Ashish Jindal </t>
        </is>
      </c>
      <c r="H2066" s="26" t="n">
        <v>9983975581</v>
      </c>
      <c r="I2066" s="38" t="inlineStr">
        <is>
          <t>PE01052601</t>
        </is>
      </c>
      <c r="J2066" s="26" t="inlineStr">
        <is>
          <t>Multiple Issues</t>
        </is>
      </c>
      <c r="K2066" s="39" t="inlineStr">
        <is>
          <t>Holi</t>
        </is>
      </c>
      <c r="L2066" s="39" t="inlineStr">
        <is>
          <t>Maharashtra</t>
        </is>
      </c>
      <c r="M2066" s="46" t="inlineStr">
        <is>
          <t>NS</t>
        </is>
      </c>
      <c r="N2066" s="3" t="inlineStr">
        <is>
          <t>Cold Soldering</t>
        </is>
      </c>
      <c r="O2066" s="56" t="n">
        <v>575</v>
      </c>
      <c r="P2066" s="67" t="inlineStr">
        <is>
          <t>NSMI24070178065</t>
        </is>
      </c>
      <c r="Q2066" s="54">
        <f>MID(P2066,5,2)</f>
        <v/>
      </c>
      <c r="R2066" s="53">
        <f>MID(P2066,7,2)</f>
        <v/>
      </c>
      <c r="S2066" s="3" t="inlineStr">
        <is>
          <t>G2G</t>
        </is>
      </c>
      <c r="T2066" s="3" t="inlineStr">
        <is>
          <t>P4</t>
        </is>
      </c>
      <c r="U2066" s="3" t="inlineStr">
        <is>
          <t>N JB Cold Soldering</t>
        </is>
      </c>
      <c r="V2066" s="3" t="inlineStr">
        <is>
          <t>Soldering</t>
        </is>
      </c>
      <c r="W2066" s="3" t="inlineStr">
        <is>
          <t>Repair</t>
        </is>
      </c>
      <c r="X2066" s="18" t="n">
        <v>46167</v>
      </c>
      <c r="Y2066" s="3">
        <f>X2066-A2066</f>
        <v/>
      </c>
      <c r="Z2066" s="18" t="n">
        <v>46167</v>
      </c>
      <c r="AA2066" s="15" t="n"/>
      <c r="AB2066" s="15" t="n"/>
    </row>
    <row r="2067">
      <c r="A2067" s="37" t="n">
        <v>46143</v>
      </c>
      <c r="B2067" s="3" t="n">
        <v>2026</v>
      </c>
      <c r="C2067" s="26" t="inlineStr">
        <is>
          <t>Yanara Power</t>
        </is>
      </c>
      <c r="D2067" s="3" t="inlineStr">
        <is>
          <t>Utility and C&amp;I</t>
        </is>
      </c>
      <c r="E2067" s="3" t="n"/>
      <c r="F2067" s="3" t="inlineStr">
        <is>
          <t>Closed</t>
        </is>
      </c>
      <c r="G2067" s="9" t="inlineStr">
        <is>
          <t xml:space="preserve">Ashish Jindal </t>
        </is>
      </c>
      <c r="H2067" s="26" t="n">
        <v>9983975581</v>
      </c>
      <c r="I2067" s="38" t="inlineStr">
        <is>
          <t>PE01052601</t>
        </is>
      </c>
      <c r="J2067" s="26" t="inlineStr">
        <is>
          <t>Multiple Issues</t>
        </is>
      </c>
      <c r="K2067" s="39" t="inlineStr">
        <is>
          <t>Holi</t>
        </is>
      </c>
      <c r="L2067" s="39" t="inlineStr">
        <is>
          <t>Maharashtra</t>
        </is>
      </c>
      <c r="M2067" s="46" t="inlineStr">
        <is>
          <t>PS</t>
        </is>
      </c>
      <c r="N2067" s="3" t="inlineStr">
        <is>
          <t>Cold Soldering</t>
        </is>
      </c>
      <c r="O2067" s="56" t="n">
        <v>575</v>
      </c>
      <c r="P2067" s="67" t="inlineStr">
        <is>
          <t>NSMI24070182220</t>
        </is>
      </c>
      <c r="Q2067" s="54">
        <f>MID(P2067,5,2)</f>
        <v/>
      </c>
      <c r="R2067" s="53">
        <f>MID(P2067,7,2)</f>
        <v/>
      </c>
      <c r="S2067" s="3" t="inlineStr">
        <is>
          <t>G2G</t>
        </is>
      </c>
      <c r="T2067" s="3" t="inlineStr">
        <is>
          <t>P4</t>
        </is>
      </c>
      <c r="U2067" s="19" t="inlineStr">
        <is>
          <t>P JB Cold Soldering</t>
        </is>
      </c>
      <c r="V2067" s="19" t="inlineStr">
        <is>
          <t>Soldering</t>
        </is>
      </c>
      <c r="W2067" s="3" t="inlineStr">
        <is>
          <t>Repair</t>
        </is>
      </c>
      <c r="X2067" s="18" t="n">
        <v>46167</v>
      </c>
      <c r="Y2067" s="3">
        <f>X2067-A2067</f>
        <v/>
      </c>
      <c r="Z2067" s="18" t="n">
        <v>46167</v>
      </c>
      <c r="AA2067" s="15" t="n"/>
      <c r="AB2067" s="15" t="n"/>
    </row>
    <row r="2068">
      <c r="A2068" s="37" t="n">
        <v>46143</v>
      </c>
      <c r="B2068" s="3" t="n">
        <v>2026</v>
      </c>
      <c r="C2068" s="26" t="inlineStr">
        <is>
          <t>Yanara Power</t>
        </is>
      </c>
      <c r="D2068" s="3" t="inlineStr">
        <is>
          <t>Utility and C&amp;I</t>
        </is>
      </c>
      <c r="E2068" s="3" t="n"/>
      <c r="F2068" s="3" t="inlineStr">
        <is>
          <t>Closed</t>
        </is>
      </c>
      <c r="G2068" s="9" t="inlineStr">
        <is>
          <t xml:space="preserve">Ashish Jindal </t>
        </is>
      </c>
      <c r="H2068" s="26" t="n">
        <v>9983975581</v>
      </c>
      <c r="I2068" s="38" t="inlineStr">
        <is>
          <t>PE01052601</t>
        </is>
      </c>
      <c r="J2068" s="26" t="inlineStr">
        <is>
          <t>Multiple Issues</t>
        </is>
      </c>
      <c r="K2068" s="39" t="inlineStr">
        <is>
          <t>Holi</t>
        </is>
      </c>
      <c r="L2068" s="39" t="inlineStr">
        <is>
          <t>Maharashtra</t>
        </is>
      </c>
      <c r="M2068" s="46" t="inlineStr">
        <is>
          <t>PS</t>
        </is>
      </c>
      <c r="N2068" s="3" t="inlineStr">
        <is>
          <t>Cold Soldering</t>
        </is>
      </c>
      <c r="O2068" s="56" t="n">
        <v>575</v>
      </c>
      <c r="P2068" s="67" t="inlineStr">
        <is>
          <t>NSMI24070182333</t>
        </is>
      </c>
      <c r="Q2068" s="54">
        <f>MID(P2068,5,2)</f>
        <v/>
      </c>
      <c r="R2068" s="53">
        <f>MID(P2068,7,2)</f>
        <v/>
      </c>
      <c r="S2068" s="3" t="inlineStr">
        <is>
          <t>G2G</t>
        </is>
      </c>
      <c r="T2068" s="3" t="inlineStr">
        <is>
          <t>P4</t>
        </is>
      </c>
      <c r="U2068" s="19" t="inlineStr">
        <is>
          <t>P JB Cold Soldering</t>
        </is>
      </c>
      <c r="V2068" s="19" t="inlineStr">
        <is>
          <t>Soldering</t>
        </is>
      </c>
      <c r="W2068" s="3" t="inlineStr">
        <is>
          <t>Repair</t>
        </is>
      </c>
      <c r="X2068" s="18" t="n">
        <v>46167</v>
      </c>
      <c r="Y2068" s="3">
        <f>X2068-A2068</f>
        <v/>
      </c>
      <c r="Z2068" s="18" t="n">
        <v>46167</v>
      </c>
      <c r="AA2068" s="15" t="n"/>
      <c r="AB2068" s="15" t="n"/>
    </row>
    <row r="2069">
      <c r="A2069" s="37" t="n">
        <v>46143</v>
      </c>
      <c r="B2069" s="3" t="n">
        <v>2026</v>
      </c>
      <c r="C2069" s="26" t="inlineStr">
        <is>
          <t>Yanara Power</t>
        </is>
      </c>
      <c r="D2069" s="3" t="inlineStr">
        <is>
          <t>Utility and C&amp;I</t>
        </is>
      </c>
      <c r="E2069" s="3" t="n"/>
      <c r="F2069" s="3" t="inlineStr">
        <is>
          <t>Closed</t>
        </is>
      </c>
      <c r="G2069" s="9" t="inlineStr">
        <is>
          <t xml:space="preserve">Ashish Jindal </t>
        </is>
      </c>
      <c r="H2069" s="26" t="n">
        <v>9983975581</v>
      </c>
      <c r="I2069" s="38" t="inlineStr">
        <is>
          <t>PE01052601</t>
        </is>
      </c>
      <c r="J2069" s="26" t="inlineStr">
        <is>
          <t>Multiple Issues</t>
        </is>
      </c>
      <c r="K2069" s="39" t="inlineStr">
        <is>
          <t>Holi</t>
        </is>
      </c>
      <c r="L2069" s="39" t="inlineStr">
        <is>
          <t>Maharashtra</t>
        </is>
      </c>
      <c r="M2069" s="46" t="inlineStr">
        <is>
          <t>PS</t>
        </is>
      </c>
      <c r="N2069" s="3" t="inlineStr">
        <is>
          <t>Cold Soldering</t>
        </is>
      </c>
      <c r="O2069" s="56" t="n">
        <v>575</v>
      </c>
      <c r="P2069" s="67" t="inlineStr">
        <is>
          <t>NSMI24070223537</t>
        </is>
      </c>
      <c r="Q2069" s="54">
        <f>MID(P2069,5,2)</f>
        <v/>
      </c>
      <c r="R2069" s="53">
        <f>MID(P2069,7,2)</f>
        <v/>
      </c>
      <c r="S2069" s="3" t="inlineStr">
        <is>
          <t>G2G</t>
        </is>
      </c>
      <c r="T2069" s="3" t="inlineStr">
        <is>
          <t>P4</t>
        </is>
      </c>
      <c r="U2069" s="19" t="inlineStr">
        <is>
          <t>P JB Cold Soldering</t>
        </is>
      </c>
      <c r="V2069" s="19" t="inlineStr">
        <is>
          <t>Soldering</t>
        </is>
      </c>
      <c r="W2069" s="3" t="inlineStr">
        <is>
          <t>Repair</t>
        </is>
      </c>
      <c r="X2069" s="18" t="n">
        <v>46167</v>
      </c>
      <c r="Y2069" s="3">
        <f>X2069-A2069</f>
        <v/>
      </c>
      <c r="Z2069" s="18" t="n">
        <v>46167</v>
      </c>
      <c r="AA2069" s="15" t="n"/>
      <c r="AB2069" s="15" t="n"/>
    </row>
    <row r="2070">
      <c r="A2070" s="37" t="n">
        <v>46143</v>
      </c>
      <c r="B2070" s="3" t="n">
        <v>2026</v>
      </c>
      <c r="C2070" s="26" t="inlineStr">
        <is>
          <t>Yanara Power</t>
        </is>
      </c>
      <c r="D2070" s="3" t="inlineStr">
        <is>
          <t>Utility and C&amp;I</t>
        </is>
      </c>
      <c r="E2070" s="3" t="n"/>
      <c r="F2070" s="3" t="inlineStr">
        <is>
          <t>Closed</t>
        </is>
      </c>
      <c r="G2070" s="9" t="inlineStr">
        <is>
          <t xml:space="preserve">Ashish Jindal </t>
        </is>
      </c>
      <c r="H2070" s="26" t="n">
        <v>9983975581</v>
      </c>
      <c r="I2070" s="38" t="inlineStr">
        <is>
          <t>PE01052601</t>
        </is>
      </c>
      <c r="J2070" s="26" t="inlineStr">
        <is>
          <t>Multiple Issues</t>
        </is>
      </c>
      <c r="K2070" s="39" t="inlineStr">
        <is>
          <t>Holi</t>
        </is>
      </c>
      <c r="L2070" s="39" t="inlineStr">
        <is>
          <t>Maharashtra</t>
        </is>
      </c>
      <c r="M2070" s="46" t="inlineStr">
        <is>
          <t>NS</t>
        </is>
      </c>
      <c r="N2070" s="3" t="inlineStr">
        <is>
          <t>Cold Soldering</t>
        </is>
      </c>
      <c r="O2070" s="56" t="n">
        <v>575</v>
      </c>
      <c r="P2070" s="67" t="inlineStr">
        <is>
          <t>NSMI24070216346</t>
        </is>
      </c>
      <c r="Q2070" s="54">
        <f>MID(P2070,5,2)</f>
        <v/>
      </c>
      <c r="R2070" s="53">
        <f>MID(P2070,7,2)</f>
        <v/>
      </c>
      <c r="S2070" s="3" t="inlineStr">
        <is>
          <t>G2G</t>
        </is>
      </c>
      <c r="T2070" s="3" t="inlineStr">
        <is>
          <t>P4</t>
        </is>
      </c>
      <c r="U2070" s="3" t="inlineStr">
        <is>
          <t>N JB Cold Soldering</t>
        </is>
      </c>
      <c r="V2070" s="3" t="inlineStr">
        <is>
          <t>Soldering</t>
        </is>
      </c>
      <c r="W2070" s="3" t="inlineStr">
        <is>
          <t>Repair</t>
        </is>
      </c>
      <c r="X2070" s="18" t="n">
        <v>46167</v>
      </c>
      <c r="Y2070" s="3">
        <f>X2070-A2070</f>
        <v/>
      </c>
      <c r="Z2070" s="18" t="n">
        <v>46167</v>
      </c>
      <c r="AA2070" s="15" t="n"/>
      <c r="AB2070" s="15" t="n"/>
    </row>
    <row r="2071">
      <c r="A2071" s="37" t="n">
        <v>46143</v>
      </c>
      <c r="B2071" s="3" t="n">
        <v>2026</v>
      </c>
      <c r="C2071" s="26" t="inlineStr">
        <is>
          <t>Yanara Power</t>
        </is>
      </c>
      <c r="D2071" s="3" t="inlineStr">
        <is>
          <t>Utility and C&amp;I</t>
        </is>
      </c>
      <c r="E2071" s="3" t="n"/>
      <c r="F2071" s="3" t="inlineStr">
        <is>
          <t>Closed</t>
        </is>
      </c>
      <c r="G2071" s="9" t="inlineStr">
        <is>
          <t xml:space="preserve">Ashish Jindal </t>
        </is>
      </c>
      <c r="H2071" s="26" t="n">
        <v>9983975581</v>
      </c>
      <c r="I2071" s="38" t="inlineStr">
        <is>
          <t>PE01052601</t>
        </is>
      </c>
      <c r="J2071" s="26" t="inlineStr">
        <is>
          <t>Multiple Issues</t>
        </is>
      </c>
      <c r="K2071" s="39" t="inlineStr">
        <is>
          <t>Holi</t>
        </is>
      </c>
      <c r="L2071" s="39" t="inlineStr">
        <is>
          <t>Maharashtra</t>
        </is>
      </c>
      <c r="M2071" s="46" t="inlineStr">
        <is>
          <t>PS</t>
        </is>
      </c>
      <c r="N2071" s="3" t="inlineStr">
        <is>
          <t>Cold Soldering</t>
        </is>
      </c>
      <c r="O2071" s="56" t="n">
        <v>575</v>
      </c>
      <c r="P2071" s="67" t="inlineStr">
        <is>
          <t>NSMI24070223671</t>
        </is>
      </c>
      <c r="Q2071" s="54">
        <f>MID(P2071,5,2)</f>
        <v/>
      </c>
      <c r="R2071" s="53">
        <f>MID(P2071,7,2)</f>
        <v/>
      </c>
      <c r="S2071" s="3" t="inlineStr">
        <is>
          <t>G2G</t>
        </is>
      </c>
      <c r="T2071" s="3" t="inlineStr">
        <is>
          <t>P4</t>
        </is>
      </c>
      <c r="U2071" s="19" t="inlineStr">
        <is>
          <t>P JB Cold Soldering</t>
        </is>
      </c>
      <c r="V2071" s="19" t="inlineStr">
        <is>
          <t>Soldering</t>
        </is>
      </c>
      <c r="W2071" s="3" t="inlineStr">
        <is>
          <t>Repair</t>
        </is>
      </c>
      <c r="X2071" s="18" t="n">
        <v>46167</v>
      </c>
      <c r="Y2071" s="3">
        <f>X2071-A2071</f>
        <v/>
      </c>
      <c r="Z2071" s="18" t="n">
        <v>46167</v>
      </c>
      <c r="AA2071" s="15" t="n"/>
      <c r="AB2071" s="15" t="n"/>
    </row>
    <row r="2072">
      <c r="A2072" s="37" t="n">
        <v>46143</v>
      </c>
      <c r="B2072" s="3" t="n">
        <v>2026</v>
      </c>
      <c r="C2072" s="26" t="inlineStr">
        <is>
          <t>Yanara Power</t>
        </is>
      </c>
      <c r="D2072" s="3" t="inlineStr">
        <is>
          <t>Utility and C&amp;I</t>
        </is>
      </c>
      <c r="E2072" s="3" t="n"/>
      <c r="F2072" s="3" t="inlineStr">
        <is>
          <t>Closed</t>
        </is>
      </c>
      <c r="G2072" s="9" t="inlineStr">
        <is>
          <t xml:space="preserve">Ashish Jindal </t>
        </is>
      </c>
      <c r="H2072" s="26" t="n">
        <v>9983975581</v>
      </c>
      <c r="I2072" s="38" t="inlineStr">
        <is>
          <t>PE01052601</t>
        </is>
      </c>
      <c r="J2072" s="26" t="inlineStr">
        <is>
          <t>Multiple Issues</t>
        </is>
      </c>
      <c r="K2072" s="39" t="inlineStr">
        <is>
          <t>Holi</t>
        </is>
      </c>
      <c r="L2072" s="39" t="inlineStr">
        <is>
          <t>Maharashtra</t>
        </is>
      </c>
      <c r="M2072" s="46" t="inlineStr">
        <is>
          <t>PS</t>
        </is>
      </c>
      <c r="N2072" s="3" t="inlineStr">
        <is>
          <t>Cold Soldering</t>
        </is>
      </c>
      <c r="O2072" s="56" t="n">
        <v>575</v>
      </c>
      <c r="P2072" s="71" t="inlineStr">
        <is>
          <t>NSMI24070219169</t>
        </is>
      </c>
      <c r="Q2072" s="54">
        <f>MID(P2072,5,2)</f>
        <v/>
      </c>
      <c r="R2072" s="53">
        <f>MID(P2072,7,2)</f>
        <v/>
      </c>
      <c r="S2072" s="3" t="inlineStr">
        <is>
          <t>G2G</t>
        </is>
      </c>
      <c r="T2072" s="3" t="inlineStr">
        <is>
          <t>P4</t>
        </is>
      </c>
      <c r="U2072" s="19" t="inlineStr">
        <is>
          <t>P JB Cold Soldering</t>
        </is>
      </c>
      <c r="V2072" s="19" t="inlineStr">
        <is>
          <t>Soldering</t>
        </is>
      </c>
      <c r="W2072" s="3" t="inlineStr">
        <is>
          <t>Repair</t>
        </is>
      </c>
      <c r="X2072" s="18" t="n">
        <v>46167</v>
      </c>
      <c r="Y2072" s="3">
        <f>X2072-A2072</f>
        <v/>
      </c>
      <c r="Z2072" s="18" t="n">
        <v>46167</v>
      </c>
      <c r="AA2072" s="15" t="n"/>
      <c r="AB2072" s="15" t="n"/>
    </row>
    <row r="2073">
      <c r="A2073" s="59" t="n">
        <v>46148</v>
      </c>
      <c r="B2073" s="3" t="n">
        <v>2026</v>
      </c>
      <c r="C2073" s="60" t="inlineStr">
        <is>
          <t>SUNRISE TECHNOLOGIES</t>
        </is>
      </c>
      <c r="D2073" s="21" t="inlineStr">
        <is>
          <t>Channel Sales</t>
        </is>
      </c>
      <c r="E2073" s="3" t="n"/>
      <c r="F2073" s="3" t="inlineStr">
        <is>
          <t>Closed</t>
        </is>
      </c>
      <c r="G2073" s="21" t="inlineStr">
        <is>
          <t>MURALI NARAYANA RAO KURAPATI</t>
        </is>
      </c>
      <c r="H2073" s="21" t="n">
        <v>9820541899</v>
      </c>
      <c r="I2073" s="22" t="inlineStr">
        <is>
          <t>PE06052603</t>
        </is>
      </c>
      <c r="J2073" s="58" t="inlineStr">
        <is>
          <t>Manufacturing Defect</t>
        </is>
      </c>
      <c r="K2073" s="21" t="inlineStr">
        <is>
          <t>Hyderabad</t>
        </is>
      </c>
      <c r="L2073" s="21" t="inlineStr">
        <is>
          <t>Telangana</t>
        </is>
      </c>
      <c r="M2073" s="9" t="inlineStr">
        <is>
          <t>No Visit</t>
        </is>
      </c>
      <c r="N2073" s="9" t="inlineStr">
        <is>
          <t xml:space="preserve">Tab lead burn </t>
        </is>
      </c>
      <c r="O2073" s="60" t="n">
        <v>545</v>
      </c>
      <c r="P2073" s="8" t="inlineStr">
        <is>
          <t>NSMP2310749075</t>
        </is>
      </c>
      <c r="Q2073" s="54">
        <f>MID(P2073,5,2)</f>
        <v/>
      </c>
      <c r="R2073" s="53">
        <f>MID(P2073,7,2)</f>
        <v/>
      </c>
      <c r="S2073" s="3" t="inlineStr">
        <is>
          <t>G2B</t>
        </is>
      </c>
      <c r="T2073" s="3" t="inlineStr">
        <is>
          <t>P2</t>
        </is>
      </c>
      <c r="U2073" s="26" t="inlineStr">
        <is>
          <t>Tab lead Burn</t>
        </is>
      </c>
      <c r="V2073" s="3" t="inlineStr">
        <is>
          <t>CN</t>
        </is>
      </c>
      <c r="W2073" s="3" t="inlineStr">
        <is>
          <t>Replacement</t>
        </is>
      </c>
      <c r="X2073" s="18" t="n">
        <v>46168</v>
      </c>
      <c r="Y2073" s="3">
        <f>X2073-A2073</f>
        <v/>
      </c>
      <c r="Z2073" s="18" t="inlineStr">
        <is>
          <t>No Visit</t>
        </is>
      </c>
      <c r="AA2073" s="15" t="n"/>
      <c r="AB2073" s="15" t="n"/>
    </row>
    <row r="2074">
      <c r="A2074" s="59" t="n">
        <v>46148</v>
      </c>
      <c r="B2074" s="3" t="n">
        <v>2026</v>
      </c>
      <c r="C2074" s="21" t="inlineStr">
        <is>
          <t>Continuum</t>
        </is>
      </c>
      <c r="D2074" s="3" t="inlineStr">
        <is>
          <t>Utility and C&amp;I</t>
        </is>
      </c>
      <c r="E2074" s="3" t="n"/>
      <c r="F2074" s="3" t="inlineStr">
        <is>
          <t>Closed</t>
        </is>
      </c>
      <c r="G2074" s="21" t="inlineStr">
        <is>
          <t>Amiya Ranjan Behera</t>
        </is>
      </c>
      <c r="H2074" s="21" t="n">
        <v>8917436223</v>
      </c>
      <c r="I2074" s="38" t="inlineStr">
        <is>
          <t>PE06052602</t>
        </is>
      </c>
      <c r="J2074" s="21" t="inlineStr">
        <is>
          <t>Diode Bypass Module Issue</t>
        </is>
      </c>
      <c r="K2074" s="21" t="inlineStr">
        <is>
          <t>Bhavnagar</t>
        </is>
      </c>
      <c r="L2074" s="21" t="inlineStr">
        <is>
          <t>Gujarat</t>
        </is>
      </c>
      <c r="M2074" s="9" t="inlineStr">
        <is>
          <t>PS</t>
        </is>
      </c>
      <c r="N2074" s="3" t="inlineStr">
        <is>
          <t>Cold Soldering</t>
        </is>
      </c>
      <c r="O2074" s="62" t="n">
        <v>540</v>
      </c>
      <c r="P2074" s="9" t="inlineStr">
        <is>
          <t>NSMP2305190629</t>
        </is>
      </c>
      <c r="Q2074" s="53">
        <f>MID(P2074,5,2)</f>
        <v/>
      </c>
      <c r="R2074" s="53">
        <f>MID(P2074,7,2)</f>
        <v/>
      </c>
      <c r="S2074" s="3" t="inlineStr">
        <is>
          <t>G2B</t>
        </is>
      </c>
      <c r="T2074" s="3" t="inlineStr">
        <is>
          <t>P2</t>
        </is>
      </c>
      <c r="U2074" s="3" t="inlineStr">
        <is>
          <t>P JB Cold Soldering</t>
        </is>
      </c>
      <c r="V2074" s="3" t="inlineStr">
        <is>
          <t>Soldering</t>
        </is>
      </c>
      <c r="W2074" s="3" t="inlineStr">
        <is>
          <t>Repair</t>
        </is>
      </c>
      <c r="X2074" s="18" t="n">
        <v>46168</v>
      </c>
      <c r="Y2074" s="3">
        <f>X2074-A2074</f>
        <v/>
      </c>
      <c r="Z2074" s="18" t="n">
        <v>46168</v>
      </c>
      <c r="AA2074" s="15" t="n"/>
      <c r="AB2074" s="15" t="n"/>
    </row>
    <row r="2075">
      <c r="A2075" s="59" t="n">
        <v>46148</v>
      </c>
      <c r="B2075" s="3" t="n">
        <v>2026</v>
      </c>
      <c r="C2075" s="21" t="inlineStr">
        <is>
          <t>Continuum</t>
        </is>
      </c>
      <c r="D2075" s="3" t="inlineStr">
        <is>
          <t>Utility and C&amp;I</t>
        </is>
      </c>
      <c r="E2075" s="3" t="n"/>
      <c r="F2075" s="3" t="inlineStr">
        <is>
          <t>Closed</t>
        </is>
      </c>
      <c r="G2075" s="21" t="inlineStr">
        <is>
          <t>Amiya Ranjan Behera</t>
        </is>
      </c>
      <c r="H2075" s="21" t="n">
        <v>8917436223</v>
      </c>
      <c r="I2075" s="38" t="inlineStr">
        <is>
          <t>PE06052602</t>
        </is>
      </c>
      <c r="J2075" s="21" t="inlineStr">
        <is>
          <t>Diode Bypass Module Issue</t>
        </is>
      </c>
      <c r="K2075" s="21" t="inlineStr">
        <is>
          <t>Bhavnagar</t>
        </is>
      </c>
      <c r="L2075" s="21" t="inlineStr">
        <is>
          <t>Gujarat</t>
        </is>
      </c>
      <c r="M2075" s="9" t="inlineStr">
        <is>
          <t>PS</t>
        </is>
      </c>
      <c r="N2075" s="3" t="inlineStr">
        <is>
          <t>Cold Soldering</t>
        </is>
      </c>
      <c r="O2075" s="62" t="n">
        <v>540</v>
      </c>
      <c r="P2075" s="9" t="inlineStr">
        <is>
          <t>NSMP2305190627</t>
        </is>
      </c>
      <c r="Q2075" s="53">
        <f>MID(P2075,5,2)</f>
        <v/>
      </c>
      <c r="R2075" s="53">
        <f>MID(P2075,7,2)</f>
        <v/>
      </c>
      <c r="S2075" s="3" t="inlineStr">
        <is>
          <t>G2B</t>
        </is>
      </c>
      <c r="T2075" s="3" t="inlineStr">
        <is>
          <t>P2</t>
        </is>
      </c>
      <c r="U2075" s="3" t="inlineStr">
        <is>
          <t>P JB Cold Soldering</t>
        </is>
      </c>
      <c r="V2075" s="3" t="inlineStr">
        <is>
          <t>Soldering</t>
        </is>
      </c>
      <c r="W2075" s="3" t="inlineStr">
        <is>
          <t>Repair</t>
        </is>
      </c>
      <c r="X2075" s="18" t="n">
        <v>46168</v>
      </c>
      <c r="Y2075" s="3">
        <f>X2075-A2075</f>
        <v/>
      </c>
      <c r="Z2075" s="18" t="n">
        <v>46168</v>
      </c>
      <c r="AA2075" s="15" t="n"/>
      <c r="AB2075" s="15" t="n"/>
    </row>
    <row r="2076">
      <c r="A2076" s="59" t="n">
        <v>46148</v>
      </c>
      <c r="B2076" s="3" t="n">
        <v>2026</v>
      </c>
      <c r="C2076" s="21" t="inlineStr">
        <is>
          <t>Continuum</t>
        </is>
      </c>
      <c r="D2076" s="3" t="inlineStr">
        <is>
          <t>Utility and C&amp;I</t>
        </is>
      </c>
      <c r="E2076" s="3" t="n"/>
      <c r="F2076" s="3" t="inlineStr">
        <is>
          <t>Closed</t>
        </is>
      </c>
      <c r="G2076" s="21" t="inlineStr">
        <is>
          <t>Amiya Ranjan Behera</t>
        </is>
      </c>
      <c r="H2076" s="21" t="n">
        <v>8917436223</v>
      </c>
      <c r="I2076" s="38" t="inlineStr">
        <is>
          <t>PE06052602</t>
        </is>
      </c>
      <c r="J2076" s="21" t="inlineStr">
        <is>
          <t>Diode Bypass Module Issue</t>
        </is>
      </c>
      <c r="K2076" s="21" t="inlineStr">
        <is>
          <t>Bhavnagar</t>
        </is>
      </c>
      <c r="L2076" s="21" t="inlineStr">
        <is>
          <t>Gujarat</t>
        </is>
      </c>
      <c r="M2076" s="9" t="inlineStr">
        <is>
          <t>NS</t>
        </is>
      </c>
      <c r="N2076" s="26" t="inlineStr">
        <is>
          <t>Cold Soldering</t>
        </is>
      </c>
      <c r="O2076" s="62" t="n">
        <v>540</v>
      </c>
      <c r="P2076" s="9" t="inlineStr">
        <is>
          <t>NSMP2304076101</t>
        </is>
      </c>
      <c r="Q2076" s="53">
        <f>MID(P2076,5,2)</f>
        <v/>
      </c>
      <c r="R2076" s="53">
        <f>MID(P2076,7,2)</f>
        <v/>
      </c>
      <c r="S2076" s="3" t="inlineStr">
        <is>
          <t>G2B</t>
        </is>
      </c>
      <c r="T2076" s="3" t="inlineStr">
        <is>
          <t>P2</t>
        </is>
      </c>
      <c r="U2076" s="19" t="inlineStr">
        <is>
          <t>N JB Cold Soldering</t>
        </is>
      </c>
      <c r="V2076" s="19" t="inlineStr">
        <is>
          <t>Soldering</t>
        </is>
      </c>
      <c r="W2076" s="3" t="inlineStr">
        <is>
          <t>Repair</t>
        </is>
      </c>
      <c r="X2076" s="18" t="n">
        <v>46168</v>
      </c>
      <c r="Y2076" s="3">
        <f>X2076-A2076</f>
        <v/>
      </c>
      <c r="Z2076" s="18" t="n">
        <v>46168</v>
      </c>
      <c r="AA2076" s="15" t="n"/>
      <c r="AB2076" s="15" t="n"/>
    </row>
    <row r="2077">
      <c r="A2077" s="59" t="n">
        <v>46148</v>
      </c>
      <c r="B2077" s="3" t="n">
        <v>2026</v>
      </c>
      <c r="C2077" s="21" t="inlineStr">
        <is>
          <t>Continuum</t>
        </is>
      </c>
      <c r="D2077" s="3" t="inlineStr">
        <is>
          <t>Utility and C&amp;I</t>
        </is>
      </c>
      <c r="E2077" s="3" t="n"/>
      <c r="F2077" s="3" t="inlineStr">
        <is>
          <t>Closed</t>
        </is>
      </c>
      <c r="G2077" s="21" t="inlineStr">
        <is>
          <t>Amiya Ranjan Behera</t>
        </is>
      </c>
      <c r="H2077" s="21" t="n">
        <v>8917436223</v>
      </c>
      <c r="I2077" s="38" t="inlineStr">
        <is>
          <t>PE06052602</t>
        </is>
      </c>
      <c r="J2077" s="21" t="inlineStr">
        <is>
          <t>Diode Bypass Module Issue</t>
        </is>
      </c>
      <c r="K2077" s="21" t="inlineStr">
        <is>
          <t>Bhavnagar</t>
        </is>
      </c>
      <c r="L2077" s="21" t="inlineStr">
        <is>
          <t>Gujarat</t>
        </is>
      </c>
      <c r="M2077" s="9" t="inlineStr">
        <is>
          <t>PS</t>
        </is>
      </c>
      <c r="N2077" s="3" t="inlineStr">
        <is>
          <t>Cold Soldering</t>
        </is>
      </c>
      <c r="O2077" s="62" t="n">
        <v>540</v>
      </c>
      <c r="P2077" s="9" t="inlineStr">
        <is>
          <t>NSMP2305189129</t>
        </is>
      </c>
      <c r="Q2077" s="53">
        <f>MID(P2077,5,2)</f>
        <v/>
      </c>
      <c r="R2077" s="53">
        <f>MID(P2077,7,2)</f>
        <v/>
      </c>
      <c r="S2077" s="3" t="inlineStr">
        <is>
          <t>G2B</t>
        </is>
      </c>
      <c r="T2077" s="3" t="inlineStr">
        <is>
          <t>P2</t>
        </is>
      </c>
      <c r="U2077" s="3" t="inlineStr">
        <is>
          <t>P JB Cold Soldering</t>
        </is>
      </c>
      <c r="V2077" s="3" t="inlineStr">
        <is>
          <t>Soldering</t>
        </is>
      </c>
      <c r="W2077" s="3" t="inlineStr">
        <is>
          <t>Repair</t>
        </is>
      </c>
      <c r="X2077" s="18" t="n">
        <v>46168</v>
      </c>
      <c r="Y2077" s="3">
        <f>X2077-A2077</f>
        <v/>
      </c>
      <c r="Z2077" s="18" t="n">
        <v>46168</v>
      </c>
      <c r="AA2077" s="15" t="n"/>
      <c r="AB2077" s="15" t="n"/>
    </row>
    <row r="2078">
      <c r="A2078" s="59" t="n">
        <v>46148</v>
      </c>
      <c r="B2078" s="3" t="n">
        <v>2026</v>
      </c>
      <c r="C2078" s="21" t="inlineStr">
        <is>
          <t>Continuum</t>
        </is>
      </c>
      <c r="D2078" s="3" t="inlineStr">
        <is>
          <t>Utility and C&amp;I</t>
        </is>
      </c>
      <c r="E2078" s="3" t="n"/>
      <c r="F2078" s="3" t="inlineStr">
        <is>
          <t>Closed</t>
        </is>
      </c>
      <c r="G2078" s="21" t="inlineStr">
        <is>
          <t>Amiya Ranjan Behera</t>
        </is>
      </c>
      <c r="H2078" s="21" t="n">
        <v>8917436223</v>
      </c>
      <c r="I2078" s="38" t="inlineStr">
        <is>
          <t>PE06052602</t>
        </is>
      </c>
      <c r="J2078" s="21" t="inlineStr">
        <is>
          <t>Diode Bypass Module Issue</t>
        </is>
      </c>
      <c r="K2078" s="21" t="inlineStr">
        <is>
          <t>Bhavnagar</t>
        </is>
      </c>
      <c r="L2078" s="21" t="inlineStr">
        <is>
          <t>Gujarat</t>
        </is>
      </c>
      <c r="M2078" s="9" t="inlineStr">
        <is>
          <t>PS</t>
        </is>
      </c>
      <c r="N2078" s="3" t="inlineStr">
        <is>
          <t>Cold Soldering</t>
        </is>
      </c>
      <c r="O2078" s="62" t="n">
        <v>540</v>
      </c>
      <c r="P2078" s="9" t="inlineStr">
        <is>
          <t>NSMP2305190610</t>
        </is>
      </c>
      <c r="Q2078" s="53">
        <f>MID(P2078,5,2)</f>
        <v/>
      </c>
      <c r="R2078" s="53">
        <f>MID(P2078,7,2)</f>
        <v/>
      </c>
      <c r="S2078" s="3" t="inlineStr">
        <is>
          <t>G2B</t>
        </is>
      </c>
      <c r="T2078" s="3" t="inlineStr">
        <is>
          <t>P2</t>
        </is>
      </c>
      <c r="U2078" s="3" t="inlineStr">
        <is>
          <t>P JB Cold Soldering</t>
        </is>
      </c>
      <c r="V2078" s="3" t="inlineStr">
        <is>
          <t>Soldering</t>
        </is>
      </c>
      <c r="W2078" s="3" t="inlineStr">
        <is>
          <t>Repair</t>
        </is>
      </c>
      <c r="X2078" s="18" t="n">
        <v>46168</v>
      </c>
      <c r="Y2078" s="3">
        <f>X2078-A2078</f>
        <v/>
      </c>
      <c r="Z2078" s="18" t="n">
        <v>46168</v>
      </c>
      <c r="AA2078" s="15" t="n"/>
      <c r="AB2078" s="15" t="n"/>
    </row>
    <row r="2079">
      <c r="A2079" s="59" t="n">
        <v>46148</v>
      </c>
      <c r="B2079" s="3" t="n">
        <v>2026</v>
      </c>
      <c r="C2079" s="21" t="inlineStr">
        <is>
          <t>Continuum</t>
        </is>
      </c>
      <c r="D2079" s="3" t="inlineStr">
        <is>
          <t>Utility and C&amp;I</t>
        </is>
      </c>
      <c r="E2079" s="3" t="n"/>
      <c r="F2079" s="3" t="inlineStr">
        <is>
          <t>Closed</t>
        </is>
      </c>
      <c r="G2079" s="21" t="inlineStr">
        <is>
          <t>Amiya Ranjan Behera</t>
        </is>
      </c>
      <c r="H2079" s="21" t="n">
        <v>8917436223</v>
      </c>
      <c r="I2079" s="38" t="inlineStr">
        <is>
          <t>PE06052602</t>
        </is>
      </c>
      <c r="J2079" s="21" t="inlineStr">
        <is>
          <t>Diode Bypass Module Issue</t>
        </is>
      </c>
      <c r="K2079" s="21" t="inlineStr">
        <is>
          <t>Bhavnagar</t>
        </is>
      </c>
      <c r="L2079" s="21" t="inlineStr">
        <is>
          <t>Gujarat</t>
        </is>
      </c>
      <c r="M2079" s="9" t="inlineStr">
        <is>
          <t>PS</t>
        </is>
      </c>
      <c r="N2079" s="3" t="inlineStr">
        <is>
          <t>Cold Soldering</t>
        </is>
      </c>
      <c r="O2079" s="62" t="n">
        <v>540</v>
      </c>
      <c r="P2079" s="9" t="inlineStr">
        <is>
          <t>NSMP2305190628</t>
        </is>
      </c>
      <c r="Q2079" s="53">
        <f>MID(P2079,5,2)</f>
        <v/>
      </c>
      <c r="R2079" s="53">
        <f>MID(P2079,7,2)</f>
        <v/>
      </c>
      <c r="S2079" s="3" t="inlineStr">
        <is>
          <t>G2B</t>
        </is>
      </c>
      <c r="T2079" s="3" t="inlineStr">
        <is>
          <t>P2</t>
        </is>
      </c>
      <c r="U2079" s="3" t="inlineStr">
        <is>
          <t>P JB Cold Soldering</t>
        </is>
      </c>
      <c r="V2079" s="3" t="inlineStr">
        <is>
          <t>Soldering</t>
        </is>
      </c>
      <c r="W2079" s="3" t="inlineStr">
        <is>
          <t>Repair</t>
        </is>
      </c>
      <c r="X2079" s="18" t="n">
        <v>46168</v>
      </c>
      <c r="Y2079" s="3">
        <f>X2079-A2079</f>
        <v/>
      </c>
      <c r="Z2079" s="18" t="n">
        <v>46168</v>
      </c>
      <c r="AA2079" s="15" t="n"/>
      <c r="AB2079" s="15" t="n"/>
    </row>
    <row r="2080">
      <c r="A2080" s="59" t="n">
        <v>46148</v>
      </c>
      <c r="B2080" s="3" t="n">
        <v>2026</v>
      </c>
      <c r="C2080" s="21" t="inlineStr">
        <is>
          <t>Continuum</t>
        </is>
      </c>
      <c r="D2080" s="3" t="inlineStr">
        <is>
          <t>Utility and C&amp;I</t>
        </is>
      </c>
      <c r="E2080" s="3" t="n"/>
      <c r="F2080" s="3" t="inlineStr">
        <is>
          <t>Closed</t>
        </is>
      </c>
      <c r="G2080" s="21" t="inlineStr">
        <is>
          <t>Amiya Ranjan Behera</t>
        </is>
      </c>
      <c r="H2080" s="21" t="n">
        <v>8917436223</v>
      </c>
      <c r="I2080" s="38" t="inlineStr">
        <is>
          <t>PE06052602</t>
        </is>
      </c>
      <c r="J2080" s="21" t="inlineStr">
        <is>
          <t>Diode Bypass Module Issue</t>
        </is>
      </c>
      <c r="K2080" s="21" t="inlineStr">
        <is>
          <t>Bhavnagar</t>
        </is>
      </c>
      <c r="L2080" s="21" t="inlineStr">
        <is>
          <t>Gujarat</t>
        </is>
      </c>
      <c r="M2080" s="9" t="inlineStr">
        <is>
          <t>PS</t>
        </is>
      </c>
      <c r="N2080" s="3" t="inlineStr">
        <is>
          <t>Cold Soldering</t>
        </is>
      </c>
      <c r="O2080" s="62" t="n">
        <v>540</v>
      </c>
      <c r="P2080" s="9" t="inlineStr">
        <is>
          <t>NSMP2305130303</t>
        </is>
      </c>
      <c r="Q2080" s="53">
        <f>MID(P2080,5,2)</f>
        <v/>
      </c>
      <c r="R2080" s="53">
        <f>MID(P2080,7,2)</f>
        <v/>
      </c>
      <c r="S2080" s="3" t="inlineStr">
        <is>
          <t>G2B</t>
        </is>
      </c>
      <c r="T2080" s="3" t="inlineStr">
        <is>
          <t>P2</t>
        </is>
      </c>
      <c r="U2080" s="3" t="inlineStr">
        <is>
          <t>P JB Cold Soldering</t>
        </is>
      </c>
      <c r="V2080" s="3" t="inlineStr">
        <is>
          <t>Soldering</t>
        </is>
      </c>
      <c r="W2080" s="3" t="inlineStr">
        <is>
          <t>Repair</t>
        </is>
      </c>
      <c r="X2080" s="18" t="n">
        <v>46168</v>
      </c>
      <c r="Y2080" s="3">
        <f>X2080-A2080</f>
        <v/>
      </c>
      <c r="Z2080" s="18" t="n">
        <v>46168</v>
      </c>
      <c r="AA2080" s="15" t="n"/>
      <c r="AB2080" s="15" t="n"/>
    </row>
    <row r="2081">
      <c r="A2081" s="59" t="n">
        <v>46148</v>
      </c>
      <c r="B2081" s="3" t="n">
        <v>2026</v>
      </c>
      <c r="C2081" s="21" t="inlineStr">
        <is>
          <t>Continuum</t>
        </is>
      </c>
      <c r="D2081" s="3" t="inlineStr">
        <is>
          <t>Utility and C&amp;I</t>
        </is>
      </c>
      <c r="E2081" s="3" t="n"/>
      <c r="F2081" s="3" t="inlineStr">
        <is>
          <t>Closed</t>
        </is>
      </c>
      <c r="G2081" s="21" t="inlineStr">
        <is>
          <t>Amiya Ranjan Behera</t>
        </is>
      </c>
      <c r="H2081" s="21" t="n">
        <v>8917436223</v>
      </c>
      <c r="I2081" s="38" t="inlineStr">
        <is>
          <t>PE06052602</t>
        </is>
      </c>
      <c r="J2081" s="21" t="inlineStr">
        <is>
          <t>Diode Bypass Module Issue</t>
        </is>
      </c>
      <c r="K2081" s="21" t="inlineStr">
        <is>
          <t>Bhavnagar</t>
        </is>
      </c>
      <c r="L2081" s="21" t="inlineStr">
        <is>
          <t>Gujarat</t>
        </is>
      </c>
      <c r="M2081" s="9" t="inlineStr">
        <is>
          <t>NS</t>
        </is>
      </c>
      <c r="N2081" s="26" t="inlineStr">
        <is>
          <t>Cold Soldering</t>
        </is>
      </c>
      <c r="O2081" s="62" t="n">
        <v>540</v>
      </c>
      <c r="P2081" s="9" t="inlineStr">
        <is>
          <t>NSMP2305129939</t>
        </is>
      </c>
      <c r="Q2081" s="53">
        <f>MID(P2081,5,2)</f>
        <v/>
      </c>
      <c r="R2081" s="53">
        <f>MID(P2081,7,2)</f>
        <v/>
      </c>
      <c r="S2081" s="3" t="inlineStr">
        <is>
          <t>G2B</t>
        </is>
      </c>
      <c r="T2081" s="3" t="inlineStr">
        <is>
          <t>P2</t>
        </is>
      </c>
      <c r="U2081" s="19" t="inlineStr">
        <is>
          <t>N JB Cold Soldering</t>
        </is>
      </c>
      <c r="V2081" s="19" t="inlineStr">
        <is>
          <t>Soldering</t>
        </is>
      </c>
      <c r="W2081" s="3" t="inlineStr">
        <is>
          <t>Repair</t>
        </is>
      </c>
      <c r="X2081" s="18" t="n">
        <v>46168</v>
      </c>
      <c r="Y2081" s="3">
        <f>X2081-A2081</f>
        <v/>
      </c>
      <c r="Z2081" s="18" t="n">
        <v>46168</v>
      </c>
      <c r="AA2081" s="15" t="n"/>
      <c r="AB2081" s="15" t="n"/>
    </row>
    <row r="2082">
      <c r="A2082" s="59" t="n">
        <v>46148</v>
      </c>
      <c r="B2082" s="3" t="n">
        <v>2026</v>
      </c>
      <c r="C2082" s="21" t="inlineStr">
        <is>
          <t>Continuum</t>
        </is>
      </c>
      <c r="D2082" s="3" t="inlineStr">
        <is>
          <t>Utility and C&amp;I</t>
        </is>
      </c>
      <c r="E2082" s="3" t="n"/>
      <c r="F2082" s="3" t="inlineStr">
        <is>
          <t>Closed</t>
        </is>
      </c>
      <c r="G2082" s="21" t="inlineStr">
        <is>
          <t>Amiya Ranjan Behera</t>
        </is>
      </c>
      <c r="H2082" s="21" t="n">
        <v>8917436223</v>
      </c>
      <c r="I2082" s="38" t="inlineStr">
        <is>
          <t>PE06052602</t>
        </is>
      </c>
      <c r="J2082" s="21" t="inlineStr">
        <is>
          <t>Diode Bypass Module Issue</t>
        </is>
      </c>
      <c r="K2082" s="21" t="inlineStr">
        <is>
          <t>Bhavnagar</t>
        </is>
      </c>
      <c r="L2082" s="21" t="inlineStr">
        <is>
          <t>Gujarat</t>
        </is>
      </c>
      <c r="M2082" s="9" t="inlineStr">
        <is>
          <t>NS</t>
        </is>
      </c>
      <c r="N2082" s="26" t="inlineStr">
        <is>
          <t>Cold Soldering</t>
        </is>
      </c>
      <c r="O2082" s="62" t="n">
        <v>540</v>
      </c>
      <c r="P2082" s="9" t="inlineStr">
        <is>
          <t>NSMP2305175999</t>
        </is>
      </c>
      <c r="Q2082" s="53">
        <f>MID(P2082,5,2)</f>
        <v/>
      </c>
      <c r="R2082" s="53">
        <f>MID(P2082,7,2)</f>
        <v/>
      </c>
      <c r="S2082" s="3" t="inlineStr">
        <is>
          <t>G2B</t>
        </is>
      </c>
      <c r="T2082" s="3" t="inlineStr">
        <is>
          <t>P2</t>
        </is>
      </c>
      <c r="U2082" s="19" t="inlineStr">
        <is>
          <t>N JB Cold Soldering</t>
        </is>
      </c>
      <c r="V2082" s="19" t="inlineStr">
        <is>
          <t>Soldering</t>
        </is>
      </c>
      <c r="W2082" s="3" t="inlineStr">
        <is>
          <t>Repair</t>
        </is>
      </c>
      <c r="X2082" s="18" t="n">
        <v>46168</v>
      </c>
      <c r="Y2082" s="3">
        <f>X2082-A2082</f>
        <v/>
      </c>
      <c r="Z2082" s="18" t="n">
        <v>46168</v>
      </c>
      <c r="AA2082" s="15" t="n"/>
      <c r="AB2082" s="15" t="n"/>
    </row>
    <row r="2083">
      <c r="A2083" s="59" t="n">
        <v>46148</v>
      </c>
      <c r="B2083" s="3" t="n">
        <v>2026</v>
      </c>
      <c r="C2083" s="21" t="inlineStr">
        <is>
          <t>Continuum</t>
        </is>
      </c>
      <c r="D2083" s="3" t="inlineStr">
        <is>
          <t>Utility and C&amp;I</t>
        </is>
      </c>
      <c r="E2083" s="3" t="n"/>
      <c r="F2083" s="3" t="inlineStr">
        <is>
          <t>Closed</t>
        </is>
      </c>
      <c r="G2083" s="21" t="inlineStr">
        <is>
          <t>Amiya Ranjan Behera</t>
        </is>
      </c>
      <c r="H2083" s="21" t="n">
        <v>8917436223</v>
      </c>
      <c r="I2083" s="38" t="inlineStr">
        <is>
          <t>PE06052602</t>
        </is>
      </c>
      <c r="J2083" s="21" t="inlineStr">
        <is>
          <t>Diode Bypass Module Issue</t>
        </is>
      </c>
      <c r="K2083" s="21" t="inlineStr">
        <is>
          <t>Bhavnagar</t>
        </is>
      </c>
      <c r="L2083" s="21" t="inlineStr">
        <is>
          <t>Gujarat</t>
        </is>
      </c>
      <c r="M2083" s="9" t="inlineStr">
        <is>
          <t>NS</t>
        </is>
      </c>
      <c r="N2083" s="26" t="inlineStr">
        <is>
          <t>Cold Soldering</t>
        </is>
      </c>
      <c r="O2083" s="62" t="n">
        <v>540</v>
      </c>
      <c r="P2083" s="9" t="inlineStr">
        <is>
          <t>NSMP2305130051</t>
        </is>
      </c>
      <c r="Q2083" s="53">
        <f>MID(P2083,5,2)</f>
        <v/>
      </c>
      <c r="R2083" s="53">
        <f>MID(P2083,7,2)</f>
        <v/>
      </c>
      <c r="S2083" s="3" t="inlineStr">
        <is>
          <t>G2B</t>
        </is>
      </c>
      <c r="T2083" s="3" t="inlineStr">
        <is>
          <t>P2</t>
        </is>
      </c>
      <c r="U2083" s="19" t="inlineStr">
        <is>
          <t>N JB Cold Soldering</t>
        </is>
      </c>
      <c r="V2083" s="19" t="inlineStr">
        <is>
          <t>Soldering</t>
        </is>
      </c>
      <c r="W2083" s="3" t="inlineStr">
        <is>
          <t>Repair</t>
        </is>
      </c>
      <c r="X2083" s="18" t="n">
        <v>46168</v>
      </c>
      <c r="Y2083" s="3">
        <f>X2083-A2083</f>
        <v/>
      </c>
      <c r="Z2083" s="18" t="n">
        <v>46168</v>
      </c>
      <c r="AA2083" s="15" t="n"/>
      <c r="AB2083" s="15" t="n"/>
    </row>
    <row r="2084">
      <c r="A2084" s="59" t="n">
        <v>46148</v>
      </c>
      <c r="B2084" s="3" t="n">
        <v>2026</v>
      </c>
      <c r="C2084" s="21" t="inlineStr">
        <is>
          <t>Continuum</t>
        </is>
      </c>
      <c r="D2084" s="3" t="inlineStr">
        <is>
          <t>Utility and C&amp;I</t>
        </is>
      </c>
      <c r="E2084" s="3" t="n"/>
      <c r="F2084" s="3" t="inlineStr">
        <is>
          <t>Closed</t>
        </is>
      </c>
      <c r="G2084" s="21" t="inlineStr">
        <is>
          <t>Amiya Ranjan Behera</t>
        </is>
      </c>
      <c r="H2084" s="21" t="n">
        <v>8917436223</v>
      </c>
      <c r="I2084" s="38" t="inlineStr">
        <is>
          <t>PE06052602</t>
        </is>
      </c>
      <c r="J2084" s="21" t="inlineStr">
        <is>
          <t>Diode Bypass Module Issue</t>
        </is>
      </c>
      <c r="K2084" s="21" t="inlineStr">
        <is>
          <t>Bhavnagar</t>
        </is>
      </c>
      <c r="L2084" s="21" t="inlineStr">
        <is>
          <t>Gujarat</t>
        </is>
      </c>
      <c r="M2084" s="9" t="inlineStr">
        <is>
          <t>PS</t>
        </is>
      </c>
      <c r="N2084" s="3" t="inlineStr">
        <is>
          <t>Cold Soldering</t>
        </is>
      </c>
      <c r="O2084" s="62" t="n">
        <v>540</v>
      </c>
      <c r="P2084" s="9" t="inlineStr">
        <is>
          <t>NSMP2305130060</t>
        </is>
      </c>
      <c r="Q2084" s="53">
        <f>MID(P2084,5,2)</f>
        <v/>
      </c>
      <c r="R2084" s="53">
        <f>MID(P2084,7,2)</f>
        <v/>
      </c>
      <c r="S2084" s="3" t="inlineStr">
        <is>
          <t>G2B</t>
        </is>
      </c>
      <c r="T2084" s="3" t="inlineStr">
        <is>
          <t>P2</t>
        </is>
      </c>
      <c r="U2084" s="3" t="inlineStr">
        <is>
          <t>P JB Cold Soldering</t>
        </is>
      </c>
      <c r="V2084" s="3" t="inlineStr">
        <is>
          <t>Soldering</t>
        </is>
      </c>
      <c r="W2084" s="3" t="inlineStr">
        <is>
          <t>Repair</t>
        </is>
      </c>
      <c r="X2084" s="18" t="n">
        <v>46168</v>
      </c>
      <c r="Y2084" s="3">
        <f>X2084-A2084</f>
        <v/>
      </c>
      <c r="Z2084" s="18" t="n">
        <v>46168</v>
      </c>
      <c r="AA2084" s="15" t="n"/>
      <c r="AB2084" s="15" t="n"/>
    </row>
    <row r="2085">
      <c r="A2085" s="59" t="n">
        <v>46148</v>
      </c>
      <c r="B2085" s="3" t="n">
        <v>2026</v>
      </c>
      <c r="C2085" s="21" t="inlineStr">
        <is>
          <t>Continuum</t>
        </is>
      </c>
      <c r="D2085" s="3" t="inlineStr">
        <is>
          <t>Utility and C&amp;I</t>
        </is>
      </c>
      <c r="E2085" s="3" t="n"/>
      <c r="F2085" s="3" t="inlineStr">
        <is>
          <t>Closed</t>
        </is>
      </c>
      <c r="G2085" s="21" t="inlineStr">
        <is>
          <t>Amiya Ranjan Behera</t>
        </is>
      </c>
      <c r="H2085" s="21" t="n">
        <v>8917436223</v>
      </c>
      <c r="I2085" s="38" t="inlineStr">
        <is>
          <t>PE06052602</t>
        </is>
      </c>
      <c r="J2085" s="21" t="inlineStr">
        <is>
          <t>Diode Bypass Module Issue</t>
        </is>
      </c>
      <c r="K2085" s="21" t="inlineStr">
        <is>
          <t>Bhavnagar</t>
        </is>
      </c>
      <c r="L2085" s="21" t="inlineStr">
        <is>
          <t>Gujarat</t>
        </is>
      </c>
      <c r="M2085" s="9" t="inlineStr">
        <is>
          <t>PS</t>
        </is>
      </c>
      <c r="N2085" s="3" t="inlineStr">
        <is>
          <t>Cold Soldering</t>
        </is>
      </c>
      <c r="O2085" s="62" t="n">
        <v>540</v>
      </c>
      <c r="P2085" s="9" t="inlineStr">
        <is>
          <t>NSMP2305131046</t>
        </is>
      </c>
      <c r="Q2085" s="53">
        <f>MID(P2085,5,2)</f>
        <v/>
      </c>
      <c r="R2085" s="53">
        <f>MID(P2085,7,2)</f>
        <v/>
      </c>
      <c r="S2085" s="3" t="inlineStr">
        <is>
          <t>G2B</t>
        </is>
      </c>
      <c r="T2085" s="3" t="inlineStr">
        <is>
          <t>P2</t>
        </is>
      </c>
      <c r="U2085" s="3" t="inlineStr">
        <is>
          <t>P JB Cold Soldering</t>
        </is>
      </c>
      <c r="V2085" s="3" t="inlineStr">
        <is>
          <t>Soldering</t>
        </is>
      </c>
      <c r="W2085" s="3" t="inlineStr">
        <is>
          <t>Repair</t>
        </is>
      </c>
      <c r="X2085" s="18" t="n">
        <v>46168</v>
      </c>
      <c r="Y2085" s="3">
        <f>X2085-A2085</f>
        <v/>
      </c>
      <c r="Z2085" s="18" t="n">
        <v>46168</v>
      </c>
      <c r="AA2085" s="15" t="n"/>
      <c r="AB2085" s="15" t="n"/>
    </row>
    <row r="2086">
      <c r="A2086" s="59" t="n">
        <v>46148</v>
      </c>
      <c r="B2086" s="3" t="n">
        <v>2026</v>
      </c>
      <c r="C2086" s="21" t="inlineStr">
        <is>
          <t>Continuum</t>
        </is>
      </c>
      <c r="D2086" s="3" t="inlineStr">
        <is>
          <t>Utility and C&amp;I</t>
        </is>
      </c>
      <c r="E2086" s="3" t="n"/>
      <c r="F2086" s="3" t="inlineStr">
        <is>
          <t>Closed</t>
        </is>
      </c>
      <c r="G2086" s="21" t="inlineStr">
        <is>
          <t>Amiya Ranjan Behera</t>
        </is>
      </c>
      <c r="H2086" s="21" t="n">
        <v>8917436223</v>
      </c>
      <c r="I2086" s="38" t="inlineStr">
        <is>
          <t>PE06052602</t>
        </is>
      </c>
      <c r="J2086" s="21" t="inlineStr">
        <is>
          <t>Diode Bypass Module Issue</t>
        </is>
      </c>
      <c r="K2086" s="21" t="inlineStr">
        <is>
          <t>Bhavnagar</t>
        </is>
      </c>
      <c r="L2086" s="21" t="inlineStr">
        <is>
          <t>Gujarat</t>
        </is>
      </c>
      <c r="M2086" s="9" t="inlineStr">
        <is>
          <t>PS</t>
        </is>
      </c>
      <c r="N2086" s="3" t="inlineStr">
        <is>
          <t>Cold Soldering</t>
        </is>
      </c>
      <c r="O2086" s="62" t="n">
        <v>540</v>
      </c>
      <c r="P2086" s="9" t="inlineStr">
        <is>
          <t>NSMP2305131079</t>
        </is>
      </c>
      <c r="Q2086" s="53">
        <f>MID(P2086,5,2)</f>
        <v/>
      </c>
      <c r="R2086" s="53">
        <f>MID(P2086,7,2)</f>
        <v/>
      </c>
      <c r="S2086" s="3" t="inlineStr">
        <is>
          <t>G2B</t>
        </is>
      </c>
      <c r="T2086" s="3" t="inlineStr">
        <is>
          <t>P2</t>
        </is>
      </c>
      <c r="U2086" s="3" t="inlineStr">
        <is>
          <t>P JB Cold Soldering</t>
        </is>
      </c>
      <c r="V2086" s="3" t="inlineStr">
        <is>
          <t>Soldering</t>
        </is>
      </c>
      <c r="W2086" s="3" t="inlineStr">
        <is>
          <t>Repair</t>
        </is>
      </c>
      <c r="X2086" s="18" t="n">
        <v>46168</v>
      </c>
      <c r="Y2086" s="3">
        <f>X2086-A2086</f>
        <v/>
      </c>
      <c r="Z2086" s="18" t="n">
        <v>46168</v>
      </c>
      <c r="AA2086" s="15" t="n"/>
      <c r="AB2086" s="15" t="n"/>
    </row>
    <row r="2087">
      <c r="A2087" s="59" t="n">
        <v>46148</v>
      </c>
      <c r="B2087" s="3" t="n">
        <v>2026</v>
      </c>
      <c r="C2087" s="21" t="inlineStr">
        <is>
          <t>Continuum</t>
        </is>
      </c>
      <c r="D2087" s="3" t="inlineStr">
        <is>
          <t>Utility and C&amp;I</t>
        </is>
      </c>
      <c r="E2087" s="3" t="n"/>
      <c r="F2087" s="3" t="inlineStr">
        <is>
          <t>Closed</t>
        </is>
      </c>
      <c r="G2087" s="21" t="inlineStr">
        <is>
          <t>Amiya Ranjan Behera</t>
        </is>
      </c>
      <c r="H2087" s="21" t="n">
        <v>8917436223</v>
      </c>
      <c r="I2087" s="38" t="inlineStr">
        <is>
          <t>PE06052602</t>
        </is>
      </c>
      <c r="J2087" s="21" t="inlineStr">
        <is>
          <t>Diode Bypass Module Issue</t>
        </is>
      </c>
      <c r="K2087" s="21" t="inlineStr">
        <is>
          <t>Bhavnagar</t>
        </is>
      </c>
      <c r="L2087" s="21" t="inlineStr">
        <is>
          <t>Gujarat</t>
        </is>
      </c>
      <c r="M2087" s="9" t="inlineStr">
        <is>
          <t>PS</t>
        </is>
      </c>
      <c r="N2087" s="3" t="inlineStr">
        <is>
          <t>Cold Soldering</t>
        </is>
      </c>
      <c r="O2087" s="62" t="n">
        <v>540</v>
      </c>
      <c r="P2087" s="9" t="inlineStr">
        <is>
          <t>NSMP2305131068</t>
        </is>
      </c>
      <c r="Q2087" s="53">
        <f>MID(P2087,5,2)</f>
        <v/>
      </c>
      <c r="R2087" s="53">
        <f>MID(P2087,7,2)</f>
        <v/>
      </c>
      <c r="S2087" s="3" t="inlineStr">
        <is>
          <t>G2B</t>
        </is>
      </c>
      <c r="T2087" s="3" t="inlineStr">
        <is>
          <t>P2</t>
        </is>
      </c>
      <c r="U2087" s="3" t="inlineStr">
        <is>
          <t>P JB Cold Soldering</t>
        </is>
      </c>
      <c r="V2087" s="3" t="inlineStr">
        <is>
          <t>Soldering</t>
        </is>
      </c>
      <c r="W2087" s="3" t="inlineStr">
        <is>
          <t>Repair</t>
        </is>
      </c>
      <c r="X2087" s="18" t="n">
        <v>46168</v>
      </c>
      <c r="Y2087" s="3">
        <f>X2087-A2087</f>
        <v/>
      </c>
      <c r="Z2087" s="18" t="n">
        <v>46168</v>
      </c>
      <c r="AA2087" s="15" t="n"/>
      <c r="AB2087" s="15" t="n"/>
    </row>
    <row r="2088">
      <c r="A2088" s="59" t="n">
        <v>46148</v>
      </c>
      <c r="B2088" s="3" t="n">
        <v>2026</v>
      </c>
      <c r="C2088" s="21" t="inlineStr">
        <is>
          <t>Continuum</t>
        </is>
      </c>
      <c r="D2088" s="3" t="inlineStr">
        <is>
          <t>Utility and C&amp;I</t>
        </is>
      </c>
      <c r="E2088" s="3" t="n"/>
      <c r="F2088" s="3" t="inlineStr">
        <is>
          <t>Closed</t>
        </is>
      </c>
      <c r="G2088" s="21" t="inlineStr">
        <is>
          <t>Amiya Ranjan Behera</t>
        </is>
      </c>
      <c r="H2088" s="21" t="n">
        <v>8917436223</v>
      </c>
      <c r="I2088" s="38" t="inlineStr">
        <is>
          <t>PE06052602</t>
        </is>
      </c>
      <c r="J2088" s="21" t="inlineStr">
        <is>
          <t>Diode Bypass Module Issue</t>
        </is>
      </c>
      <c r="K2088" s="21" t="inlineStr">
        <is>
          <t>Bhavnagar</t>
        </is>
      </c>
      <c r="L2088" s="21" t="inlineStr">
        <is>
          <t>Gujarat</t>
        </is>
      </c>
      <c r="M2088" s="9" t="inlineStr">
        <is>
          <t>PS</t>
        </is>
      </c>
      <c r="N2088" s="3" t="inlineStr">
        <is>
          <t>Cold Soldering</t>
        </is>
      </c>
      <c r="O2088" s="62" t="n">
        <v>540</v>
      </c>
      <c r="P2088" s="9" t="inlineStr">
        <is>
          <t>NSMP2305131106</t>
        </is>
      </c>
      <c r="Q2088" s="53">
        <f>MID(P2088,5,2)</f>
        <v/>
      </c>
      <c r="R2088" s="53">
        <f>MID(P2088,7,2)</f>
        <v/>
      </c>
      <c r="S2088" s="3" t="inlineStr">
        <is>
          <t>G2B</t>
        </is>
      </c>
      <c r="T2088" s="3" t="inlineStr">
        <is>
          <t>P2</t>
        </is>
      </c>
      <c r="U2088" s="3" t="inlineStr">
        <is>
          <t>P JB Cold Soldering</t>
        </is>
      </c>
      <c r="V2088" s="3" t="inlineStr">
        <is>
          <t>Soldering</t>
        </is>
      </c>
      <c r="W2088" s="3" t="inlineStr">
        <is>
          <t>Repair</t>
        </is>
      </c>
      <c r="X2088" s="18" t="n">
        <v>46168</v>
      </c>
      <c r="Y2088" s="3">
        <f>X2088-A2088</f>
        <v/>
      </c>
      <c r="Z2088" s="18" t="n">
        <v>46168</v>
      </c>
      <c r="AA2088" s="15" t="n"/>
      <c r="AB2088" s="15" t="n"/>
    </row>
    <row r="2089">
      <c r="A2089" s="59" t="n">
        <v>46148</v>
      </c>
      <c r="B2089" s="3" t="n">
        <v>2026</v>
      </c>
      <c r="C2089" s="21" t="inlineStr">
        <is>
          <t>Continuum</t>
        </is>
      </c>
      <c r="D2089" s="3" t="inlineStr">
        <is>
          <t>Utility and C&amp;I</t>
        </is>
      </c>
      <c r="E2089" s="3" t="n"/>
      <c r="F2089" s="3" t="inlineStr">
        <is>
          <t>Closed</t>
        </is>
      </c>
      <c r="G2089" s="21" t="inlineStr">
        <is>
          <t>Amiya Ranjan Behera</t>
        </is>
      </c>
      <c r="H2089" s="21" t="n">
        <v>8917436223</v>
      </c>
      <c r="I2089" s="38" t="inlineStr">
        <is>
          <t>PE06052602</t>
        </is>
      </c>
      <c r="J2089" s="21" t="inlineStr">
        <is>
          <t>Diode Bypass Module Issue</t>
        </is>
      </c>
      <c r="K2089" s="21" t="inlineStr">
        <is>
          <t>Bhavnagar</t>
        </is>
      </c>
      <c r="L2089" s="21" t="inlineStr">
        <is>
          <t>Gujarat</t>
        </is>
      </c>
      <c r="M2089" s="9" t="inlineStr">
        <is>
          <t>PS</t>
        </is>
      </c>
      <c r="N2089" s="3" t="inlineStr">
        <is>
          <t>Cold Soldering</t>
        </is>
      </c>
      <c r="O2089" s="62" t="n">
        <v>540</v>
      </c>
      <c r="P2089" s="9" t="inlineStr">
        <is>
          <t>NSMP2305131129</t>
        </is>
      </c>
      <c r="Q2089" s="53">
        <f>MID(P2089,5,2)</f>
        <v/>
      </c>
      <c r="R2089" s="53">
        <f>MID(P2089,7,2)</f>
        <v/>
      </c>
      <c r="S2089" s="3" t="inlineStr">
        <is>
          <t>G2B</t>
        </is>
      </c>
      <c r="T2089" s="3" t="inlineStr">
        <is>
          <t>P2</t>
        </is>
      </c>
      <c r="U2089" s="3" t="inlineStr">
        <is>
          <t>P JB Cold Soldering</t>
        </is>
      </c>
      <c r="V2089" s="3" t="inlineStr">
        <is>
          <t>Soldering</t>
        </is>
      </c>
      <c r="W2089" s="3" t="inlineStr">
        <is>
          <t>Repair</t>
        </is>
      </c>
      <c r="X2089" s="18" t="n">
        <v>46168</v>
      </c>
      <c r="Y2089" s="3">
        <f>X2089-A2089</f>
        <v/>
      </c>
      <c r="Z2089" s="18" t="n">
        <v>46168</v>
      </c>
      <c r="AA2089" s="15" t="n"/>
      <c r="AB2089" s="15" t="n"/>
    </row>
    <row r="2090">
      <c r="A2090" s="59" t="n">
        <v>46148</v>
      </c>
      <c r="B2090" s="3" t="n">
        <v>2026</v>
      </c>
      <c r="C2090" s="21" t="inlineStr">
        <is>
          <t>Continuum</t>
        </is>
      </c>
      <c r="D2090" s="3" t="inlineStr">
        <is>
          <t>Utility and C&amp;I</t>
        </is>
      </c>
      <c r="E2090" s="3" t="n"/>
      <c r="F2090" s="3" t="inlineStr">
        <is>
          <t>Closed</t>
        </is>
      </c>
      <c r="G2090" s="21" t="inlineStr">
        <is>
          <t>Amiya Ranjan Behera</t>
        </is>
      </c>
      <c r="H2090" s="21" t="n">
        <v>8917436223</v>
      </c>
      <c r="I2090" s="38" t="inlineStr">
        <is>
          <t>PE06052602</t>
        </is>
      </c>
      <c r="J2090" s="21" t="inlineStr">
        <is>
          <t>Diode Bypass Module Issue</t>
        </is>
      </c>
      <c r="K2090" s="21" t="inlineStr">
        <is>
          <t>Bhavnagar</t>
        </is>
      </c>
      <c r="L2090" s="21" t="inlineStr">
        <is>
          <t>Gujarat</t>
        </is>
      </c>
      <c r="M2090" s="9" t="inlineStr">
        <is>
          <t>PS</t>
        </is>
      </c>
      <c r="N2090" s="3" t="inlineStr">
        <is>
          <t>Cold Soldering</t>
        </is>
      </c>
      <c r="O2090" s="62" t="n">
        <v>540</v>
      </c>
      <c r="P2090" s="9" t="inlineStr">
        <is>
          <t>NSMP2305130572</t>
        </is>
      </c>
      <c r="Q2090" s="53">
        <f>MID(P2090,5,2)</f>
        <v/>
      </c>
      <c r="R2090" s="53">
        <f>MID(P2090,7,2)</f>
        <v/>
      </c>
      <c r="S2090" s="3" t="inlineStr">
        <is>
          <t>G2B</t>
        </is>
      </c>
      <c r="T2090" s="3" t="inlineStr">
        <is>
          <t>P2</t>
        </is>
      </c>
      <c r="U2090" s="3" t="inlineStr">
        <is>
          <t>P JB Cold Soldering</t>
        </is>
      </c>
      <c r="V2090" s="3" t="inlineStr">
        <is>
          <t>Soldering</t>
        </is>
      </c>
      <c r="W2090" s="3" t="inlineStr">
        <is>
          <t>Repair</t>
        </is>
      </c>
      <c r="X2090" s="18" t="n">
        <v>46168</v>
      </c>
      <c r="Y2090" s="3">
        <f>X2090-A2090</f>
        <v/>
      </c>
      <c r="Z2090" s="18" t="n">
        <v>46168</v>
      </c>
      <c r="AA2090" s="15" t="n"/>
      <c r="AB2090" s="15" t="n"/>
    </row>
    <row r="2091">
      <c r="A2091" s="59" t="n">
        <v>46148</v>
      </c>
      <c r="B2091" s="3" t="n">
        <v>2026</v>
      </c>
      <c r="C2091" s="21" t="inlineStr">
        <is>
          <t>Continuum</t>
        </is>
      </c>
      <c r="D2091" s="3" t="inlineStr">
        <is>
          <t>Utility and C&amp;I</t>
        </is>
      </c>
      <c r="E2091" s="3" t="n"/>
      <c r="F2091" s="3" t="inlineStr">
        <is>
          <t>Closed</t>
        </is>
      </c>
      <c r="G2091" s="21" t="inlineStr">
        <is>
          <t>Amiya Ranjan Behera</t>
        </is>
      </c>
      <c r="H2091" s="21" t="n">
        <v>8917436223</v>
      </c>
      <c r="I2091" s="38" t="inlineStr">
        <is>
          <t>PE06052602</t>
        </is>
      </c>
      <c r="J2091" s="21" t="inlineStr">
        <is>
          <t>Diode Bypass Module Issue</t>
        </is>
      </c>
      <c r="K2091" s="21" t="inlineStr">
        <is>
          <t>Bhavnagar</t>
        </is>
      </c>
      <c r="L2091" s="21" t="inlineStr">
        <is>
          <t>Gujarat</t>
        </is>
      </c>
      <c r="M2091" s="9" t="inlineStr">
        <is>
          <t>PS</t>
        </is>
      </c>
      <c r="N2091" s="3" t="inlineStr">
        <is>
          <t>Cold Soldering</t>
        </is>
      </c>
      <c r="O2091" s="62" t="n">
        <v>540</v>
      </c>
      <c r="P2091" s="9" t="inlineStr">
        <is>
          <t>NSMP2305130584</t>
        </is>
      </c>
      <c r="Q2091" s="53">
        <f>MID(P2091,5,2)</f>
        <v/>
      </c>
      <c r="R2091" s="53">
        <f>MID(P2091,7,2)</f>
        <v/>
      </c>
      <c r="S2091" s="3" t="inlineStr">
        <is>
          <t>G2B</t>
        </is>
      </c>
      <c r="T2091" s="3" t="inlineStr">
        <is>
          <t>P2</t>
        </is>
      </c>
      <c r="U2091" s="3" t="inlineStr">
        <is>
          <t>P JB Cold Soldering</t>
        </is>
      </c>
      <c r="V2091" s="3" t="inlineStr">
        <is>
          <t>Soldering</t>
        </is>
      </c>
      <c r="W2091" s="3" t="inlineStr">
        <is>
          <t>Repair</t>
        </is>
      </c>
      <c r="X2091" s="18" t="n">
        <v>46168</v>
      </c>
      <c r="Y2091" s="3">
        <f>X2091-A2091</f>
        <v/>
      </c>
      <c r="Z2091" s="18" t="n">
        <v>46168</v>
      </c>
      <c r="AA2091" s="15" t="n"/>
      <c r="AB2091" s="15" t="n"/>
    </row>
    <row r="2092">
      <c r="A2092" s="59" t="n">
        <v>46148</v>
      </c>
      <c r="B2092" s="3" t="n">
        <v>2026</v>
      </c>
      <c r="C2092" s="21" t="inlineStr">
        <is>
          <t>Continuum</t>
        </is>
      </c>
      <c r="D2092" s="3" t="inlineStr">
        <is>
          <t>Utility and C&amp;I</t>
        </is>
      </c>
      <c r="E2092" s="3" t="n"/>
      <c r="F2092" s="3" t="inlineStr">
        <is>
          <t>Closed</t>
        </is>
      </c>
      <c r="G2092" s="21" t="inlineStr">
        <is>
          <t>Amiya Ranjan Behera</t>
        </is>
      </c>
      <c r="H2092" s="21" t="n">
        <v>8917436223</v>
      </c>
      <c r="I2092" s="38" t="inlineStr">
        <is>
          <t>PE06052602</t>
        </is>
      </c>
      <c r="J2092" s="21" t="inlineStr">
        <is>
          <t>Diode Bypass Module Issue</t>
        </is>
      </c>
      <c r="K2092" s="21" t="inlineStr">
        <is>
          <t>Bhavnagar</t>
        </is>
      </c>
      <c r="L2092" s="21" t="inlineStr">
        <is>
          <t>Gujarat</t>
        </is>
      </c>
      <c r="M2092" s="9" t="inlineStr">
        <is>
          <t>PS</t>
        </is>
      </c>
      <c r="N2092" s="3" t="inlineStr">
        <is>
          <t>Cold Soldering</t>
        </is>
      </c>
      <c r="O2092" s="62" t="n">
        <v>540</v>
      </c>
      <c r="P2092" s="9" t="inlineStr">
        <is>
          <t>NSMP2305134255</t>
        </is>
      </c>
      <c r="Q2092" s="53">
        <f>MID(P2092,5,2)</f>
        <v/>
      </c>
      <c r="R2092" s="53">
        <f>MID(P2092,7,2)</f>
        <v/>
      </c>
      <c r="S2092" s="3" t="inlineStr">
        <is>
          <t>G2B</t>
        </is>
      </c>
      <c r="T2092" s="3" t="inlineStr">
        <is>
          <t>P2</t>
        </is>
      </c>
      <c r="U2092" s="3" t="inlineStr">
        <is>
          <t>P JB Cold Soldering</t>
        </is>
      </c>
      <c r="V2092" s="3" t="inlineStr">
        <is>
          <t>Soldering</t>
        </is>
      </c>
      <c r="W2092" s="3" t="inlineStr">
        <is>
          <t>Repair</t>
        </is>
      </c>
      <c r="X2092" s="18" t="n">
        <v>46168</v>
      </c>
      <c r="Y2092" s="3">
        <f>X2092-A2092</f>
        <v/>
      </c>
      <c r="Z2092" s="18" t="n">
        <v>46168</v>
      </c>
      <c r="AA2092" s="15" t="n"/>
      <c r="AB2092" s="15" t="n"/>
    </row>
    <row r="2093">
      <c r="A2093" s="59" t="n">
        <v>46148</v>
      </c>
      <c r="B2093" s="3" t="n">
        <v>2026</v>
      </c>
      <c r="C2093" s="21" t="inlineStr">
        <is>
          <t>Continuum</t>
        </is>
      </c>
      <c r="D2093" s="3" t="inlineStr">
        <is>
          <t>Utility and C&amp;I</t>
        </is>
      </c>
      <c r="E2093" s="3" t="n"/>
      <c r="F2093" s="3" t="inlineStr">
        <is>
          <t>Closed</t>
        </is>
      </c>
      <c r="G2093" s="21" t="inlineStr">
        <is>
          <t>Amiya Ranjan Behera</t>
        </is>
      </c>
      <c r="H2093" s="21" t="n">
        <v>8917436223</v>
      </c>
      <c r="I2093" s="38" t="inlineStr">
        <is>
          <t>PE06052602</t>
        </is>
      </c>
      <c r="J2093" s="21" t="inlineStr">
        <is>
          <t>Diode Bypass Module Issue</t>
        </is>
      </c>
      <c r="K2093" s="21" t="inlineStr">
        <is>
          <t>Bhavnagar</t>
        </is>
      </c>
      <c r="L2093" s="21" t="inlineStr">
        <is>
          <t>Gujarat</t>
        </is>
      </c>
      <c r="M2093" s="9" t="inlineStr">
        <is>
          <t>PR</t>
        </is>
      </c>
      <c r="N2093" s="3" t="inlineStr">
        <is>
          <t>JB Issue</t>
        </is>
      </c>
      <c r="O2093" s="62" t="n">
        <v>540</v>
      </c>
      <c r="P2093" s="9" t="inlineStr">
        <is>
          <t>NSMP2305128865</t>
        </is>
      </c>
      <c r="Q2093" s="53">
        <f>MID(P2093,5,2)</f>
        <v/>
      </c>
      <c r="R2093" s="53">
        <f>MID(P2093,7,2)</f>
        <v/>
      </c>
      <c r="S2093" s="3" t="inlineStr">
        <is>
          <t>G2B</t>
        </is>
      </c>
      <c r="T2093" s="3" t="inlineStr">
        <is>
          <t>P2</t>
        </is>
      </c>
      <c r="U2093" s="3" t="inlineStr">
        <is>
          <t>P JB Issue</t>
        </is>
      </c>
      <c r="V2093" s="15" t="inlineStr">
        <is>
          <t>JB Changed</t>
        </is>
      </c>
      <c r="W2093" s="3" t="inlineStr">
        <is>
          <t>Repair</t>
        </is>
      </c>
      <c r="X2093" s="18" t="n">
        <v>46168</v>
      </c>
      <c r="Y2093" s="3">
        <f>X2093-A2093</f>
        <v/>
      </c>
      <c r="Z2093" s="18" t="n">
        <v>46168</v>
      </c>
      <c r="AA2093" s="15" t="n"/>
      <c r="AB2093" s="15" t="n"/>
    </row>
    <row r="2094">
      <c r="A2094" s="59" t="n">
        <v>46148</v>
      </c>
      <c r="B2094" s="3" t="n">
        <v>2026</v>
      </c>
      <c r="C2094" s="21" t="inlineStr">
        <is>
          <t>Continuum</t>
        </is>
      </c>
      <c r="D2094" s="3" t="inlineStr">
        <is>
          <t>Utility and C&amp;I</t>
        </is>
      </c>
      <c r="E2094" s="3" t="n"/>
      <c r="F2094" s="3" t="inlineStr">
        <is>
          <t>Closed</t>
        </is>
      </c>
      <c r="G2094" s="21" t="inlineStr">
        <is>
          <t>Amiya Ranjan Behera</t>
        </is>
      </c>
      <c r="H2094" s="21" t="n">
        <v>8917436223</v>
      </c>
      <c r="I2094" s="38" t="inlineStr">
        <is>
          <t>PE06052602</t>
        </is>
      </c>
      <c r="J2094" s="21" t="inlineStr">
        <is>
          <t>Diode Bypass Module Issue</t>
        </is>
      </c>
      <c r="K2094" s="21" t="inlineStr">
        <is>
          <t>Bhavnagar</t>
        </is>
      </c>
      <c r="L2094" s="21" t="inlineStr">
        <is>
          <t>Gujarat</t>
        </is>
      </c>
      <c r="M2094" s="9" t="inlineStr">
        <is>
          <t>PS</t>
        </is>
      </c>
      <c r="N2094" s="3" t="inlineStr">
        <is>
          <t>Cold Soldering</t>
        </is>
      </c>
      <c r="O2094" s="62" t="n">
        <v>540</v>
      </c>
      <c r="P2094" s="9" t="inlineStr">
        <is>
          <t>NSMP2305129650</t>
        </is>
      </c>
      <c r="Q2094" s="53">
        <f>MID(P2094,5,2)</f>
        <v/>
      </c>
      <c r="R2094" s="53">
        <f>MID(P2094,7,2)</f>
        <v/>
      </c>
      <c r="S2094" s="3" t="inlineStr">
        <is>
          <t>G2B</t>
        </is>
      </c>
      <c r="T2094" s="3" t="inlineStr">
        <is>
          <t>P2</t>
        </is>
      </c>
      <c r="U2094" s="3" t="inlineStr">
        <is>
          <t>P JB Cold Soldering</t>
        </is>
      </c>
      <c r="V2094" s="3" t="inlineStr">
        <is>
          <t>Soldering</t>
        </is>
      </c>
      <c r="W2094" s="3" t="inlineStr">
        <is>
          <t>Repair</t>
        </is>
      </c>
      <c r="X2094" s="18" t="n">
        <v>46168</v>
      </c>
      <c r="Y2094" s="3">
        <f>X2094-A2094</f>
        <v/>
      </c>
      <c r="Z2094" s="18" t="n">
        <v>46168</v>
      </c>
      <c r="AA2094" s="15" t="n"/>
      <c r="AB2094" s="15" t="n"/>
    </row>
    <row r="2095">
      <c r="A2095" s="59" t="n">
        <v>46148</v>
      </c>
      <c r="B2095" s="3" t="n">
        <v>2026</v>
      </c>
      <c r="C2095" s="21" t="inlineStr">
        <is>
          <t>Continuum</t>
        </is>
      </c>
      <c r="D2095" s="3" t="inlineStr">
        <is>
          <t>Utility and C&amp;I</t>
        </is>
      </c>
      <c r="E2095" s="3" t="n"/>
      <c r="F2095" s="3" t="inlineStr">
        <is>
          <t>Closed</t>
        </is>
      </c>
      <c r="G2095" s="21" t="inlineStr">
        <is>
          <t>Amiya Ranjan Behera</t>
        </is>
      </c>
      <c r="H2095" s="21" t="n">
        <v>8917436223</v>
      </c>
      <c r="I2095" s="38" t="inlineStr">
        <is>
          <t>PE06052602</t>
        </is>
      </c>
      <c r="J2095" s="21" t="inlineStr">
        <is>
          <t>Diode Bypass Module Issue</t>
        </is>
      </c>
      <c r="K2095" s="21" t="inlineStr">
        <is>
          <t>Bhavnagar</t>
        </is>
      </c>
      <c r="L2095" s="21" t="inlineStr">
        <is>
          <t>Gujarat</t>
        </is>
      </c>
      <c r="M2095" s="9" t="inlineStr">
        <is>
          <t>PS</t>
        </is>
      </c>
      <c r="N2095" s="3" t="inlineStr">
        <is>
          <t>Cold Soldering</t>
        </is>
      </c>
      <c r="O2095" s="62" t="n">
        <v>540</v>
      </c>
      <c r="P2095" s="9" t="inlineStr">
        <is>
          <t>NSMP2305128834</t>
        </is>
      </c>
      <c r="Q2095" s="53">
        <f>MID(P2095,5,2)</f>
        <v/>
      </c>
      <c r="R2095" s="53">
        <f>MID(P2095,7,2)</f>
        <v/>
      </c>
      <c r="S2095" s="3" t="inlineStr">
        <is>
          <t>G2B</t>
        </is>
      </c>
      <c r="T2095" s="3" t="inlineStr">
        <is>
          <t>P2</t>
        </is>
      </c>
      <c r="U2095" s="3" t="inlineStr">
        <is>
          <t>P JB Cold Soldering</t>
        </is>
      </c>
      <c r="V2095" s="3" t="inlineStr">
        <is>
          <t>Soldering</t>
        </is>
      </c>
      <c r="W2095" s="3" t="inlineStr">
        <is>
          <t>Repair</t>
        </is>
      </c>
      <c r="X2095" s="18" t="n">
        <v>46168</v>
      </c>
      <c r="Y2095" s="3">
        <f>X2095-A2095</f>
        <v/>
      </c>
      <c r="Z2095" s="18" t="n">
        <v>46168</v>
      </c>
      <c r="AA2095" s="15" t="n"/>
      <c r="AB2095" s="15" t="n"/>
    </row>
    <row r="2096">
      <c r="A2096" s="59" t="n">
        <v>46148</v>
      </c>
      <c r="B2096" s="3" t="n">
        <v>2026</v>
      </c>
      <c r="C2096" s="21" t="inlineStr">
        <is>
          <t>Continuum</t>
        </is>
      </c>
      <c r="D2096" s="3" t="inlineStr">
        <is>
          <t>Utility and C&amp;I</t>
        </is>
      </c>
      <c r="E2096" s="3" t="n"/>
      <c r="F2096" s="3" t="inlineStr">
        <is>
          <t>Closed</t>
        </is>
      </c>
      <c r="G2096" s="21" t="inlineStr">
        <is>
          <t>Amiya Ranjan Behera</t>
        </is>
      </c>
      <c r="H2096" s="21" t="n">
        <v>8917436223</v>
      </c>
      <c r="I2096" s="38" t="inlineStr">
        <is>
          <t>PE06052602</t>
        </is>
      </c>
      <c r="J2096" s="21" t="inlineStr">
        <is>
          <t>Diode Bypass Module Issue</t>
        </is>
      </c>
      <c r="K2096" s="21" t="inlineStr">
        <is>
          <t>Bhavnagar</t>
        </is>
      </c>
      <c r="L2096" s="21" t="inlineStr">
        <is>
          <t>Gujarat</t>
        </is>
      </c>
      <c r="M2096" s="9" t="inlineStr">
        <is>
          <t>PNR</t>
        </is>
      </c>
      <c r="N2096" s="19" t="inlineStr">
        <is>
          <t>JB Issue</t>
        </is>
      </c>
      <c r="O2096" s="62" t="n">
        <v>540</v>
      </c>
      <c r="P2096" s="9" t="inlineStr">
        <is>
          <t>NSMP2305129490</t>
        </is>
      </c>
      <c r="Q2096" s="53">
        <f>MID(P2096,5,2)</f>
        <v/>
      </c>
      <c r="R2096" s="53">
        <f>MID(P2096,7,2)</f>
        <v/>
      </c>
      <c r="S2096" s="3" t="inlineStr">
        <is>
          <t>G2B</t>
        </is>
      </c>
      <c r="T2096" s="3" t="inlineStr">
        <is>
          <t>P2</t>
        </is>
      </c>
      <c r="U2096" s="19" t="inlineStr">
        <is>
          <t>P &amp; N JB Issue</t>
        </is>
      </c>
      <c r="V2096" s="19" t="inlineStr">
        <is>
          <t>JB Changed</t>
        </is>
      </c>
      <c r="W2096" s="3" t="inlineStr">
        <is>
          <t>Repair</t>
        </is>
      </c>
      <c r="X2096" s="18" t="n">
        <v>46168</v>
      </c>
      <c r="Y2096" s="3">
        <f>X2096-A2096</f>
        <v/>
      </c>
      <c r="Z2096" s="18" t="n">
        <v>46168</v>
      </c>
      <c r="AA2096" s="15" t="n"/>
      <c r="AB2096" s="15" t="n"/>
    </row>
    <row r="2097">
      <c r="A2097" s="59" t="n">
        <v>46148</v>
      </c>
      <c r="B2097" s="3" t="n">
        <v>2026</v>
      </c>
      <c r="C2097" s="21" t="inlineStr">
        <is>
          <t>Continuum</t>
        </is>
      </c>
      <c r="D2097" s="3" t="inlineStr">
        <is>
          <t>Utility and C&amp;I</t>
        </is>
      </c>
      <c r="E2097" s="3" t="n"/>
      <c r="F2097" s="3" t="inlineStr">
        <is>
          <t>Closed</t>
        </is>
      </c>
      <c r="G2097" s="21" t="inlineStr">
        <is>
          <t>Amiya Ranjan Behera</t>
        </is>
      </c>
      <c r="H2097" s="21" t="n">
        <v>8917436223</v>
      </c>
      <c r="I2097" s="38" t="inlineStr">
        <is>
          <t>PE06052602</t>
        </is>
      </c>
      <c r="J2097" s="21" t="inlineStr">
        <is>
          <t>Diode Bypass Module Issue</t>
        </is>
      </c>
      <c r="K2097" s="21" t="inlineStr">
        <is>
          <t>Bhavnagar</t>
        </is>
      </c>
      <c r="L2097" s="21" t="inlineStr">
        <is>
          <t>Gujarat</t>
        </is>
      </c>
      <c r="M2097" s="9" t="inlineStr">
        <is>
          <t>PR</t>
        </is>
      </c>
      <c r="N2097" s="3" t="inlineStr">
        <is>
          <t>JB Issue</t>
        </is>
      </c>
      <c r="O2097" s="62" t="n">
        <v>540</v>
      </c>
      <c r="P2097" s="9" t="inlineStr">
        <is>
          <t>NSMP2305129624</t>
        </is>
      </c>
      <c r="Q2097" s="53">
        <f>MID(P2097,5,2)</f>
        <v/>
      </c>
      <c r="R2097" s="53">
        <f>MID(P2097,7,2)</f>
        <v/>
      </c>
      <c r="S2097" s="3" t="inlineStr">
        <is>
          <t>G2B</t>
        </is>
      </c>
      <c r="T2097" s="3" t="inlineStr">
        <is>
          <t>P2</t>
        </is>
      </c>
      <c r="U2097" s="3" t="inlineStr">
        <is>
          <t>P JB Issue</t>
        </is>
      </c>
      <c r="V2097" s="15" t="inlineStr">
        <is>
          <t>JB Changed</t>
        </is>
      </c>
      <c r="W2097" s="3" t="inlineStr">
        <is>
          <t>Repair</t>
        </is>
      </c>
      <c r="X2097" s="18" t="n">
        <v>46168</v>
      </c>
      <c r="Y2097" s="3">
        <f>X2097-A2097</f>
        <v/>
      </c>
      <c r="Z2097" s="18" t="n">
        <v>46168</v>
      </c>
      <c r="AA2097" s="15" t="n"/>
      <c r="AB2097" s="15" t="n"/>
    </row>
    <row r="2098">
      <c r="A2098" s="59" t="n">
        <v>46148</v>
      </c>
      <c r="B2098" s="3" t="n">
        <v>2026</v>
      </c>
      <c r="C2098" s="21" t="inlineStr">
        <is>
          <t>Continuum</t>
        </is>
      </c>
      <c r="D2098" s="3" t="inlineStr">
        <is>
          <t>Utility and C&amp;I</t>
        </is>
      </c>
      <c r="E2098" s="3" t="n"/>
      <c r="F2098" s="3" t="inlineStr">
        <is>
          <t>Closed</t>
        </is>
      </c>
      <c r="G2098" s="21" t="inlineStr">
        <is>
          <t>Amiya Ranjan Behera</t>
        </is>
      </c>
      <c r="H2098" s="21" t="n">
        <v>8917436223</v>
      </c>
      <c r="I2098" s="38" t="inlineStr">
        <is>
          <t>PE06052602</t>
        </is>
      </c>
      <c r="J2098" s="21" t="inlineStr">
        <is>
          <t>Diode Bypass Module Issue</t>
        </is>
      </c>
      <c r="K2098" s="21" t="inlineStr">
        <is>
          <t>Bhavnagar</t>
        </is>
      </c>
      <c r="L2098" s="21" t="inlineStr">
        <is>
          <t>Gujarat</t>
        </is>
      </c>
      <c r="M2098" s="9" t="inlineStr">
        <is>
          <t>NR</t>
        </is>
      </c>
      <c r="N2098" s="26" t="inlineStr">
        <is>
          <t>JB Issue</t>
        </is>
      </c>
      <c r="O2098" s="62" t="n">
        <v>540</v>
      </c>
      <c r="P2098" s="9" t="inlineStr">
        <is>
          <t>NSMP2305121845</t>
        </is>
      </c>
      <c r="Q2098" s="53">
        <f>MID(P2098,5,2)</f>
        <v/>
      </c>
      <c r="R2098" s="53">
        <f>MID(P2098,7,2)</f>
        <v/>
      </c>
      <c r="S2098" s="3" t="inlineStr">
        <is>
          <t>G2B</t>
        </is>
      </c>
      <c r="T2098" s="3" t="inlineStr">
        <is>
          <t>P2</t>
        </is>
      </c>
      <c r="U2098" s="19" t="inlineStr">
        <is>
          <t>N JB Issue</t>
        </is>
      </c>
      <c r="V2098" s="19" t="inlineStr">
        <is>
          <t>JB Changed</t>
        </is>
      </c>
      <c r="W2098" s="3" t="inlineStr">
        <is>
          <t>Repair</t>
        </is>
      </c>
      <c r="X2098" s="18" t="n">
        <v>46168</v>
      </c>
      <c r="Y2098" s="3">
        <f>X2098-A2098</f>
        <v/>
      </c>
      <c r="Z2098" s="18" t="n">
        <v>46168</v>
      </c>
      <c r="AA2098" s="15" t="n"/>
      <c r="AB2098" s="15" t="n"/>
    </row>
    <row r="2099">
      <c r="A2099" s="59" t="n">
        <v>46148</v>
      </c>
      <c r="B2099" s="3" t="n">
        <v>2026</v>
      </c>
      <c r="C2099" s="21" t="inlineStr">
        <is>
          <t>Continuum</t>
        </is>
      </c>
      <c r="D2099" s="3" t="inlineStr">
        <is>
          <t>Utility and C&amp;I</t>
        </is>
      </c>
      <c r="E2099" s="3" t="n"/>
      <c r="F2099" s="3" t="inlineStr">
        <is>
          <t>Closed</t>
        </is>
      </c>
      <c r="G2099" s="21" t="inlineStr">
        <is>
          <t>Amiya Ranjan Behera</t>
        </is>
      </c>
      <c r="H2099" s="21" t="n">
        <v>8917436223</v>
      </c>
      <c r="I2099" s="38" t="inlineStr">
        <is>
          <t>PE06052602</t>
        </is>
      </c>
      <c r="J2099" s="21" t="inlineStr">
        <is>
          <t>Diode Bypass Module Issue</t>
        </is>
      </c>
      <c r="K2099" s="21" t="inlineStr">
        <is>
          <t>Bhavnagar</t>
        </is>
      </c>
      <c r="L2099" s="21" t="inlineStr">
        <is>
          <t>Gujarat</t>
        </is>
      </c>
      <c r="M2099" s="9" t="inlineStr">
        <is>
          <t>PS</t>
        </is>
      </c>
      <c r="N2099" s="3" t="inlineStr">
        <is>
          <t>Cold Soldering</t>
        </is>
      </c>
      <c r="O2099" s="62" t="n">
        <v>540</v>
      </c>
      <c r="P2099" s="9" t="inlineStr">
        <is>
          <t>NSMP2305131077</t>
        </is>
      </c>
      <c r="Q2099" s="53">
        <f>MID(P2099,5,2)</f>
        <v/>
      </c>
      <c r="R2099" s="53">
        <f>MID(P2099,7,2)</f>
        <v/>
      </c>
      <c r="S2099" s="3" t="inlineStr">
        <is>
          <t>G2B</t>
        </is>
      </c>
      <c r="T2099" s="3" t="inlineStr">
        <is>
          <t>P2</t>
        </is>
      </c>
      <c r="U2099" s="3" t="inlineStr">
        <is>
          <t>P JB Cold Soldering</t>
        </is>
      </c>
      <c r="V2099" s="3" t="inlineStr">
        <is>
          <t>Soldering</t>
        </is>
      </c>
      <c r="W2099" s="3" t="inlineStr">
        <is>
          <t>Repair</t>
        </is>
      </c>
      <c r="X2099" s="18" t="n">
        <v>46168</v>
      </c>
      <c r="Y2099" s="3">
        <f>X2099-A2099</f>
        <v/>
      </c>
      <c r="Z2099" s="18" t="n">
        <v>46168</v>
      </c>
      <c r="AA2099" s="15" t="n"/>
      <c r="AB2099" s="15" t="n"/>
    </row>
    <row r="2100">
      <c r="A2100" s="59" t="n">
        <v>46148</v>
      </c>
      <c r="B2100" s="3" t="n">
        <v>2026</v>
      </c>
      <c r="C2100" s="21" t="inlineStr">
        <is>
          <t>Continuum</t>
        </is>
      </c>
      <c r="D2100" s="3" t="inlineStr">
        <is>
          <t>Utility and C&amp;I</t>
        </is>
      </c>
      <c r="E2100" s="3" t="n"/>
      <c r="F2100" s="3" t="inlineStr">
        <is>
          <t>Closed</t>
        </is>
      </c>
      <c r="G2100" s="21" t="inlineStr">
        <is>
          <t>Amiya Ranjan Behera</t>
        </is>
      </c>
      <c r="H2100" s="21" t="n">
        <v>8917436223</v>
      </c>
      <c r="I2100" s="38" t="inlineStr">
        <is>
          <t>PE06052602</t>
        </is>
      </c>
      <c r="J2100" s="21" t="inlineStr">
        <is>
          <t>Diode Bypass Module Issue</t>
        </is>
      </c>
      <c r="K2100" s="21" t="inlineStr">
        <is>
          <t>Bhavnagar</t>
        </is>
      </c>
      <c r="L2100" s="21" t="inlineStr">
        <is>
          <t>Gujarat</t>
        </is>
      </c>
      <c r="M2100" s="9" t="inlineStr">
        <is>
          <t>PS</t>
        </is>
      </c>
      <c r="N2100" s="3" t="inlineStr">
        <is>
          <t>Cold Soldering</t>
        </is>
      </c>
      <c r="O2100" s="62" t="n">
        <v>540</v>
      </c>
      <c r="P2100" s="9" t="inlineStr">
        <is>
          <t>NSMP2305130123</t>
        </is>
      </c>
      <c r="Q2100" s="53">
        <f>MID(P2100,5,2)</f>
        <v/>
      </c>
      <c r="R2100" s="53">
        <f>MID(P2100,7,2)</f>
        <v/>
      </c>
      <c r="S2100" s="3" t="inlineStr">
        <is>
          <t>G2B</t>
        </is>
      </c>
      <c r="T2100" s="3" t="inlineStr">
        <is>
          <t>P2</t>
        </is>
      </c>
      <c r="U2100" s="3" t="inlineStr">
        <is>
          <t>P JB Cold Soldering</t>
        </is>
      </c>
      <c r="V2100" s="3" t="inlineStr">
        <is>
          <t>Soldering</t>
        </is>
      </c>
      <c r="W2100" s="3" t="inlineStr">
        <is>
          <t>Repair</t>
        </is>
      </c>
      <c r="X2100" s="18" t="n">
        <v>46168</v>
      </c>
      <c r="Y2100" s="3">
        <f>X2100-A2100</f>
        <v/>
      </c>
      <c r="Z2100" s="18" t="n">
        <v>46168</v>
      </c>
      <c r="AA2100" s="15" t="n"/>
      <c r="AB2100" s="15" t="n"/>
    </row>
    <row r="2101">
      <c r="A2101" s="59" t="n">
        <v>46148</v>
      </c>
      <c r="B2101" s="3" t="n">
        <v>2026</v>
      </c>
      <c r="C2101" s="21" t="inlineStr">
        <is>
          <t>Continuum</t>
        </is>
      </c>
      <c r="D2101" s="3" t="inlineStr">
        <is>
          <t>Utility and C&amp;I</t>
        </is>
      </c>
      <c r="E2101" s="3" t="n"/>
      <c r="F2101" s="3" t="inlineStr">
        <is>
          <t>Closed</t>
        </is>
      </c>
      <c r="G2101" s="21" t="inlineStr">
        <is>
          <t>Amiya Ranjan Behera</t>
        </is>
      </c>
      <c r="H2101" s="21" t="n">
        <v>8917436223</v>
      </c>
      <c r="I2101" s="38" t="inlineStr">
        <is>
          <t>PE06052602</t>
        </is>
      </c>
      <c r="J2101" s="21" t="inlineStr">
        <is>
          <t>Diode Bypass Module Issue</t>
        </is>
      </c>
      <c r="K2101" s="21" t="inlineStr">
        <is>
          <t>Bhavnagar</t>
        </is>
      </c>
      <c r="L2101" s="21" t="inlineStr">
        <is>
          <t>Gujarat</t>
        </is>
      </c>
      <c r="M2101" s="9" t="inlineStr">
        <is>
          <t>PS</t>
        </is>
      </c>
      <c r="N2101" s="3" t="inlineStr">
        <is>
          <t>Cold Soldering</t>
        </is>
      </c>
      <c r="O2101" s="62" t="n">
        <v>540</v>
      </c>
      <c r="P2101" s="9" t="inlineStr">
        <is>
          <t>NSMP2305129899</t>
        </is>
      </c>
      <c r="Q2101" s="53">
        <f>MID(P2101,5,2)</f>
        <v/>
      </c>
      <c r="R2101" s="53">
        <f>MID(P2101,7,2)</f>
        <v/>
      </c>
      <c r="S2101" s="3" t="inlineStr">
        <is>
          <t>G2B</t>
        </is>
      </c>
      <c r="T2101" s="3" t="inlineStr">
        <is>
          <t>P2</t>
        </is>
      </c>
      <c r="U2101" s="3" t="inlineStr">
        <is>
          <t>P JB Cold Soldering</t>
        </is>
      </c>
      <c r="V2101" s="3" t="inlineStr">
        <is>
          <t>Soldering</t>
        </is>
      </c>
      <c r="W2101" s="3" t="inlineStr">
        <is>
          <t>Repair</t>
        </is>
      </c>
      <c r="X2101" s="18" t="n">
        <v>46168</v>
      </c>
      <c r="Y2101" s="3">
        <f>X2101-A2101</f>
        <v/>
      </c>
      <c r="Z2101" s="18" t="n">
        <v>46168</v>
      </c>
      <c r="AA2101" s="15" t="n"/>
      <c r="AB2101" s="15" t="n"/>
    </row>
    <row r="2102">
      <c r="A2102" s="93" t="n">
        <v>46162</v>
      </c>
      <c r="B2102" s="3" t="n">
        <v>2026</v>
      </c>
      <c r="C2102" s="21" t="inlineStr">
        <is>
          <t>TRUE SUN TRADING COMPANY</t>
        </is>
      </c>
      <c r="D2102" s="3" t="inlineStr">
        <is>
          <t>Channel Sales</t>
        </is>
      </c>
      <c r="E2102" s="3" t="n"/>
      <c r="F2102" s="3" t="inlineStr">
        <is>
          <t>Closed</t>
        </is>
      </c>
      <c r="G2102" s="21" t="inlineStr">
        <is>
          <t>Sarath Ananda</t>
        </is>
      </c>
      <c r="H2102" s="21" t="n">
        <v>8848944464</v>
      </c>
      <c r="I2102" s="38" t="inlineStr">
        <is>
          <t>PE20052603</t>
        </is>
      </c>
      <c r="J2102" s="26" t="inlineStr">
        <is>
          <t>Low generation</t>
        </is>
      </c>
      <c r="K2102" s="21" t="inlineStr">
        <is>
          <t>TRIVANDRUM</t>
        </is>
      </c>
      <c r="L2102" s="21" t="inlineStr">
        <is>
          <t>Kerala</t>
        </is>
      </c>
      <c r="M2102" s="9" t="inlineStr">
        <is>
          <t>PS</t>
        </is>
      </c>
      <c r="N2102" s="3" t="inlineStr">
        <is>
          <t>Cold Soldering</t>
        </is>
      </c>
      <c r="O2102" s="62" t="n">
        <v>545</v>
      </c>
      <c r="P2102" s="8" t="inlineStr">
        <is>
          <t>NSMP2211206434</t>
        </is>
      </c>
      <c r="Q2102" s="53">
        <f>MID(P2102,5,2)</f>
        <v/>
      </c>
      <c r="R2102" s="53">
        <f>MID(P2102,7,2)</f>
        <v/>
      </c>
      <c r="S2102" s="3" t="inlineStr">
        <is>
          <t>G2B</t>
        </is>
      </c>
      <c r="T2102" s="3" t="inlineStr">
        <is>
          <t>P2</t>
        </is>
      </c>
      <c r="U2102" s="3" t="inlineStr">
        <is>
          <t>P JB Cold Soldering</t>
        </is>
      </c>
      <c r="V2102" s="3" t="inlineStr">
        <is>
          <t>Soldering</t>
        </is>
      </c>
      <c r="W2102" s="3" t="inlineStr">
        <is>
          <t>Repair</t>
        </is>
      </c>
      <c r="X2102" s="18" t="n">
        <v>46168</v>
      </c>
      <c r="Y2102" s="3">
        <f>X2102-A2102</f>
        <v/>
      </c>
      <c r="Z2102" s="18" t="n">
        <v>46168</v>
      </c>
      <c r="AA2102" s="15" t="n"/>
      <c r="AB2102" s="15" t="n"/>
    </row>
    <row r="2103">
      <c r="A2103" s="59" t="n">
        <v>46149</v>
      </c>
      <c r="B2103" s="3" t="n">
        <v>2026</v>
      </c>
      <c r="C2103" s="21" t="inlineStr">
        <is>
          <t>TRUE SUN TRADING COMPANY</t>
        </is>
      </c>
      <c r="D2103" s="3" t="inlineStr">
        <is>
          <t>Channel Sales</t>
        </is>
      </c>
      <c r="E2103" s="3" t="n"/>
      <c r="F2103" s="3" t="inlineStr">
        <is>
          <t>Closed</t>
        </is>
      </c>
      <c r="G2103" s="21" t="inlineStr">
        <is>
          <t>Sarath Ananda</t>
        </is>
      </c>
      <c r="H2103" s="21" t="n">
        <v>8848944464</v>
      </c>
      <c r="I2103" s="22" t="inlineStr">
        <is>
          <t>PE07052602</t>
        </is>
      </c>
      <c r="J2103" s="21" t="inlineStr">
        <is>
          <t>Low VOC</t>
        </is>
      </c>
      <c r="K2103" s="21" t="inlineStr">
        <is>
          <t xml:space="preserve">Thiruvalla </t>
        </is>
      </c>
      <c r="L2103" s="21" t="inlineStr">
        <is>
          <t>Kerala</t>
        </is>
      </c>
      <c r="M2103" s="9" t="inlineStr">
        <is>
          <t>PS</t>
        </is>
      </c>
      <c r="N2103" s="3" t="inlineStr">
        <is>
          <t>Cold Soldering</t>
        </is>
      </c>
      <c r="O2103" s="62" t="n">
        <v>515</v>
      </c>
      <c r="P2103" s="8" t="inlineStr">
        <is>
          <t>NSMP2303564668</t>
        </is>
      </c>
      <c r="Q2103" s="53">
        <f>MID(P2103,5,2)</f>
        <v/>
      </c>
      <c r="R2103" s="53">
        <f>MID(P2103,7,2)</f>
        <v/>
      </c>
      <c r="S2103" s="3" t="inlineStr">
        <is>
          <t>G2B</t>
        </is>
      </c>
      <c r="T2103" s="3" t="inlineStr">
        <is>
          <t>P2</t>
        </is>
      </c>
      <c r="U2103" s="3" t="inlineStr">
        <is>
          <t>P JB Cold Soldering</t>
        </is>
      </c>
      <c r="V2103" s="3" t="inlineStr">
        <is>
          <t>Soldering</t>
        </is>
      </c>
      <c r="W2103" s="3" t="inlineStr">
        <is>
          <t>Repair</t>
        </is>
      </c>
      <c r="X2103" s="18" t="n">
        <v>46168</v>
      </c>
      <c r="Y2103" s="3">
        <f>X2103-A2103</f>
        <v/>
      </c>
      <c r="Z2103" s="18" t="n">
        <v>46168</v>
      </c>
      <c r="AA2103" s="15" t="n"/>
      <c r="AB2103" s="15" t="n"/>
    </row>
    <row r="2104">
      <c r="A2104" s="37" t="n">
        <v>46143</v>
      </c>
      <c r="B2104" s="3" t="n">
        <v>2026</v>
      </c>
      <c r="C2104" s="26" t="inlineStr">
        <is>
          <t>Yanara Power</t>
        </is>
      </c>
      <c r="D2104" s="3" t="inlineStr">
        <is>
          <t>Utility and C&amp;I</t>
        </is>
      </c>
      <c r="E2104" s="3" t="n"/>
      <c r="F2104" s="3" t="inlineStr">
        <is>
          <t>Closed</t>
        </is>
      </c>
      <c r="G2104" s="9" t="inlineStr">
        <is>
          <t xml:space="preserve">Ashish Jindal </t>
        </is>
      </c>
      <c r="H2104" s="26" t="n">
        <v>9983975581</v>
      </c>
      <c r="I2104" s="38" t="inlineStr">
        <is>
          <t>PE01052601</t>
        </is>
      </c>
      <c r="J2104" s="26" t="inlineStr">
        <is>
          <t>Multiple Issues</t>
        </is>
      </c>
      <c r="K2104" s="39" t="inlineStr">
        <is>
          <t>Holi</t>
        </is>
      </c>
      <c r="L2104" s="39" t="inlineStr">
        <is>
          <t>Maharashtra</t>
        </is>
      </c>
      <c r="M2104" s="46" t="inlineStr">
        <is>
          <t>PS</t>
        </is>
      </c>
      <c r="N2104" s="3" t="inlineStr">
        <is>
          <t>Cold Soldering</t>
        </is>
      </c>
      <c r="O2104" s="56" t="n">
        <v>575</v>
      </c>
      <c r="P2104" s="46" t="inlineStr">
        <is>
          <t>NSMI24070191193</t>
        </is>
      </c>
      <c r="Q2104" s="54">
        <f>MID(P2104,5,2)</f>
        <v/>
      </c>
      <c r="R2104" s="53">
        <f>MID(P2104,7,2)</f>
        <v/>
      </c>
      <c r="S2104" s="3" t="inlineStr">
        <is>
          <t>G2G</t>
        </is>
      </c>
      <c r="T2104" s="3" t="inlineStr">
        <is>
          <t>P4</t>
        </is>
      </c>
      <c r="U2104" s="19" t="inlineStr">
        <is>
          <t>P JB Cold Soldering</t>
        </is>
      </c>
      <c r="V2104" s="19" t="inlineStr">
        <is>
          <t>Soldering</t>
        </is>
      </c>
      <c r="W2104" s="3" t="inlineStr">
        <is>
          <t>Repair</t>
        </is>
      </c>
      <c r="X2104" s="18" t="n">
        <v>46168</v>
      </c>
      <c r="Y2104" s="3">
        <f>X2104-A2104</f>
        <v/>
      </c>
      <c r="Z2104" s="18" t="n">
        <v>46168</v>
      </c>
      <c r="AA2104" s="15" t="n"/>
      <c r="AB2104" s="15" t="n"/>
    </row>
    <row r="2105">
      <c r="A2105" s="37" t="n">
        <v>46143</v>
      </c>
      <c r="B2105" s="3" t="n">
        <v>2026</v>
      </c>
      <c r="C2105" s="26" t="inlineStr">
        <is>
          <t>Yanara Power</t>
        </is>
      </c>
      <c r="D2105" s="3" t="inlineStr">
        <is>
          <t>Utility and C&amp;I</t>
        </is>
      </c>
      <c r="E2105" s="3" t="n"/>
      <c r="F2105" s="3" t="inlineStr">
        <is>
          <t>Closed</t>
        </is>
      </c>
      <c r="G2105" s="9" t="inlineStr">
        <is>
          <t xml:space="preserve">Ashish Jindal </t>
        </is>
      </c>
      <c r="H2105" s="26" t="n">
        <v>9983975581</v>
      </c>
      <c r="I2105" s="38" t="inlineStr">
        <is>
          <t>PE01052601</t>
        </is>
      </c>
      <c r="J2105" s="26" t="inlineStr">
        <is>
          <t>Multiple Issues</t>
        </is>
      </c>
      <c r="K2105" s="39" t="inlineStr">
        <is>
          <t>Holi</t>
        </is>
      </c>
      <c r="L2105" s="39" t="inlineStr">
        <is>
          <t>Maharashtra</t>
        </is>
      </c>
      <c r="M2105" s="46" t="inlineStr">
        <is>
          <t>NS</t>
        </is>
      </c>
      <c r="N2105" s="3" t="inlineStr">
        <is>
          <t>Cold Soldering</t>
        </is>
      </c>
      <c r="O2105" s="56" t="n">
        <v>575</v>
      </c>
      <c r="P2105" s="46" t="inlineStr">
        <is>
          <t>NSMI24070218849</t>
        </is>
      </c>
      <c r="Q2105" s="54">
        <f>MID(P2105,5,2)</f>
        <v/>
      </c>
      <c r="R2105" s="53">
        <f>MID(P2105,7,2)</f>
        <v/>
      </c>
      <c r="S2105" s="3" t="inlineStr">
        <is>
          <t>G2G</t>
        </is>
      </c>
      <c r="T2105" s="3" t="inlineStr">
        <is>
          <t>P4</t>
        </is>
      </c>
      <c r="U2105" s="3" t="inlineStr">
        <is>
          <t>N JB Cold Soldering</t>
        </is>
      </c>
      <c r="V2105" s="3" t="inlineStr">
        <is>
          <t>Soldering</t>
        </is>
      </c>
      <c r="W2105" s="3" t="inlineStr">
        <is>
          <t>Repair</t>
        </is>
      </c>
      <c r="X2105" s="18" t="n">
        <v>46168</v>
      </c>
      <c r="Y2105" s="3">
        <f>X2105-A2105</f>
        <v/>
      </c>
      <c r="Z2105" s="18" t="n">
        <v>46168</v>
      </c>
      <c r="AA2105" s="15" t="n"/>
      <c r="AB2105" s="15" t="n"/>
    </row>
    <row r="2106">
      <c r="A2106" s="37" t="n">
        <v>46143</v>
      </c>
      <c r="B2106" s="3" t="n">
        <v>2026</v>
      </c>
      <c r="C2106" s="26" t="inlineStr">
        <is>
          <t>Yanara Power</t>
        </is>
      </c>
      <c r="D2106" s="3" t="inlineStr">
        <is>
          <t>Utility and C&amp;I</t>
        </is>
      </c>
      <c r="E2106" s="3" t="n"/>
      <c r="F2106" s="3" t="inlineStr">
        <is>
          <t>Closed</t>
        </is>
      </c>
      <c r="G2106" s="9" t="inlineStr">
        <is>
          <t xml:space="preserve">Ashish Jindal </t>
        </is>
      </c>
      <c r="H2106" s="26" t="n">
        <v>9983975581</v>
      </c>
      <c r="I2106" s="38" t="inlineStr">
        <is>
          <t>PE01052601</t>
        </is>
      </c>
      <c r="J2106" s="26" t="inlineStr">
        <is>
          <t>Multiple Issues</t>
        </is>
      </c>
      <c r="K2106" s="39" t="inlineStr">
        <is>
          <t>Holi</t>
        </is>
      </c>
      <c r="L2106" s="39" t="inlineStr">
        <is>
          <t>Maharashtra</t>
        </is>
      </c>
      <c r="M2106" s="46" t="inlineStr">
        <is>
          <t>PS</t>
        </is>
      </c>
      <c r="N2106" s="3" t="inlineStr">
        <is>
          <t>Cold Soldering</t>
        </is>
      </c>
      <c r="O2106" s="56" t="n">
        <v>575</v>
      </c>
      <c r="P2106" s="46" t="inlineStr">
        <is>
          <t>NSMI24070218802</t>
        </is>
      </c>
      <c r="Q2106" s="54">
        <f>MID(P2106,5,2)</f>
        <v/>
      </c>
      <c r="R2106" s="53">
        <f>MID(P2106,7,2)</f>
        <v/>
      </c>
      <c r="S2106" s="3" t="inlineStr">
        <is>
          <t>G2G</t>
        </is>
      </c>
      <c r="T2106" s="3" t="inlineStr">
        <is>
          <t>P4</t>
        </is>
      </c>
      <c r="U2106" s="19" t="inlineStr">
        <is>
          <t>P JB Cold Soldering</t>
        </is>
      </c>
      <c r="V2106" s="19" t="inlineStr">
        <is>
          <t>Soldering</t>
        </is>
      </c>
      <c r="W2106" s="3" t="inlineStr">
        <is>
          <t>Repair</t>
        </is>
      </c>
      <c r="X2106" s="18" t="n">
        <v>46168</v>
      </c>
      <c r="Y2106" s="3">
        <f>X2106-A2106</f>
        <v/>
      </c>
      <c r="Z2106" s="18" t="n">
        <v>46168</v>
      </c>
      <c r="AA2106" s="15" t="n"/>
      <c r="AB2106" s="15" t="n"/>
    </row>
    <row r="2107">
      <c r="A2107" s="37" t="n">
        <v>46143</v>
      </c>
      <c r="B2107" s="3" t="n">
        <v>2026</v>
      </c>
      <c r="C2107" s="26" t="inlineStr">
        <is>
          <t>Yanara Power</t>
        </is>
      </c>
      <c r="D2107" s="3" t="inlineStr">
        <is>
          <t>Utility and C&amp;I</t>
        </is>
      </c>
      <c r="E2107" s="3" t="n"/>
      <c r="F2107" s="3" t="inlineStr">
        <is>
          <t>Closed</t>
        </is>
      </c>
      <c r="G2107" s="9" t="inlineStr">
        <is>
          <t xml:space="preserve">Ashish Jindal </t>
        </is>
      </c>
      <c r="H2107" s="26" t="n">
        <v>9983975581</v>
      </c>
      <c r="I2107" s="38" t="inlineStr">
        <is>
          <t>PE01052601</t>
        </is>
      </c>
      <c r="J2107" s="26" t="inlineStr">
        <is>
          <t>Multiple Issues</t>
        </is>
      </c>
      <c r="K2107" s="39" t="inlineStr">
        <is>
          <t>Holi</t>
        </is>
      </c>
      <c r="L2107" s="39" t="inlineStr">
        <is>
          <t>Maharashtra</t>
        </is>
      </c>
      <c r="M2107" s="46" t="inlineStr">
        <is>
          <t>PS</t>
        </is>
      </c>
      <c r="N2107" s="3" t="inlineStr">
        <is>
          <t>Cold Soldering</t>
        </is>
      </c>
      <c r="O2107" s="56" t="n">
        <v>575</v>
      </c>
      <c r="P2107" s="46" t="inlineStr">
        <is>
          <t>NSMI24070216434</t>
        </is>
      </c>
      <c r="Q2107" s="54">
        <f>MID(P2107,5,2)</f>
        <v/>
      </c>
      <c r="R2107" s="53">
        <f>MID(P2107,7,2)</f>
        <v/>
      </c>
      <c r="S2107" s="3" t="inlineStr">
        <is>
          <t>G2G</t>
        </is>
      </c>
      <c r="T2107" s="3" t="inlineStr">
        <is>
          <t>P4</t>
        </is>
      </c>
      <c r="U2107" s="19" t="inlineStr">
        <is>
          <t>P JB Cold Soldering</t>
        </is>
      </c>
      <c r="V2107" s="19" t="inlineStr">
        <is>
          <t>Soldering</t>
        </is>
      </c>
      <c r="W2107" s="3" t="inlineStr">
        <is>
          <t>Repair</t>
        </is>
      </c>
      <c r="X2107" s="18" t="n">
        <v>46168</v>
      </c>
      <c r="Y2107" s="3">
        <f>X2107-A2107</f>
        <v/>
      </c>
      <c r="Z2107" s="18" t="n">
        <v>46168</v>
      </c>
      <c r="AA2107" s="15" t="n"/>
      <c r="AB2107" s="15" t="n"/>
    </row>
    <row r="2108">
      <c r="A2108" s="37" t="n">
        <v>46143</v>
      </c>
      <c r="B2108" s="3" t="n">
        <v>2026</v>
      </c>
      <c r="C2108" s="26" t="inlineStr">
        <is>
          <t>Yanara Power</t>
        </is>
      </c>
      <c r="D2108" s="3" t="inlineStr">
        <is>
          <t>Utility and C&amp;I</t>
        </is>
      </c>
      <c r="E2108" s="3" t="n"/>
      <c r="F2108" s="3" t="inlineStr">
        <is>
          <t>Closed</t>
        </is>
      </c>
      <c r="G2108" s="9" t="inlineStr">
        <is>
          <t xml:space="preserve">Ashish Jindal </t>
        </is>
      </c>
      <c r="H2108" s="26" t="n">
        <v>9983975581</v>
      </c>
      <c r="I2108" s="38" t="inlineStr">
        <is>
          <t>PE01052601</t>
        </is>
      </c>
      <c r="J2108" s="26" t="inlineStr">
        <is>
          <t>Multiple Issues</t>
        </is>
      </c>
      <c r="K2108" s="39" t="inlineStr">
        <is>
          <t>Holi</t>
        </is>
      </c>
      <c r="L2108" s="39" t="inlineStr">
        <is>
          <t>Maharashtra</t>
        </is>
      </c>
      <c r="M2108" s="46" t="inlineStr">
        <is>
          <t>PNS</t>
        </is>
      </c>
      <c r="N2108" s="3" t="inlineStr">
        <is>
          <t>Cold Soldering</t>
        </is>
      </c>
      <c r="O2108" s="56" t="n">
        <v>575</v>
      </c>
      <c r="P2108" s="46" t="inlineStr">
        <is>
          <t>NSMI24070216718</t>
        </is>
      </c>
      <c r="Q2108" s="54">
        <f>MID(P2108,5,2)</f>
        <v/>
      </c>
      <c r="R2108" s="53">
        <f>MID(P2108,7,2)</f>
        <v/>
      </c>
      <c r="S2108" s="3" t="inlineStr">
        <is>
          <t>G2G</t>
        </is>
      </c>
      <c r="T2108" s="3" t="inlineStr">
        <is>
          <t>P4</t>
        </is>
      </c>
      <c r="U2108" s="3" t="inlineStr">
        <is>
          <t>P &amp; N JB Cold Soldering</t>
        </is>
      </c>
      <c r="V2108" s="3" t="inlineStr">
        <is>
          <t>Soldering</t>
        </is>
      </c>
      <c r="W2108" s="3" t="inlineStr">
        <is>
          <t>Repair</t>
        </is>
      </c>
      <c r="X2108" s="18" t="n">
        <v>46168</v>
      </c>
      <c r="Y2108" s="3">
        <f>X2108-A2108</f>
        <v/>
      </c>
      <c r="Z2108" s="18" t="n">
        <v>46168</v>
      </c>
      <c r="AA2108" s="15" t="n"/>
      <c r="AB2108" s="15" t="n"/>
    </row>
    <row r="2109">
      <c r="A2109" s="37" t="n">
        <v>46143</v>
      </c>
      <c r="B2109" s="3" t="n">
        <v>2026</v>
      </c>
      <c r="C2109" s="26" t="inlineStr">
        <is>
          <t>Yanara Power</t>
        </is>
      </c>
      <c r="D2109" s="3" t="inlineStr">
        <is>
          <t>Utility and C&amp;I</t>
        </is>
      </c>
      <c r="E2109" s="3" t="n"/>
      <c r="F2109" s="3" t="inlineStr">
        <is>
          <t>Closed</t>
        </is>
      </c>
      <c r="G2109" s="9" t="inlineStr">
        <is>
          <t xml:space="preserve">Ashish Jindal </t>
        </is>
      </c>
      <c r="H2109" s="26" t="n">
        <v>9983975581</v>
      </c>
      <c r="I2109" s="38" t="inlineStr">
        <is>
          <t>PE01052601</t>
        </is>
      </c>
      <c r="J2109" s="26" t="inlineStr">
        <is>
          <t>Multiple Issues</t>
        </is>
      </c>
      <c r="K2109" s="39" t="inlineStr">
        <is>
          <t>Holi</t>
        </is>
      </c>
      <c r="L2109" s="39" t="inlineStr">
        <is>
          <t>Maharashtra</t>
        </is>
      </c>
      <c r="M2109" s="46" t="inlineStr">
        <is>
          <t>PS</t>
        </is>
      </c>
      <c r="N2109" s="3" t="inlineStr">
        <is>
          <t>Cold Soldering</t>
        </is>
      </c>
      <c r="O2109" s="56" t="n">
        <v>575</v>
      </c>
      <c r="P2109" s="46" t="inlineStr">
        <is>
          <t>NSMI24070216306</t>
        </is>
      </c>
      <c r="Q2109" s="54">
        <f>MID(P2109,5,2)</f>
        <v/>
      </c>
      <c r="R2109" s="53">
        <f>MID(P2109,7,2)</f>
        <v/>
      </c>
      <c r="S2109" s="3" t="inlineStr">
        <is>
          <t>G2G</t>
        </is>
      </c>
      <c r="T2109" s="3" t="inlineStr">
        <is>
          <t>P4</t>
        </is>
      </c>
      <c r="U2109" s="19" t="inlineStr">
        <is>
          <t>P JB Cold Soldering</t>
        </is>
      </c>
      <c r="V2109" s="19" t="inlineStr">
        <is>
          <t>Soldering</t>
        </is>
      </c>
      <c r="W2109" s="3" t="inlineStr">
        <is>
          <t>Repair</t>
        </is>
      </c>
      <c r="X2109" s="18" t="n">
        <v>46168</v>
      </c>
      <c r="Y2109" s="3">
        <f>X2109-A2109</f>
        <v/>
      </c>
      <c r="Z2109" s="18" t="n">
        <v>46168</v>
      </c>
      <c r="AA2109" s="15" t="n"/>
      <c r="AB2109" s="15" t="n"/>
    </row>
    <row r="2110">
      <c r="A2110" s="37" t="n">
        <v>46143</v>
      </c>
      <c r="B2110" s="3" t="n">
        <v>2026</v>
      </c>
      <c r="C2110" s="26" t="inlineStr">
        <is>
          <t>Yanara Power</t>
        </is>
      </c>
      <c r="D2110" s="3" t="inlineStr">
        <is>
          <t>Utility and C&amp;I</t>
        </is>
      </c>
      <c r="E2110" s="3" t="n"/>
      <c r="F2110" s="3" t="inlineStr">
        <is>
          <t>Closed</t>
        </is>
      </c>
      <c r="G2110" s="9" t="inlineStr">
        <is>
          <t xml:space="preserve">Ashish Jindal </t>
        </is>
      </c>
      <c r="H2110" s="26" t="n">
        <v>9983975581</v>
      </c>
      <c r="I2110" s="38" t="inlineStr">
        <is>
          <t>PE01052601</t>
        </is>
      </c>
      <c r="J2110" s="26" t="inlineStr">
        <is>
          <t>Multiple Issues</t>
        </is>
      </c>
      <c r="K2110" s="39" t="inlineStr">
        <is>
          <t>Holi</t>
        </is>
      </c>
      <c r="L2110" s="39" t="inlineStr">
        <is>
          <t>Maharashtra</t>
        </is>
      </c>
      <c r="M2110" s="46" t="inlineStr">
        <is>
          <t>PS</t>
        </is>
      </c>
      <c r="N2110" s="3" t="inlineStr">
        <is>
          <t>Cold Soldering</t>
        </is>
      </c>
      <c r="O2110" s="56" t="n">
        <v>575</v>
      </c>
      <c r="P2110" s="46" t="inlineStr">
        <is>
          <t>NSMI24070182274</t>
        </is>
      </c>
      <c r="Q2110" s="54">
        <f>MID(P2110,5,2)</f>
        <v/>
      </c>
      <c r="R2110" s="53">
        <f>MID(P2110,7,2)</f>
        <v/>
      </c>
      <c r="S2110" s="3" t="inlineStr">
        <is>
          <t>G2G</t>
        </is>
      </c>
      <c r="T2110" s="3" t="inlineStr">
        <is>
          <t>P4</t>
        </is>
      </c>
      <c r="U2110" s="19" t="inlineStr">
        <is>
          <t>P JB Cold Soldering</t>
        </is>
      </c>
      <c r="V2110" s="19" t="inlineStr">
        <is>
          <t>Soldering</t>
        </is>
      </c>
      <c r="W2110" s="3" t="inlineStr">
        <is>
          <t>Repair</t>
        </is>
      </c>
      <c r="X2110" s="18" t="n">
        <v>46168</v>
      </c>
      <c r="Y2110" s="3">
        <f>X2110-A2110</f>
        <v/>
      </c>
      <c r="Z2110" s="18" t="n">
        <v>46168</v>
      </c>
      <c r="AA2110" s="15" t="n"/>
      <c r="AB2110" s="15" t="n"/>
    </row>
    <row r="2111">
      <c r="A2111" s="37" t="n">
        <v>46143</v>
      </c>
      <c r="B2111" s="3" t="n">
        <v>2026</v>
      </c>
      <c r="C2111" s="26" t="inlineStr">
        <is>
          <t>Yanara Power</t>
        </is>
      </c>
      <c r="D2111" s="3" t="inlineStr">
        <is>
          <t>Utility and C&amp;I</t>
        </is>
      </c>
      <c r="E2111" s="3" t="n"/>
      <c r="F2111" s="3" t="inlineStr">
        <is>
          <t>Closed</t>
        </is>
      </c>
      <c r="G2111" s="9" t="inlineStr">
        <is>
          <t xml:space="preserve">Ashish Jindal </t>
        </is>
      </c>
      <c r="H2111" s="26" t="n">
        <v>9983975581</v>
      </c>
      <c r="I2111" s="38" t="inlineStr">
        <is>
          <t>PE01052601</t>
        </is>
      </c>
      <c r="J2111" s="26" t="inlineStr">
        <is>
          <t>Multiple Issues</t>
        </is>
      </c>
      <c r="K2111" s="39" t="inlineStr">
        <is>
          <t>Holi</t>
        </is>
      </c>
      <c r="L2111" s="39" t="inlineStr">
        <is>
          <t>Maharashtra</t>
        </is>
      </c>
      <c r="M2111" s="46" t="inlineStr">
        <is>
          <t>PS</t>
        </is>
      </c>
      <c r="N2111" s="3" t="inlineStr">
        <is>
          <t>Cold Soldering</t>
        </is>
      </c>
      <c r="O2111" s="56" t="n">
        <v>575</v>
      </c>
      <c r="P2111" s="46" t="inlineStr">
        <is>
          <t>NSMI24070176762</t>
        </is>
      </c>
      <c r="Q2111" s="54">
        <f>MID(P2111,5,2)</f>
        <v/>
      </c>
      <c r="R2111" s="53">
        <f>MID(P2111,7,2)</f>
        <v/>
      </c>
      <c r="S2111" s="3" t="inlineStr">
        <is>
          <t>G2G</t>
        </is>
      </c>
      <c r="T2111" s="3" t="inlineStr">
        <is>
          <t>P4</t>
        </is>
      </c>
      <c r="U2111" s="19" t="inlineStr">
        <is>
          <t>P JB Cold Soldering</t>
        </is>
      </c>
      <c r="V2111" s="19" t="inlineStr">
        <is>
          <t>Soldering</t>
        </is>
      </c>
      <c r="W2111" s="3" t="inlineStr">
        <is>
          <t>Repair</t>
        </is>
      </c>
      <c r="X2111" s="18" t="n">
        <v>46168</v>
      </c>
      <c r="Y2111" s="3">
        <f>X2111-A2111</f>
        <v/>
      </c>
      <c r="Z2111" s="18" t="n">
        <v>46168</v>
      </c>
      <c r="AA2111" s="15" t="n"/>
      <c r="AB2111" s="15" t="n"/>
    </row>
    <row r="2112">
      <c r="A2112" s="37" t="n">
        <v>46143</v>
      </c>
      <c r="B2112" s="3" t="n">
        <v>2026</v>
      </c>
      <c r="C2112" s="26" t="inlineStr">
        <is>
          <t>Yanara Power</t>
        </is>
      </c>
      <c r="D2112" s="3" t="inlineStr">
        <is>
          <t>Utility and C&amp;I</t>
        </is>
      </c>
      <c r="E2112" s="3" t="n"/>
      <c r="F2112" s="3" t="inlineStr">
        <is>
          <t>Closed</t>
        </is>
      </c>
      <c r="G2112" s="9" t="inlineStr">
        <is>
          <t xml:space="preserve">Ashish Jindal </t>
        </is>
      </c>
      <c r="H2112" s="26" t="n">
        <v>9983975581</v>
      </c>
      <c r="I2112" s="38" t="inlineStr">
        <is>
          <t>PE01052601</t>
        </is>
      </c>
      <c r="J2112" s="26" t="inlineStr">
        <is>
          <t>Multiple Issues</t>
        </is>
      </c>
      <c r="K2112" s="39" t="inlineStr">
        <is>
          <t>Holi</t>
        </is>
      </c>
      <c r="L2112" s="39" t="inlineStr">
        <is>
          <t>Maharashtra</t>
        </is>
      </c>
      <c r="M2112" s="46" t="inlineStr">
        <is>
          <t>NS</t>
        </is>
      </c>
      <c r="N2112" s="3" t="inlineStr">
        <is>
          <t>Cold Soldering</t>
        </is>
      </c>
      <c r="O2112" s="56" t="n">
        <v>575</v>
      </c>
      <c r="P2112" s="46" t="inlineStr">
        <is>
          <t>NSMI24070181740</t>
        </is>
      </c>
      <c r="Q2112" s="54">
        <f>MID(P2112,5,2)</f>
        <v/>
      </c>
      <c r="R2112" s="53">
        <f>MID(P2112,7,2)</f>
        <v/>
      </c>
      <c r="S2112" s="3" t="inlineStr">
        <is>
          <t>G2G</t>
        </is>
      </c>
      <c r="T2112" s="3" t="inlineStr">
        <is>
          <t>P4</t>
        </is>
      </c>
      <c r="U2112" s="3" t="inlineStr">
        <is>
          <t>N JB Cold Soldering</t>
        </is>
      </c>
      <c r="V2112" s="3" t="inlineStr">
        <is>
          <t>Soldering</t>
        </is>
      </c>
      <c r="W2112" s="3" t="inlineStr">
        <is>
          <t>Repair</t>
        </is>
      </c>
      <c r="X2112" s="18" t="n">
        <v>46168</v>
      </c>
      <c r="Y2112" s="3">
        <f>X2112-A2112</f>
        <v/>
      </c>
      <c r="Z2112" s="18" t="n">
        <v>46168</v>
      </c>
      <c r="AA2112" s="15" t="n"/>
      <c r="AB2112" s="15" t="n"/>
    </row>
    <row r="2113">
      <c r="A2113" s="37" t="n">
        <v>46143</v>
      </c>
      <c r="B2113" s="3" t="n">
        <v>2026</v>
      </c>
      <c r="C2113" s="26" t="inlineStr">
        <is>
          <t>Yanara Power</t>
        </is>
      </c>
      <c r="D2113" s="3" t="inlineStr">
        <is>
          <t>Utility and C&amp;I</t>
        </is>
      </c>
      <c r="E2113" s="3" t="n"/>
      <c r="F2113" s="3" t="inlineStr">
        <is>
          <t>Closed</t>
        </is>
      </c>
      <c r="G2113" s="9" t="inlineStr">
        <is>
          <t xml:space="preserve">Ashish Jindal </t>
        </is>
      </c>
      <c r="H2113" s="26" t="n">
        <v>9983975581</v>
      </c>
      <c r="I2113" s="38" t="inlineStr">
        <is>
          <t>PE01052601</t>
        </is>
      </c>
      <c r="J2113" s="26" t="inlineStr">
        <is>
          <t>Multiple Issues</t>
        </is>
      </c>
      <c r="K2113" s="39" t="inlineStr">
        <is>
          <t>Holi</t>
        </is>
      </c>
      <c r="L2113" s="39" t="inlineStr">
        <is>
          <t>Maharashtra</t>
        </is>
      </c>
      <c r="M2113" s="46" t="inlineStr">
        <is>
          <t>PS</t>
        </is>
      </c>
      <c r="N2113" s="3" t="inlineStr">
        <is>
          <t>Cold Soldering</t>
        </is>
      </c>
      <c r="O2113" s="56" t="n">
        <v>575</v>
      </c>
      <c r="P2113" s="46" t="inlineStr">
        <is>
          <t>NSMI24070181761</t>
        </is>
      </c>
      <c r="Q2113" s="54">
        <f>MID(P2113,5,2)</f>
        <v/>
      </c>
      <c r="R2113" s="53">
        <f>MID(P2113,7,2)</f>
        <v/>
      </c>
      <c r="S2113" s="3" t="inlineStr">
        <is>
          <t>G2G</t>
        </is>
      </c>
      <c r="T2113" s="3" t="inlineStr">
        <is>
          <t>P4</t>
        </is>
      </c>
      <c r="U2113" s="19" t="inlineStr">
        <is>
          <t>P JB Cold Soldering</t>
        </is>
      </c>
      <c r="V2113" s="19" t="inlineStr">
        <is>
          <t>Soldering</t>
        </is>
      </c>
      <c r="W2113" s="3" t="inlineStr">
        <is>
          <t>Repair</t>
        </is>
      </c>
      <c r="X2113" s="18" t="n">
        <v>46168</v>
      </c>
      <c r="Y2113" s="3">
        <f>X2113-A2113</f>
        <v/>
      </c>
      <c r="Z2113" s="18" t="n">
        <v>46168</v>
      </c>
      <c r="AA2113" s="15" t="n"/>
      <c r="AB2113" s="15" t="n"/>
    </row>
    <row r="2114">
      <c r="A2114" s="37" t="n">
        <v>46143</v>
      </c>
      <c r="B2114" s="3" t="n">
        <v>2026</v>
      </c>
      <c r="C2114" s="26" t="inlineStr">
        <is>
          <t>Yanara Power</t>
        </is>
      </c>
      <c r="D2114" s="3" t="inlineStr">
        <is>
          <t>Utility and C&amp;I</t>
        </is>
      </c>
      <c r="E2114" s="3" t="n"/>
      <c r="F2114" s="3" t="inlineStr">
        <is>
          <t>Closed</t>
        </is>
      </c>
      <c r="G2114" s="9" t="inlineStr">
        <is>
          <t xml:space="preserve">Ashish Jindal </t>
        </is>
      </c>
      <c r="H2114" s="26" t="n">
        <v>9983975581</v>
      </c>
      <c r="I2114" s="38" t="inlineStr">
        <is>
          <t>PE01052601</t>
        </is>
      </c>
      <c r="J2114" s="26" t="inlineStr">
        <is>
          <t>Multiple Issues</t>
        </is>
      </c>
      <c r="K2114" s="39" t="inlineStr">
        <is>
          <t>Holi</t>
        </is>
      </c>
      <c r="L2114" s="39" t="inlineStr">
        <is>
          <t>Maharashtra</t>
        </is>
      </c>
      <c r="M2114" s="46" t="inlineStr">
        <is>
          <t>PS</t>
        </is>
      </c>
      <c r="N2114" s="3" t="inlineStr">
        <is>
          <t>Cold Soldering</t>
        </is>
      </c>
      <c r="O2114" s="56" t="n">
        <v>575</v>
      </c>
      <c r="P2114" s="46" t="inlineStr">
        <is>
          <t>NSMI24070181680</t>
        </is>
      </c>
      <c r="Q2114" s="54">
        <f>MID(P2114,5,2)</f>
        <v/>
      </c>
      <c r="R2114" s="53">
        <f>MID(P2114,7,2)</f>
        <v/>
      </c>
      <c r="S2114" s="3" t="inlineStr">
        <is>
          <t>G2G</t>
        </is>
      </c>
      <c r="T2114" s="3" t="inlineStr">
        <is>
          <t>P4</t>
        </is>
      </c>
      <c r="U2114" s="19" t="inlineStr">
        <is>
          <t>P JB Cold Soldering</t>
        </is>
      </c>
      <c r="V2114" s="19" t="inlineStr">
        <is>
          <t>Soldering</t>
        </is>
      </c>
      <c r="W2114" s="3" t="inlineStr">
        <is>
          <t>Repair</t>
        </is>
      </c>
      <c r="X2114" s="18" t="n">
        <v>46168</v>
      </c>
      <c r="Y2114" s="3">
        <f>X2114-A2114</f>
        <v/>
      </c>
      <c r="Z2114" s="18" t="n">
        <v>46168</v>
      </c>
      <c r="AA2114" s="15" t="n"/>
      <c r="AB2114" s="15" t="n"/>
    </row>
    <row r="2115">
      <c r="A2115" s="37" t="n">
        <v>46143</v>
      </c>
      <c r="B2115" s="3" t="n">
        <v>2026</v>
      </c>
      <c r="C2115" s="26" t="inlineStr">
        <is>
          <t>Yanara Power</t>
        </is>
      </c>
      <c r="D2115" s="3" t="inlineStr">
        <is>
          <t>Utility and C&amp;I</t>
        </is>
      </c>
      <c r="E2115" s="3" t="n"/>
      <c r="F2115" s="3" t="inlineStr">
        <is>
          <t>Closed</t>
        </is>
      </c>
      <c r="G2115" s="9" t="inlineStr">
        <is>
          <t xml:space="preserve">Ashish Jindal </t>
        </is>
      </c>
      <c r="H2115" s="26" t="n">
        <v>9983975581</v>
      </c>
      <c r="I2115" s="38" t="inlineStr">
        <is>
          <t>PE01052601</t>
        </is>
      </c>
      <c r="J2115" s="26" t="inlineStr">
        <is>
          <t>Multiple Issues</t>
        </is>
      </c>
      <c r="K2115" s="39" t="inlineStr">
        <is>
          <t>Holi</t>
        </is>
      </c>
      <c r="L2115" s="39" t="inlineStr">
        <is>
          <t>Maharashtra</t>
        </is>
      </c>
      <c r="M2115" s="46" t="inlineStr">
        <is>
          <t>PS</t>
        </is>
      </c>
      <c r="N2115" s="3" t="inlineStr">
        <is>
          <t>Cold Soldering</t>
        </is>
      </c>
      <c r="O2115" s="56" t="n">
        <v>575</v>
      </c>
      <c r="P2115" s="46" t="inlineStr">
        <is>
          <t>NSMI24070181976</t>
        </is>
      </c>
      <c r="Q2115" s="54">
        <f>MID(P2115,5,2)</f>
        <v/>
      </c>
      <c r="R2115" s="53">
        <f>MID(P2115,7,2)</f>
        <v/>
      </c>
      <c r="S2115" s="3" t="inlineStr">
        <is>
          <t>G2G</t>
        </is>
      </c>
      <c r="T2115" s="3" t="inlineStr">
        <is>
          <t>P4</t>
        </is>
      </c>
      <c r="U2115" s="19" t="inlineStr">
        <is>
          <t>P JB Cold Soldering</t>
        </is>
      </c>
      <c r="V2115" s="19" t="inlineStr">
        <is>
          <t>Soldering</t>
        </is>
      </c>
      <c r="W2115" s="3" t="inlineStr">
        <is>
          <t>Repair</t>
        </is>
      </c>
      <c r="X2115" s="18" t="n">
        <v>46168</v>
      </c>
      <c r="Y2115" s="3">
        <f>X2115-A2115</f>
        <v/>
      </c>
      <c r="Z2115" s="18" t="n">
        <v>46168</v>
      </c>
      <c r="AA2115" s="15" t="n"/>
      <c r="AB2115" s="15" t="n"/>
    </row>
    <row r="2116">
      <c r="A2116" s="37" t="n">
        <v>46143</v>
      </c>
      <c r="B2116" s="3" t="n">
        <v>2026</v>
      </c>
      <c r="C2116" s="26" t="inlineStr">
        <is>
          <t>Yanara Power</t>
        </is>
      </c>
      <c r="D2116" s="3" t="inlineStr">
        <is>
          <t>Utility and C&amp;I</t>
        </is>
      </c>
      <c r="E2116" s="3" t="n"/>
      <c r="F2116" s="3" t="inlineStr">
        <is>
          <t>Closed</t>
        </is>
      </c>
      <c r="G2116" s="9" t="inlineStr">
        <is>
          <t xml:space="preserve">Ashish Jindal </t>
        </is>
      </c>
      <c r="H2116" s="26" t="n">
        <v>9983975581</v>
      </c>
      <c r="I2116" s="38" t="inlineStr">
        <is>
          <t>PE01052601</t>
        </is>
      </c>
      <c r="J2116" s="26" t="inlineStr">
        <is>
          <t>Multiple Issues</t>
        </is>
      </c>
      <c r="K2116" s="39" t="inlineStr">
        <is>
          <t>Holi</t>
        </is>
      </c>
      <c r="L2116" s="39" t="inlineStr">
        <is>
          <t>Maharashtra</t>
        </is>
      </c>
      <c r="M2116" s="46" t="inlineStr">
        <is>
          <t>NS</t>
        </is>
      </c>
      <c r="N2116" s="3" t="inlineStr">
        <is>
          <t>Cold Soldering</t>
        </is>
      </c>
      <c r="O2116" s="56" t="n">
        <v>575</v>
      </c>
      <c r="P2116" s="46" t="inlineStr">
        <is>
          <t>NSMI24070181723</t>
        </is>
      </c>
      <c r="Q2116" s="54">
        <f>MID(P2116,5,2)</f>
        <v/>
      </c>
      <c r="R2116" s="53">
        <f>MID(P2116,7,2)</f>
        <v/>
      </c>
      <c r="S2116" s="3" t="inlineStr">
        <is>
          <t>G2G</t>
        </is>
      </c>
      <c r="T2116" s="3" t="inlineStr">
        <is>
          <t>P4</t>
        </is>
      </c>
      <c r="U2116" s="3" t="inlineStr">
        <is>
          <t>N JB Cold Soldering</t>
        </is>
      </c>
      <c r="V2116" s="3" t="inlineStr">
        <is>
          <t>Soldering</t>
        </is>
      </c>
      <c r="W2116" s="3" t="inlineStr">
        <is>
          <t>Repair</t>
        </is>
      </c>
      <c r="X2116" s="18" t="n">
        <v>46168</v>
      </c>
      <c r="Y2116" s="3">
        <f>X2116-A2116</f>
        <v/>
      </c>
      <c r="Z2116" s="18" t="n">
        <v>46168</v>
      </c>
      <c r="AA2116" s="15" t="n"/>
      <c r="AB2116" s="15" t="n"/>
    </row>
    <row r="2117">
      <c r="A2117" s="37" t="n">
        <v>46143</v>
      </c>
      <c r="B2117" s="3" t="n">
        <v>2026</v>
      </c>
      <c r="C2117" s="26" t="inlineStr">
        <is>
          <t>Yanara Power</t>
        </is>
      </c>
      <c r="D2117" s="3" t="inlineStr">
        <is>
          <t>Utility and C&amp;I</t>
        </is>
      </c>
      <c r="E2117" s="3" t="n"/>
      <c r="F2117" s="3" t="inlineStr">
        <is>
          <t>Closed</t>
        </is>
      </c>
      <c r="G2117" s="9" t="inlineStr">
        <is>
          <t xml:space="preserve">Ashish Jindal </t>
        </is>
      </c>
      <c r="H2117" s="26" t="n">
        <v>9983975581</v>
      </c>
      <c r="I2117" s="38" t="inlineStr">
        <is>
          <t>PE01052601</t>
        </is>
      </c>
      <c r="J2117" s="26" t="inlineStr">
        <is>
          <t>Multiple Issues</t>
        </is>
      </c>
      <c r="K2117" s="39" t="inlineStr">
        <is>
          <t>Holi</t>
        </is>
      </c>
      <c r="L2117" s="39" t="inlineStr">
        <is>
          <t>Maharashtra</t>
        </is>
      </c>
      <c r="M2117" s="46" t="inlineStr">
        <is>
          <t>PS</t>
        </is>
      </c>
      <c r="N2117" s="3" t="inlineStr">
        <is>
          <t>Cold Soldering</t>
        </is>
      </c>
      <c r="O2117" s="56" t="n">
        <v>575</v>
      </c>
      <c r="P2117" s="46" t="inlineStr">
        <is>
          <t>NSMI24070187820</t>
        </is>
      </c>
      <c r="Q2117" s="54">
        <f>MID(P2117,5,2)</f>
        <v/>
      </c>
      <c r="R2117" s="53">
        <f>MID(P2117,7,2)</f>
        <v/>
      </c>
      <c r="S2117" s="3" t="inlineStr">
        <is>
          <t>G2G</t>
        </is>
      </c>
      <c r="T2117" s="3" t="inlineStr">
        <is>
          <t>P4</t>
        </is>
      </c>
      <c r="U2117" s="19" t="inlineStr">
        <is>
          <t>P JB Cold Soldering</t>
        </is>
      </c>
      <c r="V2117" s="19" t="inlineStr">
        <is>
          <t>Soldering</t>
        </is>
      </c>
      <c r="W2117" s="3" t="inlineStr">
        <is>
          <t>Repair</t>
        </is>
      </c>
      <c r="X2117" s="18" t="n">
        <v>46168</v>
      </c>
      <c r="Y2117" s="3">
        <f>X2117-A2117</f>
        <v/>
      </c>
      <c r="Z2117" s="18" t="n">
        <v>46168</v>
      </c>
      <c r="AA2117" s="15" t="n"/>
      <c r="AB2117" s="15" t="n"/>
    </row>
    <row r="2118">
      <c r="A2118" s="37" t="n">
        <v>46143</v>
      </c>
      <c r="B2118" s="3" t="n">
        <v>2026</v>
      </c>
      <c r="C2118" s="26" t="inlineStr">
        <is>
          <t>Yanara Power</t>
        </is>
      </c>
      <c r="D2118" s="3" t="inlineStr">
        <is>
          <t>Utility and C&amp;I</t>
        </is>
      </c>
      <c r="E2118" s="3" t="n"/>
      <c r="F2118" s="3" t="inlineStr">
        <is>
          <t>Closed</t>
        </is>
      </c>
      <c r="G2118" s="9" t="inlineStr">
        <is>
          <t xml:space="preserve">Ashish Jindal </t>
        </is>
      </c>
      <c r="H2118" s="26" t="n">
        <v>9983975581</v>
      </c>
      <c r="I2118" s="38" t="inlineStr">
        <is>
          <t>PE01052601</t>
        </is>
      </c>
      <c r="J2118" s="26" t="inlineStr">
        <is>
          <t>Multiple Issues</t>
        </is>
      </c>
      <c r="K2118" s="39" t="inlineStr">
        <is>
          <t>Holi</t>
        </is>
      </c>
      <c r="L2118" s="39" t="inlineStr">
        <is>
          <t>Maharashtra</t>
        </is>
      </c>
      <c r="M2118" s="46" t="inlineStr">
        <is>
          <t>PS</t>
        </is>
      </c>
      <c r="N2118" s="3" t="inlineStr">
        <is>
          <t>Cold Soldering</t>
        </is>
      </c>
      <c r="O2118" s="56" t="n">
        <v>575</v>
      </c>
      <c r="P2118" s="46" t="inlineStr">
        <is>
          <t>NSMI24070187768</t>
        </is>
      </c>
      <c r="Q2118" s="54">
        <f>MID(P2118,5,2)</f>
        <v/>
      </c>
      <c r="R2118" s="53">
        <f>MID(P2118,7,2)</f>
        <v/>
      </c>
      <c r="S2118" s="3" t="inlineStr">
        <is>
          <t>G2G</t>
        </is>
      </c>
      <c r="T2118" s="3" t="inlineStr">
        <is>
          <t>P4</t>
        </is>
      </c>
      <c r="U2118" s="19" t="inlineStr">
        <is>
          <t>P JB Cold Soldering</t>
        </is>
      </c>
      <c r="V2118" s="19" t="inlineStr">
        <is>
          <t>Soldering</t>
        </is>
      </c>
      <c r="W2118" s="3" t="inlineStr">
        <is>
          <t>Repair</t>
        </is>
      </c>
      <c r="X2118" s="18" t="n">
        <v>46168</v>
      </c>
      <c r="Y2118" s="3">
        <f>X2118-A2118</f>
        <v/>
      </c>
      <c r="Z2118" s="18" t="n">
        <v>46168</v>
      </c>
      <c r="AA2118" s="15" t="n"/>
      <c r="AB2118" s="15" t="n"/>
    </row>
    <row r="2119">
      <c r="A2119" s="37" t="n">
        <v>46143</v>
      </c>
      <c r="B2119" s="3" t="n">
        <v>2026</v>
      </c>
      <c r="C2119" s="26" t="inlineStr">
        <is>
          <t>Yanara Power</t>
        </is>
      </c>
      <c r="D2119" s="3" t="inlineStr">
        <is>
          <t>Utility and C&amp;I</t>
        </is>
      </c>
      <c r="E2119" s="3" t="n"/>
      <c r="F2119" s="3" t="inlineStr">
        <is>
          <t>Closed</t>
        </is>
      </c>
      <c r="G2119" s="9" t="inlineStr">
        <is>
          <t xml:space="preserve">Ashish Jindal </t>
        </is>
      </c>
      <c r="H2119" s="26" t="n">
        <v>9983975581</v>
      </c>
      <c r="I2119" s="38" t="inlineStr">
        <is>
          <t>PE01052601</t>
        </is>
      </c>
      <c r="J2119" s="26" t="inlineStr">
        <is>
          <t>Multiple Issues</t>
        </is>
      </c>
      <c r="K2119" s="39" t="inlineStr">
        <is>
          <t>Holi</t>
        </is>
      </c>
      <c r="L2119" s="39" t="inlineStr">
        <is>
          <t>Maharashtra</t>
        </is>
      </c>
      <c r="M2119" s="46" t="inlineStr">
        <is>
          <t>PS</t>
        </is>
      </c>
      <c r="N2119" s="3" t="inlineStr">
        <is>
          <t>Cold Soldering</t>
        </is>
      </c>
      <c r="O2119" s="56" t="n">
        <v>575</v>
      </c>
      <c r="P2119" s="46" t="inlineStr">
        <is>
          <t>NSMI24070181353</t>
        </is>
      </c>
      <c r="Q2119" s="54">
        <f>MID(P2119,5,2)</f>
        <v/>
      </c>
      <c r="R2119" s="53">
        <f>MID(P2119,7,2)</f>
        <v/>
      </c>
      <c r="S2119" s="3" t="inlineStr">
        <is>
          <t>G2G</t>
        </is>
      </c>
      <c r="T2119" s="3" t="inlineStr">
        <is>
          <t>P4</t>
        </is>
      </c>
      <c r="U2119" s="19" t="inlineStr">
        <is>
          <t>P JB Cold Soldering</t>
        </is>
      </c>
      <c r="V2119" s="19" t="inlineStr">
        <is>
          <t>Soldering</t>
        </is>
      </c>
      <c r="W2119" s="3" t="inlineStr">
        <is>
          <t>Repair</t>
        </is>
      </c>
      <c r="X2119" s="18" t="n">
        <v>46168</v>
      </c>
      <c r="Y2119" s="3">
        <f>X2119-A2119</f>
        <v/>
      </c>
      <c r="Z2119" s="18" t="n">
        <v>46168</v>
      </c>
      <c r="AA2119" s="15" t="n"/>
      <c r="AB2119" s="15" t="n"/>
    </row>
    <row r="2120">
      <c r="A2120" s="37" t="n">
        <v>46143</v>
      </c>
      <c r="B2120" s="3" t="n">
        <v>2026</v>
      </c>
      <c r="C2120" s="26" t="inlineStr">
        <is>
          <t>Yanara Power</t>
        </is>
      </c>
      <c r="D2120" s="3" t="inlineStr">
        <is>
          <t>Utility and C&amp;I</t>
        </is>
      </c>
      <c r="E2120" s="3" t="n"/>
      <c r="F2120" s="3" t="inlineStr">
        <is>
          <t>Closed</t>
        </is>
      </c>
      <c r="G2120" s="9" t="inlineStr">
        <is>
          <t xml:space="preserve">Ashish Jindal </t>
        </is>
      </c>
      <c r="H2120" s="26" t="n">
        <v>9983975581</v>
      </c>
      <c r="I2120" s="38" t="inlineStr">
        <is>
          <t>PE01052601</t>
        </is>
      </c>
      <c r="J2120" s="26" t="inlineStr">
        <is>
          <t>Multiple Issues</t>
        </is>
      </c>
      <c r="K2120" s="39" t="inlineStr">
        <is>
          <t>Holi</t>
        </is>
      </c>
      <c r="L2120" s="39" t="inlineStr">
        <is>
          <t>Maharashtra</t>
        </is>
      </c>
      <c r="M2120" s="46" t="inlineStr">
        <is>
          <t>PS</t>
        </is>
      </c>
      <c r="N2120" s="3" t="inlineStr">
        <is>
          <t>Cold Soldering</t>
        </is>
      </c>
      <c r="O2120" s="56" t="n">
        <v>575</v>
      </c>
      <c r="P2120" s="46" t="inlineStr">
        <is>
          <t>NSMI24070181334</t>
        </is>
      </c>
      <c r="Q2120" s="54">
        <f>MID(P2120,5,2)</f>
        <v/>
      </c>
      <c r="R2120" s="53">
        <f>MID(P2120,7,2)</f>
        <v/>
      </c>
      <c r="S2120" s="3" t="inlineStr">
        <is>
          <t>G2G</t>
        </is>
      </c>
      <c r="T2120" s="3" t="inlineStr">
        <is>
          <t>P4</t>
        </is>
      </c>
      <c r="U2120" s="19" t="inlineStr">
        <is>
          <t>P JB Cold Soldering</t>
        </is>
      </c>
      <c r="V2120" s="19" t="inlineStr">
        <is>
          <t>Soldering</t>
        </is>
      </c>
      <c r="W2120" s="3" t="inlineStr">
        <is>
          <t>Repair</t>
        </is>
      </c>
      <c r="X2120" s="18" t="n">
        <v>46168</v>
      </c>
      <c r="Y2120" s="3">
        <f>X2120-A2120</f>
        <v/>
      </c>
      <c r="Z2120" s="18" t="n">
        <v>46168</v>
      </c>
      <c r="AA2120" s="15" t="n"/>
      <c r="AB2120" s="15" t="n"/>
    </row>
    <row r="2121">
      <c r="A2121" s="37" t="n">
        <v>46143</v>
      </c>
      <c r="B2121" s="3" t="n">
        <v>2026</v>
      </c>
      <c r="C2121" s="26" t="inlineStr">
        <is>
          <t>Yanara Power</t>
        </is>
      </c>
      <c r="D2121" s="3" t="inlineStr">
        <is>
          <t>Utility and C&amp;I</t>
        </is>
      </c>
      <c r="E2121" s="3" t="n"/>
      <c r="F2121" s="3" t="inlineStr">
        <is>
          <t>Closed</t>
        </is>
      </c>
      <c r="G2121" s="9" t="inlineStr">
        <is>
          <t xml:space="preserve">Ashish Jindal </t>
        </is>
      </c>
      <c r="H2121" s="26" t="n">
        <v>9983975581</v>
      </c>
      <c r="I2121" s="38" t="inlineStr">
        <is>
          <t>PE01052601</t>
        </is>
      </c>
      <c r="J2121" s="26" t="inlineStr">
        <is>
          <t>Multiple Issues</t>
        </is>
      </c>
      <c r="K2121" s="39" t="inlineStr">
        <is>
          <t>Holi</t>
        </is>
      </c>
      <c r="L2121" s="39" t="inlineStr">
        <is>
          <t>Maharashtra</t>
        </is>
      </c>
      <c r="M2121" s="46" t="inlineStr">
        <is>
          <t>NS</t>
        </is>
      </c>
      <c r="N2121" s="3" t="inlineStr">
        <is>
          <t>Cold Soldering</t>
        </is>
      </c>
      <c r="O2121" s="56" t="n">
        <v>575</v>
      </c>
      <c r="P2121" s="46" t="inlineStr">
        <is>
          <t>NSMI24070179481</t>
        </is>
      </c>
      <c r="Q2121" s="54">
        <f>MID(P2121,5,2)</f>
        <v/>
      </c>
      <c r="R2121" s="53">
        <f>MID(P2121,7,2)</f>
        <v/>
      </c>
      <c r="S2121" s="3" t="inlineStr">
        <is>
          <t>G2G</t>
        </is>
      </c>
      <c r="T2121" s="3" t="inlineStr">
        <is>
          <t>P4</t>
        </is>
      </c>
      <c r="U2121" s="3" t="inlineStr">
        <is>
          <t>N JB Cold Soldering</t>
        </is>
      </c>
      <c r="V2121" s="3" t="inlineStr">
        <is>
          <t>Soldering</t>
        </is>
      </c>
      <c r="W2121" s="3" t="inlineStr">
        <is>
          <t>Repair</t>
        </is>
      </c>
      <c r="X2121" s="18" t="n">
        <v>46168</v>
      </c>
      <c r="Y2121" s="3">
        <f>X2121-A2121</f>
        <v/>
      </c>
      <c r="Z2121" s="18" t="n">
        <v>46168</v>
      </c>
      <c r="AA2121" s="15" t="n"/>
      <c r="AB2121" s="15" t="n"/>
    </row>
    <row r="2122">
      <c r="A2122" s="37" t="n">
        <v>46143</v>
      </c>
      <c r="B2122" s="3" t="n">
        <v>2026</v>
      </c>
      <c r="C2122" s="26" t="inlineStr">
        <is>
          <t>Yanara Power</t>
        </is>
      </c>
      <c r="D2122" s="3" t="inlineStr">
        <is>
          <t>Utility and C&amp;I</t>
        </is>
      </c>
      <c r="E2122" s="3" t="n"/>
      <c r="F2122" s="3" t="inlineStr">
        <is>
          <t>Closed</t>
        </is>
      </c>
      <c r="G2122" s="9" t="inlineStr">
        <is>
          <t xml:space="preserve">Ashish Jindal </t>
        </is>
      </c>
      <c r="H2122" s="26" t="n">
        <v>9983975581</v>
      </c>
      <c r="I2122" s="38" t="inlineStr">
        <is>
          <t>PE01052601</t>
        </is>
      </c>
      <c r="J2122" s="26" t="inlineStr">
        <is>
          <t>Multiple Issues</t>
        </is>
      </c>
      <c r="K2122" s="39" t="inlineStr">
        <is>
          <t>Holi</t>
        </is>
      </c>
      <c r="L2122" s="39" t="inlineStr">
        <is>
          <t>Maharashtra</t>
        </is>
      </c>
      <c r="M2122" s="46" t="inlineStr">
        <is>
          <t>NS</t>
        </is>
      </c>
      <c r="N2122" s="3" t="inlineStr">
        <is>
          <t>Cold Soldering</t>
        </is>
      </c>
      <c r="O2122" s="56" t="n">
        <v>575</v>
      </c>
      <c r="P2122" s="46" t="inlineStr">
        <is>
          <t>NSMI24070182108</t>
        </is>
      </c>
      <c r="Q2122" s="54">
        <f>MID(P2122,5,2)</f>
        <v/>
      </c>
      <c r="R2122" s="53">
        <f>MID(P2122,7,2)</f>
        <v/>
      </c>
      <c r="S2122" s="3" t="inlineStr">
        <is>
          <t>G2G</t>
        </is>
      </c>
      <c r="T2122" s="3" t="inlineStr">
        <is>
          <t>P4</t>
        </is>
      </c>
      <c r="U2122" s="3" t="inlineStr">
        <is>
          <t>N JB Cold Soldering</t>
        </is>
      </c>
      <c r="V2122" s="3" t="inlineStr">
        <is>
          <t>Soldering</t>
        </is>
      </c>
      <c r="W2122" s="3" t="inlineStr">
        <is>
          <t>Repair</t>
        </is>
      </c>
      <c r="X2122" s="18" t="n">
        <v>46168</v>
      </c>
      <c r="Y2122" s="3">
        <f>X2122-A2122</f>
        <v/>
      </c>
      <c r="Z2122" s="18" t="n">
        <v>46168</v>
      </c>
      <c r="AA2122" s="15" t="n"/>
      <c r="AB2122" s="15" t="n"/>
    </row>
    <row r="2123">
      <c r="A2123" s="37" t="n">
        <v>46143</v>
      </c>
      <c r="B2123" s="3" t="n">
        <v>2026</v>
      </c>
      <c r="C2123" s="26" t="inlineStr">
        <is>
          <t>Yanara Power</t>
        </is>
      </c>
      <c r="D2123" s="3" t="inlineStr">
        <is>
          <t>Utility and C&amp;I</t>
        </is>
      </c>
      <c r="E2123" s="3" t="n"/>
      <c r="F2123" s="3" t="inlineStr">
        <is>
          <t>Closed</t>
        </is>
      </c>
      <c r="G2123" s="9" t="inlineStr">
        <is>
          <t xml:space="preserve">Ashish Jindal </t>
        </is>
      </c>
      <c r="H2123" s="26" t="n">
        <v>9983975581</v>
      </c>
      <c r="I2123" s="38" t="inlineStr">
        <is>
          <t>PE01052601</t>
        </is>
      </c>
      <c r="J2123" s="26" t="inlineStr">
        <is>
          <t>Multiple Issues</t>
        </is>
      </c>
      <c r="K2123" s="39" t="inlineStr">
        <is>
          <t>Holi</t>
        </is>
      </c>
      <c r="L2123" s="39" t="inlineStr">
        <is>
          <t>Maharashtra</t>
        </is>
      </c>
      <c r="M2123" s="46" t="inlineStr">
        <is>
          <t>NS</t>
        </is>
      </c>
      <c r="N2123" s="3" t="inlineStr">
        <is>
          <t>Cold Soldering</t>
        </is>
      </c>
      <c r="O2123" s="56" t="n">
        <v>575</v>
      </c>
      <c r="P2123" s="46" t="inlineStr">
        <is>
          <t>NSMI24070182170</t>
        </is>
      </c>
      <c r="Q2123" s="54">
        <f>MID(P2123,5,2)</f>
        <v/>
      </c>
      <c r="R2123" s="53">
        <f>MID(P2123,7,2)</f>
        <v/>
      </c>
      <c r="S2123" s="3" t="inlineStr">
        <is>
          <t>G2G</t>
        </is>
      </c>
      <c r="T2123" s="3" t="inlineStr">
        <is>
          <t>P4</t>
        </is>
      </c>
      <c r="U2123" s="3" t="inlineStr">
        <is>
          <t>N JB Cold Soldering</t>
        </is>
      </c>
      <c r="V2123" s="3" t="inlineStr">
        <is>
          <t>Soldering</t>
        </is>
      </c>
      <c r="W2123" s="3" t="inlineStr">
        <is>
          <t>Repair</t>
        </is>
      </c>
      <c r="X2123" s="18" t="n">
        <v>46168</v>
      </c>
      <c r="Y2123" s="3">
        <f>X2123-A2123</f>
        <v/>
      </c>
      <c r="Z2123" s="18" t="n">
        <v>46168</v>
      </c>
      <c r="AA2123" s="15" t="n"/>
      <c r="AB2123" s="15" t="n"/>
    </row>
    <row r="2124">
      <c r="A2124" s="37" t="n">
        <v>46143</v>
      </c>
      <c r="B2124" s="3" t="n">
        <v>2026</v>
      </c>
      <c r="C2124" s="26" t="inlineStr">
        <is>
          <t>Yanara Power</t>
        </is>
      </c>
      <c r="D2124" s="3" t="inlineStr">
        <is>
          <t>Utility and C&amp;I</t>
        </is>
      </c>
      <c r="E2124" s="3" t="n"/>
      <c r="F2124" s="3" t="inlineStr">
        <is>
          <t>Closed</t>
        </is>
      </c>
      <c r="G2124" s="9" t="inlineStr">
        <is>
          <t xml:space="preserve">Ashish Jindal </t>
        </is>
      </c>
      <c r="H2124" s="26" t="n">
        <v>9983975581</v>
      </c>
      <c r="I2124" s="38" t="inlineStr">
        <is>
          <t>PE01052601</t>
        </is>
      </c>
      <c r="J2124" s="26" t="inlineStr">
        <is>
          <t>Multiple Issues</t>
        </is>
      </c>
      <c r="K2124" s="39" t="inlineStr">
        <is>
          <t>Holi</t>
        </is>
      </c>
      <c r="L2124" s="39" t="inlineStr">
        <is>
          <t>Maharashtra</t>
        </is>
      </c>
      <c r="M2124" s="46" t="inlineStr">
        <is>
          <t>NS</t>
        </is>
      </c>
      <c r="N2124" s="3" t="inlineStr">
        <is>
          <t>Cold Soldering</t>
        </is>
      </c>
      <c r="O2124" s="56" t="n">
        <v>575</v>
      </c>
      <c r="P2124" s="46" t="inlineStr">
        <is>
          <t>NSMI24070199052</t>
        </is>
      </c>
      <c r="Q2124" s="54">
        <f>MID(P2124,5,2)</f>
        <v/>
      </c>
      <c r="R2124" s="53">
        <f>MID(P2124,7,2)</f>
        <v/>
      </c>
      <c r="S2124" s="3" t="inlineStr">
        <is>
          <t>G2G</t>
        </is>
      </c>
      <c r="T2124" s="3" t="inlineStr">
        <is>
          <t>P4</t>
        </is>
      </c>
      <c r="U2124" s="3" t="inlineStr">
        <is>
          <t>N JB Cold Soldering</t>
        </is>
      </c>
      <c r="V2124" s="3" t="inlineStr">
        <is>
          <t>Soldering</t>
        </is>
      </c>
      <c r="W2124" s="3" t="inlineStr">
        <is>
          <t>Repair</t>
        </is>
      </c>
      <c r="X2124" s="18" t="n">
        <v>46168</v>
      </c>
      <c r="Y2124" s="3">
        <f>X2124-A2124</f>
        <v/>
      </c>
      <c r="Z2124" s="18" t="n">
        <v>46168</v>
      </c>
      <c r="AA2124" s="15" t="n"/>
      <c r="AB2124" s="15" t="n"/>
    </row>
    <row r="2125">
      <c r="A2125" s="37" t="n">
        <v>46143</v>
      </c>
      <c r="B2125" s="3" t="n">
        <v>2026</v>
      </c>
      <c r="C2125" s="26" t="inlineStr">
        <is>
          <t>Yanara Power</t>
        </is>
      </c>
      <c r="D2125" s="3" t="inlineStr">
        <is>
          <t>Utility and C&amp;I</t>
        </is>
      </c>
      <c r="E2125" s="3" t="n"/>
      <c r="F2125" s="3" t="inlineStr">
        <is>
          <t>Closed</t>
        </is>
      </c>
      <c r="G2125" s="9" t="inlineStr">
        <is>
          <t xml:space="preserve">Ashish Jindal </t>
        </is>
      </c>
      <c r="H2125" s="26" t="n">
        <v>9983975581</v>
      </c>
      <c r="I2125" s="38" t="inlineStr">
        <is>
          <t>PE01052601</t>
        </is>
      </c>
      <c r="J2125" s="26" t="inlineStr">
        <is>
          <t>Multiple Issues</t>
        </is>
      </c>
      <c r="K2125" s="39" t="inlineStr">
        <is>
          <t>Holi</t>
        </is>
      </c>
      <c r="L2125" s="39" t="inlineStr">
        <is>
          <t>Maharashtra</t>
        </is>
      </c>
      <c r="M2125" s="46" t="inlineStr">
        <is>
          <t>PS</t>
        </is>
      </c>
      <c r="N2125" s="3" t="inlineStr">
        <is>
          <t>Cold Soldering</t>
        </is>
      </c>
      <c r="O2125" s="56" t="n">
        <v>575</v>
      </c>
      <c r="P2125" s="46" t="inlineStr">
        <is>
          <t>NSMI24070199051</t>
        </is>
      </c>
      <c r="Q2125" s="54">
        <f>MID(P2125,5,2)</f>
        <v/>
      </c>
      <c r="R2125" s="53">
        <f>MID(P2125,7,2)</f>
        <v/>
      </c>
      <c r="S2125" s="3" t="inlineStr">
        <is>
          <t>G2G</t>
        </is>
      </c>
      <c r="T2125" s="3" t="inlineStr">
        <is>
          <t>P4</t>
        </is>
      </c>
      <c r="U2125" s="19" t="inlineStr">
        <is>
          <t>P JB Cold Soldering</t>
        </is>
      </c>
      <c r="V2125" s="19" t="inlineStr">
        <is>
          <t>Soldering</t>
        </is>
      </c>
      <c r="W2125" s="3" t="inlineStr">
        <is>
          <t>Repair</t>
        </is>
      </c>
      <c r="X2125" s="18" t="n">
        <v>46168</v>
      </c>
      <c r="Y2125" s="3">
        <f>X2125-A2125</f>
        <v/>
      </c>
      <c r="Z2125" s="18" t="n">
        <v>46168</v>
      </c>
      <c r="AA2125" s="15" t="n"/>
      <c r="AB2125" s="15" t="n"/>
    </row>
    <row r="2126">
      <c r="A2126" s="37" t="n">
        <v>46143</v>
      </c>
      <c r="B2126" s="3" t="n">
        <v>2026</v>
      </c>
      <c r="C2126" s="26" t="inlineStr">
        <is>
          <t>Yanara Power</t>
        </is>
      </c>
      <c r="D2126" s="3" t="inlineStr">
        <is>
          <t>Utility and C&amp;I</t>
        </is>
      </c>
      <c r="E2126" s="3" t="n"/>
      <c r="F2126" s="3" t="inlineStr">
        <is>
          <t>Closed</t>
        </is>
      </c>
      <c r="G2126" s="9" t="inlineStr">
        <is>
          <t xml:space="preserve">Ashish Jindal </t>
        </is>
      </c>
      <c r="H2126" s="26" t="n">
        <v>9983975581</v>
      </c>
      <c r="I2126" s="38" t="inlineStr">
        <is>
          <t>PE01052601</t>
        </is>
      </c>
      <c r="J2126" s="26" t="inlineStr">
        <is>
          <t>Multiple Issues</t>
        </is>
      </c>
      <c r="K2126" s="39" t="inlineStr">
        <is>
          <t>Holi</t>
        </is>
      </c>
      <c r="L2126" s="39" t="inlineStr">
        <is>
          <t>Maharashtra</t>
        </is>
      </c>
      <c r="M2126" s="46" t="inlineStr">
        <is>
          <t>PS</t>
        </is>
      </c>
      <c r="N2126" s="3" t="inlineStr">
        <is>
          <t>Cold Soldering</t>
        </is>
      </c>
      <c r="O2126" s="56" t="n">
        <v>575</v>
      </c>
      <c r="P2126" s="46" t="inlineStr">
        <is>
          <t>NSMI24070202612</t>
        </is>
      </c>
      <c r="Q2126" s="54">
        <f>MID(P2126,5,2)</f>
        <v/>
      </c>
      <c r="R2126" s="53">
        <f>MID(P2126,7,2)</f>
        <v/>
      </c>
      <c r="S2126" s="3" t="inlineStr">
        <is>
          <t>G2G</t>
        </is>
      </c>
      <c r="T2126" s="3" t="inlineStr">
        <is>
          <t>P4</t>
        </is>
      </c>
      <c r="U2126" s="19" t="inlineStr">
        <is>
          <t>P JB Cold Soldering</t>
        </is>
      </c>
      <c r="V2126" s="19" t="inlineStr">
        <is>
          <t>Soldering</t>
        </is>
      </c>
      <c r="W2126" s="3" t="inlineStr">
        <is>
          <t>Repair</t>
        </is>
      </c>
      <c r="X2126" s="18" t="n">
        <v>46168</v>
      </c>
      <c r="Y2126" s="3">
        <f>X2126-A2126</f>
        <v/>
      </c>
      <c r="Z2126" s="18" t="n">
        <v>46168</v>
      </c>
      <c r="AA2126" s="15" t="n"/>
      <c r="AB2126" s="15" t="n"/>
    </row>
    <row r="2127">
      <c r="A2127" s="37" t="n">
        <v>46143</v>
      </c>
      <c r="B2127" s="3" t="n">
        <v>2026</v>
      </c>
      <c r="C2127" s="26" t="inlineStr">
        <is>
          <t>Yanara Power</t>
        </is>
      </c>
      <c r="D2127" s="3" t="inlineStr">
        <is>
          <t>Utility and C&amp;I</t>
        </is>
      </c>
      <c r="E2127" s="3" t="n"/>
      <c r="F2127" s="3" t="inlineStr">
        <is>
          <t>Closed</t>
        </is>
      </c>
      <c r="G2127" s="9" t="inlineStr">
        <is>
          <t xml:space="preserve">Ashish Jindal </t>
        </is>
      </c>
      <c r="H2127" s="26" t="n">
        <v>9983975581</v>
      </c>
      <c r="I2127" s="38" t="inlineStr">
        <is>
          <t>PE01052601</t>
        </is>
      </c>
      <c r="J2127" s="26" t="inlineStr">
        <is>
          <t>Multiple Issues</t>
        </is>
      </c>
      <c r="K2127" s="39" t="inlineStr">
        <is>
          <t>Holi</t>
        </is>
      </c>
      <c r="L2127" s="39" t="inlineStr">
        <is>
          <t>Maharashtra</t>
        </is>
      </c>
      <c r="M2127" s="46" t="inlineStr">
        <is>
          <t>PS</t>
        </is>
      </c>
      <c r="N2127" s="3" t="inlineStr">
        <is>
          <t>Cold Soldering</t>
        </is>
      </c>
      <c r="O2127" s="56" t="n">
        <v>575</v>
      </c>
      <c r="P2127" s="46" t="inlineStr">
        <is>
          <t>NSMI24070179673</t>
        </is>
      </c>
      <c r="Q2127" s="54">
        <f>MID(P2127,5,2)</f>
        <v/>
      </c>
      <c r="R2127" s="53">
        <f>MID(P2127,7,2)</f>
        <v/>
      </c>
      <c r="S2127" s="3" t="inlineStr">
        <is>
          <t>G2G</t>
        </is>
      </c>
      <c r="T2127" s="3" t="inlineStr">
        <is>
          <t>P4</t>
        </is>
      </c>
      <c r="U2127" s="19" t="inlineStr">
        <is>
          <t>P JB Cold Soldering</t>
        </is>
      </c>
      <c r="V2127" s="19" t="inlineStr">
        <is>
          <t>Soldering</t>
        </is>
      </c>
      <c r="W2127" s="3" t="inlineStr">
        <is>
          <t>Repair</t>
        </is>
      </c>
      <c r="X2127" s="18" t="n">
        <v>46168</v>
      </c>
      <c r="Y2127" s="3">
        <f>X2127-A2127</f>
        <v/>
      </c>
      <c r="Z2127" s="18" t="n">
        <v>46168</v>
      </c>
      <c r="AA2127" s="15" t="n"/>
      <c r="AB2127" s="15" t="n"/>
    </row>
    <row r="2128">
      <c r="A2128" s="37" t="n">
        <v>46143</v>
      </c>
      <c r="B2128" s="3" t="n">
        <v>2026</v>
      </c>
      <c r="C2128" s="26" t="inlineStr">
        <is>
          <t>Yanara Power</t>
        </is>
      </c>
      <c r="D2128" s="3" t="inlineStr">
        <is>
          <t>Utility and C&amp;I</t>
        </is>
      </c>
      <c r="E2128" s="3" t="n"/>
      <c r="F2128" s="3" t="inlineStr">
        <is>
          <t>Closed</t>
        </is>
      </c>
      <c r="G2128" s="9" t="inlineStr">
        <is>
          <t xml:space="preserve">Ashish Jindal </t>
        </is>
      </c>
      <c r="H2128" s="26" t="n">
        <v>9983975581</v>
      </c>
      <c r="I2128" s="38" t="inlineStr">
        <is>
          <t>PE01052601</t>
        </is>
      </c>
      <c r="J2128" s="26" t="inlineStr">
        <is>
          <t>Multiple Issues</t>
        </is>
      </c>
      <c r="K2128" s="39" t="inlineStr">
        <is>
          <t>Holi</t>
        </is>
      </c>
      <c r="L2128" s="39" t="inlineStr">
        <is>
          <t>Maharashtra</t>
        </is>
      </c>
      <c r="M2128" s="46" t="inlineStr">
        <is>
          <t>PS</t>
        </is>
      </c>
      <c r="N2128" s="3" t="inlineStr">
        <is>
          <t>Cold Soldering</t>
        </is>
      </c>
      <c r="O2128" s="56" t="n">
        <v>575</v>
      </c>
      <c r="P2128" s="46" t="inlineStr">
        <is>
          <t>NSMI24070218041</t>
        </is>
      </c>
      <c r="Q2128" s="54">
        <f>MID(P2128,5,2)</f>
        <v/>
      </c>
      <c r="R2128" s="53">
        <f>MID(P2128,7,2)</f>
        <v/>
      </c>
      <c r="S2128" s="3" t="inlineStr">
        <is>
          <t>G2G</t>
        </is>
      </c>
      <c r="T2128" s="3" t="inlineStr">
        <is>
          <t>P4</t>
        </is>
      </c>
      <c r="U2128" s="19" t="inlineStr">
        <is>
          <t>P JB Cold Soldering</t>
        </is>
      </c>
      <c r="V2128" s="19" t="inlineStr">
        <is>
          <t>Soldering</t>
        </is>
      </c>
      <c r="W2128" s="3" t="inlineStr">
        <is>
          <t>Repair</t>
        </is>
      </c>
      <c r="X2128" s="18" t="n">
        <v>46168</v>
      </c>
      <c r="Y2128" s="3">
        <f>X2128-A2128</f>
        <v/>
      </c>
      <c r="Z2128" s="18" t="n">
        <v>46168</v>
      </c>
      <c r="AA2128" s="15" t="n"/>
      <c r="AB2128" s="15" t="n"/>
    </row>
    <row r="2129">
      <c r="A2129" s="37" t="n">
        <v>46143</v>
      </c>
      <c r="B2129" s="3" t="n">
        <v>2026</v>
      </c>
      <c r="C2129" s="26" t="inlineStr">
        <is>
          <t>Yanara Power</t>
        </is>
      </c>
      <c r="D2129" s="3" t="inlineStr">
        <is>
          <t>Utility and C&amp;I</t>
        </is>
      </c>
      <c r="E2129" s="3" t="n"/>
      <c r="F2129" s="3" t="inlineStr">
        <is>
          <t>Closed</t>
        </is>
      </c>
      <c r="G2129" s="9" t="inlineStr">
        <is>
          <t xml:space="preserve">Ashish Jindal </t>
        </is>
      </c>
      <c r="H2129" s="26" t="n">
        <v>9983975581</v>
      </c>
      <c r="I2129" s="38" t="inlineStr">
        <is>
          <t>PE01052601</t>
        </is>
      </c>
      <c r="J2129" s="26" t="inlineStr">
        <is>
          <t>Multiple Issues</t>
        </is>
      </c>
      <c r="K2129" s="39" t="inlineStr">
        <is>
          <t>Holi</t>
        </is>
      </c>
      <c r="L2129" s="39" t="inlineStr">
        <is>
          <t>Maharashtra</t>
        </is>
      </c>
      <c r="M2129" s="46" t="inlineStr">
        <is>
          <t>NS</t>
        </is>
      </c>
      <c r="N2129" s="3" t="inlineStr">
        <is>
          <t>Cold Soldering</t>
        </is>
      </c>
      <c r="O2129" s="56" t="n">
        <v>575</v>
      </c>
      <c r="P2129" s="46" t="inlineStr">
        <is>
          <t>NSMI24070178274</t>
        </is>
      </c>
      <c r="Q2129" s="54">
        <f>MID(P2129,5,2)</f>
        <v/>
      </c>
      <c r="R2129" s="53">
        <f>MID(P2129,7,2)</f>
        <v/>
      </c>
      <c r="S2129" s="3" t="inlineStr">
        <is>
          <t>G2G</t>
        </is>
      </c>
      <c r="T2129" s="3" t="inlineStr">
        <is>
          <t>P4</t>
        </is>
      </c>
      <c r="U2129" s="3" t="inlineStr">
        <is>
          <t>N JB Cold Soldering</t>
        </is>
      </c>
      <c r="V2129" s="3" t="inlineStr">
        <is>
          <t>Soldering</t>
        </is>
      </c>
      <c r="W2129" s="3" t="inlineStr">
        <is>
          <t>Repair</t>
        </is>
      </c>
      <c r="X2129" s="18" t="n">
        <v>46168</v>
      </c>
      <c r="Y2129" s="3">
        <f>X2129-A2129</f>
        <v/>
      </c>
      <c r="Z2129" s="18" t="n">
        <v>46168</v>
      </c>
      <c r="AA2129" s="15" t="n"/>
      <c r="AB2129" s="15" t="n"/>
    </row>
    <row r="2130">
      <c r="A2130" s="37" t="n">
        <v>46143</v>
      </c>
      <c r="B2130" s="3" t="n">
        <v>2026</v>
      </c>
      <c r="C2130" s="26" t="inlineStr">
        <is>
          <t>Yanara Power</t>
        </is>
      </c>
      <c r="D2130" s="3" t="inlineStr">
        <is>
          <t>Utility and C&amp;I</t>
        </is>
      </c>
      <c r="E2130" s="3" t="n"/>
      <c r="F2130" s="3" t="inlineStr">
        <is>
          <t>Closed</t>
        </is>
      </c>
      <c r="G2130" s="9" t="inlineStr">
        <is>
          <t xml:space="preserve">Ashish Jindal </t>
        </is>
      </c>
      <c r="H2130" s="26" t="n">
        <v>9983975581</v>
      </c>
      <c r="I2130" s="38" t="inlineStr">
        <is>
          <t>PE01052601</t>
        </is>
      </c>
      <c r="J2130" s="26" t="inlineStr">
        <is>
          <t>Multiple Issues</t>
        </is>
      </c>
      <c r="K2130" s="39" t="inlineStr">
        <is>
          <t>Holi</t>
        </is>
      </c>
      <c r="L2130" s="39" t="inlineStr">
        <is>
          <t>Maharashtra</t>
        </is>
      </c>
      <c r="M2130" s="46" t="inlineStr">
        <is>
          <t>PS</t>
        </is>
      </c>
      <c r="N2130" s="3" t="inlineStr">
        <is>
          <t>Cold Soldering</t>
        </is>
      </c>
      <c r="O2130" s="56" t="n">
        <v>575</v>
      </c>
      <c r="P2130" s="46" t="inlineStr">
        <is>
          <t>NSMI24070178043</t>
        </is>
      </c>
      <c r="Q2130" s="54">
        <f>MID(P2130,5,2)</f>
        <v/>
      </c>
      <c r="R2130" s="53">
        <f>MID(P2130,7,2)</f>
        <v/>
      </c>
      <c r="S2130" s="3" t="inlineStr">
        <is>
          <t>G2G</t>
        </is>
      </c>
      <c r="T2130" s="3" t="inlineStr">
        <is>
          <t>P4</t>
        </is>
      </c>
      <c r="U2130" s="19" t="inlineStr">
        <is>
          <t>P JB Cold Soldering</t>
        </is>
      </c>
      <c r="V2130" s="19" t="inlineStr">
        <is>
          <t>Soldering</t>
        </is>
      </c>
      <c r="W2130" s="3" t="inlineStr">
        <is>
          <t>Repair</t>
        </is>
      </c>
      <c r="X2130" s="18" t="n">
        <v>46168</v>
      </c>
      <c r="Y2130" s="3">
        <f>X2130-A2130</f>
        <v/>
      </c>
      <c r="Z2130" s="18" t="n">
        <v>46168</v>
      </c>
      <c r="AA2130" s="15" t="n"/>
      <c r="AB2130" s="15" t="n"/>
    </row>
    <row r="2131">
      <c r="A2131" s="37" t="n">
        <v>46143</v>
      </c>
      <c r="B2131" s="3" t="n">
        <v>2026</v>
      </c>
      <c r="C2131" s="26" t="inlineStr">
        <is>
          <t>Yanara Power</t>
        </is>
      </c>
      <c r="D2131" s="3" t="inlineStr">
        <is>
          <t>Utility and C&amp;I</t>
        </is>
      </c>
      <c r="E2131" s="3" t="n"/>
      <c r="F2131" s="3" t="inlineStr">
        <is>
          <t>Closed</t>
        </is>
      </c>
      <c r="G2131" s="9" t="inlineStr">
        <is>
          <t xml:space="preserve">Ashish Jindal </t>
        </is>
      </c>
      <c r="H2131" s="26" t="n">
        <v>9983975581</v>
      </c>
      <c r="I2131" s="38" t="inlineStr">
        <is>
          <t>PE01052601</t>
        </is>
      </c>
      <c r="J2131" s="26" t="inlineStr">
        <is>
          <t>Multiple Issues</t>
        </is>
      </c>
      <c r="K2131" s="39" t="inlineStr">
        <is>
          <t>Holi</t>
        </is>
      </c>
      <c r="L2131" s="39" t="inlineStr">
        <is>
          <t>Maharashtra</t>
        </is>
      </c>
      <c r="M2131" s="46" t="inlineStr">
        <is>
          <t>PS</t>
        </is>
      </c>
      <c r="N2131" s="3" t="inlineStr">
        <is>
          <t>Cold Soldering</t>
        </is>
      </c>
      <c r="O2131" s="56" t="n">
        <v>575</v>
      </c>
      <c r="P2131" s="46" t="inlineStr">
        <is>
          <t>NSMI24070204606</t>
        </is>
      </c>
      <c r="Q2131" s="54">
        <f>MID(P2131,5,2)</f>
        <v/>
      </c>
      <c r="R2131" s="53">
        <f>MID(P2131,7,2)</f>
        <v/>
      </c>
      <c r="S2131" s="3" t="inlineStr">
        <is>
          <t>G2G</t>
        </is>
      </c>
      <c r="T2131" s="3" t="inlineStr">
        <is>
          <t>P4</t>
        </is>
      </c>
      <c r="U2131" s="19" t="inlineStr">
        <is>
          <t>P JB Cold Soldering</t>
        </is>
      </c>
      <c r="V2131" s="19" t="inlineStr">
        <is>
          <t>Soldering</t>
        </is>
      </c>
      <c r="W2131" s="3" t="inlineStr">
        <is>
          <t>Repair</t>
        </is>
      </c>
      <c r="X2131" s="18" t="n">
        <v>46168</v>
      </c>
      <c r="Y2131" s="3">
        <f>X2131-A2131</f>
        <v/>
      </c>
      <c r="Z2131" s="18" t="n">
        <v>46168</v>
      </c>
      <c r="AA2131" s="15" t="n"/>
      <c r="AB2131" s="15" t="n"/>
    </row>
    <row r="2132">
      <c r="A2132" s="37" t="n">
        <v>46143</v>
      </c>
      <c r="B2132" s="3" t="n">
        <v>2026</v>
      </c>
      <c r="C2132" s="26" t="inlineStr">
        <is>
          <t>Yanara Power</t>
        </is>
      </c>
      <c r="D2132" s="3" t="inlineStr">
        <is>
          <t>Utility and C&amp;I</t>
        </is>
      </c>
      <c r="E2132" s="3" t="n"/>
      <c r="F2132" s="3" t="inlineStr">
        <is>
          <t>Closed</t>
        </is>
      </c>
      <c r="G2132" s="9" t="inlineStr">
        <is>
          <t xml:space="preserve">Ashish Jindal </t>
        </is>
      </c>
      <c r="H2132" s="26" t="n">
        <v>9983975581</v>
      </c>
      <c r="I2132" s="38" t="inlineStr">
        <is>
          <t>PE01052601</t>
        </is>
      </c>
      <c r="J2132" s="26" t="inlineStr">
        <is>
          <t>Multiple Issues</t>
        </is>
      </c>
      <c r="K2132" s="39" t="inlineStr">
        <is>
          <t>Holi</t>
        </is>
      </c>
      <c r="L2132" s="39" t="inlineStr">
        <is>
          <t>Maharashtra</t>
        </is>
      </c>
      <c r="M2132" s="46" t="inlineStr">
        <is>
          <t>PNS</t>
        </is>
      </c>
      <c r="N2132" s="3" t="inlineStr">
        <is>
          <t>Cold Soldering</t>
        </is>
      </c>
      <c r="O2132" s="56" t="n">
        <v>575</v>
      </c>
      <c r="P2132" s="46" t="inlineStr">
        <is>
          <t>NSMI24070204600</t>
        </is>
      </c>
      <c r="Q2132" s="54">
        <f>MID(P2132,5,2)</f>
        <v/>
      </c>
      <c r="R2132" s="53">
        <f>MID(P2132,7,2)</f>
        <v/>
      </c>
      <c r="S2132" s="3" t="inlineStr">
        <is>
          <t>G2G</t>
        </is>
      </c>
      <c r="T2132" s="3" t="inlineStr">
        <is>
          <t>P4</t>
        </is>
      </c>
      <c r="U2132" s="3" t="inlineStr">
        <is>
          <t>P &amp; N JB Cold Soldering</t>
        </is>
      </c>
      <c r="V2132" s="3" t="inlineStr">
        <is>
          <t>Soldering</t>
        </is>
      </c>
      <c r="W2132" s="3" t="inlineStr">
        <is>
          <t>Repair</t>
        </is>
      </c>
      <c r="X2132" s="18" t="n">
        <v>46168</v>
      </c>
      <c r="Y2132" s="3">
        <f>X2132-A2132</f>
        <v/>
      </c>
      <c r="Z2132" s="18" t="n">
        <v>46168</v>
      </c>
      <c r="AA2132" s="15" t="n"/>
      <c r="AB2132" s="15" t="n"/>
    </row>
    <row r="2133">
      <c r="A2133" s="37" t="n">
        <v>46143</v>
      </c>
      <c r="B2133" s="3" t="n">
        <v>2026</v>
      </c>
      <c r="C2133" s="26" t="inlineStr">
        <is>
          <t>Yanara Power</t>
        </is>
      </c>
      <c r="D2133" s="3" t="inlineStr">
        <is>
          <t>Utility and C&amp;I</t>
        </is>
      </c>
      <c r="E2133" s="3" t="n"/>
      <c r="F2133" s="3" t="inlineStr">
        <is>
          <t>Closed</t>
        </is>
      </c>
      <c r="G2133" s="9" t="inlineStr">
        <is>
          <t xml:space="preserve">Ashish Jindal </t>
        </is>
      </c>
      <c r="H2133" s="26" t="n">
        <v>9983975581</v>
      </c>
      <c r="I2133" s="38" t="inlineStr">
        <is>
          <t>PE01052601</t>
        </is>
      </c>
      <c r="J2133" s="26" t="inlineStr">
        <is>
          <t>Multiple Issues</t>
        </is>
      </c>
      <c r="K2133" s="39" t="inlineStr">
        <is>
          <t>Holi</t>
        </is>
      </c>
      <c r="L2133" s="39" t="inlineStr">
        <is>
          <t>Maharashtra</t>
        </is>
      </c>
      <c r="M2133" s="46" t="inlineStr">
        <is>
          <t>NS</t>
        </is>
      </c>
      <c r="N2133" s="3" t="inlineStr">
        <is>
          <t>Cold Soldering</t>
        </is>
      </c>
      <c r="O2133" s="56" t="n">
        <v>575</v>
      </c>
      <c r="P2133" s="46" t="inlineStr">
        <is>
          <t>NSMI24070175815</t>
        </is>
      </c>
      <c r="Q2133" s="54">
        <f>MID(P2133,5,2)</f>
        <v/>
      </c>
      <c r="R2133" s="53">
        <f>MID(P2133,7,2)</f>
        <v/>
      </c>
      <c r="S2133" s="3" t="inlineStr">
        <is>
          <t>G2G</t>
        </is>
      </c>
      <c r="T2133" s="3" t="inlineStr">
        <is>
          <t>P4</t>
        </is>
      </c>
      <c r="U2133" s="3" t="inlineStr">
        <is>
          <t>N JB Cold Soldering</t>
        </is>
      </c>
      <c r="V2133" s="3" t="inlineStr">
        <is>
          <t>Soldering</t>
        </is>
      </c>
      <c r="W2133" s="3" t="inlineStr">
        <is>
          <t>Repair</t>
        </is>
      </c>
      <c r="X2133" s="18" t="n">
        <v>46168</v>
      </c>
      <c r="Y2133" s="3">
        <f>X2133-A2133</f>
        <v/>
      </c>
      <c r="Z2133" s="18" t="n">
        <v>46168</v>
      </c>
      <c r="AA2133" s="15" t="n"/>
      <c r="AB2133" s="15" t="n"/>
    </row>
    <row r="2134">
      <c r="A2134" s="37" t="n">
        <v>46143</v>
      </c>
      <c r="B2134" s="3" t="n">
        <v>2026</v>
      </c>
      <c r="C2134" s="26" t="inlineStr">
        <is>
          <t>Yanara Power</t>
        </is>
      </c>
      <c r="D2134" s="3" t="inlineStr">
        <is>
          <t>Utility and C&amp;I</t>
        </is>
      </c>
      <c r="E2134" s="3" t="n"/>
      <c r="F2134" s="3" t="inlineStr">
        <is>
          <t>Closed</t>
        </is>
      </c>
      <c r="G2134" s="9" t="inlineStr">
        <is>
          <t xml:space="preserve">Ashish Jindal </t>
        </is>
      </c>
      <c r="H2134" s="26" t="n">
        <v>9983975581</v>
      </c>
      <c r="I2134" s="38" t="inlineStr">
        <is>
          <t>PE01052601</t>
        </is>
      </c>
      <c r="J2134" s="26" t="inlineStr">
        <is>
          <t>Multiple Issues</t>
        </is>
      </c>
      <c r="K2134" s="39" t="inlineStr">
        <is>
          <t>Holi</t>
        </is>
      </c>
      <c r="L2134" s="39" t="inlineStr">
        <is>
          <t>Maharashtra</t>
        </is>
      </c>
      <c r="M2134" s="46" t="inlineStr">
        <is>
          <t>PS</t>
        </is>
      </c>
      <c r="N2134" s="3" t="inlineStr">
        <is>
          <t>Cold Soldering</t>
        </is>
      </c>
      <c r="O2134" s="56" t="n">
        <v>575</v>
      </c>
      <c r="P2134" s="46" t="inlineStr">
        <is>
          <t>NSMI24070178194</t>
        </is>
      </c>
      <c r="Q2134" s="54">
        <f>MID(P2134,5,2)</f>
        <v/>
      </c>
      <c r="R2134" s="53">
        <f>MID(P2134,7,2)</f>
        <v/>
      </c>
      <c r="S2134" s="3" t="inlineStr">
        <is>
          <t>G2G</t>
        </is>
      </c>
      <c r="T2134" s="3" t="inlineStr">
        <is>
          <t>P4</t>
        </is>
      </c>
      <c r="U2134" s="19" t="inlineStr">
        <is>
          <t>P JB Cold Soldering</t>
        </is>
      </c>
      <c r="V2134" s="19" t="inlineStr">
        <is>
          <t>Soldering</t>
        </is>
      </c>
      <c r="W2134" s="3" t="inlineStr">
        <is>
          <t>Repair</t>
        </is>
      </c>
      <c r="X2134" s="18" t="n">
        <v>46168</v>
      </c>
      <c r="Y2134" s="3">
        <f>X2134-A2134</f>
        <v/>
      </c>
      <c r="Z2134" s="18" t="n">
        <v>46168</v>
      </c>
      <c r="AA2134" s="15" t="n"/>
      <c r="AB2134" s="15" t="n"/>
    </row>
    <row r="2135">
      <c r="A2135" s="37" t="n">
        <v>46143</v>
      </c>
      <c r="B2135" s="3" t="n">
        <v>2026</v>
      </c>
      <c r="C2135" s="26" t="inlineStr">
        <is>
          <t>Yanara Power</t>
        </is>
      </c>
      <c r="D2135" s="3" t="inlineStr">
        <is>
          <t>Utility and C&amp;I</t>
        </is>
      </c>
      <c r="E2135" s="3" t="n"/>
      <c r="F2135" s="3" t="inlineStr">
        <is>
          <t>Closed</t>
        </is>
      </c>
      <c r="G2135" s="9" t="inlineStr">
        <is>
          <t xml:space="preserve">Ashish Jindal </t>
        </is>
      </c>
      <c r="H2135" s="26" t="n">
        <v>9983975581</v>
      </c>
      <c r="I2135" s="38" t="inlineStr">
        <is>
          <t>PE01052601</t>
        </is>
      </c>
      <c r="J2135" s="26" t="inlineStr">
        <is>
          <t>Multiple Issues</t>
        </is>
      </c>
      <c r="K2135" s="39" t="inlineStr">
        <is>
          <t>Holi</t>
        </is>
      </c>
      <c r="L2135" s="39" t="inlineStr">
        <is>
          <t>Maharashtra</t>
        </is>
      </c>
      <c r="M2135" s="46" t="inlineStr">
        <is>
          <t>PS</t>
        </is>
      </c>
      <c r="N2135" s="3" t="inlineStr">
        <is>
          <t>Cold Soldering</t>
        </is>
      </c>
      <c r="O2135" s="56" t="n">
        <v>575</v>
      </c>
      <c r="P2135" s="46" t="inlineStr">
        <is>
          <t>NSMI24070176572</t>
        </is>
      </c>
      <c r="Q2135" s="54">
        <f>MID(P2135,5,2)</f>
        <v/>
      </c>
      <c r="R2135" s="53">
        <f>MID(P2135,7,2)</f>
        <v/>
      </c>
      <c r="S2135" s="3" t="inlineStr">
        <is>
          <t>G2G</t>
        </is>
      </c>
      <c r="T2135" s="3" t="inlineStr">
        <is>
          <t>P4</t>
        </is>
      </c>
      <c r="U2135" s="19" t="inlineStr">
        <is>
          <t>P JB Cold Soldering</t>
        </is>
      </c>
      <c r="V2135" s="19" t="inlineStr">
        <is>
          <t>Soldering</t>
        </is>
      </c>
      <c r="W2135" s="3" t="inlineStr">
        <is>
          <t>Repair</t>
        </is>
      </c>
      <c r="X2135" s="18" t="n">
        <v>46168</v>
      </c>
      <c r="Y2135" s="3">
        <f>X2135-A2135</f>
        <v/>
      </c>
      <c r="Z2135" s="18" t="n">
        <v>46168</v>
      </c>
      <c r="AA2135" s="15" t="n"/>
      <c r="AB2135" s="15" t="n"/>
    </row>
    <row r="2136">
      <c r="A2136" s="37" t="n">
        <v>46143</v>
      </c>
      <c r="B2136" s="3" t="n">
        <v>2026</v>
      </c>
      <c r="C2136" s="26" t="inlineStr">
        <is>
          <t>Yanara Power</t>
        </is>
      </c>
      <c r="D2136" s="3" t="inlineStr">
        <is>
          <t>Utility and C&amp;I</t>
        </is>
      </c>
      <c r="E2136" s="3" t="n"/>
      <c r="F2136" s="3" t="inlineStr">
        <is>
          <t>Closed</t>
        </is>
      </c>
      <c r="G2136" s="9" t="inlineStr">
        <is>
          <t xml:space="preserve">Ashish Jindal </t>
        </is>
      </c>
      <c r="H2136" s="26" t="n">
        <v>9983975581</v>
      </c>
      <c r="I2136" s="38" t="inlineStr">
        <is>
          <t>PE01052601</t>
        </is>
      </c>
      <c r="J2136" s="26" t="inlineStr">
        <is>
          <t>Multiple Issues</t>
        </is>
      </c>
      <c r="K2136" s="39" t="inlineStr">
        <is>
          <t>Holi</t>
        </is>
      </c>
      <c r="L2136" s="39" t="inlineStr">
        <is>
          <t>Maharashtra</t>
        </is>
      </c>
      <c r="M2136" s="46" t="inlineStr">
        <is>
          <t>NS</t>
        </is>
      </c>
      <c r="N2136" s="3" t="inlineStr">
        <is>
          <t>Cold Soldering</t>
        </is>
      </c>
      <c r="O2136" s="56" t="n">
        <v>575</v>
      </c>
      <c r="P2136" s="46" t="inlineStr">
        <is>
          <t>NSMI24070176698</t>
        </is>
      </c>
      <c r="Q2136" s="54">
        <f>MID(P2136,5,2)</f>
        <v/>
      </c>
      <c r="R2136" s="53">
        <f>MID(P2136,7,2)</f>
        <v/>
      </c>
      <c r="S2136" s="3" t="inlineStr">
        <is>
          <t>G2G</t>
        </is>
      </c>
      <c r="T2136" s="3" t="inlineStr">
        <is>
          <t>P4</t>
        </is>
      </c>
      <c r="U2136" s="3" t="inlineStr">
        <is>
          <t>N JB Cold Soldering</t>
        </is>
      </c>
      <c r="V2136" s="3" t="inlineStr">
        <is>
          <t>Soldering</t>
        </is>
      </c>
      <c r="W2136" s="3" t="inlineStr">
        <is>
          <t>Repair</t>
        </is>
      </c>
      <c r="X2136" s="18" t="n">
        <v>46168</v>
      </c>
      <c r="Y2136" s="3">
        <f>X2136-A2136</f>
        <v/>
      </c>
      <c r="Z2136" s="18" t="n">
        <v>46168</v>
      </c>
      <c r="AA2136" s="15" t="n"/>
      <c r="AB2136" s="15" t="n"/>
    </row>
    <row r="2137">
      <c r="A2137" s="37" t="n">
        <v>46143</v>
      </c>
      <c r="B2137" s="3" t="n">
        <v>2026</v>
      </c>
      <c r="C2137" s="26" t="inlineStr">
        <is>
          <t>Yanara Power</t>
        </is>
      </c>
      <c r="D2137" s="3" t="inlineStr">
        <is>
          <t>Utility and C&amp;I</t>
        </is>
      </c>
      <c r="E2137" s="3" t="n"/>
      <c r="F2137" s="3" t="inlineStr">
        <is>
          <t>Closed</t>
        </is>
      </c>
      <c r="G2137" s="9" t="inlineStr">
        <is>
          <t xml:space="preserve">Ashish Jindal </t>
        </is>
      </c>
      <c r="H2137" s="26" t="n">
        <v>9983975581</v>
      </c>
      <c r="I2137" s="38" t="inlineStr">
        <is>
          <t>PE01052601</t>
        </is>
      </c>
      <c r="J2137" s="26" t="inlineStr">
        <is>
          <t>Multiple Issues</t>
        </is>
      </c>
      <c r="K2137" s="39" t="inlineStr">
        <is>
          <t>Holi</t>
        </is>
      </c>
      <c r="L2137" s="39" t="inlineStr">
        <is>
          <t>Maharashtra</t>
        </is>
      </c>
      <c r="M2137" s="46" t="inlineStr">
        <is>
          <t>NS</t>
        </is>
      </c>
      <c r="N2137" s="3" t="inlineStr">
        <is>
          <t>Cold Soldering</t>
        </is>
      </c>
      <c r="O2137" s="56" t="n">
        <v>575</v>
      </c>
      <c r="P2137" s="46" t="inlineStr">
        <is>
          <t>NSMI24070176688</t>
        </is>
      </c>
      <c r="Q2137" s="54">
        <f>MID(P2137,5,2)</f>
        <v/>
      </c>
      <c r="R2137" s="53">
        <f>MID(P2137,7,2)</f>
        <v/>
      </c>
      <c r="S2137" s="3" t="inlineStr">
        <is>
          <t>G2G</t>
        </is>
      </c>
      <c r="T2137" s="3" t="inlineStr">
        <is>
          <t>P4</t>
        </is>
      </c>
      <c r="U2137" s="3" t="inlineStr">
        <is>
          <t>N JB Cold Soldering</t>
        </is>
      </c>
      <c r="V2137" s="3" t="inlineStr">
        <is>
          <t>Soldering</t>
        </is>
      </c>
      <c r="W2137" s="3" t="inlineStr">
        <is>
          <t>Repair</t>
        </is>
      </c>
      <c r="X2137" s="18" t="n">
        <v>46168</v>
      </c>
      <c r="Y2137" s="3">
        <f>X2137-A2137</f>
        <v/>
      </c>
      <c r="Z2137" s="18" t="n">
        <v>46168</v>
      </c>
      <c r="AA2137" s="15" t="n"/>
      <c r="AB2137" s="15" t="n"/>
    </row>
    <row r="2138">
      <c r="A2138" s="37" t="n">
        <v>46143</v>
      </c>
      <c r="B2138" s="3" t="n">
        <v>2026</v>
      </c>
      <c r="C2138" s="26" t="inlineStr">
        <is>
          <t>Yanara Power</t>
        </is>
      </c>
      <c r="D2138" s="3" t="inlineStr">
        <is>
          <t>Utility and C&amp;I</t>
        </is>
      </c>
      <c r="E2138" s="3" t="n"/>
      <c r="F2138" s="3" t="inlineStr">
        <is>
          <t>Closed</t>
        </is>
      </c>
      <c r="G2138" s="9" t="inlineStr">
        <is>
          <t xml:space="preserve">Ashish Jindal </t>
        </is>
      </c>
      <c r="H2138" s="26" t="n">
        <v>9983975581</v>
      </c>
      <c r="I2138" s="38" t="inlineStr">
        <is>
          <t>PE01052601</t>
        </is>
      </c>
      <c r="J2138" s="26" t="inlineStr">
        <is>
          <t>Multiple Issues</t>
        </is>
      </c>
      <c r="K2138" s="39" t="inlineStr">
        <is>
          <t>Holi</t>
        </is>
      </c>
      <c r="L2138" s="39" t="inlineStr">
        <is>
          <t>Maharashtra</t>
        </is>
      </c>
      <c r="M2138" s="46" t="inlineStr">
        <is>
          <t>NS</t>
        </is>
      </c>
      <c r="N2138" s="3" t="inlineStr">
        <is>
          <t>Cold Soldering</t>
        </is>
      </c>
      <c r="O2138" s="56" t="n">
        <v>575</v>
      </c>
      <c r="P2138" s="46" t="inlineStr">
        <is>
          <t>NSMI24070176661</t>
        </is>
      </c>
      <c r="Q2138" s="54">
        <f>MID(P2138,5,2)</f>
        <v/>
      </c>
      <c r="R2138" s="53">
        <f>MID(P2138,7,2)</f>
        <v/>
      </c>
      <c r="S2138" s="3" t="inlineStr">
        <is>
          <t>G2G</t>
        </is>
      </c>
      <c r="T2138" s="3" t="inlineStr">
        <is>
          <t>P4</t>
        </is>
      </c>
      <c r="U2138" s="3" t="inlineStr">
        <is>
          <t>N JB Cold Soldering</t>
        </is>
      </c>
      <c r="V2138" s="3" t="inlineStr">
        <is>
          <t>Soldering</t>
        </is>
      </c>
      <c r="W2138" s="3" t="inlineStr">
        <is>
          <t>Repair</t>
        </is>
      </c>
      <c r="X2138" s="18" t="n">
        <v>46168</v>
      </c>
      <c r="Y2138" s="3">
        <f>X2138-A2138</f>
        <v/>
      </c>
      <c r="Z2138" s="18" t="n">
        <v>46168</v>
      </c>
      <c r="AA2138" s="15" t="n"/>
      <c r="AB2138" s="15" t="n"/>
    </row>
    <row r="2139">
      <c r="A2139" s="37" t="n">
        <v>46143</v>
      </c>
      <c r="B2139" s="3" t="n">
        <v>2026</v>
      </c>
      <c r="C2139" s="26" t="inlineStr">
        <is>
          <t>Yanara Power</t>
        </is>
      </c>
      <c r="D2139" s="3" t="inlineStr">
        <is>
          <t>Utility and C&amp;I</t>
        </is>
      </c>
      <c r="E2139" s="3" t="n"/>
      <c r="F2139" s="3" t="inlineStr">
        <is>
          <t>Closed</t>
        </is>
      </c>
      <c r="G2139" s="9" t="inlineStr">
        <is>
          <t xml:space="preserve">Ashish Jindal </t>
        </is>
      </c>
      <c r="H2139" s="26" t="n">
        <v>9983975581</v>
      </c>
      <c r="I2139" s="38" t="inlineStr">
        <is>
          <t>PE01052601</t>
        </is>
      </c>
      <c r="J2139" s="26" t="inlineStr">
        <is>
          <t>Multiple Issues</t>
        </is>
      </c>
      <c r="K2139" s="39" t="inlineStr">
        <is>
          <t>Holi</t>
        </is>
      </c>
      <c r="L2139" s="39" t="inlineStr">
        <is>
          <t>Maharashtra</t>
        </is>
      </c>
      <c r="M2139" s="46" t="inlineStr">
        <is>
          <t>NS</t>
        </is>
      </c>
      <c r="N2139" s="3" t="inlineStr">
        <is>
          <t>Cold Soldering</t>
        </is>
      </c>
      <c r="O2139" s="56" t="n">
        <v>575</v>
      </c>
      <c r="P2139" s="46" t="inlineStr">
        <is>
          <t>NSMI24070176986</t>
        </is>
      </c>
      <c r="Q2139" s="54">
        <f>MID(P2139,5,2)</f>
        <v/>
      </c>
      <c r="R2139" s="53">
        <f>MID(P2139,7,2)</f>
        <v/>
      </c>
      <c r="S2139" s="3" t="inlineStr">
        <is>
          <t>G2G</t>
        </is>
      </c>
      <c r="T2139" s="3" t="inlineStr">
        <is>
          <t>P4</t>
        </is>
      </c>
      <c r="U2139" s="3" t="inlineStr">
        <is>
          <t>N JB Cold Soldering</t>
        </is>
      </c>
      <c r="V2139" s="3" t="inlineStr">
        <is>
          <t>Soldering</t>
        </is>
      </c>
      <c r="W2139" s="3" t="inlineStr">
        <is>
          <t>Repair</t>
        </is>
      </c>
      <c r="X2139" s="18" t="n">
        <v>46168</v>
      </c>
      <c r="Y2139" s="3">
        <f>X2139-A2139</f>
        <v/>
      </c>
      <c r="Z2139" s="18" t="n">
        <v>46168</v>
      </c>
      <c r="AA2139" s="15" t="n"/>
      <c r="AB2139" s="15" t="n"/>
    </row>
    <row r="2140">
      <c r="A2140" s="37" t="n">
        <v>46143</v>
      </c>
      <c r="B2140" s="3" t="n">
        <v>2026</v>
      </c>
      <c r="C2140" s="26" t="inlineStr">
        <is>
          <t>Yanara Power</t>
        </is>
      </c>
      <c r="D2140" s="3" t="inlineStr">
        <is>
          <t>Utility and C&amp;I</t>
        </is>
      </c>
      <c r="E2140" s="3" t="n"/>
      <c r="F2140" s="3" t="inlineStr">
        <is>
          <t>Closed</t>
        </is>
      </c>
      <c r="G2140" s="9" t="inlineStr">
        <is>
          <t xml:space="preserve">Ashish Jindal </t>
        </is>
      </c>
      <c r="H2140" s="26" t="n">
        <v>9983975581</v>
      </c>
      <c r="I2140" s="38" t="inlineStr">
        <is>
          <t>PE01052601</t>
        </is>
      </c>
      <c r="J2140" s="26" t="inlineStr">
        <is>
          <t>Multiple Issues</t>
        </is>
      </c>
      <c r="K2140" s="39" t="inlineStr">
        <is>
          <t>Holi</t>
        </is>
      </c>
      <c r="L2140" s="39" t="inlineStr">
        <is>
          <t>Maharashtra</t>
        </is>
      </c>
      <c r="M2140" s="46" t="inlineStr">
        <is>
          <t>PS</t>
        </is>
      </c>
      <c r="N2140" s="3" t="inlineStr">
        <is>
          <t>Cold Soldering</t>
        </is>
      </c>
      <c r="O2140" s="56" t="n">
        <v>575</v>
      </c>
      <c r="P2140" s="46" t="inlineStr">
        <is>
          <t>NSMI24070190112</t>
        </is>
      </c>
      <c r="Q2140" s="54">
        <f>MID(P2140,5,2)</f>
        <v/>
      </c>
      <c r="R2140" s="53">
        <f>MID(P2140,7,2)</f>
        <v/>
      </c>
      <c r="S2140" s="3" t="inlineStr">
        <is>
          <t>G2G</t>
        </is>
      </c>
      <c r="T2140" s="3" t="inlineStr">
        <is>
          <t>P4</t>
        </is>
      </c>
      <c r="U2140" s="19" t="inlineStr">
        <is>
          <t>P JB Cold Soldering</t>
        </is>
      </c>
      <c r="V2140" s="19" t="inlineStr">
        <is>
          <t>Soldering</t>
        </is>
      </c>
      <c r="W2140" s="3" t="inlineStr">
        <is>
          <t>Repair</t>
        </is>
      </c>
      <c r="X2140" s="18" t="n">
        <v>46168</v>
      </c>
      <c r="Y2140" s="3">
        <f>X2140-A2140</f>
        <v/>
      </c>
      <c r="Z2140" s="18" t="n">
        <v>46168</v>
      </c>
      <c r="AA2140" s="15" t="n"/>
      <c r="AB2140" s="15" t="n"/>
    </row>
    <row r="2141">
      <c r="A2141" s="37" t="n">
        <v>46143</v>
      </c>
      <c r="B2141" s="3" t="n">
        <v>2026</v>
      </c>
      <c r="C2141" s="26" t="inlineStr">
        <is>
          <t>Yanara Power</t>
        </is>
      </c>
      <c r="D2141" s="3" t="inlineStr">
        <is>
          <t>Utility and C&amp;I</t>
        </is>
      </c>
      <c r="E2141" s="3" t="n"/>
      <c r="F2141" s="3" t="inlineStr">
        <is>
          <t>Closed</t>
        </is>
      </c>
      <c r="G2141" s="9" t="inlineStr">
        <is>
          <t xml:space="preserve">Ashish Jindal </t>
        </is>
      </c>
      <c r="H2141" s="26" t="n">
        <v>9983975581</v>
      </c>
      <c r="I2141" s="38" t="inlineStr">
        <is>
          <t>PE01052601</t>
        </is>
      </c>
      <c r="J2141" s="26" t="inlineStr">
        <is>
          <t>Multiple Issues</t>
        </is>
      </c>
      <c r="K2141" s="39" t="inlineStr">
        <is>
          <t>Holi</t>
        </is>
      </c>
      <c r="L2141" s="39" t="inlineStr">
        <is>
          <t>Maharashtra</t>
        </is>
      </c>
      <c r="M2141" s="46" t="inlineStr">
        <is>
          <t>PS</t>
        </is>
      </c>
      <c r="N2141" s="3" t="inlineStr">
        <is>
          <t>Cold Soldering</t>
        </is>
      </c>
      <c r="O2141" s="56" t="n">
        <v>575</v>
      </c>
      <c r="P2141" s="46" t="inlineStr">
        <is>
          <t>NSMI24070190146</t>
        </is>
      </c>
      <c r="Q2141" s="54">
        <f>MID(P2141,5,2)</f>
        <v/>
      </c>
      <c r="R2141" s="53">
        <f>MID(P2141,7,2)</f>
        <v/>
      </c>
      <c r="S2141" s="3" t="inlineStr">
        <is>
          <t>G2G</t>
        </is>
      </c>
      <c r="T2141" s="3" t="inlineStr">
        <is>
          <t>P4</t>
        </is>
      </c>
      <c r="U2141" s="19" t="inlineStr">
        <is>
          <t>P JB Cold Soldering</t>
        </is>
      </c>
      <c r="V2141" s="19" t="inlineStr">
        <is>
          <t>Soldering</t>
        </is>
      </c>
      <c r="W2141" s="3" t="inlineStr">
        <is>
          <t>Repair</t>
        </is>
      </c>
      <c r="X2141" s="18" t="n">
        <v>46168</v>
      </c>
      <c r="Y2141" s="3">
        <f>X2141-A2141</f>
        <v/>
      </c>
      <c r="Z2141" s="18" t="n">
        <v>46168</v>
      </c>
      <c r="AA2141" s="15" t="n"/>
      <c r="AB2141" s="15" t="n"/>
    </row>
    <row r="2142">
      <c r="A2142" s="37" t="n">
        <v>46143</v>
      </c>
      <c r="B2142" s="3" t="n">
        <v>2026</v>
      </c>
      <c r="C2142" s="26" t="inlineStr">
        <is>
          <t>Yanara Power</t>
        </is>
      </c>
      <c r="D2142" s="3" t="inlineStr">
        <is>
          <t>Utility and C&amp;I</t>
        </is>
      </c>
      <c r="E2142" s="3" t="n"/>
      <c r="F2142" s="3" t="inlineStr">
        <is>
          <t>Closed</t>
        </is>
      </c>
      <c r="G2142" s="9" t="inlineStr">
        <is>
          <t xml:space="preserve">Ashish Jindal </t>
        </is>
      </c>
      <c r="H2142" s="26" t="n">
        <v>9983975581</v>
      </c>
      <c r="I2142" s="38" t="inlineStr">
        <is>
          <t>PE01052601</t>
        </is>
      </c>
      <c r="J2142" s="26" t="inlineStr">
        <is>
          <t>Multiple Issues</t>
        </is>
      </c>
      <c r="K2142" s="39" t="inlineStr">
        <is>
          <t>Holi</t>
        </is>
      </c>
      <c r="L2142" s="39" t="inlineStr">
        <is>
          <t>Maharashtra</t>
        </is>
      </c>
      <c r="M2142" s="46" t="inlineStr">
        <is>
          <t>PS</t>
        </is>
      </c>
      <c r="N2142" s="3" t="inlineStr">
        <is>
          <t>Cold Soldering</t>
        </is>
      </c>
      <c r="O2142" s="56" t="n">
        <v>575</v>
      </c>
      <c r="P2142" s="46" t="inlineStr">
        <is>
          <t>NSMI24070189904</t>
        </is>
      </c>
      <c r="Q2142" s="54">
        <f>MID(P2142,5,2)</f>
        <v/>
      </c>
      <c r="R2142" s="53">
        <f>MID(P2142,7,2)</f>
        <v/>
      </c>
      <c r="S2142" s="3" t="inlineStr">
        <is>
          <t>G2G</t>
        </is>
      </c>
      <c r="T2142" s="3" t="inlineStr">
        <is>
          <t>P4</t>
        </is>
      </c>
      <c r="U2142" s="19" t="inlineStr">
        <is>
          <t>P JB Cold Soldering</t>
        </is>
      </c>
      <c r="V2142" s="19" t="inlineStr">
        <is>
          <t>Soldering</t>
        </is>
      </c>
      <c r="W2142" s="3" t="inlineStr">
        <is>
          <t>Repair</t>
        </is>
      </c>
      <c r="X2142" s="18" t="n">
        <v>46168</v>
      </c>
      <c r="Y2142" s="3">
        <f>X2142-A2142</f>
        <v/>
      </c>
      <c r="Z2142" s="18" t="n">
        <v>46168</v>
      </c>
      <c r="AA2142" s="15" t="n"/>
      <c r="AB2142" s="15" t="n"/>
    </row>
    <row r="2143">
      <c r="A2143" s="37" t="n">
        <v>46143</v>
      </c>
      <c r="B2143" s="3" t="n">
        <v>2026</v>
      </c>
      <c r="C2143" s="26" t="inlineStr">
        <is>
          <t>Yanara Power</t>
        </is>
      </c>
      <c r="D2143" s="3" t="inlineStr">
        <is>
          <t>Utility and C&amp;I</t>
        </is>
      </c>
      <c r="E2143" s="3" t="n"/>
      <c r="F2143" s="3" t="inlineStr">
        <is>
          <t>Closed</t>
        </is>
      </c>
      <c r="G2143" s="9" t="inlineStr">
        <is>
          <t xml:space="preserve">Ashish Jindal </t>
        </is>
      </c>
      <c r="H2143" s="26" t="n">
        <v>9983975581</v>
      </c>
      <c r="I2143" s="38" t="inlineStr">
        <is>
          <t>PE01052601</t>
        </is>
      </c>
      <c r="J2143" s="26" t="inlineStr">
        <is>
          <t>Multiple Issues</t>
        </is>
      </c>
      <c r="K2143" s="39" t="inlineStr">
        <is>
          <t>Holi</t>
        </is>
      </c>
      <c r="L2143" s="39" t="inlineStr">
        <is>
          <t>Maharashtra</t>
        </is>
      </c>
      <c r="M2143" s="46" t="inlineStr">
        <is>
          <t>PS</t>
        </is>
      </c>
      <c r="N2143" s="3" t="inlineStr">
        <is>
          <t>Cold Soldering</t>
        </is>
      </c>
      <c r="O2143" s="56" t="n">
        <v>575</v>
      </c>
      <c r="P2143" s="46" t="inlineStr">
        <is>
          <t>NSMI24070189872</t>
        </is>
      </c>
      <c r="Q2143" s="54">
        <f>MID(P2143,5,2)</f>
        <v/>
      </c>
      <c r="R2143" s="53">
        <f>MID(P2143,7,2)</f>
        <v/>
      </c>
      <c r="S2143" s="3" t="inlineStr">
        <is>
          <t>G2G</t>
        </is>
      </c>
      <c r="T2143" s="3" t="inlineStr">
        <is>
          <t>P4</t>
        </is>
      </c>
      <c r="U2143" s="19" t="inlineStr">
        <is>
          <t>P JB Cold Soldering</t>
        </is>
      </c>
      <c r="V2143" s="19" t="inlineStr">
        <is>
          <t>Soldering</t>
        </is>
      </c>
      <c r="W2143" s="3" t="inlineStr">
        <is>
          <t>Repair</t>
        </is>
      </c>
      <c r="X2143" s="18" t="n">
        <v>46168</v>
      </c>
      <c r="Y2143" s="3">
        <f>X2143-A2143</f>
        <v/>
      </c>
      <c r="Z2143" s="18" t="n">
        <v>46168</v>
      </c>
      <c r="AA2143" s="15" t="n"/>
      <c r="AB2143" s="15" t="n"/>
    </row>
    <row r="2144">
      <c r="A2144" s="37" t="n">
        <v>46143</v>
      </c>
      <c r="B2144" s="3" t="n">
        <v>2026</v>
      </c>
      <c r="C2144" s="26" t="inlineStr">
        <is>
          <t>Yanara Power</t>
        </is>
      </c>
      <c r="D2144" s="3" t="inlineStr">
        <is>
          <t>Utility and C&amp;I</t>
        </is>
      </c>
      <c r="E2144" s="3" t="n"/>
      <c r="F2144" s="3" t="inlineStr">
        <is>
          <t>Closed</t>
        </is>
      </c>
      <c r="G2144" s="9" t="inlineStr">
        <is>
          <t xml:space="preserve">Ashish Jindal </t>
        </is>
      </c>
      <c r="H2144" s="26" t="n">
        <v>9983975581</v>
      </c>
      <c r="I2144" s="38" t="inlineStr">
        <is>
          <t>PE01052601</t>
        </is>
      </c>
      <c r="J2144" s="26" t="inlineStr">
        <is>
          <t>Multiple Issues</t>
        </is>
      </c>
      <c r="K2144" s="39" t="inlineStr">
        <is>
          <t>Holi</t>
        </is>
      </c>
      <c r="L2144" s="39" t="inlineStr">
        <is>
          <t>Maharashtra</t>
        </is>
      </c>
      <c r="M2144" s="46" t="inlineStr">
        <is>
          <t>PS</t>
        </is>
      </c>
      <c r="N2144" s="3" t="inlineStr">
        <is>
          <t>Cold Soldering</t>
        </is>
      </c>
      <c r="O2144" s="56" t="n">
        <v>575</v>
      </c>
      <c r="P2144" s="46" t="inlineStr">
        <is>
          <t>NSMI24070197198</t>
        </is>
      </c>
      <c r="Q2144" s="54">
        <f>MID(P2144,5,2)</f>
        <v/>
      </c>
      <c r="R2144" s="53">
        <f>MID(P2144,7,2)</f>
        <v/>
      </c>
      <c r="S2144" s="3" t="inlineStr">
        <is>
          <t>G2G</t>
        </is>
      </c>
      <c r="T2144" s="3" t="inlineStr">
        <is>
          <t>P4</t>
        </is>
      </c>
      <c r="U2144" s="19" t="inlineStr">
        <is>
          <t>P JB Cold Soldering</t>
        </is>
      </c>
      <c r="V2144" s="19" t="inlineStr">
        <is>
          <t>Soldering</t>
        </is>
      </c>
      <c r="W2144" s="3" t="inlineStr">
        <is>
          <t>Repair</t>
        </is>
      </c>
      <c r="X2144" s="18" t="n">
        <v>46168</v>
      </c>
      <c r="Y2144" s="3">
        <f>X2144-A2144</f>
        <v/>
      </c>
      <c r="Z2144" s="18" t="n">
        <v>46168</v>
      </c>
      <c r="AA2144" s="15" t="n"/>
      <c r="AB2144" s="15" t="n"/>
    </row>
    <row r="2145">
      <c r="A2145" s="37" t="n">
        <v>46143</v>
      </c>
      <c r="B2145" s="3" t="n">
        <v>2026</v>
      </c>
      <c r="C2145" s="26" t="inlineStr">
        <is>
          <t>Yanara Power</t>
        </is>
      </c>
      <c r="D2145" s="3" t="inlineStr">
        <is>
          <t>Utility and C&amp;I</t>
        </is>
      </c>
      <c r="E2145" s="3" t="n"/>
      <c r="F2145" s="3" t="inlineStr">
        <is>
          <t>Closed</t>
        </is>
      </c>
      <c r="G2145" s="9" t="inlineStr">
        <is>
          <t xml:space="preserve">Ashish Jindal </t>
        </is>
      </c>
      <c r="H2145" s="26" t="n">
        <v>9983975581</v>
      </c>
      <c r="I2145" s="38" t="inlineStr">
        <is>
          <t>PE01052601</t>
        </is>
      </c>
      <c r="J2145" s="26" t="inlineStr">
        <is>
          <t>Multiple Issues</t>
        </is>
      </c>
      <c r="K2145" s="39" t="inlineStr">
        <is>
          <t>Holi</t>
        </is>
      </c>
      <c r="L2145" s="39" t="inlineStr">
        <is>
          <t>Maharashtra</t>
        </is>
      </c>
      <c r="M2145" s="46" t="inlineStr">
        <is>
          <t>PS</t>
        </is>
      </c>
      <c r="N2145" s="3" t="inlineStr">
        <is>
          <t>Cold Soldering</t>
        </is>
      </c>
      <c r="O2145" s="56" t="n">
        <v>575</v>
      </c>
      <c r="P2145" s="46" t="inlineStr">
        <is>
          <t>NSMI24070180187</t>
        </is>
      </c>
      <c r="Q2145" s="54">
        <f>MID(P2145,5,2)</f>
        <v/>
      </c>
      <c r="R2145" s="53">
        <f>MID(P2145,7,2)</f>
        <v/>
      </c>
      <c r="S2145" s="3" t="inlineStr">
        <is>
          <t>G2G</t>
        </is>
      </c>
      <c r="T2145" s="3" t="inlineStr">
        <is>
          <t>P4</t>
        </is>
      </c>
      <c r="U2145" s="19" t="inlineStr">
        <is>
          <t>P JB Cold Soldering</t>
        </is>
      </c>
      <c r="V2145" s="19" t="inlineStr">
        <is>
          <t>Soldering</t>
        </is>
      </c>
      <c r="W2145" s="3" t="inlineStr">
        <is>
          <t>Repair</t>
        </is>
      </c>
      <c r="X2145" s="18" t="n">
        <v>46168</v>
      </c>
      <c r="Y2145" s="3">
        <f>X2145-A2145</f>
        <v/>
      </c>
      <c r="Z2145" s="18" t="n">
        <v>46168</v>
      </c>
      <c r="AA2145" s="15" t="n"/>
      <c r="AB2145" s="15" t="n"/>
    </row>
    <row r="2146">
      <c r="A2146" s="37" t="n">
        <v>46143</v>
      </c>
      <c r="B2146" s="3" t="n">
        <v>2026</v>
      </c>
      <c r="C2146" s="26" t="inlineStr">
        <is>
          <t>Yanara Power</t>
        </is>
      </c>
      <c r="D2146" s="3" t="inlineStr">
        <is>
          <t>Utility and C&amp;I</t>
        </is>
      </c>
      <c r="E2146" s="3" t="n"/>
      <c r="F2146" s="3" t="inlineStr">
        <is>
          <t>Closed</t>
        </is>
      </c>
      <c r="G2146" s="9" t="inlineStr">
        <is>
          <t xml:space="preserve">Ashish Jindal </t>
        </is>
      </c>
      <c r="H2146" s="26" t="n">
        <v>9983975581</v>
      </c>
      <c r="I2146" s="38" t="inlineStr">
        <is>
          <t>PE01052601</t>
        </is>
      </c>
      <c r="J2146" s="26" t="inlineStr">
        <is>
          <t>Multiple Issues</t>
        </is>
      </c>
      <c r="K2146" s="39" t="inlineStr">
        <is>
          <t>Holi</t>
        </is>
      </c>
      <c r="L2146" s="39" t="inlineStr">
        <is>
          <t>Maharashtra</t>
        </is>
      </c>
      <c r="M2146" s="46" t="inlineStr">
        <is>
          <t>PS</t>
        </is>
      </c>
      <c r="N2146" s="3" t="inlineStr">
        <is>
          <t>Cold Soldering</t>
        </is>
      </c>
      <c r="O2146" s="56" t="n">
        <v>575</v>
      </c>
      <c r="P2146" s="46" t="inlineStr">
        <is>
          <t>NSMI24070180244</t>
        </is>
      </c>
      <c r="Q2146" s="54">
        <f>MID(P2146,5,2)</f>
        <v/>
      </c>
      <c r="R2146" s="53">
        <f>MID(P2146,7,2)</f>
        <v/>
      </c>
      <c r="S2146" s="3" t="inlineStr">
        <is>
          <t>G2G</t>
        </is>
      </c>
      <c r="T2146" s="3" t="inlineStr">
        <is>
          <t>P4</t>
        </is>
      </c>
      <c r="U2146" s="19" t="inlineStr">
        <is>
          <t>P JB Cold Soldering</t>
        </is>
      </c>
      <c r="V2146" s="19" t="inlineStr">
        <is>
          <t>Soldering</t>
        </is>
      </c>
      <c r="W2146" s="3" t="inlineStr">
        <is>
          <t>Repair</t>
        </is>
      </c>
      <c r="X2146" s="18" t="n">
        <v>46168</v>
      </c>
      <c r="Y2146" s="3">
        <f>X2146-A2146</f>
        <v/>
      </c>
      <c r="Z2146" s="18" t="n">
        <v>46168</v>
      </c>
      <c r="AA2146" s="15" t="n"/>
      <c r="AB2146" s="15" t="n"/>
    </row>
    <row r="2147">
      <c r="A2147" s="37" t="n">
        <v>46143</v>
      </c>
      <c r="B2147" s="3" t="n">
        <v>2026</v>
      </c>
      <c r="C2147" s="26" t="inlineStr">
        <is>
          <t>Yanara Power</t>
        </is>
      </c>
      <c r="D2147" s="3" t="inlineStr">
        <is>
          <t>Utility and C&amp;I</t>
        </is>
      </c>
      <c r="E2147" s="3" t="n"/>
      <c r="F2147" s="3" t="inlineStr">
        <is>
          <t>Closed</t>
        </is>
      </c>
      <c r="G2147" s="9" t="inlineStr">
        <is>
          <t xml:space="preserve">Ashish Jindal </t>
        </is>
      </c>
      <c r="H2147" s="26" t="n">
        <v>9983975581</v>
      </c>
      <c r="I2147" s="38" t="inlineStr">
        <is>
          <t>PE01052601</t>
        </is>
      </c>
      <c r="J2147" s="26" t="inlineStr">
        <is>
          <t>Multiple Issues</t>
        </is>
      </c>
      <c r="K2147" s="39" t="inlineStr">
        <is>
          <t>Holi</t>
        </is>
      </c>
      <c r="L2147" s="39" t="inlineStr">
        <is>
          <t>Maharashtra</t>
        </is>
      </c>
      <c r="M2147" s="46" t="inlineStr">
        <is>
          <t>PS</t>
        </is>
      </c>
      <c r="N2147" s="3" t="inlineStr">
        <is>
          <t>Cold Soldering</t>
        </is>
      </c>
      <c r="O2147" s="56" t="n">
        <v>575</v>
      </c>
      <c r="P2147" s="46" t="inlineStr">
        <is>
          <t>NSMI24070180268</t>
        </is>
      </c>
      <c r="Q2147" s="54">
        <f>MID(P2147,5,2)</f>
        <v/>
      </c>
      <c r="R2147" s="53">
        <f>MID(P2147,7,2)</f>
        <v/>
      </c>
      <c r="S2147" s="3" t="inlineStr">
        <is>
          <t>G2G</t>
        </is>
      </c>
      <c r="T2147" s="3" t="inlineStr">
        <is>
          <t>P4</t>
        </is>
      </c>
      <c r="U2147" s="19" t="inlineStr">
        <is>
          <t>P JB Cold Soldering</t>
        </is>
      </c>
      <c r="V2147" s="19" t="inlineStr">
        <is>
          <t>Soldering</t>
        </is>
      </c>
      <c r="W2147" s="3" t="inlineStr">
        <is>
          <t>Repair</t>
        </is>
      </c>
      <c r="X2147" s="18" t="n">
        <v>46168</v>
      </c>
      <c r="Y2147" s="3">
        <f>X2147-A2147</f>
        <v/>
      </c>
      <c r="Z2147" s="18" t="n">
        <v>46168</v>
      </c>
      <c r="AA2147" s="15" t="n"/>
      <c r="AB2147" s="15" t="n"/>
    </row>
    <row r="2148">
      <c r="A2148" s="37" t="n">
        <v>46143</v>
      </c>
      <c r="B2148" s="3" t="n">
        <v>2026</v>
      </c>
      <c r="C2148" s="26" t="inlineStr">
        <is>
          <t>Yanara Power</t>
        </is>
      </c>
      <c r="D2148" s="3" t="inlineStr">
        <is>
          <t>Utility and C&amp;I</t>
        </is>
      </c>
      <c r="E2148" s="3" t="n"/>
      <c r="F2148" s="3" t="inlineStr">
        <is>
          <t>Closed</t>
        </is>
      </c>
      <c r="G2148" s="9" t="inlineStr">
        <is>
          <t xml:space="preserve">Ashish Jindal </t>
        </is>
      </c>
      <c r="H2148" s="26" t="n">
        <v>9983975581</v>
      </c>
      <c r="I2148" s="38" t="inlineStr">
        <is>
          <t>PE01052601</t>
        </is>
      </c>
      <c r="J2148" s="26" t="inlineStr">
        <is>
          <t>Multiple Issues</t>
        </is>
      </c>
      <c r="K2148" s="39" t="inlineStr">
        <is>
          <t>Holi</t>
        </is>
      </c>
      <c r="L2148" s="39" t="inlineStr">
        <is>
          <t>Maharashtra</t>
        </is>
      </c>
      <c r="M2148" s="46" t="inlineStr">
        <is>
          <t>PS</t>
        </is>
      </c>
      <c r="N2148" s="3" t="inlineStr">
        <is>
          <t>Cold Soldering</t>
        </is>
      </c>
      <c r="O2148" s="56" t="n">
        <v>575</v>
      </c>
      <c r="P2148" s="46" t="inlineStr">
        <is>
          <t>NSMI24070180239</t>
        </is>
      </c>
      <c r="Q2148" s="54">
        <f>MID(P2148,5,2)</f>
        <v/>
      </c>
      <c r="R2148" s="53">
        <f>MID(P2148,7,2)</f>
        <v/>
      </c>
      <c r="S2148" s="3" t="inlineStr">
        <is>
          <t>G2G</t>
        </is>
      </c>
      <c r="T2148" s="3" t="inlineStr">
        <is>
          <t>P4</t>
        </is>
      </c>
      <c r="U2148" s="19" t="inlineStr">
        <is>
          <t>P JB Cold Soldering</t>
        </is>
      </c>
      <c r="V2148" s="19" t="inlineStr">
        <is>
          <t>Soldering</t>
        </is>
      </c>
      <c r="W2148" s="3" t="inlineStr">
        <is>
          <t>Repair</t>
        </is>
      </c>
      <c r="X2148" s="18" t="n">
        <v>46168</v>
      </c>
      <c r="Y2148" s="3">
        <f>X2148-A2148</f>
        <v/>
      </c>
      <c r="Z2148" s="18" t="n">
        <v>46168</v>
      </c>
      <c r="AA2148" s="15" t="n"/>
      <c r="AB2148" s="15" t="n"/>
    </row>
    <row r="2149">
      <c r="A2149" s="37" t="n">
        <v>46143</v>
      </c>
      <c r="B2149" s="3" t="n">
        <v>2026</v>
      </c>
      <c r="C2149" s="26" t="inlineStr">
        <is>
          <t>Yanara Power</t>
        </is>
      </c>
      <c r="D2149" s="3" t="inlineStr">
        <is>
          <t>Utility and C&amp;I</t>
        </is>
      </c>
      <c r="E2149" s="3" t="n"/>
      <c r="F2149" s="3" t="inlineStr">
        <is>
          <t>Closed</t>
        </is>
      </c>
      <c r="G2149" s="9" t="inlineStr">
        <is>
          <t xml:space="preserve">Ashish Jindal </t>
        </is>
      </c>
      <c r="H2149" s="26" t="n">
        <v>9983975581</v>
      </c>
      <c r="I2149" s="38" t="inlineStr">
        <is>
          <t>PE01052601</t>
        </is>
      </c>
      <c r="J2149" s="26" t="inlineStr">
        <is>
          <t>Multiple Issues</t>
        </is>
      </c>
      <c r="K2149" s="39" t="inlineStr">
        <is>
          <t>Holi</t>
        </is>
      </c>
      <c r="L2149" s="39" t="inlineStr">
        <is>
          <t>Maharashtra</t>
        </is>
      </c>
      <c r="M2149" s="46" t="inlineStr">
        <is>
          <t>PS</t>
        </is>
      </c>
      <c r="N2149" s="3" t="inlineStr">
        <is>
          <t>Cold Soldering</t>
        </is>
      </c>
      <c r="O2149" s="56" t="n">
        <v>575</v>
      </c>
      <c r="P2149" s="46" t="inlineStr">
        <is>
          <t>NSMI24070178212</t>
        </is>
      </c>
      <c r="Q2149" s="54">
        <f>MID(P2149,5,2)</f>
        <v/>
      </c>
      <c r="R2149" s="53">
        <f>MID(P2149,7,2)</f>
        <v/>
      </c>
      <c r="S2149" s="3" t="inlineStr">
        <is>
          <t>G2G</t>
        </is>
      </c>
      <c r="T2149" s="3" t="inlineStr">
        <is>
          <t>P4</t>
        </is>
      </c>
      <c r="U2149" s="19" t="inlineStr">
        <is>
          <t>P JB Cold Soldering</t>
        </is>
      </c>
      <c r="V2149" s="19" t="inlineStr">
        <is>
          <t>Soldering</t>
        </is>
      </c>
      <c r="W2149" s="3" t="inlineStr">
        <is>
          <t>Repair</t>
        </is>
      </c>
      <c r="X2149" s="18" t="n">
        <v>46168</v>
      </c>
      <c r="Y2149" s="3">
        <f>X2149-A2149</f>
        <v/>
      </c>
      <c r="Z2149" s="18" t="n">
        <v>46168</v>
      </c>
      <c r="AA2149" s="15" t="n"/>
      <c r="AB2149" s="15" t="n"/>
    </row>
    <row r="2150">
      <c r="A2150" s="37" t="n">
        <v>46143</v>
      </c>
      <c r="B2150" s="3" t="n">
        <v>2026</v>
      </c>
      <c r="C2150" s="26" t="inlineStr">
        <is>
          <t>Yanara Power</t>
        </is>
      </c>
      <c r="D2150" s="3" t="inlineStr">
        <is>
          <t>Utility and C&amp;I</t>
        </is>
      </c>
      <c r="E2150" s="3" t="n"/>
      <c r="F2150" s="3" t="inlineStr">
        <is>
          <t>Closed</t>
        </is>
      </c>
      <c r="G2150" s="9" t="inlineStr">
        <is>
          <t xml:space="preserve">Ashish Jindal </t>
        </is>
      </c>
      <c r="H2150" s="26" t="n">
        <v>9983975581</v>
      </c>
      <c r="I2150" s="38" t="inlineStr">
        <is>
          <t>PE01052601</t>
        </is>
      </c>
      <c r="J2150" s="26" t="inlineStr">
        <is>
          <t>Multiple Issues</t>
        </is>
      </c>
      <c r="K2150" s="39" t="inlineStr">
        <is>
          <t>Holi</t>
        </is>
      </c>
      <c r="L2150" s="39" t="inlineStr">
        <is>
          <t>Maharashtra</t>
        </is>
      </c>
      <c r="M2150" s="46" t="inlineStr">
        <is>
          <t>NS</t>
        </is>
      </c>
      <c r="N2150" s="3" t="inlineStr">
        <is>
          <t>Cold Soldering</t>
        </is>
      </c>
      <c r="O2150" s="56" t="n">
        <v>575</v>
      </c>
      <c r="P2150" s="46" t="inlineStr">
        <is>
          <t>NSMI24070188335</t>
        </is>
      </c>
      <c r="Q2150" s="54">
        <f>MID(P2150,5,2)</f>
        <v/>
      </c>
      <c r="R2150" s="53">
        <f>MID(P2150,7,2)</f>
        <v/>
      </c>
      <c r="S2150" s="3" t="inlineStr">
        <is>
          <t>G2G</t>
        </is>
      </c>
      <c r="T2150" s="3" t="inlineStr">
        <is>
          <t>P4</t>
        </is>
      </c>
      <c r="U2150" s="3" t="inlineStr">
        <is>
          <t>N JB Cold Soldering</t>
        </is>
      </c>
      <c r="V2150" s="3" t="inlineStr">
        <is>
          <t>Soldering</t>
        </is>
      </c>
      <c r="W2150" s="3" t="inlineStr">
        <is>
          <t>Repair</t>
        </is>
      </c>
      <c r="X2150" s="18" t="n">
        <v>46168</v>
      </c>
      <c r="Y2150" s="3">
        <f>X2150-A2150</f>
        <v/>
      </c>
      <c r="Z2150" s="18" t="n">
        <v>46168</v>
      </c>
      <c r="AA2150" s="15" t="n"/>
      <c r="AB2150" s="15" t="n"/>
    </row>
    <row r="2151">
      <c r="A2151" s="37" t="n">
        <v>46143</v>
      </c>
      <c r="B2151" s="3" t="n">
        <v>2026</v>
      </c>
      <c r="C2151" s="26" t="inlineStr">
        <is>
          <t>Yanara Power</t>
        </is>
      </c>
      <c r="D2151" s="3" t="inlineStr">
        <is>
          <t>Utility and C&amp;I</t>
        </is>
      </c>
      <c r="E2151" s="3" t="n"/>
      <c r="F2151" s="3" t="inlineStr">
        <is>
          <t>Closed</t>
        </is>
      </c>
      <c r="G2151" s="9" t="inlineStr">
        <is>
          <t xml:space="preserve">Ashish Jindal </t>
        </is>
      </c>
      <c r="H2151" s="26" t="n">
        <v>9983975581</v>
      </c>
      <c r="I2151" s="38" t="inlineStr">
        <is>
          <t>PE01052601</t>
        </is>
      </c>
      <c r="J2151" s="26" t="inlineStr">
        <is>
          <t>Multiple Issues</t>
        </is>
      </c>
      <c r="K2151" s="39" t="inlineStr">
        <is>
          <t>Holi</t>
        </is>
      </c>
      <c r="L2151" s="39" t="inlineStr">
        <is>
          <t>Maharashtra</t>
        </is>
      </c>
      <c r="M2151" s="46" t="inlineStr">
        <is>
          <t>PS</t>
        </is>
      </c>
      <c r="N2151" s="3" t="inlineStr">
        <is>
          <t>Cold Soldering</t>
        </is>
      </c>
      <c r="O2151" s="56" t="n">
        <v>575</v>
      </c>
      <c r="P2151" s="46" t="inlineStr">
        <is>
          <t>NSMI24070200707</t>
        </is>
      </c>
      <c r="Q2151" s="54">
        <f>MID(P2151,5,2)</f>
        <v/>
      </c>
      <c r="R2151" s="53">
        <f>MID(P2151,7,2)</f>
        <v/>
      </c>
      <c r="S2151" s="3" t="inlineStr">
        <is>
          <t>G2G</t>
        </is>
      </c>
      <c r="T2151" s="3" t="inlineStr">
        <is>
          <t>P4</t>
        </is>
      </c>
      <c r="U2151" s="19" t="inlineStr">
        <is>
          <t>P JB Cold Soldering</t>
        </is>
      </c>
      <c r="V2151" s="19" t="inlineStr">
        <is>
          <t>Soldering</t>
        </is>
      </c>
      <c r="W2151" s="3" t="inlineStr">
        <is>
          <t>Repair</t>
        </is>
      </c>
      <c r="X2151" s="18" t="n">
        <v>46168</v>
      </c>
      <c r="Y2151" s="3">
        <f>X2151-A2151</f>
        <v/>
      </c>
      <c r="Z2151" s="18" t="n">
        <v>46168</v>
      </c>
      <c r="AA2151" s="15" t="n"/>
      <c r="AB2151" s="15" t="n"/>
    </row>
    <row r="2152">
      <c r="A2152" s="37" t="n">
        <v>46143</v>
      </c>
      <c r="B2152" s="3" t="n">
        <v>2026</v>
      </c>
      <c r="C2152" s="26" t="inlineStr">
        <is>
          <t>Yanara Power</t>
        </is>
      </c>
      <c r="D2152" s="3" t="inlineStr">
        <is>
          <t>Utility and C&amp;I</t>
        </is>
      </c>
      <c r="E2152" s="3" t="n"/>
      <c r="F2152" s="3" t="inlineStr">
        <is>
          <t>Closed</t>
        </is>
      </c>
      <c r="G2152" s="9" t="inlineStr">
        <is>
          <t xml:space="preserve">Ashish Jindal </t>
        </is>
      </c>
      <c r="H2152" s="26" t="n">
        <v>9983975581</v>
      </c>
      <c r="I2152" s="38" t="inlineStr">
        <is>
          <t>PE01052601</t>
        </is>
      </c>
      <c r="J2152" s="26" t="inlineStr">
        <is>
          <t>Multiple Issues</t>
        </is>
      </c>
      <c r="K2152" s="39" t="inlineStr">
        <is>
          <t>Holi</t>
        </is>
      </c>
      <c r="L2152" s="39" t="inlineStr">
        <is>
          <t>Maharashtra</t>
        </is>
      </c>
      <c r="M2152" s="46" t="inlineStr">
        <is>
          <t>PS</t>
        </is>
      </c>
      <c r="N2152" s="3" t="inlineStr">
        <is>
          <t>Cold Soldering</t>
        </is>
      </c>
      <c r="O2152" s="56" t="n">
        <v>575</v>
      </c>
      <c r="P2152" s="46" t="inlineStr">
        <is>
          <t>NSMI24070201075</t>
        </is>
      </c>
      <c r="Q2152" s="54">
        <f>MID(P2152,5,2)</f>
        <v/>
      </c>
      <c r="R2152" s="53">
        <f>MID(P2152,7,2)</f>
        <v/>
      </c>
      <c r="S2152" s="3" t="inlineStr">
        <is>
          <t>G2G</t>
        </is>
      </c>
      <c r="T2152" s="3" t="inlineStr">
        <is>
          <t>P4</t>
        </is>
      </c>
      <c r="U2152" s="19" t="inlineStr">
        <is>
          <t>P JB Cold Soldering</t>
        </is>
      </c>
      <c r="V2152" s="19" t="inlineStr">
        <is>
          <t>Soldering</t>
        </is>
      </c>
      <c r="W2152" s="3" t="inlineStr">
        <is>
          <t>Repair</t>
        </is>
      </c>
      <c r="X2152" s="18" t="n">
        <v>46168</v>
      </c>
      <c r="Y2152" s="3">
        <f>X2152-A2152</f>
        <v/>
      </c>
      <c r="Z2152" s="18" t="n">
        <v>46168</v>
      </c>
      <c r="AA2152" s="15" t="n"/>
      <c r="AB2152" s="15" t="n"/>
    </row>
    <row r="2153">
      <c r="A2153" s="37" t="n">
        <v>46143</v>
      </c>
      <c r="B2153" s="3" t="n">
        <v>2026</v>
      </c>
      <c r="C2153" s="26" t="inlineStr">
        <is>
          <t>Yanara Power</t>
        </is>
      </c>
      <c r="D2153" s="3" t="inlineStr">
        <is>
          <t>Utility and C&amp;I</t>
        </is>
      </c>
      <c r="E2153" s="3" t="n"/>
      <c r="F2153" s="3" t="inlineStr">
        <is>
          <t>Closed</t>
        </is>
      </c>
      <c r="G2153" s="9" t="inlineStr">
        <is>
          <t xml:space="preserve">Ashish Jindal </t>
        </is>
      </c>
      <c r="H2153" s="26" t="n">
        <v>9983975581</v>
      </c>
      <c r="I2153" s="38" t="inlineStr">
        <is>
          <t>PE01052601</t>
        </is>
      </c>
      <c r="J2153" s="26" t="inlineStr">
        <is>
          <t>Multiple Issues</t>
        </is>
      </c>
      <c r="K2153" s="39" t="inlineStr">
        <is>
          <t>Holi</t>
        </is>
      </c>
      <c r="L2153" s="39" t="inlineStr">
        <is>
          <t>Maharashtra</t>
        </is>
      </c>
      <c r="M2153" s="46" t="inlineStr">
        <is>
          <t>PS</t>
        </is>
      </c>
      <c r="N2153" s="3" t="inlineStr">
        <is>
          <t>Cold Soldering</t>
        </is>
      </c>
      <c r="O2153" s="56" t="n">
        <v>575</v>
      </c>
      <c r="P2153" s="46" t="inlineStr">
        <is>
          <t>NSMI24070201077</t>
        </is>
      </c>
      <c r="Q2153" s="54">
        <f>MID(P2153,5,2)</f>
        <v/>
      </c>
      <c r="R2153" s="53">
        <f>MID(P2153,7,2)</f>
        <v/>
      </c>
      <c r="S2153" s="3" t="inlineStr">
        <is>
          <t>G2G</t>
        </is>
      </c>
      <c r="T2153" s="3" t="inlineStr">
        <is>
          <t>P4</t>
        </is>
      </c>
      <c r="U2153" s="19" t="inlineStr">
        <is>
          <t>P JB Cold Soldering</t>
        </is>
      </c>
      <c r="V2153" s="19" t="inlineStr">
        <is>
          <t>Soldering</t>
        </is>
      </c>
      <c r="W2153" s="3" t="inlineStr">
        <is>
          <t>Repair</t>
        </is>
      </c>
      <c r="X2153" s="18" t="n">
        <v>46168</v>
      </c>
      <c r="Y2153" s="3">
        <f>X2153-A2153</f>
        <v/>
      </c>
      <c r="Z2153" s="18" t="n">
        <v>46168</v>
      </c>
      <c r="AA2153" s="15" t="n"/>
      <c r="AB2153" s="15" t="n"/>
    </row>
    <row r="2154">
      <c r="A2154" s="37" t="n">
        <v>46143</v>
      </c>
      <c r="B2154" s="3" t="n">
        <v>2026</v>
      </c>
      <c r="C2154" s="26" t="inlineStr">
        <is>
          <t>Yanara Power</t>
        </is>
      </c>
      <c r="D2154" s="3" t="inlineStr">
        <is>
          <t>Utility and C&amp;I</t>
        </is>
      </c>
      <c r="E2154" s="3" t="n"/>
      <c r="F2154" s="3" t="inlineStr">
        <is>
          <t>Closed</t>
        </is>
      </c>
      <c r="G2154" s="9" t="inlineStr">
        <is>
          <t xml:space="preserve">Ashish Jindal </t>
        </is>
      </c>
      <c r="H2154" s="26" t="n">
        <v>9983975581</v>
      </c>
      <c r="I2154" s="38" t="inlineStr">
        <is>
          <t>PE01052601</t>
        </is>
      </c>
      <c r="J2154" s="26" t="inlineStr">
        <is>
          <t>Multiple Issues</t>
        </is>
      </c>
      <c r="K2154" s="39" t="inlineStr">
        <is>
          <t>Holi</t>
        </is>
      </c>
      <c r="L2154" s="39" t="inlineStr">
        <is>
          <t>Maharashtra</t>
        </is>
      </c>
      <c r="M2154" s="46" t="inlineStr">
        <is>
          <t>PS</t>
        </is>
      </c>
      <c r="N2154" s="3" t="inlineStr">
        <is>
          <t>Cold Soldering</t>
        </is>
      </c>
      <c r="O2154" s="56" t="n">
        <v>575</v>
      </c>
      <c r="P2154" s="46" t="inlineStr">
        <is>
          <t>NSMI24070181027</t>
        </is>
      </c>
      <c r="Q2154" s="54">
        <f>MID(P2154,5,2)</f>
        <v/>
      </c>
      <c r="R2154" s="53">
        <f>MID(P2154,7,2)</f>
        <v/>
      </c>
      <c r="S2154" s="3" t="inlineStr">
        <is>
          <t>G2G</t>
        </is>
      </c>
      <c r="T2154" s="3" t="inlineStr">
        <is>
          <t>P4</t>
        </is>
      </c>
      <c r="U2154" s="19" t="inlineStr">
        <is>
          <t>P JB Cold Soldering</t>
        </is>
      </c>
      <c r="V2154" s="19" t="inlineStr">
        <is>
          <t>Soldering</t>
        </is>
      </c>
      <c r="W2154" s="3" t="inlineStr">
        <is>
          <t>Repair</t>
        </is>
      </c>
      <c r="X2154" s="18" t="n">
        <v>46168</v>
      </c>
      <c r="Y2154" s="3">
        <f>X2154-A2154</f>
        <v/>
      </c>
      <c r="Z2154" s="18" t="n">
        <v>46168</v>
      </c>
      <c r="AA2154" s="15" t="n"/>
      <c r="AB2154" s="15" t="n"/>
    </row>
    <row r="2155">
      <c r="A2155" s="37" t="n">
        <v>46143</v>
      </c>
      <c r="B2155" s="3" t="n">
        <v>2026</v>
      </c>
      <c r="C2155" s="26" t="inlineStr">
        <is>
          <t>Yanara Power</t>
        </is>
      </c>
      <c r="D2155" s="3" t="inlineStr">
        <is>
          <t>Utility and C&amp;I</t>
        </is>
      </c>
      <c r="E2155" s="3" t="n"/>
      <c r="F2155" s="3" t="inlineStr">
        <is>
          <t>Closed</t>
        </is>
      </c>
      <c r="G2155" s="9" t="inlineStr">
        <is>
          <t xml:space="preserve">Ashish Jindal </t>
        </is>
      </c>
      <c r="H2155" s="26" t="n">
        <v>9983975581</v>
      </c>
      <c r="I2155" s="38" t="inlineStr">
        <is>
          <t>PE01052601</t>
        </is>
      </c>
      <c r="J2155" s="26" t="inlineStr">
        <is>
          <t>Multiple Issues</t>
        </is>
      </c>
      <c r="K2155" s="39" t="inlineStr">
        <is>
          <t>Holi</t>
        </is>
      </c>
      <c r="L2155" s="39" t="inlineStr">
        <is>
          <t>Maharashtra</t>
        </is>
      </c>
      <c r="M2155" s="46" t="inlineStr">
        <is>
          <t>NR</t>
        </is>
      </c>
      <c r="N2155" s="3" t="inlineStr">
        <is>
          <t>JB Issue</t>
        </is>
      </c>
      <c r="O2155" s="56" t="n">
        <v>575</v>
      </c>
      <c r="P2155" s="46" t="inlineStr">
        <is>
          <t>NSMI24070176970</t>
        </is>
      </c>
      <c r="Q2155" s="54">
        <f>MID(P2155,5,2)</f>
        <v/>
      </c>
      <c r="R2155" s="53">
        <f>MID(P2155,7,2)</f>
        <v/>
      </c>
      <c r="S2155" s="3" t="inlineStr">
        <is>
          <t>G2G</t>
        </is>
      </c>
      <c r="T2155" s="3" t="inlineStr">
        <is>
          <t>P4</t>
        </is>
      </c>
      <c r="U2155" s="3" t="inlineStr">
        <is>
          <t>N JB Issue</t>
        </is>
      </c>
      <c r="V2155" s="3" t="inlineStr">
        <is>
          <t>JB Changed</t>
        </is>
      </c>
      <c r="W2155" s="3" t="inlineStr">
        <is>
          <t>Repair</t>
        </is>
      </c>
      <c r="X2155" s="18" t="n">
        <v>46168</v>
      </c>
      <c r="Y2155" s="3">
        <f>X2155-A2155</f>
        <v/>
      </c>
      <c r="Z2155" s="18" t="n">
        <v>46168</v>
      </c>
      <c r="AA2155" s="15" t="n"/>
      <c r="AB2155" s="15" t="n"/>
    </row>
    <row r="2156">
      <c r="A2156" s="37" t="n">
        <v>46143</v>
      </c>
      <c r="B2156" s="3" t="n">
        <v>2026</v>
      </c>
      <c r="C2156" s="26" t="inlineStr">
        <is>
          <t>Yanara Power</t>
        </is>
      </c>
      <c r="D2156" s="3" t="inlineStr">
        <is>
          <t>Utility and C&amp;I</t>
        </is>
      </c>
      <c r="E2156" s="3" t="n"/>
      <c r="F2156" s="3" t="inlineStr">
        <is>
          <t>Closed</t>
        </is>
      </c>
      <c r="G2156" s="9" t="inlineStr">
        <is>
          <t xml:space="preserve">Ashish Jindal </t>
        </is>
      </c>
      <c r="H2156" s="26" t="n">
        <v>9983975581</v>
      </c>
      <c r="I2156" s="38" t="inlineStr">
        <is>
          <t>PE01052601</t>
        </is>
      </c>
      <c r="J2156" s="26" t="inlineStr">
        <is>
          <t>Multiple Issues</t>
        </is>
      </c>
      <c r="K2156" s="39" t="inlineStr">
        <is>
          <t>Holi</t>
        </is>
      </c>
      <c r="L2156" s="39" t="inlineStr">
        <is>
          <t>Maharashtra</t>
        </is>
      </c>
      <c r="M2156" s="46" t="inlineStr">
        <is>
          <t>NS</t>
        </is>
      </c>
      <c r="N2156" s="3" t="inlineStr">
        <is>
          <t>Cold Soldering</t>
        </is>
      </c>
      <c r="O2156" s="56" t="n">
        <v>575</v>
      </c>
      <c r="P2156" s="46" t="inlineStr">
        <is>
          <t>NSMI24070176452</t>
        </is>
      </c>
      <c r="Q2156" s="54">
        <f>MID(P2156,5,2)</f>
        <v/>
      </c>
      <c r="R2156" s="53">
        <f>MID(P2156,7,2)</f>
        <v/>
      </c>
      <c r="S2156" s="3" t="inlineStr">
        <is>
          <t>G2G</t>
        </is>
      </c>
      <c r="T2156" s="3" t="inlineStr">
        <is>
          <t>P4</t>
        </is>
      </c>
      <c r="U2156" s="3" t="inlineStr">
        <is>
          <t>N JB Cold Soldering</t>
        </is>
      </c>
      <c r="V2156" s="3" t="inlineStr">
        <is>
          <t>Soldering</t>
        </is>
      </c>
      <c r="W2156" s="3" t="inlineStr">
        <is>
          <t>Repair</t>
        </is>
      </c>
      <c r="X2156" s="18" t="n">
        <v>46168</v>
      </c>
      <c r="Y2156" s="3">
        <f>X2156-A2156</f>
        <v/>
      </c>
      <c r="Z2156" s="18" t="n">
        <v>46168</v>
      </c>
      <c r="AA2156" s="15" t="n"/>
      <c r="AB2156" s="15" t="n"/>
    </row>
    <row r="2157">
      <c r="A2157" s="37" t="n">
        <v>46143</v>
      </c>
      <c r="B2157" s="3" t="n">
        <v>2026</v>
      </c>
      <c r="C2157" s="26" t="inlineStr">
        <is>
          <t>Yanara Power</t>
        </is>
      </c>
      <c r="D2157" s="3" t="inlineStr">
        <is>
          <t>Utility and C&amp;I</t>
        </is>
      </c>
      <c r="E2157" s="3" t="n"/>
      <c r="F2157" s="3" t="inlineStr">
        <is>
          <t>Closed</t>
        </is>
      </c>
      <c r="G2157" s="9" t="inlineStr">
        <is>
          <t xml:space="preserve">Ashish Jindal </t>
        </is>
      </c>
      <c r="H2157" s="26" t="n">
        <v>9983975581</v>
      </c>
      <c r="I2157" s="38" t="inlineStr">
        <is>
          <t>PE01052601</t>
        </is>
      </c>
      <c r="J2157" s="26" t="inlineStr">
        <is>
          <t>Multiple Issues</t>
        </is>
      </c>
      <c r="K2157" s="39" t="inlineStr">
        <is>
          <t>Holi</t>
        </is>
      </c>
      <c r="L2157" s="39" t="inlineStr">
        <is>
          <t>Maharashtra</t>
        </is>
      </c>
      <c r="M2157" s="46" t="inlineStr">
        <is>
          <t>PS</t>
        </is>
      </c>
      <c r="N2157" s="3" t="inlineStr">
        <is>
          <t>Cold Soldering</t>
        </is>
      </c>
      <c r="O2157" s="56" t="n">
        <v>575</v>
      </c>
      <c r="P2157" s="46" t="inlineStr">
        <is>
          <t>NSMI24070191183</t>
        </is>
      </c>
      <c r="Q2157" s="54">
        <f>MID(P2157,5,2)</f>
        <v/>
      </c>
      <c r="R2157" s="53">
        <f>MID(P2157,7,2)</f>
        <v/>
      </c>
      <c r="S2157" s="3" t="inlineStr">
        <is>
          <t>G2G</t>
        </is>
      </c>
      <c r="T2157" s="3" t="inlineStr">
        <is>
          <t>P4</t>
        </is>
      </c>
      <c r="U2157" s="19" t="inlineStr">
        <is>
          <t>P JB Cold Soldering</t>
        </is>
      </c>
      <c r="V2157" s="19" t="inlineStr">
        <is>
          <t>Soldering</t>
        </is>
      </c>
      <c r="W2157" s="3" t="inlineStr">
        <is>
          <t>Repair</t>
        </is>
      </c>
      <c r="X2157" s="18" t="n">
        <v>46168</v>
      </c>
      <c r="Y2157" s="3">
        <f>X2157-A2157</f>
        <v/>
      </c>
      <c r="Z2157" s="18" t="n">
        <v>46168</v>
      </c>
      <c r="AA2157" s="15" t="n"/>
      <c r="AB2157" s="15" t="n"/>
    </row>
    <row r="2158">
      <c r="A2158" s="37" t="n">
        <v>46143</v>
      </c>
      <c r="B2158" s="3" t="n">
        <v>2026</v>
      </c>
      <c r="C2158" s="26" t="inlineStr">
        <is>
          <t>Yanara Power</t>
        </is>
      </c>
      <c r="D2158" s="3" t="inlineStr">
        <is>
          <t>Utility and C&amp;I</t>
        </is>
      </c>
      <c r="E2158" s="3" t="n"/>
      <c r="F2158" s="3" t="inlineStr">
        <is>
          <t>Closed</t>
        </is>
      </c>
      <c r="G2158" s="9" t="inlineStr">
        <is>
          <t xml:space="preserve">Ashish Jindal </t>
        </is>
      </c>
      <c r="H2158" s="26" t="n">
        <v>9983975581</v>
      </c>
      <c r="I2158" s="38" t="inlineStr">
        <is>
          <t>PE01052601</t>
        </is>
      </c>
      <c r="J2158" s="26" t="inlineStr">
        <is>
          <t>Multiple Issues</t>
        </is>
      </c>
      <c r="K2158" s="39" t="inlineStr">
        <is>
          <t>Holi</t>
        </is>
      </c>
      <c r="L2158" s="39" t="inlineStr">
        <is>
          <t>Maharashtra</t>
        </is>
      </c>
      <c r="M2158" s="46" t="inlineStr">
        <is>
          <t>PR</t>
        </is>
      </c>
      <c r="N2158" s="3" t="inlineStr">
        <is>
          <t>JB Issue</t>
        </is>
      </c>
      <c r="O2158" s="56" t="n">
        <v>575</v>
      </c>
      <c r="P2158" s="47" t="inlineStr">
        <is>
          <t>NSMI24070201669</t>
        </is>
      </c>
      <c r="Q2158" s="54">
        <f>MID(P2158,5,2)</f>
        <v/>
      </c>
      <c r="R2158" s="53">
        <f>MID(P2158,7,2)</f>
        <v/>
      </c>
      <c r="S2158" s="3" t="inlineStr">
        <is>
          <t>G2G</t>
        </is>
      </c>
      <c r="T2158" s="3" t="inlineStr">
        <is>
          <t>P4</t>
        </is>
      </c>
      <c r="U2158" s="3" t="inlineStr">
        <is>
          <t>P JB Issue</t>
        </is>
      </c>
      <c r="V2158" s="15" t="inlineStr">
        <is>
          <t>JB Changed</t>
        </is>
      </c>
      <c r="W2158" s="3" t="inlineStr">
        <is>
          <t>Repair</t>
        </is>
      </c>
      <c r="X2158" s="18" t="n">
        <v>46168</v>
      </c>
      <c r="Y2158" s="3">
        <f>X2158-A2158</f>
        <v/>
      </c>
      <c r="Z2158" s="18" t="n">
        <v>46168</v>
      </c>
      <c r="AA2158" s="15" t="n"/>
      <c r="AB2158" s="15" t="n"/>
    </row>
    <row r="2159">
      <c r="A2159" s="37" t="n">
        <v>46143</v>
      </c>
      <c r="B2159" s="3" t="n">
        <v>2026</v>
      </c>
      <c r="C2159" s="26" t="inlineStr">
        <is>
          <t>Yanara Power</t>
        </is>
      </c>
      <c r="D2159" s="3" t="inlineStr">
        <is>
          <t>Utility and C&amp;I</t>
        </is>
      </c>
      <c r="E2159" s="3" t="n"/>
      <c r="F2159" s="3" t="inlineStr">
        <is>
          <t>Closed</t>
        </is>
      </c>
      <c r="G2159" s="9" t="inlineStr">
        <is>
          <t xml:space="preserve">Ashish Jindal </t>
        </is>
      </c>
      <c r="H2159" s="26" t="n">
        <v>9983975581</v>
      </c>
      <c r="I2159" s="38" t="inlineStr">
        <is>
          <t>PE01052601</t>
        </is>
      </c>
      <c r="J2159" s="26" t="inlineStr">
        <is>
          <t>Multiple Issues</t>
        </is>
      </c>
      <c r="K2159" s="39" t="inlineStr">
        <is>
          <t>Holi</t>
        </is>
      </c>
      <c r="L2159" s="39" t="inlineStr">
        <is>
          <t>Maharashtra</t>
        </is>
      </c>
      <c r="M2159" s="46" t="inlineStr">
        <is>
          <t>PS</t>
        </is>
      </c>
      <c r="N2159" s="3" t="inlineStr">
        <is>
          <t>Cold Soldering</t>
        </is>
      </c>
      <c r="O2159" s="56" t="n">
        <v>575</v>
      </c>
      <c r="P2159" s="46" t="inlineStr">
        <is>
          <t>NSMI24070215116</t>
        </is>
      </c>
      <c r="Q2159" s="54">
        <f>MID(P2159,5,2)</f>
        <v/>
      </c>
      <c r="R2159" s="53">
        <f>MID(P2159,7,2)</f>
        <v/>
      </c>
      <c r="S2159" s="3" t="inlineStr">
        <is>
          <t>G2G</t>
        </is>
      </c>
      <c r="T2159" s="3" t="inlineStr">
        <is>
          <t>P4</t>
        </is>
      </c>
      <c r="U2159" s="19" t="inlineStr">
        <is>
          <t>P JB Cold Soldering</t>
        </is>
      </c>
      <c r="V2159" s="19" t="inlineStr">
        <is>
          <t>Soldering</t>
        </is>
      </c>
      <c r="W2159" s="3" t="inlineStr">
        <is>
          <t>Repair</t>
        </is>
      </c>
      <c r="X2159" s="18" t="n">
        <v>46169</v>
      </c>
      <c r="Y2159" s="3">
        <f>X2159-A2159</f>
        <v/>
      </c>
      <c r="Z2159" s="18" t="n">
        <v>46169</v>
      </c>
      <c r="AA2159" s="15" t="n"/>
      <c r="AB2159" s="15" t="n"/>
    </row>
    <row r="2160">
      <c r="A2160" s="37" t="n">
        <v>46143</v>
      </c>
      <c r="B2160" s="3" t="n">
        <v>2026</v>
      </c>
      <c r="C2160" s="26" t="inlineStr">
        <is>
          <t>Yanara Power</t>
        </is>
      </c>
      <c r="D2160" s="3" t="inlineStr">
        <is>
          <t>Utility and C&amp;I</t>
        </is>
      </c>
      <c r="E2160" s="3" t="n"/>
      <c r="F2160" s="3" t="inlineStr">
        <is>
          <t>Closed</t>
        </is>
      </c>
      <c r="G2160" s="9" t="inlineStr">
        <is>
          <t xml:space="preserve">Ashish Jindal </t>
        </is>
      </c>
      <c r="H2160" s="26" t="n">
        <v>9983975581</v>
      </c>
      <c r="I2160" s="38" t="inlineStr">
        <is>
          <t>PE01052601</t>
        </is>
      </c>
      <c r="J2160" s="26" t="inlineStr">
        <is>
          <t>Multiple Issues</t>
        </is>
      </c>
      <c r="K2160" s="39" t="inlineStr">
        <is>
          <t>Holi</t>
        </is>
      </c>
      <c r="L2160" s="39" t="inlineStr">
        <is>
          <t>Maharashtra</t>
        </is>
      </c>
      <c r="M2160" s="46" t="inlineStr">
        <is>
          <t>PNS</t>
        </is>
      </c>
      <c r="N2160" s="3" t="inlineStr">
        <is>
          <t>Cold Soldering</t>
        </is>
      </c>
      <c r="O2160" s="56" t="n">
        <v>575</v>
      </c>
      <c r="P2160" s="46" t="inlineStr">
        <is>
          <t>NSMI24070176600</t>
        </is>
      </c>
      <c r="Q2160" s="54">
        <f>MID(P2160,5,2)</f>
        <v/>
      </c>
      <c r="R2160" s="53">
        <f>MID(P2160,7,2)</f>
        <v/>
      </c>
      <c r="S2160" s="3" t="inlineStr">
        <is>
          <t>G2G</t>
        </is>
      </c>
      <c r="T2160" s="3" t="inlineStr">
        <is>
          <t>P4</t>
        </is>
      </c>
      <c r="U2160" s="3" t="inlineStr">
        <is>
          <t>P &amp; N JB Cold Soldering</t>
        </is>
      </c>
      <c r="V2160" s="3" t="inlineStr">
        <is>
          <t>Soldering</t>
        </is>
      </c>
      <c r="W2160" s="3" t="inlineStr">
        <is>
          <t>Repair</t>
        </is>
      </c>
      <c r="X2160" s="18" t="n">
        <v>46169</v>
      </c>
      <c r="Y2160" s="3">
        <f>X2160-A2160</f>
        <v/>
      </c>
      <c r="Z2160" s="18" t="n">
        <v>46169</v>
      </c>
      <c r="AA2160" s="15" t="n"/>
      <c r="AB2160" s="15" t="n"/>
    </row>
    <row r="2161">
      <c r="A2161" s="37" t="n">
        <v>46143</v>
      </c>
      <c r="B2161" s="3" t="n">
        <v>2026</v>
      </c>
      <c r="C2161" s="26" t="inlineStr">
        <is>
          <t>Yanara Power</t>
        </is>
      </c>
      <c r="D2161" s="3" t="inlineStr">
        <is>
          <t>Utility and C&amp;I</t>
        </is>
      </c>
      <c r="E2161" s="3" t="n"/>
      <c r="F2161" s="3" t="inlineStr">
        <is>
          <t>Closed</t>
        </is>
      </c>
      <c r="G2161" s="9" t="inlineStr">
        <is>
          <t xml:space="preserve">Ashish Jindal </t>
        </is>
      </c>
      <c r="H2161" s="26" t="n">
        <v>9983975581</v>
      </c>
      <c r="I2161" s="38" t="inlineStr">
        <is>
          <t>PE01052601</t>
        </is>
      </c>
      <c r="J2161" s="26" t="inlineStr">
        <is>
          <t>Multiple Issues</t>
        </is>
      </c>
      <c r="K2161" s="39" t="inlineStr">
        <is>
          <t>Holi</t>
        </is>
      </c>
      <c r="L2161" s="39" t="inlineStr">
        <is>
          <t>Maharashtra</t>
        </is>
      </c>
      <c r="M2161" s="46" t="inlineStr">
        <is>
          <t>PS</t>
        </is>
      </c>
      <c r="N2161" s="3" t="inlineStr">
        <is>
          <t>Cold Soldering</t>
        </is>
      </c>
      <c r="O2161" s="56" t="n">
        <v>575</v>
      </c>
      <c r="P2161" s="46" t="inlineStr">
        <is>
          <t>NSMI24070176870</t>
        </is>
      </c>
      <c r="Q2161" s="54">
        <f>MID(P2161,5,2)</f>
        <v/>
      </c>
      <c r="R2161" s="53">
        <f>MID(P2161,7,2)</f>
        <v/>
      </c>
      <c r="S2161" s="3" t="inlineStr">
        <is>
          <t>G2G</t>
        </is>
      </c>
      <c r="T2161" s="3" t="inlineStr">
        <is>
          <t>P4</t>
        </is>
      </c>
      <c r="U2161" s="19" t="inlineStr">
        <is>
          <t>P JB Cold Soldering</t>
        </is>
      </c>
      <c r="V2161" s="19" t="inlineStr">
        <is>
          <t>Soldering</t>
        </is>
      </c>
      <c r="W2161" s="3" t="inlineStr">
        <is>
          <t>Repair</t>
        </is>
      </c>
      <c r="X2161" s="18" t="n">
        <v>46169</v>
      </c>
      <c r="Y2161" s="3">
        <f>X2161-A2161</f>
        <v/>
      </c>
      <c r="Z2161" s="18" t="n">
        <v>46169</v>
      </c>
      <c r="AA2161" s="15" t="n"/>
      <c r="AB2161" s="15" t="n"/>
    </row>
    <row r="2162">
      <c r="A2162" s="37" t="n">
        <v>46143</v>
      </c>
      <c r="B2162" s="3" t="n">
        <v>2026</v>
      </c>
      <c r="C2162" s="26" t="inlineStr">
        <is>
          <t>Yanara Power</t>
        </is>
      </c>
      <c r="D2162" s="3" t="inlineStr">
        <is>
          <t>Utility and C&amp;I</t>
        </is>
      </c>
      <c r="E2162" s="3" t="n"/>
      <c r="F2162" s="3" t="inlineStr">
        <is>
          <t>Closed</t>
        </is>
      </c>
      <c r="G2162" s="9" t="inlineStr">
        <is>
          <t xml:space="preserve">Ashish Jindal </t>
        </is>
      </c>
      <c r="H2162" s="26" t="n">
        <v>9983975581</v>
      </c>
      <c r="I2162" s="38" t="inlineStr">
        <is>
          <t>PE01052601</t>
        </is>
      </c>
      <c r="J2162" s="26" t="inlineStr">
        <is>
          <t>Multiple Issues</t>
        </is>
      </c>
      <c r="K2162" s="39" t="inlineStr">
        <is>
          <t>Holi</t>
        </is>
      </c>
      <c r="L2162" s="39" t="inlineStr">
        <is>
          <t>Maharashtra</t>
        </is>
      </c>
      <c r="M2162" s="46" t="inlineStr">
        <is>
          <t>PS</t>
        </is>
      </c>
      <c r="N2162" s="3" t="inlineStr">
        <is>
          <t>Cold Soldering</t>
        </is>
      </c>
      <c r="O2162" s="56" t="n">
        <v>575</v>
      </c>
      <c r="P2162" s="46" t="inlineStr">
        <is>
          <t>NSMI24070176239</t>
        </is>
      </c>
      <c r="Q2162" s="54">
        <f>MID(P2162,5,2)</f>
        <v/>
      </c>
      <c r="R2162" s="53">
        <f>MID(P2162,7,2)</f>
        <v/>
      </c>
      <c r="S2162" s="3" t="inlineStr">
        <is>
          <t>G2G</t>
        </is>
      </c>
      <c r="T2162" s="3" t="inlineStr">
        <is>
          <t>P4</t>
        </is>
      </c>
      <c r="U2162" s="19" t="inlineStr">
        <is>
          <t>P JB Cold Soldering</t>
        </is>
      </c>
      <c r="V2162" s="19" t="inlineStr">
        <is>
          <t>Soldering</t>
        </is>
      </c>
      <c r="W2162" s="3" t="inlineStr">
        <is>
          <t>Repair</t>
        </is>
      </c>
      <c r="X2162" s="18" t="n">
        <v>46169</v>
      </c>
      <c r="Y2162" s="3">
        <f>X2162-A2162</f>
        <v/>
      </c>
      <c r="Z2162" s="18" t="n">
        <v>46169</v>
      </c>
      <c r="AA2162" s="15" t="n"/>
      <c r="AB2162" s="15" t="n"/>
    </row>
    <row r="2163">
      <c r="A2163" s="37" t="n">
        <v>46143</v>
      </c>
      <c r="B2163" s="3" t="n">
        <v>2026</v>
      </c>
      <c r="C2163" s="26" t="inlineStr">
        <is>
          <t>Yanara Power</t>
        </is>
      </c>
      <c r="D2163" s="3" t="inlineStr">
        <is>
          <t>Utility and C&amp;I</t>
        </is>
      </c>
      <c r="E2163" s="3" t="n"/>
      <c r="F2163" s="3" t="inlineStr">
        <is>
          <t>Closed</t>
        </is>
      </c>
      <c r="G2163" s="9" t="inlineStr">
        <is>
          <t xml:space="preserve">Ashish Jindal </t>
        </is>
      </c>
      <c r="H2163" s="26" t="n">
        <v>9983975581</v>
      </c>
      <c r="I2163" s="38" t="inlineStr">
        <is>
          <t>PE01052601</t>
        </is>
      </c>
      <c r="J2163" s="26" t="inlineStr">
        <is>
          <t>Multiple Issues</t>
        </is>
      </c>
      <c r="K2163" s="39" t="inlineStr">
        <is>
          <t>Holi</t>
        </is>
      </c>
      <c r="L2163" s="39" t="inlineStr">
        <is>
          <t>Maharashtra</t>
        </is>
      </c>
      <c r="M2163" s="46" t="inlineStr">
        <is>
          <t>NS</t>
        </is>
      </c>
      <c r="N2163" s="3" t="inlineStr">
        <is>
          <t>Cold Soldering</t>
        </is>
      </c>
      <c r="O2163" s="56" t="n">
        <v>575</v>
      </c>
      <c r="P2163" s="46" t="inlineStr">
        <is>
          <t>NSMI24070176280</t>
        </is>
      </c>
      <c r="Q2163" s="54">
        <f>MID(P2163,5,2)</f>
        <v/>
      </c>
      <c r="R2163" s="53">
        <f>MID(P2163,7,2)</f>
        <v/>
      </c>
      <c r="S2163" s="3" t="inlineStr">
        <is>
          <t>G2G</t>
        </is>
      </c>
      <c r="T2163" s="3" t="inlineStr">
        <is>
          <t>P4</t>
        </is>
      </c>
      <c r="U2163" s="3" t="inlineStr">
        <is>
          <t>N JB Cold Soldering</t>
        </is>
      </c>
      <c r="V2163" s="3" t="inlineStr">
        <is>
          <t>Soldering</t>
        </is>
      </c>
      <c r="W2163" s="3" t="inlineStr">
        <is>
          <t>Repair</t>
        </is>
      </c>
      <c r="X2163" s="18" t="n">
        <v>46169</v>
      </c>
      <c r="Y2163" s="3">
        <f>X2163-A2163</f>
        <v/>
      </c>
      <c r="Z2163" s="18" t="n">
        <v>46169</v>
      </c>
      <c r="AA2163" s="15" t="n"/>
      <c r="AB2163" s="15" t="n"/>
    </row>
    <row r="2164">
      <c r="A2164" s="37" t="n">
        <v>46143</v>
      </c>
      <c r="B2164" s="3" t="n">
        <v>2026</v>
      </c>
      <c r="C2164" s="26" t="inlineStr">
        <is>
          <t>Yanara Power</t>
        </is>
      </c>
      <c r="D2164" s="3" t="inlineStr">
        <is>
          <t>Utility and C&amp;I</t>
        </is>
      </c>
      <c r="E2164" s="3" t="n"/>
      <c r="F2164" s="3" t="inlineStr">
        <is>
          <t>Closed</t>
        </is>
      </c>
      <c r="G2164" s="9" t="inlineStr">
        <is>
          <t xml:space="preserve">Ashish Jindal </t>
        </is>
      </c>
      <c r="H2164" s="26" t="n">
        <v>9983975581</v>
      </c>
      <c r="I2164" s="38" t="inlineStr">
        <is>
          <t>PE01052601</t>
        </is>
      </c>
      <c r="J2164" s="26" t="inlineStr">
        <is>
          <t>Multiple Issues</t>
        </is>
      </c>
      <c r="K2164" s="39" t="inlineStr">
        <is>
          <t>Holi</t>
        </is>
      </c>
      <c r="L2164" s="39" t="inlineStr">
        <is>
          <t>Maharashtra</t>
        </is>
      </c>
      <c r="M2164" s="46" t="inlineStr">
        <is>
          <t>NS</t>
        </is>
      </c>
      <c r="N2164" s="3" t="inlineStr">
        <is>
          <t>Cold Soldering</t>
        </is>
      </c>
      <c r="O2164" s="56" t="n">
        <v>575</v>
      </c>
      <c r="P2164" s="46" t="inlineStr">
        <is>
          <t>NSMI24070188454</t>
        </is>
      </c>
      <c r="Q2164" s="54">
        <f>MID(P2164,5,2)</f>
        <v/>
      </c>
      <c r="R2164" s="53">
        <f>MID(P2164,7,2)</f>
        <v/>
      </c>
      <c r="S2164" s="3" t="inlineStr">
        <is>
          <t>G2G</t>
        </is>
      </c>
      <c r="T2164" s="3" t="inlineStr">
        <is>
          <t>P4</t>
        </is>
      </c>
      <c r="U2164" s="3" t="inlineStr">
        <is>
          <t>N JB Cold Soldering</t>
        </is>
      </c>
      <c r="V2164" s="3" t="inlineStr">
        <is>
          <t>Soldering</t>
        </is>
      </c>
      <c r="W2164" s="3" t="inlineStr">
        <is>
          <t>Repair</t>
        </is>
      </c>
      <c r="X2164" s="18" t="n">
        <v>46169</v>
      </c>
      <c r="Y2164" s="3">
        <f>X2164-A2164</f>
        <v/>
      </c>
      <c r="Z2164" s="18" t="n">
        <v>46169</v>
      </c>
      <c r="AA2164" s="15" t="n"/>
      <c r="AB2164" s="15" t="n"/>
    </row>
    <row r="2165">
      <c r="A2165" s="37" t="n">
        <v>46143</v>
      </c>
      <c r="B2165" s="3" t="n">
        <v>2026</v>
      </c>
      <c r="C2165" s="26" t="inlineStr">
        <is>
          <t>Yanara Power</t>
        </is>
      </c>
      <c r="D2165" s="3" t="inlineStr">
        <is>
          <t>Utility and C&amp;I</t>
        </is>
      </c>
      <c r="E2165" s="3" t="n"/>
      <c r="F2165" s="3" t="inlineStr">
        <is>
          <t>Closed</t>
        </is>
      </c>
      <c r="G2165" s="9" t="inlineStr">
        <is>
          <t xml:space="preserve">Ashish Jindal </t>
        </is>
      </c>
      <c r="H2165" s="26" t="n">
        <v>9983975581</v>
      </c>
      <c r="I2165" s="38" t="inlineStr">
        <is>
          <t>PE01052601</t>
        </is>
      </c>
      <c r="J2165" s="26" t="inlineStr">
        <is>
          <t>Multiple Issues</t>
        </is>
      </c>
      <c r="K2165" s="39" t="inlineStr">
        <is>
          <t>Holi</t>
        </is>
      </c>
      <c r="L2165" s="39" t="inlineStr">
        <is>
          <t>Maharashtra</t>
        </is>
      </c>
      <c r="M2165" s="46" t="inlineStr">
        <is>
          <t>PS</t>
        </is>
      </c>
      <c r="N2165" s="3" t="inlineStr">
        <is>
          <t>Cold Soldering</t>
        </is>
      </c>
      <c r="O2165" s="56" t="n">
        <v>575</v>
      </c>
      <c r="P2165" s="46" t="inlineStr">
        <is>
          <t>NSMI24070176305</t>
        </is>
      </c>
      <c r="Q2165" s="54">
        <f>MID(P2165,5,2)</f>
        <v/>
      </c>
      <c r="R2165" s="53">
        <f>MID(P2165,7,2)</f>
        <v/>
      </c>
      <c r="S2165" s="3" t="inlineStr">
        <is>
          <t>G2G</t>
        </is>
      </c>
      <c r="T2165" s="3" t="inlineStr">
        <is>
          <t>P4</t>
        </is>
      </c>
      <c r="U2165" s="19" t="inlineStr">
        <is>
          <t>P JB Cold Soldering</t>
        </is>
      </c>
      <c r="V2165" s="19" t="inlineStr">
        <is>
          <t>Soldering</t>
        </is>
      </c>
      <c r="W2165" s="3" t="inlineStr">
        <is>
          <t>Repair</t>
        </is>
      </c>
      <c r="X2165" s="18" t="n">
        <v>46169</v>
      </c>
      <c r="Y2165" s="3">
        <f>X2165-A2165</f>
        <v/>
      </c>
      <c r="Z2165" s="18" t="n">
        <v>46169</v>
      </c>
      <c r="AA2165" s="15" t="n"/>
      <c r="AB2165" s="15" t="n"/>
    </row>
    <row r="2166">
      <c r="A2166" s="37" t="n">
        <v>46143</v>
      </c>
      <c r="B2166" s="3" t="n">
        <v>2026</v>
      </c>
      <c r="C2166" s="26" t="inlineStr">
        <is>
          <t>Yanara Power</t>
        </is>
      </c>
      <c r="D2166" s="3" t="inlineStr">
        <is>
          <t>Utility and C&amp;I</t>
        </is>
      </c>
      <c r="E2166" s="3" t="n"/>
      <c r="F2166" s="3" t="inlineStr">
        <is>
          <t>Closed</t>
        </is>
      </c>
      <c r="G2166" s="9" t="inlineStr">
        <is>
          <t xml:space="preserve">Ashish Jindal </t>
        </is>
      </c>
      <c r="H2166" s="26" t="n">
        <v>9983975581</v>
      </c>
      <c r="I2166" s="38" t="inlineStr">
        <is>
          <t>PE01052601</t>
        </is>
      </c>
      <c r="J2166" s="26" t="inlineStr">
        <is>
          <t>Multiple Issues</t>
        </is>
      </c>
      <c r="K2166" s="39" t="inlineStr">
        <is>
          <t>Holi</t>
        </is>
      </c>
      <c r="L2166" s="39" t="inlineStr">
        <is>
          <t>Maharashtra</t>
        </is>
      </c>
      <c r="M2166" s="46" t="inlineStr">
        <is>
          <t>PS</t>
        </is>
      </c>
      <c r="N2166" s="3" t="inlineStr">
        <is>
          <t>Cold Soldering</t>
        </is>
      </c>
      <c r="O2166" s="56" t="n">
        <v>575</v>
      </c>
      <c r="P2166" s="46" t="inlineStr">
        <is>
          <t>NSMI24070176870</t>
        </is>
      </c>
      <c r="Q2166" s="54">
        <f>MID(P2166,5,2)</f>
        <v/>
      </c>
      <c r="R2166" s="53">
        <f>MID(P2166,7,2)</f>
        <v/>
      </c>
      <c r="S2166" s="3" t="inlineStr">
        <is>
          <t>G2G</t>
        </is>
      </c>
      <c r="T2166" s="3" t="inlineStr">
        <is>
          <t>P4</t>
        </is>
      </c>
      <c r="U2166" s="19" t="inlineStr">
        <is>
          <t>P JB Cold Soldering</t>
        </is>
      </c>
      <c r="V2166" s="19" t="inlineStr">
        <is>
          <t>Soldering</t>
        </is>
      </c>
      <c r="W2166" s="3" t="inlineStr">
        <is>
          <t>Repair</t>
        </is>
      </c>
      <c r="X2166" s="18" t="n">
        <v>46169</v>
      </c>
      <c r="Y2166" s="3">
        <f>X2166-A2166</f>
        <v/>
      </c>
      <c r="Z2166" s="18" t="n">
        <v>46169</v>
      </c>
      <c r="AA2166" s="15" t="n"/>
      <c r="AB2166" s="15" t="n"/>
    </row>
    <row r="2167">
      <c r="A2167" s="37" t="n">
        <v>46143</v>
      </c>
      <c r="B2167" s="3" t="n">
        <v>2026</v>
      </c>
      <c r="C2167" s="26" t="inlineStr">
        <is>
          <t>Yanara Power</t>
        </is>
      </c>
      <c r="D2167" s="3" t="inlineStr">
        <is>
          <t>Utility and C&amp;I</t>
        </is>
      </c>
      <c r="E2167" s="3" t="n"/>
      <c r="F2167" s="3" t="inlineStr">
        <is>
          <t>Closed</t>
        </is>
      </c>
      <c r="G2167" s="9" t="inlineStr">
        <is>
          <t xml:space="preserve">Ashish Jindal </t>
        </is>
      </c>
      <c r="H2167" s="26" t="n">
        <v>9983975581</v>
      </c>
      <c r="I2167" s="38" t="inlineStr">
        <is>
          <t>PE01052601</t>
        </is>
      </c>
      <c r="J2167" s="26" t="inlineStr">
        <is>
          <t>Multiple Issues</t>
        </is>
      </c>
      <c r="K2167" s="39" t="inlineStr">
        <is>
          <t>Holi</t>
        </is>
      </c>
      <c r="L2167" s="39" t="inlineStr">
        <is>
          <t>Maharashtra</t>
        </is>
      </c>
      <c r="M2167" s="46" t="inlineStr">
        <is>
          <t>PS</t>
        </is>
      </c>
      <c r="N2167" s="3" t="inlineStr">
        <is>
          <t>Cold Soldering</t>
        </is>
      </c>
      <c r="O2167" s="56" t="n">
        <v>575</v>
      </c>
      <c r="P2167" s="46" t="inlineStr">
        <is>
          <t>NSMI24070176311</t>
        </is>
      </c>
      <c r="Q2167" s="54">
        <f>MID(P2167,5,2)</f>
        <v/>
      </c>
      <c r="R2167" s="53">
        <f>MID(P2167,7,2)</f>
        <v/>
      </c>
      <c r="S2167" s="3" t="inlineStr">
        <is>
          <t>G2G</t>
        </is>
      </c>
      <c r="T2167" s="3" t="inlineStr">
        <is>
          <t>P4</t>
        </is>
      </c>
      <c r="U2167" s="19" t="inlineStr">
        <is>
          <t>P JB Cold Soldering</t>
        </is>
      </c>
      <c r="V2167" s="19" t="inlineStr">
        <is>
          <t>Soldering</t>
        </is>
      </c>
      <c r="W2167" s="3" t="inlineStr">
        <is>
          <t>Repair</t>
        </is>
      </c>
      <c r="X2167" s="18" t="n">
        <v>46169</v>
      </c>
      <c r="Y2167" s="3">
        <f>X2167-A2167</f>
        <v/>
      </c>
      <c r="Z2167" s="18" t="n">
        <v>46169</v>
      </c>
      <c r="AA2167" s="15" t="n"/>
      <c r="AB2167" s="15" t="n"/>
    </row>
    <row r="2168">
      <c r="A2168" s="37" t="n">
        <v>46143</v>
      </c>
      <c r="B2168" s="3" t="n">
        <v>2026</v>
      </c>
      <c r="C2168" s="26" t="inlineStr">
        <is>
          <t>Yanara Power</t>
        </is>
      </c>
      <c r="D2168" s="3" t="inlineStr">
        <is>
          <t>Utility and C&amp;I</t>
        </is>
      </c>
      <c r="E2168" s="3" t="n"/>
      <c r="F2168" s="3" t="inlineStr">
        <is>
          <t>Closed</t>
        </is>
      </c>
      <c r="G2168" s="9" t="inlineStr">
        <is>
          <t xml:space="preserve">Ashish Jindal </t>
        </is>
      </c>
      <c r="H2168" s="26" t="n">
        <v>9983975581</v>
      </c>
      <c r="I2168" s="38" t="inlineStr">
        <is>
          <t>PE01052601</t>
        </is>
      </c>
      <c r="J2168" s="26" t="inlineStr">
        <is>
          <t>Multiple Issues</t>
        </is>
      </c>
      <c r="K2168" s="39" t="inlineStr">
        <is>
          <t>Holi</t>
        </is>
      </c>
      <c r="L2168" s="39" t="inlineStr">
        <is>
          <t>Maharashtra</t>
        </is>
      </c>
      <c r="M2168" s="46" t="inlineStr">
        <is>
          <t>NS</t>
        </is>
      </c>
      <c r="N2168" s="3" t="inlineStr">
        <is>
          <t>Cold Soldering</t>
        </is>
      </c>
      <c r="O2168" s="56" t="n">
        <v>575</v>
      </c>
      <c r="P2168" s="46" t="inlineStr">
        <is>
          <t>NSMI24070176308</t>
        </is>
      </c>
      <c r="Q2168" s="54">
        <f>MID(P2168,5,2)</f>
        <v/>
      </c>
      <c r="R2168" s="53">
        <f>MID(P2168,7,2)</f>
        <v/>
      </c>
      <c r="S2168" s="3" t="inlineStr">
        <is>
          <t>G2G</t>
        </is>
      </c>
      <c r="T2168" s="3" t="inlineStr">
        <is>
          <t>P4</t>
        </is>
      </c>
      <c r="U2168" s="3" t="inlineStr">
        <is>
          <t>N JB Cold Soldering</t>
        </is>
      </c>
      <c r="V2168" s="3" t="inlineStr">
        <is>
          <t>Soldering</t>
        </is>
      </c>
      <c r="W2168" s="3" t="inlineStr">
        <is>
          <t>Repair</t>
        </is>
      </c>
      <c r="X2168" s="18" t="n">
        <v>46169</v>
      </c>
      <c r="Y2168" s="3">
        <f>X2168-A2168</f>
        <v/>
      </c>
      <c r="Z2168" s="18" t="n">
        <v>46169</v>
      </c>
      <c r="AA2168" s="15" t="n"/>
      <c r="AB2168" s="15" t="n"/>
    </row>
    <row r="2169">
      <c r="A2169" s="37" t="n">
        <v>46143</v>
      </c>
      <c r="B2169" s="3" t="n">
        <v>2026</v>
      </c>
      <c r="C2169" s="26" t="inlineStr">
        <is>
          <t>Yanara Power</t>
        </is>
      </c>
      <c r="D2169" s="3" t="inlineStr">
        <is>
          <t>Utility and C&amp;I</t>
        </is>
      </c>
      <c r="E2169" s="3" t="n"/>
      <c r="F2169" s="3" t="inlineStr">
        <is>
          <t>Closed</t>
        </is>
      </c>
      <c r="G2169" s="9" t="inlineStr">
        <is>
          <t xml:space="preserve">Ashish Jindal </t>
        </is>
      </c>
      <c r="H2169" s="26" t="n">
        <v>9983975581</v>
      </c>
      <c r="I2169" s="38" t="inlineStr">
        <is>
          <t>PE01052601</t>
        </is>
      </c>
      <c r="J2169" s="26" t="inlineStr">
        <is>
          <t>Multiple Issues</t>
        </is>
      </c>
      <c r="K2169" s="39" t="inlineStr">
        <is>
          <t>Holi</t>
        </is>
      </c>
      <c r="L2169" s="39" t="inlineStr">
        <is>
          <t>Maharashtra</t>
        </is>
      </c>
      <c r="M2169" s="46" t="inlineStr">
        <is>
          <t>NS</t>
        </is>
      </c>
      <c r="N2169" s="3" t="inlineStr">
        <is>
          <t>Cold Soldering</t>
        </is>
      </c>
      <c r="O2169" s="56" t="n">
        <v>575</v>
      </c>
      <c r="P2169" s="46" t="inlineStr">
        <is>
          <t>NSMI24070219644</t>
        </is>
      </c>
      <c r="Q2169" s="54">
        <f>MID(P2169,5,2)</f>
        <v/>
      </c>
      <c r="R2169" s="53">
        <f>MID(P2169,7,2)</f>
        <v/>
      </c>
      <c r="S2169" s="3" t="inlineStr">
        <is>
          <t>G2G</t>
        </is>
      </c>
      <c r="T2169" s="3" t="inlineStr">
        <is>
          <t>P4</t>
        </is>
      </c>
      <c r="U2169" s="3" t="inlineStr">
        <is>
          <t>N JB Cold Soldering</t>
        </is>
      </c>
      <c r="V2169" s="3" t="inlineStr">
        <is>
          <t>Soldering</t>
        </is>
      </c>
      <c r="W2169" s="3" t="inlineStr">
        <is>
          <t>Repair</t>
        </is>
      </c>
      <c r="X2169" s="18" t="n">
        <v>46169</v>
      </c>
      <c r="Y2169" s="3">
        <f>X2169-A2169</f>
        <v/>
      </c>
      <c r="Z2169" s="18" t="n">
        <v>46169</v>
      </c>
      <c r="AA2169" s="15" t="n"/>
      <c r="AB2169" s="15" t="n"/>
    </row>
    <row r="2170">
      <c r="A2170" s="37" t="n">
        <v>46143</v>
      </c>
      <c r="B2170" s="3" t="n">
        <v>2026</v>
      </c>
      <c r="C2170" s="26" t="inlineStr">
        <is>
          <t>Yanara Power</t>
        </is>
      </c>
      <c r="D2170" s="3" t="inlineStr">
        <is>
          <t>Utility and C&amp;I</t>
        </is>
      </c>
      <c r="E2170" s="3" t="n"/>
      <c r="F2170" s="3" t="inlineStr">
        <is>
          <t>Closed</t>
        </is>
      </c>
      <c r="G2170" s="9" t="inlineStr">
        <is>
          <t xml:space="preserve">Ashish Jindal </t>
        </is>
      </c>
      <c r="H2170" s="26" t="n">
        <v>9983975581</v>
      </c>
      <c r="I2170" s="38" t="inlineStr">
        <is>
          <t>PE01052601</t>
        </is>
      </c>
      <c r="J2170" s="26" t="inlineStr">
        <is>
          <t>Multiple Issues</t>
        </is>
      </c>
      <c r="K2170" s="39" t="inlineStr">
        <is>
          <t>Holi</t>
        </is>
      </c>
      <c r="L2170" s="39" t="inlineStr">
        <is>
          <t>Maharashtra</t>
        </is>
      </c>
      <c r="M2170" s="46" t="inlineStr">
        <is>
          <t>PS</t>
        </is>
      </c>
      <c r="N2170" s="3" t="inlineStr">
        <is>
          <t>Cold Soldering</t>
        </is>
      </c>
      <c r="O2170" s="56" t="n">
        <v>575</v>
      </c>
      <c r="P2170" s="46" t="inlineStr">
        <is>
          <t>NSMI24070166018</t>
        </is>
      </c>
      <c r="Q2170" s="54">
        <f>MID(P2170,5,2)</f>
        <v/>
      </c>
      <c r="R2170" s="53">
        <f>MID(P2170,7,2)</f>
        <v/>
      </c>
      <c r="S2170" s="3" t="inlineStr">
        <is>
          <t>G2G</t>
        </is>
      </c>
      <c r="T2170" s="3" t="inlineStr">
        <is>
          <t>P4</t>
        </is>
      </c>
      <c r="U2170" s="19" t="inlineStr">
        <is>
          <t>P JB Cold Soldering</t>
        </is>
      </c>
      <c r="V2170" s="19" t="inlineStr">
        <is>
          <t>Soldering</t>
        </is>
      </c>
      <c r="W2170" s="3" t="inlineStr">
        <is>
          <t>Repair</t>
        </is>
      </c>
      <c r="X2170" s="18" t="n">
        <v>46169</v>
      </c>
      <c r="Y2170" s="3">
        <f>X2170-A2170</f>
        <v/>
      </c>
      <c r="Z2170" s="18" t="n">
        <v>46169</v>
      </c>
      <c r="AA2170" s="15" t="n"/>
      <c r="AB2170" s="15" t="n"/>
    </row>
    <row r="2171">
      <c r="A2171" s="37" t="n">
        <v>46143</v>
      </c>
      <c r="B2171" s="3" t="n">
        <v>2026</v>
      </c>
      <c r="C2171" s="26" t="inlineStr">
        <is>
          <t>Yanara Power</t>
        </is>
      </c>
      <c r="D2171" s="3" t="inlineStr">
        <is>
          <t>Utility and C&amp;I</t>
        </is>
      </c>
      <c r="E2171" s="3" t="n"/>
      <c r="F2171" s="3" t="inlineStr">
        <is>
          <t>Closed</t>
        </is>
      </c>
      <c r="G2171" s="9" t="inlineStr">
        <is>
          <t xml:space="preserve">Ashish Jindal </t>
        </is>
      </c>
      <c r="H2171" s="26" t="n">
        <v>9983975581</v>
      </c>
      <c r="I2171" s="38" t="inlineStr">
        <is>
          <t>PE01052601</t>
        </is>
      </c>
      <c r="J2171" s="26" t="inlineStr">
        <is>
          <t>Multiple Issues</t>
        </is>
      </c>
      <c r="K2171" s="39" t="inlineStr">
        <is>
          <t>Holi</t>
        </is>
      </c>
      <c r="L2171" s="39" t="inlineStr">
        <is>
          <t>Maharashtra</t>
        </is>
      </c>
      <c r="M2171" s="46" t="inlineStr">
        <is>
          <t>NS</t>
        </is>
      </c>
      <c r="N2171" s="3" t="inlineStr">
        <is>
          <t>Cold Soldering</t>
        </is>
      </c>
      <c r="O2171" s="56" t="n">
        <v>575</v>
      </c>
      <c r="P2171" s="46" t="inlineStr">
        <is>
          <t>NSMI24070203181</t>
        </is>
      </c>
      <c r="Q2171" s="54">
        <f>MID(P2171,5,2)</f>
        <v/>
      </c>
      <c r="R2171" s="53">
        <f>MID(P2171,7,2)</f>
        <v/>
      </c>
      <c r="S2171" s="3" t="inlineStr">
        <is>
          <t>G2G</t>
        </is>
      </c>
      <c r="T2171" s="3" t="inlineStr">
        <is>
          <t>P4</t>
        </is>
      </c>
      <c r="U2171" s="3" t="inlineStr">
        <is>
          <t>N JB Cold Soldering</t>
        </is>
      </c>
      <c r="V2171" s="3" t="inlineStr">
        <is>
          <t>Soldering</t>
        </is>
      </c>
      <c r="W2171" s="3" t="inlineStr">
        <is>
          <t>Repair</t>
        </is>
      </c>
      <c r="X2171" s="18" t="n">
        <v>46169</v>
      </c>
      <c r="Y2171" s="3">
        <f>X2171-A2171</f>
        <v/>
      </c>
      <c r="Z2171" s="18" t="n">
        <v>46169</v>
      </c>
      <c r="AA2171" s="15" t="n"/>
      <c r="AB2171" s="15" t="n"/>
    </row>
    <row r="2172">
      <c r="A2172" s="37" t="n">
        <v>46143</v>
      </c>
      <c r="B2172" s="3" t="n">
        <v>2026</v>
      </c>
      <c r="C2172" s="26" t="inlineStr">
        <is>
          <t>Yanara Power</t>
        </is>
      </c>
      <c r="D2172" s="3" t="inlineStr">
        <is>
          <t>Utility and C&amp;I</t>
        </is>
      </c>
      <c r="E2172" s="3" t="n"/>
      <c r="F2172" s="3" t="inlineStr">
        <is>
          <t>Closed</t>
        </is>
      </c>
      <c r="G2172" s="9" t="inlineStr">
        <is>
          <t xml:space="preserve">Ashish Jindal </t>
        </is>
      </c>
      <c r="H2172" s="26" t="n">
        <v>9983975581</v>
      </c>
      <c r="I2172" s="38" t="inlineStr">
        <is>
          <t>PE01052601</t>
        </is>
      </c>
      <c r="J2172" s="26" t="inlineStr">
        <is>
          <t>Multiple Issues</t>
        </is>
      </c>
      <c r="K2172" s="39" t="inlineStr">
        <is>
          <t>Holi</t>
        </is>
      </c>
      <c r="L2172" s="39" t="inlineStr">
        <is>
          <t>Maharashtra</t>
        </is>
      </c>
      <c r="M2172" s="46" t="inlineStr">
        <is>
          <t>PS</t>
        </is>
      </c>
      <c r="N2172" s="3" t="inlineStr">
        <is>
          <t>Cold Soldering</t>
        </is>
      </c>
      <c r="O2172" s="56" t="n">
        <v>575</v>
      </c>
      <c r="P2172" s="46" t="inlineStr">
        <is>
          <t>NSMI24070197531</t>
        </is>
      </c>
      <c r="Q2172" s="54">
        <f>MID(P2172,5,2)</f>
        <v/>
      </c>
      <c r="R2172" s="53">
        <f>MID(P2172,7,2)</f>
        <v/>
      </c>
      <c r="S2172" s="3" t="inlineStr">
        <is>
          <t>G2G</t>
        </is>
      </c>
      <c r="T2172" s="3" t="inlineStr">
        <is>
          <t>P4</t>
        </is>
      </c>
      <c r="U2172" s="19" t="inlineStr">
        <is>
          <t>P JB Cold Soldering</t>
        </is>
      </c>
      <c r="V2172" s="19" t="inlineStr">
        <is>
          <t>Soldering</t>
        </is>
      </c>
      <c r="W2172" s="3" t="inlineStr">
        <is>
          <t>Repair</t>
        </is>
      </c>
      <c r="X2172" s="18" t="n">
        <v>46169</v>
      </c>
      <c r="Y2172" s="3">
        <f>X2172-A2172</f>
        <v/>
      </c>
      <c r="Z2172" s="18" t="n">
        <v>46169</v>
      </c>
      <c r="AA2172" s="15" t="n"/>
      <c r="AB2172" s="15" t="n"/>
    </row>
    <row r="2173">
      <c r="A2173" s="37" t="n">
        <v>46143</v>
      </c>
      <c r="B2173" s="3" t="n">
        <v>2026</v>
      </c>
      <c r="C2173" s="26" t="inlineStr">
        <is>
          <t>Yanara Power</t>
        </is>
      </c>
      <c r="D2173" s="3" t="inlineStr">
        <is>
          <t>Utility and C&amp;I</t>
        </is>
      </c>
      <c r="E2173" s="3" t="n"/>
      <c r="F2173" s="3" t="inlineStr">
        <is>
          <t>Closed</t>
        </is>
      </c>
      <c r="G2173" s="9" t="inlineStr">
        <is>
          <t xml:space="preserve">Ashish Jindal </t>
        </is>
      </c>
      <c r="H2173" s="26" t="n">
        <v>9983975581</v>
      </c>
      <c r="I2173" s="38" t="inlineStr">
        <is>
          <t>PE01052601</t>
        </is>
      </c>
      <c r="J2173" s="26" t="inlineStr">
        <is>
          <t>Multiple Issues</t>
        </is>
      </c>
      <c r="K2173" s="39" t="inlineStr">
        <is>
          <t>Holi</t>
        </is>
      </c>
      <c r="L2173" s="39" t="inlineStr">
        <is>
          <t>Maharashtra</t>
        </is>
      </c>
      <c r="M2173" s="46" t="inlineStr">
        <is>
          <t>PS</t>
        </is>
      </c>
      <c r="N2173" s="3" t="inlineStr">
        <is>
          <t>Cold Soldering</t>
        </is>
      </c>
      <c r="O2173" s="56" t="n">
        <v>575</v>
      </c>
      <c r="P2173" s="46" t="inlineStr">
        <is>
          <t>NSMI24070197506</t>
        </is>
      </c>
      <c r="Q2173" s="54">
        <f>MID(P2173,5,2)</f>
        <v/>
      </c>
      <c r="R2173" s="53">
        <f>MID(P2173,7,2)</f>
        <v/>
      </c>
      <c r="S2173" s="3" t="inlineStr">
        <is>
          <t>G2G</t>
        </is>
      </c>
      <c r="T2173" s="3" t="inlineStr">
        <is>
          <t>P4</t>
        </is>
      </c>
      <c r="U2173" s="19" t="inlineStr">
        <is>
          <t>P JB Cold Soldering</t>
        </is>
      </c>
      <c r="V2173" s="19" t="inlineStr">
        <is>
          <t>Soldering</t>
        </is>
      </c>
      <c r="W2173" s="3" t="inlineStr">
        <is>
          <t>Repair</t>
        </is>
      </c>
      <c r="X2173" s="18" t="n">
        <v>46169</v>
      </c>
      <c r="Y2173" s="3">
        <f>X2173-A2173</f>
        <v/>
      </c>
      <c r="Z2173" s="18" t="n">
        <v>46169</v>
      </c>
      <c r="AA2173" s="15" t="n"/>
      <c r="AB2173" s="15" t="n"/>
    </row>
    <row r="2174">
      <c r="A2174" s="37" t="n">
        <v>46143</v>
      </c>
      <c r="B2174" s="3" t="n">
        <v>2026</v>
      </c>
      <c r="C2174" s="26" t="inlineStr">
        <is>
          <t>Yanara Power</t>
        </is>
      </c>
      <c r="D2174" s="3" t="inlineStr">
        <is>
          <t>Utility and C&amp;I</t>
        </is>
      </c>
      <c r="E2174" s="3" t="n"/>
      <c r="F2174" s="3" t="inlineStr">
        <is>
          <t>Closed</t>
        </is>
      </c>
      <c r="G2174" s="9" t="inlineStr">
        <is>
          <t xml:space="preserve">Ashish Jindal </t>
        </is>
      </c>
      <c r="H2174" s="26" t="n">
        <v>9983975581</v>
      </c>
      <c r="I2174" s="38" t="inlineStr">
        <is>
          <t>PE01052601</t>
        </is>
      </c>
      <c r="J2174" s="26" t="inlineStr">
        <is>
          <t>Multiple Issues</t>
        </is>
      </c>
      <c r="K2174" s="39" t="inlineStr">
        <is>
          <t>Holi</t>
        </is>
      </c>
      <c r="L2174" s="39" t="inlineStr">
        <is>
          <t>Maharashtra</t>
        </is>
      </c>
      <c r="M2174" s="46" t="inlineStr">
        <is>
          <t>PS</t>
        </is>
      </c>
      <c r="N2174" s="3" t="inlineStr">
        <is>
          <t>Cold Soldering</t>
        </is>
      </c>
      <c r="O2174" s="56" t="n">
        <v>575</v>
      </c>
      <c r="P2174" s="46" t="inlineStr">
        <is>
          <t>NSMI24070197301</t>
        </is>
      </c>
      <c r="Q2174" s="54">
        <f>MID(P2174,5,2)</f>
        <v/>
      </c>
      <c r="R2174" s="53">
        <f>MID(P2174,7,2)</f>
        <v/>
      </c>
      <c r="S2174" s="3" t="inlineStr">
        <is>
          <t>G2G</t>
        </is>
      </c>
      <c r="T2174" s="3" t="inlineStr">
        <is>
          <t>P4</t>
        </is>
      </c>
      <c r="U2174" s="19" t="inlineStr">
        <is>
          <t>P JB Cold Soldering</t>
        </is>
      </c>
      <c r="V2174" s="19" t="inlineStr">
        <is>
          <t>Soldering</t>
        </is>
      </c>
      <c r="W2174" s="3" t="inlineStr">
        <is>
          <t>Repair</t>
        </is>
      </c>
      <c r="X2174" s="18" t="n">
        <v>46169</v>
      </c>
      <c r="Y2174" s="3">
        <f>X2174-A2174</f>
        <v/>
      </c>
      <c r="Z2174" s="18" t="n">
        <v>46169</v>
      </c>
      <c r="AA2174" s="15" t="n"/>
      <c r="AB2174" s="15" t="n"/>
    </row>
    <row r="2175">
      <c r="A2175" s="37" t="n">
        <v>46143</v>
      </c>
      <c r="B2175" s="3" t="n">
        <v>2026</v>
      </c>
      <c r="C2175" s="26" t="inlineStr">
        <is>
          <t>Yanara Power</t>
        </is>
      </c>
      <c r="D2175" s="3" t="inlineStr">
        <is>
          <t>Utility and C&amp;I</t>
        </is>
      </c>
      <c r="E2175" s="3" t="n"/>
      <c r="F2175" s="3" t="inlineStr">
        <is>
          <t>Closed</t>
        </is>
      </c>
      <c r="G2175" s="9" t="inlineStr">
        <is>
          <t xml:space="preserve">Ashish Jindal </t>
        </is>
      </c>
      <c r="H2175" s="26" t="n">
        <v>9983975581</v>
      </c>
      <c r="I2175" s="38" t="inlineStr">
        <is>
          <t>PE01052601</t>
        </is>
      </c>
      <c r="J2175" s="26" t="inlineStr">
        <is>
          <t>Multiple Issues</t>
        </is>
      </c>
      <c r="K2175" s="39" t="inlineStr">
        <is>
          <t>Holi</t>
        </is>
      </c>
      <c r="L2175" s="39" t="inlineStr">
        <is>
          <t>Maharashtra</t>
        </is>
      </c>
      <c r="M2175" s="46" t="inlineStr">
        <is>
          <t>NS</t>
        </is>
      </c>
      <c r="N2175" s="3" t="inlineStr">
        <is>
          <t>Cold Soldering</t>
        </is>
      </c>
      <c r="O2175" s="56" t="n">
        <v>575</v>
      </c>
      <c r="P2175" s="46" t="inlineStr">
        <is>
          <t>NSMI24070195480</t>
        </is>
      </c>
      <c r="Q2175" s="54">
        <f>MID(P2175,5,2)</f>
        <v/>
      </c>
      <c r="R2175" s="53">
        <f>MID(P2175,7,2)</f>
        <v/>
      </c>
      <c r="S2175" s="3" t="inlineStr">
        <is>
          <t>G2G</t>
        </is>
      </c>
      <c r="T2175" s="3" t="inlineStr">
        <is>
          <t>P4</t>
        </is>
      </c>
      <c r="U2175" s="3" t="inlineStr">
        <is>
          <t>N JB Cold Soldering</t>
        </is>
      </c>
      <c r="V2175" s="3" t="inlineStr">
        <is>
          <t>Soldering</t>
        </is>
      </c>
      <c r="W2175" s="3" t="inlineStr">
        <is>
          <t>Repair</t>
        </is>
      </c>
      <c r="X2175" s="18" t="n">
        <v>46169</v>
      </c>
      <c r="Y2175" s="3">
        <f>X2175-A2175</f>
        <v/>
      </c>
      <c r="Z2175" s="18" t="n">
        <v>46169</v>
      </c>
      <c r="AA2175" s="15" t="n"/>
      <c r="AB2175" s="15" t="n"/>
    </row>
    <row r="2176">
      <c r="A2176" s="37" t="n">
        <v>46143</v>
      </c>
      <c r="B2176" s="3" t="n">
        <v>2026</v>
      </c>
      <c r="C2176" s="26" t="inlineStr">
        <is>
          <t>Yanara Power</t>
        </is>
      </c>
      <c r="D2176" s="3" t="inlineStr">
        <is>
          <t>Utility and C&amp;I</t>
        </is>
      </c>
      <c r="E2176" s="3" t="n"/>
      <c r="F2176" s="3" t="inlineStr">
        <is>
          <t>Closed</t>
        </is>
      </c>
      <c r="G2176" s="9" t="inlineStr">
        <is>
          <t xml:space="preserve">Ashish Jindal </t>
        </is>
      </c>
      <c r="H2176" s="26" t="n">
        <v>9983975581</v>
      </c>
      <c r="I2176" s="38" t="inlineStr">
        <is>
          <t>PE01052601</t>
        </is>
      </c>
      <c r="J2176" s="26" t="inlineStr">
        <is>
          <t>Multiple Issues</t>
        </is>
      </c>
      <c r="K2176" s="39" t="inlineStr">
        <is>
          <t>Holi</t>
        </is>
      </c>
      <c r="L2176" s="39" t="inlineStr">
        <is>
          <t>Maharashtra</t>
        </is>
      </c>
      <c r="M2176" s="46" t="inlineStr">
        <is>
          <t>NS</t>
        </is>
      </c>
      <c r="N2176" s="3" t="inlineStr">
        <is>
          <t>Cold Soldering</t>
        </is>
      </c>
      <c r="O2176" s="56" t="n">
        <v>575</v>
      </c>
      <c r="P2176" s="46" t="inlineStr">
        <is>
          <t>NSMI24070195546</t>
        </is>
      </c>
      <c r="Q2176" s="54">
        <f>MID(P2176,5,2)</f>
        <v/>
      </c>
      <c r="R2176" s="53">
        <f>MID(P2176,7,2)</f>
        <v/>
      </c>
      <c r="S2176" s="3" t="inlineStr">
        <is>
          <t>G2G</t>
        </is>
      </c>
      <c r="T2176" s="3" t="inlineStr">
        <is>
          <t>P4</t>
        </is>
      </c>
      <c r="U2176" s="3" t="inlineStr">
        <is>
          <t>N JB Cold Soldering</t>
        </is>
      </c>
      <c r="V2176" s="3" t="inlineStr">
        <is>
          <t>Soldering</t>
        </is>
      </c>
      <c r="W2176" s="3" t="inlineStr">
        <is>
          <t>Repair</t>
        </is>
      </c>
      <c r="X2176" s="18" t="n">
        <v>46169</v>
      </c>
      <c r="Y2176" s="3">
        <f>X2176-A2176</f>
        <v/>
      </c>
      <c r="Z2176" s="18" t="n">
        <v>46169</v>
      </c>
      <c r="AA2176" s="15" t="n"/>
      <c r="AB2176" s="15" t="n"/>
    </row>
    <row r="2177">
      <c r="A2177" s="37" t="n">
        <v>46143</v>
      </c>
      <c r="B2177" s="3" t="n">
        <v>2026</v>
      </c>
      <c r="C2177" s="26" t="inlineStr">
        <is>
          <t>Yanara Power</t>
        </is>
      </c>
      <c r="D2177" s="3" t="inlineStr">
        <is>
          <t>Utility and C&amp;I</t>
        </is>
      </c>
      <c r="E2177" s="3" t="n"/>
      <c r="F2177" s="3" t="inlineStr">
        <is>
          <t>Closed</t>
        </is>
      </c>
      <c r="G2177" s="9" t="inlineStr">
        <is>
          <t xml:space="preserve">Ashish Jindal </t>
        </is>
      </c>
      <c r="H2177" s="26" t="n">
        <v>9983975581</v>
      </c>
      <c r="I2177" s="38" t="inlineStr">
        <is>
          <t>PE01052601</t>
        </is>
      </c>
      <c r="J2177" s="26" t="inlineStr">
        <is>
          <t>Multiple Issues</t>
        </is>
      </c>
      <c r="K2177" s="39" t="inlineStr">
        <is>
          <t>Holi</t>
        </is>
      </c>
      <c r="L2177" s="39" t="inlineStr">
        <is>
          <t>Maharashtra</t>
        </is>
      </c>
      <c r="M2177" s="46" t="inlineStr">
        <is>
          <t>NS</t>
        </is>
      </c>
      <c r="N2177" s="3" t="inlineStr">
        <is>
          <t>Cold Soldering</t>
        </is>
      </c>
      <c r="O2177" s="56" t="n">
        <v>575</v>
      </c>
      <c r="P2177" s="46" t="inlineStr">
        <is>
          <t>NSMI24070195488</t>
        </is>
      </c>
      <c r="Q2177" s="54">
        <f>MID(P2177,5,2)</f>
        <v/>
      </c>
      <c r="R2177" s="53">
        <f>MID(P2177,7,2)</f>
        <v/>
      </c>
      <c r="S2177" s="3" t="inlineStr">
        <is>
          <t>G2G</t>
        </is>
      </c>
      <c r="T2177" s="3" t="inlineStr">
        <is>
          <t>P4</t>
        </is>
      </c>
      <c r="U2177" s="3" t="inlineStr">
        <is>
          <t>N JB Cold Soldering</t>
        </is>
      </c>
      <c r="V2177" s="3" t="inlineStr">
        <is>
          <t>Soldering</t>
        </is>
      </c>
      <c r="W2177" s="3" t="inlineStr">
        <is>
          <t>Repair</t>
        </is>
      </c>
      <c r="X2177" s="18" t="n">
        <v>46169</v>
      </c>
      <c r="Y2177" s="3">
        <f>X2177-A2177</f>
        <v/>
      </c>
      <c r="Z2177" s="18" t="n">
        <v>46169</v>
      </c>
      <c r="AA2177" s="15" t="n"/>
      <c r="AB2177" s="15" t="n"/>
    </row>
    <row r="2178">
      <c r="A2178" s="37" t="n">
        <v>46143</v>
      </c>
      <c r="B2178" s="3" t="n">
        <v>2026</v>
      </c>
      <c r="C2178" s="26" t="inlineStr">
        <is>
          <t>Yanara Power</t>
        </is>
      </c>
      <c r="D2178" s="3" t="inlineStr">
        <is>
          <t>Utility and C&amp;I</t>
        </is>
      </c>
      <c r="E2178" s="3" t="n"/>
      <c r="F2178" s="3" t="inlineStr">
        <is>
          <t>Closed</t>
        </is>
      </c>
      <c r="G2178" s="9" t="inlineStr">
        <is>
          <t xml:space="preserve">Ashish Jindal </t>
        </is>
      </c>
      <c r="H2178" s="26" t="n">
        <v>9983975581</v>
      </c>
      <c r="I2178" s="38" t="inlineStr">
        <is>
          <t>PE01052601</t>
        </is>
      </c>
      <c r="J2178" s="26" t="inlineStr">
        <is>
          <t>Multiple Issues</t>
        </is>
      </c>
      <c r="K2178" s="39" t="inlineStr">
        <is>
          <t>Holi</t>
        </is>
      </c>
      <c r="L2178" s="39" t="inlineStr">
        <is>
          <t>Maharashtra</t>
        </is>
      </c>
      <c r="M2178" s="46" t="inlineStr">
        <is>
          <t>NS</t>
        </is>
      </c>
      <c r="N2178" s="3" t="inlineStr">
        <is>
          <t>Cold Soldering</t>
        </is>
      </c>
      <c r="O2178" s="56" t="n">
        <v>575</v>
      </c>
      <c r="P2178" s="46" t="inlineStr">
        <is>
          <t>NSMI24070202714</t>
        </is>
      </c>
      <c r="Q2178" s="54">
        <f>MID(P2178,5,2)</f>
        <v/>
      </c>
      <c r="R2178" s="53">
        <f>MID(P2178,7,2)</f>
        <v/>
      </c>
      <c r="S2178" s="3" t="inlineStr">
        <is>
          <t>G2G</t>
        </is>
      </c>
      <c r="T2178" s="3" t="inlineStr">
        <is>
          <t>P4</t>
        </is>
      </c>
      <c r="U2178" s="3" t="inlineStr">
        <is>
          <t>N JB Cold Soldering</t>
        </is>
      </c>
      <c r="V2178" s="3" t="inlineStr">
        <is>
          <t>Soldering</t>
        </is>
      </c>
      <c r="W2178" s="3" t="inlineStr">
        <is>
          <t>Repair</t>
        </is>
      </c>
      <c r="X2178" s="18" t="n">
        <v>46169</v>
      </c>
      <c r="Y2178" s="3">
        <f>X2178-A2178</f>
        <v/>
      </c>
      <c r="Z2178" s="18" t="n">
        <v>46169</v>
      </c>
      <c r="AA2178" s="15" t="n"/>
      <c r="AB2178" s="15" t="n"/>
    </row>
    <row r="2179">
      <c r="A2179" s="37" t="n">
        <v>46143</v>
      </c>
      <c r="B2179" s="3" t="n">
        <v>2026</v>
      </c>
      <c r="C2179" s="26" t="inlineStr">
        <is>
          <t>Yanara Power</t>
        </is>
      </c>
      <c r="D2179" s="3" t="inlineStr">
        <is>
          <t>Utility and C&amp;I</t>
        </is>
      </c>
      <c r="E2179" s="3" t="n"/>
      <c r="F2179" s="3" t="inlineStr">
        <is>
          <t>Closed</t>
        </is>
      </c>
      <c r="G2179" s="9" t="inlineStr">
        <is>
          <t xml:space="preserve">Ashish Jindal </t>
        </is>
      </c>
      <c r="H2179" s="26" t="n">
        <v>9983975581</v>
      </c>
      <c r="I2179" s="38" t="inlineStr">
        <is>
          <t>PE01052601</t>
        </is>
      </c>
      <c r="J2179" s="26" t="inlineStr">
        <is>
          <t>Multiple Issues</t>
        </is>
      </c>
      <c r="K2179" s="39" t="inlineStr">
        <is>
          <t>Holi</t>
        </is>
      </c>
      <c r="L2179" s="39" t="inlineStr">
        <is>
          <t>Maharashtra</t>
        </is>
      </c>
      <c r="M2179" s="46" t="inlineStr">
        <is>
          <t>PS</t>
        </is>
      </c>
      <c r="N2179" s="3" t="inlineStr">
        <is>
          <t>Cold Soldering</t>
        </is>
      </c>
      <c r="O2179" s="56" t="n">
        <v>575</v>
      </c>
      <c r="P2179" s="46" t="inlineStr">
        <is>
          <t>NSMI24070176257</t>
        </is>
      </c>
      <c r="Q2179" s="54">
        <f>MID(P2179,5,2)</f>
        <v/>
      </c>
      <c r="R2179" s="53">
        <f>MID(P2179,7,2)</f>
        <v/>
      </c>
      <c r="S2179" s="3" t="inlineStr">
        <is>
          <t>G2G</t>
        </is>
      </c>
      <c r="T2179" s="3" t="inlineStr">
        <is>
          <t>P4</t>
        </is>
      </c>
      <c r="U2179" s="19" t="inlineStr">
        <is>
          <t>P JB Cold Soldering</t>
        </is>
      </c>
      <c r="V2179" s="19" t="inlineStr">
        <is>
          <t>Soldering</t>
        </is>
      </c>
      <c r="W2179" s="3" t="inlineStr">
        <is>
          <t>Repair</t>
        </is>
      </c>
      <c r="X2179" s="18" t="n">
        <v>46169</v>
      </c>
      <c r="Y2179" s="3">
        <f>X2179-A2179</f>
        <v/>
      </c>
      <c r="Z2179" s="18" t="n">
        <v>46169</v>
      </c>
      <c r="AA2179" s="15" t="n"/>
      <c r="AB2179" s="15" t="n"/>
    </row>
    <row r="2180">
      <c r="A2180" s="37" t="n">
        <v>46143</v>
      </c>
      <c r="B2180" s="3" t="n">
        <v>2026</v>
      </c>
      <c r="C2180" s="26" t="inlineStr">
        <is>
          <t>Yanara Power</t>
        </is>
      </c>
      <c r="D2180" s="3" t="inlineStr">
        <is>
          <t>Utility and C&amp;I</t>
        </is>
      </c>
      <c r="E2180" s="3" t="n"/>
      <c r="F2180" s="3" t="inlineStr">
        <is>
          <t>Closed</t>
        </is>
      </c>
      <c r="G2180" s="9" t="inlineStr">
        <is>
          <t xml:space="preserve">Ashish Jindal </t>
        </is>
      </c>
      <c r="H2180" s="26" t="n">
        <v>9983975581</v>
      </c>
      <c r="I2180" s="38" t="inlineStr">
        <is>
          <t>PE01052601</t>
        </is>
      </c>
      <c r="J2180" s="26" t="inlineStr">
        <is>
          <t>Multiple Issues</t>
        </is>
      </c>
      <c r="K2180" s="39" t="inlineStr">
        <is>
          <t>Holi</t>
        </is>
      </c>
      <c r="L2180" s="39" t="inlineStr">
        <is>
          <t>Maharashtra</t>
        </is>
      </c>
      <c r="M2180" s="46" t="inlineStr">
        <is>
          <t>PS</t>
        </is>
      </c>
      <c r="N2180" s="3" t="inlineStr">
        <is>
          <t>Cold Soldering</t>
        </is>
      </c>
      <c r="O2180" s="56" t="n">
        <v>575</v>
      </c>
      <c r="P2180" s="46" t="inlineStr">
        <is>
          <t>NSMI24070185635</t>
        </is>
      </c>
      <c r="Q2180" s="54">
        <f>MID(P2180,5,2)</f>
        <v/>
      </c>
      <c r="R2180" s="53">
        <f>MID(P2180,7,2)</f>
        <v/>
      </c>
      <c r="S2180" s="3" t="inlineStr">
        <is>
          <t>G2G</t>
        </is>
      </c>
      <c r="T2180" s="3" t="inlineStr">
        <is>
          <t>P4</t>
        </is>
      </c>
      <c r="U2180" s="19" t="inlineStr">
        <is>
          <t>P JB Cold Soldering</t>
        </is>
      </c>
      <c r="V2180" s="19" t="inlineStr">
        <is>
          <t>Soldering</t>
        </is>
      </c>
      <c r="W2180" s="3" t="inlineStr">
        <is>
          <t>Repair</t>
        </is>
      </c>
      <c r="X2180" s="18" t="n">
        <v>46169</v>
      </c>
      <c r="Y2180" s="3">
        <f>X2180-A2180</f>
        <v/>
      </c>
      <c r="Z2180" s="18" t="n">
        <v>46169</v>
      </c>
      <c r="AA2180" s="15" t="n"/>
      <c r="AB2180" s="15" t="n"/>
    </row>
    <row r="2181">
      <c r="A2181" s="37" t="n">
        <v>46143</v>
      </c>
      <c r="B2181" s="3" t="n">
        <v>2026</v>
      </c>
      <c r="C2181" s="26" t="inlineStr">
        <is>
          <t>Yanara Power</t>
        </is>
      </c>
      <c r="D2181" s="3" t="inlineStr">
        <is>
          <t>Utility and C&amp;I</t>
        </is>
      </c>
      <c r="E2181" s="3" t="n"/>
      <c r="F2181" s="3" t="inlineStr">
        <is>
          <t>Closed</t>
        </is>
      </c>
      <c r="G2181" s="9" t="inlineStr">
        <is>
          <t xml:space="preserve">Ashish Jindal </t>
        </is>
      </c>
      <c r="H2181" s="26" t="n">
        <v>9983975581</v>
      </c>
      <c r="I2181" s="38" t="inlineStr">
        <is>
          <t>PE01052601</t>
        </is>
      </c>
      <c r="J2181" s="26" t="inlineStr">
        <is>
          <t>Multiple Issues</t>
        </is>
      </c>
      <c r="K2181" s="39" t="inlineStr">
        <is>
          <t>Holi</t>
        </is>
      </c>
      <c r="L2181" s="39" t="inlineStr">
        <is>
          <t>Maharashtra</t>
        </is>
      </c>
      <c r="M2181" s="46" t="inlineStr">
        <is>
          <t>PS</t>
        </is>
      </c>
      <c r="N2181" s="3" t="inlineStr">
        <is>
          <t>Cold Soldering</t>
        </is>
      </c>
      <c r="O2181" s="56" t="n">
        <v>575</v>
      </c>
      <c r="P2181" s="46" t="inlineStr">
        <is>
          <t>NSMI24070202059</t>
        </is>
      </c>
      <c r="Q2181" s="54">
        <f>MID(P2181,5,2)</f>
        <v/>
      </c>
      <c r="R2181" s="53">
        <f>MID(P2181,7,2)</f>
        <v/>
      </c>
      <c r="S2181" s="3" t="inlineStr">
        <is>
          <t>G2G</t>
        </is>
      </c>
      <c r="T2181" s="3" t="inlineStr">
        <is>
          <t>P4</t>
        </is>
      </c>
      <c r="U2181" s="19" t="inlineStr">
        <is>
          <t>P JB Cold Soldering</t>
        </is>
      </c>
      <c r="V2181" s="19" t="inlineStr">
        <is>
          <t>Soldering</t>
        </is>
      </c>
      <c r="W2181" s="3" t="inlineStr">
        <is>
          <t>Repair</t>
        </is>
      </c>
      <c r="X2181" s="18" t="n">
        <v>46169</v>
      </c>
      <c r="Y2181" s="3">
        <f>X2181-A2181</f>
        <v/>
      </c>
      <c r="Z2181" s="18" t="n">
        <v>46169</v>
      </c>
      <c r="AA2181" s="15" t="n"/>
      <c r="AB2181" s="15" t="n"/>
    </row>
    <row r="2182">
      <c r="A2182" s="37" t="n">
        <v>46143</v>
      </c>
      <c r="B2182" s="3" t="n">
        <v>2026</v>
      </c>
      <c r="C2182" s="26" t="inlineStr">
        <is>
          <t>Yanara Power</t>
        </is>
      </c>
      <c r="D2182" s="3" t="inlineStr">
        <is>
          <t>Utility and C&amp;I</t>
        </is>
      </c>
      <c r="E2182" s="3" t="n"/>
      <c r="F2182" s="3" t="inlineStr">
        <is>
          <t>Closed</t>
        </is>
      </c>
      <c r="G2182" s="9" t="inlineStr">
        <is>
          <t xml:space="preserve">Ashish Jindal </t>
        </is>
      </c>
      <c r="H2182" s="26" t="n">
        <v>9983975581</v>
      </c>
      <c r="I2182" s="38" t="inlineStr">
        <is>
          <t>PE01052601</t>
        </is>
      </c>
      <c r="J2182" s="26" t="inlineStr">
        <is>
          <t>Multiple Issues</t>
        </is>
      </c>
      <c r="K2182" s="39" t="inlineStr">
        <is>
          <t>Holi</t>
        </is>
      </c>
      <c r="L2182" s="39" t="inlineStr">
        <is>
          <t>Maharashtra</t>
        </is>
      </c>
      <c r="M2182" s="46" t="inlineStr">
        <is>
          <t>NS</t>
        </is>
      </c>
      <c r="N2182" s="3" t="inlineStr">
        <is>
          <t>Cold Soldering</t>
        </is>
      </c>
      <c r="O2182" s="56" t="n">
        <v>575</v>
      </c>
      <c r="P2182" s="46" t="inlineStr">
        <is>
          <t>NSMI24070197781</t>
        </is>
      </c>
      <c r="Q2182" s="54">
        <f>MID(P2182,5,2)</f>
        <v/>
      </c>
      <c r="R2182" s="53">
        <f>MID(P2182,7,2)</f>
        <v/>
      </c>
      <c r="S2182" s="3" t="inlineStr">
        <is>
          <t>G2G</t>
        </is>
      </c>
      <c r="T2182" s="3" t="inlineStr">
        <is>
          <t>P4</t>
        </is>
      </c>
      <c r="U2182" s="3" t="inlineStr">
        <is>
          <t>N JB Cold Soldering</t>
        </is>
      </c>
      <c r="V2182" s="3" t="inlineStr">
        <is>
          <t>Soldering</t>
        </is>
      </c>
      <c r="W2182" s="3" t="inlineStr">
        <is>
          <t>Repair</t>
        </is>
      </c>
      <c r="X2182" s="18" t="n">
        <v>46169</v>
      </c>
      <c r="Y2182" s="3">
        <f>X2182-A2182</f>
        <v/>
      </c>
      <c r="Z2182" s="18" t="n">
        <v>46169</v>
      </c>
      <c r="AA2182" s="15" t="n"/>
      <c r="AB2182" s="15" t="n"/>
    </row>
    <row r="2183">
      <c r="A2183" s="59" t="n">
        <v>46148</v>
      </c>
      <c r="B2183" s="3" t="n">
        <v>2026</v>
      </c>
      <c r="C2183" s="21" t="inlineStr">
        <is>
          <t>Continuum</t>
        </is>
      </c>
      <c r="D2183" s="3" t="inlineStr">
        <is>
          <t>Utility and C&amp;I</t>
        </is>
      </c>
      <c r="E2183" s="3" t="n"/>
      <c r="F2183" s="3" t="inlineStr">
        <is>
          <t>Closed</t>
        </is>
      </c>
      <c r="G2183" s="21" t="inlineStr">
        <is>
          <t>Amiya Ranjan Behera</t>
        </is>
      </c>
      <c r="H2183" s="21" t="n">
        <v>8917436223</v>
      </c>
      <c r="I2183" s="38" t="inlineStr">
        <is>
          <t>PE06052602</t>
        </is>
      </c>
      <c r="J2183" s="21" t="inlineStr">
        <is>
          <t>Diode Bypass Module Issue</t>
        </is>
      </c>
      <c r="K2183" s="21" t="inlineStr">
        <is>
          <t>Bhavnagar</t>
        </is>
      </c>
      <c r="L2183" s="21" t="inlineStr">
        <is>
          <t>Gujarat</t>
        </is>
      </c>
      <c r="M2183" s="9" t="inlineStr">
        <is>
          <t>OK</t>
        </is>
      </c>
      <c r="N2183" s="3" t="inlineStr">
        <is>
          <t>No Issue</t>
        </is>
      </c>
      <c r="O2183" s="62" t="n">
        <v>540</v>
      </c>
      <c r="P2183" s="9" t="inlineStr">
        <is>
          <t>NSMP2305171743</t>
        </is>
      </c>
      <c r="Q2183" s="53">
        <f>MID(P2183,5,2)</f>
        <v/>
      </c>
      <c r="R2183" s="53">
        <f>MID(P2183,7,2)</f>
        <v/>
      </c>
      <c r="S2183" s="3" t="inlineStr">
        <is>
          <t>G2B</t>
        </is>
      </c>
      <c r="T2183" s="3" t="inlineStr">
        <is>
          <t>P2</t>
        </is>
      </c>
      <c r="U2183" s="19" t="inlineStr">
        <is>
          <t>No Issue Found</t>
        </is>
      </c>
      <c r="V2183" s="19" t="inlineStr">
        <is>
          <t>Found OK</t>
        </is>
      </c>
      <c r="W2183" s="3" t="inlineStr">
        <is>
          <t>Repair</t>
        </is>
      </c>
      <c r="X2183" s="18" t="n">
        <v>46169</v>
      </c>
      <c r="Y2183" s="3">
        <f>X2183-A2183</f>
        <v/>
      </c>
      <c r="Z2183" s="18" t="n">
        <v>46169</v>
      </c>
      <c r="AA2183" s="15" t="n"/>
      <c r="AB2183" s="15" t="n"/>
    </row>
    <row r="2184">
      <c r="A2184" s="59" t="n">
        <v>46148</v>
      </c>
      <c r="B2184" s="3" t="n">
        <v>2026</v>
      </c>
      <c r="C2184" s="21" t="inlineStr">
        <is>
          <t>Continuum</t>
        </is>
      </c>
      <c r="D2184" s="3" t="inlineStr">
        <is>
          <t>Utility and C&amp;I</t>
        </is>
      </c>
      <c r="E2184" s="3" t="n"/>
      <c r="F2184" s="3" t="inlineStr">
        <is>
          <t>Closed</t>
        </is>
      </c>
      <c r="G2184" s="21" t="inlineStr">
        <is>
          <t>Amiya Ranjan Behera</t>
        </is>
      </c>
      <c r="H2184" s="21" t="n">
        <v>8917436223</v>
      </c>
      <c r="I2184" s="38" t="inlineStr">
        <is>
          <t>PE06052602</t>
        </is>
      </c>
      <c r="J2184" s="21" t="inlineStr">
        <is>
          <t>Diode Bypass Module Issue</t>
        </is>
      </c>
      <c r="K2184" s="21" t="inlineStr">
        <is>
          <t>Bhavnagar</t>
        </is>
      </c>
      <c r="L2184" s="21" t="inlineStr">
        <is>
          <t>Gujarat</t>
        </is>
      </c>
      <c r="M2184" s="9" t="inlineStr">
        <is>
          <t>NR</t>
        </is>
      </c>
      <c r="N2184" s="26" t="inlineStr">
        <is>
          <t>JB Issue</t>
        </is>
      </c>
      <c r="O2184" s="62" t="n">
        <v>540</v>
      </c>
      <c r="P2184" s="9" t="inlineStr">
        <is>
          <t>NSMP2305130637</t>
        </is>
      </c>
      <c r="Q2184" s="53">
        <f>MID(P2184,5,2)</f>
        <v/>
      </c>
      <c r="R2184" s="53">
        <f>MID(P2184,7,2)</f>
        <v/>
      </c>
      <c r="S2184" s="3" t="inlineStr">
        <is>
          <t>G2B</t>
        </is>
      </c>
      <c r="T2184" s="3" t="inlineStr">
        <is>
          <t>P2</t>
        </is>
      </c>
      <c r="U2184" s="19" t="inlineStr">
        <is>
          <t>N JB Issue</t>
        </is>
      </c>
      <c r="V2184" s="19" t="inlineStr">
        <is>
          <t>JB Changed</t>
        </is>
      </c>
      <c r="W2184" s="3" t="inlineStr">
        <is>
          <t>Repair</t>
        </is>
      </c>
      <c r="X2184" s="18" t="n">
        <v>46169</v>
      </c>
      <c r="Y2184" s="3">
        <f>X2184-A2184</f>
        <v/>
      </c>
      <c r="Z2184" s="18" t="n">
        <v>46169</v>
      </c>
      <c r="AA2184" s="15" t="n"/>
      <c r="AB2184" s="15" t="n"/>
    </row>
    <row r="2185">
      <c r="A2185" s="59" t="n">
        <v>46148</v>
      </c>
      <c r="B2185" s="3" t="n">
        <v>2026</v>
      </c>
      <c r="C2185" s="21" t="inlineStr">
        <is>
          <t>Continuum</t>
        </is>
      </c>
      <c r="D2185" s="3" t="inlineStr">
        <is>
          <t>Utility and C&amp;I</t>
        </is>
      </c>
      <c r="E2185" s="3" t="n"/>
      <c r="F2185" s="3" t="inlineStr">
        <is>
          <t>Closed</t>
        </is>
      </c>
      <c r="G2185" s="21" t="inlineStr">
        <is>
          <t>Amiya Ranjan Behera</t>
        </is>
      </c>
      <c r="H2185" s="21" t="n">
        <v>8917436223</v>
      </c>
      <c r="I2185" s="38" t="inlineStr">
        <is>
          <t>PE06052602</t>
        </is>
      </c>
      <c r="J2185" s="21" t="inlineStr">
        <is>
          <t>Diode Bypass Module Issue</t>
        </is>
      </c>
      <c r="K2185" s="21" t="inlineStr">
        <is>
          <t>Bhavnagar</t>
        </is>
      </c>
      <c r="L2185" s="21" t="inlineStr">
        <is>
          <t>Gujarat</t>
        </is>
      </c>
      <c r="M2185" s="9" t="inlineStr">
        <is>
          <t>AR</t>
        </is>
      </c>
      <c r="N2185" s="26" t="inlineStr">
        <is>
          <t>JB Issue</t>
        </is>
      </c>
      <c r="O2185" s="62" t="n">
        <v>540</v>
      </c>
      <c r="P2185" s="9" t="inlineStr">
        <is>
          <t>NSMP2305131810</t>
        </is>
      </c>
      <c r="Q2185" s="53">
        <f>MID(P2185,5,2)</f>
        <v/>
      </c>
      <c r="R2185" s="53">
        <f>MID(P2185,7,2)</f>
        <v/>
      </c>
      <c r="S2185" s="3" t="inlineStr">
        <is>
          <t>G2B</t>
        </is>
      </c>
      <c r="T2185" s="3" t="inlineStr">
        <is>
          <t>P2</t>
        </is>
      </c>
      <c r="U2185" s="19" t="inlineStr">
        <is>
          <t>All JB Issue</t>
        </is>
      </c>
      <c r="V2185" s="19" t="inlineStr">
        <is>
          <t>JB Changed</t>
        </is>
      </c>
      <c r="W2185" s="3" t="inlineStr">
        <is>
          <t>Repair</t>
        </is>
      </c>
      <c r="X2185" s="18" t="n">
        <v>46169</v>
      </c>
      <c r="Y2185" s="3">
        <f>X2185-A2185</f>
        <v/>
      </c>
      <c r="Z2185" s="18" t="n">
        <v>46169</v>
      </c>
      <c r="AA2185" s="15" t="n"/>
      <c r="AB2185" s="15" t="n"/>
    </row>
    <row r="2186">
      <c r="A2186" s="59" t="n">
        <v>46148</v>
      </c>
      <c r="B2186" s="3" t="n">
        <v>2026</v>
      </c>
      <c r="C2186" s="21" t="inlineStr">
        <is>
          <t>Continuum</t>
        </is>
      </c>
      <c r="D2186" s="3" t="inlineStr">
        <is>
          <t>Utility and C&amp;I</t>
        </is>
      </c>
      <c r="E2186" s="3" t="n"/>
      <c r="F2186" s="3" t="inlineStr">
        <is>
          <t>Closed</t>
        </is>
      </c>
      <c r="G2186" s="21" t="inlineStr">
        <is>
          <t>Amiya Ranjan Behera</t>
        </is>
      </c>
      <c r="H2186" s="21" t="n">
        <v>8917436223</v>
      </c>
      <c r="I2186" s="38" t="inlineStr">
        <is>
          <t>PE06052602</t>
        </is>
      </c>
      <c r="J2186" s="21" t="inlineStr">
        <is>
          <t>Diode Bypass Module Issue</t>
        </is>
      </c>
      <c r="K2186" s="21" t="inlineStr">
        <is>
          <t>Bhavnagar</t>
        </is>
      </c>
      <c r="L2186" s="21" t="inlineStr">
        <is>
          <t>Gujarat</t>
        </is>
      </c>
      <c r="M2186" s="9" t="inlineStr">
        <is>
          <t>PS</t>
        </is>
      </c>
      <c r="N2186" s="3" t="inlineStr">
        <is>
          <t>Cold Soldering</t>
        </is>
      </c>
      <c r="O2186" s="62" t="n">
        <v>540</v>
      </c>
      <c r="P2186" s="9" t="inlineStr">
        <is>
          <t>NSMP2305130313</t>
        </is>
      </c>
      <c r="Q2186" s="53">
        <f>MID(P2186,5,2)</f>
        <v/>
      </c>
      <c r="R2186" s="53">
        <f>MID(P2186,7,2)</f>
        <v/>
      </c>
      <c r="S2186" s="3" t="inlineStr">
        <is>
          <t>G2B</t>
        </is>
      </c>
      <c r="T2186" s="3" t="inlineStr">
        <is>
          <t>P2</t>
        </is>
      </c>
      <c r="U2186" s="3" t="inlineStr">
        <is>
          <t>P JB Cold Soldering</t>
        </is>
      </c>
      <c r="V2186" s="3" t="inlineStr">
        <is>
          <t>Soldering</t>
        </is>
      </c>
      <c r="W2186" s="3" t="inlineStr">
        <is>
          <t>Repair</t>
        </is>
      </c>
      <c r="X2186" s="18" t="n">
        <v>46169</v>
      </c>
      <c r="Y2186" s="3">
        <f>X2186-A2186</f>
        <v/>
      </c>
      <c r="Z2186" s="18" t="n">
        <v>46169</v>
      </c>
      <c r="AA2186" s="15" t="n"/>
      <c r="AB2186" s="15" t="n"/>
    </row>
    <row r="2187">
      <c r="A2187" s="59" t="n">
        <v>46148</v>
      </c>
      <c r="B2187" s="3" t="n">
        <v>2026</v>
      </c>
      <c r="C2187" s="21" t="inlineStr">
        <is>
          <t>Continuum</t>
        </is>
      </c>
      <c r="D2187" s="3" t="inlineStr">
        <is>
          <t>Utility and C&amp;I</t>
        </is>
      </c>
      <c r="E2187" s="3" t="n"/>
      <c r="F2187" s="3" t="inlineStr">
        <is>
          <t>Closed</t>
        </is>
      </c>
      <c r="G2187" s="21" t="inlineStr">
        <is>
          <t>Amiya Ranjan Behera</t>
        </is>
      </c>
      <c r="H2187" s="21" t="n">
        <v>8917436223</v>
      </c>
      <c r="I2187" s="38" t="inlineStr">
        <is>
          <t>PE06052602</t>
        </is>
      </c>
      <c r="J2187" s="21" t="inlineStr">
        <is>
          <t>Diode Bypass Module Issue</t>
        </is>
      </c>
      <c r="K2187" s="21" t="inlineStr">
        <is>
          <t>Bhavnagar</t>
        </is>
      </c>
      <c r="L2187" s="21" t="inlineStr">
        <is>
          <t>Gujarat</t>
        </is>
      </c>
      <c r="M2187" s="9" t="inlineStr">
        <is>
          <t>OK</t>
        </is>
      </c>
      <c r="N2187" s="3" t="inlineStr">
        <is>
          <t>No Issue</t>
        </is>
      </c>
      <c r="O2187" s="62" t="n">
        <v>540</v>
      </c>
      <c r="P2187" s="9" t="inlineStr">
        <is>
          <t>NSMP2305134746</t>
        </is>
      </c>
      <c r="Q2187" s="53">
        <f>MID(P2187,5,2)</f>
        <v/>
      </c>
      <c r="R2187" s="53">
        <f>MID(P2187,7,2)</f>
        <v/>
      </c>
      <c r="S2187" s="3" t="inlineStr">
        <is>
          <t>G2B</t>
        </is>
      </c>
      <c r="T2187" s="3" t="inlineStr">
        <is>
          <t>P2</t>
        </is>
      </c>
      <c r="U2187" s="19" t="inlineStr">
        <is>
          <t>No Issue Found</t>
        </is>
      </c>
      <c r="V2187" s="19" t="inlineStr">
        <is>
          <t>Found OK</t>
        </is>
      </c>
      <c r="W2187" s="3" t="inlineStr">
        <is>
          <t>Repair</t>
        </is>
      </c>
      <c r="X2187" s="18" t="n">
        <v>46169</v>
      </c>
      <c r="Y2187" s="3">
        <f>X2187-A2187</f>
        <v/>
      </c>
      <c r="Z2187" s="18" t="n">
        <v>46169</v>
      </c>
      <c r="AA2187" s="15" t="n"/>
      <c r="AB2187" s="15" t="n"/>
    </row>
    <row r="2188">
      <c r="A2188" s="59" t="n">
        <v>46148</v>
      </c>
      <c r="B2188" s="3" t="n">
        <v>2026</v>
      </c>
      <c r="C2188" s="21" t="inlineStr">
        <is>
          <t>Continuum</t>
        </is>
      </c>
      <c r="D2188" s="3" t="inlineStr">
        <is>
          <t>Utility and C&amp;I</t>
        </is>
      </c>
      <c r="E2188" s="3" t="n"/>
      <c r="F2188" s="3" t="inlineStr">
        <is>
          <t>Closed</t>
        </is>
      </c>
      <c r="G2188" s="21" t="inlineStr">
        <is>
          <t>Amiya Ranjan Behera</t>
        </is>
      </c>
      <c r="H2188" s="21" t="n">
        <v>8917436223</v>
      </c>
      <c r="I2188" s="38" t="inlineStr">
        <is>
          <t>PE06052602</t>
        </is>
      </c>
      <c r="J2188" s="21" t="inlineStr">
        <is>
          <t>Diode Bypass Module Issue</t>
        </is>
      </c>
      <c r="K2188" s="21" t="inlineStr">
        <is>
          <t>Bhavnagar</t>
        </is>
      </c>
      <c r="L2188" s="21" t="inlineStr">
        <is>
          <t>Gujarat</t>
        </is>
      </c>
      <c r="M2188" s="9" t="inlineStr">
        <is>
          <t>PS</t>
        </is>
      </c>
      <c r="N2188" s="3" t="inlineStr">
        <is>
          <t>Cold Soldering</t>
        </is>
      </c>
      <c r="O2188" s="62" t="n">
        <v>540</v>
      </c>
      <c r="P2188" s="9" t="inlineStr">
        <is>
          <t>NSMP2305133403</t>
        </is>
      </c>
      <c r="Q2188" s="53">
        <f>MID(P2188,5,2)</f>
        <v/>
      </c>
      <c r="R2188" s="53">
        <f>MID(P2188,7,2)</f>
        <v/>
      </c>
      <c r="S2188" s="3" t="inlineStr">
        <is>
          <t>G2B</t>
        </is>
      </c>
      <c r="T2188" s="3" t="inlineStr">
        <is>
          <t>P2</t>
        </is>
      </c>
      <c r="U2188" s="3" t="inlineStr">
        <is>
          <t>P JB Cold Soldering</t>
        </is>
      </c>
      <c r="V2188" s="3" t="inlineStr">
        <is>
          <t>Soldering</t>
        </is>
      </c>
      <c r="W2188" s="3" t="inlineStr">
        <is>
          <t>Repair</t>
        </is>
      </c>
      <c r="X2188" s="18" t="n">
        <v>46169</v>
      </c>
      <c r="Y2188" s="3">
        <f>X2188-A2188</f>
        <v/>
      </c>
      <c r="Z2188" s="18" t="n">
        <v>46169</v>
      </c>
      <c r="AA2188" s="15" t="n"/>
      <c r="AB2188" s="15" t="n"/>
    </row>
    <row r="2189">
      <c r="A2189" s="59" t="n">
        <v>46148</v>
      </c>
      <c r="B2189" s="3" t="n">
        <v>2026</v>
      </c>
      <c r="C2189" s="21" t="inlineStr">
        <is>
          <t>Continuum</t>
        </is>
      </c>
      <c r="D2189" s="3" t="inlineStr">
        <is>
          <t>Utility and C&amp;I</t>
        </is>
      </c>
      <c r="E2189" s="3" t="n"/>
      <c r="F2189" s="3" t="inlineStr">
        <is>
          <t>Closed</t>
        </is>
      </c>
      <c r="G2189" s="21" t="inlineStr">
        <is>
          <t>Amiya Ranjan Behera</t>
        </is>
      </c>
      <c r="H2189" s="21" t="n">
        <v>8917436223</v>
      </c>
      <c r="I2189" s="38" t="inlineStr">
        <is>
          <t>PE06052602</t>
        </is>
      </c>
      <c r="J2189" s="21" t="inlineStr">
        <is>
          <t>Diode Bypass Module Issue</t>
        </is>
      </c>
      <c r="K2189" s="21" t="inlineStr">
        <is>
          <t>Bhavnagar</t>
        </is>
      </c>
      <c r="L2189" s="21" t="inlineStr">
        <is>
          <t>Gujarat</t>
        </is>
      </c>
      <c r="M2189" s="9" t="inlineStr">
        <is>
          <t>PS</t>
        </is>
      </c>
      <c r="N2189" s="3" t="inlineStr">
        <is>
          <t>Cold Soldering</t>
        </is>
      </c>
      <c r="O2189" s="62" t="n">
        <v>540</v>
      </c>
      <c r="P2189" s="9" t="inlineStr">
        <is>
          <t>NSMP2305134837</t>
        </is>
      </c>
      <c r="Q2189" s="53">
        <f>MID(P2189,5,2)</f>
        <v/>
      </c>
      <c r="R2189" s="53">
        <f>MID(P2189,7,2)</f>
        <v/>
      </c>
      <c r="S2189" s="3" t="inlineStr">
        <is>
          <t>G2B</t>
        </is>
      </c>
      <c r="T2189" s="3" t="inlineStr">
        <is>
          <t>P2</t>
        </is>
      </c>
      <c r="U2189" s="3" t="inlineStr">
        <is>
          <t>P JB Cold Soldering</t>
        </is>
      </c>
      <c r="V2189" s="3" t="inlineStr">
        <is>
          <t>Soldering</t>
        </is>
      </c>
      <c r="W2189" s="3" t="inlineStr">
        <is>
          <t>Repair</t>
        </is>
      </c>
      <c r="X2189" s="18" t="n">
        <v>46169</v>
      </c>
      <c r="Y2189" s="3">
        <f>X2189-A2189</f>
        <v/>
      </c>
      <c r="Z2189" s="18" t="n">
        <v>46169</v>
      </c>
      <c r="AA2189" s="15" t="n"/>
      <c r="AB2189" s="15" t="n"/>
    </row>
    <row r="2190">
      <c r="A2190" s="59" t="n">
        <v>46148</v>
      </c>
      <c r="B2190" s="3" t="n">
        <v>2026</v>
      </c>
      <c r="C2190" s="21" t="inlineStr">
        <is>
          <t>Continuum</t>
        </is>
      </c>
      <c r="D2190" s="3" t="inlineStr">
        <is>
          <t>Utility and C&amp;I</t>
        </is>
      </c>
      <c r="E2190" s="3" t="n"/>
      <c r="F2190" s="3" t="inlineStr">
        <is>
          <t>Closed</t>
        </is>
      </c>
      <c r="G2190" s="21" t="inlineStr">
        <is>
          <t>Amiya Ranjan Behera</t>
        </is>
      </c>
      <c r="H2190" s="21" t="n">
        <v>8917436223</v>
      </c>
      <c r="I2190" s="38" t="inlineStr">
        <is>
          <t>PE06052602</t>
        </is>
      </c>
      <c r="J2190" s="21" t="inlineStr">
        <is>
          <t>Diode Bypass Module Issue</t>
        </is>
      </c>
      <c r="K2190" s="21" t="inlineStr">
        <is>
          <t>Bhavnagar</t>
        </is>
      </c>
      <c r="L2190" s="21" t="inlineStr">
        <is>
          <t>Gujarat</t>
        </is>
      </c>
      <c r="M2190" s="9" t="inlineStr">
        <is>
          <t>PS</t>
        </is>
      </c>
      <c r="N2190" s="3" t="inlineStr">
        <is>
          <t>Cold Soldering</t>
        </is>
      </c>
      <c r="O2190" s="62" t="n">
        <v>540</v>
      </c>
      <c r="P2190" s="9" t="inlineStr">
        <is>
          <t>NSMP2305130586</t>
        </is>
      </c>
      <c r="Q2190" s="53">
        <f>MID(P2190,5,2)</f>
        <v/>
      </c>
      <c r="R2190" s="53">
        <f>MID(P2190,7,2)</f>
        <v/>
      </c>
      <c r="S2190" s="3" t="inlineStr">
        <is>
          <t>G2B</t>
        </is>
      </c>
      <c r="T2190" s="3" t="inlineStr">
        <is>
          <t>P2</t>
        </is>
      </c>
      <c r="U2190" s="3" t="inlineStr">
        <is>
          <t>P JB Cold Soldering</t>
        </is>
      </c>
      <c r="V2190" s="3" t="inlineStr">
        <is>
          <t>Soldering</t>
        </is>
      </c>
      <c r="W2190" s="3" t="inlineStr">
        <is>
          <t>Repair</t>
        </is>
      </c>
      <c r="X2190" s="18" t="n">
        <v>46169</v>
      </c>
      <c r="Y2190" s="3">
        <f>X2190-A2190</f>
        <v/>
      </c>
      <c r="Z2190" s="18" t="n">
        <v>46169</v>
      </c>
      <c r="AA2190" s="15" t="n"/>
      <c r="AB2190" s="15" t="n"/>
    </row>
    <row r="2191">
      <c r="A2191" s="59" t="n">
        <v>46148</v>
      </c>
      <c r="B2191" s="3" t="n">
        <v>2026</v>
      </c>
      <c r="C2191" s="21" t="inlineStr">
        <is>
          <t>Continuum</t>
        </is>
      </c>
      <c r="D2191" s="3" t="inlineStr">
        <is>
          <t>Utility and C&amp;I</t>
        </is>
      </c>
      <c r="E2191" s="3" t="n"/>
      <c r="F2191" s="3" t="inlineStr">
        <is>
          <t>Closed</t>
        </is>
      </c>
      <c r="G2191" s="21" t="inlineStr">
        <is>
          <t>Amiya Ranjan Behera</t>
        </is>
      </c>
      <c r="H2191" s="21" t="n">
        <v>8917436223</v>
      </c>
      <c r="I2191" s="38" t="inlineStr">
        <is>
          <t>PE06052602</t>
        </is>
      </c>
      <c r="J2191" s="21" t="inlineStr">
        <is>
          <t>Diode Bypass Module Issue</t>
        </is>
      </c>
      <c r="K2191" s="21" t="inlineStr">
        <is>
          <t>Bhavnagar</t>
        </is>
      </c>
      <c r="L2191" s="21" t="inlineStr">
        <is>
          <t>Gujarat</t>
        </is>
      </c>
      <c r="M2191" s="9" t="inlineStr">
        <is>
          <t>PS</t>
        </is>
      </c>
      <c r="N2191" s="3" t="inlineStr">
        <is>
          <t>Cold Soldering</t>
        </is>
      </c>
      <c r="O2191" s="62" t="n">
        <v>540</v>
      </c>
      <c r="P2191" s="9" t="inlineStr">
        <is>
          <t>NSMP2305133453</t>
        </is>
      </c>
      <c r="Q2191" s="53">
        <f>MID(P2191,5,2)</f>
        <v/>
      </c>
      <c r="R2191" s="53">
        <f>MID(P2191,7,2)</f>
        <v/>
      </c>
      <c r="S2191" s="3" t="inlineStr">
        <is>
          <t>G2B</t>
        </is>
      </c>
      <c r="T2191" s="3" t="inlineStr">
        <is>
          <t>P2</t>
        </is>
      </c>
      <c r="U2191" s="3" t="inlineStr">
        <is>
          <t>P JB Cold Soldering</t>
        </is>
      </c>
      <c r="V2191" s="3" t="inlineStr">
        <is>
          <t>Soldering</t>
        </is>
      </c>
      <c r="W2191" s="3" t="inlineStr">
        <is>
          <t>Repair</t>
        </is>
      </c>
      <c r="X2191" s="18" t="n">
        <v>46169</v>
      </c>
      <c r="Y2191" s="3">
        <f>X2191-A2191</f>
        <v/>
      </c>
      <c r="Z2191" s="18" t="n">
        <v>46169</v>
      </c>
      <c r="AA2191" s="15" t="n"/>
      <c r="AB2191" s="15" t="n"/>
    </row>
    <row r="2192">
      <c r="A2192" s="59" t="n">
        <v>46148</v>
      </c>
      <c r="B2192" s="3" t="n">
        <v>2026</v>
      </c>
      <c r="C2192" s="21" t="inlineStr">
        <is>
          <t>Continuum</t>
        </is>
      </c>
      <c r="D2192" s="3" t="inlineStr">
        <is>
          <t>Utility and C&amp;I</t>
        </is>
      </c>
      <c r="E2192" s="3" t="n"/>
      <c r="F2192" s="3" t="inlineStr">
        <is>
          <t>Closed</t>
        </is>
      </c>
      <c r="G2192" s="21" t="inlineStr">
        <is>
          <t>Amiya Ranjan Behera</t>
        </is>
      </c>
      <c r="H2192" s="21" t="n">
        <v>8917436223</v>
      </c>
      <c r="I2192" s="38" t="inlineStr">
        <is>
          <t>PE06052602</t>
        </is>
      </c>
      <c r="J2192" s="21" t="inlineStr">
        <is>
          <t>Diode Bypass Module Issue</t>
        </is>
      </c>
      <c r="K2192" s="21" t="inlineStr">
        <is>
          <t>Bhavnagar</t>
        </is>
      </c>
      <c r="L2192" s="21" t="inlineStr">
        <is>
          <t>Gujarat</t>
        </is>
      </c>
      <c r="M2192" s="9" t="inlineStr">
        <is>
          <t>PS</t>
        </is>
      </c>
      <c r="N2192" s="3" t="inlineStr">
        <is>
          <t>Cold Soldering</t>
        </is>
      </c>
      <c r="O2192" s="62" t="n">
        <v>540</v>
      </c>
      <c r="P2192" s="9" t="inlineStr">
        <is>
          <t>NSMP2305173529</t>
        </is>
      </c>
      <c r="Q2192" s="53">
        <f>MID(P2192,5,2)</f>
        <v/>
      </c>
      <c r="R2192" s="53">
        <f>MID(P2192,7,2)</f>
        <v/>
      </c>
      <c r="S2192" s="3" t="inlineStr">
        <is>
          <t>G2B</t>
        </is>
      </c>
      <c r="T2192" s="3" t="inlineStr">
        <is>
          <t>P2</t>
        </is>
      </c>
      <c r="U2192" s="3" t="inlineStr">
        <is>
          <t>P JB Cold Soldering</t>
        </is>
      </c>
      <c r="V2192" s="3" t="inlineStr">
        <is>
          <t>Soldering</t>
        </is>
      </c>
      <c r="W2192" s="3" t="inlineStr">
        <is>
          <t>Repair</t>
        </is>
      </c>
      <c r="X2192" s="18" t="n">
        <v>46169</v>
      </c>
      <c r="Y2192" s="3">
        <f>X2192-A2192</f>
        <v/>
      </c>
      <c r="Z2192" s="18" t="n">
        <v>46169</v>
      </c>
      <c r="AA2192" s="15" t="n"/>
      <c r="AB2192" s="15" t="n"/>
    </row>
    <row r="2193">
      <c r="A2193" s="59" t="n">
        <v>46148</v>
      </c>
      <c r="B2193" s="3" t="n">
        <v>2026</v>
      </c>
      <c r="C2193" s="21" t="inlineStr">
        <is>
          <t>Continuum</t>
        </is>
      </c>
      <c r="D2193" s="3" t="inlineStr">
        <is>
          <t>Utility and C&amp;I</t>
        </is>
      </c>
      <c r="E2193" s="3" t="n"/>
      <c r="F2193" s="3" t="inlineStr">
        <is>
          <t>Closed</t>
        </is>
      </c>
      <c r="G2193" s="21" t="inlineStr">
        <is>
          <t>Amiya Ranjan Behera</t>
        </is>
      </c>
      <c r="H2193" s="21" t="n">
        <v>8917436223</v>
      </c>
      <c r="I2193" s="38" t="inlineStr">
        <is>
          <t>PE06052602</t>
        </is>
      </c>
      <c r="J2193" s="21" t="inlineStr">
        <is>
          <t>Diode Bypass Module Issue</t>
        </is>
      </c>
      <c r="K2193" s="21" t="inlineStr">
        <is>
          <t>Bhavnagar</t>
        </is>
      </c>
      <c r="L2193" s="21" t="inlineStr">
        <is>
          <t>Gujarat</t>
        </is>
      </c>
      <c r="M2193" s="9" t="inlineStr">
        <is>
          <t>PS</t>
        </is>
      </c>
      <c r="N2193" s="3" t="inlineStr">
        <is>
          <t>Cold Soldering</t>
        </is>
      </c>
      <c r="O2193" s="62" t="n">
        <v>540</v>
      </c>
      <c r="P2193" s="9" t="inlineStr">
        <is>
          <t>NSMP2305133467</t>
        </is>
      </c>
      <c r="Q2193" s="53">
        <f>MID(P2193,5,2)</f>
        <v/>
      </c>
      <c r="R2193" s="53">
        <f>MID(P2193,7,2)</f>
        <v/>
      </c>
      <c r="S2193" s="3" t="inlineStr">
        <is>
          <t>G2B</t>
        </is>
      </c>
      <c r="T2193" s="3" t="inlineStr">
        <is>
          <t>P2</t>
        </is>
      </c>
      <c r="U2193" s="3" t="inlineStr">
        <is>
          <t>P JB Cold Soldering</t>
        </is>
      </c>
      <c r="V2193" s="3" t="inlineStr">
        <is>
          <t>Soldering</t>
        </is>
      </c>
      <c r="W2193" s="3" t="inlineStr">
        <is>
          <t>Repair</t>
        </is>
      </c>
      <c r="X2193" s="18" t="n">
        <v>46169</v>
      </c>
      <c r="Y2193" s="3">
        <f>X2193-A2193</f>
        <v/>
      </c>
      <c r="Z2193" s="18" t="n">
        <v>46169</v>
      </c>
      <c r="AA2193" s="15" t="n"/>
      <c r="AB2193" s="15" t="n"/>
    </row>
    <row r="2194">
      <c r="A2194" s="59" t="n">
        <v>46148</v>
      </c>
      <c r="B2194" s="3" t="n">
        <v>2026</v>
      </c>
      <c r="C2194" s="21" t="inlineStr">
        <is>
          <t>Continuum</t>
        </is>
      </c>
      <c r="D2194" s="3" t="inlineStr">
        <is>
          <t>Utility and C&amp;I</t>
        </is>
      </c>
      <c r="E2194" s="3" t="n"/>
      <c r="F2194" s="3" t="inlineStr">
        <is>
          <t>Closed</t>
        </is>
      </c>
      <c r="G2194" s="21" t="inlineStr">
        <is>
          <t>Amiya Ranjan Behera</t>
        </is>
      </c>
      <c r="H2194" s="21" t="n">
        <v>8917436223</v>
      </c>
      <c r="I2194" s="38" t="inlineStr">
        <is>
          <t>PE06052602</t>
        </is>
      </c>
      <c r="J2194" s="21" t="inlineStr">
        <is>
          <t>Diode Bypass Module Issue</t>
        </is>
      </c>
      <c r="K2194" s="21" t="inlineStr">
        <is>
          <t>Bhavnagar</t>
        </is>
      </c>
      <c r="L2194" s="21" t="inlineStr">
        <is>
          <t>Gujarat</t>
        </is>
      </c>
      <c r="M2194" s="9" t="inlineStr">
        <is>
          <t>PS</t>
        </is>
      </c>
      <c r="N2194" s="3" t="inlineStr">
        <is>
          <t>Cold Soldering</t>
        </is>
      </c>
      <c r="O2194" s="62" t="n">
        <v>540</v>
      </c>
      <c r="P2194" s="9" t="inlineStr">
        <is>
          <t>NSMP2305188627</t>
        </is>
      </c>
      <c r="Q2194" s="53">
        <f>MID(P2194,5,2)</f>
        <v/>
      </c>
      <c r="R2194" s="53">
        <f>MID(P2194,7,2)</f>
        <v/>
      </c>
      <c r="S2194" s="3" t="inlineStr">
        <is>
          <t>G2B</t>
        </is>
      </c>
      <c r="T2194" s="3" t="inlineStr">
        <is>
          <t>P2</t>
        </is>
      </c>
      <c r="U2194" s="3" t="inlineStr">
        <is>
          <t>P JB Cold Soldering</t>
        </is>
      </c>
      <c r="V2194" s="3" t="inlineStr">
        <is>
          <t>Soldering</t>
        </is>
      </c>
      <c r="W2194" s="3" t="inlineStr">
        <is>
          <t>Repair</t>
        </is>
      </c>
      <c r="X2194" s="18" t="n">
        <v>46169</v>
      </c>
      <c r="Y2194" s="3">
        <f>X2194-A2194</f>
        <v/>
      </c>
      <c r="Z2194" s="18" t="n">
        <v>46169</v>
      </c>
      <c r="AA2194" s="15" t="n"/>
      <c r="AB2194" s="15" t="n"/>
    </row>
    <row r="2195">
      <c r="A2195" s="59" t="n">
        <v>46148</v>
      </c>
      <c r="B2195" s="3" t="n">
        <v>2026</v>
      </c>
      <c r="C2195" s="21" t="inlineStr">
        <is>
          <t>Continuum</t>
        </is>
      </c>
      <c r="D2195" s="3" t="inlineStr">
        <is>
          <t>Utility and C&amp;I</t>
        </is>
      </c>
      <c r="E2195" s="3" t="n"/>
      <c r="F2195" s="3" t="inlineStr">
        <is>
          <t>Closed</t>
        </is>
      </c>
      <c r="G2195" s="21" t="inlineStr">
        <is>
          <t>Amiya Ranjan Behera</t>
        </is>
      </c>
      <c r="H2195" s="21" t="n">
        <v>8917436223</v>
      </c>
      <c r="I2195" s="38" t="inlineStr">
        <is>
          <t>PE06052602</t>
        </is>
      </c>
      <c r="J2195" s="21" t="inlineStr">
        <is>
          <t>Diode Bypass Module Issue</t>
        </is>
      </c>
      <c r="K2195" s="21" t="inlineStr">
        <is>
          <t>Bhavnagar</t>
        </is>
      </c>
      <c r="L2195" s="21" t="inlineStr">
        <is>
          <t>Gujarat</t>
        </is>
      </c>
      <c r="M2195" s="9" t="inlineStr">
        <is>
          <t>NS</t>
        </is>
      </c>
      <c r="N2195" s="26" t="inlineStr">
        <is>
          <t>Cold Soldering</t>
        </is>
      </c>
      <c r="O2195" s="62" t="n">
        <v>540</v>
      </c>
      <c r="P2195" s="9" t="inlineStr">
        <is>
          <t>NSMP2305126822</t>
        </is>
      </c>
      <c r="Q2195" s="53">
        <f>MID(P2195,5,2)</f>
        <v/>
      </c>
      <c r="R2195" s="53">
        <f>MID(P2195,7,2)</f>
        <v/>
      </c>
      <c r="S2195" s="3" t="inlineStr">
        <is>
          <t>G2B</t>
        </is>
      </c>
      <c r="T2195" s="3" t="inlineStr">
        <is>
          <t>P2</t>
        </is>
      </c>
      <c r="U2195" s="19" t="inlineStr">
        <is>
          <t>N JB Cold Soldering</t>
        </is>
      </c>
      <c r="V2195" s="19" t="inlineStr">
        <is>
          <t>Soldering</t>
        </is>
      </c>
      <c r="W2195" s="3" t="inlineStr">
        <is>
          <t>Repair</t>
        </is>
      </c>
      <c r="X2195" s="18" t="n">
        <v>46169</v>
      </c>
      <c r="Y2195" s="3">
        <f>X2195-A2195</f>
        <v/>
      </c>
      <c r="Z2195" s="18" t="n">
        <v>46169</v>
      </c>
      <c r="AA2195" s="15" t="n"/>
      <c r="AB2195" s="15" t="n"/>
    </row>
    <row r="2196">
      <c r="A2196" s="59" t="n">
        <v>46148</v>
      </c>
      <c r="B2196" s="3" t="n">
        <v>2026</v>
      </c>
      <c r="C2196" s="21" t="inlineStr">
        <is>
          <t>Continuum</t>
        </is>
      </c>
      <c r="D2196" s="3" t="inlineStr">
        <is>
          <t>Utility and C&amp;I</t>
        </is>
      </c>
      <c r="E2196" s="3" t="n"/>
      <c r="F2196" s="3" t="inlineStr">
        <is>
          <t>Closed</t>
        </is>
      </c>
      <c r="G2196" s="21" t="inlineStr">
        <is>
          <t>Amiya Ranjan Behera</t>
        </is>
      </c>
      <c r="H2196" s="21" t="n">
        <v>8917436223</v>
      </c>
      <c r="I2196" s="38" t="inlineStr">
        <is>
          <t>PE06052602</t>
        </is>
      </c>
      <c r="J2196" s="21" t="inlineStr">
        <is>
          <t>Diode Bypass Module Issue</t>
        </is>
      </c>
      <c r="K2196" s="21" t="inlineStr">
        <is>
          <t>Bhavnagar</t>
        </is>
      </c>
      <c r="L2196" s="21" t="inlineStr">
        <is>
          <t>Gujarat</t>
        </is>
      </c>
      <c r="M2196" s="9" t="inlineStr">
        <is>
          <t>PR</t>
        </is>
      </c>
      <c r="N2196" s="3" t="inlineStr">
        <is>
          <t>JB Issue</t>
        </is>
      </c>
      <c r="O2196" s="62" t="n">
        <v>540</v>
      </c>
      <c r="P2196" s="9" t="inlineStr">
        <is>
          <t>NSMP2305131059</t>
        </is>
      </c>
      <c r="Q2196" s="53">
        <f>MID(P2196,5,2)</f>
        <v/>
      </c>
      <c r="R2196" s="53">
        <f>MID(P2196,7,2)</f>
        <v/>
      </c>
      <c r="S2196" s="3" t="inlineStr">
        <is>
          <t>G2B</t>
        </is>
      </c>
      <c r="T2196" s="3" t="inlineStr">
        <is>
          <t>P2</t>
        </is>
      </c>
      <c r="U2196" s="3" t="inlineStr">
        <is>
          <t>P JB Issue</t>
        </is>
      </c>
      <c r="V2196" s="15" t="inlineStr">
        <is>
          <t>JB Changed</t>
        </is>
      </c>
      <c r="W2196" s="3" t="inlineStr">
        <is>
          <t>Repair</t>
        </is>
      </c>
      <c r="X2196" s="18" t="n">
        <v>46169</v>
      </c>
      <c r="Y2196" s="3">
        <f>X2196-A2196</f>
        <v/>
      </c>
      <c r="Z2196" s="18" t="n">
        <v>46169</v>
      </c>
      <c r="AA2196" s="15" t="n"/>
      <c r="AB2196" s="15" t="n"/>
    </row>
    <row r="2197">
      <c r="A2197" s="59" t="n">
        <v>46148</v>
      </c>
      <c r="B2197" s="3" t="n">
        <v>2026</v>
      </c>
      <c r="C2197" s="21" t="inlineStr">
        <is>
          <t>Continuum</t>
        </is>
      </c>
      <c r="D2197" s="3" t="inlineStr">
        <is>
          <t>Utility and C&amp;I</t>
        </is>
      </c>
      <c r="E2197" s="3" t="n"/>
      <c r="F2197" s="3" t="inlineStr">
        <is>
          <t>Closed</t>
        </is>
      </c>
      <c r="G2197" s="21" t="inlineStr">
        <is>
          <t>Amiya Ranjan Behera</t>
        </is>
      </c>
      <c r="H2197" s="21" t="n">
        <v>8917436223</v>
      </c>
      <c r="I2197" s="38" t="inlineStr">
        <is>
          <t>PE06052602</t>
        </is>
      </c>
      <c r="J2197" s="21" t="inlineStr">
        <is>
          <t>Diode Bypass Module Issue</t>
        </is>
      </c>
      <c r="K2197" s="21" t="inlineStr">
        <is>
          <t>Bhavnagar</t>
        </is>
      </c>
      <c r="L2197" s="21" t="inlineStr">
        <is>
          <t>Gujarat</t>
        </is>
      </c>
      <c r="M2197" s="9" t="inlineStr">
        <is>
          <t>PS</t>
        </is>
      </c>
      <c r="N2197" s="3" t="inlineStr">
        <is>
          <t>Cold Soldering</t>
        </is>
      </c>
      <c r="O2197" s="62" t="n">
        <v>540</v>
      </c>
      <c r="P2197" s="9" t="inlineStr">
        <is>
          <t>NSMP2305128546</t>
        </is>
      </c>
      <c r="Q2197" s="53">
        <f>MID(P2197,5,2)</f>
        <v/>
      </c>
      <c r="R2197" s="53">
        <f>MID(P2197,7,2)</f>
        <v/>
      </c>
      <c r="S2197" s="3" t="inlineStr">
        <is>
          <t>G2B</t>
        </is>
      </c>
      <c r="T2197" s="3" t="inlineStr">
        <is>
          <t>P2</t>
        </is>
      </c>
      <c r="U2197" s="3" t="inlineStr">
        <is>
          <t>P JB Cold Soldering</t>
        </is>
      </c>
      <c r="V2197" s="3" t="inlineStr">
        <is>
          <t>Soldering</t>
        </is>
      </c>
      <c r="W2197" s="3" t="inlineStr">
        <is>
          <t>Repair</t>
        </is>
      </c>
      <c r="X2197" s="18" t="n">
        <v>46169</v>
      </c>
      <c r="Y2197" s="3">
        <f>X2197-A2197</f>
        <v/>
      </c>
      <c r="Z2197" s="18" t="n">
        <v>46169</v>
      </c>
      <c r="AA2197" s="15" t="n"/>
      <c r="AB2197" s="15" t="n"/>
    </row>
    <row r="2198">
      <c r="A2198" s="59" t="n">
        <v>46148</v>
      </c>
      <c r="B2198" s="3" t="n">
        <v>2026</v>
      </c>
      <c r="C2198" s="21" t="inlineStr">
        <is>
          <t>Continuum</t>
        </is>
      </c>
      <c r="D2198" s="3" t="inlineStr">
        <is>
          <t>Utility and C&amp;I</t>
        </is>
      </c>
      <c r="E2198" s="3" t="n"/>
      <c r="F2198" s="3" t="inlineStr">
        <is>
          <t>Closed</t>
        </is>
      </c>
      <c r="G2198" s="21" t="inlineStr">
        <is>
          <t>Amiya Ranjan Behera</t>
        </is>
      </c>
      <c r="H2198" s="21" t="n">
        <v>8917436223</v>
      </c>
      <c r="I2198" s="38" t="inlineStr">
        <is>
          <t>PE06052602</t>
        </is>
      </c>
      <c r="J2198" s="21" t="inlineStr">
        <is>
          <t>Diode Bypass Module Issue</t>
        </is>
      </c>
      <c r="K2198" s="21" t="inlineStr">
        <is>
          <t>Bhavnagar</t>
        </is>
      </c>
      <c r="L2198" s="21" t="inlineStr">
        <is>
          <t>Gujarat</t>
        </is>
      </c>
      <c r="M2198" s="9" t="inlineStr">
        <is>
          <t>PS</t>
        </is>
      </c>
      <c r="N2198" s="3" t="inlineStr">
        <is>
          <t>Cold Soldering</t>
        </is>
      </c>
      <c r="O2198" s="62" t="n">
        <v>540</v>
      </c>
      <c r="P2198" s="9" t="inlineStr">
        <is>
          <t>NSMP2305129889</t>
        </is>
      </c>
      <c r="Q2198" s="53">
        <f>MID(P2198,5,2)</f>
        <v/>
      </c>
      <c r="R2198" s="53">
        <f>MID(P2198,7,2)</f>
        <v/>
      </c>
      <c r="S2198" s="3" t="inlineStr">
        <is>
          <t>G2B</t>
        </is>
      </c>
      <c r="T2198" s="3" t="inlineStr">
        <is>
          <t>P2</t>
        </is>
      </c>
      <c r="U2198" s="3" t="inlineStr">
        <is>
          <t>P JB Cold Soldering</t>
        </is>
      </c>
      <c r="V2198" s="3" t="inlineStr">
        <is>
          <t>Soldering</t>
        </is>
      </c>
      <c r="W2198" s="3" t="inlineStr">
        <is>
          <t>Repair</t>
        </is>
      </c>
      <c r="X2198" s="18" t="n">
        <v>46169</v>
      </c>
      <c r="Y2198" s="3">
        <f>X2198-A2198</f>
        <v/>
      </c>
      <c r="Z2198" s="18" t="n">
        <v>46169</v>
      </c>
      <c r="AA2198" s="15" t="n"/>
      <c r="AB2198" s="15" t="n"/>
    </row>
    <row r="2199">
      <c r="A2199" s="59" t="n">
        <v>46148</v>
      </c>
      <c r="B2199" s="3" t="n">
        <v>2026</v>
      </c>
      <c r="C2199" s="21" t="inlineStr">
        <is>
          <t>Continuum</t>
        </is>
      </c>
      <c r="D2199" s="3" t="inlineStr">
        <is>
          <t>Utility and C&amp;I</t>
        </is>
      </c>
      <c r="E2199" s="3" t="n"/>
      <c r="F2199" s="3" t="inlineStr">
        <is>
          <t>Closed</t>
        </is>
      </c>
      <c r="G2199" s="21" t="inlineStr">
        <is>
          <t>Amiya Ranjan Behera</t>
        </is>
      </c>
      <c r="H2199" s="21" t="n">
        <v>8917436223</v>
      </c>
      <c r="I2199" s="38" t="inlineStr">
        <is>
          <t>PE06052602</t>
        </is>
      </c>
      <c r="J2199" s="21" t="inlineStr">
        <is>
          <t>Diode Bypass Module Issue</t>
        </is>
      </c>
      <c r="K2199" s="21" t="inlineStr">
        <is>
          <t>Bhavnagar</t>
        </is>
      </c>
      <c r="L2199" s="21" t="inlineStr">
        <is>
          <t>Gujarat</t>
        </is>
      </c>
      <c r="M2199" s="9" t="inlineStr">
        <is>
          <t>PNS</t>
        </is>
      </c>
      <c r="N2199" s="3" t="inlineStr">
        <is>
          <t>Cold Soldering</t>
        </is>
      </c>
      <c r="O2199" s="62" t="n">
        <v>540</v>
      </c>
      <c r="P2199" s="9" t="inlineStr">
        <is>
          <t>NSMP2305129986</t>
        </is>
      </c>
      <c r="Q2199" s="53">
        <f>MID(P2199,5,2)</f>
        <v/>
      </c>
      <c r="R2199" s="53">
        <f>MID(P2199,7,2)</f>
        <v/>
      </c>
      <c r="S2199" s="3" t="inlineStr">
        <is>
          <t>G2B</t>
        </is>
      </c>
      <c r="T2199" s="3" t="inlineStr">
        <is>
          <t>P2</t>
        </is>
      </c>
      <c r="U2199" s="3" t="inlineStr">
        <is>
          <t>P &amp; N JB Cold Soldering</t>
        </is>
      </c>
      <c r="V2199" s="3" t="inlineStr">
        <is>
          <t>Soldering</t>
        </is>
      </c>
      <c r="W2199" s="3" t="inlineStr">
        <is>
          <t>Repair</t>
        </is>
      </c>
      <c r="X2199" s="18" t="n">
        <v>46169</v>
      </c>
      <c r="Y2199" s="3">
        <f>X2199-A2199</f>
        <v/>
      </c>
      <c r="Z2199" s="18" t="n">
        <v>46169</v>
      </c>
      <c r="AA2199" s="15" t="n"/>
      <c r="AB2199" s="15" t="n"/>
    </row>
    <row r="2200">
      <c r="A2200" s="59" t="n">
        <v>46148</v>
      </c>
      <c r="B2200" s="3" t="n">
        <v>2026</v>
      </c>
      <c r="C2200" s="21" t="inlineStr">
        <is>
          <t>Continuum</t>
        </is>
      </c>
      <c r="D2200" s="3" t="inlineStr">
        <is>
          <t>Utility and C&amp;I</t>
        </is>
      </c>
      <c r="E2200" s="3" t="n"/>
      <c r="F2200" s="3" t="inlineStr">
        <is>
          <t>Closed</t>
        </is>
      </c>
      <c r="G2200" s="21" t="inlineStr">
        <is>
          <t>Amiya Ranjan Behera</t>
        </is>
      </c>
      <c r="H2200" s="21" t="n">
        <v>8917436223</v>
      </c>
      <c r="I2200" s="38" t="inlineStr">
        <is>
          <t>PE06052602</t>
        </is>
      </c>
      <c r="J2200" s="21" t="inlineStr">
        <is>
          <t>Diode Bypass Module Issue</t>
        </is>
      </c>
      <c r="K2200" s="21" t="inlineStr">
        <is>
          <t>Bhavnagar</t>
        </is>
      </c>
      <c r="L2200" s="21" t="inlineStr">
        <is>
          <t>Gujarat</t>
        </is>
      </c>
      <c r="M2200" s="9" t="inlineStr">
        <is>
          <t>PS</t>
        </is>
      </c>
      <c r="N2200" s="3" t="inlineStr">
        <is>
          <t>Cold Soldering</t>
        </is>
      </c>
      <c r="O2200" s="62" t="n">
        <v>540</v>
      </c>
      <c r="P2200" s="9" t="inlineStr">
        <is>
          <t>NSMP2305129978</t>
        </is>
      </c>
      <c r="Q2200" s="53">
        <f>MID(P2200,5,2)</f>
        <v/>
      </c>
      <c r="R2200" s="53">
        <f>MID(P2200,7,2)</f>
        <v/>
      </c>
      <c r="S2200" s="3" t="inlineStr">
        <is>
          <t>G2B</t>
        </is>
      </c>
      <c r="T2200" s="3" t="inlineStr">
        <is>
          <t>P2</t>
        </is>
      </c>
      <c r="U2200" s="3" t="inlineStr">
        <is>
          <t>P JB Cold Soldering</t>
        </is>
      </c>
      <c r="V2200" s="3" t="inlineStr">
        <is>
          <t>Soldering</t>
        </is>
      </c>
      <c r="W2200" s="3" t="inlineStr">
        <is>
          <t>Repair</t>
        </is>
      </c>
      <c r="X2200" s="18" t="n">
        <v>46169</v>
      </c>
      <c r="Y2200" s="3">
        <f>X2200-A2200</f>
        <v/>
      </c>
      <c r="Z2200" s="18" t="n">
        <v>46169</v>
      </c>
      <c r="AA2200" s="15" t="n"/>
      <c r="AB2200" s="15" t="n"/>
    </row>
    <row r="2201">
      <c r="A2201" s="59" t="n">
        <v>46148</v>
      </c>
      <c r="B2201" s="3" t="n">
        <v>2026</v>
      </c>
      <c r="C2201" s="21" t="inlineStr">
        <is>
          <t>Continuum</t>
        </is>
      </c>
      <c r="D2201" s="3" t="inlineStr">
        <is>
          <t>Utility and C&amp;I</t>
        </is>
      </c>
      <c r="E2201" s="3" t="n"/>
      <c r="F2201" s="3" t="inlineStr">
        <is>
          <t>Closed</t>
        </is>
      </c>
      <c r="G2201" s="21" t="inlineStr">
        <is>
          <t>Amiya Ranjan Behera</t>
        </is>
      </c>
      <c r="H2201" s="21" t="n">
        <v>8917436223</v>
      </c>
      <c r="I2201" s="38" t="inlineStr">
        <is>
          <t>PE06052602</t>
        </is>
      </c>
      <c r="J2201" s="21" t="inlineStr">
        <is>
          <t>Diode Bypass Module Issue</t>
        </is>
      </c>
      <c r="K2201" s="21" t="inlineStr">
        <is>
          <t>Bhavnagar</t>
        </is>
      </c>
      <c r="L2201" s="21" t="inlineStr">
        <is>
          <t>Gujarat</t>
        </is>
      </c>
      <c r="M2201" s="9" t="inlineStr">
        <is>
          <t>PR</t>
        </is>
      </c>
      <c r="N2201" s="3" t="inlineStr">
        <is>
          <t>JB Issue</t>
        </is>
      </c>
      <c r="O2201" s="62" t="n">
        <v>540</v>
      </c>
      <c r="P2201" s="9" t="inlineStr">
        <is>
          <t>NSMP2305126597</t>
        </is>
      </c>
      <c r="Q2201" s="53">
        <f>MID(P2201,5,2)</f>
        <v/>
      </c>
      <c r="R2201" s="53">
        <f>MID(P2201,7,2)</f>
        <v/>
      </c>
      <c r="S2201" s="3" t="inlineStr">
        <is>
          <t>G2B</t>
        </is>
      </c>
      <c r="T2201" s="3" t="inlineStr">
        <is>
          <t>P2</t>
        </is>
      </c>
      <c r="U2201" s="3" t="inlineStr">
        <is>
          <t>P JB Issue</t>
        </is>
      </c>
      <c r="V2201" s="15" t="inlineStr">
        <is>
          <t>JB Changed</t>
        </is>
      </c>
      <c r="W2201" s="3" t="inlineStr">
        <is>
          <t>Repair</t>
        </is>
      </c>
      <c r="X2201" s="18" t="n">
        <v>46169</v>
      </c>
      <c r="Y2201" s="3">
        <f>X2201-A2201</f>
        <v/>
      </c>
      <c r="Z2201" s="18" t="n">
        <v>46169</v>
      </c>
      <c r="AA2201" s="15" t="n"/>
      <c r="AB2201" s="15" t="n"/>
    </row>
    <row r="2202">
      <c r="A2202" s="59" t="n">
        <v>46148</v>
      </c>
      <c r="B2202" s="3" t="n">
        <v>2026</v>
      </c>
      <c r="C2202" s="21" t="inlineStr">
        <is>
          <t>Continuum</t>
        </is>
      </c>
      <c r="D2202" s="3" t="inlineStr">
        <is>
          <t>Utility and C&amp;I</t>
        </is>
      </c>
      <c r="E2202" s="3" t="n"/>
      <c r="F2202" s="3" t="inlineStr">
        <is>
          <t>Closed</t>
        </is>
      </c>
      <c r="G2202" s="21" t="inlineStr">
        <is>
          <t>Amiya Ranjan Behera</t>
        </is>
      </c>
      <c r="H2202" s="21" t="n">
        <v>8917436223</v>
      </c>
      <c r="I2202" s="38" t="inlineStr">
        <is>
          <t>PE06052602</t>
        </is>
      </c>
      <c r="J2202" s="21" t="inlineStr">
        <is>
          <t>Diode Bypass Module Issue</t>
        </is>
      </c>
      <c r="K2202" s="21" t="inlineStr">
        <is>
          <t>Bhavnagar</t>
        </is>
      </c>
      <c r="L2202" s="21" t="inlineStr">
        <is>
          <t>Gujarat</t>
        </is>
      </c>
      <c r="M2202" s="9" t="inlineStr">
        <is>
          <t>PR</t>
        </is>
      </c>
      <c r="N2202" s="3" t="inlineStr">
        <is>
          <t>JB Issue</t>
        </is>
      </c>
      <c r="O2202" s="62" t="n">
        <v>540</v>
      </c>
      <c r="P2202" s="9" t="inlineStr">
        <is>
          <t>NSMP2305134827</t>
        </is>
      </c>
      <c r="Q2202" s="53">
        <f>MID(P2202,5,2)</f>
        <v/>
      </c>
      <c r="R2202" s="53">
        <f>MID(P2202,7,2)</f>
        <v/>
      </c>
      <c r="S2202" s="3" t="inlineStr">
        <is>
          <t>G2B</t>
        </is>
      </c>
      <c r="T2202" s="3" t="inlineStr">
        <is>
          <t>P2</t>
        </is>
      </c>
      <c r="U2202" s="3" t="inlineStr">
        <is>
          <t>P JB Issue</t>
        </is>
      </c>
      <c r="V2202" s="15" t="inlineStr">
        <is>
          <t>JB Changed</t>
        </is>
      </c>
      <c r="W2202" s="3" t="inlineStr">
        <is>
          <t>Repair</t>
        </is>
      </c>
      <c r="X2202" s="18" t="n">
        <v>46169</v>
      </c>
      <c r="Y2202" s="3">
        <f>X2202-A2202</f>
        <v/>
      </c>
      <c r="Z2202" s="18" t="n">
        <v>46169</v>
      </c>
      <c r="AA2202" s="15" t="n"/>
      <c r="AB2202" s="15" t="n"/>
    </row>
    <row r="2203">
      <c r="A2203" s="59" t="n">
        <v>46148</v>
      </c>
      <c r="B2203" s="3" t="n">
        <v>2026</v>
      </c>
      <c r="C2203" s="21" t="inlineStr">
        <is>
          <t>Continuum</t>
        </is>
      </c>
      <c r="D2203" s="3" t="inlineStr">
        <is>
          <t>Utility and C&amp;I</t>
        </is>
      </c>
      <c r="E2203" s="3" t="n"/>
      <c r="F2203" s="3" t="inlineStr">
        <is>
          <t>Closed</t>
        </is>
      </c>
      <c r="G2203" s="21" t="inlineStr">
        <is>
          <t>Amiya Ranjan Behera</t>
        </is>
      </c>
      <c r="H2203" s="21" t="n">
        <v>8917436223</v>
      </c>
      <c r="I2203" s="38" t="inlineStr">
        <is>
          <t>PE06052602</t>
        </is>
      </c>
      <c r="J2203" s="21" t="inlineStr">
        <is>
          <t>Diode Bypass Module Issue</t>
        </is>
      </c>
      <c r="K2203" s="21" t="inlineStr">
        <is>
          <t>Bhavnagar</t>
        </is>
      </c>
      <c r="L2203" s="21" t="inlineStr">
        <is>
          <t>Gujarat</t>
        </is>
      </c>
      <c r="M2203" s="9" t="inlineStr">
        <is>
          <t>PS</t>
        </is>
      </c>
      <c r="N2203" s="3" t="inlineStr">
        <is>
          <t>Cold Soldering</t>
        </is>
      </c>
      <c r="O2203" s="62" t="n">
        <v>540</v>
      </c>
      <c r="P2203" s="9" t="inlineStr">
        <is>
          <t>NSMP2305134751</t>
        </is>
      </c>
      <c r="Q2203" s="53">
        <f>MID(P2203,5,2)</f>
        <v/>
      </c>
      <c r="R2203" s="53">
        <f>MID(P2203,7,2)</f>
        <v/>
      </c>
      <c r="S2203" s="3" t="inlineStr">
        <is>
          <t>G2B</t>
        </is>
      </c>
      <c r="T2203" s="3" t="inlineStr">
        <is>
          <t>P2</t>
        </is>
      </c>
      <c r="U2203" s="3" t="inlineStr">
        <is>
          <t>P JB Cold Soldering</t>
        </is>
      </c>
      <c r="V2203" s="3" t="inlineStr">
        <is>
          <t>Soldering</t>
        </is>
      </c>
      <c r="W2203" s="3" t="inlineStr">
        <is>
          <t>Repair</t>
        </is>
      </c>
      <c r="X2203" s="18" t="n">
        <v>46169</v>
      </c>
      <c r="Y2203" s="3">
        <f>X2203-A2203</f>
        <v/>
      </c>
      <c r="Z2203" s="18" t="n">
        <v>46169</v>
      </c>
      <c r="AA2203" s="15" t="n"/>
      <c r="AB2203" s="15" t="n"/>
    </row>
    <row r="2204">
      <c r="A2204" s="59" t="n">
        <v>46148</v>
      </c>
      <c r="B2204" s="3" t="n">
        <v>2026</v>
      </c>
      <c r="C2204" s="21" t="inlineStr">
        <is>
          <t>Continuum</t>
        </is>
      </c>
      <c r="D2204" s="3" t="inlineStr">
        <is>
          <t>Utility and C&amp;I</t>
        </is>
      </c>
      <c r="E2204" s="3" t="n"/>
      <c r="F2204" s="3" t="inlineStr">
        <is>
          <t>Closed</t>
        </is>
      </c>
      <c r="G2204" s="21" t="inlineStr">
        <is>
          <t>Amiya Ranjan Behera</t>
        </is>
      </c>
      <c r="H2204" s="21" t="n">
        <v>8917436223</v>
      </c>
      <c r="I2204" s="38" t="inlineStr">
        <is>
          <t>PE06052602</t>
        </is>
      </c>
      <c r="J2204" s="21" t="inlineStr">
        <is>
          <t>Diode Bypass Module Issue</t>
        </is>
      </c>
      <c r="K2204" s="21" t="inlineStr">
        <is>
          <t>Bhavnagar</t>
        </is>
      </c>
      <c r="L2204" s="21" t="inlineStr">
        <is>
          <t>Gujarat</t>
        </is>
      </c>
      <c r="M2204" s="9" t="inlineStr">
        <is>
          <t>PS</t>
        </is>
      </c>
      <c r="N2204" s="3" t="inlineStr">
        <is>
          <t>Cold Soldering</t>
        </is>
      </c>
      <c r="O2204" s="62" t="n">
        <v>540</v>
      </c>
      <c r="P2204" s="9" t="inlineStr">
        <is>
          <t>NSMP2305134744</t>
        </is>
      </c>
      <c r="Q2204" s="53">
        <f>MID(P2204,5,2)</f>
        <v/>
      </c>
      <c r="R2204" s="53">
        <f>MID(P2204,7,2)</f>
        <v/>
      </c>
      <c r="S2204" s="3" t="inlineStr">
        <is>
          <t>G2B</t>
        </is>
      </c>
      <c r="T2204" s="3" t="inlineStr">
        <is>
          <t>P2</t>
        </is>
      </c>
      <c r="U2204" s="3" t="inlineStr">
        <is>
          <t>P JB Cold Soldering</t>
        </is>
      </c>
      <c r="V2204" s="3" t="inlineStr">
        <is>
          <t>Soldering</t>
        </is>
      </c>
      <c r="W2204" s="3" t="inlineStr">
        <is>
          <t>Repair</t>
        </is>
      </c>
      <c r="X2204" s="18" t="n">
        <v>46169</v>
      </c>
      <c r="Y2204" s="3">
        <f>X2204-A2204</f>
        <v/>
      </c>
      <c r="Z2204" s="18" t="n">
        <v>46169</v>
      </c>
      <c r="AA2204" s="15" t="n"/>
      <c r="AB2204" s="15" t="n"/>
    </row>
    <row r="2205">
      <c r="A2205" s="59" t="n">
        <v>46148</v>
      </c>
      <c r="B2205" s="3" t="n">
        <v>2026</v>
      </c>
      <c r="C2205" s="21" t="inlineStr">
        <is>
          <t>Continuum</t>
        </is>
      </c>
      <c r="D2205" s="3" t="inlineStr">
        <is>
          <t>Utility and C&amp;I</t>
        </is>
      </c>
      <c r="E2205" s="3" t="n"/>
      <c r="F2205" s="3" t="inlineStr">
        <is>
          <t>Closed</t>
        </is>
      </c>
      <c r="G2205" s="21" t="inlineStr">
        <is>
          <t>Amiya Ranjan Behera</t>
        </is>
      </c>
      <c r="H2205" s="21" t="n">
        <v>8917436223</v>
      </c>
      <c r="I2205" s="38" t="inlineStr">
        <is>
          <t>PE06052602</t>
        </is>
      </c>
      <c r="J2205" s="21" t="inlineStr">
        <is>
          <t>Diode Bypass Module Issue</t>
        </is>
      </c>
      <c r="K2205" s="21" t="inlineStr">
        <is>
          <t>Bhavnagar</t>
        </is>
      </c>
      <c r="L2205" s="21" t="inlineStr">
        <is>
          <t>Gujarat</t>
        </is>
      </c>
      <c r="M2205" s="9" t="inlineStr">
        <is>
          <t>NS</t>
        </is>
      </c>
      <c r="N2205" s="26" t="inlineStr">
        <is>
          <t>Cold Soldering</t>
        </is>
      </c>
      <c r="O2205" s="62" t="n">
        <v>540</v>
      </c>
      <c r="P2205" s="9" t="inlineStr">
        <is>
          <t>NSMP2305198528</t>
        </is>
      </c>
      <c r="Q2205" s="53">
        <f>MID(P2205,5,2)</f>
        <v/>
      </c>
      <c r="R2205" s="53">
        <f>MID(P2205,7,2)</f>
        <v/>
      </c>
      <c r="S2205" s="3" t="inlineStr">
        <is>
          <t>G2B</t>
        </is>
      </c>
      <c r="T2205" s="3" t="inlineStr">
        <is>
          <t>P2</t>
        </is>
      </c>
      <c r="U2205" s="19" t="inlineStr">
        <is>
          <t>N JB Cold Soldering</t>
        </is>
      </c>
      <c r="V2205" s="19" t="inlineStr">
        <is>
          <t>Soldering</t>
        </is>
      </c>
      <c r="W2205" s="3" t="inlineStr">
        <is>
          <t>Repair</t>
        </is>
      </c>
      <c r="X2205" s="18" t="n">
        <v>46169</v>
      </c>
      <c r="Y2205" s="3">
        <f>X2205-A2205</f>
        <v/>
      </c>
      <c r="Z2205" s="18" t="n">
        <v>46169</v>
      </c>
      <c r="AA2205" s="15" t="n"/>
      <c r="AB2205" s="15" t="n"/>
    </row>
    <row r="2206">
      <c r="A2206" s="59" t="n">
        <v>46148</v>
      </c>
      <c r="B2206" s="3" t="n">
        <v>2026</v>
      </c>
      <c r="C2206" s="21" t="inlineStr">
        <is>
          <t>Continuum</t>
        </is>
      </c>
      <c r="D2206" s="3" t="inlineStr">
        <is>
          <t>Utility and C&amp;I</t>
        </is>
      </c>
      <c r="E2206" s="3" t="n"/>
      <c r="F2206" s="3" t="inlineStr">
        <is>
          <t>Closed</t>
        </is>
      </c>
      <c r="G2206" s="21" t="inlineStr">
        <is>
          <t>Amiya Ranjan Behera</t>
        </is>
      </c>
      <c r="H2206" s="21" t="n">
        <v>8917436223</v>
      </c>
      <c r="I2206" s="38" t="inlineStr">
        <is>
          <t>PE06052602</t>
        </is>
      </c>
      <c r="J2206" s="21" t="inlineStr">
        <is>
          <t>Diode Bypass Module Issue</t>
        </is>
      </c>
      <c r="K2206" s="21" t="inlineStr">
        <is>
          <t>Bhavnagar</t>
        </is>
      </c>
      <c r="L2206" s="21" t="inlineStr">
        <is>
          <t>Gujarat</t>
        </is>
      </c>
      <c r="M2206" s="9" t="inlineStr">
        <is>
          <t>PR</t>
        </is>
      </c>
      <c r="N2206" s="3" t="inlineStr">
        <is>
          <t>JB Issue</t>
        </is>
      </c>
      <c r="O2206" s="62" t="n">
        <v>540</v>
      </c>
      <c r="P2206" s="9" t="inlineStr">
        <is>
          <t>NSMP2305132343</t>
        </is>
      </c>
      <c r="Q2206" s="53">
        <f>MID(P2206,5,2)</f>
        <v/>
      </c>
      <c r="R2206" s="53">
        <f>MID(P2206,7,2)</f>
        <v/>
      </c>
      <c r="S2206" s="3" t="inlineStr">
        <is>
          <t>G2B</t>
        </is>
      </c>
      <c r="T2206" s="3" t="inlineStr">
        <is>
          <t>P2</t>
        </is>
      </c>
      <c r="U2206" s="3" t="inlineStr">
        <is>
          <t>P JB Issue</t>
        </is>
      </c>
      <c r="V2206" s="15" t="inlineStr">
        <is>
          <t>JB Changed</t>
        </is>
      </c>
      <c r="W2206" s="3" t="inlineStr">
        <is>
          <t>Repair</t>
        </is>
      </c>
      <c r="X2206" s="18" t="n">
        <v>46169</v>
      </c>
      <c r="Y2206" s="3">
        <f>X2206-A2206</f>
        <v/>
      </c>
      <c r="Z2206" s="18" t="n">
        <v>46169</v>
      </c>
      <c r="AA2206" s="15" t="n"/>
      <c r="AB2206" s="15" t="n"/>
    </row>
    <row r="2207">
      <c r="A2207" s="59" t="n">
        <v>46148</v>
      </c>
      <c r="B2207" s="3" t="n">
        <v>2026</v>
      </c>
      <c r="C2207" s="21" t="inlineStr">
        <is>
          <t>Continuum</t>
        </is>
      </c>
      <c r="D2207" s="3" t="inlineStr">
        <is>
          <t>Utility and C&amp;I</t>
        </is>
      </c>
      <c r="E2207" s="3" t="n"/>
      <c r="F2207" s="3" t="inlineStr">
        <is>
          <t>Closed</t>
        </is>
      </c>
      <c r="G2207" s="21" t="inlineStr">
        <is>
          <t>Amiya Ranjan Behera</t>
        </is>
      </c>
      <c r="H2207" s="21" t="n">
        <v>8917436223</v>
      </c>
      <c r="I2207" s="38" t="inlineStr">
        <is>
          <t>PE06052602</t>
        </is>
      </c>
      <c r="J2207" s="21" t="inlineStr">
        <is>
          <t>Diode Bypass Module Issue</t>
        </is>
      </c>
      <c r="K2207" s="21" t="inlineStr">
        <is>
          <t>Bhavnagar</t>
        </is>
      </c>
      <c r="L2207" s="21" t="inlineStr">
        <is>
          <t>Gujarat</t>
        </is>
      </c>
      <c r="M2207" s="9" t="inlineStr">
        <is>
          <t>PS</t>
        </is>
      </c>
      <c r="N2207" s="3" t="inlineStr">
        <is>
          <t>Cold Soldering</t>
        </is>
      </c>
      <c r="O2207" s="62" t="n">
        <v>540</v>
      </c>
      <c r="P2207" s="9" t="inlineStr">
        <is>
          <t>NSMP2305132228</t>
        </is>
      </c>
      <c r="Q2207" s="53">
        <f>MID(P2207,5,2)</f>
        <v/>
      </c>
      <c r="R2207" s="53">
        <f>MID(P2207,7,2)</f>
        <v/>
      </c>
      <c r="S2207" s="3" t="inlineStr">
        <is>
          <t>G2B</t>
        </is>
      </c>
      <c r="T2207" s="3" t="inlineStr">
        <is>
          <t>P2</t>
        </is>
      </c>
      <c r="U2207" s="3" t="inlineStr">
        <is>
          <t>P JB Cold Soldering</t>
        </is>
      </c>
      <c r="V2207" s="3" t="inlineStr">
        <is>
          <t>Soldering</t>
        </is>
      </c>
      <c r="W2207" s="3" t="inlineStr">
        <is>
          <t>Repair</t>
        </is>
      </c>
      <c r="X2207" s="18" t="n">
        <v>46169</v>
      </c>
      <c r="Y2207" s="3">
        <f>X2207-A2207</f>
        <v/>
      </c>
      <c r="Z2207" s="18" t="n">
        <v>46169</v>
      </c>
      <c r="AA2207" s="15" t="n"/>
      <c r="AB2207" s="15" t="n"/>
    </row>
    <row r="2208">
      <c r="A2208" s="59" t="n">
        <v>46148</v>
      </c>
      <c r="B2208" s="3" t="n">
        <v>2026</v>
      </c>
      <c r="C2208" s="21" t="inlineStr">
        <is>
          <t>Continuum</t>
        </is>
      </c>
      <c r="D2208" s="3" t="inlineStr">
        <is>
          <t>Utility and C&amp;I</t>
        </is>
      </c>
      <c r="E2208" s="3" t="n"/>
      <c r="F2208" s="3" t="inlineStr">
        <is>
          <t>Closed</t>
        </is>
      </c>
      <c r="G2208" s="21" t="inlineStr">
        <is>
          <t>Amiya Ranjan Behera</t>
        </is>
      </c>
      <c r="H2208" s="21" t="n">
        <v>8917436223</v>
      </c>
      <c r="I2208" s="38" t="inlineStr">
        <is>
          <t>PE06052602</t>
        </is>
      </c>
      <c r="J2208" s="21" t="inlineStr">
        <is>
          <t>Diode Bypass Module Issue</t>
        </is>
      </c>
      <c r="K2208" s="21" t="inlineStr">
        <is>
          <t>Bhavnagar</t>
        </is>
      </c>
      <c r="L2208" s="21" t="inlineStr">
        <is>
          <t>Gujarat</t>
        </is>
      </c>
      <c r="M2208" s="9" t="inlineStr">
        <is>
          <t>NS</t>
        </is>
      </c>
      <c r="N2208" s="26" t="inlineStr">
        <is>
          <t>Cold Soldering</t>
        </is>
      </c>
      <c r="O2208" s="62" t="n">
        <v>540</v>
      </c>
      <c r="P2208" s="9" t="inlineStr">
        <is>
          <t>NSMP2304044081</t>
        </is>
      </c>
      <c r="Q2208" s="53">
        <f>MID(P2208,5,2)</f>
        <v/>
      </c>
      <c r="R2208" s="53">
        <f>MID(P2208,7,2)</f>
        <v/>
      </c>
      <c r="S2208" s="3" t="inlineStr">
        <is>
          <t>G2B</t>
        </is>
      </c>
      <c r="T2208" s="3" t="inlineStr">
        <is>
          <t>P2</t>
        </is>
      </c>
      <c r="U2208" s="19" t="inlineStr">
        <is>
          <t>N JB Cold Soldering</t>
        </is>
      </c>
      <c r="V2208" s="19" t="inlineStr">
        <is>
          <t>Soldering</t>
        </is>
      </c>
      <c r="W2208" s="3" t="inlineStr">
        <is>
          <t>Repair</t>
        </is>
      </c>
      <c r="X2208" s="18" t="n">
        <v>46169</v>
      </c>
      <c r="Y2208" s="3">
        <f>X2208-A2208</f>
        <v/>
      </c>
      <c r="Z2208" s="18" t="n">
        <v>46169</v>
      </c>
      <c r="AA2208" s="15" t="n"/>
      <c r="AB2208" s="15" t="n"/>
    </row>
    <row r="2209">
      <c r="A2209" s="59" t="n">
        <v>46148</v>
      </c>
      <c r="B2209" s="3" t="n">
        <v>2026</v>
      </c>
      <c r="C2209" s="21" t="inlineStr">
        <is>
          <t>Continuum</t>
        </is>
      </c>
      <c r="D2209" s="3" t="inlineStr">
        <is>
          <t>Utility and C&amp;I</t>
        </is>
      </c>
      <c r="E2209" s="3" t="n"/>
      <c r="F2209" s="3" t="inlineStr">
        <is>
          <t>Closed</t>
        </is>
      </c>
      <c r="G2209" s="21" t="inlineStr">
        <is>
          <t>Amiya Ranjan Behera</t>
        </is>
      </c>
      <c r="H2209" s="21" t="n">
        <v>8917436223</v>
      </c>
      <c r="I2209" s="38" t="inlineStr">
        <is>
          <t>PE06052602</t>
        </is>
      </c>
      <c r="J2209" s="21" t="inlineStr">
        <is>
          <t>Diode Bypass Module Issue</t>
        </is>
      </c>
      <c r="K2209" s="21" t="inlineStr">
        <is>
          <t>Bhavnagar</t>
        </is>
      </c>
      <c r="L2209" s="21" t="inlineStr">
        <is>
          <t>Gujarat</t>
        </is>
      </c>
      <c r="M2209" s="9" t="inlineStr">
        <is>
          <t>PS</t>
        </is>
      </c>
      <c r="N2209" s="3" t="inlineStr">
        <is>
          <t>Cold Soldering</t>
        </is>
      </c>
      <c r="O2209" s="62" t="n">
        <v>540</v>
      </c>
      <c r="P2209" s="9" t="inlineStr">
        <is>
          <t>NSMP2305134789</t>
        </is>
      </c>
      <c r="Q2209" s="53">
        <f>MID(P2209,5,2)</f>
        <v/>
      </c>
      <c r="R2209" s="53">
        <f>MID(P2209,7,2)</f>
        <v/>
      </c>
      <c r="S2209" s="3" t="inlineStr">
        <is>
          <t>G2B</t>
        </is>
      </c>
      <c r="T2209" s="3" t="inlineStr">
        <is>
          <t>P2</t>
        </is>
      </c>
      <c r="U2209" s="3" t="inlineStr">
        <is>
          <t>P JB Cold Soldering</t>
        </is>
      </c>
      <c r="V2209" s="3" t="inlineStr">
        <is>
          <t>Soldering</t>
        </is>
      </c>
      <c r="W2209" s="3" t="inlineStr">
        <is>
          <t>Repair</t>
        </is>
      </c>
      <c r="X2209" s="18" t="n">
        <v>46169</v>
      </c>
      <c r="Y2209" s="3">
        <f>X2209-A2209</f>
        <v/>
      </c>
      <c r="Z2209" s="18" t="n">
        <v>46169</v>
      </c>
      <c r="AA2209" s="15" t="n"/>
      <c r="AB2209" s="15" t="n"/>
    </row>
    <row r="2210">
      <c r="A2210" s="59" t="n">
        <v>46148</v>
      </c>
      <c r="B2210" s="3" t="n">
        <v>2026</v>
      </c>
      <c r="C2210" s="21" t="inlineStr">
        <is>
          <t>Continuum</t>
        </is>
      </c>
      <c r="D2210" s="3" t="inlineStr">
        <is>
          <t>Utility and C&amp;I</t>
        </is>
      </c>
      <c r="E2210" s="3" t="n"/>
      <c r="F2210" s="3" t="inlineStr">
        <is>
          <t>Closed</t>
        </is>
      </c>
      <c r="G2210" s="21" t="inlineStr">
        <is>
          <t>Amiya Ranjan Behera</t>
        </is>
      </c>
      <c r="H2210" s="21" t="n">
        <v>8917436223</v>
      </c>
      <c r="I2210" s="38" t="inlineStr">
        <is>
          <t>PE06052602</t>
        </is>
      </c>
      <c r="J2210" s="21" t="inlineStr">
        <is>
          <t>Diode Bypass Module Issue</t>
        </is>
      </c>
      <c r="K2210" s="21" t="inlineStr">
        <is>
          <t>Bhavnagar</t>
        </is>
      </c>
      <c r="L2210" s="21" t="inlineStr">
        <is>
          <t>Gujarat</t>
        </is>
      </c>
      <c r="M2210" s="9" t="inlineStr">
        <is>
          <t>PS</t>
        </is>
      </c>
      <c r="N2210" s="3" t="inlineStr">
        <is>
          <t>Cold Soldering</t>
        </is>
      </c>
      <c r="O2210" s="62" t="n">
        <v>540</v>
      </c>
      <c r="P2210" s="9" t="inlineStr">
        <is>
          <t>NSMP2305189565</t>
        </is>
      </c>
      <c r="Q2210" s="53">
        <f>MID(P2210,5,2)</f>
        <v/>
      </c>
      <c r="R2210" s="53">
        <f>MID(P2210,7,2)</f>
        <v/>
      </c>
      <c r="S2210" s="3" t="inlineStr">
        <is>
          <t>G2B</t>
        </is>
      </c>
      <c r="T2210" s="3" t="inlineStr">
        <is>
          <t>P2</t>
        </is>
      </c>
      <c r="U2210" s="3" t="inlineStr">
        <is>
          <t>P JB Cold Soldering</t>
        </is>
      </c>
      <c r="V2210" s="3" t="inlineStr">
        <is>
          <t>Soldering</t>
        </is>
      </c>
      <c r="W2210" s="3" t="inlineStr">
        <is>
          <t>Repair</t>
        </is>
      </c>
      <c r="X2210" s="18" t="n">
        <v>46169</v>
      </c>
      <c r="Y2210" s="3">
        <f>X2210-A2210</f>
        <v/>
      </c>
      <c r="Z2210" s="18" t="n">
        <v>46169</v>
      </c>
      <c r="AA2210" s="15" t="n"/>
      <c r="AB2210" s="15" t="n"/>
    </row>
    <row r="2211">
      <c r="A2211" s="59" t="n">
        <v>46148</v>
      </c>
      <c r="B2211" s="3" t="n">
        <v>2026</v>
      </c>
      <c r="C2211" s="21" t="inlineStr">
        <is>
          <t>Continuum</t>
        </is>
      </c>
      <c r="D2211" s="3" t="inlineStr">
        <is>
          <t>Utility and C&amp;I</t>
        </is>
      </c>
      <c r="E2211" s="3" t="n"/>
      <c r="F2211" s="3" t="inlineStr">
        <is>
          <t>Closed</t>
        </is>
      </c>
      <c r="G2211" s="21" t="inlineStr">
        <is>
          <t>Amiya Ranjan Behera</t>
        </is>
      </c>
      <c r="H2211" s="21" t="n">
        <v>8917436223</v>
      </c>
      <c r="I2211" s="38" t="inlineStr">
        <is>
          <t>PE06052602</t>
        </is>
      </c>
      <c r="J2211" s="21" t="inlineStr">
        <is>
          <t>Diode Bypass Module Issue</t>
        </is>
      </c>
      <c r="K2211" s="21" t="inlineStr">
        <is>
          <t>Bhavnagar</t>
        </is>
      </c>
      <c r="L2211" s="21" t="inlineStr">
        <is>
          <t>Gujarat</t>
        </is>
      </c>
      <c r="M2211" s="9" t="inlineStr">
        <is>
          <t>PS</t>
        </is>
      </c>
      <c r="N2211" s="3" t="inlineStr">
        <is>
          <t>Cold Soldering</t>
        </is>
      </c>
      <c r="O2211" s="62" t="n">
        <v>540</v>
      </c>
      <c r="P2211" s="9" t="inlineStr">
        <is>
          <t>NSMP2305189550</t>
        </is>
      </c>
      <c r="Q2211" s="53">
        <f>MID(P2211,5,2)</f>
        <v/>
      </c>
      <c r="R2211" s="53">
        <f>MID(P2211,7,2)</f>
        <v/>
      </c>
      <c r="S2211" s="3" t="inlineStr">
        <is>
          <t>G2B</t>
        </is>
      </c>
      <c r="T2211" s="3" t="inlineStr">
        <is>
          <t>P2</t>
        </is>
      </c>
      <c r="U2211" s="3" t="inlineStr">
        <is>
          <t>P JB Cold Soldering</t>
        </is>
      </c>
      <c r="V2211" s="3" t="inlineStr">
        <is>
          <t>Soldering</t>
        </is>
      </c>
      <c r="W2211" s="3" t="inlineStr">
        <is>
          <t>Repair</t>
        </is>
      </c>
      <c r="X2211" s="18" t="n">
        <v>46169</v>
      </c>
      <c r="Y2211" s="3">
        <f>X2211-A2211</f>
        <v/>
      </c>
      <c r="Z2211" s="18" t="n">
        <v>46169</v>
      </c>
      <c r="AA2211" s="15" t="n"/>
      <c r="AB2211" s="15" t="n"/>
    </row>
    <row r="2212">
      <c r="A2212" s="59" t="n">
        <v>46148</v>
      </c>
      <c r="B2212" s="3" t="n">
        <v>2026</v>
      </c>
      <c r="C2212" s="21" t="inlineStr">
        <is>
          <t>Continuum</t>
        </is>
      </c>
      <c r="D2212" s="3" t="inlineStr">
        <is>
          <t>Utility and C&amp;I</t>
        </is>
      </c>
      <c r="E2212" s="3" t="n"/>
      <c r="F2212" s="3" t="inlineStr">
        <is>
          <t>Closed</t>
        </is>
      </c>
      <c r="G2212" s="21" t="inlineStr">
        <is>
          <t>Amiya Ranjan Behera</t>
        </is>
      </c>
      <c r="H2212" s="21" t="n">
        <v>8917436223</v>
      </c>
      <c r="I2212" s="38" t="inlineStr">
        <is>
          <t>PE06052602</t>
        </is>
      </c>
      <c r="J2212" s="21" t="inlineStr">
        <is>
          <t>Diode Bypass Module Issue</t>
        </is>
      </c>
      <c r="K2212" s="21" t="inlineStr">
        <is>
          <t>Bhavnagar</t>
        </is>
      </c>
      <c r="L2212" s="21" t="inlineStr">
        <is>
          <t>Gujarat</t>
        </is>
      </c>
      <c r="M2212" s="9" t="inlineStr">
        <is>
          <t>PS</t>
        </is>
      </c>
      <c r="N2212" s="3" t="inlineStr">
        <is>
          <t>Cold Soldering</t>
        </is>
      </c>
      <c r="O2212" s="62" t="n">
        <v>540</v>
      </c>
      <c r="P2212" s="9" t="inlineStr">
        <is>
          <t>NSMP2305189570</t>
        </is>
      </c>
      <c r="Q2212" s="53">
        <f>MID(P2212,5,2)</f>
        <v/>
      </c>
      <c r="R2212" s="53">
        <f>MID(P2212,7,2)</f>
        <v/>
      </c>
      <c r="S2212" s="3" t="inlineStr">
        <is>
          <t>G2B</t>
        </is>
      </c>
      <c r="T2212" s="3" t="inlineStr">
        <is>
          <t>P2</t>
        </is>
      </c>
      <c r="U2212" s="3" t="inlineStr">
        <is>
          <t>P JB Cold Soldering</t>
        </is>
      </c>
      <c r="V2212" s="3" t="inlineStr">
        <is>
          <t>Soldering</t>
        </is>
      </c>
      <c r="W2212" s="3" t="inlineStr">
        <is>
          <t>Repair</t>
        </is>
      </c>
      <c r="X2212" s="18" t="n">
        <v>46169</v>
      </c>
      <c r="Y2212" s="3">
        <f>X2212-A2212</f>
        <v/>
      </c>
      <c r="Z2212" s="18" t="n">
        <v>46169</v>
      </c>
      <c r="AA2212" s="15" t="n"/>
      <c r="AB2212" s="15" t="n"/>
    </row>
    <row r="2213">
      <c r="A2213" s="59" t="n">
        <v>46148</v>
      </c>
      <c r="B2213" s="3" t="n">
        <v>2026</v>
      </c>
      <c r="C2213" s="21" t="inlineStr">
        <is>
          <t>Continuum</t>
        </is>
      </c>
      <c r="D2213" s="3" t="inlineStr">
        <is>
          <t>Utility and C&amp;I</t>
        </is>
      </c>
      <c r="E2213" s="3" t="n"/>
      <c r="F2213" s="3" t="inlineStr">
        <is>
          <t>Closed</t>
        </is>
      </c>
      <c r="G2213" s="21" t="inlineStr">
        <is>
          <t>Amiya Ranjan Behera</t>
        </is>
      </c>
      <c r="H2213" s="21" t="n">
        <v>8917436223</v>
      </c>
      <c r="I2213" s="38" t="inlineStr">
        <is>
          <t>PE06052602</t>
        </is>
      </c>
      <c r="J2213" s="21" t="inlineStr">
        <is>
          <t>Diode Bypass Module Issue</t>
        </is>
      </c>
      <c r="K2213" s="21" t="inlineStr">
        <is>
          <t>Bhavnagar</t>
        </is>
      </c>
      <c r="L2213" s="21" t="inlineStr">
        <is>
          <t>Gujarat</t>
        </is>
      </c>
      <c r="M2213" s="9" t="inlineStr">
        <is>
          <t>NR</t>
        </is>
      </c>
      <c r="N2213" s="26" t="inlineStr">
        <is>
          <t>JB Issue</t>
        </is>
      </c>
      <c r="O2213" s="62" t="n">
        <v>540</v>
      </c>
      <c r="P2213" s="9" t="inlineStr">
        <is>
          <t>NSMP2305171714</t>
        </is>
      </c>
      <c r="Q2213" s="53">
        <f>MID(P2213,5,2)</f>
        <v/>
      </c>
      <c r="R2213" s="53">
        <f>MID(P2213,7,2)</f>
        <v/>
      </c>
      <c r="S2213" s="3" t="inlineStr">
        <is>
          <t>G2B</t>
        </is>
      </c>
      <c r="T2213" s="3" t="inlineStr">
        <is>
          <t>P2</t>
        </is>
      </c>
      <c r="U2213" s="19" t="inlineStr">
        <is>
          <t>N JB Issue</t>
        </is>
      </c>
      <c r="V2213" s="19" t="inlineStr">
        <is>
          <t>JB Changed</t>
        </is>
      </c>
      <c r="W2213" s="3" t="inlineStr">
        <is>
          <t>Repair</t>
        </is>
      </c>
      <c r="X2213" s="18" t="n">
        <v>46169</v>
      </c>
      <c r="Y2213" s="3">
        <f>X2213-A2213</f>
        <v/>
      </c>
      <c r="Z2213" s="18" t="n">
        <v>46169</v>
      </c>
      <c r="AA2213" s="15" t="n"/>
      <c r="AB2213" s="15" t="n"/>
    </row>
    <row r="2214">
      <c r="A2214" s="59" t="n">
        <v>46148</v>
      </c>
      <c r="B2214" s="3" t="n">
        <v>2026</v>
      </c>
      <c r="C2214" s="21" t="inlineStr">
        <is>
          <t>Continuum</t>
        </is>
      </c>
      <c r="D2214" s="3" t="inlineStr">
        <is>
          <t>Utility and C&amp;I</t>
        </is>
      </c>
      <c r="E2214" s="3" t="n"/>
      <c r="F2214" s="3" t="inlineStr">
        <is>
          <t>Closed</t>
        </is>
      </c>
      <c r="G2214" s="21" t="inlineStr">
        <is>
          <t>Amiya Ranjan Behera</t>
        </is>
      </c>
      <c r="H2214" s="21" t="n">
        <v>8917436223</v>
      </c>
      <c r="I2214" s="38" t="inlineStr">
        <is>
          <t>PE06052602</t>
        </is>
      </c>
      <c r="J2214" s="21" t="inlineStr">
        <is>
          <t>Diode Bypass Module Issue</t>
        </is>
      </c>
      <c r="K2214" s="21" t="inlineStr">
        <is>
          <t>Bhavnagar</t>
        </is>
      </c>
      <c r="L2214" s="21" t="inlineStr">
        <is>
          <t>Gujarat</t>
        </is>
      </c>
      <c r="M2214" s="9" t="inlineStr">
        <is>
          <t>PS</t>
        </is>
      </c>
      <c r="N2214" s="3" t="inlineStr">
        <is>
          <t>Cold Soldering</t>
        </is>
      </c>
      <c r="O2214" s="62" t="n">
        <v>540</v>
      </c>
      <c r="P2214" s="9" t="inlineStr">
        <is>
          <t>NSMP2305189423</t>
        </is>
      </c>
      <c r="Q2214" s="53">
        <f>MID(P2214,5,2)</f>
        <v/>
      </c>
      <c r="R2214" s="53">
        <f>MID(P2214,7,2)</f>
        <v/>
      </c>
      <c r="S2214" s="3" t="inlineStr">
        <is>
          <t>G2B</t>
        </is>
      </c>
      <c r="T2214" s="3" t="inlineStr">
        <is>
          <t>P2</t>
        </is>
      </c>
      <c r="U2214" s="3" t="inlineStr">
        <is>
          <t>P JB Cold Soldering</t>
        </is>
      </c>
      <c r="V2214" s="3" t="inlineStr">
        <is>
          <t>Soldering</t>
        </is>
      </c>
      <c r="W2214" s="3" t="inlineStr">
        <is>
          <t>Repair</t>
        </is>
      </c>
      <c r="X2214" s="18" t="n">
        <v>46169</v>
      </c>
      <c r="Y2214" s="3">
        <f>X2214-A2214</f>
        <v/>
      </c>
      <c r="Z2214" s="18" t="n">
        <v>46169</v>
      </c>
      <c r="AA2214" s="15" t="n"/>
      <c r="AB2214" s="15" t="n"/>
    </row>
    <row r="2215">
      <c r="A2215" s="59" t="n">
        <v>46148</v>
      </c>
      <c r="B2215" s="3" t="n">
        <v>2026</v>
      </c>
      <c r="C2215" s="21" t="inlineStr">
        <is>
          <t>Continuum</t>
        </is>
      </c>
      <c r="D2215" s="3" t="inlineStr">
        <is>
          <t>Utility and C&amp;I</t>
        </is>
      </c>
      <c r="E2215" s="3" t="n"/>
      <c r="F2215" s="3" t="inlineStr">
        <is>
          <t>Closed</t>
        </is>
      </c>
      <c r="G2215" s="21" t="inlineStr">
        <is>
          <t>Amiya Ranjan Behera</t>
        </is>
      </c>
      <c r="H2215" s="21" t="n">
        <v>8917436223</v>
      </c>
      <c r="I2215" s="38" t="inlineStr">
        <is>
          <t>PE06052602</t>
        </is>
      </c>
      <c r="J2215" s="21" t="inlineStr">
        <is>
          <t>Diode Bypass Module Issue</t>
        </is>
      </c>
      <c r="K2215" s="21" t="inlineStr">
        <is>
          <t>Bhavnagar</t>
        </is>
      </c>
      <c r="L2215" s="21" t="inlineStr">
        <is>
          <t>Gujarat</t>
        </is>
      </c>
      <c r="M2215" s="9" t="inlineStr">
        <is>
          <t>PS</t>
        </is>
      </c>
      <c r="N2215" s="3" t="inlineStr">
        <is>
          <t>Cold Soldering</t>
        </is>
      </c>
      <c r="O2215" s="62" t="n">
        <v>540</v>
      </c>
      <c r="P2215" s="9" t="inlineStr">
        <is>
          <t>NSMP2305132137</t>
        </is>
      </c>
      <c r="Q2215" s="53">
        <f>MID(P2215,5,2)</f>
        <v/>
      </c>
      <c r="R2215" s="53">
        <f>MID(P2215,7,2)</f>
        <v/>
      </c>
      <c r="S2215" s="3" t="inlineStr">
        <is>
          <t>G2B</t>
        </is>
      </c>
      <c r="T2215" s="3" t="inlineStr">
        <is>
          <t>P2</t>
        </is>
      </c>
      <c r="U2215" s="3" t="inlineStr">
        <is>
          <t>P JB Cold Soldering</t>
        </is>
      </c>
      <c r="V2215" s="3" t="inlineStr">
        <is>
          <t>Soldering</t>
        </is>
      </c>
      <c r="W2215" s="3" t="inlineStr">
        <is>
          <t>Repair</t>
        </is>
      </c>
      <c r="X2215" s="18" t="n">
        <v>46169</v>
      </c>
      <c r="Y2215" s="3">
        <f>X2215-A2215</f>
        <v/>
      </c>
      <c r="Z2215" s="18" t="n">
        <v>46169</v>
      </c>
      <c r="AA2215" s="15" t="n"/>
      <c r="AB2215" s="15" t="n"/>
    </row>
    <row r="2216">
      <c r="A2216" s="59" t="n">
        <v>46148</v>
      </c>
      <c r="B2216" s="3" t="n">
        <v>2026</v>
      </c>
      <c r="C2216" s="21" t="inlineStr">
        <is>
          <t>Continuum</t>
        </is>
      </c>
      <c r="D2216" s="3" t="inlineStr">
        <is>
          <t>Utility and C&amp;I</t>
        </is>
      </c>
      <c r="E2216" s="3" t="n"/>
      <c r="F2216" s="3" t="inlineStr">
        <is>
          <t>Closed</t>
        </is>
      </c>
      <c r="G2216" s="21" t="inlineStr">
        <is>
          <t>Amiya Ranjan Behera</t>
        </is>
      </c>
      <c r="H2216" s="21" t="n">
        <v>8917436223</v>
      </c>
      <c r="I2216" s="38" t="inlineStr">
        <is>
          <t>PE06052602</t>
        </is>
      </c>
      <c r="J2216" s="21" t="inlineStr">
        <is>
          <t>Diode Bypass Module Issue</t>
        </is>
      </c>
      <c r="K2216" s="21" t="inlineStr">
        <is>
          <t>Bhavnagar</t>
        </is>
      </c>
      <c r="L2216" s="21" t="inlineStr">
        <is>
          <t>Gujarat</t>
        </is>
      </c>
      <c r="M2216" s="9" t="inlineStr">
        <is>
          <t>PS</t>
        </is>
      </c>
      <c r="N2216" s="3" t="inlineStr">
        <is>
          <t>Cold Soldering</t>
        </is>
      </c>
      <c r="O2216" s="62" t="n">
        <v>540</v>
      </c>
      <c r="P2216" s="9" t="inlineStr">
        <is>
          <t>NSMP2305189564</t>
        </is>
      </c>
      <c r="Q2216" s="53">
        <f>MID(P2216,5,2)</f>
        <v/>
      </c>
      <c r="R2216" s="53">
        <f>MID(P2216,7,2)</f>
        <v/>
      </c>
      <c r="S2216" s="3" t="inlineStr">
        <is>
          <t>G2B</t>
        </is>
      </c>
      <c r="T2216" s="3" t="inlineStr">
        <is>
          <t>P2</t>
        </is>
      </c>
      <c r="U2216" s="3" t="inlineStr">
        <is>
          <t>P JB Cold Soldering</t>
        </is>
      </c>
      <c r="V2216" s="3" t="inlineStr">
        <is>
          <t>Soldering</t>
        </is>
      </c>
      <c r="W2216" s="3" t="inlineStr">
        <is>
          <t>Repair</t>
        </is>
      </c>
      <c r="X2216" s="18" t="n">
        <v>46169</v>
      </c>
      <c r="Y2216" s="3">
        <f>X2216-A2216</f>
        <v/>
      </c>
      <c r="Z2216" s="18" t="n">
        <v>46169</v>
      </c>
      <c r="AA2216" s="15" t="n"/>
      <c r="AB2216" s="15" t="n"/>
    </row>
    <row r="2217">
      <c r="A2217" s="59" t="n">
        <v>46148</v>
      </c>
      <c r="B2217" s="3" t="n">
        <v>2026</v>
      </c>
      <c r="C2217" s="21" t="inlineStr">
        <is>
          <t>Continuum</t>
        </is>
      </c>
      <c r="D2217" s="3" t="inlineStr">
        <is>
          <t>Utility and C&amp;I</t>
        </is>
      </c>
      <c r="E2217" s="3" t="n"/>
      <c r="F2217" s="3" t="inlineStr">
        <is>
          <t>Closed</t>
        </is>
      </c>
      <c r="G2217" s="21" t="inlineStr">
        <is>
          <t>Amiya Ranjan Behera</t>
        </is>
      </c>
      <c r="H2217" s="21" t="n">
        <v>8917436223</v>
      </c>
      <c r="I2217" s="38" t="inlineStr">
        <is>
          <t>PE06052602</t>
        </is>
      </c>
      <c r="J2217" s="21" t="inlineStr">
        <is>
          <t>Diode Bypass Module Issue</t>
        </is>
      </c>
      <c r="K2217" s="21" t="inlineStr">
        <is>
          <t>Bhavnagar</t>
        </is>
      </c>
      <c r="L2217" s="21" t="inlineStr">
        <is>
          <t>Gujarat</t>
        </is>
      </c>
      <c r="M2217" s="9" t="inlineStr">
        <is>
          <t>PS</t>
        </is>
      </c>
      <c r="N2217" s="3" t="inlineStr">
        <is>
          <t>Cold Soldering</t>
        </is>
      </c>
      <c r="O2217" s="62" t="n">
        <v>540</v>
      </c>
      <c r="P2217" s="9" t="inlineStr">
        <is>
          <t>NSMP2305132208</t>
        </is>
      </c>
      <c r="Q2217" s="53">
        <f>MID(P2217,5,2)</f>
        <v/>
      </c>
      <c r="R2217" s="53">
        <f>MID(P2217,7,2)</f>
        <v/>
      </c>
      <c r="S2217" s="3" t="inlineStr">
        <is>
          <t>G2B</t>
        </is>
      </c>
      <c r="T2217" s="3" t="inlineStr">
        <is>
          <t>P2</t>
        </is>
      </c>
      <c r="U2217" s="3" t="inlineStr">
        <is>
          <t>P JB Cold Soldering</t>
        </is>
      </c>
      <c r="V2217" s="3" t="inlineStr">
        <is>
          <t>Soldering</t>
        </is>
      </c>
      <c r="W2217" s="3" t="inlineStr">
        <is>
          <t>Repair</t>
        </is>
      </c>
      <c r="X2217" s="18" t="n">
        <v>46169</v>
      </c>
      <c r="Y2217" s="3">
        <f>X2217-A2217</f>
        <v/>
      </c>
      <c r="Z2217" s="18" t="n">
        <v>46169</v>
      </c>
      <c r="AA2217" s="15" t="n"/>
      <c r="AB2217" s="15" t="n"/>
    </row>
    <row r="2218">
      <c r="A2218" s="59" t="n">
        <v>46148</v>
      </c>
      <c r="B2218" s="3" t="n">
        <v>2026</v>
      </c>
      <c r="C2218" s="21" t="inlineStr">
        <is>
          <t>Continuum</t>
        </is>
      </c>
      <c r="D2218" s="3" t="inlineStr">
        <is>
          <t>Utility and C&amp;I</t>
        </is>
      </c>
      <c r="E2218" s="3" t="n"/>
      <c r="F2218" s="3" t="inlineStr">
        <is>
          <t>Closed</t>
        </is>
      </c>
      <c r="G2218" s="21" t="inlineStr">
        <is>
          <t>Amiya Ranjan Behera</t>
        </is>
      </c>
      <c r="H2218" s="21" t="n">
        <v>8917436223</v>
      </c>
      <c r="I2218" s="38" t="inlineStr">
        <is>
          <t>PE06052602</t>
        </is>
      </c>
      <c r="J2218" s="21" t="inlineStr">
        <is>
          <t>Diode Bypass Module Issue</t>
        </is>
      </c>
      <c r="K2218" s="21" t="inlineStr">
        <is>
          <t>Bhavnagar</t>
        </is>
      </c>
      <c r="L2218" s="21" t="inlineStr">
        <is>
          <t>Gujarat</t>
        </is>
      </c>
      <c r="M2218" s="9" t="inlineStr">
        <is>
          <t>PS</t>
        </is>
      </c>
      <c r="N2218" s="3" t="inlineStr">
        <is>
          <t>Cold Soldering</t>
        </is>
      </c>
      <c r="O2218" s="62" t="n">
        <v>540</v>
      </c>
      <c r="P2218" s="9" t="inlineStr">
        <is>
          <t>NSMP2305132210</t>
        </is>
      </c>
      <c r="Q2218" s="53">
        <f>MID(P2218,5,2)</f>
        <v/>
      </c>
      <c r="R2218" s="53">
        <f>MID(P2218,7,2)</f>
        <v/>
      </c>
      <c r="S2218" s="3" t="inlineStr">
        <is>
          <t>G2B</t>
        </is>
      </c>
      <c r="T2218" s="3" t="inlineStr">
        <is>
          <t>P2</t>
        </is>
      </c>
      <c r="U2218" s="3" t="inlineStr">
        <is>
          <t>P JB Cold Soldering</t>
        </is>
      </c>
      <c r="V2218" s="3" t="inlineStr">
        <is>
          <t>Soldering</t>
        </is>
      </c>
      <c r="W2218" s="3" t="inlineStr">
        <is>
          <t>Repair</t>
        </is>
      </c>
      <c r="X2218" s="18" t="n">
        <v>46169</v>
      </c>
      <c r="Y2218" s="3">
        <f>X2218-A2218</f>
        <v/>
      </c>
      <c r="Z2218" s="18" t="n">
        <v>46169</v>
      </c>
      <c r="AA2218" s="15" t="n"/>
      <c r="AB2218" s="15" t="n"/>
    </row>
    <row r="2219">
      <c r="A2219" s="59" t="n">
        <v>46148</v>
      </c>
      <c r="B2219" s="3" t="n">
        <v>2026</v>
      </c>
      <c r="C2219" s="21" t="inlineStr">
        <is>
          <t>Continuum</t>
        </is>
      </c>
      <c r="D2219" s="3" t="inlineStr">
        <is>
          <t>Utility and C&amp;I</t>
        </is>
      </c>
      <c r="E2219" s="3" t="n"/>
      <c r="F2219" s="3" t="inlineStr">
        <is>
          <t>Closed</t>
        </is>
      </c>
      <c r="G2219" s="21" t="inlineStr">
        <is>
          <t>Amiya Ranjan Behera</t>
        </is>
      </c>
      <c r="H2219" s="21" t="n">
        <v>8917436223</v>
      </c>
      <c r="I2219" s="38" t="inlineStr">
        <is>
          <t>PE06052602</t>
        </is>
      </c>
      <c r="J2219" s="21" t="inlineStr">
        <is>
          <t>Diode Bypass Module Issue</t>
        </is>
      </c>
      <c r="K2219" s="21" t="inlineStr">
        <is>
          <t>Bhavnagar</t>
        </is>
      </c>
      <c r="L2219" s="21" t="inlineStr">
        <is>
          <t>Gujarat</t>
        </is>
      </c>
      <c r="M2219" s="9" t="inlineStr">
        <is>
          <t>PS</t>
        </is>
      </c>
      <c r="N2219" s="3" t="inlineStr">
        <is>
          <t>Cold Soldering</t>
        </is>
      </c>
      <c r="O2219" s="62" t="n">
        <v>540</v>
      </c>
      <c r="P2219" s="9" t="inlineStr">
        <is>
          <t>NSMP2305132204</t>
        </is>
      </c>
      <c r="Q2219" s="53">
        <f>MID(P2219,5,2)</f>
        <v/>
      </c>
      <c r="R2219" s="53">
        <f>MID(P2219,7,2)</f>
        <v/>
      </c>
      <c r="S2219" s="3" t="inlineStr">
        <is>
          <t>G2B</t>
        </is>
      </c>
      <c r="T2219" s="3" t="inlineStr">
        <is>
          <t>P2</t>
        </is>
      </c>
      <c r="U2219" s="3" t="inlineStr">
        <is>
          <t>P JB Cold Soldering</t>
        </is>
      </c>
      <c r="V2219" s="3" t="inlineStr">
        <is>
          <t>Soldering</t>
        </is>
      </c>
      <c r="W2219" s="3" t="inlineStr">
        <is>
          <t>Repair</t>
        </is>
      </c>
      <c r="X2219" s="18" t="n">
        <v>46169</v>
      </c>
      <c r="Y2219" s="3">
        <f>X2219-A2219</f>
        <v/>
      </c>
      <c r="Z2219" s="18" t="n">
        <v>46169</v>
      </c>
      <c r="AA2219" s="15" t="n"/>
      <c r="AB2219" s="15" t="n"/>
    </row>
    <row r="2220">
      <c r="A2220" s="59" t="n">
        <v>46148</v>
      </c>
      <c r="B2220" s="3" t="n">
        <v>2026</v>
      </c>
      <c r="C2220" s="21" t="inlineStr">
        <is>
          <t>Continuum</t>
        </is>
      </c>
      <c r="D2220" s="3" t="inlineStr">
        <is>
          <t>Utility and C&amp;I</t>
        </is>
      </c>
      <c r="E2220" s="3" t="n"/>
      <c r="F2220" s="3" t="inlineStr">
        <is>
          <t>Closed</t>
        </is>
      </c>
      <c r="G2220" s="21" t="inlineStr">
        <is>
          <t>Amiya Ranjan Behera</t>
        </is>
      </c>
      <c r="H2220" s="21" t="n">
        <v>8917436223</v>
      </c>
      <c r="I2220" s="38" t="inlineStr">
        <is>
          <t>PE06052602</t>
        </is>
      </c>
      <c r="J2220" s="21" t="inlineStr">
        <is>
          <t>Diode Bypass Module Issue</t>
        </is>
      </c>
      <c r="K2220" s="21" t="inlineStr">
        <is>
          <t>Bhavnagar</t>
        </is>
      </c>
      <c r="L2220" s="21" t="inlineStr">
        <is>
          <t>Gujarat</t>
        </is>
      </c>
      <c r="M2220" s="9" t="inlineStr">
        <is>
          <t>PS</t>
        </is>
      </c>
      <c r="N2220" s="3" t="inlineStr">
        <is>
          <t>Cold Soldering</t>
        </is>
      </c>
      <c r="O2220" s="62" t="n">
        <v>540</v>
      </c>
      <c r="P2220" s="9" t="inlineStr">
        <is>
          <t>NSMP2305132199</t>
        </is>
      </c>
      <c r="Q2220" s="53">
        <f>MID(P2220,5,2)</f>
        <v/>
      </c>
      <c r="R2220" s="53">
        <f>MID(P2220,7,2)</f>
        <v/>
      </c>
      <c r="S2220" s="3" t="inlineStr">
        <is>
          <t>G2B</t>
        </is>
      </c>
      <c r="T2220" s="3" t="inlineStr">
        <is>
          <t>P2</t>
        </is>
      </c>
      <c r="U2220" s="3" t="inlineStr">
        <is>
          <t>P JB Cold Soldering</t>
        </is>
      </c>
      <c r="V2220" s="3" t="inlineStr">
        <is>
          <t>Soldering</t>
        </is>
      </c>
      <c r="W2220" s="3" t="inlineStr">
        <is>
          <t>Repair</t>
        </is>
      </c>
      <c r="X2220" s="18" t="n">
        <v>46169</v>
      </c>
      <c r="Y2220" s="3">
        <f>X2220-A2220</f>
        <v/>
      </c>
      <c r="Z2220" s="18" t="n">
        <v>46169</v>
      </c>
      <c r="AA2220" s="15" t="n"/>
      <c r="AB2220" s="15" t="n"/>
    </row>
    <row r="2221">
      <c r="A2221" s="59" t="n">
        <v>46148</v>
      </c>
      <c r="B2221" s="3" t="n">
        <v>2026</v>
      </c>
      <c r="C2221" s="21" t="inlineStr">
        <is>
          <t>Continuum</t>
        </is>
      </c>
      <c r="D2221" s="3" t="inlineStr">
        <is>
          <t>Utility and C&amp;I</t>
        </is>
      </c>
      <c r="E2221" s="3" t="n"/>
      <c r="F2221" s="3" t="inlineStr">
        <is>
          <t>Closed</t>
        </is>
      </c>
      <c r="G2221" s="21" t="inlineStr">
        <is>
          <t>Amiya Ranjan Behera</t>
        </is>
      </c>
      <c r="H2221" s="21" t="n">
        <v>8917436223</v>
      </c>
      <c r="I2221" s="38" t="inlineStr">
        <is>
          <t>PE06052602</t>
        </is>
      </c>
      <c r="J2221" s="21" t="inlineStr">
        <is>
          <t>Diode Bypass Module Issue</t>
        </is>
      </c>
      <c r="K2221" s="21" t="inlineStr">
        <is>
          <t>Bhavnagar</t>
        </is>
      </c>
      <c r="L2221" s="21" t="inlineStr">
        <is>
          <t>Gujarat</t>
        </is>
      </c>
      <c r="M2221" s="9" t="inlineStr">
        <is>
          <t>PS</t>
        </is>
      </c>
      <c r="N2221" s="3" t="inlineStr">
        <is>
          <t>Cold Soldering</t>
        </is>
      </c>
      <c r="O2221" s="62" t="n">
        <v>540</v>
      </c>
      <c r="P2221" s="9" t="inlineStr">
        <is>
          <t>NSMP2305189480</t>
        </is>
      </c>
      <c r="Q2221" s="53">
        <f>MID(P2221,5,2)</f>
        <v/>
      </c>
      <c r="R2221" s="53">
        <f>MID(P2221,7,2)</f>
        <v/>
      </c>
      <c r="S2221" s="3" t="inlineStr">
        <is>
          <t>G2B</t>
        </is>
      </c>
      <c r="T2221" s="3" t="inlineStr">
        <is>
          <t>P2</t>
        </is>
      </c>
      <c r="U2221" s="3" t="inlineStr">
        <is>
          <t>P JB Cold Soldering</t>
        </is>
      </c>
      <c r="V2221" s="3" t="inlineStr">
        <is>
          <t>Soldering</t>
        </is>
      </c>
      <c r="W2221" s="3" t="inlineStr">
        <is>
          <t>Repair</t>
        </is>
      </c>
      <c r="X2221" s="18" t="n">
        <v>46169</v>
      </c>
      <c r="Y2221" s="3">
        <f>X2221-A2221</f>
        <v/>
      </c>
      <c r="Z2221" s="18" t="n">
        <v>46169</v>
      </c>
      <c r="AA2221" s="15" t="n"/>
      <c r="AB2221" s="15" t="n"/>
    </row>
    <row r="2222">
      <c r="A2222" s="59" t="n">
        <v>46148</v>
      </c>
      <c r="B2222" s="3" t="n">
        <v>2026</v>
      </c>
      <c r="C2222" s="21" t="inlineStr">
        <is>
          <t>Continuum</t>
        </is>
      </c>
      <c r="D2222" s="3" t="inlineStr">
        <is>
          <t>Utility and C&amp;I</t>
        </is>
      </c>
      <c r="E2222" s="3" t="n"/>
      <c r="F2222" s="3" t="inlineStr">
        <is>
          <t>Closed</t>
        </is>
      </c>
      <c r="G2222" s="21" t="inlineStr">
        <is>
          <t>Amiya Ranjan Behera</t>
        </is>
      </c>
      <c r="H2222" s="21" t="n">
        <v>8917436223</v>
      </c>
      <c r="I2222" s="38" t="inlineStr">
        <is>
          <t>PE06052602</t>
        </is>
      </c>
      <c r="J2222" s="21" t="inlineStr">
        <is>
          <t>Diode Bypass Module Issue</t>
        </is>
      </c>
      <c r="K2222" s="21" t="inlineStr">
        <is>
          <t>Bhavnagar</t>
        </is>
      </c>
      <c r="L2222" s="21" t="inlineStr">
        <is>
          <t>Gujarat</t>
        </is>
      </c>
      <c r="M2222" s="9" t="inlineStr">
        <is>
          <t>PS</t>
        </is>
      </c>
      <c r="N2222" s="3" t="inlineStr">
        <is>
          <t>Cold Soldering</t>
        </is>
      </c>
      <c r="O2222" s="62" t="n">
        <v>540</v>
      </c>
      <c r="P2222" s="9" t="inlineStr">
        <is>
          <t>NSMP2305132147</t>
        </is>
      </c>
      <c r="Q2222" s="53">
        <f>MID(P2222,5,2)</f>
        <v/>
      </c>
      <c r="R2222" s="53">
        <f>MID(P2222,7,2)</f>
        <v/>
      </c>
      <c r="S2222" s="3" t="inlineStr">
        <is>
          <t>G2B</t>
        </is>
      </c>
      <c r="T2222" s="3" t="inlineStr">
        <is>
          <t>P2</t>
        </is>
      </c>
      <c r="U2222" s="3" t="inlineStr">
        <is>
          <t>P JB Cold Soldering</t>
        </is>
      </c>
      <c r="V2222" s="3" t="inlineStr">
        <is>
          <t>Soldering</t>
        </is>
      </c>
      <c r="W2222" s="3" t="inlineStr">
        <is>
          <t>Repair</t>
        </is>
      </c>
      <c r="X2222" s="18" t="n">
        <v>46169</v>
      </c>
      <c r="Y2222" s="3">
        <f>X2222-A2222</f>
        <v/>
      </c>
      <c r="Z2222" s="18" t="n">
        <v>46169</v>
      </c>
      <c r="AA2222" s="15" t="n"/>
      <c r="AB2222" s="15" t="n"/>
    </row>
    <row r="2223">
      <c r="A2223" s="59" t="n">
        <v>46148</v>
      </c>
      <c r="B2223" s="3" t="n">
        <v>2026</v>
      </c>
      <c r="C2223" s="21" t="inlineStr">
        <is>
          <t>Continuum</t>
        </is>
      </c>
      <c r="D2223" s="3" t="inlineStr">
        <is>
          <t>Utility and C&amp;I</t>
        </is>
      </c>
      <c r="E2223" s="3" t="n"/>
      <c r="F2223" s="3" t="inlineStr">
        <is>
          <t>Closed</t>
        </is>
      </c>
      <c r="G2223" s="21" t="inlineStr">
        <is>
          <t>Amiya Ranjan Behera</t>
        </is>
      </c>
      <c r="H2223" s="21" t="n">
        <v>8917436223</v>
      </c>
      <c r="I2223" s="38" t="inlineStr">
        <is>
          <t>PE06052602</t>
        </is>
      </c>
      <c r="J2223" s="21" t="inlineStr">
        <is>
          <t>Diode Bypass Module Issue</t>
        </is>
      </c>
      <c r="K2223" s="21" t="inlineStr">
        <is>
          <t>Bhavnagar</t>
        </is>
      </c>
      <c r="L2223" s="21" t="inlineStr">
        <is>
          <t>Gujarat</t>
        </is>
      </c>
      <c r="M2223" s="9" t="inlineStr">
        <is>
          <t>PS</t>
        </is>
      </c>
      <c r="N2223" s="3" t="inlineStr">
        <is>
          <t>Cold Soldering</t>
        </is>
      </c>
      <c r="O2223" s="62" t="n">
        <v>540</v>
      </c>
      <c r="P2223" s="9" t="inlineStr">
        <is>
          <t>NSMP2305189551</t>
        </is>
      </c>
      <c r="Q2223" s="53">
        <f>MID(P2223,5,2)</f>
        <v/>
      </c>
      <c r="R2223" s="53">
        <f>MID(P2223,7,2)</f>
        <v/>
      </c>
      <c r="S2223" s="3" t="inlineStr">
        <is>
          <t>G2B</t>
        </is>
      </c>
      <c r="T2223" s="3" t="inlineStr">
        <is>
          <t>P2</t>
        </is>
      </c>
      <c r="U2223" s="3" t="inlineStr">
        <is>
          <t>P JB Cold Soldering</t>
        </is>
      </c>
      <c r="V2223" s="3" t="inlineStr">
        <is>
          <t>Soldering</t>
        </is>
      </c>
      <c r="W2223" s="3" t="inlineStr">
        <is>
          <t>Repair</t>
        </is>
      </c>
      <c r="X2223" s="18" t="n">
        <v>46169</v>
      </c>
      <c r="Y2223" s="3">
        <f>X2223-A2223</f>
        <v/>
      </c>
      <c r="Z2223" s="18" t="n">
        <v>46169</v>
      </c>
      <c r="AA2223" s="15" t="n"/>
      <c r="AB2223" s="15" t="n"/>
    </row>
    <row r="2224">
      <c r="A2224" s="59" t="n">
        <v>46148</v>
      </c>
      <c r="B2224" s="3" t="n">
        <v>2026</v>
      </c>
      <c r="C2224" s="21" t="inlineStr">
        <is>
          <t>Continuum</t>
        </is>
      </c>
      <c r="D2224" s="3" t="inlineStr">
        <is>
          <t>Utility and C&amp;I</t>
        </is>
      </c>
      <c r="E2224" s="3" t="n"/>
      <c r="F2224" s="3" t="inlineStr">
        <is>
          <t>Closed</t>
        </is>
      </c>
      <c r="G2224" s="21" t="inlineStr">
        <is>
          <t>Amiya Ranjan Behera</t>
        </is>
      </c>
      <c r="H2224" s="21" t="n">
        <v>8917436223</v>
      </c>
      <c r="I2224" s="38" t="inlineStr">
        <is>
          <t>PE06052602</t>
        </is>
      </c>
      <c r="J2224" s="21" t="inlineStr">
        <is>
          <t>Diode Bypass Module Issue</t>
        </is>
      </c>
      <c r="K2224" s="21" t="inlineStr">
        <is>
          <t>Bhavnagar</t>
        </is>
      </c>
      <c r="L2224" s="21" t="inlineStr">
        <is>
          <t>Gujarat</t>
        </is>
      </c>
      <c r="M2224" s="9" t="inlineStr">
        <is>
          <t>PS</t>
        </is>
      </c>
      <c r="N2224" s="3" t="inlineStr">
        <is>
          <t>Cold Soldering</t>
        </is>
      </c>
      <c r="O2224" s="62" t="n">
        <v>540</v>
      </c>
      <c r="P2224" s="9" t="inlineStr">
        <is>
          <t>NSMP2305189534</t>
        </is>
      </c>
      <c r="Q2224" s="53">
        <f>MID(P2224,5,2)</f>
        <v/>
      </c>
      <c r="R2224" s="53">
        <f>MID(P2224,7,2)</f>
        <v/>
      </c>
      <c r="S2224" s="3" t="inlineStr">
        <is>
          <t>G2B</t>
        </is>
      </c>
      <c r="T2224" s="3" t="inlineStr">
        <is>
          <t>P2</t>
        </is>
      </c>
      <c r="U2224" s="3" t="inlineStr">
        <is>
          <t>P JB Cold Soldering</t>
        </is>
      </c>
      <c r="V2224" s="3" t="inlineStr">
        <is>
          <t>Soldering</t>
        </is>
      </c>
      <c r="W2224" s="3" t="inlineStr">
        <is>
          <t>Repair</t>
        </is>
      </c>
      <c r="X2224" s="18" t="n">
        <v>46169</v>
      </c>
      <c r="Y2224" s="3">
        <f>X2224-A2224</f>
        <v/>
      </c>
      <c r="Z2224" s="18" t="n">
        <v>46169</v>
      </c>
      <c r="AA2224" s="15" t="n"/>
      <c r="AB2224" s="15" t="n"/>
    </row>
    <row r="2225">
      <c r="A2225" s="59" t="n">
        <v>46148</v>
      </c>
      <c r="B2225" s="3" t="n">
        <v>2026</v>
      </c>
      <c r="C2225" s="21" t="inlineStr">
        <is>
          <t>Continuum</t>
        </is>
      </c>
      <c r="D2225" s="3" t="inlineStr">
        <is>
          <t>Utility and C&amp;I</t>
        </is>
      </c>
      <c r="E2225" s="3" t="n"/>
      <c r="F2225" s="3" t="inlineStr">
        <is>
          <t>Closed</t>
        </is>
      </c>
      <c r="G2225" s="21" t="inlineStr">
        <is>
          <t>Amiya Ranjan Behera</t>
        </is>
      </c>
      <c r="H2225" s="21" t="n">
        <v>8917436223</v>
      </c>
      <c r="I2225" s="38" t="inlineStr">
        <is>
          <t>PE06052602</t>
        </is>
      </c>
      <c r="J2225" s="21" t="inlineStr">
        <is>
          <t>Diode Bypass Module Issue</t>
        </is>
      </c>
      <c r="K2225" s="21" t="inlineStr">
        <is>
          <t>Bhavnagar</t>
        </is>
      </c>
      <c r="L2225" s="21" t="inlineStr">
        <is>
          <t>Gujarat</t>
        </is>
      </c>
      <c r="M2225" s="9" t="inlineStr">
        <is>
          <t>PS</t>
        </is>
      </c>
      <c r="N2225" s="3" t="inlineStr">
        <is>
          <t>Cold Soldering</t>
        </is>
      </c>
      <c r="O2225" s="62" t="n">
        <v>540</v>
      </c>
      <c r="P2225" s="9" t="inlineStr">
        <is>
          <t>NSMP2305189591</t>
        </is>
      </c>
      <c r="Q2225" s="53">
        <f>MID(P2225,5,2)</f>
        <v/>
      </c>
      <c r="R2225" s="53">
        <f>MID(P2225,7,2)</f>
        <v/>
      </c>
      <c r="S2225" s="3" t="inlineStr">
        <is>
          <t>G2B</t>
        </is>
      </c>
      <c r="T2225" s="3" t="inlineStr">
        <is>
          <t>P2</t>
        </is>
      </c>
      <c r="U2225" s="3" t="inlineStr">
        <is>
          <t>P JB Cold Soldering</t>
        </is>
      </c>
      <c r="V2225" s="3" t="inlineStr">
        <is>
          <t>Soldering</t>
        </is>
      </c>
      <c r="W2225" s="3" t="inlineStr">
        <is>
          <t>Repair</t>
        </is>
      </c>
      <c r="X2225" s="18" t="n">
        <v>46169</v>
      </c>
      <c r="Y2225" s="3">
        <f>X2225-A2225</f>
        <v/>
      </c>
      <c r="Z2225" s="18" t="n">
        <v>46169</v>
      </c>
      <c r="AA2225" s="15" t="n"/>
      <c r="AB2225" s="15" t="n"/>
    </row>
    <row r="2226">
      <c r="A2226" s="59" t="n">
        <v>46148</v>
      </c>
      <c r="B2226" s="3" t="n">
        <v>2026</v>
      </c>
      <c r="C2226" s="21" t="inlineStr">
        <is>
          <t>Continuum</t>
        </is>
      </c>
      <c r="D2226" s="3" t="inlineStr">
        <is>
          <t>Utility and C&amp;I</t>
        </is>
      </c>
      <c r="E2226" s="3" t="n"/>
      <c r="F2226" s="3" t="inlineStr">
        <is>
          <t>Closed</t>
        </is>
      </c>
      <c r="G2226" s="21" t="inlineStr">
        <is>
          <t>Amiya Ranjan Behera</t>
        </is>
      </c>
      <c r="H2226" s="21" t="n">
        <v>8917436223</v>
      </c>
      <c r="I2226" s="38" t="inlineStr">
        <is>
          <t>PE06052602</t>
        </is>
      </c>
      <c r="J2226" s="21" t="inlineStr">
        <is>
          <t>Diode Bypass Module Issue</t>
        </is>
      </c>
      <c r="K2226" s="21" t="inlineStr">
        <is>
          <t>Bhavnagar</t>
        </is>
      </c>
      <c r="L2226" s="21" t="inlineStr">
        <is>
          <t>Gujarat</t>
        </is>
      </c>
      <c r="M2226" s="9" t="inlineStr">
        <is>
          <t>PS</t>
        </is>
      </c>
      <c r="N2226" s="3" t="inlineStr">
        <is>
          <t>Cold Soldering</t>
        </is>
      </c>
      <c r="O2226" s="62" t="n">
        <v>540</v>
      </c>
      <c r="P2226" s="9" t="inlineStr">
        <is>
          <t>NSMP2305189594</t>
        </is>
      </c>
      <c r="Q2226" s="53">
        <f>MID(P2226,5,2)</f>
        <v/>
      </c>
      <c r="R2226" s="53">
        <f>MID(P2226,7,2)</f>
        <v/>
      </c>
      <c r="S2226" s="3" t="inlineStr">
        <is>
          <t>G2B</t>
        </is>
      </c>
      <c r="T2226" s="3" t="inlineStr">
        <is>
          <t>P2</t>
        </is>
      </c>
      <c r="U2226" s="3" t="inlineStr">
        <is>
          <t>P JB Cold Soldering</t>
        </is>
      </c>
      <c r="V2226" s="3" t="inlineStr">
        <is>
          <t>Soldering</t>
        </is>
      </c>
      <c r="W2226" s="3" t="inlineStr">
        <is>
          <t>Repair</t>
        </is>
      </c>
      <c r="X2226" s="18" t="n">
        <v>46169</v>
      </c>
      <c r="Y2226" s="3">
        <f>X2226-A2226</f>
        <v/>
      </c>
      <c r="Z2226" s="18" t="n">
        <v>46169</v>
      </c>
      <c r="AA2226" s="15" t="n"/>
      <c r="AB2226" s="15" t="n"/>
    </row>
    <row r="2227">
      <c r="A2227" s="59" t="n">
        <v>46148</v>
      </c>
      <c r="B2227" s="3" t="n">
        <v>2026</v>
      </c>
      <c r="C2227" s="21" t="inlineStr">
        <is>
          <t>Continuum</t>
        </is>
      </c>
      <c r="D2227" s="3" t="inlineStr">
        <is>
          <t>Utility and C&amp;I</t>
        </is>
      </c>
      <c r="E2227" s="3" t="n"/>
      <c r="F2227" s="3" t="inlineStr">
        <is>
          <t>Closed</t>
        </is>
      </c>
      <c r="G2227" s="21" t="inlineStr">
        <is>
          <t>Amiya Ranjan Behera</t>
        </is>
      </c>
      <c r="H2227" s="21" t="n">
        <v>8917436223</v>
      </c>
      <c r="I2227" s="38" t="inlineStr">
        <is>
          <t>PE06052602</t>
        </is>
      </c>
      <c r="J2227" s="21" t="inlineStr">
        <is>
          <t>Diode Bypass Module Issue</t>
        </is>
      </c>
      <c r="K2227" s="21" t="inlineStr">
        <is>
          <t>Bhavnagar</t>
        </is>
      </c>
      <c r="L2227" s="21" t="inlineStr">
        <is>
          <t>Gujarat</t>
        </is>
      </c>
      <c r="M2227" s="9" t="inlineStr">
        <is>
          <t>PS</t>
        </is>
      </c>
      <c r="N2227" s="3" t="inlineStr">
        <is>
          <t>Cold Soldering</t>
        </is>
      </c>
      <c r="O2227" s="62" t="n">
        <v>540</v>
      </c>
      <c r="P2227" s="9" t="inlineStr">
        <is>
          <t>NSMP2305129993</t>
        </is>
      </c>
      <c r="Q2227" s="53">
        <f>MID(P2227,5,2)</f>
        <v/>
      </c>
      <c r="R2227" s="53">
        <f>MID(P2227,7,2)</f>
        <v/>
      </c>
      <c r="S2227" s="3" t="inlineStr">
        <is>
          <t>G2B</t>
        </is>
      </c>
      <c r="T2227" s="3" t="inlineStr">
        <is>
          <t>P2</t>
        </is>
      </c>
      <c r="U2227" s="3" t="inlineStr">
        <is>
          <t>P JB Cold Soldering</t>
        </is>
      </c>
      <c r="V2227" s="3" t="inlineStr">
        <is>
          <t>Soldering</t>
        </is>
      </c>
      <c r="W2227" s="3" t="inlineStr">
        <is>
          <t>Repair</t>
        </is>
      </c>
      <c r="X2227" s="18" t="n">
        <v>46169</v>
      </c>
      <c r="Y2227" s="3">
        <f>X2227-A2227</f>
        <v/>
      </c>
      <c r="Z2227" s="18" t="n">
        <v>46169</v>
      </c>
      <c r="AA2227" s="15" t="n"/>
      <c r="AB2227" s="15" t="n"/>
    </row>
    <row r="2228">
      <c r="A2228" s="59" t="n">
        <v>46148</v>
      </c>
      <c r="B2228" s="3" t="n">
        <v>2026</v>
      </c>
      <c r="C2228" s="21" t="inlineStr">
        <is>
          <t>Continuum</t>
        </is>
      </c>
      <c r="D2228" s="3" t="inlineStr">
        <is>
          <t>Utility and C&amp;I</t>
        </is>
      </c>
      <c r="E2228" s="3" t="n"/>
      <c r="F2228" s="3" t="inlineStr">
        <is>
          <t>Closed</t>
        </is>
      </c>
      <c r="G2228" s="21" t="inlineStr">
        <is>
          <t>Amiya Ranjan Behera</t>
        </is>
      </c>
      <c r="H2228" s="21" t="n">
        <v>8917436223</v>
      </c>
      <c r="I2228" s="38" t="inlineStr">
        <is>
          <t>PE06052602</t>
        </is>
      </c>
      <c r="J2228" s="21" t="inlineStr">
        <is>
          <t>Diode Bypass Module Issue</t>
        </is>
      </c>
      <c r="K2228" s="21" t="inlineStr">
        <is>
          <t>Bhavnagar</t>
        </is>
      </c>
      <c r="L2228" s="21" t="inlineStr">
        <is>
          <t>Gujarat</t>
        </is>
      </c>
      <c r="M2228" s="9" t="inlineStr">
        <is>
          <t>PS</t>
        </is>
      </c>
      <c r="N2228" s="3" t="inlineStr">
        <is>
          <t>Cold Soldering</t>
        </is>
      </c>
      <c r="O2228" s="62" t="n">
        <v>540</v>
      </c>
      <c r="P2228" s="9" t="inlineStr">
        <is>
          <t>NSMP2305129944</t>
        </is>
      </c>
      <c r="Q2228" s="53">
        <f>MID(P2228,5,2)</f>
        <v/>
      </c>
      <c r="R2228" s="53">
        <f>MID(P2228,7,2)</f>
        <v/>
      </c>
      <c r="S2228" s="3" t="inlineStr">
        <is>
          <t>G2B</t>
        </is>
      </c>
      <c r="T2228" s="3" t="inlineStr">
        <is>
          <t>P2</t>
        </is>
      </c>
      <c r="U2228" s="3" t="inlineStr">
        <is>
          <t>P JB Cold Soldering</t>
        </is>
      </c>
      <c r="V2228" s="3" t="inlineStr">
        <is>
          <t>Soldering</t>
        </is>
      </c>
      <c r="W2228" s="3" t="inlineStr">
        <is>
          <t>Repair</t>
        </is>
      </c>
      <c r="X2228" s="18" t="n">
        <v>46169</v>
      </c>
      <c r="Y2228" s="3">
        <f>X2228-A2228</f>
        <v/>
      </c>
      <c r="Z2228" s="18" t="n">
        <v>46169</v>
      </c>
      <c r="AA2228" s="15" t="n"/>
      <c r="AB2228" s="15" t="n"/>
    </row>
    <row r="2229">
      <c r="A2229" s="59" t="n">
        <v>46148</v>
      </c>
      <c r="B2229" s="3" t="n">
        <v>2026</v>
      </c>
      <c r="C2229" s="21" t="inlineStr">
        <is>
          <t>Continuum</t>
        </is>
      </c>
      <c r="D2229" s="3" t="inlineStr">
        <is>
          <t>Utility and C&amp;I</t>
        </is>
      </c>
      <c r="E2229" s="3" t="n"/>
      <c r="F2229" s="3" t="inlineStr">
        <is>
          <t>Closed</t>
        </is>
      </c>
      <c r="G2229" s="21" t="inlineStr">
        <is>
          <t>Amiya Ranjan Behera</t>
        </is>
      </c>
      <c r="H2229" s="21" t="n">
        <v>8917436223</v>
      </c>
      <c r="I2229" s="38" t="inlineStr">
        <is>
          <t>PE06052602</t>
        </is>
      </c>
      <c r="J2229" s="21" t="inlineStr">
        <is>
          <t>Diode Bypass Module Issue</t>
        </is>
      </c>
      <c r="K2229" s="21" t="inlineStr">
        <is>
          <t>Bhavnagar</t>
        </is>
      </c>
      <c r="L2229" s="21" t="inlineStr">
        <is>
          <t>Gujarat</t>
        </is>
      </c>
      <c r="M2229" s="9" t="inlineStr">
        <is>
          <t>PR</t>
        </is>
      </c>
      <c r="N2229" s="3" t="inlineStr">
        <is>
          <t>JB Issue</t>
        </is>
      </c>
      <c r="O2229" s="62" t="n">
        <v>540</v>
      </c>
      <c r="P2229" s="9" t="inlineStr">
        <is>
          <t>NSMP2305129890</t>
        </is>
      </c>
      <c r="Q2229" s="53">
        <f>MID(P2229,5,2)</f>
        <v/>
      </c>
      <c r="R2229" s="53">
        <f>MID(P2229,7,2)</f>
        <v/>
      </c>
      <c r="S2229" s="3" t="inlineStr">
        <is>
          <t>G2B</t>
        </is>
      </c>
      <c r="T2229" s="3" t="inlineStr">
        <is>
          <t>P2</t>
        </is>
      </c>
      <c r="U2229" s="3" t="inlineStr">
        <is>
          <t>P JB Issue</t>
        </is>
      </c>
      <c r="V2229" s="15" t="inlineStr">
        <is>
          <t>JB Changed</t>
        </is>
      </c>
      <c r="W2229" s="3" t="inlineStr">
        <is>
          <t>Repair</t>
        </is>
      </c>
      <c r="X2229" s="18" t="n">
        <v>46169</v>
      </c>
      <c r="Y2229" s="3">
        <f>X2229-A2229</f>
        <v/>
      </c>
      <c r="Z2229" s="18" t="n">
        <v>46169</v>
      </c>
      <c r="AA2229" s="15" t="n"/>
      <c r="AB2229" s="15" t="n"/>
    </row>
    <row r="2230">
      <c r="A2230" s="59" t="n">
        <v>46148</v>
      </c>
      <c r="B2230" s="3" t="n">
        <v>2026</v>
      </c>
      <c r="C2230" s="21" t="inlineStr">
        <is>
          <t>Continuum</t>
        </is>
      </c>
      <c r="D2230" s="3" t="inlineStr">
        <is>
          <t>Utility and C&amp;I</t>
        </is>
      </c>
      <c r="E2230" s="3" t="n"/>
      <c r="F2230" s="3" t="inlineStr">
        <is>
          <t>Closed</t>
        </is>
      </c>
      <c r="G2230" s="21" t="inlineStr">
        <is>
          <t>Amiya Ranjan Behera</t>
        </is>
      </c>
      <c r="H2230" s="21" t="n">
        <v>8917436223</v>
      </c>
      <c r="I2230" s="38" t="inlineStr">
        <is>
          <t>PE06052602</t>
        </is>
      </c>
      <c r="J2230" s="21" t="inlineStr">
        <is>
          <t>Diode Bypass Module Issue</t>
        </is>
      </c>
      <c r="K2230" s="21" t="inlineStr">
        <is>
          <t>Bhavnagar</t>
        </is>
      </c>
      <c r="L2230" s="21" t="inlineStr">
        <is>
          <t>Gujarat</t>
        </is>
      </c>
      <c r="M2230" s="9" t="inlineStr">
        <is>
          <t>PNR</t>
        </is>
      </c>
      <c r="N2230" s="19" t="inlineStr">
        <is>
          <t>JB Issue</t>
        </is>
      </c>
      <c r="O2230" s="62" t="n">
        <v>540</v>
      </c>
      <c r="P2230" s="9" t="inlineStr">
        <is>
          <t>NSMP2305126703</t>
        </is>
      </c>
      <c r="Q2230" s="53">
        <f>MID(P2230,5,2)</f>
        <v/>
      </c>
      <c r="R2230" s="53">
        <f>MID(P2230,7,2)</f>
        <v/>
      </c>
      <c r="S2230" s="3" t="inlineStr">
        <is>
          <t>G2B</t>
        </is>
      </c>
      <c r="T2230" s="3" t="inlineStr">
        <is>
          <t>P2</t>
        </is>
      </c>
      <c r="U2230" s="19" t="inlineStr">
        <is>
          <t>P &amp; N JB Issue</t>
        </is>
      </c>
      <c r="V2230" s="19" t="inlineStr">
        <is>
          <t>JB Changed</t>
        </is>
      </c>
      <c r="W2230" s="3" t="inlineStr">
        <is>
          <t>Repair</t>
        </is>
      </c>
      <c r="X2230" s="18" t="n">
        <v>46169</v>
      </c>
      <c r="Y2230" s="3">
        <f>X2230-A2230</f>
        <v/>
      </c>
      <c r="Z2230" s="18" t="n">
        <v>46169</v>
      </c>
      <c r="AA2230" s="15" t="n"/>
      <c r="AB2230" s="15" t="n"/>
    </row>
    <row r="2231">
      <c r="A2231" s="59" t="n">
        <v>46148</v>
      </c>
      <c r="B2231" s="3" t="n">
        <v>2026</v>
      </c>
      <c r="C2231" s="21" t="inlineStr">
        <is>
          <t>Continuum</t>
        </is>
      </c>
      <c r="D2231" s="3" t="inlineStr">
        <is>
          <t>Utility and C&amp;I</t>
        </is>
      </c>
      <c r="E2231" s="3" t="n"/>
      <c r="F2231" s="3" t="inlineStr">
        <is>
          <t>Closed</t>
        </is>
      </c>
      <c r="G2231" s="21" t="inlineStr">
        <is>
          <t>Amiya Ranjan Behera</t>
        </is>
      </c>
      <c r="H2231" s="21" t="n">
        <v>8917436223</v>
      </c>
      <c r="I2231" s="38" t="inlineStr">
        <is>
          <t>PE06052602</t>
        </is>
      </c>
      <c r="J2231" s="21" t="inlineStr">
        <is>
          <t>Diode Bypass Module Issue</t>
        </is>
      </c>
      <c r="K2231" s="21" t="inlineStr">
        <is>
          <t>Bhavnagar</t>
        </is>
      </c>
      <c r="L2231" s="21" t="inlineStr">
        <is>
          <t>Gujarat</t>
        </is>
      </c>
      <c r="M2231" s="9" t="inlineStr">
        <is>
          <t>OK</t>
        </is>
      </c>
      <c r="N2231" s="3" t="inlineStr">
        <is>
          <t>No Issue</t>
        </is>
      </c>
      <c r="O2231" s="62" t="n">
        <v>540</v>
      </c>
      <c r="P2231" s="9" t="inlineStr">
        <is>
          <t>NSMP2305123358</t>
        </is>
      </c>
      <c r="Q2231" s="53">
        <f>MID(P2231,5,2)</f>
        <v/>
      </c>
      <c r="R2231" s="53">
        <f>MID(P2231,7,2)</f>
        <v/>
      </c>
      <c r="S2231" s="3" t="inlineStr">
        <is>
          <t>G2B</t>
        </is>
      </c>
      <c r="T2231" s="3" t="inlineStr">
        <is>
          <t>P2</t>
        </is>
      </c>
      <c r="U2231" s="19" t="inlineStr">
        <is>
          <t>No Issue Found</t>
        </is>
      </c>
      <c r="V2231" s="19" t="inlineStr">
        <is>
          <t>Found OK</t>
        </is>
      </c>
      <c r="W2231" s="3" t="inlineStr">
        <is>
          <t>Repair</t>
        </is>
      </c>
      <c r="X2231" s="18" t="n">
        <v>46169</v>
      </c>
      <c r="Y2231" s="3">
        <f>X2231-A2231</f>
        <v/>
      </c>
      <c r="Z2231" s="18" t="n">
        <v>46169</v>
      </c>
      <c r="AA2231" s="15" t="n"/>
      <c r="AB2231" s="15" t="n"/>
    </row>
    <row r="2232">
      <c r="A2232" s="59" t="n">
        <v>46148</v>
      </c>
      <c r="B2232" s="3" t="n">
        <v>2026</v>
      </c>
      <c r="C2232" s="21" t="inlineStr">
        <is>
          <t>Continuum</t>
        </is>
      </c>
      <c r="D2232" s="3" t="inlineStr">
        <is>
          <t>Utility and C&amp;I</t>
        </is>
      </c>
      <c r="E2232" s="3" t="n"/>
      <c r="F2232" s="3" t="inlineStr">
        <is>
          <t>Closed</t>
        </is>
      </c>
      <c r="G2232" s="21" t="inlineStr">
        <is>
          <t>Amiya Ranjan Behera</t>
        </is>
      </c>
      <c r="H2232" s="21" t="n">
        <v>8917436223</v>
      </c>
      <c r="I2232" s="38" t="inlineStr">
        <is>
          <t>PE06052602</t>
        </is>
      </c>
      <c r="J2232" s="21" t="inlineStr">
        <is>
          <t>Diode Bypass Module Issue</t>
        </is>
      </c>
      <c r="K2232" s="21" t="inlineStr">
        <is>
          <t>Bhavnagar</t>
        </is>
      </c>
      <c r="L2232" s="21" t="inlineStr">
        <is>
          <t>Gujarat</t>
        </is>
      </c>
      <c r="M2232" s="9" t="inlineStr">
        <is>
          <t>OK</t>
        </is>
      </c>
      <c r="N2232" s="3" t="inlineStr">
        <is>
          <t>No Issue</t>
        </is>
      </c>
      <c r="O2232" s="62" t="n">
        <v>540</v>
      </c>
      <c r="P2232" s="9" t="inlineStr">
        <is>
          <t>NSMP2305123414</t>
        </is>
      </c>
      <c r="Q2232" s="53">
        <f>MID(P2232,5,2)</f>
        <v/>
      </c>
      <c r="R2232" s="53">
        <f>MID(P2232,7,2)</f>
        <v/>
      </c>
      <c r="S2232" s="3" t="inlineStr">
        <is>
          <t>G2B</t>
        </is>
      </c>
      <c r="T2232" s="3" t="inlineStr">
        <is>
          <t>P2</t>
        </is>
      </c>
      <c r="U2232" s="19" t="inlineStr">
        <is>
          <t>No Issue Found</t>
        </is>
      </c>
      <c r="V2232" s="19" t="inlineStr">
        <is>
          <t>Found OK</t>
        </is>
      </c>
      <c r="W2232" s="3" t="inlineStr">
        <is>
          <t>Repair</t>
        </is>
      </c>
      <c r="X2232" s="18" t="n">
        <v>46169</v>
      </c>
      <c r="Y2232" s="3">
        <f>X2232-A2232</f>
        <v/>
      </c>
      <c r="Z2232" s="18" t="n">
        <v>46169</v>
      </c>
      <c r="AA2232" s="15" t="n"/>
      <c r="AB2232" s="15" t="n"/>
    </row>
    <row r="2233">
      <c r="A2233" s="59" t="n">
        <v>46148</v>
      </c>
      <c r="B2233" s="3" t="n">
        <v>2026</v>
      </c>
      <c r="C2233" s="21" t="inlineStr">
        <is>
          <t>Continuum</t>
        </is>
      </c>
      <c r="D2233" s="3" t="inlineStr">
        <is>
          <t>Utility and C&amp;I</t>
        </is>
      </c>
      <c r="E2233" s="3" t="n"/>
      <c r="F2233" s="3" t="inlineStr">
        <is>
          <t>Closed</t>
        </is>
      </c>
      <c r="G2233" s="21" t="inlineStr">
        <is>
          <t>Amiya Ranjan Behera</t>
        </is>
      </c>
      <c r="H2233" s="21" t="n">
        <v>8917436223</v>
      </c>
      <c r="I2233" s="38" t="inlineStr">
        <is>
          <t>PE06052602</t>
        </is>
      </c>
      <c r="J2233" s="21" t="inlineStr">
        <is>
          <t>Diode Bypass Module Issue</t>
        </is>
      </c>
      <c r="K2233" s="21" t="inlineStr">
        <is>
          <t>Bhavnagar</t>
        </is>
      </c>
      <c r="L2233" s="21" t="inlineStr">
        <is>
          <t>Gujarat</t>
        </is>
      </c>
      <c r="M2233" s="9" t="inlineStr">
        <is>
          <t>OK</t>
        </is>
      </c>
      <c r="N2233" s="3" t="inlineStr">
        <is>
          <t>No Issue</t>
        </is>
      </c>
      <c r="O2233" s="62" t="n">
        <v>540</v>
      </c>
      <c r="P2233" s="9" t="inlineStr">
        <is>
          <t>NSMP2305123402</t>
        </is>
      </c>
      <c r="Q2233" s="53">
        <f>MID(P2233,5,2)</f>
        <v/>
      </c>
      <c r="R2233" s="53">
        <f>MID(P2233,7,2)</f>
        <v/>
      </c>
      <c r="S2233" s="3" t="inlineStr">
        <is>
          <t>G2B</t>
        </is>
      </c>
      <c r="T2233" s="3" t="inlineStr">
        <is>
          <t>P2</t>
        </is>
      </c>
      <c r="U2233" s="19" t="inlineStr">
        <is>
          <t>No Issue Found</t>
        </is>
      </c>
      <c r="V2233" s="19" t="inlineStr">
        <is>
          <t>Found OK</t>
        </is>
      </c>
      <c r="W2233" s="3" t="inlineStr">
        <is>
          <t>Repair</t>
        </is>
      </c>
      <c r="X2233" s="18" t="n">
        <v>46169</v>
      </c>
      <c r="Y2233" s="3">
        <f>X2233-A2233</f>
        <v/>
      </c>
      <c r="Z2233" s="18" t="n">
        <v>46169</v>
      </c>
      <c r="AA2233" s="15" t="n"/>
      <c r="AB2233" s="15" t="n"/>
    </row>
    <row r="2234">
      <c r="A2234" s="59" t="n">
        <v>46148</v>
      </c>
      <c r="B2234" s="3" t="n">
        <v>2026</v>
      </c>
      <c r="C2234" s="21" t="inlineStr">
        <is>
          <t>Continuum</t>
        </is>
      </c>
      <c r="D2234" s="3" t="inlineStr">
        <is>
          <t>Utility and C&amp;I</t>
        </is>
      </c>
      <c r="E2234" s="3" t="n"/>
      <c r="F2234" s="3" t="inlineStr">
        <is>
          <t>Closed</t>
        </is>
      </c>
      <c r="G2234" s="21" t="inlineStr">
        <is>
          <t>Amiya Ranjan Behera</t>
        </is>
      </c>
      <c r="H2234" s="21" t="n">
        <v>8917436223</v>
      </c>
      <c r="I2234" s="38" t="inlineStr">
        <is>
          <t>PE06052602</t>
        </is>
      </c>
      <c r="J2234" s="21" t="inlineStr">
        <is>
          <t>Diode Bypass Module Issue</t>
        </is>
      </c>
      <c r="K2234" s="21" t="inlineStr">
        <is>
          <t>Bhavnagar</t>
        </is>
      </c>
      <c r="L2234" s="21" t="inlineStr">
        <is>
          <t>Gujarat</t>
        </is>
      </c>
      <c r="M2234" s="9" t="inlineStr">
        <is>
          <t>PS</t>
        </is>
      </c>
      <c r="N2234" s="3" t="inlineStr">
        <is>
          <t>Cold Soldering</t>
        </is>
      </c>
      <c r="O2234" s="62" t="n">
        <v>540</v>
      </c>
      <c r="P2234" s="9" t="inlineStr">
        <is>
          <t>NSMP2305129382</t>
        </is>
      </c>
      <c r="Q2234" s="53">
        <f>MID(P2234,5,2)</f>
        <v/>
      </c>
      <c r="R2234" s="53">
        <f>MID(P2234,7,2)</f>
        <v/>
      </c>
      <c r="S2234" s="3" t="inlineStr">
        <is>
          <t>G2B</t>
        </is>
      </c>
      <c r="T2234" s="3" t="inlineStr">
        <is>
          <t>P2</t>
        </is>
      </c>
      <c r="U2234" s="3" t="inlineStr">
        <is>
          <t>P JB Cold Soldering</t>
        </is>
      </c>
      <c r="V2234" s="3" t="inlineStr">
        <is>
          <t>Soldering</t>
        </is>
      </c>
      <c r="W2234" s="3" t="inlineStr">
        <is>
          <t>Repair</t>
        </is>
      </c>
      <c r="X2234" s="18" t="n">
        <v>46169</v>
      </c>
      <c r="Y2234" s="3">
        <f>X2234-A2234</f>
        <v/>
      </c>
      <c r="Z2234" s="18" t="n">
        <v>46169</v>
      </c>
      <c r="AA2234" s="15" t="n"/>
      <c r="AB2234" s="15" t="n"/>
    </row>
    <row r="2235">
      <c r="A2235" s="59" t="n">
        <v>46148</v>
      </c>
      <c r="B2235" s="3" t="n">
        <v>2026</v>
      </c>
      <c r="C2235" s="21" t="inlineStr">
        <is>
          <t>Continuum</t>
        </is>
      </c>
      <c r="D2235" s="3" t="inlineStr">
        <is>
          <t>Utility and C&amp;I</t>
        </is>
      </c>
      <c r="E2235" s="3" t="n"/>
      <c r="F2235" s="3" t="inlineStr">
        <is>
          <t>Closed</t>
        </is>
      </c>
      <c r="G2235" s="21" t="inlineStr">
        <is>
          <t>Amiya Ranjan Behera</t>
        </is>
      </c>
      <c r="H2235" s="21" t="n">
        <v>8917436223</v>
      </c>
      <c r="I2235" s="38" t="inlineStr">
        <is>
          <t>PE06052602</t>
        </is>
      </c>
      <c r="J2235" s="21" t="inlineStr">
        <is>
          <t>Diode Bypass Module Issue</t>
        </is>
      </c>
      <c r="K2235" s="21" t="inlineStr">
        <is>
          <t>Bhavnagar</t>
        </is>
      </c>
      <c r="L2235" s="21" t="inlineStr">
        <is>
          <t>Gujarat</t>
        </is>
      </c>
      <c r="M2235" s="9" t="inlineStr">
        <is>
          <t>PS</t>
        </is>
      </c>
      <c r="N2235" s="3" t="inlineStr">
        <is>
          <t>Cold Soldering</t>
        </is>
      </c>
      <c r="O2235" s="62" t="n">
        <v>540</v>
      </c>
      <c r="P2235" s="9" t="inlineStr">
        <is>
          <t>NSMP2305129413</t>
        </is>
      </c>
      <c r="Q2235" s="53">
        <f>MID(P2235,5,2)</f>
        <v/>
      </c>
      <c r="R2235" s="53">
        <f>MID(P2235,7,2)</f>
        <v/>
      </c>
      <c r="S2235" s="3" t="inlineStr">
        <is>
          <t>G2B</t>
        </is>
      </c>
      <c r="T2235" s="3" t="inlineStr">
        <is>
          <t>P2</t>
        </is>
      </c>
      <c r="U2235" s="3" t="inlineStr">
        <is>
          <t>P JB Cold Soldering</t>
        </is>
      </c>
      <c r="V2235" s="3" t="inlineStr">
        <is>
          <t>Soldering</t>
        </is>
      </c>
      <c r="W2235" s="3" t="inlineStr">
        <is>
          <t>Repair</t>
        </is>
      </c>
      <c r="X2235" s="18" t="n">
        <v>46169</v>
      </c>
      <c r="Y2235" s="3">
        <f>X2235-A2235</f>
        <v/>
      </c>
      <c r="Z2235" s="18" t="n">
        <v>46169</v>
      </c>
      <c r="AA2235" s="15" t="n"/>
      <c r="AB2235" s="15" t="n"/>
    </row>
    <row r="2236">
      <c r="A2236" s="59" t="n">
        <v>46148</v>
      </c>
      <c r="B2236" s="3" t="n">
        <v>2026</v>
      </c>
      <c r="C2236" s="21" t="inlineStr">
        <is>
          <t>Continuum</t>
        </is>
      </c>
      <c r="D2236" s="3" t="inlineStr">
        <is>
          <t>Utility and C&amp;I</t>
        </is>
      </c>
      <c r="E2236" s="3" t="n"/>
      <c r="F2236" s="3" t="inlineStr">
        <is>
          <t>Closed</t>
        </is>
      </c>
      <c r="G2236" s="21" t="inlineStr">
        <is>
          <t>Amiya Ranjan Behera</t>
        </is>
      </c>
      <c r="H2236" s="21" t="n">
        <v>8917436223</v>
      </c>
      <c r="I2236" s="38" t="inlineStr">
        <is>
          <t>PE06052602</t>
        </is>
      </c>
      <c r="J2236" s="21" t="inlineStr">
        <is>
          <t>Diode Bypass Module Issue</t>
        </is>
      </c>
      <c r="K2236" s="21" t="inlineStr">
        <is>
          <t>Bhavnagar</t>
        </is>
      </c>
      <c r="L2236" s="21" t="inlineStr">
        <is>
          <t>Gujarat</t>
        </is>
      </c>
      <c r="M2236" s="9" t="inlineStr">
        <is>
          <t>PS</t>
        </is>
      </c>
      <c r="N2236" s="3" t="inlineStr">
        <is>
          <t>Cold Soldering</t>
        </is>
      </c>
      <c r="O2236" s="62" t="n">
        <v>540</v>
      </c>
      <c r="P2236" s="9" t="inlineStr">
        <is>
          <t>NSMP2305130381</t>
        </is>
      </c>
      <c r="Q2236" s="53">
        <f>MID(P2236,5,2)</f>
        <v/>
      </c>
      <c r="R2236" s="53">
        <f>MID(P2236,7,2)</f>
        <v/>
      </c>
      <c r="S2236" s="3" t="inlineStr">
        <is>
          <t>G2B</t>
        </is>
      </c>
      <c r="T2236" s="3" t="inlineStr">
        <is>
          <t>P2</t>
        </is>
      </c>
      <c r="U2236" s="3" t="inlineStr">
        <is>
          <t>P JB Cold Soldering</t>
        </is>
      </c>
      <c r="V2236" s="3" t="inlineStr">
        <is>
          <t>Soldering</t>
        </is>
      </c>
      <c r="W2236" s="3" t="inlineStr">
        <is>
          <t>Repair</t>
        </is>
      </c>
      <c r="X2236" s="18" t="n">
        <v>46169</v>
      </c>
      <c r="Y2236" s="3">
        <f>X2236-A2236</f>
        <v/>
      </c>
      <c r="Z2236" s="18" t="n">
        <v>46169</v>
      </c>
      <c r="AA2236" s="15" t="n"/>
      <c r="AB2236" s="15" t="n"/>
    </row>
    <row r="2237">
      <c r="A2237" s="59" t="n">
        <v>46148</v>
      </c>
      <c r="B2237" s="3" t="n">
        <v>2026</v>
      </c>
      <c r="C2237" s="21" t="inlineStr">
        <is>
          <t>Continuum</t>
        </is>
      </c>
      <c r="D2237" s="3" t="inlineStr">
        <is>
          <t>Utility and C&amp;I</t>
        </is>
      </c>
      <c r="E2237" s="3" t="n"/>
      <c r="F2237" s="3" t="inlineStr">
        <is>
          <t>Closed</t>
        </is>
      </c>
      <c r="G2237" s="21" t="inlineStr">
        <is>
          <t>Amiya Ranjan Behera</t>
        </is>
      </c>
      <c r="H2237" s="21" t="n">
        <v>8917436223</v>
      </c>
      <c r="I2237" s="38" t="inlineStr">
        <is>
          <t>PE06052602</t>
        </is>
      </c>
      <c r="J2237" s="21" t="inlineStr">
        <is>
          <t>Diode Bypass Module Issue</t>
        </is>
      </c>
      <c r="K2237" s="21" t="inlineStr">
        <is>
          <t>Bhavnagar</t>
        </is>
      </c>
      <c r="L2237" s="21" t="inlineStr">
        <is>
          <t>Gujarat</t>
        </is>
      </c>
      <c r="M2237" s="9" t="inlineStr">
        <is>
          <t>PR</t>
        </is>
      </c>
      <c r="N2237" s="3" t="inlineStr">
        <is>
          <t>JB Issue</t>
        </is>
      </c>
      <c r="O2237" s="62" t="n">
        <v>540</v>
      </c>
      <c r="P2237" s="9" t="inlineStr">
        <is>
          <t>NSMP2305130335</t>
        </is>
      </c>
      <c r="Q2237" s="53">
        <f>MID(P2237,5,2)</f>
        <v/>
      </c>
      <c r="R2237" s="53">
        <f>MID(P2237,7,2)</f>
        <v/>
      </c>
      <c r="S2237" s="3" t="inlineStr">
        <is>
          <t>G2B</t>
        </is>
      </c>
      <c r="T2237" s="3" t="inlineStr">
        <is>
          <t>P2</t>
        </is>
      </c>
      <c r="U2237" s="3" t="inlineStr">
        <is>
          <t>P JB Issue</t>
        </is>
      </c>
      <c r="V2237" s="15" t="inlineStr">
        <is>
          <t>JB Changed</t>
        </is>
      </c>
      <c r="W2237" s="3" t="inlineStr">
        <is>
          <t>Repair</t>
        </is>
      </c>
      <c r="X2237" s="18" t="n">
        <v>46169</v>
      </c>
      <c r="Y2237" s="3">
        <f>X2237-A2237</f>
        <v/>
      </c>
      <c r="Z2237" s="18" t="n">
        <v>46169</v>
      </c>
      <c r="AA2237" s="15" t="n"/>
      <c r="AB2237" s="15" t="n"/>
    </row>
    <row r="2238">
      <c r="A2238" s="59" t="n">
        <v>46148</v>
      </c>
      <c r="B2238" s="3" t="n">
        <v>2026</v>
      </c>
      <c r="C2238" s="21" t="inlineStr">
        <is>
          <t>Continuum</t>
        </is>
      </c>
      <c r="D2238" s="3" t="inlineStr">
        <is>
          <t>Utility and C&amp;I</t>
        </is>
      </c>
      <c r="E2238" s="3" t="n"/>
      <c r="F2238" s="3" t="inlineStr">
        <is>
          <t>Closed</t>
        </is>
      </c>
      <c r="G2238" s="21" t="inlineStr">
        <is>
          <t>Amiya Ranjan Behera</t>
        </is>
      </c>
      <c r="H2238" s="21" t="n">
        <v>8917436223</v>
      </c>
      <c r="I2238" s="38" t="inlineStr">
        <is>
          <t>PE06052602</t>
        </is>
      </c>
      <c r="J2238" s="21" t="inlineStr">
        <is>
          <t>Diode Bypass Module Issue</t>
        </is>
      </c>
      <c r="K2238" s="21" t="inlineStr">
        <is>
          <t>Bhavnagar</t>
        </is>
      </c>
      <c r="L2238" s="21" t="inlineStr">
        <is>
          <t>Gujarat</t>
        </is>
      </c>
      <c r="M2238" s="9" t="inlineStr">
        <is>
          <t>PS</t>
        </is>
      </c>
      <c r="N2238" s="3" t="inlineStr">
        <is>
          <t>Cold Soldering</t>
        </is>
      </c>
      <c r="O2238" s="62" t="n">
        <v>540</v>
      </c>
      <c r="P2238" s="9" t="inlineStr">
        <is>
          <t>NSMP2305130365</t>
        </is>
      </c>
      <c r="Q2238" s="53">
        <f>MID(P2238,5,2)</f>
        <v/>
      </c>
      <c r="R2238" s="53">
        <f>MID(P2238,7,2)</f>
        <v/>
      </c>
      <c r="S2238" s="3" t="inlineStr">
        <is>
          <t>G2B</t>
        </is>
      </c>
      <c r="T2238" s="3" t="inlineStr">
        <is>
          <t>P2</t>
        </is>
      </c>
      <c r="U2238" s="3" t="inlineStr">
        <is>
          <t>P JB Cold Soldering</t>
        </is>
      </c>
      <c r="V2238" s="3" t="inlineStr">
        <is>
          <t>Soldering</t>
        </is>
      </c>
      <c r="W2238" s="3" t="inlineStr">
        <is>
          <t>Repair</t>
        </is>
      </c>
      <c r="X2238" s="18" t="n">
        <v>46169</v>
      </c>
      <c r="Y2238" s="3">
        <f>X2238-A2238</f>
        <v/>
      </c>
      <c r="Z2238" s="18" t="n">
        <v>46169</v>
      </c>
      <c r="AA2238" s="15" t="n"/>
      <c r="AB2238" s="15" t="n"/>
    </row>
    <row r="2239">
      <c r="A2239" s="59" t="n">
        <v>46148</v>
      </c>
      <c r="B2239" s="3" t="n">
        <v>2026</v>
      </c>
      <c r="C2239" s="21" t="inlineStr">
        <is>
          <t>Continuum</t>
        </is>
      </c>
      <c r="D2239" s="3" t="inlineStr">
        <is>
          <t>Utility and C&amp;I</t>
        </is>
      </c>
      <c r="E2239" s="3" t="n"/>
      <c r="F2239" s="3" t="inlineStr">
        <is>
          <t>Closed</t>
        </is>
      </c>
      <c r="G2239" s="21" t="inlineStr">
        <is>
          <t>Amiya Ranjan Behera</t>
        </is>
      </c>
      <c r="H2239" s="21" t="n">
        <v>8917436223</v>
      </c>
      <c r="I2239" s="38" t="inlineStr">
        <is>
          <t>PE06052602</t>
        </is>
      </c>
      <c r="J2239" s="21" t="inlineStr">
        <is>
          <t>Diode Bypass Module Issue</t>
        </is>
      </c>
      <c r="K2239" s="21" t="inlineStr">
        <is>
          <t>Bhavnagar</t>
        </is>
      </c>
      <c r="L2239" s="21" t="inlineStr">
        <is>
          <t>Gujarat</t>
        </is>
      </c>
      <c r="M2239" s="9" t="inlineStr">
        <is>
          <t>PS</t>
        </is>
      </c>
      <c r="N2239" s="3" t="inlineStr">
        <is>
          <t>Cold Soldering</t>
        </is>
      </c>
      <c r="O2239" s="62" t="n">
        <v>540</v>
      </c>
      <c r="P2239" s="9" t="inlineStr">
        <is>
          <t>NSMP2305129680</t>
        </is>
      </c>
      <c r="Q2239" s="53">
        <f>MID(P2239,5,2)</f>
        <v/>
      </c>
      <c r="R2239" s="53">
        <f>MID(P2239,7,2)</f>
        <v/>
      </c>
      <c r="S2239" s="3" t="inlineStr">
        <is>
          <t>G2B</t>
        </is>
      </c>
      <c r="T2239" s="3" t="inlineStr">
        <is>
          <t>P2</t>
        </is>
      </c>
      <c r="U2239" s="3" t="inlineStr">
        <is>
          <t>P JB Cold Soldering</t>
        </is>
      </c>
      <c r="V2239" s="3" t="inlineStr">
        <is>
          <t>Soldering</t>
        </is>
      </c>
      <c r="W2239" s="3" t="inlineStr">
        <is>
          <t>Repair</t>
        </is>
      </c>
      <c r="X2239" s="18" t="n">
        <v>46169</v>
      </c>
      <c r="Y2239" s="3">
        <f>X2239-A2239</f>
        <v/>
      </c>
      <c r="Z2239" s="18" t="n">
        <v>46169</v>
      </c>
      <c r="AA2239" s="15" t="n"/>
      <c r="AB2239" s="15" t="n"/>
    </row>
    <row r="2240">
      <c r="A2240" s="59" t="n">
        <v>46148</v>
      </c>
      <c r="B2240" s="3" t="n">
        <v>2026</v>
      </c>
      <c r="C2240" s="21" t="inlineStr">
        <is>
          <t>Continuum</t>
        </is>
      </c>
      <c r="D2240" s="3" t="inlineStr">
        <is>
          <t>Utility and C&amp;I</t>
        </is>
      </c>
      <c r="E2240" s="3" t="n"/>
      <c r="F2240" s="3" t="inlineStr">
        <is>
          <t>Closed</t>
        </is>
      </c>
      <c r="G2240" s="21" t="inlineStr">
        <is>
          <t>Amiya Ranjan Behera</t>
        </is>
      </c>
      <c r="H2240" s="21" t="n">
        <v>8917436223</v>
      </c>
      <c r="I2240" s="38" t="inlineStr">
        <is>
          <t>PE06052602</t>
        </is>
      </c>
      <c r="J2240" s="21" t="inlineStr">
        <is>
          <t>Diode Bypass Module Issue</t>
        </is>
      </c>
      <c r="K2240" s="21" t="inlineStr">
        <is>
          <t>Bhavnagar</t>
        </is>
      </c>
      <c r="L2240" s="21" t="inlineStr">
        <is>
          <t>Gujarat</t>
        </is>
      </c>
      <c r="M2240" s="9" t="inlineStr">
        <is>
          <t>PS</t>
        </is>
      </c>
      <c r="N2240" s="3" t="inlineStr">
        <is>
          <t>Cold Soldering</t>
        </is>
      </c>
      <c r="O2240" s="62" t="n">
        <v>540</v>
      </c>
      <c r="P2240" s="9" t="inlineStr">
        <is>
          <t>NSMP2305189620</t>
        </is>
      </c>
      <c r="Q2240" s="53">
        <f>MID(P2240,5,2)</f>
        <v/>
      </c>
      <c r="R2240" s="53">
        <f>MID(P2240,7,2)</f>
        <v/>
      </c>
      <c r="S2240" s="3" t="inlineStr">
        <is>
          <t>G2B</t>
        </is>
      </c>
      <c r="T2240" s="3" t="inlineStr">
        <is>
          <t>P2</t>
        </is>
      </c>
      <c r="U2240" s="3" t="inlineStr">
        <is>
          <t>P JB Cold Soldering</t>
        </is>
      </c>
      <c r="V2240" s="3" t="inlineStr">
        <is>
          <t>Soldering</t>
        </is>
      </c>
      <c r="W2240" s="3" t="inlineStr">
        <is>
          <t>Repair</t>
        </is>
      </c>
      <c r="X2240" s="18" t="n">
        <v>46169</v>
      </c>
      <c r="Y2240" s="3">
        <f>X2240-A2240</f>
        <v/>
      </c>
      <c r="Z2240" s="18" t="n">
        <v>46169</v>
      </c>
      <c r="AA2240" s="15" t="n"/>
      <c r="AB2240" s="15" t="n"/>
    </row>
    <row r="2241">
      <c r="A2241" s="59" t="n">
        <v>46148</v>
      </c>
      <c r="B2241" s="3" t="n">
        <v>2026</v>
      </c>
      <c r="C2241" s="21" t="inlineStr">
        <is>
          <t>Continuum</t>
        </is>
      </c>
      <c r="D2241" s="3" t="inlineStr">
        <is>
          <t>Utility and C&amp;I</t>
        </is>
      </c>
      <c r="E2241" s="3" t="n"/>
      <c r="F2241" s="3" t="inlineStr">
        <is>
          <t>Closed</t>
        </is>
      </c>
      <c r="G2241" s="21" t="inlineStr">
        <is>
          <t>Amiya Ranjan Behera</t>
        </is>
      </c>
      <c r="H2241" s="21" t="n">
        <v>8917436223</v>
      </c>
      <c r="I2241" s="38" t="inlineStr">
        <is>
          <t>PE06052602</t>
        </is>
      </c>
      <c r="J2241" s="21" t="inlineStr">
        <is>
          <t>Diode Bypass Module Issue</t>
        </is>
      </c>
      <c r="K2241" s="21" t="inlineStr">
        <is>
          <t>Bhavnagar</t>
        </is>
      </c>
      <c r="L2241" s="21" t="inlineStr">
        <is>
          <t>Gujarat</t>
        </is>
      </c>
      <c r="M2241" s="9" t="inlineStr">
        <is>
          <t>PS</t>
        </is>
      </c>
      <c r="N2241" s="3" t="inlineStr">
        <is>
          <t>Cold Soldering</t>
        </is>
      </c>
      <c r="O2241" s="62" t="n">
        <v>540</v>
      </c>
      <c r="P2241" s="9" t="inlineStr">
        <is>
          <t>NSMP2305189607</t>
        </is>
      </c>
      <c r="Q2241" s="53">
        <f>MID(P2241,5,2)</f>
        <v/>
      </c>
      <c r="R2241" s="53">
        <f>MID(P2241,7,2)</f>
        <v/>
      </c>
      <c r="S2241" s="3" t="inlineStr">
        <is>
          <t>G2B</t>
        </is>
      </c>
      <c r="T2241" s="3" t="inlineStr">
        <is>
          <t>P2</t>
        </is>
      </c>
      <c r="U2241" s="3" t="inlineStr">
        <is>
          <t>P JB Cold Soldering</t>
        </is>
      </c>
      <c r="V2241" s="3" t="inlineStr">
        <is>
          <t>Soldering</t>
        </is>
      </c>
      <c r="W2241" s="3" t="inlineStr">
        <is>
          <t>Repair</t>
        </is>
      </c>
      <c r="X2241" s="18" t="n">
        <v>46169</v>
      </c>
      <c r="Y2241" s="3">
        <f>X2241-A2241</f>
        <v/>
      </c>
      <c r="Z2241" s="18" t="n">
        <v>46169</v>
      </c>
      <c r="AA2241" s="15" t="n"/>
      <c r="AB2241" s="15" t="n"/>
    </row>
    <row r="2242">
      <c r="A2242" s="59" t="n">
        <v>46148</v>
      </c>
      <c r="B2242" s="3" t="n">
        <v>2026</v>
      </c>
      <c r="C2242" s="21" t="inlineStr">
        <is>
          <t>Continuum</t>
        </is>
      </c>
      <c r="D2242" s="3" t="inlineStr">
        <is>
          <t>Utility and C&amp;I</t>
        </is>
      </c>
      <c r="E2242" s="3" t="n"/>
      <c r="F2242" s="3" t="inlineStr">
        <is>
          <t>Closed</t>
        </is>
      </c>
      <c r="G2242" s="21" t="inlineStr">
        <is>
          <t>Amiya Ranjan Behera</t>
        </is>
      </c>
      <c r="H2242" s="21" t="n">
        <v>8917436223</v>
      </c>
      <c r="I2242" s="38" t="inlineStr">
        <is>
          <t>PE06052602</t>
        </is>
      </c>
      <c r="J2242" s="21" t="inlineStr">
        <is>
          <t>Diode Bypass Module Issue</t>
        </is>
      </c>
      <c r="K2242" s="21" t="inlineStr">
        <is>
          <t>Bhavnagar</t>
        </is>
      </c>
      <c r="L2242" s="21" t="inlineStr">
        <is>
          <t>Gujarat</t>
        </is>
      </c>
      <c r="M2242" s="9" t="inlineStr">
        <is>
          <t>PS</t>
        </is>
      </c>
      <c r="N2242" s="3" t="inlineStr">
        <is>
          <t>Cold Soldering</t>
        </is>
      </c>
      <c r="O2242" s="62" t="n">
        <v>540</v>
      </c>
      <c r="P2242" s="9" t="inlineStr">
        <is>
          <t>NSMP2305189622</t>
        </is>
      </c>
      <c r="Q2242" s="53">
        <f>MID(P2242,5,2)</f>
        <v/>
      </c>
      <c r="R2242" s="53">
        <f>MID(P2242,7,2)</f>
        <v/>
      </c>
      <c r="S2242" s="3" t="inlineStr">
        <is>
          <t>G2B</t>
        </is>
      </c>
      <c r="T2242" s="3" t="inlineStr">
        <is>
          <t>P2</t>
        </is>
      </c>
      <c r="U2242" s="3" t="inlineStr">
        <is>
          <t>P JB Cold Soldering</t>
        </is>
      </c>
      <c r="V2242" s="3" t="inlineStr">
        <is>
          <t>Soldering</t>
        </is>
      </c>
      <c r="W2242" s="3" t="inlineStr">
        <is>
          <t>Repair</t>
        </is>
      </c>
      <c r="X2242" s="18" t="n">
        <v>46169</v>
      </c>
      <c r="Y2242" s="3">
        <f>X2242-A2242</f>
        <v/>
      </c>
      <c r="Z2242" s="18" t="n">
        <v>46169</v>
      </c>
      <c r="AA2242" s="15" t="n"/>
      <c r="AB2242" s="15" t="n"/>
    </row>
    <row r="2243">
      <c r="A2243" s="59" t="n">
        <v>46148</v>
      </c>
      <c r="B2243" s="3" t="n">
        <v>2026</v>
      </c>
      <c r="C2243" s="21" t="inlineStr">
        <is>
          <t>Continuum</t>
        </is>
      </c>
      <c r="D2243" s="3" t="inlineStr">
        <is>
          <t>Utility and C&amp;I</t>
        </is>
      </c>
      <c r="E2243" s="3" t="n"/>
      <c r="F2243" s="3" t="inlineStr">
        <is>
          <t>Closed</t>
        </is>
      </c>
      <c r="G2243" s="21" t="inlineStr">
        <is>
          <t>Amiya Ranjan Behera</t>
        </is>
      </c>
      <c r="H2243" s="21" t="n">
        <v>8917436223</v>
      </c>
      <c r="I2243" s="38" t="inlineStr">
        <is>
          <t>PE06052602</t>
        </is>
      </c>
      <c r="J2243" s="21" t="inlineStr">
        <is>
          <t>Diode Bypass Module Issue</t>
        </is>
      </c>
      <c r="K2243" s="21" t="inlineStr">
        <is>
          <t>Bhavnagar</t>
        </is>
      </c>
      <c r="L2243" s="21" t="inlineStr">
        <is>
          <t>Gujarat</t>
        </is>
      </c>
      <c r="M2243" s="9" t="inlineStr">
        <is>
          <t>PS</t>
        </is>
      </c>
      <c r="N2243" s="3" t="inlineStr">
        <is>
          <t>Cold Soldering</t>
        </is>
      </c>
      <c r="O2243" s="62" t="n">
        <v>540</v>
      </c>
      <c r="P2243" s="9" t="inlineStr">
        <is>
          <t>NSMP2305131595</t>
        </is>
      </c>
      <c r="Q2243" s="53">
        <f>MID(P2243,5,2)</f>
        <v/>
      </c>
      <c r="R2243" s="53">
        <f>MID(P2243,7,2)</f>
        <v/>
      </c>
      <c r="S2243" s="3" t="inlineStr">
        <is>
          <t>G2B</t>
        </is>
      </c>
      <c r="T2243" s="3" t="inlineStr">
        <is>
          <t>P2</t>
        </is>
      </c>
      <c r="U2243" s="3" t="inlineStr">
        <is>
          <t>P JB Cold Soldering</t>
        </is>
      </c>
      <c r="V2243" s="3" t="inlineStr">
        <is>
          <t>Soldering</t>
        </is>
      </c>
      <c r="W2243" s="3" t="inlineStr">
        <is>
          <t>Repair</t>
        </is>
      </c>
      <c r="X2243" s="18" t="n">
        <v>46169</v>
      </c>
      <c r="Y2243" s="3">
        <f>X2243-A2243</f>
        <v/>
      </c>
      <c r="Z2243" s="18" t="n">
        <v>46169</v>
      </c>
      <c r="AA2243" s="15" t="n"/>
      <c r="AB2243" s="15" t="n"/>
    </row>
    <row r="2244">
      <c r="A2244" s="59" t="n">
        <v>46148</v>
      </c>
      <c r="B2244" s="3" t="n">
        <v>2026</v>
      </c>
      <c r="C2244" s="21" t="inlineStr">
        <is>
          <t>Continuum</t>
        </is>
      </c>
      <c r="D2244" s="3" t="inlineStr">
        <is>
          <t>Utility and C&amp;I</t>
        </is>
      </c>
      <c r="E2244" s="3" t="n"/>
      <c r="F2244" s="3" t="inlineStr">
        <is>
          <t>Closed</t>
        </is>
      </c>
      <c r="G2244" s="21" t="inlineStr">
        <is>
          <t>Amiya Ranjan Behera</t>
        </is>
      </c>
      <c r="H2244" s="21" t="n">
        <v>8917436223</v>
      </c>
      <c r="I2244" s="38" t="inlineStr">
        <is>
          <t>PE06052602</t>
        </is>
      </c>
      <c r="J2244" s="21" t="inlineStr">
        <is>
          <t>Diode Bypass Module Issue</t>
        </is>
      </c>
      <c r="K2244" s="21" t="inlineStr">
        <is>
          <t>Bhavnagar</t>
        </is>
      </c>
      <c r="L2244" s="21" t="inlineStr">
        <is>
          <t>Gujarat</t>
        </is>
      </c>
      <c r="M2244" s="9" t="inlineStr">
        <is>
          <t>PS</t>
        </is>
      </c>
      <c r="N2244" s="3" t="inlineStr">
        <is>
          <t>Cold Soldering</t>
        </is>
      </c>
      <c r="O2244" s="62" t="n">
        <v>540</v>
      </c>
      <c r="P2244" s="9" t="inlineStr">
        <is>
          <t>NSMP2305131603</t>
        </is>
      </c>
      <c r="Q2244" s="53">
        <f>MID(P2244,5,2)</f>
        <v/>
      </c>
      <c r="R2244" s="53">
        <f>MID(P2244,7,2)</f>
        <v/>
      </c>
      <c r="S2244" s="3" t="inlineStr">
        <is>
          <t>G2B</t>
        </is>
      </c>
      <c r="T2244" s="3" t="inlineStr">
        <is>
          <t>P2</t>
        </is>
      </c>
      <c r="U2244" s="3" t="inlineStr">
        <is>
          <t>P JB Cold Soldering</t>
        </is>
      </c>
      <c r="V2244" s="3" t="inlineStr">
        <is>
          <t>Soldering</t>
        </is>
      </c>
      <c r="W2244" s="3" t="inlineStr">
        <is>
          <t>Repair</t>
        </is>
      </c>
      <c r="X2244" s="18" t="n">
        <v>46169</v>
      </c>
      <c r="Y2244" s="3">
        <f>X2244-A2244</f>
        <v/>
      </c>
      <c r="Z2244" s="18" t="n">
        <v>46169</v>
      </c>
      <c r="AA2244" s="15" t="n"/>
      <c r="AB2244" s="15" t="n"/>
    </row>
    <row r="2245">
      <c r="A2245" s="59" t="n">
        <v>46148</v>
      </c>
      <c r="B2245" s="3" t="n">
        <v>2026</v>
      </c>
      <c r="C2245" s="21" t="inlineStr">
        <is>
          <t>Continuum</t>
        </is>
      </c>
      <c r="D2245" s="3" t="inlineStr">
        <is>
          <t>Utility and C&amp;I</t>
        </is>
      </c>
      <c r="E2245" s="3" t="n"/>
      <c r="F2245" s="3" t="inlineStr">
        <is>
          <t>Closed</t>
        </is>
      </c>
      <c r="G2245" s="21" t="inlineStr">
        <is>
          <t>Amiya Ranjan Behera</t>
        </is>
      </c>
      <c r="H2245" s="21" t="n">
        <v>8917436223</v>
      </c>
      <c r="I2245" s="38" t="inlineStr">
        <is>
          <t>PE06052602</t>
        </is>
      </c>
      <c r="J2245" s="21" t="inlineStr">
        <is>
          <t>Diode Bypass Module Issue</t>
        </is>
      </c>
      <c r="K2245" s="21" t="inlineStr">
        <is>
          <t>Bhavnagar</t>
        </is>
      </c>
      <c r="L2245" s="21" t="inlineStr">
        <is>
          <t>Gujarat</t>
        </is>
      </c>
      <c r="M2245" s="9" t="inlineStr">
        <is>
          <t>PS</t>
        </is>
      </c>
      <c r="N2245" s="3" t="inlineStr">
        <is>
          <t>Cold Soldering</t>
        </is>
      </c>
      <c r="O2245" s="62" t="n">
        <v>540</v>
      </c>
      <c r="P2245" s="9" t="inlineStr">
        <is>
          <t>NSMP2305134569</t>
        </is>
      </c>
      <c r="Q2245" s="53">
        <f>MID(P2245,5,2)</f>
        <v/>
      </c>
      <c r="R2245" s="53">
        <f>MID(P2245,7,2)</f>
        <v/>
      </c>
      <c r="S2245" s="3" t="inlineStr">
        <is>
          <t>G2B</t>
        </is>
      </c>
      <c r="T2245" s="3" t="inlineStr">
        <is>
          <t>P2</t>
        </is>
      </c>
      <c r="U2245" s="3" t="inlineStr">
        <is>
          <t>P JB Cold Soldering</t>
        </is>
      </c>
      <c r="V2245" s="3" t="inlineStr">
        <is>
          <t>Soldering</t>
        </is>
      </c>
      <c r="W2245" s="3" t="inlineStr">
        <is>
          <t>Repair</t>
        </is>
      </c>
      <c r="X2245" s="18" t="n">
        <v>46169</v>
      </c>
      <c r="Y2245" s="3">
        <f>X2245-A2245</f>
        <v/>
      </c>
      <c r="Z2245" s="18" t="n">
        <v>46169</v>
      </c>
      <c r="AA2245" s="15" t="n"/>
      <c r="AB2245" s="15" t="n"/>
    </row>
    <row r="2246">
      <c r="A2246" s="59" t="n">
        <v>46148</v>
      </c>
      <c r="B2246" s="3" t="n">
        <v>2026</v>
      </c>
      <c r="C2246" s="21" t="inlineStr">
        <is>
          <t>Continuum</t>
        </is>
      </c>
      <c r="D2246" s="3" t="inlineStr">
        <is>
          <t>Utility and C&amp;I</t>
        </is>
      </c>
      <c r="E2246" s="3" t="n"/>
      <c r="F2246" s="3" t="inlineStr">
        <is>
          <t>Closed</t>
        </is>
      </c>
      <c r="G2246" s="21" t="inlineStr">
        <is>
          <t>Amiya Ranjan Behera</t>
        </is>
      </c>
      <c r="H2246" s="21" t="n">
        <v>8917436223</v>
      </c>
      <c r="I2246" s="38" t="inlineStr">
        <is>
          <t>PE06052602</t>
        </is>
      </c>
      <c r="J2246" s="21" t="inlineStr">
        <is>
          <t>Diode Bypass Module Issue</t>
        </is>
      </c>
      <c r="K2246" s="21" t="inlineStr">
        <is>
          <t>Bhavnagar</t>
        </is>
      </c>
      <c r="L2246" s="21" t="inlineStr">
        <is>
          <t>Gujarat</t>
        </is>
      </c>
      <c r="M2246" s="9" t="inlineStr">
        <is>
          <t>PS</t>
        </is>
      </c>
      <c r="N2246" s="3" t="inlineStr">
        <is>
          <t>Cold Soldering</t>
        </is>
      </c>
      <c r="O2246" s="62" t="n">
        <v>540</v>
      </c>
      <c r="P2246" s="9" t="inlineStr">
        <is>
          <t>NSMP2305129374</t>
        </is>
      </c>
      <c r="Q2246" s="53">
        <f>MID(P2246,5,2)</f>
        <v/>
      </c>
      <c r="R2246" s="53">
        <f>MID(P2246,7,2)</f>
        <v/>
      </c>
      <c r="S2246" s="3" t="inlineStr">
        <is>
          <t>G2B</t>
        </is>
      </c>
      <c r="T2246" s="3" t="inlineStr">
        <is>
          <t>P2</t>
        </is>
      </c>
      <c r="U2246" s="3" t="inlineStr">
        <is>
          <t>P JB Cold Soldering</t>
        </is>
      </c>
      <c r="V2246" s="3" t="inlineStr">
        <is>
          <t>Soldering</t>
        </is>
      </c>
      <c r="W2246" s="3" t="inlineStr">
        <is>
          <t>Repair</t>
        </is>
      </c>
      <c r="X2246" s="18" t="n">
        <v>46169</v>
      </c>
      <c r="Y2246" s="3">
        <f>X2246-A2246</f>
        <v/>
      </c>
      <c r="Z2246" s="18" t="n">
        <v>46169</v>
      </c>
      <c r="AA2246" s="15" t="n"/>
      <c r="AB2246" s="15" t="n"/>
    </row>
    <row r="2247">
      <c r="A2247" s="59" t="n">
        <v>46148</v>
      </c>
      <c r="B2247" s="3" t="n">
        <v>2026</v>
      </c>
      <c r="C2247" s="21" t="inlineStr">
        <is>
          <t>Continuum</t>
        </is>
      </c>
      <c r="D2247" s="3" t="inlineStr">
        <is>
          <t>Utility and C&amp;I</t>
        </is>
      </c>
      <c r="E2247" s="3" t="n"/>
      <c r="F2247" s="3" t="inlineStr">
        <is>
          <t>Closed</t>
        </is>
      </c>
      <c r="G2247" s="21" t="inlineStr">
        <is>
          <t>Amiya Ranjan Behera</t>
        </is>
      </c>
      <c r="H2247" s="21" t="n">
        <v>8917436223</v>
      </c>
      <c r="I2247" s="38" t="inlineStr">
        <is>
          <t>PE06052602</t>
        </is>
      </c>
      <c r="J2247" s="21" t="inlineStr">
        <is>
          <t>Diode Bypass Module Issue</t>
        </is>
      </c>
      <c r="K2247" s="21" t="inlineStr">
        <is>
          <t>Bhavnagar</t>
        </is>
      </c>
      <c r="L2247" s="21" t="inlineStr">
        <is>
          <t>Gujarat</t>
        </is>
      </c>
      <c r="M2247" s="9" t="inlineStr">
        <is>
          <t>PS</t>
        </is>
      </c>
      <c r="N2247" s="3" t="inlineStr">
        <is>
          <t>Cold Soldering</t>
        </is>
      </c>
      <c r="O2247" s="62" t="n">
        <v>540</v>
      </c>
      <c r="P2247" s="9" t="inlineStr">
        <is>
          <t>NSMP2305134754</t>
        </is>
      </c>
      <c r="Q2247" s="53">
        <f>MID(P2247,5,2)</f>
        <v/>
      </c>
      <c r="R2247" s="53">
        <f>MID(P2247,7,2)</f>
        <v/>
      </c>
      <c r="S2247" s="3" t="inlineStr">
        <is>
          <t>G2B</t>
        </is>
      </c>
      <c r="T2247" s="3" t="inlineStr">
        <is>
          <t>P2</t>
        </is>
      </c>
      <c r="U2247" s="3" t="inlineStr">
        <is>
          <t>P JB Cold Soldering</t>
        </is>
      </c>
      <c r="V2247" s="3" t="inlineStr">
        <is>
          <t>Soldering</t>
        </is>
      </c>
      <c r="W2247" s="3" t="inlineStr">
        <is>
          <t>Repair</t>
        </is>
      </c>
      <c r="X2247" s="18" t="n">
        <v>46169</v>
      </c>
      <c r="Y2247" s="3">
        <f>X2247-A2247</f>
        <v/>
      </c>
      <c r="Z2247" s="18" t="n">
        <v>46169</v>
      </c>
      <c r="AA2247" s="15" t="n"/>
      <c r="AB2247" s="15" t="n"/>
    </row>
    <row r="2248">
      <c r="A2248" s="59" t="n">
        <v>46148</v>
      </c>
      <c r="B2248" s="3" t="n">
        <v>2026</v>
      </c>
      <c r="C2248" s="21" t="inlineStr">
        <is>
          <t>Continuum</t>
        </is>
      </c>
      <c r="D2248" s="3" t="inlineStr">
        <is>
          <t>Utility and C&amp;I</t>
        </is>
      </c>
      <c r="E2248" s="3" t="n"/>
      <c r="F2248" s="3" t="inlineStr">
        <is>
          <t>Closed</t>
        </is>
      </c>
      <c r="G2248" s="21" t="inlineStr">
        <is>
          <t>Amiya Ranjan Behera</t>
        </is>
      </c>
      <c r="H2248" s="21" t="n">
        <v>8917436223</v>
      </c>
      <c r="I2248" s="38" t="inlineStr">
        <is>
          <t>PE06052602</t>
        </is>
      </c>
      <c r="J2248" s="21" t="inlineStr">
        <is>
          <t>Diode Bypass Module Issue</t>
        </is>
      </c>
      <c r="K2248" s="21" t="inlineStr">
        <is>
          <t>Bhavnagar</t>
        </is>
      </c>
      <c r="L2248" s="21" t="inlineStr">
        <is>
          <t>Gujarat</t>
        </is>
      </c>
      <c r="M2248" s="9" t="inlineStr">
        <is>
          <t>PR</t>
        </is>
      </c>
      <c r="N2248" s="3" t="inlineStr">
        <is>
          <t>JB Issue</t>
        </is>
      </c>
      <c r="O2248" s="62" t="n">
        <v>540</v>
      </c>
      <c r="P2248" s="9" t="inlineStr">
        <is>
          <t>NSMP2305134787</t>
        </is>
      </c>
      <c r="Q2248" s="53">
        <f>MID(P2248,5,2)</f>
        <v/>
      </c>
      <c r="R2248" s="53">
        <f>MID(P2248,7,2)</f>
        <v/>
      </c>
      <c r="S2248" s="3" t="inlineStr">
        <is>
          <t>G2B</t>
        </is>
      </c>
      <c r="T2248" s="3" t="inlineStr">
        <is>
          <t>P2</t>
        </is>
      </c>
      <c r="U2248" s="3" t="inlineStr">
        <is>
          <t>P JB Issue</t>
        </is>
      </c>
      <c r="V2248" s="15" t="inlineStr">
        <is>
          <t>JB Changed</t>
        </is>
      </c>
      <c r="W2248" s="3" t="inlineStr">
        <is>
          <t>Repair</t>
        </is>
      </c>
      <c r="X2248" s="18" t="n">
        <v>46169</v>
      </c>
      <c r="Y2248" s="3">
        <f>X2248-A2248</f>
        <v/>
      </c>
      <c r="Z2248" s="18" t="n">
        <v>46169</v>
      </c>
      <c r="AA2248" s="15" t="n"/>
      <c r="AB2248" s="15" t="n"/>
    </row>
    <row r="2249">
      <c r="A2249" s="59" t="n">
        <v>46148</v>
      </c>
      <c r="B2249" s="3" t="n">
        <v>2026</v>
      </c>
      <c r="C2249" s="21" t="inlineStr">
        <is>
          <t>Continuum</t>
        </is>
      </c>
      <c r="D2249" s="3" t="inlineStr">
        <is>
          <t>Utility and C&amp;I</t>
        </is>
      </c>
      <c r="E2249" s="3" t="n"/>
      <c r="F2249" s="3" t="inlineStr">
        <is>
          <t>Closed</t>
        </is>
      </c>
      <c r="G2249" s="21" t="inlineStr">
        <is>
          <t>Amiya Ranjan Behera</t>
        </is>
      </c>
      <c r="H2249" s="21" t="n">
        <v>8917436223</v>
      </c>
      <c r="I2249" s="38" t="inlineStr">
        <is>
          <t>PE06052602</t>
        </is>
      </c>
      <c r="J2249" s="21" t="inlineStr">
        <is>
          <t>Diode Bypass Module Issue</t>
        </is>
      </c>
      <c r="K2249" s="21" t="inlineStr">
        <is>
          <t>Bhavnagar</t>
        </is>
      </c>
      <c r="L2249" s="21" t="inlineStr">
        <is>
          <t>Gujarat</t>
        </is>
      </c>
      <c r="M2249" s="9" t="inlineStr">
        <is>
          <t>PR</t>
        </is>
      </c>
      <c r="N2249" s="3" t="inlineStr">
        <is>
          <t>JB Issue</t>
        </is>
      </c>
      <c r="O2249" s="62" t="n">
        <v>540</v>
      </c>
      <c r="P2249" s="9" t="inlineStr">
        <is>
          <t>NSMP2305192363</t>
        </is>
      </c>
      <c r="Q2249" s="53">
        <f>MID(P2249,5,2)</f>
        <v/>
      </c>
      <c r="R2249" s="53">
        <f>MID(P2249,7,2)</f>
        <v/>
      </c>
      <c r="S2249" s="3" t="inlineStr">
        <is>
          <t>G2B</t>
        </is>
      </c>
      <c r="T2249" s="3" t="inlineStr">
        <is>
          <t>P2</t>
        </is>
      </c>
      <c r="U2249" s="3" t="inlineStr">
        <is>
          <t>P JB Issue</t>
        </is>
      </c>
      <c r="V2249" s="15" t="inlineStr">
        <is>
          <t>JB Changed</t>
        </is>
      </c>
      <c r="W2249" s="3" t="inlineStr">
        <is>
          <t>Repair</t>
        </is>
      </c>
      <c r="X2249" s="18" t="n">
        <v>46169</v>
      </c>
      <c r="Y2249" s="3">
        <f>X2249-A2249</f>
        <v/>
      </c>
      <c r="Z2249" s="18" t="n">
        <v>46169</v>
      </c>
      <c r="AA2249" s="15" t="n"/>
      <c r="AB2249" s="15" t="n"/>
    </row>
    <row r="2250">
      <c r="A2250" s="59" t="n">
        <v>46148</v>
      </c>
      <c r="B2250" s="3" t="n">
        <v>2026</v>
      </c>
      <c r="C2250" s="21" t="inlineStr">
        <is>
          <t>Continuum</t>
        </is>
      </c>
      <c r="D2250" s="3" t="inlineStr">
        <is>
          <t>Utility and C&amp;I</t>
        </is>
      </c>
      <c r="E2250" s="3" t="n"/>
      <c r="F2250" s="3" t="inlineStr">
        <is>
          <t>Closed</t>
        </is>
      </c>
      <c r="G2250" s="21" t="inlineStr">
        <is>
          <t>Amiya Ranjan Behera</t>
        </is>
      </c>
      <c r="H2250" s="21" t="n">
        <v>8917436223</v>
      </c>
      <c r="I2250" s="38" t="inlineStr">
        <is>
          <t>PE06052602</t>
        </is>
      </c>
      <c r="J2250" s="21" t="inlineStr">
        <is>
          <t>Diode Bypass Module Issue</t>
        </is>
      </c>
      <c r="K2250" s="21" t="inlineStr">
        <is>
          <t>Bhavnagar</t>
        </is>
      </c>
      <c r="L2250" s="21" t="inlineStr">
        <is>
          <t>Gujarat</t>
        </is>
      </c>
      <c r="M2250" s="9" t="inlineStr">
        <is>
          <t>PS</t>
        </is>
      </c>
      <c r="N2250" s="3" t="inlineStr">
        <is>
          <t>Cold Soldering</t>
        </is>
      </c>
      <c r="O2250" s="62" t="n">
        <v>540</v>
      </c>
      <c r="P2250" s="9" t="inlineStr">
        <is>
          <t>NSMP2305134831</t>
        </is>
      </c>
      <c r="Q2250" s="53">
        <f>MID(P2250,5,2)</f>
        <v/>
      </c>
      <c r="R2250" s="53">
        <f>MID(P2250,7,2)</f>
        <v/>
      </c>
      <c r="S2250" s="3" t="inlineStr">
        <is>
          <t>G2B</t>
        </is>
      </c>
      <c r="T2250" s="3" t="inlineStr">
        <is>
          <t>P2</t>
        </is>
      </c>
      <c r="U2250" s="3" t="inlineStr">
        <is>
          <t>P JB Cold Soldering</t>
        </is>
      </c>
      <c r="V2250" s="3" t="inlineStr">
        <is>
          <t>Soldering</t>
        </is>
      </c>
      <c r="W2250" s="3" t="inlineStr">
        <is>
          <t>Repair</t>
        </is>
      </c>
      <c r="X2250" s="18" t="n">
        <v>46169</v>
      </c>
      <c r="Y2250" s="3">
        <f>X2250-A2250</f>
        <v/>
      </c>
      <c r="Z2250" s="18" t="n">
        <v>46169</v>
      </c>
      <c r="AA2250" s="15" t="n"/>
      <c r="AB2250" s="15" t="n"/>
    </row>
    <row r="2251">
      <c r="A2251" s="59" t="n">
        <v>46148</v>
      </c>
      <c r="B2251" s="3" t="n">
        <v>2026</v>
      </c>
      <c r="C2251" s="21" t="inlineStr">
        <is>
          <t>Continuum</t>
        </is>
      </c>
      <c r="D2251" s="3" t="inlineStr">
        <is>
          <t>Utility and C&amp;I</t>
        </is>
      </c>
      <c r="E2251" s="3" t="n"/>
      <c r="F2251" s="3" t="inlineStr">
        <is>
          <t>Closed</t>
        </is>
      </c>
      <c r="G2251" s="21" t="inlineStr">
        <is>
          <t>Amiya Ranjan Behera</t>
        </is>
      </c>
      <c r="H2251" s="21" t="n">
        <v>8917436223</v>
      </c>
      <c r="I2251" s="38" t="inlineStr">
        <is>
          <t>PE06052602</t>
        </is>
      </c>
      <c r="J2251" s="21" t="inlineStr">
        <is>
          <t>Diode Bypass Module Issue</t>
        </is>
      </c>
      <c r="K2251" s="21" t="inlineStr">
        <is>
          <t>Bhavnagar</t>
        </is>
      </c>
      <c r="L2251" s="21" t="inlineStr">
        <is>
          <t>Gujarat</t>
        </is>
      </c>
      <c r="M2251" s="9" t="inlineStr">
        <is>
          <t>PS</t>
        </is>
      </c>
      <c r="N2251" s="3" t="inlineStr">
        <is>
          <t>Cold Soldering</t>
        </is>
      </c>
      <c r="O2251" s="62" t="n">
        <v>540</v>
      </c>
      <c r="P2251" s="9" t="inlineStr">
        <is>
          <t>NSMP2305130102</t>
        </is>
      </c>
      <c r="Q2251" s="53">
        <f>MID(P2251,5,2)</f>
        <v/>
      </c>
      <c r="R2251" s="53">
        <f>MID(P2251,7,2)</f>
        <v/>
      </c>
      <c r="S2251" s="3" t="inlineStr">
        <is>
          <t>G2B</t>
        </is>
      </c>
      <c r="T2251" s="3" t="inlineStr">
        <is>
          <t>P2</t>
        </is>
      </c>
      <c r="U2251" s="3" t="inlineStr">
        <is>
          <t>P JB Cold Soldering</t>
        </is>
      </c>
      <c r="V2251" s="3" t="inlineStr">
        <is>
          <t>Soldering</t>
        </is>
      </c>
      <c r="W2251" s="3" t="inlineStr">
        <is>
          <t>Repair</t>
        </is>
      </c>
      <c r="X2251" s="18" t="n">
        <v>46169</v>
      </c>
      <c r="Y2251" s="3">
        <f>X2251-A2251</f>
        <v/>
      </c>
      <c r="Z2251" s="18" t="n">
        <v>46169</v>
      </c>
      <c r="AA2251" s="15" t="n"/>
      <c r="AB2251" s="15" t="n"/>
    </row>
    <row r="2252">
      <c r="A2252" s="59" t="n">
        <v>46148</v>
      </c>
      <c r="B2252" s="3" t="n">
        <v>2026</v>
      </c>
      <c r="C2252" s="21" t="inlineStr">
        <is>
          <t>Continuum</t>
        </is>
      </c>
      <c r="D2252" s="3" t="inlineStr">
        <is>
          <t>Utility and C&amp;I</t>
        </is>
      </c>
      <c r="E2252" s="3" t="n"/>
      <c r="F2252" s="3" t="inlineStr">
        <is>
          <t>Closed</t>
        </is>
      </c>
      <c r="G2252" s="21" t="inlineStr">
        <is>
          <t>Amiya Ranjan Behera</t>
        </is>
      </c>
      <c r="H2252" s="21" t="n">
        <v>8917436223</v>
      </c>
      <c r="I2252" s="38" t="inlineStr">
        <is>
          <t>PE06052602</t>
        </is>
      </c>
      <c r="J2252" s="21" t="inlineStr">
        <is>
          <t>Diode Bypass Module Issue</t>
        </is>
      </c>
      <c r="K2252" s="21" t="inlineStr">
        <is>
          <t>Bhavnagar</t>
        </is>
      </c>
      <c r="L2252" s="21" t="inlineStr">
        <is>
          <t>Gujarat</t>
        </is>
      </c>
      <c r="M2252" s="9" t="inlineStr">
        <is>
          <t>PNS</t>
        </is>
      </c>
      <c r="N2252" s="3" t="inlineStr">
        <is>
          <t>Cold Soldering</t>
        </is>
      </c>
      <c r="O2252" s="62" t="n">
        <v>540</v>
      </c>
      <c r="P2252" s="9" t="inlineStr">
        <is>
          <t>NSMP2305130059</t>
        </is>
      </c>
      <c r="Q2252" s="53">
        <f>MID(P2252,5,2)</f>
        <v/>
      </c>
      <c r="R2252" s="53">
        <f>MID(P2252,7,2)</f>
        <v/>
      </c>
      <c r="S2252" s="3" t="inlineStr">
        <is>
          <t>G2B</t>
        </is>
      </c>
      <c r="T2252" s="3" t="inlineStr">
        <is>
          <t>P2</t>
        </is>
      </c>
      <c r="U2252" s="3" t="inlineStr">
        <is>
          <t>P &amp; N JB Cold Soldering</t>
        </is>
      </c>
      <c r="V2252" s="3" t="inlineStr">
        <is>
          <t>Soldering</t>
        </is>
      </c>
      <c r="W2252" s="3" t="inlineStr">
        <is>
          <t>Repair</t>
        </is>
      </c>
      <c r="X2252" s="18" t="n">
        <v>46169</v>
      </c>
      <c r="Y2252" s="3">
        <f>X2252-A2252</f>
        <v/>
      </c>
      <c r="Z2252" s="18" t="n">
        <v>46169</v>
      </c>
      <c r="AA2252" s="15" t="n"/>
      <c r="AB2252" s="15" t="n"/>
    </row>
    <row r="2253">
      <c r="A2253" s="59" t="n">
        <v>46148</v>
      </c>
      <c r="B2253" s="3" t="n">
        <v>2026</v>
      </c>
      <c r="C2253" s="21" t="inlineStr">
        <is>
          <t>Continuum</t>
        </is>
      </c>
      <c r="D2253" s="3" t="inlineStr">
        <is>
          <t>Utility and C&amp;I</t>
        </is>
      </c>
      <c r="E2253" s="3" t="n"/>
      <c r="F2253" s="3" t="inlineStr">
        <is>
          <t>Closed</t>
        </is>
      </c>
      <c r="G2253" s="21" t="inlineStr">
        <is>
          <t>Amiya Ranjan Behera</t>
        </is>
      </c>
      <c r="H2253" s="21" t="n">
        <v>8917436223</v>
      </c>
      <c r="I2253" s="38" t="inlineStr">
        <is>
          <t>PE06052602</t>
        </is>
      </c>
      <c r="J2253" s="21" t="inlineStr">
        <is>
          <t>Diode Bypass Module Issue</t>
        </is>
      </c>
      <c r="K2253" s="21" t="inlineStr">
        <is>
          <t>Bhavnagar</t>
        </is>
      </c>
      <c r="L2253" s="21" t="inlineStr">
        <is>
          <t>Gujarat</t>
        </is>
      </c>
      <c r="M2253" s="9" t="inlineStr">
        <is>
          <t>NS</t>
        </is>
      </c>
      <c r="N2253" s="26" t="inlineStr">
        <is>
          <t>Cold Soldering</t>
        </is>
      </c>
      <c r="O2253" s="62" t="n">
        <v>540</v>
      </c>
      <c r="P2253" s="9" t="inlineStr">
        <is>
          <t>NSMP2305130061</t>
        </is>
      </c>
      <c r="Q2253" s="53">
        <f>MID(P2253,5,2)</f>
        <v/>
      </c>
      <c r="R2253" s="53">
        <f>MID(P2253,7,2)</f>
        <v/>
      </c>
      <c r="S2253" s="3" t="inlineStr">
        <is>
          <t>G2B</t>
        </is>
      </c>
      <c r="T2253" s="3" t="inlineStr">
        <is>
          <t>P2</t>
        </is>
      </c>
      <c r="U2253" s="19" t="inlineStr">
        <is>
          <t>N JB Cold Soldering</t>
        </is>
      </c>
      <c r="V2253" s="19" t="inlineStr">
        <is>
          <t>Soldering</t>
        </is>
      </c>
      <c r="W2253" s="3" t="inlineStr">
        <is>
          <t>Repair</t>
        </is>
      </c>
      <c r="X2253" s="18" t="n">
        <v>46169</v>
      </c>
      <c r="Y2253" s="3">
        <f>X2253-A2253</f>
        <v/>
      </c>
      <c r="Z2253" s="18" t="n">
        <v>46169</v>
      </c>
      <c r="AA2253" s="15" t="n"/>
      <c r="AB2253" s="15" t="n"/>
    </row>
    <row r="2254">
      <c r="A2254" s="59" t="n">
        <v>46148</v>
      </c>
      <c r="B2254" s="3" t="n">
        <v>2026</v>
      </c>
      <c r="C2254" s="21" t="inlineStr">
        <is>
          <t>Continuum</t>
        </is>
      </c>
      <c r="D2254" s="3" t="inlineStr">
        <is>
          <t>Utility and C&amp;I</t>
        </is>
      </c>
      <c r="E2254" s="3" t="n"/>
      <c r="F2254" s="3" t="inlineStr">
        <is>
          <t>Closed</t>
        </is>
      </c>
      <c r="G2254" s="21" t="inlineStr">
        <is>
          <t>Amiya Ranjan Behera</t>
        </is>
      </c>
      <c r="H2254" s="21" t="n">
        <v>8917436223</v>
      </c>
      <c r="I2254" s="38" t="inlineStr">
        <is>
          <t>PE06052602</t>
        </is>
      </c>
      <c r="J2254" s="21" t="inlineStr">
        <is>
          <t>Diode Bypass Module Issue</t>
        </is>
      </c>
      <c r="K2254" s="21" t="inlineStr">
        <is>
          <t>Bhavnagar</t>
        </is>
      </c>
      <c r="L2254" s="21" t="inlineStr">
        <is>
          <t>Gujarat</t>
        </is>
      </c>
      <c r="M2254" s="9" t="inlineStr">
        <is>
          <t>PS</t>
        </is>
      </c>
      <c r="N2254" s="3" t="inlineStr">
        <is>
          <t>Cold Soldering</t>
        </is>
      </c>
      <c r="O2254" s="62" t="n">
        <v>540</v>
      </c>
      <c r="P2254" s="9" t="inlineStr">
        <is>
          <t>NSMP2305134570</t>
        </is>
      </c>
      <c r="Q2254" s="53">
        <f>MID(P2254,5,2)</f>
        <v/>
      </c>
      <c r="R2254" s="53">
        <f>MID(P2254,7,2)</f>
        <v/>
      </c>
      <c r="S2254" s="3" t="inlineStr">
        <is>
          <t>G2B</t>
        </is>
      </c>
      <c r="T2254" s="3" t="inlineStr">
        <is>
          <t>P2</t>
        </is>
      </c>
      <c r="U2254" s="3" t="inlineStr">
        <is>
          <t>P JB Cold Soldering</t>
        </is>
      </c>
      <c r="V2254" s="3" t="inlineStr">
        <is>
          <t>Soldering</t>
        </is>
      </c>
      <c r="W2254" s="3" t="inlineStr">
        <is>
          <t>Repair</t>
        </is>
      </c>
      <c r="X2254" s="18" t="n">
        <v>46169</v>
      </c>
      <c r="Y2254" s="3">
        <f>X2254-A2254</f>
        <v/>
      </c>
      <c r="Z2254" s="18" t="n">
        <v>46169</v>
      </c>
      <c r="AA2254" s="15" t="n"/>
      <c r="AB2254" s="15" t="n"/>
    </row>
    <row r="2255">
      <c r="A2255" s="59" t="n">
        <v>46148</v>
      </c>
      <c r="B2255" s="3" t="n">
        <v>2026</v>
      </c>
      <c r="C2255" s="21" t="inlineStr">
        <is>
          <t>Continuum</t>
        </is>
      </c>
      <c r="D2255" s="3" t="inlineStr">
        <is>
          <t>Utility and C&amp;I</t>
        </is>
      </c>
      <c r="E2255" s="3" t="n"/>
      <c r="F2255" s="3" t="inlineStr">
        <is>
          <t>Closed</t>
        </is>
      </c>
      <c r="G2255" s="21" t="inlineStr">
        <is>
          <t>Amiya Ranjan Behera</t>
        </is>
      </c>
      <c r="H2255" s="21" t="n">
        <v>8917436223</v>
      </c>
      <c r="I2255" s="38" t="inlineStr">
        <is>
          <t>PE06052602</t>
        </is>
      </c>
      <c r="J2255" s="21" t="inlineStr">
        <is>
          <t>Diode Bypass Module Issue</t>
        </is>
      </c>
      <c r="K2255" s="21" t="inlineStr">
        <is>
          <t>Bhavnagar</t>
        </is>
      </c>
      <c r="L2255" s="21" t="inlineStr">
        <is>
          <t>Gujarat</t>
        </is>
      </c>
      <c r="M2255" s="9" t="inlineStr">
        <is>
          <t>PS</t>
        </is>
      </c>
      <c r="N2255" s="3" t="inlineStr">
        <is>
          <t>Cold Soldering</t>
        </is>
      </c>
      <c r="O2255" s="62" t="n">
        <v>540</v>
      </c>
      <c r="P2255" s="9" t="inlineStr">
        <is>
          <t>NSMP2305134757</t>
        </is>
      </c>
      <c r="Q2255" s="53">
        <f>MID(P2255,5,2)</f>
        <v/>
      </c>
      <c r="R2255" s="53">
        <f>MID(P2255,7,2)</f>
        <v/>
      </c>
      <c r="S2255" s="3" t="inlineStr">
        <is>
          <t>G2B</t>
        </is>
      </c>
      <c r="T2255" s="3" t="inlineStr">
        <is>
          <t>P2</t>
        </is>
      </c>
      <c r="U2255" s="3" t="inlineStr">
        <is>
          <t>P JB Cold Soldering</t>
        </is>
      </c>
      <c r="V2255" s="3" t="inlineStr">
        <is>
          <t>Soldering</t>
        </is>
      </c>
      <c r="W2255" s="3" t="inlineStr">
        <is>
          <t>Repair</t>
        </is>
      </c>
      <c r="X2255" s="18" t="n">
        <v>46169</v>
      </c>
      <c r="Y2255" s="3">
        <f>X2255-A2255</f>
        <v/>
      </c>
      <c r="Z2255" s="18" t="n">
        <v>46169</v>
      </c>
      <c r="AA2255" s="15" t="n"/>
      <c r="AB2255" s="15" t="n"/>
    </row>
    <row r="2256">
      <c r="A2256" s="59" t="n">
        <v>46148</v>
      </c>
      <c r="B2256" s="3" t="n">
        <v>2026</v>
      </c>
      <c r="C2256" s="21" t="inlineStr">
        <is>
          <t>Continuum</t>
        </is>
      </c>
      <c r="D2256" s="3" t="inlineStr">
        <is>
          <t>Utility and C&amp;I</t>
        </is>
      </c>
      <c r="E2256" s="3" t="n"/>
      <c r="F2256" s="3" t="inlineStr">
        <is>
          <t>Closed</t>
        </is>
      </c>
      <c r="G2256" s="21" t="inlineStr">
        <is>
          <t>Amiya Ranjan Behera</t>
        </is>
      </c>
      <c r="H2256" s="21" t="n">
        <v>8917436223</v>
      </c>
      <c r="I2256" s="38" t="inlineStr">
        <is>
          <t>PE06052602</t>
        </is>
      </c>
      <c r="J2256" s="21" t="inlineStr">
        <is>
          <t>Diode Bypass Module Issue</t>
        </is>
      </c>
      <c r="K2256" s="21" t="inlineStr">
        <is>
          <t>Bhavnagar</t>
        </is>
      </c>
      <c r="L2256" s="21" t="inlineStr">
        <is>
          <t>Gujarat</t>
        </is>
      </c>
      <c r="M2256" s="9" t="inlineStr">
        <is>
          <t>PS</t>
        </is>
      </c>
      <c r="N2256" s="3" t="inlineStr">
        <is>
          <t>Cold Soldering</t>
        </is>
      </c>
      <c r="O2256" s="62" t="n">
        <v>540</v>
      </c>
      <c r="P2256" s="9" t="inlineStr">
        <is>
          <t>NSMP2305129581</t>
        </is>
      </c>
      <c r="Q2256" s="53">
        <f>MID(P2256,5,2)</f>
        <v/>
      </c>
      <c r="R2256" s="53">
        <f>MID(P2256,7,2)</f>
        <v/>
      </c>
      <c r="S2256" s="3" t="inlineStr">
        <is>
          <t>G2B</t>
        </is>
      </c>
      <c r="T2256" s="3" t="inlineStr">
        <is>
          <t>P2</t>
        </is>
      </c>
      <c r="U2256" s="3" t="inlineStr">
        <is>
          <t>P JB Cold Soldering</t>
        </is>
      </c>
      <c r="V2256" s="3" t="inlineStr">
        <is>
          <t>Soldering</t>
        </is>
      </c>
      <c r="W2256" s="3" t="inlineStr">
        <is>
          <t>Repair</t>
        </is>
      </c>
      <c r="X2256" s="18" t="n">
        <v>46169</v>
      </c>
      <c r="Y2256" s="3">
        <f>X2256-A2256</f>
        <v/>
      </c>
      <c r="Z2256" s="18" t="n">
        <v>46169</v>
      </c>
      <c r="AA2256" s="15" t="n"/>
      <c r="AB2256" s="15" t="n"/>
    </row>
    <row r="2257">
      <c r="A2257" s="59" t="n">
        <v>46148</v>
      </c>
      <c r="B2257" s="3" t="n">
        <v>2026</v>
      </c>
      <c r="C2257" s="21" t="inlineStr">
        <is>
          <t>Continuum</t>
        </is>
      </c>
      <c r="D2257" s="3" t="inlineStr">
        <is>
          <t>Utility and C&amp;I</t>
        </is>
      </c>
      <c r="E2257" s="3" t="n"/>
      <c r="F2257" s="3" t="inlineStr">
        <is>
          <t>Closed</t>
        </is>
      </c>
      <c r="G2257" s="21" t="inlineStr">
        <is>
          <t>Amiya Ranjan Behera</t>
        </is>
      </c>
      <c r="H2257" s="21" t="n">
        <v>8917436223</v>
      </c>
      <c r="I2257" s="38" t="inlineStr">
        <is>
          <t>PE06052602</t>
        </is>
      </c>
      <c r="J2257" s="21" t="inlineStr">
        <is>
          <t>Diode Bypass Module Issue</t>
        </is>
      </c>
      <c r="K2257" s="21" t="inlineStr">
        <is>
          <t>Bhavnagar</t>
        </is>
      </c>
      <c r="L2257" s="21" t="inlineStr">
        <is>
          <t>Gujarat</t>
        </is>
      </c>
      <c r="M2257" s="9" t="inlineStr">
        <is>
          <t>PS</t>
        </is>
      </c>
      <c r="N2257" s="3" t="inlineStr">
        <is>
          <t>Cold Soldering</t>
        </is>
      </c>
      <c r="O2257" s="62" t="n">
        <v>540</v>
      </c>
      <c r="P2257" s="9" t="inlineStr">
        <is>
          <t>NSMP2305129495</t>
        </is>
      </c>
      <c r="Q2257" s="53">
        <f>MID(P2257,5,2)</f>
        <v/>
      </c>
      <c r="R2257" s="53">
        <f>MID(P2257,7,2)</f>
        <v/>
      </c>
      <c r="S2257" s="3" t="inlineStr">
        <is>
          <t>G2B</t>
        </is>
      </c>
      <c r="T2257" s="3" t="inlineStr">
        <is>
          <t>P2</t>
        </is>
      </c>
      <c r="U2257" s="3" t="inlineStr">
        <is>
          <t>P JB Cold Soldering</t>
        </is>
      </c>
      <c r="V2257" s="3" t="inlineStr">
        <is>
          <t>Soldering</t>
        </is>
      </c>
      <c r="W2257" s="3" t="inlineStr">
        <is>
          <t>Repair</t>
        </is>
      </c>
      <c r="X2257" s="18" t="n">
        <v>46169</v>
      </c>
      <c r="Y2257" s="3">
        <f>X2257-A2257</f>
        <v/>
      </c>
      <c r="Z2257" s="18" t="n">
        <v>46169</v>
      </c>
      <c r="AA2257" s="15" t="n"/>
      <c r="AB2257" s="15" t="n"/>
    </row>
    <row r="2258">
      <c r="A2258" s="59" t="n">
        <v>46148</v>
      </c>
      <c r="B2258" s="3" t="n">
        <v>2026</v>
      </c>
      <c r="C2258" s="21" t="inlineStr">
        <is>
          <t>Continuum</t>
        </is>
      </c>
      <c r="D2258" s="3" t="inlineStr">
        <is>
          <t>Utility and C&amp;I</t>
        </is>
      </c>
      <c r="E2258" s="3" t="n"/>
      <c r="F2258" s="3" t="inlineStr">
        <is>
          <t>Closed</t>
        </is>
      </c>
      <c r="G2258" s="21" t="inlineStr">
        <is>
          <t>Amiya Ranjan Behera</t>
        </is>
      </c>
      <c r="H2258" s="21" t="n">
        <v>8917436223</v>
      </c>
      <c r="I2258" s="38" t="inlineStr">
        <is>
          <t>PE06052602</t>
        </is>
      </c>
      <c r="J2258" s="21" t="inlineStr">
        <is>
          <t>Diode Bypass Module Issue</t>
        </is>
      </c>
      <c r="K2258" s="21" t="inlineStr">
        <is>
          <t>Bhavnagar</t>
        </is>
      </c>
      <c r="L2258" s="21" t="inlineStr">
        <is>
          <t>Gujarat</t>
        </is>
      </c>
      <c r="M2258" s="9" t="inlineStr">
        <is>
          <t>PS</t>
        </is>
      </c>
      <c r="N2258" s="3" t="inlineStr">
        <is>
          <t>Cold Soldering</t>
        </is>
      </c>
      <c r="O2258" s="62" t="n">
        <v>540</v>
      </c>
      <c r="P2258" s="9" t="inlineStr">
        <is>
          <t>NSMP2305129325</t>
        </is>
      </c>
      <c r="Q2258" s="53">
        <f>MID(P2258,5,2)</f>
        <v/>
      </c>
      <c r="R2258" s="53">
        <f>MID(P2258,7,2)</f>
        <v/>
      </c>
      <c r="S2258" s="3" t="inlineStr">
        <is>
          <t>G2B</t>
        </is>
      </c>
      <c r="T2258" s="3" t="inlineStr">
        <is>
          <t>P2</t>
        </is>
      </c>
      <c r="U2258" s="3" t="inlineStr">
        <is>
          <t>P JB Cold Soldering</t>
        </is>
      </c>
      <c r="V2258" s="3" t="inlineStr">
        <is>
          <t>Soldering</t>
        </is>
      </c>
      <c r="W2258" s="3" t="inlineStr">
        <is>
          <t>Repair</t>
        </is>
      </c>
      <c r="X2258" s="18" t="n">
        <v>46169</v>
      </c>
      <c r="Y2258" s="3">
        <f>X2258-A2258</f>
        <v/>
      </c>
      <c r="Z2258" s="18" t="n">
        <v>46169</v>
      </c>
      <c r="AA2258" s="15" t="n"/>
      <c r="AB2258" s="15" t="n"/>
    </row>
    <row r="2259">
      <c r="A2259" s="59" t="n">
        <v>46148</v>
      </c>
      <c r="B2259" s="3" t="n">
        <v>2026</v>
      </c>
      <c r="C2259" s="21" t="inlineStr">
        <is>
          <t>Continuum</t>
        </is>
      </c>
      <c r="D2259" s="3" t="inlineStr">
        <is>
          <t>Utility and C&amp;I</t>
        </is>
      </c>
      <c r="E2259" s="3" t="n"/>
      <c r="F2259" s="3" t="inlineStr">
        <is>
          <t>Closed</t>
        </is>
      </c>
      <c r="G2259" s="21" t="inlineStr">
        <is>
          <t>Amiya Ranjan Behera</t>
        </is>
      </c>
      <c r="H2259" s="21" t="n">
        <v>8917436223</v>
      </c>
      <c r="I2259" s="38" t="inlineStr">
        <is>
          <t>PE06052602</t>
        </is>
      </c>
      <c r="J2259" s="21" t="inlineStr">
        <is>
          <t>Diode Bypass Module Issue</t>
        </is>
      </c>
      <c r="K2259" s="21" t="inlineStr">
        <is>
          <t>Bhavnagar</t>
        </is>
      </c>
      <c r="L2259" s="21" t="inlineStr">
        <is>
          <t>Gujarat</t>
        </is>
      </c>
      <c r="M2259" s="9" t="inlineStr">
        <is>
          <t>OK</t>
        </is>
      </c>
      <c r="N2259" s="3" t="inlineStr">
        <is>
          <t>No Issue</t>
        </is>
      </c>
      <c r="O2259" s="62" t="n">
        <v>540</v>
      </c>
      <c r="P2259" s="9" t="inlineStr">
        <is>
          <t>NSMP2305171356</t>
        </is>
      </c>
      <c r="Q2259" s="53">
        <f>MID(P2259,5,2)</f>
        <v/>
      </c>
      <c r="R2259" s="53">
        <f>MID(P2259,7,2)</f>
        <v/>
      </c>
      <c r="S2259" s="3" t="inlineStr">
        <is>
          <t>G2B</t>
        </is>
      </c>
      <c r="T2259" s="3" t="inlineStr">
        <is>
          <t>P2</t>
        </is>
      </c>
      <c r="U2259" s="19" t="inlineStr">
        <is>
          <t>No Issue Found</t>
        </is>
      </c>
      <c r="V2259" s="19" t="inlineStr">
        <is>
          <t>Found OK</t>
        </is>
      </c>
      <c r="W2259" s="3" t="inlineStr">
        <is>
          <t>Repair</t>
        </is>
      </c>
      <c r="X2259" s="18" t="n">
        <v>46169</v>
      </c>
      <c r="Y2259" s="3">
        <f>X2259-A2259</f>
        <v/>
      </c>
      <c r="Z2259" s="18" t="n">
        <v>46169</v>
      </c>
      <c r="AA2259" s="15" t="n"/>
      <c r="AB2259" s="15" t="n"/>
    </row>
    <row r="2260">
      <c r="A2260" s="59" t="n">
        <v>46148</v>
      </c>
      <c r="B2260" s="3" t="n">
        <v>2026</v>
      </c>
      <c r="C2260" s="21" t="inlineStr">
        <is>
          <t>Continuum</t>
        </is>
      </c>
      <c r="D2260" s="3" t="inlineStr">
        <is>
          <t>Utility and C&amp;I</t>
        </is>
      </c>
      <c r="E2260" s="3" t="n"/>
      <c r="F2260" s="3" t="inlineStr">
        <is>
          <t>Closed</t>
        </is>
      </c>
      <c r="G2260" s="21" t="inlineStr">
        <is>
          <t>Amiya Ranjan Behera</t>
        </is>
      </c>
      <c r="H2260" s="21" t="n">
        <v>8917436223</v>
      </c>
      <c r="I2260" s="38" t="inlineStr">
        <is>
          <t>PE06052602</t>
        </is>
      </c>
      <c r="J2260" s="21" t="inlineStr">
        <is>
          <t>Diode Bypass Module Issue</t>
        </is>
      </c>
      <c r="K2260" s="21" t="inlineStr">
        <is>
          <t>Bhavnagar</t>
        </is>
      </c>
      <c r="L2260" s="21" t="inlineStr">
        <is>
          <t>Gujarat</t>
        </is>
      </c>
      <c r="M2260" s="9" t="inlineStr">
        <is>
          <t>PS</t>
        </is>
      </c>
      <c r="N2260" s="3" t="inlineStr">
        <is>
          <t>Cold Soldering</t>
        </is>
      </c>
      <c r="O2260" s="62" t="n">
        <v>540</v>
      </c>
      <c r="P2260" s="9" t="inlineStr">
        <is>
          <t>NSMP2305130330</t>
        </is>
      </c>
      <c r="Q2260" s="53">
        <f>MID(P2260,5,2)</f>
        <v/>
      </c>
      <c r="R2260" s="53">
        <f>MID(P2260,7,2)</f>
        <v/>
      </c>
      <c r="S2260" s="3" t="inlineStr">
        <is>
          <t>G2B</t>
        </is>
      </c>
      <c r="T2260" s="3" t="inlineStr">
        <is>
          <t>P2</t>
        </is>
      </c>
      <c r="U2260" s="3" t="inlineStr">
        <is>
          <t>P JB Cold Soldering</t>
        </is>
      </c>
      <c r="V2260" s="3" t="inlineStr">
        <is>
          <t>Soldering</t>
        </is>
      </c>
      <c r="W2260" s="3" t="inlineStr">
        <is>
          <t>Repair</t>
        </is>
      </c>
      <c r="X2260" s="18" t="n">
        <v>46169</v>
      </c>
      <c r="Y2260" s="3">
        <f>X2260-A2260</f>
        <v/>
      </c>
      <c r="Z2260" s="18" t="n">
        <v>46169</v>
      </c>
      <c r="AA2260" s="15" t="n"/>
      <c r="AB2260" s="15" t="n"/>
    </row>
    <row r="2261">
      <c r="A2261" s="59" t="n">
        <v>46148</v>
      </c>
      <c r="B2261" s="3" t="n">
        <v>2026</v>
      </c>
      <c r="C2261" s="21" t="inlineStr">
        <is>
          <t>Continuum</t>
        </is>
      </c>
      <c r="D2261" s="3" t="inlineStr">
        <is>
          <t>Utility and C&amp;I</t>
        </is>
      </c>
      <c r="E2261" s="3" t="n"/>
      <c r="F2261" s="3" t="inlineStr">
        <is>
          <t>Closed</t>
        </is>
      </c>
      <c r="G2261" s="21" t="inlineStr">
        <is>
          <t>Amiya Ranjan Behera</t>
        </is>
      </c>
      <c r="H2261" s="21" t="n">
        <v>8917436223</v>
      </c>
      <c r="I2261" s="38" t="inlineStr">
        <is>
          <t>PE06052602</t>
        </is>
      </c>
      <c r="J2261" s="21" t="inlineStr">
        <is>
          <t>Diode Bypass Module Issue</t>
        </is>
      </c>
      <c r="K2261" s="21" t="inlineStr">
        <is>
          <t>Bhavnagar</t>
        </is>
      </c>
      <c r="L2261" s="21" t="inlineStr">
        <is>
          <t>Gujarat</t>
        </is>
      </c>
      <c r="M2261" s="9" t="inlineStr">
        <is>
          <t>NR</t>
        </is>
      </c>
      <c r="N2261" s="26" t="inlineStr">
        <is>
          <t>JB Issue</t>
        </is>
      </c>
      <c r="O2261" s="62" t="n">
        <v>540</v>
      </c>
      <c r="P2261" s="9" t="inlineStr">
        <is>
          <t>NSMP2305126438</t>
        </is>
      </c>
      <c r="Q2261" s="53">
        <f>MID(P2261,5,2)</f>
        <v/>
      </c>
      <c r="R2261" s="53">
        <f>MID(P2261,7,2)</f>
        <v/>
      </c>
      <c r="S2261" s="3" t="inlineStr">
        <is>
          <t>G2B</t>
        </is>
      </c>
      <c r="T2261" s="3" t="inlineStr">
        <is>
          <t>P2</t>
        </is>
      </c>
      <c r="U2261" s="19" t="inlineStr">
        <is>
          <t>N JB Issue</t>
        </is>
      </c>
      <c r="V2261" s="19" t="inlineStr">
        <is>
          <t>JB Changed</t>
        </is>
      </c>
      <c r="W2261" s="3" t="inlineStr">
        <is>
          <t>Repair</t>
        </is>
      </c>
      <c r="X2261" s="18" t="n">
        <v>46169</v>
      </c>
      <c r="Y2261" s="3">
        <f>X2261-A2261</f>
        <v/>
      </c>
      <c r="Z2261" s="18" t="n">
        <v>46169</v>
      </c>
      <c r="AA2261" s="15" t="n"/>
      <c r="AB2261" s="15" t="n"/>
    </row>
    <row r="2262">
      <c r="A2262" s="59" t="n">
        <v>46148</v>
      </c>
      <c r="B2262" s="3" t="n">
        <v>2026</v>
      </c>
      <c r="C2262" s="21" t="inlineStr">
        <is>
          <t>Continuum</t>
        </is>
      </c>
      <c r="D2262" s="3" t="inlineStr">
        <is>
          <t>Utility and C&amp;I</t>
        </is>
      </c>
      <c r="E2262" s="3" t="n"/>
      <c r="F2262" s="3" t="inlineStr">
        <is>
          <t>Closed</t>
        </is>
      </c>
      <c r="G2262" s="21" t="inlineStr">
        <is>
          <t>Amiya Ranjan Behera</t>
        </is>
      </c>
      <c r="H2262" s="21" t="n">
        <v>8917436223</v>
      </c>
      <c r="I2262" s="38" t="inlineStr">
        <is>
          <t>PE06052602</t>
        </is>
      </c>
      <c r="J2262" s="21" t="inlineStr">
        <is>
          <t>Diode Bypass Module Issue</t>
        </is>
      </c>
      <c r="K2262" s="21" t="inlineStr">
        <is>
          <t>Bhavnagar</t>
        </is>
      </c>
      <c r="L2262" s="21" t="inlineStr">
        <is>
          <t>Gujarat</t>
        </is>
      </c>
      <c r="M2262" s="9" t="inlineStr">
        <is>
          <t>PS</t>
        </is>
      </c>
      <c r="N2262" s="3" t="inlineStr">
        <is>
          <t>Cold Soldering</t>
        </is>
      </c>
      <c r="O2262" s="62" t="n">
        <v>540</v>
      </c>
      <c r="P2262" s="9" t="inlineStr">
        <is>
          <t>NSMP2305130722</t>
        </is>
      </c>
      <c r="Q2262" s="53">
        <f>MID(P2262,5,2)</f>
        <v/>
      </c>
      <c r="R2262" s="53">
        <f>MID(P2262,7,2)</f>
        <v/>
      </c>
      <c r="S2262" s="3" t="inlineStr">
        <is>
          <t>G2B</t>
        </is>
      </c>
      <c r="T2262" s="3" t="inlineStr">
        <is>
          <t>P2</t>
        </is>
      </c>
      <c r="U2262" s="3" t="inlineStr">
        <is>
          <t>P JB Cold Soldering</t>
        </is>
      </c>
      <c r="V2262" s="3" t="inlineStr">
        <is>
          <t>Soldering</t>
        </is>
      </c>
      <c r="W2262" s="3" t="inlineStr">
        <is>
          <t>Repair</t>
        </is>
      </c>
      <c r="X2262" s="18" t="n">
        <v>46169</v>
      </c>
      <c r="Y2262" s="3">
        <f>X2262-A2262</f>
        <v/>
      </c>
      <c r="Z2262" s="18" t="n">
        <v>46169</v>
      </c>
      <c r="AA2262" s="15" t="n"/>
      <c r="AB2262" s="15" t="n"/>
    </row>
    <row r="2263">
      <c r="A2263" s="59" t="n">
        <v>46148</v>
      </c>
      <c r="B2263" s="3" t="n">
        <v>2026</v>
      </c>
      <c r="C2263" s="21" t="inlineStr">
        <is>
          <t>Continuum</t>
        </is>
      </c>
      <c r="D2263" s="3" t="inlineStr">
        <is>
          <t>Utility and C&amp;I</t>
        </is>
      </c>
      <c r="E2263" s="3" t="n"/>
      <c r="F2263" s="3" t="inlineStr">
        <is>
          <t>Closed</t>
        </is>
      </c>
      <c r="G2263" s="21" t="inlineStr">
        <is>
          <t>Amiya Ranjan Behera</t>
        </is>
      </c>
      <c r="H2263" s="21" t="n">
        <v>8917436223</v>
      </c>
      <c r="I2263" s="38" t="inlineStr">
        <is>
          <t>PE06052602</t>
        </is>
      </c>
      <c r="J2263" s="21" t="inlineStr">
        <is>
          <t>Diode Bypass Module Issue</t>
        </is>
      </c>
      <c r="K2263" s="21" t="inlineStr">
        <is>
          <t>Bhavnagar</t>
        </is>
      </c>
      <c r="L2263" s="21" t="inlineStr">
        <is>
          <t>Gujarat</t>
        </is>
      </c>
      <c r="M2263" s="9" t="inlineStr">
        <is>
          <t>PR</t>
        </is>
      </c>
      <c r="N2263" s="3" t="inlineStr">
        <is>
          <t>JB Issue</t>
        </is>
      </c>
      <c r="O2263" s="62" t="n">
        <v>540</v>
      </c>
      <c r="P2263" s="9" t="inlineStr">
        <is>
          <t>NSMP2305129574</t>
        </is>
      </c>
      <c r="Q2263" s="53">
        <f>MID(P2263,5,2)</f>
        <v/>
      </c>
      <c r="R2263" s="53">
        <f>MID(P2263,7,2)</f>
        <v/>
      </c>
      <c r="S2263" s="3" t="inlineStr">
        <is>
          <t>G2B</t>
        </is>
      </c>
      <c r="T2263" s="3" t="inlineStr">
        <is>
          <t>P2</t>
        </is>
      </c>
      <c r="U2263" s="3" t="inlineStr">
        <is>
          <t>P JB Issue</t>
        </is>
      </c>
      <c r="V2263" s="15" t="inlineStr">
        <is>
          <t>JB Changed</t>
        </is>
      </c>
      <c r="W2263" s="3" t="inlineStr">
        <is>
          <t>Repair</t>
        </is>
      </c>
      <c r="X2263" s="18" t="n">
        <v>46169</v>
      </c>
      <c r="Y2263" s="3">
        <f>X2263-A2263</f>
        <v/>
      </c>
      <c r="Z2263" s="18" t="n">
        <v>46169</v>
      </c>
      <c r="AA2263" s="15" t="n"/>
      <c r="AB2263" s="15" t="n"/>
    </row>
    <row r="2264">
      <c r="A2264" s="59" t="n">
        <v>46148</v>
      </c>
      <c r="B2264" s="3" t="n">
        <v>2026</v>
      </c>
      <c r="C2264" s="21" t="inlineStr">
        <is>
          <t>Continuum</t>
        </is>
      </c>
      <c r="D2264" s="3" t="inlineStr">
        <is>
          <t>Utility and C&amp;I</t>
        </is>
      </c>
      <c r="E2264" s="3" t="n"/>
      <c r="F2264" s="3" t="inlineStr">
        <is>
          <t>Closed</t>
        </is>
      </c>
      <c r="G2264" s="21" t="inlineStr">
        <is>
          <t>Amiya Ranjan Behera</t>
        </is>
      </c>
      <c r="H2264" s="21" t="n">
        <v>8917436223</v>
      </c>
      <c r="I2264" s="38" t="inlineStr">
        <is>
          <t>PE06052602</t>
        </is>
      </c>
      <c r="J2264" s="21" t="inlineStr">
        <is>
          <t>Diode Bypass Module Issue</t>
        </is>
      </c>
      <c r="K2264" s="21" t="inlineStr">
        <is>
          <t>Bhavnagar</t>
        </is>
      </c>
      <c r="L2264" s="21" t="inlineStr">
        <is>
          <t>Gujarat</t>
        </is>
      </c>
      <c r="M2264" s="9" t="inlineStr">
        <is>
          <t>PS</t>
        </is>
      </c>
      <c r="N2264" s="3" t="inlineStr">
        <is>
          <t>Cold Soldering</t>
        </is>
      </c>
      <c r="O2264" s="62" t="n">
        <v>540</v>
      </c>
      <c r="P2264" s="9" t="inlineStr">
        <is>
          <t>NSMP2305129570</t>
        </is>
      </c>
      <c r="Q2264" s="53">
        <f>MID(P2264,5,2)</f>
        <v/>
      </c>
      <c r="R2264" s="53">
        <f>MID(P2264,7,2)</f>
        <v/>
      </c>
      <c r="S2264" s="3" t="inlineStr">
        <is>
          <t>G2B</t>
        </is>
      </c>
      <c r="T2264" s="3" t="inlineStr">
        <is>
          <t>P2</t>
        </is>
      </c>
      <c r="U2264" s="3" t="inlineStr">
        <is>
          <t>P JB Cold Soldering</t>
        </is>
      </c>
      <c r="V2264" s="3" t="inlineStr">
        <is>
          <t>Soldering</t>
        </is>
      </c>
      <c r="W2264" s="3" t="inlineStr">
        <is>
          <t>Repair</t>
        </is>
      </c>
      <c r="X2264" s="18" t="n">
        <v>46169</v>
      </c>
      <c r="Y2264" s="3">
        <f>X2264-A2264</f>
        <v/>
      </c>
      <c r="Z2264" s="18" t="n">
        <v>46169</v>
      </c>
      <c r="AA2264" s="15" t="n"/>
      <c r="AB2264" s="15" t="n"/>
    </row>
    <row r="2265">
      <c r="A2265" s="59" t="n">
        <v>46148</v>
      </c>
      <c r="B2265" s="3" t="n">
        <v>2026</v>
      </c>
      <c r="C2265" s="21" t="inlineStr">
        <is>
          <t>Continuum</t>
        </is>
      </c>
      <c r="D2265" s="3" t="inlineStr">
        <is>
          <t>Utility and C&amp;I</t>
        </is>
      </c>
      <c r="E2265" s="3" t="n"/>
      <c r="F2265" s="3" t="inlineStr">
        <is>
          <t>Closed</t>
        </is>
      </c>
      <c r="G2265" s="21" t="inlineStr">
        <is>
          <t>Amiya Ranjan Behera</t>
        </is>
      </c>
      <c r="H2265" s="21" t="n">
        <v>8917436223</v>
      </c>
      <c r="I2265" s="38" t="inlineStr">
        <is>
          <t>PE06052602</t>
        </is>
      </c>
      <c r="J2265" s="21" t="inlineStr">
        <is>
          <t>Diode Bypass Module Issue</t>
        </is>
      </c>
      <c r="K2265" s="21" t="inlineStr">
        <is>
          <t>Bhavnagar</t>
        </is>
      </c>
      <c r="L2265" s="21" t="inlineStr">
        <is>
          <t>Gujarat</t>
        </is>
      </c>
      <c r="M2265" s="9" t="inlineStr">
        <is>
          <t>PR</t>
        </is>
      </c>
      <c r="N2265" s="3" t="inlineStr">
        <is>
          <t>JB Issue</t>
        </is>
      </c>
      <c r="O2265" s="62" t="n">
        <v>540</v>
      </c>
      <c r="P2265" s="9" t="inlineStr">
        <is>
          <t>NSMP2305129879</t>
        </is>
      </c>
      <c r="Q2265" s="53">
        <f>MID(P2265,5,2)</f>
        <v/>
      </c>
      <c r="R2265" s="53">
        <f>MID(P2265,7,2)</f>
        <v/>
      </c>
      <c r="S2265" s="3" t="inlineStr">
        <is>
          <t>G2B</t>
        </is>
      </c>
      <c r="T2265" s="3" t="inlineStr">
        <is>
          <t>P2</t>
        </is>
      </c>
      <c r="U2265" s="3" t="inlineStr">
        <is>
          <t>P JB Issue</t>
        </is>
      </c>
      <c r="V2265" s="15" t="inlineStr">
        <is>
          <t>JB Changed</t>
        </is>
      </c>
      <c r="W2265" s="3" t="inlineStr">
        <is>
          <t>Repair</t>
        </is>
      </c>
      <c r="X2265" s="18" t="n">
        <v>46169</v>
      </c>
      <c r="Y2265" s="3">
        <f>X2265-A2265</f>
        <v/>
      </c>
      <c r="Z2265" s="18" t="n">
        <v>46169</v>
      </c>
      <c r="AA2265" s="15" t="n"/>
      <c r="AB2265" s="15" t="n"/>
    </row>
    <row r="2266">
      <c r="A2266" s="59" t="n">
        <v>46148</v>
      </c>
      <c r="B2266" s="3" t="n">
        <v>2026</v>
      </c>
      <c r="C2266" s="21" t="inlineStr">
        <is>
          <t>Continuum</t>
        </is>
      </c>
      <c r="D2266" s="3" t="inlineStr">
        <is>
          <t>Utility and C&amp;I</t>
        </is>
      </c>
      <c r="E2266" s="3" t="n"/>
      <c r="F2266" s="3" t="inlineStr">
        <is>
          <t>Closed</t>
        </is>
      </c>
      <c r="G2266" s="21" t="inlineStr">
        <is>
          <t>Amiya Ranjan Behera</t>
        </is>
      </c>
      <c r="H2266" s="21" t="n">
        <v>8917436223</v>
      </c>
      <c r="I2266" s="38" t="inlineStr">
        <is>
          <t>PE06052602</t>
        </is>
      </c>
      <c r="J2266" s="21" t="inlineStr">
        <is>
          <t>Diode Bypass Module Issue</t>
        </is>
      </c>
      <c r="K2266" s="21" t="inlineStr">
        <is>
          <t>Bhavnagar</t>
        </is>
      </c>
      <c r="L2266" s="21" t="inlineStr">
        <is>
          <t>Gujarat</t>
        </is>
      </c>
      <c r="M2266" s="9" t="inlineStr">
        <is>
          <t>PNS</t>
        </is>
      </c>
      <c r="N2266" s="3" t="inlineStr">
        <is>
          <t>Cold Soldering</t>
        </is>
      </c>
      <c r="O2266" s="62" t="n">
        <v>540</v>
      </c>
      <c r="P2266" s="9" t="inlineStr">
        <is>
          <t>NSMP2305129429</t>
        </is>
      </c>
      <c r="Q2266" s="53">
        <f>MID(P2266,5,2)</f>
        <v/>
      </c>
      <c r="R2266" s="53">
        <f>MID(P2266,7,2)</f>
        <v/>
      </c>
      <c r="S2266" s="3" t="inlineStr">
        <is>
          <t>G2B</t>
        </is>
      </c>
      <c r="T2266" s="3" t="inlineStr">
        <is>
          <t>P2</t>
        </is>
      </c>
      <c r="U2266" s="3" t="inlineStr">
        <is>
          <t>P &amp; N JB Cold Soldering</t>
        </is>
      </c>
      <c r="V2266" s="3" t="inlineStr">
        <is>
          <t>Soldering</t>
        </is>
      </c>
      <c r="W2266" s="3" t="inlineStr">
        <is>
          <t>Repair</t>
        </is>
      </c>
      <c r="X2266" s="18" t="n">
        <v>46169</v>
      </c>
      <c r="Y2266" s="3">
        <f>X2266-A2266</f>
        <v/>
      </c>
      <c r="Z2266" s="18" t="n">
        <v>46169</v>
      </c>
      <c r="AA2266" s="15" t="n"/>
      <c r="AB2266" s="15" t="n"/>
    </row>
    <row r="2267">
      <c r="A2267" s="59" t="n">
        <v>46148</v>
      </c>
      <c r="B2267" s="3" t="n">
        <v>2026</v>
      </c>
      <c r="C2267" s="21" t="inlineStr">
        <is>
          <t>Continuum</t>
        </is>
      </c>
      <c r="D2267" s="3" t="inlineStr">
        <is>
          <t>Utility and C&amp;I</t>
        </is>
      </c>
      <c r="E2267" s="3" t="n"/>
      <c r="F2267" s="3" t="inlineStr">
        <is>
          <t>Closed</t>
        </is>
      </c>
      <c r="G2267" s="21" t="inlineStr">
        <is>
          <t>Amiya Ranjan Behera</t>
        </is>
      </c>
      <c r="H2267" s="21" t="n">
        <v>8917436223</v>
      </c>
      <c r="I2267" s="38" t="inlineStr">
        <is>
          <t>PE06052602</t>
        </is>
      </c>
      <c r="J2267" s="21" t="inlineStr">
        <is>
          <t>Diode Bypass Module Issue</t>
        </is>
      </c>
      <c r="K2267" s="21" t="inlineStr">
        <is>
          <t>Bhavnagar</t>
        </is>
      </c>
      <c r="L2267" s="21" t="inlineStr">
        <is>
          <t>Gujarat</t>
        </is>
      </c>
      <c r="M2267" s="9" t="inlineStr">
        <is>
          <t>NS</t>
        </is>
      </c>
      <c r="N2267" s="26" t="inlineStr">
        <is>
          <t>Cold Soldering</t>
        </is>
      </c>
      <c r="O2267" s="62" t="n">
        <v>540</v>
      </c>
      <c r="P2267" s="9" t="inlineStr">
        <is>
          <t>NSMP2305130064</t>
        </is>
      </c>
      <c r="Q2267" s="53">
        <f>MID(P2267,5,2)</f>
        <v/>
      </c>
      <c r="R2267" s="53">
        <f>MID(P2267,7,2)</f>
        <v/>
      </c>
      <c r="S2267" s="3" t="inlineStr">
        <is>
          <t>G2B</t>
        </is>
      </c>
      <c r="T2267" s="3" t="inlineStr">
        <is>
          <t>P2</t>
        </is>
      </c>
      <c r="U2267" s="19" t="inlineStr">
        <is>
          <t>N JB Cold Soldering</t>
        </is>
      </c>
      <c r="V2267" s="19" t="inlineStr">
        <is>
          <t>Soldering</t>
        </is>
      </c>
      <c r="W2267" s="3" t="inlineStr">
        <is>
          <t>Repair</t>
        </is>
      </c>
      <c r="X2267" s="18" t="n">
        <v>46169</v>
      </c>
      <c r="Y2267" s="3">
        <f>X2267-A2267</f>
        <v/>
      </c>
      <c r="Z2267" s="18" t="n">
        <v>46169</v>
      </c>
      <c r="AA2267" s="15" t="n"/>
      <c r="AB2267" s="15" t="n"/>
    </row>
    <row r="2268">
      <c r="A2268" s="59" t="n">
        <v>46148</v>
      </c>
      <c r="B2268" s="3" t="n">
        <v>2026</v>
      </c>
      <c r="C2268" s="21" t="inlineStr">
        <is>
          <t>Continuum</t>
        </is>
      </c>
      <c r="D2268" s="3" t="inlineStr">
        <is>
          <t>Utility and C&amp;I</t>
        </is>
      </c>
      <c r="E2268" s="3" t="n"/>
      <c r="F2268" s="3" t="inlineStr">
        <is>
          <t>Closed</t>
        </is>
      </c>
      <c r="G2268" s="21" t="inlineStr">
        <is>
          <t>Amiya Ranjan Behera</t>
        </is>
      </c>
      <c r="H2268" s="21" t="n">
        <v>8917436223</v>
      </c>
      <c r="I2268" s="38" t="inlineStr">
        <is>
          <t>PE06052602</t>
        </is>
      </c>
      <c r="J2268" s="21" t="inlineStr">
        <is>
          <t>Diode Bypass Module Issue</t>
        </is>
      </c>
      <c r="K2268" s="21" t="inlineStr">
        <is>
          <t>Bhavnagar</t>
        </is>
      </c>
      <c r="L2268" s="21" t="inlineStr">
        <is>
          <t>Gujarat</t>
        </is>
      </c>
      <c r="M2268" s="9" t="inlineStr">
        <is>
          <t>PS</t>
        </is>
      </c>
      <c r="N2268" s="3" t="inlineStr">
        <is>
          <t>Cold Soldering</t>
        </is>
      </c>
      <c r="O2268" s="62" t="n">
        <v>540</v>
      </c>
      <c r="P2268" s="9" t="inlineStr">
        <is>
          <t>NSMP2305131518</t>
        </is>
      </c>
      <c r="Q2268" s="53">
        <f>MID(P2268,5,2)</f>
        <v/>
      </c>
      <c r="R2268" s="53">
        <f>MID(P2268,7,2)</f>
        <v/>
      </c>
      <c r="S2268" s="3" t="inlineStr">
        <is>
          <t>G2B</t>
        </is>
      </c>
      <c r="T2268" s="3" t="inlineStr">
        <is>
          <t>P2</t>
        </is>
      </c>
      <c r="U2268" s="3" t="inlineStr">
        <is>
          <t>P JB Cold Soldering</t>
        </is>
      </c>
      <c r="V2268" s="3" t="inlineStr">
        <is>
          <t>Soldering</t>
        </is>
      </c>
      <c r="W2268" s="3" t="inlineStr">
        <is>
          <t>Repair</t>
        </is>
      </c>
      <c r="X2268" s="18" t="n">
        <v>46169</v>
      </c>
      <c r="Y2268" s="3">
        <f>X2268-A2268</f>
        <v/>
      </c>
      <c r="Z2268" s="18" t="n">
        <v>46169</v>
      </c>
      <c r="AA2268" s="15" t="n"/>
      <c r="AB2268" s="15" t="n"/>
    </row>
    <row r="2269" hidden="1" s="233">
      <c r="A2269" s="93" t="n">
        <v>46109</v>
      </c>
      <c r="B2269" s="3" t="n">
        <v>2026</v>
      </c>
      <c r="C2269" s="21" t="inlineStr">
        <is>
          <t>TRUE SUN TRADING COMPANY</t>
        </is>
      </c>
      <c r="D2269" s="3" t="inlineStr">
        <is>
          <t>Channel Sales</t>
        </is>
      </c>
      <c r="E2269" s="3" t="n"/>
      <c r="F2269" s="3" t="inlineStr">
        <is>
          <t>Closed</t>
        </is>
      </c>
      <c r="G2269" s="21" t="inlineStr">
        <is>
          <t>Joel Jacob</t>
        </is>
      </c>
      <c r="H2269" s="21" t="n">
        <v>7902222180</v>
      </c>
      <c r="I2269" s="22" t="inlineStr">
        <is>
          <t>PE28032601</t>
        </is>
      </c>
      <c r="J2269" s="21" t="inlineStr">
        <is>
          <t>Low VOC</t>
        </is>
      </c>
      <c r="K2269" s="21" t="inlineStr">
        <is>
          <t>Pattoor</t>
        </is>
      </c>
      <c r="L2269" s="21" t="inlineStr">
        <is>
          <t>Kerala</t>
        </is>
      </c>
      <c r="M2269" s="9" t="inlineStr">
        <is>
          <t>PS</t>
        </is>
      </c>
      <c r="N2269" s="3" t="inlineStr">
        <is>
          <t>No Issue</t>
        </is>
      </c>
      <c r="O2269" s="60" t="n">
        <v>515</v>
      </c>
      <c r="P2269" s="94" t="inlineStr">
        <is>
          <t>NSMP2303564675</t>
        </is>
      </c>
      <c r="Q2269" s="53">
        <f>MID(P2269,5,2)</f>
        <v/>
      </c>
      <c r="R2269" s="53">
        <f>MID(P2269,7,2)</f>
        <v/>
      </c>
      <c r="S2269" s="3" t="inlineStr">
        <is>
          <t>G2B</t>
        </is>
      </c>
      <c r="T2269" s="3" t="inlineStr">
        <is>
          <t>P2</t>
        </is>
      </c>
      <c r="U2269" s="3" t="inlineStr">
        <is>
          <t>No Issue Found</t>
        </is>
      </c>
      <c r="V2269" s="3" t="inlineStr">
        <is>
          <t>Found OK</t>
        </is>
      </c>
      <c r="W2269" s="3" t="inlineStr">
        <is>
          <t>Repair</t>
        </is>
      </c>
      <c r="X2269" s="18" t="n">
        <v>46169</v>
      </c>
      <c r="Y2269" s="3">
        <f>X2269-A2269</f>
        <v/>
      </c>
      <c r="Z2269" s="18" t="n">
        <v>46169</v>
      </c>
      <c r="AA2269" s="15" t="n"/>
      <c r="AB2269" s="15" t="n"/>
    </row>
    <row r="2270">
      <c r="A2270" s="59" t="n">
        <v>46167</v>
      </c>
      <c r="B2270" s="3" t="n">
        <v>2026</v>
      </c>
      <c r="C2270" s="21" t="inlineStr">
        <is>
          <t>TRUE SUN TRADING COMPANY</t>
        </is>
      </c>
      <c r="D2270" s="3" t="inlineStr">
        <is>
          <t>Channel Sales</t>
        </is>
      </c>
      <c r="E2270" s="3" t="n"/>
      <c r="F2270" s="3" t="inlineStr">
        <is>
          <t>Closed</t>
        </is>
      </c>
      <c r="G2270" s="21" t="inlineStr">
        <is>
          <t>Joel Jacob</t>
        </is>
      </c>
      <c r="H2270" s="21" t="n">
        <v>7902222180</v>
      </c>
      <c r="I2270" s="22" t="inlineStr">
        <is>
          <t>PE25052601</t>
        </is>
      </c>
      <c r="J2270" s="21" t="inlineStr">
        <is>
          <t>Low generation</t>
        </is>
      </c>
      <c r="K2270" s="21" t="inlineStr">
        <is>
          <t>Chandanappally PTA</t>
        </is>
      </c>
      <c r="L2270" s="21" t="inlineStr">
        <is>
          <t>Kerala</t>
        </is>
      </c>
      <c r="M2270" s="9" t="inlineStr">
        <is>
          <t>PS</t>
        </is>
      </c>
      <c r="N2270" s="3" t="inlineStr">
        <is>
          <t>Cold Soldering</t>
        </is>
      </c>
      <c r="O2270" s="60" t="n">
        <v>515</v>
      </c>
      <c r="P2270" s="8" t="inlineStr">
        <is>
          <t>NSMP2303561185</t>
        </is>
      </c>
      <c r="Q2270" s="53">
        <f>MID(P2270,5,2)</f>
        <v/>
      </c>
      <c r="R2270" s="53">
        <f>MID(P2270,7,2)</f>
        <v/>
      </c>
      <c r="S2270" s="3" t="inlineStr">
        <is>
          <t>G2B</t>
        </is>
      </c>
      <c r="T2270" s="3" t="inlineStr">
        <is>
          <t>P2</t>
        </is>
      </c>
      <c r="U2270" s="3" t="inlineStr">
        <is>
          <t>P JB Cold Soldering</t>
        </is>
      </c>
      <c r="V2270" s="3" t="inlineStr">
        <is>
          <t>Soldering</t>
        </is>
      </c>
      <c r="W2270" s="3" t="inlineStr">
        <is>
          <t>Repair</t>
        </is>
      </c>
      <c r="X2270" s="18" t="n">
        <v>46169</v>
      </c>
      <c r="Y2270" s="3">
        <f>X2270-A2270</f>
        <v/>
      </c>
      <c r="Z2270" s="18" t="n">
        <v>46169</v>
      </c>
      <c r="AA2270" s="15" t="n"/>
      <c r="AB2270" s="15" t="n"/>
    </row>
    <row r="2271">
      <c r="A2271" s="59" t="n">
        <v>46148</v>
      </c>
      <c r="B2271" s="3" t="n">
        <v>2026</v>
      </c>
      <c r="C2271" s="21" t="inlineStr">
        <is>
          <t>Continuum</t>
        </is>
      </c>
      <c r="D2271" s="3" t="inlineStr">
        <is>
          <t>Utility and C&amp;I</t>
        </is>
      </c>
      <c r="E2271" s="3" t="n"/>
      <c r="F2271" s="3" t="inlineStr">
        <is>
          <t>Closed</t>
        </is>
      </c>
      <c r="G2271" s="21" t="inlineStr">
        <is>
          <t>Amiya Ranjan Behera</t>
        </is>
      </c>
      <c r="H2271" s="21" t="n">
        <v>8917436223</v>
      </c>
      <c r="I2271" s="38" t="inlineStr">
        <is>
          <t>PE06052602</t>
        </is>
      </c>
      <c r="J2271" s="21" t="inlineStr">
        <is>
          <t>Diode Bypass Module Issue</t>
        </is>
      </c>
      <c r="K2271" s="21" t="inlineStr">
        <is>
          <t>Bhavnagar</t>
        </is>
      </c>
      <c r="L2271" s="21" t="inlineStr">
        <is>
          <t>Gujarat</t>
        </is>
      </c>
      <c r="M2271" s="95" t="inlineStr">
        <is>
          <t>PR</t>
        </is>
      </c>
      <c r="N2271" s="3" t="inlineStr">
        <is>
          <t>JB Issue</t>
        </is>
      </c>
      <c r="O2271" s="62" t="n">
        <v>540</v>
      </c>
      <c r="P2271" s="9" t="inlineStr">
        <is>
          <t>NSMP2305124517</t>
        </is>
      </c>
      <c r="Q2271" s="53">
        <f>MID(P2271,5,2)</f>
        <v/>
      </c>
      <c r="R2271" s="53">
        <f>MID(P2271,7,2)</f>
        <v/>
      </c>
      <c r="S2271" s="3" t="inlineStr">
        <is>
          <t>G2B</t>
        </is>
      </c>
      <c r="T2271" s="3" t="inlineStr">
        <is>
          <t>P2</t>
        </is>
      </c>
      <c r="U2271" s="3" t="inlineStr">
        <is>
          <t>P JB Issue</t>
        </is>
      </c>
      <c r="V2271" s="15" t="inlineStr">
        <is>
          <t>JB Changed</t>
        </is>
      </c>
      <c r="W2271" s="3" t="inlineStr">
        <is>
          <t>Repair</t>
        </is>
      </c>
      <c r="X2271" s="18" t="n">
        <v>46170</v>
      </c>
      <c r="Y2271" s="3">
        <f>X2271-A2271</f>
        <v/>
      </c>
      <c r="Z2271" s="18" t="n">
        <v>46170</v>
      </c>
      <c r="AA2271" s="15" t="n"/>
      <c r="AB2271" s="15" t="n"/>
    </row>
    <row r="2272">
      <c r="A2272" s="59" t="n">
        <v>46148</v>
      </c>
      <c r="B2272" s="3" t="n">
        <v>2026</v>
      </c>
      <c r="C2272" s="21" t="inlineStr">
        <is>
          <t>Continuum</t>
        </is>
      </c>
      <c r="D2272" s="3" t="inlineStr">
        <is>
          <t>Utility and C&amp;I</t>
        </is>
      </c>
      <c r="E2272" s="3" t="n"/>
      <c r="F2272" s="3" t="inlineStr">
        <is>
          <t>Closed</t>
        </is>
      </c>
      <c r="G2272" s="21" t="inlineStr">
        <is>
          <t>Amiya Ranjan Behera</t>
        </is>
      </c>
      <c r="H2272" s="21" t="n">
        <v>8917436223</v>
      </c>
      <c r="I2272" s="38" t="inlineStr">
        <is>
          <t>PE06052602</t>
        </is>
      </c>
      <c r="J2272" s="21" t="inlineStr">
        <is>
          <t>Diode Bypass Module Issue</t>
        </is>
      </c>
      <c r="K2272" s="21" t="inlineStr">
        <is>
          <t>Bhavnagar</t>
        </is>
      </c>
      <c r="L2272" s="21" t="inlineStr">
        <is>
          <t>Gujarat</t>
        </is>
      </c>
      <c r="M2272" s="96" t="inlineStr">
        <is>
          <t>PS</t>
        </is>
      </c>
      <c r="N2272" s="3" t="inlineStr">
        <is>
          <t>Cold Soldering</t>
        </is>
      </c>
      <c r="O2272" s="62" t="n">
        <v>540</v>
      </c>
      <c r="P2272" s="9" t="inlineStr">
        <is>
          <t>NSMP2304070813</t>
        </is>
      </c>
      <c r="Q2272" s="53">
        <f>MID(P2272,5,2)</f>
        <v/>
      </c>
      <c r="R2272" s="53">
        <f>MID(P2272,7,2)</f>
        <v/>
      </c>
      <c r="S2272" s="3" t="inlineStr">
        <is>
          <t>G2B</t>
        </is>
      </c>
      <c r="T2272" s="3" t="inlineStr">
        <is>
          <t>P2</t>
        </is>
      </c>
      <c r="U2272" s="3" t="inlineStr">
        <is>
          <t>P JB Cold Soldering</t>
        </is>
      </c>
      <c r="V2272" s="3" t="inlineStr">
        <is>
          <t>Soldering</t>
        </is>
      </c>
      <c r="W2272" s="3" t="inlineStr">
        <is>
          <t>Repair</t>
        </is>
      </c>
      <c r="X2272" s="18" t="n">
        <v>46170</v>
      </c>
      <c r="Y2272" s="3">
        <f>X2272-A2272</f>
        <v/>
      </c>
      <c r="Z2272" s="18" t="n">
        <v>46170</v>
      </c>
      <c r="AA2272" s="15" t="n"/>
      <c r="AB2272" s="15" t="n"/>
    </row>
    <row r="2273">
      <c r="A2273" s="59" t="n">
        <v>46148</v>
      </c>
      <c r="B2273" s="3" t="n">
        <v>2026</v>
      </c>
      <c r="C2273" s="21" t="inlineStr">
        <is>
          <t>Continuum</t>
        </is>
      </c>
      <c r="D2273" s="3" t="inlineStr">
        <is>
          <t>Utility and C&amp;I</t>
        </is>
      </c>
      <c r="E2273" s="3" t="n"/>
      <c r="F2273" s="3" t="inlineStr">
        <is>
          <t>Closed</t>
        </is>
      </c>
      <c r="G2273" s="21" t="inlineStr">
        <is>
          <t>Amiya Ranjan Behera</t>
        </is>
      </c>
      <c r="H2273" s="21" t="n">
        <v>8917436223</v>
      </c>
      <c r="I2273" s="38" t="inlineStr">
        <is>
          <t>PE06052602</t>
        </is>
      </c>
      <c r="J2273" s="21" t="inlineStr">
        <is>
          <t>Diode Bypass Module Issue</t>
        </is>
      </c>
      <c r="K2273" s="21" t="inlineStr">
        <is>
          <t>Bhavnagar</t>
        </is>
      </c>
      <c r="L2273" s="21" t="inlineStr">
        <is>
          <t>Gujarat</t>
        </is>
      </c>
      <c r="M2273" s="96" t="inlineStr">
        <is>
          <t>PS</t>
        </is>
      </c>
      <c r="N2273" s="3" t="inlineStr">
        <is>
          <t>Cold Soldering</t>
        </is>
      </c>
      <c r="O2273" s="62" t="n">
        <v>540</v>
      </c>
      <c r="P2273" s="9" t="inlineStr">
        <is>
          <t>NSMP2304071755</t>
        </is>
      </c>
      <c r="Q2273" s="53">
        <f>MID(P2273,5,2)</f>
        <v/>
      </c>
      <c r="R2273" s="53">
        <f>MID(P2273,7,2)</f>
        <v/>
      </c>
      <c r="S2273" s="3" t="inlineStr">
        <is>
          <t>G2B</t>
        </is>
      </c>
      <c r="T2273" s="3" t="inlineStr">
        <is>
          <t>P2</t>
        </is>
      </c>
      <c r="U2273" s="3" t="inlineStr">
        <is>
          <t>P JB Cold Soldering</t>
        </is>
      </c>
      <c r="V2273" s="3" t="inlineStr">
        <is>
          <t>Soldering</t>
        </is>
      </c>
      <c r="W2273" s="3" t="inlineStr">
        <is>
          <t>Repair</t>
        </is>
      </c>
      <c r="X2273" s="18" t="n">
        <v>46170</v>
      </c>
      <c r="Y2273" s="3">
        <f>X2273-A2273</f>
        <v/>
      </c>
      <c r="Z2273" s="18" t="n">
        <v>46170</v>
      </c>
      <c r="AA2273" s="15" t="n"/>
      <c r="AB2273" s="15" t="n"/>
    </row>
    <row r="2274">
      <c r="A2274" s="59" t="n">
        <v>46148</v>
      </c>
      <c r="B2274" s="3" t="n">
        <v>2026</v>
      </c>
      <c r="C2274" s="21" t="inlineStr">
        <is>
          <t>Continuum</t>
        </is>
      </c>
      <c r="D2274" s="3" t="inlineStr">
        <is>
          <t>Utility and C&amp;I</t>
        </is>
      </c>
      <c r="E2274" s="3" t="n"/>
      <c r="F2274" s="3" t="inlineStr">
        <is>
          <t>Closed</t>
        </is>
      </c>
      <c r="G2274" s="21" t="inlineStr">
        <is>
          <t>Amiya Ranjan Behera</t>
        </is>
      </c>
      <c r="H2274" s="21" t="n">
        <v>8917436223</v>
      </c>
      <c r="I2274" s="38" t="inlineStr">
        <is>
          <t>PE06052602</t>
        </is>
      </c>
      <c r="J2274" s="21" t="inlineStr">
        <is>
          <t>Diode Bypass Module Issue</t>
        </is>
      </c>
      <c r="K2274" s="21" t="inlineStr">
        <is>
          <t>Bhavnagar</t>
        </is>
      </c>
      <c r="L2274" s="21" t="inlineStr">
        <is>
          <t>Gujarat</t>
        </is>
      </c>
      <c r="M2274" s="96" t="inlineStr">
        <is>
          <t>PS</t>
        </is>
      </c>
      <c r="N2274" s="3" t="inlineStr">
        <is>
          <t>Cold Soldering</t>
        </is>
      </c>
      <c r="O2274" s="62" t="n">
        <v>540</v>
      </c>
      <c r="P2274" s="9" t="inlineStr">
        <is>
          <t>NSMP2304071495</t>
        </is>
      </c>
      <c r="Q2274" s="53">
        <f>MID(P2274,5,2)</f>
        <v/>
      </c>
      <c r="R2274" s="53">
        <f>MID(P2274,7,2)</f>
        <v/>
      </c>
      <c r="S2274" s="3" t="inlineStr">
        <is>
          <t>G2B</t>
        </is>
      </c>
      <c r="T2274" s="3" t="inlineStr">
        <is>
          <t>P2</t>
        </is>
      </c>
      <c r="U2274" s="3" t="inlineStr">
        <is>
          <t>P JB Cold Soldering</t>
        </is>
      </c>
      <c r="V2274" s="3" t="inlineStr">
        <is>
          <t>Soldering</t>
        </is>
      </c>
      <c r="W2274" s="3" t="inlineStr">
        <is>
          <t>Repair</t>
        </is>
      </c>
      <c r="X2274" s="18" t="n">
        <v>46170</v>
      </c>
      <c r="Y2274" s="3">
        <f>X2274-A2274</f>
        <v/>
      </c>
      <c r="Z2274" s="18" t="n">
        <v>46170</v>
      </c>
      <c r="AA2274" s="15" t="n"/>
      <c r="AB2274" s="15" t="n"/>
    </row>
    <row r="2275">
      <c r="A2275" s="59" t="n">
        <v>46148</v>
      </c>
      <c r="B2275" s="3" t="n">
        <v>2026</v>
      </c>
      <c r="C2275" s="21" t="inlineStr">
        <is>
          <t>Continuum</t>
        </is>
      </c>
      <c r="D2275" s="3" t="inlineStr">
        <is>
          <t>Utility and C&amp;I</t>
        </is>
      </c>
      <c r="E2275" s="3" t="n"/>
      <c r="F2275" s="3" t="inlineStr">
        <is>
          <t>Closed</t>
        </is>
      </c>
      <c r="G2275" s="21" t="inlineStr">
        <is>
          <t>Amiya Ranjan Behera</t>
        </is>
      </c>
      <c r="H2275" s="21" t="n">
        <v>8917436223</v>
      </c>
      <c r="I2275" s="38" t="inlineStr">
        <is>
          <t>PE06052602</t>
        </is>
      </c>
      <c r="J2275" s="21" t="inlineStr">
        <is>
          <t>Diode Bypass Module Issue</t>
        </is>
      </c>
      <c r="K2275" s="21" t="inlineStr">
        <is>
          <t>Bhavnagar</t>
        </is>
      </c>
      <c r="L2275" s="21" t="inlineStr">
        <is>
          <t>Gujarat</t>
        </is>
      </c>
      <c r="M2275" s="96" t="inlineStr">
        <is>
          <t>PS</t>
        </is>
      </c>
      <c r="N2275" s="3" t="inlineStr">
        <is>
          <t>Cold Soldering</t>
        </is>
      </c>
      <c r="O2275" s="62" t="n">
        <v>540</v>
      </c>
      <c r="P2275" s="9" t="inlineStr">
        <is>
          <t>NSMP2304071705</t>
        </is>
      </c>
      <c r="Q2275" s="53">
        <f>MID(P2275,5,2)</f>
        <v/>
      </c>
      <c r="R2275" s="53">
        <f>MID(P2275,7,2)</f>
        <v/>
      </c>
      <c r="S2275" s="3" t="inlineStr">
        <is>
          <t>G2B</t>
        </is>
      </c>
      <c r="T2275" s="3" t="inlineStr">
        <is>
          <t>P2</t>
        </is>
      </c>
      <c r="U2275" s="3" t="inlineStr">
        <is>
          <t>P JB Cold Soldering</t>
        </is>
      </c>
      <c r="V2275" s="3" t="inlineStr">
        <is>
          <t>Soldering</t>
        </is>
      </c>
      <c r="W2275" s="3" t="inlineStr">
        <is>
          <t>Repair</t>
        </is>
      </c>
      <c r="X2275" s="18" t="n">
        <v>46170</v>
      </c>
      <c r="Y2275" s="3">
        <f>X2275-A2275</f>
        <v/>
      </c>
      <c r="Z2275" s="18" t="n">
        <v>46170</v>
      </c>
      <c r="AA2275" s="15" t="n"/>
      <c r="AB2275" s="15" t="n"/>
    </row>
    <row r="2276">
      <c r="A2276" s="59" t="n">
        <v>46148</v>
      </c>
      <c r="B2276" s="3" t="n">
        <v>2026</v>
      </c>
      <c r="C2276" s="21" t="inlineStr">
        <is>
          <t>Continuum</t>
        </is>
      </c>
      <c r="D2276" s="3" t="inlineStr">
        <is>
          <t>Utility and C&amp;I</t>
        </is>
      </c>
      <c r="E2276" s="3" t="n"/>
      <c r="F2276" s="3" t="inlineStr">
        <is>
          <t>Closed</t>
        </is>
      </c>
      <c r="G2276" s="21" t="inlineStr">
        <is>
          <t>Amiya Ranjan Behera</t>
        </is>
      </c>
      <c r="H2276" s="21" t="n">
        <v>8917436223</v>
      </c>
      <c r="I2276" s="38" t="inlineStr">
        <is>
          <t>PE06052602</t>
        </is>
      </c>
      <c r="J2276" s="21" t="inlineStr">
        <is>
          <t>Diode Bypass Module Issue</t>
        </is>
      </c>
      <c r="K2276" s="21" t="inlineStr">
        <is>
          <t>Bhavnagar</t>
        </is>
      </c>
      <c r="L2276" s="21" t="inlineStr">
        <is>
          <t>Gujarat</t>
        </is>
      </c>
      <c r="M2276" s="96" t="inlineStr">
        <is>
          <t>PS</t>
        </is>
      </c>
      <c r="N2276" s="3" t="inlineStr">
        <is>
          <t>Cold Soldering</t>
        </is>
      </c>
      <c r="O2276" s="62" t="n">
        <v>540</v>
      </c>
      <c r="P2276" s="9" t="inlineStr">
        <is>
          <t>NSMP2304071717</t>
        </is>
      </c>
      <c r="Q2276" s="53">
        <f>MID(P2276,5,2)</f>
        <v/>
      </c>
      <c r="R2276" s="53">
        <f>MID(P2276,7,2)</f>
        <v/>
      </c>
      <c r="S2276" s="3" t="inlineStr">
        <is>
          <t>G2B</t>
        </is>
      </c>
      <c r="T2276" s="3" t="inlineStr">
        <is>
          <t>P2</t>
        </is>
      </c>
      <c r="U2276" s="3" t="inlineStr">
        <is>
          <t>P JB Cold Soldering</t>
        </is>
      </c>
      <c r="V2276" s="3" t="inlineStr">
        <is>
          <t>Soldering</t>
        </is>
      </c>
      <c r="W2276" s="3" t="inlineStr">
        <is>
          <t>Repair</t>
        </is>
      </c>
      <c r="X2276" s="18" t="n">
        <v>46170</v>
      </c>
      <c r="Y2276" s="3">
        <f>X2276-A2276</f>
        <v/>
      </c>
      <c r="Z2276" s="18" t="n">
        <v>46170</v>
      </c>
      <c r="AA2276" s="15" t="n"/>
      <c r="AB2276" s="15" t="n"/>
    </row>
    <row r="2277">
      <c r="A2277" s="59" t="n">
        <v>46148</v>
      </c>
      <c r="B2277" s="3" t="n">
        <v>2026</v>
      </c>
      <c r="C2277" s="21" t="inlineStr">
        <is>
          <t>Continuum</t>
        </is>
      </c>
      <c r="D2277" s="3" t="inlineStr">
        <is>
          <t>Utility and C&amp;I</t>
        </is>
      </c>
      <c r="E2277" s="3" t="n"/>
      <c r="F2277" s="3" t="inlineStr">
        <is>
          <t>Closed</t>
        </is>
      </c>
      <c r="G2277" s="21" t="inlineStr">
        <is>
          <t>Amiya Ranjan Behera</t>
        </is>
      </c>
      <c r="H2277" s="21" t="n">
        <v>8917436223</v>
      </c>
      <c r="I2277" s="38" t="inlineStr">
        <is>
          <t>PE06052602</t>
        </is>
      </c>
      <c r="J2277" s="21" t="inlineStr">
        <is>
          <t>Diode Bypass Module Issue</t>
        </is>
      </c>
      <c r="K2277" s="21" t="inlineStr">
        <is>
          <t>Bhavnagar</t>
        </is>
      </c>
      <c r="L2277" s="21" t="inlineStr">
        <is>
          <t>Gujarat</t>
        </is>
      </c>
      <c r="M2277" s="96" t="inlineStr">
        <is>
          <t>PS</t>
        </is>
      </c>
      <c r="N2277" s="3" t="inlineStr">
        <is>
          <t>Cold Soldering</t>
        </is>
      </c>
      <c r="O2277" s="62" t="n">
        <v>540</v>
      </c>
      <c r="P2277" s="9" t="inlineStr">
        <is>
          <t>NSMP2304071743</t>
        </is>
      </c>
      <c r="Q2277" s="53">
        <f>MID(P2277,5,2)</f>
        <v/>
      </c>
      <c r="R2277" s="53">
        <f>MID(P2277,7,2)</f>
        <v/>
      </c>
      <c r="S2277" s="3" t="inlineStr">
        <is>
          <t>G2B</t>
        </is>
      </c>
      <c r="T2277" s="3" t="inlineStr">
        <is>
          <t>P2</t>
        </is>
      </c>
      <c r="U2277" s="3" t="inlineStr">
        <is>
          <t>P JB Cold Soldering</t>
        </is>
      </c>
      <c r="V2277" s="3" t="inlineStr">
        <is>
          <t>Soldering</t>
        </is>
      </c>
      <c r="W2277" s="3" t="inlineStr">
        <is>
          <t>Repair</t>
        </is>
      </c>
      <c r="X2277" s="18" t="n">
        <v>46170</v>
      </c>
      <c r="Y2277" s="3">
        <f>X2277-A2277</f>
        <v/>
      </c>
      <c r="Z2277" s="18" t="n">
        <v>46170</v>
      </c>
      <c r="AA2277" s="15" t="n"/>
      <c r="AB2277" s="15" t="n"/>
    </row>
    <row r="2278">
      <c r="A2278" s="59" t="n">
        <v>46148</v>
      </c>
      <c r="B2278" s="3" t="n">
        <v>2026</v>
      </c>
      <c r="C2278" s="21" t="inlineStr">
        <is>
          <t>Continuum</t>
        </is>
      </c>
      <c r="D2278" s="3" t="inlineStr">
        <is>
          <t>Utility and C&amp;I</t>
        </is>
      </c>
      <c r="E2278" s="3" t="n"/>
      <c r="F2278" s="3" t="inlineStr">
        <is>
          <t>Closed</t>
        </is>
      </c>
      <c r="G2278" s="21" t="inlineStr">
        <is>
          <t>Amiya Ranjan Behera</t>
        </is>
      </c>
      <c r="H2278" s="21" t="n">
        <v>8917436223</v>
      </c>
      <c r="I2278" s="38" t="inlineStr">
        <is>
          <t>PE06052602</t>
        </is>
      </c>
      <c r="J2278" s="21" t="inlineStr">
        <is>
          <t>Diode Bypass Module Issue</t>
        </is>
      </c>
      <c r="K2278" s="21" t="inlineStr">
        <is>
          <t>Bhavnagar</t>
        </is>
      </c>
      <c r="L2278" s="21" t="inlineStr">
        <is>
          <t>Gujarat</t>
        </is>
      </c>
      <c r="M2278" s="96" t="inlineStr">
        <is>
          <t>OK</t>
        </is>
      </c>
      <c r="N2278" s="3" t="inlineStr">
        <is>
          <t>No Issue</t>
        </is>
      </c>
      <c r="O2278" s="62" t="n">
        <v>540</v>
      </c>
      <c r="P2278" s="9" t="inlineStr">
        <is>
          <t>NSMP2304075171</t>
        </is>
      </c>
      <c r="Q2278" s="53">
        <f>MID(P2278,5,2)</f>
        <v/>
      </c>
      <c r="R2278" s="53">
        <f>MID(P2278,7,2)</f>
        <v/>
      </c>
      <c r="S2278" s="3" t="inlineStr">
        <is>
          <t>G2B</t>
        </is>
      </c>
      <c r="T2278" s="3" t="inlineStr">
        <is>
          <t>P2</t>
        </is>
      </c>
      <c r="U2278" s="19" t="inlineStr">
        <is>
          <t>No Issue Found</t>
        </is>
      </c>
      <c r="V2278" s="19" t="inlineStr">
        <is>
          <t>Found OK</t>
        </is>
      </c>
      <c r="W2278" s="3" t="inlineStr">
        <is>
          <t>Repair</t>
        </is>
      </c>
      <c r="X2278" s="18" t="n">
        <v>46170</v>
      </c>
      <c r="Y2278" s="3">
        <f>X2278-A2278</f>
        <v/>
      </c>
      <c r="Z2278" s="18" t="n">
        <v>46170</v>
      </c>
      <c r="AA2278" s="15" t="n"/>
      <c r="AB2278" s="15" t="n"/>
    </row>
    <row r="2279">
      <c r="A2279" s="59" t="n">
        <v>46148</v>
      </c>
      <c r="B2279" s="3" t="n">
        <v>2026</v>
      </c>
      <c r="C2279" s="21" t="inlineStr">
        <is>
          <t>Continuum</t>
        </is>
      </c>
      <c r="D2279" s="3" t="inlineStr">
        <is>
          <t>Utility and C&amp;I</t>
        </is>
      </c>
      <c r="E2279" s="3" t="n"/>
      <c r="F2279" s="3" t="inlineStr">
        <is>
          <t>Closed</t>
        </is>
      </c>
      <c r="G2279" s="21" t="inlineStr">
        <is>
          <t>Amiya Ranjan Behera</t>
        </is>
      </c>
      <c r="H2279" s="21" t="n">
        <v>8917436223</v>
      </c>
      <c r="I2279" s="38" t="inlineStr">
        <is>
          <t>PE06052602</t>
        </is>
      </c>
      <c r="J2279" s="21" t="inlineStr">
        <is>
          <t>Diode Bypass Module Issue</t>
        </is>
      </c>
      <c r="K2279" s="21" t="inlineStr">
        <is>
          <t>Bhavnagar</t>
        </is>
      </c>
      <c r="L2279" s="21" t="inlineStr">
        <is>
          <t>Gujarat</t>
        </is>
      </c>
      <c r="M2279" s="96" t="inlineStr">
        <is>
          <t>PS</t>
        </is>
      </c>
      <c r="N2279" s="3" t="inlineStr">
        <is>
          <t>Cold Soldering</t>
        </is>
      </c>
      <c r="O2279" s="62" t="n">
        <v>540</v>
      </c>
      <c r="P2279" s="9" t="inlineStr">
        <is>
          <t>NSMP2304075172</t>
        </is>
      </c>
      <c r="Q2279" s="53">
        <f>MID(P2279,5,2)</f>
        <v/>
      </c>
      <c r="R2279" s="53">
        <f>MID(P2279,7,2)</f>
        <v/>
      </c>
      <c r="S2279" s="3" t="inlineStr">
        <is>
          <t>G2B</t>
        </is>
      </c>
      <c r="T2279" s="3" t="inlineStr">
        <is>
          <t>P2</t>
        </is>
      </c>
      <c r="U2279" s="3" t="inlineStr">
        <is>
          <t>P JB Cold Soldering</t>
        </is>
      </c>
      <c r="V2279" s="3" t="inlineStr">
        <is>
          <t>Soldering</t>
        </is>
      </c>
      <c r="W2279" s="3" t="inlineStr">
        <is>
          <t>Repair</t>
        </is>
      </c>
      <c r="X2279" s="18" t="n">
        <v>46170</v>
      </c>
      <c r="Y2279" s="3">
        <f>X2279-A2279</f>
        <v/>
      </c>
      <c r="Z2279" s="18" t="n">
        <v>46170</v>
      </c>
      <c r="AA2279" s="15" t="n"/>
      <c r="AB2279" s="15" t="n"/>
    </row>
    <row r="2280">
      <c r="A2280" s="59" t="n">
        <v>46148</v>
      </c>
      <c r="B2280" s="3" t="n">
        <v>2026</v>
      </c>
      <c r="C2280" s="21" t="inlineStr">
        <is>
          <t>Continuum</t>
        </is>
      </c>
      <c r="D2280" s="3" t="inlineStr">
        <is>
          <t>Utility and C&amp;I</t>
        </is>
      </c>
      <c r="E2280" s="3" t="n"/>
      <c r="F2280" s="3" t="inlineStr">
        <is>
          <t>Closed</t>
        </is>
      </c>
      <c r="G2280" s="21" t="inlineStr">
        <is>
          <t>Amiya Ranjan Behera</t>
        </is>
      </c>
      <c r="H2280" s="21" t="n">
        <v>8917436223</v>
      </c>
      <c r="I2280" s="38" t="inlineStr">
        <is>
          <t>PE06052602</t>
        </is>
      </c>
      <c r="J2280" s="21" t="inlineStr">
        <is>
          <t>Diode Bypass Module Issue</t>
        </is>
      </c>
      <c r="K2280" s="21" t="inlineStr">
        <is>
          <t>Bhavnagar</t>
        </is>
      </c>
      <c r="L2280" s="21" t="inlineStr">
        <is>
          <t>Gujarat</t>
        </is>
      </c>
      <c r="M2280" s="96" t="inlineStr">
        <is>
          <t>PS</t>
        </is>
      </c>
      <c r="N2280" s="3" t="inlineStr">
        <is>
          <t>Cold Soldering</t>
        </is>
      </c>
      <c r="O2280" s="62" t="n">
        <v>540</v>
      </c>
      <c r="P2280" s="9" t="inlineStr">
        <is>
          <t>NSMP2304077492</t>
        </is>
      </c>
      <c r="Q2280" s="53">
        <f>MID(P2280,5,2)</f>
        <v/>
      </c>
      <c r="R2280" s="53">
        <f>MID(P2280,7,2)</f>
        <v/>
      </c>
      <c r="S2280" s="3" t="inlineStr">
        <is>
          <t>G2B</t>
        </is>
      </c>
      <c r="T2280" s="3" t="inlineStr">
        <is>
          <t>P2</t>
        </is>
      </c>
      <c r="U2280" s="3" t="inlineStr">
        <is>
          <t>P JB Cold Soldering</t>
        </is>
      </c>
      <c r="V2280" s="3" t="inlineStr">
        <is>
          <t>Soldering</t>
        </is>
      </c>
      <c r="W2280" s="3" t="inlineStr">
        <is>
          <t>Repair</t>
        </is>
      </c>
      <c r="X2280" s="18" t="n">
        <v>46170</v>
      </c>
      <c r="Y2280" s="3">
        <f>X2280-A2280</f>
        <v/>
      </c>
      <c r="Z2280" s="18" t="n">
        <v>46170</v>
      </c>
      <c r="AA2280" s="15" t="n"/>
      <c r="AB2280" s="15" t="n"/>
    </row>
    <row r="2281">
      <c r="A2281" s="59" t="n">
        <v>46148</v>
      </c>
      <c r="B2281" s="3" t="n">
        <v>2026</v>
      </c>
      <c r="C2281" s="21" t="inlineStr">
        <is>
          <t>Continuum</t>
        </is>
      </c>
      <c r="D2281" s="3" t="inlineStr">
        <is>
          <t>Utility and C&amp;I</t>
        </is>
      </c>
      <c r="E2281" s="3" t="n"/>
      <c r="F2281" s="3" t="inlineStr">
        <is>
          <t>Closed</t>
        </is>
      </c>
      <c r="G2281" s="21" t="inlineStr">
        <is>
          <t>Amiya Ranjan Behera</t>
        </is>
      </c>
      <c r="H2281" s="21" t="n">
        <v>8917436223</v>
      </c>
      <c r="I2281" s="38" t="inlineStr">
        <is>
          <t>PE06052602</t>
        </is>
      </c>
      <c r="J2281" s="21" t="inlineStr">
        <is>
          <t>Diode Bypass Module Issue</t>
        </is>
      </c>
      <c r="K2281" s="21" t="inlineStr">
        <is>
          <t>Bhavnagar</t>
        </is>
      </c>
      <c r="L2281" s="21" t="inlineStr">
        <is>
          <t>Gujarat</t>
        </is>
      </c>
      <c r="M2281" s="96" t="inlineStr">
        <is>
          <t>PR</t>
        </is>
      </c>
      <c r="N2281" s="3" t="inlineStr">
        <is>
          <t>JB Issue</t>
        </is>
      </c>
      <c r="O2281" s="62" t="n">
        <v>540</v>
      </c>
      <c r="P2281" s="9" t="inlineStr">
        <is>
          <t>NSMP2304076375</t>
        </is>
      </c>
      <c r="Q2281" s="53">
        <f>MID(P2281,5,2)</f>
        <v/>
      </c>
      <c r="R2281" s="53">
        <f>MID(P2281,7,2)</f>
        <v/>
      </c>
      <c r="S2281" s="3" t="inlineStr">
        <is>
          <t>G2B</t>
        </is>
      </c>
      <c r="T2281" s="3" t="inlineStr">
        <is>
          <t>P2</t>
        </is>
      </c>
      <c r="U2281" s="3" t="inlineStr">
        <is>
          <t>P JB Issue</t>
        </is>
      </c>
      <c r="V2281" s="15" t="inlineStr">
        <is>
          <t>JB Changed</t>
        </is>
      </c>
      <c r="W2281" s="3" t="inlineStr">
        <is>
          <t>Repair</t>
        </is>
      </c>
      <c r="X2281" s="18" t="n">
        <v>46170</v>
      </c>
      <c r="Y2281" s="3">
        <f>X2281-A2281</f>
        <v/>
      </c>
      <c r="Z2281" s="18" t="n">
        <v>46170</v>
      </c>
      <c r="AA2281" s="15" t="n"/>
      <c r="AB2281" s="15" t="n"/>
    </row>
    <row r="2282">
      <c r="A2282" s="59" t="n">
        <v>46148</v>
      </c>
      <c r="B2282" s="3" t="n">
        <v>2026</v>
      </c>
      <c r="C2282" s="21" t="inlineStr">
        <is>
          <t>Continuum</t>
        </is>
      </c>
      <c r="D2282" s="3" t="inlineStr">
        <is>
          <t>Utility and C&amp;I</t>
        </is>
      </c>
      <c r="E2282" s="3" t="n"/>
      <c r="F2282" s="3" t="inlineStr">
        <is>
          <t>Closed</t>
        </is>
      </c>
      <c r="G2282" s="21" t="inlineStr">
        <is>
          <t>Amiya Ranjan Behera</t>
        </is>
      </c>
      <c r="H2282" s="21" t="n">
        <v>8917436223</v>
      </c>
      <c r="I2282" s="38" t="inlineStr">
        <is>
          <t>PE06052602</t>
        </is>
      </c>
      <c r="J2282" s="21" t="inlineStr">
        <is>
          <t>Diode Bypass Module Issue</t>
        </is>
      </c>
      <c r="K2282" s="21" t="inlineStr">
        <is>
          <t>Bhavnagar</t>
        </is>
      </c>
      <c r="L2282" s="21" t="inlineStr">
        <is>
          <t>Gujarat</t>
        </is>
      </c>
      <c r="M2282" s="96" t="inlineStr">
        <is>
          <t>PR</t>
        </is>
      </c>
      <c r="N2282" s="3" t="inlineStr">
        <is>
          <t>JB Issue</t>
        </is>
      </c>
      <c r="O2282" s="62" t="n">
        <v>540</v>
      </c>
      <c r="P2282" s="9" t="inlineStr">
        <is>
          <t>NSMP2304075304</t>
        </is>
      </c>
      <c r="Q2282" s="53">
        <f>MID(P2282,5,2)</f>
        <v/>
      </c>
      <c r="R2282" s="53">
        <f>MID(P2282,7,2)</f>
        <v/>
      </c>
      <c r="S2282" s="3" t="inlineStr">
        <is>
          <t>G2B</t>
        </is>
      </c>
      <c r="T2282" s="3" t="inlineStr">
        <is>
          <t>P2</t>
        </is>
      </c>
      <c r="U2282" s="3" t="inlineStr">
        <is>
          <t>P JB Issue</t>
        </is>
      </c>
      <c r="V2282" s="15" t="inlineStr">
        <is>
          <t>JB Changed</t>
        </is>
      </c>
      <c r="W2282" s="3" t="inlineStr">
        <is>
          <t>Repair</t>
        </is>
      </c>
      <c r="X2282" s="18" t="n">
        <v>46170</v>
      </c>
      <c r="Y2282" s="3">
        <f>X2282-A2282</f>
        <v/>
      </c>
      <c r="Z2282" s="18" t="n">
        <v>46170</v>
      </c>
      <c r="AA2282" s="15" t="n"/>
      <c r="AB2282" s="15" t="n"/>
    </row>
    <row r="2283">
      <c r="A2283" s="59" t="n">
        <v>46148</v>
      </c>
      <c r="B2283" s="3" t="n">
        <v>2026</v>
      </c>
      <c r="C2283" s="21" t="inlineStr">
        <is>
          <t>Continuum</t>
        </is>
      </c>
      <c r="D2283" s="3" t="inlineStr">
        <is>
          <t>Utility and C&amp;I</t>
        </is>
      </c>
      <c r="E2283" s="3" t="n"/>
      <c r="F2283" s="3" t="inlineStr">
        <is>
          <t>Closed</t>
        </is>
      </c>
      <c r="G2283" s="21" t="inlineStr">
        <is>
          <t>Amiya Ranjan Behera</t>
        </is>
      </c>
      <c r="H2283" s="21" t="n">
        <v>8917436223</v>
      </c>
      <c r="I2283" s="38" t="inlineStr">
        <is>
          <t>PE06052602</t>
        </is>
      </c>
      <c r="J2283" s="21" t="inlineStr">
        <is>
          <t>Diode Bypass Module Issue</t>
        </is>
      </c>
      <c r="K2283" s="21" t="inlineStr">
        <is>
          <t>Bhavnagar</t>
        </is>
      </c>
      <c r="L2283" s="21" t="inlineStr">
        <is>
          <t>Gujarat</t>
        </is>
      </c>
      <c r="M2283" s="96" t="inlineStr">
        <is>
          <t>PR</t>
        </is>
      </c>
      <c r="N2283" s="3" t="inlineStr">
        <is>
          <t>JB Issue</t>
        </is>
      </c>
      <c r="O2283" s="62" t="n">
        <v>540</v>
      </c>
      <c r="P2283" s="9" t="inlineStr">
        <is>
          <t>NSMP2304077494</t>
        </is>
      </c>
      <c r="Q2283" s="53">
        <f>MID(P2283,5,2)</f>
        <v/>
      </c>
      <c r="R2283" s="53">
        <f>MID(P2283,7,2)</f>
        <v/>
      </c>
      <c r="S2283" s="3" t="inlineStr">
        <is>
          <t>G2B</t>
        </is>
      </c>
      <c r="T2283" s="3" t="inlineStr">
        <is>
          <t>P2</t>
        </is>
      </c>
      <c r="U2283" s="3" t="inlineStr">
        <is>
          <t>P JB Issue</t>
        </is>
      </c>
      <c r="V2283" s="15" t="inlineStr">
        <is>
          <t>JB Changed</t>
        </is>
      </c>
      <c r="W2283" s="3" t="inlineStr">
        <is>
          <t>Repair</t>
        </is>
      </c>
      <c r="X2283" s="18" t="n">
        <v>46170</v>
      </c>
      <c r="Y2283" s="3">
        <f>X2283-A2283</f>
        <v/>
      </c>
      <c r="Z2283" s="18" t="n">
        <v>46170</v>
      </c>
      <c r="AA2283" s="15" t="n"/>
      <c r="AB2283" s="15" t="n"/>
    </row>
    <row r="2284">
      <c r="A2284" s="59" t="n">
        <v>46148</v>
      </c>
      <c r="B2284" s="3" t="n">
        <v>2026</v>
      </c>
      <c r="C2284" s="21" t="inlineStr">
        <is>
          <t>Continuum</t>
        </is>
      </c>
      <c r="D2284" s="3" t="inlineStr">
        <is>
          <t>Utility and C&amp;I</t>
        </is>
      </c>
      <c r="E2284" s="3" t="n"/>
      <c r="F2284" s="3" t="inlineStr">
        <is>
          <t>Closed</t>
        </is>
      </c>
      <c r="G2284" s="21" t="inlineStr">
        <is>
          <t>Amiya Ranjan Behera</t>
        </is>
      </c>
      <c r="H2284" s="21" t="n">
        <v>8917436223</v>
      </c>
      <c r="I2284" s="38" t="inlineStr">
        <is>
          <t>PE06052602</t>
        </is>
      </c>
      <c r="J2284" s="21" t="inlineStr">
        <is>
          <t>Diode Bypass Module Issue</t>
        </is>
      </c>
      <c r="K2284" s="21" t="inlineStr">
        <is>
          <t>Bhavnagar</t>
        </is>
      </c>
      <c r="L2284" s="21" t="inlineStr">
        <is>
          <t>Gujarat</t>
        </is>
      </c>
      <c r="M2284" s="96" t="inlineStr">
        <is>
          <t>OK</t>
        </is>
      </c>
      <c r="N2284" s="3" t="inlineStr">
        <is>
          <t>No Issue</t>
        </is>
      </c>
      <c r="O2284" s="62" t="n">
        <v>540</v>
      </c>
      <c r="P2284" s="9" t="inlineStr">
        <is>
          <t>NSMP2304065859</t>
        </is>
      </c>
      <c r="Q2284" s="53">
        <f>MID(P2284,5,2)</f>
        <v/>
      </c>
      <c r="R2284" s="53">
        <f>MID(P2284,7,2)</f>
        <v/>
      </c>
      <c r="S2284" s="3" t="inlineStr">
        <is>
          <t>G2B</t>
        </is>
      </c>
      <c r="T2284" s="3" t="inlineStr">
        <is>
          <t>P2</t>
        </is>
      </c>
      <c r="U2284" s="19" t="inlineStr">
        <is>
          <t>No Issue Found</t>
        </is>
      </c>
      <c r="V2284" s="19" t="inlineStr">
        <is>
          <t>Found OK</t>
        </is>
      </c>
      <c r="W2284" s="3" t="inlineStr">
        <is>
          <t>Repair</t>
        </is>
      </c>
      <c r="X2284" s="18" t="n">
        <v>46170</v>
      </c>
      <c r="Y2284" s="3">
        <f>X2284-A2284</f>
        <v/>
      </c>
      <c r="Z2284" s="18" t="n">
        <v>46170</v>
      </c>
      <c r="AA2284" s="15" t="n"/>
      <c r="AB2284" s="15" t="n"/>
    </row>
    <row r="2285">
      <c r="A2285" s="59" t="n">
        <v>46148</v>
      </c>
      <c r="B2285" s="3" t="n">
        <v>2026</v>
      </c>
      <c r="C2285" s="21" t="inlineStr">
        <is>
          <t>Continuum</t>
        </is>
      </c>
      <c r="D2285" s="3" t="inlineStr">
        <is>
          <t>Utility and C&amp;I</t>
        </is>
      </c>
      <c r="E2285" s="3" t="n"/>
      <c r="F2285" s="3" t="inlineStr">
        <is>
          <t>Closed</t>
        </is>
      </c>
      <c r="G2285" s="21" t="inlineStr">
        <is>
          <t>Amiya Ranjan Behera</t>
        </is>
      </c>
      <c r="H2285" s="21" t="n">
        <v>8917436223</v>
      </c>
      <c r="I2285" s="38" t="inlineStr">
        <is>
          <t>PE06052602</t>
        </is>
      </c>
      <c r="J2285" s="21" t="inlineStr">
        <is>
          <t>Diode Bypass Module Issue</t>
        </is>
      </c>
      <c r="K2285" s="21" t="inlineStr">
        <is>
          <t>Bhavnagar</t>
        </is>
      </c>
      <c r="L2285" s="21" t="inlineStr">
        <is>
          <t>Gujarat</t>
        </is>
      </c>
      <c r="M2285" s="96" t="inlineStr">
        <is>
          <t>PR</t>
        </is>
      </c>
      <c r="N2285" s="3" t="inlineStr">
        <is>
          <t>JB Issue</t>
        </is>
      </c>
      <c r="O2285" s="62" t="n">
        <v>540</v>
      </c>
      <c r="P2285" s="9" t="inlineStr">
        <is>
          <t>NSMP2305124643</t>
        </is>
      </c>
      <c r="Q2285" s="53">
        <f>MID(P2285,5,2)</f>
        <v/>
      </c>
      <c r="R2285" s="53">
        <f>MID(P2285,7,2)</f>
        <v/>
      </c>
      <c r="S2285" s="3" t="inlineStr">
        <is>
          <t>G2B</t>
        </is>
      </c>
      <c r="T2285" s="3" t="inlineStr">
        <is>
          <t>P2</t>
        </is>
      </c>
      <c r="U2285" s="3" t="inlineStr">
        <is>
          <t>P JB Issue</t>
        </is>
      </c>
      <c r="V2285" s="15" t="inlineStr">
        <is>
          <t>JB Changed</t>
        </is>
      </c>
      <c r="W2285" s="3" t="inlineStr">
        <is>
          <t>Repair</t>
        </is>
      </c>
      <c r="X2285" s="18" t="n">
        <v>46170</v>
      </c>
      <c r="Y2285" s="3">
        <f>X2285-A2285</f>
        <v/>
      </c>
      <c r="Z2285" s="18" t="n">
        <v>46170</v>
      </c>
      <c r="AA2285" s="15" t="n"/>
      <c r="AB2285" s="15" t="n"/>
    </row>
    <row r="2286">
      <c r="A2286" s="59" t="n">
        <v>46148</v>
      </c>
      <c r="B2286" s="3" t="n">
        <v>2026</v>
      </c>
      <c r="C2286" s="21" t="inlineStr">
        <is>
          <t>Continuum</t>
        </is>
      </c>
      <c r="D2286" s="3" t="inlineStr">
        <is>
          <t>Utility and C&amp;I</t>
        </is>
      </c>
      <c r="E2286" s="3" t="n"/>
      <c r="F2286" s="3" t="inlineStr">
        <is>
          <t>Closed</t>
        </is>
      </c>
      <c r="G2286" s="21" t="inlineStr">
        <is>
          <t>Amiya Ranjan Behera</t>
        </is>
      </c>
      <c r="H2286" s="21" t="n">
        <v>8917436223</v>
      </c>
      <c r="I2286" s="38" t="inlineStr">
        <is>
          <t>PE06052602</t>
        </is>
      </c>
      <c r="J2286" s="21" t="inlineStr">
        <is>
          <t>Diode Bypass Module Issue</t>
        </is>
      </c>
      <c r="K2286" s="21" t="inlineStr">
        <is>
          <t>Bhavnagar</t>
        </is>
      </c>
      <c r="L2286" s="21" t="inlineStr">
        <is>
          <t>Gujarat</t>
        </is>
      </c>
      <c r="M2286" s="96" t="inlineStr">
        <is>
          <t>PR</t>
        </is>
      </c>
      <c r="N2286" s="3" t="inlineStr">
        <is>
          <t>JB Issue</t>
        </is>
      </c>
      <c r="O2286" s="62" t="n">
        <v>540</v>
      </c>
      <c r="P2286" s="9" t="inlineStr">
        <is>
          <t>NSMP2305124579</t>
        </is>
      </c>
      <c r="Q2286" s="53">
        <f>MID(P2286,5,2)</f>
        <v/>
      </c>
      <c r="R2286" s="53">
        <f>MID(P2286,7,2)</f>
        <v/>
      </c>
      <c r="S2286" s="3" t="inlineStr">
        <is>
          <t>G2B</t>
        </is>
      </c>
      <c r="T2286" s="3" t="inlineStr">
        <is>
          <t>P2</t>
        </is>
      </c>
      <c r="U2286" s="3" t="inlineStr">
        <is>
          <t>P JB Issue</t>
        </is>
      </c>
      <c r="V2286" s="15" t="inlineStr">
        <is>
          <t>JB Changed</t>
        </is>
      </c>
      <c r="W2286" s="3" t="inlineStr">
        <is>
          <t>Repair</t>
        </is>
      </c>
      <c r="X2286" s="18" t="n">
        <v>46170</v>
      </c>
      <c r="Y2286" s="3">
        <f>X2286-A2286</f>
        <v/>
      </c>
      <c r="Z2286" s="18" t="n">
        <v>46170</v>
      </c>
      <c r="AA2286" s="15" t="n"/>
      <c r="AB2286" s="15" t="n"/>
    </row>
    <row r="2287">
      <c r="A2287" s="59" t="n">
        <v>46148</v>
      </c>
      <c r="B2287" s="3" t="n">
        <v>2026</v>
      </c>
      <c r="C2287" s="21" t="inlineStr">
        <is>
          <t>Continuum</t>
        </is>
      </c>
      <c r="D2287" s="3" t="inlineStr">
        <is>
          <t>Utility and C&amp;I</t>
        </is>
      </c>
      <c r="E2287" s="3" t="n"/>
      <c r="F2287" s="3" t="inlineStr">
        <is>
          <t>Closed</t>
        </is>
      </c>
      <c r="G2287" s="21" t="inlineStr">
        <is>
          <t>Amiya Ranjan Behera</t>
        </is>
      </c>
      <c r="H2287" s="21" t="n">
        <v>8917436223</v>
      </c>
      <c r="I2287" s="38" t="inlineStr">
        <is>
          <t>PE06052602</t>
        </is>
      </c>
      <c r="J2287" s="21" t="inlineStr">
        <is>
          <t>Diode Bypass Module Issue</t>
        </is>
      </c>
      <c r="K2287" s="21" t="inlineStr">
        <is>
          <t>Bhavnagar</t>
        </is>
      </c>
      <c r="L2287" s="21" t="inlineStr">
        <is>
          <t>Gujarat</t>
        </is>
      </c>
      <c r="M2287" s="96" t="inlineStr">
        <is>
          <t>PS</t>
        </is>
      </c>
      <c r="N2287" s="3" t="inlineStr">
        <is>
          <t>Cold Soldering</t>
        </is>
      </c>
      <c r="O2287" s="62" t="n">
        <v>540</v>
      </c>
      <c r="P2287" s="9" t="inlineStr">
        <is>
          <t>NSMP2305124607</t>
        </is>
      </c>
      <c r="Q2287" s="53">
        <f>MID(P2287,5,2)</f>
        <v/>
      </c>
      <c r="R2287" s="53">
        <f>MID(P2287,7,2)</f>
        <v/>
      </c>
      <c r="S2287" s="3" t="inlineStr">
        <is>
          <t>G2B</t>
        </is>
      </c>
      <c r="T2287" s="3" t="inlineStr">
        <is>
          <t>P2</t>
        </is>
      </c>
      <c r="U2287" s="3" t="inlineStr">
        <is>
          <t>P JB Cold Soldering</t>
        </is>
      </c>
      <c r="V2287" s="3" t="inlineStr">
        <is>
          <t>Soldering</t>
        </is>
      </c>
      <c r="W2287" s="3" t="inlineStr">
        <is>
          <t>Repair</t>
        </is>
      </c>
      <c r="X2287" s="18" t="n">
        <v>46170</v>
      </c>
      <c r="Y2287" s="3">
        <f>X2287-A2287</f>
        <v/>
      </c>
      <c r="Z2287" s="18" t="n">
        <v>46170</v>
      </c>
      <c r="AA2287" s="15" t="n"/>
      <c r="AB2287" s="15" t="n"/>
    </row>
    <row r="2288">
      <c r="A2288" s="59" t="n">
        <v>46148</v>
      </c>
      <c r="B2288" s="3" t="n">
        <v>2026</v>
      </c>
      <c r="C2288" s="21" t="inlineStr">
        <is>
          <t>Continuum</t>
        </is>
      </c>
      <c r="D2288" s="3" t="inlineStr">
        <is>
          <t>Utility and C&amp;I</t>
        </is>
      </c>
      <c r="E2288" s="3" t="n"/>
      <c r="F2288" s="3" t="inlineStr">
        <is>
          <t>Closed</t>
        </is>
      </c>
      <c r="G2288" s="21" t="inlineStr">
        <is>
          <t>Amiya Ranjan Behera</t>
        </is>
      </c>
      <c r="H2288" s="21" t="n">
        <v>8917436223</v>
      </c>
      <c r="I2288" s="38" t="inlineStr">
        <is>
          <t>PE06052602</t>
        </is>
      </c>
      <c r="J2288" s="21" t="inlineStr">
        <is>
          <t>Diode Bypass Module Issue</t>
        </is>
      </c>
      <c r="K2288" s="21" t="inlineStr">
        <is>
          <t>Bhavnagar</t>
        </is>
      </c>
      <c r="L2288" s="21" t="inlineStr">
        <is>
          <t>Gujarat</t>
        </is>
      </c>
      <c r="M2288" s="96" t="inlineStr">
        <is>
          <t>PS</t>
        </is>
      </c>
      <c r="N2288" s="3" t="inlineStr">
        <is>
          <t>Cold Soldering</t>
        </is>
      </c>
      <c r="O2288" s="62" t="n">
        <v>540</v>
      </c>
      <c r="P2288" s="9" t="inlineStr">
        <is>
          <t>NSMP2305124620</t>
        </is>
      </c>
      <c r="Q2288" s="53">
        <f>MID(P2288,5,2)</f>
        <v/>
      </c>
      <c r="R2288" s="53">
        <f>MID(P2288,7,2)</f>
        <v/>
      </c>
      <c r="S2288" s="3" t="inlineStr">
        <is>
          <t>G2B</t>
        </is>
      </c>
      <c r="T2288" s="3" t="inlineStr">
        <is>
          <t>P2</t>
        </is>
      </c>
      <c r="U2288" s="3" t="inlineStr">
        <is>
          <t>P JB Cold Soldering</t>
        </is>
      </c>
      <c r="V2288" s="3" t="inlineStr">
        <is>
          <t>Soldering</t>
        </is>
      </c>
      <c r="W2288" s="3" t="inlineStr">
        <is>
          <t>Repair</t>
        </is>
      </c>
      <c r="X2288" s="18" t="n">
        <v>46170</v>
      </c>
      <c r="Y2288" s="3">
        <f>X2288-A2288</f>
        <v/>
      </c>
      <c r="Z2288" s="18" t="n">
        <v>46170</v>
      </c>
      <c r="AA2288" s="15" t="n"/>
      <c r="AB2288" s="15" t="n"/>
    </row>
    <row r="2289">
      <c r="A2289" s="59" t="n">
        <v>46148</v>
      </c>
      <c r="B2289" s="3" t="n">
        <v>2026</v>
      </c>
      <c r="C2289" s="21" t="inlineStr">
        <is>
          <t>Continuum</t>
        </is>
      </c>
      <c r="D2289" s="3" t="inlineStr">
        <is>
          <t>Utility and C&amp;I</t>
        </is>
      </c>
      <c r="E2289" s="3" t="n"/>
      <c r="F2289" s="3" t="inlineStr">
        <is>
          <t>Closed</t>
        </is>
      </c>
      <c r="G2289" s="21" t="inlineStr">
        <is>
          <t>Amiya Ranjan Behera</t>
        </is>
      </c>
      <c r="H2289" s="21" t="n">
        <v>8917436223</v>
      </c>
      <c r="I2289" s="38" t="inlineStr">
        <is>
          <t>PE06052602</t>
        </is>
      </c>
      <c r="J2289" s="21" t="inlineStr">
        <is>
          <t>Diode Bypass Module Issue</t>
        </is>
      </c>
      <c r="K2289" s="21" t="inlineStr">
        <is>
          <t>Bhavnagar</t>
        </is>
      </c>
      <c r="L2289" s="21" t="inlineStr">
        <is>
          <t>Gujarat</t>
        </is>
      </c>
      <c r="M2289" s="96" t="inlineStr">
        <is>
          <t>NR</t>
        </is>
      </c>
      <c r="N2289" s="26" t="inlineStr">
        <is>
          <t>JB Issue</t>
        </is>
      </c>
      <c r="O2289" s="62" t="n">
        <v>540</v>
      </c>
      <c r="P2289" s="9" t="inlineStr">
        <is>
          <t>NSMP2304063520</t>
        </is>
      </c>
      <c r="Q2289" s="53">
        <f>MID(P2289,5,2)</f>
        <v/>
      </c>
      <c r="R2289" s="53">
        <f>MID(P2289,7,2)</f>
        <v/>
      </c>
      <c r="S2289" s="3" t="inlineStr">
        <is>
          <t>G2B</t>
        </is>
      </c>
      <c r="T2289" s="3" t="inlineStr">
        <is>
          <t>P2</t>
        </is>
      </c>
      <c r="U2289" s="19" t="inlineStr">
        <is>
          <t>N JB Issue</t>
        </is>
      </c>
      <c r="V2289" s="19" t="inlineStr">
        <is>
          <t>JB Changed</t>
        </is>
      </c>
      <c r="W2289" s="3" t="inlineStr">
        <is>
          <t>Repair</t>
        </is>
      </c>
      <c r="X2289" s="18" t="n">
        <v>46170</v>
      </c>
      <c r="Y2289" s="3">
        <f>X2289-A2289</f>
        <v/>
      </c>
      <c r="Z2289" s="18" t="n">
        <v>46170</v>
      </c>
      <c r="AA2289" s="15" t="n"/>
      <c r="AB2289" s="15" t="n"/>
    </row>
    <row r="2290">
      <c r="A2290" s="59" t="n">
        <v>46148</v>
      </c>
      <c r="B2290" s="3" t="n">
        <v>2026</v>
      </c>
      <c r="C2290" s="21" t="inlineStr">
        <is>
          <t>Continuum</t>
        </is>
      </c>
      <c r="D2290" s="3" t="inlineStr">
        <is>
          <t>Utility and C&amp;I</t>
        </is>
      </c>
      <c r="E2290" s="3" t="n"/>
      <c r="F2290" s="3" t="inlineStr">
        <is>
          <t>Closed</t>
        </is>
      </c>
      <c r="G2290" s="21" t="inlineStr">
        <is>
          <t>Amiya Ranjan Behera</t>
        </is>
      </c>
      <c r="H2290" s="21" t="n">
        <v>8917436223</v>
      </c>
      <c r="I2290" s="38" t="inlineStr">
        <is>
          <t>PE06052602</t>
        </is>
      </c>
      <c r="J2290" s="21" t="inlineStr">
        <is>
          <t>Diode Bypass Module Issue</t>
        </is>
      </c>
      <c r="K2290" s="21" t="inlineStr">
        <is>
          <t>Bhavnagar</t>
        </is>
      </c>
      <c r="L2290" s="21" t="inlineStr">
        <is>
          <t>Gujarat</t>
        </is>
      </c>
      <c r="M2290" s="96" t="inlineStr">
        <is>
          <t>PS</t>
        </is>
      </c>
      <c r="N2290" s="3" t="inlineStr">
        <is>
          <t>Cold Soldering</t>
        </is>
      </c>
      <c r="O2290" s="62" t="n">
        <v>540</v>
      </c>
      <c r="P2290" s="9" t="inlineStr">
        <is>
          <t>NSMP2304066752</t>
        </is>
      </c>
      <c r="Q2290" s="53">
        <f>MID(P2290,5,2)</f>
        <v/>
      </c>
      <c r="R2290" s="53">
        <f>MID(P2290,7,2)</f>
        <v/>
      </c>
      <c r="S2290" s="3" t="inlineStr">
        <is>
          <t>G2B</t>
        </is>
      </c>
      <c r="T2290" s="3" t="inlineStr">
        <is>
          <t>P2</t>
        </is>
      </c>
      <c r="U2290" s="3" t="inlineStr">
        <is>
          <t>P JB Cold Soldering</t>
        </is>
      </c>
      <c r="V2290" s="3" t="inlineStr">
        <is>
          <t>Soldering</t>
        </is>
      </c>
      <c r="W2290" s="3" t="inlineStr">
        <is>
          <t>Repair</t>
        </is>
      </c>
      <c r="X2290" s="18" t="n">
        <v>46170</v>
      </c>
      <c r="Y2290" s="3">
        <f>X2290-A2290</f>
        <v/>
      </c>
      <c r="Z2290" s="18" t="n">
        <v>46170</v>
      </c>
      <c r="AA2290" s="15" t="n"/>
      <c r="AB2290" s="15" t="n"/>
    </row>
    <row r="2291">
      <c r="A2291" s="59" t="n">
        <v>46148</v>
      </c>
      <c r="B2291" s="3" t="n">
        <v>2026</v>
      </c>
      <c r="C2291" s="21" t="inlineStr">
        <is>
          <t>Continuum</t>
        </is>
      </c>
      <c r="D2291" s="3" t="inlineStr">
        <is>
          <t>Utility and C&amp;I</t>
        </is>
      </c>
      <c r="E2291" s="3" t="n"/>
      <c r="F2291" s="3" t="inlineStr">
        <is>
          <t>Closed</t>
        </is>
      </c>
      <c r="G2291" s="21" t="inlineStr">
        <is>
          <t>Amiya Ranjan Behera</t>
        </is>
      </c>
      <c r="H2291" s="21" t="n">
        <v>8917436223</v>
      </c>
      <c r="I2291" s="38" t="inlineStr">
        <is>
          <t>PE06052602</t>
        </is>
      </c>
      <c r="J2291" s="21" t="inlineStr">
        <is>
          <t>Diode Bypass Module Issue</t>
        </is>
      </c>
      <c r="K2291" s="21" t="inlineStr">
        <is>
          <t>Bhavnagar</t>
        </is>
      </c>
      <c r="L2291" s="21" t="inlineStr">
        <is>
          <t>Gujarat</t>
        </is>
      </c>
      <c r="M2291" s="96" t="inlineStr">
        <is>
          <t>PS</t>
        </is>
      </c>
      <c r="N2291" s="3" t="inlineStr">
        <is>
          <t>Cold Soldering</t>
        </is>
      </c>
      <c r="O2291" s="62" t="n">
        <v>540</v>
      </c>
      <c r="P2291" s="9" t="inlineStr">
        <is>
          <t>NSMP2304067106</t>
        </is>
      </c>
      <c r="Q2291" s="53">
        <f>MID(P2291,5,2)</f>
        <v/>
      </c>
      <c r="R2291" s="53">
        <f>MID(P2291,7,2)</f>
        <v/>
      </c>
      <c r="S2291" s="3" t="inlineStr">
        <is>
          <t>G2B</t>
        </is>
      </c>
      <c r="T2291" s="3" t="inlineStr">
        <is>
          <t>P2</t>
        </is>
      </c>
      <c r="U2291" s="3" t="inlineStr">
        <is>
          <t>P JB Cold Soldering</t>
        </is>
      </c>
      <c r="V2291" s="3" t="inlineStr">
        <is>
          <t>Soldering</t>
        </is>
      </c>
      <c r="W2291" s="3" t="inlineStr">
        <is>
          <t>Repair</t>
        </is>
      </c>
      <c r="X2291" s="18" t="n">
        <v>46170</v>
      </c>
      <c r="Y2291" s="3">
        <f>X2291-A2291</f>
        <v/>
      </c>
      <c r="Z2291" s="18" t="n">
        <v>46170</v>
      </c>
      <c r="AA2291" s="15" t="n"/>
      <c r="AB2291" s="15" t="n"/>
    </row>
    <row r="2292">
      <c r="A2292" s="59" t="n">
        <v>46148</v>
      </c>
      <c r="B2292" s="3" t="n">
        <v>2026</v>
      </c>
      <c r="C2292" s="21" t="inlineStr">
        <is>
          <t>Continuum</t>
        </is>
      </c>
      <c r="D2292" s="3" t="inlineStr">
        <is>
          <t>Utility and C&amp;I</t>
        </is>
      </c>
      <c r="E2292" s="3" t="n"/>
      <c r="F2292" s="3" t="inlineStr">
        <is>
          <t>Closed</t>
        </is>
      </c>
      <c r="G2292" s="21" t="inlineStr">
        <is>
          <t>Amiya Ranjan Behera</t>
        </is>
      </c>
      <c r="H2292" s="21" t="n">
        <v>8917436223</v>
      </c>
      <c r="I2292" s="38" t="inlineStr">
        <is>
          <t>PE06052602</t>
        </is>
      </c>
      <c r="J2292" s="21" t="inlineStr">
        <is>
          <t>Diode Bypass Module Issue</t>
        </is>
      </c>
      <c r="K2292" s="21" t="inlineStr">
        <is>
          <t>Bhavnagar</t>
        </is>
      </c>
      <c r="L2292" s="21" t="inlineStr">
        <is>
          <t>Gujarat</t>
        </is>
      </c>
      <c r="M2292" s="96" t="inlineStr">
        <is>
          <t>PR</t>
        </is>
      </c>
      <c r="N2292" s="3" t="inlineStr">
        <is>
          <t>JB Issue</t>
        </is>
      </c>
      <c r="O2292" s="62" t="n">
        <v>540</v>
      </c>
      <c r="P2292" s="9" t="inlineStr">
        <is>
          <t>NSMP2304067148</t>
        </is>
      </c>
      <c r="Q2292" s="53">
        <f>MID(P2292,5,2)</f>
        <v/>
      </c>
      <c r="R2292" s="53">
        <f>MID(P2292,7,2)</f>
        <v/>
      </c>
      <c r="S2292" s="3" t="inlineStr">
        <is>
          <t>G2B</t>
        </is>
      </c>
      <c r="T2292" s="3" t="inlineStr">
        <is>
          <t>P2</t>
        </is>
      </c>
      <c r="U2292" s="3" t="inlineStr">
        <is>
          <t>P JB Issue</t>
        </is>
      </c>
      <c r="V2292" s="15" t="inlineStr">
        <is>
          <t>JB Changed</t>
        </is>
      </c>
      <c r="W2292" s="3" t="inlineStr">
        <is>
          <t>Repair</t>
        </is>
      </c>
      <c r="X2292" s="18" t="n">
        <v>46170</v>
      </c>
      <c r="Y2292" s="3">
        <f>X2292-A2292</f>
        <v/>
      </c>
      <c r="Z2292" s="18" t="n">
        <v>46170</v>
      </c>
      <c r="AA2292" s="15" t="n"/>
      <c r="AB2292" s="15" t="n"/>
    </row>
    <row r="2293">
      <c r="A2293" s="59" t="n">
        <v>46148</v>
      </c>
      <c r="B2293" s="3" t="n">
        <v>2026</v>
      </c>
      <c r="C2293" s="21" t="inlineStr">
        <is>
          <t>Continuum</t>
        </is>
      </c>
      <c r="D2293" s="3" t="inlineStr">
        <is>
          <t>Utility and C&amp;I</t>
        </is>
      </c>
      <c r="E2293" s="3" t="n"/>
      <c r="F2293" s="3" t="inlineStr">
        <is>
          <t>Closed</t>
        </is>
      </c>
      <c r="G2293" s="21" t="inlineStr">
        <is>
          <t>Amiya Ranjan Behera</t>
        </is>
      </c>
      <c r="H2293" s="21" t="n">
        <v>8917436223</v>
      </c>
      <c r="I2293" s="38" t="inlineStr">
        <is>
          <t>PE06052602</t>
        </is>
      </c>
      <c r="J2293" s="21" t="inlineStr">
        <is>
          <t>Diode Bypass Module Issue</t>
        </is>
      </c>
      <c r="K2293" s="21" t="inlineStr">
        <is>
          <t>Bhavnagar</t>
        </is>
      </c>
      <c r="L2293" s="21" t="inlineStr">
        <is>
          <t>Gujarat</t>
        </is>
      </c>
      <c r="M2293" s="96" t="inlineStr">
        <is>
          <t>PS</t>
        </is>
      </c>
      <c r="N2293" s="3" t="inlineStr">
        <is>
          <t>Cold Soldering</t>
        </is>
      </c>
      <c r="O2293" s="62" t="n">
        <v>540</v>
      </c>
      <c r="P2293" s="9" t="inlineStr">
        <is>
          <t>NSMP2304067194</t>
        </is>
      </c>
      <c r="Q2293" s="53">
        <f>MID(P2293,5,2)</f>
        <v/>
      </c>
      <c r="R2293" s="53">
        <f>MID(P2293,7,2)</f>
        <v/>
      </c>
      <c r="S2293" s="3" t="inlineStr">
        <is>
          <t>G2B</t>
        </is>
      </c>
      <c r="T2293" s="3" t="inlineStr">
        <is>
          <t>P2</t>
        </is>
      </c>
      <c r="U2293" s="3" t="inlineStr">
        <is>
          <t>P JB Cold Soldering</t>
        </is>
      </c>
      <c r="V2293" s="3" t="inlineStr">
        <is>
          <t>Soldering</t>
        </is>
      </c>
      <c r="W2293" s="3" t="inlineStr">
        <is>
          <t>Repair</t>
        </is>
      </c>
      <c r="X2293" s="18" t="n">
        <v>46170</v>
      </c>
      <c r="Y2293" s="3">
        <f>X2293-A2293</f>
        <v/>
      </c>
      <c r="Z2293" s="18" t="n">
        <v>46170</v>
      </c>
      <c r="AA2293" s="15" t="n"/>
      <c r="AB2293" s="15" t="n"/>
    </row>
    <row r="2294">
      <c r="A2294" s="59" t="n">
        <v>46148</v>
      </c>
      <c r="B2294" s="3" t="n">
        <v>2026</v>
      </c>
      <c r="C2294" s="21" t="inlineStr">
        <is>
          <t>Continuum</t>
        </is>
      </c>
      <c r="D2294" s="3" t="inlineStr">
        <is>
          <t>Utility and C&amp;I</t>
        </is>
      </c>
      <c r="E2294" s="3" t="n"/>
      <c r="F2294" s="3" t="inlineStr">
        <is>
          <t>Closed</t>
        </is>
      </c>
      <c r="G2294" s="21" t="inlineStr">
        <is>
          <t>Amiya Ranjan Behera</t>
        </is>
      </c>
      <c r="H2294" s="21" t="n">
        <v>8917436223</v>
      </c>
      <c r="I2294" s="38" t="inlineStr">
        <is>
          <t>PE06052602</t>
        </is>
      </c>
      <c r="J2294" s="21" t="inlineStr">
        <is>
          <t>Diode Bypass Module Issue</t>
        </is>
      </c>
      <c r="K2294" s="21" t="inlineStr">
        <is>
          <t>Bhavnagar</t>
        </is>
      </c>
      <c r="L2294" s="21" t="inlineStr">
        <is>
          <t>Gujarat</t>
        </is>
      </c>
      <c r="M2294" s="96" t="inlineStr">
        <is>
          <t>PS</t>
        </is>
      </c>
      <c r="N2294" s="3" t="inlineStr">
        <is>
          <t>Cold Soldering</t>
        </is>
      </c>
      <c r="O2294" s="62" t="n">
        <v>540</v>
      </c>
      <c r="P2294" s="9" t="inlineStr">
        <is>
          <t>NSMP2304067201</t>
        </is>
      </c>
      <c r="Q2294" s="53">
        <f>MID(P2294,5,2)</f>
        <v/>
      </c>
      <c r="R2294" s="53">
        <f>MID(P2294,7,2)</f>
        <v/>
      </c>
      <c r="S2294" s="3" t="inlineStr">
        <is>
          <t>G2B</t>
        </is>
      </c>
      <c r="T2294" s="3" t="inlineStr">
        <is>
          <t>P2</t>
        </is>
      </c>
      <c r="U2294" s="3" t="inlineStr">
        <is>
          <t>P JB Cold Soldering</t>
        </is>
      </c>
      <c r="V2294" s="3" t="inlineStr">
        <is>
          <t>Soldering</t>
        </is>
      </c>
      <c r="W2294" s="3" t="inlineStr">
        <is>
          <t>Repair</t>
        </is>
      </c>
      <c r="X2294" s="18" t="n">
        <v>46170</v>
      </c>
      <c r="Y2294" s="3">
        <f>X2294-A2294</f>
        <v/>
      </c>
      <c r="Z2294" s="18" t="n">
        <v>46170</v>
      </c>
      <c r="AA2294" s="15" t="n"/>
      <c r="AB2294" s="15" t="n"/>
    </row>
    <row r="2295">
      <c r="A2295" s="59" t="n">
        <v>46148</v>
      </c>
      <c r="B2295" s="3" t="n">
        <v>2026</v>
      </c>
      <c r="C2295" s="21" t="inlineStr">
        <is>
          <t>Continuum</t>
        </is>
      </c>
      <c r="D2295" s="3" t="inlineStr">
        <is>
          <t>Utility and C&amp;I</t>
        </is>
      </c>
      <c r="E2295" s="3" t="n"/>
      <c r="F2295" s="3" t="inlineStr">
        <is>
          <t>Closed</t>
        </is>
      </c>
      <c r="G2295" s="21" t="inlineStr">
        <is>
          <t>Amiya Ranjan Behera</t>
        </is>
      </c>
      <c r="H2295" s="21" t="n">
        <v>8917436223</v>
      </c>
      <c r="I2295" s="38" t="inlineStr">
        <is>
          <t>PE06052602</t>
        </is>
      </c>
      <c r="J2295" s="21" t="inlineStr">
        <is>
          <t>Diode Bypass Module Issue</t>
        </is>
      </c>
      <c r="K2295" s="21" t="inlineStr">
        <is>
          <t>Bhavnagar</t>
        </is>
      </c>
      <c r="L2295" s="21" t="inlineStr">
        <is>
          <t>Gujarat</t>
        </is>
      </c>
      <c r="M2295" s="96" t="inlineStr">
        <is>
          <t>PR</t>
        </is>
      </c>
      <c r="N2295" s="3" t="inlineStr">
        <is>
          <t>JB Issue</t>
        </is>
      </c>
      <c r="O2295" s="62" t="n">
        <v>540</v>
      </c>
      <c r="P2295" s="9" t="inlineStr">
        <is>
          <t>NSMP2304067226</t>
        </is>
      </c>
      <c r="Q2295" s="53">
        <f>MID(P2295,5,2)</f>
        <v/>
      </c>
      <c r="R2295" s="53">
        <f>MID(P2295,7,2)</f>
        <v/>
      </c>
      <c r="S2295" s="3" t="inlineStr">
        <is>
          <t>G2B</t>
        </is>
      </c>
      <c r="T2295" s="3" t="inlineStr">
        <is>
          <t>P2</t>
        </is>
      </c>
      <c r="U2295" s="3" t="inlineStr">
        <is>
          <t>P JB Issue</t>
        </is>
      </c>
      <c r="V2295" s="15" t="inlineStr">
        <is>
          <t>JB Changed</t>
        </is>
      </c>
      <c r="W2295" s="3" t="inlineStr">
        <is>
          <t>Repair</t>
        </is>
      </c>
      <c r="X2295" s="18" t="n">
        <v>46170</v>
      </c>
      <c r="Y2295" s="3">
        <f>X2295-A2295</f>
        <v/>
      </c>
      <c r="Z2295" s="18" t="n">
        <v>46170</v>
      </c>
      <c r="AA2295" s="15" t="n"/>
      <c r="AB2295" s="15" t="n"/>
    </row>
    <row r="2296">
      <c r="A2296" s="59" t="n">
        <v>46148</v>
      </c>
      <c r="B2296" s="3" t="n">
        <v>2026</v>
      </c>
      <c r="C2296" s="21" t="inlineStr">
        <is>
          <t>Continuum</t>
        </is>
      </c>
      <c r="D2296" s="3" t="inlineStr">
        <is>
          <t>Utility and C&amp;I</t>
        </is>
      </c>
      <c r="E2296" s="3" t="n"/>
      <c r="F2296" s="3" t="inlineStr">
        <is>
          <t>Closed</t>
        </is>
      </c>
      <c r="G2296" s="21" t="inlineStr">
        <is>
          <t>Amiya Ranjan Behera</t>
        </is>
      </c>
      <c r="H2296" s="21" t="n">
        <v>8917436223</v>
      </c>
      <c r="I2296" s="38" t="inlineStr">
        <is>
          <t>PE06052602</t>
        </is>
      </c>
      <c r="J2296" s="21" t="inlineStr">
        <is>
          <t>Diode Bypass Module Issue</t>
        </is>
      </c>
      <c r="K2296" s="21" t="inlineStr">
        <is>
          <t>Bhavnagar</t>
        </is>
      </c>
      <c r="L2296" s="21" t="inlineStr">
        <is>
          <t>Gujarat</t>
        </is>
      </c>
      <c r="M2296" s="96" t="inlineStr">
        <is>
          <t>OK</t>
        </is>
      </c>
      <c r="N2296" s="3" t="inlineStr">
        <is>
          <t>No Issue</t>
        </is>
      </c>
      <c r="O2296" s="62" t="n">
        <v>540</v>
      </c>
      <c r="P2296" s="9" t="inlineStr">
        <is>
          <t>NSMP2305129354</t>
        </is>
      </c>
      <c r="Q2296" s="53">
        <f>MID(P2296,5,2)</f>
        <v/>
      </c>
      <c r="R2296" s="53">
        <f>MID(P2296,7,2)</f>
        <v/>
      </c>
      <c r="S2296" s="3" t="inlineStr">
        <is>
          <t>G2B</t>
        </is>
      </c>
      <c r="T2296" s="3" t="inlineStr">
        <is>
          <t>P2</t>
        </is>
      </c>
      <c r="U2296" s="19" t="inlineStr">
        <is>
          <t>No Issue Found</t>
        </is>
      </c>
      <c r="V2296" s="19" t="inlineStr">
        <is>
          <t>Found OK</t>
        </is>
      </c>
      <c r="W2296" s="3" t="inlineStr">
        <is>
          <t>Repair</t>
        </is>
      </c>
      <c r="X2296" s="18" t="n">
        <v>46170</v>
      </c>
      <c r="Y2296" s="3">
        <f>X2296-A2296</f>
        <v/>
      </c>
      <c r="Z2296" s="18" t="n">
        <v>46170</v>
      </c>
      <c r="AA2296" s="15" t="n"/>
      <c r="AB2296" s="15" t="n"/>
    </row>
    <row r="2297">
      <c r="A2297" s="59" t="n">
        <v>46148</v>
      </c>
      <c r="B2297" s="3" t="n">
        <v>2026</v>
      </c>
      <c r="C2297" s="21" t="inlineStr">
        <is>
          <t>Continuum</t>
        </is>
      </c>
      <c r="D2297" s="3" t="inlineStr">
        <is>
          <t>Utility and C&amp;I</t>
        </is>
      </c>
      <c r="E2297" s="3" t="n"/>
      <c r="F2297" s="3" t="inlineStr">
        <is>
          <t>Closed</t>
        </is>
      </c>
      <c r="G2297" s="21" t="inlineStr">
        <is>
          <t>Amiya Ranjan Behera</t>
        </is>
      </c>
      <c r="H2297" s="21" t="n">
        <v>8917436223</v>
      </c>
      <c r="I2297" s="38" t="inlineStr">
        <is>
          <t>PE06052602</t>
        </is>
      </c>
      <c r="J2297" s="21" t="inlineStr">
        <is>
          <t>Diode Bypass Module Issue</t>
        </is>
      </c>
      <c r="K2297" s="21" t="inlineStr">
        <is>
          <t>Bhavnagar</t>
        </is>
      </c>
      <c r="L2297" s="21" t="inlineStr">
        <is>
          <t>Gujarat</t>
        </is>
      </c>
      <c r="M2297" s="96" t="inlineStr">
        <is>
          <t>PS</t>
        </is>
      </c>
      <c r="N2297" s="3" t="inlineStr">
        <is>
          <t>Cold Soldering</t>
        </is>
      </c>
      <c r="O2297" s="62" t="n">
        <v>540</v>
      </c>
      <c r="P2297" s="9" t="inlineStr">
        <is>
          <t>NSMP2304071752</t>
        </is>
      </c>
      <c r="Q2297" s="53">
        <f>MID(P2297,5,2)</f>
        <v/>
      </c>
      <c r="R2297" s="53">
        <f>MID(P2297,7,2)</f>
        <v/>
      </c>
      <c r="S2297" s="3" t="inlineStr">
        <is>
          <t>G2B</t>
        </is>
      </c>
      <c r="T2297" s="3" t="inlineStr">
        <is>
          <t>P2</t>
        </is>
      </c>
      <c r="U2297" s="3" t="inlineStr">
        <is>
          <t>P JB Cold Soldering</t>
        </is>
      </c>
      <c r="V2297" s="3" t="inlineStr">
        <is>
          <t>Soldering</t>
        </is>
      </c>
      <c r="W2297" s="3" t="inlineStr">
        <is>
          <t>Repair</t>
        </is>
      </c>
      <c r="X2297" s="18" t="n">
        <v>46170</v>
      </c>
      <c r="Y2297" s="3">
        <f>X2297-A2297</f>
        <v/>
      </c>
      <c r="Z2297" s="18" t="n">
        <v>46170</v>
      </c>
      <c r="AA2297" s="15" t="n"/>
      <c r="AB2297" s="15" t="n"/>
    </row>
    <row r="2298">
      <c r="A2298" s="59" t="n">
        <v>46148</v>
      </c>
      <c r="B2298" s="3" t="n">
        <v>2026</v>
      </c>
      <c r="C2298" s="21" t="inlineStr">
        <is>
          <t>Continuum</t>
        </is>
      </c>
      <c r="D2298" s="3" t="inlineStr">
        <is>
          <t>Utility and C&amp;I</t>
        </is>
      </c>
      <c r="E2298" s="3" t="n"/>
      <c r="F2298" s="3" t="inlineStr">
        <is>
          <t>Closed</t>
        </is>
      </c>
      <c r="G2298" s="21" t="inlineStr">
        <is>
          <t>Amiya Ranjan Behera</t>
        </is>
      </c>
      <c r="H2298" s="21" t="n">
        <v>8917436223</v>
      </c>
      <c r="I2298" s="38" t="inlineStr">
        <is>
          <t>PE06052602</t>
        </is>
      </c>
      <c r="J2298" s="21" t="inlineStr">
        <is>
          <t>Diode Bypass Module Issue</t>
        </is>
      </c>
      <c r="K2298" s="21" t="inlineStr">
        <is>
          <t>Bhavnagar</t>
        </is>
      </c>
      <c r="L2298" s="21" t="inlineStr">
        <is>
          <t>Gujarat</t>
        </is>
      </c>
      <c r="M2298" s="96" t="inlineStr">
        <is>
          <t>PS</t>
        </is>
      </c>
      <c r="N2298" s="3" t="inlineStr">
        <is>
          <t>Cold Soldering</t>
        </is>
      </c>
      <c r="O2298" s="62" t="n">
        <v>540</v>
      </c>
      <c r="P2298" s="9" t="inlineStr">
        <is>
          <t>NSMP2304071756</t>
        </is>
      </c>
      <c r="Q2298" s="53">
        <f>MID(P2298,5,2)</f>
        <v/>
      </c>
      <c r="R2298" s="53">
        <f>MID(P2298,7,2)</f>
        <v/>
      </c>
      <c r="S2298" s="3" t="inlineStr">
        <is>
          <t>G2B</t>
        </is>
      </c>
      <c r="T2298" s="3" t="inlineStr">
        <is>
          <t>P2</t>
        </is>
      </c>
      <c r="U2298" s="3" t="inlineStr">
        <is>
          <t>P JB Cold Soldering</t>
        </is>
      </c>
      <c r="V2298" s="3" t="inlineStr">
        <is>
          <t>Soldering</t>
        </is>
      </c>
      <c r="W2298" s="3" t="inlineStr">
        <is>
          <t>Repair</t>
        </is>
      </c>
      <c r="X2298" s="18" t="n">
        <v>46170</v>
      </c>
      <c r="Y2298" s="3">
        <f>X2298-A2298</f>
        <v/>
      </c>
      <c r="Z2298" s="18" t="n">
        <v>46170</v>
      </c>
      <c r="AA2298" s="15" t="n"/>
      <c r="AB2298" s="15" t="n"/>
    </row>
    <row r="2299">
      <c r="A2299" s="59" t="n">
        <v>46148</v>
      </c>
      <c r="B2299" s="3" t="n">
        <v>2026</v>
      </c>
      <c r="C2299" s="21" t="inlineStr">
        <is>
          <t>Continuum</t>
        </is>
      </c>
      <c r="D2299" s="3" t="inlineStr">
        <is>
          <t>Utility and C&amp;I</t>
        </is>
      </c>
      <c r="E2299" s="3" t="n"/>
      <c r="F2299" s="3" t="inlineStr">
        <is>
          <t>Closed</t>
        </is>
      </c>
      <c r="G2299" s="21" t="inlineStr">
        <is>
          <t>Amiya Ranjan Behera</t>
        </is>
      </c>
      <c r="H2299" s="21" t="n">
        <v>8917436223</v>
      </c>
      <c r="I2299" s="38" t="inlineStr">
        <is>
          <t>PE06052602</t>
        </is>
      </c>
      <c r="J2299" s="21" t="inlineStr">
        <is>
          <t>Diode Bypass Module Issue</t>
        </is>
      </c>
      <c r="K2299" s="21" t="inlineStr">
        <is>
          <t>Bhavnagar</t>
        </is>
      </c>
      <c r="L2299" s="21" t="inlineStr">
        <is>
          <t>Gujarat</t>
        </is>
      </c>
      <c r="M2299" s="96" t="inlineStr">
        <is>
          <t>NS</t>
        </is>
      </c>
      <c r="N2299" s="26" t="inlineStr">
        <is>
          <t>Cold Soldering</t>
        </is>
      </c>
      <c r="O2299" s="62" t="n">
        <v>540</v>
      </c>
      <c r="P2299" s="9" t="inlineStr">
        <is>
          <t>NSMP2305126817</t>
        </is>
      </c>
      <c r="Q2299" s="53">
        <f>MID(P2299,5,2)</f>
        <v/>
      </c>
      <c r="R2299" s="53">
        <f>MID(P2299,7,2)</f>
        <v/>
      </c>
      <c r="S2299" s="3" t="inlineStr">
        <is>
          <t>G2B</t>
        </is>
      </c>
      <c r="T2299" s="3" t="inlineStr">
        <is>
          <t>P2</t>
        </is>
      </c>
      <c r="U2299" s="19" t="inlineStr">
        <is>
          <t>N JB Cold Soldering</t>
        </is>
      </c>
      <c r="V2299" s="19" t="inlineStr">
        <is>
          <t>Soldering</t>
        </is>
      </c>
      <c r="W2299" s="3" t="inlineStr">
        <is>
          <t>Repair</t>
        </is>
      </c>
      <c r="X2299" s="18" t="n">
        <v>46170</v>
      </c>
      <c r="Y2299" s="3">
        <f>X2299-A2299</f>
        <v/>
      </c>
      <c r="Z2299" s="18" t="n">
        <v>46170</v>
      </c>
      <c r="AA2299" s="15" t="n"/>
      <c r="AB2299" s="15" t="n"/>
    </row>
    <row r="2300">
      <c r="A2300" s="59" t="n">
        <v>46148</v>
      </c>
      <c r="B2300" s="3" t="n">
        <v>2026</v>
      </c>
      <c r="C2300" s="21" t="inlineStr">
        <is>
          <t>Continuum</t>
        </is>
      </c>
      <c r="D2300" s="3" t="inlineStr">
        <is>
          <t>Utility and C&amp;I</t>
        </is>
      </c>
      <c r="E2300" s="3" t="n"/>
      <c r="F2300" s="3" t="inlineStr">
        <is>
          <t>Closed</t>
        </is>
      </c>
      <c r="G2300" s="21" t="inlineStr">
        <is>
          <t>Amiya Ranjan Behera</t>
        </is>
      </c>
      <c r="H2300" s="21" t="n">
        <v>8917436223</v>
      </c>
      <c r="I2300" s="38" t="inlineStr">
        <is>
          <t>PE06052602</t>
        </is>
      </c>
      <c r="J2300" s="21" t="inlineStr">
        <is>
          <t>Diode Bypass Module Issue</t>
        </is>
      </c>
      <c r="K2300" s="21" t="inlineStr">
        <is>
          <t>Bhavnagar</t>
        </is>
      </c>
      <c r="L2300" s="21" t="inlineStr">
        <is>
          <t>Gujarat</t>
        </is>
      </c>
      <c r="M2300" s="96" t="inlineStr">
        <is>
          <t>PS</t>
        </is>
      </c>
      <c r="N2300" s="3" t="inlineStr">
        <is>
          <t>Cold Soldering</t>
        </is>
      </c>
      <c r="O2300" s="62" t="n">
        <v>540</v>
      </c>
      <c r="P2300" s="9" t="inlineStr">
        <is>
          <t>NSMP2305131202</t>
        </is>
      </c>
      <c r="Q2300" s="53">
        <f>MID(P2300,5,2)</f>
        <v/>
      </c>
      <c r="R2300" s="53">
        <f>MID(P2300,7,2)</f>
        <v/>
      </c>
      <c r="S2300" s="3" t="inlineStr">
        <is>
          <t>G2B</t>
        </is>
      </c>
      <c r="T2300" s="3" t="inlineStr">
        <is>
          <t>P2</t>
        </is>
      </c>
      <c r="U2300" s="3" t="inlineStr">
        <is>
          <t>P JB Cold Soldering</t>
        </is>
      </c>
      <c r="V2300" s="3" t="inlineStr">
        <is>
          <t>Soldering</t>
        </is>
      </c>
      <c r="W2300" s="3" t="inlineStr">
        <is>
          <t>Repair</t>
        </is>
      </c>
      <c r="X2300" s="18" t="n">
        <v>46170</v>
      </c>
      <c r="Y2300" s="3">
        <f>X2300-A2300</f>
        <v/>
      </c>
      <c r="Z2300" s="18" t="n">
        <v>46170</v>
      </c>
      <c r="AA2300" s="15" t="n"/>
      <c r="AB2300" s="15" t="n"/>
    </row>
    <row r="2301">
      <c r="A2301" s="59" t="n">
        <v>46148</v>
      </c>
      <c r="B2301" s="3" t="n">
        <v>2026</v>
      </c>
      <c r="C2301" s="21" t="inlineStr">
        <is>
          <t>Continuum</t>
        </is>
      </c>
      <c r="D2301" s="3" t="inlineStr">
        <is>
          <t>Utility and C&amp;I</t>
        </is>
      </c>
      <c r="E2301" s="3" t="n"/>
      <c r="F2301" s="3" t="inlineStr">
        <is>
          <t>Closed</t>
        </is>
      </c>
      <c r="G2301" s="21" t="inlineStr">
        <is>
          <t>Amiya Ranjan Behera</t>
        </is>
      </c>
      <c r="H2301" s="21" t="n">
        <v>8917436223</v>
      </c>
      <c r="I2301" s="38" t="inlineStr">
        <is>
          <t>PE06052602</t>
        </is>
      </c>
      <c r="J2301" s="21" t="inlineStr">
        <is>
          <t>Diode Bypass Module Issue</t>
        </is>
      </c>
      <c r="K2301" s="21" t="inlineStr">
        <is>
          <t>Bhavnagar</t>
        </is>
      </c>
      <c r="L2301" s="21" t="inlineStr">
        <is>
          <t>Gujarat</t>
        </is>
      </c>
      <c r="M2301" s="96" t="inlineStr">
        <is>
          <t>PS</t>
        </is>
      </c>
      <c r="N2301" s="3" t="inlineStr">
        <is>
          <t>Cold Soldering</t>
        </is>
      </c>
      <c r="O2301" s="62" t="n">
        <v>540</v>
      </c>
      <c r="P2301" s="9" t="inlineStr">
        <is>
          <t>NSMP2305131158</t>
        </is>
      </c>
      <c r="Q2301" s="53">
        <f>MID(P2301,5,2)</f>
        <v/>
      </c>
      <c r="R2301" s="53">
        <f>MID(P2301,7,2)</f>
        <v/>
      </c>
      <c r="S2301" s="3" t="inlineStr">
        <is>
          <t>G2B</t>
        </is>
      </c>
      <c r="T2301" s="3" t="inlineStr">
        <is>
          <t>P2</t>
        </is>
      </c>
      <c r="U2301" s="3" t="inlineStr">
        <is>
          <t>P JB Cold Soldering</t>
        </is>
      </c>
      <c r="V2301" s="3" t="inlineStr">
        <is>
          <t>Soldering</t>
        </is>
      </c>
      <c r="W2301" s="3" t="inlineStr">
        <is>
          <t>Repair</t>
        </is>
      </c>
      <c r="X2301" s="18" t="n">
        <v>46170</v>
      </c>
      <c r="Y2301" s="3">
        <f>X2301-A2301</f>
        <v/>
      </c>
      <c r="Z2301" s="18" t="n">
        <v>46170</v>
      </c>
      <c r="AA2301" s="15" t="n"/>
      <c r="AB2301" s="15" t="n"/>
    </row>
    <row r="2302">
      <c r="A2302" s="59" t="n">
        <v>46148</v>
      </c>
      <c r="B2302" s="3" t="n">
        <v>2026</v>
      </c>
      <c r="C2302" s="21" t="inlineStr">
        <is>
          <t>Continuum</t>
        </is>
      </c>
      <c r="D2302" s="3" t="inlineStr">
        <is>
          <t>Utility and C&amp;I</t>
        </is>
      </c>
      <c r="E2302" s="3" t="n"/>
      <c r="F2302" s="3" t="inlineStr">
        <is>
          <t>Closed</t>
        </is>
      </c>
      <c r="G2302" s="21" t="inlineStr">
        <is>
          <t>Amiya Ranjan Behera</t>
        </is>
      </c>
      <c r="H2302" s="21" t="n">
        <v>8917436223</v>
      </c>
      <c r="I2302" s="38" t="inlineStr">
        <is>
          <t>PE06052602</t>
        </is>
      </c>
      <c r="J2302" s="21" t="inlineStr">
        <is>
          <t>Diode Bypass Module Issue</t>
        </is>
      </c>
      <c r="K2302" s="21" t="inlineStr">
        <is>
          <t>Bhavnagar</t>
        </is>
      </c>
      <c r="L2302" s="21" t="inlineStr">
        <is>
          <t>Gujarat</t>
        </is>
      </c>
      <c r="M2302" s="96" t="inlineStr">
        <is>
          <t>PS</t>
        </is>
      </c>
      <c r="N2302" s="3" t="inlineStr">
        <is>
          <t>Cold Soldering</t>
        </is>
      </c>
      <c r="O2302" s="62" t="n">
        <v>540</v>
      </c>
      <c r="P2302" s="9" t="inlineStr">
        <is>
          <t>NSMP2305129306</t>
        </is>
      </c>
      <c r="Q2302" s="53">
        <f>MID(P2302,5,2)</f>
        <v/>
      </c>
      <c r="R2302" s="53">
        <f>MID(P2302,7,2)</f>
        <v/>
      </c>
      <c r="S2302" s="3" t="inlineStr">
        <is>
          <t>G2B</t>
        </is>
      </c>
      <c r="T2302" s="3" t="inlineStr">
        <is>
          <t>P2</t>
        </is>
      </c>
      <c r="U2302" s="3" t="inlineStr">
        <is>
          <t>P JB Cold Soldering</t>
        </is>
      </c>
      <c r="V2302" s="3" t="inlineStr">
        <is>
          <t>Soldering</t>
        </is>
      </c>
      <c r="W2302" s="3" t="inlineStr">
        <is>
          <t>Repair</t>
        </is>
      </c>
      <c r="X2302" s="18" t="n">
        <v>46170</v>
      </c>
      <c r="Y2302" s="3">
        <f>X2302-A2302</f>
        <v/>
      </c>
      <c r="Z2302" s="18" t="n">
        <v>46170</v>
      </c>
      <c r="AA2302" s="15" t="n"/>
      <c r="AB2302" s="15" t="n"/>
    </row>
    <row r="2303">
      <c r="A2303" s="59" t="n">
        <v>46148</v>
      </c>
      <c r="B2303" s="3" t="n">
        <v>2026</v>
      </c>
      <c r="C2303" s="21" t="inlineStr">
        <is>
          <t>Continuum</t>
        </is>
      </c>
      <c r="D2303" s="3" t="inlineStr">
        <is>
          <t>Utility and C&amp;I</t>
        </is>
      </c>
      <c r="E2303" s="3" t="n"/>
      <c r="F2303" s="3" t="inlineStr">
        <is>
          <t>Closed</t>
        </is>
      </c>
      <c r="G2303" s="21" t="inlineStr">
        <is>
          <t>Amiya Ranjan Behera</t>
        </is>
      </c>
      <c r="H2303" s="21" t="n">
        <v>8917436223</v>
      </c>
      <c r="I2303" s="38" t="inlineStr">
        <is>
          <t>PE06052602</t>
        </is>
      </c>
      <c r="J2303" s="21" t="inlineStr">
        <is>
          <t>Diode Bypass Module Issue</t>
        </is>
      </c>
      <c r="K2303" s="21" t="inlineStr">
        <is>
          <t>Bhavnagar</t>
        </is>
      </c>
      <c r="L2303" s="21" t="inlineStr">
        <is>
          <t>Gujarat</t>
        </is>
      </c>
      <c r="M2303" s="96" t="inlineStr">
        <is>
          <t>PS</t>
        </is>
      </c>
      <c r="N2303" s="3" t="inlineStr">
        <is>
          <t>Cold Soldering</t>
        </is>
      </c>
      <c r="O2303" s="62" t="n">
        <v>540</v>
      </c>
      <c r="P2303" s="9" t="inlineStr">
        <is>
          <t>NSMP2305130937</t>
        </is>
      </c>
      <c r="Q2303" s="53">
        <f>MID(P2303,5,2)</f>
        <v/>
      </c>
      <c r="R2303" s="53">
        <f>MID(P2303,7,2)</f>
        <v/>
      </c>
      <c r="S2303" s="3" t="inlineStr">
        <is>
          <t>G2B</t>
        </is>
      </c>
      <c r="T2303" s="3" t="inlineStr">
        <is>
          <t>P2</t>
        </is>
      </c>
      <c r="U2303" s="3" t="inlineStr">
        <is>
          <t>P JB Cold Soldering</t>
        </is>
      </c>
      <c r="V2303" s="3" t="inlineStr">
        <is>
          <t>Soldering</t>
        </is>
      </c>
      <c r="W2303" s="3" t="inlineStr">
        <is>
          <t>Repair</t>
        </is>
      </c>
      <c r="X2303" s="18" t="n">
        <v>46170</v>
      </c>
      <c r="Y2303" s="3">
        <f>X2303-A2303</f>
        <v/>
      </c>
      <c r="Z2303" s="18" t="n">
        <v>46170</v>
      </c>
      <c r="AA2303" s="15" t="n"/>
      <c r="AB2303" s="15" t="n"/>
    </row>
    <row r="2304">
      <c r="A2304" s="59" t="n">
        <v>46148</v>
      </c>
      <c r="B2304" s="3" t="n">
        <v>2026</v>
      </c>
      <c r="C2304" s="21" t="inlineStr">
        <is>
          <t>Continuum</t>
        </is>
      </c>
      <c r="D2304" s="3" t="inlineStr">
        <is>
          <t>Utility and C&amp;I</t>
        </is>
      </c>
      <c r="E2304" s="3" t="n"/>
      <c r="F2304" s="3" t="inlineStr">
        <is>
          <t>Closed</t>
        </is>
      </c>
      <c r="G2304" s="21" t="inlineStr">
        <is>
          <t>Amiya Ranjan Behera</t>
        </is>
      </c>
      <c r="H2304" s="21" t="n">
        <v>8917436223</v>
      </c>
      <c r="I2304" s="38" t="inlineStr">
        <is>
          <t>PE06052602</t>
        </is>
      </c>
      <c r="J2304" s="21" t="inlineStr">
        <is>
          <t>Diode Bypass Module Issue</t>
        </is>
      </c>
      <c r="K2304" s="21" t="inlineStr">
        <is>
          <t>Bhavnagar</t>
        </is>
      </c>
      <c r="L2304" s="21" t="inlineStr">
        <is>
          <t>Gujarat</t>
        </is>
      </c>
      <c r="M2304" s="96" t="inlineStr">
        <is>
          <t>PS</t>
        </is>
      </c>
      <c r="N2304" s="3" t="inlineStr">
        <is>
          <t>Cold Soldering</t>
        </is>
      </c>
      <c r="O2304" s="62" t="n">
        <v>540</v>
      </c>
      <c r="P2304" s="9" t="inlineStr">
        <is>
          <t>NSMP2305129284</t>
        </is>
      </c>
      <c r="Q2304" s="53">
        <f>MID(P2304,5,2)</f>
        <v/>
      </c>
      <c r="R2304" s="53">
        <f>MID(P2304,7,2)</f>
        <v/>
      </c>
      <c r="S2304" s="3" t="inlineStr">
        <is>
          <t>G2B</t>
        </is>
      </c>
      <c r="T2304" s="3" t="inlineStr">
        <is>
          <t>P2</t>
        </is>
      </c>
      <c r="U2304" s="3" t="inlineStr">
        <is>
          <t>P JB Cold Soldering</t>
        </is>
      </c>
      <c r="V2304" s="3" t="inlineStr">
        <is>
          <t>Soldering</t>
        </is>
      </c>
      <c r="W2304" s="3" t="inlineStr">
        <is>
          <t>Repair</t>
        </is>
      </c>
      <c r="X2304" s="18" t="n">
        <v>46170</v>
      </c>
      <c r="Y2304" s="3">
        <f>X2304-A2304</f>
        <v/>
      </c>
      <c r="Z2304" s="18" t="n">
        <v>46170</v>
      </c>
      <c r="AA2304" s="15" t="n"/>
      <c r="AB2304" s="15" t="n"/>
    </row>
    <row r="2305">
      <c r="A2305" s="59" t="n">
        <v>46148</v>
      </c>
      <c r="B2305" s="3" t="n">
        <v>2026</v>
      </c>
      <c r="C2305" s="21" t="inlineStr">
        <is>
          <t>Continuum</t>
        </is>
      </c>
      <c r="D2305" s="3" t="inlineStr">
        <is>
          <t>Utility and C&amp;I</t>
        </is>
      </c>
      <c r="E2305" s="3" t="n"/>
      <c r="F2305" s="3" t="inlineStr">
        <is>
          <t>Closed</t>
        </is>
      </c>
      <c r="G2305" s="21" t="inlineStr">
        <is>
          <t>Amiya Ranjan Behera</t>
        </is>
      </c>
      <c r="H2305" s="21" t="n">
        <v>8917436223</v>
      </c>
      <c r="I2305" s="38" t="inlineStr">
        <is>
          <t>PE06052602</t>
        </is>
      </c>
      <c r="J2305" s="21" t="inlineStr">
        <is>
          <t>Diode Bypass Module Issue</t>
        </is>
      </c>
      <c r="K2305" s="21" t="inlineStr">
        <is>
          <t>Bhavnagar</t>
        </is>
      </c>
      <c r="L2305" s="21" t="inlineStr">
        <is>
          <t>Gujarat</t>
        </is>
      </c>
      <c r="M2305" s="96" t="inlineStr">
        <is>
          <t>PS</t>
        </is>
      </c>
      <c r="N2305" s="3" t="inlineStr">
        <is>
          <t>Cold Soldering</t>
        </is>
      </c>
      <c r="O2305" s="62" t="n">
        <v>540</v>
      </c>
      <c r="P2305" s="9" t="inlineStr">
        <is>
          <t>NSMP2305129252</t>
        </is>
      </c>
      <c r="Q2305" s="53">
        <f>MID(P2305,5,2)</f>
        <v/>
      </c>
      <c r="R2305" s="53">
        <f>MID(P2305,7,2)</f>
        <v/>
      </c>
      <c r="S2305" s="3" t="inlineStr">
        <is>
          <t>G2B</t>
        </is>
      </c>
      <c r="T2305" s="3" t="inlineStr">
        <is>
          <t>P2</t>
        </is>
      </c>
      <c r="U2305" s="3" t="inlineStr">
        <is>
          <t>P JB Cold Soldering</t>
        </is>
      </c>
      <c r="V2305" s="3" t="inlineStr">
        <is>
          <t>Soldering</t>
        </is>
      </c>
      <c r="W2305" s="3" t="inlineStr">
        <is>
          <t>Repair</t>
        </is>
      </c>
      <c r="X2305" s="18" t="n">
        <v>46170</v>
      </c>
      <c r="Y2305" s="3">
        <f>X2305-A2305</f>
        <v/>
      </c>
      <c r="Z2305" s="18" t="n">
        <v>46170</v>
      </c>
      <c r="AA2305" s="15" t="n"/>
      <c r="AB2305" s="15" t="n"/>
    </row>
    <row r="2306">
      <c r="A2306" s="59" t="n">
        <v>46148</v>
      </c>
      <c r="B2306" s="3" t="n">
        <v>2026</v>
      </c>
      <c r="C2306" s="21" t="inlineStr">
        <is>
          <t>Continuum</t>
        </is>
      </c>
      <c r="D2306" s="3" t="inlineStr">
        <is>
          <t>Utility and C&amp;I</t>
        </is>
      </c>
      <c r="E2306" s="3" t="n"/>
      <c r="F2306" s="3" t="inlineStr">
        <is>
          <t>Closed</t>
        </is>
      </c>
      <c r="G2306" s="21" t="inlineStr">
        <is>
          <t>Amiya Ranjan Behera</t>
        </is>
      </c>
      <c r="H2306" s="21" t="n">
        <v>8917436223</v>
      </c>
      <c r="I2306" s="38" t="inlineStr">
        <is>
          <t>PE06052602</t>
        </is>
      </c>
      <c r="J2306" s="21" t="inlineStr">
        <is>
          <t>Diode Bypass Module Issue</t>
        </is>
      </c>
      <c r="K2306" s="21" t="inlineStr">
        <is>
          <t>Bhavnagar</t>
        </is>
      </c>
      <c r="L2306" s="21" t="inlineStr">
        <is>
          <t>Gujarat</t>
        </is>
      </c>
      <c r="M2306" s="96" t="inlineStr">
        <is>
          <t>PS</t>
        </is>
      </c>
      <c r="N2306" s="3" t="inlineStr">
        <is>
          <t>Cold Soldering</t>
        </is>
      </c>
      <c r="O2306" s="62" t="n">
        <v>540</v>
      </c>
      <c r="P2306" s="9" t="inlineStr">
        <is>
          <t>NSMP2305129279</t>
        </is>
      </c>
      <c r="Q2306" s="53">
        <f>MID(P2306,5,2)</f>
        <v/>
      </c>
      <c r="R2306" s="53">
        <f>MID(P2306,7,2)</f>
        <v/>
      </c>
      <c r="S2306" s="3" t="inlineStr">
        <is>
          <t>G2B</t>
        </is>
      </c>
      <c r="T2306" s="3" t="inlineStr">
        <is>
          <t>P2</t>
        </is>
      </c>
      <c r="U2306" s="3" t="inlineStr">
        <is>
          <t>P JB Cold Soldering</t>
        </is>
      </c>
      <c r="V2306" s="3" t="inlineStr">
        <is>
          <t>Soldering</t>
        </is>
      </c>
      <c r="W2306" s="3" t="inlineStr">
        <is>
          <t>Repair</t>
        </is>
      </c>
      <c r="X2306" s="18" t="n">
        <v>46170</v>
      </c>
      <c r="Y2306" s="3">
        <f>X2306-A2306</f>
        <v/>
      </c>
      <c r="Z2306" s="18" t="n">
        <v>46170</v>
      </c>
      <c r="AA2306" s="15" t="n"/>
      <c r="AB2306" s="15" t="n"/>
    </row>
    <row r="2307">
      <c r="A2307" s="59" t="n">
        <v>46148</v>
      </c>
      <c r="B2307" s="3" t="n">
        <v>2026</v>
      </c>
      <c r="C2307" s="21" t="inlineStr">
        <is>
          <t>Continuum</t>
        </is>
      </c>
      <c r="D2307" s="3" t="inlineStr">
        <is>
          <t>Utility and C&amp;I</t>
        </is>
      </c>
      <c r="E2307" s="3" t="n"/>
      <c r="F2307" s="3" t="inlineStr">
        <is>
          <t>Closed</t>
        </is>
      </c>
      <c r="G2307" s="21" t="inlineStr">
        <is>
          <t>Amiya Ranjan Behera</t>
        </is>
      </c>
      <c r="H2307" s="21" t="n">
        <v>8917436223</v>
      </c>
      <c r="I2307" s="38" t="inlineStr">
        <is>
          <t>PE06052602</t>
        </is>
      </c>
      <c r="J2307" s="21" t="inlineStr">
        <is>
          <t>Diode Bypass Module Issue</t>
        </is>
      </c>
      <c r="K2307" s="21" t="inlineStr">
        <is>
          <t>Bhavnagar</t>
        </is>
      </c>
      <c r="L2307" s="21" t="inlineStr">
        <is>
          <t>Gujarat</t>
        </is>
      </c>
      <c r="M2307" s="96" t="inlineStr">
        <is>
          <t>PS</t>
        </is>
      </c>
      <c r="N2307" s="3" t="inlineStr">
        <is>
          <t>Cold Soldering</t>
        </is>
      </c>
      <c r="O2307" s="62" t="n">
        <v>540</v>
      </c>
      <c r="P2307" s="9" t="inlineStr">
        <is>
          <t>NSMP2305124653</t>
        </is>
      </c>
      <c r="Q2307" s="53">
        <f>MID(P2307,5,2)</f>
        <v/>
      </c>
      <c r="R2307" s="53">
        <f>MID(P2307,7,2)</f>
        <v/>
      </c>
      <c r="S2307" s="3" t="inlineStr">
        <is>
          <t>G2B</t>
        </is>
      </c>
      <c r="T2307" s="3" t="inlineStr">
        <is>
          <t>P2</t>
        </is>
      </c>
      <c r="U2307" s="3" t="inlineStr">
        <is>
          <t>P JB Cold Soldering</t>
        </is>
      </c>
      <c r="V2307" s="3" t="inlineStr">
        <is>
          <t>Soldering</t>
        </is>
      </c>
      <c r="W2307" s="3" t="inlineStr">
        <is>
          <t>Repair</t>
        </is>
      </c>
      <c r="X2307" s="18" t="n">
        <v>46170</v>
      </c>
      <c r="Y2307" s="3">
        <f>X2307-A2307</f>
        <v/>
      </c>
      <c r="Z2307" s="18" t="n">
        <v>46170</v>
      </c>
      <c r="AA2307" s="15" t="n"/>
      <c r="AB2307" s="15" t="n"/>
    </row>
    <row r="2308">
      <c r="A2308" s="59" t="n">
        <v>46148</v>
      </c>
      <c r="B2308" s="3" t="n">
        <v>2026</v>
      </c>
      <c r="C2308" s="21" t="inlineStr">
        <is>
          <t>Continuum</t>
        </is>
      </c>
      <c r="D2308" s="3" t="inlineStr">
        <is>
          <t>Utility and C&amp;I</t>
        </is>
      </c>
      <c r="E2308" s="3" t="n"/>
      <c r="F2308" s="3" t="inlineStr">
        <is>
          <t>Closed</t>
        </is>
      </c>
      <c r="G2308" s="21" t="inlineStr">
        <is>
          <t>Amiya Ranjan Behera</t>
        </is>
      </c>
      <c r="H2308" s="21" t="n">
        <v>8917436223</v>
      </c>
      <c r="I2308" s="38" t="inlineStr">
        <is>
          <t>PE06052602</t>
        </is>
      </c>
      <c r="J2308" s="21" t="inlineStr">
        <is>
          <t>Diode Bypass Module Issue</t>
        </is>
      </c>
      <c r="K2308" s="21" t="inlineStr">
        <is>
          <t>Bhavnagar</t>
        </is>
      </c>
      <c r="L2308" s="21" t="inlineStr">
        <is>
          <t>Gujarat</t>
        </is>
      </c>
      <c r="M2308" s="96" t="inlineStr">
        <is>
          <t>PS</t>
        </is>
      </c>
      <c r="N2308" s="3" t="inlineStr">
        <is>
          <t>Cold Soldering</t>
        </is>
      </c>
      <c r="O2308" s="62" t="n">
        <v>540</v>
      </c>
      <c r="P2308" s="9" t="inlineStr">
        <is>
          <t>NSMP2305124615</t>
        </is>
      </c>
      <c r="Q2308" s="53">
        <f>MID(P2308,5,2)</f>
        <v/>
      </c>
      <c r="R2308" s="53">
        <f>MID(P2308,7,2)</f>
        <v/>
      </c>
      <c r="S2308" s="3" t="inlineStr">
        <is>
          <t>G2B</t>
        </is>
      </c>
      <c r="T2308" s="3" t="inlineStr">
        <is>
          <t>P2</t>
        </is>
      </c>
      <c r="U2308" s="3" t="inlineStr">
        <is>
          <t>P JB Cold Soldering</t>
        </is>
      </c>
      <c r="V2308" s="3" t="inlineStr">
        <is>
          <t>Soldering</t>
        </is>
      </c>
      <c r="W2308" s="3" t="inlineStr">
        <is>
          <t>Repair</t>
        </is>
      </c>
      <c r="X2308" s="18" t="n">
        <v>46170</v>
      </c>
      <c r="Y2308" s="3">
        <f>X2308-A2308</f>
        <v/>
      </c>
      <c r="Z2308" s="18" t="n">
        <v>46170</v>
      </c>
      <c r="AA2308" s="15" t="n"/>
      <c r="AB2308" s="15" t="n"/>
    </row>
    <row r="2309">
      <c r="A2309" s="59" t="n">
        <v>46148</v>
      </c>
      <c r="B2309" s="3" t="n">
        <v>2026</v>
      </c>
      <c r="C2309" s="21" t="inlineStr">
        <is>
          <t>Continuum</t>
        </is>
      </c>
      <c r="D2309" s="3" t="inlineStr">
        <is>
          <t>Utility and C&amp;I</t>
        </is>
      </c>
      <c r="E2309" s="3" t="n"/>
      <c r="F2309" s="3" t="inlineStr">
        <is>
          <t>Closed</t>
        </is>
      </c>
      <c r="G2309" s="21" t="inlineStr">
        <is>
          <t>Amiya Ranjan Behera</t>
        </is>
      </c>
      <c r="H2309" s="21" t="n">
        <v>8917436223</v>
      </c>
      <c r="I2309" s="38" t="inlineStr">
        <is>
          <t>PE06052602</t>
        </is>
      </c>
      <c r="J2309" s="21" t="inlineStr">
        <is>
          <t>Diode Bypass Module Issue</t>
        </is>
      </c>
      <c r="K2309" s="21" t="inlineStr">
        <is>
          <t>Bhavnagar</t>
        </is>
      </c>
      <c r="L2309" s="21" t="inlineStr">
        <is>
          <t>Gujarat</t>
        </is>
      </c>
      <c r="M2309" s="96" t="inlineStr">
        <is>
          <t>PS</t>
        </is>
      </c>
      <c r="N2309" s="3" t="inlineStr">
        <is>
          <t>Cold Soldering</t>
        </is>
      </c>
      <c r="O2309" s="62" t="n">
        <v>540</v>
      </c>
      <c r="P2309" s="9" t="inlineStr">
        <is>
          <t>NSMP2305129301</t>
        </is>
      </c>
      <c r="Q2309" s="53">
        <f>MID(P2309,5,2)</f>
        <v/>
      </c>
      <c r="R2309" s="53">
        <f>MID(P2309,7,2)</f>
        <v/>
      </c>
      <c r="S2309" s="3" t="inlineStr">
        <is>
          <t>G2B</t>
        </is>
      </c>
      <c r="T2309" s="3" t="inlineStr">
        <is>
          <t>P2</t>
        </is>
      </c>
      <c r="U2309" s="3" t="inlineStr">
        <is>
          <t>P JB Cold Soldering</t>
        </is>
      </c>
      <c r="V2309" s="3" t="inlineStr">
        <is>
          <t>Soldering</t>
        </is>
      </c>
      <c r="W2309" s="3" t="inlineStr">
        <is>
          <t>Repair</t>
        </is>
      </c>
      <c r="X2309" s="18" t="n">
        <v>46170</v>
      </c>
      <c r="Y2309" s="3">
        <f>X2309-A2309</f>
        <v/>
      </c>
      <c r="Z2309" s="18" t="n">
        <v>46170</v>
      </c>
      <c r="AA2309" s="15" t="n"/>
      <c r="AB2309" s="15" t="n"/>
    </row>
    <row r="2310">
      <c r="A2310" s="59" t="n">
        <v>46148</v>
      </c>
      <c r="B2310" s="3" t="n">
        <v>2026</v>
      </c>
      <c r="C2310" s="21" t="inlineStr">
        <is>
          <t>Continuum</t>
        </is>
      </c>
      <c r="D2310" s="3" t="inlineStr">
        <is>
          <t>Utility and C&amp;I</t>
        </is>
      </c>
      <c r="E2310" s="3" t="n"/>
      <c r="F2310" s="3" t="inlineStr">
        <is>
          <t>Closed</t>
        </is>
      </c>
      <c r="G2310" s="21" t="inlineStr">
        <is>
          <t>Amiya Ranjan Behera</t>
        </is>
      </c>
      <c r="H2310" s="21" t="n">
        <v>8917436223</v>
      </c>
      <c r="I2310" s="38" t="inlineStr">
        <is>
          <t>PE06052602</t>
        </is>
      </c>
      <c r="J2310" s="21" t="inlineStr">
        <is>
          <t>Diode Bypass Module Issue</t>
        </is>
      </c>
      <c r="K2310" s="21" t="inlineStr">
        <is>
          <t>Bhavnagar</t>
        </is>
      </c>
      <c r="L2310" s="21" t="inlineStr">
        <is>
          <t>Gujarat</t>
        </is>
      </c>
      <c r="M2310" s="96" t="inlineStr">
        <is>
          <t>PS</t>
        </is>
      </c>
      <c r="N2310" s="3" t="inlineStr">
        <is>
          <t>Cold Soldering</t>
        </is>
      </c>
      <c r="O2310" s="62" t="n">
        <v>540</v>
      </c>
      <c r="P2310" s="9" t="inlineStr">
        <is>
          <t>NSMP2305129345</t>
        </is>
      </c>
      <c r="Q2310" s="53">
        <f>MID(P2310,5,2)</f>
        <v/>
      </c>
      <c r="R2310" s="53">
        <f>MID(P2310,7,2)</f>
        <v/>
      </c>
      <c r="S2310" s="3" t="inlineStr">
        <is>
          <t>G2B</t>
        </is>
      </c>
      <c r="T2310" s="3" t="inlineStr">
        <is>
          <t>P2</t>
        </is>
      </c>
      <c r="U2310" s="3" t="inlineStr">
        <is>
          <t>P JB Cold Soldering</t>
        </is>
      </c>
      <c r="V2310" s="3" t="inlineStr">
        <is>
          <t>Soldering</t>
        </is>
      </c>
      <c r="W2310" s="3" t="inlineStr">
        <is>
          <t>Repair</t>
        </is>
      </c>
      <c r="X2310" s="18" t="n">
        <v>46170</v>
      </c>
      <c r="Y2310" s="3">
        <f>X2310-A2310</f>
        <v/>
      </c>
      <c r="Z2310" s="18" t="n">
        <v>46170</v>
      </c>
      <c r="AA2310" s="15" t="n"/>
      <c r="AB2310" s="15" t="n"/>
    </row>
    <row r="2311">
      <c r="A2311" s="59" t="n">
        <v>46148</v>
      </c>
      <c r="B2311" s="3" t="n">
        <v>2026</v>
      </c>
      <c r="C2311" s="21" t="inlineStr">
        <is>
          <t>Continuum</t>
        </is>
      </c>
      <c r="D2311" s="3" t="inlineStr">
        <is>
          <t>Utility and C&amp;I</t>
        </is>
      </c>
      <c r="E2311" s="3" t="n"/>
      <c r="F2311" s="3" t="inlineStr">
        <is>
          <t>Closed</t>
        </is>
      </c>
      <c r="G2311" s="21" t="inlineStr">
        <is>
          <t>Amiya Ranjan Behera</t>
        </is>
      </c>
      <c r="H2311" s="21" t="n">
        <v>8917436223</v>
      </c>
      <c r="I2311" s="38" t="inlineStr">
        <is>
          <t>PE06052602</t>
        </is>
      </c>
      <c r="J2311" s="21" t="inlineStr">
        <is>
          <t>Diode Bypass Module Issue</t>
        </is>
      </c>
      <c r="K2311" s="21" t="inlineStr">
        <is>
          <t>Bhavnagar</t>
        </is>
      </c>
      <c r="L2311" s="21" t="inlineStr">
        <is>
          <t>Gujarat</t>
        </is>
      </c>
      <c r="M2311" s="96" t="inlineStr">
        <is>
          <t>PS</t>
        </is>
      </c>
      <c r="N2311" s="3" t="inlineStr">
        <is>
          <t>Cold Soldering</t>
        </is>
      </c>
      <c r="O2311" s="62" t="n">
        <v>540</v>
      </c>
      <c r="P2311" s="9" t="inlineStr">
        <is>
          <t>NSMP2305129320</t>
        </is>
      </c>
      <c r="Q2311" s="53">
        <f>MID(P2311,5,2)</f>
        <v/>
      </c>
      <c r="R2311" s="53">
        <f>MID(P2311,7,2)</f>
        <v/>
      </c>
      <c r="S2311" s="3" t="inlineStr">
        <is>
          <t>G2B</t>
        </is>
      </c>
      <c r="T2311" s="3" t="inlineStr">
        <is>
          <t>P2</t>
        </is>
      </c>
      <c r="U2311" s="3" t="inlineStr">
        <is>
          <t>P JB Cold Soldering</t>
        </is>
      </c>
      <c r="V2311" s="3" t="inlineStr">
        <is>
          <t>Soldering</t>
        </is>
      </c>
      <c r="W2311" s="3" t="inlineStr">
        <is>
          <t>Repair</t>
        </is>
      </c>
      <c r="X2311" s="18" t="n">
        <v>46170</v>
      </c>
      <c r="Y2311" s="3">
        <f>X2311-A2311</f>
        <v/>
      </c>
      <c r="Z2311" s="18" t="n">
        <v>46170</v>
      </c>
      <c r="AA2311" s="15" t="n"/>
      <c r="AB2311" s="15" t="n"/>
    </row>
    <row r="2312">
      <c r="A2312" s="59" t="n">
        <v>46148</v>
      </c>
      <c r="B2312" s="3" t="n">
        <v>2026</v>
      </c>
      <c r="C2312" s="21" t="inlineStr">
        <is>
          <t>Continuum</t>
        </is>
      </c>
      <c r="D2312" s="3" t="inlineStr">
        <is>
          <t>Utility and C&amp;I</t>
        </is>
      </c>
      <c r="E2312" s="3" t="n"/>
      <c r="F2312" s="3" t="inlineStr">
        <is>
          <t>Closed</t>
        </is>
      </c>
      <c r="G2312" s="21" t="inlineStr">
        <is>
          <t>Amiya Ranjan Behera</t>
        </is>
      </c>
      <c r="H2312" s="21" t="n">
        <v>8917436223</v>
      </c>
      <c r="I2312" s="38" t="inlineStr">
        <is>
          <t>PE06052602</t>
        </is>
      </c>
      <c r="J2312" s="21" t="inlineStr">
        <is>
          <t>Diode Bypass Module Issue</t>
        </is>
      </c>
      <c r="K2312" s="21" t="inlineStr">
        <is>
          <t>Bhavnagar</t>
        </is>
      </c>
      <c r="L2312" s="21" t="inlineStr">
        <is>
          <t>Gujarat</t>
        </is>
      </c>
      <c r="M2312" s="96" t="inlineStr">
        <is>
          <t>PS</t>
        </is>
      </c>
      <c r="N2312" s="3" t="inlineStr">
        <is>
          <t>Cold Soldering</t>
        </is>
      </c>
      <c r="O2312" s="62" t="n">
        <v>540</v>
      </c>
      <c r="P2312" s="9" t="inlineStr">
        <is>
          <t>NSMP2305129294</t>
        </is>
      </c>
      <c r="Q2312" s="53">
        <f>MID(P2312,5,2)</f>
        <v/>
      </c>
      <c r="R2312" s="53">
        <f>MID(P2312,7,2)</f>
        <v/>
      </c>
      <c r="S2312" s="3" t="inlineStr">
        <is>
          <t>G2B</t>
        </is>
      </c>
      <c r="T2312" s="3" t="inlineStr">
        <is>
          <t>P2</t>
        </is>
      </c>
      <c r="U2312" s="3" t="inlineStr">
        <is>
          <t>P JB Cold Soldering</t>
        </is>
      </c>
      <c r="V2312" s="3" t="inlineStr">
        <is>
          <t>Soldering</t>
        </is>
      </c>
      <c r="W2312" s="3" t="inlineStr">
        <is>
          <t>Repair</t>
        </is>
      </c>
      <c r="X2312" s="18" t="n">
        <v>46170</v>
      </c>
      <c r="Y2312" s="3">
        <f>X2312-A2312</f>
        <v/>
      </c>
      <c r="Z2312" s="18" t="n">
        <v>46170</v>
      </c>
      <c r="AA2312" s="15" t="n"/>
      <c r="AB2312" s="15" t="n"/>
    </row>
    <row r="2313">
      <c r="A2313" s="59" t="n">
        <v>46148</v>
      </c>
      <c r="B2313" s="3" t="n">
        <v>2026</v>
      </c>
      <c r="C2313" s="21" t="inlineStr">
        <is>
          <t>Continuum</t>
        </is>
      </c>
      <c r="D2313" s="3" t="inlineStr">
        <is>
          <t>Utility and C&amp;I</t>
        </is>
      </c>
      <c r="E2313" s="3" t="n"/>
      <c r="F2313" s="3" t="inlineStr">
        <is>
          <t>Closed</t>
        </is>
      </c>
      <c r="G2313" s="21" t="inlineStr">
        <is>
          <t>Amiya Ranjan Behera</t>
        </is>
      </c>
      <c r="H2313" s="21" t="n">
        <v>8917436223</v>
      </c>
      <c r="I2313" s="38" t="inlineStr">
        <is>
          <t>PE06052602</t>
        </is>
      </c>
      <c r="J2313" s="21" t="inlineStr">
        <is>
          <t>Diode Bypass Module Issue</t>
        </is>
      </c>
      <c r="K2313" s="21" t="inlineStr">
        <is>
          <t>Bhavnagar</t>
        </is>
      </c>
      <c r="L2313" s="21" t="inlineStr">
        <is>
          <t>Gujarat</t>
        </is>
      </c>
      <c r="M2313" s="96" t="inlineStr">
        <is>
          <t>PS</t>
        </is>
      </c>
      <c r="N2313" s="3" t="inlineStr">
        <is>
          <t>Cold Soldering</t>
        </is>
      </c>
      <c r="O2313" s="62" t="n">
        <v>540</v>
      </c>
      <c r="P2313" s="9" t="inlineStr">
        <is>
          <t>NSMP2305129295</t>
        </is>
      </c>
      <c r="Q2313" s="53">
        <f>MID(P2313,5,2)</f>
        <v/>
      </c>
      <c r="R2313" s="53">
        <f>MID(P2313,7,2)</f>
        <v/>
      </c>
      <c r="S2313" s="3" t="inlineStr">
        <is>
          <t>G2B</t>
        </is>
      </c>
      <c r="T2313" s="3" t="inlineStr">
        <is>
          <t>P2</t>
        </is>
      </c>
      <c r="U2313" s="3" t="inlineStr">
        <is>
          <t>P JB Cold Soldering</t>
        </is>
      </c>
      <c r="V2313" s="3" t="inlineStr">
        <is>
          <t>Soldering</t>
        </is>
      </c>
      <c r="W2313" s="3" t="inlineStr">
        <is>
          <t>Repair</t>
        </is>
      </c>
      <c r="X2313" s="18" t="n">
        <v>46170</v>
      </c>
      <c r="Y2313" s="3">
        <f>X2313-A2313</f>
        <v/>
      </c>
      <c r="Z2313" s="18" t="n">
        <v>46170</v>
      </c>
      <c r="AA2313" s="15" t="n"/>
      <c r="AB2313" s="15" t="n"/>
    </row>
    <row r="2314">
      <c r="A2314" s="59" t="n">
        <v>46148</v>
      </c>
      <c r="B2314" s="3" t="n">
        <v>2026</v>
      </c>
      <c r="C2314" s="21" t="inlineStr">
        <is>
          <t>Continuum</t>
        </is>
      </c>
      <c r="D2314" s="3" t="inlineStr">
        <is>
          <t>Utility and C&amp;I</t>
        </is>
      </c>
      <c r="E2314" s="3" t="n"/>
      <c r="F2314" s="3" t="inlineStr">
        <is>
          <t>Closed</t>
        </is>
      </c>
      <c r="G2314" s="21" t="inlineStr">
        <is>
          <t>Amiya Ranjan Behera</t>
        </is>
      </c>
      <c r="H2314" s="21" t="n">
        <v>8917436223</v>
      </c>
      <c r="I2314" s="38" t="inlineStr">
        <is>
          <t>PE06052602</t>
        </is>
      </c>
      <c r="J2314" s="21" t="inlineStr">
        <is>
          <t>Diode Bypass Module Issue</t>
        </is>
      </c>
      <c r="K2314" s="21" t="inlineStr">
        <is>
          <t>Bhavnagar</t>
        </is>
      </c>
      <c r="L2314" s="21" t="inlineStr">
        <is>
          <t>Gujarat</t>
        </is>
      </c>
      <c r="M2314" s="96" t="inlineStr">
        <is>
          <t>PS</t>
        </is>
      </c>
      <c r="N2314" s="3" t="inlineStr">
        <is>
          <t>Cold Soldering</t>
        </is>
      </c>
      <c r="O2314" s="62" t="n">
        <v>540</v>
      </c>
      <c r="P2314" s="9" t="inlineStr">
        <is>
          <t>NSMP2305129300</t>
        </is>
      </c>
      <c r="Q2314" s="53">
        <f>MID(P2314,5,2)</f>
        <v/>
      </c>
      <c r="R2314" s="53">
        <f>MID(P2314,7,2)</f>
        <v/>
      </c>
      <c r="S2314" s="3" t="inlineStr">
        <is>
          <t>G2B</t>
        </is>
      </c>
      <c r="T2314" s="3" t="inlineStr">
        <is>
          <t>P2</t>
        </is>
      </c>
      <c r="U2314" s="3" t="inlineStr">
        <is>
          <t>P JB Cold Soldering</t>
        </is>
      </c>
      <c r="V2314" s="3" t="inlineStr">
        <is>
          <t>Soldering</t>
        </is>
      </c>
      <c r="W2314" s="3" t="inlineStr">
        <is>
          <t>Repair</t>
        </is>
      </c>
      <c r="X2314" s="18" t="n">
        <v>46170</v>
      </c>
      <c r="Y2314" s="3">
        <f>X2314-A2314</f>
        <v/>
      </c>
      <c r="Z2314" s="18" t="n">
        <v>46170</v>
      </c>
      <c r="AA2314" s="15" t="n"/>
      <c r="AB2314" s="15" t="n"/>
    </row>
    <row r="2315">
      <c r="A2315" s="59" t="n">
        <v>46148</v>
      </c>
      <c r="B2315" s="3" t="n">
        <v>2026</v>
      </c>
      <c r="C2315" s="21" t="inlineStr">
        <is>
          <t>Continuum</t>
        </is>
      </c>
      <c r="D2315" s="3" t="inlineStr">
        <is>
          <t>Utility and C&amp;I</t>
        </is>
      </c>
      <c r="E2315" s="3" t="n"/>
      <c r="F2315" s="3" t="inlineStr">
        <is>
          <t>Closed</t>
        </is>
      </c>
      <c r="G2315" s="21" t="inlineStr">
        <is>
          <t>Amiya Ranjan Behera</t>
        </is>
      </c>
      <c r="H2315" s="21" t="n">
        <v>8917436223</v>
      </c>
      <c r="I2315" s="38" t="inlineStr">
        <is>
          <t>PE06052602</t>
        </is>
      </c>
      <c r="J2315" s="21" t="inlineStr">
        <is>
          <t>Diode Bypass Module Issue</t>
        </is>
      </c>
      <c r="K2315" s="21" t="inlineStr">
        <is>
          <t>Bhavnagar</t>
        </is>
      </c>
      <c r="L2315" s="21" t="inlineStr">
        <is>
          <t>Gujarat</t>
        </is>
      </c>
      <c r="M2315" s="96" t="inlineStr">
        <is>
          <t>PR</t>
        </is>
      </c>
      <c r="N2315" s="3" t="inlineStr">
        <is>
          <t>JB Issue</t>
        </is>
      </c>
      <c r="O2315" s="62" t="n">
        <v>540</v>
      </c>
      <c r="P2315" s="9" t="inlineStr">
        <is>
          <t>NSMP2305129153</t>
        </is>
      </c>
      <c r="Q2315" s="53">
        <f>MID(P2315,5,2)</f>
        <v/>
      </c>
      <c r="R2315" s="53">
        <f>MID(P2315,7,2)</f>
        <v/>
      </c>
      <c r="S2315" s="3" t="inlineStr">
        <is>
          <t>G2B</t>
        </is>
      </c>
      <c r="T2315" s="3" t="inlineStr">
        <is>
          <t>P2</t>
        </is>
      </c>
      <c r="U2315" s="3" t="inlineStr">
        <is>
          <t>P JB Issue</t>
        </is>
      </c>
      <c r="V2315" s="15" t="inlineStr">
        <is>
          <t>JB Changed</t>
        </is>
      </c>
      <c r="W2315" s="3" t="inlineStr">
        <is>
          <t>Repair</t>
        </is>
      </c>
      <c r="X2315" s="18" t="n">
        <v>46170</v>
      </c>
      <c r="Y2315" s="3">
        <f>X2315-A2315</f>
        <v/>
      </c>
      <c r="Z2315" s="18" t="n">
        <v>46170</v>
      </c>
      <c r="AA2315" s="15" t="n"/>
      <c r="AB2315" s="15" t="n"/>
    </row>
    <row r="2316">
      <c r="A2316" s="59" t="n">
        <v>46148</v>
      </c>
      <c r="B2316" s="3" t="n">
        <v>2026</v>
      </c>
      <c r="C2316" s="21" t="inlineStr">
        <is>
          <t>Continuum</t>
        </is>
      </c>
      <c r="D2316" s="3" t="inlineStr">
        <is>
          <t>Utility and C&amp;I</t>
        </is>
      </c>
      <c r="E2316" s="3" t="n"/>
      <c r="F2316" s="3" t="inlineStr">
        <is>
          <t>Closed</t>
        </is>
      </c>
      <c r="G2316" s="21" t="inlineStr">
        <is>
          <t>Amiya Ranjan Behera</t>
        </is>
      </c>
      <c r="H2316" s="21" t="n">
        <v>8917436223</v>
      </c>
      <c r="I2316" s="38" t="inlineStr">
        <is>
          <t>PE06052602</t>
        </is>
      </c>
      <c r="J2316" s="21" t="inlineStr">
        <is>
          <t>Diode Bypass Module Issue</t>
        </is>
      </c>
      <c r="K2316" s="21" t="inlineStr">
        <is>
          <t>Bhavnagar</t>
        </is>
      </c>
      <c r="L2316" s="21" t="inlineStr">
        <is>
          <t>Gujarat</t>
        </is>
      </c>
      <c r="M2316" s="96" t="inlineStr">
        <is>
          <t>PS</t>
        </is>
      </c>
      <c r="N2316" s="3" t="inlineStr">
        <is>
          <t>Cold Soldering</t>
        </is>
      </c>
      <c r="O2316" s="62" t="n">
        <v>540</v>
      </c>
      <c r="P2316" s="9" t="inlineStr">
        <is>
          <t>NSMP2305132849</t>
        </is>
      </c>
      <c r="Q2316" s="53">
        <f>MID(P2316,5,2)</f>
        <v/>
      </c>
      <c r="R2316" s="53">
        <f>MID(P2316,7,2)</f>
        <v/>
      </c>
      <c r="S2316" s="3" t="inlineStr">
        <is>
          <t>G2B</t>
        </is>
      </c>
      <c r="T2316" s="3" t="inlineStr">
        <is>
          <t>P2</t>
        </is>
      </c>
      <c r="U2316" s="3" t="inlineStr">
        <is>
          <t>P JB Cold Soldering</t>
        </is>
      </c>
      <c r="V2316" s="3" t="inlineStr">
        <is>
          <t>Soldering</t>
        </is>
      </c>
      <c r="W2316" s="3" t="inlineStr">
        <is>
          <t>Repair</t>
        </is>
      </c>
      <c r="X2316" s="18" t="n">
        <v>46170</v>
      </c>
      <c r="Y2316" s="3">
        <f>X2316-A2316</f>
        <v/>
      </c>
      <c r="Z2316" s="18" t="n">
        <v>46170</v>
      </c>
      <c r="AA2316" s="15" t="n"/>
      <c r="AB2316" s="15" t="n"/>
    </row>
    <row r="2317">
      <c r="A2317" s="59" t="n">
        <v>46148</v>
      </c>
      <c r="B2317" s="3" t="n">
        <v>2026</v>
      </c>
      <c r="C2317" s="21" t="inlineStr">
        <is>
          <t>Continuum</t>
        </is>
      </c>
      <c r="D2317" s="3" t="inlineStr">
        <is>
          <t>Utility and C&amp;I</t>
        </is>
      </c>
      <c r="E2317" s="3" t="n"/>
      <c r="F2317" s="3" t="inlineStr">
        <is>
          <t>Closed</t>
        </is>
      </c>
      <c r="G2317" s="21" t="inlineStr">
        <is>
          <t>Amiya Ranjan Behera</t>
        </is>
      </c>
      <c r="H2317" s="21" t="n">
        <v>8917436223</v>
      </c>
      <c r="I2317" s="38" t="inlineStr">
        <is>
          <t>PE06052602</t>
        </is>
      </c>
      <c r="J2317" s="21" t="inlineStr">
        <is>
          <t>Diode Bypass Module Issue</t>
        </is>
      </c>
      <c r="K2317" s="21" t="inlineStr">
        <is>
          <t>Bhavnagar</t>
        </is>
      </c>
      <c r="L2317" s="21" t="inlineStr">
        <is>
          <t>Gujarat</t>
        </is>
      </c>
      <c r="M2317" s="96" t="inlineStr">
        <is>
          <t>PS</t>
        </is>
      </c>
      <c r="N2317" s="3" t="inlineStr">
        <is>
          <t>Cold Soldering</t>
        </is>
      </c>
      <c r="O2317" s="62" t="n">
        <v>540</v>
      </c>
      <c r="P2317" s="9" t="inlineStr">
        <is>
          <t>NSMP2305124605</t>
        </is>
      </c>
      <c r="Q2317" s="53">
        <f>MID(P2317,5,2)</f>
        <v/>
      </c>
      <c r="R2317" s="53">
        <f>MID(P2317,7,2)</f>
        <v/>
      </c>
      <c r="S2317" s="3" t="inlineStr">
        <is>
          <t>G2B</t>
        </is>
      </c>
      <c r="T2317" s="3" t="inlineStr">
        <is>
          <t>P2</t>
        </is>
      </c>
      <c r="U2317" s="3" t="inlineStr">
        <is>
          <t>P JB Cold Soldering</t>
        </is>
      </c>
      <c r="V2317" s="3" t="inlineStr">
        <is>
          <t>Soldering</t>
        </is>
      </c>
      <c r="W2317" s="3" t="inlineStr">
        <is>
          <t>Repair</t>
        </is>
      </c>
      <c r="X2317" s="18" t="n">
        <v>46170</v>
      </c>
      <c r="Y2317" s="3">
        <f>X2317-A2317</f>
        <v/>
      </c>
      <c r="Z2317" s="18" t="n">
        <v>46170</v>
      </c>
      <c r="AA2317" s="15" t="n"/>
      <c r="AB2317" s="15" t="n"/>
    </row>
    <row r="2318">
      <c r="A2318" s="59" t="n">
        <v>46148</v>
      </c>
      <c r="B2318" s="3" t="n">
        <v>2026</v>
      </c>
      <c r="C2318" s="21" t="inlineStr">
        <is>
          <t>Continuum</t>
        </is>
      </c>
      <c r="D2318" s="3" t="inlineStr">
        <is>
          <t>Utility and C&amp;I</t>
        </is>
      </c>
      <c r="E2318" s="3" t="n"/>
      <c r="F2318" s="3" t="inlineStr">
        <is>
          <t>Closed</t>
        </is>
      </c>
      <c r="G2318" s="21" t="inlineStr">
        <is>
          <t>Amiya Ranjan Behera</t>
        </is>
      </c>
      <c r="H2318" s="21" t="n">
        <v>8917436223</v>
      </c>
      <c r="I2318" s="38" t="inlineStr">
        <is>
          <t>PE06052602</t>
        </is>
      </c>
      <c r="J2318" s="21" t="inlineStr">
        <is>
          <t>Diode Bypass Module Issue</t>
        </is>
      </c>
      <c r="K2318" s="21" t="inlineStr">
        <is>
          <t>Bhavnagar</t>
        </is>
      </c>
      <c r="L2318" s="21" t="inlineStr">
        <is>
          <t>Gujarat</t>
        </is>
      </c>
      <c r="M2318" s="96" t="inlineStr">
        <is>
          <t>PS</t>
        </is>
      </c>
      <c r="N2318" s="3" t="inlineStr">
        <is>
          <t>Cold Soldering</t>
        </is>
      </c>
      <c r="O2318" s="62" t="n">
        <v>540</v>
      </c>
      <c r="P2318" s="9" t="inlineStr">
        <is>
          <t>NSMP2305124633</t>
        </is>
      </c>
      <c r="Q2318" s="53">
        <f>MID(P2318,5,2)</f>
        <v/>
      </c>
      <c r="R2318" s="53">
        <f>MID(P2318,7,2)</f>
        <v/>
      </c>
      <c r="S2318" s="3" t="inlineStr">
        <is>
          <t>G2B</t>
        </is>
      </c>
      <c r="T2318" s="3" t="inlineStr">
        <is>
          <t>P2</t>
        </is>
      </c>
      <c r="U2318" s="3" t="inlineStr">
        <is>
          <t>P JB Cold Soldering</t>
        </is>
      </c>
      <c r="V2318" s="3" t="inlineStr">
        <is>
          <t>Soldering</t>
        </is>
      </c>
      <c r="W2318" s="3" t="inlineStr">
        <is>
          <t>Repair</t>
        </is>
      </c>
      <c r="X2318" s="18" t="n">
        <v>46170</v>
      </c>
      <c r="Y2318" s="3">
        <f>X2318-A2318</f>
        <v/>
      </c>
      <c r="Z2318" s="18" t="n">
        <v>46170</v>
      </c>
      <c r="AA2318" s="15" t="n"/>
      <c r="AB2318" s="15" t="n"/>
    </row>
    <row r="2319">
      <c r="A2319" s="59" t="n">
        <v>46148</v>
      </c>
      <c r="B2319" s="3" t="n">
        <v>2026</v>
      </c>
      <c r="C2319" s="21" t="inlineStr">
        <is>
          <t>Continuum</t>
        </is>
      </c>
      <c r="D2319" s="3" t="inlineStr">
        <is>
          <t>Utility and C&amp;I</t>
        </is>
      </c>
      <c r="E2319" s="3" t="n"/>
      <c r="F2319" s="3" t="inlineStr">
        <is>
          <t>Closed</t>
        </is>
      </c>
      <c r="G2319" s="21" t="inlineStr">
        <is>
          <t>Amiya Ranjan Behera</t>
        </is>
      </c>
      <c r="H2319" s="21" t="n">
        <v>8917436223</v>
      </c>
      <c r="I2319" s="38" t="inlineStr">
        <is>
          <t>PE06052602</t>
        </is>
      </c>
      <c r="J2319" s="21" t="inlineStr">
        <is>
          <t>Diode Bypass Module Issue</t>
        </is>
      </c>
      <c r="K2319" s="21" t="inlineStr">
        <is>
          <t>Bhavnagar</t>
        </is>
      </c>
      <c r="L2319" s="21" t="inlineStr">
        <is>
          <t>Gujarat</t>
        </is>
      </c>
      <c r="M2319" s="96" t="inlineStr">
        <is>
          <t>PS</t>
        </is>
      </c>
      <c r="N2319" s="3" t="inlineStr">
        <is>
          <t>Cold Soldering</t>
        </is>
      </c>
      <c r="O2319" s="62" t="n">
        <v>540</v>
      </c>
      <c r="P2319" s="9" t="inlineStr">
        <is>
          <t>NSMP2305124479</t>
        </is>
      </c>
      <c r="Q2319" s="53">
        <f>MID(P2319,5,2)</f>
        <v/>
      </c>
      <c r="R2319" s="53">
        <f>MID(P2319,7,2)</f>
        <v/>
      </c>
      <c r="S2319" s="3" t="inlineStr">
        <is>
          <t>G2B</t>
        </is>
      </c>
      <c r="T2319" s="3" t="inlineStr">
        <is>
          <t>P2</t>
        </is>
      </c>
      <c r="U2319" s="3" t="inlineStr">
        <is>
          <t>P JB Cold Soldering</t>
        </is>
      </c>
      <c r="V2319" s="3" t="inlineStr">
        <is>
          <t>Soldering</t>
        </is>
      </c>
      <c r="W2319" s="3" t="inlineStr">
        <is>
          <t>Repair</t>
        </is>
      </c>
      <c r="X2319" s="18" t="n">
        <v>46170</v>
      </c>
      <c r="Y2319" s="3">
        <f>X2319-A2319</f>
        <v/>
      </c>
      <c r="Z2319" s="18" t="n">
        <v>46170</v>
      </c>
      <c r="AA2319" s="15" t="n"/>
      <c r="AB2319" s="15" t="n"/>
    </row>
    <row r="2320">
      <c r="A2320" s="59" t="n">
        <v>46148</v>
      </c>
      <c r="B2320" s="3" t="n">
        <v>2026</v>
      </c>
      <c r="C2320" s="21" t="inlineStr">
        <is>
          <t>Continuum</t>
        </is>
      </c>
      <c r="D2320" s="3" t="inlineStr">
        <is>
          <t>Utility and C&amp;I</t>
        </is>
      </c>
      <c r="E2320" s="3" t="n"/>
      <c r="F2320" s="3" t="inlineStr">
        <is>
          <t>Closed</t>
        </is>
      </c>
      <c r="G2320" s="21" t="inlineStr">
        <is>
          <t>Amiya Ranjan Behera</t>
        </is>
      </c>
      <c r="H2320" s="21" t="n">
        <v>8917436223</v>
      </c>
      <c r="I2320" s="38" t="inlineStr">
        <is>
          <t>PE06052602</t>
        </is>
      </c>
      <c r="J2320" s="21" t="inlineStr">
        <is>
          <t>Diode Bypass Module Issue</t>
        </is>
      </c>
      <c r="K2320" s="21" t="inlineStr">
        <is>
          <t>Bhavnagar</t>
        </is>
      </c>
      <c r="L2320" s="21" t="inlineStr">
        <is>
          <t>Gujarat</t>
        </is>
      </c>
      <c r="M2320" s="96" t="inlineStr">
        <is>
          <t>PS</t>
        </is>
      </c>
      <c r="N2320" s="3" t="inlineStr">
        <is>
          <t>Cold Soldering</t>
        </is>
      </c>
      <c r="O2320" s="62" t="n">
        <v>540</v>
      </c>
      <c r="P2320" s="9" t="inlineStr">
        <is>
          <t>NSMP2305124622</t>
        </is>
      </c>
      <c r="Q2320" s="53">
        <f>MID(P2320,5,2)</f>
        <v/>
      </c>
      <c r="R2320" s="53">
        <f>MID(P2320,7,2)</f>
        <v/>
      </c>
      <c r="S2320" s="3" t="inlineStr">
        <is>
          <t>G2B</t>
        </is>
      </c>
      <c r="T2320" s="3" t="inlineStr">
        <is>
          <t>P2</t>
        </is>
      </c>
      <c r="U2320" s="3" t="inlineStr">
        <is>
          <t>P JB Cold Soldering</t>
        </is>
      </c>
      <c r="V2320" s="3" t="inlineStr">
        <is>
          <t>Soldering</t>
        </is>
      </c>
      <c r="W2320" s="3" t="inlineStr">
        <is>
          <t>Repair</t>
        </is>
      </c>
      <c r="X2320" s="18" t="n">
        <v>46170</v>
      </c>
      <c r="Y2320" s="3">
        <f>X2320-A2320</f>
        <v/>
      </c>
      <c r="Z2320" s="18" t="n">
        <v>46170</v>
      </c>
      <c r="AA2320" s="15" t="n"/>
      <c r="AB2320" s="15" t="n"/>
    </row>
    <row r="2321">
      <c r="A2321" s="59" t="n">
        <v>46148</v>
      </c>
      <c r="B2321" s="3" t="n">
        <v>2026</v>
      </c>
      <c r="C2321" s="21" t="inlineStr">
        <is>
          <t>Continuum</t>
        </is>
      </c>
      <c r="D2321" s="3" t="inlineStr">
        <is>
          <t>Utility and C&amp;I</t>
        </is>
      </c>
      <c r="E2321" s="3" t="n"/>
      <c r="F2321" s="3" t="inlineStr">
        <is>
          <t>Closed</t>
        </is>
      </c>
      <c r="G2321" s="21" t="inlineStr">
        <is>
          <t>Amiya Ranjan Behera</t>
        </is>
      </c>
      <c r="H2321" s="21" t="n">
        <v>8917436223</v>
      </c>
      <c r="I2321" s="38" t="inlineStr">
        <is>
          <t>PE06052602</t>
        </is>
      </c>
      <c r="J2321" s="21" t="inlineStr">
        <is>
          <t>Diode Bypass Module Issue</t>
        </is>
      </c>
      <c r="K2321" s="21" t="inlineStr">
        <is>
          <t>Bhavnagar</t>
        </is>
      </c>
      <c r="L2321" s="21" t="inlineStr">
        <is>
          <t>Gujarat</t>
        </is>
      </c>
      <c r="M2321" s="96" t="inlineStr">
        <is>
          <t>NS</t>
        </is>
      </c>
      <c r="N2321" s="26" t="inlineStr">
        <is>
          <t>Cold Soldering</t>
        </is>
      </c>
      <c r="O2321" s="62" t="n">
        <v>540</v>
      </c>
      <c r="P2321" s="9" t="inlineStr">
        <is>
          <t>NSMP2305124626</t>
        </is>
      </c>
      <c r="Q2321" s="53">
        <f>MID(P2321,5,2)</f>
        <v/>
      </c>
      <c r="R2321" s="53">
        <f>MID(P2321,7,2)</f>
        <v/>
      </c>
      <c r="S2321" s="3" t="inlineStr">
        <is>
          <t>G2B</t>
        </is>
      </c>
      <c r="T2321" s="3" t="inlineStr">
        <is>
          <t>P2</t>
        </is>
      </c>
      <c r="U2321" s="19" t="inlineStr">
        <is>
          <t>N JB Cold Soldering</t>
        </is>
      </c>
      <c r="V2321" s="19" t="inlineStr">
        <is>
          <t>Soldering</t>
        </is>
      </c>
      <c r="W2321" s="3" t="inlineStr">
        <is>
          <t>Repair</t>
        </is>
      </c>
      <c r="X2321" s="18" t="n">
        <v>46170</v>
      </c>
      <c r="Y2321" s="3">
        <f>X2321-A2321</f>
        <v/>
      </c>
      <c r="Z2321" s="18" t="n">
        <v>46170</v>
      </c>
      <c r="AA2321" s="15" t="n"/>
      <c r="AB2321" s="15" t="n"/>
    </row>
    <row r="2322">
      <c r="A2322" s="59" t="n">
        <v>46148</v>
      </c>
      <c r="B2322" s="3" t="n">
        <v>2026</v>
      </c>
      <c r="C2322" s="21" t="inlineStr">
        <is>
          <t>Continuum</t>
        </is>
      </c>
      <c r="D2322" s="3" t="inlineStr">
        <is>
          <t>Utility and C&amp;I</t>
        </is>
      </c>
      <c r="E2322" s="3" t="n"/>
      <c r="F2322" s="3" t="inlineStr">
        <is>
          <t>Closed</t>
        </is>
      </c>
      <c r="G2322" s="21" t="inlineStr">
        <is>
          <t>Amiya Ranjan Behera</t>
        </is>
      </c>
      <c r="H2322" s="21" t="n">
        <v>8917436223</v>
      </c>
      <c r="I2322" s="38" t="inlineStr">
        <is>
          <t>PE06052602</t>
        </is>
      </c>
      <c r="J2322" s="21" t="inlineStr">
        <is>
          <t>Diode Bypass Module Issue</t>
        </is>
      </c>
      <c r="K2322" s="21" t="inlineStr">
        <is>
          <t>Bhavnagar</t>
        </is>
      </c>
      <c r="L2322" s="21" t="inlineStr">
        <is>
          <t>Gujarat</t>
        </is>
      </c>
      <c r="M2322" s="96" t="inlineStr">
        <is>
          <t>PS</t>
        </is>
      </c>
      <c r="N2322" s="3" t="inlineStr">
        <is>
          <t>Cold Soldering</t>
        </is>
      </c>
      <c r="O2322" s="62" t="n">
        <v>540</v>
      </c>
      <c r="P2322" s="9" t="inlineStr">
        <is>
          <t>NSMP2305124394</t>
        </is>
      </c>
      <c r="Q2322" s="53">
        <f>MID(P2322,5,2)</f>
        <v/>
      </c>
      <c r="R2322" s="53">
        <f>MID(P2322,7,2)</f>
        <v/>
      </c>
      <c r="S2322" s="3" t="inlineStr">
        <is>
          <t>G2B</t>
        </is>
      </c>
      <c r="T2322" s="3" t="inlineStr">
        <is>
          <t>P2</t>
        </is>
      </c>
      <c r="U2322" s="3" t="inlineStr">
        <is>
          <t>P JB Cold Soldering</t>
        </is>
      </c>
      <c r="V2322" s="3" t="inlineStr">
        <is>
          <t>Soldering</t>
        </is>
      </c>
      <c r="W2322" s="3" t="inlineStr">
        <is>
          <t>Repair</t>
        </is>
      </c>
      <c r="X2322" s="18" t="n">
        <v>46170</v>
      </c>
      <c r="Y2322" s="3">
        <f>X2322-A2322</f>
        <v/>
      </c>
      <c r="Z2322" s="18" t="n">
        <v>46170</v>
      </c>
      <c r="AA2322" s="15" t="n"/>
      <c r="AB2322" s="15" t="n"/>
    </row>
    <row r="2323">
      <c r="A2323" s="59" t="n">
        <v>46148</v>
      </c>
      <c r="B2323" s="3" t="n">
        <v>2026</v>
      </c>
      <c r="C2323" s="21" t="inlineStr">
        <is>
          <t>Continuum</t>
        </is>
      </c>
      <c r="D2323" s="3" t="inlineStr">
        <is>
          <t>Utility and C&amp;I</t>
        </is>
      </c>
      <c r="E2323" s="3" t="n"/>
      <c r="F2323" s="3" t="inlineStr">
        <is>
          <t>Closed</t>
        </is>
      </c>
      <c r="G2323" s="21" t="inlineStr">
        <is>
          <t>Amiya Ranjan Behera</t>
        </is>
      </c>
      <c r="H2323" s="21" t="n">
        <v>8917436223</v>
      </c>
      <c r="I2323" s="38" t="inlineStr">
        <is>
          <t>PE06052602</t>
        </is>
      </c>
      <c r="J2323" s="21" t="inlineStr">
        <is>
          <t>Diode Bypass Module Issue</t>
        </is>
      </c>
      <c r="K2323" s="21" t="inlineStr">
        <is>
          <t>Bhavnagar</t>
        </is>
      </c>
      <c r="L2323" s="21" t="inlineStr">
        <is>
          <t>Gujarat</t>
        </is>
      </c>
      <c r="M2323" s="96" t="inlineStr">
        <is>
          <t>OK</t>
        </is>
      </c>
      <c r="N2323" s="3" t="inlineStr">
        <is>
          <t>No Issue</t>
        </is>
      </c>
      <c r="O2323" s="62" t="n">
        <v>540</v>
      </c>
      <c r="P2323" s="9" t="inlineStr">
        <is>
          <t>NSMP2305127632</t>
        </is>
      </c>
      <c r="Q2323" s="53">
        <f>MID(P2323,5,2)</f>
        <v/>
      </c>
      <c r="R2323" s="53">
        <f>MID(P2323,7,2)</f>
        <v/>
      </c>
      <c r="S2323" s="3" t="inlineStr">
        <is>
          <t>G2B</t>
        </is>
      </c>
      <c r="T2323" s="3" t="inlineStr">
        <is>
          <t>P2</t>
        </is>
      </c>
      <c r="U2323" s="19" t="inlineStr">
        <is>
          <t>No Issue Found</t>
        </is>
      </c>
      <c r="V2323" s="19" t="inlineStr">
        <is>
          <t>Found OK</t>
        </is>
      </c>
      <c r="W2323" s="3" t="inlineStr">
        <is>
          <t>Repair</t>
        </is>
      </c>
      <c r="X2323" s="18" t="n">
        <v>46170</v>
      </c>
      <c r="Y2323" s="3">
        <f>X2323-A2323</f>
        <v/>
      </c>
      <c r="Z2323" s="18" t="n">
        <v>46170</v>
      </c>
      <c r="AA2323" s="15" t="n"/>
      <c r="AB2323" s="15" t="n"/>
    </row>
    <row r="2324">
      <c r="A2324" s="59" t="n">
        <v>46148</v>
      </c>
      <c r="B2324" s="3" t="n">
        <v>2026</v>
      </c>
      <c r="C2324" s="21" t="inlineStr">
        <is>
          <t>Continuum</t>
        </is>
      </c>
      <c r="D2324" s="3" t="inlineStr">
        <is>
          <t>Utility and C&amp;I</t>
        </is>
      </c>
      <c r="E2324" s="3" t="n"/>
      <c r="F2324" s="3" t="inlineStr">
        <is>
          <t>Closed</t>
        </is>
      </c>
      <c r="G2324" s="21" t="inlineStr">
        <is>
          <t>Amiya Ranjan Behera</t>
        </is>
      </c>
      <c r="H2324" s="21" t="n">
        <v>8917436223</v>
      </c>
      <c r="I2324" s="38" t="inlineStr">
        <is>
          <t>PE06052602</t>
        </is>
      </c>
      <c r="J2324" s="21" t="inlineStr">
        <is>
          <t>Diode Bypass Module Issue</t>
        </is>
      </c>
      <c r="K2324" s="21" t="inlineStr">
        <is>
          <t>Bhavnagar</t>
        </is>
      </c>
      <c r="L2324" s="21" t="inlineStr">
        <is>
          <t>Gujarat</t>
        </is>
      </c>
      <c r="M2324" s="96" t="inlineStr">
        <is>
          <t>PS</t>
        </is>
      </c>
      <c r="N2324" s="3" t="inlineStr">
        <is>
          <t>Cold Soldering</t>
        </is>
      </c>
      <c r="O2324" s="62" t="n">
        <v>540</v>
      </c>
      <c r="P2324" s="9" t="inlineStr">
        <is>
          <t>NSMP2305131891</t>
        </is>
      </c>
      <c r="Q2324" s="53">
        <f>MID(P2324,5,2)</f>
        <v/>
      </c>
      <c r="R2324" s="53">
        <f>MID(P2324,7,2)</f>
        <v/>
      </c>
      <c r="S2324" s="3" t="inlineStr">
        <is>
          <t>G2B</t>
        </is>
      </c>
      <c r="T2324" s="3" t="inlineStr">
        <is>
          <t>P2</t>
        </is>
      </c>
      <c r="U2324" s="3" t="inlineStr">
        <is>
          <t>P JB Cold Soldering</t>
        </is>
      </c>
      <c r="V2324" s="3" t="inlineStr">
        <is>
          <t>Soldering</t>
        </is>
      </c>
      <c r="W2324" s="3" t="inlineStr">
        <is>
          <t>Repair</t>
        </is>
      </c>
      <c r="X2324" s="18" t="n">
        <v>46170</v>
      </c>
      <c r="Y2324" s="3">
        <f>X2324-A2324</f>
        <v/>
      </c>
      <c r="Z2324" s="18" t="n">
        <v>46170</v>
      </c>
      <c r="AA2324" s="15" t="n"/>
      <c r="AB2324" s="15" t="n"/>
    </row>
    <row r="2325">
      <c r="A2325" s="59" t="n">
        <v>46148</v>
      </c>
      <c r="B2325" s="3" t="n">
        <v>2026</v>
      </c>
      <c r="C2325" s="21" t="inlineStr">
        <is>
          <t>Continuum</t>
        </is>
      </c>
      <c r="D2325" s="3" t="inlineStr">
        <is>
          <t>Utility and C&amp;I</t>
        </is>
      </c>
      <c r="E2325" s="3" t="n"/>
      <c r="F2325" s="3" t="inlineStr">
        <is>
          <t>Closed</t>
        </is>
      </c>
      <c r="G2325" s="21" t="inlineStr">
        <is>
          <t>Amiya Ranjan Behera</t>
        </is>
      </c>
      <c r="H2325" s="21" t="n">
        <v>8917436223</v>
      </c>
      <c r="I2325" s="38" t="inlineStr">
        <is>
          <t>PE06052602</t>
        </is>
      </c>
      <c r="J2325" s="21" t="inlineStr">
        <is>
          <t>Diode Bypass Module Issue</t>
        </is>
      </c>
      <c r="K2325" s="21" t="inlineStr">
        <is>
          <t>Bhavnagar</t>
        </is>
      </c>
      <c r="L2325" s="21" t="inlineStr">
        <is>
          <t>Gujarat</t>
        </is>
      </c>
      <c r="M2325" s="96" t="inlineStr">
        <is>
          <t>PS</t>
        </is>
      </c>
      <c r="N2325" s="3" t="inlineStr">
        <is>
          <t>Cold Soldering</t>
        </is>
      </c>
      <c r="O2325" s="62" t="n">
        <v>540</v>
      </c>
      <c r="P2325" s="9" t="inlineStr">
        <is>
          <t>NSMP2305130815</t>
        </is>
      </c>
      <c r="Q2325" s="53">
        <f>MID(P2325,5,2)</f>
        <v/>
      </c>
      <c r="R2325" s="53">
        <f>MID(P2325,7,2)</f>
        <v/>
      </c>
      <c r="S2325" s="3" t="inlineStr">
        <is>
          <t>G2B</t>
        </is>
      </c>
      <c r="T2325" s="3" t="inlineStr">
        <is>
          <t>P2</t>
        </is>
      </c>
      <c r="U2325" s="3" t="inlineStr">
        <is>
          <t>P JB Cold Soldering</t>
        </is>
      </c>
      <c r="V2325" s="3" t="inlineStr">
        <is>
          <t>Soldering</t>
        </is>
      </c>
      <c r="W2325" s="3" t="inlineStr">
        <is>
          <t>Repair</t>
        </is>
      </c>
      <c r="X2325" s="18" t="n">
        <v>46170</v>
      </c>
      <c r="Y2325" s="3">
        <f>X2325-A2325</f>
        <v/>
      </c>
      <c r="Z2325" s="18" t="n">
        <v>46170</v>
      </c>
      <c r="AA2325" s="15" t="n"/>
      <c r="AB2325" s="15" t="n"/>
    </row>
    <row r="2326">
      <c r="A2326" s="59" t="n">
        <v>46148</v>
      </c>
      <c r="B2326" s="3" t="n">
        <v>2026</v>
      </c>
      <c r="C2326" s="21" t="inlineStr">
        <is>
          <t>Continuum</t>
        </is>
      </c>
      <c r="D2326" s="3" t="inlineStr">
        <is>
          <t>Utility and C&amp;I</t>
        </is>
      </c>
      <c r="E2326" s="3" t="n"/>
      <c r="F2326" s="3" t="inlineStr">
        <is>
          <t>Closed</t>
        </is>
      </c>
      <c r="G2326" s="21" t="inlineStr">
        <is>
          <t>Amiya Ranjan Behera</t>
        </is>
      </c>
      <c r="H2326" s="21" t="n">
        <v>8917436223</v>
      </c>
      <c r="I2326" s="38" t="inlineStr">
        <is>
          <t>PE06052602</t>
        </is>
      </c>
      <c r="J2326" s="21" t="inlineStr">
        <is>
          <t>Diode Bypass Module Issue</t>
        </is>
      </c>
      <c r="K2326" s="21" t="inlineStr">
        <is>
          <t>Bhavnagar</t>
        </is>
      </c>
      <c r="L2326" s="21" t="inlineStr">
        <is>
          <t>Gujarat</t>
        </is>
      </c>
      <c r="M2326" s="96" t="inlineStr">
        <is>
          <t>PS</t>
        </is>
      </c>
      <c r="N2326" s="3" t="inlineStr">
        <is>
          <t>Cold Soldering</t>
        </is>
      </c>
      <c r="O2326" s="62" t="n">
        <v>540</v>
      </c>
      <c r="P2326" s="9" t="inlineStr">
        <is>
          <t>NSMP2305132459</t>
        </is>
      </c>
      <c r="Q2326" s="53">
        <f>MID(P2326,5,2)</f>
        <v/>
      </c>
      <c r="R2326" s="53">
        <f>MID(P2326,7,2)</f>
        <v/>
      </c>
      <c r="S2326" s="3" t="inlineStr">
        <is>
          <t>G2B</t>
        </is>
      </c>
      <c r="T2326" s="3" t="inlineStr">
        <is>
          <t>P2</t>
        </is>
      </c>
      <c r="U2326" s="3" t="inlineStr">
        <is>
          <t>P JB Cold Soldering</t>
        </is>
      </c>
      <c r="V2326" s="3" t="inlineStr">
        <is>
          <t>Soldering</t>
        </is>
      </c>
      <c r="W2326" s="3" t="inlineStr">
        <is>
          <t>Repair</t>
        </is>
      </c>
      <c r="X2326" s="18" t="n">
        <v>46170</v>
      </c>
      <c r="Y2326" s="3">
        <f>X2326-A2326</f>
        <v/>
      </c>
      <c r="Z2326" s="18" t="n">
        <v>46170</v>
      </c>
      <c r="AA2326" s="15" t="n"/>
      <c r="AB2326" s="15" t="n"/>
    </row>
    <row r="2327">
      <c r="A2327" s="59" t="n">
        <v>46148</v>
      </c>
      <c r="B2327" s="3" t="n">
        <v>2026</v>
      </c>
      <c r="C2327" s="21" t="inlineStr">
        <is>
          <t>Continuum</t>
        </is>
      </c>
      <c r="D2327" s="3" t="inlineStr">
        <is>
          <t>Utility and C&amp;I</t>
        </is>
      </c>
      <c r="E2327" s="3" t="n"/>
      <c r="F2327" s="3" t="inlineStr">
        <is>
          <t>Closed</t>
        </is>
      </c>
      <c r="G2327" s="21" t="inlineStr">
        <is>
          <t>Amiya Ranjan Behera</t>
        </is>
      </c>
      <c r="H2327" s="21" t="n">
        <v>8917436223</v>
      </c>
      <c r="I2327" s="38" t="inlineStr">
        <is>
          <t>PE06052602</t>
        </is>
      </c>
      <c r="J2327" s="21" t="inlineStr">
        <is>
          <t>Diode Bypass Module Issue</t>
        </is>
      </c>
      <c r="K2327" s="21" t="inlineStr">
        <is>
          <t>Bhavnagar</t>
        </is>
      </c>
      <c r="L2327" s="21" t="inlineStr">
        <is>
          <t>Gujarat</t>
        </is>
      </c>
      <c r="M2327" s="96" t="inlineStr">
        <is>
          <t xml:space="preserve">OK </t>
        </is>
      </c>
      <c r="N2327" s="3" t="inlineStr">
        <is>
          <t>No Issue</t>
        </is>
      </c>
      <c r="O2327" s="62" t="n">
        <v>540</v>
      </c>
      <c r="P2327" s="9" t="inlineStr">
        <is>
          <t>NSMP2305131449</t>
        </is>
      </c>
      <c r="Q2327" s="53">
        <f>MID(P2327,5,2)</f>
        <v/>
      </c>
      <c r="R2327" s="53">
        <f>MID(P2327,7,2)</f>
        <v/>
      </c>
      <c r="S2327" s="3" t="inlineStr">
        <is>
          <t>G2B</t>
        </is>
      </c>
      <c r="T2327" s="3" t="inlineStr">
        <is>
          <t>P2</t>
        </is>
      </c>
      <c r="U2327" s="19" t="inlineStr">
        <is>
          <t>No Issue Found</t>
        </is>
      </c>
      <c r="V2327" s="19" t="inlineStr">
        <is>
          <t>Found OK</t>
        </is>
      </c>
      <c r="W2327" s="3" t="inlineStr">
        <is>
          <t>Repair</t>
        </is>
      </c>
      <c r="X2327" s="18" t="n">
        <v>46170</v>
      </c>
      <c r="Y2327" s="3">
        <f>X2327-A2327</f>
        <v/>
      </c>
      <c r="Z2327" s="18" t="n">
        <v>46170</v>
      </c>
      <c r="AA2327" s="15" t="n"/>
      <c r="AB2327" s="15" t="n"/>
    </row>
    <row r="2328">
      <c r="A2328" s="59" t="n">
        <v>46148</v>
      </c>
      <c r="B2328" s="3" t="n">
        <v>2026</v>
      </c>
      <c r="C2328" s="21" t="inlineStr">
        <is>
          <t>Continuum</t>
        </is>
      </c>
      <c r="D2328" s="3" t="inlineStr">
        <is>
          <t>Utility and C&amp;I</t>
        </is>
      </c>
      <c r="E2328" s="3" t="n"/>
      <c r="F2328" s="3" t="inlineStr">
        <is>
          <t>Closed</t>
        </is>
      </c>
      <c r="G2328" s="21" t="inlineStr">
        <is>
          <t>Amiya Ranjan Behera</t>
        </is>
      </c>
      <c r="H2328" s="21" t="n">
        <v>8917436223</v>
      </c>
      <c r="I2328" s="38" t="inlineStr">
        <is>
          <t>PE06052602</t>
        </is>
      </c>
      <c r="J2328" s="21" t="inlineStr">
        <is>
          <t>Diode Bypass Module Issue</t>
        </is>
      </c>
      <c r="K2328" s="21" t="inlineStr">
        <is>
          <t>Bhavnagar</t>
        </is>
      </c>
      <c r="L2328" s="21" t="inlineStr">
        <is>
          <t>Gujarat</t>
        </is>
      </c>
      <c r="M2328" s="96" t="inlineStr">
        <is>
          <t xml:space="preserve">OK </t>
        </is>
      </c>
      <c r="N2328" s="3" t="inlineStr">
        <is>
          <t>No Issue</t>
        </is>
      </c>
      <c r="O2328" s="62" t="n">
        <v>540</v>
      </c>
      <c r="P2328" s="9" t="inlineStr">
        <is>
          <t>NSMP2305174130</t>
        </is>
      </c>
      <c r="Q2328" s="53">
        <f>MID(P2328,5,2)</f>
        <v/>
      </c>
      <c r="R2328" s="53">
        <f>MID(P2328,7,2)</f>
        <v/>
      </c>
      <c r="S2328" s="3" t="inlineStr">
        <is>
          <t>G2B</t>
        </is>
      </c>
      <c r="T2328" s="3" t="inlineStr">
        <is>
          <t>P2</t>
        </is>
      </c>
      <c r="U2328" s="19" t="inlineStr">
        <is>
          <t>No Issue Found</t>
        </is>
      </c>
      <c r="V2328" s="19" t="inlineStr">
        <is>
          <t>Found OK</t>
        </is>
      </c>
      <c r="W2328" s="3" t="inlineStr">
        <is>
          <t>Repair</t>
        </is>
      </c>
      <c r="X2328" s="18" t="n">
        <v>46170</v>
      </c>
      <c r="Y2328" s="3">
        <f>X2328-A2328</f>
        <v/>
      </c>
      <c r="Z2328" s="18" t="n">
        <v>46170</v>
      </c>
      <c r="AA2328" s="15" t="n"/>
      <c r="AB2328" s="15" t="n"/>
    </row>
    <row r="2329">
      <c r="A2329" s="59" t="n">
        <v>46148</v>
      </c>
      <c r="B2329" s="3" t="n">
        <v>2026</v>
      </c>
      <c r="C2329" s="21" t="inlineStr">
        <is>
          <t>Continuum</t>
        </is>
      </c>
      <c r="D2329" s="3" t="inlineStr">
        <is>
          <t>Utility and C&amp;I</t>
        </is>
      </c>
      <c r="E2329" s="3" t="n"/>
      <c r="F2329" s="3" t="inlineStr">
        <is>
          <t>Closed</t>
        </is>
      </c>
      <c r="G2329" s="21" t="inlineStr">
        <is>
          <t>Amiya Ranjan Behera</t>
        </is>
      </c>
      <c r="H2329" s="21" t="n">
        <v>8917436223</v>
      </c>
      <c r="I2329" s="38" t="inlineStr">
        <is>
          <t>PE06052602</t>
        </is>
      </c>
      <c r="J2329" s="21" t="inlineStr">
        <is>
          <t>Diode Bypass Module Issue</t>
        </is>
      </c>
      <c r="K2329" s="21" t="inlineStr">
        <is>
          <t>Bhavnagar</t>
        </is>
      </c>
      <c r="L2329" s="21" t="inlineStr">
        <is>
          <t>Gujarat</t>
        </is>
      </c>
      <c r="M2329" s="96" t="inlineStr">
        <is>
          <t xml:space="preserve">OK </t>
        </is>
      </c>
      <c r="N2329" s="3" t="inlineStr">
        <is>
          <t>No Issue</t>
        </is>
      </c>
      <c r="O2329" s="62" t="n">
        <v>540</v>
      </c>
      <c r="P2329" s="9" t="inlineStr">
        <is>
          <t>NSMP2305175302</t>
        </is>
      </c>
      <c r="Q2329" s="53">
        <f>MID(P2329,5,2)</f>
        <v/>
      </c>
      <c r="R2329" s="53">
        <f>MID(P2329,7,2)</f>
        <v/>
      </c>
      <c r="S2329" s="3" t="inlineStr">
        <is>
          <t>G2B</t>
        </is>
      </c>
      <c r="T2329" s="3" t="inlineStr">
        <is>
          <t>P2</t>
        </is>
      </c>
      <c r="U2329" s="19" t="inlineStr">
        <is>
          <t>No Issue Found</t>
        </is>
      </c>
      <c r="V2329" s="19" t="inlineStr">
        <is>
          <t>Found OK</t>
        </is>
      </c>
      <c r="W2329" s="3" t="inlineStr">
        <is>
          <t>Repair</t>
        </is>
      </c>
      <c r="X2329" s="18" t="n">
        <v>46170</v>
      </c>
      <c r="Y2329" s="3">
        <f>X2329-A2329</f>
        <v/>
      </c>
      <c r="Z2329" s="18" t="n">
        <v>46170</v>
      </c>
      <c r="AA2329" s="15" t="n"/>
      <c r="AB2329" s="15" t="n"/>
    </row>
    <row r="2330">
      <c r="A2330" s="59" t="n">
        <v>46148</v>
      </c>
      <c r="B2330" s="3" t="n">
        <v>2026</v>
      </c>
      <c r="C2330" s="21" t="inlineStr">
        <is>
          <t>Continuum</t>
        </is>
      </c>
      <c r="D2330" s="3" t="inlineStr">
        <is>
          <t>Utility and C&amp;I</t>
        </is>
      </c>
      <c r="E2330" s="3" t="n"/>
      <c r="F2330" s="3" t="inlineStr">
        <is>
          <t>Closed</t>
        </is>
      </c>
      <c r="G2330" s="21" t="inlineStr">
        <is>
          <t>Amiya Ranjan Behera</t>
        </is>
      </c>
      <c r="H2330" s="21" t="n">
        <v>8917436223</v>
      </c>
      <c r="I2330" s="38" t="inlineStr">
        <is>
          <t>PE06052602</t>
        </is>
      </c>
      <c r="J2330" s="21" t="inlineStr">
        <is>
          <t>Diode Bypass Module Issue</t>
        </is>
      </c>
      <c r="K2330" s="21" t="inlineStr">
        <is>
          <t>Bhavnagar</t>
        </is>
      </c>
      <c r="L2330" s="21" t="inlineStr">
        <is>
          <t>Gujarat</t>
        </is>
      </c>
      <c r="M2330" s="96" t="inlineStr">
        <is>
          <t xml:space="preserve">OK </t>
        </is>
      </c>
      <c r="N2330" s="3" t="inlineStr">
        <is>
          <t>No Issue</t>
        </is>
      </c>
      <c r="O2330" s="62" t="n">
        <v>540</v>
      </c>
      <c r="P2330" s="9" t="inlineStr">
        <is>
          <t>NSMP2305133928</t>
        </is>
      </c>
      <c r="Q2330" s="53">
        <f>MID(P2330,5,2)</f>
        <v/>
      </c>
      <c r="R2330" s="53">
        <f>MID(P2330,7,2)</f>
        <v/>
      </c>
      <c r="S2330" s="3" t="inlineStr">
        <is>
          <t>G2B</t>
        </is>
      </c>
      <c r="T2330" s="3" t="inlineStr">
        <is>
          <t>P2</t>
        </is>
      </c>
      <c r="U2330" s="19" t="inlineStr">
        <is>
          <t>No Issue Found</t>
        </is>
      </c>
      <c r="V2330" s="19" t="inlineStr">
        <is>
          <t>Found OK</t>
        </is>
      </c>
      <c r="W2330" s="3" t="inlineStr">
        <is>
          <t>Repair</t>
        </is>
      </c>
      <c r="X2330" s="18" t="n">
        <v>46170</v>
      </c>
      <c r="Y2330" s="3">
        <f>X2330-A2330</f>
        <v/>
      </c>
      <c r="Z2330" s="18" t="n">
        <v>46170</v>
      </c>
      <c r="AA2330" s="15" t="n"/>
      <c r="AB2330" s="15" t="n"/>
    </row>
    <row r="2331">
      <c r="A2331" s="59" t="n">
        <v>46148</v>
      </c>
      <c r="B2331" s="3" t="n">
        <v>2026</v>
      </c>
      <c r="C2331" s="21" t="inlineStr">
        <is>
          <t>Continuum</t>
        </is>
      </c>
      <c r="D2331" s="3" t="inlineStr">
        <is>
          <t>Utility and C&amp;I</t>
        </is>
      </c>
      <c r="E2331" s="3" t="n"/>
      <c r="F2331" s="3" t="inlineStr">
        <is>
          <t>Closed</t>
        </is>
      </c>
      <c r="G2331" s="21" t="inlineStr">
        <is>
          <t>Amiya Ranjan Behera</t>
        </is>
      </c>
      <c r="H2331" s="21" t="n">
        <v>8917436223</v>
      </c>
      <c r="I2331" s="38" t="inlineStr">
        <is>
          <t>PE06052602</t>
        </is>
      </c>
      <c r="J2331" s="21" t="inlineStr">
        <is>
          <t>Diode Bypass Module Issue</t>
        </is>
      </c>
      <c r="K2331" s="21" t="inlineStr">
        <is>
          <t>Bhavnagar</t>
        </is>
      </c>
      <c r="L2331" s="21" t="inlineStr">
        <is>
          <t>Gujarat</t>
        </is>
      </c>
      <c r="M2331" s="96" t="inlineStr">
        <is>
          <t>PS</t>
        </is>
      </c>
      <c r="N2331" s="3" t="inlineStr">
        <is>
          <t>Cold Soldering</t>
        </is>
      </c>
      <c r="O2331" s="62" t="n">
        <v>540</v>
      </c>
      <c r="P2331" s="9" t="inlineStr">
        <is>
          <t>NSMP2304070917</t>
        </is>
      </c>
      <c r="Q2331" s="53">
        <f>MID(P2331,5,2)</f>
        <v/>
      </c>
      <c r="R2331" s="53">
        <f>MID(P2331,7,2)</f>
        <v/>
      </c>
      <c r="S2331" s="3" t="inlineStr">
        <is>
          <t>G2B</t>
        </is>
      </c>
      <c r="T2331" s="3" t="inlineStr">
        <is>
          <t>P2</t>
        </is>
      </c>
      <c r="U2331" s="3" t="inlineStr">
        <is>
          <t>P JB Cold Soldering</t>
        </is>
      </c>
      <c r="V2331" s="3" t="inlineStr">
        <is>
          <t>Soldering</t>
        </is>
      </c>
      <c r="W2331" s="3" t="inlineStr">
        <is>
          <t>Repair</t>
        </is>
      </c>
      <c r="X2331" s="18" t="n">
        <v>46170</v>
      </c>
      <c r="Y2331" s="3">
        <f>X2331-A2331</f>
        <v/>
      </c>
      <c r="Z2331" s="18" t="n">
        <v>46170</v>
      </c>
      <c r="AA2331" s="15" t="n"/>
      <c r="AB2331" s="15" t="n"/>
    </row>
    <row r="2332">
      <c r="A2332" s="59" t="n">
        <v>46148</v>
      </c>
      <c r="B2332" s="3" t="n">
        <v>2026</v>
      </c>
      <c r="C2332" s="21" t="inlineStr">
        <is>
          <t>Continuum</t>
        </is>
      </c>
      <c r="D2332" s="3" t="inlineStr">
        <is>
          <t>Utility and C&amp;I</t>
        </is>
      </c>
      <c r="E2332" s="3" t="n"/>
      <c r="F2332" s="3" t="inlineStr">
        <is>
          <t>Closed</t>
        </is>
      </c>
      <c r="G2332" s="21" t="inlineStr">
        <is>
          <t>Amiya Ranjan Behera</t>
        </is>
      </c>
      <c r="H2332" s="21" t="n">
        <v>8917436223</v>
      </c>
      <c r="I2332" s="38" t="inlineStr">
        <is>
          <t>PE06052602</t>
        </is>
      </c>
      <c r="J2332" s="21" t="inlineStr">
        <is>
          <t>Diode Bypass Module Issue</t>
        </is>
      </c>
      <c r="K2332" s="21" t="inlineStr">
        <is>
          <t>Bhavnagar</t>
        </is>
      </c>
      <c r="L2332" s="21" t="inlineStr">
        <is>
          <t>Gujarat</t>
        </is>
      </c>
      <c r="M2332" s="96" t="inlineStr">
        <is>
          <t>PS</t>
        </is>
      </c>
      <c r="N2332" s="3" t="inlineStr">
        <is>
          <t>Cold Soldering</t>
        </is>
      </c>
      <c r="O2332" s="62" t="n">
        <v>540</v>
      </c>
      <c r="P2332" s="9" t="inlineStr">
        <is>
          <t>NSMP2304070933</t>
        </is>
      </c>
      <c r="Q2332" s="53">
        <f>MID(P2332,5,2)</f>
        <v/>
      </c>
      <c r="R2332" s="53">
        <f>MID(P2332,7,2)</f>
        <v/>
      </c>
      <c r="S2332" s="3" t="inlineStr">
        <is>
          <t>G2B</t>
        </is>
      </c>
      <c r="T2332" s="3" t="inlineStr">
        <is>
          <t>P2</t>
        </is>
      </c>
      <c r="U2332" s="3" t="inlineStr">
        <is>
          <t>P JB Cold Soldering</t>
        </is>
      </c>
      <c r="V2332" s="3" t="inlineStr">
        <is>
          <t>Soldering</t>
        </is>
      </c>
      <c r="W2332" s="3" t="inlineStr">
        <is>
          <t>Repair</t>
        </is>
      </c>
      <c r="X2332" s="18" t="n">
        <v>46170</v>
      </c>
      <c r="Y2332" s="3">
        <f>X2332-A2332</f>
        <v/>
      </c>
      <c r="Z2332" s="18" t="n">
        <v>46170</v>
      </c>
      <c r="AA2332" s="15" t="n"/>
      <c r="AB2332" s="15" t="n"/>
    </row>
    <row r="2333">
      <c r="A2333" s="59" t="n">
        <v>46148</v>
      </c>
      <c r="B2333" s="3" t="n">
        <v>2026</v>
      </c>
      <c r="C2333" s="21" t="inlineStr">
        <is>
          <t>Continuum</t>
        </is>
      </c>
      <c r="D2333" s="3" t="inlineStr">
        <is>
          <t>Utility and C&amp;I</t>
        </is>
      </c>
      <c r="E2333" s="3" t="n"/>
      <c r="F2333" s="3" t="inlineStr">
        <is>
          <t>Closed</t>
        </is>
      </c>
      <c r="G2333" s="21" t="inlineStr">
        <is>
          <t>Amiya Ranjan Behera</t>
        </is>
      </c>
      <c r="H2333" s="21" t="n">
        <v>8917436223</v>
      </c>
      <c r="I2333" s="38" t="inlineStr">
        <is>
          <t>PE06052602</t>
        </is>
      </c>
      <c r="J2333" s="21" t="inlineStr">
        <is>
          <t>Diode Bypass Module Issue</t>
        </is>
      </c>
      <c r="K2333" s="21" t="inlineStr">
        <is>
          <t>Bhavnagar</t>
        </is>
      </c>
      <c r="L2333" s="21" t="inlineStr">
        <is>
          <t>Gujarat</t>
        </is>
      </c>
      <c r="M2333" s="96" t="inlineStr">
        <is>
          <t>PS</t>
        </is>
      </c>
      <c r="N2333" s="3" t="inlineStr">
        <is>
          <t>Cold Soldering</t>
        </is>
      </c>
      <c r="O2333" s="62" t="n">
        <v>540</v>
      </c>
      <c r="P2333" s="9" t="inlineStr">
        <is>
          <t>NSMP2305131879</t>
        </is>
      </c>
      <c r="Q2333" s="53">
        <f>MID(P2333,5,2)</f>
        <v/>
      </c>
      <c r="R2333" s="53">
        <f>MID(P2333,7,2)</f>
        <v/>
      </c>
      <c r="S2333" s="3" t="inlineStr">
        <is>
          <t>G2B</t>
        </is>
      </c>
      <c r="T2333" s="3" t="inlineStr">
        <is>
          <t>P2</t>
        </is>
      </c>
      <c r="U2333" s="3" t="inlineStr">
        <is>
          <t>P JB Cold Soldering</t>
        </is>
      </c>
      <c r="V2333" s="3" t="inlineStr">
        <is>
          <t>Soldering</t>
        </is>
      </c>
      <c r="W2333" s="3" t="inlineStr">
        <is>
          <t>Repair</t>
        </is>
      </c>
      <c r="X2333" s="18" t="n">
        <v>46170</v>
      </c>
      <c r="Y2333" s="3">
        <f>X2333-A2333</f>
        <v/>
      </c>
      <c r="Z2333" s="18" t="n">
        <v>46170</v>
      </c>
      <c r="AA2333" s="15" t="n"/>
      <c r="AB2333" s="15" t="n"/>
    </row>
    <row r="2334">
      <c r="A2334" s="59" t="n">
        <v>46148</v>
      </c>
      <c r="B2334" s="3" t="n">
        <v>2026</v>
      </c>
      <c r="C2334" s="21" t="inlineStr">
        <is>
          <t>Continuum</t>
        </is>
      </c>
      <c r="D2334" s="3" t="inlineStr">
        <is>
          <t>Utility and C&amp;I</t>
        </is>
      </c>
      <c r="E2334" s="3" t="n"/>
      <c r="F2334" s="3" t="inlineStr">
        <is>
          <t>Closed</t>
        </is>
      </c>
      <c r="G2334" s="21" t="inlineStr">
        <is>
          <t>Amiya Ranjan Behera</t>
        </is>
      </c>
      <c r="H2334" s="21" t="n">
        <v>8917436223</v>
      </c>
      <c r="I2334" s="38" t="inlineStr">
        <is>
          <t>PE06052602</t>
        </is>
      </c>
      <c r="J2334" s="21" t="inlineStr">
        <is>
          <t>Diode Bypass Module Issue</t>
        </is>
      </c>
      <c r="K2334" s="21" t="inlineStr">
        <is>
          <t>Bhavnagar</t>
        </is>
      </c>
      <c r="L2334" s="21" t="inlineStr">
        <is>
          <t>Gujarat</t>
        </is>
      </c>
      <c r="M2334" s="96" t="inlineStr">
        <is>
          <t>PS</t>
        </is>
      </c>
      <c r="N2334" s="3" t="inlineStr">
        <is>
          <t>Cold Soldering</t>
        </is>
      </c>
      <c r="O2334" s="62" t="n">
        <v>540</v>
      </c>
      <c r="P2334" s="9" t="inlineStr">
        <is>
          <t>NSMP2305134484</t>
        </is>
      </c>
      <c r="Q2334" s="53">
        <f>MID(P2334,5,2)</f>
        <v/>
      </c>
      <c r="R2334" s="53">
        <f>MID(P2334,7,2)</f>
        <v/>
      </c>
      <c r="S2334" s="3" t="inlineStr">
        <is>
          <t>G2B</t>
        </is>
      </c>
      <c r="T2334" s="3" t="inlineStr">
        <is>
          <t>P2</t>
        </is>
      </c>
      <c r="U2334" s="3" t="inlineStr">
        <is>
          <t>P JB Cold Soldering</t>
        </is>
      </c>
      <c r="V2334" s="3" t="inlineStr">
        <is>
          <t>Soldering</t>
        </is>
      </c>
      <c r="W2334" s="3" t="inlineStr">
        <is>
          <t>Repair</t>
        </is>
      </c>
      <c r="X2334" s="18" t="n">
        <v>46170</v>
      </c>
      <c r="Y2334" s="3">
        <f>X2334-A2334</f>
        <v/>
      </c>
      <c r="Z2334" s="18" t="n">
        <v>46170</v>
      </c>
      <c r="AA2334" s="15" t="n"/>
      <c r="AB2334" s="15" t="n"/>
    </row>
    <row r="2335">
      <c r="A2335" s="59" t="n">
        <v>46148</v>
      </c>
      <c r="B2335" s="3" t="n">
        <v>2026</v>
      </c>
      <c r="C2335" s="21" t="inlineStr">
        <is>
          <t>Continuum</t>
        </is>
      </c>
      <c r="D2335" s="3" t="inlineStr">
        <is>
          <t>Utility and C&amp;I</t>
        </is>
      </c>
      <c r="E2335" s="3" t="n"/>
      <c r="F2335" s="3" t="inlineStr">
        <is>
          <t>Closed</t>
        </is>
      </c>
      <c r="G2335" s="21" t="inlineStr">
        <is>
          <t>Amiya Ranjan Behera</t>
        </is>
      </c>
      <c r="H2335" s="21" t="n">
        <v>8917436223</v>
      </c>
      <c r="I2335" s="38" t="inlineStr">
        <is>
          <t>PE06052602</t>
        </is>
      </c>
      <c r="J2335" s="21" t="inlineStr">
        <is>
          <t>Diode Bypass Module Issue</t>
        </is>
      </c>
      <c r="K2335" s="21" t="inlineStr">
        <is>
          <t>Bhavnagar</t>
        </is>
      </c>
      <c r="L2335" s="21" t="inlineStr">
        <is>
          <t>Gujarat</t>
        </is>
      </c>
      <c r="M2335" s="96" t="inlineStr">
        <is>
          <t>PS</t>
        </is>
      </c>
      <c r="N2335" s="3" t="inlineStr">
        <is>
          <t>Cold Soldering</t>
        </is>
      </c>
      <c r="O2335" s="62" t="n">
        <v>540</v>
      </c>
      <c r="P2335" s="9" t="inlineStr">
        <is>
          <t>NSMP2305134522</t>
        </is>
      </c>
      <c r="Q2335" s="53">
        <f>MID(P2335,5,2)</f>
        <v/>
      </c>
      <c r="R2335" s="53">
        <f>MID(P2335,7,2)</f>
        <v/>
      </c>
      <c r="S2335" s="3" t="inlineStr">
        <is>
          <t>G2B</t>
        </is>
      </c>
      <c r="T2335" s="3" t="inlineStr">
        <is>
          <t>P2</t>
        </is>
      </c>
      <c r="U2335" s="3" t="inlineStr">
        <is>
          <t>P JB Cold Soldering</t>
        </is>
      </c>
      <c r="V2335" s="3" t="inlineStr">
        <is>
          <t>Soldering</t>
        </is>
      </c>
      <c r="W2335" s="3" t="inlineStr">
        <is>
          <t>Repair</t>
        </is>
      </c>
      <c r="X2335" s="18" t="n">
        <v>46170</v>
      </c>
      <c r="Y2335" s="3">
        <f>X2335-A2335</f>
        <v/>
      </c>
      <c r="Z2335" s="18" t="n">
        <v>46170</v>
      </c>
      <c r="AA2335" s="15" t="n"/>
      <c r="AB2335" s="15" t="n"/>
    </row>
    <row r="2336">
      <c r="A2336" s="59" t="n">
        <v>46148</v>
      </c>
      <c r="B2336" s="3" t="n">
        <v>2026</v>
      </c>
      <c r="C2336" s="21" t="inlineStr">
        <is>
          <t>Continuum</t>
        </is>
      </c>
      <c r="D2336" s="3" t="inlineStr">
        <is>
          <t>Utility and C&amp;I</t>
        </is>
      </c>
      <c r="E2336" s="3" t="n"/>
      <c r="F2336" s="3" t="inlineStr">
        <is>
          <t>Closed</t>
        </is>
      </c>
      <c r="G2336" s="21" t="inlineStr">
        <is>
          <t>Amiya Ranjan Behera</t>
        </is>
      </c>
      <c r="H2336" s="21" t="n">
        <v>8917436223</v>
      </c>
      <c r="I2336" s="38" t="inlineStr">
        <is>
          <t>PE06052602</t>
        </is>
      </c>
      <c r="J2336" s="21" t="inlineStr">
        <is>
          <t>Diode Bypass Module Issue</t>
        </is>
      </c>
      <c r="K2336" s="21" t="inlineStr">
        <is>
          <t>Bhavnagar</t>
        </is>
      </c>
      <c r="L2336" s="21" t="inlineStr">
        <is>
          <t>Gujarat</t>
        </is>
      </c>
      <c r="M2336" s="96" t="inlineStr">
        <is>
          <t>PS</t>
        </is>
      </c>
      <c r="N2336" s="3" t="inlineStr">
        <is>
          <t>Cold Soldering</t>
        </is>
      </c>
      <c r="O2336" s="62" t="n">
        <v>540</v>
      </c>
      <c r="P2336" s="9" t="inlineStr">
        <is>
          <t>NSMP2305133904</t>
        </is>
      </c>
      <c r="Q2336" s="53">
        <f>MID(P2336,5,2)</f>
        <v/>
      </c>
      <c r="R2336" s="53">
        <f>MID(P2336,7,2)</f>
        <v/>
      </c>
      <c r="S2336" s="3" t="inlineStr">
        <is>
          <t>G2B</t>
        </is>
      </c>
      <c r="T2336" s="3" t="inlineStr">
        <is>
          <t>P2</t>
        </is>
      </c>
      <c r="U2336" s="3" t="inlineStr">
        <is>
          <t>P JB Cold Soldering</t>
        </is>
      </c>
      <c r="V2336" s="3" t="inlineStr">
        <is>
          <t>Soldering</t>
        </is>
      </c>
      <c r="W2336" s="3" t="inlineStr">
        <is>
          <t>Repair</t>
        </is>
      </c>
      <c r="X2336" s="18" t="n">
        <v>46170</v>
      </c>
      <c r="Y2336" s="3">
        <f>X2336-A2336</f>
        <v/>
      </c>
      <c r="Z2336" s="18" t="n">
        <v>46170</v>
      </c>
      <c r="AA2336" s="15" t="n"/>
      <c r="AB2336" s="15" t="n"/>
    </row>
    <row r="2337">
      <c r="A2337" s="59" t="n">
        <v>46148</v>
      </c>
      <c r="B2337" s="3" t="n">
        <v>2026</v>
      </c>
      <c r="C2337" s="21" t="inlineStr">
        <is>
          <t>Continuum</t>
        </is>
      </c>
      <c r="D2337" s="3" t="inlineStr">
        <is>
          <t>Utility and C&amp;I</t>
        </is>
      </c>
      <c r="E2337" s="3" t="n"/>
      <c r="F2337" s="3" t="inlineStr">
        <is>
          <t>Closed</t>
        </is>
      </c>
      <c r="G2337" s="21" t="inlineStr">
        <is>
          <t>Amiya Ranjan Behera</t>
        </is>
      </c>
      <c r="H2337" s="21" t="n">
        <v>8917436223</v>
      </c>
      <c r="I2337" s="38" t="inlineStr">
        <is>
          <t>PE06052602</t>
        </is>
      </c>
      <c r="J2337" s="21" t="inlineStr">
        <is>
          <t>Diode Bypass Module Issue</t>
        </is>
      </c>
      <c r="K2337" s="21" t="inlineStr">
        <is>
          <t>Bhavnagar</t>
        </is>
      </c>
      <c r="L2337" s="21" t="inlineStr">
        <is>
          <t>Gujarat</t>
        </is>
      </c>
      <c r="M2337" s="96" t="inlineStr">
        <is>
          <t>PS</t>
        </is>
      </c>
      <c r="N2337" s="3" t="inlineStr">
        <is>
          <t>Cold Soldering</t>
        </is>
      </c>
      <c r="O2337" s="62" t="n">
        <v>540</v>
      </c>
      <c r="P2337" s="9" t="inlineStr">
        <is>
          <t>NSMP2305134641</t>
        </is>
      </c>
      <c r="Q2337" s="53">
        <f>MID(P2337,5,2)</f>
        <v/>
      </c>
      <c r="R2337" s="53">
        <f>MID(P2337,7,2)</f>
        <v/>
      </c>
      <c r="S2337" s="3" t="inlineStr">
        <is>
          <t>G2B</t>
        </is>
      </c>
      <c r="T2337" s="3" t="inlineStr">
        <is>
          <t>P2</t>
        </is>
      </c>
      <c r="U2337" s="3" t="inlineStr">
        <is>
          <t>P JB Cold Soldering</t>
        </is>
      </c>
      <c r="V2337" s="3" t="inlineStr">
        <is>
          <t>Soldering</t>
        </is>
      </c>
      <c r="W2337" s="3" t="inlineStr">
        <is>
          <t>Repair</t>
        </is>
      </c>
      <c r="X2337" s="18" t="n">
        <v>46170</v>
      </c>
      <c r="Y2337" s="3">
        <f>X2337-A2337</f>
        <v/>
      </c>
      <c r="Z2337" s="18" t="n">
        <v>46170</v>
      </c>
      <c r="AA2337" s="15" t="n"/>
      <c r="AB2337" s="15" t="n"/>
    </row>
    <row r="2338">
      <c r="A2338" s="59" t="n">
        <v>46148</v>
      </c>
      <c r="B2338" s="3" t="n">
        <v>2026</v>
      </c>
      <c r="C2338" s="21" t="inlineStr">
        <is>
          <t>Continuum</t>
        </is>
      </c>
      <c r="D2338" s="3" t="inlineStr">
        <is>
          <t>Utility and C&amp;I</t>
        </is>
      </c>
      <c r="E2338" s="3" t="n"/>
      <c r="F2338" s="3" t="inlineStr">
        <is>
          <t>Closed</t>
        </is>
      </c>
      <c r="G2338" s="21" t="inlineStr">
        <is>
          <t>Amiya Ranjan Behera</t>
        </is>
      </c>
      <c r="H2338" s="21" t="n">
        <v>8917436223</v>
      </c>
      <c r="I2338" s="38" t="inlineStr">
        <is>
          <t>PE06052602</t>
        </is>
      </c>
      <c r="J2338" s="21" t="inlineStr">
        <is>
          <t>Diode Bypass Module Issue</t>
        </is>
      </c>
      <c r="K2338" s="21" t="inlineStr">
        <is>
          <t>Bhavnagar</t>
        </is>
      </c>
      <c r="L2338" s="21" t="inlineStr">
        <is>
          <t>Gujarat</t>
        </is>
      </c>
      <c r="M2338" s="96" t="inlineStr">
        <is>
          <t>NS</t>
        </is>
      </c>
      <c r="N2338" s="26" t="inlineStr">
        <is>
          <t>Cold Soldering</t>
        </is>
      </c>
      <c r="O2338" s="62" t="n">
        <v>540</v>
      </c>
      <c r="P2338" s="9" t="inlineStr">
        <is>
          <t>NSMP2305175627</t>
        </is>
      </c>
      <c r="Q2338" s="53">
        <f>MID(P2338,5,2)</f>
        <v/>
      </c>
      <c r="R2338" s="53">
        <f>MID(P2338,7,2)</f>
        <v/>
      </c>
      <c r="S2338" s="3" t="inlineStr">
        <is>
          <t>G2B</t>
        </is>
      </c>
      <c r="T2338" s="3" t="inlineStr">
        <is>
          <t>P2</t>
        </is>
      </c>
      <c r="U2338" s="19" t="inlineStr">
        <is>
          <t>N JB Cold Soldering</t>
        </is>
      </c>
      <c r="V2338" s="19" t="inlineStr">
        <is>
          <t>Soldering</t>
        </is>
      </c>
      <c r="W2338" s="3" t="inlineStr">
        <is>
          <t>Repair</t>
        </is>
      </c>
      <c r="X2338" s="18" t="n">
        <v>46170</v>
      </c>
      <c r="Y2338" s="3">
        <f>X2338-A2338</f>
        <v/>
      </c>
      <c r="Z2338" s="18" t="n">
        <v>46170</v>
      </c>
      <c r="AA2338" s="15" t="n"/>
      <c r="AB2338" s="15" t="n"/>
    </row>
    <row r="2339">
      <c r="A2339" s="59" t="n">
        <v>46148</v>
      </c>
      <c r="B2339" s="3" t="n">
        <v>2026</v>
      </c>
      <c r="C2339" s="21" t="inlineStr">
        <is>
          <t>Continuum</t>
        </is>
      </c>
      <c r="D2339" s="3" t="inlineStr">
        <is>
          <t>Utility and C&amp;I</t>
        </is>
      </c>
      <c r="E2339" s="3" t="n"/>
      <c r="F2339" s="3" t="inlineStr">
        <is>
          <t>Closed</t>
        </is>
      </c>
      <c r="G2339" s="21" t="inlineStr">
        <is>
          <t>Amiya Ranjan Behera</t>
        </is>
      </c>
      <c r="H2339" s="21" t="n">
        <v>8917436223</v>
      </c>
      <c r="I2339" s="38" t="inlineStr">
        <is>
          <t>PE06052602</t>
        </is>
      </c>
      <c r="J2339" s="21" t="inlineStr">
        <is>
          <t>Diode Bypass Module Issue</t>
        </is>
      </c>
      <c r="K2339" s="21" t="inlineStr">
        <is>
          <t>Bhavnagar</t>
        </is>
      </c>
      <c r="L2339" s="21" t="inlineStr">
        <is>
          <t>Gujarat</t>
        </is>
      </c>
      <c r="M2339" s="96" t="inlineStr">
        <is>
          <t>PS</t>
        </is>
      </c>
      <c r="N2339" s="3" t="inlineStr">
        <is>
          <t>Cold Soldering</t>
        </is>
      </c>
      <c r="O2339" s="62" t="n">
        <v>540</v>
      </c>
      <c r="P2339" s="9" t="inlineStr">
        <is>
          <t>NSMP2305134597</t>
        </is>
      </c>
      <c r="Q2339" s="53">
        <f>MID(P2339,5,2)</f>
        <v/>
      </c>
      <c r="R2339" s="53">
        <f>MID(P2339,7,2)</f>
        <v/>
      </c>
      <c r="S2339" s="3" t="inlineStr">
        <is>
          <t>G2B</t>
        </is>
      </c>
      <c r="T2339" s="3" t="inlineStr">
        <is>
          <t>P2</t>
        </is>
      </c>
      <c r="U2339" s="3" t="inlineStr">
        <is>
          <t>P JB Cold Soldering</t>
        </is>
      </c>
      <c r="V2339" s="3" t="inlineStr">
        <is>
          <t>Soldering</t>
        </is>
      </c>
      <c r="W2339" s="3" t="inlineStr">
        <is>
          <t>Repair</t>
        </is>
      </c>
      <c r="X2339" s="18" t="n">
        <v>46170</v>
      </c>
      <c r="Y2339" s="3">
        <f>X2339-A2339</f>
        <v/>
      </c>
      <c r="Z2339" s="18" t="n">
        <v>46170</v>
      </c>
      <c r="AA2339" s="15" t="n"/>
      <c r="AB2339" s="15" t="n"/>
    </row>
    <row r="2340">
      <c r="A2340" s="59" t="n">
        <v>46148</v>
      </c>
      <c r="B2340" s="3" t="n">
        <v>2026</v>
      </c>
      <c r="C2340" s="21" t="inlineStr">
        <is>
          <t>Continuum</t>
        </is>
      </c>
      <c r="D2340" s="3" t="inlineStr">
        <is>
          <t>Utility and C&amp;I</t>
        </is>
      </c>
      <c r="E2340" s="3" t="n"/>
      <c r="F2340" s="3" t="inlineStr">
        <is>
          <t>Closed</t>
        </is>
      </c>
      <c r="G2340" s="21" t="inlineStr">
        <is>
          <t>Amiya Ranjan Behera</t>
        </is>
      </c>
      <c r="H2340" s="21" t="n">
        <v>8917436223</v>
      </c>
      <c r="I2340" s="38" t="inlineStr">
        <is>
          <t>PE06052602</t>
        </is>
      </c>
      <c r="J2340" s="21" t="inlineStr">
        <is>
          <t>Diode Bypass Module Issue</t>
        </is>
      </c>
      <c r="K2340" s="21" t="inlineStr">
        <is>
          <t>Bhavnagar</t>
        </is>
      </c>
      <c r="L2340" s="21" t="inlineStr">
        <is>
          <t>Gujarat</t>
        </is>
      </c>
      <c r="M2340" s="96" t="inlineStr">
        <is>
          <t>PR</t>
        </is>
      </c>
      <c r="N2340" s="3" t="inlineStr">
        <is>
          <t>JB Issue</t>
        </is>
      </c>
      <c r="O2340" s="62" t="n">
        <v>540</v>
      </c>
      <c r="P2340" s="9" t="inlineStr">
        <is>
          <t>NSMP2304071805</t>
        </is>
      </c>
      <c r="Q2340" s="53">
        <f>MID(P2340,5,2)</f>
        <v/>
      </c>
      <c r="R2340" s="53">
        <f>MID(P2340,7,2)</f>
        <v/>
      </c>
      <c r="S2340" s="3" t="inlineStr">
        <is>
          <t>G2B</t>
        </is>
      </c>
      <c r="T2340" s="3" t="inlineStr">
        <is>
          <t>P2</t>
        </is>
      </c>
      <c r="U2340" s="3" t="inlineStr">
        <is>
          <t>P JB Issue</t>
        </is>
      </c>
      <c r="V2340" s="15" t="inlineStr">
        <is>
          <t>JB Changed</t>
        </is>
      </c>
      <c r="W2340" s="3" t="inlineStr">
        <is>
          <t>Repair</t>
        </is>
      </c>
      <c r="X2340" s="18" t="n">
        <v>46170</v>
      </c>
      <c r="Y2340" s="3">
        <f>X2340-A2340</f>
        <v/>
      </c>
      <c r="Z2340" s="18" t="n">
        <v>46170</v>
      </c>
      <c r="AA2340" s="15" t="n"/>
      <c r="AB2340" s="15" t="n"/>
    </row>
    <row r="2341">
      <c r="A2341" s="59" t="n">
        <v>46148</v>
      </c>
      <c r="B2341" s="3" t="n">
        <v>2026</v>
      </c>
      <c r="C2341" s="21" t="inlineStr">
        <is>
          <t>Continuum</t>
        </is>
      </c>
      <c r="D2341" s="3" t="inlineStr">
        <is>
          <t>Utility and C&amp;I</t>
        </is>
      </c>
      <c r="E2341" s="3" t="n"/>
      <c r="F2341" s="3" t="inlineStr">
        <is>
          <t>Closed</t>
        </is>
      </c>
      <c r="G2341" s="21" t="inlineStr">
        <is>
          <t>Amiya Ranjan Behera</t>
        </is>
      </c>
      <c r="H2341" s="21" t="n">
        <v>8917436223</v>
      </c>
      <c r="I2341" s="38" t="inlineStr">
        <is>
          <t>PE06052602</t>
        </is>
      </c>
      <c r="J2341" s="21" t="inlineStr">
        <is>
          <t>Diode Bypass Module Issue</t>
        </is>
      </c>
      <c r="K2341" s="21" t="inlineStr">
        <is>
          <t>Bhavnagar</t>
        </is>
      </c>
      <c r="L2341" s="21" t="inlineStr">
        <is>
          <t>Gujarat</t>
        </is>
      </c>
      <c r="M2341" s="96" t="inlineStr">
        <is>
          <t>PS</t>
        </is>
      </c>
      <c r="N2341" s="3" t="inlineStr">
        <is>
          <t>Cold Soldering</t>
        </is>
      </c>
      <c r="O2341" s="62" t="n">
        <v>540</v>
      </c>
      <c r="P2341" s="9" t="inlineStr">
        <is>
          <t>NSMP2304071845</t>
        </is>
      </c>
      <c r="Q2341" s="53">
        <f>MID(P2341,5,2)</f>
        <v/>
      </c>
      <c r="R2341" s="53">
        <f>MID(P2341,7,2)</f>
        <v/>
      </c>
      <c r="S2341" s="3" t="inlineStr">
        <is>
          <t>G2B</t>
        </is>
      </c>
      <c r="T2341" s="3" t="inlineStr">
        <is>
          <t>P2</t>
        </is>
      </c>
      <c r="U2341" s="3" t="inlineStr">
        <is>
          <t>P JB Cold Soldering</t>
        </is>
      </c>
      <c r="V2341" s="3" t="inlineStr">
        <is>
          <t>Soldering</t>
        </is>
      </c>
      <c r="W2341" s="3" t="inlineStr">
        <is>
          <t>Repair</t>
        </is>
      </c>
      <c r="X2341" s="18" t="n">
        <v>46170</v>
      </c>
      <c r="Y2341" s="3">
        <f>X2341-A2341</f>
        <v/>
      </c>
      <c r="Z2341" s="18" t="n">
        <v>46170</v>
      </c>
      <c r="AA2341" s="15" t="n"/>
      <c r="AB2341" s="15" t="n"/>
    </row>
    <row r="2342">
      <c r="A2342" s="59" t="n">
        <v>46148</v>
      </c>
      <c r="B2342" s="3" t="n">
        <v>2026</v>
      </c>
      <c r="C2342" s="21" t="inlineStr">
        <is>
          <t>Continuum</t>
        </is>
      </c>
      <c r="D2342" s="3" t="inlineStr">
        <is>
          <t>Utility and C&amp;I</t>
        </is>
      </c>
      <c r="E2342" s="3" t="n"/>
      <c r="F2342" s="3" t="inlineStr">
        <is>
          <t>Closed</t>
        </is>
      </c>
      <c r="G2342" s="21" t="inlineStr">
        <is>
          <t>Amiya Ranjan Behera</t>
        </is>
      </c>
      <c r="H2342" s="21" t="n">
        <v>8917436223</v>
      </c>
      <c r="I2342" s="38" t="inlineStr">
        <is>
          <t>PE06052602</t>
        </is>
      </c>
      <c r="J2342" s="21" t="inlineStr">
        <is>
          <t>Diode Bypass Module Issue</t>
        </is>
      </c>
      <c r="K2342" s="21" t="inlineStr">
        <is>
          <t>Bhavnagar</t>
        </is>
      </c>
      <c r="L2342" s="21" t="inlineStr">
        <is>
          <t>Gujarat</t>
        </is>
      </c>
      <c r="M2342" s="96" t="inlineStr">
        <is>
          <t>PS</t>
        </is>
      </c>
      <c r="N2342" s="3" t="inlineStr">
        <is>
          <t>Cold Soldering</t>
        </is>
      </c>
      <c r="O2342" s="62" t="n">
        <v>540</v>
      </c>
      <c r="P2342" s="9" t="inlineStr">
        <is>
          <t>NSMP2304071780</t>
        </is>
      </c>
      <c r="Q2342" s="53">
        <f>MID(P2342,5,2)</f>
        <v/>
      </c>
      <c r="R2342" s="53">
        <f>MID(P2342,7,2)</f>
        <v/>
      </c>
      <c r="S2342" s="3" t="inlineStr">
        <is>
          <t>G2B</t>
        </is>
      </c>
      <c r="T2342" s="3" t="inlineStr">
        <is>
          <t>P2</t>
        </is>
      </c>
      <c r="U2342" s="3" t="inlineStr">
        <is>
          <t>P JB Cold Soldering</t>
        </is>
      </c>
      <c r="V2342" s="3" t="inlineStr">
        <is>
          <t>Soldering</t>
        </is>
      </c>
      <c r="W2342" s="3" t="inlineStr">
        <is>
          <t>Repair</t>
        </is>
      </c>
      <c r="X2342" s="18" t="n">
        <v>46170</v>
      </c>
      <c r="Y2342" s="3">
        <f>X2342-A2342</f>
        <v/>
      </c>
      <c r="Z2342" s="18" t="n">
        <v>46170</v>
      </c>
      <c r="AA2342" s="15" t="n"/>
      <c r="AB2342" s="15" t="n"/>
    </row>
    <row r="2343">
      <c r="A2343" s="59" t="n">
        <v>46148</v>
      </c>
      <c r="B2343" s="3" t="n">
        <v>2026</v>
      </c>
      <c r="C2343" s="21" t="inlineStr">
        <is>
          <t>Continuum</t>
        </is>
      </c>
      <c r="D2343" s="3" t="inlineStr">
        <is>
          <t>Utility and C&amp;I</t>
        </is>
      </c>
      <c r="E2343" s="3" t="n"/>
      <c r="F2343" s="3" t="inlineStr">
        <is>
          <t>Closed</t>
        </is>
      </c>
      <c r="G2343" s="21" t="inlineStr">
        <is>
          <t>Amiya Ranjan Behera</t>
        </is>
      </c>
      <c r="H2343" s="21" t="n">
        <v>8917436223</v>
      </c>
      <c r="I2343" s="38" t="inlineStr">
        <is>
          <t>PE06052602</t>
        </is>
      </c>
      <c r="J2343" s="21" t="inlineStr">
        <is>
          <t>Diode Bypass Module Issue</t>
        </is>
      </c>
      <c r="K2343" s="21" t="inlineStr">
        <is>
          <t>Bhavnagar</t>
        </is>
      </c>
      <c r="L2343" s="21" t="inlineStr">
        <is>
          <t>Gujarat</t>
        </is>
      </c>
      <c r="M2343" s="96" t="inlineStr">
        <is>
          <t>PS</t>
        </is>
      </c>
      <c r="N2343" s="3" t="inlineStr">
        <is>
          <t>Cold Soldering</t>
        </is>
      </c>
      <c r="O2343" s="62" t="n">
        <v>540</v>
      </c>
      <c r="P2343" s="9" t="inlineStr">
        <is>
          <t>NSMP2304071883</t>
        </is>
      </c>
      <c r="Q2343" s="53">
        <f>MID(P2343,5,2)</f>
        <v/>
      </c>
      <c r="R2343" s="53">
        <f>MID(P2343,7,2)</f>
        <v/>
      </c>
      <c r="S2343" s="3" t="inlineStr">
        <is>
          <t>G2B</t>
        </is>
      </c>
      <c r="T2343" s="3" t="inlineStr">
        <is>
          <t>P2</t>
        </is>
      </c>
      <c r="U2343" s="3" t="inlineStr">
        <is>
          <t>P JB Cold Soldering</t>
        </is>
      </c>
      <c r="V2343" s="3" t="inlineStr">
        <is>
          <t>Soldering</t>
        </is>
      </c>
      <c r="W2343" s="3" t="inlineStr">
        <is>
          <t>Repair</t>
        </is>
      </c>
      <c r="X2343" s="18" t="n">
        <v>46170</v>
      </c>
      <c r="Y2343" s="3">
        <f>X2343-A2343</f>
        <v/>
      </c>
      <c r="Z2343" s="18" t="n">
        <v>46170</v>
      </c>
      <c r="AA2343" s="15" t="n"/>
      <c r="AB2343" s="15" t="n"/>
    </row>
    <row r="2344">
      <c r="A2344" s="59" t="n">
        <v>46148</v>
      </c>
      <c r="B2344" s="3" t="n">
        <v>2026</v>
      </c>
      <c r="C2344" s="21" t="inlineStr">
        <is>
          <t>Continuum</t>
        </is>
      </c>
      <c r="D2344" s="3" t="inlineStr">
        <is>
          <t>Utility and C&amp;I</t>
        </is>
      </c>
      <c r="E2344" s="3" t="n"/>
      <c r="F2344" s="3" t="inlineStr">
        <is>
          <t>Closed</t>
        </is>
      </c>
      <c r="G2344" s="21" t="inlineStr">
        <is>
          <t>Amiya Ranjan Behera</t>
        </is>
      </c>
      <c r="H2344" s="21" t="n">
        <v>8917436223</v>
      </c>
      <c r="I2344" s="38" t="inlineStr">
        <is>
          <t>PE06052602</t>
        </is>
      </c>
      <c r="J2344" s="21" t="inlineStr">
        <is>
          <t>Diode Bypass Module Issue</t>
        </is>
      </c>
      <c r="K2344" s="21" t="inlineStr">
        <is>
          <t>Bhavnagar</t>
        </is>
      </c>
      <c r="L2344" s="21" t="inlineStr">
        <is>
          <t>Gujarat</t>
        </is>
      </c>
      <c r="M2344" s="96" t="inlineStr">
        <is>
          <t>PR</t>
        </is>
      </c>
      <c r="N2344" s="3" t="inlineStr">
        <is>
          <t>JB Issue</t>
        </is>
      </c>
      <c r="O2344" s="62" t="n">
        <v>540</v>
      </c>
      <c r="P2344" s="9" t="inlineStr">
        <is>
          <t>NSMP2305133737</t>
        </is>
      </c>
      <c r="Q2344" s="53">
        <f>MID(P2344,5,2)</f>
        <v/>
      </c>
      <c r="R2344" s="53">
        <f>MID(P2344,7,2)</f>
        <v/>
      </c>
      <c r="S2344" s="3" t="inlineStr">
        <is>
          <t>G2B</t>
        </is>
      </c>
      <c r="T2344" s="3" t="inlineStr">
        <is>
          <t>P2</t>
        </is>
      </c>
      <c r="U2344" s="3" t="inlineStr">
        <is>
          <t>P JB Issue</t>
        </is>
      </c>
      <c r="V2344" s="15" t="inlineStr">
        <is>
          <t>JB Changed</t>
        </is>
      </c>
      <c r="W2344" s="3" t="inlineStr">
        <is>
          <t>Repair</t>
        </is>
      </c>
      <c r="X2344" s="18" t="n">
        <v>46170</v>
      </c>
      <c r="Y2344" s="3">
        <f>X2344-A2344</f>
        <v/>
      </c>
      <c r="Z2344" s="18" t="n">
        <v>46170</v>
      </c>
      <c r="AA2344" s="15" t="n"/>
      <c r="AB2344" s="15" t="n"/>
    </row>
    <row r="2345">
      <c r="A2345" s="59" t="n">
        <v>46168</v>
      </c>
      <c r="B2345" s="3" t="n">
        <v>2026</v>
      </c>
      <c r="C2345" s="21" t="inlineStr">
        <is>
          <t>TRUE SUN TRADING COMPANY</t>
        </is>
      </c>
      <c r="D2345" s="3" t="inlineStr">
        <is>
          <t>Channel Sales</t>
        </is>
      </c>
      <c r="E2345" s="3" t="n"/>
      <c r="F2345" s="3" t="inlineStr">
        <is>
          <t>Closed</t>
        </is>
      </c>
      <c r="G2345" s="21" t="inlineStr">
        <is>
          <t>Sarath Ananda</t>
        </is>
      </c>
      <c r="H2345" s="21" t="n">
        <v>8848944464</v>
      </c>
      <c r="I2345" s="22" t="inlineStr">
        <is>
          <t>PE26052603</t>
        </is>
      </c>
      <c r="J2345" s="21" t="inlineStr">
        <is>
          <t>Low VOC</t>
        </is>
      </c>
      <c r="K2345" s="21" t="inlineStr">
        <is>
          <t>Manakkakadavu</t>
        </is>
      </c>
      <c r="L2345" s="21" t="inlineStr">
        <is>
          <t>Kerala</t>
        </is>
      </c>
      <c r="M2345" s="9" t="inlineStr">
        <is>
          <t>MR</t>
        </is>
      </c>
      <c r="N2345" s="21" t="inlineStr">
        <is>
          <t>JB Issue</t>
        </is>
      </c>
      <c r="O2345" s="60" t="n">
        <v>540</v>
      </c>
      <c r="P2345" s="8" t="inlineStr">
        <is>
          <t>NSMP25060394048</t>
        </is>
      </c>
      <c r="Q2345" s="53">
        <f>MID(P2345,5,2)</f>
        <v/>
      </c>
      <c r="R2345" s="53">
        <f>MID(P2345,7,2)</f>
        <v/>
      </c>
      <c r="S2345" s="3" t="inlineStr">
        <is>
          <t>G2TB</t>
        </is>
      </c>
      <c r="T2345" s="3" t="inlineStr">
        <is>
          <t>P2</t>
        </is>
      </c>
      <c r="U2345" s="3" t="inlineStr">
        <is>
          <t>M JB Issue</t>
        </is>
      </c>
      <c r="V2345" s="3" t="inlineStr">
        <is>
          <t>JB Changed</t>
        </is>
      </c>
      <c r="W2345" s="3" t="inlineStr">
        <is>
          <t>Repair</t>
        </is>
      </c>
      <c r="X2345" s="18" t="n">
        <v>46170</v>
      </c>
      <c r="Y2345" s="3">
        <f>X2345-A2345</f>
        <v/>
      </c>
      <c r="Z2345" s="18" t="n">
        <v>46170</v>
      </c>
      <c r="AA2345" s="15" t="n"/>
      <c r="AB2345" s="15" t="n"/>
    </row>
    <row r="2346">
      <c r="A2346" s="37" t="n">
        <v>46143</v>
      </c>
      <c r="B2346" s="3" t="n">
        <v>2026</v>
      </c>
      <c r="C2346" s="26" t="inlineStr">
        <is>
          <t>Yanara Power</t>
        </is>
      </c>
      <c r="D2346" s="3" t="inlineStr">
        <is>
          <t>Utility and C&amp;I</t>
        </is>
      </c>
      <c r="E2346" s="3" t="n"/>
      <c r="F2346" s="3" t="inlineStr">
        <is>
          <t>Closed</t>
        </is>
      </c>
      <c r="G2346" s="9" t="inlineStr">
        <is>
          <t xml:space="preserve">Ashish Jindal </t>
        </is>
      </c>
      <c r="H2346" s="26" t="n">
        <v>9983975581</v>
      </c>
      <c r="I2346" s="38" t="inlineStr">
        <is>
          <t>PE01052601</t>
        </is>
      </c>
      <c r="J2346" s="26" t="inlineStr">
        <is>
          <t>Multiple Issues</t>
        </is>
      </c>
      <c r="K2346" s="39" t="inlineStr">
        <is>
          <t>Holi</t>
        </is>
      </c>
      <c r="L2346" s="39" t="inlineStr">
        <is>
          <t>Maharashtra</t>
        </is>
      </c>
      <c r="M2346" s="46" t="inlineStr">
        <is>
          <t>PS</t>
        </is>
      </c>
      <c r="N2346" s="3" t="inlineStr">
        <is>
          <t>Cold Soldering</t>
        </is>
      </c>
      <c r="O2346" s="56" t="n">
        <v>575</v>
      </c>
      <c r="P2346" s="46" t="inlineStr">
        <is>
          <t>NSMI24070195428</t>
        </is>
      </c>
      <c r="Q2346" s="54">
        <f>MID(P2346,5,2)</f>
        <v/>
      </c>
      <c r="R2346" s="53">
        <f>MID(P2346,7,2)</f>
        <v/>
      </c>
      <c r="S2346" s="3" t="inlineStr">
        <is>
          <t>G2G</t>
        </is>
      </c>
      <c r="T2346" s="3" t="inlineStr">
        <is>
          <t>P4</t>
        </is>
      </c>
      <c r="U2346" s="19" t="inlineStr">
        <is>
          <t>P JB Cold Soldering</t>
        </is>
      </c>
      <c r="V2346" s="19" t="inlineStr">
        <is>
          <t>Soldering</t>
        </is>
      </c>
      <c r="W2346" s="3" t="inlineStr">
        <is>
          <t>Repair</t>
        </is>
      </c>
      <c r="X2346" s="18" t="n">
        <v>46170</v>
      </c>
      <c r="Y2346" s="3">
        <f>X2346-A2346</f>
        <v/>
      </c>
      <c r="Z2346" s="18" t="n">
        <v>46170</v>
      </c>
      <c r="AA2346" s="15" t="n"/>
      <c r="AB2346" s="15" t="n"/>
    </row>
    <row r="2347">
      <c r="A2347" s="37" t="n">
        <v>46143</v>
      </c>
      <c r="B2347" s="3" t="n">
        <v>2026</v>
      </c>
      <c r="C2347" s="26" t="inlineStr">
        <is>
          <t>Yanara Power</t>
        </is>
      </c>
      <c r="D2347" s="3" t="inlineStr">
        <is>
          <t>Utility and C&amp;I</t>
        </is>
      </c>
      <c r="E2347" s="3" t="n"/>
      <c r="F2347" s="3" t="inlineStr">
        <is>
          <t>Closed</t>
        </is>
      </c>
      <c r="G2347" s="9" t="inlineStr">
        <is>
          <t xml:space="preserve">Ashish Jindal </t>
        </is>
      </c>
      <c r="H2347" s="26" t="n">
        <v>9983975581</v>
      </c>
      <c r="I2347" s="38" t="inlineStr">
        <is>
          <t>PE01052601</t>
        </is>
      </c>
      <c r="J2347" s="26" t="inlineStr">
        <is>
          <t>Multiple Issues</t>
        </is>
      </c>
      <c r="K2347" s="39" t="inlineStr">
        <is>
          <t>Holi</t>
        </is>
      </c>
      <c r="L2347" s="39" t="inlineStr">
        <is>
          <t>Maharashtra</t>
        </is>
      </c>
      <c r="M2347" s="46" t="inlineStr">
        <is>
          <t>PS</t>
        </is>
      </c>
      <c r="N2347" s="3" t="inlineStr">
        <is>
          <t>Cold Soldering</t>
        </is>
      </c>
      <c r="O2347" s="56" t="n">
        <v>575</v>
      </c>
      <c r="P2347" s="46" t="inlineStr">
        <is>
          <t>NSMI24070195429</t>
        </is>
      </c>
      <c r="Q2347" s="54">
        <f>MID(P2347,5,2)</f>
        <v/>
      </c>
      <c r="R2347" s="53">
        <f>MID(P2347,7,2)</f>
        <v/>
      </c>
      <c r="S2347" s="3" t="inlineStr">
        <is>
          <t>G2G</t>
        </is>
      </c>
      <c r="T2347" s="3" t="inlineStr">
        <is>
          <t>P4</t>
        </is>
      </c>
      <c r="U2347" s="19" t="inlineStr">
        <is>
          <t>P JB Cold Soldering</t>
        </is>
      </c>
      <c r="V2347" s="19" t="inlineStr">
        <is>
          <t>Soldering</t>
        </is>
      </c>
      <c r="W2347" s="3" t="inlineStr">
        <is>
          <t>Repair</t>
        </is>
      </c>
      <c r="X2347" s="18" t="n">
        <v>46170</v>
      </c>
      <c r="Y2347" s="3">
        <f>X2347-A2347</f>
        <v/>
      </c>
      <c r="Z2347" s="18" t="n">
        <v>46170</v>
      </c>
      <c r="AA2347" s="15" t="n"/>
      <c r="AB2347" s="15" t="n"/>
    </row>
    <row r="2348">
      <c r="A2348" s="37" t="n">
        <v>46143</v>
      </c>
      <c r="B2348" s="3" t="n">
        <v>2026</v>
      </c>
      <c r="C2348" s="26" t="inlineStr">
        <is>
          <t>Yanara Power</t>
        </is>
      </c>
      <c r="D2348" s="3" t="inlineStr">
        <is>
          <t>Utility and C&amp;I</t>
        </is>
      </c>
      <c r="E2348" s="3" t="n"/>
      <c r="F2348" s="3" t="inlineStr">
        <is>
          <t>Closed</t>
        </is>
      </c>
      <c r="G2348" s="9" t="inlineStr">
        <is>
          <t xml:space="preserve">Ashish Jindal </t>
        </is>
      </c>
      <c r="H2348" s="26" t="n">
        <v>9983975581</v>
      </c>
      <c r="I2348" s="38" t="inlineStr">
        <is>
          <t>PE01052601</t>
        </is>
      </c>
      <c r="J2348" s="26" t="inlineStr">
        <is>
          <t>Multiple Issues</t>
        </is>
      </c>
      <c r="K2348" s="39" t="inlineStr">
        <is>
          <t>Holi</t>
        </is>
      </c>
      <c r="L2348" s="39" t="inlineStr">
        <is>
          <t>Maharashtra</t>
        </is>
      </c>
      <c r="M2348" s="46" t="inlineStr">
        <is>
          <t>NS</t>
        </is>
      </c>
      <c r="N2348" s="3" t="inlineStr">
        <is>
          <t>Cold Soldering</t>
        </is>
      </c>
      <c r="O2348" s="56" t="n">
        <v>575</v>
      </c>
      <c r="P2348" s="46" t="inlineStr">
        <is>
          <t>NSMI24070187638</t>
        </is>
      </c>
      <c r="Q2348" s="54">
        <f>MID(P2348,5,2)</f>
        <v/>
      </c>
      <c r="R2348" s="53">
        <f>MID(P2348,7,2)</f>
        <v/>
      </c>
      <c r="S2348" s="3" t="inlineStr">
        <is>
          <t>G2G</t>
        </is>
      </c>
      <c r="T2348" s="3" t="inlineStr">
        <is>
          <t>P4</t>
        </is>
      </c>
      <c r="U2348" s="3" t="inlineStr">
        <is>
          <t>N JB Cold Soldering</t>
        </is>
      </c>
      <c r="V2348" s="3" t="inlineStr">
        <is>
          <t>Soldering</t>
        </is>
      </c>
      <c r="W2348" s="3" t="inlineStr">
        <is>
          <t>Repair</t>
        </is>
      </c>
      <c r="X2348" s="18" t="n">
        <v>46170</v>
      </c>
      <c r="Y2348" s="3">
        <f>X2348-A2348</f>
        <v/>
      </c>
      <c r="Z2348" s="18" t="n">
        <v>46170</v>
      </c>
      <c r="AA2348" s="15" t="n"/>
      <c r="AB2348" s="15" t="n"/>
    </row>
    <row r="2349">
      <c r="A2349" s="37" t="n">
        <v>46143</v>
      </c>
      <c r="B2349" s="3" t="n">
        <v>2026</v>
      </c>
      <c r="C2349" s="26" t="inlineStr">
        <is>
          <t>Yanara Power</t>
        </is>
      </c>
      <c r="D2349" s="3" t="inlineStr">
        <is>
          <t>Utility and C&amp;I</t>
        </is>
      </c>
      <c r="E2349" s="3" t="n"/>
      <c r="F2349" s="3" t="inlineStr">
        <is>
          <t>Closed</t>
        </is>
      </c>
      <c r="G2349" s="9" t="inlineStr">
        <is>
          <t xml:space="preserve">Ashish Jindal </t>
        </is>
      </c>
      <c r="H2349" s="26" t="n">
        <v>9983975581</v>
      </c>
      <c r="I2349" s="38" t="inlineStr">
        <is>
          <t>PE01052601</t>
        </is>
      </c>
      <c r="J2349" s="26" t="inlineStr">
        <is>
          <t>Multiple Issues</t>
        </is>
      </c>
      <c r="K2349" s="39" t="inlineStr">
        <is>
          <t>Holi</t>
        </is>
      </c>
      <c r="L2349" s="39" t="inlineStr">
        <is>
          <t>Maharashtra</t>
        </is>
      </c>
      <c r="M2349" s="46" t="inlineStr">
        <is>
          <t>NS</t>
        </is>
      </c>
      <c r="N2349" s="3" t="inlineStr">
        <is>
          <t>Cold Soldering</t>
        </is>
      </c>
      <c r="O2349" s="56" t="n">
        <v>575</v>
      </c>
      <c r="P2349" s="46" t="inlineStr">
        <is>
          <t>NSMI24070199946</t>
        </is>
      </c>
      <c r="Q2349" s="54">
        <f>MID(P2349,5,2)</f>
        <v/>
      </c>
      <c r="R2349" s="53">
        <f>MID(P2349,7,2)</f>
        <v/>
      </c>
      <c r="S2349" s="3" t="inlineStr">
        <is>
          <t>G2G</t>
        </is>
      </c>
      <c r="T2349" s="3" t="inlineStr">
        <is>
          <t>P4</t>
        </is>
      </c>
      <c r="U2349" s="3" t="inlineStr">
        <is>
          <t>N JB Cold Soldering</t>
        </is>
      </c>
      <c r="V2349" s="3" t="inlineStr">
        <is>
          <t>Soldering</t>
        </is>
      </c>
      <c r="W2349" s="3" t="inlineStr">
        <is>
          <t>Repair</t>
        </is>
      </c>
      <c r="X2349" s="18" t="n">
        <v>46170</v>
      </c>
      <c r="Y2349" s="3">
        <f>X2349-A2349</f>
        <v/>
      </c>
      <c r="Z2349" s="18" t="n">
        <v>46170</v>
      </c>
      <c r="AA2349" s="15" t="n"/>
      <c r="AB2349" s="15" t="n"/>
    </row>
    <row r="2350">
      <c r="A2350" s="37" t="n">
        <v>46143</v>
      </c>
      <c r="B2350" s="3" t="n">
        <v>2026</v>
      </c>
      <c r="C2350" s="26" t="inlineStr">
        <is>
          <t>Yanara Power</t>
        </is>
      </c>
      <c r="D2350" s="3" t="inlineStr">
        <is>
          <t>Utility and C&amp;I</t>
        </is>
      </c>
      <c r="E2350" s="3" t="n"/>
      <c r="F2350" s="3" t="inlineStr">
        <is>
          <t>Closed</t>
        </is>
      </c>
      <c r="G2350" s="9" t="inlineStr">
        <is>
          <t xml:space="preserve">Ashish Jindal </t>
        </is>
      </c>
      <c r="H2350" s="26" t="n">
        <v>9983975581</v>
      </c>
      <c r="I2350" s="38" t="inlineStr">
        <is>
          <t>PE01052601</t>
        </is>
      </c>
      <c r="J2350" s="26" t="inlineStr">
        <is>
          <t>Multiple Issues</t>
        </is>
      </c>
      <c r="K2350" s="39" t="inlineStr">
        <is>
          <t>Holi</t>
        </is>
      </c>
      <c r="L2350" s="39" t="inlineStr">
        <is>
          <t>Maharashtra</t>
        </is>
      </c>
      <c r="M2350" s="46" t="inlineStr">
        <is>
          <t>NS</t>
        </is>
      </c>
      <c r="N2350" s="3" t="inlineStr">
        <is>
          <t>Cold Soldering</t>
        </is>
      </c>
      <c r="O2350" s="56" t="n">
        <v>575</v>
      </c>
      <c r="P2350" s="46" t="inlineStr">
        <is>
          <t>NSMI24070166221</t>
        </is>
      </c>
      <c r="Q2350" s="54">
        <f>MID(P2350,5,2)</f>
        <v/>
      </c>
      <c r="R2350" s="53">
        <f>MID(P2350,7,2)</f>
        <v/>
      </c>
      <c r="S2350" s="3" t="inlineStr">
        <is>
          <t>G2G</t>
        </is>
      </c>
      <c r="T2350" s="3" t="inlineStr">
        <is>
          <t>P4</t>
        </is>
      </c>
      <c r="U2350" s="3" t="inlineStr">
        <is>
          <t>N JB Cold Soldering</t>
        </is>
      </c>
      <c r="V2350" s="3" t="inlineStr">
        <is>
          <t>Soldering</t>
        </is>
      </c>
      <c r="W2350" s="3" t="inlineStr">
        <is>
          <t>Repair</t>
        </is>
      </c>
      <c r="X2350" s="18" t="n">
        <v>46170</v>
      </c>
      <c r="Y2350" s="3">
        <f>X2350-A2350</f>
        <v/>
      </c>
      <c r="Z2350" s="18" t="n">
        <v>46170</v>
      </c>
      <c r="AA2350" s="15" t="n"/>
      <c r="AB2350" s="15" t="n"/>
    </row>
    <row r="2351">
      <c r="A2351" s="37" t="n">
        <v>46143</v>
      </c>
      <c r="B2351" s="3" t="n">
        <v>2026</v>
      </c>
      <c r="C2351" s="26" t="inlineStr">
        <is>
          <t>Yanara Power</t>
        </is>
      </c>
      <c r="D2351" s="3" t="inlineStr">
        <is>
          <t>Utility and C&amp;I</t>
        </is>
      </c>
      <c r="E2351" s="3" t="n"/>
      <c r="F2351" s="3" t="inlineStr">
        <is>
          <t>Closed</t>
        </is>
      </c>
      <c r="G2351" s="9" t="inlineStr">
        <is>
          <t xml:space="preserve">Ashish Jindal </t>
        </is>
      </c>
      <c r="H2351" s="26" t="n">
        <v>9983975581</v>
      </c>
      <c r="I2351" s="38" t="inlineStr">
        <is>
          <t>PE01052601</t>
        </is>
      </c>
      <c r="J2351" s="26" t="inlineStr">
        <is>
          <t>Multiple Issues</t>
        </is>
      </c>
      <c r="K2351" s="39" t="inlineStr">
        <is>
          <t>Holi</t>
        </is>
      </c>
      <c r="L2351" s="39" t="inlineStr">
        <is>
          <t>Maharashtra</t>
        </is>
      </c>
      <c r="M2351" s="46" t="inlineStr">
        <is>
          <t>PS</t>
        </is>
      </c>
      <c r="N2351" s="3" t="inlineStr">
        <is>
          <t>Cold Soldering</t>
        </is>
      </c>
      <c r="O2351" s="56" t="n">
        <v>575</v>
      </c>
      <c r="P2351" s="46" t="inlineStr">
        <is>
          <t>NSMI24070165984</t>
        </is>
      </c>
      <c r="Q2351" s="54">
        <f>MID(P2351,5,2)</f>
        <v/>
      </c>
      <c r="R2351" s="53">
        <f>MID(P2351,7,2)</f>
        <v/>
      </c>
      <c r="S2351" s="3" t="inlineStr">
        <is>
          <t>G2G</t>
        </is>
      </c>
      <c r="T2351" s="3" t="inlineStr">
        <is>
          <t>P4</t>
        </is>
      </c>
      <c r="U2351" s="19" t="inlineStr">
        <is>
          <t>P JB Cold Soldering</t>
        </is>
      </c>
      <c r="V2351" s="19" t="inlineStr">
        <is>
          <t>Soldering</t>
        </is>
      </c>
      <c r="W2351" s="3" t="inlineStr">
        <is>
          <t>Repair</t>
        </is>
      </c>
      <c r="X2351" s="18" t="n">
        <v>46170</v>
      </c>
      <c r="Y2351" s="3">
        <f>X2351-A2351</f>
        <v/>
      </c>
      <c r="Z2351" s="18" t="n">
        <v>46170</v>
      </c>
      <c r="AA2351" s="15" t="n"/>
      <c r="AB2351" s="15" t="n"/>
    </row>
    <row r="2352">
      <c r="A2352" s="37" t="n">
        <v>46143</v>
      </c>
      <c r="B2352" s="3" t="n">
        <v>2026</v>
      </c>
      <c r="C2352" s="26" t="inlineStr">
        <is>
          <t>Yanara Power</t>
        </is>
      </c>
      <c r="D2352" s="3" t="inlineStr">
        <is>
          <t>Utility and C&amp;I</t>
        </is>
      </c>
      <c r="E2352" s="3" t="n"/>
      <c r="F2352" s="3" t="inlineStr">
        <is>
          <t>Closed</t>
        </is>
      </c>
      <c r="G2352" s="9" t="inlineStr">
        <is>
          <t xml:space="preserve">Ashish Jindal </t>
        </is>
      </c>
      <c r="H2352" s="26" t="n">
        <v>9983975581</v>
      </c>
      <c r="I2352" s="38" t="inlineStr">
        <is>
          <t>PE01052601</t>
        </is>
      </c>
      <c r="J2352" s="26" t="inlineStr">
        <is>
          <t>Multiple Issues</t>
        </is>
      </c>
      <c r="K2352" s="39" t="inlineStr">
        <is>
          <t>Holi</t>
        </is>
      </c>
      <c r="L2352" s="39" t="inlineStr">
        <is>
          <t>Maharashtra</t>
        </is>
      </c>
      <c r="M2352" s="46" t="inlineStr">
        <is>
          <t>NS</t>
        </is>
      </c>
      <c r="N2352" s="3" t="inlineStr">
        <is>
          <t>Cold Soldering</t>
        </is>
      </c>
      <c r="O2352" s="56" t="n">
        <v>575</v>
      </c>
      <c r="P2352" s="46" t="inlineStr">
        <is>
          <t>NSMI24070195063</t>
        </is>
      </c>
      <c r="Q2352" s="54">
        <f>MID(P2352,5,2)</f>
        <v/>
      </c>
      <c r="R2352" s="53">
        <f>MID(P2352,7,2)</f>
        <v/>
      </c>
      <c r="S2352" s="3" t="inlineStr">
        <is>
          <t>G2G</t>
        </is>
      </c>
      <c r="T2352" s="3" t="inlineStr">
        <is>
          <t>P4</t>
        </is>
      </c>
      <c r="U2352" s="3" t="inlineStr">
        <is>
          <t>N JB Cold Soldering</t>
        </is>
      </c>
      <c r="V2352" s="3" t="inlineStr">
        <is>
          <t>Soldering</t>
        </is>
      </c>
      <c r="W2352" s="3" t="inlineStr">
        <is>
          <t>Repair</t>
        </is>
      </c>
      <c r="X2352" s="18" t="n">
        <v>46170</v>
      </c>
      <c r="Y2352" s="3">
        <f>X2352-A2352</f>
        <v/>
      </c>
      <c r="Z2352" s="18" t="n">
        <v>46170</v>
      </c>
      <c r="AA2352" s="15" t="n"/>
      <c r="AB2352" s="15" t="n"/>
    </row>
    <row r="2353">
      <c r="A2353" s="37" t="n">
        <v>46143</v>
      </c>
      <c r="B2353" s="3" t="n">
        <v>2026</v>
      </c>
      <c r="C2353" s="26" t="inlineStr">
        <is>
          <t>Yanara Power</t>
        </is>
      </c>
      <c r="D2353" s="3" t="inlineStr">
        <is>
          <t>Utility and C&amp;I</t>
        </is>
      </c>
      <c r="E2353" s="3" t="n"/>
      <c r="F2353" s="3" t="inlineStr">
        <is>
          <t>Closed</t>
        </is>
      </c>
      <c r="G2353" s="9" t="inlineStr">
        <is>
          <t xml:space="preserve">Ashish Jindal </t>
        </is>
      </c>
      <c r="H2353" s="26" t="n">
        <v>9983975581</v>
      </c>
      <c r="I2353" s="38" t="inlineStr">
        <is>
          <t>PE01052601</t>
        </is>
      </c>
      <c r="J2353" s="26" t="inlineStr">
        <is>
          <t>Multiple Issues</t>
        </is>
      </c>
      <c r="K2353" s="39" t="inlineStr">
        <is>
          <t>Holi</t>
        </is>
      </c>
      <c r="L2353" s="39" t="inlineStr">
        <is>
          <t>Maharashtra</t>
        </is>
      </c>
      <c r="M2353" s="46" t="inlineStr">
        <is>
          <t>PS</t>
        </is>
      </c>
      <c r="N2353" s="3" t="inlineStr">
        <is>
          <t>Cold Soldering</t>
        </is>
      </c>
      <c r="O2353" s="56" t="n">
        <v>575</v>
      </c>
      <c r="P2353" s="46" t="inlineStr">
        <is>
          <t>NSMI24070195436</t>
        </is>
      </c>
      <c r="Q2353" s="54">
        <f>MID(P2353,5,2)</f>
        <v/>
      </c>
      <c r="R2353" s="53">
        <f>MID(P2353,7,2)</f>
        <v/>
      </c>
      <c r="S2353" s="3" t="inlineStr">
        <is>
          <t>G2G</t>
        </is>
      </c>
      <c r="T2353" s="3" t="inlineStr">
        <is>
          <t>P4</t>
        </is>
      </c>
      <c r="U2353" s="19" t="inlineStr">
        <is>
          <t>P JB Cold Soldering</t>
        </is>
      </c>
      <c r="V2353" s="19" t="inlineStr">
        <is>
          <t>Soldering</t>
        </is>
      </c>
      <c r="W2353" s="3" t="inlineStr">
        <is>
          <t>Repair</t>
        </is>
      </c>
      <c r="X2353" s="18" t="n">
        <v>46170</v>
      </c>
      <c r="Y2353" s="3">
        <f>X2353-A2353</f>
        <v/>
      </c>
      <c r="Z2353" s="18" t="n">
        <v>46170</v>
      </c>
      <c r="AA2353" s="15" t="n"/>
      <c r="AB2353" s="15" t="n"/>
    </row>
    <row r="2354">
      <c r="A2354" s="37" t="n">
        <v>46143</v>
      </c>
      <c r="B2354" s="3" t="n">
        <v>2026</v>
      </c>
      <c r="C2354" s="26" t="inlineStr">
        <is>
          <t>Yanara Power</t>
        </is>
      </c>
      <c r="D2354" s="3" t="inlineStr">
        <is>
          <t>Utility and C&amp;I</t>
        </is>
      </c>
      <c r="E2354" s="3" t="n"/>
      <c r="F2354" s="3" t="inlineStr">
        <is>
          <t>Closed</t>
        </is>
      </c>
      <c r="G2354" s="9" t="inlineStr">
        <is>
          <t xml:space="preserve">Ashish Jindal </t>
        </is>
      </c>
      <c r="H2354" s="26" t="n">
        <v>9983975581</v>
      </c>
      <c r="I2354" s="38" t="inlineStr">
        <is>
          <t>PE01052601</t>
        </is>
      </c>
      <c r="J2354" s="26" t="inlineStr">
        <is>
          <t>Multiple Issues</t>
        </is>
      </c>
      <c r="K2354" s="39" t="inlineStr">
        <is>
          <t>Holi</t>
        </is>
      </c>
      <c r="L2354" s="39" t="inlineStr">
        <is>
          <t>Maharashtra</t>
        </is>
      </c>
      <c r="M2354" s="46" t="inlineStr">
        <is>
          <t>PS</t>
        </is>
      </c>
      <c r="N2354" s="3" t="inlineStr">
        <is>
          <t>Cold Soldering</t>
        </is>
      </c>
      <c r="O2354" s="56" t="n">
        <v>575</v>
      </c>
      <c r="P2354" s="46" t="inlineStr">
        <is>
          <t>NSMI24070234079</t>
        </is>
      </c>
      <c r="Q2354" s="54">
        <f>MID(P2354,5,2)</f>
        <v/>
      </c>
      <c r="R2354" s="53">
        <f>MID(P2354,7,2)</f>
        <v/>
      </c>
      <c r="S2354" s="3" t="inlineStr">
        <is>
          <t>G2G</t>
        </is>
      </c>
      <c r="T2354" s="3" t="inlineStr">
        <is>
          <t>P4</t>
        </is>
      </c>
      <c r="U2354" s="19" t="inlineStr">
        <is>
          <t>P JB Cold Soldering</t>
        </is>
      </c>
      <c r="V2354" s="19" t="inlineStr">
        <is>
          <t>Soldering</t>
        </is>
      </c>
      <c r="W2354" s="3" t="inlineStr">
        <is>
          <t>Repair</t>
        </is>
      </c>
      <c r="X2354" s="18" t="n">
        <v>46170</v>
      </c>
      <c r="Y2354" s="3">
        <f>X2354-A2354</f>
        <v/>
      </c>
      <c r="Z2354" s="18" t="n">
        <v>46170</v>
      </c>
      <c r="AA2354" s="15" t="n"/>
      <c r="AB2354" s="15" t="n"/>
    </row>
    <row r="2355">
      <c r="A2355" s="37" t="n">
        <v>46143</v>
      </c>
      <c r="B2355" s="3" t="n">
        <v>2026</v>
      </c>
      <c r="C2355" s="26" t="inlineStr">
        <is>
          <t>Yanara Power</t>
        </is>
      </c>
      <c r="D2355" s="3" t="inlineStr">
        <is>
          <t>Utility and C&amp;I</t>
        </is>
      </c>
      <c r="E2355" s="3" t="n"/>
      <c r="F2355" s="3" t="inlineStr">
        <is>
          <t>Closed</t>
        </is>
      </c>
      <c r="G2355" s="9" t="inlineStr">
        <is>
          <t xml:space="preserve">Ashish Jindal </t>
        </is>
      </c>
      <c r="H2355" s="26" t="n">
        <v>9983975581</v>
      </c>
      <c r="I2355" s="38" t="inlineStr">
        <is>
          <t>PE01052601</t>
        </is>
      </c>
      <c r="J2355" s="26" t="inlineStr">
        <is>
          <t>Multiple Issues</t>
        </is>
      </c>
      <c r="K2355" s="39" t="inlineStr">
        <is>
          <t>Holi</t>
        </is>
      </c>
      <c r="L2355" s="39" t="inlineStr">
        <is>
          <t>Maharashtra</t>
        </is>
      </c>
      <c r="M2355" s="46" t="inlineStr">
        <is>
          <t>NR</t>
        </is>
      </c>
      <c r="N2355" s="3" t="inlineStr">
        <is>
          <t>JB Issue</t>
        </is>
      </c>
      <c r="O2355" s="56" t="n">
        <v>575</v>
      </c>
      <c r="P2355" s="46" t="inlineStr">
        <is>
          <t>NSMI24070165399</t>
        </is>
      </c>
      <c r="Q2355" s="54">
        <f>MID(P2355,5,2)</f>
        <v/>
      </c>
      <c r="R2355" s="53">
        <f>MID(P2355,7,2)</f>
        <v/>
      </c>
      <c r="S2355" s="3" t="inlineStr">
        <is>
          <t>G2G</t>
        </is>
      </c>
      <c r="T2355" s="3" t="inlineStr">
        <is>
          <t>P4</t>
        </is>
      </c>
      <c r="U2355" s="3" t="inlineStr">
        <is>
          <t>N JB Issue</t>
        </is>
      </c>
      <c r="V2355" s="3" t="inlineStr">
        <is>
          <t>JB Changed</t>
        </is>
      </c>
      <c r="W2355" s="3" t="inlineStr">
        <is>
          <t>Repair</t>
        </is>
      </c>
      <c r="X2355" s="18" t="n">
        <v>46170</v>
      </c>
      <c r="Y2355" s="3">
        <f>X2355-A2355</f>
        <v/>
      </c>
      <c r="Z2355" s="18" t="n">
        <v>46170</v>
      </c>
      <c r="AA2355" s="15" t="n"/>
      <c r="AB2355" s="15" t="n"/>
    </row>
    <row r="2356">
      <c r="A2356" s="37" t="n">
        <v>46143</v>
      </c>
      <c r="B2356" s="3" t="n">
        <v>2026</v>
      </c>
      <c r="C2356" s="26" t="inlineStr">
        <is>
          <t>Yanara Power</t>
        </is>
      </c>
      <c r="D2356" s="3" t="inlineStr">
        <is>
          <t>Utility and C&amp;I</t>
        </is>
      </c>
      <c r="E2356" s="3" t="n"/>
      <c r="F2356" s="3" t="inlineStr">
        <is>
          <t>Closed</t>
        </is>
      </c>
      <c r="G2356" s="9" t="inlineStr">
        <is>
          <t xml:space="preserve">Ashish Jindal </t>
        </is>
      </c>
      <c r="H2356" s="26" t="n">
        <v>9983975581</v>
      </c>
      <c r="I2356" s="38" t="inlineStr">
        <is>
          <t>PE01052601</t>
        </is>
      </c>
      <c r="J2356" s="26" t="inlineStr">
        <is>
          <t>Multiple Issues</t>
        </is>
      </c>
      <c r="K2356" s="39" t="inlineStr">
        <is>
          <t>Holi</t>
        </is>
      </c>
      <c r="L2356" s="39" t="inlineStr">
        <is>
          <t>Maharashtra</t>
        </is>
      </c>
      <c r="M2356" s="46" t="inlineStr">
        <is>
          <t>PS</t>
        </is>
      </c>
      <c r="N2356" s="3" t="inlineStr">
        <is>
          <t>Cold Soldering</t>
        </is>
      </c>
      <c r="O2356" s="56" t="n">
        <v>575</v>
      </c>
      <c r="P2356" s="46" t="inlineStr">
        <is>
          <t>NSMI24070165419</t>
        </is>
      </c>
      <c r="Q2356" s="54">
        <f>MID(P2356,5,2)</f>
        <v/>
      </c>
      <c r="R2356" s="53">
        <f>MID(P2356,7,2)</f>
        <v/>
      </c>
      <c r="S2356" s="3" t="inlineStr">
        <is>
          <t>G2G</t>
        </is>
      </c>
      <c r="T2356" s="3" t="inlineStr">
        <is>
          <t>P4</t>
        </is>
      </c>
      <c r="U2356" s="19" t="inlineStr">
        <is>
          <t>P JB Cold Soldering</t>
        </is>
      </c>
      <c r="V2356" s="19" t="inlineStr">
        <is>
          <t>Soldering</t>
        </is>
      </c>
      <c r="W2356" s="3" t="inlineStr">
        <is>
          <t>Repair</t>
        </is>
      </c>
      <c r="X2356" s="18" t="n">
        <v>46170</v>
      </c>
      <c r="Y2356" s="3">
        <f>X2356-A2356</f>
        <v/>
      </c>
      <c r="Z2356" s="18" t="n">
        <v>46170</v>
      </c>
      <c r="AA2356" s="15" t="n"/>
      <c r="AB2356" s="15" t="n"/>
    </row>
    <row r="2357">
      <c r="A2357" s="37" t="n">
        <v>46143</v>
      </c>
      <c r="B2357" s="3" t="n">
        <v>2026</v>
      </c>
      <c r="C2357" s="26" t="inlineStr">
        <is>
          <t>Yanara Power</t>
        </is>
      </c>
      <c r="D2357" s="3" t="inlineStr">
        <is>
          <t>Utility and C&amp;I</t>
        </is>
      </c>
      <c r="E2357" s="3" t="n"/>
      <c r="F2357" s="3" t="inlineStr">
        <is>
          <t>Closed</t>
        </is>
      </c>
      <c r="G2357" s="9" t="inlineStr">
        <is>
          <t xml:space="preserve">Ashish Jindal </t>
        </is>
      </c>
      <c r="H2357" s="26" t="n">
        <v>9983975581</v>
      </c>
      <c r="I2357" s="38" t="inlineStr">
        <is>
          <t>PE01052601</t>
        </is>
      </c>
      <c r="J2357" s="26" t="inlineStr">
        <is>
          <t>Multiple Issues</t>
        </is>
      </c>
      <c r="K2357" s="39" t="inlineStr">
        <is>
          <t>Holi</t>
        </is>
      </c>
      <c r="L2357" s="39" t="inlineStr">
        <is>
          <t>Maharashtra</t>
        </is>
      </c>
      <c r="M2357" s="46" t="inlineStr">
        <is>
          <t>NS</t>
        </is>
      </c>
      <c r="N2357" s="3" t="inlineStr">
        <is>
          <t>Cold Soldering</t>
        </is>
      </c>
      <c r="O2357" s="56" t="n">
        <v>575</v>
      </c>
      <c r="P2357" s="46" t="inlineStr">
        <is>
          <t>NSMI24070165330</t>
        </is>
      </c>
      <c r="Q2357" s="54">
        <f>MID(P2357,5,2)</f>
        <v/>
      </c>
      <c r="R2357" s="53">
        <f>MID(P2357,7,2)</f>
        <v/>
      </c>
      <c r="S2357" s="3" t="inlineStr">
        <is>
          <t>G2G</t>
        </is>
      </c>
      <c r="T2357" s="3" t="inlineStr">
        <is>
          <t>P4</t>
        </is>
      </c>
      <c r="U2357" s="3" t="inlineStr">
        <is>
          <t>N JB Cold Soldering</t>
        </is>
      </c>
      <c r="V2357" s="3" t="inlineStr">
        <is>
          <t>Soldering</t>
        </is>
      </c>
      <c r="W2357" s="3" t="inlineStr">
        <is>
          <t>Repair</t>
        </is>
      </c>
      <c r="X2357" s="18" t="n">
        <v>46170</v>
      </c>
      <c r="Y2357" s="3">
        <f>X2357-A2357</f>
        <v/>
      </c>
      <c r="Z2357" s="18" t="n">
        <v>46170</v>
      </c>
      <c r="AA2357" s="15" t="n"/>
      <c r="AB2357" s="15" t="n"/>
    </row>
    <row r="2358">
      <c r="A2358" s="37" t="n">
        <v>46143</v>
      </c>
      <c r="B2358" s="3" t="n">
        <v>2026</v>
      </c>
      <c r="C2358" s="26" t="inlineStr">
        <is>
          <t>Yanara Power</t>
        </is>
      </c>
      <c r="D2358" s="3" t="inlineStr">
        <is>
          <t>Utility and C&amp;I</t>
        </is>
      </c>
      <c r="E2358" s="3" t="n"/>
      <c r="F2358" s="3" t="inlineStr">
        <is>
          <t>Closed</t>
        </is>
      </c>
      <c r="G2358" s="9" t="inlineStr">
        <is>
          <t xml:space="preserve">Ashish Jindal </t>
        </is>
      </c>
      <c r="H2358" s="26" t="n">
        <v>9983975581</v>
      </c>
      <c r="I2358" s="38" t="inlineStr">
        <is>
          <t>PE01052601</t>
        </is>
      </c>
      <c r="J2358" s="26" t="inlineStr">
        <is>
          <t>Multiple Issues</t>
        </is>
      </c>
      <c r="K2358" s="39" t="inlineStr">
        <is>
          <t>Holi</t>
        </is>
      </c>
      <c r="L2358" s="39" t="inlineStr">
        <is>
          <t>Maharashtra</t>
        </is>
      </c>
      <c r="M2358" s="46" t="inlineStr">
        <is>
          <t>PS</t>
        </is>
      </c>
      <c r="N2358" s="3" t="inlineStr">
        <is>
          <t>Cold Soldering</t>
        </is>
      </c>
      <c r="O2358" s="56" t="n">
        <v>575</v>
      </c>
      <c r="P2358" s="46" t="inlineStr">
        <is>
          <t>NSMI24070165393</t>
        </is>
      </c>
      <c r="Q2358" s="54">
        <f>MID(P2358,5,2)</f>
        <v/>
      </c>
      <c r="R2358" s="53">
        <f>MID(P2358,7,2)</f>
        <v/>
      </c>
      <c r="S2358" s="3" t="inlineStr">
        <is>
          <t>G2G</t>
        </is>
      </c>
      <c r="T2358" s="3" t="inlineStr">
        <is>
          <t>P4</t>
        </is>
      </c>
      <c r="U2358" s="19" t="inlineStr">
        <is>
          <t>P JB Cold Soldering</t>
        </is>
      </c>
      <c r="V2358" s="19" t="inlineStr">
        <is>
          <t>Soldering</t>
        </is>
      </c>
      <c r="W2358" s="3" t="inlineStr">
        <is>
          <t>Repair</t>
        </is>
      </c>
      <c r="X2358" s="18" t="n">
        <v>46170</v>
      </c>
      <c r="Y2358" s="3">
        <f>X2358-A2358</f>
        <v/>
      </c>
      <c r="Z2358" s="18" t="n">
        <v>46170</v>
      </c>
      <c r="AA2358" s="15" t="n"/>
      <c r="AB2358" s="15" t="n"/>
    </row>
    <row r="2359">
      <c r="A2359" s="37" t="n">
        <v>46143</v>
      </c>
      <c r="B2359" s="3" t="n">
        <v>2026</v>
      </c>
      <c r="C2359" s="26" t="inlineStr">
        <is>
          <t>Yanara Power</t>
        </is>
      </c>
      <c r="D2359" s="3" t="inlineStr">
        <is>
          <t>Utility and C&amp;I</t>
        </is>
      </c>
      <c r="E2359" s="3" t="n"/>
      <c r="F2359" s="3" t="inlineStr">
        <is>
          <t>Closed</t>
        </is>
      </c>
      <c r="G2359" s="9" t="inlineStr">
        <is>
          <t xml:space="preserve">Ashish Jindal </t>
        </is>
      </c>
      <c r="H2359" s="26" t="n">
        <v>9983975581</v>
      </c>
      <c r="I2359" s="38" t="inlineStr">
        <is>
          <t>PE01052601</t>
        </is>
      </c>
      <c r="J2359" s="26" t="inlineStr">
        <is>
          <t>Multiple Issues</t>
        </is>
      </c>
      <c r="K2359" s="39" t="inlineStr">
        <is>
          <t>Holi</t>
        </is>
      </c>
      <c r="L2359" s="39" t="inlineStr">
        <is>
          <t>Maharashtra</t>
        </is>
      </c>
      <c r="M2359" s="46" t="inlineStr">
        <is>
          <t>PS</t>
        </is>
      </c>
      <c r="N2359" s="3" t="inlineStr">
        <is>
          <t>Cold Soldering</t>
        </is>
      </c>
      <c r="O2359" s="56" t="n">
        <v>575</v>
      </c>
      <c r="P2359" s="46" t="inlineStr">
        <is>
          <t>NSMI24070165407</t>
        </is>
      </c>
      <c r="Q2359" s="54">
        <f>MID(P2359,5,2)</f>
        <v/>
      </c>
      <c r="R2359" s="53">
        <f>MID(P2359,7,2)</f>
        <v/>
      </c>
      <c r="S2359" s="3" t="inlineStr">
        <is>
          <t>G2G</t>
        </is>
      </c>
      <c r="T2359" s="3" t="inlineStr">
        <is>
          <t>P4</t>
        </is>
      </c>
      <c r="U2359" s="19" t="inlineStr">
        <is>
          <t>P JB Cold Soldering</t>
        </is>
      </c>
      <c r="V2359" s="19" t="inlineStr">
        <is>
          <t>Soldering</t>
        </is>
      </c>
      <c r="W2359" s="3" t="inlineStr">
        <is>
          <t>Repair</t>
        </is>
      </c>
      <c r="X2359" s="18" t="n">
        <v>46170</v>
      </c>
      <c r="Y2359" s="3">
        <f>X2359-A2359</f>
        <v/>
      </c>
      <c r="Z2359" s="18" t="n">
        <v>46170</v>
      </c>
      <c r="AA2359" s="15" t="n"/>
      <c r="AB2359" s="15" t="n"/>
    </row>
    <row r="2360">
      <c r="A2360" s="37" t="n">
        <v>46143</v>
      </c>
      <c r="B2360" s="3" t="n">
        <v>2026</v>
      </c>
      <c r="C2360" s="26" t="inlineStr">
        <is>
          <t>Yanara Power</t>
        </is>
      </c>
      <c r="D2360" s="3" t="inlineStr">
        <is>
          <t>Utility and C&amp;I</t>
        </is>
      </c>
      <c r="E2360" s="3" t="n"/>
      <c r="F2360" s="3" t="inlineStr">
        <is>
          <t>Closed</t>
        </is>
      </c>
      <c r="G2360" s="9" t="inlineStr">
        <is>
          <t xml:space="preserve">Ashish Jindal </t>
        </is>
      </c>
      <c r="H2360" s="26" t="n">
        <v>9983975581</v>
      </c>
      <c r="I2360" s="38" t="inlineStr">
        <is>
          <t>PE01052601</t>
        </is>
      </c>
      <c r="J2360" s="26" t="inlineStr">
        <is>
          <t>Multiple Issues</t>
        </is>
      </c>
      <c r="K2360" s="39" t="inlineStr">
        <is>
          <t>Holi</t>
        </is>
      </c>
      <c r="L2360" s="39" t="inlineStr">
        <is>
          <t>Maharashtra</t>
        </is>
      </c>
      <c r="M2360" s="46" t="inlineStr">
        <is>
          <t>PS</t>
        </is>
      </c>
      <c r="N2360" s="3" t="inlineStr">
        <is>
          <t>Cold Soldering</t>
        </is>
      </c>
      <c r="O2360" s="56" t="n">
        <v>575</v>
      </c>
      <c r="P2360" s="46" t="inlineStr">
        <is>
          <t>NSMI24070165626</t>
        </is>
      </c>
      <c r="Q2360" s="54">
        <f>MID(P2360,5,2)</f>
        <v/>
      </c>
      <c r="R2360" s="53">
        <f>MID(P2360,7,2)</f>
        <v/>
      </c>
      <c r="S2360" s="3" t="inlineStr">
        <is>
          <t>G2G</t>
        </is>
      </c>
      <c r="T2360" s="3" t="inlineStr">
        <is>
          <t>P4</t>
        </is>
      </c>
      <c r="U2360" s="19" t="inlineStr">
        <is>
          <t>P JB Cold Soldering</t>
        </is>
      </c>
      <c r="V2360" s="19" t="inlineStr">
        <is>
          <t>Soldering</t>
        </is>
      </c>
      <c r="W2360" s="3" t="inlineStr">
        <is>
          <t>Repair</t>
        </is>
      </c>
      <c r="X2360" s="18" t="n">
        <v>46170</v>
      </c>
      <c r="Y2360" s="3">
        <f>X2360-A2360</f>
        <v/>
      </c>
      <c r="Z2360" s="18" t="n">
        <v>46170</v>
      </c>
      <c r="AA2360" s="15" t="n"/>
      <c r="AB2360" s="15" t="n"/>
    </row>
    <row r="2361">
      <c r="A2361" s="37" t="n">
        <v>46143</v>
      </c>
      <c r="B2361" s="3" t="n">
        <v>2026</v>
      </c>
      <c r="C2361" s="26" t="inlineStr">
        <is>
          <t>Yanara Power</t>
        </is>
      </c>
      <c r="D2361" s="3" t="inlineStr">
        <is>
          <t>Utility and C&amp;I</t>
        </is>
      </c>
      <c r="E2361" s="3" t="n"/>
      <c r="F2361" s="3" t="inlineStr">
        <is>
          <t>Closed</t>
        </is>
      </c>
      <c r="G2361" s="9" t="inlineStr">
        <is>
          <t xml:space="preserve">Ashish Jindal </t>
        </is>
      </c>
      <c r="H2361" s="26" t="n">
        <v>9983975581</v>
      </c>
      <c r="I2361" s="38" t="inlineStr">
        <is>
          <t>PE01052601</t>
        </is>
      </c>
      <c r="J2361" s="26" t="inlineStr">
        <is>
          <t>Multiple Issues</t>
        </is>
      </c>
      <c r="K2361" s="39" t="inlineStr">
        <is>
          <t>Holi</t>
        </is>
      </c>
      <c r="L2361" s="39" t="inlineStr">
        <is>
          <t>Maharashtra</t>
        </is>
      </c>
      <c r="M2361" s="46" t="inlineStr">
        <is>
          <t>PS</t>
        </is>
      </c>
      <c r="N2361" s="3" t="inlineStr">
        <is>
          <t>Cold Soldering</t>
        </is>
      </c>
      <c r="O2361" s="56" t="n">
        <v>575</v>
      </c>
      <c r="P2361" s="46" t="inlineStr">
        <is>
          <t>NSMI24070237612</t>
        </is>
      </c>
      <c r="Q2361" s="54">
        <f>MID(P2361,5,2)</f>
        <v/>
      </c>
      <c r="R2361" s="53">
        <f>MID(P2361,7,2)</f>
        <v/>
      </c>
      <c r="S2361" s="3" t="inlineStr">
        <is>
          <t>G2G</t>
        </is>
      </c>
      <c r="T2361" s="3" t="inlineStr">
        <is>
          <t>P4</t>
        </is>
      </c>
      <c r="U2361" s="19" t="inlineStr">
        <is>
          <t>P JB Cold Soldering</t>
        </is>
      </c>
      <c r="V2361" s="19" t="inlineStr">
        <is>
          <t>Soldering</t>
        </is>
      </c>
      <c r="W2361" s="3" t="inlineStr">
        <is>
          <t>Repair</t>
        </is>
      </c>
      <c r="X2361" s="18" t="n">
        <v>46170</v>
      </c>
      <c r="Y2361" s="3">
        <f>X2361-A2361</f>
        <v/>
      </c>
      <c r="Z2361" s="18" t="n">
        <v>46170</v>
      </c>
      <c r="AA2361" s="15" t="n"/>
      <c r="AB2361" s="15" t="n"/>
    </row>
    <row r="2362">
      <c r="A2362" s="37" t="n">
        <v>46143</v>
      </c>
      <c r="B2362" s="3" t="n">
        <v>2026</v>
      </c>
      <c r="C2362" s="26" t="inlineStr">
        <is>
          <t>Yanara Power</t>
        </is>
      </c>
      <c r="D2362" s="3" t="inlineStr">
        <is>
          <t>Utility and C&amp;I</t>
        </is>
      </c>
      <c r="E2362" s="3" t="n"/>
      <c r="F2362" s="3" t="inlineStr">
        <is>
          <t>Closed</t>
        </is>
      </c>
      <c r="G2362" s="9" t="inlineStr">
        <is>
          <t xml:space="preserve">Ashish Jindal </t>
        </is>
      </c>
      <c r="H2362" s="26" t="n">
        <v>9983975581</v>
      </c>
      <c r="I2362" s="38" t="inlineStr">
        <is>
          <t>PE01052601</t>
        </is>
      </c>
      <c r="J2362" s="26" t="inlineStr">
        <is>
          <t>Multiple Issues</t>
        </is>
      </c>
      <c r="K2362" s="39" t="inlineStr">
        <is>
          <t>Holi</t>
        </is>
      </c>
      <c r="L2362" s="39" t="inlineStr">
        <is>
          <t>Maharashtra</t>
        </is>
      </c>
      <c r="M2362" s="46" t="inlineStr">
        <is>
          <t>PS</t>
        </is>
      </c>
      <c r="N2362" s="3" t="inlineStr">
        <is>
          <t>Cold Soldering</t>
        </is>
      </c>
      <c r="O2362" s="56" t="n">
        <v>575</v>
      </c>
      <c r="P2362" s="46" t="inlineStr">
        <is>
          <t>NSMI24070199906</t>
        </is>
      </c>
      <c r="Q2362" s="54">
        <f>MID(P2362,5,2)</f>
        <v/>
      </c>
      <c r="R2362" s="53">
        <f>MID(P2362,7,2)</f>
        <v/>
      </c>
      <c r="S2362" s="3" t="inlineStr">
        <is>
          <t>G2G</t>
        </is>
      </c>
      <c r="T2362" s="3" t="inlineStr">
        <is>
          <t>P4</t>
        </is>
      </c>
      <c r="U2362" s="19" t="inlineStr">
        <is>
          <t>P JB Cold Soldering</t>
        </is>
      </c>
      <c r="V2362" s="19" t="inlineStr">
        <is>
          <t>Soldering</t>
        </is>
      </c>
      <c r="W2362" s="3" t="inlineStr">
        <is>
          <t>Repair</t>
        </is>
      </c>
      <c r="X2362" s="18" t="n">
        <v>46170</v>
      </c>
      <c r="Y2362" s="3">
        <f>X2362-A2362</f>
        <v/>
      </c>
      <c r="Z2362" s="18" t="n">
        <v>46170</v>
      </c>
      <c r="AA2362" s="15" t="n"/>
      <c r="AB2362" s="15" t="n"/>
    </row>
    <row r="2363">
      <c r="A2363" s="37" t="n">
        <v>46143</v>
      </c>
      <c r="B2363" s="3" t="n">
        <v>2026</v>
      </c>
      <c r="C2363" s="26" t="inlineStr">
        <is>
          <t>Yanara Power</t>
        </is>
      </c>
      <c r="D2363" s="3" t="inlineStr">
        <is>
          <t>Utility and C&amp;I</t>
        </is>
      </c>
      <c r="E2363" s="3" t="n"/>
      <c r="F2363" s="3" t="inlineStr">
        <is>
          <t>Closed</t>
        </is>
      </c>
      <c r="G2363" s="9" t="inlineStr">
        <is>
          <t xml:space="preserve">Ashish Jindal </t>
        </is>
      </c>
      <c r="H2363" s="26" t="n">
        <v>9983975581</v>
      </c>
      <c r="I2363" s="38" t="inlineStr">
        <is>
          <t>PE01052601</t>
        </is>
      </c>
      <c r="J2363" s="26" t="inlineStr">
        <is>
          <t>Multiple Issues</t>
        </is>
      </c>
      <c r="K2363" s="39" t="inlineStr">
        <is>
          <t>Holi</t>
        </is>
      </c>
      <c r="L2363" s="39" t="inlineStr">
        <is>
          <t>Maharashtra</t>
        </is>
      </c>
      <c r="M2363" s="46" t="inlineStr">
        <is>
          <t>NS</t>
        </is>
      </c>
      <c r="N2363" s="3" t="inlineStr">
        <is>
          <t>Cold Soldering</t>
        </is>
      </c>
      <c r="O2363" s="56" t="n">
        <v>575</v>
      </c>
      <c r="P2363" s="46" t="inlineStr">
        <is>
          <t>NSMI24070190728</t>
        </is>
      </c>
      <c r="Q2363" s="54">
        <f>MID(P2363,5,2)</f>
        <v/>
      </c>
      <c r="R2363" s="53">
        <f>MID(P2363,7,2)</f>
        <v/>
      </c>
      <c r="S2363" s="3" t="inlineStr">
        <is>
          <t>G2G</t>
        </is>
      </c>
      <c r="T2363" s="3" t="inlineStr">
        <is>
          <t>P4</t>
        </is>
      </c>
      <c r="U2363" s="3" t="inlineStr">
        <is>
          <t>N JB Cold Soldering</t>
        </is>
      </c>
      <c r="V2363" s="3" t="inlineStr">
        <is>
          <t>Soldering</t>
        </is>
      </c>
      <c r="W2363" s="3" t="inlineStr">
        <is>
          <t>Repair</t>
        </is>
      </c>
      <c r="X2363" s="18" t="n">
        <v>46170</v>
      </c>
      <c r="Y2363" s="3">
        <f>X2363-A2363</f>
        <v/>
      </c>
      <c r="Z2363" s="18" t="n">
        <v>46170</v>
      </c>
      <c r="AA2363" s="15" t="n"/>
      <c r="AB2363" s="15" t="n"/>
    </row>
    <row r="2364">
      <c r="A2364" s="37" t="n">
        <v>46143</v>
      </c>
      <c r="B2364" s="3" t="n">
        <v>2026</v>
      </c>
      <c r="C2364" s="26" t="inlineStr">
        <is>
          <t>Yanara Power</t>
        </is>
      </c>
      <c r="D2364" s="3" t="inlineStr">
        <is>
          <t>Utility and C&amp;I</t>
        </is>
      </c>
      <c r="E2364" s="3" t="n"/>
      <c r="F2364" s="3" t="inlineStr">
        <is>
          <t>Closed</t>
        </is>
      </c>
      <c r="G2364" s="9" t="inlineStr">
        <is>
          <t xml:space="preserve">Ashish Jindal </t>
        </is>
      </c>
      <c r="H2364" s="26" t="n">
        <v>9983975581</v>
      </c>
      <c r="I2364" s="38" t="inlineStr">
        <is>
          <t>PE01052601</t>
        </is>
      </c>
      <c r="J2364" s="26" t="inlineStr">
        <is>
          <t>Multiple Issues</t>
        </is>
      </c>
      <c r="K2364" s="39" t="inlineStr">
        <is>
          <t>Holi</t>
        </is>
      </c>
      <c r="L2364" s="39" t="inlineStr">
        <is>
          <t>Maharashtra</t>
        </is>
      </c>
      <c r="M2364" s="46" t="inlineStr">
        <is>
          <t>PS</t>
        </is>
      </c>
      <c r="N2364" s="3" t="inlineStr">
        <is>
          <t>Cold Soldering</t>
        </is>
      </c>
      <c r="O2364" s="56" t="n">
        <v>575</v>
      </c>
      <c r="P2364" s="46" t="inlineStr">
        <is>
          <t>NSMI24070200709</t>
        </is>
      </c>
      <c r="Q2364" s="54">
        <f>MID(P2364,5,2)</f>
        <v/>
      </c>
      <c r="R2364" s="53">
        <f>MID(P2364,7,2)</f>
        <v/>
      </c>
      <c r="S2364" s="3" t="inlineStr">
        <is>
          <t>G2G</t>
        </is>
      </c>
      <c r="T2364" s="3" t="inlineStr">
        <is>
          <t>P4</t>
        </is>
      </c>
      <c r="U2364" s="19" t="inlineStr">
        <is>
          <t>P JB Cold Soldering</t>
        </is>
      </c>
      <c r="V2364" s="19" t="inlineStr">
        <is>
          <t>Soldering</t>
        </is>
      </c>
      <c r="W2364" s="3" t="inlineStr">
        <is>
          <t>Repair</t>
        </is>
      </c>
      <c r="X2364" s="18" t="n">
        <v>46170</v>
      </c>
      <c r="Y2364" s="3">
        <f>X2364-A2364</f>
        <v/>
      </c>
      <c r="Z2364" s="18" t="n">
        <v>46170</v>
      </c>
      <c r="AA2364" s="15" t="n"/>
      <c r="AB2364" s="15" t="n"/>
    </row>
    <row r="2365">
      <c r="A2365" s="37" t="n">
        <v>46143</v>
      </c>
      <c r="B2365" s="3" t="n">
        <v>2026</v>
      </c>
      <c r="C2365" s="26" t="inlineStr">
        <is>
          <t>Yanara Power</t>
        </is>
      </c>
      <c r="D2365" s="3" t="inlineStr">
        <is>
          <t>Utility and C&amp;I</t>
        </is>
      </c>
      <c r="E2365" s="3" t="n"/>
      <c r="F2365" s="3" t="inlineStr">
        <is>
          <t>Closed</t>
        </is>
      </c>
      <c r="G2365" s="9" t="inlineStr">
        <is>
          <t xml:space="preserve">Ashish Jindal </t>
        </is>
      </c>
      <c r="H2365" s="26" t="n">
        <v>9983975581</v>
      </c>
      <c r="I2365" s="38" t="inlineStr">
        <is>
          <t>PE01052601</t>
        </is>
      </c>
      <c r="J2365" s="26" t="inlineStr">
        <is>
          <t>Multiple Issues</t>
        </is>
      </c>
      <c r="K2365" s="39" t="inlineStr">
        <is>
          <t>Holi</t>
        </is>
      </c>
      <c r="L2365" s="39" t="inlineStr">
        <is>
          <t>Maharashtra</t>
        </is>
      </c>
      <c r="M2365" s="46" t="inlineStr">
        <is>
          <t>PS</t>
        </is>
      </c>
      <c r="N2365" s="3" t="inlineStr">
        <is>
          <t>Cold Soldering</t>
        </is>
      </c>
      <c r="O2365" s="56" t="n">
        <v>575</v>
      </c>
      <c r="P2365" s="46" t="inlineStr">
        <is>
          <t>NSMI24070165478</t>
        </is>
      </c>
      <c r="Q2365" s="54">
        <f>MID(P2365,5,2)</f>
        <v/>
      </c>
      <c r="R2365" s="53">
        <f>MID(P2365,7,2)</f>
        <v/>
      </c>
      <c r="S2365" s="3" t="inlineStr">
        <is>
          <t>G2G</t>
        </is>
      </c>
      <c r="T2365" s="3" t="inlineStr">
        <is>
          <t>P4</t>
        </is>
      </c>
      <c r="U2365" s="19" t="inlineStr">
        <is>
          <t>P JB Cold Soldering</t>
        </is>
      </c>
      <c r="V2365" s="19" t="inlineStr">
        <is>
          <t>Soldering</t>
        </is>
      </c>
      <c r="W2365" s="3" t="inlineStr">
        <is>
          <t>Repair</t>
        </is>
      </c>
      <c r="X2365" s="18" t="n">
        <v>46170</v>
      </c>
      <c r="Y2365" s="3">
        <f>X2365-A2365</f>
        <v/>
      </c>
      <c r="Z2365" s="18" t="n">
        <v>46170</v>
      </c>
      <c r="AA2365" s="15" t="n"/>
      <c r="AB2365" s="15" t="n"/>
    </row>
    <row r="2366">
      <c r="A2366" s="37" t="n">
        <v>46143</v>
      </c>
      <c r="B2366" s="3" t="n">
        <v>2026</v>
      </c>
      <c r="C2366" s="26" t="inlineStr">
        <is>
          <t>Yanara Power</t>
        </is>
      </c>
      <c r="D2366" s="3" t="inlineStr">
        <is>
          <t>Utility and C&amp;I</t>
        </is>
      </c>
      <c r="E2366" s="3" t="n"/>
      <c r="F2366" s="3" t="inlineStr">
        <is>
          <t>Closed</t>
        </is>
      </c>
      <c r="G2366" s="9" t="inlineStr">
        <is>
          <t xml:space="preserve">Ashish Jindal </t>
        </is>
      </c>
      <c r="H2366" s="26" t="n">
        <v>9983975581</v>
      </c>
      <c r="I2366" s="38" t="inlineStr">
        <is>
          <t>PE01052601</t>
        </is>
      </c>
      <c r="J2366" s="26" t="inlineStr">
        <is>
          <t>Multiple Issues</t>
        </is>
      </c>
      <c r="K2366" s="39" t="inlineStr">
        <is>
          <t>Holi</t>
        </is>
      </c>
      <c r="L2366" s="39" t="inlineStr">
        <is>
          <t>Maharashtra</t>
        </is>
      </c>
      <c r="M2366" s="46" t="inlineStr">
        <is>
          <t>NS</t>
        </is>
      </c>
      <c r="N2366" s="3" t="inlineStr">
        <is>
          <t>Cold Soldering</t>
        </is>
      </c>
      <c r="O2366" s="56" t="n">
        <v>575</v>
      </c>
      <c r="P2366" s="46" t="inlineStr">
        <is>
          <t>NSMI24070165461</t>
        </is>
      </c>
      <c r="Q2366" s="54">
        <f>MID(P2366,5,2)</f>
        <v/>
      </c>
      <c r="R2366" s="53">
        <f>MID(P2366,7,2)</f>
        <v/>
      </c>
      <c r="S2366" s="3" t="inlineStr">
        <is>
          <t>G2G</t>
        </is>
      </c>
      <c r="T2366" s="3" t="inlineStr">
        <is>
          <t>P4</t>
        </is>
      </c>
      <c r="U2366" s="3" t="inlineStr">
        <is>
          <t>N JB Cold Soldering</t>
        </is>
      </c>
      <c r="V2366" s="3" t="inlineStr">
        <is>
          <t>Soldering</t>
        </is>
      </c>
      <c r="W2366" s="3" t="inlineStr">
        <is>
          <t>Repair</t>
        </is>
      </c>
      <c r="X2366" s="18" t="n">
        <v>46170</v>
      </c>
      <c r="Y2366" s="3">
        <f>X2366-A2366</f>
        <v/>
      </c>
      <c r="Z2366" s="18" t="n">
        <v>46170</v>
      </c>
      <c r="AA2366" s="15" t="n"/>
      <c r="AB2366" s="15" t="n"/>
    </row>
    <row r="2367">
      <c r="A2367" s="37" t="n">
        <v>46143</v>
      </c>
      <c r="B2367" s="3" t="n">
        <v>2026</v>
      </c>
      <c r="C2367" s="26" t="inlineStr">
        <is>
          <t>Yanara Power</t>
        </is>
      </c>
      <c r="D2367" s="3" t="inlineStr">
        <is>
          <t>Utility and C&amp;I</t>
        </is>
      </c>
      <c r="E2367" s="3" t="n"/>
      <c r="F2367" s="3" t="inlineStr">
        <is>
          <t>Closed</t>
        </is>
      </c>
      <c r="G2367" s="9" t="inlineStr">
        <is>
          <t xml:space="preserve">Ashish Jindal </t>
        </is>
      </c>
      <c r="H2367" s="26" t="n">
        <v>9983975581</v>
      </c>
      <c r="I2367" s="38" t="inlineStr">
        <is>
          <t>PE01052601</t>
        </is>
      </c>
      <c r="J2367" s="26" t="inlineStr">
        <is>
          <t>Multiple Issues</t>
        </is>
      </c>
      <c r="K2367" s="39" t="inlineStr">
        <is>
          <t>Holi</t>
        </is>
      </c>
      <c r="L2367" s="39" t="inlineStr">
        <is>
          <t>Maharashtra</t>
        </is>
      </c>
      <c r="M2367" s="46" t="inlineStr">
        <is>
          <t>PS</t>
        </is>
      </c>
      <c r="N2367" s="3" t="inlineStr">
        <is>
          <t>Cold Soldering</t>
        </is>
      </c>
      <c r="O2367" s="56" t="n">
        <v>575</v>
      </c>
      <c r="P2367" s="46" t="inlineStr">
        <is>
          <t>NSMI24070165431</t>
        </is>
      </c>
      <c r="Q2367" s="54">
        <f>MID(P2367,5,2)</f>
        <v/>
      </c>
      <c r="R2367" s="53">
        <f>MID(P2367,7,2)</f>
        <v/>
      </c>
      <c r="S2367" s="3" t="inlineStr">
        <is>
          <t>G2G</t>
        </is>
      </c>
      <c r="T2367" s="3" t="inlineStr">
        <is>
          <t>P4</t>
        </is>
      </c>
      <c r="U2367" s="19" t="inlineStr">
        <is>
          <t>P JB Cold Soldering</t>
        </is>
      </c>
      <c r="V2367" s="19" t="inlineStr">
        <is>
          <t>Soldering</t>
        </is>
      </c>
      <c r="W2367" s="3" t="inlineStr">
        <is>
          <t>Repair</t>
        </is>
      </c>
      <c r="X2367" s="18" t="n">
        <v>46170</v>
      </c>
      <c r="Y2367" s="3">
        <f>X2367-A2367</f>
        <v/>
      </c>
      <c r="Z2367" s="18" t="n">
        <v>46170</v>
      </c>
      <c r="AA2367" s="15" t="n"/>
      <c r="AB2367" s="15" t="n"/>
    </row>
    <row r="2368">
      <c r="A2368" s="37" t="n">
        <v>46143</v>
      </c>
      <c r="B2368" s="3" t="n">
        <v>2026</v>
      </c>
      <c r="C2368" s="26" t="inlineStr">
        <is>
          <t>Yanara Power</t>
        </is>
      </c>
      <c r="D2368" s="3" t="inlineStr">
        <is>
          <t>Utility and C&amp;I</t>
        </is>
      </c>
      <c r="E2368" s="3" t="n"/>
      <c r="F2368" s="3" t="inlineStr">
        <is>
          <t>Closed</t>
        </is>
      </c>
      <c r="G2368" s="9" t="inlineStr">
        <is>
          <t xml:space="preserve">Ashish Jindal </t>
        </is>
      </c>
      <c r="H2368" s="26" t="n">
        <v>9983975581</v>
      </c>
      <c r="I2368" s="38" t="inlineStr">
        <is>
          <t>PE01052601</t>
        </is>
      </c>
      <c r="J2368" s="26" t="inlineStr">
        <is>
          <t>Multiple Issues</t>
        </is>
      </c>
      <c r="K2368" s="39" t="inlineStr">
        <is>
          <t>Holi</t>
        </is>
      </c>
      <c r="L2368" s="39" t="inlineStr">
        <is>
          <t>Maharashtra</t>
        </is>
      </c>
      <c r="M2368" s="46" t="inlineStr">
        <is>
          <t>NS</t>
        </is>
      </c>
      <c r="N2368" s="3" t="inlineStr">
        <is>
          <t>Cold Soldering</t>
        </is>
      </c>
      <c r="O2368" s="56" t="n">
        <v>575</v>
      </c>
      <c r="P2368" s="46" t="inlineStr">
        <is>
          <t>NSMI24070221772</t>
        </is>
      </c>
      <c r="Q2368" s="54">
        <f>MID(P2368,5,2)</f>
        <v/>
      </c>
      <c r="R2368" s="53">
        <f>MID(P2368,7,2)</f>
        <v/>
      </c>
      <c r="S2368" s="3" t="inlineStr">
        <is>
          <t>G2G</t>
        </is>
      </c>
      <c r="T2368" s="3" t="inlineStr">
        <is>
          <t>P4</t>
        </is>
      </c>
      <c r="U2368" s="3" t="inlineStr">
        <is>
          <t>N JB Cold Soldering</t>
        </is>
      </c>
      <c r="V2368" s="3" t="inlineStr">
        <is>
          <t>Soldering</t>
        </is>
      </c>
      <c r="W2368" s="3" t="inlineStr">
        <is>
          <t>Repair</t>
        </is>
      </c>
      <c r="X2368" s="18" t="n">
        <v>46170</v>
      </c>
      <c r="Y2368" s="3">
        <f>X2368-A2368</f>
        <v/>
      </c>
      <c r="Z2368" s="18" t="n">
        <v>46170</v>
      </c>
      <c r="AA2368" s="15" t="n"/>
      <c r="AB2368" s="15" t="n"/>
    </row>
    <row r="2369">
      <c r="A2369" s="37" t="n">
        <v>46143</v>
      </c>
      <c r="B2369" s="3" t="n">
        <v>2026</v>
      </c>
      <c r="C2369" s="26" t="inlineStr">
        <is>
          <t>Yanara Power</t>
        </is>
      </c>
      <c r="D2369" s="3" t="inlineStr">
        <is>
          <t>Utility and C&amp;I</t>
        </is>
      </c>
      <c r="E2369" s="3" t="n"/>
      <c r="F2369" s="3" t="inlineStr">
        <is>
          <t>Closed</t>
        </is>
      </c>
      <c r="G2369" s="9" t="inlineStr">
        <is>
          <t xml:space="preserve">Ashish Jindal </t>
        </is>
      </c>
      <c r="H2369" s="26" t="n">
        <v>9983975581</v>
      </c>
      <c r="I2369" s="38" t="inlineStr">
        <is>
          <t>PE01052601</t>
        </is>
      </c>
      <c r="J2369" s="26" t="inlineStr">
        <is>
          <t>Multiple Issues</t>
        </is>
      </c>
      <c r="K2369" s="39" t="inlineStr">
        <is>
          <t>Holi</t>
        </is>
      </c>
      <c r="L2369" s="39" t="inlineStr">
        <is>
          <t>Maharashtra</t>
        </is>
      </c>
      <c r="M2369" s="46" t="inlineStr">
        <is>
          <t>PS</t>
        </is>
      </c>
      <c r="N2369" s="3" t="inlineStr">
        <is>
          <t>Cold Soldering</t>
        </is>
      </c>
      <c r="O2369" s="56" t="n">
        <v>575</v>
      </c>
      <c r="P2369" s="46" t="inlineStr">
        <is>
          <t>NSMI24070165427</t>
        </is>
      </c>
      <c r="Q2369" s="54">
        <f>MID(P2369,5,2)</f>
        <v/>
      </c>
      <c r="R2369" s="53">
        <f>MID(P2369,7,2)</f>
        <v/>
      </c>
      <c r="S2369" s="3" t="inlineStr">
        <is>
          <t>G2G</t>
        </is>
      </c>
      <c r="T2369" s="3" t="inlineStr">
        <is>
          <t>P4</t>
        </is>
      </c>
      <c r="U2369" s="19" t="inlineStr">
        <is>
          <t>P JB Cold Soldering</t>
        </is>
      </c>
      <c r="V2369" s="19" t="inlineStr">
        <is>
          <t>Soldering</t>
        </is>
      </c>
      <c r="W2369" s="3" t="inlineStr">
        <is>
          <t>Repair</t>
        </is>
      </c>
      <c r="X2369" s="18" t="n">
        <v>46170</v>
      </c>
      <c r="Y2369" s="3">
        <f>X2369-A2369</f>
        <v/>
      </c>
      <c r="Z2369" s="18" t="n">
        <v>46170</v>
      </c>
      <c r="AA2369" s="15" t="n"/>
      <c r="AB2369" s="15" t="n"/>
    </row>
    <row r="2370">
      <c r="A2370" s="37" t="n">
        <v>46143</v>
      </c>
      <c r="B2370" s="3" t="n">
        <v>2026</v>
      </c>
      <c r="C2370" s="26" t="inlineStr">
        <is>
          <t>Yanara Power</t>
        </is>
      </c>
      <c r="D2370" s="3" t="inlineStr">
        <is>
          <t>Utility and C&amp;I</t>
        </is>
      </c>
      <c r="E2370" s="3" t="n"/>
      <c r="F2370" s="3" t="inlineStr">
        <is>
          <t>Closed</t>
        </is>
      </c>
      <c r="G2370" s="9" t="inlineStr">
        <is>
          <t xml:space="preserve">Ashish Jindal </t>
        </is>
      </c>
      <c r="H2370" s="26" t="n">
        <v>9983975581</v>
      </c>
      <c r="I2370" s="38" t="inlineStr">
        <is>
          <t>PE01052601</t>
        </is>
      </c>
      <c r="J2370" s="26" t="inlineStr">
        <is>
          <t>Multiple Issues</t>
        </is>
      </c>
      <c r="K2370" s="39" t="inlineStr">
        <is>
          <t>Holi</t>
        </is>
      </c>
      <c r="L2370" s="39" t="inlineStr">
        <is>
          <t>Maharashtra</t>
        </is>
      </c>
      <c r="M2370" s="46" t="inlineStr">
        <is>
          <t>PS</t>
        </is>
      </c>
      <c r="N2370" s="3" t="inlineStr">
        <is>
          <t>Cold Soldering</t>
        </is>
      </c>
      <c r="O2370" s="56" t="n">
        <v>575</v>
      </c>
      <c r="P2370" s="46" t="inlineStr">
        <is>
          <t>NSMI24070165521</t>
        </is>
      </c>
      <c r="Q2370" s="54">
        <f>MID(P2370,5,2)</f>
        <v/>
      </c>
      <c r="R2370" s="53">
        <f>MID(P2370,7,2)</f>
        <v/>
      </c>
      <c r="S2370" s="3" t="inlineStr">
        <is>
          <t>G2G</t>
        </is>
      </c>
      <c r="T2370" s="3" t="inlineStr">
        <is>
          <t>P4</t>
        </is>
      </c>
      <c r="U2370" s="19" t="inlineStr">
        <is>
          <t>P JB Cold Soldering</t>
        </is>
      </c>
      <c r="V2370" s="19" t="inlineStr">
        <is>
          <t>Soldering</t>
        </is>
      </c>
      <c r="W2370" s="3" t="inlineStr">
        <is>
          <t>Repair</t>
        </is>
      </c>
      <c r="X2370" s="18" t="n">
        <v>46170</v>
      </c>
      <c r="Y2370" s="3">
        <f>X2370-A2370</f>
        <v/>
      </c>
      <c r="Z2370" s="18" t="n">
        <v>46170</v>
      </c>
      <c r="AA2370" s="15" t="n"/>
      <c r="AB2370" s="15" t="n"/>
    </row>
    <row r="2371">
      <c r="A2371" s="37" t="n">
        <v>46143</v>
      </c>
      <c r="B2371" s="3" t="n">
        <v>2026</v>
      </c>
      <c r="C2371" s="26" t="inlineStr">
        <is>
          <t>Yanara Power</t>
        </is>
      </c>
      <c r="D2371" s="3" t="inlineStr">
        <is>
          <t>Utility and C&amp;I</t>
        </is>
      </c>
      <c r="E2371" s="3" t="n"/>
      <c r="F2371" s="3" t="inlineStr">
        <is>
          <t>Closed</t>
        </is>
      </c>
      <c r="G2371" s="9" t="inlineStr">
        <is>
          <t xml:space="preserve">Ashish Jindal </t>
        </is>
      </c>
      <c r="H2371" s="26" t="n">
        <v>9983975581</v>
      </c>
      <c r="I2371" s="38" t="inlineStr">
        <is>
          <t>PE01052601</t>
        </is>
      </c>
      <c r="J2371" s="26" t="inlineStr">
        <is>
          <t>Multiple Issues</t>
        </is>
      </c>
      <c r="K2371" s="39" t="inlineStr">
        <is>
          <t>Holi</t>
        </is>
      </c>
      <c r="L2371" s="39" t="inlineStr">
        <is>
          <t>Maharashtra</t>
        </is>
      </c>
      <c r="M2371" s="46" t="inlineStr">
        <is>
          <t>PS</t>
        </is>
      </c>
      <c r="N2371" s="3" t="inlineStr">
        <is>
          <t>Cold Soldering</t>
        </is>
      </c>
      <c r="O2371" s="56" t="n">
        <v>575</v>
      </c>
      <c r="P2371" s="46" t="inlineStr">
        <is>
          <t>NSMI24070165457</t>
        </is>
      </c>
      <c r="Q2371" s="54">
        <f>MID(P2371,5,2)</f>
        <v/>
      </c>
      <c r="R2371" s="53">
        <f>MID(P2371,7,2)</f>
        <v/>
      </c>
      <c r="S2371" s="3" t="inlineStr">
        <is>
          <t>G2G</t>
        </is>
      </c>
      <c r="T2371" s="3" t="inlineStr">
        <is>
          <t>P4</t>
        </is>
      </c>
      <c r="U2371" s="19" t="inlineStr">
        <is>
          <t>P JB Cold Soldering</t>
        </is>
      </c>
      <c r="V2371" s="19" t="inlineStr">
        <is>
          <t>Soldering</t>
        </is>
      </c>
      <c r="W2371" s="3" t="inlineStr">
        <is>
          <t>Repair</t>
        </is>
      </c>
      <c r="X2371" s="18" t="n">
        <v>46170</v>
      </c>
      <c r="Y2371" s="3">
        <f>X2371-A2371</f>
        <v/>
      </c>
      <c r="Z2371" s="18" t="n">
        <v>46170</v>
      </c>
      <c r="AA2371" s="15" t="n"/>
      <c r="AB2371" s="15" t="n"/>
    </row>
    <row r="2372">
      <c r="A2372" s="37" t="n">
        <v>46143</v>
      </c>
      <c r="B2372" s="3" t="n">
        <v>2026</v>
      </c>
      <c r="C2372" s="26" t="inlineStr">
        <is>
          <t>Yanara Power</t>
        </is>
      </c>
      <c r="D2372" s="3" t="inlineStr">
        <is>
          <t>Utility and C&amp;I</t>
        </is>
      </c>
      <c r="E2372" s="3" t="n"/>
      <c r="F2372" s="3" t="inlineStr">
        <is>
          <t>Closed</t>
        </is>
      </c>
      <c r="G2372" s="9" t="inlineStr">
        <is>
          <t xml:space="preserve">Ashish Jindal </t>
        </is>
      </c>
      <c r="H2372" s="26" t="n">
        <v>9983975581</v>
      </c>
      <c r="I2372" s="38" t="inlineStr">
        <is>
          <t>PE01052601</t>
        </is>
      </c>
      <c r="J2372" s="26" t="inlineStr">
        <is>
          <t>Multiple Issues</t>
        </is>
      </c>
      <c r="K2372" s="39" t="inlineStr">
        <is>
          <t>Holi</t>
        </is>
      </c>
      <c r="L2372" s="39" t="inlineStr">
        <is>
          <t>Maharashtra</t>
        </is>
      </c>
      <c r="M2372" s="46" t="inlineStr">
        <is>
          <t>PR</t>
        </is>
      </c>
      <c r="N2372" s="3" t="inlineStr">
        <is>
          <t>JB Issue</t>
        </is>
      </c>
      <c r="O2372" s="56" t="n">
        <v>575</v>
      </c>
      <c r="P2372" s="46" t="inlineStr">
        <is>
          <t>NSMI24070166093</t>
        </is>
      </c>
      <c r="Q2372" s="54">
        <f>MID(P2372,5,2)</f>
        <v/>
      </c>
      <c r="R2372" s="53">
        <f>MID(P2372,7,2)</f>
        <v/>
      </c>
      <c r="S2372" s="3" t="inlineStr">
        <is>
          <t>G2G</t>
        </is>
      </c>
      <c r="T2372" s="3" t="inlineStr">
        <is>
          <t>P4</t>
        </is>
      </c>
      <c r="U2372" s="3" t="inlineStr">
        <is>
          <t>P JB Issue</t>
        </is>
      </c>
      <c r="V2372" s="15" t="inlineStr">
        <is>
          <t>JB Changed</t>
        </is>
      </c>
      <c r="W2372" s="3" t="inlineStr">
        <is>
          <t>Repair</t>
        </is>
      </c>
      <c r="X2372" s="18" t="n">
        <v>46170</v>
      </c>
      <c r="Y2372" s="3">
        <f>X2372-A2372</f>
        <v/>
      </c>
      <c r="Z2372" s="18" t="n">
        <v>46170</v>
      </c>
      <c r="AA2372" s="15" t="n"/>
      <c r="AB2372" s="15" t="n"/>
    </row>
    <row r="2373">
      <c r="A2373" s="37" t="n">
        <v>46143</v>
      </c>
      <c r="B2373" s="3" t="n">
        <v>2026</v>
      </c>
      <c r="C2373" s="26" t="inlineStr">
        <is>
          <t>Yanara Power</t>
        </is>
      </c>
      <c r="D2373" s="3" t="inlineStr">
        <is>
          <t>Utility and C&amp;I</t>
        </is>
      </c>
      <c r="E2373" s="3" t="n"/>
      <c r="F2373" s="3" t="inlineStr">
        <is>
          <t>Closed</t>
        </is>
      </c>
      <c r="G2373" s="9" t="inlineStr">
        <is>
          <t xml:space="preserve">Ashish Jindal </t>
        </is>
      </c>
      <c r="H2373" s="26" t="n">
        <v>9983975581</v>
      </c>
      <c r="I2373" s="38" t="inlineStr">
        <is>
          <t>PE01052601</t>
        </is>
      </c>
      <c r="J2373" s="26" t="inlineStr">
        <is>
          <t>Multiple Issues</t>
        </is>
      </c>
      <c r="K2373" s="39" t="inlineStr">
        <is>
          <t>Holi</t>
        </is>
      </c>
      <c r="L2373" s="39" t="inlineStr">
        <is>
          <t>Maharashtra</t>
        </is>
      </c>
      <c r="M2373" s="46" t="inlineStr">
        <is>
          <t>NR</t>
        </is>
      </c>
      <c r="N2373" s="3" t="inlineStr">
        <is>
          <t>JB Issue</t>
        </is>
      </c>
      <c r="O2373" s="56" t="n">
        <v>575</v>
      </c>
      <c r="P2373" s="46" t="inlineStr">
        <is>
          <t>NSMI24070165999</t>
        </is>
      </c>
      <c r="Q2373" s="54">
        <f>MID(P2373,5,2)</f>
        <v/>
      </c>
      <c r="R2373" s="53">
        <f>MID(P2373,7,2)</f>
        <v/>
      </c>
      <c r="S2373" s="3" t="inlineStr">
        <is>
          <t>G2G</t>
        </is>
      </c>
      <c r="T2373" s="3" t="inlineStr">
        <is>
          <t>P4</t>
        </is>
      </c>
      <c r="U2373" s="3" t="inlineStr">
        <is>
          <t>N JB Issue</t>
        </is>
      </c>
      <c r="V2373" s="3" t="inlineStr">
        <is>
          <t>JB Changed</t>
        </is>
      </c>
      <c r="W2373" s="3" t="inlineStr">
        <is>
          <t>Repair</t>
        </is>
      </c>
      <c r="X2373" s="18" t="n">
        <v>46170</v>
      </c>
      <c r="Y2373" s="3">
        <f>X2373-A2373</f>
        <v/>
      </c>
      <c r="Z2373" s="18" t="n">
        <v>46170</v>
      </c>
      <c r="AA2373" s="15" t="n"/>
      <c r="AB2373" s="15" t="n"/>
    </row>
    <row r="2374">
      <c r="A2374" s="37" t="n">
        <v>46143</v>
      </c>
      <c r="B2374" s="3" t="n">
        <v>2026</v>
      </c>
      <c r="C2374" s="26" t="inlineStr">
        <is>
          <t>Yanara Power</t>
        </is>
      </c>
      <c r="D2374" s="3" t="inlineStr">
        <is>
          <t>Utility and C&amp;I</t>
        </is>
      </c>
      <c r="E2374" s="3" t="n"/>
      <c r="F2374" s="3" t="inlineStr">
        <is>
          <t>Closed</t>
        </is>
      </c>
      <c r="G2374" s="9" t="inlineStr">
        <is>
          <t xml:space="preserve">Ashish Jindal </t>
        </is>
      </c>
      <c r="H2374" s="26" t="n">
        <v>9983975581</v>
      </c>
      <c r="I2374" s="38" t="inlineStr">
        <is>
          <t>PE01052601</t>
        </is>
      </c>
      <c r="J2374" s="26" t="inlineStr">
        <is>
          <t>Multiple Issues</t>
        </is>
      </c>
      <c r="K2374" s="39" t="inlineStr">
        <is>
          <t>Holi</t>
        </is>
      </c>
      <c r="L2374" s="39" t="inlineStr">
        <is>
          <t>Maharashtra</t>
        </is>
      </c>
      <c r="M2374" s="46" t="inlineStr">
        <is>
          <t>PNS</t>
        </is>
      </c>
      <c r="N2374" s="3" t="inlineStr">
        <is>
          <t>Cold Soldering</t>
        </is>
      </c>
      <c r="O2374" s="56" t="n">
        <v>575</v>
      </c>
      <c r="P2374" s="46" t="inlineStr">
        <is>
          <t>NSMI24070204402</t>
        </is>
      </c>
      <c r="Q2374" s="54">
        <f>MID(P2374,5,2)</f>
        <v/>
      </c>
      <c r="R2374" s="53">
        <f>MID(P2374,7,2)</f>
        <v/>
      </c>
      <c r="S2374" s="3" t="inlineStr">
        <is>
          <t>G2G</t>
        </is>
      </c>
      <c r="T2374" s="3" t="inlineStr">
        <is>
          <t>P4</t>
        </is>
      </c>
      <c r="U2374" s="3" t="inlineStr">
        <is>
          <t>P &amp; N JB Cold Soldering</t>
        </is>
      </c>
      <c r="V2374" s="3" t="inlineStr">
        <is>
          <t>Soldering</t>
        </is>
      </c>
      <c r="W2374" s="3" t="inlineStr">
        <is>
          <t>Repair</t>
        </is>
      </c>
      <c r="X2374" s="18" t="n">
        <v>46170</v>
      </c>
      <c r="Y2374" s="3">
        <f>X2374-A2374</f>
        <v/>
      </c>
      <c r="Z2374" s="18" t="n">
        <v>46170</v>
      </c>
      <c r="AA2374" s="15" t="n"/>
      <c r="AB2374" s="15" t="n"/>
    </row>
    <row r="2375">
      <c r="A2375" s="37" t="n">
        <v>46143</v>
      </c>
      <c r="B2375" s="3" t="n">
        <v>2026</v>
      </c>
      <c r="C2375" s="26" t="inlineStr">
        <is>
          <t>Yanara Power</t>
        </is>
      </c>
      <c r="D2375" s="3" t="inlineStr">
        <is>
          <t>Utility and C&amp;I</t>
        </is>
      </c>
      <c r="E2375" s="3" t="n"/>
      <c r="F2375" s="3" t="inlineStr">
        <is>
          <t>Closed</t>
        </is>
      </c>
      <c r="G2375" s="9" t="inlineStr">
        <is>
          <t xml:space="preserve">Ashish Jindal </t>
        </is>
      </c>
      <c r="H2375" s="26" t="n">
        <v>9983975581</v>
      </c>
      <c r="I2375" s="38" t="inlineStr">
        <is>
          <t>PE01052601</t>
        </is>
      </c>
      <c r="J2375" s="26" t="inlineStr">
        <is>
          <t>Multiple Issues</t>
        </is>
      </c>
      <c r="K2375" s="39" t="inlineStr">
        <is>
          <t>Holi</t>
        </is>
      </c>
      <c r="L2375" s="39" t="inlineStr">
        <is>
          <t>Maharashtra</t>
        </is>
      </c>
      <c r="M2375" s="46" t="inlineStr">
        <is>
          <t>PS</t>
        </is>
      </c>
      <c r="N2375" s="3" t="inlineStr">
        <is>
          <t>Cold Soldering</t>
        </is>
      </c>
      <c r="O2375" s="56" t="n">
        <v>575</v>
      </c>
      <c r="P2375" s="46" t="inlineStr">
        <is>
          <t>NSMI24070204462</t>
        </is>
      </c>
      <c r="Q2375" s="54">
        <f>MID(P2375,5,2)</f>
        <v/>
      </c>
      <c r="R2375" s="53">
        <f>MID(P2375,7,2)</f>
        <v/>
      </c>
      <c r="S2375" s="3" t="inlineStr">
        <is>
          <t>G2G</t>
        </is>
      </c>
      <c r="T2375" s="3" t="inlineStr">
        <is>
          <t>P4</t>
        </is>
      </c>
      <c r="U2375" s="19" t="inlineStr">
        <is>
          <t>P JB Cold Soldering</t>
        </is>
      </c>
      <c r="V2375" s="19" t="inlineStr">
        <is>
          <t>Soldering</t>
        </is>
      </c>
      <c r="W2375" s="3" t="inlineStr">
        <is>
          <t>Repair</t>
        </is>
      </c>
      <c r="X2375" s="18" t="n">
        <v>46170</v>
      </c>
      <c r="Y2375" s="3">
        <f>X2375-A2375</f>
        <v/>
      </c>
      <c r="Z2375" s="18" t="n">
        <v>46170</v>
      </c>
      <c r="AA2375" s="15" t="n"/>
      <c r="AB2375" s="15" t="n"/>
    </row>
    <row r="2376">
      <c r="A2376" s="37" t="n">
        <v>46143</v>
      </c>
      <c r="B2376" s="3" t="n">
        <v>2026</v>
      </c>
      <c r="C2376" s="26" t="inlineStr">
        <is>
          <t>Yanara Power</t>
        </is>
      </c>
      <c r="D2376" s="3" t="inlineStr">
        <is>
          <t>Utility and C&amp;I</t>
        </is>
      </c>
      <c r="E2376" s="3" t="n"/>
      <c r="F2376" s="3" t="inlineStr">
        <is>
          <t>Closed</t>
        </is>
      </c>
      <c r="G2376" s="9" t="inlineStr">
        <is>
          <t xml:space="preserve">Ashish Jindal </t>
        </is>
      </c>
      <c r="H2376" s="26" t="n">
        <v>9983975581</v>
      </c>
      <c r="I2376" s="38" t="inlineStr">
        <is>
          <t>PE01052601</t>
        </is>
      </c>
      <c r="J2376" s="26" t="inlineStr">
        <is>
          <t>Multiple Issues</t>
        </is>
      </c>
      <c r="K2376" s="39" t="inlineStr">
        <is>
          <t>Holi</t>
        </is>
      </c>
      <c r="L2376" s="39" t="inlineStr">
        <is>
          <t>Maharashtra</t>
        </is>
      </c>
      <c r="M2376" s="46" t="inlineStr">
        <is>
          <t>PS</t>
        </is>
      </c>
      <c r="N2376" s="3" t="inlineStr">
        <is>
          <t>Cold Soldering</t>
        </is>
      </c>
      <c r="O2376" s="56" t="n">
        <v>575</v>
      </c>
      <c r="P2376" s="46" t="inlineStr">
        <is>
          <t>NSMI24070178514</t>
        </is>
      </c>
      <c r="Q2376" s="54">
        <f>MID(P2376,5,2)</f>
        <v/>
      </c>
      <c r="R2376" s="53">
        <f>MID(P2376,7,2)</f>
        <v/>
      </c>
      <c r="S2376" s="3" t="inlineStr">
        <is>
          <t>G2G</t>
        </is>
      </c>
      <c r="T2376" s="3" t="inlineStr">
        <is>
          <t>P4</t>
        </is>
      </c>
      <c r="U2376" s="19" t="inlineStr">
        <is>
          <t>P JB Cold Soldering</t>
        </is>
      </c>
      <c r="V2376" s="19" t="inlineStr">
        <is>
          <t>Soldering</t>
        </is>
      </c>
      <c r="W2376" s="3" t="inlineStr">
        <is>
          <t>Repair</t>
        </is>
      </c>
      <c r="X2376" s="18" t="n">
        <v>46170</v>
      </c>
      <c r="Y2376" s="3">
        <f>X2376-A2376</f>
        <v/>
      </c>
      <c r="Z2376" s="18" t="n">
        <v>46170</v>
      </c>
      <c r="AA2376" s="15" t="n"/>
      <c r="AB2376" s="15" t="n"/>
    </row>
    <row r="2377">
      <c r="A2377" s="37" t="n">
        <v>46143</v>
      </c>
      <c r="B2377" s="3" t="n">
        <v>2026</v>
      </c>
      <c r="C2377" s="26" t="inlineStr">
        <is>
          <t>Yanara Power</t>
        </is>
      </c>
      <c r="D2377" s="3" t="inlineStr">
        <is>
          <t>Utility and C&amp;I</t>
        </is>
      </c>
      <c r="E2377" s="3" t="n"/>
      <c r="F2377" s="3" t="inlineStr">
        <is>
          <t>Closed</t>
        </is>
      </c>
      <c r="G2377" s="9" t="inlineStr">
        <is>
          <t xml:space="preserve">Ashish Jindal </t>
        </is>
      </c>
      <c r="H2377" s="26" t="n">
        <v>9983975581</v>
      </c>
      <c r="I2377" s="38" t="inlineStr">
        <is>
          <t>PE01052601</t>
        </is>
      </c>
      <c r="J2377" s="26" t="inlineStr">
        <is>
          <t>Multiple Issues</t>
        </is>
      </c>
      <c r="K2377" s="39" t="inlineStr">
        <is>
          <t>Holi</t>
        </is>
      </c>
      <c r="L2377" s="39" t="inlineStr">
        <is>
          <t>Maharashtra</t>
        </is>
      </c>
      <c r="M2377" s="46" t="inlineStr">
        <is>
          <t>PS</t>
        </is>
      </c>
      <c r="N2377" s="3" t="inlineStr">
        <is>
          <t>Cold Soldering</t>
        </is>
      </c>
      <c r="O2377" s="56" t="n">
        <v>575</v>
      </c>
      <c r="P2377" s="46" t="inlineStr">
        <is>
          <t>NSMI24070204266</t>
        </is>
      </c>
      <c r="Q2377" s="54">
        <f>MID(P2377,5,2)</f>
        <v/>
      </c>
      <c r="R2377" s="53">
        <f>MID(P2377,7,2)</f>
        <v/>
      </c>
      <c r="S2377" s="3" t="inlineStr">
        <is>
          <t>G2G</t>
        </is>
      </c>
      <c r="T2377" s="3" t="inlineStr">
        <is>
          <t>P4</t>
        </is>
      </c>
      <c r="U2377" s="19" t="inlineStr">
        <is>
          <t>P JB Cold Soldering</t>
        </is>
      </c>
      <c r="V2377" s="19" t="inlineStr">
        <is>
          <t>Soldering</t>
        </is>
      </c>
      <c r="W2377" s="3" t="inlineStr">
        <is>
          <t>Repair</t>
        </is>
      </c>
      <c r="X2377" s="18" t="n">
        <v>46170</v>
      </c>
      <c r="Y2377" s="3">
        <f>X2377-A2377</f>
        <v/>
      </c>
      <c r="Z2377" s="18" t="n">
        <v>46170</v>
      </c>
      <c r="AA2377" s="15" t="n"/>
      <c r="AB2377" s="15" t="n"/>
    </row>
    <row r="2378">
      <c r="A2378" s="37" t="n">
        <v>46143</v>
      </c>
      <c r="B2378" s="3" t="n">
        <v>2026</v>
      </c>
      <c r="C2378" s="26" t="inlineStr">
        <is>
          <t>Yanara Power</t>
        </is>
      </c>
      <c r="D2378" s="3" t="inlineStr">
        <is>
          <t>Utility and C&amp;I</t>
        </is>
      </c>
      <c r="E2378" s="3" t="n"/>
      <c r="F2378" s="3" t="inlineStr">
        <is>
          <t>Closed</t>
        </is>
      </c>
      <c r="G2378" s="9" t="inlineStr">
        <is>
          <t xml:space="preserve">Ashish Jindal </t>
        </is>
      </c>
      <c r="H2378" s="26" t="n">
        <v>9983975581</v>
      </c>
      <c r="I2378" s="38" t="inlineStr">
        <is>
          <t>PE01052601</t>
        </is>
      </c>
      <c r="J2378" s="26" t="inlineStr">
        <is>
          <t>Multiple Issues</t>
        </is>
      </c>
      <c r="K2378" s="39" t="inlineStr">
        <is>
          <t>Holi</t>
        </is>
      </c>
      <c r="L2378" s="39" t="inlineStr">
        <is>
          <t>Maharashtra</t>
        </is>
      </c>
      <c r="M2378" s="46" t="inlineStr">
        <is>
          <t>NS</t>
        </is>
      </c>
      <c r="N2378" s="3" t="inlineStr">
        <is>
          <t>Cold Soldering</t>
        </is>
      </c>
      <c r="O2378" s="56" t="n">
        <v>575</v>
      </c>
      <c r="P2378" s="46" t="inlineStr">
        <is>
          <t>NSMI24070218893</t>
        </is>
      </c>
      <c r="Q2378" s="54">
        <f>MID(P2378,5,2)</f>
        <v/>
      </c>
      <c r="R2378" s="53">
        <f>MID(P2378,7,2)</f>
        <v/>
      </c>
      <c r="S2378" s="3" t="inlineStr">
        <is>
          <t>G2G</t>
        </is>
      </c>
      <c r="T2378" s="3" t="inlineStr">
        <is>
          <t>P4</t>
        </is>
      </c>
      <c r="U2378" s="3" t="inlineStr">
        <is>
          <t>N JB Cold Soldering</t>
        </is>
      </c>
      <c r="V2378" s="3" t="inlineStr">
        <is>
          <t>Soldering</t>
        </is>
      </c>
      <c r="W2378" s="3" t="inlineStr">
        <is>
          <t>Repair</t>
        </is>
      </c>
      <c r="X2378" s="18" t="n">
        <v>46170</v>
      </c>
      <c r="Y2378" s="3">
        <f>X2378-A2378</f>
        <v/>
      </c>
      <c r="Z2378" s="18" t="n">
        <v>46170</v>
      </c>
      <c r="AA2378" s="15" t="n"/>
      <c r="AB2378" s="15" t="n"/>
    </row>
    <row r="2379">
      <c r="A2379" s="37" t="n">
        <v>46143</v>
      </c>
      <c r="B2379" s="3" t="n">
        <v>2026</v>
      </c>
      <c r="C2379" s="26" t="inlineStr">
        <is>
          <t>Yanara Power</t>
        </is>
      </c>
      <c r="D2379" s="3" t="inlineStr">
        <is>
          <t>Utility and C&amp;I</t>
        </is>
      </c>
      <c r="E2379" s="3" t="n"/>
      <c r="F2379" s="3" t="inlineStr">
        <is>
          <t>Closed</t>
        </is>
      </c>
      <c r="G2379" s="9" t="inlineStr">
        <is>
          <t xml:space="preserve">Ashish Jindal </t>
        </is>
      </c>
      <c r="H2379" s="26" t="n">
        <v>9983975581</v>
      </c>
      <c r="I2379" s="38" t="inlineStr">
        <is>
          <t>PE01052601</t>
        </is>
      </c>
      <c r="J2379" s="26" t="inlineStr">
        <is>
          <t>Multiple Issues</t>
        </is>
      </c>
      <c r="K2379" s="39" t="inlineStr">
        <is>
          <t>Holi</t>
        </is>
      </c>
      <c r="L2379" s="39" t="inlineStr">
        <is>
          <t>Maharashtra</t>
        </is>
      </c>
      <c r="M2379" s="46" t="inlineStr">
        <is>
          <t>NS</t>
        </is>
      </c>
      <c r="N2379" s="3" t="inlineStr">
        <is>
          <t>Cold Soldering</t>
        </is>
      </c>
      <c r="O2379" s="56" t="n">
        <v>575</v>
      </c>
      <c r="P2379" s="46" t="inlineStr">
        <is>
          <t>NSMI24070218519</t>
        </is>
      </c>
      <c r="Q2379" s="54">
        <f>MID(P2379,5,2)</f>
        <v/>
      </c>
      <c r="R2379" s="53">
        <f>MID(P2379,7,2)</f>
        <v/>
      </c>
      <c r="S2379" s="3" t="inlineStr">
        <is>
          <t>G2G</t>
        </is>
      </c>
      <c r="T2379" s="3" t="inlineStr">
        <is>
          <t>P4</t>
        </is>
      </c>
      <c r="U2379" s="3" t="inlineStr">
        <is>
          <t>N JB Cold Soldering</t>
        </is>
      </c>
      <c r="V2379" s="3" t="inlineStr">
        <is>
          <t>Soldering</t>
        </is>
      </c>
      <c r="W2379" s="3" t="inlineStr">
        <is>
          <t>Repair</t>
        </is>
      </c>
      <c r="X2379" s="18" t="n">
        <v>46170</v>
      </c>
      <c r="Y2379" s="3">
        <f>X2379-A2379</f>
        <v/>
      </c>
      <c r="Z2379" s="18" t="n">
        <v>46170</v>
      </c>
      <c r="AA2379" s="15" t="n"/>
      <c r="AB2379" s="15" t="n"/>
    </row>
    <row r="2380">
      <c r="A2380" s="37" t="n">
        <v>46143</v>
      </c>
      <c r="B2380" s="3" t="n">
        <v>2026</v>
      </c>
      <c r="C2380" s="26" t="inlineStr">
        <is>
          <t>Yanara Power</t>
        </is>
      </c>
      <c r="D2380" s="3" t="inlineStr">
        <is>
          <t>Utility and C&amp;I</t>
        </is>
      </c>
      <c r="E2380" s="3" t="n"/>
      <c r="F2380" s="3" t="inlineStr">
        <is>
          <t>Closed</t>
        </is>
      </c>
      <c r="G2380" s="9" t="inlineStr">
        <is>
          <t xml:space="preserve">Ashish Jindal </t>
        </is>
      </c>
      <c r="H2380" s="26" t="n">
        <v>9983975581</v>
      </c>
      <c r="I2380" s="38" t="inlineStr">
        <is>
          <t>PE01052601</t>
        </is>
      </c>
      <c r="J2380" s="26" t="inlineStr">
        <is>
          <t>Multiple Issues</t>
        </is>
      </c>
      <c r="K2380" s="39" t="inlineStr">
        <is>
          <t>Holi</t>
        </is>
      </c>
      <c r="L2380" s="39" t="inlineStr">
        <is>
          <t>Maharashtra</t>
        </is>
      </c>
      <c r="M2380" s="46" t="inlineStr">
        <is>
          <t>NS</t>
        </is>
      </c>
      <c r="N2380" s="3" t="inlineStr">
        <is>
          <t>Cold Soldering</t>
        </is>
      </c>
      <c r="O2380" s="56" t="n">
        <v>575</v>
      </c>
      <c r="P2380" s="46" t="inlineStr">
        <is>
          <t>NSMI24070218522</t>
        </is>
      </c>
      <c r="Q2380" s="54">
        <f>MID(P2380,5,2)</f>
        <v/>
      </c>
      <c r="R2380" s="53">
        <f>MID(P2380,7,2)</f>
        <v/>
      </c>
      <c r="S2380" s="3" t="inlineStr">
        <is>
          <t>G2G</t>
        </is>
      </c>
      <c r="T2380" s="3" t="inlineStr">
        <is>
          <t>P4</t>
        </is>
      </c>
      <c r="U2380" s="3" t="inlineStr">
        <is>
          <t>N JB Cold Soldering</t>
        </is>
      </c>
      <c r="V2380" s="3" t="inlineStr">
        <is>
          <t>Soldering</t>
        </is>
      </c>
      <c r="W2380" s="3" t="inlineStr">
        <is>
          <t>Repair</t>
        </is>
      </c>
      <c r="X2380" s="18" t="n">
        <v>46170</v>
      </c>
      <c r="Y2380" s="3">
        <f>X2380-A2380</f>
        <v/>
      </c>
      <c r="Z2380" s="18" t="n">
        <v>46170</v>
      </c>
      <c r="AA2380" s="15" t="n"/>
      <c r="AB2380" s="15" t="n"/>
    </row>
    <row r="2381">
      <c r="A2381" s="37" t="n">
        <v>46143</v>
      </c>
      <c r="B2381" s="3" t="n">
        <v>2026</v>
      </c>
      <c r="C2381" s="26" t="inlineStr">
        <is>
          <t>Yanara Power</t>
        </is>
      </c>
      <c r="D2381" s="3" t="inlineStr">
        <is>
          <t>Utility and C&amp;I</t>
        </is>
      </c>
      <c r="E2381" s="3" t="n"/>
      <c r="F2381" s="3" t="inlineStr">
        <is>
          <t>Closed</t>
        </is>
      </c>
      <c r="G2381" s="9" t="inlineStr">
        <is>
          <t xml:space="preserve">Ashish Jindal </t>
        </is>
      </c>
      <c r="H2381" s="26" t="n">
        <v>9983975581</v>
      </c>
      <c r="I2381" s="38" t="inlineStr">
        <is>
          <t>PE01052601</t>
        </is>
      </c>
      <c r="J2381" s="26" t="inlineStr">
        <is>
          <t>Multiple Issues</t>
        </is>
      </c>
      <c r="K2381" s="39" t="inlineStr">
        <is>
          <t>Holi</t>
        </is>
      </c>
      <c r="L2381" s="39" t="inlineStr">
        <is>
          <t>Maharashtra</t>
        </is>
      </c>
      <c r="M2381" s="46" t="inlineStr">
        <is>
          <t>NS</t>
        </is>
      </c>
      <c r="N2381" s="3" t="inlineStr">
        <is>
          <t>Cold Soldering</t>
        </is>
      </c>
      <c r="O2381" s="56" t="n">
        <v>575</v>
      </c>
      <c r="P2381" s="46" t="inlineStr">
        <is>
          <t>NSMI24070241486</t>
        </is>
      </c>
      <c r="Q2381" s="54">
        <f>MID(P2381,5,2)</f>
        <v/>
      </c>
      <c r="R2381" s="53">
        <f>MID(P2381,7,2)</f>
        <v/>
      </c>
      <c r="S2381" s="3" t="inlineStr">
        <is>
          <t>G2G</t>
        </is>
      </c>
      <c r="T2381" s="3" t="inlineStr">
        <is>
          <t>P4</t>
        </is>
      </c>
      <c r="U2381" s="3" t="inlineStr">
        <is>
          <t>N JB Cold Soldering</t>
        </is>
      </c>
      <c r="V2381" s="3" t="inlineStr">
        <is>
          <t>Soldering</t>
        </is>
      </c>
      <c r="W2381" s="3" t="inlineStr">
        <is>
          <t>Repair</t>
        </is>
      </c>
      <c r="X2381" s="18" t="n">
        <v>46170</v>
      </c>
      <c r="Y2381" s="3">
        <f>X2381-A2381</f>
        <v/>
      </c>
      <c r="Z2381" s="18" t="n">
        <v>46170</v>
      </c>
      <c r="AA2381" s="15" t="n"/>
      <c r="AB2381" s="15" t="n"/>
    </row>
    <row r="2382">
      <c r="A2382" s="37" t="n">
        <v>46143</v>
      </c>
      <c r="B2382" s="3" t="n">
        <v>2026</v>
      </c>
      <c r="C2382" s="26" t="inlineStr">
        <is>
          <t>Yanara Power</t>
        </is>
      </c>
      <c r="D2382" s="3" t="inlineStr">
        <is>
          <t>Utility and C&amp;I</t>
        </is>
      </c>
      <c r="E2382" s="3" t="n"/>
      <c r="F2382" s="3" t="inlineStr">
        <is>
          <t>Closed</t>
        </is>
      </c>
      <c r="G2382" s="9" t="inlineStr">
        <is>
          <t xml:space="preserve">Ashish Jindal </t>
        </is>
      </c>
      <c r="H2382" s="26" t="n">
        <v>9983975581</v>
      </c>
      <c r="I2382" s="38" t="inlineStr">
        <is>
          <t>PE01052601</t>
        </is>
      </c>
      <c r="J2382" s="26" t="inlineStr">
        <is>
          <t>Multiple Issues</t>
        </is>
      </c>
      <c r="K2382" s="39" t="inlineStr">
        <is>
          <t>Holi</t>
        </is>
      </c>
      <c r="L2382" s="39" t="inlineStr">
        <is>
          <t>Maharashtra</t>
        </is>
      </c>
      <c r="M2382" s="46" t="inlineStr">
        <is>
          <t>PS</t>
        </is>
      </c>
      <c r="N2382" s="3" t="inlineStr">
        <is>
          <t>Cold Soldering</t>
        </is>
      </c>
      <c r="O2382" s="56" t="n">
        <v>575</v>
      </c>
      <c r="P2382" s="46" t="inlineStr">
        <is>
          <t>NSMI24070241501</t>
        </is>
      </c>
      <c r="Q2382" s="54">
        <f>MID(P2382,5,2)</f>
        <v/>
      </c>
      <c r="R2382" s="53">
        <f>MID(P2382,7,2)</f>
        <v/>
      </c>
      <c r="S2382" s="3" t="inlineStr">
        <is>
          <t>G2G</t>
        </is>
      </c>
      <c r="T2382" s="3" t="inlineStr">
        <is>
          <t>P4</t>
        </is>
      </c>
      <c r="U2382" s="19" t="inlineStr">
        <is>
          <t>P JB Cold Soldering</t>
        </is>
      </c>
      <c r="V2382" s="19" t="inlineStr">
        <is>
          <t>Soldering</t>
        </is>
      </c>
      <c r="W2382" s="3" t="inlineStr">
        <is>
          <t>Repair</t>
        </is>
      </c>
      <c r="X2382" s="18" t="n">
        <v>46170</v>
      </c>
      <c r="Y2382" s="3">
        <f>X2382-A2382</f>
        <v/>
      </c>
      <c r="Z2382" s="18" t="n">
        <v>46170</v>
      </c>
      <c r="AA2382" s="15" t="n"/>
      <c r="AB2382" s="15" t="n"/>
    </row>
    <row r="2383">
      <c r="A2383" s="37" t="n">
        <v>46143</v>
      </c>
      <c r="B2383" s="3" t="n">
        <v>2026</v>
      </c>
      <c r="C2383" s="26" t="inlineStr">
        <is>
          <t>Yanara Power</t>
        </is>
      </c>
      <c r="D2383" s="3" t="inlineStr">
        <is>
          <t>Utility and C&amp;I</t>
        </is>
      </c>
      <c r="E2383" s="3" t="n"/>
      <c r="F2383" s="3" t="inlineStr">
        <is>
          <t>Closed</t>
        </is>
      </c>
      <c r="G2383" s="9" t="inlineStr">
        <is>
          <t xml:space="preserve">Ashish Jindal </t>
        </is>
      </c>
      <c r="H2383" s="26" t="n">
        <v>9983975581</v>
      </c>
      <c r="I2383" s="38" t="inlineStr">
        <is>
          <t>PE01052601</t>
        </is>
      </c>
      <c r="J2383" s="26" t="inlineStr">
        <is>
          <t>Multiple Issues</t>
        </is>
      </c>
      <c r="K2383" s="39" t="inlineStr">
        <is>
          <t>Holi</t>
        </is>
      </c>
      <c r="L2383" s="39" t="inlineStr">
        <is>
          <t>Maharashtra</t>
        </is>
      </c>
      <c r="M2383" s="46" t="inlineStr">
        <is>
          <t>PS</t>
        </is>
      </c>
      <c r="N2383" s="3" t="inlineStr">
        <is>
          <t>Cold Soldering</t>
        </is>
      </c>
      <c r="O2383" s="56" t="n">
        <v>575</v>
      </c>
      <c r="P2383" s="46" t="inlineStr">
        <is>
          <t>NSMI24070218883</t>
        </is>
      </c>
      <c r="Q2383" s="54">
        <f>MID(P2383,5,2)</f>
        <v/>
      </c>
      <c r="R2383" s="53">
        <f>MID(P2383,7,2)</f>
        <v/>
      </c>
      <c r="S2383" s="3" t="inlineStr">
        <is>
          <t>G2G</t>
        </is>
      </c>
      <c r="T2383" s="3" t="inlineStr">
        <is>
          <t>P4</t>
        </is>
      </c>
      <c r="U2383" s="19" t="inlineStr">
        <is>
          <t>P JB Cold Soldering</t>
        </is>
      </c>
      <c r="V2383" s="19" t="inlineStr">
        <is>
          <t>Soldering</t>
        </is>
      </c>
      <c r="W2383" s="3" t="inlineStr">
        <is>
          <t>Repair</t>
        </is>
      </c>
      <c r="X2383" s="18" t="n">
        <v>46170</v>
      </c>
      <c r="Y2383" s="3">
        <f>X2383-A2383</f>
        <v/>
      </c>
      <c r="Z2383" s="18" t="n">
        <v>46170</v>
      </c>
      <c r="AA2383" s="15" t="n"/>
      <c r="AB2383" s="15" t="n"/>
    </row>
    <row r="2384">
      <c r="A2384" s="37" t="n">
        <v>46143</v>
      </c>
      <c r="B2384" s="3" t="n">
        <v>2026</v>
      </c>
      <c r="C2384" s="26" t="inlineStr">
        <is>
          <t>Yanara Power</t>
        </is>
      </c>
      <c r="D2384" s="3" t="inlineStr">
        <is>
          <t>Utility and C&amp;I</t>
        </is>
      </c>
      <c r="E2384" s="3" t="n"/>
      <c r="F2384" s="3" t="inlineStr">
        <is>
          <t>Closed</t>
        </is>
      </c>
      <c r="G2384" s="9" t="inlineStr">
        <is>
          <t xml:space="preserve">Ashish Jindal </t>
        </is>
      </c>
      <c r="H2384" s="26" t="n">
        <v>9983975581</v>
      </c>
      <c r="I2384" s="38" t="inlineStr">
        <is>
          <t>PE01052601</t>
        </is>
      </c>
      <c r="J2384" s="26" t="inlineStr">
        <is>
          <t>Multiple Issues</t>
        </is>
      </c>
      <c r="K2384" s="39" t="inlineStr">
        <is>
          <t>Holi</t>
        </is>
      </c>
      <c r="L2384" s="39" t="inlineStr">
        <is>
          <t>Maharashtra</t>
        </is>
      </c>
      <c r="M2384" s="46" t="inlineStr">
        <is>
          <t>PS</t>
        </is>
      </c>
      <c r="N2384" s="3" t="inlineStr">
        <is>
          <t>Cold Soldering</t>
        </is>
      </c>
      <c r="O2384" s="56" t="n">
        <v>575</v>
      </c>
      <c r="P2384" s="46" t="inlineStr">
        <is>
          <t>NSMI24070218878</t>
        </is>
      </c>
      <c r="Q2384" s="54">
        <f>MID(P2384,5,2)</f>
        <v/>
      </c>
      <c r="R2384" s="53">
        <f>MID(P2384,7,2)</f>
        <v/>
      </c>
      <c r="S2384" s="3" t="inlineStr">
        <is>
          <t>G2G</t>
        </is>
      </c>
      <c r="T2384" s="3" t="inlineStr">
        <is>
          <t>P4</t>
        </is>
      </c>
      <c r="U2384" s="19" t="inlineStr">
        <is>
          <t>P JB Cold Soldering</t>
        </is>
      </c>
      <c r="V2384" s="19" t="inlineStr">
        <is>
          <t>Soldering</t>
        </is>
      </c>
      <c r="W2384" s="3" t="inlineStr">
        <is>
          <t>Repair</t>
        </is>
      </c>
      <c r="X2384" s="18" t="n">
        <v>46170</v>
      </c>
      <c r="Y2384" s="3">
        <f>X2384-A2384</f>
        <v/>
      </c>
      <c r="Z2384" s="18" t="n">
        <v>46170</v>
      </c>
      <c r="AA2384" s="15" t="n"/>
      <c r="AB2384" s="15" t="n"/>
    </row>
    <row r="2385">
      <c r="A2385" s="37" t="n">
        <v>46143</v>
      </c>
      <c r="B2385" s="3" t="n">
        <v>2026</v>
      </c>
      <c r="C2385" s="26" t="inlineStr">
        <is>
          <t>Yanara Power</t>
        </is>
      </c>
      <c r="D2385" s="3" t="inlineStr">
        <is>
          <t>Utility and C&amp;I</t>
        </is>
      </c>
      <c r="E2385" s="3" t="n"/>
      <c r="F2385" s="3" t="inlineStr">
        <is>
          <t>Closed</t>
        </is>
      </c>
      <c r="G2385" s="9" t="inlineStr">
        <is>
          <t xml:space="preserve">Ashish Jindal </t>
        </is>
      </c>
      <c r="H2385" s="26" t="n">
        <v>9983975581</v>
      </c>
      <c r="I2385" s="38" t="inlineStr">
        <is>
          <t>PE01052601</t>
        </is>
      </c>
      <c r="J2385" s="26" t="inlineStr">
        <is>
          <t>Multiple Issues</t>
        </is>
      </c>
      <c r="K2385" s="39" t="inlineStr">
        <is>
          <t>Holi</t>
        </is>
      </c>
      <c r="L2385" s="39" t="inlineStr">
        <is>
          <t>Maharashtra</t>
        </is>
      </c>
      <c r="M2385" s="46" t="inlineStr">
        <is>
          <t>PS</t>
        </is>
      </c>
      <c r="N2385" s="3" t="inlineStr">
        <is>
          <t>Cold Soldering</t>
        </is>
      </c>
      <c r="O2385" s="56" t="n">
        <v>575</v>
      </c>
      <c r="P2385" s="46" t="inlineStr">
        <is>
          <t>NSMI24070180252</t>
        </is>
      </c>
      <c r="Q2385" s="54">
        <f>MID(P2385,5,2)</f>
        <v/>
      </c>
      <c r="R2385" s="53">
        <f>MID(P2385,7,2)</f>
        <v/>
      </c>
      <c r="S2385" s="3" t="inlineStr">
        <is>
          <t>G2G</t>
        </is>
      </c>
      <c r="T2385" s="3" t="inlineStr">
        <is>
          <t>P4</t>
        </is>
      </c>
      <c r="U2385" s="19" t="inlineStr">
        <is>
          <t>P JB Cold Soldering</t>
        </is>
      </c>
      <c r="V2385" s="19" t="inlineStr">
        <is>
          <t>Soldering</t>
        </is>
      </c>
      <c r="W2385" s="3" t="inlineStr">
        <is>
          <t>Repair</t>
        </is>
      </c>
      <c r="X2385" s="18" t="n">
        <v>46170</v>
      </c>
      <c r="Y2385" s="3">
        <f>X2385-A2385</f>
        <v/>
      </c>
      <c r="Z2385" s="18" t="n">
        <v>46170</v>
      </c>
      <c r="AA2385" s="15" t="n"/>
      <c r="AB2385" s="15" t="n"/>
    </row>
    <row r="2386">
      <c r="A2386" s="37" t="n">
        <v>46143</v>
      </c>
      <c r="B2386" s="3" t="n">
        <v>2026</v>
      </c>
      <c r="C2386" s="26" t="inlineStr">
        <is>
          <t>Yanara Power</t>
        </is>
      </c>
      <c r="D2386" s="3" t="inlineStr">
        <is>
          <t>Utility and C&amp;I</t>
        </is>
      </c>
      <c r="E2386" s="3" t="n"/>
      <c r="F2386" s="3" t="inlineStr">
        <is>
          <t>Closed</t>
        </is>
      </c>
      <c r="G2386" s="9" t="inlineStr">
        <is>
          <t xml:space="preserve">Ashish Jindal </t>
        </is>
      </c>
      <c r="H2386" s="26" t="n">
        <v>9983975581</v>
      </c>
      <c r="I2386" s="38" t="inlineStr">
        <is>
          <t>PE01052601</t>
        </is>
      </c>
      <c r="J2386" s="26" t="inlineStr">
        <is>
          <t>Multiple Issues</t>
        </is>
      </c>
      <c r="K2386" s="39" t="inlineStr">
        <is>
          <t>Holi</t>
        </is>
      </c>
      <c r="L2386" s="39" t="inlineStr">
        <is>
          <t>Maharashtra</t>
        </is>
      </c>
      <c r="M2386" s="46" t="inlineStr">
        <is>
          <t>PS</t>
        </is>
      </c>
      <c r="N2386" s="3" t="inlineStr">
        <is>
          <t>Cold Soldering</t>
        </is>
      </c>
      <c r="O2386" s="56" t="n">
        <v>575</v>
      </c>
      <c r="P2386" s="46" t="inlineStr">
        <is>
          <t>NSMI24070224759</t>
        </is>
      </c>
      <c r="Q2386" s="54">
        <f>MID(P2386,5,2)</f>
        <v/>
      </c>
      <c r="R2386" s="53">
        <f>MID(P2386,7,2)</f>
        <v/>
      </c>
      <c r="S2386" s="3" t="inlineStr">
        <is>
          <t>G2G</t>
        </is>
      </c>
      <c r="T2386" s="3" t="inlineStr">
        <is>
          <t>P4</t>
        </is>
      </c>
      <c r="U2386" s="19" t="inlineStr">
        <is>
          <t>P JB Cold Soldering</t>
        </is>
      </c>
      <c r="V2386" s="19" t="inlineStr">
        <is>
          <t>Soldering</t>
        </is>
      </c>
      <c r="W2386" s="3" t="inlineStr">
        <is>
          <t>Repair</t>
        </is>
      </c>
      <c r="X2386" s="18" t="n">
        <v>46170</v>
      </c>
      <c r="Y2386" s="3">
        <f>X2386-A2386</f>
        <v/>
      </c>
      <c r="Z2386" s="18" t="n">
        <v>46170</v>
      </c>
      <c r="AA2386" s="15" t="n"/>
      <c r="AB2386" s="15" t="n"/>
    </row>
    <row r="2387">
      <c r="A2387" s="37" t="n">
        <v>46143</v>
      </c>
      <c r="B2387" s="3" t="n">
        <v>2026</v>
      </c>
      <c r="C2387" s="26" t="inlineStr">
        <is>
          <t>Yanara Power</t>
        </is>
      </c>
      <c r="D2387" s="3" t="inlineStr">
        <is>
          <t>Utility and C&amp;I</t>
        </is>
      </c>
      <c r="E2387" s="3" t="n"/>
      <c r="F2387" s="3" t="inlineStr">
        <is>
          <t>Closed</t>
        </is>
      </c>
      <c r="G2387" s="9" t="inlineStr">
        <is>
          <t xml:space="preserve">Ashish Jindal </t>
        </is>
      </c>
      <c r="H2387" s="26" t="n">
        <v>9983975581</v>
      </c>
      <c r="I2387" s="38" t="inlineStr">
        <is>
          <t>PE01052601</t>
        </is>
      </c>
      <c r="J2387" s="26" t="inlineStr">
        <is>
          <t>Multiple Issues</t>
        </is>
      </c>
      <c r="K2387" s="39" t="inlineStr">
        <is>
          <t>Holi</t>
        </is>
      </c>
      <c r="L2387" s="39" t="inlineStr">
        <is>
          <t>Maharashtra</t>
        </is>
      </c>
      <c r="M2387" s="46" t="inlineStr">
        <is>
          <t>PS</t>
        </is>
      </c>
      <c r="N2387" s="3" t="inlineStr">
        <is>
          <t>Cold Soldering</t>
        </is>
      </c>
      <c r="O2387" s="56" t="n">
        <v>575</v>
      </c>
      <c r="P2387" s="46" t="inlineStr">
        <is>
          <t>NSMI24070224756</t>
        </is>
      </c>
      <c r="Q2387" s="54">
        <f>MID(P2387,5,2)</f>
        <v/>
      </c>
      <c r="R2387" s="53">
        <f>MID(P2387,7,2)</f>
        <v/>
      </c>
      <c r="S2387" s="3" t="inlineStr">
        <is>
          <t>G2G</t>
        </is>
      </c>
      <c r="T2387" s="3" t="inlineStr">
        <is>
          <t>P4</t>
        </is>
      </c>
      <c r="U2387" s="19" t="inlineStr">
        <is>
          <t>P JB Cold Soldering</t>
        </is>
      </c>
      <c r="V2387" s="19" t="inlineStr">
        <is>
          <t>Soldering</t>
        </is>
      </c>
      <c r="W2387" s="3" t="inlineStr">
        <is>
          <t>Repair</t>
        </is>
      </c>
      <c r="X2387" s="18" t="n">
        <v>46170</v>
      </c>
      <c r="Y2387" s="3">
        <f>X2387-A2387</f>
        <v/>
      </c>
      <c r="Z2387" s="18" t="n">
        <v>46170</v>
      </c>
      <c r="AA2387" s="15" t="n"/>
      <c r="AB2387" s="15" t="n"/>
    </row>
    <row r="2388">
      <c r="A2388" s="37" t="n">
        <v>46143</v>
      </c>
      <c r="B2388" s="3" t="n">
        <v>2026</v>
      </c>
      <c r="C2388" s="26" t="inlineStr">
        <is>
          <t>Yanara Power</t>
        </is>
      </c>
      <c r="D2388" s="3" t="inlineStr">
        <is>
          <t>Utility and C&amp;I</t>
        </is>
      </c>
      <c r="E2388" s="3" t="n"/>
      <c r="F2388" s="3" t="inlineStr">
        <is>
          <t>Closed</t>
        </is>
      </c>
      <c r="G2388" s="9" t="inlineStr">
        <is>
          <t xml:space="preserve">Ashish Jindal </t>
        </is>
      </c>
      <c r="H2388" s="26" t="n">
        <v>9983975581</v>
      </c>
      <c r="I2388" s="38" t="inlineStr">
        <is>
          <t>PE01052601</t>
        </is>
      </c>
      <c r="J2388" s="26" t="inlineStr">
        <is>
          <t>Multiple Issues</t>
        </is>
      </c>
      <c r="K2388" s="39" t="inlineStr">
        <is>
          <t>Holi</t>
        </is>
      </c>
      <c r="L2388" s="39" t="inlineStr">
        <is>
          <t>Maharashtra</t>
        </is>
      </c>
      <c r="M2388" s="46" t="inlineStr">
        <is>
          <t>PS</t>
        </is>
      </c>
      <c r="N2388" s="3" t="inlineStr">
        <is>
          <t>Cold Soldering</t>
        </is>
      </c>
      <c r="O2388" s="56" t="n">
        <v>575</v>
      </c>
      <c r="P2388" s="46" t="inlineStr">
        <is>
          <t>NSMI24070199962</t>
        </is>
      </c>
      <c r="Q2388" s="54">
        <f>MID(P2388,5,2)</f>
        <v/>
      </c>
      <c r="R2388" s="53">
        <f>MID(P2388,7,2)</f>
        <v/>
      </c>
      <c r="S2388" s="3" t="inlineStr">
        <is>
          <t>G2G</t>
        </is>
      </c>
      <c r="T2388" s="3" t="inlineStr">
        <is>
          <t>P4</t>
        </is>
      </c>
      <c r="U2388" s="19" t="inlineStr">
        <is>
          <t>P JB Cold Soldering</t>
        </is>
      </c>
      <c r="V2388" s="19" t="inlineStr">
        <is>
          <t>Soldering</t>
        </is>
      </c>
      <c r="W2388" s="3" t="inlineStr">
        <is>
          <t>Repair</t>
        </is>
      </c>
      <c r="X2388" s="18" t="n">
        <v>46170</v>
      </c>
      <c r="Y2388" s="3">
        <f>X2388-A2388</f>
        <v/>
      </c>
      <c r="Z2388" s="18" t="n">
        <v>46170</v>
      </c>
      <c r="AA2388" s="15" t="n"/>
      <c r="AB2388" s="15" t="n"/>
    </row>
    <row r="2389">
      <c r="A2389" s="37" t="n">
        <v>46143</v>
      </c>
      <c r="B2389" s="3" t="n">
        <v>2026</v>
      </c>
      <c r="C2389" s="26" t="inlineStr">
        <is>
          <t>Yanara Power</t>
        </is>
      </c>
      <c r="D2389" s="3" t="inlineStr">
        <is>
          <t>Utility and C&amp;I</t>
        </is>
      </c>
      <c r="E2389" s="3" t="n"/>
      <c r="F2389" s="3" t="inlineStr">
        <is>
          <t>Closed</t>
        </is>
      </c>
      <c r="G2389" s="9" t="inlineStr">
        <is>
          <t xml:space="preserve">Ashish Jindal </t>
        </is>
      </c>
      <c r="H2389" s="26" t="n">
        <v>9983975581</v>
      </c>
      <c r="I2389" s="38" t="inlineStr">
        <is>
          <t>PE01052601</t>
        </is>
      </c>
      <c r="J2389" s="26" t="inlineStr">
        <is>
          <t>Multiple Issues</t>
        </is>
      </c>
      <c r="K2389" s="39" t="inlineStr">
        <is>
          <t>Holi</t>
        </is>
      </c>
      <c r="L2389" s="39" t="inlineStr">
        <is>
          <t>Maharashtra</t>
        </is>
      </c>
      <c r="M2389" s="46" t="inlineStr">
        <is>
          <t>NS</t>
        </is>
      </c>
      <c r="N2389" s="3" t="inlineStr">
        <is>
          <t>Cold Soldering</t>
        </is>
      </c>
      <c r="O2389" s="56" t="n">
        <v>575</v>
      </c>
      <c r="P2389" s="46" t="inlineStr">
        <is>
          <t>NSMI24070203459</t>
        </is>
      </c>
      <c r="Q2389" s="54">
        <f>MID(P2389,5,2)</f>
        <v/>
      </c>
      <c r="R2389" s="53">
        <f>MID(P2389,7,2)</f>
        <v/>
      </c>
      <c r="S2389" s="3" t="inlineStr">
        <is>
          <t>G2G</t>
        </is>
      </c>
      <c r="T2389" s="3" t="inlineStr">
        <is>
          <t>P4</t>
        </is>
      </c>
      <c r="U2389" s="3" t="inlineStr">
        <is>
          <t>N JB Cold Soldering</t>
        </is>
      </c>
      <c r="V2389" s="3" t="inlineStr">
        <is>
          <t>Soldering</t>
        </is>
      </c>
      <c r="W2389" s="3" t="inlineStr">
        <is>
          <t>Repair</t>
        </is>
      </c>
      <c r="X2389" s="18" t="n">
        <v>46170</v>
      </c>
      <c r="Y2389" s="3">
        <f>X2389-A2389</f>
        <v/>
      </c>
      <c r="Z2389" s="18" t="n">
        <v>46170</v>
      </c>
      <c r="AA2389" s="15" t="n"/>
      <c r="AB2389" s="15" t="n"/>
    </row>
    <row r="2390">
      <c r="A2390" s="37" t="n">
        <v>46143</v>
      </c>
      <c r="B2390" s="3" t="n">
        <v>2026</v>
      </c>
      <c r="C2390" s="26" t="inlineStr">
        <is>
          <t>Yanara Power</t>
        </is>
      </c>
      <c r="D2390" s="3" t="inlineStr">
        <is>
          <t>Utility and C&amp;I</t>
        </is>
      </c>
      <c r="E2390" s="3" t="n"/>
      <c r="F2390" s="3" t="inlineStr">
        <is>
          <t>Closed</t>
        </is>
      </c>
      <c r="G2390" s="9" t="inlineStr">
        <is>
          <t xml:space="preserve">Ashish Jindal </t>
        </is>
      </c>
      <c r="H2390" s="26" t="n">
        <v>9983975581</v>
      </c>
      <c r="I2390" s="38" t="inlineStr">
        <is>
          <t>PE01052601</t>
        </is>
      </c>
      <c r="J2390" s="26" t="inlineStr">
        <is>
          <t>Multiple Issues</t>
        </is>
      </c>
      <c r="K2390" s="39" t="inlineStr">
        <is>
          <t>Holi</t>
        </is>
      </c>
      <c r="L2390" s="39" t="inlineStr">
        <is>
          <t>Maharashtra</t>
        </is>
      </c>
      <c r="M2390" s="46" t="inlineStr">
        <is>
          <t>PS</t>
        </is>
      </c>
      <c r="N2390" s="3" t="inlineStr">
        <is>
          <t>Cold Soldering</t>
        </is>
      </c>
      <c r="O2390" s="56" t="n">
        <v>575</v>
      </c>
      <c r="P2390" s="46" t="inlineStr">
        <is>
          <t>NSMI24070220064</t>
        </is>
      </c>
      <c r="Q2390" s="54">
        <f>MID(P2390,5,2)</f>
        <v/>
      </c>
      <c r="R2390" s="53">
        <f>MID(P2390,7,2)</f>
        <v/>
      </c>
      <c r="S2390" s="3" t="inlineStr">
        <is>
          <t>G2G</t>
        </is>
      </c>
      <c r="T2390" s="3" t="inlineStr">
        <is>
          <t>P4</t>
        </is>
      </c>
      <c r="U2390" s="19" t="inlineStr">
        <is>
          <t>P JB Cold Soldering</t>
        </is>
      </c>
      <c r="V2390" s="19" t="inlineStr">
        <is>
          <t>Soldering</t>
        </is>
      </c>
      <c r="W2390" s="3" t="inlineStr">
        <is>
          <t>Repair</t>
        </is>
      </c>
      <c r="X2390" s="18" t="n">
        <v>46170</v>
      </c>
      <c r="Y2390" s="3">
        <f>X2390-A2390</f>
        <v/>
      </c>
      <c r="Z2390" s="18" t="n">
        <v>46170</v>
      </c>
      <c r="AA2390" s="15" t="n"/>
      <c r="AB2390" s="15" t="n"/>
    </row>
    <row r="2391">
      <c r="A2391" s="37" t="n">
        <v>46143</v>
      </c>
      <c r="B2391" s="3" t="n">
        <v>2026</v>
      </c>
      <c r="C2391" s="26" t="inlineStr">
        <is>
          <t>Yanara Power</t>
        </is>
      </c>
      <c r="D2391" s="3" t="inlineStr">
        <is>
          <t>Utility and C&amp;I</t>
        </is>
      </c>
      <c r="E2391" s="3" t="n"/>
      <c r="F2391" s="3" t="inlineStr">
        <is>
          <t>Closed</t>
        </is>
      </c>
      <c r="G2391" s="9" t="inlineStr">
        <is>
          <t xml:space="preserve">Ashish Jindal </t>
        </is>
      </c>
      <c r="H2391" s="26" t="n">
        <v>9983975581</v>
      </c>
      <c r="I2391" s="38" t="inlineStr">
        <is>
          <t>PE01052601</t>
        </is>
      </c>
      <c r="J2391" s="26" t="inlineStr">
        <is>
          <t>Multiple Issues</t>
        </is>
      </c>
      <c r="K2391" s="39" t="inlineStr">
        <is>
          <t>Holi</t>
        </is>
      </c>
      <c r="L2391" s="39" t="inlineStr">
        <is>
          <t>Maharashtra</t>
        </is>
      </c>
      <c r="M2391" s="46" t="inlineStr">
        <is>
          <t>NS</t>
        </is>
      </c>
      <c r="N2391" s="3" t="inlineStr">
        <is>
          <t>Cold Soldering</t>
        </is>
      </c>
      <c r="O2391" s="56" t="n">
        <v>575</v>
      </c>
      <c r="P2391" s="46" t="inlineStr">
        <is>
          <t>NSMI24070234212</t>
        </is>
      </c>
      <c r="Q2391" s="54">
        <f>MID(P2391,5,2)</f>
        <v/>
      </c>
      <c r="R2391" s="53">
        <f>MID(P2391,7,2)</f>
        <v/>
      </c>
      <c r="S2391" s="3" t="inlineStr">
        <is>
          <t>G2G</t>
        </is>
      </c>
      <c r="T2391" s="3" t="inlineStr">
        <is>
          <t>P4</t>
        </is>
      </c>
      <c r="U2391" s="3" t="inlineStr">
        <is>
          <t>N JB Cold Soldering</t>
        </is>
      </c>
      <c r="V2391" s="3" t="inlineStr">
        <is>
          <t>Soldering</t>
        </is>
      </c>
      <c r="W2391" s="3" t="inlineStr">
        <is>
          <t>Repair</t>
        </is>
      </c>
      <c r="X2391" s="18" t="n">
        <v>46170</v>
      </c>
      <c r="Y2391" s="3">
        <f>X2391-A2391</f>
        <v/>
      </c>
      <c r="Z2391" s="18" t="n">
        <v>46170</v>
      </c>
      <c r="AA2391" s="15" t="n"/>
      <c r="AB2391" s="15" t="n"/>
    </row>
    <row r="2392">
      <c r="A2392" s="37" t="n">
        <v>46143</v>
      </c>
      <c r="B2392" s="3" t="n">
        <v>2026</v>
      </c>
      <c r="C2392" s="26" t="inlineStr">
        <is>
          <t>Yanara Power</t>
        </is>
      </c>
      <c r="D2392" s="3" t="inlineStr">
        <is>
          <t>Utility and C&amp;I</t>
        </is>
      </c>
      <c r="E2392" s="3" t="n"/>
      <c r="F2392" s="3" t="inlineStr">
        <is>
          <t>Closed</t>
        </is>
      </c>
      <c r="G2392" s="9" t="inlineStr">
        <is>
          <t xml:space="preserve">Ashish Jindal </t>
        </is>
      </c>
      <c r="H2392" s="26" t="n">
        <v>9983975581</v>
      </c>
      <c r="I2392" s="38" t="inlineStr">
        <is>
          <t>PE01052601</t>
        </is>
      </c>
      <c r="J2392" s="26" t="inlineStr">
        <is>
          <t>Multiple Issues</t>
        </is>
      </c>
      <c r="K2392" s="39" t="inlineStr">
        <is>
          <t>Holi</t>
        </is>
      </c>
      <c r="L2392" s="39" t="inlineStr">
        <is>
          <t>Maharashtra</t>
        </is>
      </c>
      <c r="M2392" s="46" t="inlineStr">
        <is>
          <t>PS</t>
        </is>
      </c>
      <c r="N2392" s="3" t="inlineStr">
        <is>
          <t>Cold Soldering</t>
        </is>
      </c>
      <c r="O2392" s="56" t="n">
        <v>575</v>
      </c>
      <c r="P2392" s="46" t="inlineStr">
        <is>
          <t>NSMI24070176388</t>
        </is>
      </c>
      <c r="Q2392" s="54">
        <f>MID(P2392,5,2)</f>
        <v/>
      </c>
      <c r="R2392" s="53">
        <f>MID(P2392,7,2)</f>
        <v/>
      </c>
      <c r="S2392" s="3" t="inlineStr">
        <is>
          <t>G2G</t>
        </is>
      </c>
      <c r="T2392" s="3" t="inlineStr">
        <is>
          <t>P4</t>
        </is>
      </c>
      <c r="U2392" s="19" t="inlineStr">
        <is>
          <t>P JB Cold Soldering</t>
        </is>
      </c>
      <c r="V2392" s="19" t="inlineStr">
        <is>
          <t>Soldering</t>
        </is>
      </c>
      <c r="W2392" s="3" t="inlineStr">
        <is>
          <t>Repair</t>
        </is>
      </c>
      <c r="X2392" s="18" t="n">
        <v>46170</v>
      </c>
      <c r="Y2392" s="3">
        <f>X2392-A2392</f>
        <v/>
      </c>
      <c r="Z2392" s="18" t="n">
        <v>46170</v>
      </c>
      <c r="AA2392" s="15" t="n"/>
      <c r="AB2392" s="15" t="n"/>
    </row>
    <row r="2393">
      <c r="A2393" s="37" t="n">
        <v>46143</v>
      </c>
      <c r="B2393" s="3" t="n">
        <v>2026</v>
      </c>
      <c r="C2393" s="26" t="inlineStr">
        <is>
          <t>Yanara Power</t>
        </is>
      </c>
      <c r="D2393" s="3" t="inlineStr">
        <is>
          <t>Utility and C&amp;I</t>
        </is>
      </c>
      <c r="E2393" s="3" t="n"/>
      <c r="F2393" s="3" t="inlineStr">
        <is>
          <t>Closed</t>
        </is>
      </c>
      <c r="G2393" s="9" t="inlineStr">
        <is>
          <t xml:space="preserve">Ashish Jindal </t>
        </is>
      </c>
      <c r="H2393" s="26" t="n">
        <v>9983975581</v>
      </c>
      <c r="I2393" s="38" t="inlineStr">
        <is>
          <t>PE01052601</t>
        </is>
      </c>
      <c r="J2393" s="26" t="inlineStr">
        <is>
          <t>Multiple Issues</t>
        </is>
      </c>
      <c r="K2393" s="39" t="inlineStr">
        <is>
          <t>Holi</t>
        </is>
      </c>
      <c r="L2393" s="39" t="inlineStr">
        <is>
          <t>Maharashtra</t>
        </is>
      </c>
      <c r="M2393" s="46" t="inlineStr">
        <is>
          <t>PS</t>
        </is>
      </c>
      <c r="N2393" s="3" t="inlineStr">
        <is>
          <t>Cold Soldering</t>
        </is>
      </c>
      <c r="O2393" s="56" t="n">
        <v>575</v>
      </c>
      <c r="P2393" s="46" t="inlineStr">
        <is>
          <t>NSMI24070191471</t>
        </is>
      </c>
      <c r="Q2393" s="54">
        <f>MID(P2393,5,2)</f>
        <v/>
      </c>
      <c r="R2393" s="53">
        <f>MID(P2393,7,2)</f>
        <v/>
      </c>
      <c r="S2393" s="3" t="inlineStr">
        <is>
          <t>G2G</t>
        </is>
      </c>
      <c r="T2393" s="3" t="inlineStr">
        <is>
          <t>P4</t>
        </is>
      </c>
      <c r="U2393" s="19" t="inlineStr">
        <is>
          <t>P JB Cold Soldering</t>
        </is>
      </c>
      <c r="V2393" s="19" t="inlineStr">
        <is>
          <t>Soldering</t>
        </is>
      </c>
      <c r="W2393" s="3" t="inlineStr">
        <is>
          <t>Repair</t>
        </is>
      </c>
      <c r="X2393" s="18" t="n">
        <v>46170</v>
      </c>
      <c r="Y2393" s="3">
        <f>X2393-A2393</f>
        <v/>
      </c>
      <c r="Z2393" s="18" t="n">
        <v>46170</v>
      </c>
      <c r="AA2393" s="15" t="n"/>
      <c r="AB2393" s="15" t="n"/>
    </row>
    <row r="2394">
      <c r="A2394" s="37" t="n">
        <v>46143</v>
      </c>
      <c r="B2394" s="3" t="n">
        <v>2026</v>
      </c>
      <c r="C2394" s="26" t="inlineStr">
        <is>
          <t>Yanara Power</t>
        </is>
      </c>
      <c r="D2394" s="3" t="inlineStr">
        <is>
          <t>Utility and C&amp;I</t>
        </is>
      </c>
      <c r="E2394" s="3" t="n"/>
      <c r="F2394" s="3" t="inlineStr">
        <is>
          <t>Closed</t>
        </is>
      </c>
      <c r="G2394" s="9" t="inlineStr">
        <is>
          <t xml:space="preserve">Ashish Jindal </t>
        </is>
      </c>
      <c r="H2394" s="26" t="n">
        <v>9983975581</v>
      </c>
      <c r="I2394" s="38" t="inlineStr">
        <is>
          <t>PE01052601</t>
        </is>
      </c>
      <c r="J2394" s="26" t="inlineStr">
        <is>
          <t>Multiple Issues</t>
        </is>
      </c>
      <c r="K2394" s="39" t="inlineStr">
        <is>
          <t>Holi</t>
        </is>
      </c>
      <c r="L2394" s="39" t="inlineStr">
        <is>
          <t>Maharashtra</t>
        </is>
      </c>
      <c r="M2394" s="46" t="inlineStr">
        <is>
          <t>PS</t>
        </is>
      </c>
      <c r="N2394" s="3" t="inlineStr">
        <is>
          <t>Cold Soldering</t>
        </is>
      </c>
      <c r="O2394" s="56" t="n">
        <v>575</v>
      </c>
      <c r="P2394" s="46" t="inlineStr">
        <is>
          <t>NSMI24070198760</t>
        </is>
      </c>
      <c r="Q2394" s="54">
        <f>MID(P2394,5,2)</f>
        <v/>
      </c>
      <c r="R2394" s="53">
        <f>MID(P2394,7,2)</f>
        <v/>
      </c>
      <c r="S2394" s="3" t="inlineStr">
        <is>
          <t>G2G</t>
        </is>
      </c>
      <c r="T2394" s="3" t="inlineStr">
        <is>
          <t>P4</t>
        </is>
      </c>
      <c r="U2394" s="19" t="inlineStr">
        <is>
          <t>P JB Cold Soldering</t>
        </is>
      </c>
      <c r="V2394" s="19" t="inlineStr">
        <is>
          <t>Soldering</t>
        </is>
      </c>
      <c r="W2394" s="3" t="inlineStr">
        <is>
          <t>Repair</t>
        </is>
      </c>
      <c r="X2394" s="18" t="n">
        <v>46170</v>
      </c>
      <c r="Y2394" s="3">
        <f>X2394-A2394</f>
        <v/>
      </c>
      <c r="Z2394" s="18" t="n">
        <v>46170</v>
      </c>
      <c r="AA2394" s="15" t="n"/>
      <c r="AB2394" s="15" t="n"/>
    </row>
    <row r="2395">
      <c r="A2395" s="37" t="n">
        <v>46143</v>
      </c>
      <c r="B2395" s="3" t="n">
        <v>2026</v>
      </c>
      <c r="C2395" s="26" t="inlineStr">
        <is>
          <t>Yanara Power</t>
        </is>
      </c>
      <c r="D2395" s="3" t="inlineStr">
        <is>
          <t>Utility and C&amp;I</t>
        </is>
      </c>
      <c r="E2395" s="3" t="n"/>
      <c r="F2395" s="3" t="inlineStr">
        <is>
          <t>Closed</t>
        </is>
      </c>
      <c r="G2395" s="9" t="inlineStr">
        <is>
          <t xml:space="preserve">Ashish Jindal </t>
        </is>
      </c>
      <c r="H2395" s="26" t="n">
        <v>9983975581</v>
      </c>
      <c r="I2395" s="38" t="inlineStr">
        <is>
          <t>PE01052601</t>
        </is>
      </c>
      <c r="J2395" s="26" t="inlineStr">
        <is>
          <t>Multiple Issues</t>
        </is>
      </c>
      <c r="K2395" s="39" t="inlineStr">
        <is>
          <t>Holi</t>
        </is>
      </c>
      <c r="L2395" s="39" t="inlineStr">
        <is>
          <t>Maharashtra</t>
        </is>
      </c>
      <c r="M2395" s="46" t="inlineStr">
        <is>
          <t>PNS</t>
        </is>
      </c>
      <c r="N2395" s="3" t="inlineStr">
        <is>
          <t>Cold Soldering</t>
        </is>
      </c>
      <c r="O2395" s="56" t="n">
        <v>575</v>
      </c>
      <c r="P2395" s="46" t="inlineStr">
        <is>
          <t>NSMI24070198930</t>
        </is>
      </c>
      <c r="Q2395" s="54">
        <f>MID(P2395,5,2)</f>
        <v/>
      </c>
      <c r="R2395" s="53">
        <f>MID(P2395,7,2)</f>
        <v/>
      </c>
      <c r="S2395" s="3" t="inlineStr">
        <is>
          <t>G2G</t>
        </is>
      </c>
      <c r="T2395" s="3" t="inlineStr">
        <is>
          <t>P4</t>
        </is>
      </c>
      <c r="U2395" s="3" t="inlineStr">
        <is>
          <t>P &amp; N JB Cold Soldering</t>
        </is>
      </c>
      <c r="V2395" s="3" t="inlineStr">
        <is>
          <t>Soldering</t>
        </is>
      </c>
      <c r="W2395" s="3" t="inlineStr">
        <is>
          <t>Repair</t>
        </is>
      </c>
      <c r="X2395" s="18" t="n">
        <v>46170</v>
      </c>
      <c r="Y2395" s="3">
        <f>X2395-A2395</f>
        <v/>
      </c>
      <c r="Z2395" s="18" t="n">
        <v>46170</v>
      </c>
      <c r="AA2395" s="15" t="n"/>
      <c r="AB2395" s="15" t="n"/>
    </row>
    <row r="2396">
      <c r="A2396" s="37" t="n">
        <v>46143</v>
      </c>
      <c r="B2396" s="3" t="n">
        <v>2026</v>
      </c>
      <c r="C2396" s="26" t="inlineStr">
        <is>
          <t>Yanara Power</t>
        </is>
      </c>
      <c r="D2396" s="3" t="inlineStr">
        <is>
          <t>Utility and C&amp;I</t>
        </is>
      </c>
      <c r="E2396" s="3" t="n"/>
      <c r="F2396" s="3" t="inlineStr">
        <is>
          <t>Closed</t>
        </is>
      </c>
      <c r="G2396" s="9" t="inlineStr">
        <is>
          <t xml:space="preserve">Ashish Jindal </t>
        </is>
      </c>
      <c r="H2396" s="26" t="n">
        <v>9983975581</v>
      </c>
      <c r="I2396" s="38" t="inlineStr">
        <is>
          <t>PE01052601</t>
        </is>
      </c>
      <c r="J2396" s="26" t="inlineStr">
        <is>
          <t>Multiple Issues</t>
        </is>
      </c>
      <c r="K2396" s="39" t="inlineStr">
        <is>
          <t>Holi</t>
        </is>
      </c>
      <c r="L2396" s="39" t="inlineStr">
        <is>
          <t>Maharashtra</t>
        </is>
      </c>
      <c r="M2396" s="46" t="inlineStr">
        <is>
          <t>NS</t>
        </is>
      </c>
      <c r="N2396" s="3" t="inlineStr">
        <is>
          <t>Cold Soldering</t>
        </is>
      </c>
      <c r="O2396" s="56" t="n">
        <v>575</v>
      </c>
      <c r="P2396" s="46" t="inlineStr">
        <is>
          <t>NSMI24070198956</t>
        </is>
      </c>
      <c r="Q2396" s="54">
        <f>MID(P2396,5,2)</f>
        <v/>
      </c>
      <c r="R2396" s="53">
        <f>MID(P2396,7,2)</f>
        <v/>
      </c>
      <c r="S2396" s="3" t="inlineStr">
        <is>
          <t>G2G</t>
        </is>
      </c>
      <c r="T2396" s="3" t="inlineStr">
        <is>
          <t>P4</t>
        </is>
      </c>
      <c r="U2396" s="3" t="inlineStr">
        <is>
          <t>N JB Cold Soldering</t>
        </is>
      </c>
      <c r="V2396" s="3" t="inlineStr">
        <is>
          <t>Soldering</t>
        </is>
      </c>
      <c r="W2396" s="3" t="inlineStr">
        <is>
          <t>Repair</t>
        </is>
      </c>
      <c r="X2396" s="18" t="n">
        <v>46170</v>
      </c>
      <c r="Y2396" s="3">
        <f>X2396-A2396</f>
        <v/>
      </c>
      <c r="Z2396" s="18" t="n">
        <v>46170</v>
      </c>
      <c r="AA2396" s="15" t="n"/>
      <c r="AB2396" s="15" t="n"/>
    </row>
    <row r="2397">
      <c r="A2397" s="37" t="n">
        <v>46143</v>
      </c>
      <c r="B2397" s="3" t="n">
        <v>2026</v>
      </c>
      <c r="C2397" s="26" t="inlineStr">
        <is>
          <t>Yanara Power</t>
        </is>
      </c>
      <c r="D2397" s="3" t="inlineStr">
        <is>
          <t>Utility and C&amp;I</t>
        </is>
      </c>
      <c r="E2397" s="3" t="n"/>
      <c r="F2397" s="3" t="inlineStr">
        <is>
          <t>Closed</t>
        </is>
      </c>
      <c r="G2397" s="9" t="inlineStr">
        <is>
          <t xml:space="preserve">Ashish Jindal </t>
        </is>
      </c>
      <c r="H2397" s="26" t="n">
        <v>9983975581</v>
      </c>
      <c r="I2397" s="38" t="inlineStr">
        <is>
          <t>PE01052601</t>
        </is>
      </c>
      <c r="J2397" s="26" t="inlineStr">
        <is>
          <t>Multiple Issues</t>
        </is>
      </c>
      <c r="K2397" s="39" t="inlineStr">
        <is>
          <t>Holi</t>
        </is>
      </c>
      <c r="L2397" s="39" t="inlineStr">
        <is>
          <t>Maharashtra</t>
        </is>
      </c>
      <c r="M2397" s="46" t="inlineStr">
        <is>
          <t>PS</t>
        </is>
      </c>
      <c r="N2397" s="3" t="inlineStr">
        <is>
          <t>Cold Soldering</t>
        </is>
      </c>
      <c r="O2397" s="56" t="n">
        <v>575</v>
      </c>
      <c r="P2397" s="46" t="inlineStr">
        <is>
          <t>NSMI24070240069</t>
        </is>
      </c>
      <c r="Q2397" s="54">
        <f>MID(P2397,5,2)</f>
        <v/>
      </c>
      <c r="R2397" s="53">
        <f>MID(P2397,7,2)</f>
        <v/>
      </c>
      <c r="S2397" s="3" t="inlineStr">
        <is>
          <t>G2G</t>
        </is>
      </c>
      <c r="T2397" s="3" t="inlineStr">
        <is>
          <t>P4</t>
        </is>
      </c>
      <c r="U2397" s="19" t="inlineStr">
        <is>
          <t>P JB Cold Soldering</t>
        </is>
      </c>
      <c r="V2397" s="19" t="inlineStr">
        <is>
          <t>Soldering</t>
        </is>
      </c>
      <c r="W2397" s="3" t="inlineStr">
        <is>
          <t>Repair</t>
        </is>
      </c>
      <c r="X2397" s="18" t="n">
        <v>46170</v>
      </c>
      <c r="Y2397" s="3">
        <f>X2397-A2397</f>
        <v/>
      </c>
      <c r="Z2397" s="18" t="n">
        <v>46170</v>
      </c>
      <c r="AA2397" s="15" t="n"/>
      <c r="AB2397" s="15" t="n"/>
    </row>
    <row r="2398">
      <c r="A2398" s="37" t="n">
        <v>46143</v>
      </c>
      <c r="B2398" s="3" t="n">
        <v>2026</v>
      </c>
      <c r="C2398" s="26" t="inlineStr">
        <is>
          <t>Yanara Power</t>
        </is>
      </c>
      <c r="D2398" s="3" t="inlineStr">
        <is>
          <t>Utility and C&amp;I</t>
        </is>
      </c>
      <c r="E2398" s="3" t="n"/>
      <c r="F2398" s="3" t="inlineStr">
        <is>
          <t>Closed</t>
        </is>
      </c>
      <c r="G2398" s="9" t="inlineStr">
        <is>
          <t xml:space="preserve">Ashish Jindal </t>
        </is>
      </c>
      <c r="H2398" s="26" t="n">
        <v>9983975581</v>
      </c>
      <c r="I2398" s="38" t="inlineStr">
        <is>
          <t>PE01052601</t>
        </is>
      </c>
      <c r="J2398" s="26" t="inlineStr">
        <is>
          <t>Multiple Issues</t>
        </is>
      </c>
      <c r="K2398" s="39" t="inlineStr">
        <is>
          <t>Holi</t>
        </is>
      </c>
      <c r="L2398" s="39" t="inlineStr">
        <is>
          <t>Maharashtra</t>
        </is>
      </c>
      <c r="M2398" s="46" t="inlineStr">
        <is>
          <t>PS</t>
        </is>
      </c>
      <c r="N2398" s="3" t="inlineStr">
        <is>
          <t>Cold Soldering</t>
        </is>
      </c>
      <c r="O2398" s="56" t="n">
        <v>575</v>
      </c>
      <c r="P2398" s="46" t="inlineStr">
        <is>
          <t>NSMI24070224577</t>
        </is>
      </c>
      <c r="Q2398" s="54">
        <f>MID(P2398,5,2)</f>
        <v/>
      </c>
      <c r="R2398" s="53">
        <f>MID(P2398,7,2)</f>
        <v/>
      </c>
      <c r="S2398" s="3" t="inlineStr">
        <is>
          <t>G2G</t>
        </is>
      </c>
      <c r="T2398" s="3" t="inlineStr">
        <is>
          <t>P4</t>
        </is>
      </c>
      <c r="U2398" s="19" t="inlineStr">
        <is>
          <t>P JB Cold Soldering</t>
        </is>
      </c>
      <c r="V2398" s="19" t="inlineStr">
        <is>
          <t>Soldering</t>
        </is>
      </c>
      <c r="W2398" s="3" t="inlineStr">
        <is>
          <t>Repair</t>
        </is>
      </c>
      <c r="X2398" s="18" t="n">
        <v>46170</v>
      </c>
      <c r="Y2398" s="3">
        <f>X2398-A2398</f>
        <v/>
      </c>
      <c r="Z2398" s="18" t="n">
        <v>46170</v>
      </c>
      <c r="AA2398" s="15" t="n"/>
      <c r="AB2398" s="15" t="n"/>
    </row>
    <row r="2399">
      <c r="A2399" s="37" t="n">
        <v>46143</v>
      </c>
      <c r="B2399" s="3" t="n">
        <v>2026</v>
      </c>
      <c r="C2399" s="26" t="inlineStr">
        <is>
          <t>Yanara Power</t>
        </is>
      </c>
      <c r="D2399" s="3" t="inlineStr">
        <is>
          <t>Utility and C&amp;I</t>
        </is>
      </c>
      <c r="E2399" s="3" t="n"/>
      <c r="F2399" s="3" t="inlineStr">
        <is>
          <t>Closed</t>
        </is>
      </c>
      <c r="G2399" s="9" t="inlineStr">
        <is>
          <t xml:space="preserve">Ashish Jindal </t>
        </is>
      </c>
      <c r="H2399" s="26" t="n">
        <v>9983975581</v>
      </c>
      <c r="I2399" s="38" t="inlineStr">
        <is>
          <t>PE01052601</t>
        </is>
      </c>
      <c r="J2399" s="26" t="inlineStr">
        <is>
          <t>Multiple Issues</t>
        </is>
      </c>
      <c r="K2399" s="39" t="inlineStr">
        <is>
          <t>Holi</t>
        </is>
      </c>
      <c r="L2399" s="39" t="inlineStr">
        <is>
          <t>Maharashtra</t>
        </is>
      </c>
      <c r="M2399" s="46" t="inlineStr">
        <is>
          <t>NS</t>
        </is>
      </c>
      <c r="N2399" s="3" t="inlineStr">
        <is>
          <t>Cold Soldering</t>
        </is>
      </c>
      <c r="O2399" s="56" t="n">
        <v>575</v>
      </c>
      <c r="P2399" s="46" t="inlineStr">
        <is>
          <t>NSMI24070234763</t>
        </is>
      </c>
      <c r="Q2399" s="54">
        <f>MID(P2399,5,2)</f>
        <v/>
      </c>
      <c r="R2399" s="53">
        <f>MID(P2399,7,2)</f>
        <v/>
      </c>
      <c r="S2399" s="3" t="inlineStr">
        <is>
          <t>G2G</t>
        </is>
      </c>
      <c r="T2399" s="3" t="inlineStr">
        <is>
          <t>P4</t>
        </is>
      </c>
      <c r="U2399" s="3" t="inlineStr">
        <is>
          <t>N JB Cold Soldering</t>
        </is>
      </c>
      <c r="V2399" s="3" t="inlineStr">
        <is>
          <t>Soldering</t>
        </is>
      </c>
      <c r="W2399" s="3" t="inlineStr">
        <is>
          <t>Repair</t>
        </is>
      </c>
      <c r="X2399" s="18" t="n">
        <v>46170</v>
      </c>
      <c r="Y2399" s="3">
        <f>X2399-A2399</f>
        <v/>
      </c>
      <c r="Z2399" s="18" t="n">
        <v>46170</v>
      </c>
      <c r="AA2399" s="15" t="n"/>
      <c r="AB2399" s="15" t="n"/>
    </row>
    <row r="2400">
      <c r="A2400" s="37" t="n">
        <v>46143</v>
      </c>
      <c r="B2400" s="3" t="n">
        <v>2026</v>
      </c>
      <c r="C2400" s="26" t="inlineStr">
        <is>
          <t>Yanara Power</t>
        </is>
      </c>
      <c r="D2400" s="3" t="inlineStr">
        <is>
          <t>Utility and C&amp;I</t>
        </is>
      </c>
      <c r="E2400" s="3" t="n"/>
      <c r="F2400" s="3" t="inlineStr">
        <is>
          <t>Closed</t>
        </is>
      </c>
      <c r="G2400" s="9" t="inlineStr">
        <is>
          <t xml:space="preserve">Ashish Jindal </t>
        </is>
      </c>
      <c r="H2400" s="26" t="n">
        <v>9983975581</v>
      </c>
      <c r="I2400" s="38" t="inlineStr">
        <is>
          <t>PE01052601</t>
        </is>
      </c>
      <c r="J2400" s="26" t="inlineStr">
        <is>
          <t>Multiple Issues</t>
        </is>
      </c>
      <c r="K2400" s="39" t="inlineStr">
        <is>
          <t>Holi</t>
        </is>
      </c>
      <c r="L2400" s="39" t="inlineStr">
        <is>
          <t>Maharashtra</t>
        </is>
      </c>
      <c r="M2400" s="46" t="inlineStr">
        <is>
          <t>PS</t>
        </is>
      </c>
      <c r="N2400" s="3" t="inlineStr">
        <is>
          <t>Cold Soldering</t>
        </is>
      </c>
      <c r="O2400" s="56" t="n">
        <v>575</v>
      </c>
      <c r="P2400" s="46" t="inlineStr">
        <is>
          <t>NSMI24070234711</t>
        </is>
      </c>
      <c r="Q2400" s="54">
        <f>MID(P2400,5,2)</f>
        <v/>
      </c>
      <c r="R2400" s="53">
        <f>MID(P2400,7,2)</f>
        <v/>
      </c>
      <c r="S2400" s="3" t="inlineStr">
        <is>
          <t>G2G</t>
        </is>
      </c>
      <c r="T2400" s="3" t="inlineStr">
        <is>
          <t>P4</t>
        </is>
      </c>
      <c r="U2400" s="19" t="inlineStr">
        <is>
          <t>P JB Cold Soldering</t>
        </is>
      </c>
      <c r="V2400" s="19" t="inlineStr">
        <is>
          <t>Soldering</t>
        </is>
      </c>
      <c r="W2400" s="3" t="inlineStr">
        <is>
          <t>Repair</t>
        </is>
      </c>
      <c r="X2400" s="18" t="n">
        <v>46170</v>
      </c>
      <c r="Y2400" s="3">
        <f>X2400-A2400</f>
        <v/>
      </c>
      <c r="Z2400" s="18" t="n">
        <v>46170</v>
      </c>
      <c r="AA2400" s="15" t="n"/>
      <c r="AB2400" s="15" t="n"/>
    </row>
    <row r="2401">
      <c r="A2401" s="37" t="n">
        <v>46143</v>
      </c>
      <c r="B2401" s="3" t="n">
        <v>2026</v>
      </c>
      <c r="C2401" s="26" t="inlineStr">
        <is>
          <t>Yanara Power</t>
        </is>
      </c>
      <c r="D2401" s="3" t="inlineStr">
        <is>
          <t>Utility and C&amp;I</t>
        </is>
      </c>
      <c r="E2401" s="3" t="n"/>
      <c r="F2401" s="3" t="inlineStr">
        <is>
          <t>Closed</t>
        </is>
      </c>
      <c r="G2401" s="9" t="inlineStr">
        <is>
          <t xml:space="preserve">Ashish Jindal </t>
        </is>
      </c>
      <c r="H2401" s="26" t="n">
        <v>9983975581</v>
      </c>
      <c r="I2401" s="38" t="inlineStr">
        <is>
          <t>PE01052601</t>
        </is>
      </c>
      <c r="J2401" s="26" t="inlineStr">
        <is>
          <t>Multiple Issues</t>
        </is>
      </c>
      <c r="K2401" s="39" t="inlineStr">
        <is>
          <t>Holi</t>
        </is>
      </c>
      <c r="L2401" s="39" t="inlineStr">
        <is>
          <t>Maharashtra</t>
        </is>
      </c>
      <c r="M2401" s="46" t="inlineStr">
        <is>
          <t>PS</t>
        </is>
      </c>
      <c r="N2401" s="3" t="inlineStr">
        <is>
          <t>Cold Soldering</t>
        </is>
      </c>
      <c r="O2401" s="56" t="n">
        <v>575</v>
      </c>
      <c r="P2401" s="46" t="inlineStr">
        <is>
          <t>NSMI24070189426</t>
        </is>
      </c>
      <c r="Q2401" s="54">
        <f>MID(P2401,5,2)</f>
        <v/>
      </c>
      <c r="R2401" s="53">
        <f>MID(P2401,7,2)</f>
        <v/>
      </c>
      <c r="S2401" s="3" t="inlineStr">
        <is>
          <t>G2G</t>
        </is>
      </c>
      <c r="T2401" s="3" t="inlineStr">
        <is>
          <t>P4</t>
        </is>
      </c>
      <c r="U2401" s="19" t="inlineStr">
        <is>
          <t>P JB Cold Soldering</t>
        </is>
      </c>
      <c r="V2401" s="19" t="inlineStr">
        <is>
          <t>Soldering</t>
        </is>
      </c>
      <c r="W2401" s="3" t="inlineStr">
        <is>
          <t>Repair</t>
        </is>
      </c>
      <c r="X2401" s="18" t="n">
        <v>46170</v>
      </c>
      <c r="Y2401" s="3">
        <f>X2401-A2401</f>
        <v/>
      </c>
      <c r="Z2401" s="18" t="n">
        <v>46170</v>
      </c>
      <c r="AA2401" s="15" t="n"/>
      <c r="AB2401" s="15" t="n"/>
    </row>
    <row r="2402">
      <c r="A2402" s="37" t="n">
        <v>46143</v>
      </c>
      <c r="B2402" s="3" t="n">
        <v>2026</v>
      </c>
      <c r="C2402" s="26" t="inlineStr">
        <is>
          <t>Yanara Power</t>
        </is>
      </c>
      <c r="D2402" s="3" t="inlineStr">
        <is>
          <t>Utility and C&amp;I</t>
        </is>
      </c>
      <c r="E2402" s="3" t="n"/>
      <c r="F2402" s="3" t="inlineStr">
        <is>
          <t>Closed</t>
        </is>
      </c>
      <c r="G2402" s="9" t="inlineStr">
        <is>
          <t xml:space="preserve">Ashish Jindal </t>
        </is>
      </c>
      <c r="H2402" s="26" t="n">
        <v>9983975581</v>
      </c>
      <c r="I2402" s="38" t="inlineStr">
        <is>
          <t>PE01052601</t>
        </is>
      </c>
      <c r="J2402" s="26" t="inlineStr">
        <is>
          <t>Multiple Issues</t>
        </is>
      </c>
      <c r="K2402" s="39" t="inlineStr">
        <is>
          <t>Holi</t>
        </is>
      </c>
      <c r="L2402" s="39" t="inlineStr">
        <is>
          <t>Maharashtra</t>
        </is>
      </c>
      <c r="M2402" s="46" t="inlineStr">
        <is>
          <t>PS</t>
        </is>
      </c>
      <c r="N2402" s="3" t="inlineStr">
        <is>
          <t>Cold Soldering</t>
        </is>
      </c>
      <c r="O2402" s="56" t="n">
        <v>575</v>
      </c>
      <c r="P2402" s="46" t="inlineStr">
        <is>
          <t>NSMI24070184606</t>
        </is>
      </c>
      <c r="Q2402" s="54">
        <f>MID(P2402,5,2)</f>
        <v/>
      </c>
      <c r="R2402" s="53">
        <f>MID(P2402,7,2)</f>
        <v/>
      </c>
      <c r="S2402" s="3" t="inlineStr">
        <is>
          <t>G2G</t>
        </is>
      </c>
      <c r="T2402" s="3" t="inlineStr">
        <is>
          <t>P4</t>
        </is>
      </c>
      <c r="U2402" s="19" t="inlineStr">
        <is>
          <t>P JB Cold Soldering</t>
        </is>
      </c>
      <c r="V2402" s="19" t="inlineStr">
        <is>
          <t>Soldering</t>
        </is>
      </c>
      <c r="W2402" s="3" t="inlineStr">
        <is>
          <t>Repair</t>
        </is>
      </c>
      <c r="X2402" s="18" t="n">
        <v>46170</v>
      </c>
      <c r="Y2402" s="3">
        <f>X2402-A2402</f>
        <v/>
      </c>
      <c r="Z2402" s="18" t="n">
        <v>46170</v>
      </c>
      <c r="AA2402" s="15" t="n"/>
      <c r="AB2402" s="15" t="n"/>
    </row>
    <row r="2403">
      <c r="A2403" s="37" t="n">
        <v>46143</v>
      </c>
      <c r="B2403" s="3" t="n">
        <v>2026</v>
      </c>
      <c r="C2403" s="26" t="inlineStr">
        <is>
          <t>Yanara Power</t>
        </is>
      </c>
      <c r="D2403" s="3" t="inlineStr">
        <is>
          <t>Utility and C&amp;I</t>
        </is>
      </c>
      <c r="E2403" s="3" t="n"/>
      <c r="F2403" s="3" t="inlineStr">
        <is>
          <t>Closed</t>
        </is>
      </c>
      <c r="G2403" s="9" t="inlineStr">
        <is>
          <t xml:space="preserve">Ashish Jindal </t>
        </is>
      </c>
      <c r="H2403" s="26" t="n">
        <v>9983975581</v>
      </c>
      <c r="I2403" s="38" t="inlineStr">
        <is>
          <t>PE01052601</t>
        </is>
      </c>
      <c r="J2403" s="26" t="inlineStr">
        <is>
          <t>Multiple Issues</t>
        </is>
      </c>
      <c r="K2403" s="39" t="inlineStr">
        <is>
          <t>Holi</t>
        </is>
      </c>
      <c r="L2403" s="39" t="inlineStr">
        <is>
          <t>Maharashtra</t>
        </is>
      </c>
      <c r="M2403" s="46" t="inlineStr">
        <is>
          <t>PS</t>
        </is>
      </c>
      <c r="N2403" s="3" t="inlineStr">
        <is>
          <t>Cold Soldering</t>
        </is>
      </c>
      <c r="O2403" s="56" t="n">
        <v>575</v>
      </c>
      <c r="P2403" s="46" t="inlineStr">
        <is>
          <t>NSMI24070184565</t>
        </is>
      </c>
      <c r="Q2403" s="54">
        <f>MID(P2403,5,2)</f>
        <v/>
      </c>
      <c r="R2403" s="53">
        <f>MID(P2403,7,2)</f>
        <v/>
      </c>
      <c r="S2403" s="3" t="inlineStr">
        <is>
          <t>G2G</t>
        </is>
      </c>
      <c r="T2403" s="3" t="inlineStr">
        <is>
          <t>P4</t>
        </is>
      </c>
      <c r="U2403" s="19" t="inlineStr">
        <is>
          <t>P JB Cold Soldering</t>
        </is>
      </c>
      <c r="V2403" s="19" t="inlineStr">
        <is>
          <t>Soldering</t>
        </is>
      </c>
      <c r="W2403" s="3" t="inlineStr">
        <is>
          <t>Repair</t>
        </is>
      </c>
      <c r="X2403" s="18" t="n">
        <v>46170</v>
      </c>
      <c r="Y2403" s="3">
        <f>X2403-A2403</f>
        <v/>
      </c>
      <c r="Z2403" s="18" t="n">
        <v>46170</v>
      </c>
      <c r="AA2403" s="15" t="n"/>
      <c r="AB2403" s="15" t="n"/>
    </row>
    <row r="2404">
      <c r="A2404" s="37" t="n">
        <v>46143</v>
      </c>
      <c r="B2404" s="3" t="n">
        <v>2026</v>
      </c>
      <c r="C2404" s="26" t="inlineStr">
        <is>
          <t>Yanara Power</t>
        </is>
      </c>
      <c r="D2404" s="3" t="inlineStr">
        <is>
          <t>Utility and C&amp;I</t>
        </is>
      </c>
      <c r="E2404" s="3" t="n"/>
      <c r="F2404" s="3" t="inlineStr">
        <is>
          <t>Closed</t>
        </is>
      </c>
      <c r="G2404" s="9" t="inlineStr">
        <is>
          <t xml:space="preserve">Ashish Jindal </t>
        </is>
      </c>
      <c r="H2404" s="26" t="n">
        <v>9983975581</v>
      </c>
      <c r="I2404" s="38" t="inlineStr">
        <is>
          <t>PE01052601</t>
        </is>
      </c>
      <c r="J2404" s="26" t="inlineStr">
        <is>
          <t>Multiple Issues</t>
        </is>
      </c>
      <c r="K2404" s="39" t="inlineStr">
        <is>
          <t>Holi</t>
        </is>
      </c>
      <c r="L2404" s="39" t="inlineStr">
        <is>
          <t>Maharashtra</t>
        </is>
      </c>
      <c r="M2404" s="46" t="inlineStr">
        <is>
          <t>NS</t>
        </is>
      </c>
      <c r="N2404" s="3" t="inlineStr">
        <is>
          <t>Cold Soldering</t>
        </is>
      </c>
      <c r="O2404" s="56" t="n">
        <v>575</v>
      </c>
      <c r="P2404" s="46" t="inlineStr">
        <is>
          <t>NSMI24070184623</t>
        </is>
      </c>
      <c r="Q2404" s="54">
        <f>MID(P2404,5,2)</f>
        <v/>
      </c>
      <c r="R2404" s="53">
        <f>MID(P2404,7,2)</f>
        <v/>
      </c>
      <c r="S2404" s="3" t="inlineStr">
        <is>
          <t>G2G</t>
        </is>
      </c>
      <c r="T2404" s="3" t="inlineStr">
        <is>
          <t>P4</t>
        </is>
      </c>
      <c r="U2404" s="3" t="inlineStr">
        <is>
          <t>N JB Cold Soldering</t>
        </is>
      </c>
      <c r="V2404" s="3" t="inlineStr">
        <is>
          <t>Soldering</t>
        </is>
      </c>
      <c r="W2404" s="3" t="inlineStr">
        <is>
          <t>Repair</t>
        </is>
      </c>
      <c r="X2404" s="18" t="n">
        <v>46170</v>
      </c>
      <c r="Y2404" s="3">
        <f>X2404-A2404</f>
        <v/>
      </c>
      <c r="Z2404" s="18" t="n">
        <v>46170</v>
      </c>
      <c r="AA2404" s="15" t="n"/>
      <c r="AB2404" s="15" t="n"/>
    </row>
    <row r="2405">
      <c r="A2405" s="37" t="n">
        <v>46143</v>
      </c>
      <c r="B2405" s="3" t="n">
        <v>2026</v>
      </c>
      <c r="C2405" s="26" t="inlineStr">
        <is>
          <t>Yanara Power</t>
        </is>
      </c>
      <c r="D2405" s="3" t="inlineStr">
        <is>
          <t>Utility and C&amp;I</t>
        </is>
      </c>
      <c r="E2405" s="3" t="n"/>
      <c r="F2405" s="3" t="inlineStr">
        <is>
          <t>Closed</t>
        </is>
      </c>
      <c r="G2405" s="9" t="inlineStr">
        <is>
          <t xml:space="preserve">Ashish Jindal </t>
        </is>
      </c>
      <c r="H2405" s="26" t="n">
        <v>9983975581</v>
      </c>
      <c r="I2405" s="38" t="inlineStr">
        <is>
          <t>PE01052601</t>
        </is>
      </c>
      <c r="J2405" s="26" t="inlineStr">
        <is>
          <t>Multiple Issues</t>
        </is>
      </c>
      <c r="K2405" s="39" t="inlineStr">
        <is>
          <t>Holi</t>
        </is>
      </c>
      <c r="L2405" s="39" t="inlineStr">
        <is>
          <t>Maharashtra</t>
        </is>
      </c>
      <c r="M2405" s="46" t="inlineStr">
        <is>
          <t>NS</t>
        </is>
      </c>
      <c r="N2405" s="3" t="inlineStr">
        <is>
          <t>Cold Soldering</t>
        </is>
      </c>
      <c r="O2405" s="56" t="n">
        <v>575</v>
      </c>
      <c r="P2405" s="46" t="inlineStr">
        <is>
          <t>NSMI24070240151</t>
        </is>
      </c>
      <c r="Q2405" s="54">
        <f>MID(P2405,5,2)</f>
        <v/>
      </c>
      <c r="R2405" s="53">
        <f>MID(P2405,7,2)</f>
        <v/>
      </c>
      <c r="S2405" s="3" t="inlineStr">
        <is>
          <t>G2G</t>
        </is>
      </c>
      <c r="T2405" s="3" t="inlineStr">
        <is>
          <t>P4</t>
        </is>
      </c>
      <c r="U2405" s="3" t="inlineStr">
        <is>
          <t>N JB Cold Soldering</t>
        </is>
      </c>
      <c r="V2405" s="3" t="inlineStr">
        <is>
          <t>Soldering</t>
        </is>
      </c>
      <c r="W2405" s="3" t="inlineStr">
        <is>
          <t>Repair</t>
        </is>
      </c>
      <c r="X2405" s="18" t="n">
        <v>46170</v>
      </c>
      <c r="Y2405" s="3">
        <f>X2405-A2405</f>
        <v/>
      </c>
      <c r="Z2405" s="18" t="n">
        <v>46170</v>
      </c>
      <c r="AA2405" s="15" t="n"/>
      <c r="AB2405" s="15" t="n"/>
    </row>
    <row r="2406">
      <c r="A2406" s="37" t="n">
        <v>46143</v>
      </c>
      <c r="B2406" s="3" t="n">
        <v>2026</v>
      </c>
      <c r="C2406" s="26" t="inlineStr">
        <is>
          <t>Yanara Power</t>
        </is>
      </c>
      <c r="D2406" s="3" t="inlineStr">
        <is>
          <t>Utility and C&amp;I</t>
        </is>
      </c>
      <c r="E2406" s="3" t="n"/>
      <c r="F2406" s="3" t="inlineStr">
        <is>
          <t>Closed</t>
        </is>
      </c>
      <c r="G2406" s="9" t="inlineStr">
        <is>
          <t xml:space="preserve">Ashish Jindal </t>
        </is>
      </c>
      <c r="H2406" s="26" t="n">
        <v>9983975581</v>
      </c>
      <c r="I2406" s="38" t="inlineStr">
        <is>
          <t>PE01052601</t>
        </is>
      </c>
      <c r="J2406" s="26" t="inlineStr">
        <is>
          <t>Multiple Issues</t>
        </is>
      </c>
      <c r="K2406" s="39" t="inlineStr">
        <is>
          <t>Holi</t>
        </is>
      </c>
      <c r="L2406" s="39" t="inlineStr">
        <is>
          <t>Maharashtra</t>
        </is>
      </c>
      <c r="M2406" s="47" t="inlineStr">
        <is>
          <t>PS</t>
        </is>
      </c>
      <c r="N2406" s="3" t="inlineStr">
        <is>
          <t>Cold Soldering</t>
        </is>
      </c>
      <c r="O2406" s="56" t="n">
        <v>575</v>
      </c>
      <c r="P2406" s="47" t="inlineStr">
        <is>
          <t>NSMI24070184665</t>
        </is>
      </c>
      <c r="Q2406" s="54">
        <f>MID(P2406,5,2)</f>
        <v/>
      </c>
      <c r="R2406" s="53">
        <f>MID(P2406,7,2)</f>
        <v/>
      </c>
      <c r="S2406" s="3" t="inlineStr">
        <is>
          <t>G2G</t>
        </is>
      </c>
      <c r="T2406" s="3" t="inlineStr">
        <is>
          <t>P4</t>
        </is>
      </c>
      <c r="U2406" s="19" t="inlineStr">
        <is>
          <t>P JB Cold Soldering</t>
        </is>
      </c>
      <c r="V2406" s="19" t="inlineStr">
        <is>
          <t>Soldering</t>
        </is>
      </c>
      <c r="W2406" s="3" t="inlineStr">
        <is>
          <t>Repair</t>
        </is>
      </c>
      <c r="X2406" s="18" t="n">
        <v>46170</v>
      </c>
      <c r="Y2406" s="3">
        <f>X2406-A2406</f>
        <v/>
      </c>
      <c r="Z2406" s="18" t="n">
        <v>46170</v>
      </c>
      <c r="AA2406" s="15" t="n"/>
      <c r="AB2406" s="15" t="n"/>
    </row>
    <row r="2407">
      <c r="A2407" s="59" t="n">
        <v>46160</v>
      </c>
      <c r="B2407" s="3" t="n">
        <v>2026</v>
      </c>
      <c r="C2407" s="26" t="inlineStr">
        <is>
          <t>Solar Square</t>
        </is>
      </c>
      <c r="D2407" s="26" t="inlineStr">
        <is>
          <t>OEM</t>
        </is>
      </c>
      <c r="E2407" s="3" t="n"/>
      <c r="F2407" s="3" t="inlineStr">
        <is>
          <t>Closed</t>
        </is>
      </c>
      <c r="G2407" s="39" t="inlineStr">
        <is>
          <t>Murali</t>
        </is>
      </c>
      <c r="H2407" s="39" t="n">
        <v>9703345015</v>
      </c>
      <c r="I2407" s="22" t="inlineStr">
        <is>
          <t>PE18052601</t>
        </is>
      </c>
      <c r="J2407" s="21" t="inlineStr">
        <is>
          <t>Low VOC</t>
        </is>
      </c>
      <c r="K2407" s="21" t="inlineStr">
        <is>
          <t>Nagpur</t>
        </is>
      </c>
      <c r="L2407" s="60" t="inlineStr">
        <is>
          <t>Maharashtra</t>
        </is>
      </c>
      <c r="M2407" s="9" t="inlineStr">
        <is>
          <t xml:space="preserve">N Jb change </t>
        </is>
      </c>
      <c r="N2407" s="26" t="inlineStr">
        <is>
          <t>JB Issue</t>
        </is>
      </c>
      <c r="O2407" s="60" t="n">
        <v>540</v>
      </c>
      <c r="P2407" s="9" t="inlineStr">
        <is>
          <t>NSMP25022718107</t>
        </is>
      </c>
      <c r="Q2407" s="53">
        <f>MID(P2407,5,2)</f>
        <v/>
      </c>
      <c r="R2407" s="53">
        <f>MID(P2407,7,2)</f>
        <v/>
      </c>
      <c r="S2407" s="3" t="inlineStr">
        <is>
          <t>G2TB</t>
        </is>
      </c>
      <c r="T2407" s="3" t="inlineStr">
        <is>
          <t>P2</t>
        </is>
      </c>
      <c r="U2407" s="9" t="inlineStr">
        <is>
          <t>N JB Issue</t>
        </is>
      </c>
      <c r="V2407" s="3" t="inlineStr">
        <is>
          <t>JB Changed</t>
        </is>
      </c>
      <c r="W2407" s="3" t="inlineStr">
        <is>
          <t>Repair</t>
        </is>
      </c>
      <c r="X2407" s="18" t="n">
        <v>46171</v>
      </c>
      <c r="Y2407" s="3">
        <f>X2407-A2407</f>
        <v/>
      </c>
      <c r="Z2407" s="18" t="n">
        <v>46171</v>
      </c>
      <c r="AA2407" s="15" t="n"/>
      <c r="AB2407" s="15" t="n"/>
    </row>
    <row r="2408">
      <c r="A2408" s="59" t="n">
        <v>46160</v>
      </c>
      <c r="B2408" s="3" t="n">
        <v>2026</v>
      </c>
      <c r="C2408" s="26" t="inlineStr">
        <is>
          <t>Solar Square</t>
        </is>
      </c>
      <c r="D2408" s="26" t="inlineStr">
        <is>
          <t>OEM</t>
        </is>
      </c>
      <c r="E2408" s="3" t="n"/>
      <c r="F2408" s="3" t="inlineStr">
        <is>
          <t>Closed</t>
        </is>
      </c>
      <c r="G2408" s="39" t="inlineStr">
        <is>
          <t>Murali</t>
        </is>
      </c>
      <c r="H2408" s="39" t="n">
        <v>9703345015</v>
      </c>
      <c r="I2408" s="22" t="inlineStr">
        <is>
          <t>PE18052601</t>
        </is>
      </c>
      <c r="J2408" s="21" t="inlineStr">
        <is>
          <t>Low VOC</t>
        </is>
      </c>
      <c r="K2408" s="21" t="inlineStr">
        <is>
          <t>Nagpur</t>
        </is>
      </c>
      <c r="L2408" s="60" t="inlineStr">
        <is>
          <t>Maharashtra</t>
        </is>
      </c>
      <c r="M2408" s="9" t="inlineStr">
        <is>
          <t xml:space="preserve">P &amp; M jb change </t>
        </is>
      </c>
      <c r="N2408" s="26" t="inlineStr">
        <is>
          <t>JB Issue</t>
        </is>
      </c>
      <c r="O2408" s="60" t="n">
        <v>540</v>
      </c>
      <c r="P2408" s="9" t="inlineStr">
        <is>
          <t>NSMP25022719752</t>
        </is>
      </c>
      <c r="Q2408" s="53">
        <f>MID(P2408,5,2)</f>
        <v/>
      </c>
      <c r="R2408" s="53">
        <f>MID(P2408,7,2)</f>
        <v/>
      </c>
      <c r="S2408" s="3" t="inlineStr">
        <is>
          <t>G2TB</t>
        </is>
      </c>
      <c r="T2408" s="3" t="inlineStr">
        <is>
          <t>P2</t>
        </is>
      </c>
      <c r="U2408" s="9" t="inlineStr">
        <is>
          <t xml:space="preserve">P &amp; M JB Issue </t>
        </is>
      </c>
      <c r="V2408" s="3" t="inlineStr">
        <is>
          <t>JB Changed</t>
        </is>
      </c>
      <c r="W2408" s="3" t="inlineStr">
        <is>
          <t>Repair</t>
        </is>
      </c>
      <c r="X2408" s="18" t="n">
        <v>46171</v>
      </c>
      <c r="Y2408" s="3">
        <f>X2408-A2408</f>
        <v/>
      </c>
      <c r="Z2408" s="18" t="n">
        <v>46171</v>
      </c>
      <c r="AA2408" s="15" t="n"/>
      <c r="AB2408" s="15" t="n"/>
    </row>
    <row r="2409">
      <c r="A2409" s="59" t="n">
        <v>46168</v>
      </c>
      <c r="B2409" s="3" t="n">
        <v>2026</v>
      </c>
      <c r="C2409" s="26" t="inlineStr">
        <is>
          <t>Solar Square</t>
        </is>
      </c>
      <c r="D2409" s="26" t="inlineStr">
        <is>
          <t>OEM</t>
        </is>
      </c>
      <c r="E2409" s="3" t="n"/>
      <c r="F2409" s="3" t="inlineStr">
        <is>
          <t>Closed</t>
        </is>
      </c>
      <c r="G2409" s="39" t="inlineStr">
        <is>
          <t>Murali</t>
        </is>
      </c>
      <c r="H2409" s="39" t="n">
        <v>9703345015</v>
      </c>
      <c r="I2409" s="22" t="inlineStr">
        <is>
          <t>PE26052601</t>
        </is>
      </c>
      <c r="J2409" s="21" t="inlineStr">
        <is>
          <t>Low VOC</t>
        </is>
      </c>
      <c r="K2409" s="21" t="inlineStr">
        <is>
          <t>Nagpur</t>
        </is>
      </c>
      <c r="L2409" s="60" t="inlineStr">
        <is>
          <t>Maharashtra</t>
        </is>
      </c>
      <c r="M2409" s="9" t="inlineStr">
        <is>
          <t>N Jb change</t>
        </is>
      </c>
      <c r="N2409" s="26" t="inlineStr">
        <is>
          <t>JB Issue</t>
        </is>
      </c>
      <c r="O2409" s="60" t="n">
        <v>540</v>
      </c>
      <c r="P2409" s="9" t="inlineStr">
        <is>
          <t>NSMP25050263002</t>
        </is>
      </c>
      <c r="Q2409" s="53">
        <f>MID(P2409,5,2)</f>
        <v/>
      </c>
      <c r="R2409" s="53">
        <f>MID(P2409,7,2)</f>
        <v/>
      </c>
      <c r="S2409" s="3" t="inlineStr">
        <is>
          <t>G2TB</t>
        </is>
      </c>
      <c r="T2409" s="3" t="inlineStr">
        <is>
          <t>P2</t>
        </is>
      </c>
      <c r="U2409" s="9" t="inlineStr">
        <is>
          <t>N JB Issue</t>
        </is>
      </c>
      <c r="V2409" s="3" t="inlineStr">
        <is>
          <t>JB Changed</t>
        </is>
      </c>
      <c r="W2409" s="3" t="inlineStr">
        <is>
          <t>Repair</t>
        </is>
      </c>
      <c r="X2409" s="18" t="n">
        <v>46171</v>
      </c>
      <c r="Y2409" s="3">
        <f>X2409-A2409</f>
        <v/>
      </c>
      <c r="Z2409" s="18" t="n">
        <v>46171</v>
      </c>
      <c r="AA2409" s="15" t="n"/>
      <c r="AB2409" s="15" t="n"/>
    </row>
    <row r="2410">
      <c r="A2410" s="59" t="n">
        <v>46168</v>
      </c>
      <c r="B2410" s="3" t="n">
        <v>2026</v>
      </c>
      <c r="C2410" s="26" t="inlineStr">
        <is>
          <t>Solar Square</t>
        </is>
      </c>
      <c r="D2410" s="26" t="inlineStr">
        <is>
          <t>OEM</t>
        </is>
      </c>
      <c r="E2410" s="3" t="n"/>
      <c r="F2410" s="3" t="inlineStr">
        <is>
          <t>Closed</t>
        </is>
      </c>
      <c r="G2410" s="39" t="inlineStr">
        <is>
          <t>Murali</t>
        </is>
      </c>
      <c r="H2410" s="39" t="n">
        <v>9703345015</v>
      </c>
      <c r="I2410" s="22" t="inlineStr">
        <is>
          <t>PE26052601</t>
        </is>
      </c>
      <c r="J2410" s="21" t="inlineStr">
        <is>
          <t>Low VOC</t>
        </is>
      </c>
      <c r="K2410" s="21" t="inlineStr">
        <is>
          <t>Nagpur</t>
        </is>
      </c>
      <c r="L2410" s="60" t="inlineStr">
        <is>
          <t>Maharashtra</t>
        </is>
      </c>
      <c r="M2410" s="9" t="inlineStr">
        <is>
          <t>P &amp; M jb change</t>
        </is>
      </c>
      <c r="N2410" s="26" t="inlineStr">
        <is>
          <t>JB Issue</t>
        </is>
      </c>
      <c r="O2410" s="60" t="n">
        <v>540</v>
      </c>
      <c r="P2410" s="9" t="inlineStr">
        <is>
          <t>NSMP25050262853</t>
        </is>
      </c>
      <c r="Q2410" s="53">
        <f>MID(P2410,5,2)</f>
        <v/>
      </c>
      <c r="R2410" s="53">
        <f>MID(P2410,7,2)</f>
        <v/>
      </c>
      <c r="S2410" s="3" t="inlineStr">
        <is>
          <t>G2TB</t>
        </is>
      </c>
      <c r="T2410" s="3" t="inlineStr">
        <is>
          <t>P2</t>
        </is>
      </c>
      <c r="U2410" s="9" t="inlineStr">
        <is>
          <t xml:space="preserve">P &amp; M JB Issue </t>
        </is>
      </c>
      <c r="V2410" s="3" t="inlineStr">
        <is>
          <t>JB Changed</t>
        </is>
      </c>
      <c r="W2410" s="3" t="inlineStr">
        <is>
          <t>Repair</t>
        </is>
      </c>
      <c r="X2410" s="18" t="n">
        <v>46171</v>
      </c>
      <c r="Y2410" s="3">
        <f>X2410-A2410</f>
        <v/>
      </c>
      <c r="Z2410" s="18" t="n">
        <v>46171</v>
      </c>
      <c r="AA2410" s="15" t="n"/>
      <c r="AB2410" s="15" t="n"/>
    </row>
    <row r="2411">
      <c r="A2411" s="59" t="n">
        <v>46168</v>
      </c>
      <c r="B2411" s="3" t="n">
        <v>2026</v>
      </c>
      <c r="C2411" s="26" t="inlineStr">
        <is>
          <t>Solar Square</t>
        </is>
      </c>
      <c r="D2411" s="26" t="inlineStr">
        <is>
          <t>OEM</t>
        </is>
      </c>
      <c r="E2411" s="3" t="n"/>
      <c r="F2411" s="3" t="inlineStr">
        <is>
          <t>Closed</t>
        </is>
      </c>
      <c r="G2411" s="39" t="inlineStr">
        <is>
          <t>Murali</t>
        </is>
      </c>
      <c r="H2411" s="39" t="n">
        <v>9703345015</v>
      </c>
      <c r="I2411" s="22" t="inlineStr">
        <is>
          <t>PE26052601</t>
        </is>
      </c>
      <c r="J2411" s="21" t="inlineStr">
        <is>
          <t>Low VOC</t>
        </is>
      </c>
      <c r="K2411" s="21" t="inlineStr">
        <is>
          <t>Nagpur</t>
        </is>
      </c>
      <c r="L2411" s="60" t="inlineStr">
        <is>
          <t>Maharashtra</t>
        </is>
      </c>
      <c r="M2411" s="9" t="inlineStr">
        <is>
          <t>All jb change</t>
        </is>
      </c>
      <c r="N2411" s="26" t="inlineStr">
        <is>
          <t>JB Issue</t>
        </is>
      </c>
      <c r="O2411" s="60" t="n">
        <v>540</v>
      </c>
      <c r="P2411" s="9" t="inlineStr">
        <is>
          <t>NSMP25050263000</t>
        </is>
      </c>
      <c r="Q2411" s="53">
        <f>MID(P2411,5,2)</f>
        <v/>
      </c>
      <c r="R2411" s="53">
        <f>MID(P2411,7,2)</f>
        <v/>
      </c>
      <c r="S2411" s="3" t="inlineStr">
        <is>
          <t>G2TB</t>
        </is>
      </c>
      <c r="T2411" s="3" t="inlineStr">
        <is>
          <t>P2</t>
        </is>
      </c>
      <c r="U2411" s="9" t="inlineStr">
        <is>
          <t>All JB Issue</t>
        </is>
      </c>
      <c r="V2411" s="3" t="inlineStr">
        <is>
          <t>JB Changed</t>
        </is>
      </c>
      <c r="W2411" s="3" t="inlineStr">
        <is>
          <t>Repair</t>
        </is>
      </c>
      <c r="X2411" s="18" t="n">
        <v>46171</v>
      </c>
      <c r="Y2411" s="3">
        <f>X2411-A2411</f>
        <v/>
      </c>
      <c r="Z2411" s="18" t="n">
        <v>46171</v>
      </c>
      <c r="AA2411" s="15" t="n"/>
      <c r="AB2411" s="15" t="n"/>
    </row>
    <row r="2412">
      <c r="A2412" s="59" t="n">
        <v>46168</v>
      </c>
      <c r="B2412" s="3" t="n">
        <v>2026</v>
      </c>
      <c r="C2412" s="26" t="inlineStr">
        <is>
          <t>Solar Square</t>
        </is>
      </c>
      <c r="D2412" s="26" t="inlineStr">
        <is>
          <t>OEM</t>
        </is>
      </c>
      <c r="E2412" s="3" t="n"/>
      <c r="F2412" s="3" t="inlineStr">
        <is>
          <t>Closed</t>
        </is>
      </c>
      <c r="G2412" s="39" t="inlineStr">
        <is>
          <t>Murali</t>
        </is>
      </c>
      <c r="H2412" s="39" t="n">
        <v>9703345015</v>
      </c>
      <c r="I2412" s="22" t="inlineStr">
        <is>
          <t>PE26052601</t>
        </is>
      </c>
      <c r="J2412" s="21" t="inlineStr">
        <is>
          <t>Low VOC</t>
        </is>
      </c>
      <c r="K2412" s="21" t="inlineStr">
        <is>
          <t>Nagpur</t>
        </is>
      </c>
      <c r="L2412" s="60" t="inlineStr">
        <is>
          <t>Maharashtra</t>
        </is>
      </c>
      <c r="M2412" s="9" t="inlineStr">
        <is>
          <t>P &amp; M jb change</t>
        </is>
      </c>
      <c r="N2412" s="26" t="inlineStr">
        <is>
          <t>JB Issue</t>
        </is>
      </c>
      <c r="O2412" s="60" t="n">
        <v>540</v>
      </c>
      <c r="P2412" s="9" t="inlineStr">
        <is>
          <t>NSMP25050262998</t>
        </is>
      </c>
      <c r="Q2412" s="53">
        <f>MID(P2412,5,2)</f>
        <v/>
      </c>
      <c r="R2412" s="53">
        <f>MID(P2412,7,2)</f>
        <v/>
      </c>
      <c r="S2412" s="3" t="inlineStr">
        <is>
          <t>G2TB</t>
        </is>
      </c>
      <c r="T2412" s="3" t="inlineStr">
        <is>
          <t>P2</t>
        </is>
      </c>
      <c r="U2412" s="9" t="inlineStr">
        <is>
          <t xml:space="preserve">P &amp; M JB Issue </t>
        </is>
      </c>
      <c r="V2412" s="3" t="inlineStr">
        <is>
          <t>JB Changed</t>
        </is>
      </c>
      <c r="W2412" s="3" t="inlineStr">
        <is>
          <t>Repair</t>
        </is>
      </c>
      <c r="X2412" s="18" t="n">
        <v>46171</v>
      </c>
      <c r="Y2412" s="3">
        <f>X2412-A2412</f>
        <v/>
      </c>
      <c r="Z2412" s="18" t="n">
        <v>46171</v>
      </c>
      <c r="AA2412" s="15" t="n"/>
      <c r="AB2412" s="15" t="n"/>
    </row>
    <row r="2413">
      <c r="A2413" s="59" t="n">
        <v>46168</v>
      </c>
      <c r="B2413" s="3" t="n">
        <v>2026</v>
      </c>
      <c r="C2413" s="26" t="inlineStr">
        <is>
          <t>Solar Square</t>
        </is>
      </c>
      <c r="D2413" s="26" t="inlineStr">
        <is>
          <t>OEM</t>
        </is>
      </c>
      <c r="E2413" s="3" t="n"/>
      <c r="F2413" s="3" t="inlineStr">
        <is>
          <t>Closed</t>
        </is>
      </c>
      <c r="G2413" s="39" t="inlineStr">
        <is>
          <t>Murali</t>
        </is>
      </c>
      <c r="H2413" s="39" t="n">
        <v>9703345015</v>
      </c>
      <c r="I2413" s="22" t="inlineStr">
        <is>
          <t>PE26052601</t>
        </is>
      </c>
      <c r="J2413" s="21" t="inlineStr">
        <is>
          <t>Low VOC</t>
        </is>
      </c>
      <c r="K2413" s="21" t="inlineStr">
        <is>
          <t>Nagpur</t>
        </is>
      </c>
      <c r="L2413" s="60" t="inlineStr">
        <is>
          <t>Maharashtra</t>
        </is>
      </c>
      <c r="M2413" s="9" t="inlineStr">
        <is>
          <t>All jb change</t>
        </is>
      </c>
      <c r="N2413" s="26" t="inlineStr">
        <is>
          <t>JB Issue</t>
        </is>
      </c>
      <c r="O2413" s="60" t="n">
        <v>540</v>
      </c>
      <c r="P2413" s="9" t="inlineStr">
        <is>
          <t>NSMP25050260829</t>
        </is>
      </c>
      <c r="Q2413" s="53">
        <f>MID(P2413,5,2)</f>
        <v/>
      </c>
      <c r="R2413" s="53">
        <f>MID(P2413,7,2)</f>
        <v/>
      </c>
      <c r="S2413" s="3" t="inlineStr">
        <is>
          <t>G2TB</t>
        </is>
      </c>
      <c r="T2413" s="3" t="inlineStr">
        <is>
          <t>P2</t>
        </is>
      </c>
      <c r="U2413" s="9" t="inlineStr">
        <is>
          <t>All JB Issue</t>
        </is>
      </c>
      <c r="V2413" s="3" t="inlineStr">
        <is>
          <t>JB Changed</t>
        </is>
      </c>
      <c r="W2413" s="3" t="inlineStr">
        <is>
          <t>Repair</t>
        </is>
      </c>
      <c r="X2413" s="18" t="n">
        <v>46171</v>
      </c>
      <c r="Y2413" s="3">
        <f>X2413-A2413</f>
        <v/>
      </c>
      <c r="Z2413" s="18" t="n">
        <v>46171</v>
      </c>
      <c r="AA2413" s="15" t="n"/>
      <c r="AB2413" s="15" t="n"/>
    </row>
    <row r="2414">
      <c r="A2414" s="59" t="n">
        <v>46148</v>
      </c>
      <c r="B2414" s="3" t="n">
        <v>2026</v>
      </c>
      <c r="C2414" s="21" t="inlineStr">
        <is>
          <t>Continuum</t>
        </is>
      </c>
      <c r="D2414" s="3" t="inlineStr">
        <is>
          <t>Utility and C&amp;I</t>
        </is>
      </c>
      <c r="E2414" s="3" t="n"/>
      <c r="F2414" s="3" t="inlineStr">
        <is>
          <t>Closed</t>
        </is>
      </c>
      <c r="G2414" s="21" t="inlineStr">
        <is>
          <t>Amiya Ranjan Behera</t>
        </is>
      </c>
      <c r="H2414" s="21" t="n">
        <v>8917436223</v>
      </c>
      <c r="I2414" s="38" t="inlineStr">
        <is>
          <t>PE06052602</t>
        </is>
      </c>
      <c r="J2414" s="21" t="inlineStr">
        <is>
          <t>Diode Bypass Module Issue</t>
        </is>
      </c>
      <c r="K2414" s="21" t="inlineStr">
        <is>
          <t>Bhavnagar</t>
        </is>
      </c>
      <c r="L2414" s="21" t="inlineStr">
        <is>
          <t>Gujarat</t>
        </is>
      </c>
      <c r="M2414" s="95" t="inlineStr">
        <is>
          <t>PS</t>
        </is>
      </c>
      <c r="N2414" s="3" t="inlineStr">
        <is>
          <t>Cold Soldering</t>
        </is>
      </c>
      <c r="O2414" s="62" t="n">
        <v>540</v>
      </c>
      <c r="P2414" s="9" t="inlineStr">
        <is>
          <t>NSMP2304038359</t>
        </is>
      </c>
      <c r="Q2414" s="53">
        <f>MID(P2414,5,2)</f>
        <v/>
      </c>
      <c r="R2414" s="53">
        <f>MID(P2414,7,2)</f>
        <v/>
      </c>
      <c r="S2414" s="3" t="inlineStr">
        <is>
          <t>G2B</t>
        </is>
      </c>
      <c r="T2414" s="3" t="inlineStr">
        <is>
          <t>P2</t>
        </is>
      </c>
      <c r="U2414" s="3" t="inlineStr">
        <is>
          <t>P JB Cold Soldering</t>
        </is>
      </c>
      <c r="V2414" s="3" t="inlineStr">
        <is>
          <t>Soldering</t>
        </is>
      </c>
      <c r="W2414" s="3" t="inlineStr">
        <is>
          <t>Repair</t>
        </is>
      </c>
      <c r="X2414" s="18" t="n">
        <v>46171</v>
      </c>
      <c r="Y2414" s="3">
        <f>X2414-A2414</f>
        <v/>
      </c>
      <c r="Z2414" s="18" t="n">
        <v>46171</v>
      </c>
      <c r="AA2414" s="15" t="n"/>
      <c r="AB2414" s="15" t="n"/>
    </row>
    <row r="2415">
      <c r="A2415" s="59" t="n">
        <v>46148</v>
      </c>
      <c r="B2415" s="3" t="n">
        <v>2026</v>
      </c>
      <c r="C2415" s="21" t="inlineStr">
        <is>
          <t>Continuum</t>
        </is>
      </c>
      <c r="D2415" s="3" t="inlineStr">
        <is>
          <t>Utility and C&amp;I</t>
        </is>
      </c>
      <c r="E2415" s="3" t="n"/>
      <c r="F2415" s="3" t="inlineStr">
        <is>
          <t>Closed</t>
        </is>
      </c>
      <c r="G2415" s="21" t="inlineStr">
        <is>
          <t>Amiya Ranjan Behera</t>
        </is>
      </c>
      <c r="H2415" s="21" t="n">
        <v>8917436223</v>
      </c>
      <c r="I2415" s="38" t="inlineStr">
        <is>
          <t>PE06052602</t>
        </is>
      </c>
      <c r="J2415" s="21" t="inlineStr">
        <is>
          <t>Diode Bypass Module Issue</t>
        </is>
      </c>
      <c r="K2415" s="21" t="inlineStr">
        <is>
          <t>Bhavnagar</t>
        </is>
      </c>
      <c r="L2415" s="21" t="inlineStr">
        <is>
          <t>Gujarat</t>
        </is>
      </c>
      <c r="M2415" s="96" t="inlineStr">
        <is>
          <t>PS</t>
        </is>
      </c>
      <c r="N2415" s="3" t="inlineStr">
        <is>
          <t>Cold Soldering</t>
        </is>
      </c>
      <c r="O2415" s="62" t="n">
        <v>540</v>
      </c>
      <c r="P2415" s="9" t="inlineStr">
        <is>
          <t>NSMP2304069009</t>
        </is>
      </c>
      <c r="Q2415" s="53">
        <f>MID(P2415,5,2)</f>
        <v/>
      </c>
      <c r="R2415" s="53">
        <f>MID(P2415,7,2)</f>
        <v/>
      </c>
      <c r="S2415" s="3" t="inlineStr">
        <is>
          <t>G2B</t>
        </is>
      </c>
      <c r="T2415" s="3" t="inlineStr">
        <is>
          <t>P2</t>
        </is>
      </c>
      <c r="U2415" s="3" t="inlineStr">
        <is>
          <t>P JB Cold Soldering</t>
        </is>
      </c>
      <c r="V2415" s="3" t="inlineStr">
        <is>
          <t>Soldering</t>
        </is>
      </c>
      <c r="W2415" s="3" t="inlineStr">
        <is>
          <t>Repair</t>
        </is>
      </c>
      <c r="X2415" s="18" t="n">
        <v>46171</v>
      </c>
      <c r="Y2415" s="3">
        <f>X2415-A2415</f>
        <v/>
      </c>
      <c r="Z2415" s="18" t="n">
        <v>46171</v>
      </c>
      <c r="AA2415" s="15" t="n"/>
      <c r="AB2415" s="15" t="n"/>
    </row>
    <row r="2416">
      <c r="A2416" s="59" t="n">
        <v>46148</v>
      </c>
      <c r="B2416" s="3" t="n">
        <v>2026</v>
      </c>
      <c r="C2416" s="21" t="inlineStr">
        <is>
          <t>Continuum</t>
        </is>
      </c>
      <c r="D2416" s="3" t="inlineStr">
        <is>
          <t>Utility and C&amp;I</t>
        </is>
      </c>
      <c r="E2416" s="3" t="n"/>
      <c r="F2416" s="3" t="inlineStr">
        <is>
          <t>Closed</t>
        </is>
      </c>
      <c r="G2416" s="21" t="inlineStr">
        <is>
          <t>Amiya Ranjan Behera</t>
        </is>
      </c>
      <c r="H2416" s="21" t="n">
        <v>8917436223</v>
      </c>
      <c r="I2416" s="38" t="inlineStr">
        <is>
          <t>PE06052602</t>
        </is>
      </c>
      <c r="J2416" s="21" t="inlineStr">
        <is>
          <t>Diode Bypass Module Issue</t>
        </is>
      </c>
      <c r="K2416" s="21" t="inlineStr">
        <is>
          <t>Bhavnagar</t>
        </is>
      </c>
      <c r="L2416" s="21" t="inlineStr">
        <is>
          <t>Gujarat</t>
        </is>
      </c>
      <c r="M2416" s="96" t="inlineStr">
        <is>
          <t>PS</t>
        </is>
      </c>
      <c r="N2416" s="3" t="inlineStr">
        <is>
          <t>Cold Soldering</t>
        </is>
      </c>
      <c r="O2416" s="62" t="n">
        <v>540</v>
      </c>
      <c r="P2416" s="9" t="inlineStr">
        <is>
          <t>NSMP2304068998</t>
        </is>
      </c>
      <c r="Q2416" s="53">
        <f>MID(P2416,5,2)</f>
        <v/>
      </c>
      <c r="R2416" s="53">
        <f>MID(P2416,7,2)</f>
        <v/>
      </c>
      <c r="S2416" s="3" t="inlineStr">
        <is>
          <t>G2B</t>
        </is>
      </c>
      <c r="T2416" s="3" t="inlineStr">
        <is>
          <t>P2</t>
        </is>
      </c>
      <c r="U2416" s="3" t="inlineStr">
        <is>
          <t>P JB Cold Soldering</t>
        </is>
      </c>
      <c r="V2416" s="3" t="inlineStr">
        <is>
          <t>Soldering</t>
        </is>
      </c>
      <c r="W2416" s="3" t="inlineStr">
        <is>
          <t>Repair</t>
        </is>
      </c>
      <c r="X2416" s="18" t="n">
        <v>46171</v>
      </c>
      <c r="Y2416" s="3">
        <f>X2416-A2416</f>
        <v/>
      </c>
      <c r="Z2416" s="18" t="n">
        <v>46171</v>
      </c>
      <c r="AA2416" s="15" t="n"/>
      <c r="AB2416" s="15" t="n"/>
    </row>
    <row r="2417">
      <c r="A2417" s="59" t="n">
        <v>46148</v>
      </c>
      <c r="B2417" s="3" t="n">
        <v>2026</v>
      </c>
      <c r="C2417" s="21" t="inlineStr">
        <is>
          <t>Continuum</t>
        </is>
      </c>
      <c r="D2417" s="3" t="inlineStr">
        <is>
          <t>Utility and C&amp;I</t>
        </is>
      </c>
      <c r="E2417" s="3" t="n"/>
      <c r="F2417" s="3" t="inlineStr">
        <is>
          <t>Closed</t>
        </is>
      </c>
      <c r="G2417" s="21" t="inlineStr">
        <is>
          <t>Amiya Ranjan Behera</t>
        </is>
      </c>
      <c r="H2417" s="21" t="n">
        <v>8917436223</v>
      </c>
      <c r="I2417" s="38" t="inlineStr">
        <is>
          <t>PE06052602</t>
        </is>
      </c>
      <c r="J2417" s="21" t="inlineStr">
        <is>
          <t>Diode Bypass Module Issue</t>
        </is>
      </c>
      <c r="K2417" s="21" t="inlineStr">
        <is>
          <t>Bhavnagar</t>
        </is>
      </c>
      <c r="L2417" s="21" t="inlineStr">
        <is>
          <t>Gujarat</t>
        </is>
      </c>
      <c r="M2417" s="96" t="inlineStr">
        <is>
          <t>NR</t>
        </is>
      </c>
      <c r="N2417" s="26" t="inlineStr">
        <is>
          <t>JB Issue</t>
        </is>
      </c>
      <c r="O2417" s="62" t="n">
        <v>540</v>
      </c>
      <c r="P2417" s="9" t="inlineStr">
        <is>
          <t>NSMP2304038136</t>
        </is>
      </c>
      <c r="Q2417" s="53">
        <f>MID(P2417,5,2)</f>
        <v/>
      </c>
      <c r="R2417" s="53">
        <f>MID(P2417,7,2)</f>
        <v/>
      </c>
      <c r="S2417" s="3" t="inlineStr">
        <is>
          <t>G2B</t>
        </is>
      </c>
      <c r="T2417" s="3" t="inlineStr">
        <is>
          <t>P2</t>
        </is>
      </c>
      <c r="U2417" s="19" t="inlineStr">
        <is>
          <t>N JB Issue</t>
        </is>
      </c>
      <c r="V2417" s="19" t="inlineStr">
        <is>
          <t>JB Changed</t>
        </is>
      </c>
      <c r="W2417" s="3" t="inlineStr">
        <is>
          <t>Repair</t>
        </is>
      </c>
      <c r="X2417" s="18" t="n">
        <v>46171</v>
      </c>
      <c r="Y2417" s="3">
        <f>X2417-A2417</f>
        <v/>
      </c>
      <c r="Z2417" s="18" t="n">
        <v>46171</v>
      </c>
      <c r="AA2417" s="15" t="n"/>
      <c r="AB2417" s="15" t="n"/>
    </row>
    <row r="2418">
      <c r="A2418" s="59" t="n">
        <v>46148</v>
      </c>
      <c r="B2418" s="3" t="n">
        <v>2026</v>
      </c>
      <c r="C2418" s="21" t="inlineStr">
        <is>
          <t>Continuum</t>
        </is>
      </c>
      <c r="D2418" s="3" t="inlineStr">
        <is>
          <t>Utility and C&amp;I</t>
        </is>
      </c>
      <c r="E2418" s="3" t="n"/>
      <c r="F2418" s="3" t="inlineStr">
        <is>
          <t>Closed</t>
        </is>
      </c>
      <c r="G2418" s="21" t="inlineStr">
        <is>
          <t>Amiya Ranjan Behera</t>
        </is>
      </c>
      <c r="H2418" s="21" t="n">
        <v>8917436223</v>
      </c>
      <c r="I2418" s="38" t="inlineStr">
        <is>
          <t>PE06052602</t>
        </is>
      </c>
      <c r="J2418" s="21" t="inlineStr">
        <is>
          <t>Diode Bypass Module Issue</t>
        </is>
      </c>
      <c r="K2418" s="21" t="inlineStr">
        <is>
          <t>Bhavnagar</t>
        </is>
      </c>
      <c r="L2418" s="21" t="inlineStr">
        <is>
          <t>Gujarat</t>
        </is>
      </c>
      <c r="M2418" s="96" t="inlineStr">
        <is>
          <t>NR</t>
        </is>
      </c>
      <c r="N2418" s="26" t="inlineStr">
        <is>
          <t>JB Issue</t>
        </is>
      </c>
      <c r="O2418" s="62" t="n">
        <v>540</v>
      </c>
      <c r="P2418" s="9" t="inlineStr">
        <is>
          <t>NSMP2304045667</t>
        </is>
      </c>
      <c r="Q2418" s="53">
        <f>MID(P2418,5,2)</f>
        <v/>
      </c>
      <c r="R2418" s="53">
        <f>MID(P2418,7,2)</f>
        <v/>
      </c>
      <c r="S2418" s="3" t="inlineStr">
        <is>
          <t>G2B</t>
        </is>
      </c>
      <c r="T2418" s="3" t="inlineStr">
        <is>
          <t>P2</t>
        </is>
      </c>
      <c r="U2418" s="19" t="inlineStr">
        <is>
          <t>N JB Issue</t>
        </is>
      </c>
      <c r="V2418" s="19" t="inlineStr">
        <is>
          <t>JB Changed</t>
        </is>
      </c>
      <c r="W2418" s="3" t="inlineStr">
        <is>
          <t>Repair</t>
        </is>
      </c>
      <c r="X2418" s="18" t="n">
        <v>46171</v>
      </c>
      <c r="Y2418" s="3">
        <f>X2418-A2418</f>
        <v/>
      </c>
      <c r="Z2418" s="18" t="n">
        <v>46171</v>
      </c>
      <c r="AA2418" s="15" t="n"/>
      <c r="AB2418" s="15" t="n"/>
    </row>
    <row r="2419">
      <c r="A2419" s="59" t="n">
        <v>46148</v>
      </c>
      <c r="B2419" s="3" t="n">
        <v>2026</v>
      </c>
      <c r="C2419" s="21" t="inlineStr">
        <is>
          <t>Continuum</t>
        </is>
      </c>
      <c r="D2419" s="3" t="inlineStr">
        <is>
          <t>Utility and C&amp;I</t>
        </is>
      </c>
      <c r="E2419" s="3" t="n"/>
      <c r="F2419" s="3" t="inlineStr">
        <is>
          <t>Closed</t>
        </is>
      </c>
      <c r="G2419" s="21" t="inlineStr">
        <is>
          <t>Amiya Ranjan Behera</t>
        </is>
      </c>
      <c r="H2419" s="21" t="n">
        <v>8917436223</v>
      </c>
      <c r="I2419" s="38" t="inlineStr">
        <is>
          <t>PE06052602</t>
        </is>
      </c>
      <c r="J2419" s="21" t="inlineStr">
        <is>
          <t>Diode Bypass Module Issue</t>
        </is>
      </c>
      <c r="K2419" s="21" t="inlineStr">
        <is>
          <t>Bhavnagar</t>
        </is>
      </c>
      <c r="L2419" s="21" t="inlineStr">
        <is>
          <t>Gujarat</t>
        </is>
      </c>
      <c r="M2419" s="96" t="inlineStr">
        <is>
          <t>PS</t>
        </is>
      </c>
      <c r="N2419" s="3" t="inlineStr">
        <is>
          <t>Cold Soldering</t>
        </is>
      </c>
      <c r="O2419" s="62" t="n">
        <v>540</v>
      </c>
      <c r="P2419" s="9" t="inlineStr">
        <is>
          <t>NSMP2304045672</t>
        </is>
      </c>
      <c r="Q2419" s="53">
        <f>MID(P2419,5,2)</f>
        <v/>
      </c>
      <c r="R2419" s="53">
        <f>MID(P2419,7,2)</f>
        <v/>
      </c>
      <c r="S2419" s="3" t="inlineStr">
        <is>
          <t>G2B</t>
        </is>
      </c>
      <c r="T2419" s="3" t="inlineStr">
        <is>
          <t>P2</t>
        </is>
      </c>
      <c r="U2419" s="3" t="inlineStr">
        <is>
          <t>P JB Cold Soldering</t>
        </is>
      </c>
      <c r="V2419" s="3" t="inlineStr">
        <is>
          <t>Soldering</t>
        </is>
      </c>
      <c r="W2419" s="3" t="inlineStr">
        <is>
          <t>Repair</t>
        </is>
      </c>
      <c r="X2419" s="18" t="n">
        <v>46171</v>
      </c>
      <c r="Y2419" s="3">
        <f>X2419-A2419</f>
        <v/>
      </c>
      <c r="Z2419" s="18" t="n">
        <v>46171</v>
      </c>
      <c r="AA2419" s="15" t="n"/>
      <c r="AB2419" s="15" t="n"/>
    </row>
    <row r="2420">
      <c r="A2420" s="59" t="n">
        <v>46148</v>
      </c>
      <c r="B2420" s="3" t="n">
        <v>2026</v>
      </c>
      <c r="C2420" s="21" t="inlineStr">
        <is>
          <t>Continuum</t>
        </is>
      </c>
      <c r="D2420" s="3" t="inlineStr">
        <is>
          <t>Utility and C&amp;I</t>
        </is>
      </c>
      <c r="E2420" s="3" t="n"/>
      <c r="F2420" s="3" t="inlineStr">
        <is>
          <t>Closed</t>
        </is>
      </c>
      <c r="G2420" s="21" t="inlineStr">
        <is>
          <t>Amiya Ranjan Behera</t>
        </is>
      </c>
      <c r="H2420" s="21" t="n">
        <v>8917436223</v>
      </c>
      <c r="I2420" s="38" t="inlineStr">
        <is>
          <t>PE06052602</t>
        </is>
      </c>
      <c r="J2420" s="21" t="inlineStr">
        <is>
          <t>Diode Bypass Module Issue</t>
        </is>
      </c>
      <c r="K2420" s="21" t="inlineStr">
        <is>
          <t>Bhavnagar</t>
        </is>
      </c>
      <c r="L2420" s="21" t="inlineStr">
        <is>
          <t>Gujarat</t>
        </is>
      </c>
      <c r="M2420" s="96" t="inlineStr">
        <is>
          <t>PS</t>
        </is>
      </c>
      <c r="N2420" s="3" t="inlineStr">
        <is>
          <t>Cold Soldering</t>
        </is>
      </c>
      <c r="O2420" s="62" t="n">
        <v>540</v>
      </c>
      <c r="P2420" s="9" t="inlineStr">
        <is>
          <t>NSMP2304070660</t>
        </is>
      </c>
      <c r="Q2420" s="53">
        <f>MID(P2420,5,2)</f>
        <v/>
      </c>
      <c r="R2420" s="53">
        <f>MID(P2420,7,2)</f>
        <v/>
      </c>
      <c r="S2420" s="3" t="inlineStr">
        <is>
          <t>G2B</t>
        </is>
      </c>
      <c r="T2420" s="3" t="inlineStr">
        <is>
          <t>P2</t>
        </is>
      </c>
      <c r="U2420" s="3" t="inlineStr">
        <is>
          <t>P JB Cold Soldering</t>
        </is>
      </c>
      <c r="V2420" s="3" t="inlineStr">
        <is>
          <t>Soldering</t>
        </is>
      </c>
      <c r="W2420" s="3" t="inlineStr">
        <is>
          <t>Repair</t>
        </is>
      </c>
      <c r="X2420" s="18" t="n">
        <v>46171</v>
      </c>
      <c r="Y2420" s="3">
        <f>X2420-A2420</f>
        <v/>
      </c>
      <c r="Z2420" s="18" t="n">
        <v>46171</v>
      </c>
      <c r="AA2420" s="15" t="n"/>
      <c r="AB2420" s="15" t="n"/>
    </row>
    <row r="2421">
      <c r="A2421" s="59" t="n">
        <v>46148</v>
      </c>
      <c r="B2421" s="3" t="n">
        <v>2026</v>
      </c>
      <c r="C2421" s="21" t="inlineStr">
        <is>
          <t>Continuum</t>
        </is>
      </c>
      <c r="D2421" s="3" t="inlineStr">
        <is>
          <t>Utility and C&amp;I</t>
        </is>
      </c>
      <c r="E2421" s="3" t="n"/>
      <c r="F2421" s="3" t="inlineStr">
        <is>
          <t>Closed</t>
        </is>
      </c>
      <c r="G2421" s="21" t="inlineStr">
        <is>
          <t>Amiya Ranjan Behera</t>
        </is>
      </c>
      <c r="H2421" s="21" t="n">
        <v>8917436223</v>
      </c>
      <c r="I2421" s="38" t="inlineStr">
        <is>
          <t>PE06052602</t>
        </is>
      </c>
      <c r="J2421" s="21" t="inlineStr">
        <is>
          <t>Diode Bypass Module Issue</t>
        </is>
      </c>
      <c r="K2421" s="21" t="inlineStr">
        <is>
          <t>Bhavnagar</t>
        </is>
      </c>
      <c r="L2421" s="21" t="inlineStr">
        <is>
          <t>Gujarat</t>
        </is>
      </c>
      <c r="M2421" s="96" t="inlineStr">
        <is>
          <t>PS</t>
        </is>
      </c>
      <c r="N2421" s="3" t="inlineStr">
        <is>
          <t>Cold Soldering</t>
        </is>
      </c>
      <c r="O2421" s="62" t="n">
        <v>540</v>
      </c>
      <c r="P2421" s="9" t="inlineStr">
        <is>
          <t>NSMP2304070693</t>
        </is>
      </c>
      <c r="Q2421" s="53">
        <f>MID(P2421,5,2)</f>
        <v/>
      </c>
      <c r="R2421" s="53">
        <f>MID(P2421,7,2)</f>
        <v/>
      </c>
      <c r="S2421" s="3" t="inlineStr">
        <is>
          <t>G2B</t>
        </is>
      </c>
      <c r="T2421" s="3" t="inlineStr">
        <is>
          <t>P2</t>
        </is>
      </c>
      <c r="U2421" s="3" t="inlineStr">
        <is>
          <t>P JB Cold Soldering</t>
        </is>
      </c>
      <c r="V2421" s="3" t="inlineStr">
        <is>
          <t>Soldering</t>
        </is>
      </c>
      <c r="W2421" s="3" t="inlineStr">
        <is>
          <t>Repair</t>
        </is>
      </c>
      <c r="X2421" s="18" t="n">
        <v>46171</v>
      </c>
      <c r="Y2421" s="3">
        <f>X2421-A2421</f>
        <v/>
      </c>
      <c r="Z2421" s="18" t="n">
        <v>46171</v>
      </c>
      <c r="AA2421" s="15" t="n"/>
      <c r="AB2421" s="15" t="n"/>
    </row>
    <row r="2422">
      <c r="A2422" s="59" t="n">
        <v>46148</v>
      </c>
      <c r="B2422" s="3" t="n">
        <v>2026</v>
      </c>
      <c r="C2422" s="21" t="inlineStr">
        <is>
          <t>Continuum</t>
        </is>
      </c>
      <c r="D2422" s="3" t="inlineStr">
        <is>
          <t>Utility and C&amp;I</t>
        </is>
      </c>
      <c r="E2422" s="3" t="n"/>
      <c r="F2422" s="3" t="inlineStr">
        <is>
          <t>Closed</t>
        </is>
      </c>
      <c r="G2422" s="21" t="inlineStr">
        <is>
          <t>Amiya Ranjan Behera</t>
        </is>
      </c>
      <c r="H2422" s="21" t="n">
        <v>8917436223</v>
      </c>
      <c r="I2422" s="38" t="inlineStr">
        <is>
          <t>PE06052602</t>
        </is>
      </c>
      <c r="J2422" s="21" t="inlineStr">
        <is>
          <t>Diode Bypass Module Issue</t>
        </is>
      </c>
      <c r="K2422" s="21" t="inlineStr">
        <is>
          <t>Bhavnagar</t>
        </is>
      </c>
      <c r="L2422" s="21" t="inlineStr">
        <is>
          <t>Gujarat</t>
        </is>
      </c>
      <c r="M2422" s="96" t="inlineStr">
        <is>
          <t>PS</t>
        </is>
      </c>
      <c r="N2422" s="3" t="inlineStr">
        <is>
          <t>Cold Soldering</t>
        </is>
      </c>
      <c r="O2422" s="62" t="n">
        <v>540</v>
      </c>
      <c r="P2422" s="9" t="inlineStr">
        <is>
          <t>NSMP2304070670</t>
        </is>
      </c>
      <c r="Q2422" s="53">
        <f>MID(P2422,5,2)</f>
        <v/>
      </c>
      <c r="R2422" s="53">
        <f>MID(P2422,7,2)</f>
        <v/>
      </c>
      <c r="S2422" s="3" t="inlineStr">
        <is>
          <t>G2B</t>
        </is>
      </c>
      <c r="T2422" s="3" t="inlineStr">
        <is>
          <t>P2</t>
        </is>
      </c>
      <c r="U2422" s="3" t="inlineStr">
        <is>
          <t>P JB Cold Soldering</t>
        </is>
      </c>
      <c r="V2422" s="3" t="inlineStr">
        <is>
          <t>Soldering</t>
        </is>
      </c>
      <c r="W2422" s="3" t="inlineStr">
        <is>
          <t>Repair</t>
        </is>
      </c>
      <c r="X2422" s="18" t="n">
        <v>46171</v>
      </c>
      <c r="Y2422" s="3">
        <f>X2422-A2422</f>
        <v/>
      </c>
      <c r="Z2422" s="18" t="n">
        <v>46171</v>
      </c>
      <c r="AA2422" s="15" t="n"/>
      <c r="AB2422" s="15" t="n"/>
    </row>
    <row r="2423">
      <c r="A2423" s="59" t="n">
        <v>46148</v>
      </c>
      <c r="B2423" s="3" t="n">
        <v>2026</v>
      </c>
      <c r="C2423" s="21" t="inlineStr">
        <is>
          <t>Continuum</t>
        </is>
      </c>
      <c r="D2423" s="3" t="inlineStr">
        <is>
          <t>Utility and C&amp;I</t>
        </is>
      </c>
      <c r="E2423" s="3" t="n"/>
      <c r="F2423" s="3" t="inlineStr">
        <is>
          <t>Closed</t>
        </is>
      </c>
      <c r="G2423" s="21" t="inlineStr">
        <is>
          <t>Amiya Ranjan Behera</t>
        </is>
      </c>
      <c r="H2423" s="21" t="n">
        <v>8917436223</v>
      </c>
      <c r="I2423" s="38" t="inlineStr">
        <is>
          <t>PE06052602</t>
        </is>
      </c>
      <c r="J2423" s="21" t="inlineStr">
        <is>
          <t>Diode Bypass Module Issue</t>
        </is>
      </c>
      <c r="K2423" s="21" t="inlineStr">
        <is>
          <t>Bhavnagar</t>
        </is>
      </c>
      <c r="L2423" s="21" t="inlineStr">
        <is>
          <t>Gujarat</t>
        </is>
      </c>
      <c r="M2423" s="96" t="inlineStr">
        <is>
          <t>NR</t>
        </is>
      </c>
      <c r="N2423" s="26" t="inlineStr">
        <is>
          <t>JB Issue</t>
        </is>
      </c>
      <c r="O2423" s="60" t="n">
        <v>540</v>
      </c>
      <c r="P2423" s="95" t="inlineStr">
        <is>
          <t>NSMP2304063808</t>
        </is>
      </c>
      <c r="Q2423" s="53">
        <f>MID(P2423,5,2)</f>
        <v/>
      </c>
      <c r="R2423" s="53">
        <f>MID(P2423,7,2)</f>
        <v/>
      </c>
      <c r="S2423" s="3" t="inlineStr">
        <is>
          <t>G2B</t>
        </is>
      </c>
      <c r="T2423" s="3" t="inlineStr">
        <is>
          <t>P2</t>
        </is>
      </c>
      <c r="U2423" s="19" t="inlineStr">
        <is>
          <t>N JB Issue</t>
        </is>
      </c>
      <c r="V2423" s="19" t="inlineStr">
        <is>
          <t>JB Changed</t>
        </is>
      </c>
      <c r="W2423" s="3" t="inlineStr">
        <is>
          <t>Repair</t>
        </is>
      </c>
      <c r="X2423" s="18" t="n">
        <v>46171</v>
      </c>
      <c r="Y2423" s="3">
        <f>X2423-A2423</f>
        <v/>
      </c>
      <c r="Z2423" s="18" t="n">
        <v>46171</v>
      </c>
      <c r="AA2423" s="15" t="n"/>
      <c r="AB2423" s="15" t="n"/>
    </row>
    <row r="2424">
      <c r="A2424" s="59" t="n">
        <v>46148</v>
      </c>
      <c r="B2424" s="3" t="n">
        <v>2026</v>
      </c>
      <c r="C2424" s="21" t="inlineStr">
        <is>
          <t>Continuum</t>
        </is>
      </c>
      <c r="D2424" s="3" t="inlineStr">
        <is>
          <t>Utility and C&amp;I</t>
        </is>
      </c>
      <c r="E2424" s="3" t="n"/>
      <c r="F2424" s="3" t="inlineStr">
        <is>
          <t>Closed</t>
        </is>
      </c>
      <c r="G2424" s="21" t="inlineStr">
        <is>
          <t>Amiya Ranjan Behera</t>
        </is>
      </c>
      <c r="H2424" s="21" t="n">
        <v>8917436223</v>
      </c>
      <c r="I2424" s="38" t="inlineStr">
        <is>
          <t>PE06052602</t>
        </is>
      </c>
      <c r="J2424" s="21" t="inlineStr">
        <is>
          <t>Diode Bypass Module Issue</t>
        </is>
      </c>
      <c r="K2424" s="21" t="inlineStr">
        <is>
          <t>Bhavnagar</t>
        </is>
      </c>
      <c r="L2424" s="21" t="inlineStr">
        <is>
          <t>Gujarat</t>
        </is>
      </c>
      <c r="M2424" s="96" t="inlineStr">
        <is>
          <t>PR</t>
        </is>
      </c>
      <c r="N2424" s="3" t="inlineStr">
        <is>
          <t>JB Issue</t>
        </is>
      </c>
      <c r="O2424" s="62" t="n">
        <v>540</v>
      </c>
      <c r="P2424" s="9" t="inlineStr">
        <is>
          <t>NSMP2304070177</t>
        </is>
      </c>
      <c r="Q2424" s="53">
        <f>MID(P2424,5,2)</f>
        <v/>
      </c>
      <c r="R2424" s="53">
        <f>MID(P2424,7,2)</f>
        <v/>
      </c>
      <c r="S2424" s="3" t="inlineStr">
        <is>
          <t>G2B</t>
        </is>
      </c>
      <c r="T2424" s="3" t="inlineStr">
        <is>
          <t>P2</t>
        </is>
      </c>
      <c r="U2424" s="3" t="inlineStr">
        <is>
          <t>P JB Issue</t>
        </is>
      </c>
      <c r="V2424" s="15" t="inlineStr">
        <is>
          <t>JB Changed</t>
        </is>
      </c>
      <c r="W2424" s="3" t="inlineStr">
        <is>
          <t>Repair</t>
        </is>
      </c>
      <c r="X2424" s="18" t="n">
        <v>46171</v>
      </c>
      <c r="Y2424" s="3">
        <f>X2424-A2424</f>
        <v/>
      </c>
      <c r="Z2424" s="18" t="n">
        <v>46171</v>
      </c>
      <c r="AA2424" s="15" t="n"/>
      <c r="AB2424" s="15" t="n"/>
    </row>
    <row r="2425">
      <c r="A2425" s="59" t="n">
        <v>46148</v>
      </c>
      <c r="B2425" s="3" t="n">
        <v>2026</v>
      </c>
      <c r="C2425" s="21" t="inlineStr">
        <is>
          <t>Continuum</t>
        </is>
      </c>
      <c r="D2425" s="3" t="inlineStr">
        <is>
          <t>Utility and C&amp;I</t>
        </is>
      </c>
      <c r="E2425" s="3" t="n"/>
      <c r="F2425" s="3" t="inlineStr">
        <is>
          <t>Closed</t>
        </is>
      </c>
      <c r="G2425" s="21" t="inlineStr">
        <is>
          <t>Amiya Ranjan Behera</t>
        </is>
      </c>
      <c r="H2425" s="21" t="n">
        <v>8917436223</v>
      </c>
      <c r="I2425" s="38" t="inlineStr">
        <is>
          <t>PE06052602</t>
        </is>
      </c>
      <c r="J2425" s="21" t="inlineStr">
        <is>
          <t>Diode Bypass Module Issue</t>
        </is>
      </c>
      <c r="K2425" s="21" t="inlineStr">
        <is>
          <t>Bhavnagar</t>
        </is>
      </c>
      <c r="L2425" s="21" t="inlineStr">
        <is>
          <t>Gujarat</t>
        </is>
      </c>
      <c r="M2425" s="96" t="inlineStr">
        <is>
          <t>PR</t>
        </is>
      </c>
      <c r="N2425" s="3" t="inlineStr">
        <is>
          <t>JB Issue</t>
        </is>
      </c>
      <c r="O2425" s="62" t="n">
        <v>540</v>
      </c>
      <c r="P2425" s="9" t="inlineStr">
        <is>
          <t>NSMP2304011194</t>
        </is>
      </c>
      <c r="Q2425" s="53">
        <f>MID(P2425,5,2)</f>
        <v/>
      </c>
      <c r="R2425" s="53">
        <f>MID(P2425,7,2)</f>
        <v/>
      </c>
      <c r="S2425" s="3" t="inlineStr">
        <is>
          <t>G2B</t>
        </is>
      </c>
      <c r="T2425" s="3" t="inlineStr">
        <is>
          <t>P2</t>
        </is>
      </c>
      <c r="U2425" s="3" t="inlineStr">
        <is>
          <t>P JB Issue</t>
        </is>
      </c>
      <c r="V2425" s="15" t="inlineStr">
        <is>
          <t>JB Changed</t>
        </is>
      </c>
      <c r="W2425" s="3" t="inlineStr">
        <is>
          <t>Repair</t>
        </is>
      </c>
      <c r="X2425" s="18" t="n">
        <v>46171</v>
      </c>
      <c r="Y2425" s="3">
        <f>X2425-A2425</f>
        <v/>
      </c>
      <c r="Z2425" s="18" t="n">
        <v>46171</v>
      </c>
      <c r="AA2425" s="15" t="n"/>
      <c r="AB2425" s="15" t="n"/>
    </row>
    <row r="2426">
      <c r="A2426" s="37" t="n">
        <v>46143</v>
      </c>
      <c r="B2426" s="3" t="n">
        <v>2026</v>
      </c>
      <c r="C2426" s="26" t="inlineStr">
        <is>
          <t>Yanara Power</t>
        </is>
      </c>
      <c r="D2426" s="3" t="inlineStr">
        <is>
          <t>Utility and C&amp;I</t>
        </is>
      </c>
      <c r="E2426" s="3" t="n"/>
      <c r="F2426" s="3" t="inlineStr">
        <is>
          <t>Closed</t>
        </is>
      </c>
      <c r="G2426" s="9" t="inlineStr">
        <is>
          <t xml:space="preserve">Ashish Jindal </t>
        </is>
      </c>
      <c r="H2426" s="26" t="n">
        <v>9983975581</v>
      </c>
      <c r="I2426" s="38" t="inlineStr">
        <is>
          <t>PE01052601</t>
        </is>
      </c>
      <c r="J2426" s="26" t="inlineStr">
        <is>
          <t>Multiple Issues</t>
        </is>
      </c>
      <c r="K2426" s="39" t="inlineStr">
        <is>
          <t>Holi</t>
        </is>
      </c>
      <c r="L2426" s="39" t="inlineStr">
        <is>
          <t>Maharashtra</t>
        </is>
      </c>
      <c r="M2426" s="46" t="inlineStr">
        <is>
          <t>PS</t>
        </is>
      </c>
      <c r="N2426" s="3" t="inlineStr">
        <is>
          <t>Cold Soldering</t>
        </is>
      </c>
      <c r="O2426" s="56" t="n">
        <v>575</v>
      </c>
      <c r="P2426" s="9" t="inlineStr">
        <is>
          <t>NSMI24070197289</t>
        </is>
      </c>
      <c r="Q2426" s="54">
        <f>MID(P2426,5,2)</f>
        <v/>
      </c>
      <c r="R2426" s="53">
        <f>MID(P2426,7,2)</f>
        <v/>
      </c>
      <c r="S2426" s="3" t="inlineStr">
        <is>
          <t>G2G</t>
        </is>
      </c>
      <c r="T2426" s="3" t="inlineStr">
        <is>
          <t>P4</t>
        </is>
      </c>
      <c r="U2426" s="19" t="inlineStr">
        <is>
          <t>P JB Cold Soldering</t>
        </is>
      </c>
      <c r="V2426" s="19" t="inlineStr">
        <is>
          <t>Soldering</t>
        </is>
      </c>
      <c r="W2426" s="3" t="inlineStr">
        <is>
          <t>Repair</t>
        </is>
      </c>
      <c r="X2426" s="18" t="n">
        <v>46171</v>
      </c>
      <c r="Y2426" s="3">
        <f>X2426-A2426</f>
        <v/>
      </c>
      <c r="Z2426" s="18" t="n">
        <v>46171</v>
      </c>
      <c r="AA2426" s="15" t="n"/>
      <c r="AB2426" s="15" t="n"/>
    </row>
    <row r="2427">
      <c r="A2427" s="37" t="n">
        <v>46143</v>
      </c>
      <c r="B2427" s="3" t="n">
        <v>2026</v>
      </c>
      <c r="C2427" s="26" t="inlineStr">
        <is>
          <t>Yanara Power</t>
        </is>
      </c>
      <c r="D2427" s="3" t="inlineStr">
        <is>
          <t>Utility and C&amp;I</t>
        </is>
      </c>
      <c r="E2427" s="3" t="n"/>
      <c r="F2427" s="3" t="inlineStr">
        <is>
          <t>Closed</t>
        </is>
      </c>
      <c r="G2427" s="9" t="inlineStr">
        <is>
          <t xml:space="preserve">Ashish Jindal </t>
        </is>
      </c>
      <c r="H2427" s="26" t="n">
        <v>9983975581</v>
      </c>
      <c r="I2427" s="38" t="inlineStr">
        <is>
          <t>PE01052601</t>
        </is>
      </c>
      <c r="J2427" s="26" t="inlineStr">
        <is>
          <t>Multiple Issues</t>
        </is>
      </c>
      <c r="K2427" s="39" t="inlineStr">
        <is>
          <t>Holi</t>
        </is>
      </c>
      <c r="L2427" s="39" t="inlineStr">
        <is>
          <t>Maharashtra</t>
        </is>
      </c>
      <c r="M2427" s="46" t="inlineStr">
        <is>
          <t>PS</t>
        </is>
      </c>
      <c r="N2427" s="3" t="inlineStr">
        <is>
          <t>Cold Soldering</t>
        </is>
      </c>
      <c r="O2427" s="56" t="n">
        <v>575</v>
      </c>
      <c r="P2427" s="9" t="inlineStr">
        <is>
          <t>NSMI24070197130</t>
        </is>
      </c>
      <c r="Q2427" s="54">
        <f>MID(P2427,5,2)</f>
        <v/>
      </c>
      <c r="R2427" s="53">
        <f>MID(P2427,7,2)</f>
        <v/>
      </c>
      <c r="S2427" s="3" t="inlineStr">
        <is>
          <t>G2G</t>
        </is>
      </c>
      <c r="T2427" s="3" t="inlineStr">
        <is>
          <t>P4</t>
        </is>
      </c>
      <c r="U2427" s="19" t="inlineStr">
        <is>
          <t>P JB Cold Soldering</t>
        </is>
      </c>
      <c r="V2427" s="19" t="inlineStr">
        <is>
          <t>Soldering</t>
        </is>
      </c>
      <c r="W2427" s="3" t="inlineStr">
        <is>
          <t>Repair</t>
        </is>
      </c>
      <c r="X2427" s="18" t="n">
        <v>46171</v>
      </c>
      <c r="Y2427" s="3">
        <f>X2427-A2427</f>
        <v/>
      </c>
      <c r="Z2427" s="18" t="n">
        <v>46171</v>
      </c>
      <c r="AA2427" s="15" t="n"/>
      <c r="AB2427" s="15" t="n"/>
    </row>
    <row r="2428">
      <c r="A2428" s="37" t="n">
        <v>46143</v>
      </c>
      <c r="B2428" s="3" t="n">
        <v>2026</v>
      </c>
      <c r="C2428" s="26" t="inlineStr">
        <is>
          <t>Yanara Power</t>
        </is>
      </c>
      <c r="D2428" s="3" t="inlineStr">
        <is>
          <t>Utility and C&amp;I</t>
        </is>
      </c>
      <c r="E2428" s="3" t="n"/>
      <c r="F2428" s="3" t="inlineStr">
        <is>
          <t>Closed</t>
        </is>
      </c>
      <c r="G2428" s="9" t="inlineStr">
        <is>
          <t xml:space="preserve">Ashish Jindal </t>
        </is>
      </c>
      <c r="H2428" s="26" t="n">
        <v>9983975581</v>
      </c>
      <c r="I2428" s="38" t="inlineStr">
        <is>
          <t>PE01052601</t>
        </is>
      </c>
      <c r="J2428" s="26" t="inlineStr">
        <is>
          <t>Multiple Issues</t>
        </is>
      </c>
      <c r="K2428" s="39" t="inlineStr">
        <is>
          <t>Holi</t>
        </is>
      </c>
      <c r="L2428" s="39" t="inlineStr">
        <is>
          <t>Maharashtra</t>
        </is>
      </c>
      <c r="M2428" s="46" t="inlineStr">
        <is>
          <t>NS</t>
        </is>
      </c>
      <c r="N2428" s="3" t="inlineStr">
        <is>
          <t>Cold Soldering</t>
        </is>
      </c>
      <c r="O2428" s="56" t="n">
        <v>575</v>
      </c>
      <c r="P2428" s="9" t="inlineStr">
        <is>
          <t>NSMI24070197236</t>
        </is>
      </c>
      <c r="Q2428" s="54">
        <f>MID(P2428,5,2)</f>
        <v/>
      </c>
      <c r="R2428" s="53">
        <f>MID(P2428,7,2)</f>
        <v/>
      </c>
      <c r="S2428" s="3" t="inlineStr">
        <is>
          <t>G2G</t>
        </is>
      </c>
      <c r="T2428" s="3" t="inlineStr">
        <is>
          <t>P4</t>
        </is>
      </c>
      <c r="U2428" s="3" t="inlineStr">
        <is>
          <t>N JB Cold Soldering</t>
        </is>
      </c>
      <c r="V2428" s="3" t="inlineStr">
        <is>
          <t>Soldering</t>
        </is>
      </c>
      <c r="W2428" s="3" t="inlineStr">
        <is>
          <t>Repair</t>
        </is>
      </c>
      <c r="X2428" s="18" t="n">
        <v>46171</v>
      </c>
      <c r="Y2428" s="3">
        <f>X2428-A2428</f>
        <v/>
      </c>
      <c r="Z2428" s="18" t="n">
        <v>46171</v>
      </c>
      <c r="AA2428" s="15" t="n"/>
      <c r="AB2428" s="15" t="n"/>
    </row>
    <row r="2429">
      <c r="A2429" s="37" t="n">
        <v>46143</v>
      </c>
      <c r="B2429" s="3" t="n">
        <v>2026</v>
      </c>
      <c r="C2429" s="26" t="inlineStr">
        <is>
          <t>Yanara Power</t>
        </is>
      </c>
      <c r="D2429" s="3" t="inlineStr">
        <is>
          <t>Utility and C&amp;I</t>
        </is>
      </c>
      <c r="E2429" s="3" t="n"/>
      <c r="F2429" s="3" t="inlineStr">
        <is>
          <t>Closed</t>
        </is>
      </c>
      <c r="G2429" s="9" t="inlineStr">
        <is>
          <t xml:space="preserve">Ashish Jindal </t>
        </is>
      </c>
      <c r="H2429" s="26" t="n">
        <v>9983975581</v>
      </c>
      <c r="I2429" s="38" t="inlineStr">
        <is>
          <t>PE01052601</t>
        </is>
      </c>
      <c r="J2429" s="26" t="inlineStr">
        <is>
          <t>Multiple Issues</t>
        </is>
      </c>
      <c r="K2429" s="39" t="inlineStr">
        <is>
          <t>Holi</t>
        </is>
      </c>
      <c r="L2429" s="39" t="inlineStr">
        <is>
          <t>Maharashtra</t>
        </is>
      </c>
      <c r="M2429" s="46" t="inlineStr">
        <is>
          <t>PS</t>
        </is>
      </c>
      <c r="N2429" s="3" t="inlineStr">
        <is>
          <t>Cold Soldering</t>
        </is>
      </c>
      <c r="O2429" s="56" t="n">
        <v>575</v>
      </c>
      <c r="P2429" s="9" t="inlineStr">
        <is>
          <t>NSMI24070185911</t>
        </is>
      </c>
      <c r="Q2429" s="54">
        <f>MID(P2429,5,2)</f>
        <v/>
      </c>
      <c r="R2429" s="53">
        <f>MID(P2429,7,2)</f>
        <v/>
      </c>
      <c r="S2429" s="3" t="inlineStr">
        <is>
          <t>G2G</t>
        </is>
      </c>
      <c r="T2429" s="3" t="inlineStr">
        <is>
          <t>P4</t>
        </is>
      </c>
      <c r="U2429" s="19" t="inlineStr">
        <is>
          <t>P JB Cold Soldering</t>
        </is>
      </c>
      <c r="V2429" s="19" t="inlineStr">
        <is>
          <t>Soldering</t>
        </is>
      </c>
      <c r="W2429" s="3" t="inlineStr">
        <is>
          <t>Repair</t>
        </is>
      </c>
      <c r="X2429" s="18" t="n">
        <v>46171</v>
      </c>
      <c r="Y2429" s="3">
        <f>X2429-A2429</f>
        <v/>
      </c>
      <c r="Z2429" s="18" t="n">
        <v>46171</v>
      </c>
      <c r="AA2429" s="15" t="n"/>
      <c r="AB2429" s="15" t="n"/>
    </row>
    <row r="2430">
      <c r="A2430" s="37" t="n">
        <v>46143</v>
      </c>
      <c r="B2430" s="3" t="n">
        <v>2026</v>
      </c>
      <c r="C2430" s="26" t="inlineStr">
        <is>
          <t>Yanara Power</t>
        </is>
      </c>
      <c r="D2430" s="3" t="inlineStr">
        <is>
          <t>Utility and C&amp;I</t>
        </is>
      </c>
      <c r="E2430" s="3" t="n"/>
      <c r="F2430" s="3" t="inlineStr">
        <is>
          <t>Closed</t>
        </is>
      </c>
      <c r="G2430" s="9" t="inlineStr">
        <is>
          <t xml:space="preserve">Ashish Jindal </t>
        </is>
      </c>
      <c r="H2430" s="26" t="n">
        <v>9983975581</v>
      </c>
      <c r="I2430" s="38" t="inlineStr">
        <is>
          <t>PE01052601</t>
        </is>
      </c>
      <c r="J2430" s="26" t="inlineStr">
        <is>
          <t>Multiple Issues</t>
        </is>
      </c>
      <c r="K2430" s="39" t="inlineStr">
        <is>
          <t>Holi</t>
        </is>
      </c>
      <c r="L2430" s="39" t="inlineStr">
        <is>
          <t>Maharashtra</t>
        </is>
      </c>
      <c r="M2430" s="46" t="inlineStr">
        <is>
          <t>PS</t>
        </is>
      </c>
      <c r="N2430" s="3" t="inlineStr">
        <is>
          <t>Cold Soldering</t>
        </is>
      </c>
      <c r="O2430" s="56" t="n">
        <v>575</v>
      </c>
      <c r="P2430" s="9" t="inlineStr">
        <is>
          <t>NSMI24070185795</t>
        </is>
      </c>
      <c r="Q2430" s="54">
        <f>MID(P2430,5,2)</f>
        <v/>
      </c>
      <c r="R2430" s="53">
        <f>MID(P2430,7,2)</f>
        <v/>
      </c>
      <c r="S2430" s="3" t="inlineStr">
        <is>
          <t>G2G</t>
        </is>
      </c>
      <c r="T2430" s="3" t="inlineStr">
        <is>
          <t>P4</t>
        </is>
      </c>
      <c r="U2430" s="19" t="inlineStr">
        <is>
          <t>P JB Cold Soldering</t>
        </is>
      </c>
      <c r="V2430" s="19" t="inlineStr">
        <is>
          <t>Soldering</t>
        </is>
      </c>
      <c r="W2430" s="3" t="inlineStr">
        <is>
          <t>Repair</t>
        </is>
      </c>
      <c r="X2430" s="18" t="n">
        <v>46171</v>
      </c>
      <c r="Y2430" s="3">
        <f>X2430-A2430</f>
        <v/>
      </c>
      <c r="Z2430" s="18" t="n">
        <v>46171</v>
      </c>
      <c r="AA2430" s="15" t="n"/>
      <c r="AB2430" s="15" t="n"/>
    </row>
    <row r="2431">
      <c r="A2431" s="37" t="n">
        <v>46143</v>
      </c>
      <c r="B2431" s="3" t="n">
        <v>2026</v>
      </c>
      <c r="C2431" s="26" t="inlineStr">
        <is>
          <t>Yanara Power</t>
        </is>
      </c>
      <c r="D2431" s="3" t="inlineStr">
        <is>
          <t>Utility and C&amp;I</t>
        </is>
      </c>
      <c r="E2431" s="3" t="n"/>
      <c r="F2431" s="3" t="inlineStr">
        <is>
          <t>Closed</t>
        </is>
      </c>
      <c r="G2431" s="9" t="inlineStr">
        <is>
          <t xml:space="preserve">Ashish Jindal </t>
        </is>
      </c>
      <c r="H2431" s="26" t="n">
        <v>9983975581</v>
      </c>
      <c r="I2431" s="38" t="inlineStr">
        <is>
          <t>PE01052601</t>
        </is>
      </c>
      <c r="J2431" s="26" t="inlineStr">
        <is>
          <t>Multiple Issues</t>
        </is>
      </c>
      <c r="K2431" s="39" t="inlineStr">
        <is>
          <t>Holi</t>
        </is>
      </c>
      <c r="L2431" s="39" t="inlineStr">
        <is>
          <t>Maharashtra</t>
        </is>
      </c>
      <c r="M2431" s="46" t="inlineStr">
        <is>
          <t>PS</t>
        </is>
      </c>
      <c r="N2431" s="3" t="inlineStr">
        <is>
          <t>Cold Soldering</t>
        </is>
      </c>
      <c r="O2431" s="56" t="n">
        <v>575</v>
      </c>
      <c r="P2431" s="9" t="inlineStr">
        <is>
          <t>NSMI24070185955</t>
        </is>
      </c>
      <c r="Q2431" s="54">
        <f>MID(P2431,5,2)</f>
        <v/>
      </c>
      <c r="R2431" s="53">
        <f>MID(P2431,7,2)</f>
        <v/>
      </c>
      <c r="S2431" s="3" t="inlineStr">
        <is>
          <t>G2G</t>
        </is>
      </c>
      <c r="T2431" s="3" t="inlineStr">
        <is>
          <t>P4</t>
        </is>
      </c>
      <c r="U2431" s="19" t="inlineStr">
        <is>
          <t>P JB Cold Soldering</t>
        </is>
      </c>
      <c r="V2431" s="19" t="inlineStr">
        <is>
          <t>Soldering</t>
        </is>
      </c>
      <c r="W2431" s="3" t="inlineStr">
        <is>
          <t>Repair</t>
        </is>
      </c>
      <c r="X2431" s="18" t="n">
        <v>46171</v>
      </c>
      <c r="Y2431" s="3">
        <f>X2431-A2431</f>
        <v/>
      </c>
      <c r="Z2431" s="18" t="n">
        <v>46171</v>
      </c>
      <c r="AA2431" s="15" t="n"/>
      <c r="AB2431" s="15" t="n"/>
    </row>
    <row r="2432">
      <c r="A2432" s="37" t="n">
        <v>46143</v>
      </c>
      <c r="B2432" s="3" t="n">
        <v>2026</v>
      </c>
      <c r="C2432" s="26" t="inlineStr">
        <is>
          <t>Yanara Power</t>
        </is>
      </c>
      <c r="D2432" s="3" t="inlineStr">
        <is>
          <t>Utility and C&amp;I</t>
        </is>
      </c>
      <c r="E2432" s="3" t="n"/>
      <c r="F2432" s="3" t="inlineStr">
        <is>
          <t>Closed</t>
        </is>
      </c>
      <c r="G2432" s="9" t="inlineStr">
        <is>
          <t xml:space="preserve">Ashish Jindal </t>
        </is>
      </c>
      <c r="H2432" s="26" t="n">
        <v>9983975581</v>
      </c>
      <c r="I2432" s="38" t="inlineStr">
        <is>
          <t>PE01052601</t>
        </is>
      </c>
      <c r="J2432" s="26" t="inlineStr">
        <is>
          <t>Multiple Issues</t>
        </is>
      </c>
      <c r="K2432" s="39" t="inlineStr">
        <is>
          <t>Holi</t>
        </is>
      </c>
      <c r="L2432" s="39" t="inlineStr">
        <is>
          <t>Maharashtra</t>
        </is>
      </c>
      <c r="M2432" s="46" t="inlineStr">
        <is>
          <t>PS</t>
        </is>
      </c>
      <c r="N2432" s="3" t="inlineStr">
        <is>
          <t>Cold Soldering</t>
        </is>
      </c>
      <c r="O2432" s="56" t="n">
        <v>575</v>
      </c>
      <c r="P2432" s="9" t="inlineStr">
        <is>
          <t>NSMI24070201688</t>
        </is>
      </c>
      <c r="Q2432" s="54">
        <f>MID(P2432,5,2)</f>
        <v/>
      </c>
      <c r="R2432" s="53">
        <f>MID(P2432,7,2)</f>
        <v/>
      </c>
      <c r="S2432" s="3" t="inlineStr">
        <is>
          <t>G2G</t>
        </is>
      </c>
      <c r="T2432" s="3" t="inlineStr">
        <is>
          <t>P4</t>
        </is>
      </c>
      <c r="U2432" s="19" t="inlineStr">
        <is>
          <t>P JB Cold Soldering</t>
        </is>
      </c>
      <c r="V2432" s="19" t="inlineStr">
        <is>
          <t>Soldering</t>
        </is>
      </c>
      <c r="W2432" s="3" t="inlineStr">
        <is>
          <t>Repair</t>
        </is>
      </c>
      <c r="X2432" s="18" t="n">
        <v>46171</v>
      </c>
      <c r="Y2432" s="3">
        <f>X2432-A2432</f>
        <v/>
      </c>
      <c r="Z2432" s="18" t="n">
        <v>46171</v>
      </c>
      <c r="AA2432" s="15" t="n"/>
      <c r="AB2432" s="15" t="n"/>
    </row>
    <row r="2433">
      <c r="A2433" s="37" t="n">
        <v>46143</v>
      </c>
      <c r="B2433" s="3" t="n">
        <v>2026</v>
      </c>
      <c r="C2433" s="26" t="inlineStr">
        <is>
          <t>Yanara Power</t>
        </is>
      </c>
      <c r="D2433" s="3" t="inlineStr">
        <is>
          <t>Utility and C&amp;I</t>
        </is>
      </c>
      <c r="E2433" s="3" t="n"/>
      <c r="F2433" s="3" t="inlineStr">
        <is>
          <t>Closed</t>
        </is>
      </c>
      <c r="G2433" s="9" t="inlineStr">
        <is>
          <t xml:space="preserve">Ashish Jindal </t>
        </is>
      </c>
      <c r="H2433" s="26" t="n">
        <v>9983975581</v>
      </c>
      <c r="I2433" s="38" t="inlineStr">
        <is>
          <t>PE01052601</t>
        </is>
      </c>
      <c r="J2433" s="26" t="inlineStr">
        <is>
          <t>Multiple Issues</t>
        </is>
      </c>
      <c r="K2433" s="39" t="inlineStr">
        <is>
          <t>Holi</t>
        </is>
      </c>
      <c r="L2433" s="39" t="inlineStr">
        <is>
          <t>Maharashtra</t>
        </is>
      </c>
      <c r="M2433" s="46" t="inlineStr">
        <is>
          <t>PS</t>
        </is>
      </c>
      <c r="N2433" s="3" t="inlineStr">
        <is>
          <t>Cold Soldering</t>
        </is>
      </c>
      <c r="O2433" s="56" t="n">
        <v>575</v>
      </c>
      <c r="P2433" s="9" t="inlineStr">
        <is>
          <t>NSMI24070201685</t>
        </is>
      </c>
      <c r="Q2433" s="54">
        <f>MID(P2433,5,2)</f>
        <v/>
      </c>
      <c r="R2433" s="53">
        <f>MID(P2433,7,2)</f>
        <v/>
      </c>
      <c r="S2433" s="3" t="inlineStr">
        <is>
          <t>G2G</t>
        </is>
      </c>
      <c r="T2433" s="3" t="inlineStr">
        <is>
          <t>P4</t>
        </is>
      </c>
      <c r="U2433" s="19" t="inlineStr">
        <is>
          <t>P JB Cold Soldering</t>
        </is>
      </c>
      <c r="V2433" s="19" t="inlineStr">
        <is>
          <t>Soldering</t>
        </is>
      </c>
      <c r="W2433" s="3" t="inlineStr">
        <is>
          <t>Repair</t>
        </is>
      </c>
      <c r="X2433" s="18" t="n">
        <v>46171</v>
      </c>
      <c r="Y2433" s="3">
        <f>X2433-A2433</f>
        <v/>
      </c>
      <c r="Z2433" s="18" t="n">
        <v>46171</v>
      </c>
      <c r="AA2433" s="15" t="n"/>
      <c r="AB2433" s="15" t="n"/>
    </row>
    <row r="2434">
      <c r="A2434" s="37" t="n">
        <v>46143</v>
      </c>
      <c r="B2434" s="3" t="n">
        <v>2026</v>
      </c>
      <c r="C2434" s="26" t="inlineStr">
        <is>
          <t>Yanara Power</t>
        </is>
      </c>
      <c r="D2434" s="3" t="inlineStr">
        <is>
          <t>Utility and C&amp;I</t>
        </is>
      </c>
      <c r="E2434" s="3" t="n"/>
      <c r="F2434" s="3" t="inlineStr">
        <is>
          <t>Closed</t>
        </is>
      </c>
      <c r="G2434" s="9" t="inlineStr">
        <is>
          <t xml:space="preserve">Ashish Jindal </t>
        </is>
      </c>
      <c r="H2434" s="26" t="n">
        <v>9983975581</v>
      </c>
      <c r="I2434" s="38" t="inlineStr">
        <is>
          <t>PE01052601</t>
        </is>
      </c>
      <c r="J2434" s="26" t="inlineStr">
        <is>
          <t>Multiple Issues</t>
        </is>
      </c>
      <c r="K2434" s="39" t="inlineStr">
        <is>
          <t>Holi</t>
        </is>
      </c>
      <c r="L2434" s="39" t="inlineStr">
        <is>
          <t>Maharashtra</t>
        </is>
      </c>
      <c r="M2434" s="46" t="inlineStr">
        <is>
          <t>NS</t>
        </is>
      </c>
      <c r="N2434" s="3" t="inlineStr">
        <is>
          <t>Cold Soldering</t>
        </is>
      </c>
      <c r="O2434" s="56" t="n">
        <v>575</v>
      </c>
      <c r="P2434" s="9" t="inlineStr">
        <is>
          <t>NSMI24070201727</t>
        </is>
      </c>
      <c r="Q2434" s="54">
        <f>MID(P2434,5,2)</f>
        <v/>
      </c>
      <c r="R2434" s="53">
        <f>MID(P2434,7,2)</f>
        <v/>
      </c>
      <c r="S2434" s="3" t="inlineStr">
        <is>
          <t>G2G</t>
        </is>
      </c>
      <c r="T2434" s="3" t="inlineStr">
        <is>
          <t>P4</t>
        </is>
      </c>
      <c r="U2434" s="3" t="inlineStr">
        <is>
          <t>N JB Cold Soldering</t>
        </is>
      </c>
      <c r="V2434" s="3" t="inlineStr">
        <is>
          <t>Soldering</t>
        </is>
      </c>
      <c r="W2434" s="3" t="inlineStr">
        <is>
          <t>Repair</t>
        </is>
      </c>
      <c r="X2434" s="18" t="n">
        <v>46171</v>
      </c>
      <c r="Y2434" s="3">
        <f>X2434-A2434</f>
        <v/>
      </c>
      <c r="Z2434" s="18" t="n">
        <v>46171</v>
      </c>
      <c r="AA2434" s="15" t="n"/>
      <c r="AB2434" s="15" t="n"/>
    </row>
    <row r="2435">
      <c r="A2435" s="37" t="n">
        <v>46143</v>
      </c>
      <c r="B2435" s="3" t="n">
        <v>2026</v>
      </c>
      <c r="C2435" s="26" t="inlineStr">
        <is>
          <t>Yanara Power</t>
        </is>
      </c>
      <c r="D2435" s="3" t="inlineStr">
        <is>
          <t>Utility and C&amp;I</t>
        </is>
      </c>
      <c r="E2435" s="3" t="n"/>
      <c r="F2435" s="3" t="inlineStr">
        <is>
          <t>Closed</t>
        </is>
      </c>
      <c r="G2435" s="9" t="inlineStr">
        <is>
          <t xml:space="preserve">Ashish Jindal </t>
        </is>
      </c>
      <c r="H2435" s="26" t="n">
        <v>9983975581</v>
      </c>
      <c r="I2435" s="38" t="inlineStr">
        <is>
          <t>PE01052601</t>
        </is>
      </c>
      <c r="J2435" s="26" t="inlineStr">
        <is>
          <t>Multiple Issues</t>
        </is>
      </c>
      <c r="K2435" s="39" t="inlineStr">
        <is>
          <t>Holi</t>
        </is>
      </c>
      <c r="L2435" s="39" t="inlineStr">
        <is>
          <t>Maharashtra</t>
        </is>
      </c>
      <c r="M2435" s="46" t="inlineStr">
        <is>
          <t>PS</t>
        </is>
      </c>
      <c r="N2435" s="3" t="inlineStr">
        <is>
          <t>Cold Soldering</t>
        </is>
      </c>
      <c r="O2435" s="56" t="n">
        <v>575</v>
      </c>
      <c r="P2435" s="9" t="inlineStr">
        <is>
          <t>NSMI24070178010</t>
        </is>
      </c>
      <c r="Q2435" s="54">
        <f>MID(P2435,5,2)</f>
        <v/>
      </c>
      <c r="R2435" s="53">
        <f>MID(P2435,7,2)</f>
        <v/>
      </c>
      <c r="S2435" s="3" t="inlineStr">
        <is>
          <t>G2G</t>
        </is>
      </c>
      <c r="T2435" s="3" t="inlineStr">
        <is>
          <t>P4</t>
        </is>
      </c>
      <c r="U2435" s="19" t="inlineStr">
        <is>
          <t>P JB Cold Soldering</t>
        </is>
      </c>
      <c r="V2435" s="19" t="inlineStr">
        <is>
          <t>Soldering</t>
        </is>
      </c>
      <c r="W2435" s="3" t="inlineStr">
        <is>
          <t>Repair</t>
        </is>
      </c>
      <c r="X2435" s="18" t="n">
        <v>46171</v>
      </c>
      <c r="Y2435" s="3">
        <f>X2435-A2435</f>
        <v/>
      </c>
      <c r="Z2435" s="18" t="n">
        <v>46171</v>
      </c>
      <c r="AA2435" s="15" t="n"/>
      <c r="AB2435" s="15" t="n"/>
    </row>
    <row r="2436">
      <c r="A2436" s="37" t="n">
        <v>46143</v>
      </c>
      <c r="B2436" s="3" t="n">
        <v>2026</v>
      </c>
      <c r="C2436" s="26" t="inlineStr">
        <is>
          <t>Yanara Power</t>
        </is>
      </c>
      <c r="D2436" s="3" t="inlineStr">
        <is>
          <t>Utility and C&amp;I</t>
        </is>
      </c>
      <c r="E2436" s="3" t="n"/>
      <c r="F2436" s="3" t="inlineStr">
        <is>
          <t>Closed</t>
        </is>
      </c>
      <c r="G2436" s="9" t="inlineStr">
        <is>
          <t xml:space="preserve">Ashish Jindal </t>
        </is>
      </c>
      <c r="H2436" s="26" t="n">
        <v>9983975581</v>
      </c>
      <c r="I2436" s="38" t="inlineStr">
        <is>
          <t>PE01052601</t>
        </is>
      </c>
      <c r="J2436" s="26" t="inlineStr">
        <is>
          <t>Multiple Issues</t>
        </is>
      </c>
      <c r="K2436" s="39" t="inlineStr">
        <is>
          <t>Holi</t>
        </is>
      </c>
      <c r="L2436" s="39" t="inlineStr">
        <is>
          <t>Maharashtra</t>
        </is>
      </c>
      <c r="M2436" s="46" t="inlineStr">
        <is>
          <t>PS</t>
        </is>
      </c>
      <c r="N2436" s="3" t="inlineStr">
        <is>
          <t>Cold Soldering</t>
        </is>
      </c>
      <c r="O2436" s="56" t="n">
        <v>575</v>
      </c>
      <c r="P2436" s="9" t="inlineStr">
        <is>
          <t>NSMI24070177785</t>
        </is>
      </c>
      <c r="Q2436" s="54">
        <f>MID(P2436,5,2)</f>
        <v/>
      </c>
      <c r="R2436" s="53">
        <f>MID(P2436,7,2)</f>
        <v/>
      </c>
      <c r="S2436" s="3" t="inlineStr">
        <is>
          <t>G2G</t>
        </is>
      </c>
      <c r="T2436" s="3" t="inlineStr">
        <is>
          <t>P4</t>
        </is>
      </c>
      <c r="U2436" s="19" t="inlineStr">
        <is>
          <t>P JB Cold Soldering</t>
        </is>
      </c>
      <c r="V2436" s="19" t="inlineStr">
        <is>
          <t>Soldering</t>
        </is>
      </c>
      <c r="W2436" s="3" t="inlineStr">
        <is>
          <t>Repair</t>
        </is>
      </c>
      <c r="X2436" s="18" t="n">
        <v>46171</v>
      </c>
      <c r="Y2436" s="3">
        <f>X2436-A2436</f>
        <v/>
      </c>
      <c r="Z2436" s="18" t="n">
        <v>46171</v>
      </c>
      <c r="AA2436" s="15" t="n"/>
      <c r="AB2436" s="15" t="n"/>
    </row>
    <row r="2437">
      <c r="A2437" s="37" t="n">
        <v>46143</v>
      </c>
      <c r="B2437" s="3" t="n">
        <v>2026</v>
      </c>
      <c r="C2437" s="26" t="inlineStr">
        <is>
          <t>Yanara Power</t>
        </is>
      </c>
      <c r="D2437" s="3" t="inlineStr">
        <is>
          <t>Utility and C&amp;I</t>
        </is>
      </c>
      <c r="E2437" s="3" t="n"/>
      <c r="F2437" s="3" t="inlineStr">
        <is>
          <t>Closed</t>
        </is>
      </c>
      <c r="G2437" s="9" t="inlineStr">
        <is>
          <t xml:space="preserve">Ashish Jindal </t>
        </is>
      </c>
      <c r="H2437" s="26" t="n">
        <v>9983975581</v>
      </c>
      <c r="I2437" s="38" t="inlineStr">
        <is>
          <t>PE01052601</t>
        </is>
      </c>
      <c r="J2437" s="26" t="inlineStr">
        <is>
          <t>Multiple Issues</t>
        </is>
      </c>
      <c r="K2437" s="39" t="inlineStr">
        <is>
          <t>Holi</t>
        </is>
      </c>
      <c r="L2437" s="39" t="inlineStr">
        <is>
          <t>Maharashtra</t>
        </is>
      </c>
      <c r="M2437" s="46" t="inlineStr">
        <is>
          <t>NS</t>
        </is>
      </c>
      <c r="N2437" s="3" t="inlineStr">
        <is>
          <t>Cold Soldering</t>
        </is>
      </c>
      <c r="O2437" s="56" t="n">
        <v>575</v>
      </c>
      <c r="P2437" s="9" t="inlineStr">
        <is>
          <t>NSMI24070198448</t>
        </is>
      </c>
      <c r="Q2437" s="54">
        <f>MID(P2437,5,2)</f>
        <v/>
      </c>
      <c r="R2437" s="53">
        <f>MID(P2437,7,2)</f>
        <v/>
      </c>
      <c r="S2437" s="3" t="inlineStr">
        <is>
          <t>G2G</t>
        </is>
      </c>
      <c r="T2437" s="3" t="inlineStr">
        <is>
          <t>P4</t>
        </is>
      </c>
      <c r="U2437" s="3" t="inlineStr">
        <is>
          <t>N JB Cold Soldering</t>
        </is>
      </c>
      <c r="V2437" s="3" t="inlineStr">
        <is>
          <t>Soldering</t>
        </is>
      </c>
      <c r="W2437" s="3" t="inlineStr">
        <is>
          <t>Repair</t>
        </is>
      </c>
      <c r="X2437" s="18" t="n">
        <v>46171</v>
      </c>
      <c r="Y2437" s="3">
        <f>X2437-A2437</f>
        <v/>
      </c>
      <c r="Z2437" s="18" t="n">
        <v>46171</v>
      </c>
      <c r="AA2437" s="15" t="n"/>
      <c r="AB2437" s="15" t="n"/>
    </row>
    <row r="2438">
      <c r="A2438" s="37" t="n">
        <v>46143</v>
      </c>
      <c r="B2438" s="3" t="n">
        <v>2026</v>
      </c>
      <c r="C2438" s="26" t="inlineStr">
        <is>
          <t>Yanara Power</t>
        </is>
      </c>
      <c r="D2438" s="3" t="inlineStr">
        <is>
          <t>Utility and C&amp;I</t>
        </is>
      </c>
      <c r="E2438" s="3" t="n"/>
      <c r="F2438" s="3" t="inlineStr">
        <is>
          <t>Closed</t>
        </is>
      </c>
      <c r="G2438" s="9" t="inlineStr">
        <is>
          <t xml:space="preserve">Ashish Jindal </t>
        </is>
      </c>
      <c r="H2438" s="26" t="n">
        <v>9983975581</v>
      </c>
      <c r="I2438" s="38" t="inlineStr">
        <is>
          <t>PE01052601</t>
        </is>
      </c>
      <c r="J2438" s="26" t="inlineStr">
        <is>
          <t>Multiple Issues</t>
        </is>
      </c>
      <c r="K2438" s="39" t="inlineStr">
        <is>
          <t>Holi</t>
        </is>
      </c>
      <c r="L2438" s="39" t="inlineStr">
        <is>
          <t>Maharashtra</t>
        </is>
      </c>
      <c r="M2438" s="46" t="inlineStr">
        <is>
          <t>NS</t>
        </is>
      </c>
      <c r="N2438" s="3" t="inlineStr">
        <is>
          <t>Cold Soldering</t>
        </is>
      </c>
      <c r="O2438" s="56" t="n">
        <v>575</v>
      </c>
      <c r="P2438" s="9" t="inlineStr">
        <is>
          <t>NSMI24070198393</t>
        </is>
      </c>
      <c r="Q2438" s="54">
        <f>MID(P2438,5,2)</f>
        <v/>
      </c>
      <c r="R2438" s="53">
        <f>MID(P2438,7,2)</f>
        <v/>
      </c>
      <c r="S2438" s="3" t="inlineStr">
        <is>
          <t>G2G</t>
        </is>
      </c>
      <c r="T2438" s="3" t="inlineStr">
        <is>
          <t>P4</t>
        </is>
      </c>
      <c r="U2438" s="3" t="inlineStr">
        <is>
          <t>N JB Cold Soldering</t>
        </is>
      </c>
      <c r="V2438" s="3" t="inlineStr">
        <is>
          <t>Soldering</t>
        </is>
      </c>
      <c r="W2438" s="3" t="inlineStr">
        <is>
          <t>Repair</t>
        </is>
      </c>
      <c r="X2438" s="18" t="n">
        <v>46171</v>
      </c>
      <c r="Y2438" s="3">
        <f>X2438-A2438</f>
        <v/>
      </c>
      <c r="Z2438" s="18" t="n">
        <v>46171</v>
      </c>
      <c r="AA2438" s="15" t="n"/>
      <c r="AB2438" s="15" t="n"/>
    </row>
    <row r="2439">
      <c r="A2439" s="37" t="n">
        <v>46143</v>
      </c>
      <c r="B2439" s="3" t="n">
        <v>2026</v>
      </c>
      <c r="C2439" s="26" t="inlineStr">
        <is>
          <t>Yanara Power</t>
        </is>
      </c>
      <c r="D2439" s="3" t="inlineStr">
        <is>
          <t>Utility and C&amp;I</t>
        </is>
      </c>
      <c r="E2439" s="3" t="n"/>
      <c r="F2439" s="3" t="inlineStr">
        <is>
          <t>Closed</t>
        </is>
      </c>
      <c r="G2439" s="9" t="inlineStr">
        <is>
          <t xml:space="preserve">Ashish Jindal </t>
        </is>
      </c>
      <c r="H2439" s="26" t="n">
        <v>9983975581</v>
      </c>
      <c r="I2439" s="38" t="inlineStr">
        <is>
          <t>PE01052601</t>
        </is>
      </c>
      <c r="J2439" s="26" t="inlineStr">
        <is>
          <t>Multiple Issues</t>
        </is>
      </c>
      <c r="K2439" s="39" t="inlineStr">
        <is>
          <t>Holi</t>
        </is>
      </c>
      <c r="L2439" s="39" t="inlineStr">
        <is>
          <t>Maharashtra</t>
        </is>
      </c>
      <c r="M2439" s="46" t="inlineStr">
        <is>
          <t>NS</t>
        </is>
      </c>
      <c r="N2439" s="3" t="inlineStr">
        <is>
          <t>Cold Soldering</t>
        </is>
      </c>
      <c r="O2439" s="56" t="n">
        <v>575</v>
      </c>
      <c r="P2439" s="9" t="inlineStr">
        <is>
          <t>NSMI24070198431</t>
        </is>
      </c>
      <c r="Q2439" s="54">
        <f>MID(P2439,5,2)</f>
        <v/>
      </c>
      <c r="R2439" s="53">
        <f>MID(P2439,7,2)</f>
        <v/>
      </c>
      <c r="S2439" s="3" t="inlineStr">
        <is>
          <t>G2G</t>
        </is>
      </c>
      <c r="T2439" s="3" t="inlineStr">
        <is>
          <t>P4</t>
        </is>
      </c>
      <c r="U2439" s="3" t="inlineStr">
        <is>
          <t>N JB Cold Soldering</t>
        </is>
      </c>
      <c r="V2439" s="3" t="inlineStr">
        <is>
          <t>Soldering</t>
        </is>
      </c>
      <c r="W2439" s="3" t="inlineStr">
        <is>
          <t>Repair</t>
        </is>
      </c>
      <c r="X2439" s="18" t="n">
        <v>46171</v>
      </c>
      <c r="Y2439" s="3">
        <f>X2439-A2439</f>
        <v/>
      </c>
      <c r="Z2439" s="18" t="n">
        <v>46171</v>
      </c>
      <c r="AA2439" s="15" t="n"/>
      <c r="AB2439" s="15" t="n"/>
    </row>
    <row r="2440">
      <c r="A2440" s="37" t="n">
        <v>46143</v>
      </c>
      <c r="B2440" s="3" t="n">
        <v>2026</v>
      </c>
      <c r="C2440" s="26" t="inlineStr">
        <is>
          <t>Yanara Power</t>
        </is>
      </c>
      <c r="D2440" s="3" t="inlineStr">
        <is>
          <t>Utility and C&amp;I</t>
        </is>
      </c>
      <c r="E2440" s="3" t="n"/>
      <c r="F2440" s="3" t="inlineStr">
        <is>
          <t>Closed</t>
        </is>
      </c>
      <c r="G2440" s="9" t="inlineStr">
        <is>
          <t xml:space="preserve">Ashish Jindal </t>
        </is>
      </c>
      <c r="H2440" s="26" t="n">
        <v>9983975581</v>
      </c>
      <c r="I2440" s="38" t="inlineStr">
        <is>
          <t>PE01052601</t>
        </is>
      </c>
      <c r="J2440" s="26" t="inlineStr">
        <is>
          <t>Multiple Issues</t>
        </is>
      </c>
      <c r="K2440" s="39" t="inlineStr">
        <is>
          <t>Holi</t>
        </is>
      </c>
      <c r="L2440" s="39" t="inlineStr">
        <is>
          <t>Maharashtra</t>
        </is>
      </c>
      <c r="M2440" s="46" t="inlineStr">
        <is>
          <t>PS</t>
        </is>
      </c>
      <c r="N2440" s="3" t="inlineStr">
        <is>
          <t>Cold Soldering</t>
        </is>
      </c>
      <c r="O2440" s="56" t="n">
        <v>575</v>
      </c>
      <c r="P2440" s="9" t="inlineStr">
        <is>
          <t>NSMI24070185640</t>
        </is>
      </c>
      <c r="Q2440" s="54">
        <f>MID(P2440,5,2)</f>
        <v/>
      </c>
      <c r="R2440" s="53">
        <f>MID(P2440,7,2)</f>
        <v/>
      </c>
      <c r="S2440" s="3" t="inlineStr">
        <is>
          <t>G2G</t>
        </is>
      </c>
      <c r="T2440" s="3" t="inlineStr">
        <is>
          <t>P4</t>
        </is>
      </c>
      <c r="U2440" s="19" t="inlineStr">
        <is>
          <t>P JB Cold Soldering</t>
        </is>
      </c>
      <c r="V2440" s="19" t="inlineStr">
        <is>
          <t>Soldering</t>
        </is>
      </c>
      <c r="W2440" s="3" t="inlineStr">
        <is>
          <t>Repair</t>
        </is>
      </c>
      <c r="X2440" s="18" t="n">
        <v>46171</v>
      </c>
      <c r="Y2440" s="3">
        <f>X2440-A2440</f>
        <v/>
      </c>
      <c r="Z2440" s="18" t="n">
        <v>46171</v>
      </c>
      <c r="AA2440" s="15" t="n"/>
      <c r="AB2440" s="15" t="n"/>
    </row>
    <row r="2441">
      <c r="A2441" s="37" t="n">
        <v>46143</v>
      </c>
      <c r="B2441" s="3" t="n">
        <v>2026</v>
      </c>
      <c r="C2441" s="26" t="inlineStr">
        <is>
          <t>Yanara Power</t>
        </is>
      </c>
      <c r="D2441" s="3" t="inlineStr">
        <is>
          <t>Utility and C&amp;I</t>
        </is>
      </c>
      <c r="E2441" s="3" t="n"/>
      <c r="F2441" s="3" t="inlineStr">
        <is>
          <t>Closed</t>
        </is>
      </c>
      <c r="G2441" s="9" t="inlineStr">
        <is>
          <t xml:space="preserve">Ashish Jindal </t>
        </is>
      </c>
      <c r="H2441" s="26" t="n">
        <v>9983975581</v>
      </c>
      <c r="I2441" s="38" t="inlineStr">
        <is>
          <t>PE01052601</t>
        </is>
      </c>
      <c r="J2441" s="26" t="inlineStr">
        <is>
          <t>Multiple Issues</t>
        </is>
      </c>
      <c r="K2441" s="39" t="inlineStr">
        <is>
          <t>Holi</t>
        </is>
      </c>
      <c r="L2441" s="39" t="inlineStr">
        <is>
          <t>Maharashtra</t>
        </is>
      </c>
      <c r="M2441" s="46" t="inlineStr">
        <is>
          <t>PS</t>
        </is>
      </c>
      <c r="N2441" s="3" t="inlineStr">
        <is>
          <t>Cold Soldering</t>
        </is>
      </c>
      <c r="O2441" s="56" t="n">
        <v>575</v>
      </c>
      <c r="P2441" s="9" t="inlineStr">
        <is>
          <t>NSMI24070201198</t>
        </is>
      </c>
      <c r="Q2441" s="54">
        <f>MID(P2441,5,2)</f>
        <v/>
      </c>
      <c r="R2441" s="53">
        <f>MID(P2441,7,2)</f>
        <v/>
      </c>
      <c r="S2441" s="3" t="inlineStr">
        <is>
          <t>G2G</t>
        </is>
      </c>
      <c r="T2441" s="3" t="inlineStr">
        <is>
          <t>P4</t>
        </is>
      </c>
      <c r="U2441" s="19" t="inlineStr">
        <is>
          <t>P JB Cold Soldering</t>
        </is>
      </c>
      <c r="V2441" s="19" t="inlineStr">
        <is>
          <t>Soldering</t>
        </is>
      </c>
      <c r="W2441" s="3" t="inlineStr">
        <is>
          <t>Repair</t>
        </is>
      </c>
      <c r="X2441" s="18" t="n">
        <v>46171</v>
      </c>
      <c r="Y2441" s="3">
        <f>X2441-A2441</f>
        <v/>
      </c>
      <c r="Z2441" s="18" t="n">
        <v>46171</v>
      </c>
      <c r="AA2441" s="15" t="n"/>
      <c r="AB2441" s="15" t="n"/>
    </row>
    <row r="2442">
      <c r="A2442" s="37" t="n">
        <v>46143</v>
      </c>
      <c r="B2442" s="3" t="n">
        <v>2026</v>
      </c>
      <c r="C2442" s="26" t="inlineStr">
        <is>
          <t>Yanara Power</t>
        </is>
      </c>
      <c r="D2442" s="3" t="inlineStr">
        <is>
          <t>Utility and C&amp;I</t>
        </is>
      </c>
      <c r="E2442" s="3" t="n"/>
      <c r="F2442" s="3" t="inlineStr">
        <is>
          <t>Closed</t>
        </is>
      </c>
      <c r="G2442" s="9" t="inlineStr">
        <is>
          <t xml:space="preserve">Ashish Jindal </t>
        </is>
      </c>
      <c r="H2442" s="26" t="n">
        <v>9983975581</v>
      </c>
      <c r="I2442" s="38" t="inlineStr">
        <is>
          <t>PE01052601</t>
        </is>
      </c>
      <c r="J2442" s="26" t="inlineStr">
        <is>
          <t>Multiple Issues</t>
        </is>
      </c>
      <c r="K2442" s="39" t="inlineStr">
        <is>
          <t>Holi</t>
        </is>
      </c>
      <c r="L2442" s="39" t="inlineStr">
        <is>
          <t>Maharashtra</t>
        </is>
      </c>
      <c r="M2442" s="46" t="inlineStr">
        <is>
          <t>PS</t>
        </is>
      </c>
      <c r="N2442" s="3" t="inlineStr">
        <is>
          <t>Cold Soldering</t>
        </is>
      </c>
      <c r="O2442" s="56" t="n">
        <v>575</v>
      </c>
      <c r="P2442" s="9" t="inlineStr">
        <is>
          <t>NSMI24070201238</t>
        </is>
      </c>
      <c r="Q2442" s="54">
        <f>MID(P2442,5,2)</f>
        <v/>
      </c>
      <c r="R2442" s="53">
        <f>MID(P2442,7,2)</f>
        <v/>
      </c>
      <c r="S2442" s="3" t="inlineStr">
        <is>
          <t>G2G</t>
        </is>
      </c>
      <c r="T2442" s="3" t="inlineStr">
        <is>
          <t>P4</t>
        </is>
      </c>
      <c r="U2442" s="19" t="inlineStr">
        <is>
          <t>P JB Cold Soldering</t>
        </is>
      </c>
      <c r="V2442" s="19" t="inlineStr">
        <is>
          <t>Soldering</t>
        </is>
      </c>
      <c r="W2442" s="3" t="inlineStr">
        <is>
          <t>Repair</t>
        </is>
      </c>
      <c r="X2442" s="18" t="n">
        <v>46171</v>
      </c>
      <c r="Y2442" s="3">
        <f>X2442-A2442</f>
        <v/>
      </c>
      <c r="Z2442" s="18" t="n">
        <v>46171</v>
      </c>
      <c r="AA2442" s="15" t="n"/>
      <c r="AB2442" s="15" t="n"/>
    </row>
    <row r="2443">
      <c r="A2443" s="37" t="n">
        <v>46143</v>
      </c>
      <c r="B2443" s="3" t="n">
        <v>2026</v>
      </c>
      <c r="C2443" s="26" t="inlineStr">
        <is>
          <t>Yanara Power</t>
        </is>
      </c>
      <c r="D2443" s="3" t="inlineStr">
        <is>
          <t>Utility and C&amp;I</t>
        </is>
      </c>
      <c r="E2443" s="3" t="n"/>
      <c r="F2443" s="3" t="inlineStr">
        <is>
          <t>Closed</t>
        </is>
      </c>
      <c r="G2443" s="9" t="inlineStr">
        <is>
          <t xml:space="preserve">Ashish Jindal </t>
        </is>
      </c>
      <c r="H2443" s="26" t="n">
        <v>9983975581</v>
      </c>
      <c r="I2443" s="38" t="inlineStr">
        <is>
          <t>PE01052601</t>
        </is>
      </c>
      <c r="J2443" s="26" t="inlineStr">
        <is>
          <t>Multiple Issues</t>
        </is>
      </c>
      <c r="K2443" s="39" t="inlineStr">
        <is>
          <t>Holi</t>
        </is>
      </c>
      <c r="L2443" s="39" t="inlineStr">
        <is>
          <t>Maharashtra</t>
        </is>
      </c>
      <c r="M2443" s="46" t="inlineStr">
        <is>
          <t>PS</t>
        </is>
      </c>
      <c r="N2443" s="3" t="inlineStr">
        <is>
          <t>Cold Soldering</t>
        </is>
      </c>
      <c r="O2443" s="56" t="n">
        <v>575</v>
      </c>
      <c r="P2443" s="9" t="inlineStr">
        <is>
          <t>NSMI24070201235</t>
        </is>
      </c>
      <c r="Q2443" s="54">
        <f>MID(P2443,5,2)</f>
        <v/>
      </c>
      <c r="R2443" s="53">
        <f>MID(P2443,7,2)</f>
        <v/>
      </c>
      <c r="S2443" s="3" t="inlineStr">
        <is>
          <t>G2G</t>
        </is>
      </c>
      <c r="T2443" s="3" t="inlineStr">
        <is>
          <t>P4</t>
        </is>
      </c>
      <c r="U2443" s="19" t="inlineStr">
        <is>
          <t>P JB Cold Soldering</t>
        </is>
      </c>
      <c r="V2443" s="19" t="inlineStr">
        <is>
          <t>Soldering</t>
        </is>
      </c>
      <c r="W2443" s="3" t="inlineStr">
        <is>
          <t>Repair</t>
        </is>
      </c>
      <c r="X2443" s="18" t="n">
        <v>46171</v>
      </c>
      <c r="Y2443" s="3">
        <f>X2443-A2443</f>
        <v/>
      </c>
      <c r="Z2443" s="18" t="n">
        <v>46171</v>
      </c>
      <c r="AA2443" s="15" t="n"/>
      <c r="AB2443" s="15" t="n"/>
    </row>
    <row r="2444">
      <c r="A2444" s="37" t="n">
        <v>46143</v>
      </c>
      <c r="B2444" s="3" t="n">
        <v>2026</v>
      </c>
      <c r="C2444" s="26" t="inlineStr">
        <is>
          <t>Yanara Power</t>
        </is>
      </c>
      <c r="D2444" s="3" t="inlineStr">
        <is>
          <t>Utility and C&amp;I</t>
        </is>
      </c>
      <c r="E2444" s="3" t="n"/>
      <c r="F2444" s="3" t="inlineStr">
        <is>
          <t>Closed</t>
        </is>
      </c>
      <c r="G2444" s="9" t="inlineStr">
        <is>
          <t xml:space="preserve">Ashish Jindal </t>
        </is>
      </c>
      <c r="H2444" s="26" t="n">
        <v>9983975581</v>
      </c>
      <c r="I2444" s="38" t="inlineStr">
        <is>
          <t>PE01052601</t>
        </is>
      </c>
      <c r="J2444" s="26" t="inlineStr">
        <is>
          <t>Multiple Issues</t>
        </is>
      </c>
      <c r="K2444" s="39" t="inlineStr">
        <is>
          <t>Holi</t>
        </is>
      </c>
      <c r="L2444" s="39" t="inlineStr">
        <is>
          <t>Maharashtra</t>
        </is>
      </c>
      <c r="M2444" s="46" t="inlineStr">
        <is>
          <t>PS</t>
        </is>
      </c>
      <c r="N2444" s="3" t="inlineStr">
        <is>
          <t>Cold Soldering</t>
        </is>
      </c>
      <c r="O2444" s="56" t="n">
        <v>575</v>
      </c>
      <c r="P2444" s="9" t="inlineStr">
        <is>
          <t>NSMI24070196768</t>
        </is>
      </c>
      <c r="Q2444" s="54">
        <f>MID(P2444,5,2)</f>
        <v/>
      </c>
      <c r="R2444" s="53">
        <f>MID(P2444,7,2)</f>
        <v/>
      </c>
      <c r="S2444" s="3" t="inlineStr">
        <is>
          <t>G2G</t>
        </is>
      </c>
      <c r="T2444" s="3" t="inlineStr">
        <is>
          <t>P4</t>
        </is>
      </c>
      <c r="U2444" s="19" t="inlineStr">
        <is>
          <t>P JB Cold Soldering</t>
        </is>
      </c>
      <c r="V2444" s="19" t="inlineStr">
        <is>
          <t>Soldering</t>
        </is>
      </c>
      <c r="W2444" s="3" t="inlineStr">
        <is>
          <t>Repair</t>
        </is>
      </c>
      <c r="X2444" s="18" t="n">
        <v>46171</v>
      </c>
      <c r="Y2444" s="3">
        <f>X2444-A2444</f>
        <v/>
      </c>
      <c r="Z2444" s="18" t="n">
        <v>46171</v>
      </c>
      <c r="AA2444" s="15" t="n"/>
      <c r="AB2444" s="15" t="n"/>
    </row>
    <row r="2445">
      <c r="A2445" s="37" t="n">
        <v>46143</v>
      </c>
      <c r="B2445" s="3" t="n">
        <v>2026</v>
      </c>
      <c r="C2445" s="26" t="inlineStr">
        <is>
          <t>Yanara Power</t>
        </is>
      </c>
      <c r="D2445" s="3" t="inlineStr">
        <is>
          <t>Utility and C&amp;I</t>
        </is>
      </c>
      <c r="E2445" s="3" t="n"/>
      <c r="F2445" s="3" t="inlineStr">
        <is>
          <t>Closed</t>
        </is>
      </c>
      <c r="G2445" s="9" t="inlineStr">
        <is>
          <t xml:space="preserve">Ashish Jindal </t>
        </is>
      </c>
      <c r="H2445" s="26" t="n">
        <v>9983975581</v>
      </c>
      <c r="I2445" s="38" t="inlineStr">
        <is>
          <t>PE01052601</t>
        </is>
      </c>
      <c r="J2445" s="26" t="inlineStr">
        <is>
          <t>Multiple Issues</t>
        </is>
      </c>
      <c r="K2445" s="39" t="inlineStr">
        <is>
          <t>Holi</t>
        </is>
      </c>
      <c r="L2445" s="39" t="inlineStr">
        <is>
          <t>Maharashtra</t>
        </is>
      </c>
      <c r="M2445" s="46" t="inlineStr">
        <is>
          <t>PS</t>
        </is>
      </c>
      <c r="N2445" s="3" t="inlineStr">
        <is>
          <t>Cold Soldering</t>
        </is>
      </c>
      <c r="O2445" s="56" t="n">
        <v>575</v>
      </c>
      <c r="P2445" s="9" t="inlineStr">
        <is>
          <t>NSMI24070201674</t>
        </is>
      </c>
      <c r="Q2445" s="54">
        <f>MID(P2445,5,2)</f>
        <v/>
      </c>
      <c r="R2445" s="53">
        <f>MID(P2445,7,2)</f>
        <v/>
      </c>
      <c r="S2445" s="3" t="inlineStr">
        <is>
          <t>G2G</t>
        </is>
      </c>
      <c r="T2445" s="3" t="inlineStr">
        <is>
          <t>P4</t>
        </is>
      </c>
      <c r="U2445" s="19" t="inlineStr">
        <is>
          <t>P JB Cold Soldering</t>
        </is>
      </c>
      <c r="V2445" s="19" t="inlineStr">
        <is>
          <t>Soldering</t>
        </is>
      </c>
      <c r="W2445" s="3" t="inlineStr">
        <is>
          <t>Repair</t>
        </is>
      </c>
      <c r="X2445" s="18" t="n">
        <v>46171</v>
      </c>
      <c r="Y2445" s="3">
        <f>X2445-A2445</f>
        <v/>
      </c>
      <c r="Z2445" s="18" t="n">
        <v>46171</v>
      </c>
      <c r="AA2445" s="15" t="n"/>
      <c r="AB2445" s="15" t="n"/>
    </row>
    <row r="2446">
      <c r="A2446" s="37" t="n">
        <v>46143</v>
      </c>
      <c r="B2446" s="3" t="n">
        <v>2026</v>
      </c>
      <c r="C2446" s="26" t="inlineStr">
        <is>
          <t>Yanara Power</t>
        </is>
      </c>
      <c r="D2446" s="3" t="inlineStr">
        <is>
          <t>Utility and C&amp;I</t>
        </is>
      </c>
      <c r="E2446" s="3" t="n"/>
      <c r="F2446" s="3" t="inlineStr">
        <is>
          <t>Closed</t>
        </is>
      </c>
      <c r="G2446" s="9" t="inlineStr">
        <is>
          <t xml:space="preserve">Ashish Jindal </t>
        </is>
      </c>
      <c r="H2446" s="26" t="n">
        <v>9983975581</v>
      </c>
      <c r="I2446" s="38" t="inlineStr">
        <is>
          <t>PE01052601</t>
        </is>
      </c>
      <c r="J2446" s="26" t="inlineStr">
        <is>
          <t>Multiple Issues</t>
        </is>
      </c>
      <c r="K2446" s="39" t="inlineStr">
        <is>
          <t>Holi</t>
        </is>
      </c>
      <c r="L2446" s="39" t="inlineStr">
        <is>
          <t>Maharashtra</t>
        </is>
      </c>
      <c r="M2446" s="46" t="inlineStr">
        <is>
          <t>NS</t>
        </is>
      </c>
      <c r="N2446" s="3" t="inlineStr">
        <is>
          <t>Cold Soldering</t>
        </is>
      </c>
      <c r="O2446" s="56" t="n">
        <v>575</v>
      </c>
      <c r="P2446" s="9" t="inlineStr">
        <is>
          <t>NSMI24070201690</t>
        </is>
      </c>
      <c r="Q2446" s="54">
        <f>MID(P2446,5,2)</f>
        <v/>
      </c>
      <c r="R2446" s="53">
        <f>MID(P2446,7,2)</f>
        <v/>
      </c>
      <c r="S2446" s="3" t="inlineStr">
        <is>
          <t>G2G</t>
        </is>
      </c>
      <c r="T2446" s="3" t="inlineStr">
        <is>
          <t>P4</t>
        </is>
      </c>
      <c r="U2446" s="3" t="inlineStr">
        <is>
          <t>N JB Cold Soldering</t>
        </is>
      </c>
      <c r="V2446" s="3" t="inlineStr">
        <is>
          <t>Soldering</t>
        </is>
      </c>
      <c r="W2446" s="3" t="inlineStr">
        <is>
          <t>Repair</t>
        </is>
      </c>
      <c r="X2446" s="18" t="n">
        <v>46171</v>
      </c>
      <c r="Y2446" s="3">
        <f>X2446-A2446</f>
        <v/>
      </c>
      <c r="Z2446" s="18" t="n">
        <v>46171</v>
      </c>
      <c r="AA2446" s="15" t="n"/>
      <c r="AB2446" s="15" t="n"/>
    </row>
    <row r="2447">
      <c r="A2447" s="37" t="n">
        <v>46143</v>
      </c>
      <c r="B2447" s="3" t="n">
        <v>2026</v>
      </c>
      <c r="C2447" s="26" t="inlineStr">
        <is>
          <t>Yanara Power</t>
        </is>
      </c>
      <c r="D2447" s="3" t="inlineStr">
        <is>
          <t>Utility and C&amp;I</t>
        </is>
      </c>
      <c r="E2447" s="3" t="n"/>
      <c r="F2447" s="3" t="inlineStr">
        <is>
          <t>Closed</t>
        </is>
      </c>
      <c r="G2447" s="9" t="inlineStr">
        <is>
          <t xml:space="preserve">Ashish Jindal </t>
        </is>
      </c>
      <c r="H2447" s="26" t="n">
        <v>9983975581</v>
      </c>
      <c r="I2447" s="38" t="inlineStr">
        <is>
          <t>PE01052601</t>
        </is>
      </c>
      <c r="J2447" s="26" t="inlineStr">
        <is>
          <t>Multiple Issues</t>
        </is>
      </c>
      <c r="K2447" s="39" t="inlineStr">
        <is>
          <t>Holi</t>
        </is>
      </c>
      <c r="L2447" s="39" t="inlineStr">
        <is>
          <t>Maharashtra</t>
        </is>
      </c>
      <c r="M2447" s="46" t="inlineStr">
        <is>
          <t>PS</t>
        </is>
      </c>
      <c r="N2447" s="3" t="inlineStr">
        <is>
          <t>Cold Soldering</t>
        </is>
      </c>
      <c r="O2447" s="56" t="n">
        <v>575</v>
      </c>
      <c r="P2447" s="9" t="inlineStr">
        <is>
          <t>NSMI24070184596</t>
        </is>
      </c>
      <c r="Q2447" s="54">
        <f>MID(P2447,5,2)</f>
        <v/>
      </c>
      <c r="R2447" s="53">
        <f>MID(P2447,7,2)</f>
        <v/>
      </c>
      <c r="S2447" s="3" t="inlineStr">
        <is>
          <t>G2G</t>
        </is>
      </c>
      <c r="T2447" s="3" t="inlineStr">
        <is>
          <t>P4</t>
        </is>
      </c>
      <c r="U2447" s="19" t="inlineStr">
        <is>
          <t>P JB Cold Soldering</t>
        </is>
      </c>
      <c r="V2447" s="19" t="inlineStr">
        <is>
          <t>Soldering</t>
        </is>
      </c>
      <c r="W2447" s="3" t="inlineStr">
        <is>
          <t>Repair</t>
        </is>
      </c>
      <c r="X2447" s="18" t="n">
        <v>46171</v>
      </c>
      <c r="Y2447" s="3">
        <f>X2447-A2447</f>
        <v/>
      </c>
      <c r="Z2447" s="18" t="n">
        <v>46171</v>
      </c>
      <c r="AA2447" s="15" t="n"/>
      <c r="AB2447" s="15" t="n"/>
    </row>
    <row r="2448">
      <c r="A2448" s="37" t="n">
        <v>46143</v>
      </c>
      <c r="B2448" s="3" t="n">
        <v>2026</v>
      </c>
      <c r="C2448" s="26" t="inlineStr">
        <is>
          <t>Yanara Power</t>
        </is>
      </c>
      <c r="D2448" s="3" t="inlineStr">
        <is>
          <t>Utility and C&amp;I</t>
        </is>
      </c>
      <c r="E2448" s="3" t="n"/>
      <c r="F2448" s="3" t="inlineStr">
        <is>
          <t>Closed</t>
        </is>
      </c>
      <c r="G2448" s="9" t="inlineStr">
        <is>
          <t xml:space="preserve">Ashish Jindal </t>
        </is>
      </c>
      <c r="H2448" s="26" t="n">
        <v>9983975581</v>
      </c>
      <c r="I2448" s="38" t="inlineStr">
        <is>
          <t>PE01052601</t>
        </is>
      </c>
      <c r="J2448" s="26" t="inlineStr">
        <is>
          <t>Multiple Issues</t>
        </is>
      </c>
      <c r="K2448" s="39" t="inlineStr">
        <is>
          <t>Holi</t>
        </is>
      </c>
      <c r="L2448" s="39" t="inlineStr">
        <is>
          <t>Maharashtra</t>
        </is>
      </c>
      <c r="M2448" s="46" t="inlineStr">
        <is>
          <t>PS</t>
        </is>
      </c>
      <c r="N2448" s="3" t="inlineStr">
        <is>
          <t>Cold Soldering</t>
        </is>
      </c>
      <c r="O2448" s="56" t="n">
        <v>575</v>
      </c>
      <c r="P2448" s="9" t="inlineStr">
        <is>
          <t>NSMI24070214656</t>
        </is>
      </c>
      <c r="Q2448" s="54">
        <f>MID(P2448,5,2)</f>
        <v/>
      </c>
      <c r="R2448" s="53">
        <f>MID(P2448,7,2)</f>
        <v/>
      </c>
      <c r="S2448" s="3" t="inlineStr">
        <is>
          <t>G2G</t>
        </is>
      </c>
      <c r="T2448" s="3" t="inlineStr">
        <is>
          <t>P4</t>
        </is>
      </c>
      <c r="U2448" s="19" t="inlineStr">
        <is>
          <t>P JB Cold Soldering</t>
        </is>
      </c>
      <c r="V2448" s="19" t="inlineStr">
        <is>
          <t>Soldering</t>
        </is>
      </c>
      <c r="W2448" s="3" t="inlineStr">
        <is>
          <t>Repair</t>
        </is>
      </c>
      <c r="X2448" s="18" t="n">
        <v>46171</v>
      </c>
      <c r="Y2448" s="3">
        <f>X2448-A2448</f>
        <v/>
      </c>
      <c r="Z2448" s="18" t="n">
        <v>46171</v>
      </c>
      <c r="AA2448" s="15" t="n"/>
      <c r="AB2448" s="15" t="n"/>
    </row>
    <row r="2449">
      <c r="A2449" s="37" t="n">
        <v>46143</v>
      </c>
      <c r="B2449" s="3" t="n">
        <v>2026</v>
      </c>
      <c r="C2449" s="26" t="inlineStr">
        <is>
          <t>Yanara Power</t>
        </is>
      </c>
      <c r="D2449" s="3" t="inlineStr">
        <is>
          <t>Utility and C&amp;I</t>
        </is>
      </c>
      <c r="E2449" s="3" t="n"/>
      <c r="F2449" s="3" t="inlineStr">
        <is>
          <t>Closed</t>
        </is>
      </c>
      <c r="G2449" s="9" t="inlineStr">
        <is>
          <t xml:space="preserve">Ashish Jindal </t>
        </is>
      </c>
      <c r="H2449" s="26" t="n">
        <v>9983975581</v>
      </c>
      <c r="I2449" s="38" t="inlineStr">
        <is>
          <t>PE01052601</t>
        </is>
      </c>
      <c r="J2449" s="26" t="inlineStr">
        <is>
          <t>Multiple Issues</t>
        </is>
      </c>
      <c r="K2449" s="39" t="inlineStr">
        <is>
          <t>Holi</t>
        </is>
      </c>
      <c r="L2449" s="39" t="inlineStr">
        <is>
          <t>Maharashtra</t>
        </is>
      </c>
      <c r="M2449" s="46" t="inlineStr">
        <is>
          <t>PS</t>
        </is>
      </c>
      <c r="N2449" s="3" t="inlineStr">
        <is>
          <t>Cold Soldering</t>
        </is>
      </c>
      <c r="O2449" s="56" t="n">
        <v>575</v>
      </c>
      <c r="P2449" s="9" t="inlineStr">
        <is>
          <t>NSMI24070240927</t>
        </is>
      </c>
      <c r="Q2449" s="54">
        <f>MID(P2449,5,2)</f>
        <v/>
      </c>
      <c r="R2449" s="53">
        <f>MID(P2449,7,2)</f>
        <v/>
      </c>
      <c r="S2449" s="3" t="inlineStr">
        <is>
          <t>G2G</t>
        </is>
      </c>
      <c r="T2449" s="3" t="inlineStr">
        <is>
          <t>P4</t>
        </is>
      </c>
      <c r="U2449" s="19" t="inlineStr">
        <is>
          <t>P JB Cold Soldering</t>
        </is>
      </c>
      <c r="V2449" s="19" t="inlineStr">
        <is>
          <t>Soldering</t>
        </is>
      </c>
      <c r="W2449" s="3" t="inlineStr">
        <is>
          <t>Repair</t>
        </is>
      </c>
      <c r="X2449" s="18" t="n">
        <v>46171</v>
      </c>
      <c r="Y2449" s="3">
        <f>X2449-A2449</f>
        <v/>
      </c>
      <c r="Z2449" s="18" t="n">
        <v>46171</v>
      </c>
      <c r="AA2449" s="15" t="n"/>
      <c r="AB2449" s="15" t="n"/>
    </row>
    <row r="2450">
      <c r="A2450" s="37" t="n">
        <v>46143</v>
      </c>
      <c r="B2450" s="3" t="n">
        <v>2026</v>
      </c>
      <c r="C2450" s="26" t="inlineStr">
        <is>
          <t>Yanara Power</t>
        </is>
      </c>
      <c r="D2450" s="3" t="inlineStr">
        <is>
          <t>Utility and C&amp;I</t>
        </is>
      </c>
      <c r="E2450" s="3" t="n"/>
      <c r="F2450" s="3" t="inlineStr">
        <is>
          <t>Closed</t>
        </is>
      </c>
      <c r="G2450" s="9" t="inlineStr">
        <is>
          <t xml:space="preserve">Ashish Jindal </t>
        </is>
      </c>
      <c r="H2450" s="26" t="n">
        <v>9983975581</v>
      </c>
      <c r="I2450" s="38" t="inlineStr">
        <is>
          <t>PE01052601</t>
        </is>
      </c>
      <c r="J2450" s="26" t="inlineStr">
        <is>
          <t>Multiple Issues</t>
        </is>
      </c>
      <c r="K2450" s="39" t="inlineStr">
        <is>
          <t>Holi</t>
        </is>
      </c>
      <c r="L2450" s="39" t="inlineStr">
        <is>
          <t>Maharashtra</t>
        </is>
      </c>
      <c r="M2450" s="46" t="inlineStr">
        <is>
          <t>NS</t>
        </is>
      </c>
      <c r="N2450" s="3" t="inlineStr">
        <is>
          <t>Cold Soldering</t>
        </is>
      </c>
      <c r="O2450" s="56" t="n">
        <v>575</v>
      </c>
      <c r="P2450" s="9" t="inlineStr">
        <is>
          <t>NSMI24070240830</t>
        </is>
      </c>
      <c r="Q2450" s="54">
        <f>MID(P2450,5,2)</f>
        <v/>
      </c>
      <c r="R2450" s="53">
        <f>MID(P2450,7,2)</f>
        <v/>
      </c>
      <c r="S2450" s="3" t="inlineStr">
        <is>
          <t>G2G</t>
        </is>
      </c>
      <c r="T2450" s="3" t="inlineStr">
        <is>
          <t>P4</t>
        </is>
      </c>
      <c r="U2450" s="3" t="inlineStr">
        <is>
          <t>N JB Cold Soldering</t>
        </is>
      </c>
      <c r="V2450" s="3" t="inlineStr">
        <is>
          <t>Soldering</t>
        </is>
      </c>
      <c r="W2450" s="3" t="inlineStr">
        <is>
          <t>Repair</t>
        </is>
      </c>
      <c r="X2450" s="18" t="n">
        <v>46171</v>
      </c>
      <c r="Y2450" s="3">
        <f>X2450-A2450</f>
        <v/>
      </c>
      <c r="Z2450" s="18" t="n">
        <v>46171</v>
      </c>
      <c r="AA2450" s="15" t="n"/>
      <c r="AB2450" s="15" t="n"/>
    </row>
    <row r="2451">
      <c r="A2451" s="37" t="n">
        <v>46143</v>
      </c>
      <c r="B2451" s="3" t="n">
        <v>2026</v>
      </c>
      <c r="C2451" s="26" t="inlineStr">
        <is>
          <t>Yanara Power</t>
        </is>
      </c>
      <c r="D2451" s="3" t="inlineStr">
        <is>
          <t>Utility and C&amp;I</t>
        </is>
      </c>
      <c r="E2451" s="3" t="n"/>
      <c r="F2451" s="3" t="inlineStr">
        <is>
          <t>Closed</t>
        </is>
      </c>
      <c r="G2451" s="9" t="inlineStr">
        <is>
          <t xml:space="preserve">Ashish Jindal </t>
        </is>
      </c>
      <c r="H2451" s="26" t="n">
        <v>9983975581</v>
      </c>
      <c r="I2451" s="38" t="inlineStr">
        <is>
          <t>PE01052601</t>
        </is>
      </c>
      <c r="J2451" s="26" t="inlineStr">
        <is>
          <t>Multiple Issues</t>
        </is>
      </c>
      <c r="K2451" s="39" t="inlineStr">
        <is>
          <t>Holi</t>
        </is>
      </c>
      <c r="L2451" s="39" t="inlineStr">
        <is>
          <t>Maharashtra</t>
        </is>
      </c>
      <c r="M2451" s="46" t="inlineStr">
        <is>
          <t>NS</t>
        </is>
      </c>
      <c r="N2451" s="3" t="inlineStr">
        <is>
          <t>Cold Soldering</t>
        </is>
      </c>
      <c r="O2451" s="56" t="n">
        <v>575</v>
      </c>
      <c r="P2451" s="9" t="inlineStr">
        <is>
          <t>NSMI24070221537</t>
        </is>
      </c>
      <c r="Q2451" s="54">
        <f>MID(P2451,5,2)</f>
        <v/>
      </c>
      <c r="R2451" s="53">
        <f>MID(P2451,7,2)</f>
        <v/>
      </c>
      <c r="S2451" s="3" t="inlineStr">
        <is>
          <t>G2G</t>
        </is>
      </c>
      <c r="T2451" s="3" t="inlineStr">
        <is>
          <t>P4</t>
        </is>
      </c>
      <c r="U2451" s="3" t="inlineStr">
        <is>
          <t>N JB Cold Soldering</t>
        </is>
      </c>
      <c r="V2451" s="3" t="inlineStr">
        <is>
          <t>Soldering</t>
        </is>
      </c>
      <c r="W2451" s="3" t="inlineStr">
        <is>
          <t>Repair</t>
        </is>
      </c>
      <c r="X2451" s="18" t="n">
        <v>46171</v>
      </c>
      <c r="Y2451" s="3">
        <f>X2451-A2451</f>
        <v/>
      </c>
      <c r="Z2451" s="18" t="n">
        <v>46171</v>
      </c>
      <c r="AA2451" s="15" t="n"/>
      <c r="AB2451" s="15" t="n"/>
    </row>
    <row r="2452">
      <c r="A2452" s="37" t="n">
        <v>46143</v>
      </c>
      <c r="B2452" s="3" t="n">
        <v>2026</v>
      </c>
      <c r="C2452" s="26" t="inlineStr">
        <is>
          <t>Yanara Power</t>
        </is>
      </c>
      <c r="D2452" s="3" t="inlineStr">
        <is>
          <t>Utility and C&amp;I</t>
        </is>
      </c>
      <c r="E2452" s="3" t="n"/>
      <c r="F2452" s="3" t="inlineStr">
        <is>
          <t>Closed</t>
        </is>
      </c>
      <c r="G2452" s="9" t="inlineStr">
        <is>
          <t xml:space="preserve">Ashish Jindal </t>
        </is>
      </c>
      <c r="H2452" s="26" t="n">
        <v>9983975581</v>
      </c>
      <c r="I2452" s="38" t="inlineStr">
        <is>
          <t>PE01052601</t>
        </is>
      </c>
      <c r="J2452" s="26" t="inlineStr">
        <is>
          <t>Multiple Issues</t>
        </is>
      </c>
      <c r="K2452" s="39" t="inlineStr">
        <is>
          <t>Holi</t>
        </is>
      </c>
      <c r="L2452" s="39" t="inlineStr">
        <is>
          <t>Maharashtra</t>
        </is>
      </c>
      <c r="M2452" s="46" t="inlineStr">
        <is>
          <t>PS</t>
        </is>
      </c>
      <c r="N2452" s="3" t="inlineStr">
        <is>
          <t>Cold Soldering</t>
        </is>
      </c>
      <c r="O2452" s="56" t="n">
        <v>575</v>
      </c>
      <c r="P2452" s="9" t="inlineStr">
        <is>
          <t>NSMI24070221576</t>
        </is>
      </c>
      <c r="Q2452" s="54">
        <f>MID(P2452,5,2)</f>
        <v/>
      </c>
      <c r="R2452" s="53">
        <f>MID(P2452,7,2)</f>
        <v/>
      </c>
      <c r="S2452" s="3" t="inlineStr">
        <is>
          <t>G2G</t>
        </is>
      </c>
      <c r="T2452" s="3" t="inlineStr">
        <is>
          <t>P4</t>
        </is>
      </c>
      <c r="U2452" s="19" t="inlineStr">
        <is>
          <t>P JB Cold Soldering</t>
        </is>
      </c>
      <c r="V2452" s="19" t="inlineStr">
        <is>
          <t>Soldering</t>
        </is>
      </c>
      <c r="W2452" s="3" t="inlineStr">
        <is>
          <t>Repair</t>
        </is>
      </c>
      <c r="X2452" s="18" t="n">
        <v>46171</v>
      </c>
      <c r="Y2452" s="3">
        <f>X2452-A2452</f>
        <v/>
      </c>
      <c r="Z2452" s="18" t="n">
        <v>46171</v>
      </c>
      <c r="AA2452" s="15" t="n"/>
      <c r="AB2452" s="15" t="n"/>
    </row>
    <row r="2453">
      <c r="A2453" s="37" t="n">
        <v>46143</v>
      </c>
      <c r="B2453" s="3" t="n">
        <v>2026</v>
      </c>
      <c r="C2453" s="26" t="inlineStr">
        <is>
          <t>Yanara Power</t>
        </is>
      </c>
      <c r="D2453" s="3" t="inlineStr">
        <is>
          <t>Utility and C&amp;I</t>
        </is>
      </c>
      <c r="E2453" s="3" t="n"/>
      <c r="F2453" s="3" t="inlineStr">
        <is>
          <t>Closed</t>
        </is>
      </c>
      <c r="G2453" s="9" t="inlineStr">
        <is>
          <t xml:space="preserve">Ashish Jindal </t>
        </is>
      </c>
      <c r="H2453" s="26" t="n">
        <v>9983975581</v>
      </c>
      <c r="I2453" s="38" t="inlineStr">
        <is>
          <t>PE01052601</t>
        </is>
      </c>
      <c r="J2453" s="26" t="inlineStr">
        <is>
          <t>Multiple Issues</t>
        </is>
      </c>
      <c r="K2453" s="39" t="inlineStr">
        <is>
          <t>Holi</t>
        </is>
      </c>
      <c r="L2453" s="39" t="inlineStr">
        <is>
          <t>Maharashtra</t>
        </is>
      </c>
      <c r="M2453" s="46" t="inlineStr">
        <is>
          <t>PS</t>
        </is>
      </c>
      <c r="N2453" s="3" t="inlineStr">
        <is>
          <t>Cold Soldering</t>
        </is>
      </c>
      <c r="O2453" s="56" t="n">
        <v>575</v>
      </c>
      <c r="P2453" s="9" t="inlineStr">
        <is>
          <t>NSMI24070190298</t>
        </is>
      </c>
      <c r="Q2453" s="54">
        <f>MID(P2453,5,2)</f>
        <v/>
      </c>
      <c r="R2453" s="53">
        <f>MID(P2453,7,2)</f>
        <v/>
      </c>
      <c r="S2453" s="3" t="inlineStr">
        <is>
          <t>G2G</t>
        </is>
      </c>
      <c r="T2453" s="3" t="inlineStr">
        <is>
          <t>P4</t>
        </is>
      </c>
      <c r="U2453" s="19" t="inlineStr">
        <is>
          <t>P JB Cold Soldering</t>
        </is>
      </c>
      <c r="V2453" s="19" t="inlineStr">
        <is>
          <t>Soldering</t>
        </is>
      </c>
      <c r="W2453" s="3" t="inlineStr">
        <is>
          <t>Repair</t>
        </is>
      </c>
      <c r="X2453" s="18" t="n">
        <v>46171</v>
      </c>
      <c r="Y2453" s="3">
        <f>X2453-A2453</f>
        <v/>
      </c>
      <c r="Z2453" s="18" t="n">
        <v>46171</v>
      </c>
      <c r="AA2453" s="15" t="n"/>
      <c r="AB2453" s="15" t="n"/>
    </row>
    <row r="2454">
      <c r="A2454" s="37" t="n">
        <v>46143</v>
      </c>
      <c r="B2454" s="3" t="n">
        <v>2026</v>
      </c>
      <c r="C2454" s="26" t="inlineStr">
        <is>
          <t>Yanara Power</t>
        </is>
      </c>
      <c r="D2454" s="3" t="inlineStr">
        <is>
          <t>Utility and C&amp;I</t>
        </is>
      </c>
      <c r="E2454" s="3" t="n"/>
      <c r="F2454" s="3" t="inlineStr">
        <is>
          <t>Closed</t>
        </is>
      </c>
      <c r="G2454" s="9" t="inlineStr">
        <is>
          <t xml:space="preserve">Ashish Jindal </t>
        </is>
      </c>
      <c r="H2454" s="26" t="n">
        <v>9983975581</v>
      </c>
      <c r="I2454" s="38" t="inlineStr">
        <is>
          <t>PE01052601</t>
        </is>
      </c>
      <c r="J2454" s="26" t="inlineStr">
        <is>
          <t>Multiple Issues</t>
        </is>
      </c>
      <c r="K2454" s="39" t="inlineStr">
        <is>
          <t>Holi</t>
        </is>
      </c>
      <c r="L2454" s="39" t="inlineStr">
        <is>
          <t>Maharashtra</t>
        </is>
      </c>
      <c r="M2454" s="46" t="inlineStr">
        <is>
          <t>NS</t>
        </is>
      </c>
      <c r="N2454" s="3" t="inlineStr">
        <is>
          <t>Cold Soldering</t>
        </is>
      </c>
      <c r="O2454" s="56" t="n">
        <v>575</v>
      </c>
      <c r="P2454" s="9" t="inlineStr">
        <is>
          <t>NSMI24070201415</t>
        </is>
      </c>
      <c r="Q2454" s="54">
        <f>MID(P2454,5,2)</f>
        <v/>
      </c>
      <c r="R2454" s="53">
        <f>MID(P2454,7,2)</f>
        <v/>
      </c>
      <c r="S2454" s="3" t="inlineStr">
        <is>
          <t>G2G</t>
        </is>
      </c>
      <c r="T2454" s="3" t="inlineStr">
        <is>
          <t>P4</t>
        </is>
      </c>
      <c r="U2454" s="3" t="inlineStr">
        <is>
          <t>N JB Cold Soldering</t>
        </is>
      </c>
      <c r="V2454" s="3" t="inlineStr">
        <is>
          <t>Soldering</t>
        </is>
      </c>
      <c r="W2454" s="3" t="inlineStr">
        <is>
          <t>Repair</t>
        </is>
      </c>
      <c r="X2454" s="18" t="n">
        <v>46171</v>
      </c>
      <c r="Y2454" s="3">
        <f>X2454-A2454</f>
        <v/>
      </c>
      <c r="Z2454" s="18" t="n">
        <v>46171</v>
      </c>
      <c r="AA2454" s="15" t="n"/>
      <c r="AB2454" s="15" t="n"/>
    </row>
    <row r="2455">
      <c r="A2455" s="37" t="n">
        <v>46143</v>
      </c>
      <c r="B2455" s="3" t="n">
        <v>2026</v>
      </c>
      <c r="C2455" s="26" t="inlineStr">
        <is>
          <t>Yanara Power</t>
        </is>
      </c>
      <c r="D2455" s="3" t="inlineStr">
        <is>
          <t>Utility and C&amp;I</t>
        </is>
      </c>
      <c r="E2455" s="3" t="n"/>
      <c r="F2455" s="3" t="inlineStr">
        <is>
          <t>Closed</t>
        </is>
      </c>
      <c r="G2455" s="9" t="inlineStr">
        <is>
          <t xml:space="preserve">Ashish Jindal </t>
        </is>
      </c>
      <c r="H2455" s="26" t="n">
        <v>9983975581</v>
      </c>
      <c r="I2455" s="38" t="inlineStr">
        <is>
          <t>PE01052601</t>
        </is>
      </c>
      <c r="J2455" s="26" t="inlineStr">
        <is>
          <t>Multiple Issues</t>
        </is>
      </c>
      <c r="K2455" s="39" t="inlineStr">
        <is>
          <t>Holi</t>
        </is>
      </c>
      <c r="L2455" s="39" t="inlineStr">
        <is>
          <t>Maharashtra</t>
        </is>
      </c>
      <c r="M2455" s="46" t="inlineStr">
        <is>
          <t>NS</t>
        </is>
      </c>
      <c r="N2455" s="3" t="inlineStr">
        <is>
          <t>Cold Soldering</t>
        </is>
      </c>
      <c r="O2455" s="56" t="n">
        <v>575</v>
      </c>
      <c r="P2455" s="9" t="inlineStr">
        <is>
          <t>NSMI24070201417</t>
        </is>
      </c>
      <c r="Q2455" s="54">
        <f>MID(P2455,5,2)</f>
        <v/>
      </c>
      <c r="R2455" s="53">
        <f>MID(P2455,7,2)</f>
        <v/>
      </c>
      <c r="S2455" s="3" t="inlineStr">
        <is>
          <t>G2G</t>
        </is>
      </c>
      <c r="T2455" s="3" t="inlineStr">
        <is>
          <t>P4</t>
        </is>
      </c>
      <c r="U2455" s="3" t="inlineStr">
        <is>
          <t>N JB Cold Soldering</t>
        </is>
      </c>
      <c r="V2455" s="3" t="inlineStr">
        <is>
          <t>Soldering</t>
        </is>
      </c>
      <c r="W2455" s="3" t="inlineStr">
        <is>
          <t>Repair</t>
        </is>
      </c>
      <c r="X2455" s="18" t="n">
        <v>46171</v>
      </c>
      <c r="Y2455" s="3">
        <f>X2455-A2455</f>
        <v/>
      </c>
      <c r="Z2455" s="18" t="n">
        <v>46171</v>
      </c>
      <c r="AA2455" s="15" t="n"/>
      <c r="AB2455" s="15" t="n"/>
    </row>
    <row r="2456">
      <c r="A2456" s="37" t="n">
        <v>46143</v>
      </c>
      <c r="B2456" s="3" t="n">
        <v>2026</v>
      </c>
      <c r="C2456" s="26" t="inlineStr">
        <is>
          <t>Yanara Power</t>
        </is>
      </c>
      <c r="D2456" s="3" t="inlineStr">
        <is>
          <t>Utility and C&amp;I</t>
        </is>
      </c>
      <c r="E2456" s="3" t="n"/>
      <c r="F2456" s="3" t="inlineStr">
        <is>
          <t>Closed</t>
        </is>
      </c>
      <c r="G2456" s="9" t="inlineStr">
        <is>
          <t xml:space="preserve">Ashish Jindal </t>
        </is>
      </c>
      <c r="H2456" s="26" t="n">
        <v>9983975581</v>
      </c>
      <c r="I2456" s="38" t="inlineStr">
        <is>
          <t>PE01052601</t>
        </is>
      </c>
      <c r="J2456" s="26" t="inlineStr">
        <is>
          <t>Multiple Issues</t>
        </is>
      </c>
      <c r="K2456" s="39" t="inlineStr">
        <is>
          <t>Holi</t>
        </is>
      </c>
      <c r="L2456" s="39" t="inlineStr">
        <is>
          <t>Maharashtra</t>
        </is>
      </c>
      <c r="M2456" s="46" t="inlineStr">
        <is>
          <t>PS</t>
        </is>
      </c>
      <c r="N2456" s="3" t="inlineStr">
        <is>
          <t>Cold Soldering</t>
        </is>
      </c>
      <c r="O2456" s="56" t="n">
        <v>575</v>
      </c>
      <c r="P2456" s="9" t="inlineStr">
        <is>
          <t>NSMI24070201673</t>
        </is>
      </c>
      <c r="Q2456" s="54">
        <f>MID(P2456,5,2)</f>
        <v/>
      </c>
      <c r="R2456" s="53">
        <f>MID(P2456,7,2)</f>
        <v/>
      </c>
      <c r="S2456" s="3" t="inlineStr">
        <is>
          <t>G2G</t>
        </is>
      </c>
      <c r="T2456" s="3" t="inlineStr">
        <is>
          <t>P4</t>
        </is>
      </c>
      <c r="U2456" s="19" t="inlineStr">
        <is>
          <t>P JB Cold Soldering</t>
        </is>
      </c>
      <c r="V2456" s="19" t="inlineStr">
        <is>
          <t>Soldering</t>
        </is>
      </c>
      <c r="W2456" s="3" t="inlineStr">
        <is>
          <t>Repair</t>
        </is>
      </c>
      <c r="X2456" s="18" t="n">
        <v>46171</v>
      </c>
      <c r="Y2456" s="3">
        <f>X2456-A2456</f>
        <v/>
      </c>
      <c r="Z2456" s="18" t="n">
        <v>46171</v>
      </c>
      <c r="AA2456" s="15" t="n"/>
      <c r="AB2456" s="15" t="n"/>
    </row>
    <row r="2457">
      <c r="A2457" s="37" t="n">
        <v>46143</v>
      </c>
      <c r="B2457" s="3" t="n">
        <v>2026</v>
      </c>
      <c r="C2457" s="26" t="inlineStr">
        <is>
          <t>Yanara Power</t>
        </is>
      </c>
      <c r="D2457" s="3" t="inlineStr">
        <is>
          <t>Utility and C&amp;I</t>
        </is>
      </c>
      <c r="E2457" s="3" t="n"/>
      <c r="F2457" s="3" t="inlineStr">
        <is>
          <t>Closed</t>
        </is>
      </c>
      <c r="G2457" s="9" t="inlineStr">
        <is>
          <t xml:space="preserve">Ashish Jindal </t>
        </is>
      </c>
      <c r="H2457" s="26" t="n">
        <v>9983975581</v>
      </c>
      <c r="I2457" s="38" t="inlineStr">
        <is>
          <t>PE01052601</t>
        </is>
      </c>
      <c r="J2457" s="26" t="inlineStr">
        <is>
          <t>Multiple Issues</t>
        </is>
      </c>
      <c r="K2457" s="39" t="inlineStr">
        <is>
          <t>Holi</t>
        </is>
      </c>
      <c r="L2457" s="39" t="inlineStr">
        <is>
          <t>Maharashtra</t>
        </is>
      </c>
      <c r="M2457" s="46" t="inlineStr">
        <is>
          <t>PS</t>
        </is>
      </c>
      <c r="N2457" s="3" t="inlineStr">
        <is>
          <t>Cold Soldering</t>
        </is>
      </c>
      <c r="O2457" s="56" t="n">
        <v>575</v>
      </c>
      <c r="P2457" s="9" t="inlineStr">
        <is>
          <t>NSMI24070202057</t>
        </is>
      </c>
      <c r="Q2457" s="54">
        <f>MID(P2457,5,2)</f>
        <v/>
      </c>
      <c r="R2457" s="53">
        <f>MID(P2457,7,2)</f>
        <v/>
      </c>
      <c r="S2457" s="3" t="inlineStr">
        <is>
          <t>G2G</t>
        </is>
      </c>
      <c r="T2457" s="3" t="inlineStr">
        <is>
          <t>P4</t>
        </is>
      </c>
      <c r="U2457" s="19" t="inlineStr">
        <is>
          <t>P JB Cold Soldering</t>
        </is>
      </c>
      <c r="V2457" s="19" t="inlineStr">
        <is>
          <t>Soldering</t>
        </is>
      </c>
      <c r="W2457" s="3" t="inlineStr">
        <is>
          <t>Repair</t>
        </is>
      </c>
      <c r="X2457" s="18" t="n">
        <v>46171</v>
      </c>
      <c r="Y2457" s="3">
        <f>X2457-A2457</f>
        <v/>
      </c>
      <c r="Z2457" s="18" t="n">
        <v>46171</v>
      </c>
      <c r="AA2457" s="15" t="n"/>
      <c r="AB2457" s="15" t="n"/>
    </row>
    <row r="2458">
      <c r="A2458" s="37" t="n">
        <v>46143</v>
      </c>
      <c r="B2458" s="3" t="n">
        <v>2026</v>
      </c>
      <c r="C2458" s="26" t="inlineStr">
        <is>
          <t>Yanara Power</t>
        </is>
      </c>
      <c r="D2458" s="3" t="inlineStr">
        <is>
          <t>Utility and C&amp;I</t>
        </is>
      </c>
      <c r="E2458" s="3" t="n"/>
      <c r="F2458" s="3" t="inlineStr">
        <is>
          <t>Closed</t>
        </is>
      </c>
      <c r="G2458" s="9" t="inlineStr">
        <is>
          <t xml:space="preserve">Ashish Jindal </t>
        </is>
      </c>
      <c r="H2458" s="26" t="n">
        <v>9983975581</v>
      </c>
      <c r="I2458" s="38" t="inlineStr">
        <is>
          <t>PE01052601</t>
        </is>
      </c>
      <c r="J2458" s="26" t="inlineStr">
        <is>
          <t>Multiple Issues</t>
        </is>
      </c>
      <c r="K2458" s="39" t="inlineStr">
        <is>
          <t>Holi</t>
        </is>
      </c>
      <c r="L2458" s="39" t="inlineStr">
        <is>
          <t>Maharashtra</t>
        </is>
      </c>
      <c r="M2458" s="46" t="inlineStr">
        <is>
          <t>PS</t>
        </is>
      </c>
      <c r="N2458" s="3" t="inlineStr">
        <is>
          <t>Cold Soldering</t>
        </is>
      </c>
      <c r="O2458" s="56" t="n">
        <v>575</v>
      </c>
      <c r="P2458" s="9" t="inlineStr">
        <is>
          <t>NSMI24070202054</t>
        </is>
      </c>
      <c r="Q2458" s="54">
        <f>MID(P2458,5,2)</f>
        <v/>
      </c>
      <c r="R2458" s="53">
        <f>MID(P2458,7,2)</f>
        <v/>
      </c>
      <c r="S2458" s="3" t="inlineStr">
        <is>
          <t>G2G</t>
        </is>
      </c>
      <c r="T2458" s="3" t="inlineStr">
        <is>
          <t>P4</t>
        </is>
      </c>
      <c r="U2458" s="19" t="inlineStr">
        <is>
          <t>P JB Cold Soldering</t>
        </is>
      </c>
      <c r="V2458" s="19" t="inlineStr">
        <is>
          <t>Soldering</t>
        </is>
      </c>
      <c r="W2458" s="3" t="inlineStr">
        <is>
          <t>Repair</t>
        </is>
      </c>
      <c r="X2458" s="18" t="n">
        <v>46171</v>
      </c>
      <c r="Y2458" s="3">
        <f>X2458-A2458</f>
        <v/>
      </c>
      <c r="Z2458" s="18" t="n">
        <v>46171</v>
      </c>
      <c r="AA2458" s="15" t="n"/>
      <c r="AB2458" s="15" t="n"/>
    </row>
    <row r="2459">
      <c r="A2459" s="37" t="n">
        <v>46143</v>
      </c>
      <c r="B2459" s="3" t="n">
        <v>2026</v>
      </c>
      <c r="C2459" s="26" t="inlineStr">
        <is>
          <t>Yanara Power</t>
        </is>
      </c>
      <c r="D2459" s="3" t="inlineStr">
        <is>
          <t>Utility and C&amp;I</t>
        </is>
      </c>
      <c r="E2459" s="3" t="n"/>
      <c r="F2459" s="3" t="inlineStr">
        <is>
          <t>Closed</t>
        </is>
      </c>
      <c r="G2459" s="9" t="inlineStr">
        <is>
          <t xml:space="preserve">Ashish Jindal </t>
        </is>
      </c>
      <c r="H2459" s="26" t="n">
        <v>9983975581</v>
      </c>
      <c r="I2459" s="38" t="inlineStr">
        <is>
          <t>PE01052601</t>
        </is>
      </c>
      <c r="J2459" s="26" t="inlineStr">
        <is>
          <t>Multiple Issues</t>
        </is>
      </c>
      <c r="K2459" s="39" t="inlineStr">
        <is>
          <t>Holi</t>
        </is>
      </c>
      <c r="L2459" s="39" t="inlineStr">
        <is>
          <t>Maharashtra</t>
        </is>
      </c>
      <c r="M2459" s="46" t="inlineStr">
        <is>
          <t>PS</t>
        </is>
      </c>
      <c r="N2459" s="3" t="inlineStr">
        <is>
          <t>Cold Soldering</t>
        </is>
      </c>
      <c r="O2459" s="56" t="n">
        <v>575</v>
      </c>
      <c r="P2459" s="9" t="inlineStr">
        <is>
          <t>NSMI24070201849</t>
        </is>
      </c>
      <c r="Q2459" s="54">
        <f>MID(P2459,5,2)</f>
        <v/>
      </c>
      <c r="R2459" s="53">
        <f>MID(P2459,7,2)</f>
        <v/>
      </c>
      <c r="S2459" s="3" t="inlineStr">
        <is>
          <t>G2G</t>
        </is>
      </c>
      <c r="T2459" s="3" t="inlineStr">
        <is>
          <t>P4</t>
        </is>
      </c>
      <c r="U2459" s="19" t="inlineStr">
        <is>
          <t>P JB Cold Soldering</t>
        </is>
      </c>
      <c r="V2459" s="19" t="inlineStr">
        <is>
          <t>Soldering</t>
        </is>
      </c>
      <c r="W2459" s="3" t="inlineStr">
        <is>
          <t>Repair</t>
        </is>
      </c>
      <c r="X2459" s="18" t="n">
        <v>46171</v>
      </c>
      <c r="Y2459" s="3">
        <f>X2459-A2459</f>
        <v/>
      </c>
      <c r="Z2459" s="18" t="n">
        <v>46171</v>
      </c>
      <c r="AA2459" s="15" t="n"/>
      <c r="AB2459" s="15" t="n"/>
    </row>
    <row r="2460">
      <c r="A2460" s="37" t="n">
        <v>46143</v>
      </c>
      <c r="B2460" s="3" t="n">
        <v>2026</v>
      </c>
      <c r="C2460" s="26" t="inlineStr">
        <is>
          <t>Yanara Power</t>
        </is>
      </c>
      <c r="D2460" s="3" t="inlineStr">
        <is>
          <t>Utility and C&amp;I</t>
        </is>
      </c>
      <c r="E2460" s="3" t="n"/>
      <c r="F2460" s="3" t="inlineStr">
        <is>
          <t>Closed</t>
        </is>
      </c>
      <c r="G2460" s="9" t="inlineStr">
        <is>
          <t xml:space="preserve">Ashish Jindal </t>
        </is>
      </c>
      <c r="H2460" s="26" t="n">
        <v>9983975581</v>
      </c>
      <c r="I2460" s="38" t="inlineStr">
        <is>
          <t>PE01052601</t>
        </is>
      </c>
      <c r="J2460" s="26" t="inlineStr">
        <is>
          <t>Multiple Issues</t>
        </is>
      </c>
      <c r="K2460" s="39" t="inlineStr">
        <is>
          <t>Holi</t>
        </is>
      </c>
      <c r="L2460" s="39" t="inlineStr">
        <is>
          <t>Maharashtra</t>
        </is>
      </c>
      <c r="M2460" s="46" t="inlineStr">
        <is>
          <t>PS</t>
        </is>
      </c>
      <c r="N2460" s="3" t="inlineStr">
        <is>
          <t>Cold Soldering</t>
        </is>
      </c>
      <c r="O2460" s="56" t="n">
        <v>575</v>
      </c>
      <c r="P2460" s="9" t="inlineStr">
        <is>
          <t>NSMI24070201820</t>
        </is>
      </c>
      <c r="Q2460" s="54">
        <f>MID(P2460,5,2)</f>
        <v/>
      </c>
      <c r="R2460" s="53">
        <f>MID(P2460,7,2)</f>
        <v/>
      </c>
      <c r="S2460" s="3" t="inlineStr">
        <is>
          <t>G2G</t>
        </is>
      </c>
      <c r="T2460" s="3" t="inlineStr">
        <is>
          <t>P4</t>
        </is>
      </c>
      <c r="U2460" s="19" t="inlineStr">
        <is>
          <t>P JB Cold Soldering</t>
        </is>
      </c>
      <c r="V2460" s="19" t="inlineStr">
        <is>
          <t>Soldering</t>
        </is>
      </c>
      <c r="W2460" s="3" t="inlineStr">
        <is>
          <t>Repair</t>
        </is>
      </c>
      <c r="X2460" s="18" t="n">
        <v>46171</v>
      </c>
      <c r="Y2460" s="3">
        <f>X2460-A2460</f>
        <v/>
      </c>
      <c r="Z2460" s="18" t="n">
        <v>46171</v>
      </c>
      <c r="AA2460" s="15" t="n"/>
      <c r="AB2460" s="15" t="n"/>
    </row>
    <row r="2461">
      <c r="A2461" s="37" t="n">
        <v>46143</v>
      </c>
      <c r="B2461" s="3" t="n">
        <v>2026</v>
      </c>
      <c r="C2461" s="26" t="inlineStr">
        <is>
          <t>Yanara Power</t>
        </is>
      </c>
      <c r="D2461" s="3" t="inlineStr">
        <is>
          <t>Utility and C&amp;I</t>
        </is>
      </c>
      <c r="E2461" s="3" t="n"/>
      <c r="F2461" s="3" t="inlineStr">
        <is>
          <t>Closed</t>
        </is>
      </c>
      <c r="G2461" s="9" t="inlineStr">
        <is>
          <t xml:space="preserve">Ashish Jindal </t>
        </is>
      </c>
      <c r="H2461" s="26" t="n">
        <v>9983975581</v>
      </c>
      <c r="I2461" s="38" t="inlineStr">
        <is>
          <t>PE01052601</t>
        </is>
      </c>
      <c r="J2461" s="26" t="inlineStr">
        <is>
          <t>Multiple Issues</t>
        </is>
      </c>
      <c r="K2461" s="39" t="inlineStr">
        <is>
          <t>Holi</t>
        </is>
      </c>
      <c r="L2461" s="39" t="inlineStr">
        <is>
          <t>Maharashtra</t>
        </is>
      </c>
      <c r="M2461" s="46" t="inlineStr">
        <is>
          <t>PS</t>
        </is>
      </c>
      <c r="N2461" s="3" t="inlineStr">
        <is>
          <t>Cold Soldering</t>
        </is>
      </c>
      <c r="O2461" s="56" t="n">
        <v>575</v>
      </c>
      <c r="P2461" s="9" t="inlineStr">
        <is>
          <t>NSMI24070201855</t>
        </is>
      </c>
      <c r="Q2461" s="54">
        <f>MID(P2461,5,2)</f>
        <v/>
      </c>
      <c r="R2461" s="53">
        <f>MID(P2461,7,2)</f>
        <v/>
      </c>
      <c r="S2461" s="3" t="inlineStr">
        <is>
          <t>G2G</t>
        </is>
      </c>
      <c r="T2461" s="3" t="inlineStr">
        <is>
          <t>P4</t>
        </is>
      </c>
      <c r="U2461" s="19" t="inlineStr">
        <is>
          <t>P JB Cold Soldering</t>
        </is>
      </c>
      <c r="V2461" s="19" t="inlineStr">
        <is>
          <t>Soldering</t>
        </is>
      </c>
      <c r="W2461" s="3" t="inlineStr">
        <is>
          <t>Repair</t>
        </is>
      </c>
      <c r="X2461" s="18" t="n">
        <v>46171</v>
      </c>
      <c r="Y2461" s="3">
        <f>X2461-A2461</f>
        <v/>
      </c>
      <c r="Z2461" s="18" t="n">
        <v>46171</v>
      </c>
      <c r="AA2461" s="15" t="n"/>
      <c r="AB2461" s="15" t="n"/>
    </row>
    <row r="2462">
      <c r="A2462" s="37" t="n">
        <v>46143</v>
      </c>
      <c r="B2462" s="3" t="n">
        <v>2026</v>
      </c>
      <c r="C2462" s="26" t="inlineStr">
        <is>
          <t>Yanara Power</t>
        </is>
      </c>
      <c r="D2462" s="3" t="inlineStr">
        <is>
          <t>Utility and C&amp;I</t>
        </is>
      </c>
      <c r="E2462" s="3" t="n"/>
      <c r="F2462" s="3" t="inlineStr">
        <is>
          <t>Closed</t>
        </is>
      </c>
      <c r="G2462" s="9" t="inlineStr">
        <is>
          <t xml:space="preserve">Ashish Jindal </t>
        </is>
      </c>
      <c r="H2462" s="26" t="n">
        <v>9983975581</v>
      </c>
      <c r="I2462" s="38" t="inlineStr">
        <is>
          <t>PE01052601</t>
        </is>
      </c>
      <c r="J2462" s="26" t="inlineStr">
        <is>
          <t>Multiple Issues</t>
        </is>
      </c>
      <c r="K2462" s="39" t="inlineStr">
        <is>
          <t>Holi</t>
        </is>
      </c>
      <c r="L2462" s="39" t="inlineStr">
        <is>
          <t>Maharashtra</t>
        </is>
      </c>
      <c r="M2462" s="46" t="inlineStr">
        <is>
          <t>PS</t>
        </is>
      </c>
      <c r="N2462" s="3" t="inlineStr">
        <is>
          <t>Cold Soldering</t>
        </is>
      </c>
      <c r="O2462" s="56" t="n">
        <v>575</v>
      </c>
      <c r="P2462" s="9" t="inlineStr">
        <is>
          <t>NSMI24070185462</t>
        </is>
      </c>
      <c r="Q2462" s="54">
        <f>MID(P2462,5,2)</f>
        <v/>
      </c>
      <c r="R2462" s="53">
        <f>MID(P2462,7,2)</f>
        <v/>
      </c>
      <c r="S2462" s="3" t="inlineStr">
        <is>
          <t>G2G</t>
        </is>
      </c>
      <c r="T2462" s="3" t="inlineStr">
        <is>
          <t>P4</t>
        </is>
      </c>
      <c r="U2462" s="19" t="inlineStr">
        <is>
          <t>P JB Cold Soldering</t>
        </is>
      </c>
      <c r="V2462" s="19" t="inlineStr">
        <is>
          <t>Soldering</t>
        </is>
      </c>
      <c r="W2462" s="3" t="inlineStr">
        <is>
          <t>Repair</t>
        </is>
      </c>
      <c r="X2462" s="18" t="n">
        <v>46171</v>
      </c>
      <c r="Y2462" s="3">
        <f>X2462-A2462</f>
        <v/>
      </c>
      <c r="Z2462" s="18" t="n">
        <v>46171</v>
      </c>
      <c r="AA2462" s="15" t="n"/>
      <c r="AB2462" s="15" t="n"/>
    </row>
    <row r="2463">
      <c r="A2463" s="37" t="n">
        <v>46143</v>
      </c>
      <c r="B2463" s="3" t="n">
        <v>2026</v>
      </c>
      <c r="C2463" s="26" t="inlineStr">
        <is>
          <t>Yanara Power</t>
        </is>
      </c>
      <c r="D2463" s="3" t="inlineStr">
        <is>
          <t>Utility and C&amp;I</t>
        </is>
      </c>
      <c r="E2463" s="3" t="n"/>
      <c r="F2463" s="3" t="inlineStr">
        <is>
          <t>Closed</t>
        </is>
      </c>
      <c r="G2463" s="9" t="inlineStr">
        <is>
          <t xml:space="preserve">Ashish Jindal </t>
        </is>
      </c>
      <c r="H2463" s="26" t="n">
        <v>9983975581</v>
      </c>
      <c r="I2463" s="38" t="inlineStr">
        <is>
          <t>PE01052601</t>
        </is>
      </c>
      <c r="J2463" s="26" t="inlineStr">
        <is>
          <t>Multiple Issues</t>
        </is>
      </c>
      <c r="K2463" s="39" t="inlineStr">
        <is>
          <t>Holi</t>
        </is>
      </c>
      <c r="L2463" s="39" t="inlineStr">
        <is>
          <t>Maharashtra</t>
        </is>
      </c>
      <c r="M2463" s="46" t="inlineStr">
        <is>
          <t>PS</t>
        </is>
      </c>
      <c r="N2463" s="3" t="inlineStr">
        <is>
          <t>Cold Soldering</t>
        </is>
      </c>
      <c r="O2463" s="56" t="n">
        <v>575</v>
      </c>
      <c r="P2463" s="9" t="inlineStr">
        <is>
          <t>NSMI24070221410</t>
        </is>
      </c>
      <c r="Q2463" s="54">
        <f>MID(P2463,5,2)</f>
        <v/>
      </c>
      <c r="R2463" s="53">
        <f>MID(P2463,7,2)</f>
        <v/>
      </c>
      <c r="S2463" s="3" t="inlineStr">
        <is>
          <t>G2G</t>
        </is>
      </c>
      <c r="T2463" s="3" t="inlineStr">
        <is>
          <t>P4</t>
        </is>
      </c>
      <c r="U2463" s="19" t="inlineStr">
        <is>
          <t>P JB Cold Soldering</t>
        </is>
      </c>
      <c r="V2463" s="19" t="inlineStr">
        <is>
          <t>Soldering</t>
        </is>
      </c>
      <c r="W2463" s="3" t="inlineStr">
        <is>
          <t>Repair</t>
        </is>
      </c>
      <c r="X2463" s="18" t="n">
        <v>46171</v>
      </c>
      <c r="Y2463" s="3">
        <f>X2463-A2463</f>
        <v/>
      </c>
      <c r="Z2463" s="18" t="n">
        <v>46171</v>
      </c>
      <c r="AA2463" s="15" t="n"/>
      <c r="AB2463" s="15" t="n"/>
    </row>
    <row r="2464">
      <c r="A2464" s="37" t="n">
        <v>46143</v>
      </c>
      <c r="B2464" s="3" t="n">
        <v>2026</v>
      </c>
      <c r="C2464" s="26" t="inlineStr">
        <is>
          <t>Yanara Power</t>
        </is>
      </c>
      <c r="D2464" s="3" t="inlineStr">
        <is>
          <t>Utility and C&amp;I</t>
        </is>
      </c>
      <c r="E2464" s="3" t="n"/>
      <c r="F2464" s="3" t="inlineStr">
        <is>
          <t>Closed</t>
        </is>
      </c>
      <c r="G2464" s="9" t="inlineStr">
        <is>
          <t xml:space="preserve">Ashish Jindal </t>
        </is>
      </c>
      <c r="H2464" s="26" t="n">
        <v>9983975581</v>
      </c>
      <c r="I2464" s="38" t="inlineStr">
        <is>
          <t>PE01052601</t>
        </is>
      </c>
      <c r="J2464" s="26" t="inlineStr">
        <is>
          <t>Multiple Issues</t>
        </is>
      </c>
      <c r="K2464" s="39" t="inlineStr">
        <is>
          <t>Holi</t>
        </is>
      </c>
      <c r="L2464" s="39" t="inlineStr">
        <is>
          <t>Maharashtra</t>
        </is>
      </c>
      <c r="M2464" s="46" t="inlineStr">
        <is>
          <t>PS</t>
        </is>
      </c>
      <c r="N2464" s="3" t="inlineStr">
        <is>
          <t>Cold Soldering</t>
        </is>
      </c>
      <c r="O2464" s="56" t="n">
        <v>575</v>
      </c>
      <c r="P2464" s="9" t="inlineStr">
        <is>
          <t>NSMI24070221393</t>
        </is>
      </c>
      <c r="Q2464" s="54">
        <f>MID(P2464,5,2)</f>
        <v/>
      </c>
      <c r="R2464" s="53">
        <f>MID(P2464,7,2)</f>
        <v/>
      </c>
      <c r="S2464" s="3" t="inlineStr">
        <is>
          <t>G2G</t>
        </is>
      </c>
      <c r="T2464" s="3" t="inlineStr">
        <is>
          <t>P4</t>
        </is>
      </c>
      <c r="U2464" s="19" t="inlineStr">
        <is>
          <t>P JB Cold Soldering</t>
        </is>
      </c>
      <c r="V2464" s="19" t="inlineStr">
        <is>
          <t>Soldering</t>
        </is>
      </c>
      <c r="W2464" s="3" t="inlineStr">
        <is>
          <t>Repair</t>
        </is>
      </c>
      <c r="X2464" s="18" t="n">
        <v>46171</v>
      </c>
      <c r="Y2464" s="3">
        <f>X2464-A2464</f>
        <v/>
      </c>
      <c r="Z2464" s="18" t="n">
        <v>46171</v>
      </c>
      <c r="AA2464" s="15" t="n"/>
      <c r="AB2464" s="15" t="n"/>
    </row>
    <row r="2465">
      <c r="A2465" s="37" t="n">
        <v>46143</v>
      </c>
      <c r="B2465" s="3" t="n">
        <v>2026</v>
      </c>
      <c r="C2465" s="26" t="inlineStr">
        <is>
          <t>Yanara Power</t>
        </is>
      </c>
      <c r="D2465" s="3" t="inlineStr">
        <is>
          <t>Utility and C&amp;I</t>
        </is>
      </c>
      <c r="E2465" s="3" t="n"/>
      <c r="F2465" s="3" t="inlineStr">
        <is>
          <t>Closed</t>
        </is>
      </c>
      <c r="G2465" s="9" t="inlineStr">
        <is>
          <t xml:space="preserve">Ashish Jindal </t>
        </is>
      </c>
      <c r="H2465" s="26" t="n">
        <v>9983975581</v>
      </c>
      <c r="I2465" s="38" t="inlineStr">
        <is>
          <t>PE01052601</t>
        </is>
      </c>
      <c r="J2465" s="26" t="inlineStr">
        <is>
          <t>Multiple Issues</t>
        </is>
      </c>
      <c r="K2465" s="39" t="inlineStr">
        <is>
          <t>Holi</t>
        </is>
      </c>
      <c r="L2465" s="39" t="inlineStr">
        <is>
          <t>Maharashtra</t>
        </is>
      </c>
      <c r="M2465" s="46" t="inlineStr">
        <is>
          <t>PS</t>
        </is>
      </c>
      <c r="N2465" s="3" t="inlineStr">
        <is>
          <t>Cold Soldering</t>
        </is>
      </c>
      <c r="O2465" s="56" t="n">
        <v>575</v>
      </c>
      <c r="P2465" s="9" t="inlineStr">
        <is>
          <t>NSMI24070221394</t>
        </is>
      </c>
      <c r="Q2465" s="54">
        <f>MID(P2465,5,2)</f>
        <v/>
      </c>
      <c r="R2465" s="53">
        <f>MID(P2465,7,2)</f>
        <v/>
      </c>
      <c r="S2465" s="3" t="inlineStr">
        <is>
          <t>G2G</t>
        </is>
      </c>
      <c r="T2465" s="3" t="inlineStr">
        <is>
          <t>P4</t>
        </is>
      </c>
      <c r="U2465" s="19" t="inlineStr">
        <is>
          <t>P JB Cold Soldering</t>
        </is>
      </c>
      <c r="V2465" s="19" t="inlineStr">
        <is>
          <t>Soldering</t>
        </is>
      </c>
      <c r="W2465" s="3" t="inlineStr">
        <is>
          <t>Repair</t>
        </is>
      </c>
      <c r="X2465" s="18" t="n">
        <v>46171</v>
      </c>
      <c r="Y2465" s="3">
        <f>X2465-A2465</f>
        <v/>
      </c>
      <c r="Z2465" s="18" t="n">
        <v>46171</v>
      </c>
      <c r="AA2465" s="15" t="n"/>
      <c r="AB2465" s="15" t="n"/>
    </row>
    <row r="2466">
      <c r="A2466" s="37" t="n">
        <v>46143</v>
      </c>
      <c r="B2466" s="3" t="n">
        <v>2026</v>
      </c>
      <c r="C2466" s="26" t="inlineStr">
        <is>
          <t>Yanara Power</t>
        </is>
      </c>
      <c r="D2466" s="3" t="inlineStr">
        <is>
          <t>Utility and C&amp;I</t>
        </is>
      </c>
      <c r="E2466" s="3" t="n"/>
      <c r="F2466" s="3" t="inlineStr">
        <is>
          <t>Closed</t>
        </is>
      </c>
      <c r="G2466" s="9" t="inlineStr">
        <is>
          <t xml:space="preserve">Ashish Jindal </t>
        </is>
      </c>
      <c r="H2466" s="26" t="n">
        <v>9983975581</v>
      </c>
      <c r="I2466" s="38" t="inlineStr">
        <is>
          <t>PE01052601</t>
        </is>
      </c>
      <c r="J2466" s="26" t="inlineStr">
        <is>
          <t>Multiple Issues</t>
        </is>
      </c>
      <c r="K2466" s="39" t="inlineStr">
        <is>
          <t>Holi</t>
        </is>
      </c>
      <c r="L2466" s="39" t="inlineStr">
        <is>
          <t>Maharashtra</t>
        </is>
      </c>
      <c r="M2466" s="46" t="inlineStr">
        <is>
          <t>PS</t>
        </is>
      </c>
      <c r="N2466" s="3" t="inlineStr">
        <is>
          <t>Cold Soldering</t>
        </is>
      </c>
      <c r="O2466" s="56" t="n">
        <v>575</v>
      </c>
      <c r="P2466" s="9" t="inlineStr">
        <is>
          <t>NSMI24070221437</t>
        </is>
      </c>
      <c r="Q2466" s="54">
        <f>MID(P2466,5,2)</f>
        <v/>
      </c>
      <c r="R2466" s="53">
        <f>MID(P2466,7,2)</f>
        <v/>
      </c>
      <c r="S2466" s="3" t="inlineStr">
        <is>
          <t>G2G</t>
        </is>
      </c>
      <c r="T2466" s="3" t="inlineStr">
        <is>
          <t>P4</t>
        </is>
      </c>
      <c r="U2466" s="19" t="inlineStr">
        <is>
          <t>P JB Cold Soldering</t>
        </is>
      </c>
      <c r="V2466" s="19" t="inlineStr">
        <is>
          <t>Soldering</t>
        </is>
      </c>
      <c r="W2466" s="3" t="inlineStr">
        <is>
          <t>Repair</t>
        </is>
      </c>
      <c r="X2466" s="18" t="n">
        <v>46171</v>
      </c>
      <c r="Y2466" s="3">
        <f>X2466-A2466</f>
        <v/>
      </c>
      <c r="Z2466" s="18" t="n">
        <v>46171</v>
      </c>
      <c r="AA2466" s="15" t="n"/>
      <c r="AB2466" s="15" t="n"/>
    </row>
    <row r="2467">
      <c r="A2467" s="37" t="n">
        <v>46143</v>
      </c>
      <c r="B2467" s="3" t="n">
        <v>2026</v>
      </c>
      <c r="C2467" s="26" t="inlineStr">
        <is>
          <t>Yanara Power</t>
        </is>
      </c>
      <c r="D2467" s="3" t="inlineStr">
        <is>
          <t>Utility and C&amp;I</t>
        </is>
      </c>
      <c r="E2467" s="3" t="n"/>
      <c r="F2467" s="3" t="inlineStr">
        <is>
          <t>Closed</t>
        </is>
      </c>
      <c r="G2467" s="9" t="inlineStr">
        <is>
          <t xml:space="preserve">Ashish Jindal </t>
        </is>
      </c>
      <c r="H2467" s="26" t="n">
        <v>9983975581</v>
      </c>
      <c r="I2467" s="38" t="inlineStr">
        <is>
          <t>PE01052601</t>
        </is>
      </c>
      <c r="J2467" s="26" t="inlineStr">
        <is>
          <t>Multiple Issues</t>
        </is>
      </c>
      <c r="K2467" s="39" t="inlineStr">
        <is>
          <t>Holi</t>
        </is>
      </c>
      <c r="L2467" s="39" t="inlineStr">
        <is>
          <t>Maharashtra</t>
        </is>
      </c>
      <c r="M2467" s="46" t="inlineStr">
        <is>
          <t>PS</t>
        </is>
      </c>
      <c r="N2467" s="3" t="inlineStr">
        <is>
          <t>Cold Soldering</t>
        </is>
      </c>
      <c r="O2467" s="56" t="n">
        <v>575</v>
      </c>
      <c r="P2467" s="9" t="inlineStr">
        <is>
          <t>NSMI24070201868</t>
        </is>
      </c>
      <c r="Q2467" s="54">
        <f>MID(P2467,5,2)</f>
        <v/>
      </c>
      <c r="R2467" s="53">
        <f>MID(P2467,7,2)</f>
        <v/>
      </c>
      <c r="S2467" s="3" t="inlineStr">
        <is>
          <t>G2G</t>
        </is>
      </c>
      <c r="T2467" s="3" t="inlineStr">
        <is>
          <t>P4</t>
        </is>
      </c>
      <c r="U2467" s="19" t="inlineStr">
        <is>
          <t>P JB Cold Soldering</t>
        </is>
      </c>
      <c r="V2467" s="19" t="inlineStr">
        <is>
          <t>Soldering</t>
        </is>
      </c>
      <c r="W2467" s="3" t="inlineStr">
        <is>
          <t>Repair</t>
        </is>
      </c>
      <c r="X2467" s="18" t="n">
        <v>46171</v>
      </c>
      <c r="Y2467" s="3">
        <f>X2467-A2467</f>
        <v/>
      </c>
      <c r="Z2467" s="18" t="n">
        <v>46171</v>
      </c>
      <c r="AA2467" s="15" t="n"/>
      <c r="AB2467" s="15" t="n"/>
    </row>
    <row r="2468">
      <c r="A2468" s="37" t="n">
        <v>46143</v>
      </c>
      <c r="B2468" s="3" t="n">
        <v>2026</v>
      </c>
      <c r="C2468" s="26" t="inlineStr">
        <is>
          <t>Yanara Power</t>
        </is>
      </c>
      <c r="D2468" s="3" t="inlineStr">
        <is>
          <t>Utility and C&amp;I</t>
        </is>
      </c>
      <c r="E2468" s="3" t="n"/>
      <c r="F2468" s="3" t="inlineStr">
        <is>
          <t>Closed</t>
        </is>
      </c>
      <c r="G2468" s="9" t="inlineStr">
        <is>
          <t xml:space="preserve">Ashish Jindal </t>
        </is>
      </c>
      <c r="H2468" s="26" t="n">
        <v>9983975581</v>
      </c>
      <c r="I2468" s="38" t="inlineStr">
        <is>
          <t>PE01052601</t>
        </is>
      </c>
      <c r="J2468" s="26" t="inlineStr">
        <is>
          <t>Multiple Issues</t>
        </is>
      </c>
      <c r="K2468" s="39" t="inlineStr">
        <is>
          <t>Holi</t>
        </is>
      </c>
      <c r="L2468" s="39" t="inlineStr">
        <is>
          <t>Maharashtra</t>
        </is>
      </c>
      <c r="M2468" s="46" t="inlineStr">
        <is>
          <t>NS</t>
        </is>
      </c>
      <c r="N2468" s="3" t="inlineStr">
        <is>
          <t>Cold Soldering</t>
        </is>
      </c>
      <c r="O2468" s="56" t="n">
        <v>575</v>
      </c>
      <c r="P2468" s="9" t="inlineStr">
        <is>
          <t>NSMI24070201890</t>
        </is>
      </c>
      <c r="Q2468" s="54">
        <f>MID(P2468,5,2)</f>
        <v/>
      </c>
      <c r="R2468" s="53">
        <f>MID(P2468,7,2)</f>
        <v/>
      </c>
      <c r="S2468" s="3" t="inlineStr">
        <is>
          <t>G2G</t>
        </is>
      </c>
      <c r="T2468" s="3" t="inlineStr">
        <is>
          <t>P4</t>
        </is>
      </c>
      <c r="U2468" s="3" t="inlineStr">
        <is>
          <t>N JB Cold Soldering</t>
        </is>
      </c>
      <c r="V2468" s="3" t="inlineStr">
        <is>
          <t>Soldering</t>
        </is>
      </c>
      <c r="W2468" s="3" t="inlineStr">
        <is>
          <t>Repair</t>
        </is>
      </c>
      <c r="X2468" s="18" t="n">
        <v>46171</v>
      </c>
      <c r="Y2468" s="3">
        <f>X2468-A2468</f>
        <v/>
      </c>
      <c r="Z2468" s="18" t="n">
        <v>46171</v>
      </c>
      <c r="AA2468" s="15" t="n"/>
      <c r="AB2468" s="15" t="n"/>
    </row>
    <row r="2469">
      <c r="A2469" s="37" t="n">
        <v>46143</v>
      </c>
      <c r="B2469" s="3" t="n">
        <v>2026</v>
      </c>
      <c r="C2469" s="26" t="inlineStr">
        <is>
          <t>Yanara Power</t>
        </is>
      </c>
      <c r="D2469" s="3" t="inlineStr">
        <is>
          <t>Utility and C&amp;I</t>
        </is>
      </c>
      <c r="E2469" s="3" t="n"/>
      <c r="F2469" s="3" t="inlineStr">
        <is>
          <t>Closed</t>
        </is>
      </c>
      <c r="G2469" s="9" t="inlineStr">
        <is>
          <t xml:space="preserve">Ashish Jindal </t>
        </is>
      </c>
      <c r="H2469" s="26" t="n">
        <v>9983975581</v>
      </c>
      <c r="I2469" s="38" t="inlineStr">
        <is>
          <t>PE01052601</t>
        </is>
      </c>
      <c r="J2469" s="26" t="inlineStr">
        <is>
          <t>Multiple Issues</t>
        </is>
      </c>
      <c r="K2469" s="39" t="inlineStr">
        <is>
          <t>Holi</t>
        </is>
      </c>
      <c r="L2469" s="39" t="inlineStr">
        <is>
          <t>Maharashtra</t>
        </is>
      </c>
      <c r="M2469" s="46" t="inlineStr">
        <is>
          <t>NS</t>
        </is>
      </c>
      <c r="N2469" s="3" t="inlineStr">
        <is>
          <t>Cold Soldering</t>
        </is>
      </c>
      <c r="O2469" s="56" t="n">
        <v>575</v>
      </c>
      <c r="P2469" s="9" t="inlineStr">
        <is>
          <t>NSMI24070201860</t>
        </is>
      </c>
      <c r="Q2469" s="54">
        <f>MID(P2469,5,2)</f>
        <v/>
      </c>
      <c r="R2469" s="53">
        <f>MID(P2469,7,2)</f>
        <v/>
      </c>
      <c r="S2469" s="3" t="inlineStr">
        <is>
          <t>G2G</t>
        </is>
      </c>
      <c r="T2469" s="3" t="inlineStr">
        <is>
          <t>P4</t>
        </is>
      </c>
      <c r="U2469" s="3" t="inlineStr">
        <is>
          <t>N JB Cold Soldering</t>
        </is>
      </c>
      <c r="V2469" s="3" t="inlineStr">
        <is>
          <t>Soldering</t>
        </is>
      </c>
      <c r="W2469" s="3" t="inlineStr">
        <is>
          <t>Repair</t>
        </is>
      </c>
      <c r="X2469" s="18" t="n">
        <v>46171</v>
      </c>
      <c r="Y2469" s="3">
        <f>X2469-A2469</f>
        <v/>
      </c>
      <c r="Z2469" s="18" t="n">
        <v>46171</v>
      </c>
      <c r="AA2469" s="15" t="n"/>
      <c r="AB2469" s="15" t="n"/>
    </row>
    <row r="2470">
      <c r="A2470" s="37" t="n">
        <v>46143</v>
      </c>
      <c r="B2470" s="3" t="n">
        <v>2026</v>
      </c>
      <c r="C2470" s="26" t="inlineStr">
        <is>
          <t>Yanara Power</t>
        </is>
      </c>
      <c r="D2470" s="3" t="inlineStr">
        <is>
          <t>Utility and C&amp;I</t>
        </is>
      </c>
      <c r="E2470" s="3" t="n"/>
      <c r="F2470" s="3" t="inlineStr">
        <is>
          <t>Closed</t>
        </is>
      </c>
      <c r="G2470" s="9" t="inlineStr">
        <is>
          <t xml:space="preserve">Ashish Jindal </t>
        </is>
      </c>
      <c r="H2470" s="26" t="n">
        <v>9983975581</v>
      </c>
      <c r="I2470" s="38" t="inlineStr">
        <is>
          <t>PE01052601</t>
        </is>
      </c>
      <c r="J2470" s="26" t="inlineStr">
        <is>
          <t>Multiple Issues</t>
        </is>
      </c>
      <c r="K2470" s="39" t="inlineStr">
        <is>
          <t>Holi</t>
        </is>
      </c>
      <c r="L2470" s="39" t="inlineStr">
        <is>
          <t>Maharashtra</t>
        </is>
      </c>
      <c r="M2470" s="46" t="inlineStr">
        <is>
          <t>PNS</t>
        </is>
      </c>
      <c r="N2470" s="3" t="inlineStr">
        <is>
          <t>Cold Soldering</t>
        </is>
      </c>
      <c r="O2470" s="56" t="n">
        <v>575</v>
      </c>
      <c r="P2470" s="9" t="inlineStr">
        <is>
          <t>NSMI24070201835</t>
        </is>
      </c>
      <c r="Q2470" s="54">
        <f>MID(P2470,5,2)</f>
        <v/>
      </c>
      <c r="R2470" s="53">
        <f>MID(P2470,7,2)</f>
        <v/>
      </c>
      <c r="S2470" s="3" t="inlineStr">
        <is>
          <t>G2G</t>
        </is>
      </c>
      <c r="T2470" s="3" t="inlineStr">
        <is>
          <t>P4</t>
        </is>
      </c>
      <c r="U2470" s="3" t="inlineStr">
        <is>
          <t>P &amp; N JB Cold Soldering</t>
        </is>
      </c>
      <c r="V2470" s="3" t="inlineStr">
        <is>
          <t>Soldering</t>
        </is>
      </c>
      <c r="W2470" s="3" t="inlineStr">
        <is>
          <t>Repair</t>
        </is>
      </c>
      <c r="X2470" s="18" t="n">
        <v>46171</v>
      </c>
      <c r="Y2470" s="3">
        <f>X2470-A2470</f>
        <v/>
      </c>
      <c r="Z2470" s="18" t="n">
        <v>46171</v>
      </c>
      <c r="AA2470" s="15" t="n"/>
      <c r="AB2470" s="15" t="n"/>
    </row>
    <row r="2471">
      <c r="A2471" s="37" t="n">
        <v>46143</v>
      </c>
      <c r="B2471" s="3" t="n">
        <v>2026</v>
      </c>
      <c r="C2471" s="26" t="inlineStr">
        <is>
          <t>Yanara Power</t>
        </is>
      </c>
      <c r="D2471" s="3" t="inlineStr">
        <is>
          <t>Utility and C&amp;I</t>
        </is>
      </c>
      <c r="E2471" s="3" t="n"/>
      <c r="F2471" s="3" t="inlineStr">
        <is>
          <t>Closed</t>
        </is>
      </c>
      <c r="G2471" s="9" t="inlineStr">
        <is>
          <t xml:space="preserve">Ashish Jindal </t>
        </is>
      </c>
      <c r="H2471" s="26" t="n">
        <v>9983975581</v>
      </c>
      <c r="I2471" s="38" t="inlineStr">
        <is>
          <t>PE01052601</t>
        </is>
      </c>
      <c r="J2471" s="26" t="inlineStr">
        <is>
          <t>Multiple Issues</t>
        </is>
      </c>
      <c r="K2471" s="39" t="inlineStr">
        <is>
          <t>Holi</t>
        </is>
      </c>
      <c r="L2471" s="39" t="inlineStr">
        <is>
          <t>Maharashtra</t>
        </is>
      </c>
      <c r="M2471" s="46" t="inlineStr">
        <is>
          <t>NS</t>
        </is>
      </c>
      <c r="N2471" s="3" t="inlineStr">
        <is>
          <t>Cold Soldering</t>
        </is>
      </c>
      <c r="O2471" s="56" t="n">
        <v>575</v>
      </c>
      <c r="P2471" s="9" t="inlineStr">
        <is>
          <t>NSMI24070221815</t>
        </is>
      </c>
      <c r="Q2471" s="54">
        <f>MID(P2471,5,2)</f>
        <v/>
      </c>
      <c r="R2471" s="53">
        <f>MID(P2471,7,2)</f>
        <v/>
      </c>
      <c r="S2471" s="3" t="inlineStr">
        <is>
          <t>G2G</t>
        </is>
      </c>
      <c r="T2471" s="3" t="inlineStr">
        <is>
          <t>P4</t>
        </is>
      </c>
      <c r="U2471" s="3" t="inlineStr">
        <is>
          <t>N JB Cold Soldering</t>
        </is>
      </c>
      <c r="V2471" s="3" t="inlineStr">
        <is>
          <t>Soldering</t>
        </is>
      </c>
      <c r="W2471" s="3" t="inlineStr">
        <is>
          <t>Repair</t>
        </is>
      </c>
      <c r="X2471" s="18" t="n">
        <v>46171</v>
      </c>
      <c r="Y2471" s="3">
        <f>X2471-A2471</f>
        <v/>
      </c>
      <c r="Z2471" s="18" t="n">
        <v>46171</v>
      </c>
      <c r="AA2471" s="15" t="n"/>
      <c r="AB2471" s="15" t="n"/>
    </row>
    <row r="2472">
      <c r="A2472" s="37" t="n">
        <v>46143</v>
      </c>
      <c r="B2472" s="3" t="n">
        <v>2026</v>
      </c>
      <c r="C2472" s="26" t="inlineStr">
        <is>
          <t>Yanara Power</t>
        </is>
      </c>
      <c r="D2472" s="3" t="inlineStr">
        <is>
          <t>Utility and C&amp;I</t>
        </is>
      </c>
      <c r="E2472" s="3" t="n"/>
      <c r="F2472" s="3" t="inlineStr">
        <is>
          <t>Closed</t>
        </is>
      </c>
      <c r="G2472" s="9" t="inlineStr">
        <is>
          <t xml:space="preserve">Ashish Jindal </t>
        </is>
      </c>
      <c r="H2472" s="26" t="n">
        <v>9983975581</v>
      </c>
      <c r="I2472" s="38" t="inlineStr">
        <is>
          <t>PE01052601</t>
        </is>
      </c>
      <c r="J2472" s="26" t="inlineStr">
        <is>
          <t>Multiple Issues</t>
        </is>
      </c>
      <c r="K2472" s="39" t="inlineStr">
        <is>
          <t>Holi</t>
        </is>
      </c>
      <c r="L2472" s="39" t="inlineStr">
        <is>
          <t>Maharashtra</t>
        </is>
      </c>
      <c r="M2472" s="46" t="inlineStr">
        <is>
          <t>PS</t>
        </is>
      </c>
      <c r="N2472" s="3" t="inlineStr">
        <is>
          <t>Cold Soldering</t>
        </is>
      </c>
      <c r="O2472" s="56" t="n">
        <v>575</v>
      </c>
      <c r="P2472" s="9" t="inlineStr">
        <is>
          <t>NSMI24070197244</t>
        </is>
      </c>
      <c r="Q2472" s="54">
        <f>MID(P2472,5,2)</f>
        <v/>
      </c>
      <c r="R2472" s="53">
        <f>MID(P2472,7,2)</f>
        <v/>
      </c>
      <c r="S2472" s="3" t="inlineStr">
        <is>
          <t>G2G</t>
        </is>
      </c>
      <c r="T2472" s="3" t="inlineStr">
        <is>
          <t>P4</t>
        </is>
      </c>
      <c r="U2472" s="19" t="inlineStr">
        <is>
          <t>P JB Cold Soldering</t>
        </is>
      </c>
      <c r="V2472" s="19" t="inlineStr">
        <is>
          <t>Soldering</t>
        </is>
      </c>
      <c r="W2472" s="3" t="inlineStr">
        <is>
          <t>Repair</t>
        </is>
      </c>
      <c r="X2472" s="18" t="n">
        <v>46171</v>
      </c>
      <c r="Y2472" s="3">
        <f>X2472-A2472</f>
        <v/>
      </c>
      <c r="Z2472" s="18" t="n">
        <v>46171</v>
      </c>
      <c r="AA2472" s="15" t="n"/>
      <c r="AB2472" s="15" t="n"/>
    </row>
    <row r="2473">
      <c r="A2473" s="37" t="n">
        <v>46143</v>
      </c>
      <c r="B2473" s="3" t="n">
        <v>2026</v>
      </c>
      <c r="C2473" s="26" t="inlineStr">
        <is>
          <t>Yanara Power</t>
        </is>
      </c>
      <c r="D2473" s="3" t="inlineStr">
        <is>
          <t>Utility and C&amp;I</t>
        </is>
      </c>
      <c r="E2473" s="3" t="n"/>
      <c r="F2473" s="3" t="inlineStr">
        <is>
          <t>Closed</t>
        </is>
      </c>
      <c r="G2473" s="9" t="inlineStr">
        <is>
          <t xml:space="preserve">Ashish Jindal </t>
        </is>
      </c>
      <c r="H2473" s="26" t="n">
        <v>9983975581</v>
      </c>
      <c r="I2473" s="38" t="inlineStr">
        <is>
          <t>PE01052601</t>
        </is>
      </c>
      <c r="J2473" s="26" t="inlineStr">
        <is>
          <t>Multiple Issues</t>
        </is>
      </c>
      <c r="K2473" s="39" t="inlineStr">
        <is>
          <t>Holi</t>
        </is>
      </c>
      <c r="L2473" s="39" t="inlineStr">
        <is>
          <t>Maharashtra</t>
        </is>
      </c>
      <c r="M2473" s="46" t="inlineStr">
        <is>
          <t>PS</t>
        </is>
      </c>
      <c r="N2473" s="3" t="inlineStr">
        <is>
          <t>Cold Soldering</t>
        </is>
      </c>
      <c r="O2473" s="56" t="n">
        <v>575</v>
      </c>
      <c r="P2473" s="9" t="inlineStr">
        <is>
          <t>NSMI24070188395</t>
        </is>
      </c>
      <c r="Q2473" s="54">
        <f>MID(P2473,5,2)</f>
        <v/>
      </c>
      <c r="R2473" s="53">
        <f>MID(P2473,7,2)</f>
        <v/>
      </c>
      <c r="S2473" s="3" t="inlineStr">
        <is>
          <t>G2G</t>
        </is>
      </c>
      <c r="T2473" s="3" t="inlineStr">
        <is>
          <t>P4</t>
        </is>
      </c>
      <c r="U2473" s="19" t="inlineStr">
        <is>
          <t>P JB Cold Soldering</t>
        </is>
      </c>
      <c r="V2473" s="19" t="inlineStr">
        <is>
          <t>Soldering</t>
        </is>
      </c>
      <c r="W2473" s="3" t="inlineStr">
        <is>
          <t>Repair</t>
        </is>
      </c>
      <c r="X2473" s="18" t="n">
        <v>46171</v>
      </c>
      <c r="Y2473" s="3">
        <f>X2473-A2473</f>
        <v/>
      </c>
      <c r="Z2473" s="18" t="n">
        <v>46171</v>
      </c>
      <c r="AA2473" s="15" t="n"/>
      <c r="AB2473" s="15" t="n"/>
    </row>
    <row r="2474">
      <c r="A2474" s="37" t="n">
        <v>46143</v>
      </c>
      <c r="B2474" s="3" t="n">
        <v>2026</v>
      </c>
      <c r="C2474" s="26" t="inlineStr">
        <is>
          <t>Yanara Power</t>
        </is>
      </c>
      <c r="D2474" s="3" t="inlineStr">
        <is>
          <t>Utility and C&amp;I</t>
        </is>
      </c>
      <c r="E2474" s="3" t="n"/>
      <c r="F2474" s="3" t="inlineStr">
        <is>
          <t>Closed</t>
        </is>
      </c>
      <c r="G2474" s="9" t="inlineStr">
        <is>
          <t xml:space="preserve">Ashish Jindal </t>
        </is>
      </c>
      <c r="H2474" s="26" t="n">
        <v>9983975581</v>
      </c>
      <c r="I2474" s="38" t="inlineStr">
        <is>
          <t>PE01052601</t>
        </is>
      </c>
      <c r="J2474" s="26" t="inlineStr">
        <is>
          <t>Multiple Issues</t>
        </is>
      </c>
      <c r="K2474" s="39" t="inlineStr">
        <is>
          <t>Holi</t>
        </is>
      </c>
      <c r="L2474" s="39" t="inlineStr">
        <is>
          <t>Maharashtra</t>
        </is>
      </c>
      <c r="M2474" s="46" t="inlineStr">
        <is>
          <t>PS</t>
        </is>
      </c>
      <c r="N2474" s="3" t="inlineStr">
        <is>
          <t>Cold Soldering</t>
        </is>
      </c>
      <c r="O2474" s="56" t="n">
        <v>575</v>
      </c>
      <c r="P2474" s="9" t="inlineStr">
        <is>
          <t>NSMI24070177172</t>
        </is>
      </c>
      <c r="Q2474" s="54">
        <f>MID(P2474,5,2)</f>
        <v/>
      </c>
      <c r="R2474" s="53">
        <f>MID(P2474,7,2)</f>
        <v/>
      </c>
      <c r="S2474" s="3" t="inlineStr">
        <is>
          <t>G2G</t>
        </is>
      </c>
      <c r="T2474" s="3" t="inlineStr">
        <is>
          <t>P4</t>
        </is>
      </c>
      <c r="U2474" s="19" t="inlineStr">
        <is>
          <t>P JB Cold Soldering</t>
        </is>
      </c>
      <c r="V2474" s="19" t="inlineStr">
        <is>
          <t>Soldering</t>
        </is>
      </c>
      <c r="W2474" s="3" t="inlineStr">
        <is>
          <t>Repair</t>
        </is>
      </c>
      <c r="X2474" s="18" t="n">
        <v>46171</v>
      </c>
      <c r="Y2474" s="3">
        <f>X2474-A2474</f>
        <v/>
      </c>
      <c r="Z2474" s="18" t="n">
        <v>46171</v>
      </c>
      <c r="AA2474" s="15" t="n"/>
      <c r="AB2474" s="15" t="n"/>
    </row>
    <row r="2475">
      <c r="A2475" s="37" t="n">
        <v>46143</v>
      </c>
      <c r="B2475" s="3" t="n">
        <v>2026</v>
      </c>
      <c r="C2475" s="26" t="inlineStr">
        <is>
          <t>Yanara Power</t>
        </is>
      </c>
      <c r="D2475" s="3" t="inlineStr">
        <is>
          <t>Utility and C&amp;I</t>
        </is>
      </c>
      <c r="E2475" s="3" t="n"/>
      <c r="F2475" s="3" t="inlineStr">
        <is>
          <t>Closed</t>
        </is>
      </c>
      <c r="G2475" s="9" t="inlineStr">
        <is>
          <t xml:space="preserve">Ashish Jindal </t>
        </is>
      </c>
      <c r="H2475" s="26" t="n">
        <v>9983975581</v>
      </c>
      <c r="I2475" s="38" t="inlineStr">
        <is>
          <t>PE01052601</t>
        </is>
      </c>
      <c r="J2475" s="26" t="inlineStr">
        <is>
          <t>Multiple Issues</t>
        </is>
      </c>
      <c r="K2475" s="39" t="inlineStr">
        <is>
          <t>Holi</t>
        </is>
      </c>
      <c r="L2475" s="39" t="inlineStr">
        <is>
          <t>Maharashtra</t>
        </is>
      </c>
      <c r="M2475" s="46" t="inlineStr">
        <is>
          <t>NS</t>
        </is>
      </c>
      <c r="N2475" s="3" t="inlineStr">
        <is>
          <t>Cold Soldering</t>
        </is>
      </c>
      <c r="O2475" s="56" t="n">
        <v>575</v>
      </c>
      <c r="P2475" s="9" t="inlineStr">
        <is>
          <t>NSMI24070177780</t>
        </is>
      </c>
      <c r="Q2475" s="54">
        <f>MID(P2475,5,2)</f>
        <v/>
      </c>
      <c r="R2475" s="53">
        <f>MID(P2475,7,2)</f>
        <v/>
      </c>
      <c r="S2475" s="3" t="inlineStr">
        <is>
          <t>G2G</t>
        </is>
      </c>
      <c r="T2475" s="3" t="inlineStr">
        <is>
          <t>P4</t>
        </is>
      </c>
      <c r="U2475" s="3" t="inlineStr">
        <is>
          <t>N JB Cold Soldering</t>
        </is>
      </c>
      <c r="V2475" s="3" t="inlineStr">
        <is>
          <t>Soldering</t>
        </is>
      </c>
      <c r="W2475" s="3" t="inlineStr">
        <is>
          <t>Repair</t>
        </is>
      </c>
      <c r="X2475" s="18" t="n">
        <v>46171</v>
      </c>
      <c r="Y2475" s="3">
        <f>X2475-A2475</f>
        <v/>
      </c>
      <c r="Z2475" s="18" t="n">
        <v>46171</v>
      </c>
      <c r="AA2475" s="15" t="n"/>
      <c r="AB2475" s="15" t="n"/>
    </row>
    <row r="2476">
      <c r="A2476" s="37" t="n">
        <v>46143</v>
      </c>
      <c r="B2476" s="3" t="n">
        <v>2026</v>
      </c>
      <c r="C2476" s="26" t="inlineStr">
        <is>
          <t>Yanara Power</t>
        </is>
      </c>
      <c r="D2476" s="3" t="inlineStr">
        <is>
          <t>Utility and C&amp;I</t>
        </is>
      </c>
      <c r="E2476" s="3" t="n"/>
      <c r="F2476" s="3" t="inlineStr">
        <is>
          <t>Closed</t>
        </is>
      </c>
      <c r="G2476" s="9" t="inlineStr">
        <is>
          <t xml:space="preserve">Ashish Jindal </t>
        </is>
      </c>
      <c r="H2476" s="26" t="n">
        <v>9983975581</v>
      </c>
      <c r="I2476" s="38" t="inlineStr">
        <is>
          <t>PE01052601</t>
        </is>
      </c>
      <c r="J2476" s="26" t="inlineStr">
        <is>
          <t>Multiple Issues</t>
        </is>
      </c>
      <c r="K2476" s="39" t="inlineStr">
        <is>
          <t>Holi</t>
        </is>
      </c>
      <c r="L2476" s="39" t="inlineStr">
        <is>
          <t>Maharashtra</t>
        </is>
      </c>
      <c r="M2476" s="46" t="inlineStr">
        <is>
          <t>PS</t>
        </is>
      </c>
      <c r="N2476" s="3" t="inlineStr">
        <is>
          <t>Cold Soldering</t>
        </is>
      </c>
      <c r="O2476" s="56" t="n">
        <v>575</v>
      </c>
      <c r="P2476" s="9" t="inlineStr">
        <is>
          <t>NSMI24070176040</t>
        </is>
      </c>
      <c r="Q2476" s="54">
        <f>MID(P2476,5,2)</f>
        <v/>
      </c>
      <c r="R2476" s="53">
        <f>MID(P2476,7,2)</f>
        <v/>
      </c>
      <c r="S2476" s="3" t="inlineStr">
        <is>
          <t>G2G</t>
        </is>
      </c>
      <c r="T2476" s="3" t="inlineStr">
        <is>
          <t>P4</t>
        </is>
      </c>
      <c r="U2476" s="19" t="inlineStr">
        <is>
          <t>P JB Cold Soldering</t>
        </is>
      </c>
      <c r="V2476" s="19" t="inlineStr">
        <is>
          <t>Soldering</t>
        </is>
      </c>
      <c r="W2476" s="3" t="inlineStr">
        <is>
          <t>Repair</t>
        </is>
      </c>
      <c r="X2476" s="18" t="n">
        <v>46171</v>
      </c>
      <c r="Y2476" s="3">
        <f>X2476-A2476</f>
        <v/>
      </c>
      <c r="Z2476" s="18" t="n">
        <v>46171</v>
      </c>
      <c r="AA2476" s="15" t="n"/>
      <c r="AB2476" s="15" t="n"/>
    </row>
    <row r="2477">
      <c r="A2477" s="37" t="n">
        <v>46143</v>
      </c>
      <c r="B2477" s="3" t="n">
        <v>2026</v>
      </c>
      <c r="C2477" s="26" t="inlineStr">
        <is>
          <t>Yanara Power</t>
        </is>
      </c>
      <c r="D2477" s="3" t="inlineStr">
        <is>
          <t>Utility and C&amp;I</t>
        </is>
      </c>
      <c r="E2477" s="3" t="n"/>
      <c r="F2477" s="3" t="inlineStr">
        <is>
          <t>Closed</t>
        </is>
      </c>
      <c r="G2477" s="9" t="inlineStr">
        <is>
          <t xml:space="preserve">Ashish Jindal </t>
        </is>
      </c>
      <c r="H2477" s="26" t="n">
        <v>9983975581</v>
      </c>
      <c r="I2477" s="38" t="inlineStr">
        <is>
          <t>PE01052601</t>
        </is>
      </c>
      <c r="J2477" s="26" t="inlineStr">
        <is>
          <t>Multiple Issues</t>
        </is>
      </c>
      <c r="K2477" s="39" t="inlineStr">
        <is>
          <t>Holi</t>
        </is>
      </c>
      <c r="L2477" s="39" t="inlineStr">
        <is>
          <t>Maharashtra</t>
        </is>
      </c>
      <c r="M2477" s="46" t="inlineStr">
        <is>
          <t>PS</t>
        </is>
      </c>
      <c r="N2477" s="3" t="inlineStr">
        <is>
          <t>Cold Soldering</t>
        </is>
      </c>
      <c r="O2477" s="56" t="n">
        <v>575</v>
      </c>
      <c r="P2477" s="9" t="inlineStr">
        <is>
          <t>NSMI24070176316</t>
        </is>
      </c>
      <c r="Q2477" s="54">
        <f>MID(P2477,5,2)</f>
        <v/>
      </c>
      <c r="R2477" s="53">
        <f>MID(P2477,7,2)</f>
        <v/>
      </c>
      <c r="S2477" s="3" t="inlineStr">
        <is>
          <t>G2G</t>
        </is>
      </c>
      <c r="T2477" s="3" t="inlineStr">
        <is>
          <t>P4</t>
        </is>
      </c>
      <c r="U2477" s="19" t="inlineStr">
        <is>
          <t>P JB Cold Soldering</t>
        </is>
      </c>
      <c r="V2477" s="19" t="inlineStr">
        <is>
          <t>Soldering</t>
        </is>
      </c>
      <c r="W2477" s="3" t="inlineStr">
        <is>
          <t>Repair</t>
        </is>
      </c>
      <c r="X2477" s="18" t="n">
        <v>46171</v>
      </c>
      <c r="Y2477" s="3">
        <f>X2477-A2477</f>
        <v/>
      </c>
      <c r="Z2477" s="18" t="n">
        <v>46171</v>
      </c>
      <c r="AA2477" s="15" t="n"/>
      <c r="AB2477" s="15" t="n"/>
    </row>
    <row r="2478">
      <c r="A2478" s="37" t="n">
        <v>46143</v>
      </c>
      <c r="B2478" s="3" t="n">
        <v>2026</v>
      </c>
      <c r="C2478" s="26" t="inlineStr">
        <is>
          <t>Yanara Power</t>
        </is>
      </c>
      <c r="D2478" s="3" t="inlineStr">
        <is>
          <t>Utility and C&amp;I</t>
        </is>
      </c>
      <c r="E2478" s="3" t="n"/>
      <c r="F2478" s="3" t="inlineStr">
        <is>
          <t>Closed</t>
        </is>
      </c>
      <c r="G2478" s="9" t="inlineStr">
        <is>
          <t xml:space="preserve">Ashish Jindal </t>
        </is>
      </c>
      <c r="H2478" s="26" t="n">
        <v>9983975581</v>
      </c>
      <c r="I2478" s="38" t="inlineStr">
        <is>
          <t>PE01052601</t>
        </is>
      </c>
      <c r="J2478" s="26" t="inlineStr">
        <is>
          <t>Multiple Issues</t>
        </is>
      </c>
      <c r="K2478" s="39" t="inlineStr">
        <is>
          <t>Holi</t>
        </is>
      </c>
      <c r="L2478" s="39" t="inlineStr">
        <is>
          <t>Maharashtra</t>
        </is>
      </c>
      <c r="M2478" s="46" t="inlineStr">
        <is>
          <t>PS</t>
        </is>
      </c>
      <c r="N2478" s="3" t="inlineStr">
        <is>
          <t>Cold Soldering</t>
        </is>
      </c>
      <c r="O2478" s="56" t="n">
        <v>575</v>
      </c>
      <c r="P2478" s="9" t="inlineStr">
        <is>
          <t>NSMI24070215078</t>
        </is>
      </c>
      <c r="Q2478" s="54">
        <f>MID(P2478,5,2)</f>
        <v/>
      </c>
      <c r="R2478" s="53">
        <f>MID(P2478,7,2)</f>
        <v/>
      </c>
      <c r="S2478" s="3" t="inlineStr">
        <is>
          <t>G2G</t>
        </is>
      </c>
      <c r="T2478" s="3" t="inlineStr">
        <is>
          <t>P4</t>
        </is>
      </c>
      <c r="U2478" s="19" t="inlineStr">
        <is>
          <t>P JB Cold Soldering</t>
        </is>
      </c>
      <c r="V2478" s="19" t="inlineStr">
        <is>
          <t>Soldering</t>
        </is>
      </c>
      <c r="W2478" s="3" t="inlineStr">
        <is>
          <t>Repair</t>
        </is>
      </c>
      <c r="X2478" s="18" t="n">
        <v>46171</v>
      </c>
      <c r="Y2478" s="3">
        <f>X2478-A2478</f>
        <v/>
      </c>
      <c r="Z2478" s="18" t="n">
        <v>46171</v>
      </c>
      <c r="AA2478" s="15" t="n"/>
      <c r="AB2478" s="15" t="n"/>
    </row>
    <row r="2479">
      <c r="A2479" s="37" t="n">
        <v>46143</v>
      </c>
      <c r="B2479" s="3" t="n">
        <v>2026</v>
      </c>
      <c r="C2479" s="26" t="inlineStr">
        <is>
          <t>Yanara Power</t>
        </is>
      </c>
      <c r="D2479" s="3" t="inlineStr">
        <is>
          <t>Utility and C&amp;I</t>
        </is>
      </c>
      <c r="E2479" s="3" t="n"/>
      <c r="F2479" s="3" t="inlineStr">
        <is>
          <t>Closed</t>
        </is>
      </c>
      <c r="G2479" s="9" t="inlineStr">
        <is>
          <t xml:space="preserve">Ashish Jindal </t>
        </is>
      </c>
      <c r="H2479" s="26" t="n">
        <v>9983975581</v>
      </c>
      <c r="I2479" s="38" t="inlineStr">
        <is>
          <t>PE01052601</t>
        </is>
      </c>
      <c r="J2479" s="26" t="inlineStr">
        <is>
          <t>Multiple Issues</t>
        </is>
      </c>
      <c r="K2479" s="39" t="inlineStr">
        <is>
          <t>Holi</t>
        </is>
      </c>
      <c r="L2479" s="39" t="inlineStr">
        <is>
          <t>Maharashtra</t>
        </is>
      </c>
      <c r="M2479" s="46" t="inlineStr">
        <is>
          <t>NS</t>
        </is>
      </c>
      <c r="N2479" s="3" t="inlineStr">
        <is>
          <t>Cold Soldering</t>
        </is>
      </c>
      <c r="O2479" s="56" t="n">
        <v>575</v>
      </c>
      <c r="P2479" s="9" t="inlineStr">
        <is>
          <t>NSMI24070203983</t>
        </is>
      </c>
      <c r="Q2479" s="54">
        <f>MID(P2479,5,2)</f>
        <v/>
      </c>
      <c r="R2479" s="53">
        <f>MID(P2479,7,2)</f>
        <v/>
      </c>
      <c r="S2479" s="3" t="inlineStr">
        <is>
          <t>G2G</t>
        </is>
      </c>
      <c r="T2479" s="3" t="inlineStr">
        <is>
          <t>P4</t>
        </is>
      </c>
      <c r="U2479" s="3" t="inlineStr">
        <is>
          <t>N JB Cold Soldering</t>
        </is>
      </c>
      <c r="V2479" s="3" t="inlineStr">
        <is>
          <t>Soldering</t>
        </is>
      </c>
      <c r="W2479" s="3" t="inlineStr">
        <is>
          <t>Repair</t>
        </is>
      </c>
      <c r="X2479" s="18" t="n">
        <v>46171</v>
      </c>
      <c r="Y2479" s="3">
        <f>X2479-A2479</f>
        <v/>
      </c>
      <c r="Z2479" s="18" t="n">
        <v>46171</v>
      </c>
      <c r="AA2479" s="15" t="n"/>
      <c r="AB2479" s="15" t="n"/>
    </row>
    <row r="2480">
      <c r="A2480" s="37" t="n">
        <v>46143</v>
      </c>
      <c r="B2480" s="3" t="n">
        <v>2026</v>
      </c>
      <c r="C2480" s="26" t="inlineStr">
        <is>
          <t>Yanara Power</t>
        </is>
      </c>
      <c r="D2480" s="3" t="inlineStr">
        <is>
          <t>Utility and C&amp;I</t>
        </is>
      </c>
      <c r="E2480" s="3" t="n"/>
      <c r="F2480" s="3" t="inlineStr">
        <is>
          <t>Closed</t>
        </is>
      </c>
      <c r="G2480" s="9" t="inlineStr">
        <is>
          <t xml:space="preserve">Ashish Jindal </t>
        </is>
      </c>
      <c r="H2480" s="26" t="n">
        <v>9983975581</v>
      </c>
      <c r="I2480" s="38" t="inlineStr">
        <is>
          <t>PE01052601</t>
        </is>
      </c>
      <c r="J2480" s="26" t="inlineStr">
        <is>
          <t>Multiple Issues</t>
        </is>
      </c>
      <c r="K2480" s="39" t="inlineStr">
        <is>
          <t>Holi</t>
        </is>
      </c>
      <c r="L2480" s="39" t="inlineStr">
        <is>
          <t>Maharashtra</t>
        </is>
      </c>
      <c r="M2480" s="46" t="inlineStr">
        <is>
          <t>NS</t>
        </is>
      </c>
      <c r="N2480" s="3" t="inlineStr">
        <is>
          <t>Cold Soldering</t>
        </is>
      </c>
      <c r="O2480" s="56" t="n">
        <v>575</v>
      </c>
      <c r="P2480" s="9" t="inlineStr">
        <is>
          <t>NSMI24070197859</t>
        </is>
      </c>
      <c r="Q2480" s="54">
        <f>MID(P2480,5,2)</f>
        <v/>
      </c>
      <c r="R2480" s="53">
        <f>MID(P2480,7,2)</f>
        <v/>
      </c>
      <c r="S2480" s="3" t="inlineStr">
        <is>
          <t>G2G</t>
        </is>
      </c>
      <c r="T2480" s="3" t="inlineStr">
        <is>
          <t>P4</t>
        </is>
      </c>
      <c r="U2480" s="3" t="inlineStr">
        <is>
          <t>N JB Cold Soldering</t>
        </is>
      </c>
      <c r="V2480" s="3" t="inlineStr">
        <is>
          <t>Soldering</t>
        </is>
      </c>
      <c r="W2480" s="3" t="inlineStr">
        <is>
          <t>Repair</t>
        </is>
      </c>
      <c r="X2480" s="18" t="n">
        <v>46171</v>
      </c>
      <c r="Y2480" s="3">
        <f>X2480-A2480</f>
        <v/>
      </c>
      <c r="Z2480" s="18" t="n">
        <v>46171</v>
      </c>
      <c r="AA2480" s="15" t="n"/>
      <c r="AB2480" s="15" t="n"/>
    </row>
    <row r="2481">
      <c r="A2481" s="37" t="n">
        <v>46143</v>
      </c>
      <c r="B2481" s="3" t="n">
        <v>2026</v>
      </c>
      <c r="C2481" s="26" t="inlineStr">
        <is>
          <t>Yanara Power</t>
        </is>
      </c>
      <c r="D2481" s="3" t="inlineStr">
        <is>
          <t>Utility and C&amp;I</t>
        </is>
      </c>
      <c r="E2481" s="3" t="n"/>
      <c r="F2481" s="3" t="inlineStr">
        <is>
          <t>Closed</t>
        </is>
      </c>
      <c r="G2481" s="9" t="inlineStr">
        <is>
          <t xml:space="preserve">Ashish Jindal </t>
        </is>
      </c>
      <c r="H2481" s="26" t="n">
        <v>9983975581</v>
      </c>
      <c r="I2481" s="38" t="inlineStr">
        <is>
          <t>PE01052601</t>
        </is>
      </c>
      <c r="J2481" s="26" t="inlineStr">
        <is>
          <t>Multiple Issues</t>
        </is>
      </c>
      <c r="K2481" s="39" t="inlineStr">
        <is>
          <t>Holi</t>
        </is>
      </c>
      <c r="L2481" s="39" t="inlineStr">
        <is>
          <t>Maharashtra</t>
        </is>
      </c>
      <c r="M2481" s="46" t="inlineStr">
        <is>
          <t>PS</t>
        </is>
      </c>
      <c r="N2481" s="3" t="inlineStr">
        <is>
          <t>Cold Soldering</t>
        </is>
      </c>
      <c r="O2481" s="56" t="n">
        <v>575</v>
      </c>
      <c r="P2481" s="9" t="inlineStr">
        <is>
          <t>NSMI24070176289</t>
        </is>
      </c>
      <c r="Q2481" s="54">
        <f>MID(P2481,5,2)</f>
        <v/>
      </c>
      <c r="R2481" s="53">
        <f>MID(P2481,7,2)</f>
        <v/>
      </c>
      <c r="S2481" s="3" t="inlineStr">
        <is>
          <t>G2G</t>
        </is>
      </c>
      <c r="T2481" s="3" t="inlineStr">
        <is>
          <t>P4</t>
        </is>
      </c>
      <c r="U2481" s="19" t="inlineStr">
        <is>
          <t>P JB Cold Soldering</t>
        </is>
      </c>
      <c r="V2481" s="19" t="inlineStr">
        <is>
          <t>Soldering</t>
        </is>
      </c>
      <c r="W2481" s="3" t="inlineStr">
        <is>
          <t>Repair</t>
        </is>
      </c>
      <c r="X2481" s="18" t="n">
        <v>46171</v>
      </c>
      <c r="Y2481" s="3">
        <f>X2481-A2481</f>
        <v/>
      </c>
      <c r="Z2481" s="18" t="n">
        <v>46171</v>
      </c>
      <c r="AA2481" s="15" t="n"/>
      <c r="AB2481" s="15" t="n"/>
    </row>
    <row r="2482">
      <c r="A2482" s="37" t="n">
        <v>46143</v>
      </c>
      <c r="B2482" s="3" t="n">
        <v>2026</v>
      </c>
      <c r="C2482" s="26" t="inlineStr">
        <is>
          <t>Yanara Power</t>
        </is>
      </c>
      <c r="D2482" s="3" t="inlineStr">
        <is>
          <t>Utility and C&amp;I</t>
        </is>
      </c>
      <c r="E2482" s="3" t="n"/>
      <c r="F2482" s="3" t="inlineStr">
        <is>
          <t>Closed</t>
        </is>
      </c>
      <c r="G2482" s="9" t="inlineStr">
        <is>
          <t xml:space="preserve">Ashish Jindal </t>
        </is>
      </c>
      <c r="H2482" s="26" t="n">
        <v>9983975581</v>
      </c>
      <c r="I2482" s="38" t="inlineStr">
        <is>
          <t>PE01052601</t>
        </is>
      </c>
      <c r="J2482" s="26" t="inlineStr">
        <is>
          <t>Multiple Issues</t>
        </is>
      </c>
      <c r="K2482" s="39" t="inlineStr">
        <is>
          <t>Holi</t>
        </is>
      </c>
      <c r="L2482" s="39" t="inlineStr">
        <is>
          <t>Maharashtra</t>
        </is>
      </c>
      <c r="M2482" s="46" t="inlineStr">
        <is>
          <t>PS</t>
        </is>
      </c>
      <c r="N2482" s="3" t="inlineStr">
        <is>
          <t>Cold Soldering</t>
        </is>
      </c>
      <c r="O2482" s="56" t="n">
        <v>575</v>
      </c>
      <c r="P2482" s="9" t="inlineStr">
        <is>
          <t>NSMI24070193153</t>
        </is>
      </c>
      <c r="Q2482" s="54">
        <f>MID(P2482,5,2)</f>
        <v/>
      </c>
      <c r="R2482" s="53">
        <f>MID(P2482,7,2)</f>
        <v/>
      </c>
      <c r="S2482" s="3" t="inlineStr">
        <is>
          <t>G2G</t>
        </is>
      </c>
      <c r="T2482" s="3" t="inlineStr">
        <is>
          <t>P4</t>
        </is>
      </c>
      <c r="U2482" s="19" t="inlineStr">
        <is>
          <t>P JB Cold Soldering</t>
        </is>
      </c>
      <c r="V2482" s="19" t="inlineStr">
        <is>
          <t>Soldering</t>
        </is>
      </c>
      <c r="W2482" s="3" t="inlineStr">
        <is>
          <t>Repair</t>
        </is>
      </c>
      <c r="X2482" s="18" t="n">
        <v>46171</v>
      </c>
      <c r="Y2482" s="3">
        <f>X2482-A2482</f>
        <v/>
      </c>
      <c r="Z2482" s="18" t="n">
        <v>46171</v>
      </c>
      <c r="AA2482" s="15" t="n"/>
      <c r="AB2482" s="15" t="n"/>
    </row>
    <row r="2483">
      <c r="A2483" s="37" t="n">
        <v>46143</v>
      </c>
      <c r="B2483" s="3" t="n">
        <v>2026</v>
      </c>
      <c r="C2483" s="26" t="inlineStr">
        <is>
          <t>Yanara Power</t>
        </is>
      </c>
      <c r="D2483" s="3" t="inlineStr">
        <is>
          <t>Utility and C&amp;I</t>
        </is>
      </c>
      <c r="E2483" s="3" t="n"/>
      <c r="F2483" s="3" t="inlineStr">
        <is>
          <t>Closed</t>
        </is>
      </c>
      <c r="G2483" s="9" t="inlineStr">
        <is>
          <t xml:space="preserve">Ashish Jindal </t>
        </is>
      </c>
      <c r="H2483" s="26" t="n">
        <v>9983975581</v>
      </c>
      <c r="I2483" s="38" t="inlineStr">
        <is>
          <t>PE01052601</t>
        </is>
      </c>
      <c r="J2483" s="26" t="inlineStr">
        <is>
          <t>Multiple Issues</t>
        </is>
      </c>
      <c r="K2483" s="39" t="inlineStr">
        <is>
          <t>Holi</t>
        </is>
      </c>
      <c r="L2483" s="39" t="inlineStr">
        <is>
          <t>Maharashtra</t>
        </is>
      </c>
      <c r="M2483" s="46" t="inlineStr">
        <is>
          <t>NS</t>
        </is>
      </c>
      <c r="N2483" s="3" t="inlineStr">
        <is>
          <t>Cold Soldering</t>
        </is>
      </c>
      <c r="O2483" s="56" t="n">
        <v>575</v>
      </c>
      <c r="P2483" s="9" t="inlineStr">
        <is>
          <t>NSMI24070219218</t>
        </is>
      </c>
      <c r="Q2483" s="54">
        <f>MID(P2483,5,2)</f>
        <v/>
      </c>
      <c r="R2483" s="53">
        <f>MID(P2483,7,2)</f>
        <v/>
      </c>
      <c r="S2483" s="3" t="inlineStr">
        <is>
          <t>G2G</t>
        </is>
      </c>
      <c r="T2483" s="3" t="inlineStr">
        <is>
          <t>P4</t>
        </is>
      </c>
      <c r="U2483" s="3" t="inlineStr">
        <is>
          <t>N JB Cold Soldering</t>
        </is>
      </c>
      <c r="V2483" s="3" t="inlineStr">
        <is>
          <t>Soldering</t>
        </is>
      </c>
      <c r="W2483" s="3" t="inlineStr">
        <is>
          <t>Repair</t>
        </is>
      </c>
      <c r="X2483" s="18" t="n">
        <v>46171</v>
      </c>
      <c r="Y2483" s="3">
        <f>X2483-A2483</f>
        <v/>
      </c>
      <c r="Z2483" s="18" t="n">
        <v>46171</v>
      </c>
      <c r="AA2483" s="15" t="n"/>
      <c r="AB2483" s="15" t="n"/>
    </row>
    <row r="2484">
      <c r="A2484" s="37" t="n">
        <v>46143</v>
      </c>
      <c r="B2484" s="3" t="n">
        <v>2026</v>
      </c>
      <c r="C2484" s="26" t="inlineStr">
        <is>
          <t>Yanara Power</t>
        </is>
      </c>
      <c r="D2484" s="3" t="inlineStr">
        <is>
          <t>Utility and C&amp;I</t>
        </is>
      </c>
      <c r="E2484" s="3" t="n"/>
      <c r="F2484" s="3" t="inlineStr">
        <is>
          <t>Closed</t>
        </is>
      </c>
      <c r="G2484" s="9" t="inlineStr">
        <is>
          <t xml:space="preserve">Ashish Jindal </t>
        </is>
      </c>
      <c r="H2484" s="26" t="n">
        <v>9983975581</v>
      </c>
      <c r="I2484" s="38" t="inlineStr">
        <is>
          <t>PE01052601</t>
        </is>
      </c>
      <c r="J2484" s="26" t="inlineStr">
        <is>
          <t>Multiple Issues</t>
        </is>
      </c>
      <c r="K2484" s="39" t="inlineStr">
        <is>
          <t>Holi</t>
        </is>
      </c>
      <c r="L2484" s="39" t="inlineStr">
        <is>
          <t>Maharashtra</t>
        </is>
      </c>
      <c r="M2484" s="46" t="inlineStr">
        <is>
          <t>PS</t>
        </is>
      </c>
      <c r="N2484" s="3" t="inlineStr">
        <is>
          <t>Cold Soldering</t>
        </is>
      </c>
      <c r="O2484" s="56" t="n">
        <v>575</v>
      </c>
      <c r="P2484" s="9" t="inlineStr">
        <is>
          <t>NSMI24070239504</t>
        </is>
      </c>
      <c r="Q2484" s="54">
        <f>MID(P2484,5,2)</f>
        <v/>
      </c>
      <c r="R2484" s="53">
        <f>MID(P2484,7,2)</f>
        <v/>
      </c>
      <c r="S2484" s="3" t="inlineStr">
        <is>
          <t>G2G</t>
        </is>
      </c>
      <c r="T2484" s="3" t="inlineStr">
        <is>
          <t>P4</t>
        </is>
      </c>
      <c r="U2484" s="19" t="inlineStr">
        <is>
          <t>P JB Cold Soldering</t>
        </is>
      </c>
      <c r="V2484" s="19" t="inlineStr">
        <is>
          <t>Soldering</t>
        </is>
      </c>
      <c r="W2484" s="3" t="inlineStr">
        <is>
          <t>Repair</t>
        </is>
      </c>
      <c r="X2484" s="18" t="n">
        <v>46171</v>
      </c>
      <c r="Y2484" s="3">
        <f>X2484-A2484</f>
        <v/>
      </c>
      <c r="Z2484" s="18" t="n">
        <v>46171</v>
      </c>
      <c r="AA2484" s="15" t="n"/>
      <c r="AB2484" s="15" t="n"/>
    </row>
    <row r="2485">
      <c r="A2485" s="37" t="n">
        <v>46143</v>
      </c>
      <c r="B2485" s="3" t="n">
        <v>2026</v>
      </c>
      <c r="C2485" s="26" t="inlineStr">
        <is>
          <t>Yanara Power</t>
        </is>
      </c>
      <c r="D2485" s="3" t="inlineStr">
        <is>
          <t>Utility and C&amp;I</t>
        </is>
      </c>
      <c r="E2485" s="3" t="n"/>
      <c r="F2485" s="3" t="inlineStr">
        <is>
          <t>Closed</t>
        </is>
      </c>
      <c r="G2485" s="9" t="inlineStr">
        <is>
          <t xml:space="preserve">Ashish Jindal </t>
        </is>
      </c>
      <c r="H2485" s="26" t="n">
        <v>9983975581</v>
      </c>
      <c r="I2485" s="38" t="inlineStr">
        <is>
          <t>PE01052601</t>
        </is>
      </c>
      <c r="J2485" s="26" t="inlineStr">
        <is>
          <t>Multiple Issues</t>
        </is>
      </c>
      <c r="K2485" s="39" t="inlineStr">
        <is>
          <t>Holi</t>
        </is>
      </c>
      <c r="L2485" s="39" t="inlineStr">
        <is>
          <t>Maharashtra</t>
        </is>
      </c>
      <c r="M2485" s="46" t="inlineStr">
        <is>
          <t>NS</t>
        </is>
      </c>
      <c r="N2485" s="3" t="inlineStr">
        <is>
          <t>Cold Soldering</t>
        </is>
      </c>
      <c r="O2485" s="56" t="n">
        <v>575</v>
      </c>
      <c r="P2485" s="9" t="inlineStr">
        <is>
          <t>NSMI24070239340</t>
        </is>
      </c>
      <c r="Q2485" s="54">
        <f>MID(P2485,5,2)</f>
        <v/>
      </c>
      <c r="R2485" s="53">
        <f>MID(P2485,7,2)</f>
        <v/>
      </c>
      <c r="S2485" s="3" t="inlineStr">
        <is>
          <t>G2G</t>
        </is>
      </c>
      <c r="T2485" s="3" t="inlineStr">
        <is>
          <t>P4</t>
        </is>
      </c>
      <c r="U2485" s="3" t="inlineStr">
        <is>
          <t>N JB Cold Soldering</t>
        </is>
      </c>
      <c r="V2485" s="3" t="inlineStr">
        <is>
          <t>Soldering</t>
        </is>
      </c>
      <c r="W2485" s="3" t="inlineStr">
        <is>
          <t>Repair</t>
        </is>
      </c>
      <c r="X2485" s="18" t="n">
        <v>46171</v>
      </c>
      <c r="Y2485" s="3">
        <f>X2485-A2485</f>
        <v/>
      </c>
      <c r="Z2485" s="18" t="n">
        <v>46171</v>
      </c>
      <c r="AA2485" s="15" t="n"/>
      <c r="AB2485" s="15" t="n"/>
    </row>
    <row r="2486">
      <c r="A2486" s="37" t="n">
        <v>46143</v>
      </c>
      <c r="B2486" s="3" t="n">
        <v>2026</v>
      </c>
      <c r="C2486" s="26" t="inlineStr">
        <is>
          <t>Yanara Power</t>
        </is>
      </c>
      <c r="D2486" s="3" t="inlineStr">
        <is>
          <t>Utility and C&amp;I</t>
        </is>
      </c>
      <c r="E2486" s="3" t="n"/>
      <c r="F2486" s="3" t="inlineStr">
        <is>
          <t>Closed</t>
        </is>
      </c>
      <c r="G2486" s="9" t="inlineStr">
        <is>
          <t xml:space="preserve">Ashish Jindal </t>
        </is>
      </c>
      <c r="H2486" s="26" t="n">
        <v>9983975581</v>
      </c>
      <c r="I2486" s="38" t="inlineStr">
        <is>
          <t>PE01052601</t>
        </is>
      </c>
      <c r="J2486" s="26" t="inlineStr">
        <is>
          <t>Multiple Issues</t>
        </is>
      </c>
      <c r="K2486" s="39" t="inlineStr">
        <is>
          <t>Holi</t>
        </is>
      </c>
      <c r="L2486" s="39" t="inlineStr">
        <is>
          <t>Maharashtra</t>
        </is>
      </c>
      <c r="M2486" s="46" t="inlineStr">
        <is>
          <t>NS</t>
        </is>
      </c>
      <c r="N2486" s="3" t="inlineStr">
        <is>
          <t>Cold Soldering</t>
        </is>
      </c>
      <c r="O2486" s="56" t="n">
        <v>575</v>
      </c>
      <c r="P2486" s="9" t="inlineStr">
        <is>
          <t>NSMI24070192433</t>
        </is>
      </c>
      <c r="Q2486" s="54">
        <f>MID(P2486,5,2)</f>
        <v/>
      </c>
      <c r="R2486" s="53">
        <f>MID(P2486,7,2)</f>
        <v/>
      </c>
      <c r="S2486" s="3" t="inlineStr">
        <is>
          <t>G2G</t>
        </is>
      </c>
      <c r="T2486" s="3" t="inlineStr">
        <is>
          <t>P4</t>
        </is>
      </c>
      <c r="U2486" s="3" t="inlineStr">
        <is>
          <t>N JB Cold Soldering</t>
        </is>
      </c>
      <c r="V2486" s="3" t="inlineStr">
        <is>
          <t>Soldering</t>
        </is>
      </c>
      <c r="W2486" s="3" t="inlineStr">
        <is>
          <t>Repair</t>
        </is>
      </c>
      <c r="X2486" s="18" t="n">
        <v>46171</v>
      </c>
      <c r="Y2486" s="3">
        <f>X2486-A2486</f>
        <v/>
      </c>
      <c r="Z2486" s="18" t="n">
        <v>46171</v>
      </c>
      <c r="AA2486" s="15" t="n"/>
      <c r="AB2486" s="15" t="n"/>
    </row>
    <row r="2487">
      <c r="A2487" s="37" t="n">
        <v>46143</v>
      </c>
      <c r="B2487" s="3" t="n">
        <v>2026</v>
      </c>
      <c r="C2487" s="26" t="inlineStr">
        <is>
          <t>Yanara Power</t>
        </is>
      </c>
      <c r="D2487" s="3" t="inlineStr">
        <is>
          <t>Utility and C&amp;I</t>
        </is>
      </c>
      <c r="E2487" s="3" t="n"/>
      <c r="F2487" s="3" t="inlineStr">
        <is>
          <t>Closed</t>
        </is>
      </c>
      <c r="G2487" s="9" t="inlineStr">
        <is>
          <t xml:space="preserve">Ashish Jindal </t>
        </is>
      </c>
      <c r="H2487" s="26" t="n">
        <v>9983975581</v>
      </c>
      <c r="I2487" s="38" t="inlineStr">
        <is>
          <t>PE01052601</t>
        </is>
      </c>
      <c r="J2487" s="26" t="inlineStr">
        <is>
          <t>Multiple Issues</t>
        </is>
      </c>
      <c r="K2487" s="39" t="inlineStr">
        <is>
          <t>Holi</t>
        </is>
      </c>
      <c r="L2487" s="39" t="inlineStr">
        <is>
          <t>Maharashtra</t>
        </is>
      </c>
      <c r="M2487" s="46" t="inlineStr">
        <is>
          <t>PS</t>
        </is>
      </c>
      <c r="N2487" s="3" t="inlineStr">
        <is>
          <t>Cold Soldering</t>
        </is>
      </c>
      <c r="O2487" s="56" t="n">
        <v>575</v>
      </c>
      <c r="P2487" s="9" t="inlineStr">
        <is>
          <t>NSMI24070204352</t>
        </is>
      </c>
      <c r="Q2487" s="54">
        <f>MID(P2487,5,2)</f>
        <v/>
      </c>
      <c r="R2487" s="53">
        <f>MID(P2487,7,2)</f>
        <v/>
      </c>
      <c r="S2487" s="3" t="inlineStr">
        <is>
          <t>G2G</t>
        </is>
      </c>
      <c r="T2487" s="3" t="inlineStr">
        <is>
          <t>P4</t>
        </is>
      </c>
      <c r="U2487" s="19" t="inlineStr">
        <is>
          <t>P JB Cold Soldering</t>
        </is>
      </c>
      <c r="V2487" s="19" t="inlineStr">
        <is>
          <t>Soldering</t>
        </is>
      </c>
      <c r="W2487" s="3" t="inlineStr">
        <is>
          <t>Repair</t>
        </is>
      </c>
      <c r="X2487" s="18" t="n">
        <v>46171</v>
      </c>
      <c r="Y2487" s="3">
        <f>X2487-A2487</f>
        <v/>
      </c>
      <c r="Z2487" s="18" t="n">
        <v>46171</v>
      </c>
      <c r="AA2487" s="15" t="n"/>
      <c r="AB2487" s="15" t="n"/>
    </row>
    <row r="2488">
      <c r="A2488" s="37" t="n">
        <v>46143</v>
      </c>
      <c r="B2488" s="3" t="n">
        <v>2026</v>
      </c>
      <c r="C2488" s="26" t="inlineStr">
        <is>
          <t>Yanara Power</t>
        </is>
      </c>
      <c r="D2488" s="3" t="inlineStr">
        <is>
          <t>Utility and C&amp;I</t>
        </is>
      </c>
      <c r="E2488" s="3" t="n"/>
      <c r="F2488" s="3" t="inlineStr">
        <is>
          <t>Closed</t>
        </is>
      </c>
      <c r="G2488" s="9" t="inlineStr">
        <is>
          <t xml:space="preserve">Ashish Jindal </t>
        </is>
      </c>
      <c r="H2488" s="26" t="n">
        <v>9983975581</v>
      </c>
      <c r="I2488" s="38" t="inlineStr">
        <is>
          <t>PE01052601</t>
        </is>
      </c>
      <c r="J2488" s="26" t="inlineStr">
        <is>
          <t>Multiple Issues</t>
        </is>
      </c>
      <c r="K2488" s="39" t="inlineStr">
        <is>
          <t>Holi</t>
        </is>
      </c>
      <c r="L2488" s="39" t="inlineStr">
        <is>
          <t>Maharashtra</t>
        </is>
      </c>
      <c r="M2488" s="46" t="inlineStr">
        <is>
          <t>PS</t>
        </is>
      </c>
      <c r="N2488" s="3" t="inlineStr">
        <is>
          <t>Cold Soldering</t>
        </is>
      </c>
      <c r="O2488" s="56" t="n">
        <v>575</v>
      </c>
      <c r="P2488" s="9" t="inlineStr">
        <is>
          <t>NSMI24070203937</t>
        </is>
      </c>
      <c r="Q2488" s="54">
        <f>MID(P2488,5,2)</f>
        <v/>
      </c>
      <c r="R2488" s="53">
        <f>MID(P2488,7,2)</f>
        <v/>
      </c>
      <c r="S2488" s="3" t="inlineStr">
        <is>
          <t>G2G</t>
        </is>
      </c>
      <c r="T2488" s="3" t="inlineStr">
        <is>
          <t>P4</t>
        </is>
      </c>
      <c r="U2488" s="19" t="inlineStr">
        <is>
          <t>P JB Cold Soldering</t>
        </is>
      </c>
      <c r="V2488" s="19" t="inlineStr">
        <is>
          <t>Soldering</t>
        </is>
      </c>
      <c r="W2488" s="3" t="inlineStr">
        <is>
          <t>Repair</t>
        </is>
      </c>
      <c r="X2488" s="18" t="n">
        <v>46171</v>
      </c>
      <c r="Y2488" s="3">
        <f>X2488-A2488</f>
        <v/>
      </c>
      <c r="Z2488" s="18" t="n">
        <v>46171</v>
      </c>
      <c r="AA2488" s="15" t="n"/>
      <c r="AB2488" s="15" t="n"/>
    </row>
    <row r="2489">
      <c r="A2489" s="37" t="n">
        <v>46143</v>
      </c>
      <c r="B2489" s="3" t="n">
        <v>2026</v>
      </c>
      <c r="C2489" s="26" t="inlineStr">
        <is>
          <t>Yanara Power</t>
        </is>
      </c>
      <c r="D2489" s="3" t="inlineStr">
        <is>
          <t>Utility and C&amp;I</t>
        </is>
      </c>
      <c r="E2489" s="3" t="n"/>
      <c r="F2489" s="3" t="inlineStr">
        <is>
          <t>Closed</t>
        </is>
      </c>
      <c r="G2489" s="9" t="inlineStr">
        <is>
          <t xml:space="preserve">Ashish Jindal </t>
        </is>
      </c>
      <c r="H2489" s="26" t="n">
        <v>9983975581</v>
      </c>
      <c r="I2489" s="38" t="inlineStr">
        <is>
          <t>PE01052601</t>
        </is>
      </c>
      <c r="J2489" s="26" t="inlineStr">
        <is>
          <t>Multiple Issues</t>
        </is>
      </c>
      <c r="K2489" s="39" t="inlineStr">
        <is>
          <t>Holi</t>
        </is>
      </c>
      <c r="L2489" s="39" t="inlineStr">
        <is>
          <t>Maharashtra</t>
        </is>
      </c>
      <c r="M2489" s="46" t="inlineStr">
        <is>
          <t>PS</t>
        </is>
      </c>
      <c r="N2489" s="3" t="inlineStr">
        <is>
          <t>Cold Soldering</t>
        </is>
      </c>
      <c r="O2489" s="56" t="n">
        <v>575</v>
      </c>
      <c r="P2489" s="9" t="inlineStr">
        <is>
          <t>NSMI24070197492</t>
        </is>
      </c>
      <c r="Q2489" s="54">
        <f>MID(P2489,5,2)</f>
        <v/>
      </c>
      <c r="R2489" s="53">
        <f>MID(P2489,7,2)</f>
        <v/>
      </c>
      <c r="S2489" s="3" t="inlineStr">
        <is>
          <t>G2G</t>
        </is>
      </c>
      <c r="T2489" s="3" t="inlineStr">
        <is>
          <t>P4</t>
        </is>
      </c>
      <c r="U2489" s="19" t="inlineStr">
        <is>
          <t>P JB Cold Soldering</t>
        </is>
      </c>
      <c r="V2489" s="19" t="inlineStr">
        <is>
          <t>Soldering</t>
        </is>
      </c>
      <c r="W2489" s="3" t="inlineStr">
        <is>
          <t>Repair</t>
        </is>
      </c>
      <c r="X2489" s="18" t="n">
        <v>46171</v>
      </c>
      <c r="Y2489" s="3">
        <f>X2489-A2489</f>
        <v/>
      </c>
      <c r="Z2489" s="18" t="n">
        <v>46171</v>
      </c>
      <c r="AA2489" s="15" t="n"/>
      <c r="AB2489" s="15" t="n"/>
    </row>
    <row r="2490">
      <c r="A2490" s="37" t="n">
        <v>46143</v>
      </c>
      <c r="B2490" s="3" t="n">
        <v>2026</v>
      </c>
      <c r="C2490" s="26" t="inlineStr">
        <is>
          <t>Yanara Power</t>
        </is>
      </c>
      <c r="D2490" s="3" t="inlineStr">
        <is>
          <t>Utility and C&amp;I</t>
        </is>
      </c>
      <c r="E2490" s="3" t="n"/>
      <c r="F2490" s="3" t="inlineStr">
        <is>
          <t>Closed</t>
        </is>
      </c>
      <c r="G2490" s="9" t="inlineStr">
        <is>
          <t xml:space="preserve">Ashish Jindal </t>
        </is>
      </c>
      <c r="H2490" s="26" t="n">
        <v>9983975581</v>
      </c>
      <c r="I2490" s="38" t="inlineStr">
        <is>
          <t>PE01052601</t>
        </is>
      </c>
      <c r="J2490" s="26" t="inlineStr">
        <is>
          <t>Multiple Issues</t>
        </is>
      </c>
      <c r="K2490" s="39" t="inlineStr">
        <is>
          <t>Holi</t>
        </is>
      </c>
      <c r="L2490" s="39" t="inlineStr">
        <is>
          <t>Maharashtra</t>
        </is>
      </c>
      <c r="M2490" s="46" t="inlineStr">
        <is>
          <t>NS</t>
        </is>
      </c>
      <c r="N2490" s="3" t="inlineStr">
        <is>
          <t>Cold Soldering</t>
        </is>
      </c>
      <c r="O2490" s="56" t="n">
        <v>575</v>
      </c>
      <c r="P2490" s="9" t="inlineStr">
        <is>
          <t>NSMI24070180814</t>
        </is>
      </c>
      <c r="Q2490" s="54">
        <f>MID(P2490,5,2)</f>
        <v/>
      </c>
      <c r="R2490" s="53">
        <f>MID(P2490,7,2)</f>
        <v/>
      </c>
      <c r="S2490" s="3" t="inlineStr">
        <is>
          <t>G2G</t>
        </is>
      </c>
      <c r="T2490" s="3" t="inlineStr">
        <is>
          <t>P4</t>
        </is>
      </c>
      <c r="U2490" s="3" t="inlineStr">
        <is>
          <t>N JB Cold Soldering</t>
        </is>
      </c>
      <c r="V2490" s="3" t="inlineStr">
        <is>
          <t>Soldering</t>
        </is>
      </c>
      <c r="W2490" s="3" t="inlineStr">
        <is>
          <t>Repair</t>
        </is>
      </c>
      <c r="X2490" s="18" t="n">
        <v>46171</v>
      </c>
      <c r="Y2490" s="3">
        <f>X2490-A2490</f>
        <v/>
      </c>
      <c r="Z2490" s="18" t="n">
        <v>46171</v>
      </c>
      <c r="AA2490" s="15" t="n"/>
      <c r="AB2490" s="15" t="n"/>
    </row>
    <row r="2491">
      <c r="A2491" s="59" t="n">
        <v>46148</v>
      </c>
      <c r="B2491" s="3" t="n">
        <v>2026</v>
      </c>
      <c r="C2491" s="21" t="inlineStr">
        <is>
          <t>Continuum</t>
        </is>
      </c>
      <c r="D2491" s="3" t="inlineStr">
        <is>
          <t>Utility and C&amp;I</t>
        </is>
      </c>
      <c r="E2491" s="3" t="n"/>
      <c r="F2491" s="3" t="inlineStr">
        <is>
          <t>Closed</t>
        </is>
      </c>
      <c r="G2491" s="21" t="inlineStr">
        <is>
          <t>Amiya Ranjan Behera</t>
        </is>
      </c>
      <c r="H2491" s="21" t="n">
        <v>8917436223</v>
      </c>
      <c r="I2491" s="38" t="inlineStr">
        <is>
          <t>PE06052602</t>
        </is>
      </c>
      <c r="J2491" s="21" t="inlineStr">
        <is>
          <t>Diode Bypass Module Issue</t>
        </is>
      </c>
      <c r="K2491" s="21" t="inlineStr">
        <is>
          <t>Bhavnagar</t>
        </is>
      </c>
      <c r="L2491" s="21" t="inlineStr">
        <is>
          <t>Gujarat</t>
        </is>
      </c>
      <c r="M2491" s="9" t="inlineStr">
        <is>
          <t>NS</t>
        </is>
      </c>
      <c r="N2491" s="26" t="inlineStr">
        <is>
          <t>Cold Soldering</t>
        </is>
      </c>
      <c r="O2491" s="62" t="n">
        <v>540</v>
      </c>
      <c r="P2491" s="9" t="inlineStr">
        <is>
          <t>NSMP2305176265</t>
        </is>
      </c>
      <c r="Q2491" s="53">
        <f>MID(P2491,5,2)</f>
        <v/>
      </c>
      <c r="R2491" s="53">
        <f>MID(P2491,7,2)</f>
        <v/>
      </c>
      <c r="S2491" s="3" t="inlineStr">
        <is>
          <t>G2B</t>
        </is>
      </c>
      <c r="T2491" s="3" t="inlineStr">
        <is>
          <t>P2</t>
        </is>
      </c>
      <c r="U2491" s="19" t="inlineStr">
        <is>
          <t>N JB Cold Soldering</t>
        </is>
      </c>
      <c r="V2491" s="19" t="inlineStr">
        <is>
          <t>Soldering</t>
        </is>
      </c>
      <c r="W2491" s="3" t="inlineStr">
        <is>
          <t>Repair</t>
        </is>
      </c>
      <c r="X2491" s="18" t="n">
        <v>46172</v>
      </c>
      <c r="Y2491" s="3">
        <f>X2491-A2491</f>
        <v/>
      </c>
      <c r="Z2491" s="18" t="n">
        <v>46172</v>
      </c>
      <c r="AA2491" s="15" t="n"/>
      <c r="AB2491" s="15" t="n"/>
    </row>
    <row r="2492">
      <c r="A2492" s="59" t="n">
        <v>46148</v>
      </c>
      <c r="B2492" s="3" t="n">
        <v>2026</v>
      </c>
      <c r="C2492" s="21" t="inlineStr">
        <is>
          <t>Continuum</t>
        </is>
      </c>
      <c r="D2492" s="3" t="inlineStr">
        <is>
          <t>Utility and C&amp;I</t>
        </is>
      </c>
      <c r="E2492" s="3" t="n"/>
      <c r="F2492" s="3" t="inlineStr">
        <is>
          <t>Closed</t>
        </is>
      </c>
      <c r="G2492" s="21" t="inlineStr">
        <is>
          <t>Amiya Ranjan Behera</t>
        </is>
      </c>
      <c r="H2492" s="21" t="n">
        <v>8917436223</v>
      </c>
      <c r="I2492" s="38" t="inlineStr">
        <is>
          <t>PE06052602</t>
        </is>
      </c>
      <c r="J2492" s="21" t="inlineStr">
        <is>
          <t>Diode Bypass Module Issue</t>
        </is>
      </c>
      <c r="K2492" s="21" t="inlineStr">
        <is>
          <t>Bhavnagar</t>
        </is>
      </c>
      <c r="L2492" s="21" t="inlineStr">
        <is>
          <t>Gujarat</t>
        </is>
      </c>
      <c r="M2492" s="9" t="inlineStr">
        <is>
          <t>PS</t>
        </is>
      </c>
      <c r="N2492" s="3" t="inlineStr">
        <is>
          <t>Cold Soldering</t>
        </is>
      </c>
      <c r="O2492" s="62" t="n">
        <v>540</v>
      </c>
      <c r="P2492" s="9" t="inlineStr">
        <is>
          <t>NSMP2305132717</t>
        </is>
      </c>
      <c r="Q2492" s="53">
        <f>MID(P2492,5,2)</f>
        <v/>
      </c>
      <c r="R2492" s="53">
        <f>MID(P2492,7,2)</f>
        <v/>
      </c>
      <c r="S2492" s="3" t="inlineStr">
        <is>
          <t>G2B</t>
        </is>
      </c>
      <c r="T2492" s="3" t="inlineStr">
        <is>
          <t>P2</t>
        </is>
      </c>
      <c r="U2492" s="3" t="inlineStr">
        <is>
          <t>P JB Cold Soldering</t>
        </is>
      </c>
      <c r="V2492" s="3" t="inlineStr">
        <is>
          <t>Soldering</t>
        </is>
      </c>
      <c r="W2492" s="3" t="inlineStr">
        <is>
          <t>Repair</t>
        </is>
      </c>
      <c r="X2492" s="18" t="n">
        <v>46172</v>
      </c>
      <c r="Y2492" s="3">
        <f>X2492-A2492</f>
        <v/>
      </c>
      <c r="Z2492" s="18" t="n">
        <v>46172</v>
      </c>
      <c r="AA2492" s="15" t="n"/>
      <c r="AB2492" s="15" t="n"/>
    </row>
    <row r="2493">
      <c r="A2493" s="59" t="n">
        <v>46148</v>
      </c>
      <c r="B2493" s="3" t="n">
        <v>2026</v>
      </c>
      <c r="C2493" s="21" t="inlineStr">
        <is>
          <t>Continuum</t>
        </is>
      </c>
      <c r="D2493" s="3" t="inlineStr">
        <is>
          <t>Utility and C&amp;I</t>
        </is>
      </c>
      <c r="E2493" s="3" t="n"/>
      <c r="F2493" s="3" t="inlineStr">
        <is>
          <t>Closed</t>
        </is>
      </c>
      <c r="G2493" s="21" t="inlineStr">
        <is>
          <t>Amiya Ranjan Behera</t>
        </is>
      </c>
      <c r="H2493" s="21" t="n">
        <v>8917436223</v>
      </c>
      <c r="I2493" s="38" t="inlineStr">
        <is>
          <t>PE06052602</t>
        </is>
      </c>
      <c r="J2493" s="21" t="inlineStr">
        <is>
          <t>Diode Bypass Module Issue</t>
        </is>
      </c>
      <c r="K2493" s="21" t="inlineStr">
        <is>
          <t>Bhavnagar</t>
        </is>
      </c>
      <c r="L2493" s="21" t="inlineStr">
        <is>
          <t>Gujarat</t>
        </is>
      </c>
      <c r="M2493" s="9" t="inlineStr">
        <is>
          <t>PR</t>
        </is>
      </c>
      <c r="N2493" s="3" t="inlineStr">
        <is>
          <t>JB Issue</t>
        </is>
      </c>
      <c r="O2493" s="62" t="n">
        <v>540</v>
      </c>
      <c r="P2493" s="9" t="inlineStr">
        <is>
          <t>NSMP2305132776</t>
        </is>
      </c>
      <c r="Q2493" s="53">
        <f>MID(P2493,5,2)</f>
        <v/>
      </c>
      <c r="R2493" s="53">
        <f>MID(P2493,7,2)</f>
        <v/>
      </c>
      <c r="S2493" s="3" t="inlineStr">
        <is>
          <t>G2B</t>
        </is>
      </c>
      <c r="T2493" s="3" t="inlineStr">
        <is>
          <t>P2</t>
        </is>
      </c>
      <c r="U2493" s="3" t="inlineStr">
        <is>
          <t>P JB Issue</t>
        </is>
      </c>
      <c r="V2493" s="15" t="inlineStr">
        <is>
          <t>JB Changed</t>
        </is>
      </c>
      <c r="W2493" s="3" t="inlineStr">
        <is>
          <t>Repair</t>
        </is>
      </c>
      <c r="X2493" s="18" t="n">
        <v>46172</v>
      </c>
      <c r="Y2493" s="3">
        <f>X2493-A2493</f>
        <v/>
      </c>
      <c r="Z2493" s="18" t="n">
        <v>46172</v>
      </c>
      <c r="AA2493" s="15" t="n"/>
      <c r="AB2493" s="15" t="n"/>
    </row>
    <row r="2494">
      <c r="A2494" s="59" t="n">
        <v>46148</v>
      </c>
      <c r="B2494" s="3" t="n">
        <v>2026</v>
      </c>
      <c r="C2494" s="21" t="inlineStr">
        <is>
          <t>Continuum</t>
        </is>
      </c>
      <c r="D2494" s="3" t="inlineStr">
        <is>
          <t>Utility and C&amp;I</t>
        </is>
      </c>
      <c r="E2494" s="3" t="n"/>
      <c r="F2494" s="3" t="inlineStr">
        <is>
          <t>Closed</t>
        </is>
      </c>
      <c r="G2494" s="21" t="inlineStr">
        <is>
          <t>Amiya Ranjan Behera</t>
        </is>
      </c>
      <c r="H2494" s="21" t="n">
        <v>8917436223</v>
      </c>
      <c r="I2494" s="38" t="inlineStr">
        <is>
          <t>PE06052602</t>
        </is>
      </c>
      <c r="J2494" s="21" t="inlineStr">
        <is>
          <t>Diode Bypass Module Issue</t>
        </is>
      </c>
      <c r="K2494" s="21" t="inlineStr">
        <is>
          <t>Bhavnagar</t>
        </is>
      </c>
      <c r="L2494" s="21" t="inlineStr">
        <is>
          <t>Gujarat</t>
        </is>
      </c>
      <c r="M2494" s="9" t="inlineStr">
        <is>
          <t>PS</t>
        </is>
      </c>
      <c r="N2494" s="3" t="inlineStr">
        <is>
          <t>Cold Soldering</t>
        </is>
      </c>
      <c r="O2494" s="62" t="n">
        <v>540</v>
      </c>
      <c r="P2494" s="9" t="inlineStr">
        <is>
          <t>NSMP2305133872</t>
        </is>
      </c>
      <c r="Q2494" s="53">
        <f>MID(P2494,5,2)</f>
        <v/>
      </c>
      <c r="R2494" s="53">
        <f>MID(P2494,7,2)</f>
        <v/>
      </c>
      <c r="S2494" s="3" t="inlineStr">
        <is>
          <t>G2B</t>
        </is>
      </c>
      <c r="T2494" s="3" t="inlineStr">
        <is>
          <t>P2</t>
        </is>
      </c>
      <c r="U2494" s="3" t="inlineStr">
        <is>
          <t>P JB Cold Soldering</t>
        </is>
      </c>
      <c r="V2494" s="3" t="inlineStr">
        <is>
          <t>Soldering</t>
        </is>
      </c>
      <c r="W2494" s="3" t="inlineStr">
        <is>
          <t>Repair</t>
        </is>
      </c>
      <c r="X2494" s="18" t="n">
        <v>46172</v>
      </c>
      <c r="Y2494" s="3">
        <f>X2494-A2494</f>
        <v/>
      </c>
      <c r="Z2494" s="18" t="n">
        <v>46172</v>
      </c>
      <c r="AA2494" s="15" t="n"/>
      <c r="AB2494" s="15" t="n"/>
    </row>
    <row r="2495">
      <c r="A2495" s="59" t="n">
        <v>46148</v>
      </c>
      <c r="B2495" s="3" t="n">
        <v>2026</v>
      </c>
      <c r="C2495" s="21" t="inlineStr">
        <is>
          <t>Continuum</t>
        </is>
      </c>
      <c r="D2495" s="3" t="inlineStr">
        <is>
          <t>Utility and C&amp;I</t>
        </is>
      </c>
      <c r="E2495" s="3" t="n"/>
      <c r="F2495" s="3" t="inlineStr">
        <is>
          <t>Closed</t>
        </is>
      </c>
      <c r="G2495" s="21" t="inlineStr">
        <is>
          <t>Amiya Ranjan Behera</t>
        </is>
      </c>
      <c r="H2495" s="21" t="n">
        <v>8917436223</v>
      </c>
      <c r="I2495" s="38" t="inlineStr">
        <is>
          <t>PE06052602</t>
        </is>
      </c>
      <c r="J2495" s="21" t="inlineStr">
        <is>
          <t>Diode Bypass Module Issue</t>
        </is>
      </c>
      <c r="K2495" s="21" t="inlineStr">
        <is>
          <t>Bhavnagar</t>
        </is>
      </c>
      <c r="L2495" s="21" t="inlineStr">
        <is>
          <t>Gujarat</t>
        </is>
      </c>
      <c r="M2495" s="9" t="inlineStr">
        <is>
          <t>NS</t>
        </is>
      </c>
      <c r="N2495" s="26" t="inlineStr">
        <is>
          <t>Cold Soldering</t>
        </is>
      </c>
      <c r="O2495" s="62" t="n">
        <v>540</v>
      </c>
      <c r="P2495" s="9" t="inlineStr">
        <is>
          <t>NSMP2305173959</t>
        </is>
      </c>
      <c r="Q2495" s="53">
        <f>MID(P2495,5,2)</f>
        <v/>
      </c>
      <c r="R2495" s="53">
        <f>MID(P2495,7,2)</f>
        <v/>
      </c>
      <c r="S2495" s="3" t="inlineStr">
        <is>
          <t>G2B</t>
        </is>
      </c>
      <c r="T2495" s="3" t="inlineStr">
        <is>
          <t>P2</t>
        </is>
      </c>
      <c r="U2495" s="19" t="inlineStr">
        <is>
          <t>N JB Cold Soldering</t>
        </is>
      </c>
      <c r="V2495" s="19" t="inlineStr">
        <is>
          <t>Soldering</t>
        </is>
      </c>
      <c r="W2495" s="3" t="inlineStr">
        <is>
          <t>Repair</t>
        </is>
      </c>
      <c r="X2495" s="18" t="n">
        <v>46172</v>
      </c>
      <c r="Y2495" s="3">
        <f>X2495-A2495</f>
        <v/>
      </c>
      <c r="Z2495" s="18" t="n">
        <v>46172</v>
      </c>
      <c r="AA2495" s="15" t="n"/>
      <c r="AB2495" s="15" t="n"/>
    </row>
    <row r="2496">
      <c r="A2496" s="59" t="n">
        <v>46148</v>
      </c>
      <c r="B2496" s="3" t="n">
        <v>2026</v>
      </c>
      <c r="C2496" s="21" t="inlineStr">
        <is>
          <t>Continuum</t>
        </is>
      </c>
      <c r="D2496" s="3" t="inlineStr">
        <is>
          <t>Utility and C&amp;I</t>
        </is>
      </c>
      <c r="E2496" s="3" t="n"/>
      <c r="F2496" s="3" t="inlineStr">
        <is>
          <t>Closed</t>
        </is>
      </c>
      <c r="G2496" s="21" t="inlineStr">
        <is>
          <t>Amiya Ranjan Behera</t>
        </is>
      </c>
      <c r="H2496" s="21" t="n">
        <v>8917436223</v>
      </c>
      <c r="I2496" s="38" t="inlineStr">
        <is>
          <t>PE06052602</t>
        </is>
      </c>
      <c r="J2496" s="21" t="inlineStr">
        <is>
          <t>Diode Bypass Module Issue</t>
        </is>
      </c>
      <c r="K2496" s="21" t="inlineStr">
        <is>
          <t>Bhavnagar</t>
        </is>
      </c>
      <c r="L2496" s="21" t="inlineStr">
        <is>
          <t>Gujarat</t>
        </is>
      </c>
      <c r="M2496" s="9" t="inlineStr">
        <is>
          <t>PS</t>
        </is>
      </c>
      <c r="N2496" s="3" t="inlineStr">
        <is>
          <t>Cold Soldering</t>
        </is>
      </c>
      <c r="O2496" s="62" t="n">
        <v>540</v>
      </c>
      <c r="P2496" s="9" t="inlineStr">
        <is>
          <t>NSMP2304071822</t>
        </is>
      </c>
      <c r="Q2496" s="53">
        <f>MID(P2496,5,2)</f>
        <v/>
      </c>
      <c r="R2496" s="53">
        <f>MID(P2496,7,2)</f>
        <v/>
      </c>
      <c r="S2496" s="3" t="inlineStr">
        <is>
          <t>G2B</t>
        </is>
      </c>
      <c r="T2496" s="3" t="inlineStr">
        <is>
          <t>P2</t>
        </is>
      </c>
      <c r="U2496" s="3" t="inlineStr">
        <is>
          <t>P JB Cold Soldering</t>
        </is>
      </c>
      <c r="V2496" s="3" t="inlineStr">
        <is>
          <t>Soldering</t>
        </is>
      </c>
      <c r="W2496" s="3" t="inlineStr">
        <is>
          <t>Repair</t>
        </is>
      </c>
      <c r="X2496" s="18" t="n">
        <v>46172</v>
      </c>
      <c r="Y2496" s="3">
        <f>X2496-A2496</f>
        <v/>
      </c>
      <c r="Z2496" s="18" t="n">
        <v>46172</v>
      </c>
      <c r="AA2496" s="15" t="n"/>
      <c r="AB2496" s="15" t="n"/>
    </row>
    <row r="2497">
      <c r="A2497" s="59" t="n">
        <v>46148</v>
      </c>
      <c r="B2497" s="3" t="n">
        <v>2026</v>
      </c>
      <c r="C2497" s="21" t="inlineStr">
        <is>
          <t>Continuum</t>
        </is>
      </c>
      <c r="D2497" s="3" t="inlineStr">
        <is>
          <t>Utility and C&amp;I</t>
        </is>
      </c>
      <c r="E2497" s="3" t="n"/>
      <c r="F2497" s="3" t="inlineStr">
        <is>
          <t>Closed</t>
        </is>
      </c>
      <c r="G2497" s="21" t="inlineStr">
        <is>
          <t>Amiya Ranjan Behera</t>
        </is>
      </c>
      <c r="H2497" s="21" t="n">
        <v>8917436223</v>
      </c>
      <c r="I2497" s="38" t="inlineStr">
        <is>
          <t>PE06052602</t>
        </is>
      </c>
      <c r="J2497" s="21" t="inlineStr">
        <is>
          <t>Diode Bypass Module Issue</t>
        </is>
      </c>
      <c r="K2497" s="21" t="inlineStr">
        <is>
          <t>Bhavnagar</t>
        </is>
      </c>
      <c r="L2497" s="21" t="inlineStr">
        <is>
          <t>Gujarat</t>
        </is>
      </c>
      <c r="M2497" s="9" t="inlineStr">
        <is>
          <t>PS</t>
        </is>
      </c>
      <c r="N2497" s="3" t="inlineStr">
        <is>
          <t>Cold Soldering</t>
        </is>
      </c>
      <c r="O2497" s="62" t="n">
        <v>540</v>
      </c>
      <c r="P2497" s="9" t="inlineStr">
        <is>
          <t>NSMP2304071823</t>
        </is>
      </c>
      <c r="Q2497" s="53">
        <f>MID(P2497,5,2)</f>
        <v/>
      </c>
      <c r="R2497" s="53">
        <f>MID(P2497,7,2)</f>
        <v/>
      </c>
      <c r="S2497" s="3" t="inlineStr">
        <is>
          <t>G2B</t>
        </is>
      </c>
      <c r="T2497" s="3" t="inlineStr">
        <is>
          <t>P2</t>
        </is>
      </c>
      <c r="U2497" s="3" t="inlineStr">
        <is>
          <t>P JB Cold Soldering</t>
        </is>
      </c>
      <c r="V2497" s="3" t="inlineStr">
        <is>
          <t>Soldering</t>
        </is>
      </c>
      <c r="W2497" s="3" t="inlineStr">
        <is>
          <t>Repair</t>
        </is>
      </c>
      <c r="X2497" s="18" t="n">
        <v>46172</v>
      </c>
      <c r="Y2497" s="3">
        <f>X2497-A2497</f>
        <v/>
      </c>
      <c r="Z2497" s="18" t="n">
        <v>46172</v>
      </c>
      <c r="AA2497" s="15" t="n"/>
      <c r="AB2497" s="15" t="n"/>
    </row>
    <row r="2498">
      <c r="A2498" s="59" t="n">
        <v>46148</v>
      </c>
      <c r="B2498" s="3" t="n">
        <v>2026</v>
      </c>
      <c r="C2498" s="21" t="inlineStr">
        <is>
          <t>Continuum</t>
        </is>
      </c>
      <c r="D2498" s="3" t="inlineStr">
        <is>
          <t>Utility and C&amp;I</t>
        </is>
      </c>
      <c r="E2498" s="3" t="n"/>
      <c r="F2498" s="3" t="inlineStr">
        <is>
          <t>Closed</t>
        </is>
      </c>
      <c r="G2498" s="21" t="inlineStr">
        <is>
          <t>Amiya Ranjan Behera</t>
        </is>
      </c>
      <c r="H2498" s="21" t="n">
        <v>8917436223</v>
      </c>
      <c r="I2498" s="38" t="inlineStr">
        <is>
          <t>PE06052602</t>
        </is>
      </c>
      <c r="J2498" s="21" t="inlineStr">
        <is>
          <t>Diode Bypass Module Issue</t>
        </is>
      </c>
      <c r="K2498" s="21" t="inlineStr">
        <is>
          <t>Bhavnagar</t>
        </is>
      </c>
      <c r="L2498" s="21" t="inlineStr">
        <is>
          <t>Gujarat</t>
        </is>
      </c>
      <c r="M2498" s="9" t="inlineStr">
        <is>
          <t>PS</t>
        </is>
      </c>
      <c r="N2498" s="3" t="inlineStr">
        <is>
          <t>Cold Soldering</t>
        </is>
      </c>
      <c r="O2498" s="62" t="n">
        <v>540</v>
      </c>
      <c r="P2498" s="9" t="inlineStr">
        <is>
          <t>NSMP2304071824</t>
        </is>
      </c>
      <c r="Q2498" s="53">
        <f>MID(P2498,5,2)</f>
        <v/>
      </c>
      <c r="R2498" s="53">
        <f>MID(P2498,7,2)</f>
        <v/>
      </c>
      <c r="S2498" s="3" t="inlineStr">
        <is>
          <t>G2B</t>
        </is>
      </c>
      <c r="T2498" s="3" t="inlineStr">
        <is>
          <t>P2</t>
        </is>
      </c>
      <c r="U2498" s="3" t="inlineStr">
        <is>
          <t>P JB Cold Soldering</t>
        </is>
      </c>
      <c r="V2498" s="3" t="inlineStr">
        <is>
          <t>Soldering</t>
        </is>
      </c>
      <c r="W2498" s="3" t="inlineStr">
        <is>
          <t>Repair</t>
        </is>
      </c>
      <c r="X2498" s="18" t="n">
        <v>46172</v>
      </c>
      <c r="Y2498" s="3">
        <f>X2498-A2498</f>
        <v/>
      </c>
      <c r="Z2498" s="18" t="n">
        <v>46172</v>
      </c>
      <c r="AA2498" s="15" t="n"/>
      <c r="AB2498" s="15" t="n"/>
    </row>
    <row r="2499">
      <c r="A2499" s="59" t="n">
        <v>46148</v>
      </c>
      <c r="B2499" s="3" t="n">
        <v>2026</v>
      </c>
      <c r="C2499" s="21" t="inlineStr">
        <is>
          <t>Continuum</t>
        </is>
      </c>
      <c r="D2499" s="3" t="inlineStr">
        <is>
          <t>Utility and C&amp;I</t>
        </is>
      </c>
      <c r="E2499" s="3" t="n"/>
      <c r="F2499" s="3" t="inlineStr">
        <is>
          <t>Closed</t>
        </is>
      </c>
      <c r="G2499" s="21" t="inlineStr">
        <is>
          <t>Amiya Ranjan Behera</t>
        </is>
      </c>
      <c r="H2499" s="21" t="n">
        <v>8917436223</v>
      </c>
      <c r="I2499" s="38" t="inlineStr">
        <is>
          <t>PE06052602</t>
        </is>
      </c>
      <c r="J2499" s="21" t="inlineStr">
        <is>
          <t>Diode Bypass Module Issue</t>
        </is>
      </c>
      <c r="K2499" s="21" t="inlineStr">
        <is>
          <t>Bhavnagar</t>
        </is>
      </c>
      <c r="L2499" s="21" t="inlineStr">
        <is>
          <t>Gujarat</t>
        </is>
      </c>
      <c r="M2499" s="9" t="inlineStr">
        <is>
          <t>PS</t>
        </is>
      </c>
      <c r="N2499" s="3" t="inlineStr">
        <is>
          <t>Cold Soldering</t>
        </is>
      </c>
      <c r="O2499" s="62" t="n">
        <v>540</v>
      </c>
      <c r="P2499" s="9" t="inlineStr">
        <is>
          <t>NSMP2304010213</t>
        </is>
      </c>
      <c r="Q2499" s="53">
        <f>MID(P2499,5,2)</f>
        <v/>
      </c>
      <c r="R2499" s="53">
        <f>MID(P2499,7,2)</f>
        <v/>
      </c>
      <c r="S2499" s="3" t="inlineStr">
        <is>
          <t>G2B</t>
        </is>
      </c>
      <c r="T2499" s="3" t="inlineStr">
        <is>
          <t>P2</t>
        </is>
      </c>
      <c r="U2499" s="3" t="inlineStr">
        <is>
          <t>P JB Cold Soldering</t>
        </is>
      </c>
      <c r="V2499" s="3" t="inlineStr">
        <is>
          <t>Soldering</t>
        </is>
      </c>
      <c r="W2499" s="3" t="inlineStr">
        <is>
          <t>Repair</t>
        </is>
      </c>
      <c r="X2499" s="18" t="n">
        <v>46172</v>
      </c>
      <c r="Y2499" s="3">
        <f>X2499-A2499</f>
        <v/>
      </c>
      <c r="Z2499" s="18" t="n">
        <v>46172</v>
      </c>
      <c r="AA2499" s="15" t="n"/>
      <c r="AB2499" s="15" t="n"/>
    </row>
    <row r="2500">
      <c r="A2500" s="59" t="n">
        <v>46148</v>
      </c>
      <c r="B2500" s="3" t="n">
        <v>2026</v>
      </c>
      <c r="C2500" s="21" t="inlineStr">
        <is>
          <t>Continuum</t>
        </is>
      </c>
      <c r="D2500" s="3" t="inlineStr">
        <is>
          <t>Utility and C&amp;I</t>
        </is>
      </c>
      <c r="E2500" s="3" t="n"/>
      <c r="F2500" s="3" t="inlineStr">
        <is>
          <t>Closed</t>
        </is>
      </c>
      <c r="G2500" s="21" t="inlineStr">
        <is>
          <t>Amiya Ranjan Behera</t>
        </is>
      </c>
      <c r="H2500" s="21" t="n">
        <v>8917436223</v>
      </c>
      <c r="I2500" s="38" t="inlineStr">
        <is>
          <t>PE06052602</t>
        </is>
      </c>
      <c r="J2500" s="21" t="inlineStr">
        <is>
          <t>Diode Bypass Module Issue</t>
        </is>
      </c>
      <c r="K2500" s="21" t="inlineStr">
        <is>
          <t>Bhavnagar</t>
        </is>
      </c>
      <c r="L2500" s="21" t="inlineStr">
        <is>
          <t>Gujarat</t>
        </is>
      </c>
      <c r="M2500" s="9" t="inlineStr">
        <is>
          <t>PS</t>
        </is>
      </c>
      <c r="N2500" s="3" t="inlineStr">
        <is>
          <t>Cold Soldering</t>
        </is>
      </c>
      <c r="O2500" s="62" t="n">
        <v>540</v>
      </c>
      <c r="P2500" s="9" t="inlineStr">
        <is>
          <t>NSMP2304010187</t>
        </is>
      </c>
      <c r="Q2500" s="53">
        <f>MID(P2500,5,2)</f>
        <v/>
      </c>
      <c r="R2500" s="53">
        <f>MID(P2500,7,2)</f>
        <v/>
      </c>
      <c r="S2500" s="3" t="inlineStr">
        <is>
          <t>G2B</t>
        </is>
      </c>
      <c r="T2500" s="3" t="inlineStr">
        <is>
          <t>P2</t>
        </is>
      </c>
      <c r="U2500" s="3" t="inlineStr">
        <is>
          <t>P JB Cold Soldering</t>
        </is>
      </c>
      <c r="V2500" s="3" t="inlineStr">
        <is>
          <t>Soldering</t>
        </is>
      </c>
      <c r="W2500" s="3" t="inlineStr">
        <is>
          <t>Repair</t>
        </is>
      </c>
      <c r="X2500" s="18" t="n">
        <v>46172</v>
      </c>
      <c r="Y2500" s="3">
        <f>X2500-A2500</f>
        <v/>
      </c>
      <c r="Z2500" s="18" t="n">
        <v>46172</v>
      </c>
      <c r="AA2500" s="15" t="n"/>
      <c r="AB2500" s="15" t="n"/>
    </row>
    <row r="2501">
      <c r="A2501" s="59" t="n">
        <v>46148</v>
      </c>
      <c r="B2501" s="3" t="n">
        <v>2026</v>
      </c>
      <c r="C2501" s="21" t="inlineStr">
        <is>
          <t>Continuum</t>
        </is>
      </c>
      <c r="D2501" s="3" t="inlineStr">
        <is>
          <t>Utility and C&amp;I</t>
        </is>
      </c>
      <c r="E2501" s="3" t="n"/>
      <c r="F2501" s="3" t="inlineStr">
        <is>
          <t>Closed</t>
        </is>
      </c>
      <c r="G2501" s="21" t="inlineStr">
        <is>
          <t>Amiya Ranjan Behera</t>
        </is>
      </c>
      <c r="H2501" s="21" t="n">
        <v>8917436223</v>
      </c>
      <c r="I2501" s="38" t="inlineStr">
        <is>
          <t>PE06052602</t>
        </is>
      </c>
      <c r="J2501" s="21" t="inlineStr">
        <is>
          <t>Diode Bypass Module Issue</t>
        </is>
      </c>
      <c r="K2501" s="21" t="inlineStr">
        <is>
          <t>Bhavnagar</t>
        </is>
      </c>
      <c r="L2501" s="21" t="inlineStr">
        <is>
          <t>Gujarat</t>
        </is>
      </c>
      <c r="M2501" s="9" t="inlineStr">
        <is>
          <t>PS</t>
        </is>
      </c>
      <c r="N2501" s="3" t="inlineStr">
        <is>
          <t>Cold Soldering</t>
        </is>
      </c>
      <c r="O2501" s="62" t="n">
        <v>540</v>
      </c>
      <c r="P2501" s="9" t="inlineStr">
        <is>
          <t>NSMP2304067469</t>
        </is>
      </c>
      <c r="Q2501" s="53">
        <f>MID(P2501,5,2)</f>
        <v/>
      </c>
      <c r="R2501" s="53">
        <f>MID(P2501,7,2)</f>
        <v/>
      </c>
      <c r="S2501" s="3" t="inlineStr">
        <is>
          <t>G2B</t>
        </is>
      </c>
      <c r="T2501" s="3" t="inlineStr">
        <is>
          <t>P2</t>
        </is>
      </c>
      <c r="U2501" s="3" t="inlineStr">
        <is>
          <t>P JB Cold Soldering</t>
        </is>
      </c>
      <c r="V2501" s="3" t="inlineStr">
        <is>
          <t>Soldering</t>
        </is>
      </c>
      <c r="W2501" s="3" t="inlineStr">
        <is>
          <t>Repair</t>
        </is>
      </c>
      <c r="X2501" s="18" t="n">
        <v>46172</v>
      </c>
      <c r="Y2501" s="3">
        <f>X2501-A2501</f>
        <v/>
      </c>
      <c r="Z2501" s="18" t="n">
        <v>46172</v>
      </c>
      <c r="AA2501" s="15" t="n"/>
      <c r="AB2501" s="15" t="n"/>
    </row>
    <row r="2502">
      <c r="A2502" s="59" t="n">
        <v>46148</v>
      </c>
      <c r="B2502" s="3" t="n">
        <v>2026</v>
      </c>
      <c r="C2502" s="21" t="inlineStr">
        <is>
          <t>Continuum</t>
        </is>
      </c>
      <c r="D2502" s="3" t="inlineStr">
        <is>
          <t>Utility and C&amp;I</t>
        </is>
      </c>
      <c r="E2502" s="3" t="n"/>
      <c r="F2502" s="3" t="inlineStr">
        <is>
          <t>Closed</t>
        </is>
      </c>
      <c r="G2502" s="21" t="inlineStr">
        <is>
          <t>Amiya Ranjan Behera</t>
        </is>
      </c>
      <c r="H2502" s="21" t="n">
        <v>8917436223</v>
      </c>
      <c r="I2502" s="38" t="inlineStr">
        <is>
          <t>PE06052602</t>
        </is>
      </c>
      <c r="J2502" s="21" t="inlineStr">
        <is>
          <t>Diode Bypass Module Issue</t>
        </is>
      </c>
      <c r="K2502" s="21" t="inlineStr">
        <is>
          <t>Bhavnagar</t>
        </is>
      </c>
      <c r="L2502" s="21" t="inlineStr">
        <is>
          <t>Gujarat</t>
        </is>
      </c>
      <c r="M2502" s="9" t="inlineStr">
        <is>
          <t>PS</t>
        </is>
      </c>
      <c r="N2502" s="3" t="inlineStr">
        <is>
          <t>Cold Soldering</t>
        </is>
      </c>
      <c r="O2502" s="62" t="n">
        <v>540</v>
      </c>
      <c r="P2502" s="9" t="inlineStr">
        <is>
          <t>NSMP2304067305</t>
        </is>
      </c>
      <c r="Q2502" s="53">
        <f>MID(P2502,5,2)</f>
        <v/>
      </c>
      <c r="R2502" s="53">
        <f>MID(P2502,7,2)</f>
        <v/>
      </c>
      <c r="S2502" s="3" t="inlineStr">
        <is>
          <t>G2B</t>
        </is>
      </c>
      <c r="T2502" s="3" t="inlineStr">
        <is>
          <t>P2</t>
        </is>
      </c>
      <c r="U2502" s="3" t="inlineStr">
        <is>
          <t>P JB Cold Soldering</t>
        </is>
      </c>
      <c r="V2502" s="3" t="inlineStr">
        <is>
          <t>Soldering</t>
        </is>
      </c>
      <c r="W2502" s="3" t="inlineStr">
        <is>
          <t>Repair</t>
        </is>
      </c>
      <c r="X2502" s="18" t="n">
        <v>46172</v>
      </c>
      <c r="Y2502" s="3">
        <f>X2502-A2502</f>
        <v/>
      </c>
      <c r="Z2502" s="18" t="n">
        <v>46172</v>
      </c>
      <c r="AA2502" s="15" t="n"/>
      <c r="AB2502" s="15" t="n"/>
    </row>
    <row r="2503">
      <c r="A2503" s="59" t="n">
        <v>46148</v>
      </c>
      <c r="B2503" s="3" t="n">
        <v>2026</v>
      </c>
      <c r="C2503" s="21" t="inlineStr">
        <is>
          <t>Continuum</t>
        </is>
      </c>
      <c r="D2503" s="3" t="inlineStr">
        <is>
          <t>Utility and C&amp;I</t>
        </is>
      </c>
      <c r="E2503" s="3" t="n"/>
      <c r="F2503" s="3" t="inlineStr">
        <is>
          <t>Closed</t>
        </is>
      </c>
      <c r="G2503" s="21" t="inlineStr">
        <is>
          <t>Amiya Ranjan Behera</t>
        </is>
      </c>
      <c r="H2503" s="21" t="n">
        <v>8917436223</v>
      </c>
      <c r="I2503" s="38" t="inlineStr">
        <is>
          <t>PE06052602</t>
        </is>
      </c>
      <c r="J2503" s="21" t="inlineStr">
        <is>
          <t>Diode Bypass Module Issue</t>
        </is>
      </c>
      <c r="K2503" s="21" t="inlineStr">
        <is>
          <t>Bhavnagar</t>
        </is>
      </c>
      <c r="L2503" s="21" t="inlineStr">
        <is>
          <t>Gujarat</t>
        </is>
      </c>
      <c r="M2503" s="9" t="inlineStr">
        <is>
          <t>PS</t>
        </is>
      </c>
      <c r="N2503" s="3" t="inlineStr">
        <is>
          <t>Cold Soldering</t>
        </is>
      </c>
      <c r="O2503" s="62" t="n">
        <v>540</v>
      </c>
      <c r="P2503" s="9" t="inlineStr">
        <is>
          <t>NSMP2304067421</t>
        </is>
      </c>
      <c r="Q2503" s="53">
        <f>MID(P2503,5,2)</f>
        <v/>
      </c>
      <c r="R2503" s="53">
        <f>MID(P2503,7,2)</f>
        <v/>
      </c>
      <c r="S2503" s="3" t="inlineStr">
        <is>
          <t>G2B</t>
        </is>
      </c>
      <c r="T2503" s="3" t="inlineStr">
        <is>
          <t>P2</t>
        </is>
      </c>
      <c r="U2503" s="3" t="inlineStr">
        <is>
          <t>P JB Cold Soldering</t>
        </is>
      </c>
      <c r="V2503" s="3" t="inlineStr">
        <is>
          <t>Soldering</t>
        </is>
      </c>
      <c r="W2503" s="3" t="inlineStr">
        <is>
          <t>Repair</t>
        </is>
      </c>
      <c r="X2503" s="18" t="n">
        <v>46172</v>
      </c>
      <c r="Y2503" s="3">
        <f>X2503-A2503</f>
        <v/>
      </c>
      <c r="Z2503" s="18" t="n">
        <v>46172</v>
      </c>
      <c r="AA2503" s="15" t="n"/>
      <c r="AB2503" s="15" t="n"/>
    </row>
    <row r="2504">
      <c r="A2504" s="59" t="n">
        <v>46148</v>
      </c>
      <c r="B2504" s="3" t="n">
        <v>2026</v>
      </c>
      <c r="C2504" s="21" t="inlineStr">
        <is>
          <t>Continuum</t>
        </is>
      </c>
      <c r="D2504" s="3" t="inlineStr">
        <is>
          <t>Utility and C&amp;I</t>
        </is>
      </c>
      <c r="E2504" s="3" t="n"/>
      <c r="F2504" s="3" t="inlineStr">
        <is>
          <t>Closed</t>
        </is>
      </c>
      <c r="G2504" s="21" t="inlineStr">
        <is>
          <t>Amiya Ranjan Behera</t>
        </is>
      </c>
      <c r="H2504" s="21" t="n">
        <v>8917436223</v>
      </c>
      <c r="I2504" s="38" t="inlineStr">
        <is>
          <t>PE06052602</t>
        </is>
      </c>
      <c r="J2504" s="21" t="inlineStr">
        <is>
          <t>Diode Bypass Module Issue</t>
        </is>
      </c>
      <c r="K2504" s="21" t="inlineStr">
        <is>
          <t>Bhavnagar</t>
        </is>
      </c>
      <c r="L2504" s="21" t="inlineStr">
        <is>
          <t>Gujarat</t>
        </is>
      </c>
      <c r="M2504" s="9" t="inlineStr">
        <is>
          <t>PS</t>
        </is>
      </c>
      <c r="N2504" s="3" t="inlineStr">
        <is>
          <t>Cold Soldering</t>
        </is>
      </c>
      <c r="O2504" s="62" t="n">
        <v>540</v>
      </c>
      <c r="P2504" s="9" t="inlineStr">
        <is>
          <t>NSMP2304075147</t>
        </is>
      </c>
      <c r="Q2504" s="53">
        <f>MID(P2504,5,2)</f>
        <v/>
      </c>
      <c r="R2504" s="53">
        <f>MID(P2504,7,2)</f>
        <v/>
      </c>
      <c r="S2504" s="3" t="inlineStr">
        <is>
          <t>G2B</t>
        </is>
      </c>
      <c r="T2504" s="3" t="inlineStr">
        <is>
          <t>P2</t>
        </is>
      </c>
      <c r="U2504" s="3" t="inlineStr">
        <is>
          <t>P JB Cold Soldering</t>
        </is>
      </c>
      <c r="V2504" s="3" t="inlineStr">
        <is>
          <t>Soldering</t>
        </is>
      </c>
      <c r="W2504" s="3" t="inlineStr">
        <is>
          <t>Repair</t>
        </is>
      </c>
      <c r="X2504" s="18" t="n">
        <v>46172</v>
      </c>
      <c r="Y2504" s="3">
        <f>X2504-A2504</f>
        <v/>
      </c>
      <c r="Z2504" s="18" t="n">
        <v>46172</v>
      </c>
      <c r="AA2504" s="15" t="n"/>
      <c r="AB2504" s="15" t="n"/>
    </row>
    <row r="2505">
      <c r="A2505" s="59" t="n">
        <v>46148</v>
      </c>
      <c r="B2505" s="3" t="n">
        <v>2026</v>
      </c>
      <c r="C2505" s="21" t="inlineStr">
        <is>
          <t>Continuum</t>
        </is>
      </c>
      <c r="D2505" s="3" t="inlineStr">
        <is>
          <t>Utility and C&amp;I</t>
        </is>
      </c>
      <c r="E2505" s="3" t="n"/>
      <c r="F2505" s="3" t="inlineStr">
        <is>
          <t>Closed</t>
        </is>
      </c>
      <c r="G2505" s="21" t="inlineStr">
        <is>
          <t>Amiya Ranjan Behera</t>
        </is>
      </c>
      <c r="H2505" s="21" t="n">
        <v>8917436223</v>
      </c>
      <c r="I2505" s="38" t="inlineStr">
        <is>
          <t>PE06052602</t>
        </is>
      </c>
      <c r="J2505" s="21" t="inlineStr">
        <is>
          <t>Diode Bypass Module Issue</t>
        </is>
      </c>
      <c r="K2505" s="21" t="inlineStr">
        <is>
          <t>Bhavnagar</t>
        </is>
      </c>
      <c r="L2505" s="21" t="inlineStr">
        <is>
          <t>Gujarat</t>
        </is>
      </c>
      <c r="M2505" s="9" t="inlineStr">
        <is>
          <t>PS</t>
        </is>
      </c>
      <c r="N2505" s="3" t="inlineStr">
        <is>
          <t>Cold Soldering</t>
        </is>
      </c>
      <c r="O2505" s="62" t="n">
        <v>540</v>
      </c>
      <c r="P2505" s="9" t="inlineStr">
        <is>
          <t>NSMP2304075142</t>
        </is>
      </c>
      <c r="Q2505" s="53">
        <f>MID(P2505,5,2)</f>
        <v/>
      </c>
      <c r="R2505" s="53">
        <f>MID(P2505,7,2)</f>
        <v/>
      </c>
      <c r="S2505" s="3" t="inlineStr">
        <is>
          <t>G2B</t>
        </is>
      </c>
      <c r="T2505" s="3" t="inlineStr">
        <is>
          <t>P2</t>
        </is>
      </c>
      <c r="U2505" s="3" t="inlineStr">
        <is>
          <t>P JB Cold Soldering</t>
        </is>
      </c>
      <c r="V2505" s="3" t="inlineStr">
        <is>
          <t>Soldering</t>
        </is>
      </c>
      <c r="W2505" s="3" t="inlineStr">
        <is>
          <t>Repair</t>
        </is>
      </c>
      <c r="X2505" s="18" t="n">
        <v>46172</v>
      </c>
      <c r="Y2505" s="3">
        <f>X2505-A2505</f>
        <v/>
      </c>
      <c r="Z2505" s="18" t="n">
        <v>46172</v>
      </c>
      <c r="AA2505" s="15" t="n"/>
      <c r="AB2505" s="15" t="n"/>
    </row>
    <row r="2506">
      <c r="A2506" s="59" t="n">
        <v>46148</v>
      </c>
      <c r="B2506" s="3" t="n">
        <v>2026</v>
      </c>
      <c r="C2506" s="21" t="inlineStr">
        <is>
          <t>Continuum</t>
        </is>
      </c>
      <c r="D2506" s="3" t="inlineStr">
        <is>
          <t>Utility and C&amp;I</t>
        </is>
      </c>
      <c r="E2506" s="3" t="n"/>
      <c r="F2506" s="3" t="inlineStr">
        <is>
          <t>Closed</t>
        </is>
      </c>
      <c r="G2506" s="21" t="inlineStr">
        <is>
          <t>Amiya Ranjan Behera</t>
        </is>
      </c>
      <c r="H2506" s="21" t="n">
        <v>8917436223</v>
      </c>
      <c r="I2506" s="38" t="inlineStr">
        <is>
          <t>PE06052602</t>
        </is>
      </c>
      <c r="J2506" s="21" t="inlineStr">
        <is>
          <t>Diode Bypass Module Issue</t>
        </is>
      </c>
      <c r="K2506" s="21" t="inlineStr">
        <is>
          <t>Bhavnagar</t>
        </is>
      </c>
      <c r="L2506" s="21" t="inlineStr">
        <is>
          <t>Gujarat</t>
        </is>
      </c>
      <c r="M2506" s="9" t="inlineStr">
        <is>
          <t>PS</t>
        </is>
      </c>
      <c r="N2506" s="3" t="inlineStr">
        <is>
          <t>Cold Soldering</t>
        </is>
      </c>
      <c r="O2506" s="62" t="n">
        <v>540</v>
      </c>
      <c r="P2506" s="9" t="inlineStr">
        <is>
          <t>NSMP2305189347</t>
        </is>
      </c>
      <c r="Q2506" s="53">
        <f>MID(P2506,5,2)</f>
        <v/>
      </c>
      <c r="R2506" s="53">
        <f>MID(P2506,7,2)</f>
        <v/>
      </c>
      <c r="S2506" s="3" t="inlineStr">
        <is>
          <t>G2B</t>
        </is>
      </c>
      <c r="T2506" s="3" t="inlineStr">
        <is>
          <t>P2</t>
        </is>
      </c>
      <c r="U2506" s="3" t="inlineStr">
        <is>
          <t>P JB Cold Soldering</t>
        </is>
      </c>
      <c r="V2506" s="3" t="inlineStr">
        <is>
          <t>Soldering</t>
        </is>
      </c>
      <c r="W2506" s="3" t="inlineStr">
        <is>
          <t>Repair</t>
        </is>
      </c>
      <c r="X2506" s="18" t="n">
        <v>46172</v>
      </c>
      <c r="Y2506" s="3">
        <f>X2506-A2506</f>
        <v/>
      </c>
      <c r="Z2506" s="18" t="n">
        <v>46172</v>
      </c>
      <c r="AA2506" s="15" t="n"/>
      <c r="AB2506" s="15" t="n"/>
    </row>
    <row r="2507">
      <c r="A2507" s="59" t="n">
        <v>46148</v>
      </c>
      <c r="B2507" s="3" t="n">
        <v>2026</v>
      </c>
      <c r="C2507" s="21" t="inlineStr">
        <is>
          <t>Continuum</t>
        </is>
      </c>
      <c r="D2507" s="3" t="inlineStr">
        <is>
          <t>Utility and C&amp;I</t>
        </is>
      </c>
      <c r="E2507" s="3" t="n"/>
      <c r="F2507" s="3" t="inlineStr">
        <is>
          <t>Closed</t>
        </is>
      </c>
      <c r="G2507" s="21" t="inlineStr">
        <is>
          <t>Amiya Ranjan Behera</t>
        </is>
      </c>
      <c r="H2507" s="21" t="n">
        <v>8917436223</v>
      </c>
      <c r="I2507" s="38" t="inlineStr">
        <is>
          <t>PE06052602</t>
        </is>
      </c>
      <c r="J2507" s="21" t="inlineStr">
        <is>
          <t>Diode Bypass Module Issue</t>
        </is>
      </c>
      <c r="K2507" s="21" t="inlineStr">
        <is>
          <t>Bhavnagar</t>
        </is>
      </c>
      <c r="L2507" s="21" t="inlineStr">
        <is>
          <t>Gujarat</t>
        </is>
      </c>
      <c r="M2507" s="9" t="inlineStr">
        <is>
          <t>PS</t>
        </is>
      </c>
      <c r="N2507" s="3" t="inlineStr">
        <is>
          <t>Cold Soldering</t>
        </is>
      </c>
      <c r="O2507" s="62" t="n">
        <v>540</v>
      </c>
      <c r="P2507" s="9" t="inlineStr">
        <is>
          <t>NSMP2305189361</t>
        </is>
      </c>
      <c r="Q2507" s="53">
        <f>MID(P2507,5,2)</f>
        <v/>
      </c>
      <c r="R2507" s="53">
        <f>MID(P2507,7,2)</f>
        <v/>
      </c>
      <c r="S2507" s="3" t="inlineStr">
        <is>
          <t>G2B</t>
        </is>
      </c>
      <c r="T2507" s="3" t="inlineStr">
        <is>
          <t>P2</t>
        </is>
      </c>
      <c r="U2507" s="3" t="inlineStr">
        <is>
          <t>P JB Cold Soldering</t>
        </is>
      </c>
      <c r="V2507" s="3" t="inlineStr">
        <is>
          <t>Soldering</t>
        </is>
      </c>
      <c r="W2507" s="3" t="inlineStr">
        <is>
          <t>Repair</t>
        </is>
      </c>
      <c r="X2507" s="18" t="n">
        <v>46172</v>
      </c>
      <c r="Y2507" s="3">
        <f>X2507-A2507</f>
        <v/>
      </c>
      <c r="Z2507" s="18" t="n">
        <v>46172</v>
      </c>
      <c r="AA2507" s="15" t="n"/>
      <c r="AB2507" s="15" t="n"/>
    </row>
    <row r="2508">
      <c r="A2508" s="59" t="n">
        <v>46148</v>
      </c>
      <c r="B2508" s="3" t="n">
        <v>2026</v>
      </c>
      <c r="C2508" s="21" t="inlineStr">
        <is>
          <t>Continuum</t>
        </is>
      </c>
      <c r="D2508" s="3" t="inlineStr">
        <is>
          <t>Utility and C&amp;I</t>
        </is>
      </c>
      <c r="E2508" s="3" t="n"/>
      <c r="F2508" s="3" t="inlineStr">
        <is>
          <t>Closed</t>
        </is>
      </c>
      <c r="G2508" s="21" t="inlineStr">
        <is>
          <t>Amiya Ranjan Behera</t>
        </is>
      </c>
      <c r="H2508" s="21" t="n">
        <v>8917436223</v>
      </c>
      <c r="I2508" s="38" t="inlineStr">
        <is>
          <t>PE06052602</t>
        </is>
      </c>
      <c r="J2508" s="21" t="inlineStr">
        <is>
          <t>Diode Bypass Module Issue</t>
        </is>
      </c>
      <c r="K2508" s="21" t="inlineStr">
        <is>
          <t>Bhavnagar</t>
        </is>
      </c>
      <c r="L2508" s="21" t="inlineStr">
        <is>
          <t>Gujarat</t>
        </is>
      </c>
      <c r="M2508" s="9" t="inlineStr">
        <is>
          <t>PS</t>
        </is>
      </c>
      <c r="N2508" s="3" t="inlineStr">
        <is>
          <t>Cold Soldering</t>
        </is>
      </c>
      <c r="O2508" s="62" t="n">
        <v>540</v>
      </c>
      <c r="P2508" s="9" t="inlineStr">
        <is>
          <t>NSMP2305133938</t>
        </is>
      </c>
      <c r="Q2508" s="53">
        <f>MID(P2508,5,2)</f>
        <v/>
      </c>
      <c r="R2508" s="53">
        <f>MID(P2508,7,2)</f>
        <v/>
      </c>
      <c r="S2508" s="3" t="inlineStr">
        <is>
          <t>G2B</t>
        </is>
      </c>
      <c r="T2508" s="3" t="inlineStr">
        <is>
          <t>P2</t>
        </is>
      </c>
      <c r="U2508" s="3" t="inlineStr">
        <is>
          <t>P JB Cold Soldering</t>
        </is>
      </c>
      <c r="V2508" s="3" t="inlineStr">
        <is>
          <t>Soldering</t>
        </is>
      </c>
      <c r="W2508" s="3" t="inlineStr">
        <is>
          <t>Repair</t>
        </is>
      </c>
      <c r="X2508" s="18" t="n">
        <v>46172</v>
      </c>
      <c r="Y2508" s="3">
        <f>X2508-A2508</f>
        <v/>
      </c>
      <c r="Z2508" s="18" t="n">
        <v>46172</v>
      </c>
      <c r="AA2508" s="15" t="n"/>
      <c r="AB2508" s="15" t="n"/>
    </row>
    <row r="2509">
      <c r="A2509" s="59" t="n">
        <v>46148</v>
      </c>
      <c r="B2509" s="3" t="n">
        <v>2026</v>
      </c>
      <c r="C2509" s="21" t="inlineStr">
        <is>
          <t>Continuum</t>
        </is>
      </c>
      <c r="D2509" s="3" t="inlineStr">
        <is>
          <t>Utility and C&amp;I</t>
        </is>
      </c>
      <c r="E2509" s="3" t="n"/>
      <c r="F2509" s="3" t="inlineStr">
        <is>
          <t>Closed</t>
        </is>
      </c>
      <c r="G2509" s="21" t="inlineStr">
        <is>
          <t>Amiya Ranjan Behera</t>
        </is>
      </c>
      <c r="H2509" s="21" t="n">
        <v>8917436223</v>
      </c>
      <c r="I2509" s="38" t="inlineStr">
        <is>
          <t>PE06052602</t>
        </is>
      </c>
      <c r="J2509" s="21" t="inlineStr">
        <is>
          <t>Diode Bypass Module Issue</t>
        </is>
      </c>
      <c r="K2509" s="21" t="inlineStr">
        <is>
          <t>Bhavnagar</t>
        </is>
      </c>
      <c r="L2509" s="21" t="inlineStr">
        <is>
          <t>Gujarat</t>
        </is>
      </c>
      <c r="M2509" s="9" t="inlineStr">
        <is>
          <t>PS</t>
        </is>
      </c>
      <c r="N2509" s="3" t="inlineStr">
        <is>
          <t>Cold Soldering</t>
        </is>
      </c>
      <c r="O2509" s="62" t="n">
        <v>540</v>
      </c>
      <c r="P2509" s="9" t="inlineStr">
        <is>
          <t>NSMP2305173275</t>
        </is>
      </c>
      <c r="Q2509" s="53">
        <f>MID(P2509,5,2)</f>
        <v/>
      </c>
      <c r="R2509" s="53">
        <f>MID(P2509,7,2)</f>
        <v/>
      </c>
      <c r="S2509" s="3" t="inlineStr">
        <is>
          <t>G2B</t>
        </is>
      </c>
      <c r="T2509" s="3" t="inlineStr">
        <is>
          <t>P2</t>
        </is>
      </c>
      <c r="U2509" s="3" t="inlineStr">
        <is>
          <t>P JB Cold Soldering</t>
        </is>
      </c>
      <c r="V2509" s="3" t="inlineStr">
        <is>
          <t>Soldering</t>
        </is>
      </c>
      <c r="W2509" s="3" t="inlineStr">
        <is>
          <t>Repair</t>
        </is>
      </c>
      <c r="X2509" s="18" t="n">
        <v>46172</v>
      </c>
      <c r="Y2509" s="3">
        <f>X2509-A2509</f>
        <v/>
      </c>
      <c r="Z2509" s="18" t="n">
        <v>46172</v>
      </c>
      <c r="AA2509" s="15" t="n"/>
      <c r="AB2509" s="15" t="n"/>
    </row>
    <row r="2510">
      <c r="A2510" s="59" t="n">
        <v>46148</v>
      </c>
      <c r="B2510" s="3" t="n">
        <v>2026</v>
      </c>
      <c r="C2510" s="21" t="inlineStr">
        <is>
          <t>Continuum</t>
        </is>
      </c>
      <c r="D2510" s="3" t="inlineStr">
        <is>
          <t>Utility and C&amp;I</t>
        </is>
      </c>
      <c r="E2510" s="3" t="n"/>
      <c r="F2510" s="3" t="inlineStr">
        <is>
          <t>Closed</t>
        </is>
      </c>
      <c r="G2510" s="21" t="inlineStr">
        <is>
          <t>Amiya Ranjan Behera</t>
        </is>
      </c>
      <c r="H2510" s="21" t="n">
        <v>8917436223</v>
      </c>
      <c r="I2510" s="38" t="inlineStr">
        <is>
          <t>PE06052602</t>
        </is>
      </c>
      <c r="J2510" s="21" t="inlineStr">
        <is>
          <t>Diode Bypass Module Issue</t>
        </is>
      </c>
      <c r="K2510" s="21" t="inlineStr">
        <is>
          <t>Bhavnagar</t>
        </is>
      </c>
      <c r="L2510" s="21" t="inlineStr">
        <is>
          <t>Gujarat</t>
        </is>
      </c>
      <c r="M2510" s="9" t="inlineStr">
        <is>
          <t>PS</t>
        </is>
      </c>
      <c r="N2510" s="3" t="inlineStr">
        <is>
          <t>Cold Soldering</t>
        </is>
      </c>
      <c r="O2510" s="62" t="n">
        <v>540</v>
      </c>
      <c r="P2510" s="9" t="inlineStr">
        <is>
          <t>NSMP2305134843</t>
        </is>
      </c>
      <c r="Q2510" s="53">
        <f>MID(P2510,5,2)</f>
        <v/>
      </c>
      <c r="R2510" s="53">
        <f>MID(P2510,7,2)</f>
        <v/>
      </c>
      <c r="S2510" s="3" t="inlineStr">
        <is>
          <t>G2B</t>
        </is>
      </c>
      <c r="T2510" s="3" t="inlineStr">
        <is>
          <t>P2</t>
        </is>
      </c>
      <c r="U2510" s="3" t="inlineStr">
        <is>
          <t>P JB Cold Soldering</t>
        </is>
      </c>
      <c r="V2510" s="3" t="inlineStr">
        <is>
          <t>Soldering</t>
        </is>
      </c>
      <c r="W2510" s="3" t="inlineStr">
        <is>
          <t>Repair</t>
        </is>
      </c>
      <c r="X2510" s="18" t="n">
        <v>46172</v>
      </c>
      <c r="Y2510" s="3">
        <f>X2510-A2510</f>
        <v/>
      </c>
      <c r="Z2510" s="18" t="n">
        <v>46172</v>
      </c>
      <c r="AA2510" s="15" t="n"/>
      <c r="AB2510" s="15" t="n"/>
    </row>
    <row r="2511">
      <c r="A2511" s="59" t="n">
        <v>46148</v>
      </c>
      <c r="B2511" s="3" t="n">
        <v>2026</v>
      </c>
      <c r="C2511" s="21" t="inlineStr">
        <is>
          <t>Continuum</t>
        </is>
      </c>
      <c r="D2511" s="3" t="inlineStr">
        <is>
          <t>Utility and C&amp;I</t>
        </is>
      </c>
      <c r="E2511" s="3" t="n"/>
      <c r="F2511" s="3" t="inlineStr">
        <is>
          <t>Closed</t>
        </is>
      </c>
      <c r="G2511" s="21" t="inlineStr">
        <is>
          <t>Amiya Ranjan Behera</t>
        </is>
      </c>
      <c r="H2511" s="21" t="n">
        <v>8917436223</v>
      </c>
      <c r="I2511" s="38" t="inlineStr">
        <is>
          <t>PE06052602</t>
        </is>
      </c>
      <c r="J2511" s="21" t="inlineStr">
        <is>
          <t>Diode Bypass Module Issue</t>
        </is>
      </c>
      <c r="K2511" s="21" t="inlineStr">
        <is>
          <t>Bhavnagar</t>
        </is>
      </c>
      <c r="L2511" s="21" t="inlineStr">
        <is>
          <t>Gujarat</t>
        </is>
      </c>
      <c r="M2511" s="9" t="inlineStr">
        <is>
          <t>PS</t>
        </is>
      </c>
      <c r="N2511" s="3" t="inlineStr">
        <is>
          <t>Cold Soldering</t>
        </is>
      </c>
      <c r="O2511" s="62" t="n">
        <v>540</v>
      </c>
      <c r="P2511" s="9" t="inlineStr">
        <is>
          <t>NSMP2305134886</t>
        </is>
      </c>
      <c r="Q2511" s="53">
        <f>MID(P2511,5,2)</f>
        <v/>
      </c>
      <c r="R2511" s="53">
        <f>MID(P2511,7,2)</f>
        <v/>
      </c>
      <c r="S2511" s="3" t="inlineStr">
        <is>
          <t>G2B</t>
        </is>
      </c>
      <c r="T2511" s="3" t="inlineStr">
        <is>
          <t>P2</t>
        </is>
      </c>
      <c r="U2511" s="3" t="inlineStr">
        <is>
          <t>P JB Cold Soldering</t>
        </is>
      </c>
      <c r="V2511" s="3" t="inlineStr">
        <is>
          <t>Soldering</t>
        </is>
      </c>
      <c r="W2511" s="3" t="inlineStr">
        <is>
          <t>Repair</t>
        </is>
      </c>
      <c r="X2511" s="18" t="n">
        <v>46172</v>
      </c>
      <c r="Y2511" s="3">
        <f>X2511-A2511</f>
        <v/>
      </c>
      <c r="Z2511" s="18" t="n">
        <v>46172</v>
      </c>
      <c r="AA2511" s="15" t="n"/>
      <c r="AB2511" s="15" t="n"/>
    </row>
    <row r="2512">
      <c r="A2512" s="59" t="n">
        <v>46148</v>
      </c>
      <c r="B2512" s="3" t="n">
        <v>2026</v>
      </c>
      <c r="C2512" s="21" t="inlineStr">
        <is>
          <t>Continuum</t>
        </is>
      </c>
      <c r="D2512" s="3" t="inlineStr">
        <is>
          <t>Utility and C&amp;I</t>
        </is>
      </c>
      <c r="E2512" s="3" t="n"/>
      <c r="F2512" s="3" t="inlineStr">
        <is>
          <t>Closed</t>
        </is>
      </c>
      <c r="G2512" s="21" t="inlineStr">
        <is>
          <t>Amiya Ranjan Behera</t>
        </is>
      </c>
      <c r="H2512" s="21" t="n">
        <v>8917436223</v>
      </c>
      <c r="I2512" s="38" t="inlineStr">
        <is>
          <t>PE06052602</t>
        </is>
      </c>
      <c r="J2512" s="21" t="inlineStr">
        <is>
          <t>Diode Bypass Module Issue</t>
        </is>
      </c>
      <c r="K2512" s="21" t="inlineStr">
        <is>
          <t>Bhavnagar</t>
        </is>
      </c>
      <c r="L2512" s="21" t="inlineStr">
        <is>
          <t>Gujarat</t>
        </is>
      </c>
      <c r="M2512" s="9" t="inlineStr">
        <is>
          <t>PS</t>
        </is>
      </c>
      <c r="N2512" s="3" t="inlineStr">
        <is>
          <t>Cold Soldering</t>
        </is>
      </c>
      <c r="O2512" s="62" t="n">
        <v>540</v>
      </c>
      <c r="P2512" s="9" t="inlineStr">
        <is>
          <t>NSMP2305134590</t>
        </is>
      </c>
      <c r="Q2512" s="53">
        <f>MID(P2512,5,2)</f>
        <v/>
      </c>
      <c r="R2512" s="53">
        <f>MID(P2512,7,2)</f>
        <v/>
      </c>
      <c r="S2512" s="3" t="inlineStr">
        <is>
          <t>G2B</t>
        </is>
      </c>
      <c r="T2512" s="3" t="inlineStr">
        <is>
          <t>P2</t>
        </is>
      </c>
      <c r="U2512" s="3" t="inlineStr">
        <is>
          <t>P JB Cold Soldering</t>
        </is>
      </c>
      <c r="V2512" s="3" t="inlineStr">
        <is>
          <t>Soldering</t>
        </is>
      </c>
      <c r="W2512" s="3" t="inlineStr">
        <is>
          <t>Repair</t>
        </is>
      </c>
      <c r="X2512" s="18" t="n">
        <v>46172</v>
      </c>
      <c r="Y2512" s="3">
        <f>X2512-A2512</f>
        <v/>
      </c>
      <c r="Z2512" s="18" t="n">
        <v>46172</v>
      </c>
      <c r="AA2512" s="15" t="n"/>
      <c r="AB2512" s="15" t="n"/>
    </row>
    <row r="2513">
      <c r="A2513" s="59" t="n">
        <v>46148</v>
      </c>
      <c r="B2513" s="3" t="n">
        <v>2026</v>
      </c>
      <c r="C2513" s="21" t="inlineStr">
        <is>
          <t>Continuum</t>
        </is>
      </c>
      <c r="D2513" s="3" t="inlineStr">
        <is>
          <t>Utility and C&amp;I</t>
        </is>
      </c>
      <c r="E2513" s="3" t="n"/>
      <c r="F2513" s="3" t="inlineStr">
        <is>
          <t>Closed</t>
        </is>
      </c>
      <c r="G2513" s="21" t="inlineStr">
        <is>
          <t>Amiya Ranjan Behera</t>
        </is>
      </c>
      <c r="H2513" s="21" t="n">
        <v>8917436223</v>
      </c>
      <c r="I2513" s="38" t="inlineStr">
        <is>
          <t>PE06052602</t>
        </is>
      </c>
      <c r="J2513" s="21" t="inlineStr">
        <is>
          <t>Diode Bypass Module Issue</t>
        </is>
      </c>
      <c r="K2513" s="21" t="inlineStr">
        <is>
          <t>Bhavnagar</t>
        </is>
      </c>
      <c r="L2513" s="21" t="inlineStr">
        <is>
          <t>Gujarat</t>
        </is>
      </c>
      <c r="M2513" s="9" t="inlineStr">
        <is>
          <t>PS</t>
        </is>
      </c>
      <c r="N2513" s="3" t="inlineStr">
        <is>
          <t>Cold Soldering</t>
        </is>
      </c>
      <c r="O2513" s="62" t="n">
        <v>540</v>
      </c>
      <c r="P2513" s="9" t="inlineStr">
        <is>
          <t>NSMP2305134862</t>
        </is>
      </c>
      <c r="Q2513" s="53">
        <f>MID(P2513,5,2)</f>
        <v/>
      </c>
      <c r="R2513" s="53">
        <f>MID(P2513,7,2)</f>
        <v/>
      </c>
      <c r="S2513" s="3" t="inlineStr">
        <is>
          <t>G2B</t>
        </is>
      </c>
      <c r="T2513" s="3" t="inlineStr">
        <is>
          <t>P2</t>
        </is>
      </c>
      <c r="U2513" s="3" t="inlineStr">
        <is>
          <t>P JB Cold Soldering</t>
        </is>
      </c>
      <c r="V2513" s="3" t="inlineStr">
        <is>
          <t>Soldering</t>
        </is>
      </c>
      <c r="W2513" s="3" t="inlineStr">
        <is>
          <t>Repair</t>
        </is>
      </c>
      <c r="X2513" s="18" t="n">
        <v>46172</v>
      </c>
      <c r="Y2513" s="3">
        <f>X2513-A2513</f>
        <v/>
      </c>
      <c r="Z2513" s="18" t="n">
        <v>46172</v>
      </c>
      <c r="AA2513" s="15" t="n"/>
      <c r="AB2513" s="15" t="n"/>
    </row>
    <row r="2514">
      <c r="A2514" s="59" t="n">
        <v>46148</v>
      </c>
      <c r="B2514" s="3" t="n">
        <v>2026</v>
      </c>
      <c r="C2514" s="21" t="inlineStr">
        <is>
          <t>Continuum</t>
        </is>
      </c>
      <c r="D2514" s="3" t="inlineStr">
        <is>
          <t>Utility and C&amp;I</t>
        </is>
      </c>
      <c r="E2514" s="3" t="n"/>
      <c r="F2514" s="3" t="inlineStr">
        <is>
          <t>Closed</t>
        </is>
      </c>
      <c r="G2514" s="21" t="inlineStr">
        <is>
          <t>Amiya Ranjan Behera</t>
        </is>
      </c>
      <c r="H2514" s="21" t="n">
        <v>8917436223</v>
      </c>
      <c r="I2514" s="38" t="inlineStr">
        <is>
          <t>PE06052602</t>
        </is>
      </c>
      <c r="J2514" s="21" t="inlineStr">
        <is>
          <t>Diode Bypass Module Issue</t>
        </is>
      </c>
      <c r="K2514" s="21" t="inlineStr">
        <is>
          <t>Bhavnagar</t>
        </is>
      </c>
      <c r="L2514" s="21" t="inlineStr">
        <is>
          <t>Gujarat</t>
        </is>
      </c>
      <c r="M2514" s="9" t="inlineStr">
        <is>
          <t>PS</t>
        </is>
      </c>
      <c r="N2514" s="3" t="inlineStr">
        <is>
          <t>Cold Soldering</t>
        </is>
      </c>
      <c r="O2514" s="62" t="n">
        <v>540</v>
      </c>
      <c r="P2514" s="9" t="inlineStr">
        <is>
          <t>NSMP2305130841</t>
        </is>
      </c>
      <c r="Q2514" s="53">
        <f>MID(P2514,5,2)</f>
        <v/>
      </c>
      <c r="R2514" s="53">
        <f>MID(P2514,7,2)</f>
        <v/>
      </c>
      <c r="S2514" s="3" t="inlineStr">
        <is>
          <t>G2B</t>
        </is>
      </c>
      <c r="T2514" s="3" t="inlineStr">
        <is>
          <t>P2</t>
        </is>
      </c>
      <c r="U2514" s="3" t="inlineStr">
        <is>
          <t>P JB Cold Soldering</t>
        </is>
      </c>
      <c r="V2514" s="3" t="inlineStr">
        <is>
          <t>Soldering</t>
        </is>
      </c>
      <c r="W2514" s="3" t="inlineStr">
        <is>
          <t>Repair</t>
        </is>
      </c>
      <c r="X2514" s="18" t="n">
        <v>46172</v>
      </c>
      <c r="Y2514" s="3">
        <f>X2514-A2514</f>
        <v/>
      </c>
      <c r="Z2514" s="18" t="n">
        <v>46172</v>
      </c>
      <c r="AA2514" s="15" t="n"/>
      <c r="AB2514" s="15" t="n"/>
    </row>
    <row r="2515">
      <c r="A2515" s="59" t="n">
        <v>46148</v>
      </c>
      <c r="B2515" s="3" t="n">
        <v>2026</v>
      </c>
      <c r="C2515" s="21" t="inlineStr">
        <is>
          <t>Continuum</t>
        </is>
      </c>
      <c r="D2515" s="3" t="inlineStr">
        <is>
          <t>Utility and C&amp;I</t>
        </is>
      </c>
      <c r="E2515" s="3" t="n"/>
      <c r="F2515" s="3" t="inlineStr">
        <is>
          <t>Closed</t>
        </is>
      </c>
      <c r="G2515" s="21" t="inlineStr">
        <is>
          <t>Amiya Ranjan Behera</t>
        </is>
      </c>
      <c r="H2515" s="21" t="n">
        <v>8917436223</v>
      </c>
      <c r="I2515" s="38" t="inlineStr">
        <is>
          <t>PE06052602</t>
        </is>
      </c>
      <c r="J2515" s="21" t="inlineStr">
        <is>
          <t>Diode Bypass Module Issue</t>
        </is>
      </c>
      <c r="K2515" s="21" t="inlineStr">
        <is>
          <t>Bhavnagar</t>
        </is>
      </c>
      <c r="L2515" s="21" t="inlineStr">
        <is>
          <t>Gujarat</t>
        </is>
      </c>
      <c r="M2515" s="9" t="inlineStr">
        <is>
          <t>NS</t>
        </is>
      </c>
      <c r="N2515" s="26" t="inlineStr">
        <is>
          <t>Cold Soldering</t>
        </is>
      </c>
      <c r="O2515" s="62" t="n">
        <v>540</v>
      </c>
      <c r="P2515" s="9" t="inlineStr">
        <is>
          <t>NSMP2305130812</t>
        </is>
      </c>
      <c r="Q2515" s="53">
        <f>MID(P2515,5,2)</f>
        <v/>
      </c>
      <c r="R2515" s="53">
        <f>MID(P2515,7,2)</f>
        <v/>
      </c>
      <c r="S2515" s="3" t="inlineStr">
        <is>
          <t>G2B</t>
        </is>
      </c>
      <c r="T2515" s="3" t="inlineStr">
        <is>
          <t>P2</t>
        </is>
      </c>
      <c r="U2515" s="19" t="inlineStr">
        <is>
          <t>N JB Cold Soldering</t>
        </is>
      </c>
      <c r="V2515" s="19" t="inlineStr">
        <is>
          <t>Soldering</t>
        </is>
      </c>
      <c r="W2515" s="3" t="inlineStr">
        <is>
          <t>Repair</t>
        </is>
      </c>
      <c r="X2515" s="18" t="n">
        <v>46172</v>
      </c>
      <c r="Y2515" s="3">
        <f>X2515-A2515</f>
        <v/>
      </c>
      <c r="Z2515" s="18" t="n">
        <v>46172</v>
      </c>
      <c r="AA2515" s="15" t="n"/>
      <c r="AB2515" s="15" t="n"/>
    </row>
    <row r="2516">
      <c r="A2516" s="59" t="n">
        <v>46148</v>
      </c>
      <c r="B2516" s="3" t="n">
        <v>2026</v>
      </c>
      <c r="C2516" s="21" t="inlineStr">
        <is>
          <t>Continuum</t>
        </is>
      </c>
      <c r="D2516" s="3" t="inlineStr">
        <is>
          <t>Utility and C&amp;I</t>
        </is>
      </c>
      <c r="E2516" s="3" t="n"/>
      <c r="F2516" s="3" t="inlineStr">
        <is>
          <t>Closed</t>
        </is>
      </c>
      <c r="G2516" s="21" t="inlineStr">
        <is>
          <t>Amiya Ranjan Behera</t>
        </is>
      </c>
      <c r="H2516" s="21" t="n">
        <v>8917436223</v>
      </c>
      <c r="I2516" s="38" t="inlineStr">
        <is>
          <t>PE06052602</t>
        </is>
      </c>
      <c r="J2516" s="21" t="inlineStr">
        <is>
          <t>Diode Bypass Module Issue</t>
        </is>
      </c>
      <c r="K2516" s="21" t="inlineStr">
        <is>
          <t>Bhavnagar</t>
        </is>
      </c>
      <c r="L2516" s="21" t="inlineStr">
        <is>
          <t>Gujarat</t>
        </is>
      </c>
      <c r="M2516" s="9" t="inlineStr">
        <is>
          <t>PS</t>
        </is>
      </c>
      <c r="N2516" s="3" t="inlineStr">
        <is>
          <t>Cold Soldering</t>
        </is>
      </c>
      <c r="O2516" s="62" t="n">
        <v>540</v>
      </c>
      <c r="P2516" s="9" t="inlineStr">
        <is>
          <t>NSMP2305133050</t>
        </is>
      </c>
      <c r="Q2516" s="53">
        <f>MID(P2516,5,2)</f>
        <v/>
      </c>
      <c r="R2516" s="53">
        <f>MID(P2516,7,2)</f>
        <v/>
      </c>
      <c r="S2516" s="3" t="inlineStr">
        <is>
          <t>G2B</t>
        </is>
      </c>
      <c r="T2516" s="3" t="inlineStr">
        <is>
          <t>P2</t>
        </is>
      </c>
      <c r="U2516" s="3" t="inlineStr">
        <is>
          <t>P JB Cold Soldering</t>
        </is>
      </c>
      <c r="V2516" s="3" t="inlineStr">
        <is>
          <t>Soldering</t>
        </is>
      </c>
      <c r="W2516" s="3" t="inlineStr">
        <is>
          <t>Repair</t>
        </is>
      </c>
      <c r="X2516" s="18" t="n">
        <v>46172</v>
      </c>
      <c r="Y2516" s="3">
        <f>X2516-A2516</f>
        <v/>
      </c>
      <c r="Z2516" s="18" t="n">
        <v>46172</v>
      </c>
      <c r="AA2516" s="15" t="n"/>
      <c r="AB2516" s="15" t="n"/>
    </row>
    <row r="2517">
      <c r="A2517" s="59" t="n">
        <v>46148</v>
      </c>
      <c r="B2517" s="3" t="n">
        <v>2026</v>
      </c>
      <c r="C2517" s="21" t="inlineStr">
        <is>
          <t>Continuum</t>
        </is>
      </c>
      <c r="D2517" s="3" t="inlineStr">
        <is>
          <t>Utility and C&amp;I</t>
        </is>
      </c>
      <c r="E2517" s="3" t="n"/>
      <c r="F2517" s="3" t="inlineStr">
        <is>
          <t>Closed</t>
        </is>
      </c>
      <c r="G2517" s="21" t="inlineStr">
        <is>
          <t>Amiya Ranjan Behera</t>
        </is>
      </c>
      <c r="H2517" s="21" t="n">
        <v>8917436223</v>
      </c>
      <c r="I2517" s="38" t="inlineStr">
        <is>
          <t>PE06052602</t>
        </is>
      </c>
      <c r="J2517" s="21" t="inlineStr">
        <is>
          <t>Diode Bypass Module Issue</t>
        </is>
      </c>
      <c r="K2517" s="21" t="inlineStr">
        <is>
          <t>Bhavnagar</t>
        </is>
      </c>
      <c r="L2517" s="21" t="inlineStr">
        <is>
          <t>Gujarat</t>
        </is>
      </c>
      <c r="M2517" s="9" t="inlineStr">
        <is>
          <t>PS</t>
        </is>
      </c>
      <c r="N2517" s="3" t="inlineStr">
        <is>
          <t>Cold Soldering</t>
        </is>
      </c>
      <c r="O2517" s="62" t="n">
        <v>540</v>
      </c>
      <c r="P2517" s="9" t="inlineStr">
        <is>
          <t>NSMP2305133048</t>
        </is>
      </c>
      <c r="Q2517" s="53">
        <f>MID(P2517,5,2)</f>
        <v/>
      </c>
      <c r="R2517" s="53">
        <f>MID(P2517,7,2)</f>
        <v/>
      </c>
      <c r="S2517" s="3" t="inlineStr">
        <is>
          <t>G2B</t>
        </is>
      </c>
      <c r="T2517" s="3" t="inlineStr">
        <is>
          <t>P2</t>
        </is>
      </c>
      <c r="U2517" s="3" t="inlineStr">
        <is>
          <t>P JB Cold Soldering</t>
        </is>
      </c>
      <c r="V2517" s="3" t="inlineStr">
        <is>
          <t>Soldering</t>
        </is>
      </c>
      <c r="W2517" s="3" t="inlineStr">
        <is>
          <t>Repair</t>
        </is>
      </c>
      <c r="X2517" s="18" t="n">
        <v>46172</v>
      </c>
      <c r="Y2517" s="3">
        <f>X2517-A2517</f>
        <v/>
      </c>
      <c r="Z2517" s="18" t="n">
        <v>46172</v>
      </c>
      <c r="AA2517" s="15" t="n"/>
      <c r="AB2517" s="15" t="n"/>
    </row>
    <row r="2518">
      <c r="A2518" s="59" t="n">
        <v>46148</v>
      </c>
      <c r="B2518" s="3" t="n">
        <v>2026</v>
      </c>
      <c r="C2518" s="21" t="inlineStr">
        <is>
          <t>Continuum</t>
        </is>
      </c>
      <c r="D2518" s="3" t="inlineStr">
        <is>
          <t>Utility and C&amp;I</t>
        </is>
      </c>
      <c r="E2518" s="3" t="n"/>
      <c r="F2518" s="3" t="inlineStr">
        <is>
          <t>Closed</t>
        </is>
      </c>
      <c r="G2518" s="21" t="inlineStr">
        <is>
          <t>Amiya Ranjan Behera</t>
        </is>
      </c>
      <c r="H2518" s="21" t="n">
        <v>8917436223</v>
      </c>
      <c r="I2518" s="38" t="inlineStr">
        <is>
          <t>PE06052602</t>
        </is>
      </c>
      <c r="J2518" s="21" t="inlineStr">
        <is>
          <t>Diode Bypass Module Issue</t>
        </is>
      </c>
      <c r="K2518" s="21" t="inlineStr">
        <is>
          <t>Bhavnagar</t>
        </is>
      </c>
      <c r="L2518" s="21" t="inlineStr">
        <is>
          <t>Gujarat</t>
        </is>
      </c>
      <c r="M2518" s="9" t="inlineStr">
        <is>
          <t>PS</t>
        </is>
      </c>
      <c r="N2518" s="3" t="inlineStr">
        <is>
          <t>Cold Soldering</t>
        </is>
      </c>
      <c r="O2518" s="62" t="n">
        <v>540</v>
      </c>
      <c r="P2518" s="9" t="inlineStr">
        <is>
          <t>NSMP2305132903</t>
        </is>
      </c>
      <c r="Q2518" s="53">
        <f>MID(P2518,5,2)</f>
        <v/>
      </c>
      <c r="R2518" s="53">
        <f>MID(P2518,7,2)</f>
        <v/>
      </c>
      <c r="S2518" s="3" t="inlineStr">
        <is>
          <t>G2B</t>
        </is>
      </c>
      <c r="T2518" s="3" t="inlineStr">
        <is>
          <t>P2</t>
        </is>
      </c>
      <c r="U2518" s="3" t="inlineStr">
        <is>
          <t>P JB Cold Soldering</t>
        </is>
      </c>
      <c r="V2518" s="3" t="inlineStr">
        <is>
          <t>Soldering</t>
        </is>
      </c>
      <c r="W2518" s="3" t="inlineStr">
        <is>
          <t>Repair</t>
        </is>
      </c>
      <c r="X2518" s="18" t="n">
        <v>46172</v>
      </c>
      <c r="Y2518" s="3">
        <f>X2518-A2518</f>
        <v/>
      </c>
      <c r="Z2518" s="18" t="n">
        <v>46172</v>
      </c>
      <c r="AA2518" s="15" t="n"/>
      <c r="AB2518" s="15" t="n"/>
    </row>
    <row r="2519">
      <c r="A2519" s="59" t="n">
        <v>46148</v>
      </c>
      <c r="B2519" s="3" t="n">
        <v>2026</v>
      </c>
      <c r="C2519" s="21" t="inlineStr">
        <is>
          <t>Continuum</t>
        </is>
      </c>
      <c r="D2519" s="3" t="inlineStr">
        <is>
          <t>Utility and C&amp;I</t>
        </is>
      </c>
      <c r="E2519" s="3" t="n"/>
      <c r="F2519" s="3" t="inlineStr">
        <is>
          <t>Closed</t>
        </is>
      </c>
      <c r="G2519" s="21" t="inlineStr">
        <is>
          <t>Amiya Ranjan Behera</t>
        </is>
      </c>
      <c r="H2519" s="21" t="n">
        <v>8917436223</v>
      </c>
      <c r="I2519" s="38" t="inlineStr">
        <is>
          <t>PE06052602</t>
        </is>
      </c>
      <c r="J2519" s="21" t="inlineStr">
        <is>
          <t>Diode Bypass Module Issue</t>
        </is>
      </c>
      <c r="K2519" s="21" t="inlineStr">
        <is>
          <t>Bhavnagar</t>
        </is>
      </c>
      <c r="L2519" s="21" t="inlineStr">
        <is>
          <t>Gujarat</t>
        </is>
      </c>
      <c r="M2519" s="9" t="inlineStr">
        <is>
          <t>PS</t>
        </is>
      </c>
      <c r="N2519" s="3" t="inlineStr">
        <is>
          <t>Cold Soldering</t>
        </is>
      </c>
      <c r="O2519" s="62" t="n">
        <v>540</v>
      </c>
      <c r="P2519" s="9" t="inlineStr">
        <is>
          <t>NSMP2305132764</t>
        </is>
      </c>
      <c r="Q2519" s="53">
        <f>MID(P2519,5,2)</f>
        <v/>
      </c>
      <c r="R2519" s="53">
        <f>MID(P2519,7,2)</f>
        <v/>
      </c>
      <c r="S2519" s="3" t="inlineStr">
        <is>
          <t>G2B</t>
        </is>
      </c>
      <c r="T2519" s="3" t="inlineStr">
        <is>
          <t>P2</t>
        </is>
      </c>
      <c r="U2519" s="3" t="inlineStr">
        <is>
          <t>P JB Cold Soldering</t>
        </is>
      </c>
      <c r="V2519" s="3" t="inlineStr">
        <is>
          <t>Soldering</t>
        </is>
      </c>
      <c r="W2519" s="3" t="inlineStr">
        <is>
          <t>Repair</t>
        </is>
      </c>
      <c r="X2519" s="18" t="n">
        <v>46172</v>
      </c>
      <c r="Y2519" s="3">
        <f>X2519-A2519</f>
        <v/>
      </c>
      <c r="Z2519" s="18" t="n">
        <v>46172</v>
      </c>
      <c r="AA2519" s="15" t="n"/>
      <c r="AB2519" s="15" t="n"/>
    </row>
    <row r="2520">
      <c r="A2520" s="59" t="n">
        <v>46148</v>
      </c>
      <c r="B2520" s="3" t="n">
        <v>2026</v>
      </c>
      <c r="C2520" s="21" t="inlineStr">
        <is>
          <t>Continuum</t>
        </is>
      </c>
      <c r="D2520" s="3" t="inlineStr">
        <is>
          <t>Utility and C&amp;I</t>
        </is>
      </c>
      <c r="E2520" s="3" t="n"/>
      <c r="F2520" s="3" t="inlineStr">
        <is>
          <t>Closed</t>
        </is>
      </c>
      <c r="G2520" s="21" t="inlineStr">
        <is>
          <t>Amiya Ranjan Behera</t>
        </is>
      </c>
      <c r="H2520" s="21" t="n">
        <v>8917436223</v>
      </c>
      <c r="I2520" s="38" t="inlineStr">
        <is>
          <t>PE06052602</t>
        </is>
      </c>
      <c r="J2520" s="21" t="inlineStr">
        <is>
          <t>Diode Bypass Module Issue</t>
        </is>
      </c>
      <c r="K2520" s="21" t="inlineStr">
        <is>
          <t>Bhavnagar</t>
        </is>
      </c>
      <c r="L2520" s="21" t="inlineStr">
        <is>
          <t>Gujarat</t>
        </is>
      </c>
      <c r="M2520" s="9" t="inlineStr">
        <is>
          <t>PS</t>
        </is>
      </c>
      <c r="N2520" s="3" t="inlineStr">
        <is>
          <t>Cold Soldering</t>
        </is>
      </c>
      <c r="O2520" s="62" t="n">
        <v>540</v>
      </c>
      <c r="P2520" s="9" t="inlineStr">
        <is>
          <t>NSMP2305132861</t>
        </is>
      </c>
      <c r="Q2520" s="53">
        <f>MID(P2520,5,2)</f>
        <v/>
      </c>
      <c r="R2520" s="53">
        <f>MID(P2520,7,2)</f>
        <v/>
      </c>
      <c r="S2520" s="3" t="inlineStr">
        <is>
          <t>G2B</t>
        </is>
      </c>
      <c r="T2520" s="3" t="inlineStr">
        <is>
          <t>P2</t>
        </is>
      </c>
      <c r="U2520" s="3" t="inlineStr">
        <is>
          <t>P JB Cold Soldering</t>
        </is>
      </c>
      <c r="V2520" s="3" t="inlineStr">
        <is>
          <t>Soldering</t>
        </is>
      </c>
      <c r="W2520" s="3" t="inlineStr">
        <is>
          <t>Repair</t>
        </is>
      </c>
      <c r="X2520" s="18" t="n">
        <v>46172</v>
      </c>
      <c r="Y2520" s="3">
        <f>X2520-A2520</f>
        <v/>
      </c>
      <c r="Z2520" s="18" t="n">
        <v>46172</v>
      </c>
      <c r="AA2520" s="15" t="n"/>
      <c r="AB2520" s="15" t="n"/>
    </row>
    <row r="2521">
      <c r="A2521" s="59" t="n">
        <v>46148</v>
      </c>
      <c r="B2521" s="3" t="n">
        <v>2026</v>
      </c>
      <c r="C2521" s="21" t="inlineStr">
        <is>
          <t>Continuum</t>
        </is>
      </c>
      <c r="D2521" s="3" t="inlineStr">
        <is>
          <t>Utility and C&amp;I</t>
        </is>
      </c>
      <c r="E2521" s="3" t="n"/>
      <c r="F2521" s="3" t="inlineStr">
        <is>
          <t>Closed</t>
        </is>
      </c>
      <c r="G2521" s="21" t="inlineStr">
        <is>
          <t>Amiya Ranjan Behera</t>
        </is>
      </c>
      <c r="H2521" s="21" t="n">
        <v>8917436223</v>
      </c>
      <c r="I2521" s="38" t="inlineStr">
        <is>
          <t>PE06052602</t>
        </is>
      </c>
      <c r="J2521" s="21" t="inlineStr">
        <is>
          <t>Diode Bypass Module Issue</t>
        </is>
      </c>
      <c r="K2521" s="21" t="inlineStr">
        <is>
          <t>Bhavnagar</t>
        </is>
      </c>
      <c r="L2521" s="21" t="inlineStr">
        <is>
          <t>Gujarat</t>
        </is>
      </c>
      <c r="M2521" s="9" t="inlineStr">
        <is>
          <t>PS</t>
        </is>
      </c>
      <c r="N2521" s="3" t="inlineStr">
        <is>
          <t>Cold Soldering</t>
        </is>
      </c>
      <c r="O2521" s="62" t="n">
        <v>540</v>
      </c>
      <c r="P2521" s="9" t="inlineStr">
        <is>
          <t>NSMP2305132441</t>
        </is>
      </c>
      <c r="Q2521" s="53">
        <f>MID(P2521,5,2)</f>
        <v/>
      </c>
      <c r="R2521" s="53">
        <f>MID(P2521,7,2)</f>
        <v/>
      </c>
      <c r="S2521" s="3" t="inlineStr">
        <is>
          <t>G2B</t>
        </is>
      </c>
      <c r="T2521" s="3" t="inlineStr">
        <is>
          <t>P2</t>
        </is>
      </c>
      <c r="U2521" s="3" t="inlineStr">
        <is>
          <t>P JB Cold Soldering</t>
        </is>
      </c>
      <c r="V2521" s="3" t="inlineStr">
        <is>
          <t>Soldering</t>
        </is>
      </c>
      <c r="W2521" s="3" t="inlineStr">
        <is>
          <t>Repair</t>
        </is>
      </c>
      <c r="X2521" s="18" t="n">
        <v>46172</v>
      </c>
      <c r="Y2521" s="3">
        <f>X2521-A2521</f>
        <v/>
      </c>
      <c r="Z2521" s="18" t="n">
        <v>46172</v>
      </c>
      <c r="AA2521" s="15" t="n"/>
      <c r="AB2521" s="15" t="n"/>
    </row>
    <row r="2522">
      <c r="A2522" s="59" t="n">
        <v>46148</v>
      </c>
      <c r="B2522" s="3" t="n">
        <v>2026</v>
      </c>
      <c r="C2522" s="21" t="inlineStr">
        <is>
          <t>Continuum</t>
        </is>
      </c>
      <c r="D2522" s="3" t="inlineStr">
        <is>
          <t>Utility and C&amp;I</t>
        </is>
      </c>
      <c r="E2522" s="3" t="n"/>
      <c r="F2522" s="3" t="inlineStr">
        <is>
          <t>Closed</t>
        </is>
      </c>
      <c r="G2522" s="21" t="inlineStr">
        <is>
          <t>Amiya Ranjan Behera</t>
        </is>
      </c>
      <c r="H2522" s="21" t="n">
        <v>8917436223</v>
      </c>
      <c r="I2522" s="38" t="inlineStr">
        <is>
          <t>PE06052602</t>
        </is>
      </c>
      <c r="J2522" s="21" t="inlineStr">
        <is>
          <t>Diode Bypass Module Issue</t>
        </is>
      </c>
      <c r="K2522" s="21" t="inlineStr">
        <is>
          <t>Bhavnagar</t>
        </is>
      </c>
      <c r="L2522" s="21" t="inlineStr">
        <is>
          <t>Gujarat</t>
        </is>
      </c>
      <c r="M2522" s="9" t="inlineStr">
        <is>
          <t>PS</t>
        </is>
      </c>
      <c r="N2522" s="3" t="inlineStr">
        <is>
          <t>Cold Soldering</t>
        </is>
      </c>
      <c r="O2522" s="62" t="n">
        <v>540</v>
      </c>
      <c r="P2522" s="9" t="inlineStr">
        <is>
          <t>NSMP2305132656</t>
        </is>
      </c>
      <c r="Q2522" s="53">
        <f>MID(P2522,5,2)</f>
        <v/>
      </c>
      <c r="R2522" s="53">
        <f>MID(P2522,7,2)</f>
        <v/>
      </c>
      <c r="S2522" s="3" t="inlineStr">
        <is>
          <t>G2B</t>
        </is>
      </c>
      <c r="T2522" s="3" t="inlineStr">
        <is>
          <t>P2</t>
        </is>
      </c>
      <c r="U2522" s="3" t="inlineStr">
        <is>
          <t>P JB Cold Soldering</t>
        </is>
      </c>
      <c r="V2522" s="3" t="inlineStr">
        <is>
          <t>Soldering</t>
        </is>
      </c>
      <c r="W2522" s="3" t="inlineStr">
        <is>
          <t>Repair</t>
        </is>
      </c>
      <c r="X2522" s="18" t="n">
        <v>46172</v>
      </c>
      <c r="Y2522" s="3">
        <f>X2522-A2522</f>
        <v/>
      </c>
      <c r="Z2522" s="18" t="n">
        <v>46172</v>
      </c>
      <c r="AA2522" s="15" t="n"/>
      <c r="AB2522" s="15" t="n"/>
    </row>
    <row r="2523">
      <c r="A2523" s="59" t="n">
        <v>46148</v>
      </c>
      <c r="B2523" s="3" t="n">
        <v>2026</v>
      </c>
      <c r="C2523" s="21" t="inlineStr">
        <is>
          <t>Continuum</t>
        </is>
      </c>
      <c r="D2523" s="3" t="inlineStr">
        <is>
          <t>Utility and C&amp;I</t>
        </is>
      </c>
      <c r="E2523" s="3" t="n"/>
      <c r="F2523" s="3" t="inlineStr">
        <is>
          <t>Closed</t>
        </is>
      </c>
      <c r="G2523" s="21" t="inlineStr">
        <is>
          <t>Amiya Ranjan Behera</t>
        </is>
      </c>
      <c r="H2523" s="21" t="n">
        <v>8917436223</v>
      </c>
      <c r="I2523" s="38" t="inlineStr">
        <is>
          <t>PE06052602</t>
        </is>
      </c>
      <c r="J2523" s="21" t="inlineStr">
        <is>
          <t>Diode Bypass Module Issue</t>
        </is>
      </c>
      <c r="K2523" s="21" t="inlineStr">
        <is>
          <t>Bhavnagar</t>
        </is>
      </c>
      <c r="L2523" s="21" t="inlineStr">
        <is>
          <t>Gujarat</t>
        </is>
      </c>
      <c r="M2523" s="9" t="inlineStr">
        <is>
          <t>PS</t>
        </is>
      </c>
      <c r="N2523" s="3" t="inlineStr">
        <is>
          <t>Cold Soldering</t>
        </is>
      </c>
      <c r="O2523" s="62" t="n">
        <v>540</v>
      </c>
      <c r="P2523" s="9" t="inlineStr">
        <is>
          <t>NSMP2305190574</t>
        </is>
      </c>
      <c r="Q2523" s="53">
        <f>MID(P2523,5,2)</f>
        <v/>
      </c>
      <c r="R2523" s="53">
        <f>MID(P2523,7,2)</f>
        <v/>
      </c>
      <c r="S2523" s="3" t="inlineStr">
        <is>
          <t>G2B</t>
        </is>
      </c>
      <c r="T2523" s="3" t="inlineStr">
        <is>
          <t>P2</t>
        </is>
      </c>
      <c r="U2523" s="3" t="inlineStr">
        <is>
          <t>P JB Cold Soldering</t>
        </is>
      </c>
      <c r="V2523" s="3" t="inlineStr">
        <is>
          <t>Soldering</t>
        </is>
      </c>
      <c r="W2523" s="3" t="inlineStr">
        <is>
          <t>Repair</t>
        </is>
      </c>
      <c r="X2523" s="18" t="n">
        <v>46172</v>
      </c>
      <c r="Y2523" s="3">
        <f>X2523-A2523</f>
        <v/>
      </c>
      <c r="Z2523" s="18" t="n">
        <v>46172</v>
      </c>
      <c r="AA2523" s="15" t="n"/>
      <c r="AB2523" s="15" t="n"/>
    </row>
    <row r="2524">
      <c r="A2524" s="59" t="n">
        <v>46148</v>
      </c>
      <c r="B2524" s="3" t="n">
        <v>2026</v>
      </c>
      <c r="C2524" s="21" t="inlineStr">
        <is>
          <t>Continuum</t>
        </is>
      </c>
      <c r="D2524" s="3" t="inlineStr">
        <is>
          <t>Utility and C&amp;I</t>
        </is>
      </c>
      <c r="E2524" s="3" t="n"/>
      <c r="F2524" s="3" t="inlineStr">
        <is>
          <t>Closed</t>
        </is>
      </c>
      <c r="G2524" s="21" t="inlineStr">
        <is>
          <t>Amiya Ranjan Behera</t>
        </is>
      </c>
      <c r="H2524" s="21" t="n">
        <v>8917436223</v>
      </c>
      <c r="I2524" s="38" t="inlineStr">
        <is>
          <t>PE06052602</t>
        </is>
      </c>
      <c r="J2524" s="21" t="inlineStr">
        <is>
          <t>Diode Bypass Module Issue</t>
        </is>
      </c>
      <c r="K2524" s="21" t="inlineStr">
        <is>
          <t>Bhavnagar</t>
        </is>
      </c>
      <c r="L2524" s="21" t="inlineStr">
        <is>
          <t>Gujarat</t>
        </is>
      </c>
      <c r="M2524" s="9" t="inlineStr">
        <is>
          <t>PS</t>
        </is>
      </c>
      <c r="N2524" s="3" t="inlineStr">
        <is>
          <t>Cold Soldering</t>
        </is>
      </c>
      <c r="O2524" s="62" t="n">
        <v>540</v>
      </c>
      <c r="P2524" s="9" t="inlineStr">
        <is>
          <t>NSMP2305132654</t>
        </is>
      </c>
      <c r="Q2524" s="53">
        <f>MID(P2524,5,2)</f>
        <v/>
      </c>
      <c r="R2524" s="53">
        <f>MID(P2524,7,2)</f>
        <v/>
      </c>
      <c r="S2524" s="3" t="inlineStr">
        <is>
          <t>G2B</t>
        </is>
      </c>
      <c r="T2524" s="3" t="inlineStr">
        <is>
          <t>P2</t>
        </is>
      </c>
      <c r="U2524" s="3" t="inlineStr">
        <is>
          <t>P JB Cold Soldering</t>
        </is>
      </c>
      <c r="V2524" s="3" t="inlineStr">
        <is>
          <t>Soldering</t>
        </is>
      </c>
      <c r="W2524" s="3" t="inlineStr">
        <is>
          <t>Repair</t>
        </is>
      </c>
      <c r="X2524" s="18" t="n">
        <v>46172</v>
      </c>
      <c r="Y2524" s="3">
        <f>X2524-A2524</f>
        <v/>
      </c>
      <c r="Z2524" s="18" t="n">
        <v>46172</v>
      </c>
      <c r="AA2524" s="15" t="n"/>
      <c r="AB2524" s="15" t="n"/>
    </row>
    <row r="2525">
      <c r="A2525" s="59" t="n">
        <v>46148</v>
      </c>
      <c r="B2525" s="3" t="n">
        <v>2026</v>
      </c>
      <c r="C2525" s="21" t="inlineStr">
        <is>
          <t>Continuum</t>
        </is>
      </c>
      <c r="D2525" s="3" t="inlineStr">
        <is>
          <t>Utility and C&amp;I</t>
        </is>
      </c>
      <c r="E2525" s="3" t="n"/>
      <c r="F2525" s="3" t="inlineStr">
        <is>
          <t>Closed</t>
        </is>
      </c>
      <c r="G2525" s="21" t="inlineStr">
        <is>
          <t>Amiya Ranjan Behera</t>
        </is>
      </c>
      <c r="H2525" s="21" t="n">
        <v>8917436223</v>
      </c>
      <c r="I2525" s="38" t="inlineStr">
        <is>
          <t>PE06052602</t>
        </is>
      </c>
      <c r="J2525" s="21" t="inlineStr">
        <is>
          <t>Diode Bypass Module Issue</t>
        </is>
      </c>
      <c r="K2525" s="21" t="inlineStr">
        <is>
          <t>Bhavnagar</t>
        </is>
      </c>
      <c r="L2525" s="21" t="inlineStr">
        <is>
          <t>Gujarat</t>
        </is>
      </c>
      <c r="M2525" s="9" t="inlineStr">
        <is>
          <t>NS</t>
        </is>
      </c>
      <c r="N2525" s="26" t="inlineStr">
        <is>
          <t>Cold Soldering</t>
        </is>
      </c>
      <c r="O2525" s="62" t="n">
        <v>540</v>
      </c>
      <c r="P2525" s="9" t="inlineStr">
        <is>
          <t>NSMP2305132585</t>
        </is>
      </c>
      <c r="Q2525" s="53">
        <f>MID(P2525,5,2)</f>
        <v/>
      </c>
      <c r="R2525" s="53">
        <f>MID(P2525,7,2)</f>
        <v/>
      </c>
      <c r="S2525" s="3" t="inlineStr">
        <is>
          <t>G2B</t>
        </is>
      </c>
      <c r="T2525" s="3" t="inlineStr">
        <is>
          <t>P2</t>
        </is>
      </c>
      <c r="U2525" s="19" t="inlineStr">
        <is>
          <t>N JB Cold Soldering</t>
        </is>
      </c>
      <c r="V2525" s="19" t="inlineStr">
        <is>
          <t>Soldering</t>
        </is>
      </c>
      <c r="W2525" s="3" t="inlineStr">
        <is>
          <t>Repair</t>
        </is>
      </c>
      <c r="X2525" s="18" t="n">
        <v>46172</v>
      </c>
      <c r="Y2525" s="3">
        <f>X2525-A2525</f>
        <v/>
      </c>
      <c r="Z2525" s="18" t="n">
        <v>46172</v>
      </c>
      <c r="AA2525" s="15" t="n"/>
      <c r="AB2525" s="15" t="n"/>
    </row>
    <row r="2526">
      <c r="A2526" s="59" t="n">
        <v>46148</v>
      </c>
      <c r="B2526" s="3" t="n">
        <v>2026</v>
      </c>
      <c r="C2526" s="21" t="inlineStr">
        <is>
          <t>Continuum</t>
        </is>
      </c>
      <c r="D2526" s="3" t="inlineStr">
        <is>
          <t>Utility and C&amp;I</t>
        </is>
      </c>
      <c r="E2526" s="3" t="n"/>
      <c r="F2526" s="3" t="inlineStr">
        <is>
          <t>Closed</t>
        </is>
      </c>
      <c r="G2526" s="21" t="inlineStr">
        <is>
          <t>Amiya Ranjan Behera</t>
        </is>
      </c>
      <c r="H2526" s="21" t="n">
        <v>8917436223</v>
      </c>
      <c r="I2526" s="38" t="inlineStr">
        <is>
          <t>PE06052602</t>
        </is>
      </c>
      <c r="J2526" s="21" t="inlineStr">
        <is>
          <t>Diode Bypass Module Issue</t>
        </is>
      </c>
      <c r="K2526" s="21" t="inlineStr">
        <is>
          <t>Bhavnagar</t>
        </is>
      </c>
      <c r="L2526" s="21" t="inlineStr">
        <is>
          <t>Gujarat</t>
        </is>
      </c>
      <c r="M2526" s="9" t="inlineStr">
        <is>
          <t>PS</t>
        </is>
      </c>
      <c r="N2526" s="3" t="inlineStr">
        <is>
          <t>Cold Soldering</t>
        </is>
      </c>
      <c r="O2526" s="62" t="n">
        <v>540</v>
      </c>
      <c r="P2526" s="9" t="inlineStr">
        <is>
          <t>NSMP2305133582</t>
        </is>
      </c>
      <c r="Q2526" s="53">
        <f>MID(P2526,5,2)</f>
        <v/>
      </c>
      <c r="R2526" s="53">
        <f>MID(P2526,7,2)</f>
        <v/>
      </c>
      <c r="S2526" s="3" t="inlineStr">
        <is>
          <t>G2B</t>
        </is>
      </c>
      <c r="T2526" s="3" t="inlineStr">
        <is>
          <t>P2</t>
        </is>
      </c>
      <c r="U2526" s="3" t="inlineStr">
        <is>
          <t>P JB Cold Soldering</t>
        </is>
      </c>
      <c r="V2526" s="3" t="inlineStr">
        <is>
          <t>Soldering</t>
        </is>
      </c>
      <c r="W2526" s="3" t="inlineStr">
        <is>
          <t>Repair</t>
        </is>
      </c>
      <c r="X2526" s="18" t="n">
        <v>46172</v>
      </c>
      <c r="Y2526" s="3">
        <f>X2526-A2526</f>
        <v/>
      </c>
      <c r="Z2526" s="18" t="n">
        <v>46172</v>
      </c>
      <c r="AA2526" s="15" t="n"/>
      <c r="AB2526" s="15" t="n"/>
    </row>
    <row r="2527">
      <c r="A2527" s="59" t="n">
        <v>46148</v>
      </c>
      <c r="B2527" s="3" t="n">
        <v>2026</v>
      </c>
      <c r="C2527" s="21" t="inlineStr">
        <is>
          <t>Continuum</t>
        </is>
      </c>
      <c r="D2527" s="3" t="inlineStr">
        <is>
          <t>Utility and C&amp;I</t>
        </is>
      </c>
      <c r="E2527" s="3" t="n"/>
      <c r="F2527" s="3" t="inlineStr">
        <is>
          <t>Closed</t>
        </is>
      </c>
      <c r="G2527" s="21" t="inlineStr">
        <is>
          <t>Amiya Ranjan Behera</t>
        </is>
      </c>
      <c r="H2527" s="21" t="n">
        <v>8917436223</v>
      </c>
      <c r="I2527" s="38" t="inlineStr">
        <is>
          <t>PE06052602</t>
        </is>
      </c>
      <c r="J2527" s="21" t="inlineStr">
        <is>
          <t>Diode Bypass Module Issue</t>
        </is>
      </c>
      <c r="K2527" s="21" t="inlineStr">
        <is>
          <t>Bhavnagar</t>
        </is>
      </c>
      <c r="L2527" s="21" t="inlineStr">
        <is>
          <t>Gujarat</t>
        </is>
      </c>
      <c r="M2527" s="9" t="inlineStr">
        <is>
          <t>PS</t>
        </is>
      </c>
      <c r="N2527" s="3" t="inlineStr">
        <is>
          <t>Cold Soldering</t>
        </is>
      </c>
      <c r="O2527" s="62" t="n">
        <v>540</v>
      </c>
      <c r="P2527" s="9" t="inlineStr">
        <is>
          <t>NSMP2305133527</t>
        </is>
      </c>
      <c r="Q2527" s="53">
        <f>MID(P2527,5,2)</f>
        <v/>
      </c>
      <c r="R2527" s="53">
        <f>MID(P2527,7,2)</f>
        <v/>
      </c>
      <c r="S2527" s="3" t="inlineStr">
        <is>
          <t>G2B</t>
        </is>
      </c>
      <c r="T2527" s="3" t="inlineStr">
        <is>
          <t>P2</t>
        </is>
      </c>
      <c r="U2527" s="3" t="inlineStr">
        <is>
          <t>P JB Cold Soldering</t>
        </is>
      </c>
      <c r="V2527" s="3" t="inlineStr">
        <is>
          <t>Soldering</t>
        </is>
      </c>
      <c r="W2527" s="3" t="inlineStr">
        <is>
          <t>Repair</t>
        </is>
      </c>
      <c r="X2527" s="18" t="n">
        <v>46172</v>
      </c>
      <c r="Y2527" s="3">
        <f>X2527-A2527</f>
        <v/>
      </c>
      <c r="Z2527" s="18" t="n">
        <v>46172</v>
      </c>
      <c r="AA2527" s="15" t="n"/>
      <c r="AB2527" s="15" t="n"/>
    </row>
    <row r="2528">
      <c r="A2528" s="59" t="n">
        <v>46148</v>
      </c>
      <c r="B2528" s="3" t="n">
        <v>2026</v>
      </c>
      <c r="C2528" s="21" t="inlineStr">
        <is>
          <t>Continuum</t>
        </is>
      </c>
      <c r="D2528" s="3" t="inlineStr">
        <is>
          <t>Utility and C&amp;I</t>
        </is>
      </c>
      <c r="E2528" s="3" t="n"/>
      <c r="F2528" s="3" t="inlineStr">
        <is>
          <t>Closed</t>
        </is>
      </c>
      <c r="G2528" s="21" t="inlineStr">
        <is>
          <t>Amiya Ranjan Behera</t>
        </is>
      </c>
      <c r="H2528" s="21" t="n">
        <v>8917436223</v>
      </c>
      <c r="I2528" s="38" t="inlineStr">
        <is>
          <t>PE06052602</t>
        </is>
      </c>
      <c r="J2528" s="21" t="inlineStr">
        <is>
          <t>Diode Bypass Module Issue</t>
        </is>
      </c>
      <c r="K2528" s="21" t="inlineStr">
        <is>
          <t>Bhavnagar</t>
        </is>
      </c>
      <c r="L2528" s="21" t="inlineStr">
        <is>
          <t>Gujarat</t>
        </is>
      </c>
      <c r="M2528" s="9" t="inlineStr">
        <is>
          <t>PS</t>
        </is>
      </c>
      <c r="N2528" s="3" t="inlineStr">
        <is>
          <t>Cold Soldering</t>
        </is>
      </c>
      <c r="O2528" s="62" t="n">
        <v>540</v>
      </c>
      <c r="P2528" s="9" t="inlineStr">
        <is>
          <t>NSMP2305133450</t>
        </is>
      </c>
      <c r="Q2528" s="53">
        <f>MID(P2528,5,2)</f>
        <v/>
      </c>
      <c r="R2528" s="53">
        <f>MID(P2528,7,2)</f>
        <v/>
      </c>
      <c r="S2528" s="3" t="inlineStr">
        <is>
          <t>G2B</t>
        </is>
      </c>
      <c r="T2528" s="3" t="inlineStr">
        <is>
          <t>P2</t>
        </is>
      </c>
      <c r="U2528" s="3" t="inlineStr">
        <is>
          <t>P JB Cold Soldering</t>
        </is>
      </c>
      <c r="V2528" s="3" t="inlineStr">
        <is>
          <t>Soldering</t>
        </is>
      </c>
      <c r="W2528" s="3" t="inlineStr">
        <is>
          <t>Repair</t>
        </is>
      </c>
      <c r="X2528" s="18" t="n">
        <v>46172</v>
      </c>
      <c r="Y2528" s="3">
        <f>X2528-A2528</f>
        <v/>
      </c>
      <c r="Z2528" s="18" t="n">
        <v>46172</v>
      </c>
      <c r="AA2528" s="15" t="n"/>
      <c r="AB2528" s="15" t="n"/>
    </row>
    <row r="2529">
      <c r="A2529" s="59" t="n">
        <v>46148</v>
      </c>
      <c r="B2529" s="3" t="n">
        <v>2026</v>
      </c>
      <c r="C2529" s="21" t="inlineStr">
        <is>
          <t>Continuum</t>
        </is>
      </c>
      <c r="D2529" s="3" t="inlineStr">
        <is>
          <t>Utility and C&amp;I</t>
        </is>
      </c>
      <c r="E2529" s="3" t="n"/>
      <c r="F2529" s="3" t="inlineStr">
        <is>
          <t>Closed</t>
        </is>
      </c>
      <c r="G2529" s="21" t="inlineStr">
        <is>
          <t>Amiya Ranjan Behera</t>
        </is>
      </c>
      <c r="H2529" s="21" t="n">
        <v>8917436223</v>
      </c>
      <c r="I2529" s="38" t="inlineStr">
        <is>
          <t>PE06052602</t>
        </is>
      </c>
      <c r="J2529" s="21" t="inlineStr">
        <is>
          <t>Diode Bypass Module Issue</t>
        </is>
      </c>
      <c r="K2529" s="21" t="inlineStr">
        <is>
          <t>Bhavnagar</t>
        </is>
      </c>
      <c r="L2529" s="21" t="inlineStr">
        <is>
          <t>Gujarat</t>
        </is>
      </c>
      <c r="M2529" s="9" t="inlineStr">
        <is>
          <t>NS</t>
        </is>
      </c>
      <c r="N2529" s="26" t="inlineStr">
        <is>
          <t>Cold Soldering</t>
        </is>
      </c>
      <c r="O2529" s="60" t="n">
        <v>540</v>
      </c>
      <c r="P2529" s="95" t="inlineStr">
        <is>
          <t>NSMP2305134147</t>
        </is>
      </c>
      <c r="Q2529" s="53">
        <f>MID(P2529,5,2)</f>
        <v/>
      </c>
      <c r="R2529" s="53">
        <f>MID(P2529,7,2)</f>
        <v/>
      </c>
      <c r="S2529" s="3" t="inlineStr">
        <is>
          <t>G2B</t>
        </is>
      </c>
      <c r="T2529" s="3" t="inlineStr">
        <is>
          <t>P2</t>
        </is>
      </c>
      <c r="U2529" s="19" t="inlineStr">
        <is>
          <t>N JB Cold Soldering</t>
        </is>
      </c>
      <c r="V2529" s="19" t="inlineStr">
        <is>
          <t>Soldering</t>
        </is>
      </c>
      <c r="W2529" s="3" t="inlineStr">
        <is>
          <t>Repair</t>
        </is>
      </c>
      <c r="X2529" s="18" t="n">
        <v>46172</v>
      </c>
      <c r="Y2529" s="3">
        <f>X2529-A2529</f>
        <v/>
      </c>
      <c r="Z2529" s="18" t="n">
        <v>46172</v>
      </c>
      <c r="AA2529" s="15" t="n"/>
      <c r="AB2529" s="15" t="n"/>
    </row>
    <row r="2530">
      <c r="A2530" s="59" t="n">
        <v>46148</v>
      </c>
      <c r="B2530" s="3" t="n">
        <v>2026</v>
      </c>
      <c r="C2530" s="21" t="inlineStr">
        <is>
          <t>Continuum</t>
        </is>
      </c>
      <c r="D2530" s="3" t="inlineStr">
        <is>
          <t>Utility and C&amp;I</t>
        </is>
      </c>
      <c r="E2530" s="3" t="n"/>
      <c r="F2530" s="3" t="inlineStr">
        <is>
          <t>Closed</t>
        </is>
      </c>
      <c r="G2530" s="21" t="inlineStr">
        <is>
          <t>Amiya Ranjan Behera</t>
        </is>
      </c>
      <c r="H2530" s="21" t="n">
        <v>8917436223</v>
      </c>
      <c r="I2530" s="38" t="inlineStr">
        <is>
          <t>PE06052602</t>
        </is>
      </c>
      <c r="J2530" s="21" t="inlineStr">
        <is>
          <t>Diode Bypass Module Issue</t>
        </is>
      </c>
      <c r="K2530" s="21" t="inlineStr">
        <is>
          <t>Bhavnagar</t>
        </is>
      </c>
      <c r="L2530" s="21" t="inlineStr">
        <is>
          <t>Gujarat</t>
        </is>
      </c>
      <c r="M2530" s="9" t="inlineStr">
        <is>
          <t>PS</t>
        </is>
      </c>
      <c r="N2530" s="3" t="inlineStr">
        <is>
          <t>Cold Soldering</t>
        </is>
      </c>
      <c r="O2530" s="62" t="n">
        <v>540</v>
      </c>
      <c r="P2530" s="9" t="inlineStr">
        <is>
          <t>NSMP2305133102</t>
        </is>
      </c>
      <c r="Q2530" s="53">
        <f>MID(P2530,5,2)</f>
        <v/>
      </c>
      <c r="R2530" s="53">
        <f>MID(P2530,7,2)</f>
        <v/>
      </c>
      <c r="S2530" s="3" t="inlineStr">
        <is>
          <t>G2B</t>
        </is>
      </c>
      <c r="T2530" s="3" t="inlineStr">
        <is>
          <t>P2</t>
        </is>
      </c>
      <c r="U2530" s="3" t="inlineStr">
        <is>
          <t>P JB Cold Soldering</t>
        </is>
      </c>
      <c r="V2530" s="3" t="inlineStr">
        <is>
          <t>Soldering</t>
        </is>
      </c>
      <c r="W2530" s="3" t="inlineStr">
        <is>
          <t>Repair</t>
        </is>
      </c>
      <c r="X2530" s="18" t="n">
        <v>46172</v>
      </c>
      <c r="Y2530" s="3">
        <f>X2530-A2530</f>
        <v/>
      </c>
      <c r="Z2530" s="18" t="n">
        <v>46172</v>
      </c>
      <c r="AA2530" s="15" t="n"/>
      <c r="AB2530" s="15" t="n"/>
    </row>
    <row r="2531">
      <c r="A2531" s="59" t="n">
        <v>46148</v>
      </c>
      <c r="B2531" s="3" t="n">
        <v>2026</v>
      </c>
      <c r="C2531" s="21" t="inlineStr">
        <is>
          <t>Continuum</t>
        </is>
      </c>
      <c r="D2531" s="3" t="inlineStr">
        <is>
          <t>Utility and C&amp;I</t>
        </is>
      </c>
      <c r="E2531" s="3" t="n"/>
      <c r="F2531" s="3" t="inlineStr">
        <is>
          <t>Closed</t>
        </is>
      </c>
      <c r="G2531" s="21" t="inlineStr">
        <is>
          <t>Amiya Ranjan Behera</t>
        </is>
      </c>
      <c r="H2531" s="21" t="n">
        <v>8917436223</v>
      </c>
      <c r="I2531" s="38" t="inlineStr">
        <is>
          <t>PE06052602</t>
        </is>
      </c>
      <c r="J2531" s="21" t="inlineStr">
        <is>
          <t>Diode Bypass Module Issue</t>
        </is>
      </c>
      <c r="K2531" s="21" t="inlineStr">
        <is>
          <t>Bhavnagar</t>
        </is>
      </c>
      <c r="L2531" s="21" t="inlineStr">
        <is>
          <t>Gujarat</t>
        </is>
      </c>
      <c r="M2531" s="9" t="inlineStr">
        <is>
          <t>PS</t>
        </is>
      </c>
      <c r="N2531" s="3" t="inlineStr">
        <is>
          <t>Cold Soldering</t>
        </is>
      </c>
      <c r="O2531" s="62" t="n">
        <v>540</v>
      </c>
      <c r="P2531" s="9" t="inlineStr">
        <is>
          <t>NSMP2305133100</t>
        </is>
      </c>
      <c r="Q2531" s="53">
        <f>MID(P2531,5,2)</f>
        <v/>
      </c>
      <c r="R2531" s="53">
        <f>MID(P2531,7,2)</f>
        <v/>
      </c>
      <c r="S2531" s="3" t="inlineStr">
        <is>
          <t>G2B</t>
        </is>
      </c>
      <c r="T2531" s="3" t="inlineStr">
        <is>
          <t>P2</t>
        </is>
      </c>
      <c r="U2531" s="3" t="inlineStr">
        <is>
          <t>P JB Cold Soldering</t>
        </is>
      </c>
      <c r="V2531" s="3" t="inlineStr">
        <is>
          <t>Soldering</t>
        </is>
      </c>
      <c r="W2531" s="3" t="inlineStr">
        <is>
          <t>Repair</t>
        </is>
      </c>
      <c r="X2531" s="18" t="n">
        <v>46172</v>
      </c>
      <c r="Y2531" s="3">
        <f>X2531-A2531</f>
        <v/>
      </c>
      <c r="Z2531" s="18" t="n">
        <v>46172</v>
      </c>
      <c r="AA2531" s="15" t="n"/>
      <c r="AB2531" s="15" t="n"/>
    </row>
    <row r="2532">
      <c r="A2532" s="59" t="n">
        <v>46148</v>
      </c>
      <c r="B2532" s="3" t="n">
        <v>2026</v>
      </c>
      <c r="C2532" s="21" t="inlineStr">
        <is>
          <t>Continuum</t>
        </is>
      </c>
      <c r="D2532" s="3" t="inlineStr">
        <is>
          <t>Utility and C&amp;I</t>
        </is>
      </c>
      <c r="E2532" s="3" t="n"/>
      <c r="F2532" s="3" t="inlineStr">
        <is>
          <t>Closed</t>
        </is>
      </c>
      <c r="G2532" s="21" t="inlineStr">
        <is>
          <t>Amiya Ranjan Behera</t>
        </is>
      </c>
      <c r="H2532" s="21" t="n">
        <v>8917436223</v>
      </c>
      <c r="I2532" s="38" t="inlineStr">
        <is>
          <t>PE06052602</t>
        </is>
      </c>
      <c r="J2532" s="21" t="inlineStr">
        <is>
          <t>Diode Bypass Module Issue</t>
        </is>
      </c>
      <c r="K2532" s="21" t="inlineStr">
        <is>
          <t>Bhavnagar</t>
        </is>
      </c>
      <c r="L2532" s="21" t="inlineStr">
        <is>
          <t>Gujarat</t>
        </is>
      </c>
      <c r="M2532" s="9" t="inlineStr">
        <is>
          <t>PS</t>
        </is>
      </c>
      <c r="N2532" s="3" t="inlineStr">
        <is>
          <t>Cold Soldering</t>
        </is>
      </c>
      <c r="O2532" s="62" t="n">
        <v>540</v>
      </c>
      <c r="P2532" s="9" t="inlineStr">
        <is>
          <t>NSMP2305133136</t>
        </is>
      </c>
      <c r="Q2532" s="53">
        <f>MID(P2532,5,2)</f>
        <v/>
      </c>
      <c r="R2532" s="53">
        <f>MID(P2532,7,2)</f>
        <v/>
      </c>
      <c r="S2532" s="3" t="inlineStr">
        <is>
          <t>G2B</t>
        </is>
      </c>
      <c r="T2532" s="3" t="inlineStr">
        <is>
          <t>P2</t>
        </is>
      </c>
      <c r="U2532" s="3" t="inlineStr">
        <is>
          <t>P JB Cold Soldering</t>
        </is>
      </c>
      <c r="V2532" s="3" t="inlineStr">
        <is>
          <t>Soldering</t>
        </is>
      </c>
      <c r="W2532" s="3" t="inlineStr">
        <is>
          <t>Repair</t>
        </is>
      </c>
      <c r="X2532" s="18" t="n">
        <v>46172</v>
      </c>
      <c r="Y2532" s="3">
        <f>X2532-A2532</f>
        <v/>
      </c>
      <c r="Z2532" s="18" t="n">
        <v>46172</v>
      </c>
      <c r="AA2532" s="15" t="n"/>
      <c r="AB2532" s="15" t="n"/>
    </row>
    <row r="2533">
      <c r="A2533" s="59" t="n">
        <v>46148</v>
      </c>
      <c r="B2533" s="3" t="n">
        <v>2026</v>
      </c>
      <c r="C2533" s="21" t="inlineStr">
        <is>
          <t>Continuum</t>
        </is>
      </c>
      <c r="D2533" s="3" t="inlineStr">
        <is>
          <t>Utility and C&amp;I</t>
        </is>
      </c>
      <c r="E2533" s="3" t="n"/>
      <c r="F2533" s="3" t="inlineStr">
        <is>
          <t>Closed</t>
        </is>
      </c>
      <c r="G2533" s="21" t="inlineStr">
        <is>
          <t>Amiya Ranjan Behera</t>
        </is>
      </c>
      <c r="H2533" s="21" t="n">
        <v>8917436223</v>
      </c>
      <c r="I2533" s="38" t="inlineStr">
        <is>
          <t>PE06052602</t>
        </is>
      </c>
      <c r="J2533" s="21" t="inlineStr">
        <is>
          <t>Diode Bypass Module Issue</t>
        </is>
      </c>
      <c r="K2533" s="21" t="inlineStr">
        <is>
          <t>Bhavnagar</t>
        </is>
      </c>
      <c r="L2533" s="21" t="inlineStr">
        <is>
          <t>Gujarat</t>
        </is>
      </c>
      <c r="M2533" s="9" t="inlineStr">
        <is>
          <t>PS</t>
        </is>
      </c>
      <c r="N2533" s="3" t="inlineStr">
        <is>
          <t>Cold Soldering</t>
        </is>
      </c>
      <c r="O2533" s="62" t="n">
        <v>540</v>
      </c>
      <c r="P2533" s="9" t="inlineStr">
        <is>
          <t>NSMP2305133147</t>
        </is>
      </c>
      <c r="Q2533" s="53">
        <f>MID(P2533,5,2)</f>
        <v/>
      </c>
      <c r="R2533" s="53">
        <f>MID(P2533,7,2)</f>
        <v/>
      </c>
      <c r="S2533" s="3" t="inlineStr">
        <is>
          <t>G2B</t>
        </is>
      </c>
      <c r="T2533" s="3" t="inlineStr">
        <is>
          <t>P2</t>
        </is>
      </c>
      <c r="U2533" s="3" t="inlineStr">
        <is>
          <t>P JB Cold Soldering</t>
        </is>
      </c>
      <c r="V2533" s="3" t="inlineStr">
        <is>
          <t>Soldering</t>
        </is>
      </c>
      <c r="W2533" s="3" t="inlineStr">
        <is>
          <t>Repair</t>
        </is>
      </c>
      <c r="X2533" s="18" t="n">
        <v>46172</v>
      </c>
      <c r="Y2533" s="3">
        <f>X2533-A2533</f>
        <v/>
      </c>
      <c r="Z2533" s="18" t="n">
        <v>46172</v>
      </c>
      <c r="AA2533" s="15" t="n"/>
      <c r="AB2533" s="15" t="n"/>
    </row>
    <row r="2534">
      <c r="A2534" s="59" t="n">
        <v>46148</v>
      </c>
      <c r="B2534" s="3" t="n">
        <v>2026</v>
      </c>
      <c r="C2534" s="21" t="inlineStr">
        <is>
          <t>Continuum</t>
        </is>
      </c>
      <c r="D2534" s="3" t="inlineStr">
        <is>
          <t>Utility and C&amp;I</t>
        </is>
      </c>
      <c r="E2534" s="3" t="n"/>
      <c r="F2534" s="3" t="inlineStr">
        <is>
          <t>Closed</t>
        </is>
      </c>
      <c r="G2534" s="21" t="inlineStr">
        <is>
          <t>Amiya Ranjan Behera</t>
        </is>
      </c>
      <c r="H2534" s="21" t="n">
        <v>8917436223</v>
      </c>
      <c r="I2534" s="38" t="inlineStr">
        <is>
          <t>PE06052602</t>
        </is>
      </c>
      <c r="J2534" s="21" t="inlineStr">
        <is>
          <t>Diode Bypass Module Issue</t>
        </is>
      </c>
      <c r="K2534" s="21" t="inlineStr">
        <is>
          <t>Bhavnagar</t>
        </is>
      </c>
      <c r="L2534" s="21" t="inlineStr">
        <is>
          <t>Gujarat</t>
        </is>
      </c>
      <c r="M2534" s="9" t="inlineStr">
        <is>
          <t>PS</t>
        </is>
      </c>
      <c r="N2534" s="3" t="inlineStr">
        <is>
          <t>Cold Soldering</t>
        </is>
      </c>
      <c r="O2534" s="62" t="n">
        <v>540</v>
      </c>
      <c r="P2534" s="9" t="inlineStr">
        <is>
          <t>NSMP2305133098</t>
        </is>
      </c>
      <c r="Q2534" s="53">
        <f>MID(P2534,5,2)</f>
        <v/>
      </c>
      <c r="R2534" s="53">
        <f>MID(P2534,7,2)</f>
        <v/>
      </c>
      <c r="S2534" s="3" t="inlineStr">
        <is>
          <t>G2B</t>
        </is>
      </c>
      <c r="T2534" s="3" t="inlineStr">
        <is>
          <t>P2</t>
        </is>
      </c>
      <c r="U2534" s="3" t="inlineStr">
        <is>
          <t>P JB Cold Soldering</t>
        </is>
      </c>
      <c r="V2534" s="3" t="inlineStr">
        <is>
          <t>Soldering</t>
        </is>
      </c>
      <c r="W2534" s="3" t="inlineStr">
        <is>
          <t>Repair</t>
        </is>
      </c>
      <c r="X2534" s="18" t="n">
        <v>46172</v>
      </c>
      <c r="Y2534" s="3">
        <f>X2534-A2534</f>
        <v/>
      </c>
      <c r="Z2534" s="18" t="n">
        <v>46172</v>
      </c>
      <c r="AA2534" s="15" t="n"/>
      <c r="AB2534" s="15" t="n"/>
    </row>
    <row r="2535">
      <c r="A2535" s="59" t="n">
        <v>46148</v>
      </c>
      <c r="B2535" s="3" t="n">
        <v>2026</v>
      </c>
      <c r="C2535" s="21" t="inlineStr">
        <is>
          <t>Continuum</t>
        </is>
      </c>
      <c r="D2535" s="3" t="inlineStr">
        <is>
          <t>Utility and C&amp;I</t>
        </is>
      </c>
      <c r="E2535" s="3" t="n"/>
      <c r="F2535" s="3" t="inlineStr">
        <is>
          <t>Closed</t>
        </is>
      </c>
      <c r="G2535" s="21" t="inlineStr">
        <is>
          <t>Amiya Ranjan Behera</t>
        </is>
      </c>
      <c r="H2535" s="21" t="n">
        <v>8917436223</v>
      </c>
      <c r="I2535" s="38" t="inlineStr">
        <is>
          <t>PE06052602</t>
        </is>
      </c>
      <c r="J2535" s="21" t="inlineStr">
        <is>
          <t>Diode Bypass Module Issue</t>
        </is>
      </c>
      <c r="K2535" s="21" t="inlineStr">
        <is>
          <t>Bhavnagar</t>
        </is>
      </c>
      <c r="L2535" s="21" t="inlineStr">
        <is>
          <t>Gujarat</t>
        </is>
      </c>
      <c r="M2535" s="9" t="inlineStr">
        <is>
          <t>PS</t>
        </is>
      </c>
      <c r="N2535" s="3" t="inlineStr">
        <is>
          <t>Cold Soldering</t>
        </is>
      </c>
      <c r="O2535" s="62" t="n">
        <v>540</v>
      </c>
      <c r="P2535" s="9" t="inlineStr">
        <is>
          <t>NSMP2305132476</t>
        </is>
      </c>
      <c r="Q2535" s="53">
        <f>MID(P2535,5,2)</f>
        <v/>
      </c>
      <c r="R2535" s="53">
        <f>MID(P2535,7,2)</f>
        <v/>
      </c>
      <c r="S2535" s="3" t="inlineStr">
        <is>
          <t>G2B</t>
        </is>
      </c>
      <c r="T2535" s="3" t="inlineStr">
        <is>
          <t>P2</t>
        </is>
      </c>
      <c r="U2535" s="3" t="inlineStr">
        <is>
          <t>P JB Cold Soldering</t>
        </is>
      </c>
      <c r="V2535" s="3" t="inlineStr">
        <is>
          <t>Soldering</t>
        </is>
      </c>
      <c r="W2535" s="3" t="inlineStr">
        <is>
          <t>Repair</t>
        </is>
      </c>
      <c r="X2535" s="18" t="n">
        <v>46172</v>
      </c>
      <c r="Y2535" s="3">
        <f>X2535-A2535</f>
        <v/>
      </c>
      <c r="Z2535" s="18" t="n">
        <v>46172</v>
      </c>
      <c r="AA2535" s="15" t="n"/>
      <c r="AB2535" s="15" t="n"/>
    </row>
    <row r="2536">
      <c r="A2536" s="59" t="n">
        <v>46148</v>
      </c>
      <c r="B2536" s="3" t="n">
        <v>2026</v>
      </c>
      <c r="C2536" s="21" t="inlineStr">
        <is>
          <t>Continuum</t>
        </is>
      </c>
      <c r="D2536" s="3" t="inlineStr">
        <is>
          <t>Utility and C&amp;I</t>
        </is>
      </c>
      <c r="E2536" s="3" t="n"/>
      <c r="F2536" s="3" t="inlineStr">
        <is>
          <t>Closed</t>
        </is>
      </c>
      <c r="G2536" s="21" t="inlineStr">
        <is>
          <t>Amiya Ranjan Behera</t>
        </is>
      </c>
      <c r="H2536" s="21" t="n">
        <v>8917436223</v>
      </c>
      <c r="I2536" s="38" t="inlineStr">
        <is>
          <t>PE06052602</t>
        </is>
      </c>
      <c r="J2536" s="21" t="inlineStr">
        <is>
          <t>Diode Bypass Module Issue</t>
        </is>
      </c>
      <c r="K2536" s="21" t="inlineStr">
        <is>
          <t>Bhavnagar</t>
        </is>
      </c>
      <c r="L2536" s="21" t="inlineStr">
        <is>
          <t>Gujarat</t>
        </is>
      </c>
      <c r="M2536" s="9" t="inlineStr">
        <is>
          <t>PS</t>
        </is>
      </c>
      <c r="N2536" s="3" t="inlineStr">
        <is>
          <t>Cold Soldering</t>
        </is>
      </c>
      <c r="O2536" s="62" t="n">
        <v>540</v>
      </c>
      <c r="P2536" s="9" t="inlineStr">
        <is>
          <t>NSMP2304035273</t>
        </is>
      </c>
      <c r="Q2536" s="53">
        <f>MID(P2536,5,2)</f>
        <v/>
      </c>
      <c r="R2536" s="53">
        <f>MID(P2536,7,2)</f>
        <v/>
      </c>
      <c r="S2536" s="3" t="inlineStr">
        <is>
          <t>G2B</t>
        </is>
      </c>
      <c r="T2536" s="3" t="inlineStr">
        <is>
          <t>P2</t>
        </is>
      </c>
      <c r="U2536" s="3" t="inlineStr">
        <is>
          <t>P JB Cold Soldering</t>
        </is>
      </c>
      <c r="V2536" s="3" t="inlineStr">
        <is>
          <t>Soldering</t>
        </is>
      </c>
      <c r="W2536" s="3" t="inlineStr">
        <is>
          <t>Repair</t>
        </is>
      </c>
      <c r="X2536" s="18" t="n">
        <v>46172</v>
      </c>
      <c r="Y2536" s="3">
        <f>X2536-A2536</f>
        <v/>
      </c>
      <c r="Z2536" s="18" t="n">
        <v>46172</v>
      </c>
      <c r="AA2536" s="15" t="n"/>
      <c r="AB2536" s="15" t="n"/>
    </row>
    <row r="2537">
      <c r="A2537" s="59" t="n">
        <v>46148</v>
      </c>
      <c r="B2537" s="3" t="n">
        <v>2026</v>
      </c>
      <c r="C2537" s="21" t="inlineStr">
        <is>
          <t>Continuum</t>
        </is>
      </c>
      <c r="D2537" s="3" t="inlineStr">
        <is>
          <t>Utility and C&amp;I</t>
        </is>
      </c>
      <c r="E2537" s="3" t="n"/>
      <c r="F2537" s="3" t="inlineStr">
        <is>
          <t>Closed</t>
        </is>
      </c>
      <c r="G2537" s="21" t="inlineStr">
        <is>
          <t>Amiya Ranjan Behera</t>
        </is>
      </c>
      <c r="H2537" s="21" t="n">
        <v>8917436223</v>
      </c>
      <c r="I2537" s="38" t="inlineStr">
        <is>
          <t>PE06052602</t>
        </is>
      </c>
      <c r="J2537" s="21" t="inlineStr">
        <is>
          <t>Diode Bypass Module Issue</t>
        </is>
      </c>
      <c r="K2537" s="21" t="inlineStr">
        <is>
          <t>Bhavnagar</t>
        </is>
      </c>
      <c r="L2537" s="21" t="inlineStr">
        <is>
          <t>Gujarat</t>
        </is>
      </c>
      <c r="M2537" s="9" t="inlineStr">
        <is>
          <t>PS</t>
        </is>
      </c>
      <c r="N2537" s="3" t="inlineStr">
        <is>
          <t>Cold Soldering</t>
        </is>
      </c>
      <c r="O2537" s="62" t="n">
        <v>540</v>
      </c>
      <c r="P2537" s="9" t="inlineStr">
        <is>
          <t>NSMP2304035280</t>
        </is>
      </c>
      <c r="Q2537" s="53">
        <f>MID(P2537,5,2)</f>
        <v/>
      </c>
      <c r="R2537" s="53">
        <f>MID(P2537,7,2)</f>
        <v/>
      </c>
      <c r="S2537" s="3" t="inlineStr">
        <is>
          <t>G2B</t>
        </is>
      </c>
      <c r="T2537" s="3" t="inlineStr">
        <is>
          <t>P2</t>
        </is>
      </c>
      <c r="U2537" s="3" t="inlineStr">
        <is>
          <t>P JB Cold Soldering</t>
        </is>
      </c>
      <c r="V2537" s="3" t="inlineStr">
        <is>
          <t>Soldering</t>
        </is>
      </c>
      <c r="W2537" s="3" t="inlineStr">
        <is>
          <t>Repair</t>
        </is>
      </c>
      <c r="X2537" s="18" t="n">
        <v>46172</v>
      </c>
      <c r="Y2537" s="3">
        <f>X2537-A2537</f>
        <v/>
      </c>
      <c r="Z2537" s="18" t="n">
        <v>46172</v>
      </c>
      <c r="AA2537" s="15" t="n"/>
      <c r="AB2537" s="15" t="n"/>
    </row>
    <row r="2538">
      <c r="A2538" s="59" t="n">
        <v>46148</v>
      </c>
      <c r="B2538" s="3" t="n">
        <v>2026</v>
      </c>
      <c r="C2538" s="21" t="inlineStr">
        <is>
          <t>Continuum</t>
        </is>
      </c>
      <c r="D2538" s="3" t="inlineStr">
        <is>
          <t>Utility and C&amp;I</t>
        </is>
      </c>
      <c r="E2538" s="3" t="n"/>
      <c r="F2538" s="3" t="inlineStr">
        <is>
          <t>Closed</t>
        </is>
      </c>
      <c r="G2538" s="21" t="inlineStr">
        <is>
          <t>Amiya Ranjan Behera</t>
        </is>
      </c>
      <c r="H2538" s="21" t="n">
        <v>8917436223</v>
      </c>
      <c r="I2538" s="38" t="inlineStr">
        <is>
          <t>PE06052602</t>
        </is>
      </c>
      <c r="J2538" s="21" t="inlineStr">
        <is>
          <t>Diode Bypass Module Issue</t>
        </is>
      </c>
      <c r="K2538" s="21" t="inlineStr">
        <is>
          <t>Bhavnagar</t>
        </is>
      </c>
      <c r="L2538" s="21" t="inlineStr">
        <is>
          <t>Gujarat</t>
        </is>
      </c>
      <c r="M2538" s="9" t="inlineStr">
        <is>
          <t>PS</t>
        </is>
      </c>
      <c r="N2538" s="3" t="inlineStr">
        <is>
          <t>Cold Soldering</t>
        </is>
      </c>
      <c r="O2538" s="62" t="n">
        <v>540</v>
      </c>
      <c r="P2538" s="9" t="inlineStr">
        <is>
          <t>NSMP2304035235</t>
        </is>
      </c>
      <c r="Q2538" s="53">
        <f>MID(P2538,5,2)</f>
        <v/>
      </c>
      <c r="R2538" s="53">
        <f>MID(P2538,7,2)</f>
        <v/>
      </c>
      <c r="S2538" s="3" t="inlineStr">
        <is>
          <t>G2B</t>
        </is>
      </c>
      <c r="T2538" s="3" t="inlineStr">
        <is>
          <t>P2</t>
        </is>
      </c>
      <c r="U2538" s="3" t="inlineStr">
        <is>
          <t>P JB Cold Soldering</t>
        </is>
      </c>
      <c r="V2538" s="3" t="inlineStr">
        <is>
          <t>Soldering</t>
        </is>
      </c>
      <c r="W2538" s="3" t="inlineStr">
        <is>
          <t>Repair</t>
        </is>
      </c>
      <c r="X2538" s="18" t="n">
        <v>46172</v>
      </c>
      <c r="Y2538" s="3">
        <f>X2538-A2538</f>
        <v/>
      </c>
      <c r="Z2538" s="18" t="n">
        <v>46172</v>
      </c>
      <c r="AA2538" s="15" t="n"/>
      <c r="AB2538" s="15" t="n"/>
    </row>
    <row r="2539">
      <c r="A2539" s="59" t="n">
        <v>46148</v>
      </c>
      <c r="B2539" s="3" t="n">
        <v>2026</v>
      </c>
      <c r="C2539" s="21" t="inlineStr">
        <is>
          <t>Continuum</t>
        </is>
      </c>
      <c r="D2539" s="3" t="inlineStr">
        <is>
          <t>Utility and C&amp;I</t>
        </is>
      </c>
      <c r="E2539" s="3" t="n"/>
      <c r="F2539" s="3" t="inlineStr">
        <is>
          <t>Closed</t>
        </is>
      </c>
      <c r="G2539" s="21" t="inlineStr">
        <is>
          <t>Amiya Ranjan Behera</t>
        </is>
      </c>
      <c r="H2539" s="21" t="n">
        <v>8917436223</v>
      </c>
      <c r="I2539" s="38" t="inlineStr">
        <is>
          <t>PE06052602</t>
        </is>
      </c>
      <c r="J2539" s="21" t="inlineStr">
        <is>
          <t>Diode Bypass Module Issue</t>
        </is>
      </c>
      <c r="K2539" s="21" t="inlineStr">
        <is>
          <t>Bhavnagar</t>
        </is>
      </c>
      <c r="L2539" s="21" t="inlineStr">
        <is>
          <t>Gujarat</t>
        </is>
      </c>
      <c r="M2539" s="9" t="inlineStr">
        <is>
          <t>PS</t>
        </is>
      </c>
      <c r="N2539" s="3" t="inlineStr">
        <is>
          <t>Cold Soldering</t>
        </is>
      </c>
      <c r="O2539" s="62" t="n">
        <v>540</v>
      </c>
      <c r="P2539" s="9" t="inlineStr">
        <is>
          <t>NSMP2304035232</t>
        </is>
      </c>
      <c r="Q2539" s="53">
        <f>MID(P2539,5,2)</f>
        <v/>
      </c>
      <c r="R2539" s="53">
        <f>MID(P2539,7,2)</f>
        <v/>
      </c>
      <c r="S2539" s="3" t="inlineStr">
        <is>
          <t>G2B</t>
        </is>
      </c>
      <c r="T2539" s="3" t="inlineStr">
        <is>
          <t>P2</t>
        </is>
      </c>
      <c r="U2539" s="3" t="inlineStr">
        <is>
          <t>P JB Cold Soldering</t>
        </is>
      </c>
      <c r="V2539" s="3" t="inlineStr">
        <is>
          <t>Soldering</t>
        </is>
      </c>
      <c r="W2539" s="3" t="inlineStr">
        <is>
          <t>Repair</t>
        </is>
      </c>
      <c r="X2539" s="18" t="n">
        <v>46172</v>
      </c>
      <c r="Y2539" s="3">
        <f>X2539-A2539</f>
        <v/>
      </c>
      <c r="Z2539" s="18" t="n">
        <v>46172</v>
      </c>
      <c r="AA2539" s="15" t="n"/>
      <c r="AB2539" s="15" t="n"/>
    </row>
    <row r="2540">
      <c r="A2540" s="59" t="n">
        <v>46148</v>
      </c>
      <c r="B2540" s="3" t="n">
        <v>2026</v>
      </c>
      <c r="C2540" s="21" t="inlineStr">
        <is>
          <t>Continuum</t>
        </is>
      </c>
      <c r="D2540" s="3" t="inlineStr">
        <is>
          <t>Utility and C&amp;I</t>
        </is>
      </c>
      <c r="E2540" s="3" t="n"/>
      <c r="F2540" s="3" t="inlineStr">
        <is>
          <t>Closed</t>
        </is>
      </c>
      <c r="G2540" s="21" t="inlineStr">
        <is>
          <t>Amiya Ranjan Behera</t>
        </is>
      </c>
      <c r="H2540" s="21" t="n">
        <v>8917436223</v>
      </c>
      <c r="I2540" s="38" t="inlineStr">
        <is>
          <t>PE06052602</t>
        </is>
      </c>
      <c r="J2540" s="21" t="inlineStr">
        <is>
          <t>Diode Bypass Module Issue</t>
        </is>
      </c>
      <c r="K2540" s="21" t="inlineStr">
        <is>
          <t>Bhavnagar</t>
        </is>
      </c>
      <c r="L2540" s="21" t="inlineStr">
        <is>
          <t>Gujarat</t>
        </is>
      </c>
      <c r="M2540" s="9" t="inlineStr">
        <is>
          <t>PR</t>
        </is>
      </c>
      <c r="N2540" s="3" t="inlineStr">
        <is>
          <t>JB Issue</t>
        </is>
      </c>
      <c r="O2540" s="62" t="n">
        <v>540</v>
      </c>
      <c r="P2540" s="9" t="inlineStr">
        <is>
          <t>NSMP2304035237</t>
        </is>
      </c>
      <c r="Q2540" s="53">
        <f>MID(P2540,5,2)</f>
        <v/>
      </c>
      <c r="R2540" s="53">
        <f>MID(P2540,7,2)</f>
        <v/>
      </c>
      <c r="S2540" s="3" t="inlineStr">
        <is>
          <t>G2B</t>
        </is>
      </c>
      <c r="T2540" s="3" t="inlineStr">
        <is>
          <t>P2</t>
        </is>
      </c>
      <c r="U2540" s="3" t="inlineStr">
        <is>
          <t>P JB Issue</t>
        </is>
      </c>
      <c r="V2540" s="15" t="inlineStr">
        <is>
          <t>JB Changed</t>
        </is>
      </c>
      <c r="W2540" s="3" t="inlineStr">
        <is>
          <t>Repair</t>
        </is>
      </c>
      <c r="X2540" s="18" t="n">
        <v>46172</v>
      </c>
      <c r="Y2540" s="3">
        <f>X2540-A2540</f>
        <v/>
      </c>
      <c r="Z2540" s="18" t="n">
        <v>46172</v>
      </c>
      <c r="AA2540" s="15" t="n"/>
      <c r="AB2540" s="15" t="n"/>
    </row>
    <row r="2541">
      <c r="A2541" s="59" t="n">
        <v>46148</v>
      </c>
      <c r="B2541" s="3" t="n">
        <v>2026</v>
      </c>
      <c r="C2541" s="21" t="inlineStr">
        <is>
          <t>Continuum</t>
        </is>
      </c>
      <c r="D2541" s="3" t="inlineStr">
        <is>
          <t>Utility and C&amp;I</t>
        </is>
      </c>
      <c r="E2541" s="3" t="n"/>
      <c r="F2541" s="3" t="inlineStr">
        <is>
          <t>Closed</t>
        </is>
      </c>
      <c r="G2541" s="21" t="inlineStr">
        <is>
          <t>Amiya Ranjan Behera</t>
        </is>
      </c>
      <c r="H2541" s="21" t="n">
        <v>8917436223</v>
      </c>
      <c r="I2541" s="38" t="inlineStr">
        <is>
          <t>PE06052602</t>
        </is>
      </c>
      <c r="J2541" s="21" t="inlineStr">
        <is>
          <t>Diode Bypass Module Issue</t>
        </is>
      </c>
      <c r="K2541" s="21" t="inlineStr">
        <is>
          <t>Bhavnagar</t>
        </is>
      </c>
      <c r="L2541" s="21" t="inlineStr">
        <is>
          <t>Gujarat</t>
        </is>
      </c>
      <c r="M2541" s="9" t="inlineStr">
        <is>
          <t>PS</t>
        </is>
      </c>
      <c r="N2541" s="3" t="inlineStr">
        <is>
          <t>Cold Soldering</t>
        </is>
      </c>
      <c r="O2541" s="62" t="n">
        <v>540</v>
      </c>
      <c r="P2541" s="9" t="inlineStr">
        <is>
          <t>NSMP2304035251</t>
        </is>
      </c>
      <c r="Q2541" s="53">
        <f>MID(P2541,5,2)</f>
        <v/>
      </c>
      <c r="R2541" s="53">
        <f>MID(P2541,7,2)</f>
        <v/>
      </c>
      <c r="S2541" s="3" t="inlineStr">
        <is>
          <t>G2B</t>
        </is>
      </c>
      <c r="T2541" s="3" t="inlineStr">
        <is>
          <t>P2</t>
        </is>
      </c>
      <c r="U2541" s="3" t="inlineStr">
        <is>
          <t>P JB Cold Soldering</t>
        </is>
      </c>
      <c r="V2541" s="3" t="inlineStr">
        <is>
          <t>Soldering</t>
        </is>
      </c>
      <c r="W2541" s="3" t="inlineStr">
        <is>
          <t>Repair</t>
        </is>
      </c>
      <c r="X2541" s="18" t="n">
        <v>46172</v>
      </c>
      <c r="Y2541" s="3">
        <f>X2541-A2541</f>
        <v/>
      </c>
      <c r="Z2541" s="18" t="n">
        <v>46172</v>
      </c>
      <c r="AA2541" s="15" t="n"/>
      <c r="AB2541" s="15" t="n"/>
    </row>
    <row r="2542">
      <c r="A2542" s="59" t="n">
        <v>46148</v>
      </c>
      <c r="B2542" s="3" t="n">
        <v>2026</v>
      </c>
      <c r="C2542" s="21" t="inlineStr">
        <is>
          <t>Continuum</t>
        </is>
      </c>
      <c r="D2542" s="3" t="inlineStr">
        <is>
          <t>Utility and C&amp;I</t>
        </is>
      </c>
      <c r="E2542" s="3" t="n"/>
      <c r="F2542" s="3" t="inlineStr">
        <is>
          <t>Closed</t>
        </is>
      </c>
      <c r="G2542" s="21" t="inlineStr">
        <is>
          <t>Amiya Ranjan Behera</t>
        </is>
      </c>
      <c r="H2542" s="21" t="n">
        <v>8917436223</v>
      </c>
      <c r="I2542" s="38" t="inlineStr">
        <is>
          <t>PE06052602</t>
        </is>
      </c>
      <c r="J2542" s="21" t="inlineStr">
        <is>
          <t>Diode Bypass Module Issue</t>
        </is>
      </c>
      <c r="K2542" s="21" t="inlineStr">
        <is>
          <t>Bhavnagar</t>
        </is>
      </c>
      <c r="L2542" s="21" t="inlineStr">
        <is>
          <t>Gujarat</t>
        </is>
      </c>
      <c r="M2542" s="9" t="inlineStr">
        <is>
          <t>PS</t>
        </is>
      </c>
      <c r="N2542" s="3" t="inlineStr">
        <is>
          <t>Cold Soldering</t>
        </is>
      </c>
      <c r="O2542" s="62" t="n">
        <v>540</v>
      </c>
      <c r="P2542" s="9" t="inlineStr">
        <is>
          <t>NSMP2304073900</t>
        </is>
      </c>
      <c r="Q2542" s="53">
        <f>MID(P2542,5,2)</f>
        <v/>
      </c>
      <c r="R2542" s="53">
        <f>MID(P2542,7,2)</f>
        <v/>
      </c>
      <c r="S2542" s="3" t="inlineStr">
        <is>
          <t>G2B</t>
        </is>
      </c>
      <c r="T2542" s="3" t="inlineStr">
        <is>
          <t>P2</t>
        </is>
      </c>
      <c r="U2542" s="3" t="inlineStr">
        <is>
          <t>P JB Cold Soldering</t>
        </is>
      </c>
      <c r="V2542" s="3" t="inlineStr">
        <is>
          <t>Soldering</t>
        </is>
      </c>
      <c r="W2542" s="3" t="inlineStr">
        <is>
          <t>Repair</t>
        </is>
      </c>
      <c r="X2542" s="18" t="n">
        <v>46172</v>
      </c>
      <c r="Y2542" s="3">
        <f>X2542-A2542</f>
        <v/>
      </c>
      <c r="Z2542" s="18" t="n">
        <v>46172</v>
      </c>
      <c r="AA2542" s="15" t="n"/>
      <c r="AB2542" s="15" t="n"/>
    </row>
    <row r="2543">
      <c r="A2543" s="59" t="n">
        <v>46148</v>
      </c>
      <c r="B2543" s="3" t="n">
        <v>2026</v>
      </c>
      <c r="C2543" s="21" t="inlineStr">
        <is>
          <t>Continuum</t>
        </is>
      </c>
      <c r="D2543" s="3" t="inlineStr">
        <is>
          <t>Utility and C&amp;I</t>
        </is>
      </c>
      <c r="E2543" s="3" t="n"/>
      <c r="F2543" s="3" t="inlineStr">
        <is>
          <t>Closed</t>
        </is>
      </c>
      <c r="G2543" s="21" t="inlineStr">
        <is>
          <t>Amiya Ranjan Behera</t>
        </is>
      </c>
      <c r="H2543" s="21" t="n">
        <v>8917436223</v>
      </c>
      <c r="I2543" s="38" t="inlineStr">
        <is>
          <t>PE06052602</t>
        </is>
      </c>
      <c r="J2543" s="21" t="inlineStr">
        <is>
          <t>Diode Bypass Module Issue</t>
        </is>
      </c>
      <c r="K2543" s="21" t="inlineStr">
        <is>
          <t>Bhavnagar</t>
        </is>
      </c>
      <c r="L2543" s="21" t="inlineStr">
        <is>
          <t>Gujarat</t>
        </is>
      </c>
      <c r="M2543" s="9" t="inlineStr">
        <is>
          <t>PS</t>
        </is>
      </c>
      <c r="N2543" s="3" t="inlineStr">
        <is>
          <t>Cold Soldering</t>
        </is>
      </c>
      <c r="O2543" s="62" t="n">
        <v>540</v>
      </c>
      <c r="P2543" s="9" t="inlineStr">
        <is>
          <t>NSMP2304044121</t>
        </is>
      </c>
      <c r="Q2543" s="53">
        <f>MID(P2543,5,2)</f>
        <v/>
      </c>
      <c r="R2543" s="53">
        <f>MID(P2543,7,2)</f>
        <v/>
      </c>
      <c r="S2543" s="3" t="inlineStr">
        <is>
          <t>G2B</t>
        </is>
      </c>
      <c r="T2543" s="3" t="inlineStr">
        <is>
          <t>P2</t>
        </is>
      </c>
      <c r="U2543" s="3" t="inlineStr">
        <is>
          <t>P JB Cold Soldering</t>
        </is>
      </c>
      <c r="V2543" s="3" t="inlineStr">
        <is>
          <t>Soldering</t>
        </is>
      </c>
      <c r="W2543" s="3" t="inlineStr">
        <is>
          <t>Repair</t>
        </is>
      </c>
      <c r="X2543" s="18" t="n">
        <v>46172</v>
      </c>
      <c r="Y2543" s="3">
        <f>X2543-A2543</f>
        <v/>
      </c>
      <c r="Z2543" s="18" t="n">
        <v>46172</v>
      </c>
      <c r="AA2543" s="15" t="n"/>
      <c r="AB2543" s="15" t="n"/>
    </row>
    <row r="2544">
      <c r="A2544" s="59" t="n">
        <v>46148</v>
      </c>
      <c r="B2544" s="3" t="n">
        <v>2026</v>
      </c>
      <c r="C2544" s="21" t="inlineStr">
        <is>
          <t>Continuum</t>
        </is>
      </c>
      <c r="D2544" s="3" t="inlineStr">
        <is>
          <t>Utility and C&amp;I</t>
        </is>
      </c>
      <c r="E2544" s="3" t="n"/>
      <c r="F2544" s="3" t="inlineStr">
        <is>
          <t>Closed</t>
        </is>
      </c>
      <c r="G2544" s="21" t="inlineStr">
        <is>
          <t>Amiya Ranjan Behera</t>
        </is>
      </c>
      <c r="H2544" s="21" t="n">
        <v>8917436223</v>
      </c>
      <c r="I2544" s="38" t="inlineStr">
        <is>
          <t>PE06052602</t>
        </is>
      </c>
      <c r="J2544" s="21" t="inlineStr">
        <is>
          <t>Diode Bypass Module Issue</t>
        </is>
      </c>
      <c r="K2544" s="21" t="inlineStr">
        <is>
          <t>Bhavnagar</t>
        </is>
      </c>
      <c r="L2544" s="21" t="inlineStr">
        <is>
          <t>Gujarat</t>
        </is>
      </c>
      <c r="M2544" s="9" t="inlineStr">
        <is>
          <t>PS</t>
        </is>
      </c>
      <c r="N2544" s="3" t="inlineStr">
        <is>
          <t>Cold Soldering</t>
        </is>
      </c>
      <c r="O2544" s="62" t="n">
        <v>540</v>
      </c>
      <c r="P2544" s="9" t="inlineStr">
        <is>
          <t>NSMP2304021855</t>
        </is>
      </c>
      <c r="Q2544" s="53">
        <f>MID(P2544,5,2)</f>
        <v/>
      </c>
      <c r="R2544" s="53">
        <f>MID(P2544,7,2)</f>
        <v/>
      </c>
      <c r="S2544" s="3" t="inlineStr">
        <is>
          <t>G2B</t>
        </is>
      </c>
      <c r="T2544" s="3" t="inlineStr">
        <is>
          <t>P2</t>
        </is>
      </c>
      <c r="U2544" s="3" t="inlineStr">
        <is>
          <t>P JB Cold Soldering</t>
        </is>
      </c>
      <c r="V2544" s="3" t="inlineStr">
        <is>
          <t>Soldering</t>
        </is>
      </c>
      <c r="W2544" s="3" t="inlineStr">
        <is>
          <t>Repair</t>
        </is>
      </c>
      <c r="X2544" s="18" t="n">
        <v>46172</v>
      </c>
      <c r="Y2544" s="3">
        <f>X2544-A2544</f>
        <v/>
      </c>
      <c r="Z2544" s="18" t="n">
        <v>46172</v>
      </c>
      <c r="AA2544" s="15" t="n"/>
      <c r="AB2544" s="15" t="n"/>
    </row>
    <row r="2545">
      <c r="A2545" s="59" t="n">
        <v>46148</v>
      </c>
      <c r="B2545" s="3" t="n">
        <v>2026</v>
      </c>
      <c r="C2545" s="21" t="inlineStr">
        <is>
          <t>Continuum</t>
        </is>
      </c>
      <c r="D2545" s="3" t="inlineStr">
        <is>
          <t>Utility and C&amp;I</t>
        </is>
      </c>
      <c r="E2545" s="3" t="n"/>
      <c r="F2545" s="3" t="inlineStr">
        <is>
          <t>Closed</t>
        </is>
      </c>
      <c r="G2545" s="21" t="inlineStr">
        <is>
          <t>Amiya Ranjan Behera</t>
        </is>
      </c>
      <c r="H2545" s="21" t="n">
        <v>8917436223</v>
      </c>
      <c r="I2545" s="38" t="inlineStr">
        <is>
          <t>PE06052602</t>
        </is>
      </c>
      <c r="J2545" s="21" t="inlineStr">
        <is>
          <t>Diode Bypass Module Issue</t>
        </is>
      </c>
      <c r="K2545" s="21" t="inlineStr">
        <is>
          <t>Bhavnagar</t>
        </is>
      </c>
      <c r="L2545" s="21" t="inlineStr">
        <is>
          <t>Gujarat</t>
        </is>
      </c>
      <c r="M2545" s="9" t="inlineStr">
        <is>
          <t>PS</t>
        </is>
      </c>
      <c r="N2545" s="3" t="inlineStr">
        <is>
          <t>Cold Soldering</t>
        </is>
      </c>
      <c r="O2545" s="62" t="n">
        <v>540</v>
      </c>
      <c r="P2545" s="9" t="inlineStr">
        <is>
          <t>NSMP2304071628</t>
        </is>
      </c>
      <c r="Q2545" s="53">
        <f>MID(P2545,5,2)</f>
        <v/>
      </c>
      <c r="R2545" s="53">
        <f>MID(P2545,7,2)</f>
        <v/>
      </c>
      <c r="S2545" s="3" t="inlineStr">
        <is>
          <t>G2B</t>
        </is>
      </c>
      <c r="T2545" s="3" t="inlineStr">
        <is>
          <t>P2</t>
        </is>
      </c>
      <c r="U2545" s="3" t="inlineStr">
        <is>
          <t>P JB Cold Soldering</t>
        </is>
      </c>
      <c r="V2545" s="3" t="inlineStr">
        <is>
          <t>Soldering</t>
        </is>
      </c>
      <c r="W2545" s="3" t="inlineStr">
        <is>
          <t>Repair</t>
        </is>
      </c>
      <c r="X2545" s="18" t="n">
        <v>46172</v>
      </c>
      <c r="Y2545" s="3">
        <f>X2545-A2545</f>
        <v/>
      </c>
      <c r="Z2545" s="18" t="n">
        <v>46172</v>
      </c>
      <c r="AA2545" s="15" t="n"/>
      <c r="AB2545" s="15" t="n"/>
    </row>
    <row r="2546">
      <c r="A2546" s="59" t="n">
        <v>46148</v>
      </c>
      <c r="B2546" s="3" t="n">
        <v>2026</v>
      </c>
      <c r="C2546" s="21" t="inlineStr">
        <is>
          <t>Continuum</t>
        </is>
      </c>
      <c r="D2546" s="3" t="inlineStr">
        <is>
          <t>Utility and C&amp;I</t>
        </is>
      </c>
      <c r="E2546" s="3" t="n"/>
      <c r="F2546" s="3" t="inlineStr">
        <is>
          <t>Closed</t>
        </is>
      </c>
      <c r="G2546" s="21" t="inlineStr">
        <is>
          <t>Amiya Ranjan Behera</t>
        </is>
      </c>
      <c r="H2546" s="21" t="n">
        <v>8917436223</v>
      </c>
      <c r="I2546" s="38" t="inlineStr">
        <is>
          <t>PE06052602</t>
        </is>
      </c>
      <c r="J2546" s="21" t="inlineStr">
        <is>
          <t>Diode Bypass Module Issue</t>
        </is>
      </c>
      <c r="K2546" s="21" t="inlineStr">
        <is>
          <t>Bhavnagar</t>
        </is>
      </c>
      <c r="L2546" s="21" t="inlineStr">
        <is>
          <t>Gujarat</t>
        </is>
      </c>
      <c r="M2546" s="9" t="inlineStr">
        <is>
          <t>PS</t>
        </is>
      </c>
      <c r="N2546" s="3" t="inlineStr">
        <is>
          <t>Cold Soldering</t>
        </is>
      </c>
      <c r="O2546" s="62" t="n">
        <v>540</v>
      </c>
      <c r="P2546" s="9" t="inlineStr">
        <is>
          <t>NSMP2304071809</t>
        </is>
      </c>
      <c r="Q2546" s="53">
        <f>MID(P2546,5,2)</f>
        <v/>
      </c>
      <c r="R2546" s="53">
        <f>MID(P2546,7,2)</f>
        <v/>
      </c>
      <c r="S2546" s="3" t="inlineStr">
        <is>
          <t>G2B</t>
        </is>
      </c>
      <c r="T2546" s="3" t="inlineStr">
        <is>
          <t>P2</t>
        </is>
      </c>
      <c r="U2546" s="3" t="inlineStr">
        <is>
          <t>P JB Cold Soldering</t>
        </is>
      </c>
      <c r="V2546" s="3" t="inlineStr">
        <is>
          <t>Soldering</t>
        </is>
      </c>
      <c r="W2546" s="3" t="inlineStr">
        <is>
          <t>Repair</t>
        </is>
      </c>
      <c r="X2546" s="18" t="n">
        <v>46172</v>
      </c>
      <c r="Y2546" s="3">
        <f>X2546-A2546</f>
        <v/>
      </c>
      <c r="Z2546" s="18" t="n">
        <v>46172</v>
      </c>
      <c r="AA2546" s="15" t="n"/>
      <c r="AB2546" s="15" t="n"/>
    </row>
    <row r="2547">
      <c r="A2547" s="59" t="n">
        <v>46148</v>
      </c>
      <c r="B2547" s="3" t="n">
        <v>2026</v>
      </c>
      <c r="C2547" s="21" t="inlineStr">
        <is>
          <t>Continuum</t>
        </is>
      </c>
      <c r="D2547" s="3" t="inlineStr">
        <is>
          <t>Utility and C&amp;I</t>
        </is>
      </c>
      <c r="E2547" s="3" t="n"/>
      <c r="F2547" s="3" t="inlineStr">
        <is>
          <t>Closed</t>
        </is>
      </c>
      <c r="G2547" s="21" t="inlineStr">
        <is>
          <t>Amiya Ranjan Behera</t>
        </is>
      </c>
      <c r="H2547" s="21" t="n">
        <v>8917436223</v>
      </c>
      <c r="I2547" s="38" t="inlineStr">
        <is>
          <t>PE06052602</t>
        </is>
      </c>
      <c r="J2547" s="21" t="inlineStr">
        <is>
          <t>Diode Bypass Module Issue</t>
        </is>
      </c>
      <c r="K2547" s="21" t="inlineStr">
        <is>
          <t>Bhavnagar</t>
        </is>
      </c>
      <c r="L2547" s="21" t="inlineStr">
        <is>
          <t>Gujarat</t>
        </is>
      </c>
      <c r="M2547" s="9" t="inlineStr">
        <is>
          <t>PS</t>
        </is>
      </c>
      <c r="N2547" s="3" t="inlineStr">
        <is>
          <t>Cold Soldering</t>
        </is>
      </c>
      <c r="O2547" s="62" t="n">
        <v>540</v>
      </c>
      <c r="P2547" s="9" t="inlineStr">
        <is>
          <t>NSMP2304071753</t>
        </is>
      </c>
      <c r="Q2547" s="53">
        <f>MID(P2547,5,2)</f>
        <v/>
      </c>
      <c r="R2547" s="53">
        <f>MID(P2547,7,2)</f>
        <v/>
      </c>
      <c r="S2547" s="3" t="inlineStr">
        <is>
          <t>G2B</t>
        </is>
      </c>
      <c r="T2547" s="3" t="inlineStr">
        <is>
          <t>P2</t>
        </is>
      </c>
      <c r="U2547" s="3" t="inlineStr">
        <is>
          <t>P JB Cold Soldering</t>
        </is>
      </c>
      <c r="V2547" s="3" t="inlineStr">
        <is>
          <t>Soldering</t>
        </is>
      </c>
      <c r="W2547" s="3" t="inlineStr">
        <is>
          <t>Repair</t>
        </is>
      </c>
      <c r="X2547" s="18" t="n">
        <v>46172</v>
      </c>
      <c r="Y2547" s="3">
        <f>X2547-A2547</f>
        <v/>
      </c>
      <c r="Z2547" s="18" t="n">
        <v>46172</v>
      </c>
      <c r="AA2547" s="15" t="n"/>
      <c r="AB2547" s="15" t="n"/>
    </row>
    <row r="2548">
      <c r="A2548" s="59" t="n">
        <v>46148</v>
      </c>
      <c r="B2548" s="3" t="n">
        <v>2026</v>
      </c>
      <c r="C2548" s="21" t="inlineStr">
        <is>
          <t>Continuum</t>
        </is>
      </c>
      <c r="D2548" s="3" t="inlineStr">
        <is>
          <t>Utility and C&amp;I</t>
        </is>
      </c>
      <c r="E2548" s="3" t="n"/>
      <c r="F2548" s="3" t="inlineStr">
        <is>
          <t>Closed</t>
        </is>
      </c>
      <c r="G2548" s="21" t="inlineStr">
        <is>
          <t>Amiya Ranjan Behera</t>
        </is>
      </c>
      <c r="H2548" s="21" t="n">
        <v>8917436223</v>
      </c>
      <c r="I2548" s="38" t="inlineStr">
        <is>
          <t>PE06052602</t>
        </is>
      </c>
      <c r="J2548" s="21" t="inlineStr">
        <is>
          <t>Diode Bypass Module Issue</t>
        </is>
      </c>
      <c r="K2548" s="21" t="inlineStr">
        <is>
          <t>Bhavnagar</t>
        </is>
      </c>
      <c r="L2548" s="21" t="inlineStr">
        <is>
          <t>Gujarat</t>
        </is>
      </c>
      <c r="M2548" s="9" t="inlineStr">
        <is>
          <t>NR</t>
        </is>
      </c>
      <c r="N2548" s="26" t="inlineStr">
        <is>
          <t>JB Issue</t>
        </is>
      </c>
      <c r="O2548" s="60" t="n">
        <v>540</v>
      </c>
      <c r="P2548" s="95" t="inlineStr">
        <is>
          <t>NSMP2304010958</t>
        </is>
      </c>
      <c r="Q2548" s="53">
        <f>MID(P2548,5,2)</f>
        <v/>
      </c>
      <c r="R2548" s="53">
        <f>MID(P2548,7,2)</f>
        <v/>
      </c>
      <c r="S2548" s="3" t="inlineStr">
        <is>
          <t>G2B</t>
        </is>
      </c>
      <c r="T2548" s="3" t="inlineStr">
        <is>
          <t>P2</t>
        </is>
      </c>
      <c r="U2548" s="19" t="inlineStr">
        <is>
          <t>N JB Issue</t>
        </is>
      </c>
      <c r="V2548" s="19" t="inlineStr">
        <is>
          <t>JB Changed</t>
        </is>
      </c>
      <c r="W2548" s="3" t="inlineStr">
        <is>
          <t>Repair</t>
        </is>
      </c>
      <c r="X2548" s="18" t="n">
        <v>46172</v>
      </c>
      <c r="Y2548" s="3">
        <f>X2548-A2548</f>
        <v/>
      </c>
      <c r="Z2548" s="18" t="n">
        <v>46172</v>
      </c>
      <c r="AA2548" s="15" t="n"/>
      <c r="AB2548" s="15" t="n"/>
    </row>
    <row r="2549">
      <c r="A2549" s="59" t="n">
        <v>46167</v>
      </c>
      <c r="B2549" s="3" t="n">
        <v>2026</v>
      </c>
      <c r="C2549" s="19" t="inlineStr">
        <is>
          <t>Maya Power</t>
        </is>
      </c>
      <c r="D2549" s="21" t="inlineStr">
        <is>
          <t>Channel Sales</t>
        </is>
      </c>
      <c r="E2549" s="3" t="n"/>
      <c r="F2549" s="3" t="inlineStr">
        <is>
          <t>Closed</t>
        </is>
      </c>
      <c r="G2549" s="97" t="inlineStr">
        <is>
          <t>Saurabh Dalal</t>
        </is>
      </c>
      <c r="H2549" s="98" t="n">
        <v>9823688050</v>
      </c>
      <c r="I2549" s="22" t="inlineStr">
        <is>
          <t>PE25052602</t>
        </is>
      </c>
      <c r="J2549" s="21" t="inlineStr">
        <is>
          <t>Low generation</t>
        </is>
      </c>
      <c r="K2549" s="21" t="inlineStr">
        <is>
          <t>Nagpur</t>
        </is>
      </c>
      <c r="L2549" s="60" t="inlineStr">
        <is>
          <t>Maharashtra</t>
        </is>
      </c>
      <c r="M2549" s="99" t="inlineStr">
        <is>
          <t>PMR</t>
        </is>
      </c>
      <c r="N2549" s="26" t="inlineStr">
        <is>
          <t>JB Issue</t>
        </is>
      </c>
      <c r="O2549" s="62" t="n">
        <v>540</v>
      </c>
      <c r="P2549" s="9" t="inlineStr">
        <is>
          <t>NSMP25032752084</t>
        </is>
      </c>
      <c r="Q2549" s="54">
        <f>MID(P2549,5,2)</f>
        <v/>
      </c>
      <c r="R2549" s="53">
        <f>MID(P2549,7,2)</f>
        <v/>
      </c>
      <c r="S2549" s="3" t="inlineStr">
        <is>
          <t>G2TB</t>
        </is>
      </c>
      <c r="T2549" s="3" t="inlineStr">
        <is>
          <t>P2</t>
        </is>
      </c>
      <c r="U2549" s="19" t="inlineStr">
        <is>
          <t>P &amp; M JB Issue</t>
        </is>
      </c>
      <c r="V2549" s="19" t="inlineStr">
        <is>
          <t>JB Changed</t>
        </is>
      </c>
      <c r="W2549" s="3" t="inlineStr">
        <is>
          <t>Repair</t>
        </is>
      </c>
      <c r="X2549" s="18" t="n">
        <v>46172</v>
      </c>
      <c r="Y2549" s="3">
        <f>X2549-A2549</f>
        <v/>
      </c>
      <c r="Z2549" s="18" t="n">
        <v>46172</v>
      </c>
      <c r="AA2549" s="15" t="n"/>
      <c r="AB2549" s="15" t="n"/>
    </row>
    <row r="2550">
      <c r="A2550" s="59" t="n">
        <v>46167</v>
      </c>
      <c r="B2550" s="3" t="n">
        <v>2026</v>
      </c>
      <c r="C2550" s="19" t="inlineStr">
        <is>
          <t>Maya Power</t>
        </is>
      </c>
      <c r="D2550" s="21" t="inlineStr">
        <is>
          <t>Channel Sales</t>
        </is>
      </c>
      <c r="E2550" s="3" t="n"/>
      <c r="F2550" s="3" t="inlineStr">
        <is>
          <t>Closed</t>
        </is>
      </c>
      <c r="G2550" s="97" t="inlineStr">
        <is>
          <t>Saurabh Dalal</t>
        </is>
      </c>
      <c r="H2550" s="98" t="n">
        <v>9823688050</v>
      </c>
      <c r="I2550" s="22" t="inlineStr">
        <is>
          <t>PE25052602</t>
        </is>
      </c>
      <c r="J2550" s="21" t="inlineStr">
        <is>
          <t>Low generation</t>
        </is>
      </c>
      <c r="K2550" s="21" t="inlineStr">
        <is>
          <t>Nagpur</t>
        </is>
      </c>
      <c r="L2550" s="60" t="inlineStr">
        <is>
          <t>Maharashtra</t>
        </is>
      </c>
      <c r="M2550" s="100" t="inlineStr">
        <is>
          <t>AR</t>
        </is>
      </c>
      <c r="N2550" s="26" t="inlineStr">
        <is>
          <t>JB Issue</t>
        </is>
      </c>
      <c r="O2550" s="62" t="n">
        <v>540</v>
      </c>
      <c r="P2550" s="9" t="inlineStr">
        <is>
          <t>NSMP25032752088</t>
        </is>
      </c>
      <c r="Q2550" s="54">
        <f>MID(P2550,5,2)</f>
        <v/>
      </c>
      <c r="R2550" s="53">
        <f>MID(P2550,7,2)</f>
        <v/>
      </c>
      <c r="S2550" s="3" t="inlineStr">
        <is>
          <t>G2TB</t>
        </is>
      </c>
      <c r="T2550" s="3" t="inlineStr">
        <is>
          <t>P2</t>
        </is>
      </c>
      <c r="U2550" s="19" t="inlineStr">
        <is>
          <t>All JB Issue</t>
        </is>
      </c>
      <c r="V2550" s="19" t="inlineStr">
        <is>
          <t>JB Changed</t>
        </is>
      </c>
      <c r="W2550" s="3" t="inlineStr">
        <is>
          <t>Repair</t>
        </is>
      </c>
      <c r="X2550" s="18" t="n">
        <v>46172</v>
      </c>
      <c r="Y2550" s="3">
        <f>X2550-A2550</f>
        <v/>
      </c>
      <c r="Z2550" s="18" t="n">
        <v>46172</v>
      </c>
      <c r="AA2550" s="15" t="n"/>
      <c r="AB2550" s="15" t="n"/>
    </row>
    <row r="2551">
      <c r="A2551" s="59" t="n">
        <v>46167</v>
      </c>
      <c r="B2551" s="3" t="n">
        <v>2026</v>
      </c>
      <c r="C2551" s="19" t="inlineStr">
        <is>
          <t>Maya Power</t>
        </is>
      </c>
      <c r="D2551" s="21" t="inlineStr">
        <is>
          <t>Channel Sales</t>
        </is>
      </c>
      <c r="E2551" s="3" t="n"/>
      <c r="F2551" s="3" t="inlineStr">
        <is>
          <t>Closed</t>
        </is>
      </c>
      <c r="G2551" s="97" t="inlineStr">
        <is>
          <t>Saurabh Dalal</t>
        </is>
      </c>
      <c r="H2551" s="98" t="n">
        <v>9823688050</v>
      </c>
      <c r="I2551" s="22" t="inlineStr">
        <is>
          <t>PE25052602</t>
        </is>
      </c>
      <c r="J2551" s="21" t="inlineStr">
        <is>
          <t>Low generation</t>
        </is>
      </c>
      <c r="K2551" s="21" t="inlineStr">
        <is>
          <t>Nagpur</t>
        </is>
      </c>
      <c r="L2551" s="60" t="inlineStr">
        <is>
          <t>Maharashtra</t>
        </is>
      </c>
      <c r="M2551" s="100" t="inlineStr">
        <is>
          <t>AR</t>
        </is>
      </c>
      <c r="N2551" s="26" t="inlineStr">
        <is>
          <t>JB Issue</t>
        </is>
      </c>
      <c r="O2551" s="62" t="n">
        <v>540</v>
      </c>
      <c r="P2551" s="9" t="inlineStr">
        <is>
          <t>NSMP25032752086</t>
        </is>
      </c>
      <c r="Q2551" s="54">
        <f>MID(P2551,5,2)</f>
        <v/>
      </c>
      <c r="R2551" s="53">
        <f>MID(P2551,7,2)</f>
        <v/>
      </c>
      <c r="S2551" s="3" t="inlineStr">
        <is>
          <t>G2TB</t>
        </is>
      </c>
      <c r="T2551" s="3" t="inlineStr">
        <is>
          <t>P2</t>
        </is>
      </c>
      <c r="U2551" s="19" t="inlineStr">
        <is>
          <t>All JB Issue</t>
        </is>
      </c>
      <c r="V2551" s="19" t="inlineStr">
        <is>
          <t>JB Changed</t>
        </is>
      </c>
      <c r="W2551" s="3" t="inlineStr">
        <is>
          <t>Repair</t>
        </is>
      </c>
      <c r="X2551" s="18" t="n">
        <v>46172</v>
      </c>
      <c r="Y2551" s="3">
        <f>X2551-A2551</f>
        <v/>
      </c>
      <c r="Z2551" s="18" t="n">
        <v>46172</v>
      </c>
      <c r="AA2551" s="15" t="n"/>
      <c r="AB2551" s="15" t="n"/>
    </row>
    <row r="2552">
      <c r="A2552" s="59" t="n">
        <v>46167</v>
      </c>
      <c r="B2552" s="3" t="n">
        <v>2026</v>
      </c>
      <c r="C2552" s="19" t="inlineStr">
        <is>
          <t>Maya Power</t>
        </is>
      </c>
      <c r="D2552" s="21" t="inlineStr">
        <is>
          <t>Channel Sales</t>
        </is>
      </c>
      <c r="E2552" s="3" t="n"/>
      <c r="F2552" s="3" t="inlineStr">
        <is>
          <t>Closed</t>
        </is>
      </c>
      <c r="G2552" s="97" t="inlineStr">
        <is>
          <t>Saurabh Dalal</t>
        </is>
      </c>
      <c r="H2552" s="98" t="n">
        <v>9823688050</v>
      </c>
      <c r="I2552" s="22" t="inlineStr">
        <is>
          <t>PE25052602</t>
        </is>
      </c>
      <c r="J2552" s="21" t="inlineStr">
        <is>
          <t>Low generation</t>
        </is>
      </c>
      <c r="K2552" s="21" t="inlineStr">
        <is>
          <t>Nagpur</t>
        </is>
      </c>
      <c r="L2552" s="60" t="inlineStr">
        <is>
          <t>Maharashtra</t>
        </is>
      </c>
      <c r="M2552" s="100" t="inlineStr">
        <is>
          <t>PNR</t>
        </is>
      </c>
      <c r="N2552" s="26" t="inlineStr">
        <is>
          <t>JB Issue</t>
        </is>
      </c>
      <c r="O2552" s="62" t="n">
        <v>540</v>
      </c>
      <c r="P2552" s="9" t="inlineStr">
        <is>
          <t>NSMP25032740363</t>
        </is>
      </c>
      <c r="Q2552" s="54">
        <f>MID(P2552,5,2)</f>
        <v/>
      </c>
      <c r="R2552" s="53">
        <f>MID(P2552,7,2)</f>
        <v/>
      </c>
      <c r="S2552" s="3" t="inlineStr">
        <is>
          <t>G2TB</t>
        </is>
      </c>
      <c r="T2552" s="3" t="inlineStr">
        <is>
          <t>P2</t>
        </is>
      </c>
      <c r="U2552" s="19" t="inlineStr">
        <is>
          <t>P &amp; N JB Issue</t>
        </is>
      </c>
      <c r="V2552" s="19" t="inlineStr">
        <is>
          <t>JB Changed</t>
        </is>
      </c>
      <c r="W2552" s="3" t="inlineStr">
        <is>
          <t>Repair</t>
        </is>
      </c>
      <c r="X2552" s="18" t="n">
        <v>46172</v>
      </c>
      <c r="Y2552" s="3">
        <f>X2552-A2552</f>
        <v/>
      </c>
      <c r="Z2552" s="18" t="n">
        <v>46172</v>
      </c>
      <c r="AA2552" s="15" t="n"/>
      <c r="AB2552" s="15" t="n"/>
    </row>
    <row r="2553">
      <c r="A2553" s="59" t="n">
        <v>46167</v>
      </c>
      <c r="B2553" s="3" t="n">
        <v>2026</v>
      </c>
      <c r="C2553" s="19" t="inlineStr">
        <is>
          <t>Maya Power</t>
        </is>
      </c>
      <c r="D2553" s="21" t="inlineStr">
        <is>
          <t>Channel Sales</t>
        </is>
      </c>
      <c r="E2553" s="3" t="n"/>
      <c r="F2553" s="3" t="inlineStr">
        <is>
          <t>Closed</t>
        </is>
      </c>
      <c r="G2553" s="97" t="inlineStr">
        <is>
          <t>Saurabh Dalal</t>
        </is>
      </c>
      <c r="H2553" s="98" t="n">
        <v>9823688050</v>
      </c>
      <c r="I2553" s="22" t="inlineStr">
        <is>
          <t>PE25052602</t>
        </is>
      </c>
      <c r="J2553" s="21" t="inlineStr">
        <is>
          <t>Low generation</t>
        </is>
      </c>
      <c r="K2553" s="21" t="inlineStr">
        <is>
          <t>Nagpur</t>
        </is>
      </c>
      <c r="L2553" s="60" t="inlineStr">
        <is>
          <t>Maharashtra</t>
        </is>
      </c>
      <c r="M2553" s="100" t="inlineStr">
        <is>
          <t>PNR</t>
        </is>
      </c>
      <c r="N2553" s="26" t="inlineStr">
        <is>
          <t>JB Issue</t>
        </is>
      </c>
      <c r="O2553" s="62" t="n">
        <v>540</v>
      </c>
      <c r="P2553" s="9" t="inlineStr">
        <is>
          <t>NSMP25032740364</t>
        </is>
      </c>
      <c r="Q2553" s="54">
        <f>MID(P2553,5,2)</f>
        <v/>
      </c>
      <c r="R2553" s="53">
        <f>MID(P2553,7,2)</f>
        <v/>
      </c>
      <c r="S2553" s="3" t="inlineStr">
        <is>
          <t>G2TB</t>
        </is>
      </c>
      <c r="T2553" s="3" t="inlineStr">
        <is>
          <t>P2</t>
        </is>
      </c>
      <c r="U2553" s="19" t="inlineStr">
        <is>
          <t>P &amp; N JB Issue</t>
        </is>
      </c>
      <c r="V2553" s="19" t="inlineStr">
        <is>
          <t>JB Changed</t>
        </is>
      </c>
      <c r="W2553" s="3" t="inlineStr">
        <is>
          <t>Repair</t>
        </is>
      </c>
      <c r="X2553" s="18" t="n">
        <v>46172</v>
      </c>
      <c r="Y2553" s="3">
        <f>X2553-A2553</f>
        <v/>
      </c>
      <c r="Z2553" s="18" t="n">
        <v>46172</v>
      </c>
      <c r="AA2553" s="15" t="n"/>
      <c r="AB2553" s="15" t="n"/>
    </row>
    <row r="2554">
      <c r="A2554" s="59" t="n">
        <v>46167</v>
      </c>
      <c r="B2554" s="3" t="n">
        <v>2026</v>
      </c>
      <c r="C2554" s="19" t="inlineStr">
        <is>
          <t>Maya Power</t>
        </is>
      </c>
      <c r="D2554" s="21" t="inlineStr">
        <is>
          <t>Channel Sales</t>
        </is>
      </c>
      <c r="E2554" s="3" t="n"/>
      <c r="F2554" s="3" t="inlineStr">
        <is>
          <t>Closed</t>
        </is>
      </c>
      <c r="G2554" s="97" t="inlineStr">
        <is>
          <t>Saurabh Dalal</t>
        </is>
      </c>
      <c r="H2554" s="98" t="n">
        <v>9823688050</v>
      </c>
      <c r="I2554" s="22" t="inlineStr">
        <is>
          <t>PE25052602</t>
        </is>
      </c>
      <c r="J2554" s="21" t="inlineStr">
        <is>
          <t>Low generation</t>
        </is>
      </c>
      <c r="K2554" s="21" t="inlineStr">
        <is>
          <t>Nagpur</t>
        </is>
      </c>
      <c r="L2554" s="60" t="inlineStr">
        <is>
          <t>Maharashtra</t>
        </is>
      </c>
      <c r="M2554" s="101" t="inlineStr">
        <is>
          <t>OK</t>
        </is>
      </c>
      <c r="N2554" s="26" t="inlineStr">
        <is>
          <t>No Issue</t>
        </is>
      </c>
      <c r="O2554" s="62" t="n">
        <v>540</v>
      </c>
      <c r="P2554" s="9" t="inlineStr">
        <is>
          <t>NSMP25032752089</t>
        </is>
      </c>
      <c r="Q2554" s="54">
        <f>MID(P2554,5,2)</f>
        <v/>
      </c>
      <c r="R2554" s="53">
        <f>MID(P2554,7,2)</f>
        <v/>
      </c>
      <c r="S2554" s="3" t="inlineStr">
        <is>
          <t>G2TB</t>
        </is>
      </c>
      <c r="T2554" s="3" t="inlineStr">
        <is>
          <t>P2</t>
        </is>
      </c>
      <c r="U2554" s="19" t="inlineStr">
        <is>
          <t>No Issue Found</t>
        </is>
      </c>
      <c r="V2554" s="19" t="inlineStr">
        <is>
          <t>Found OK</t>
        </is>
      </c>
      <c r="W2554" s="3" t="inlineStr">
        <is>
          <t>Repair</t>
        </is>
      </c>
      <c r="X2554" s="18" t="n">
        <v>46172</v>
      </c>
      <c r="Y2554" s="3">
        <f>X2554-A2554</f>
        <v/>
      </c>
      <c r="Z2554" s="18" t="n">
        <v>46172</v>
      </c>
      <c r="AA2554" s="15" t="n"/>
      <c r="AB2554" s="15" t="n"/>
    </row>
    <row r="2555">
      <c r="A2555" s="37" t="n">
        <v>46143</v>
      </c>
      <c r="B2555" s="3" t="n">
        <v>2026</v>
      </c>
      <c r="C2555" s="26" t="inlineStr">
        <is>
          <t>Yanara Power</t>
        </is>
      </c>
      <c r="D2555" s="3" t="inlineStr">
        <is>
          <t>Utility and C&amp;I</t>
        </is>
      </c>
      <c r="E2555" s="3" t="n"/>
      <c r="F2555" s="3" t="inlineStr">
        <is>
          <t>Closed</t>
        </is>
      </c>
      <c r="G2555" s="9" t="inlineStr">
        <is>
          <t xml:space="preserve">Ashish Jindal </t>
        </is>
      </c>
      <c r="H2555" s="26" t="n">
        <v>9983975581</v>
      </c>
      <c r="I2555" s="38" t="inlineStr">
        <is>
          <t>PE01052601</t>
        </is>
      </c>
      <c r="J2555" s="26" t="inlineStr">
        <is>
          <t>Multiple Issues</t>
        </is>
      </c>
      <c r="K2555" s="39" t="inlineStr">
        <is>
          <t>Holi</t>
        </is>
      </c>
      <c r="L2555" s="39" t="inlineStr">
        <is>
          <t>Maharashtra</t>
        </is>
      </c>
      <c r="M2555" s="9" t="inlineStr">
        <is>
          <t>PS</t>
        </is>
      </c>
      <c r="N2555" s="3" t="inlineStr">
        <is>
          <t>Cold Soldering</t>
        </is>
      </c>
      <c r="O2555" s="56" t="n">
        <v>575</v>
      </c>
      <c r="P2555" s="46" t="inlineStr">
        <is>
          <t>NSMI24070191029</t>
        </is>
      </c>
      <c r="Q2555" s="54">
        <f>MID(P2555,5,2)</f>
        <v/>
      </c>
      <c r="R2555" s="53">
        <f>MID(P2555,7,2)</f>
        <v/>
      </c>
      <c r="S2555" s="3" t="inlineStr">
        <is>
          <t>G2G</t>
        </is>
      </c>
      <c r="T2555" s="3" t="inlineStr">
        <is>
          <t>P4</t>
        </is>
      </c>
      <c r="U2555" s="19" t="inlineStr">
        <is>
          <t>P JB Cold Soldering</t>
        </is>
      </c>
      <c r="V2555" s="19" t="inlineStr">
        <is>
          <t>Soldering</t>
        </is>
      </c>
      <c r="W2555" s="3" t="inlineStr">
        <is>
          <t>Repair</t>
        </is>
      </c>
      <c r="X2555" s="18" t="n">
        <v>46172</v>
      </c>
      <c r="Y2555" s="3">
        <f>X2555-A2555</f>
        <v/>
      </c>
      <c r="Z2555" s="18" t="n">
        <v>46172</v>
      </c>
      <c r="AA2555" s="15" t="n"/>
      <c r="AB2555" s="15" t="n"/>
    </row>
    <row r="2556">
      <c r="A2556" s="37" t="n">
        <v>46143</v>
      </c>
      <c r="B2556" s="3" t="n">
        <v>2026</v>
      </c>
      <c r="C2556" s="26" t="inlineStr">
        <is>
          <t>Yanara Power</t>
        </is>
      </c>
      <c r="D2556" s="3" t="inlineStr">
        <is>
          <t>Utility and C&amp;I</t>
        </is>
      </c>
      <c r="E2556" s="3" t="n"/>
      <c r="F2556" s="3" t="inlineStr">
        <is>
          <t>Closed</t>
        </is>
      </c>
      <c r="G2556" s="9" t="inlineStr">
        <is>
          <t xml:space="preserve">Ashish Jindal </t>
        </is>
      </c>
      <c r="H2556" s="26" t="n">
        <v>9983975581</v>
      </c>
      <c r="I2556" s="38" t="inlineStr">
        <is>
          <t>PE01052601</t>
        </is>
      </c>
      <c r="J2556" s="26" t="inlineStr">
        <is>
          <t>Multiple Issues</t>
        </is>
      </c>
      <c r="K2556" s="39" t="inlineStr">
        <is>
          <t>Holi</t>
        </is>
      </c>
      <c r="L2556" s="39" t="inlineStr">
        <is>
          <t>Maharashtra</t>
        </is>
      </c>
      <c r="M2556" s="9" t="inlineStr">
        <is>
          <t>PS</t>
        </is>
      </c>
      <c r="N2556" s="3" t="inlineStr">
        <is>
          <t>Cold Soldering</t>
        </is>
      </c>
      <c r="O2556" s="56" t="n">
        <v>575</v>
      </c>
      <c r="P2556" s="46" t="inlineStr">
        <is>
          <t>NSMI24070191023</t>
        </is>
      </c>
      <c r="Q2556" s="54">
        <f>MID(P2556,5,2)</f>
        <v/>
      </c>
      <c r="R2556" s="53">
        <f>MID(P2556,7,2)</f>
        <v/>
      </c>
      <c r="S2556" s="3" t="inlineStr">
        <is>
          <t>G2G</t>
        </is>
      </c>
      <c r="T2556" s="3" t="inlineStr">
        <is>
          <t>P4</t>
        </is>
      </c>
      <c r="U2556" s="19" t="inlineStr">
        <is>
          <t>P JB Cold Soldering</t>
        </is>
      </c>
      <c r="V2556" s="19" t="inlineStr">
        <is>
          <t>Soldering</t>
        </is>
      </c>
      <c r="W2556" s="3" t="inlineStr">
        <is>
          <t>Repair</t>
        </is>
      </c>
      <c r="X2556" s="18" t="n">
        <v>46172</v>
      </c>
      <c r="Y2556" s="3">
        <f>X2556-A2556</f>
        <v/>
      </c>
      <c r="Z2556" s="18" t="n">
        <v>46172</v>
      </c>
      <c r="AA2556" s="15" t="n"/>
      <c r="AB2556" s="15" t="n"/>
    </row>
    <row r="2557">
      <c r="A2557" s="37" t="n">
        <v>46143</v>
      </c>
      <c r="B2557" s="3" t="n">
        <v>2026</v>
      </c>
      <c r="C2557" s="26" t="inlineStr">
        <is>
          <t>Yanara Power</t>
        </is>
      </c>
      <c r="D2557" s="3" t="inlineStr">
        <is>
          <t>Utility and C&amp;I</t>
        </is>
      </c>
      <c r="E2557" s="3" t="n"/>
      <c r="F2557" s="3" t="inlineStr">
        <is>
          <t>Closed</t>
        </is>
      </c>
      <c r="G2557" s="9" t="inlineStr">
        <is>
          <t xml:space="preserve">Ashish Jindal </t>
        </is>
      </c>
      <c r="H2557" s="26" t="n">
        <v>9983975581</v>
      </c>
      <c r="I2557" s="38" t="inlineStr">
        <is>
          <t>PE01052601</t>
        </is>
      </c>
      <c r="J2557" s="26" t="inlineStr">
        <is>
          <t>Multiple Issues</t>
        </is>
      </c>
      <c r="K2557" s="39" t="inlineStr">
        <is>
          <t>Holi</t>
        </is>
      </c>
      <c r="L2557" s="39" t="inlineStr">
        <is>
          <t>Maharashtra</t>
        </is>
      </c>
      <c r="M2557" s="9" t="inlineStr">
        <is>
          <t>PS</t>
        </is>
      </c>
      <c r="N2557" s="3" t="inlineStr">
        <is>
          <t>Cold Soldering</t>
        </is>
      </c>
      <c r="O2557" s="56" t="n">
        <v>575</v>
      </c>
      <c r="P2557" s="46" t="inlineStr">
        <is>
          <t>NSMI24070191006</t>
        </is>
      </c>
      <c r="Q2557" s="54">
        <f>MID(P2557,5,2)</f>
        <v/>
      </c>
      <c r="R2557" s="53">
        <f>MID(P2557,7,2)</f>
        <v/>
      </c>
      <c r="S2557" s="3" t="inlineStr">
        <is>
          <t>G2G</t>
        </is>
      </c>
      <c r="T2557" s="3" t="inlineStr">
        <is>
          <t>P4</t>
        </is>
      </c>
      <c r="U2557" s="19" t="inlineStr">
        <is>
          <t>P JB Cold Soldering</t>
        </is>
      </c>
      <c r="V2557" s="19" t="inlineStr">
        <is>
          <t>Soldering</t>
        </is>
      </c>
      <c r="W2557" s="3" t="inlineStr">
        <is>
          <t>Repair</t>
        </is>
      </c>
      <c r="X2557" s="18" t="n">
        <v>46172</v>
      </c>
      <c r="Y2557" s="3">
        <f>X2557-A2557</f>
        <v/>
      </c>
      <c r="Z2557" s="18" t="n">
        <v>46172</v>
      </c>
      <c r="AA2557" s="15" t="n"/>
      <c r="AB2557" s="15" t="n"/>
    </row>
    <row r="2558">
      <c r="A2558" s="37" t="n">
        <v>46143</v>
      </c>
      <c r="B2558" s="3" t="n">
        <v>2026</v>
      </c>
      <c r="C2558" s="26" t="inlineStr">
        <is>
          <t>Yanara Power</t>
        </is>
      </c>
      <c r="D2558" s="3" t="inlineStr">
        <is>
          <t>Utility and C&amp;I</t>
        </is>
      </c>
      <c r="E2558" s="3" t="n"/>
      <c r="F2558" s="3" t="inlineStr">
        <is>
          <t>Closed</t>
        </is>
      </c>
      <c r="G2558" s="9" t="inlineStr">
        <is>
          <t xml:space="preserve">Ashish Jindal </t>
        </is>
      </c>
      <c r="H2558" s="26" t="n">
        <v>9983975581</v>
      </c>
      <c r="I2558" s="38" t="inlineStr">
        <is>
          <t>PE01052601</t>
        </is>
      </c>
      <c r="J2558" s="26" t="inlineStr">
        <is>
          <t>Multiple Issues</t>
        </is>
      </c>
      <c r="K2558" s="39" t="inlineStr">
        <is>
          <t>Holi</t>
        </is>
      </c>
      <c r="L2558" s="39" t="inlineStr">
        <is>
          <t>Maharashtra</t>
        </is>
      </c>
      <c r="M2558" s="9" t="inlineStr">
        <is>
          <t>PS</t>
        </is>
      </c>
      <c r="N2558" s="3" t="inlineStr">
        <is>
          <t>Cold Soldering</t>
        </is>
      </c>
      <c r="O2558" s="56" t="n">
        <v>575</v>
      </c>
      <c r="P2558" s="46" t="inlineStr">
        <is>
          <t>NSMI24070191032</t>
        </is>
      </c>
      <c r="Q2558" s="54">
        <f>MID(P2558,5,2)</f>
        <v/>
      </c>
      <c r="R2558" s="53">
        <f>MID(P2558,7,2)</f>
        <v/>
      </c>
      <c r="S2558" s="3" t="inlineStr">
        <is>
          <t>G2G</t>
        </is>
      </c>
      <c r="T2558" s="3" t="inlineStr">
        <is>
          <t>P4</t>
        </is>
      </c>
      <c r="U2558" s="19" t="inlineStr">
        <is>
          <t>P JB Cold Soldering</t>
        </is>
      </c>
      <c r="V2558" s="19" t="inlineStr">
        <is>
          <t>Soldering</t>
        </is>
      </c>
      <c r="W2558" s="3" t="inlineStr">
        <is>
          <t>Repair</t>
        </is>
      </c>
      <c r="X2558" s="18" t="n">
        <v>46172</v>
      </c>
      <c r="Y2558" s="3">
        <f>X2558-A2558</f>
        <v/>
      </c>
      <c r="Z2558" s="18" t="n">
        <v>46172</v>
      </c>
      <c r="AA2558" s="15" t="n"/>
      <c r="AB2558" s="15" t="n"/>
    </row>
    <row r="2559">
      <c r="A2559" s="37" t="n">
        <v>46143</v>
      </c>
      <c r="B2559" s="3" t="n">
        <v>2026</v>
      </c>
      <c r="C2559" s="26" t="inlineStr">
        <is>
          <t>Yanara Power</t>
        </is>
      </c>
      <c r="D2559" s="3" t="inlineStr">
        <is>
          <t>Utility and C&amp;I</t>
        </is>
      </c>
      <c r="E2559" s="3" t="n"/>
      <c r="F2559" s="3" t="inlineStr">
        <is>
          <t>Closed</t>
        </is>
      </c>
      <c r="G2559" s="9" t="inlineStr">
        <is>
          <t xml:space="preserve">Ashish Jindal </t>
        </is>
      </c>
      <c r="H2559" s="26" t="n">
        <v>9983975581</v>
      </c>
      <c r="I2559" s="38" t="inlineStr">
        <is>
          <t>PE01052601</t>
        </is>
      </c>
      <c r="J2559" s="26" t="inlineStr">
        <is>
          <t>Multiple Issues</t>
        </is>
      </c>
      <c r="K2559" s="39" t="inlineStr">
        <is>
          <t>Holi</t>
        </is>
      </c>
      <c r="L2559" s="39" t="inlineStr">
        <is>
          <t>Maharashtra</t>
        </is>
      </c>
      <c r="M2559" s="9" t="inlineStr">
        <is>
          <t>PS</t>
        </is>
      </c>
      <c r="N2559" s="3" t="inlineStr">
        <is>
          <t>Cold Soldering</t>
        </is>
      </c>
      <c r="O2559" s="56" t="n">
        <v>575</v>
      </c>
      <c r="P2559" s="46" t="inlineStr">
        <is>
          <t>NSMI24070188291</t>
        </is>
      </c>
      <c r="Q2559" s="54">
        <f>MID(P2559,5,2)</f>
        <v/>
      </c>
      <c r="R2559" s="53">
        <f>MID(P2559,7,2)</f>
        <v/>
      </c>
      <c r="S2559" s="3" t="inlineStr">
        <is>
          <t>G2G</t>
        </is>
      </c>
      <c r="T2559" s="3" t="inlineStr">
        <is>
          <t>P4</t>
        </is>
      </c>
      <c r="U2559" s="19" t="inlineStr">
        <is>
          <t>P JB Cold Soldering</t>
        </is>
      </c>
      <c r="V2559" s="19" t="inlineStr">
        <is>
          <t>Soldering</t>
        </is>
      </c>
      <c r="W2559" s="3" t="inlineStr">
        <is>
          <t>Repair</t>
        </is>
      </c>
      <c r="X2559" s="18" t="n">
        <v>46172</v>
      </c>
      <c r="Y2559" s="3">
        <f>X2559-A2559</f>
        <v/>
      </c>
      <c r="Z2559" s="18" t="n">
        <v>46172</v>
      </c>
      <c r="AA2559" s="15" t="n"/>
      <c r="AB2559" s="15" t="n"/>
    </row>
    <row r="2560">
      <c r="A2560" s="37" t="n">
        <v>46143</v>
      </c>
      <c r="B2560" s="3" t="n">
        <v>2026</v>
      </c>
      <c r="C2560" s="26" t="inlineStr">
        <is>
          <t>Yanara Power</t>
        </is>
      </c>
      <c r="D2560" s="3" t="inlineStr">
        <is>
          <t>Utility and C&amp;I</t>
        </is>
      </c>
      <c r="E2560" s="3" t="n"/>
      <c r="F2560" s="3" t="inlineStr">
        <is>
          <t>Closed</t>
        </is>
      </c>
      <c r="G2560" s="9" t="inlineStr">
        <is>
          <t xml:space="preserve">Ashish Jindal </t>
        </is>
      </c>
      <c r="H2560" s="26" t="n">
        <v>9983975581</v>
      </c>
      <c r="I2560" s="38" t="inlineStr">
        <is>
          <t>PE01052601</t>
        </is>
      </c>
      <c r="J2560" s="26" t="inlineStr">
        <is>
          <t>Multiple Issues</t>
        </is>
      </c>
      <c r="K2560" s="39" t="inlineStr">
        <is>
          <t>Holi</t>
        </is>
      </c>
      <c r="L2560" s="39" t="inlineStr">
        <is>
          <t>Maharashtra</t>
        </is>
      </c>
      <c r="M2560" s="9" t="inlineStr">
        <is>
          <t>NS</t>
        </is>
      </c>
      <c r="N2560" s="3" t="inlineStr">
        <is>
          <t>Cold Soldering</t>
        </is>
      </c>
      <c r="O2560" s="56" t="n">
        <v>575</v>
      </c>
      <c r="P2560" s="46" t="inlineStr">
        <is>
          <t>NSMI24070240292</t>
        </is>
      </c>
      <c r="Q2560" s="54">
        <f>MID(P2560,5,2)</f>
        <v/>
      </c>
      <c r="R2560" s="53">
        <f>MID(P2560,7,2)</f>
        <v/>
      </c>
      <c r="S2560" s="3" t="inlineStr">
        <is>
          <t>G2G</t>
        </is>
      </c>
      <c r="T2560" s="3" t="inlineStr">
        <is>
          <t>P4</t>
        </is>
      </c>
      <c r="U2560" s="3" t="inlineStr">
        <is>
          <t>N JB Cold Soldering</t>
        </is>
      </c>
      <c r="V2560" s="3" t="inlineStr">
        <is>
          <t>Soldering</t>
        </is>
      </c>
      <c r="W2560" s="3" t="inlineStr">
        <is>
          <t>Repair</t>
        </is>
      </c>
      <c r="X2560" s="18" t="n">
        <v>46172</v>
      </c>
      <c r="Y2560" s="3">
        <f>X2560-A2560</f>
        <v/>
      </c>
      <c r="Z2560" s="18" t="n">
        <v>46172</v>
      </c>
      <c r="AA2560" s="15" t="n"/>
      <c r="AB2560" s="15" t="n"/>
    </row>
    <row r="2561">
      <c r="A2561" s="37" t="n">
        <v>46143</v>
      </c>
      <c r="B2561" s="3" t="n">
        <v>2026</v>
      </c>
      <c r="C2561" s="26" t="inlineStr">
        <is>
          <t>Yanara Power</t>
        </is>
      </c>
      <c r="D2561" s="3" t="inlineStr">
        <is>
          <t>Utility and C&amp;I</t>
        </is>
      </c>
      <c r="E2561" s="3" t="n"/>
      <c r="F2561" s="3" t="inlineStr">
        <is>
          <t>Closed</t>
        </is>
      </c>
      <c r="G2561" s="9" t="inlineStr">
        <is>
          <t xml:space="preserve">Ashish Jindal </t>
        </is>
      </c>
      <c r="H2561" s="26" t="n">
        <v>9983975581</v>
      </c>
      <c r="I2561" s="38" t="inlineStr">
        <is>
          <t>PE01052601</t>
        </is>
      </c>
      <c r="J2561" s="26" t="inlineStr">
        <is>
          <t>Multiple Issues</t>
        </is>
      </c>
      <c r="K2561" s="39" t="inlineStr">
        <is>
          <t>Holi</t>
        </is>
      </c>
      <c r="L2561" s="39" t="inlineStr">
        <is>
          <t>Maharashtra</t>
        </is>
      </c>
      <c r="M2561" s="9" t="inlineStr">
        <is>
          <t>PS</t>
        </is>
      </c>
      <c r="N2561" s="3" t="inlineStr">
        <is>
          <t>Cold Soldering</t>
        </is>
      </c>
      <c r="O2561" s="56" t="n">
        <v>575</v>
      </c>
      <c r="P2561" s="46" t="inlineStr">
        <is>
          <t>NSMI24070194538</t>
        </is>
      </c>
      <c r="Q2561" s="54">
        <f>MID(P2561,5,2)</f>
        <v/>
      </c>
      <c r="R2561" s="53">
        <f>MID(P2561,7,2)</f>
        <v/>
      </c>
      <c r="S2561" s="3" t="inlineStr">
        <is>
          <t>G2G</t>
        </is>
      </c>
      <c r="T2561" s="3" t="inlineStr">
        <is>
          <t>P4</t>
        </is>
      </c>
      <c r="U2561" s="19" t="inlineStr">
        <is>
          <t>P JB Cold Soldering</t>
        </is>
      </c>
      <c r="V2561" s="19" t="inlineStr">
        <is>
          <t>Soldering</t>
        </is>
      </c>
      <c r="W2561" s="3" t="inlineStr">
        <is>
          <t>Repair</t>
        </is>
      </c>
      <c r="X2561" s="18" t="n">
        <v>46172</v>
      </c>
      <c r="Y2561" s="3">
        <f>X2561-A2561</f>
        <v/>
      </c>
      <c r="Z2561" s="18" t="n">
        <v>46172</v>
      </c>
      <c r="AA2561" s="15" t="n"/>
      <c r="AB2561" s="15" t="n"/>
    </row>
    <row r="2562">
      <c r="A2562" s="37" t="n">
        <v>46143</v>
      </c>
      <c r="B2562" s="3" t="n">
        <v>2026</v>
      </c>
      <c r="C2562" s="26" t="inlineStr">
        <is>
          <t>Yanara Power</t>
        </is>
      </c>
      <c r="D2562" s="3" t="inlineStr">
        <is>
          <t>Utility and C&amp;I</t>
        </is>
      </c>
      <c r="E2562" s="3" t="n"/>
      <c r="F2562" s="3" t="inlineStr">
        <is>
          <t>Closed</t>
        </is>
      </c>
      <c r="G2562" s="9" t="inlineStr">
        <is>
          <t xml:space="preserve">Ashish Jindal </t>
        </is>
      </c>
      <c r="H2562" s="26" t="n">
        <v>9983975581</v>
      </c>
      <c r="I2562" s="38" t="inlineStr">
        <is>
          <t>PE01052601</t>
        </is>
      </c>
      <c r="J2562" s="26" t="inlineStr">
        <is>
          <t>Multiple Issues</t>
        </is>
      </c>
      <c r="K2562" s="39" t="inlineStr">
        <is>
          <t>Holi</t>
        </is>
      </c>
      <c r="L2562" s="39" t="inlineStr">
        <is>
          <t>Maharashtra</t>
        </is>
      </c>
      <c r="M2562" s="9" t="inlineStr">
        <is>
          <t>NS</t>
        </is>
      </c>
      <c r="N2562" s="3" t="inlineStr">
        <is>
          <t>Cold Soldering</t>
        </is>
      </c>
      <c r="O2562" s="56" t="n">
        <v>575</v>
      </c>
      <c r="P2562" s="46" t="inlineStr">
        <is>
          <t>NSMI24070194491</t>
        </is>
      </c>
      <c r="Q2562" s="54">
        <f>MID(P2562,5,2)</f>
        <v/>
      </c>
      <c r="R2562" s="53">
        <f>MID(P2562,7,2)</f>
        <v/>
      </c>
      <c r="S2562" s="3" t="inlineStr">
        <is>
          <t>G2G</t>
        </is>
      </c>
      <c r="T2562" s="3" t="inlineStr">
        <is>
          <t>P4</t>
        </is>
      </c>
      <c r="U2562" s="3" t="inlineStr">
        <is>
          <t>N JB Cold Soldering</t>
        </is>
      </c>
      <c r="V2562" s="3" t="inlineStr">
        <is>
          <t>Soldering</t>
        </is>
      </c>
      <c r="W2562" s="3" t="inlineStr">
        <is>
          <t>Repair</t>
        </is>
      </c>
      <c r="X2562" s="18" t="n">
        <v>46172</v>
      </c>
      <c r="Y2562" s="3">
        <f>X2562-A2562</f>
        <v/>
      </c>
      <c r="Z2562" s="18" t="n">
        <v>46172</v>
      </c>
      <c r="AA2562" s="15" t="n"/>
      <c r="AB2562" s="15" t="n"/>
    </row>
    <row r="2563">
      <c r="A2563" s="37" t="n">
        <v>46143</v>
      </c>
      <c r="B2563" s="3" t="n">
        <v>2026</v>
      </c>
      <c r="C2563" s="26" t="inlineStr">
        <is>
          <t>Yanara Power</t>
        </is>
      </c>
      <c r="D2563" s="3" t="inlineStr">
        <is>
          <t>Utility and C&amp;I</t>
        </is>
      </c>
      <c r="E2563" s="3" t="n"/>
      <c r="F2563" s="3" t="inlineStr">
        <is>
          <t>Closed</t>
        </is>
      </c>
      <c r="G2563" s="9" t="inlineStr">
        <is>
          <t xml:space="preserve">Ashish Jindal </t>
        </is>
      </c>
      <c r="H2563" s="26" t="n">
        <v>9983975581</v>
      </c>
      <c r="I2563" s="38" t="inlineStr">
        <is>
          <t>PE01052601</t>
        </is>
      </c>
      <c r="J2563" s="26" t="inlineStr">
        <is>
          <t>Multiple Issues</t>
        </is>
      </c>
      <c r="K2563" s="39" t="inlineStr">
        <is>
          <t>Holi</t>
        </is>
      </c>
      <c r="L2563" s="39" t="inlineStr">
        <is>
          <t>Maharashtra</t>
        </is>
      </c>
      <c r="M2563" s="9" t="inlineStr">
        <is>
          <t>NS</t>
        </is>
      </c>
      <c r="N2563" s="3" t="inlineStr">
        <is>
          <t>Cold Soldering</t>
        </is>
      </c>
      <c r="O2563" s="56" t="n">
        <v>575</v>
      </c>
      <c r="P2563" s="46" t="inlineStr">
        <is>
          <t>NSMI24070194428</t>
        </is>
      </c>
      <c r="Q2563" s="54">
        <f>MID(P2563,5,2)</f>
        <v/>
      </c>
      <c r="R2563" s="53">
        <f>MID(P2563,7,2)</f>
        <v/>
      </c>
      <c r="S2563" s="3" t="inlineStr">
        <is>
          <t>G2G</t>
        </is>
      </c>
      <c r="T2563" s="3" t="inlineStr">
        <is>
          <t>P4</t>
        </is>
      </c>
      <c r="U2563" s="3" t="inlineStr">
        <is>
          <t>N JB Cold Soldering</t>
        </is>
      </c>
      <c r="V2563" s="3" t="inlineStr">
        <is>
          <t>Soldering</t>
        </is>
      </c>
      <c r="W2563" s="3" t="inlineStr">
        <is>
          <t>Repair</t>
        </is>
      </c>
      <c r="X2563" s="18" t="n">
        <v>46172</v>
      </c>
      <c r="Y2563" s="3">
        <f>X2563-A2563</f>
        <v/>
      </c>
      <c r="Z2563" s="18" t="n">
        <v>46172</v>
      </c>
      <c r="AA2563" s="15" t="n"/>
      <c r="AB2563" s="15" t="n"/>
    </row>
    <row r="2564">
      <c r="A2564" s="37" t="n">
        <v>46143</v>
      </c>
      <c r="B2564" s="3" t="n">
        <v>2026</v>
      </c>
      <c r="C2564" s="26" t="inlineStr">
        <is>
          <t>Yanara Power</t>
        </is>
      </c>
      <c r="D2564" s="3" t="inlineStr">
        <is>
          <t>Utility and C&amp;I</t>
        </is>
      </c>
      <c r="E2564" s="3" t="n"/>
      <c r="F2564" s="3" t="inlineStr">
        <is>
          <t>Closed</t>
        </is>
      </c>
      <c r="G2564" s="9" t="inlineStr">
        <is>
          <t xml:space="preserve">Ashish Jindal </t>
        </is>
      </c>
      <c r="H2564" s="26" t="n">
        <v>9983975581</v>
      </c>
      <c r="I2564" s="38" t="inlineStr">
        <is>
          <t>PE01052601</t>
        </is>
      </c>
      <c r="J2564" s="26" t="inlineStr">
        <is>
          <t>Multiple Issues</t>
        </is>
      </c>
      <c r="K2564" s="39" t="inlineStr">
        <is>
          <t>Holi</t>
        </is>
      </c>
      <c r="L2564" s="39" t="inlineStr">
        <is>
          <t>Maharashtra</t>
        </is>
      </c>
      <c r="M2564" s="9" t="inlineStr">
        <is>
          <t>NS</t>
        </is>
      </c>
      <c r="N2564" s="3" t="inlineStr">
        <is>
          <t>Cold Soldering</t>
        </is>
      </c>
      <c r="O2564" s="56" t="n">
        <v>575</v>
      </c>
      <c r="P2564" s="46" t="inlineStr">
        <is>
          <t>NSMI24070195872</t>
        </is>
      </c>
      <c r="Q2564" s="54">
        <f>MID(P2564,5,2)</f>
        <v/>
      </c>
      <c r="R2564" s="53">
        <f>MID(P2564,7,2)</f>
        <v/>
      </c>
      <c r="S2564" s="3" t="inlineStr">
        <is>
          <t>G2G</t>
        </is>
      </c>
      <c r="T2564" s="3" t="inlineStr">
        <is>
          <t>P4</t>
        </is>
      </c>
      <c r="U2564" s="3" t="inlineStr">
        <is>
          <t>N JB Cold Soldering</t>
        </is>
      </c>
      <c r="V2564" s="3" t="inlineStr">
        <is>
          <t>Soldering</t>
        </is>
      </c>
      <c r="W2564" s="3" t="inlineStr">
        <is>
          <t>Repair</t>
        </is>
      </c>
      <c r="X2564" s="18" t="n">
        <v>46172</v>
      </c>
      <c r="Y2564" s="3">
        <f>X2564-A2564</f>
        <v/>
      </c>
      <c r="Z2564" s="18" t="n">
        <v>46172</v>
      </c>
      <c r="AA2564" s="15" t="n"/>
      <c r="AB2564" s="15" t="n"/>
    </row>
    <row r="2565">
      <c r="A2565" s="37" t="n">
        <v>46143</v>
      </c>
      <c r="B2565" s="3" t="n">
        <v>2026</v>
      </c>
      <c r="C2565" s="26" t="inlineStr">
        <is>
          <t>Yanara Power</t>
        </is>
      </c>
      <c r="D2565" s="3" t="inlineStr">
        <is>
          <t>Utility and C&amp;I</t>
        </is>
      </c>
      <c r="E2565" s="3" t="n"/>
      <c r="F2565" s="3" t="inlineStr">
        <is>
          <t>Closed</t>
        </is>
      </c>
      <c r="G2565" s="9" t="inlineStr">
        <is>
          <t xml:space="preserve">Ashish Jindal </t>
        </is>
      </c>
      <c r="H2565" s="26" t="n">
        <v>9983975581</v>
      </c>
      <c r="I2565" s="38" t="inlineStr">
        <is>
          <t>PE01052601</t>
        </is>
      </c>
      <c r="J2565" s="26" t="inlineStr">
        <is>
          <t>Multiple Issues</t>
        </is>
      </c>
      <c r="K2565" s="39" t="inlineStr">
        <is>
          <t>Holi</t>
        </is>
      </c>
      <c r="L2565" s="39" t="inlineStr">
        <is>
          <t>Maharashtra</t>
        </is>
      </c>
      <c r="M2565" s="9" t="inlineStr">
        <is>
          <t>NS</t>
        </is>
      </c>
      <c r="N2565" s="3" t="inlineStr">
        <is>
          <t>Cold Soldering</t>
        </is>
      </c>
      <c r="O2565" s="56" t="n">
        <v>575</v>
      </c>
      <c r="P2565" s="46" t="inlineStr">
        <is>
          <t>NSMI24070195759</t>
        </is>
      </c>
      <c r="Q2565" s="54">
        <f>MID(P2565,5,2)</f>
        <v/>
      </c>
      <c r="R2565" s="53">
        <f>MID(P2565,7,2)</f>
        <v/>
      </c>
      <c r="S2565" s="3" t="inlineStr">
        <is>
          <t>G2G</t>
        </is>
      </c>
      <c r="T2565" s="3" t="inlineStr">
        <is>
          <t>P4</t>
        </is>
      </c>
      <c r="U2565" s="3" t="inlineStr">
        <is>
          <t>N JB Cold Soldering</t>
        </is>
      </c>
      <c r="V2565" s="3" t="inlineStr">
        <is>
          <t>Soldering</t>
        </is>
      </c>
      <c r="W2565" s="3" t="inlineStr">
        <is>
          <t>Repair</t>
        </is>
      </c>
      <c r="X2565" s="18" t="n">
        <v>46172</v>
      </c>
      <c r="Y2565" s="3">
        <f>X2565-A2565</f>
        <v/>
      </c>
      <c r="Z2565" s="18" t="n">
        <v>46172</v>
      </c>
      <c r="AA2565" s="15" t="n"/>
      <c r="AB2565" s="15" t="n"/>
    </row>
    <row r="2566">
      <c r="A2566" s="37" t="n">
        <v>46143</v>
      </c>
      <c r="B2566" s="3" t="n">
        <v>2026</v>
      </c>
      <c r="C2566" s="26" t="inlineStr">
        <is>
          <t>Yanara Power</t>
        </is>
      </c>
      <c r="D2566" s="3" t="inlineStr">
        <is>
          <t>Utility and C&amp;I</t>
        </is>
      </c>
      <c r="E2566" s="3" t="n"/>
      <c r="F2566" s="3" t="inlineStr">
        <is>
          <t>Closed</t>
        </is>
      </c>
      <c r="G2566" s="9" t="inlineStr">
        <is>
          <t xml:space="preserve">Ashish Jindal </t>
        </is>
      </c>
      <c r="H2566" s="26" t="n">
        <v>9983975581</v>
      </c>
      <c r="I2566" s="38" t="inlineStr">
        <is>
          <t>PE01052601</t>
        </is>
      </c>
      <c r="J2566" s="26" t="inlineStr">
        <is>
          <t>Multiple Issues</t>
        </is>
      </c>
      <c r="K2566" s="39" t="inlineStr">
        <is>
          <t>Holi</t>
        </is>
      </c>
      <c r="L2566" s="39" t="inlineStr">
        <is>
          <t>Maharashtra</t>
        </is>
      </c>
      <c r="M2566" s="9" t="inlineStr">
        <is>
          <t>PS</t>
        </is>
      </c>
      <c r="N2566" s="3" t="inlineStr">
        <is>
          <t>Cold Soldering</t>
        </is>
      </c>
      <c r="O2566" s="56" t="n">
        <v>575</v>
      </c>
      <c r="P2566" s="46" t="inlineStr">
        <is>
          <t>NSMI24070219307</t>
        </is>
      </c>
      <c r="Q2566" s="54">
        <f>MID(P2566,5,2)</f>
        <v/>
      </c>
      <c r="R2566" s="53">
        <f>MID(P2566,7,2)</f>
        <v/>
      </c>
      <c r="S2566" s="3" t="inlineStr">
        <is>
          <t>G2G</t>
        </is>
      </c>
      <c r="T2566" s="3" t="inlineStr">
        <is>
          <t>P4</t>
        </is>
      </c>
      <c r="U2566" s="19" t="inlineStr">
        <is>
          <t>P JB Cold Soldering</t>
        </is>
      </c>
      <c r="V2566" s="19" t="inlineStr">
        <is>
          <t>Soldering</t>
        </is>
      </c>
      <c r="W2566" s="3" t="inlineStr">
        <is>
          <t>Repair</t>
        </is>
      </c>
      <c r="X2566" s="18" t="n">
        <v>46172</v>
      </c>
      <c r="Y2566" s="3">
        <f>X2566-A2566</f>
        <v/>
      </c>
      <c r="Z2566" s="18" t="n">
        <v>46172</v>
      </c>
      <c r="AA2566" s="15" t="n"/>
      <c r="AB2566" s="15" t="n"/>
    </row>
    <row r="2567">
      <c r="A2567" s="37" t="n">
        <v>46143</v>
      </c>
      <c r="B2567" s="3" t="n">
        <v>2026</v>
      </c>
      <c r="C2567" s="26" t="inlineStr">
        <is>
          <t>Yanara Power</t>
        </is>
      </c>
      <c r="D2567" s="3" t="inlineStr">
        <is>
          <t>Utility and C&amp;I</t>
        </is>
      </c>
      <c r="E2567" s="3" t="n"/>
      <c r="F2567" s="3" t="inlineStr">
        <is>
          <t>Closed</t>
        </is>
      </c>
      <c r="G2567" s="9" t="inlineStr">
        <is>
          <t xml:space="preserve">Ashish Jindal </t>
        </is>
      </c>
      <c r="H2567" s="26" t="n">
        <v>9983975581</v>
      </c>
      <c r="I2567" s="38" t="inlineStr">
        <is>
          <t>PE01052601</t>
        </is>
      </c>
      <c r="J2567" s="26" t="inlineStr">
        <is>
          <t>Multiple Issues</t>
        </is>
      </c>
      <c r="K2567" s="39" t="inlineStr">
        <is>
          <t>Holi</t>
        </is>
      </c>
      <c r="L2567" s="39" t="inlineStr">
        <is>
          <t>Maharashtra</t>
        </is>
      </c>
      <c r="M2567" s="9" t="inlineStr">
        <is>
          <t>PS</t>
        </is>
      </c>
      <c r="N2567" s="3" t="inlineStr">
        <is>
          <t>Cold Soldering</t>
        </is>
      </c>
      <c r="O2567" s="56" t="n">
        <v>575</v>
      </c>
      <c r="P2567" s="46" t="inlineStr">
        <is>
          <t>NSMI24070224323</t>
        </is>
      </c>
      <c r="Q2567" s="54">
        <f>MID(P2567,5,2)</f>
        <v/>
      </c>
      <c r="R2567" s="53">
        <f>MID(P2567,7,2)</f>
        <v/>
      </c>
      <c r="S2567" s="3" t="inlineStr">
        <is>
          <t>G2G</t>
        </is>
      </c>
      <c r="T2567" s="3" t="inlineStr">
        <is>
          <t>P4</t>
        </is>
      </c>
      <c r="U2567" s="19" t="inlineStr">
        <is>
          <t>P JB Cold Soldering</t>
        </is>
      </c>
      <c r="V2567" s="19" t="inlineStr">
        <is>
          <t>Soldering</t>
        </is>
      </c>
      <c r="W2567" s="3" t="inlineStr">
        <is>
          <t>Repair</t>
        </is>
      </c>
      <c r="X2567" s="18" t="n">
        <v>46172</v>
      </c>
      <c r="Y2567" s="3">
        <f>X2567-A2567</f>
        <v/>
      </c>
      <c r="Z2567" s="18" t="n">
        <v>46172</v>
      </c>
      <c r="AA2567" s="15" t="n"/>
      <c r="AB2567" s="15" t="n"/>
    </row>
    <row r="2568">
      <c r="A2568" s="37" t="n">
        <v>46143</v>
      </c>
      <c r="B2568" s="3" t="n">
        <v>2026</v>
      </c>
      <c r="C2568" s="26" t="inlineStr">
        <is>
          <t>Yanara Power</t>
        </is>
      </c>
      <c r="D2568" s="3" t="inlineStr">
        <is>
          <t>Utility and C&amp;I</t>
        </is>
      </c>
      <c r="E2568" s="3" t="n"/>
      <c r="F2568" s="3" t="inlineStr">
        <is>
          <t>Closed</t>
        </is>
      </c>
      <c r="G2568" s="9" t="inlineStr">
        <is>
          <t xml:space="preserve">Ashish Jindal </t>
        </is>
      </c>
      <c r="H2568" s="26" t="n">
        <v>9983975581</v>
      </c>
      <c r="I2568" s="38" t="inlineStr">
        <is>
          <t>PE01052601</t>
        </is>
      </c>
      <c r="J2568" s="26" t="inlineStr">
        <is>
          <t>Multiple Issues</t>
        </is>
      </c>
      <c r="K2568" s="39" t="inlineStr">
        <is>
          <t>Holi</t>
        </is>
      </c>
      <c r="L2568" s="39" t="inlineStr">
        <is>
          <t>Maharashtra</t>
        </is>
      </c>
      <c r="M2568" s="9" t="inlineStr">
        <is>
          <t>PS</t>
        </is>
      </c>
      <c r="N2568" s="3" t="inlineStr">
        <is>
          <t>Cold Soldering</t>
        </is>
      </c>
      <c r="O2568" s="56" t="n">
        <v>575</v>
      </c>
      <c r="P2568" s="46" t="inlineStr">
        <is>
          <t>NSMI24070195836</t>
        </is>
      </c>
      <c r="Q2568" s="54">
        <f>MID(P2568,5,2)</f>
        <v/>
      </c>
      <c r="R2568" s="53">
        <f>MID(P2568,7,2)</f>
        <v/>
      </c>
      <c r="S2568" s="3" t="inlineStr">
        <is>
          <t>G2G</t>
        </is>
      </c>
      <c r="T2568" s="3" t="inlineStr">
        <is>
          <t>P4</t>
        </is>
      </c>
      <c r="U2568" s="19" t="inlineStr">
        <is>
          <t>P JB Cold Soldering</t>
        </is>
      </c>
      <c r="V2568" s="19" t="inlineStr">
        <is>
          <t>Soldering</t>
        </is>
      </c>
      <c r="W2568" s="3" t="inlineStr">
        <is>
          <t>Repair</t>
        </is>
      </c>
      <c r="X2568" s="18" t="n">
        <v>46172</v>
      </c>
      <c r="Y2568" s="3">
        <f>X2568-A2568</f>
        <v/>
      </c>
      <c r="Z2568" s="18" t="n">
        <v>46172</v>
      </c>
      <c r="AA2568" s="15" t="n"/>
      <c r="AB2568" s="15" t="n"/>
    </row>
    <row r="2569">
      <c r="A2569" s="37" t="n">
        <v>46143</v>
      </c>
      <c r="B2569" s="3" t="n">
        <v>2026</v>
      </c>
      <c r="C2569" s="26" t="inlineStr">
        <is>
          <t>Yanara Power</t>
        </is>
      </c>
      <c r="D2569" s="3" t="inlineStr">
        <is>
          <t>Utility and C&amp;I</t>
        </is>
      </c>
      <c r="E2569" s="3" t="n"/>
      <c r="F2569" s="3" t="inlineStr">
        <is>
          <t>Closed</t>
        </is>
      </c>
      <c r="G2569" s="9" t="inlineStr">
        <is>
          <t xml:space="preserve">Ashish Jindal </t>
        </is>
      </c>
      <c r="H2569" s="26" t="n">
        <v>9983975581</v>
      </c>
      <c r="I2569" s="38" t="inlineStr">
        <is>
          <t>PE01052601</t>
        </is>
      </c>
      <c r="J2569" s="26" t="inlineStr">
        <is>
          <t>Multiple Issues</t>
        </is>
      </c>
      <c r="K2569" s="39" t="inlineStr">
        <is>
          <t>Holi</t>
        </is>
      </c>
      <c r="L2569" s="39" t="inlineStr">
        <is>
          <t>Maharashtra</t>
        </is>
      </c>
      <c r="M2569" s="9" t="inlineStr">
        <is>
          <t>PS</t>
        </is>
      </c>
      <c r="N2569" s="3" t="inlineStr">
        <is>
          <t>Cold Soldering</t>
        </is>
      </c>
      <c r="O2569" s="56" t="n">
        <v>575</v>
      </c>
      <c r="P2569" s="46" t="inlineStr">
        <is>
          <t>NSMI24070186618</t>
        </is>
      </c>
      <c r="Q2569" s="54">
        <f>MID(P2569,5,2)</f>
        <v/>
      </c>
      <c r="R2569" s="53">
        <f>MID(P2569,7,2)</f>
        <v/>
      </c>
      <c r="S2569" s="3" t="inlineStr">
        <is>
          <t>G2G</t>
        </is>
      </c>
      <c r="T2569" s="3" t="inlineStr">
        <is>
          <t>P4</t>
        </is>
      </c>
      <c r="U2569" s="19" t="inlineStr">
        <is>
          <t>P JB Cold Soldering</t>
        </is>
      </c>
      <c r="V2569" s="19" t="inlineStr">
        <is>
          <t>Soldering</t>
        </is>
      </c>
      <c r="W2569" s="3" t="inlineStr">
        <is>
          <t>Repair</t>
        </is>
      </c>
      <c r="X2569" s="18" t="n">
        <v>46172</v>
      </c>
      <c r="Y2569" s="3">
        <f>X2569-A2569</f>
        <v/>
      </c>
      <c r="Z2569" s="18" t="n">
        <v>46172</v>
      </c>
      <c r="AA2569" s="15" t="n"/>
      <c r="AB2569" s="15" t="n"/>
    </row>
    <row r="2570">
      <c r="A2570" s="37" t="n">
        <v>46143</v>
      </c>
      <c r="B2570" s="3" t="n">
        <v>2026</v>
      </c>
      <c r="C2570" s="26" t="inlineStr">
        <is>
          <t>Yanara Power</t>
        </is>
      </c>
      <c r="D2570" s="3" t="inlineStr">
        <is>
          <t>Utility and C&amp;I</t>
        </is>
      </c>
      <c r="E2570" s="3" t="n"/>
      <c r="F2570" s="3" t="inlineStr">
        <is>
          <t>Closed</t>
        </is>
      </c>
      <c r="G2570" s="9" t="inlineStr">
        <is>
          <t xml:space="preserve">Ashish Jindal </t>
        </is>
      </c>
      <c r="H2570" s="26" t="n">
        <v>9983975581</v>
      </c>
      <c r="I2570" s="38" t="inlineStr">
        <is>
          <t>PE01052601</t>
        </is>
      </c>
      <c r="J2570" s="26" t="inlineStr">
        <is>
          <t>Multiple Issues</t>
        </is>
      </c>
      <c r="K2570" s="39" t="inlineStr">
        <is>
          <t>Holi</t>
        </is>
      </c>
      <c r="L2570" s="39" t="inlineStr">
        <is>
          <t>Maharashtra</t>
        </is>
      </c>
      <c r="M2570" s="9" t="inlineStr">
        <is>
          <t>PS</t>
        </is>
      </c>
      <c r="N2570" s="3" t="inlineStr">
        <is>
          <t>Cold Soldering</t>
        </is>
      </c>
      <c r="O2570" s="56" t="n">
        <v>575</v>
      </c>
      <c r="P2570" s="46" t="inlineStr">
        <is>
          <t>NSMI24070180069</t>
        </is>
      </c>
      <c r="Q2570" s="54">
        <f>MID(P2570,5,2)</f>
        <v/>
      </c>
      <c r="R2570" s="53">
        <f>MID(P2570,7,2)</f>
        <v/>
      </c>
      <c r="S2570" s="3" t="inlineStr">
        <is>
          <t>G2G</t>
        </is>
      </c>
      <c r="T2570" s="3" t="inlineStr">
        <is>
          <t>P4</t>
        </is>
      </c>
      <c r="U2570" s="19" t="inlineStr">
        <is>
          <t>P JB Cold Soldering</t>
        </is>
      </c>
      <c r="V2570" s="19" t="inlineStr">
        <is>
          <t>Soldering</t>
        </is>
      </c>
      <c r="W2570" s="3" t="inlineStr">
        <is>
          <t>Repair</t>
        </is>
      </c>
      <c r="X2570" s="18" t="n">
        <v>46172</v>
      </c>
      <c r="Y2570" s="3">
        <f>X2570-A2570</f>
        <v/>
      </c>
      <c r="Z2570" s="18" t="n">
        <v>46172</v>
      </c>
      <c r="AA2570" s="15" t="n"/>
      <c r="AB2570" s="15" t="n"/>
    </row>
    <row r="2571">
      <c r="A2571" s="37" t="n">
        <v>46143</v>
      </c>
      <c r="B2571" s="3" t="n">
        <v>2026</v>
      </c>
      <c r="C2571" s="26" t="inlineStr">
        <is>
          <t>Yanara Power</t>
        </is>
      </c>
      <c r="D2571" s="3" t="inlineStr">
        <is>
          <t>Utility and C&amp;I</t>
        </is>
      </c>
      <c r="E2571" s="3" t="n"/>
      <c r="F2571" s="3" t="inlineStr">
        <is>
          <t>Closed</t>
        </is>
      </c>
      <c r="G2571" s="9" t="inlineStr">
        <is>
          <t xml:space="preserve">Ashish Jindal </t>
        </is>
      </c>
      <c r="H2571" s="26" t="n">
        <v>9983975581</v>
      </c>
      <c r="I2571" s="38" t="inlineStr">
        <is>
          <t>PE01052601</t>
        </is>
      </c>
      <c r="J2571" s="26" t="inlineStr">
        <is>
          <t>Multiple Issues</t>
        </is>
      </c>
      <c r="K2571" s="39" t="inlineStr">
        <is>
          <t>Holi</t>
        </is>
      </c>
      <c r="L2571" s="39" t="inlineStr">
        <is>
          <t>Maharashtra</t>
        </is>
      </c>
      <c r="M2571" s="9" t="inlineStr">
        <is>
          <t>PS</t>
        </is>
      </c>
      <c r="N2571" s="3" t="inlineStr">
        <is>
          <t>Cold Soldering</t>
        </is>
      </c>
      <c r="O2571" s="56" t="n">
        <v>575</v>
      </c>
      <c r="P2571" s="46" t="inlineStr">
        <is>
          <t>NSMI24070191047</t>
        </is>
      </c>
      <c r="Q2571" s="54">
        <f>MID(P2571,5,2)</f>
        <v/>
      </c>
      <c r="R2571" s="53">
        <f>MID(P2571,7,2)</f>
        <v/>
      </c>
      <c r="S2571" s="3" t="inlineStr">
        <is>
          <t>G2G</t>
        </is>
      </c>
      <c r="T2571" s="3" t="inlineStr">
        <is>
          <t>P4</t>
        </is>
      </c>
      <c r="U2571" s="19" t="inlineStr">
        <is>
          <t>P JB Cold Soldering</t>
        </is>
      </c>
      <c r="V2571" s="19" t="inlineStr">
        <is>
          <t>Soldering</t>
        </is>
      </c>
      <c r="W2571" s="3" t="inlineStr">
        <is>
          <t>Repair</t>
        </is>
      </c>
      <c r="X2571" s="18" t="n">
        <v>46172</v>
      </c>
      <c r="Y2571" s="3">
        <f>X2571-A2571</f>
        <v/>
      </c>
      <c r="Z2571" s="18" t="n">
        <v>46172</v>
      </c>
      <c r="AA2571" s="15" t="n"/>
      <c r="AB2571" s="15" t="n"/>
    </row>
    <row r="2572">
      <c r="A2572" s="37" t="n">
        <v>46143</v>
      </c>
      <c r="B2572" s="3" t="n">
        <v>2026</v>
      </c>
      <c r="C2572" s="26" t="inlineStr">
        <is>
          <t>Yanara Power</t>
        </is>
      </c>
      <c r="D2572" s="3" t="inlineStr">
        <is>
          <t>Utility and C&amp;I</t>
        </is>
      </c>
      <c r="E2572" s="3" t="n"/>
      <c r="F2572" s="3" t="inlineStr">
        <is>
          <t>Closed</t>
        </is>
      </c>
      <c r="G2572" s="9" t="inlineStr">
        <is>
          <t xml:space="preserve">Ashish Jindal </t>
        </is>
      </c>
      <c r="H2572" s="26" t="n">
        <v>9983975581</v>
      </c>
      <c r="I2572" s="38" t="inlineStr">
        <is>
          <t>PE01052601</t>
        </is>
      </c>
      <c r="J2572" s="26" t="inlineStr">
        <is>
          <t>Multiple Issues</t>
        </is>
      </c>
      <c r="K2572" s="39" t="inlineStr">
        <is>
          <t>Holi</t>
        </is>
      </c>
      <c r="L2572" s="39" t="inlineStr">
        <is>
          <t>Maharashtra</t>
        </is>
      </c>
      <c r="M2572" s="9" t="inlineStr">
        <is>
          <t>PS</t>
        </is>
      </c>
      <c r="N2572" s="3" t="inlineStr">
        <is>
          <t>Cold Soldering</t>
        </is>
      </c>
      <c r="O2572" s="56" t="n">
        <v>575</v>
      </c>
      <c r="P2572" s="46" t="inlineStr">
        <is>
          <t>NSMI24070190977</t>
        </is>
      </c>
      <c r="Q2572" s="54">
        <f>MID(P2572,5,2)</f>
        <v/>
      </c>
      <c r="R2572" s="53">
        <f>MID(P2572,7,2)</f>
        <v/>
      </c>
      <c r="S2572" s="3" t="inlineStr">
        <is>
          <t>G2G</t>
        </is>
      </c>
      <c r="T2572" s="3" t="inlineStr">
        <is>
          <t>P4</t>
        </is>
      </c>
      <c r="U2572" s="19" t="inlineStr">
        <is>
          <t>P JB Cold Soldering</t>
        </is>
      </c>
      <c r="V2572" s="19" t="inlineStr">
        <is>
          <t>Soldering</t>
        </is>
      </c>
      <c r="W2572" s="3" t="inlineStr">
        <is>
          <t>Repair</t>
        </is>
      </c>
      <c r="X2572" s="18" t="n">
        <v>46172</v>
      </c>
      <c r="Y2572" s="3">
        <f>X2572-A2572</f>
        <v/>
      </c>
      <c r="Z2572" s="18" t="n">
        <v>46172</v>
      </c>
      <c r="AA2572" s="15" t="n"/>
      <c r="AB2572" s="15" t="n"/>
    </row>
    <row r="2573">
      <c r="A2573" s="37" t="n">
        <v>46143</v>
      </c>
      <c r="B2573" s="3" t="n">
        <v>2026</v>
      </c>
      <c r="C2573" s="26" t="inlineStr">
        <is>
          <t>Yanara Power</t>
        </is>
      </c>
      <c r="D2573" s="3" t="inlineStr">
        <is>
          <t>Utility and C&amp;I</t>
        </is>
      </c>
      <c r="E2573" s="3" t="n"/>
      <c r="F2573" s="3" t="inlineStr">
        <is>
          <t>Closed</t>
        </is>
      </c>
      <c r="G2573" s="9" t="inlineStr">
        <is>
          <t xml:space="preserve">Ashish Jindal </t>
        </is>
      </c>
      <c r="H2573" s="26" t="n">
        <v>9983975581</v>
      </c>
      <c r="I2573" s="38" t="inlineStr">
        <is>
          <t>PE01052601</t>
        </is>
      </c>
      <c r="J2573" s="26" t="inlineStr">
        <is>
          <t>Multiple Issues</t>
        </is>
      </c>
      <c r="K2573" s="39" t="inlineStr">
        <is>
          <t>Holi</t>
        </is>
      </c>
      <c r="L2573" s="39" t="inlineStr">
        <is>
          <t>Maharashtra</t>
        </is>
      </c>
      <c r="M2573" s="9" t="inlineStr">
        <is>
          <t>PS</t>
        </is>
      </c>
      <c r="N2573" s="3" t="inlineStr">
        <is>
          <t>Cold Soldering</t>
        </is>
      </c>
      <c r="O2573" s="56" t="n">
        <v>575</v>
      </c>
      <c r="P2573" s="46" t="inlineStr">
        <is>
          <t>NSMI24070190975</t>
        </is>
      </c>
      <c r="Q2573" s="54">
        <f>MID(P2573,5,2)</f>
        <v/>
      </c>
      <c r="R2573" s="53">
        <f>MID(P2573,7,2)</f>
        <v/>
      </c>
      <c r="S2573" s="3" t="inlineStr">
        <is>
          <t>G2G</t>
        </is>
      </c>
      <c r="T2573" s="3" t="inlineStr">
        <is>
          <t>P4</t>
        </is>
      </c>
      <c r="U2573" s="19" t="inlineStr">
        <is>
          <t>P JB Cold Soldering</t>
        </is>
      </c>
      <c r="V2573" s="19" t="inlineStr">
        <is>
          <t>Soldering</t>
        </is>
      </c>
      <c r="W2573" s="3" t="inlineStr">
        <is>
          <t>Repair</t>
        </is>
      </c>
      <c r="X2573" s="18" t="n">
        <v>46172</v>
      </c>
      <c r="Y2573" s="3">
        <f>X2573-A2573</f>
        <v/>
      </c>
      <c r="Z2573" s="18" t="n">
        <v>46172</v>
      </c>
      <c r="AA2573" s="15" t="n"/>
      <c r="AB2573" s="15" t="n"/>
    </row>
    <row r="2574">
      <c r="A2574" s="37" t="n">
        <v>46143</v>
      </c>
      <c r="B2574" s="3" t="n">
        <v>2026</v>
      </c>
      <c r="C2574" s="26" t="inlineStr">
        <is>
          <t>Yanara Power</t>
        </is>
      </c>
      <c r="D2574" s="3" t="inlineStr">
        <is>
          <t>Utility and C&amp;I</t>
        </is>
      </c>
      <c r="E2574" s="3" t="n"/>
      <c r="F2574" s="3" t="inlineStr">
        <is>
          <t>Closed</t>
        </is>
      </c>
      <c r="G2574" s="9" t="inlineStr">
        <is>
          <t xml:space="preserve">Ashish Jindal </t>
        </is>
      </c>
      <c r="H2574" s="26" t="n">
        <v>9983975581</v>
      </c>
      <c r="I2574" s="38" t="inlineStr">
        <is>
          <t>PE01052601</t>
        </is>
      </c>
      <c r="J2574" s="26" t="inlineStr">
        <is>
          <t>Multiple Issues</t>
        </is>
      </c>
      <c r="K2574" s="39" t="inlineStr">
        <is>
          <t>Holi</t>
        </is>
      </c>
      <c r="L2574" s="39" t="inlineStr">
        <is>
          <t>Maharashtra</t>
        </is>
      </c>
      <c r="M2574" s="9" t="inlineStr">
        <is>
          <t>PS</t>
        </is>
      </c>
      <c r="N2574" s="3" t="inlineStr">
        <is>
          <t>Cold Soldering</t>
        </is>
      </c>
      <c r="O2574" s="56" t="n">
        <v>575</v>
      </c>
      <c r="P2574" s="46" t="inlineStr">
        <is>
          <t>NSMI24070186623</t>
        </is>
      </c>
      <c r="Q2574" s="54">
        <f>MID(P2574,5,2)</f>
        <v/>
      </c>
      <c r="R2574" s="53">
        <f>MID(P2574,7,2)</f>
        <v/>
      </c>
      <c r="S2574" s="3" t="inlineStr">
        <is>
          <t>G2G</t>
        </is>
      </c>
      <c r="T2574" s="3" t="inlineStr">
        <is>
          <t>P4</t>
        </is>
      </c>
      <c r="U2574" s="19" t="inlineStr">
        <is>
          <t>P JB Cold Soldering</t>
        </is>
      </c>
      <c r="V2574" s="19" t="inlineStr">
        <is>
          <t>Soldering</t>
        </is>
      </c>
      <c r="W2574" s="3" t="inlineStr">
        <is>
          <t>Repair</t>
        </is>
      </c>
      <c r="X2574" s="18" t="n">
        <v>46172</v>
      </c>
      <c r="Y2574" s="3">
        <f>X2574-A2574</f>
        <v/>
      </c>
      <c r="Z2574" s="18" t="n">
        <v>46172</v>
      </c>
      <c r="AA2574" s="15" t="n"/>
      <c r="AB2574" s="15" t="n"/>
    </row>
    <row r="2575">
      <c r="A2575" s="37" t="n">
        <v>46143</v>
      </c>
      <c r="B2575" s="3" t="n">
        <v>2026</v>
      </c>
      <c r="C2575" s="26" t="inlineStr">
        <is>
          <t>Yanara Power</t>
        </is>
      </c>
      <c r="D2575" s="3" t="inlineStr">
        <is>
          <t>Utility and C&amp;I</t>
        </is>
      </c>
      <c r="E2575" s="3" t="n"/>
      <c r="F2575" s="3" t="inlineStr">
        <is>
          <t>Closed</t>
        </is>
      </c>
      <c r="G2575" s="9" t="inlineStr">
        <is>
          <t xml:space="preserve">Ashish Jindal </t>
        </is>
      </c>
      <c r="H2575" s="26" t="n">
        <v>9983975581</v>
      </c>
      <c r="I2575" s="38" t="inlineStr">
        <is>
          <t>PE01052601</t>
        </is>
      </c>
      <c r="J2575" s="26" t="inlineStr">
        <is>
          <t>Multiple Issues</t>
        </is>
      </c>
      <c r="K2575" s="39" t="inlineStr">
        <is>
          <t>Holi</t>
        </is>
      </c>
      <c r="L2575" s="39" t="inlineStr">
        <is>
          <t>Maharashtra</t>
        </is>
      </c>
      <c r="M2575" s="9" t="inlineStr">
        <is>
          <t>NS</t>
        </is>
      </c>
      <c r="N2575" s="3" t="inlineStr">
        <is>
          <t>Cold Soldering</t>
        </is>
      </c>
      <c r="O2575" s="56" t="n">
        <v>575</v>
      </c>
      <c r="P2575" s="46" t="inlineStr">
        <is>
          <t>NSMI24070219528</t>
        </is>
      </c>
      <c r="Q2575" s="54">
        <f>MID(P2575,5,2)</f>
        <v/>
      </c>
      <c r="R2575" s="53">
        <f>MID(P2575,7,2)</f>
        <v/>
      </c>
      <c r="S2575" s="3" t="inlineStr">
        <is>
          <t>G2G</t>
        </is>
      </c>
      <c r="T2575" s="3" t="inlineStr">
        <is>
          <t>P4</t>
        </is>
      </c>
      <c r="U2575" s="3" t="inlineStr">
        <is>
          <t>N JB Cold Soldering</t>
        </is>
      </c>
      <c r="V2575" s="3" t="inlineStr">
        <is>
          <t>Soldering</t>
        </is>
      </c>
      <c r="W2575" s="3" t="inlineStr">
        <is>
          <t>Repair</t>
        </is>
      </c>
      <c r="X2575" s="18" t="n">
        <v>46172</v>
      </c>
      <c r="Y2575" s="3">
        <f>X2575-A2575</f>
        <v/>
      </c>
      <c r="Z2575" s="18" t="n">
        <v>46172</v>
      </c>
      <c r="AA2575" s="15" t="n"/>
      <c r="AB2575" s="15" t="n"/>
    </row>
    <row r="2576">
      <c r="A2576" s="37" t="n">
        <v>46143</v>
      </c>
      <c r="B2576" s="3" t="n">
        <v>2026</v>
      </c>
      <c r="C2576" s="26" t="inlineStr">
        <is>
          <t>Yanara Power</t>
        </is>
      </c>
      <c r="D2576" s="3" t="inlineStr">
        <is>
          <t>Utility and C&amp;I</t>
        </is>
      </c>
      <c r="E2576" s="3" t="n"/>
      <c r="F2576" s="3" t="inlineStr">
        <is>
          <t>Closed</t>
        </is>
      </c>
      <c r="G2576" s="9" t="inlineStr">
        <is>
          <t xml:space="preserve">Ashish Jindal </t>
        </is>
      </c>
      <c r="H2576" s="26" t="n">
        <v>9983975581</v>
      </c>
      <c r="I2576" s="38" t="inlineStr">
        <is>
          <t>PE01052601</t>
        </is>
      </c>
      <c r="J2576" s="26" t="inlineStr">
        <is>
          <t>Multiple Issues</t>
        </is>
      </c>
      <c r="K2576" s="39" t="inlineStr">
        <is>
          <t>Holi</t>
        </is>
      </c>
      <c r="L2576" s="39" t="inlineStr">
        <is>
          <t>Maharashtra</t>
        </is>
      </c>
      <c r="M2576" s="9" t="inlineStr">
        <is>
          <t>PS</t>
        </is>
      </c>
      <c r="N2576" s="3" t="inlineStr">
        <is>
          <t>Cold Soldering</t>
        </is>
      </c>
      <c r="O2576" s="56" t="n">
        <v>575</v>
      </c>
      <c r="P2576" s="46" t="inlineStr">
        <is>
          <t>NSMI24070216809</t>
        </is>
      </c>
      <c r="Q2576" s="54">
        <f>MID(P2576,5,2)</f>
        <v/>
      </c>
      <c r="R2576" s="53">
        <f>MID(P2576,7,2)</f>
        <v/>
      </c>
      <c r="S2576" s="3" t="inlineStr">
        <is>
          <t>G2G</t>
        </is>
      </c>
      <c r="T2576" s="3" t="inlineStr">
        <is>
          <t>P4</t>
        </is>
      </c>
      <c r="U2576" s="19" t="inlineStr">
        <is>
          <t>P JB Cold Soldering</t>
        </is>
      </c>
      <c r="V2576" s="19" t="inlineStr">
        <is>
          <t>Soldering</t>
        </is>
      </c>
      <c r="W2576" s="3" t="inlineStr">
        <is>
          <t>Repair</t>
        </is>
      </c>
      <c r="X2576" s="18" t="n">
        <v>46172</v>
      </c>
      <c r="Y2576" s="3">
        <f>X2576-A2576</f>
        <v/>
      </c>
      <c r="Z2576" s="18" t="n">
        <v>46172</v>
      </c>
      <c r="AA2576" s="15" t="n"/>
      <c r="AB2576" s="15" t="n"/>
    </row>
    <row r="2577">
      <c r="A2577" s="37" t="n">
        <v>46143</v>
      </c>
      <c r="B2577" s="3" t="n">
        <v>2026</v>
      </c>
      <c r="C2577" s="26" t="inlineStr">
        <is>
          <t>Yanara Power</t>
        </is>
      </c>
      <c r="D2577" s="3" t="inlineStr">
        <is>
          <t>Utility and C&amp;I</t>
        </is>
      </c>
      <c r="E2577" s="3" t="n"/>
      <c r="F2577" s="3" t="inlineStr">
        <is>
          <t>Closed</t>
        </is>
      </c>
      <c r="G2577" s="9" t="inlineStr">
        <is>
          <t xml:space="preserve">Ashish Jindal </t>
        </is>
      </c>
      <c r="H2577" s="26" t="n">
        <v>9983975581</v>
      </c>
      <c r="I2577" s="38" t="inlineStr">
        <is>
          <t>PE01052601</t>
        </is>
      </c>
      <c r="J2577" s="26" t="inlineStr">
        <is>
          <t>Multiple Issues</t>
        </is>
      </c>
      <c r="K2577" s="39" t="inlineStr">
        <is>
          <t>Holi</t>
        </is>
      </c>
      <c r="L2577" s="39" t="inlineStr">
        <is>
          <t>Maharashtra</t>
        </is>
      </c>
      <c r="M2577" s="9" t="inlineStr">
        <is>
          <t>NS</t>
        </is>
      </c>
      <c r="N2577" s="3" t="inlineStr">
        <is>
          <t>Cold Soldering</t>
        </is>
      </c>
      <c r="O2577" s="56" t="n">
        <v>575</v>
      </c>
      <c r="P2577" s="46" t="inlineStr">
        <is>
          <t>NSMI24070217701</t>
        </is>
      </c>
      <c r="Q2577" s="54">
        <f>MID(P2577,5,2)</f>
        <v/>
      </c>
      <c r="R2577" s="53">
        <f>MID(P2577,7,2)</f>
        <v/>
      </c>
      <c r="S2577" s="3" t="inlineStr">
        <is>
          <t>G2G</t>
        </is>
      </c>
      <c r="T2577" s="3" t="inlineStr">
        <is>
          <t>P4</t>
        </is>
      </c>
      <c r="U2577" s="3" t="inlineStr">
        <is>
          <t>N JB Cold Soldering</t>
        </is>
      </c>
      <c r="V2577" s="3" t="inlineStr">
        <is>
          <t>Soldering</t>
        </is>
      </c>
      <c r="W2577" s="3" t="inlineStr">
        <is>
          <t>Repair</t>
        </is>
      </c>
      <c r="X2577" s="18" t="n">
        <v>46172</v>
      </c>
      <c r="Y2577" s="3">
        <f>X2577-A2577</f>
        <v/>
      </c>
      <c r="Z2577" s="18" t="n">
        <v>46172</v>
      </c>
      <c r="AA2577" s="15" t="n"/>
      <c r="AB2577" s="15" t="n"/>
    </row>
    <row r="2578">
      <c r="A2578" s="37" t="n">
        <v>46143</v>
      </c>
      <c r="B2578" s="3" t="n">
        <v>2026</v>
      </c>
      <c r="C2578" s="26" t="inlineStr">
        <is>
          <t>Yanara Power</t>
        </is>
      </c>
      <c r="D2578" s="3" t="inlineStr">
        <is>
          <t>Utility and C&amp;I</t>
        </is>
      </c>
      <c r="E2578" s="3" t="n"/>
      <c r="F2578" s="3" t="inlineStr">
        <is>
          <t>Closed</t>
        </is>
      </c>
      <c r="G2578" s="9" t="inlineStr">
        <is>
          <t xml:space="preserve">Ashish Jindal </t>
        </is>
      </c>
      <c r="H2578" s="26" t="n">
        <v>9983975581</v>
      </c>
      <c r="I2578" s="38" t="inlineStr">
        <is>
          <t>PE01052601</t>
        </is>
      </c>
      <c r="J2578" s="26" t="inlineStr">
        <is>
          <t>Multiple Issues</t>
        </is>
      </c>
      <c r="K2578" s="39" t="inlineStr">
        <is>
          <t>Holi</t>
        </is>
      </c>
      <c r="L2578" s="39" t="inlineStr">
        <is>
          <t>Maharashtra</t>
        </is>
      </c>
      <c r="M2578" s="9" t="inlineStr">
        <is>
          <t>NS</t>
        </is>
      </c>
      <c r="N2578" s="3" t="inlineStr">
        <is>
          <t>Cold Soldering</t>
        </is>
      </c>
      <c r="O2578" s="56" t="n">
        <v>575</v>
      </c>
      <c r="P2578" s="46" t="inlineStr">
        <is>
          <t>NSMI24070196137</t>
        </is>
      </c>
      <c r="Q2578" s="54">
        <f>MID(P2578,5,2)</f>
        <v/>
      </c>
      <c r="R2578" s="53">
        <f>MID(P2578,7,2)</f>
        <v/>
      </c>
      <c r="S2578" s="3" t="inlineStr">
        <is>
          <t>G2G</t>
        </is>
      </c>
      <c r="T2578" s="3" t="inlineStr">
        <is>
          <t>P4</t>
        </is>
      </c>
      <c r="U2578" s="3" t="inlineStr">
        <is>
          <t>N JB Cold Soldering</t>
        </is>
      </c>
      <c r="V2578" s="3" t="inlineStr">
        <is>
          <t>Soldering</t>
        </is>
      </c>
      <c r="W2578" s="3" t="inlineStr">
        <is>
          <t>Repair</t>
        </is>
      </c>
      <c r="X2578" s="18" t="n">
        <v>46172</v>
      </c>
      <c r="Y2578" s="3">
        <f>X2578-A2578</f>
        <v/>
      </c>
      <c r="Z2578" s="18" t="n">
        <v>46172</v>
      </c>
      <c r="AA2578" s="15" t="n"/>
      <c r="AB2578" s="15" t="n"/>
    </row>
    <row r="2579">
      <c r="A2579" s="37" t="n">
        <v>46143</v>
      </c>
      <c r="B2579" s="3" t="n">
        <v>2026</v>
      </c>
      <c r="C2579" s="26" t="inlineStr">
        <is>
          <t>Yanara Power</t>
        </is>
      </c>
      <c r="D2579" s="3" t="inlineStr">
        <is>
          <t>Utility and C&amp;I</t>
        </is>
      </c>
      <c r="E2579" s="3" t="n"/>
      <c r="F2579" s="3" t="inlineStr">
        <is>
          <t>Closed</t>
        </is>
      </c>
      <c r="G2579" s="9" t="inlineStr">
        <is>
          <t xml:space="preserve">Ashish Jindal </t>
        </is>
      </c>
      <c r="H2579" s="26" t="n">
        <v>9983975581</v>
      </c>
      <c r="I2579" s="38" t="inlineStr">
        <is>
          <t>PE01052601</t>
        </is>
      </c>
      <c r="J2579" s="26" t="inlineStr">
        <is>
          <t>Multiple Issues</t>
        </is>
      </c>
      <c r="K2579" s="39" t="inlineStr">
        <is>
          <t>Holi</t>
        </is>
      </c>
      <c r="L2579" s="39" t="inlineStr">
        <is>
          <t>Maharashtra</t>
        </is>
      </c>
      <c r="M2579" s="9" t="inlineStr">
        <is>
          <t>NS</t>
        </is>
      </c>
      <c r="N2579" s="3" t="inlineStr">
        <is>
          <t>Cold Soldering</t>
        </is>
      </c>
      <c r="O2579" s="56" t="n">
        <v>575</v>
      </c>
      <c r="P2579" s="46" t="inlineStr">
        <is>
          <t>NSMI24070204533</t>
        </is>
      </c>
      <c r="Q2579" s="54">
        <f>MID(P2579,5,2)</f>
        <v/>
      </c>
      <c r="R2579" s="53">
        <f>MID(P2579,7,2)</f>
        <v/>
      </c>
      <c r="S2579" s="3" t="inlineStr">
        <is>
          <t>G2G</t>
        </is>
      </c>
      <c r="T2579" s="3" t="inlineStr">
        <is>
          <t>P4</t>
        </is>
      </c>
      <c r="U2579" s="3" t="inlineStr">
        <is>
          <t>N JB Cold Soldering</t>
        </is>
      </c>
      <c r="V2579" s="3" t="inlineStr">
        <is>
          <t>Soldering</t>
        </is>
      </c>
      <c r="W2579" s="3" t="inlineStr">
        <is>
          <t>Repair</t>
        </is>
      </c>
      <c r="X2579" s="18" t="n">
        <v>46172</v>
      </c>
      <c r="Y2579" s="3">
        <f>X2579-A2579</f>
        <v/>
      </c>
      <c r="Z2579" s="18" t="n">
        <v>46172</v>
      </c>
      <c r="AA2579" s="15" t="n"/>
      <c r="AB2579" s="15" t="n"/>
    </row>
    <row r="2580">
      <c r="A2580" s="37" t="n">
        <v>46143</v>
      </c>
      <c r="B2580" s="3" t="n">
        <v>2026</v>
      </c>
      <c r="C2580" s="26" t="inlineStr">
        <is>
          <t>Yanara Power</t>
        </is>
      </c>
      <c r="D2580" s="3" t="inlineStr">
        <is>
          <t>Utility and C&amp;I</t>
        </is>
      </c>
      <c r="E2580" s="3" t="n"/>
      <c r="F2580" s="3" t="inlineStr">
        <is>
          <t>Closed</t>
        </is>
      </c>
      <c r="G2580" s="9" t="inlineStr">
        <is>
          <t xml:space="preserve">Ashish Jindal </t>
        </is>
      </c>
      <c r="H2580" s="26" t="n">
        <v>9983975581</v>
      </c>
      <c r="I2580" s="38" t="inlineStr">
        <is>
          <t>PE01052601</t>
        </is>
      </c>
      <c r="J2580" s="26" t="inlineStr">
        <is>
          <t>Multiple Issues</t>
        </is>
      </c>
      <c r="K2580" s="39" t="inlineStr">
        <is>
          <t>Holi</t>
        </is>
      </c>
      <c r="L2580" s="39" t="inlineStr">
        <is>
          <t>Maharashtra</t>
        </is>
      </c>
      <c r="M2580" s="9" t="inlineStr">
        <is>
          <t>PS</t>
        </is>
      </c>
      <c r="N2580" s="3" t="inlineStr">
        <is>
          <t>Cold Soldering</t>
        </is>
      </c>
      <c r="O2580" s="56" t="n">
        <v>575</v>
      </c>
      <c r="P2580" s="46" t="inlineStr">
        <is>
          <t>NSMI24070190448</t>
        </is>
      </c>
      <c r="Q2580" s="54">
        <f>MID(P2580,5,2)</f>
        <v/>
      </c>
      <c r="R2580" s="53">
        <f>MID(P2580,7,2)</f>
        <v/>
      </c>
      <c r="S2580" s="3" t="inlineStr">
        <is>
          <t>G2G</t>
        </is>
      </c>
      <c r="T2580" s="3" t="inlineStr">
        <is>
          <t>P4</t>
        </is>
      </c>
      <c r="U2580" s="19" t="inlineStr">
        <is>
          <t>P JB Cold Soldering</t>
        </is>
      </c>
      <c r="V2580" s="19" t="inlineStr">
        <is>
          <t>Soldering</t>
        </is>
      </c>
      <c r="W2580" s="3" t="inlineStr">
        <is>
          <t>Repair</t>
        </is>
      </c>
      <c r="X2580" s="18" t="n">
        <v>46172</v>
      </c>
      <c r="Y2580" s="3">
        <f>X2580-A2580</f>
        <v/>
      </c>
      <c r="Z2580" s="18" t="n">
        <v>46172</v>
      </c>
      <c r="AA2580" s="15" t="n"/>
      <c r="AB2580" s="15" t="n"/>
    </row>
    <row r="2581">
      <c r="A2581" s="37" t="n">
        <v>46143</v>
      </c>
      <c r="B2581" s="3" t="n">
        <v>2026</v>
      </c>
      <c r="C2581" s="26" t="inlineStr">
        <is>
          <t>Yanara Power</t>
        </is>
      </c>
      <c r="D2581" s="3" t="inlineStr">
        <is>
          <t>Utility and C&amp;I</t>
        </is>
      </c>
      <c r="E2581" s="3" t="n"/>
      <c r="F2581" s="3" t="inlineStr">
        <is>
          <t>Closed</t>
        </is>
      </c>
      <c r="G2581" s="9" t="inlineStr">
        <is>
          <t xml:space="preserve">Ashish Jindal </t>
        </is>
      </c>
      <c r="H2581" s="26" t="n">
        <v>9983975581</v>
      </c>
      <c r="I2581" s="38" t="inlineStr">
        <is>
          <t>PE01052601</t>
        </is>
      </c>
      <c r="J2581" s="26" t="inlineStr">
        <is>
          <t>Multiple Issues</t>
        </is>
      </c>
      <c r="K2581" s="39" t="inlineStr">
        <is>
          <t>Holi</t>
        </is>
      </c>
      <c r="L2581" s="39" t="inlineStr">
        <is>
          <t>Maharashtra</t>
        </is>
      </c>
      <c r="M2581" s="9" t="inlineStr">
        <is>
          <t>PS</t>
        </is>
      </c>
      <c r="N2581" s="3" t="inlineStr">
        <is>
          <t>Cold Soldering</t>
        </is>
      </c>
      <c r="O2581" s="56" t="n">
        <v>575</v>
      </c>
      <c r="P2581" s="46" t="inlineStr">
        <is>
          <t>NSMI24070190452</t>
        </is>
      </c>
      <c r="Q2581" s="54">
        <f>MID(P2581,5,2)</f>
        <v/>
      </c>
      <c r="R2581" s="53">
        <f>MID(P2581,7,2)</f>
        <v/>
      </c>
      <c r="S2581" s="3" t="inlineStr">
        <is>
          <t>G2G</t>
        </is>
      </c>
      <c r="T2581" s="3" t="inlineStr">
        <is>
          <t>P4</t>
        </is>
      </c>
      <c r="U2581" s="19" t="inlineStr">
        <is>
          <t>P JB Cold Soldering</t>
        </is>
      </c>
      <c r="V2581" s="19" t="inlineStr">
        <is>
          <t>Soldering</t>
        </is>
      </c>
      <c r="W2581" s="3" t="inlineStr">
        <is>
          <t>Repair</t>
        </is>
      </c>
      <c r="X2581" s="18" t="n">
        <v>46172</v>
      </c>
      <c r="Y2581" s="3">
        <f>X2581-A2581</f>
        <v/>
      </c>
      <c r="Z2581" s="18" t="n">
        <v>46172</v>
      </c>
      <c r="AA2581" s="15" t="n"/>
      <c r="AB2581" s="15" t="n"/>
    </row>
    <row r="2582">
      <c r="A2582" s="37" t="n">
        <v>46143</v>
      </c>
      <c r="B2582" s="3" t="n">
        <v>2026</v>
      </c>
      <c r="C2582" s="26" t="inlineStr">
        <is>
          <t>Yanara Power</t>
        </is>
      </c>
      <c r="D2582" s="3" t="inlineStr">
        <is>
          <t>Utility and C&amp;I</t>
        </is>
      </c>
      <c r="E2582" s="3" t="n"/>
      <c r="F2582" s="3" t="inlineStr">
        <is>
          <t>Closed</t>
        </is>
      </c>
      <c r="G2582" s="9" t="inlineStr">
        <is>
          <t xml:space="preserve">Ashish Jindal </t>
        </is>
      </c>
      <c r="H2582" s="26" t="n">
        <v>9983975581</v>
      </c>
      <c r="I2582" s="38" t="inlineStr">
        <is>
          <t>PE01052601</t>
        </is>
      </c>
      <c r="J2582" s="26" t="inlineStr">
        <is>
          <t>Multiple Issues</t>
        </is>
      </c>
      <c r="K2582" s="39" t="inlineStr">
        <is>
          <t>Holi</t>
        </is>
      </c>
      <c r="L2582" s="39" t="inlineStr">
        <is>
          <t>Maharashtra</t>
        </is>
      </c>
      <c r="M2582" s="9" t="inlineStr">
        <is>
          <t>PNS</t>
        </is>
      </c>
      <c r="N2582" s="3" t="inlineStr">
        <is>
          <t>Cold Soldering</t>
        </is>
      </c>
      <c r="O2582" s="56" t="n">
        <v>575</v>
      </c>
      <c r="P2582" s="46" t="inlineStr">
        <is>
          <t>NSMI24070202969</t>
        </is>
      </c>
      <c r="Q2582" s="54">
        <f>MID(P2582,5,2)</f>
        <v/>
      </c>
      <c r="R2582" s="53">
        <f>MID(P2582,7,2)</f>
        <v/>
      </c>
      <c r="S2582" s="3" t="inlineStr">
        <is>
          <t>G2G</t>
        </is>
      </c>
      <c r="T2582" s="3" t="inlineStr">
        <is>
          <t>P4</t>
        </is>
      </c>
      <c r="U2582" s="3" t="inlineStr">
        <is>
          <t>P &amp; N JB Cold Soldering</t>
        </is>
      </c>
      <c r="V2582" s="3" t="inlineStr">
        <is>
          <t>Soldering</t>
        </is>
      </c>
      <c r="W2582" s="3" t="inlineStr">
        <is>
          <t>Repair</t>
        </is>
      </c>
      <c r="X2582" s="18" t="n">
        <v>46172</v>
      </c>
      <c r="Y2582" s="3">
        <f>X2582-A2582</f>
        <v/>
      </c>
      <c r="Z2582" s="18" t="n">
        <v>46172</v>
      </c>
      <c r="AA2582" s="15" t="n"/>
      <c r="AB2582" s="15" t="n"/>
    </row>
    <row r="2583">
      <c r="A2583" s="37" t="n">
        <v>46143</v>
      </c>
      <c r="B2583" s="3" t="n">
        <v>2026</v>
      </c>
      <c r="C2583" s="26" t="inlineStr">
        <is>
          <t>Yanara Power</t>
        </is>
      </c>
      <c r="D2583" s="3" t="inlineStr">
        <is>
          <t>Utility and C&amp;I</t>
        </is>
      </c>
      <c r="E2583" s="3" t="n"/>
      <c r="F2583" s="3" t="inlineStr">
        <is>
          <t>Closed</t>
        </is>
      </c>
      <c r="G2583" s="9" t="inlineStr">
        <is>
          <t xml:space="preserve">Ashish Jindal </t>
        </is>
      </c>
      <c r="H2583" s="26" t="n">
        <v>9983975581</v>
      </c>
      <c r="I2583" s="38" t="inlineStr">
        <is>
          <t>PE01052601</t>
        </is>
      </c>
      <c r="J2583" s="26" t="inlineStr">
        <is>
          <t>Multiple Issues</t>
        </is>
      </c>
      <c r="K2583" s="39" t="inlineStr">
        <is>
          <t>Holi</t>
        </is>
      </c>
      <c r="L2583" s="39" t="inlineStr">
        <is>
          <t>Maharashtra</t>
        </is>
      </c>
      <c r="M2583" s="9" t="inlineStr">
        <is>
          <t>NS</t>
        </is>
      </c>
      <c r="N2583" s="3" t="inlineStr">
        <is>
          <t>Cold Soldering</t>
        </is>
      </c>
      <c r="O2583" s="56" t="n">
        <v>575</v>
      </c>
      <c r="P2583" s="46" t="inlineStr">
        <is>
          <t>NSMI24070221431</t>
        </is>
      </c>
      <c r="Q2583" s="54">
        <f>MID(P2583,5,2)</f>
        <v/>
      </c>
      <c r="R2583" s="53">
        <f>MID(P2583,7,2)</f>
        <v/>
      </c>
      <c r="S2583" s="3" t="inlineStr">
        <is>
          <t>G2G</t>
        </is>
      </c>
      <c r="T2583" s="3" t="inlineStr">
        <is>
          <t>P4</t>
        </is>
      </c>
      <c r="U2583" s="3" t="inlineStr">
        <is>
          <t>N JB Cold Soldering</t>
        </is>
      </c>
      <c r="V2583" s="3" t="inlineStr">
        <is>
          <t>Soldering</t>
        </is>
      </c>
      <c r="W2583" s="3" t="inlineStr">
        <is>
          <t>Repair</t>
        </is>
      </c>
      <c r="X2583" s="18" t="n">
        <v>46172</v>
      </c>
      <c r="Y2583" s="3">
        <f>X2583-A2583</f>
        <v/>
      </c>
      <c r="Z2583" s="18" t="n">
        <v>46172</v>
      </c>
      <c r="AA2583" s="15" t="n"/>
      <c r="AB2583" s="15" t="n"/>
    </row>
    <row r="2584">
      <c r="A2584" s="37" t="n">
        <v>46143</v>
      </c>
      <c r="B2584" s="3" t="n">
        <v>2026</v>
      </c>
      <c r="C2584" s="26" t="inlineStr">
        <is>
          <t>Yanara Power</t>
        </is>
      </c>
      <c r="D2584" s="3" t="inlineStr">
        <is>
          <t>Utility and C&amp;I</t>
        </is>
      </c>
      <c r="E2584" s="3" t="n"/>
      <c r="F2584" s="3" t="inlineStr">
        <is>
          <t>Closed</t>
        </is>
      </c>
      <c r="G2584" s="9" t="inlineStr">
        <is>
          <t xml:space="preserve">Ashish Jindal </t>
        </is>
      </c>
      <c r="H2584" s="26" t="n">
        <v>9983975581</v>
      </c>
      <c r="I2584" s="38" t="inlineStr">
        <is>
          <t>PE01052601</t>
        </is>
      </c>
      <c r="J2584" s="26" t="inlineStr">
        <is>
          <t>Multiple Issues</t>
        </is>
      </c>
      <c r="K2584" s="39" t="inlineStr">
        <is>
          <t>Holi</t>
        </is>
      </c>
      <c r="L2584" s="39" t="inlineStr">
        <is>
          <t>Maharashtra</t>
        </is>
      </c>
      <c r="M2584" s="9" t="inlineStr">
        <is>
          <t>NS</t>
        </is>
      </c>
      <c r="N2584" s="3" t="inlineStr">
        <is>
          <t>Cold Soldering</t>
        </is>
      </c>
      <c r="O2584" s="56" t="n">
        <v>575</v>
      </c>
      <c r="P2584" s="46" t="inlineStr">
        <is>
          <t>NSMI24070221506</t>
        </is>
      </c>
      <c r="Q2584" s="54">
        <f>MID(P2584,5,2)</f>
        <v/>
      </c>
      <c r="R2584" s="53">
        <f>MID(P2584,7,2)</f>
        <v/>
      </c>
      <c r="S2584" s="3" t="inlineStr">
        <is>
          <t>G2G</t>
        </is>
      </c>
      <c r="T2584" s="3" t="inlineStr">
        <is>
          <t>P4</t>
        </is>
      </c>
      <c r="U2584" s="3" t="inlineStr">
        <is>
          <t>N JB Cold Soldering</t>
        </is>
      </c>
      <c r="V2584" s="3" t="inlineStr">
        <is>
          <t>Soldering</t>
        </is>
      </c>
      <c r="W2584" s="3" t="inlineStr">
        <is>
          <t>Repair</t>
        </is>
      </c>
      <c r="X2584" s="18" t="n">
        <v>46172</v>
      </c>
      <c r="Y2584" s="3">
        <f>X2584-A2584</f>
        <v/>
      </c>
      <c r="Z2584" s="18" t="n">
        <v>46172</v>
      </c>
      <c r="AA2584" s="15" t="n"/>
      <c r="AB2584" s="15" t="n"/>
    </row>
    <row r="2585">
      <c r="A2585" s="37" t="n">
        <v>46143</v>
      </c>
      <c r="B2585" s="3" t="n">
        <v>2026</v>
      </c>
      <c r="C2585" s="26" t="inlineStr">
        <is>
          <t>Yanara Power</t>
        </is>
      </c>
      <c r="D2585" s="3" t="inlineStr">
        <is>
          <t>Utility and C&amp;I</t>
        </is>
      </c>
      <c r="E2585" s="3" t="n"/>
      <c r="F2585" s="3" t="inlineStr">
        <is>
          <t>Closed</t>
        </is>
      </c>
      <c r="G2585" s="9" t="inlineStr">
        <is>
          <t xml:space="preserve">Ashish Jindal </t>
        </is>
      </c>
      <c r="H2585" s="26" t="n">
        <v>9983975581</v>
      </c>
      <c r="I2585" s="38" t="inlineStr">
        <is>
          <t>PE01052601</t>
        </is>
      </c>
      <c r="J2585" s="26" t="inlineStr">
        <is>
          <t>Multiple Issues</t>
        </is>
      </c>
      <c r="K2585" s="39" t="inlineStr">
        <is>
          <t>Holi</t>
        </is>
      </c>
      <c r="L2585" s="39" t="inlineStr">
        <is>
          <t>Maharashtra</t>
        </is>
      </c>
      <c r="M2585" s="9" t="inlineStr">
        <is>
          <t>NS</t>
        </is>
      </c>
      <c r="N2585" s="3" t="inlineStr">
        <is>
          <t>Cold Soldering</t>
        </is>
      </c>
      <c r="O2585" s="56" t="n">
        <v>575</v>
      </c>
      <c r="P2585" s="46" t="inlineStr">
        <is>
          <t>NSMI24070221543</t>
        </is>
      </c>
      <c r="Q2585" s="54">
        <f>MID(P2585,5,2)</f>
        <v/>
      </c>
      <c r="R2585" s="53">
        <f>MID(P2585,7,2)</f>
        <v/>
      </c>
      <c r="S2585" s="3" t="inlineStr">
        <is>
          <t>G2G</t>
        </is>
      </c>
      <c r="T2585" s="3" t="inlineStr">
        <is>
          <t>P4</t>
        </is>
      </c>
      <c r="U2585" s="3" t="inlineStr">
        <is>
          <t>N JB Cold Soldering</t>
        </is>
      </c>
      <c r="V2585" s="3" t="inlineStr">
        <is>
          <t>Soldering</t>
        </is>
      </c>
      <c r="W2585" s="3" t="inlineStr">
        <is>
          <t>Repair</t>
        </is>
      </c>
      <c r="X2585" s="18" t="n">
        <v>46172</v>
      </c>
      <c r="Y2585" s="3">
        <f>X2585-A2585</f>
        <v/>
      </c>
      <c r="Z2585" s="18" t="n">
        <v>46172</v>
      </c>
      <c r="AA2585" s="15" t="n"/>
      <c r="AB2585" s="15" t="n"/>
    </row>
    <row r="2586">
      <c r="A2586" s="37" t="n">
        <v>46143</v>
      </c>
      <c r="B2586" s="3" t="n">
        <v>2026</v>
      </c>
      <c r="C2586" s="26" t="inlineStr">
        <is>
          <t>Yanara Power</t>
        </is>
      </c>
      <c r="D2586" s="3" t="inlineStr">
        <is>
          <t>Utility and C&amp;I</t>
        </is>
      </c>
      <c r="E2586" s="3" t="n"/>
      <c r="F2586" s="3" t="inlineStr">
        <is>
          <t>Closed</t>
        </is>
      </c>
      <c r="G2586" s="9" t="inlineStr">
        <is>
          <t xml:space="preserve">Ashish Jindal </t>
        </is>
      </c>
      <c r="H2586" s="26" t="n">
        <v>9983975581</v>
      </c>
      <c r="I2586" s="38" t="inlineStr">
        <is>
          <t>PE01052601</t>
        </is>
      </c>
      <c r="J2586" s="26" t="inlineStr">
        <is>
          <t>Multiple Issues</t>
        </is>
      </c>
      <c r="K2586" s="39" t="inlineStr">
        <is>
          <t>Holi</t>
        </is>
      </c>
      <c r="L2586" s="39" t="inlineStr">
        <is>
          <t>Maharashtra</t>
        </is>
      </c>
      <c r="M2586" s="9" t="inlineStr">
        <is>
          <t>NS</t>
        </is>
      </c>
      <c r="N2586" s="3" t="inlineStr">
        <is>
          <t>Cold Soldering</t>
        </is>
      </c>
      <c r="O2586" s="56" t="n">
        <v>575</v>
      </c>
      <c r="P2586" s="46" t="inlineStr">
        <is>
          <t>NSMI24070165886</t>
        </is>
      </c>
      <c r="Q2586" s="54">
        <f>MID(P2586,5,2)</f>
        <v/>
      </c>
      <c r="R2586" s="53">
        <f>MID(P2586,7,2)</f>
        <v/>
      </c>
      <c r="S2586" s="3" t="inlineStr">
        <is>
          <t>G2G</t>
        </is>
      </c>
      <c r="T2586" s="3" t="inlineStr">
        <is>
          <t>P4</t>
        </is>
      </c>
      <c r="U2586" s="3" t="inlineStr">
        <is>
          <t>N JB Cold Soldering</t>
        </is>
      </c>
      <c r="V2586" s="3" t="inlineStr">
        <is>
          <t>Soldering</t>
        </is>
      </c>
      <c r="W2586" s="3" t="inlineStr">
        <is>
          <t>Repair</t>
        </is>
      </c>
      <c r="X2586" s="18" t="n">
        <v>46172</v>
      </c>
      <c r="Y2586" s="3">
        <f>X2586-A2586</f>
        <v/>
      </c>
      <c r="Z2586" s="18" t="n">
        <v>46172</v>
      </c>
      <c r="AA2586" s="15" t="n"/>
      <c r="AB2586" s="15" t="n"/>
    </row>
    <row r="2587">
      <c r="A2587" s="37" t="n">
        <v>46143</v>
      </c>
      <c r="B2587" s="3" t="n">
        <v>2026</v>
      </c>
      <c r="C2587" s="26" t="inlineStr">
        <is>
          <t>Yanara Power</t>
        </is>
      </c>
      <c r="D2587" s="3" t="inlineStr">
        <is>
          <t>Utility and C&amp;I</t>
        </is>
      </c>
      <c r="E2587" s="3" t="n"/>
      <c r="F2587" s="3" t="inlineStr">
        <is>
          <t>Closed</t>
        </is>
      </c>
      <c r="G2587" s="9" t="inlineStr">
        <is>
          <t xml:space="preserve">Ashish Jindal </t>
        </is>
      </c>
      <c r="H2587" s="26" t="n">
        <v>9983975581</v>
      </c>
      <c r="I2587" s="38" t="inlineStr">
        <is>
          <t>PE01052601</t>
        </is>
      </c>
      <c r="J2587" s="26" t="inlineStr">
        <is>
          <t>Multiple Issues</t>
        </is>
      </c>
      <c r="K2587" s="39" t="inlineStr">
        <is>
          <t>Holi</t>
        </is>
      </c>
      <c r="L2587" s="39" t="inlineStr">
        <is>
          <t>Maharashtra</t>
        </is>
      </c>
      <c r="M2587" s="9" t="inlineStr">
        <is>
          <t>PS</t>
        </is>
      </c>
      <c r="N2587" s="3" t="inlineStr">
        <is>
          <t>Cold Soldering</t>
        </is>
      </c>
      <c r="O2587" s="56" t="n">
        <v>575</v>
      </c>
      <c r="P2587" s="46" t="inlineStr">
        <is>
          <t>NSMI24070183949</t>
        </is>
      </c>
      <c r="Q2587" s="54">
        <f>MID(P2587,5,2)</f>
        <v/>
      </c>
      <c r="R2587" s="53">
        <f>MID(P2587,7,2)</f>
        <v/>
      </c>
      <c r="S2587" s="3" t="inlineStr">
        <is>
          <t>G2G</t>
        </is>
      </c>
      <c r="T2587" s="3" t="inlineStr">
        <is>
          <t>P4</t>
        </is>
      </c>
      <c r="U2587" s="19" t="inlineStr">
        <is>
          <t>P JB Cold Soldering</t>
        </is>
      </c>
      <c r="V2587" s="19" t="inlineStr">
        <is>
          <t>Soldering</t>
        </is>
      </c>
      <c r="W2587" s="3" t="inlineStr">
        <is>
          <t>Repair</t>
        </is>
      </c>
      <c r="X2587" s="18" t="n">
        <v>46172</v>
      </c>
      <c r="Y2587" s="3">
        <f>X2587-A2587</f>
        <v/>
      </c>
      <c r="Z2587" s="18" t="n">
        <v>46172</v>
      </c>
      <c r="AA2587" s="15" t="n"/>
      <c r="AB2587" s="15" t="n"/>
    </row>
    <row r="2588">
      <c r="A2588" s="37" t="n">
        <v>46143</v>
      </c>
      <c r="B2588" s="3" t="n">
        <v>2026</v>
      </c>
      <c r="C2588" s="26" t="inlineStr">
        <is>
          <t>Yanara Power</t>
        </is>
      </c>
      <c r="D2588" s="3" t="inlineStr">
        <is>
          <t>Utility and C&amp;I</t>
        </is>
      </c>
      <c r="E2588" s="3" t="n"/>
      <c r="F2588" s="3" t="inlineStr">
        <is>
          <t>Closed</t>
        </is>
      </c>
      <c r="G2588" s="9" t="inlineStr">
        <is>
          <t xml:space="preserve">Ashish Jindal </t>
        </is>
      </c>
      <c r="H2588" s="26" t="n">
        <v>9983975581</v>
      </c>
      <c r="I2588" s="38" t="inlineStr">
        <is>
          <t>PE01052601</t>
        </is>
      </c>
      <c r="J2588" s="26" t="inlineStr">
        <is>
          <t>Multiple Issues</t>
        </is>
      </c>
      <c r="K2588" s="39" t="inlineStr">
        <is>
          <t>Holi</t>
        </is>
      </c>
      <c r="L2588" s="39" t="inlineStr">
        <is>
          <t>Maharashtra</t>
        </is>
      </c>
      <c r="M2588" s="9" t="inlineStr">
        <is>
          <t>NS</t>
        </is>
      </c>
      <c r="N2588" s="3" t="inlineStr">
        <is>
          <t>Cold Soldering</t>
        </is>
      </c>
      <c r="O2588" s="56" t="n">
        <v>575</v>
      </c>
      <c r="P2588" s="46" t="inlineStr">
        <is>
          <t>NSMI24070218785</t>
        </is>
      </c>
      <c r="Q2588" s="54">
        <f>MID(P2588,5,2)</f>
        <v/>
      </c>
      <c r="R2588" s="53">
        <f>MID(P2588,7,2)</f>
        <v/>
      </c>
      <c r="S2588" s="3" t="inlineStr">
        <is>
          <t>G2G</t>
        </is>
      </c>
      <c r="T2588" s="3" t="inlineStr">
        <is>
          <t>P4</t>
        </is>
      </c>
      <c r="U2588" s="3" t="inlineStr">
        <is>
          <t>N JB Cold Soldering</t>
        </is>
      </c>
      <c r="V2588" s="3" t="inlineStr">
        <is>
          <t>Soldering</t>
        </is>
      </c>
      <c r="W2588" s="3" t="inlineStr">
        <is>
          <t>Repair</t>
        </is>
      </c>
      <c r="X2588" s="18" t="n">
        <v>46172</v>
      </c>
      <c r="Y2588" s="3">
        <f>X2588-A2588</f>
        <v/>
      </c>
      <c r="Z2588" s="18" t="n">
        <v>46172</v>
      </c>
      <c r="AA2588" s="15" t="n"/>
      <c r="AB2588" s="15" t="n"/>
    </row>
    <row r="2589">
      <c r="A2589" s="37" t="n">
        <v>46143</v>
      </c>
      <c r="B2589" s="3" t="n">
        <v>2026</v>
      </c>
      <c r="C2589" s="26" t="inlineStr">
        <is>
          <t>Yanara Power</t>
        </is>
      </c>
      <c r="D2589" s="3" t="inlineStr">
        <is>
          <t>Utility and C&amp;I</t>
        </is>
      </c>
      <c r="E2589" s="3" t="n"/>
      <c r="F2589" s="3" t="inlineStr">
        <is>
          <t>Closed</t>
        </is>
      </c>
      <c r="G2589" s="9" t="inlineStr">
        <is>
          <t xml:space="preserve">Ashish Jindal </t>
        </is>
      </c>
      <c r="H2589" s="26" t="n">
        <v>9983975581</v>
      </c>
      <c r="I2589" s="38" t="inlineStr">
        <is>
          <t>PE01052601</t>
        </is>
      </c>
      <c r="J2589" s="26" t="inlineStr">
        <is>
          <t>Multiple Issues</t>
        </is>
      </c>
      <c r="K2589" s="39" t="inlineStr">
        <is>
          <t>Holi</t>
        </is>
      </c>
      <c r="L2589" s="39" t="inlineStr">
        <is>
          <t>Maharashtra</t>
        </is>
      </c>
      <c r="M2589" s="9" t="inlineStr">
        <is>
          <t>NS</t>
        </is>
      </c>
      <c r="N2589" s="3" t="inlineStr">
        <is>
          <t>Cold Soldering</t>
        </is>
      </c>
      <c r="O2589" s="56" t="n">
        <v>575</v>
      </c>
      <c r="P2589" s="46" t="inlineStr">
        <is>
          <t>NSMI24070218805</t>
        </is>
      </c>
      <c r="Q2589" s="54">
        <f>MID(P2589,5,2)</f>
        <v/>
      </c>
      <c r="R2589" s="53">
        <f>MID(P2589,7,2)</f>
        <v/>
      </c>
      <c r="S2589" s="3" t="inlineStr">
        <is>
          <t>G2G</t>
        </is>
      </c>
      <c r="T2589" s="3" t="inlineStr">
        <is>
          <t>P4</t>
        </is>
      </c>
      <c r="U2589" s="3" t="inlineStr">
        <is>
          <t>N JB Cold Soldering</t>
        </is>
      </c>
      <c r="V2589" s="3" t="inlineStr">
        <is>
          <t>Soldering</t>
        </is>
      </c>
      <c r="W2589" s="3" t="inlineStr">
        <is>
          <t>Repair</t>
        </is>
      </c>
      <c r="X2589" s="18" t="n">
        <v>46172</v>
      </c>
      <c r="Y2589" s="3">
        <f>X2589-A2589</f>
        <v/>
      </c>
      <c r="Z2589" s="18" t="n">
        <v>46172</v>
      </c>
      <c r="AA2589" s="15" t="n"/>
      <c r="AB2589" s="15" t="n"/>
    </row>
    <row r="2590">
      <c r="A2590" s="37" t="n">
        <v>46143</v>
      </c>
      <c r="B2590" s="3" t="n">
        <v>2026</v>
      </c>
      <c r="C2590" s="26" t="inlineStr">
        <is>
          <t>Yanara Power</t>
        </is>
      </c>
      <c r="D2590" s="3" t="inlineStr">
        <is>
          <t>Utility and C&amp;I</t>
        </is>
      </c>
      <c r="E2590" s="3" t="n"/>
      <c r="F2590" s="3" t="inlineStr">
        <is>
          <t>Closed</t>
        </is>
      </c>
      <c r="G2590" s="9" t="inlineStr">
        <is>
          <t xml:space="preserve">Ashish Jindal </t>
        </is>
      </c>
      <c r="H2590" s="26" t="n">
        <v>9983975581</v>
      </c>
      <c r="I2590" s="38" t="inlineStr">
        <is>
          <t>PE01052601</t>
        </is>
      </c>
      <c r="J2590" s="26" t="inlineStr">
        <is>
          <t>Multiple Issues</t>
        </is>
      </c>
      <c r="K2590" s="39" t="inlineStr">
        <is>
          <t>Holi</t>
        </is>
      </c>
      <c r="L2590" s="39" t="inlineStr">
        <is>
          <t>Maharashtra</t>
        </is>
      </c>
      <c r="M2590" s="9" t="inlineStr">
        <is>
          <t>NS</t>
        </is>
      </c>
      <c r="N2590" s="3" t="inlineStr">
        <is>
          <t>Cold Soldering</t>
        </is>
      </c>
      <c r="O2590" s="56" t="n">
        <v>575</v>
      </c>
      <c r="P2590" s="46" t="inlineStr">
        <is>
          <t>NSMI24070176130</t>
        </is>
      </c>
      <c r="Q2590" s="54">
        <f>MID(P2590,5,2)</f>
        <v/>
      </c>
      <c r="R2590" s="53">
        <f>MID(P2590,7,2)</f>
        <v/>
      </c>
      <c r="S2590" s="3" t="inlineStr">
        <is>
          <t>G2G</t>
        </is>
      </c>
      <c r="T2590" s="3" t="inlineStr">
        <is>
          <t>P4</t>
        </is>
      </c>
      <c r="U2590" s="3" t="inlineStr">
        <is>
          <t>N JB Cold Soldering</t>
        </is>
      </c>
      <c r="V2590" s="3" t="inlineStr">
        <is>
          <t>Soldering</t>
        </is>
      </c>
      <c r="W2590" s="3" t="inlineStr">
        <is>
          <t>Repair</t>
        </is>
      </c>
      <c r="X2590" s="18" t="n">
        <v>46172</v>
      </c>
      <c r="Y2590" s="3">
        <f>X2590-A2590</f>
        <v/>
      </c>
      <c r="Z2590" s="18" t="n">
        <v>46172</v>
      </c>
      <c r="AA2590" s="15" t="n"/>
      <c r="AB2590" s="15" t="n"/>
    </row>
    <row r="2591">
      <c r="A2591" s="37" t="n">
        <v>46143</v>
      </c>
      <c r="B2591" s="3" t="n">
        <v>2026</v>
      </c>
      <c r="C2591" s="26" t="inlineStr">
        <is>
          <t>Yanara Power</t>
        </is>
      </c>
      <c r="D2591" s="3" t="inlineStr">
        <is>
          <t>Utility and C&amp;I</t>
        </is>
      </c>
      <c r="E2591" s="3" t="n"/>
      <c r="F2591" s="3" t="inlineStr">
        <is>
          <t>Closed</t>
        </is>
      </c>
      <c r="G2591" s="9" t="inlineStr">
        <is>
          <t xml:space="preserve">Ashish Jindal </t>
        </is>
      </c>
      <c r="H2591" s="26" t="n">
        <v>9983975581</v>
      </c>
      <c r="I2591" s="38" t="inlineStr">
        <is>
          <t>PE01052601</t>
        </is>
      </c>
      <c r="J2591" s="26" t="inlineStr">
        <is>
          <t>Multiple Issues</t>
        </is>
      </c>
      <c r="K2591" s="39" t="inlineStr">
        <is>
          <t>Holi</t>
        </is>
      </c>
      <c r="L2591" s="39" t="inlineStr">
        <is>
          <t>Maharashtra</t>
        </is>
      </c>
      <c r="M2591" s="9" t="inlineStr">
        <is>
          <t>NS</t>
        </is>
      </c>
      <c r="N2591" s="3" t="inlineStr">
        <is>
          <t>Cold Soldering</t>
        </is>
      </c>
      <c r="O2591" s="56" t="n">
        <v>575</v>
      </c>
      <c r="P2591" s="46" t="inlineStr">
        <is>
          <t>NSMI24070176158</t>
        </is>
      </c>
      <c r="Q2591" s="54">
        <f>MID(P2591,5,2)</f>
        <v/>
      </c>
      <c r="R2591" s="53">
        <f>MID(P2591,7,2)</f>
        <v/>
      </c>
      <c r="S2591" s="3" t="inlineStr">
        <is>
          <t>G2G</t>
        </is>
      </c>
      <c r="T2591" s="3" t="inlineStr">
        <is>
          <t>P4</t>
        </is>
      </c>
      <c r="U2591" s="3" t="inlineStr">
        <is>
          <t>N JB Cold Soldering</t>
        </is>
      </c>
      <c r="V2591" s="3" t="inlineStr">
        <is>
          <t>Soldering</t>
        </is>
      </c>
      <c r="W2591" s="3" t="inlineStr">
        <is>
          <t>Repair</t>
        </is>
      </c>
      <c r="X2591" s="18" t="n">
        <v>46172</v>
      </c>
      <c r="Y2591" s="3">
        <f>X2591-A2591</f>
        <v/>
      </c>
      <c r="Z2591" s="18" t="n">
        <v>46172</v>
      </c>
      <c r="AA2591" s="15" t="n"/>
      <c r="AB2591" s="15" t="n"/>
    </row>
    <row r="2592">
      <c r="A2592" s="37" t="n">
        <v>46143</v>
      </c>
      <c r="B2592" s="3" t="n">
        <v>2026</v>
      </c>
      <c r="C2592" s="26" t="inlineStr">
        <is>
          <t>Yanara Power</t>
        </is>
      </c>
      <c r="D2592" s="3" t="inlineStr">
        <is>
          <t>Utility and C&amp;I</t>
        </is>
      </c>
      <c r="E2592" s="3" t="n"/>
      <c r="F2592" s="3" t="inlineStr">
        <is>
          <t>Closed</t>
        </is>
      </c>
      <c r="G2592" s="9" t="inlineStr">
        <is>
          <t xml:space="preserve">Ashish Jindal </t>
        </is>
      </c>
      <c r="H2592" s="26" t="n">
        <v>9983975581</v>
      </c>
      <c r="I2592" s="38" t="inlineStr">
        <is>
          <t>PE01052601</t>
        </is>
      </c>
      <c r="J2592" s="26" t="inlineStr">
        <is>
          <t>Multiple Issues</t>
        </is>
      </c>
      <c r="K2592" s="39" t="inlineStr">
        <is>
          <t>Holi</t>
        </is>
      </c>
      <c r="L2592" s="39" t="inlineStr">
        <is>
          <t>Maharashtra</t>
        </is>
      </c>
      <c r="M2592" s="9" t="inlineStr">
        <is>
          <t>PS</t>
        </is>
      </c>
      <c r="N2592" s="3" t="inlineStr">
        <is>
          <t>Cold Soldering</t>
        </is>
      </c>
      <c r="O2592" s="56" t="n">
        <v>575</v>
      </c>
      <c r="P2592" s="46" t="inlineStr">
        <is>
          <t>NSMI24070183618</t>
        </is>
      </c>
      <c r="Q2592" s="54">
        <f>MID(P2592,5,2)</f>
        <v/>
      </c>
      <c r="R2592" s="53">
        <f>MID(P2592,7,2)</f>
        <v/>
      </c>
      <c r="S2592" s="3" t="inlineStr">
        <is>
          <t>G2G</t>
        </is>
      </c>
      <c r="T2592" s="3" t="inlineStr">
        <is>
          <t>P4</t>
        </is>
      </c>
      <c r="U2592" s="19" t="inlineStr">
        <is>
          <t>P JB Cold Soldering</t>
        </is>
      </c>
      <c r="V2592" s="19" t="inlineStr">
        <is>
          <t>Soldering</t>
        </is>
      </c>
      <c r="W2592" s="3" t="inlineStr">
        <is>
          <t>Repair</t>
        </is>
      </c>
      <c r="X2592" s="18" t="n">
        <v>46172</v>
      </c>
      <c r="Y2592" s="3">
        <f>X2592-A2592</f>
        <v/>
      </c>
      <c r="Z2592" s="18" t="n">
        <v>46172</v>
      </c>
      <c r="AA2592" s="15" t="n"/>
      <c r="AB2592" s="15" t="n"/>
    </row>
    <row r="2593">
      <c r="A2593" s="37" t="n">
        <v>46143</v>
      </c>
      <c r="B2593" s="3" t="n">
        <v>2026</v>
      </c>
      <c r="C2593" s="26" t="inlineStr">
        <is>
          <t>Yanara Power</t>
        </is>
      </c>
      <c r="D2593" s="3" t="inlineStr">
        <is>
          <t>Utility and C&amp;I</t>
        </is>
      </c>
      <c r="E2593" s="3" t="n"/>
      <c r="F2593" s="3" t="inlineStr">
        <is>
          <t>Closed</t>
        </is>
      </c>
      <c r="G2593" s="9" t="inlineStr">
        <is>
          <t xml:space="preserve">Ashish Jindal </t>
        </is>
      </c>
      <c r="H2593" s="26" t="n">
        <v>9983975581</v>
      </c>
      <c r="I2593" s="38" t="inlineStr">
        <is>
          <t>PE01052601</t>
        </is>
      </c>
      <c r="J2593" s="26" t="inlineStr">
        <is>
          <t>Multiple Issues</t>
        </is>
      </c>
      <c r="K2593" s="39" t="inlineStr">
        <is>
          <t>Holi</t>
        </is>
      </c>
      <c r="L2593" s="39" t="inlineStr">
        <is>
          <t>Maharashtra</t>
        </is>
      </c>
      <c r="M2593" s="9" t="inlineStr">
        <is>
          <t>PS</t>
        </is>
      </c>
      <c r="N2593" s="3" t="inlineStr">
        <is>
          <t>Cold Soldering</t>
        </is>
      </c>
      <c r="O2593" s="56" t="n">
        <v>575</v>
      </c>
      <c r="P2593" s="46" t="inlineStr">
        <is>
          <t>NSMI24070183628</t>
        </is>
      </c>
      <c r="Q2593" s="54">
        <f>MID(P2593,5,2)</f>
        <v/>
      </c>
      <c r="R2593" s="53">
        <f>MID(P2593,7,2)</f>
        <v/>
      </c>
      <c r="S2593" s="3" t="inlineStr">
        <is>
          <t>G2G</t>
        </is>
      </c>
      <c r="T2593" s="3" t="inlineStr">
        <is>
          <t>P4</t>
        </is>
      </c>
      <c r="U2593" s="19" t="inlineStr">
        <is>
          <t>P JB Cold Soldering</t>
        </is>
      </c>
      <c r="V2593" s="19" t="inlineStr">
        <is>
          <t>Soldering</t>
        </is>
      </c>
      <c r="W2593" s="3" t="inlineStr">
        <is>
          <t>Repair</t>
        </is>
      </c>
      <c r="X2593" s="18" t="n">
        <v>46172</v>
      </c>
      <c r="Y2593" s="3">
        <f>X2593-A2593</f>
        <v/>
      </c>
      <c r="Z2593" s="18" t="n">
        <v>46172</v>
      </c>
      <c r="AA2593" s="15" t="n"/>
      <c r="AB2593" s="15" t="n"/>
    </row>
    <row r="2594">
      <c r="A2594" s="37" t="n">
        <v>46143</v>
      </c>
      <c r="B2594" s="3" t="n">
        <v>2026</v>
      </c>
      <c r="C2594" s="26" t="inlineStr">
        <is>
          <t>Yanara Power</t>
        </is>
      </c>
      <c r="D2594" s="3" t="inlineStr">
        <is>
          <t>Utility and C&amp;I</t>
        </is>
      </c>
      <c r="E2594" s="3" t="n"/>
      <c r="F2594" s="3" t="inlineStr">
        <is>
          <t>Closed</t>
        </is>
      </c>
      <c r="G2594" s="9" t="inlineStr">
        <is>
          <t xml:space="preserve">Ashish Jindal </t>
        </is>
      </c>
      <c r="H2594" s="26" t="n">
        <v>9983975581</v>
      </c>
      <c r="I2594" s="38" t="inlineStr">
        <is>
          <t>PE01052601</t>
        </is>
      </c>
      <c r="J2594" s="26" t="inlineStr">
        <is>
          <t>Multiple Issues</t>
        </is>
      </c>
      <c r="K2594" s="39" t="inlineStr">
        <is>
          <t>Holi</t>
        </is>
      </c>
      <c r="L2594" s="39" t="inlineStr">
        <is>
          <t>Maharashtra</t>
        </is>
      </c>
      <c r="M2594" s="9" t="inlineStr">
        <is>
          <t>PS</t>
        </is>
      </c>
      <c r="N2594" s="3" t="inlineStr">
        <is>
          <t>Cold Soldering</t>
        </is>
      </c>
      <c r="O2594" s="56" t="n">
        <v>575</v>
      </c>
      <c r="P2594" s="46" t="inlineStr">
        <is>
          <t>NSMI24070216716</t>
        </is>
      </c>
      <c r="Q2594" s="54">
        <f>MID(P2594,5,2)</f>
        <v/>
      </c>
      <c r="R2594" s="53">
        <f>MID(P2594,7,2)</f>
        <v/>
      </c>
      <c r="S2594" s="3" t="inlineStr">
        <is>
          <t>G2G</t>
        </is>
      </c>
      <c r="T2594" s="3" t="inlineStr">
        <is>
          <t>P4</t>
        </is>
      </c>
      <c r="U2594" s="19" t="inlineStr">
        <is>
          <t>P JB Cold Soldering</t>
        </is>
      </c>
      <c r="V2594" s="19" t="inlineStr">
        <is>
          <t>Soldering</t>
        </is>
      </c>
      <c r="W2594" s="3" t="inlineStr">
        <is>
          <t>Repair</t>
        </is>
      </c>
      <c r="X2594" s="18" t="n">
        <v>46172</v>
      </c>
      <c r="Y2594" s="3">
        <f>X2594-A2594</f>
        <v/>
      </c>
      <c r="Z2594" s="18" t="n">
        <v>46172</v>
      </c>
      <c r="AA2594" s="15" t="n"/>
      <c r="AB2594" s="15" t="n"/>
    </row>
    <row r="2595">
      <c r="A2595" s="37" t="n">
        <v>46143</v>
      </c>
      <c r="B2595" s="3" t="n">
        <v>2026</v>
      </c>
      <c r="C2595" s="26" t="inlineStr">
        <is>
          <t>Yanara Power</t>
        </is>
      </c>
      <c r="D2595" s="3" t="inlineStr">
        <is>
          <t>Utility and C&amp;I</t>
        </is>
      </c>
      <c r="E2595" s="3" t="n"/>
      <c r="F2595" s="3" t="inlineStr">
        <is>
          <t>Closed</t>
        </is>
      </c>
      <c r="G2595" s="9" t="inlineStr">
        <is>
          <t xml:space="preserve">Ashish Jindal </t>
        </is>
      </c>
      <c r="H2595" s="26" t="n">
        <v>9983975581</v>
      </c>
      <c r="I2595" s="38" t="inlineStr">
        <is>
          <t>PE01052601</t>
        </is>
      </c>
      <c r="J2595" s="26" t="inlineStr">
        <is>
          <t>Multiple Issues</t>
        </is>
      </c>
      <c r="K2595" s="39" t="inlineStr">
        <is>
          <t>Holi</t>
        </is>
      </c>
      <c r="L2595" s="39" t="inlineStr">
        <is>
          <t>Maharashtra</t>
        </is>
      </c>
      <c r="M2595" s="9" t="inlineStr">
        <is>
          <t>PS</t>
        </is>
      </c>
      <c r="N2595" s="3" t="inlineStr">
        <is>
          <t>Cold Soldering</t>
        </is>
      </c>
      <c r="O2595" s="56" t="n">
        <v>575</v>
      </c>
      <c r="P2595" s="46" t="inlineStr">
        <is>
          <t>NSMI24070215305</t>
        </is>
      </c>
      <c r="Q2595" s="54">
        <f>MID(P2595,5,2)</f>
        <v/>
      </c>
      <c r="R2595" s="53">
        <f>MID(P2595,7,2)</f>
        <v/>
      </c>
      <c r="S2595" s="3" t="inlineStr">
        <is>
          <t>G2G</t>
        </is>
      </c>
      <c r="T2595" s="3" t="inlineStr">
        <is>
          <t>P4</t>
        </is>
      </c>
      <c r="U2595" s="19" t="inlineStr">
        <is>
          <t>P JB Cold Soldering</t>
        </is>
      </c>
      <c r="V2595" s="19" t="inlineStr">
        <is>
          <t>Soldering</t>
        </is>
      </c>
      <c r="W2595" s="3" t="inlineStr">
        <is>
          <t>Repair</t>
        </is>
      </c>
      <c r="X2595" s="18" t="n">
        <v>46172</v>
      </c>
      <c r="Y2595" s="3">
        <f>X2595-A2595</f>
        <v/>
      </c>
      <c r="Z2595" s="18" t="n">
        <v>46172</v>
      </c>
      <c r="AA2595" s="15" t="n"/>
      <c r="AB2595" s="15" t="n"/>
    </row>
    <row r="2596">
      <c r="A2596" s="37" t="n">
        <v>46143</v>
      </c>
      <c r="B2596" s="3" t="n">
        <v>2026</v>
      </c>
      <c r="C2596" s="26" t="inlineStr">
        <is>
          <t>Yanara Power</t>
        </is>
      </c>
      <c r="D2596" s="3" t="inlineStr">
        <is>
          <t>Utility and C&amp;I</t>
        </is>
      </c>
      <c r="E2596" s="3" t="n"/>
      <c r="F2596" s="3" t="inlineStr">
        <is>
          <t>Closed</t>
        </is>
      </c>
      <c r="G2596" s="9" t="inlineStr">
        <is>
          <t xml:space="preserve">Ashish Jindal </t>
        </is>
      </c>
      <c r="H2596" s="26" t="n">
        <v>9983975581</v>
      </c>
      <c r="I2596" s="38" t="inlineStr">
        <is>
          <t>PE01052601</t>
        </is>
      </c>
      <c r="J2596" s="26" t="inlineStr">
        <is>
          <t>Multiple Issues</t>
        </is>
      </c>
      <c r="K2596" s="39" t="inlineStr">
        <is>
          <t>Holi</t>
        </is>
      </c>
      <c r="L2596" s="39" t="inlineStr">
        <is>
          <t>Maharashtra</t>
        </is>
      </c>
      <c r="M2596" s="9" t="inlineStr">
        <is>
          <t>PS</t>
        </is>
      </c>
      <c r="N2596" s="3" t="inlineStr">
        <is>
          <t>Cold Soldering</t>
        </is>
      </c>
      <c r="O2596" s="56" t="n">
        <v>575</v>
      </c>
      <c r="P2596" s="46" t="inlineStr">
        <is>
          <t>NSMI24070183564</t>
        </is>
      </c>
      <c r="Q2596" s="54">
        <f>MID(P2596,5,2)</f>
        <v/>
      </c>
      <c r="R2596" s="53">
        <f>MID(P2596,7,2)</f>
        <v/>
      </c>
      <c r="S2596" s="3" t="inlineStr">
        <is>
          <t>G2G</t>
        </is>
      </c>
      <c r="T2596" s="3" t="inlineStr">
        <is>
          <t>P4</t>
        </is>
      </c>
      <c r="U2596" s="19" t="inlineStr">
        <is>
          <t>P JB Cold Soldering</t>
        </is>
      </c>
      <c r="V2596" s="19" t="inlineStr">
        <is>
          <t>Soldering</t>
        </is>
      </c>
      <c r="W2596" s="3" t="inlineStr">
        <is>
          <t>Repair</t>
        </is>
      </c>
      <c r="X2596" s="18" t="n">
        <v>46172</v>
      </c>
      <c r="Y2596" s="3">
        <f>X2596-A2596</f>
        <v/>
      </c>
      <c r="Z2596" s="18" t="n">
        <v>46172</v>
      </c>
      <c r="AA2596" s="15" t="n"/>
      <c r="AB2596" s="15" t="n"/>
    </row>
    <row r="2597">
      <c r="A2597" s="37" t="n">
        <v>46143</v>
      </c>
      <c r="B2597" s="3" t="n">
        <v>2026</v>
      </c>
      <c r="C2597" s="26" t="inlineStr">
        <is>
          <t>Yanara Power</t>
        </is>
      </c>
      <c r="D2597" s="3" t="inlineStr">
        <is>
          <t>Utility and C&amp;I</t>
        </is>
      </c>
      <c r="E2597" s="3" t="n"/>
      <c r="F2597" s="3" t="inlineStr">
        <is>
          <t>Closed</t>
        </is>
      </c>
      <c r="G2597" s="9" t="inlineStr">
        <is>
          <t xml:space="preserve">Ashish Jindal </t>
        </is>
      </c>
      <c r="H2597" s="26" t="n">
        <v>9983975581</v>
      </c>
      <c r="I2597" s="38" t="inlineStr">
        <is>
          <t>PE01052601</t>
        </is>
      </c>
      <c r="J2597" s="26" t="inlineStr">
        <is>
          <t>Multiple Issues</t>
        </is>
      </c>
      <c r="K2597" s="39" t="inlineStr">
        <is>
          <t>Holi</t>
        </is>
      </c>
      <c r="L2597" s="39" t="inlineStr">
        <is>
          <t>Maharashtra</t>
        </is>
      </c>
      <c r="M2597" s="9" t="inlineStr">
        <is>
          <t>NR</t>
        </is>
      </c>
      <c r="N2597" s="3" t="inlineStr">
        <is>
          <t>JB Issue</t>
        </is>
      </c>
      <c r="O2597" s="56" t="n">
        <v>575</v>
      </c>
      <c r="P2597" s="46" t="inlineStr">
        <is>
          <t>NSMI24070215192</t>
        </is>
      </c>
      <c r="Q2597" s="54">
        <f>MID(P2597,5,2)</f>
        <v/>
      </c>
      <c r="R2597" s="53">
        <f>MID(P2597,7,2)</f>
        <v/>
      </c>
      <c r="S2597" s="3" t="inlineStr">
        <is>
          <t>G2G</t>
        </is>
      </c>
      <c r="T2597" s="3" t="inlineStr">
        <is>
          <t>P4</t>
        </is>
      </c>
      <c r="U2597" s="3" t="inlineStr">
        <is>
          <t>N JB Issue</t>
        </is>
      </c>
      <c r="V2597" s="3" t="inlineStr">
        <is>
          <t>JB Changed</t>
        </is>
      </c>
      <c r="W2597" s="3" t="inlineStr">
        <is>
          <t>Repair</t>
        </is>
      </c>
      <c r="X2597" s="18" t="n">
        <v>46172</v>
      </c>
      <c r="Y2597" s="3">
        <f>X2597-A2597</f>
        <v/>
      </c>
      <c r="Z2597" s="18" t="n">
        <v>46172</v>
      </c>
      <c r="AA2597" s="15" t="n"/>
      <c r="AB2597" s="15" t="n"/>
    </row>
    <row r="2598">
      <c r="A2598" s="37" t="n">
        <v>46143</v>
      </c>
      <c r="B2598" s="3" t="n">
        <v>2026</v>
      </c>
      <c r="C2598" s="26" t="inlineStr">
        <is>
          <t>Yanara Power</t>
        </is>
      </c>
      <c r="D2598" s="3" t="inlineStr">
        <is>
          <t>Utility and C&amp;I</t>
        </is>
      </c>
      <c r="E2598" s="3" t="n"/>
      <c r="F2598" s="3" t="inlineStr">
        <is>
          <t>Closed</t>
        </is>
      </c>
      <c r="G2598" s="9" t="inlineStr">
        <is>
          <t xml:space="preserve">Ashish Jindal </t>
        </is>
      </c>
      <c r="H2598" s="26" t="n">
        <v>9983975581</v>
      </c>
      <c r="I2598" s="38" t="inlineStr">
        <is>
          <t>PE01052601</t>
        </is>
      </c>
      <c r="J2598" s="26" t="inlineStr">
        <is>
          <t>Multiple Issues</t>
        </is>
      </c>
      <c r="K2598" s="39" t="inlineStr">
        <is>
          <t>Holi</t>
        </is>
      </c>
      <c r="L2598" s="39" t="inlineStr">
        <is>
          <t>Maharashtra</t>
        </is>
      </c>
      <c r="M2598" s="9" t="inlineStr">
        <is>
          <t>PS</t>
        </is>
      </c>
      <c r="N2598" s="3" t="inlineStr">
        <is>
          <t>Cold Soldering</t>
        </is>
      </c>
      <c r="O2598" s="56" t="n">
        <v>575</v>
      </c>
      <c r="P2598" s="46" t="inlineStr">
        <is>
          <t>NSMI24070178622</t>
        </is>
      </c>
      <c r="Q2598" s="54">
        <f>MID(P2598,5,2)</f>
        <v/>
      </c>
      <c r="R2598" s="53">
        <f>MID(P2598,7,2)</f>
        <v/>
      </c>
      <c r="S2598" s="3" t="inlineStr">
        <is>
          <t>G2G</t>
        </is>
      </c>
      <c r="T2598" s="3" t="inlineStr">
        <is>
          <t>P4</t>
        </is>
      </c>
      <c r="U2598" s="19" t="inlineStr">
        <is>
          <t>P JB Cold Soldering</t>
        </is>
      </c>
      <c r="V2598" s="19" t="inlineStr">
        <is>
          <t>Soldering</t>
        </is>
      </c>
      <c r="W2598" s="3" t="inlineStr">
        <is>
          <t>Repair</t>
        </is>
      </c>
      <c r="X2598" s="18" t="n">
        <v>46172</v>
      </c>
      <c r="Y2598" s="3">
        <f>X2598-A2598</f>
        <v/>
      </c>
      <c r="Z2598" s="18" t="n">
        <v>46172</v>
      </c>
      <c r="AA2598" s="15" t="n"/>
      <c r="AB2598" s="15" t="n"/>
    </row>
    <row r="2599">
      <c r="A2599" s="37" t="n">
        <v>46143</v>
      </c>
      <c r="B2599" s="3" t="n">
        <v>2026</v>
      </c>
      <c r="C2599" s="26" t="inlineStr">
        <is>
          <t>Yanara Power</t>
        </is>
      </c>
      <c r="D2599" s="3" t="inlineStr">
        <is>
          <t>Utility and C&amp;I</t>
        </is>
      </c>
      <c r="E2599" s="3" t="n"/>
      <c r="F2599" s="3" t="inlineStr">
        <is>
          <t>Closed</t>
        </is>
      </c>
      <c r="G2599" s="9" t="inlineStr">
        <is>
          <t xml:space="preserve">Ashish Jindal </t>
        </is>
      </c>
      <c r="H2599" s="26" t="n">
        <v>9983975581</v>
      </c>
      <c r="I2599" s="38" t="inlineStr">
        <is>
          <t>PE01052601</t>
        </is>
      </c>
      <c r="J2599" s="26" t="inlineStr">
        <is>
          <t>Multiple Issues</t>
        </is>
      </c>
      <c r="K2599" s="39" t="inlineStr">
        <is>
          <t>Holi</t>
        </is>
      </c>
      <c r="L2599" s="39" t="inlineStr">
        <is>
          <t>Maharashtra</t>
        </is>
      </c>
      <c r="M2599" s="9" t="inlineStr">
        <is>
          <t>PS</t>
        </is>
      </c>
      <c r="N2599" s="3" t="inlineStr">
        <is>
          <t>Cold Soldering</t>
        </is>
      </c>
      <c r="O2599" s="56" t="n">
        <v>575</v>
      </c>
      <c r="P2599" s="46" t="inlineStr">
        <is>
          <t>NSMI24070190894</t>
        </is>
      </c>
      <c r="Q2599" s="54">
        <f>MID(P2599,5,2)</f>
        <v/>
      </c>
      <c r="R2599" s="53">
        <f>MID(P2599,7,2)</f>
        <v/>
      </c>
      <c r="S2599" s="3" t="inlineStr">
        <is>
          <t>G2G</t>
        </is>
      </c>
      <c r="T2599" s="3" t="inlineStr">
        <is>
          <t>P4</t>
        </is>
      </c>
      <c r="U2599" s="19" t="inlineStr">
        <is>
          <t>P JB Cold Soldering</t>
        </is>
      </c>
      <c r="V2599" s="19" t="inlineStr">
        <is>
          <t>Soldering</t>
        </is>
      </c>
      <c r="W2599" s="3" t="inlineStr">
        <is>
          <t>Repair</t>
        </is>
      </c>
      <c r="X2599" s="18" t="n">
        <v>46172</v>
      </c>
      <c r="Y2599" s="3">
        <f>X2599-A2599</f>
        <v/>
      </c>
      <c r="Z2599" s="18" t="n">
        <v>46172</v>
      </c>
      <c r="AA2599" s="15" t="n"/>
      <c r="AB2599" s="15" t="n"/>
    </row>
    <row r="2600">
      <c r="A2600" s="37" t="n">
        <v>46143</v>
      </c>
      <c r="B2600" s="3" t="n">
        <v>2026</v>
      </c>
      <c r="C2600" s="26" t="inlineStr">
        <is>
          <t>Yanara Power</t>
        </is>
      </c>
      <c r="D2600" s="3" t="inlineStr">
        <is>
          <t>Utility and C&amp;I</t>
        </is>
      </c>
      <c r="E2600" s="3" t="n"/>
      <c r="F2600" s="3" t="inlineStr">
        <is>
          <t>Closed</t>
        </is>
      </c>
      <c r="G2600" s="9" t="inlineStr">
        <is>
          <t xml:space="preserve">Ashish Jindal </t>
        </is>
      </c>
      <c r="H2600" s="26" t="n">
        <v>9983975581</v>
      </c>
      <c r="I2600" s="38" t="inlineStr">
        <is>
          <t>PE01052601</t>
        </is>
      </c>
      <c r="J2600" s="26" t="inlineStr">
        <is>
          <t>Multiple Issues</t>
        </is>
      </c>
      <c r="K2600" s="39" t="inlineStr">
        <is>
          <t>Holi</t>
        </is>
      </c>
      <c r="L2600" s="39" t="inlineStr">
        <is>
          <t>Maharashtra</t>
        </is>
      </c>
      <c r="M2600" s="9" t="inlineStr">
        <is>
          <t>PS</t>
        </is>
      </c>
      <c r="N2600" s="3" t="inlineStr">
        <is>
          <t>Cold Soldering</t>
        </is>
      </c>
      <c r="O2600" s="56" t="n">
        <v>575</v>
      </c>
      <c r="P2600" s="46" t="inlineStr">
        <is>
          <t>NSMI24070190968</t>
        </is>
      </c>
      <c r="Q2600" s="54">
        <f>MID(P2600,5,2)</f>
        <v/>
      </c>
      <c r="R2600" s="53">
        <f>MID(P2600,7,2)</f>
        <v/>
      </c>
      <c r="S2600" s="3" t="inlineStr">
        <is>
          <t>G2G</t>
        </is>
      </c>
      <c r="T2600" s="3" t="inlineStr">
        <is>
          <t>P4</t>
        </is>
      </c>
      <c r="U2600" s="19" t="inlineStr">
        <is>
          <t>P JB Cold Soldering</t>
        </is>
      </c>
      <c r="V2600" s="19" t="inlineStr">
        <is>
          <t>Soldering</t>
        </is>
      </c>
      <c r="W2600" s="3" t="inlineStr">
        <is>
          <t>Repair</t>
        </is>
      </c>
      <c r="X2600" s="18" t="n">
        <v>46172</v>
      </c>
      <c r="Y2600" s="3">
        <f>X2600-A2600</f>
        <v/>
      </c>
      <c r="Z2600" s="18" t="n">
        <v>46172</v>
      </c>
      <c r="AA2600" s="15" t="n"/>
      <c r="AB2600" s="15" t="n"/>
    </row>
    <row r="2601">
      <c r="A2601" s="37" t="n">
        <v>46143</v>
      </c>
      <c r="B2601" s="3" t="n">
        <v>2026</v>
      </c>
      <c r="C2601" s="26" t="inlineStr">
        <is>
          <t>Yanara Power</t>
        </is>
      </c>
      <c r="D2601" s="3" t="inlineStr">
        <is>
          <t>Utility and C&amp;I</t>
        </is>
      </c>
      <c r="E2601" s="3" t="n"/>
      <c r="F2601" s="3" t="inlineStr">
        <is>
          <t>Closed</t>
        </is>
      </c>
      <c r="G2601" s="9" t="inlineStr">
        <is>
          <t xml:space="preserve">Ashish Jindal </t>
        </is>
      </c>
      <c r="H2601" s="26" t="n">
        <v>9983975581</v>
      </c>
      <c r="I2601" s="38" t="inlineStr">
        <is>
          <t>PE01052601</t>
        </is>
      </c>
      <c r="J2601" s="26" t="inlineStr">
        <is>
          <t>Multiple Issues</t>
        </is>
      </c>
      <c r="K2601" s="39" t="inlineStr">
        <is>
          <t>Holi</t>
        </is>
      </c>
      <c r="L2601" s="39" t="inlineStr">
        <is>
          <t>Maharashtra</t>
        </is>
      </c>
      <c r="M2601" s="9" t="inlineStr">
        <is>
          <t>PS</t>
        </is>
      </c>
      <c r="N2601" s="3" t="inlineStr">
        <is>
          <t>Cold Soldering</t>
        </is>
      </c>
      <c r="O2601" s="56" t="n">
        <v>575</v>
      </c>
      <c r="P2601" s="46" t="inlineStr">
        <is>
          <t>NSMI24070184442</t>
        </is>
      </c>
      <c r="Q2601" s="54">
        <f>MID(P2601,5,2)</f>
        <v/>
      </c>
      <c r="R2601" s="53">
        <f>MID(P2601,7,2)</f>
        <v/>
      </c>
      <c r="S2601" s="3" t="inlineStr">
        <is>
          <t>G2G</t>
        </is>
      </c>
      <c r="T2601" s="3" t="inlineStr">
        <is>
          <t>P4</t>
        </is>
      </c>
      <c r="U2601" s="19" t="inlineStr">
        <is>
          <t>P JB Cold Soldering</t>
        </is>
      </c>
      <c r="V2601" s="19" t="inlineStr">
        <is>
          <t>Soldering</t>
        </is>
      </c>
      <c r="W2601" s="3" t="inlineStr">
        <is>
          <t>Repair</t>
        </is>
      </c>
      <c r="X2601" s="18" t="n">
        <v>46172</v>
      </c>
      <c r="Y2601" s="3">
        <f>X2601-A2601</f>
        <v/>
      </c>
      <c r="Z2601" s="18" t="n">
        <v>46172</v>
      </c>
      <c r="AA2601" s="15" t="n"/>
      <c r="AB2601" s="15" t="n"/>
    </row>
    <row r="2602">
      <c r="A2602" s="37" t="n">
        <v>46143</v>
      </c>
      <c r="B2602" s="3" t="n">
        <v>2026</v>
      </c>
      <c r="C2602" s="26" t="inlineStr">
        <is>
          <t>Yanara Power</t>
        </is>
      </c>
      <c r="D2602" s="3" t="inlineStr">
        <is>
          <t>Utility and C&amp;I</t>
        </is>
      </c>
      <c r="E2602" s="3" t="n"/>
      <c r="F2602" s="3" t="inlineStr">
        <is>
          <t>Closed</t>
        </is>
      </c>
      <c r="G2602" s="9" t="inlineStr">
        <is>
          <t xml:space="preserve">Ashish Jindal </t>
        </is>
      </c>
      <c r="H2602" s="26" t="n">
        <v>9983975581</v>
      </c>
      <c r="I2602" s="38" t="inlineStr">
        <is>
          <t>PE01052601</t>
        </is>
      </c>
      <c r="J2602" s="26" t="inlineStr">
        <is>
          <t>Multiple Issues</t>
        </is>
      </c>
      <c r="K2602" s="39" t="inlineStr">
        <is>
          <t>Holi</t>
        </is>
      </c>
      <c r="L2602" s="39" t="inlineStr">
        <is>
          <t>Maharashtra</t>
        </is>
      </c>
      <c r="M2602" s="9" t="inlineStr">
        <is>
          <t>PS</t>
        </is>
      </c>
      <c r="N2602" s="3" t="inlineStr">
        <is>
          <t>Cold Soldering</t>
        </is>
      </c>
      <c r="O2602" s="56" t="n">
        <v>575</v>
      </c>
      <c r="P2602" s="46" t="inlineStr">
        <is>
          <t>NSMI24070183291</t>
        </is>
      </c>
      <c r="Q2602" s="54">
        <f>MID(P2602,5,2)</f>
        <v/>
      </c>
      <c r="R2602" s="53">
        <f>MID(P2602,7,2)</f>
        <v/>
      </c>
      <c r="S2602" s="3" t="inlineStr">
        <is>
          <t>G2G</t>
        </is>
      </c>
      <c r="T2602" s="3" t="inlineStr">
        <is>
          <t>P4</t>
        </is>
      </c>
      <c r="U2602" s="19" t="inlineStr">
        <is>
          <t>P JB Cold Soldering</t>
        </is>
      </c>
      <c r="V2602" s="19" t="inlineStr">
        <is>
          <t>Soldering</t>
        </is>
      </c>
      <c r="W2602" s="3" t="inlineStr">
        <is>
          <t>Repair</t>
        </is>
      </c>
      <c r="X2602" s="18" t="n">
        <v>46172</v>
      </c>
      <c r="Y2602" s="3">
        <f>X2602-A2602</f>
        <v/>
      </c>
      <c r="Z2602" s="18" t="n">
        <v>46172</v>
      </c>
      <c r="AA2602" s="15" t="n"/>
      <c r="AB2602" s="15" t="n"/>
    </row>
    <row r="2603">
      <c r="A2603" s="37" t="n">
        <v>46143</v>
      </c>
      <c r="B2603" s="3" t="n">
        <v>2026</v>
      </c>
      <c r="C2603" s="26" t="inlineStr">
        <is>
          <t>Yanara Power</t>
        </is>
      </c>
      <c r="D2603" s="3" t="inlineStr">
        <is>
          <t>Utility and C&amp;I</t>
        </is>
      </c>
      <c r="E2603" s="3" t="n"/>
      <c r="F2603" s="3" t="inlineStr">
        <is>
          <t>Closed</t>
        </is>
      </c>
      <c r="G2603" s="9" t="inlineStr">
        <is>
          <t xml:space="preserve">Ashish Jindal </t>
        </is>
      </c>
      <c r="H2603" s="26" t="n">
        <v>9983975581</v>
      </c>
      <c r="I2603" s="38" t="inlineStr">
        <is>
          <t>PE01052601</t>
        </is>
      </c>
      <c r="J2603" s="26" t="inlineStr">
        <is>
          <t>Multiple Issues</t>
        </is>
      </c>
      <c r="K2603" s="39" t="inlineStr">
        <is>
          <t>Holi</t>
        </is>
      </c>
      <c r="L2603" s="39" t="inlineStr">
        <is>
          <t>Maharashtra</t>
        </is>
      </c>
      <c r="M2603" s="9" t="inlineStr">
        <is>
          <t>NS</t>
        </is>
      </c>
      <c r="N2603" s="3" t="inlineStr">
        <is>
          <t>Cold Soldering</t>
        </is>
      </c>
      <c r="O2603" s="56" t="n">
        <v>575</v>
      </c>
      <c r="P2603" s="46" t="inlineStr">
        <is>
          <t>NSMI24070177120</t>
        </is>
      </c>
      <c r="Q2603" s="54">
        <f>MID(P2603,5,2)</f>
        <v/>
      </c>
      <c r="R2603" s="53">
        <f>MID(P2603,7,2)</f>
        <v/>
      </c>
      <c r="S2603" s="3" t="inlineStr">
        <is>
          <t>G2G</t>
        </is>
      </c>
      <c r="T2603" s="3" t="inlineStr">
        <is>
          <t>P4</t>
        </is>
      </c>
      <c r="U2603" s="3" t="inlineStr">
        <is>
          <t>N JB Cold Soldering</t>
        </is>
      </c>
      <c r="V2603" s="3" t="inlineStr">
        <is>
          <t>Soldering</t>
        </is>
      </c>
      <c r="W2603" s="3" t="inlineStr">
        <is>
          <t>Repair</t>
        </is>
      </c>
      <c r="X2603" s="18" t="n">
        <v>46172</v>
      </c>
      <c r="Y2603" s="3">
        <f>X2603-A2603</f>
        <v/>
      </c>
      <c r="Z2603" s="18" t="n">
        <v>46172</v>
      </c>
      <c r="AA2603" s="15" t="n"/>
      <c r="AB2603" s="15" t="n"/>
    </row>
    <row r="2604">
      <c r="A2604" s="37" t="n">
        <v>46143</v>
      </c>
      <c r="B2604" s="3" t="n">
        <v>2026</v>
      </c>
      <c r="C2604" s="26" t="inlineStr">
        <is>
          <t>Yanara Power</t>
        </is>
      </c>
      <c r="D2604" s="3" t="inlineStr">
        <is>
          <t>Utility and C&amp;I</t>
        </is>
      </c>
      <c r="E2604" s="3" t="n"/>
      <c r="F2604" s="3" t="inlineStr">
        <is>
          <t>Closed</t>
        </is>
      </c>
      <c r="G2604" s="9" t="inlineStr">
        <is>
          <t xml:space="preserve">Ashish Jindal </t>
        </is>
      </c>
      <c r="H2604" s="26" t="n">
        <v>9983975581</v>
      </c>
      <c r="I2604" s="38" t="inlineStr">
        <is>
          <t>PE01052601</t>
        </is>
      </c>
      <c r="J2604" s="26" t="inlineStr">
        <is>
          <t>Multiple Issues</t>
        </is>
      </c>
      <c r="K2604" s="39" t="inlineStr">
        <is>
          <t>Holi</t>
        </is>
      </c>
      <c r="L2604" s="39" t="inlineStr">
        <is>
          <t>Maharashtra</t>
        </is>
      </c>
      <c r="M2604" s="9" t="inlineStr">
        <is>
          <t>PS</t>
        </is>
      </c>
      <c r="N2604" s="3" t="inlineStr">
        <is>
          <t>Cold Soldering</t>
        </is>
      </c>
      <c r="O2604" s="56" t="n">
        <v>575</v>
      </c>
      <c r="P2604" s="46" t="inlineStr">
        <is>
          <t>NSMI24070184477</t>
        </is>
      </c>
      <c r="Q2604" s="54">
        <f>MID(P2604,5,2)</f>
        <v/>
      </c>
      <c r="R2604" s="53">
        <f>MID(P2604,7,2)</f>
        <v/>
      </c>
      <c r="S2604" s="3" t="inlineStr">
        <is>
          <t>G2G</t>
        </is>
      </c>
      <c r="T2604" s="3" t="inlineStr">
        <is>
          <t>P4</t>
        </is>
      </c>
      <c r="U2604" s="19" t="inlineStr">
        <is>
          <t>P JB Cold Soldering</t>
        </is>
      </c>
      <c r="V2604" s="19" t="inlineStr">
        <is>
          <t>Soldering</t>
        </is>
      </c>
      <c r="W2604" s="3" t="inlineStr">
        <is>
          <t>Repair</t>
        </is>
      </c>
      <c r="X2604" s="18" t="n">
        <v>46172</v>
      </c>
      <c r="Y2604" s="3">
        <f>X2604-A2604</f>
        <v/>
      </c>
      <c r="Z2604" s="18" t="n">
        <v>46172</v>
      </c>
      <c r="AA2604" s="15" t="n"/>
      <c r="AB2604" s="15" t="n"/>
    </row>
    <row r="2605">
      <c r="A2605" s="37" t="n">
        <v>46143</v>
      </c>
      <c r="B2605" s="3" t="n">
        <v>2026</v>
      </c>
      <c r="C2605" s="26" t="inlineStr">
        <is>
          <t>Yanara Power</t>
        </is>
      </c>
      <c r="D2605" s="3" t="inlineStr">
        <is>
          <t>Utility and C&amp;I</t>
        </is>
      </c>
      <c r="E2605" s="3" t="n"/>
      <c r="F2605" s="3" t="inlineStr">
        <is>
          <t>Closed</t>
        </is>
      </c>
      <c r="G2605" s="9" t="inlineStr">
        <is>
          <t xml:space="preserve">Ashish Jindal </t>
        </is>
      </c>
      <c r="H2605" s="26" t="n">
        <v>9983975581</v>
      </c>
      <c r="I2605" s="38" t="inlineStr">
        <is>
          <t>PE01052601</t>
        </is>
      </c>
      <c r="J2605" s="26" t="inlineStr">
        <is>
          <t>Multiple Issues</t>
        </is>
      </c>
      <c r="K2605" s="39" t="inlineStr">
        <is>
          <t>Holi</t>
        </is>
      </c>
      <c r="L2605" s="39" t="inlineStr">
        <is>
          <t>Maharashtra</t>
        </is>
      </c>
      <c r="M2605" s="9" t="inlineStr">
        <is>
          <t>PR</t>
        </is>
      </c>
      <c r="N2605" s="3" t="inlineStr">
        <is>
          <t>JB Issue</t>
        </is>
      </c>
      <c r="O2605" s="56" t="n">
        <v>575</v>
      </c>
      <c r="P2605" s="46" t="inlineStr">
        <is>
          <t>NSMI24070183138</t>
        </is>
      </c>
      <c r="Q2605" s="54">
        <f>MID(P2605,5,2)</f>
        <v/>
      </c>
      <c r="R2605" s="53">
        <f>MID(P2605,7,2)</f>
        <v/>
      </c>
      <c r="S2605" s="3" t="inlineStr">
        <is>
          <t>G2G</t>
        </is>
      </c>
      <c r="T2605" s="3" t="inlineStr">
        <is>
          <t>P4</t>
        </is>
      </c>
      <c r="U2605" s="3" t="inlineStr">
        <is>
          <t>P JB Issue</t>
        </is>
      </c>
      <c r="V2605" s="15" t="inlineStr">
        <is>
          <t>JB Changed</t>
        </is>
      </c>
      <c r="W2605" s="3" t="inlineStr">
        <is>
          <t>Repair</t>
        </is>
      </c>
      <c r="X2605" s="18" t="n">
        <v>46172</v>
      </c>
      <c r="Y2605" s="3">
        <f>X2605-A2605</f>
        <v/>
      </c>
      <c r="Z2605" s="18" t="n">
        <v>46172</v>
      </c>
      <c r="AA2605" s="15" t="n"/>
      <c r="AB2605" s="15" t="n"/>
    </row>
    <row r="2606">
      <c r="A2606" s="37" t="n">
        <v>46143</v>
      </c>
      <c r="B2606" s="3" t="n">
        <v>2026</v>
      </c>
      <c r="C2606" s="26" t="inlineStr">
        <is>
          <t>Yanara Power</t>
        </is>
      </c>
      <c r="D2606" s="3" t="inlineStr">
        <is>
          <t>Utility and C&amp;I</t>
        </is>
      </c>
      <c r="E2606" s="3" t="n"/>
      <c r="F2606" s="3" t="inlineStr">
        <is>
          <t>Closed</t>
        </is>
      </c>
      <c r="G2606" s="9" t="inlineStr">
        <is>
          <t xml:space="preserve">Ashish Jindal </t>
        </is>
      </c>
      <c r="H2606" s="26" t="n">
        <v>9983975581</v>
      </c>
      <c r="I2606" s="38" t="inlineStr">
        <is>
          <t>PE01052601</t>
        </is>
      </c>
      <c r="J2606" s="26" t="inlineStr">
        <is>
          <t>Multiple Issues</t>
        </is>
      </c>
      <c r="K2606" s="39" t="inlineStr">
        <is>
          <t>Holi</t>
        </is>
      </c>
      <c r="L2606" s="39" t="inlineStr">
        <is>
          <t>Maharashtra</t>
        </is>
      </c>
      <c r="M2606" s="9" t="inlineStr">
        <is>
          <t>PS</t>
        </is>
      </c>
      <c r="N2606" s="3" t="inlineStr">
        <is>
          <t>Cold Soldering</t>
        </is>
      </c>
      <c r="O2606" s="56" t="n">
        <v>575</v>
      </c>
      <c r="P2606" s="46" t="inlineStr">
        <is>
          <t>NSMI24070184432</t>
        </is>
      </c>
      <c r="Q2606" s="54">
        <f>MID(P2606,5,2)</f>
        <v/>
      </c>
      <c r="R2606" s="53">
        <f>MID(P2606,7,2)</f>
        <v/>
      </c>
      <c r="S2606" s="3" t="inlineStr">
        <is>
          <t>G2G</t>
        </is>
      </c>
      <c r="T2606" s="3" t="inlineStr">
        <is>
          <t>P4</t>
        </is>
      </c>
      <c r="U2606" s="19" t="inlineStr">
        <is>
          <t>P JB Cold Soldering</t>
        </is>
      </c>
      <c r="V2606" s="19" t="inlineStr">
        <is>
          <t>Soldering</t>
        </is>
      </c>
      <c r="W2606" s="3" t="inlineStr">
        <is>
          <t>Repair</t>
        </is>
      </c>
      <c r="X2606" s="18" t="n">
        <v>46172</v>
      </c>
      <c r="Y2606" s="3">
        <f>X2606-A2606</f>
        <v/>
      </c>
      <c r="Z2606" s="18" t="n">
        <v>46172</v>
      </c>
      <c r="AA2606" s="15" t="n"/>
      <c r="AB2606" s="15" t="n"/>
    </row>
    <row r="2607">
      <c r="A2607" s="37" t="n">
        <v>46143</v>
      </c>
      <c r="B2607" s="3" t="n">
        <v>2026</v>
      </c>
      <c r="C2607" s="26" t="inlineStr">
        <is>
          <t>Yanara Power</t>
        </is>
      </c>
      <c r="D2607" s="3" t="inlineStr">
        <is>
          <t>Utility and C&amp;I</t>
        </is>
      </c>
      <c r="E2607" s="3" t="n"/>
      <c r="F2607" s="3" t="inlineStr">
        <is>
          <t>Closed</t>
        </is>
      </c>
      <c r="G2607" s="9" t="inlineStr">
        <is>
          <t xml:space="preserve">Ashish Jindal </t>
        </is>
      </c>
      <c r="H2607" s="26" t="n">
        <v>9983975581</v>
      </c>
      <c r="I2607" s="38" t="inlineStr">
        <is>
          <t>PE01052601</t>
        </is>
      </c>
      <c r="J2607" s="26" t="inlineStr">
        <is>
          <t>Multiple Issues</t>
        </is>
      </c>
      <c r="K2607" s="39" t="inlineStr">
        <is>
          <t>Holi</t>
        </is>
      </c>
      <c r="L2607" s="39" t="inlineStr">
        <is>
          <t>Maharashtra</t>
        </is>
      </c>
      <c r="M2607" s="9" t="inlineStr">
        <is>
          <t>PS</t>
        </is>
      </c>
      <c r="N2607" s="3" t="inlineStr">
        <is>
          <t>Cold Soldering</t>
        </is>
      </c>
      <c r="O2607" s="56" t="n">
        <v>575</v>
      </c>
      <c r="P2607" s="46" t="inlineStr">
        <is>
          <t>NSMI24070184422</t>
        </is>
      </c>
      <c r="Q2607" s="54">
        <f>MID(P2607,5,2)</f>
        <v/>
      </c>
      <c r="R2607" s="53">
        <f>MID(P2607,7,2)</f>
        <v/>
      </c>
      <c r="S2607" s="3" t="inlineStr">
        <is>
          <t>G2G</t>
        </is>
      </c>
      <c r="T2607" s="3" t="inlineStr">
        <is>
          <t>P4</t>
        </is>
      </c>
      <c r="U2607" s="19" t="inlineStr">
        <is>
          <t>P JB Cold Soldering</t>
        </is>
      </c>
      <c r="V2607" s="19" t="inlineStr">
        <is>
          <t>Soldering</t>
        </is>
      </c>
      <c r="W2607" s="3" t="inlineStr">
        <is>
          <t>Repair</t>
        </is>
      </c>
      <c r="X2607" s="18" t="n">
        <v>46172</v>
      </c>
      <c r="Y2607" s="3">
        <f>X2607-A2607</f>
        <v/>
      </c>
      <c r="Z2607" s="18" t="n">
        <v>46172</v>
      </c>
      <c r="AA2607" s="15" t="n"/>
      <c r="AB2607" s="15" t="n"/>
    </row>
    <row r="2608">
      <c r="A2608" s="37" t="n">
        <v>46143</v>
      </c>
      <c r="B2608" s="3" t="n">
        <v>2026</v>
      </c>
      <c r="C2608" s="26" t="inlineStr">
        <is>
          <t>Yanara Power</t>
        </is>
      </c>
      <c r="D2608" s="3" t="inlineStr">
        <is>
          <t>Utility and C&amp;I</t>
        </is>
      </c>
      <c r="E2608" s="3" t="n"/>
      <c r="F2608" s="3" t="inlineStr">
        <is>
          <t>Closed</t>
        </is>
      </c>
      <c r="G2608" s="9" t="inlineStr">
        <is>
          <t xml:space="preserve">Ashish Jindal </t>
        </is>
      </c>
      <c r="H2608" s="26" t="n">
        <v>9983975581</v>
      </c>
      <c r="I2608" s="38" t="inlineStr">
        <is>
          <t>PE01052601</t>
        </is>
      </c>
      <c r="J2608" s="26" t="inlineStr">
        <is>
          <t>Multiple Issues</t>
        </is>
      </c>
      <c r="K2608" s="39" t="inlineStr">
        <is>
          <t>Holi</t>
        </is>
      </c>
      <c r="L2608" s="39" t="inlineStr">
        <is>
          <t>Maharashtra</t>
        </is>
      </c>
      <c r="M2608" s="9" t="inlineStr">
        <is>
          <t>PS</t>
        </is>
      </c>
      <c r="N2608" s="3" t="inlineStr">
        <is>
          <t>Cold Soldering</t>
        </is>
      </c>
      <c r="O2608" s="56" t="n">
        <v>575</v>
      </c>
      <c r="P2608" s="46" t="inlineStr">
        <is>
          <t>NSMI24070177421</t>
        </is>
      </c>
      <c r="Q2608" s="54">
        <f>MID(P2608,5,2)</f>
        <v/>
      </c>
      <c r="R2608" s="53">
        <f>MID(P2608,7,2)</f>
        <v/>
      </c>
      <c r="S2608" s="3" t="inlineStr">
        <is>
          <t>G2G</t>
        </is>
      </c>
      <c r="T2608" s="3" t="inlineStr">
        <is>
          <t>P4</t>
        </is>
      </c>
      <c r="U2608" s="19" t="inlineStr">
        <is>
          <t>P JB Cold Soldering</t>
        </is>
      </c>
      <c r="V2608" s="19" t="inlineStr">
        <is>
          <t>Soldering</t>
        </is>
      </c>
      <c r="W2608" s="3" t="inlineStr">
        <is>
          <t>Repair</t>
        </is>
      </c>
      <c r="X2608" s="18" t="n">
        <v>46172</v>
      </c>
      <c r="Y2608" s="3">
        <f>X2608-A2608</f>
        <v/>
      </c>
      <c r="Z2608" s="18" t="n">
        <v>46172</v>
      </c>
      <c r="AA2608" s="15" t="n"/>
      <c r="AB2608" s="15" t="n"/>
    </row>
    <row r="2609">
      <c r="A2609" s="37" t="n">
        <v>46143</v>
      </c>
      <c r="B2609" s="3" t="n">
        <v>2026</v>
      </c>
      <c r="C2609" s="26" t="inlineStr">
        <is>
          <t>Yanara Power</t>
        </is>
      </c>
      <c r="D2609" s="3" t="inlineStr">
        <is>
          <t>Utility and C&amp;I</t>
        </is>
      </c>
      <c r="E2609" s="3" t="n"/>
      <c r="F2609" s="3" t="inlineStr">
        <is>
          <t>Closed</t>
        </is>
      </c>
      <c r="G2609" s="9" t="inlineStr">
        <is>
          <t xml:space="preserve">Ashish Jindal </t>
        </is>
      </c>
      <c r="H2609" s="26" t="n">
        <v>9983975581</v>
      </c>
      <c r="I2609" s="38" t="inlineStr">
        <is>
          <t>PE01052601</t>
        </is>
      </c>
      <c r="J2609" s="26" t="inlineStr">
        <is>
          <t>Multiple Issues</t>
        </is>
      </c>
      <c r="K2609" s="39" t="inlineStr">
        <is>
          <t>Holi</t>
        </is>
      </c>
      <c r="L2609" s="39" t="inlineStr">
        <is>
          <t>Maharashtra</t>
        </is>
      </c>
      <c r="M2609" s="9" t="inlineStr">
        <is>
          <t>PS</t>
        </is>
      </c>
      <c r="N2609" s="3" t="inlineStr">
        <is>
          <t>Cold Soldering</t>
        </is>
      </c>
      <c r="O2609" s="56" t="n">
        <v>575</v>
      </c>
      <c r="P2609" s="46" t="inlineStr">
        <is>
          <t>NSMI24070183561</t>
        </is>
      </c>
      <c r="Q2609" s="54">
        <f>MID(P2609,5,2)</f>
        <v/>
      </c>
      <c r="R2609" s="53">
        <f>MID(P2609,7,2)</f>
        <v/>
      </c>
      <c r="S2609" s="3" t="inlineStr">
        <is>
          <t>G2G</t>
        </is>
      </c>
      <c r="T2609" s="3" t="inlineStr">
        <is>
          <t>P4</t>
        </is>
      </c>
      <c r="U2609" s="19" t="inlineStr">
        <is>
          <t>P JB Cold Soldering</t>
        </is>
      </c>
      <c r="V2609" s="19" t="inlineStr">
        <is>
          <t>Soldering</t>
        </is>
      </c>
      <c r="W2609" s="3" t="inlineStr">
        <is>
          <t>Repair</t>
        </is>
      </c>
      <c r="X2609" s="18" t="n">
        <v>46172</v>
      </c>
      <c r="Y2609" s="3">
        <f>X2609-A2609</f>
        <v/>
      </c>
      <c r="Z2609" s="18" t="n">
        <v>46172</v>
      </c>
      <c r="AA2609" s="15" t="n"/>
      <c r="AB2609" s="15" t="n"/>
    </row>
    <row r="2610">
      <c r="A2610" s="37" t="n">
        <v>46143</v>
      </c>
      <c r="B2610" s="3" t="n">
        <v>2026</v>
      </c>
      <c r="C2610" s="26" t="inlineStr">
        <is>
          <t>Yanara Power</t>
        </is>
      </c>
      <c r="D2610" s="3" t="inlineStr">
        <is>
          <t>Utility and C&amp;I</t>
        </is>
      </c>
      <c r="E2610" s="3" t="n"/>
      <c r="F2610" s="3" t="inlineStr">
        <is>
          <t>Closed</t>
        </is>
      </c>
      <c r="G2610" s="9" t="inlineStr">
        <is>
          <t xml:space="preserve">Ashish Jindal </t>
        </is>
      </c>
      <c r="H2610" s="26" t="n">
        <v>9983975581</v>
      </c>
      <c r="I2610" s="38" t="inlineStr">
        <is>
          <t>PE01052601</t>
        </is>
      </c>
      <c r="J2610" s="26" t="inlineStr">
        <is>
          <t>Multiple Issues</t>
        </is>
      </c>
      <c r="K2610" s="39" t="inlineStr">
        <is>
          <t>Holi</t>
        </is>
      </c>
      <c r="L2610" s="39" t="inlineStr">
        <is>
          <t>Maharashtra</t>
        </is>
      </c>
      <c r="M2610" s="9" t="inlineStr">
        <is>
          <t>PNS</t>
        </is>
      </c>
      <c r="N2610" s="3" t="inlineStr">
        <is>
          <t>Cold Soldering</t>
        </is>
      </c>
      <c r="O2610" s="56" t="n">
        <v>575</v>
      </c>
      <c r="P2610" s="46" t="inlineStr">
        <is>
          <t>NSMI24070194964</t>
        </is>
      </c>
      <c r="Q2610" s="54">
        <f>MID(P2610,5,2)</f>
        <v/>
      </c>
      <c r="R2610" s="53">
        <f>MID(P2610,7,2)</f>
        <v/>
      </c>
      <c r="S2610" s="3" t="inlineStr">
        <is>
          <t>G2G</t>
        </is>
      </c>
      <c r="T2610" s="3" t="inlineStr">
        <is>
          <t>P4</t>
        </is>
      </c>
      <c r="U2610" s="3" t="inlineStr">
        <is>
          <t>P &amp; N JB Cold Soldering</t>
        </is>
      </c>
      <c r="V2610" s="3" t="inlineStr">
        <is>
          <t>Soldering</t>
        </is>
      </c>
      <c r="W2610" s="3" t="inlineStr">
        <is>
          <t>Repair</t>
        </is>
      </c>
      <c r="X2610" s="18" t="n">
        <v>46172</v>
      </c>
      <c r="Y2610" s="3">
        <f>X2610-A2610</f>
        <v/>
      </c>
      <c r="Z2610" s="18" t="n">
        <v>46172</v>
      </c>
      <c r="AA2610" s="15" t="n"/>
      <c r="AB2610" s="15" t="n"/>
    </row>
    <row r="2611">
      <c r="A2611" s="37" t="n">
        <v>46143</v>
      </c>
      <c r="B2611" s="3" t="n">
        <v>2026</v>
      </c>
      <c r="C2611" s="26" t="inlineStr">
        <is>
          <t>Yanara Power</t>
        </is>
      </c>
      <c r="D2611" s="3" t="inlineStr">
        <is>
          <t>Utility and C&amp;I</t>
        </is>
      </c>
      <c r="E2611" s="3" t="n"/>
      <c r="F2611" s="3" t="inlineStr">
        <is>
          <t>Closed</t>
        </is>
      </c>
      <c r="G2611" s="9" t="inlineStr">
        <is>
          <t xml:space="preserve">Ashish Jindal </t>
        </is>
      </c>
      <c r="H2611" s="26" t="n">
        <v>9983975581</v>
      </c>
      <c r="I2611" s="38" t="inlineStr">
        <is>
          <t>PE01052601</t>
        </is>
      </c>
      <c r="J2611" s="26" t="inlineStr">
        <is>
          <t>Multiple Issues</t>
        </is>
      </c>
      <c r="K2611" s="39" t="inlineStr">
        <is>
          <t>Holi</t>
        </is>
      </c>
      <c r="L2611" s="39" t="inlineStr">
        <is>
          <t>Maharashtra</t>
        </is>
      </c>
      <c r="M2611" s="9" t="inlineStr">
        <is>
          <t>PS</t>
        </is>
      </c>
      <c r="N2611" s="3" t="inlineStr">
        <is>
          <t>Cold Soldering</t>
        </is>
      </c>
      <c r="O2611" s="56" t="n">
        <v>575</v>
      </c>
      <c r="P2611" s="46" t="inlineStr">
        <is>
          <t>NSMI24070181158</t>
        </is>
      </c>
      <c r="Q2611" s="54">
        <f>MID(P2611,5,2)</f>
        <v/>
      </c>
      <c r="R2611" s="53">
        <f>MID(P2611,7,2)</f>
        <v/>
      </c>
      <c r="S2611" s="3" t="inlineStr">
        <is>
          <t>G2G</t>
        </is>
      </c>
      <c r="T2611" s="3" t="inlineStr">
        <is>
          <t>P4</t>
        </is>
      </c>
      <c r="U2611" s="19" t="inlineStr">
        <is>
          <t>P JB Cold Soldering</t>
        </is>
      </c>
      <c r="V2611" s="19" t="inlineStr">
        <is>
          <t>Soldering</t>
        </is>
      </c>
      <c r="W2611" s="3" t="inlineStr">
        <is>
          <t>Repair</t>
        </is>
      </c>
      <c r="X2611" s="18" t="n">
        <v>46172</v>
      </c>
      <c r="Y2611" s="3">
        <f>X2611-A2611</f>
        <v/>
      </c>
      <c r="Z2611" s="18" t="n">
        <v>46172</v>
      </c>
      <c r="AA2611" s="15" t="n"/>
      <c r="AB2611" s="15" t="n"/>
    </row>
    <row r="2612">
      <c r="A2612" s="37" t="n">
        <v>46143</v>
      </c>
      <c r="B2612" s="3" t="n">
        <v>2026</v>
      </c>
      <c r="C2612" s="26" t="inlineStr">
        <is>
          <t>Yanara Power</t>
        </is>
      </c>
      <c r="D2612" s="3" t="inlineStr">
        <is>
          <t>Utility and C&amp;I</t>
        </is>
      </c>
      <c r="E2612" s="3" t="n"/>
      <c r="F2612" s="3" t="inlineStr">
        <is>
          <t>Closed</t>
        </is>
      </c>
      <c r="G2612" s="9" t="inlineStr">
        <is>
          <t xml:space="preserve">Ashish Jindal </t>
        </is>
      </c>
      <c r="H2612" s="26" t="n">
        <v>9983975581</v>
      </c>
      <c r="I2612" s="38" t="inlineStr">
        <is>
          <t>PE01052601</t>
        </is>
      </c>
      <c r="J2612" s="26" t="inlineStr">
        <is>
          <t>Multiple Issues</t>
        </is>
      </c>
      <c r="K2612" s="39" t="inlineStr">
        <is>
          <t>Holi</t>
        </is>
      </c>
      <c r="L2612" s="39" t="inlineStr">
        <is>
          <t>Maharashtra</t>
        </is>
      </c>
      <c r="M2612" s="9" t="inlineStr">
        <is>
          <t>PS</t>
        </is>
      </c>
      <c r="N2612" s="3" t="inlineStr">
        <is>
          <t>Cold Soldering</t>
        </is>
      </c>
      <c r="O2612" s="56" t="n">
        <v>575</v>
      </c>
      <c r="P2612" s="46" t="inlineStr">
        <is>
          <t>NSMI24070181176</t>
        </is>
      </c>
      <c r="Q2612" s="54">
        <f>MID(P2612,5,2)</f>
        <v/>
      </c>
      <c r="R2612" s="53">
        <f>MID(P2612,7,2)</f>
        <v/>
      </c>
      <c r="S2612" s="3" t="inlineStr">
        <is>
          <t>G2G</t>
        </is>
      </c>
      <c r="T2612" s="3" t="inlineStr">
        <is>
          <t>P4</t>
        </is>
      </c>
      <c r="U2612" s="19" t="inlineStr">
        <is>
          <t>P JB Cold Soldering</t>
        </is>
      </c>
      <c r="V2612" s="19" t="inlineStr">
        <is>
          <t>Soldering</t>
        </is>
      </c>
      <c r="W2612" s="3" t="inlineStr">
        <is>
          <t>Repair</t>
        </is>
      </c>
      <c r="X2612" s="18" t="n">
        <v>46172</v>
      </c>
      <c r="Y2612" s="3">
        <f>X2612-A2612</f>
        <v/>
      </c>
      <c r="Z2612" s="18" t="n">
        <v>46172</v>
      </c>
      <c r="AA2612" s="15" t="n"/>
      <c r="AB2612" s="15" t="n"/>
    </row>
    <row r="2613">
      <c r="A2613" s="37" t="n">
        <v>46143</v>
      </c>
      <c r="B2613" s="3" t="n">
        <v>2026</v>
      </c>
      <c r="C2613" s="26" t="inlineStr">
        <is>
          <t>Yanara Power</t>
        </is>
      </c>
      <c r="D2613" s="3" t="inlineStr">
        <is>
          <t>Utility and C&amp;I</t>
        </is>
      </c>
      <c r="E2613" s="3" t="n"/>
      <c r="F2613" s="3" t="inlineStr">
        <is>
          <t>Closed</t>
        </is>
      </c>
      <c r="G2613" s="9" t="inlineStr">
        <is>
          <t xml:space="preserve">Ashish Jindal </t>
        </is>
      </c>
      <c r="H2613" s="26" t="n">
        <v>9983975581</v>
      </c>
      <c r="I2613" s="38" t="inlineStr">
        <is>
          <t>PE01052601</t>
        </is>
      </c>
      <c r="J2613" s="26" t="inlineStr">
        <is>
          <t>Multiple Issues</t>
        </is>
      </c>
      <c r="K2613" s="39" t="inlineStr">
        <is>
          <t>Holi</t>
        </is>
      </c>
      <c r="L2613" s="39" t="inlineStr">
        <is>
          <t>Maharashtra</t>
        </is>
      </c>
      <c r="M2613" s="9" t="inlineStr">
        <is>
          <t>PS</t>
        </is>
      </c>
      <c r="N2613" s="3" t="inlineStr">
        <is>
          <t>Cold Soldering</t>
        </is>
      </c>
      <c r="O2613" s="56" t="n">
        <v>575</v>
      </c>
      <c r="P2613" s="46" t="inlineStr">
        <is>
          <t>NSMI24070183082</t>
        </is>
      </c>
      <c r="Q2613" s="54">
        <f>MID(P2613,5,2)</f>
        <v/>
      </c>
      <c r="R2613" s="53">
        <f>MID(P2613,7,2)</f>
        <v/>
      </c>
      <c r="S2613" s="3" t="inlineStr">
        <is>
          <t>G2G</t>
        </is>
      </c>
      <c r="T2613" s="3" t="inlineStr">
        <is>
          <t>P4</t>
        </is>
      </c>
      <c r="U2613" s="19" t="inlineStr">
        <is>
          <t>P JB Cold Soldering</t>
        </is>
      </c>
      <c r="V2613" s="19" t="inlineStr">
        <is>
          <t>Soldering</t>
        </is>
      </c>
      <c r="W2613" s="3" t="inlineStr">
        <is>
          <t>Repair</t>
        </is>
      </c>
      <c r="X2613" s="18" t="n">
        <v>46172</v>
      </c>
      <c r="Y2613" s="3">
        <f>X2613-A2613</f>
        <v/>
      </c>
      <c r="Z2613" s="18" t="n">
        <v>46172</v>
      </c>
      <c r="AA2613" s="15" t="n"/>
      <c r="AB2613" s="15" t="n"/>
    </row>
    <row r="2614">
      <c r="A2614" s="37" t="n">
        <v>46143</v>
      </c>
      <c r="B2614" s="3" t="n">
        <v>2026</v>
      </c>
      <c r="C2614" s="26" t="inlineStr">
        <is>
          <t>Yanara Power</t>
        </is>
      </c>
      <c r="D2614" s="3" t="inlineStr">
        <is>
          <t>Utility and C&amp;I</t>
        </is>
      </c>
      <c r="E2614" s="3" t="n"/>
      <c r="F2614" s="3" t="inlineStr">
        <is>
          <t>Closed</t>
        </is>
      </c>
      <c r="G2614" s="9" t="inlineStr">
        <is>
          <t xml:space="preserve">Ashish Jindal </t>
        </is>
      </c>
      <c r="H2614" s="26" t="n">
        <v>9983975581</v>
      </c>
      <c r="I2614" s="38" t="inlineStr">
        <is>
          <t>PE01052601</t>
        </is>
      </c>
      <c r="J2614" s="26" t="inlineStr">
        <is>
          <t>Multiple Issues</t>
        </is>
      </c>
      <c r="K2614" s="39" t="inlineStr">
        <is>
          <t>Holi</t>
        </is>
      </c>
      <c r="L2614" s="39" t="inlineStr">
        <is>
          <t>Maharashtra</t>
        </is>
      </c>
      <c r="M2614" s="9" t="inlineStr">
        <is>
          <t>PS</t>
        </is>
      </c>
      <c r="N2614" s="3" t="inlineStr">
        <is>
          <t>Cold Soldering</t>
        </is>
      </c>
      <c r="O2614" s="56" t="n">
        <v>575</v>
      </c>
      <c r="P2614" s="46" t="inlineStr">
        <is>
          <t>NSMI24070183054</t>
        </is>
      </c>
      <c r="Q2614" s="54">
        <f>MID(P2614,5,2)</f>
        <v/>
      </c>
      <c r="R2614" s="53">
        <f>MID(P2614,7,2)</f>
        <v/>
      </c>
      <c r="S2614" s="3" t="inlineStr">
        <is>
          <t>G2G</t>
        </is>
      </c>
      <c r="T2614" s="3" t="inlineStr">
        <is>
          <t>P4</t>
        </is>
      </c>
      <c r="U2614" s="19" t="inlineStr">
        <is>
          <t>P JB Cold Soldering</t>
        </is>
      </c>
      <c r="V2614" s="19" t="inlineStr">
        <is>
          <t>Soldering</t>
        </is>
      </c>
      <c r="W2614" s="3" t="inlineStr">
        <is>
          <t>Repair</t>
        </is>
      </c>
      <c r="X2614" s="18" t="n">
        <v>46172</v>
      </c>
      <c r="Y2614" s="3">
        <f>X2614-A2614</f>
        <v/>
      </c>
      <c r="Z2614" s="18" t="n">
        <v>46172</v>
      </c>
      <c r="AA2614" s="15" t="n"/>
      <c r="AB2614" s="15" t="n"/>
    </row>
    <row r="2615">
      <c r="A2615" s="37" t="n">
        <v>46143</v>
      </c>
      <c r="B2615" s="3" t="n">
        <v>2026</v>
      </c>
      <c r="C2615" s="26" t="inlineStr">
        <is>
          <t>Yanara Power</t>
        </is>
      </c>
      <c r="D2615" s="3" t="inlineStr">
        <is>
          <t>Utility and C&amp;I</t>
        </is>
      </c>
      <c r="E2615" s="3" t="n"/>
      <c r="F2615" s="3" t="inlineStr">
        <is>
          <t>Closed</t>
        </is>
      </c>
      <c r="G2615" s="9" t="inlineStr">
        <is>
          <t xml:space="preserve">Ashish Jindal </t>
        </is>
      </c>
      <c r="H2615" s="26" t="n">
        <v>9983975581</v>
      </c>
      <c r="I2615" s="38" t="inlineStr">
        <is>
          <t>PE01052601</t>
        </is>
      </c>
      <c r="J2615" s="26" t="inlineStr">
        <is>
          <t>Multiple Issues</t>
        </is>
      </c>
      <c r="K2615" s="39" t="inlineStr">
        <is>
          <t>Holi</t>
        </is>
      </c>
      <c r="L2615" s="39" t="inlineStr">
        <is>
          <t>Maharashtra</t>
        </is>
      </c>
      <c r="M2615" s="9" t="inlineStr">
        <is>
          <t>NS</t>
        </is>
      </c>
      <c r="N2615" s="3" t="inlineStr">
        <is>
          <t>Cold Soldering</t>
        </is>
      </c>
      <c r="O2615" s="56" t="n">
        <v>575</v>
      </c>
      <c r="P2615" s="46" t="inlineStr">
        <is>
          <t>NSMI24070183088</t>
        </is>
      </c>
      <c r="Q2615" s="54">
        <f>MID(P2615,5,2)</f>
        <v/>
      </c>
      <c r="R2615" s="53">
        <f>MID(P2615,7,2)</f>
        <v/>
      </c>
      <c r="S2615" s="3" t="inlineStr">
        <is>
          <t>G2G</t>
        </is>
      </c>
      <c r="T2615" s="3" t="inlineStr">
        <is>
          <t>P4</t>
        </is>
      </c>
      <c r="U2615" s="3" t="inlineStr">
        <is>
          <t>N JB Cold Soldering</t>
        </is>
      </c>
      <c r="V2615" s="3" t="inlineStr">
        <is>
          <t>Soldering</t>
        </is>
      </c>
      <c r="W2615" s="3" t="inlineStr">
        <is>
          <t>Repair</t>
        </is>
      </c>
      <c r="X2615" s="18" t="n">
        <v>46172</v>
      </c>
      <c r="Y2615" s="3">
        <f>X2615-A2615</f>
        <v/>
      </c>
      <c r="Z2615" s="18" t="n">
        <v>46172</v>
      </c>
      <c r="AA2615" s="15" t="n"/>
      <c r="AB2615" s="15" t="n"/>
    </row>
    <row r="2616">
      <c r="A2616" s="37" t="n">
        <v>46143</v>
      </c>
      <c r="B2616" s="3" t="n">
        <v>2026</v>
      </c>
      <c r="C2616" s="26" t="inlineStr">
        <is>
          <t>Yanara Power</t>
        </is>
      </c>
      <c r="D2616" s="3" t="inlineStr">
        <is>
          <t>Utility and C&amp;I</t>
        </is>
      </c>
      <c r="E2616" s="3" t="n"/>
      <c r="F2616" s="3" t="inlineStr">
        <is>
          <t>Closed</t>
        </is>
      </c>
      <c r="G2616" s="9" t="inlineStr">
        <is>
          <t xml:space="preserve">Ashish Jindal </t>
        </is>
      </c>
      <c r="H2616" s="26" t="n">
        <v>9983975581</v>
      </c>
      <c r="I2616" s="38" t="inlineStr">
        <is>
          <t>PE01052601</t>
        </is>
      </c>
      <c r="J2616" s="26" t="inlineStr">
        <is>
          <t>Multiple Issues</t>
        </is>
      </c>
      <c r="K2616" s="39" t="inlineStr">
        <is>
          <t>Holi</t>
        </is>
      </c>
      <c r="L2616" s="39" t="inlineStr">
        <is>
          <t>Maharashtra</t>
        </is>
      </c>
      <c r="M2616" s="9" t="inlineStr">
        <is>
          <t>NS</t>
        </is>
      </c>
      <c r="N2616" s="3" t="inlineStr">
        <is>
          <t>Cold Soldering</t>
        </is>
      </c>
      <c r="O2616" s="56" t="n">
        <v>575</v>
      </c>
      <c r="P2616" s="46" t="inlineStr">
        <is>
          <t>NSMI24070183853</t>
        </is>
      </c>
      <c r="Q2616" s="54">
        <f>MID(P2616,5,2)</f>
        <v/>
      </c>
      <c r="R2616" s="53">
        <f>MID(P2616,7,2)</f>
        <v/>
      </c>
      <c r="S2616" s="3" t="inlineStr">
        <is>
          <t>G2G</t>
        </is>
      </c>
      <c r="T2616" s="3" t="inlineStr">
        <is>
          <t>P4</t>
        </is>
      </c>
      <c r="U2616" s="3" t="inlineStr">
        <is>
          <t>N JB Cold Soldering</t>
        </is>
      </c>
      <c r="V2616" s="3" t="inlineStr">
        <is>
          <t>Soldering</t>
        </is>
      </c>
      <c r="W2616" s="3" t="inlineStr">
        <is>
          <t>Repair</t>
        </is>
      </c>
      <c r="X2616" s="18" t="n">
        <v>46172</v>
      </c>
      <c r="Y2616" s="3">
        <f>X2616-A2616</f>
        <v/>
      </c>
      <c r="Z2616" s="18" t="n">
        <v>46172</v>
      </c>
      <c r="AA2616" s="15" t="n"/>
      <c r="AB2616" s="15" t="n"/>
    </row>
    <row r="2617">
      <c r="A2617" s="37" t="n">
        <v>46143</v>
      </c>
      <c r="B2617" s="3" t="n">
        <v>2026</v>
      </c>
      <c r="C2617" s="26" t="inlineStr">
        <is>
          <t>Yanara Power</t>
        </is>
      </c>
      <c r="D2617" s="3" t="inlineStr">
        <is>
          <t>Utility and C&amp;I</t>
        </is>
      </c>
      <c r="E2617" s="3" t="n"/>
      <c r="F2617" s="3" t="inlineStr">
        <is>
          <t>Closed</t>
        </is>
      </c>
      <c r="G2617" s="9" t="inlineStr">
        <is>
          <t xml:space="preserve">Ashish Jindal </t>
        </is>
      </c>
      <c r="H2617" s="26" t="n">
        <v>9983975581</v>
      </c>
      <c r="I2617" s="38" t="inlineStr">
        <is>
          <t>PE01052601</t>
        </is>
      </c>
      <c r="J2617" s="26" t="inlineStr">
        <is>
          <t>Multiple Issues</t>
        </is>
      </c>
      <c r="K2617" s="39" t="inlineStr">
        <is>
          <t>Holi</t>
        </is>
      </c>
      <c r="L2617" s="39" t="inlineStr">
        <is>
          <t>Maharashtra</t>
        </is>
      </c>
      <c r="M2617" s="9" t="inlineStr">
        <is>
          <t>NS</t>
        </is>
      </c>
      <c r="N2617" s="3" t="inlineStr">
        <is>
          <t>Cold Soldering</t>
        </is>
      </c>
      <c r="O2617" s="56" t="n">
        <v>575</v>
      </c>
      <c r="P2617" s="46" t="inlineStr">
        <is>
          <t>NSMI24070184865</t>
        </is>
      </c>
      <c r="Q2617" s="54">
        <f>MID(P2617,5,2)</f>
        <v/>
      </c>
      <c r="R2617" s="53">
        <f>MID(P2617,7,2)</f>
        <v/>
      </c>
      <c r="S2617" s="3" t="inlineStr">
        <is>
          <t>G2G</t>
        </is>
      </c>
      <c r="T2617" s="3" t="inlineStr">
        <is>
          <t>P4</t>
        </is>
      </c>
      <c r="U2617" s="3" t="inlineStr">
        <is>
          <t>N JB Cold Soldering</t>
        </is>
      </c>
      <c r="V2617" s="3" t="inlineStr">
        <is>
          <t>Soldering</t>
        </is>
      </c>
      <c r="W2617" s="3" t="inlineStr">
        <is>
          <t>Repair</t>
        </is>
      </c>
      <c r="X2617" s="18" t="n">
        <v>46172</v>
      </c>
      <c r="Y2617" s="3">
        <f>X2617-A2617</f>
        <v/>
      </c>
      <c r="Z2617" s="18" t="n">
        <v>46172</v>
      </c>
      <c r="AA2617" s="15" t="n"/>
      <c r="AB2617" s="15" t="n"/>
    </row>
    <row r="2618">
      <c r="A2618" s="37" t="n">
        <v>46143</v>
      </c>
      <c r="B2618" s="3" t="n">
        <v>2026</v>
      </c>
      <c r="C2618" s="26" t="inlineStr">
        <is>
          <t>Yanara Power</t>
        </is>
      </c>
      <c r="D2618" s="3" t="inlineStr">
        <is>
          <t>Utility and C&amp;I</t>
        </is>
      </c>
      <c r="E2618" s="3" t="n"/>
      <c r="F2618" s="3" t="inlineStr">
        <is>
          <t>Closed</t>
        </is>
      </c>
      <c r="G2618" s="9" t="inlineStr">
        <is>
          <t xml:space="preserve">Ashish Jindal </t>
        </is>
      </c>
      <c r="H2618" s="26" t="n">
        <v>9983975581</v>
      </c>
      <c r="I2618" s="38" t="inlineStr">
        <is>
          <t>PE01052601</t>
        </is>
      </c>
      <c r="J2618" s="26" t="inlineStr">
        <is>
          <t>Multiple Issues</t>
        </is>
      </c>
      <c r="K2618" s="39" t="inlineStr">
        <is>
          <t>Holi</t>
        </is>
      </c>
      <c r="L2618" s="39" t="inlineStr">
        <is>
          <t>Maharashtra</t>
        </is>
      </c>
      <c r="M2618" s="9" t="inlineStr">
        <is>
          <t>PS</t>
        </is>
      </c>
      <c r="N2618" s="3" t="inlineStr">
        <is>
          <t>Cold Soldering</t>
        </is>
      </c>
      <c r="O2618" s="56" t="n">
        <v>575</v>
      </c>
      <c r="P2618" s="47" t="inlineStr">
        <is>
          <t>NSMI24070177725</t>
        </is>
      </c>
      <c r="Q2618" s="54">
        <f>MID(P2618,5,2)</f>
        <v/>
      </c>
      <c r="R2618" s="53">
        <f>MID(P2618,7,2)</f>
        <v/>
      </c>
      <c r="S2618" s="3" t="inlineStr">
        <is>
          <t>G2G</t>
        </is>
      </c>
      <c r="T2618" s="3" t="inlineStr">
        <is>
          <t>P4</t>
        </is>
      </c>
      <c r="U2618" s="19" t="inlineStr">
        <is>
          <t>P JB Cold Soldering</t>
        </is>
      </c>
      <c r="V2618" s="19" t="inlineStr">
        <is>
          <t>Soldering</t>
        </is>
      </c>
      <c r="W2618" s="3" t="inlineStr">
        <is>
          <t>Repair</t>
        </is>
      </c>
      <c r="X2618" s="18" t="n">
        <v>46172</v>
      </c>
      <c r="Y2618" s="3">
        <f>X2618-A2618</f>
        <v/>
      </c>
      <c r="Z2618" s="18" t="n">
        <v>46172</v>
      </c>
      <c r="AA2618" s="15" t="n"/>
      <c r="AB2618" s="15" t="n"/>
    </row>
    <row r="2619">
      <c r="A2619" s="37" t="n">
        <v>46143</v>
      </c>
      <c r="B2619" s="3" t="n">
        <v>2026</v>
      </c>
      <c r="C2619" s="26" t="inlineStr">
        <is>
          <t>Yanara Power</t>
        </is>
      </c>
      <c r="D2619" s="3" t="inlineStr">
        <is>
          <t>Utility and C&amp;I</t>
        </is>
      </c>
      <c r="E2619" s="3" t="n"/>
      <c r="F2619" s="3" t="inlineStr">
        <is>
          <t>Closed</t>
        </is>
      </c>
      <c r="G2619" s="9" t="inlineStr">
        <is>
          <t xml:space="preserve">Ashish Jindal </t>
        </is>
      </c>
      <c r="H2619" s="26" t="n">
        <v>9983975581</v>
      </c>
      <c r="I2619" s="38" t="inlineStr">
        <is>
          <t>PE01052601</t>
        </is>
      </c>
      <c r="J2619" s="26" t="inlineStr">
        <is>
          <t>Multiple Issues</t>
        </is>
      </c>
      <c r="K2619" s="39" t="inlineStr">
        <is>
          <t>Holi</t>
        </is>
      </c>
      <c r="L2619" s="39" t="inlineStr">
        <is>
          <t>Maharashtra</t>
        </is>
      </c>
      <c r="M2619" s="9" t="inlineStr">
        <is>
          <t>PS</t>
        </is>
      </c>
      <c r="N2619" s="3" t="inlineStr">
        <is>
          <t>Cold Soldering</t>
        </is>
      </c>
      <c r="O2619" s="56" t="n">
        <v>575</v>
      </c>
      <c r="P2619" s="46" t="inlineStr">
        <is>
          <t>NSMI24070183672</t>
        </is>
      </c>
      <c r="Q2619" s="54">
        <f>MID(P2619,5,2)</f>
        <v/>
      </c>
      <c r="R2619" s="53">
        <f>MID(P2619,7,2)</f>
        <v/>
      </c>
      <c r="S2619" s="3" t="inlineStr">
        <is>
          <t>G2G</t>
        </is>
      </c>
      <c r="T2619" s="3" t="inlineStr">
        <is>
          <t>P4</t>
        </is>
      </c>
      <c r="U2619" s="19" t="inlineStr">
        <is>
          <t>P JB Cold Soldering</t>
        </is>
      </c>
      <c r="V2619" s="19" t="inlineStr">
        <is>
          <t>Soldering</t>
        </is>
      </c>
      <c r="W2619" s="3" t="inlineStr">
        <is>
          <t>Repair</t>
        </is>
      </c>
      <c r="X2619" s="18" t="n">
        <v>46173</v>
      </c>
      <c r="Y2619" s="3">
        <f>X2619-A2619</f>
        <v/>
      </c>
      <c r="Z2619" s="18" t="n">
        <v>46173</v>
      </c>
      <c r="AA2619" s="15" t="n"/>
      <c r="AB2619" s="15" t="n"/>
    </row>
    <row r="2620">
      <c r="A2620" s="37" t="n">
        <v>46143</v>
      </c>
      <c r="B2620" s="3" t="n">
        <v>2026</v>
      </c>
      <c r="C2620" s="26" t="inlineStr">
        <is>
          <t>Yanara Power</t>
        </is>
      </c>
      <c r="D2620" s="3" t="inlineStr">
        <is>
          <t>Utility and C&amp;I</t>
        </is>
      </c>
      <c r="E2620" s="3" t="n"/>
      <c r="F2620" s="3" t="inlineStr">
        <is>
          <t>Closed</t>
        </is>
      </c>
      <c r="G2620" s="9" t="inlineStr">
        <is>
          <t xml:space="preserve">Ashish Jindal </t>
        </is>
      </c>
      <c r="H2620" s="26" t="n">
        <v>9983975581</v>
      </c>
      <c r="I2620" s="38" t="inlineStr">
        <is>
          <t>PE01052601</t>
        </is>
      </c>
      <c r="J2620" s="26" t="inlineStr">
        <is>
          <t>Multiple Issues</t>
        </is>
      </c>
      <c r="K2620" s="39" t="inlineStr">
        <is>
          <t>Holi</t>
        </is>
      </c>
      <c r="L2620" s="39" t="inlineStr">
        <is>
          <t>Maharashtra</t>
        </is>
      </c>
      <c r="M2620" s="9" t="inlineStr">
        <is>
          <t>PS</t>
        </is>
      </c>
      <c r="N2620" s="3" t="inlineStr">
        <is>
          <t>Cold Soldering</t>
        </is>
      </c>
      <c r="O2620" s="56" t="n">
        <v>575</v>
      </c>
      <c r="P2620" s="46" t="inlineStr">
        <is>
          <t>NSMI24070183614</t>
        </is>
      </c>
      <c r="Q2620" s="54">
        <f>MID(P2620,5,2)</f>
        <v/>
      </c>
      <c r="R2620" s="53">
        <f>MID(P2620,7,2)</f>
        <v/>
      </c>
      <c r="S2620" s="3" t="inlineStr">
        <is>
          <t>G2G</t>
        </is>
      </c>
      <c r="T2620" s="3" t="inlineStr">
        <is>
          <t>P4</t>
        </is>
      </c>
      <c r="U2620" s="19" t="inlineStr">
        <is>
          <t>P JB Cold Soldering</t>
        </is>
      </c>
      <c r="V2620" s="19" t="inlineStr">
        <is>
          <t>Soldering</t>
        </is>
      </c>
      <c r="W2620" s="3" t="inlineStr">
        <is>
          <t>Repair</t>
        </is>
      </c>
      <c r="X2620" s="18" t="n">
        <v>46173</v>
      </c>
      <c r="Y2620" s="3">
        <f>X2620-A2620</f>
        <v/>
      </c>
      <c r="Z2620" s="18" t="n">
        <v>46173</v>
      </c>
      <c r="AA2620" s="15" t="n"/>
      <c r="AB2620" s="15" t="n"/>
    </row>
    <row r="2621">
      <c r="A2621" s="37" t="n">
        <v>46143</v>
      </c>
      <c r="B2621" s="3" t="n">
        <v>2026</v>
      </c>
      <c r="C2621" s="26" t="inlineStr">
        <is>
          <t>Yanara Power</t>
        </is>
      </c>
      <c r="D2621" s="3" t="inlineStr">
        <is>
          <t>Utility and C&amp;I</t>
        </is>
      </c>
      <c r="E2621" s="3" t="n"/>
      <c r="F2621" s="3" t="inlineStr">
        <is>
          <t>Closed</t>
        </is>
      </c>
      <c r="G2621" s="9" t="inlineStr">
        <is>
          <t xml:space="preserve">Ashish Jindal </t>
        </is>
      </c>
      <c r="H2621" s="26" t="n">
        <v>9983975581</v>
      </c>
      <c r="I2621" s="38" t="inlineStr">
        <is>
          <t>PE01052601</t>
        </is>
      </c>
      <c r="J2621" s="26" t="inlineStr">
        <is>
          <t>Multiple Issues</t>
        </is>
      </c>
      <c r="K2621" s="39" t="inlineStr">
        <is>
          <t>Holi</t>
        </is>
      </c>
      <c r="L2621" s="39" t="inlineStr">
        <is>
          <t>Maharashtra</t>
        </is>
      </c>
      <c r="M2621" s="9" t="inlineStr">
        <is>
          <t>NS</t>
        </is>
      </c>
      <c r="N2621" s="3" t="inlineStr">
        <is>
          <t>Cold Soldering</t>
        </is>
      </c>
      <c r="O2621" s="56" t="n">
        <v>575</v>
      </c>
      <c r="P2621" s="46" t="inlineStr">
        <is>
          <t>NSMI24070184020</t>
        </is>
      </c>
      <c r="Q2621" s="54">
        <f>MID(P2621,5,2)</f>
        <v/>
      </c>
      <c r="R2621" s="53">
        <f>MID(P2621,7,2)</f>
        <v/>
      </c>
      <c r="S2621" s="3" t="inlineStr">
        <is>
          <t>G2G</t>
        </is>
      </c>
      <c r="T2621" s="3" t="inlineStr">
        <is>
          <t>P4</t>
        </is>
      </c>
      <c r="U2621" s="3" t="inlineStr">
        <is>
          <t>N JB Cold Soldering</t>
        </is>
      </c>
      <c r="V2621" s="3" t="inlineStr">
        <is>
          <t>Soldering</t>
        </is>
      </c>
      <c r="W2621" s="3" t="inlineStr">
        <is>
          <t>Repair</t>
        </is>
      </c>
      <c r="X2621" s="18" t="n">
        <v>46173</v>
      </c>
      <c r="Y2621" s="3">
        <f>X2621-A2621</f>
        <v/>
      </c>
      <c r="Z2621" s="18" t="n">
        <v>46173</v>
      </c>
      <c r="AA2621" s="15" t="n"/>
      <c r="AB2621" s="15" t="n"/>
    </row>
    <row r="2622">
      <c r="A2622" s="37" t="n">
        <v>46143</v>
      </c>
      <c r="B2622" s="3" t="n">
        <v>2026</v>
      </c>
      <c r="C2622" s="26" t="inlineStr">
        <is>
          <t>Yanara Power</t>
        </is>
      </c>
      <c r="D2622" s="3" t="inlineStr">
        <is>
          <t>Utility and C&amp;I</t>
        </is>
      </c>
      <c r="E2622" s="3" t="n"/>
      <c r="F2622" s="3" t="inlineStr">
        <is>
          <t>Closed</t>
        </is>
      </c>
      <c r="G2622" s="9" t="inlineStr">
        <is>
          <t xml:space="preserve">Ashish Jindal </t>
        </is>
      </c>
      <c r="H2622" s="26" t="n">
        <v>9983975581</v>
      </c>
      <c r="I2622" s="38" t="inlineStr">
        <is>
          <t>PE01052601</t>
        </is>
      </c>
      <c r="J2622" s="26" t="inlineStr">
        <is>
          <t>Multiple Issues</t>
        </is>
      </c>
      <c r="K2622" s="39" t="inlineStr">
        <is>
          <t>Holi</t>
        </is>
      </c>
      <c r="L2622" s="39" t="inlineStr">
        <is>
          <t>Maharashtra</t>
        </is>
      </c>
      <c r="M2622" s="9" t="inlineStr">
        <is>
          <t>PS</t>
        </is>
      </c>
      <c r="N2622" s="3" t="inlineStr">
        <is>
          <t>Cold Soldering</t>
        </is>
      </c>
      <c r="O2622" s="56" t="n">
        <v>575</v>
      </c>
      <c r="P2622" s="46" t="inlineStr">
        <is>
          <t>NSMI24070178368</t>
        </is>
      </c>
      <c r="Q2622" s="54">
        <f>MID(P2622,5,2)</f>
        <v/>
      </c>
      <c r="R2622" s="53">
        <f>MID(P2622,7,2)</f>
        <v/>
      </c>
      <c r="S2622" s="3" t="inlineStr">
        <is>
          <t>G2G</t>
        </is>
      </c>
      <c r="T2622" s="3" t="inlineStr">
        <is>
          <t>P4</t>
        </is>
      </c>
      <c r="U2622" s="19" t="inlineStr">
        <is>
          <t>P JB Cold Soldering</t>
        </is>
      </c>
      <c r="V2622" s="19" t="inlineStr">
        <is>
          <t>Soldering</t>
        </is>
      </c>
      <c r="W2622" s="3" t="inlineStr">
        <is>
          <t>Repair</t>
        </is>
      </c>
      <c r="X2622" s="18" t="n">
        <v>46173</v>
      </c>
      <c r="Y2622" s="3">
        <f>X2622-A2622</f>
        <v/>
      </c>
      <c r="Z2622" s="18" t="n">
        <v>46173</v>
      </c>
      <c r="AA2622" s="15" t="n"/>
      <c r="AB2622" s="15" t="n"/>
    </row>
    <row r="2623">
      <c r="A2623" s="37" t="n">
        <v>46143</v>
      </c>
      <c r="B2623" s="3" t="n">
        <v>2026</v>
      </c>
      <c r="C2623" s="26" t="inlineStr">
        <is>
          <t>Yanara Power</t>
        </is>
      </c>
      <c r="D2623" s="3" t="inlineStr">
        <is>
          <t>Utility and C&amp;I</t>
        </is>
      </c>
      <c r="E2623" s="3" t="n"/>
      <c r="F2623" s="3" t="inlineStr">
        <is>
          <t>Closed</t>
        </is>
      </c>
      <c r="G2623" s="9" t="inlineStr">
        <is>
          <t xml:space="preserve">Ashish Jindal </t>
        </is>
      </c>
      <c r="H2623" s="26" t="n">
        <v>9983975581</v>
      </c>
      <c r="I2623" s="38" t="inlineStr">
        <is>
          <t>PE01052601</t>
        </is>
      </c>
      <c r="J2623" s="26" t="inlineStr">
        <is>
          <t>Multiple Issues</t>
        </is>
      </c>
      <c r="K2623" s="39" t="inlineStr">
        <is>
          <t>Holi</t>
        </is>
      </c>
      <c r="L2623" s="39" t="inlineStr">
        <is>
          <t>Maharashtra</t>
        </is>
      </c>
      <c r="M2623" s="9" t="inlineStr">
        <is>
          <t>PS</t>
        </is>
      </c>
      <c r="N2623" s="3" t="inlineStr">
        <is>
          <t>Cold Soldering</t>
        </is>
      </c>
      <c r="O2623" s="56" t="n">
        <v>575</v>
      </c>
      <c r="P2623" s="46" t="inlineStr">
        <is>
          <t>NSMI24070178347</t>
        </is>
      </c>
      <c r="Q2623" s="54">
        <f>MID(P2623,5,2)</f>
        <v/>
      </c>
      <c r="R2623" s="53">
        <f>MID(P2623,7,2)</f>
        <v/>
      </c>
      <c r="S2623" s="3" t="inlineStr">
        <is>
          <t>G2G</t>
        </is>
      </c>
      <c r="T2623" s="3" t="inlineStr">
        <is>
          <t>P4</t>
        </is>
      </c>
      <c r="U2623" s="19" t="inlineStr">
        <is>
          <t>P JB Cold Soldering</t>
        </is>
      </c>
      <c r="V2623" s="19" t="inlineStr">
        <is>
          <t>Soldering</t>
        </is>
      </c>
      <c r="W2623" s="3" t="inlineStr">
        <is>
          <t>Repair</t>
        </is>
      </c>
      <c r="X2623" s="18" t="n">
        <v>46173</v>
      </c>
      <c r="Y2623" s="3">
        <f>X2623-A2623</f>
        <v/>
      </c>
      <c r="Z2623" s="18" t="n">
        <v>46173</v>
      </c>
      <c r="AA2623" s="15" t="n"/>
      <c r="AB2623" s="15" t="n"/>
    </row>
    <row r="2624">
      <c r="A2624" s="37" t="n">
        <v>46143</v>
      </c>
      <c r="B2624" s="3" t="n">
        <v>2026</v>
      </c>
      <c r="C2624" s="26" t="inlineStr">
        <is>
          <t>Yanara Power</t>
        </is>
      </c>
      <c r="D2624" s="3" t="inlineStr">
        <is>
          <t>Utility and C&amp;I</t>
        </is>
      </c>
      <c r="E2624" s="3" t="n"/>
      <c r="F2624" s="3" t="inlineStr">
        <is>
          <t>Closed</t>
        </is>
      </c>
      <c r="G2624" s="9" t="inlineStr">
        <is>
          <t xml:space="preserve">Ashish Jindal </t>
        </is>
      </c>
      <c r="H2624" s="26" t="n">
        <v>9983975581</v>
      </c>
      <c r="I2624" s="38" t="inlineStr">
        <is>
          <t>PE01052601</t>
        </is>
      </c>
      <c r="J2624" s="26" t="inlineStr">
        <is>
          <t>Multiple Issues</t>
        </is>
      </c>
      <c r="K2624" s="39" t="inlineStr">
        <is>
          <t>Holi</t>
        </is>
      </c>
      <c r="L2624" s="39" t="inlineStr">
        <is>
          <t>Maharashtra</t>
        </is>
      </c>
      <c r="M2624" s="9" t="inlineStr">
        <is>
          <t>PS</t>
        </is>
      </c>
      <c r="N2624" s="3" t="inlineStr">
        <is>
          <t>Cold Soldering</t>
        </is>
      </c>
      <c r="O2624" s="56" t="n">
        <v>575</v>
      </c>
      <c r="P2624" s="46" t="inlineStr">
        <is>
          <t>NSMI24070184673</t>
        </is>
      </c>
      <c r="Q2624" s="54">
        <f>MID(P2624,5,2)</f>
        <v/>
      </c>
      <c r="R2624" s="53">
        <f>MID(P2624,7,2)</f>
        <v/>
      </c>
      <c r="S2624" s="3" t="inlineStr">
        <is>
          <t>G2G</t>
        </is>
      </c>
      <c r="T2624" s="3" t="inlineStr">
        <is>
          <t>P4</t>
        </is>
      </c>
      <c r="U2624" s="19" t="inlineStr">
        <is>
          <t>P JB Cold Soldering</t>
        </is>
      </c>
      <c r="V2624" s="19" t="inlineStr">
        <is>
          <t>Soldering</t>
        </is>
      </c>
      <c r="W2624" s="3" t="inlineStr">
        <is>
          <t>Repair</t>
        </is>
      </c>
      <c r="X2624" s="18" t="n">
        <v>46173</v>
      </c>
      <c r="Y2624" s="3">
        <f>X2624-A2624</f>
        <v/>
      </c>
      <c r="Z2624" s="18" t="n">
        <v>46173</v>
      </c>
      <c r="AA2624" s="15" t="n"/>
      <c r="AB2624" s="15" t="n"/>
    </row>
    <row r="2625">
      <c r="A2625" s="37" t="n">
        <v>46143</v>
      </c>
      <c r="B2625" s="3" t="n">
        <v>2026</v>
      </c>
      <c r="C2625" s="26" t="inlineStr">
        <is>
          <t>Yanara Power</t>
        </is>
      </c>
      <c r="D2625" s="3" t="inlineStr">
        <is>
          <t>Utility and C&amp;I</t>
        </is>
      </c>
      <c r="E2625" s="3" t="n"/>
      <c r="F2625" s="3" t="inlineStr">
        <is>
          <t>Closed</t>
        </is>
      </c>
      <c r="G2625" s="9" t="inlineStr">
        <is>
          <t xml:space="preserve">Ashish Jindal </t>
        </is>
      </c>
      <c r="H2625" s="26" t="n">
        <v>9983975581</v>
      </c>
      <c r="I2625" s="38" t="inlineStr">
        <is>
          <t>PE01052601</t>
        </is>
      </c>
      <c r="J2625" s="26" t="inlineStr">
        <is>
          <t>Multiple Issues</t>
        </is>
      </c>
      <c r="K2625" s="39" t="inlineStr">
        <is>
          <t>Holi</t>
        </is>
      </c>
      <c r="L2625" s="39" t="inlineStr">
        <is>
          <t>Maharashtra</t>
        </is>
      </c>
      <c r="M2625" s="9" t="inlineStr">
        <is>
          <t>PS</t>
        </is>
      </c>
      <c r="N2625" s="3" t="inlineStr">
        <is>
          <t>Cold Soldering</t>
        </is>
      </c>
      <c r="O2625" s="56" t="n">
        <v>575</v>
      </c>
      <c r="P2625" s="46" t="inlineStr">
        <is>
          <t>NSMI24070184571</t>
        </is>
      </c>
      <c r="Q2625" s="54">
        <f>MID(P2625,5,2)</f>
        <v/>
      </c>
      <c r="R2625" s="53">
        <f>MID(P2625,7,2)</f>
        <v/>
      </c>
      <c r="S2625" s="3" t="inlineStr">
        <is>
          <t>G2G</t>
        </is>
      </c>
      <c r="T2625" s="3" t="inlineStr">
        <is>
          <t>P4</t>
        </is>
      </c>
      <c r="U2625" s="19" t="inlineStr">
        <is>
          <t>P JB Cold Soldering</t>
        </is>
      </c>
      <c r="V2625" s="19" t="inlineStr">
        <is>
          <t>Soldering</t>
        </is>
      </c>
      <c r="W2625" s="3" t="inlineStr">
        <is>
          <t>Repair</t>
        </is>
      </c>
      <c r="X2625" s="18" t="n">
        <v>46173</v>
      </c>
      <c r="Y2625" s="3">
        <f>X2625-A2625</f>
        <v/>
      </c>
      <c r="Z2625" s="18" t="n">
        <v>46173</v>
      </c>
      <c r="AA2625" s="15" t="n"/>
      <c r="AB2625" s="15" t="n"/>
    </row>
    <row r="2626">
      <c r="A2626" s="37" t="n">
        <v>46143</v>
      </c>
      <c r="B2626" s="3" t="n">
        <v>2026</v>
      </c>
      <c r="C2626" s="26" t="inlineStr">
        <is>
          <t>Yanara Power</t>
        </is>
      </c>
      <c r="D2626" s="3" t="inlineStr">
        <is>
          <t>Utility and C&amp;I</t>
        </is>
      </c>
      <c r="E2626" s="3" t="n"/>
      <c r="F2626" s="3" t="inlineStr">
        <is>
          <t>Closed</t>
        </is>
      </c>
      <c r="G2626" s="9" t="inlineStr">
        <is>
          <t xml:space="preserve">Ashish Jindal </t>
        </is>
      </c>
      <c r="H2626" s="26" t="n">
        <v>9983975581</v>
      </c>
      <c r="I2626" s="38" t="inlineStr">
        <is>
          <t>PE01052601</t>
        </is>
      </c>
      <c r="J2626" s="26" t="inlineStr">
        <is>
          <t>Multiple Issues</t>
        </is>
      </c>
      <c r="K2626" s="39" t="inlineStr">
        <is>
          <t>Holi</t>
        </is>
      </c>
      <c r="L2626" s="39" t="inlineStr">
        <is>
          <t>Maharashtra</t>
        </is>
      </c>
      <c r="M2626" s="9" t="inlineStr">
        <is>
          <t>PS</t>
        </is>
      </c>
      <c r="N2626" s="3" t="inlineStr">
        <is>
          <t>Cold Soldering</t>
        </is>
      </c>
      <c r="O2626" s="56" t="n">
        <v>575</v>
      </c>
      <c r="P2626" s="46" t="inlineStr">
        <is>
          <t>NSMI24070188097</t>
        </is>
      </c>
      <c r="Q2626" s="54">
        <f>MID(P2626,5,2)</f>
        <v/>
      </c>
      <c r="R2626" s="53">
        <f>MID(P2626,7,2)</f>
        <v/>
      </c>
      <c r="S2626" s="3" t="inlineStr">
        <is>
          <t>G2G</t>
        </is>
      </c>
      <c r="T2626" s="3" t="inlineStr">
        <is>
          <t>P4</t>
        </is>
      </c>
      <c r="U2626" s="19" t="inlineStr">
        <is>
          <t>P JB Cold Soldering</t>
        </is>
      </c>
      <c r="V2626" s="19" t="inlineStr">
        <is>
          <t>Soldering</t>
        </is>
      </c>
      <c r="W2626" s="3" t="inlineStr">
        <is>
          <t>Repair</t>
        </is>
      </c>
      <c r="X2626" s="18" t="n">
        <v>46173</v>
      </c>
      <c r="Y2626" s="3">
        <f>X2626-A2626</f>
        <v/>
      </c>
      <c r="Z2626" s="18" t="n">
        <v>46173</v>
      </c>
      <c r="AA2626" s="15" t="n"/>
      <c r="AB2626" s="15" t="n"/>
    </row>
    <row r="2627">
      <c r="A2627" s="37" t="n">
        <v>46143</v>
      </c>
      <c r="B2627" s="3" t="n">
        <v>2026</v>
      </c>
      <c r="C2627" s="26" t="inlineStr">
        <is>
          <t>Yanara Power</t>
        </is>
      </c>
      <c r="D2627" s="3" t="inlineStr">
        <is>
          <t>Utility and C&amp;I</t>
        </is>
      </c>
      <c r="E2627" s="3" t="n"/>
      <c r="F2627" s="3" t="inlineStr">
        <is>
          <t>Closed</t>
        </is>
      </c>
      <c r="G2627" s="9" t="inlineStr">
        <is>
          <t xml:space="preserve">Ashish Jindal </t>
        </is>
      </c>
      <c r="H2627" s="26" t="n">
        <v>9983975581</v>
      </c>
      <c r="I2627" s="38" t="inlineStr">
        <is>
          <t>PE01052601</t>
        </is>
      </c>
      <c r="J2627" s="26" t="inlineStr">
        <is>
          <t>Multiple Issues</t>
        </is>
      </c>
      <c r="K2627" s="39" t="inlineStr">
        <is>
          <t>Holi</t>
        </is>
      </c>
      <c r="L2627" s="39" t="inlineStr">
        <is>
          <t>Maharashtra</t>
        </is>
      </c>
      <c r="M2627" s="9" t="inlineStr">
        <is>
          <t>PR</t>
        </is>
      </c>
      <c r="N2627" s="3" t="inlineStr">
        <is>
          <t>JB Issue</t>
        </is>
      </c>
      <c r="O2627" s="56" t="n">
        <v>575</v>
      </c>
      <c r="P2627" s="46" t="inlineStr">
        <is>
          <t>NSMI24070178115</t>
        </is>
      </c>
      <c r="Q2627" s="54">
        <f>MID(P2627,5,2)</f>
        <v/>
      </c>
      <c r="R2627" s="53">
        <f>MID(P2627,7,2)</f>
        <v/>
      </c>
      <c r="S2627" s="3" t="inlineStr">
        <is>
          <t>G2G</t>
        </is>
      </c>
      <c r="T2627" s="3" t="inlineStr">
        <is>
          <t>P4</t>
        </is>
      </c>
      <c r="U2627" s="3" t="inlineStr">
        <is>
          <t>P JB Issue</t>
        </is>
      </c>
      <c r="V2627" s="15" t="inlineStr">
        <is>
          <t>JB Changed</t>
        </is>
      </c>
      <c r="W2627" s="3" t="inlineStr">
        <is>
          <t>Repair</t>
        </is>
      </c>
      <c r="X2627" s="18" t="n">
        <v>46173</v>
      </c>
      <c r="Y2627" s="3">
        <f>X2627-A2627</f>
        <v/>
      </c>
      <c r="Z2627" s="18" t="n">
        <v>46173</v>
      </c>
      <c r="AA2627" s="15" t="n"/>
      <c r="AB2627" s="15" t="n"/>
    </row>
    <row r="2628">
      <c r="A2628" s="37" t="n">
        <v>46143</v>
      </c>
      <c r="B2628" s="3" t="n">
        <v>2026</v>
      </c>
      <c r="C2628" s="26" t="inlineStr">
        <is>
          <t>Yanara Power</t>
        </is>
      </c>
      <c r="D2628" s="3" t="inlineStr">
        <is>
          <t>Utility and C&amp;I</t>
        </is>
      </c>
      <c r="E2628" s="3" t="n"/>
      <c r="F2628" s="3" t="inlineStr">
        <is>
          <t>Closed</t>
        </is>
      </c>
      <c r="G2628" s="9" t="inlineStr">
        <is>
          <t xml:space="preserve">Ashish Jindal </t>
        </is>
      </c>
      <c r="H2628" s="26" t="n">
        <v>9983975581</v>
      </c>
      <c r="I2628" s="38" t="inlineStr">
        <is>
          <t>PE01052601</t>
        </is>
      </c>
      <c r="J2628" s="26" t="inlineStr">
        <is>
          <t>Multiple Issues</t>
        </is>
      </c>
      <c r="K2628" s="39" t="inlineStr">
        <is>
          <t>Holi</t>
        </is>
      </c>
      <c r="L2628" s="39" t="inlineStr">
        <is>
          <t>Maharashtra</t>
        </is>
      </c>
      <c r="M2628" s="9" t="inlineStr">
        <is>
          <t>PS</t>
        </is>
      </c>
      <c r="N2628" s="3" t="inlineStr">
        <is>
          <t>Cold Soldering</t>
        </is>
      </c>
      <c r="O2628" s="56" t="n">
        <v>575</v>
      </c>
      <c r="P2628" s="46" t="inlineStr">
        <is>
          <t>NSMI24070183486</t>
        </is>
      </c>
      <c r="Q2628" s="54">
        <f>MID(P2628,5,2)</f>
        <v/>
      </c>
      <c r="R2628" s="53">
        <f>MID(P2628,7,2)</f>
        <v/>
      </c>
      <c r="S2628" s="3" t="inlineStr">
        <is>
          <t>G2G</t>
        </is>
      </c>
      <c r="T2628" s="3" t="inlineStr">
        <is>
          <t>P4</t>
        </is>
      </c>
      <c r="U2628" s="19" t="inlineStr">
        <is>
          <t>P JB Cold Soldering</t>
        </is>
      </c>
      <c r="V2628" s="19" t="inlineStr">
        <is>
          <t>Soldering</t>
        </is>
      </c>
      <c r="W2628" s="3" t="inlineStr">
        <is>
          <t>Repair</t>
        </is>
      </c>
      <c r="X2628" s="18" t="n">
        <v>46173</v>
      </c>
      <c r="Y2628" s="3">
        <f>X2628-A2628</f>
        <v/>
      </c>
      <c r="Z2628" s="18" t="n">
        <v>46173</v>
      </c>
      <c r="AA2628" s="15" t="n"/>
      <c r="AB2628" s="15" t="n"/>
    </row>
    <row r="2629">
      <c r="A2629" s="37" t="n">
        <v>46143</v>
      </c>
      <c r="B2629" s="3" t="n">
        <v>2026</v>
      </c>
      <c r="C2629" s="26" t="inlineStr">
        <is>
          <t>Yanara Power</t>
        </is>
      </c>
      <c r="D2629" s="3" t="inlineStr">
        <is>
          <t>Utility and C&amp;I</t>
        </is>
      </c>
      <c r="E2629" s="3" t="n"/>
      <c r="F2629" s="3" t="inlineStr">
        <is>
          <t>Closed</t>
        </is>
      </c>
      <c r="G2629" s="9" t="inlineStr">
        <is>
          <t xml:space="preserve">Ashish Jindal </t>
        </is>
      </c>
      <c r="H2629" s="26" t="n">
        <v>9983975581</v>
      </c>
      <c r="I2629" s="38" t="inlineStr">
        <is>
          <t>PE01052601</t>
        </is>
      </c>
      <c r="J2629" s="26" t="inlineStr">
        <is>
          <t>Multiple Issues</t>
        </is>
      </c>
      <c r="K2629" s="39" t="inlineStr">
        <is>
          <t>Holi</t>
        </is>
      </c>
      <c r="L2629" s="39" t="inlineStr">
        <is>
          <t>Maharashtra</t>
        </is>
      </c>
      <c r="M2629" s="9" t="inlineStr">
        <is>
          <t>NS</t>
        </is>
      </c>
      <c r="N2629" s="3" t="inlineStr">
        <is>
          <t>Cold Soldering</t>
        </is>
      </c>
      <c r="O2629" s="56" t="n">
        <v>575</v>
      </c>
      <c r="P2629" s="46" t="inlineStr">
        <is>
          <t>NSMI24070178521</t>
        </is>
      </c>
      <c r="Q2629" s="54">
        <f>MID(P2629,5,2)</f>
        <v/>
      </c>
      <c r="R2629" s="53">
        <f>MID(P2629,7,2)</f>
        <v/>
      </c>
      <c r="S2629" s="3" t="inlineStr">
        <is>
          <t>G2G</t>
        </is>
      </c>
      <c r="T2629" s="3" t="inlineStr">
        <is>
          <t>P4</t>
        </is>
      </c>
      <c r="U2629" s="3" t="inlineStr">
        <is>
          <t>N JB Cold Soldering</t>
        </is>
      </c>
      <c r="V2629" s="3" t="inlineStr">
        <is>
          <t>Soldering</t>
        </is>
      </c>
      <c r="W2629" s="3" t="inlineStr">
        <is>
          <t>Repair</t>
        </is>
      </c>
      <c r="X2629" s="18" t="n">
        <v>46173</v>
      </c>
      <c r="Y2629" s="3">
        <f>X2629-A2629</f>
        <v/>
      </c>
      <c r="Z2629" s="18" t="n">
        <v>46173</v>
      </c>
      <c r="AA2629" s="15" t="n"/>
      <c r="AB2629" s="15" t="n"/>
    </row>
    <row r="2630">
      <c r="A2630" s="37" t="n">
        <v>46143</v>
      </c>
      <c r="B2630" s="3" t="n">
        <v>2026</v>
      </c>
      <c r="C2630" s="26" t="inlineStr">
        <is>
          <t>Yanara Power</t>
        </is>
      </c>
      <c r="D2630" s="3" t="inlineStr">
        <is>
          <t>Utility and C&amp;I</t>
        </is>
      </c>
      <c r="E2630" s="3" t="n"/>
      <c r="F2630" s="3" t="inlineStr">
        <is>
          <t>Closed</t>
        </is>
      </c>
      <c r="G2630" s="9" t="inlineStr">
        <is>
          <t xml:space="preserve">Ashish Jindal </t>
        </is>
      </c>
      <c r="H2630" s="26" t="n">
        <v>9983975581</v>
      </c>
      <c r="I2630" s="38" t="inlineStr">
        <is>
          <t>PE01052601</t>
        </is>
      </c>
      <c r="J2630" s="26" t="inlineStr">
        <is>
          <t>Multiple Issues</t>
        </is>
      </c>
      <c r="K2630" s="39" t="inlineStr">
        <is>
          <t>Holi</t>
        </is>
      </c>
      <c r="L2630" s="39" t="inlineStr">
        <is>
          <t>Maharashtra</t>
        </is>
      </c>
      <c r="M2630" s="9" t="inlineStr">
        <is>
          <t>PS</t>
        </is>
      </c>
      <c r="N2630" s="3" t="inlineStr">
        <is>
          <t>Cold Soldering</t>
        </is>
      </c>
      <c r="O2630" s="56" t="n">
        <v>575</v>
      </c>
      <c r="P2630" s="46" t="inlineStr">
        <is>
          <t>NSMI24070184878</t>
        </is>
      </c>
      <c r="Q2630" s="54">
        <f>MID(P2630,5,2)</f>
        <v/>
      </c>
      <c r="R2630" s="53">
        <f>MID(P2630,7,2)</f>
        <v/>
      </c>
      <c r="S2630" s="3" t="inlineStr">
        <is>
          <t>G2G</t>
        </is>
      </c>
      <c r="T2630" s="3" t="inlineStr">
        <is>
          <t>P4</t>
        </is>
      </c>
      <c r="U2630" s="19" t="inlineStr">
        <is>
          <t>P JB Cold Soldering</t>
        </is>
      </c>
      <c r="V2630" s="19" t="inlineStr">
        <is>
          <t>Soldering</t>
        </is>
      </c>
      <c r="W2630" s="3" t="inlineStr">
        <is>
          <t>Repair</t>
        </is>
      </c>
      <c r="X2630" s="18" t="n">
        <v>46173</v>
      </c>
      <c r="Y2630" s="3">
        <f>X2630-A2630</f>
        <v/>
      </c>
      <c r="Z2630" s="18" t="n">
        <v>46173</v>
      </c>
      <c r="AA2630" s="15" t="n"/>
      <c r="AB2630" s="15" t="n"/>
    </row>
    <row r="2631">
      <c r="A2631" s="37" t="n">
        <v>46143</v>
      </c>
      <c r="B2631" s="3" t="n">
        <v>2026</v>
      </c>
      <c r="C2631" s="26" t="inlineStr">
        <is>
          <t>Yanara Power</t>
        </is>
      </c>
      <c r="D2631" s="3" t="inlineStr">
        <is>
          <t>Utility and C&amp;I</t>
        </is>
      </c>
      <c r="E2631" s="3" t="n"/>
      <c r="F2631" s="3" t="inlineStr">
        <is>
          <t>Closed</t>
        </is>
      </c>
      <c r="G2631" s="9" t="inlineStr">
        <is>
          <t xml:space="preserve">Ashish Jindal </t>
        </is>
      </c>
      <c r="H2631" s="26" t="n">
        <v>9983975581</v>
      </c>
      <c r="I2631" s="38" t="inlineStr">
        <is>
          <t>PE01052601</t>
        </is>
      </c>
      <c r="J2631" s="26" t="inlineStr">
        <is>
          <t>Multiple Issues</t>
        </is>
      </c>
      <c r="K2631" s="39" t="inlineStr">
        <is>
          <t>Holi</t>
        </is>
      </c>
      <c r="L2631" s="39" t="inlineStr">
        <is>
          <t>Maharashtra</t>
        </is>
      </c>
      <c r="M2631" s="9" t="inlineStr">
        <is>
          <t>NS</t>
        </is>
      </c>
      <c r="N2631" s="3" t="inlineStr">
        <is>
          <t>Cold Soldering</t>
        </is>
      </c>
      <c r="O2631" s="56" t="n">
        <v>575</v>
      </c>
      <c r="P2631" s="46" t="inlineStr">
        <is>
          <t>NSMI24070178478</t>
        </is>
      </c>
      <c r="Q2631" s="54">
        <f>MID(P2631,5,2)</f>
        <v/>
      </c>
      <c r="R2631" s="53">
        <f>MID(P2631,7,2)</f>
        <v/>
      </c>
      <c r="S2631" s="3" t="inlineStr">
        <is>
          <t>G2G</t>
        </is>
      </c>
      <c r="T2631" s="3" t="inlineStr">
        <is>
          <t>P4</t>
        </is>
      </c>
      <c r="U2631" s="3" t="inlineStr">
        <is>
          <t>N JB Cold Soldering</t>
        </is>
      </c>
      <c r="V2631" s="3" t="inlineStr">
        <is>
          <t>Soldering</t>
        </is>
      </c>
      <c r="W2631" s="3" t="inlineStr">
        <is>
          <t>Repair</t>
        </is>
      </c>
      <c r="X2631" s="18" t="n">
        <v>46173</v>
      </c>
      <c r="Y2631" s="3">
        <f>X2631-A2631</f>
        <v/>
      </c>
      <c r="Z2631" s="18" t="n">
        <v>46173</v>
      </c>
      <c r="AA2631" s="15" t="n"/>
      <c r="AB2631" s="15" t="n"/>
    </row>
    <row r="2632">
      <c r="A2632" s="37" t="n">
        <v>46143</v>
      </c>
      <c r="B2632" s="3" t="n">
        <v>2026</v>
      </c>
      <c r="C2632" s="26" t="inlineStr">
        <is>
          <t>Yanara Power</t>
        </is>
      </c>
      <c r="D2632" s="3" t="inlineStr">
        <is>
          <t>Utility and C&amp;I</t>
        </is>
      </c>
      <c r="E2632" s="3" t="n"/>
      <c r="F2632" s="3" t="inlineStr">
        <is>
          <t>Closed</t>
        </is>
      </c>
      <c r="G2632" s="9" t="inlineStr">
        <is>
          <t xml:space="preserve">Ashish Jindal </t>
        </is>
      </c>
      <c r="H2632" s="26" t="n">
        <v>9983975581</v>
      </c>
      <c r="I2632" s="38" t="inlineStr">
        <is>
          <t>PE01052601</t>
        </is>
      </c>
      <c r="J2632" s="26" t="inlineStr">
        <is>
          <t>Multiple Issues</t>
        </is>
      </c>
      <c r="K2632" s="39" t="inlineStr">
        <is>
          <t>Holi</t>
        </is>
      </c>
      <c r="L2632" s="39" t="inlineStr">
        <is>
          <t>Maharashtra</t>
        </is>
      </c>
      <c r="M2632" s="9" t="inlineStr">
        <is>
          <t>NS</t>
        </is>
      </c>
      <c r="N2632" s="3" t="inlineStr">
        <is>
          <t>Cold Soldering</t>
        </is>
      </c>
      <c r="O2632" s="56" t="n">
        <v>575</v>
      </c>
      <c r="P2632" s="46" t="inlineStr">
        <is>
          <t>NSMI24070183424</t>
        </is>
      </c>
      <c r="Q2632" s="54">
        <f>MID(P2632,5,2)</f>
        <v/>
      </c>
      <c r="R2632" s="53">
        <f>MID(P2632,7,2)</f>
        <v/>
      </c>
      <c r="S2632" s="3" t="inlineStr">
        <is>
          <t>G2G</t>
        </is>
      </c>
      <c r="T2632" s="3" t="inlineStr">
        <is>
          <t>P4</t>
        </is>
      </c>
      <c r="U2632" s="3" t="inlineStr">
        <is>
          <t>N JB Cold Soldering</t>
        </is>
      </c>
      <c r="V2632" s="3" t="inlineStr">
        <is>
          <t>Soldering</t>
        </is>
      </c>
      <c r="W2632" s="3" t="inlineStr">
        <is>
          <t>Repair</t>
        </is>
      </c>
      <c r="X2632" s="18" t="n">
        <v>46173</v>
      </c>
      <c r="Y2632" s="3">
        <f>X2632-A2632</f>
        <v/>
      </c>
      <c r="Z2632" s="18" t="n">
        <v>46173</v>
      </c>
      <c r="AA2632" s="15" t="n"/>
      <c r="AB2632" s="15" t="n"/>
    </row>
    <row r="2633">
      <c r="A2633" s="37" t="n">
        <v>46143</v>
      </c>
      <c r="B2633" s="3" t="n">
        <v>2026</v>
      </c>
      <c r="C2633" s="26" t="inlineStr">
        <is>
          <t>Yanara Power</t>
        </is>
      </c>
      <c r="D2633" s="3" t="inlineStr">
        <is>
          <t>Utility and C&amp;I</t>
        </is>
      </c>
      <c r="E2633" s="3" t="n"/>
      <c r="F2633" s="3" t="inlineStr">
        <is>
          <t>Closed</t>
        </is>
      </c>
      <c r="G2633" s="9" t="inlineStr">
        <is>
          <t xml:space="preserve">Ashish Jindal </t>
        </is>
      </c>
      <c r="H2633" s="26" t="n">
        <v>9983975581</v>
      </c>
      <c r="I2633" s="38" t="inlineStr">
        <is>
          <t>PE01052601</t>
        </is>
      </c>
      <c r="J2633" s="26" t="inlineStr">
        <is>
          <t>Multiple Issues</t>
        </is>
      </c>
      <c r="K2633" s="39" t="inlineStr">
        <is>
          <t>Holi</t>
        </is>
      </c>
      <c r="L2633" s="39" t="inlineStr">
        <is>
          <t>Maharashtra</t>
        </is>
      </c>
      <c r="M2633" s="9" t="inlineStr">
        <is>
          <t>PS</t>
        </is>
      </c>
      <c r="N2633" s="3" t="inlineStr">
        <is>
          <t>Cold Soldering</t>
        </is>
      </c>
      <c r="O2633" s="56" t="n">
        <v>575</v>
      </c>
      <c r="P2633" s="46" t="inlineStr">
        <is>
          <t>NSMI24070183415</t>
        </is>
      </c>
      <c r="Q2633" s="54">
        <f>MID(P2633,5,2)</f>
        <v/>
      </c>
      <c r="R2633" s="53">
        <f>MID(P2633,7,2)</f>
        <v/>
      </c>
      <c r="S2633" s="3" t="inlineStr">
        <is>
          <t>G2G</t>
        </is>
      </c>
      <c r="T2633" s="3" t="inlineStr">
        <is>
          <t>P4</t>
        </is>
      </c>
      <c r="U2633" s="19" t="inlineStr">
        <is>
          <t>P JB Cold Soldering</t>
        </is>
      </c>
      <c r="V2633" s="19" t="inlineStr">
        <is>
          <t>Soldering</t>
        </is>
      </c>
      <c r="W2633" s="3" t="inlineStr">
        <is>
          <t>Repair</t>
        </is>
      </c>
      <c r="X2633" s="18" t="n">
        <v>46173</v>
      </c>
      <c r="Y2633" s="3">
        <f>X2633-A2633</f>
        <v/>
      </c>
      <c r="Z2633" s="18" t="n">
        <v>46173</v>
      </c>
      <c r="AA2633" s="15" t="n"/>
      <c r="AB2633" s="15" t="n"/>
    </row>
    <row r="2634">
      <c r="A2634" s="37" t="n">
        <v>46143</v>
      </c>
      <c r="B2634" s="3" t="n">
        <v>2026</v>
      </c>
      <c r="C2634" s="26" t="inlineStr">
        <is>
          <t>Yanara Power</t>
        </is>
      </c>
      <c r="D2634" s="3" t="inlineStr">
        <is>
          <t>Utility and C&amp;I</t>
        </is>
      </c>
      <c r="E2634" s="3" t="n"/>
      <c r="F2634" s="3" t="inlineStr">
        <is>
          <t>Closed</t>
        </is>
      </c>
      <c r="G2634" s="9" t="inlineStr">
        <is>
          <t xml:space="preserve">Ashish Jindal </t>
        </is>
      </c>
      <c r="H2634" s="26" t="n">
        <v>9983975581</v>
      </c>
      <c r="I2634" s="38" t="inlineStr">
        <is>
          <t>PE01052601</t>
        </is>
      </c>
      <c r="J2634" s="26" t="inlineStr">
        <is>
          <t>Multiple Issues</t>
        </is>
      </c>
      <c r="K2634" s="39" t="inlineStr">
        <is>
          <t>Holi</t>
        </is>
      </c>
      <c r="L2634" s="39" t="inlineStr">
        <is>
          <t>Maharashtra</t>
        </is>
      </c>
      <c r="M2634" s="9" t="inlineStr">
        <is>
          <t>NS</t>
        </is>
      </c>
      <c r="N2634" s="3" t="inlineStr">
        <is>
          <t>Cold Soldering</t>
        </is>
      </c>
      <c r="O2634" s="56" t="n">
        <v>575</v>
      </c>
      <c r="P2634" s="46" t="inlineStr">
        <is>
          <t>NSMI24070179754</t>
        </is>
      </c>
      <c r="Q2634" s="54">
        <f>MID(P2634,5,2)</f>
        <v/>
      </c>
      <c r="R2634" s="53">
        <f>MID(P2634,7,2)</f>
        <v/>
      </c>
      <c r="S2634" s="3" t="inlineStr">
        <is>
          <t>G2G</t>
        </is>
      </c>
      <c r="T2634" s="3" t="inlineStr">
        <is>
          <t>P4</t>
        </is>
      </c>
      <c r="U2634" s="3" t="inlineStr">
        <is>
          <t>N JB Cold Soldering</t>
        </is>
      </c>
      <c r="V2634" s="3" t="inlineStr">
        <is>
          <t>Soldering</t>
        </is>
      </c>
      <c r="W2634" s="3" t="inlineStr">
        <is>
          <t>Repair</t>
        </is>
      </c>
      <c r="X2634" s="18" t="n">
        <v>46173</v>
      </c>
      <c r="Y2634" s="3">
        <f>X2634-A2634</f>
        <v/>
      </c>
      <c r="Z2634" s="18" t="n">
        <v>46173</v>
      </c>
      <c r="AA2634" s="15" t="n"/>
      <c r="AB2634" s="15" t="n"/>
    </row>
    <row r="2635">
      <c r="A2635" s="37" t="n">
        <v>46143</v>
      </c>
      <c r="B2635" s="3" t="n">
        <v>2026</v>
      </c>
      <c r="C2635" s="26" t="inlineStr">
        <is>
          <t>Yanara Power</t>
        </is>
      </c>
      <c r="D2635" s="3" t="inlineStr">
        <is>
          <t>Utility and C&amp;I</t>
        </is>
      </c>
      <c r="E2635" s="3" t="n"/>
      <c r="F2635" s="3" t="inlineStr">
        <is>
          <t>Closed</t>
        </is>
      </c>
      <c r="G2635" s="9" t="inlineStr">
        <is>
          <t xml:space="preserve">Ashish Jindal </t>
        </is>
      </c>
      <c r="H2635" s="26" t="n">
        <v>9983975581</v>
      </c>
      <c r="I2635" s="38" t="inlineStr">
        <is>
          <t>PE01052601</t>
        </is>
      </c>
      <c r="J2635" s="26" t="inlineStr">
        <is>
          <t>Multiple Issues</t>
        </is>
      </c>
      <c r="K2635" s="39" t="inlineStr">
        <is>
          <t>Holi</t>
        </is>
      </c>
      <c r="L2635" s="39" t="inlineStr">
        <is>
          <t>Maharashtra</t>
        </is>
      </c>
      <c r="M2635" s="9" t="inlineStr">
        <is>
          <t>PS</t>
        </is>
      </c>
      <c r="N2635" s="3" t="inlineStr">
        <is>
          <t>Cold Soldering</t>
        </is>
      </c>
      <c r="O2635" s="56" t="n">
        <v>575</v>
      </c>
      <c r="P2635" s="46" t="inlineStr">
        <is>
          <t>NSMI24070182874</t>
        </is>
      </c>
      <c r="Q2635" s="54">
        <f>MID(P2635,5,2)</f>
        <v/>
      </c>
      <c r="R2635" s="53">
        <f>MID(P2635,7,2)</f>
        <v/>
      </c>
      <c r="S2635" s="3" t="inlineStr">
        <is>
          <t>G2G</t>
        </is>
      </c>
      <c r="T2635" s="3" t="inlineStr">
        <is>
          <t>P4</t>
        </is>
      </c>
      <c r="U2635" s="19" t="inlineStr">
        <is>
          <t>P JB Cold Soldering</t>
        </is>
      </c>
      <c r="V2635" s="19" t="inlineStr">
        <is>
          <t>Soldering</t>
        </is>
      </c>
      <c r="W2635" s="3" t="inlineStr">
        <is>
          <t>Repair</t>
        </is>
      </c>
      <c r="X2635" s="18" t="n">
        <v>46173</v>
      </c>
      <c r="Y2635" s="3">
        <f>X2635-A2635</f>
        <v/>
      </c>
      <c r="Z2635" s="18" t="n">
        <v>46173</v>
      </c>
      <c r="AA2635" s="15" t="n"/>
      <c r="AB2635" s="15" t="n"/>
    </row>
    <row r="2636">
      <c r="A2636" s="37" t="n">
        <v>46143</v>
      </c>
      <c r="B2636" s="3" t="n">
        <v>2026</v>
      </c>
      <c r="C2636" s="26" t="inlineStr">
        <is>
          <t>Yanara Power</t>
        </is>
      </c>
      <c r="D2636" s="3" t="inlineStr">
        <is>
          <t>Utility and C&amp;I</t>
        </is>
      </c>
      <c r="E2636" s="3" t="n"/>
      <c r="F2636" s="3" t="inlineStr">
        <is>
          <t>Closed</t>
        </is>
      </c>
      <c r="G2636" s="9" t="inlineStr">
        <is>
          <t xml:space="preserve">Ashish Jindal </t>
        </is>
      </c>
      <c r="H2636" s="26" t="n">
        <v>9983975581</v>
      </c>
      <c r="I2636" s="38" t="inlineStr">
        <is>
          <t>PE01052601</t>
        </is>
      </c>
      <c r="J2636" s="26" t="inlineStr">
        <is>
          <t>Multiple Issues</t>
        </is>
      </c>
      <c r="K2636" s="39" t="inlineStr">
        <is>
          <t>Holi</t>
        </is>
      </c>
      <c r="L2636" s="39" t="inlineStr">
        <is>
          <t>Maharashtra</t>
        </is>
      </c>
      <c r="M2636" s="9" t="inlineStr">
        <is>
          <t>PS</t>
        </is>
      </c>
      <c r="N2636" s="3" t="inlineStr">
        <is>
          <t>Cold Soldering</t>
        </is>
      </c>
      <c r="O2636" s="56" t="n">
        <v>575</v>
      </c>
      <c r="P2636" s="46" t="inlineStr">
        <is>
          <t>NSMI24070184583</t>
        </is>
      </c>
      <c r="Q2636" s="54">
        <f>MID(P2636,5,2)</f>
        <v/>
      </c>
      <c r="R2636" s="53">
        <f>MID(P2636,7,2)</f>
        <v/>
      </c>
      <c r="S2636" s="3" t="inlineStr">
        <is>
          <t>G2G</t>
        </is>
      </c>
      <c r="T2636" s="3" t="inlineStr">
        <is>
          <t>P4</t>
        </is>
      </c>
      <c r="U2636" s="19" t="inlineStr">
        <is>
          <t>P JB Cold Soldering</t>
        </is>
      </c>
      <c r="V2636" s="19" t="inlineStr">
        <is>
          <t>Soldering</t>
        </is>
      </c>
      <c r="W2636" s="3" t="inlineStr">
        <is>
          <t>Repair</t>
        </is>
      </c>
      <c r="X2636" s="18" t="n">
        <v>46173</v>
      </c>
      <c r="Y2636" s="3">
        <f>X2636-A2636</f>
        <v/>
      </c>
      <c r="Z2636" s="18" t="n">
        <v>46173</v>
      </c>
      <c r="AA2636" s="15" t="n"/>
      <c r="AB2636" s="15" t="n"/>
    </row>
    <row r="2637">
      <c r="A2637" s="37" t="n">
        <v>46143</v>
      </c>
      <c r="B2637" s="3" t="n">
        <v>2026</v>
      </c>
      <c r="C2637" s="26" t="inlineStr">
        <is>
          <t>Yanara Power</t>
        </is>
      </c>
      <c r="D2637" s="3" t="inlineStr">
        <is>
          <t>Utility and C&amp;I</t>
        </is>
      </c>
      <c r="E2637" s="3" t="n"/>
      <c r="F2637" s="3" t="inlineStr">
        <is>
          <t>Closed</t>
        </is>
      </c>
      <c r="G2637" s="9" t="inlineStr">
        <is>
          <t xml:space="preserve">Ashish Jindal </t>
        </is>
      </c>
      <c r="H2637" s="26" t="n">
        <v>9983975581</v>
      </c>
      <c r="I2637" s="38" t="inlineStr">
        <is>
          <t>PE01052601</t>
        </is>
      </c>
      <c r="J2637" s="26" t="inlineStr">
        <is>
          <t>Multiple Issues</t>
        </is>
      </c>
      <c r="K2637" s="39" t="inlineStr">
        <is>
          <t>Holi</t>
        </is>
      </c>
      <c r="L2637" s="39" t="inlineStr">
        <is>
          <t>Maharashtra</t>
        </is>
      </c>
      <c r="M2637" s="9" t="inlineStr">
        <is>
          <t>PS</t>
        </is>
      </c>
      <c r="N2637" s="3" t="inlineStr">
        <is>
          <t>Cold Soldering</t>
        </is>
      </c>
      <c r="O2637" s="56" t="n">
        <v>575</v>
      </c>
      <c r="P2637" s="46" t="inlineStr">
        <is>
          <t>NSMI24070184576</t>
        </is>
      </c>
      <c r="Q2637" s="54">
        <f>MID(P2637,5,2)</f>
        <v/>
      </c>
      <c r="R2637" s="53">
        <f>MID(P2637,7,2)</f>
        <v/>
      </c>
      <c r="S2637" s="3" t="inlineStr">
        <is>
          <t>G2G</t>
        </is>
      </c>
      <c r="T2637" s="3" t="inlineStr">
        <is>
          <t>P4</t>
        </is>
      </c>
      <c r="U2637" s="19" t="inlineStr">
        <is>
          <t>P JB Cold Soldering</t>
        </is>
      </c>
      <c r="V2637" s="19" t="inlineStr">
        <is>
          <t>Soldering</t>
        </is>
      </c>
      <c r="W2637" s="3" t="inlineStr">
        <is>
          <t>Repair</t>
        </is>
      </c>
      <c r="X2637" s="18" t="n">
        <v>46173</v>
      </c>
      <c r="Y2637" s="3">
        <f>X2637-A2637</f>
        <v/>
      </c>
      <c r="Z2637" s="18" t="n">
        <v>46173</v>
      </c>
      <c r="AA2637" s="15" t="n"/>
      <c r="AB2637" s="15" t="n"/>
    </row>
    <row r="2638">
      <c r="A2638" s="37" t="n">
        <v>46143</v>
      </c>
      <c r="B2638" s="3" t="n">
        <v>2026</v>
      </c>
      <c r="C2638" s="26" t="inlineStr">
        <is>
          <t>Yanara Power</t>
        </is>
      </c>
      <c r="D2638" s="3" t="inlineStr">
        <is>
          <t>Utility and C&amp;I</t>
        </is>
      </c>
      <c r="E2638" s="3" t="n"/>
      <c r="F2638" s="3" t="inlineStr">
        <is>
          <t>Closed</t>
        </is>
      </c>
      <c r="G2638" s="9" t="inlineStr">
        <is>
          <t xml:space="preserve">Ashish Jindal </t>
        </is>
      </c>
      <c r="H2638" s="26" t="n">
        <v>9983975581</v>
      </c>
      <c r="I2638" s="38" t="inlineStr">
        <is>
          <t>PE01052601</t>
        </is>
      </c>
      <c r="J2638" s="26" t="inlineStr">
        <is>
          <t>Multiple Issues</t>
        </is>
      </c>
      <c r="K2638" s="39" t="inlineStr">
        <is>
          <t>Holi</t>
        </is>
      </c>
      <c r="L2638" s="39" t="inlineStr">
        <is>
          <t>Maharashtra</t>
        </is>
      </c>
      <c r="M2638" s="9" t="inlineStr">
        <is>
          <t>PS</t>
        </is>
      </c>
      <c r="N2638" s="3" t="inlineStr">
        <is>
          <t>Cold Soldering</t>
        </is>
      </c>
      <c r="O2638" s="56" t="n">
        <v>575</v>
      </c>
      <c r="P2638" s="46" t="inlineStr">
        <is>
          <t>NSMI24070183729</t>
        </is>
      </c>
      <c r="Q2638" s="54">
        <f>MID(P2638,5,2)</f>
        <v/>
      </c>
      <c r="R2638" s="53">
        <f>MID(P2638,7,2)</f>
        <v/>
      </c>
      <c r="S2638" s="3" t="inlineStr">
        <is>
          <t>G2G</t>
        </is>
      </c>
      <c r="T2638" s="3" t="inlineStr">
        <is>
          <t>P4</t>
        </is>
      </c>
      <c r="U2638" s="19" t="inlineStr">
        <is>
          <t>P JB Cold Soldering</t>
        </is>
      </c>
      <c r="V2638" s="19" t="inlineStr">
        <is>
          <t>Soldering</t>
        </is>
      </c>
      <c r="W2638" s="3" t="inlineStr">
        <is>
          <t>Repair</t>
        </is>
      </c>
      <c r="X2638" s="18" t="n">
        <v>46173</v>
      </c>
      <c r="Y2638" s="3">
        <f>X2638-A2638</f>
        <v/>
      </c>
      <c r="Z2638" s="18" t="n">
        <v>46173</v>
      </c>
      <c r="AA2638" s="15" t="n"/>
      <c r="AB2638" s="15" t="n"/>
    </row>
    <row r="2639">
      <c r="A2639" s="37" t="n">
        <v>46143</v>
      </c>
      <c r="B2639" s="3" t="n">
        <v>2026</v>
      </c>
      <c r="C2639" s="26" t="inlineStr">
        <is>
          <t>Yanara Power</t>
        </is>
      </c>
      <c r="D2639" s="3" t="inlineStr">
        <is>
          <t>Utility and C&amp;I</t>
        </is>
      </c>
      <c r="E2639" s="3" t="n"/>
      <c r="F2639" s="3" t="inlineStr">
        <is>
          <t>Closed</t>
        </is>
      </c>
      <c r="G2639" s="9" t="inlineStr">
        <is>
          <t xml:space="preserve">Ashish Jindal </t>
        </is>
      </c>
      <c r="H2639" s="26" t="n">
        <v>9983975581</v>
      </c>
      <c r="I2639" s="38" t="inlineStr">
        <is>
          <t>PE01052601</t>
        </is>
      </c>
      <c r="J2639" s="26" t="inlineStr">
        <is>
          <t>Multiple Issues</t>
        </is>
      </c>
      <c r="K2639" s="39" t="inlineStr">
        <is>
          <t>Holi</t>
        </is>
      </c>
      <c r="L2639" s="39" t="inlineStr">
        <is>
          <t>Maharashtra</t>
        </is>
      </c>
      <c r="M2639" s="9" t="inlineStr">
        <is>
          <t>PS</t>
        </is>
      </c>
      <c r="N2639" s="3" t="inlineStr">
        <is>
          <t>Cold Soldering</t>
        </is>
      </c>
      <c r="O2639" s="56" t="n">
        <v>575</v>
      </c>
      <c r="P2639" s="46" t="inlineStr">
        <is>
          <t>NSMI24070184552</t>
        </is>
      </c>
      <c r="Q2639" s="54">
        <f>MID(P2639,5,2)</f>
        <v/>
      </c>
      <c r="R2639" s="53">
        <f>MID(P2639,7,2)</f>
        <v/>
      </c>
      <c r="S2639" s="3" t="inlineStr">
        <is>
          <t>G2G</t>
        </is>
      </c>
      <c r="T2639" s="3" t="inlineStr">
        <is>
          <t>P4</t>
        </is>
      </c>
      <c r="U2639" s="19" t="inlineStr">
        <is>
          <t>P JB Cold Soldering</t>
        </is>
      </c>
      <c r="V2639" s="19" t="inlineStr">
        <is>
          <t>Soldering</t>
        </is>
      </c>
      <c r="W2639" s="3" t="inlineStr">
        <is>
          <t>Repair</t>
        </is>
      </c>
      <c r="X2639" s="18" t="n">
        <v>46173</v>
      </c>
      <c r="Y2639" s="3">
        <f>X2639-A2639</f>
        <v/>
      </c>
      <c r="Z2639" s="18" t="n">
        <v>46173</v>
      </c>
      <c r="AA2639" s="15" t="n"/>
      <c r="AB2639" s="15" t="n"/>
    </row>
    <row r="2640">
      <c r="A2640" s="37" t="n">
        <v>46143</v>
      </c>
      <c r="B2640" s="3" t="n">
        <v>2026</v>
      </c>
      <c r="C2640" s="26" t="inlineStr">
        <is>
          <t>Yanara Power</t>
        </is>
      </c>
      <c r="D2640" s="3" t="inlineStr">
        <is>
          <t>Utility and C&amp;I</t>
        </is>
      </c>
      <c r="E2640" s="3" t="n"/>
      <c r="F2640" s="3" t="inlineStr">
        <is>
          <t>Closed</t>
        </is>
      </c>
      <c r="G2640" s="9" t="inlineStr">
        <is>
          <t xml:space="preserve">Ashish Jindal </t>
        </is>
      </c>
      <c r="H2640" s="26" t="n">
        <v>9983975581</v>
      </c>
      <c r="I2640" s="38" t="inlineStr">
        <is>
          <t>PE01052601</t>
        </is>
      </c>
      <c r="J2640" s="26" t="inlineStr">
        <is>
          <t>Multiple Issues</t>
        </is>
      </c>
      <c r="K2640" s="39" t="inlineStr">
        <is>
          <t>Holi</t>
        </is>
      </c>
      <c r="L2640" s="39" t="inlineStr">
        <is>
          <t>Maharashtra</t>
        </is>
      </c>
      <c r="M2640" s="9" t="inlineStr">
        <is>
          <t>PS</t>
        </is>
      </c>
      <c r="N2640" s="3" t="inlineStr">
        <is>
          <t>Cold Soldering</t>
        </is>
      </c>
      <c r="O2640" s="56" t="n">
        <v>575</v>
      </c>
      <c r="P2640" s="46" t="inlineStr">
        <is>
          <t>NSMI24070184630</t>
        </is>
      </c>
      <c r="Q2640" s="54">
        <f>MID(P2640,5,2)</f>
        <v/>
      </c>
      <c r="R2640" s="53">
        <f>MID(P2640,7,2)</f>
        <v/>
      </c>
      <c r="S2640" s="3" t="inlineStr">
        <is>
          <t>G2G</t>
        </is>
      </c>
      <c r="T2640" s="3" t="inlineStr">
        <is>
          <t>P4</t>
        </is>
      </c>
      <c r="U2640" s="19" t="inlineStr">
        <is>
          <t>P JB Cold Soldering</t>
        </is>
      </c>
      <c r="V2640" s="19" t="inlineStr">
        <is>
          <t>Soldering</t>
        </is>
      </c>
      <c r="W2640" s="3" t="inlineStr">
        <is>
          <t>Repair</t>
        </is>
      </c>
      <c r="X2640" s="18" t="n">
        <v>46173</v>
      </c>
      <c r="Y2640" s="3">
        <f>X2640-A2640</f>
        <v/>
      </c>
      <c r="Z2640" s="18" t="n">
        <v>46173</v>
      </c>
      <c r="AA2640" s="15" t="n"/>
      <c r="AB2640" s="15" t="n"/>
    </row>
    <row r="2641">
      <c r="A2641" s="37" t="n">
        <v>46143</v>
      </c>
      <c r="B2641" s="3" t="n">
        <v>2026</v>
      </c>
      <c r="C2641" s="26" t="inlineStr">
        <is>
          <t>Yanara Power</t>
        </is>
      </c>
      <c r="D2641" s="3" t="inlineStr">
        <is>
          <t>Utility and C&amp;I</t>
        </is>
      </c>
      <c r="E2641" s="3" t="n"/>
      <c r="F2641" s="3" t="inlineStr">
        <is>
          <t>Closed</t>
        </is>
      </c>
      <c r="G2641" s="9" t="inlineStr">
        <is>
          <t xml:space="preserve">Ashish Jindal </t>
        </is>
      </c>
      <c r="H2641" s="26" t="n">
        <v>9983975581</v>
      </c>
      <c r="I2641" s="38" t="inlineStr">
        <is>
          <t>PE01052601</t>
        </is>
      </c>
      <c r="J2641" s="26" t="inlineStr">
        <is>
          <t>Multiple Issues</t>
        </is>
      </c>
      <c r="K2641" s="39" t="inlineStr">
        <is>
          <t>Holi</t>
        </is>
      </c>
      <c r="L2641" s="39" t="inlineStr">
        <is>
          <t>Maharashtra</t>
        </is>
      </c>
      <c r="M2641" s="9" t="inlineStr">
        <is>
          <t>PS</t>
        </is>
      </c>
      <c r="N2641" s="3" t="inlineStr">
        <is>
          <t>Cold Soldering</t>
        </is>
      </c>
      <c r="O2641" s="56" t="n">
        <v>575</v>
      </c>
      <c r="P2641" s="46" t="inlineStr">
        <is>
          <t>NSMI24070184578</t>
        </is>
      </c>
      <c r="Q2641" s="54">
        <f>MID(P2641,5,2)</f>
        <v/>
      </c>
      <c r="R2641" s="53">
        <f>MID(P2641,7,2)</f>
        <v/>
      </c>
      <c r="S2641" s="3" t="inlineStr">
        <is>
          <t>G2G</t>
        </is>
      </c>
      <c r="T2641" s="3" t="inlineStr">
        <is>
          <t>P4</t>
        </is>
      </c>
      <c r="U2641" s="19" t="inlineStr">
        <is>
          <t>P JB Cold Soldering</t>
        </is>
      </c>
      <c r="V2641" s="19" t="inlineStr">
        <is>
          <t>Soldering</t>
        </is>
      </c>
      <c r="W2641" s="3" t="inlineStr">
        <is>
          <t>Repair</t>
        </is>
      </c>
      <c r="X2641" s="18" t="n">
        <v>46173</v>
      </c>
      <c r="Y2641" s="3">
        <f>X2641-A2641</f>
        <v/>
      </c>
      <c r="Z2641" s="18" t="n">
        <v>46173</v>
      </c>
      <c r="AA2641" s="15" t="n"/>
      <c r="AB2641" s="15" t="n"/>
    </row>
    <row r="2642">
      <c r="A2642" s="37" t="n">
        <v>46143</v>
      </c>
      <c r="B2642" s="3" t="n">
        <v>2026</v>
      </c>
      <c r="C2642" s="26" t="inlineStr">
        <is>
          <t>Yanara Power</t>
        </is>
      </c>
      <c r="D2642" s="3" t="inlineStr">
        <is>
          <t>Utility and C&amp;I</t>
        </is>
      </c>
      <c r="E2642" s="3" t="n"/>
      <c r="F2642" s="3" t="inlineStr">
        <is>
          <t>Closed</t>
        </is>
      </c>
      <c r="G2642" s="9" t="inlineStr">
        <is>
          <t xml:space="preserve">Ashish Jindal </t>
        </is>
      </c>
      <c r="H2642" s="26" t="n">
        <v>9983975581</v>
      </c>
      <c r="I2642" s="38" t="inlineStr">
        <is>
          <t>PE01052601</t>
        </is>
      </c>
      <c r="J2642" s="26" t="inlineStr">
        <is>
          <t>Multiple Issues</t>
        </is>
      </c>
      <c r="K2642" s="39" t="inlineStr">
        <is>
          <t>Holi</t>
        </is>
      </c>
      <c r="L2642" s="39" t="inlineStr">
        <is>
          <t>Maharashtra</t>
        </is>
      </c>
      <c r="M2642" s="9" t="inlineStr">
        <is>
          <t>PS</t>
        </is>
      </c>
      <c r="N2642" s="3" t="inlineStr">
        <is>
          <t>Cold Soldering</t>
        </is>
      </c>
      <c r="O2642" s="56" t="n">
        <v>575</v>
      </c>
      <c r="P2642" s="46" t="inlineStr">
        <is>
          <t>NSMI24070183796</t>
        </is>
      </c>
      <c r="Q2642" s="54">
        <f>MID(P2642,5,2)</f>
        <v/>
      </c>
      <c r="R2642" s="53">
        <f>MID(P2642,7,2)</f>
        <v/>
      </c>
      <c r="S2642" s="3" t="inlineStr">
        <is>
          <t>G2G</t>
        </is>
      </c>
      <c r="T2642" s="3" t="inlineStr">
        <is>
          <t>P4</t>
        </is>
      </c>
      <c r="U2642" s="19" t="inlineStr">
        <is>
          <t>P JB Cold Soldering</t>
        </is>
      </c>
      <c r="V2642" s="19" t="inlineStr">
        <is>
          <t>Soldering</t>
        </is>
      </c>
      <c r="W2642" s="3" t="inlineStr">
        <is>
          <t>Repair</t>
        </is>
      </c>
      <c r="X2642" s="18" t="n">
        <v>46173</v>
      </c>
      <c r="Y2642" s="3">
        <f>X2642-A2642</f>
        <v/>
      </c>
      <c r="Z2642" s="18" t="n">
        <v>46173</v>
      </c>
      <c r="AA2642" s="15" t="n"/>
      <c r="AB2642" s="15" t="n"/>
    </row>
    <row r="2643">
      <c r="A2643" s="37" t="n">
        <v>46143</v>
      </c>
      <c r="B2643" s="3" t="n">
        <v>2026</v>
      </c>
      <c r="C2643" s="26" t="inlineStr">
        <is>
          <t>Yanara Power</t>
        </is>
      </c>
      <c r="D2643" s="3" t="inlineStr">
        <is>
          <t>Utility and C&amp;I</t>
        </is>
      </c>
      <c r="E2643" s="3" t="n"/>
      <c r="F2643" s="3" t="inlineStr">
        <is>
          <t>Closed</t>
        </is>
      </c>
      <c r="G2643" s="9" t="inlineStr">
        <is>
          <t xml:space="preserve">Ashish Jindal </t>
        </is>
      </c>
      <c r="H2643" s="26" t="n">
        <v>9983975581</v>
      </c>
      <c r="I2643" s="38" t="inlineStr">
        <is>
          <t>PE01052601</t>
        </is>
      </c>
      <c r="J2643" s="26" t="inlineStr">
        <is>
          <t>Multiple Issues</t>
        </is>
      </c>
      <c r="K2643" s="39" t="inlineStr">
        <is>
          <t>Holi</t>
        </is>
      </c>
      <c r="L2643" s="39" t="inlineStr">
        <is>
          <t>Maharashtra</t>
        </is>
      </c>
      <c r="M2643" s="9" t="inlineStr">
        <is>
          <t>PS</t>
        </is>
      </c>
      <c r="N2643" s="3" t="inlineStr">
        <is>
          <t>Cold Soldering</t>
        </is>
      </c>
      <c r="O2643" s="56" t="n">
        <v>575</v>
      </c>
      <c r="P2643" s="46" t="inlineStr">
        <is>
          <t>NSMI24070165555</t>
        </is>
      </c>
      <c r="Q2643" s="54">
        <f>MID(P2643,5,2)</f>
        <v/>
      </c>
      <c r="R2643" s="53">
        <f>MID(P2643,7,2)</f>
        <v/>
      </c>
      <c r="S2643" s="3" t="inlineStr">
        <is>
          <t>G2G</t>
        </is>
      </c>
      <c r="T2643" s="3" t="inlineStr">
        <is>
          <t>P4</t>
        </is>
      </c>
      <c r="U2643" s="19" t="inlineStr">
        <is>
          <t>P JB Cold Soldering</t>
        </is>
      </c>
      <c r="V2643" s="19" t="inlineStr">
        <is>
          <t>Soldering</t>
        </is>
      </c>
      <c r="W2643" s="3" t="inlineStr">
        <is>
          <t>Repair</t>
        </is>
      </c>
      <c r="X2643" s="18" t="n">
        <v>46173</v>
      </c>
      <c r="Y2643" s="3">
        <f>X2643-A2643</f>
        <v/>
      </c>
      <c r="Z2643" s="18" t="n">
        <v>46173</v>
      </c>
      <c r="AA2643" s="15" t="n"/>
      <c r="AB2643" s="15" t="n"/>
    </row>
    <row r="2644">
      <c r="A2644" s="37" t="n">
        <v>46143</v>
      </c>
      <c r="B2644" s="3" t="n">
        <v>2026</v>
      </c>
      <c r="C2644" s="26" t="inlineStr">
        <is>
          <t>Yanara Power</t>
        </is>
      </c>
      <c r="D2644" s="3" t="inlineStr">
        <is>
          <t>Utility and C&amp;I</t>
        </is>
      </c>
      <c r="E2644" s="3" t="n"/>
      <c r="F2644" s="3" t="inlineStr">
        <is>
          <t>Closed</t>
        </is>
      </c>
      <c r="G2644" s="9" t="inlineStr">
        <is>
          <t xml:space="preserve">Ashish Jindal </t>
        </is>
      </c>
      <c r="H2644" s="26" t="n">
        <v>9983975581</v>
      </c>
      <c r="I2644" s="38" t="inlineStr">
        <is>
          <t>PE01052601</t>
        </is>
      </c>
      <c r="J2644" s="26" t="inlineStr">
        <is>
          <t>Multiple Issues</t>
        </is>
      </c>
      <c r="K2644" s="39" t="inlineStr">
        <is>
          <t>Holi</t>
        </is>
      </c>
      <c r="L2644" s="39" t="inlineStr">
        <is>
          <t>Maharashtra</t>
        </is>
      </c>
      <c r="M2644" s="9" t="inlineStr">
        <is>
          <t>NS</t>
        </is>
      </c>
      <c r="N2644" s="3" t="inlineStr">
        <is>
          <t>Cold Soldering</t>
        </is>
      </c>
      <c r="O2644" s="56" t="n">
        <v>575</v>
      </c>
      <c r="P2644" s="46" t="inlineStr">
        <is>
          <t>NSMI24070184129</t>
        </is>
      </c>
      <c r="Q2644" s="54">
        <f>MID(P2644,5,2)</f>
        <v/>
      </c>
      <c r="R2644" s="53">
        <f>MID(P2644,7,2)</f>
        <v/>
      </c>
      <c r="S2644" s="3" t="inlineStr">
        <is>
          <t>G2G</t>
        </is>
      </c>
      <c r="T2644" s="3" t="inlineStr">
        <is>
          <t>P4</t>
        </is>
      </c>
      <c r="U2644" s="3" t="inlineStr">
        <is>
          <t>N JB Cold Soldering</t>
        </is>
      </c>
      <c r="V2644" s="3" t="inlineStr">
        <is>
          <t>Soldering</t>
        </is>
      </c>
      <c r="W2644" s="3" t="inlineStr">
        <is>
          <t>Repair</t>
        </is>
      </c>
      <c r="X2644" s="18" t="n">
        <v>46173</v>
      </c>
      <c r="Y2644" s="3">
        <f>X2644-A2644</f>
        <v/>
      </c>
      <c r="Z2644" s="18" t="n">
        <v>46173</v>
      </c>
      <c r="AA2644" s="15" t="n"/>
      <c r="AB2644" s="15" t="n"/>
    </row>
    <row r="2645">
      <c r="A2645" s="37" t="n">
        <v>46143</v>
      </c>
      <c r="B2645" s="3" t="n">
        <v>2026</v>
      </c>
      <c r="C2645" s="26" t="inlineStr">
        <is>
          <t>Yanara Power</t>
        </is>
      </c>
      <c r="D2645" s="3" t="inlineStr">
        <is>
          <t>Utility and C&amp;I</t>
        </is>
      </c>
      <c r="E2645" s="3" t="n"/>
      <c r="F2645" s="3" t="inlineStr">
        <is>
          <t>Closed</t>
        </is>
      </c>
      <c r="G2645" s="9" t="inlineStr">
        <is>
          <t xml:space="preserve">Ashish Jindal </t>
        </is>
      </c>
      <c r="H2645" s="26" t="n">
        <v>9983975581</v>
      </c>
      <c r="I2645" s="38" t="inlineStr">
        <is>
          <t>PE01052601</t>
        </is>
      </c>
      <c r="J2645" s="26" t="inlineStr">
        <is>
          <t>Multiple Issues</t>
        </is>
      </c>
      <c r="K2645" s="39" t="inlineStr">
        <is>
          <t>Holi</t>
        </is>
      </c>
      <c r="L2645" s="39" t="inlineStr">
        <is>
          <t>Maharashtra</t>
        </is>
      </c>
      <c r="M2645" s="9" t="inlineStr">
        <is>
          <t>NS</t>
        </is>
      </c>
      <c r="N2645" s="3" t="inlineStr">
        <is>
          <t>Cold Soldering</t>
        </is>
      </c>
      <c r="O2645" s="56" t="n">
        <v>575</v>
      </c>
      <c r="P2645" s="46" t="inlineStr">
        <is>
          <t>NSMI24070184148</t>
        </is>
      </c>
      <c r="Q2645" s="54">
        <f>MID(P2645,5,2)</f>
        <v/>
      </c>
      <c r="R2645" s="53">
        <f>MID(P2645,7,2)</f>
        <v/>
      </c>
      <c r="S2645" s="3" t="inlineStr">
        <is>
          <t>G2G</t>
        </is>
      </c>
      <c r="T2645" s="3" t="inlineStr">
        <is>
          <t>P4</t>
        </is>
      </c>
      <c r="U2645" s="3" t="inlineStr">
        <is>
          <t>N JB Cold Soldering</t>
        </is>
      </c>
      <c r="V2645" s="3" t="inlineStr">
        <is>
          <t>Soldering</t>
        </is>
      </c>
      <c r="W2645" s="3" t="inlineStr">
        <is>
          <t>Repair</t>
        </is>
      </c>
      <c r="X2645" s="18" t="n">
        <v>46173</v>
      </c>
      <c r="Y2645" s="3">
        <f>X2645-A2645</f>
        <v/>
      </c>
      <c r="Z2645" s="18" t="n">
        <v>46173</v>
      </c>
      <c r="AA2645" s="15" t="n"/>
      <c r="AB2645" s="15" t="n"/>
    </row>
    <row r="2646">
      <c r="A2646" s="37" t="n">
        <v>46143</v>
      </c>
      <c r="B2646" s="3" t="n">
        <v>2026</v>
      </c>
      <c r="C2646" s="26" t="inlineStr">
        <is>
          <t>Yanara Power</t>
        </is>
      </c>
      <c r="D2646" s="3" t="inlineStr">
        <is>
          <t>Utility and C&amp;I</t>
        </is>
      </c>
      <c r="E2646" s="3" t="n"/>
      <c r="F2646" s="3" t="inlineStr">
        <is>
          <t>Closed</t>
        </is>
      </c>
      <c r="G2646" s="9" t="inlineStr">
        <is>
          <t xml:space="preserve">Ashish Jindal </t>
        </is>
      </c>
      <c r="H2646" s="26" t="n">
        <v>9983975581</v>
      </c>
      <c r="I2646" s="38" t="inlineStr">
        <is>
          <t>PE01052601</t>
        </is>
      </c>
      <c r="J2646" s="26" t="inlineStr">
        <is>
          <t>Multiple Issues</t>
        </is>
      </c>
      <c r="K2646" s="39" t="inlineStr">
        <is>
          <t>Holi</t>
        </is>
      </c>
      <c r="L2646" s="39" t="inlineStr">
        <is>
          <t>Maharashtra</t>
        </is>
      </c>
      <c r="M2646" s="9" t="inlineStr">
        <is>
          <t>PS</t>
        </is>
      </c>
      <c r="N2646" s="3" t="inlineStr">
        <is>
          <t>Cold Soldering</t>
        </is>
      </c>
      <c r="O2646" s="56" t="n">
        <v>575</v>
      </c>
      <c r="P2646" s="46" t="inlineStr">
        <is>
          <t>NSMI24070183971</t>
        </is>
      </c>
      <c r="Q2646" s="54">
        <f>MID(P2646,5,2)</f>
        <v/>
      </c>
      <c r="R2646" s="53">
        <f>MID(P2646,7,2)</f>
        <v/>
      </c>
      <c r="S2646" s="3" t="inlineStr">
        <is>
          <t>G2G</t>
        </is>
      </c>
      <c r="T2646" s="3" t="inlineStr">
        <is>
          <t>P4</t>
        </is>
      </c>
      <c r="U2646" s="19" t="inlineStr">
        <is>
          <t>P JB Cold Soldering</t>
        </is>
      </c>
      <c r="V2646" s="19" t="inlineStr">
        <is>
          <t>Soldering</t>
        </is>
      </c>
      <c r="W2646" s="3" t="inlineStr">
        <is>
          <t>Repair</t>
        </is>
      </c>
      <c r="X2646" s="18" t="n">
        <v>46173</v>
      </c>
      <c r="Y2646" s="3">
        <f>X2646-A2646</f>
        <v/>
      </c>
      <c r="Z2646" s="18" t="n">
        <v>46173</v>
      </c>
      <c r="AA2646" s="15" t="n"/>
      <c r="AB2646" s="15" t="n"/>
    </row>
    <row r="2647">
      <c r="A2647" s="37" t="n">
        <v>46143</v>
      </c>
      <c r="B2647" s="3" t="n">
        <v>2026</v>
      </c>
      <c r="C2647" s="26" t="inlineStr">
        <is>
          <t>Yanara Power</t>
        </is>
      </c>
      <c r="D2647" s="3" t="inlineStr">
        <is>
          <t>Utility and C&amp;I</t>
        </is>
      </c>
      <c r="E2647" s="3" t="n"/>
      <c r="F2647" s="3" t="inlineStr">
        <is>
          <t>Closed</t>
        </is>
      </c>
      <c r="G2647" s="9" t="inlineStr">
        <is>
          <t xml:space="preserve">Ashish Jindal </t>
        </is>
      </c>
      <c r="H2647" s="26" t="n">
        <v>9983975581</v>
      </c>
      <c r="I2647" s="38" t="inlineStr">
        <is>
          <t>PE01052601</t>
        </is>
      </c>
      <c r="J2647" s="26" t="inlineStr">
        <is>
          <t>Multiple Issues</t>
        </is>
      </c>
      <c r="K2647" s="39" t="inlineStr">
        <is>
          <t>Holi</t>
        </is>
      </c>
      <c r="L2647" s="39" t="inlineStr">
        <is>
          <t>Maharashtra</t>
        </is>
      </c>
      <c r="M2647" s="9" t="inlineStr">
        <is>
          <t>PS</t>
        </is>
      </c>
      <c r="N2647" s="3" t="inlineStr">
        <is>
          <t>Cold Soldering</t>
        </is>
      </c>
      <c r="O2647" s="56" t="n">
        <v>575</v>
      </c>
      <c r="P2647" s="46" t="inlineStr">
        <is>
          <t>NSMI24070184055</t>
        </is>
      </c>
      <c r="Q2647" s="54">
        <f>MID(P2647,5,2)</f>
        <v/>
      </c>
      <c r="R2647" s="53">
        <f>MID(P2647,7,2)</f>
        <v/>
      </c>
      <c r="S2647" s="3" t="inlineStr">
        <is>
          <t>G2G</t>
        </is>
      </c>
      <c r="T2647" s="3" t="inlineStr">
        <is>
          <t>P4</t>
        </is>
      </c>
      <c r="U2647" s="19" t="inlineStr">
        <is>
          <t>P JB Cold Soldering</t>
        </is>
      </c>
      <c r="V2647" s="19" t="inlineStr">
        <is>
          <t>Soldering</t>
        </is>
      </c>
      <c r="W2647" s="3" t="inlineStr">
        <is>
          <t>Repair</t>
        </is>
      </c>
      <c r="X2647" s="18" t="n">
        <v>46173</v>
      </c>
      <c r="Y2647" s="3">
        <f>X2647-A2647</f>
        <v/>
      </c>
      <c r="Z2647" s="18" t="n">
        <v>46173</v>
      </c>
      <c r="AA2647" s="15" t="n"/>
      <c r="AB2647" s="15" t="n"/>
    </row>
    <row r="2648">
      <c r="A2648" s="37" t="n">
        <v>46143</v>
      </c>
      <c r="B2648" s="3" t="n">
        <v>2026</v>
      </c>
      <c r="C2648" s="26" t="inlineStr">
        <is>
          <t>Yanara Power</t>
        </is>
      </c>
      <c r="D2648" s="3" t="inlineStr">
        <is>
          <t>Utility and C&amp;I</t>
        </is>
      </c>
      <c r="E2648" s="3" t="n"/>
      <c r="F2648" s="3" t="inlineStr">
        <is>
          <t>Closed</t>
        </is>
      </c>
      <c r="G2648" s="9" t="inlineStr">
        <is>
          <t xml:space="preserve">Ashish Jindal </t>
        </is>
      </c>
      <c r="H2648" s="26" t="n">
        <v>9983975581</v>
      </c>
      <c r="I2648" s="38" t="inlineStr">
        <is>
          <t>PE01052601</t>
        </is>
      </c>
      <c r="J2648" s="26" t="inlineStr">
        <is>
          <t>Multiple Issues</t>
        </is>
      </c>
      <c r="K2648" s="39" t="inlineStr">
        <is>
          <t>Holi</t>
        </is>
      </c>
      <c r="L2648" s="39" t="inlineStr">
        <is>
          <t>Maharashtra</t>
        </is>
      </c>
      <c r="M2648" s="9" t="inlineStr">
        <is>
          <t>PS</t>
        </is>
      </c>
      <c r="N2648" s="3" t="inlineStr">
        <is>
          <t>Cold Soldering</t>
        </is>
      </c>
      <c r="O2648" s="56" t="n">
        <v>575</v>
      </c>
      <c r="P2648" s="46" t="inlineStr">
        <is>
          <t>NSMI24070179163</t>
        </is>
      </c>
      <c r="Q2648" s="54">
        <f>MID(P2648,5,2)</f>
        <v/>
      </c>
      <c r="R2648" s="53">
        <f>MID(P2648,7,2)</f>
        <v/>
      </c>
      <c r="S2648" s="3" t="inlineStr">
        <is>
          <t>G2G</t>
        </is>
      </c>
      <c r="T2648" s="3" t="inlineStr">
        <is>
          <t>P4</t>
        </is>
      </c>
      <c r="U2648" s="19" t="inlineStr">
        <is>
          <t>P JB Cold Soldering &amp; Back Glass Breakage</t>
        </is>
      </c>
      <c r="V2648" s="19" t="inlineStr">
        <is>
          <t>Soldering</t>
        </is>
      </c>
      <c r="W2648" s="3" t="inlineStr">
        <is>
          <t>Repair</t>
        </is>
      </c>
      <c r="X2648" s="18" t="n">
        <v>46173</v>
      </c>
      <c r="Y2648" s="3">
        <f>X2648-A2648</f>
        <v/>
      </c>
      <c r="Z2648" s="18" t="n">
        <v>46173</v>
      </c>
      <c r="AA2648" s="15" t="n"/>
      <c r="AB2648" s="15" t="n"/>
    </row>
    <row r="2649">
      <c r="A2649" s="37" t="n">
        <v>46143</v>
      </c>
      <c r="B2649" s="3" t="n">
        <v>2026</v>
      </c>
      <c r="C2649" s="26" t="inlineStr">
        <is>
          <t>Yanara Power</t>
        </is>
      </c>
      <c r="D2649" s="3" t="inlineStr">
        <is>
          <t>Utility and C&amp;I</t>
        </is>
      </c>
      <c r="E2649" s="3" t="n"/>
      <c r="F2649" s="3" t="inlineStr">
        <is>
          <t>Closed</t>
        </is>
      </c>
      <c r="G2649" s="9" t="inlineStr">
        <is>
          <t xml:space="preserve">Ashish Jindal </t>
        </is>
      </c>
      <c r="H2649" s="26" t="n">
        <v>9983975581</v>
      </c>
      <c r="I2649" s="38" t="inlineStr">
        <is>
          <t>PE01052601</t>
        </is>
      </c>
      <c r="J2649" s="26" t="inlineStr">
        <is>
          <t>Multiple Issues</t>
        </is>
      </c>
      <c r="K2649" s="39" t="inlineStr">
        <is>
          <t>Holi</t>
        </is>
      </c>
      <c r="L2649" s="39" t="inlineStr">
        <is>
          <t>Maharashtra</t>
        </is>
      </c>
      <c r="M2649" s="9" t="inlineStr">
        <is>
          <t>PS</t>
        </is>
      </c>
      <c r="N2649" s="3" t="inlineStr">
        <is>
          <t>Cold Soldering</t>
        </is>
      </c>
      <c r="O2649" s="56" t="n">
        <v>575</v>
      </c>
      <c r="P2649" s="46" t="inlineStr">
        <is>
          <t>NSMI24070179278</t>
        </is>
      </c>
      <c r="Q2649" s="54">
        <f>MID(P2649,5,2)</f>
        <v/>
      </c>
      <c r="R2649" s="53">
        <f>MID(P2649,7,2)</f>
        <v/>
      </c>
      <c r="S2649" s="3" t="inlineStr">
        <is>
          <t>G2G</t>
        </is>
      </c>
      <c r="T2649" s="3" t="inlineStr">
        <is>
          <t>P4</t>
        </is>
      </c>
      <c r="U2649" s="19" t="inlineStr">
        <is>
          <t>P JB Cold Soldering</t>
        </is>
      </c>
      <c r="V2649" s="19" t="inlineStr">
        <is>
          <t>Soldering</t>
        </is>
      </c>
      <c r="W2649" s="3" t="inlineStr">
        <is>
          <t>Repair</t>
        </is>
      </c>
      <c r="X2649" s="18" t="n">
        <v>46173</v>
      </c>
      <c r="Y2649" s="3">
        <f>X2649-A2649</f>
        <v/>
      </c>
      <c r="Z2649" s="18" t="n">
        <v>46173</v>
      </c>
      <c r="AA2649" s="15" t="n"/>
      <c r="AB2649" s="15" t="n"/>
    </row>
    <row r="2650">
      <c r="A2650" s="37" t="n">
        <v>46143</v>
      </c>
      <c r="B2650" s="3" t="n">
        <v>2026</v>
      </c>
      <c r="C2650" s="26" t="inlineStr">
        <is>
          <t>Yanara Power</t>
        </is>
      </c>
      <c r="D2650" s="3" t="inlineStr">
        <is>
          <t>Utility and C&amp;I</t>
        </is>
      </c>
      <c r="E2650" s="3" t="n"/>
      <c r="F2650" s="3" t="inlineStr">
        <is>
          <t>Closed</t>
        </is>
      </c>
      <c r="G2650" s="9" t="inlineStr">
        <is>
          <t xml:space="preserve">Ashish Jindal </t>
        </is>
      </c>
      <c r="H2650" s="26" t="n">
        <v>9983975581</v>
      </c>
      <c r="I2650" s="38" t="inlineStr">
        <is>
          <t>PE01052601</t>
        </is>
      </c>
      <c r="J2650" s="26" t="inlineStr">
        <is>
          <t>Multiple Issues</t>
        </is>
      </c>
      <c r="K2650" s="39" t="inlineStr">
        <is>
          <t>Holi</t>
        </is>
      </c>
      <c r="L2650" s="39" t="inlineStr">
        <is>
          <t>Maharashtra</t>
        </is>
      </c>
      <c r="M2650" s="9" t="inlineStr">
        <is>
          <t>PS</t>
        </is>
      </c>
      <c r="N2650" s="3" t="inlineStr">
        <is>
          <t>Cold Soldering</t>
        </is>
      </c>
      <c r="O2650" s="56" t="n">
        <v>575</v>
      </c>
      <c r="P2650" s="46" t="inlineStr">
        <is>
          <t>NSMI24070182867</t>
        </is>
      </c>
      <c r="Q2650" s="54">
        <f>MID(P2650,5,2)</f>
        <v/>
      </c>
      <c r="R2650" s="53">
        <f>MID(P2650,7,2)</f>
        <v/>
      </c>
      <c r="S2650" s="3" t="inlineStr">
        <is>
          <t>G2G</t>
        </is>
      </c>
      <c r="T2650" s="3" t="inlineStr">
        <is>
          <t>P4</t>
        </is>
      </c>
      <c r="U2650" s="19" t="inlineStr">
        <is>
          <t>P JB Cold Soldering</t>
        </is>
      </c>
      <c r="V2650" s="19" t="inlineStr">
        <is>
          <t>Soldering</t>
        </is>
      </c>
      <c r="W2650" s="3" t="inlineStr">
        <is>
          <t>Repair</t>
        </is>
      </c>
      <c r="X2650" s="18" t="n">
        <v>46173</v>
      </c>
      <c r="Y2650" s="3">
        <f>X2650-A2650</f>
        <v/>
      </c>
      <c r="Z2650" s="18" t="n">
        <v>46173</v>
      </c>
      <c r="AA2650" s="15" t="n"/>
      <c r="AB2650" s="15" t="n"/>
    </row>
    <row r="2651">
      <c r="A2651" s="37" t="n">
        <v>46143</v>
      </c>
      <c r="B2651" s="3" t="n">
        <v>2026</v>
      </c>
      <c r="C2651" s="26" t="inlineStr">
        <is>
          <t>Yanara Power</t>
        </is>
      </c>
      <c r="D2651" s="3" t="inlineStr">
        <is>
          <t>Utility and C&amp;I</t>
        </is>
      </c>
      <c r="E2651" s="3" t="n"/>
      <c r="F2651" s="3" t="inlineStr">
        <is>
          <t>Closed</t>
        </is>
      </c>
      <c r="G2651" s="9" t="inlineStr">
        <is>
          <t xml:space="preserve">Ashish Jindal </t>
        </is>
      </c>
      <c r="H2651" s="26" t="n">
        <v>9983975581</v>
      </c>
      <c r="I2651" s="38" t="inlineStr">
        <is>
          <t>PE01052601</t>
        </is>
      </c>
      <c r="J2651" s="26" t="inlineStr">
        <is>
          <t>Multiple Issues</t>
        </is>
      </c>
      <c r="K2651" s="39" t="inlineStr">
        <is>
          <t>Holi</t>
        </is>
      </c>
      <c r="L2651" s="39" t="inlineStr">
        <is>
          <t>Maharashtra</t>
        </is>
      </c>
      <c r="M2651" s="9" t="inlineStr">
        <is>
          <t>NS</t>
        </is>
      </c>
      <c r="N2651" s="3" t="inlineStr">
        <is>
          <t>Cold Soldering</t>
        </is>
      </c>
      <c r="O2651" s="56" t="n">
        <v>575</v>
      </c>
      <c r="P2651" s="46" t="inlineStr">
        <is>
          <t>NSMI24070198340</t>
        </is>
      </c>
      <c r="Q2651" s="54">
        <f>MID(P2651,5,2)</f>
        <v/>
      </c>
      <c r="R2651" s="53">
        <f>MID(P2651,7,2)</f>
        <v/>
      </c>
      <c r="S2651" s="3" t="inlineStr">
        <is>
          <t>G2G</t>
        </is>
      </c>
      <c r="T2651" s="3" t="inlineStr">
        <is>
          <t>P4</t>
        </is>
      </c>
      <c r="U2651" s="3" t="inlineStr">
        <is>
          <t>N JB Cold Soldering</t>
        </is>
      </c>
      <c r="V2651" s="3" t="inlineStr">
        <is>
          <t>Soldering</t>
        </is>
      </c>
      <c r="W2651" s="3" t="inlineStr">
        <is>
          <t>Repair</t>
        </is>
      </c>
      <c r="X2651" s="18" t="n">
        <v>46173</v>
      </c>
      <c r="Y2651" s="3">
        <f>X2651-A2651</f>
        <v/>
      </c>
      <c r="Z2651" s="18" t="n">
        <v>46173</v>
      </c>
      <c r="AA2651" s="15" t="n"/>
      <c r="AB2651" s="15" t="n"/>
    </row>
    <row r="2652">
      <c r="A2652" s="37" t="n">
        <v>46143</v>
      </c>
      <c r="B2652" s="3" t="n">
        <v>2026</v>
      </c>
      <c r="C2652" s="26" t="inlineStr">
        <is>
          <t>Yanara Power</t>
        </is>
      </c>
      <c r="D2652" s="3" t="inlineStr">
        <is>
          <t>Utility and C&amp;I</t>
        </is>
      </c>
      <c r="E2652" s="3" t="n"/>
      <c r="F2652" s="3" t="inlineStr">
        <is>
          <t>Closed</t>
        </is>
      </c>
      <c r="G2652" s="9" t="inlineStr">
        <is>
          <t xml:space="preserve">Ashish Jindal </t>
        </is>
      </c>
      <c r="H2652" s="26" t="n">
        <v>9983975581</v>
      </c>
      <c r="I2652" s="38" t="inlineStr">
        <is>
          <t>PE01052601</t>
        </is>
      </c>
      <c r="J2652" s="26" t="inlineStr">
        <is>
          <t>Multiple Issues</t>
        </is>
      </c>
      <c r="K2652" s="39" t="inlineStr">
        <is>
          <t>Holi</t>
        </is>
      </c>
      <c r="L2652" s="39" t="inlineStr">
        <is>
          <t>Maharashtra</t>
        </is>
      </c>
      <c r="M2652" s="9" t="inlineStr">
        <is>
          <t>PNS</t>
        </is>
      </c>
      <c r="N2652" s="3" t="inlineStr">
        <is>
          <t>Cold Soldering</t>
        </is>
      </c>
      <c r="O2652" s="56" t="n">
        <v>575</v>
      </c>
      <c r="P2652" s="46" t="inlineStr">
        <is>
          <t>NSMI24070198395</t>
        </is>
      </c>
      <c r="Q2652" s="54">
        <f>MID(P2652,5,2)</f>
        <v/>
      </c>
      <c r="R2652" s="53">
        <f>MID(P2652,7,2)</f>
        <v/>
      </c>
      <c r="S2652" s="3" t="inlineStr">
        <is>
          <t>G2G</t>
        </is>
      </c>
      <c r="T2652" s="3" t="inlineStr">
        <is>
          <t>P4</t>
        </is>
      </c>
      <c r="U2652" s="3" t="inlineStr">
        <is>
          <t>P &amp; N JB Cold Soldering</t>
        </is>
      </c>
      <c r="V2652" s="3" t="inlineStr">
        <is>
          <t>Soldering</t>
        </is>
      </c>
      <c r="W2652" s="3" t="inlineStr">
        <is>
          <t>Repair</t>
        </is>
      </c>
      <c r="X2652" s="18" t="n">
        <v>46173</v>
      </c>
      <c r="Y2652" s="3">
        <f>X2652-A2652</f>
        <v/>
      </c>
      <c r="Z2652" s="18" t="n">
        <v>46173</v>
      </c>
      <c r="AA2652" s="15" t="n"/>
      <c r="AB2652" s="15" t="n"/>
    </row>
    <row r="2653">
      <c r="A2653" s="37" t="n">
        <v>46143</v>
      </c>
      <c r="B2653" s="3" t="n">
        <v>2026</v>
      </c>
      <c r="C2653" s="26" t="inlineStr">
        <is>
          <t>Yanara Power</t>
        </is>
      </c>
      <c r="D2653" s="3" t="inlineStr">
        <is>
          <t>Utility and C&amp;I</t>
        </is>
      </c>
      <c r="E2653" s="3" t="n"/>
      <c r="F2653" s="3" t="inlineStr">
        <is>
          <t>Closed</t>
        </is>
      </c>
      <c r="G2653" s="9" t="inlineStr">
        <is>
          <t xml:space="preserve">Ashish Jindal </t>
        </is>
      </c>
      <c r="H2653" s="26" t="n">
        <v>9983975581</v>
      </c>
      <c r="I2653" s="38" t="inlineStr">
        <is>
          <t>PE01052601</t>
        </is>
      </c>
      <c r="J2653" s="26" t="inlineStr">
        <is>
          <t>Multiple Issues</t>
        </is>
      </c>
      <c r="K2653" s="39" t="inlineStr">
        <is>
          <t>Holi</t>
        </is>
      </c>
      <c r="L2653" s="39" t="inlineStr">
        <is>
          <t>Maharashtra</t>
        </is>
      </c>
      <c r="M2653" s="9" t="inlineStr">
        <is>
          <t>PS</t>
        </is>
      </c>
      <c r="N2653" s="3" t="inlineStr">
        <is>
          <t>Cold Soldering</t>
        </is>
      </c>
      <c r="O2653" s="56" t="n">
        <v>575</v>
      </c>
      <c r="P2653" s="46" t="inlineStr">
        <is>
          <t>NSMI24070183863</t>
        </is>
      </c>
      <c r="Q2653" s="54">
        <f>MID(P2653,5,2)</f>
        <v/>
      </c>
      <c r="R2653" s="53">
        <f>MID(P2653,7,2)</f>
        <v/>
      </c>
      <c r="S2653" s="3" t="inlineStr">
        <is>
          <t>G2G</t>
        </is>
      </c>
      <c r="T2653" s="3" t="inlineStr">
        <is>
          <t>P4</t>
        </is>
      </c>
      <c r="U2653" s="19" t="inlineStr">
        <is>
          <t>P JB Cold Soldering</t>
        </is>
      </c>
      <c r="V2653" s="19" t="inlineStr">
        <is>
          <t>Soldering</t>
        </is>
      </c>
      <c r="W2653" s="3" t="inlineStr">
        <is>
          <t>Repair</t>
        </is>
      </c>
      <c r="X2653" s="18" t="n">
        <v>46173</v>
      </c>
      <c r="Y2653" s="3">
        <f>X2653-A2653</f>
        <v/>
      </c>
      <c r="Z2653" s="18" t="n">
        <v>46173</v>
      </c>
      <c r="AA2653" s="15" t="n"/>
      <c r="AB2653" s="15" t="n"/>
    </row>
    <row r="2654">
      <c r="A2654" s="37" t="n">
        <v>46143</v>
      </c>
      <c r="B2654" s="3" t="n">
        <v>2026</v>
      </c>
      <c r="C2654" s="26" t="inlineStr">
        <is>
          <t>Yanara Power</t>
        </is>
      </c>
      <c r="D2654" s="3" t="inlineStr">
        <is>
          <t>Utility and C&amp;I</t>
        </is>
      </c>
      <c r="E2654" s="3" t="n"/>
      <c r="F2654" s="3" t="inlineStr">
        <is>
          <t>Closed</t>
        </is>
      </c>
      <c r="G2654" s="9" t="inlineStr">
        <is>
          <t xml:space="preserve">Ashish Jindal </t>
        </is>
      </c>
      <c r="H2654" s="26" t="n">
        <v>9983975581</v>
      </c>
      <c r="I2654" s="38" t="inlineStr">
        <is>
          <t>PE01052601</t>
        </is>
      </c>
      <c r="J2654" s="26" t="inlineStr">
        <is>
          <t>Multiple Issues</t>
        </is>
      </c>
      <c r="K2654" s="39" t="inlineStr">
        <is>
          <t>Holi</t>
        </is>
      </c>
      <c r="L2654" s="39" t="inlineStr">
        <is>
          <t>Maharashtra</t>
        </is>
      </c>
      <c r="M2654" s="9" t="inlineStr">
        <is>
          <t>NS</t>
        </is>
      </c>
      <c r="N2654" s="3" t="inlineStr">
        <is>
          <t>Cold Soldering</t>
        </is>
      </c>
      <c r="O2654" s="56" t="n">
        <v>575</v>
      </c>
      <c r="P2654" s="46" t="inlineStr">
        <is>
          <t>NSMI24070183884</t>
        </is>
      </c>
      <c r="Q2654" s="54">
        <f>MID(P2654,5,2)</f>
        <v/>
      </c>
      <c r="R2654" s="53">
        <f>MID(P2654,7,2)</f>
        <v/>
      </c>
      <c r="S2654" s="3" t="inlineStr">
        <is>
          <t>G2G</t>
        </is>
      </c>
      <c r="T2654" s="3" t="inlineStr">
        <is>
          <t>P4</t>
        </is>
      </c>
      <c r="U2654" s="3" t="inlineStr">
        <is>
          <t>N JB Cold Soldering</t>
        </is>
      </c>
      <c r="V2654" s="3" t="inlineStr">
        <is>
          <t>Soldering</t>
        </is>
      </c>
      <c r="W2654" s="3" t="inlineStr">
        <is>
          <t>Repair</t>
        </is>
      </c>
      <c r="X2654" s="18" t="n">
        <v>46173</v>
      </c>
      <c r="Y2654" s="3">
        <f>X2654-A2654</f>
        <v/>
      </c>
      <c r="Z2654" s="18" t="n">
        <v>46173</v>
      </c>
      <c r="AA2654" s="15" t="n"/>
      <c r="AB2654" s="15" t="n"/>
    </row>
    <row r="2655">
      <c r="A2655" s="37" t="n">
        <v>46143</v>
      </c>
      <c r="B2655" s="3" t="n">
        <v>2026</v>
      </c>
      <c r="C2655" s="26" t="inlineStr">
        <is>
          <t>Yanara Power</t>
        </is>
      </c>
      <c r="D2655" s="3" t="inlineStr">
        <is>
          <t>Utility and C&amp;I</t>
        </is>
      </c>
      <c r="E2655" s="3" t="n"/>
      <c r="F2655" s="3" t="inlineStr">
        <is>
          <t>Closed</t>
        </is>
      </c>
      <c r="G2655" s="9" t="inlineStr">
        <is>
          <t xml:space="preserve">Ashish Jindal </t>
        </is>
      </c>
      <c r="H2655" s="26" t="n">
        <v>9983975581</v>
      </c>
      <c r="I2655" s="38" t="inlineStr">
        <is>
          <t>PE01052601</t>
        </is>
      </c>
      <c r="J2655" s="26" t="inlineStr">
        <is>
          <t>Multiple Issues</t>
        </is>
      </c>
      <c r="K2655" s="39" t="inlineStr">
        <is>
          <t>Holi</t>
        </is>
      </c>
      <c r="L2655" s="39" t="inlineStr">
        <is>
          <t>Maharashtra</t>
        </is>
      </c>
      <c r="M2655" s="9" t="inlineStr">
        <is>
          <t>PS</t>
        </is>
      </c>
      <c r="N2655" s="3" t="inlineStr">
        <is>
          <t>Cold Soldering</t>
        </is>
      </c>
      <c r="O2655" s="56" t="n">
        <v>575</v>
      </c>
      <c r="P2655" s="46" t="inlineStr">
        <is>
          <t>NSMI24070216242</t>
        </is>
      </c>
      <c r="Q2655" s="54">
        <f>MID(P2655,5,2)</f>
        <v/>
      </c>
      <c r="R2655" s="53">
        <f>MID(P2655,7,2)</f>
        <v/>
      </c>
      <c r="S2655" s="3" t="inlineStr">
        <is>
          <t>G2G</t>
        </is>
      </c>
      <c r="T2655" s="3" t="inlineStr">
        <is>
          <t>P4</t>
        </is>
      </c>
      <c r="U2655" s="19" t="inlineStr">
        <is>
          <t>P JB Cold Soldering</t>
        </is>
      </c>
      <c r="V2655" s="19" t="inlineStr">
        <is>
          <t>Soldering</t>
        </is>
      </c>
      <c r="W2655" s="3" t="inlineStr">
        <is>
          <t>Repair</t>
        </is>
      </c>
      <c r="X2655" s="18" t="n">
        <v>46173</v>
      </c>
      <c r="Y2655" s="3">
        <f>X2655-A2655</f>
        <v/>
      </c>
      <c r="Z2655" s="18" t="n">
        <v>46173</v>
      </c>
      <c r="AA2655" s="15" t="n"/>
      <c r="AB2655" s="15" t="n"/>
    </row>
    <row r="2656">
      <c r="A2656" s="37" t="n">
        <v>46143</v>
      </c>
      <c r="B2656" s="3" t="n">
        <v>2026</v>
      </c>
      <c r="C2656" s="26" t="inlineStr">
        <is>
          <t>Yanara Power</t>
        </is>
      </c>
      <c r="D2656" s="3" t="inlineStr">
        <is>
          <t>Utility and C&amp;I</t>
        </is>
      </c>
      <c r="E2656" s="3" t="n"/>
      <c r="F2656" s="3" t="inlineStr">
        <is>
          <t>Closed</t>
        </is>
      </c>
      <c r="G2656" s="9" t="inlineStr">
        <is>
          <t xml:space="preserve">Ashish Jindal </t>
        </is>
      </c>
      <c r="H2656" s="26" t="n">
        <v>9983975581</v>
      </c>
      <c r="I2656" s="38" t="inlineStr">
        <is>
          <t>PE01052601</t>
        </is>
      </c>
      <c r="J2656" s="26" t="inlineStr">
        <is>
          <t>Multiple Issues</t>
        </is>
      </c>
      <c r="K2656" s="39" t="inlineStr">
        <is>
          <t>Holi</t>
        </is>
      </c>
      <c r="L2656" s="39" t="inlineStr">
        <is>
          <t>Maharashtra</t>
        </is>
      </c>
      <c r="M2656" s="9" t="inlineStr">
        <is>
          <t>AS</t>
        </is>
      </c>
      <c r="N2656" s="19" t="inlineStr">
        <is>
          <t>Cold Soldering</t>
        </is>
      </c>
      <c r="O2656" s="56" t="n">
        <v>575</v>
      </c>
      <c r="P2656" s="46" t="inlineStr">
        <is>
          <t>NSMI24070166252</t>
        </is>
      </c>
      <c r="Q2656" s="54">
        <f>MID(P2656,5,2)</f>
        <v/>
      </c>
      <c r="R2656" s="53">
        <f>MID(P2656,7,2)</f>
        <v/>
      </c>
      <c r="S2656" s="3" t="inlineStr">
        <is>
          <t>G2G</t>
        </is>
      </c>
      <c r="T2656" s="3" t="inlineStr">
        <is>
          <t>P4</t>
        </is>
      </c>
      <c r="U2656" s="19" t="inlineStr">
        <is>
          <t>All JB Cold Soldering</t>
        </is>
      </c>
      <c r="V2656" s="19" t="inlineStr">
        <is>
          <t>Soldering</t>
        </is>
      </c>
      <c r="W2656" s="3" t="inlineStr">
        <is>
          <t>Repair</t>
        </is>
      </c>
      <c r="X2656" s="18" t="n">
        <v>46173</v>
      </c>
      <c r="Y2656" s="3">
        <f>X2656-A2656</f>
        <v/>
      </c>
      <c r="Z2656" s="18" t="n">
        <v>46173</v>
      </c>
      <c r="AA2656" s="15" t="n"/>
      <c r="AB2656" s="15" t="n"/>
    </row>
    <row r="2657">
      <c r="A2657" s="37" t="n">
        <v>46143</v>
      </c>
      <c r="B2657" s="3" t="n">
        <v>2026</v>
      </c>
      <c r="C2657" s="26" t="inlineStr">
        <is>
          <t>Yanara Power</t>
        </is>
      </c>
      <c r="D2657" s="3" t="inlineStr">
        <is>
          <t>Utility and C&amp;I</t>
        </is>
      </c>
      <c r="E2657" s="3" t="n"/>
      <c r="F2657" s="3" t="inlineStr">
        <is>
          <t>Closed</t>
        </is>
      </c>
      <c r="G2657" s="9" t="inlineStr">
        <is>
          <t xml:space="preserve">Ashish Jindal </t>
        </is>
      </c>
      <c r="H2657" s="26" t="n">
        <v>9983975581</v>
      </c>
      <c r="I2657" s="38" t="inlineStr">
        <is>
          <t>PE01052601</t>
        </is>
      </c>
      <c r="J2657" s="26" t="inlineStr">
        <is>
          <t>Multiple Issues</t>
        </is>
      </c>
      <c r="K2657" s="39" t="inlineStr">
        <is>
          <t>Holi</t>
        </is>
      </c>
      <c r="L2657" s="39" t="inlineStr">
        <is>
          <t>Maharashtra</t>
        </is>
      </c>
      <c r="M2657" s="9" t="inlineStr">
        <is>
          <t>PS</t>
        </is>
      </c>
      <c r="N2657" s="3" t="inlineStr">
        <is>
          <t>Cold Soldering</t>
        </is>
      </c>
      <c r="O2657" s="56" t="n">
        <v>575</v>
      </c>
      <c r="P2657" s="46" t="inlineStr">
        <is>
          <t>NSMI24070184714</t>
        </is>
      </c>
      <c r="Q2657" s="54">
        <f>MID(P2657,5,2)</f>
        <v/>
      </c>
      <c r="R2657" s="53">
        <f>MID(P2657,7,2)</f>
        <v/>
      </c>
      <c r="S2657" s="3" t="inlineStr">
        <is>
          <t>G2G</t>
        </is>
      </c>
      <c r="T2657" s="3" t="inlineStr">
        <is>
          <t>P4</t>
        </is>
      </c>
      <c r="U2657" s="19" t="inlineStr">
        <is>
          <t>P JB Cold Soldering</t>
        </is>
      </c>
      <c r="V2657" s="19" t="inlineStr">
        <is>
          <t>Soldering</t>
        </is>
      </c>
      <c r="W2657" s="3" t="inlineStr">
        <is>
          <t>Repair</t>
        </is>
      </c>
      <c r="X2657" s="18" t="n">
        <v>46173</v>
      </c>
      <c r="Y2657" s="3">
        <f>X2657-A2657</f>
        <v/>
      </c>
      <c r="Z2657" s="18" t="n">
        <v>46173</v>
      </c>
      <c r="AA2657" s="15" t="n"/>
      <c r="AB2657" s="15" t="n"/>
    </row>
    <row r="2658">
      <c r="A2658" s="37" t="n">
        <v>46143</v>
      </c>
      <c r="B2658" s="3" t="n">
        <v>2026</v>
      </c>
      <c r="C2658" s="26" t="inlineStr">
        <is>
          <t>Yanara Power</t>
        </is>
      </c>
      <c r="D2658" s="3" t="inlineStr">
        <is>
          <t>Utility and C&amp;I</t>
        </is>
      </c>
      <c r="E2658" s="3" t="n"/>
      <c r="F2658" s="3" t="inlineStr">
        <is>
          <t>Closed</t>
        </is>
      </c>
      <c r="G2658" s="9" t="inlineStr">
        <is>
          <t xml:space="preserve">Ashish Jindal </t>
        </is>
      </c>
      <c r="H2658" s="26" t="n">
        <v>9983975581</v>
      </c>
      <c r="I2658" s="38" t="inlineStr">
        <is>
          <t>PE01052601</t>
        </is>
      </c>
      <c r="J2658" s="26" t="inlineStr">
        <is>
          <t>Multiple Issues</t>
        </is>
      </c>
      <c r="K2658" s="39" t="inlineStr">
        <is>
          <t>Holi</t>
        </is>
      </c>
      <c r="L2658" s="39" t="inlineStr">
        <is>
          <t>Maharashtra</t>
        </is>
      </c>
      <c r="M2658" s="9" t="inlineStr">
        <is>
          <t>PS</t>
        </is>
      </c>
      <c r="N2658" s="3" t="inlineStr">
        <is>
          <t>Cold Soldering</t>
        </is>
      </c>
      <c r="O2658" s="56" t="n">
        <v>575</v>
      </c>
      <c r="P2658" s="46" t="inlineStr">
        <is>
          <t>NSMI24070184735</t>
        </is>
      </c>
      <c r="Q2658" s="54">
        <f>MID(P2658,5,2)</f>
        <v/>
      </c>
      <c r="R2658" s="53">
        <f>MID(P2658,7,2)</f>
        <v/>
      </c>
      <c r="S2658" s="3" t="inlineStr">
        <is>
          <t>G2G</t>
        </is>
      </c>
      <c r="T2658" s="3" t="inlineStr">
        <is>
          <t>P4</t>
        </is>
      </c>
      <c r="U2658" s="19" t="inlineStr">
        <is>
          <t>P JB Cold Soldering</t>
        </is>
      </c>
      <c r="V2658" s="19" t="inlineStr">
        <is>
          <t>Soldering</t>
        </is>
      </c>
      <c r="W2658" s="3" t="inlineStr">
        <is>
          <t>Repair</t>
        </is>
      </c>
      <c r="X2658" s="18" t="n">
        <v>46173</v>
      </c>
      <c r="Y2658" s="3">
        <f>X2658-A2658</f>
        <v/>
      </c>
      <c r="Z2658" s="18" t="n">
        <v>46173</v>
      </c>
      <c r="AA2658" s="15" t="n"/>
      <c r="AB2658" s="15" t="n"/>
    </row>
    <row r="2659">
      <c r="A2659" s="37" t="n">
        <v>46143</v>
      </c>
      <c r="B2659" s="3" t="n">
        <v>2026</v>
      </c>
      <c r="C2659" s="26" t="inlineStr">
        <is>
          <t>Yanara Power</t>
        </is>
      </c>
      <c r="D2659" s="3" t="inlineStr">
        <is>
          <t>Utility and C&amp;I</t>
        </is>
      </c>
      <c r="E2659" s="3" t="n"/>
      <c r="F2659" s="3" t="inlineStr">
        <is>
          <t>Closed</t>
        </is>
      </c>
      <c r="G2659" s="9" t="inlineStr">
        <is>
          <t xml:space="preserve">Ashish Jindal </t>
        </is>
      </c>
      <c r="H2659" s="26" t="n">
        <v>9983975581</v>
      </c>
      <c r="I2659" s="38" t="inlineStr">
        <is>
          <t>PE01052601</t>
        </is>
      </c>
      <c r="J2659" s="26" t="inlineStr">
        <is>
          <t>Multiple Issues</t>
        </is>
      </c>
      <c r="K2659" s="39" t="inlineStr">
        <is>
          <t>Holi</t>
        </is>
      </c>
      <c r="L2659" s="39" t="inlineStr">
        <is>
          <t>Maharashtra</t>
        </is>
      </c>
      <c r="M2659" s="9" t="inlineStr">
        <is>
          <t>PS</t>
        </is>
      </c>
      <c r="N2659" s="3" t="inlineStr">
        <is>
          <t>Cold Soldering</t>
        </is>
      </c>
      <c r="O2659" s="56" t="n">
        <v>575</v>
      </c>
      <c r="P2659" s="46" t="inlineStr">
        <is>
          <t>NSMI24070188029</t>
        </is>
      </c>
      <c r="Q2659" s="54">
        <f>MID(P2659,5,2)</f>
        <v/>
      </c>
      <c r="R2659" s="53">
        <f>MID(P2659,7,2)</f>
        <v/>
      </c>
      <c r="S2659" s="3" t="inlineStr">
        <is>
          <t>G2G</t>
        </is>
      </c>
      <c r="T2659" s="3" t="inlineStr">
        <is>
          <t>P4</t>
        </is>
      </c>
      <c r="U2659" s="19" t="inlineStr">
        <is>
          <t>P JB Cold Soldering</t>
        </is>
      </c>
      <c r="V2659" s="19" t="inlineStr">
        <is>
          <t>Soldering</t>
        </is>
      </c>
      <c r="W2659" s="3" t="inlineStr">
        <is>
          <t>Repair</t>
        </is>
      </c>
      <c r="X2659" s="18" t="n">
        <v>46173</v>
      </c>
      <c r="Y2659" s="3">
        <f>X2659-A2659</f>
        <v/>
      </c>
      <c r="Z2659" s="18" t="n">
        <v>46173</v>
      </c>
      <c r="AA2659" s="15" t="n"/>
      <c r="AB2659" s="15" t="n"/>
    </row>
    <row r="2660">
      <c r="A2660" s="37" t="n">
        <v>46143</v>
      </c>
      <c r="B2660" s="3" t="n">
        <v>2026</v>
      </c>
      <c r="C2660" s="26" t="inlineStr">
        <is>
          <t>Yanara Power</t>
        </is>
      </c>
      <c r="D2660" s="3" t="inlineStr">
        <is>
          <t>Utility and C&amp;I</t>
        </is>
      </c>
      <c r="E2660" s="3" t="n"/>
      <c r="F2660" s="3" t="inlineStr">
        <is>
          <t>Closed</t>
        </is>
      </c>
      <c r="G2660" s="9" t="inlineStr">
        <is>
          <t xml:space="preserve">Ashish Jindal </t>
        </is>
      </c>
      <c r="H2660" s="26" t="n">
        <v>9983975581</v>
      </c>
      <c r="I2660" s="38" t="inlineStr">
        <is>
          <t>PE01052601</t>
        </is>
      </c>
      <c r="J2660" s="26" t="inlineStr">
        <is>
          <t>Multiple Issues</t>
        </is>
      </c>
      <c r="K2660" s="39" t="inlineStr">
        <is>
          <t>Holi</t>
        </is>
      </c>
      <c r="L2660" s="39" t="inlineStr">
        <is>
          <t>Maharashtra</t>
        </is>
      </c>
      <c r="M2660" s="9" t="inlineStr">
        <is>
          <t>PS</t>
        </is>
      </c>
      <c r="N2660" s="3" t="inlineStr">
        <is>
          <t>Cold Soldering</t>
        </is>
      </c>
      <c r="O2660" s="56" t="n">
        <v>575</v>
      </c>
      <c r="P2660" s="46" t="inlineStr">
        <is>
          <t>NSMI24070183975</t>
        </is>
      </c>
      <c r="Q2660" s="54">
        <f>MID(P2660,5,2)</f>
        <v/>
      </c>
      <c r="R2660" s="53">
        <f>MID(P2660,7,2)</f>
        <v/>
      </c>
      <c r="S2660" s="3" t="inlineStr">
        <is>
          <t>G2G</t>
        </is>
      </c>
      <c r="T2660" s="3" t="inlineStr">
        <is>
          <t>P4</t>
        </is>
      </c>
      <c r="U2660" s="19" t="inlineStr">
        <is>
          <t>P JB Cold Soldering</t>
        </is>
      </c>
      <c r="V2660" s="19" t="inlineStr">
        <is>
          <t>Soldering</t>
        </is>
      </c>
      <c r="W2660" s="3" t="inlineStr">
        <is>
          <t>Repair</t>
        </is>
      </c>
      <c r="X2660" s="18" t="n">
        <v>46173</v>
      </c>
      <c r="Y2660" s="3">
        <f>X2660-A2660</f>
        <v/>
      </c>
      <c r="Z2660" s="18" t="n">
        <v>46173</v>
      </c>
      <c r="AA2660" s="15" t="n"/>
      <c r="AB2660" s="15" t="n"/>
    </row>
    <row r="2661">
      <c r="A2661" s="37" t="n">
        <v>46143</v>
      </c>
      <c r="B2661" s="3" t="n">
        <v>2026</v>
      </c>
      <c r="C2661" s="26" t="inlineStr">
        <is>
          <t>Yanara Power</t>
        </is>
      </c>
      <c r="D2661" s="3" t="inlineStr">
        <is>
          <t>Utility and C&amp;I</t>
        </is>
      </c>
      <c r="E2661" s="3" t="n"/>
      <c r="F2661" s="3" t="inlineStr">
        <is>
          <t>Closed</t>
        </is>
      </c>
      <c r="G2661" s="9" t="inlineStr">
        <is>
          <t xml:space="preserve">Ashish Jindal </t>
        </is>
      </c>
      <c r="H2661" s="26" t="n">
        <v>9983975581</v>
      </c>
      <c r="I2661" s="38" t="inlineStr">
        <is>
          <t>PE01052601</t>
        </is>
      </c>
      <c r="J2661" s="26" t="inlineStr">
        <is>
          <t>Multiple Issues</t>
        </is>
      </c>
      <c r="K2661" s="39" t="inlineStr">
        <is>
          <t>Holi</t>
        </is>
      </c>
      <c r="L2661" s="39" t="inlineStr">
        <is>
          <t>Maharashtra</t>
        </is>
      </c>
      <c r="M2661" s="9" t="inlineStr">
        <is>
          <t>PS</t>
        </is>
      </c>
      <c r="N2661" s="3" t="inlineStr">
        <is>
          <t>Cold Soldering</t>
        </is>
      </c>
      <c r="O2661" s="56" t="n">
        <v>575</v>
      </c>
      <c r="P2661" s="46" t="inlineStr">
        <is>
          <t>NSMI24070216194</t>
        </is>
      </c>
      <c r="Q2661" s="54">
        <f>MID(P2661,5,2)</f>
        <v/>
      </c>
      <c r="R2661" s="53">
        <f>MID(P2661,7,2)</f>
        <v/>
      </c>
      <c r="S2661" s="3" t="inlineStr">
        <is>
          <t>G2G</t>
        </is>
      </c>
      <c r="T2661" s="3" t="inlineStr">
        <is>
          <t>P4</t>
        </is>
      </c>
      <c r="U2661" s="19" t="inlineStr">
        <is>
          <t>P JB Cold Soldering</t>
        </is>
      </c>
      <c r="V2661" s="19" t="inlineStr">
        <is>
          <t>Soldering</t>
        </is>
      </c>
      <c r="W2661" s="3" t="inlineStr">
        <is>
          <t>Repair</t>
        </is>
      </c>
      <c r="X2661" s="18" t="n">
        <v>46173</v>
      </c>
      <c r="Y2661" s="3">
        <f>X2661-A2661</f>
        <v/>
      </c>
      <c r="Z2661" s="18" t="n">
        <v>46173</v>
      </c>
      <c r="AA2661" s="15" t="n"/>
      <c r="AB2661" s="15" t="n"/>
    </row>
    <row r="2662">
      <c r="A2662" s="37" t="n">
        <v>46143</v>
      </c>
      <c r="B2662" s="3" t="n">
        <v>2026</v>
      </c>
      <c r="C2662" s="26" t="inlineStr">
        <is>
          <t>Yanara Power</t>
        </is>
      </c>
      <c r="D2662" s="3" t="inlineStr">
        <is>
          <t>Utility and C&amp;I</t>
        </is>
      </c>
      <c r="E2662" s="3" t="n"/>
      <c r="F2662" s="3" t="inlineStr">
        <is>
          <t>Closed</t>
        </is>
      </c>
      <c r="G2662" s="9" t="inlineStr">
        <is>
          <t xml:space="preserve">Ashish Jindal </t>
        </is>
      </c>
      <c r="H2662" s="26" t="n">
        <v>9983975581</v>
      </c>
      <c r="I2662" s="38" t="inlineStr">
        <is>
          <t>PE01052601</t>
        </is>
      </c>
      <c r="J2662" s="26" t="inlineStr">
        <is>
          <t>Multiple Issues</t>
        </is>
      </c>
      <c r="K2662" s="39" t="inlineStr">
        <is>
          <t>Holi</t>
        </is>
      </c>
      <c r="L2662" s="39" t="inlineStr">
        <is>
          <t>Maharashtra</t>
        </is>
      </c>
      <c r="M2662" s="9" t="inlineStr">
        <is>
          <t>PS</t>
        </is>
      </c>
      <c r="N2662" s="3" t="inlineStr">
        <is>
          <t>Cold Soldering</t>
        </is>
      </c>
      <c r="O2662" s="56" t="n">
        <v>575</v>
      </c>
      <c r="P2662" s="46" t="inlineStr">
        <is>
          <t>NSMI24070216192</t>
        </is>
      </c>
      <c r="Q2662" s="54">
        <f>MID(P2662,5,2)</f>
        <v/>
      </c>
      <c r="R2662" s="53">
        <f>MID(P2662,7,2)</f>
        <v/>
      </c>
      <c r="S2662" s="3" t="inlineStr">
        <is>
          <t>G2G</t>
        </is>
      </c>
      <c r="T2662" s="3" t="inlineStr">
        <is>
          <t>P4</t>
        </is>
      </c>
      <c r="U2662" s="19" t="inlineStr">
        <is>
          <t>P JB Cold Soldering</t>
        </is>
      </c>
      <c r="V2662" s="19" t="inlineStr">
        <is>
          <t>Soldering</t>
        </is>
      </c>
      <c r="W2662" s="3" t="inlineStr">
        <is>
          <t>Repair</t>
        </is>
      </c>
      <c r="X2662" s="18" t="n">
        <v>46173</v>
      </c>
      <c r="Y2662" s="3">
        <f>X2662-A2662</f>
        <v/>
      </c>
      <c r="Z2662" s="18" t="n">
        <v>46173</v>
      </c>
      <c r="AA2662" s="15" t="n"/>
      <c r="AB2662" s="15" t="n"/>
    </row>
    <row r="2663">
      <c r="A2663" s="37" t="n">
        <v>46143</v>
      </c>
      <c r="B2663" s="3" t="n">
        <v>2026</v>
      </c>
      <c r="C2663" s="26" t="inlineStr">
        <is>
          <t>Yanara Power</t>
        </is>
      </c>
      <c r="D2663" s="3" t="inlineStr">
        <is>
          <t>Utility and C&amp;I</t>
        </is>
      </c>
      <c r="E2663" s="3" t="n"/>
      <c r="F2663" s="3" t="inlineStr">
        <is>
          <t>Closed</t>
        </is>
      </c>
      <c r="G2663" s="9" t="inlineStr">
        <is>
          <t xml:space="preserve">Ashish Jindal </t>
        </is>
      </c>
      <c r="H2663" s="26" t="n">
        <v>9983975581</v>
      </c>
      <c r="I2663" s="38" t="inlineStr">
        <is>
          <t>PE01052601</t>
        </is>
      </c>
      <c r="J2663" s="26" t="inlineStr">
        <is>
          <t>Multiple Issues</t>
        </is>
      </c>
      <c r="K2663" s="39" t="inlineStr">
        <is>
          <t>Holi</t>
        </is>
      </c>
      <c r="L2663" s="39" t="inlineStr">
        <is>
          <t>Maharashtra</t>
        </is>
      </c>
      <c r="M2663" s="9" t="inlineStr">
        <is>
          <t>PS</t>
        </is>
      </c>
      <c r="N2663" s="3" t="inlineStr">
        <is>
          <t>Cold Soldering</t>
        </is>
      </c>
      <c r="O2663" s="56" t="n">
        <v>575</v>
      </c>
      <c r="P2663" s="46" t="inlineStr">
        <is>
          <t>NSMI24070216154</t>
        </is>
      </c>
      <c r="Q2663" s="54">
        <f>MID(P2663,5,2)</f>
        <v/>
      </c>
      <c r="R2663" s="53">
        <f>MID(P2663,7,2)</f>
        <v/>
      </c>
      <c r="S2663" s="3" t="inlineStr">
        <is>
          <t>G2G</t>
        </is>
      </c>
      <c r="T2663" s="3" t="inlineStr">
        <is>
          <t>P4</t>
        </is>
      </c>
      <c r="U2663" s="19" t="inlineStr">
        <is>
          <t>P JB Cold Soldering</t>
        </is>
      </c>
      <c r="V2663" s="19" t="inlineStr">
        <is>
          <t>Soldering</t>
        </is>
      </c>
      <c r="W2663" s="3" t="inlineStr">
        <is>
          <t>Repair</t>
        </is>
      </c>
      <c r="X2663" s="18" t="n">
        <v>46173</v>
      </c>
      <c r="Y2663" s="3">
        <f>X2663-A2663</f>
        <v/>
      </c>
      <c r="Z2663" s="18" t="n">
        <v>46173</v>
      </c>
      <c r="AA2663" s="15" t="n"/>
      <c r="AB2663" s="15" t="n"/>
    </row>
    <row r="2664">
      <c r="A2664" s="37" t="n">
        <v>46143</v>
      </c>
      <c r="B2664" s="3" t="n">
        <v>2026</v>
      </c>
      <c r="C2664" s="26" t="inlineStr">
        <is>
          <t>Yanara Power</t>
        </is>
      </c>
      <c r="D2664" s="3" t="inlineStr">
        <is>
          <t>Utility and C&amp;I</t>
        </is>
      </c>
      <c r="E2664" s="3" t="n"/>
      <c r="F2664" s="3" t="inlineStr">
        <is>
          <t>Closed</t>
        </is>
      </c>
      <c r="G2664" s="9" t="inlineStr">
        <is>
          <t xml:space="preserve">Ashish Jindal </t>
        </is>
      </c>
      <c r="H2664" s="26" t="n">
        <v>9983975581</v>
      </c>
      <c r="I2664" s="38" t="inlineStr">
        <is>
          <t>PE01052601</t>
        </is>
      </c>
      <c r="J2664" s="26" t="inlineStr">
        <is>
          <t>Multiple Issues</t>
        </is>
      </c>
      <c r="K2664" s="39" t="inlineStr">
        <is>
          <t>Holi</t>
        </is>
      </c>
      <c r="L2664" s="39" t="inlineStr">
        <is>
          <t>Maharashtra</t>
        </is>
      </c>
      <c r="M2664" s="9" t="inlineStr">
        <is>
          <t>PS</t>
        </is>
      </c>
      <c r="N2664" s="3" t="inlineStr">
        <is>
          <t>Cold Soldering</t>
        </is>
      </c>
      <c r="O2664" s="56" t="n">
        <v>575</v>
      </c>
      <c r="P2664" s="46" t="inlineStr">
        <is>
          <t>NSMI24070188063</t>
        </is>
      </c>
      <c r="Q2664" s="54">
        <f>MID(P2664,5,2)</f>
        <v/>
      </c>
      <c r="R2664" s="53">
        <f>MID(P2664,7,2)</f>
        <v/>
      </c>
      <c r="S2664" s="3" t="inlineStr">
        <is>
          <t>G2G</t>
        </is>
      </c>
      <c r="T2664" s="3" t="inlineStr">
        <is>
          <t>P4</t>
        </is>
      </c>
      <c r="U2664" s="19" t="inlineStr">
        <is>
          <t>P JB Cold Soldering</t>
        </is>
      </c>
      <c r="V2664" s="19" t="inlineStr">
        <is>
          <t>Soldering</t>
        </is>
      </c>
      <c r="W2664" s="3" t="inlineStr">
        <is>
          <t>Repair</t>
        </is>
      </c>
      <c r="X2664" s="18" t="n">
        <v>46173</v>
      </c>
      <c r="Y2664" s="3">
        <f>X2664-A2664</f>
        <v/>
      </c>
      <c r="Z2664" s="18" t="n">
        <v>46173</v>
      </c>
      <c r="AA2664" s="15" t="n"/>
      <c r="AB2664" s="15" t="n"/>
    </row>
    <row r="2665">
      <c r="A2665" s="37" t="n">
        <v>46143</v>
      </c>
      <c r="B2665" s="3" t="n">
        <v>2026</v>
      </c>
      <c r="C2665" s="26" t="inlineStr">
        <is>
          <t>Yanara Power</t>
        </is>
      </c>
      <c r="D2665" s="3" t="inlineStr">
        <is>
          <t>Utility and C&amp;I</t>
        </is>
      </c>
      <c r="E2665" s="3" t="n"/>
      <c r="F2665" s="3" t="inlineStr">
        <is>
          <t>Closed</t>
        </is>
      </c>
      <c r="G2665" s="9" t="inlineStr">
        <is>
          <t xml:space="preserve">Ashish Jindal </t>
        </is>
      </c>
      <c r="H2665" s="26" t="n">
        <v>9983975581</v>
      </c>
      <c r="I2665" s="38" t="inlineStr">
        <is>
          <t>PE01052601</t>
        </is>
      </c>
      <c r="J2665" s="26" t="inlineStr">
        <is>
          <t>Multiple Issues</t>
        </is>
      </c>
      <c r="K2665" s="39" t="inlineStr">
        <is>
          <t>Holi</t>
        </is>
      </c>
      <c r="L2665" s="39" t="inlineStr">
        <is>
          <t>Maharashtra</t>
        </is>
      </c>
      <c r="M2665" s="9" t="inlineStr">
        <is>
          <t>NS</t>
        </is>
      </c>
      <c r="N2665" s="3" t="inlineStr">
        <is>
          <t>Cold Soldering</t>
        </is>
      </c>
      <c r="O2665" s="56" t="n">
        <v>575</v>
      </c>
      <c r="P2665" s="46" t="inlineStr">
        <is>
          <t>NSMI24070199175</t>
        </is>
      </c>
      <c r="Q2665" s="54">
        <f>MID(P2665,5,2)</f>
        <v/>
      </c>
      <c r="R2665" s="53">
        <f>MID(P2665,7,2)</f>
        <v/>
      </c>
      <c r="S2665" s="3" t="inlineStr">
        <is>
          <t>G2G</t>
        </is>
      </c>
      <c r="T2665" s="3" t="inlineStr">
        <is>
          <t>P4</t>
        </is>
      </c>
      <c r="U2665" s="3" t="inlineStr">
        <is>
          <t>N JB Cold Soldering</t>
        </is>
      </c>
      <c r="V2665" s="3" t="inlineStr">
        <is>
          <t>Soldering</t>
        </is>
      </c>
      <c r="W2665" s="3" t="inlineStr">
        <is>
          <t>Repair</t>
        </is>
      </c>
      <c r="X2665" s="18" t="n">
        <v>46173</v>
      </c>
      <c r="Y2665" s="3">
        <f>X2665-A2665</f>
        <v/>
      </c>
      <c r="Z2665" s="18" t="n">
        <v>46173</v>
      </c>
      <c r="AA2665" s="15" t="n"/>
      <c r="AB2665" s="15" t="n"/>
    </row>
    <row r="2666">
      <c r="A2666" s="37" t="n">
        <v>46143</v>
      </c>
      <c r="B2666" s="3" t="n">
        <v>2026</v>
      </c>
      <c r="C2666" s="26" t="inlineStr">
        <is>
          <t>Yanara Power</t>
        </is>
      </c>
      <c r="D2666" s="3" t="inlineStr">
        <is>
          <t>Utility and C&amp;I</t>
        </is>
      </c>
      <c r="E2666" s="3" t="n"/>
      <c r="F2666" s="3" t="inlineStr">
        <is>
          <t>Closed</t>
        </is>
      </c>
      <c r="G2666" s="9" t="inlineStr">
        <is>
          <t xml:space="preserve">Ashish Jindal </t>
        </is>
      </c>
      <c r="H2666" s="26" t="n">
        <v>9983975581</v>
      </c>
      <c r="I2666" s="38" t="inlineStr">
        <is>
          <t>PE01052601</t>
        </is>
      </c>
      <c r="J2666" s="26" t="inlineStr">
        <is>
          <t>Multiple Issues</t>
        </is>
      </c>
      <c r="K2666" s="39" t="inlineStr">
        <is>
          <t>Holi</t>
        </is>
      </c>
      <c r="L2666" s="39" t="inlineStr">
        <is>
          <t>Maharashtra</t>
        </is>
      </c>
      <c r="M2666" s="9" t="inlineStr">
        <is>
          <t>PS</t>
        </is>
      </c>
      <c r="N2666" s="3" t="inlineStr">
        <is>
          <t>Cold Soldering</t>
        </is>
      </c>
      <c r="O2666" s="56" t="n">
        <v>575</v>
      </c>
      <c r="P2666" s="46" t="inlineStr">
        <is>
          <t>NSMI24070199117</t>
        </is>
      </c>
      <c r="Q2666" s="54">
        <f>MID(P2666,5,2)</f>
        <v/>
      </c>
      <c r="R2666" s="53">
        <f>MID(P2666,7,2)</f>
        <v/>
      </c>
      <c r="S2666" s="3" t="inlineStr">
        <is>
          <t>G2G</t>
        </is>
      </c>
      <c r="T2666" s="3" t="inlineStr">
        <is>
          <t>P4</t>
        </is>
      </c>
      <c r="U2666" s="19" t="inlineStr">
        <is>
          <t>P JB Cold Soldering</t>
        </is>
      </c>
      <c r="V2666" s="19" t="inlineStr">
        <is>
          <t>Soldering</t>
        </is>
      </c>
      <c r="W2666" s="3" t="inlineStr">
        <is>
          <t>Repair</t>
        </is>
      </c>
      <c r="X2666" s="18" t="n">
        <v>46173</v>
      </c>
      <c r="Y2666" s="3">
        <f>X2666-A2666</f>
        <v/>
      </c>
      <c r="Z2666" s="18" t="n">
        <v>46173</v>
      </c>
      <c r="AA2666" s="15" t="n"/>
      <c r="AB2666" s="15" t="n"/>
    </row>
    <row r="2667">
      <c r="A2667" s="37" t="n">
        <v>46143</v>
      </c>
      <c r="B2667" s="3" t="n">
        <v>2026</v>
      </c>
      <c r="C2667" s="26" t="inlineStr">
        <is>
          <t>Yanara Power</t>
        </is>
      </c>
      <c r="D2667" s="3" t="inlineStr">
        <is>
          <t>Utility and C&amp;I</t>
        </is>
      </c>
      <c r="E2667" s="3" t="n"/>
      <c r="F2667" s="3" t="inlineStr">
        <is>
          <t>Closed</t>
        </is>
      </c>
      <c r="G2667" s="9" t="inlineStr">
        <is>
          <t xml:space="preserve">Ashish Jindal </t>
        </is>
      </c>
      <c r="H2667" s="26" t="n">
        <v>9983975581</v>
      </c>
      <c r="I2667" s="38" t="inlineStr">
        <is>
          <t>PE01052601</t>
        </is>
      </c>
      <c r="J2667" s="26" t="inlineStr">
        <is>
          <t>Multiple Issues</t>
        </is>
      </c>
      <c r="K2667" s="39" t="inlineStr">
        <is>
          <t>Holi</t>
        </is>
      </c>
      <c r="L2667" s="39" t="inlineStr">
        <is>
          <t>Maharashtra</t>
        </is>
      </c>
      <c r="M2667" s="9" t="inlineStr">
        <is>
          <t>PS</t>
        </is>
      </c>
      <c r="N2667" s="3" t="inlineStr">
        <is>
          <t>Cold Soldering</t>
        </is>
      </c>
      <c r="O2667" s="56" t="n">
        <v>575</v>
      </c>
      <c r="P2667" s="46" t="inlineStr">
        <is>
          <t>NSMI24070239188</t>
        </is>
      </c>
      <c r="Q2667" s="54">
        <f>MID(P2667,5,2)</f>
        <v/>
      </c>
      <c r="R2667" s="53">
        <f>MID(P2667,7,2)</f>
        <v/>
      </c>
      <c r="S2667" s="3" t="inlineStr">
        <is>
          <t>G2G</t>
        </is>
      </c>
      <c r="T2667" s="3" t="inlineStr">
        <is>
          <t>P4</t>
        </is>
      </c>
      <c r="U2667" s="19" t="inlineStr">
        <is>
          <t>P JB Cold Soldering</t>
        </is>
      </c>
      <c r="V2667" s="19" t="inlineStr">
        <is>
          <t>Soldering</t>
        </is>
      </c>
      <c r="W2667" s="3" t="inlineStr">
        <is>
          <t>Repair</t>
        </is>
      </c>
      <c r="X2667" s="18" t="n">
        <v>46173</v>
      </c>
      <c r="Y2667" s="3">
        <f>X2667-A2667</f>
        <v/>
      </c>
      <c r="Z2667" s="18" t="n">
        <v>46173</v>
      </c>
      <c r="AA2667" s="15" t="n"/>
      <c r="AB2667" s="15" t="n"/>
    </row>
    <row r="2668">
      <c r="A2668" s="37" t="n">
        <v>46143</v>
      </c>
      <c r="B2668" s="3" t="n">
        <v>2026</v>
      </c>
      <c r="C2668" s="26" t="inlineStr">
        <is>
          <t>Yanara Power</t>
        </is>
      </c>
      <c r="D2668" s="3" t="inlineStr">
        <is>
          <t>Utility and C&amp;I</t>
        </is>
      </c>
      <c r="E2668" s="3" t="n"/>
      <c r="F2668" s="3" t="inlineStr">
        <is>
          <t>Closed</t>
        </is>
      </c>
      <c r="G2668" s="9" t="inlineStr">
        <is>
          <t xml:space="preserve">Ashish Jindal </t>
        </is>
      </c>
      <c r="H2668" s="26" t="n">
        <v>9983975581</v>
      </c>
      <c r="I2668" s="38" t="inlineStr">
        <is>
          <t>PE01052601</t>
        </is>
      </c>
      <c r="J2668" s="26" t="inlineStr">
        <is>
          <t>Multiple Issues</t>
        </is>
      </c>
      <c r="K2668" s="39" t="inlineStr">
        <is>
          <t>Holi</t>
        </is>
      </c>
      <c r="L2668" s="39" t="inlineStr">
        <is>
          <t>Maharashtra</t>
        </is>
      </c>
      <c r="M2668" s="9" t="inlineStr">
        <is>
          <t>PS</t>
        </is>
      </c>
      <c r="N2668" s="3" t="inlineStr">
        <is>
          <t>Cold Soldering</t>
        </is>
      </c>
      <c r="O2668" s="56" t="n">
        <v>575</v>
      </c>
      <c r="P2668" s="46" t="inlineStr">
        <is>
          <t>NSMI24070194843</t>
        </is>
      </c>
      <c r="Q2668" s="54">
        <f>MID(P2668,5,2)</f>
        <v/>
      </c>
      <c r="R2668" s="53">
        <f>MID(P2668,7,2)</f>
        <v/>
      </c>
      <c r="S2668" s="3" t="inlineStr">
        <is>
          <t>G2G</t>
        </is>
      </c>
      <c r="T2668" s="3" t="inlineStr">
        <is>
          <t>P4</t>
        </is>
      </c>
      <c r="U2668" s="19" t="inlineStr">
        <is>
          <t>P JB Cold Soldering</t>
        </is>
      </c>
      <c r="V2668" s="19" t="inlineStr">
        <is>
          <t>Soldering</t>
        </is>
      </c>
      <c r="W2668" s="3" t="inlineStr">
        <is>
          <t>Repair</t>
        </is>
      </c>
      <c r="X2668" s="18" t="n">
        <v>46173</v>
      </c>
      <c r="Y2668" s="3">
        <f>X2668-A2668</f>
        <v/>
      </c>
      <c r="Z2668" s="18" t="n">
        <v>46173</v>
      </c>
      <c r="AA2668" s="15" t="n"/>
      <c r="AB2668" s="15" t="n"/>
    </row>
    <row r="2669">
      <c r="A2669" s="37" t="n">
        <v>46143</v>
      </c>
      <c r="B2669" s="3" t="n">
        <v>2026</v>
      </c>
      <c r="C2669" s="26" t="inlineStr">
        <is>
          <t>Yanara Power</t>
        </is>
      </c>
      <c r="D2669" s="3" t="inlineStr">
        <is>
          <t>Utility and C&amp;I</t>
        </is>
      </c>
      <c r="E2669" s="3" t="n"/>
      <c r="F2669" s="3" t="inlineStr">
        <is>
          <t>Closed</t>
        </is>
      </c>
      <c r="G2669" s="9" t="inlineStr">
        <is>
          <t xml:space="preserve">Ashish Jindal </t>
        </is>
      </c>
      <c r="H2669" s="26" t="n">
        <v>9983975581</v>
      </c>
      <c r="I2669" s="38" t="inlineStr">
        <is>
          <t>PE01052601</t>
        </is>
      </c>
      <c r="J2669" s="26" t="inlineStr">
        <is>
          <t>Multiple Issues</t>
        </is>
      </c>
      <c r="K2669" s="39" t="inlineStr">
        <is>
          <t>Holi</t>
        </is>
      </c>
      <c r="L2669" s="39" t="inlineStr">
        <is>
          <t>Maharashtra</t>
        </is>
      </c>
      <c r="M2669" s="9" t="inlineStr">
        <is>
          <t>PS</t>
        </is>
      </c>
      <c r="N2669" s="3" t="inlineStr">
        <is>
          <t>Cold Soldering</t>
        </is>
      </c>
      <c r="O2669" s="56" t="n">
        <v>575</v>
      </c>
      <c r="P2669" s="46" t="inlineStr">
        <is>
          <t>NSMI24070200187</t>
        </is>
      </c>
      <c r="Q2669" s="54">
        <f>MID(P2669,5,2)</f>
        <v/>
      </c>
      <c r="R2669" s="53">
        <f>MID(P2669,7,2)</f>
        <v/>
      </c>
      <c r="S2669" s="3" t="inlineStr">
        <is>
          <t>G2G</t>
        </is>
      </c>
      <c r="T2669" s="3" t="inlineStr">
        <is>
          <t>P4</t>
        </is>
      </c>
      <c r="U2669" s="19" t="inlineStr">
        <is>
          <t>P JB Cold Soldering</t>
        </is>
      </c>
      <c r="V2669" s="19" t="inlineStr">
        <is>
          <t>Soldering</t>
        </is>
      </c>
      <c r="W2669" s="3" t="inlineStr">
        <is>
          <t>Repair</t>
        </is>
      </c>
      <c r="X2669" s="18" t="n">
        <v>46173</v>
      </c>
      <c r="Y2669" s="3">
        <f>X2669-A2669</f>
        <v/>
      </c>
      <c r="Z2669" s="18" t="n">
        <v>46173</v>
      </c>
      <c r="AA2669" s="15" t="n"/>
      <c r="AB2669" s="15" t="n"/>
    </row>
    <row r="2670">
      <c r="A2670" s="37" t="n">
        <v>46143</v>
      </c>
      <c r="B2670" s="3" t="n">
        <v>2026</v>
      </c>
      <c r="C2670" s="26" t="inlineStr">
        <is>
          <t>Yanara Power</t>
        </is>
      </c>
      <c r="D2670" s="3" t="inlineStr">
        <is>
          <t>Utility and C&amp;I</t>
        </is>
      </c>
      <c r="E2670" s="3" t="n"/>
      <c r="F2670" s="3" t="inlineStr">
        <is>
          <t>Closed</t>
        </is>
      </c>
      <c r="G2670" s="9" t="inlineStr">
        <is>
          <t xml:space="preserve">Ashish Jindal </t>
        </is>
      </c>
      <c r="H2670" s="26" t="n">
        <v>9983975581</v>
      </c>
      <c r="I2670" s="38" t="inlineStr">
        <is>
          <t>PE01052601</t>
        </is>
      </c>
      <c r="J2670" s="26" t="inlineStr">
        <is>
          <t>Multiple Issues</t>
        </is>
      </c>
      <c r="K2670" s="39" t="inlineStr">
        <is>
          <t>Holi</t>
        </is>
      </c>
      <c r="L2670" s="39" t="inlineStr">
        <is>
          <t>Maharashtra</t>
        </is>
      </c>
      <c r="M2670" s="9" t="inlineStr">
        <is>
          <t>PS</t>
        </is>
      </c>
      <c r="N2670" s="3" t="inlineStr">
        <is>
          <t>Cold Soldering</t>
        </is>
      </c>
      <c r="O2670" s="56" t="n">
        <v>575</v>
      </c>
      <c r="P2670" s="46" t="inlineStr">
        <is>
          <t>NSMI24070200164</t>
        </is>
      </c>
      <c r="Q2670" s="54">
        <f>MID(P2670,5,2)</f>
        <v/>
      </c>
      <c r="R2670" s="53">
        <f>MID(P2670,7,2)</f>
        <v/>
      </c>
      <c r="S2670" s="3" t="inlineStr">
        <is>
          <t>G2G</t>
        </is>
      </c>
      <c r="T2670" s="3" t="inlineStr">
        <is>
          <t>P4</t>
        </is>
      </c>
      <c r="U2670" s="19" t="inlineStr">
        <is>
          <t>P JB Cold Soldering</t>
        </is>
      </c>
      <c r="V2670" s="19" t="inlineStr">
        <is>
          <t>Soldering</t>
        </is>
      </c>
      <c r="W2670" s="3" t="inlineStr">
        <is>
          <t>Repair</t>
        </is>
      </c>
      <c r="X2670" s="18" t="n">
        <v>46173</v>
      </c>
      <c r="Y2670" s="3">
        <f>X2670-A2670</f>
        <v/>
      </c>
      <c r="Z2670" s="18" t="n">
        <v>46173</v>
      </c>
      <c r="AA2670" s="15" t="n"/>
      <c r="AB2670" s="15" t="n"/>
    </row>
    <row r="2671">
      <c r="A2671" s="37" t="n">
        <v>46143</v>
      </c>
      <c r="B2671" s="3" t="n">
        <v>2026</v>
      </c>
      <c r="C2671" s="26" t="inlineStr">
        <is>
          <t>Yanara Power</t>
        </is>
      </c>
      <c r="D2671" s="3" t="inlineStr">
        <is>
          <t>Utility and C&amp;I</t>
        </is>
      </c>
      <c r="E2671" s="3" t="n"/>
      <c r="F2671" s="3" t="inlineStr">
        <is>
          <t>Closed</t>
        </is>
      </c>
      <c r="G2671" s="9" t="inlineStr">
        <is>
          <t xml:space="preserve">Ashish Jindal </t>
        </is>
      </c>
      <c r="H2671" s="26" t="n">
        <v>9983975581</v>
      </c>
      <c r="I2671" s="38" t="inlineStr">
        <is>
          <t>PE01052601</t>
        </is>
      </c>
      <c r="J2671" s="26" t="inlineStr">
        <is>
          <t>Multiple Issues</t>
        </is>
      </c>
      <c r="K2671" s="39" t="inlineStr">
        <is>
          <t>Holi</t>
        </is>
      </c>
      <c r="L2671" s="39" t="inlineStr">
        <is>
          <t>Maharashtra</t>
        </is>
      </c>
      <c r="M2671" s="9" t="inlineStr">
        <is>
          <t>NS</t>
        </is>
      </c>
      <c r="N2671" s="3" t="inlineStr">
        <is>
          <t>Cold Soldering</t>
        </is>
      </c>
      <c r="O2671" s="56" t="n">
        <v>575</v>
      </c>
      <c r="P2671" s="46" t="inlineStr">
        <is>
          <t>NSMI24070238034</t>
        </is>
      </c>
      <c r="Q2671" s="54">
        <f>MID(P2671,5,2)</f>
        <v/>
      </c>
      <c r="R2671" s="53">
        <f>MID(P2671,7,2)</f>
        <v/>
      </c>
      <c r="S2671" s="3" t="inlineStr">
        <is>
          <t>G2G</t>
        </is>
      </c>
      <c r="T2671" s="3" t="inlineStr">
        <is>
          <t>P4</t>
        </is>
      </c>
      <c r="U2671" s="3" t="inlineStr">
        <is>
          <t>N JB Cold Soldering</t>
        </is>
      </c>
      <c r="V2671" s="3" t="inlineStr">
        <is>
          <t>Soldering</t>
        </is>
      </c>
      <c r="W2671" s="3" t="inlineStr">
        <is>
          <t>Repair</t>
        </is>
      </c>
      <c r="X2671" s="18" t="n">
        <v>46173</v>
      </c>
      <c r="Y2671" s="3">
        <f>X2671-A2671</f>
        <v/>
      </c>
      <c r="Z2671" s="18" t="n">
        <v>46173</v>
      </c>
      <c r="AA2671" s="15" t="n"/>
      <c r="AB2671" s="15" t="n"/>
    </row>
    <row r="2672">
      <c r="A2672" s="37" t="n">
        <v>46143</v>
      </c>
      <c r="B2672" s="3" t="n">
        <v>2026</v>
      </c>
      <c r="C2672" s="26" t="inlineStr">
        <is>
          <t>Yanara Power</t>
        </is>
      </c>
      <c r="D2672" s="3" t="inlineStr">
        <is>
          <t>Utility and C&amp;I</t>
        </is>
      </c>
      <c r="E2672" s="3" t="n"/>
      <c r="F2672" s="3" t="inlineStr">
        <is>
          <t>Closed</t>
        </is>
      </c>
      <c r="G2672" s="9" t="inlineStr">
        <is>
          <t xml:space="preserve">Ashish Jindal </t>
        </is>
      </c>
      <c r="H2672" s="26" t="n">
        <v>9983975581</v>
      </c>
      <c r="I2672" s="38" t="inlineStr">
        <is>
          <t>PE01052601</t>
        </is>
      </c>
      <c r="J2672" s="26" t="inlineStr">
        <is>
          <t>Multiple Issues</t>
        </is>
      </c>
      <c r="K2672" s="39" t="inlineStr">
        <is>
          <t>Holi</t>
        </is>
      </c>
      <c r="L2672" s="39" t="inlineStr">
        <is>
          <t>Maharashtra</t>
        </is>
      </c>
      <c r="M2672" s="9" t="inlineStr">
        <is>
          <t>NS</t>
        </is>
      </c>
      <c r="N2672" s="3" t="inlineStr">
        <is>
          <t>Cold Soldering</t>
        </is>
      </c>
      <c r="O2672" s="56" t="n">
        <v>575</v>
      </c>
      <c r="P2672" s="46" t="inlineStr">
        <is>
          <t>NSMI24070185988</t>
        </is>
      </c>
      <c r="Q2672" s="54">
        <f>MID(P2672,5,2)</f>
        <v/>
      </c>
      <c r="R2672" s="53">
        <f>MID(P2672,7,2)</f>
        <v/>
      </c>
      <c r="S2672" s="3" t="inlineStr">
        <is>
          <t>G2G</t>
        </is>
      </c>
      <c r="T2672" s="3" t="inlineStr">
        <is>
          <t>P4</t>
        </is>
      </c>
      <c r="U2672" s="3" t="inlineStr">
        <is>
          <t>N JB Cold Soldering</t>
        </is>
      </c>
      <c r="V2672" s="3" t="inlineStr">
        <is>
          <t>Soldering</t>
        </is>
      </c>
      <c r="W2672" s="3" t="inlineStr">
        <is>
          <t>Repair</t>
        </is>
      </c>
      <c r="X2672" s="18" t="n">
        <v>46173</v>
      </c>
      <c r="Y2672" s="3">
        <f>X2672-A2672</f>
        <v/>
      </c>
      <c r="Z2672" s="18" t="n">
        <v>46173</v>
      </c>
      <c r="AA2672" s="15" t="n"/>
      <c r="AB2672" s="15" t="n"/>
    </row>
    <row r="2673">
      <c r="A2673" s="37" t="n">
        <v>46143</v>
      </c>
      <c r="B2673" s="3" t="n">
        <v>2026</v>
      </c>
      <c r="C2673" s="26" t="inlineStr">
        <is>
          <t>Yanara Power</t>
        </is>
      </c>
      <c r="D2673" s="3" t="inlineStr">
        <is>
          <t>Utility and C&amp;I</t>
        </is>
      </c>
      <c r="E2673" s="3" t="n"/>
      <c r="F2673" s="3" t="inlineStr">
        <is>
          <t>Closed</t>
        </is>
      </c>
      <c r="G2673" s="9" t="inlineStr">
        <is>
          <t xml:space="preserve">Ashish Jindal </t>
        </is>
      </c>
      <c r="H2673" s="26" t="n">
        <v>9983975581</v>
      </c>
      <c r="I2673" s="38" t="inlineStr">
        <is>
          <t>PE01052601</t>
        </is>
      </c>
      <c r="J2673" s="26" t="inlineStr">
        <is>
          <t>Multiple Issues</t>
        </is>
      </c>
      <c r="K2673" s="39" t="inlineStr">
        <is>
          <t>Holi</t>
        </is>
      </c>
      <c r="L2673" s="39" t="inlineStr">
        <is>
          <t>Maharashtra</t>
        </is>
      </c>
      <c r="M2673" s="9" t="inlineStr">
        <is>
          <t>PS</t>
        </is>
      </c>
      <c r="N2673" s="3" t="inlineStr">
        <is>
          <t>Cold Soldering</t>
        </is>
      </c>
      <c r="O2673" s="56" t="n">
        <v>575</v>
      </c>
      <c r="P2673" s="46" t="inlineStr">
        <is>
          <t>NSMI24070185798</t>
        </is>
      </c>
      <c r="Q2673" s="54">
        <f>MID(P2673,5,2)</f>
        <v/>
      </c>
      <c r="R2673" s="53">
        <f>MID(P2673,7,2)</f>
        <v/>
      </c>
      <c r="S2673" s="3" t="inlineStr">
        <is>
          <t>G2G</t>
        </is>
      </c>
      <c r="T2673" s="3" t="inlineStr">
        <is>
          <t>P4</t>
        </is>
      </c>
      <c r="U2673" s="19" t="inlineStr">
        <is>
          <t>P JB Cold Soldering</t>
        </is>
      </c>
      <c r="V2673" s="19" t="inlineStr">
        <is>
          <t>Soldering</t>
        </is>
      </c>
      <c r="W2673" s="3" t="inlineStr">
        <is>
          <t>Repair</t>
        </is>
      </c>
      <c r="X2673" s="18" t="n">
        <v>46173</v>
      </c>
      <c r="Y2673" s="3">
        <f>X2673-A2673</f>
        <v/>
      </c>
      <c r="Z2673" s="18" t="n">
        <v>46173</v>
      </c>
      <c r="AA2673" s="15" t="n"/>
      <c r="AB2673" s="15" t="n"/>
    </row>
    <row r="2674">
      <c r="A2674" s="37" t="n">
        <v>46143</v>
      </c>
      <c r="B2674" s="3" t="n">
        <v>2026</v>
      </c>
      <c r="C2674" s="26" t="inlineStr">
        <is>
          <t>Yanara Power</t>
        </is>
      </c>
      <c r="D2674" s="3" t="inlineStr">
        <is>
          <t>Utility and C&amp;I</t>
        </is>
      </c>
      <c r="E2674" s="3" t="n"/>
      <c r="F2674" s="3" t="inlineStr">
        <is>
          <t>Closed</t>
        </is>
      </c>
      <c r="G2674" s="9" t="inlineStr">
        <is>
          <t xml:space="preserve">Ashish Jindal </t>
        </is>
      </c>
      <c r="H2674" s="26" t="n">
        <v>9983975581</v>
      </c>
      <c r="I2674" s="38" t="inlineStr">
        <is>
          <t>PE01052601</t>
        </is>
      </c>
      <c r="J2674" s="26" t="inlineStr">
        <is>
          <t>Multiple Issues</t>
        </is>
      </c>
      <c r="K2674" s="39" t="inlineStr">
        <is>
          <t>Holi</t>
        </is>
      </c>
      <c r="L2674" s="39" t="inlineStr">
        <is>
          <t>Maharashtra</t>
        </is>
      </c>
      <c r="M2674" s="9" t="inlineStr">
        <is>
          <t>PS</t>
        </is>
      </c>
      <c r="N2674" s="3" t="inlineStr">
        <is>
          <t>Cold Soldering</t>
        </is>
      </c>
      <c r="O2674" s="56" t="n">
        <v>575</v>
      </c>
      <c r="P2674" s="46" t="inlineStr">
        <is>
          <t>NSMI24070200723</t>
        </is>
      </c>
      <c r="Q2674" s="54">
        <f>MID(P2674,5,2)</f>
        <v/>
      </c>
      <c r="R2674" s="53">
        <f>MID(P2674,7,2)</f>
        <v/>
      </c>
      <c r="S2674" s="3" t="inlineStr">
        <is>
          <t>G2G</t>
        </is>
      </c>
      <c r="T2674" s="3" t="inlineStr">
        <is>
          <t>P4</t>
        </is>
      </c>
      <c r="U2674" s="19" t="inlineStr">
        <is>
          <t>P JB Cold Soldering</t>
        </is>
      </c>
      <c r="V2674" s="19" t="inlineStr">
        <is>
          <t>Soldering</t>
        </is>
      </c>
      <c r="W2674" s="3" t="inlineStr">
        <is>
          <t>Repair</t>
        </is>
      </c>
      <c r="X2674" s="18" t="n">
        <v>46173</v>
      </c>
      <c r="Y2674" s="3">
        <f>X2674-A2674</f>
        <v/>
      </c>
      <c r="Z2674" s="18" t="n">
        <v>46173</v>
      </c>
      <c r="AA2674" s="15" t="n"/>
      <c r="AB2674" s="15" t="n"/>
    </row>
    <row r="2675">
      <c r="A2675" s="37" t="n">
        <v>46143</v>
      </c>
      <c r="B2675" s="3" t="n">
        <v>2026</v>
      </c>
      <c r="C2675" s="26" t="inlineStr">
        <is>
          <t>Yanara Power</t>
        </is>
      </c>
      <c r="D2675" s="3" t="inlineStr">
        <is>
          <t>Utility and C&amp;I</t>
        </is>
      </c>
      <c r="E2675" s="3" t="n"/>
      <c r="F2675" s="3" t="inlineStr">
        <is>
          <t>Closed</t>
        </is>
      </c>
      <c r="G2675" s="9" t="inlineStr">
        <is>
          <t xml:space="preserve">Ashish Jindal </t>
        </is>
      </c>
      <c r="H2675" s="26" t="n">
        <v>9983975581</v>
      </c>
      <c r="I2675" s="38" t="inlineStr">
        <is>
          <t>PE01052601</t>
        </is>
      </c>
      <c r="J2675" s="26" t="inlineStr">
        <is>
          <t>Multiple Issues</t>
        </is>
      </c>
      <c r="K2675" s="39" t="inlineStr">
        <is>
          <t>Holi</t>
        </is>
      </c>
      <c r="L2675" s="39" t="inlineStr">
        <is>
          <t>Maharashtra</t>
        </is>
      </c>
      <c r="M2675" s="9" t="inlineStr">
        <is>
          <t>PS</t>
        </is>
      </c>
      <c r="N2675" s="3" t="inlineStr">
        <is>
          <t>Cold Soldering</t>
        </is>
      </c>
      <c r="O2675" s="56" t="n">
        <v>575</v>
      </c>
      <c r="P2675" s="46" t="inlineStr">
        <is>
          <t>NSMI24070200750</t>
        </is>
      </c>
      <c r="Q2675" s="54">
        <f>MID(P2675,5,2)</f>
        <v/>
      </c>
      <c r="R2675" s="53">
        <f>MID(P2675,7,2)</f>
        <v/>
      </c>
      <c r="S2675" s="3" t="inlineStr">
        <is>
          <t>G2G</t>
        </is>
      </c>
      <c r="T2675" s="3" t="inlineStr">
        <is>
          <t>P4</t>
        </is>
      </c>
      <c r="U2675" s="19" t="inlineStr">
        <is>
          <t>P JB Cold Soldering</t>
        </is>
      </c>
      <c r="V2675" s="19" t="inlineStr">
        <is>
          <t>Soldering</t>
        </is>
      </c>
      <c r="W2675" s="3" t="inlineStr">
        <is>
          <t>Repair</t>
        </is>
      </c>
      <c r="X2675" s="18" t="n">
        <v>46173</v>
      </c>
      <c r="Y2675" s="3">
        <f>X2675-A2675</f>
        <v/>
      </c>
      <c r="Z2675" s="18" t="n">
        <v>46173</v>
      </c>
      <c r="AA2675" s="15" t="n"/>
      <c r="AB2675" s="15" t="n"/>
    </row>
    <row r="2676">
      <c r="A2676" s="37" t="n">
        <v>46143</v>
      </c>
      <c r="B2676" s="3" t="n">
        <v>2026</v>
      </c>
      <c r="C2676" s="26" t="inlineStr">
        <is>
          <t>Yanara Power</t>
        </is>
      </c>
      <c r="D2676" s="3" t="inlineStr">
        <is>
          <t>Utility and C&amp;I</t>
        </is>
      </c>
      <c r="E2676" s="3" t="n"/>
      <c r="F2676" s="3" t="inlineStr">
        <is>
          <t>Closed</t>
        </is>
      </c>
      <c r="G2676" s="9" t="inlineStr">
        <is>
          <t xml:space="preserve">Ashish Jindal </t>
        </is>
      </c>
      <c r="H2676" s="26" t="n">
        <v>9983975581</v>
      </c>
      <c r="I2676" s="38" t="inlineStr">
        <is>
          <t>PE01052601</t>
        </is>
      </c>
      <c r="J2676" s="26" t="inlineStr">
        <is>
          <t>Multiple Issues</t>
        </is>
      </c>
      <c r="K2676" s="39" t="inlineStr">
        <is>
          <t>Holi</t>
        </is>
      </c>
      <c r="L2676" s="39" t="inlineStr">
        <is>
          <t>Maharashtra</t>
        </is>
      </c>
      <c r="M2676" s="9" t="inlineStr">
        <is>
          <t>PS</t>
        </is>
      </c>
      <c r="N2676" s="3" t="inlineStr">
        <is>
          <t>Cold Soldering</t>
        </is>
      </c>
      <c r="O2676" s="56" t="n">
        <v>575</v>
      </c>
      <c r="P2676" s="46" t="inlineStr">
        <is>
          <t>NSMI24070200710</t>
        </is>
      </c>
      <c r="Q2676" s="54">
        <f>MID(P2676,5,2)</f>
        <v/>
      </c>
      <c r="R2676" s="53">
        <f>MID(P2676,7,2)</f>
        <v/>
      </c>
      <c r="S2676" s="3" t="inlineStr">
        <is>
          <t>G2G</t>
        </is>
      </c>
      <c r="T2676" s="3" t="inlineStr">
        <is>
          <t>P4</t>
        </is>
      </c>
      <c r="U2676" s="19" t="inlineStr">
        <is>
          <t>P JB Cold Soldering</t>
        </is>
      </c>
      <c r="V2676" s="19" t="inlineStr">
        <is>
          <t>Soldering</t>
        </is>
      </c>
      <c r="W2676" s="3" t="inlineStr">
        <is>
          <t>Repair</t>
        </is>
      </c>
      <c r="X2676" s="18" t="n">
        <v>46173</v>
      </c>
      <c r="Y2676" s="3">
        <f>X2676-A2676</f>
        <v/>
      </c>
      <c r="Z2676" s="18" t="n">
        <v>46173</v>
      </c>
      <c r="AA2676" s="15" t="n"/>
      <c r="AB2676" s="15" t="n"/>
    </row>
    <row r="2677">
      <c r="A2677" s="37" t="n">
        <v>46143</v>
      </c>
      <c r="B2677" s="3" t="n">
        <v>2026</v>
      </c>
      <c r="C2677" s="26" t="inlineStr">
        <is>
          <t>Yanara Power</t>
        </is>
      </c>
      <c r="D2677" s="3" t="inlineStr">
        <is>
          <t>Utility and C&amp;I</t>
        </is>
      </c>
      <c r="E2677" s="3" t="n"/>
      <c r="F2677" s="3" t="inlineStr">
        <is>
          <t>Closed</t>
        </is>
      </c>
      <c r="G2677" s="9" t="inlineStr">
        <is>
          <t xml:space="preserve">Ashish Jindal </t>
        </is>
      </c>
      <c r="H2677" s="26" t="n">
        <v>9983975581</v>
      </c>
      <c r="I2677" s="38" t="inlineStr">
        <is>
          <t>PE01052601</t>
        </is>
      </c>
      <c r="J2677" s="26" t="inlineStr">
        <is>
          <t>Multiple Issues</t>
        </is>
      </c>
      <c r="K2677" s="39" t="inlineStr">
        <is>
          <t>Holi</t>
        </is>
      </c>
      <c r="L2677" s="39" t="inlineStr">
        <is>
          <t>Maharashtra</t>
        </is>
      </c>
      <c r="M2677" s="9" t="inlineStr">
        <is>
          <t>PS</t>
        </is>
      </c>
      <c r="N2677" s="3" t="inlineStr">
        <is>
          <t>Cold Soldering</t>
        </is>
      </c>
      <c r="O2677" s="56" t="n">
        <v>575</v>
      </c>
      <c r="P2677" s="46" t="inlineStr">
        <is>
          <t>NSMI24070185076</t>
        </is>
      </c>
      <c r="Q2677" s="54">
        <f>MID(P2677,5,2)</f>
        <v/>
      </c>
      <c r="R2677" s="53">
        <f>MID(P2677,7,2)</f>
        <v/>
      </c>
      <c r="S2677" s="3" t="inlineStr">
        <is>
          <t>G2G</t>
        </is>
      </c>
      <c r="T2677" s="3" t="inlineStr">
        <is>
          <t>P4</t>
        </is>
      </c>
      <c r="U2677" s="19" t="inlineStr">
        <is>
          <t>P JB Cold Soldering</t>
        </is>
      </c>
      <c r="V2677" s="19" t="inlineStr">
        <is>
          <t>Soldering</t>
        </is>
      </c>
      <c r="W2677" s="3" t="inlineStr">
        <is>
          <t>Repair</t>
        </is>
      </c>
      <c r="X2677" s="18" t="n">
        <v>46173</v>
      </c>
      <c r="Y2677" s="3">
        <f>X2677-A2677</f>
        <v/>
      </c>
      <c r="Z2677" s="18" t="n">
        <v>46173</v>
      </c>
      <c r="AA2677" s="15" t="n"/>
      <c r="AB2677" s="15" t="n"/>
    </row>
    <row r="2678">
      <c r="A2678" s="37" t="n">
        <v>46143</v>
      </c>
      <c r="B2678" s="3" t="n">
        <v>2026</v>
      </c>
      <c r="C2678" s="26" t="inlineStr">
        <is>
          <t>Yanara Power</t>
        </is>
      </c>
      <c r="D2678" s="3" t="inlineStr">
        <is>
          <t>Utility and C&amp;I</t>
        </is>
      </c>
      <c r="E2678" s="3" t="n"/>
      <c r="F2678" s="3" t="inlineStr">
        <is>
          <t>Closed</t>
        </is>
      </c>
      <c r="G2678" s="9" t="inlineStr">
        <is>
          <t xml:space="preserve">Ashish Jindal </t>
        </is>
      </c>
      <c r="H2678" s="26" t="n">
        <v>9983975581</v>
      </c>
      <c r="I2678" s="38" t="inlineStr">
        <is>
          <t>PE01052601</t>
        </is>
      </c>
      <c r="J2678" s="26" t="inlineStr">
        <is>
          <t>Multiple Issues</t>
        </is>
      </c>
      <c r="K2678" s="39" t="inlineStr">
        <is>
          <t>Holi</t>
        </is>
      </c>
      <c r="L2678" s="39" t="inlineStr">
        <is>
          <t>Maharashtra</t>
        </is>
      </c>
      <c r="M2678" s="9" t="inlineStr">
        <is>
          <t>PS</t>
        </is>
      </c>
      <c r="N2678" s="3" t="inlineStr">
        <is>
          <t>Cold Soldering</t>
        </is>
      </c>
      <c r="O2678" s="56" t="n">
        <v>575</v>
      </c>
      <c r="P2678" s="46" t="inlineStr">
        <is>
          <t>NSMI24070186920</t>
        </is>
      </c>
      <c r="Q2678" s="54">
        <f>MID(P2678,5,2)</f>
        <v/>
      </c>
      <c r="R2678" s="53">
        <f>MID(P2678,7,2)</f>
        <v/>
      </c>
      <c r="S2678" s="3" t="inlineStr">
        <is>
          <t>G2G</t>
        </is>
      </c>
      <c r="T2678" s="3" t="inlineStr">
        <is>
          <t>P4</t>
        </is>
      </c>
      <c r="U2678" s="19" t="inlineStr">
        <is>
          <t>P JB Cold Soldering</t>
        </is>
      </c>
      <c r="V2678" s="19" t="inlineStr">
        <is>
          <t>Soldering</t>
        </is>
      </c>
      <c r="W2678" s="3" t="inlineStr">
        <is>
          <t>Repair</t>
        </is>
      </c>
      <c r="X2678" s="18" t="n">
        <v>46173</v>
      </c>
      <c r="Y2678" s="3">
        <f>X2678-A2678</f>
        <v/>
      </c>
      <c r="Z2678" s="18" t="n">
        <v>46173</v>
      </c>
      <c r="AA2678" s="15" t="n"/>
      <c r="AB2678" s="15" t="n"/>
    </row>
    <row r="2679">
      <c r="A2679" s="37" t="n">
        <v>46143</v>
      </c>
      <c r="B2679" s="3" t="n">
        <v>2026</v>
      </c>
      <c r="C2679" s="26" t="inlineStr">
        <is>
          <t>Yanara Power</t>
        </is>
      </c>
      <c r="D2679" s="3" t="inlineStr">
        <is>
          <t>Utility and C&amp;I</t>
        </is>
      </c>
      <c r="E2679" s="3" t="n"/>
      <c r="F2679" s="3" t="inlineStr">
        <is>
          <t>Closed</t>
        </is>
      </c>
      <c r="G2679" s="9" t="inlineStr">
        <is>
          <t xml:space="preserve">Ashish Jindal </t>
        </is>
      </c>
      <c r="H2679" s="26" t="n">
        <v>9983975581</v>
      </c>
      <c r="I2679" s="38" t="inlineStr">
        <is>
          <t>PE01052601</t>
        </is>
      </c>
      <c r="J2679" s="26" t="inlineStr">
        <is>
          <t>Multiple Issues</t>
        </is>
      </c>
      <c r="K2679" s="39" t="inlineStr">
        <is>
          <t>Holi</t>
        </is>
      </c>
      <c r="L2679" s="39" t="inlineStr">
        <is>
          <t>Maharashtra</t>
        </is>
      </c>
      <c r="M2679" s="9" t="inlineStr">
        <is>
          <t>PS</t>
        </is>
      </c>
      <c r="N2679" s="3" t="inlineStr">
        <is>
          <t>Cold Soldering</t>
        </is>
      </c>
      <c r="O2679" s="56" t="n">
        <v>575</v>
      </c>
      <c r="P2679" s="47" t="inlineStr">
        <is>
          <t>NSMI24070201376</t>
        </is>
      </c>
      <c r="Q2679" s="54">
        <f>MID(P2679,5,2)</f>
        <v/>
      </c>
      <c r="R2679" s="53">
        <f>MID(P2679,7,2)</f>
        <v/>
      </c>
      <c r="S2679" s="3" t="inlineStr">
        <is>
          <t>G2G</t>
        </is>
      </c>
      <c r="T2679" s="3" t="inlineStr">
        <is>
          <t>P4</t>
        </is>
      </c>
      <c r="U2679" s="19" t="inlineStr">
        <is>
          <t>P JB Cold Soldering</t>
        </is>
      </c>
      <c r="V2679" s="19" t="inlineStr">
        <is>
          <t>Soldering</t>
        </is>
      </c>
      <c r="W2679" s="3" t="inlineStr">
        <is>
          <t>Repair</t>
        </is>
      </c>
      <c r="X2679" s="18" t="n">
        <v>46173</v>
      </c>
      <c r="Y2679" s="3">
        <f>X2679-A2679</f>
        <v/>
      </c>
      <c r="Z2679" s="18" t="n">
        <v>46173</v>
      </c>
      <c r="AA2679" s="15" t="n"/>
      <c r="AB2679" s="15" t="n"/>
    </row>
    <row r="2680">
      <c r="A2680" s="37" t="n">
        <v>46143</v>
      </c>
      <c r="B2680" s="3" t="n">
        <v>2026</v>
      </c>
      <c r="C2680" s="26" t="inlineStr">
        <is>
          <t>Yanara Power</t>
        </is>
      </c>
      <c r="D2680" s="3" t="inlineStr">
        <is>
          <t>Utility and C&amp;I</t>
        </is>
      </c>
      <c r="E2680" s="3" t="n"/>
      <c r="F2680" s="3" t="inlineStr">
        <is>
          <t>Closed</t>
        </is>
      </c>
      <c r="G2680" s="9" t="inlineStr">
        <is>
          <t xml:space="preserve">Ashish Jindal </t>
        </is>
      </c>
      <c r="H2680" s="26" t="n">
        <v>9983975581</v>
      </c>
      <c r="I2680" s="38" t="inlineStr">
        <is>
          <t>PE01052601</t>
        </is>
      </c>
      <c r="J2680" s="26" t="inlineStr">
        <is>
          <t>Multiple Issues</t>
        </is>
      </c>
      <c r="K2680" s="39" t="inlineStr">
        <is>
          <t>Holi</t>
        </is>
      </c>
      <c r="L2680" s="39" t="inlineStr">
        <is>
          <t>Maharashtra</t>
        </is>
      </c>
      <c r="M2680" s="61" t="inlineStr">
        <is>
          <t>GLASS BROKEN MODULE</t>
        </is>
      </c>
      <c r="N2680" s="19" t="inlineStr">
        <is>
          <t>Glass Breakage</t>
        </is>
      </c>
      <c r="O2680" s="56" t="n">
        <v>575</v>
      </c>
      <c r="P2680" s="46" t="inlineStr">
        <is>
          <t>NSMI24070185566</t>
        </is>
      </c>
      <c r="Q2680" s="54">
        <f>MID(P2680,5,2)</f>
        <v/>
      </c>
      <c r="R2680" s="53">
        <f>MID(P2680,7,2)</f>
        <v/>
      </c>
      <c r="S2680" s="3" t="inlineStr">
        <is>
          <t>G2G</t>
        </is>
      </c>
      <c r="T2680" s="3" t="inlineStr">
        <is>
          <t>P4</t>
        </is>
      </c>
      <c r="U2680" s="19" t="inlineStr">
        <is>
          <t>Glass Breakage</t>
        </is>
      </c>
      <c r="V2680" s="19" t="inlineStr">
        <is>
          <t>Inspection</t>
        </is>
      </c>
      <c r="W2680" s="3" t="inlineStr">
        <is>
          <t>WIP</t>
        </is>
      </c>
      <c r="X2680" s="18" t="n">
        <v>46173</v>
      </c>
      <c r="Y2680" s="3">
        <f>X2680-A2680</f>
        <v/>
      </c>
      <c r="Z2680" s="18" t="n">
        <v>46173</v>
      </c>
      <c r="AA2680" s="15" t="n"/>
      <c r="AB2680" s="15" t="n"/>
    </row>
    <row r="2681">
      <c r="A2681" s="59" t="n">
        <v>46148</v>
      </c>
      <c r="B2681" s="3" t="n">
        <v>2026</v>
      </c>
      <c r="C2681" s="21" t="inlineStr">
        <is>
          <t>Continuum</t>
        </is>
      </c>
      <c r="D2681" s="3" t="inlineStr">
        <is>
          <t>Utility and C&amp;I</t>
        </is>
      </c>
      <c r="E2681" s="3" t="n"/>
      <c r="F2681" s="3" t="inlineStr">
        <is>
          <t>Closed</t>
        </is>
      </c>
      <c r="G2681" s="21" t="inlineStr">
        <is>
          <t>Amiya Ranjan Behera</t>
        </is>
      </c>
      <c r="H2681" s="21" t="n">
        <v>8917436223</v>
      </c>
      <c r="I2681" s="38" t="inlineStr">
        <is>
          <t>PE06052602</t>
        </is>
      </c>
      <c r="J2681" s="21" t="inlineStr">
        <is>
          <t>Diode Bypass Module Issue</t>
        </is>
      </c>
      <c r="K2681" s="21" t="inlineStr">
        <is>
          <t>Bhavnagar</t>
        </is>
      </c>
      <c r="L2681" s="21" t="inlineStr">
        <is>
          <t>Gujarat</t>
        </is>
      </c>
      <c r="M2681" s="95" t="inlineStr">
        <is>
          <t>PS</t>
        </is>
      </c>
      <c r="N2681" s="3" t="inlineStr">
        <is>
          <t>Cold Soldering</t>
        </is>
      </c>
      <c r="O2681" s="62" t="n">
        <v>540</v>
      </c>
      <c r="P2681" s="95" t="inlineStr">
        <is>
          <t>NSMP2305131089</t>
        </is>
      </c>
      <c r="Q2681" s="53">
        <f>MID(P2681,5,2)</f>
        <v/>
      </c>
      <c r="R2681" s="53">
        <f>MID(P2681,7,2)</f>
        <v/>
      </c>
      <c r="S2681" s="3" t="inlineStr">
        <is>
          <t>G2B</t>
        </is>
      </c>
      <c r="T2681" s="3" t="inlineStr">
        <is>
          <t>P2</t>
        </is>
      </c>
      <c r="U2681" s="3" t="inlineStr">
        <is>
          <t>P JB Cold Soldering</t>
        </is>
      </c>
      <c r="V2681" s="3" t="inlineStr">
        <is>
          <t>Soldering</t>
        </is>
      </c>
      <c r="W2681" s="3" t="inlineStr">
        <is>
          <t>Repair</t>
        </is>
      </c>
      <c r="X2681" s="18" t="n">
        <v>46174</v>
      </c>
      <c r="Y2681" s="3">
        <f>X2681-A2681</f>
        <v/>
      </c>
      <c r="Z2681" s="18" t="n">
        <v>46174</v>
      </c>
      <c r="AA2681" s="15" t="n"/>
      <c r="AB2681" s="15" t="n"/>
    </row>
    <row r="2682">
      <c r="A2682" s="59" t="n">
        <v>46148</v>
      </c>
      <c r="B2682" s="3" t="n">
        <v>2026</v>
      </c>
      <c r="C2682" s="21" t="inlineStr">
        <is>
          <t>Continuum</t>
        </is>
      </c>
      <c r="D2682" s="3" t="inlineStr">
        <is>
          <t>Utility and C&amp;I</t>
        </is>
      </c>
      <c r="E2682" s="3" t="n"/>
      <c r="F2682" s="3" t="inlineStr">
        <is>
          <t>Closed</t>
        </is>
      </c>
      <c r="G2682" s="21" t="inlineStr">
        <is>
          <t>Amiya Ranjan Behera</t>
        </is>
      </c>
      <c r="H2682" s="21" t="n">
        <v>8917436223</v>
      </c>
      <c r="I2682" s="38" t="inlineStr">
        <is>
          <t>PE06052602</t>
        </is>
      </c>
      <c r="J2682" s="21" t="inlineStr">
        <is>
          <t>Diode Bypass Module Issue</t>
        </is>
      </c>
      <c r="K2682" s="21" t="inlineStr">
        <is>
          <t>Bhavnagar</t>
        </is>
      </c>
      <c r="L2682" s="21" t="inlineStr">
        <is>
          <t>Gujarat</t>
        </is>
      </c>
      <c r="M2682" s="96" t="inlineStr">
        <is>
          <t>PS</t>
        </is>
      </c>
      <c r="N2682" s="3" t="inlineStr">
        <is>
          <t>Cold Soldering</t>
        </is>
      </c>
      <c r="O2682" s="62" t="n">
        <v>540</v>
      </c>
      <c r="P2682" s="96" t="inlineStr">
        <is>
          <t>NSMP2305189276</t>
        </is>
      </c>
      <c r="Q2682" s="53">
        <f>MID(P2682,5,2)</f>
        <v/>
      </c>
      <c r="R2682" s="53">
        <f>MID(P2682,7,2)</f>
        <v/>
      </c>
      <c r="S2682" s="3" t="inlineStr">
        <is>
          <t>G2B</t>
        </is>
      </c>
      <c r="T2682" s="3" t="inlineStr">
        <is>
          <t>P2</t>
        </is>
      </c>
      <c r="U2682" s="3" t="inlineStr">
        <is>
          <t>P JB Cold Soldering</t>
        </is>
      </c>
      <c r="V2682" s="3" t="inlineStr">
        <is>
          <t>Soldering</t>
        </is>
      </c>
      <c r="W2682" s="3" t="inlineStr">
        <is>
          <t>Repair</t>
        </is>
      </c>
      <c r="X2682" s="18" t="n">
        <v>46174</v>
      </c>
      <c r="Y2682" s="3">
        <f>X2682-A2682</f>
        <v/>
      </c>
      <c r="Z2682" s="18" t="n">
        <v>46174</v>
      </c>
      <c r="AA2682" s="15" t="n"/>
      <c r="AB2682" s="15" t="n"/>
    </row>
    <row r="2683">
      <c r="A2683" s="59" t="n">
        <v>46148</v>
      </c>
      <c r="B2683" s="3" t="n">
        <v>2026</v>
      </c>
      <c r="C2683" s="21" t="inlineStr">
        <is>
          <t>Continuum</t>
        </is>
      </c>
      <c r="D2683" s="3" t="inlineStr">
        <is>
          <t>Utility and C&amp;I</t>
        </is>
      </c>
      <c r="E2683" s="3" t="n"/>
      <c r="F2683" s="3" t="inlineStr">
        <is>
          <t>Closed</t>
        </is>
      </c>
      <c r="G2683" s="21" t="inlineStr">
        <is>
          <t>Amiya Ranjan Behera</t>
        </is>
      </c>
      <c r="H2683" s="21" t="n">
        <v>8917436223</v>
      </c>
      <c r="I2683" s="38" t="inlineStr">
        <is>
          <t>PE06052602</t>
        </is>
      </c>
      <c r="J2683" s="21" t="inlineStr">
        <is>
          <t>Diode Bypass Module Issue</t>
        </is>
      </c>
      <c r="K2683" s="21" t="inlineStr">
        <is>
          <t>Bhavnagar</t>
        </is>
      </c>
      <c r="L2683" s="21" t="inlineStr">
        <is>
          <t>Gujarat</t>
        </is>
      </c>
      <c r="M2683" s="96" t="inlineStr">
        <is>
          <t>PS</t>
        </is>
      </c>
      <c r="N2683" s="3" t="inlineStr">
        <is>
          <t>Cold Soldering</t>
        </is>
      </c>
      <c r="O2683" s="62" t="n">
        <v>540</v>
      </c>
      <c r="P2683" s="96" t="inlineStr">
        <is>
          <t>NSMP2305132869</t>
        </is>
      </c>
      <c r="Q2683" s="53">
        <f>MID(P2683,5,2)</f>
        <v/>
      </c>
      <c r="R2683" s="53">
        <f>MID(P2683,7,2)</f>
        <v/>
      </c>
      <c r="S2683" s="3" t="inlineStr">
        <is>
          <t>G2B</t>
        </is>
      </c>
      <c r="T2683" s="3" t="inlineStr">
        <is>
          <t>P2</t>
        </is>
      </c>
      <c r="U2683" s="3" t="inlineStr">
        <is>
          <t>P JB Cold Soldering</t>
        </is>
      </c>
      <c r="V2683" s="3" t="inlineStr">
        <is>
          <t>Soldering</t>
        </is>
      </c>
      <c r="W2683" s="3" t="inlineStr">
        <is>
          <t>Repair</t>
        </is>
      </c>
      <c r="X2683" s="18" t="n">
        <v>46174</v>
      </c>
      <c r="Y2683" s="3">
        <f>X2683-A2683</f>
        <v/>
      </c>
      <c r="Z2683" s="18" t="n">
        <v>46174</v>
      </c>
      <c r="AA2683" s="15" t="n"/>
      <c r="AB2683" s="15" t="n"/>
    </row>
    <row r="2684">
      <c r="A2684" s="59" t="n">
        <v>46148</v>
      </c>
      <c r="B2684" s="3" t="n">
        <v>2026</v>
      </c>
      <c r="C2684" s="21" t="inlineStr">
        <is>
          <t>Continuum</t>
        </is>
      </c>
      <c r="D2684" s="3" t="inlineStr">
        <is>
          <t>Utility and C&amp;I</t>
        </is>
      </c>
      <c r="E2684" s="3" t="n"/>
      <c r="F2684" s="3" t="inlineStr">
        <is>
          <t>Closed</t>
        </is>
      </c>
      <c r="G2684" s="21" t="inlineStr">
        <is>
          <t>Amiya Ranjan Behera</t>
        </is>
      </c>
      <c r="H2684" s="21" t="n">
        <v>8917436223</v>
      </c>
      <c r="I2684" s="38" t="inlineStr">
        <is>
          <t>PE06052602</t>
        </is>
      </c>
      <c r="J2684" s="21" t="inlineStr">
        <is>
          <t>Diode Bypass Module Issue</t>
        </is>
      </c>
      <c r="K2684" s="21" t="inlineStr">
        <is>
          <t>Bhavnagar</t>
        </is>
      </c>
      <c r="L2684" s="21" t="inlineStr">
        <is>
          <t>Gujarat</t>
        </is>
      </c>
      <c r="M2684" s="96" t="inlineStr">
        <is>
          <t>PS</t>
        </is>
      </c>
      <c r="N2684" s="3" t="inlineStr">
        <is>
          <t>Cold Soldering</t>
        </is>
      </c>
      <c r="O2684" s="62" t="n">
        <v>540</v>
      </c>
      <c r="P2684" s="96" t="inlineStr">
        <is>
          <t>NSMP2305132603</t>
        </is>
      </c>
      <c r="Q2684" s="53">
        <f>MID(P2684,5,2)</f>
        <v/>
      </c>
      <c r="R2684" s="53">
        <f>MID(P2684,7,2)</f>
        <v/>
      </c>
      <c r="S2684" s="3" t="inlineStr">
        <is>
          <t>G2B</t>
        </is>
      </c>
      <c r="T2684" s="3" t="inlineStr">
        <is>
          <t>P2</t>
        </is>
      </c>
      <c r="U2684" s="3" t="inlineStr">
        <is>
          <t>P JB Cold Soldering</t>
        </is>
      </c>
      <c r="V2684" s="3" t="inlineStr">
        <is>
          <t>Soldering</t>
        </is>
      </c>
      <c r="W2684" s="3" t="inlineStr">
        <is>
          <t>Repair</t>
        </is>
      </c>
      <c r="X2684" s="18" t="n">
        <v>46174</v>
      </c>
      <c r="Y2684" s="3">
        <f>X2684-A2684</f>
        <v/>
      </c>
      <c r="Z2684" s="18" t="n">
        <v>46174</v>
      </c>
      <c r="AA2684" s="15" t="n"/>
      <c r="AB2684" s="15" t="n"/>
    </row>
    <row r="2685">
      <c r="A2685" s="59" t="n">
        <v>46148</v>
      </c>
      <c r="B2685" s="3" t="n">
        <v>2026</v>
      </c>
      <c r="C2685" s="21" t="inlineStr">
        <is>
          <t>Continuum</t>
        </is>
      </c>
      <c r="D2685" s="3" t="inlineStr">
        <is>
          <t>Utility and C&amp;I</t>
        </is>
      </c>
      <c r="E2685" s="3" t="n"/>
      <c r="F2685" s="3" t="inlineStr">
        <is>
          <t>Closed</t>
        </is>
      </c>
      <c r="G2685" s="21" t="inlineStr">
        <is>
          <t>Amiya Ranjan Behera</t>
        </is>
      </c>
      <c r="H2685" s="21" t="n">
        <v>8917436223</v>
      </c>
      <c r="I2685" s="38" t="inlineStr">
        <is>
          <t>PE06052602</t>
        </is>
      </c>
      <c r="J2685" s="21" t="inlineStr">
        <is>
          <t>Diode Bypass Module Issue</t>
        </is>
      </c>
      <c r="K2685" s="21" t="inlineStr">
        <is>
          <t>Bhavnagar</t>
        </is>
      </c>
      <c r="L2685" s="21" t="inlineStr">
        <is>
          <t>Gujarat</t>
        </is>
      </c>
      <c r="M2685" s="96" t="inlineStr">
        <is>
          <t>PS</t>
        </is>
      </c>
      <c r="N2685" s="3" t="inlineStr">
        <is>
          <t>Cold Soldering</t>
        </is>
      </c>
      <c r="O2685" s="62" t="n">
        <v>540</v>
      </c>
      <c r="P2685" s="96" t="inlineStr">
        <is>
          <t>NSMP2305134324</t>
        </is>
      </c>
      <c r="Q2685" s="53">
        <f>MID(P2685,5,2)</f>
        <v/>
      </c>
      <c r="R2685" s="53">
        <f>MID(P2685,7,2)</f>
        <v/>
      </c>
      <c r="S2685" s="3" t="inlineStr">
        <is>
          <t>G2B</t>
        </is>
      </c>
      <c r="T2685" s="3" t="inlineStr">
        <is>
          <t>P2</t>
        </is>
      </c>
      <c r="U2685" s="3" t="inlineStr">
        <is>
          <t>P JB Cold Soldering</t>
        </is>
      </c>
      <c r="V2685" s="3" t="inlineStr">
        <is>
          <t>Soldering</t>
        </is>
      </c>
      <c r="W2685" s="3" t="inlineStr">
        <is>
          <t>Repair</t>
        </is>
      </c>
      <c r="X2685" s="18" t="n">
        <v>46174</v>
      </c>
      <c r="Y2685" s="3">
        <f>X2685-A2685</f>
        <v/>
      </c>
      <c r="Z2685" s="18" t="n">
        <v>46174</v>
      </c>
      <c r="AA2685" s="15" t="n"/>
      <c r="AB2685" s="15" t="n"/>
    </row>
    <row r="2686">
      <c r="A2686" s="59" t="n">
        <v>46148</v>
      </c>
      <c r="B2686" s="3" t="n">
        <v>2026</v>
      </c>
      <c r="C2686" s="21" t="inlineStr">
        <is>
          <t>Continuum</t>
        </is>
      </c>
      <c r="D2686" s="3" t="inlineStr">
        <is>
          <t>Utility and C&amp;I</t>
        </is>
      </c>
      <c r="E2686" s="3" t="n"/>
      <c r="F2686" s="3" t="inlineStr">
        <is>
          <t>Closed</t>
        </is>
      </c>
      <c r="G2686" s="21" t="inlineStr">
        <is>
          <t>Amiya Ranjan Behera</t>
        </is>
      </c>
      <c r="H2686" s="21" t="n">
        <v>8917436223</v>
      </c>
      <c r="I2686" s="38" t="inlineStr">
        <is>
          <t>PE06052602</t>
        </is>
      </c>
      <c r="J2686" s="21" t="inlineStr">
        <is>
          <t>Diode Bypass Module Issue</t>
        </is>
      </c>
      <c r="K2686" s="21" t="inlineStr">
        <is>
          <t>Bhavnagar</t>
        </is>
      </c>
      <c r="L2686" s="21" t="inlineStr">
        <is>
          <t>Gujarat</t>
        </is>
      </c>
      <c r="M2686" s="96" t="inlineStr">
        <is>
          <t>PS</t>
        </is>
      </c>
      <c r="N2686" s="3" t="inlineStr">
        <is>
          <t>Cold Soldering</t>
        </is>
      </c>
      <c r="O2686" s="62" t="n">
        <v>540</v>
      </c>
      <c r="P2686" s="96" t="inlineStr">
        <is>
          <t>NSMP2305134333</t>
        </is>
      </c>
      <c r="Q2686" s="53">
        <f>MID(P2686,5,2)</f>
        <v/>
      </c>
      <c r="R2686" s="53">
        <f>MID(P2686,7,2)</f>
        <v/>
      </c>
      <c r="S2686" s="3" t="inlineStr">
        <is>
          <t>G2B</t>
        </is>
      </c>
      <c r="T2686" s="3" t="inlineStr">
        <is>
          <t>P2</t>
        </is>
      </c>
      <c r="U2686" s="3" t="inlineStr">
        <is>
          <t>P JB Cold Soldering</t>
        </is>
      </c>
      <c r="V2686" s="3" t="inlineStr">
        <is>
          <t>Soldering</t>
        </is>
      </c>
      <c r="W2686" s="3" t="inlineStr">
        <is>
          <t>Repair</t>
        </is>
      </c>
      <c r="X2686" s="18" t="n">
        <v>46174</v>
      </c>
      <c r="Y2686" s="3">
        <f>X2686-A2686</f>
        <v/>
      </c>
      <c r="Z2686" s="18" t="n">
        <v>46174</v>
      </c>
      <c r="AA2686" s="15" t="n"/>
      <c r="AB2686" s="15" t="n"/>
    </row>
    <row r="2687">
      <c r="A2687" s="59" t="n">
        <v>46148</v>
      </c>
      <c r="B2687" s="3" t="n">
        <v>2026</v>
      </c>
      <c r="C2687" s="21" t="inlineStr">
        <is>
          <t>Continuum</t>
        </is>
      </c>
      <c r="D2687" s="3" t="inlineStr">
        <is>
          <t>Utility and C&amp;I</t>
        </is>
      </c>
      <c r="E2687" s="3" t="n"/>
      <c r="F2687" s="3" t="inlineStr">
        <is>
          <t>Closed</t>
        </is>
      </c>
      <c r="G2687" s="21" t="inlineStr">
        <is>
          <t>Amiya Ranjan Behera</t>
        </is>
      </c>
      <c r="H2687" s="21" t="n">
        <v>8917436223</v>
      </c>
      <c r="I2687" s="38" t="inlineStr">
        <is>
          <t>PE06052602</t>
        </is>
      </c>
      <c r="J2687" s="21" t="inlineStr">
        <is>
          <t>Diode Bypass Module Issue</t>
        </is>
      </c>
      <c r="K2687" s="21" t="inlineStr">
        <is>
          <t>Bhavnagar</t>
        </is>
      </c>
      <c r="L2687" s="21" t="inlineStr">
        <is>
          <t>Gujarat</t>
        </is>
      </c>
      <c r="M2687" s="96" t="inlineStr">
        <is>
          <t>NR</t>
        </is>
      </c>
      <c r="N2687" s="26" t="inlineStr">
        <is>
          <t>JB Issue</t>
        </is>
      </c>
      <c r="O2687" s="60" t="n">
        <v>540</v>
      </c>
      <c r="P2687" s="96" t="inlineStr">
        <is>
          <t>NSMP2305123070</t>
        </is>
      </c>
      <c r="Q2687" s="53">
        <f>MID(P2687,5,2)</f>
        <v/>
      </c>
      <c r="R2687" s="53">
        <f>MID(P2687,7,2)</f>
        <v/>
      </c>
      <c r="S2687" s="3" t="inlineStr">
        <is>
          <t>G2B</t>
        </is>
      </c>
      <c r="T2687" s="3" t="inlineStr">
        <is>
          <t>P2</t>
        </is>
      </c>
      <c r="U2687" s="19" t="inlineStr">
        <is>
          <t>N JB Issue</t>
        </is>
      </c>
      <c r="V2687" s="19" t="inlineStr">
        <is>
          <t>JB Changed</t>
        </is>
      </c>
      <c r="W2687" s="3" t="inlineStr">
        <is>
          <t>Repair</t>
        </is>
      </c>
      <c r="X2687" s="18" t="n">
        <v>46174</v>
      </c>
      <c r="Y2687" s="3">
        <f>X2687-A2687</f>
        <v/>
      </c>
      <c r="Z2687" s="18" t="n">
        <v>46174</v>
      </c>
      <c r="AA2687" s="15" t="n"/>
      <c r="AB2687" s="15" t="n"/>
    </row>
    <row r="2688">
      <c r="A2688" s="59" t="n">
        <v>46148</v>
      </c>
      <c r="B2688" s="3" t="n">
        <v>2026</v>
      </c>
      <c r="C2688" s="21" t="inlineStr">
        <is>
          <t>Continuum</t>
        </is>
      </c>
      <c r="D2688" s="3" t="inlineStr">
        <is>
          <t>Utility and C&amp;I</t>
        </is>
      </c>
      <c r="E2688" s="3" t="n"/>
      <c r="F2688" s="3" t="inlineStr">
        <is>
          <t>Closed</t>
        </is>
      </c>
      <c r="G2688" s="21" t="inlineStr">
        <is>
          <t>Amiya Ranjan Behera</t>
        </is>
      </c>
      <c r="H2688" s="21" t="n">
        <v>8917436223</v>
      </c>
      <c r="I2688" s="38" t="inlineStr">
        <is>
          <t>PE06052602</t>
        </is>
      </c>
      <c r="J2688" s="21" t="inlineStr">
        <is>
          <t>Diode Bypass Module Issue</t>
        </is>
      </c>
      <c r="K2688" s="21" t="inlineStr">
        <is>
          <t>Bhavnagar</t>
        </is>
      </c>
      <c r="L2688" s="21" t="inlineStr">
        <is>
          <t>Gujarat</t>
        </is>
      </c>
      <c r="M2688" s="96" t="inlineStr">
        <is>
          <t>PR</t>
        </is>
      </c>
      <c r="N2688" s="3" t="inlineStr">
        <is>
          <t>JB Issue</t>
        </is>
      </c>
      <c r="O2688" s="62" t="n">
        <v>540</v>
      </c>
      <c r="P2688" s="96" t="inlineStr">
        <is>
          <t>NSMP2305189363</t>
        </is>
      </c>
      <c r="Q2688" s="53">
        <f>MID(P2688,5,2)</f>
        <v/>
      </c>
      <c r="R2688" s="53">
        <f>MID(P2688,7,2)</f>
        <v/>
      </c>
      <c r="S2688" s="3" t="inlineStr">
        <is>
          <t>G2B</t>
        </is>
      </c>
      <c r="T2688" s="3" t="inlineStr">
        <is>
          <t>P2</t>
        </is>
      </c>
      <c r="U2688" s="3" t="inlineStr">
        <is>
          <t>P JB Issue</t>
        </is>
      </c>
      <c r="V2688" s="15" t="inlineStr">
        <is>
          <t>JB Changed</t>
        </is>
      </c>
      <c r="W2688" s="3" t="inlineStr">
        <is>
          <t>Repair</t>
        </is>
      </c>
      <c r="X2688" s="18" t="n">
        <v>46174</v>
      </c>
      <c r="Y2688" s="3">
        <f>X2688-A2688</f>
        <v/>
      </c>
      <c r="Z2688" s="18" t="n">
        <v>46174</v>
      </c>
      <c r="AA2688" s="15" t="n"/>
      <c r="AB2688" s="15" t="n"/>
    </row>
    <row r="2689">
      <c r="A2689" s="59" t="n">
        <v>46148</v>
      </c>
      <c r="B2689" s="3" t="n">
        <v>2026</v>
      </c>
      <c r="C2689" s="21" t="inlineStr">
        <is>
          <t>Continuum</t>
        </is>
      </c>
      <c r="D2689" s="3" t="inlineStr">
        <is>
          <t>Utility and C&amp;I</t>
        </is>
      </c>
      <c r="E2689" s="3" t="n"/>
      <c r="F2689" s="3" t="inlineStr">
        <is>
          <t>Closed</t>
        </is>
      </c>
      <c r="G2689" s="21" t="inlineStr">
        <is>
          <t>Amiya Ranjan Behera</t>
        </is>
      </c>
      <c r="H2689" s="21" t="n">
        <v>8917436223</v>
      </c>
      <c r="I2689" s="38" t="inlineStr">
        <is>
          <t>PE06052602</t>
        </is>
      </c>
      <c r="J2689" s="21" t="inlineStr">
        <is>
          <t>Diode Bypass Module Issue</t>
        </is>
      </c>
      <c r="K2689" s="21" t="inlineStr">
        <is>
          <t>Bhavnagar</t>
        </is>
      </c>
      <c r="L2689" s="21" t="inlineStr">
        <is>
          <t>Gujarat</t>
        </is>
      </c>
      <c r="M2689" s="96" t="inlineStr">
        <is>
          <t>PS</t>
        </is>
      </c>
      <c r="N2689" s="3" t="inlineStr">
        <is>
          <t>Cold Soldering</t>
        </is>
      </c>
      <c r="O2689" s="62" t="n">
        <v>540</v>
      </c>
      <c r="P2689" s="96" t="inlineStr">
        <is>
          <t>NSMP2305189364</t>
        </is>
      </c>
      <c r="Q2689" s="53">
        <f>MID(P2689,5,2)</f>
        <v/>
      </c>
      <c r="R2689" s="53">
        <f>MID(P2689,7,2)</f>
        <v/>
      </c>
      <c r="S2689" s="3" t="inlineStr">
        <is>
          <t>G2B</t>
        </is>
      </c>
      <c r="T2689" s="3" t="inlineStr">
        <is>
          <t>P2</t>
        </is>
      </c>
      <c r="U2689" s="3" t="inlineStr">
        <is>
          <t>P JB Cold Soldering</t>
        </is>
      </c>
      <c r="V2689" s="3" t="inlineStr">
        <is>
          <t>Soldering</t>
        </is>
      </c>
      <c r="W2689" s="3" t="inlineStr">
        <is>
          <t>Repair</t>
        </is>
      </c>
      <c r="X2689" s="18" t="n">
        <v>46174</v>
      </c>
      <c r="Y2689" s="3">
        <f>X2689-A2689</f>
        <v/>
      </c>
      <c r="Z2689" s="18" t="n">
        <v>46174</v>
      </c>
      <c r="AA2689" s="15" t="n"/>
      <c r="AB2689" s="15" t="n"/>
    </row>
    <row r="2690">
      <c r="A2690" s="59" t="n">
        <v>46148</v>
      </c>
      <c r="B2690" s="3" t="n">
        <v>2026</v>
      </c>
      <c r="C2690" s="21" t="inlineStr">
        <is>
          <t>Continuum</t>
        </is>
      </c>
      <c r="D2690" s="3" t="inlineStr">
        <is>
          <t>Utility and C&amp;I</t>
        </is>
      </c>
      <c r="E2690" s="3" t="n"/>
      <c r="F2690" s="3" t="inlineStr">
        <is>
          <t>Closed</t>
        </is>
      </c>
      <c r="G2690" s="21" t="inlineStr">
        <is>
          <t>Amiya Ranjan Behera</t>
        </is>
      </c>
      <c r="H2690" s="21" t="n">
        <v>8917436223</v>
      </c>
      <c r="I2690" s="38" t="inlineStr">
        <is>
          <t>PE06052602</t>
        </is>
      </c>
      <c r="J2690" s="21" t="inlineStr">
        <is>
          <t>Diode Bypass Module Issue</t>
        </is>
      </c>
      <c r="K2690" s="21" t="inlineStr">
        <is>
          <t>Bhavnagar</t>
        </is>
      </c>
      <c r="L2690" s="21" t="inlineStr">
        <is>
          <t>Gujarat</t>
        </is>
      </c>
      <c r="M2690" s="96" t="inlineStr">
        <is>
          <t>PS</t>
        </is>
      </c>
      <c r="N2690" s="3" t="inlineStr">
        <is>
          <t>Cold Soldering</t>
        </is>
      </c>
      <c r="O2690" s="62" t="n">
        <v>540</v>
      </c>
      <c r="P2690" s="96" t="inlineStr">
        <is>
          <t>NSMP2305189187</t>
        </is>
      </c>
      <c r="Q2690" s="53">
        <f>MID(P2690,5,2)</f>
        <v/>
      </c>
      <c r="R2690" s="53">
        <f>MID(P2690,7,2)</f>
        <v/>
      </c>
      <c r="S2690" s="3" t="inlineStr">
        <is>
          <t>G2B</t>
        </is>
      </c>
      <c r="T2690" s="3" t="inlineStr">
        <is>
          <t>P2</t>
        </is>
      </c>
      <c r="U2690" s="3" t="inlineStr">
        <is>
          <t>P JB Cold Soldering</t>
        </is>
      </c>
      <c r="V2690" s="3" t="inlineStr">
        <is>
          <t>Soldering</t>
        </is>
      </c>
      <c r="W2690" s="3" t="inlineStr">
        <is>
          <t>Repair</t>
        </is>
      </c>
      <c r="X2690" s="18" t="n">
        <v>46174</v>
      </c>
      <c r="Y2690" s="3">
        <f>X2690-A2690</f>
        <v/>
      </c>
      <c r="Z2690" s="18" t="n">
        <v>46174</v>
      </c>
      <c r="AA2690" s="15" t="n"/>
      <c r="AB2690" s="15" t="n"/>
    </row>
    <row r="2691">
      <c r="A2691" s="59" t="n">
        <v>46148</v>
      </c>
      <c r="B2691" s="3" t="n">
        <v>2026</v>
      </c>
      <c r="C2691" s="21" t="inlineStr">
        <is>
          <t>Continuum</t>
        </is>
      </c>
      <c r="D2691" s="3" t="inlineStr">
        <is>
          <t>Utility and C&amp;I</t>
        </is>
      </c>
      <c r="E2691" s="3" t="n"/>
      <c r="F2691" s="3" t="inlineStr">
        <is>
          <t>Closed</t>
        </is>
      </c>
      <c r="G2691" s="21" t="inlineStr">
        <is>
          <t>Amiya Ranjan Behera</t>
        </is>
      </c>
      <c r="H2691" s="21" t="n">
        <v>8917436223</v>
      </c>
      <c r="I2691" s="38" t="inlineStr">
        <is>
          <t>PE06052602</t>
        </is>
      </c>
      <c r="J2691" s="21" t="inlineStr">
        <is>
          <t>Diode Bypass Module Issue</t>
        </is>
      </c>
      <c r="K2691" s="21" t="inlineStr">
        <is>
          <t>Bhavnagar</t>
        </is>
      </c>
      <c r="L2691" s="21" t="inlineStr">
        <is>
          <t>Gujarat</t>
        </is>
      </c>
      <c r="M2691" s="96" t="inlineStr">
        <is>
          <t>NS</t>
        </is>
      </c>
      <c r="N2691" s="26" t="inlineStr">
        <is>
          <t>Cold Soldering</t>
        </is>
      </c>
      <c r="O2691" s="60" t="n">
        <v>540</v>
      </c>
      <c r="P2691" s="96" t="inlineStr">
        <is>
          <t>NSMP2305124646</t>
        </is>
      </c>
      <c r="Q2691" s="53">
        <f>MID(P2691,5,2)</f>
        <v/>
      </c>
      <c r="R2691" s="53">
        <f>MID(P2691,7,2)</f>
        <v/>
      </c>
      <c r="S2691" s="3" t="inlineStr">
        <is>
          <t>G2B</t>
        </is>
      </c>
      <c r="T2691" s="3" t="inlineStr">
        <is>
          <t>P2</t>
        </is>
      </c>
      <c r="U2691" s="19" t="inlineStr">
        <is>
          <t>N JB Cold Soldering</t>
        </is>
      </c>
      <c r="V2691" s="19" t="inlineStr">
        <is>
          <t>Soldering</t>
        </is>
      </c>
      <c r="W2691" s="3" t="inlineStr">
        <is>
          <t>Repair</t>
        </is>
      </c>
      <c r="X2691" s="18" t="n">
        <v>46174</v>
      </c>
      <c r="Y2691" s="3">
        <f>X2691-A2691</f>
        <v/>
      </c>
      <c r="Z2691" s="18" t="n">
        <v>46174</v>
      </c>
      <c r="AA2691" s="15" t="n"/>
      <c r="AB2691" s="15" t="n"/>
    </row>
    <row r="2692">
      <c r="A2692" s="59" t="n">
        <v>46148</v>
      </c>
      <c r="B2692" s="3" t="n">
        <v>2026</v>
      </c>
      <c r="C2692" s="21" t="inlineStr">
        <is>
          <t>Continuum</t>
        </is>
      </c>
      <c r="D2692" s="3" t="inlineStr">
        <is>
          <t>Utility and C&amp;I</t>
        </is>
      </c>
      <c r="E2692" s="3" t="n"/>
      <c r="F2692" s="3" t="inlineStr">
        <is>
          <t>Closed</t>
        </is>
      </c>
      <c r="G2692" s="21" t="inlineStr">
        <is>
          <t>Amiya Ranjan Behera</t>
        </is>
      </c>
      <c r="H2692" s="21" t="n">
        <v>8917436223</v>
      </c>
      <c r="I2692" s="38" t="inlineStr">
        <is>
          <t>PE06052602</t>
        </is>
      </c>
      <c r="J2692" s="21" t="inlineStr">
        <is>
          <t>Diode Bypass Module Issue</t>
        </is>
      </c>
      <c r="K2692" s="21" t="inlineStr">
        <is>
          <t>Bhavnagar</t>
        </is>
      </c>
      <c r="L2692" s="21" t="inlineStr">
        <is>
          <t>Gujarat</t>
        </is>
      </c>
      <c r="M2692" s="96" t="inlineStr">
        <is>
          <t>PS</t>
        </is>
      </c>
      <c r="N2692" s="3" t="inlineStr">
        <is>
          <t>Cold Soldering</t>
        </is>
      </c>
      <c r="O2692" s="62" t="n">
        <v>540</v>
      </c>
      <c r="P2692" s="96" t="inlineStr">
        <is>
          <t>NSMP2305172932</t>
        </is>
      </c>
      <c r="Q2692" s="53">
        <f>MID(P2692,5,2)</f>
        <v/>
      </c>
      <c r="R2692" s="53">
        <f>MID(P2692,7,2)</f>
        <v/>
      </c>
      <c r="S2692" s="3" t="inlineStr">
        <is>
          <t>G2B</t>
        </is>
      </c>
      <c r="T2692" s="3" t="inlineStr">
        <is>
          <t>P2</t>
        </is>
      </c>
      <c r="U2692" s="3" t="inlineStr">
        <is>
          <t>P JB Cold Soldering</t>
        </is>
      </c>
      <c r="V2692" s="3" t="inlineStr">
        <is>
          <t>Soldering</t>
        </is>
      </c>
      <c r="W2692" s="3" t="inlineStr">
        <is>
          <t>Repair</t>
        </is>
      </c>
      <c r="X2692" s="18" t="n">
        <v>46174</v>
      </c>
      <c r="Y2692" s="3">
        <f>X2692-A2692</f>
        <v/>
      </c>
      <c r="Z2692" s="18" t="n">
        <v>46174</v>
      </c>
      <c r="AA2692" s="15" t="n"/>
      <c r="AB2692" s="15" t="n"/>
    </row>
    <row r="2693">
      <c r="A2693" s="59" t="n">
        <v>46148</v>
      </c>
      <c r="B2693" s="3" t="n">
        <v>2026</v>
      </c>
      <c r="C2693" s="21" t="inlineStr">
        <is>
          <t>Continuum</t>
        </is>
      </c>
      <c r="D2693" s="3" t="inlineStr">
        <is>
          <t>Utility and C&amp;I</t>
        </is>
      </c>
      <c r="E2693" s="3" t="n"/>
      <c r="F2693" s="3" t="inlineStr">
        <is>
          <t>Closed</t>
        </is>
      </c>
      <c r="G2693" s="21" t="inlineStr">
        <is>
          <t>Amiya Ranjan Behera</t>
        </is>
      </c>
      <c r="H2693" s="21" t="n">
        <v>8917436223</v>
      </c>
      <c r="I2693" s="38" t="inlineStr">
        <is>
          <t>PE06052602</t>
        </is>
      </c>
      <c r="J2693" s="21" t="inlineStr">
        <is>
          <t>Diode Bypass Module Issue</t>
        </is>
      </c>
      <c r="K2693" s="21" t="inlineStr">
        <is>
          <t>Bhavnagar</t>
        </is>
      </c>
      <c r="L2693" s="21" t="inlineStr">
        <is>
          <t>Gujarat</t>
        </is>
      </c>
      <c r="M2693" s="96" t="inlineStr">
        <is>
          <t>PS</t>
        </is>
      </c>
      <c r="N2693" s="3" t="inlineStr">
        <is>
          <t>Cold Soldering</t>
        </is>
      </c>
      <c r="O2693" s="62" t="n">
        <v>540</v>
      </c>
      <c r="P2693" s="96" t="inlineStr">
        <is>
          <t>NSMP2305172883</t>
        </is>
      </c>
      <c r="Q2693" s="53">
        <f>MID(P2693,5,2)</f>
        <v/>
      </c>
      <c r="R2693" s="53">
        <f>MID(P2693,7,2)</f>
        <v/>
      </c>
      <c r="S2693" s="3" t="inlineStr">
        <is>
          <t>G2B</t>
        </is>
      </c>
      <c r="T2693" s="3" t="inlineStr">
        <is>
          <t>P2</t>
        </is>
      </c>
      <c r="U2693" s="3" t="inlineStr">
        <is>
          <t>P JB Cold Soldering</t>
        </is>
      </c>
      <c r="V2693" s="3" t="inlineStr">
        <is>
          <t>Soldering</t>
        </is>
      </c>
      <c r="W2693" s="3" t="inlineStr">
        <is>
          <t>Repair</t>
        </is>
      </c>
      <c r="X2693" s="18" t="n">
        <v>46174</v>
      </c>
      <c r="Y2693" s="3">
        <f>X2693-A2693</f>
        <v/>
      </c>
      <c r="Z2693" s="18" t="n">
        <v>46174</v>
      </c>
      <c r="AA2693" s="15" t="n"/>
      <c r="AB2693" s="15" t="n"/>
    </row>
    <row r="2694">
      <c r="A2694" s="59" t="n">
        <v>46148</v>
      </c>
      <c r="B2694" s="3" t="n">
        <v>2026</v>
      </c>
      <c r="C2694" s="21" t="inlineStr">
        <is>
          <t>Continuum</t>
        </is>
      </c>
      <c r="D2694" s="3" t="inlineStr">
        <is>
          <t>Utility and C&amp;I</t>
        </is>
      </c>
      <c r="E2694" s="3" t="n"/>
      <c r="F2694" s="3" t="inlineStr">
        <is>
          <t>Closed</t>
        </is>
      </c>
      <c r="G2694" s="21" t="inlineStr">
        <is>
          <t>Amiya Ranjan Behera</t>
        </is>
      </c>
      <c r="H2694" s="21" t="n">
        <v>8917436223</v>
      </c>
      <c r="I2694" s="38" t="inlineStr">
        <is>
          <t>PE06052602</t>
        </is>
      </c>
      <c r="J2694" s="21" t="inlineStr">
        <is>
          <t>Diode Bypass Module Issue</t>
        </is>
      </c>
      <c r="K2694" s="21" t="inlineStr">
        <is>
          <t>Bhavnagar</t>
        </is>
      </c>
      <c r="L2694" s="21" t="inlineStr">
        <is>
          <t>Gujarat</t>
        </is>
      </c>
      <c r="M2694" s="96" t="inlineStr">
        <is>
          <t>PS</t>
        </is>
      </c>
      <c r="N2694" s="3" t="inlineStr">
        <is>
          <t>Cold Soldering</t>
        </is>
      </c>
      <c r="O2694" s="62" t="n">
        <v>540</v>
      </c>
      <c r="P2694" s="96" t="inlineStr">
        <is>
          <t>NSMP2305182499</t>
        </is>
      </c>
      <c r="Q2694" s="53">
        <f>MID(P2694,5,2)</f>
        <v/>
      </c>
      <c r="R2694" s="53">
        <f>MID(P2694,7,2)</f>
        <v/>
      </c>
      <c r="S2694" s="3" t="inlineStr">
        <is>
          <t>G2B</t>
        </is>
      </c>
      <c r="T2694" s="3" t="inlineStr">
        <is>
          <t>P2</t>
        </is>
      </c>
      <c r="U2694" s="3" t="inlineStr">
        <is>
          <t>P JB Cold Soldering</t>
        </is>
      </c>
      <c r="V2694" s="3" t="inlineStr">
        <is>
          <t>Soldering</t>
        </is>
      </c>
      <c r="W2694" s="3" t="inlineStr">
        <is>
          <t>Repair</t>
        </is>
      </c>
      <c r="X2694" s="18" t="n">
        <v>46174</v>
      </c>
      <c r="Y2694" s="3">
        <f>X2694-A2694</f>
        <v/>
      </c>
      <c r="Z2694" s="18" t="n">
        <v>46174</v>
      </c>
      <c r="AA2694" s="15" t="n"/>
      <c r="AB2694" s="15" t="n"/>
    </row>
    <row r="2695">
      <c r="A2695" s="59" t="n">
        <v>46148</v>
      </c>
      <c r="B2695" s="3" t="n">
        <v>2026</v>
      </c>
      <c r="C2695" s="21" t="inlineStr">
        <is>
          <t>Continuum</t>
        </is>
      </c>
      <c r="D2695" s="3" t="inlineStr">
        <is>
          <t>Utility and C&amp;I</t>
        </is>
      </c>
      <c r="E2695" s="3" t="n"/>
      <c r="F2695" s="3" t="inlineStr">
        <is>
          <t>Closed</t>
        </is>
      </c>
      <c r="G2695" s="21" t="inlineStr">
        <is>
          <t>Amiya Ranjan Behera</t>
        </is>
      </c>
      <c r="H2695" s="21" t="n">
        <v>8917436223</v>
      </c>
      <c r="I2695" s="38" t="inlineStr">
        <is>
          <t>PE06052602</t>
        </is>
      </c>
      <c r="J2695" s="21" t="inlineStr">
        <is>
          <t>Diode Bypass Module Issue</t>
        </is>
      </c>
      <c r="K2695" s="21" t="inlineStr">
        <is>
          <t>Bhavnagar</t>
        </is>
      </c>
      <c r="L2695" s="21" t="inlineStr">
        <is>
          <t>Gujarat</t>
        </is>
      </c>
      <c r="M2695" s="96" t="inlineStr">
        <is>
          <t>PR</t>
        </is>
      </c>
      <c r="N2695" s="3" t="inlineStr">
        <is>
          <t>JB Issue</t>
        </is>
      </c>
      <c r="O2695" s="62" t="n">
        <v>540</v>
      </c>
      <c r="P2695" s="96" t="inlineStr">
        <is>
          <t>NSMP2305132848</t>
        </is>
      </c>
      <c r="Q2695" s="53">
        <f>MID(P2695,5,2)</f>
        <v/>
      </c>
      <c r="R2695" s="53">
        <f>MID(P2695,7,2)</f>
        <v/>
      </c>
      <c r="S2695" s="3" t="inlineStr">
        <is>
          <t>G2B</t>
        </is>
      </c>
      <c r="T2695" s="3" t="inlineStr">
        <is>
          <t>P2</t>
        </is>
      </c>
      <c r="U2695" s="3" t="inlineStr">
        <is>
          <t>P JB Issue</t>
        </is>
      </c>
      <c r="V2695" s="15" t="inlineStr">
        <is>
          <t>JB Changed</t>
        </is>
      </c>
      <c r="W2695" s="3" t="inlineStr">
        <is>
          <t>Repair</t>
        </is>
      </c>
      <c r="X2695" s="18" t="n">
        <v>46174</v>
      </c>
      <c r="Y2695" s="3">
        <f>X2695-A2695</f>
        <v/>
      </c>
      <c r="Z2695" s="18" t="n">
        <v>46174</v>
      </c>
      <c r="AA2695" s="15" t="n"/>
      <c r="AB2695" s="15" t="n"/>
    </row>
    <row r="2696">
      <c r="A2696" s="59" t="n">
        <v>46148</v>
      </c>
      <c r="B2696" s="3" t="n">
        <v>2026</v>
      </c>
      <c r="C2696" s="21" t="inlineStr">
        <is>
          <t>Continuum</t>
        </is>
      </c>
      <c r="D2696" s="3" t="inlineStr">
        <is>
          <t>Utility and C&amp;I</t>
        </is>
      </c>
      <c r="E2696" s="3" t="n"/>
      <c r="F2696" s="3" t="inlineStr">
        <is>
          <t>Closed</t>
        </is>
      </c>
      <c r="G2696" s="21" t="inlineStr">
        <is>
          <t>Amiya Ranjan Behera</t>
        </is>
      </c>
      <c r="H2696" s="21" t="n">
        <v>8917436223</v>
      </c>
      <c r="I2696" s="38" t="inlineStr">
        <is>
          <t>PE06052602</t>
        </is>
      </c>
      <c r="J2696" s="21" t="inlineStr">
        <is>
          <t>Diode Bypass Module Issue</t>
        </is>
      </c>
      <c r="K2696" s="21" t="inlineStr">
        <is>
          <t>Bhavnagar</t>
        </is>
      </c>
      <c r="L2696" s="21" t="inlineStr">
        <is>
          <t>Gujarat</t>
        </is>
      </c>
      <c r="M2696" s="96" t="inlineStr">
        <is>
          <t>PS</t>
        </is>
      </c>
      <c r="N2696" s="3" t="inlineStr">
        <is>
          <t>Cold Soldering</t>
        </is>
      </c>
      <c r="O2696" s="62" t="n">
        <v>540</v>
      </c>
      <c r="P2696" s="96" t="inlineStr">
        <is>
          <t>NSMP2305172928</t>
        </is>
      </c>
      <c r="Q2696" s="53">
        <f>MID(P2696,5,2)</f>
        <v/>
      </c>
      <c r="R2696" s="53">
        <f>MID(P2696,7,2)</f>
        <v/>
      </c>
      <c r="S2696" s="3" t="inlineStr">
        <is>
          <t>G2B</t>
        </is>
      </c>
      <c r="T2696" s="3" t="inlineStr">
        <is>
          <t>P2</t>
        </is>
      </c>
      <c r="U2696" s="3" t="inlineStr">
        <is>
          <t>P JB Cold Soldering</t>
        </is>
      </c>
      <c r="V2696" s="3" t="inlineStr">
        <is>
          <t>Soldering</t>
        </is>
      </c>
      <c r="W2696" s="3" t="inlineStr">
        <is>
          <t>Repair</t>
        </is>
      </c>
      <c r="X2696" s="18" t="n">
        <v>46174</v>
      </c>
      <c r="Y2696" s="3">
        <f>X2696-A2696</f>
        <v/>
      </c>
      <c r="Z2696" s="18" t="n">
        <v>46174</v>
      </c>
      <c r="AA2696" s="15" t="n"/>
      <c r="AB2696" s="15" t="n"/>
    </row>
    <row r="2697">
      <c r="A2697" s="59" t="n">
        <v>46148</v>
      </c>
      <c r="B2697" s="3" t="n">
        <v>2026</v>
      </c>
      <c r="C2697" s="21" t="inlineStr">
        <is>
          <t>Continuum</t>
        </is>
      </c>
      <c r="D2697" s="3" t="inlineStr">
        <is>
          <t>Utility and C&amp;I</t>
        </is>
      </c>
      <c r="E2697" s="3" t="n"/>
      <c r="F2697" s="3" t="inlineStr">
        <is>
          <t>Closed</t>
        </is>
      </c>
      <c r="G2697" s="21" t="inlineStr">
        <is>
          <t>Amiya Ranjan Behera</t>
        </is>
      </c>
      <c r="H2697" s="21" t="n">
        <v>8917436223</v>
      </c>
      <c r="I2697" s="38" t="inlineStr">
        <is>
          <t>PE06052602</t>
        </is>
      </c>
      <c r="J2697" s="21" t="inlineStr">
        <is>
          <t>Diode Bypass Module Issue</t>
        </is>
      </c>
      <c r="K2697" s="21" t="inlineStr">
        <is>
          <t>Bhavnagar</t>
        </is>
      </c>
      <c r="L2697" s="21" t="inlineStr">
        <is>
          <t>Gujarat</t>
        </is>
      </c>
      <c r="M2697" s="96" t="inlineStr">
        <is>
          <t>PS</t>
        </is>
      </c>
      <c r="N2697" s="3" t="inlineStr">
        <is>
          <t>Cold Soldering</t>
        </is>
      </c>
      <c r="O2697" s="62" t="n">
        <v>540</v>
      </c>
      <c r="P2697" s="96" t="inlineStr">
        <is>
          <t>NSMP2305133535</t>
        </is>
      </c>
      <c r="Q2697" s="53">
        <f>MID(P2697,5,2)</f>
        <v/>
      </c>
      <c r="R2697" s="53">
        <f>MID(P2697,7,2)</f>
        <v/>
      </c>
      <c r="S2697" s="3" t="inlineStr">
        <is>
          <t>G2B</t>
        </is>
      </c>
      <c r="T2697" s="3" t="inlineStr">
        <is>
          <t>P2</t>
        </is>
      </c>
      <c r="U2697" s="3" t="inlineStr">
        <is>
          <t>P JB Cold Soldering</t>
        </is>
      </c>
      <c r="V2697" s="3" t="inlineStr">
        <is>
          <t>Soldering</t>
        </is>
      </c>
      <c r="W2697" s="3" t="inlineStr">
        <is>
          <t>Repair</t>
        </is>
      </c>
      <c r="X2697" s="18" t="n">
        <v>46174</v>
      </c>
      <c r="Y2697" s="3">
        <f>X2697-A2697</f>
        <v/>
      </c>
      <c r="Z2697" s="18" t="n">
        <v>46174</v>
      </c>
      <c r="AA2697" s="15" t="n"/>
      <c r="AB2697" s="15" t="n"/>
    </row>
    <row r="2698">
      <c r="A2698" s="59" t="n">
        <v>46148</v>
      </c>
      <c r="B2698" s="3" t="n">
        <v>2026</v>
      </c>
      <c r="C2698" s="21" t="inlineStr">
        <is>
          <t>Continuum</t>
        </is>
      </c>
      <c r="D2698" s="3" t="inlineStr">
        <is>
          <t>Utility and C&amp;I</t>
        </is>
      </c>
      <c r="E2698" s="3" t="n"/>
      <c r="F2698" s="3" t="inlineStr">
        <is>
          <t>Closed</t>
        </is>
      </c>
      <c r="G2698" s="21" t="inlineStr">
        <is>
          <t>Amiya Ranjan Behera</t>
        </is>
      </c>
      <c r="H2698" s="21" t="n">
        <v>8917436223</v>
      </c>
      <c r="I2698" s="38" t="inlineStr">
        <is>
          <t>PE06052602</t>
        </is>
      </c>
      <c r="J2698" s="21" t="inlineStr">
        <is>
          <t>Diode Bypass Module Issue</t>
        </is>
      </c>
      <c r="K2698" s="21" t="inlineStr">
        <is>
          <t>Bhavnagar</t>
        </is>
      </c>
      <c r="L2698" s="21" t="inlineStr">
        <is>
          <t>Gujarat</t>
        </is>
      </c>
      <c r="M2698" s="96" t="inlineStr">
        <is>
          <t>PS</t>
        </is>
      </c>
      <c r="N2698" s="3" t="inlineStr">
        <is>
          <t>Cold Soldering</t>
        </is>
      </c>
      <c r="O2698" s="62" t="n">
        <v>540</v>
      </c>
      <c r="P2698" s="96" t="inlineStr">
        <is>
          <t>NSMP2305133542</t>
        </is>
      </c>
      <c r="Q2698" s="53">
        <f>MID(P2698,5,2)</f>
        <v/>
      </c>
      <c r="R2698" s="53">
        <f>MID(P2698,7,2)</f>
        <v/>
      </c>
      <c r="S2698" s="3" t="inlineStr">
        <is>
          <t>G2B</t>
        </is>
      </c>
      <c r="T2698" s="3" t="inlineStr">
        <is>
          <t>P2</t>
        </is>
      </c>
      <c r="U2698" s="3" t="inlineStr">
        <is>
          <t>P JB Cold Soldering</t>
        </is>
      </c>
      <c r="V2698" s="3" t="inlineStr">
        <is>
          <t>Soldering</t>
        </is>
      </c>
      <c r="W2698" s="3" t="inlineStr">
        <is>
          <t>Repair</t>
        </is>
      </c>
      <c r="X2698" s="18" t="n">
        <v>46174</v>
      </c>
      <c r="Y2698" s="3">
        <f>X2698-A2698</f>
        <v/>
      </c>
      <c r="Z2698" s="18" t="n">
        <v>46174</v>
      </c>
      <c r="AA2698" s="15" t="n"/>
      <c r="AB2698" s="15" t="n"/>
    </row>
    <row r="2699">
      <c r="A2699" s="59" t="n">
        <v>46148</v>
      </c>
      <c r="B2699" s="3" t="n">
        <v>2026</v>
      </c>
      <c r="C2699" s="21" t="inlineStr">
        <is>
          <t>Continuum</t>
        </is>
      </c>
      <c r="D2699" s="3" t="inlineStr">
        <is>
          <t>Utility and C&amp;I</t>
        </is>
      </c>
      <c r="E2699" s="3" t="n"/>
      <c r="F2699" s="3" t="inlineStr">
        <is>
          <t>Closed</t>
        </is>
      </c>
      <c r="G2699" s="21" t="inlineStr">
        <is>
          <t>Amiya Ranjan Behera</t>
        </is>
      </c>
      <c r="H2699" s="21" t="n">
        <v>8917436223</v>
      </c>
      <c r="I2699" s="38" t="inlineStr">
        <is>
          <t>PE06052602</t>
        </is>
      </c>
      <c r="J2699" s="21" t="inlineStr">
        <is>
          <t>Diode Bypass Module Issue</t>
        </is>
      </c>
      <c r="K2699" s="21" t="inlineStr">
        <is>
          <t>Bhavnagar</t>
        </is>
      </c>
      <c r="L2699" s="21" t="inlineStr">
        <is>
          <t>Gujarat</t>
        </is>
      </c>
      <c r="M2699" s="96" t="inlineStr">
        <is>
          <t>PS</t>
        </is>
      </c>
      <c r="N2699" s="3" t="inlineStr">
        <is>
          <t>Cold Soldering</t>
        </is>
      </c>
      <c r="O2699" s="62" t="n">
        <v>540</v>
      </c>
      <c r="P2699" s="96" t="inlineStr">
        <is>
          <t>NSMP2305133559</t>
        </is>
      </c>
      <c r="Q2699" s="53">
        <f>MID(P2699,5,2)</f>
        <v/>
      </c>
      <c r="R2699" s="53">
        <f>MID(P2699,7,2)</f>
        <v/>
      </c>
      <c r="S2699" s="3" t="inlineStr">
        <is>
          <t>G2B</t>
        </is>
      </c>
      <c r="T2699" s="3" t="inlineStr">
        <is>
          <t>P2</t>
        </is>
      </c>
      <c r="U2699" s="3" t="inlineStr">
        <is>
          <t>P JB Cold Soldering</t>
        </is>
      </c>
      <c r="V2699" s="3" t="inlineStr">
        <is>
          <t>Soldering</t>
        </is>
      </c>
      <c r="W2699" s="3" t="inlineStr">
        <is>
          <t>Repair</t>
        </is>
      </c>
      <c r="X2699" s="18" t="n">
        <v>46174</v>
      </c>
      <c r="Y2699" s="3">
        <f>X2699-A2699</f>
        <v/>
      </c>
      <c r="Z2699" s="18" t="n">
        <v>46174</v>
      </c>
      <c r="AA2699" s="15" t="n"/>
      <c r="AB2699" s="15" t="n"/>
    </row>
    <row r="2700">
      <c r="A2700" s="59" t="n">
        <v>46148</v>
      </c>
      <c r="B2700" s="3" t="n">
        <v>2026</v>
      </c>
      <c r="C2700" s="21" t="inlineStr">
        <is>
          <t>Continuum</t>
        </is>
      </c>
      <c r="D2700" s="3" t="inlineStr">
        <is>
          <t>Utility and C&amp;I</t>
        </is>
      </c>
      <c r="E2700" s="3" t="n"/>
      <c r="F2700" s="3" t="inlineStr">
        <is>
          <t>Closed</t>
        </is>
      </c>
      <c r="G2700" s="21" t="inlineStr">
        <is>
          <t>Amiya Ranjan Behera</t>
        </is>
      </c>
      <c r="H2700" s="21" t="n">
        <v>8917436223</v>
      </c>
      <c r="I2700" s="38" t="inlineStr">
        <is>
          <t>PE06052602</t>
        </is>
      </c>
      <c r="J2700" s="21" t="inlineStr">
        <is>
          <t>Diode Bypass Module Issue</t>
        </is>
      </c>
      <c r="K2700" s="21" t="inlineStr">
        <is>
          <t>Bhavnagar</t>
        </is>
      </c>
      <c r="L2700" s="21" t="inlineStr">
        <is>
          <t>Gujarat</t>
        </is>
      </c>
      <c r="M2700" s="96" t="inlineStr">
        <is>
          <t>PR</t>
        </is>
      </c>
      <c r="N2700" s="3" t="inlineStr">
        <is>
          <t>JB Issue</t>
        </is>
      </c>
      <c r="O2700" s="62" t="n">
        <v>540</v>
      </c>
      <c r="P2700" s="96" t="inlineStr">
        <is>
          <t>NSMP2304067086</t>
        </is>
      </c>
      <c r="Q2700" s="53">
        <f>MID(P2700,5,2)</f>
        <v/>
      </c>
      <c r="R2700" s="53">
        <f>MID(P2700,7,2)</f>
        <v/>
      </c>
      <c r="S2700" s="3" t="inlineStr">
        <is>
          <t>G2B</t>
        </is>
      </c>
      <c r="T2700" s="3" t="inlineStr">
        <is>
          <t>P2</t>
        </is>
      </c>
      <c r="U2700" s="3" t="inlineStr">
        <is>
          <t>P JB Issue</t>
        </is>
      </c>
      <c r="V2700" s="15" t="inlineStr">
        <is>
          <t>JB Changed</t>
        </is>
      </c>
      <c r="W2700" s="3" t="inlineStr">
        <is>
          <t>Repair</t>
        </is>
      </c>
      <c r="X2700" s="18" t="n">
        <v>46174</v>
      </c>
      <c r="Y2700" s="3">
        <f>X2700-A2700</f>
        <v/>
      </c>
      <c r="Z2700" s="18" t="n">
        <v>46174</v>
      </c>
      <c r="AA2700" s="15" t="n"/>
      <c r="AB2700" s="15" t="n"/>
    </row>
    <row r="2701">
      <c r="A2701" s="59" t="n">
        <v>46148</v>
      </c>
      <c r="B2701" s="3" t="n">
        <v>2026</v>
      </c>
      <c r="C2701" s="21" t="inlineStr">
        <is>
          <t>Continuum</t>
        </is>
      </c>
      <c r="D2701" s="3" t="inlineStr">
        <is>
          <t>Utility and C&amp;I</t>
        </is>
      </c>
      <c r="E2701" s="3" t="n"/>
      <c r="F2701" s="3" t="inlineStr">
        <is>
          <t>Closed</t>
        </is>
      </c>
      <c r="G2701" s="21" t="inlineStr">
        <is>
          <t>Amiya Ranjan Behera</t>
        </is>
      </c>
      <c r="H2701" s="21" t="n">
        <v>8917436223</v>
      </c>
      <c r="I2701" s="38" t="inlineStr">
        <is>
          <t>PE06052602</t>
        </is>
      </c>
      <c r="J2701" s="21" t="inlineStr">
        <is>
          <t>Diode Bypass Module Issue</t>
        </is>
      </c>
      <c r="K2701" s="21" t="inlineStr">
        <is>
          <t>Bhavnagar</t>
        </is>
      </c>
      <c r="L2701" s="21" t="inlineStr">
        <is>
          <t>Gujarat</t>
        </is>
      </c>
      <c r="M2701" s="96" t="inlineStr">
        <is>
          <t>PR</t>
        </is>
      </c>
      <c r="N2701" s="3" t="inlineStr">
        <is>
          <t>JB Issue</t>
        </is>
      </c>
      <c r="O2701" s="62" t="n">
        <v>540</v>
      </c>
      <c r="P2701" s="96" t="inlineStr">
        <is>
          <t>NSMP2305132895</t>
        </is>
      </c>
      <c r="Q2701" s="53">
        <f>MID(P2701,5,2)</f>
        <v/>
      </c>
      <c r="R2701" s="53">
        <f>MID(P2701,7,2)</f>
        <v/>
      </c>
      <c r="S2701" s="3" t="inlineStr">
        <is>
          <t>G2B</t>
        </is>
      </c>
      <c r="T2701" s="3" t="inlineStr">
        <is>
          <t>P2</t>
        </is>
      </c>
      <c r="U2701" s="3" t="inlineStr">
        <is>
          <t>P JB Issue</t>
        </is>
      </c>
      <c r="V2701" s="15" t="inlineStr">
        <is>
          <t>JB Changed</t>
        </is>
      </c>
      <c r="W2701" s="3" t="inlineStr">
        <is>
          <t>Repair</t>
        </is>
      </c>
      <c r="X2701" s="18" t="n">
        <v>46174</v>
      </c>
      <c r="Y2701" s="3">
        <f>X2701-A2701</f>
        <v/>
      </c>
      <c r="Z2701" s="18" t="n">
        <v>46174</v>
      </c>
      <c r="AA2701" s="15" t="n"/>
      <c r="AB2701" s="15" t="n"/>
    </row>
    <row r="2702">
      <c r="A2702" s="59" t="n">
        <v>46148</v>
      </c>
      <c r="B2702" s="3" t="n">
        <v>2026</v>
      </c>
      <c r="C2702" s="21" t="inlineStr">
        <is>
          <t>Continuum</t>
        </is>
      </c>
      <c r="D2702" s="3" t="inlineStr">
        <is>
          <t>Utility and C&amp;I</t>
        </is>
      </c>
      <c r="E2702" s="3" t="n"/>
      <c r="F2702" s="3" t="inlineStr">
        <is>
          <t>Closed</t>
        </is>
      </c>
      <c r="G2702" s="21" t="inlineStr">
        <is>
          <t>Amiya Ranjan Behera</t>
        </is>
      </c>
      <c r="H2702" s="21" t="n">
        <v>8917436223</v>
      </c>
      <c r="I2702" s="38" t="inlineStr">
        <is>
          <t>PE06052602</t>
        </is>
      </c>
      <c r="J2702" s="21" t="inlineStr">
        <is>
          <t>Diode Bypass Module Issue</t>
        </is>
      </c>
      <c r="K2702" s="21" t="inlineStr">
        <is>
          <t>Bhavnagar</t>
        </is>
      </c>
      <c r="L2702" s="21" t="inlineStr">
        <is>
          <t>Gujarat</t>
        </is>
      </c>
      <c r="M2702" s="96" t="inlineStr">
        <is>
          <t>PR</t>
        </is>
      </c>
      <c r="N2702" s="3" t="inlineStr">
        <is>
          <t>JB Issue</t>
        </is>
      </c>
      <c r="O2702" s="62" t="n">
        <v>540</v>
      </c>
      <c r="P2702" s="96" t="inlineStr">
        <is>
          <t>NSMP2304068770</t>
        </is>
      </c>
      <c r="Q2702" s="53">
        <f>MID(P2702,5,2)</f>
        <v/>
      </c>
      <c r="R2702" s="53">
        <f>MID(P2702,7,2)</f>
        <v/>
      </c>
      <c r="S2702" s="3" t="inlineStr">
        <is>
          <t>G2B</t>
        </is>
      </c>
      <c r="T2702" s="3" t="inlineStr">
        <is>
          <t>P2</t>
        </is>
      </c>
      <c r="U2702" s="3" t="inlineStr">
        <is>
          <t>P JB Issue</t>
        </is>
      </c>
      <c r="V2702" s="15" t="inlineStr">
        <is>
          <t>JB Changed</t>
        </is>
      </c>
      <c r="W2702" s="3" t="inlineStr">
        <is>
          <t>Repair</t>
        </is>
      </c>
      <c r="X2702" s="18" t="n">
        <v>46174</v>
      </c>
      <c r="Y2702" s="3">
        <f>X2702-A2702</f>
        <v/>
      </c>
      <c r="Z2702" s="18" t="n">
        <v>46174</v>
      </c>
      <c r="AA2702" s="15" t="n"/>
      <c r="AB2702" s="15" t="n"/>
    </row>
    <row r="2703">
      <c r="A2703" s="59" t="n">
        <v>46148</v>
      </c>
      <c r="B2703" s="3" t="n">
        <v>2026</v>
      </c>
      <c r="C2703" s="21" t="inlineStr">
        <is>
          <t>Continuum</t>
        </is>
      </c>
      <c r="D2703" s="3" t="inlineStr">
        <is>
          <t>Utility and C&amp;I</t>
        </is>
      </c>
      <c r="E2703" s="3" t="n"/>
      <c r="F2703" s="3" t="inlineStr">
        <is>
          <t>Closed</t>
        </is>
      </c>
      <c r="G2703" s="21" t="inlineStr">
        <is>
          <t>Amiya Ranjan Behera</t>
        </is>
      </c>
      <c r="H2703" s="21" t="n">
        <v>8917436223</v>
      </c>
      <c r="I2703" s="38" t="inlineStr">
        <is>
          <t>PE06052602</t>
        </is>
      </c>
      <c r="J2703" s="21" t="inlineStr">
        <is>
          <t>Diode Bypass Module Issue</t>
        </is>
      </c>
      <c r="K2703" s="21" t="inlineStr">
        <is>
          <t>Bhavnagar</t>
        </is>
      </c>
      <c r="L2703" s="21" t="inlineStr">
        <is>
          <t>Gujarat</t>
        </is>
      </c>
      <c r="M2703" s="96" t="inlineStr">
        <is>
          <t>PS</t>
        </is>
      </c>
      <c r="N2703" s="3" t="inlineStr">
        <is>
          <t>Cold Soldering</t>
        </is>
      </c>
      <c r="O2703" s="62" t="n">
        <v>540</v>
      </c>
      <c r="P2703" s="96" t="inlineStr">
        <is>
          <t>NSMP2304068769</t>
        </is>
      </c>
      <c r="Q2703" s="53">
        <f>MID(P2703,5,2)</f>
        <v/>
      </c>
      <c r="R2703" s="53">
        <f>MID(P2703,7,2)</f>
        <v/>
      </c>
      <c r="S2703" s="3" t="inlineStr">
        <is>
          <t>G2B</t>
        </is>
      </c>
      <c r="T2703" s="3" t="inlineStr">
        <is>
          <t>P2</t>
        </is>
      </c>
      <c r="U2703" s="3" t="inlineStr">
        <is>
          <t>P JB Cold Soldering</t>
        </is>
      </c>
      <c r="V2703" s="3" t="inlineStr">
        <is>
          <t>Soldering</t>
        </is>
      </c>
      <c r="W2703" s="3" t="inlineStr">
        <is>
          <t>Repair</t>
        </is>
      </c>
      <c r="X2703" s="18" t="n">
        <v>46174</v>
      </c>
      <c r="Y2703" s="3">
        <f>X2703-A2703</f>
        <v/>
      </c>
      <c r="Z2703" s="18" t="n">
        <v>46174</v>
      </c>
      <c r="AA2703" s="15" t="n"/>
      <c r="AB2703" s="15" t="n"/>
    </row>
    <row r="2704">
      <c r="A2704" s="59" t="n">
        <v>46148</v>
      </c>
      <c r="B2704" s="3" t="n">
        <v>2026</v>
      </c>
      <c r="C2704" s="21" t="inlineStr">
        <is>
          <t>Continuum</t>
        </is>
      </c>
      <c r="D2704" s="3" t="inlineStr">
        <is>
          <t>Utility and C&amp;I</t>
        </is>
      </c>
      <c r="E2704" s="3" t="n"/>
      <c r="F2704" s="3" t="inlineStr">
        <is>
          <t>Closed</t>
        </is>
      </c>
      <c r="G2704" s="21" t="inlineStr">
        <is>
          <t>Amiya Ranjan Behera</t>
        </is>
      </c>
      <c r="H2704" s="21" t="n">
        <v>8917436223</v>
      </c>
      <c r="I2704" s="38" t="inlineStr">
        <is>
          <t>PE06052602</t>
        </is>
      </c>
      <c r="J2704" s="21" t="inlineStr">
        <is>
          <t>Diode Bypass Module Issue</t>
        </is>
      </c>
      <c r="K2704" s="21" t="inlineStr">
        <is>
          <t>Bhavnagar</t>
        </is>
      </c>
      <c r="L2704" s="21" t="inlineStr">
        <is>
          <t>Gujarat</t>
        </is>
      </c>
      <c r="M2704" s="96" t="inlineStr">
        <is>
          <t>PS</t>
        </is>
      </c>
      <c r="N2704" s="3" t="inlineStr">
        <is>
          <t>Cold Soldering</t>
        </is>
      </c>
      <c r="O2704" s="62" t="n">
        <v>540</v>
      </c>
      <c r="P2704" s="96" t="inlineStr">
        <is>
          <t>NSMP2305132901</t>
        </is>
      </c>
      <c r="Q2704" s="53">
        <f>MID(P2704,5,2)</f>
        <v/>
      </c>
      <c r="R2704" s="53">
        <f>MID(P2704,7,2)</f>
        <v/>
      </c>
      <c r="S2704" s="3" t="inlineStr">
        <is>
          <t>G2B</t>
        </is>
      </c>
      <c r="T2704" s="3" t="inlineStr">
        <is>
          <t>P2</t>
        </is>
      </c>
      <c r="U2704" s="3" t="inlineStr">
        <is>
          <t>P JB Cold Soldering</t>
        </is>
      </c>
      <c r="V2704" s="3" t="inlineStr">
        <is>
          <t>Soldering</t>
        </is>
      </c>
      <c r="W2704" s="3" t="inlineStr">
        <is>
          <t>Repair</t>
        </is>
      </c>
      <c r="X2704" s="18" t="n">
        <v>46174</v>
      </c>
      <c r="Y2704" s="3">
        <f>X2704-A2704</f>
        <v/>
      </c>
      <c r="Z2704" s="18" t="n">
        <v>46174</v>
      </c>
      <c r="AA2704" s="15" t="n"/>
      <c r="AB2704" s="15" t="n"/>
    </row>
    <row r="2705">
      <c r="A2705" s="59" t="n">
        <v>46148</v>
      </c>
      <c r="B2705" s="3" t="n">
        <v>2026</v>
      </c>
      <c r="C2705" s="21" t="inlineStr">
        <is>
          <t>Continuum</t>
        </is>
      </c>
      <c r="D2705" s="3" t="inlineStr">
        <is>
          <t>Utility and C&amp;I</t>
        </is>
      </c>
      <c r="E2705" s="3" t="n"/>
      <c r="F2705" s="3" t="inlineStr">
        <is>
          <t>Closed</t>
        </is>
      </c>
      <c r="G2705" s="21" t="inlineStr">
        <is>
          <t>Amiya Ranjan Behera</t>
        </is>
      </c>
      <c r="H2705" s="21" t="n">
        <v>8917436223</v>
      </c>
      <c r="I2705" s="38" t="inlineStr">
        <is>
          <t>PE06052602</t>
        </is>
      </c>
      <c r="J2705" s="21" t="inlineStr">
        <is>
          <t>Diode Bypass Module Issue</t>
        </is>
      </c>
      <c r="K2705" s="21" t="inlineStr">
        <is>
          <t>Bhavnagar</t>
        </is>
      </c>
      <c r="L2705" s="21" t="inlineStr">
        <is>
          <t>Gujarat</t>
        </is>
      </c>
      <c r="M2705" s="96" t="inlineStr">
        <is>
          <t>PS</t>
        </is>
      </c>
      <c r="N2705" s="3" t="inlineStr">
        <is>
          <t>Cold Soldering</t>
        </is>
      </c>
      <c r="O2705" s="62" t="n">
        <v>540</v>
      </c>
      <c r="P2705" s="96" t="inlineStr">
        <is>
          <t>NSMP2305132732</t>
        </is>
      </c>
      <c r="Q2705" s="53">
        <f>MID(P2705,5,2)</f>
        <v/>
      </c>
      <c r="R2705" s="53">
        <f>MID(P2705,7,2)</f>
        <v/>
      </c>
      <c r="S2705" s="3" t="inlineStr">
        <is>
          <t>G2B</t>
        </is>
      </c>
      <c r="T2705" s="3" t="inlineStr">
        <is>
          <t>P2</t>
        </is>
      </c>
      <c r="U2705" s="3" t="inlineStr">
        <is>
          <t>P JB Cold Soldering</t>
        </is>
      </c>
      <c r="V2705" s="3" t="inlineStr">
        <is>
          <t>Soldering</t>
        </is>
      </c>
      <c r="W2705" s="3" t="inlineStr">
        <is>
          <t>Repair</t>
        </is>
      </c>
      <c r="X2705" s="18" t="n">
        <v>46174</v>
      </c>
      <c r="Y2705" s="3">
        <f>X2705-A2705</f>
        <v/>
      </c>
      <c r="Z2705" s="18" t="n">
        <v>46174</v>
      </c>
      <c r="AA2705" s="15" t="n"/>
      <c r="AB2705" s="15" t="n"/>
    </row>
    <row r="2706">
      <c r="A2706" s="59" t="n">
        <v>46148</v>
      </c>
      <c r="B2706" s="3" t="n">
        <v>2026</v>
      </c>
      <c r="C2706" s="21" t="inlineStr">
        <is>
          <t>Continuum</t>
        </is>
      </c>
      <c r="D2706" s="3" t="inlineStr">
        <is>
          <t>Utility and C&amp;I</t>
        </is>
      </c>
      <c r="E2706" s="3" t="n"/>
      <c r="F2706" s="3" t="inlineStr">
        <is>
          <t>Closed</t>
        </is>
      </c>
      <c r="G2706" s="21" t="inlineStr">
        <is>
          <t>Amiya Ranjan Behera</t>
        </is>
      </c>
      <c r="H2706" s="21" t="n">
        <v>8917436223</v>
      </c>
      <c r="I2706" s="38" t="inlineStr">
        <is>
          <t>PE06052602</t>
        </is>
      </c>
      <c r="J2706" s="21" t="inlineStr">
        <is>
          <t>Diode Bypass Module Issue</t>
        </is>
      </c>
      <c r="K2706" s="21" t="inlineStr">
        <is>
          <t>Bhavnagar</t>
        </is>
      </c>
      <c r="L2706" s="21" t="inlineStr">
        <is>
          <t>Gujarat</t>
        </is>
      </c>
      <c r="M2706" s="96" t="inlineStr">
        <is>
          <t>PS</t>
        </is>
      </c>
      <c r="N2706" s="3" t="inlineStr">
        <is>
          <t>Cold Soldering</t>
        </is>
      </c>
      <c r="O2706" s="62" t="n">
        <v>540</v>
      </c>
      <c r="P2706" s="96" t="inlineStr">
        <is>
          <t>NSMP2305134350</t>
        </is>
      </c>
      <c r="Q2706" s="53">
        <f>MID(P2706,5,2)</f>
        <v/>
      </c>
      <c r="R2706" s="53">
        <f>MID(P2706,7,2)</f>
        <v/>
      </c>
      <c r="S2706" s="3" t="inlineStr">
        <is>
          <t>G2B</t>
        </is>
      </c>
      <c r="T2706" s="3" t="inlineStr">
        <is>
          <t>P2</t>
        </is>
      </c>
      <c r="U2706" s="3" t="inlineStr">
        <is>
          <t>P JB Cold Soldering</t>
        </is>
      </c>
      <c r="V2706" s="3" t="inlineStr">
        <is>
          <t>Soldering</t>
        </is>
      </c>
      <c r="W2706" s="3" t="inlineStr">
        <is>
          <t>Repair</t>
        </is>
      </c>
      <c r="X2706" s="18" t="n">
        <v>46174</v>
      </c>
      <c r="Y2706" s="3">
        <f>X2706-A2706</f>
        <v/>
      </c>
      <c r="Z2706" s="18" t="n">
        <v>46174</v>
      </c>
      <c r="AA2706" s="15" t="n"/>
      <c r="AB2706" s="15" t="n"/>
    </row>
    <row r="2707">
      <c r="A2707" s="59" t="n">
        <v>46148</v>
      </c>
      <c r="B2707" s="3" t="n">
        <v>2026</v>
      </c>
      <c r="C2707" s="21" t="inlineStr">
        <is>
          <t>Continuum</t>
        </is>
      </c>
      <c r="D2707" s="3" t="inlineStr">
        <is>
          <t>Utility and C&amp;I</t>
        </is>
      </c>
      <c r="E2707" s="3" t="n"/>
      <c r="F2707" s="3" t="inlineStr">
        <is>
          <t>Closed</t>
        </is>
      </c>
      <c r="G2707" s="21" t="inlineStr">
        <is>
          <t>Amiya Ranjan Behera</t>
        </is>
      </c>
      <c r="H2707" s="21" t="n">
        <v>8917436223</v>
      </c>
      <c r="I2707" s="38" t="inlineStr">
        <is>
          <t>PE06052602</t>
        </is>
      </c>
      <c r="J2707" s="21" t="inlineStr">
        <is>
          <t>Diode Bypass Module Issue</t>
        </is>
      </c>
      <c r="K2707" s="21" t="inlineStr">
        <is>
          <t>Bhavnagar</t>
        </is>
      </c>
      <c r="L2707" s="21" t="inlineStr">
        <is>
          <t>Gujarat</t>
        </is>
      </c>
      <c r="M2707" s="96" t="inlineStr">
        <is>
          <t>PS</t>
        </is>
      </c>
      <c r="N2707" s="3" t="inlineStr">
        <is>
          <t>Cold Soldering</t>
        </is>
      </c>
      <c r="O2707" s="62" t="n">
        <v>540</v>
      </c>
      <c r="P2707" s="96" t="inlineStr">
        <is>
          <t>NSMP2305188908</t>
        </is>
      </c>
      <c r="Q2707" s="53">
        <f>MID(P2707,5,2)</f>
        <v/>
      </c>
      <c r="R2707" s="53">
        <f>MID(P2707,7,2)</f>
        <v/>
      </c>
      <c r="S2707" s="3" t="inlineStr">
        <is>
          <t>G2B</t>
        </is>
      </c>
      <c r="T2707" s="3" t="inlineStr">
        <is>
          <t>P2</t>
        </is>
      </c>
      <c r="U2707" s="3" t="inlineStr">
        <is>
          <t>P JB Cold Soldering</t>
        </is>
      </c>
      <c r="V2707" s="3" t="inlineStr">
        <is>
          <t>Soldering</t>
        </is>
      </c>
      <c r="W2707" s="3" t="inlineStr">
        <is>
          <t>Repair</t>
        </is>
      </c>
      <c r="X2707" s="18" t="n">
        <v>46174</v>
      </c>
      <c r="Y2707" s="3">
        <f>X2707-A2707</f>
        <v/>
      </c>
      <c r="Z2707" s="18" t="n">
        <v>46174</v>
      </c>
      <c r="AA2707" s="15" t="n"/>
      <c r="AB2707" s="15" t="n"/>
    </row>
    <row r="2708">
      <c r="A2708" s="59" t="n">
        <v>46148</v>
      </c>
      <c r="B2708" s="3" t="n">
        <v>2026</v>
      </c>
      <c r="C2708" s="21" t="inlineStr">
        <is>
          <t>Continuum</t>
        </is>
      </c>
      <c r="D2708" s="3" t="inlineStr">
        <is>
          <t>Utility and C&amp;I</t>
        </is>
      </c>
      <c r="E2708" s="3" t="n"/>
      <c r="F2708" s="3" t="inlineStr">
        <is>
          <t>Closed</t>
        </is>
      </c>
      <c r="G2708" s="21" t="inlineStr">
        <is>
          <t>Amiya Ranjan Behera</t>
        </is>
      </c>
      <c r="H2708" s="21" t="n">
        <v>8917436223</v>
      </c>
      <c r="I2708" s="38" t="inlineStr">
        <is>
          <t>PE06052602</t>
        </is>
      </c>
      <c r="J2708" s="21" t="inlineStr">
        <is>
          <t>Diode Bypass Module Issue</t>
        </is>
      </c>
      <c r="K2708" s="21" t="inlineStr">
        <is>
          <t>Bhavnagar</t>
        </is>
      </c>
      <c r="L2708" s="21" t="inlineStr">
        <is>
          <t>Gujarat</t>
        </is>
      </c>
      <c r="M2708" s="96" t="inlineStr">
        <is>
          <t>PS</t>
        </is>
      </c>
      <c r="N2708" s="3" t="inlineStr">
        <is>
          <t>Cold Soldering</t>
        </is>
      </c>
      <c r="O2708" s="62" t="n">
        <v>540</v>
      </c>
      <c r="P2708" s="96" t="inlineStr">
        <is>
          <t>NSMP2305133584</t>
        </is>
      </c>
      <c r="Q2708" s="53">
        <f>MID(P2708,5,2)</f>
        <v/>
      </c>
      <c r="R2708" s="53">
        <f>MID(P2708,7,2)</f>
        <v/>
      </c>
      <c r="S2708" s="3" t="inlineStr">
        <is>
          <t>G2B</t>
        </is>
      </c>
      <c r="T2708" s="3" t="inlineStr">
        <is>
          <t>P2</t>
        </is>
      </c>
      <c r="U2708" s="3" t="inlineStr">
        <is>
          <t>P JB Cold Soldering</t>
        </is>
      </c>
      <c r="V2708" s="3" t="inlineStr">
        <is>
          <t>Soldering</t>
        </is>
      </c>
      <c r="W2708" s="3" t="inlineStr">
        <is>
          <t>Repair</t>
        </is>
      </c>
      <c r="X2708" s="18" t="n">
        <v>46174</v>
      </c>
      <c r="Y2708" s="3">
        <f>X2708-A2708</f>
        <v/>
      </c>
      <c r="Z2708" s="18" t="n">
        <v>46174</v>
      </c>
      <c r="AA2708" s="15" t="n"/>
      <c r="AB2708" s="15" t="n"/>
    </row>
    <row r="2709">
      <c r="A2709" s="59" t="n">
        <v>46148</v>
      </c>
      <c r="B2709" s="3" t="n">
        <v>2026</v>
      </c>
      <c r="C2709" s="21" t="inlineStr">
        <is>
          <t>Continuum</t>
        </is>
      </c>
      <c r="D2709" s="3" t="inlineStr">
        <is>
          <t>Utility and C&amp;I</t>
        </is>
      </c>
      <c r="E2709" s="3" t="n"/>
      <c r="F2709" s="3" t="inlineStr">
        <is>
          <t>Closed</t>
        </is>
      </c>
      <c r="G2709" s="21" t="inlineStr">
        <is>
          <t>Amiya Ranjan Behera</t>
        </is>
      </c>
      <c r="H2709" s="21" t="n">
        <v>8917436223</v>
      </c>
      <c r="I2709" s="38" t="inlineStr">
        <is>
          <t>PE06052602</t>
        </is>
      </c>
      <c r="J2709" s="21" t="inlineStr">
        <is>
          <t>Diode Bypass Module Issue</t>
        </is>
      </c>
      <c r="K2709" s="21" t="inlineStr">
        <is>
          <t>Bhavnagar</t>
        </is>
      </c>
      <c r="L2709" s="21" t="inlineStr">
        <is>
          <t>Gujarat</t>
        </is>
      </c>
      <c r="M2709" s="96" t="inlineStr">
        <is>
          <t>PS</t>
        </is>
      </c>
      <c r="N2709" s="3" t="inlineStr">
        <is>
          <t>Cold Soldering</t>
        </is>
      </c>
      <c r="O2709" s="62" t="n">
        <v>540</v>
      </c>
      <c r="P2709" s="96" t="inlineStr">
        <is>
          <t>NSMP2305133621</t>
        </is>
      </c>
      <c r="Q2709" s="53">
        <f>MID(P2709,5,2)</f>
        <v/>
      </c>
      <c r="R2709" s="53">
        <f>MID(P2709,7,2)</f>
        <v/>
      </c>
      <c r="S2709" s="3" t="inlineStr">
        <is>
          <t>G2B</t>
        </is>
      </c>
      <c r="T2709" s="3" t="inlineStr">
        <is>
          <t>P2</t>
        </is>
      </c>
      <c r="U2709" s="3" t="inlineStr">
        <is>
          <t>P JB Cold Soldering</t>
        </is>
      </c>
      <c r="V2709" s="3" t="inlineStr">
        <is>
          <t>Soldering</t>
        </is>
      </c>
      <c r="W2709" s="3" t="inlineStr">
        <is>
          <t>Repair</t>
        </is>
      </c>
      <c r="X2709" s="18" t="n">
        <v>46174</v>
      </c>
      <c r="Y2709" s="3">
        <f>X2709-A2709</f>
        <v/>
      </c>
      <c r="Z2709" s="18" t="n">
        <v>46174</v>
      </c>
      <c r="AA2709" s="15" t="n"/>
      <c r="AB2709" s="15" t="n"/>
    </row>
    <row r="2710">
      <c r="A2710" s="59" t="n">
        <v>46148</v>
      </c>
      <c r="B2710" s="3" t="n">
        <v>2026</v>
      </c>
      <c r="C2710" s="21" t="inlineStr">
        <is>
          <t>Continuum</t>
        </is>
      </c>
      <c r="D2710" s="3" t="inlineStr">
        <is>
          <t>Utility and C&amp;I</t>
        </is>
      </c>
      <c r="E2710" s="3" t="n"/>
      <c r="F2710" s="3" t="inlineStr">
        <is>
          <t>Closed</t>
        </is>
      </c>
      <c r="G2710" s="21" t="inlineStr">
        <is>
          <t>Amiya Ranjan Behera</t>
        </is>
      </c>
      <c r="H2710" s="21" t="n">
        <v>8917436223</v>
      </c>
      <c r="I2710" s="38" t="inlineStr">
        <is>
          <t>PE06052602</t>
        </is>
      </c>
      <c r="J2710" s="21" t="inlineStr">
        <is>
          <t>Diode Bypass Module Issue</t>
        </is>
      </c>
      <c r="K2710" s="21" t="inlineStr">
        <is>
          <t>Bhavnagar</t>
        </is>
      </c>
      <c r="L2710" s="21" t="inlineStr">
        <is>
          <t>Gujarat</t>
        </is>
      </c>
      <c r="M2710" s="96" t="inlineStr">
        <is>
          <t>PR</t>
        </is>
      </c>
      <c r="N2710" s="3" t="inlineStr">
        <is>
          <t>JB Issue</t>
        </is>
      </c>
      <c r="O2710" s="62" t="n">
        <v>540</v>
      </c>
      <c r="P2710" s="96" t="inlineStr">
        <is>
          <t>NSMP2304071463</t>
        </is>
      </c>
      <c r="Q2710" s="53">
        <f>MID(P2710,5,2)</f>
        <v/>
      </c>
      <c r="R2710" s="53">
        <f>MID(P2710,7,2)</f>
        <v/>
      </c>
      <c r="S2710" s="3" t="inlineStr">
        <is>
          <t>G2B</t>
        </is>
      </c>
      <c r="T2710" s="3" t="inlineStr">
        <is>
          <t>P2</t>
        </is>
      </c>
      <c r="U2710" s="3" t="inlineStr">
        <is>
          <t>P JB Issue</t>
        </is>
      </c>
      <c r="V2710" s="15" t="inlineStr">
        <is>
          <t>JB Changed</t>
        </is>
      </c>
      <c r="W2710" s="3" t="inlineStr">
        <is>
          <t>Repair</t>
        </is>
      </c>
      <c r="X2710" s="18" t="n">
        <v>46174</v>
      </c>
      <c r="Y2710" s="3">
        <f>X2710-A2710</f>
        <v/>
      </c>
      <c r="Z2710" s="18" t="n">
        <v>46174</v>
      </c>
      <c r="AA2710" s="15" t="n"/>
      <c r="AB2710" s="15" t="n"/>
    </row>
    <row r="2711">
      <c r="A2711" s="59" t="n">
        <v>46148</v>
      </c>
      <c r="B2711" s="3" t="n">
        <v>2026</v>
      </c>
      <c r="C2711" s="21" t="inlineStr">
        <is>
          <t>Continuum</t>
        </is>
      </c>
      <c r="D2711" s="3" t="inlineStr">
        <is>
          <t>Utility and C&amp;I</t>
        </is>
      </c>
      <c r="E2711" s="3" t="n"/>
      <c r="F2711" s="3" t="inlineStr">
        <is>
          <t>Closed</t>
        </is>
      </c>
      <c r="G2711" s="21" t="inlineStr">
        <is>
          <t>Amiya Ranjan Behera</t>
        </is>
      </c>
      <c r="H2711" s="21" t="n">
        <v>8917436223</v>
      </c>
      <c r="I2711" s="38" t="inlineStr">
        <is>
          <t>PE06052602</t>
        </is>
      </c>
      <c r="J2711" s="21" t="inlineStr">
        <is>
          <t>Diode Bypass Module Issue</t>
        </is>
      </c>
      <c r="K2711" s="21" t="inlineStr">
        <is>
          <t>Bhavnagar</t>
        </is>
      </c>
      <c r="L2711" s="21" t="inlineStr">
        <is>
          <t>Gujarat</t>
        </is>
      </c>
      <c r="M2711" s="96" t="inlineStr">
        <is>
          <t>NR</t>
        </is>
      </c>
      <c r="N2711" s="26" t="inlineStr">
        <is>
          <t>JB Issue</t>
        </is>
      </c>
      <c r="O2711" s="60" t="n">
        <v>540</v>
      </c>
      <c r="P2711" s="96" t="inlineStr">
        <is>
          <t>NSMP2304071472</t>
        </is>
      </c>
      <c r="Q2711" s="53">
        <f>MID(P2711,5,2)</f>
        <v/>
      </c>
      <c r="R2711" s="53">
        <f>MID(P2711,7,2)</f>
        <v/>
      </c>
      <c r="S2711" s="3" t="inlineStr">
        <is>
          <t>G2B</t>
        </is>
      </c>
      <c r="T2711" s="3" t="inlineStr">
        <is>
          <t>P2</t>
        </is>
      </c>
      <c r="U2711" s="19" t="inlineStr">
        <is>
          <t>N JB Issue</t>
        </is>
      </c>
      <c r="V2711" s="19" t="inlineStr">
        <is>
          <t>JB Changed</t>
        </is>
      </c>
      <c r="W2711" s="3" t="inlineStr">
        <is>
          <t>Repair</t>
        </is>
      </c>
      <c r="X2711" s="18" t="n">
        <v>46174</v>
      </c>
      <c r="Y2711" s="3">
        <f>X2711-A2711</f>
        <v/>
      </c>
      <c r="Z2711" s="18" t="n">
        <v>46174</v>
      </c>
      <c r="AA2711" s="15" t="n"/>
      <c r="AB2711" s="15" t="n"/>
    </row>
    <row r="2712">
      <c r="A2712" s="59" t="n">
        <v>46148</v>
      </c>
      <c r="B2712" s="3" t="n">
        <v>2026</v>
      </c>
      <c r="C2712" s="21" t="inlineStr">
        <is>
          <t>Continuum</t>
        </is>
      </c>
      <c r="D2712" s="3" t="inlineStr">
        <is>
          <t>Utility and C&amp;I</t>
        </is>
      </c>
      <c r="E2712" s="3" t="n"/>
      <c r="F2712" s="3" t="inlineStr">
        <is>
          <t>Closed</t>
        </is>
      </c>
      <c r="G2712" s="21" t="inlineStr">
        <is>
          <t>Amiya Ranjan Behera</t>
        </is>
      </c>
      <c r="H2712" s="21" t="n">
        <v>8917436223</v>
      </c>
      <c r="I2712" s="38" t="inlineStr">
        <is>
          <t>PE06052602</t>
        </is>
      </c>
      <c r="J2712" s="21" t="inlineStr">
        <is>
          <t>Diode Bypass Module Issue</t>
        </is>
      </c>
      <c r="K2712" s="21" t="inlineStr">
        <is>
          <t>Bhavnagar</t>
        </is>
      </c>
      <c r="L2712" s="21" t="inlineStr">
        <is>
          <t>Gujarat</t>
        </is>
      </c>
      <c r="M2712" s="96" t="inlineStr">
        <is>
          <t>PS</t>
        </is>
      </c>
      <c r="N2712" s="3" t="inlineStr">
        <is>
          <t>Cold Soldering</t>
        </is>
      </c>
      <c r="O2712" s="62" t="n">
        <v>540</v>
      </c>
      <c r="P2712" s="96" t="inlineStr">
        <is>
          <t>NSMP2304075018</t>
        </is>
      </c>
      <c r="Q2712" s="53">
        <f>MID(P2712,5,2)</f>
        <v/>
      </c>
      <c r="R2712" s="53">
        <f>MID(P2712,7,2)</f>
        <v/>
      </c>
      <c r="S2712" s="3" t="inlineStr">
        <is>
          <t>G2B</t>
        </is>
      </c>
      <c r="T2712" s="3" t="inlineStr">
        <is>
          <t>P2</t>
        </is>
      </c>
      <c r="U2712" s="3" t="inlineStr">
        <is>
          <t>P JB Cold Soldering</t>
        </is>
      </c>
      <c r="V2712" s="3" t="inlineStr">
        <is>
          <t>Soldering</t>
        </is>
      </c>
      <c r="W2712" s="3" t="inlineStr">
        <is>
          <t>Repair</t>
        </is>
      </c>
      <c r="X2712" s="18" t="n">
        <v>46174</v>
      </c>
      <c r="Y2712" s="3">
        <f>X2712-A2712</f>
        <v/>
      </c>
      <c r="Z2712" s="18" t="n">
        <v>46174</v>
      </c>
      <c r="AA2712" s="15" t="n"/>
      <c r="AB2712" s="15" t="n"/>
    </row>
    <row r="2713">
      <c r="A2713" s="59" t="n">
        <v>46148</v>
      </c>
      <c r="B2713" s="3" t="n">
        <v>2026</v>
      </c>
      <c r="C2713" s="21" t="inlineStr">
        <is>
          <t>Continuum</t>
        </is>
      </c>
      <c r="D2713" s="3" t="inlineStr">
        <is>
          <t>Utility and C&amp;I</t>
        </is>
      </c>
      <c r="E2713" s="3" t="n"/>
      <c r="F2713" s="3" t="inlineStr">
        <is>
          <t>Closed</t>
        </is>
      </c>
      <c r="G2713" s="21" t="inlineStr">
        <is>
          <t>Amiya Ranjan Behera</t>
        </is>
      </c>
      <c r="H2713" s="21" t="n">
        <v>8917436223</v>
      </c>
      <c r="I2713" s="38" t="inlineStr">
        <is>
          <t>PE06052602</t>
        </is>
      </c>
      <c r="J2713" s="21" t="inlineStr">
        <is>
          <t>Diode Bypass Module Issue</t>
        </is>
      </c>
      <c r="K2713" s="21" t="inlineStr">
        <is>
          <t>Bhavnagar</t>
        </is>
      </c>
      <c r="L2713" s="21" t="inlineStr">
        <is>
          <t>Gujarat</t>
        </is>
      </c>
      <c r="M2713" s="96" t="inlineStr">
        <is>
          <t>PS</t>
        </is>
      </c>
      <c r="N2713" s="3" t="inlineStr">
        <is>
          <t>Cold Soldering</t>
        </is>
      </c>
      <c r="O2713" s="62" t="n">
        <v>540</v>
      </c>
      <c r="P2713" s="96" t="inlineStr">
        <is>
          <t>NSMP2304075005</t>
        </is>
      </c>
      <c r="Q2713" s="53">
        <f>MID(P2713,5,2)</f>
        <v/>
      </c>
      <c r="R2713" s="53">
        <f>MID(P2713,7,2)</f>
        <v/>
      </c>
      <c r="S2713" s="3" t="inlineStr">
        <is>
          <t>G2B</t>
        </is>
      </c>
      <c r="T2713" s="3" t="inlineStr">
        <is>
          <t>P2</t>
        </is>
      </c>
      <c r="U2713" s="3" t="inlineStr">
        <is>
          <t>P JB Cold Soldering</t>
        </is>
      </c>
      <c r="V2713" s="3" t="inlineStr">
        <is>
          <t>Soldering</t>
        </is>
      </c>
      <c r="W2713" s="3" t="inlineStr">
        <is>
          <t>Repair</t>
        </is>
      </c>
      <c r="X2713" s="18" t="n">
        <v>46174</v>
      </c>
      <c r="Y2713" s="3">
        <f>X2713-A2713</f>
        <v/>
      </c>
      <c r="Z2713" s="18" t="n">
        <v>46174</v>
      </c>
      <c r="AA2713" s="15" t="n"/>
      <c r="AB2713" s="15" t="n"/>
    </row>
    <row r="2714">
      <c r="A2714" s="59" t="n">
        <v>46148</v>
      </c>
      <c r="B2714" s="3" t="n">
        <v>2026</v>
      </c>
      <c r="C2714" s="21" t="inlineStr">
        <is>
          <t>Continuum</t>
        </is>
      </c>
      <c r="D2714" s="3" t="inlineStr">
        <is>
          <t>Utility and C&amp;I</t>
        </is>
      </c>
      <c r="E2714" s="3" t="n"/>
      <c r="F2714" s="3" t="inlineStr">
        <is>
          <t>Closed</t>
        </is>
      </c>
      <c r="G2714" s="21" t="inlineStr">
        <is>
          <t>Amiya Ranjan Behera</t>
        </is>
      </c>
      <c r="H2714" s="21" t="n">
        <v>8917436223</v>
      </c>
      <c r="I2714" s="38" t="inlineStr">
        <is>
          <t>PE06052602</t>
        </is>
      </c>
      <c r="J2714" s="21" t="inlineStr">
        <is>
          <t>Diode Bypass Module Issue</t>
        </is>
      </c>
      <c r="K2714" s="21" t="inlineStr">
        <is>
          <t>Bhavnagar</t>
        </is>
      </c>
      <c r="L2714" s="21" t="inlineStr">
        <is>
          <t>Gujarat</t>
        </is>
      </c>
      <c r="M2714" s="96" t="inlineStr">
        <is>
          <t>PS</t>
        </is>
      </c>
      <c r="N2714" s="3" t="inlineStr">
        <is>
          <t>Cold Soldering</t>
        </is>
      </c>
      <c r="O2714" s="62" t="n">
        <v>540</v>
      </c>
      <c r="P2714" s="96" t="inlineStr">
        <is>
          <t>NSMP2305171348</t>
        </is>
      </c>
      <c r="Q2714" s="53">
        <f>MID(P2714,5,2)</f>
        <v/>
      </c>
      <c r="R2714" s="53">
        <f>MID(P2714,7,2)</f>
        <v/>
      </c>
      <c r="S2714" s="3" t="inlineStr">
        <is>
          <t>G2B</t>
        </is>
      </c>
      <c r="T2714" s="3" t="inlineStr">
        <is>
          <t>P2</t>
        </is>
      </c>
      <c r="U2714" s="3" t="inlineStr">
        <is>
          <t>P JB Cold Soldering</t>
        </is>
      </c>
      <c r="V2714" s="3" t="inlineStr">
        <is>
          <t>Soldering</t>
        </is>
      </c>
      <c r="W2714" s="3" t="inlineStr">
        <is>
          <t>Repair</t>
        </is>
      </c>
      <c r="X2714" s="18" t="n">
        <v>46174</v>
      </c>
      <c r="Y2714" s="3">
        <f>X2714-A2714</f>
        <v/>
      </c>
      <c r="Z2714" s="18" t="n">
        <v>46174</v>
      </c>
      <c r="AA2714" s="15" t="n"/>
      <c r="AB2714" s="15" t="n"/>
    </row>
    <row r="2715">
      <c r="A2715" s="59" t="n">
        <v>46148</v>
      </c>
      <c r="B2715" s="3" t="n">
        <v>2026</v>
      </c>
      <c r="C2715" s="21" t="inlineStr">
        <is>
          <t>Continuum</t>
        </is>
      </c>
      <c r="D2715" s="3" t="inlineStr">
        <is>
          <t>Utility and C&amp;I</t>
        </is>
      </c>
      <c r="E2715" s="3" t="n"/>
      <c r="F2715" s="3" t="inlineStr">
        <is>
          <t>Closed</t>
        </is>
      </c>
      <c r="G2715" s="21" t="inlineStr">
        <is>
          <t>Amiya Ranjan Behera</t>
        </is>
      </c>
      <c r="H2715" s="21" t="n">
        <v>8917436223</v>
      </c>
      <c r="I2715" s="38" t="inlineStr">
        <is>
          <t>PE06052602</t>
        </is>
      </c>
      <c r="J2715" s="21" t="inlineStr">
        <is>
          <t>Diode Bypass Module Issue</t>
        </is>
      </c>
      <c r="K2715" s="21" t="inlineStr">
        <is>
          <t>Bhavnagar</t>
        </is>
      </c>
      <c r="L2715" s="21" t="inlineStr">
        <is>
          <t>Gujarat</t>
        </is>
      </c>
      <c r="M2715" s="96" t="inlineStr">
        <is>
          <t>NS</t>
        </is>
      </c>
      <c r="N2715" s="26" t="inlineStr">
        <is>
          <t>Cold Soldering</t>
        </is>
      </c>
      <c r="O2715" s="60" t="n">
        <v>540</v>
      </c>
      <c r="P2715" s="96" t="inlineStr">
        <is>
          <t>NSMP2305124820</t>
        </is>
      </c>
      <c r="Q2715" s="53">
        <f>MID(P2715,5,2)</f>
        <v/>
      </c>
      <c r="R2715" s="53">
        <f>MID(P2715,7,2)</f>
        <v/>
      </c>
      <c r="S2715" s="3" t="inlineStr">
        <is>
          <t>G2B</t>
        </is>
      </c>
      <c r="T2715" s="3" t="inlineStr">
        <is>
          <t>P2</t>
        </is>
      </c>
      <c r="U2715" s="19" t="inlineStr">
        <is>
          <t>N JB Cold Soldering</t>
        </is>
      </c>
      <c r="V2715" s="19" t="inlineStr">
        <is>
          <t>Soldering</t>
        </is>
      </c>
      <c r="W2715" s="3" t="inlineStr">
        <is>
          <t>Repair</t>
        </is>
      </c>
      <c r="X2715" s="18" t="n">
        <v>46174</v>
      </c>
      <c r="Y2715" s="3">
        <f>X2715-A2715</f>
        <v/>
      </c>
      <c r="Z2715" s="18" t="n">
        <v>46174</v>
      </c>
      <c r="AA2715" s="15" t="n"/>
      <c r="AB2715" s="15" t="n"/>
    </row>
    <row r="2716">
      <c r="A2716" s="59" t="n">
        <v>46148</v>
      </c>
      <c r="B2716" s="3" t="n">
        <v>2026</v>
      </c>
      <c r="C2716" s="21" t="inlineStr">
        <is>
          <t>Continuum</t>
        </is>
      </c>
      <c r="D2716" s="3" t="inlineStr">
        <is>
          <t>Utility and C&amp;I</t>
        </is>
      </c>
      <c r="E2716" s="3" t="n"/>
      <c r="F2716" s="3" t="inlineStr">
        <is>
          <t>Closed</t>
        </is>
      </c>
      <c r="G2716" s="21" t="inlineStr">
        <is>
          <t>Amiya Ranjan Behera</t>
        </is>
      </c>
      <c r="H2716" s="21" t="n">
        <v>8917436223</v>
      </c>
      <c r="I2716" s="38" t="inlineStr">
        <is>
          <t>PE06052602</t>
        </is>
      </c>
      <c r="J2716" s="21" t="inlineStr">
        <is>
          <t>Diode Bypass Module Issue</t>
        </is>
      </c>
      <c r="K2716" s="21" t="inlineStr">
        <is>
          <t>Bhavnagar</t>
        </is>
      </c>
      <c r="L2716" s="21" t="inlineStr">
        <is>
          <t>Gujarat</t>
        </is>
      </c>
      <c r="M2716" s="96" t="inlineStr">
        <is>
          <t>NS</t>
        </is>
      </c>
      <c r="N2716" s="26" t="inlineStr">
        <is>
          <t>Cold Soldering</t>
        </is>
      </c>
      <c r="O2716" s="60" t="n">
        <v>540</v>
      </c>
      <c r="P2716" s="96" t="inlineStr">
        <is>
          <t>NSMP2305124749</t>
        </is>
      </c>
      <c r="Q2716" s="53">
        <f>MID(P2716,5,2)</f>
        <v/>
      </c>
      <c r="R2716" s="53">
        <f>MID(P2716,7,2)</f>
        <v/>
      </c>
      <c r="S2716" s="3" t="inlineStr">
        <is>
          <t>G2B</t>
        </is>
      </c>
      <c r="T2716" s="3" t="inlineStr">
        <is>
          <t>P2</t>
        </is>
      </c>
      <c r="U2716" s="19" t="inlineStr">
        <is>
          <t>N JB Cold Soldering</t>
        </is>
      </c>
      <c r="V2716" s="19" t="inlineStr">
        <is>
          <t>Soldering</t>
        </is>
      </c>
      <c r="W2716" s="3" t="inlineStr">
        <is>
          <t>Repair</t>
        </is>
      </c>
      <c r="X2716" s="18" t="n">
        <v>46174</v>
      </c>
      <c r="Y2716" s="3">
        <f>X2716-A2716</f>
        <v/>
      </c>
      <c r="Z2716" s="18" t="n">
        <v>46174</v>
      </c>
      <c r="AA2716" s="15" t="n"/>
      <c r="AB2716" s="15" t="n"/>
    </row>
    <row r="2717">
      <c r="A2717" s="59" t="n">
        <v>46148</v>
      </c>
      <c r="B2717" s="3" t="n">
        <v>2026</v>
      </c>
      <c r="C2717" s="21" t="inlineStr">
        <is>
          <t>Continuum</t>
        </is>
      </c>
      <c r="D2717" s="3" t="inlineStr">
        <is>
          <t>Utility and C&amp;I</t>
        </is>
      </c>
      <c r="E2717" s="3" t="n"/>
      <c r="F2717" s="3" t="inlineStr">
        <is>
          <t>Closed</t>
        </is>
      </c>
      <c r="G2717" s="21" t="inlineStr">
        <is>
          <t>Amiya Ranjan Behera</t>
        </is>
      </c>
      <c r="H2717" s="21" t="n">
        <v>8917436223</v>
      </c>
      <c r="I2717" s="38" t="inlineStr">
        <is>
          <t>PE06052602</t>
        </is>
      </c>
      <c r="J2717" s="21" t="inlineStr">
        <is>
          <t>Diode Bypass Module Issue</t>
        </is>
      </c>
      <c r="K2717" s="21" t="inlineStr">
        <is>
          <t>Bhavnagar</t>
        </is>
      </c>
      <c r="L2717" s="21" t="inlineStr">
        <is>
          <t>Gujarat</t>
        </is>
      </c>
      <c r="M2717" s="96" t="inlineStr">
        <is>
          <t>PR</t>
        </is>
      </c>
      <c r="N2717" s="3" t="inlineStr">
        <is>
          <t>JB Issue</t>
        </is>
      </c>
      <c r="O2717" s="62" t="n">
        <v>540</v>
      </c>
      <c r="P2717" s="96" t="inlineStr">
        <is>
          <t>NSMP2305133539</t>
        </is>
      </c>
      <c r="Q2717" s="53">
        <f>MID(P2717,5,2)</f>
        <v/>
      </c>
      <c r="R2717" s="53">
        <f>MID(P2717,7,2)</f>
        <v/>
      </c>
      <c r="S2717" s="3" t="inlineStr">
        <is>
          <t>G2B</t>
        </is>
      </c>
      <c r="T2717" s="3" t="inlineStr">
        <is>
          <t>P2</t>
        </is>
      </c>
      <c r="U2717" s="3" t="inlineStr">
        <is>
          <t>P JB Issue</t>
        </is>
      </c>
      <c r="V2717" s="15" t="inlineStr">
        <is>
          <t>JB Changed</t>
        </is>
      </c>
      <c r="W2717" s="3" t="inlineStr">
        <is>
          <t>Repair</t>
        </is>
      </c>
      <c r="X2717" s="18" t="n">
        <v>46174</v>
      </c>
      <c r="Y2717" s="3">
        <f>X2717-A2717</f>
        <v/>
      </c>
      <c r="Z2717" s="18" t="n">
        <v>46174</v>
      </c>
      <c r="AA2717" s="15" t="n"/>
      <c r="AB2717" s="15" t="n"/>
    </row>
    <row r="2718">
      <c r="A2718" s="59" t="n">
        <v>46148</v>
      </c>
      <c r="B2718" s="3" t="n">
        <v>2026</v>
      </c>
      <c r="C2718" s="21" t="inlineStr">
        <is>
          <t>Continuum</t>
        </is>
      </c>
      <c r="D2718" s="3" t="inlineStr">
        <is>
          <t>Utility and C&amp;I</t>
        </is>
      </c>
      <c r="E2718" s="3" t="n"/>
      <c r="F2718" s="3" t="inlineStr">
        <is>
          <t>Closed</t>
        </is>
      </c>
      <c r="G2718" s="21" t="inlineStr">
        <is>
          <t>Amiya Ranjan Behera</t>
        </is>
      </c>
      <c r="H2718" s="21" t="n">
        <v>8917436223</v>
      </c>
      <c r="I2718" s="38" t="inlineStr">
        <is>
          <t>PE06052602</t>
        </is>
      </c>
      <c r="J2718" s="21" t="inlineStr">
        <is>
          <t>Diode Bypass Module Issue</t>
        </is>
      </c>
      <c r="K2718" s="21" t="inlineStr">
        <is>
          <t>Bhavnagar</t>
        </is>
      </c>
      <c r="L2718" s="21" t="inlineStr">
        <is>
          <t>Gujarat</t>
        </is>
      </c>
      <c r="M2718" s="96" t="inlineStr">
        <is>
          <t>PS</t>
        </is>
      </c>
      <c r="N2718" s="3" t="inlineStr">
        <is>
          <t>Cold Soldering</t>
        </is>
      </c>
      <c r="O2718" s="62" t="n">
        <v>540</v>
      </c>
      <c r="P2718" s="96" t="inlineStr">
        <is>
          <t>NSMP2304045542</t>
        </is>
      </c>
      <c r="Q2718" s="53">
        <f>MID(P2718,5,2)</f>
        <v/>
      </c>
      <c r="R2718" s="53">
        <f>MID(P2718,7,2)</f>
        <v/>
      </c>
      <c r="S2718" s="3" t="inlineStr">
        <is>
          <t>G2B</t>
        </is>
      </c>
      <c r="T2718" s="3" t="inlineStr">
        <is>
          <t>P2</t>
        </is>
      </c>
      <c r="U2718" s="3" t="inlineStr">
        <is>
          <t>P JB Cold Soldering</t>
        </is>
      </c>
      <c r="V2718" s="3" t="inlineStr">
        <is>
          <t>Soldering</t>
        </is>
      </c>
      <c r="W2718" s="3" t="inlineStr">
        <is>
          <t>Repair</t>
        </is>
      </c>
      <c r="X2718" s="18" t="n">
        <v>46174</v>
      </c>
      <c r="Y2718" s="3">
        <f>X2718-A2718</f>
        <v/>
      </c>
      <c r="Z2718" s="18" t="n">
        <v>46174</v>
      </c>
      <c r="AA2718" s="15" t="n"/>
      <c r="AB2718" s="15" t="n"/>
    </row>
    <row r="2719">
      <c r="A2719" s="59" t="n">
        <v>46148</v>
      </c>
      <c r="B2719" s="3" t="n">
        <v>2026</v>
      </c>
      <c r="C2719" s="21" t="inlineStr">
        <is>
          <t>Continuum</t>
        </is>
      </c>
      <c r="D2719" s="3" t="inlineStr">
        <is>
          <t>Utility and C&amp;I</t>
        </is>
      </c>
      <c r="E2719" s="3" t="n"/>
      <c r="F2719" s="3" t="inlineStr">
        <is>
          <t>Closed</t>
        </is>
      </c>
      <c r="G2719" s="21" t="inlineStr">
        <is>
          <t>Amiya Ranjan Behera</t>
        </is>
      </c>
      <c r="H2719" s="21" t="n">
        <v>8917436223</v>
      </c>
      <c r="I2719" s="38" t="inlineStr">
        <is>
          <t>PE06052602</t>
        </is>
      </c>
      <c r="J2719" s="21" t="inlineStr">
        <is>
          <t>Diode Bypass Module Issue</t>
        </is>
      </c>
      <c r="K2719" s="21" t="inlineStr">
        <is>
          <t>Bhavnagar</t>
        </is>
      </c>
      <c r="L2719" s="21" t="inlineStr">
        <is>
          <t>Gujarat</t>
        </is>
      </c>
      <c r="M2719" s="96" t="inlineStr">
        <is>
          <t>PR</t>
        </is>
      </c>
      <c r="N2719" s="3" t="inlineStr">
        <is>
          <t>JB Issue</t>
        </is>
      </c>
      <c r="O2719" s="62" t="n">
        <v>540</v>
      </c>
      <c r="P2719" s="96" t="inlineStr">
        <is>
          <t>NSMP2304070980</t>
        </is>
      </c>
      <c r="Q2719" s="53">
        <f>MID(P2719,5,2)</f>
        <v/>
      </c>
      <c r="R2719" s="53">
        <f>MID(P2719,7,2)</f>
        <v/>
      </c>
      <c r="S2719" s="3" t="inlineStr">
        <is>
          <t>G2B</t>
        </is>
      </c>
      <c r="T2719" s="3" t="inlineStr">
        <is>
          <t>P2</t>
        </is>
      </c>
      <c r="U2719" s="3" t="inlineStr">
        <is>
          <t>P JB Issue</t>
        </is>
      </c>
      <c r="V2719" s="15" t="inlineStr">
        <is>
          <t>JB Changed</t>
        </is>
      </c>
      <c r="W2719" s="3" t="inlineStr">
        <is>
          <t>Repair</t>
        </is>
      </c>
      <c r="X2719" s="18" t="n">
        <v>46174</v>
      </c>
      <c r="Y2719" s="3">
        <f>X2719-A2719</f>
        <v/>
      </c>
      <c r="Z2719" s="18" t="n">
        <v>46174</v>
      </c>
      <c r="AA2719" s="15" t="n"/>
      <c r="AB2719" s="15" t="n"/>
    </row>
    <row r="2720">
      <c r="A2720" s="59" t="n">
        <v>46148</v>
      </c>
      <c r="B2720" s="3" t="n">
        <v>2026</v>
      </c>
      <c r="C2720" s="21" t="inlineStr">
        <is>
          <t>Continuum</t>
        </is>
      </c>
      <c r="D2720" s="3" t="inlineStr">
        <is>
          <t>Utility and C&amp;I</t>
        </is>
      </c>
      <c r="E2720" s="3" t="n"/>
      <c r="F2720" s="3" t="inlineStr">
        <is>
          <t>Closed</t>
        </is>
      </c>
      <c r="G2720" s="21" t="inlineStr">
        <is>
          <t>Amiya Ranjan Behera</t>
        </is>
      </c>
      <c r="H2720" s="21" t="n">
        <v>8917436223</v>
      </c>
      <c r="I2720" s="38" t="inlineStr">
        <is>
          <t>PE06052602</t>
        </is>
      </c>
      <c r="J2720" s="21" t="inlineStr">
        <is>
          <t>Diode Bypass Module Issue</t>
        </is>
      </c>
      <c r="K2720" s="21" t="inlineStr">
        <is>
          <t>Bhavnagar</t>
        </is>
      </c>
      <c r="L2720" s="21" t="inlineStr">
        <is>
          <t>Gujarat</t>
        </is>
      </c>
      <c r="M2720" s="96" t="inlineStr">
        <is>
          <t>PR</t>
        </is>
      </c>
      <c r="N2720" s="3" t="inlineStr">
        <is>
          <t>JB Issue</t>
        </is>
      </c>
      <c r="O2720" s="62" t="n">
        <v>540</v>
      </c>
      <c r="P2720" s="96" t="inlineStr">
        <is>
          <t>NSMP2304071583</t>
        </is>
      </c>
      <c r="Q2720" s="53">
        <f>MID(P2720,5,2)</f>
        <v/>
      </c>
      <c r="R2720" s="53">
        <f>MID(P2720,7,2)</f>
        <v/>
      </c>
      <c r="S2720" s="3" t="inlineStr">
        <is>
          <t>G2B</t>
        </is>
      </c>
      <c r="T2720" s="3" t="inlineStr">
        <is>
          <t>P2</t>
        </is>
      </c>
      <c r="U2720" s="3" t="inlineStr">
        <is>
          <t>P JB Issue</t>
        </is>
      </c>
      <c r="V2720" s="15" t="inlineStr">
        <is>
          <t>JB Changed</t>
        </is>
      </c>
      <c r="W2720" s="3" t="inlineStr">
        <is>
          <t>Repair</t>
        </is>
      </c>
      <c r="X2720" s="18" t="n">
        <v>46174</v>
      </c>
      <c r="Y2720" s="3">
        <f>X2720-A2720</f>
        <v/>
      </c>
      <c r="Z2720" s="18" t="n">
        <v>46174</v>
      </c>
      <c r="AA2720" s="15" t="n"/>
      <c r="AB2720" s="15" t="n"/>
    </row>
    <row r="2721">
      <c r="A2721" s="59" t="n">
        <v>46148</v>
      </c>
      <c r="B2721" s="3" t="n">
        <v>2026</v>
      </c>
      <c r="C2721" s="21" t="inlineStr">
        <is>
          <t>Continuum</t>
        </is>
      </c>
      <c r="D2721" s="3" t="inlineStr">
        <is>
          <t>Utility and C&amp;I</t>
        </is>
      </c>
      <c r="E2721" s="3" t="n"/>
      <c r="F2721" s="3" t="inlineStr">
        <is>
          <t>Closed</t>
        </is>
      </c>
      <c r="G2721" s="21" t="inlineStr">
        <is>
          <t>Amiya Ranjan Behera</t>
        </is>
      </c>
      <c r="H2721" s="21" t="n">
        <v>8917436223</v>
      </c>
      <c r="I2721" s="38" t="inlineStr">
        <is>
          <t>PE06052602</t>
        </is>
      </c>
      <c r="J2721" s="21" t="inlineStr">
        <is>
          <t>Diode Bypass Module Issue</t>
        </is>
      </c>
      <c r="K2721" s="21" t="inlineStr">
        <is>
          <t>Bhavnagar</t>
        </is>
      </c>
      <c r="L2721" s="21" t="inlineStr">
        <is>
          <t>Gujarat</t>
        </is>
      </c>
      <c r="M2721" s="96" t="inlineStr">
        <is>
          <t>PS</t>
        </is>
      </c>
      <c r="N2721" s="3" t="inlineStr">
        <is>
          <t>Cold Soldering</t>
        </is>
      </c>
      <c r="O2721" s="62" t="n">
        <v>540</v>
      </c>
      <c r="P2721" s="96" t="inlineStr">
        <is>
          <t>NSMP2304071741</t>
        </is>
      </c>
      <c r="Q2721" s="53">
        <f>MID(P2721,5,2)</f>
        <v/>
      </c>
      <c r="R2721" s="53">
        <f>MID(P2721,7,2)</f>
        <v/>
      </c>
      <c r="S2721" s="3" t="inlineStr">
        <is>
          <t>G2B</t>
        </is>
      </c>
      <c r="T2721" s="3" t="inlineStr">
        <is>
          <t>P2</t>
        </is>
      </c>
      <c r="U2721" s="3" t="inlineStr">
        <is>
          <t>P JB Cold Soldering</t>
        </is>
      </c>
      <c r="V2721" s="3" t="inlineStr">
        <is>
          <t>Soldering</t>
        </is>
      </c>
      <c r="W2721" s="3" t="inlineStr">
        <is>
          <t>Repair</t>
        </is>
      </c>
      <c r="X2721" s="18" t="n">
        <v>46174</v>
      </c>
      <c r="Y2721" s="3">
        <f>X2721-A2721</f>
        <v/>
      </c>
      <c r="Z2721" s="18" t="n">
        <v>46174</v>
      </c>
      <c r="AA2721" s="15" t="n"/>
      <c r="AB2721" s="15" t="n"/>
    </row>
    <row r="2722">
      <c r="A2722" s="59" t="n">
        <v>46148</v>
      </c>
      <c r="B2722" s="3" t="n">
        <v>2026</v>
      </c>
      <c r="C2722" s="21" t="inlineStr">
        <is>
          <t>Continuum</t>
        </is>
      </c>
      <c r="D2722" s="3" t="inlineStr">
        <is>
          <t>Utility and C&amp;I</t>
        </is>
      </c>
      <c r="E2722" s="3" t="n"/>
      <c r="F2722" s="3" t="inlineStr">
        <is>
          <t>Closed</t>
        </is>
      </c>
      <c r="G2722" s="21" t="inlineStr">
        <is>
          <t>Amiya Ranjan Behera</t>
        </is>
      </c>
      <c r="H2722" s="21" t="n">
        <v>8917436223</v>
      </c>
      <c r="I2722" s="38" t="inlineStr">
        <is>
          <t>PE06052602</t>
        </is>
      </c>
      <c r="J2722" s="21" t="inlineStr">
        <is>
          <t>Diode Bypass Module Issue</t>
        </is>
      </c>
      <c r="K2722" s="21" t="inlineStr">
        <is>
          <t>Bhavnagar</t>
        </is>
      </c>
      <c r="L2722" s="21" t="inlineStr">
        <is>
          <t>Gujarat</t>
        </is>
      </c>
      <c r="M2722" s="96" t="inlineStr">
        <is>
          <t xml:space="preserve">OK </t>
        </is>
      </c>
      <c r="N2722" s="3" t="inlineStr">
        <is>
          <t>No Issue</t>
        </is>
      </c>
      <c r="O2722" s="62" t="n">
        <v>540</v>
      </c>
      <c r="P2722" s="96" t="inlineStr">
        <is>
          <t>NSMP2304073920</t>
        </is>
      </c>
      <c r="Q2722" s="53">
        <f>MID(P2722,5,2)</f>
        <v/>
      </c>
      <c r="R2722" s="53">
        <f>MID(P2722,7,2)</f>
        <v/>
      </c>
      <c r="S2722" s="3" t="inlineStr">
        <is>
          <t>G2B</t>
        </is>
      </c>
      <c r="T2722" s="3" t="inlineStr">
        <is>
          <t>P2</t>
        </is>
      </c>
      <c r="U2722" s="19" t="inlineStr">
        <is>
          <t>No Issue Found</t>
        </is>
      </c>
      <c r="V2722" s="19" t="inlineStr">
        <is>
          <t>Found OK</t>
        </is>
      </c>
      <c r="W2722" s="3" t="inlineStr">
        <is>
          <t>Repair</t>
        </is>
      </c>
      <c r="X2722" s="18" t="n">
        <v>46174</v>
      </c>
      <c r="Y2722" s="3">
        <f>X2722-A2722</f>
        <v/>
      </c>
      <c r="Z2722" s="18" t="n">
        <v>46174</v>
      </c>
      <c r="AA2722" s="15" t="n"/>
      <c r="AB2722" s="15" t="n"/>
    </row>
    <row r="2723">
      <c r="A2723" s="59" t="n">
        <v>46148</v>
      </c>
      <c r="B2723" s="3" t="n">
        <v>2026</v>
      </c>
      <c r="C2723" s="21" t="inlineStr">
        <is>
          <t>Continuum</t>
        </is>
      </c>
      <c r="D2723" s="3" t="inlineStr">
        <is>
          <t>Utility and C&amp;I</t>
        </is>
      </c>
      <c r="E2723" s="3" t="n"/>
      <c r="F2723" s="3" t="inlineStr">
        <is>
          <t>Closed</t>
        </is>
      </c>
      <c r="G2723" s="21" t="inlineStr">
        <is>
          <t>Amiya Ranjan Behera</t>
        </is>
      </c>
      <c r="H2723" s="21" t="n">
        <v>8917436223</v>
      </c>
      <c r="I2723" s="38" t="inlineStr">
        <is>
          <t>PE06052602</t>
        </is>
      </c>
      <c r="J2723" s="21" t="inlineStr">
        <is>
          <t>Diode Bypass Module Issue</t>
        </is>
      </c>
      <c r="K2723" s="21" t="inlineStr">
        <is>
          <t>Bhavnagar</t>
        </is>
      </c>
      <c r="L2723" s="21" t="inlineStr">
        <is>
          <t>Gujarat</t>
        </is>
      </c>
      <c r="M2723" s="96" t="inlineStr">
        <is>
          <t>PS</t>
        </is>
      </c>
      <c r="N2723" s="3" t="inlineStr">
        <is>
          <t>Cold Soldering</t>
        </is>
      </c>
      <c r="O2723" s="62" t="n">
        <v>540</v>
      </c>
      <c r="P2723" s="96" t="inlineStr">
        <is>
          <t>NSMP2304037129</t>
        </is>
      </c>
      <c r="Q2723" s="53">
        <f>MID(P2723,5,2)</f>
        <v/>
      </c>
      <c r="R2723" s="53">
        <f>MID(P2723,7,2)</f>
        <v/>
      </c>
      <c r="S2723" s="3" t="inlineStr">
        <is>
          <t>G2B</t>
        </is>
      </c>
      <c r="T2723" s="3" t="inlineStr">
        <is>
          <t>P2</t>
        </is>
      </c>
      <c r="U2723" s="3" t="inlineStr">
        <is>
          <t>P JB Cold Soldering</t>
        </is>
      </c>
      <c r="V2723" s="3" t="inlineStr">
        <is>
          <t>Soldering</t>
        </is>
      </c>
      <c r="W2723" s="3" t="inlineStr">
        <is>
          <t>Repair</t>
        </is>
      </c>
      <c r="X2723" s="18" t="n">
        <v>46174</v>
      </c>
      <c r="Y2723" s="3">
        <f>X2723-A2723</f>
        <v/>
      </c>
      <c r="Z2723" s="18" t="n">
        <v>46174</v>
      </c>
      <c r="AA2723" s="15" t="n"/>
      <c r="AB2723" s="15" t="n"/>
    </row>
    <row r="2724">
      <c r="A2724" s="59" t="n">
        <v>46148</v>
      </c>
      <c r="B2724" s="3" t="n">
        <v>2026</v>
      </c>
      <c r="C2724" s="21" t="inlineStr">
        <is>
          <t>Continuum</t>
        </is>
      </c>
      <c r="D2724" s="3" t="inlineStr">
        <is>
          <t>Utility and C&amp;I</t>
        </is>
      </c>
      <c r="E2724" s="3" t="n"/>
      <c r="F2724" s="3" t="inlineStr">
        <is>
          <t>Closed</t>
        </is>
      </c>
      <c r="G2724" s="21" t="inlineStr">
        <is>
          <t>Amiya Ranjan Behera</t>
        </is>
      </c>
      <c r="H2724" s="21" t="n">
        <v>8917436223</v>
      </c>
      <c r="I2724" s="38" t="inlineStr">
        <is>
          <t>PE06052602</t>
        </is>
      </c>
      <c r="J2724" s="21" t="inlineStr">
        <is>
          <t>Diode Bypass Module Issue</t>
        </is>
      </c>
      <c r="K2724" s="21" t="inlineStr">
        <is>
          <t>Bhavnagar</t>
        </is>
      </c>
      <c r="L2724" s="21" t="inlineStr">
        <is>
          <t>Gujarat</t>
        </is>
      </c>
      <c r="M2724" s="96" t="inlineStr">
        <is>
          <t xml:space="preserve">OK </t>
        </is>
      </c>
      <c r="N2724" s="3" t="inlineStr">
        <is>
          <t>No Issue</t>
        </is>
      </c>
      <c r="O2724" s="62" t="n">
        <v>540</v>
      </c>
      <c r="P2724" s="96" t="inlineStr">
        <is>
          <t>NSMP2304074461</t>
        </is>
      </c>
      <c r="Q2724" s="53">
        <f>MID(P2724,5,2)</f>
        <v/>
      </c>
      <c r="R2724" s="53">
        <f>MID(P2724,7,2)</f>
        <v/>
      </c>
      <c r="S2724" s="3" t="inlineStr">
        <is>
          <t>G2B</t>
        </is>
      </c>
      <c r="T2724" s="3" t="inlineStr">
        <is>
          <t>P2</t>
        </is>
      </c>
      <c r="U2724" s="19" t="inlineStr">
        <is>
          <t>No Issue Found</t>
        </is>
      </c>
      <c r="V2724" s="19" t="inlineStr">
        <is>
          <t>Found OK</t>
        </is>
      </c>
      <c r="W2724" s="3" t="inlineStr">
        <is>
          <t>Repair</t>
        </is>
      </c>
      <c r="X2724" s="18" t="n">
        <v>46174</v>
      </c>
      <c r="Y2724" s="3">
        <f>X2724-A2724</f>
        <v/>
      </c>
      <c r="Z2724" s="18" t="n">
        <v>46174</v>
      </c>
      <c r="AA2724" s="15" t="n"/>
      <c r="AB2724" s="15" t="n"/>
    </row>
    <row r="2725">
      <c r="A2725" s="59" t="n">
        <v>46148</v>
      </c>
      <c r="B2725" s="3" t="n">
        <v>2026</v>
      </c>
      <c r="C2725" s="21" t="inlineStr">
        <is>
          <t>Continuum</t>
        </is>
      </c>
      <c r="D2725" s="3" t="inlineStr">
        <is>
          <t>Utility and C&amp;I</t>
        </is>
      </c>
      <c r="E2725" s="3" t="n"/>
      <c r="F2725" s="3" t="inlineStr">
        <is>
          <t>Closed</t>
        </is>
      </c>
      <c r="G2725" s="21" t="inlineStr">
        <is>
          <t>Amiya Ranjan Behera</t>
        </is>
      </c>
      <c r="H2725" s="21" t="n">
        <v>8917436223</v>
      </c>
      <c r="I2725" s="38" t="inlineStr">
        <is>
          <t>PE06052602</t>
        </is>
      </c>
      <c r="J2725" s="21" t="inlineStr">
        <is>
          <t>Diode Bypass Module Issue</t>
        </is>
      </c>
      <c r="K2725" s="21" t="inlineStr">
        <is>
          <t>Bhavnagar</t>
        </is>
      </c>
      <c r="L2725" s="21" t="inlineStr">
        <is>
          <t>Gujarat</t>
        </is>
      </c>
      <c r="M2725" s="96" t="inlineStr">
        <is>
          <t>NS</t>
        </is>
      </c>
      <c r="N2725" s="26" t="inlineStr">
        <is>
          <t>Cold Soldering</t>
        </is>
      </c>
      <c r="O2725" s="60" t="n">
        <v>540</v>
      </c>
      <c r="P2725" s="96" t="inlineStr">
        <is>
          <t>NSMP2304073594</t>
        </is>
      </c>
      <c r="Q2725" s="53">
        <f>MID(P2725,5,2)</f>
        <v/>
      </c>
      <c r="R2725" s="53">
        <f>MID(P2725,7,2)</f>
        <v/>
      </c>
      <c r="S2725" s="3" t="inlineStr">
        <is>
          <t>G2B</t>
        </is>
      </c>
      <c r="T2725" s="3" t="inlineStr">
        <is>
          <t>P2</t>
        </is>
      </c>
      <c r="U2725" s="19" t="inlineStr">
        <is>
          <t>N JB Cold Soldering</t>
        </is>
      </c>
      <c r="V2725" s="19" t="inlineStr">
        <is>
          <t>Soldering</t>
        </is>
      </c>
      <c r="W2725" s="3" t="inlineStr">
        <is>
          <t>Repair</t>
        </is>
      </c>
      <c r="X2725" s="18" t="n">
        <v>46174</v>
      </c>
      <c r="Y2725" s="3">
        <f>X2725-A2725</f>
        <v/>
      </c>
      <c r="Z2725" s="18" t="n">
        <v>46174</v>
      </c>
      <c r="AA2725" s="15" t="n"/>
      <c r="AB2725" s="15" t="n"/>
    </row>
    <row r="2726">
      <c r="A2726" s="59" t="n">
        <v>46148</v>
      </c>
      <c r="B2726" s="3" t="n">
        <v>2026</v>
      </c>
      <c r="C2726" s="21" t="inlineStr">
        <is>
          <t>Continuum</t>
        </is>
      </c>
      <c r="D2726" s="3" t="inlineStr">
        <is>
          <t>Utility and C&amp;I</t>
        </is>
      </c>
      <c r="E2726" s="3" t="n"/>
      <c r="F2726" s="3" t="inlineStr">
        <is>
          <t>Closed</t>
        </is>
      </c>
      <c r="G2726" s="21" t="inlineStr">
        <is>
          <t>Amiya Ranjan Behera</t>
        </is>
      </c>
      <c r="H2726" s="21" t="n">
        <v>8917436223</v>
      </c>
      <c r="I2726" s="38" t="inlineStr">
        <is>
          <t>PE06052602</t>
        </is>
      </c>
      <c r="J2726" s="21" t="inlineStr">
        <is>
          <t>Diode Bypass Module Issue</t>
        </is>
      </c>
      <c r="K2726" s="21" t="inlineStr">
        <is>
          <t>Bhavnagar</t>
        </is>
      </c>
      <c r="L2726" s="21" t="inlineStr">
        <is>
          <t>Gujarat</t>
        </is>
      </c>
      <c r="M2726" s="96" t="inlineStr">
        <is>
          <t xml:space="preserve">OK </t>
        </is>
      </c>
      <c r="N2726" s="3" t="inlineStr">
        <is>
          <t>No Issue</t>
        </is>
      </c>
      <c r="O2726" s="62" t="n">
        <v>540</v>
      </c>
      <c r="P2726" s="96" t="inlineStr">
        <is>
          <t>NSMP2304073636</t>
        </is>
      </c>
      <c r="Q2726" s="53">
        <f>MID(P2726,5,2)</f>
        <v/>
      </c>
      <c r="R2726" s="53">
        <f>MID(P2726,7,2)</f>
        <v/>
      </c>
      <c r="S2726" s="3" t="inlineStr">
        <is>
          <t>G2B</t>
        </is>
      </c>
      <c r="T2726" s="3" t="inlineStr">
        <is>
          <t>P2</t>
        </is>
      </c>
      <c r="U2726" s="19" t="inlineStr">
        <is>
          <t>No Issue Found</t>
        </is>
      </c>
      <c r="V2726" s="19" t="inlineStr">
        <is>
          <t>Found OK</t>
        </is>
      </c>
      <c r="W2726" s="3" t="inlineStr">
        <is>
          <t>Repair</t>
        </is>
      </c>
      <c r="X2726" s="18" t="n">
        <v>46174</v>
      </c>
      <c r="Y2726" s="3">
        <f>X2726-A2726</f>
        <v/>
      </c>
      <c r="Z2726" s="18" t="n">
        <v>46174</v>
      </c>
      <c r="AA2726" s="15" t="n"/>
      <c r="AB2726" s="15" t="n"/>
    </row>
    <row r="2727">
      <c r="A2727" s="59" t="n">
        <v>46148</v>
      </c>
      <c r="B2727" s="3" t="n">
        <v>2026</v>
      </c>
      <c r="C2727" s="21" t="inlineStr">
        <is>
          <t>Continuum</t>
        </is>
      </c>
      <c r="D2727" s="3" t="inlineStr">
        <is>
          <t>Utility and C&amp;I</t>
        </is>
      </c>
      <c r="E2727" s="3" t="n"/>
      <c r="F2727" s="3" t="inlineStr">
        <is>
          <t>Closed</t>
        </is>
      </c>
      <c r="G2727" s="21" t="inlineStr">
        <is>
          <t>Amiya Ranjan Behera</t>
        </is>
      </c>
      <c r="H2727" s="21" t="n">
        <v>8917436223</v>
      </c>
      <c r="I2727" s="38" t="inlineStr">
        <is>
          <t>PE06052602</t>
        </is>
      </c>
      <c r="J2727" s="21" t="inlineStr">
        <is>
          <t>Diode Bypass Module Issue</t>
        </is>
      </c>
      <c r="K2727" s="21" t="inlineStr">
        <is>
          <t>Bhavnagar</t>
        </is>
      </c>
      <c r="L2727" s="21" t="inlineStr">
        <is>
          <t>Gujarat</t>
        </is>
      </c>
      <c r="M2727" s="96" t="inlineStr">
        <is>
          <t>PS</t>
        </is>
      </c>
      <c r="N2727" s="3" t="inlineStr">
        <is>
          <t>Cold Soldering</t>
        </is>
      </c>
      <c r="O2727" s="62" t="n">
        <v>540</v>
      </c>
      <c r="P2727" s="96" t="inlineStr">
        <is>
          <t>NSMP2304073339</t>
        </is>
      </c>
      <c r="Q2727" s="53">
        <f>MID(P2727,5,2)</f>
        <v/>
      </c>
      <c r="R2727" s="53">
        <f>MID(P2727,7,2)</f>
        <v/>
      </c>
      <c r="S2727" s="3" t="inlineStr">
        <is>
          <t>G2B</t>
        </is>
      </c>
      <c r="T2727" s="3" t="inlineStr">
        <is>
          <t>P2</t>
        </is>
      </c>
      <c r="U2727" s="3" t="inlineStr">
        <is>
          <t>P JB Cold Soldering</t>
        </is>
      </c>
      <c r="V2727" s="3" t="inlineStr">
        <is>
          <t>Soldering</t>
        </is>
      </c>
      <c r="W2727" s="3" t="inlineStr">
        <is>
          <t>Repair</t>
        </is>
      </c>
      <c r="X2727" s="18" t="n">
        <v>46174</v>
      </c>
      <c r="Y2727" s="3">
        <f>X2727-A2727</f>
        <v/>
      </c>
      <c r="Z2727" s="18" t="n">
        <v>46174</v>
      </c>
      <c r="AA2727" s="15" t="n"/>
      <c r="AB2727" s="15" t="n"/>
    </row>
    <row r="2728">
      <c r="A2728" s="59" t="n">
        <v>46148</v>
      </c>
      <c r="B2728" s="3" t="n">
        <v>2026</v>
      </c>
      <c r="C2728" s="21" t="inlineStr">
        <is>
          <t>Continuum</t>
        </is>
      </c>
      <c r="D2728" s="3" t="inlineStr">
        <is>
          <t>Utility and C&amp;I</t>
        </is>
      </c>
      <c r="E2728" s="3" t="n"/>
      <c r="F2728" s="3" t="inlineStr">
        <is>
          <t>Closed</t>
        </is>
      </c>
      <c r="G2728" s="21" t="inlineStr">
        <is>
          <t>Amiya Ranjan Behera</t>
        </is>
      </c>
      <c r="H2728" s="21" t="n">
        <v>8917436223</v>
      </c>
      <c r="I2728" s="38" t="inlineStr">
        <is>
          <t>PE06052602</t>
        </is>
      </c>
      <c r="J2728" s="21" t="inlineStr">
        <is>
          <t>Diode Bypass Module Issue</t>
        </is>
      </c>
      <c r="K2728" s="21" t="inlineStr">
        <is>
          <t>Bhavnagar</t>
        </is>
      </c>
      <c r="L2728" s="21" t="inlineStr">
        <is>
          <t>Gujarat</t>
        </is>
      </c>
      <c r="M2728" s="96" t="inlineStr">
        <is>
          <t>NR</t>
        </is>
      </c>
      <c r="N2728" s="26" t="inlineStr">
        <is>
          <t>JB Issue</t>
        </is>
      </c>
      <c r="O2728" s="60" t="n">
        <v>540</v>
      </c>
      <c r="P2728" s="96" t="inlineStr">
        <is>
          <t>NSMP2305175834</t>
        </is>
      </c>
      <c r="Q2728" s="53">
        <f>MID(P2728,5,2)</f>
        <v/>
      </c>
      <c r="R2728" s="53">
        <f>MID(P2728,7,2)</f>
        <v/>
      </c>
      <c r="S2728" s="3" t="inlineStr">
        <is>
          <t>G2B</t>
        </is>
      </c>
      <c r="T2728" s="3" t="inlineStr">
        <is>
          <t>P2</t>
        </is>
      </c>
      <c r="U2728" s="19" t="inlineStr">
        <is>
          <t>N JB Issue</t>
        </is>
      </c>
      <c r="V2728" s="19" t="inlineStr">
        <is>
          <t>JB Changed</t>
        </is>
      </c>
      <c r="W2728" s="3" t="inlineStr">
        <is>
          <t>Repair</t>
        </is>
      </c>
      <c r="X2728" s="18" t="n">
        <v>46174</v>
      </c>
      <c r="Y2728" s="3">
        <f>X2728-A2728</f>
        <v/>
      </c>
      <c r="Z2728" s="18" t="n">
        <v>46174</v>
      </c>
      <c r="AA2728" s="15" t="n"/>
      <c r="AB2728" s="15" t="n"/>
    </row>
    <row r="2729">
      <c r="A2729" s="59" t="n">
        <v>46148</v>
      </c>
      <c r="B2729" s="3" t="n">
        <v>2026</v>
      </c>
      <c r="C2729" s="21" t="inlineStr">
        <is>
          <t>Continuum</t>
        </is>
      </c>
      <c r="D2729" s="3" t="inlineStr">
        <is>
          <t>Utility and C&amp;I</t>
        </is>
      </c>
      <c r="E2729" s="3" t="n"/>
      <c r="F2729" s="3" t="inlineStr">
        <is>
          <t>Closed</t>
        </is>
      </c>
      <c r="G2729" s="21" t="inlineStr">
        <is>
          <t>Amiya Ranjan Behera</t>
        </is>
      </c>
      <c r="H2729" s="21" t="n">
        <v>8917436223</v>
      </c>
      <c r="I2729" s="38" t="inlineStr">
        <is>
          <t>PE06052602</t>
        </is>
      </c>
      <c r="J2729" s="21" t="inlineStr">
        <is>
          <t>Diode Bypass Module Issue</t>
        </is>
      </c>
      <c r="K2729" s="21" t="inlineStr">
        <is>
          <t>Bhavnagar</t>
        </is>
      </c>
      <c r="L2729" s="21" t="inlineStr">
        <is>
          <t>Gujarat</t>
        </is>
      </c>
      <c r="M2729" s="96" t="inlineStr">
        <is>
          <t>NS</t>
        </is>
      </c>
      <c r="N2729" s="26" t="inlineStr">
        <is>
          <t>Cold Soldering</t>
        </is>
      </c>
      <c r="O2729" s="60" t="n">
        <v>540</v>
      </c>
      <c r="P2729" s="96" t="inlineStr">
        <is>
          <t>NSMP2305124973</t>
        </is>
      </c>
      <c r="Q2729" s="53">
        <f>MID(P2729,5,2)</f>
        <v/>
      </c>
      <c r="R2729" s="53">
        <f>MID(P2729,7,2)</f>
        <v/>
      </c>
      <c r="S2729" s="3" t="inlineStr">
        <is>
          <t>G2B</t>
        </is>
      </c>
      <c r="T2729" s="3" t="inlineStr">
        <is>
          <t>P2</t>
        </is>
      </c>
      <c r="U2729" s="19" t="inlineStr">
        <is>
          <t>N JB Cold Soldering</t>
        </is>
      </c>
      <c r="V2729" s="19" t="inlineStr">
        <is>
          <t>Soldering</t>
        </is>
      </c>
      <c r="W2729" s="3" t="inlineStr">
        <is>
          <t>Repair</t>
        </is>
      </c>
      <c r="X2729" s="18" t="n">
        <v>46174</v>
      </c>
      <c r="Y2729" s="3">
        <f>X2729-A2729</f>
        <v/>
      </c>
      <c r="Z2729" s="18" t="n">
        <v>46174</v>
      </c>
      <c r="AA2729" s="15" t="n"/>
      <c r="AB2729" s="15" t="n"/>
    </row>
    <row r="2730">
      <c r="A2730" s="59" t="n">
        <v>46148</v>
      </c>
      <c r="B2730" s="3" t="n">
        <v>2026</v>
      </c>
      <c r="C2730" s="21" t="inlineStr">
        <is>
          <t>Continuum</t>
        </is>
      </c>
      <c r="D2730" s="3" t="inlineStr">
        <is>
          <t>Utility and C&amp;I</t>
        </is>
      </c>
      <c r="E2730" s="3" t="n"/>
      <c r="F2730" s="3" t="inlineStr">
        <is>
          <t>Closed</t>
        </is>
      </c>
      <c r="G2730" s="21" t="inlineStr">
        <is>
          <t>Amiya Ranjan Behera</t>
        </is>
      </c>
      <c r="H2730" s="21" t="n">
        <v>8917436223</v>
      </c>
      <c r="I2730" s="38" t="inlineStr">
        <is>
          <t>PE06052602</t>
        </is>
      </c>
      <c r="J2730" s="21" t="inlineStr">
        <is>
          <t>Diode Bypass Module Issue</t>
        </is>
      </c>
      <c r="K2730" s="21" t="inlineStr">
        <is>
          <t>Bhavnagar</t>
        </is>
      </c>
      <c r="L2730" s="21" t="inlineStr">
        <is>
          <t>Gujarat</t>
        </is>
      </c>
      <c r="M2730" s="96" t="inlineStr">
        <is>
          <t>PS</t>
        </is>
      </c>
      <c r="N2730" s="3" t="inlineStr">
        <is>
          <t>Cold Soldering</t>
        </is>
      </c>
      <c r="O2730" s="62" t="n">
        <v>540</v>
      </c>
      <c r="P2730" s="96" t="inlineStr">
        <is>
          <t>NSMP2305175118</t>
        </is>
      </c>
      <c r="Q2730" s="53">
        <f>MID(P2730,5,2)</f>
        <v/>
      </c>
      <c r="R2730" s="53">
        <f>MID(P2730,7,2)</f>
        <v/>
      </c>
      <c r="S2730" s="3" t="inlineStr">
        <is>
          <t>G2B</t>
        </is>
      </c>
      <c r="T2730" s="3" t="inlineStr">
        <is>
          <t>P2</t>
        </is>
      </c>
      <c r="U2730" s="3" t="inlineStr">
        <is>
          <t>P JB Cold Soldering</t>
        </is>
      </c>
      <c r="V2730" s="3" t="inlineStr">
        <is>
          <t>Soldering</t>
        </is>
      </c>
      <c r="W2730" s="3" t="inlineStr">
        <is>
          <t>Repair</t>
        </is>
      </c>
      <c r="X2730" s="18" t="n">
        <v>46174</v>
      </c>
      <c r="Y2730" s="3">
        <f>X2730-A2730</f>
        <v/>
      </c>
      <c r="Z2730" s="18" t="n">
        <v>46174</v>
      </c>
      <c r="AA2730" s="15" t="n"/>
      <c r="AB2730" s="15" t="n"/>
    </row>
    <row r="2731">
      <c r="A2731" s="59" t="n">
        <v>46148</v>
      </c>
      <c r="B2731" s="3" t="n">
        <v>2026</v>
      </c>
      <c r="C2731" s="21" t="inlineStr">
        <is>
          <t>Continuum</t>
        </is>
      </c>
      <c r="D2731" s="3" t="inlineStr">
        <is>
          <t>Utility and C&amp;I</t>
        </is>
      </c>
      <c r="E2731" s="3" t="n"/>
      <c r="F2731" s="3" t="inlineStr">
        <is>
          <t>Closed</t>
        </is>
      </c>
      <c r="G2731" s="21" t="inlineStr">
        <is>
          <t>Amiya Ranjan Behera</t>
        </is>
      </c>
      <c r="H2731" s="21" t="n">
        <v>8917436223</v>
      </c>
      <c r="I2731" s="38" t="inlineStr">
        <is>
          <t>PE06052602</t>
        </is>
      </c>
      <c r="J2731" s="21" t="inlineStr">
        <is>
          <t>Diode Bypass Module Issue</t>
        </is>
      </c>
      <c r="K2731" s="21" t="inlineStr">
        <is>
          <t>Bhavnagar</t>
        </is>
      </c>
      <c r="L2731" s="21" t="inlineStr">
        <is>
          <t>Gujarat</t>
        </is>
      </c>
      <c r="M2731" s="96" t="inlineStr">
        <is>
          <t>NR</t>
        </is>
      </c>
      <c r="N2731" s="26" t="inlineStr">
        <is>
          <t>JB Issue</t>
        </is>
      </c>
      <c r="O2731" s="60" t="n">
        <v>540</v>
      </c>
      <c r="P2731" s="96" t="inlineStr">
        <is>
          <t>NSMP2304073374</t>
        </is>
      </c>
      <c r="Q2731" s="53">
        <f>MID(P2731,5,2)</f>
        <v/>
      </c>
      <c r="R2731" s="53">
        <f>MID(P2731,7,2)</f>
        <v/>
      </c>
      <c r="S2731" s="3" t="inlineStr">
        <is>
          <t>G2B</t>
        </is>
      </c>
      <c r="T2731" s="3" t="inlineStr">
        <is>
          <t>P2</t>
        </is>
      </c>
      <c r="U2731" s="19" t="inlineStr">
        <is>
          <t>N JB Issue</t>
        </is>
      </c>
      <c r="V2731" s="19" t="inlineStr">
        <is>
          <t>JB Changed</t>
        </is>
      </c>
      <c r="W2731" s="3" t="inlineStr">
        <is>
          <t>Repair</t>
        </is>
      </c>
      <c r="X2731" s="18" t="n">
        <v>46174</v>
      </c>
      <c r="Y2731" s="3">
        <f>X2731-A2731</f>
        <v/>
      </c>
      <c r="Z2731" s="18" t="n">
        <v>46174</v>
      </c>
      <c r="AA2731" s="15" t="n"/>
      <c r="AB2731" s="15" t="n"/>
    </row>
    <row r="2732">
      <c r="A2732" s="59" t="n">
        <v>46148</v>
      </c>
      <c r="B2732" s="3" t="n">
        <v>2026</v>
      </c>
      <c r="C2732" s="21" t="inlineStr">
        <is>
          <t>Continuum</t>
        </is>
      </c>
      <c r="D2732" s="3" t="inlineStr">
        <is>
          <t>Utility and C&amp;I</t>
        </is>
      </c>
      <c r="E2732" s="3" t="n"/>
      <c r="F2732" s="3" t="inlineStr">
        <is>
          <t>Closed</t>
        </is>
      </c>
      <c r="G2732" s="21" t="inlineStr">
        <is>
          <t>Amiya Ranjan Behera</t>
        </is>
      </c>
      <c r="H2732" s="21" t="n">
        <v>8917436223</v>
      </c>
      <c r="I2732" s="38" t="inlineStr">
        <is>
          <t>PE06052602</t>
        </is>
      </c>
      <c r="J2732" s="21" t="inlineStr">
        <is>
          <t>Diode Bypass Module Issue</t>
        </is>
      </c>
      <c r="K2732" s="21" t="inlineStr">
        <is>
          <t>Bhavnagar</t>
        </is>
      </c>
      <c r="L2732" s="21" t="inlineStr">
        <is>
          <t>Gujarat</t>
        </is>
      </c>
      <c r="M2732" s="96" t="inlineStr">
        <is>
          <t xml:space="preserve">OK </t>
        </is>
      </c>
      <c r="N2732" s="3" t="inlineStr">
        <is>
          <t>No Issue</t>
        </is>
      </c>
      <c r="O2732" s="62" t="n">
        <v>540</v>
      </c>
      <c r="P2732" s="96" t="inlineStr">
        <is>
          <t>NSMP2304073515</t>
        </is>
      </c>
      <c r="Q2732" s="53">
        <f>MID(P2732,5,2)</f>
        <v/>
      </c>
      <c r="R2732" s="53">
        <f>MID(P2732,7,2)</f>
        <v/>
      </c>
      <c r="S2732" s="3" t="inlineStr">
        <is>
          <t>G2B</t>
        </is>
      </c>
      <c r="T2732" s="3" t="inlineStr">
        <is>
          <t>P2</t>
        </is>
      </c>
      <c r="U2732" s="19" t="inlineStr">
        <is>
          <t>No Issue Found</t>
        </is>
      </c>
      <c r="V2732" s="19" t="inlineStr">
        <is>
          <t>Found OK</t>
        </is>
      </c>
      <c r="W2732" s="3" t="inlineStr">
        <is>
          <t>Repair</t>
        </is>
      </c>
      <c r="X2732" s="18" t="n">
        <v>46174</v>
      </c>
      <c r="Y2732" s="3">
        <f>X2732-A2732</f>
        <v/>
      </c>
      <c r="Z2732" s="18" t="n">
        <v>46174</v>
      </c>
      <c r="AA2732" s="15" t="n"/>
      <c r="AB2732" s="15" t="n"/>
    </row>
    <row r="2733">
      <c r="A2733" s="59" t="n">
        <v>46148</v>
      </c>
      <c r="B2733" s="3" t="n">
        <v>2026</v>
      </c>
      <c r="C2733" s="21" t="inlineStr">
        <is>
          <t>Continuum</t>
        </is>
      </c>
      <c r="D2733" s="3" t="inlineStr">
        <is>
          <t>Utility and C&amp;I</t>
        </is>
      </c>
      <c r="E2733" s="3" t="n"/>
      <c r="F2733" s="3" t="inlineStr">
        <is>
          <t>Closed</t>
        </is>
      </c>
      <c r="G2733" s="21" t="inlineStr">
        <is>
          <t>Amiya Ranjan Behera</t>
        </is>
      </c>
      <c r="H2733" s="21" t="n">
        <v>8917436223</v>
      </c>
      <c r="I2733" s="38" t="inlineStr">
        <is>
          <t>PE06052602</t>
        </is>
      </c>
      <c r="J2733" s="21" t="inlineStr">
        <is>
          <t>Diode Bypass Module Issue</t>
        </is>
      </c>
      <c r="K2733" s="21" t="inlineStr">
        <is>
          <t>Bhavnagar</t>
        </is>
      </c>
      <c r="L2733" s="21" t="inlineStr">
        <is>
          <t>Gujarat</t>
        </is>
      </c>
      <c r="M2733" s="96" t="inlineStr">
        <is>
          <t xml:space="preserve">OK </t>
        </is>
      </c>
      <c r="N2733" s="3" t="inlineStr">
        <is>
          <t>No Issue</t>
        </is>
      </c>
      <c r="O2733" s="62" t="n">
        <v>540</v>
      </c>
      <c r="P2733" s="96" t="inlineStr">
        <is>
          <t>NSMP2304073513</t>
        </is>
      </c>
      <c r="Q2733" s="53">
        <f>MID(P2733,5,2)</f>
        <v/>
      </c>
      <c r="R2733" s="53">
        <f>MID(P2733,7,2)</f>
        <v/>
      </c>
      <c r="S2733" s="3" t="inlineStr">
        <is>
          <t>G2B</t>
        </is>
      </c>
      <c r="T2733" s="3" t="inlineStr">
        <is>
          <t>P2</t>
        </is>
      </c>
      <c r="U2733" s="19" t="inlineStr">
        <is>
          <t>No Issue Found</t>
        </is>
      </c>
      <c r="V2733" s="19" t="inlineStr">
        <is>
          <t>Found OK</t>
        </is>
      </c>
      <c r="W2733" s="3" t="inlineStr">
        <is>
          <t>Repair</t>
        </is>
      </c>
      <c r="X2733" s="18" t="n">
        <v>46174</v>
      </c>
      <c r="Y2733" s="3">
        <f>X2733-A2733</f>
        <v/>
      </c>
      <c r="Z2733" s="18" t="n">
        <v>46174</v>
      </c>
      <c r="AA2733" s="15" t="n"/>
      <c r="AB2733" s="15" t="n"/>
    </row>
    <row r="2734">
      <c r="A2734" s="59" t="n">
        <v>46148</v>
      </c>
      <c r="B2734" s="3" t="n">
        <v>2026</v>
      </c>
      <c r="C2734" s="21" t="inlineStr">
        <is>
          <t>Continuum</t>
        </is>
      </c>
      <c r="D2734" s="3" t="inlineStr">
        <is>
          <t>Utility and C&amp;I</t>
        </is>
      </c>
      <c r="E2734" s="3" t="n"/>
      <c r="F2734" s="3" t="inlineStr">
        <is>
          <t>Closed</t>
        </is>
      </c>
      <c r="G2734" s="21" t="inlineStr">
        <is>
          <t>Amiya Ranjan Behera</t>
        </is>
      </c>
      <c r="H2734" s="21" t="n">
        <v>8917436223</v>
      </c>
      <c r="I2734" s="38" t="inlineStr">
        <is>
          <t>PE06052602</t>
        </is>
      </c>
      <c r="J2734" s="21" t="inlineStr">
        <is>
          <t>Diode Bypass Module Issue</t>
        </is>
      </c>
      <c r="K2734" s="21" t="inlineStr">
        <is>
          <t>Bhavnagar</t>
        </is>
      </c>
      <c r="L2734" s="21" t="inlineStr">
        <is>
          <t>Gujarat</t>
        </is>
      </c>
      <c r="M2734" s="96" t="inlineStr">
        <is>
          <t xml:space="preserve">OK </t>
        </is>
      </c>
      <c r="N2734" s="3" t="inlineStr">
        <is>
          <t>No Issue</t>
        </is>
      </c>
      <c r="O2734" s="62" t="n">
        <v>540</v>
      </c>
      <c r="P2734" s="96" t="inlineStr">
        <is>
          <t>NSMP2304073490</t>
        </is>
      </c>
      <c r="Q2734" s="53">
        <f>MID(P2734,5,2)</f>
        <v/>
      </c>
      <c r="R2734" s="53">
        <f>MID(P2734,7,2)</f>
        <v/>
      </c>
      <c r="S2734" s="3" t="inlineStr">
        <is>
          <t>G2B</t>
        </is>
      </c>
      <c r="T2734" s="3" t="inlineStr">
        <is>
          <t>P2</t>
        </is>
      </c>
      <c r="U2734" s="19" t="inlineStr">
        <is>
          <t>No Issue Found</t>
        </is>
      </c>
      <c r="V2734" s="19" t="inlineStr">
        <is>
          <t>Found OK</t>
        </is>
      </c>
      <c r="W2734" s="3" t="inlineStr">
        <is>
          <t>Repair</t>
        </is>
      </c>
      <c r="X2734" s="18" t="n">
        <v>46174</v>
      </c>
      <c r="Y2734" s="3">
        <f>X2734-A2734</f>
        <v/>
      </c>
      <c r="Z2734" s="18" t="n">
        <v>46174</v>
      </c>
      <c r="AA2734" s="15" t="n"/>
      <c r="AB2734" s="15" t="n"/>
    </row>
    <row r="2735">
      <c r="A2735" s="59" t="n">
        <v>46148</v>
      </c>
      <c r="B2735" s="3" t="n">
        <v>2026</v>
      </c>
      <c r="C2735" s="21" t="inlineStr">
        <is>
          <t>Continuum</t>
        </is>
      </c>
      <c r="D2735" s="3" t="inlineStr">
        <is>
          <t>Utility and C&amp;I</t>
        </is>
      </c>
      <c r="E2735" s="3" t="n"/>
      <c r="F2735" s="3" t="inlineStr">
        <is>
          <t>Closed</t>
        </is>
      </c>
      <c r="G2735" s="21" t="inlineStr">
        <is>
          <t>Amiya Ranjan Behera</t>
        </is>
      </c>
      <c r="H2735" s="21" t="n">
        <v>8917436223</v>
      </c>
      <c r="I2735" s="38" t="inlineStr">
        <is>
          <t>PE06052602</t>
        </is>
      </c>
      <c r="J2735" s="21" t="inlineStr">
        <is>
          <t>Diode Bypass Module Issue</t>
        </is>
      </c>
      <c r="K2735" s="21" t="inlineStr">
        <is>
          <t>Bhavnagar</t>
        </is>
      </c>
      <c r="L2735" s="21" t="inlineStr">
        <is>
          <t>Gujarat</t>
        </is>
      </c>
      <c r="M2735" s="96" t="inlineStr">
        <is>
          <t xml:space="preserve">OK </t>
        </is>
      </c>
      <c r="N2735" s="3" t="inlineStr">
        <is>
          <t>No Issue</t>
        </is>
      </c>
      <c r="O2735" s="62" t="n">
        <v>540</v>
      </c>
      <c r="P2735" s="96" t="inlineStr">
        <is>
          <t>NSMP2304073511</t>
        </is>
      </c>
      <c r="Q2735" s="53">
        <f>MID(P2735,5,2)</f>
        <v/>
      </c>
      <c r="R2735" s="53">
        <f>MID(P2735,7,2)</f>
        <v/>
      </c>
      <c r="S2735" s="3" t="inlineStr">
        <is>
          <t>G2B</t>
        </is>
      </c>
      <c r="T2735" s="3" t="inlineStr">
        <is>
          <t>P2</t>
        </is>
      </c>
      <c r="U2735" s="19" t="inlineStr">
        <is>
          <t>No Issue Found</t>
        </is>
      </c>
      <c r="V2735" s="19" t="inlineStr">
        <is>
          <t>Found OK</t>
        </is>
      </c>
      <c r="W2735" s="3" t="inlineStr">
        <is>
          <t>Repair</t>
        </is>
      </c>
      <c r="X2735" s="18" t="n">
        <v>46174</v>
      </c>
      <c r="Y2735" s="3">
        <f>X2735-A2735</f>
        <v/>
      </c>
      <c r="Z2735" s="18" t="n">
        <v>46174</v>
      </c>
      <c r="AA2735" s="15" t="n"/>
      <c r="AB2735" s="15" t="n"/>
    </row>
    <row r="2736">
      <c r="A2736" s="59" t="n">
        <v>46148</v>
      </c>
      <c r="B2736" s="3" t="n">
        <v>2026</v>
      </c>
      <c r="C2736" s="21" t="inlineStr">
        <is>
          <t>Continuum</t>
        </is>
      </c>
      <c r="D2736" s="3" t="inlineStr">
        <is>
          <t>Utility and C&amp;I</t>
        </is>
      </c>
      <c r="E2736" s="3" t="n"/>
      <c r="F2736" s="3" t="inlineStr">
        <is>
          <t>Closed</t>
        </is>
      </c>
      <c r="G2736" s="21" t="inlineStr">
        <is>
          <t>Amiya Ranjan Behera</t>
        </is>
      </c>
      <c r="H2736" s="21" t="n">
        <v>8917436223</v>
      </c>
      <c r="I2736" s="38" t="inlineStr">
        <is>
          <t>PE06052602</t>
        </is>
      </c>
      <c r="J2736" s="21" t="inlineStr">
        <is>
          <t>Diode Bypass Module Issue</t>
        </is>
      </c>
      <c r="K2736" s="21" t="inlineStr">
        <is>
          <t>Bhavnagar</t>
        </is>
      </c>
      <c r="L2736" s="21" t="inlineStr">
        <is>
          <t>Gujarat</t>
        </is>
      </c>
      <c r="M2736" s="96" t="inlineStr">
        <is>
          <t xml:space="preserve">OK </t>
        </is>
      </c>
      <c r="N2736" s="3" t="inlineStr">
        <is>
          <t>No Issue</t>
        </is>
      </c>
      <c r="O2736" s="62" t="n">
        <v>540</v>
      </c>
      <c r="P2736" s="96" t="inlineStr">
        <is>
          <t>NSMP2304073509</t>
        </is>
      </c>
      <c r="Q2736" s="53">
        <f>MID(P2736,5,2)</f>
        <v/>
      </c>
      <c r="R2736" s="53">
        <f>MID(P2736,7,2)</f>
        <v/>
      </c>
      <c r="S2736" s="3" t="inlineStr">
        <is>
          <t>G2B</t>
        </is>
      </c>
      <c r="T2736" s="3" t="inlineStr">
        <is>
          <t>P2</t>
        </is>
      </c>
      <c r="U2736" s="19" t="inlineStr">
        <is>
          <t>No Issue Found</t>
        </is>
      </c>
      <c r="V2736" s="19" t="inlineStr">
        <is>
          <t>Found OK</t>
        </is>
      </c>
      <c r="W2736" s="3" t="inlineStr">
        <is>
          <t>Repair</t>
        </is>
      </c>
      <c r="X2736" s="18" t="n">
        <v>46174</v>
      </c>
      <c r="Y2736" s="3">
        <f>X2736-A2736</f>
        <v/>
      </c>
      <c r="Z2736" s="18" t="n">
        <v>46174</v>
      </c>
      <c r="AA2736" s="15" t="n"/>
      <c r="AB2736" s="15" t="n"/>
    </row>
    <row r="2737">
      <c r="A2737" s="59" t="n">
        <v>46148</v>
      </c>
      <c r="B2737" s="3" t="n">
        <v>2026</v>
      </c>
      <c r="C2737" s="21" t="inlineStr">
        <is>
          <t>Continuum</t>
        </is>
      </c>
      <c r="D2737" s="3" t="inlineStr">
        <is>
          <t>Utility and C&amp;I</t>
        </is>
      </c>
      <c r="E2737" s="3" t="n"/>
      <c r="F2737" s="3" t="inlineStr">
        <is>
          <t>Closed</t>
        </is>
      </c>
      <c r="G2737" s="21" t="inlineStr">
        <is>
          <t>Amiya Ranjan Behera</t>
        </is>
      </c>
      <c r="H2737" s="21" t="n">
        <v>8917436223</v>
      </c>
      <c r="I2737" s="38" t="inlineStr">
        <is>
          <t>PE06052602</t>
        </is>
      </c>
      <c r="J2737" s="21" t="inlineStr">
        <is>
          <t>Diode Bypass Module Issue</t>
        </is>
      </c>
      <c r="K2737" s="21" t="inlineStr">
        <is>
          <t>Bhavnagar</t>
        </is>
      </c>
      <c r="L2737" s="21" t="inlineStr">
        <is>
          <t>Gujarat</t>
        </is>
      </c>
      <c r="M2737" s="96" t="inlineStr">
        <is>
          <t xml:space="preserve">OK </t>
        </is>
      </c>
      <c r="N2737" s="3" t="inlineStr">
        <is>
          <t>No Issue</t>
        </is>
      </c>
      <c r="O2737" s="62" t="n">
        <v>540</v>
      </c>
      <c r="P2737" s="96" t="inlineStr">
        <is>
          <t>NSMP2304073492</t>
        </is>
      </c>
      <c r="Q2737" s="53">
        <f>MID(P2737,5,2)</f>
        <v/>
      </c>
      <c r="R2737" s="53">
        <f>MID(P2737,7,2)</f>
        <v/>
      </c>
      <c r="S2737" s="3" t="inlineStr">
        <is>
          <t>G2B</t>
        </is>
      </c>
      <c r="T2737" s="3" t="inlineStr">
        <is>
          <t>P2</t>
        </is>
      </c>
      <c r="U2737" s="19" t="inlineStr">
        <is>
          <t>No Issue Found</t>
        </is>
      </c>
      <c r="V2737" s="19" t="inlineStr">
        <is>
          <t>Found OK</t>
        </is>
      </c>
      <c r="W2737" s="3" t="inlineStr">
        <is>
          <t>Repair</t>
        </is>
      </c>
      <c r="X2737" s="18" t="n">
        <v>46174</v>
      </c>
      <c r="Y2737" s="3">
        <f>X2737-A2737</f>
        <v/>
      </c>
      <c r="Z2737" s="18" t="n">
        <v>46174</v>
      </c>
      <c r="AA2737" s="15" t="n"/>
      <c r="AB2737" s="15" t="n"/>
    </row>
    <row r="2738">
      <c r="A2738" s="59" t="n">
        <v>46148</v>
      </c>
      <c r="B2738" s="3" t="n">
        <v>2026</v>
      </c>
      <c r="C2738" s="21" t="inlineStr">
        <is>
          <t>Continuum</t>
        </is>
      </c>
      <c r="D2738" s="3" t="inlineStr">
        <is>
          <t>Utility and C&amp;I</t>
        </is>
      </c>
      <c r="E2738" s="3" t="n"/>
      <c r="F2738" s="3" t="inlineStr">
        <is>
          <t>Closed</t>
        </is>
      </c>
      <c r="G2738" s="21" t="inlineStr">
        <is>
          <t>Amiya Ranjan Behera</t>
        </is>
      </c>
      <c r="H2738" s="21" t="n">
        <v>8917436223</v>
      </c>
      <c r="I2738" s="38" t="inlineStr">
        <is>
          <t>PE06052602</t>
        </is>
      </c>
      <c r="J2738" s="21" t="inlineStr">
        <is>
          <t>Diode Bypass Module Issue</t>
        </is>
      </c>
      <c r="K2738" s="21" t="inlineStr">
        <is>
          <t>Bhavnagar</t>
        </is>
      </c>
      <c r="L2738" s="21" t="inlineStr">
        <is>
          <t>Gujarat</t>
        </is>
      </c>
      <c r="M2738" s="96" t="inlineStr">
        <is>
          <t xml:space="preserve">OK </t>
        </is>
      </c>
      <c r="N2738" s="3" t="inlineStr">
        <is>
          <t>No Issue</t>
        </is>
      </c>
      <c r="O2738" s="62" t="n">
        <v>540</v>
      </c>
      <c r="P2738" s="96" t="inlineStr">
        <is>
          <t>NSMP2304054592</t>
        </is>
      </c>
      <c r="Q2738" s="53">
        <f>MID(P2738,5,2)</f>
        <v/>
      </c>
      <c r="R2738" s="53">
        <f>MID(P2738,7,2)</f>
        <v/>
      </c>
      <c r="S2738" s="3" t="inlineStr">
        <is>
          <t>G2B</t>
        </is>
      </c>
      <c r="T2738" s="3" t="inlineStr">
        <is>
          <t>P2</t>
        </is>
      </c>
      <c r="U2738" s="19" t="inlineStr">
        <is>
          <t>No Issue Found</t>
        </is>
      </c>
      <c r="V2738" s="19" t="inlineStr">
        <is>
          <t>Found OK</t>
        </is>
      </c>
      <c r="W2738" s="3" t="inlineStr">
        <is>
          <t>Repair</t>
        </is>
      </c>
      <c r="X2738" s="18" t="n">
        <v>46174</v>
      </c>
      <c r="Y2738" s="3">
        <f>X2738-A2738</f>
        <v/>
      </c>
      <c r="Z2738" s="18" t="n">
        <v>46174</v>
      </c>
      <c r="AA2738" s="15" t="n"/>
      <c r="AB2738" s="15" t="n"/>
    </row>
    <row r="2739">
      <c r="A2739" s="59" t="n">
        <v>46148</v>
      </c>
      <c r="B2739" s="3" t="n">
        <v>2026</v>
      </c>
      <c r="C2739" s="21" t="inlineStr">
        <is>
          <t>Continuum</t>
        </is>
      </c>
      <c r="D2739" s="3" t="inlineStr">
        <is>
          <t>Utility and C&amp;I</t>
        </is>
      </c>
      <c r="E2739" s="3" t="n"/>
      <c r="F2739" s="3" t="inlineStr">
        <is>
          <t>Closed</t>
        </is>
      </c>
      <c r="G2739" s="21" t="inlineStr">
        <is>
          <t>Amiya Ranjan Behera</t>
        </is>
      </c>
      <c r="H2739" s="21" t="n">
        <v>8917436223</v>
      </c>
      <c r="I2739" s="38" t="inlineStr">
        <is>
          <t>PE06052602</t>
        </is>
      </c>
      <c r="J2739" s="21" t="inlineStr">
        <is>
          <t>Diode Bypass Module Issue</t>
        </is>
      </c>
      <c r="K2739" s="21" t="inlineStr">
        <is>
          <t>Bhavnagar</t>
        </is>
      </c>
      <c r="L2739" s="21" t="inlineStr">
        <is>
          <t>Gujarat</t>
        </is>
      </c>
      <c r="M2739" s="96" t="inlineStr">
        <is>
          <t xml:space="preserve">OK </t>
        </is>
      </c>
      <c r="N2739" s="3" t="inlineStr">
        <is>
          <t>No Issue</t>
        </is>
      </c>
      <c r="O2739" s="62" t="n">
        <v>540</v>
      </c>
      <c r="P2739" s="96" t="inlineStr">
        <is>
          <t>NSMP2304054602</t>
        </is>
      </c>
      <c r="Q2739" s="53">
        <f>MID(P2739,5,2)</f>
        <v/>
      </c>
      <c r="R2739" s="53">
        <f>MID(P2739,7,2)</f>
        <v/>
      </c>
      <c r="S2739" s="3" t="inlineStr">
        <is>
          <t>G2B</t>
        </is>
      </c>
      <c r="T2739" s="3" t="inlineStr">
        <is>
          <t>P2</t>
        </is>
      </c>
      <c r="U2739" s="19" t="inlineStr">
        <is>
          <t>No Issue Found</t>
        </is>
      </c>
      <c r="V2739" s="19" t="inlineStr">
        <is>
          <t>Found OK</t>
        </is>
      </c>
      <c r="W2739" s="3" t="inlineStr">
        <is>
          <t>Repair</t>
        </is>
      </c>
      <c r="X2739" s="18" t="n">
        <v>46174</v>
      </c>
      <c r="Y2739" s="3">
        <f>X2739-A2739</f>
        <v/>
      </c>
      <c r="Z2739" s="18" t="n">
        <v>46174</v>
      </c>
      <c r="AA2739" s="15" t="n"/>
      <c r="AB2739" s="15" t="n"/>
    </row>
    <row r="2740">
      <c r="A2740" s="59" t="n">
        <v>46148</v>
      </c>
      <c r="B2740" s="3" t="n">
        <v>2026</v>
      </c>
      <c r="C2740" s="21" t="inlineStr">
        <is>
          <t>Continuum</t>
        </is>
      </c>
      <c r="D2740" s="3" t="inlineStr">
        <is>
          <t>Utility and C&amp;I</t>
        </is>
      </c>
      <c r="E2740" s="3" t="n"/>
      <c r="F2740" s="3" t="inlineStr">
        <is>
          <t>Closed</t>
        </is>
      </c>
      <c r="G2740" s="21" t="inlineStr">
        <is>
          <t>Amiya Ranjan Behera</t>
        </is>
      </c>
      <c r="H2740" s="21" t="n">
        <v>8917436223</v>
      </c>
      <c r="I2740" s="38" t="inlineStr">
        <is>
          <t>PE06052602</t>
        </is>
      </c>
      <c r="J2740" s="21" t="inlineStr">
        <is>
          <t>Diode Bypass Module Issue</t>
        </is>
      </c>
      <c r="K2740" s="21" t="inlineStr">
        <is>
          <t>Bhavnagar</t>
        </is>
      </c>
      <c r="L2740" s="21" t="inlineStr">
        <is>
          <t>Gujarat</t>
        </is>
      </c>
      <c r="M2740" s="96" t="inlineStr">
        <is>
          <t xml:space="preserve">OK </t>
        </is>
      </c>
      <c r="N2740" s="3" t="inlineStr">
        <is>
          <t>No Issue</t>
        </is>
      </c>
      <c r="O2740" s="62" t="n">
        <v>540</v>
      </c>
      <c r="P2740" s="96" t="inlineStr">
        <is>
          <t>NSMP2304054603</t>
        </is>
      </c>
      <c r="Q2740" s="53">
        <f>MID(P2740,5,2)</f>
        <v/>
      </c>
      <c r="R2740" s="53">
        <f>MID(P2740,7,2)</f>
        <v/>
      </c>
      <c r="S2740" s="3" t="inlineStr">
        <is>
          <t>G2B</t>
        </is>
      </c>
      <c r="T2740" s="3" t="inlineStr">
        <is>
          <t>P2</t>
        </is>
      </c>
      <c r="U2740" s="19" t="inlineStr">
        <is>
          <t>No Issue Found</t>
        </is>
      </c>
      <c r="V2740" s="19" t="inlineStr">
        <is>
          <t>Found OK</t>
        </is>
      </c>
      <c r="W2740" s="3" t="inlineStr">
        <is>
          <t>Repair</t>
        </is>
      </c>
      <c r="X2740" s="18" t="n">
        <v>46174</v>
      </c>
      <c r="Y2740" s="3">
        <f>X2740-A2740</f>
        <v/>
      </c>
      <c r="Z2740" s="18" t="n">
        <v>46174</v>
      </c>
      <c r="AA2740" s="15" t="n"/>
      <c r="AB2740" s="15" t="n"/>
    </row>
    <row r="2741">
      <c r="A2741" s="59" t="n">
        <v>46148</v>
      </c>
      <c r="B2741" s="3" t="n">
        <v>2026</v>
      </c>
      <c r="C2741" s="21" t="inlineStr">
        <is>
          <t>Continuum</t>
        </is>
      </c>
      <c r="D2741" s="3" t="inlineStr">
        <is>
          <t>Utility and C&amp;I</t>
        </is>
      </c>
      <c r="E2741" s="3" t="n"/>
      <c r="F2741" s="3" t="inlineStr">
        <is>
          <t>Closed</t>
        </is>
      </c>
      <c r="G2741" s="21" t="inlineStr">
        <is>
          <t>Amiya Ranjan Behera</t>
        </is>
      </c>
      <c r="H2741" s="21" t="n">
        <v>8917436223</v>
      </c>
      <c r="I2741" s="38" t="inlineStr">
        <is>
          <t>PE06052602</t>
        </is>
      </c>
      <c r="J2741" s="21" t="inlineStr">
        <is>
          <t>Diode Bypass Module Issue</t>
        </is>
      </c>
      <c r="K2741" s="21" t="inlineStr">
        <is>
          <t>Bhavnagar</t>
        </is>
      </c>
      <c r="L2741" s="21" t="inlineStr">
        <is>
          <t>Gujarat</t>
        </is>
      </c>
      <c r="M2741" s="96" t="inlineStr">
        <is>
          <t xml:space="preserve">OK </t>
        </is>
      </c>
      <c r="N2741" s="3" t="inlineStr">
        <is>
          <t>No Issue</t>
        </is>
      </c>
      <c r="O2741" s="62" t="n">
        <v>540</v>
      </c>
      <c r="P2741" s="96" t="inlineStr">
        <is>
          <t>NSMP2304054565</t>
        </is>
      </c>
      <c r="Q2741" s="53">
        <f>MID(P2741,5,2)</f>
        <v/>
      </c>
      <c r="R2741" s="53">
        <f>MID(P2741,7,2)</f>
        <v/>
      </c>
      <c r="S2741" s="3" t="inlineStr">
        <is>
          <t>G2B</t>
        </is>
      </c>
      <c r="T2741" s="3" t="inlineStr">
        <is>
          <t>P2</t>
        </is>
      </c>
      <c r="U2741" s="19" t="inlineStr">
        <is>
          <t>No Issue Found</t>
        </is>
      </c>
      <c r="V2741" s="19" t="inlineStr">
        <is>
          <t>Found OK</t>
        </is>
      </c>
      <c r="W2741" s="3" t="inlineStr">
        <is>
          <t>Repair</t>
        </is>
      </c>
      <c r="X2741" s="18" t="n">
        <v>46174</v>
      </c>
      <c r="Y2741" s="3">
        <f>X2741-A2741</f>
        <v/>
      </c>
      <c r="Z2741" s="18" t="n">
        <v>46174</v>
      </c>
      <c r="AA2741" s="15" t="n"/>
      <c r="AB2741" s="15" t="n"/>
    </row>
    <row r="2742">
      <c r="A2742" s="59" t="n">
        <v>46148</v>
      </c>
      <c r="B2742" s="3" t="n">
        <v>2026</v>
      </c>
      <c r="C2742" s="21" t="inlineStr">
        <is>
          <t>Continuum</t>
        </is>
      </c>
      <c r="D2742" s="3" t="inlineStr">
        <is>
          <t>Utility and C&amp;I</t>
        </is>
      </c>
      <c r="E2742" s="3" t="n"/>
      <c r="F2742" s="3" t="inlineStr">
        <is>
          <t>Closed</t>
        </is>
      </c>
      <c r="G2742" s="21" t="inlineStr">
        <is>
          <t>Amiya Ranjan Behera</t>
        </is>
      </c>
      <c r="H2742" s="21" t="n">
        <v>8917436223</v>
      </c>
      <c r="I2742" s="38" t="inlineStr">
        <is>
          <t>PE06052602</t>
        </is>
      </c>
      <c r="J2742" s="21" t="inlineStr">
        <is>
          <t>Diode Bypass Module Issue</t>
        </is>
      </c>
      <c r="K2742" s="21" t="inlineStr">
        <is>
          <t>Bhavnagar</t>
        </is>
      </c>
      <c r="L2742" s="21" t="inlineStr">
        <is>
          <t>Gujarat</t>
        </is>
      </c>
      <c r="M2742" s="96" t="inlineStr">
        <is>
          <t xml:space="preserve">OK </t>
        </is>
      </c>
      <c r="N2742" s="3" t="inlineStr">
        <is>
          <t>No Issue</t>
        </is>
      </c>
      <c r="O2742" s="62" t="n">
        <v>540</v>
      </c>
      <c r="P2742" s="96" t="inlineStr">
        <is>
          <t>NSMP2304074587</t>
        </is>
      </c>
      <c r="Q2742" s="53">
        <f>MID(P2742,5,2)</f>
        <v/>
      </c>
      <c r="R2742" s="53">
        <f>MID(P2742,7,2)</f>
        <v/>
      </c>
      <c r="S2742" s="3" t="inlineStr">
        <is>
          <t>G2B</t>
        </is>
      </c>
      <c r="T2742" s="3" t="inlineStr">
        <is>
          <t>P2</t>
        </is>
      </c>
      <c r="U2742" s="19" t="inlineStr">
        <is>
          <t>No Issue Found</t>
        </is>
      </c>
      <c r="V2742" s="19" t="inlineStr">
        <is>
          <t>Found OK</t>
        </is>
      </c>
      <c r="W2742" s="3" t="inlineStr">
        <is>
          <t>Repair</t>
        </is>
      </c>
      <c r="X2742" s="18" t="n">
        <v>46174</v>
      </c>
      <c r="Y2742" s="3">
        <f>X2742-A2742</f>
        <v/>
      </c>
      <c r="Z2742" s="18" t="n">
        <v>46174</v>
      </c>
      <c r="AA2742" s="15" t="n"/>
      <c r="AB2742" s="15" t="n"/>
    </row>
    <row r="2743">
      <c r="A2743" s="59" t="n">
        <v>46148</v>
      </c>
      <c r="B2743" s="3" t="n">
        <v>2026</v>
      </c>
      <c r="C2743" s="21" t="inlineStr">
        <is>
          <t>Continuum</t>
        </is>
      </c>
      <c r="D2743" s="3" t="inlineStr">
        <is>
          <t>Utility and C&amp;I</t>
        </is>
      </c>
      <c r="E2743" s="3" t="n"/>
      <c r="F2743" s="3" t="inlineStr">
        <is>
          <t>Closed</t>
        </is>
      </c>
      <c r="G2743" s="21" t="inlineStr">
        <is>
          <t>Amiya Ranjan Behera</t>
        </is>
      </c>
      <c r="H2743" s="21" t="n">
        <v>8917436223</v>
      </c>
      <c r="I2743" s="38" t="inlineStr">
        <is>
          <t>PE06052602</t>
        </is>
      </c>
      <c r="J2743" s="21" t="inlineStr">
        <is>
          <t>Diode Bypass Module Issue</t>
        </is>
      </c>
      <c r="K2743" s="21" t="inlineStr">
        <is>
          <t>Bhavnagar</t>
        </is>
      </c>
      <c r="L2743" s="21" t="inlineStr">
        <is>
          <t>Gujarat</t>
        </is>
      </c>
      <c r="M2743" s="96" t="inlineStr">
        <is>
          <t xml:space="preserve">OK </t>
        </is>
      </c>
      <c r="N2743" s="3" t="inlineStr">
        <is>
          <t>No Issue</t>
        </is>
      </c>
      <c r="O2743" s="62" t="n">
        <v>540</v>
      </c>
      <c r="P2743" s="96" t="inlineStr">
        <is>
          <t>NSMP2304074633</t>
        </is>
      </c>
      <c r="Q2743" s="53">
        <f>MID(P2743,5,2)</f>
        <v/>
      </c>
      <c r="R2743" s="53">
        <f>MID(P2743,7,2)</f>
        <v/>
      </c>
      <c r="S2743" s="3" t="inlineStr">
        <is>
          <t>G2B</t>
        </is>
      </c>
      <c r="T2743" s="3" t="inlineStr">
        <is>
          <t>P2</t>
        </is>
      </c>
      <c r="U2743" s="19" t="inlineStr">
        <is>
          <t>No Issue Found</t>
        </is>
      </c>
      <c r="V2743" s="19" t="inlineStr">
        <is>
          <t>Found OK</t>
        </is>
      </c>
      <c r="W2743" s="3" t="inlineStr">
        <is>
          <t>Repair</t>
        </is>
      </c>
      <c r="X2743" s="18" t="n">
        <v>46174</v>
      </c>
      <c r="Y2743" s="3">
        <f>X2743-A2743</f>
        <v/>
      </c>
      <c r="Z2743" s="18" t="n">
        <v>46174</v>
      </c>
      <c r="AA2743" s="15" t="n"/>
      <c r="AB2743" s="15" t="n"/>
    </row>
    <row r="2744">
      <c r="A2744" s="59" t="n">
        <v>46148</v>
      </c>
      <c r="B2744" s="3" t="n">
        <v>2026</v>
      </c>
      <c r="C2744" s="21" t="inlineStr">
        <is>
          <t>Continuum</t>
        </is>
      </c>
      <c r="D2744" s="3" t="inlineStr">
        <is>
          <t>Utility and C&amp;I</t>
        </is>
      </c>
      <c r="E2744" s="3" t="n"/>
      <c r="F2744" s="3" t="inlineStr">
        <is>
          <t>Closed</t>
        </is>
      </c>
      <c r="G2744" s="21" t="inlineStr">
        <is>
          <t>Amiya Ranjan Behera</t>
        </is>
      </c>
      <c r="H2744" s="21" t="n">
        <v>8917436223</v>
      </c>
      <c r="I2744" s="38" t="inlineStr">
        <is>
          <t>PE06052602</t>
        </is>
      </c>
      <c r="J2744" s="21" t="inlineStr">
        <is>
          <t>Diode Bypass Module Issue</t>
        </is>
      </c>
      <c r="K2744" s="21" t="inlineStr">
        <is>
          <t>Bhavnagar</t>
        </is>
      </c>
      <c r="L2744" s="21" t="inlineStr">
        <is>
          <t>Gujarat</t>
        </is>
      </c>
      <c r="M2744" s="96" t="inlineStr">
        <is>
          <t xml:space="preserve">OK </t>
        </is>
      </c>
      <c r="N2744" s="3" t="inlineStr">
        <is>
          <t>No Issue</t>
        </is>
      </c>
      <c r="O2744" s="62" t="n">
        <v>540</v>
      </c>
      <c r="P2744" s="96" t="inlineStr">
        <is>
          <t>NSMP2304074631</t>
        </is>
      </c>
      <c r="Q2744" s="53">
        <f>MID(P2744,5,2)</f>
        <v/>
      </c>
      <c r="R2744" s="53">
        <f>MID(P2744,7,2)</f>
        <v/>
      </c>
      <c r="S2744" s="3" t="inlineStr">
        <is>
          <t>G2B</t>
        </is>
      </c>
      <c r="T2744" s="3" t="inlineStr">
        <is>
          <t>P2</t>
        </is>
      </c>
      <c r="U2744" s="19" t="inlineStr">
        <is>
          <t>No Issue Found</t>
        </is>
      </c>
      <c r="V2744" s="19" t="inlineStr">
        <is>
          <t>Found OK</t>
        </is>
      </c>
      <c r="W2744" s="3" t="inlineStr">
        <is>
          <t>Repair</t>
        </is>
      </c>
      <c r="X2744" s="18" t="n">
        <v>46174</v>
      </c>
      <c r="Y2744" s="3">
        <f>X2744-A2744</f>
        <v/>
      </c>
      <c r="Z2744" s="18" t="n">
        <v>46174</v>
      </c>
      <c r="AA2744" s="15" t="n"/>
      <c r="AB2744" s="15" t="n"/>
    </row>
    <row r="2745">
      <c r="A2745" s="59" t="n">
        <v>46148</v>
      </c>
      <c r="B2745" s="3" t="n">
        <v>2026</v>
      </c>
      <c r="C2745" s="21" t="inlineStr">
        <is>
          <t>Continuum</t>
        </is>
      </c>
      <c r="D2745" s="3" t="inlineStr">
        <is>
          <t>Utility and C&amp;I</t>
        </is>
      </c>
      <c r="E2745" s="3" t="n"/>
      <c r="F2745" s="3" t="inlineStr">
        <is>
          <t>Closed</t>
        </is>
      </c>
      <c r="G2745" s="21" t="inlineStr">
        <is>
          <t>Amiya Ranjan Behera</t>
        </is>
      </c>
      <c r="H2745" s="21" t="n">
        <v>8917436223</v>
      </c>
      <c r="I2745" s="38" t="inlineStr">
        <is>
          <t>PE06052602</t>
        </is>
      </c>
      <c r="J2745" s="21" t="inlineStr">
        <is>
          <t>Diode Bypass Module Issue</t>
        </is>
      </c>
      <c r="K2745" s="21" t="inlineStr">
        <is>
          <t>Bhavnagar</t>
        </is>
      </c>
      <c r="L2745" s="21" t="inlineStr">
        <is>
          <t>Gujarat</t>
        </is>
      </c>
      <c r="M2745" s="96" t="inlineStr">
        <is>
          <t xml:space="preserve">OK </t>
        </is>
      </c>
      <c r="N2745" s="3" t="inlineStr">
        <is>
          <t>No Issue</t>
        </is>
      </c>
      <c r="O2745" s="62" t="n">
        <v>540</v>
      </c>
      <c r="P2745" s="96" t="inlineStr">
        <is>
          <t>NSMP2304076499</t>
        </is>
      </c>
      <c r="Q2745" s="53">
        <f>MID(P2745,5,2)</f>
        <v/>
      </c>
      <c r="R2745" s="53">
        <f>MID(P2745,7,2)</f>
        <v/>
      </c>
      <c r="S2745" s="3" t="inlineStr">
        <is>
          <t>G2B</t>
        </is>
      </c>
      <c r="T2745" s="3" t="inlineStr">
        <is>
          <t>P2</t>
        </is>
      </c>
      <c r="U2745" s="19" t="inlineStr">
        <is>
          <t>No Issue Found</t>
        </is>
      </c>
      <c r="V2745" s="19" t="inlineStr">
        <is>
          <t>Found OK</t>
        </is>
      </c>
      <c r="W2745" s="3" t="inlineStr">
        <is>
          <t>Repair</t>
        </is>
      </c>
      <c r="X2745" s="18" t="n">
        <v>46174</v>
      </c>
      <c r="Y2745" s="3">
        <f>X2745-A2745</f>
        <v/>
      </c>
      <c r="Z2745" s="18" t="n">
        <v>46174</v>
      </c>
      <c r="AA2745" s="15" t="n"/>
      <c r="AB2745" s="15" t="n"/>
    </row>
    <row r="2746">
      <c r="A2746" s="59" t="n">
        <v>46148</v>
      </c>
      <c r="B2746" s="3" t="n">
        <v>2026</v>
      </c>
      <c r="C2746" s="21" t="inlineStr">
        <is>
          <t>Continuum</t>
        </is>
      </c>
      <c r="D2746" s="3" t="inlineStr">
        <is>
          <t>Utility and C&amp;I</t>
        </is>
      </c>
      <c r="E2746" s="3" t="n"/>
      <c r="F2746" s="3" t="inlineStr">
        <is>
          <t>Closed</t>
        </is>
      </c>
      <c r="G2746" s="21" t="inlineStr">
        <is>
          <t>Amiya Ranjan Behera</t>
        </is>
      </c>
      <c r="H2746" s="21" t="n">
        <v>8917436223</v>
      </c>
      <c r="I2746" s="38" t="inlineStr">
        <is>
          <t>PE06052602</t>
        </is>
      </c>
      <c r="J2746" s="21" t="inlineStr">
        <is>
          <t>Diode Bypass Module Issue</t>
        </is>
      </c>
      <c r="K2746" s="21" t="inlineStr">
        <is>
          <t>Bhavnagar</t>
        </is>
      </c>
      <c r="L2746" s="21" t="inlineStr">
        <is>
          <t>Gujarat</t>
        </is>
      </c>
      <c r="M2746" s="96" t="inlineStr">
        <is>
          <t xml:space="preserve">OK </t>
        </is>
      </c>
      <c r="N2746" s="3" t="inlineStr">
        <is>
          <t>No Issue</t>
        </is>
      </c>
      <c r="O2746" s="62" t="n">
        <v>540</v>
      </c>
      <c r="P2746" s="102" t="inlineStr">
        <is>
          <t>NSMP2304076581</t>
        </is>
      </c>
      <c r="Q2746" s="53">
        <f>MID(P2746,5,2)</f>
        <v/>
      </c>
      <c r="R2746" s="53">
        <f>MID(P2746,7,2)</f>
        <v/>
      </c>
      <c r="S2746" s="3" t="inlineStr">
        <is>
          <t>G2B</t>
        </is>
      </c>
      <c r="T2746" s="3" t="inlineStr">
        <is>
          <t>P2</t>
        </is>
      </c>
      <c r="U2746" s="19" t="inlineStr">
        <is>
          <t>No Issue Found</t>
        </is>
      </c>
      <c r="V2746" s="19" t="inlineStr">
        <is>
          <t>Found OK</t>
        </is>
      </c>
      <c r="W2746" s="3" t="inlineStr">
        <is>
          <t>Repair</t>
        </is>
      </c>
      <c r="X2746" s="18" t="n">
        <v>46174</v>
      </c>
      <c r="Y2746" s="3">
        <f>X2746-A2746</f>
        <v/>
      </c>
      <c r="Z2746" s="18" t="n">
        <v>46174</v>
      </c>
      <c r="AA2746" s="15" t="n"/>
      <c r="AB2746" s="15" t="n"/>
    </row>
    <row r="2747">
      <c r="A2747" s="59" t="n">
        <v>46148</v>
      </c>
      <c r="B2747" s="3" t="n">
        <v>2026</v>
      </c>
      <c r="C2747" s="21" t="inlineStr">
        <is>
          <t>Continuum</t>
        </is>
      </c>
      <c r="D2747" s="3" t="inlineStr">
        <is>
          <t>Utility and C&amp;I</t>
        </is>
      </c>
      <c r="E2747" s="3" t="n"/>
      <c r="F2747" s="3" t="inlineStr">
        <is>
          <t>Closed</t>
        </is>
      </c>
      <c r="G2747" s="21" t="inlineStr">
        <is>
          <t>Amiya Ranjan Behera</t>
        </is>
      </c>
      <c r="H2747" s="21" t="n">
        <v>8917436223</v>
      </c>
      <c r="I2747" s="38" t="inlineStr">
        <is>
          <t>PE06052602</t>
        </is>
      </c>
      <c r="J2747" s="21" t="inlineStr">
        <is>
          <t>Diode Bypass Module Issue</t>
        </is>
      </c>
      <c r="K2747" s="21" t="inlineStr">
        <is>
          <t>Bhavnagar</t>
        </is>
      </c>
      <c r="L2747" s="21" t="inlineStr">
        <is>
          <t>Gujarat</t>
        </is>
      </c>
      <c r="M2747" s="96" t="inlineStr">
        <is>
          <t xml:space="preserve">OK </t>
        </is>
      </c>
      <c r="N2747" s="3" t="inlineStr">
        <is>
          <t>No Issue</t>
        </is>
      </c>
      <c r="O2747" s="62" t="n">
        <v>540</v>
      </c>
      <c r="P2747" s="96" t="inlineStr">
        <is>
          <t>NSMP2304065421</t>
        </is>
      </c>
      <c r="Q2747" s="53">
        <f>MID(P2747,5,2)</f>
        <v/>
      </c>
      <c r="R2747" s="53">
        <f>MID(P2747,7,2)</f>
        <v/>
      </c>
      <c r="S2747" s="3" t="inlineStr">
        <is>
          <t>G2B</t>
        </is>
      </c>
      <c r="T2747" s="3" t="inlineStr">
        <is>
          <t>P2</t>
        </is>
      </c>
      <c r="U2747" s="19" t="inlineStr">
        <is>
          <t>No Issue Found</t>
        </is>
      </c>
      <c r="V2747" s="19" t="inlineStr">
        <is>
          <t>Found OK</t>
        </is>
      </c>
      <c r="W2747" s="3" t="inlineStr">
        <is>
          <t>Repair</t>
        </is>
      </c>
      <c r="X2747" s="18" t="n">
        <v>46174</v>
      </c>
      <c r="Y2747" s="3">
        <f>X2747-A2747</f>
        <v/>
      </c>
      <c r="Z2747" s="18" t="n">
        <v>46174</v>
      </c>
      <c r="AA2747" s="15" t="n"/>
      <c r="AB2747" s="15" t="n"/>
    </row>
    <row r="2748">
      <c r="A2748" s="59" t="n">
        <v>46148</v>
      </c>
      <c r="B2748" s="3" t="n">
        <v>2026</v>
      </c>
      <c r="C2748" s="21" t="inlineStr">
        <is>
          <t>Continuum</t>
        </is>
      </c>
      <c r="D2748" s="3" t="inlineStr">
        <is>
          <t>Utility and C&amp;I</t>
        </is>
      </c>
      <c r="E2748" s="3" t="n"/>
      <c r="F2748" s="3" t="inlineStr">
        <is>
          <t>Closed</t>
        </is>
      </c>
      <c r="G2748" s="21" t="inlineStr">
        <is>
          <t>Amiya Ranjan Behera</t>
        </is>
      </c>
      <c r="H2748" s="21" t="n">
        <v>8917436223</v>
      </c>
      <c r="I2748" s="38" t="inlineStr">
        <is>
          <t>PE06052602</t>
        </is>
      </c>
      <c r="J2748" s="21" t="inlineStr">
        <is>
          <t>Diode Bypass Module Issue</t>
        </is>
      </c>
      <c r="K2748" s="21" t="inlineStr">
        <is>
          <t>Bhavnagar</t>
        </is>
      </c>
      <c r="L2748" s="21" t="inlineStr">
        <is>
          <t>Gujarat</t>
        </is>
      </c>
      <c r="M2748" s="96" t="inlineStr">
        <is>
          <t xml:space="preserve">OK </t>
        </is>
      </c>
      <c r="N2748" s="3" t="inlineStr">
        <is>
          <t>No Issue</t>
        </is>
      </c>
      <c r="O2748" s="62" t="n">
        <v>540</v>
      </c>
      <c r="P2748" s="96" t="inlineStr">
        <is>
          <t>NSMP2304065717</t>
        </is>
      </c>
      <c r="Q2748" s="53">
        <f>MID(P2748,5,2)</f>
        <v/>
      </c>
      <c r="R2748" s="53">
        <f>MID(P2748,7,2)</f>
        <v/>
      </c>
      <c r="S2748" s="3" t="inlineStr">
        <is>
          <t>G2B</t>
        </is>
      </c>
      <c r="T2748" s="3" t="inlineStr">
        <is>
          <t>P2</t>
        </is>
      </c>
      <c r="U2748" s="19" t="inlineStr">
        <is>
          <t>No Issue Found</t>
        </is>
      </c>
      <c r="V2748" s="19" t="inlineStr">
        <is>
          <t>Found OK</t>
        </is>
      </c>
      <c r="W2748" s="3" t="inlineStr">
        <is>
          <t>Repair</t>
        </is>
      </c>
      <c r="X2748" s="18" t="n">
        <v>46174</v>
      </c>
      <c r="Y2748" s="3">
        <f>X2748-A2748</f>
        <v/>
      </c>
      <c r="Z2748" s="18" t="n">
        <v>46174</v>
      </c>
      <c r="AA2748" s="15" t="n"/>
      <c r="AB2748" s="15" t="n"/>
    </row>
    <row r="2749">
      <c r="A2749" s="59" t="n">
        <v>46148</v>
      </c>
      <c r="B2749" s="3" t="n">
        <v>2026</v>
      </c>
      <c r="C2749" s="21" t="inlineStr">
        <is>
          <t>Continuum</t>
        </is>
      </c>
      <c r="D2749" s="3" t="inlineStr">
        <is>
          <t>Utility and C&amp;I</t>
        </is>
      </c>
      <c r="E2749" s="3" t="n"/>
      <c r="F2749" s="3" t="inlineStr">
        <is>
          <t>Closed</t>
        </is>
      </c>
      <c r="G2749" s="21" t="inlineStr">
        <is>
          <t>Amiya Ranjan Behera</t>
        </is>
      </c>
      <c r="H2749" s="21" t="n">
        <v>8917436223</v>
      </c>
      <c r="I2749" s="38" t="inlineStr">
        <is>
          <t>PE06052602</t>
        </is>
      </c>
      <c r="J2749" s="21" t="inlineStr">
        <is>
          <t>Diode Bypass Module Issue</t>
        </is>
      </c>
      <c r="K2749" s="21" t="inlineStr">
        <is>
          <t>Bhavnagar</t>
        </is>
      </c>
      <c r="L2749" s="21" t="inlineStr">
        <is>
          <t>Gujarat</t>
        </is>
      </c>
      <c r="M2749" s="96" t="inlineStr">
        <is>
          <t xml:space="preserve">OK </t>
        </is>
      </c>
      <c r="N2749" s="3" t="inlineStr">
        <is>
          <t>No Issue</t>
        </is>
      </c>
      <c r="O2749" s="62" t="n">
        <v>540</v>
      </c>
      <c r="P2749" s="96" t="inlineStr">
        <is>
          <t>NSMP2304071697</t>
        </is>
      </c>
      <c r="Q2749" s="53">
        <f>MID(P2749,5,2)</f>
        <v/>
      </c>
      <c r="R2749" s="53">
        <f>MID(P2749,7,2)</f>
        <v/>
      </c>
      <c r="S2749" s="3" t="inlineStr">
        <is>
          <t>G2B</t>
        </is>
      </c>
      <c r="T2749" s="3" t="inlineStr">
        <is>
          <t>P2</t>
        </is>
      </c>
      <c r="U2749" s="19" t="inlineStr">
        <is>
          <t>No Issue Found</t>
        </is>
      </c>
      <c r="V2749" s="19" t="inlineStr">
        <is>
          <t>Found OK</t>
        </is>
      </c>
      <c r="W2749" s="3" t="inlineStr">
        <is>
          <t>Repair</t>
        </is>
      </c>
      <c r="X2749" s="18" t="n">
        <v>46174</v>
      </c>
      <c r="Y2749" s="3">
        <f>X2749-A2749</f>
        <v/>
      </c>
      <c r="Z2749" s="18" t="n">
        <v>46174</v>
      </c>
      <c r="AA2749" s="15" t="n"/>
      <c r="AB2749" s="15" t="n"/>
    </row>
    <row r="2750">
      <c r="A2750" s="59" t="n">
        <v>46148</v>
      </c>
      <c r="B2750" s="3" t="n">
        <v>2026</v>
      </c>
      <c r="C2750" s="21" t="inlineStr">
        <is>
          <t>Continuum</t>
        </is>
      </c>
      <c r="D2750" s="3" t="inlineStr">
        <is>
          <t>Utility and C&amp;I</t>
        </is>
      </c>
      <c r="E2750" s="3" t="n"/>
      <c r="F2750" s="3" t="inlineStr">
        <is>
          <t>Closed</t>
        </is>
      </c>
      <c r="G2750" s="21" t="inlineStr">
        <is>
          <t>Amiya Ranjan Behera</t>
        </is>
      </c>
      <c r="H2750" s="21" t="n">
        <v>8917436223</v>
      </c>
      <c r="I2750" s="38" t="inlineStr">
        <is>
          <t>PE06052602</t>
        </is>
      </c>
      <c r="J2750" s="21" t="inlineStr">
        <is>
          <t>Diode Bypass Module Issue</t>
        </is>
      </c>
      <c r="K2750" s="21" t="inlineStr">
        <is>
          <t>Bhavnagar</t>
        </is>
      </c>
      <c r="L2750" s="21" t="inlineStr">
        <is>
          <t>Gujarat</t>
        </is>
      </c>
      <c r="M2750" s="96" t="inlineStr">
        <is>
          <t xml:space="preserve">OK </t>
        </is>
      </c>
      <c r="N2750" s="3" t="inlineStr">
        <is>
          <t>No Issue</t>
        </is>
      </c>
      <c r="O2750" s="62" t="n">
        <v>540</v>
      </c>
      <c r="P2750" s="96" t="inlineStr">
        <is>
          <t>NSMP2304074206</t>
        </is>
      </c>
      <c r="Q2750" s="53">
        <f>MID(P2750,5,2)</f>
        <v/>
      </c>
      <c r="R2750" s="53">
        <f>MID(P2750,7,2)</f>
        <v/>
      </c>
      <c r="S2750" s="3" t="inlineStr">
        <is>
          <t>G2B</t>
        </is>
      </c>
      <c r="T2750" s="3" t="inlineStr">
        <is>
          <t>P2</t>
        </is>
      </c>
      <c r="U2750" s="19" t="inlineStr">
        <is>
          <t>No Issue Found</t>
        </is>
      </c>
      <c r="V2750" s="19" t="inlineStr">
        <is>
          <t>Found OK</t>
        </is>
      </c>
      <c r="W2750" s="3" t="inlineStr">
        <is>
          <t>Repair</t>
        </is>
      </c>
      <c r="X2750" s="18" t="n">
        <v>46174</v>
      </c>
      <c r="Y2750" s="3">
        <f>X2750-A2750</f>
        <v/>
      </c>
      <c r="Z2750" s="18" t="n">
        <v>46174</v>
      </c>
      <c r="AA2750" s="15" t="n"/>
      <c r="AB2750" s="15" t="n"/>
    </row>
    <row r="2751">
      <c r="A2751" s="59" t="n">
        <v>46148</v>
      </c>
      <c r="B2751" s="3" t="n">
        <v>2026</v>
      </c>
      <c r="C2751" s="21" t="inlineStr">
        <is>
          <t>Continuum</t>
        </is>
      </c>
      <c r="D2751" s="3" t="inlineStr">
        <is>
          <t>Utility and C&amp;I</t>
        </is>
      </c>
      <c r="E2751" s="3" t="n"/>
      <c r="F2751" s="3" t="inlineStr">
        <is>
          <t>Closed</t>
        </is>
      </c>
      <c r="G2751" s="21" t="inlineStr">
        <is>
          <t>Amiya Ranjan Behera</t>
        </is>
      </c>
      <c r="H2751" s="21" t="n">
        <v>8917436223</v>
      </c>
      <c r="I2751" s="38" t="inlineStr">
        <is>
          <t>PE06052602</t>
        </is>
      </c>
      <c r="J2751" s="21" t="inlineStr">
        <is>
          <t>Diode Bypass Module Issue</t>
        </is>
      </c>
      <c r="K2751" s="21" t="inlineStr">
        <is>
          <t>Bhavnagar</t>
        </is>
      </c>
      <c r="L2751" s="21" t="inlineStr">
        <is>
          <t>Gujarat</t>
        </is>
      </c>
      <c r="M2751" s="96" t="inlineStr">
        <is>
          <t>PS</t>
        </is>
      </c>
      <c r="N2751" s="3" t="inlineStr">
        <is>
          <t>Cold Soldering</t>
        </is>
      </c>
      <c r="O2751" s="62" t="n">
        <v>540</v>
      </c>
      <c r="P2751" s="96" t="inlineStr">
        <is>
          <t>NSMP2304074919</t>
        </is>
      </c>
      <c r="Q2751" s="53">
        <f>MID(P2751,5,2)</f>
        <v/>
      </c>
      <c r="R2751" s="53">
        <f>MID(P2751,7,2)</f>
        <v/>
      </c>
      <c r="S2751" s="3" t="inlineStr">
        <is>
          <t>G2B</t>
        </is>
      </c>
      <c r="T2751" s="3" t="inlineStr">
        <is>
          <t>P2</t>
        </is>
      </c>
      <c r="U2751" s="3" t="inlineStr">
        <is>
          <t>P JB Cold Soldering</t>
        </is>
      </c>
      <c r="V2751" s="3" t="inlineStr">
        <is>
          <t>Soldering</t>
        </is>
      </c>
      <c r="W2751" s="3" t="inlineStr">
        <is>
          <t>Repair</t>
        </is>
      </c>
      <c r="X2751" s="18" t="n">
        <v>46174</v>
      </c>
      <c r="Y2751" s="3">
        <f>X2751-A2751</f>
        <v/>
      </c>
      <c r="Z2751" s="18" t="n">
        <v>46174</v>
      </c>
      <c r="AA2751" s="15" t="n"/>
      <c r="AB2751" s="15" t="n"/>
    </row>
    <row r="2752">
      <c r="A2752" s="59" t="n">
        <v>46148</v>
      </c>
      <c r="B2752" s="3" t="n">
        <v>2026</v>
      </c>
      <c r="C2752" s="21" t="inlineStr">
        <is>
          <t>Continuum</t>
        </is>
      </c>
      <c r="D2752" s="3" t="inlineStr">
        <is>
          <t>Utility and C&amp;I</t>
        </is>
      </c>
      <c r="E2752" s="3" t="n"/>
      <c r="F2752" s="3" t="inlineStr">
        <is>
          <t>Closed</t>
        </is>
      </c>
      <c r="G2752" s="21" t="inlineStr">
        <is>
          <t>Amiya Ranjan Behera</t>
        </is>
      </c>
      <c r="H2752" s="21" t="n">
        <v>8917436223</v>
      </c>
      <c r="I2752" s="38" t="inlineStr">
        <is>
          <t>PE06052602</t>
        </is>
      </c>
      <c r="J2752" s="21" t="inlineStr">
        <is>
          <t>Diode Bypass Module Issue</t>
        </is>
      </c>
      <c r="K2752" s="21" t="inlineStr">
        <is>
          <t>Bhavnagar</t>
        </is>
      </c>
      <c r="L2752" s="21" t="inlineStr">
        <is>
          <t>Gujarat</t>
        </is>
      </c>
      <c r="M2752" s="96" t="inlineStr">
        <is>
          <t xml:space="preserve">OK </t>
        </is>
      </c>
      <c r="N2752" s="3" t="inlineStr">
        <is>
          <t>No Issue</t>
        </is>
      </c>
      <c r="O2752" s="62" t="n">
        <v>540</v>
      </c>
      <c r="P2752" s="96" t="inlineStr">
        <is>
          <t>NSMP2305124187</t>
        </is>
      </c>
      <c r="Q2752" s="53">
        <f>MID(P2752,5,2)</f>
        <v/>
      </c>
      <c r="R2752" s="53">
        <f>MID(P2752,7,2)</f>
        <v/>
      </c>
      <c r="S2752" s="3" t="inlineStr">
        <is>
          <t>G2B</t>
        </is>
      </c>
      <c r="T2752" s="3" t="inlineStr">
        <is>
          <t>P2</t>
        </is>
      </c>
      <c r="U2752" s="19" t="inlineStr">
        <is>
          <t>No Issue Found</t>
        </is>
      </c>
      <c r="V2752" s="19" t="inlineStr">
        <is>
          <t>Found OK</t>
        </is>
      </c>
      <c r="W2752" s="3" t="inlineStr">
        <is>
          <t>Repair</t>
        </is>
      </c>
      <c r="X2752" s="18" t="n">
        <v>46174</v>
      </c>
      <c r="Y2752" s="3">
        <f>X2752-A2752</f>
        <v/>
      </c>
      <c r="Z2752" s="18" t="n">
        <v>46174</v>
      </c>
      <c r="AA2752" s="15" t="n"/>
      <c r="AB2752" s="15" t="n"/>
    </row>
    <row r="2753">
      <c r="A2753" s="59" t="n">
        <v>46148</v>
      </c>
      <c r="B2753" s="3" t="n">
        <v>2026</v>
      </c>
      <c r="C2753" s="21" t="inlineStr">
        <is>
          <t>Continuum</t>
        </is>
      </c>
      <c r="D2753" s="3" t="inlineStr">
        <is>
          <t>Utility and C&amp;I</t>
        </is>
      </c>
      <c r="E2753" s="3" t="n"/>
      <c r="F2753" s="3" t="inlineStr">
        <is>
          <t>Closed</t>
        </is>
      </c>
      <c r="G2753" s="21" t="inlineStr">
        <is>
          <t>Amiya Ranjan Behera</t>
        </is>
      </c>
      <c r="H2753" s="21" t="n">
        <v>8917436223</v>
      </c>
      <c r="I2753" s="38" t="inlineStr">
        <is>
          <t>PE06052602</t>
        </is>
      </c>
      <c r="J2753" s="21" t="inlineStr">
        <is>
          <t>Diode Bypass Module Issue</t>
        </is>
      </c>
      <c r="K2753" s="21" t="inlineStr">
        <is>
          <t>Bhavnagar</t>
        </is>
      </c>
      <c r="L2753" s="21" t="inlineStr">
        <is>
          <t>Gujarat</t>
        </is>
      </c>
      <c r="M2753" s="96" t="inlineStr">
        <is>
          <t xml:space="preserve">OK </t>
        </is>
      </c>
      <c r="N2753" s="3" t="inlineStr">
        <is>
          <t>No Issue</t>
        </is>
      </c>
      <c r="O2753" s="62" t="n">
        <v>540</v>
      </c>
      <c r="P2753" s="96" t="inlineStr">
        <is>
          <t>NSMP2305124174</t>
        </is>
      </c>
      <c r="Q2753" s="53">
        <f>MID(P2753,5,2)</f>
        <v/>
      </c>
      <c r="R2753" s="53">
        <f>MID(P2753,7,2)</f>
        <v/>
      </c>
      <c r="S2753" s="3" t="inlineStr">
        <is>
          <t>G2B</t>
        </is>
      </c>
      <c r="T2753" s="3" t="inlineStr">
        <is>
          <t>P2</t>
        </is>
      </c>
      <c r="U2753" s="19" t="inlineStr">
        <is>
          <t>No Issue Found</t>
        </is>
      </c>
      <c r="V2753" s="19" t="inlineStr">
        <is>
          <t>Found OK</t>
        </is>
      </c>
      <c r="W2753" s="3" t="inlineStr">
        <is>
          <t>Repair</t>
        </is>
      </c>
      <c r="X2753" s="18" t="n">
        <v>46174</v>
      </c>
      <c r="Y2753" s="3">
        <f>X2753-A2753</f>
        <v/>
      </c>
      <c r="Z2753" s="18" t="n">
        <v>46174</v>
      </c>
      <c r="AA2753" s="15" t="n"/>
      <c r="AB2753" s="15" t="n"/>
    </row>
    <row r="2754">
      <c r="A2754" s="59" t="n">
        <v>46148</v>
      </c>
      <c r="B2754" s="3" t="n">
        <v>2026</v>
      </c>
      <c r="C2754" s="21" t="inlineStr">
        <is>
          <t>Continuum</t>
        </is>
      </c>
      <c r="D2754" s="3" t="inlineStr">
        <is>
          <t>Utility and C&amp;I</t>
        </is>
      </c>
      <c r="E2754" s="3" t="n"/>
      <c r="F2754" s="3" t="inlineStr">
        <is>
          <t>Closed</t>
        </is>
      </c>
      <c r="G2754" s="21" t="inlineStr">
        <is>
          <t>Amiya Ranjan Behera</t>
        </is>
      </c>
      <c r="H2754" s="21" t="n">
        <v>8917436223</v>
      </c>
      <c r="I2754" s="38" t="inlineStr">
        <is>
          <t>PE06052602</t>
        </is>
      </c>
      <c r="J2754" s="21" t="inlineStr">
        <is>
          <t>Diode Bypass Module Issue</t>
        </is>
      </c>
      <c r="K2754" s="21" t="inlineStr">
        <is>
          <t>Bhavnagar</t>
        </is>
      </c>
      <c r="L2754" s="21" t="inlineStr">
        <is>
          <t>Gujarat</t>
        </is>
      </c>
      <c r="M2754" s="96" t="inlineStr">
        <is>
          <t>PS</t>
        </is>
      </c>
      <c r="N2754" s="3" t="inlineStr">
        <is>
          <t>Cold Soldering</t>
        </is>
      </c>
      <c r="O2754" s="62" t="n">
        <v>540</v>
      </c>
      <c r="P2754" s="96" t="inlineStr">
        <is>
          <t>NSMP2304067163</t>
        </is>
      </c>
      <c r="Q2754" s="53">
        <f>MID(P2754,5,2)</f>
        <v/>
      </c>
      <c r="R2754" s="53">
        <f>MID(P2754,7,2)</f>
        <v/>
      </c>
      <c r="S2754" s="3" t="inlineStr">
        <is>
          <t>G2B</t>
        </is>
      </c>
      <c r="T2754" s="3" t="inlineStr">
        <is>
          <t>P2</t>
        </is>
      </c>
      <c r="U2754" s="3" t="inlineStr">
        <is>
          <t>P JB Cold Soldering</t>
        </is>
      </c>
      <c r="V2754" s="3" t="inlineStr">
        <is>
          <t>Soldering</t>
        </is>
      </c>
      <c r="W2754" s="3" t="inlineStr">
        <is>
          <t>Repair</t>
        </is>
      </c>
      <c r="X2754" s="18" t="n">
        <v>46174</v>
      </c>
      <c r="Y2754" s="3">
        <f>X2754-A2754</f>
        <v/>
      </c>
      <c r="Z2754" s="18" t="n">
        <v>46174</v>
      </c>
      <c r="AA2754" s="15" t="n"/>
      <c r="AB2754" s="15" t="n"/>
    </row>
    <row r="2755">
      <c r="A2755" s="59" t="n">
        <v>46148</v>
      </c>
      <c r="B2755" s="3" t="n">
        <v>2026</v>
      </c>
      <c r="C2755" s="21" t="inlineStr">
        <is>
          <t>Continuum</t>
        </is>
      </c>
      <c r="D2755" s="3" t="inlineStr">
        <is>
          <t>Utility and C&amp;I</t>
        </is>
      </c>
      <c r="E2755" s="3" t="n"/>
      <c r="F2755" s="3" t="inlineStr">
        <is>
          <t>Closed</t>
        </is>
      </c>
      <c r="G2755" s="21" t="inlineStr">
        <is>
          <t>Amiya Ranjan Behera</t>
        </is>
      </c>
      <c r="H2755" s="21" t="n">
        <v>8917436223</v>
      </c>
      <c r="I2755" s="38" t="inlineStr">
        <is>
          <t>PE06052602</t>
        </is>
      </c>
      <c r="J2755" s="21" t="inlineStr">
        <is>
          <t>Diode Bypass Module Issue</t>
        </is>
      </c>
      <c r="K2755" s="21" t="inlineStr">
        <is>
          <t>Bhavnagar</t>
        </is>
      </c>
      <c r="L2755" s="21" t="inlineStr">
        <is>
          <t>Gujarat</t>
        </is>
      </c>
      <c r="M2755" s="96" t="inlineStr">
        <is>
          <t>PS</t>
        </is>
      </c>
      <c r="N2755" s="3" t="inlineStr">
        <is>
          <t>Cold Soldering</t>
        </is>
      </c>
      <c r="O2755" s="62" t="n">
        <v>540</v>
      </c>
      <c r="P2755" s="96" t="inlineStr">
        <is>
          <t>NSMP2304067186</t>
        </is>
      </c>
      <c r="Q2755" s="53">
        <f>MID(P2755,5,2)</f>
        <v/>
      </c>
      <c r="R2755" s="53">
        <f>MID(P2755,7,2)</f>
        <v/>
      </c>
      <c r="S2755" s="3" t="inlineStr">
        <is>
          <t>G2B</t>
        </is>
      </c>
      <c r="T2755" s="3" t="inlineStr">
        <is>
          <t>P2</t>
        </is>
      </c>
      <c r="U2755" s="3" t="inlineStr">
        <is>
          <t>P JB Cold Soldering</t>
        </is>
      </c>
      <c r="V2755" s="3" t="inlineStr">
        <is>
          <t>Soldering</t>
        </is>
      </c>
      <c r="W2755" s="3" t="inlineStr">
        <is>
          <t>Repair</t>
        </is>
      </c>
      <c r="X2755" s="18" t="n">
        <v>46174</v>
      </c>
      <c r="Y2755" s="3">
        <f>X2755-A2755</f>
        <v/>
      </c>
      <c r="Z2755" s="18" t="n">
        <v>46174</v>
      </c>
      <c r="AA2755" s="15" t="n"/>
      <c r="AB2755" s="15" t="n"/>
    </row>
    <row r="2756">
      <c r="A2756" s="59" t="n">
        <v>46148</v>
      </c>
      <c r="B2756" s="3" t="n">
        <v>2026</v>
      </c>
      <c r="C2756" s="21" t="inlineStr">
        <is>
          <t>Continuum</t>
        </is>
      </c>
      <c r="D2756" s="3" t="inlineStr">
        <is>
          <t>Utility and C&amp;I</t>
        </is>
      </c>
      <c r="E2756" s="3" t="n"/>
      <c r="F2756" s="3" t="inlineStr">
        <is>
          <t>Closed</t>
        </is>
      </c>
      <c r="G2756" s="21" t="inlineStr">
        <is>
          <t>Amiya Ranjan Behera</t>
        </is>
      </c>
      <c r="H2756" s="21" t="n">
        <v>8917436223</v>
      </c>
      <c r="I2756" s="38" t="inlineStr">
        <is>
          <t>PE06052602</t>
        </is>
      </c>
      <c r="J2756" s="21" t="inlineStr">
        <is>
          <t>Diode Bypass Module Issue</t>
        </is>
      </c>
      <c r="K2756" s="21" t="inlineStr">
        <is>
          <t>Bhavnagar</t>
        </is>
      </c>
      <c r="L2756" s="21" t="inlineStr">
        <is>
          <t>Gujarat</t>
        </is>
      </c>
      <c r="M2756" s="96" t="inlineStr">
        <is>
          <t>PS</t>
        </is>
      </c>
      <c r="N2756" s="3" t="inlineStr">
        <is>
          <t>Cold Soldering</t>
        </is>
      </c>
      <c r="O2756" s="62" t="n">
        <v>540</v>
      </c>
      <c r="P2756" s="96" t="inlineStr">
        <is>
          <t>NSMP2304067236</t>
        </is>
      </c>
      <c r="Q2756" s="53">
        <f>MID(P2756,5,2)</f>
        <v/>
      </c>
      <c r="R2756" s="53">
        <f>MID(P2756,7,2)</f>
        <v/>
      </c>
      <c r="S2756" s="3" t="inlineStr">
        <is>
          <t>G2B</t>
        </is>
      </c>
      <c r="T2756" s="3" t="inlineStr">
        <is>
          <t>P2</t>
        </is>
      </c>
      <c r="U2756" s="3" t="inlineStr">
        <is>
          <t>P JB Cold Soldering</t>
        </is>
      </c>
      <c r="V2756" s="3" t="inlineStr">
        <is>
          <t>Soldering</t>
        </is>
      </c>
      <c r="W2756" s="3" t="inlineStr">
        <is>
          <t>Repair</t>
        </is>
      </c>
      <c r="X2756" s="18" t="n">
        <v>46174</v>
      </c>
      <c r="Y2756" s="3">
        <f>X2756-A2756</f>
        <v/>
      </c>
      <c r="Z2756" s="18" t="n">
        <v>46174</v>
      </c>
      <c r="AA2756" s="15" t="n"/>
      <c r="AB2756" s="15" t="n"/>
    </row>
    <row r="2757">
      <c r="A2757" s="59" t="n">
        <v>46148</v>
      </c>
      <c r="B2757" s="3" t="n">
        <v>2026</v>
      </c>
      <c r="C2757" s="21" t="inlineStr">
        <is>
          <t>Continuum</t>
        </is>
      </c>
      <c r="D2757" s="3" t="inlineStr">
        <is>
          <t>Utility and C&amp;I</t>
        </is>
      </c>
      <c r="E2757" s="3" t="n"/>
      <c r="F2757" s="3" t="inlineStr">
        <is>
          <t>Closed</t>
        </is>
      </c>
      <c r="G2757" s="21" t="inlineStr">
        <is>
          <t>Amiya Ranjan Behera</t>
        </is>
      </c>
      <c r="H2757" s="21" t="n">
        <v>8917436223</v>
      </c>
      <c r="I2757" s="38" t="inlineStr">
        <is>
          <t>PE06052602</t>
        </is>
      </c>
      <c r="J2757" s="21" t="inlineStr">
        <is>
          <t>Diode Bypass Module Issue</t>
        </is>
      </c>
      <c r="K2757" s="21" t="inlineStr">
        <is>
          <t>Bhavnagar</t>
        </is>
      </c>
      <c r="L2757" s="21" t="inlineStr">
        <is>
          <t>Gujarat</t>
        </is>
      </c>
      <c r="M2757" s="96" t="inlineStr">
        <is>
          <t>PS</t>
        </is>
      </c>
      <c r="N2757" s="3" t="inlineStr">
        <is>
          <t>Cold Soldering</t>
        </is>
      </c>
      <c r="O2757" s="62" t="n">
        <v>540</v>
      </c>
      <c r="P2757" s="96" t="inlineStr">
        <is>
          <t>NSMP2304067056</t>
        </is>
      </c>
      <c r="Q2757" s="53">
        <f>MID(P2757,5,2)</f>
        <v/>
      </c>
      <c r="R2757" s="53">
        <f>MID(P2757,7,2)</f>
        <v/>
      </c>
      <c r="S2757" s="3" t="inlineStr">
        <is>
          <t>G2B</t>
        </is>
      </c>
      <c r="T2757" s="3" t="inlineStr">
        <is>
          <t>P2</t>
        </is>
      </c>
      <c r="U2757" s="3" t="inlineStr">
        <is>
          <t>P JB Cold Soldering</t>
        </is>
      </c>
      <c r="V2757" s="3" t="inlineStr">
        <is>
          <t>Soldering</t>
        </is>
      </c>
      <c r="W2757" s="3" t="inlineStr">
        <is>
          <t>Repair</t>
        </is>
      </c>
      <c r="X2757" s="18" t="n">
        <v>46174</v>
      </c>
      <c r="Y2757" s="3">
        <f>X2757-A2757</f>
        <v/>
      </c>
      <c r="Z2757" s="18" t="n">
        <v>46174</v>
      </c>
      <c r="AA2757" s="15" t="n"/>
      <c r="AB2757" s="15" t="n"/>
    </row>
    <row r="2758">
      <c r="A2758" s="59" t="n">
        <v>46148</v>
      </c>
      <c r="B2758" s="3" t="n">
        <v>2026</v>
      </c>
      <c r="C2758" s="21" t="inlineStr">
        <is>
          <t>Continuum</t>
        </is>
      </c>
      <c r="D2758" s="3" t="inlineStr">
        <is>
          <t>Utility and C&amp;I</t>
        </is>
      </c>
      <c r="E2758" s="3" t="n"/>
      <c r="F2758" s="3" t="inlineStr">
        <is>
          <t>Closed</t>
        </is>
      </c>
      <c r="G2758" s="21" t="inlineStr">
        <is>
          <t>Amiya Ranjan Behera</t>
        </is>
      </c>
      <c r="H2758" s="21" t="n">
        <v>8917436223</v>
      </c>
      <c r="I2758" s="38" t="inlineStr">
        <is>
          <t>PE06052602</t>
        </is>
      </c>
      <c r="J2758" s="21" t="inlineStr">
        <is>
          <t>Diode Bypass Module Issue</t>
        </is>
      </c>
      <c r="K2758" s="21" t="inlineStr">
        <is>
          <t>Bhavnagar</t>
        </is>
      </c>
      <c r="L2758" s="21" t="inlineStr">
        <is>
          <t>Gujarat</t>
        </is>
      </c>
      <c r="M2758" s="96" t="inlineStr">
        <is>
          <t>PS</t>
        </is>
      </c>
      <c r="N2758" s="3" t="inlineStr">
        <is>
          <t>Cold Soldering</t>
        </is>
      </c>
      <c r="O2758" s="62" t="n">
        <v>540</v>
      </c>
      <c r="P2758" s="96" t="inlineStr">
        <is>
          <t>NSMP2304067222</t>
        </is>
      </c>
      <c r="Q2758" s="53">
        <f>MID(P2758,5,2)</f>
        <v/>
      </c>
      <c r="R2758" s="53">
        <f>MID(P2758,7,2)</f>
        <v/>
      </c>
      <c r="S2758" s="3" t="inlineStr">
        <is>
          <t>G2B</t>
        </is>
      </c>
      <c r="T2758" s="3" t="inlineStr">
        <is>
          <t>P2</t>
        </is>
      </c>
      <c r="U2758" s="3" t="inlineStr">
        <is>
          <t>P JB Cold Soldering</t>
        </is>
      </c>
      <c r="V2758" s="3" t="inlineStr">
        <is>
          <t>Soldering</t>
        </is>
      </c>
      <c r="W2758" s="3" t="inlineStr">
        <is>
          <t>Repair</t>
        </is>
      </c>
      <c r="X2758" s="18" t="n">
        <v>46174</v>
      </c>
      <c r="Y2758" s="3">
        <f>X2758-A2758</f>
        <v/>
      </c>
      <c r="Z2758" s="18" t="n">
        <v>46174</v>
      </c>
      <c r="AA2758" s="15" t="n"/>
      <c r="AB2758" s="15" t="n"/>
    </row>
    <row r="2759">
      <c r="A2759" s="59" t="n">
        <v>46148</v>
      </c>
      <c r="B2759" s="3" t="n">
        <v>2026</v>
      </c>
      <c r="C2759" s="21" t="inlineStr">
        <is>
          <t>Continuum</t>
        </is>
      </c>
      <c r="D2759" s="3" t="inlineStr">
        <is>
          <t>Utility and C&amp;I</t>
        </is>
      </c>
      <c r="E2759" s="3" t="n"/>
      <c r="F2759" s="3" t="inlineStr">
        <is>
          <t>Closed</t>
        </is>
      </c>
      <c r="G2759" s="21" t="inlineStr">
        <is>
          <t>Amiya Ranjan Behera</t>
        </is>
      </c>
      <c r="H2759" s="21" t="n">
        <v>8917436223</v>
      </c>
      <c r="I2759" s="38" t="inlineStr">
        <is>
          <t>PE06052602</t>
        </is>
      </c>
      <c r="J2759" s="21" t="inlineStr">
        <is>
          <t>Diode Bypass Module Issue</t>
        </is>
      </c>
      <c r="K2759" s="21" t="inlineStr">
        <is>
          <t>Bhavnagar</t>
        </is>
      </c>
      <c r="L2759" s="21" t="inlineStr">
        <is>
          <t>Gujarat</t>
        </is>
      </c>
      <c r="M2759" s="96" t="inlineStr">
        <is>
          <t>PS</t>
        </is>
      </c>
      <c r="N2759" s="3" t="inlineStr">
        <is>
          <t>Cold Soldering</t>
        </is>
      </c>
      <c r="O2759" s="62" t="n">
        <v>540</v>
      </c>
      <c r="P2759" s="96" t="inlineStr">
        <is>
          <t>NSMP2304067229</t>
        </is>
      </c>
      <c r="Q2759" s="53">
        <f>MID(P2759,5,2)</f>
        <v/>
      </c>
      <c r="R2759" s="53">
        <f>MID(P2759,7,2)</f>
        <v/>
      </c>
      <c r="S2759" s="3" t="inlineStr">
        <is>
          <t>G2B</t>
        </is>
      </c>
      <c r="T2759" s="3" t="inlineStr">
        <is>
          <t>P2</t>
        </is>
      </c>
      <c r="U2759" s="3" t="inlineStr">
        <is>
          <t>P JB Cold Soldering</t>
        </is>
      </c>
      <c r="V2759" s="3" t="inlineStr">
        <is>
          <t>Soldering</t>
        </is>
      </c>
      <c r="W2759" s="3" t="inlineStr">
        <is>
          <t>Repair</t>
        </is>
      </c>
      <c r="X2759" s="18" t="n">
        <v>46174</v>
      </c>
      <c r="Y2759" s="3">
        <f>X2759-A2759</f>
        <v/>
      </c>
      <c r="Z2759" s="18" t="n">
        <v>46174</v>
      </c>
      <c r="AA2759" s="15" t="n"/>
      <c r="AB2759" s="15" t="n"/>
    </row>
    <row r="2760">
      <c r="A2760" s="59" t="n">
        <v>46148</v>
      </c>
      <c r="B2760" s="3" t="n">
        <v>2026</v>
      </c>
      <c r="C2760" s="21" t="inlineStr">
        <is>
          <t>Continuum</t>
        </is>
      </c>
      <c r="D2760" s="3" t="inlineStr">
        <is>
          <t>Utility and C&amp;I</t>
        </is>
      </c>
      <c r="E2760" s="3" t="n"/>
      <c r="F2760" s="3" t="inlineStr">
        <is>
          <t>Closed</t>
        </is>
      </c>
      <c r="G2760" s="21" t="inlineStr">
        <is>
          <t>Amiya Ranjan Behera</t>
        </is>
      </c>
      <c r="H2760" s="21" t="n">
        <v>8917436223</v>
      </c>
      <c r="I2760" s="38" t="inlineStr">
        <is>
          <t>PE06052602</t>
        </is>
      </c>
      <c r="J2760" s="21" t="inlineStr">
        <is>
          <t>Diode Bypass Module Issue</t>
        </is>
      </c>
      <c r="K2760" s="21" t="inlineStr">
        <is>
          <t>Bhavnagar</t>
        </is>
      </c>
      <c r="L2760" s="21" t="inlineStr">
        <is>
          <t>Gujarat</t>
        </is>
      </c>
      <c r="M2760" s="96" t="inlineStr">
        <is>
          <t>PS</t>
        </is>
      </c>
      <c r="N2760" s="3" t="inlineStr">
        <is>
          <t>Cold Soldering</t>
        </is>
      </c>
      <c r="O2760" s="62" t="n">
        <v>540</v>
      </c>
      <c r="P2760" s="96" t="inlineStr">
        <is>
          <t>NSMP2304067224</t>
        </is>
      </c>
      <c r="Q2760" s="53">
        <f>MID(P2760,5,2)</f>
        <v/>
      </c>
      <c r="R2760" s="53">
        <f>MID(P2760,7,2)</f>
        <v/>
      </c>
      <c r="S2760" s="3" t="inlineStr">
        <is>
          <t>G2B</t>
        </is>
      </c>
      <c r="T2760" s="3" t="inlineStr">
        <is>
          <t>P2</t>
        </is>
      </c>
      <c r="U2760" s="3" t="inlineStr">
        <is>
          <t>P JB Cold Soldering</t>
        </is>
      </c>
      <c r="V2760" s="3" t="inlineStr">
        <is>
          <t>Soldering</t>
        </is>
      </c>
      <c r="W2760" s="3" t="inlineStr">
        <is>
          <t>Repair</t>
        </is>
      </c>
      <c r="X2760" s="18" t="n">
        <v>46174</v>
      </c>
      <c r="Y2760" s="3">
        <f>X2760-A2760</f>
        <v/>
      </c>
      <c r="Z2760" s="18" t="n">
        <v>46174</v>
      </c>
      <c r="AA2760" s="15" t="n"/>
      <c r="AB2760" s="15" t="n"/>
    </row>
    <row r="2761">
      <c r="A2761" s="59" t="n">
        <v>46148</v>
      </c>
      <c r="B2761" s="3" t="n">
        <v>2026</v>
      </c>
      <c r="C2761" s="21" t="inlineStr">
        <is>
          <t>Continuum</t>
        </is>
      </c>
      <c r="D2761" s="3" t="inlineStr">
        <is>
          <t>Utility and C&amp;I</t>
        </is>
      </c>
      <c r="E2761" s="3" t="n"/>
      <c r="F2761" s="3" t="inlineStr">
        <is>
          <t>Closed</t>
        </is>
      </c>
      <c r="G2761" s="21" t="inlineStr">
        <is>
          <t>Amiya Ranjan Behera</t>
        </is>
      </c>
      <c r="H2761" s="21" t="n">
        <v>8917436223</v>
      </c>
      <c r="I2761" s="38" t="inlineStr">
        <is>
          <t>PE06052602</t>
        </is>
      </c>
      <c r="J2761" s="21" t="inlineStr">
        <is>
          <t>Diode Bypass Module Issue</t>
        </is>
      </c>
      <c r="K2761" s="21" t="inlineStr">
        <is>
          <t>Bhavnagar</t>
        </is>
      </c>
      <c r="L2761" s="21" t="inlineStr">
        <is>
          <t>Gujarat</t>
        </is>
      </c>
      <c r="M2761" s="96" t="inlineStr">
        <is>
          <t>PS</t>
        </is>
      </c>
      <c r="N2761" s="3" t="inlineStr">
        <is>
          <t>Cold Soldering</t>
        </is>
      </c>
      <c r="O2761" s="62" t="n">
        <v>540</v>
      </c>
      <c r="P2761" s="96" t="inlineStr">
        <is>
          <t>NSMP2304067223</t>
        </is>
      </c>
      <c r="Q2761" s="53">
        <f>MID(P2761,5,2)</f>
        <v/>
      </c>
      <c r="R2761" s="53">
        <f>MID(P2761,7,2)</f>
        <v/>
      </c>
      <c r="S2761" s="3" t="inlineStr">
        <is>
          <t>G2B</t>
        </is>
      </c>
      <c r="T2761" s="3" t="inlineStr">
        <is>
          <t>P2</t>
        </is>
      </c>
      <c r="U2761" s="3" t="inlineStr">
        <is>
          <t>P JB Cold Soldering</t>
        </is>
      </c>
      <c r="V2761" s="3" t="inlineStr">
        <is>
          <t>Soldering</t>
        </is>
      </c>
      <c r="W2761" s="3" t="inlineStr">
        <is>
          <t>Repair</t>
        </is>
      </c>
      <c r="X2761" s="18" t="n">
        <v>46174</v>
      </c>
      <c r="Y2761" s="3">
        <f>X2761-A2761</f>
        <v/>
      </c>
      <c r="Z2761" s="18" t="n">
        <v>46174</v>
      </c>
      <c r="AA2761" s="15" t="n"/>
      <c r="AB2761" s="15" t="n"/>
    </row>
    <row r="2762">
      <c r="A2762" s="59" t="n">
        <v>46148</v>
      </c>
      <c r="B2762" s="3" t="n">
        <v>2026</v>
      </c>
      <c r="C2762" s="21" t="inlineStr">
        <is>
          <t>Continuum</t>
        </is>
      </c>
      <c r="D2762" s="3" t="inlineStr">
        <is>
          <t>Utility and C&amp;I</t>
        </is>
      </c>
      <c r="E2762" s="3" t="n"/>
      <c r="F2762" s="3" t="inlineStr">
        <is>
          <t>Closed</t>
        </is>
      </c>
      <c r="G2762" s="21" t="inlineStr">
        <is>
          <t>Amiya Ranjan Behera</t>
        </is>
      </c>
      <c r="H2762" s="21" t="n">
        <v>8917436223</v>
      </c>
      <c r="I2762" s="38" t="inlineStr">
        <is>
          <t>PE06052602</t>
        </is>
      </c>
      <c r="J2762" s="21" t="inlineStr">
        <is>
          <t>Diode Bypass Module Issue</t>
        </is>
      </c>
      <c r="K2762" s="21" t="inlineStr">
        <is>
          <t>Bhavnagar</t>
        </is>
      </c>
      <c r="L2762" s="21" t="inlineStr">
        <is>
          <t>Gujarat</t>
        </is>
      </c>
      <c r="M2762" s="96" t="inlineStr">
        <is>
          <t>PS</t>
        </is>
      </c>
      <c r="N2762" s="3" t="inlineStr">
        <is>
          <t>Cold Soldering</t>
        </is>
      </c>
      <c r="O2762" s="62" t="n">
        <v>540</v>
      </c>
      <c r="P2762" s="96" t="inlineStr">
        <is>
          <t>NSMP2304067268</t>
        </is>
      </c>
      <c r="Q2762" s="53">
        <f>MID(P2762,5,2)</f>
        <v/>
      </c>
      <c r="R2762" s="53">
        <f>MID(P2762,7,2)</f>
        <v/>
      </c>
      <c r="S2762" s="3" t="inlineStr">
        <is>
          <t>G2B</t>
        </is>
      </c>
      <c r="T2762" s="3" t="inlineStr">
        <is>
          <t>P2</t>
        </is>
      </c>
      <c r="U2762" s="3" t="inlineStr">
        <is>
          <t>P JB Cold Soldering</t>
        </is>
      </c>
      <c r="V2762" s="3" t="inlineStr">
        <is>
          <t>Soldering</t>
        </is>
      </c>
      <c r="W2762" s="3" t="inlineStr">
        <is>
          <t>Repair</t>
        </is>
      </c>
      <c r="X2762" s="18" t="n">
        <v>46174</v>
      </c>
      <c r="Y2762" s="3">
        <f>X2762-A2762</f>
        <v/>
      </c>
      <c r="Z2762" s="18" t="n">
        <v>46174</v>
      </c>
      <c r="AA2762" s="15" t="n"/>
      <c r="AB2762" s="15" t="n"/>
    </row>
    <row r="2763">
      <c r="A2763" s="59" t="n">
        <v>46148</v>
      </c>
      <c r="B2763" s="3" t="n">
        <v>2026</v>
      </c>
      <c r="C2763" s="21" t="inlineStr">
        <is>
          <t>Continuum</t>
        </is>
      </c>
      <c r="D2763" s="3" t="inlineStr">
        <is>
          <t>Utility and C&amp;I</t>
        </is>
      </c>
      <c r="E2763" s="3" t="n"/>
      <c r="F2763" s="3" t="inlineStr">
        <is>
          <t>Closed</t>
        </is>
      </c>
      <c r="G2763" s="21" t="inlineStr">
        <is>
          <t>Amiya Ranjan Behera</t>
        </is>
      </c>
      <c r="H2763" s="21" t="n">
        <v>8917436223</v>
      </c>
      <c r="I2763" s="38" t="inlineStr">
        <is>
          <t>PE06052602</t>
        </is>
      </c>
      <c r="J2763" s="21" t="inlineStr">
        <is>
          <t>Diode Bypass Module Issue</t>
        </is>
      </c>
      <c r="K2763" s="21" t="inlineStr">
        <is>
          <t>Bhavnagar</t>
        </is>
      </c>
      <c r="L2763" s="21" t="inlineStr">
        <is>
          <t>Gujarat</t>
        </is>
      </c>
      <c r="M2763" s="96" t="inlineStr">
        <is>
          <t>PS</t>
        </is>
      </c>
      <c r="N2763" s="3" t="inlineStr">
        <is>
          <t>Cold Soldering</t>
        </is>
      </c>
      <c r="O2763" s="62" t="n">
        <v>540</v>
      </c>
      <c r="P2763" s="96" t="inlineStr">
        <is>
          <t>NSMP2304067230</t>
        </is>
      </c>
      <c r="Q2763" s="53">
        <f>MID(P2763,5,2)</f>
        <v/>
      </c>
      <c r="R2763" s="53">
        <f>MID(P2763,7,2)</f>
        <v/>
      </c>
      <c r="S2763" s="3" t="inlineStr">
        <is>
          <t>G2B</t>
        </is>
      </c>
      <c r="T2763" s="3" t="inlineStr">
        <is>
          <t>P2</t>
        </is>
      </c>
      <c r="U2763" s="3" t="inlineStr">
        <is>
          <t>P JB Cold Soldering</t>
        </is>
      </c>
      <c r="V2763" s="3" t="inlineStr">
        <is>
          <t>Soldering</t>
        </is>
      </c>
      <c r="W2763" s="3" t="inlineStr">
        <is>
          <t>Repair</t>
        </is>
      </c>
      <c r="X2763" s="18" t="n">
        <v>46174</v>
      </c>
      <c r="Y2763" s="3">
        <f>X2763-A2763</f>
        <v/>
      </c>
      <c r="Z2763" s="18" t="n">
        <v>46174</v>
      </c>
      <c r="AA2763" s="15" t="n"/>
      <c r="AB2763" s="15" t="n"/>
    </row>
    <row r="2764">
      <c r="A2764" s="59" t="n">
        <v>46148</v>
      </c>
      <c r="B2764" s="3" t="n">
        <v>2026</v>
      </c>
      <c r="C2764" s="21" t="inlineStr">
        <is>
          <t>Continuum</t>
        </is>
      </c>
      <c r="D2764" s="3" t="inlineStr">
        <is>
          <t>Utility and C&amp;I</t>
        </is>
      </c>
      <c r="E2764" s="3" t="n"/>
      <c r="F2764" s="3" t="inlineStr">
        <is>
          <t>Closed</t>
        </is>
      </c>
      <c r="G2764" s="21" t="inlineStr">
        <is>
          <t>Amiya Ranjan Behera</t>
        </is>
      </c>
      <c r="H2764" s="21" t="n">
        <v>8917436223</v>
      </c>
      <c r="I2764" s="38" t="inlineStr">
        <is>
          <t>PE06052602</t>
        </is>
      </c>
      <c r="J2764" s="21" t="inlineStr">
        <is>
          <t>Diode Bypass Module Issue</t>
        </is>
      </c>
      <c r="K2764" s="21" t="inlineStr">
        <is>
          <t>Bhavnagar</t>
        </is>
      </c>
      <c r="L2764" s="21" t="inlineStr">
        <is>
          <t>Gujarat</t>
        </is>
      </c>
      <c r="M2764" s="96" t="inlineStr">
        <is>
          <t>PS</t>
        </is>
      </c>
      <c r="N2764" s="3" t="inlineStr">
        <is>
          <t>Cold Soldering</t>
        </is>
      </c>
      <c r="O2764" s="62" t="n">
        <v>540</v>
      </c>
      <c r="P2764" s="96" t="inlineStr">
        <is>
          <t>NSMP2304067228</t>
        </is>
      </c>
      <c r="Q2764" s="53">
        <f>MID(P2764,5,2)</f>
        <v/>
      </c>
      <c r="R2764" s="53">
        <f>MID(P2764,7,2)</f>
        <v/>
      </c>
      <c r="S2764" s="3" t="inlineStr">
        <is>
          <t>G2B</t>
        </is>
      </c>
      <c r="T2764" s="3" t="inlineStr">
        <is>
          <t>P2</t>
        </is>
      </c>
      <c r="U2764" s="3" t="inlineStr">
        <is>
          <t>P JB Cold Soldering</t>
        </is>
      </c>
      <c r="V2764" s="3" t="inlineStr">
        <is>
          <t>Soldering</t>
        </is>
      </c>
      <c r="W2764" s="3" t="inlineStr">
        <is>
          <t>Repair</t>
        </is>
      </c>
      <c r="X2764" s="18" t="n">
        <v>46174</v>
      </c>
      <c r="Y2764" s="3">
        <f>X2764-A2764</f>
        <v/>
      </c>
      <c r="Z2764" s="18" t="n">
        <v>46174</v>
      </c>
      <c r="AA2764" s="15" t="n"/>
      <c r="AB2764" s="15" t="n"/>
    </row>
    <row r="2765">
      <c r="A2765" s="59" t="n">
        <v>46148</v>
      </c>
      <c r="B2765" s="3" t="n">
        <v>2026</v>
      </c>
      <c r="C2765" s="21" t="inlineStr">
        <is>
          <t>Continuum</t>
        </is>
      </c>
      <c r="D2765" s="3" t="inlineStr">
        <is>
          <t>Utility and C&amp;I</t>
        </is>
      </c>
      <c r="E2765" s="3" t="n"/>
      <c r="F2765" s="3" t="inlineStr">
        <is>
          <t>Closed</t>
        </is>
      </c>
      <c r="G2765" s="21" t="inlineStr">
        <is>
          <t>Amiya Ranjan Behera</t>
        </is>
      </c>
      <c r="H2765" s="21" t="n">
        <v>8917436223</v>
      </c>
      <c r="I2765" s="38" t="inlineStr">
        <is>
          <t>PE06052602</t>
        </is>
      </c>
      <c r="J2765" s="21" t="inlineStr">
        <is>
          <t>Diode Bypass Module Issue</t>
        </is>
      </c>
      <c r="K2765" s="21" t="inlineStr">
        <is>
          <t>Bhavnagar</t>
        </is>
      </c>
      <c r="L2765" s="21" t="inlineStr">
        <is>
          <t>Gujarat</t>
        </is>
      </c>
      <c r="M2765" s="96" t="inlineStr">
        <is>
          <t>PS</t>
        </is>
      </c>
      <c r="N2765" s="3" t="inlineStr">
        <is>
          <t>Cold Soldering</t>
        </is>
      </c>
      <c r="O2765" s="62" t="n">
        <v>540</v>
      </c>
      <c r="P2765" s="96" t="inlineStr">
        <is>
          <t>NSMP2304067233</t>
        </is>
      </c>
      <c r="Q2765" s="53">
        <f>MID(P2765,5,2)</f>
        <v/>
      </c>
      <c r="R2765" s="53">
        <f>MID(P2765,7,2)</f>
        <v/>
      </c>
      <c r="S2765" s="3" t="inlineStr">
        <is>
          <t>G2B</t>
        </is>
      </c>
      <c r="T2765" s="3" t="inlineStr">
        <is>
          <t>P2</t>
        </is>
      </c>
      <c r="U2765" s="3" t="inlineStr">
        <is>
          <t>P JB Cold Soldering</t>
        </is>
      </c>
      <c r="V2765" s="3" t="inlineStr">
        <is>
          <t>Soldering</t>
        </is>
      </c>
      <c r="W2765" s="3" t="inlineStr">
        <is>
          <t>Repair</t>
        </is>
      </c>
      <c r="X2765" s="18" t="n">
        <v>46174</v>
      </c>
      <c r="Y2765" s="3">
        <f>X2765-A2765</f>
        <v/>
      </c>
      <c r="Z2765" s="18" t="n">
        <v>46174</v>
      </c>
      <c r="AA2765" s="15" t="n"/>
      <c r="AB2765" s="15" t="n"/>
    </row>
    <row r="2766">
      <c r="A2766" s="59" t="n">
        <v>46148</v>
      </c>
      <c r="B2766" s="3" t="n">
        <v>2026</v>
      </c>
      <c r="C2766" s="21" t="inlineStr">
        <is>
          <t>Continuum</t>
        </is>
      </c>
      <c r="D2766" s="3" t="inlineStr">
        <is>
          <t>Utility and C&amp;I</t>
        </is>
      </c>
      <c r="E2766" s="3" t="n"/>
      <c r="F2766" s="3" t="inlineStr">
        <is>
          <t>Closed</t>
        </is>
      </c>
      <c r="G2766" s="21" t="inlineStr">
        <is>
          <t>Amiya Ranjan Behera</t>
        </is>
      </c>
      <c r="H2766" s="21" t="n">
        <v>8917436223</v>
      </c>
      <c r="I2766" s="38" t="inlineStr">
        <is>
          <t>PE06052602</t>
        </is>
      </c>
      <c r="J2766" s="21" t="inlineStr">
        <is>
          <t>Diode Bypass Module Issue</t>
        </is>
      </c>
      <c r="K2766" s="21" t="inlineStr">
        <is>
          <t>Bhavnagar</t>
        </is>
      </c>
      <c r="L2766" s="21" t="inlineStr">
        <is>
          <t>Gujarat</t>
        </is>
      </c>
      <c r="M2766" s="96" t="inlineStr">
        <is>
          <t>PS</t>
        </is>
      </c>
      <c r="N2766" s="3" t="inlineStr">
        <is>
          <t>Cold Soldering</t>
        </is>
      </c>
      <c r="O2766" s="62" t="n">
        <v>540</v>
      </c>
      <c r="P2766" s="96" t="inlineStr">
        <is>
          <t>NSMP2304037132</t>
        </is>
      </c>
      <c r="Q2766" s="53">
        <f>MID(P2766,5,2)</f>
        <v/>
      </c>
      <c r="R2766" s="53">
        <f>MID(P2766,7,2)</f>
        <v/>
      </c>
      <c r="S2766" s="3" t="inlineStr">
        <is>
          <t>G2B</t>
        </is>
      </c>
      <c r="T2766" s="3" t="inlineStr">
        <is>
          <t>P2</t>
        </is>
      </c>
      <c r="U2766" s="3" t="inlineStr">
        <is>
          <t>P JB Cold Soldering</t>
        </is>
      </c>
      <c r="V2766" s="3" t="inlineStr">
        <is>
          <t>Soldering</t>
        </is>
      </c>
      <c r="W2766" s="3" t="inlineStr">
        <is>
          <t>Repair</t>
        </is>
      </c>
      <c r="X2766" s="18" t="n">
        <v>46174</v>
      </c>
      <c r="Y2766" s="3">
        <f>X2766-A2766</f>
        <v/>
      </c>
      <c r="Z2766" s="18" t="n">
        <v>46174</v>
      </c>
      <c r="AA2766" s="15" t="n"/>
      <c r="AB2766" s="15" t="n"/>
    </row>
    <row r="2767">
      <c r="A2767" s="59" t="n">
        <v>46148</v>
      </c>
      <c r="B2767" s="3" t="n">
        <v>2026</v>
      </c>
      <c r="C2767" s="21" t="inlineStr">
        <is>
          <t>Continuum</t>
        </is>
      </c>
      <c r="D2767" s="3" t="inlineStr">
        <is>
          <t>Utility and C&amp;I</t>
        </is>
      </c>
      <c r="E2767" s="3" t="n"/>
      <c r="F2767" s="3" t="inlineStr">
        <is>
          <t>Closed</t>
        </is>
      </c>
      <c r="G2767" s="21" t="inlineStr">
        <is>
          <t>Amiya Ranjan Behera</t>
        </is>
      </c>
      <c r="H2767" s="21" t="n">
        <v>8917436223</v>
      </c>
      <c r="I2767" s="38" t="inlineStr">
        <is>
          <t>PE06052602</t>
        </is>
      </c>
      <c r="J2767" s="21" t="inlineStr">
        <is>
          <t>Diode Bypass Module Issue</t>
        </is>
      </c>
      <c r="K2767" s="21" t="inlineStr">
        <is>
          <t>Bhavnagar</t>
        </is>
      </c>
      <c r="L2767" s="21" t="inlineStr">
        <is>
          <t>Gujarat</t>
        </is>
      </c>
      <c r="M2767" s="96" t="inlineStr">
        <is>
          <t>PS</t>
        </is>
      </c>
      <c r="N2767" s="3" t="inlineStr">
        <is>
          <t>Cold Soldering</t>
        </is>
      </c>
      <c r="O2767" s="62" t="n">
        <v>540</v>
      </c>
      <c r="P2767" s="96" t="inlineStr">
        <is>
          <t>NSMP2304037205</t>
        </is>
      </c>
      <c r="Q2767" s="53">
        <f>MID(P2767,5,2)</f>
        <v/>
      </c>
      <c r="R2767" s="53">
        <f>MID(P2767,7,2)</f>
        <v/>
      </c>
      <c r="S2767" s="3" t="inlineStr">
        <is>
          <t>G2B</t>
        </is>
      </c>
      <c r="T2767" s="3" t="inlineStr">
        <is>
          <t>P2</t>
        </is>
      </c>
      <c r="U2767" s="3" t="inlineStr">
        <is>
          <t>P JB Cold Soldering</t>
        </is>
      </c>
      <c r="V2767" s="3" t="inlineStr">
        <is>
          <t>Soldering</t>
        </is>
      </c>
      <c r="W2767" s="3" t="inlineStr">
        <is>
          <t>Repair</t>
        </is>
      </c>
      <c r="X2767" s="18" t="n">
        <v>46174</v>
      </c>
      <c r="Y2767" s="3">
        <f>X2767-A2767</f>
        <v/>
      </c>
      <c r="Z2767" s="18" t="n">
        <v>46174</v>
      </c>
      <c r="AA2767" s="15" t="n"/>
      <c r="AB2767" s="15" t="n"/>
    </row>
    <row r="2768">
      <c r="A2768" s="59" t="n">
        <v>46148</v>
      </c>
      <c r="B2768" s="3" t="n">
        <v>2026</v>
      </c>
      <c r="C2768" s="21" t="inlineStr">
        <is>
          <t>Continuum</t>
        </is>
      </c>
      <c r="D2768" s="3" t="inlineStr">
        <is>
          <t>Utility and C&amp;I</t>
        </is>
      </c>
      <c r="E2768" s="3" t="n"/>
      <c r="F2768" s="3" t="inlineStr">
        <is>
          <t>Closed</t>
        </is>
      </c>
      <c r="G2768" s="21" t="inlineStr">
        <is>
          <t>Amiya Ranjan Behera</t>
        </is>
      </c>
      <c r="H2768" s="21" t="n">
        <v>8917436223</v>
      </c>
      <c r="I2768" s="38" t="inlineStr">
        <is>
          <t>PE06052602</t>
        </is>
      </c>
      <c r="J2768" s="21" t="inlineStr">
        <is>
          <t>Diode Bypass Module Issue</t>
        </is>
      </c>
      <c r="K2768" s="21" t="inlineStr">
        <is>
          <t>Bhavnagar</t>
        </is>
      </c>
      <c r="L2768" s="21" t="inlineStr">
        <is>
          <t>Gujarat</t>
        </is>
      </c>
      <c r="M2768" s="96" t="inlineStr">
        <is>
          <t>PR</t>
        </is>
      </c>
      <c r="N2768" s="3" t="inlineStr">
        <is>
          <t>JB Issue</t>
        </is>
      </c>
      <c r="O2768" s="62" t="n">
        <v>540</v>
      </c>
      <c r="P2768" s="96" t="inlineStr">
        <is>
          <t>NSMP2304037204</t>
        </is>
      </c>
      <c r="Q2768" s="53">
        <f>MID(P2768,5,2)</f>
        <v/>
      </c>
      <c r="R2768" s="53">
        <f>MID(P2768,7,2)</f>
        <v/>
      </c>
      <c r="S2768" s="3" t="inlineStr">
        <is>
          <t>G2B</t>
        </is>
      </c>
      <c r="T2768" s="3" t="inlineStr">
        <is>
          <t>P2</t>
        </is>
      </c>
      <c r="U2768" s="3" t="inlineStr">
        <is>
          <t>P JB Issue</t>
        </is>
      </c>
      <c r="V2768" s="15" t="inlineStr">
        <is>
          <t>JB Changed</t>
        </is>
      </c>
      <c r="W2768" s="3" t="inlineStr">
        <is>
          <t>Repair</t>
        </is>
      </c>
      <c r="X2768" s="18" t="n">
        <v>46174</v>
      </c>
      <c r="Y2768" s="3">
        <f>X2768-A2768</f>
        <v/>
      </c>
      <c r="Z2768" s="18" t="n">
        <v>46174</v>
      </c>
      <c r="AA2768" s="15" t="n"/>
      <c r="AB2768" s="15" t="n"/>
    </row>
    <row r="2769">
      <c r="A2769" s="59" t="n">
        <v>46148</v>
      </c>
      <c r="B2769" s="3" t="n">
        <v>2026</v>
      </c>
      <c r="C2769" s="21" t="inlineStr">
        <is>
          <t>Continuum</t>
        </is>
      </c>
      <c r="D2769" s="3" t="inlineStr">
        <is>
          <t>Utility and C&amp;I</t>
        </is>
      </c>
      <c r="E2769" s="3" t="n"/>
      <c r="F2769" s="3" t="inlineStr">
        <is>
          <t>Closed</t>
        </is>
      </c>
      <c r="G2769" s="21" t="inlineStr">
        <is>
          <t>Amiya Ranjan Behera</t>
        </is>
      </c>
      <c r="H2769" s="21" t="n">
        <v>8917436223</v>
      </c>
      <c r="I2769" s="38" t="inlineStr">
        <is>
          <t>PE06052602</t>
        </is>
      </c>
      <c r="J2769" s="21" t="inlineStr">
        <is>
          <t>Diode Bypass Module Issue</t>
        </is>
      </c>
      <c r="K2769" s="21" t="inlineStr">
        <is>
          <t>Bhavnagar</t>
        </is>
      </c>
      <c r="L2769" s="21" t="inlineStr">
        <is>
          <t>Gujarat</t>
        </is>
      </c>
      <c r="M2769" s="96" t="inlineStr">
        <is>
          <t>PS</t>
        </is>
      </c>
      <c r="N2769" s="3" t="inlineStr">
        <is>
          <t>Cold Soldering</t>
        </is>
      </c>
      <c r="O2769" s="62" t="n">
        <v>540</v>
      </c>
      <c r="P2769" s="96" t="inlineStr">
        <is>
          <t>NSMP2304037179</t>
        </is>
      </c>
      <c r="Q2769" s="53">
        <f>MID(P2769,5,2)</f>
        <v/>
      </c>
      <c r="R2769" s="53">
        <f>MID(P2769,7,2)</f>
        <v/>
      </c>
      <c r="S2769" s="3" t="inlineStr">
        <is>
          <t>G2B</t>
        </is>
      </c>
      <c r="T2769" s="3" t="inlineStr">
        <is>
          <t>P2</t>
        </is>
      </c>
      <c r="U2769" s="3" t="inlineStr">
        <is>
          <t>P JB Cold Soldering</t>
        </is>
      </c>
      <c r="V2769" s="3" t="inlineStr">
        <is>
          <t>Soldering</t>
        </is>
      </c>
      <c r="W2769" s="3" t="inlineStr">
        <is>
          <t>Repair</t>
        </is>
      </c>
      <c r="X2769" s="18" t="n">
        <v>46174</v>
      </c>
      <c r="Y2769" s="3">
        <f>X2769-A2769</f>
        <v/>
      </c>
      <c r="Z2769" s="18" t="n">
        <v>46174</v>
      </c>
      <c r="AA2769" s="15" t="n"/>
      <c r="AB2769" s="15" t="n"/>
    </row>
    <row r="2770">
      <c r="A2770" s="59" t="n">
        <v>46148</v>
      </c>
      <c r="B2770" s="3" t="n">
        <v>2026</v>
      </c>
      <c r="C2770" s="21" t="inlineStr">
        <is>
          <t>Continuum</t>
        </is>
      </c>
      <c r="D2770" s="3" t="inlineStr">
        <is>
          <t>Utility and C&amp;I</t>
        </is>
      </c>
      <c r="E2770" s="3" t="n"/>
      <c r="F2770" s="3" t="inlineStr">
        <is>
          <t>Closed</t>
        </is>
      </c>
      <c r="G2770" s="21" t="inlineStr">
        <is>
          <t>Amiya Ranjan Behera</t>
        </is>
      </c>
      <c r="H2770" s="21" t="n">
        <v>8917436223</v>
      </c>
      <c r="I2770" s="38" t="inlineStr">
        <is>
          <t>PE06052602</t>
        </is>
      </c>
      <c r="J2770" s="21" t="inlineStr">
        <is>
          <t>Diode Bypass Module Issue</t>
        </is>
      </c>
      <c r="K2770" s="21" t="inlineStr">
        <is>
          <t>Bhavnagar</t>
        </is>
      </c>
      <c r="L2770" s="21" t="inlineStr">
        <is>
          <t>Gujarat</t>
        </is>
      </c>
      <c r="M2770" s="96" t="inlineStr">
        <is>
          <t>PS</t>
        </is>
      </c>
      <c r="N2770" s="3" t="inlineStr">
        <is>
          <t>Cold Soldering</t>
        </is>
      </c>
      <c r="O2770" s="62" t="n">
        <v>540</v>
      </c>
      <c r="P2770" s="96" t="inlineStr">
        <is>
          <t>NSMP2304037192</t>
        </is>
      </c>
      <c r="Q2770" s="53">
        <f>MID(P2770,5,2)</f>
        <v/>
      </c>
      <c r="R2770" s="53">
        <f>MID(P2770,7,2)</f>
        <v/>
      </c>
      <c r="S2770" s="3" t="inlineStr">
        <is>
          <t>G2B</t>
        </is>
      </c>
      <c r="T2770" s="3" t="inlineStr">
        <is>
          <t>P2</t>
        </is>
      </c>
      <c r="U2770" s="3" t="inlineStr">
        <is>
          <t>P JB Cold Soldering</t>
        </is>
      </c>
      <c r="V2770" s="3" t="inlineStr">
        <is>
          <t>Soldering</t>
        </is>
      </c>
      <c r="W2770" s="3" t="inlineStr">
        <is>
          <t>Repair</t>
        </is>
      </c>
      <c r="X2770" s="18" t="n">
        <v>46174</v>
      </c>
      <c r="Y2770" s="3">
        <f>X2770-A2770</f>
        <v/>
      </c>
      <c r="Z2770" s="18" t="n">
        <v>46174</v>
      </c>
      <c r="AA2770" s="15" t="n"/>
      <c r="AB2770" s="15" t="n"/>
    </row>
    <row r="2771">
      <c r="A2771" s="59" t="n">
        <v>46148</v>
      </c>
      <c r="B2771" s="3" t="n">
        <v>2026</v>
      </c>
      <c r="C2771" s="21" t="inlineStr">
        <is>
          <t>Continuum</t>
        </is>
      </c>
      <c r="D2771" s="3" t="inlineStr">
        <is>
          <t>Utility and C&amp;I</t>
        </is>
      </c>
      <c r="E2771" s="3" t="n"/>
      <c r="F2771" s="3" t="inlineStr">
        <is>
          <t>Closed</t>
        </is>
      </c>
      <c r="G2771" s="21" t="inlineStr">
        <is>
          <t>Amiya Ranjan Behera</t>
        </is>
      </c>
      <c r="H2771" s="21" t="n">
        <v>8917436223</v>
      </c>
      <c r="I2771" s="38" t="inlineStr">
        <is>
          <t>PE06052602</t>
        </is>
      </c>
      <c r="J2771" s="21" t="inlineStr">
        <is>
          <t>Diode Bypass Module Issue</t>
        </is>
      </c>
      <c r="K2771" s="21" t="inlineStr">
        <is>
          <t>Bhavnagar</t>
        </is>
      </c>
      <c r="L2771" s="21" t="inlineStr">
        <is>
          <t>Gujarat</t>
        </is>
      </c>
      <c r="M2771" s="96" t="inlineStr">
        <is>
          <t>PS</t>
        </is>
      </c>
      <c r="N2771" s="3" t="inlineStr">
        <is>
          <t>Cold Soldering</t>
        </is>
      </c>
      <c r="O2771" s="62" t="n">
        <v>540</v>
      </c>
      <c r="P2771" s="96" t="inlineStr">
        <is>
          <t>NSMP2304037190</t>
        </is>
      </c>
      <c r="Q2771" s="53">
        <f>MID(P2771,5,2)</f>
        <v/>
      </c>
      <c r="R2771" s="53">
        <f>MID(P2771,7,2)</f>
        <v/>
      </c>
      <c r="S2771" s="3" t="inlineStr">
        <is>
          <t>G2B</t>
        </is>
      </c>
      <c r="T2771" s="3" t="inlineStr">
        <is>
          <t>P2</t>
        </is>
      </c>
      <c r="U2771" s="3" t="inlineStr">
        <is>
          <t>P JB Cold Soldering</t>
        </is>
      </c>
      <c r="V2771" s="3" t="inlineStr">
        <is>
          <t>Soldering</t>
        </is>
      </c>
      <c r="W2771" s="3" t="inlineStr">
        <is>
          <t>Repair</t>
        </is>
      </c>
      <c r="X2771" s="18" t="n">
        <v>46174</v>
      </c>
      <c r="Y2771" s="3">
        <f>X2771-A2771</f>
        <v/>
      </c>
      <c r="Z2771" s="18" t="n">
        <v>46174</v>
      </c>
      <c r="AA2771" s="15" t="n"/>
      <c r="AB2771" s="15" t="n"/>
    </row>
    <row r="2772">
      <c r="A2772" s="59" t="n">
        <v>46148</v>
      </c>
      <c r="B2772" s="3" t="n">
        <v>2026</v>
      </c>
      <c r="C2772" s="21" t="inlineStr">
        <is>
          <t>Continuum</t>
        </is>
      </c>
      <c r="D2772" s="3" t="inlineStr">
        <is>
          <t>Utility and C&amp;I</t>
        </is>
      </c>
      <c r="E2772" s="3" t="n"/>
      <c r="F2772" s="3" t="inlineStr">
        <is>
          <t>Closed</t>
        </is>
      </c>
      <c r="G2772" s="21" t="inlineStr">
        <is>
          <t>Amiya Ranjan Behera</t>
        </is>
      </c>
      <c r="H2772" s="21" t="n">
        <v>8917436223</v>
      </c>
      <c r="I2772" s="38" t="inlineStr">
        <is>
          <t>PE06052602</t>
        </is>
      </c>
      <c r="J2772" s="21" t="inlineStr">
        <is>
          <t>Diode Bypass Module Issue</t>
        </is>
      </c>
      <c r="K2772" s="21" t="inlineStr">
        <is>
          <t>Bhavnagar</t>
        </is>
      </c>
      <c r="L2772" s="21" t="inlineStr">
        <is>
          <t>Gujarat</t>
        </is>
      </c>
      <c r="M2772" s="96" t="inlineStr">
        <is>
          <t>PS</t>
        </is>
      </c>
      <c r="N2772" s="3" t="inlineStr">
        <is>
          <t>Cold Soldering</t>
        </is>
      </c>
      <c r="O2772" s="62" t="n">
        <v>540</v>
      </c>
      <c r="P2772" s="96" t="inlineStr">
        <is>
          <t>NSMP2304076568</t>
        </is>
      </c>
      <c r="Q2772" s="53">
        <f>MID(P2772,5,2)</f>
        <v/>
      </c>
      <c r="R2772" s="53">
        <f>MID(P2772,7,2)</f>
        <v/>
      </c>
      <c r="S2772" s="3" t="inlineStr">
        <is>
          <t>G2B</t>
        </is>
      </c>
      <c r="T2772" s="3" t="inlineStr">
        <is>
          <t>P2</t>
        </is>
      </c>
      <c r="U2772" s="3" t="inlineStr">
        <is>
          <t>P JB Cold Soldering</t>
        </is>
      </c>
      <c r="V2772" s="3" t="inlineStr">
        <is>
          <t>Soldering</t>
        </is>
      </c>
      <c r="W2772" s="3" t="inlineStr">
        <is>
          <t>Repair</t>
        </is>
      </c>
      <c r="X2772" s="18" t="n">
        <v>46174</v>
      </c>
      <c r="Y2772" s="3">
        <f>X2772-A2772</f>
        <v/>
      </c>
      <c r="Z2772" s="18" t="n">
        <v>46174</v>
      </c>
      <c r="AA2772" s="15" t="n"/>
      <c r="AB2772" s="15" t="n"/>
    </row>
    <row r="2773">
      <c r="A2773" s="59" t="n">
        <v>46148</v>
      </c>
      <c r="B2773" s="3" t="n">
        <v>2026</v>
      </c>
      <c r="C2773" s="21" t="inlineStr">
        <is>
          <t>Continuum</t>
        </is>
      </c>
      <c r="D2773" s="3" t="inlineStr">
        <is>
          <t>Utility and C&amp;I</t>
        </is>
      </c>
      <c r="E2773" s="3" t="n"/>
      <c r="F2773" s="3" t="inlineStr">
        <is>
          <t>Closed</t>
        </is>
      </c>
      <c r="G2773" s="21" t="inlineStr">
        <is>
          <t>Amiya Ranjan Behera</t>
        </is>
      </c>
      <c r="H2773" s="21" t="n">
        <v>8917436223</v>
      </c>
      <c r="I2773" s="38" t="inlineStr">
        <is>
          <t>PE06052602</t>
        </is>
      </c>
      <c r="J2773" s="21" t="inlineStr">
        <is>
          <t>Diode Bypass Module Issue</t>
        </is>
      </c>
      <c r="K2773" s="21" t="inlineStr">
        <is>
          <t>Bhavnagar</t>
        </is>
      </c>
      <c r="L2773" s="21" t="inlineStr">
        <is>
          <t>Gujarat</t>
        </is>
      </c>
      <c r="M2773" s="96" t="inlineStr">
        <is>
          <t>PR</t>
        </is>
      </c>
      <c r="N2773" s="3" t="inlineStr">
        <is>
          <t>JB Issue</t>
        </is>
      </c>
      <c r="O2773" s="62" t="n">
        <v>540</v>
      </c>
      <c r="P2773" s="96" t="inlineStr">
        <is>
          <t>NSMP2304076811</t>
        </is>
      </c>
      <c r="Q2773" s="53">
        <f>MID(P2773,5,2)</f>
        <v/>
      </c>
      <c r="R2773" s="53">
        <f>MID(P2773,7,2)</f>
        <v/>
      </c>
      <c r="S2773" s="3" t="inlineStr">
        <is>
          <t>G2B</t>
        </is>
      </c>
      <c r="T2773" s="3" t="inlineStr">
        <is>
          <t>P2</t>
        </is>
      </c>
      <c r="U2773" s="3" t="inlineStr">
        <is>
          <t>P JB Issue</t>
        </is>
      </c>
      <c r="V2773" s="15" t="inlineStr">
        <is>
          <t>JB Changed</t>
        </is>
      </c>
      <c r="W2773" s="3" t="inlineStr">
        <is>
          <t>Repair</t>
        </is>
      </c>
      <c r="X2773" s="18" t="n">
        <v>46174</v>
      </c>
      <c r="Y2773" s="3">
        <f>X2773-A2773</f>
        <v/>
      </c>
      <c r="Z2773" s="18" t="n">
        <v>46174</v>
      </c>
      <c r="AA2773" s="15" t="n"/>
      <c r="AB2773" s="15" t="n"/>
    </row>
    <row r="2774">
      <c r="A2774" s="59" t="n">
        <v>46148</v>
      </c>
      <c r="B2774" s="3" t="n">
        <v>2026</v>
      </c>
      <c r="C2774" s="21" t="inlineStr">
        <is>
          <t>Continuum</t>
        </is>
      </c>
      <c r="D2774" s="3" t="inlineStr">
        <is>
          <t>Utility and C&amp;I</t>
        </is>
      </c>
      <c r="E2774" s="3" t="n"/>
      <c r="F2774" s="3" t="inlineStr">
        <is>
          <t>Closed</t>
        </is>
      </c>
      <c r="G2774" s="21" t="inlineStr">
        <is>
          <t>Amiya Ranjan Behera</t>
        </is>
      </c>
      <c r="H2774" s="21" t="n">
        <v>8917436223</v>
      </c>
      <c r="I2774" s="38" t="inlineStr">
        <is>
          <t>PE06052602</t>
        </is>
      </c>
      <c r="J2774" s="21" t="inlineStr">
        <is>
          <t>Diode Bypass Module Issue</t>
        </is>
      </c>
      <c r="K2774" s="21" t="inlineStr">
        <is>
          <t>Bhavnagar</t>
        </is>
      </c>
      <c r="L2774" s="21" t="inlineStr">
        <is>
          <t>Gujarat</t>
        </is>
      </c>
      <c r="M2774" s="96" t="inlineStr">
        <is>
          <t xml:space="preserve">OK </t>
        </is>
      </c>
      <c r="N2774" s="3" t="inlineStr">
        <is>
          <t>No Issue</t>
        </is>
      </c>
      <c r="O2774" s="62" t="n">
        <v>540</v>
      </c>
      <c r="P2774" s="96" t="inlineStr">
        <is>
          <t>NSMP2304068555</t>
        </is>
      </c>
      <c r="Q2774" s="53">
        <f>MID(P2774,5,2)</f>
        <v/>
      </c>
      <c r="R2774" s="53">
        <f>MID(P2774,7,2)</f>
        <v/>
      </c>
      <c r="S2774" s="3" t="inlineStr">
        <is>
          <t>G2B</t>
        </is>
      </c>
      <c r="T2774" s="3" t="inlineStr">
        <is>
          <t>P2</t>
        </is>
      </c>
      <c r="U2774" s="19" t="inlineStr">
        <is>
          <t>No Issue Found</t>
        </is>
      </c>
      <c r="V2774" s="19" t="inlineStr">
        <is>
          <t>Found OK</t>
        </is>
      </c>
      <c r="W2774" s="3" t="inlineStr">
        <is>
          <t>Repair</t>
        </is>
      </c>
      <c r="X2774" s="18" t="n">
        <v>46174</v>
      </c>
      <c r="Y2774" s="3">
        <f>X2774-A2774</f>
        <v/>
      </c>
      <c r="Z2774" s="18" t="n">
        <v>46174</v>
      </c>
      <c r="AA2774" s="15" t="n"/>
      <c r="AB2774" s="15" t="n"/>
    </row>
    <row r="2775">
      <c r="A2775" s="59" t="n">
        <v>46148</v>
      </c>
      <c r="B2775" s="3" t="n">
        <v>2026</v>
      </c>
      <c r="C2775" s="21" t="inlineStr">
        <is>
          <t>Continuum</t>
        </is>
      </c>
      <c r="D2775" s="3" t="inlineStr">
        <is>
          <t>Utility and C&amp;I</t>
        </is>
      </c>
      <c r="E2775" s="3" t="n"/>
      <c r="F2775" s="3" t="inlineStr">
        <is>
          <t>Closed</t>
        </is>
      </c>
      <c r="G2775" s="21" t="inlineStr">
        <is>
          <t>Amiya Ranjan Behera</t>
        </is>
      </c>
      <c r="H2775" s="21" t="n">
        <v>8917436223</v>
      </c>
      <c r="I2775" s="38" t="inlineStr">
        <is>
          <t>PE06052602</t>
        </is>
      </c>
      <c r="J2775" s="21" t="inlineStr">
        <is>
          <t>Diode Bypass Module Issue</t>
        </is>
      </c>
      <c r="K2775" s="21" t="inlineStr">
        <is>
          <t>Bhavnagar</t>
        </is>
      </c>
      <c r="L2775" s="21" t="inlineStr">
        <is>
          <t>Gujarat</t>
        </is>
      </c>
      <c r="M2775" s="96" t="inlineStr">
        <is>
          <t>PR</t>
        </is>
      </c>
      <c r="N2775" s="3" t="inlineStr">
        <is>
          <t>JB Issue</t>
        </is>
      </c>
      <c r="O2775" s="62" t="n">
        <v>540</v>
      </c>
      <c r="P2775" s="96" t="inlineStr">
        <is>
          <t>NSMP2304068763</t>
        </is>
      </c>
      <c r="Q2775" s="53">
        <f>MID(P2775,5,2)</f>
        <v/>
      </c>
      <c r="R2775" s="53">
        <f>MID(P2775,7,2)</f>
        <v/>
      </c>
      <c r="S2775" s="3" t="inlineStr">
        <is>
          <t>G2B</t>
        </is>
      </c>
      <c r="T2775" s="3" t="inlineStr">
        <is>
          <t>P2</t>
        </is>
      </c>
      <c r="U2775" s="3" t="inlineStr">
        <is>
          <t>P JB Issue</t>
        </is>
      </c>
      <c r="V2775" s="15" t="inlineStr">
        <is>
          <t>JB Changed</t>
        </is>
      </c>
      <c r="W2775" s="3" t="inlineStr">
        <is>
          <t>Repair</t>
        </is>
      </c>
      <c r="X2775" s="18" t="n">
        <v>46174</v>
      </c>
      <c r="Y2775" s="3">
        <f>X2775-A2775</f>
        <v/>
      </c>
      <c r="Z2775" s="18" t="n">
        <v>46174</v>
      </c>
      <c r="AA2775" s="15" t="n"/>
      <c r="AB2775" s="15" t="n"/>
    </row>
    <row r="2776">
      <c r="A2776" s="59" t="n">
        <v>46148</v>
      </c>
      <c r="B2776" s="3" t="n">
        <v>2026</v>
      </c>
      <c r="C2776" s="21" t="inlineStr">
        <is>
          <t>Continuum</t>
        </is>
      </c>
      <c r="D2776" s="3" t="inlineStr">
        <is>
          <t>Utility and C&amp;I</t>
        </is>
      </c>
      <c r="E2776" s="3" t="n"/>
      <c r="F2776" s="3" t="inlineStr">
        <is>
          <t>Closed</t>
        </is>
      </c>
      <c r="G2776" s="21" t="inlineStr">
        <is>
          <t>Amiya Ranjan Behera</t>
        </is>
      </c>
      <c r="H2776" s="21" t="n">
        <v>8917436223</v>
      </c>
      <c r="I2776" s="38" t="inlineStr">
        <is>
          <t>PE06052602</t>
        </is>
      </c>
      <c r="J2776" s="21" t="inlineStr">
        <is>
          <t>Diode Bypass Module Issue</t>
        </is>
      </c>
      <c r="K2776" s="21" t="inlineStr">
        <is>
          <t>Bhavnagar</t>
        </is>
      </c>
      <c r="L2776" s="21" t="inlineStr">
        <is>
          <t>Gujarat</t>
        </is>
      </c>
      <c r="M2776" s="96" t="inlineStr">
        <is>
          <t>PR</t>
        </is>
      </c>
      <c r="N2776" s="3" t="inlineStr">
        <is>
          <t>JB Issue</t>
        </is>
      </c>
      <c r="O2776" s="62" t="n">
        <v>540</v>
      </c>
      <c r="P2776" s="96" t="inlineStr">
        <is>
          <t>NSMP2304068496</t>
        </is>
      </c>
      <c r="Q2776" s="53">
        <f>MID(P2776,5,2)</f>
        <v/>
      </c>
      <c r="R2776" s="53">
        <f>MID(P2776,7,2)</f>
        <v/>
      </c>
      <c r="S2776" s="3" t="inlineStr">
        <is>
          <t>G2B</t>
        </is>
      </c>
      <c r="T2776" s="3" t="inlineStr">
        <is>
          <t>P2</t>
        </is>
      </c>
      <c r="U2776" s="3" t="inlineStr">
        <is>
          <t>P JB Issue</t>
        </is>
      </c>
      <c r="V2776" s="15" t="inlineStr">
        <is>
          <t>JB Changed</t>
        </is>
      </c>
      <c r="W2776" s="3" t="inlineStr">
        <is>
          <t>Repair</t>
        </is>
      </c>
      <c r="X2776" s="18" t="n">
        <v>46174</v>
      </c>
      <c r="Y2776" s="3">
        <f>X2776-A2776</f>
        <v/>
      </c>
      <c r="Z2776" s="18" t="n">
        <v>46174</v>
      </c>
      <c r="AA2776" s="15" t="n"/>
      <c r="AB2776" s="15" t="n"/>
    </row>
    <row r="2777">
      <c r="A2777" s="59" t="n">
        <v>46148</v>
      </c>
      <c r="B2777" s="3" t="n">
        <v>2026</v>
      </c>
      <c r="C2777" s="21" t="inlineStr">
        <is>
          <t>Continuum</t>
        </is>
      </c>
      <c r="D2777" s="3" t="inlineStr">
        <is>
          <t>Utility and C&amp;I</t>
        </is>
      </c>
      <c r="E2777" s="3" t="n"/>
      <c r="F2777" s="3" t="inlineStr">
        <is>
          <t>Closed</t>
        </is>
      </c>
      <c r="G2777" s="21" t="inlineStr">
        <is>
          <t>Amiya Ranjan Behera</t>
        </is>
      </c>
      <c r="H2777" s="21" t="n">
        <v>8917436223</v>
      </c>
      <c r="I2777" s="38" t="inlineStr">
        <is>
          <t>PE06052602</t>
        </is>
      </c>
      <c r="J2777" s="21" t="inlineStr">
        <is>
          <t>Diode Bypass Module Issue</t>
        </is>
      </c>
      <c r="K2777" s="21" t="inlineStr">
        <is>
          <t>Bhavnagar</t>
        </is>
      </c>
      <c r="L2777" s="21" t="inlineStr">
        <is>
          <t>Gujarat</t>
        </is>
      </c>
      <c r="M2777" s="96" t="inlineStr">
        <is>
          <t>PR</t>
        </is>
      </c>
      <c r="N2777" s="3" t="inlineStr">
        <is>
          <t>JB Issue</t>
        </is>
      </c>
      <c r="O2777" s="62" t="n">
        <v>540</v>
      </c>
      <c r="P2777" s="96" t="inlineStr">
        <is>
          <t>NSMP2304077658</t>
        </is>
      </c>
      <c r="Q2777" s="53">
        <f>MID(P2777,5,2)</f>
        <v/>
      </c>
      <c r="R2777" s="53">
        <f>MID(P2777,7,2)</f>
        <v/>
      </c>
      <c r="S2777" s="3" t="inlineStr">
        <is>
          <t>G2B</t>
        </is>
      </c>
      <c r="T2777" s="3" t="inlineStr">
        <is>
          <t>P2</t>
        </is>
      </c>
      <c r="U2777" s="3" t="inlineStr">
        <is>
          <t>P JB Issue</t>
        </is>
      </c>
      <c r="V2777" s="15" t="inlineStr">
        <is>
          <t>JB Changed</t>
        </is>
      </c>
      <c r="W2777" s="3" t="inlineStr">
        <is>
          <t>Repair</t>
        </is>
      </c>
      <c r="X2777" s="18" t="n">
        <v>46174</v>
      </c>
      <c r="Y2777" s="3">
        <f>X2777-A2777</f>
        <v/>
      </c>
      <c r="Z2777" s="18" t="n">
        <v>46174</v>
      </c>
      <c r="AA2777" s="15" t="n"/>
      <c r="AB2777" s="15" t="n"/>
    </row>
    <row r="2778">
      <c r="A2778" s="59" t="n">
        <v>46148</v>
      </c>
      <c r="B2778" s="3" t="n">
        <v>2026</v>
      </c>
      <c r="C2778" s="21" t="inlineStr">
        <is>
          <t>Continuum</t>
        </is>
      </c>
      <c r="D2778" s="3" t="inlineStr">
        <is>
          <t>Utility and C&amp;I</t>
        </is>
      </c>
      <c r="E2778" s="3" t="n"/>
      <c r="F2778" s="3" t="inlineStr">
        <is>
          <t>Closed</t>
        </is>
      </c>
      <c r="G2778" s="21" t="inlineStr">
        <is>
          <t>Amiya Ranjan Behera</t>
        </is>
      </c>
      <c r="H2778" s="21" t="n">
        <v>8917436223</v>
      </c>
      <c r="I2778" s="38" t="inlineStr">
        <is>
          <t>PE06052602</t>
        </is>
      </c>
      <c r="J2778" s="21" t="inlineStr">
        <is>
          <t>Diode Bypass Module Issue</t>
        </is>
      </c>
      <c r="K2778" s="21" t="inlineStr">
        <is>
          <t>Bhavnagar</t>
        </is>
      </c>
      <c r="L2778" s="21" t="inlineStr">
        <is>
          <t>Gujarat</t>
        </is>
      </c>
      <c r="M2778" s="96" t="inlineStr">
        <is>
          <t>PS</t>
        </is>
      </c>
      <c r="N2778" s="3" t="inlineStr">
        <is>
          <t>Cold Soldering</t>
        </is>
      </c>
      <c r="O2778" s="62" t="n">
        <v>540</v>
      </c>
      <c r="P2778" s="96" t="inlineStr">
        <is>
          <t>NSMP2304037169</t>
        </is>
      </c>
      <c r="Q2778" s="53">
        <f>MID(P2778,5,2)</f>
        <v/>
      </c>
      <c r="R2778" s="53">
        <f>MID(P2778,7,2)</f>
        <v/>
      </c>
      <c r="S2778" s="3" t="inlineStr">
        <is>
          <t>G2B</t>
        </is>
      </c>
      <c r="T2778" s="3" t="inlineStr">
        <is>
          <t>P2</t>
        </is>
      </c>
      <c r="U2778" s="3" t="inlineStr">
        <is>
          <t>P JB Cold Soldering</t>
        </is>
      </c>
      <c r="V2778" s="3" t="inlineStr">
        <is>
          <t>Soldering</t>
        </is>
      </c>
      <c r="W2778" s="3" t="inlineStr">
        <is>
          <t>Repair</t>
        </is>
      </c>
      <c r="X2778" s="18" t="n">
        <v>46174</v>
      </c>
      <c r="Y2778" s="3">
        <f>X2778-A2778</f>
        <v/>
      </c>
      <c r="Z2778" s="18" t="n">
        <v>46174</v>
      </c>
      <c r="AA2778" s="15" t="n"/>
      <c r="AB2778" s="15" t="n"/>
    </row>
    <row r="2779">
      <c r="A2779" s="59" t="n">
        <v>46148</v>
      </c>
      <c r="B2779" s="3" t="n">
        <v>2026</v>
      </c>
      <c r="C2779" s="21" t="inlineStr">
        <is>
          <t>Continuum</t>
        </is>
      </c>
      <c r="D2779" s="3" t="inlineStr">
        <is>
          <t>Utility and C&amp;I</t>
        </is>
      </c>
      <c r="E2779" s="3" t="n"/>
      <c r="F2779" s="3" t="inlineStr">
        <is>
          <t>Closed</t>
        </is>
      </c>
      <c r="G2779" s="21" t="inlineStr">
        <is>
          <t>Amiya Ranjan Behera</t>
        </is>
      </c>
      <c r="H2779" s="21" t="n">
        <v>8917436223</v>
      </c>
      <c r="I2779" s="38" t="inlineStr">
        <is>
          <t>PE06052602</t>
        </is>
      </c>
      <c r="J2779" s="21" t="inlineStr">
        <is>
          <t>Diode Bypass Module Issue</t>
        </is>
      </c>
      <c r="K2779" s="21" t="inlineStr">
        <is>
          <t>Bhavnagar</t>
        </is>
      </c>
      <c r="L2779" s="21" t="inlineStr">
        <is>
          <t>Gujarat</t>
        </is>
      </c>
      <c r="M2779" s="96" t="inlineStr">
        <is>
          <t>PS</t>
        </is>
      </c>
      <c r="N2779" s="3" t="inlineStr">
        <is>
          <t>Cold Soldering</t>
        </is>
      </c>
      <c r="O2779" s="62" t="n">
        <v>540</v>
      </c>
      <c r="P2779" s="96" t="inlineStr">
        <is>
          <t>NSMP2304037244</t>
        </is>
      </c>
      <c r="Q2779" s="53">
        <f>MID(P2779,5,2)</f>
        <v/>
      </c>
      <c r="R2779" s="53">
        <f>MID(P2779,7,2)</f>
        <v/>
      </c>
      <c r="S2779" s="3" t="inlineStr">
        <is>
          <t>G2B</t>
        </is>
      </c>
      <c r="T2779" s="3" t="inlineStr">
        <is>
          <t>P2</t>
        </is>
      </c>
      <c r="U2779" s="3" t="inlineStr">
        <is>
          <t>P JB Cold Soldering</t>
        </is>
      </c>
      <c r="V2779" s="3" t="inlineStr">
        <is>
          <t>Soldering</t>
        </is>
      </c>
      <c r="W2779" s="3" t="inlineStr">
        <is>
          <t>Repair</t>
        </is>
      </c>
      <c r="X2779" s="18" t="n">
        <v>46174</v>
      </c>
      <c r="Y2779" s="3">
        <f>X2779-A2779</f>
        <v/>
      </c>
      <c r="Z2779" s="18" t="n">
        <v>46174</v>
      </c>
      <c r="AA2779" s="15" t="n"/>
      <c r="AB2779" s="15" t="n"/>
    </row>
    <row r="2780">
      <c r="A2780" s="59" t="n">
        <v>46148</v>
      </c>
      <c r="B2780" s="3" t="n">
        <v>2026</v>
      </c>
      <c r="C2780" s="21" t="inlineStr">
        <is>
          <t>Continuum</t>
        </is>
      </c>
      <c r="D2780" s="3" t="inlineStr">
        <is>
          <t>Utility and C&amp;I</t>
        </is>
      </c>
      <c r="E2780" s="3" t="n"/>
      <c r="F2780" s="3" t="inlineStr">
        <is>
          <t>Closed</t>
        </is>
      </c>
      <c r="G2780" s="21" t="inlineStr">
        <is>
          <t>Amiya Ranjan Behera</t>
        </is>
      </c>
      <c r="H2780" s="21" t="n">
        <v>8917436223</v>
      </c>
      <c r="I2780" s="38" t="inlineStr">
        <is>
          <t>PE06052602</t>
        </is>
      </c>
      <c r="J2780" s="21" t="inlineStr">
        <is>
          <t>Diode Bypass Module Issue</t>
        </is>
      </c>
      <c r="K2780" s="21" t="inlineStr">
        <is>
          <t>Bhavnagar</t>
        </is>
      </c>
      <c r="L2780" s="21" t="inlineStr">
        <is>
          <t>Gujarat</t>
        </is>
      </c>
      <c r="M2780" s="96" t="inlineStr">
        <is>
          <t>PS</t>
        </is>
      </c>
      <c r="N2780" s="3" t="inlineStr">
        <is>
          <t>Cold Soldering</t>
        </is>
      </c>
      <c r="O2780" s="62" t="n">
        <v>540</v>
      </c>
      <c r="P2780" s="96" t="inlineStr">
        <is>
          <t>NSMP2304037165</t>
        </is>
      </c>
      <c r="Q2780" s="53">
        <f>MID(P2780,5,2)</f>
        <v/>
      </c>
      <c r="R2780" s="53">
        <f>MID(P2780,7,2)</f>
        <v/>
      </c>
      <c r="S2780" s="3" t="inlineStr">
        <is>
          <t>G2B</t>
        </is>
      </c>
      <c r="T2780" s="3" t="inlineStr">
        <is>
          <t>P2</t>
        </is>
      </c>
      <c r="U2780" s="3" t="inlineStr">
        <is>
          <t>P JB Cold Soldering</t>
        </is>
      </c>
      <c r="V2780" s="3" t="inlineStr">
        <is>
          <t>Soldering</t>
        </is>
      </c>
      <c r="W2780" s="3" t="inlineStr">
        <is>
          <t>Repair</t>
        </is>
      </c>
      <c r="X2780" s="18" t="n">
        <v>46174</v>
      </c>
      <c r="Y2780" s="3">
        <f>X2780-A2780</f>
        <v/>
      </c>
      <c r="Z2780" s="18" t="n">
        <v>46174</v>
      </c>
      <c r="AA2780" s="15" t="n"/>
      <c r="AB2780" s="15" t="n"/>
    </row>
    <row r="2781">
      <c r="A2781" s="59" t="n">
        <v>46148</v>
      </c>
      <c r="B2781" s="3" t="n">
        <v>2026</v>
      </c>
      <c r="C2781" s="21" t="inlineStr">
        <is>
          <t>Continuum</t>
        </is>
      </c>
      <c r="D2781" s="3" t="inlineStr">
        <is>
          <t>Utility and C&amp;I</t>
        </is>
      </c>
      <c r="E2781" s="3" t="n"/>
      <c r="F2781" s="3" t="inlineStr">
        <is>
          <t>Closed</t>
        </is>
      </c>
      <c r="G2781" s="21" t="inlineStr">
        <is>
          <t>Amiya Ranjan Behera</t>
        </is>
      </c>
      <c r="H2781" s="21" t="n">
        <v>8917436223</v>
      </c>
      <c r="I2781" s="38" t="inlineStr">
        <is>
          <t>PE06052602</t>
        </is>
      </c>
      <c r="J2781" s="21" t="inlineStr">
        <is>
          <t>Diode Bypass Module Issue</t>
        </is>
      </c>
      <c r="K2781" s="21" t="inlineStr">
        <is>
          <t>Bhavnagar</t>
        </is>
      </c>
      <c r="L2781" s="21" t="inlineStr">
        <is>
          <t>Gujarat</t>
        </is>
      </c>
      <c r="M2781" s="96" t="inlineStr">
        <is>
          <t>PS</t>
        </is>
      </c>
      <c r="N2781" s="3" t="inlineStr">
        <is>
          <t>Cold Soldering</t>
        </is>
      </c>
      <c r="O2781" s="62" t="n">
        <v>540</v>
      </c>
      <c r="P2781" s="96" t="inlineStr">
        <is>
          <t>NSMP2304037198</t>
        </is>
      </c>
      <c r="Q2781" s="53">
        <f>MID(P2781,5,2)</f>
        <v/>
      </c>
      <c r="R2781" s="53">
        <f>MID(P2781,7,2)</f>
        <v/>
      </c>
      <c r="S2781" s="3" t="inlineStr">
        <is>
          <t>G2B</t>
        </is>
      </c>
      <c r="T2781" s="3" t="inlineStr">
        <is>
          <t>P2</t>
        </is>
      </c>
      <c r="U2781" s="3" t="inlineStr">
        <is>
          <t>P JB Cold Soldering</t>
        </is>
      </c>
      <c r="V2781" s="3" t="inlineStr">
        <is>
          <t>Soldering</t>
        </is>
      </c>
      <c r="W2781" s="3" t="inlineStr">
        <is>
          <t>Repair</t>
        </is>
      </c>
      <c r="X2781" s="18" t="n">
        <v>46174</v>
      </c>
      <c r="Y2781" s="3">
        <f>X2781-A2781</f>
        <v/>
      </c>
      <c r="Z2781" s="18" t="n">
        <v>46174</v>
      </c>
      <c r="AA2781" s="15" t="n"/>
      <c r="AB2781" s="15" t="n"/>
    </row>
    <row r="2782">
      <c r="A2782" s="59" t="n">
        <v>46148</v>
      </c>
      <c r="B2782" s="3" t="n">
        <v>2026</v>
      </c>
      <c r="C2782" s="21" t="inlineStr">
        <is>
          <t>Continuum</t>
        </is>
      </c>
      <c r="D2782" s="3" t="inlineStr">
        <is>
          <t>Utility and C&amp;I</t>
        </is>
      </c>
      <c r="E2782" s="3" t="n"/>
      <c r="F2782" s="3" t="inlineStr">
        <is>
          <t>Closed</t>
        </is>
      </c>
      <c r="G2782" s="21" t="inlineStr">
        <is>
          <t>Amiya Ranjan Behera</t>
        </is>
      </c>
      <c r="H2782" s="21" t="n">
        <v>8917436223</v>
      </c>
      <c r="I2782" s="38" t="inlineStr">
        <is>
          <t>PE06052602</t>
        </is>
      </c>
      <c r="J2782" s="21" t="inlineStr">
        <is>
          <t>Diode Bypass Module Issue</t>
        </is>
      </c>
      <c r="K2782" s="21" t="inlineStr">
        <is>
          <t>Bhavnagar</t>
        </is>
      </c>
      <c r="L2782" s="21" t="inlineStr">
        <is>
          <t>Gujarat</t>
        </is>
      </c>
      <c r="M2782" s="96" t="inlineStr">
        <is>
          <t>PS</t>
        </is>
      </c>
      <c r="N2782" s="3" t="inlineStr">
        <is>
          <t>Cold Soldering</t>
        </is>
      </c>
      <c r="O2782" s="62" t="n">
        <v>540</v>
      </c>
      <c r="P2782" s="96" t="inlineStr">
        <is>
          <t>NSMP2304037170</t>
        </is>
      </c>
      <c r="Q2782" s="53">
        <f>MID(P2782,5,2)</f>
        <v/>
      </c>
      <c r="R2782" s="53">
        <f>MID(P2782,7,2)</f>
        <v/>
      </c>
      <c r="S2782" s="3" t="inlineStr">
        <is>
          <t>G2B</t>
        </is>
      </c>
      <c r="T2782" s="3" t="inlineStr">
        <is>
          <t>P2</t>
        </is>
      </c>
      <c r="U2782" s="3" t="inlineStr">
        <is>
          <t>P JB Cold Soldering</t>
        </is>
      </c>
      <c r="V2782" s="3" t="inlineStr">
        <is>
          <t>Soldering</t>
        </is>
      </c>
      <c r="W2782" s="3" t="inlineStr">
        <is>
          <t>Repair</t>
        </is>
      </c>
      <c r="X2782" s="18" t="n">
        <v>46174</v>
      </c>
      <c r="Y2782" s="3">
        <f>X2782-A2782</f>
        <v/>
      </c>
      <c r="Z2782" s="18" t="n">
        <v>46174</v>
      </c>
      <c r="AA2782" s="15" t="n"/>
      <c r="AB2782" s="15" t="n"/>
    </row>
    <row r="2783">
      <c r="A2783" s="59" t="n">
        <v>46148</v>
      </c>
      <c r="B2783" s="3" t="n">
        <v>2026</v>
      </c>
      <c r="C2783" s="21" t="inlineStr">
        <is>
          <t>Continuum</t>
        </is>
      </c>
      <c r="D2783" s="3" t="inlineStr">
        <is>
          <t>Utility and C&amp;I</t>
        </is>
      </c>
      <c r="E2783" s="3" t="n"/>
      <c r="F2783" s="3" t="inlineStr">
        <is>
          <t>Closed</t>
        </is>
      </c>
      <c r="G2783" s="21" t="inlineStr">
        <is>
          <t>Amiya Ranjan Behera</t>
        </is>
      </c>
      <c r="H2783" s="21" t="n">
        <v>8917436223</v>
      </c>
      <c r="I2783" s="38" t="inlineStr">
        <is>
          <t>PE06052602</t>
        </is>
      </c>
      <c r="J2783" s="21" t="inlineStr">
        <is>
          <t>Diode Bypass Module Issue</t>
        </is>
      </c>
      <c r="K2783" s="21" t="inlineStr">
        <is>
          <t>Bhavnagar</t>
        </is>
      </c>
      <c r="L2783" s="21" t="inlineStr">
        <is>
          <t>Gujarat</t>
        </is>
      </c>
      <c r="M2783" s="96" t="inlineStr">
        <is>
          <t>PS</t>
        </is>
      </c>
      <c r="N2783" s="3" t="inlineStr">
        <is>
          <t>Cold Soldering</t>
        </is>
      </c>
      <c r="O2783" s="62" t="n">
        <v>540</v>
      </c>
      <c r="P2783" s="96" t="inlineStr">
        <is>
          <t>NSMP2304036673</t>
        </is>
      </c>
      <c r="Q2783" s="53">
        <f>MID(P2783,5,2)</f>
        <v/>
      </c>
      <c r="R2783" s="53">
        <f>MID(P2783,7,2)</f>
        <v/>
      </c>
      <c r="S2783" s="3" t="inlineStr">
        <is>
          <t>G2B</t>
        </is>
      </c>
      <c r="T2783" s="3" t="inlineStr">
        <is>
          <t>P2</t>
        </is>
      </c>
      <c r="U2783" s="3" t="inlineStr">
        <is>
          <t>P JB Cold Soldering</t>
        </is>
      </c>
      <c r="V2783" s="3" t="inlineStr">
        <is>
          <t>Soldering</t>
        </is>
      </c>
      <c r="W2783" s="3" t="inlineStr">
        <is>
          <t>Repair</t>
        </is>
      </c>
      <c r="X2783" s="18" t="n">
        <v>46174</v>
      </c>
      <c r="Y2783" s="3">
        <f>X2783-A2783</f>
        <v/>
      </c>
      <c r="Z2783" s="18" t="n">
        <v>46174</v>
      </c>
      <c r="AA2783" s="15" t="n"/>
      <c r="AB2783" s="15" t="n"/>
    </row>
    <row r="2784">
      <c r="A2784" s="59" t="n">
        <v>46148</v>
      </c>
      <c r="B2784" s="3" t="n">
        <v>2026</v>
      </c>
      <c r="C2784" s="21" t="inlineStr">
        <is>
          <t>Continuum</t>
        </is>
      </c>
      <c r="D2784" s="3" t="inlineStr">
        <is>
          <t>Utility and C&amp;I</t>
        </is>
      </c>
      <c r="E2784" s="3" t="n"/>
      <c r="F2784" s="3" t="inlineStr">
        <is>
          <t>Closed</t>
        </is>
      </c>
      <c r="G2784" s="21" t="inlineStr">
        <is>
          <t>Amiya Ranjan Behera</t>
        </is>
      </c>
      <c r="H2784" s="21" t="n">
        <v>8917436223</v>
      </c>
      <c r="I2784" s="38" t="inlineStr">
        <is>
          <t>PE06052602</t>
        </is>
      </c>
      <c r="J2784" s="21" t="inlineStr">
        <is>
          <t>Diode Bypass Module Issue</t>
        </is>
      </c>
      <c r="K2784" s="21" t="inlineStr">
        <is>
          <t>Bhavnagar</t>
        </is>
      </c>
      <c r="L2784" s="21" t="inlineStr">
        <is>
          <t>Gujarat</t>
        </is>
      </c>
      <c r="M2784" s="96" t="inlineStr">
        <is>
          <t>PS</t>
        </is>
      </c>
      <c r="N2784" s="3" t="inlineStr">
        <is>
          <t>Cold Soldering</t>
        </is>
      </c>
      <c r="O2784" s="62" t="n">
        <v>540</v>
      </c>
      <c r="P2784" s="96" t="inlineStr">
        <is>
          <t>NSMP2304037183</t>
        </is>
      </c>
      <c r="Q2784" s="53">
        <f>MID(P2784,5,2)</f>
        <v/>
      </c>
      <c r="R2784" s="53">
        <f>MID(P2784,7,2)</f>
        <v/>
      </c>
      <c r="S2784" s="3" t="inlineStr">
        <is>
          <t>G2B</t>
        </is>
      </c>
      <c r="T2784" s="3" t="inlineStr">
        <is>
          <t>P2</t>
        </is>
      </c>
      <c r="U2784" s="3" t="inlineStr">
        <is>
          <t>P JB Cold Soldering</t>
        </is>
      </c>
      <c r="V2784" s="3" t="inlineStr">
        <is>
          <t>Soldering</t>
        </is>
      </c>
      <c r="W2784" s="3" t="inlineStr">
        <is>
          <t>Repair</t>
        </is>
      </c>
      <c r="X2784" s="18" t="n">
        <v>46174</v>
      </c>
      <c r="Y2784" s="3">
        <f>X2784-A2784</f>
        <v/>
      </c>
      <c r="Z2784" s="18" t="n">
        <v>46174</v>
      </c>
      <c r="AA2784" s="15" t="n"/>
      <c r="AB2784" s="15" t="n"/>
    </row>
    <row r="2785">
      <c r="A2785" s="59" t="n">
        <v>46148</v>
      </c>
      <c r="B2785" s="3" t="n">
        <v>2026</v>
      </c>
      <c r="C2785" s="21" t="inlineStr">
        <is>
          <t>Continuum</t>
        </is>
      </c>
      <c r="D2785" s="3" t="inlineStr">
        <is>
          <t>Utility and C&amp;I</t>
        </is>
      </c>
      <c r="E2785" s="3" t="n"/>
      <c r="F2785" s="3" t="inlineStr">
        <is>
          <t>Closed</t>
        </is>
      </c>
      <c r="G2785" s="21" t="inlineStr">
        <is>
          <t>Amiya Ranjan Behera</t>
        </is>
      </c>
      <c r="H2785" s="21" t="n">
        <v>8917436223</v>
      </c>
      <c r="I2785" s="38" t="inlineStr">
        <is>
          <t>PE06052602</t>
        </is>
      </c>
      <c r="J2785" s="21" t="inlineStr">
        <is>
          <t>Diode Bypass Module Issue</t>
        </is>
      </c>
      <c r="K2785" s="21" t="inlineStr">
        <is>
          <t>Bhavnagar</t>
        </is>
      </c>
      <c r="L2785" s="21" t="inlineStr">
        <is>
          <t>Gujarat</t>
        </is>
      </c>
      <c r="M2785" s="96" t="inlineStr">
        <is>
          <t>NS</t>
        </is>
      </c>
      <c r="N2785" s="26" t="inlineStr">
        <is>
          <t>Cold Soldering</t>
        </is>
      </c>
      <c r="O2785" s="60" t="n">
        <v>540</v>
      </c>
      <c r="P2785" s="96" t="inlineStr">
        <is>
          <t>NSMP2304036948</t>
        </is>
      </c>
      <c r="Q2785" s="53">
        <f>MID(P2785,5,2)</f>
        <v/>
      </c>
      <c r="R2785" s="53">
        <f>MID(P2785,7,2)</f>
        <v/>
      </c>
      <c r="S2785" s="3" t="inlineStr">
        <is>
          <t>G2B</t>
        </is>
      </c>
      <c r="T2785" s="3" t="inlineStr">
        <is>
          <t>P2</t>
        </is>
      </c>
      <c r="U2785" s="19" t="inlineStr">
        <is>
          <t>N JB Cold Soldering</t>
        </is>
      </c>
      <c r="V2785" s="19" t="inlineStr">
        <is>
          <t>Soldering</t>
        </is>
      </c>
      <c r="W2785" s="3" t="inlineStr">
        <is>
          <t>Repair</t>
        </is>
      </c>
      <c r="X2785" s="18" t="n">
        <v>46174</v>
      </c>
      <c r="Y2785" s="3">
        <f>X2785-A2785</f>
        <v/>
      </c>
      <c r="Z2785" s="18" t="n">
        <v>46174</v>
      </c>
      <c r="AA2785" s="15" t="n"/>
      <c r="AB2785" s="15" t="n"/>
    </row>
    <row r="2786">
      <c r="A2786" s="59" t="n">
        <v>46148</v>
      </c>
      <c r="B2786" s="3" t="n">
        <v>2026</v>
      </c>
      <c r="C2786" s="21" t="inlineStr">
        <is>
          <t>Continuum</t>
        </is>
      </c>
      <c r="D2786" s="3" t="inlineStr">
        <is>
          <t>Utility and C&amp;I</t>
        </is>
      </c>
      <c r="E2786" s="3" t="n"/>
      <c r="F2786" s="3" t="inlineStr">
        <is>
          <t>Closed</t>
        </is>
      </c>
      <c r="G2786" s="21" t="inlineStr">
        <is>
          <t>Amiya Ranjan Behera</t>
        </is>
      </c>
      <c r="H2786" s="21" t="n">
        <v>8917436223</v>
      </c>
      <c r="I2786" s="38" t="inlineStr">
        <is>
          <t>PE06052602</t>
        </is>
      </c>
      <c r="J2786" s="21" t="inlineStr">
        <is>
          <t>Diode Bypass Module Issue</t>
        </is>
      </c>
      <c r="K2786" s="21" t="inlineStr">
        <is>
          <t>Bhavnagar</t>
        </is>
      </c>
      <c r="L2786" s="21" t="inlineStr">
        <is>
          <t>Gujarat</t>
        </is>
      </c>
      <c r="M2786" s="96" t="inlineStr">
        <is>
          <t>PS</t>
        </is>
      </c>
      <c r="N2786" s="3" t="inlineStr">
        <is>
          <t>Cold Soldering</t>
        </is>
      </c>
      <c r="O2786" s="62" t="n">
        <v>540</v>
      </c>
      <c r="P2786" s="96" t="inlineStr">
        <is>
          <t>NSMP2304037160</t>
        </is>
      </c>
      <c r="Q2786" s="53">
        <f>MID(P2786,5,2)</f>
        <v/>
      </c>
      <c r="R2786" s="53">
        <f>MID(P2786,7,2)</f>
        <v/>
      </c>
      <c r="S2786" s="3" t="inlineStr">
        <is>
          <t>G2B</t>
        </is>
      </c>
      <c r="T2786" s="3" t="inlineStr">
        <is>
          <t>P2</t>
        </is>
      </c>
      <c r="U2786" s="3" t="inlineStr">
        <is>
          <t>P JB Cold Soldering</t>
        </is>
      </c>
      <c r="V2786" s="3" t="inlineStr">
        <is>
          <t>Soldering</t>
        </is>
      </c>
      <c r="W2786" s="3" t="inlineStr">
        <is>
          <t>Repair</t>
        </is>
      </c>
      <c r="X2786" s="18" t="n">
        <v>46174</v>
      </c>
      <c r="Y2786" s="3">
        <f>X2786-A2786</f>
        <v/>
      </c>
      <c r="Z2786" s="18" t="n">
        <v>46174</v>
      </c>
      <c r="AA2786" s="15" t="n"/>
      <c r="AB2786" s="15" t="n"/>
    </row>
    <row r="2787">
      <c r="A2787" s="59" t="n">
        <v>46148</v>
      </c>
      <c r="B2787" s="3" t="n">
        <v>2026</v>
      </c>
      <c r="C2787" s="21" t="inlineStr">
        <is>
          <t>Continuum</t>
        </is>
      </c>
      <c r="D2787" s="3" t="inlineStr">
        <is>
          <t>Utility and C&amp;I</t>
        </is>
      </c>
      <c r="E2787" s="3" t="n"/>
      <c r="F2787" s="3" t="inlineStr">
        <is>
          <t>Closed</t>
        </is>
      </c>
      <c r="G2787" s="21" t="inlineStr">
        <is>
          <t>Amiya Ranjan Behera</t>
        </is>
      </c>
      <c r="H2787" s="21" t="n">
        <v>8917436223</v>
      </c>
      <c r="I2787" s="38" t="inlineStr">
        <is>
          <t>PE06052602</t>
        </is>
      </c>
      <c r="J2787" s="21" t="inlineStr">
        <is>
          <t>Diode Bypass Module Issue</t>
        </is>
      </c>
      <c r="K2787" s="21" t="inlineStr">
        <is>
          <t>Bhavnagar</t>
        </is>
      </c>
      <c r="L2787" s="21" t="inlineStr">
        <is>
          <t>Gujarat</t>
        </is>
      </c>
      <c r="M2787" s="96" t="inlineStr">
        <is>
          <t>PS</t>
        </is>
      </c>
      <c r="N2787" s="3" t="inlineStr">
        <is>
          <t>Cold Soldering</t>
        </is>
      </c>
      <c r="O2787" s="62" t="n">
        <v>540</v>
      </c>
      <c r="P2787" s="96" t="inlineStr">
        <is>
          <t>NSMP2304037196</t>
        </is>
      </c>
      <c r="Q2787" s="53">
        <f>MID(P2787,5,2)</f>
        <v/>
      </c>
      <c r="R2787" s="53">
        <f>MID(P2787,7,2)</f>
        <v/>
      </c>
      <c r="S2787" s="3" t="inlineStr">
        <is>
          <t>G2B</t>
        </is>
      </c>
      <c r="T2787" s="3" t="inlineStr">
        <is>
          <t>P2</t>
        </is>
      </c>
      <c r="U2787" s="3" t="inlineStr">
        <is>
          <t>P JB Cold Soldering</t>
        </is>
      </c>
      <c r="V2787" s="3" t="inlineStr">
        <is>
          <t>Soldering</t>
        </is>
      </c>
      <c r="W2787" s="3" t="inlineStr">
        <is>
          <t>Repair</t>
        </is>
      </c>
      <c r="X2787" s="18" t="n">
        <v>46174</v>
      </c>
      <c r="Y2787" s="3">
        <f>X2787-A2787</f>
        <v/>
      </c>
      <c r="Z2787" s="18" t="n">
        <v>46174</v>
      </c>
      <c r="AA2787" s="15" t="n"/>
      <c r="AB2787" s="15" t="n"/>
    </row>
  </sheetData>
  <autoFilter ref="A1:AB2787">
    <filterColumn colId="0" hiddenButton="0" showButton="1">
      <filters>
        <dateGroupItem year="2026" month="5" dateTimeGrouping="month"/>
      </filters>
    </filterColumn>
  </autoFilter>
  <conditionalFormatting sqref="I1:I1775 I1817:I1932 I2016:I2072 I2104:I2182 I2346:I2406 I2426:I2490 I2555:I2680 I2788:I1048576">
    <cfRule type="duplicateValues" priority="12" dxfId="0"/>
  </conditionalFormatting>
  <conditionalFormatting sqref="I1:I1048576">
    <cfRule type="duplicateValues" priority="1" dxfId="0"/>
  </conditionalFormatting>
  <conditionalFormatting sqref="I353">
    <cfRule type="duplicateValues" priority="32" dxfId="0"/>
    <cfRule type="duplicateValues" priority="31" dxfId="0"/>
    <cfRule type="duplicateValues" priority="30" dxfId="0"/>
    <cfRule type="duplicateValues" priority="29" dxfId="0"/>
    <cfRule type="duplicateValues" priority="28" dxfId="0"/>
  </conditionalFormatting>
  <conditionalFormatting sqref="I354">
    <cfRule type="duplicateValues" priority="27" dxfId="0"/>
    <cfRule type="duplicateValues" priority="26" dxfId="0"/>
    <cfRule type="duplicateValues" priority="25" dxfId="0"/>
    <cfRule type="duplicateValues" priority="24" dxfId="0"/>
    <cfRule type="duplicateValues" priority="23" dxfId="0"/>
    <cfRule type="duplicateValues" priority="22" dxfId="0"/>
    <cfRule type="duplicateValues" priority="21" dxfId="0"/>
    <cfRule type="duplicateValues" priority="20" dxfId="0"/>
  </conditionalFormatting>
  <conditionalFormatting sqref="I357:I358">
    <cfRule type="duplicateValues" priority="16" dxfId="0"/>
    <cfRule type="duplicateValues" priority="17" dxfId="0"/>
    <cfRule type="duplicateValues" priority="18" dxfId="0"/>
    <cfRule type="duplicateValues" priority="19" dxfId="0"/>
  </conditionalFormatting>
  <conditionalFormatting sqref="I1776:I1816 I1933:I2010 I2074:I2101 I2183:I2268 I2271:I2344 I2414:I2425 I2491:I2548 I2681:I2787">
    <cfRule type="duplicateValues" priority="11" dxfId="0"/>
    <cfRule type="duplicateValues" priority="10" dxfId="0"/>
  </conditionalFormatting>
  <conditionalFormatting sqref="I2011:I2015">
    <cfRule type="duplicateValues" priority="9" dxfId="0"/>
  </conditionalFormatting>
  <conditionalFormatting sqref="I2073">
    <cfRule type="duplicateValues" priority="8" dxfId="0"/>
    <cfRule type="duplicateValues" priority="7" dxfId="0"/>
  </conditionalFormatting>
  <conditionalFormatting sqref="I2102">
    <cfRule type="duplicateValues" priority="6" dxfId="0"/>
  </conditionalFormatting>
  <conditionalFormatting sqref="I2103">
    <cfRule type="duplicateValues" priority="5" dxfId="0"/>
    <cfRule type="duplicateValues" priority="4" dxfId="0"/>
  </conditionalFormatting>
  <conditionalFormatting sqref="I2269">
    <cfRule type="duplicateValues" priority="37" dxfId="0"/>
  </conditionalFormatting>
  <conditionalFormatting sqref="I2407">
    <cfRule type="duplicateValues" priority="3" dxfId="0"/>
  </conditionalFormatting>
  <conditionalFormatting sqref="I2408">
    <cfRule type="duplicateValues" priority="2" dxfId="0"/>
  </conditionalFormatting>
  <conditionalFormatting sqref="O417:O455 P5:P236 P241:P416">
    <cfRule type="duplicateValues" priority="33" dxfId="0"/>
    <cfRule type="duplicateValues" priority="34" dxfId="0"/>
    <cfRule type="duplicateValues" priority="35" dxfId="0"/>
  </conditionalFormatting>
  <conditionalFormatting sqref="P1:P4 P743:P744 P926:P927 P2788:P1048576">
    <cfRule type="duplicateValues" priority="36" dxfId="0"/>
  </conditionalFormatting>
  <conditionalFormatting sqref="P417:P455">
    <cfRule type="duplicateValues" priority="15" dxfId="0"/>
    <cfRule type="duplicateValues" priority="14" dxfId="0"/>
    <cfRule type="duplicateValues" priority="13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787"/>
  <sheetViews>
    <sheetView tabSelected="1" zoomScale="80" zoomScaleNormal="80" workbookViewId="0">
      <pane xSplit="12" ySplit="1" topLeftCell="V82" activePane="bottomRight" state="frozen"/>
      <selection activeCell="J4" sqref="J4"/>
      <selection pane="topRight" activeCell="J4" sqref="J4"/>
      <selection pane="bottomLeft" activeCell="J4" sqref="J4"/>
      <selection pane="bottomRight" activeCell="C2681" sqref="C2681"/>
    </sheetView>
  </sheetViews>
  <sheetFormatPr baseColWidth="8" defaultRowHeight="14.5"/>
  <cols>
    <col width="16.453125" bestFit="1" customWidth="1" style="233" min="1" max="1"/>
    <col width="4" bestFit="1" customWidth="1" style="233" min="2" max="2"/>
    <col width="25.36328125" bestFit="1" customWidth="1" style="233" min="3" max="3"/>
    <col width="10.1796875" bestFit="1" customWidth="1" style="233" min="4" max="4"/>
    <col width="9.26953125" bestFit="1" customWidth="1" style="233" min="5" max="5"/>
    <col width="9.90625" bestFit="1" customWidth="1" style="233" min="6" max="6"/>
    <col width="21.453125" bestFit="1" customWidth="1" style="233" min="7" max="7"/>
    <col width="22.7265625" bestFit="1" customWidth="1" style="233" min="9" max="9"/>
    <col width="19.54296875" bestFit="1" customWidth="1" style="233" min="10" max="10"/>
    <col width="12.90625" bestFit="1" customWidth="1" style="233" min="11" max="11"/>
    <col width="10.81640625" bestFit="1" customWidth="1" style="233" min="12" max="12"/>
    <col width="16.90625" bestFit="1" customWidth="1" style="233" min="13" max="13"/>
    <col width="29.7265625" bestFit="1" customWidth="1" style="233" min="14" max="14"/>
    <col width="9.26953125" bestFit="1" customWidth="1" style="233" min="15" max="15"/>
    <col width="15" bestFit="1" customWidth="1" style="233" min="16" max="16"/>
    <col width="12.453125" bestFit="1" customWidth="1" style="233" min="17" max="17"/>
    <col width="14" bestFit="1" customWidth="1" style="233" min="18" max="18"/>
    <col width="8.81640625" bestFit="1" customWidth="1" style="233" min="19" max="19"/>
    <col width="13.6328125" bestFit="1" customWidth="1" style="233" min="20" max="20"/>
    <col width="50.453125" bestFit="1" customWidth="1" style="233" min="21" max="21"/>
    <col width="17" bestFit="1" customWidth="1" style="233" min="22" max="22"/>
    <col width="10.6328125" bestFit="1" customWidth="1" style="233" min="23" max="23"/>
    <col width="14.08984375" bestFit="1" customWidth="1" style="233" min="24" max="24"/>
    <col width="17.7265625" bestFit="1" customWidth="1" style="233" min="25" max="25"/>
    <col width="7.6328125" bestFit="1" customWidth="1" style="233" min="26" max="26"/>
    <col width="10" bestFit="1" customWidth="1" style="233" min="27" max="27"/>
    <col width="8.6328125" bestFit="1" customWidth="1" style="233" min="28" max="28"/>
  </cols>
  <sheetData>
    <row r="1">
      <c r="A1" s="103" t="inlineStr">
        <is>
          <t>Complaint Received Date</t>
        </is>
      </c>
      <c r="B1" s="103" t="inlineStr">
        <is>
          <t>Year</t>
        </is>
      </c>
      <c r="C1" s="103" t="inlineStr">
        <is>
          <t>Complaint Raised By</t>
        </is>
      </c>
      <c r="D1" s="103" t="inlineStr">
        <is>
          <t>Customer Type</t>
        </is>
      </c>
      <c r="E1" s="17" t="inlineStr">
        <is>
          <t>Project Name</t>
        </is>
      </c>
      <c r="F1" s="103" t="inlineStr">
        <is>
          <t>Current Status</t>
        </is>
      </c>
      <c r="G1" s="103" t="inlineStr">
        <is>
          <t>Claim Reported By</t>
        </is>
      </c>
      <c r="H1" s="103" t="inlineStr">
        <is>
          <t>Contact No.</t>
        </is>
      </c>
      <c r="I1" s="103" t="inlineStr">
        <is>
          <t>Contract / Complaint  / Invoice No.</t>
        </is>
      </c>
      <c r="J1" s="103" t="inlineStr">
        <is>
          <t>Customer Reported Problem</t>
        </is>
      </c>
      <c r="K1" s="103" t="inlineStr">
        <is>
          <t>Venue / Location</t>
        </is>
      </c>
      <c r="L1" s="103" t="inlineStr">
        <is>
          <t>State</t>
        </is>
      </c>
      <c r="M1" s="104" t="inlineStr">
        <is>
          <t>Field Evaluation</t>
        </is>
      </c>
      <c r="N1" s="103" t="inlineStr">
        <is>
          <t>Our Evaluation</t>
        </is>
      </c>
      <c r="O1" s="103" t="inlineStr">
        <is>
          <t>PV Panels Wp</t>
        </is>
      </c>
      <c r="P1" s="103" t="inlineStr">
        <is>
          <t>Module Serial Number</t>
        </is>
      </c>
      <c r="Q1" s="103" t="inlineStr">
        <is>
          <t>Module Make Year</t>
        </is>
      </c>
      <c r="R1" s="103" t="inlineStr">
        <is>
          <t>Module Make Month</t>
        </is>
      </c>
      <c r="S1" s="103" t="inlineStr">
        <is>
          <t>Moduel Type</t>
        </is>
      </c>
      <c r="T1" s="103" t="inlineStr">
        <is>
          <t>Manufacturing Plant</t>
        </is>
      </c>
      <c r="U1" s="103" t="inlineStr">
        <is>
          <t>Remark</t>
        </is>
      </c>
      <c r="V1" s="103" t="inlineStr">
        <is>
          <t>Action Taken</t>
        </is>
      </c>
      <c r="W1" s="103" t="inlineStr">
        <is>
          <t>Resolution Type</t>
        </is>
      </c>
      <c r="X1" s="103" t="inlineStr">
        <is>
          <t>Date of Claim Settled</t>
        </is>
      </c>
      <c r="Y1" s="103" t="inlineStr">
        <is>
          <t>Claim Settlement Duration</t>
        </is>
      </c>
      <c r="Z1" s="103" t="inlineStr">
        <is>
          <t>Visit Date</t>
        </is>
      </c>
      <c r="AA1" s="103" t="inlineStr">
        <is>
          <t>Rework Srl No.</t>
        </is>
      </c>
      <c r="AB1" s="103" t="inlineStr">
        <is>
          <t>Work details</t>
        </is>
      </c>
      <c r="AF1" t="inlineStr">
        <is>
          <t>May Closed Flag</t>
        </is>
      </c>
    </row>
    <row r="2">
      <c r="A2" s="72" t="n">
        <v>46140</v>
      </c>
      <c r="B2" s="73" t="n">
        <v>2026</v>
      </c>
      <c r="C2" s="73" t="inlineStr">
        <is>
          <t>Panasonic</t>
        </is>
      </c>
      <c r="D2" s="73" t="inlineStr">
        <is>
          <t>OEM</t>
        </is>
      </c>
      <c r="E2" s="73" t="n"/>
      <c r="F2" s="73" t="inlineStr">
        <is>
          <t>Closed</t>
        </is>
      </c>
      <c r="G2" s="73" t="inlineStr">
        <is>
          <t>Chirag Tare</t>
        </is>
      </c>
      <c r="H2" s="73" t="n">
        <v>7719846027</v>
      </c>
      <c r="I2" s="74" t="inlineStr">
        <is>
          <t>PE28042604</t>
        </is>
      </c>
      <c r="J2" s="73" t="inlineStr">
        <is>
          <t>Low VOC</t>
        </is>
      </c>
      <c r="K2" s="75" t="inlineStr">
        <is>
          <t>Mysore</t>
        </is>
      </c>
      <c r="L2" s="73" t="inlineStr">
        <is>
          <t>Karnataka</t>
        </is>
      </c>
      <c r="M2" s="73" t="inlineStr">
        <is>
          <t>JB Issue</t>
        </is>
      </c>
      <c r="N2" s="73" t="inlineStr">
        <is>
          <t>JB Issue</t>
        </is>
      </c>
      <c r="O2" s="76" t="n">
        <v>550</v>
      </c>
      <c r="P2" s="73" t="inlineStr">
        <is>
          <t>NSMP2304007550</t>
        </is>
      </c>
      <c r="Q2" s="77">
        <f>MID(P2,5,2)</f>
        <v/>
      </c>
      <c r="R2" s="77">
        <f>MID(P2,7,2)</f>
        <v/>
      </c>
      <c r="S2" s="73" t="inlineStr">
        <is>
          <t>G2B</t>
        </is>
      </c>
      <c r="T2" s="73" t="inlineStr">
        <is>
          <t>P2</t>
        </is>
      </c>
      <c r="U2" s="73" t="inlineStr">
        <is>
          <t>All JB Issue</t>
        </is>
      </c>
      <c r="V2" s="73" t="inlineStr">
        <is>
          <t>JB Changed</t>
        </is>
      </c>
      <c r="W2" s="73" t="inlineStr">
        <is>
          <t>Repair</t>
        </is>
      </c>
      <c r="X2" s="72" t="n">
        <v>46143</v>
      </c>
      <c r="Y2" s="73">
        <f>IF(X2="","",X2-A2)</f>
        <v/>
      </c>
      <c r="Z2" s="72" t="n">
        <v>46143</v>
      </c>
      <c r="AA2" s="73" t="n"/>
      <c r="AB2" s="73" t="n"/>
      <c r="AF2">
        <f>IF(AND($F2="Closed",$X2&gt;=DATE(2026,5,1),$X2&lt;=DATE(2026,5,31)),"Closed in May","Other")</f>
        <v/>
      </c>
    </row>
    <row r="3">
      <c r="A3" s="6" t="n">
        <v>46133</v>
      </c>
      <c r="B3" s="3" t="n">
        <v>2026</v>
      </c>
      <c r="C3" s="3" t="inlineStr">
        <is>
          <t>Axitec Energy</t>
        </is>
      </c>
      <c r="D3" s="3" t="inlineStr">
        <is>
          <t>OEM</t>
        </is>
      </c>
      <c r="E3" s="3" t="n"/>
      <c r="F3" s="3" t="inlineStr">
        <is>
          <t>Closed</t>
        </is>
      </c>
      <c r="G3" s="3" t="inlineStr">
        <is>
          <t>Dushyant</t>
        </is>
      </c>
      <c r="H3" s="3" t="n">
        <v>8826633540</v>
      </c>
      <c r="I3" s="7" t="inlineStr">
        <is>
          <t>PE21042602</t>
        </is>
      </c>
      <c r="J3" s="3" t="inlineStr">
        <is>
          <t>Diode Failure</t>
        </is>
      </c>
      <c r="K3" s="3" t="inlineStr">
        <is>
          <t>Chinchwad</t>
        </is>
      </c>
      <c r="L3" s="3" t="inlineStr">
        <is>
          <t>Maharashtra</t>
        </is>
      </c>
      <c r="M3" s="3" t="inlineStr">
        <is>
          <t>Cold Soldering</t>
        </is>
      </c>
      <c r="N3" s="3" t="inlineStr">
        <is>
          <t>Cold Soldering</t>
        </is>
      </c>
      <c r="O3" s="5" t="n">
        <v>520</v>
      </c>
      <c r="P3" s="23" t="n">
        <v>26230431008130</v>
      </c>
      <c r="Q3" s="53">
        <f>MID(P3,3,2)</f>
        <v/>
      </c>
      <c r="R3" s="53">
        <f>MID(P3,5,2)</f>
        <v/>
      </c>
      <c r="S3" s="3" t="inlineStr">
        <is>
          <t>G2B</t>
        </is>
      </c>
      <c r="T3" s="3" t="inlineStr">
        <is>
          <t>P2</t>
        </is>
      </c>
      <c r="U3" s="3" t="inlineStr">
        <is>
          <t>P JB Cold Soldering</t>
        </is>
      </c>
      <c r="V3" s="3" t="inlineStr">
        <is>
          <t>Soldering</t>
        </is>
      </c>
      <c r="W3" s="3" t="inlineStr">
        <is>
          <t>Repair</t>
        </is>
      </c>
      <c r="X3" s="2" t="n">
        <v>46143</v>
      </c>
      <c r="Y3" s="73">
        <f>IF(X3="","",X3-A3)</f>
        <v/>
      </c>
      <c r="Z3" s="2" t="n">
        <v>46143</v>
      </c>
      <c r="AA3" s="3" t="n"/>
      <c r="AB3" s="3" t="n"/>
      <c r="AF3">
        <f>IF(AND($F3="Closed",$X3&gt;=DATE(2026,5,1),$X3&lt;=DATE(2026,5,31)),"Closed in May","Other")</f>
        <v/>
      </c>
    </row>
    <row r="4">
      <c r="A4" s="6" t="n">
        <v>46133</v>
      </c>
      <c r="B4" s="3" t="n">
        <v>2026</v>
      </c>
      <c r="C4" s="3" t="inlineStr">
        <is>
          <t>Axitec Energy</t>
        </is>
      </c>
      <c r="D4" s="3" t="inlineStr">
        <is>
          <t>OEM</t>
        </is>
      </c>
      <c r="E4" s="3" t="n"/>
      <c r="F4" s="3" t="inlineStr">
        <is>
          <t>Closed</t>
        </is>
      </c>
      <c r="G4" s="3" t="inlineStr">
        <is>
          <t>Dushyant</t>
        </is>
      </c>
      <c r="H4" s="3" t="n">
        <v>8826633540</v>
      </c>
      <c r="I4" s="7" t="inlineStr">
        <is>
          <t>PE21042602</t>
        </is>
      </c>
      <c r="J4" s="3" t="inlineStr">
        <is>
          <t>Diode Failure</t>
        </is>
      </c>
      <c r="K4" s="3" t="inlineStr">
        <is>
          <t>Chinchwad</t>
        </is>
      </c>
      <c r="L4" s="3" t="inlineStr">
        <is>
          <t>Maharashtra</t>
        </is>
      </c>
      <c r="M4" s="3" t="inlineStr">
        <is>
          <t>Cold Soldering</t>
        </is>
      </c>
      <c r="N4" s="3" t="inlineStr">
        <is>
          <t>Cold Soldering</t>
        </is>
      </c>
      <c r="O4" s="5" t="n">
        <v>520</v>
      </c>
      <c r="P4" s="24" t="n">
        <v>26230431008116</v>
      </c>
      <c r="Q4" s="53">
        <f>MID(P4,3,2)</f>
        <v/>
      </c>
      <c r="R4" s="53">
        <f>MID(P4,5,2)</f>
        <v/>
      </c>
      <c r="S4" s="3" t="inlineStr">
        <is>
          <t>G2B</t>
        </is>
      </c>
      <c r="T4" s="3" t="inlineStr">
        <is>
          <t>P2</t>
        </is>
      </c>
      <c r="U4" s="3" t="inlineStr">
        <is>
          <t>P JB Cold Soldering</t>
        </is>
      </c>
      <c r="V4" s="3" t="inlineStr">
        <is>
          <t>Soldering</t>
        </is>
      </c>
      <c r="W4" s="3" t="inlineStr">
        <is>
          <t>Repair</t>
        </is>
      </c>
      <c r="X4" s="2" t="n">
        <v>46143</v>
      </c>
      <c r="Y4" s="73">
        <f>IF(X4="","",X4-A4)</f>
        <v/>
      </c>
      <c r="Z4" s="2" t="n">
        <v>46143</v>
      </c>
      <c r="AA4" s="3" t="n"/>
      <c r="AB4" s="3" t="n"/>
      <c r="AF4">
        <f>IF(AND($F4="Closed",$X4&gt;=DATE(2026,5,1),$X4&lt;=DATE(2026,5,31)),"Closed in May","Other")</f>
        <v/>
      </c>
    </row>
    <row r="5">
      <c r="A5" s="2" t="n">
        <v>46106</v>
      </c>
      <c r="B5" s="3" t="n">
        <v>2026</v>
      </c>
      <c r="C5" s="3" t="inlineStr">
        <is>
          <t>First Energy</t>
        </is>
      </c>
      <c r="D5" s="3" t="inlineStr">
        <is>
          <t>Utility and C&amp;I</t>
        </is>
      </c>
      <c r="E5" s="3" t="n"/>
      <c r="F5" s="3" t="inlineStr">
        <is>
          <t>Closed</t>
        </is>
      </c>
      <c r="G5" s="3" t="inlineStr">
        <is>
          <t>Mr. Gaurav</t>
        </is>
      </c>
      <c r="H5" s="3" t="n">
        <v>9979185999</v>
      </c>
      <c r="I5" s="11" t="inlineStr">
        <is>
          <t>PE25032601</t>
        </is>
      </c>
      <c r="J5" s="9" t="inlineStr">
        <is>
          <t>Module Defects</t>
        </is>
      </c>
      <c r="K5" s="3" t="inlineStr">
        <is>
          <t>Rajkot</t>
        </is>
      </c>
      <c r="L5" s="3" t="inlineStr">
        <is>
          <t>Gujarat</t>
        </is>
      </c>
      <c r="M5" s="9" t="inlineStr">
        <is>
          <t xml:space="preserve">hotspot found </t>
        </is>
      </c>
      <c r="N5" s="19" t="inlineStr">
        <is>
          <t>Hotspot</t>
        </is>
      </c>
      <c r="O5" s="3" t="n">
        <v>550</v>
      </c>
      <c r="P5" s="9" t="inlineStr">
        <is>
          <t>NSMP2409546021</t>
        </is>
      </c>
      <c r="Q5" s="53">
        <f>MID(P5,5,2)</f>
        <v/>
      </c>
      <c r="R5" s="53">
        <f>MID(P5,7,2)</f>
        <v/>
      </c>
      <c r="S5" s="3" t="inlineStr">
        <is>
          <t>G2B</t>
        </is>
      </c>
      <c r="T5" s="3" t="inlineStr">
        <is>
          <t>P2</t>
        </is>
      </c>
      <c r="U5" s="9" t="inlineStr">
        <is>
          <t xml:space="preserve">Multi Cell Hotspot </t>
        </is>
      </c>
      <c r="V5" s="3" t="inlineStr">
        <is>
          <t>Inspection</t>
        </is>
      </c>
      <c r="W5" s="3" t="inlineStr">
        <is>
          <t>Rejected</t>
        </is>
      </c>
      <c r="X5" s="2">
        <f>Z5</f>
        <v/>
      </c>
      <c r="Y5" s="73">
        <f>IF(X5="","",X5-A5)</f>
        <v/>
      </c>
      <c r="Z5" s="18" t="n">
        <v>46143</v>
      </c>
      <c r="AA5" s="3" t="n"/>
      <c r="AB5" s="3" t="n"/>
      <c r="AF5">
        <f>IF(AND($F5="Closed",$X5&gt;=DATE(2026,5,1),$X5&lt;=DATE(2026,5,31)),"Closed in May","Other")</f>
        <v/>
      </c>
    </row>
    <row r="6">
      <c r="A6" s="2" t="n">
        <v>46106</v>
      </c>
      <c r="B6" s="3" t="n">
        <v>2026</v>
      </c>
      <c r="C6" s="3" t="inlineStr">
        <is>
          <t>First Energy</t>
        </is>
      </c>
      <c r="D6" s="3" t="inlineStr">
        <is>
          <t>Utility and C&amp;I</t>
        </is>
      </c>
      <c r="E6" s="3" t="n"/>
      <c r="F6" s="3" t="inlineStr">
        <is>
          <t>Closed</t>
        </is>
      </c>
      <c r="G6" s="3" t="inlineStr">
        <is>
          <t>Mr. Gaurav</t>
        </is>
      </c>
      <c r="H6" s="3" t="n">
        <v>9979185999</v>
      </c>
      <c r="I6" s="11" t="inlineStr">
        <is>
          <t>PE25032601</t>
        </is>
      </c>
      <c r="J6" s="9" t="inlineStr">
        <is>
          <t>Module Defects</t>
        </is>
      </c>
      <c r="K6" s="3" t="inlineStr">
        <is>
          <t>Rajkot</t>
        </is>
      </c>
      <c r="L6" s="3" t="inlineStr">
        <is>
          <t>Gujarat</t>
        </is>
      </c>
      <c r="M6" s="9" t="inlineStr">
        <is>
          <t xml:space="preserve">hotspot found </t>
        </is>
      </c>
      <c r="N6" s="19" t="inlineStr">
        <is>
          <t>Hotspot</t>
        </is>
      </c>
      <c r="O6" s="3" t="n">
        <v>550</v>
      </c>
      <c r="P6" s="9" t="inlineStr">
        <is>
          <t>NSMP2212269256</t>
        </is>
      </c>
      <c r="Q6" s="53">
        <f>MID(P6,5,2)</f>
        <v/>
      </c>
      <c r="R6" s="53">
        <f>MID(P6,7,2)</f>
        <v/>
      </c>
      <c r="S6" s="3" t="inlineStr">
        <is>
          <t>G2B</t>
        </is>
      </c>
      <c r="T6" s="3" t="inlineStr">
        <is>
          <t>P2</t>
        </is>
      </c>
      <c r="U6" s="9" t="inlineStr">
        <is>
          <t xml:space="preserve">Multi Cell Hotspot </t>
        </is>
      </c>
      <c r="V6" s="3" t="inlineStr">
        <is>
          <t>Inspection</t>
        </is>
      </c>
      <c r="W6" s="3" t="inlineStr">
        <is>
          <t>Rejected</t>
        </is>
      </c>
      <c r="X6" s="2">
        <f>Z6</f>
        <v/>
      </c>
      <c r="Y6" s="73">
        <f>IF(X6="","",X6-A6)</f>
        <v/>
      </c>
      <c r="Z6" s="18" t="n">
        <v>46143</v>
      </c>
      <c r="AA6" s="3" t="n"/>
      <c r="AB6" s="3" t="n"/>
      <c r="AF6">
        <f>IF(AND($F6="Closed",$X6&gt;=DATE(2026,5,1),$X6&lt;=DATE(2026,5,31)),"Closed in May","Other")</f>
        <v/>
      </c>
    </row>
    <row r="7">
      <c r="A7" s="2" t="n">
        <v>46106</v>
      </c>
      <c r="B7" s="3" t="n">
        <v>2026</v>
      </c>
      <c r="C7" s="3" t="inlineStr">
        <is>
          <t>First Energy</t>
        </is>
      </c>
      <c r="D7" s="3" t="inlineStr">
        <is>
          <t>Utility and C&amp;I</t>
        </is>
      </c>
      <c r="E7" s="3" t="n"/>
      <c r="F7" s="3" t="inlineStr">
        <is>
          <t>Closed</t>
        </is>
      </c>
      <c r="G7" s="3" t="inlineStr">
        <is>
          <t>Mr. Gaurav</t>
        </is>
      </c>
      <c r="H7" s="3" t="n">
        <v>9979185999</v>
      </c>
      <c r="I7" s="11" t="inlineStr">
        <is>
          <t>PE25032601</t>
        </is>
      </c>
      <c r="J7" s="9" t="inlineStr">
        <is>
          <t>Module Defects</t>
        </is>
      </c>
      <c r="K7" s="3" t="inlineStr">
        <is>
          <t>Rajkot</t>
        </is>
      </c>
      <c r="L7" s="3" t="inlineStr">
        <is>
          <t>Gujarat</t>
        </is>
      </c>
      <c r="M7" s="9" t="inlineStr">
        <is>
          <t xml:space="preserve">hotspot found </t>
        </is>
      </c>
      <c r="N7" s="19" t="inlineStr">
        <is>
          <t>Hotspot</t>
        </is>
      </c>
      <c r="O7" s="3" t="n">
        <v>550</v>
      </c>
      <c r="P7" s="9" t="inlineStr">
        <is>
          <t>NSMP2212269311</t>
        </is>
      </c>
      <c r="Q7" s="53">
        <f>MID(P7,5,2)</f>
        <v/>
      </c>
      <c r="R7" s="53">
        <f>MID(P7,7,2)</f>
        <v/>
      </c>
      <c r="S7" s="3" t="inlineStr">
        <is>
          <t>G2B</t>
        </is>
      </c>
      <c r="T7" s="3" t="inlineStr">
        <is>
          <t>P2</t>
        </is>
      </c>
      <c r="U7" s="9" t="inlineStr">
        <is>
          <t xml:space="preserve">Multi Cell Hotspot </t>
        </is>
      </c>
      <c r="V7" s="3" t="inlineStr">
        <is>
          <t>Inspection</t>
        </is>
      </c>
      <c r="W7" s="3" t="inlineStr">
        <is>
          <t>Rejected</t>
        </is>
      </c>
      <c r="X7" s="2">
        <f>Z7</f>
        <v/>
      </c>
      <c r="Y7" s="73">
        <f>IF(X7="","",X7-A7)</f>
        <v/>
      </c>
      <c r="Z7" s="18" t="n">
        <v>46143</v>
      </c>
      <c r="AA7" s="3" t="n"/>
      <c r="AB7" s="3" t="n"/>
      <c r="AF7">
        <f>IF(AND($F7="Closed",$X7&gt;=DATE(2026,5,1),$X7&lt;=DATE(2026,5,31)),"Closed in May","Other")</f>
        <v/>
      </c>
    </row>
    <row r="8">
      <c r="A8" s="2" t="n">
        <v>46106</v>
      </c>
      <c r="B8" s="3" t="n">
        <v>2026</v>
      </c>
      <c r="C8" s="3" t="inlineStr">
        <is>
          <t>First Energy</t>
        </is>
      </c>
      <c r="D8" s="3" t="inlineStr">
        <is>
          <t>Utility and C&amp;I</t>
        </is>
      </c>
      <c r="E8" s="3" t="n"/>
      <c r="F8" s="3" t="inlineStr">
        <is>
          <t>Closed</t>
        </is>
      </c>
      <c r="G8" s="3" t="inlineStr">
        <is>
          <t>Mr. Gaurav</t>
        </is>
      </c>
      <c r="H8" s="3" t="n">
        <v>9979185999</v>
      </c>
      <c r="I8" s="11" t="inlineStr">
        <is>
          <t>PE25032601</t>
        </is>
      </c>
      <c r="J8" s="9" t="inlineStr">
        <is>
          <t>Module Defects</t>
        </is>
      </c>
      <c r="K8" s="3" t="inlineStr">
        <is>
          <t>Rajkot</t>
        </is>
      </c>
      <c r="L8" s="3" t="inlineStr">
        <is>
          <t>Gujarat</t>
        </is>
      </c>
      <c r="M8" s="9" t="inlineStr">
        <is>
          <t xml:space="preserve">hotspot found </t>
        </is>
      </c>
      <c r="N8" s="19" t="inlineStr">
        <is>
          <t>Hotspot</t>
        </is>
      </c>
      <c r="O8" s="3" t="n">
        <v>550</v>
      </c>
      <c r="P8" s="9" t="inlineStr">
        <is>
          <t>NSMP2212269144</t>
        </is>
      </c>
      <c r="Q8" s="53">
        <f>MID(P8,5,2)</f>
        <v/>
      </c>
      <c r="R8" s="53">
        <f>MID(P8,7,2)</f>
        <v/>
      </c>
      <c r="S8" s="3" t="inlineStr">
        <is>
          <t>G2B</t>
        </is>
      </c>
      <c r="T8" s="3" t="inlineStr">
        <is>
          <t>P2</t>
        </is>
      </c>
      <c r="U8" s="9" t="inlineStr">
        <is>
          <t xml:space="preserve">Single Cell Hotspot </t>
        </is>
      </c>
      <c r="V8" s="3" t="inlineStr">
        <is>
          <t>Inspection</t>
        </is>
      </c>
      <c r="W8" s="3" t="inlineStr">
        <is>
          <t>Rejected</t>
        </is>
      </c>
      <c r="X8" s="2">
        <f>Z8</f>
        <v/>
      </c>
      <c r="Y8" s="73">
        <f>IF(X8="","",X8-A8)</f>
        <v/>
      </c>
      <c r="Z8" s="18" t="n">
        <v>46143</v>
      </c>
      <c r="AA8" s="3" t="n"/>
      <c r="AB8" s="3" t="n"/>
      <c r="AF8">
        <f>IF(AND($F8="Closed",$X8&gt;=DATE(2026,5,1),$X8&lt;=DATE(2026,5,31)),"Closed in May","Other")</f>
        <v/>
      </c>
    </row>
    <row r="9">
      <c r="A9" s="2" t="n">
        <v>46106</v>
      </c>
      <c r="B9" s="3" t="n">
        <v>2026</v>
      </c>
      <c r="C9" s="3" t="inlineStr">
        <is>
          <t>First Energy</t>
        </is>
      </c>
      <c r="D9" s="3" t="inlineStr">
        <is>
          <t>Utility and C&amp;I</t>
        </is>
      </c>
      <c r="E9" s="3" t="n"/>
      <c r="F9" s="3" t="inlineStr">
        <is>
          <t>Closed</t>
        </is>
      </c>
      <c r="G9" s="3" t="inlineStr">
        <is>
          <t>Mr. Gaurav</t>
        </is>
      </c>
      <c r="H9" s="3" t="n">
        <v>9979185999</v>
      </c>
      <c r="I9" s="11" t="inlineStr">
        <is>
          <t>PE25032601</t>
        </is>
      </c>
      <c r="J9" s="9" t="inlineStr">
        <is>
          <t>Module Defects</t>
        </is>
      </c>
      <c r="K9" s="3" t="inlineStr">
        <is>
          <t>Rajkot</t>
        </is>
      </c>
      <c r="L9" s="3" t="inlineStr">
        <is>
          <t>Gujarat</t>
        </is>
      </c>
      <c r="M9" s="9" t="inlineStr">
        <is>
          <t xml:space="preserve">hotspot found </t>
        </is>
      </c>
      <c r="N9" s="19" t="inlineStr">
        <is>
          <t>Hotspot</t>
        </is>
      </c>
      <c r="O9" s="3" t="n">
        <v>550</v>
      </c>
      <c r="P9" s="9" t="inlineStr">
        <is>
          <t>NSMP2301302211</t>
        </is>
      </c>
      <c r="Q9" s="53">
        <f>MID(P9,5,2)</f>
        <v/>
      </c>
      <c r="R9" s="53">
        <f>MID(P9,7,2)</f>
        <v/>
      </c>
      <c r="S9" s="3" t="inlineStr">
        <is>
          <t>G2B</t>
        </is>
      </c>
      <c r="T9" s="3" t="inlineStr">
        <is>
          <t>P2</t>
        </is>
      </c>
      <c r="U9" s="9" t="inlineStr">
        <is>
          <t xml:space="preserve">Multi Cell Hotspot </t>
        </is>
      </c>
      <c r="V9" s="3" t="inlineStr">
        <is>
          <t>Inspection</t>
        </is>
      </c>
      <c r="W9" s="3" t="inlineStr">
        <is>
          <t>Rejected</t>
        </is>
      </c>
      <c r="X9" s="2">
        <f>Z9</f>
        <v/>
      </c>
      <c r="Y9" s="73">
        <f>IF(X9="","",X9-A9)</f>
        <v/>
      </c>
      <c r="Z9" s="18" t="n">
        <v>46143</v>
      </c>
      <c r="AA9" s="3" t="n"/>
      <c r="AB9" s="3" t="n"/>
      <c r="AF9">
        <f>IF(AND($F9="Closed",$X9&gt;=DATE(2026,5,1),$X9&lt;=DATE(2026,5,31)),"Closed in May","Other")</f>
        <v/>
      </c>
    </row>
    <row r="10">
      <c r="A10" s="2" t="n">
        <v>46106</v>
      </c>
      <c r="B10" s="3" t="n">
        <v>2026</v>
      </c>
      <c r="C10" s="3" t="inlineStr">
        <is>
          <t>First Energy</t>
        </is>
      </c>
      <c r="D10" s="3" t="inlineStr">
        <is>
          <t>Utility and C&amp;I</t>
        </is>
      </c>
      <c r="E10" s="3" t="n"/>
      <c r="F10" s="3" t="inlineStr">
        <is>
          <t>Closed</t>
        </is>
      </c>
      <c r="G10" s="3" t="inlineStr">
        <is>
          <t>Mr. Gaurav</t>
        </is>
      </c>
      <c r="H10" s="3" t="n">
        <v>9979185999</v>
      </c>
      <c r="I10" s="11" t="inlineStr">
        <is>
          <t>PE25032601</t>
        </is>
      </c>
      <c r="J10" s="9" t="inlineStr">
        <is>
          <t>Module Defects</t>
        </is>
      </c>
      <c r="K10" s="3" t="inlineStr">
        <is>
          <t>Rajkot</t>
        </is>
      </c>
      <c r="L10" s="3" t="inlineStr">
        <is>
          <t>Gujarat</t>
        </is>
      </c>
      <c r="M10" s="9" t="inlineStr">
        <is>
          <t xml:space="preserve">hotspot found </t>
        </is>
      </c>
      <c r="N10" s="19" t="inlineStr">
        <is>
          <t>Hotspot</t>
        </is>
      </c>
      <c r="O10" s="3" t="n">
        <v>550</v>
      </c>
      <c r="P10" s="9" t="inlineStr">
        <is>
          <t>NSMP2301328092</t>
        </is>
      </c>
      <c r="Q10" s="53">
        <f>MID(P10,5,2)</f>
        <v/>
      </c>
      <c r="R10" s="53">
        <f>MID(P10,7,2)</f>
        <v/>
      </c>
      <c r="S10" s="3" t="inlineStr">
        <is>
          <t>G2B</t>
        </is>
      </c>
      <c r="T10" s="3" t="inlineStr">
        <is>
          <t>P2</t>
        </is>
      </c>
      <c r="U10" s="9" t="inlineStr">
        <is>
          <t xml:space="preserve">Single Cell Hotspot </t>
        </is>
      </c>
      <c r="V10" s="3" t="inlineStr">
        <is>
          <t>Inspection</t>
        </is>
      </c>
      <c r="W10" s="3" t="inlineStr">
        <is>
          <t>Rejected</t>
        </is>
      </c>
      <c r="X10" s="2">
        <f>Z10</f>
        <v/>
      </c>
      <c r="Y10" s="73">
        <f>IF(X10="","",X10-A10)</f>
        <v/>
      </c>
      <c r="Z10" s="18" t="n">
        <v>46143</v>
      </c>
      <c r="AA10" s="3" t="n"/>
      <c r="AB10" s="3" t="n"/>
      <c r="AF10">
        <f>IF(AND($F10="Closed",$X10&gt;=DATE(2026,5,1),$X10&lt;=DATE(2026,5,31)),"Closed in May","Other")</f>
        <v/>
      </c>
    </row>
    <row r="11">
      <c r="A11" s="2" t="n">
        <v>46106</v>
      </c>
      <c r="B11" s="3" t="n">
        <v>2026</v>
      </c>
      <c r="C11" s="3" t="inlineStr">
        <is>
          <t>First Energy</t>
        </is>
      </c>
      <c r="D11" s="3" t="inlineStr">
        <is>
          <t>Utility and C&amp;I</t>
        </is>
      </c>
      <c r="E11" s="3" t="n"/>
      <c r="F11" s="3" t="inlineStr">
        <is>
          <t>Closed</t>
        </is>
      </c>
      <c r="G11" s="3" t="inlineStr">
        <is>
          <t>Mr. Gaurav</t>
        </is>
      </c>
      <c r="H11" s="3" t="n">
        <v>9979185999</v>
      </c>
      <c r="I11" s="11" t="inlineStr">
        <is>
          <t>PE25032601</t>
        </is>
      </c>
      <c r="J11" s="9" t="inlineStr">
        <is>
          <t>Module Defects</t>
        </is>
      </c>
      <c r="K11" s="3" t="inlineStr">
        <is>
          <t>Rajkot</t>
        </is>
      </c>
      <c r="L11" s="3" t="inlineStr">
        <is>
          <t>Gujarat</t>
        </is>
      </c>
      <c r="M11" s="9" t="inlineStr">
        <is>
          <t xml:space="preserve">hotspot found </t>
        </is>
      </c>
      <c r="N11" s="19" t="inlineStr">
        <is>
          <t>Hotspot</t>
        </is>
      </c>
      <c r="O11" s="3" t="n">
        <v>550</v>
      </c>
      <c r="P11" s="9" t="inlineStr">
        <is>
          <t>NSMP2212258292</t>
        </is>
      </c>
      <c r="Q11" s="53">
        <f>MID(P11,5,2)</f>
        <v/>
      </c>
      <c r="R11" s="53">
        <f>MID(P11,7,2)</f>
        <v/>
      </c>
      <c r="S11" s="3" t="inlineStr">
        <is>
          <t>G2B</t>
        </is>
      </c>
      <c r="T11" s="3" t="inlineStr">
        <is>
          <t>P2</t>
        </is>
      </c>
      <c r="U11" s="9" t="inlineStr">
        <is>
          <t xml:space="preserve">Multi Cell Hotspot </t>
        </is>
      </c>
      <c r="V11" s="3" t="inlineStr">
        <is>
          <t>Inspection</t>
        </is>
      </c>
      <c r="W11" s="3" t="inlineStr">
        <is>
          <t>Rejected</t>
        </is>
      </c>
      <c r="X11" s="2">
        <f>Z11</f>
        <v/>
      </c>
      <c r="Y11" s="73">
        <f>IF(X11="","",X11-A11)</f>
        <v/>
      </c>
      <c r="Z11" s="18" t="n">
        <v>46143</v>
      </c>
      <c r="AA11" s="3" t="n"/>
      <c r="AB11" s="3" t="n"/>
      <c r="AF11">
        <f>IF(AND($F11="Closed",$X11&gt;=DATE(2026,5,1),$X11&lt;=DATE(2026,5,31)),"Closed in May","Other")</f>
        <v/>
      </c>
    </row>
    <row r="12">
      <c r="A12" s="2" t="n">
        <v>46106</v>
      </c>
      <c r="B12" s="3" t="n">
        <v>2026</v>
      </c>
      <c r="C12" s="3" t="inlineStr">
        <is>
          <t>First Energy</t>
        </is>
      </c>
      <c r="D12" s="3" t="inlineStr">
        <is>
          <t>Utility and C&amp;I</t>
        </is>
      </c>
      <c r="E12" s="3" t="n"/>
      <c r="F12" s="3" t="inlineStr">
        <is>
          <t>Closed</t>
        </is>
      </c>
      <c r="G12" s="3" t="inlineStr">
        <is>
          <t>Mr. Gaurav</t>
        </is>
      </c>
      <c r="H12" s="3" t="n">
        <v>9979185999</v>
      </c>
      <c r="I12" s="11" t="inlineStr">
        <is>
          <t>PE25032601</t>
        </is>
      </c>
      <c r="J12" s="9" t="inlineStr">
        <is>
          <t>Module Defects</t>
        </is>
      </c>
      <c r="K12" s="3" t="inlineStr">
        <is>
          <t>Rajkot</t>
        </is>
      </c>
      <c r="L12" s="3" t="inlineStr">
        <is>
          <t>Gujarat</t>
        </is>
      </c>
      <c r="M12" s="9" t="inlineStr">
        <is>
          <t xml:space="preserve">hotspot found </t>
        </is>
      </c>
      <c r="N12" s="19" t="inlineStr">
        <is>
          <t>Hotspot</t>
        </is>
      </c>
      <c r="O12" s="3" t="n">
        <v>550</v>
      </c>
      <c r="P12" s="9" t="inlineStr">
        <is>
          <t>NSMP2212269072</t>
        </is>
      </c>
      <c r="Q12" s="53">
        <f>MID(P12,5,2)</f>
        <v/>
      </c>
      <c r="R12" s="53">
        <f>MID(P12,7,2)</f>
        <v/>
      </c>
      <c r="S12" s="3" t="inlineStr">
        <is>
          <t>G2B</t>
        </is>
      </c>
      <c r="T12" s="3" t="inlineStr">
        <is>
          <t>P2</t>
        </is>
      </c>
      <c r="U12" s="9" t="inlineStr">
        <is>
          <t xml:space="preserve">Multi Cell Hotspot </t>
        </is>
      </c>
      <c r="V12" s="3" t="inlineStr">
        <is>
          <t>Inspection</t>
        </is>
      </c>
      <c r="W12" s="3" t="inlineStr">
        <is>
          <t>Rejected</t>
        </is>
      </c>
      <c r="X12" s="2">
        <f>Z12</f>
        <v/>
      </c>
      <c r="Y12" s="73">
        <f>IF(X12="","",X12-A12)</f>
        <v/>
      </c>
      <c r="Z12" s="18" t="n">
        <v>46143</v>
      </c>
      <c r="AA12" s="3" t="n"/>
      <c r="AB12" s="3" t="n"/>
      <c r="AF12">
        <f>IF(AND($F12="Closed",$X12&gt;=DATE(2026,5,1),$X12&lt;=DATE(2026,5,31)),"Closed in May","Other")</f>
        <v/>
      </c>
    </row>
    <row r="13">
      <c r="A13" s="2" t="n">
        <v>46106</v>
      </c>
      <c r="B13" s="3" t="n">
        <v>2026</v>
      </c>
      <c r="C13" s="3" t="inlineStr">
        <is>
          <t>First Energy</t>
        </is>
      </c>
      <c r="D13" s="3" t="inlineStr">
        <is>
          <t>Utility and C&amp;I</t>
        </is>
      </c>
      <c r="E13" s="3" t="n"/>
      <c r="F13" s="3" t="inlineStr">
        <is>
          <t>WIP</t>
        </is>
      </c>
      <c r="G13" s="3" t="inlineStr">
        <is>
          <t>Mr. Gaurav</t>
        </is>
      </c>
      <c r="H13" s="3" t="n">
        <v>9979185999</v>
      </c>
      <c r="I13" s="11" t="inlineStr">
        <is>
          <t>PE25032601</t>
        </is>
      </c>
      <c r="J13" s="9" t="inlineStr">
        <is>
          <t>Module Defects</t>
        </is>
      </c>
      <c r="K13" s="3" t="inlineStr">
        <is>
          <t>Rajkot</t>
        </is>
      </c>
      <c r="L13" s="3" t="inlineStr">
        <is>
          <t>Gujarat</t>
        </is>
      </c>
      <c r="M13" s="9" t="inlineStr">
        <is>
          <t xml:space="preserve">Broken Module </t>
        </is>
      </c>
      <c r="N13" s="19" t="inlineStr">
        <is>
          <t>Hotspot</t>
        </is>
      </c>
      <c r="O13" s="3" t="n">
        <v>550</v>
      </c>
      <c r="P13" s="9" t="inlineStr">
        <is>
          <t>NSMP2212277874</t>
        </is>
      </c>
      <c r="Q13" s="53">
        <f>MID(P13,5,2)</f>
        <v/>
      </c>
      <c r="R13" s="53">
        <f>MID(P13,7,2)</f>
        <v/>
      </c>
      <c r="S13" s="3" t="inlineStr">
        <is>
          <t>G2B</t>
        </is>
      </c>
      <c r="T13" s="3" t="inlineStr">
        <is>
          <t>P2</t>
        </is>
      </c>
      <c r="U13" s="9" t="inlineStr">
        <is>
          <t xml:space="preserve">Multi Cell Hotspot </t>
        </is>
      </c>
      <c r="V13" s="3" t="inlineStr">
        <is>
          <t>Inspection</t>
        </is>
      </c>
      <c r="W13" s="3" t="inlineStr">
        <is>
          <t>WIP</t>
        </is>
      </c>
      <c r="X13" s="3" t="n"/>
      <c r="Y13" s="73">
        <f>IF(X13="","",X13-A13)</f>
        <v/>
      </c>
      <c r="Z13" s="18" t="n">
        <v>46143</v>
      </c>
      <c r="AA13" s="3" t="n"/>
      <c r="AB13" s="3" t="n"/>
      <c r="AF13">
        <f>IF(AND($F13="Closed",$X13&gt;=DATE(2026,5,1),$X13&lt;=DATE(2026,5,31)),"Closed in May","Other")</f>
        <v/>
      </c>
    </row>
    <row r="14">
      <c r="A14" s="2" t="n">
        <v>46106</v>
      </c>
      <c r="B14" s="3" t="n">
        <v>2026</v>
      </c>
      <c r="C14" s="3" t="inlineStr">
        <is>
          <t>First Energy</t>
        </is>
      </c>
      <c r="D14" s="3" t="inlineStr">
        <is>
          <t>Utility and C&amp;I</t>
        </is>
      </c>
      <c r="E14" s="3" t="n"/>
      <c r="F14" s="3" t="inlineStr">
        <is>
          <t>Closed</t>
        </is>
      </c>
      <c r="G14" s="3" t="inlineStr">
        <is>
          <t>PE02052602</t>
        </is>
      </c>
      <c r="H14" s="3" t="n">
        <v>9979185999</v>
      </c>
      <c r="I14" s="11" t="inlineStr">
        <is>
          <t>PE25032601</t>
        </is>
      </c>
      <c r="J14" s="9" t="inlineStr">
        <is>
          <t>Module Defects</t>
        </is>
      </c>
      <c r="K14" s="3" t="inlineStr">
        <is>
          <t>Rajkot</t>
        </is>
      </c>
      <c r="L14" s="3" t="inlineStr">
        <is>
          <t>Gujarat</t>
        </is>
      </c>
      <c r="M14" s="9" t="inlineStr">
        <is>
          <t xml:space="preserve">hotspot found </t>
        </is>
      </c>
      <c r="N14" s="19" t="inlineStr">
        <is>
          <t>Hotspot</t>
        </is>
      </c>
      <c r="O14" s="3" t="n">
        <v>550</v>
      </c>
      <c r="P14" s="9" t="inlineStr">
        <is>
          <t>NSMP2212277882</t>
        </is>
      </c>
      <c r="Q14" s="53">
        <f>MID(P14,5,2)</f>
        <v/>
      </c>
      <c r="R14" s="53">
        <f>MID(P14,7,2)</f>
        <v/>
      </c>
      <c r="S14" s="3" t="inlineStr">
        <is>
          <t>G2B</t>
        </is>
      </c>
      <c r="T14" s="3" t="inlineStr">
        <is>
          <t>P2</t>
        </is>
      </c>
      <c r="U14" s="9" t="inlineStr">
        <is>
          <t xml:space="preserve">Multi Cell Hotspot </t>
        </is>
      </c>
      <c r="V14" s="3" t="inlineStr">
        <is>
          <t>Inspection</t>
        </is>
      </c>
      <c r="W14" s="3" t="inlineStr">
        <is>
          <t>Rejected</t>
        </is>
      </c>
      <c r="X14" s="2">
        <f>Z14</f>
        <v/>
      </c>
      <c r="Y14" s="73">
        <f>IF(X14="","",X14-A14)</f>
        <v/>
      </c>
      <c r="Z14" s="18" t="n">
        <v>46143</v>
      </c>
      <c r="AA14" s="3" t="n"/>
      <c r="AB14" s="3" t="n"/>
      <c r="AF14">
        <f>IF(AND($F14="Closed",$X14&gt;=DATE(2026,5,1),$X14&lt;=DATE(2026,5,31)),"Closed in May","Other")</f>
        <v/>
      </c>
    </row>
    <row r="15">
      <c r="A15" s="2" t="n">
        <v>46106</v>
      </c>
      <c r="B15" s="3" t="n">
        <v>2026</v>
      </c>
      <c r="C15" s="3" t="inlineStr">
        <is>
          <t>First Energy</t>
        </is>
      </c>
      <c r="D15" s="3" t="inlineStr">
        <is>
          <t>Utility and C&amp;I</t>
        </is>
      </c>
      <c r="E15" s="3" t="n"/>
      <c r="F15" s="3" t="inlineStr">
        <is>
          <t>Closed</t>
        </is>
      </c>
      <c r="G15" s="3" t="inlineStr">
        <is>
          <t>Mr. Gaurav</t>
        </is>
      </c>
      <c r="H15" s="3" t="n">
        <v>9979185999</v>
      </c>
      <c r="I15" s="11" t="inlineStr">
        <is>
          <t>PE25032601</t>
        </is>
      </c>
      <c r="J15" s="9" t="inlineStr">
        <is>
          <t>Module Defects</t>
        </is>
      </c>
      <c r="K15" s="3" t="inlineStr">
        <is>
          <t>Rajkot</t>
        </is>
      </c>
      <c r="L15" s="3" t="inlineStr">
        <is>
          <t>Gujarat</t>
        </is>
      </c>
      <c r="M15" s="9" t="inlineStr">
        <is>
          <t xml:space="preserve">hotspot found </t>
        </is>
      </c>
      <c r="N15" s="19" t="inlineStr">
        <is>
          <t>Hotspot</t>
        </is>
      </c>
      <c r="O15" s="3" t="n">
        <v>550</v>
      </c>
      <c r="P15" s="9" t="inlineStr">
        <is>
          <t>NSMP2212270587</t>
        </is>
      </c>
      <c r="Q15" s="53">
        <f>MID(P15,5,2)</f>
        <v/>
      </c>
      <c r="R15" s="53">
        <f>MID(P15,7,2)</f>
        <v/>
      </c>
      <c r="S15" s="3" t="inlineStr">
        <is>
          <t>G2B</t>
        </is>
      </c>
      <c r="T15" s="3" t="inlineStr">
        <is>
          <t>P2</t>
        </is>
      </c>
      <c r="U15" s="9" t="inlineStr">
        <is>
          <t xml:space="preserve">Multi Cell Hotspot </t>
        </is>
      </c>
      <c r="V15" s="3" t="inlineStr">
        <is>
          <t>Inspection</t>
        </is>
      </c>
      <c r="W15" s="3" t="inlineStr">
        <is>
          <t>Rejected</t>
        </is>
      </c>
      <c r="X15" s="2">
        <f>Z15</f>
        <v/>
      </c>
      <c r="Y15" s="73">
        <f>IF(X15="","",X15-A15)</f>
        <v/>
      </c>
      <c r="Z15" s="18" t="n">
        <v>46143</v>
      </c>
      <c r="AA15" s="3" t="n"/>
      <c r="AB15" s="3" t="n"/>
      <c r="AF15">
        <f>IF(AND($F15="Closed",$X15&gt;=DATE(2026,5,1),$X15&lt;=DATE(2026,5,31)),"Closed in May","Other")</f>
        <v/>
      </c>
    </row>
    <row r="16">
      <c r="A16" s="2" t="n">
        <v>46106</v>
      </c>
      <c r="B16" s="3" t="n">
        <v>2026</v>
      </c>
      <c r="C16" s="3" t="inlineStr">
        <is>
          <t>First Energy</t>
        </is>
      </c>
      <c r="D16" s="3" t="inlineStr">
        <is>
          <t>Utility and C&amp;I</t>
        </is>
      </c>
      <c r="E16" s="3" t="n"/>
      <c r="F16" s="3" t="inlineStr">
        <is>
          <t>Closed</t>
        </is>
      </c>
      <c r="G16" s="3" t="inlineStr">
        <is>
          <t>Mr. Gaurav</t>
        </is>
      </c>
      <c r="H16" s="3" t="n">
        <v>9979185999</v>
      </c>
      <c r="I16" s="11" t="inlineStr">
        <is>
          <t>PE25032601</t>
        </is>
      </c>
      <c r="J16" s="9" t="inlineStr">
        <is>
          <t>Module Defects</t>
        </is>
      </c>
      <c r="K16" s="3" t="inlineStr">
        <is>
          <t>Rajkot</t>
        </is>
      </c>
      <c r="L16" s="3" t="inlineStr">
        <is>
          <t>Gujarat</t>
        </is>
      </c>
      <c r="M16" s="9" t="inlineStr">
        <is>
          <t xml:space="preserve">hotspot found </t>
        </is>
      </c>
      <c r="N16" s="19" t="inlineStr">
        <is>
          <t>Hotspot</t>
        </is>
      </c>
      <c r="O16" s="3" t="n">
        <v>550</v>
      </c>
      <c r="P16" s="9" t="inlineStr">
        <is>
          <t>NSMP2212277215</t>
        </is>
      </c>
      <c r="Q16" s="53">
        <f>MID(P16,5,2)</f>
        <v/>
      </c>
      <c r="R16" s="53">
        <f>MID(P16,7,2)</f>
        <v/>
      </c>
      <c r="S16" s="3" t="inlineStr">
        <is>
          <t>G2B</t>
        </is>
      </c>
      <c r="T16" s="3" t="inlineStr">
        <is>
          <t>P2</t>
        </is>
      </c>
      <c r="U16" s="9" t="inlineStr">
        <is>
          <t xml:space="preserve">Multi Cell Hotspot </t>
        </is>
      </c>
      <c r="V16" s="3" t="inlineStr">
        <is>
          <t>Inspection</t>
        </is>
      </c>
      <c r="W16" s="3" t="inlineStr">
        <is>
          <t>Rejected</t>
        </is>
      </c>
      <c r="X16" s="2">
        <f>Z16</f>
        <v/>
      </c>
      <c r="Y16" s="73">
        <f>IF(X16="","",X16-A16)</f>
        <v/>
      </c>
      <c r="Z16" s="18" t="n">
        <v>46143</v>
      </c>
      <c r="AA16" s="3" t="n"/>
      <c r="AB16" s="3" t="n"/>
      <c r="AF16">
        <f>IF(AND($F16="Closed",$X16&gt;=DATE(2026,5,1),$X16&lt;=DATE(2026,5,31)),"Closed in May","Other")</f>
        <v/>
      </c>
    </row>
    <row r="17">
      <c r="A17" s="2" t="n">
        <v>46106</v>
      </c>
      <c r="B17" s="3" t="n">
        <v>2026</v>
      </c>
      <c r="C17" s="3" t="inlineStr">
        <is>
          <t>First Energy</t>
        </is>
      </c>
      <c r="D17" s="3" t="inlineStr">
        <is>
          <t>Utility and C&amp;I</t>
        </is>
      </c>
      <c r="E17" s="3" t="n"/>
      <c r="F17" s="3" t="inlineStr">
        <is>
          <t>Closed</t>
        </is>
      </c>
      <c r="G17" s="3" t="inlineStr">
        <is>
          <t>Mr. Gaurav</t>
        </is>
      </c>
      <c r="H17" s="3" t="n">
        <v>9979185999</v>
      </c>
      <c r="I17" s="11" t="inlineStr">
        <is>
          <t>PE25032601</t>
        </is>
      </c>
      <c r="J17" s="9" t="inlineStr">
        <is>
          <t>Module Defects</t>
        </is>
      </c>
      <c r="K17" s="3" t="inlineStr">
        <is>
          <t>Rajkot</t>
        </is>
      </c>
      <c r="L17" s="3" t="inlineStr">
        <is>
          <t>Gujarat</t>
        </is>
      </c>
      <c r="M17" s="9" t="inlineStr">
        <is>
          <t xml:space="preserve">hotspot found </t>
        </is>
      </c>
      <c r="N17" s="19" t="inlineStr">
        <is>
          <t>Hotspot</t>
        </is>
      </c>
      <c r="O17" s="3" t="n">
        <v>550</v>
      </c>
      <c r="P17" s="9" t="inlineStr">
        <is>
          <t>NSMP2212268823</t>
        </is>
      </c>
      <c r="Q17" s="53">
        <f>MID(P17,5,2)</f>
        <v/>
      </c>
      <c r="R17" s="53">
        <f>MID(P17,7,2)</f>
        <v/>
      </c>
      <c r="S17" s="3" t="inlineStr">
        <is>
          <t>G2B</t>
        </is>
      </c>
      <c r="T17" s="3" t="inlineStr">
        <is>
          <t>P2</t>
        </is>
      </c>
      <c r="U17" s="9" t="inlineStr">
        <is>
          <t xml:space="preserve">Multi Cell Hotspot </t>
        </is>
      </c>
      <c r="V17" s="3" t="inlineStr">
        <is>
          <t>Inspection</t>
        </is>
      </c>
      <c r="W17" s="3" t="inlineStr">
        <is>
          <t>Rejected</t>
        </is>
      </c>
      <c r="X17" s="2">
        <f>Z17</f>
        <v/>
      </c>
      <c r="Y17" s="73">
        <f>IF(X17="","",X17-A17)</f>
        <v/>
      </c>
      <c r="Z17" s="18" t="n">
        <v>46143</v>
      </c>
      <c r="AA17" s="3" t="n"/>
      <c r="AB17" s="3" t="n"/>
      <c r="AF17">
        <f>IF(AND($F17="Closed",$X17&gt;=DATE(2026,5,1),$X17&lt;=DATE(2026,5,31)),"Closed in May","Other")</f>
        <v/>
      </c>
    </row>
    <row r="18">
      <c r="A18" s="2" t="n">
        <v>46106</v>
      </c>
      <c r="B18" s="3" t="n">
        <v>2026</v>
      </c>
      <c r="C18" s="3" t="inlineStr">
        <is>
          <t>First Energy</t>
        </is>
      </c>
      <c r="D18" s="3" t="inlineStr">
        <is>
          <t>Utility and C&amp;I</t>
        </is>
      </c>
      <c r="E18" s="3" t="n"/>
      <c r="F18" s="3" t="inlineStr">
        <is>
          <t>Closed</t>
        </is>
      </c>
      <c r="G18" s="3" t="inlineStr">
        <is>
          <t>Mr. Gaurav</t>
        </is>
      </c>
      <c r="H18" s="3" t="n">
        <v>9979185999</v>
      </c>
      <c r="I18" s="11" t="inlineStr">
        <is>
          <t>PE25032601</t>
        </is>
      </c>
      <c r="J18" s="9" t="inlineStr">
        <is>
          <t>Module Defects</t>
        </is>
      </c>
      <c r="K18" s="3" t="inlineStr">
        <is>
          <t>Rajkot</t>
        </is>
      </c>
      <c r="L18" s="3" t="inlineStr">
        <is>
          <t>Gujarat</t>
        </is>
      </c>
      <c r="M18" s="9" t="inlineStr">
        <is>
          <t xml:space="preserve">hotspot found </t>
        </is>
      </c>
      <c r="N18" s="19" t="inlineStr">
        <is>
          <t>Hotspot</t>
        </is>
      </c>
      <c r="O18" s="3" t="n">
        <v>550</v>
      </c>
      <c r="P18" s="9" t="inlineStr">
        <is>
          <t>NSMP2301334793</t>
        </is>
      </c>
      <c r="Q18" s="53">
        <f>MID(P18,5,2)</f>
        <v/>
      </c>
      <c r="R18" s="53">
        <f>MID(P18,7,2)</f>
        <v/>
      </c>
      <c r="S18" s="3" t="inlineStr">
        <is>
          <t>G2B</t>
        </is>
      </c>
      <c r="T18" s="3" t="inlineStr">
        <is>
          <t>P2</t>
        </is>
      </c>
      <c r="U18" s="9" t="inlineStr">
        <is>
          <t xml:space="preserve">Multi Cell Hotspot </t>
        </is>
      </c>
      <c r="V18" s="3" t="inlineStr">
        <is>
          <t>Inspection</t>
        </is>
      </c>
      <c r="W18" s="3" t="inlineStr">
        <is>
          <t>Rejected</t>
        </is>
      </c>
      <c r="X18" s="2">
        <f>Z18</f>
        <v/>
      </c>
      <c r="Y18" s="73">
        <f>IF(X18="","",X18-A18)</f>
        <v/>
      </c>
      <c r="Z18" s="18" t="n">
        <v>46143</v>
      </c>
      <c r="AA18" s="3" t="n"/>
      <c r="AB18" s="3" t="n"/>
      <c r="AF18">
        <f>IF(AND($F18="Closed",$X18&gt;=DATE(2026,5,1),$X18&lt;=DATE(2026,5,31)),"Closed in May","Other")</f>
        <v/>
      </c>
    </row>
    <row r="19">
      <c r="A19" s="2" t="n">
        <v>46106</v>
      </c>
      <c r="B19" s="3" t="n">
        <v>2026</v>
      </c>
      <c r="C19" s="3" t="inlineStr">
        <is>
          <t>First Energy</t>
        </is>
      </c>
      <c r="D19" s="3" t="inlineStr">
        <is>
          <t>Utility and C&amp;I</t>
        </is>
      </c>
      <c r="E19" s="3" t="n"/>
      <c r="F19" s="3" t="inlineStr">
        <is>
          <t>Closed</t>
        </is>
      </c>
      <c r="G19" s="3" t="inlineStr">
        <is>
          <t>Mr. Gaurav</t>
        </is>
      </c>
      <c r="H19" s="3" t="n">
        <v>9979185999</v>
      </c>
      <c r="I19" s="11" t="inlineStr">
        <is>
          <t>PE25032601</t>
        </is>
      </c>
      <c r="J19" s="9" t="inlineStr">
        <is>
          <t>Module Defects</t>
        </is>
      </c>
      <c r="K19" s="3" t="inlineStr">
        <is>
          <t>Rajkot</t>
        </is>
      </c>
      <c r="L19" s="3" t="inlineStr">
        <is>
          <t>Gujarat</t>
        </is>
      </c>
      <c r="M19" s="9" t="inlineStr">
        <is>
          <t xml:space="preserve">hotspot found </t>
        </is>
      </c>
      <c r="N19" s="19" t="inlineStr">
        <is>
          <t>Hotspot</t>
        </is>
      </c>
      <c r="O19" s="3" t="n">
        <v>550</v>
      </c>
      <c r="P19" s="9" t="inlineStr">
        <is>
          <t>NSMP2301304875</t>
        </is>
      </c>
      <c r="Q19" s="53">
        <f>MID(P19,5,2)</f>
        <v/>
      </c>
      <c r="R19" s="53">
        <f>MID(P19,7,2)</f>
        <v/>
      </c>
      <c r="S19" s="3" t="inlineStr">
        <is>
          <t>G2B</t>
        </is>
      </c>
      <c r="T19" s="3" t="inlineStr">
        <is>
          <t>P2</t>
        </is>
      </c>
      <c r="U19" s="9" t="inlineStr">
        <is>
          <t xml:space="preserve">Single Cell Hotspot </t>
        </is>
      </c>
      <c r="V19" s="3" t="inlineStr">
        <is>
          <t>Inspection</t>
        </is>
      </c>
      <c r="W19" s="3" t="inlineStr">
        <is>
          <t>Rejected</t>
        </is>
      </c>
      <c r="X19" s="2">
        <f>Z19</f>
        <v/>
      </c>
      <c r="Y19" s="73">
        <f>IF(X19="","",X19-A19)</f>
        <v/>
      </c>
      <c r="Z19" s="18" t="n">
        <v>46143</v>
      </c>
      <c r="AA19" s="3" t="n"/>
      <c r="AB19" s="3" t="n"/>
      <c r="AF19">
        <f>IF(AND($F19="Closed",$X19&gt;=DATE(2026,5,1),$X19&lt;=DATE(2026,5,31)),"Closed in May","Other")</f>
        <v/>
      </c>
    </row>
    <row r="20">
      <c r="A20" s="2" t="n">
        <v>46106</v>
      </c>
      <c r="B20" s="3" t="n">
        <v>2026</v>
      </c>
      <c r="C20" s="3" t="inlineStr">
        <is>
          <t>First Energy</t>
        </is>
      </c>
      <c r="D20" s="3" t="inlineStr">
        <is>
          <t>Utility and C&amp;I</t>
        </is>
      </c>
      <c r="E20" s="3" t="n"/>
      <c r="F20" s="3" t="inlineStr">
        <is>
          <t>Closed</t>
        </is>
      </c>
      <c r="G20" s="3" t="inlineStr">
        <is>
          <t>Mr. Gaurav</t>
        </is>
      </c>
      <c r="H20" s="3" t="n">
        <v>9979185999</v>
      </c>
      <c r="I20" s="11" t="inlineStr">
        <is>
          <t>PE25032601</t>
        </is>
      </c>
      <c r="J20" s="9" t="inlineStr">
        <is>
          <t>Module Defects</t>
        </is>
      </c>
      <c r="K20" s="3" t="inlineStr">
        <is>
          <t>Rajkot</t>
        </is>
      </c>
      <c r="L20" s="3" t="inlineStr">
        <is>
          <t>Gujarat</t>
        </is>
      </c>
      <c r="M20" s="9" t="inlineStr">
        <is>
          <t xml:space="preserve">hotspot found </t>
        </is>
      </c>
      <c r="N20" s="19" t="inlineStr">
        <is>
          <t>Hotspot</t>
        </is>
      </c>
      <c r="O20" s="3" t="n">
        <v>550</v>
      </c>
      <c r="P20" s="9" t="inlineStr">
        <is>
          <t>NSMP2212279131</t>
        </is>
      </c>
      <c r="Q20" s="53">
        <f>MID(P20,5,2)</f>
        <v/>
      </c>
      <c r="R20" s="53">
        <f>MID(P20,7,2)</f>
        <v/>
      </c>
      <c r="S20" s="3" t="inlineStr">
        <is>
          <t>G2B</t>
        </is>
      </c>
      <c r="T20" s="3" t="inlineStr">
        <is>
          <t>P2</t>
        </is>
      </c>
      <c r="U20" s="9" t="inlineStr">
        <is>
          <t xml:space="preserve">Multi Cell Hotspot </t>
        </is>
      </c>
      <c r="V20" s="3" t="inlineStr">
        <is>
          <t>Inspection</t>
        </is>
      </c>
      <c r="W20" s="3" t="inlineStr">
        <is>
          <t>Rejected</t>
        </is>
      </c>
      <c r="X20" s="2">
        <f>Z20</f>
        <v/>
      </c>
      <c r="Y20" s="73">
        <f>IF(X20="","",X20-A20)</f>
        <v/>
      </c>
      <c r="Z20" s="18" t="n">
        <v>46143</v>
      </c>
      <c r="AA20" s="3" t="n"/>
      <c r="AB20" s="3" t="n"/>
      <c r="AF20">
        <f>IF(AND($F20="Closed",$X20&gt;=DATE(2026,5,1),$X20&lt;=DATE(2026,5,31)),"Closed in May","Other")</f>
        <v/>
      </c>
    </row>
    <row r="21">
      <c r="A21" s="2" t="n">
        <v>46106</v>
      </c>
      <c r="B21" s="3" t="n">
        <v>2026</v>
      </c>
      <c r="C21" s="3" t="inlineStr">
        <is>
          <t>First Energy</t>
        </is>
      </c>
      <c r="D21" s="3" t="inlineStr">
        <is>
          <t>Utility and C&amp;I</t>
        </is>
      </c>
      <c r="E21" s="3" t="n"/>
      <c r="F21" s="3" t="inlineStr">
        <is>
          <t>Closed</t>
        </is>
      </c>
      <c r="G21" s="3" t="inlineStr">
        <is>
          <t>Mr. Gaurav</t>
        </is>
      </c>
      <c r="H21" s="3" t="n">
        <v>9979185999</v>
      </c>
      <c r="I21" s="11" t="inlineStr">
        <is>
          <t>PE25032601</t>
        </is>
      </c>
      <c r="J21" s="9" t="inlineStr">
        <is>
          <t>Module Defects</t>
        </is>
      </c>
      <c r="K21" s="3" t="inlineStr">
        <is>
          <t>Rajkot</t>
        </is>
      </c>
      <c r="L21" s="3" t="inlineStr">
        <is>
          <t>Gujarat</t>
        </is>
      </c>
      <c r="M21" s="9" t="inlineStr">
        <is>
          <t xml:space="preserve">hotspot found </t>
        </is>
      </c>
      <c r="N21" s="19" t="inlineStr">
        <is>
          <t>Hotspot</t>
        </is>
      </c>
      <c r="O21" s="3" t="n">
        <v>550</v>
      </c>
      <c r="P21" s="9" t="inlineStr">
        <is>
          <t>NSMP2212282140</t>
        </is>
      </c>
      <c r="Q21" s="53">
        <f>MID(P21,5,2)</f>
        <v/>
      </c>
      <c r="R21" s="53">
        <f>MID(P21,7,2)</f>
        <v/>
      </c>
      <c r="S21" s="3" t="inlineStr">
        <is>
          <t>G2B</t>
        </is>
      </c>
      <c r="T21" s="3" t="inlineStr">
        <is>
          <t>P2</t>
        </is>
      </c>
      <c r="U21" s="9" t="inlineStr">
        <is>
          <t xml:space="preserve">Multi Cell Hotspot </t>
        </is>
      </c>
      <c r="V21" s="3" t="inlineStr">
        <is>
          <t>Inspection</t>
        </is>
      </c>
      <c r="W21" s="3" t="inlineStr">
        <is>
          <t>Rejected</t>
        </is>
      </c>
      <c r="X21" s="2">
        <f>Z21</f>
        <v/>
      </c>
      <c r="Y21" s="73">
        <f>IF(X21="","",X21-A21)</f>
        <v/>
      </c>
      <c r="Z21" s="18" t="n">
        <v>46143</v>
      </c>
      <c r="AA21" s="3" t="n"/>
      <c r="AB21" s="3" t="n"/>
      <c r="AF21">
        <f>IF(AND($F21="Closed",$X21&gt;=DATE(2026,5,1),$X21&lt;=DATE(2026,5,31)),"Closed in May","Other")</f>
        <v/>
      </c>
    </row>
    <row r="22">
      <c r="A22" s="2" t="n">
        <v>46106</v>
      </c>
      <c r="B22" s="3" t="n">
        <v>2026</v>
      </c>
      <c r="C22" s="3" t="inlineStr">
        <is>
          <t>First Energy</t>
        </is>
      </c>
      <c r="D22" s="3" t="inlineStr">
        <is>
          <t>Utility and C&amp;I</t>
        </is>
      </c>
      <c r="E22" s="3" t="n"/>
      <c r="F22" s="3" t="inlineStr">
        <is>
          <t>Closed</t>
        </is>
      </c>
      <c r="G22" s="3" t="inlineStr">
        <is>
          <t>Mr. Gaurav</t>
        </is>
      </c>
      <c r="H22" s="3" t="n">
        <v>9979185999</v>
      </c>
      <c r="I22" s="11" t="inlineStr">
        <is>
          <t>PE25032601</t>
        </is>
      </c>
      <c r="J22" s="9" t="inlineStr">
        <is>
          <t>Module Defects</t>
        </is>
      </c>
      <c r="K22" s="3" t="inlineStr">
        <is>
          <t>Rajkot</t>
        </is>
      </c>
      <c r="L22" s="3" t="inlineStr">
        <is>
          <t>Gujarat</t>
        </is>
      </c>
      <c r="M22" s="9" t="inlineStr">
        <is>
          <t xml:space="preserve">hotspot found </t>
        </is>
      </c>
      <c r="N22" s="19" t="inlineStr">
        <is>
          <t>Hotspot</t>
        </is>
      </c>
      <c r="O22" s="3" t="n">
        <v>550</v>
      </c>
      <c r="P22" s="9" t="inlineStr">
        <is>
          <t>NSMP2212268033</t>
        </is>
      </c>
      <c r="Q22" s="53">
        <f>MID(P22,5,2)</f>
        <v/>
      </c>
      <c r="R22" s="53">
        <f>MID(P22,7,2)</f>
        <v/>
      </c>
      <c r="S22" s="3" t="inlineStr">
        <is>
          <t>G2B</t>
        </is>
      </c>
      <c r="T22" s="3" t="inlineStr">
        <is>
          <t>P2</t>
        </is>
      </c>
      <c r="U22" s="9" t="inlineStr">
        <is>
          <t xml:space="preserve">Single Cell Hotspot </t>
        </is>
      </c>
      <c r="V22" s="3" t="inlineStr">
        <is>
          <t>Inspection</t>
        </is>
      </c>
      <c r="W22" s="3" t="inlineStr">
        <is>
          <t>Rejected</t>
        </is>
      </c>
      <c r="X22" s="2">
        <f>Z22</f>
        <v/>
      </c>
      <c r="Y22" s="73">
        <f>IF(X22="","",X22-A22)</f>
        <v/>
      </c>
      <c r="Z22" s="18" t="n">
        <v>46143</v>
      </c>
      <c r="AA22" s="3" t="n"/>
      <c r="AB22" s="3" t="n"/>
      <c r="AF22">
        <f>IF(AND($F22="Closed",$X22&gt;=DATE(2026,5,1),$X22&lt;=DATE(2026,5,31)),"Closed in May","Other")</f>
        <v/>
      </c>
    </row>
    <row r="23">
      <c r="A23" s="2" t="n">
        <v>46106</v>
      </c>
      <c r="B23" s="3" t="n">
        <v>2026</v>
      </c>
      <c r="C23" s="3" t="inlineStr">
        <is>
          <t>First Energy</t>
        </is>
      </c>
      <c r="D23" s="3" t="inlineStr">
        <is>
          <t>Utility and C&amp;I</t>
        </is>
      </c>
      <c r="E23" s="3" t="n"/>
      <c r="F23" s="3" t="inlineStr">
        <is>
          <t>Closed</t>
        </is>
      </c>
      <c r="G23" s="3" t="inlineStr">
        <is>
          <t>Mr. Gaurav</t>
        </is>
      </c>
      <c r="H23" s="3" t="n">
        <v>9979185999</v>
      </c>
      <c r="I23" s="11" t="inlineStr">
        <is>
          <t>PE25032601</t>
        </is>
      </c>
      <c r="J23" s="9" t="inlineStr">
        <is>
          <t>Module Defects</t>
        </is>
      </c>
      <c r="K23" s="3" t="inlineStr">
        <is>
          <t>Rajkot</t>
        </is>
      </c>
      <c r="L23" s="3" t="inlineStr">
        <is>
          <t>Gujarat</t>
        </is>
      </c>
      <c r="M23" s="9" t="inlineStr">
        <is>
          <t xml:space="preserve">hotspot found </t>
        </is>
      </c>
      <c r="N23" s="19" t="inlineStr">
        <is>
          <t>Hotspot</t>
        </is>
      </c>
      <c r="O23" s="3" t="n">
        <v>550</v>
      </c>
      <c r="P23" s="9" t="inlineStr">
        <is>
          <t>NSMP2212268494</t>
        </is>
      </c>
      <c r="Q23" s="53">
        <f>MID(P23,5,2)</f>
        <v/>
      </c>
      <c r="R23" s="53">
        <f>MID(P23,7,2)</f>
        <v/>
      </c>
      <c r="S23" s="3" t="inlineStr">
        <is>
          <t>G2B</t>
        </is>
      </c>
      <c r="T23" s="3" t="inlineStr">
        <is>
          <t>P2</t>
        </is>
      </c>
      <c r="U23" s="9" t="inlineStr">
        <is>
          <t xml:space="preserve">Single Cell Hotspot </t>
        </is>
      </c>
      <c r="V23" s="3" t="inlineStr">
        <is>
          <t>Inspection</t>
        </is>
      </c>
      <c r="W23" s="3" t="inlineStr">
        <is>
          <t>Rejected</t>
        </is>
      </c>
      <c r="X23" s="2">
        <f>Z23</f>
        <v/>
      </c>
      <c r="Y23" s="73">
        <f>IF(X23="","",X23-A23)</f>
        <v/>
      </c>
      <c r="Z23" s="18" t="n">
        <v>46143</v>
      </c>
      <c r="AA23" s="3" t="n"/>
      <c r="AB23" s="3" t="n"/>
      <c r="AF23">
        <f>IF(AND($F23="Closed",$X23&gt;=DATE(2026,5,1),$X23&lt;=DATE(2026,5,31)),"Closed in May","Other")</f>
        <v/>
      </c>
    </row>
    <row r="24">
      <c r="A24" s="2" t="n">
        <v>46106</v>
      </c>
      <c r="B24" s="3" t="n">
        <v>2026</v>
      </c>
      <c r="C24" s="3" t="inlineStr">
        <is>
          <t>First Energy</t>
        </is>
      </c>
      <c r="D24" s="3" t="inlineStr">
        <is>
          <t>Utility and C&amp;I</t>
        </is>
      </c>
      <c r="E24" s="3" t="n"/>
      <c r="F24" s="3" t="inlineStr">
        <is>
          <t>Closed</t>
        </is>
      </c>
      <c r="G24" s="3" t="inlineStr">
        <is>
          <t>Mr. Gaurav</t>
        </is>
      </c>
      <c r="H24" s="3" t="n">
        <v>9979185999</v>
      </c>
      <c r="I24" s="11" t="inlineStr">
        <is>
          <t>PE25032601</t>
        </is>
      </c>
      <c r="J24" s="9" t="inlineStr">
        <is>
          <t>Module Defects</t>
        </is>
      </c>
      <c r="K24" s="3" t="inlineStr">
        <is>
          <t>Rajkot</t>
        </is>
      </c>
      <c r="L24" s="3" t="inlineStr">
        <is>
          <t>Gujarat</t>
        </is>
      </c>
      <c r="M24" s="9" t="inlineStr">
        <is>
          <t xml:space="preserve">hotspot found </t>
        </is>
      </c>
      <c r="N24" s="19" t="inlineStr">
        <is>
          <t>Hotspot</t>
        </is>
      </c>
      <c r="O24" s="3" t="n">
        <v>550</v>
      </c>
      <c r="P24" s="9" t="inlineStr">
        <is>
          <t>NSMP2212268542</t>
        </is>
      </c>
      <c r="Q24" s="53">
        <f>MID(P24,5,2)</f>
        <v/>
      </c>
      <c r="R24" s="53">
        <f>MID(P24,7,2)</f>
        <v/>
      </c>
      <c r="S24" s="3" t="inlineStr">
        <is>
          <t>G2B</t>
        </is>
      </c>
      <c r="T24" s="3" t="inlineStr">
        <is>
          <t>P2</t>
        </is>
      </c>
      <c r="U24" s="9" t="inlineStr">
        <is>
          <t xml:space="preserve">Single Cell Hotspot </t>
        </is>
      </c>
      <c r="V24" s="3" t="inlineStr">
        <is>
          <t>Inspection</t>
        </is>
      </c>
      <c r="W24" s="3" t="inlineStr">
        <is>
          <t>Rejected</t>
        </is>
      </c>
      <c r="X24" s="2">
        <f>Z24</f>
        <v/>
      </c>
      <c r="Y24" s="73">
        <f>IF(X24="","",X24-A24)</f>
        <v/>
      </c>
      <c r="Z24" s="18" t="n">
        <v>46143</v>
      </c>
      <c r="AA24" s="3" t="n"/>
      <c r="AB24" s="3" t="n"/>
      <c r="AF24">
        <f>IF(AND($F24="Closed",$X24&gt;=DATE(2026,5,1),$X24&lt;=DATE(2026,5,31)),"Closed in May","Other")</f>
        <v/>
      </c>
    </row>
    <row r="25">
      <c r="A25" s="2" t="n">
        <v>46106</v>
      </c>
      <c r="B25" s="3" t="n">
        <v>2026</v>
      </c>
      <c r="C25" s="3" t="inlineStr">
        <is>
          <t>First Energy</t>
        </is>
      </c>
      <c r="D25" s="3" t="inlineStr">
        <is>
          <t>Utility and C&amp;I</t>
        </is>
      </c>
      <c r="E25" s="3" t="n"/>
      <c r="F25" s="3" t="inlineStr">
        <is>
          <t>Closed</t>
        </is>
      </c>
      <c r="G25" s="3" t="inlineStr">
        <is>
          <t>Mr. Gaurav</t>
        </is>
      </c>
      <c r="H25" s="3" t="n">
        <v>9979185999</v>
      </c>
      <c r="I25" s="11" t="inlineStr">
        <is>
          <t>PE25032601</t>
        </is>
      </c>
      <c r="J25" s="9" t="inlineStr">
        <is>
          <t>Module Defects</t>
        </is>
      </c>
      <c r="K25" s="3" t="inlineStr">
        <is>
          <t>Rajkot</t>
        </is>
      </c>
      <c r="L25" s="3" t="inlineStr">
        <is>
          <t>Gujarat</t>
        </is>
      </c>
      <c r="M25" s="9" t="inlineStr">
        <is>
          <t xml:space="preserve">hotspot found </t>
        </is>
      </c>
      <c r="N25" s="19" t="inlineStr">
        <is>
          <t>Hotspot</t>
        </is>
      </c>
      <c r="O25" s="3" t="n">
        <v>550</v>
      </c>
      <c r="P25" s="9" t="inlineStr">
        <is>
          <t>NSMP2212268029</t>
        </is>
      </c>
      <c r="Q25" s="53">
        <f>MID(P25,5,2)</f>
        <v/>
      </c>
      <c r="R25" s="53">
        <f>MID(P25,7,2)</f>
        <v/>
      </c>
      <c r="S25" s="3" t="inlineStr">
        <is>
          <t>G2B</t>
        </is>
      </c>
      <c r="T25" s="3" t="inlineStr">
        <is>
          <t>P2</t>
        </is>
      </c>
      <c r="U25" s="9" t="inlineStr">
        <is>
          <t xml:space="preserve">Single Cell Hotspot </t>
        </is>
      </c>
      <c r="V25" s="3" t="inlineStr">
        <is>
          <t>Inspection</t>
        </is>
      </c>
      <c r="W25" s="3" t="inlineStr">
        <is>
          <t>Rejected</t>
        </is>
      </c>
      <c r="X25" s="2">
        <f>Z25</f>
        <v/>
      </c>
      <c r="Y25" s="73">
        <f>IF(X25="","",X25-A25)</f>
        <v/>
      </c>
      <c r="Z25" s="18" t="n">
        <v>46143</v>
      </c>
      <c r="AA25" s="3" t="n"/>
      <c r="AB25" s="3" t="n"/>
      <c r="AF25">
        <f>IF(AND($F25="Closed",$X25&gt;=DATE(2026,5,1),$X25&lt;=DATE(2026,5,31)),"Closed in May","Other")</f>
        <v/>
      </c>
    </row>
    <row r="26">
      <c r="A26" s="2" t="n">
        <v>46106</v>
      </c>
      <c r="B26" s="3" t="n">
        <v>2026</v>
      </c>
      <c r="C26" s="3" t="inlineStr">
        <is>
          <t>First Energy</t>
        </is>
      </c>
      <c r="D26" s="3" t="inlineStr">
        <is>
          <t>Utility and C&amp;I</t>
        </is>
      </c>
      <c r="E26" s="3" t="n"/>
      <c r="F26" s="3" t="inlineStr">
        <is>
          <t>Closed</t>
        </is>
      </c>
      <c r="G26" s="3" t="inlineStr">
        <is>
          <t>Mr. Gaurav</t>
        </is>
      </c>
      <c r="H26" s="3" t="n">
        <v>9979185999</v>
      </c>
      <c r="I26" s="11" t="inlineStr">
        <is>
          <t>PE25032601</t>
        </is>
      </c>
      <c r="J26" s="9" t="inlineStr">
        <is>
          <t>Module Defects</t>
        </is>
      </c>
      <c r="K26" s="3" t="inlineStr">
        <is>
          <t>Rajkot</t>
        </is>
      </c>
      <c r="L26" s="3" t="inlineStr">
        <is>
          <t>Gujarat</t>
        </is>
      </c>
      <c r="M26" s="9" t="inlineStr">
        <is>
          <t xml:space="preserve">hotspot found </t>
        </is>
      </c>
      <c r="N26" s="19" t="inlineStr">
        <is>
          <t>Hotspot</t>
        </is>
      </c>
      <c r="O26" s="3" t="n">
        <v>550</v>
      </c>
      <c r="P26" s="9" t="inlineStr">
        <is>
          <t>NSMP2212268023</t>
        </is>
      </c>
      <c r="Q26" s="53">
        <f>MID(P26,5,2)</f>
        <v/>
      </c>
      <c r="R26" s="53">
        <f>MID(P26,7,2)</f>
        <v/>
      </c>
      <c r="S26" s="3" t="inlineStr">
        <is>
          <t>G2B</t>
        </is>
      </c>
      <c r="T26" s="3" t="inlineStr">
        <is>
          <t>P2</t>
        </is>
      </c>
      <c r="U26" s="9" t="inlineStr">
        <is>
          <t xml:space="preserve">Multi Cell Hotspot </t>
        </is>
      </c>
      <c r="V26" s="3" t="inlineStr">
        <is>
          <t>Inspection</t>
        </is>
      </c>
      <c r="W26" s="3" t="inlineStr">
        <is>
          <t>Rejected</t>
        </is>
      </c>
      <c r="X26" s="2">
        <f>Z26</f>
        <v/>
      </c>
      <c r="Y26" s="73">
        <f>IF(X26="","",X26-A26)</f>
        <v/>
      </c>
      <c r="Z26" s="18" t="n">
        <v>46143</v>
      </c>
      <c r="AA26" s="3" t="n"/>
      <c r="AB26" s="3" t="n"/>
      <c r="AF26">
        <f>IF(AND($F26="Closed",$X26&gt;=DATE(2026,5,1),$X26&lt;=DATE(2026,5,31)),"Closed in May","Other")</f>
        <v/>
      </c>
    </row>
    <row r="27">
      <c r="A27" s="2" t="n">
        <v>46106</v>
      </c>
      <c r="B27" s="3" t="n">
        <v>2026</v>
      </c>
      <c r="C27" s="3" t="inlineStr">
        <is>
          <t>First Energy</t>
        </is>
      </c>
      <c r="D27" s="3" t="inlineStr">
        <is>
          <t>Utility and C&amp;I</t>
        </is>
      </c>
      <c r="E27" s="3" t="n"/>
      <c r="F27" s="3" t="inlineStr">
        <is>
          <t>Closed</t>
        </is>
      </c>
      <c r="G27" s="3" t="inlineStr">
        <is>
          <t>Mr. Gaurav</t>
        </is>
      </c>
      <c r="H27" s="3" t="n">
        <v>9979185999</v>
      </c>
      <c r="I27" s="11" t="inlineStr">
        <is>
          <t>PE25032601</t>
        </is>
      </c>
      <c r="J27" s="9" t="inlineStr">
        <is>
          <t>Module Defects</t>
        </is>
      </c>
      <c r="K27" s="3" t="inlineStr">
        <is>
          <t>Rajkot</t>
        </is>
      </c>
      <c r="L27" s="3" t="inlineStr">
        <is>
          <t>Gujarat</t>
        </is>
      </c>
      <c r="M27" s="9" t="inlineStr">
        <is>
          <t xml:space="preserve">hotspot found </t>
        </is>
      </c>
      <c r="N27" s="19" t="inlineStr">
        <is>
          <t>Hotspot</t>
        </is>
      </c>
      <c r="O27" s="3" t="n">
        <v>550</v>
      </c>
      <c r="P27" s="9" t="inlineStr">
        <is>
          <t>NSMP2212268085</t>
        </is>
      </c>
      <c r="Q27" s="53">
        <f>MID(P27,5,2)</f>
        <v/>
      </c>
      <c r="R27" s="53">
        <f>MID(P27,7,2)</f>
        <v/>
      </c>
      <c r="S27" s="3" t="inlineStr">
        <is>
          <t>G2B</t>
        </is>
      </c>
      <c r="T27" s="3" t="inlineStr">
        <is>
          <t>P2</t>
        </is>
      </c>
      <c r="U27" s="9" t="inlineStr">
        <is>
          <t xml:space="preserve">Single Cell Hotspot </t>
        </is>
      </c>
      <c r="V27" s="3" t="inlineStr">
        <is>
          <t>Inspection</t>
        </is>
      </c>
      <c r="W27" s="3" t="inlineStr">
        <is>
          <t>Rejected</t>
        </is>
      </c>
      <c r="X27" s="2">
        <f>Z27</f>
        <v/>
      </c>
      <c r="Y27" s="73">
        <f>IF(X27="","",X27-A27)</f>
        <v/>
      </c>
      <c r="Z27" s="18" t="n">
        <v>46143</v>
      </c>
      <c r="AA27" s="3" t="n"/>
      <c r="AB27" s="3" t="n"/>
      <c r="AF27">
        <f>IF(AND($F27="Closed",$X27&gt;=DATE(2026,5,1),$X27&lt;=DATE(2026,5,31)),"Closed in May","Other")</f>
        <v/>
      </c>
    </row>
    <row r="28">
      <c r="A28" s="2" t="n">
        <v>46106</v>
      </c>
      <c r="B28" s="3" t="n">
        <v>2026</v>
      </c>
      <c r="C28" s="3" t="inlineStr">
        <is>
          <t>First Energy</t>
        </is>
      </c>
      <c r="D28" s="3" t="inlineStr">
        <is>
          <t>Utility and C&amp;I</t>
        </is>
      </c>
      <c r="E28" s="3" t="n"/>
      <c r="F28" s="3" t="inlineStr">
        <is>
          <t>Closed</t>
        </is>
      </c>
      <c r="G28" s="3" t="inlineStr">
        <is>
          <t>Mr. Gaurav</t>
        </is>
      </c>
      <c r="H28" s="3" t="n">
        <v>9979185999</v>
      </c>
      <c r="I28" s="11" t="inlineStr">
        <is>
          <t>PE25032601</t>
        </is>
      </c>
      <c r="J28" s="9" t="inlineStr">
        <is>
          <t>Module Defects</t>
        </is>
      </c>
      <c r="K28" s="3" t="inlineStr">
        <is>
          <t>Rajkot</t>
        </is>
      </c>
      <c r="L28" s="3" t="inlineStr">
        <is>
          <t>Gujarat</t>
        </is>
      </c>
      <c r="M28" s="9" t="inlineStr">
        <is>
          <t xml:space="preserve">hotspot found </t>
        </is>
      </c>
      <c r="N28" s="19" t="inlineStr">
        <is>
          <t>Hotspot</t>
        </is>
      </c>
      <c r="O28" s="3" t="n">
        <v>550</v>
      </c>
      <c r="P28" s="9" t="inlineStr">
        <is>
          <t>NSMP2212268633</t>
        </is>
      </c>
      <c r="Q28" s="53">
        <f>MID(P28,5,2)</f>
        <v/>
      </c>
      <c r="R28" s="53">
        <f>MID(P28,7,2)</f>
        <v/>
      </c>
      <c r="S28" s="3" t="inlineStr">
        <is>
          <t>G2B</t>
        </is>
      </c>
      <c r="T28" s="3" t="inlineStr">
        <is>
          <t>P2</t>
        </is>
      </c>
      <c r="U28" s="9" t="inlineStr">
        <is>
          <t xml:space="preserve">Single Cell Hotspot </t>
        </is>
      </c>
      <c r="V28" s="3" t="inlineStr">
        <is>
          <t>Inspection</t>
        </is>
      </c>
      <c r="W28" s="3" t="inlineStr">
        <is>
          <t>Rejected</t>
        </is>
      </c>
      <c r="X28" s="2">
        <f>Z28</f>
        <v/>
      </c>
      <c r="Y28" s="73">
        <f>IF(X28="","",X28-A28)</f>
        <v/>
      </c>
      <c r="Z28" s="18" t="n">
        <v>46143</v>
      </c>
      <c r="AA28" s="3" t="n"/>
      <c r="AB28" s="3" t="n"/>
      <c r="AF28">
        <f>IF(AND($F28="Closed",$X28&gt;=DATE(2026,5,1),$X28&lt;=DATE(2026,5,31)),"Closed in May","Other")</f>
        <v/>
      </c>
    </row>
    <row r="29">
      <c r="A29" s="2" t="n">
        <v>46106</v>
      </c>
      <c r="B29" s="3" t="n">
        <v>2026</v>
      </c>
      <c r="C29" s="3" t="inlineStr">
        <is>
          <t>First Energy</t>
        </is>
      </c>
      <c r="D29" s="3" t="inlineStr">
        <is>
          <t>Utility and C&amp;I</t>
        </is>
      </c>
      <c r="E29" s="3" t="n"/>
      <c r="F29" s="3" t="inlineStr">
        <is>
          <t>Closed</t>
        </is>
      </c>
      <c r="G29" s="3" t="inlineStr">
        <is>
          <t>Mr. Gaurav</t>
        </is>
      </c>
      <c r="H29" s="3" t="n">
        <v>9979185999</v>
      </c>
      <c r="I29" s="11" t="inlineStr">
        <is>
          <t>PE25032601</t>
        </is>
      </c>
      <c r="J29" s="9" t="inlineStr">
        <is>
          <t>Module Defects</t>
        </is>
      </c>
      <c r="K29" s="3" t="inlineStr">
        <is>
          <t>Rajkot</t>
        </is>
      </c>
      <c r="L29" s="3" t="inlineStr">
        <is>
          <t>Gujarat</t>
        </is>
      </c>
      <c r="M29" s="9" t="inlineStr">
        <is>
          <t xml:space="preserve">hotspot found </t>
        </is>
      </c>
      <c r="N29" s="19" t="inlineStr">
        <is>
          <t>Hotspot</t>
        </is>
      </c>
      <c r="O29" s="3" t="n">
        <v>550</v>
      </c>
      <c r="P29" s="9" t="inlineStr">
        <is>
          <t>NSMP2212268193</t>
        </is>
      </c>
      <c r="Q29" s="53">
        <f>MID(P29,5,2)</f>
        <v/>
      </c>
      <c r="R29" s="53">
        <f>MID(P29,7,2)</f>
        <v/>
      </c>
      <c r="S29" s="3" t="inlineStr">
        <is>
          <t>G2B</t>
        </is>
      </c>
      <c r="T29" s="3" t="inlineStr">
        <is>
          <t>P2</t>
        </is>
      </c>
      <c r="U29" s="9" t="inlineStr">
        <is>
          <t xml:space="preserve">Single Cell Hotspot </t>
        </is>
      </c>
      <c r="V29" s="3" t="inlineStr">
        <is>
          <t>Inspection</t>
        </is>
      </c>
      <c r="W29" s="3" t="inlineStr">
        <is>
          <t>Rejected</t>
        </is>
      </c>
      <c r="X29" s="2">
        <f>Z29</f>
        <v/>
      </c>
      <c r="Y29" s="73">
        <f>IF(X29="","",X29-A29)</f>
        <v/>
      </c>
      <c r="Z29" s="18" t="n">
        <v>46144</v>
      </c>
      <c r="AA29" s="3" t="n"/>
      <c r="AB29" s="3" t="n"/>
      <c r="AF29">
        <f>IF(AND($F29="Closed",$X29&gt;=DATE(2026,5,1),$X29&lt;=DATE(2026,5,31)),"Closed in May","Other")</f>
        <v/>
      </c>
    </row>
    <row r="30">
      <c r="A30" s="2" t="n">
        <v>46106</v>
      </c>
      <c r="B30" s="3" t="n">
        <v>2026</v>
      </c>
      <c r="C30" s="3" t="inlineStr">
        <is>
          <t>First Energy</t>
        </is>
      </c>
      <c r="D30" s="3" t="inlineStr">
        <is>
          <t>Utility and C&amp;I</t>
        </is>
      </c>
      <c r="E30" s="3" t="n"/>
      <c r="F30" s="3" t="inlineStr">
        <is>
          <t>Closed</t>
        </is>
      </c>
      <c r="G30" s="3" t="inlineStr">
        <is>
          <t>Mr. Gaurav</t>
        </is>
      </c>
      <c r="H30" s="3" t="n">
        <v>9979185999</v>
      </c>
      <c r="I30" s="11" t="inlineStr">
        <is>
          <t>PE25032601</t>
        </is>
      </c>
      <c r="J30" s="9" t="inlineStr">
        <is>
          <t>Module Defects</t>
        </is>
      </c>
      <c r="K30" s="3" t="inlineStr">
        <is>
          <t>Rajkot</t>
        </is>
      </c>
      <c r="L30" s="3" t="inlineStr">
        <is>
          <t>Gujarat</t>
        </is>
      </c>
      <c r="M30" s="9" t="inlineStr">
        <is>
          <t xml:space="preserve">hotspot found </t>
        </is>
      </c>
      <c r="N30" s="19" t="inlineStr">
        <is>
          <t>Hotspot</t>
        </is>
      </c>
      <c r="O30" s="3" t="n">
        <v>550</v>
      </c>
      <c r="P30" s="9" t="inlineStr">
        <is>
          <t>NSMP2212268150</t>
        </is>
      </c>
      <c r="Q30" s="53">
        <f>MID(P30,5,2)</f>
        <v/>
      </c>
      <c r="R30" s="53">
        <f>MID(P30,7,2)</f>
        <v/>
      </c>
      <c r="S30" s="3" t="inlineStr">
        <is>
          <t>G2B</t>
        </is>
      </c>
      <c r="T30" s="3" t="inlineStr">
        <is>
          <t>P2</t>
        </is>
      </c>
      <c r="U30" s="9" t="inlineStr">
        <is>
          <t xml:space="preserve">Single Cell Hotspot </t>
        </is>
      </c>
      <c r="V30" s="3" t="inlineStr">
        <is>
          <t>Inspection</t>
        </is>
      </c>
      <c r="W30" s="3" t="inlineStr">
        <is>
          <t>Rejected</t>
        </is>
      </c>
      <c r="X30" s="2">
        <f>Z30</f>
        <v/>
      </c>
      <c r="Y30" s="73">
        <f>IF(X30="","",X30-A30)</f>
        <v/>
      </c>
      <c r="Z30" s="18" t="n">
        <v>46144</v>
      </c>
      <c r="AA30" s="3" t="n"/>
      <c r="AB30" s="3" t="n"/>
      <c r="AF30">
        <f>IF(AND($F30="Closed",$X30&gt;=DATE(2026,5,1),$X30&lt;=DATE(2026,5,31)),"Closed in May","Other")</f>
        <v/>
      </c>
    </row>
    <row r="31">
      <c r="A31" s="2" t="n">
        <v>46106</v>
      </c>
      <c r="B31" s="3" t="n">
        <v>2026</v>
      </c>
      <c r="C31" s="3" t="inlineStr">
        <is>
          <t>First Energy</t>
        </is>
      </c>
      <c r="D31" s="3" t="inlineStr">
        <is>
          <t>Utility and C&amp;I</t>
        </is>
      </c>
      <c r="E31" s="3" t="n"/>
      <c r="F31" s="3" t="inlineStr">
        <is>
          <t>Closed</t>
        </is>
      </c>
      <c r="G31" s="3" t="inlineStr">
        <is>
          <t>Mr. Gaurav</t>
        </is>
      </c>
      <c r="H31" s="3" t="n">
        <v>9979185999</v>
      </c>
      <c r="I31" s="11" t="inlineStr">
        <is>
          <t>PE25032601</t>
        </is>
      </c>
      <c r="J31" s="9" t="inlineStr">
        <is>
          <t>Module Defects</t>
        </is>
      </c>
      <c r="K31" s="3" t="inlineStr">
        <is>
          <t>Rajkot</t>
        </is>
      </c>
      <c r="L31" s="3" t="inlineStr">
        <is>
          <t>Gujarat</t>
        </is>
      </c>
      <c r="M31" s="9" t="inlineStr">
        <is>
          <t xml:space="preserve">hotspot found </t>
        </is>
      </c>
      <c r="N31" s="19" t="inlineStr">
        <is>
          <t>Hotspot</t>
        </is>
      </c>
      <c r="O31" s="3" t="n">
        <v>550</v>
      </c>
      <c r="P31" s="9" t="inlineStr">
        <is>
          <t>NSMP2212268242</t>
        </is>
      </c>
      <c r="Q31" s="53">
        <f>MID(P31,5,2)</f>
        <v/>
      </c>
      <c r="R31" s="53">
        <f>MID(P31,7,2)</f>
        <v/>
      </c>
      <c r="S31" s="3" t="inlineStr">
        <is>
          <t>G2B</t>
        </is>
      </c>
      <c r="T31" s="3" t="inlineStr">
        <is>
          <t>P2</t>
        </is>
      </c>
      <c r="U31" s="9" t="inlineStr">
        <is>
          <t xml:space="preserve">Single Cell Hotspot </t>
        </is>
      </c>
      <c r="V31" s="3" t="inlineStr">
        <is>
          <t>Inspection</t>
        </is>
      </c>
      <c r="W31" s="3" t="inlineStr">
        <is>
          <t>Rejected</t>
        </is>
      </c>
      <c r="X31" s="2">
        <f>Z31</f>
        <v/>
      </c>
      <c r="Y31" s="73">
        <f>IF(X31="","",X31-A31)</f>
        <v/>
      </c>
      <c r="Z31" s="18" t="n">
        <v>46144</v>
      </c>
      <c r="AA31" s="3" t="n"/>
      <c r="AB31" s="3" t="n"/>
      <c r="AD31">
        <f>COUNTIF(W:W,"WIP")</f>
        <v/>
      </c>
      <c r="AF31">
        <f>IF(AND($F31="Closed",$X31&gt;=DATE(2026,5,1),$X31&lt;=DATE(2026,5,31)),"Closed in May","Other")</f>
        <v/>
      </c>
    </row>
    <row r="32">
      <c r="A32" s="2" t="n">
        <v>46106</v>
      </c>
      <c r="B32" s="3" t="n">
        <v>2026</v>
      </c>
      <c r="C32" s="3" t="inlineStr">
        <is>
          <t>First Energy</t>
        </is>
      </c>
      <c r="D32" s="3" t="inlineStr">
        <is>
          <t>Utility and C&amp;I</t>
        </is>
      </c>
      <c r="E32" s="3" t="n"/>
      <c r="F32" s="3" t="inlineStr">
        <is>
          <t>Closed</t>
        </is>
      </c>
      <c r="G32" s="3" t="inlineStr">
        <is>
          <t>Mr. Gaurav</t>
        </is>
      </c>
      <c r="H32" s="3" t="n">
        <v>9979185999</v>
      </c>
      <c r="I32" s="11" t="inlineStr">
        <is>
          <t>PE25032601</t>
        </is>
      </c>
      <c r="J32" s="9" t="inlineStr">
        <is>
          <t>Module Defects</t>
        </is>
      </c>
      <c r="K32" s="3" t="inlineStr">
        <is>
          <t>Rajkot</t>
        </is>
      </c>
      <c r="L32" s="3" t="inlineStr">
        <is>
          <t>Gujarat</t>
        </is>
      </c>
      <c r="M32" s="9" t="inlineStr">
        <is>
          <t xml:space="preserve">hotspot found </t>
        </is>
      </c>
      <c r="N32" s="19" t="inlineStr">
        <is>
          <t>Hotspot</t>
        </is>
      </c>
      <c r="O32" s="3" t="n">
        <v>550</v>
      </c>
      <c r="P32" s="9" t="inlineStr">
        <is>
          <t>NSMP2212268992</t>
        </is>
      </c>
      <c r="Q32" s="53">
        <f>MID(P32,5,2)</f>
        <v/>
      </c>
      <c r="R32" s="53">
        <f>MID(P32,7,2)</f>
        <v/>
      </c>
      <c r="S32" s="3" t="inlineStr">
        <is>
          <t>G2B</t>
        </is>
      </c>
      <c r="T32" s="3" t="inlineStr">
        <is>
          <t>P2</t>
        </is>
      </c>
      <c r="U32" s="9" t="inlineStr">
        <is>
          <t xml:space="preserve">Single Cell Hotspot </t>
        </is>
      </c>
      <c r="V32" s="3" t="inlineStr">
        <is>
          <t>Inspection</t>
        </is>
      </c>
      <c r="W32" s="3" t="inlineStr">
        <is>
          <t>Rejected</t>
        </is>
      </c>
      <c r="X32" s="2">
        <f>Z32</f>
        <v/>
      </c>
      <c r="Y32" s="73">
        <f>IF(X32="","",X32-A32)</f>
        <v/>
      </c>
      <c r="Z32" s="18" t="n">
        <v>46144</v>
      </c>
      <c r="AA32" s="3" t="n"/>
      <c r="AB32" s="3" t="n"/>
      <c r="AF32">
        <f>IF(AND($F32="Closed",$X32&gt;=DATE(2026,5,1),$X32&lt;=DATE(2026,5,31)),"Closed in May","Other")</f>
        <v/>
      </c>
    </row>
    <row r="33">
      <c r="A33" s="2" t="n">
        <v>46106</v>
      </c>
      <c r="B33" s="3" t="n">
        <v>2026</v>
      </c>
      <c r="C33" s="3" t="inlineStr">
        <is>
          <t>First Energy</t>
        </is>
      </c>
      <c r="D33" s="3" t="inlineStr">
        <is>
          <t>Utility and C&amp;I</t>
        </is>
      </c>
      <c r="E33" s="3" t="n"/>
      <c r="F33" s="3" t="inlineStr">
        <is>
          <t>Closed</t>
        </is>
      </c>
      <c r="G33" s="3" t="inlineStr">
        <is>
          <t>Mr. Gaurav</t>
        </is>
      </c>
      <c r="H33" s="3" t="n">
        <v>9979185999</v>
      </c>
      <c r="I33" s="11" t="inlineStr">
        <is>
          <t>PE25032601</t>
        </is>
      </c>
      <c r="J33" s="9" t="inlineStr">
        <is>
          <t>Module Defects</t>
        </is>
      </c>
      <c r="K33" s="3" t="inlineStr">
        <is>
          <t>Rajkot</t>
        </is>
      </c>
      <c r="L33" s="3" t="inlineStr">
        <is>
          <t>Gujarat</t>
        </is>
      </c>
      <c r="M33" s="9" t="inlineStr">
        <is>
          <t xml:space="preserve">hotspot found </t>
        </is>
      </c>
      <c r="N33" s="19" t="inlineStr">
        <is>
          <t>Hotspot</t>
        </is>
      </c>
      <c r="O33" s="3" t="n">
        <v>550</v>
      </c>
      <c r="P33" s="9" t="inlineStr">
        <is>
          <t>NSMP2212276699</t>
        </is>
      </c>
      <c r="Q33" s="53">
        <f>MID(P33,5,2)</f>
        <v/>
      </c>
      <c r="R33" s="53">
        <f>MID(P33,7,2)</f>
        <v/>
      </c>
      <c r="S33" s="3" t="inlineStr">
        <is>
          <t>G2B</t>
        </is>
      </c>
      <c r="T33" s="3" t="inlineStr">
        <is>
          <t>P2</t>
        </is>
      </c>
      <c r="U33" s="9" t="inlineStr">
        <is>
          <t xml:space="preserve">Single Cell Hotspot </t>
        </is>
      </c>
      <c r="V33" s="3" t="inlineStr">
        <is>
          <t>Inspection</t>
        </is>
      </c>
      <c r="W33" s="3" t="inlineStr">
        <is>
          <t>Rejected</t>
        </is>
      </c>
      <c r="X33" s="2">
        <f>Z33</f>
        <v/>
      </c>
      <c r="Y33" s="73">
        <f>IF(X33="","",X33-A33)</f>
        <v/>
      </c>
      <c r="Z33" s="18" t="n">
        <v>46144</v>
      </c>
      <c r="AA33" s="3" t="n"/>
      <c r="AB33" s="3" t="n"/>
      <c r="AF33">
        <f>IF(AND($F33="Closed",$X33&gt;=DATE(2026,5,1),$X33&lt;=DATE(2026,5,31)),"Closed in May","Other")</f>
        <v/>
      </c>
    </row>
    <row r="34">
      <c r="A34" s="2" t="n">
        <v>46106</v>
      </c>
      <c r="B34" s="3" t="n">
        <v>2026</v>
      </c>
      <c r="C34" s="3" t="inlineStr">
        <is>
          <t>First Energy</t>
        </is>
      </c>
      <c r="D34" s="3" t="inlineStr">
        <is>
          <t>Utility and C&amp;I</t>
        </is>
      </c>
      <c r="E34" s="3" t="n"/>
      <c r="F34" s="3" t="inlineStr">
        <is>
          <t>Closed</t>
        </is>
      </c>
      <c r="G34" s="3" t="inlineStr">
        <is>
          <t>Mr. Gaurav</t>
        </is>
      </c>
      <c r="H34" s="3" t="n">
        <v>9979185999</v>
      </c>
      <c r="I34" s="11" t="inlineStr">
        <is>
          <t>PE25032601</t>
        </is>
      </c>
      <c r="J34" s="9" t="inlineStr">
        <is>
          <t>Module Defects</t>
        </is>
      </c>
      <c r="K34" s="3" t="inlineStr">
        <is>
          <t>Rajkot</t>
        </is>
      </c>
      <c r="L34" s="3" t="inlineStr">
        <is>
          <t>Gujarat</t>
        </is>
      </c>
      <c r="M34" s="9" t="inlineStr">
        <is>
          <t xml:space="preserve">hotspot found </t>
        </is>
      </c>
      <c r="N34" s="19" t="inlineStr">
        <is>
          <t>Hotspot</t>
        </is>
      </c>
      <c r="O34" s="3" t="n">
        <v>550</v>
      </c>
      <c r="P34" s="9" t="inlineStr">
        <is>
          <t>NSMP2301333643</t>
        </is>
      </c>
      <c r="Q34" s="53">
        <f>MID(P34,5,2)</f>
        <v/>
      </c>
      <c r="R34" s="53">
        <f>MID(P34,7,2)</f>
        <v/>
      </c>
      <c r="S34" s="3" t="inlineStr">
        <is>
          <t>G2B</t>
        </is>
      </c>
      <c r="T34" s="3" t="inlineStr">
        <is>
          <t>P2</t>
        </is>
      </c>
      <c r="U34" s="9" t="inlineStr">
        <is>
          <t xml:space="preserve">Multi Cell Hotspot </t>
        </is>
      </c>
      <c r="V34" s="3" t="inlineStr">
        <is>
          <t>Inspection</t>
        </is>
      </c>
      <c r="W34" s="3" t="inlineStr">
        <is>
          <t>Rejected</t>
        </is>
      </c>
      <c r="X34" s="2">
        <f>Z34</f>
        <v/>
      </c>
      <c r="Y34" s="73">
        <f>IF(X34="","",X34-A34)</f>
        <v/>
      </c>
      <c r="Z34" s="18" t="n">
        <v>46144</v>
      </c>
      <c r="AA34" s="3" t="n"/>
      <c r="AB34" s="3" t="n"/>
      <c r="AF34">
        <f>IF(AND($F34="Closed",$X34&gt;=DATE(2026,5,1),$X34&lt;=DATE(2026,5,31)),"Closed in May","Other")</f>
        <v/>
      </c>
    </row>
    <row r="35">
      <c r="A35" s="2" t="n">
        <v>46106</v>
      </c>
      <c r="B35" s="3" t="n">
        <v>2026</v>
      </c>
      <c r="C35" s="3" t="inlineStr">
        <is>
          <t>First Energy</t>
        </is>
      </c>
      <c r="D35" s="3" t="inlineStr">
        <is>
          <t>Utility and C&amp;I</t>
        </is>
      </c>
      <c r="E35" s="3" t="n"/>
      <c r="F35" s="3" t="inlineStr">
        <is>
          <t>Closed</t>
        </is>
      </c>
      <c r="G35" s="3" t="inlineStr">
        <is>
          <t>Mr. Gaurav</t>
        </is>
      </c>
      <c r="H35" s="3" t="n">
        <v>9979185999</v>
      </c>
      <c r="I35" s="11" t="inlineStr">
        <is>
          <t>PE25032601</t>
        </is>
      </c>
      <c r="J35" s="9" t="inlineStr">
        <is>
          <t>Module Defects</t>
        </is>
      </c>
      <c r="K35" s="3" t="inlineStr">
        <is>
          <t>Rajkot</t>
        </is>
      </c>
      <c r="L35" s="3" t="inlineStr">
        <is>
          <t>Gujarat</t>
        </is>
      </c>
      <c r="M35" s="9" t="inlineStr">
        <is>
          <t xml:space="preserve">hotspot found </t>
        </is>
      </c>
      <c r="N35" s="19" t="inlineStr">
        <is>
          <t>Hotspot</t>
        </is>
      </c>
      <c r="O35" s="3" t="n">
        <v>550</v>
      </c>
      <c r="P35" s="9" t="inlineStr">
        <is>
          <t>NSMP2212284630</t>
        </is>
      </c>
      <c r="Q35" s="53">
        <f>MID(P35,5,2)</f>
        <v/>
      </c>
      <c r="R35" s="53">
        <f>MID(P35,7,2)</f>
        <v/>
      </c>
      <c r="S35" s="3" t="inlineStr">
        <is>
          <t>G2B</t>
        </is>
      </c>
      <c r="T35" s="3" t="inlineStr">
        <is>
          <t>P2</t>
        </is>
      </c>
      <c r="U35" s="9" t="inlineStr">
        <is>
          <t xml:space="preserve">Multi Cell Hotspot </t>
        </is>
      </c>
      <c r="V35" s="3" t="inlineStr">
        <is>
          <t>Inspection</t>
        </is>
      </c>
      <c r="W35" s="3" t="inlineStr">
        <is>
          <t>Rejected</t>
        </is>
      </c>
      <c r="X35" s="2">
        <f>Z35</f>
        <v/>
      </c>
      <c r="Y35" s="73">
        <f>IF(X35="","",X35-A35)</f>
        <v/>
      </c>
      <c r="Z35" s="18" t="n">
        <v>46144</v>
      </c>
      <c r="AA35" s="3" t="n"/>
      <c r="AB35" s="3" t="n"/>
      <c r="AF35">
        <f>IF(AND($F35="Closed",$X35&gt;=DATE(2026,5,1),$X35&lt;=DATE(2026,5,31)),"Closed in May","Other")</f>
        <v/>
      </c>
    </row>
    <row r="36">
      <c r="A36" s="2" t="n">
        <v>46106</v>
      </c>
      <c r="B36" s="3" t="n">
        <v>2026</v>
      </c>
      <c r="C36" s="3" t="inlineStr">
        <is>
          <t>First Energy</t>
        </is>
      </c>
      <c r="D36" s="3" t="inlineStr">
        <is>
          <t>Utility and C&amp;I</t>
        </is>
      </c>
      <c r="E36" s="3" t="n"/>
      <c r="F36" s="3" t="inlineStr">
        <is>
          <t>WIP</t>
        </is>
      </c>
      <c r="G36" s="3" t="inlineStr">
        <is>
          <t>Mr. Gaurav</t>
        </is>
      </c>
      <c r="H36" s="3" t="n">
        <v>9979185999</v>
      </c>
      <c r="I36" s="11" t="inlineStr">
        <is>
          <t>PE25032601</t>
        </is>
      </c>
      <c r="J36" s="9" t="inlineStr">
        <is>
          <t>Module Defects</t>
        </is>
      </c>
      <c r="K36" s="3" t="inlineStr">
        <is>
          <t>Rajkot</t>
        </is>
      </c>
      <c r="L36" s="3" t="inlineStr">
        <is>
          <t>Gujarat</t>
        </is>
      </c>
      <c r="M36" s="9" t="inlineStr">
        <is>
          <t xml:space="preserve">Broken Module </t>
        </is>
      </c>
      <c r="N36" s="19" t="inlineStr">
        <is>
          <t>Hotspot</t>
        </is>
      </c>
      <c r="O36" s="3" t="n">
        <v>550</v>
      </c>
      <c r="P36" s="9" t="inlineStr">
        <is>
          <t>NSMP2212278079</t>
        </is>
      </c>
      <c r="Q36" s="53">
        <f>MID(P36,5,2)</f>
        <v/>
      </c>
      <c r="R36" s="53">
        <f>MID(P36,7,2)</f>
        <v/>
      </c>
      <c r="S36" s="3" t="inlineStr">
        <is>
          <t>G2B</t>
        </is>
      </c>
      <c r="T36" s="3" t="inlineStr">
        <is>
          <t>P2</t>
        </is>
      </c>
      <c r="U36" s="9" t="inlineStr">
        <is>
          <t xml:space="preserve">Multi Cell Hotspot </t>
        </is>
      </c>
      <c r="V36" s="3" t="inlineStr">
        <is>
          <t>Inspection</t>
        </is>
      </c>
      <c r="W36" s="3" t="inlineStr">
        <is>
          <t>WIP</t>
        </is>
      </c>
      <c r="X36" s="15" t="n"/>
      <c r="Y36" s="73">
        <f>IF(X36="","",X36-A36)</f>
        <v/>
      </c>
      <c r="Z36" s="18" t="n">
        <v>46144</v>
      </c>
      <c r="AA36" s="3" t="n"/>
      <c r="AB36" s="3" t="n"/>
      <c r="AF36">
        <f>IF(AND($F36="Closed",$X36&gt;=DATE(2026,5,1),$X36&lt;=DATE(2026,5,31)),"Closed in May","Other")</f>
        <v/>
      </c>
    </row>
    <row r="37">
      <c r="A37" s="2" t="n">
        <v>46106</v>
      </c>
      <c r="B37" s="3" t="n">
        <v>2026</v>
      </c>
      <c r="C37" s="3" t="inlineStr">
        <is>
          <t>First Energy</t>
        </is>
      </c>
      <c r="D37" s="3" t="inlineStr">
        <is>
          <t>Utility and C&amp;I</t>
        </is>
      </c>
      <c r="E37" s="3" t="n"/>
      <c r="F37" s="3" t="inlineStr">
        <is>
          <t>Closed</t>
        </is>
      </c>
      <c r="G37" s="3" t="inlineStr">
        <is>
          <t>Mr. Gaurav</t>
        </is>
      </c>
      <c r="H37" s="3" t="n">
        <v>9979185999</v>
      </c>
      <c r="I37" s="11" t="inlineStr">
        <is>
          <t>PE25032601</t>
        </is>
      </c>
      <c r="J37" s="9" t="inlineStr">
        <is>
          <t>Module Defects</t>
        </is>
      </c>
      <c r="K37" s="3" t="inlineStr">
        <is>
          <t>Rajkot</t>
        </is>
      </c>
      <c r="L37" s="3" t="inlineStr">
        <is>
          <t>Gujarat</t>
        </is>
      </c>
      <c r="M37" s="9" t="inlineStr">
        <is>
          <t xml:space="preserve">hotspot found </t>
        </is>
      </c>
      <c r="N37" s="19" t="inlineStr">
        <is>
          <t>Hotspot</t>
        </is>
      </c>
      <c r="O37" s="3" t="n">
        <v>550</v>
      </c>
      <c r="P37" s="9" t="inlineStr">
        <is>
          <t>NSMP2301348215</t>
        </is>
      </c>
      <c r="Q37" s="53">
        <f>MID(P37,5,2)</f>
        <v/>
      </c>
      <c r="R37" s="53">
        <f>MID(P37,7,2)</f>
        <v/>
      </c>
      <c r="S37" s="3" t="inlineStr">
        <is>
          <t>G2B</t>
        </is>
      </c>
      <c r="T37" s="3" t="inlineStr">
        <is>
          <t>P2</t>
        </is>
      </c>
      <c r="U37" s="9" t="inlineStr">
        <is>
          <t xml:space="preserve">Single Cell Hotspot </t>
        </is>
      </c>
      <c r="V37" s="3" t="inlineStr">
        <is>
          <t>Inspection</t>
        </is>
      </c>
      <c r="W37" s="3" t="inlineStr">
        <is>
          <t>Rejected</t>
        </is>
      </c>
      <c r="X37" s="2">
        <f>Z37</f>
        <v/>
      </c>
      <c r="Y37" s="73">
        <f>IF(X37="","",X37-A37)</f>
        <v/>
      </c>
      <c r="Z37" s="18" t="n">
        <v>46144</v>
      </c>
      <c r="AA37" s="3" t="n"/>
      <c r="AB37" s="3" t="n"/>
      <c r="AF37">
        <f>IF(AND($F37="Closed",$X37&gt;=DATE(2026,5,1),$X37&lt;=DATE(2026,5,31)),"Closed in May","Other")</f>
        <v/>
      </c>
    </row>
    <row r="38">
      <c r="A38" s="2" t="n">
        <v>46106</v>
      </c>
      <c r="B38" s="3" t="n">
        <v>2026</v>
      </c>
      <c r="C38" s="3" t="inlineStr">
        <is>
          <t>First Energy</t>
        </is>
      </c>
      <c r="D38" s="3" t="inlineStr">
        <is>
          <t>Utility and C&amp;I</t>
        </is>
      </c>
      <c r="E38" s="3" t="n"/>
      <c r="F38" s="3" t="inlineStr">
        <is>
          <t>Closed</t>
        </is>
      </c>
      <c r="G38" s="3" t="inlineStr">
        <is>
          <t>Mr. Gaurav</t>
        </is>
      </c>
      <c r="H38" s="3" t="n">
        <v>9979185999</v>
      </c>
      <c r="I38" s="11" t="inlineStr">
        <is>
          <t>PE25032601</t>
        </is>
      </c>
      <c r="J38" s="9" t="inlineStr">
        <is>
          <t>Module Defects</t>
        </is>
      </c>
      <c r="K38" s="3" t="inlineStr">
        <is>
          <t>Rajkot</t>
        </is>
      </c>
      <c r="L38" s="3" t="inlineStr">
        <is>
          <t>Gujarat</t>
        </is>
      </c>
      <c r="M38" s="9" t="inlineStr">
        <is>
          <t xml:space="preserve">hotspot found </t>
        </is>
      </c>
      <c r="N38" s="19" t="inlineStr">
        <is>
          <t>Hotspot</t>
        </is>
      </c>
      <c r="O38" s="3" t="n">
        <v>550</v>
      </c>
      <c r="P38" s="9" t="inlineStr">
        <is>
          <t>NSMP2212273080</t>
        </is>
      </c>
      <c r="Q38" s="53">
        <f>MID(P38,5,2)</f>
        <v/>
      </c>
      <c r="R38" s="53">
        <f>MID(P38,7,2)</f>
        <v/>
      </c>
      <c r="S38" s="3" t="inlineStr">
        <is>
          <t>G2B</t>
        </is>
      </c>
      <c r="T38" s="3" t="inlineStr">
        <is>
          <t>P2</t>
        </is>
      </c>
      <c r="U38" s="9" t="inlineStr">
        <is>
          <t xml:space="preserve">Single Cell Hotspot </t>
        </is>
      </c>
      <c r="V38" s="3" t="inlineStr">
        <is>
          <t>Inspection</t>
        </is>
      </c>
      <c r="W38" s="3" t="inlineStr">
        <is>
          <t>Rejected</t>
        </is>
      </c>
      <c r="X38" s="2">
        <f>Z38</f>
        <v/>
      </c>
      <c r="Y38" s="73">
        <f>IF(X38="","",X38-A38)</f>
        <v/>
      </c>
      <c r="Z38" s="18" t="n">
        <v>46144</v>
      </c>
      <c r="AA38" s="3" t="n"/>
      <c r="AB38" s="3" t="n"/>
      <c r="AF38">
        <f>IF(AND($F38="Closed",$X38&gt;=DATE(2026,5,1),$X38&lt;=DATE(2026,5,31)),"Closed in May","Other")</f>
        <v/>
      </c>
    </row>
    <row r="39">
      <c r="A39" s="2" t="n">
        <v>46106</v>
      </c>
      <c r="B39" s="3" t="n">
        <v>2026</v>
      </c>
      <c r="C39" s="3" t="inlineStr">
        <is>
          <t>First Energy</t>
        </is>
      </c>
      <c r="D39" s="3" t="inlineStr">
        <is>
          <t>Utility and C&amp;I</t>
        </is>
      </c>
      <c r="E39" s="3" t="n"/>
      <c r="F39" s="3" t="inlineStr">
        <is>
          <t>Closed</t>
        </is>
      </c>
      <c r="G39" s="3" t="inlineStr">
        <is>
          <t>Mr. Gaurav</t>
        </is>
      </c>
      <c r="H39" s="3" t="n">
        <v>9979185999</v>
      </c>
      <c r="I39" s="11" t="inlineStr">
        <is>
          <t>PE25032601</t>
        </is>
      </c>
      <c r="J39" s="9" t="inlineStr">
        <is>
          <t>Module Defects</t>
        </is>
      </c>
      <c r="K39" s="3" t="inlineStr">
        <is>
          <t>Rajkot</t>
        </is>
      </c>
      <c r="L39" s="3" t="inlineStr">
        <is>
          <t>Gujarat</t>
        </is>
      </c>
      <c r="M39" s="9" t="inlineStr">
        <is>
          <t xml:space="preserve">hotspot found </t>
        </is>
      </c>
      <c r="N39" s="19" t="inlineStr">
        <is>
          <t>Hotspot</t>
        </is>
      </c>
      <c r="O39" s="3" t="n">
        <v>550</v>
      </c>
      <c r="P39" s="9" t="inlineStr">
        <is>
          <t>NSMP2301313309</t>
        </is>
      </c>
      <c r="Q39" s="53">
        <f>MID(P39,5,2)</f>
        <v/>
      </c>
      <c r="R39" s="53">
        <f>MID(P39,7,2)</f>
        <v/>
      </c>
      <c r="S39" s="3" t="inlineStr">
        <is>
          <t>G2B</t>
        </is>
      </c>
      <c r="T39" s="3" t="inlineStr">
        <is>
          <t>P2</t>
        </is>
      </c>
      <c r="U39" s="9" t="inlineStr">
        <is>
          <t xml:space="preserve">Multi Cell Hotspot </t>
        </is>
      </c>
      <c r="V39" s="3" t="inlineStr">
        <is>
          <t>Inspection</t>
        </is>
      </c>
      <c r="W39" s="3" t="inlineStr">
        <is>
          <t>Rejected</t>
        </is>
      </c>
      <c r="X39" s="2">
        <f>Z39</f>
        <v/>
      </c>
      <c r="Y39" s="73">
        <f>IF(X39="","",X39-A39)</f>
        <v/>
      </c>
      <c r="Z39" s="18" t="n">
        <v>46144</v>
      </c>
      <c r="AA39" s="3" t="n"/>
      <c r="AB39" s="3" t="n"/>
      <c r="AF39">
        <f>IF(AND($F39="Closed",$X39&gt;=DATE(2026,5,1),$X39&lt;=DATE(2026,5,31)),"Closed in May","Other")</f>
        <v/>
      </c>
    </row>
    <row r="40">
      <c r="A40" s="2" t="n">
        <v>46106</v>
      </c>
      <c r="B40" s="3" t="n">
        <v>2026</v>
      </c>
      <c r="C40" s="3" t="inlineStr">
        <is>
          <t>First Energy</t>
        </is>
      </c>
      <c r="D40" s="3" t="inlineStr">
        <is>
          <t>Utility and C&amp;I</t>
        </is>
      </c>
      <c r="E40" s="3" t="n"/>
      <c r="F40" s="3" t="inlineStr">
        <is>
          <t>Closed</t>
        </is>
      </c>
      <c r="G40" s="3" t="inlineStr">
        <is>
          <t>Mr. Gaurav</t>
        </is>
      </c>
      <c r="H40" s="3" t="n">
        <v>9979185999</v>
      </c>
      <c r="I40" s="11" t="inlineStr">
        <is>
          <t>PE25032601</t>
        </is>
      </c>
      <c r="J40" s="9" t="inlineStr">
        <is>
          <t>Module Defects</t>
        </is>
      </c>
      <c r="K40" s="3" t="inlineStr">
        <is>
          <t>Rajkot</t>
        </is>
      </c>
      <c r="L40" s="3" t="inlineStr">
        <is>
          <t>Gujarat</t>
        </is>
      </c>
      <c r="M40" s="9" t="inlineStr">
        <is>
          <t xml:space="preserve">hotspot found </t>
        </is>
      </c>
      <c r="N40" s="19" t="inlineStr">
        <is>
          <t>Hotspot</t>
        </is>
      </c>
      <c r="O40" s="3" t="n">
        <v>550</v>
      </c>
      <c r="P40" s="9" t="inlineStr">
        <is>
          <t>NSMP2212281907</t>
        </is>
      </c>
      <c r="Q40" s="53">
        <f>MID(P40,5,2)</f>
        <v/>
      </c>
      <c r="R40" s="53">
        <f>MID(P40,7,2)</f>
        <v/>
      </c>
      <c r="S40" s="3" t="inlineStr">
        <is>
          <t>G2B</t>
        </is>
      </c>
      <c r="T40" s="3" t="inlineStr">
        <is>
          <t>P2</t>
        </is>
      </c>
      <c r="U40" s="9" t="inlineStr">
        <is>
          <t xml:space="preserve">Multi Cell Hotspot </t>
        </is>
      </c>
      <c r="V40" s="3" t="inlineStr">
        <is>
          <t>Inspection</t>
        </is>
      </c>
      <c r="W40" s="3" t="inlineStr">
        <is>
          <t>Rejected</t>
        </is>
      </c>
      <c r="X40" s="2">
        <f>Z40</f>
        <v/>
      </c>
      <c r="Y40" s="73">
        <f>IF(X40="","",X40-A40)</f>
        <v/>
      </c>
      <c r="Z40" s="18" t="n">
        <v>46144</v>
      </c>
      <c r="AA40" s="3" t="n"/>
      <c r="AB40" s="3" t="n"/>
      <c r="AF40">
        <f>IF(AND($F40="Closed",$X40&gt;=DATE(2026,5,1),$X40&lt;=DATE(2026,5,31)),"Closed in May","Other")</f>
        <v/>
      </c>
    </row>
    <row r="41">
      <c r="A41" s="2" t="n">
        <v>46106</v>
      </c>
      <c r="B41" s="3" t="n">
        <v>2026</v>
      </c>
      <c r="C41" s="3" t="inlineStr">
        <is>
          <t>First Energy</t>
        </is>
      </c>
      <c r="D41" s="3" t="inlineStr">
        <is>
          <t>Utility and C&amp;I</t>
        </is>
      </c>
      <c r="E41" s="3" t="n"/>
      <c r="F41" s="3" t="inlineStr">
        <is>
          <t>Closed</t>
        </is>
      </c>
      <c r="G41" s="3" t="inlineStr">
        <is>
          <t>Mr. Gaurav</t>
        </is>
      </c>
      <c r="H41" s="3" t="n">
        <v>9979185999</v>
      </c>
      <c r="I41" s="11" t="inlineStr">
        <is>
          <t>PE25032601</t>
        </is>
      </c>
      <c r="J41" s="9" t="inlineStr">
        <is>
          <t>Module Defects</t>
        </is>
      </c>
      <c r="K41" s="3" t="inlineStr">
        <is>
          <t>Rajkot</t>
        </is>
      </c>
      <c r="L41" s="3" t="inlineStr">
        <is>
          <t>Gujarat</t>
        </is>
      </c>
      <c r="M41" s="9" t="inlineStr">
        <is>
          <t xml:space="preserve">hotspot found </t>
        </is>
      </c>
      <c r="N41" s="19" t="inlineStr">
        <is>
          <t>Hotspot</t>
        </is>
      </c>
      <c r="O41" s="3" t="n">
        <v>550</v>
      </c>
      <c r="P41" s="9" t="inlineStr">
        <is>
          <t>NSMP2212280150</t>
        </is>
      </c>
      <c r="Q41" s="53">
        <f>MID(P41,5,2)</f>
        <v/>
      </c>
      <c r="R41" s="53">
        <f>MID(P41,7,2)</f>
        <v/>
      </c>
      <c r="S41" s="3" t="inlineStr">
        <is>
          <t>G2B</t>
        </is>
      </c>
      <c r="T41" s="3" t="inlineStr">
        <is>
          <t>P2</t>
        </is>
      </c>
      <c r="U41" s="9" t="inlineStr">
        <is>
          <t xml:space="preserve">Multi Cell Hotspot </t>
        </is>
      </c>
      <c r="V41" s="3" t="inlineStr">
        <is>
          <t>Inspection</t>
        </is>
      </c>
      <c r="W41" s="3" t="inlineStr">
        <is>
          <t>Rejected</t>
        </is>
      </c>
      <c r="X41" s="2">
        <f>Z41</f>
        <v/>
      </c>
      <c r="Y41" s="73">
        <f>IF(X41="","",X41-A41)</f>
        <v/>
      </c>
      <c r="Z41" s="18" t="n">
        <v>46144</v>
      </c>
      <c r="AA41" s="3" t="n"/>
      <c r="AB41" s="3" t="n"/>
      <c r="AF41">
        <f>IF(AND($F41="Closed",$X41&gt;=DATE(2026,5,1),$X41&lt;=DATE(2026,5,31)),"Closed in May","Other")</f>
        <v/>
      </c>
    </row>
    <row r="42">
      <c r="A42" s="2" t="n">
        <v>46106</v>
      </c>
      <c r="B42" s="3" t="n">
        <v>2026</v>
      </c>
      <c r="C42" s="3" t="inlineStr">
        <is>
          <t>First Energy</t>
        </is>
      </c>
      <c r="D42" s="3" t="inlineStr">
        <is>
          <t>Utility and C&amp;I</t>
        </is>
      </c>
      <c r="E42" s="3" t="n"/>
      <c r="F42" s="3" t="inlineStr">
        <is>
          <t>Closed</t>
        </is>
      </c>
      <c r="G42" s="3" t="inlineStr">
        <is>
          <t>Mr. Gaurav</t>
        </is>
      </c>
      <c r="H42" s="3" t="n">
        <v>9979185999</v>
      </c>
      <c r="I42" s="11" t="inlineStr">
        <is>
          <t>PE25032601</t>
        </is>
      </c>
      <c r="J42" s="9" t="inlineStr">
        <is>
          <t>Module Defects</t>
        </is>
      </c>
      <c r="K42" s="3" t="inlineStr">
        <is>
          <t>Rajkot</t>
        </is>
      </c>
      <c r="L42" s="3" t="inlineStr">
        <is>
          <t>Gujarat</t>
        </is>
      </c>
      <c r="M42" s="9" t="inlineStr">
        <is>
          <t xml:space="preserve">hotspot found </t>
        </is>
      </c>
      <c r="N42" s="19" t="inlineStr">
        <is>
          <t>Hotspot</t>
        </is>
      </c>
      <c r="O42" s="3" t="n">
        <v>550</v>
      </c>
      <c r="P42" s="9" t="inlineStr">
        <is>
          <t>NSMP2212275577</t>
        </is>
      </c>
      <c r="Q42" s="53">
        <f>MID(P42,5,2)</f>
        <v/>
      </c>
      <c r="R42" s="53">
        <f>MID(P42,7,2)</f>
        <v/>
      </c>
      <c r="S42" s="3" t="inlineStr">
        <is>
          <t>G2B</t>
        </is>
      </c>
      <c r="T42" s="3" t="inlineStr">
        <is>
          <t>P2</t>
        </is>
      </c>
      <c r="U42" s="9" t="inlineStr">
        <is>
          <t xml:space="preserve">Multi Cell Hotspot </t>
        </is>
      </c>
      <c r="V42" s="3" t="inlineStr">
        <is>
          <t>Inspection</t>
        </is>
      </c>
      <c r="W42" s="3" t="inlineStr">
        <is>
          <t>Rejected</t>
        </is>
      </c>
      <c r="X42" s="2">
        <f>Z42</f>
        <v/>
      </c>
      <c r="Y42" s="73">
        <f>IF(X42="","",X42-A42)</f>
        <v/>
      </c>
      <c r="Z42" s="18" t="n">
        <v>46144</v>
      </c>
      <c r="AA42" s="3" t="n"/>
      <c r="AB42" s="3" t="n"/>
      <c r="AF42">
        <f>IF(AND($F42="Closed",$X42&gt;=DATE(2026,5,1),$X42&lt;=DATE(2026,5,31)),"Closed in May","Other")</f>
        <v/>
      </c>
    </row>
    <row r="43">
      <c r="A43" s="2" t="n">
        <v>46106</v>
      </c>
      <c r="B43" s="3" t="n">
        <v>2026</v>
      </c>
      <c r="C43" s="3" t="inlineStr">
        <is>
          <t>First Energy</t>
        </is>
      </c>
      <c r="D43" s="3" t="inlineStr">
        <is>
          <t>Utility and C&amp;I</t>
        </is>
      </c>
      <c r="E43" s="3" t="n"/>
      <c r="F43" s="3" t="inlineStr">
        <is>
          <t>Closed</t>
        </is>
      </c>
      <c r="G43" s="3" t="inlineStr">
        <is>
          <t>Mr. Gaurav</t>
        </is>
      </c>
      <c r="H43" s="3" t="n">
        <v>9979185999</v>
      </c>
      <c r="I43" s="11" t="inlineStr">
        <is>
          <t>PE25032601</t>
        </is>
      </c>
      <c r="J43" s="9" t="inlineStr">
        <is>
          <t>Module Defects</t>
        </is>
      </c>
      <c r="K43" s="3" t="inlineStr">
        <is>
          <t>Rajkot</t>
        </is>
      </c>
      <c r="L43" s="3" t="inlineStr">
        <is>
          <t>Gujarat</t>
        </is>
      </c>
      <c r="M43" s="9" t="inlineStr">
        <is>
          <t xml:space="preserve">hotspot found </t>
        </is>
      </c>
      <c r="N43" s="19" t="inlineStr">
        <is>
          <t>Hotspot</t>
        </is>
      </c>
      <c r="O43" s="3" t="n">
        <v>550</v>
      </c>
      <c r="P43" s="9" t="inlineStr">
        <is>
          <t>NSMP2212297259</t>
        </is>
      </c>
      <c r="Q43" s="53">
        <f>MID(P43,5,2)</f>
        <v/>
      </c>
      <c r="R43" s="53">
        <f>MID(P43,7,2)</f>
        <v/>
      </c>
      <c r="S43" s="3" t="inlineStr">
        <is>
          <t>G2B</t>
        </is>
      </c>
      <c r="T43" s="3" t="inlineStr">
        <is>
          <t>P2</t>
        </is>
      </c>
      <c r="U43" s="9" t="inlineStr">
        <is>
          <t xml:space="preserve">Multi Cell Hotspot </t>
        </is>
      </c>
      <c r="V43" s="3" t="inlineStr">
        <is>
          <t>Inspection</t>
        </is>
      </c>
      <c r="W43" s="3" t="inlineStr">
        <is>
          <t>Rejected</t>
        </is>
      </c>
      <c r="X43" s="2">
        <f>Z43</f>
        <v/>
      </c>
      <c r="Y43" s="73">
        <f>IF(X43="","",X43-A43)</f>
        <v/>
      </c>
      <c r="Z43" s="18" t="n">
        <v>46144</v>
      </c>
      <c r="AA43" s="3" t="n"/>
      <c r="AB43" s="3" t="n"/>
      <c r="AF43">
        <f>IF(AND($F43="Closed",$X43&gt;=DATE(2026,5,1),$X43&lt;=DATE(2026,5,31)),"Closed in May","Other")</f>
        <v/>
      </c>
    </row>
    <row r="44">
      <c r="A44" s="2" t="n">
        <v>46106</v>
      </c>
      <c r="B44" s="3" t="n">
        <v>2026</v>
      </c>
      <c r="C44" s="3" t="inlineStr">
        <is>
          <t>First Energy</t>
        </is>
      </c>
      <c r="D44" s="3" t="inlineStr">
        <is>
          <t>Utility and C&amp;I</t>
        </is>
      </c>
      <c r="E44" s="3" t="n"/>
      <c r="F44" s="3" t="inlineStr">
        <is>
          <t>Closed</t>
        </is>
      </c>
      <c r="G44" s="3" t="inlineStr">
        <is>
          <t>Mr. Gaurav</t>
        </is>
      </c>
      <c r="H44" s="3" t="n">
        <v>9979185999</v>
      </c>
      <c r="I44" s="11" t="inlineStr">
        <is>
          <t>PE25032601</t>
        </is>
      </c>
      <c r="J44" s="9" t="inlineStr">
        <is>
          <t>Module Defects</t>
        </is>
      </c>
      <c r="K44" s="3" t="inlineStr">
        <is>
          <t>Rajkot</t>
        </is>
      </c>
      <c r="L44" s="3" t="inlineStr">
        <is>
          <t>Gujarat</t>
        </is>
      </c>
      <c r="M44" s="9" t="inlineStr">
        <is>
          <t xml:space="preserve">hotspot found </t>
        </is>
      </c>
      <c r="N44" s="19" t="inlineStr">
        <is>
          <t>Hotspot</t>
        </is>
      </c>
      <c r="O44" s="3" t="n">
        <v>550</v>
      </c>
      <c r="P44" s="9" t="inlineStr">
        <is>
          <t>NSMP2212283814</t>
        </is>
      </c>
      <c r="Q44" s="53">
        <f>MID(P44,5,2)</f>
        <v/>
      </c>
      <c r="R44" s="53">
        <f>MID(P44,7,2)</f>
        <v/>
      </c>
      <c r="S44" s="3" t="inlineStr">
        <is>
          <t>G2B</t>
        </is>
      </c>
      <c r="T44" s="3" t="inlineStr">
        <is>
          <t>P2</t>
        </is>
      </c>
      <c r="U44" s="9" t="inlineStr">
        <is>
          <t xml:space="preserve">Single Cell Hotspot </t>
        </is>
      </c>
      <c r="V44" s="3" t="inlineStr">
        <is>
          <t>Inspection</t>
        </is>
      </c>
      <c r="W44" s="3" t="inlineStr">
        <is>
          <t>Rejected</t>
        </is>
      </c>
      <c r="X44" s="2">
        <f>Z44</f>
        <v/>
      </c>
      <c r="Y44" s="73">
        <f>IF(X44="","",X44-A44)</f>
        <v/>
      </c>
      <c r="Z44" s="18" t="n">
        <v>46144</v>
      </c>
      <c r="AA44" s="3" t="n"/>
      <c r="AB44" s="3" t="n"/>
      <c r="AF44">
        <f>IF(AND($F44="Closed",$X44&gt;=DATE(2026,5,1),$X44&lt;=DATE(2026,5,31)),"Closed in May","Other")</f>
        <v/>
      </c>
    </row>
    <row r="45">
      <c r="A45" s="2" t="n">
        <v>46106</v>
      </c>
      <c r="B45" s="3" t="n">
        <v>2026</v>
      </c>
      <c r="C45" s="3" t="inlineStr">
        <is>
          <t>First Energy</t>
        </is>
      </c>
      <c r="D45" s="3" t="inlineStr">
        <is>
          <t>Utility and C&amp;I</t>
        </is>
      </c>
      <c r="E45" s="3" t="n"/>
      <c r="F45" s="3" t="inlineStr">
        <is>
          <t>Closed</t>
        </is>
      </c>
      <c r="G45" s="3" t="inlineStr">
        <is>
          <t>Mr. Gaurav</t>
        </is>
      </c>
      <c r="H45" s="3" t="n">
        <v>9979185999</v>
      </c>
      <c r="I45" s="11" t="inlineStr">
        <is>
          <t>PE25032601</t>
        </is>
      </c>
      <c r="J45" s="9" t="inlineStr">
        <is>
          <t>Module Defects</t>
        </is>
      </c>
      <c r="K45" s="3" t="inlineStr">
        <is>
          <t>Rajkot</t>
        </is>
      </c>
      <c r="L45" s="3" t="inlineStr">
        <is>
          <t>Gujarat</t>
        </is>
      </c>
      <c r="M45" s="9" t="inlineStr">
        <is>
          <t xml:space="preserve">hotspot found </t>
        </is>
      </c>
      <c r="N45" s="19" t="inlineStr">
        <is>
          <t>Hotspot</t>
        </is>
      </c>
      <c r="O45" s="3" t="n">
        <v>550</v>
      </c>
      <c r="P45" s="9" t="inlineStr">
        <is>
          <t>NSMP2212283822</t>
        </is>
      </c>
      <c r="Q45" s="53">
        <f>MID(P45,5,2)</f>
        <v/>
      </c>
      <c r="R45" s="53">
        <f>MID(P45,7,2)</f>
        <v/>
      </c>
      <c r="S45" s="3" t="inlineStr">
        <is>
          <t>G2B</t>
        </is>
      </c>
      <c r="T45" s="3" t="inlineStr">
        <is>
          <t>P2</t>
        </is>
      </c>
      <c r="U45" s="9" t="inlineStr">
        <is>
          <t xml:space="preserve">Single Cell Hotspot </t>
        </is>
      </c>
      <c r="V45" s="3" t="inlineStr">
        <is>
          <t>Inspection</t>
        </is>
      </c>
      <c r="W45" s="3" t="inlineStr">
        <is>
          <t>Rejected</t>
        </is>
      </c>
      <c r="X45" s="2">
        <f>Z45</f>
        <v/>
      </c>
      <c r="Y45" s="73">
        <f>IF(X45="","",X45-A45)</f>
        <v/>
      </c>
      <c r="Z45" s="18" t="n">
        <v>46144</v>
      </c>
      <c r="AA45" s="3" t="n"/>
      <c r="AB45" s="3" t="n"/>
      <c r="AF45">
        <f>IF(AND($F45="Closed",$X45&gt;=DATE(2026,5,1),$X45&lt;=DATE(2026,5,31)),"Closed in May","Other")</f>
        <v/>
      </c>
    </row>
    <row r="46">
      <c r="A46" s="2" t="n">
        <v>46106</v>
      </c>
      <c r="B46" s="3" t="n">
        <v>2026</v>
      </c>
      <c r="C46" s="3" t="inlineStr">
        <is>
          <t>First Energy</t>
        </is>
      </c>
      <c r="D46" s="3" t="inlineStr">
        <is>
          <t>Utility and C&amp;I</t>
        </is>
      </c>
      <c r="E46" s="3" t="n"/>
      <c r="F46" s="3" t="inlineStr">
        <is>
          <t>Closed</t>
        </is>
      </c>
      <c r="G46" s="3" t="inlineStr">
        <is>
          <t>Mr. Gaurav</t>
        </is>
      </c>
      <c r="H46" s="3" t="n">
        <v>9979185999</v>
      </c>
      <c r="I46" s="11" t="inlineStr">
        <is>
          <t>PE25032601</t>
        </is>
      </c>
      <c r="J46" s="9" t="inlineStr">
        <is>
          <t>Module Defects</t>
        </is>
      </c>
      <c r="K46" s="3" t="inlineStr">
        <is>
          <t>Rajkot</t>
        </is>
      </c>
      <c r="L46" s="3" t="inlineStr">
        <is>
          <t>Gujarat</t>
        </is>
      </c>
      <c r="M46" s="9" t="inlineStr">
        <is>
          <t xml:space="preserve">hotspot found </t>
        </is>
      </c>
      <c r="N46" s="19" t="inlineStr">
        <is>
          <t>Hotspot</t>
        </is>
      </c>
      <c r="O46" s="3" t="n">
        <v>550</v>
      </c>
      <c r="P46" s="9" t="inlineStr">
        <is>
          <t>NSMP2212268653</t>
        </is>
      </c>
      <c r="Q46" s="53">
        <f>MID(P46,5,2)</f>
        <v/>
      </c>
      <c r="R46" s="53">
        <f>MID(P46,7,2)</f>
        <v/>
      </c>
      <c r="S46" s="3" t="inlineStr">
        <is>
          <t>G2B</t>
        </is>
      </c>
      <c r="T46" s="3" t="inlineStr">
        <is>
          <t>P2</t>
        </is>
      </c>
      <c r="U46" s="9" t="inlineStr">
        <is>
          <t xml:space="preserve">Multi Cell Hotspot </t>
        </is>
      </c>
      <c r="V46" s="3" t="inlineStr">
        <is>
          <t>Inspection</t>
        </is>
      </c>
      <c r="W46" s="3" t="inlineStr">
        <is>
          <t>Rejected</t>
        </is>
      </c>
      <c r="X46" s="2">
        <f>Z46</f>
        <v/>
      </c>
      <c r="Y46" s="73">
        <f>IF(X46="","",X46-A46)</f>
        <v/>
      </c>
      <c r="Z46" s="18" t="n">
        <v>46144</v>
      </c>
      <c r="AA46" s="3" t="n"/>
      <c r="AB46" s="3" t="n"/>
      <c r="AF46">
        <f>IF(AND($F46="Closed",$X46&gt;=DATE(2026,5,1),$X46&lt;=DATE(2026,5,31)),"Closed in May","Other")</f>
        <v/>
      </c>
      <c r="AP46" s="126" t="n"/>
    </row>
    <row r="47">
      <c r="A47" s="2" t="n">
        <v>46106</v>
      </c>
      <c r="B47" s="3" t="n">
        <v>2026</v>
      </c>
      <c r="C47" s="3" t="inlineStr">
        <is>
          <t>First Energy</t>
        </is>
      </c>
      <c r="D47" s="3" t="inlineStr">
        <is>
          <t>Utility and C&amp;I</t>
        </is>
      </c>
      <c r="E47" s="3" t="n"/>
      <c r="F47" s="3" t="inlineStr">
        <is>
          <t>Closed</t>
        </is>
      </c>
      <c r="G47" s="3" t="inlineStr">
        <is>
          <t>Mr. Gaurav</t>
        </is>
      </c>
      <c r="H47" s="3" t="n">
        <v>9979185999</v>
      </c>
      <c r="I47" s="11" t="inlineStr">
        <is>
          <t>PE25032601</t>
        </is>
      </c>
      <c r="J47" s="9" t="inlineStr">
        <is>
          <t>Module Defects</t>
        </is>
      </c>
      <c r="K47" s="3" t="inlineStr">
        <is>
          <t>Rajkot</t>
        </is>
      </c>
      <c r="L47" s="3" t="inlineStr">
        <is>
          <t>Gujarat</t>
        </is>
      </c>
      <c r="M47" s="9" t="inlineStr">
        <is>
          <t xml:space="preserve">hotspot found </t>
        </is>
      </c>
      <c r="N47" s="19" t="inlineStr">
        <is>
          <t>Hotspot</t>
        </is>
      </c>
      <c r="O47" s="3" t="n">
        <v>550</v>
      </c>
      <c r="P47" s="9" t="inlineStr">
        <is>
          <t>NSMP2212283892</t>
        </is>
      </c>
      <c r="Q47" s="53">
        <f>MID(P47,5,2)</f>
        <v/>
      </c>
      <c r="R47" s="53">
        <f>MID(P47,7,2)</f>
        <v/>
      </c>
      <c r="S47" s="3" t="inlineStr">
        <is>
          <t>G2B</t>
        </is>
      </c>
      <c r="T47" s="3" t="inlineStr">
        <is>
          <t>P2</t>
        </is>
      </c>
      <c r="U47" s="9" t="inlineStr">
        <is>
          <t xml:space="preserve">Single Cell Hotspot </t>
        </is>
      </c>
      <c r="V47" s="3" t="inlineStr">
        <is>
          <t>Inspection</t>
        </is>
      </c>
      <c r="W47" s="3" t="inlineStr">
        <is>
          <t>Rejected</t>
        </is>
      </c>
      <c r="X47" s="2">
        <f>Z47</f>
        <v/>
      </c>
      <c r="Y47" s="73">
        <f>IF(X47="","",X47-A47)</f>
        <v/>
      </c>
      <c r="Z47" s="18" t="n">
        <v>46144</v>
      </c>
      <c r="AA47" s="3" t="n"/>
      <c r="AB47" s="3" t="n"/>
      <c r="AF47">
        <f>IF(AND($F47="Closed",$X47&gt;=DATE(2026,5,1),$X47&lt;=DATE(2026,5,31)),"Closed in May","Other")</f>
        <v/>
      </c>
    </row>
    <row r="48">
      <c r="A48" s="2" t="n">
        <v>46106</v>
      </c>
      <c r="B48" s="3" t="n">
        <v>2026</v>
      </c>
      <c r="C48" s="3" t="inlineStr">
        <is>
          <t>First Energy</t>
        </is>
      </c>
      <c r="D48" s="3" t="inlineStr">
        <is>
          <t>Utility and C&amp;I</t>
        </is>
      </c>
      <c r="E48" s="3" t="n"/>
      <c r="F48" s="3" t="inlineStr">
        <is>
          <t>Closed</t>
        </is>
      </c>
      <c r="G48" s="3" t="inlineStr">
        <is>
          <t>Mr. Gaurav</t>
        </is>
      </c>
      <c r="H48" s="3" t="n">
        <v>9979185999</v>
      </c>
      <c r="I48" s="11" t="inlineStr">
        <is>
          <t>PE25032601</t>
        </is>
      </c>
      <c r="J48" s="9" t="inlineStr">
        <is>
          <t>Module Defects</t>
        </is>
      </c>
      <c r="K48" s="3" t="inlineStr">
        <is>
          <t>Rajkot</t>
        </is>
      </c>
      <c r="L48" s="3" t="inlineStr">
        <is>
          <t>Gujarat</t>
        </is>
      </c>
      <c r="M48" s="9" t="inlineStr">
        <is>
          <t xml:space="preserve">hotspot found </t>
        </is>
      </c>
      <c r="N48" s="19" t="inlineStr">
        <is>
          <t>Hotspot</t>
        </is>
      </c>
      <c r="O48" s="3" t="n">
        <v>550</v>
      </c>
      <c r="P48" s="9" t="inlineStr">
        <is>
          <t>NSMP2212283852</t>
        </is>
      </c>
      <c r="Q48" s="53">
        <f>MID(P48,5,2)</f>
        <v/>
      </c>
      <c r="R48" s="53">
        <f>MID(P48,7,2)</f>
        <v/>
      </c>
      <c r="S48" s="3" t="inlineStr">
        <is>
          <t>G2B</t>
        </is>
      </c>
      <c r="T48" s="3" t="inlineStr">
        <is>
          <t>P2</t>
        </is>
      </c>
      <c r="U48" s="9" t="inlineStr">
        <is>
          <t>Single Cell Hotspot</t>
        </is>
      </c>
      <c r="V48" s="3" t="inlineStr">
        <is>
          <t>Inspection</t>
        </is>
      </c>
      <c r="W48" s="3" t="inlineStr">
        <is>
          <t>Rejected</t>
        </is>
      </c>
      <c r="X48" s="2">
        <f>Z48</f>
        <v/>
      </c>
      <c r="Y48" s="73">
        <f>IF(X48="","",X48-A48)</f>
        <v/>
      </c>
      <c r="Z48" s="18" t="n">
        <v>46144</v>
      </c>
      <c r="AA48" s="15" t="n"/>
      <c r="AB48" s="15" t="n"/>
      <c r="AF48">
        <f>IF(AND($F48="Closed",$X48&gt;=DATE(2026,5,1),$X48&lt;=DATE(2026,5,31)),"Closed in May","Other")</f>
        <v/>
      </c>
    </row>
    <row r="49">
      <c r="A49" s="6" t="n">
        <v>46107</v>
      </c>
      <c r="B49" s="3" t="n">
        <v>2026</v>
      </c>
      <c r="C49" s="3" t="inlineStr">
        <is>
          <t>Blupine Energy</t>
        </is>
      </c>
      <c r="D49" s="3" t="inlineStr">
        <is>
          <t>Utility and C&amp;I</t>
        </is>
      </c>
      <c r="E49" s="3" t="n"/>
      <c r="F49" s="3" t="inlineStr">
        <is>
          <t>Closed</t>
        </is>
      </c>
      <c r="G49" s="3" t="inlineStr">
        <is>
          <t>Chandrashekar Patidar</t>
        </is>
      </c>
      <c r="H49" s="3" t="n">
        <v>7879764773</v>
      </c>
      <c r="I49" s="11" t="inlineStr">
        <is>
          <t>PE26032601</t>
        </is>
      </c>
      <c r="J49" s="3" t="inlineStr">
        <is>
          <t>Module Diode Failure</t>
        </is>
      </c>
      <c r="K49" s="3" t="inlineStr">
        <is>
          <t>Sadla</t>
        </is>
      </c>
      <c r="L49" s="3" t="inlineStr">
        <is>
          <t>Gujarat</t>
        </is>
      </c>
      <c r="M49" s="9" t="inlineStr">
        <is>
          <t>PS</t>
        </is>
      </c>
      <c r="N49" s="3" t="inlineStr">
        <is>
          <t>Cold Soldering</t>
        </is>
      </c>
      <c r="O49" s="3" t="n">
        <v>570</v>
      </c>
      <c r="P49" s="9" t="inlineStr">
        <is>
          <t>NSMI24050051443</t>
        </is>
      </c>
      <c r="Q49" s="53">
        <f>MID(P49,5,2)</f>
        <v/>
      </c>
      <c r="R49" s="53">
        <f>MID(P49,7,2)</f>
        <v/>
      </c>
      <c r="S49" s="3" t="inlineStr">
        <is>
          <t>G2G</t>
        </is>
      </c>
      <c r="T49" s="3" t="inlineStr">
        <is>
          <t>P4</t>
        </is>
      </c>
      <c r="U49" s="3" t="inlineStr">
        <is>
          <t>P JB Cold Soldering</t>
        </is>
      </c>
      <c r="V49" s="3" t="inlineStr">
        <is>
          <t>Soldering</t>
        </is>
      </c>
      <c r="W49" s="3" t="inlineStr">
        <is>
          <t>Repair</t>
        </is>
      </c>
      <c r="X49" s="18" t="n">
        <v>46144</v>
      </c>
      <c r="Y49" s="73">
        <f>IF(X49="","",X49-A49)</f>
        <v/>
      </c>
      <c r="Z49" s="18" t="n">
        <v>46144</v>
      </c>
      <c r="AA49" s="3" t="n"/>
      <c r="AB49" s="3" t="n"/>
      <c r="AF49">
        <f>IF(AND($F49="Closed",$X49&gt;=DATE(2026,5,1),$X49&lt;=DATE(2026,5,31)),"Closed in May","Other")</f>
        <v/>
      </c>
    </row>
    <row r="50">
      <c r="A50" s="6" t="n">
        <v>46107</v>
      </c>
      <c r="B50" s="3" t="n">
        <v>2026</v>
      </c>
      <c r="C50" s="3" t="inlineStr">
        <is>
          <t>Blupine Energy</t>
        </is>
      </c>
      <c r="D50" s="3" t="inlineStr">
        <is>
          <t>Utility and C&amp;I</t>
        </is>
      </c>
      <c r="E50" s="3" t="n"/>
      <c r="F50" s="3" t="inlineStr">
        <is>
          <t>Closed</t>
        </is>
      </c>
      <c r="G50" s="3" t="inlineStr">
        <is>
          <t>Chandrashekar Patidar</t>
        </is>
      </c>
      <c r="H50" s="3" t="n">
        <v>7879764773</v>
      </c>
      <c r="I50" s="11" t="inlineStr">
        <is>
          <t>PE26032601</t>
        </is>
      </c>
      <c r="J50" s="3" t="inlineStr">
        <is>
          <t>Module Diode Failure</t>
        </is>
      </c>
      <c r="K50" s="3" t="inlineStr">
        <is>
          <t>Sadla</t>
        </is>
      </c>
      <c r="L50" s="3" t="inlineStr">
        <is>
          <t>Gujarat</t>
        </is>
      </c>
      <c r="M50" s="9" t="inlineStr">
        <is>
          <t>NS</t>
        </is>
      </c>
      <c r="N50" s="3" t="inlineStr">
        <is>
          <t>Cold Soldering</t>
        </is>
      </c>
      <c r="O50" s="3" t="n">
        <v>570</v>
      </c>
      <c r="P50" s="9" t="inlineStr">
        <is>
          <t>NSMI24050044810</t>
        </is>
      </c>
      <c r="Q50" s="53">
        <f>MID(P50,5,2)</f>
        <v/>
      </c>
      <c r="R50" s="53">
        <f>MID(P50,7,2)</f>
        <v/>
      </c>
      <c r="S50" s="3" t="inlineStr">
        <is>
          <t>G2G</t>
        </is>
      </c>
      <c r="T50" s="3" t="inlineStr">
        <is>
          <t>P4</t>
        </is>
      </c>
      <c r="U50" s="3" t="inlineStr">
        <is>
          <t>N JB Cold Soldering</t>
        </is>
      </c>
      <c r="V50" s="3" t="inlineStr">
        <is>
          <t>Soldering</t>
        </is>
      </c>
      <c r="W50" s="3" t="inlineStr">
        <is>
          <t>Repair</t>
        </is>
      </c>
      <c r="X50" s="18" t="n">
        <v>46144</v>
      </c>
      <c r="Y50" s="73">
        <f>IF(X50="","",X50-A50)</f>
        <v/>
      </c>
      <c r="Z50" s="18" t="n">
        <v>46144</v>
      </c>
      <c r="AA50" s="3" t="n"/>
      <c r="AB50" s="3" t="n"/>
      <c r="AF50">
        <f>IF(AND($F50="Closed",$X50&gt;=DATE(2026,5,1),$X50&lt;=DATE(2026,5,31)),"Closed in May","Other")</f>
        <v/>
      </c>
    </row>
    <row r="51">
      <c r="A51" s="6" t="n">
        <v>46107</v>
      </c>
      <c r="B51" s="3" t="n">
        <v>2026</v>
      </c>
      <c r="C51" s="3" t="inlineStr">
        <is>
          <t>Blupine Energy</t>
        </is>
      </c>
      <c r="D51" s="3" t="inlineStr">
        <is>
          <t>Utility and C&amp;I</t>
        </is>
      </c>
      <c r="E51" s="3" t="n"/>
      <c r="F51" s="3" t="inlineStr">
        <is>
          <t>Closed</t>
        </is>
      </c>
      <c r="G51" s="3" t="inlineStr">
        <is>
          <t>Chandrashekar Patidar</t>
        </is>
      </c>
      <c r="H51" s="3" t="n">
        <v>7879764773</v>
      </c>
      <c r="I51" s="11" t="inlineStr">
        <is>
          <t>PE26032601</t>
        </is>
      </c>
      <c r="J51" s="3" t="inlineStr">
        <is>
          <t>Module Diode Failure</t>
        </is>
      </c>
      <c r="K51" s="3" t="inlineStr">
        <is>
          <t>Sadla</t>
        </is>
      </c>
      <c r="L51" s="3" t="inlineStr">
        <is>
          <t>Gujarat</t>
        </is>
      </c>
      <c r="M51" s="9" t="inlineStr">
        <is>
          <t>NS</t>
        </is>
      </c>
      <c r="N51" s="3" t="inlineStr">
        <is>
          <t>Cold Soldering</t>
        </is>
      </c>
      <c r="O51" s="3" t="n">
        <v>570</v>
      </c>
      <c r="P51" s="9" t="inlineStr">
        <is>
          <t>NSMI24050047018</t>
        </is>
      </c>
      <c r="Q51" s="53">
        <f>MID(P51,5,2)</f>
        <v/>
      </c>
      <c r="R51" s="53">
        <f>MID(P51,7,2)</f>
        <v/>
      </c>
      <c r="S51" s="3" t="inlineStr">
        <is>
          <t>G2G</t>
        </is>
      </c>
      <c r="T51" s="3" t="inlineStr">
        <is>
          <t>P4</t>
        </is>
      </c>
      <c r="U51" s="3" t="inlineStr">
        <is>
          <t>N JB Cold Soldering</t>
        </is>
      </c>
      <c r="V51" s="3" t="inlineStr">
        <is>
          <t>Soldering</t>
        </is>
      </c>
      <c r="W51" s="3" t="inlineStr">
        <is>
          <t>Repair</t>
        </is>
      </c>
      <c r="X51" s="18" t="n">
        <v>46144</v>
      </c>
      <c r="Y51" s="73">
        <f>IF(X51="","",X51-A51)</f>
        <v/>
      </c>
      <c r="Z51" s="18" t="n">
        <v>46144</v>
      </c>
      <c r="AA51" s="3" t="n"/>
      <c r="AB51" s="3" t="n"/>
      <c r="AF51">
        <f>IF(AND($F51="Closed",$X51&gt;=DATE(2026,5,1),$X51&lt;=DATE(2026,5,31)),"Closed in May","Other")</f>
        <v/>
      </c>
    </row>
    <row r="52">
      <c r="A52" s="6" t="n">
        <v>46107</v>
      </c>
      <c r="B52" s="3" t="n">
        <v>2026</v>
      </c>
      <c r="C52" s="3" t="inlineStr">
        <is>
          <t>Blupine Energy</t>
        </is>
      </c>
      <c r="D52" s="3" t="inlineStr">
        <is>
          <t>Utility and C&amp;I</t>
        </is>
      </c>
      <c r="E52" s="3" t="n"/>
      <c r="F52" s="3" t="inlineStr">
        <is>
          <t>Closed</t>
        </is>
      </c>
      <c r="G52" s="3" t="inlineStr">
        <is>
          <t>Chandrashekar Patidar</t>
        </is>
      </c>
      <c r="H52" s="3" t="n">
        <v>7879764773</v>
      </c>
      <c r="I52" s="11" t="inlineStr">
        <is>
          <t>PE26032601</t>
        </is>
      </c>
      <c r="J52" s="3" t="inlineStr">
        <is>
          <t>Module Diode Failure</t>
        </is>
      </c>
      <c r="K52" s="3" t="inlineStr">
        <is>
          <t>Sadla</t>
        </is>
      </c>
      <c r="L52" s="3" t="inlineStr">
        <is>
          <t>Gujarat</t>
        </is>
      </c>
      <c r="M52" s="9" t="inlineStr">
        <is>
          <t>PR</t>
        </is>
      </c>
      <c r="N52" s="3" t="inlineStr">
        <is>
          <t>JB Issue</t>
        </is>
      </c>
      <c r="O52" s="3" t="n">
        <v>570</v>
      </c>
      <c r="P52" s="9" t="inlineStr">
        <is>
          <t>NSMI24060074092</t>
        </is>
      </c>
      <c r="Q52" s="53">
        <f>MID(P52,5,2)</f>
        <v/>
      </c>
      <c r="R52" s="53">
        <f>MID(P52,7,2)</f>
        <v/>
      </c>
      <c r="S52" s="3" t="inlineStr">
        <is>
          <t>G2G</t>
        </is>
      </c>
      <c r="T52" s="3" t="inlineStr">
        <is>
          <t>P4</t>
        </is>
      </c>
      <c r="U52" s="3" t="inlineStr">
        <is>
          <t>P JB Issue</t>
        </is>
      </c>
      <c r="V52" s="15" t="inlineStr">
        <is>
          <t>JB Changed</t>
        </is>
      </c>
      <c r="W52" s="3" t="inlineStr">
        <is>
          <t>Repair</t>
        </is>
      </c>
      <c r="X52" s="18" t="n">
        <v>46144</v>
      </c>
      <c r="Y52" s="73">
        <f>IF(X52="","",X52-A52)</f>
        <v/>
      </c>
      <c r="Z52" s="18" t="n">
        <v>46144</v>
      </c>
      <c r="AA52" s="3" t="n"/>
      <c r="AB52" s="3" t="n"/>
      <c r="AF52">
        <f>IF(AND($F52="Closed",$X52&gt;=DATE(2026,5,1),$X52&lt;=DATE(2026,5,31)),"Closed in May","Other")</f>
        <v/>
      </c>
    </row>
    <row r="53">
      <c r="A53" s="6" t="n">
        <v>46107</v>
      </c>
      <c r="B53" s="3" t="n">
        <v>2026</v>
      </c>
      <c r="C53" s="3" t="inlineStr">
        <is>
          <t>Blupine Energy</t>
        </is>
      </c>
      <c r="D53" s="3" t="inlineStr">
        <is>
          <t>Utility and C&amp;I</t>
        </is>
      </c>
      <c r="E53" s="3" t="n"/>
      <c r="F53" s="3" t="inlineStr">
        <is>
          <t>Closed</t>
        </is>
      </c>
      <c r="G53" s="3" t="inlineStr">
        <is>
          <t>Chandrashekar Patidar</t>
        </is>
      </c>
      <c r="H53" s="3" t="n">
        <v>7879764773</v>
      </c>
      <c r="I53" s="11" t="inlineStr">
        <is>
          <t>PE26032601</t>
        </is>
      </c>
      <c r="J53" s="3" t="inlineStr">
        <is>
          <t>Module Diode Failure</t>
        </is>
      </c>
      <c r="K53" s="3" t="inlineStr">
        <is>
          <t>Sadla</t>
        </is>
      </c>
      <c r="L53" s="3" t="inlineStr">
        <is>
          <t>Gujarat</t>
        </is>
      </c>
      <c r="M53" s="9" t="inlineStr">
        <is>
          <t>NR</t>
        </is>
      </c>
      <c r="N53" s="3" t="inlineStr">
        <is>
          <t>JB Issue</t>
        </is>
      </c>
      <c r="O53" s="3" t="n">
        <v>570</v>
      </c>
      <c r="P53" s="9" t="inlineStr">
        <is>
          <t>NSMI24050045987</t>
        </is>
      </c>
      <c r="Q53" s="53">
        <f>MID(P53,5,2)</f>
        <v/>
      </c>
      <c r="R53" s="53">
        <f>MID(P53,7,2)</f>
        <v/>
      </c>
      <c r="S53" s="3" t="inlineStr">
        <is>
          <t>G2G</t>
        </is>
      </c>
      <c r="T53" s="3" t="inlineStr">
        <is>
          <t>P4</t>
        </is>
      </c>
      <c r="U53" s="3" t="inlineStr">
        <is>
          <t>N JB Issue</t>
        </is>
      </c>
      <c r="V53" s="3" t="inlineStr">
        <is>
          <t>JB Changed</t>
        </is>
      </c>
      <c r="W53" s="3" t="inlineStr">
        <is>
          <t>Repair</t>
        </is>
      </c>
      <c r="X53" s="18" t="n">
        <v>46144</v>
      </c>
      <c r="Y53" s="73">
        <f>IF(X53="","",X53-A53)</f>
        <v/>
      </c>
      <c r="Z53" s="18" t="n">
        <v>46144</v>
      </c>
      <c r="AA53" s="3" t="n"/>
      <c r="AB53" s="3" t="n"/>
      <c r="AF53">
        <f>IF(AND($F53="Closed",$X53&gt;=DATE(2026,5,1),$X53&lt;=DATE(2026,5,31)),"Closed in May","Other")</f>
        <v/>
      </c>
    </row>
    <row r="54">
      <c r="A54" s="6" t="n">
        <v>46107</v>
      </c>
      <c r="B54" s="3" t="n">
        <v>2026</v>
      </c>
      <c r="C54" s="3" t="inlineStr">
        <is>
          <t>Blupine Energy</t>
        </is>
      </c>
      <c r="D54" s="3" t="inlineStr">
        <is>
          <t>Utility and C&amp;I</t>
        </is>
      </c>
      <c r="E54" s="3" t="n"/>
      <c r="F54" s="3" t="inlineStr">
        <is>
          <t>Closed</t>
        </is>
      </c>
      <c r="G54" s="3" t="inlineStr">
        <is>
          <t>Chandrashekar Patidar</t>
        </is>
      </c>
      <c r="H54" s="3" t="n">
        <v>7879764773</v>
      </c>
      <c r="I54" s="11" t="inlineStr">
        <is>
          <t>PE26032601</t>
        </is>
      </c>
      <c r="J54" s="3" t="inlineStr">
        <is>
          <t>Module Diode Failure</t>
        </is>
      </c>
      <c r="K54" s="3" t="inlineStr">
        <is>
          <t>Sadla</t>
        </is>
      </c>
      <c r="L54" s="3" t="inlineStr">
        <is>
          <t>Gujarat</t>
        </is>
      </c>
      <c r="M54" s="9" t="inlineStr">
        <is>
          <t>PS</t>
        </is>
      </c>
      <c r="N54" s="3" t="inlineStr">
        <is>
          <t>Cold Soldering</t>
        </is>
      </c>
      <c r="O54" s="3" t="n">
        <v>570</v>
      </c>
      <c r="P54" s="9" t="inlineStr">
        <is>
          <t>NSMI24050049041</t>
        </is>
      </c>
      <c r="Q54" s="53">
        <f>MID(P54,5,2)</f>
        <v/>
      </c>
      <c r="R54" s="53">
        <f>MID(P54,7,2)</f>
        <v/>
      </c>
      <c r="S54" s="3" t="inlineStr">
        <is>
          <t>G2G</t>
        </is>
      </c>
      <c r="T54" s="3" t="inlineStr">
        <is>
          <t>P4</t>
        </is>
      </c>
      <c r="U54" s="3" t="inlineStr">
        <is>
          <t>P JB Cold Soldering</t>
        </is>
      </c>
      <c r="V54" s="3" t="inlineStr">
        <is>
          <t>Soldering</t>
        </is>
      </c>
      <c r="W54" s="3" t="inlineStr">
        <is>
          <t>Repair</t>
        </is>
      </c>
      <c r="X54" s="18" t="n">
        <v>46144</v>
      </c>
      <c r="Y54" s="73">
        <f>IF(X54="","",X54-A54)</f>
        <v/>
      </c>
      <c r="Z54" s="18" t="n">
        <v>46144</v>
      </c>
      <c r="AA54" s="3" t="n"/>
      <c r="AB54" s="3" t="n"/>
      <c r="AF54">
        <f>IF(AND($F54="Closed",$X54&gt;=DATE(2026,5,1),$X54&lt;=DATE(2026,5,31)),"Closed in May","Other")</f>
        <v/>
      </c>
    </row>
    <row r="55">
      <c r="A55" s="6" t="n">
        <v>46107</v>
      </c>
      <c r="B55" s="3" t="n">
        <v>2026</v>
      </c>
      <c r="C55" s="3" t="inlineStr">
        <is>
          <t>Blupine Energy</t>
        </is>
      </c>
      <c r="D55" s="3" t="inlineStr">
        <is>
          <t>Utility and C&amp;I</t>
        </is>
      </c>
      <c r="E55" s="3" t="n"/>
      <c r="F55" s="3" t="inlineStr">
        <is>
          <t>Closed</t>
        </is>
      </c>
      <c r="G55" s="3" t="inlineStr">
        <is>
          <t>Chandrashekar Patidar</t>
        </is>
      </c>
      <c r="H55" s="3" t="n">
        <v>7879764773</v>
      </c>
      <c r="I55" s="11" t="inlineStr">
        <is>
          <t>PE26032601</t>
        </is>
      </c>
      <c r="J55" s="3" t="inlineStr">
        <is>
          <t>Module Diode Failure</t>
        </is>
      </c>
      <c r="K55" s="3" t="inlineStr">
        <is>
          <t>Sadla</t>
        </is>
      </c>
      <c r="L55" s="3" t="inlineStr">
        <is>
          <t>Gujarat</t>
        </is>
      </c>
      <c r="M55" s="9" t="inlineStr">
        <is>
          <t>NS</t>
        </is>
      </c>
      <c r="N55" s="3" t="inlineStr">
        <is>
          <t>Cold Soldering</t>
        </is>
      </c>
      <c r="O55" s="3" t="n">
        <v>570</v>
      </c>
      <c r="P55" s="9" t="inlineStr">
        <is>
          <t>NSMI24050045772</t>
        </is>
      </c>
      <c r="Q55" s="53">
        <f>MID(P55,5,2)</f>
        <v/>
      </c>
      <c r="R55" s="53">
        <f>MID(P55,7,2)</f>
        <v/>
      </c>
      <c r="S55" s="3" t="inlineStr">
        <is>
          <t>G2G</t>
        </is>
      </c>
      <c r="T55" s="3" t="inlineStr">
        <is>
          <t>P4</t>
        </is>
      </c>
      <c r="U55" s="3" t="inlineStr">
        <is>
          <t>N JB Cold Soldering</t>
        </is>
      </c>
      <c r="V55" s="3" t="inlineStr">
        <is>
          <t>Soldering</t>
        </is>
      </c>
      <c r="W55" s="3" t="inlineStr">
        <is>
          <t>Repair</t>
        </is>
      </c>
      <c r="X55" s="18" t="n">
        <v>46144</v>
      </c>
      <c r="Y55" s="73">
        <f>IF(X55="","",X55-A55)</f>
        <v/>
      </c>
      <c r="Z55" s="18" t="n">
        <v>46144</v>
      </c>
      <c r="AA55" s="3" t="n"/>
      <c r="AB55" s="3" t="n"/>
      <c r="AF55">
        <f>IF(AND($F55="Closed",$X55&gt;=DATE(2026,5,1),$X55&lt;=DATE(2026,5,31)),"Closed in May","Other")</f>
        <v/>
      </c>
    </row>
    <row r="56">
      <c r="A56" s="6" t="n">
        <v>46107</v>
      </c>
      <c r="B56" s="3" t="n">
        <v>2026</v>
      </c>
      <c r="C56" s="3" t="inlineStr">
        <is>
          <t>Blupine Energy</t>
        </is>
      </c>
      <c r="D56" s="3" t="inlineStr">
        <is>
          <t>Utility and C&amp;I</t>
        </is>
      </c>
      <c r="E56" s="3" t="n"/>
      <c r="F56" s="3" t="inlineStr">
        <is>
          <t>Closed</t>
        </is>
      </c>
      <c r="G56" s="3" t="inlineStr">
        <is>
          <t>Chandrashekar Patidar</t>
        </is>
      </c>
      <c r="H56" s="3" t="n">
        <v>7879764773</v>
      </c>
      <c r="I56" s="11" t="inlineStr">
        <is>
          <t>PE26032601</t>
        </is>
      </c>
      <c r="J56" s="3" t="inlineStr">
        <is>
          <t>Module Diode Failure</t>
        </is>
      </c>
      <c r="K56" s="3" t="inlineStr">
        <is>
          <t>Sadla</t>
        </is>
      </c>
      <c r="L56" s="3" t="inlineStr">
        <is>
          <t>Gujarat</t>
        </is>
      </c>
      <c r="M56" s="9" t="inlineStr">
        <is>
          <t>NS</t>
        </is>
      </c>
      <c r="N56" s="3" t="inlineStr">
        <is>
          <t>Cold Soldering</t>
        </is>
      </c>
      <c r="O56" s="3" t="n">
        <v>570</v>
      </c>
      <c r="P56" s="9" t="inlineStr">
        <is>
          <t>NSMI24050045804</t>
        </is>
      </c>
      <c r="Q56" s="53">
        <f>MID(P56,5,2)</f>
        <v/>
      </c>
      <c r="R56" s="53">
        <f>MID(P56,7,2)</f>
        <v/>
      </c>
      <c r="S56" s="3" t="inlineStr">
        <is>
          <t>G2G</t>
        </is>
      </c>
      <c r="T56" s="3" t="inlineStr">
        <is>
          <t>P4</t>
        </is>
      </c>
      <c r="U56" s="3" t="inlineStr">
        <is>
          <t>N JB Cold Soldering</t>
        </is>
      </c>
      <c r="V56" s="3" t="inlineStr">
        <is>
          <t>Soldering</t>
        </is>
      </c>
      <c r="W56" s="3" t="inlineStr">
        <is>
          <t>Repair</t>
        </is>
      </c>
      <c r="X56" s="18" t="n">
        <v>46144</v>
      </c>
      <c r="Y56" s="73">
        <f>IF(X56="","",X56-A56)</f>
        <v/>
      </c>
      <c r="Z56" s="18" t="n">
        <v>46144</v>
      </c>
      <c r="AA56" s="3" t="n"/>
      <c r="AB56" s="3" t="n"/>
      <c r="AF56">
        <f>IF(AND($F56="Closed",$X56&gt;=DATE(2026,5,1),$X56&lt;=DATE(2026,5,31)),"Closed in May","Other")</f>
        <v/>
      </c>
    </row>
    <row r="57">
      <c r="A57" s="6" t="n">
        <v>46107</v>
      </c>
      <c r="B57" s="3" t="n">
        <v>2026</v>
      </c>
      <c r="C57" s="3" t="inlineStr">
        <is>
          <t>Blupine Energy</t>
        </is>
      </c>
      <c r="D57" s="3" t="inlineStr">
        <is>
          <t>Utility and C&amp;I</t>
        </is>
      </c>
      <c r="E57" s="3" t="n"/>
      <c r="F57" s="3" t="inlineStr">
        <is>
          <t>Closed</t>
        </is>
      </c>
      <c r="G57" s="3" t="inlineStr">
        <is>
          <t>Chandrashekar Patidar</t>
        </is>
      </c>
      <c r="H57" s="3" t="n">
        <v>7879764773</v>
      </c>
      <c r="I57" s="11" t="inlineStr">
        <is>
          <t>PE26032601</t>
        </is>
      </c>
      <c r="J57" s="3" t="inlineStr">
        <is>
          <t>Module Diode Failure</t>
        </is>
      </c>
      <c r="K57" s="3" t="inlineStr">
        <is>
          <t>Sadla</t>
        </is>
      </c>
      <c r="L57" s="3" t="inlineStr">
        <is>
          <t>Gujarat</t>
        </is>
      </c>
      <c r="M57" s="9" t="inlineStr">
        <is>
          <t>NS</t>
        </is>
      </c>
      <c r="N57" s="3" t="inlineStr">
        <is>
          <t>Cold Soldering</t>
        </is>
      </c>
      <c r="O57" s="3" t="n">
        <v>570</v>
      </c>
      <c r="P57" s="9" t="inlineStr">
        <is>
          <t>NSMI24050045790</t>
        </is>
      </c>
      <c r="Q57" s="53">
        <f>MID(P57,5,2)</f>
        <v/>
      </c>
      <c r="R57" s="53">
        <f>MID(P57,7,2)</f>
        <v/>
      </c>
      <c r="S57" s="3" t="inlineStr">
        <is>
          <t>G2G</t>
        </is>
      </c>
      <c r="T57" s="3" t="inlineStr">
        <is>
          <t>P4</t>
        </is>
      </c>
      <c r="U57" s="3" t="inlineStr">
        <is>
          <t>N JB Cold Soldering</t>
        </is>
      </c>
      <c r="V57" s="3" t="inlineStr">
        <is>
          <t>Soldering</t>
        </is>
      </c>
      <c r="W57" s="3" t="inlineStr">
        <is>
          <t>Repair</t>
        </is>
      </c>
      <c r="X57" s="18" t="n">
        <v>46144</v>
      </c>
      <c r="Y57" s="73">
        <f>IF(X57="","",X57-A57)</f>
        <v/>
      </c>
      <c r="Z57" s="18" t="n">
        <v>46144</v>
      </c>
      <c r="AA57" s="3" t="n"/>
      <c r="AB57" s="3" t="n"/>
      <c r="AF57">
        <f>IF(AND($F57="Closed",$X57&gt;=DATE(2026,5,1),$X57&lt;=DATE(2026,5,31)),"Closed in May","Other")</f>
        <v/>
      </c>
    </row>
    <row r="58">
      <c r="A58" s="6" t="n">
        <v>46107</v>
      </c>
      <c r="B58" s="3" t="n">
        <v>2026</v>
      </c>
      <c r="C58" s="3" t="inlineStr">
        <is>
          <t>Blupine Energy</t>
        </is>
      </c>
      <c r="D58" s="3" t="inlineStr">
        <is>
          <t>Utility and C&amp;I</t>
        </is>
      </c>
      <c r="E58" s="3" t="n"/>
      <c r="F58" s="3" t="inlineStr">
        <is>
          <t>Closed</t>
        </is>
      </c>
      <c r="G58" s="3" t="inlineStr">
        <is>
          <t>Chandrashekar Patidar</t>
        </is>
      </c>
      <c r="H58" s="3" t="n">
        <v>7879764773</v>
      </c>
      <c r="I58" s="11" t="inlineStr">
        <is>
          <t>PE26032601</t>
        </is>
      </c>
      <c r="J58" s="3" t="inlineStr">
        <is>
          <t>Module Diode Failure</t>
        </is>
      </c>
      <c r="K58" s="3" t="inlineStr">
        <is>
          <t>Sadla</t>
        </is>
      </c>
      <c r="L58" s="3" t="inlineStr">
        <is>
          <t>Gujarat</t>
        </is>
      </c>
      <c r="M58" s="9" t="inlineStr">
        <is>
          <t>PNS</t>
        </is>
      </c>
      <c r="N58" s="3" t="inlineStr">
        <is>
          <t>Cold Soldering</t>
        </is>
      </c>
      <c r="O58" s="3" t="n">
        <v>570</v>
      </c>
      <c r="P58" s="9" t="inlineStr">
        <is>
          <t>NSMI24080334590</t>
        </is>
      </c>
      <c r="Q58" s="53">
        <f>MID(P58,5,2)</f>
        <v/>
      </c>
      <c r="R58" s="53">
        <f>MID(P58,7,2)</f>
        <v/>
      </c>
      <c r="S58" s="3" t="inlineStr">
        <is>
          <t>G2G</t>
        </is>
      </c>
      <c r="T58" s="3" t="inlineStr">
        <is>
          <t>P4</t>
        </is>
      </c>
      <c r="U58" s="3" t="inlineStr">
        <is>
          <t>P &amp; N JB Cold Soldering</t>
        </is>
      </c>
      <c r="V58" s="3" t="inlineStr">
        <is>
          <t>Soldering</t>
        </is>
      </c>
      <c r="W58" s="3" t="inlineStr">
        <is>
          <t>Repair</t>
        </is>
      </c>
      <c r="X58" s="18" t="n">
        <v>46144</v>
      </c>
      <c r="Y58" s="73">
        <f>IF(X58="","",X58-A58)</f>
        <v/>
      </c>
      <c r="Z58" s="18" t="n">
        <v>46144</v>
      </c>
      <c r="AA58" s="3" t="n"/>
      <c r="AB58" s="3" t="n"/>
      <c r="AF58">
        <f>IF(AND($F58="Closed",$X58&gt;=DATE(2026,5,1),$X58&lt;=DATE(2026,5,31)),"Closed in May","Other")</f>
        <v/>
      </c>
    </row>
    <row r="59">
      <c r="A59" s="6" t="n">
        <v>46107</v>
      </c>
      <c r="B59" s="3" t="n">
        <v>2026</v>
      </c>
      <c r="C59" s="3" t="inlineStr">
        <is>
          <t>Blupine Energy</t>
        </is>
      </c>
      <c r="D59" s="3" t="inlineStr">
        <is>
          <t>Utility and C&amp;I</t>
        </is>
      </c>
      <c r="E59" s="3" t="n"/>
      <c r="F59" s="3" t="inlineStr">
        <is>
          <t>Closed</t>
        </is>
      </c>
      <c r="G59" s="3" t="inlineStr">
        <is>
          <t>Chandrashekar Patidar</t>
        </is>
      </c>
      <c r="H59" s="3" t="n">
        <v>7879764773</v>
      </c>
      <c r="I59" s="11" t="inlineStr">
        <is>
          <t>PE26032601</t>
        </is>
      </c>
      <c r="J59" s="3" t="inlineStr">
        <is>
          <t>Module Diode Failure</t>
        </is>
      </c>
      <c r="K59" s="3" t="inlineStr">
        <is>
          <t>Sadla</t>
        </is>
      </c>
      <c r="L59" s="3" t="inlineStr">
        <is>
          <t>Gujarat</t>
        </is>
      </c>
      <c r="M59" s="9" t="inlineStr">
        <is>
          <t>NS</t>
        </is>
      </c>
      <c r="N59" s="3" t="inlineStr">
        <is>
          <t>Cold Soldering</t>
        </is>
      </c>
      <c r="O59" s="3" t="n">
        <v>570</v>
      </c>
      <c r="P59" s="9" t="inlineStr">
        <is>
          <t>NSMI24050045988</t>
        </is>
      </c>
      <c r="Q59" s="53">
        <f>MID(P59,5,2)</f>
        <v/>
      </c>
      <c r="R59" s="53">
        <f>MID(P59,7,2)</f>
        <v/>
      </c>
      <c r="S59" s="3" t="inlineStr">
        <is>
          <t>G2G</t>
        </is>
      </c>
      <c r="T59" s="3" t="inlineStr">
        <is>
          <t>P4</t>
        </is>
      </c>
      <c r="U59" s="3" t="inlineStr">
        <is>
          <t>N JB Cold Soldering</t>
        </is>
      </c>
      <c r="V59" s="3" t="inlineStr">
        <is>
          <t>Soldering</t>
        </is>
      </c>
      <c r="W59" s="3" t="inlineStr">
        <is>
          <t>Repair</t>
        </is>
      </c>
      <c r="X59" s="18" t="n">
        <v>46144</v>
      </c>
      <c r="Y59" s="73">
        <f>IF(X59="","",X59-A59)</f>
        <v/>
      </c>
      <c r="Z59" s="18" t="n">
        <v>46144</v>
      </c>
      <c r="AA59" s="3" t="n"/>
      <c r="AB59" s="3" t="n"/>
      <c r="AF59">
        <f>IF(AND($F59="Closed",$X59&gt;=DATE(2026,5,1),$X59&lt;=DATE(2026,5,31)),"Closed in May","Other")</f>
        <v/>
      </c>
    </row>
    <row r="60">
      <c r="A60" s="6" t="n">
        <v>46107</v>
      </c>
      <c r="B60" s="3" t="n">
        <v>2026</v>
      </c>
      <c r="C60" s="3" t="inlineStr">
        <is>
          <t>Blupine Energy</t>
        </is>
      </c>
      <c r="D60" s="3" t="inlineStr">
        <is>
          <t>Utility and C&amp;I</t>
        </is>
      </c>
      <c r="E60" s="3" t="n"/>
      <c r="F60" s="3" t="inlineStr">
        <is>
          <t>Closed</t>
        </is>
      </c>
      <c r="G60" s="3" t="inlineStr">
        <is>
          <t>Chandrashekar Patidar</t>
        </is>
      </c>
      <c r="H60" s="3" t="n">
        <v>7879764773</v>
      </c>
      <c r="I60" s="11" t="inlineStr">
        <is>
          <t>PE26032601</t>
        </is>
      </c>
      <c r="J60" s="3" t="inlineStr">
        <is>
          <t>Module Diode Failure</t>
        </is>
      </c>
      <c r="K60" s="3" t="inlineStr">
        <is>
          <t>Sadla</t>
        </is>
      </c>
      <c r="L60" s="3" t="inlineStr">
        <is>
          <t>Gujarat</t>
        </is>
      </c>
      <c r="M60" s="9" t="inlineStr">
        <is>
          <t>NS</t>
        </is>
      </c>
      <c r="N60" s="3" t="inlineStr">
        <is>
          <t>Cold Soldering</t>
        </is>
      </c>
      <c r="O60" s="3" t="n">
        <v>570</v>
      </c>
      <c r="P60" s="9" t="inlineStr">
        <is>
          <t>NSMI24050045952</t>
        </is>
      </c>
      <c r="Q60" s="53">
        <f>MID(P60,5,2)</f>
        <v/>
      </c>
      <c r="R60" s="53">
        <f>MID(P60,7,2)</f>
        <v/>
      </c>
      <c r="S60" s="3" t="inlineStr">
        <is>
          <t>G2G</t>
        </is>
      </c>
      <c r="T60" s="3" t="inlineStr">
        <is>
          <t>P4</t>
        </is>
      </c>
      <c r="U60" s="3" t="inlineStr">
        <is>
          <t>N JB Cold Soldering</t>
        </is>
      </c>
      <c r="V60" s="3" t="inlineStr">
        <is>
          <t>Soldering</t>
        </is>
      </c>
      <c r="W60" s="3" t="inlineStr">
        <is>
          <t>Repair</t>
        </is>
      </c>
      <c r="X60" s="18" t="n">
        <v>46144</v>
      </c>
      <c r="Y60" s="73">
        <f>IF(X60="","",X60-A60)</f>
        <v/>
      </c>
      <c r="Z60" s="18" t="n">
        <v>46144</v>
      </c>
      <c r="AA60" s="3" t="n"/>
      <c r="AB60" s="3" t="n"/>
      <c r="AF60">
        <f>IF(AND($F60="Closed",$X60&gt;=DATE(2026,5,1),$X60&lt;=DATE(2026,5,31)),"Closed in May","Other")</f>
        <v/>
      </c>
    </row>
    <row r="61">
      <c r="A61" s="6" t="n">
        <v>46107</v>
      </c>
      <c r="B61" s="3" t="n">
        <v>2026</v>
      </c>
      <c r="C61" s="3" t="inlineStr">
        <is>
          <t>Blupine Energy</t>
        </is>
      </c>
      <c r="D61" s="3" t="inlineStr">
        <is>
          <t>Utility and C&amp;I</t>
        </is>
      </c>
      <c r="E61" s="3" t="n"/>
      <c r="F61" s="3" t="inlineStr">
        <is>
          <t>Closed</t>
        </is>
      </c>
      <c r="G61" s="3" t="inlineStr">
        <is>
          <t>Chandrashekar Patidar</t>
        </is>
      </c>
      <c r="H61" s="3" t="n">
        <v>7879764773</v>
      </c>
      <c r="I61" s="11" t="inlineStr">
        <is>
          <t>PE26032601</t>
        </is>
      </c>
      <c r="J61" s="3" t="inlineStr">
        <is>
          <t>Module Diode Failure</t>
        </is>
      </c>
      <c r="K61" s="3" t="inlineStr">
        <is>
          <t>Sadla</t>
        </is>
      </c>
      <c r="L61" s="3" t="inlineStr">
        <is>
          <t>Gujarat</t>
        </is>
      </c>
      <c r="M61" s="9" t="inlineStr">
        <is>
          <t>NS</t>
        </is>
      </c>
      <c r="N61" s="3" t="inlineStr">
        <is>
          <t>Cold Soldering</t>
        </is>
      </c>
      <c r="O61" s="3" t="n">
        <v>570</v>
      </c>
      <c r="P61" s="9" t="inlineStr">
        <is>
          <t>NSMI24050043460</t>
        </is>
      </c>
      <c r="Q61" s="53">
        <f>MID(P61,5,2)</f>
        <v/>
      </c>
      <c r="R61" s="53">
        <f>MID(P61,7,2)</f>
        <v/>
      </c>
      <c r="S61" s="3" t="inlineStr">
        <is>
          <t>G2G</t>
        </is>
      </c>
      <c r="T61" s="3" t="inlineStr">
        <is>
          <t>P4</t>
        </is>
      </c>
      <c r="U61" s="3" t="inlineStr">
        <is>
          <t>N JB Cold Soldering</t>
        </is>
      </c>
      <c r="V61" s="3" t="inlineStr">
        <is>
          <t>Soldering</t>
        </is>
      </c>
      <c r="W61" s="3" t="inlineStr">
        <is>
          <t>Repair</t>
        </is>
      </c>
      <c r="X61" s="18" t="n">
        <v>46144</v>
      </c>
      <c r="Y61" s="73">
        <f>IF(X61="","",X61-A61)</f>
        <v/>
      </c>
      <c r="Z61" s="18" t="n">
        <v>46144</v>
      </c>
      <c r="AA61" s="3" t="n"/>
      <c r="AB61" s="3" t="n"/>
      <c r="AF61">
        <f>IF(AND($F61="Closed",$X61&gt;=DATE(2026,5,1),$X61&lt;=DATE(2026,5,31)),"Closed in May","Other")</f>
        <v/>
      </c>
    </row>
    <row r="62">
      <c r="A62" s="6" t="n">
        <v>46107</v>
      </c>
      <c r="B62" s="3" t="n">
        <v>2026</v>
      </c>
      <c r="C62" s="3" t="inlineStr">
        <is>
          <t>Blupine Energy</t>
        </is>
      </c>
      <c r="D62" s="3" t="inlineStr">
        <is>
          <t>Utility and C&amp;I</t>
        </is>
      </c>
      <c r="E62" s="3" t="n"/>
      <c r="F62" s="3" t="inlineStr">
        <is>
          <t>Closed</t>
        </is>
      </c>
      <c r="G62" s="3" t="inlineStr">
        <is>
          <t>Chandrashekar Patidar</t>
        </is>
      </c>
      <c r="H62" s="3" t="n">
        <v>7879764773</v>
      </c>
      <c r="I62" s="11" t="inlineStr">
        <is>
          <t>PE26032601</t>
        </is>
      </c>
      <c r="J62" s="3" t="inlineStr">
        <is>
          <t>Module Diode Failure</t>
        </is>
      </c>
      <c r="K62" s="3" t="inlineStr">
        <is>
          <t>Sadla</t>
        </is>
      </c>
      <c r="L62" s="3" t="inlineStr">
        <is>
          <t>Gujarat</t>
        </is>
      </c>
      <c r="M62" s="9" t="inlineStr">
        <is>
          <t>NS</t>
        </is>
      </c>
      <c r="N62" s="3" t="inlineStr">
        <is>
          <t>Cold Soldering</t>
        </is>
      </c>
      <c r="O62" s="3" t="n">
        <v>570</v>
      </c>
      <c r="P62" s="9" t="inlineStr">
        <is>
          <t>NSMI24050043452</t>
        </is>
      </c>
      <c r="Q62" s="53">
        <f>MID(P62,5,2)</f>
        <v/>
      </c>
      <c r="R62" s="53">
        <f>MID(P62,7,2)</f>
        <v/>
      </c>
      <c r="S62" s="3" t="inlineStr">
        <is>
          <t>G2G</t>
        </is>
      </c>
      <c r="T62" s="3" t="inlineStr">
        <is>
          <t>P4</t>
        </is>
      </c>
      <c r="U62" s="3" t="inlineStr">
        <is>
          <t>N JB Cold Soldering</t>
        </is>
      </c>
      <c r="V62" s="3" t="inlineStr">
        <is>
          <t>Soldering</t>
        </is>
      </c>
      <c r="W62" s="3" t="inlineStr">
        <is>
          <t>Repair</t>
        </is>
      </c>
      <c r="X62" s="18" t="n">
        <v>46144</v>
      </c>
      <c r="Y62" s="73">
        <f>IF(X62="","",X62-A62)</f>
        <v/>
      </c>
      <c r="Z62" s="18" t="n">
        <v>46144</v>
      </c>
      <c r="AA62" s="3" t="n"/>
      <c r="AB62" s="3" t="n"/>
      <c r="AF62">
        <f>IF(AND($F62="Closed",$X62&gt;=DATE(2026,5,1),$X62&lt;=DATE(2026,5,31)),"Closed in May","Other")</f>
        <v/>
      </c>
    </row>
    <row r="63">
      <c r="A63" s="6" t="n">
        <v>46107</v>
      </c>
      <c r="B63" s="3" t="n">
        <v>2026</v>
      </c>
      <c r="C63" s="3" t="inlineStr">
        <is>
          <t>Blupine Energy</t>
        </is>
      </c>
      <c r="D63" s="3" t="inlineStr">
        <is>
          <t>Utility and C&amp;I</t>
        </is>
      </c>
      <c r="E63" s="3" t="n"/>
      <c r="F63" s="3" t="inlineStr">
        <is>
          <t>Closed</t>
        </is>
      </c>
      <c r="G63" s="3" t="inlineStr">
        <is>
          <t>Chandrashekar Patidar</t>
        </is>
      </c>
      <c r="H63" s="3" t="n">
        <v>7879764773</v>
      </c>
      <c r="I63" s="11" t="inlineStr">
        <is>
          <t>PE26032601</t>
        </is>
      </c>
      <c r="J63" s="3" t="inlineStr">
        <is>
          <t>Module Diode Failure</t>
        </is>
      </c>
      <c r="K63" s="3" t="inlineStr">
        <is>
          <t>Sadla</t>
        </is>
      </c>
      <c r="L63" s="3" t="inlineStr">
        <is>
          <t>Gujarat</t>
        </is>
      </c>
      <c r="M63" s="9" t="inlineStr">
        <is>
          <t>PS</t>
        </is>
      </c>
      <c r="N63" s="3" t="inlineStr">
        <is>
          <t>Cold Soldering</t>
        </is>
      </c>
      <c r="O63" s="3" t="n">
        <v>570</v>
      </c>
      <c r="P63" s="9" t="inlineStr">
        <is>
          <t>NSMI24050052308</t>
        </is>
      </c>
      <c r="Q63" s="53">
        <f>MID(P63,5,2)</f>
        <v/>
      </c>
      <c r="R63" s="53">
        <f>MID(P63,7,2)</f>
        <v/>
      </c>
      <c r="S63" s="3" t="inlineStr">
        <is>
          <t>G2G</t>
        </is>
      </c>
      <c r="T63" s="3" t="inlineStr">
        <is>
          <t>P4</t>
        </is>
      </c>
      <c r="U63" s="3" t="inlineStr">
        <is>
          <t>P JB Cold Soldering</t>
        </is>
      </c>
      <c r="V63" s="3" t="inlineStr">
        <is>
          <t>Soldering</t>
        </is>
      </c>
      <c r="W63" s="3" t="inlineStr">
        <is>
          <t>Repair</t>
        </is>
      </c>
      <c r="X63" s="18" t="n">
        <v>46144</v>
      </c>
      <c r="Y63" s="73">
        <f>IF(X63="","",X63-A63)</f>
        <v/>
      </c>
      <c r="Z63" s="18" t="n">
        <v>46144</v>
      </c>
      <c r="AA63" s="3" t="n"/>
      <c r="AB63" s="3" t="n"/>
      <c r="AF63">
        <f>IF(AND($F63="Closed",$X63&gt;=DATE(2026,5,1),$X63&lt;=DATE(2026,5,31)),"Closed in May","Other")</f>
        <v/>
      </c>
    </row>
    <row r="64">
      <c r="A64" s="6" t="n">
        <v>46107</v>
      </c>
      <c r="B64" s="3" t="n">
        <v>2026</v>
      </c>
      <c r="C64" s="3" t="inlineStr">
        <is>
          <t>Blupine Energy</t>
        </is>
      </c>
      <c r="D64" s="3" t="inlineStr">
        <is>
          <t>Utility and C&amp;I</t>
        </is>
      </c>
      <c r="E64" s="3" t="n"/>
      <c r="F64" s="3" t="inlineStr">
        <is>
          <t>Closed</t>
        </is>
      </c>
      <c r="G64" s="3" t="inlineStr">
        <is>
          <t>Chandrashekar Patidar</t>
        </is>
      </c>
      <c r="H64" s="3" t="n">
        <v>7879764773</v>
      </c>
      <c r="I64" s="11" t="inlineStr">
        <is>
          <t>PE26032601</t>
        </is>
      </c>
      <c r="J64" s="3" t="inlineStr">
        <is>
          <t>Module Diode Failure</t>
        </is>
      </c>
      <c r="K64" s="3" t="inlineStr">
        <is>
          <t>Sadla</t>
        </is>
      </c>
      <c r="L64" s="3" t="inlineStr">
        <is>
          <t>Gujarat</t>
        </is>
      </c>
      <c r="M64" s="9" t="inlineStr">
        <is>
          <t>PNS</t>
        </is>
      </c>
      <c r="N64" s="3" t="inlineStr">
        <is>
          <t>Cold Soldering</t>
        </is>
      </c>
      <c r="O64" s="3" t="n">
        <v>570</v>
      </c>
      <c r="P64" s="9" t="inlineStr">
        <is>
          <t>NSMI24050060341</t>
        </is>
      </c>
      <c r="Q64" s="53">
        <f>MID(P64,5,2)</f>
        <v/>
      </c>
      <c r="R64" s="53">
        <f>MID(P64,7,2)</f>
        <v/>
      </c>
      <c r="S64" s="3" t="inlineStr">
        <is>
          <t>G2G</t>
        </is>
      </c>
      <c r="T64" s="3" t="inlineStr">
        <is>
          <t>P4</t>
        </is>
      </c>
      <c r="U64" s="3" t="inlineStr">
        <is>
          <t>P &amp; N JB Cold Soldering</t>
        </is>
      </c>
      <c r="V64" s="3" t="inlineStr">
        <is>
          <t>Soldering</t>
        </is>
      </c>
      <c r="W64" s="3" t="inlineStr">
        <is>
          <t>Repair</t>
        </is>
      </c>
      <c r="X64" s="18" t="n">
        <v>46144</v>
      </c>
      <c r="Y64" s="73">
        <f>IF(X64="","",X64-A64)</f>
        <v/>
      </c>
      <c r="Z64" s="18" t="n">
        <v>46144</v>
      </c>
      <c r="AA64" s="3" t="n"/>
      <c r="AB64" s="3" t="n"/>
      <c r="AF64">
        <f>IF(AND($F64="Closed",$X64&gt;=DATE(2026,5,1),$X64&lt;=DATE(2026,5,31)),"Closed in May","Other")</f>
        <v/>
      </c>
    </row>
    <row r="65">
      <c r="A65" s="6" t="n">
        <v>46107</v>
      </c>
      <c r="B65" s="3" t="n">
        <v>2026</v>
      </c>
      <c r="C65" s="3" t="inlineStr">
        <is>
          <t>Blupine Energy</t>
        </is>
      </c>
      <c r="D65" s="3" t="inlineStr">
        <is>
          <t>Utility and C&amp;I</t>
        </is>
      </c>
      <c r="E65" s="3" t="n"/>
      <c r="F65" s="3" t="inlineStr">
        <is>
          <t>Closed</t>
        </is>
      </c>
      <c r="G65" s="3" t="inlineStr">
        <is>
          <t>Chandrashekar Patidar</t>
        </is>
      </c>
      <c r="H65" s="3" t="n">
        <v>7879764773</v>
      </c>
      <c r="I65" s="11" t="inlineStr">
        <is>
          <t>PE26032601</t>
        </is>
      </c>
      <c r="J65" s="3" t="inlineStr">
        <is>
          <t>Module Diode Failure</t>
        </is>
      </c>
      <c r="K65" s="3" t="inlineStr">
        <is>
          <t>Sadla</t>
        </is>
      </c>
      <c r="L65" s="3" t="inlineStr">
        <is>
          <t>Gujarat</t>
        </is>
      </c>
      <c r="M65" s="9" t="inlineStr">
        <is>
          <t>NR</t>
        </is>
      </c>
      <c r="N65" s="3" t="inlineStr">
        <is>
          <t>JB Issue</t>
        </is>
      </c>
      <c r="O65" s="3" t="n">
        <v>570</v>
      </c>
      <c r="P65" s="9" t="inlineStr">
        <is>
          <t>NSMI24050043505</t>
        </is>
      </c>
      <c r="Q65" s="53">
        <f>MID(P65,5,2)</f>
        <v/>
      </c>
      <c r="R65" s="53">
        <f>MID(P65,7,2)</f>
        <v/>
      </c>
      <c r="S65" s="3" t="inlineStr">
        <is>
          <t>G2G</t>
        </is>
      </c>
      <c r="T65" s="3" t="inlineStr">
        <is>
          <t>P4</t>
        </is>
      </c>
      <c r="U65" s="3" t="inlineStr">
        <is>
          <t>N JB Issue</t>
        </is>
      </c>
      <c r="V65" s="3" t="inlineStr">
        <is>
          <t>JB Changed</t>
        </is>
      </c>
      <c r="W65" s="3" t="inlineStr">
        <is>
          <t>Repair</t>
        </is>
      </c>
      <c r="X65" s="18" t="n">
        <v>46144</v>
      </c>
      <c r="Y65" s="73">
        <f>IF(X65="","",X65-A65)</f>
        <v/>
      </c>
      <c r="Z65" s="18" t="n">
        <v>46144</v>
      </c>
      <c r="AA65" s="3" t="n"/>
      <c r="AB65" s="3" t="n"/>
      <c r="AF65">
        <f>IF(AND($F65="Closed",$X65&gt;=DATE(2026,5,1),$X65&lt;=DATE(2026,5,31)),"Closed in May","Other")</f>
        <v/>
      </c>
    </row>
    <row r="66">
      <c r="A66" s="6" t="n">
        <v>46107</v>
      </c>
      <c r="B66" s="3" t="n">
        <v>2026</v>
      </c>
      <c r="C66" s="3" t="inlineStr">
        <is>
          <t>Blupine Energy</t>
        </is>
      </c>
      <c r="D66" s="3" t="inlineStr">
        <is>
          <t>Utility and C&amp;I</t>
        </is>
      </c>
      <c r="E66" s="3" t="n"/>
      <c r="F66" s="3" t="inlineStr">
        <is>
          <t>Closed</t>
        </is>
      </c>
      <c r="G66" s="3" t="inlineStr">
        <is>
          <t>Chandrashekar Patidar</t>
        </is>
      </c>
      <c r="H66" s="3" t="n">
        <v>7879764773</v>
      </c>
      <c r="I66" s="11" t="inlineStr">
        <is>
          <t>PE26032601</t>
        </is>
      </c>
      <c r="J66" s="3" t="inlineStr">
        <is>
          <t>Module Diode Failure</t>
        </is>
      </c>
      <c r="K66" s="3" t="inlineStr">
        <is>
          <t>Sadla</t>
        </is>
      </c>
      <c r="L66" s="3" t="inlineStr">
        <is>
          <t>Gujarat</t>
        </is>
      </c>
      <c r="M66" s="9" t="inlineStr">
        <is>
          <t>NS</t>
        </is>
      </c>
      <c r="N66" s="3" t="inlineStr">
        <is>
          <t>Cold Soldering</t>
        </is>
      </c>
      <c r="O66" s="3" t="n">
        <v>570</v>
      </c>
      <c r="P66" s="9" t="inlineStr">
        <is>
          <t>NSMI24050043394</t>
        </is>
      </c>
      <c r="Q66" s="53">
        <f>MID(P66,5,2)</f>
        <v/>
      </c>
      <c r="R66" s="53">
        <f>MID(P66,7,2)</f>
        <v/>
      </c>
      <c r="S66" s="3" t="inlineStr">
        <is>
          <t>G2G</t>
        </is>
      </c>
      <c r="T66" s="3" t="inlineStr">
        <is>
          <t>P4</t>
        </is>
      </c>
      <c r="U66" s="3" t="inlineStr">
        <is>
          <t>N JB Cold Soldering</t>
        </is>
      </c>
      <c r="V66" s="3" t="inlineStr">
        <is>
          <t>Soldering</t>
        </is>
      </c>
      <c r="W66" s="3" t="inlineStr">
        <is>
          <t>Repair</t>
        </is>
      </c>
      <c r="X66" s="18" t="n">
        <v>46144</v>
      </c>
      <c r="Y66" s="73">
        <f>IF(X66="","",X66-A66)</f>
        <v/>
      </c>
      <c r="Z66" s="18" t="n">
        <v>46144</v>
      </c>
      <c r="AA66" s="3" t="n"/>
      <c r="AB66" s="3" t="n"/>
      <c r="AF66">
        <f>IF(AND($F66="Closed",$X66&gt;=DATE(2026,5,1),$X66&lt;=DATE(2026,5,31)),"Closed in May","Other")</f>
        <v/>
      </c>
    </row>
    <row r="67">
      <c r="A67" s="6" t="n">
        <v>46107</v>
      </c>
      <c r="B67" s="3" t="n">
        <v>2026</v>
      </c>
      <c r="C67" s="3" t="inlineStr">
        <is>
          <t>Blupine Energy</t>
        </is>
      </c>
      <c r="D67" s="3" t="inlineStr">
        <is>
          <t>Utility and C&amp;I</t>
        </is>
      </c>
      <c r="E67" s="3" t="n"/>
      <c r="F67" s="3" t="inlineStr">
        <is>
          <t>Closed</t>
        </is>
      </c>
      <c r="G67" s="3" t="inlineStr">
        <is>
          <t>Chandrashekar Patidar</t>
        </is>
      </c>
      <c r="H67" s="3" t="n">
        <v>7879764773</v>
      </c>
      <c r="I67" s="11" t="inlineStr">
        <is>
          <t>PE26032601</t>
        </is>
      </c>
      <c r="J67" s="3" t="inlineStr">
        <is>
          <t>Module Diode Failure</t>
        </is>
      </c>
      <c r="K67" s="3" t="inlineStr">
        <is>
          <t>Sadla</t>
        </is>
      </c>
      <c r="L67" s="3" t="inlineStr">
        <is>
          <t>Gujarat</t>
        </is>
      </c>
      <c r="M67" s="9" t="inlineStr">
        <is>
          <t>PS</t>
        </is>
      </c>
      <c r="N67" s="3" t="inlineStr">
        <is>
          <t>Cold Soldering</t>
        </is>
      </c>
      <c r="O67" s="3" t="n">
        <v>570</v>
      </c>
      <c r="P67" s="9" t="inlineStr">
        <is>
          <t>NSMI24060084965</t>
        </is>
      </c>
      <c r="Q67" s="53">
        <f>MID(P67,5,2)</f>
        <v/>
      </c>
      <c r="R67" s="53">
        <f>MID(P67,7,2)</f>
        <v/>
      </c>
      <c r="S67" s="3" t="inlineStr">
        <is>
          <t>G2G</t>
        </is>
      </c>
      <c r="T67" s="3" t="inlineStr">
        <is>
          <t>P4</t>
        </is>
      </c>
      <c r="U67" s="3" t="inlineStr">
        <is>
          <t>P JB Cold Soldering</t>
        </is>
      </c>
      <c r="V67" s="3" t="inlineStr">
        <is>
          <t>Soldering</t>
        </is>
      </c>
      <c r="W67" s="3" t="inlineStr">
        <is>
          <t>Repair</t>
        </is>
      </c>
      <c r="X67" s="18" t="n">
        <v>46144</v>
      </c>
      <c r="Y67" s="73">
        <f>IF(X67="","",X67-A67)</f>
        <v/>
      </c>
      <c r="Z67" s="18" t="n">
        <v>46144</v>
      </c>
      <c r="AA67" s="3" t="n"/>
      <c r="AB67" s="3" t="n"/>
      <c r="AF67">
        <f>IF(AND($F67="Closed",$X67&gt;=DATE(2026,5,1),$X67&lt;=DATE(2026,5,31)),"Closed in May","Other")</f>
        <v/>
      </c>
    </row>
    <row r="68">
      <c r="A68" s="6" t="n">
        <v>46107</v>
      </c>
      <c r="B68" s="3" t="n">
        <v>2026</v>
      </c>
      <c r="C68" s="3" t="inlineStr">
        <is>
          <t>Blupine Energy</t>
        </is>
      </c>
      <c r="D68" s="3" t="inlineStr">
        <is>
          <t>Utility and C&amp;I</t>
        </is>
      </c>
      <c r="E68" s="3" t="n"/>
      <c r="F68" s="3" t="inlineStr">
        <is>
          <t>Closed</t>
        </is>
      </c>
      <c r="G68" s="3" t="inlineStr">
        <is>
          <t>Chandrashekar Patidar</t>
        </is>
      </c>
      <c r="H68" s="3" t="n">
        <v>7879764773</v>
      </c>
      <c r="I68" s="11" t="inlineStr">
        <is>
          <t>PE26032601</t>
        </is>
      </c>
      <c r="J68" s="3" t="inlineStr">
        <is>
          <t>Module Diode Failure</t>
        </is>
      </c>
      <c r="K68" s="3" t="inlineStr">
        <is>
          <t>Sadla</t>
        </is>
      </c>
      <c r="L68" s="3" t="inlineStr">
        <is>
          <t>Gujarat</t>
        </is>
      </c>
      <c r="M68" s="9" t="inlineStr">
        <is>
          <t>NS</t>
        </is>
      </c>
      <c r="N68" s="3" t="inlineStr">
        <is>
          <t>Cold Soldering</t>
        </is>
      </c>
      <c r="O68" s="3" t="n">
        <v>570</v>
      </c>
      <c r="P68" s="9" t="inlineStr">
        <is>
          <t>NSMI24060081259</t>
        </is>
      </c>
      <c r="Q68" s="53">
        <f>MID(P68,5,2)</f>
        <v/>
      </c>
      <c r="R68" s="53">
        <f>MID(P68,7,2)</f>
        <v/>
      </c>
      <c r="S68" s="3" t="inlineStr">
        <is>
          <t>G2G</t>
        </is>
      </c>
      <c r="T68" s="3" t="inlineStr">
        <is>
          <t>P4</t>
        </is>
      </c>
      <c r="U68" s="3" t="inlineStr">
        <is>
          <t>N JB Cold Soldering</t>
        </is>
      </c>
      <c r="V68" s="3" t="inlineStr">
        <is>
          <t>Soldering</t>
        </is>
      </c>
      <c r="W68" s="3" t="inlineStr">
        <is>
          <t>Repair</t>
        </is>
      </c>
      <c r="X68" s="18" t="n">
        <v>46144</v>
      </c>
      <c r="Y68" s="73">
        <f>IF(X68="","",X68-A68)</f>
        <v/>
      </c>
      <c r="Z68" s="18" t="n">
        <v>46144</v>
      </c>
      <c r="AA68" s="3" t="n"/>
      <c r="AB68" s="3" t="n"/>
      <c r="AF68">
        <f>IF(AND($F68="Closed",$X68&gt;=DATE(2026,5,1),$X68&lt;=DATE(2026,5,31)),"Closed in May","Other")</f>
        <v/>
      </c>
    </row>
    <row r="69">
      <c r="A69" s="6" t="n">
        <v>46107</v>
      </c>
      <c r="B69" s="3" t="n">
        <v>2026</v>
      </c>
      <c r="C69" s="3" t="inlineStr">
        <is>
          <t>Blupine Energy</t>
        </is>
      </c>
      <c r="D69" s="3" t="inlineStr">
        <is>
          <t>Utility and C&amp;I</t>
        </is>
      </c>
      <c r="E69" s="3" t="n"/>
      <c r="F69" s="3" t="inlineStr">
        <is>
          <t>Closed</t>
        </is>
      </c>
      <c r="G69" s="3" t="inlineStr">
        <is>
          <t>Chandrashekar Patidar</t>
        </is>
      </c>
      <c r="H69" s="3" t="n">
        <v>7879764773</v>
      </c>
      <c r="I69" s="11" t="inlineStr">
        <is>
          <t>PE26032601</t>
        </is>
      </c>
      <c r="J69" s="3" t="inlineStr">
        <is>
          <t>Module Diode Failure</t>
        </is>
      </c>
      <c r="K69" s="3" t="inlineStr">
        <is>
          <t>Sadla</t>
        </is>
      </c>
      <c r="L69" s="3" t="inlineStr">
        <is>
          <t>Gujarat</t>
        </is>
      </c>
      <c r="M69" s="9" t="inlineStr">
        <is>
          <t>NS</t>
        </is>
      </c>
      <c r="N69" s="3" t="inlineStr">
        <is>
          <t>Cold Soldering</t>
        </is>
      </c>
      <c r="O69" s="3" t="n">
        <v>570</v>
      </c>
      <c r="P69" s="9" t="inlineStr">
        <is>
          <t>NSMI24060081397</t>
        </is>
      </c>
      <c r="Q69" s="53">
        <f>MID(P69,5,2)</f>
        <v/>
      </c>
      <c r="R69" s="53">
        <f>MID(P69,7,2)</f>
        <v/>
      </c>
      <c r="S69" s="3" t="inlineStr">
        <is>
          <t>G2G</t>
        </is>
      </c>
      <c r="T69" s="3" t="inlineStr">
        <is>
          <t>P4</t>
        </is>
      </c>
      <c r="U69" s="3" t="inlineStr">
        <is>
          <t>N JB Cold Soldering</t>
        </is>
      </c>
      <c r="V69" s="3" t="inlineStr">
        <is>
          <t>Soldering</t>
        </is>
      </c>
      <c r="W69" s="3" t="inlineStr">
        <is>
          <t>Repair</t>
        </is>
      </c>
      <c r="X69" s="18" t="n">
        <v>46144</v>
      </c>
      <c r="Y69" s="73">
        <f>IF(X69="","",X69-A69)</f>
        <v/>
      </c>
      <c r="Z69" s="18" t="n">
        <v>46144</v>
      </c>
      <c r="AA69" s="3" t="n"/>
      <c r="AB69" s="3" t="n"/>
      <c r="AF69">
        <f>IF(AND($F69="Closed",$X69&gt;=DATE(2026,5,1),$X69&lt;=DATE(2026,5,31)),"Closed in May","Other")</f>
        <v/>
      </c>
    </row>
    <row r="70">
      <c r="A70" s="6" t="n">
        <v>46107</v>
      </c>
      <c r="B70" s="3" t="n">
        <v>2026</v>
      </c>
      <c r="C70" s="3" t="inlineStr">
        <is>
          <t>Blupine Energy</t>
        </is>
      </c>
      <c r="D70" s="3" t="inlineStr">
        <is>
          <t>Utility and C&amp;I</t>
        </is>
      </c>
      <c r="E70" s="3" t="n"/>
      <c r="F70" s="3" t="inlineStr">
        <is>
          <t>Closed</t>
        </is>
      </c>
      <c r="G70" s="3" t="inlineStr">
        <is>
          <t>Chandrashekar Patidar</t>
        </is>
      </c>
      <c r="H70" s="3" t="n">
        <v>7879764773</v>
      </c>
      <c r="I70" s="11" t="inlineStr">
        <is>
          <t>PE26032601</t>
        </is>
      </c>
      <c r="J70" s="3" t="inlineStr">
        <is>
          <t>Module Diode Failure</t>
        </is>
      </c>
      <c r="K70" s="3" t="inlineStr">
        <is>
          <t>Sadla</t>
        </is>
      </c>
      <c r="L70" s="3" t="inlineStr">
        <is>
          <t>Gujarat</t>
        </is>
      </c>
      <c r="M70" s="9" t="inlineStr">
        <is>
          <t>NS</t>
        </is>
      </c>
      <c r="N70" s="3" t="inlineStr">
        <is>
          <t>Cold Soldering</t>
        </is>
      </c>
      <c r="O70" s="3" t="n">
        <v>570</v>
      </c>
      <c r="P70" s="9" t="inlineStr">
        <is>
          <t>NSMI24050067381</t>
        </is>
      </c>
      <c r="Q70" s="53">
        <f>MID(P70,5,2)</f>
        <v/>
      </c>
      <c r="R70" s="53">
        <f>MID(P70,7,2)</f>
        <v/>
      </c>
      <c r="S70" s="3" t="inlineStr">
        <is>
          <t>G2G</t>
        </is>
      </c>
      <c r="T70" s="3" t="inlineStr">
        <is>
          <t>P4</t>
        </is>
      </c>
      <c r="U70" s="3" t="inlineStr">
        <is>
          <t>N JB Cold Soldering</t>
        </is>
      </c>
      <c r="V70" s="3" t="inlineStr">
        <is>
          <t>Soldering</t>
        </is>
      </c>
      <c r="W70" s="3" t="inlineStr">
        <is>
          <t>Repair</t>
        </is>
      </c>
      <c r="X70" s="18" t="n">
        <v>46144</v>
      </c>
      <c r="Y70" s="73">
        <f>IF(X70="","",X70-A70)</f>
        <v/>
      </c>
      <c r="Z70" s="18" t="n">
        <v>46144</v>
      </c>
      <c r="AA70" s="3" t="n"/>
      <c r="AB70" s="3" t="n"/>
      <c r="AF70">
        <f>IF(AND($F70="Closed",$X70&gt;=DATE(2026,5,1),$X70&lt;=DATE(2026,5,31)),"Closed in May","Other")</f>
        <v/>
      </c>
    </row>
    <row r="71">
      <c r="A71" s="6" t="n">
        <v>46107</v>
      </c>
      <c r="B71" s="3" t="n">
        <v>2026</v>
      </c>
      <c r="C71" s="3" t="inlineStr">
        <is>
          <t>Blupine Energy</t>
        </is>
      </c>
      <c r="D71" s="3" t="inlineStr">
        <is>
          <t>Utility and C&amp;I</t>
        </is>
      </c>
      <c r="E71" s="3" t="n"/>
      <c r="F71" s="3" t="inlineStr">
        <is>
          <t>Closed</t>
        </is>
      </c>
      <c r="G71" s="3" t="inlineStr">
        <is>
          <t>Chandrashekar Patidar</t>
        </is>
      </c>
      <c r="H71" s="3" t="n">
        <v>7879764773</v>
      </c>
      <c r="I71" s="11" t="inlineStr">
        <is>
          <t>PE26032601</t>
        </is>
      </c>
      <c r="J71" s="3" t="inlineStr">
        <is>
          <t>Module Diode Failure</t>
        </is>
      </c>
      <c r="K71" s="3" t="inlineStr">
        <is>
          <t>Sadla</t>
        </is>
      </c>
      <c r="L71" s="3" t="inlineStr">
        <is>
          <t>Gujarat</t>
        </is>
      </c>
      <c r="M71" s="9" t="inlineStr">
        <is>
          <t>PS</t>
        </is>
      </c>
      <c r="N71" s="3" t="inlineStr">
        <is>
          <t>Cold Soldering</t>
        </is>
      </c>
      <c r="O71" s="3" t="n">
        <v>570</v>
      </c>
      <c r="P71" s="9" t="inlineStr">
        <is>
          <t>NSMI24060082597</t>
        </is>
      </c>
      <c r="Q71" s="53">
        <f>MID(P71,5,2)</f>
        <v/>
      </c>
      <c r="R71" s="53">
        <f>MID(P71,7,2)</f>
        <v/>
      </c>
      <c r="S71" s="3" t="inlineStr">
        <is>
          <t>G2G</t>
        </is>
      </c>
      <c r="T71" s="3" t="inlineStr">
        <is>
          <t>P4</t>
        </is>
      </c>
      <c r="U71" s="3" t="inlineStr">
        <is>
          <t>P JB Cold Soldering</t>
        </is>
      </c>
      <c r="V71" s="3" t="inlineStr">
        <is>
          <t>Soldering</t>
        </is>
      </c>
      <c r="W71" s="3" t="inlineStr">
        <is>
          <t>Repair</t>
        </is>
      </c>
      <c r="X71" s="18" t="n">
        <v>46144</v>
      </c>
      <c r="Y71" s="73">
        <f>IF(X71="","",X71-A71)</f>
        <v/>
      </c>
      <c r="Z71" s="18" t="n">
        <v>46144</v>
      </c>
      <c r="AA71" s="3" t="n"/>
      <c r="AB71" s="3" t="n"/>
      <c r="AF71">
        <f>IF(AND($F71="Closed",$X71&gt;=DATE(2026,5,1),$X71&lt;=DATE(2026,5,31)),"Closed in May","Other")</f>
        <v/>
      </c>
    </row>
    <row r="72">
      <c r="A72" s="6" t="n">
        <v>46107</v>
      </c>
      <c r="B72" s="3" t="n">
        <v>2026</v>
      </c>
      <c r="C72" s="3" t="inlineStr">
        <is>
          <t>Blupine Energy</t>
        </is>
      </c>
      <c r="D72" s="3" t="inlineStr">
        <is>
          <t>Utility and C&amp;I</t>
        </is>
      </c>
      <c r="E72" s="3" t="n"/>
      <c r="F72" s="3" t="inlineStr">
        <is>
          <t>Closed</t>
        </is>
      </c>
      <c r="G72" s="3" t="inlineStr">
        <is>
          <t>Chandrashekar Patidar</t>
        </is>
      </c>
      <c r="H72" s="3" t="n">
        <v>7879764773</v>
      </c>
      <c r="I72" s="11" t="inlineStr">
        <is>
          <t>PE26032601</t>
        </is>
      </c>
      <c r="J72" s="3" t="inlineStr">
        <is>
          <t>Module Diode Failure</t>
        </is>
      </c>
      <c r="K72" s="3" t="inlineStr">
        <is>
          <t>Sadla</t>
        </is>
      </c>
      <c r="L72" s="3" t="inlineStr">
        <is>
          <t>Gujarat</t>
        </is>
      </c>
      <c r="M72" s="9" t="inlineStr">
        <is>
          <t>PS</t>
        </is>
      </c>
      <c r="N72" s="3" t="inlineStr">
        <is>
          <t>Cold Soldering</t>
        </is>
      </c>
      <c r="O72" s="3" t="n">
        <v>570</v>
      </c>
      <c r="P72" s="9" t="inlineStr">
        <is>
          <t>NSMI24060085073</t>
        </is>
      </c>
      <c r="Q72" s="53">
        <f>MID(P72,5,2)</f>
        <v/>
      </c>
      <c r="R72" s="53">
        <f>MID(P72,7,2)</f>
        <v/>
      </c>
      <c r="S72" s="3" t="inlineStr">
        <is>
          <t>G2G</t>
        </is>
      </c>
      <c r="T72" s="3" t="inlineStr">
        <is>
          <t>P4</t>
        </is>
      </c>
      <c r="U72" s="3" t="inlineStr">
        <is>
          <t>P JB Cold Soldering</t>
        </is>
      </c>
      <c r="V72" s="3" t="inlineStr">
        <is>
          <t>Soldering</t>
        </is>
      </c>
      <c r="W72" s="3" t="inlineStr">
        <is>
          <t>Repair</t>
        </is>
      </c>
      <c r="X72" s="18" t="n">
        <v>46144</v>
      </c>
      <c r="Y72" s="73">
        <f>IF(X72="","",X72-A72)</f>
        <v/>
      </c>
      <c r="Z72" s="18" t="n">
        <v>46144</v>
      </c>
      <c r="AA72" s="3" t="n"/>
      <c r="AB72" s="3" t="n"/>
      <c r="AF72">
        <f>IF(AND($F72="Closed",$X72&gt;=DATE(2026,5,1),$X72&lt;=DATE(2026,5,31)),"Closed in May","Other")</f>
        <v/>
      </c>
    </row>
    <row r="73">
      <c r="A73" s="6" t="n">
        <v>46107</v>
      </c>
      <c r="B73" s="3" t="n">
        <v>2026</v>
      </c>
      <c r="C73" s="3" t="inlineStr">
        <is>
          <t>Blupine Energy</t>
        </is>
      </c>
      <c r="D73" s="3" t="inlineStr">
        <is>
          <t>Utility and C&amp;I</t>
        </is>
      </c>
      <c r="E73" s="3" t="n"/>
      <c r="F73" s="3" t="inlineStr">
        <is>
          <t>Closed</t>
        </is>
      </c>
      <c r="G73" s="3" t="inlineStr">
        <is>
          <t>Chandrashekar Patidar</t>
        </is>
      </c>
      <c r="H73" s="3" t="n">
        <v>7879764773</v>
      </c>
      <c r="I73" s="11" t="inlineStr">
        <is>
          <t>PE26032601</t>
        </is>
      </c>
      <c r="J73" s="3" t="inlineStr">
        <is>
          <t>Module Diode Failure</t>
        </is>
      </c>
      <c r="K73" s="3" t="inlineStr">
        <is>
          <t>Sadla</t>
        </is>
      </c>
      <c r="L73" s="3" t="inlineStr">
        <is>
          <t>Gujarat</t>
        </is>
      </c>
      <c r="M73" s="9" t="inlineStr">
        <is>
          <t>PS</t>
        </is>
      </c>
      <c r="N73" s="3" t="inlineStr">
        <is>
          <t>Cold Soldering</t>
        </is>
      </c>
      <c r="O73" s="3" t="n">
        <v>570</v>
      </c>
      <c r="P73" s="9" t="inlineStr">
        <is>
          <t>NSMI24060085081</t>
        </is>
      </c>
      <c r="Q73" s="53">
        <f>MID(P73,5,2)</f>
        <v/>
      </c>
      <c r="R73" s="53">
        <f>MID(P73,7,2)</f>
        <v/>
      </c>
      <c r="S73" s="3" t="inlineStr">
        <is>
          <t>G2G</t>
        </is>
      </c>
      <c r="T73" s="3" t="inlineStr">
        <is>
          <t>P4</t>
        </is>
      </c>
      <c r="U73" s="3" t="inlineStr">
        <is>
          <t>P JB Cold Soldering</t>
        </is>
      </c>
      <c r="V73" s="3" t="inlineStr">
        <is>
          <t>Soldering</t>
        </is>
      </c>
      <c r="W73" s="3" t="inlineStr">
        <is>
          <t>Repair</t>
        </is>
      </c>
      <c r="X73" s="18" t="n">
        <v>46144</v>
      </c>
      <c r="Y73" s="73">
        <f>IF(X73="","",X73-A73)</f>
        <v/>
      </c>
      <c r="Z73" s="18" t="n">
        <v>46144</v>
      </c>
      <c r="AA73" s="3" t="n"/>
      <c r="AB73" s="3" t="n"/>
      <c r="AF73">
        <f>IF(AND($F73="Closed",$X73&gt;=DATE(2026,5,1),$X73&lt;=DATE(2026,5,31)),"Closed in May","Other")</f>
        <v/>
      </c>
    </row>
    <row r="74">
      <c r="A74" s="6" t="n">
        <v>46107</v>
      </c>
      <c r="B74" s="3" t="n">
        <v>2026</v>
      </c>
      <c r="C74" s="3" t="inlineStr">
        <is>
          <t>Blupine Energy</t>
        </is>
      </c>
      <c r="D74" s="3" t="inlineStr">
        <is>
          <t>Utility and C&amp;I</t>
        </is>
      </c>
      <c r="E74" s="3" t="n"/>
      <c r="F74" s="3" t="inlineStr">
        <is>
          <t>Closed</t>
        </is>
      </c>
      <c r="G74" s="3" t="inlineStr">
        <is>
          <t>Chandrashekar Patidar</t>
        </is>
      </c>
      <c r="H74" s="3" t="n">
        <v>7879764773</v>
      </c>
      <c r="I74" s="11" t="inlineStr">
        <is>
          <t>PE26032601</t>
        </is>
      </c>
      <c r="J74" s="3" t="inlineStr">
        <is>
          <t>Module Diode Failure</t>
        </is>
      </c>
      <c r="K74" s="3" t="inlineStr">
        <is>
          <t>Sadla</t>
        </is>
      </c>
      <c r="L74" s="3" t="inlineStr">
        <is>
          <t>Gujarat</t>
        </is>
      </c>
      <c r="M74" s="9" t="inlineStr">
        <is>
          <t>PNS</t>
        </is>
      </c>
      <c r="N74" s="3" t="inlineStr">
        <is>
          <t>Cold Soldering</t>
        </is>
      </c>
      <c r="O74" s="3" t="n">
        <v>570</v>
      </c>
      <c r="P74" s="9" t="inlineStr">
        <is>
          <t>NSMI24050049464</t>
        </is>
      </c>
      <c r="Q74" s="53">
        <f>MID(P74,5,2)</f>
        <v/>
      </c>
      <c r="R74" s="53">
        <f>MID(P74,7,2)</f>
        <v/>
      </c>
      <c r="S74" s="3" t="inlineStr">
        <is>
          <t>G2G</t>
        </is>
      </c>
      <c r="T74" s="3" t="inlineStr">
        <is>
          <t>P4</t>
        </is>
      </c>
      <c r="U74" s="3" t="inlineStr">
        <is>
          <t>P &amp; N JB Cold Soldering</t>
        </is>
      </c>
      <c r="V74" s="3" t="inlineStr">
        <is>
          <t>Soldering</t>
        </is>
      </c>
      <c r="W74" s="3" t="inlineStr">
        <is>
          <t>Repair</t>
        </is>
      </c>
      <c r="X74" s="18" t="n">
        <v>46144</v>
      </c>
      <c r="Y74" s="73">
        <f>IF(X74="","",X74-A74)</f>
        <v/>
      </c>
      <c r="Z74" s="18" t="n">
        <v>46144</v>
      </c>
      <c r="AA74" s="3" t="n"/>
      <c r="AB74" s="3" t="n"/>
      <c r="AF74">
        <f>IF(AND($F74="Closed",$X74&gt;=DATE(2026,5,1),$X74&lt;=DATE(2026,5,31)),"Closed in May","Other")</f>
        <v/>
      </c>
    </row>
    <row r="75">
      <c r="A75" s="6" t="n">
        <v>46107</v>
      </c>
      <c r="B75" s="3" t="n">
        <v>2026</v>
      </c>
      <c r="C75" s="3" t="inlineStr">
        <is>
          <t>Blupine Energy</t>
        </is>
      </c>
      <c r="D75" s="3" t="inlineStr">
        <is>
          <t>Utility and C&amp;I</t>
        </is>
      </c>
      <c r="E75" s="3" t="n"/>
      <c r="F75" s="3" t="inlineStr">
        <is>
          <t>Closed</t>
        </is>
      </c>
      <c r="G75" s="3" t="inlineStr">
        <is>
          <t>Chandrashekar Patidar</t>
        </is>
      </c>
      <c r="H75" s="3" t="n">
        <v>7879764773</v>
      </c>
      <c r="I75" s="11" t="inlineStr">
        <is>
          <t>PE26032601</t>
        </is>
      </c>
      <c r="J75" s="3" t="inlineStr">
        <is>
          <t>Module Diode Failure</t>
        </is>
      </c>
      <c r="K75" s="3" t="inlineStr">
        <is>
          <t>Sadla</t>
        </is>
      </c>
      <c r="L75" s="3" t="inlineStr">
        <is>
          <t>Gujarat</t>
        </is>
      </c>
      <c r="M75" s="9" t="inlineStr">
        <is>
          <t>NS</t>
        </is>
      </c>
      <c r="N75" s="3" t="inlineStr">
        <is>
          <t>Cold Soldering</t>
        </is>
      </c>
      <c r="O75" s="3" t="n">
        <v>570</v>
      </c>
      <c r="P75" s="9" t="inlineStr">
        <is>
          <t>NSMI24050045774</t>
        </is>
      </c>
      <c r="Q75" s="53">
        <f>MID(P75,5,2)</f>
        <v/>
      </c>
      <c r="R75" s="53">
        <f>MID(P75,7,2)</f>
        <v/>
      </c>
      <c r="S75" s="3" t="inlineStr">
        <is>
          <t>G2G</t>
        </is>
      </c>
      <c r="T75" s="3" t="inlineStr">
        <is>
          <t>P4</t>
        </is>
      </c>
      <c r="U75" s="3" t="inlineStr">
        <is>
          <t>N JB Cold Soldering</t>
        </is>
      </c>
      <c r="V75" s="3" t="inlineStr">
        <is>
          <t>Soldering</t>
        </is>
      </c>
      <c r="W75" s="3" t="inlineStr">
        <is>
          <t>Repair</t>
        </is>
      </c>
      <c r="X75" s="18" t="n">
        <v>46144</v>
      </c>
      <c r="Y75" s="73">
        <f>IF(X75="","",X75-A75)</f>
        <v/>
      </c>
      <c r="Z75" s="18" t="n">
        <v>46144</v>
      </c>
      <c r="AA75" s="3" t="n"/>
      <c r="AB75" s="3" t="n"/>
      <c r="AF75">
        <f>IF(AND($F75="Closed",$X75&gt;=DATE(2026,5,1),$X75&lt;=DATE(2026,5,31)),"Closed in May","Other")</f>
        <v/>
      </c>
    </row>
    <row r="76">
      <c r="A76" s="6" t="n">
        <v>46107</v>
      </c>
      <c r="B76" s="3" t="n">
        <v>2026</v>
      </c>
      <c r="C76" s="3" t="inlineStr">
        <is>
          <t>Blupine Energy</t>
        </is>
      </c>
      <c r="D76" s="3" t="inlineStr">
        <is>
          <t>Utility and C&amp;I</t>
        </is>
      </c>
      <c r="E76" s="3" t="n"/>
      <c r="F76" s="3" t="inlineStr">
        <is>
          <t>Closed</t>
        </is>
      </c>
      <c r="G76" s="3" t="inlineStr">
        <is>
          <t>Chandrashekar Patidar</t>
        </is>
      </c>
      <c r="H76" s="3" t="n">
        <v>7879764773</v>
      </c>
      <c r="I76" s="11" t="inlineStr">
        <is>
          <t>PE26032601</t>
        </is>
      </c>
      <c r="J76" s="3" t="inlineStr">
        <is>
          <t>Module Diode Failure</t>
        </is>
      </c>
      <c r="K76" s="3" t="inlineStr">
        <is>
          <t>Sadla</t>
        </is>
      </c>
      <c r="L76" s="3" t="inlineStr">
        <is>
          <t>Gujarat</t>
        </is>
      </c>
      <c r="M76" s="9" t="inlineStr">
        <is>
          <t>NS</t>
        </is>
      </c>
      <c r="N76" s="3" t="inlineStr">
        <is>
          <t>Cold Soldering</t>
        </is>
      </c>
      <c r="O76" s="3" t="n">
        <v>570</v>
      </c>
      <c r="P76" s="9" t="inlineStr">
        <is>
          <t>NSMI24050045770</t>
        </is>
      </c>
      <c r="Q76" s="53">
        <f>MID(P76,5,2)</f>
        <v/>
      </c>
      <c r="R76" s="53">
        <f>MID(P76,7,2)</f>
        <v/>
      </c>
      <c r="S76" s="3" t="inlineStr">
        <is>
          <t>G2G</t>
        </is>
      </c>
      <c r="T76" s="3" t="inlineStr">
        <is>
          <t>P4</t>
        </is>
      </c>
      <c r="U76" s="3" t="inlineStr">
        <is>
          <t>N JB Cold Soldering</t>
        </is>
      </c>
      <c r="V76" s="3" t="inlineStr">
        <is>
          <t>Soldering</t>
        </is>
      </c>
      <c r="W76" s="3" t="inlineStr">
        <is>
          <t>Repair</t>
        </is>
      </c>
      <c r="X76" s="18" t="n">
        <v>46144</v>
      </c>
      <c r="Y76" s="73">
        <f>IF(X76="","",X76-A76)</f>
        <v/>
      </c>
      <c r="Z76" s="18" t="n">
        <v>46144</v>
      </c>
      <c r="AA76" s="3" t="n"/>
      <c r="AB76" s="3" t="n"/>
      <c r="AF76">
        <f>IF(AND($F76="Closed",$X76&gt;=DATE(2026,5,1),$X76&lt;=DATE(2026,5,31)),"Closed in May","Other")</f>
        <v/>
      </c>
    </row>
    <row r="77">
      <c r="A77" s="6" t="n">
        <v>46107</v>
      </c>
      <c r="B77" s="3" t="n">
        <v>2026</v>
      </c>
      <c r="C77" s="3" t="inlineStr">
        <is>
          <t>Blupine Energy</t>
        </is>
      </c>
      <c r="D77" s="3" t="inlineStr">
        <is>
          <t>Utility and C&amp;I</t>
        </is>
      </c>
      <c r="E77" s="3" t="n"/>
      <c r="F77" s="3" t="inlineStr">
        <is>
          <t>Closed</t>
        </is>
      </c>
      <c r="G77" s="3" t="inlineStr">
        <is>
          <t>Chandrashekar Patidar</t>
        </is>
      </c>
      <c r="H77" s="3" t="n">
        <v>7879764773</v>
      </c>
      <c r="I77" s="11" t="inlineStr">
        <is>
          <t>PE26032601</t>
        </is>
      </c>
      <c r="J77" s="3" t="inlineStr">
        <is>
          <t>Module Diode Failure</t>
        </is>
      </c>
      <c r="K77" s="3" t="inlineStr">
        <is>
          <t>Sadla</t>
        </is>
      </c>
      <c r="L77" s="3" t="inlineStr">
        <is>
          <t>Gujarat</t>
        </is>
      </c>
      <c r="M77" s="9" t="inlineStr">
        <is>
          <t>NS</t>
        </is>
      </c>
      <c r="N77" s="3" t="inlineStr">
        <is>
          <t>Cold Soldering</t>
        </is>
      </c>
      <c r="O77" s="3" t="n">
        <v>570</v>
      </c>
      <c r="P77" s="9" t="inlineStr">
        <is>
          <t>NSMI24050045782</t>
        </is>
      </c>
      <c r="Q77" s="53">
        <f>MID(P77,5,2)</f>
        <v/>
      </c>
      <c r="R77" s="53">
        <f>MID(P77,7,2)</f>
        <v/>
      </c>
      <c r="S77" s="3" t="inlineStr">
        <is>
          <t>G2G</t>
        </is>
      </c>
      <c r="T77" s="3" t="inlineStr">
        <is>
          <t>P4</t>
        </is>
      </c>
      <c r="U77" s="3" t="inlineStr">
        <is>
          <t>N JB Cold Soldering</t>
        </is>
      </c>
      <c r="V77" s="3" t="inlineStr">
        <is>
          <t>Soldering</t>
        </is>
      </c>
      <c r="W77" s="3" t="inlineStr">
        <is>
          <t>Repair</t>
        </is>
      </c>
      <c r="X77" s="18" t="n">
        <v>46144</v>
      </c>
      <c r="Y77" s="73">
        <f>IF(X77="","",X77-A77)</f>
        <v/>
      </c>
      <c r="Z77" s="18" t="n">
        <v>46144</v>
      </c>
      <c r="AA77" s="3" t="n"/>
      <c r="AB77" s="3" t="n"/>
      <c r="AF77">
        <f>IF(AND($F77="Closed",$X77&gt;=DATE(2026,5,1),$X77&lt;=DATE(2026,5,31)),"Closed in May","Other")</f>
        <v/>
      </c>
    </row>
    <row r="78">
      <c r="A78" s="6" t="n">
        <v>46107</v>
      </c>
      <c r="B78" s="3" t="n">
        <v>2026</v>
      </c>
      <c r="C78" s="3" t="inlineStr">
        <is>
          <t>Blupine Energy</t>
        </is>
      </c>
      <c r="D78" s="3" t="inlineStr">
        <is>
          <t>Utility and C&amp;I</t>
        </is>
      </c>
      <c r="E78" s="3" t="n"/>
      <c r="F78" s="3" t="inlineStr">
        <is>
          <t>Closed</t>
        </is>
      </c>
      <c r="G78" s="3" t="inlineStr">
        <is>
          <t>Chandrashekar Patidar</t>
        </is>
      </c>
      <c r="H78" s="3" t="n">
        <v>7879764773</v>
      </c>
      <c r="I78" s="11" t="inlineStr">
        <is>
          <t>PE26032601</t>
        </is>
      </c>
      <c r="J78" s="3" t="inlineStr">
        <is>
          <t>Module Diode Failure</t>
        </is>
      </c>
      <c r="K78" s="3" t="inlineStr">
        <is>
          <t>Sadla</t>
        </is>
      </c>
      <c r="L78" s="3" t="inlineStr">
        <is>
          <t>Gujarat</t>
        </is>
      </c>
      <c r="M78" s="9" t="inlineStr">
        <is>
          <t>NS</t>
        </is>
      </c>
      <c r="N78" s="3" t="inlineStr">
        <is>
          <t>Cold Soldering</t>
        </is>
      </c>
      <c r="O78" s="3" t="n">
        <v>570</v>
      </c>
      <c r="P78" s="9" t="inlineStr">
        <is>
          <t>NSMI24050066024</t>
        </is>
      </c>
      <c r="Q78" s="53">
        <f>MID(P78,5,2)</f>
        <v/>
      </c>
      <c r="R78" s="53">
        <f>MID(P78,7,2)</f>
        <v/>
      </c>
      <c r="S78" s="3" t="inlineStr">
        <is>
          <t>G2G</t>
        </is>
      </c>
      <c r="T78" s="3" t="inlineStr">
        <is>
          <t>P4</t>
        </is>
      </c>
      <c r="U78" s="3" t="inlineStr">
        <is>
          <t>N JB Cold Soldering</t>
        </is>
      </c>
      <c r="V78" s="3" t="inlineStr">
        <is>
          <t>Soldering</t>
        </is>
      </c>
      <c r="W78" s="3" t="inlineStr">
        <is>
          <t>Repair</t>
        </is>
      </c>
      <c r="X78" s="18" t="n">
        <v>46144</v>
      </c>
      <c r="Y78" s="73">
        <f>IF(X78="","",X78-A78)</f>
        <v/>
      </c>
      <c r="Z78" s="18" t="n">
        <v>46144</v>
      </c>
      <c r="AA78" s="3" t="n"/>
      <c r="AB78" s="3" t="n"/>
      <c r="AF78">
        <f>IF(AND($F78="Closed",$X78&gt;=DATE(2026,5,1),$X78&lt;=DATE(2026,5,31)),"Closed in May","Other")</f>
        <v/>
      </c>
    </row>
    <row r="79">
      <c r="A79" s="6" t="n">
        <v>46107</v>
      </c>
      <c r="B79" s="3" t="n">
        <v>2026</v>
      </c>
      <c r="C79" s="3" t="inlineStr">
        <is>
          <t>Blupine Energy</t>
        </is>
      </c>
      <c r="D79" s="3" t="inlineStr">
        <is>
          <t>Utility and C&amp;I</t>
        </is>
      </c>
      <c r="E79" s="3" t="n"/>
      <c r="F79" s="3" t="inlineStr">
        <is>
          <t>Closed</t>
        </is>
      </c>
      <c r="G79" s="3" t="inlineStr">
        <is>
          <t>Chandrashekar Patidar</t>
        </is>
      </c>
      <c r="H79" s="3" t="n">
        <v>7879764773</v>
      </c>
      <c r="I79" s="11" t="inlineStr">
        <is>
          <t>PE26032601</t>
        </is>
      </c>
      <c r="J79" s="3" t="inlineStr">
        <is>
          <t>Module Diode Failure</t>
        </is>
      </c>
      <c r="K79" s="3" t="inlineStr">
        <is>
          <t>Sadla</t>
        </is>
      </c>
      <c r="L79" s="3" t="inlineStr">
        <is>
          <t>Gujarat</t>
        </is>
      </c>
      <c r="M79" s="9" t="inlineStr">
        <is>
          <t>NS</t>
        </is>
      </c>
      <c r="N79" s="3" t="inlineStr">
        <is>
          <t>Cold Soldering</t>
        </is>
      </c>
      <c r="O79" s="3" t="n">
        <v>570</v>
      </c>
      <c r="P79" s="9" t="inlineStr">
        <is>
          <t>NSMI24050058831</t>
        </is>
      </c>
      <c r="Q79" s="53">
        <f>MID(P79,5,2)</f>
        <v/>
      </c>
      <c r="R79" s="53">
        <f>MID(P79,7,2)</f>
        <v/>
      </c>
      <c r="S79" s="3" t="inlineStr">
        <is>
          <t>G2G</t>
        </is>
      </c>
      <c r="T79" s="3" t="inlineStr">
        <is>
          <t>P4</t>
        </is>
      </c>
      <c r="U79" s="3" t="inlineStr">
        <is>
          <t>N JB Cold Soldering</t>
        </is>
      </c>
      <c r="V79" s="3" t="inlineStr">
        <is>
          <t>Soldering</t>
        </is>
      </c>
      <c r="W79" s="3" t="inlineStr">
        <is>
          <t>Repair</t>
        </is>
      </c>
      <c r="X79" s="18" t="n">
        <v>46144</v>
      </c>
      <c r="Y79" s="73">
        <f>IF(X79="","",X79-A79)</f>
        <v/>
      </c>
      <c r="Z79" s="18" t="n">
        <v>46144</v>
      </c>
      <c r="AA79" s="3" t="n"/>
      <c r="AB79" s="3" t="n"/>
      <c r="AF79">
        <f>IF(AND($F79="Closed",$X79&gt;=DATE(2026,5,1),$X79&lt;=DATE(2026,5,31)),"Closed in May","Other")</f>
        <v/>
      </c>
    </row>
    <row r="80">
      <c r="A80" s="6" t="n">
        <v>46107</v>
      </c>
      <c r="B80" s="3" t="n">
        <v>2026</v>
      </c>
      <c r="C80" s="3" t="inlineStr">
        <is>
          <t>Blupine Energy</t>
        </is>
      </c>
      <c r="D80" s="3" t="inlineStr">
        <is>
          <t>Utility and C&amp;I</t>
        </is>
      </c>
      <c r="E80" s="3" t="n"/>
      <c r="F80" s="3" t="inlineStr">
        <is>
          <t>Closed</t>
        </is>
      </c>
      <c r="G80" s="3" t="inlineStr">
        <is>
          <t>Chandrashekar Patidar</t>
        </is>
      </c>
      <c r="H80" s="3" t="n">
        <v>7879764773</v>
      </c>
      <c r="I80" s="11" t="inlineStr">
        <is>
          <t>PE26032601</t>
        </is>
      </c>
      <c r="J80" s="3" t="inlineStr">
        <is>
          <t>Module Diode Failure</t>
        </is>
      </c>
      <c r="K80" s="3" t="inlineStr">
        <is>
          <t>Sadla</t>
        </is>
      </c>
      <c r="L80" s="3" t="inlineStr">
        <is>
          <t>Gujarat</t>
        </is>
      </c>
      <c r="M80" s="9" t="inlineStr">
        <is>
          <t>NS</t>
        </is>
      </c>
      <c r="N80" s="3" t="inlineStr">
        <is>
          <t>Cold Soldering</t>
        </is>
      </c>
      <c r="O80" s="3" t="n">
        <v>570</v>
      </c>
      <c r="P80" s="9" t="inlineStr">
        <is>
          <t>NSMI24050043474</t>
        </is>
      </c>
      <c r="Q80" s="53">
        <f>MID(P80,5,2)</f>
        <v/>
      </c>
      <c r="R80" s="53">
        <f>MID(P80,7,2)</f>
        <v/>
      </c>
      <c r="S80" s="3" t="inlineStr">
        <is>
          <t>G2G</t>
        </is>
      </c>
      <c r="T80" s="3" t="inlineStr">
        <is>
          <t>P4</t>
        </is>
      </c>
      <c r="U80" s="3" t="inlineStr">
        <is>
          <t>N JB Cold Soldering</t>
        </is>
      </c>
      <c r="V80" s="3" t="inlineStr">
        <is>
          <t>Soldering</t>
        </is>
      </c>
      <c r="W80" s="3" t="inlineStr">
        <is>
          <t>Repair</t>
        </is>
      </c>
      <c r="X80" s="18" t="n">
        <v>46144</v>
      </c>
      <c r="Y80" s="73">
        <f>IF(X80="","",X80-A80)</f>
        <v/>
      </c>
      <c r="Z80" s="18" t="n">
        <v>46144</v>
      </c>
      <c r="AA80" s="3" t="n"/>
      <c r="AB80" s="3" t="n"/>
      <c r="AF80">
        <f>IF(AND($F80="Closed",$X80&gt;=DATE(2026,5,1),$X80&lt;=DATE(2026,5,31)),"Closed in May","Other")</f>
        <v/>
      </c>
    </row>
    <row r="81">
      <c r="A81" s="6" t="n">
        <v>46107</v>
      </c>
      <c r="B81" s="3" t="n">
        <v>2026</v>
      </c>
      <c r="C81" s="3" t="inlineStr">
        <is>
          <t>Blupine Energy</t>
        </is>
      </c>
      <c r="D81" s="3" t="inlineStr">
        <is>
          <t>Utility and C&amp;I</t>
        </is>
      </c>
      <c r="E81" s="3" t="n"/>
      <c r="F81" s="3" t="inlineStr">
        <is>
          <t>Closed</t>
        </is>
      </c>
      <c r="G81" s="3" t="inlineStr">
        <is>
          <t>Chandrashekar Patidar</t>
        </is>
      </c>
      <c r="H81" s="3" t="n">
        <v>7879764773</v>
      </c>
      <c r="I81" s="11" t="inlineStr">
        <is>
          <t>PE26032601</t>
        </is>
      </c>
      <c r="J81" s="3" t="inlineStr">
        <is>
          <t>Module Diode Failure</t>
        </is>
      </c>
      <c r="K81" s="3" t="inlineStr">
        <is>
          <t>Sadla</t>
        </is>
      </c>
      <c r="L81" s="3" t="inlineStr">
        <is>
          <t>Gujarat</t>
        </is>
      </c>
      <c r="M81" s="9" t="inlineStr">
        <is>
          <t>NS</t>
        </is>
      </c>
      <c r="N81" s="3" t="inlineStr">
        <is>
          <t>Cold Soldering</t>
        </is>
      </c>
      <c r="O81" s="3" t="n">
        <v>570</v>
      </c>
      <c r="P81" s="9" t="inlineStr">
        <is>
          <t>NSMI24050046080</t>
        </is>
      </c>
      <c r="Q81" s="53">
        <f>MID(P81,5,2)</f>
        <v/>
      </c>
      <c r="R81" s="53">
        <f>MID(P81,7,2)</f>
        <v/>
      </c>
      <c r="S81" s="3" t="inlineStr">
        <is>
          <t>G2G</t>
        </is>
      </c>
      <c r="T81" s="3" t="inlineStr">
        <is>
          <t>P4</t>
        </is>
      </c>
      <c r="U81" s="3" t="inlineStr">
        <is>
          <t>N JB Cold Soldering</t>
        </is>
      </c>
      <c r="V81" s="3" t="inlineStr">
        <is>
          <t>Soldering</t>
        </is>
      </c>
      <c r="W81" s="3" t="inlineStr">
        <is>
          <t>Repair</t>
        </is>
      </c>
      <c r="X81" s="18" t="n">
        <v>46144</v>
      </c>
      <c r="Y81" s="73">
        <f>IF(X81="","",X81-A81)</f>
        <v/>
      </c>
      <c r="Z81" s="18" t="n">
        <v>46144</v>
      </c>
      <c r="AA81" s="3" t="n"/>
      <c r="AB81" s="3" t="n"/>
      <c r="AF81">
        <f>IF(AND($F81="Closed",$X81&gt;=DATE(2026,5,1),$X81&lt;=DATE(2026,5,31)),"Closed in May","Other")</f>
        <v/>
      </c>
    </row>
    <row r="82">
      <c r="A82" s="6" t="n">
        <v>46107</v>
      </c>
      <c r="B82" s="3" t="n">
        <v>2026</v>
      </c>
      <c r="C82" s="3" t="inlineStr">
        <is>
          <t>Blupine Energy</t>
        </is>
      </c>
      <c r="D82" s="3" t="inlineStr">
        <is>
          <t>Utility and C&amp;I</t>
        </is>
      </c>
      <c r="E82" s="3" t="n"/>
      <c r="F82" s="3" t="inlineStr">
        <is>
          <t>Closed</t>
        </is>
      </c>
      <c r="G82" s="3" t="inlineStr">
        <is>
          <t>Chandrashekar Patidar</t>
        </is>
      </c>
      <c r="H82" s="3" t="n">
        <v>7879764773</v>
      </c>
      <c r="I82" s="11" t="inlineStr">
        <is>
          <t>PE26032601</t>
        </is>
      </c>
      <c r="J82" s="3" t="inlineStr">
        <is>
          <t>Module Diode Failure</t>
        </is>
      </c>
      <c r="K82" s="3" t="inlineStr">
        <is>
          <t>Sadla</t>
        </is>
      </c>
      <c r="L82" s="3" t="inlineStr">
        <is>
          <t>Gujarat</t>
        </is>
      </c>
      <c r="M82" s="9" t="inlineStr">
        <is>
          <t>NS</t>
        </is>
      </c>
      <c r="N82" s="3" t="inlineStr">
        <is>
          <t>Cold Soldering</t>
        </is>
      </c>
      <c r="O82" s="3" t="n">
        <v>570</v>
      </c>
      <c r="P82" s="9" t="inlineStr">
        <is>
          <t>NSMI24060111391</t>
        </is>
      </c>
      <c r="Q82" s="53">
        <f>MID(P82,5,2)</f>
        <v/>
      </c>
      <c r="R82" s="53">
        <f>MID(P82,7,2)</f>
        <v/>
      </c>
      <c r="S82" s="3" t="inlineStr">
        <is>
          <t>G2G</t>
        </is>
      </c>
      <c r="T82" s="3" t="inlineStr">
        <is>
          <t>P4</t>
        </is>
      </c>
      <c r="U82" s="3" t="inlineStr">
        <is>
          <t>N JB Cold Soldering</t>
        </is>
      </c>
      <c r="V82" s="3" t="inlineStr">
        <is>
          <t>Soldering</t>
        </is>
      </c>
      <c r="W82" s="3" t="inlineStr">
        <is>
          <t>Repair</t>
        </is>
      </c>
      <c r="X82" s="18" t="n">
        <v>46144</v>
      </c>
      <c r="Y82" s="73">
        <f>IF(X82="","",X82-A82)</f>
        <v/>
      </c>
      <c r="Z82" s="18" t="n">
        <v>46144</v>
      </c>
      <c r="AA82" s="3" t="n"/>
      <c r="AB82" s="3" t="n"/>
      <c r="AF82">
        <f>IF(AND($F82="Closed",$X82&gt;=DATE(2026,5,1),$X82&lt;=DATE(2026,5,31)),"Closed in May","Other")</f>
        <v/>
      </c>
    </row>
    <row r="83">
      <c r="A83" s="6" t="n">
        <v>46107</v>
      </c>
      <c r="B83" s="3" t="n">
        <v>2026</v>
      </c>
      <c r="C83" s="3" t="inlineStr">
        <is>
          <t>Blupine Energy</t>
        </is>
      </c>
      <c r="D83" s="3" t="inlineStr">
        <is>
          <t>Utility and C&amp;I</t>
        </is>
      </c>
      <c r="E83" s="3" t="n"/>
      <c r="F83" s="3" t="inlineStr">
        <is>
          <t>Closed</t>
        </is>
      </c>
      <c r="G83" s="3" t="inlineStr">
        <is>
          <t>Chandrashekar Patidar</t>
        </is>
      </c>
      <c r="H83" s="3" t="n">
        <v>7879764773</v>
      </c>
      <c r="I83" s="11" t="inlineStr">
        <is>
          <t>PE26032601</t>
        </is>
      </c>
      <c r="J83" s="3" t="inlineStr">
        <is>
          <t>Module Diode Failure</t>
        </is>
      </c>
      <c r="K83" s="3" t="inlineStr">
        <is>
          <t>Sadla</t>
        </is>
      </c>
      <c r="L83" s="3" t="inlineStr">
        <is>
          <t>Gujarat</t>
        </is>
      </c>
      <c r="M83" s="9" t="inlineStr">
        <is>
          <t>NS</t>
        </is>
      </c>
      <c r="N83" s="3" t="inlineStr">
        <is>
          <t>Cold Soldering</t>
        </is>
      </c>
      <c r="O83" s="3" t="n">
        <v>570</v>
      </c>
      <c r="P83" s="9" t="inlineStr">
        <is>
          <t>NSMI24060074003</t>
        </is>
      </c>
      <c r="Q83" s="53">
        <f>MID(P83,5,2)</f>
        <v/>
      </c>
      <c r="R83" s="53">
        <f>MID(P83,7,2)</f>
        <v/>
      </c>
      <c r="S83" s="3" t="inlineStr">
        <is>
          <t>G2G</t>
        </is>
      </c>
      <c r="T83" s="3" t="inlineStr">
        <is>
          <t>P4</t>
        </is>
      </c>
      <c r="U83" s="3" t="inlineStr">
        <is>
          <t>N JB Cold Soldering</t>
        </is>
      </c>
      <c r="V83" s="3" t="inlineStr">
        <is>
          <t>Soldering</t>
        </is>
      </c>
      <c r="W83" s="3" t="inlineStr">
        <is>
          <t>Repair</t>
        </is>
      </c>
      <c r="X83" s="18" t="n">
        <v>46144</v>
      </c>
      <c r="Y83" s="73">
        <f>IF(X83="","",X83-A83)</f>
        <v/>
      </c>
      <c r="Z83" s="18" t="n">
        <v>46144</v>
      </c>
      <c r="AA83" s="3" t="n"/>
      <c r="AB83" s="3" t="n"/>
      <c r="AF83">
        <f>IF(AND($F83="Closed",$X83&gt;=DATE(2026,5,1),$X83&lt;=DATE(2026,5,31)),"Closed in May","Other")</f>
        <v/>
      </c>
    </row>
    <row r="84">
      <c r="A84" s="6" t="n">
        <v>46107</v>
      </c>
      <c r="B84" s="3" t="n">
        <v>2026</v>
      </c>
      <c r="C84" s="3" t="inlineStr">
        <is>
          <t>Blupine Energy</t>
        </is>
      </c>
      <c r="D84" s="3" t="inlineStr">
        <is>
          <t>Utility and C&amp;I</t>
        </is>
      </c>
      <c r="E84" s="3" t="n"/>
      <c r="F84" s="3" t="inlineStr">
        <is>
          <t>Closed</t>
        </is>
      </c>
      <c r="G84" s="3" t="inlineStr">
        <is>
          <t>Chandrashekar Patidar</t>
        </is>
      </c>
      <c r="H84" s="3" t="n">
        <v>7879764773</v>
      </c>
      <c r="I84" s="11" t="inlineStr">
        <is>
          <t>PE26032601</t>
        </is>
      </c>
      <c r="J84" s="3" t="inlineStr">
        <is>
          <t>Module Diode Failure</t>
        </is>
      </c>
      <c r="K84" s="3" t="inlineStr">
        <is>
          <t>Sadla</t>
        </is>
      </c>
      <c r="L84" s="3" t="inlineStr">
        <is>
          <t>Gujarat</t>
        </is>
      </c>
      <c r="M84" s="9" t="inlineStr">
        <is>
          <t>NS</t>
        </is>
      </c>
      <c r="N84" s="3" t="inlineStr">
        <is>
          <t>Cold Soldering</t>
        </is>
      </c>
      <c r="O84" s="3" t="n">
        <v>570</v>
      </c>
      <c r="P84" s="9" t="inlineStr">
        <is>
          <t>NSMI24060078840</t>
        </is>
      </c>
      <c r="Q84" s="53">
        <f>MID(P84,5,2)</f>
        <v/>
      </c>
      <c r="R84" s="53">
        <f>MID(P84,7,2)</f>
        <v/>
      </c>
      <c r="S84" s="3" t="inlineStr">
        <is>
          <t>G2G</t>
        </is>
      </c>
      <c r="T84" s="3" t="inlineStr">
        <is>
          <t>P4</t>
        </is>
      </c>
      <c r="U84" s="3" t="inlineStr">
        <is>
          <t>N JB Cold Soldering</t>
        </is>
      </c>
      <c r="V84" s="3" t="inlineStr">
        <is>
          <t>Soldering</t>
        </is>
      </c>
      <c r="W84" s="3" t="inlineStr">
        <is>
          <t>Repair</t>
        </is>
      </c>
      <c r="X84" s="18" t="n">
        <v>46144</v>
      </c>
      <c r="Y84" s="73">
        <f>IF(X84="","",X84-A84)</f>
        <v/>
      </c>
      <c r="Z84" s="18" t="n">
        <v>46144</v>
      </c>
      <c r="AA84" s="3" t="n"/>
      <c r="AB84" s="3" t="n"/>
      <c r="AF84">
        <f>IF(AND($F84="Closed",$X84&gt;=DATE(2026,5,1),$X84&lt;=DATE(2026,5,31)),"Closed in May","Other")</f>
        <v/>
      </c>
    </row>
    <row r="85">
      <c r="A85" s="6" t="n">
        <v>46107</v>
      </c>
      <c r="B85" s="3" t="n">
        <v>2026</v>
      </c>
      <c r="C85" s="3" t="inlineStr">
        <is>
          <t>Blupine Energy</t>
        </is>
      </c>
      <c r="D85" s="3" t="inlineStr">
        <is>
          <t>Utility and C&amp;I</t>
        </is>
      </c>
      <c r="E85" s="3" t="n"/>
      <c r="F85" s="3" t="inlineStr">
        <is>
          <t>Closed</t>
        </is>
      </c>
      <c r="G85" s="3" t="inlineStr">
        <is>
          <t>Chandrashekar Patidar</t>
        </is>
      </c>
      <c r="H85" s="3" t="n">
        <v>7879764773</v>
      </c>
      <c r="I85" s="11" t="inlineStr">
        <is>
          <t>PE26032601</t>
        </is>
      </c>
      <c r="J85" s="3" t="inlineStr">
        <is>
          <t>Module Diode Failure</t>
        </is>
      </c>
      <c r="K85" s="3" t="inlineStr">
        <is>
          <t>Sadla</t>
        </is>
      </c>
      <c r="L85" s="3" t="inlineStr">
        <is>
          <t>Gujarat</t>
        </is>
      </c>
      <c r="M85" s="9" t="inlineStr">
        <is>
          <t>PS</t>
        </is>
      </c>
      <c r="N85" s="3" t="inlineStr">
        <is>
          <t>Cold Soldering</t>
        </is>
      </c>
      <c r="O85" s="3" t="n">
        <v>570</v>
      </c>
      <c r="P85" s="9" t="inlineStr">
        <is>
          <t>NSMI24060078853</t>
        </is>
      </c>
      <c r="Q85" s="53">
        <f>MID(P85,5,2)</f>
        <v/>
      </c>
      <c r="R85" s="53">
        <f>MID(P85,7,2)</f>
        <v/>
      </c>
      <c r="S85" s="3" t="inlineStr">
        <is>
          <t>G2G</t>
        </is>
      </c>
      <c r="T85" s="3" t="inlineStr">
        <is>
          <t>P4</t>
        </is>
      </c>
      <c r="U85" s="3" t="inlineStr">
        <is>
          <t>P JB Cold Soldering</t>
        </is>
      </c>
      <c r="V85" s="3" t="inlineStr">
        <is>
          <t>Soldering</t>
        </is>
      </c>
      <c r="W85" s="3" t="inlineStr">
        <is>
          <t>Repair</t>
        </is>
      </c>
      <c r="X85" s="18" t="n">
        <v>46144</v>
      </c>
      <c r="Y85" s="73">
        <f>IF(X85="","",X85-A85)</f>
        <v/>
      </c>
      <c r="Z85" s="18" t="n">
        <v>46144</v>
      </c>
      <c r="AA85" s="3" t="n"/>
      <c r="AB85" s="3" t="n"/>
      <c r="AF85">
        <f>IF(AND($F85="Closed",$X85&gt;=DATE(2026,5,1),$X85&lt;=DATE(2026,5,31)),"Closed in May","Other")</f>
        <v/>
      </c>
    </row>
    <row r="86">
      <c r="A86" s="6" t="n">
        <v>46107</v>
      </c>
      <c r="B86" s="3" t="n">
        <v>2026</v>
      </c>
      <c r="C86" s="3" t="inlineStr">
        <is>
          <t>Blupine Energy</t>
        </is>
      </c>
      <c r="D86" s="3" t="inlineStr">
        <is>
          <t>Utility and C&amp;I</t>
        </is>
      </c>
      <c r="E86" s="3" t="n"/>
      <c r="F86" s="3" t="inlineStr">
        <is>
          <t>Closed</t>
        </is>
      </c>
      <c r="G86" s="3" t="inlineStr">
        <is>
          <t>Chandrashekar Patidar</t>
        </is>
      </c>
      <c r="H86" s="3" t="n">
        <v>7879764773</v>
      </c>
      <c r="I86" s="11" t="inlineStr">
        <is>
          <t>PE26032601</t>
        </is>
      </c>
      <c r="J86" s="3" t="inlineStr">
        <is>
          <t>Module Diode Failure</t>
        </is>
      </c>
      <c r="K86" s="3" t="inlineStr">
        <is>
          <t>Sadla</t>
        </is>
      </c>
      <c r="L86" s="3" t="inlineStr">
        <is>
          <t>Gujarat</t>
        </is>
      </c>
      <c r="M86" s="9" t="inlineStr">
        <is>
          <t>NS</t>
        </is>
      </c>
      <c r="N86" s="3" t="inlineStr">
        <is>
          <t>Cold Soldering</t>
        </is>
      </c>
      <c r="O86" s="3" t="n">
        <v>570</v>
      </c>
      <c r="P86" s="9" t="inlineStr">
        <is>
          <t>NSMI24060077093</t>
        </is>
      </c>
      <c r="Q86" s="53">
        <f>MID(P86,5,2)</f>
        <v/>
      </c>
      <c r="R86" s="53">
        <f>MID(P86,7,2)</f>
        <v/>
      </c>
      <c r="S86" s="3" t="inlineStr">
        <is>
          <t>G2G</t>
        </is>
      </c>
      <c r="T86" s="3" t="inlineStr">
        <is>
          <t>P4</t>
        </is>
      </c>
      <c r="U86" s="3" t="inlineStr">
        <is>
          <t>N JB Cold Soldering</t>
        </is>
      </c>
      <c r="V86" s="3" t="inlineStr">
        <is>
          <t>Soldering</t>
        </is>
      </c>
      <c r="W86" s="3" t="inlineStr">
        <is>
          <t>Repair</t>
        </is>
      </c>
      <c r="X86" s="18" t="n">
        <v>46144</v>
      </c>
      <c r="Y86" s="73">
        <f>IF(X86="","",X86-A86)</f>
        <v/>
      </c>
      <c r="Z86" s="18" t="n">
        <v>46144</v>
      </c>
      <c r="AA86" s="3" t="n"/>
      <c r="AB86" s="3" t="n"/>
      <c r="AF86">
        <f>IF(AND($F86="Closed",$X86&gt;=DATE(2026,5,1),$X86&lt;=DATE(2026,5,31)),"Closed in May","Other")</f>
        <v/>
      </c>
    </row>
    <row r="87">
      <c r="A87" s="6" t="n">
        <v>46107</v>
      </c>
      <c r="B87" s="3" t="n">
        <v>2026</v>
      </c>
      <c r="C87" s="3" t="inlineStr">
        <is>
          <t>Blupine Energy</t>
        </is>
      </c>
      <c r="D87" s="3" t="inlineStr">
        <is>
          <t>Utility and C&amp;I</t>
        </is>
      </c>
      <c r="E87" s="3" t="n"/>
      <c r="F87" s="3" t="inlineStr">
        <is>
          <t>Closed</t>
        </is>
      </c>
      <c r="G87" s="3" t="inlineStr">
        <is>
          <t>Chandrashekar Patidar</t>
        </is>
      </c>
      <c r="H87" s="3" t="n">
        <v>7879764773</v>
      </c>
      <c r="I87" s="11" t="inlineStr">
        <is>
          <t>PE26032601</t>
        </is>
      </c>
      <c r="J87" s="3" t="inlineStr">
        <is>
          <t>Module Diode Failure</t>
        </is>
      </c>
      <c r="K87" s="3" t="inlineStr">
        <is>
          <t>Sadla</t>
        </is>
      </c>
      <c r="L87" s="3" t="inlineStr">
        <is>
          <t>Gujarat</t>
        </is>
      </c>
      <c r="M87" s="9" t="inlineStr">
        <is>
          <t>NS</t>
        </is>
      </c>
      <c r="N87" s="3" t="inlineStr">
        <is>
          <t>Cold Soldering</t>
        </is>
      </c>
      <c r="O87" s="3" t="n">
        <v>570</v>
      </c>
      <c r="P87" s="9" t="inlineStr">
        <is>
          <t>NSMI24050046857</t>
        </is>
      </c>
      <c r="Q87" s="53">
        <f>MID(P87,5,2)</f>
        <v/>
      </c>
      <c r="R87" s="53">
        <f>MID(P87,7,2)</f>
        <v/>
      </c>
      <c r="S87" s="3" t="inlineStr">
        <is>
          <t>G2G</t>
        </is>
      </c>
      <c r="T87" s="3" t="inlineStr">
        <is>
          <t>P4</t>
        </is>
      </c>
      <c r="U87" s="3" t="inlineStr">
        <is>
          <t>N JB Cold Soldering</t>
        </is>
      </c>
      <c r="V87" s="3" t="inlineStr">
        <is>
          <t>Soldering</t>
        </is>
      </c>
      <c r="W87" s="3" t="inlineStr">
        <is>
          <t>Repair</t>
        </is>
      </c>
      <c r="X87" s="18" t="n">
        <v>46144</v>
      </c>
      <c r="Y87" s="73">
        <f>IF(X87="","",X87-A87)</f>
        <v/>
      </c>
      <c r="Z87" s="18" t="n">
        <v>46144</v>
      </c>
      <c r="AA87" s="3" t="n"/>
      <c r="AB87" s="3" t="n"/>
      <c r="AF87">
        <f>IF(AND($F87="Closed",$X87&gt;=DATE(2026,5,1),$X87&lt;=DATE(2026,5,31)),"Closed in May","Other")</f>
        <v/>
      </c>
    </row>
    <row r="88">
      <c r="A88" s="6" t="n">
        <v>46107</v>
      </c>
      <c r="B88" s="3" t="n">
        <v>2026</v>
      </c>
      <c r="C88" s="3" t="inlineStr">
        <is>
          <t>Blupine Energy</t>
        </is>
      </c>
      <c r="D88" s="3" t="inlineStr">
        <is>
          <t>Utility and C&amp;I</t>
        </is>
      </c>
      <c r="E88" s="3" t="n"/>
      <c r="F88" s="3" t="inlineStr">
        <is>
          <t>Closed</t>
        </is>
      </c>
      <c r="G88" s="3" t="inlineStr">
        <is>
          <t>Chandrashekar Patidar</t>
        </is>
      </c>
      <c r="H88" s="3" t="n">
        <v>7879764773</v>
      </c>
      <c r="I88" s="11" t="inlineStr">
        <is>
          <t>PE26032601</t>
        </is>
      </c>
      <c r="J88" s="3" t="inlineStr">
        <is>
          <t>Module Diode Failure</t>
        </is>
      </c>
      <c r="K88" s="3" t="inlineStr">
        <is>
          <t>Sadla</t>
        </is>
      </c>
      <c r="L88" s="3" t="inlineStr">
        <is>
          <t>Gujarat</t>
        </is>
      </c>
      <c r="M88" s="9" t="inlineStr">
        <is>
          <t xml:space="preserve">NS </t>
        </is>
      </c>
      <c r="N88" s="3" t="inlineStr">
        <is>
          <t>Cold Soldering</t>
        </is>
      </c>
      <c r="O88" s="3" t="n">
        <v>570</v>
      </c>
      <c r="P88" s="9" t="inlineStr">
        <is>
          <t>NSMI24050046889</t>
        </is>
      </c>
      <c r="Q88" s="53">
        <f>MID(P88,5,2)</f>
        <v/>
      </c>
      <c r="R88" s="53">
        <f>MID(P88,7,2)</f>
        <v/>
      </c>
      <c r="S88" s="3" t="inlineStr">
        <is>
          <t>G2G</t>
        </is>
      </c>
      <c r="T88" s="3" t="inlineStr">
        <is>
          <t>P4</t>
        </is>
      </c>
      <c r="U88" s="3" t="inlineStr">
        <is>
          <t>N JB Cold Soldering</t>
        </is>
      </c>
      <c r="V88" s="3" t="inlineStr">
        <is>
          <t>Soldering</t>
        </is>
      </c>
      <c r="W88" s="3" t="inlineStr">
        <is>
          <t>Repair</t>
        </is>
      </c>
      <c r="X88" s="18" t="n">
        <v>46144</v>
      </c>
      <c r="Y88" s="73">
        <f>IF(X88="","",X88-A88)</f>
        <v/>
      </c>
      <c r="Z88" s="18" t="n">
        <v>46144</v>
      </c>
      <c r="AA88" s="3" t="n"/>
      <c r="AB88" s="3" t="n"/>
      <c r="AF88">
        <f>IF(AND($F88="Closed",$X88&gt;=DATE(2026,5,1),$X88&lt;=DATE(2026,5,31)),"Closed in May","Other")</f>
        <v/>
      </c>
    </row>
    <row r="89">
      <c r="A89" s="6" t="n">
        <v>46107</v>
      </c>
      <c r="B89" s="3" t="n">
        <v>2026</v>
      </c>
      <c r="C89" s="3" t="inlineStr">
        <is>
          <t>Blupine Energy</t>
        </is>
      </c>
      <c r="D89" s="3" t="inlineStr">
        <is>
          <t>Utility and C&amp;I</t>
        </is>
      </c>
      <c r="E89" s="3" t="n"/>
      <c r="F89" s="3" t="inlineStr">
        <is>
          <t>Closed</t>
        </is>
      </c>
      <c r="G89" s="3" t="inlineStr">
        <is>
          <t>Chandrashekar Patidar</t>
        </is>
      </c>
      <c r="H89" s="3" t="n">
        <v>7879764773</v>
      </c>
      <c r="I89" s="11" t="inlineStr">
        <is>
          <t>PE26032601</t>
        </is>
      </c>
      <c r="J89" s="3" t="inlineStr">
        <is>
          <t>Module Diode Failure</t>
        </is>
      </c>
      <c r="K89" s="3" t="inlineStr">
        <is>
          <t>Sadla</t>
        </is>
      </c>
      <c r="L89" s="3" t="inlineStr">
        <is>
          <t>Gujarat</t>
        </is>
      </c>
      <c r="M89" s="9" t="inlineStr">
        <is>
          <t xml:space="preserve">NS </t>
        </is>
      </c>
      <c r="N89" s="3" t="inlineStr">
        <is>
          <t>Cold Soldering</t>
        </is>
      </c>
      <c r="O89" s="3" t="n">
        <v>570</v>
      </c>
      <c r="P89" s="9" t="inlineStr">
        <is>
          <t>NSMI24050046914</t>
        </is>
      </c>
      <c r="Q89" s="53">
        <f>MID(P89,5,2)</f>
        <v/>
      </c>
      <c r="R89" s="53">
        <f>MID(P89,7,2)</f>
        <v/>
      </c>
      <c r="S89" s="3" t="inlineStr">
        <is>
          <t>G2G</t>
        </is>
      </c>
      <c r="T89" s="3" t="inlineStr">
        <is>
          <t>P4</t>
        </is>
      </c>
      <c r="U89" s="3" t="inlineStr">
        <is>
          <t>N JB Cold Soldering</t>
        </is>
      </c>
      <c r="V89" s="3" t="inlineStr">
        <is>
          <t>Soldering</t>
        </is>
      </c>
      <c r="W89" s="3" t="inlineStr">
        <is>
          <t>Repair</t>
        </is>
      </c>
      <c r="X89" s="18" t="n">
        <v>46144</v>
      </c>
      <c r="Y89" s="73">
        <f>IF(X89="","",X89-A89)</f>
        <v/>
      </c>
      <c r="Z89" s="18" t="n">
        <v>46144</v>
      </c>
      <c r="AA89" s="3" t="n"/>
      <c r="AB89" s="3" t="n"/>
      <c r="AF89">
        <f>IF(AND($F89="Closed",$X89&gt;=DATE(2026,5,1),$X89&lt;=DATE(2026,5,31)),"Closed in May","Other")</f>
        <v/>
      </c>
    </row>
    <row r="90">
      <c r="A90" s="6" t="n">
        <v>46107</v>
      </c>
      <c r="B90" s="3" t="n">
        <v>2026</v>
      </c>
      <c r="C90" s="3" t="inlineStr">
        <is>
          <t>Blupine Energy</t>
        </is>
      </c>
      <c r="D90" s="3" t="inlineStr">
        <is>
          <t>Utility and C&amp;I</t>
        </is>
      </c>
      <c r="E90" s="3" t="n"/>
      <c r="F90" s="3" t="inlineStr">
        <is>
          <t>Closed</t>
        </is>
      </c>
      <c r="G90" s="3" t="inlineStr">
        <is>
          <t>Chandrashekar Patidar</t>
        </is>
      </c>
      <c r="H90" s="3" t="n">
        <v>7879764773</v>
      </c>
      <c r="I90" s="11" t="inlineStr">
        <is>
          <t>PE26032601</t>
        </is>
      </c>
      <c r="J90" s="3" t="inlineStr">
        <is>
          <t>Module Diode Failure</t>
        </is>
      </c>
      <c r="K90" s="3" t="inlineStr">
        <is>
          <t>Sadla</t>
        </is>
      </c>
      <c r="L90" s="3" t="inlineStr">
        <is>
          <t>Gujarat</t>
        </is>
      </c>
      <c r="M90" s="9" t="inlineStr">
        <is>
          <t xml:space="preserve">NS </t>
        </is>
      </c>
      <c r="N90" s="3" t="inlineStr">
        <is>
          <t>Cold Soldering</t>
        </is>
      </c>
      <c r="O90" s="3" t="n">
        <v>570</v>
      </c>
      <c r="P90" s="9" t="inlineStr">
        <is>
          <t>NSMI24050065998</t>
        </is>
      </c>
      <c r="Q90" s="53">
        <f>MID(P90,5,2)</f>
        <v/>
      </c>
      <c r="R90" s="53">
        <f>MID(P90,7,2)</f>
        <v/>
      </c>
      <c r="S90" s="3" t="inlineStr">
        <is>
          <t>G2G</t>
        </is>
      </c>
      <c r="T90" s="3" t="inlineStr">
        <is>
          <t>P4</t>
        </is>
      </c>
      <c r="U90" s="3" t="inlineStr">
        <is>
          <t>N JB Cold Soldering</t>
        </is>
      </c>
      <c r="V90" s="3" t="inlineStr">
        <is>
          <t>Soldering</t>
        </is>
      </c>
      <c r="W90" s="3" t="inlineStr">
        <is>
          <t>Repair</t>
        </is>
      </c>
      <c r="X90" s="18" t="n">
        <v>46144</v>
      </c>
      <c r="Y90" s="73">
        <f>IF(X90="","",X90-A90)</f>
        <v/>
      </c>
      <c r="Z90" s="18" t="n">
        <v>46144</v>
      </c>
      <c r="AA90" s="15" t="n"/>
      <c r="AB90" s="15" t="n"/>
      <c r="AF90">
        <f>IF(AND($F90="Closed",$X90&gt;=DATE(2026,5,1),$X90&lt;=DATE(2026,5,31)),"Closed in May","Other")</f>
        <v/>
      </c>
    </row>
    <row r="91">
      <c r="A91" s="6" t="n">
        <v>46107</v>
      </c>
      <c r="B91" s="3" t="n">
        <v>2026</v>
      </c>
      <c r="C91" s="3" t="inlineStr">
        <is>
          <t>Blupine Energy</t>
        </is>
      </c>
      <c r="D91" s="3" t="inlineStr">
        <is>
          <t>Utility and C&amp;I</t>
        </is>
      </c>
      <c r="E91" s="3" t="n"/>
      <c r="F91" s="3" t="inlineStr">
        <is>
          <t>Closed</t>
        </is>
      </c>
      <c r="G91" s="3" t="inlineStr">
        <is>
          <t>Chandrashekar Patidar</t>
        </is>
      </c>
      <c r="H91" s="3" t="n">
        <v>7879764773</v>
      </c>
      <c r="I91" s="11" t="inlineStr">
        <is>
          <t>PE26032601</t>
        </is>
      </c>
      <c r="J91" s="3" t="inlineStr">
        <is>
          <t>Module Diode Failure</t>
        </is>
      </c>
      <c r="K91" s="3" t="inlineStr">
        <is>
          <t>Sadla</t>
        </is>
      </c>
      <c r="L91" s="3" t="inlineStr">
        <is>
          <t>Gujarat</t>
        </is>
      </c>
      <c r="M91" s="9" t="inlineStr">
        <is>
          <t>PS</t>
        </is>
      </c>
      <c r="N91" s="3" t="inlineStr">
        <is>
          <t>Cold Soldering</t>
        </is>
      </c>
      <c r="O91" s="3" t="n">
        <v>570</v>
      </c>
      <c r="P91" s="9" t="inlineStr">
        <is>
          <t>NSMI24050066028</t>
        </is>
      </c>
      <c r="Q91" s="53">
        <f>MID(P91,5,2)</f>
        <v/>
      </c>
      <c r="R91" s="53">
        <f>MID(P91,7,2)</f>
        <v/>
      </c>
      <c r="S91" s="3" t="inlineStr">
        <is>
          <t>G2G</t>
        </is>
      </c>
      <c r="T91" s="3" t="inlineStr">
        <is>
          <t>P4</t>
        </is>
      </c>
      <c r="U91" s="3" t="inlineStr">
        <is>
          <t>P JB Cold Soldering</t>
        </is>
      </c>
      <c r="V91" s="3" t="inlineStr">
        <is>
          <t>Soldering</t>
        </is>
      </c>
      <c r="W91" s="3" t="inlineStr">
        <is>
          <t>Repair</t>
        </is>
      </c>
      <c r="X91" s="18" t="n">
        <v>46144</v>
      </c>
      <c r="Y91" s="73">
        <f>IF(X91="","",X91-A91)</f>
        <v/>
      </c>
      <c r="Z91" s="18" t="n">
        <v>46144</v>
      </c>
      <c r="AA91" s="3" t="n"/>
      <c r="AB91" s="3" t="n"/>
      <c r="AF91">
        <f>IF(AND($F91="Closed",$X91&gt;=DATE(2026,5,1),$X91&lt;=DATE(2026,5,31)),"Closed in May","Other")</f>
        <v/>
      </c>
    </row>
    <row r="92">
      <c r="A92" s="6" t="n">
        <v>46107</v>
      </c>
      <c r="B92" s="3" t="n">
        <v>2026</v>
      </c>
      <c r="C92" s="3" t="inlineStr">
        <is>
          <t>Blupine Energy</t>
        </is>
      </c>
      <c r="D92" s="3" t="inlineStr">
        <is>
          <t>Utility and C&amp;I</t>
        </is>
      </c>
      <c r="E92" s="3" t="n"/>
      <c r="F92" s="3" t="inlineStr">
        <is>
          <t>Closed</t>
        </is>
      </c>
      <c r="G92" s="3" t="inlineStr">
        <is>
          <t>Chandrashekar Patidar</t>
        </is>
      </c>
      <c r="H92" s="3" t="n">
        <v>7879764773</v>
      </c>
      <c r="I92" s="11" t="inlineStr">
        <is>
          <t>PE26032601</t>
        </is>
      </c>
      <c r="J92" s="3" t="inlineStr">
        <is>
          <t>Module Diode Failure</t>
        </is>
      </c>
      <c r="K92" s="3" t="inlineStr">
        <is>
          <t>Sadla</t>
        </is>
      </c>
      <c r="L92" s="3" t="inlineStr">
        <is>
          <t>Gujarat</t>
        </is>
      </c>
      <c r="M92" s="9" t="inlineStr">
        <is>
          <t>PS</t>
        </is>
      </c>
      <c r="N92" s="3" t="inlineStr">
        <is>
          <t>Cold Soldering</t>
        </is>
      </c>
      <c r="O92" s="3" t="n">
        <v>570</v>
      </c>
      <c r="P92" s="9" t="inlineStr">
        <is>
          <t>NSMI24060082702</t>
        </is>
      </c>
      <c r="Q92" s="53">
        <f>MID(P92,5,2)</f>
        <v/>
      </c>
      <c r="R92" s="53">
        <f>MID(P92,7,2)</f>
        <v/>
      </c>
      <c r="S92" s="3" t="inlineStr">
        <is>
          <t>G2G</t>
        </is>
      </c>
      <c r="T92" s="3" t="inlineStr">
        <is>
          <t>P4</t>
        </is>
      </c>
      <c r="U92" s="3" t="inlineStr">
        <is>
          <t>P JB Cold Soldering</t>
        </is>
      </c>
      <c r="V92" s="3" t="inlineStr">
        <is>
          <t>Soldering</t>
        </is>
      </c>
      <c r="W92" s="3" t="inlineStr">
        <is>
          <t>Repair</t>
        </is>
      </c>
      <c r="X92" s="18" t="n">
        <v>46144</v>
      </c>
      <c r="Y92" s="73">
        <f>IF(X92="","",X92-A92)</f>
        <v/>
      </c>
      <c r="Z92" s="18" t="n">
        <v>46144</v>
      </c>
      <c r="AA92" s="15" t="n"/>
      <c r="AB92" s="15" t="n"/>
      <c r="AF92">
        <f>IF(AND($F92="Closed",$X92&gt;=DATE(2026,5,1),$X92&lt;=DATE(2026,5,31)),"Closed in May","Other")</f>
        <v/>
      </c>
    </row>
    <row r="93">
      <c r="A93" s="6" t="n">
        <v>46107</v>
      </c>
      <c r="B93" s="3" t="n">
        <v>2026</v>
      </c>
      <c r="C93" s="3" t="inlineStr">
        <is>
          <t>Blupine Energy</t>
        </is>
      </c>
      <c r="D93" s="3" t="inlineStr">
        <is>
          <t>Utility and C&amp;I</t>
        </is>
      </c>
      <c r="E93" s="3" t="n"/>
      <c r="F93" s="3" t="inlineStr">
        <is>
          <t>Closed</t>
        </is>
      </c>
      <c r="G93" s="3" t="inlineStr">
        <is>
          <t>Chandrashekar Patidar</t>
        </is>
      </c>
      <c r="H93" s="3" t="n">
        <v>7879764773</v>
      </c>
      <c r="I93" s="11" t="inlineStr">
        <is>
          <t>PE26032601</t>
        </is>
      </c>
      <c r="J93" s="3" t="inlineStr">
        <is>
          <t>Module Diode Failure</t>
        </is>
      </c>
      <c r="K93" s="3" t="inlineStr">
        <is>
          <t>Sadla</t>
        </is>
      </c>
      <c r="L93" s="3" t="inlineStr">
        <is>
          <t>Gujarat</t>
        </is>
      </c>
      <c r="M93" s="9" t="inlineStr">
        <is>
          <t xml:space="preserve">NS </t>
        </is>
      </c>
      <c r="N93" s="3" t="inlineStr">
        <is>
          <t>Cold Soldering</t>
        </is>
      </c>
      <c r="O93" s="3" t="n">
        <v>570</v>
      </c>
      <c r="P93" s="9" t="inlineStr">
        <is>
          <t>NSMI24050045752</t>
        </is>
      </c>
      <c r="Q93" s="53">
        <f>MID(P93,5,2)</f>
        <v/>
      </c>
      <c r="R93" s="53">
        <f>MID(P93,7,2)</f>
        <v/>
      </c>
      <c r="S93" s="3" t="inlineStr">
        <is>
          <t>G2G</t>
        </is>
      </c>
      <c r="T93" s="3" t="inlineStr">
        <is>
          <t>P4</t>
        </is>
      </c>
      <c r="U93" s="3" t="inlineStr">
        <is>
          <t>N JB Cold Soldering</t>
        </is>
      </c>
      <c r="V93" s="3" t="inlineStr">
        <is>
          <t>Soldering</t>
        </is>
      </c>
      <c r="W93" s="3" t="inlineStr">
        <is>
          <t>Repair</t>
        </is>
      </c>
      <c r="X93" s="18" t="n">
        <v>46144</v>
      </c>
      <c r="Y93" s="73">
        <f>IF(X93="","",X93-A93)</f>
        <v/>
      </c>
      <c r="Z93" s="18" t="n">
        <v>46144</v>
      </c>
      <c r="AA93" s="3" t="n"/>
      <c r="AB93" s="3" t="n"/>
      <c r="AF93">
        <f>IF(AND($F93="Closed",$X93&gt;=DATE(2026,5,1),$X93&lt;=DATE(2026,5,31)),"Closed in May","Other")</f>
        <v/>
      </c>
    </row>
    <row r="94">
      <c r="A94" s="6" t="n">
        <v>46107</v>
      </c>
      <c r="B94" s="3" t="n">
        <v>2026</v>
      </c>
      <c r="C94" s="3" t="inlineStr">
        <is>
          <t>Blupine Energy</t>
        </is>
      </c>
      <c r="D94" s="3" t="inlineStr">
        <is>
          <t>Utility and C&amp;I</t>
        </is>
      </c>
      <c r="E94" s="3" t="n"/>
      <c r="F94" s="3" t="inlineStr">
        <is>
          <t>Closed</t>
        </is>
      </c>
      <c r="G94" s="3" t="inlineStr">
        <is>
          <t>Chandrashekar Patidar</t>
        </is>
      </c>
      <c r="H94" s="3" t="n">
        <v>7879764773</v>
      </c>
      <c r="I94" s="11" t="inlineStr">
        <is>
          <t>PE26032601</t>
        </is>
      </c>
      <c r="J94" s="3" t="inlineStr">
        <is>
          <t>Module Diode Failure</t>
        </is>
      </c>
      <c r="K94" s="3" t="inlineStr">
        <is>
          <t>Sadla</t>
        </is>
      </c>
      <c r="L94" s="3" t="inlineStr">
        <is>
          <t>Gujarat</t>
        </is>
      </c>
      <c r="M94" s="9" t="inlineStr">
        <is>
          <t xml:space="preserve">NS </t>
        </is>
      </c>
      <c r="N94" s="3" t="inlineStr">
        <is>
          <t>Cold Soldering</t>
        </is>
      </c>
      <c r="O94" s="3" t="n">
        <v>570</v>
      </c>
      <c r="P94" s="9" t="inlineStr">
        <is>
          <t>NSMI24050045826</t>
        </is>
      </c>
      <c r="Q94" s="53">
        <f>MID(P94,5,2)</f>
        <v/>
      </c>
      <c r="R94" s="53">
        <f>MID(P94,7,2)</f>
        <v/>
      </c>
      <c r="S94" s="3" t="inlineStr">
        <is>
          <t>G2G</t>
        </is>
      </c>
      <c r="T94" s="3" t="inlineStr">
        <is>
          <t>P4</t>
        </is>
      </c>
      <c r="U94" s="3" t="inlineStr">
        <is>
          <t>N JB Cold Soldering</t>
        </is>
      </c>
      <c r="V94" s="3" t="inlineStr">
        <is>
          <t>Soldering</t>
        </is>
      </c>
      <c r="W94" s="3" t="inlineStr">
        <is>
          <t>Repair</t>
        </is>
      </c>
      <c r="X94" s="18" t="n">
        <v>46144</v>
      </c>
      <c r="Y94" s="73">
        <f>IF(X94="","",X94-A94)</f>
        <v/>
      </c>
      <c r="Z94" s="18" t="n">
        <v>46144</v>
      </c>
      <c r="AA94" s="15" t="n"/>
      <c r="AB94" s="15" t="n"/>
      <c r="AF94">
        <f>IF(AND($F94="Closed",$X94&gt;=DATE(2026,5,1),$X94&lt;=DATE(2026,5,31)),"Closed in May","Other")</f>
        <v/>
      </c>
    </row>
    <row r="95">
      <c r="A95" s="6" t="n">
        <v>46107</v>
      </c>
      <c r="B95" s="3" t="n">
        <v>2026</v>
      </c>
      <c r="C95" s="3" t="inlineStr">
        <is>
          <t>Blupine Energy</t>
        </is>
      </c>
      <c r="D95" s="3" t="inlineStr">
        <is>
          <t>Utility and C&amp;I</t>
        </is>
      </c>
      <c r="E95" s="3" t="n"/>
      <c r="F95" s="3" t="inlineStr">
        <is>
          <t>Closed</t>
        </is>
      </c>
      <c r="G95" s="3" t="inlineStr">
        <is>
          <t>Chandrashekar Patidar</t>
        </is>
      </c>
      <c r="H95" s="3" t="n">
        <v>7879764773</v>
      </c>
      <c r="I95" s="11" t="inlineStr">
        <is>
          <t>PE26032601</t>
        </is>
      </c>
      <c r="J95" s="3" t="inlineStr">
        <is>
          <t>Module Diode Failure</t>
        </is>
      </c>
      <c r="K95" s="3" t="inlineStr">
        <is>
          <t>Sadla</t>
        </is>
      </c>
      <c r="L95" s="3" t="inlineStr">
        <is>
          <t>Gujarat</t>
        </is>
      </c>
      <c r="M95" s="9" t="inlineStr">
        <is>
          <t xml:space="preserve">NS </t>
        </is>
      </c>
      <c r="N95" s="3" t="inlineStr">
        <is>
          <t>Cold Soldering</t>
        </is>
      </c>
      <c r="O95" s="3" t="n">
        <v>570</v>
      </c>
      <c r="P95" s="9" t="inlineStr">
        <is>
          <t>NSMI24050045828</t>
        </is>
      </c>
      <c r="Q95" s="53">
        <f>MID(P95,5,2)</f>
        <v/>
      </c>
      <c r="R95" s="53">
        <f>MID(P95,7,2)</f>
        <v/>
      </c>
      <c r="S95" s="3" t="inlineStr">
        <is>
          <t>G2G</t>
        </is>
      </c>
      <c r="T95" s="3" t="inlineStr">
        <is>
          <t>P4</t>
        </is>
      </c>
      <c r="U95" s="3" t="inlineStr">
        <is>
          <t>N JB Cold Soldering</t>
        </is>
      </c>
      <c r="V95" s="3" t="inlineStr">
        <is>
          <t>Soldering</t>
        </is>
      </c>
      <c r="W95" s="3" t="inlineStr">
        <is>
          <t>Repair</t>
        </is>
      </c>
      <c r="X95" s="18" t="n">
        <v>46144</v>
      </c>
      <c r="Y95" s="73">
        <f>IF(X95="","",X95-A95)</f>
        <v/>
      </c>
      <c r="Z95" s="18" t="n">
        <v>46144</v>
      </c>
      <c r="AA95" s="3" t="n"/>
      <c r="AB95" s="3" t="n"/>
      <c r="AF95">
        <f>IF(AND($F95="Closed",$X95&gt;=DATE(2026,5,1),$X95&lt;=DATE(2026,5,31)),"Closed in May","Other")</f>
        <v/>
      </c>
    </row>
    <row r="96">
      <c r="A96" s="6" t="n">
        <v>46107</v>
      </c>
      <c r="B96" s="3" t="n">
        <v>2026</v>
      </c>
      <c r="C96" s="3" t="inlineStr">
        <is>
          <t>Blupine Energy</t>
        </is>
      </c>
      <c r="D96" s="3" t="inlineStr">
        <is>
          <t>Utility and C&amp;I</t>
        </is>
      </c>
      <c r="E96" s="3" t="n"/>
      <c r="F96" s="3" t="inlineStr">
        <is>
          <t>Closed</t>
        </is>
      </c>
      <c r="G96" s="3" t="inlineStr">
        <is>
          <t>Chandrashekar Patidar</t>
        </is>
      </c>
      <c r="H96" s="3" t="n">
        <v>7879764773</v>
      </c>
      <c r="I96" s="11" t="inlineStr">
        <is>
          <t>PE26032601</t>
        </is>
      </c>
      <c r="J96" s="3" t="inlineStr">
        <is>
          <t>Module Diode Failure</t>
        </is>
      </c>
      <c r="K96" s="3" t="inlineStr">
        <is>
          <t>Sadla</t>
        </is>
      </c>
      <c r="L96" s="3" t="inlineStr">
        <is>
          <t>Gujarat</t>
        </is>
      </c>
      <c r="M96" s="9" t="inlineStr">
        <is>
          <t xml:space="preserve">NS </t>
        </is>
      </c>
      <c r="N96" s="3" t="inlineStr">
        <is>
          <t>Cold Soldering</t>
        </is>
      </c>
      <c r="O96" s="3" t="n">
        <v>570</v>
      </c>
      <c r="P96" s="9" t="inlineStr">
        <is>
          <t>NSMI24050049501</t>
        </is>
      </c>
      <c r="Q96" s="53">
        <f>MID(P96,5,2)</f>
        <v/>
      </c>
      <c r="R96" s="53">
        <f>MID(P96,7,2)</f>
        <v/>
      </c>
      <c r="S96" s="3" t="inlineStr">
        <is>
          <t>G2G</t>
        </is>
      </c>
      <c r="T96" s="3" t="inlineStr">
        <is>
          <t>P4</t>
        </is>
      </c>
      <c r="U96" s="3" t="inlineStr">
        <is>
          <t>N JB Cold Soldering</t>
        </is>
      </c>
      <c r="V96" s="3" t="inlineStr">
        <is>
          <t>Soldering</t>
        </is>
      </c>
      <c r="W96" s="3" t="inlineStr">
        <is>
          <t>Repair</t>
        </is>
      </c>
      <c r="X96" s="18" t="n">
        <v>46144</v>
      </c>
      <c r="Y96" s="73">
        <f>IF(X96="","",X96-A96)</f>
        <v/>
      </c>
      <c r="Z96" s="18" t="n">
        <v>46144</v>
      </c>
      <c r="AA96" s="15" t="n"/>
      <c r="AB96" s="15" t="n"/>
      <c r="AF96">
        <f>IF(AND($F96="Closed",$X96&gt;=DATE(2026,5,1),$X96&lt;=DATE(2026,5,31)),"Closed in May","Other")</f>
        <v/>
      </c>
    </row>
    <row r="97">
      <c r="A97" s="6" t="n">
        <v>46107</v>
      </c>
      <c r="B97" s="3" t="n">
        <v>2026</v>
      </c>
      <c r="C97" s="3" t="inlineStr">
        <is>
          <t>Blupine Energy</t>
        </is>
      </c>
      <c r="D97" s="3" t="inlineStr">
        <is>
          <t>Utility and C&amp;I</t>
        </is>
      </c>
      <c r="E97" s="3" t="n"/>
      <c r="F97" s="3" t="inlineStr">
        <is>
          <t>Closed</t>
        </is>
      </c>
      <c r="G97" s="3" t="inlineStr">
        <is>
          <t>Chandrashekar Patidar</t>
        </is>
      </c>
      <c r="H97" s="3" t="n">
        <v>7879764773</v>
      </c>
      <c r="I97" s="11" t="inlineStr">
        <is>
          <t>PE26032601</t>
        </is>
      </c>
      <c r="J97" s="3" t="inlineStr">
        <is>
          <t>Module Diode Failure</t>
        </is>
      </c>
      <c r="K97" s="3" t="inlineStr">
        <is>
          <t>Sadla</t>
        </is>
      </c>
      <c r="L97" s="3" t="inlineStr">
        <is>
          <t>Gujarat</t>
        </is>
      </c>
      <c r="M97" s="9" t="inlineStr">
        <is>
          <t>PNS</t>
        </is>
      </c>
      <c r="N97" s="3" t="inlineStr">
        <is>
          <t>Cold Soldering</t>
        </is>
      </c>
      <c r="O97" s="3" t="n">
        <v>570</v>
      </c>
      <c r="P97" s="9" t="inlineStr">
        <is>
          <t>NSMI24060076208</t>
        </is>
      </c>
      <c r="Q97" s="53">
        <f>MID(P97,5,2)</f>
        <v/>
      </c>
      <c r="R97" s="53">
        <f>MID(P97,7,2)</f>
        <v/>
      </c>
      <c r="S97" s="3" t="inlineStr">
        <is>
          <t>G2G</t>
        </is>
      </c>
      <c r="T97" s="3" t="inlineStr">
        <is>
          <t>P4</t>
        </is>
      </c>
      <c r="U97" s="3" t="inlineStr">
        <is>
          <t>P &amp; N JB Cold Soldering</t>
        </is>
      </c>
      <c r="V97" s="3" t="inlineStr">
        <is>
          <t>Soldering</t>
        </is>
      </c>
      <c r="W97" s="3" t="inlineStr">
        <is>
          <t>Repair</t>
        </is>
      </c>
      <c r="X97" s="18" t="n">
        <v>46144</v>
      </c>
      <c r="Y97" s="73">
        <f>IF(X97="","",X97-A97)</f>
        <v/>
      </c>
      <c r="Z97" s="18" t="n">
        <v>46144</v>
      </c>
      <c r="AA97" s="3" t="n"/>
      <c r="AB97" s="3" t="n"/>
      <c r="AF97">
        <f>IF(AND($F97="Closed",$X97&gt;=DATE(2026,5,1),$X97&lt;=DATE(2026,5,31)),"Closed in May","Other")</f>
        <v/>
      </c>
    </row>
    <row r="98">
      <c r="A98" s="6" t="n">
        <v>46107</v>
      </c>
      <c r="B98" s="3" t="n">
        <v>2026</v>
      </c>
      <c r="C98" s="3" t="inlineStr">
        <is>
          <t>Blupine Energy</t>
        </is>
      </c>
      <c r="D98" s="3" t="inlineStr">
        <is>
          <t>Utility and C&amp;I</t>
        </is>
      </c>
      <c r="E98" s="3" t="n"/>
      <c r="F98" s="3" t="inlineStr">
        <is>
          <t>Closed</t>
        </is>
      </c>
      <c r="G98" s="3" t="inlineStr">
        <is>
          <t>Chandrashekar Patidar</t>
        </is>
      </c>
      <c r="H98" s="3" t="n">
        <v>7879764773</v>
      </c>
      <c r="I98" s="11" t="inlineStr">
        <is>
          <t>PE26032601</t>
        </is>
      </c>
      <c r="J98" s="3" t="inlineStr">
        <is>
          <t>Module Diode Failure</t>
        </is>
      </c>
      <c r="K98" s="3" t="inlineStr">
        <is>
          <t>Sadla</t>
        </is>
      </c>
      <c r="L98" s="3" t="inlineStr">
        <is>
          <t>Gujarat</t>
        </is>
      </c>
      <c r="M98" s="9" t="inlineStr">
        <is>
          <t xml:space="preserve">NS </t>
        </is>
      </c>
      <c r="N98" s="3" t="inlineStr">
        <is>
          <t>Cold Soldering</t>
        </is>
      </c>
      <c r="O98" s="3" t="n">
        <v>570</v>
      </c>
      <c r="P98" s="9" t="inlineStr">
        <is>
          <t>NSMI24060085869</t>
        </is>
      </c>
      <c r="Q98" s="53">
        <f>MID(P98,5,2)</f>
        <v/>
      </c>
      <c r="R98" s="53">
        <f>MID(P98,7,2)</f>
        <v/>
      </c>
      <c r="S98" s="3" t="inlineStr">
        <is>
          <t>G2G</t>
        </is>
      </c>
      <c r="T98" s="3" t="inlineStr">
        <is>
          <t>P4</t>
        </is>
      </c>
      <c r="U98" s="3" t="inlineStr">
        <is>
          <t>N JB Cold Soldering</t>
        </is>
      </c>
      <c r="V98" s="3" t="inlineStr">
        <is>
          <t>Soldering</t>
        </is>
      </c>
      <c r="W98" s="3" t="inlineStr">
        <is>
          <t>Repair</t>
        </is>
      </c>
      <c r="X98" s="18" t="n">
        <v>46144</v>
      </c>
      <c r="Y98" s="73">
        <f>IF(X98="","",X98-A98)</f>
        <v/>
      </c>
      <c r="Z98" s="18" t="n">
        <v>46144</v>
      </c>
      <c r="AA98" s="15" t="n"/>
      <c r="AB98" s="15" t="n"/>
      <c r="AF98">
        <f>IF(AND($F98="Closed",$X98&gt;=DATE(2026,5,1),$X98&lt;=DATE(2026,5,31)),"Closed in May","Other")</f>
        <v/>
      </c>
    </row>
    <row r="99">
      <c r="A99" s="6" t="n">
        <v>46107</v>
      </c>
      <c r="B99" s="3" t="n">
        <v>2026</v>
      </c>
      <c r="C99" s="3" t="inlineStr">
        <is>
          <t>Blupine Energy</t>
        </is>
      </c>
      <c r="D99" s="3" t="inlineStr">
        <is>
          <t>Utility and C&amp;I</t>
        </is>
      </c>
      <c r="E99" s="3" t="n"/>
      <c r="F99" s="3" t="inlineStr">
        <is>
          <t>Closed</t>
        </is>
      </c>
      <c r="G99" s="3" t="inlineStr">
        <is>
          <t>Chandrashekar Patidar</t>
        </is>
      </c>
      <c r="H99" s="3" t="n">
        <v>7879764773</v>
      </c>
      <c r="I99" s="11" t="inlineStr">
        <is>
          <t>PE26032601</t>
        </is>
      </c>
      <c r="J99" s="3" t="inlineStr">
        <is>
          <t>Module Diode Failure</t>
        </is>
      </c>
      <c r="K99" s="3" t="inlineStr">
        <is>
          <t>Sadla</t>
        </is>
      </c>
      <c r="L99" s="3" t="inlineStr">
        <is>
          <t>Gujarat</t>
        </is>
      </c>
      <c r="M99" s="9" t="inlineStr">
        <is>
          <t>PS</t>
        </is>
      </c>
      <c r="N99" s="3" t="inlineStr">
        <is>
          <t>Cold Soldering</t>
        </is>
      </c>
      <c r="O99" s="3" t="n">
        <v>570</v>
      </c>
      <c r="P99" s="9" t="inlineStr">
        <is>
          <t>NSMI24060080626</t>
        </is>
      </c>
      <c r="Q99" s="53">
        <f>MID(P99,5,2)</f>
        <v/>
      </c>
      <c r="R99" s="53">
        <f>MID(P99,7,2)</f>
        <v/>
      </c>
      <c r="S99" s="3" t="inlineStr">
        <is>
          <t>G2G</t>
        </is>
      </c>
      <c r="T99" s="3" t="inlineStr">
        <is>
          <t>P4</t>
        </is>
      </c>
      <c r="U99" s="3" t="inlineStr">
        <is>
          <t>P JB Cold Soldering</t>
        </is>
      </c>
      <c r="V99" s="3" t="inlineStr">
        <is>
          <t>Soldering</t>
        </is>
      </c>
      <c r="W99" s="3" t="inlineStr">
        <is>
          <t>Repair</t>
        </is>
      </c>
      <c r="X99" s="18" t="n">
        <v>46144</v>
      </c>
      <c r="Y99" s="73">
        <f>IF(X99="","",X99-A99)</f>
        <v/>
      </c>
      <c r="Z99" s="18" t="n">
        <v>46144</v>
      </c>
      <c r="AA99" s="3" t="n"/>
      <c r="AB99" s="3" t="n"/>
      <c r="AF99">
        <f>IF(AND($F99="Closed",$X99&gt;=DATE(2026,5,1),$X99&lt;=DATE(2026,5,31)),"Closed in May","Other")</f>
        <v/>
      </c>
    </row>
    <row r="100">
      <c r="A100" s="6" t="n">
        <v>46107</v>
      </c>
      <c r="B100" s="3" t="n">
        <v>2026</v>
      </c>
      <c r="C100" s="3" t="inlineStr">
        <is>
          <t>Blupine Energy</t>
        </is>
      </c>
      <c r="D100" s="3" t="inlineStr">
        <is>
          <t>Utility and C&amp;I</t>
        </is>
      </c>
      <c r="E100" s="3" t="n"/>
      <c r="F100" s="3" t="inlineStr">
        <is>
          <t>Closed</t>
        </is>
      </c>
      <c r="G100" s="3" t="inlineStr">
        <is>
          <t>Chandrashekar Patidar</t>
        </is>
      </c>
      <c r="H100" s="3" t="n">
        <v>7879764773</v>
      </c>
      <c r="I100" s="11" t="inlineStr">
        <is>
          <t>PE26032601</t>
        </is>
      </c>
      <c r="J100" s="3" t="inlineStr">
        <is>
          <t>Module Diode Failure</t>
        </is>
      </c>
      <c r="K100" s="3" t="inlineStr">
        <is>
          <t>Sadla</t>
        </is>
      </c>
      <c r="L100" s="3" t="inlineStr">
        <is>
          <t>Gujarat</t>
        </is>
      </c>
      <c r="M100" s="9" t="inlineStr">
        <is>
          <t>PS</t>
        </is>
      </c>
      <c r="N100" s="3" t="inlineStr">
        <is>
          <t>Cold Soldering</t>
        </is>
      </c>
      <c r="O100" s="3" t="n">
        <v>570</v>
      </c>
      <c r="P100" s="9" t="inlineStr">
        <is>
          <t>NSMI24060079795</t>
        </is>
      </c>
      <c r="Q100" s="53">
        <f>MID(P100,5,2)</f>
        <v/>
      </c>
      <c r="R100" s="53">
        <f>MID(P100,7,2)</f>
        <v/>
      </c>
      <c r="S100" s="3" t="inlineStr">
        <is>
          <t>G2G</t>
        </is>
      </c>
      <c r="T100" s="3" t="inlineStr">
        <is>
          <t>P4</t>
        </is>
      </c>
      <c r="U100" s="3" t="inlineStr">
        <is>
          <t>P JB Cold Soldering</t>
        </is>
      </c>
      <c r="V100" s="3" t="inlineStr">
        <is>
          <t>Soldering</t>
        </is>
      </c>
      <c r="W100" s="3" t="inlineStr">
        <is>
          <t>Repair</t>
        </is>
      </c>
      <c r="X100" s="18" t="n">
        <v>46144</v>
      </c>
      <c r="Y100" s="73">
        <f>IF(X100="","",X100-A100)</f>
        <v/>
      </c>
      <c r="Z100" s="18" t="n">
        <v>46144</v>
      </c>
      <c r="AA100" s="15" t="n"/>
      <c r="AB100" s="15" t="n"/>
      <c r="AF100">
        <f>IF(AND($F100="Closed",$X100&gt;=DATE(2026,5,1),$X100&lt;=DATE(2026,5,31)),"Closed in May","Other")</f>
        <v/>
      </c>
    </row>
    <row r="101">
      <c r="A101" s="6" t="n">
        <v>46118</v>
      </c>
      <c r="B101" s="3" t="n">
        <v>2026</v>
      </c>
      <c r="C101" s="3" t="inlineStr">
        <is>
          <t>Panasonic</t>
        </is>
      </c>
      <c r="D101" s="3" t="inlineStr">
        <is>
          <t>OEM</t>
        </is>
      </c>
      <c r="E101" s="3" t="n"/>
      <c r="F101" s="3" t="inlineStr">
        <is>
          <t>Closed</t>
        </is>
      </c>
      <c r="G101" s="3" t="inlineStr">
        <is>
          <t>Chirag Tare</t>
        </is>
      </c>
      <c r="H101" s="3" t="n">
        <v>7719846027</v>
      </c>
      <c r="I101" s="11" t="inlineStr">
        <is>
          <t>PE06042602</t>
        </is>
      </c>
      <c r="J101" s="3" t="inlineStr">
        <is>
          <t>Low VOC</t>
        </is>
      </c>
      <c r="K101" s="3" t="inlineStr">
        <is>
          <t>Dhule</t>
        </is>
      </c>
      <c r="L101" s="3" t="inlineStr">
        <is>
          <t>Maharashtra</t>
        </is>
      </c>
      <c r="M101" s="25" t="inlineStr">
        <is>
          <t>Backsheet Scratches</t>
        </is>
      </c>
      <c r="N101" s="25" t="inlineStr">
        <is>
          <t>Backsheet Scratches</t>
        </is>
      </c>
      <c r="O101" s="5" t="n">
        <v>330</v>
      </c>
      <c r="P101" s="25" t="inlineStr">
        <is>
          <t>NSM210403505</t>
        </is>
      </c>
      <c r="Q101" s="53">
        <f>MID(P101,4,2)</f>
        <v/>
      </c>
      <c r="R101" s="53">
        <f>MID(P101,6,2)</f>
        <v/>
      </c>
      <c r="S101" s="3" t="inlineStr">
        <is>
          <t>G2B</t>
        </is>
      </c>
      <c r="T101" s="3" t="inlineStr">
        <is>
          <t>P1</t>
        </is>
      </c>
      <c r="U101" s="25" t="inlineStr">
        <is>
          <t>Backsheet Scratches</t>
        </is>
      </c>
      <c r="V101" s="3" t="inlineStr">
        <is>
          <t>Rejected</t>
        </is>
      </c>
      <c r="W101" s="3" t="inlineStr">
        <is>
          <t>Rejected</t>
        </is>
      </c>
      <c r="X101" s="18" t="n">
        <v>46144</v>
      </c>
      <c r="Y101" s="73">
        <f>IF(X101="","",X101-A101)</f>
        <v/>
      </c>
      <c r="Z101" s="18" t="n">
        <v>46144</v>
      </c>
      <c r="AA101" s="3" t="n"/>
      <c r="AB101" s="3" t="n"/>
      <c r="AF101">
        <f>IF(AND($F101="Closed",$X101&gt;=DATE(2026,5,1),$X101&lt;=DATE(2026,5,31)),"Closed in May","Other")</f>
        <v/>
      </c>
    </row>
    <row r="102">
      <c r="A102" s="6" t="n">
        <v>46118</v>
      </c>
      <c r="B102" s="3" t="n">
        <v>2026</v>
      </c>
      <c r="C102" s="3" t="inlineStr">
        <is>
          <t>Panasonic</t>
        </is>
      </c>
      <c r="D102" s="3" t="inlineStr">
        <is>
          <t>OEM</t>
        </is>
      </c>
      <c r="E102" s="3" t="n"/>
      <c r="F102" s="3" t="inlineStr">
        <is>
          <t>WIP</t>
        </is>
      </c>
      <c r="G102" s="3" t="inlineStr">
        <is>
          <t>Chirag Tare</t>
        </is>
      </c>
      <c r="H102" s="3" t="n">
        <v>7719846027</v>
      </c>
      <c r="I102" s="11" t="inlineStr">
        <is>
          <t>PE06042602</t>
        </is>
      </c>
      <c r="J102" s="3" t="inlineStr">
        <is>
          <t>Low VOC</t>
        </is>
      </c>
      <c r="K102" s="3" t="inlineStr">
        <is>
          <t>Dhule</t>
        </is>
      </c>
      <c r="L102" s="3" t="inlineStr">
        <is>
          <t>Maharashtra</t>
        </is>
      </c>
      <c r="M102" s="25" t="inlineStr">
        <is>
          <t>Cell Contamination</t>
        </is>
      </c>
      <c r="N102" s="25" t="inlineStr">
        <is>
          <t>Cell Contamination</t>
        </is>
      </c>
      <c r="O102" s="5" t="n">
        <v>330</v>
      </c>
      <c r="P102" s="25" t="inlineStr">
        <is>
          <t>NSM210446420</t>
        </is>
      </c>
      <c r="Q102" s="53">
        <f>MID(P102,4,2)</f>
        <v/>
      </c>
      <c r="R102" s="53">
        <f>MID(P102,6,2)</f>
        <v/>
      </c>
      <c r="S102" s="3" t="inlineStr">
        <is>
          <t>G2B</t>
        </is>
      </c>
      <c r="T102" s="3" t="inlineStr">
        <is>
          <t>P1</t>
        </is>
      </c>
      <c r="U102" s="25" t="inlineStr">
        <is>
          <t>Cell Contamination</t>
        </is>
      </c>
      <c r="V102" s="15" t="inlineStr">
        <is>
          <t>Inspection</t>
        </is>
      </c>
      <c r="W102" s="15" t="inlineStr">
        <is>
          <t>WIP</t>
        </is>
      </c>
      <c r="X102" s="15" t="n"/>
      <c r="Y102" s="73">
        <f>IF(X102="","",X102-A102)</f>
        <v/>
      </c>
      <c r="Z102" s="18" t="n">
        <v>46144</v>
      </c>
      <c r="AA102" s="15" t="n"/>
      <c r="AB102" s="15" t="n"/>
      <c r="AF102">
        <f>IF(AND($F102="Closed",$X102&gt;=DATE(2026,5,1),$X102&lt;=DATE(2026,5,31)),"Closed in May","Other")</f>
        <v/>
      </c>
    </row>
    <row r="103">
      <c r="A103" s="6" t="n">
        <v>46112</v>
      </c>
      <c r="B103" s="3" t="n">
        <v>2026</v>
      </c>
      <c r="C103" s="3" t="inlineStr">
        <is>
          <t>RA GREEN ENERGks</t>
        </is>
      </c>
      <c r="D103" s="3" t="inlineStr">
        <is>
          <t>Channel Sales</t>
        </is>
      </c>
      <c r="E103" s="3" t="n"/>
      <c r="F103" s="3" t="inlineStr">
        <is>
          <t>Closed</t>
        </is>
      </c>
      <c r="G103" s="3" t="inlineStr">
        <is>
          <t>Kumar Tale</t>
        </is>
      </c>
      <c r="H103" s="3" t="n">
        <v>9518921202</v>
      </c>
      <c r="I103" s="7" t="inlineStr">
        <is>
          <t>PE31032602</t>
        </is>
      </c>
      <c r="J103" s="3" t="inlineStr">
        <is>
          <t>MC 4 Connector Burn</t>
        </is>
      </c>
      <c r="K103" s="3" t="inlineStr">
        <is>
          <t>Nagpur</t>
        </is>
      </c>
      <c r="L103" s="3" t="inlineStr">
        <is>
          <t>Maharashtra</t>
        </is>
      </c>
      <c r="M103" s="8" t="inlineStr">
        <is>
          <t>Found okay</t>
        </is>
      </c>
      <c r="N103" s="3" t="inlineStr">
        <is>
          <t>No Issue</t>
        </is>
      </c>
      <c r="O103" s="5" t="n">
        <v>540</v>
      </c>
      <c r="P103" s="8" t="inlineStr">
        <is>
          <t>NSMP25050188956</t>
        </is>
      </c>
      <c r="Q103" s="53">
        <f>MID(P103,5,2)</f>
        <v/>
      </c>
      <c r="R103" s="53">
        <f>MID(P103,7,2)</f>
        <v/>
      </c>
      <c r="S103" s="3" t="inlineStr">
        <is>
          <t>G2TB</t>
        </is>
      </c>
      <c r="T103" s="3" t="inlineStr">
        <is>
          <t>P2</t>
        </is>
      </c>
      <c r="U103" s="5" t="inlineStr">
        <is>
          <t>No Issue Found</t>
        </is>
      </c>
      <c r="V103" s="5" t="inlineStr">
        <is>
          <t>Found OK</t>
        </is>
      </c>
      <c r="W103" s="15" t="inlineStr">
        <is>
          <t>Inspection</t>
        </is>
      </c>
      <c r="X103" s="18" t="n">
        <v>46146</v>
      </c>
      <c r="Y103" s="73">
        <f>IF(X103="","",X103-A103)</f>
        <v/>
      </c>
      <c r="Z103" s="18" t="n">
        <v>46146</v>
      </c>
      <c r="AA103" s="15" t="n"/>
      <c r="AB103" s="15" t="n"/>
      <c r="AF103">
        <f>IF(AND($F103="Closed",$X103&gt;=DATE(2026,5,1),$X103&lt;=DATE(2026,5,31)),"Closed in May","Other")</f>
        <v/>
      </c>
    </row>
    <row r="104">
      <c r="A104" s="6" t="n">
        <v>46119</v>
      </c>
      <c r="B104" s="3" t="n">
        <v>2026</v>
      </c>
      <c r="C104" s="3" t="inlineStr">
        <is>
          <t>Panasonic</t>
        </is>
      </c>
      <c r="D104" s="3" t="inlineStr">
        <is>
          <t>OEM</t>
        </is>
      </c>
      <c r="E104" s="3" t="n"/>
      <c r="F104" s="3" t="inlineStr">
        <is>
          <t>Closed</t>
        </is>
      </c>
      <c r="G104" s="3" t="inlineStr">
        <is>
          <t>Chirag Tare</t>
        </is>
      </c>
      <c r="H104" s="3" t="n">
        <v>7719846027</v>
      </c>
      <c r="I104" s="7" t="inlineStr">
        <is>
          <t>PE07042601</t>
        </is>
      </c>
      <c r="J104" s="3" t="inlineStr">
        <is>
          <t>Low VOC</t>
        </is>
      </c>
      <c r="K104" s="3" t="inlineStr">
        <is>
          <t>Lucknow</t>
        </is>
      </c>
      <c r="L104" s="3" t="inlineStr">
        <is>
          <t>UP</t>
        </is>
      </c>
      <c r="M104" s="9" t="inlineStr">
        <is>
          <t>Negative JB Soldering</t>
        </is>
      </c>
      <c r="N104" s="3" t="inlineStr">
        <is>
          <t>Cold Soldering</t>
        </is>
      </c>
      <c r="O104" s="5" t="n">
        <v>495</v>
      </c>
      <c r="P104" s="9" t="inlineStr">
        <is>
          <t>NSMP2211233510</t>
        </is>
      </c>
      <c r="Q104" s="53">
        <f>MID(P104,5,2)</f>
        <v/>
      </c>
      <c r="R104" s="53">
        <f>MID(P104,7,2)</f>
        <v/>
      </c>
      <c r="S104" s="3" t="inlineStr">
        <is>
          <t>G2B</t>
        </is>
      </c>
      <c r="T104" s="3" t="inlineStr">
        <is>
          <t>P2</t>
        </is>
      </c>
      <c r="U104" s="3" t="inlineStr">
        <is>
          <t>N JB Cold Soldering</t>
        </is>
      </c>
      <c r="V104" s="3" t="inlineStr">
        <is>
          <t>Soldering</t>
        </is>
      </c>
      <c r="W104" s="15" t="inlineStr">
        <is>
          <t>Repair</t>
        </is>
      </c>
      <c r="X104" s="18" t="n">
        <v>46146</v>
      </c>
      <c r="Y104" s="73">
        <f>IF(X104="","",X104-A104)</f>
        <v/>
      </c>
      <c r="Z104" s="18" t="n">
        <v>46146</v>
      </c>
      <c r="AA104" s="3" t="n"/>
      <c r="AB104" s="3" t="n"/>
      <c r="AF104">
        <f>IF(AND($F104="Closed",$X104&gt;=DATE(2026,5,1),$X104&lt;=DATE(2026,5,31)),"Closed in May","Other")</f>
        <v/>
      </c>
    </row>
    <row r="105">
      <c r="A105" s="6" t="n">
        <v>46119</v>
      </c>
      <c r="B105" s="3" t="n">
        <v>2026</v>
      </c>
      <c r="C105" s="3" t="inlineStr">
        <is>
          <t>Panasonic</t>
        </is>
      </c>
      <c r="D105" s="3" t="inlineStr">
        <is>
          <t>OEM</t>
        </is>
      </c>
      <c r="E105" s="3" t="n"/>
      <c r="F105" s="3" t="inlineStr">
        <is>
          <t>Closed</t>
        </is>
      </c>
      <c r="G105" s="3" t="inlineStr">
        <is>
          <t>Chirag Tare</t>
        </is>
      </c>
      <c r="H105" s="3" t="n">
        <v>7719846027</v>
      </c>
      <c r="I105" s="7" t="inlineStr">
        <is>
          <t>PE07042601</t>
        </is>
      </c>
      <c r="J105" s="3" t="inlineStr">
        <is>
          <t>Low VOC</t>
        </is>
      </c>
      <c r="K105" s="3" t="inlineStr">
        <is>
          <t>Lucknow</t>
        </is>
      </c>
      <c r="L105" s="3" t="inlineStr">
        <is>
          <t>UP</t>
        </is>
      </c>
      <c r="M105" s="9" t="inlineStr">
        <is>
          <t>Negative JB Soldering</t>
        </is>
      </c>
      <c r="N105" s="3" t="inlineStr">
        <is>
          <t>Cold Soldering</t>
        </is>
      </c>
      <c r="O105" s="5" t="n">
        <v>495</v>
      </c>
      <c r="P105" s="9" t="inlineStr">
        <is>
          <t>NSMP2211233542</t>
        </is>
      </c>
      <c r="Q105" s="53">
        <f>MID(P105,5,2)</f>
        <v/>
      </c>
      <c r="R105" s="53">
        <f>MID(P105,7,2)</f>
        <v/>
      </c>
      <c r="S105" s="3" t="inlineStr">
        <is>
          <t>G2B</t>
        </is>
      </c>
      <c r="T105" s="3" t="inlineStr">
        <is>
          <t>P2</t>
        </is>
      </c>
      <c r="U105" s="3" t="inlineStr">
        <is>
          <t>N JB Cold Soldering</t>
        </is>
      </c>
      <c r="V105" s="3" t="inlineStr">
        <is>
          <t>Soldering</t>
        </is>
      </c>
      <c r="W105" s="15" t="inlineStr">
        <is>
          <t>Repair</t>
        </is>
      </c>
      <c r="X105" s="18" t="n">
        <v>46146</v>
      </c>
      <c r="Y105" s="73">
        <f>IF(X105="","",X105-A105)</f>
        <v/>
      </c>
      <c r="Z105" s="18" t="n">
        <v>46146</v>
      </c>
      <c r="AA105" s="15" t="n"/>
      <c r="AB105" s="15" t="n"/>
      <c r="AF105">
        <f>IF(AND($F105="Closed",$X105&gt;=DATE(2026,5,1),$X105&lt;=DATE(2026,5,31)),"Closed in May","Other")</f>
        <v/>
      </c>
    </row>
    <row r="106">
      <c r="A106" s="6" t="n">
        <v>46119</v>
      </c>
      <c r="B106" s="3" t="n">
        <v>2026</v>
      </c>
      <c r="C106" s="3" t="inlineStr">
        <is>
          <t>Panasonic</t>
        </is>
      </c>
      <c r="D106" s="3" t="inlineStr">
        <is>
          <t>OEM</t>
        </is>
      </c>
      <c r="E106" s="3" t="n"/>
      <c r="F106" s="3" t="inlineStr">
        <is>
          <t>Closed</t>
        </is>
      </c>
      <c r="G106" s="3" t="inlineStr">
        <is>
          <t>Chirag Tare</t>
        </is>
      </c>
      <c r="H106" s="3" t="n">
        <v>7719846027</v>
      </c>
      <c r="I106" s="7" t="inlineStr">
        <is>
          <t>PE07042601</t>
        </is>
      </c>
      <c r="J106" s="3" t="inlineStr">
        <is>
          <t>Low VOC</t>
        </is>
      </c>
      <c r="K106" s="3" t="inlineStr">
        <is>
          <t>Lucknow</t>
        </is>
      </c>
      <c r="L106" s="3" t="inlineStr">
        <is>
          <t>UP</t>
        </is>
      </c>
      <c r="M106" s="9" t="inlineStr">
        <is>
          <t>Negative JB Soldering</t>
        </is>
      </c>
      <c r="N106" s="3" t="inlineStr">
        <is>
          <t>Cold Soldering</t>
        </is>
      </c>
      <c r="O106" s="5" t="n">
        <v>495</v>
      </c>
      <c r="P106" s="9" t="inlineStr">
        <is>
          <t>NSMP2211233550</t>
        </is>
      </c>
      <c r="Q106" s="53">
        <f>MID(P106,5,2)</f>
        <v/>
      </c>
      <c r="R106" s="53">
        <f>MID(P106,7,2)</f>
        <v/>
      </c>
      <c r="S106" s="3" t="inlineStr">
        <is>
          <t>G2B</t>
        </is>
      </c>
      <c r="T106" s="3" t="inlineStr">
        <is>
          <t>P2</t>
        </is>
      </c>
      <c r="U106" s="3" t="inlineStr">
        <is>
          <t>N JB Cold Soldering</t>
        </is>
      </c>
      <c r="V106" s="3" t="inlineStr">
        <is>
          <t>Soldering</t>
        </is>
      </c>
      <c r="W106" s="15" t="inlineStr">
        <is>
          <t>Repair</t>
        </is>
      </c>
      <c r="X106" s="18" t="n">
        <v>46146</v>
      </c>
      <c r="Y106" s="73">
        <f>IF(X106="","",X106-A106)</f>
        <v/>
      </c>
      <c r="Z106" s="18" t="n">
        <v>46146</v>
      </c>
      <c r="AA106" s="3" t="n"/>
      <c r="AB106" s="3" t="n"/>
      <c r="AF106">
        <f>IF(AND($F106="Closed",$X106&gt;=DATE(2026,5,1),$X106&lt;=DATE(2026,5,31)),"Closed in May","Other")</f>
        <v/>
      </c>
    </row>
    <row r="107">
      <c r="A107" s="2" t="n">
        <v>46144</v>
      </c>
      <c r="B107" s="3" t="n">
        <v>2026</v>
      </c>
      <c r="C107" s="3" t="inlineStr">
        <is>
          <t>Oyster Technocon</t>
        </is>
      </c>
      <c r="D107" s="3" t="inlineStr">
        <is>
          <t>Channel Sales</t>
        </is>
      </c>
      <c r="E107" s="3" t="n"/>
      <c r="F107" s="3" t="inlineStr">
        <is>
          <t>Closed</t>
        </is>
      </c>
      <c r="G107" s="3" t="inlineStr">
        <is>
          <t>Inderpal Singh</t>
        </is>
      </c>
      <c r="H107" s="3" t="n">
        <v>9028940248</v>
      </c>
      <c r="I107" s="7" t="inlineStr">
        <is>
          <t>PE02052601</t>
        </is>
      </c>
      <c r="J107" s="3" t="inlineStr">
        <is>
          <t>Low solar panel generation</t>
        </is>
      </c>
      <c r="K107" s="3" t="inlineStr">
        <is>
          <t>Nagpur</t>
        </is>
      </c>
      <c r="L107" s="3" t="inlineStr">
        <is>
          <t>Maharashtra</t>
        </is>
      </c>
      <c r="M107" s="3" t="inlineStr">
        <is>
          <t>Found okay</t>
        </is>
      </c>
      <c r="N107" s="3" t="inlineStr">
        <is>
          <t>No Issue</t>
        </is>
      </c>
      <c r="O107" s="3" t="n">
        <v>540</v>
      </c>
      <c r="P107" s="35" t="inlineStr">
        <is>
          <t>N/A</t>
        </is>
      </c>
      <c r="Q107" s="53">
        <f>MID(P107,5,2)</f>
        <v/>
      </c>
      <c r="R107" s="53">
        <f>MID(P107,7,2)</f>
        <v/>
      </c>
      <c r="S107" s="3" t="inlineStr">
        <is>
          <t>G2TB</t>
        </is>
      </c>
      <c r="T107" s="3" t="inlineStr">
        <is>
          <t>P2</t>
        </is>
      </c>
      <c r="U107" s="5" t="inlineStr">
        <is>
          <t>No Issue Found</t>
        </is>
      </c>
      <c r="V107" s="15" t="inlineStr">
        <is>
          <t>Found OK</t>
        </is>
      </c>
      <c r="W107" s="15" t="inlineStr">
        <is>
          <t>Repair</t>
        </is>
      </c>
      <c r="X107" s="18" t="n">
        <v>46146</v>
      </c>
      <c r="Y107" s="73">
        <f>IF(X107="","",X107-A107)</f>
        <v/>
      </c>
      <c r="Z107" s="18" t="n">
        <v>46146</v>
      </c>
      <c r="AA107" s="15" t="n"/>
      <c r="AB107" s="15" t="n"/>
      <c r="AF107">
        <f>IF(AND($F107="Closed",$X107&gt;=DATE(2026,5,1),$X107&lt;=DATE(2026,5,31)),"Closed in May","Other")</f>
        <v/>
      </c>
    </row>
    <row r="108">
      <c r="A108" s="2" t="n">
        <v>46144</v>
      </c>
      <c r="B108" s="3" t="n">
        <v>2026</v>
      </c>
      <c r="C108" s="3" t="inlineStr">
        <is>
          <t>Oyster Technocon</t>
        </is>
      </c>
      <c r="D108" s="3" t="inlineStr">
        <is>
          <t>Channel Sales</t>
        </is>
      </c>
      <c r="E108" s="3" t="n"/>
      <c r="F108" s="3" t="inlineStr">
        <is>
          <t>Closed</t>
        </is>
      </c>
      <c r="G108" s="3" t="inlineStr">
        <is>
          <t>Inderpal Singh</t>
        </is>
      </c>
      <c r="H108" s="3" t="n">
        <v>9028940248</v>
      </c>
      <c r="I108" s="7" t="inlineStr">
        <is>
          <t>PE02052601</t>
        </is>
      </c>
      <c r="J108" s="3" t="inlineStr">
        <is>
          <t>Low solar panel generation</t>
        </is>
      </c>
      <c r="K108" s="3" t="inlineStr">
        <is>
          <t>Nagpur</t>
        </is>
      </c>
      <c r="L108" s="3" t="inlineStr">
        <is>
          <t>Maharashtra</t>
        </is>
      </c>
      <c r="M108" s="3" t="inlineStr">
        <is>
          <t>Found okay</t>
        </is>
      </c>
      <c r="N108" s="3" t="inlineStr">
        <is>
          <t>No Issue</t>
        </is>
      </c>
      <c r="O108" s="3" t="n">
        <v>540</v>
      </c>
      <c r="P108" s="35" t="inlineStr">
        <is>
          <t>N/A</t>
        </is>
      </c>
      <c r="Q108" s="53">
        <f>MID(P108,5,2)</f>
        <v/>
      </c>
      <c r="R108" s="53">
        <f>MID(P108,7,2)</f>
        <v/>
      </c>
      <c r="S108" s="3" t="inlineStr">
        <is>
          <t>G2TB</t>
        </is>
      </c>
      <c r="T108" s="3" t="inlineStr">
        <is>
          <t>P2</t>
        </is>
      </c>
      <c r="U108" s="5" t="inlineStr">
        <is>
          <t>No Issue Found</t>
        </is>
      </c>
      <c r="V108" s="15" t="inlineStr">
        <is>
          <t>Found OK</t>
        </is>
      </c>
      <c r="W108" s="15" t="inlineStr">
        <is>
          <t>Repair</t>
        </is>
      </c>
      <c r="X108" s="18" t="n">
        <v>46146</v>
      </c>
      <c r="Y108" s="73">
        <f>IF(X108="","",X108-A108)</f>
        <v/>
      </c>
      <c r="Z108" s="18" t="n">
        <v>46146</v>
      </c>
      <c r="AA108" s="15" t="n"/>
      <c r="AB108" s="15" t="n"/>
      <c r="AF108">
        <f>IF(AND($F108="Closed",$X108&gt;=DATE(2026,5,1),$X108&lt;=DATE(2026,5,31)),"Closed in May","Other")</f>
        <v/>
      </c>
    </row>
    <row r="109">
      <c r="A109" s="2" t="n">
        <v>46144</v>
      </c>
      <c r="B109" s="3" t="n">
        <v>2026</v>
      </c>
      <c r="C109" s="3" t="inlineStr">
        <is>
          <t>Oyster Technocon</t>
        </is>
      </c>
      <c r="D109" s="3" t="inlineStr">
        <is>
          <t>Channel Sales</t>
        </is>
      </c>
      <c r="E109" s="3" t="n"/>
      <c r="F109" s="3" t="inlineStr">
        <is>
          <t>Closed</t>
        </is>
      </c>
      <c r="G109" s="3" t="inlineStr">
        <is>
          <t>Inderpal Singh</t>
        </is>
      </c>
      <c r="H109" s="3" t="n">
        <v>9028940248</v>
      </c>
      <c r="I109" s="7" t="inlineStr">
        <is>
          <t>PE02052601</t>
        </is>
      </c>
      <c r="J109" s="3" t="inlineStr">
        <is>
          <t>Low solar panel generation</t>
        </is>
      </c>
      <c r="K109" s="3" t="inlineStr">
        <is>
          <t>Nagpur</t>
        </is>
      </c>
      <c r="L109" s="3" t="inlineStr">
        <is>
          <t>Maharashtra</t>
        </is>
      </c>
      <c r="M109" s="3" t="inlineStr">
        <is>
          <t>Found okay</t>
        </is>
      </c>
      <c r="N109" s="3" t="inlineStr">
        <is>
          <t>No Issue</t>
        </is>
      </c>
      <c r="O109" s="3" t="n">
        <v>540</v>
      </c>
      <c r="P109" s="35" t="inlineStr">
        <is>
          <t>N/A</t>
        </is>
      </c>
      <c r="Q109" s="53">
        <f>MID(P109,5,2)</f>
        <v/>
      </c>
      <c r="R109" s="53">
        <f>MID(P109,7,2)</f>
        <v/>
      </c>
      <c r="S109" s="3" t="inlineStr">
        <is>
          <t>G2TB</t>
        </is>
      </c>
      <c r="T109" s="3" t="inlineStr">
        <is>
          <t>P2</t>
        </is>
      </c>
      <c r="U109" s="5" t="inlineStr">
        <is>
          <t>No Issue Found</t>
        </is>
      </c>
      <c r="V109" s="15" t="inlineStr">
        <is>
          <t>Found OK</t>
        </is>
      </c>
      <c r="W109" s="15" t="inlineStr">
        <is>
          <t>Repair</t>
        </is>
      </c>
      <c r="X109" s="18" t="n">
        <v>46146</v>
      </c>
      <c r="Y109" s="73">
        <f>IF(X109="","",X109-A109)</f>
        <v/>
      </c>
      <c r="Z109" s="18" t="n">
        <v>46146</v>
      </c>
      <c r="AA109" s="15" t="n"/>
      <c r="AB109" s="15" t="n"/>
      <c r="AF109">
        <f>IF(AND($F109="Closed",$X109&gt;=DATE(2026,5,1),$X109&lt;=DATE(2026,5,31)),"Closed in May","Other")</f>
        <v/>
      </c>
    </row>
    <row r="110">
      <c r="A110" s="2" t="n">
        <v>46144</v>
      </c>
      <c r="B110" s="3" t="n">
        <v>2026</v>
      </c>
      <c r="C110" s="3" t="inlineStr">
        <is>
          <t>Oyster Technocon</t>
        </is>
      </c>
      <c r="D110" s="3" t="inlineStr">
        <is>
          <t>Channel Sales</t>
        </is>
      </c>
      <c r="E110" s="3" t="n"/>
      <c r="F110" s="3" t="inlineStr">
        <is>
          <t>Closed</t>
        </is>
      </c>
      <c r="G110" s="3" t="inlineStr">
        <is>
          <t>Inderpal Singh</t>
        </is>
      </c>
      <c r="H110" s="3" t="n">
        <v>9028940248</v>
      </c>
      <c r="I110" s="7" t="inlineStr">
        <is>
          <t>PE02052601</t>
        </is>
      </c>
      <c r="J110" s="3" t="inlineStr">
        <is>
          <t>Low solar panel generation</t>
        </is>
      </c>
      <c r="K110" s="3" t="inlineStr">
        <is>
          <t>Nagpur</t>
        </is>
      </c>
      <c r="L110" s="3" t="inlineStr">
        <is>
          <t>Maharashtra</t>
        </is>
      </c>
      <c r="M110" s="3" t="inlineStr">
        <is>
          <t>Found okay</t>
        </is>
      </c>
      <c r="N110" s="3" t="inlineStr">
        <is>
          <t>No Issue</t>
        </is>
      </c>
      <c r="O110" s="3" t="n">
        <v>540</v>
      </c>
      <c r="P110" s="35" t="inlineStr">
        <is>
          <t>N/A</t>
        </is>
      </c>
      <c r="Q110" s="53">
        <f>MID(P110,5,2)</f>
        <v/>
      </c>
      <c r="R110" s="53">
        <f>MID(P110,7,2)</f>
        <v/>
      </c>
      <c r="S110" s="3" t="inlineStr">
        <is>
          <t>G2TB</t>
        </is>
      </c>
      <c r="T110" s="3" t="inlineStr">
        <is>
          <t>P2</t>
        </is>
      </c>
      <c r="U110" s="5" t="inlineStr">
        <is>
          <t>No Issue Found</t>
        </is>
      </c>
      <c r="V110" s="15" t="inlineStr">
        <is>
          <t>Found OK</t>
        </is>
      </c>
      <c r="W110" s="15" t="inlineStr">
        <is>
          <t>Repair</t>
        </is>
      </c>
      <c r="X110" s="18" t="n">
        <v>46146</v>
      </c>
      <c r="Y110" s="73">
        <f>IF(X110="","",X110-A110)</f>
        <v/>
      </c>
      <c r="Z110" s="18" t="n">
        <v>46146</v>
      </c>
      <c r="AA110" s="15" t="n"/>
      <c r="AB110" s="15" t="n"/>
      <c r="AF110">
        <f>IF(AND($F110="Closed",$X110&gt;=DATE(2026,5,1),$X110&lt;=DATE(2026,5,31)),"Closed in May","Other")</f>
        <v/>
      </c>
    </row>
    <row r="111">
      <c r="A111" s="2" t="n">
        <v>46144</v>
      </c>
      <c r="B111" s="3" t="n">
        <v>2026</v>
      </c>
      <c r="C111" s="3" t="inlineStr">
        <is>
          <t>Oyster Technocon</t>
        </is>
      </c>
      <c r="D111" s="3" t="inlineStr">
        <is>
          <t>Channel Sales</t>
        </is>
      </c>
      <c r="E111" s="3" t="n"/>
      <c r="F111" s="3" t="inlineStr">
        <is>
          <t>Closed</t>
        </is>
      </c>
      <c r="G111" s="3" t="inlineStr">
        <is>
          <t>Inderpal Singh</t>
        </is>
      </c>
      <c r="H111" s="3" t="n">
        <v>9028940248</v>
      </c>
      <c r="I111" s="7" t="inlineStr">
        <is>
          <t>PE02052601</t>
        </is>
      </c>
      <c r="J111" s="3" t="inlineStr">
        <is>
          <t>Low solar panel generation</t>
        </is>
      </c>
      <c r="K111" s="3" t="inlineStr">
        <is>
          <t>Nagpur</t>
        </is>
      </c>
      <c r="L111" s="3" t="inlineStr">
        <is>
          <t>Maharashtra</t>
        </is>
      </c>
      <c r="M111" s="3" t="inlineStr">
        <is>
          <t>Found okay</t>
        </is>
      </c>
      <c r="N111" s="3" t="inlineStr">
        <is>
          <t>No Issue</t>
        </is>
      </c>
      <c r="O111" s="3" t="n">
        <v>540</v>
      </c>
      <c r="P111" s="35" t="inlineStr">
        <is>
          <t>N/A</t>
        </is>
      </c>
      <c r="Q111" s="53">
        <f>MID(P111,5,2)</f>
        <v/>
      </c>
      <c r="R111" s="53">
        <f>MID(P111,7,2)</f>
        <v/>
      </c>
      <c r="S111" s="3" t="inlineStr">
        <is>
          <t>G2TB</t>
        </is>
      </c>
      <c r="T111" s="3" t="inlineStr">
        <is>
          <t>P2</t>
        </is>
      </c>
      <c r="U111" s="5" t="inlineStr">
        <is>
          <t>No Issue Found</t>
        </is>
      </c>
      <c r="V111" s="15" t="inlineStr">
        <is>
          <t>Found OK</t>
        </is>
      </c>
      <c r="W111" s="15" t="inlineStr">
        <is>
          <t>Repair</t>
        </is>
      </c>
      <c r="X111" s="18" t="n">
        <v>46146</v>
      </c>
      <c r="Y111" s="73">
        <f>IF(X111="","",X111-A111)</f>
        <v/>
      </c>
      <c r="Z111" s="18" t="n">
        <v>46146</v>
      </c>
      <c r="AA111" s="15" t="n"/>
      <c r="AB111" s="15" t="n"/>
      <c r="AF111">
        <f>IF(AND($F111="Closed",$X111&gt;=DATE(2026,5,1),$X111&lt;=DATE(2026,5,31)),"Closed in May","Other")</f>
        <v/>
      </c>
    </row>
    <row r="112">
      <c r="A112" s="2" t="n">
        <v>46144</v>
      </c>
      <c r="B112" s="3" t="n">
        <v>2026</v>
      </c>
      <c r="C112" s="3" t="inlineStr">
        <is>
          <t>Oyster Technocon</t>
        </is>
      </c>
      <c r="D112" s="3" t="inlineStr">
        <is>
          <t>Channel Sales</t>
        </is>
      </c>
      <c r="E112" s="3" t="n"/>
      <c r="F112" s="3" t="inlineStr">
        <is>
          <t>Closed</t>
        </is>
      </c>
      <c r="G112" s="3" t="inlineStr">
        <is>
          <t>Inderpal Singh</t>
        </is>
      </c>
      <c r="H112" s="3" t="n">
        <v>9028940248</v>
      </c>
      <c r="I112" s="7" t="inlineStr">
        <is>
          <t>PE02052601</t>
        </is>
      </c>
      <c r="J112" s="3" t="inlineStr">
        <is>
          <t>Low solar panel generation</t>
        </is>
      </c>
      <c r="K112" s="3" t="inlineStr">
        <is>
          <t>Nagpur</t>
        </is>
      </c>
      <c r="L112" s="3" t="inlineStr">
        <is>
          <t>Maharashtra</t>
        </is>
      </c>
      <c r="M112" s="3" t="inlineStr">
        <is>
          <t>Found okay</t>
        </is>
      </c>
      <c r="N112" s="3" t="inlineStr">
        <is>
          <t>No Issue</t>
        </is>
      </c>
      <c r="O112" s="3" t="n">
        <v>540</v>
      </c>
      <c r="P112" s="35" t="inlineStr">
        <is>
          <t>N/A</t>
        </is>
      </c>
      <c r="Q112" s="53">
        <f>MID(P112,5,2)</f>
        <v/>
      </c>
      <c r="R112" s="53">
        <f>MID(P112,7,2)</f>
        <v/>
      </c>
      <c r="S112" s="3" t="inlineStr">
        <is>
          <t>G2TB</t>
        </is>
      </c>
      <c r="T112" s="3" t="inlineStr">
        <is>
          <t>P2</t>
        </is>
      </c>
      <c r="U112" s="5" t="inlineStr">
        <is>
          <t>No Issue Found</t>
        </is>
      </c>
      <c r="V112" s="15" t="inlineStr">
        <is>
          <t>Found OK</t>
        </is>
      </c>
      <c r="W112" s="15" t="inlineStr">
        <is>
          <t>Repair</t>
        </is>
      </c>
      <c r="X112" s="18" t="n">
        <v>46146</v>
      </c>
      <c r="Y112" s="73">
        <f>IF(X112="","",X112-A112)</f>
        <v/>
      </c>
      <c r="Z112" s="18" t="n">
        <v>46146</v>
      </c>
      <c r="AA112" s="15" t="n"/>
      <c r="AB112" s="15" t="n"/>
      <c r="AF112">
        <f>IF(AND($F112="Closed",$X112&gt;=DATE(2026,5,1),$X112&lt;=DATE(2026,5,31)),"Closed in May","Other")</f>
        <v/>
      </c>
    </row>
    <row r="113">
      <c r="A113" s="2" t="n">
        <v>46144</v>
      </c>
      <c r="B113" s="3" t="n">
        <v>2026</v>
      </c>
      <c r="C113" s="3" t="inlineStr">
        <is>
          <t>Oyster Technocon</t>
        </is>
      </c>
      <c r="D113" s="3" t="inlineStr">
        <is>
          <t>Channel Sales</t>
        </is>
      </c>
      <c r="E113" s="3" t="n"/>
      <c r="F113" s="3" t="inlineStr">
        <is>
          <t>Closed</t>
        </is>
      </c>
      <c r="G113" s="3" t="inlineStr">
        <is>
          <t>Inderpal Singh</t>
        </is>
      </c>
      <c r="H113" s="3" t="n">
        <v>9028940248</v>
      </c>
      <c r="I113" s="7" t="inlineStr">
        <is>
          <t>PE02052602</t>
        </is>
      </c>
      <c r="J113" s="3" t="inlineStr">
        <is>
          <t>Low solar panel generation</t>
        </is>
      </c>
      <c r="K113" s="3" t="inlineStr">
        <is>
          <t>Nagpur</t>
        </is>
      </c>
      <c r="L113" s="3" t="inlineStr">
        <is>
          <t>Maharashtra</t>
        </is>
      </c>
      <c r="M113" s="3" t="inlineStr">
        <is>
          <t>AR</t>
        </is>
      </c>
      <c r="N113" s="3" t="inlineStr">
        <is>
          <t>JB Issue</t>
        </is>
      </c>
      <c r="O113" s="3" t="n">
        <v>540</v>
      </c>
      <c r="P113" s="25" t="inlineStr">
        <is>
          <t>NSMP24101626059</t>
        </is>
      </c>
      <c r="Q113" s="53">
        <f>MID(P113,5,2)</f>
        <v/>
      </c>
      <c r="R113" s="53">
        <f>MID(P113,7,2)</f>
        <v/>
      </c>
      <c r="S113" s="3" t="inlineStr">
        <is>
          <t>G2TB</t>
        </is>
      </c>
      <c r="T113" s="3" t="inlineStr">
        <is>
          <t>P2</t>
        </is>
      </c>
      <c r="U113" s="15" t="inlineStr">
        <is>
          <t>All JB Issue</t>
        </is>
      </c>
      <c r="V113" s="15" t="inlineStr">
        <is>
          <t>JB Changed</t>
        </is>
      </c>
      <c r="W113" s="15" t="inlineStr">
        <is>
          <t>Repair</t>
        </is>
      </c>
      <c r="X113" s="18" t="n">
        <v>46146</v>
      </c>
      <c r="Y113" s="73">
        <f>IF(X113="","",X113-A113)</f>
        <v/>
      </c>
      <c r="Z113" s="18" t="n">
        <v>46146</v>
      </c>
      <c r="AA113" s="15" t="n"/>
      <c r="AB113" s="15" t="n"/>
      <c r="AF113">
        <f>IF(AND($F113="Closed",$X113&gt;=DATE(2026,5,1),$X113&lt;=DATE(2026,5,31)),"Closed in May","Other")</f>
        <v/>
      </c>
    </row>
    <row r="114">
      <c r="A114" s="2" t="n">
        <v>46144</v>
      </c>
      <c r="B114" s="3" t="n">
        <v>2026</v>
      </c>
      <c r="C114" s="3" t="inlineStr">
        <is>
          <t>Oyster Technocon</t>
        </is>
      </c>
      <c r="D114" s="3" t="inlineStr">
        <is>
          <t>Channel Sales</t>
        </is>
      </c>
      <c r="E114" s="3" t="n"/>
      <c r="F114" s="3" t="inlineStr">
        <is>
          <t>Closed</t>
        </is>
      </c>
      <c r="G114" s="3" t="inlineStr">
        <is>
          <t>Inderpal Singh</t>
        </is>
      </c>
      <c r="H114" s="3" t="n">
        <v>9028940248</v>
      </c>
      <c r="I114" s="7" t="inlineStr">
        <is>
          <t>PE02052602</t>
        </is>
      </c>
      <c r="J114" s="3" t="inlineStr">
        <is>
          <t>Low solar panel generation</t>
        </is>
      </c>
      <c r="K114" s="3" t="inlineStr">
        <is>
          <t>Nagpur</t>
        </is>
      </c>
      <c r="L114" s="3" t="inlineStr">
        <is>
          <t>Maharashtra</t>
        </is>
      </c>
      <c r="M114" s="3" t="inlineStr">
        <is>
          <t>AR</t>
        </is>
      </c>
      <c r="N114" s="3" t="inlineStr">
        <is>
          <t>JB Issue</t>
        </is>
      </c>
      <c r="O114" s="3" t="n">
        <v>540</v>
      </c>
      <c r="P114" s="25" t="inlineStr">
        <is>
          <t>NSMP24101626041</t>
        </is>
      </c>
      <c r="Q114" s="53">
        <f>MID(P114,5,2)</f>
        <v/>
      </c>
      <c r="R114" s="53">
        <f>MID(P114,7,2)</f>
        <v/>
      </c>
      <c r="S114" s="3" t="inlineStr">
        <is>
          <t>G2TB</t>
        </is>
      </c>
      <c r="T114" s="3" t="inlineStr">
        <is>
          <t>P2</t>
        </is>
      </c>
      <c r="U114" s="15" t="inlineStr">
        <is>
          <t>All JB Issue</t>
        </is>
      </c>
      <c r="V114" s="15" t="inlineStr">
        <is>
          <t>JB Changed</t>
        </is>
      </c>
      <c r="W114" s="15" t="inlineStr">
        <is>
          <t>Repair</t>
        </is>
      </c>
      <c r="X114" s="18" t="n">
        <v>46146</v>
      </c>
      <c r="Y114" s="73">
        <f>IF(X114="","",X114-A114)</f>
        <v/>
      </c>
      <c r="Z114" s="18" t="n">
        <v>46146</v>
      </c>
      <c r="AA114" s="3" t="n"/>
      <c r="AB114" s="3" t="n"/>
      <c r="AF114">
        <f>IF(AND($F114="Closed",$X114&gt;=DATE(2026,5,1),$X114&lt;=DATE(2026,5,31)),"Closed in May","Other")</f>
        <v/>
      </c>
    </row>
    <row r="115">
      <c r="A115" s="2" t="n">
        <v>46144</v>
      </c>
      <c r="B115" s="3" t="n">
        <v>2026</v>
      </c>
      <c r="C115" s="3" t="inlineStr">
        <is>
          <t>Oyster Technocon</t>
        </is>
      </c>
      <c r="D115" s="3" t="inlineStr">
        <is>
          <t>Channel Sales</t>
        </is>
      </c>
      <c r="E115" s="3" t="n"/>
      <c r="F115" s="3" t="inlineStr">
        <is>
          <t>Closed</t>
        </is>
      </c>
      <c r="G115" s="3" t="inlineStr">
        <is>
          <t>Inderpal Singh</t>
        </is>
      </c>
      <c r="H115" s="3" t="n">
        <v>9028940248</v>
      </c>
      <c r="I115" s="7" t="inlineStr">
        <is>
          <t>PE02052602</t>
        </is>
      </c>
      <c r="J115" s="3" t="inlineStr">
        <is>
          <t>Low solar panel generation</t>
        </is>
      </c>
      <c r="K115" s="3" t="inlineStr">
        <is>
          <t>Nagpur</t>
        </is>
      </c>
      <c r="L115" s="3" t="inlineStr">
        <is>
          <t>Maharashtra</t>
        </is>
      </c>
      <c r="M115" s="3" t="inlineStr">
        <is>
          <t>AR</t>
        </is>
      </c>
      <c r="N115" s="3" t="inlineStr">
        <is>
          <t>JB Issue</t>
        </is>
      </c>
      <c r="O115" s="3" t="n">
        <v>540</v>
      </c>
      <c r="P115" s="25" t="inlineStr">
        <is>
          <t>NSMP24101626052</t>
        </is>
      </c>
      <c r="Q115" s="53">
        <f>MID(P115,5,2)</f>
        <v/>
      </c>
      <c r="R115" s="53">
        <f>MID(P115,7,2)</f>
        <v/>
      </c>
      <c r="S115" s="3" t="inlineStr">
        <is>
          <t>G2TB</t>
        </is>
      </c>
      <c r="T115" s="3" t="inlineStr">
        <is>
          <t>P2</t>
        </is>
      </c>
      <c r="U115" s="15" t="inlineStr">
        <is>
          <t>All JB Issue</t>
        </is>
      </c>
      <c r="V115" s="15" t="inlineStr">
        <is>
          <t>JB Changed</t>
        </is>
      </c>
      <c r="W115" s="15" t="inlineStr">
        <is>
          <t>Repair</t>
        </is>
      </c>
      <c r="X115" s="18" t="n">
        <v>46146</v>
      </c>
      <c r="Y115" s="73">
        <f>IF(X115="","",X115-A115)</f>
        <v/>
      </c>
      <c r="Z115" s="18" t="n">
        <v>46146</v>
      </c>
      <c r="AA115" s="15" t="n"/>
      <c r="AB115" s="15" t="n"/>
      <c r="AF115">
        <f>IF(AND($F115="Closed",$X115&gt;=DATE(2026,5,1),$X115&lt;=DATE(2026,5,31)),"Closed in May","Other")</f>
        <v/>
      </c>
    </row>
    <row r="116">
      <c r="A116" s="2" t="n">
        <v>46144</v>
      </c>
      <c r="B116" s="3" t="n">
        <v>2026</v>
      </c>
      <c r="C116" s="3" t="inlineStr">
        <is>
          <t>Oyster Technocon</t>
        </is>
      </c>
      <c r="D116" s="3" t="inlineStr">
        <is>
          <t>Channel Sales</t>
        </is>
      </c>
      <c r="E116" s="3" t="n"/>
      <c r="F116" s="3" t="inlineStr">
        <is>
          <t>Closed</t>
        </is>
      </c>
      <c r="G116" s="3" t="inlineStr">
        <is>
          <t>Inderpal Singh</t>
        </is>
      </c>
      <c r="H116" s="3" t="n">
        <v>9028940248</v>
      </c>
      <c r="I116" s="7" t="inlineStr">
        <is>
          <t>PE02052602</t>
        </is>
      </c>
      <c r="J116" s="3" t="inlineStr">
        <is>
          <t>Low solar panel generation</t>
        </is>
      </c>
      <c r="K116" s="3" t="inlineStr">
        <is>
          <t>Nagpur</t>
        </is>
      </c>
      <c r="L116" s="3" t="inlineStr">
        <is>
          <t>Maharashtra</t>
        </is>
      </c>
      <c r="M116" s="3" t="inlineStr">
        <is>
          <t>Found okay</t>
        </is>
      </c>
      <c r="N116" s="3" t="inlineStr">
        <is>
          <t>No Issue</t>
        </is>
      </c>
      <c r="O116" s="3" t="n">
        <v>540</v>
      </c>
      <c r="P116" s="36" t="inlineStr">
        <is>
          <t>N/A</t>
        </is>
      </c>
      <c r="Q116" s="53">
        <f>MID(P116,5,2)</f>
        <v/>
      </c>
      <c r="R116" s="53">
        <f>MID(P116,7,2)</f>
        <v/>
      </c>
      <c r="S116" s="3" t="inlineStr">
        <is>
          <t>G2TB</t>
        </is>
      </c>
      <c r="T116" s="3" t="inlineStr">
        <is>
          <t>P2</t>
        </is>
      </c>
      <c r="U116" s="5" t="inlineStr">
        <is>
          <t>No Issue Found</t>
        </is>
      </c>
      <c r="V116" s="3" t="inlineStr">
        <is>
          <t>Found OK</t>
        </is>
      </c>
      <c r="W116" s="15" t="inlineStr">
        <is>
          <t>Repair</t>
        </is>
      </c>
      <c r="X116" s="18" t="n">
        <v>46146</v>
      </c>
      <c r="Y116" s="73">
        <f>IF(X116="","",X116-A116)</f>
        <v/>
      </c>
      <c r="Z116" s="18" t="n">
        <v>46146</v>
      </c>
      <c r="AA116" s="3" t="n"/>
      <c r="AB116" s="3" t="n"/>
      <c r="AF116">
        <f>IF(AND($F116="Closed",$X116&gt;=DATE(2026,5,1),$X116&lt;=DATE(2026,5,31)),"Closed in May","Other")</f>
        <v/>
      </c>
    </row>
    <row r="117">
      <c r="A117" s="2" t="n">
        <v>46144</v>
      </c>
      <c r="B117" s="3" t="n">
        <v>2026</v>
      </c>
      <c r="C117" s="3" t="inlineStr">
        <is>
          <t>Oyster Technocon</t>
        </is>
      </c>
      <c r="D117" s="3" t="inlineStr">
        <is>
          <t>Channel Sales</t>
        </is>
      </c>
      <c r="E117" s="3" t="n"/>
      <c r="F117" s="3" t="inlineStr">
        <is>
          <t>Closed</t>
        </is>
      </c>
      <c r="G117" s="3" t="inlineStr">
        <is>
          <t>Inderpal Singh</t>
        </is>
      </c>
      <c r="H117" s="3" t="n">
        <v>9028940248</v>
      </c>
      <c r="I117" s="7" t="inlineStr">
        <is>
          <t>PE02052602</t>
        </is>
      </c>
      <c r="J117" s="3" t="inlineStr">
        <is>
          <t>Low solar panel generation</t>
        </is>
      </c>
      <c r="K117" s="3" t="inlineStr">
        <is>
          <t>Nagpur</t>
        </is>
      </c>
      <c r="L117" s="3" t="inlineStr">
        <is>
          <t>Maharashtra</t>
        </is>
      </c>
      <c r="M117" s="3" t="inlineStr">
        <is>
          <t>Found okay</t>
        </is>
      </c>
      <c r="N117" s="3" t="inlineStr">
        <is>
          <t>No Issue</t>
        </is>
      </c>
      <c r="O117" s="3" t="n">
        <v>540</v>
      </c>
      <c r="P117" s="36" t="inlineStr">
        <is>
          <t>N/A</t>
        </is>
      </c>
      <c r="Q117" s="53">
        <f>MID(P117,5,2)</f>
        <v/>
      </c>
      <c r="R117" s="53">
        <f>MID(P117,7,2)</f>
        <v/>
      </c>
      <c r="S117" s="3" t="inlineStr">
        <is>
          <t>G2TB</t>
        </is>
      </c>
      <c r="T117" s="3" t="inlineStr">
        <is>
          <t>P2</t>
        </is>
      </c>
      <c r="U117" s="5" t="inlineStr">
        <is>
          <t>No Issue Found</t>
        </is>
      </c>
      <c r="V117" s="3" t="inlineStr">
        <is>
          <t>Found OK</t>
        </is>
      </c>
      <c r="W117" s="15" t="inlineStr">
        <is>
          <t>Repair</t>
        </is>
      </c>
      <c r="X117" s="18" t="n">
        <v>46146</v>
      </c>
      <c r="Y117" s="73">
        <f>IF(X117="","",X117-A117)</f>
        <v/>
      </c>
      <c r="Z117" s="18" t="n">
        <v>46146</v>
      </c>
      <c r="AA117" s="15" t="n"/>
      <c r="AB117" s="15" t="n"/>
      <c r="AF117">
        <f>IF(AND($F117="Closed",$X117&gt;=DATE(2026,5,1),$X117&lt;=DATE(2026,5,31)),"Closed in May","Other")</f>
        <v/>
      </c>
    </row>
    <row r="118">
      <c r="A118" s="2" t="n">
        <v>46144</v>
      </c>
      <c r="B118" s="3" t="n">
        <v>2026</v>
      </c>
      <c r="C118" s="3" t="inlineStr">
        <is>
          <t>Oyster Technocon</t>
        </is>
      </c>
      <c r="D118" s="3" t="inlineStr">
        <is>
          <t>Channel Sales</t>
        </is>
      </c>
      <c r="E118" s="3" t="n"/>
      <c r="F118" s="3" t="inlineStr">
        <is>
          <t>Closed</t>
        </is>
      </c>
      <c r="G118" s="3" t="inlineStr">
        <is>
          <t>Inderpal Singh</t>
        </is>
      </c>
      <c r="H118" s="3" t="n">
        <v>9028940248</v>
      </c>
      <c r="I118" s="7" t="inlineStr">
        <is>
          <t>PE02052602</t>
        </is>
      </c>
      <c r="J118" s="3" t="inlineStr">
        <is>
          <t>Low solar panel generation</t>
        </is>
      </c>
      <c r="K118" s="3" t="inlineStr">
        <is>
          <t>Nagpur</t>
        </is>
      </c>
      <c r="L118" s="3" t="inlineStr">
        <is>
          <t>Maharashtra</t>
        </is>
      </c>
      <c r="M118" s="3" t="inlineStr">
        <is>
          <t>Found okay</t>
        </is>
      </c>
      <c r="N118" s="3" t="inlineStr">
        <is>
          <t>No Issue</t>
        </is>
      </c>
      <c r="O118" s="3" t="n">
        <v>540</v>
      </c>
      <c r="P118" s="36" t="inlineStr">
        <is>
          <t>N/A</t>
        </is>
      </c>
      <c r="Q118" s="53">
        <f>MID(P118,5,2)</f>
        <v/>
      </c>
      <c r="R118" s="53">
        <f>MID(P118,7,2)</f>
        <v/>
      </c>
      <c r="S118" s="3" t="inlineStr">
        <is>
          <t>G2TB</t>
        </is>
      </c>
      <c r="T118" s="3" t="inlineStr">
        <is>
          <t>P2</t>
        </is>
      </c>
      <c r="U118" s="5" t="inlineStr">
        <is>
          <t>No Issue Found</t>
        </is>
      </c>
      <c r="V118" s="3" t="inlineStr">
        <is>
          <t>Found OK</t>
        </is>
      </c>
      <c r="W118" s="15" t="inlineStr">
        <is>
          <t>Repair</t>
        </is>
      </c>
      <c r="X118" s="18" t="n">
        <v>46146</v>
      </c>
      <c r="Y118" s="73">
        <f>IF(X118="","",X118-A118)</f>
        <v/>
      </c>
      <c r="Z118" s="18" t="n">
        <v>46146</v>
      </c>
      <c r="AA118" s="3" t="n"/>
      <c r="AB118" s="3" t="n"/>
      <c r="AF118">
        <f>IF(AND($F118="Closed",$X118&gt;=DATE(2026,5,1),$X118&lt;=DATE(2026,5,31)),"Closed in May","Other")</f>
        <v/>
      </c>
    </row>
    <row r="119">
      <c r="A119" s="2" t="n">
        <v>46106</v>
      </c>
      <c r="B119" s="3" t="n">
        <v>2026</v>
      </c>
      <c r="C119" s="3" t="inlineStr">
        <is>
          <t>First Energy</t>
        </is>
      </c>
      <c r="D119" s="3" t="inlineStr">
        <is>
          <t>Utility and C&amp;I</t>
        </is>
      </c>
      <c r="E119" s="3" t="n"/>
      <c r="F119" s="3" t="inlineStr">
        <is>
          <t>Closed</t>
        </is>
      </c>
      <c r="G119" s="3" t="inlineStr">
        <is>
          <t>Mr. Gaurav</t>
        </is>
      </c>
      <c r="H119" s="3" t="n">
        <v>9979185999</v>
      </c>
      <c r="I119" s="11" t="inlineStr">
        <is>
          <t>PE25032601</t>
        </is>
      </c>
      <c r="J119" s="9" t="inlineStr">
        <is>
          <t>Module Defects</t>
        </is>
      </c>
      <c r="K119" s="3" t="inlineStr">
        <is>
          <t>Rajkot</t>
        </is>
      </c>
      <c r="L119" s="3" t="inlineStr">
        <is>
          <t>Gujarat</t>
        </is>
      </c>
      <c r="M119" s="9" t="inlineStr">
        <is>
          <t xml:space="preserve">hotspot found </t>
        </is>
      </c>
      <c r="N119" s="19" t="inlineStr">
        <is>
          <t>Hotspot</t>
        </is>
      </c>
      <c r="O119" s="3" t="n">
        <v>550</v>
      </c>
      <c r="P119" s="9" t="inlineStr">
        <is>
          <t>NSMP2212285926</t>
        </is>
      </c>
      <c r="Q119" s="53">
        <f>MID(P119,5,2)</f>
        <v/>
      </c>
      <c r="R119" s="53">
        <f>MID(P119,7,2)</f>
        <v/>
      </c>
      <c r="S119" s="3" t="inlineStr">
        <is>
          <t>G2B</t>
        </is>
      </c>
      <c r="T119" s="3" t="inlineStr">
        <is>
          <t>P2</t>
        </is>
      </c>
      <c r="U119" s="9" t="inlineStr">
        <is>
          <t xml:space="preserve">Multi Cell Hotspot </t>
        </is>
      </c>
      <c r="V119" s="3" t="inlineStr">
        <is>
          <t>Inspection</t>
        </is>
      </c>
      <c r="W119" s="3" t="inlineStr">
        <is>
          <t>Rejected</t>
        </is>
      </c>
      <c r="X119" s="2">
        <f>Z119</f>
        <v/>
      </c>
      <c r="Y119" s="73">
        <f>IF(X119="","",X119-A119)</f>
        <v/>
      </c>
      <c r="Z119" s="18" t="n">
        <v>46146</v>
      </c>
      <c r="AA119" s="15" t="n"/>
      <c r="AB119" s="15" t="n"/>
      <c r="AF119">
        <f>IF(AND($F119="Closed",$X119&gt;=DATE(2026,5,1),$X119&lt;=DATE(2026,5,31)),"Closed in May","Other")</f>
        <v/>
      </c>
    </row>
    <row r="120">
      <c r="A120" s="2" t="n">
        <v>46106</v>
      </c>
      <c r="B120" s="3" t="n">
        <v>2026</v>
      </c>
      <c r="C120" s="3" t="inlineStr">
        <is>
          <t>First Energy</t>
        </is>
      </c>
      <c r="D120" s="3" t="inlineStr">
        <is>
          <t>Utility and C&amp;I</t>
        </is>
      </c>
      <c r="E120" s="3" t="n"/>
      <c r="F120" s="3" t="inlineStr">
        <is>
          <t>Closed</t>
        </is>
      </c>
      <c r="G120" s="3" t="inlineStr">
        <is>
          <t>Mr. Gaurav</t>
        </is>
      </c>
      <c r="H120" s="3" t="n">
        <v>9979185999</v>
      </c>
      <c r="I120" s="11" t="inlineStr">
        <is>
          <t>PE25032601</t>
        </is>
      </c>
      <c r="J120" s="9" t="inlineStr">
        <is>
          <t>Module Defects</t>
        </is>
      </c>
      <c r="K120" s="3" t="inlineStr">
        <is>
          <t>Rajkot</t>
        </is>
      </c>
      <c r="L120" s="3" t="inlineStr">
        <is>
          <t>Gujarat</t>
        </is>
      </c>
      <c r="M120" s="9" t="inlineStr">
        <is>
          <t xml:space="preserve">hotspot found </t>
        </is>
      </c>
      <c r="N120" s="19" t="inlineStr">
        <is>
          <t>Hotspot</t>
        </is>
      </c>
      <c r="O120" s="3" t="n">
        <v>550</v>
      </c>
      <c r="P120" s="9" t="inlineStr">
        <is>
          <t>NSMP2212276765</t>
        </is>
      </c>
      <c r="Q120" s="53">
        <f>MID(P120,5,2)</f>
        <v/>
      </c>
      <c r="R120" s="53">
        <f>MID(P120,7,2)</f>
        <v/>
      </c>
      <c r="S120" s="3" t="inlineStr">
        <is>
          <t>G2B</t>
        </is>
      </c>
      <c r="T120" s="3" t="inlineStr">
        <is>
          <t>P2</t>
        </is>
      </c>
      <c r="U120" s="9" t="inlineStr">
        <is>
          <t xml:space="preserve">Single Cell Hotspot </t>
        </is>
      </c>
      <c r="V120" s="3" t="inlineStr">
        <is>
          <t>Inspection</t>
        </is>
      </c>
      <c r="W120" s="3" t="inlineStr">
        <is>
          <t>Rejected</t>
        </is>
      </c>
      <c r="X120" s="2">
        <f>Z120</f>
        <v/>
      </c>
      <c r="Y120" s="73">
        <f>IF(X120="","",X120-A120)</f>
        <v/>
      </c>
      <c r="Z120" s="18" t="n">
        <v>46146</v>
      </c>
      <c r="AA120" s="15" t="n"/>
      <c r="AB120" s="15" t="n"/>
      <c r="AF120">
        <f>IF(AND($F120="Closed",$X120&gt;=DATE(2026,5,1),$X120&lt;=DATE(2026,5,31)),"Closed in May","Other")</f>
        <v/>
      </c>
    </row>
    <row r="121">
      <c r="A121" s="2" t="n">
        <v>46106</v>
      </c>
      <c r="B121" s="3" t="n">
        <v>2026</v>
      </c>
      <c r="C121" s="3" t="inlineStr">
        <is>
          <t>First Energy</t>
        </is>
      </c>
      <c r="D121" s="3" t="inlineStr">
        <is>
          <t>Utility and C&amp;I</t>
        </is>
      </c>
      <c r="E121" s="3" t="n"/>
      <c r="F121" s="3" t="inlineStr">
        <is>
          <t>WIP</t>
        </is>
      </c>
      <c r="G121" s="3" t="inlineStr">
        <is>
          <t>Mr. Gaurav</t>
        </is>
      </c>
      <c r="H121" s="3" t="n">
        <v>9979185999</v>
      </c>
      <c r="I121" s="11" t="inlineStr">
        <is>
          <t>PE25032601</t>
        </is>
      </c>
      <c r="J121" s="9" t="inlineStr">
        <is>
          <t>Module Defects</t>
        </is>
      </c>
      <c r="K121" s="3" t="inlineStr">
        <is>
          <t>Rajkot</t>
        </is>
      </c>
      <c r="L121" s="3" t="inlineStr">
        <is>
          <t>Gujarat</t>
        </is>
      </c>
      <c r="M121" s="9" t="inlineStr">
        <is>
          <t xml:space="preserve">Broken Module </t>
        </is>
      </c>
      <c r="N121" s="19" t="inlineStr">
        <is>
          <t>Hotspot</t>
        </is>
      </c>
      <c r="O121" s="3" t="n">
        <v>550</v>
      </c>
      <c r="P121" s="9" t="inlineStr">
        <is>
          <t>NSMP2301293423</t>
        </is>
      </c>
      <c r="Q121" s="53">
        <f>MID(P121,5,2)</f>
        <v/>
      </c>
      <c r="R121" s="53">
        <f>MID(P121,7,2)</f>
        <v/>
      </c>
      <c r="S121" s="3" t="inlineStr">
        <is>
          <t>G2B</t>
        </is>
      </c>
      <c r="T121" s="3" t="inlineStr">
        <is>
          <t>P2</t>
        </is>
      </c>
      <c r="U121" s="9" t="inlineStr">
        <is>
          <t xml:space="preserve">Multi Cell Hotspot </t>
        </is>
      </c>
      <c r="V121" s="3" t="inlineStr">
        <is>
          <t>Inspection</t>
        </is>
      </c>
      <c r="W121" s="3" t="inlineStr">
        <is>
          <t>WIP</t>
        </is>
      </c>
      <c r="X121" s="5" t="n"/>
      <c r="Y121" s="73">
        <f>IF(X121="","",X121-A121)</f>
        <v/>
      </c>
      <c r="Z121" s="18" t="n">
        <v>46146</v>
      </c>
      <c r="AA121" s="15" t="n"/>
      <c r="AB121" s="15" t="n"/>
      <c r="AF121">
        <f>IF(AND($F121="Closed",$X121&gt;=DATE(2026,5,1),$X121&lt;=DATE(2026,5,31)),"Closed in May","Other")</f>
        <v/>
      </c>
    </row>
    <row r="122">
      <c r="A122" s="2" t="n">
        <v>46106</v>
      </c>
      <c r="B122" s="3" t="n">
        <v>2026</v>
      </c>
      <c r="C122" s="3" t="inlineStr">
        <is>
          <t>First Energy</t>
        </is>
      </c>
      <c r="D122" s="3" t="inlineStr">
        <is>
          <t>Utility and C&amp;I</t>
        </is>
      </c>
      <c r="E122" s="3" t="n"/>
      <c r="F122" s="3" t="inlineStr">
        <is>
          <t>Closed</t>
        </is>
      </c>
      <c r="G122" s="3" t="inlineStr">
        <is>
          <t>Mr. Gaurav</t>
        </is>
      </c>
      <c r="H122" s="3" t="n">
        <v>9979185999</v>
      </c>
      <c r="I122" s="11" t="inlineStr">
        <is>
          <t>PE25032601</t>
        </is>
      </c>
      <c r="J122" s="9" t="inlineStr">
        <is>
          <t>Module Defects</t>
        </is>
      </c>
      <c r="K122" s="3" t="inlineStr">
        <is>
          <t>Rajkot</t>
        </is>
      </c>
      <c r="L122" s="3" t="inlineStr">
        <is>
          <t>Gujarat</t>
        </is>
      </c>
      <c r="M122" s="9" t="inlineStr">
        <is>
          <t xml:space="preserve">hotspot found </t>
        </is>
      </c>
      <c r="N122" s="19" t="inlineStr">
        <is>
          <t>Hotspot</t>
        </is>
      </c>
      <c r="O122" s="3" t="n">
        <v>550</v>
      </c>
      <c r="P122" s="9" t="inlineStr">
        <is>
          <t>NSMP2301328643</t>
        </is>
      </c>
      <c r="Q122" s="53">
        <f>MID(P122,5,2)</f>
        <v/>
      </c>
      <c r="R122" s="53">
        <f>MID(P122,7,2)</f>
        <v/>
      </c>
      <c r="S122" s="3" t="inlineStr">
        <is>
          <t>G2B</t>
        </is>
      </c>
      <c r="T122" s="3" t="inlineStr">
        <is>
          <t>P2</t>
        </is>
      </c>
      <c r="U122" s="9" t="inlineStr">
        <is>
          <t xml:space="preserve">Multi Cell Hotspot </t>
        </is>
      </c>
      <c r="V122" s="3" t="inlineStr">
        <is>
          <t>Inspection</t>
        </is>
      </c>
      <c r="W122" s="3" t="inlineStr">
        <is>
          <t>Rejected</t>
        </is>
      </c>
      <c r="X122" s="2">
        <f>Z122</f>
        <v/>
      </c>
      <c r="Y122" s="73">
        <f>IF(X122="","",X122-A122)</f>
        <v/>
      </c>
      <c r="Z122" s="18" t="n">
        <v>46146</v>
      </c>
      <c r="AA122" s="15" t="n"/>
      <c r="AB122" s="15" t="n"/>
      <c r="AF122">
        <f>IF(AND($F122="Closed",$X122&gt;=DATE(2026,5,1),$X122&lt;=DATE(2026,5,31)),"Closed in May","Other")</f>
        <v/>
      </c>
    </row>
    <row r="123">
      <c r="A123" s="2" t="n">
        <v>46106</v>
      </c>
      <c r="B123" s="3" t="n">
        <v>2026</v>
      </c>
      <c r="C123" s="3" t="inlineStr">
        <is>
          <t>First Energy</t>
        </is>
      </c>
      <c r="D123" s="3" t="inlineStr">
        <is>
          <t>Utility and C&amp;I</t>
        </is>
      </c>
      <c r="E123" s="3" t="n"/>
      <c r="F123" s="3" t="inlineStr">
        <is>
          <t>Closed</t>
        </is>
      </c>
      <c r="G123" s="3" t="inlineStr">
        <is>
          <t>Mr. Gaurav</t>
        </is>
      </c>
      <c r="H123" s="3" t="n">
        <v>9979185999</v>
      </c>
      <c r="I123" s="11" t="inlineStr">
        <is>
          <t>PE25032601</t>
        </is>
      </c>
      <c r="J123" s="9" t="inlineStr">
        <is>
          <t>Module Defects</t>
        </is>
      </c>
      <c r="K123" s="3" t="inlineStr">
        <is>
          <t>Rajkot</t>
        </is>
      </c>
      <c r="L123" s="3" t="inlineStr">
        <is>
          <t>Gujarat</t>
        </is>
      </c>
      <c r="M123" s="9" t="inlineStr">
        <is>
          <t xml:space="preserve">hotspot found </t>
        </is>
      </c>
      <c r="N123" s="19" t="inlineStr">
        <is>
          <t>Hotspot</t>
        </is>
      </c>
      <c r="O123" s="3" t="n">
        <v>550</v>
      </c>
      <c r="P123" s="9" t="inlineStr">
        <is>
          <t>NSMP2212270666</t>
        </is>
      </c>
      <c r="Q123" s="53">
        <f>MID(P123,5,2)</f>
        <v/>
      </c>
      <c r="R123" s="53">
        <f>MID(P123,7,2)</f>
        <v/>
      </c>
      <c r="S123" s="3" t="inlineStr">
        <is>
          <t>G2B</t>
        </is>
      </c>
      <c r="T123" s="3" t="inlineStr">
        <is>
          <t>P2</t>
        </is>
      </c>
      <c r="U123" s="9" t="inlineStr">
        <is>
          <t xml:space="preserve">Multi Cell Hotspot </t>
        </is>
      </c>
      <c r="V123" s="3" t="inlineStr">
        <is>
          <t>Inspection</t>
        </is>
      </c>
      <c r="W123" s="3" t="inlineStr">
        <is>
          <t>Rejected</t>
        </is>
      </c>
      <c r="X123" s="2">
        <f>Z123</f>
        <v/>
      </c>
      <c r="Y123" s="73">
        <f>IF(X123="","",X123-A123)</f>
        <v/>
      </c>
      <c r="Z123" s="18" t="n">
        <v>46146</v>
      </c>
      <c r="AA123" s="15" t="n"/>
      <c r="AB123" s="15" t="n"/>
      <c r="AF123">
        <f>IF(AND($F123="Closed",$X123&gt;=DATE(2026,5,1),$X123&lt;=DATE(2026,5,31)),"Closed in May","Other")</f>
        <v/>
      </c>
    </row>
    <row r="124">
      <c r="A124" s="2" t="n">
        <v>46106</v>
      </c>
      <c r="B124" s="3" t="n">
        <v>2026</v>
      </c>
      <c r="C124" s="3" t="inlineStr">
        <is>
          <t>First Energy</t>
        </is>
      </c>
      <c r="D124" s="3" t="inlineStr">
        <is>
          <t>Utility and C&amp;I</t>
        </is>
      </c>
      <c r="E124" s="3" t="n"/>
      <c r="F124" s="3" t="inlineStr">
        <is>
          <t>Closed</t>
        </is>
      </c>
      <c r="G124" s="3" t="inlineStr">
        <is>
          <t>Mr. Gaurav</t>
        </is>
      </c>
      <c r="H124" s="3" t="n">
        <v>9979185999</v>
      </c>
      <c r="I124" s="11" t="inlineStr">
        <is>
          <t>PE25032601</t>
        </is>
      </c>
      <c r="J124" s="9" t="inlineStr">
        <is>
          <t>Module Defects</t>
        </is>
      </c>
      <c r="K124" s="3" t="inlineStr">
        <is>
          <t>Rajkot</t>
        </is>
      </c>
      <c r="L124" s="3" t="inlineStr">
        <is>
          <t>Gujarat</t>
        </is>
      </c>
      <c r="M124" s="9" t="inlineStr">
        <is>
          <t xml:space="preserve">hotspot found </t>
        </is>
      </c>
      <c r="N124" s="19" t="inlineStr">
        <is>
          <t>Hotspot</t>
        </is>
      </c>
      <c r="O124" s="3" t="n">
        <v>550</v>
      </c>
      <c r="P124" s="9" t="inlineStr">
        <is>
          <t>NSMP2212268452</t>
        </is>
      </c>
      <c r="Q124" s="53">
        <f>MID(P124,5,2)</f>
        <v/>
      </c>
      <c r="R124" s="53">
        <f>MID(P124,7,2)</f>
        <v/>
      </c>
      <c r="S124" s="3" t="inlineStr">
        <is>
          <t>G2B</t>
        </is>
      </c>
      <c r="T124" s="3" t="inlineStr">
        <is>
          <t>P2</t>
        </is>
      </c>
      <c r="U124" s="9" t="inlineStr">
        <is>
          <t xml:space="preserve">Single Cell Hotspot </t>
        </is>
      </c>
      <c r="V124" s="3" t="inlineStr">
        <is>
          <t>Inspection</t>
        </is>
      </c>
      <c r="W124" s="3" t="inlineStr">
        <is>
          <t>Rejected</t>
        </is>
      </c>
      <c r="X124" s="2">
        <f>Z124</f>
        <v/>
      </c>
      <c r="Y124" s="73">
        <f>IF(X124="","",X124-A124)</f>
        <v/>
      </c>
      <c r="Z124" s="18" t="n">
        <v>46146</v>
      </c>
      <c r="AA124" s="15" t="n"/>
      <c r="AB124" s="15" t="n"/>
      <c r="AF124">
        <f>IF(AND($F124="Closed",$X124&gt;=DATE(2026,5,1),$X124&lt;=DATE(2026,5,31)),"Closed in May","Other")</f>
        <v/>
      </c>
    </row>
    <row r="125">
      <c r="A125" s="2" t="n">
        <v>46106</v>
      </c>
      <c r="B125" s="3" t="n">
        <v>2026</v>
      </c>
      <c r="C125" s="3" t="inlineStr">
        <is>
          <t>First Energy</t>
        </is>
      </c>
      <c r="D125" s="3" t="inlineStr">
        <is>
          <t>Utility and C&amp;I</t>
        </is>
      </c>
      <c r="E125" s="3" t="n"/>
      <c r="F125" s="3" t="inlineStr">
        <is>
          <t>Closed</t>
        </is>
      </c>
      <c r="G125" s="3" t="inlineStr">
        <is>
          <t>Mr. Gaurav</t>
        </is>
      </c>
      <c r="H125" s="3" t="n">
        <v>9979185999</v>
      </c>
      <c r="I125" s="11" t="inlineStr">
        <is>
          <t>PE25032601</t>
        </is>
      </c>
      <c r="J125" s="9" t="inlineStr">
        <is>
          <t>Module Defects</t>
        </is>
      </c>
      <c r="K125" s="3" t="inlineStr">
        <is>
          <t>Rajkot</t>
        </is>
      </c>
      <c r="L125" s="3" t="inlineStr">
        <is>
          <t>Gujarat</t>
        </is>
      </c>
      <c r="M125" s="9" t="inlineStr">
        <is>
          <t xml:space="preserve">hotspot found </t>
        </is>
      </c>
      <c r="N125" s="19" t="inlineStr">
        <is>
          <t>Hotspot</t>
        </is>
      </c>
      <c r="O125" s="3" t="n">
        <v>550</v>
      </c>
      <c r="P125" s="9" t="inlineStr">
        <is>
          <t>NSMP2212271260</t>
        </is>
      </c>
      <c r="Q125" s="53">
        <f>MID(P125,5,2)</f>
        <v/>
      </c>
      <c r="R125" s="53">
        <f>MID(P125,7,2)</f>
        <v/>
      </c>
      <c r="S125" s="3" t="inlineStr">
        <is>
          <t>G2B</t>
        </is>
      </c>
      <c r="T125" s="3" t="inlineStr">
        <is>
          <t>P2</t>
        </is>
      </c>
      <c r="U125" s="9" t="inlineStr">
        <is>
          <t xml:space="preserve">Multi Cell Hotspot </t>
        </is>
      </c>
      <c r="V125" s="3" t="inlineStr">
        <is>
          <t>Inspection</t>
        </is>
      </c>
      <c r="W125" s="3" t="inlineStr">
        <is>
          <t>Rejected</t>
        </is>
      </c>
      <c r="X125" s="2">
        <f>Z125</f>
        <v/>
      </c>
      <c r="Y125" s="73">
        <f>IF(X125="","",X125-A125)</f>
        <v/>
      </c>
      <c r="Z125" s="18" t="n">
        <v>46146</v>
      </c>
      <c r="AA125" s="15" t="n"/>
      <c r="AB125" s="15" t="n"/>
      <c r="AF125">
        <f>IF(AND($F125="Closed",$X125&gt;=DATE(2026,5,1),$X125&lt;=DATE(2026,5,31)),"Closed in May","Other")</f>
        <v/>
      </c>
    </row>
    <row r="126">
      <c r="A126" s="2" t="n">
        <v>46106</v>
      </c>
      <c r="B126" s="3" t="n">
        <v>2026</v>
      </c>
      <c r="C126" s="3" t="inlineStr">
        <is>
          <t>First Energy</t>
        </is>
      </c>
      <c r="D126" s="3" t="inlineStr">
        <is>
          <t>Utility and C&amp;I</t>
        </is>
      </c>
      <c r="E126" s="3" t="n"/>
      <c r="F126" s="3" t="inlineStr">
        <is>
          <t>Closed</t>
        </is>
      </c>
      <c r="G126" s="3" t="inlineStr">
        <is>
          <t>Mr. Gaurav</t>
        </is>
      </c>
      <c r="H126" s="3" t="n">
        <v>9979185999</v>
      </c>
      <c r="I126" s="11" t="inlineStr">
        <is>
          <t>PE25032601</t>
        </is>
      </c>
      <c r="J126" s="9" t="inlineStr">
        <is>
          <t>Module Defects</t>
        </is>
      </c>
      <c r="K126" s="3" t="inlineStr">
        <is>
          <t>Rajkot</t>
        </is>
      </c>
      <c r="L126" s="3" t="inlineStr">
        <is>
          <t>Gujarat</t>
        </is>
      </c>
      <c r="M126" s="9" t="inlineStr">
        <is>
          <t xml:space="preserve">hotspot found </t>
        </is>
      </c>
      <c r="N126" s="19" t="inlineStr">
        <is>
          <t>Hotspot</t>
        </is>
      </c>
      <c r="O126" s="3" t="n">
        <v>550</v>
      </c>
      <c r="P126" s="9" t="inlineStr">
        <is>
          <t>NSMP2301334386</t>
        </is>
      </c>
      <c r="Q126" s="53">
        <f>MID(P126,5,2)</f>
        <v/>
      </c>
      <c r="R126" s="53">
        <f>MID(P126,7,2)</f>
        <v/>
      </c>
      <c r="S126" s="3" t="inlineStr">
        <is>
          <t>G2B</t>
        </is>
      </c>
      <c r="T126" s="3" t="inlineStr">
        <is>
          <t>P2</t>
        </is>
      </c>
      <c r="U126" s="9" t="inlineStr">
        <is>
          <t xml:space="preserve">Multi Cell Hotspot </t>
        </is>
      </c>
      <c r="V126" s="3" t="inlineStr">
        <is>
          <t>Inspection</t>
        </is>
      </c>
      <c r="W126" s="3" t="inlineStr">
        <is>
          <t>Rejected</t>
        </is>
      </c>
      <c r="X126" s="2">
        <f>Z126</f>
        <v/>
      </c>
      <c r="Y126" s="73">
        <f>IF(X126="","",X126-A126)</f>
        <v/>
      </c>
      <c r="Z126" s="18" t="n">
        <v>46146</v>
      </c>
      <c r="AA126" s="15" t="n"/>
      <c r="AB126" s="15" t="n"/>
      <c r="AF126">
        <f>IF(AND($F126="Closed",$X126&gt;=DATE(2026,5,1),$X126&lt;=DATE(2026,5,31)),"Closed in May","Other")</f>
        <v/>
      </c>
    </row>
    <row r="127">
      <c r="A127" s="2" t="n">
        <v>46106</v>
      </c>
      <c r="B127" s="3" t="n">
        <v>2026</v>
      </c>
      <c r="C127" s="3" t="inlineStr">
        <is>
          <t>First Energy</t>
        </is>
      </c>
      <c r="D127" s="3" t="inlineStr">
        <is>
          <t>Utility and C&amp;I</t>
        </is>
      </c>
      <c r="E127" s="3" t="n"/>
      <c r="F127" s="3" t="inlineStr">
        <is>
          <t>Closed</t>
        </is>
      </c>
      <c r="G127" s="3" t="inlineStr">
        <is>
          <t>Mr. Gaurav</t>
        </is>
      </c>
      <c r="H127" s="3" t="n">
        <v>9979185999</v>
      </c>
      <c r="I127" s="11" t="inlineStr">
        <is>
          <t>PE25032601</t>
        </is>
      </c>
      <c r="J127" s="9" t="inlineStr">
        <is>
          <t>Module Defects</t>
        </is>
      </c>
      <c r="K127" s="3" t="inlineStr">
        <is>
          <t>Rajkot</t>
        </is>
      </c>
      <c r="L127" s="3" t="inlineStr">
        <is>
          <t>Gujarat</t>
        </is>
      </c>
      <c r="M127" s="9" t="inlineStr">
        <is>
          <t xml:space="preserve">hotspot found </t>
        </is>
      </c>
      <c r="N127" s="19" t="inlineStr">
        <is>
          <t>Hotspot</t>
        </is>
      </c>
      <c r="O127" s="3" t="n">
        <v>550</v>
      </c>
      <c r="P127" s="9" t="inlineStr">
        <is>
          <t>NSMP2301334369</t>
        </is>
      </c>
      <c r="Q127" s="53">
        <f>MID(P127,5,2)</f>
        <v/>
      </c>
      <c r="R127" s="53">
        <f>MID(P127,7,2)</f>
        <v/>
      </c>
      <c r="S127" s="3" t="inlineStr">
        <is>
          <t>G2B</t>
        </is>
      </c>
      <c r="T127" s="3" t="inlineStr">
        <is>
          <t>P2</t>
        </is>
      </c>
      <c r="U127" s="9" t="inlineStr">
        <is>
          <t xml:space="preserve">Multi Cell Hotspot </t>
        </is>
      </c>
      <c r="V127" s="3" t="inlineStr">
        <is>
          <t>Inspection</t>
        </is>
      </c>
      <c r="W127" s="3" t="inlineStr">
        <is>
          <t>Rejected</t>
        </is>
      </c>
      <c r="X127" s="2">
        <f>Z127</f>
        <v/>
      </c>
      <c r="Y127" s="73">
        <f>IF(X127="","",X127-A127)</f>
        <v/>
      </c>
      <c r="Z127" s="18" t="n">
        <v>46146</v>
      </c>
      <c r="AA127" s="15" t="n"/>
      <c r="AB127" s="15" t="n"/>
      <c r="AF127">
        <f>IF(AND($F127="Closed",$X127&gt;=DATE(2026,5,1),$X127&lt;=DATE(2026,5,31)),"Closed in May","Other")</f>
        <v/>
      </c>
    </row>
    <row r="128">
      <c r="A128" s="2" t="n">
        <v>46106</v>
      </c>
      <c r="B128" s="3" t="n">
        <v>2026</v>
      </c>
      <c r="C128" s="3" t="inlineStr">
        <is>
          <t>First Energy</t>
        </is>
      </c>
      <c r="D128" s="3" t="inlineStr">
        <is>
          <t>Utility and C&amp;I</t>
        </is>
      </c>
      <c r="E128" s="3" t="n"/>
      <c r="F128" s="3" t="inlineStr">
        <is>
          <t>Closed</t>
        </is>
      </c>
      <c r="G128" s="3" t="inlineStr">
        <is>
          <t>Mr. Gaurav</t>
        </is>
      </c>
      <c r="H128" s="3" t="n">
        <v>9979185999</v>
      </c>
      <c r="I128" s="11" t="inlineStr">
        <is>
          <t>PE25032601</t>
        </is>
      </c>
      <c r="J128" s="9" t="inlineStr">
        <is>
          <t>Module Defects</t>
        </is>
      </c>
      <c r="K128" s="3" t="inlineStr">
        <is>
          <t>Rajkot</t>
        </is>
      </c>
      <c r="L128" s="3" t="inlineStr">
        <is>
          <t>Gujarat</t>
        </is>
      </c>
      <c r="M128" s="9" t="inlineStr">
        <is>
          <t xml:space="preserve">hotspot found </t>
        </is>
      </c>
      <c r="N128" s="19" t="inlineStr">
        <is>
          <t>Hotspot</t>
        </is>
      </c>
      <c r="O128" s="3" t="n">
        <v>550</v>
      </c>
      <c r="P128" s="9" t="inlineStr">
        <is>
          <t>NSMP2301306009</t>
        </is>
      </c>
      <c r="Q128" s="53">
        <f>MID(P128,5,2)</f>
        <v/>
      </c>
      <c r="R128" s="53">
        <f>MID(P128,7,2)</f>
        <v/>
      </c>
      <c r="S128" s="3" t="inlineStr">
        <is>
          <t>G2B</t>
        </is>
      </c>
      <c r="T128" s="3" t="inlineStr">
        <is>
          <t>P2</t>
        </is>
      </c>
      <c r="U128" s="9" t="inlineStr">
        <is>
          <t xml:space="preserve">Multi Cell Hotspot </t>
        </is>
      </c>
      <c r="V128" s="3" t="inlineStr">
        <is>
          <t>Inspection</t>
        </is>
      </c>
      <c r="W128" s="3" t="inlineStr">
        <is>
          <t>Rejected</t>
        </is>
      </c>
      <c r="X128" s="2">
        <f>Z128</f>
        <v/>
      </c>
      <c r="Y128" s="73">
        <f>IF(X128="","",X128-A128)</f>
        <v/>
      </c>
      <c r="Z128" s="18" t="n">
        <v>46146</v>
      </c>
      <c r="AA128" s="15" t="n"/>
      <c r="AB128" s="15" t="n"/>
      <c r="AF128">
        <f>IF(AND($F128="Closed",$X128&gt;=DATE(2026,5,1),$X128&lt;=DATE(2026,5,31)),"Closed in May","Other")</f>
        <v/>
      </c>
    </row>
    <row r="129">
      <c r="A129" s="2" t="n">
        <v>46106</v>
      </c>
      <c r="B129" s="3" t="n">
        <v>2026</v>
      </c>
      <c r="C129" s="3" t="inlineStr">
        <is>
          <t>First Energy</t>
        </is>
      </c>
      <c r="D129" s="3" t="inlineStr">
        <is>
          <t>Utility and C&amp;I</t>
        </is>
      </c>
      <c r="E129" s="3" t="n"/>
      <c r="F129" s="3" t="inlineStr">
        <is>
          <t>Closed</t>
        </is>
      </c>
      <c r="G129" s="3" t="inlineStr">
        <is>
          <t>Mr. Gaurav</t>
        </is>
      </c>
      <c r="H129" s="3" t="n">
        <v>9979185999</v>
      </c>
      <c r="I129" s="11" t="inlineStr">
        <is>
          <t>PE25032601</t>
        </is>
      </c>
      <c r="J129" s="9" t="inlineStr">
        <is>
          <t>Module Defects</t>
        </is>
      </c>
      <c r="K129" s="3" t="inlineStr">
        <is>
          <t>Rajkot</t>
        </is>
      </c>
      <c r="L129" s="3" t="inlineStr">
        <is>
          <t>Gujarat</t>
        </is>
      </c>
      <c r="M129" s="9" t="inlineStr">
        <is>
          <t xml:space="preserve">hotspot found </t>
        </is>
      </c>
      <c r="N129" s="19" t="inlineStr">
        <is>
          <t>Hotspot</t>
        </is>
      </c>
      <c r="O129" s="3" t="n">
        <v>550</v>
      </c>
      <c r="P129" s="9" t="inlineStr">
        <is>
          <t>NSMP2212268876</t>
        </is>
      </c>
      <c r="Q129" s="53">
        <f>MID(P129,5,2)</f>
        <v/>
      </c>
      <c r="R129" s="53">
        <f>MID(P129,7,2)</f>
        <v/>
      </c>
      <c r="S129" s="3" t="inlineStr">
        <is>
          <t>G2B</t>
        </is>
      </c>
      <c r="T129" s="3" t="inlineStr">
        <is>
          <t>P2</t>
        </is>
      </c>
      <c r="U129" s="9" t="inlineStr">
        <is>
          <t xml:space="preserve">Multi Cell Hotspot </t>
        </is>
      </c>
      <c r="V129" s="3" t="inlineStr">
        <is>
          <t>Inspection</t>
        </is>
      </c>
      <c r="W129" s="3" t="inlineStr">
        <is>
          <t>Rejected</t>
        </is>
      </c>
      <c r="X129" s="2">
        <f>Z129</f>
        <v/>
      </c>
      <c r="Y129" s="73">
        <f>IF(X129="","",X129-A129)</f>
        <v/>
      </c>
      <c r="Z129" s="18" t="n">
        <v>46146</v>
      </c>
      <c r="AA129" s="15" t="n"/>
      <c r="AB129" s="15" t="n"/>
      <c r="AF129">
        <f>IF(AND($F129="Closed",$X129&gt;=DATE(2026,5,1),$X129&lt;=DATE(2026,5,31)),"Closed in May","Other")</f>
        <v/>
      </c>
    </row>
    <row r="130">
      <c r="A130" s="2" t="n">
        <v>46106</v>
      </c>
      <c r="B130" s="3" t="n">
        <v>2026</v>
      </c>
      <c r="C130" s="3" t="inlineStr">
        <is>
          <t>First Energy</t>
        </is>
      </c>
      <c r="D130" s="3" t="inlineStr">
        <is>
          <t>Utility and C&amp;I</t>
        </is>
      </c>
      <c r="E130" s="3" t="n"/>
      <c r="F130" s="3" t="inlineStr">
        <is>
          <t>Closed</t>
        </is>
      </c>
      <c r="G130" s="3" t="inlineStr">
        <is>
          <t>Mr. Gaurav</t>
        </is>
      </c>
      <c r="H130" s="3" t="n">
        <v>9979185999</v>
      </c>
      <c r="I130" s="11" t="inlineStr">
        <is>
          <t>PE25032601</t>
        </is>
      </c>
      <c r="J130" s="9" t="inlineStr">
        <is>
          <t>Module Defects</t>
        </is>
      </c>
      <c r="K130" s="3" t="inlineStr">
        <is>
          <t>Rajkot</t>
        </is>
      </c>
      <c r="L130" s="3" t="inlineStr">
        <is>
          <t>Gujarat</t>
        </is>
      </c>
      <c r="M130" s="9" t="inlineStr">
        <is>
          <t xml:space="preserve">hotspot found </t>
        </is>
      </c>
      <c r="N130" s="19" t="inlineStr">
        <is>
          <t>Hotspot</t>
        </is>
      </c>
      <c r="O130" s="3" t="n">
        <v>550</v>
      </c>
      <c r="P130" s="9" t="inlineStr">
        <is>
          <t>NSMP2301294074</t>
        </is>
      </c>
      <c r="Q130" s="53">
        <f>MID(P130,5,2)</f>
        <v/>
      </c>
      <c r="R130" s="53">
        <f>MID(P130,7,2)</f>
        <v/>
      </c>
      <c r="S130" s="3" t="inlineStr">
        <is>
          <t>G2B</t>
        </is>
      </c>
      <c r="T130" s="3" t="inlineStr">
        <is>
          <t>P2</t>
        </is>
      </c>
      <c r="U130" s="9" t="inlineStr">
        <is>
          <t xml:space="preserve">Multi Cell Hotspot </t>
        </is>
      </c>
      <c r="V130" s="3" t="inlineStr">
        <is>
          <t>Inspection</t>
        </is>
      </c>
      <c r="W130" s="3" t="inlineStr">
        <is>
          <t>Rejected</t>
        </is>
      </c>
      <c r="X130" s="2">
        <f>Z130</f>
        <v/>
      </c>
      <c r="Y130" s="73">
        <f>IF(X130="","",X130-A130)</f>
        <v/>
      </c>
      <c r="Z130" s="18" t="n">
        <v>46146</v>
      </c>
      <c r="AA130" s="15" t="n"/>
      <c r="AB130" s="15" t="n"/>
      <c r="AF130">
        <f>IF(AND($F130="Closed",$X130&gt;=DATE(2026,5,1),$X130&lt;=DATE(2026,5,31)),"Closed in May","Other")</f>
        <v/>
      </c>
    </row>
    <row r="131">
      <c r="A131" s="2" t="n">
        <v>46106</v>
      </c>
      <c r="B131" s="3" t="n">
        <v>2026</v>
      </c>
      <c r="C131" s="3" t="inlineStr">
        <is>
          <t>First Energy</t>
        </is>
      </c>
      <c r="D131" s="3" t="inlineStr">
        <is>
          <t>Utility and C&amp;I</t>
        </is>
      </c>
      <c r="E131" s="3" t="n"/>
      <c r="F131" s="3" t="inlineStr">
        <is>
          <t>WIP</t>
        </is>
      </c>
      <c r="G131" s="3" t="inlineStr">
        <is>
          <t>Mr. Gaurav</t>
        </is>
      </c>
      <c r="H131" s="3" t="n">
        <v>9979185999</v>
      </c>
      <c r="I131" s="11" t="inlineStr">
        <is>
          <t>PE25032601</t>
        </is>
      </c>
      <c r="J131" s="9" t="inlineStr">
        <is>
          <t>Module Defects</t>
        </is>
      </c>
      <c r="K131" s="3" t="inlineStr">
        <is>
          <t>Rajkot</t>
        </is>
      </c>
      <c r="L131" s="3" t="inlineStr">
        <is>
          <t>Gujarat</t>
        </is>
      </c>
      <c r="M131" s="9" t="inlineStr">
        <is>
          <t xml:space="preserve">Broken Module </t>
        </is>
      </c>
      <c r="N131" s="19" t="inlineStr">
        <is>
          <t>Hotspot</t>
        </is>
      </c>
      <c r="O131" s="3" t="n">
        <v>550</v>
      </c>
      <c r="P131" s="9" t="inlineStr">
        <is>
          <t>NSMP2301290174</t>
        </is>
      </c>
      <c r="Q131" s="53">
        <f>MID(P131,5,2)</f>
        <v/>
      </c>
      <c r="R131" s="53">
        <f>MID(P131,7,2)</f>
        <v/>
      </c>
      <c r="S131" s="3" t="inlineStr">
        <is>
          <t>G2B</t>
        </is>
      </c>
      <c r="T131" s="3" t="inlineStr">
        <is>
          <t>P2</t>
        </is>
      </c>
      <c r="U131" s="9" t="inlineStr">
        <is>
          <t xml:space="preserve">Multi Cell Hotspot </t>
        </is>
      </c>
      <c r="V131" s="3" t="inlineStr">
        <is>
          <t>Inspection</t>
        </is>
      </c>
      <c r="W131" s="3" t="inlineStr">
        <is>
          <t>WIP</t>
        </is>
      </c>
      <c r="X131" s="5" t="n"/>
      <c r="Y131" s="73">
        <f>IF(X131="","",X131-A131)</f>
        <v/>
      </c>
      <c r="Z131" s="18" t="n">
        <v>46146</v>
      </c>
      <c r="AA131" s="15" t="n"/>
      <c r="AB131" s="15" t="n"/>
      <c r="AF131">
        <f>IF(AND($F131="Closed",$X131&gt;=DATE(2026,5,1),$X131&lt;=DATE(2026,5,31)),"Closed in May","Other")</f>
        <v/>
      </c>
    </row>
    <row r="132">
      <c r="A132" s="2" t="n">
        <v>46106</v>
      </c>
      <c r="B132" s="3" t="n">
        <v>2026</v>
      </c>
      <c r="C132" s="3" t="inlineStr">
        <is>
          <t>First Energy</t>
        </is>
      </c>
      <c r="D132" s="3" t="inlineStr">
        <is>
          <t>Utility and C&amp;I</t>
        </is>
      </c>
      <c r="E132" s="3" t="n"/>
      <c r="F132" s="3" t="inlineStr">
        <is>
          <t>Closed</t>
        </is>
      </c>
      <c r="G132" s="3" t="inlineStr">
        <is>
          <t>Mr. Gaurav</t>
        </is>
      </c>
      <c r="H132" s="3" t="n">
        <v>9979185999</v>
      </c>
      <c r="I132" s="11" t="inlineStr">
        <is>
          <t>PE25032601</t>
        </is>
      </c>
      <c r="J132" s="9" t="inlineStr">
        <is>
          <t>Module Defects</t>
        </is>
      </c>
      <c r="K132" s="3" t="inlineStr">
        <is>
          <t>Rajkot</t>
        </is>
      </c>
      <c r="L132" s="3" t="inlineStr">
        <is>
          <t>Gujarat</t>
        </is>
      </c>
      <c r="M132" s="9" t="inlineStr">
        <is>
          <t xml:space="preserve">hotspot found </t>
        </is>
      </c>
      <c r="N132" s="19" t="inlineStr">
        <is>
          <t>Hotspot</t>
        </is>
      </c>
      <c r="O132" s="3" t="n">
        <v>550</v>
      </c>
      <c r="P132" s="9" t="inlineStr">
        <is>
          <t>NSMP2212268256</t>
        </is>
      </c>
      <c r="Q132" s="53">
        <f>MID(P132,5,2)</f>
        <v/>
      </c>
      <c r="R132" s="53">
        <f>MID(P132,7,2)</f>
        <v/>
      </c>
      <c r="S132" s="3" t="inlineStr">
        <is>
          <t>G2B</t>
        </is>
      </c>
      <c r="T132" s="3" t="inlineStr">
        <is>
          <t>P2</t>
        </is>
      </c>
      <c r="U132" s="9" t="inlineStr">
        <is>
          <t xml:space="preserve">Multi Cell Hotspot </t>
        </is>
      </c>
      <c r="V132" s="3" t="inlineStr">
        <is>
          <t>Inspection</t>
        </is>
      </c>
      <c r="W132" s="3" t="inlineStr">
        <is>
          <t>Rejected</t>
        </is>
      </c>
      <c r="X132" s="2">
        <f>Z132</f>
        <v/>
      </c>
      <c r="Y132" s="73">
        <f>IF(X132="","",X132-A132)</f>
        <v/>
      </c>
      <c r="Z132" s="18" t="n">
        <v>46146</v>
      </c>
      <c r="AA132" s="15" t="n"/>
      <c r="AB132" s="15" t="n"/>
      <c r="AF132">
        <f>IF(AND($F132="Closed",$X132&gt;=DATE(2026,5,1),$X132&lt;=DATE(2026,5,31)),"Closed in May","Other")</f>
        <v/>
      </c>
    </row>
    <row r="133">
      <c r="A133" s="2" t="n">
        <v>46106</v>
      </c>
      <c r="B133" s="3" t="n">
        <v>2026</v>
      </c>
      <c r="C133" s="3" t="inlineStr">
        <is>
          <t>First Energy</t>
        </is>
      </c>
      <c r="D133" s="3" t="inlineStr">
        <is>
          <t>Utility and C&amp;I</t>
        </is>
      </c>
      <c r="E133" s="3" t="n"/>
      <c r="F133" s="3" t="inlineStr">
        <is>
          <t>Closed</t>
        </is>
      </c>
      <c r="G133" s="3" t="inlineStr">
        <is>
          <t>Mr. Gaurav</t>
        </is>
      </c>
      <c r="H133" s="3" t="n">
        <v>9979185999</v>
      </c>
      <c r="I133" s="11" t="inlineStr">
        <is>
          <t>PE25032601</t>
        </is>
      </c>
      <c r="J133" s="9" t="inlineStr">
        <is>
          <t>Module Defects</t>
        </is>
      </c>
      <c r="K133" s="3" t="inlineStr">
        <is>
          <t>Rajkot</t>
        </is>
      </c>
      <c r="L133" s="3" t="inlineStr">
        <is>
          <t>Gujarat</t>
        </is>
      </c>
      <c r="M133" s="9" t="inlineStr">
        <is>
          <t xml:space="preserve">hotspot found </t>
        </is>
      </c>
      <c r="N133" s="19" t="inlineStr">
        <is>
          <t>Hotspot</t>
        </is>
      </c>
      <c r="O133" s="3" t="n">
        <v>550</v>
      </c>
      <c r="P133" s="9" t="inlineStr">
        <is>
          <t>NSMP2212268206</t>
        </is>
      </c>
      <c r="Q133" s="53">
        <f>MID(P133,5,2)</f>
        <v/>
      </c>
      <c r="R133" s="53">
        <f>MID(P133,7,2)</f>
        <v/>
      </c>
      <c r="S133" s="3" t="inlineStr">
        <is>
          <t>G2B</t>
        </is>
      </c>
      <c r="T133" s="3" t="inlineStr">
        <is>
          <t>P2</t>
        </is>
      </c>
      <c r="U133" s="9" t="inlineStr">
        <is>
          <t xml:space="preserve">Multi Cell Hotspot </t>
        </is>
      </c>
      <c r="V133" s="3" t="inlineStr">
        <is>
          <t>Inspection</t>
        </is>
      </c>
      <c r="W133" s="3" t="inlineStr">
        <is>
          <t>Rejected</t>
        </is>
      </c>
      <c r="X133" s="2">
        <f>Z133</f>
        <v/>
      </c>
      <c r="Y133" s="73">
        <f>IF(X133="","",X133-A133)</f>
        <v/>
      </c>
      <c r="Z133" s="18" t="n">
        <v>46146</v>
      </c>
      <c r="AA133" s="15" t="n"/>
      <c r="AB133" s="15" t="n"/>
      <c r="AF133">
        <f>IF(AND($F133="Closed",$X133&gt;=DATE(2026,5,1),$X133&lt;=DATE(2026,5,31)),"Closed in May","Other")</f>
        <v/>
      </c>
    </row>
    <row r="134">
      <c r="A134" s="2" t="n">
        <v>46106</v>
      </c>
      <c r="B134" s="3" t="n">
        <v>2026</v>
      </c>
      <c r="C134" s="3" t="inlineStr">
        <is>
          <t>First Energy</t>
        </is>
      </c>
      <c r="D134" s="3" t="inlineStr">
        <is>
          <t>Utility and C&amp;I</t>
        </is>
      </c>
      <c r="E134" s="3" t="n"/>
      <c r="F134" s="3" t="inlineStr">
        <is>
          <t>Closed</t>
        </is>
      </c>
      <c r="G134" s="3" t="inlineStr">
        <is>
          <t>Mr. Gaurav</t>
        </is>
      </c>
      <c r="H134" s="3" t="n">
        <v>9979185999</v>
      </c>
      <c r="I134" s="11" t="inlineStr">
        <is>
          <t>PE25032601</t>
        </is>
      </c>
      <c r="J134" s="9" t="inlineStr">
        <is>
          <t>Module Defects</t>
        </is>
      </c>
      <c r="K134" s="3" t="inlineStr">
        <is>
          <t>Rajkot</t>
        </is>
      </c>
      <c r="L134" s="3" t="inlineStr">
        <is>
          <t>Gujarat</t>
        </is>
      </c>
      <c r="M134" s="9" t="inlineStr">
        <is>
          <t xml:space="preserve">hotspot found </t>
        </is>
      </c>
      <c r="N134" s="19" t="inlineStr">
        <is>
          <t>Hotspot</t>
        </is>
      </c>
      <c r="O134" s="3" t="n">
        <v>550</v>
      </c>
      <c r="P134" s="9" t="inlineStr">
        <is>
          <t>NSMP2212269350</t>
        </is>
      </c>
      <c r="Q134" s="53">
        <f>MID(P134,5,2)</f>
        <v/>
      </c>
      <c r="R134" s="53">
        <f>MID(P134,7,2)</f>
        <v/>
      </c>
      <c r="S134" s="3" t="inlineStr">
        <is>
          <t>G2B</t>
        </is>
      </c>
      <c r="T134" s="3" t="inlineStr">
        <is>
          <t>P2</t>
        </is>
      </c>
      <c r="U134" s="9" t="inlineStr">
        <is>
          <t xml:space="preserve">Multi Cell Hotspot </t>
        </is>
      </c>
      <c r="V134" s="3" t="inlineStr">
        <is>
          <t>Inspection</t>
        </is>
      </c>
      <c r="W134" s="3" t="inlineStr">
        <is>
          <t>Rejected</t>
        </is>
      </c>
      <c r="X134" s="2">
        <f>Z134</f>
        <v/>
      </c>
      <c r="Y134" s="73">
        <f>IF(X134="","",X134-A134)</f>
        <v/>
      </c>
      <c r="Z134" s="18" t="n">
        <v>46146</v>
      </c>
      <c r="AA134" s="15" t="n"/>
      <c r="AB134" s="15" t="n"/>
      <c r="AF134">
        <f>IF(AND($F134="Closed",$X134&gt;=DATE(2026,5,1),$X134&lt;=DATE(2026,5,31)),"Closed in May","Other")</f>
        <v/>
      </c>
    </row>
    <row r="135">
      <c r="A135" s="2" t="n">
        <v>46106</v>
      </c>
      <c r="B135" s="3" t="n">
        <v>2026</v>
      </c>
      <c r="C135" s="3" t="inlineStr">
        <is>
          <t>First Energy</t>
        </is>
      </c>
      <c r="D135" s="3" t="inlineStr">
        <is>
          <t>Utility and C&amp;I</t>
        </is>
      </c>
      <c r="E135" s="3" t="n"/>
      <c r="F135" s="3" t="inlineStr">
        <is>
          <t>Closed</t>
        </is>
      </c>
      <c r="G135" s="3" t="inlineStr">
        <is>
          <t>Mr. Gaurav</t>
        </is>
      </c>
      <c r="H135" s="3" t="n">
        <v>9979185999</v>
      </c>
      <c r="I135" s="11" t="inlineStr">
        <is>
          <t>PE25032601</t>
        </is>
      </c>
      <c r="J135" s="9" t="inlineStr">
        <is>
          <t>Module Defects</t>
        </is>
      </c>
      <c r="K135" s="3" t="inlineStr">
        <is>
          <t>Rajkot</t>
        </is>
      </c>
      <c r="L135" s="3" t="inlineStr">
        <is>
          <t>Gujarat</t>
        </is>
      </c>
      <c r="M135" s="9" t="inlineStr">
        <is>
          <t xml:space="preserve">hotspot found </t>
        </is>
      </c>
      <c r="N135" s="19" t="inlineStr">
        <is>
          <t>Hotspot</t>
        </is>
      </c>
      <c r="O135" s="3" t="n">
        <v>550</v>
      </c>
      <c r="P135" s="9" t="inlineStr">
        <is>
          <t>NSMP2212286574</t>
        </is>
      </c>
      <c r="Q135" s="53">
        <f>MID(P135,5,2)</f>
        <v/>
      </c>
      <c r="R135" s="53">
        <f>MID(P135,7,2)</f>
        <v/>
      </c>
      <c r="S135" s="3" t="inlineStr">
        <is>
          <t>G2B</t>
        </is>
      </c>
      <c r="T135" s="3" t="inlineStr">
        <is>
          <t>P2</t>
        </is>
      </c>
      <c r="U135" s="9" t="inlineStr">
        <is>
          <t xml:space="preserve">Multi Cell Hotspot </t>
        </is>
      </c>
      <c r="V135" s="3" t="inlineStr">
        <is>
          <t>Inspection</t>
        </is>
      </c>
      <c r="W135" s="3" t="inlineStr">
        <is>
          <t>Rejected</t>
        </is>
      </c>
      <c r="X135" s="2">
        <f>Z135</f>
        <v/>
      </c>
      <c r="Y135" s="73">
        <f>IF(X135="","",X135-A135)</f>
        <v/>
      </c>
      <c r="Z135" s="18" t="n">
        <v>46146</v>
      </c>
      <c r="AA135" s="15" t="n"/>
      <c r="AB135" s="15" t="n"/>
      <c r="AF135">
        <f>IF(AND($F135="Closed",$X135&gt;=DATE(2026,5,1),$X135&lt;=DATE(2026,5,31)),"Closed in May","Other")</f>
        <v/>
      </c>
    </row>
    <row r="136">
      <c r="A136" s="2" t="n">
        <v>46106</v>
      </c>
      <c r="B136" s="3" t="n">
        <v>2026</v>
      </c>
      <c r="C136" s="3" t="inlineStr">
        <is>
          <t>First Energy</t>
        </is>
      </c>
      <c r="D136" s="3" t="inlineStr">
        <is>
          <t>Utility and C&amp;I</t>
        </is>
      </c>
      <c r="E136" s="3" t="n"/>
      <c r="F136" s="3" t="inlineStr">
        <is>
          <t>WIP</t>
        </is>
      </c>
      <c r="G136" s="3" t="inlineStr">
        <is>
          <t>Mr. Gaurav</t>
        </is>
      </c>
      <c r="H136" s="3" t="n">
        <v>9979185999</v>
      </c>
      <c r="I136" s="11" t="inlineStr">
        <is>
          <t>PE25032601</t>
        </is>
      </c>
      <c r="J136" s="9" t="inlineStr">
        <is>
          <t>Module Defects</t>
        </is>
      </c>
      <c r="K136" s="3" t="inlineStr">
        <is>
          <t>Rajkot</t>
        </is>
      </c>
      <c r="L136" s="3" t="inlineStr">
        <is>
          <t>Gujarat</t>
        </is>
      </c>
      <c r="M136" s="9" t="inlineStr">
        <is>
          <t>cell burn</t>
        </is>
      </c>
      <c r="N136" s="19" t="inlineStr">
        <is>
          <t>Hotspot</t>
        </is>
      </c>
      <c r="O136" s="3" t="n">
        <v>550</v>
      </c>
      <c r="P136" s="9" t="inlineStr">
        <is>
          <t>NSMP2212284084</t>
        </is>
      </c>
      <c r="Q136" s="53">
        <f>MID(P136,5,2)</f>
        <v/>
      </c>
      <c r="R136" s="53">
        <f>MID(P136,7,2)</f>
        <v/>
      </c>
      <c r="S136" s="3" t="inlineStr">
        <is>
          <t>G2B</t>
        </is>
      </c>
      <c r="T136" s="3" t="inlineStr">
        <is>
          <t>P2</t>
        </is>
      </c>
      <c r="U136" s="9" t="inlineStr">
        <is>
          <t xml:space="preserve">Multi Cell Hotspot </t>
        </is>
      </c>
      <c r="V136" s="3" t="inlineStr">
        <is>
          <t>Inspection</t>
        </is>
      </c>
      <c r="W136" s="3" t="inlineStr">
        <is>
          <t>WIP</t>
        </is>
      </c>
      <c r="X136" s="5" t="n"/>
      <c r="Y136" s="73">
        <f>IF(X136="","",X136-A136)</f>
        <v/>
      </c>
      <c r="Z136" s="18" t="n">
        <v>46146</v>
      </c>
      <c r="AA136" s="15" t="n"/>
      <c r="AB136" s="15" t="n"/>
      <c r="AF136">
        <f>IF(AND($F136="Closed",$X136&gt;=DATE(2026,5,1),$X136&lt;=DATE(2026,5,31)),"Closed in May","Other")</f>
        <v/>
      </c>
    </row>
    <row r="137">
      <c r="A137" s="2" t="n">
        <v>46106</v>
      </c>
      <c r="B137" s="3" t="n">
        <v>2026</v>
      </c>
      <c r="C137" s="3" t="inlineStr">
        <is>
          <t>First Energy</t>
        </is>
      </c>
      <c r="D137" s="3" t="inlineStr">
        <is>
          <t>Utility and C&amp;I</t>
        </is>
      </c>
      <c r="E137" s="3" t="n"/>
      <c r="F137" s="3" t="inlineStr">
        <is>
          <t>Closed</t>
        </is>
      </c>
      <c r="G137" s="3" t="inlineStr">
        <is>
          <t>Mr. Gaurav</t>
        </is>
      </c>
      <c r="H137" s="3" t="n">
        <v>9979185999</v>
      </c>
      <c r="I137" s="11" t="inlineStr">
        <is>
          <t>PE25032601</t>
        </is>
      </c>
      <c r="J137" s="9" t="inlineStr">
        <is>
          <t>Module Defects</t>
        </is>
      </c>
      <c r="K137" s="3" t="inlineStr">
        <is>
          <t>Rajkot</t>
        </is>
      </c>
      <c r="L137" s="3" t="inlineStr">
        <is>
          <t>Gujarat</t>
        </is>
      </c>
      <c r="M137" s="9" t="inlineStr">
        <is>
          <t xml:space="preserve">hotspot found </t>
        </is>
      </c>
      <c r="N137" s="19" t="inlineStr">
        <is>
          <t>Hotspot</t>
        </is>
      </c>
      <c r="O137" s="3" t="n">
        <v>550</v>
      </c>
      <c r="P137" s="9" t="inlineStr">
        <is>
          <t>NSMP2212280000</t>
        </is>
      </c>
      <c r="Q137" s="53">
        <f>MID(P137,5,2)</f>
        <v/>
      </c>
      <c r="R137" s="53">
        <f>MID(P137,7,2)</f>
        <v/>
      </c>
      <c r="S137" s="3" t="inlineStr">
        <is>
          <t>G2B</t>
        </is>
      </c>
      <c r="T137" s="3" t="inlineStr">
        <is>
          <t>P2</t>
        </is>
      </c>
      <c r="U137" s="9" t="inlineStr">
        <is>
          <t xml:space="preserve">Multi Cell Hotspot </t>
        </is>
      </c>
      <c r="V137" s="3" t="inlineStr">
        <is>
          <t>Inspection</t>
        </is>
      </c>
      <c r="W137" s="3" t="inlineStr">
        <is>
          <t>Rejected</t>
        </is>
      </c>
      <c r="X137" s="2">
        <f>Z137</f>
        <v/>
      </c>
      <c r="Y137" s="73">
        <f>IF(X137="","",X137-A137)</f>
        <v/>
      </c>
      <c r="Z137" s="18" t="n">
        <v>46146</v>
      </c>
      <c r="AA137" s="15" t="n"/>
      <c r="AB137" s="15" t="n"/>
      <c r="AF137">
        <f>IF(AND($F137="Closed",$X137&gt;=DATE(2026,5,1),$X137&lt;=DATE(2026,5,31)),"Closed in May","Other")</f>
        <v/>
      </c>
    </row>
    <row r="138">
      <c r="A138" s="2" t="n">
        <v>46106</v>
      </c>
      <c r="B138" s="3" t="n">
        <v>2026</v>
      </c>
      <c r="C138" s="3" t="inlineStr">
        <is>
          <t>First Energy</t>
        </is>
      </c>
      <c r="D138" s="3" t="inlineStr">
        <is>
          <t>Utility and C&amp;I</t>
        </is>
      </c>
      <c r="E138" s="3" t="n"/>
      <c r="F138" s="3" t="inlineStr">
        <is>
          <t>Closed</t>
        </is>
      </c>
      <c r="G138" s="3" t="inlineStr">
        <is>
          <t>Mr. Gaurav</t>
        </is>
      </c>
      <c r="H138" s="3" t="n">
        <v>9979185999</v>
      </c>
      <c r="I138" s="11" t="inlineStr">
        <is>
          <t>PE25032601</t>
        </is>
      </c>
      <c r="J138" s="9" t="inlineStr">
        <is>
          <t>Module Defects</t>
        </is>
      </c>
      <c r="K138" s="3" t="inlineStr">
        <is>
          <t>Rajkot</t>
        </is>
      </c>
      <c r="L138" s="3" t="inlineStr">
        <is>
          <t>Gujarat</t>
        </is>
      </c>
      <c r="M138" s="9" t="inlineStr">
        <is>
          <t xml:space="preserve">hotspot found </t>
        </is>
      </c>
      <c r="N138" s="19" t="inlineStr">
        <is>
          <t>Hotspot</t>
        </is>
      </c>
      <c r="O138" s="3" t="n">
        <v>550</v>
      </c>
      <c r="P138" s="9" t="inlineStr">
        <is>
          <t>NSMP2301333696</t>
        </is>
      </c>
      <c r="Q138" s="53">
        <f>MID(P138,5,2)</f>
        <v/>
      </c>
      <c r="R138" s="53">
        <f>MID(P138,7,2)</f>
        <v/>
      </c>
      <c r="S138" s="3" t="inlineStr">
        <is>
          <t>G2B</t>
        </is>
      </c>
      <c r="T138" s="3" t="inlineStr">
        <is>
          <t>P2</t>
        </is>
      </c>
      <c r="U138" s="9" t="inlineStr">
        <is>
          <t xml:space="preserve">Multi Cell Hotspot </t>
        </is>
      </c>
      <c r="V138" s="3" t="inlineStr">
        <is>
          <t>Inspection</t>
        </is>
      </c>
      <c r="W138" s="3" t="inlineStr">
        <is>
          <t>Rejected</t>
        </is>
      </c>
      <c r="X138" s="2">
        <f>Z138</f>
        <v/>
      </c>
      <c r="Y138" s="73">
        <f>IF(X138="","",X138-A138)</f>
        <v/>
      </c>
      <c r="Z138" s="18" t="n">
        <v>46146</v>
      </c>
      <c r="AA138" s="15" t="n"/>
      <c r="AB138" s="15" t="n"/>
      <c r="AF138">
        <f>IF(AND($F138="Closed",$X138&gt;=DATE(2026,5,1),$X138&lt;=DATE(2026,5,31)),"Closed in May","Other")</f>
        <v/>
      </c>
    </row>
    <row r="139">
      <c r="A139" s="2" t="n">
        <v>46106</v>
      </c>
      <c r="B139" s="3" t="n">
        <v>2026</v>
      </c>
      <c r="C139" s="3" t="inlineStr">
        <is>
          <t>First Energy</t>
        </is>
      </c>
      <c r="D139" s="3" t="inlineStr">
        <is>
          <t>Utility and C&amp;I</t>
        </is>
      </c>
      <c r="E139" s="3" t="n"/>
      <c r="F139" s="3" t="inlineStr">
        <is>
          <t>Closed</t>
        </is>
      </c>
      <c r="G139" s="3" t="inlineStr">
        <is>
          <t>Mr. Gaurav</t>
        </is>
      </c>
      <c r="H139" s="3" t="n">
        <v>9979185999</v>
      </c>
      <c r="I139" s="11" t="inlineStr">
        <is>
          <t>PE25032601</t>
        </is>
      </c>
      <c r="J139" s="9" t="inlineStr">
        <is>
          <t>Module Defects</t>
        </is>
      </c>
      <c r="K139" s="3" t="inlineStr">
        <is>
          <t>Rajkot</t>
        </is>
      </c>
      <c r="L139" s="3" t="inlineStr">
        <is>
          <t>Gujarat</t>
        </is>
      </c>
      <c r="M139" s="9" t="inlineStr">
        <is>
          <t xml:space="preserve">hotspot found </t>
        </is>
      </c>
      <c r="N139" s="19" t="inlineStr">
        <is>
          <t>Hotspot</t>
        </is>
      </c>
      <c r="O139" s="3" t="n">
        <v>550</v>
      </c>
      <c r="P139" s="9" t="inlineStr">
        <is>
          <t>NSMP25032759231</t>
        </is>
      </c>
      <c r="Q139" s="53">
        <f>MID(P139,5,2)</f>
        <v/>
      </c>
      <c r="R139" s="53">
        <f>MID(P139,7,2)</f>
        <v/>
      </c>
      <c r="S139" s="3" t="inlineStr">
        <is>
          <t>G2B</t>
        </is>
      </c>
      <c r="T139" s="3" t="inlineStr">
        <is>
          <t>P2</t>
        </is>
      </c>
      <c r="U139" s="9" t="inlineStr">
        <is>
          <t xml:space="preserve">Single Cell Hotspot </t>
        </is>
      </c>
      <c r="V139" s="3" t="inlineStr">
        <is>
          <t>Inspection</t>
        </is>
      </c>
      <c r="W139" s="3" t="inlineStr">
        <is>
          <t>Rejected</t>
        </is>
      </c>
      <c r="X139" s="2">
        <f>Z139</f>
        <v/>
      </c>
      <c r="Y139" s="73">
        <f>IF(X139="","",X139-A139)</f>
        <v/>
      </c>
      <c r="Z139" s="18" t="n">
        <v>46146</v>
      </c>
      <c r="AA139" s="15" t="n"/>
      <c r="AB139" s="15" t="n"/>
      <c r="AF139">
        <f>IF(AND($F139="Closed",$X139&gt;=DATE(2026,5,1),$X139&lt;=DATE(2026,5,31)),"Closed in May","Other")</f>
        <v/>
      </c>
    </row>
    <row r="140">
      <c r="A140" s="2" t="n">
        <v>46106</v>
      </c>
      <c r="B140" s="3" t="n">
        <v>2026</v>
      </c>
      <c r="C140" s="3" t="inlineStr">
        <is>
          <t>First Energy</t>
        </is>
      </c>
      <c r="D140" s="3" t="inlineStr">
        <is>
          <t>Utility and C&amp;I</t>
        </is>
      </c>
      <c r="E140" s="3" t="n"/>
      <c r="F140" s="3" t="inlineStr">
        <is>
          <t>Closed</t>
        </is>
      </c>
      <c r="G140" s="3" t="inlineStr">
        <is>
          <t>Mr. Gaurav</t>
        </is>
      </c>
      <c r="H140" s="3" t="n">
        <v>9979185999</v>
      </c>
      <c r="I140" s="11" t="inlineStr">
        <is>
          <t>PE25032601</t>
        </is>
      </c>
      <c r="J140" s="9" t="inlineStr">
        <is>
          <t>Module Defects</t>
        </is>
      </c>
      <c r="K140" s="3" t="inlineStr">
        <is>
          <t>Rajkot</t>
        </is>
      </c>
      <c r="L140" s="3" t="inlineStr">
        <is>
          <t>Gujarat</t>
        </is>
      </c>
      <c r="M140" s="9" t="inlineStr">
        <is>
          <t xml:space="preserve">hotspot found </t>
        </is>
      </c>
      <c r="N140" s="19" t="inlineStr">
        <is>
          <t>Hotspot</t>
        </is>
      </c>
      <c r="O140" s="3" t="n">
        <v>550</v>
      </c>
      <c r="P140" s="9" t="inlineStr">
        <is>
          <t>NSMP2301324055</t>
        </is>
      </c>
      <c r="Q140" s="53">
        <f>MID(P140,5,2)</f>
        <v/>
      </c>
      <c r="R140" s="53">
        <f>MID(P140,7,2)</f>
        <v/>
      </c>
      <c r="S140" s="3" t="inlineStr">
        <is>
          <t>G2B</t>
        </is>
      </c>
      <c r="T140" s="3" t="inlineStr">
        <is>
          <t>P2</t>
        </is>
      </c>
      <c r="U140" s="9" t="inlineStr">
        <is>
          <t xml:space="preserve">Multi Cell Hotspot </t>
        </is>
      </c>
      <c r="V140" s="3" t="inlineStr">
        <is>
          <t>Inspection</t>
        </is>
      </c>
      <c r="W140" s="3" t="inlineStr">
        <is>
          <t>Rejected</t>
        </is>
      </c>
      <c r="X140" s="2">
        <f>Z140</f>
        <v/>
      </c>
      <c r="Y140" s="73">
        <f>IF(X140="","",X140-A140)</f>
        <v/>
      </c>
      <c r="Z140" s="18" t="n">
        <v>46146</v>
      </c>
      <c r="AA140" s="15" t="n"/>
      <c r="AB140" s="15" t="n"/>
      <c r="AF140">
        <f>IF(AND($F140="Closed",$X140&gt;=DATE(2026,5,1),$X140&lt;=DATE(2026,5,31)),"Closed in May","Other")</f>
        <v/>
      </c>
    </row>
    <row r="141">
      <c r="A141" s="2" t="n">
        <v>46106</v>
      </c>
      <c r="B141" s="3" t="n">
        <v>2026</v>
      </c>
      <c r="C141" s="3" t="inlineStr">
        <is>
          <t>First Energy</t>
        </is>
      </c>
      <c r="D141" s="3" t="inlineStr">
        <is>
          <t>Utility and C&amp;I</t>
        </is>
      </c>
      <c r="E141" s="3" t="n"/>
      <c r="F141" s="3" t="inlineStr">
        <is>
          <t>Closed</t>
        </is>
      </c>
      <c r="G141" s="3" t="inlineStr">
        <is>
          <t>Mr. Gaurav</t>
        </is>
      </c>
      <c r="H141" s="3" t="n">
        <v>9979185999</v>
      </c>
      <c r="I141" s="11" t="inlineStr">
        <is>
          <t>PE25032601</t>
        </is>
      </c>
      <c r="J141" s="9" t="inlineStr">
        <is>
          <t>Module Defects</t>
        </is>
      </c>
      <c r="K141" s="3" t="inlineStr">
        <is>
          <t>Rajkot</t>
        </is>
      </c>
      <c r="L141" s="3" t="inlineStr">
        <is>
          <t>Gujarat</t>
        </is>
      </c>
      <c r="M141" s="9" t="inlineStr">
        <is>
          <t xml:space="preserve">hotspot found </t>
        </is>
      </c>
      <c r="N141" s="19" t="inlineStr">
        <is>
          <t>Hotspot</t>
        </is>
      </c>
      <c r="O141" s="3" t="n">
        <v>550</v>
      </c>
      <c r="P141" s="9" t="inlineStr">
        <is>
          <t>NSMP2301301245</t>
        </is>
      </c>
      <c r="Q141" s="53">
        <f>MID(P141,5,2)</f>
        <v/>
      </c>
      <c r="R141" s="53">
        <f>MID(P141,7,2)</f>
        <v/>
      </c>
      <c r="S141" s="3" t="inlineStr">
        <is>
          <t>G2B</t>
        </is>
      </c>
      <c r="T141" s="3" t="inlineStr">
        <is>
          <t>P2</t>
        </is>
      </c>
      <c r="U141" s="9" t="inlineStr">
        <is>
          <t xml:space="preserve">Single Cell Hotspot </t>
        </is>
      </c>
      <c r="V141" s="3" t="inlineStr">
        <is>
          <t>Inspection</t>
        </is>
      </c>
      <c r="W141" s="3" t="inlineStr">
        <is>
          <t>Rejected</t>
        </is>
      </c>
      <c r="X141" s="2">
        <f>Z141</f>
        <v/>
      </c>
      <c r="Y141" s="73">
        <f>IF(X141="","",X141-A141)</f>
        <v/>
      </c>
      <c r="Z141" s="18" t="n">
        <v>46146</v>
      </c>
      <c r="AA141" s="15" t="n"/>
      <c r="AB141" s="15" t="n"/>
      <c r="AF141">
        <f>IF(AND($F141="Closed",$X141&gt;=DATE(2026,5,1),$X141&lt;=DATE(2026,5,31)),"Closed in May","Other")</f>
        <v/>
      </c>
    </row>
    <row r="142">
      <c r="A142" s="2" t="n">
        <v>46106</v>
      </c>
      <c r="B142" s="3" t="n">
        <v>2026</v>
      </c>
      <c r="C142" s="3" t="inlineStr">
        <is>
          <t>First Energy</t>
        </is>
      </c>
      <c r="D142" s="3" t="inlineStr">
        <is>
          <t>Utility and C&amp;I</t>
        </is>
      </c>
      <c r="E142" s="3" t="n"/>
      <c r="F142" s="3" t="inlineStr">
        <is>
          <t>Closed</t>
        </is>
      </c>
      <c r="G142" s="3" t="inlineStr">
        <is>
          <t>Mr. Gaurav</t>
        </is>
      </c>
      <c r="H142" s="3" t="n">
        <v>9979185999</v>
      </c>
      <c r="I142" s="11" t="inlineStr">
        <is>
          <t>PE25032601</t>
        </is>
      </c>
      <c r="J142" s="9" t="inlineStr">
        <is>
          <t>Module Defects</t>
        </is>
      </c>
      <c r="K142" s="3" t="inlineStr">
        <is>
          <t>Rajkot</t>
        </is>
      </c>
      <c r="L142" s="3" t="inlineStr">
        <is>
          <t>Gujarat</t>
        </is>
      </c>
      <c r="M142" s="9" t="inlineStr">
        <is>
          <t xml:space="preserve">hotspot found </t>
        </is>
      </c>
      <c r="N142" s="19" t="inlineStr">
        <is>
          <t>Hotspot</t>
        </is>
      </c>
      <c r="O142" s="3" t="n">
        <v>550</v>
      </c>
      <c r="P142" s="9" t="inlineStr">
        <is>
          <t>NSMP2301334356</t>
        </is>
      </c>
      <c r="Q142" s="53">
        <f>MID(P142,5,2)</f>
        <v/>
      </c>
      <c r="R142" s="53">
        <f>MID(P142,7,2)</f>
        <v/>
      </c>
      <c r="S142" s="3" t="inlineStr">
        <is>
          <t>G2B</t>
        </is>
      </c>
      <c r="T142" s="3" t="inlineStr">
        <is>
          <t>P2</t>
        </is>
      </c>
      <c r="U142" s="9" t="inlineStr">
        <is>
          <t xml:space="preserve">Multi Cell Hotspot </t>
        </is>
      </c>
      <c r="V142" s="3" t="inlineStr">
        <is>
          <t>Inspection</t>
        </is>
      </c>
      <c r="W142" s="3" t="inlineStr">
        <is>
          <t>Rejected</t>
        </is>
      </c>
      <c r="X142" s="2">
        <f>Z142</f>
        <v/>
      </c>
      <c r="Y142" s="73">
        <f>IF(X142="","",X142-A142)</f>
        <v/>
      </c>
      <c r="Z142" s="18" t="n">
        <v>46146</v>
      </c>
      <c r="AA142" s="15" t="n"/>
      <c r="AB142" s="15" t="n"/>
      <c r="AF142">
        <f>IF(AND($F142="Closed",$X142&gt;=DATE(2026,5,1),$X142&lt;=DATE(2026,5,31)),"Closed in May","Other")</f>
        <v/>
      </c>
    </row>
    <row r="143">
      <c r="A143" s="2" t="n">
        <v>46106</v>
      </c>
      <c r="B143" s="3" t="n">
        <v>2026</v>
      </c>
      <c r="C143" s="3" t="inlineStr">
        <is>
          <t>First Energy</t>
        </is>
      </c>
      <c r="D143" s="3" t="inlineStr">
        <is>
          <t>Utility and C&amp;I</t>
        </is>
      </c>
      <c r="E143" s="3" t="n"/>
      <c r="F143" s="3" t="inlineStr">
        <is>
          <t>Closed</t>
        </is>
      </c>
      <c r="G143" s="3" t="inlineStr">
        <is>
          <t>Mr. Gaurav</t>
        </is>
      </c>
      <c r="H143" s="3" t="n">
        <v>9979185999</v>
      </c>
      <c r="I143" s="11" t="inlineStr">
        <is>
          <t>PE25032601</t>
        </is>
      </c>
      <c r="J143" s="9" t="inlineStr">
        <is>
          <t>Module Defects</t>
        </is>
      </c>
      <c r="K143" s="3" t="inlineStr">
        <is>
          <t>Rajkot</t>
        </is>
      </c>
      <c r="L143" s="3" t="inlineStr">
        <is>
          <t>Gujarat</t>
        </is>
      </c>
      <c r="M143" s="9" t="inlineStr">
        <is>
          <t xml:space="preserve">hotspot found </t>
        </is>
      </c>
      <c r="N143" s="19" t="inlineStr">
        <is>
          <t>Hotspot</t>
        </is>
      </c>
      <c r="O143" s="3" t="n">
        <v>550</v>
      </c>
      <c r="P143" s="9" t="inlineStr">
        <is>
          <t>NSMP2212266884</t>
        </is>
      </c>
      <c r="Q143" s="53">
        <f>MID(P143,5,2)</f>
        <v/>
      </c>
      <c r="R143" s="53">
        <f>MID(P143,7,2)</f>
        <v/>
      </c>
      <c r="S143" s="3" t="inlineStr">
        <is>
          <t>G2B</t>
        </is>
      </c>
      <c r="T143" s="3" t="inlineStr">
        <is>
          <t>P2</t>
        </is>
      </c>
      <c r="U143" s="9" t="inlineStr">
        <is>
          <t xml:space="preserve">Multi Cell Hotspot </t>
        </is>
      </c>
      <c r="V143" s="3" t="inlineStr">
        <is>
          <t>Inspection</t>
        </is>
      </c>
      <c r="W143" s="3" t="inlineStr">
        <is>
          <t>Rejected</t>
        </is>
      </c>
      <c r="X143" s="2">
        <f>Z143</f>
        <v/>
      </c>
      <c r="Y143" s="73">
        <f>IF(X143="","",X143-A143)</f>
        <v/>
      </c>
      <c r="Z143" s="18" t="n">
        <v>46146</v>
      </c>
      <c r="AA143" s="15" t="n"/>
      <c r="AB143" s="15" t="n"/>
      <c r="AF143">
        <f>IF(AND($F143="Closed",$X143&gt;=DATE(2026,5,1),$X143&lt;=DATE(2026,5,31)),"Closed in May","Other")</f>
        <v/>
      </c>
    </row>
    <row r="144">
      <c r="A144" s="2" t="n">
        <v>46106</v>
      </c>
      <c r="B144" s="3" t="n">
        <v>2026</v>
      </c>
      <c r="C144" s="3" t="inlineStr">
        <is>
          <t>First Energy</t>
        </is>
      </c>
      <c r="D144" s="3" t="inlineStr">
        <is>
          <t>Utility and C&amp;I</t>
        </is>
      </c>
      <c r="E144" s="3" t="n"/>
      <c r="F144" s="3" t="inlineStr">
        <is>
          <t>Closed</t>
        </is>
      </c>
      <c r="G144" s="3" t="inlineStr">
        <is>
          <t>Mr. Gaurav</t>
        </is>
      </c>
      <c r="H144" s="3" t="n">
        <v>9979185999</v>
      </c>
      <c r="I144" s="11" t="inlineStr">
        <is>
          <t>PE25032601</t>
        </is>
      </c>
      <c r="J144" s="9" t="inlineStr">
        <is>
          <t>Module Defects</t>
        </is>
      </c>
      <c r="K144" s="3" t="inlineStr">
        <is>
          <t>Rajkot</t>
        </is>
      </c>
      <c r="L144" s="3" t="inlineStr">
        <is>
          <t>Gujarat</t>
        </is>
      </c>
      <c r="M144" s="9" t="inlineStr">
        <is>
          <t xml:space="preserve">hotspot found </t>
        </is>
      </c>
      <c r="N144" s="19" t="inlineStr">
        <is>
          <t>Hotspot</t>
        </is>
      </c>
      <c r="O144" s="3" t="n">
        <v>550</v>
      </c>
      <c r="P144" s="9" t="inlineStr">
        <is>
          <t>NSMP2212268663</t>
        </is>
      </c>
      <c r="Q144" s="53">
        <f>MID(P144,5,2)</f>
        <v/>
      </c>
      <c r="R144" s="53">
        <f>MID(P144,7,2)</f>
        <v/>
      </c>
      <c r="S144" s="3" t="inlineStr">
        <is>
          <t>G2B</t>
        </is>
      </c>
      <c r="T144" s="3" t="inlineStr">
        <is>
          <t>P2</t>
        </is>
      </c>
      <c r="U144" s="9" t="inlineStr">
        <is>
          <t xml:space="preserve">Multi Cell Hotspot </t>
        </is>
      </c>
      <c r="V144" s="3" t="inlineStr">
        <is>
          <t>Inspection</t>
        </is>
      </c>
      <c r="W144" s="3" t="inlineStr">
        <is>
          <t>Rejected</t>
        </is>
      </c>
      <c r="X144" s="2">
        <f>Z144</f>
        <v/>
      </c>
      <c r="Y144" s="73">
        <f>IF(X144="","",X144-A144)</f>
        <v/>
      </c>
      <c r="Z144" s="18" t="n">
        <v>46146</v>
      </c>
      <c r="AA144" s="15" t="n"/>
      <c r="AB144" s="15" t="n"/>
      <c r="AF144">
        <f>IF(AND($F144="Closed",$X144&gt;=DATE(2026,5,1),$X144&lt;=DATE(2026,5,31)),"Closed in May","Other")</f>
        <v/>
      </c>
    </row>
    <row r="145">
      <c r="A145" s="2" t="n">
        <v>46106</v>
      </c>
      <c r="B145" s="3" t="n">
        <v>2026</v>
      </c>
      <c r="C145" s="3" t="inlineStr">
        <is>
          <t>First Energy</t>
        </is>
      </c>
      <c r="D145" s="3" t="inlineStr">
        <is>
          <t>Utility and C&amp;I</t>
        </is>
      </c>
      <c r="E145" s="3" t="n"/>
      <c r="F145" s="3" t="inlineStr">
        <is>
          <t>Closed</t>
        </is>
      </c>
      <c r="G145" s="3" t="inlineStr">
        <is>
          <t>Mr. Gaurav</t>
        </is>
      </c>
      <c r="H145" s="3" t="n">
        <v>9979185999</v>
      </c>
      <c r="I145" s="11" t="inlineStr">
        <is>
          <t>PE25032601</t>
        </is>
      </c>
      <c r="J145" s="9" t="inlineStr">
        <is>
          <t>Module Defects</t>
        </is>
      </c>
      <c r="K145" s="3" t="inlineStr">
        <is>
          <t>Rajkot</t>
        </is>
      </c>
      <c r="L145" s="3" t="inlineStr">
        <is>
          <t>Gujarat</t>
        </is>
      </c>
      <c r="M145" s="9" t="inlineStr">
        <is>
          <t xml:space="preserve">hotspot found </t>
        </is>
      </c>
      <c r="N145" s="19" t="inlineStr">
        <is>
          <t>Hotspot</t>
        </is>
      </c>
      <c r="O145" s="3" t="n">
        <v>550</v>
      </c>
      <c r="P145" s="9" t="inlineStr">
        <is>
          <t>NSMP2301328816</t>
        </is>
      </c>
      <c r="Q145" s="53">
        <f>MID(P145,5,2)</f>
        <v/>
      </c>
      <c r="R145" s="53">
        <f>MID(P145,7,2)</f>
        <v/>
      </c>
      <c r="S145" s="3" t="inlineStr">
        <is>
          <t>G2B</t>
        </is>
      </c>
      <c r="T145" s="3" t="inlineStr">
        <is>
          <t>P2</t>
        </is>
      </c>
      <c r="U145" s="9" t="inlineStr">
        <is>
          <t xml:space="preserve">Single Cell Hotspot </t>
        </is>
      </c>
      <c r="V145" s="3" t="inlineStr">
        <is>
          <t>Inspection</t>
        </is>
      </c>
      <c r="W145" s="3" t="inlineStr">
        <is>
          <t>Rejected</t>
        </is>
      </c>
      <c r="X145" s="2">
        <f>Z145</f>
        <v/>
      </c>
      <c r="Y145" s="73">
        <f>IF(X145="","",X145-A145)</f>
        <v/>
      </c>
      <c r="Z145" s="18" t="n">
        <v>46146</v>
      </c>
      <c r="AA145" s="15" t="n"/>
      <c r="AB145" s="15" t="n"/>
      <c r="AF145">
        <f>IF(AND($F145="Closed",$X145&gt;=DATE(2026,5,1),$X145&lt;=DATE(2026,5,31)),"Closed in May","Other")</f>
        <v/>
      </c>
    </row>
    <row r="146">
      <c r="A146" s="2" t="n">
        <v>46106</v>
      </c>
      <c r="B146" s="3" t="n">
        <v>2026</v>
      </c>
      <c r="C146" s="3" t="inlineStr">
        <is>
          <t>First Energy</t>
        </is>
      </c>
      <c r="D146" s="3" t="inlineStr">
        <is>
          <t>Utility and C&amp;I</t>
        </is>
      </c>
      <c r="E146" s="3" t="n"/>
      <c r="F146" s="3" t="inlineStr">
        <is>
          <t>Closed</t>
        </is>
      </c>
      <c r="G146" s="3" t="inlineStr">
        <is>
          <t>Mr. Gaurav</t>
        </is>
      </c>
      <c r="H146" s="3" t="n">
        <v>9979185999</v>
      </c>
      <c r="I146" s="11" t="inlineStr">
        <is>
          <t>PE25032601</t>
        </is>
      </c>
      <c r="J146" s="9" t="inlineStr">
        <is>
          <t>Module Defects</t>
        </is>
      </c>
      <c r="K146" s="3" t="inlineStr">
        <is>
          <t>Rajkot</t>
        </is>
      </c>
      <c r="L146" s="3" t="inlineStr">
        <is>
          <t>Gujarat</t>
        </is>
      </c>
      <c r="M146" s="9" t="inlineStr">
        <is>
          <t xml:space="preserve">hotspot found </t>
        </is>
      </c>
      <c r="N146" s="19" t="inlineStr">
        <is>
          <t>Hotspot</t>
        </is>
      </c>
      <c r="O146" s="3" t="n">
        <v>550</v>
      </c>
      <c r="P146" s="9" t="inlineStr">
        <is>
          <t>NSMP2301333878</t>
        </is>
      </c>
      <c r="Q146" s="53">
        <f>MID(P146,5,2)</f>
        <v/>
      </c>
      <c r="R146" s="53">
        <f>MID(P146,7,2)</f>
        <v/>
      </c>
      <c r="S146" s="3" t="inlineStr">
        <is>
          <t>G2B</t>
        </is>
      </c>
      <c r="T146" s="3" t="inlineStr">
        <is>
          <t>P2</t>
        </is>
      </c>
      <c r="U146" s="9" t="inlineStr">
        <is>
          <t xml:space="preserve">Multi Cell Hotspot </t>
        </is>
      </c>
      <c r="V146" s="3" t="inlineStr">
        <is>
          <t>Inspection</t>
        </is>
      </c>
      <c r="W146" s="3" t="inlineStr">
        <is>
          <t>Rejected</t>
        </is>
      </c>
      <c r="X146" s="2">
        <f>Z146</f>
        <v/>
      </c>
      <c r="Y146" s="73">
        <f>IF(X146="","",X146-A146)</f>
        <v/>
      </c>
      <c r="Z146" s="18" t="n">
        <v>46146</v>
      </c>
      <c r="AA146" s="15" t="n"/>
      <c r="AB146" s="15" t="n"/>
      <c r="AF146">
        <f>IF(AND($F146="Closed",$X146&gt;=DATE(2026,5,1),$X146&lt;=DATE(2026,5,31)),"Closed in May","Other")</f>
        <v/>
      </c>
    </row>
    <row r="147">
      <c r="A147" s="2" t="n">
        <v>46106</v>
      </c>
      <c r="B147" s="3" t="n">
        <v>2026</v>
      </c>
      <c r="C147" s="3" t="inlineStr">
        <is>
          <t>First Energy</t>
        </is>
      </c>
      <c r="D147" s="3" t="inlineStr">
        <is>
          <t>Utility and C&amp;I</t>
        </is>
      </c>
      <c r="E147" s="3" t="n"/>
      <c r="F147" s="3" t="inlineStr">
        <is>
          <t>Closed</t>
        </is>
      </c>
      <c r="G147" s="3" t="inlineStr">
        <is>
          <t>Mr. Gaurav</t>
        </is>
      </c>
      <c r="H147" s="3" t="n">
        <v>9979185999</v>
      </c>
      <c r="I147" s="11" t="inlineStr">
        <is>
          <t>PE25032601</t>
        </is>
      </c>
      <c r="J147" s="9" t="inlineStr">
        <is>
          <t>Module Defects</t>
        </is>
      </c>
      <c r="K147" s="3" t="inlineStr">
        <is>
          <t>Rajkot</t>
        </is>
      </c>
      <c r="L147" s="3" t="inlineStr">
        <is>
          <t>Gujarat</t>
        </is>
      </c>
      <c r="M147" s="9" t="inlineStr">
        <is>
          <t xml:space="preserve">hotspot found </t>
        </is>
      </c>
      <c r="N147" s="19" t="inlineStr">
        <is>
          <t>Hotspot</t>
        </is>
      </c>
      <c r="O147" s="3" t="n">
        <v>550</v>
      </c>
      <c r="P147" s="9" t="inlineStr">
        <is>
          <t>NSMP2301348172</t>
        </is>
      </c>
      <c r="Q147" s="53">
        <f>MID(P147,5,2)</f>
        <v/>
      </c>
      <c r="R147" s="53">
        <f>MID(P147,7,2)</f>
        <v/>
      </c>
      <c r="S147" s="3" t="inlineStr">
        <is>
          <t>G2B</t>
        </is>
      </c>
      <c r="T147" s="3" t="inlineStr">
        <is>
          <t>P2</t>
        </is>
      </c>
      <c r="U147" s="9" t="inlineStr">
        <is>
          <t xml:space="preserve">Multi Cell Hotspot </t>
        </is>
      </c>
      <c r="V147" s="3" t="inlineStr">
        <is>
          <t>Inspection</t>
        </is>
      </c>
      <c r="W147" s="3" t="inlineStr">
        <is>
          <t>Rejected</t>
        </is>
      </c>
      <c r="X147" s="2">
        <f>Z147</f>
        <v/>
      </c>
      <c r="Y147" s="73">
        <f>IF(X147="","",X147-A147)</f>
        <v/>
      </c>
      <c r="Z147" s="18" t="n">
        <v>46146</v>
      </c>
      <c r="AA147" s="15" t="n"/>
      <c r="AB147" s="15" t="n"/>
      <c r="AF147">
        <f>IF(AND($F147="Closed",$X147&gt;=DATE(2026,5,1),$X147&lt;=DATE(2026,5,31)),"Closed in May","Other")</f>
        <v/>
      </c>
    </row>
    <row r="148">
      <c r="A148" s="2" t="n">
        <v>46106</v>
      </c>
      <c r="B148" s="3" t="n">
        <v>2026</v>
      </c>
      <c r="C148" s="3" t="inlineStr">
        <is>
          <t>First Energy</t>
        </is>
      </c>
      <c r="D148" s="3" t="inlineStr">
        <is>
          <t>Utility and C&amp;I</t>
        </is>
      </c>
      <c r="E148" s="3" t="n"/>
      <c r="F148" s="3" t="inlineStr">
        <is>
          <t>Closed</t>
        </is>
      </c>
      <c r="G148" s="3" t="inlineStr">
        <is>
          <t>Mr. Gaurav</t>
        </is>
      </c>
      <c r="H148" s="3" t="n">
        <v>9979185999</v>
      </c>
      <c r="I148" s="11" t="inlineStr">
        <is>
          <t>PE25032601</t>
        </is>
      </c>
      <c r="J148" s="9" t="inlineStr">
        <is>
          <t>Module Defects</t>
        </is>
      </c>
      <c r="K148" s="3" t="inlineStr">
        <is>
          <t>Rajkot</t>
        </is>
      </c>
      <c r="L148" s="3" t="inlineStr">
        <is>
          <t>Gujarat</t>
        </is>
      </c>
      <c r="M148" s="9" t="inlineStr">
        <is>
          <t xml:space="preserve">hotspot found </t>
        </is>
      </c>
      <c r="N148" s="19" t="inlineStr">
        <is>
          <t>Hotspot</t>
        </is>
      </c>
      <c r="O148" s="3" t="n">
        <v>550</v>
      </c>
      <c r="P148" s="9" t="inlineStr">
        <is>
          <t>NSMP2301348224</t>
        </is>
      </c>
      <c r="Q148" s="53">
        <f>MID(P148,5,2)</f>
        <v/>
      </c>
      <c r="R148" s="53">
        <f>MID(P148,7,2)</f>
        <v/>
      </c>
      <c r="S148" s="3" t="inlineStr">
        <is>
          <t>G2B</t>
        </is>
      </c>
      <c r="T148" s="3" t="inlineStr">
        <is>
          <t>P2</t>
        </is>
      </c>
      <c r="U148" s="9" t="inlineStr">
        <is>
          <t xml:space="preserve">Multi Cell Hotspot </t>
        </is>
      </c>
      <c r="V148" s="3" t="inlineStr">
        <is>
          <t>Inspection</t>
        </is>
      </c>
      <c r="W148" s="3" t="inlineStr">
        <is>
          <t>Rejected</t>
        </is>
      </c>
      <c r="X148" s="2">
        <f>Z148</f>
        <v/>
      </c>
      <c r="Y148" s="73">
        <f>IF(X148="","",X148-A148)</f>
        <v/>
      </c>
      <c r="Z148" s="18" t="n">
        <v>46146</v>
      </c>
      <c r="AA148" s="15" t="n"/>
      <c r="AB148" s="15" t="n"/>
      <c r="AF148">
        <f>IF(AND($F148="Closed",$X148&gt;=DATE(2026,5,1),$X148&lt;=DATE(2026,5,31)),"Closed in May","Other")</f>
        <v/>
      </c>
    </row>
    <row r="149">
      <c r="A149" s="2" t="n">
        <v>46106</v>
      </c>
      <c r="B149" s="3" t="n">
        <v>2026</v>
      </c>
      <c r="C149" s="3" t="inlineStr">
        <is>
          <t>First Energy</t>
        </is>
      </c>
      <c r="D149" s="3" t="inlineStr">
        <is>
          <t>Utility and C&amp;I</t>
        </is>
      </c>
      <c r="E149" s="3" t="n"/>
      <c r="F149" s="3" t="inlineStr">
        <is>
          <t>Closed</t>
        </is>
      </c>
      <c r="G149" s="3" t="inlineStr">
        <is>
          <t>Mr. Gaurav</t>
        </is>
      </c>
      <c r="H149" s="3" t="n">
        <v>9979185999</v>
      </c>
      <c r="I149" s="11" t="inlineStr">
        <is>
          <t>PE25032601</t>
        </is>
      </c>
      <c r="J149" s="9" t="inlineStr">
        <is>
          <t>Module Defects</t>
        </is>
      </c>
      <c r="K149" s="3" t="inlineStr">
        <is>
          <t>Rajkot</t>
        </is>
      </c>
      <c r="L149" s="3" t="inlineStr">
        <is>
          <t>Gujarat</t>
        </is>
      </c>
      <c r="M149" s="9" t="inlineStr">
        <is>
          <t xml:space="preserve">hotspot found </t>
        </is>
      </c>
      <c r="N149" s="19" t="inlineStr">
        <is>
          <t>Hotspot</t>
        </is>
      </c>
      <c r="O149" s="3" t="n">
        <v>550</v>
      </c>
      <c r="P149" s="9" t="inlineStr">
        <is>
          <t>NSMP2301348226</t>
        </is>
      </c>
      <c r="Q149" s="53">
        <f>MID(P149,5,2)</f>
        <v/>
      </c>
      <c r="R149" s="53">
        <f>MID(P149,7,2)</f>
        <v/>
      </c>
      <c r="S149" s="3" t="inlineStr">
        <is>
          <t>G2B</t>
        </is>
      </c>
      <c r="T149" s="3" t="inlineStr">
        <is>
          <t>P2</t>
        </is>
      </c>
      <c r="U149" s="9" t="inlineStr">
        <is>
          <t xml:space="preserve">Multi Cell Hotspot </t>
        </is>
      </c>
      <c r="V149" s="3" t="inlineStr">
        <is>
          <t>Inspection</t>
        </is>
      </c>
      <c r="W149" s="3" t="inlineStr">
        <is>
          <t>Rejected</t>
        </is>
      </c>
      <c r="X149" s="2">
        <f>Z149</f>
        <v/>
      </c>
      <c r="Y149" s="73">
        <f>IF(X149="","",X149-A149)</f>
        <v/>
      </c>
      <c r="Z149" s="18" t="n">
        <v>46146</v>
      </c>
      <c r="AA149" s="15" t="n"/>
      <c r="AB149" s="15" t="n"/>
      <c r="AF149">
        <f>IF(AND($F149="Closed",$X149&gt;=DATE(2026,5,1),$X149&lt;=DATE(2026,5,31)),"Closed in May","Other")</f>
        <v/>
      </c>
    </row>
    <row r="150">
      <c r="A150" s="2" t="n">
        <v>46106</v>
      </c>
      <c r="B150" s="3" t="n">
        <v>2026</v>
      </c>
      <c r="C150" s="3" t="inlineStr">
        <is>
          <t>First Energy</t>
        </is>
      </c>
      <c r="D150" s="3" t="inlineStr">
        <is>
          <t>Utility and C&amp;I</t>
        </is>
      </c>
      <c r="E150" s="3" t="n"/>
      <c r="F150" s="3" t="inlineStr">
        <is>
          <t>Closed</t>
        </is>
      </c>
      <c r="G150" s="3" t="inlineStr">
        <is>
          <t>Mr. Gaurav</t>
        </is>
      </c>
      <c r="H150" s="3" t="n">
        <v>9979185999</v>
      </c>
      <c r="I150" s="11" t="inlineStr">
        <is>
          <t>PE25032601</t>
        </is>
      </c>
      <c r="J150" s="9" t="inlineStr">
        <is>
          <t>Module Defects</t>
        </is>
      </c>
      <c r="K150" s="3" t="inlineStr">
        <is>
          <t>Rajkot</t>
        </is>
      </c>
      <c r="L150" s="3" t="inlineStr">
        <is>
          <t>Gujarat</t>
        </is>
      </c>
      <c r="M150" s="9" t="inlineStr">
        <is>
          <t xml:space="preserve">hotspot found </t>
        </is>
      </c>
      <c r="N150" s="19" t="inlineStr">
        <is>
          <t>Hotspot</t>
        </is>
      </c>
      <c r="O150" s="3" t="n">
        <v>550</v>
      </c>
      <c r="P150" s="9" t="inlineStr">
        <is>
          <t>NSMP2301300977</t>
        </is>
      </c>
      <c r="Q150" s="53">
        <f>MID(P150,5,2)</f>
        <v/>
      </c>
      <c r="R150" s="53">
        <f>MID(P150,7,2)</f>
        <v/>
      </c>
      <c r="S150" s="3" t="inlineStr">
        <is>
          <t>G2B</t>
        </is>
      </c>
      <c r="T150" s="3" t="inlineStr">
        <is>
          <t>P2</t>
        </is>
      </c>
      <c r="U150" s="9" t="inlineStr">
        <is>
          <t xml:space="preserve">Single Cell Hotspot </t>
        </is>
      </c>
      <c r="V150" s="3" t="inlineStr">
        <is>
          <t>Inspection</t>
        </is>
      </c>
      <c r="W150" s="3" t="inlineStr">
        <is>
          <t>Rejected</t>
        </is>
      </c>
      <c r="X150" s="2">
        <f>Z150</f>
        <v/>
      </c>
      <c r="Y150" s="73">
        <f>IF(X150="","",X150-A150)</f>
        <v/>
      </c>
      <c r="Z150" s="18" t="n">
        <v>46146</v>
      </c>
      <c r="AA150" s="15" t="n"/>
      <c r="AB150" s="15" t="n"/>
      <c r="AF150">
        <f>IF(AND($F150="Closed",$X150&gt;=DATE(2026,5,1),$X150&lt;=DATE(2026,5,31)),"Closed in May","Other")</f>
        <v/>
      </c>
    </row>
    <row r="151">
      <c r="A151" s="2" t="n">
        <v>46106</v>
      </c>
      <c r="B151" s="3" t="n">
        <v>2026</v>
      </c>
      <c r="C151" s="3" t="inlineStr">
        <is>
          <t>First Energy</t>
        </is>
      </c>
      <c r="D151" s="3" t="inlineStr">
        <is>
          <t>Utility and C&amp;I</t>
        </is>
      </c>
      <c r="E151" s="3" t="n"/>
      <c r="F151" s="3" t="inlineStr">
        <is>
          <t>Closed</t>
        </is>
      </c>
      <c r="G151" s="3" t="inlineStr">
        <is>
          <t>Mr. Gaurav</t>
        </is>
      </c>
      <c r="H151" s="3" t="n">
        <v>9979185999</v>
      </c>
      <c r="I151" s="11" t="inlineStr">
        <is>
          <t>PE25032601</t>
        </is>
      </c>
      <c r="J151" s="9" t="inlineStr">
        <is>
          <t>Module Defects</t>
        </is>
      </c>
      <c r="K151" s="3" t="inlineStr">
        <is>
          <t>Rajkot</t>
        </is>
      </c>
      <c r="L151" s="3" t="inlineStr">
        <is>
          <t>Gujarat</t>
        </is>
      </c>
      <c r="M151" s="9" t="inlineStr">
        <is>
          <t xml:space="preserve">hotspot found </t>
        </is>
      </c>
      <c r="N151" s="19" t="inlineStr">
        <is>
          <t>Hotspot</t>
        </is>
      </c>
      <c r="O151" s="3" t="n">
        <v>550</v>
      </c>
      <c r="P151" s="9" t="inlineStr">
        <is>
          <t>NSMP2212268464</t>
        </is>
      </c>
      <c r="Q151" s="53">
        <f>MID(P151,5,2)</f>
        <v/>
      </c>
      <c r="R151" s="53">
        <f>MID(P151,7,2)</f>
        <v/>
      </c>
      <c r="S151" s="3" t="inlineStr">
        <is>
          <t>G2B</t>
        </is>
      </c>
      <c r="T151" s="3" t="inlineStr">
        <is>
          <t>P2</t>
        </is>
      </c>
      <c r="U151" s="9" t="inlineStr">
        <is>
          <t xml:space="preserve">Multi Cell Hotspot </t>
        </is>
      </c>
      <c r="V151" s="3" t="inlineStr">
        <is>
          <t>Inspection</t>
        </is>
      </c>
      <c r="W151" s="3" t="inlineStr">
        <is>
          <t>Rejected</t>
        </is>
      </c>
      <c r="X151" s="2">
        <f>Z151</f>
        <v/>
      </c>
      <c r="Y151" s="73">
        <f>IF(X151="","",X151-A151)</f>
        <v/>
      </c>
      <c r="Z151" s="18" t="n">
        <v>46146</v>
      </c>
      <c r="AA151" s="15" t="n"/>
      <c r="AB151" s="15" t="n"/>
      <c r="AF151">
        <f>IF(AND($F151="Closed",$X151&gt;=DATE(2026,5,1),$X151&lt;=DATE(2026,5,31)),"Closed in May","Other")</f>
        <v/>
      </c>
    </row>
    <row r="152">
      <c r="A152" s="2" t="n">
        <v>46106</v>
      </c>
      <c r="B152" s="3" t="n">
        <v>2026</v>
      </c>
      <c r="C152" s="3" t="inlineStr">
        <is>
          <t>First Energy</t>
        </is>
      </c>
      <c r="D152" s="3" t="inlineStr">
        <is>
          <t>Utility and C&amp;I</t>
        </is>
      </c>
      <c r="E152" s="3" t="n"/>
      <c r="F152" s="3" t="inlineStr">
        <is>
          <t>Closed</t>
        </is>
      </c>
      <c r="G152" s="3" t="inlineStr">
        <is>
          <t>Mr. Gaurav</t>
        </is>
      </c>
      <c r="H152" s="3" t="n">
        <v>9979185999</v>
      </c>
      <c r="I152" s="11" t="inlineStr">
        <is>
          <t>PE25032601</t>
        </is>
      </c>
      <c r="J152" s="9" t="inlineStr">
        <is>
          <t>Module Defects</t>
        </is>
      </c>
      <c r="K152" s="3" t="inlineStr">
        <is>
          <t>Rajkot</t>
        </is>
      </c>
      <c r="L152" s="3" t="inlineStr">
        <is>
          <t>Gujarat</t>
        </is>
      </c>
      <c r="M152" s="9" t="inlineStr">
        <is>
          <t xml:space="preserve">hotspot found </t>
        </is>
      </c>
      <c r="N152" s="19" t="inlineStr">
        <is>
          <t>Hotspot</t>
        </is>
      </c>
      <c r="O152" s="3" t="n">
        <v>550</v>
      </c>
      <c r="P152" s="9" t="inlineStr">
        <is>
          <t>NSMP2212268613</t>
        </is>
      </c>
      <c r="Q152" s="53">
        <f>MID(P152,5,2)</f>
        <v/>
      </c>
      <c r="R152" s="53">
        <f>MID(P152,7,2)</f>
        <v/>
      </c>
      <c r="S152" s="3" t="inlineStr">
        <is>
          <t>G2B</t>
        </is>
      </c>
      <c r="T152" s="3" t="inlineStr">
        <is>
          <t>P2</t>
        </is>
      </c>
      <c r="U152" s="9" t="inlineStr">
        <is>
          <t xml:space="preserve">Multi Cell Hotspot </t>
        </is>
      </c>
      <c r="V152" s="3" t="inlineStr">
        <is>
          <t>Inspection</t>
        </is>
      </c>
      <c r="W152" s="3" t="inlineStr">
        <is>
          <t>Rejected</t>
        </is>
      </c>
      <c r="X152" s="2">
        <f>Z152</f>
        <v/>
      </c>
      <c r="Y152" s="73">
        <f>IF(X152="","",X152-A152)</f>
        <v/>
      </c>
      <c r="Z152" s="18" t="n">
        <v>46146</v>
      </c>
      <c r="AA152" s="15" t="n"/>
      <c r="AB152" s="15" t="n"/>
      <c r="AF152">
        <f>IF(AND($F152="Closed",$X152&gt;=DATE(2026,5,1),$X152&lt;=DATE(2026,5,31)),"Closed in May","Other")</f>
        <v/>
      </c>
    </row>
    <row r="153">
      <c r="A153" s="2" t="n">
        <v>46106</v>
      </c>
      <c r="B153" s="3" t="n">
        <v>2026</v>
      </c>
      <c r="C153" s="3" t="inlineStr">
        <is>
          <t>First Energy</t>
        </is>
      </c>
      <c r="D153" s="3" t="inlineStr">
        <is>
          <t>Utility and C&amp;I</t>
        </is>
      </c>
      <c r="E153" s="3" t="n"/>
      <c r="F153" s="3" t="inlineStr">
        <is>
          <t>Closed</t>
        </is>
      </c>
      <c r="G153" s="3" t="inlineStr">
        <is>
          <t>Mr. Gaurav</t>
        </is>
      </c>
      <c r="H153" s="3" t="n">
        <v>9979185999</v>
      </c>
      <c r="I153" s="11" t="inlineStr">
        <is>
          <t>PE25032601</t>
        </is>
      </c>
      <c r="J153" s="9" t="inlineStr">
        <is>
          <t>Module Defects</t>
        </is>
      </c>
      <c r="K153" s="3" t="inlineStr">
        <is>
          <t>Rajkot</t>
        </is>
      </c>
      <c r="L153" s="3" t="inlineStr">
        <is>
          <t>Gujarat</t>
        </is>
      </c>
      <c r="M153" s="9" t="inlineStr">
        <is>
          <t xml:space="preserve">hotspot found </t>
        </is>
      </c>
      <c r="N153" s="19" t="inlineStr">
        <is>
          <t>Hotspot</t>
        </is>
      </c>
      <c r="O153" s="3" t="n">
        <v>550</v>
      </c>
      <c r="P153" s="9" t="inlineStr">
        <is>
          <t>NSMP2212278004</t>
        </is>
      </c>
      <c r="Q153" s="53">
        <f>MID(P153,5,2)</f>
        <v/>
      </c>
      <c r="R153" s="53">
        <f>MID(P153,7,2)</f>
        <v/>
      </c>
      <c r="S153" s="3" t="inlineStr">
        <is>
          <t>G2B</t>
        </is>
      </c>
      <c r="T153" s="3" t="inlineStr">
        <is>
          <t>P2</t>
        </is>
      </c>
      <c r="U153" s="9" t="inlineStr">
        <is>
          <t xml:space="preserve">Single Cell Hotspot </t>
        </is>
      </c>
      <c r="V153" s="3" t="inlineStr">
        <is>
          <t>Inspection</t>
        </is>
      </c>
      <c r="W153" s="3" t="inlineStr">
        <is>
          <t>Rejected</t>
        </is>
      </c>
      <c r="X153" s="2">
        <f>Z153</f>
        <v/>
      </c>
      <c r="Y153" s="73">
        <f>IF(X153="","",X153-A153)</f>
        <v/>
      </c>
      <c r="Z153" s="18" t="n">
        <v>46146</v>
      </c>
      <c r="AA153" s="15" t="n"/>
      <c r="AB153" s="15" t="n"/>
      <c r="AF153">
        <f>IF(AND($F153="Closed",$X153&gt;=DATE(2026,5,1),$X153&lt;=DATE(2026,5,31)),"Closed in May","Other")</f>
        <v/>
      </c>
    </row>
    <row r="154">
      <c r="A154" s="2" t="n">
        <v>46106</v>
      </c>
      <c r="B154" s="3" t="n">
        <v>2026</v>
      </c>
      <c r="C154" s="3" t="inlineStr">
        <is>
          <t>First Energy</t>
        </is>
      </c>
      <c r="D154" s="3" t="inlineStr">
        <is>
          <t>Utility and C&amp;I</t>
        </is>
      </c>
      <c r="E154" s="3" t="n"/>
      <c r="F154" s="3" t="inlineStr">
        <is>
          <t>Closed</t>
        </is>
      </c>
      <c r="G154" s="3" t="inlineStr">
        <is>
          <t>Mr. Gaurav</t>
        </is>
      </c>
      <c r="H154" s="3" t="n">
        <v>9979185999</v>
      </c>
      <c r="I154" s="11" t="inlineStr">
        <is>
          <t>PE25032601</t>
        </is>
      </c>
      <c r="J154" s="9" t="inlineStr">
        <is>
          <t>Module Defects</t>
        </is>
      </c>
      <c r="K154" s="3" t="inlineStr">
        <is>
          <t>Rajkot</t>
        </is>
      </c>
      <c r="L154" s="3" t="inlineStr">
        <is>
          <t>Gujarat</t>
        </is>
      </c>
      <c r="M154" s="9" t="inlineStr">
        <is>
          <t xml:space="preserve">hotspot found </t>
        </is>
      </c>
      <c r="N154" s="19" t="inlineStr">
        <is>
          <t>Hotspot</t>
        </is>
      </c>
      <c r="O154" s="3" t="n">
        <v>550</v>
      </c>
      <c r="P154" s="9" t="inlineStr">
        <is>
          <t>NSMP2301302782</t>
        </is>
      </c>
      <c r="Q154" s="53">
        <f>MID(P154,5,2)</f>
        <v/>
      </c>
      <c r="R154" s="53">
        <f>MID(P154,7,2)</f>
        <v/>
      </c>
      <c r="S154" s="3" t="inlineStr">
        <is>
          <t>G2B</t>
        </is>
      </c>
      <c r="T154" s="3" t="inlineStr">
        <is>
          <t>P2</t>
        </is>
      </c>
      <c r="U154" s="9" t="inlineStr">
        <is>
          <t xml:space="preserve">Multi Cell Hotspot </t>
        </is>
      </c>
      <c r="V154" s="3" t="inlineStr">
        <is>
          <t>Inspection</t>
        </is>
      </c>
      <c r="W154" s="3" t="inlineStr">
        <is>
          <t>Rejected</t>
        </is>
      </c>
      <c r="X154" s="2">
        <f>Z154</f>
        <v/>
      </c>
      <c r="Y154" s="73">
        <f>IF(X154="","",X154-A154)</f>
        <v/>
      </c>
      <c r="Z154" s="18" t="n">
        <v>46146</v>
      </c>
      <c r="AA154" s="15" t="n"/>
      <c r="AB154" s="15" t="n"/>
      <c r="AF154">
        <f>IF(AND($F154="Closed",$X154&gt;=DATE(2026,5,1),$X154&lt;=DATE(2026,5,31)),"Closed in May","Other")</f>
        <v/>
      </c>
    </row>
    <row r="155">
      <c r="A155" s="2" t="n">
        <v>46106</v>
      </c>
      <c r="B155" s="3" t="n">
        <v>2026</v>
      </c>
      <c r="C155" s="3" t="inlineStr">
        <is>
          <t>First Energy</t>
        </is>
      </c>
      <c r="D155" s="3" t="inlineStr">
        <is>
          <t>Utility and C&amp;I</t>
        </is>
      </c>
      <c r="E155" s="3" t="n"/>
      <c r="F155" s="3" t="inlineStr">
        <is>
          <t>Closed</t>
        </is>
      </c>
      <c r="G155" s="3" t="inlineStr">
        <is>
          <t>Mr. Gaurav</t>
        </is>
      </c>
      <c r="H155" s="3" t="n">
        <v>9979185999</v>
      </c>
      <c r="I155" s="11" t="inlineStr">
        <is>
          <t>PE25032601</t>
        </is>
      </c>
      <c r="J155" s="9" t="inlineStr">
        <is>
          <t>Module Defects</t>
        </is>
      </c>
      <c r="K155" s="3" t="inlineStr">
        <is>
          <t>Rajkot</t>
        </is>
      </c>
      <c r="L155" s="3" t="inlineStr">
        <is>
          <t>Gujarat</t>
        </is>
      </c>
      <c r="M155" s="9" t="inlineStr">
        <is>
          <t xml:space="preserve">hotspot found </t>
        </is>
      </c>
      <c r="N155" s="19" t="inlineStr">
        <is>
          <t>Hotspot</t>
        </is>
      </c>
      <c r="O155" s="3" t="n">
        <v>550</v>
      </c>
      <c r="P155" s="9" t="inlineStr">
        <is>
          <t>NSMP2212274129</t>
        </is>
      </c>
      <c r="Q155" s="53">
        <f>MID(P155,5,2)</f>
        <v/>
      </c>
      <c r="R155" s="53">
        <f>MID(P155,7,2)</f>
        <v/>
      </c>
      <c r="S155" s="3" t="inlineStr">
        <is>
          <t>G2B</t>
        </is>
      </c>
      <c r="T155" s="3" t="inlineStr">
        <is>
          <t>P2</t>
        </is>
      </c>
      <c r="U155" s="9" t="inlineStr">
        <is>
          <t xml:space="preserve">Multi Cell Hotspot </t>
        </is>
      </c>
      <c r="V155" s="3" t="inlineStr">
        <is>
          <t>Inspection</t>
        </is>
      </c>
      <c r="W155" s="3" t="inlineStr">
        <is>
          <t>Rejected</t>
        </is>
      </c>
      <c r="X155" s="2">
        <f>Z155</f>
        <v/>
      </c>
      <c r="Y155" s="73">
        <f>IF(X155="","",X155-A155)</f>
        <v/>
      </c>
      <c r="Z155" s="18" t="n">
        <v>46146</v>
      </c>
      <c r="AA155" s="15" t="n"/>
      <c r="AB155" s="15" t="n"/>
      <c r="AF155">
        <f>IF(AND($F155="Closed",$X155&gt;=DATE(2026,5,1),$X155&lt;=DATE(2026,5,31)),"Closed in May","Other")</f>
        <v/>
      </c>
    </row>
    <row r="156">
      <c r="A156" s="2" t="n">
        <v>46106</v>
      </c>
      <c r="B156" s="3" t="n">
        <v>2026</v>
      </c>
      <c r="C156" s="3" t="inlineStr">
        <is>
          <t>First Energy</t>
        </is>
      </c>
      <c r="D156" s="3" t="inlineStr">
        <is>
          <t>Utility and C&amp;I</t>
        </is>
      </c>
      <c r="E156" s="3" t="n"/>
      <c r="F156" s="3" t="inlineStr">
        <is>
          <t>Closed</t>
        </is>
      </c>
      <c r="G156" s="3" t="inlineStr">
        <is>
          <t>Mr. Gaurav</t>
        </is>
      </c>
      <c r="H156" s="3" t="n">
        <v>9979185999</v>
      </c>
      <c r="I156" s="11" t="inlineStr">
        <is>
          <t>PE25032601</t>
        </is>
      </c>
      <c r="J156" s="9" t="inlineStr">
        <is>
          <t>Module Defects</t>
        </is>
      </c>
      <c r="K156" s="3" t="inlineStr">
        <is>
          <t>Rajkot</t>
        </is>
      </c>
      <c r="L156" s="3" t="inlineStr">
        <is>
          <t>Gujarat</t>
        </is>
      </c>
      <c r="M156" s="9" t="inlineStr">
        <is>
          <t xml:space="preserve">hotspot found </t>
        </is>
      </c>
      <c r="N156" s="19" t="inlineStr">
        <is>
          <t>Hotspot</t>
        </is>
      </c>
      <c r="O156" s="3" t="n">
        <v>550</v>
      </c>
      <c r="P156" s="9" t="inlineStr">
        <is>
          <t>NSMP2212284508</t>
        </is>
      </c>
      <c r="Q156" s="53">
        <f>MID(P156,5,2)</f>
        <v/>
      </c>
      <c r="R156" s="53">
        <f>MID(P156,7,2)</f>
        <v/>
      </c>
      <c r="S156" s="3" t="inlineStr">
        <is>
          <t>G2B</t>
        </is>
      </c>
      <c r="T156" s="3" t="inlineStr">
        <is>
          <t>P2</t>
        </is>
      </c>
      <c r="U156" s="9" t="inlineStr">
        <is>
          <t xml:space="preserve">Multi Cell Hotspot </t>
        </is>
      </c>
      <c r="V156" s="3" t="inlineStr">
        <is>
          <t>Inspection</t>
        </is>
      </c>
      <c r="W156" s="3" t="inlineStr">
        <is>
          <t>Rejected</t>
        </is>
      </c>
      <c r="X156" s="2">
        <f>Z156</f>
        <v/>
      </c>
      <c r="Y156" s="73">
        <f>IF(X156="","",X156-A156)</f>
        <v/>
      </c>
      <c r="Z156" s="18" t="n">
        <v>46146</v>
      </c>
      <c r="AA156" s="15" t="n"/>
      <c r="AB156" s="15" t="n"/>
      <c r="AF156">
        <f>IF(AND($F156="Closed",$X156&gt;=DATE(2026,5,1),$X156&lt;=DATE(2026,5,31)),"Closed in May","Other")</f>
        <v/>
      </c>
    </row>
    <row r="157">
      <c r="A157" s="2" t="n">
        <v>46106</v>
      </c>
      <c r="B157" s="3" t="n">
        <v>2026</v>
      </c>
      <c r="C157" s="3" t="inlineStr">
        <is>
          <t>First Energy</t>
        </is>
      </c>
      <c r="D157" s="3" t="inlineStr">
        <is>
          <t>Utility and C&amp;I</t>
        </is>
      </c>
      <c r="E157" s="3" t="n"/>
      <c r="F157" s="3" t="inlineStr">
        <is>
          <t>Closed</t>
        </is>
      </c>
      <c r="G157" s="3" t="inlineStr">
        <is>
          <t>Mr. Gaurav</t>
        </is>
      </c>
      <c r="H157" s="3" t="n">
        <v>9979185999</v>
      </c>
      <c r="I157" s="11" t="inlineStr">
        <is>
          <t>PE25032601</t>
        </is>
      </c>
      <c r="J157" s="9" t="inlineStr">
        <is>
          <t>Module Defects</t>
        </is>
      </c>
      <c r="K157" s="3" t="inlineStr">
        <is>
          <t>Rajkot</t>
        </is>
      </c>
      <c r="L157" s="3" t="inlineStr">
        <is>
          <t>Gujarat</t>
        </is>
      </c>
      <c r="M157" s="9" t="inlineStr">
        <is>
          <t xml:space="preserve">hotspot found </t>
        </is>
      </c>
      <c r="N157" s="19" t="inlineStr">
        <is>
          <t>Hotspot</t>
        </is>
      </c>
      <c r="O157" s="3" t="n">
        <v>550</v>
      </c>
      <c r="P157" s="9" t="inlineStr">
        <is>
          <t>NSMP2301296863</t>
        </is>
      </c>
      <c r="Q157" s="53">
        <f>MID(P157,5,2)</f>
        <v/>
      </c>
      <c r="R157" s="53">
        <f>MID(P157,7,2)</f>
        <v/>
      </c>
      <c r="S157" s="3" t="inlineStr">
        <is>
          <t>G2B</t>
        </is>
      </c>
      <c r="T157" s="3" t="inlineStr">
        <is>
          <t>P2</t>
        </is>
      </c>
      <c r="U157" s="9" t="inlineStr">
        <is>
          <t xml:space="preserve">Multi Cell Hotspot </t>
        </is>
      </c>
      <c r="V157" s="3" t="inlineStr">
        <is>
          <t>Inspection</t>
        </is>
      </c>
      <c r="W157" s="3" t="inlineStr">
        <is>
          <t>Rejected</t>
        </is>
      </c>
      <c r="X157" s="2">
        <f>Z157</f>
        <v/>
      </c>
      <c r="Y157" s="73">
        <f>IF(X157="","",X157-A157)</f>
        <v/>
      </c>
      <c r="Z157" s="18" t="n">
        <v>46146</v>
      </c>
      <c r="AA157" s="15" t="n"/>
      <c r="AB157" s="15" t="n"/>
      <c r="AF157">
        <f>IF(AND($F157="Closed",$X157&gt;=DATE(2026,5,1),$X157&lt;=DATE(2026,5,31)),"Closed in May","Other")</f>
        <v/>
      </c>
    </row>
    <row r="158">
      <c r="A158" s="2" t="n">
        <v>46106</v>
      </c>
      <c r="B158" s="3" t="n">
        <v>2026</v>
      </c>
      <c r="C158" s="3" t="inlineStr">
        <is>
          <t>First Energy</t>
        </is>
      </c>
      <c r="D158" s="3" t="inlineStr">
        <is>
          <t>Utility and C&amp;I</t>
        </is>
      </c>
      <c r="E158" s="3" t="n"/>
      <c r="F158" s="3" t="inlineStr">
        <is>
          <t>Closed</t>
        </is>
      </c>
      <c r="G158" s="3" t="inlineStr">
        <is>
          <t>Mr. Gaurav</t>
        </is>
      </c>
      <c r="H158" s="3" t="n">
        <v>9979185999</v>
      </c>
      <c r="I158" s="11" t="inlineStr">
        <is>
          <t>PE25032601</t>
        </is>
      </c>
      <c r="J158" s="9" t="inlineStr">
        <is>
          <t>Module Defects</t>
        </is>
      </c>
      <c r="K158" s="3" t="inlineStr">
        <is>
          <t>Rajkot</t>
        </is>
      </c>
      <c r="L158" s="3" t="inlineStr">
        <is>
          <t>Gujarat</t>
        </is>
      </c>
      <c r="M158" s="9" t="inlineStr">
        <is>
          <t xml:space="preserve">hotspot found </t>
        </is>
      </c>
      <c r="N158" s="19" t="inlineStr">
        <is>
          <t>Hotspot</t>
        </is>
      </c>
      <c r="O158" s="3" t="n">
        <v>550</v>
      </c>
      <c r="P158" s="9" t="inlineStr">
        <is>
          <t>NSMP2212285362</t>
        </is>
      </c>
      <c r="Q158" s="53">
        <f>MID(P158,5,2)</f>
        <v/>
      </c>
      <c r="R158" s="53">
        <f>MID(P158,7,2)</f>
        <v/>
      </c>
      <c r="S158" s="3" t="inlineStr">
        <is>
          <t>G2B</t>
        </is>
      </c>
      <c r="T158" s="3" t="inlineStr">
        <is>
          <t>P2</t>
        </is>
      </c>
      <c r="U158" s="9" t="inlineStr">
        <is>
          <t xml:space="preserve">Multi Cell Hotspot </t>
        </is>
      </c>
      <c r="V158" s="3" t="inlineStr">
        <is>
          <t>Inspection</t>
        </is>
      </c>
      <c r="W158" s="3" t="inlineStr">
        <is>
          <t>Rejected</t>
        </is>
      </c>
      <c r="X158" s="2">
        <f>Z158</f>
        <v/>
      </c>
      <c r="Y158" s="73">
        <f>IF(X158="","",X158-A158)</f>
        <v/>
      </c>
      <c r="Z158" s="18" t="n">
        <v>46146</v>
      </c>
      <c r="AA158" s="15" t="n"/>
      <c r="AB158" s="15" t="n"/>
      <c r="AF158">
        <f>IF(AND($F158="Closed",$X158&gt;=DATE(2026,5,1),$X158&lt;=DATE(2026,5,31)),"Closed in May","Other")</f>
        <v/>
      </c>
    </row>
    <row r="159">
      <c r="A159" s="2" t="n">
        <v>46106</v>
      </c>
      <c r="B159" s="3" t="n">
        <v>2026</v>
      </c>
      <c r="C159" s="3" t="inlineStr">
        <is>
          <t>First Energy</t>
        </is>
      </c>
      <c r="D159" s="3" t="inlineStr">
        <is>
          <t>Utility and C&amp;I</t>
        </is>
      </c>
      <c r="E159" s="3" t="n"/>
      <c r="F159" s="3" t="inlineStr">
        <is>
          <t>Closed</t>
        </is>
      </c>
      <c r="G159" s="3" t="inlineStr">
        <is>
          <t>Mr. Gaurav</t>
        </is>
      </c>
      <c r="H159" s="3" t="n">
        <v>9979185999</v>
      </c>
      <c r="I159" s="11" t="inlineStr">
        <is>
          <t>PE25032601</t>
        </is>
      </c>
      <c r="J159" s="9" t="inlineStr">
        <is>
          <t>Module Defects</t>
        </is>
      </c>
      <c r="K159" s="3" t="inlineStr">
        <is>
          <t>Rajkot</t>
        </is>
      </c>
      <c r="L159" s="3" t="inlineStr">
        <is>
          <t>Gujarat</t>
        </is>
      </c>
      <c r="M159" s="9" t="inlineStr">
        <is>
          <t xml:space="preserve">hotspot found </t>
        </is>
      </c>
      <c r="N159" s="19" t="inlineStr">
        <is>
          <t>Hotspot</t>
        </is>
      </c>
      <c r="O159" s="3" t="n">
        <v>550</v>
      </c>
      <c r="P159" s="9" t="inlineStr">
        <is>
          <t>NSMP2301303065</t>
        </is>
      </c>
      <c r="Q159" s="53">
        <f>MID(P159,5,2)</f>
        <v/>
      </c>
      <c r="R159" s="53">
        <f>MID(P159,7,2)</f>
        <v/>
      </c>
      <c r="S159" s="3" t="inlineStr">
        <is>
          <t>G2B</t>
        </is>
      </c>
      <c r="T159" s="3" t="inlineStr">
        <is>
          <t>P2</t>
        </is>
      </c>
      <c r="U159" s="9" t="inlineStr">
        <is>
          <t xml:space="preserve">Single Cell Hotspot </t>
        </is>
      </c>
      <c r="V159" s="3" t="inlineStr">
        <is>
          <t>Inspection</t>
        </is>
      </c>
      <c r="W159" s="3" t="inlineStr">
        <is>
          <t>Rejected</t>
        </is>
      </c>
      <c r="X159" s="2">
        <f>Z159</f>
        <v/>
      </c>
      <c r="Y159" s="73">
        <f>IF(X159="","",X159-A159)</f>
        <v/>
      </c>
      <c r="Z159" s="18" t="n">
        <v>46146</v>
      </c>
      <c r="AA159" s="15" t="n"/>
      <c r="AB159" s="15" t="n"/>
      <c r="AF159">
        <f>IF(AND($F159="Closed",$X159&gt;=DATE(2026,5,1),$X159&lt;=DATE(2026,5,31)),"Closed in May","Other")</f>
        <v/>
      </c>
    </row>
    <row r="160">
      <c r="A160" s="2" t="n">
        <v>46106</v>
      </c>
      <c r="B160" s="3" t="n">
        <v>2026</v>
      </c>
      <c r="C160" s="3" t="inlineStr">
        <is>
          <t>First Energy</t>
        </is>
      </c>
      <c r="D160" s="3" t="inlineStr">
        <is>
          <t>Utility and C&amp;I</t>
        </is>
      </c>
      <c r="E160" s="3" t="n"/>
      <c r="F160" s="3" t="inlineStr">
        <is>
          <t>Closed</t>
        </is>
      </c>
      <c r="G160" s="3" t="inlineStr">
        <is>
          <t>Mr. Gaurav</t>
        </is>
      </c>
      <c r="H160" s="3" t="n">
        <v>9979185999</v>
      </c>
      <c r="I160" s="11" t="inlineStr">
        <is>
          <t>PE25032601</t>
        </is>
      </c>
      <c r="J160" s="9" t="inlineStr">
        <is>
          <t>Module Defects</t>
        </is>
      </c>
      <c r="K160" s="3" t="inlineStr">
        <is>
          <t>Rajkot</t>
        </is>
      </c>
      <c r="L160" s="3" t="inlineStr">
        <is>
          <t>Gujarat</t>
        </is>
      </c>
      <c r="M160" s="9" t="inlineStr">
        <is>
          <t xml:space="preserve">hotspot found </t>
        </is>
      </c>
      <c r="N160" s="19" t="inlineStr">
        <is>
          <t>Hotspot</t>
        </is>
      </c>
      <c r="O160" s="3" t="n">
        <v>550</v>
      </c>
      <c r="P160" s="9" t="inlineStr">
        <is>
          <t>NSMP2301305025</t>
        </is>
      </c>
      <c r="Q160" s="53">
        <f>MID(P160,5,2)</f>
        <v/>
      </c>
      <c r="R160" s="53">
        <f>MID(P160,7,2)</f>
        <v/>
      </c>
      <c r="S160" s="3" t="inlineStr">
        <is>
          <t>G2B</t>
        </is>
      </c>
      <c r="T160" s="3" t="inlineStr">
        <is>
          <t>P2</t>
        </is>
      </c>
      <c r="U160" s="9" t="inlineStr">
        <is>
          <t xml:space="preserve">Multi Cell Hotspot </t>
        </is>
      </c>
      <c r="V160" s="3" t="inlineStr">
        <is>
          <t>Inspection</t>
        </is>
      </c>
      <c r="W160" s="3" t="inlineStr">
        <is>
          <t>Rejected</t>
        </is>
      </c>
      <c r="X160" s="2">
        <f>Z160</f>
        <v/>
      </c>
      <c r="Y160" s="73">
        <f>IF(X160="","",X160-A160)</f>
        <v/>
      </c>
      <c r="Z160" s="18" t="n">
        <v>46146</v>
      </c>
      <c r="AA160" s="15" t="n"/>
      <c r="AB160" s="15" t="n"/>
      <c r="AF160">
        <f>IF(AND($F160="Closed",$X160&gt;=DATE(2026,5,1),$X160&lt;=DATE(2026,5,31)),"Closed in May","Other")</f>
        <v/>
      </c>
    </row>
    <row r="161">
      <c r="A161" s="2" t="n">
        <v>46106</v>
      </c>
      <c r="B161" s="3" t="n">
        <v>2026</v>
      </c>
      <c r="C161" s="3" t="inlineStr">
        <is>
          <t>First Energy</t>
        </is>
      </c>
      <c r="D161" s="3" t="inlineStr">
        <is>
          <t>Utility and C&amp;I</t>
        </is>
      </c>
      <c r="E161" s="3" t="n"/>
      <c r="F161" s="3" t="inlineStr">
        <is>
          <t>Closed</t>
        </is>
      </c>
      <c r="G161" s="3" t="inlineStr">
        <is>
          <t>Mr. Gaurav</t>
        </is>
      </c>
      <c r="H161" s="3" t="n">
        <v>9979185999</v>
      </c>
      <c r="I161" s="11" t="inlineStr">
        <is>
          <t>PE25032601</t>
        </is>
      </c>
      <c r="J161" s="9" t="inlineStr">
        <is>
          <t>Module Defects</t>
        </is>
      </c>
      <c r="K161" s="3" t="inlineStr">
        <is>
          <t>Rajkot</t>
        </is>
      </c>
      <c r="L161" s="3" t="inlineStr">
        <is>
          <t>Gujarat</t>
        </is>
      </c>
      <c r="M161" s="9" t="inlineStr">
        <is>
          <t xml:space="preserve">hotspot found </t>
        </is>
      </c>
      <c r="N161" s="19" t="inlineStr">
        <is>
          <t>Hotspot</t>
        </is>
      </c>
      <c r="O161" s="3" t="n">
        <v>550</v>
      </c>
      <c r="P161" s="9" t="inlineStr">
        <is>
          <t>NSMP2301294781</t>
        </is>
      </c>
      <c r="Q161" s="53">
        <f>MID(P161,5,2)</f>
        <v/>
      </c>
      <c r="R161" s="53">
        <f>MID(P161,7,2)</f>
        <v/>
      </c>
      <c r="S161" s="3" t="inlineStr">
        <is>
          <t>G2B</t>
        </is>
      </c>
      <c r="T161" s="3" t="inlineStr">
        <is>
          <t>P2</t>
        </is>
      </c>
      <c r="U161" s="9" t="inlineStr">
        <is>
          <t xml:space="preserve">Single Cell Hotspot </t>
        </is>
      </c>
      <c r="V161" s="3" t="inlineStr">
        <is>
          <t>Inspection</t>
        </is>
      </c>
      <c r="W161" s="3" t="inlineStr">
        <is>
          <t>Rejected</t>
        </is>
      </c>
      <c r="X161" s="2">
        <f>Z161</f>
        <v/>
      </c>
      <c r="Y161" s="73">
        <f>IF(X161="","",X161-A161)</f>
        <v/>
      </c>
      <c r="Z161" s="18" t="n">
        <v>46146</v>
      </c>
      <c r="AA161" s="15" t="n"/>
      <c r="AB161" s="15" t="n"/>
      <c r="AF161">
        <f>IF(AND($F161="Closed",$X161&gt;=DATE(2026,5,1),$X161&lt;=DATE(2026,5,31)),"Closed in May","Other")</f>
        <v/>
      </c>
    </row>
    <row r="162">
      <c r="A162" s="2" t="n">
        <v>46106</v>
      </c>
      <c r="B162" s="3" t="n">
        <v>2026</v>
      </c>
      <c r="C162" s="3" t="inlineStr">
        <is>
          <t>First Energy</t>
        </is>
      </c>
      <c r="D162" s="3" t="inlineStr">
        <is>
          <t>Utility and C&amp;I</t>
        </is>
      </c>
      <c r="E162" s="3" t="n"/>
      <c r="F162" s="3" t="inlineStr">
        <is>
          <t>Closed</t>
        </is>
      </c>
      <c r="G162" s="3" t="inlineStr">
        <is>
          <t>Mr. Gaurav</t>
        </is>
      </c>
      <c r="H162" s="3" t="n">
        <v>9979185999</v>
      </c>
      <c r="I162" s="11" t="inlineStr">
        <is>
          <t>PE25032601</t>
        </is>
      </c>
      <c r="J162" s="9" t="inlineStr">
        <is>
          <t>Module Defects</t>
        </is>
      </c>
      <c r="K162" s="3" t="inlineStr">
        <is>
          <t>Rajkot</t>
        </is>
      </c>
      <c r="L162" s="3" t="inlineStr">
        <is>
          <t>Gujarat</t>
        </is>
      </c>
      <c r="M162" s="9" t="inlineStr">
        <is>
          <t xml:space="preserve">hotspot found </t>
        </is>
      </c>
      <c r="N162" s="19" t="inlineStr">
        <is>
          <t>Hotspot</t>
        </is>
      </c>
      <c r="O162" s="3" t="n">
        <v>550</v>
      </c>
      <c r="P162" s="9" t="inlineStr">
        <is>
          <t>NSMP2212285494</t>
        </is>
      </c>
      <c r="Q162" s="53">
        <f>MID(P162,5,2)</f>
        <v/>
      </c>
      <c r="R162" s="53">
        <f>MID(P162,7,2)</f>
        <v/>
      </c>
      <c r="S162" s="3" t="inlineStr">
        <is>
          <t>G2B</t>
        </is>
      </c>
      <c r="T162" s="3" t="inlineStr">
        <is>
          <t>P2</t>
        </is>
      </c>
      <c r="U162" s="9" t="inlineStr">
        <is>
          <t xml:space="preserve">Multi Cell Hotspot </t>
        </is>
      </c>
      <c r="V162" s="3" t="inlineStr">
        <is>
          <t>Inspection</t>
        </is>
      </c>
      <c r="W162" s="3" t="inlineStr">
        <is>
          <t>Rejected</t>
        </is>
      </c>
      <c r="X162" s="2">
        <f>Z162</f>
        <v/>
      </c>
      <c r="Y162" s="73">
        <f>IF(X162="","",X162-A162)</f>
        <v/>
      </c>
      <c r="Z162" s="18" t="n">
        <v>46146</v>
      </c>
      <c r="AA162" s="15" t="n"/>
      <c r="AB162" s="15" t="n"/>
      <c r="AF162">
        <f>IF(AND($F162="Closed",$X162&gt;=DATE(2026,5,1),$X162&lt;=DATE(2026,5,31)),"Closed in May","Other")</f>
        <v/>
      </c>
    </row>
    <row r="163">
      <c r="A163" s="2" t="n">
        <v>46106</v>
      </c>
      <c r="B163" s="3" t="n">
        <v>2026</v>
      </c>
      <c r="C163" s="3" t="inlineStr">
        <is>
          <t>First Energy</t>
        </is>
      </c>
      <c r="D163" s="3" t="inlineStr">
        <is>
          <t>Utility and C&amp;I</t>
        </is>
      </c>
      <c r="E163" s="3" t="n"/>
      <c r="F163" s="3" t="inlineStr">
        <is>
          <t>Closed</t>
        </is>
      </c>
      <c r="G163" s="3" t="inlineStr">
        <is>
          <t>Mr. Gaurav</t>
        </is>
      </c>
      <c r="H163" s="3" t="n">
        <v>9979185999</v>
      </c>
      <c r="I163" s="11" t="inlineStr">
        <is>
          <t>PE25032601</t>
        </is>
      </c>
      <c r="J163" s="9" t="inlineStr">
        <is>
          <t>Module Defects</t>
        </is>
      </c>
      <c r="K163" s="3" t="inlineStr">
        <is>
          <t>Rajkot</t>
        </is>
      </c>
      <c r="L163" s="3" t="inlineStr">
        <is>
          <t>Gujarat</t>
        </is>
      </c>
      <c r="M163" s="9" t="inlineStr">
        <is>
          <t xml:space="preserve">hotspot found </t>
        </is>
      </c>
      <c r="N163" s="19" t="inlineStr">
        <is>
          <t>Hotspot</t>
        </is>
      </c>
      <c r="O163" s="3" t="n">
        <v>550</v>
      </c>
      <c r="P163" s="9" t="inlineStr">
        <is>
          <t>NSMP2212279699</t>
        </is>
      </c>
      <c r="Q163" s="53">
        <f>MID(P163,5,2)</f>
        <v/>
      </c>
      <c r="R163" s="53">
        <f>MID(P163,7,2)</f>
        <v/>
      </c>
      <c r="S163" s="3" t="inlineStr">
        <is>
          <t>G2B</t>
        </is>
      </c>
      <c r="T163" s="3" t="inlineStr">
        <is>
          <t>P2</t>
        </is>
      </c>
      <c r="U163" s="9" t="inlineStr">
        <is>
          <t xml:space="preserve">Multi Cell Hotspot </t>
        </is>
      </c>
      <c r="V163" s="3" t="inlineStr">
        <is>
          <t>Inspection</t>
        </is>
      </c>
      <c r="W163" s="3" t="inlineStr">
        <is>
          <t>Rejected</t>
        </is>
      </c>
      <c r="X163" s="2">
        <f>Z163</f>
        <v/>
      </c>
      <c r="Y163" s="73">
        <f>IF(X163="","",X163-A163)</f>
        <v/>
      </c>
      <c r="Z163" s="18" t="n">
        <v>46146</v>
      </c>
      <c r="AA163" s="15" t="n"/>
      <c r="AB163" s="15" t="n"/>
      <c r="AF163">
        <f>IF(AND($F163="Closed",$X163&gt;=DATE(2026,5,1),$X163&lt;=DATE(2026,5,31)),"Closed in May","Other")</f>
        <v/>
      </c>
    </row>
    <row r="164">
      <c r="A164" s="2" t="n">
        <v>46106</v>
      </c>
      <c r="B164" s="3" t="n">
        <v>2026</v>
      </c>
      <c r="C164" s="3" t="inlineStr">
        <is>
          <t>First Energy</t>
        </is>
      </c>
      <c r="D164" s="3" t="inlineStr">
        <is>
          <t>Utility and C&amp;I</t>
        </is>
      </c>
      <c r="E164" s="3" t="n"/>
      <c r="F164" s="3" t="inlineStr">
        <is>
          <t>Closed</t>
        </is>
      </c>
      <c r="G164" s="3" t="inlineStr">
        <is>
          <t>Mr. Gaurav</t>
        </is>
      </c>
      <c r="H164" s="3" t="n">
        <v>9979185999</v>
      </c>
      <c r="I164" s="11" t="inlineStr">
        <is>
          <t>PE25032601</t>
        </is>
      </c>
      <c r="J164" s="9" t="inlineStr">
        <is>
          <t>Module Defects</t>
        </is>
      </c>
      <c r="K164" s="3" t="inlineStr">
        <is>
          <t>Rajkot</t>
        </is>
      </c>
      <c r="L164" s="3" t="inlineStr">
        <is>
          <t>Gujarat</t>
        </is>
      </c>
      <c r="M164" s="9" t="inlineStr">
        <is>
          <t xml:space="preserve">hotspot found </t>
        </is>
      </c>
      <c r="N164" s="19" t="inlineStr">
        <is>
          <t>Hotspot</t>
        </is>
      </c>
      <c r="O164" s="3" t="n">
        <v>550</v>
      </c>
      <c r="P164" s="9" t="inlineStr">
        <is>
          <t>NSMP2212279393</t>
        </is>
      </c>
      <c r="Q164" s="53">
        <f>MID(P164,5,2)</f>
        <v/>
      </c>
      <c r="R164" s="53">
        <f>MID(P164,7,2)</f>
        <v/>
      </c>
      <c r="S164" s="3" t="inlineStr">
        <is>
          <t>G2B</t>
        </is>
      </c>
      <c r="T164" s="3" t="inlineStr">
        <is>
          <t>P2</t>
        </is>
      </c>
      <c r="U164" s="9" t="inlineStr">
        <is>
          <t xml:space="preserve">Multi Cell Hotspot </t>
        </is>
      </c>
      <c r="V164" s="3" t="inlineStr">
        <is>
          <t>Inspection</t>
        </is>
      </c>
      <c r="W164" s="3" t="inlineStr">
        <is>
          <t>Rejected</t>
        </is>
      </c>
      <c r="X164" s="2">
        <f>Z164</f>
        <v/>
      </c>
      <c r="Y164" s="73">
        <f>IF(X164="","",X164-A164)</f>
        <v/>
      </c>
      <c r="Z164" s="18" t="n">
        <v>46146</v>
      </c>
      <c r="AA164" s="15" t="n"/>
      <c r="AB164" s="15" t="n"/>
      <c r="AF164">
        <f>IF(AND($F164="Closed",$X164&gt;=DATE(2026,5,1),$X164&lt;=DATE(2026,5,31)),"Closed in May","Other")</f>
        <v/>
      </c>
    </row>
    <row r="165">
      <c r="A165" s="2" t="n">
        <v>46106</v>
      </c>
      <c r="B165" s="3" t="n">
        <v>2026</v>
      </c>
      <c r="C165" s="3" t="inlineStr">
        <is>
          <t>First Energy</t>
        </is>
      </c>
      <c r="D165" s="3" t="inlineStr">
        <is>
          <t>Utility and C&amp;I</t>
        </is>
      </c>
      <c r="E165" s="3" t="n"/>
      <c r="F165" s="3" t="inlineStr">
        <is>
          <t>Closed</t>
        </is>
      </c>
      <c r="G165" s="3" t="inlineStr">
        <is>
          <t>Mr. Gaurav</t>
        </is>
      </c>
      <c r="H165" s="3" t="n">
        <v>9979185999</v>
      </c>
      <c r="I165" s="11" t="inlineStr">
        <is>
          <t>PE25032601</t>
        </is>
      </c>
      <c r="J165" s="9" t="inlineStr">
        <is>
          <t>Module Defects</t>
        </is>
      </c>
      <c r="K165" s="3" t="inlineStr">
        <is>
          <t>Rajkot</t>
        </is>
      </c>
      <c r="L165" s="3" t="inlineStr">
        <is>
          <t>Gujarat</t>
        </is>
      </c>
      <c r="M165" s="9" t="inlineStr">
        <is>
          <t xml:space="preserve">hotspot found </t>
        </is>
      </c>
      <c r="N165" s="19" t="inlineStr">
        <is>
          <t>Hotspot</t>
        </is>
      </c>
      <c r="O165" s="3" t="n">
        <v>550</v>
      </c>
      <c r="P165" s="9" t="inlineStr">
        <is>
          <t>NSMP2212286272</t>
        </is>
      </c>
      <c r="Q165" s="53">
        <f>MID(P165,5,2)</f>
        <v/>
      </c>
      <c r="R165" s="53">
        <f>MID(P165,7,2)</f>
        <v/>
      </c>
      <c r="S165" s="3" t="inlineStr">
        <is>
          <t>G2B</t>
        </is>
      </c>
      <c r="T165" s="3" t="inlineStr">
        <is>
          <t>P2</t>
        </is>
      </c>
      <c r="U165" s="9" t="inlineStr">
        <is>
          <t xml:space="preserve">Multi Cell Hotspot </t>
        </is>
      </c>
      <c r="V165" s="3" t="inlineStr">
        <is>
          <t>Inspection</t>
        </is>
      </c>
      <c r="W165" s="3" t="inlineStr">
        <is>
          <t>Rejected</t>
        </is>
      </c>
      <c r="X165" s="2">
        <f>Z165</f>
        <v/>
      </c>
      <c r="Y165" s="73">
        <f>IF(X165="","",X165-A165)</f>
        <v/>
      </c>
      <c r="Z165" s="18" t="n">
        <v>46146</v>
      </c>
      <c r="AA165" s="15" t="n"/>
      <c r="AB165" s="15" t="n"/>
      <c r="AF165">
        <f>IF(AND($F165="Closed",$X165&gt;=DATE(2026,5,1),$X165&lt;=DATE(2026,5,31)),"Closed in May","Other")</f>
        <v/>
      </c>
    </row>
    <row r="166">
      <c r="A166" s="2" t="n">
        <v>46106</v>
      </c>
      <c r="B166" s="3" t="n">
        <v>2026</v>
      </c>
      <c r="C166" s="3" t="inlineStr">
        <is>
          <t>First Energy</t>
        </is>
      </c>
      <c r="D166" s="3" t="inlineStr">
        <is>
          <t>Utility and C&amp;I</t>
        </is>
      </c>
      <c r="E166" s="3" t="n"/>
      <c r="F166" s="3" t="inlineStr">
        <is>
          <t>Closed</t>
        </is>
      </c>
      <c r="G166" s="3" t="inlineStr">
        <is>
          <t>Mr. Gaurav</t>
        </is>
      </c>
      <c r="H166" s="3" t="n">
        <v>9979185999</v>
      </c>
      <c r="I166" s="11" t="inlineStr">
        <is>
          <t>PE25032601</t>
        </is>
      </c>
      <c r="J166" s="9" t="inlineStr">
        <is>
          <t>Module Defects</t>
        </is>
      </c>
      <c r="K166" s="3" t="inlineStr">
        <is>
          <t>Rajkot</t>
        </is>
      </c>
      <c r="L166" s="3" t="inlineStr">
        <is>
          <t>Gujarat</t>
        </is>
      </c>
      <c r="M166" s="9" t="inlineStr">
        <is>
          <t xml:space="preserve">hotspot found </t>
        </is>
      </c>
      <c r="N166" s="19" t="inlineStr">
        <is>
          <t>Hotspot</t>
        </is>
      </c>
      <c r="O166" s="3" t="n">
        <v>550</v>
      </c>
      <c r="P166" s="9" t="inlineStr">
        <is>
          <t>NSMP2301302752</t>
        </is>
      </c>
      <c r="Q166" s="53">
        <f>MID(P166,5,2)</f>
        <v/>
      </c>
      <c r="R166" s="53">
        <f>MID(P166,7,2)</f>
        <v/>
      </c>
      <c r="S166" s="3" t="inlineStr">
        <is>
          <t>G2B</t>
        </is>
      </c>
      <c r="T166" s="3" t="inlineStr">
        <is>
          <t>P2</t>
        </is>
      </c>
      <c r="U166" s="9" t="inlineStr">
        <is>
          <t xml:space="preserve">Single Cell Hotspot </t>
        </is>
      </c>
      <c r="V166" s="3" t="inlineStr">
        <is>
          <t>Inspection</t>
        </is>
      </c>
      <c r="W166" s="3" t="inlineStr">
        <is>
          <t>Rejected</t>
        </is>
      </c>
      <c r="X166" s="2">
        <f>Z166</f>
        <v/>
      </c>
      <c r="Y166" s="73">
        <f>IF(X166="","",X166-A166)</f>
        <v/>
      </c>
      <c r="Z166" s="18" t="n">
        <v>46146</v>
      </c>
      <c r="AA166" s="15" t="n"/>
      <c r="AB166" s="15" t="n"/>
      <c r="AF166">
        <f>IF(AND($F166="Closed",$X166&gt;=DATE(2026,5,1),$X166&lt;=DATE(2026,5,31)),"Closed in May","Other")</f>
        <v/>
      </c>
    </row>
    <row r="167">
      <c r="A167" s="2" t="n">
        <v>46106</v>
      </c>
      <c r="B167" s="3" t="n">
        <v>2026</v>
      </c>
      <c r="C167" s="3" t="inlineStr">
        <is>
          <t>First Energy</t>
        </is>
      </c>
      <c r="D167" s="3" t="inlineStr">
        <is>
          <t>Utility and C&amp;I</t>
        </is>
      </c>
      <c r="E167" s="3" t="n"/>
      <c r="F167" s="3" t="inlineStr">
        <is>
          <t>Closed</t>
        </is>
      </c>
      <c r="G167" s="3" t="inlineStr">
        <is>
          <t>Mr. Gaurav</t>
        </is>
      </c>
      <c r="H167" s="3" t="n">
        <v>9979185999</v>
      </c>
      <c r="I167" s="11" t="inlineStr">
        <is>
          <t>PE25032601</t>
        </is>
      </c>
      <c r="J167" s="9" t="inlineStr">
        <is>
          <t>Module Defects</t>
        </is>
      </c>
      <c r="K167" s="3" t="inlineStr">
        <is>
          <t>Rajkot</t>
        </is>
      </c>
      <c r="L167" s="3" t="inlineStr">
        <is>
          <t>Gujarat</t>
        </is>
      </c>
      <c r="M167" s="9" t="inlineStr">
        <is>
          <t xml:space="preserve">hotspot found </t>
        </is>
      </c>
      <c r="N167" s="19" t="inlineStr">
        <is>
          <t>Hotspot</t>
        </is>
      </c>
      <c r="O167" s="3" t="n">
        <v>550</v>
      </c>
      <c r="P167" s="9" t="inlineStr">
        <is>
          <t>NSMP2212286346</t>
        </is>
      </c>
      <c r="Q167" s="53">
        <f>MID(P167,5,2)</f>
        <v/>
      </c>
      <c r="R167" s="53">
        <f>MID(P167,7,2)</f>
        <v/>
      </c>
      <c r="S167" s="3" t="inlineStr">
        <is>
          <t>G2B</t>
        </is>
      </c>
      <c r="T167" s="3" t="inlineStr">
        <is>
          <t>P2</t>
        </is>
      </c>
      <c r="U167" s="9" t="inlineStr">
        <is>
          <t xml:space="preserve">Multi Cell Hotspot </t>
        </is>
      </c>
      <c r="V167" s="3" t="inlineStr">
        <is>
          <t>Inspection</t>
        </is>
      </c>
      <c r="W167" s="3" t="inlineStr">
        <is>
          <t>Rejected</t>
        </is>
      </c>
      <c r="X167" s="2">
        <f>Z167</f>
        <v/>
      </c>
      <c r="Y167" s="73">
        <f>IF(X167="","",X167-A167)</f>
        <v/>
      </c>
      <c r="Z167" s="18" t="n">
        <v>46146</v>
      </c>
      <c r="AA167" s="15" t="n"/>
      <c r="AB167" s="15" t="n"/>
      <c r="AF167">
        <f>IF(AND($F167="Closed",$X167&gt;=DATE(2026,5,1),$X167&lt;=DATE(2026,5,31)),"Closed in May","Other")</f>
        <v/>
      </c>
    </row>
    <row r="168">
      <c r="A168" s="2" t="n">
        <v>46106</v>
      </c>
      <c r="B168" s="3" t="n">
        <v>2026</v>
      </c>
      <c r="C168" s="3" t="inlineStr">
        <is>
          <t>First Energy</t>
        </is>
      </c>
      <c r="D168" s="3" t="inlineStr">
        <is>
          <t>Utility and C&amp;I</t>
        </is>
      </c>
      <c r="E168" s="3" t="n"/>
      <c r="F168" s="3" t="inlineStr">
        <is>
          <t>Closed</t>
        </is>
      </c>
      <c r="G168" s="3" t="inlineStr">
        <is>
          <t>Mr. Gaurav</t>
        </is>
      </c>
      <c r="H168" s="3" t="n">
        <v>9979185999</v>
      </c>
      <c r="I168" s="11" t="inlineStr">
        <is>
          <t>PE25032601</t>
        </is>
      </c>
      <c r="J168" s="9" t="inlineStr">
        <is>
          <t>Module Defects</t>
        </is>
      </c>
      <c r="K168" s="3" t="inlineStr">
        <is>
          <t>Rajkot</t>
        </is>
      </c>
      <c r="L168" s="3" t="inlineStr">
        <is>
          <t>Gujarat</t>
        </is>
      </c>
      <c r="M168" s="9" t="inlineStr">
        <is>
          <t xml:space="preserve">hotspot found </t>
        </is>
      </c>
      <c r="N168" s="19" t="inlineStr">
        <is>
          <t>Hotspot</t>
        </is>
      </c>
      <c r="O168" s="3" t="n">
        <v>550</v>
      </c>
      <c r="P168" s="9" t="inlineStr">
        <is>
          <t>NSMP2301296673</t>
        </is>
      </c>
      <c r="Q168" s="53">
        <f>MID(P168,5,2)</f>
        <v/>
      </c>
      <c r="R168" s="53">
        <f>MID(P168,7,2)</f>
        <v/>
      </c>
      <c r="S168" s="3" t="inlineStr">
        <is>
          <t>G2B</t>
        </is>
      </c>
      <c r="T168" s="3" t="inlineStr">
        <is>
          <t>P2</t>
        </is>
      </c>
      <c r="U168" s="9" t="inlineStr">
        <is>
          <t xml:space="preserve">Single Cell Hotspot </t>
        </is>
      </c>
      <c r="V168" s="3" t="inlineStr">
        <is>
          <t>Inspection</t>
        </is>
      </c>
      <c r="W168" s="3" t="inlineStr">
        <is>
          <t>Rejected</t>
        </is>
      </c>
      <c r="X168" s="2">
        <f>Z168</f>
        <v/>
      </c>
      <c r="Y168" s="73">
        <f>IF(X168="","",X168-A168)</f>
        <v/>
      </c>
      <c r="Z168" s="18" t="n">
        <v>46146</v>
      </c>
      <c r="AA168" s="15" t="n"/>
      <c r="AB168" s="15" t="n"/>
      <c r="AF168">
        <f>IF(AND($F168="Closed",$X168&gt;=DATE(2026,5,1),$X168&lt;=DATE(2026,5,31)),"Closed in May","Other")</f>
        <v/>
      </c>
    </row>
    <row r="169">
      <c r="A169" s="2" t="n">
        <v>46106</v>
      </c>
      <c r="B169" s="3" t="n">
        <v>2026</v>
      </c>
      <c r="C169" s="3" t="inlineStr">
        <is>
          <t>First Energy</t>
        </is>
      </c>
      <c r="D169" s="3" t="inlineStr">
        <is>
          <t>Utility and C&amp;I</t>
        </is>
      </c>
      <c r="E169" s="3" t="n"/>
      <c r="F169" s="3" t="inlineStr">
        <is>
          <t>Closed</t>
        </is>
      </c>
      <c r="G169" s="3" t="inlineStr">
        <is>
          <t>Mr. Gaurav</t>
        </is>
      </c>
      <c r="H169" s="3" t="n">
        <v>9979185999</v>
      </c>
      <c r="I169" s="11" t="inlineStr">
        <is>
          <t>PE25032601</t>
        </is>
      </c>
      <c r="J169" s="9" t="inlineStr">
        <is>
          <t>Module Defects</t>
        </is>
      </c>
      <c r="K169" s="3" t="inlineStr">
        <is>
          <t>Rajkot</t>
        </is>
      </c>
      <c r="L169" s="3" t="inlineStr">
        <is>
          <t>Gujarat</t>
        </is>
      </c>
      <c r="M169" s="9" t="inlineStr">
        <is>
          <t xml:space="preserve">hotspot found </t>
        </is>
      </c>
      <c r="N169" s="19" t="inlineStr">
        <is>
          <t>Hotspot</t>
        </is>
      </c>
      <c r="O169" s="3" t="n">
        <v>550</v>
      </c>
      <c r="P169" s="9" t="inlineStr">
        <is>
          <t>NSMP2301306761</t>
        </is>
      </c>
      <c r="Q169" s="53">
        <f>MID(P169,5,2)</f>
        <v/>
      </c>
      <c r="R169" s="53">
        <f>MID(P169,7,2)</f>
        <v/>
      </c>
      <c r="S169" s="3" t="inlineStr">
        <is>
          <t>G2B</t>
        </is>
      </c>
      <c r="T169" s="3" t="inlineStr">
        <is>
          <t>P2</t>
        </is>
      </c>
      <c r="U169" s="9" t="inlineStr">
        <is>
          <t xml:space="preserve">Single Cell Hotspot </t>
        </is>
      </c>
      <c r="V169" s="3" t="inlineStr">
        <is>
          <t>Inspection</t>
        </is>
      </c>
      <c r="W169" s="3" t="inlineStr">
        <is>
          <t>Rejected</t>
        </is>
      </c>
      <c r="X169" s="2">
        <f>Z169</f>
        <v/>
      </c>
      <c r="Y169" s="73">
        <f>IF(X169="","",X169-A169)</f>
        <v/>
      </c>
      <c r="Z169" s="18" t="n">
        <v>46146</v>
      </c>
      <c r="AA169" s="15" t="n"/>
      <c r="AB169" s="15" t="n"/>
      <c r="AF169">
        <f>IF(AND($F169="Closed",$X169&gt;=DATE(2026,5,1),$X169&lt;=DATE(2026,5,31)),"Closed in May","Other")</f>
        <v/>
      </c>
    </row>
    <row r="170">
      <c r="A170" s="2" t="n">
        <v>46106</v>
      </c>
      <c r="B170" s="3" t="n">
        <v>2026</v>
      </c>
      <c r="C170" s="3" t="inlineStr">
        <is>
          <t>First Energy</t>
        </is>
      </c>
      <c r="D170" s="3" t="inlineStr">
        <is>
          <t>Utility and C&amp;I</t>
        </is>
      </c>
      <c r="E170" s="3" t="n"/>
      <c r="F170" s="3" t="inlineStr">
        <is>
          <t>Closed</t>
        </is>
      </c>
      <c r="G170" s="3" t="inlineStr">
        <is>
          <t>Mr. Gaurav</t>
        </is>
      </c>
      <c r="H170" s="3" t="n">
        <v>9979185999</v>
      </c>
      <c r="I170" s="11" t="inlineStr">
        <is>
          <t>PE25032601</t>
        </is>
      </c>
      <c r="J170" s="9" t="inlineStr">
        <is>
          <t>Module Defects</t>
        </is>
      </c>
      <c r="K170" s="3" t="inlineStr">
        <is>
          <t>Rajkot</t>
        </is>
      </c>
      <c r="L170" s="3" t="inlineStr">
        <is>
          <t>Gujarat</t>
        </is>
      </c>
      <c r="M170" s="9" t="inlineStr">
        <is>
          <t xml:space="preserve">hotspot found </t>
        </is>
      </c>
      <c r="N170" s="19" t="inlineStr">
        <is>
          <t>Hotspot</t>
        </is>
      </c>
      <c r="O170" s="3" t="n">
        <v>550</v>
      </c>
      <c r="P170" s="9" t="inlineStr">
        <is>
          <t>NSMP2301323488</t>
        </is>
      </c>
      <c r="Q170" s="53">
        <f>MID(P170,5,2)</f>
        <v/>
      </c>
      <c r="R170" s="53">
        <f>MID(P170,7,2)</f>
        <v/>
      </c>
      <c r="S170" s="3" t="inlineStr">
        <is>
          <t>G2B</t>
        </is>
      </c>
      <c r="T170" s="3" t="inlineStr">
        <is>
          <t>P2</t>
        </is>
      </c>
      <c r="U170" s="9" t="inlineStr">
        <is>
          <t xml:space="preserve">Multi Cell Hotspot </t>
        </is>
      </c>
      <c r="V170" s="3" t="inlineStr">
        <is>
          <t>Inspection</t>
        </is>
      </c>
      <c r="W170" s="3" t="inlineStr">
        <is>
          <t>Rejected</t>
        </is>
      </c>
      <c r="X170" s="2">
        <f>Z170</f>
        <v/>
      </c>
      <c r="Y170" s="73">
        <f>IF(X170="","",X170-A170)</f>
        <v/>
      </c>
      <c r="Z170" s="18" t="n">
        <v>46146</v>
      </c>
      <c r="AA170" s="15" t="n"/>
      <c r="AB170" s="15" t="n"/>
      <c r="AF170">
        <f>IF(AND($F170="Closed",$X170&gt;=DATE(2026,5,1),$X170&lt;=DATE(2026,5,31)),"Closed in May","Other")</f>
        <v/>
      </c>
    </row>
    <row r="171">
      <c r="A171" s="2" t="n">
        <v>46106</v>
      </c>
      <c r="B171" s="3" t="n">
        <v>2026</v>
      </c>
      <c r="C171" s="3" t="inlineStr">
        <is>
          <t>First Energy</t>
        </is>
      </c>
      <c r="D171" s="3" t="inlineStr">
        <is>
          <t>Utility and C&amp;I</t>
        </is>
      </c>
      <c r="E171" s="3" t="n"/>
      <c r="F171" s="3" t="inlineStr">
        <is>
          <t>Closed</t>
        </is>
      </c>
      <c r="G171" s="3" t="inlineStr">
        <is>
          <t>Mr. Gaurav</t>
        </is>
      </c>
      <c r="H171" s="3" t="n">
        <v>9979185999</v>
      </c>
      <c r="I171" s="11" t="inlineStr">
        <is>
          <t>PE25032601</t>
        </is>
      </c>
      <c r="J171" s="9" t="inlineStr">
        <is>
          <t>Module Defects</t>
        </is>
      </c>
      <c r="K171" s="3" t="inlineStr">
        <is>
          <t>Rajkot</t>
        </is>
      </c>
      <c r="L171" s="3" t="inlineStr">
        <is>
          <t>Gujarat</t>
        </is>
      </c>
      <c r="M171" s="9" t="inlineStr">
        <is>
          <t xml:space="preserve">hotspot found </t>
        </is>
      </c>
      <c r="N171" s="19" t="inlineStr">
        <is>
          <t>Hotspot</t>
        </is>
      </c>
      <c r="O171" s="3" t="n">
        <v>550</v>
      </c>
      <c r="P171" s="9" t="inlineStr">
        <is>
          <t>NSMP2212268843</t>
        </is>
      </c>
      <c r="Q171" s="53">
        <f>MID(P171,5,2)</f>
        <v/>
      </c>
      <c r="R171" s="53">
        <f>MID(P171,7,2)</f>
        <v/>
      </c>
      <c r="S171" s="3" t="inlineStr">
        <is>
          <t>G2B</t>
        </is>
      </c>
      <c r="T171" s="3" t="inlineStr">
        <is>
          <t>P2</t>
        </is>
      </c>
      <c r="U171" s="9" t="inlineStr">
        <is>
          <t>Multi Cell Hotspot</t>
        </is>
      </c>
      <c r="V171" s="3" t="inlineStr">
        <is>
          <t>Inspection</t>
        </is>
      </c>
      <c r="W171" s="3" t="inlineStr">
        <is>
          <t>Rejected</t>
        </is>
      </c>
      <c r="X171" s="2">
        <f>Z171</f>
        <v/>
      </c>
      <c r="Y171" s="73">
        <f>IF(X171="","",X171-A171)</f>
        <v/>
      </c>
      <c r="Z171" s="18" t="n">
        <v>46146</v>
      </c>
      <c r="AA171" s="15" t="n"/>
      <c r="AB171" s="15" t="n"/>
      <c r="AF171">
        <f>IF(AND($F171="Closed",$X171&gt;=DATE(2026,5,1),$X171&lt;=DATE(2026,5,31)),"Closed in May","Other")</f>
        <v/>
      </c>
    </row>
    <row r="172">
      <c r="A172" s="6" t="n">
        <v>46107</v>
      </c>
      <c r="B172" s="3" t="n">
        <v>2026</v>
      </c>
      <c r="C172" s="3" t="inlineStr">
        <is>
          <t>Blupine Energy</t>
        </is>
      </c>
      <c r="D172" s="3" t="inlineStr">
        <is>
          <t>Utility and C&amp;I</t>
        </is>
      </c>
      <c r="E172" s="3" t="n"/>
      <c r="F172" s="3" t="inlineStr">
        <is>
          <t>Closed</t>
        </is>
      </c>
      <c r="G172" s="3" t="inlineStr">
        <is>
          <t>Chandrashekar Patidar</t>
        </is>
      </c>
      <c r="H172" s="3" t="n">
        <v>7879764773</v>
      </c>
      <c r="I172" s="11" t="inlineStr">
        <is>
          <t>PE26032601</t>
        </is>
      </c>
      <c r="J172" s="3" t="inlineStr">
        <is>
          <t>Module Diode Failure</t>
        </is>
      </c>
      <c r="K172" s="3" t="inlineStr">
        <is>
          <t>Sadla</t>
        </is>
      </c>
      <c r="L172" s="3" t="inlineStr">
        <is>
          <t>Gujarat</t>
        </is>
      </c>
      <c r="M172" s="9" t="inlineStr">
        <is>
          <t>PS</t>
        </is>
      </c>
      <c r="N172" s="3" t="inlineStr">
        <is>
          <t>Cold Soldering</t>
        </is>
      </c>
      <c r="O172" s="3" t="n">
        <v>570</v>
      </c>
      <c r="P172" s="9" t="inlineStr">
        <is>
          <t>NSMI24060082881</t>
        </is>
      </c>
      <c r="Q172" s="53">
        <f>MID(P172,5,2)</f>
        <v/>
      </c>
      <c r="R172" s="53">
        <f>MID(P172,7,2)</f>
        <v/>
      </c>
      <c r="S172" s="3" t="inlineStr">
        <is>
          <t>G2G</t>
        </is>
      </c>
      <c r="T172" s="3" t="inlineStr">
        <is>
          <t>P4</t>
        </is>
      </c>
      <c r="U172" s="3" t="inlineStr">
        <is>
          <t>P JB Cold Soldering</t>
        </is>
      </c>
      <c r="V172" s="3" t="inlineStr">
        <is>
          <t>Soldering</t>
        </is>
      </c>
      <c r="W172" s="3" t="inlineStr">
        <is>
          <t>Repair</t>
        </is>
      </c>
      <c r="X172" s="18" t="n">
        <v>46146</v>
      </c>
      <c r="Y172" s="73">
        <f>IF(X172="","",X172-A172)</f>
        <v/>
      </c>
      <c r="Z172" s="18" t="n">
        <v>46146</v>
      </c>
      <c r="AA172" s="15" t="n"/>
      <c r="AB172" s="15" t="n"/>
      <c r="AF172">
        <f>IF(AND($F172="Closed",$X172&gt;=DATE(2026,5,1),$X172&lt;=DATE(2026,5,31)),"Closed in May","Other")</f>
        <v/>
      </c>
    </row>
    <row r="173">
      <c r="A173" s="6" t="n">
        <v>46107</v>
      </c>
      <c r="B173" s="3" t="n">
        <v>2026</v>
      </c>
      <c r="C173" s="3" t="inlineStr">
        <is>
          <t>Blupine Energy</t>
        </is>
      </c>
      <c r="D173" s="3" t="inlineStr">
        <is>
          <t>Utility and C&amp;I</t>
        </is>
      </c>
      <c r="E173" s="3" t="n"/>
      <c r="F173" s="3" t="inlineStr">
        <is>
          <t>Closed</t>
        </is>
      </c>
      <c r="G173" s="3" t="inlineStr">
        <is>
          <t>Chandrashekar Patidar</t>
        </is>
      </c>
      <c r="H173" s="3" t="n">
        <v>7879764773</v>
      </c>
      <c r="I173" s="11" t="inlineStr">
        <is>
          <t>PE26032601</t>
        </is>
      </c>
      <c r="J173" s="3" t="inlineStr">
        <is>
          <t>Module Diode Failure</t>
        </is>
      </c>
      <c r="K173" s="3" t="inlineStr">
        <is>
          <t>Sadla</t>
        </is>
      </c>
      <c r="L173" s="3" t="inlineStr">
        <is>
          <t>Gujarat</t>
        </is>
      </c>
      <c r="M173" s="9" t="inlineStr">
        <is>
          <t>PR</t>
        </is>
      </c>
      <c r="N173" s="3" t="inlineStr">
        <is>
          <t>JB Issue</t>
        </is>
      </c>
      <c r="O173" s="3" t="n">
        <v>570</v>
      </c>
      <c r="P173" s="9" t="inlineStr">
        <is>
          <t>NSMI24060078866</t>
        </is>
      </c>
      <c r="Q173" s="53">
        <f>MID(P173,5,2)</f>
        <v/>
      </c>
      <c r="R173" s="53">
        <f>MID(P173,7,2)</f>
        <v/>
      </c>
      <c r="S173" s="3" t="inlineStr">
        <is>
          <t>G2G</t>
        </is>
      </c>
      <c r="T173" s="3" t="inlineStr">
        <is>
          <t>P4</t>
        </is>
      </c>
      <c r="U173" s="3" t="inlineStr">
        <is>
          <t>P JB Issue</t>
        </is>
      </c>
      <c r="V173" s="15" t="inlineStr">
        <is>
          <t>JB Changed</t>
        </is>
      </c>
      <c r="W173" s="3" t="inlineStr">
        <is>
          <t>Repair</t>
        </is>
      </c>
      <c r="X173" s="18" t="n">
        <v>46146</v>
      </c>
      <c r="Y173" s="73">
        <f>IF(X173="","",X173-A173)</f>
        <v/>
      </c>
      <c r="Z173" s="18" t="n">
        <v>46146</v>
      </c>
      <c r="AA173" s="15" t="n"/>
      <c r="AB173" s="15" t="n"/>
      <c r="AF173">
        <f>IF(AND($F173="Closed",$X173&gt;=DATE(2026,5,1),$X173&lt;=DATE(2026,5,31)),"Closed in May","Other")</f>
        <v/>
      </c>
    </row>
    <row r="174">
      <c r="A174" s="6" t="n">
        <v>46107</v>
      </c>
      <c r="B174" s="3" t="n">
        <v>2026</v>
      </c>
      <c r="C174" s="3" t="inlineStr">
        <is>
          <t>Blupine Energy</t>
        </is>
      </c>
      <c r="D174" s="3" t="inlineStr">
        <is>
          <t>Utility and C&amp;I</t>
        </is>
      </c>
      <c r="E174" s="3" t="n"/>
      <c r="F174" s="3" t="inlineStr">
        <is>
          <t>Closed</t>
        </is>
      </c>
      <c r="G174" s="3" t="inlineStr">
        <is>
          <t>Chandrashekar Patidar</t>
        </is>
      </c>
      <c r="H174" s="3" t="n">
        <v>7879764773</v>
      </c>
      <c r="I174" s="11" t="inlineStr">
        <is>
          <t>PE26032601</t>
        </is>
      </c>
      <c r="J174" s="3" t="inlineStr">
        <is>
          <t>Module Diode Failure</t>
        </is>
      </c>
      <c r="K174" s="3" t="inlineStr">
        <is>
          <t>Sadla</t>
        </is>
      </c>
      <c r="L174" s="3" t="inlineStr">
        <is>
          <t>Gujarat</t>
        </is>
      </c>
      <c r="M174" s="9" t="inlineStr">
        <is>
          <t>NS</t>
        </is>
      </c>
      <c r="N174" s="3" t="inlineStr">
        <is>
          <t>Cold Soldering</t>
        </is>
      </c>
      <c r="O174" s="3" t="n">
        <v>570</v>
      </c>
      <c r="P174" s="9" t="inlineStr">
        <is>
          <t>NSMI24050045117</t>
        </is>
      </c>
      <c r="Q174" s="53">
        <f>MID(P174,5,2)</f>
        <v/>
      </c>
      <c r="R174" s="53">
        <f>MID(P174,7,2)</f>
        <v/>
      </c>
      <c r="S174" s="3" t="inlineStr">
        <is>
          <t>G2G</t>
        </is>
      </c>
      <c r="T174" s="3" t="inlineStr">
        <is>
          <t>P4</t>
        </is>
      </c>
      <c r="U174" s="3" t="inlineStr">
        <is>
          <t>N JB Cold Soldering</t>
        </is>
      </c>
      <c r="V174" s="3" t="inlineStr">
        <is>
          <t>Soldering</t>
        </is>
      </c>
      <c r="W174" s="3" t="inlineStr">
        <is>
          <t>Repair</t>
        </is>
      </c>
      <c r="X174" s="18" t="n">
        <v>46146</v>
      </c>
      <c r="Y174" s="73">
        <f>IF(X174="","",X174-A174)</f>
        <v/>
      </c>
      <c r="Z174" s="18" t="n">
        <v>46146</v>
      </c>
      <c r="AA174" s="15" t="n"/>
      <c r="AB174" s="15" t="n"/>
      <c r="AF174">
        <f>IF(AND($F174="Closed",$X174&gt;=DATE(2026,5,1),$X174&lt;=DATE(2026,5,31)),"Closed in May","Other")</f>
        <v/>
      </c>
    </row>
    <row r="175">
      <c r="A175" s="6" t="n">
        <v>46107</v>
      </c>
      <c r="B175" s="3" t="n">
        <v>2026</v>
      </c>
      <c r="C175" s="3" t="inlineStr">
        <is>
          <t>Blupine Energy</t>
        </is>
      </c>
      <c r="D175" s="3" t="inlineStr">
        <is>
          <t>Utility and C&amp;I</t>
        </is>
      </c>
      <c r="E175" s="3" t="n"/>
      <c r="F175" s="3" t="inlineStr">
        <is>
          <t>Closed</t>
        </is>
      </c>
      <c r="G175" s="3" t="inlineStr">
        <is>
          <t>Chandrashekar Patidar</t>
        </is>
      </c>
      <c r="H175" s="3" t="n">
        <v>7879764773</v>
      </c>
      <c r="I175" s="11" t="inlineStr">
        <is>
          <t>PE26032601</t>
        </is>
      </c>
      <c r="J175" s="3" t="inlineStr">
        <is>
          <t>Module Diode Failure</t>
        </is>
      </c>
      <c r="K175" s="3" t="inlineStr">
        <is>
          <t>Sadla</t>
        </is>
      </c>
      <c r="L175" s="3" t="inlineStr">
        <is>
          <t>Gujarat</t>
        </is>
      </c>
      <c r="M175" s="9" t="inlineStr">
        <is>
          <t>PS</t>
        </is>
      </c>
      <c r="N175" s="3" t="inlineStr">
        <is>
          <t>Cold Soldering</t>
        </is>
      </c>
      <c r="O175" s="3" t="n">
        <v>570</v>
      </c>
      <c r="P175" s="9" t="inlineStr">
        <is>
          <t>NSMI24050046653</t>
        </is>
      </c>
      <c r="Q175" s="53">
        <f>MID(P175,5,2)</f>
        <v/>
      </c>
      <c r="R175" s="53">
        <f>MID(P175,7,2)</f>
        <v/>
      </c>
      <c r="S175" s="3" t="inlineStr">
        <is>
          <t>G2G</t>
        </is>
      </c>
      <c r="T175" s="3" t="inlineStr">
        <is>
          <t>P4</t>
        </is>
      </c>
      <c r="U175" s="3" t="inlineStr">
        <is>
          <t>P JB Cold Soldering</t>
        </is>
      </c>
      <c r="V175" s="3" t="inlineStr">
        <is>
          <t>Soldering</t>
        </is>
      </c>
      <c r="W175" s="3" t="inlineStr">
        <is>
          <t>Repair</t>
        </is>
      </c>
      <c r="X175" s="18" t="n">
        <v>46146</v>
      </c>
      <c r="Y175" s="73">
        <f>IF(X175="","",X175-A175)</f>
        <v/>
      </c>
      <c r="Z175" s="18" t="n">
        <v>46146</v>
      </c>
      <c r="AA175" s="15" t="n"/>
      <c r="AB175" s="15" t="n"/>
      <c r="AF175">
        <f>IF(AND($F175="Closed",$X175&gt;=DATE(2026,5,1),$X175&lt;=DATE(2026,5,31)),"Closed in May","Other")</f>
        <v/>
      </c>
    </row>
    <row r="176">
      <c r="A176" s="6" t="n">
        <v>46107</v>
      </c>
      <c r="B176" s="3" t="n">
        <v>2026</v>
      </c>
      <c r="C176" s="3" t="inlineStr">
        <is>
          <t>Blupine Energy</t>
        </is>
      </c>
      <c r="D176" s="3" t="inlineStr">
        <is>
          <t>Utility and C&amp;I</t>
        </is>
      </c>
      <c r="E176" s="3" t="n"/>
      <c r="F176" s="3" t="inlineStr">
        <is>
          <t>Closed</t>
        </is>
      </c>
      <c r="G176" s="3" t="inlineStr">
        <is>
          <t>Chandrashekar Patidar</t>
        </is>
      </c>
      <c r="H176" s="3" t="n">
        <v>7879764773</v>
      </c>
      <c r="I176" s="11" t="inlineStr">
        <is>
          <t>PE26032601</t>
        </is>
      </c>
      <c r="J176" s="3" t="inlineStr">
        <is>
          <t>Module Diode Failure</t>
        </is>
      </c>
      <c r="K176" s="3" t="inlineStr">
        <is>
          <t>Sadla</t>
        </is>
      </c>
      <c r="L176" s="3" t="inlineStr">
        <is>
          <t>Gujarat</t>
        </is>
      </c>
      <c r="M176" s="9" t="inlineStr">
        <is>
          <t>NS</t>
        </is>
      </c>
      <c r="N176" s="3" t="inlineStr">
        <is>
          <t>Cold Soldering</t>
        </is>
      </c>
      <c r="O176" s="3" t="n">
        <v>570</v>
      </c>
      <c r="P176" s="9" t="inlineStr">
        <is>
          <t>NSMI24050047065</t>
        </is>
      </c>
      <c r="Q176" s="53">
        <f>MID(P176,5,2)</f>
        <v/>
      </c>
      <c r="R176" s="53">
        <f>MID(P176,7,2)</f>
        <v/>
      </c>
      <c r="S176" s="3" t="inlineStr">
        <is>
          <t>G2G</t>
        </is>
      </c>
      <c r="T176" s="3" t="inlineStr">
        <is>
          <t>P4</t>
        </is>
      </c>
      <c r="U176" s="3" t="inlineStr">
        <is>
          <t>N JB Cold Soldering</t>
        </is>
      </c>
      <c r="V176" s="3" t="inlineStr">
        <is>
          <t>Soldering</t>
        </is>
      </c>
      <c r="W176" s="3" t="inlineStr">
        <is>
          <t>Repair</t>
        </is>
      </c>
      <c r="X176" s="18" t="n">
        <v>46146</v>
      </c>
      <c r="Y176" s="73">
        <f>IF(X176="","",X176-A176)</f>
        <v/>
      </c>
      <c r="Z176" s="18" t="n">
        <v>46146</v>
      </c>
      <c r="AA176" s="15" t="n"/>
      <c r="AB176" s="15" t="n"/>
      <c r="AF176">
        <f>IF(AND($F176="Closed",$X176&gt;=DATE(2026,5,1),$X176&lt;=DATE(2026,5,31)),"Closed in May","Other")</f>
        <v/>
      </c>
    </row>
    <row r="177">
      <c r="A177" s="6" t="n">
        <v>46107</v>
      </c>
      <c r="B177" s="3" t="n">
        <v>2026</v>
      </c>
      <c r="C177" s="3" t="inlineStr">
        <is>
          <t>Blupine Energy</t>
        </is>
      </c>
      <c r="D177" s="3" t="inlineStr">
        <is>
          <t>Utility and C&amp;I</t>
        </is>
      </c>
      <c r="E177" s="3" t="n"/>
      <c r="F177" s="3" t="inlineStr">
        <is>
          <t>Closed</t>
        </is>
      </c>
      <c r="G177" s="3" t="inlineStr">
        <is>
          <t>Chandrashekar Patidar</t>
        </is>
      </c>
      <c r="H177" s="3" t="n">
        <v>7879764773</v>
      </c>
      <c r="I177" s="11" t="inlineStr">
        <is>
          <t>PE26032601</t>
        </is>
      </c>
      <c r="J177" s="3" t="inlineStr">
        <is>
          <t>Module Diode Failure</t>
        </is>
      </c>
      <c r="K177" s="3" t="inlineStr">
        <is>
          <t>Sadla</t>
        </is>
      </c>
      <c r="L177" s="3" t="inlineStr">
        <is>
          <t>Gujarat</t>
        </is>
      </c>
      <c r="M177" s="9" t="inlineStr">
        <is>
          <t>NS</t>
        </is>
      </c>
      <c r="N177" s="3" t="inlineStr">
        <is>
          <t>Cold Soldering</t>
        </is>
      </c>
      <c r="O177" s="3" t="n">
        <v>570</v>
      </c>
      <c r="P177" s="9" t="inlineStr">
        <is>
          <t>NSMI24050047103</t>
        </is>
      </c>
      <c r="Q177" s="53">
        <f>MID(P177,5,2)</f>
        <v/>
      </c>
      <c r="R177" s="53">
        <f>MID(P177,7,2)</f>
        <v/>
      </c>
      <c r="S177" s="3" t="inlineStr">
        <is>
          <t>G2G</t>
        </is>
      </c>
      <c r="T177" s="3" t="inlineStr">
        <is>
          <t>P4</t>
        </is>
      </c>
      <c r="U177" s="3" t="inlineStr">
        <is>
          <t>N JB Cold Soldering</t>
        </is>
      </c>
      <c r="V177" s="3" t="inlineStr">
        <is>
          <t>Soldering</t>
        </is>
      </c>
      <c r="W177" s="3" t="inlineStr">
        <is>
          <t>Repair</t>
        </is>
      </c>
      <c r="X177" s="18" t="n">
        <v>46146</v>
      </c>
      <c r="Y177" s="73">
        <f>IF(X177="","",X177-A177)</f>
        <v/>
      </c>
      <c r="Z177" s="18" t="n">
        <v>46146</v>
      </c>
      <c r="AA177" s="15" t="n"/>
      <c r="AB177" s="15" t="n"/>
      <c r="AF177">
        <f>IF(AND($F177="Closed",$X177&gt;=DATE(2026,5,1),$X177&lt;=DATE(2026,5,31)),"Closed in May","Other")</f>
        <v/>
      </c>
    </row>
    <row r="178">
      <c r="A178" s="6" t="n">
        <v>46107</v>
      </c>
      <c r="B178" s="3" t="n">
        <v>2026</v>
      </c>
      <c r="C178" s="3" t="inlineStr">
        <is>
          <t>Blupine Energy</t>
        </is>
      </c>
      <c r="D178" s="3" t="inlineStr">
        <is>
          <t>Utility and C&amp;I</t>
        </is>
      </c>
      <c r="E178" s="3" t="n"/>
      <c r="F178" s="3" t="inlineStr">
        <is>
          <t>Closed</t>
        </is>
      </c>
      <c r="G178" s="3" t="inlineStr">
        <is>
          <t>Chandrashekar Patidar</t>
        </is>
      </c>
      <c r="H178" s="3" t="n">
        <v>7879764773</v>
      </c>
      <c r="I178" s="11" t="inlineStr">
        <is>
          <t>PE26032601</t>
        </is>
      </c>
      <c r="J178" s="3" t="inlineStr">
        <is>
          <t>Module Diode Failure</t>
        </is>
      </c>
      <c r="K178" s="3" t="inlineStr">
        <is>
          <t>Sadla</t>
        </is>
      </c>
      <c r="L178" s="3" t="inlineStr">
        <is>
          <t>Gujarat</t>
        </is>
      </c>
      <c r="M178" s="9" t="inlineStr">
        <is>
          <t>NS</t>
        </is>
      </c>
      <c r="N178" s="3" t="inlineStr">
        <is>
          <t>Cold Soldering</t>
        </is>
      </c>
      <c r="O178" s="3" t="n">
        <v>570</v>
      </c>
      <c r="P178" s="9" t="inlineStr">
        <is>
          <t>NSMI24050047066</t>
        </is>
      </c>
      <c r="Q178" s="53">
        <f>MID(P178,5,2)</f>
        <v/>
      </c>
      <c r="R178" s="53">
        <f>MID(P178,7,2)</f>
        <v/>
      </c>
      <c r="S178" s="3" t="inlineStr">
        <is>
          <t>G2G</t>
        </is>
      </c>
      <c r="T178" s="3" t="inlineStr">
        <is>
          <t>P4</t>
        </is>
      </c>
      <c r="U178" s="3" t="inlineStr">
        <is>
          <t>N JB Cold Soldering</t>
        </is>
      </c>
      <c r="V178" s="3" t="inlineStr">
        <is>
          <t>Soldering</t>
        </is>
      </c>
      <c r="W178" s="3" t="inlineStr">
        <is>
          <t>Repair</t>
        </is>
      </c>
      <c r="X178" s="18" t="n">
        <v>46146</v>
      </c>
      <c r="Y178" s="73">
        <f>IF(X178="","",X178-A178)</f>
        <v/>
      </c>
      <c r="Z178" s="18" t="n">
        <v>46146</v>
      </c>
      <c r="AA178" s="15" t="n"/>
      <c r="AB178" s="15" t="n"/>
      <c r="AF178">
        <f>IF(AND($F178="Closed",$X178&gt;=DATE(2026,5,1),$X178&lt;=DATE(2026,5,31)),"Closed in May","Other")</f>
        <v/>
      </c>
    </row>
    <row r="179">
      <c r="A179" s="6" t="n">
        <v>46107</v>
      </c>
      <c r="B179" s="3" t="n">
        <v>2026</v>
      </c>
      <c r="C179" s="3" t="inlineStr">
        <is>
          <t>Blupine Energy</t>
        </is>
      </c>
      <c r="D179" s="3" t="inlineStr">
        <is>
          <t>Utility and C&amp;I</t>
        </is>
      </c>
      <c r="E179" s="3" t="n"/>
      <c r="F179" s="3" t="inlineStr">
        <is>
          <t>Closed</t>
        </is>
      </c>
      <c r="G179" s="3" t="inlineStr">
        <is>
          <t>Chandrashekar Patidar</t>
        </is>
      </c>
      <c r="H179" s="3" t="n">
        <v>7879764773</v>
      </c>
      <c r="I179" s="11" t="inlineStr">
        <is>
          <t>PE26032601</t>
        </is>
      </c>
      <c r="J179" s="3" t="inlineStr">
        <is>
          <t>Module Diode Failure</t>
        </is>
      </c>
      <c r="K179" s="3" t="inlineStr">
        <is>
          <t>Sadla</t>
        </is>
      </c>
      <c r="L179" s="3" t="inlineStr">
        <is>
          <t>Gujarat</t>
        </is>
      </c>
      <c r="M179" s="9" t="inlineStr">
        <is>
          <t>PS</t>
        </is>
      </c>
      <c r="N179" s="3" t="inlineStr">
        <is>
          <t>Cold Soldering</t>
        </is>
      </c>
      <c r="O179" s="3" t="n">
        <v>570</v>
      </c>
      <c r="P179" s="9" t="inlineStr">
        <is>
          <t>NSMI24050062182</t>
        </is>
      </c>
      <c r="Q179" s="53">
        <f>MID(P179,5,2)</f>
        <v/>
      </c>
      <c r="R179" s="53">
        <f>MID(P179,7,2)</f>
        <v/>
      </c>
      <c r="S179" s="3" t="inlineStr">
        <is>
          <t>G2G</t>
        </is>
      </c>
      <c r="T179" s="3" t="inlineStr">
        <is>
          <t>P4</t>
        </is>
      </c>
      <c r="U179" s="3" t="inlineStr">
        <is>
          <t>P JB Cold Soldering</t>
        </is>
      </c>
      <c r="V179" s="3" t="inlineStr">
        <is>
          <t>Soldering</t>
        </is>
      </c>
      <c r="W179" s="3" t="inlineStr">
        <is>
          <t>Repair</t>
        </is>
      </c>
      <c r="X179" s="18" t="n">
        <v>46146</v>
      </c>
      <c r="Y179" s="73">
        <f>IF(X179="","",X179-A179)</f>
        <v/>
      </c>
      <c r="Z179" s="18" t="n">
        <v>46146</v>
      </c>
      <c r="AA179" s="15" t="n"/>
      <c r="AB179" s="15" t="n"/>
      <c r="AF179">
        <f>IF(AND($F179="Closed",$X179&gt;=DATE(2026,5,1),$X179&lt;=DATE(2026,5,31)),"Closed in May","Other")</f>
        <v/>
      </c>
    </row>
    <row r="180">
      <c r="A180" s="6" t="n">
        <v>46107</v>
      </c>
      <c r="B180" s="3" t="n">
        <v>2026</v>
      </c>
      <c r="C180" s="3" t="inlineStr">
        <is>
          <t>Blupine Energy</t>
        </is>
      </c>
      <c r="D180" s="3" t="inlineStr">
        <is>
          <t>Utility and C&amp;I</t>
        </is>
      </c>
      <c r="E180" s="3" t="n"/>
      <c r="F180" s="3" t="inlineStr">
        <is>
          <t>Closed</t>
        </is>
      </c>
      <c r="G180" s="3" t="inlineStr">
        <is>
          <t>Chandrashekar Patidar</t>
        </is>
      </c>
      <c r="H180" s="3" t="n">
        <v>7879764773</v>
      </c>
      <c r="I180" s="11" t="inlineStr">
        <is>
          <t>PE26032601</t>
        </is>
      </c>
      <c r="J180" s="3" t="inlineStr">
        <is>
          <t>Module Diode Failure</t>
        </is>
      </c>
      <c r="K180" s="3" t="inlineStr">
        <is>
          <t>Sadla</t>
        </is>
      </c>
      <c r="L180" s="3" t="inlineStr">
        <is>
          <t>Gujarat</t>
        </is>
      </c>
      <c r="M180" s="9" t="inlineStr">
        <is>
          <t>PS</t>
        </is>
      </c>
      <c r="N180" s="3" t="inlineStr">
        <is>
          <t>Cold Soldering</t>
        </is>
      </c>
      <c r="O180" s="3" t="n">
        <v>570</v>
      </c>
      <c r="P180" s="9" t="inlineStr">
        <is>
          <t>NSMI24050062296</t>
        </is>
      </c>
      <c r="Q180" s="53">
        <f>MID(P180,5,2)</f>
        <v/>
      </c>
      <c r="R180" s="53">
        <f>MID(P180,7,2)</f>
        <v/>
      </c>
      <c r="S180" s="3" t="inlineStr">
        <is>
          <t>G2G</t>
        </is>
      </c>
      <c r="T180" s="3" t="inlineStr">
        <is>
          <t>P4</t>
        </is>
      </c>
      <c r="U180" s="3" t="inlineStr">
        <is>
          <t>P JB Cold Soldering</t>
        </is>
      </c>
      <c r="V180" s="3" t="inlineStr">
        <is>
          <t>Soldering</t>
        </is>
      </c>
      <c r="W180" s="3" t="inlineStr">
        <is>
          <t>Repair</t>
        </is>
      </c>
      <c r="X180" s="18" t="n">
        <v>46146</v>
      </c>
      <c r="Y180" s="73">
        <f>IF(X180="","",X180-A180)</f>
        <v/>
      </c>
      <c r="Z180" s="18" t="n">
        <v>46146</v>
      </c>
      <c r="AA180" s="15" t="n"/>
      <c r="AB180" s="15" t="n"/>
      <c r="AF180">
        <f>IF(AND($F180="Closed",$X180&gt;=DATE(2026,5,1),$X180&lt;=DATE(2026,5,31)),"Closed in May","Other")</f>
        <v/>
      </c>
    </row>
    <row r="181">
      <c r="A181" s="6" t="n">
        <v>46107</v>
      </c>
      <c r="B181" s="3" t="n">
        <v>2026</v>
      </c>
      <c r="C181" s="3" t="inlineStr">
        <is>
          <t>Blupine Energy</t>
        </is>
      </c>
      <c r="D181" s="3" t="inlineStr">
        <is>
          <t>Utility and C&amp;I</t>
        </is>
      </c>
      <c r="E181" s="3" t="n"/>
      <c r="F181" s="3" t="inlineStr">
        <is>
          <t>Closed</t>
        </is>
      </c>
      <c r="G181" s="3" t="inlineStr">
        <is>
          <t>Chandrashekar Patidar</t>
        </is>
      </c>
      <c r="H181" s="3" t="n">
        <v>7879764773</v>
      </c>
      <c r="I181" s="11" t="inlineStr">
        <is>
          <t>PE26032601</t>
        </is>
      </c>
      <c r="J181" s="3" t="inlineStr">
        <is>
          <t>Module Diode Failure</t>
        </is>
      </c>
      <c r="K181" s="3" t="inlineStr">
        <is>
          <t>Sadla</t>
        </is>
      </c>
      <c r="L181" s="3" t="inlineStr">
        <is>
          <t>Gujarat</t>
        </is>
      </c>
      <c r="M181" s="9" t="inlineStr">
        <is>
          <t>PS</t>
        </is>
      </c>
      <c r="N181" s="3" t="inlineStr">
        <is>
          <t>Cold Soldering</t>
        </is>
      </c>
      <c r="O181" s="3" t="n">
        <v>570</v>
      </c>
      <c r="P181" s="9" t="inlineStr">
        <is>
          <t>NSMI24050058917</t>
        </is>
      </c>
      <c r="Q181" s="53">
        <f>MID(P181,5,2)</f>
        <v/>
      </c>
      <c r="R181" s="53">
        <f>MID(P181,7,2)</f>
        <v/>
      </c>
      <c r="S181" s="3" t="inlineStr">
        <is>
          <t>G2G</t>
        </is>
      </c>
      <c r="T181" s="3" t="inlineStr">
        <is>
          <t>P4</t>
        </is>
      </c>
      <c r="U181" s="3" t="inlineStr">
        <is>
          <t>P JB Cold Soldering</t>
        </is>
      </c>
      <c r="V181" s="3" t="inlineStr">
        <is>
          <t>Soldering</t>
        </is>
      </c>
      <c r="W181" s="3" t="inlineStr">
        <is>
          <t>Repair</t>
        </is>
      </c>
      <c r="X181" s="18" t="n">
        <v>46146</v>
      </c>
      <c r="Y181" s="73">
        <f>IF(X181="","",X181-A181)</f>
        <v/>
      </c>
      <c r="Z181" s="18" t="n">
        <v>46146</v>
      </c>
      <c r="AA181" s="15" t="n"/>
      <c r="AB181" s="15" t="n"/>
      <c r="AF181">
        <f>IF(AND($F181="Closed",$X181&gt;=DATE(2026,5,1),$X181&lt;=DATE(2026,5,31)),"Closed in May","Other")</f>
        <v/>
      </c>
    </row>
    <row r="182">
      <c r="A182" s="6" t="n">
        <v>46107</v>
      </c>
      <c r="B182" s="3" t="n">
        <v>2026</v>
      </c>
      <c r="C182" s="3" t="inlineStr">
        <is>
          <t>Blupine Energy</t>
        </is>
      </c>
      <c r="D182" s="3" t="inlineStr">
        <is>
          <t>Utility and C&amp;I</t>
        </is>
      </c>
      <c r="E182" s="3" t="n"/>
      <c r="F182" s="3" t="inlineStr">
        <is>
          <t>Closed</t>
        </is>
      </c>
      <c r="G182" s="3" t="inlineStr">
        <is>
          <t>Chandrashekar Patidar</t>
        </is>
      </c>
      <c r="H182" s="3" t="n">
        <v>7879764773</v>
      </c>
      <c r="I182" s="11" t="inlineStr">
        <is>
          <t>PE26032601</t>
        </is>
      </c>
      <c r="J182" s="3" t="inlineStr">
        <is>
          <t>Module Diode Failure</t>
        </is>
      </c>
      <c r="K182" s="3" t="inlineStr">
        <is>
          <t>Sadla</t>
        </is>
      </c>
      <c r="L182" s="3" t="inlineStr">
        <is>
          <t>Gujarat</t>
        </is>
      </c>
      <c r="M182" s="9" t="inlineStr">
        <is>
          <t>NS</t>
        </is>
      </c>
      <c r="N182" s="3" t="inlineStr">
        <is>
          <t>Cold Soldering</t>
        </is>
      </c>
      <c r="O182" s="3" t="n">
        <v>570</v>
      </c>
      <c r="P182" s="9" t="inlineStr">
        <is>
          <t>NSMI24050058951</t>
        </is>
      </c>
      <c r="Q182" s="53">
        <f>MID(P182,5,2)</f>
        <v/>
      </c>
      <c r="R182" s="53">
        <f>MID(P182,7,2)</f>
        <v/>
      </c>
      <c r="S182" s="3" t="inlineStr">
        <is>
          <t>G2G</t>
        </is>
      </c>
      <c r="T182" s="3" t="inlineStr">
        <is>
          <t>P4</t>
        </is>
      </c>
      <c r="U182" s="3" t="inlineStr">
        <is>
          <t>N JB Cold Soldering</t>
        </is>
      </c>
      <c r="V182" s="3" t="inlineStr">
        <is>
          <t>Soldering</t>
        </is>
      </c>
      <c r="W182" s="3" t="inlineStr">
        <is>
          <t>Repair</t>
        </is>
      </c>
      <c r="X182" s="18" t="n">
        <v>46146</v>
      </c>
      <c r="Y182" s="73">
        <f>IF(X182="","",X182-A182)</f>
        <v/>
      </c>
      <c r="Z182" s="18" t="n">
        <v>46146</v>
      </c>
      <c r="AA182" s="15" t="n"/>
      <c r="AB182" s="15" t="n"/>
      <c r="AF182">
        <f>IF(AND($F182="Closed",$X182&gt;=DATE(2026,5,1),$X182&lt;=DATE(2026,5,31)),"Closed in May","Other")</f>
        <v/>
      </c>
    </row>
    <row r="183">
      <c r="A183" s="6" t="n">
        <v>46107</v>
      </c>
      <c r="B183" s="3" t="n">
        <v>2026</v>
      </c>
      <c r="C183" s="3" t="inlineStr">
        <is>
          <t>Blupine Energy</t>
        </is>
      </c>
      <c r="D183" s="3" t="inlineStr">
        <is>
          <t>Utility and C&amp;I</t>
        </is>
      </c>
      <c r="E183" s="3" t="n"/>
      <c r="F183" s="3" t="inlineStr">
        <is>
          <t>Closed</t>
        </is>
      </c>
      <c r="G183" s="3" t="inlineStr">
        <is>
          <t>Chandrashekar Patidar</t>
        </is>
      </c>
      <c r="H183" s="3" t="n">
        <v>7879764773</v>
      </c>
      <c r="I183" s="11" t="inlineStr">
        <is>
          <t>PE26032601</t>
        </is>
      </c>
      <c r="J183" s="3" t="inlineStr">
        <is>
          <t>Module Diode Failure</t>
        </is>
      </c>
      <c r="K183" s="3" t="inlineStr">
        <is>
          <t>Sadla</t>
        </is>
      </c>
      <c r="L183" s="3" t="inlineStr">
        <is>
          <t>Gujarat</t>
        </is>
      </c>
      <c r="M183" s="9" t="inlineStr">
        <is>
          <t>NS</t>
        </is>
      </c>
      <c r="N183" s="3" t="inlineStr">
        <is>
          <t>Cold Soldering</t>
        </is>
      </c>
      <c r="O183" s="3" t="n">
        <v>570</v>
      </c>
      <c r="P183" s="9" t="inlineStr">
        <is>
          <t>NSMI24050048483</t>
        </is>
      </c>
      <c r="Q183" s="53">
        <f>MID(P183,5,2)</f>
        <v/>
      </c>
      <c r="R183" s="53">
        <f>MID(P183,7,2)</f>
        <v/>
      </c>
      <c r="S183" s="3" t="inlineStr">
        <is>
          <t>G2G</t>
        </is>
      </c>
      <c r="T183" s="3" t="inlineStr">
        <is>
          <t>P4</t>
        </is>
      </c>
      <c r="U183" s="3" t="inlineStr">
        <is>
          <t>N JB Cold Soldering</t>
        </is>
      </c>
      <c r="V183" s="3" t="inlineStr">
        <is>
          <t>Soldering</t>
        </is>
      </c>
      <c r="W183" s="3" t="inlineStr">
        <is>
          <t>Repair</t>
        </is>
      </c>
      <c r="X183" s="18" t="n">
        <v>46146</v>
      </c>
      <c r="Y183" s="73">
        <f>IF(X183="","",X183-A183)</f>
        <v/>
      </c>
      <c r="Z183" s="18" t="n">
        <v>46146</v>
      </c>
      <c r="AA183" s="15" t="n"/>
      <c r="AB183" s="15" t="n"/>
      <c r="AF183">
        <f>IF(AND($F183="Closed",$X183&gt;=DATE(2026,5,1),$X183&lt;=DATE(2026,5,31)),"Closed in May","Other")</f>
        <v/>
      </c>
    </row>
    <row r="184">
      <c r="A184" s="6" t="n">
        <v>46107</v>
      </c>
      <c r="B184" s="3" t="n">
        <v>2026</v>
      </c>
      <c r="C184" s="3" t="inlineStr">
        <is>
          <t>Blupine Energy</t>
        </is>
      </c>
      <c r="D184" s="3" t="inlineStr">
        <is>
          <t>Utility and C&amp;I</t>
        </is>
      </c>
      <c r="E184" s="3" t="n"/>
      <c r="F184" s="3" t="inlineStr">
        <is>
          <t>Closed</t>
        </is>
      </c>
      <c r="G184" s="3" t="inlineStr">
        <is>
          <t>Chandrashekar Patidar</t>
        </is>
      </c>
      <c r="H184" s="3" t="n">
        <v>7879764773</v>
      </c>
      <c r="I184" s="11" t="inlineStr">
        <is>
          <t>PE26032601</t>
        </is>
      </c>
      <c r="J184" s="3" t="inlineStr">
        <is>
          <t>Module Diode Failure</t>
        </is>
      </c>
      <c r="K184" s="3" t="inlineStr">
        <is>
          <t>Sadla</t>
        </is>
      </c>
      <c r="L184" s="3" t="inlineStr">
        <is>
          <t>Gujarat</t>
        </is>
      </c>
      <c r="M184" s="9" t="inlineStr">
        <is>
          <t>NS</t>
        </is>
      </c>
      <c r="N184" s="3" t="inlineStr">
        <is>
          <t>Cold Soldering</t>
        </is>
      </c>
      <c r="O184" s="3" t="n">
        <v>570</v>
      </c>
      <c r="P184" s="9" t="inlineStr">
        <is>
          <t>NSMI24050047125</t>
        </is>
      </c>
      <c r="Q184" s="53">
        <f>MID(P184,5,2)</f>
        <v/>
      </c>
      <c r="R184" s="53">
        <f>MID(P184,7,2)</f>
        <v/>
      </c>
      <c r="S184" s="3" t="inlineStr">
        <is>
          <t>G2G</t>
        </is>
      </c>
      <c r="T184" s="3" t="inlineStr">
        <is>
          <t>P4</t>
        </is>
      </c>
      <c r="U184" s="3" t="inlineStr">
        <is>
          <t>N JB Cold Soldering</t>
        </is>
      </c>
      <c r="V184" s="3" t="inlineStr">
        <is>
          <t>Soldering</t>
        </is>
      </c>
      <c r="W184" s="3" t="inlineStr">
        <is>
          <t>Repair</t>
        </is>
      </c>
      <c r="X184" s="18" t="n">
        <v>46146</v>
      </c>
      <c r="Y184" s="73">
        <f>IF(X184="","",X184-A184)</f>
        <v/>
      </c>
      <c r="Z184" s="18" t="n">
        <v>46146</v>
      </c>
      <c r="AA184" s="15" t="n"/>
      <c r="AB184" s="15" t="n"/>
      <c r="AF184">
        <f>IF(AND($F184="Closed",$X184&gt;=DATE(2026,5,1),$X184&lt;=DATE(2026,5,31)),"Closed in May","Other")</f>
        <v/>
      </c>
    </row>
    <row r="185">
      <c r="A185" s="6" t="n">
        <v>46107</v>
      </c>
      <c r="B185" s="3" t="n">
        <v>2026</v>
      </c>
      <c r="C185" s="3" t="inlineStr">
        <is>
          <t>Blupine Energy</t>
        </is>
      </c>
      <c r="D185" s="3" t="inlineStr">
        <is>
          <t>Utility and C&amp;I</t>
        </is>
      </c>
      <c r="E185" s="3" t="n"/>
      <c r="F185" s="3" t="inlineStr">
        <is>
          <t>Closed</t>
        </is>
      </c>
      <c r="G185" s="3" t="inlineStr">
        <is>
          <t>Chandrashekar Patidar</t>
        </is>
      </c>
      <c r="H185" s="3" t="n">
        <v>7879764773</v>
      </c>
      <c r="I185" s="11" t="inlineStr">
        <is>
          <t>PE26032601</t>
        </is>
      </c>
      <c r="J185" s="3" t="inlineStr">
        <is>
          <t>Module Diode Failure</t>
        </is>
      </c>
      <c r="K185" s="3" t="inlineStr">
        <is>
          <t>Sadla</t>
        </is>
      </c>
      <c r="L185" s="3" t="inlineStr">
        <is>
          <t>Gujarat</t>
        </is>
      </c>
      <c r="M185" s="9" t="inlineStr">
        <is>
          <t>NS</t>
        </is>
      </c>
      <c r="N185" s="3" t="inlineStr">
        <is>
          <t>Cold Soldering</t>
        </is>
      </c>
      <c r="O185" s="3" t="n">
        <v>570</v>
      </c>
      <c r="P185" s="9" t="inlineStr">
        <is>
          <t>NSMI24050047087</t>
        </is>
      </c>
      <c r="Q185" s="53">
        <f>MID(P185,5,2)</f>
        <v/>
      </c>
      <c r="R185" s="53">
        <f>MID(P185,7,2)</f>
        <v/>
      </c>
      <c r="S185" s="3" t="inlineStr">
        <is>
          <t>G2G</t>
        </is>
      </c>
      <c r="T185" s="3" t="inlineStr">
        <is>
          <t>P4</t>
        </is>
      </c>
      <c r="U185" s="3" t="inlineStr">
        <is>
          <t>N JB Cold Soldering</t>
        </is>
      </c>
      <c r="V185" s="3" t="inlineStr">
        <is>
          <t>Soldering</t>
        </is>
      </c>
      <c r="W185" s="3" t="inlineStr">
        <is>
          <t>Repair</t>
        </is>
      </c>
      <c r="X185" s="18" t="n">
        <v>46146</v>
      </c>
      <c r="Y185" s="73">
        <f>IF(X185="","",X185-A185)</f>
        <v/>
      </c>
      <c r="Z185" s="18" t="n">
        <v>46146</v>
      </c>
      <c r="AA185" s="15" t="n"/>
      <c r="AB185" s="15" t="n"/>
      <c r="AF185">
        <f>IF(AND($F185="Closed",$X185&gt;=DATE(2026,5,1),$X185&lt;=DATE(2026,5,31)),"Closed in May","Other")</f>
        <v/>
      </c>
    </row>
    <row r="186">
      <c r="A186" s="6" t="n">
        <v>46107</v>
      </c>
      <c r="B186" s="3" t="n">
        <v>2026</v>
      </c>
      <c r="C186" s="3" t="inlineStr">
        <is>
          <t>Blupine Energy</t>
        </is>
      </c>
      <c r="D186" s="3" t="inlineStr">
        <is>
          <t>Utility and C&amp;I</t>
        </is>
      </c>
      <c r="E186" s="3" t="n"/>
      <c r="F186" s="3" t="inlineStr">
        <is>
          <t>Closed</t>
        </is>
      </c>
      <c r="G186" s="3" t="inlineStr">
        <is>
          <t>Chandrashekar Patidar</t>
        </is>
      </c>
      <c r="H186" s="3" t="n">
        <v>7879764773</v>
      </c>
      <c r="I186" s="11" t="inlineStr">
        <is>
          <t>PE26032601</t>
        </is>
      </c>
      <c r="J186" s="3" t="inlineStr">
        <is>
          <t>Module Diode Failure</t>
        </is>
      </c>
      <c r="K186" s="3" t="inlineStr">
        <is>
          <t>Sadla</t>
        </is>
      </c>
      <c r="L186" s="3" t="inlineStr">
        <is>
          <t>Gujarat</t>
        </is>
      </c>
      <c r="M186" s="9" t="inlineStr">
        <is>
          <t>NS</t>
        </is>
      </c>
      <c r="N186" s="3" t="inlineStr">
        <is>
          <t>Cold Soldering</t>
        </is>
      </c>
      <c r="O186" s="3" t="n">
        <v>570</v>
      </c>
      <c r="P186" s="9" t="inlineStr">
        <is>
          <t>NSMI24050046630</t>
        </is>
      </c>
      <c r="Q186" s="53">
        <f>MID(P186,5,2)</f>
        <v/>
      </c>
      <c r="R186" s="53">
        <f>MID(P186,7,2)</f>
        <v/>
      </c>
      <c r="S186" s="3" t="inlineStr">
        <is>
          <t>G2G</t>
        </is>
      </c>
      <c r="T186" s="3" t="inlineStr">
        <is>
          <t>P4</t>
        </is>
      </c>
      <c r="U186" s="3" t="inlineStr">
        <is>
          <t>N JB Cold Soldering</t>
        </is>
      </c>
      <c r="V186" s="3" t="inlineStr">
        <is>
          <t>Soldering</t>
        </is>
      </c>
      <c r="W186" s="3" t="inlineStr">
        <is>
          <t>Repair</t>
        </is>
      </c>
      <c r="X186" s="18" t="n">
        <v>46146</v>
      </c>
      <c r="Y186" s="73">
        <f>IF(X186="","",X186-A186)</f>
        <v/>
      </c>
      <c r="Z186" s="18" t="n">
        <v>46146</v>
      </c>
      <c r="AA186" s="15" t="n"/>
      <c r="AB186" s="15" t="n"/>
      <c r="AF186">
        <f>IF(AND($F186="Closed",$X186&gt;=DATE(2026,5,1),$X186&lt;=DATE(2026,5,31)),"Closed in May","Other")</f>
        <v/>
      </c>
    </row>
    <row r="187">
      <c r="A187" s="6" t="n">
        <v>46107</v>
      </c>
      <c r="B187" s="3" t="n">
        <v>2026</v>
      </c>
      <c r="C187" s="3" t="inlineStr">
        <is>
          <t>Blupine Energy</t>
        </is>
      </c>
      <c r="D187" s="3" t="inlineStr">
        <is>
          <t>Utility and C&amp;I</t>
        </is>
      </c>
      <c r="E187" s="3" t="n"/>
      <c r="F187" s="3" t="inlineStr">
        <is>
          <t>Closed</t>
        </is>
      </c>
      <c r="G187" s="3" t="inlineStr">
        <is>
          <t>Chandrashekar Patidar</t>
        </is>
      </c>
      <c r="H187" s="3" t="n">
        <v>7879764773</v>
      </c>
      <c r="I187" s="11" t="inlineStr">
        <is>
          <t>PE26032601</t>
        </is>
      </c>
      <c r="J187" s="3" t="inlineStr">
        <is>
          <t>Module Diode Failure</t>
        </is>
      </c>
      <c r="K187" s="3" t="inlineStr">
        <is>
          <t>Sadla</t>
        </is>
      </c>
      <c r="L187" s="3" t="inlineStr">
        <is>
          <t>Gujarat</t>
        </is>
      </c>
      <c r="M187" s="9" t="inlineStr">
        <is>
          <t>NS</t>
        </is>
      </c>
      <c r="N187" s="3" t="inlineStr">
        <is>
          <t>Cold Soldering</t>
        </is>
      </c>
      <c r="O187" s="3" t="n">
        <v>570</v>
      </c>
      <c r="P187" s="9" t="inlineStr">
        <is>
          <t>NSMI24050047129</t>
        </is>
      </c>
      <c r="Q187" s="53">
        <f>MID(P187,5,2)</f>
        <v/>
      </c>
      <c r="R187" s="53">
        <f>MID(P187,7,2)</f>
        <v/>
      </c>
      <c r="S187" s="3" t="inlineStr">
        <is>
          <t>G2G</t>
        </is>
      </c>
      <c r="T187" s="3" t="inlineStr">
        <is>
          <t>P4</t>
        </is>
      </c>
      <c r="U187" s="3" t="inlineStr">
        <is>
          <t>N JB Cold Soldering</t>
        </is>
      </c>
      <c r="V187" s="3" t="inlineStr">
        <is>
          <t>Soldering</t>
        </is>
      </c>
      <c r="W187" s="3" t="inlineStr">
        <is>
          <t>Repair</t>
        </is>
      </c>
      <c r="X187" s="18" t="n">
        <v>46146</v>
      </c>
      <c r="Y187" s="73">
        <f>IF(X187="","",X187-A187)</f>
        <v/>
      </c>
      <c r="Z187" s="18" t="n">
        <v>46146</v>
      </c>
      <c r="AA187" s="15" t="n"/>
      <c r="AB187" s="15" t="n"/>
      <c r="AF187">
        <f>IF(AND($F187="Closed",$X187&gt;=DATE(2026,5,1),$X187&lt;=DATE(2026,5,31)),"Closed in May","Other")</f>
        <v/>
      </c>
    </row>
    <row r="188">
      <c r="A188" s="6" t="n">
        <v>46107</v>
      </c>
      <c r="B188" s="3" t="n">
        <v>2026</v>
      </c>
      <c r="C188" s="3" t="inlineStr">
        <is>
          <t>Blupine Energy</t>
        </is>
      </c>
      <c r="D188" s="3" t="inlineStr">
        <is>
          <t>Utility and C&amp;I</t>
        </is>
      </c>
      <c r="E188" s="3" t="n"/>
      <c r="F188" s="3" t="inlineStr">
        <is>
          <t>Closed</t>
        </is>
      </c>
      <c r="G188" s="3" t="inlineStr">
        <is>
          <t>Chandrashekar Patidar</t>
        </is>
      </c>
      <c r="H188" s="3" t="n">
        <v>7879764773</v>
      </c>
      <c r="I188" s="11" t="inlineStr">
        <is>
          <t>PE26032601</t>
        </is>
      </c>
      <c r="J188" s="3" t="inlineStr">
        <is>
          <t>Module Diode Failure</t>
        </is>
      </c>
      <c r="K188" s="3" t="inlineStr">
        <is>
          <t>Sadla</t>
        </is>
      </c>
      <c r="L188" s="3" t="inlineStr">
        <is>
          <t>Gujarat</t>
        </is>
      </c>
      <c r="M188" s="9" t="inlineStr">
        <is>
          <t>PS</t>
        </is>
      </c>
      <c r="N188" s="3" t="inlineStr">
        <is>
          <t>Cold Soldering</t>
        </is>
      </c>
      <c r="O188" s="3" t="n">
        <v>570</v>
      </c>
      <c r="P188" s="9" t="inlineStr">
        <is>
          <t>NSMI24050047162</t>
        </is>
      </c>
      <c r="Q188" s="53">
        <f>MID(P188,5,2)</f>
        <v/>
      </c>
      <c r="R188" s="53">
        <f>MID(P188,7,2)</f>
        <v/>
      </c>
      <c r="S188" s="3" t="inlineStr">
        <is>
          <t>G2G</t>
        </is>
      </c>
      <c r="T188" s="3" t="inlineStr">
        <is>
          <t>P4</t>
        </is>
      </c>
      <c r="U188" s="3" t="inlineStr">
        <is>
          <t>P JB Cold Soldering</t>
        </is>
      </c>
      <c r="V188" s="3" t="inlineStr">
        <is>
          <t>Soldering</t>
        </is>
      </c>
      <c r="W188" s="3" t="inlineStr">
        <is>
          <t>Repair</t>
        </is>
      </c>
      <c r="X188" s="18" t="n">
        <v>46146</v>
      </c>
      <c r="Y188" s="73">
        <f>IF(X188="","",X188-A188)</f>
        <v/>
      </c>
      <c r="Z188" s="18" t="n">
        <v>46146</v>
      </c>
      <c r="AA188" s="15" t="n"/>
      <c r="AB188" s="15" t="n"/>
      <c r="AF188">
        <f>IF(AND($F188="Closed",$X188&gt;=DATE(2026,5,1),$X188&lt;=DATE(2026,5,31)),"Closed in May","Other")</f>
        <v/>
      </c>
    </row>
    <row r="189">
      <c r="A189" s="6" t="n">
        <v>46107</v>
      </c>
      <c r="B189" s="3" t="n">
        <v>2026</v>
      </c>
      <c r="C189" s="3" t="inlineStr">
        <is>
          <t>Blupine Energy</t>
        </is>
      </c>
      <c r="D189" s="3" t="inlineStr">
        <is>
          <t>Utility and C&amp;I</t>
        </is>
      </c>
      <c r="E189" s="3" t="n"/>
      <c r="F189" s="3" t="inlineStr">
        <is>
          <t>Closed</t>
        </is>
      </c>
      <c r="G189" s="3" t="inlineStr">
        <is>
          <t>Chandrashekar Patidar</t>
        </is>
      </c>
      <c r="H189" s="3" t="n">
        <v>7879764773</v>
      </c>
      <c r="I189" s="11" t="inlineStr">
        <is>
          <t>PE26032601</t>
        </is>
      </c>
      <c r="J189" s="3" t="inlineStr">
        <is>
          <t>Module Diode Failure</t>
        </is>
      </c>
      <c r="K189" s="3" t="inlineStr">
        <is>
          <t>Sadla</t>
        </is>
      </c>
      <c r="L189" s="3" t="inlineStr">
        <is>
          <t>Gujarat</t>
        </is>
      </c>
      <c r="M189" s="9" t="inlineStr">
        <is>
          <t>PS</t>
        </is>
      </c>
      <c r="N189" s="3" t="inlineStr">
        <is>
          <t>Cold Soldering</t>
        </is>
      </c>
      <c r="O189" s="3" t="n">
        <v>570</v>
      </c>
      <c r="P189" s="9" t="inlineStr">
        <is>
          <t>NSMI24050062647</t>
        </is>
      </c>
      <c r="Q189" s="53">
        <f>MID(P189,5,2)</f>
        <v/>
      </c>
      <c r="R189" s="53">
        <f>MID(P189,7,2)</f>
        <v/>
      </c>
      <c r="S189" s="3" t="inlineStr">
        <is>
          <t>G2G</t>
        </is>
      </c>
      <c r="T189" s="3" t="inlineStr">
        <is>
          <t>P4</t>
        </is>
      </c>
      <c r="U189" s="3" t="inlineStr">
        <is>
          <t>P JB Cold Soldering</t>
        </is>
      </c>
      <c r="V189" s="3" t="inlineStr">
        <is>
          <t>Soldering</t>
        </is>
      </c>
      <c r="W189" s="3" t="inlineStr">
        <is>
          <t>Repair</t>
        </is>
      </c>
      <c r="X189" s="18" t="n">
        <v>46146</v>
      </c>
      <c r="Y189" s="73">
        <f>IF(X189="","",X189-A189)</f>
        <v/>
      </c>
      <c r="Z189" s="18" t="n">
        <v>46146</v>
      </c>
      <c r="AA189" s="15" t="n"/>
      <c r="AB189" s="15" t="n"/>
      <c r="AF189">
        <f>IF(AND($F189="Closed",$X189&gt;=DATE(2026,5,1),$X189&lt;=DATE(2026,5,31)),"Closed in May","Other")</f>
        <v/>
      </c>
    </row>
    <row r="190">
      <c r="A190" s="6" t="n">
        <v>46107</v>
      </c>
      <c r="B190" s="3" t="n">
        <v>2026</v>
      </c>
      <c r="C190" s="3" t="inlineStr">
        <is>
          <t>Blupine Energy</t>
        </is>
      </c>
      <c r="D190" s="3" t="inlineStr">
        <is>
          <t>Utility and C&amp;I</t>
        </is>
      </c>
      <c r="E190" s="3" t="n"/>
      <c r="F190" s="3" t="inlineStr">
        <is>
          <t>Closed</t>
        </is>
      </c>
      <c r="G190" s="3" t="inlineStr">
        <is>
          <t>Chandrashekar Patidar</t>
        </is>
      </c>
      <c r="H190" s="3" t="n">
        <v>7879764773</v>
      </c>
      <c r="I190" s="11" t="inlineStr">
        <is>
          <t>PE26032601</t>
        </is>
      </c>
      <c r="J190" s="3" t="inlineStr">
        <is>
          <t>Module Diode Failure</t>
        </is>
      </c>
      <c r="K190" s="3" t="inlineStr">
        <is>
          <t>Sadla</t>
        </is>
      </c>
      <c r="L190" s="3" t="inlineStr">
        <is>
          <t>Gujarat</t>
        </is>
      </c>
      <c r="M190" s="9" t="inlineStr">
        <is>
          <t>NS</t>
        </is>
      </c>
      <c r="N190" s="3" t="inlineStr">
        <is>
          <t>Cold Soldering</t>
        </is>
      </c>
      <c r="O190" s="3" t="n">
        <v>570</v>
      </c>
      <c r="P190" s="9" t="inlineStr">
        <is>
          <t>NSMI24060081017</t>
        </is>
      </c>
      <c r="Q190" s="53">
        <f>MID(P190,5,2)</f>
        <v/>
      </c>
      <c r="R190" s="53">
        <f>MID(P190,7,2)</f>
        <v/>
      </c>
      <c r="S190" s="3" t="inlineStr">
        <is>
          <t>G2G</t>
        </is>
      </c>
      <c r="T190" s="3" t="inlineStr">
        <is>
          <t>P4</t>
        </is>
      </c>
      <c r="U190" s="3" t="inlineStr">
        <is>
          <t>N JB Cold Soldering</t>
        </is>
      </c>
      <c r="V190" s="3" t="inlineStr">
        <is>
          <t>Soldering</t>
        </is>
      </c>
      <c r="W190" s="3" t="inlineStr">
        <is>
          <t>Repair</t>
        </is>
      </c>
      <c r="X190" s="18" t="n">
        <v>46146</v>
      </c>
      <c r="Y190" s="73">
        <f>IF(X190="","",X190-A190)</f>
        <v/>
      </c>
      <c r="Z190" s="18" t="n">
        <v>46146</v>
      </c>
      <c r="AA190" s="15" t="n"/>
      <c r="AB190" s="15" t="n"/>
      <c r="AF190">
        <f>IF(AND($F190="Closed",$X190&gt;=DATE(2026,5,1),$X190&lt;=DATE(2026,5,31)),"Closed in May","Other")</f>
        <v/>
      </c>
    </row>
    <row r="191">
      <c r="A191" s="6" t="n">
        <v>46107</v>
      </c>
      <c r="B191" s="3" t="n">
        <v>2026</v>
      </c>
      <c r="C191" s="3" t="inlineStr">
        <is>
          <t>Blupine Energy</t>
        </is>
      </c>
      <c r="D191" s="3" t="inlineStr">
        <is>
          <t>Utility and C&amp;I</t>
        </is>
      </c>
      <c r="E191" s="3" t="n"/>
      <c r="F191" s="3" t="inlineStr">
        <is>
          <t>Closed</t>
        </is>
      </c>
      <c r="G191" s="3" t="inlineStr">
        <is>
          <t>Chandrashekar Patidar</t>
        </is>
      </c>
      <c r="H191" s="3" t="n">
        <v>7879764773</v>
      </c>
      <c r="I191" s="11" t="inlineStr">
        <is>
          <t>PE26032601</t>
        </is>
      </c>
      <c r="J191" s="3" t="inlineStr">
        <is>
          <t>Module Diode Failure</t>
        </is>
      </c>
      <c r="K191" s="3" t="inlineStr">
        <is>
          <t>Sadla</t>
        </is>
      </c>
      <c r="L191" s="3" t="inlineStr">
        <is>
          <t>Gujarat</t>
        </is>
      </c>
      <c r="M191" s="9" t="inlineStr">
        <is>
          <t>PS</t>
        </is>
      </c>
      <c r="N191" s="3" t="inlineStr">
        <is>
          <t>Cold Soldering</t>
        </is>
      </c>
      <c r="O191" s="3" t="n">
        <v>570</v>
      </c>
      <c r="P191" s="9" t="inlineStr">
        <is>
          <t>NSMI24060081229</t>
        </is>
      </c>
      <c r="Q191" s="53">
        <f>MID(P191,5,2)</f>
        <v/>
      </c>
      <c r="R191" s="53">
        <f>MID(P191,7,2)</f>
        <v/>
      </c>
      <c r="S191" s="3" t="inlineStr">
        <is>
          <t>G2G</t>
        </is>
      </c>
      <c r="T191" s="3" t="inlineStr">
        <is>
          <t>P4</t>
        </is>
      </c>
      <c r="U191" s="3" t="inlineStr">
        <is>
          <t>P JB Cold Soldering</t>
        </is>
      </c>
      <c r="V191" s="3" t="inlineStr">
        <is>
          <t>Soldering</t>
        </is>
      </c>
      <c r="W191" s="3" t="inlineStr">
        <is>
          <t>Repair</t>
        </is>
      </c>
      <c r="X191" s="18" t="n">
        <v>46146</v>
      </c>
      <c r="Y191" s="73">
        <f>IF(X191="","",X191-A191)</f>
        <v/>
      </c>
      <c r="Z191" s="18" t="n">
        <v>46146</v>
      </c>
      <c r="AA191" s="15" t="n"/>
      <c r="AB191" s="15" t="n"/>
      <c r="AF191">
        <f>IF(AND($F191="Closed",$X191&gt;=DATE(2026,5,1),$X191&lt;=DATE(2026,5,31)),"Closed in May","Other")</f>
        <v/>
      </c>
    </row>
    <row r="192">
      <c r="A192" s="6" t="n">
        <v>46107</v>
      </c>
      <c r="B192" s="3" t="n">
        <v>2026</v>
      </c>
      <c r="C192" s="3" t="inlineStr">
        <is>
          <t>Blupine Energy</t>
        </is>
      </c>
      <c r="D192" s="3" t="inlineStr">
        <is>
          <t>Utility and C&amp;I</t>
        </is>
      </c>
      <c r="E192" s="3" t="n"/>
      <c r="F192" s="3" t="inlineStr">
        <is>
          <t>Closed</t>
        </is>
      </c>
      <c r="G192" s="3" t="inlineStr">
        <is>
          <t>Chandrashekar Patidar</t>
        </is>
      </c>
      <c r="H192" s="3" t="n">
        <v>7879764773</v>
      </c>
      <c r="I192" s="11" t="inlineStr">
        <is>
          <t>PE26032601</t>
        </is>
      </c>
      <c r="J192" s="3" t="inlineStr">
        <is>
          <t>Module Diode Failure</t>
        </is>
      </c>
      <c r="K192" s="3" t="inlineStr">
        <is>
          <t>Sadla</t>
        </is>
      </c>
      <c r="L192" s="3" t="inlineStr">
        <is>
          <t>Gujarat</t>
        </is>
      </c>
      <c r="M192" s="9" t="inlineStr">
        <is>
          <t>NS</t>
        </is>
      </c>
      <c r="N192" s="3" t="inlineStr">
        <is>
          <t>Cold Soldering</t>
        </is>
      </c>
      <c r="O192" s="3" t="n">
        <v>570</v>
      </c>
      <c r="P192" s="9" t="inlineStr">
        <is>
          <t>NSMI24060078000</t>
        </is>
      </c>
      <c r="Q192" s="53">
        <f>MID(P192,5,2)</f>
        <v/>
      </c>
      <c r="R192" s="53">
        <f>MID(P192,7,2)</f>
        <v/>
      </c>
      <c r="S192" s="3" t="inlineStr">
        <is>
          <t>G2G</t>
        </is>
      </c>
      <c r="T192" s="3" t="inlineStr">
        <is>
          <t>P4</t>
        </is>
      </c>
      <c r="U192" s="3" t="inlineStr">
        <is>
          <t>N JB Cold Soldering</t>
        </is>
      </c>
      <c r="V192" s="3" t="inlineStr">
        <is>
          <t>Soldering</t>
        </is>
      </c>
      <c r="W192" s="3" t="inlineStr">
        <is>
          <t>Repair</t>
        </is>
      </c>
      <c r="X192" s="18" t="n">
        <v>46146</v>
      </c>
      <c r="Y192" s="73">
        <f>IF(X192="","",X192-A192)</f>
        <v/>
      </c>
      <c r="Z192" s="18" t="n">
        <v>46146</v>
      </c>
      <c r="AA192" s="15" t="n"/>
      <c r="AB192" s="15" t="n"/>
      <c r="AF192">
        <f>IF(AND($F192="Closed",$X192&gt;=DATE(2026,5,1),$X192&lt;=DATE(2026,5,31)),"Closed in May","Other")</f>
        <v/>
      </c>
    </row>
    <row r="193">
      <c r="A193" s="6" t="n">
        <v>46107</v>
      </c>
      <c r="B193" s="3" t="n">
        <v>2026</v>
      </c>
      <c r="C193" s="3" t="inlineStr">
        <is>
          <t>Blupine Energy</t>
        </is>
      </c>
      <c r="D193" s="3" t="inlineStr">
        <is>
          <t>Utility and C&amp;I</t>
        </is>
      </c>
      <c r="E193" s="3" t="n"/>
      <c r="F193" s="3" t="inlineStr">
        <is>
          <t>Closed</t>
        </is>
      </c>
      <c r="G193" s="3" t="inlineStr">
        <is>
          <t>Chandrashekar Patidar</t>
        </is>
      </c>
      <c r="H193" s="3" t="n">
        <v>7879764773</v>
      </c>
      <c r="I193" s="11" t="inlineStr">
        <is>
          <t>PE26032601</t>
        </is>
      </c>
      <c r="J193" s="3" t="inlineStr">
        <is>
          <t>Module Diode Failure</t>
        </is>
      </c>
      <c r="K193" s="3" t="inlineStr">
        <is>
          <t>Sadla</t>
        </is>
      </c>
      <c r="L193" s="3" t="inlineStr">
        <is>
          <t>Gujarat</t>
        </is>
      </c>
      <c r="M193" s="9" t="inlineStr">
        <is>
          <t>PR</t>
        </is>
      </c>
      <c r="N193" s="3" t="inlineStr">
        <is>
          <t>JB Issue</t>
        </is>
      </c>
      <c r="O193" s="3" t="n">
        <v>570</v>
      </c>
      <c r="P193" s="9" t="inlineStr">
        <is>
          <t>NSMI24050065573</t>
        </is>
      </c>
      <c r="Q193" s="53">
        <f>MID(P193,5,2)</f>
        <v/>
      </c>
      <c r="R193" s="53">
        <f>MID(P193,7,2)</f>
        <v/>
      </c>
      <c r="S193" s="3" t="inlineStr">
        <is>
          <t>G2G</t>
        </is>
      </c>
      <c r="T193" s="3" t="inlineStr">
        <is>
          <t>P4</t>
        </is>
      </c>
      <c r="U193" s="3" t="inlineStr">
        <is>
          <t>P JB Issue</t>
        </is>
      </c>
      <c r="V193" s="15" t="inlineStr">
        <is>
          <t>JB Changed</t>
        </is>
      </c>
      <c r="W193" s="3" t="inlineStr">
        <is>
          <t>Repair</t>
        </is>
      </c>
      <c r="X193" s="18" t="n">
        <v>46146</v>
      </c>
      <c r="Y193" s="73">
        <f>IF(X193="","",X193-A193)</f>
        <v/>
      </c>
      <c r="Z193" s="18" t="n">
        <v>46146</v>
      </c>
      <c r="AA193" s="15" t="n"/>
      <c r="AB193" s="15" t="n"/>
      <c r="AF193">
        <f>IF(AND($F193="Closed",$X193&gt;=DATE(2026,5,1),$X193&lt;=DATE(2026,5,31)),"Closed in May","Other")</f>
        <v/>
      </c>
    </row>
    <row r="194">
      <c r="A194" s="6" t="n">
        <v>46107</v>
      </c>
      <c r="B194" s="3" t="n">
        <v>2026</v>
      </c>
      <c r="C194" s="3" t="inlineStr">
        <is>
          <t>Blupine Energy</t>
        </is>
      </c>
      <c r="D194" s="3" t="inlineStr">
        <is>
          <t>Utility and C&amp;I</t>
        </is>
      </c>
      <c r="E194" s="3" t="n"/>
      <c r="F194" s="3" t="inlineStr">
        <is>
          <t>Closed</t>
        </is>
      </c>
      <c r="G194" s="3" t="inlineStr">
        <is>
          <t>Chandrashekar Patidar</t>
        </is>
      </c>
      <c r="H194" s="3" t="n">
        <v>7879764773</v>
      </c>
      <c r="I194" s="11" t="inlineStr">
        <is>
          <t>PE26032601</t>
        </is>
      </c>
      <c r="J194" s="3" t="inlineStr">
        <is>
          <t>Module Diode Failure</t>
        </is>
      </c>
      <c r="K194" s="3" t="inlineStr">
        <is>
          <t>Sadla</t>
        </is>
      </c>
      <c r="L194" s="3" t="inlineStr">
        <is>
          <t>Gujarat</t>
        </is>
      </c>
      <c r="M194" s="9" t="inlineStr">
        <is>
          <t>NS</t>
        </is>
      </c>
      <c r="N194" s="3" t="inlineStr">
        <is>
          <t>Cold Soldering</t>
        </is>
      </c>
      <c r="O194" s="3" t="n">
        <v>570</v>
      </c>
      <c r="P194" s="9" t="inlineStr">
        <is>
          <t>NSMI24050058754</t>
        </is>
      </c>
      <c r="Q194" s="53">
        <f>MID(P194,5,2)</f>
        <v/>
      </c>
      <c r="R194" s="53">
        <f>MID(P194,7,2)</f>
        <v/>
      </c>
      <c r="S194" s="3" t="inlineStr">
        <is>
          <t>G2G</t>
        </is>
      </c>
      <c r="T194" s="3" t="inlineStr">
        <is>
          <t>P4</t>
        </is>
      </c>
      <c r="U194" s="3" t="inlineStr">
        <is>
          <t>N JB Cold Soldering</t>
        </is>
      </c>
      <c r="V194" s="3" t="inlineStr">
        <is>
          <t>Soldering</t>
        </is>
      </c>
      <c r="W194" s="3" t="inlineStr">
        <is>
          <t>Repair</t>
        </is>
      </c>
      <c r="X194" s="18" t="n">
        <v>46146</v>
      </c>
      <c r="Y194" s="73">
        <f>IF(X194="","",X194-A194)</f>
        <v/>
      </c>
      <c r="Z194" s="18" t="n">
        <v>46146</v>
      </c>
      <c r="AA194" s="15" t="n"/>
      <c r="AB194" s="15" t="n"/>
      <c r="AF194">
        <f>IF(AND($F194="Closed",$X194&gt;=DATE(2026,5,1),$X194&lt;=DATE(2026,5,31)),"Closed in May","Other")</f>
        <v/>
      </c>
    </row>
    <row r="195">
      <c r="A195" s="6" t="n">
        <v>46107</v>
      </c>
      <c r="B195" s="3" t="n">
        <v>2026</v>
      </c>
      <c r="C195" s="3" t="inlineStr">
        <is>
          <t>Blupine Energy</t>
        </is>
      </c>
      <c r="D195" s="3" t="inlineStr">
        <is>
          <t>Utility and C&amp;I</t>
        </is>
      </c>
      <c r="E195" s="3" t="n"/>
      <c r="F195" s="3" t="inlineStr">
        <is>
          <t>Closed</t>
        </is>
      </c>
      <c r="G195" s="3" t="inlineStr">
        <is>
          <t>Chandrashekar Patidar</t>
        </is>
      </c>
      <c r="H195" s="3" t="n">
        <v>7879764773</v>
      </c>
      <c r="I195" s="11" t="inlineStr">
        <is>
          <t>PE26032601</t>
        </is>
      </c>
      <c r="J195" s="3" t="inlineStr">
        <is>
          <t>Module Diode Failure</t>
        </is>
      </c>
      <c r="K195" s="3" t="inlineStr">
        <is>
          <t>Sadla</t>
        </is>
      </c>
      <c r="L195" s="3" t="inlineStr">
        <is>
          <t>Gujarat</t>
        </is>
      </c>
      <c r="M195" s="9" t="inlineStr">
        <is>
          <t>NS</t>
        </is>
      </c>
      <c r="N195" s="3" t="inlineStr">
        <is>
          <t>Cold Soldering</t>
        </is>
      </c>
      <c r="O195" s="3" t="n">
        <v>570</v>
      </c>
      <c r="P195" s="9" t="inlineStr">
        <is>
          <t>NSMI24050050095</t>
        </is>
      </c>
      <c r="Q195" s="53">
        <f>MID(P195,5,2)</f>
        <v/>
      </c>
      <c r="R195" s="53">
        <f>MID(P195,7,2)</f>
        <v/>
      </c>
      <c r="S195" s="3" t="inlineStr">
        <is>
          <t>G2G</t>
        </is>
      </c>
      <c r="T195" s="3" t="inlineStr">
        <is>
          <t>P4</t>
        </is>
      </c>
      <c r="U195" s="3" t="inlineStr">
        <is>
          <t>N JB Cold Soldering</t>
        </is>
      </c>
      <c r="V195" s="3" t="inlineStr">
        <is>
          <t>Soldering</t>
        </is>
      </c>
      <c r="W195" s="3" t="inlineStr">
        <is>
          <t>Repair</t>
        </is>
      </c>
      <c r="X195" s="18" t="n">
        <v>46146</v>
      </c>
      <c r="Y195" s="73">
        <f>IF(X195="","",X195-A195)</f>
        <v/>
      </c>
      <c r="Z195" s="18" t="n">
        <v>46146</v>
      </c>
      <c r="AA195" s="15" t="n"/>
      <c r="AB195" s="15" t="n"/>
      <c r="AF195">
        <f>IF(AND($F195="Closed",$X195&gt;=DATE(2026,5,1),$X195&lt;=DATE(2026,5,31)),"Closed in May","Other")</f>
        <v/>
      </c>
    </row>
    <row r="196">
      <c r="A196" s="6" t="n">
        <v>46107</v>
      </c>
      <c r="B196" s="3" t="n">
        <v>2026</v>
      </c>
      <c r="C196" s="3" t="inlineStr">
        <is>
          <t>Blupine Energy</t>
        </is>
      </c>
      <c r="D196" s="3" t="inlineStr">
        <is>
          <t>Utility and C&amp;I</t>
        </is>
      </c>
      <c r="E196" s="3" t="n"/>
      <c r="F196" s="3" t="inlineStr">
        <is>
          <t>Closed</t>
        </is>
      </c>
      <c r="G196" s="3" t="inlineStr">
        <is>
          <t>Chandrashekar Patidar</t>
        </is>
      </c>
      <c r="H196" s="3" t="n">
        <v>7879764773</v>
      </c>
      <c r="I196" s="11" t="inlineStr">
        <is>
          <t>PE26032601</t>
        </is>
      </c>
      <c r="J196" s="3" t="inlineStr">
        <is>
          <t>Module Diode Failure</t>
        </is>
      </c>
      <c r="K196" s="3" t="inlineStr">
        <is>
          <t>Sadla</t>
        </is>
      </c>
      <c r="L196" s="3" t="inlineStr">
        <is>
          <t>Gujarat</t>
        </is>
      </c>
      <c r="M196" s="9" t="inlineStr">
        <is>
          <t>PS</t>
        </is>
      </c>
      <c r="N196" s="3" t="inlineStr">
        <is>
          <t>Cold Soldering</t>
        </is>
      </c>
      <c r="O196" s="3" t="n">
        <v>570</v>
      </c>
      <c r="P196" s="9" t="inlineStr">
        <is>
          <t>NSMI24060083953</t>
        </is>
      </c>
      <c r="Q196" s="53">
        <f>MID(P196,5,2)</f>
        <v/>
      </c>
      <c r="R196" s="53">
        <f>MID(P196,7,2)</f>
        <v/>
      </c>
      <c r="S196" s="3" t="inlineStr">
        <is>
          <t>G2G</t>
        </is>
      </c>
      <c r="T196" s="3" t="inlineStr">
        <is>
          <t>P4</t>
        </is>
      </c>
      <c r="U196" s="3" t="inlineStr">
        <is>
          <t>P JB Cold Soldering</t>
        </is>
      </c>
      <c r="V196" s="3" t="inlineStr">
        <is>
          <t>Soldering</t>
        </is>
      </c>
      <c r="W196" s="3" t="inlineStr">
        <is>
          <t>Repair</t>
        </is>
      </c>
      <c r="X196" s="18" t="n">
        <v>46146</v>
      </c>
      <c r="Y196" s="73">
        <f>IF(X196="","",X196-A196)</f>
        <v/>
      </c>
      <c r="Z196" s="18" t="n">
        <v>46146</v>
      </c>
      <c r="AA196" s="15" t="n"/>
      <c r="AB196" s="15" t="n"/>
      <c r="AF196">
        <f>IF(AND($F196="Closed",$X196&gt;=DATE(2026,5,1),$X196&lt;=DATE(2026,5,31)),"Closed in May","Other")</f>
        <v/>
      </c>
    </row>
    <row r="197">
      <c r="A197" s="6" t="n">
        <v>46107</v>
      </c>
      <c r="B197" s="3" t="n">
        <v>2026</v>
      </c>
      <c r="C197" s="3" t="inlineStr">
        <is>
          <t>Blupine Energy</t>
        </is>
      </c>
      <c r="D197" s="3" t="inlineStr">
        <is>
          <t>Utility and C&amp;I</t>
        </is>
      </c>
      <c r="E197" s="3" t="n"/>
      <c r="F197" s="3" t="inlineStr">
        <is>
          <t>Closed</t>
        </is>
      </c>
      <c r="G197" s="3" t="inlineStr">
        <is>
          <t>Chandrashekar Patidar</t>
        </is>
      </c>
      <c r="H197" s="3" t="n">
        <v>7879764773</v>
      </c>
      <c r="I197" s="11" t="inlineStr">
        <is>
          <t>PE26032601</t>
        </is>
      </c>
      <c r="J197" s="3" t="inlineStr">
        <is>
          <t>Module Diode Failure</t>
        </is>
      </c>
      <c r="K197" s="3" t="inlineStr">
        <is>
          <t>Sadla</t>
        </is>
      </c>
      <c r="L197" s="3" t="inlineStr">
        <is>
          <t>Gujarat</t>
        </is>
      </c>
      <c r="M197" s="9" t="inlineStr">
        <is>
          <t>PS</t>
        </is>
      </c>
      <c r="N197" s="3" t="inlineStr">
        <is>
          <t>Cold Soldering</t>
        </is>
      </c>
      <c r="O197" s="3" t="n">
        <v>570</v>
      </c>
      <c r="P197" s="9" t="inlineStr">
        <is>
          <t>NSMI24060083962</t>
        </is>
      </c>
      <c r="Q197" s="53">
        <f>MID(P197,5,2)</f>
        <v/>
      </c>
      <c r="R197" s="53">
        <f>MID(P197,7,2)</f>
        <v/>
      </c>
      <c r="S197" s="3" t="inlineStr">
        <is>
          <t>G2G</t>
        </is>
      </c>
      <c r="T197" s="3" t="inlineStr">
        <is>
          <t>P4</t>
        </is>
      </c>
      <c r="U197" s="3" t="inlineStr">
        <is>
          <t>P JB Cold Soldering</t>
        </is>
      </c>
      <c r="V197" s="3" t="inlineStr">
        <is>
          <t>Soldering</t>
        </is>
      </c>
      <c r="W197" s="3" t="inlineStr">
        <is>
          <t>Repair</t>
        </is>
      </c>
      <c r="X197" s="18" t="n">
        <v>46146</v>
      </c>
      <c r="Y197" s="73">
        <f>IF(X197="","",X197-A197)</f>
        <v/>
      </c>
      <c r="Z197" s="18" t="n">
        <v>46146</v>
      </c>
      <c r="AA197" s="15" t="n"/>
      <c r="AB197" s="15" t="n"/>
      <c r="AF197">
        <f>IF(AND($F197="Closed",$X197&gt;=DATE(2026,5,1),$X197&lt;=DATE(2026,5,31)),"Closed in May","Other")</f>
        <v/>
      </c>
    </row>
    <row r="198">
      <c r="A198" s="6" t="n">
        <v>46107</v>
      </c>
      <c r="B198" s="3" t="n">
        <v>2026</v>
      </c>
      <c r="C198" s="3" t="inlineStr">
        <is>
          <t>Blupine Energy</t>
        </is>
      </c>
      <c r="D198" s="3" t="inlineStr">
        <is>
          <t>Utility and C&amp;I</t>
        </is>
      </c>
      <c r="E198" s="3" t="n"/>
      <c r="F198" s="3" t="inlineStr">
        <is>
          <t>Closed</t>
        </is>
      </c>
      <c r="G198" s="3" t="inlineStr">
        <is>
          <t>Chandrashekar Patidar</t>
        </is>
      </c>
      <c r="H198" s="3" t="n">
        <v>7879764773</v>
      </c>
      <c r="I198" s="11" t="inlineStr">
        <is>
          <t>PE26032601</t>
        </is>
      </c>
      <c r="J198" s="3" t="inlineStr">
        <is>
          <t>Module Diode Failure</t>
        </is>
      </c>
      <c r="K198" s="3" t="inlineStr">
        <is>
          <t>Sadla</t>
        </is>
      </c>
      <c r="L198" s="3" t="inlineStr">
        <is>
          <t>Gujarat</t>
        </is>
      </c>
      <c r="M198" s="9" t="inlineStr">
        <is>
          <t>PS</t>
        </is>
      </c>
      <c r="N198" s="3" t="inlineStr">
        <is>
          <t>Cold Soldering</t>
        </is>
      </c>
      <c r="O198" s="3" t="n">
        <v>570</v>
      </c>
      <c r="P198" s="9" t="inlineStr">
        <is>
          <t>NSMI24050057148</t>
        </is>
      </c>
      <c r="Q198" s="53">
        <f>MID(P198,5,2)</f>
        <v/>
      </c>
      <c r="R198" s="53">
        <f>MID(P198,7,2)</f>
        <v/>
      </c>
      <c r="S198" s="3" t="inlineStr">
        <is>
          <t>G2G</t>
        </is>
      </c>
      <c r="T198" s="3" t="inlineStr">
        <is>
          <t>P4</t>
        </is>
      </c>
      <c r="U198" s="3" t="inlineStr">
        <is>
          <t>P JB Cold Soldering</t>
        </is>
      </c>
      <c r="V198" s="3" t="inlineStr">
        <is>
          <t>Soldering</t>
        </is>
      </c>
      <c r="W198" s="3" t="inlineStr">
        <is>
          <t>Repair</t>
        </is>
      </c>
      <c r="X198" s="18" t="n">
        <v>46146</v>
      </c>
      <c r="Y198" s="73">
        <f>IF(X198="","",X198-A198)</f>
        <v/>
      </c>
      <c r="Z198" s="18" t="n">
        <v>46146</v>
      </c>
      <c r="AA198" s="15" t="n"/>
      <c r="AB198" s="15" t="n"/>
      <c r="AF198">
        <f>IF(AND($F198="Closed",$X198&gt;=DATE(2026,5,1),$X198&lt;=DATE(2026,5,31)),"Closed in May","Other")</f>
        <v/>
      </c>
    </row>
    <row r="199">
      <c r="A199" s="6" t="n">
        <v>46107</v>
      </c>
      <c r="B199" s="3" t="n">
        <v>2026</v>
      </c>
      <c r="C199" s="3" t="inlineStr">
        <is>
          <t>Blupine Energy</t>
        </is>
      </c>
      <c r="D199" s="3" t="inlineStr">
        <is>
          <t>Utility and C&amp;I</t>
        </is>
      </c>
      <c r="E199" s="3" t="n"/>
      <c r="F199" s="3" t="inlineStr">
        <is>
          <t>Closed</t>
        </is>
      </c>
      <c r="G199" s="3" t="inlineStr">
        <is>
          <t>Chandrashekar Patidar</t>
        </is>
      </c>
      <c r="H199" s="3" t="n">
        <v>7879764773</v>
      </c>
      <c r="I199" s="11" t="inlineStr">
        <is>
          <t>PE26032601</t>
        </is>
      </c>
      <c r="J199" s="3" t="inlineStr">
        <is>
          <t>Module Diode Failure</t>
        </is>
      </c>
      <c r="K199" s="3" t="inlineStr">
        <is>
          <t>Sadla</t>
        </is>
      </c>
      <c r="L199" s="3" t="inlineStr">
        <is>
          <t>Gujarat</t>
        </is>
      </c>
      <c r="M199" s="9" t="inlineStr">
        <is>
          <t>NR</t>
        </is>
      </c>
      <c r="N199" s="3" t="inlineStr">
        <is>
          <t>JB Issue</t>
        </is>
      </c>
      <c r="O199" s="3" t="n">
        <v>570</v>
      </c>
      <c r="P199" s="9" t="inlineStr">
        <is>
          <t>NSMI24050044296</t>
        </is>
      </c>
      <c r="Q199" s="53">
        <f>MID(P199,5,2)</f>
        <v/>
      </c>
      <c r="R199" s="53">
        <f>MID(P199,7,2)</f>
        <v/>
      </c>
      <c r="S199" s="3" t="inlineStr">
        <is>
          <t>G2G</t>
        </is>
      </c>
      <c r="T199" s="3" t="inlineStr">
        <is>
          <t>P4</t>
        </is>
      </c>
      <c r="U199" s="3" t="inlineStr">
        <is>
          <t>N JB Issue</t>
        </is>
      </c>
      <c r="V199" s="3" t="inlineStr">
        <is>
          <t>JB Changed</t>
        </is>
      </c>
      <c r="W199" s="3" t="inlineStr">
        <is>
          <t>Repair</t>
        </is>
      </c>
      <c r="X199" s="18" t="n">
        <v>46146</v>
      </c>
      <c r="Y199" s="73">
        <f>IF(X199="","",X199-A199)</f>
        <v/>
      </c>
      <c r="Z199" s="18" t="n">
        <v>46146</v>
      </c>
      <c r="AA199" s="15" t="n"/>
      <c r="AB199" s="15" t="n"/>
      <c r="AF199">
        <f>IF(AND($F199="Closed",$X199&gt;=DATE(2026,5,1),$X199&lt;=DATE(2026,5,31)),"Closed in May","Other")</f>
        <v/>
      </c>
    </row>
    <row r="200">
      <c r="A200" s="6" t="n">
        <v>46107</v>
      </c>
      <c r="B200" s="3" t="n">
        <v>2026</v>
      </c>
      <c r="C200" s="3" t="inlineStr">
        <is>
          <t>Blupine Energy</t>
        </is>
      </c>
      <c r="D200" s="3" t="inlineStr">
        <is>
          <t>Utility and C&amp;I</t>
        </is>
      </c>
      <c r="E200" s="3" t="n"/>
      <c r="F200" s="3" t="inlineStr">
        <is>
          <t>Closed</t>
        </is>
      </c>
      <c r="G200" s="3" t="inlineStr">
        <is>
          <t>Chandrashekar Patidar</t>
        </is>
      </c>
      <c r="H200" s="3" t="n">
        <v>7879764773</v>
      </c>
      <c r="I200" s="11" t="inlineStr">
        <is>
          <t>PE26032601</t>
        </is>
      </c>
      <c r="J200" s="3" t="inlineStr">
        <is>
          <t>Module Diode Failure</t>
        </is>
      </c>
      <c r="K200" s="3" t="inlineStr">
        <is>
          <t>Sadla</t>
        </is>
      </c>
      <c r="L200" s="3" t="inlineStr">
        <is>
          <t>Gujarat</t>
        </is>
      </c>
      <c r="M200" s="9" t="inlineStr">
        <is>
          <t>NS</t>
        </is>
      </c>
      <c r="N200" s="3" t="inlineStr">
        <is>
          <t>Cold Soldering</t>
        </is>
      </c>
      <c r="O200" s="3" t="n">
        <v>570</v>
      </c>
      <c r="P200" s="9" t="inlineStr">
        <is>
          <t>NSMI24060080093</t>
        </is>
      </c>
      <c r="Q200" s="53">
        <f>MID(P200,5,2)</f>
        <v/>
      </c>
      <c r="R200" s="53">
        <f>MID(P200,7,2)</f>
        <v/>
      </c>
      <c r="S200" s="3" t="inlineStr">
        <is>
          <t>G2G</t>
        </is>
      </c>
      <c r="T200" s="3" t="inlineStr">
        <is>
          <t>P4</t>
        </is>
      </c>
      <c r="U200" s="3" t="inlineStr">
        <is>
          <t>N JB Cold Soldering</t>
        </is>
      </c>
      <c r="V200" s="3" t="inlineStr">
        <is>
          <t>Soldering</t>
        </is>
      </c>
      <c r="W200" s="3" t="inlineStr">
        <is>
          <t>Repair</t>
        </is>
      </c>
      <c r="X200" s="18" t="n">
        <v>46146</v>
      </c>
      <c r="Y200" s="73">
        <f>IF(X200="","",X200-A200)</f>
        <v/>
      </c>
      <c r="Z200" s="18" t="n">
        <v>46146</v>
      </c>
      <c r="AA200" s="15" t="n"/>
      <c r="AB200" s="15" t="n"/>
      <c r="AF200">
        <f>IF(AND($F200="Closed",$X200&gt;=DATE(2026,5,1),$X200&lt;=DATE(2026,5,31)),"Closed in May","Other")</f>
        <v/>
      </c>
    </row>
    <row r="201">
      <c r="A201" s="6" t="n">
        <v>46107</v>
      </c>
      <c r="B201" s="3" t="n">
        <v>2026</v>
      </c>
      <c r="C201" s="3" t="inlineStr">
        <is>
          <t>Blupine Energy</t>
        </is>
      </c>
      <c r="D201" s="3" t="inlineStr">
        <is>
          <t>Utility and C&amp;I</t>
        </is>
      </c>
      <c r="E201" s="3" t="n"/>
      <c r="F201" s="3" t="inlineStr">
        <is>
          <t>Closed</t>
        </is>
      </c>
      <c r="G201" s="3" t="inlineStr">
        <is>
          <t>Chandrashekar Patidar</t>
        </is>
      </c>
      <c r="H201" s="3" t="n">
        <v>7879764773</v>
      </c>
      <c r="I201" s="11" t="inlineStr">
        <is>
          <t>PE26032601</t>
        </is>
      </c>
      <c r="J201" s="3" t="inlineStr">
        <is>
          <t>Module Diode Failure</t>
        </is>
      </c>
      <c r="K201" s="3" t="inlineStr">
        <is>
          <t>Sadla</t>
        </is>
      </c>
      <c r="L201" s="3" t="inlineStr">
        <is>
          <t>Gujarat</t>
        </is>
      </c>
      <c r="M201" s="9" t="inlineStr">
        <is>
          <t>PS</t>
        </is>
      </c>
      <c r="N201" s="3" t="inlineStr">
        <is>
          <t>Cold Soldering</t>
        </is>
      </c>
      <c r="O201" s="3" t="n">
        <v>570</v>
      </c>
      <c r="P201" s="9" t="inlineStr">
        <is>
          <t>NSMI24060082793</t>
        </is>
      </c>
      <c r="Q201" s="53">
        <f>MID(P201,5,2)</f>
        <v/>
      </c>
      <c r="R201" s="53">
        <f>MID(P201,7,2)</f>
        <v/>
      </c>
      <c r="S201" s="3" t="inlineStr">
        <is>
          <t>G2G</t>
        </is>
      </c>
      <c r="T201" s="3" t="inlineStr">
        <is>
          <t>P4</t>
        </is>
      </c>
      <c r="U201" s="3" t="inlineStr">
        <is>
          <t>P JB Cold Soldering</t>
        </is>
      </c>
      <c r="V201" s="3" t="inlineStr">
        <is>
          <t>Soldering</t>
        </is>
      </c>
      <c r="W201" s="3" t="inlineStr">
        <is>
          <t>Repair</t>
        </is>
      </c>
      <c r="X201" s="18" t="n">
        <v>46146</v>
      </c>
      <c r="Y201" s="73">
        <f>IF(X201="","",X201-A201)</f>
        <v/>
      </c>
      <c r="Z201" s="18" t="n">
        <v>46146</v>
      </c>
      <c r="AA201" s="15" t="n"/>
      <c r="AB201" s="15" t="n"/>
      <c r="AF201">
        <f>IF(AND($F201="Closed",$X201&gt;=DATE(2026,5,1),$X201&lt;=DATE(2026,5,31)),"Closed in May","Other")</f>
        <v/>
      </c>
    </row>
    <row r="202">
      <c r="A202" s="6" t="n">
        <v>46107</v>
      </c>
      <c r="B202" s="3" t="n">
        <v>2026</v>
      </c>
      <c r="C202" s="3" t="inlineStr">
        <is>
          <t>Blupine Energy</t>
        </is>
      </c>
      <c r="D202" s="3" t="inlineStr">
        <is>
          <t>Utility and C&amp;I</t>
        </is>
      </c>
      <c r="E202" s="3" t="n"/>
      <c r="F202" s="3" t="inlineStr">
        <is>
          <t>Closed</t>
        </is>
      </c>
      <c r="G202" s="3" t="inlineStr">
        <is>
          <t>Chandrashekar Patidar</t>
        </is>
      </c>
      <c r="H202" s="3" t="n">
        <v>7879764773</v>
      </c>
      <c r="I202" s="11" t="inlineStr">
        <is>
          <t>PE26032601</t>
        </is>
      </c>
      <c r="J202" s="3" t="inlineStr">
        <is>
          <t>Module Diode Failure</t>
        </is>
      </c>
      <c r="K202" s="3" t="inlineStr">
        <is>
          <t>Sadla</t>
        </is>
      </c>
      <c r="L202" s="3" t="inlineStr">
        <is>
          <t>Gujarat</t>
        </is>
      </c>
      <c r="M202" s="9" t="inlineStr">
        <is>
          <t>PS</t>
        </is>
      </c>
      <c r="N202" s="3" t="inlineStr">
        <is>
          <t>Cold Soldering</t>
        </is>
      </c>
      <c r="O202" s="3" t="n">
        <v>570</v>
      </c>
      <c r="P202" s="9" t="inlineStr">
        <is>
          <t>NSMI24050060839</t>
        </is>
      </c>
      <c r="Q202" s="53">
        <f>MID(P202,5,2)</f>
        <v/>
      </c>
      <c r="R202" s="53">
        <f>MID(P202,7,2)</f>
        <v/>
      </c>
      <c r="S202" s="3" t="inlineStr">
        <is>
          <t>G2G</t>
        </is>
      </c>
      <c r="T202" s="3" t="inlineStr">
        <is>
          <t>P4</t>
        </is>
      </c>
      <c r="U202" s="3" t="inlineStr">
        <is>
          <t>P JB Cold Soldering</t>
        </is>
      </c>
      <c r="V202" s="3" t="inlineStr">
        <is>
          <t>Soldering</t>
        </is>
      </c>
      <c r="W202" s="3" t="inlineStr">
        <is>
          <t>Repair</t>
        </is>
      </c>
      <c r="X202" s="18" t="n">
        <v>46146</v>
      </c>
      <c r="Y202" s="73">
        <f>IF(X202="","",X202-A202)</f>
        <v/>
      </c>
      <c r="Z202" s="18" t="n">
        <v>46146</v>
      </c>
      <c r="AA202" s="15" t="n"/>
      <c r="AB202" s="15" t="n"/>
      <c r="AF202">
        <f>IF(AND($F202="Closed",$X202&gt;=DATE(2026,5,1),$X202&lt;=DATE(2026,5,31)),"Closed in May","Other")</f>
        <v/>
      </c>
    </row>
    <row r="203">
      <c r="A203" s="6" t="n">
        <v>46107</v>
      </c>
      <c r="B203" s="3" t="n">
        <v>2026</v>
      </c>
      <c r="C203" s="3" t="inlineStr">
        <is>
          <t>Blupine Energy</t>
        </is>
      </c>
      <c r="D203" s="3" t="inlineStr">
        <is>
          <t>Utility and C&amp;I</t>
        </is>
      </c>
      <c r="E203" s="3" t="n"/>
      <c r="F203" s="3" t="inlineStr">
        <is>
          <t>Closed</t>
        </is>
      </c>
      <c r="G203" s="3" t="inlineStr">
        <is>
          <t>Chandrashekar Patidar</t>
        </is>
      </c>
      <c r="H203" s="3" t="n">
        <v>7879764773</v>
      </c>
      <c r="I203" s="11" t="inlineStr">
        <is>
          <t>PE26032601</t>
        </is>
      </c>
      <c r="J203" s="3" t="inlineStr">
        <is>
          <t>Module Diode Failure</t>
        </is>
      </c>
      <c r="K203" s="3" t="inlineStr">
        <is>
          <t>Sadla</t>
        </is>
      </c>
      <c r="L203" s="3" t="inlineStr">
        <is>
          <t>Gujarat</t>
        </is>
      </c>
      <c r="M203" s="9" t="inlineStr">
        <is>
          <t>Both Glass Broken</t>
        </is>
      </c>
      <c r="N203" s="3" t="inlineStr">
        <is>
          <t>Glass Breakage</t>
        </is>
      </c>
      <c r="O203" s="3" t="n">
        <v>570</v>
      </c>
      <c r="P203" s="9" t="inlineStr">
        <is>
          <t>NSMI24050064954</t>
        </is>
      </c>
      <c r="Q203" s="53">
        <f>MID(P203,5,2)</f>
        <v/>
      </c>
      <c r="R203" s="53">
        <f>MID(P203,7,2)</f>
        <v/>
      </c>
      <c r="S203" s="3" t="inlineStr">
        <is>
          <t>G2G</t>
        </is>
      </c>
      <c r="T203" s="3" t="inlineStr">
        <is>
          <t>P4</t>
        </is>
      </c>
      <c r="U203" s="3" t="inlineStr">
        <is>
          <t>Both Side Glass Breakage</t>
        </is>
      </c>
      <c r="V203" s="3" t="inlineStr">
        <is>
          <t>Inspection</t>
        </is>
      </c>
      <c r="W203" s="3" t="inlineStr">
        <is>
          <t>WIP</t>
        </is>
      </c>
      <c r="X203" s="18" t="n"/>
      <c r="Y203" s="73">
        <f>IF(X203="","",X203-A203)</f>
        <v/>
      </c>
      <c r="Z203" s="18" t="n">
        <v>46146</v>
      </c>
      <c r="AA203" s="15" t="n"/>
      <c r="AB203" s="15" t="n"/>
      <c r="AF203">
        <f>IF(AND($F203="Closed",$X203&gt;=DATE(2026,5,1),$X203&lt;=DATE(2026,5,31)),"Closed in May","Other")</f>
        <v/>
      </c>
    </row>
    <row r="204">
      <c r="A204" s="6" t="n">
        <v>46107</v>
      </c>
      <c r="B204" s="3" t="n">
        <v>2026</v>
      </c>
      <c r="C204" s="3" t="inlineStr">
        <is>
          <t>Blupine Energy</t>
        </is>
      </c>
      <c r="D204" s="3" t="inlineStr">
        <is>
          <t>Utility and C&amp;I</t>
        </is>
      </c>
      <c r="E204" s="3" t="n"/>
      <c r="F204" s="3" t="inlineStr">
        <is>
          <t>Closed</t>
        </is>
      </c>
      <c r="G204" s="3" t="inlineStr">
        <is>
          <t>Chandrashekar Patidar</t>
        </is>
      </c>
      <c r="H204" s="3" t="n">
        <v>7879764773</v>
      </c>
      <c r="I204" s="11" t="inlineStr">
        <is>
          <t>PE26032601</t>
        </is>
      </c>
      <c r="J204" s="3" t="inlineStr">
        <is>
          <t>Module Diode Failure</t>
        </is>
      </c>
      <c r="K204" s="3" t="inlineStr">
        <is>
          <t>Sadla</t>
        </is>
      </c>
      <c r="L204" s="3" t="inlineStr">
        <is>
          <t>Gujarat</t>
        </is>
      </c>
      <c r="M204" s="9" t="inlineStr">
        <is>
          <t>PR</t>
        </is>
      </c>
      <c r="N204" s="3" t="inlineStr">
        <is>
          <t>JB Issue</t>
        </is>
      </c>
      <c r="O204" s="3" t="n">
        <v>570</v>
      </c>
      <c r="P204" s="9" t="inlineStr">
        <is>
          <t>NSMI24050064599</t>
        </is>
      </c>
      <c r="Q204" s="53">
        <f>MID(P204,5,2)</f>
        <v/>
      </c>
      <c r="R204" s="53">
        <f>MID(P204,7,2)</f>
        <v/>
      </c>
      <c r="S204" s="3" t="inlineStr">
        <is>
          <t>G2G</t>
        </is>
      </c>
      <c r="T204" s="3" t="inlineStr">
        <is>
          <t>P4</t>
        </is>
      </c>
      <c r="U204" s="3" t="inlineStr">
        <is>
          <t>P JB Issue</t>
        </is>
      </c>
      <c r="V204" s="15" t="inlineStr">
        <is>
          <t>JB Changed</t>
        </is>
      </c>
      <c r="W204" s="3" t="inlineStr">
        <is>
          <t>Repair</t>
        </is>
      </c>
      <c r="X204" s="18" t="n">
        <v>46146</v>
      </c>
      <c r="Y204" s="73">
        <f>IF(X204="","",X204-A204)</f>
        <v/>
      </c>
      <c r="Z204" s="18" t="n">
        <v>46146</v>
      </c>
      <c r="AA204" s="15" t="n"/>
      <c r="AB204" s="15" t="n"/>
      <c r="AF204">
        <f>IF(AND($F204="Closed",$X204&gt;=DATE(2026,5,1),$X204&lt;=DATE(2026,5,31)),"Closed in May","Other")</f>
        <v/>
      </c>
    </row>
    <row r="205">
      <c r="A205" s="6" t="n">
        <v>46107</v>
      </c>
      <c r="B205" s="3" t="n">
        <v>2026</v>
      </c>
      <c r="C205" s="3" t="inlineStr">
        <is>
          <t>Blupine Energy</t>
        </is>
      </c>
      <c r="D205" s="3" t="inlineStr">
        <is>
          <t>Utility and C&amp;I</t>
        </is>
      </c>
      <c r="E205" s="3" t="n"/>
      <c r="F205" s="3" t="inlineStr">
        <is>
          <t>Closed</t>
        </is>
      </c>
      <c r="G205" s="3" t="inlineStr">
        <is>
          <t>Chandrashekar Patidar</t>
        </is>
      </c>
      <c r="H205" s="3" t="n">
        <v>7879764773</v>
      </c>
      <c r="I205" s="11" t="inlineStr">
        <is>
          <t>PE26032601</t>
        </is>
      </c>
      <c r="J205" s="3" t="inlineStr">
        <is>
          <t>Module Diode Failure</t>
        </is>
      </c>
      <c r="K205" s="3" t="inlineStr">
        <is>
          <t>Sadla</t>
        </is>
      </c>
      <c r="L205" s="3" t="inlineStr">
        <is>
          <t>Gujarat</t>
        </is>
      </c>
      <c r="M205" s="9" t="inlineStr">
        <is>
          <t>NS</t>
        </is>
      </c>
      <c r="N205" s="3" t="inlineStr">
        <is>
          <t>Cold Soldering</t>
        </is>
      </c>
      <c r="O205" s="3" t="n">
        <v>570</v>
      </c>
      <c r="P205" s="9" t="inlineStr">
        <is>
          <t>NSMI24050057589</t>
        </is>
      </c>
      <c r="Q205" s="53">
        <f>MID(P205,5,2)</f>
        <v/>
      </c>
      <c r="R205" s="53">
        <f>MID(P205,7,2)</f>
        <v/>
      </c>
      <c r="S205" s="3" t="inlineStr">
        <is>
          <t>G2G</t>
        </is>
      </c>
      <c r="T205" s="3" t="inlineStr">
        <is>
          <t>P4</t>
        </is>
      </c>
      <c r="U205" s="3" t="inlineStr">
        <is>
          <t>N JB Cold Soldering</t>
        </is>
      </c>
      <c r="V205" s="3" t="inlineStr">
        <is>
          <t>Soldering</t>
        </is>
      </c>
      <c r="W205" s="3" t="inlineStr">
        <is>
          <t>Repair</t>
        </is>
      </c>
      <c r="X205" s="18" t="n">
        <v>46146</v>
      </c>
      <c r="Y205" s="73">
        <f>IF(X205="","",X205-A205)</f>
        <v/>
      </c>
      <c r="Z205" s="18" t="n">
        <v>46146</v>
      </c>
      <c r="AA205" s="15" t="n"/>
      <c r="AB205" s="15" t="n"/>
      <c r="AF205">
        <f>IF(AND($F205="Closed",$X205&gt;=DATE(2026,5,1),$X205&lt;=DATE(2026,5,31)),"Closed in May","Other")</f>
        <v/>
      </c>
    </row>
    <row r="206">
      <c r="A206" s="6" t="n">
        <v>46107</v>
      </c>
      <c r="B206" s="3" t="n">
        <v>2026</v>
      </c>
      <c r="C206" s="3" t="inlineStr">
        <is>
          <t>Blupine Energy</t>
        </is>
      </c>
      <c r="D206" s="3" t="inlineStr">
        <is>
          <t>Utility and C&amp;I</t>
        </is>
      </c>
      <c r="E206" s="3" t="n"/>
      <c r="F206" s="3" t="inlineStr">
        <is>
          <t>Closed</t>
        </is>
      </c>
      <c r="G206" s="3" t="inlineStr">
        <is>
          <t>Chandrashekar Patidar</t>
        </is>
      </c>
      <c r="H206" s="3" t="n">
        <v>7879764773</v>
      </c>
      <c r="I206" s="11" t="inlineStr">
        <is>
          <t>PE26032601</t>
        </is>
      </c>
      <c r="J206" s="3" t="inlineStr">
        <is>
          <t>Module Diode Failure</t>
        </is>
      </c>
      <c r="K206" s="3" t="inlineStr">
        <is>
          <t>Sadla</t>
        </is>
      </c>
      <c r="L206" s="3" t="inlineStr">
        <is>
          <t>Gujarat</t>
        </is>
      </c>
      <c r="M206" s="9" t="inlineStr">
        <is>
          <t>NS</t>
        </is>
      </c>
      <c r="N206" s="3" t="inlineStr">
        <is>
          <t>Cold Soldering</t>
        </is>
      </c>
      <c r="O206" s="3" t="n">
        <v>570</v>
      </c>
      <c r="P206" s="9" t="inlineStr">
        <is>
          <t>NSMI24050057259</t>
        </is>
      </c>
      <c r="Q206" s="53">
        <f>MID(P206,5,2)</f>
        <v/>
      </c>
      <c r="R206" s="53">
        <f>MID(P206,7,2)</f>
        <v/>
      </c>
      <c r="S206" s="3" t="inlineStr">
        <is>
          <t>G2G</t>
        </is>
      </c>
      <c r="T206" s="3" t="inlineStr">
        <is>
          <t>P4</t>
        </is>
      </c>
      <c r="U206" s="3" t="inlineStr">
        <is>
          <t>N JB Cold Soldering</t>
        </is>
      </c>
      <c r="V206" s="3" t="inlineStr">
        <is>
          <t>Soldering</t>
        </is>
      </c>
      <c r="W206" s="3" t="inlineStr">
        <is>
          <t>Repair</t>
        </is>
      </c>
      <c r="X206" s="18" t="n">
        <v>46146</v>
      </c>
      <c r="Y206" s="73">
        <f>IF(X206="","",X206-A206)</f>
        <v/>
      </c>
      <c r="Z206" s="18" t="n">
        <v>46146</v>
      </c>
      <c r="AA206" s="15" t="n"/>
      <c r="AB206" s="15" t="n"/>
      <c r="AF206">
        <f>IF(AND($F206="Closed",$X206&gt;=DATE(2026,5,1),$X206&lt;=DATE(2026,5,31)),"Closed in May","Other")</f>
        <v/>
      </c>
    </row>
    <row r="207">
      <c r="A207" s="6" t="n">
        <v>46107</v>
      </c>
      <c r="B207" s="3" t="n">
        <v>2026</v>
      </c>
      <c r="C207" s="3" t="inlineStr">
        <is>
          <t>Blupine Energy</t>
        </is>
      </c>
      <c r="D207" s="3" t="inlineStr">
        <is>
          <t>Utility and C&amp;I</t>
        </is>
      </c>
      <c r="E207" s="3" t="n"/>
      <c r="F207" s="3" t="inlineStr">
        <is>
          <t>Closed</t>
        </is>
      </c>
      <c r="G207" s="3" t="inlineStr">
        <is>
          <t>Chandrashekar Patidar</t>
        </is>
      </c>
      <c r="H207" s="3" t="n">
        <v>7879764773</v>
      </c>
      <c r="I207" s="11" t="inlineStr">
        <is>
          <t>PE26032601</t>
        </is>
      </c>
      <c r="J207" s="3" t="inlineStr">
        <is>
          <t>Module Diode Failure</t>
        </is>
      </c>
      <c r="K207" s="3" t="inlineStr">
        <is>
          <t>Sadla</t>
        </is>
      </c>
      <c r="L207" s="3" t="inlineStr">
        <is>
          <t>Gujarat</t>
        </is>
      </c>
      <c r="M207" s="9" t="inlineStr">
        <is>
          <t>Glass Broken &amp; Burn Spot</t>
        </is>
      </c>
      <c r="N207" s="3" t="inlineStr">
        <is>
          <t>Glass Breakage</t>
        </is>
      </c>
      <c r="O207" s="3" t="n">
        <v>570</v>
      </c>
      <c r="P207" s="9" t="inlineStr">
        <is>
          <t>NSMI24050053859</t>
        </is>
      </c>
      <c r="Q207" s="53">
        <f>MID(P207,5,2)</f>
        <v/>
      </c>
      <c r="R207" s="53">
        <f>MID(P207,7,2)</f>
        <v/>
      </c>
      <c r="S207" s="3" t="inlineStr">
        <is>
          <t>G2G</t>
        </is>
      </c>
      <c r="T207" s="3" t="inlineStr">
        <is>
          <t>P4</t>
        </is>
      </c>
      <c r="U207" s="9" t="inlineStr">
        <is>
          <t>Glass Breakage &amp; Burn Spot</t>
        </is>
      </c>
      <c r="V207" s="3" t="inlineStr">
        <is>
          <t>Inspection</t>
        </is>
      </c>
      <c r="W207" s="3" t="inlineStr">
        <is>
          <t>WIP</t>
        </is>
      </c>
      <c r="X207" s="18" t="n"/>
      <c r="Y207" s="73">
        <f>IF(X207="","",X207-A207)</f>
        <v/>
      </c>
      <c r="Z207" s="18" t="n">
        <v>46146</v>
      </c>
      <c r="AA207" s="15" t="n"/>
      <c r="AB207" s="15" t="n"/>
      <c r="AF207">
        <f>IF(AND($F207="Closed",$X207&gt;=DATE(2026,5,1),$X207&lt;=DATE(2026,5,31)),"Closed in May","Other")</f>
        <v/>
      </c>
    </row>
    <row r="208">
      <c r="A208" s="6" t="n">
        <v>46107</v>
      </c>
      <c r="B208" s="3" t="n">
        <v>2026</v>
      </c>
      <c r="C208" s="3" t="inlineStr">
        <is>
          <t>Blupine Energy</t>
        </is>
      </c>
      <c r="D208" s="3" t="inlineStr">
        <is>
          <t>Utility and C&amp;I</t>
        </is>
      </c>
      <c r="E208" s="3" t="n"/>
      <c r="F208" s="3" t="inlineStr">
        <is>
          <t>Closed</t>
        </is>
      </c>
      <c r="G208" s="3" t="inlineStr">
        <is>
          <t>Chandrashekar Patidar</t>
        </is>
      </c>
      <c r="H208" s="3" t="n">
        <v>7879764773</v>
      </c>
      <c r="I208" s="11" t="inlineStr">
        <is>
          <t>PE26032601</t>
        </is>
      </c>
      <c r="J208" s="3" t="inlineStr">
        <is>
          <t>Module Diode Failure</t>
        </is>
      </c>
      <c r="K208" s="3" t="inlineStr">
        <is>
          <t>Sadla</t>
        </is>
      </c>
      <c r="L208" s="3" t="inlineStr">
        <is>
          <t>Gujarat</t>
        </is>
      </c>
      <c r="M208" s="9" t="inlineStr">
        <is>
          <t>NS</t>
        </is>
      </c>
      <c r="N208" s="3" t="inlineStr">
        <is>
          <t>Cold Soldering</t>
        </is>
      </c>
      <c r="O208" s="3" t="n">
        <v>570</v>
      </c>
      <c r="P208" s="9" t="inlineStr">
        <is>
          <t>NSMI24050063310</t>
        </is>
      </c>
      <c r="Q208" s="53">
        <f>MID(P208,5,2)</f>
        <v/>
      </c>
      <c r="R208" s="53">
        <f>MID(P208,7,2)</f>
        <v/>
      </c>
      <c r="S208" s="3" t="inlineStr">
        <is>
          <t>G2G</t>
        </is>
      </c>
      <c r="T208" s="3" t="inlineStr">
        <is>
          <t>P4</t>
        </is>
      </c>
      <c r="U208" s="9" t="inlineStr">
        <is>
          <t>N JB Cold Soldering</t>
        </is>
      </c>
      <c r="V208" s="3" t="inlineStr">
        <is>
          <t>Soldering</t>
        </is>
      </c>
      <c r="W208" s="3" t="inlineStr">
        <is>
          <t>Repair</t>
        </is>
      </c>
      <c r="X208" s="18" t="n">
        <v>46146</v>
      </c>
      <c r="Y208" s="73">
        <f>IF(X208="","",X208-A208)</f>
        <v/>
      </c>
      <c r="Z208" s="18" t="n">
        <v>46146</v>
      </c>
      <c r="AA208" s="15" t="n"/>
      <c r="AB208" s="15" t="n"/>
      <c r="AF208">
        <f>IF(AND($F208="Closed",$X208&gt;=DATE(2026,5,1),$X208&lt;=DATE(2026,5,31)),"Closed in May","Other")</f>
        <v/>
      </c>
    </row>
    <row r="209">
      <c r="A209" s="6" t="n">
        <v>46107</v>
      </c>
      <c r="B209" s="3" t="n">
        <v>2026</v>
      </c>
      <c r="C209" s="3" t="inlineStr">
        <is>
          <t>Blupine Energy</t>
        </is>
      </c>
      <c r="D209" s="3" t="inlineStr">
        <is>
          <t>Utility and C&amp;I</t>
        </is>
      </c>
      <c r="E209" s="3" t="n"/>
      <c r="F209" s="3" t="inlineStr">
        <is>
          <t>Closed</t>
        </is>
      </c>
      <c r="G209" s="3" t="inlineStr">
        <is>
          <t>Chandrashekar Patidar</t>
        </is>
      </c>
      <c r="H209" s="3" t="n">
        <v>7879764773</v>
      </c>
      <c r="I209" s="11" t="inlineStr">
        <is>
          <t>PE26032601</t>
        </is>
      </c>
      <c r="J209" s="3" t="inlineStr">
        <is>
          <t>Module Diode Failure</t>
        </is>
      </c>
      <c r="K209" s="3" t="inlineStr">
        <is>
          <t>Sadla</t>
        </is>
      </c>
      <c r="L209" s="3" t="inlineStr">
        <is>
          <t>Gujarat</t>
        </is>
      </c>
      <c r="M209" s="9" t="inlineStr">
        <is>
          <t>PS</t>
        </is>
      </c>
      <c r="N209" s="3" t="inlineStr">
        <is>
          <t>Cold Soldering</t>
        </is>
      </c>
      <c r="O209" s="3" t="n">
        <v>570</v>
      </c>
      <c r="P209" s="9" t="inlineStr">
        <is>
          <t>NSMI24050057514</t>
        </is>
      </c>
      <c r="Q209" s="53">
        <f>MID(P209,5,2)</f>
        <v/>
      </c>
      <c r="R209" s="53">
        <f>MID(P209,7,2)</f>
        <v/>
      </c>
      <c r="S209" s="3" t="inlineStr">
        <is>
          <t>G2G</t>
        </is>
      </c>
      <c r="T209" s="3" t="inlineStr">
        <is>
          <t>P4</t>
        </is>
      </c>
      <c r="U209" s="3" t="inlineStr">
        <is>
          <t>P JB Cold Soldering</t>
        </is>
      </c>
      <c r="V209" s="3" t="inlineStr">
        <is>
          <t>Soldering</t>
        </is>
      </c>
      <c r="W209" s="3" t="inlineStr">
        <is>
          <t>Repair</t>
        </is>
      </c>
      <c r="X209" s="18" t="n">
        <v>46146</v>
      </c>
      <c r="Y209" s="73">
        <f>IF(X209="","",X209-A209)</f>
        <v/>
      </c>
      <c r="Z209" s="18" t="n">
        <v>46146</v>
      </c>
      <c r="AA209" s="15" t="n"/>
      <c r="AB209" s="15" t="n"/>
      <c r="AF209">
        <f>IF(AND($F209="Closed",$X209&gt;=DATE(2026,5,1),$X209&lt;=DATE(2026,5,31)),"Closed in May","Other")</f>
        <v/>
      </c>
    </row>
    <row r="210">
      <c r="A210" s="6" t="n">
        <v>46107</v>
      </c>
      <c r="B210" s="3" t="n">
        <v>2026</v>
      </c>
      <c r="C210" s="3" t="inlineStr">
        <is>
          <t>Blupine Energy</t>
        </is>
      </c>
      <c r="D210" s="3" t="inlineStr">
        <is>
          <t>Utility and C&amp;I</t>
        </is>
      </c>
      <c r="E210" s="3" t="n"/>
      <c r="F210" s="3" t="inlineStr">
        <is>
          <t>Closed</t>
        </is>
      </c>
      <c r="G210" s="3" t="inlineStr">
        <is>
          <t>Chandrashekar Patidar</t>
        </is>
      </c>
      <c r="H210" s="3" t="n">
        <v>7879764773</v>
      </c>
      <c r="I210" s="11" t="inlineStr">
        <is>
          <t>PE26032601</t>
        </is>
      </c>
      <c r="J210" s="3" t="inlineStr">
        <is>
          <t>Module Diode Failure</t>
        </is>
      </c>
      <c r="K210" s="3" t="inlineStr">
        <is>
          <t>Sadla</t>
        </is>
      </c>
      <c r="L210" s="3" t="inlineStr">
        <is>
          <t>Gujarat</t>
        </is>
      </c>
      <c r="M210" s="9" t="inlineStr">
        <is>
          <t>Ok</t>
        </is>
      </c>
      <c r="N210" s="3" t="inlineStr">
        <is>
          <t>No Issue</t>
        </is>
      </c>
      <c r="O210" s="3" t="n">
        <v>570</v>
      </c>
      <c r="P210" s="9" t="inlineStr">
        <is>
          <t>NSMI24050053698</t>
        </is>
      </c>
      <c r="Q210" s="53">
        <f>MID(P210,5,2)</f>
        <v/>
      </c>
      <c r="R210" s="53">
        <f>MID(P210,7,2)</f>
        <v/>
      </c>
      <c r="S210" s="3" t="inlineStr">
        <is>
          <t>G2G</t>
        </is>
      </c>
      <c r="T210" s="3" t="inlineStr">
        <is>
          <t>P4</t>
        </is>
      </c>
      <c r="U210" s="19" t="inlineStr">
        <is>
          <t>No Issue Found</t>
        </is>
      </c>
      <c r="V210" s="19" t="inlineStr">
        <is>
          <t>Found OK</t>
        </is>
      </c>
      <c r="W210" s="19" t="inlineStr">
        <is>
          <t>Repair</t>
        </is>
      </c>
      <c r="X210" s="18" t="n">
        <v>46146</v>
      </c>
      <c r="Y210" s="73">
        <f>IF(X210="","",X210-A210)</f>
        <v/>
      </c>
      <c r="Z210" s="18" t="n">
        <v>46146</v>
      </c>
      <c r="AA210" s="15" t="n"/>
      <c r="AB210" s="15" t="n"/>
      <c r="AF210">
        <f>IF(AND($F210="Closed",$X210&gt;=DATE(2026,5,1),$X210&lt;=DATE(2026,5,31)),"Closed in May","Other")</f>
        <v/>
      </c>
    </row>
    <row r="211">
      <c r="A211" s="6" t="n">
        <v>46107</v>
      </c>
      <c r="B211" s="3" t="n">
        <v>2026</v>
      </c>
      <c r="C211" s="3" t="inlineStr">
        <is>
          <t>Blupine Energy</t>
        </is>
      </c>
      <c r="D211" s="3" t="inlineStr">
        <is>
          <t>Utility and C&amp;I</t>
        </is>
      </c>
      <c r="E211" s="3" t="n"/>
      <c r="F211" s="3" t="inlineStr">
        <is>
          <t>Closed</t>
        </is>
      </c>
      <c r="G211" s="3" t="inlineStr">
        <is>
          <t>Chandrashekar Patidar</t>
        </is>
      </c>
      <c r="H211" s="3" t="n">
        <v>7879764773</v>
      </c>
      <c r="I211" s="11" t="inlineStr">
        <is>
          <t>PE26032601</t>
        </is>
      </c>
      <c r="J211" s="3" t="inlineStr">
        <is>
          <t>Module Diode Failure</t>
        </is>
      </c>
      <c r="K211" s="3" t="inlineStr">
        <is>
          <t>Sadla</t>
        </is>
      </c>
      <c r="L211" s="3" t="inlineStr">
        <is>
          <t>Gujarat</t>
        </is>
      </c>
      <c r="M211" s="9" t="inlineStr">
        <is>
          <t>NS</t>
        </is>
      </c>
      <c r="N211" s="3" t="inlineStr">
        <is>
          <t>Cold Soldering</t>
        </is>
      </c>
      <c r="O211" s="3" t="n">
        <v>570</v>
      </c>
      <c r="P211" s="9" t="inlineStr">
        <is>
          <t>NSMI24050061694</t>
        </is>
      </c>
      <c r="Q211" s="53">
        <f>MID(P211,5,2)</f>
        <v/>
      </c>
      <c r="R211" s="53">
        <f>MID(P211,7,2)</f>
        <v/>
      </c>
      <c r="S211" s="3" t="inlineStr">
        <is>
          <t>G2G</t>
        </is>
      </c>
      <c r="T211" s="3" t="inlineStr">
        <is>
          <t>P4</t>
        </is>
      </c>
      <c r="U211" s="3" t="inlineStr">
        <is>
          <t>N JB Cold Soldering</t>
        </is>
      </c>
      <c r="V211" s="3" t="inlineStr">
        <is>
          <t>Soldering</t>
        </is>
      </c>
      <c r="W211" s="3" t="inlineStr">
        <is>
          <t>Repair</t>
        </is>
      </c>
      <c r="X211" s="18" t="n">
        <v>46146</v>
      </c>
      <c r="Y211" s="73">
        <f>IF(X211="","",X211-A211)</f>
        <v/>
      </c>
      <c r="Z211" s="18" t="n">
        <v>46146</v>
      </c>
      <c r="AA211" s="15" t="n"/>
      <c r="AB211" s="15" t="n"/>
      <c r="AF211">
        <f>IF(AND($F211="Closed",$X211&gt;=DATE(2026,5,1),$X211&lt;=DATE(2026,5,31)),"Closed in May","Other")</f>
        <v/>
      </c>
    </row>
    <row r="212">
      <c r="A212" s="6" t="n">
        <v>46107</v>
      </c>
      <c r="B212" s="3" t="n">
        <v>2026</v>
      </c>
      <c r="C212" s="3" t="inlineStr">
        <is>
          <t>Blupine Energy</t>
        </is>
      </c>
      <c r="D212" s="3" t="inlineStr">
        <is>
          <t>Utility and C&amp;I</t>
        </is>
      </c>
      <c r="E212" s="3" t="n"/>
      <c r="F212" s="3" t="inlineStr">
        <is>
          <t>Closed</t>
        </is>
      </c>
      <c r="G212" s="3" t="inlineStr">
        <is>
          <t>Chandrashekar Patidar</t>
        </is>
      </c>
      <c r="H212" s="3" t="n">
        <v>7879764773</v>
      </c>
      <c r="I212" s="11" t="inlineStr">
        <is>
          <t>PE26032601</t>
        </is>
      </c>
      <c r="J212" s="3" t="inlineStr">
        <is>
          <t>Module Diode Failure</t>
        </is>
      </c>
      <c r="K212" s="3" t="inlineStr">
        <is>
          <t>Sadla</t>
        </is>
      </c>
      <c r="L212" s="3" t="inlineStr">
        <is>
          <t>Gujarat</t>
        </is>
      </c>
      <c r="M212" s="9" t="inlineStr">
        <is>
          <t>Glass Broken &amp; Burn Spot</t>
        </is>
      </c>
      <c r="N212" s="3" t="inlineStr">
        <is>
          <t>Glass Breakage</t>
        </is>
      </c>
      <c r="O212" s="3" t="n">
        <v>570</v>
      </c>
      <c r="P212" s="9" t="inlineStr">
        <is>
          <t>NSMI24050065938</t>
        </is>
      </c>
      <c r="Q212" s="53">
        <f>MID(P212,5,2)</f>
        <v/>
      </c>
      <c r="R212" s="53">
        <f>MID(P212,7,2)</f>
        <v/>
      </c>
      <c r="S212" s="3" t="inlineStr">
        <is>
          <t>G2G</t>
        </is>
      </c>
      <c r="T212" s="3" t="inlineStr">
        <is>
          <t>P4</t>
        </is>
      </c>
      <c r="U212" s="9" t="inlineStr">
        <is>
          <t>Glass Breakage &amp; Burn Spot</t>
        </is>
      </c>
      <c r="V212" s="3" t="inlineStr">
        <is>
          <t>Inspection</t>
        </is>
      </c>
      <c r="W212" s="3" t="inlineStr">
        <is>
          <t>WIP</t>
        </is>
      </c>
      <c r="X212" s="18" t="n"/>
      <c r="Y212" s="73">
        <f>IF(X212="","",X212-A212)</f>
        <v/>
      </c>
      <c r="Z212" s="18" t="n">
        <v>46146</v>
      </c>
      <c r="AA212" s="15" t="n"/>
      <c r="AB212" s="15" t="n"/>
      <c r="AF212">
        <f>IF(AND($F212="Closed",$X212&gt;=DATE(2026,5,1),$X212&lt;=DATE(2026,5,31)),"Closed in May","Other")</f>
        <v/>
      </c>
    </row>
    <row r="213">
      <c r="A213" s="6" t="n">
        <v>46107</v>
      </c>
      <c r="B213" s="3" t="n">
        <v>2026</v>
      </c>
      <c r="C213" s="3" t="inlineStr">
        <is>
          <t>Blupine Energy</t>
        </is>
      </c>
      <c r="D213" s="3" t="inlineStr">
        <is>
          <t>Utility and C&amp;I</t>
        </is>
      </c>
      <c r="E213" s="3" t="n"/>
      <c r="F213" s="3" t="inlineStr">
        <is>
          <t>Closed</t>
        </is>
      </c>
      <c r="G213" s="3" t="inlineStr">
        <is>
          <t>Chandrashekar Patidar</t>
        </is>
      </c>
      <c r="H213" s="3" t="n">
        <v>7879764773</v>
      </c>
      <c r="I213" s="11" t="inlineStr">
        <is>
          <t>PE26032601</t>
        </is>
      </c>
      <c r="J213" s="3" t="inlineStr">
        <is>
          <t>Module Diode Failure</t>
        </is>
      </c>
      <c r="K213" s="3" t="inlineStr">
        <is>
          <t>Sadla</t>
        </is>
      </c>
      <c r="L213" s="3" t="inlineStr">
        <is>
          <t>Gujarat</t>
        </is>
      </c>
      <c r="M213" s="9" t="inlineStr">
        <is>
          <t>NS</t>
        </is>
      </c>
      <c r="N213" s="3" t="inlineStr">
        <is>
          <t>Cold Soldering</t>
        </is>
      </c>
      <c r="O213" s="3" t="n">
        <v>570</v>
      </c>
      <c r="P213" s="9" t="inlineStr">
        <is>
          <t>NSMI24050066111</t>
        </is>
      </c>
      <c r="Q213" s="53">
        <f>MID(P213,5,2)</f>
        <v/>
      </c>
      <c r="R213" s="53">
        <f>MID(P213,7,2)</f>
        <v/>
      </c>
      <c r="S213" s="3" t="inlineStr">
        <is>
          <t>G2G</t>
        </is>
      </c>
      <c r="T213" s="3" t="inlineStr">
        <is>
          <t>P4</t>
        </is>
      </c>
      <c r="U213" s="3" t="inlineStr">
        <is>
          <t>N JB Cold Soldering</t>
        </is>
      </c>
      <c r="V213" s="3" t="inlineStr">
        <is>
          <t>Soldering</t>
        </is>
      </c>
      <c r="W213" s="3" t="inlineStr">
        <is>
          <t>Repair</t>
        </is>
      </c>
      <c r="X213" s="18" t="n">
        <v>46146</v>
      </c>
      <c r="Y213" s="73">
        <f>IF(X213="","",X213-A213)</f>
        <v/>
      </c>
      <c r="Z213" s="18" t="n">
        <v>46146</v>
      </c>
      <c r="AA213" s="15" t="n"/>
      <c r="AB213" s="15" t="n"/>
      <c r="AF213">
        <f>IF(AND($F213="Closed",$X213&gt;=DATE(2026,5,1),$X213&lt;=DATE(2026,5,31)),"Closed in May","Other")</f>
        <v/>
      </c>
    </row>
    <row r="214">
      <c r="A214" s="6" t="n">
        <v>46107</v>
      </c>
      <c r="B214" s="3" t="n">
        <v>2026</v>
      </c>
      <c r="C214" s="3" t="inlineStr">
        <is>
          <t>Blupine Energy</t>
        </is>
      </c>
      <c r="D214" s="3" t="inlineStr">
        <is>
          <t>Utility and C&amp;I</t>
        </is>
      </c>
      <c r="E214" s="3" t="n"/>
      <c r="F214" s="3" t="inlineStr">
        <is>
          <t>Closed</t>
        </is>
      </c>
      <c r="G214" s="3" t="inlineStr">
        <is>
          <t>Chandrashekar Patidar</t>
        </is>
      </c>
      <c r="H214" s="3" t="n">
        <v>7879764773</v>
      </c>
      <c r="I214" s="11" t="inlineStr">
        <is>
          <t>PE26032601</t>
        </is>
      </c>
      <c r="J214" s="3" t="inlineStr">
        <is>
          <t>Module Diode Failure</t>
        </is>
      </c>
      <c r="K214" s="3" t="inlineStr">
        <is>
          <t>Sadla</t>
        </is>
      </c>
      <c r="L214" s="3" t="inlineStr">
        <is>
          <t>Gujarat</t>
        </is>
      </c>
      <c r="M214" s="9" t="inlineStr">
        <is>
          <t>NS</t>
        </is>
      </c>
      <c r="N214" s="3" t="inlineStr">
        <is>
          <t>Cold Soldering</t>
        </is>
      </c>
      <c r="O214" s="3" t="n">
        <v>570</v>
      </c>
      <c r="P214" s="9" t="inlineStr">
        <is>
          <t>NSMI24060078566</t>
        </is>
      </c>
      <c r="Q214" s="53">
        <f>MID(P214,5,2)</f>
        <v/>
      </c>
      <c r="R214" s="53">
        <f>MID(P214,7,2)</f>
        <v/>
      </c>
      <c r="S214" s="3" t="inlineStr">
        <is>
          <t>G2G</t>
        </is>
      </c>
      <c r="T214" s="3" t="inlineStr">
        <is>
          <t>P4</t>
        </is>
      </c>
      <c r="U214" s="3" t="inlineStr">
        <is>
          <t>N JB Cold Soldering</t>
        </is>
      </c>
      <c r="V214" s="3" t="inlineStr">
        <is>
          <t>Soldering</t>
        </is>
      </c>
      <c r="W214" s="3" t="inlineStr">
        <is>
          <t>Repair</t>
        </is>
      </c>
      <c r="X214" s="18" t="n">
        <v>46146</v>
      </c>
      <c r="Y214" s="73">
        <f>IF(X214="","",X214-A214)</f>
        <v/>
      </c>
      <c r="Z214" s="18" t="n">
        <v>46146</v>
      </c>
      <c r="AA214" s="15" t="n"/>
      <c r="AB214" s="15" t="n"/>
      <c r="AF214">
        <f>IF(AND($F214="Closed",$X214&gt;=DATE(2026,5,1),$X214&lt;=DATE(2026,5,31)),"Closed in May","Other")</f>
        <v/>
      </c>
    </row>
    <row r="215">
      <c r="A215" s="6" t="n">
        <v>46107</v>
      </c>
      <c r="B215" s="3" t="n">
        <v>2026</v>
      </c>
      <c r="C215" s="3" t="inlineStr">
        <is>
          <t>Blupine Energy</t>
        </is>
      </c>
      <c r="D215" s="3" t="inlineStr">
        <is>
          <t>Utility and C&amp;I</t>
        </is>
      </c>
      <c r="E215" s="3" t="n"/>
      <c r="F215" s="3" t="inlineStr">
        <is>
          <t>Closed</t>
        </is>
      </c>
      <c r="G215" s="3" t="inlineStr">
        <is>
          <t>Chandrashekar Patidar</t>
        </is>
      </c>
      <c r="H215" s="3" t="n">
        <v>7879764773</v>
      </c>
      <c r="I215" s="11" t="inlineStr">
        <is>
          <t>PE26032601</t>
        </is>
      </c>
      <c r="J215" s="3" t="inlineStr">
        <is>
          <t>Module Diode Failure</t>
        </is>
      </c>
      <c r="K215" s="3" t="inlineStr">
        <is>
          <t>Sadla</t>
        </is>
      </c>
      <c r="L215" s="3" t="inlineStr">
        <is>
          <t>Gujarat</t>
        </is>
      </c>
      <c r="M215" s="9" t="inlineStr">
        <is>
          <t>PS</t>
        </is>
      </c>
      <c r="N215" s="3" t="inlineStr">
        <is>
          <t>Cold Soldering</t>
        </is>
      </c>
      <c r="O215" s="3" t="n">
        <v>570</v>
      </c>
      <c r="P215" s="9" t="inlineStr">
        <is>
          <t>NSMI24060085543</t>
        </is>
      </c>
      <c r="Q215" s="53">
        <f>MID(P215,5,2)</f>
        <v/>
      </c>
      <c r="R215" s="53">
        <f>MID(P215,7,2)</f>
        <v/>
      </c>
      <c r="S215" s="3" t="inlineStr">
        <is>
          <t>G2G</t>
        </is>
      </c>
      <c r="T215" s="3" t="inlineStr">
        <is>
          <t>P4</t>
        </is>
      </c>
      <c r="U215" s="3" t="inlineStr">
        <is>
          <t>P JB Cold Soldering</t>
        </is>
      </c>
      <c r="V215" s="3" t="inlineStr">
        <is>
          <t>Soldering</t>
        </is>
      </c>
      <c r="W215" s="3" t="inlineStr">
        <is>
          <t>Repair</t>
        </is>
      </c>
      <c r="X215" s="18" t="n">
        <v>46146</v>
      </c>
      <c r="Y215" s="73">
        <f>IF(X215="","",X215-A215)</f>
        <v/>
      </c>
      <c r="Z215" s="18" t="n">
        <v>46146</v>
      </c>
      <c r="AA215" s="15" t="n"/>
      <c r="AB215" s="15" t="n"/>
      <c r="AF215">
        <f>IF(AND($F215="Closed",$X215&gt;=DATE(2026,5,1),$X215&lt;=DATE(2026,5,31)),"Closed in May","Other")</f>
        <v/>
      </c>
    </row>
    <row r="216">
      <c r="A216" s="6" t="n">
        <v>46107</v>
      </c>
      <c r="B216" s="3" t="n">
        <v>2026</v>
      </c>
      <c r="C216" s="3" t="inlineStr">
        <is>
          <t>Blupine Energy</t>
        </is>
      </c>
      <c r="D216" s="3" t="inlineStr">
        <is>
          <t>Utility and C&amp;I</t>
        </is>
      </c>
      <c r="E216" s="3" t="n"/>
      <c r="F216" s="3" t="inlineStr">
        <is>
          <t>Closed</t>
        </is>
      </c>
      <c r="G216" s="3" t="inlineStr">
        <is>
          <t>Chandrashekar Patidar</t>
        </is>
      </c>
      <c r="H216" s="3" t="n">
        <v>7879764773</v>
      </c>
      <c r="I216" s="11" t="inlineStr">
        <is>
          <t>PE26032601</t>
        </is>
      </c>
      <c r="J216" s="3" t="inlineStr">
        <is>
          <t>Module Diode Failure</t>
        </is>
      </c>
      <c r="K216" s="3" t="inlineStr">
        <is>
          <t>Sadla</t>
        </is>
      </c>
      <c r="L216" s="3" t="inlineStr">
        <is>
          <t>Gujarat</t>
        </is>
      </c>
      <c r="M216" s="9" t="inlineStr">
        <is>
          <t>PNS</t>
        </is>
      </c>
      <c r="N216" s="3" t="inlineStr">
        <is>
          <t>Cold Soldering</t>
        </is>
      </c>
      <c r="O216" s="3" t="n">
        <v>570</v>
      </c>
      <c r="P216" s="9" t="inlineStr">
        <is>
          <t>NSMI24060115780</t>
        </is>
      </c>
      <c r="Q216" s="53">
        <f>MID(P216,5,2)</f>
        <v/>
      </c>
      <c r="R216" s="53">
        <f>MID(P216,7,2)</f>
        <v/>
      </c>
      <c r="S216" s="3" t="inlineStr">
        <is>
          <t>G2G</t>
        </is>
      </c>
      <c r="T216" s="3" t="inlineStr">
        <is>
          <t>P4</t>
        </is>
      </c>
      <c r="U216" s="3" t="inlineStr">
        <is>
          <t>P &amp; N JB Cold Soldering</t>
        </is>
      </c>
      <c r="V216" s="3" t="inlineStr">
        <is>
          <t>Soldering</t>
        </is>
      </c>
      <c r="W216" s="3" t="inlineStr">
        <is>
          <t>Repair</t>
        </is>
      </c>
      <c r="X216" s="18" t="n">
        <v>46146</v>
      </c>
      <c r="Y216" s="73">
        <f>IF(X216="","",X216-A216)</f>
        <v/>
      </c>
      <c r="Z216" s="18" t="n">
        <v>46146</v>
      </c>
      <c r="AA216" s="15" t="n"/>
      <c r="AB216" s="15" t="n"/>
      <c r="AF216">
        <f>IF(AND($F216="Closed",$X216&gt;=DATE(2026,5,1),$X216&lt;=DATE(2026,5,31)),"Closed in May","Other")</f>
        <v/>
      </c>
    </row>
    <row r="217">
      <c r="A217" s="6" t="n">
        <v>46107</v>
      </c>
      <c r="B217" s="3" t="n">
        <v>2026</v>
      </c>
      <c r="C217" s="3" t="inlineStr">
        <is>
          <t>Blupine Energy</t>
        </is>
      </c>
      <c r="D217" s="3" t="inlineStr">
        <is>
          <t>Utility and C&amp;I</t>
        </is>
      </c>
      <c r="E217" s="3" t="n"/>
      <c r="F217" s="3" t="inlineStr">
        <is>
          <t>Closed</t>
        </is>
      </c>
      <c r="G217" s="3" t="inlineStr">
        <is>
          <t>Chandrashekar Patidar</t>
        </is>
      </c>
      <c r="H217" s="3" t="n">
        <v>7879764773</v>
      </c>
      <c r="I217" s="11" t="inlineStr">
        <is>
          <t>PE26032601</t>
        </is>
      </c>
      <c r="J217" s="3" t="inlineStr">
        <is>
          <t>Module Diode Failure</t>
        </is>
      </c>
      <c r="K217" s="3" t="inlineStr">
        <is>
          <t>Sadla</t>
        </is>
      </c>
      <c r="L217" s="3" t="inlineStr">
        <is>
          <t>Gujarat</t>
        </is>
      </c>
      <c r="M217" s="9" t="inlineStr">
        <is>
          <t>PS</t>
        </is>
      </c>
      <c r="N217" s="3" t="inlineStr">
        <is>
          <t>Cold Soldering</t>
        </is>
      </c>
      <c r="O217" s="3" t="n">
        <v>570</v>
      </c>
      <c r="P217" s="9" t="inlineStr">
        <is>
          <t>NSMI24050066982</t>
        </is>
      </c>
      <c r="Q217" s="53">
        <f>MID(P217,5,2)</f>
        <v/>
      </c>
      <c r="R217" s="53">
        <f>MID(P217,7,2)</f>
        <v/>
      </c>
      <c r="S217" s="3" t="inlineStr">
        <is>
          <t>G2G</t>
        </is>
      </c>
      <c r="T217" s="3" t="inlineStr">
        <is>
          <t>P4</t>
        </is>
      </c>
      <c r="U217" s="3" t="inlineStr">
        <is>
          <t>P JB Cold Soldering</t>
        </is>
      </c>
      <c r="V217" s="3" t="inlineStr">
        <is>
          <t>Soldering</t>
        </is>
      </c>
      <c r="W217" s="3" t="inlineStr">
        <is>
          <t>Repair</t>
        </is>
      </c>
      <c r="X217" s="18" t="n">
        <v>46146</v>
      </c>
      <c r="Y217" s="73">
        <f>IF(X217="","",X217-A217)</f>
        <v/>
      </c>
      <c r="Z217" s="18" t="n">
        <v>46146</v>
      </c>
      <c r="AA217" s="15" t="n"/>
      <c r="AB217" s="15" t="n"/>
      <c r="AF217">
        <f>IF(AND($F217="Closed",$X217&gt;=DATE(2026,5,1),$X217&lt;=DATE(2026,5,31)),"Closed in May","Other")</f>
        <v/>
      </c>
    </row>
    <row r="218">
      <c r="A218" s="6" t="n">
        <v>46107</v>
      </c>
      <c r="B218" s="3" t="n">
        <v>2026</v>
      </c>
      <c r="C218" s="3" t="inlineStr">
        <is>
          <t>Blupine Energy</t>
        </is>
      </c>
      <c r="D218" s="3" t="inlineStr">
        <is>
          <t>Utility and C&amp;I</t>
        </is>
      </c>
      <c r="E218" s="3" t="n"/>
      <c r="F218" s="3" t="inlineStr">
        <is>
          <t>Closed</t>
        </is>
      </c>
      <c r="G218" s="3" t="inlineStr">
        <is>
          <t>Chandrashekar Patidar</t>
        </is>
      </c>
      <c r="H218" s="3" t="n">
        <v>7879764773</v>
      </c>
      <c r="I218" s="11" t="inlineStr">
        <is>
          <t>PE26032601</t>
        </is>
      </c>
      <c r="J218" s="3" t="inlineStr">
        <is>
          <t>Module Diode Failure</t>
        </is>
      </c>
      <c r="K218" s="3" t="inlineStr">
        <is>
          <t>Sadla</t>
        </is>
      </c>
      <c r="L218" s="3" t="inlineStr">
        <is>
          <t>Gujarat</t>
        </is>
      </c>
      <c r="M218" s="9" t="inlineStr">
        <is>
          <t>NS</t>
        </is>
      </c>
      <c r="N218" s="3" t="inlineStr">
        <is>
          <t>Cold Soldering</t>
        </is>
      </c>
      <c r="O218" s="3" t="n">
        <v>570</v>
      </c>
      <c r="P218" s="9" t="inlineStr">
        <is>
          <t>NSMI24050066988</t>
        </is>
      </c>
      <c r="Q218" s="53">
        <f>MID(P218,5,2)</f>
        <v/>
      </c>
      <c r="R218" s="53">
        <f>MID(P218,7,2)</f>
        <v/>
      </c>
      <c r="S218" s="3" t="inlineStr">
        <is>
          <t>G2G</t>
        </is>
      </c>
      <c r="T218" s="3" t="inlineStr">
        <is>
          <t>P4</t>
        </is>
      </c>
      <c r="U218" s="3" t="inlineStr">
        <is>
          <t>N JB Cold Soldering</t>
        </is>
      </c>
      <c r="V218" s="3" t="inlineStr">
        <is>
          <t>Soldering</t>
        </is>
      </c>
      <c r="W218" s="3" t="inlineStr">
        <is>
          <t>Repair</t>
        </is>
      </c>
      <c r="X218" s="18" t="n">
        <v>46146</v>
      </c>
      <c r="Y218" s="73">
        <f>IF(X218="","",X218-A218)</f>
        <v/>
      </c>
      <c r="Z218" s="18" t="n">
        <v>46146</v>
      </c>
      <c r="AA218" s="15" t="n"/>
      <c r="AB218" s="15" t="n"/>
      <c r="AF218">
        <f>IF(AND($F218="Closed",$X218&gt;=DATE(2026,5,1),$X218&lt;=DATE(2026,5,31)),"Closed in May","Other")</f>
        <v/>
      </c>
    </row>
    <row r="219">
      <c r="A219" s="6" t="n">
        <v>46107</v>
      </c>
      <c r="B219" s="3" t="n">
        <v>2026</v>
      </c>
      <c r="C219" s="3" t="inlineStr">
        <is>
          <t>Blupine Energy</t>
        </is>
      </c>
      <c r="D219" s="3" t="inlineStr">
        <is>
          <t>Utility and C&amp;I</t>
        </is>
      </c>
      <c r="E219" s="3" t="n"/>
      <c r="F219" s="3" t="inlineStr">
        <is>
          <t>Closed</t>
        </is>
      </c>
      <c r="G219" s="3" t="inlineStr">
        <is>
          <t>Chandrashekar Patidar</t>
        </is>
      </c>
      <c r="H219" s="3" t="n">
        <v>7879764773</v>
      </c>
      <c r="I219" s="11" t="inlineStr">
        <is>
          <t>PE26032601</t>
        </is>
      </c>
      <c r="J219" s="3" t="inlineStr">
        <is>
          <t>Module Diode Failure</t>
        </is>
      </c>
      <c r="K219" s="3" t="inlineStr">
        <is>
          <t>Sadla</t>
        </is>
      </c>
      <c r="L219" s="3" t="inlineStr">
        <is>
          <t>Gujarat</t>
        </is>
      </c>
      <c r="M219" s="9" t="inlineStr">
        <is>
          <t>NS</t>
        </is>
      </c>
      <c r="N219" s="3" t="inlineStr">
        <is>
          <t>Cold Soldering</t>
        </is>
      </c>
      <c r="O219" s="3" t="n">
        <v>570</v>
      </c>
      <c r="P219" s="9" t="inlineStr">
        <is>
          <t>NSMI24050055968</t>
        </is>
      </c>
      <c r="Q219" s="53">
        <f>MID(P219,5,2)</f>
        <v/>
      </c>
      <c r="R219" s="53">
        <f>MID(P219,7,2)</f>
        <v/>
      </c>
      <c r="S219" s="3" t="inlineStr">
        <is>
          <t>G2G</t>
        </is>
      </c>
      <c r="T219" s="3" t="inlineStr">
        <is>
          <t>P4</t>
        </is>
      </c>
      <c r="U219" s="3" t="inlineStr">
        <is>
          <t>N JB Cold Soldering</t>
        </is>
      </c>
      <c r="V219" s="3" t="inlineStr">
        <is>
          <t>Soldering</t>
        </is>
      </c>
      <c r="W219" s="3" t="inlineStr">
        <is>
          <t>Repair</t>
        </is>
      </c>
      <c r="X219" s="18" t="n">
        <v>46146</v>
      </c>
      <c r="Y219" s="73">
        <f>IF(X219="","",X219-A219)</f>
        <v/>
      </c>
      <c r="Z219" s="18" t="n">
        <v>46146</v>
      </c>
      <c r="AA219" s="15" t="n"/>
      <c r="AB219" s="15" t="n"/>
      <c r="AF219">
        <f>IF(AND($F219="Closed",$X219&gt;=DATE(2026,5,1),$X219&lt;=DATE(2026,5,31)),"Closed in May","Other")</f>
        <v/>
      </c>
    </row>
    <row r="220">
      <c r="A220" s="6" t="n">
        <v>46107</v>
      </c>
      <c r="B220" s="3" t="n">
        <v>2026</v>
      </c>
      <c r="C220" s="3" t="inlineStr">
        <is>
          <t>Blupine Energy</t>
        </is>
      </c>
      <c r="D220" s="3" t="inlineStr">
        <is>
          <t>Utility and C&amp;I</t>
        </is>
      </c>
      <c r="E220" s="3" t="n"/>
      <c r="F220" s="3" t="inlineStr">
        <is>
          <t>Closed</t>
        </is>
      </c>
      <c r="G220" s="3" t="inlineStr">
        <is>
          <t>Chandrashekar Patidar</t>
        </is>
      </c>
      <c r="H220" s="3" t="n">
        <v>7879764773</v>
      </c>
      <c r="I220" s="11" t="inlineStr">
        <is>
          <t>PE26032601</t>
        </is>
      </c>
      <c r="J220" s="3" t="inlineStr">
        <is>
          <t>Module Diode Failure</t>
        </is>
      </c>
      <c r="K220" s="3" t="inlineStr">
        <is>
          <t>Sadla</t>
        </is>
      </c>
      <c r="L220" s="3" t="inlineStr">
        <is>
          <t>Gujarat</t>
        </is>
      </c>
      <c r="M220" s="9" t="inlineStr">
        <is>
          <t>PS</t>
        </is>
      </c>
      <c r="N220" s="3" t="inlineStr">
        <is>
          <t>Cold Soldering</t>
        </is>
      </c>
      <c r="O220" s="3" t="n">
        <v>570</v>
      </c>
      <c r="P220" s="9" t="inlineStr">
        <is>
          <t>NSMI24050067490</t>
        </is>
      </c>
      <c r="Q220" s="53">
        <f>MID(P220,5,2)</f>
        <v/>
      </c>
      <c r="R220" s="53">
        <f>MID(P220,7,2)</f>
        <v/>
      </c>
      <c r="S220" s="3" t="inlineStr">
        <is>
          <t>G2G</t>
        </is>
      </c>
      <c r="T220" s="3" t="inlineStr">
        <is>
          <t>P4</t>
        </is>
      </c>
      <c r="U220" s="3" t="inlineStr">
        <is>
          <t>P JB Cold Soldering</t>
        </is>
      </c>
      <c r="V220" s="3" t="inlineStr">
        <is>
          <t>Soldering</t>
        </is>
      </c>
      <c r="W220" s="3" t="inlineStr">
        <is>
          <t>Repair</t>
        </is>
      </c>
      <c r="X220" s="18" t="n">
        <v>46146</v>
      </c>
      <c r="Y220" s="73">
        <f>IF(X220="","",X220-A220)</f>
        <v/>
      </c>
      <c r="Z220" s="18" t="n">
        <v>46146</v>
      </c>
      <c r="AA220" s="15" t="n"/>
      <c r="AB220" s="15" t="n"/>
      <c r="AF220">
        <f>IF(AND($F220="Closed",$X220&gt;=DATE(2026,5,1),$X220&lt;=DATE(2026,5,31)),"Closed in May","Other")</f>
        <v/>
      </c>
    </row>
    <row r="221">
      <c r="A221" s="6" t="n">
        <v>46107</v>
      </c>
      <c r="B221" s="3" t="n">
        <v>2026</v>
      </c>
      <c r="C221" s="3" t="inlineStr">
        <is>
          <t>Blupine Energy</t>
        </is>
      </c>
      <c r="D221" s="3" t="inlineStr">
        <is>
          <t>Utility and C&amp;I</t>
        </is>
      </c>
      <c r="E221" s="3" t="n"/>
      <c r="F221" s="3" t="inlineStr">
        <is>
          <t>Closed</t>
        </is>
      </c>
      <c r="G221" s="3" t="inlineStr">
        <is>
          <t>Chandrashekar Patidar</t>
        </is>
      </c>
      <c r="H221" s="3" t="n">
        <v>7879764773</v>
      </c>
      <c r="I221" s="11" t="inlineStr">
        <is>
          <t>PE26032601</t>
        </is>
      </c>
      <c r="J221" s="3" t="inlineStr">
        <is>
          <t>Module Diode Failure</t>
        </is>
      </c>
      <c r="K221" s="3" t="inlineStr">
        <is>
          <t>Sadla</t>
        </is>
      </c>
      <c r="L221" s="3" t="inlineStr">
        <is>
          <t>Gujarat</t>
        </is>
      </c>
      <c r="M221" s="9" t="inlineStr">
        <is>
          <t>NR</t>
        </is>
      </c>
      <c r="N221" s="3" t="inlineStr">
        <is>
          <t>JB Issue</t>
        </is>
      </c>
      <c r="O221" s="3" t="n">
        <v>570</v>
      </c>
      <c r="P221" s="9" t="inlineStr">
        <is>
          <t>NSMI24060116495</t>
        </is>
      </c>
      <c r="Q221" s="53">
        <f>MID(P221,5,2)</f>
        <v/>
      </c>
      <c r="R221" s="53">
        <f>MID(P221,7,2)</f>
        <v/>
      </c>
      <c r="S221" s="3" t="inlineStr">
        <is>
          <t>G2G</t>
        </is>
      </c>
      <c r="T221" s="3" t="inlineStr">
        <is>
          <t>P4</t>
        </is>
      </c>
      <c r="U221" s="3" t="inlineStr">
        <is>
          <t>N JB Issue</t>
        </is>
      </c>
      <c r="V221" s="3" t="inlineStr">
        <is>
          <t>JB Changed</t>
        </is>
      </c>
      <c r="W221" s="3" t="inlineStr">
        <is>
          <t>Repair</t>
        </is>
      </c>
      <c r="X221" s="18" t="n">
        <v>46146</v>
      </c>
      <c r="Y221" s="73">
        <f>IF(X221="","",X221-A221)</f>
        <v/>
      </c>
      <c r="Z221" s="18" t="n">
        <v>46146</v>
      </c>
      <c r="AA221" s="15" t="n"/>
      <c r="AB221" s="15" t="n"/>
      <c r="AF221">
        <f>IF(AND($F221="Closed",$X221&gt;=DATE(2026,5,1),$X221&lt;=DATE(2026,5,31)),"Closed in May","Other")</f>
        <v/>
      </c>
    </row>
    <row r="222">
      <c r="A222" s="6" t="n">
        <v>46107</v>
      </c>
      <c r="B222" s="3" t="n">
        <v>2026</v>
      </c>
      <c r="C222" s="3" t="inlineStr">
        <is>
          <t>Blupine Energy</t>
        </is>
      </c>
      <c r="D222" s="3" t="inlineStr">
        <is>
          <t>Utility and C&amp;I</t>
        </is>
      </c>
      <c r="E222" s="3" t="n"/>
      <c r="F222" s="3" t="inlineStr">
        <is>
          <t>Closed</t>
        </is>
      </c>
      <c r="G222" s="3" t="inlineStr">
        <is>
          <t>Chandrashekar Patidar</t>
        </is>
      </c>
      <c r="H222" s="3" t="n">
        <v>7879764773</v>
      </c>
      <c r="I222" s="11" t="inlineStr">
        <is>
          <t>PE26032601</t>
        </is>
      </c>
      <c r="J222" s="3" t="inlineStr">
        <is>
          <t>Module Diode Failure</t>
        </is>
      </c>
      <c r="K222" s="3" t="inlineStr">
        <is>
          <t>Sadla</t>
        </is>
      </c>
      <c r="L222" s="3" t="inlineStr">
        <is>
          <t>Gujarat</t>
        </is>
      </c>
      <c r="M222" s="9" t="inlineStr">
        <is>
          <t>NS</t>
        </is>
      </c>
      <c r="N222" s="3" t="inlineStr">
        <is>
          <t>Cold Soldering</t>
        </is>
      </c>
      <c r="O222" s="3" t="n">
        <v>570</v>
      </c>
      <c r="P222" s="9" t="inlineStr">
        <is>
          <t>NSMI24060075015</t>
        </is>
      </c>
      <c r="Q222" s="53">
        <f>MID(P222,5,2)</f>
        <v/>
      </c>
      <c r="R222" s="53">
        <f>MID(P222,7,2)</f>
        <v/>
      </c>
      <c r="S222" s="3" t="inlineStr">
        <is>
          <t>G2G</t>
        </is>
      </c>
      <c r="T222" s="3" t="inlineStr">
        <is>
          <t>P4</t>
        </is>
      </c>
      <c r="U222" s="3" t="inlineStr">
        <is>
          <t>N JB Cold Soldering</t>
        </is>
      </c>
      <c r="V222" s="3" t="inlineStr">
        <is>
          <t>Soldering</t>
        </is>
      </c>
      <c r="W222" s="3" t="inlineStr">
        <is>
          <t>Repair</t>
        </is>
      </c>
      <c r="X222" s="18" t="n">
        <v>46146</v>
      </c>
      <c r="Y222" s="73">
        <f>IF(X222="","",X222-A222)</f>
        <v/>
      </c>
      <c r="Z222" s="18" t="n">
        <v>46146</v>
      </c>
      <c r="AA222" s="15" t="n"/>
      <c r="AB222" s="15" t="n"/>
      <c r="AF222">
        <f>IF(AND($F222="Closed",$X222&gt;=DATE(2026,5,1),$X222&lt;=DATE(2026,5,31)),"Closed in May","Other")</f>
        <v/>
      </c>
    </row>
    <row r="223">
      <c r="A223" s="6" t="n">
        <v>46107</v>
      </c>
      <c r="B223" s="3" t="n">
        <v>2026</v>
      </c>
      <c r="C223" s="3" t="inlineStr">
        <is>
          <t>Blupine Energy</t>
        </is>
      </c>
      <c r="D223" s="3" t="inlineStr">
        <is>
          <t>Utility and C&amp;I</t>
        </is>
      </c>
      <c r="E223" s="3" t="n"/>
      <c r="F223" s="3" t="inlineStr">
        <is>
          <t>Closed</t>
        </is>
      </c>
      <c r="G223" s="3" t="inlineStr">
        <is>
          <t>Chandrashekar Patidar</t>
        </is>
      </c>
      <c r="H223" s="3" t="n">
        <v>7879764773</v>
      </c>
      <c r="I223" s="11" t="inlineStr">
        <is>
          <t>PE26032601</t>
        </is>
      </c>
      <c r="J223" s="3" t="inlineStr">
        <is>
          <t>Module Diode Failure</t>
        </is>
      </c>
      <c r="K223" s="3" t="inlineStr">
        <is>
          <t>Sadla</t>
        </is>
      </c>
      <c r="L223" s="3" t="inlineStr">
        <is>
          <t>Gujarat</t>
        </is>
      </c>
      <c r="M223" s="9" t="inlineStr">
        <is>
          <t>NS</t>
        </is>
      </c>
      <c r="N223" s="3" t="inlineStr">
        <is>
          <t>Cold Soldering</t>
        </is>
      </c>
      <c r="O223" s="3" t="n">
        <v>570</v>
      </c>
      <c r="P223" s="9" t="inlineStr">
        <is>
          <t>NSMI24050067044</t>
        </is>
      </c>
      <c r="Q223" s="53">
        <f>MID(P223,5,2)</f>
        <v/>
      </c>
      <c r="R223" s="53">
        <f>MID(P223,7,2)</f>
        <v/>
      </c>
      <c r="S223" s="3" t="inlineStr">
        <is>
          <t>G2G</t>
        </is>
      </c>
      <c r="T223" s="3" t="inlineStr">
        <is>
          <t>P4</t>
        </is>
      </c>
      <c r="U223" s="3" t="inlineStr">
        <is>
          <t>N JB Cold Soldering</t>
        </is>
      </c>
      <c r="V223" s="3" t="inlineStr">
        <is>
          <t>Soldering</t>
        </is>
      </c>
      <c r="W223" s="3" t="inlineStr">
        <is>
          <t>Repair</t>
        </is>
      </c>
      <c r="X223" s="18" t="n">
        <v>46146</v>
      </c>
      <c r="Y223" s="73">
        <f>IF(X223="","",X223-A223)</f>
        <v/>
      </c>
      <c r="Z223" s="18" t="n">
        <v>46146</v>
      </c>
      <c r="AA223" s="15" t="n"/>
      <c r="AB223" s="15" t="n"/>
      <c r="AF223">
        <f>IF(AND($F223="Closed",$X223&gt;=DATE(2026,5,1),$X223&lt;=DATE(2026,5,31)),"Closed in May","Other")</f>
        <v/>
      </c>
    </row>
    <row r="224">
      <c r="A224" s="6" t="n">
        <v>46107</v>
      </c>
      <c r="B224" s="3" t="n">
        <v>2026</v>
      </c>
      <c r="C224" s="3" t="inlineStr">
        <is>
          <t>Blupine Energy</t>
        </is>
      </c>
      <c r="D224" s="3" t="inlineStr">
        <is>
          <t>Utility and C&amp;I</t>
        </is>
      </c>
      <c r="E224" s="3" t="n"/>
      <c r="F224" s="3" t="inlineStr">
        <is>
          <t>Closed</t>
        </is>
      </c>
      <c r="G224" s="3" t="inlineStr">
        <is>
          <t>Chandrashekar Patidar</t>
        </is>
      </c>
      <c r="H224" s="3" t="n">
        <v>7879764773</v>
      </c>
      <c r="I224" s="11" t="inlineStr">
        <is>
          <t>PE26032601</t>
        </is>
      </c>
      <c r="J224" s="3" t="inlineStr">
        <is>
          <t>Module Diode Failure</t>
        </is>
      </c>
      <c r="K224" s="3" t="inlineStr">
        <is>
          <t>Sadla</t>
        </is>
      </c>
      <c r="L224" s="3" t="inlineStr">
        <is>
          <t>Gujarat</t>
        </is>
      </c>
      <c r="M224" s="9" t="inlineStr">
        <is>
          <t>NS</t>
        </is>
      </c>
      <c r="N224" s="3" t="inlineStr">
        <is>
          <t>Cold Soldering</t>
        </is>
      </c>
      <c r="O224" s="3" t="n">
        <v>570</v>
      </c>
      <c r="P224" s="9" t="inlineStr">
        <is>
          <t>NSMI24050067187</t>
        </is>
      </c>
      <c r="Q224" s="53">
        <f>MID(P224,5,2)</f>
        <v/>
      </c>
      <c r="R224" s="53">
        <f>MID(P224,7,2)</f>
        <v/>
      </c>
      <c r="S224" s="3" t="inlineStr">
        <is>
          <t>G2G</t>
        </is>
      </c>
      <c r="T224" s="3" t="inlineStr">
        <is>
          <t>P4</t>
        </is>
      </c>
      <c r="U224" s="3" t="inlineStr">
        <is>
          <t>N JB Cold Soldering</t>
        </is>
      </c>
      <c r="V224" s="3" t="inlineStr">
        <is>
          <t>Soldering</t>
        </is>
      </c>
      <c r="W224" s="3" t="inlineStr">
        <is>
          <t>Repair</t>
        </is>
      </c>
      <c r="X224" s="18" t="n">
        <v>46146</v>
      </c>
      <c r="Y224" s="73">
        <f>IF(X224="","",X224-A224)</f>
        <v/>
      </c>
      <c r="Z224" s="18" t="n">
        <v>46146</v>
      </c>
      <c r="AA224" s="15" t="n"/>
      <c r="AB224" s="15" t="n"/>
      <c r="AF224">
        <f>IF(AND($F224="Closed",$X224&gt;=DATE(2026,5,1),$X224&lt;=DATE(2026,5,31)),"Closed in May","Other")</f>
        <v/>
      </c>
    </row>
    <row r="225">
      <c r="A225" s="6" t="n">
        <v>46107</v>
      </c>
      <c r="B225" s="3" t="n">
        <v>2026</v>
      </c>
      <c r="C225" s="3" t="inlineStr">
        <is>
          <t>Blupine Energy</t>
        </is>
      </c>
      <c r="D225" s="3" t="inlineStr">
        <is>
          <t>Utility and C&amp;I</t>
        </is>
      </c>
      <c r="E225" s="3" t="n"/>
      <c r="F225" s="3" t="inlineStr">
        <is>
          <t>Closed</t>
        </is>
      </c>
      <c r="G225" s="3" t="inlineStr">
        <is>
          <t>Chandrashekar Patidar</t>
        </is>
      </c>
      <c r="H225" s="3" t="n">
        <v>7879764773</v>
      </c>
      <c r="I225" s="11" t="inlineStr">
        <is>
          <t>PE26032601</t>
        </is>
      </c>
      <c r="J225" s="3" t="inlineStr">
        <is>
          <t>Module Diode Failure</t>
        </is>
      </c>
      <c r="K225" s="3" t="inlineStr">
        <is>
          <t>Sadla</t>
        </is>
      </c>
      <c r="L225" s="3" t="inlineStr">
        <is>
          <t>Gujarat</t>
        </is>
      </c>
      <c r="M225" s="9" t="inlineStr">
        <is>
          <t>NS</t>
        </is>
      </c>
      <c r="N225" s="3" t="inlineStr">
        <is>
          <t>Cold Soldering</t>
        </is>
      </c>
      <c r="O225" s="3" t="n">
        <v>570</v>
      </c>
      <c r="P225" s="9" t="inlineStr">
        <is>
          <t>NSMI24050045874</t>
        </is>
      </c>
      <c r="Q225" s="53">
        <f>MID(P225,5,2)</f>
        <v/>
      </c>
      <c r="R225" s="53">
        <f>MID(P225,7,2)</f>
        <v/>
      </c>
      <c r="S225" s="3" t="inlineStr">
        <is>
          <t>G2G</t>
        </is>
      </c>
      <c r="T225" s="3" t="inlineStr">
        <is>
          <t>P4</t>
        </is>
      </c>
      <c r="U225" s="3" t="inlineStr">
        <is>
          <t>N JB Cold Soldering</t>
        </is>
      </c>
      <c r="V225" s="3" t="inlineStr">
        <is>
          <t>Soldering</t>
        </is>
      </c>
      <c r="W225" s="3" t="inlineStr">
        <is>
          <t>Repair</t>
        </is>
      </c>
      <c r="X225" s="18" t="n">
        <v>46146</v>
      </c>
      <c r="Y225" s="73">
        <f>IF(X225="","",X225-A225)</f>
        <v/>
      </c>
      <c r="Z225" s="18" t="n">
        <v>46146</v>
      </c>
      <c r="AA225" s="15" t="n"/>
      <c r="AB225" s="15" t="n"/>
      <c r="AF225">
        <f>IF(AND($F225="Closed",$X225&gt;=DATE(2026,5,1),$X225&lt;=DATE(2026,5,31)),"Closed in May","Other")</f>
        <v/>
      </c>
    </row>
    <row r="226">
      <c r="A226" s="6" t="n">
        <v>46107</v>
      </c>
      <c r="B226" s="3" t="n">
        <v>2026</v>
      </c>
      <c r="C226" s="3" t="inlineStr">
        <is>
          <t>Blupine Energy</t>
        </is>
      </c>
      <c r="D226" s="3" t="inlineStr">
        <is>
          <t>Utility and C&amp;I</t>
        </is>
      </c>
      <c r="E226" s="3" t="n"/>
      <c r="F226" s="3" t="inlineStr">
        <is>
          <t>Closed</t>
        </is>
      </c>
      <c r="G226" s="3" t="inlineStr">
        <is>
          <t>Chandrashekar Patidar</t>
        </is>
      </c>
      <c r="H226" s="3" t="n">
        <v>7879764773</v>
      </c>
      <c r="I226" s="11" t="inlineStr">
        <is>
          <t>PE26032601</t>
        </is>
      </c>
      <c r="J226" s="3" t="inlineStr">
        <is>
          <t>Module Diode Failure</t>
        </is>
      </c>
      <c r="K226" s="3" t="inlineStr">
        <is>
          <t>Sadla</t>
        </is>
      </c>
      <c r="L226" s="3" t="inlineStr">
        <is>
          <t>Gujarat</t>
        </is>
      </c>
      <c r="M226" s="9" t="inlineStr">
        <is>
          <t>PS</t>
        </is>
      </c>
      <c r="N226" s="3" t="inlineStr">
        <is>
          <t>Cold Soldering</t>
        </is>
      </c>
      <c r="O226" s="3" t="n">
        <v>570</v>
      </c>
      <c r="P226" s="9" t="inlineStr">
        <is>
          <t>NSMI24060082598</t>
        </is>
      </c>
      <c r="Q226" s="53">
        <f>MID(P226,5,2)</f>
        <v/>
      </c>
      <c r="R226" s="53">
        <f>MID(P226,7,2)</f>
        <v/>
      </c>
      <c r="S226" s="3" t="inlineStr">
        <is>
          <t>G2G</t>
        </is>
      </c>
      <c r="T226" s="3" t="inlineStr">
        <is>
          <t>P4</t>
        </is>
      </c>
      <c r="U226" s="3" t="inlineStr">
        <is>
          <t>P JB Cold Soldering</t>
        </is>
      </c>
      <c r="V226" s="3" t="inlineStr">
        <is>
          <t>Soldering</t>
        </is>
      </c>
      <c r="W226" s="3" t="inlineStr">
        <is>
          <t>Repair</t>
        </is>
      </c>
      <c r="X226" s="18" t="n">
        <v>46146</v>
      </c>
      <c r="Y226" s="73">
        <f>IF(X226="","",X226-A226)</f>
        <v/>
      </c>
      <c r="Z226" s="18" t="n">
        <v>46146</v>
      </c>
      <c r="AA226" s="15" t="n"/>
      <c r="AB226" s="15" t="n"/>
      <c r="AF226">
        <f>IF(AND($F226="Closed",$X226&gt;=DATE(2026,5,1),$X226&lt;=DATE(2026,5,31)),"Closed in May","Other")</f>
        <v/>
      </c>
    </row>
    <row r="227">
      <c r="A227" s="6" t="n">
        <v>46107</v>
      </c>
      <c r="B227" s="3" t="n">
        <v>2026</v>
      </c>
      <c r="C227" s="3" t="inlineStr">
        <is>
          <t>Blupine Energy</t>
        </is>
      </c>
      <c r="D227" s="3" t="inlineStr">
        <is>
          <t>Utility and C&amp;I</t>
        </is>
      </c>
      <c r="E227" s="3" t="n"/>
      <c r="F227" s="3" t="inlineStr">
        <is>
          <t>Closed</t>
        </is>
      </c>
      <c r="G227" s="3" t="inlineStr">
        <is>
          <t>Chandrashekar Patidar</t>
        </is>
      </c>
      <c r="H227" s="3" t="n">
        <v>7879764773</v>
      </c>
      <c r="I227" s="11" t="inlineStr">
        <is>
          <t>PE26032601</t>
        </is>
      </c>
      <c r="J227" s="3" t="inlineStr">
        <is>
          <t>Module Diode Failure</t>
        </is>
      </c>
      <c r="K227" s="3" t="inlineStr">
        <is>
          <t>Sadla</t>
        </is>
      </c>
      <c r="L227" s="3" t="inlineStr">
        <is>
          <t>Gujarat</t>
        </is>
      </c>
      <c r="M227" s="9" t="inlineStr">
        <is>
          <t>NS</t>
        </is>
      </c>
      <c r="N227" s="3" t="inlineStr">
        <is>
          <t>Cold Soldering</t>
        </is>
      </c>
      <c r="O227" s="3" t="n">
        <v>570</v>
      </c>
      <c r="P227" s="9" t="inlineStr">
        <is>
          <t>NSMI24060120035</t>
        </is>
      </c>
      <c r="Q227" s="53">
        <f>MID(P227,5,2)</f>
        <v/>
      </c>
      <c r="R227" s="53">
        <f>MID(P227,7,2)</f>
        <v/>
      </c>
      <c r="S227" s="3" t="inlineStr">
        <is>
          <t>G2G</t>
        </is>
      </c>
      <c r="T227" s="3" t="inlineStr">
        <is>
          <t>P4</t>
        </is>
      </c>
      <c r="U227" s="3" t="inlineStr">
        <is>
          <t>N JB Cold Soldering</t>
        </is>
      </c>
      <c r="V227" s="3" t="inlineStr">
        <is>
          <t>Soldering</t>
        </is>
      </c>
      <c r="W227" s="3" t="inlineStr">
        <is>
          <t>Repair</t>
        </is>
      </c>
      <c r="X227" s="18" t="n">
        <v>46146</v>
      </c>
      <c r="Y227" s="73">
        <f>IF(X227="","",X227-A227)</f>
        <v/>
      </c>
      <c r="Z227" s="18" t="n">
        <v>46146</v>
      </c>
      <c r="AA227" s="15" t="n"/>
      <c r="AB227" s="15" t="n"/>
      <c r="AF227">
        <f>IF(AND($F227="Closed",$X227&gt;=DATE(2026,5,1),$X227&lt;=DATE(2026,5,31)),"Closed in May","Other")</f>
        <v/>
      </c>
    </row>
    <row r="228">
      <c r="A228" s="6" t="n">
        <v>46107</v>
      </c>
      <c r="B228" s="3" t="n">
        <v>2026</v>
      </c>
      <c r="C228" s="3" t="inlineStr">
        <is>
          <t>Blupine Energy</t>
        </is>
      </c>
      <c r="D228" s="3" t="inlineStr">
        <is>
          <t>Utility and C&amp;I</t>
        </is>
      </c>
      <c r="E228" s="3" t="n"/>
      <c r="F228" s="3" t="inlineStr">
        <is>
          <t>Closed</t>
        </is>
      </c>
      <c r="G228" s="3" t="inlineStr">
        <is>
          <t>Chandrashekar Patidar</t>
        </is>
      </c>
      <c r="H228" s="3" t="n">
        <v>7879764773</v>
      </c>
      <c r="I228" s="11" t="inlineStr">
        <is>
          <t>PE26032601</t>
        </is>
      </c>
      <c r="J228" s="3" t="inlineStr">
        <is>
          <t>Module Diode Failure</t>
        </is>
      </c>
      <c r="K228" s="3" t="inlineStr">
        <is>
          <t>Sadla</t>
        </is>
      </c>
      <c r="L228" s="3" t="inlineStr">
        <is>
          <t>Gujarat</t>
        </is>
      </c>
      <c r="M228" s="9" t="inlineStr">
        <is>
          <t>NS</t>
        </is>
      </c>
      <c r="N228" s="3" t="inlineStr">
        <is>
          <t>Cold Soldering</t>
        </is>
      </c>
      <c r="O228" s="3" t="n">
        <v>570</v>
      </c>
      <c r="P228" s="9" t="inlineStr">
        <is>
          <t>NSMI24060134814</t>
        </is>
      </c>
      <c r="Q228" s="53">
        <f>MID(P228,5,2)</f>
        <v/>
      </c>
      <c r="R228" s="53">
        <f>MID(P228,7,2)</f>
        <v/>
      </c>
      <c r="S228" s="3" t="inlineStr">
        <is>
          <t>G2G</t>
        </is>
      </c>
      <c r="T228" s="3" t="inlineStr">
        <is>
          <t>P4</t>
        </is>
      </c>
      <c r="U228" s="3" t="inlineStr">
        <is>
          <t>N JB Cold Soldering</t>
        </is>
      </c>
      <c r="V228" s="3" t="inlineStr">
        <is>
          <t>Soldering</t>
        </is>
      </c>
      <c r="W228" s="3" t="inlineStr">
        <is>
          <t>Repair</t>
        </is>
      </c>
      <c r="X228" s="18" t="n">
        <v>46146</v>
      </c>
      <c r="Y228" s="73">
        <f>IF(X228="","",X228-A228)</f>
        <v/>
      </c>
      <c r="Z228" s="18" t="n">
        <v>46146</v>
      </c>
      <c r="AA228" s="15" t="n"/>
      <c r="AB228" s="15" t="n"/>
      <c r="AF228">
        <f>IF(AND($F228="Closed",$X228&gt;=DATE(2026,5,1),$X228&lt;=DATE(2026,5,31)),"Closed in May","Other")</f>
        <v/>
      </c>
    </row>
    <row r="229">
      <c r="A229" s="6" t="n">
        <v>46107</v>
      </c>
      <c r="B229" s="3" t="n">
        <v>2026</v>
      </c>
      <c r="C229" s="3" t="inlineStr">
        <is>
          <t>Blupine Energy</t>
        </is>
      </c>
      <c r="D229" s="3" t="inlineStr">
        <is>
          <t>Utility and C&amp;I</t>
        </is>
      </c>
      <c r="E229" s="3" t="n"/>
      <c r="F229" s="3" t="inlineStr">
        <is>
          <t>Closed</t>
        </is>
      </c>
      <c r="G229" s="3" t="inlineStr">
        <is>
          <t>Chandrashekar Patidar</t>
        </is>
      </c>
      <c r="H229" s="3" t="n">
        <v>7879764773</v>
      </c>
      <c r="I229" s="11" t="inlineStr">
        <is>
          <t>PE26032601</t>
        </is>
      </c>
      <c r="J229" s="3" t="inlineStr">
        <is>
          <t>Module Diode Failure</t>
        </is>
      </c>
      <c r="K229" s="3" t="inlineStr">
        <is>
          <t>Sadla</t>
        </is>
      </c>
      <c r="L229" s="3" t="inlineStr">
        <is>
          <t>Gujarat</t>
        </is>
      </c>
      <c r="M229" s="9" t="inlineStr">
        <is>
          <t>NS</t>
        </is>
      </c>
      <c r="N229" s="3" t="inlineStr">
        <is>
          <t>Cold Soldering</t>
        </is>
      </c>
      <c r="O229" s="3" t="n">
        <v>570</v>
      </c>
      <c r="P229" s="9" t="inlineStr">
        <is>
          <t>NSMI24060134353</t>
        </is>
      </c>
      <c r="Q229" s="53">
        <f>MID(P229,5,2)</f>
        <v/>
      </c>
      <c r="R229" s="53">
        <f>MID(P229,7,2)</f>
        <v/>
      </c>
      <c r="S229" s="3" t="inlineStr">
        <is>
          <t>G2G</t>
        </is>
      </c>
      <c r="T229" s="3" t="inlineStr">
        <is>
          <t>P4</t>
        </is>
      </c>
      <c r="U229" s="3" t="inlineStr">
        <is>
          <t>N JB Cold Soldering</t>
        </is>
      </c>
      <c r="V229" s="3" t="inlineStr">
        <is>
          <t>Soldering</t>
        </is>
      </c>
      <c r="W229" s="3" t="inlineStr">
        <is>
          <t>Repair</t>
        </is>
      </c>
      <c r="X229" s="18" t="n">
        <v>46146</v>
      </c>
      <c r="Y229" s="73">
        <f>IF(X229="","",X229-A229)</f>
        <v/>
      </c>
      <c r="Z229" s="18" t="n">
        <v>46146</v>
      </c>
      <c r="AA229" s="15" t="n"/>
      <c r="AB229" s="15" t="n"/>
      <c r="AF229">
        <f>IF(AND($F229="Closed",$X229&gt;=DATE(2026,5,1),$X229&lt;=DATE(2026,5,31)),"Closed in May","Other")</f>
        <v/>
      </c>
    </row>
    <row r="230">
      <c r="A230" s="6" t="n">
        <v>46107</v>
      </c>
      <c r="B230" s="3" t="n">
        <v>2026</v>
      </c>
      <c r="C230" s="3" t="inlineStr">
        <is>
          <t>Blupine Energy</t>
        </is>
      </c>
      <c r="D230" s="3" t="inlineStr">
        <is>
          <t>Utility and C&amp;I</t>
        </is>
      </c>
      <c r="E230" s="3" t="n"/>
      <c r="F230" s="3" t="inlineStr">
        <is>
          <t>Closed</t>
        </is>
      </c>
      <c r="G230" s="3" t="inlineStr">
        <is>
          <t>Chandrashekar Patidar</t>
        </is>
      </c>
      <c r="H230" s="3" t="n">
        <v>7879764773</v>
      </c>
      <c r="I230" s="11" t="inlineStr">
        <is>
          <t>PE26032601</t>
        </is>
      </c>
      <c r="J230" s="3" t="inlineStr">
        <is>
          <t>Module Diode Failure</t>
        </is>
      </c>
      <c r="K230" s="3" t="inlineStr">
        <is>
          <t>Sadla</t>
        </is>
      </c>
      <c r="L230" s="3" t="inlineStr">
        <is>
          <t>Gujarat</t>
        </is>
      </c>
      <c r="M230" s="9" t="inlineStr">
        <is>
          <t>NS</t>
        </is>
      </c>
      <c r="N230" s="3" t="inlineStr">
        <is>
          <t>Cold Soldering</t>
        </is>
      </c>
      <c r="O230" s="3" t="n">
        <v>570</v>
      </c>
      <c r="P230" s="9" t="inlineStr">
        <is>
          <t>NSMI24060129057</t>
        </is>
      </c>
      <c r="Q230" s="53">
        <f>MID(P230,5,2)</f>
        <v/>
      </c>
      <c r="R230" s="53">
        <f>MID(P230,7,2)</f>
        <v/>
      </c>
      <c r="S230" s="3" t="inlineStr">
        <is>
          <t>G2G</t>
        </is>
      </c>
      <c r="T230" s="3" t="inlineStr">
        <is>
          <t>P4</t>
        </is>
      </c>
      <c r="U230" s="3" t="inlineStr">
        <is>
          <t>N JB Cold Soldering</t>
        </is>
      </c>
      <c r="V230" s="3" t="inlineStr">
        <is>
          <t>Soldering</t>
        </is>
      </c>
      <c r="W230" s="3" t="inlineStr">
        <is>
          <t>Repair</t>
        </is>
      </c>
      <c r="X230" s="18" t="n">
        <v>46146</v>
      </c>
      <c r="Y230" s="73">
        <f>IF(X230="","",X230-A230)</f>
        <v/>
      </c>
      <c r="Z230" s="18" t="n">
        <v>46146</v>
      </c>
      <c r="AA230" s="15" t="n"/>
      <c r="AB230" s="15" t="n"/>
      <c r="AF230">
        <f>IF(AND($F230="Closed",$X230&gt;=DATE(2026,5,1),$X230&lt;=DATE(2026,5,31)),"Closed in May","Other")</f>
        <v/>
      </c>
    </row>
    <row r="231">
      <c r="A231" s="6" t="n">
        <v>46107</v>
      </c>
      <c r="B231" s="3" t="n">
        <v>2026</v>
      </c>
      <c r="C231" s="3" t="inlineStr">
        <is>
          <t>Blupine Energy</t>
        </is>
      </c>
      <c r="D231" s="3" t="inlineStr">
        <is>
          <t>Utility and C&amp;I</t>
        </is>
      </c>
      <c r="E231" s="3" t="n"/>
      <c r="F231" s="3" t="inlineStr">
        <is>
          <t>Closed</t>
        </is>
      </c>
      <c r="G231" s="3" t="inlineStr">
        <is>
          <t>Chandrashekar Patidar</t>
        </is>
      </c>
      <c r="H231" s="3" t="n">
        <v>7879764773</v>
      </c>
      <c r="I231" s="11" t="inlineStr">
        <is>
          <t>PE26032601</t>
        </is>
      </c>
      <c r="J231" s="3" t="inlineStr">
        <is>
          <t>Module Diode Failure</t>
        </is>
      </c>
      <c r="K231" s="3" t="inlineStr">
        <is>
          <t>Sadla</t>
        </is>
      </c>
      <c r="L231" s="3" t="inlineStr">
        <is>
          <t>Gujarat</t>
        </is>
      </c>
      <c r="M231" s="9" t="inlineStr">
        <is>
          <t>NS</t>
        </is>
      </c>
      <c r="N231" s="3" t="inlineStr">
        <is>
          <t>Cold Soldering</t>
        </is>
      </c>
      <c r="O231" s="3" t="n">
        <v>570</v>
      </c>
      <c r="P231" s="9" t="inlineStr">
        <is>
          <t>NSMI24060120078</t>
        </is>
      </c>
      <c r="Q231" s="53">
        <f>MID(P231,5,2)</f>
        <v/>
      </c>
      <c r="R231" s="53">
        <f>MID(P231,7,2)</f>
        <v/>
      </c>
      <c r="S231" s="3" t="inlineStr">
        <is>
          <t>G2G</t>
        </is>
      </c>
      <c r="T231" s="3" t="inlineStr">
        <is>
          <t>P4</t>
        </is>
      </c>
      <c r="U231" s="3" t="inlineStr">
        <is>
          <t>N JB Cold Soldering</t>
        </is>
      </c>
      <c r="V231" s="3" t="inlineStr">
        <is>
          <t>Soldering</t>
        </is>
      </c>
      <c r="W231" s="3" t="inlineStr">
        <is>
          <t>Repair</t>
        </is>
      </c>
      <c r="X231" s="18" t="n">
        <v>46146</v>
      </c>
      <c r="Y231" s="73">
        <f>IF(X231="","",X231-A231)</f>
        <v/>
      </c>
      <c r="Z231" s="18" t="n">
        <v>46146</v>
      </c>
      <c r="AA231" s="15" t="n"/>
      <c r="AB231" s="15" t="n"/>
      <c r="AF231">
        <f>IF(AND($F231="Closed",$X231&gt;=DATE(2026,5,1),$X231&lt;=DATE(2026,5,31)),"Closed in May","Other")</f>
        <v/>
      </c>
    </row>
    <row r="232">
      <c r="A232" s="6" t="n">
        <v>46107</v>
      </c>
      <c r="B232" s="3" t="n">
        <v>2026</v>
      </c>
      <c r="C232" s="3" t="inlineStr">
        <is>
          <t>Blupine Energy</t>
        </is>
      </c>
      <c r="D232" s="3" t="inlineStr">
        <is>
          <t>Utility and C&amp;I</t>
        </is>
      </c>
      <c r="E232" s="3" t="n"/>
      <c r="F232" s="3" t="inlineStr">
        <is>
          <t>Closed</t>
        </is>
      </c>
      <c r="G232" s="3" t="inlineStr">
        <is>
          <t>Chandrashekar Patidar</t>
        </is>
      </c>
      <c r="H232" s="3" t="n">
        <v>7879764773</v>
      </c>
      <c r="I232" s="11" t="inlineStr">
        <is>
          <t>PE26032601</t>
        </is>
      </c>
      <c r="J232" s="3" t="inlineStr">
        <is>
          <t>Module Diode Failure</t>
        </is>
      </c>
      <c r="K232" s="3" t="inlineStr">
        <is>
          <t>Sadla</t>
        </is>
      </c>
      <c r="L232" s="3" t="inlineStr">
        <is>
          <t>Gujarat</t>
        </is>
      </c>
      <c r="M232" s="9" t="inlineStr">
        <is>
          <t>NR</t>
        </is>
      </c>
      <c r="N232" s="3" t="inlineStr">
        <is>
          <t>JB Issue</t>
        </is>
      </c>
      <c r="O232" s="3" t="n">
        <v>570</v>
      </c>
      <c r="P232" s="9" t="inlineStr">
        <is>
          <t>NSMI24050043829</t>
        </is>
      </c>
      <c r="Q232" s="53">
        <f>MID(P232,5,2)</f>
        <v/>
      </c>
      <c r="R232" s="53">
        <f>MID(P232,7,2)</f>
        <v/>
      </c>
      <c r="S232" s="3" t="inlineStr">
        <is>
          <t>G2G</t>
        </is>
      </c>
      <c r="T232" s="3" t="inlineStr">
        <is>
          <t>P4</t>
        </is>
      </c>
      <c r="U232" s="3" t="inlineStr">
        <is>
          <t>N JB Issue</t>
        </is>
      </c>
      <c r="V232" s="3" t="inlineStr">
        <is>
          <t>JB Changed</t>
        </is>
      </c>
      <c r="W232" s="3" t="inlineStr">
        <is>
          <t>Repair</t>
        </is>
      </c>
      <c r="X232" s="18" t="n">
        <v>46146</v>
      </c>
      <c r="Y232" s="73">
        <f>IF(X232="","",X232-A232)</f>
        <v/>
      </c>
      <c r="Z232" s="18" t="n">
        <v>46146</v>
      </c>
      <c r="AA232" s="15" t="n"/>
      <c r="AB232" s="15" t="n"/>
      <c r="AF232">
        <f>IF(AND($F232="Closed",$X232&gt;=DATE(2026,5,1),$X232&lt;=DATE(2026,5,31)),"Closed in May","Other")</f>
        <v/>
      </c>
    </row>
    <row r="233">
      <c r="A233" s="6" t="n">
        <v>46107</v>
      </c>
      <c r="B233" s="3" t="n">
        <v>2026</v>
      </c>
      <c r="C233" s="3" t="inlineStr">
        <is>
          <t>Blupine Energy</t>
        </is>
      </c>
      <c r="D233" s="3" t="inlineStr">
        <is>
          <t>Utility and C&amp;I</t>
        </is>
      </c>
      <c r="E233" s="3" t="n"/>
      <c r="F233" s="3" t="inlineStr">
        <is>
          <t>Closed</t>
        </is>
      </c>
      <c r="G233" s="3" t="inlineStr">
        <is>
          <t>Chandrashekar Patidar</t>
        </is>
      </c>
      <c r="H233" s="3" t="n">
        <v>7879764773</v>
      </c>
      <c r="I233" s="11" t="inlineStr">
        <is>
          <t>PE26032601</t>
        </is>
      </c>
      <c r="J233" s="3" t="inlineStr">
        <is>
          <t>Module Diode Failure</t>
        </is>
      </c>
      <c r="K233" s="3" t="inlineStr">
        <is>
          <t>Sadla</t>
        </is>
      </c>
      <c r="L233" s="3" t="inlineStr">
        <is>
          <t>Gujarat</t>
        </is>
      </c>
      <c r="M233" s="9" t="inlineStr">
        <is>
          <t>NR</t>
        </is>
      </c>
      <c r="N233" s="3" t="inlineStr">
        <is>
          <t>JB Issue</t>
        </is>
      </c>
      <c r="O233" s="3" t="n">
        <v>570</v>
      </c>
      <c r="P233" s="9" t="inlineStr">
        <is>
          <t>NSMI24050043836</t>
        </is>
      </c>
      <c r="Q233" s="53">
        <f>MID(P233,5,2)</f>
        <v/>
      </c>
      <c r="R233" s="53">
        <f>MID(P233,7,2)</f>
        <v/>
      </c>
      <c r="S233" s="3" t="inlineStr">
        <is>
          <t>G2G</t>
        </is>
      </c>
      <c r="T233" s="3" t="inlineStr">
        <is>
          <t>P4</t>
        </is>
      </c>
      <c r="U233" s="3" t="inlineStr">
        <is>
          <t>N JB Issue</t>
        </is>
      </c>
      <c r="V233" s="3" t="inlineStr">
        <is>
          <t>JB Changed</t>
        </is>
      </c>
      <c r="W233" s="3" t="inlineStr">
        <is>
          <t>Repair</t>
        </is>
      </c>
      <c r="X233" s="18" t="n">
        <v>46146</v>
      </c>
      <c r="Y233" s="73">
        <f>IF(X233="","",X233-A233)</f>
        <v/>
      </c>
      <c r="Z233" s="18" t="n">
        <v>46146</v>
      </c>
      <c r="AA233" s="15" t="n"/>
      <c r="AB233" s="15" t="n"/>
      <c r="AF233">
        <f>IF(AND($F233="Closed",$X233&gt;=DATE(2026,5,1),$X233&lt;=DATE(2026,5,31)),"Closed in May","Other")</f>
        <v/>
      </c>
    </row>
    <row r="234">
      <c r="A234" s="6" t="n">
        <v>46107</v>
      </c>
      <c r="B234" s="3" t="n">
        <v>2026</v>
      </c>
      <c r="C234" s="3" t="inlineStr">
        <is>
          <t>Blupine Energy</t>
        </is>
      </c>
      <c r="D234" s="3" t="inlineStr">
        <is>
          <t>Utility and C&amp;I</t>
        </is>
      </c>
      <c r="E234" s="3" t="n"/>
      <c r="F234" s="3" t="inlineStr">
        <is>
          <t>Closed</t>
        </is>
      </c>
      <c r="G234" s="3" t="inlineStr">
        <is>
          <t>Chandrashekar Patidar</t>
        </is>
      </c>
      <c r="H234" s="3" t="n">
        <v>7879764773</v>
      </c>
      <c r="I234" s="11" t="inlineStr">
        <is>
          <t>PE26032601</t>
        </is>
      </c>
      <c r="J234" s="3" t="inlineStr">
        <is>
          <t>Module Diode Failure</t>
        </is>
      </c>
      <c r="K234" s="3" t="inlineStr">
        <is>
          <t>Sadla</t>
        </is>
      </c>
      <c r="L234" s="3" t="inlineStr">
        <is>
          <t>Gujarat</t>
        </is>
      </c>
      <c r="M234" s="9" t="inlineStr">
        <is>
          <t>NR</t>
        </is>
      </c>
      <c r="N234" s="3" t="inlineStr">
        <is>
          <t>JB Issue</t>
        </is>
      </c>
      <c r="O234" s="3" t="n">
        <v>570</v>
      </c>
      <c r="P234" s="9" t="inlineStr">
        <is>
          <t>NSMI24050044554</t>
        </is>
      </c>
      <c r="Q234" s="53">
        <f>MID(P234,5,2)</f>
        <v/>
      </c>
      <c r="R234" s="53">
        <f>MID(P234,7,2)</f>
        <v/>
      </c>
      <c r="S234" s="3" t="inlineStr">
        <is>
          <t>G2G</t>
        </is>
      </c>
      <c r="T234" s="3" t="inlineStr">
        <is>
          <t>P4</t>
        </is>
      </c>
      <c r="U234" s="3" t="inlineStr">
        <is>
          <t>N JB Issue</t>
        </is>
      </c>
      <c r="V234" s="3" t="inlineStr">
        <is>
          <t>JB Changed</t>
        </is>
      </c>
      <c r="W234" s="3" t="inlineStr">
        <is>
          <t>Repair</t>
        </is>
      </c>
      <c r="X234" s="18" t="n">
        <v>46146</v>
      </c>
      <c r="Y234" s="73">
        <f>IF(X234="","",X234-A234)</f>
        <v/>
      </c>
      <c r="Z234" s="18" t="n">
        <v>46146</v>
      </c>
      <c r="AA234" s="15" t="n"/>
      <c r="AB234" s="15" t="n"/>
      <c r="AF234">
        <f>IF(AND($F234="Closed",$X234&gt;=DATE(2026,5,1),$X234&lt;=DATE(2026,5,31)),"Closed in May","Other")</f>
        <v/>
      </c>
    </row>
    <row r="235">
      <c r="A235" s="6" t="n">
        <v>46107</v>
      </c>
      <c r="B235" s="3" t="n">
        <v>2026</v>
      </c>
      <c r="C235" s="3" t="inlineStr">
        <is>
          <t>Blupine Energy</t>
        </is>
      </c>
      <c r="D235" s="3" t="inlineStr">
        <is>
          <t>Utility and C&amp;I</t>
        </is>
      </c>
      <c r="E235" s="3" t="n"/>
      <c r="F235" s="3" t="inlineStr">
        <is>
          <t>Closed</t>
        </is>
      </c>
      <c r="G235" s="3" t="inlineStr">
        <is>
          <t>Chandrashekar Patidar</t>
        </is>
      </c>
      <c r="H235" s="3" t="n">
        <v>7879764773</v>
      </c>
      <c r="I235" s="11" t="inlineStr">
        <is>
          <t>PE26032601</t>
        </is>
      </c>
      <c r="J235" s="3" t="inlineStr">
        <is>
          <t>Module Diode Failure</t>
        </is>
      </c>
      <c r="K235" s="3" t="inlineStr">
        <is>
          <t>Sadla</t>
        </is>
      </c>
      <c r="L235" s="3" t="inlineStr">
        <is>
          <t>Gujarat</t>
        </is>
      </c>
      <c r="M235" s="9" t="inlineStr">
        <is>
          <t>NS</t>
        </is>
      </c>
      <c r="N235" s="3" t="inlineStr">
        <is>
          <t>Cold Soldering</t>
        </is>
      </c>
      <c r="O235" s="3" t="n">
        <v>570</v>
      </c>
      <c r="P235" s="9" t="inlineStr">
        <is>
          <t>NSMI24050044536</t>
        </is>
      </c>
      <c r="Q235" s="53">
        <f>MID(P235,5,2)</f>
        <v/>
      </c>
      <c r="R235" s="53">
        <f>MID(P235,7,2)</f>
        <v/>
      </c>
      <c r="S235" s="3" t="inlineStr">
        <is>
          <t>G2G</t>
        </is>
      </c>
      <c r="T235" s="3" t="inlineStr">
        <is>
          <t>P4</t>
        </is>
      </c>
      <c r="U235" s="3" t="inlineStr">
        <is>
          <t>N JB Cold Soldering</t>
        </is>
      </c>
      <c r="V235" s="3" t="inlineStr">
        <is>
          <t>Soldering</t>
        </is>
      </c>
      <c r="W235" s="3" t="inlineStr">
        <is>
          <t>Repair</t>
        </is>
      </c>
      <c r="X235" s="18" t="n">
        <v>46146</v>
      </c>
      <c r="Y235" s="73">
        <f>IF(X235="","",X235-A235)</f>
        <v/>
      </c>
      <c r="Z235" s="18" t="n">
        <v>46146</v>
      </c>
      <c r="AA235" s="15" t="n"/>
      <c r="AB235" s="15" t="n"/>
      <c r="AF235">
        <f>IF(AND($F235="Closed",$X235&gt;=DATE(2026,5,1),$X235&lt;=DATE(2026,5,31)),"Closed in May","Other")</f>
        <v/>
      </c>
    </row>
    <row r="236">
      <c r="A236" s="37" t="n">
        <v>46139</v>
      </c>
      <c r="B236" s="3" t="n">
        <v>2026</v>
      </c>
      <c r="C236" s="3" t="inlineStr">
        <is>
          <t>True Sun Trading Company</t>
        </is>
      </c>
      <c r="D236" s="26" t="inlineStr">
        <is>
          <t>Channel Sales</t>
        </is>
      </c>
      <c r="E236" s="3" t="n"/>
      <c r="F236" s="3" t="inlineStr">
        <is>
          <t>Closed</t>
        </is>
      </c>
      <c r="G236" s="26" t="inlineStr">
        <is>
          <t>Joel Jacob</t>
        </is>
      </c>
      <c r="H236" s="26" t="n">
        <v>7902222180</v>
      </c>
      <c r="I236" s="38" t="inlineStr">
        <is>
          <t>PE27042603</t>
        </is>
      </c>
      <c r="J236" s="26" t="inlineStr">
        <is>
          <t xml:space="preserve">Panel Blast </t>
        </is>
      </c>
      <c r="K236" s="26" t="inlineStr">
        <is>
          <t>CHANGANASSERRY</t>
        </is>
      </c>
      <c r="L236" s="26" t="inlineStr">
        <is>
          <t>Kerala</t>
        </is>
      </c>
      <c r="M236" s="9" t="inlineStr">
        <is>
          <t>No Visit</t>
        </is>
      </c>
      <c r="N236" s="26" t="inlineStr">
        <is>
          <t>Tab lead Burn</t>
        </is>
      </c>
      <c r="O236" s="39" t="n">
        <v>540</v>
      </c>
      <c r="P236" s="9" t="inlineStr">
        <is>
          <t>NSMP25080647747</t>
        </is>
      </c>
      <c r="Q236" s="53">
        <f>MID(P236,5,2)</f>
        <v/>
      </c>
      <c r="R236" s="53">
        <f>MID(P236,7,2)</f>
        <v/>
      </c>
      <c r="S236" s="3" t="inlineStr">
        <is>
          <t>G2TB</t>
        </is>
      </c>
      <c r="T236" s="26" t="inlineStr">
        <is>
          <t>P2</t>
        </is>
      </c>
      <c r="U236" s="3" t="inlineStr">
        <is>
          <t>Tab lead Burn</t>
        </is>
      </c>
      <c r="V236" s="3" t="inlineStr">
        <is>
          <t>CN</t>
        </is>
      </c>
      <c r="W236" s="3" t="inlineStr">
        <is>
          <t>Replacement</t>
        </is>
      </c>
      <c r="X236" s="18" t="n">
        <v>46146</v>
      </c>
      <c r="Y236" s="73">
        <f>IF(X236="","",X236-A236)</f>
        <v/>
      </c>
      <c r="Z236" s="18" t="inlineStr">
        <is>
          <t>No Visit</t>
        </is>
      </c>
      <c r="AA236" s="15" t="n"/>
      <c r="AB236" s="15" t="n"/>
      <c r="AF236">
        <f>IF(AND($F236="Closed",$X236&gt;=DATE(2026,5,1),$X236&lt;=DATE(2026,5,31)),"Closed in May","Other")</f>
        <v/>
      </c>
    </row>
    <row r="237">
      <c r="A237" s="40" t="n">
        <v>46107</v>
      </c>
      <c r="B237" s="3" t="n">
        <v>2026</v>
      </c>
      <c r="C237" s="3" t="inlineStr">
        <is>
          <t>Solar Square</t>
        </is>
      </c>
      <c r="D237" s="26" t="inlineStr">
        <is>
          <t>OEM</t>
        </is>
      </c>
      <c r="E237" s="3" t="n"/>
      <c r="F237" s="3" t="inlineStr">
        <is>
          <t>Closed</t>
        </is>
      </c>
      <c r="G237" s="39" t="inlineStr">
        <is>
          <t>Murali</t>
        </is>
      </c>
      <c r="H237" s="39" t="n">
        <v>9703345015</v>
      </c>
      <c r="I237" s="11" t="inlineStr">
        <is>
          <t>PE26032602</t>
        </is>
      </c>
      <c r="J237" s="3" t="inlineStr">
        <is>
          <t>Multiple Defects Identified</t>
        </is>
      </c>
      <c r="K237" s="27" t="inlineStr">
        <is>
          <t>Hyderabad</t>
        </is>
      </c>
      <c r="L237" s="27" t="inlineStr">
        <is>
          <t>Telangana</t>
        </is>
      </c>
      <c r="M237" s="9" t="inlineStr">
        <is>
          <t>No Visit</t>
        </is>
      </c>
      <c r="N237" s="9" t="inlineStr">
        <is>
          <t>Improper Ribbon Soldering</t>
        </is>
      </c>
      <c r="O237" s="39" t="n">
        <v>540</v>
      </c>
      <c r="P237" s="9" t="inlineStr">
        <is>
          <t>NSMP25121224541</t>
        </is>
      </c>
      <c r="Q237" s="53">
        <f>MID(P237,5,2)</f>
        <v/>
      </c>
      <c r="R237" s="53">
        <f>MID(P237,7,2)</f>
        <v/>
      </c>
      <c r="S237" s="3" t="inlineStr">
        <is>
          <t>G2TB</t>
        </is>
      </c>
      <c r="T237" s="26" t="inlineStr">
        <is>
          <t>P2</t>
        </is>
      </c>
      <c r="U237" s="9" t="inlineStr">
        <is>
          <t>Improper Ribbon Soldering</t>
        </is>
      </c>
      <c r="V237" s="3" t="inlineStr">
        <is>
          <t>CN / Replacement</t>
        </is>
      </c>
      <c r="W237" s="3" t="inlineStr">
        <is>
          <t>Replacement</t>
        </is>
      </c>
      <c r="X237" s="18" t="n">
        <v>46146</v>
      </c>
      <c r="Y237" s="73">
        <f>IF(X237="","",X237-A237)</f>
        <v/>
      </c>
      <c r="Z237" s="18" t="inlineStr">
        <is>
          <t>No Visit</t>
        </is>
      </c>
      <c r="AA237" s="15" t="n"/>
      <c r="AB237" s="15" t="n"/>
      <c r="AF237">
        <f>IF(AND($F237="Closed",$X237&gt;=DATE(2026,5,1),$X237&lt;=DATE(2026,5,31)),"Closed in May","Other")</f>
        <v/>
      </c>
    </row>
    <row r="238">
      <c r="A238" s="40" t="n">
        <v>46107</v>
      </c>
      <c r="B238" s="3" t="n">
        <v>2026</v>
      </c>
      <c r="C238" s="3" t="inlineStr">
        <is>
          <t>Solar Square</t>
        </is>
      </c>
      <c r="D238" s="26" t="inlineStr">
        <is>
          <t>OEM</t>
        </is>
      </c>
      <c r="E238" s="3" t="n"/>
      <c r="F238" s="3" t="inlineStr">
        <is>
          <t>Closed</t>
        </is>
      </c>
      <c r="G238" s="39" t="inlineStr">
        <is>
          <t>Murali</t>
        </is>
      </c>
      <c r="H238" s="39" t="n">
        <v>9703345015</v>
      </c>
      <c r="I238" s="11" t="inlineStr">
        <is>
          <t>PE26032602</t>
        </is>
      </c>
      <c r="J238" s="3" t="inlineStr">
        <is>
          <t>Multiple Defects Identified</t>
        </is>
      </c>
      <c r="K238" s="27" t="inlineStr">
        <is>
          <t>Hyderabad</t>
        </is>
      </c>
      <c r="L238" s="27" t="inlineStr">
        <is>
          <t>Telangana</t>
        </is>
      </c>
      <c r="M238" s="9" t="inlineStr">
        <is>
          <t>No Visit</t>
        </is>
      </c>
      <c r="N238" s="9" t="inlineStr">
        <is>
          <t>Forign Particle - Cell Piece</t>
        </is>
      </c>
      <c r="O238" s="39" t="n">
        <v>540</v>
      </c>
      <c r="P238" s="9" t="inlineStr">
        <is>
          <t>NSMP25121227616</t>
        </is>
      </c>
      <c r="Q238" s="53">
        <f>MID(P238,5,2)</f>
        <v/>
      </c>
      <c r="R238" s="53">
        <f>MID(P238,7,2)</f>
        <v/>
      </c>
      <c r="S238" s="3" t="inlineStr">
        <is>
          <t>G2TB</t>
        </is>
      </c>
      <c r="T238" s="26" t="inlineStr">
        <is>
          <t>P2</t>
        </is>
      </c>
      <c r="U238" s="9" t="inlineStr">
        <is>
          <t>Forign Particle - Cell Piece</t>
        </is>
      </c>
      <c r="V238" s="3" t="inlineStr">
        <is>
          <t>CN / Replacement</t>
        </is>
      </c>
      <c r="W238" s="3" t="inlineStr">
        <is>
          <t>Replacement</t>
        </is>
      </c>
      <c r="X238" s="18" t="n">
        <v>46146</v>
      </c>
      <c r="Y238" s="73">
        <f>IF(X238="","",X238-A238)</f>
        <v/>
      </c>
      <c r="Z238" s="18" t="inlineStr">
        <is>
          <t>No Visit</t>
        </is>
      </c>
      <c r="AA238" s="15" t="n"/>
      <c r="AB238" s="15" t="n"/>
      <c r="AF238">
        <f>IF(AND($F238="Closed",$X238&gt;=DATE(2026,5,1),$X238&lt;=DATE(2026,5,31)),"Closed in May","Other")</f>
        <v/>
      </c>
    </row>
    <row r="239">
      <c r="A239" s="40" t="n">
        <v>46107</v>
      </c>
      <c r="B239" s="3" t="n">
        <v>2026</v>
      </c>
      <c r="C239" s="3" t="inlineStr">
        <is>
          <t>Solar Square</t>
        </is>
      </c>
      <c r="D239" s="26" t="inlineStr">
        <is>
          <t>OEM</t>
        </is>
      </c>
      <c r="E239" s="3" t="n"/>
      <c r="F239" s="3" t="inlineStr">
        <is>
          <t>Closed</t>
        </is>
      </c>
      <c r="G239" s="39" t="inlineStr">
        <is>
          <t>Murali</t>
        </is>
      </c>
      <c r="H239" s="39" t="n">
        <v>9703345015</v>
      </c>
      <c r="I239" s="11" t="inlineStr">
        <is>
          <t>PE26032602</t>
        </is>
      </c>
      <c r="J239" s="3" t="inlineStr">
        <is>
          <t>Multiple Defects Identified</t>
        </is>
      </c>
      <c r="K239" s="27" t="inlineStr">
        <is>
          <t>Hyderabad</t>
        </is>
      </c>
      <c r="L239" s="27" t="inlineStr">
        <is>
          <t>Telangana</t>
        </is>
      </c>
      <c r="M239" s="9" t="inlineStr">
        <is>
          <t>No Visit</t>
        </is>
      </c>
      <c r="N239" s="9" t="inlineStr">
        <is>
          <t>Cell Chip</t>
        </is>
      </c>
      <c r="O239" s="39" t="n">
        <v>540</v>
      </c>
      <c r="P239" s="9" t="inlineStr">
        <is>
          <t>NSMP26021318226</t>
        </is>
      </c>
      <c r="Q239" s="53">
        <f>MID(P239,5,2)</f>
        <v/>
      </c>
      <c r="R239" s="53">
        <f>MID(P239,7,2)</f>
        <v/>
      </c>
      <c r="S239" s="3" t="inlineStr">
        <is>
          <t>G2TB</t>
        </is>
      </c>
      <c r="T239" s="26" t="inlineStr">
        <is>
          <t>P2</t>
        </is>
      </c>
      <c r="U239" s="9" t="inlineStr">
        <is>
          <t>Cell Chip</t>
        </is>
      </c>
      <c r="V239" s="3" t="inlineStr">
        <is>
          <t>CN / Replacement</t>
        </is>
      </c>
      <c r="W239" s="3" t="inlineStr">
        <is>
          <t>Replacement</t>
        </is>
      </c>
      <c r="X239" s="18" t="n">
        <v>46146</v>
      </c>
      <c r="Y239" s="73">
        <f>IF(X239="","",X239-A239)</f>
        <v/>
      </c>
      <c r="Z239" s="18" t="inlineStr">
        <is>
          <t>No Visit</t>
        </is>
      </c>
      <c r="AA239" s="15" t="n"/>
      <c r="AB239" s="15" t="n"/>
      <c r="AF239">
        <f>IF(AND($F239="Closed",$X239&gt;=DATE(2026,5,1),$X239&lt;=DATE(2026,5,31)),"Closed in May","Other")</f>
        <v/>
      </c>
    </row>
    <row r="240">
      <c r="A240" s="40" t="n">
        <v>46107</v>
      </c>
      <c r="B240" s="3" t="n">
        <v>2026</v>
      </c>
      <c r="C240" s="3" t="inlineStr">
        <is>
          <t>Solar Square</t>
        </is>
      </c>
      <c r="D240" s="26" t="inlineStr">
        <is>
          <t>OEM</t>
        </is>
      </c>
      <c r="E240" s="3" t="n"/>
      <c r="F240" s="3" t="inlineStr">
        <is>
          <t>Closed</t>
        </is>
      </c>
      <c r="G240" s="39" t="inlineStr">
        <is>
          <t>Murali</t>
        </is>
      </c>
      <c r="H240" s="39" t="n">
        <v>9703345015</v>
      </c>
      <c r="I240" s="11" t="inlineStr">
        <is>
          <t>PE26032602</t>
        </is>
      </c>
      <c r="J240" s="3" t="inlineStr">
        <is>
          <t>Multiple Defects Identified</t>
        </is>
      </c>
      <c r="K240" s="27" t="inlineStr">
        <is>
          <t>Hyderabad</t>
        </is>
      </c>
      <c r="L240" s="27" t="inlineStr">
        <is>
          <t>Telangana</t>
        </is>
      </c>
      <c r="M240" s="9" t="inlineStr">
        <is>
          <t>No Visit</t>
        </is>
      </c>
      <c r="N240" s="9" t="inlineStr">
        <is>
          <t>Cell Crack</t>
        </is>
      </c>
      <c r="O240" s="39" t="n">
        <v>540</v>
      </c>
      <c r="P240" s="9" t="inlineStr">
        <is>
          <t>NSMP26011281494</t>
        </is>
      </c>
      <c r="Q240" s="53">
        <f>MID(P240,5,2)</f>
        <v/>
      </c>
      <c r="R240" s="53">
        <f>MID(P240,7,2)</f>
        <v/>
      </c>
      <c r="S240" s="3" t="inlineStr">
        <is>
          <t>G2TB</t>
        </is>
      </c>
      <c r="T240" s="26" t="inlineStr">
        <is>
          <t>P2</t>
        </is>
      </c>
      <c r="U240" s="9" t="inlineStr">
        <is>
          <t>Cell Crack</t>
        </is>
      </c>
      <c r="V240" s="3" t="inlineStr">
        <is>
          <t>CN / Replacement</t>
        </is>
      </c>
      <c r="W240" s="3" t="inlineStr">
        <is>
          <t>Replacement</t>
        </is>
      </c>
      <c r="X240" s="18" t="n">
        <v>46146</v>
      </c>
      <c r="Y240" s="73">
        <f>IF(X240="","",X240-A240)</f>
        <v/>
      </c>
      <c r="Z240" s="18" t="inlineStr">
        <is>
          <t>No Visit</t>
        </is>
      </c>
      <c r="AA240" s="15" t="n"/>
      <c r="AB240" s="15" t="n"/>
      <c r="AF240">
        <f>IF(AND($F240="Closed",$X240&gt;=DATE(2026,5,1),$X240&lt;=DATE(2026,5,31)),"Closed in May","Other")</f>
        <v/>
      </c>
    </row>
    <row r="241">
      <c r="A241" s="37" t="n">
        <v>46141</v>
      </c>
      <c r="B241" s="3" t="n">
        <v>2026</v>
      </c>
      <c r="C241" s="26" t="inlineStr">
        <is>
          <t>Solar Square</t>
        </is>
      </c>
      <c r="D241" s="26" t="inlineStr">
        <is>
          <t>OEM</t>
        </is>
      </c>
      <c r="E241" s="3" t="n"/>
      <c r="F241" s="3" t="inlineStr">
        <is>
          <t>Closed</t>
        </is>
      </c>
      <c r="G241" s="39" t="inlineStr">
        <is>
          <t>Murali</t>
        </is>
      </c>
      <c r="H241" s="39" t="n">
        <v>9703345015</v>
      </c>
      <c r="I241" s="38" t="inlineStr">
        <is>
          <t>PE30042601</t>
        </is>
      </c>
      <c r="J241" s="26" t="inlineStr">
        <is>
          <t>JB Melting</t>
        </is>
      </c>
      <c r="K241" s="26" t="inlineStr">
        <is>
          <t>Kanpur</t>
        </is>
      </c>
      <c r="L241" s="26" t="inlineStr">
        <is>
          <t>UP</t>
        </is>
      </c>
      <c r="M241" s="26" t="inlineStr">
        <is>
          <t>N JB Burn marks observed</t>
        </is>
      </c>
      <c r="N241" s="26" t="inlineStr">
        <is>
          <t>JB Issue</t>
        </is>
      </c>
      <c r="O241" s="39" t="n">
        <v>540</v>
      </c>
      <c r="P241" s="9" t="inlineStr">
        <is>
          <t>NSMP26011281961</t>
        </is>
      </c>
      <c r="Q241" s="53">
        <f>MID(P241,5,2)</f>
        <v/>
      </c>
      <c r="R241" s="53">
        <f>MID(P241,7,2)</f>
        <v/>
      </c>
      <c r="S241" s="3" t="inlineStr">
        <is>
          <t>G2TB</t>
        </is>
      </c>
      <c r="T241" s="3" t="inlineStr">
        <is>
          <t>P2</t>
        </is>
      </c>
      <c r="U241" s="3" t="inlineStr">
        <is>
          <t>N JB Issue</t>
        </is>
      </c>
      <c r="V241" s="3" t="inlineStr">
        <is>
          <t>JB Changed</t>
        </is>
      </c>
      <c r="W241" s="3" t="inlineStr">
        <is>
          <t>Repair</t>
        </is>
      </c>
      <c r="X241" s="18" t="n">
        <v>46147</v>
      </c>
      <c r="Y241" s="73">
        <f>IF(X241="","",X241-A241)</f>
        <v/>
      </c>
      <c r="Z241" s="18" t="n">
        <v>46147</v>
      </c>
      <c r="AA241" s="19" t="n"/>
      <c r="AB241" s="19" t="n"/>
      <c r="AF241">
        <f>IF(AND($F241="Closed",$X241&gt;=DATE(2026,5,1),$X241&lt;=DATE(2026,5,31)),"Closed in May","Other")</f>
        <v/>
      </c>
    </row>
    <row r="242">
      <c r="A242" s="37" t="n">
        <v>46141</v>
      </c>
      <c r="B242" s="3" t="n">
        <v>2026</v>
      </c>
      <c r="C242" s="26" t="inlineStr">
        <is>
          <t>Solar Square</t>
        </is>
      </c>
      <c r="D242" s="26" t="inlineStr">
        <is>
          <t>OEM</t>
        </is>
      </c>
      <c r="E242" s="3" t="n"/>
      <c r="F242" s="3" t="inlineStr">
        <is>
          <t>Closed</t>
        </is>
      </c>
      <c r="G242" s="39" t="inlineStr">
        <is>
          <t>Murali</t>
        </is>
      </c>
      <c r="H242" s="39" t="n">
        <v>9703345015</v>
      </c>
      <c r="I242" s="4" t="inlineStr">
        <is>
          <t>PE29042602</t>
        </is>
      </c>
      <c r="J242" s="26" t="inlineStr">
        <is>
          <t>JB improper fixing</t>
        </is>
      </c>
      <c r="K242" s="26" t="inlineStr">
        <is>
          <t>Jabalpur</t>
        </is>
      </c>
      <c r="L242" s="26" t="inlineStr">
        <is>
          <t>MP</t>
        </is>
      </c>
      <c r="M242" s="26" t="inlineStr">
        <is>
          <t>M JB improper fixing</t>
        </is>
      </c>
      <c r="N242" s="26" t="inlineStr">
        <is>
          <t>JB Issue</t>
        </is>
      </c>
      <c r="O242" s="39" t="n">
        <v>540</v>
      </c>
      <c r="P242" s="9" t="inlineStr">
        <is>
          <t>NSMP26021300699</t>
        </is>
      </c>
      <c r="Q242" s="53">
        <f>MID(P242,5,2)</f>
        <v/>
      </c>
      <c r="R242" s="53">
        <f>MID(P242,7,2)</f>
        <v/>
      </c>
      <c r="S242" s="3" t="inlineStr">
        <is>
          <t>G2TB</t>
        </is>
      </c>
      <c r="T242" s="3" t="inlineStr">
        <is>
          <t>P2</t>
        </is>
      </c>
      <c r="U242" s="3" t="inlineStr">
        <is>
          <t>M JB Issue</t>
        </is>
      </c>
      <c r="V242" s="3" t="inlineStr">
        <is>
          <t>JB Changed</t>
        </is>
      </c>
      <c r="W242" s="3" t="inlineStr">
        <is>
          <t>Repair</t>
        </is>
      </c>
      <c r="X242" s="18" t="n">
        <v>46147</v>
      </c>
      <c r="Y242" s="73">
        <f>IF(X242="","",X242-A242)</f>
        <v/>
      </c>
      <c r="Z242" s="18" t="n">
        <v>46147</v>
      </c>
      <c r="AA242" s="19" t="n"/>
      <c r="AB242" s="19" t="n"/>
      <c r="AF242">
        <f>IF(AND($F242="Closed",$X242&gt;=DATE(2026,5,1),$X242&lt;=DATE(2026,5,31)),"Closed in May","Other")</f>
        <v/>
      </c>
    </row>
    <row r="243">
      <c r="A243" s="40" t="n">
        <v>46121</v>
      </c>
      <c r="B243" s="3" t="n">
        <v>2026</v>
      </c>
      <c r="C243" s="26" t="inlineStr">
        <is>
          <t>Solar Square</t>
        </is>
      </c>
      <c r="D243" s="26" t="inlineStr">
        <is>
          <t>OEM</t>
        </is>
      </c>
      <c r="E243" s="3" t="n"/>
      <c r="F243" s="3" t="inlineStr">
        <is>
          <t>Closed</t>
        </is>
      </c>
      <c r="G243" s="39" t="inlineStr">
        <is>
          <t>Murali</t>
        </is>
      </c>
      <c r="H243" s="39" t="n">
        <v>9703345015</v>
      </c>
      <c r="I243" s="43" t="inlineStr">
        <is>
          <t>PE09042601</t>
        </is>
      </c>
      <c r="J243" s="26" t="inlineStr">
        <is>
          <t>Low VOC</t>
        </is>
      </c>
      <c r="K243" s="26" t="inlineStr">
        <is>
          <t>Jabalpur</t>
        </is>
      </c>
      <c r="L243" s="26" t="inlineStr">
        <is>
          <t>MP</t>
        </is>
      </c>
      <c r="M243" s="9" t="inlineStr">
        <is>
          <t>All JB Issue</t>
        </is>
      </c>
      <c r="N243" s="3" t="inlineStr">
        <is>
          <t>JB Issue</t>
        </is>
      </c>
      <c r="O243" s="39" t="n">
        <v>540</v>
      </c>
      <c r="P243" s="19" t="inlineStr">
        <is>
          <t>NSMP2312989304</t>
        </is>
      </c>
      <c r="Q243" s="53">
        <f>MID(P243,5,2)</f>
        <v/>
      </c>
      <c r="R243" s="53">
        <f>MID(P243,7,2)</f>
        <v/>
      </c>
      <c r="S243" s="3" t="inlineStr">
        <is>
          <t>G2TB</t>
        </is>
      </c>
      <c r="T243" s="3" t="inlineStr">
        <is>
          <t>P2</t>
        </is>
      </c>
      <c r="U243" s="3" t="inlineStr">
        <is>
          <t>All JB Issue</t>
        </is>
      </c>
      <c r="V243" s="3" t="inlineStr">
        <is>
          <t>JB Changed</t>
        </is>
      </c>
      <c r="W243" s="3" t="inlineStr">
        <is>
          <t>Repair</t>
        </is>
      </c>
      <c r="X243" s="18" t="n">
        <v>46147</v>
      </c>
      <c r="Y243" s="73">
        <f>IF(X243="","",X243-A243)</f>
        <v/>
      </c>
      <c r="Z243" s="18" t="n">
        <v>46147</v>
      </c>
      <c r="AA243" s="19" t="n"/>
      <c r="AB243" s="19" t="n"/>
      <c r="AF243">
        <f>IF(AND($F243="Closed",$X243&gt;=DATE(2026,5,1),$X243&lt;=DATE(2026,5,31)),"Closed in May","Other")</f>
        <v/>
      </c>
    </row>
    <row r="244">
      <c r="A244" s="2" t="n">
        <v>46106</v>
      </c>
      <c r="B244" s="3" t="n">
        <v>2026</v>
      </c>
      <c r="C244" s="3" t="inlineStr">
        <is>
          <t>First Energy</t>
        </is>
      </c>
      <c r="D244" s="3" t="inlineStr">
        <is>
          <t>Utility and C&amp;I</t>
        </is>
      </c>
      <c r="E244" s="3" t="n"/>
      <c r="F244" s="3" t="inlineStr">
        <is>
          <t>Closed</t>
        </is>
      </c>
      <c r="G244" s="3" t="inlineStr">
        <is>
          <t>Mr. Gaurav</t>
        </is>
      </c>
      <c r="H244" s="3" t="n">
        <v>9979185999</v>
      </c>
      <c r="I244" s="11" t="inlineStr">
        <is>
          <t>PE25032601</t>
        </is>
      </c>
      <c r="J244" s="9" t="inlineStr">
        <is>
          <t>Module Defects</t>
        </is>
      </c>
      <c r="K244" s="3" t="inlineStr">
        <is>
          <t>Rajkot</t>
        </is>
      </c>
      <c r="L244" s="3" t="inlineStr">
        <is>
          <t>Gujarat</t>
        </is>
      </c>
      <c r="M244" s="9" t="inlineStr">
        <is>
          <t xml:space="preserve">hotspot found </t>
        </is>
      </c>
      <c r="N244" s="19" t="inlineStr">
        <is>
          <t>Hotspot</t>
        </is>
      </c>
      <c r="O244" s="3" t="n">
        <v>550</v>
      </c>
      <c r="P244" s="9" t="inlineStr">
        <is>
          <t>NSMP2301294252</t>
        </is>
      </c>
      <c r="Q244" s="53">
        <f>MID(P244,5,2)</f>
        <v/>
      </c>
      <c r="R244" s="53">
        <f>MID(P244,7,2)</f>
        <v/>
      </c>
      <c r="S244" s="3" t="inlineStr">
        <is>
          <t>G2B</t>
        </is>
      </c>
      <c r="T244" s="3" t="inlineStr">
        <is>
          <t>P2</t>
        </is>
      </c>
      <c r="U244" s="9" t="inlineStr">
        <is>
          <t>Single Cell Hotspot</t>
        </is>
      </c>
      <c r="V244" s="3" t="inlineStr">
        <is>
          <t>Inspection</t>
        </is>
      </c>
      <c r="W244" s="3" t="inlineStr">
        <is>
          <t>Rejected</t>
        </is>
      </c>
      <c r="X244" s="2">
        <f>Z244</f>
        <v/>
      </c>
      <c r="Y244" s="73">
        <f>IF(X244="","",X244-A244)</f>
        <v/>
      </c>
      <c r="Z244" s="18" t="n">
        <v>46147</v>
      </c>
      <c r="AA244" s="15" t="n"/>
      <c r="AB244" s="15" t="n"/>
      <c r="AF244">
        <f>IF(AND($F244="Closed",$X244&gt;=DATE(2026,5,1),$X244&lt;=DATE(2026,5,31)),"Closed in May","Other")</f>
        <v/>
      </c>
    </row>
    <row r="245">
      <c r="A245" s="2" t="n">
        <v>46106</v>
      </c>
      <c r="B245" s="3" t="n">
        <v>2026</v>
      </c>
      <c r="C245" s="3" t="inlineStr">
        <is>
          <t>First Energy</t>
        </is>
      </c>
      <c r="D245" s="3" t="inlineStr">
        <is>
          <t>Utility and C&amp;I</t>
        </is>
      </c>
      <c r="E245" s="3" t="n"/>
      <c r="F245" s="3" t="inlineStr">
        <is>
          <t>Closed</t>
        </is>
      </c>
      <c r="G245" s="3" t="inlineStr">
        <is>
          <t>Mr. Gaurav</t>
        </is>
      </c>
      <c r="H245" s="3" t="n">
        <v>9979185999</v>
      </c>
      <c r="I245" s="11" t="inlineStr">
        <is>
          <t>PE25032601</t>
        </is>
      </c>
      <c r="J245" s="9" t="inlineStr">
        <is>
          <t>Module Defects</t>
        </is>
      </c>
      <c r="K245" s="3" t="inlineStr">
        <is>
          <t>Rajkot</t>
        </is>
      </c>
      <c r="L245" s="3" t="inlineStr">
        <is>
          <t>Gujarat</t>
        </is>
      </c>
      <c r="M245" s="9" t="inlineStr">
        <is>
          <t xml:space="preserve">hotspot found </t>
        </is>
      </c>
      <c r="N245" s="19" t="inlineStr">
        <is>
          <t>Hotspot</t>
        </is>
      </c>
      <c r="O245" s="3" t="n">
        <v>550</v>
      </c>
      <c r="P245" s="9" t="inlineStr">
        <is>
          <t>NSMP2301296035</t>
        </is>
      </c>
      <c r="Q245" s="53">
        <f>MID(P245,5,2)</f>
        <v/>
      </c>
      <c r="R245" s="53">
        <f>MID(P245,7,2)</f>
        <v/>
      </c>
      <c r="S245" s="3" t="inlineStr">
        <is>
          <t>G2B</t>
        </is>
      </c>
      <c r="T245" s="3" t="inlineStr">
        <is>
          <t>P2</t>
        </is>
      </c>
      <c r="U245" s="9" t="inlineStr">
        <is>
          <t>Multi Cell Hotspot</t>
        </is>
      </c>
      <c r="V245" s="3" t="inlineStr">
        <is>
          <t>Inspection</t>
        </is>
      </c>
      <c r="W245" s="3" t="inlineStr">
        <is>
          <t>Rejected</t>
        </is>
      </c>
      <c r="X245" s="2">
        <f>Z245</f>
        <v/>
      </c>
      <c r="Y245" s="73">
        <f>IF(X245="","",X245-A245)</f>
        <v/>
      </c>
      <c r="Z245" s="18" t="n">
        <v>46147</v>
      </c>
      <c r="AA245" s="15" t="n"/>
      <c r="AB245" s="15" t="n"/>
      <c r="AF245">
        <f>IF(AND($F245="Closed",$X245&gt;=DATE(2026,5,1),$X245&lt;=DATE(2026,5,31)),"Closed in May","Other")</f>
        <v/>
      </c>
    </row>
    <row r="246">
      <c r="A246" s="2" t="n">
        <v>46106</v>
      </c>
      <c r="B246" s="3" t="n">
        <v>2026</v>
      </c>
      <c r="C246" s="3" t="inlineStr">
        <is>
          <t>First Energy</t>
        </is>
      </c>
      <c r="D246" s="3" t="inlineStr">
        <is>
          <t>Utility and C&amp;I</t>
        </is>
      </c>
      <c r="E246" s="3" t="n"/>
      <c r="F246" s="3" t="inlineStr">
        <is>
          <t>Closed</t>
        </is>
      </c>
      <c r="G246" s="3" t="inlineStr">
        <is>
          <t>Mr. Gaurav</t>
        </is>
      </c>
      <c r="H246" s="3" t="n">
        <v>9979185999</v>
      </c>
      <c r="I246" s="11" t="inlineStr">
        <is>
          <t>PE25032601</t>
        </is>
      </c>
      <c r="J246" s="9" t="inlineStr">
        <is>
          <t>Module Defects</t>
        </is>
      </c>
      <c r="K246" s="3" t="inlineStr">
        <is>
          <t>Rajkot</t>
        </is>
      </c>
      <c r="L246" s="3" t="inlineStr">
        <is>
          <t>Gujarat</t>
        </is>
      </c>
      <c r="M246" s="9" t="inlineStr">
        <is>
          <t xml:space="preserve">hotspot found </t>
        </is>
      </c>
      <c r="N246" s="19" t="inlineStr">
        <is>
          <t>Hotspot</t>
        </is>
      </c>
      <c r="O246" s="3" t="n">
        <v>550</v>
      </c>
      <c r="P246" s="9" t="inlineStr">
        <is>
          <t>NSMP2301334272</t>
        </is>
      </c>
      <c r="Q246" s="53">
        <f>MID(P246,5,2)</f>
        <v/>
      </c>
      <c r="R246" s="53">
        <f>MID(P246,7,2)</f>
        <v/>
      </c>
      <c r="S246" s="3" t="inlineStr">
        <is>
          <t>G2B</t>
        </is>
      </c>
      <c r="T246" s="3" t="inlineStr">
        <is>
          <t>P2</t>
        </is>
      </c>
      <c r="U246" s="9" t="inlineStr">
        <is>
          <t>Multi Cell Hotspot</t>
        </is>
      </c>
      <c r="V246" s="3" t="inlineStr">
        <is>
          <t>Inspection</t>
        </is>
      </c>
      <c r="W246" s="3" t="inlineStr">
        <is>
          <t>Rejected</t>
        </is>
      </c>
      <c r="X246" s="2">
        <f>Z246</f>
        <v/>
      </c>
      <c r="Y246" s="73">
        <f>IF(X246="","",X246-A246)</f>
        <v/>
      </c>
      <c r="Z246" s="18" t="n">
        <v>46147</v>
      </c>
      <c r="AA246" s="15" t="n"/>
      <c r="AB246" s="15" t="n"/>
      <c r="AF246">
        <f>IF(AND($F246="Closed",$X246&gt;=DATE(2026,5,1),$X246&lt;=DATE(2026,5,31)),"Closed in May","Other")</f>
        <v/>
      </c>
    </row>
    <row r="247">
      <c r="A247" s="2" t="n">
        <v>46106</v>
      </c>
      <c r="B247" s="3" t="n">
        <v>2026</v>
      </c>
      <c r="C247" s="3" t="inlineStr">
        <is>
          <t>First Energy</t>
        </is>
      </c>
      <c r="D247" s="3" t="inlineStr">
        <is>
          <t>Utility and C&amp;I</t>
        </is>
      </c>
      <c r="E247" s="3" t="n"/>
      <c r="F247" s="3" t="inlineStr">
        <is>
          <t>Closed</t>
        </is>
      </c>
      <c r="G247" s="3" t="inlineStr">
        <is>
          <t>Mr. Gaurav</t>
        </is>
      </c>
      <c r="H247" s="3" t="n">
        <v>9979185999</v>
      </c>
      <c r="I247" s="11" t="inlineStr">
        <is>
          <t>PE25032601</t>
        </is>
      </c>
      <c r="J247" s="9" t="inlineStr">
        <is>
          <t>Module Defects</t>
        </is>
      </c>
      <c r="K247" s="3" t="inlineStr">
        <is>
          <t>Rajkot</t>
        </is>
      </c>
      <c r="L247" s="3" t="inlineStr">
        <is>
          <t>Gujarat</t>
        </is>
      </c>
      <c r="M247" s="9" t="inlineStr">
        <is>
          <t xml:space="preserve">hotspot found </t>
        </is>
      </c>
      <c r="N247" s="19" t="inlineStr">
        <is>
          <t>Hotspot</t>
        </is>
      </c>
      <c r="O247" s="3" t="n">
        <v>550</v>
      </c>
      <c r="P247" s="9" t="inlineStr">
        <is>
          <t>NSMP2301334314</t>
        </is>
      </c>
      <c r="Q247" s="53">
        <f>MID(P247,5,2)</f>
        <v/>
      </c>
      <c r="R247" s="53">
        <f>MID(P247,7,2)</f>
        <v/>
      </c>
      <c r="S247" s="3" t="inlineStr">
        <is>
          <t>G2B</t>
        </is>
      </c>
      <c r="T247" s="3" t="inlineStr">
        <is>
          <t>P2</t>
        </is>
      </c>
      <c r="U247" s="9" t="inlineStr">
        <is>
          <t>Multi Cell Hotspot</t>
        </is>
      </c>
      <c r="V247" s="3" t="inlineStr">
        <is>
          <t>Inspection</t>
        </is>
      </c>
      <c r="W247" s="3" t="inlineStr">
        <is>
          <t>Rejected</t>
        </is>
      </c>
      <c r="X247" s="2">
        <f>Z247</f>
        <v/>
      </c>
      <c r="Y247" s="73">
        <f>IF(X247="","",X247-A247)</f>
        <v/>
      </c>
      <c r="Z247" s="18" t="n">
        <v>46147</v>
      </c>
      <c r="AA247" s="15" t="n"/>
      <c r="AB247" s="15" t="n"/>
      <c r="AF247">
        <f>IF(AND($F247="Closed",$X247&gt;=DATE(2026,5,1),$X247&lt;=DATE(2026,5,31)),"Closed in May","Other")</f>
        <v/>
      </c>
    </row>
    <row r="248">
      <c r="A248" s="2" t="n">
        <v>46106</v>
      </c>
      <c r="B248" s="3" t="n">
        <v>2026</v>
      </c>
      <c r="C248" s="3" t="inlineStr">
        <is>
          <t>First Energy</t>
        </is>
      </c>
      <c r="D248" s="3" t="inlineStr">
        <is>
          <t>Utility and C&amp;I</t>
        </is>
      </c>
      <c r="E248" s="3" t="n"/>
      <c r="F248" s="3" t="inlineStr">
        <is>
          <t>Closed</t>
        </is>
      </c>
      <c r="G248" s="3" t="inlineStr">
        <is>
          <t>Mr. Gaurav</t>
        </is>
      </c>
      <c r="H248" s="3" t="n">
        <v>9979185999</v>
      </c>
      <c r="I248" s="11" t="inlineStr">
        <is>
          <t>PE25032601</t>
        </is>
      </c>
      <c r="J248" s="9" t="inlineStr">
        <is>
          <t>Module Defects</t>
        </is>
      </c>
      <c r="K248" s="3" t="inlineStr">
        <is>
          <t>Rajkot</t>
        </is>
      </c>
      <c r="L248" s="3" t="inlineStr">
        <is>
          <t>Gujarat</t>
        </is>
      </c>
      <c r="M248" s="9" t="inlineStr">
        <is>
          <t xml:space="preserve">hotspot found </t>
        </is>
      </c>
      <c r="N248" s="19" t="inlineStr">
        <is>
          <t>Hotspot</t>
        </is>
      </c>
      <c r="O248" s="3" t="n">
        <v>550</v>
      </c>
      <c r="P248" s="9" t="inlineStr">
        <is>
          <t>NSMP2301296631</t>
        </is>
      </c>
      <c r="Q248" s="53">
        <f>MID(P248,5,2)</f>
        <v/>
      </c>
      <c r="R248" s="53">
        <f>MID(P248,7,2)</f>
        <v/>
      </c>
      <c r="S248" s="3" t="inlineStr">
        <is>
          <t>G2B</t>
        </is>
      </c>
      <c r="T248" s="3" t="inlineStr">
        <is>
          <t>P2</t>
        </is>
      </c>
      <c r="U248" s="9" t="inlineStr">
        <is>
          <t>Single Cell Hotspot</t>
        </is>
      </c>
      <c r="V248" s="3" t="inlineStr">
        <is>
          <t>Inspection</t>
        </is>
      </c>
      <c r="W248" s="3" t="inlineStr">
        <is>
          <t>Rejected</t>
        </is>
      </c>
      <c r="X248" s="2">
        <f>Z248</f>
        <v/>
      </c>
      <c r="Y248" s="73">
        <f>IF(X248="","",X248-A248)</f>
        <v/>
      </c>
      <c r="Z248" s="18" t="n">
        <v>46147</v>
      </c>
      <c r="AA248" s="15" t="n"/>
      <c r="AB248" s="15" t="n"/>
      <c r="AF248">
        <f>IF(AND($F248="Closed",$X248&gt;=DATE(2026,5,1),$X248&lt;=DATE(2026,5,31)),"Closed in May","Other")</f>
        <v/>
      </c>
    </row>
    <row r="249">
      <c r="A249" s="2" t="n">
        <v>46106</v>
      </c>
      <c r="B249" s="3" t="n">
        <v>2026</v>
      </c>
      <c r="C249" s="3" t="inlineStr">
        <is>
          <t>First Energy</t>
        </is>
      </c>
      <c r="D249" s="3" t="inlineStr">
        <is>
          <t>Utility and C&amp;I</t>
        </is>
      </c>
      <c r="E249" s="3" t="n"/>
      <c r="F249" s="3" t="inlineStr">
        <is>
          <t>Closed</t>
        </is>
      </c>
      <c r="G249" s="3" t="inlineStr">
        <is>
          <t>Mr. Gaurav</t>
        </is>
      </c>
      <c r="H249" s="3" t="n">
        <v>9979185999</v>
      </c>
      <c r="I249" s="11" t="inlineStr">
        <is>
          <t>PE25032601</t>
        </is>
      </c>
      <c r="J249" s="9" t="inlineStr">
        <is>
          <t>Module Defects</t>
        </is>
      </c>
      <c r="K249" s="3" t="inlineStr">
        <is>
          <t>Rajkot</t>
        </is>
      </c>
      <c r="L249" s="3" t="inlineStr">
        <is>
          <t>Gujarat</t>
        </is>
      </c>
      <c r="M249" s="9" t="inlineStr">
        <is>
          <t xml:space="preserve">hotspot found </t>
        </is>
      </c>
      <c r="N249" s="19" t="inlineStr">
        <is>
          <t>Hotspot</t>
        </is>
      </c>
      <c r="O249" s="3" t="n">
        <v>550</v>
      </c>
      <c r="P249" s="9" t="inlineStr">
        <is>
          <t>NSMP2301296078</t>
        </is>
      </c>
      <c r="Q249" s="53">
        <f>MID(P249,5,2)</f>
        <v/>
      </c>
      <c r="R249" s="53">
        <f>MID(P249,7,2)</f>
        <v/>
      </c>
      <c r="S249" s="3" t="inlineStr">
        <is>
          <t>G2B</t>
        </is>
      </c>
      <c r="T249" s="3" t="inlineStr">
        <is>
          <t>P2</t>
        </is>
      </c>
      <c r="U249" s="9" t="inlineStr">
        <is>
          <t>Single Cell Hotspot</t>
        </is>
      </c>
      <c r="V249" s="3" t="inlineStr">
        <is>
          <t>Inspection</t>
        </is>
      </c>
      <c r="W249" s="3" t="inlineStr">
        <is>
          <t>Rejected</t>
        </is>
      </c>
      <c r="X249" s="2">
        <f>Z249</f>
        <v/>
      </c>
      <c r="Y249" s="73">
        <f>IF(X249="","",X249-A249)</f>
        <v/>
      </c>
      <c r="Z249" s="18" t="n">
        <v>46147</v>
      </c>
      <c r="AA249" s="15" t="n"/>
      <c r="AB249" s="15" t="n"/>
      <c r="AF249">
        <f>IF(AND($F249="Closed",$X249&gt;=DATE(2026,5,1),$X249&lt;=DATE(2026,5,31)),"Closed in May","Other")</f>
        <v/>
      </c>
    </row>
    <row r="250">
      <c r="A250" s="2" t="n">
        <v>46106</v>
      </c>
      <c r="B250" s="3" t="n">
        <v>2026</v>
      </c>
      <c r="C250" s="3" t="inlineStr">
        <is>
          <t>First Energy</t>
        </is>
      </c>
      <c r="D250" s="3" t="inlineStr">
        <is>
          <t>Utility and C&amp;I</t>
        </is>
      </c>
      <c r="E250" s="3" t="n"/>
      <c r="F250" s="3" t="inlineStr">
        <is>
          <t>Closed</t>
        </is>
      </c>
      <c r="G250" s="3" t="inlineStr">
        <is>
          <t>Mr. Gaurav</t>
        </is>
      </c>
      <c r="H250" s="3" t="n">
        <v>9979185999</v>
      </c>
      <c r="I250" s="11" t="inlineStr">
        <is>
          <t>PE25032601</t>
        </is>
      </c>
      <c r="J250" s="9" t="inlineStr">
        <is>
          <t>Module Defects</t>
        </is>
      </c>
      <c r="K250" s="3" t="inlineStr">
        <is>
          <t>Rajkot</t>
        </is>
      </c>
      <c r="L250" s="3" t="inlineStr">
        <is>
          <t>Gujarat</t>
        </is>
      </c>
      <c r="M250" s="9" t="inlineStr">
        <is>
          <t xml:space="preserve">hotspot found </t>
        </is>
      </c>
      <c r="N250" s="19" t="inlineStr">
        <is>
          <t>Hotspot</t>
        </is>
      </c>
      <c r="O250" s="3" t="n">
        <v>550</v>
      </c>
      <c r="P250" s="9" t="inlineStr">
        <is>
          <t>NSMP2301296069</t>
        </is>
      </c>
      <c r="Q250" s="53">
        <f>MID(P250,5,2)</f>
        <v/>
      </c>
      <c r="R250" s="53">
        <f>MID(P250,7,2)</f>
        <v/>
      </c>
      <c r="S250" s="3" t="inlineStr">
        <is>
          <t>G2B</t>
        </is>
      </c>
      <c r="T250" s="3" t="inlineStr">
        <is>
          <t>P2</t>
        </is>
      </c>
      <c r="U250" s="9" t="inlineStr">
        <is>
          <t>Single Cell Hotspot</t>
        </is>
      </c>
      <c r="V250" s="3" t="inlineStr">
        <is>
          <t>Inspection</t>
        </is>
      </c>
      <c r="W250" s="3" t="inlineStr">
        <is>
          <t>Rejected</t>
        </is>
      </c>
      <c r="X250" s="2">
        <f>Z250</f>
        <v/>
      </c>
      <c r="Y250" s="73">
        <f>IF(X250="","",X250-A250)</f>
        <v/>
      </c>
      <c r="Z250" s="18" t="n">
        <v>46147</v>
      </c>
      <c r="AA250" s="15" t="n"/>
      <c r="AB250" s="15" t="n"/>
      <c r="AF250">
        <f>IF(AND($F250="Closed",$X250&gt;=DATE(2026,5,1),$X250&lt;=DATE(2026,5,31)),"Closed in May","Other")</f>
        <v/>
      </c>
    </row>
    <row r="251">
      <c r="A251" s="2" t="n">
        <v>46106</v>
      </c>
      <c r="B251" s="3" t="n">
        <v>2026</v>
      </c>
      <c r="C251" s="3" t="inlineStr">
        <is>
          <t>First Energy</t>
        </is>
      </c>
      <c r="D251" s="3" t="inlineStr">
        <is>
          <t>Utility and C&amp;I</t>
        </is>
      </c>
      <c r="E251" s="3" t="n"/>
      <c r="F251" s="3" t="inlineStr">
        <is>
          <t>Closed</t>
        </is>
      </c>
      <c r="G251" s="3" t="inlineStr">
        <is>
          <t>Mr. Gaurav</t>
        </is>
      </c>
      <c r="H251" s="3" t="n">
        <v>9979185999</v>
      </c>
      <c r="I251" s="11" t="inlineStr">
        <is>
          <t>PE25032601</t>
        </is>
      </c>
      <c r="J251" s="9" t="inlineStr">
        <is>
          <t>Module Defects</t>
        </is>
      </c>
      <c r="K251" s="3" t="inlineStr">
        <is>
          <t>Rajkot</t>
        </is>
      </c>
      <c r="L251" s="3" t="inlineStr">
        <is>
          <t>Gujarat</t>
        </is>
      </c>
      <c r="M251" s="9" t="inlineStr">
        <is>
          <t xml:space="preserve">hotspot found </t>
        </is>
      </c>
      <c r="N251" s="19" t="inlineStr">
        <is>
          <t>Hotspot</t>
        </is>
      </c>
      <c r="O251" s="3" t="n">
        <v>550</v>
      </c>
      <c r="P251" s="9" t="inlineStr">
        <is>
          <t>NSMP2301312023</t>
        </is>
      </c>
      <c r="Q251" s="53">
        <f>MID(P251,5,2)</f>
        <v/>
      </c>
      <c r="R251" s="53">
        <f>MID(P251,7,2)</f>
        <v/>
      </c>
      <c r="S251" s="3" t="inlineStr">
        <is>
          <t>G2B</t>
        </is>
      </c>
      <c r="T251" s="3" t="inlineStr">
        <is>
          <t>P2</t>
        </is>
      </c>
      <c r="U251" s="9" t="inlineStr">
        <is>
          <t>Multi Cell Hotspot</t>
        </is>
      </c>
      <c r="V251" s="3" t="inlineStr">
        <is>
          <t>Inspection</t>
        </is>
      </c>
      <c r="W251" s="3" t="inlineStr">
        <is>
          <t>Rejected</t>
        </is>
      </c>
      <c r="X251" s="2">
        <f>Z251</f>
        <v/>
      </c>
      <c r="Y251" s="73">
        <f>IF(X251="","",X251-A251)</f>
        <v/>
      </c>
      <c r="Z251" s="18" t="n">
        <v>46147</v>
      </c>
      <c r="AA251" s="15" t="n"/>
      <c r="AB251" s="15" t="n"/>
      <c r="AF251">
        <f>IF(AND($F251="Closed",$X251&gt;=DATE(2026,5,1),$X251&lt;=DATE(2026,5,31)),"Closed in May","Other")</f>
        <v/>
      </c>
    </row>
    <row r="252">
      <c r="A252" s="2" t="n">
        <v>46106</v>
      </c>
      <c r="B252" s="3" t="n">
        <v>2026</v>
      </c>
      <c r="C252" s="3" t="inlineStr">
        <is>
          <t>First Energy</t>
        </is>
      </c>
      <c r="D252" s="3" t="inlineStr">
        <is>
          <t>Utility and C&amp;I</t>
        </is>
      </c>
      <c r="E252" s="3" t="n"/>
      <c r="F252" s="3" t="inlineStr">
        <is>
          <t>Closed</t>
        </is>
      </c>
      <c r="G252" s="3" t="inlineStr">
        <is>
          <t>Mr. Gaurav</t>
        </is>
      </c>
      <c r="H252" s="3" t="n">
        <v>9979185999</v>
      </c>
      <c r="I252" s="11" t="inlineStr">
        <is>
          <t>PE25032601</t>
        </is>
      </c>
      <c r="J252" s="9" t="inlineStr">
        <is>
          <t>Module Defects</t>
        </is>
      </c>
      <c r="K252" s="3" t="inlineStr">
        <is>
          <t>Rajkot</t>
        </is>
      </c>
      <c r="L252" s="3" t="inlineStr">
        <is>
          <t>Gujarat</t>
        </is>
      </c>
      <c r="M252" s="9" t="inlineStr">
        <is>
          <t xml:space="preserve">hotspot found </t>
        </is>
      </c>
      <c r="N252" s="19" t="inlineStr">
        <is>
          <t>Hotspot</t>
        </is>
      </c>
      <c r="O252" s="3" t="n">
        <v>550</v>
      </c>
      <c r="P252" s="9" t="inlineStr">
        <is>
          <t>NSMP2301325458</t>
        </is>
      </c>
      <c r="Q252" s="53">
        <f>MID(P252,5,2)</f>
        <v/>
      </c>
      <c r="R252" s="53">
        <f>MID(P252,7,2)</f>
        <v/>
      </c>
      <c r="S252" s="3" t="inlineStr">
        <is>
          <t>G2B</t>
        </is>
      </c>
      <c r="T252" s="3" t="inlineStr">
        <is>
          <t>P2</t>
        </is>
      </c>
      <c r="U252" s="9" t="inlineStr">
        <is>
          <t>Multi Cell Hotspot</t>
        </is>
      </c>
      <c r="V252" s="3" t="inlineStr">
        <is>
          <t>Inspection</t>
        </is>
      </c>
      <c r="W252" s="3" t="inlineStr">
        <is>
          <t>Rejected</t>
        </is>
      </c>
      <c r="X252" s="2">
        <f>Z252</f>
        <v/>
      </c>
      <c r="Y252" s="73">
        <f>IF(X252="","",X252-A252)</f>
        <v/>
      </c>
      <c r="Z252" s="18" t="n">
        <v>46147</v>
      </c>
      <c r="AA252" s="15" t="n"/>
      <c r="AB252" s="15" t="n"/>
      <c r="AF252">
        <f>IF(AND($F252="Closed",$X252&gt;=DATE(2026,5,1),$X252&lt;=DATE(2026,5,31)),"Closed in May","Other")</f>
        <v/>
      </c>
    </row>
    <row r="253">
      <c r="A253" s="2" t="n">
        <v>46106</v>
      </c>
      <c r="B253" s="3" t="n">
        <v>2026</v>
      </c>
      <c r="C253" s="3" t="inlineStr">
        <is>
          <t>First Energy</t>
        </is>
      </c>
      <c r="D253" s="3" t="inlineStr">
        <is>
          <t>Utility and C&amp;I</t>
        </is>
      </c>
      <c r="E253" s="3" t="n"/>
      <c r="F253" s="3" t="inlineStr">
        <is>
          <t>Closed</t>
        </is>
      </c>
      <c r="G253" s="3" t="inlineStr">
        <is>
          <t>Mr. Gaurav</t>
        </is>
      </c>
      <c r="H253" s="3" t="n">
        <v>9979185999</v>
      </c>
      <c r="I253" s="11" t="inlineStr">
        <is>
          <t>PE25032601</t>
        </is>
      </c>
      <c r="J253" s="9" t="inlineStr">
        <is>
          <t>Module Defects</t>
        </is>
      </c>
      <c r="K253" s="3" t="inlineStr">
        <is>
          <t>Rajkot</t>
        </is>
      </c>
      <c r="L253" s="3" t="inlineStr">
        <is>
          <t>Gujarat</t>
        </is>
      </c>
      <c r="M253" s="9" t="inlineStr">
        <is>
          <t xml:space="preserve">hotspot found </t>
        </is>
      </c>
      <c r="N253" s="19" t="inlineStr">
        <is>
          <t>Hotspot</t>
        </is>
      </c>
      <c r="O253" s="3" t="n">
        <v>550</v>
      </c>
      <c r="P253" s="9" t="inlineStr">
        <is>
          <t>NSMP2301258335</t>
        </is>
      </c>
      <c r="Q253" s="53">
        <f>MID(P253,5,2)</f>
        <v/>
      </c>
      <c r="R253" s="53">
        <f>MID(P253,7,2)</f>
        <v/>
      </c>
      <c r="S253" s="3" t="inlineStr">
        <is>
          <t>G2B</t>
        </is>
      </c>
      <c r="T253" s="3" t="inlineStr">
        <is>
          <t>P2</t>
        </is>
      </c>
      <c r="U253" s="9" t="inlineStr">
        <is>
          <t>Multi Cell Hotspot</t>
        </is>
      </c>
      <c r="V253" s="3" t="inlineStr">
        <is>
          <t>Inspection</t>
        </is>
      </c>
      <c r="W253" s="3" t="inlineStr">
        <is>
          <t>Rejected</t>
        </is>
      </c>
      <c r="X253" s="2">
        <f>Z253</f>
        <v/>
      </c>
      <c r="Y253" s="73">
        <f>IF(X253="","",X253-A253)</f>
        <v/>
      </c>
      <c r="Z253" s="18" t="n">
        <v>46147</v>
      </c>
      <c r="AA253" s="15" t="n"/>
      <c r="AB253" s="15" t="n"/>
      <c r="AF253">
        <f>IF(AND($F253="Closed",$X253&gt;=DATE(2026,5,1),$X253&lt;=DATE(2026,5,31)),"Closed in May","Other")</f>
        <v/>
      </c>
    </row>
    <row r="254">
      <c r="A254" s="2" t="n">
        <v>46106</v>
      </c>
      <c r="B254" s="3" t="n">
        <v>2026</v>
      </c>
      <c r="C254" s="3" t="inlineStr">
        <is>
          <t>First Energy</t>
        </is>
      </c>
      <c r="D254" s="3" t="inlineStr">
        <is>
          <t>Utility and C&amp;I</t>
        </is>
      </c>
      <c r="E254" s="3" t="n"/>
      <c r="F254" s="3" t="inlineStr">
        <is>
          <t>Closed</t>
        </is>
      </c>
      <c r="G254" s="3" t="inlineStr">
        <is>
          <t>Mr. Gaurav</t>
        </is>
      </c>
      <c r="H254" s="3" t="n">
        <v>9979185999</v>
      </c>
      <c r="I254" s="11" t="inlineStr">
        <is>
          <t>PE25032601</t>
        </is>
      </c>
      <c r="J254" s="9" t="inlineStr">
        <is>
          <t>Module Defects</t>
        </is>
      </c>
      <c r="K254" s="3" t="inlineStr">
        <is>
          <t>Rajkot</t>
        </is>
      </c>
      <c r="L254" s="3" t="inlineStr">
        <is>
          <t>Gujarat</t>
        </is>
      </c>
      <c r="M254" s="9" t="inlineStr">
        <is>
          <t xml:space="preserve">hotspot found </t>
        </is>
      </c>
      <c r="N254" s="19" t="inlineStr">
        <is>
          <t>Hotspot</t>
        </is>
      </c>
      <c r="O254" s="3" t="n">
        <v>550</v>
      </c>
      <c r="P254" s="9" t="inlineStr">
        <is>
          <t>NSMP2301328437</t>
        </is>
      </c>
      <c r="Q254" s="53">
        <f>MID(P254,5,2)</f>
        <v/>
      </c>
      <c r="R254" s="53">
        <f>MID(P254,7,2)</f>
        <v/>
      </c>
      <c r="S254" s="3" t="inlineStr">
        <is>
          <t>G2B</t>
        </is>
      </c>
      <c r="T254" s="3" t="inlineStr">
        <is>
          <t>P2</t>
        </is>
      </c>
      <c r="U254" s="9" t="inlineStr">
        <is>
          <t>Multi Cell Hotspot</t>
        </is>
      </c>
      <c r="V254" s="3" t="inlineStr">
        <is>
          <t>Inspection</t>
        </is>
      </c>
      <c r="W254" s="3" t="inlineStr">
        <is>
          <t>Rejected</t>
        </is>
      </c>
      <c r="X254" s="2">
        <f>Z254</f>
        <v/>
      </c>
      <c r="Y254" s="73">
        <f>IF(X254="","",X254-A254)</f>
        <v/>
      </c>
      <c r="Z254" s="18" t="n">
        <v>46147</v>
      </c>
      <c r="AA254" s="15" t="n"/>
      <c r="AB254" s="15" t="n"/>
      <c r="AF254">
        <f>IF(AND($F254="Closed",$X254&gt;=DATE(2026,5,1),$X254&lt;=DATE(2026,5,31)),"Closed in May","Other")</f>
        <v/>
      </c>
    </row>
    <row r="255">
      <c r="A255" s="2" t="n">
        <v>46106</v>
      </c>
      <c r="B255" s="3" t="n">
        <v>2026</v>
      </c>
      <c r="C255" s="3" t="inlineStr">
        <is>
          <t>First Energy</t>
        </is>
      </c>
      <c r="D255" s="3" t="inlineStr">
        <is>
          <t>Utility and C&amp;I</t>
        </is>
      </c>
      <c r="E255" s="3" t="n"/>
      <c r="F255" s="3" t="inlineStr">
        <is>
          <t>Closed</t>
        </is>
      </c>
      <c r="G255" s="3" t="inlineStr">
        <is>
          <t>Mr. Gaurav</t>
        </is>
      </c>
      <c r="H255" s="3" t="n">
        <v>9979185999</v>
      </c>
      <c r="I255" s="11" t="inlineStr">
        <is>
          <t>PE25032601</t>
        </is>
      </c>
      <c r="J255" s="9" t="inlineStr">
        <is>
          <t>Module Defects</t>
        </is>
      </c>
      <c r="K255" s="3" t="inlineStr">
        <is>
          <t>Rajkot</t>
        </is>
      </c>
      <c r="L255" s="3" t="inlineStr">
        <is>
          <t>Gujarat</t>
        </is>
      </c>
      <c r="M255" s="9" t="inlineStr">
        <is>
          <t xml:space="preserve">hotspot found </t>
        </is>
      </c>
      <c r="N255" s="19" t="inlineStr">
        <is>
          <t>Hotspot</t>
        </is>
      </c>
      <c r="O255" s="3" t="n">
        <v>550</v>
      </c>
      <c r="P255" s="9" t="inlineStr">
        <is>
          <t>NSMP2212283807</t>
        </is>
      </c>
      <c r="Q255" s="53">
        <f>MID(P255,5,2)</f>
        <v/>
      </c>
      <c r="R255" s="53">
        <f>MID(P255,7,2)</f>
        <v/>
      </c>
      <c r="S255" s="3" t="inlineStr">
        <is>
          <t>G2B</t>
        </is>
      </c>
      <c r="T255" s="3" t="inlineStr">
        <is>
          <t>P2</t>
        </is>
      </c>
      <c r="U255" s="9" t="inlineStr">
        <is>
          <t xml:space="preserve">Multi Cell Hotspot </t>
        </is>
      </c>
      <c r="V255" s="3" t="inlineStr">
        <is>
          <t>Inspection</t>
        </is>
      </c>
      <c r="W255" s="3" t="inlineStr">
        <is>
          <t>Rejected</t>
        </is>
      </c>
      <c r="X255" s="2">
        <f>Z255</f>
        <v/>
      </c>
      <c r="Y255" s="73">
        <f>IF(X255="","",X255-A255)</f>
        <v/>
      </c>
      <c r="Z255" s="18" t="n">
        <v>46147</v>
      </c>
      <c r="AA255" s="15" t="n"/>
      <c r="AB255" s="15" t="n"/>
      <c r="AF255">
        <f>IF(AND($F255="Closed",$X255&gt;=DATE(2026,5,1),$X255&lt;=DATE(2026,5,31)),"Closed in May","Other")</f>
        <v/>
      </c>
    </row>
    <row r="256">
      <c r="A256" s="2" t="n">
        <v>46106</v>
      </c>
      <c r="B256" s="3" t="n">
        <v>2026</v>
      </c>
      <c r="C256" s="3" t="inlineStr">
        <is>
          <t>First Energy</t>
        </is>
      </c>
      <c r="D256" s="3" t="inlineStr">
        <is>
          <t>Utility and C&amp;I</t>
        </is>
      </c>
      <c r="E256" s="3" t="n"/>
      <c r="F256" s="3" t="inlineStr">
        <is>
          <t>Closed</t>
        </is>
      </c>
      <c r="G256" s="3" t="inlineStr">
        <is>
          <t>Mr. Gaurav</t>
        </is>
      </c>
      <c r="H256" s="3" t="n">
        <v>9979185999</v>
      </c>
      <c r="I256" s="11" t="inlineStr">
        <is>
          <t>PE25032601</t>
        </is>
      </c>
      <c r="J256" s="9" t="inlineStr">
        <is>
          <t>Module Defects</t>
        </is>
      </c>
      <c r="K256" s="3" t="inlineStr">
        <is>
          <t>Rajkot</t>
        </is>
      </c>
      <c r="L256" s="3" t="inlineStr">
        <is>
          <t>Gujarat</t>
        </is>
      </c>
      <c r="M256" s="9" t="inlineStr">
        <is>
          <t xml:space="preserve">hotspot found </t>
        </is>
      </c>
      <c r="N256" s="19" t="inlineStr">
        <is>
          <t>Hotspot</t>
        </is>
      </c>
      <c r="O256" s="3" t="n">
        <v>550</v>
      </c>
      <c r="P256" s="9" t="inlineStr">
        <is>
          <t>NSMP2212269694</t>
        </is>
      </c>
      <c r="Q256" s="53">
        <f>MID(P256,5,2)</f>
        <v/>
      </c>
      <c r="R256" s="53">
        <f>MID(P256,7,2)</f>
        <v/>
      </c>
      <c r="S256" s="3" t="inlineStr">
        <is>
          <t>G2B</t>
        </is>
      </c>
      <c r="T256" s="3" t="inlineStr">
        <is>
          <t>P2</t>
        </is>
      </c>
      <c r="U256" s="9" t="inlineStr">
        <is>
          <t xml:space="preserve">Single Cell Hotspot </t>
        </is>
      </c>
      <c r="V256" s="3" t="inlineStr">
        <is>
          <t>Inspection</t>
        </is>
      </c>
      <c r="W256" s="3" t="inlineStr">
        <is>
          <t>Rejected</t>
        </is>
      </c>
      <c r="X256" s="2">
        <f>Z256</f>
        <v/>
      </c>
      <c r="Y256" s="73">
        <f>IF(X256="","",X256-A256)</f>
        <v/>
      </c>
      <c r="Z256" s="18" t="n">
        <v>46147</v>
      </c>
      <c r="AA256" s="15" t="n"/>
      <c r="AB256" s="15" t="n"/>
      <c r="AF256">
        <f>IF(AND($F256="Closed",$X256&gt;=DATE(2026,5,1),$X256&lt;=DATE(2026,5,31)),"Closed in May","Other")</f>
        <v/>
      </c>
    </row>
    <row r="257">
      <c r="A257" s="2" t="n">
        <v>46106</v>
      </c>
      <c r="B257" s="3" t="n">
        <v>2026</v>
      </c>
      <c r="C257" s="3" t="inlineStr">
        <is>
          <t>First Energy</t>
        </is>
      </c>
      <c r="D257" s="3" t="inlineStr">
        <is>
          <t>Utility and C&amp;I</t>
        </is>
      </c>
      <c r="E257" s="3" t="n"/>
      <c r="F257" s="3" t="inlineStr">
        <is>
          <t>Closed</t>
        </is>
      </c>
      <c r="G257" s="3" t="inlineStr">
        <is>
          <t>Mr. Gaurav</t>
        </is>
      </c>
      <c r="H257" s="3" t="n">
        <v>9979185999</v>
      </c>
      <c r="I257" s="11" t="inlineStr">
        <is>
          <t>PE25032601</t>
        </is>
      </c>
      <c r="J257" s="9" t="inlineStr">
        <is>
          <t>Module Defects</t>
        </is>
      </c>
      <c r="K257" s="3" t="inlineStr">
        <is>
          <t>Rajkot</t>
        </is>
      </c>
      <c r="L257" s="3" t="inlineStr">
        <is>
          <t>Gujarat</t>
        </is>
      </c>
      <c r="M257" s="9" t="inlineStr">
        <is>
          <t xml:space="preserve">hotspot found </t>
        </is>
      </c>
      <c r="N257" s="19" t="inlineStr">
        <is>
          <t>Hotspot</t>
        </is>
      </c>
      <c r="O257" s="3" t="n">
        <v>550</v>
      </c>
      <c r="P257" s="9" t="inlineStr">
        <is>
          <t>NSMP2301310824</t>
        </is>
      </c>
      <c r="Q257" s="53">
        <f>MID(P257,5,2)</f>
        <v/>
      </c>
      <c r="R257" s="53">
        <f>MID(P257,7,2)</f>
        <v/>
      </c>
      <c r="S257" s="3" t="inlineStr">
        <is>
          <t>G2B</t>
        </is>
      </c>
      <c r="T257" s="3" t="inlineStr">
        <is>
          <t>P2</t>
        </is>
      </c>
      <c r="U257" s="9" t="inlineStr">
        <is>
          <t>Multi Cell Hotspot</t>
        </is>
      </c>
      <c r="V257" s="3" t="inlineStr">
        <is>
          <t>Inspection</t>
        </is>
      </c>
      <c r="W257" s="3" t="inlineStr">
        <is>
          <t>Rejected</t>
        </is>
      </c>
      <c r="X257" s="2">
        <f>Z257</f>
        <v/>
      </c>
      <c r="Y257" s="73">
        <f>IF(X257="","",X257-A257)</f>
        <v/>
      </c>
      <c r="Z257" s="18" t="n">
        <v>46147</v>
      </c>
      <c r="AA257" s="15" t="n"/>
      <c r="AB257" s="15" t="n"/>
      <c r="AF257">
        <f>IF(AND($F257="Closed",$X257&gt;=DATE(2026,5,1),$X257&lt;=DATE(2026,5,31)),"Closed in May","Other")</f>
        <v/>
      </c>
    </row>
    <row r="258">
      <c r="A258" s="2" t="n">
        <v>46106</v>
      </c>
      <c r="B258" s="3" t="n">
        <v>2026</v>
      </c>
      <c r="C258" s="3" t="inlineStr">
        <is>
          <t>First Energy</t>
        </is>
      </c>
      <c r="D258" s="3" t="inlineStr">
        <is>
          <t>Utility and C&amp;I</t>
        </is>
      </c>
      <c r="E258" s="3" t="n"/>
      <c r="F258" s="3" t="inlineStr">
        <is>
          <t>Closed</t>
        </is>
      </c>
      <c r="G258" s="3" t="inlineStr">
        <is>
          <t>Mr. Gaurav</t>
        </is>
      </c>
      <c r="H258" s="3" t="n">
        <v>9979185999</v>
      </c>
      <c r="I258" s="11" t="inlineStr">
        <is>
          <t>PE25032601</t>
        </is>
      </c>
      <c r="J258" s="9" t="inlineStr">
        <is>
          <t>Module Defects</t>
        </is>
      </c>
      <c r="K258" s="3" t="inlineStr">
        <is>
          <t>Rajkot</t>
        </is>
      </c>
      <c r="L258" s="3" t="inlineStr">
        <is>
          <t>Gujarat</t>
        </is>
      </c>
      <c r="M258" s="9" t="inlineStr">
        <is>
          <t xml:space="preserve">hotspot found </t>
        </is>
      </c>
      <c r="N258" s="19" t="inlineStr">
        <is>
          <t>Hotspot</t>
        </is>
      </c>
      <c r="O258" s="3" t="n">
        <v>550</v>
      </c>
      <c r="P258" s="9" t="inlineStr">
        <is>
          <t>NSMP2304020457</t>
        </is>
      </c>
      <c r="Q258" s="53">
        <f>MID(P258,5,2)</f>
        <v/>
      </c>
      <c r="R258" s="53">
        <f>MID(P258,7,2)</f>
        <v/>
      </c>
      <c r="S258" s="3" t="inlineStr">
        <is>
          <t>G2B</t>
        </is>
      </c>
      <c r="T258" s="3" t="inlineStr">
        <is>
          <t>P2</t>
        </is>
      </c>
      <c r="U258" s="9" t="inlineStr">
        <is>
          <t xml:space="preserve">Multi Cell Hotspot </t>
        </is>
      </c>
      <c r="V258" s="3" t="inlineStr">
        <is>
          <t>Inspection</t>
        </is>
      </c>
      <c r="W258" s="3" t="inlineStr">
        <is>
          <t>Rejected</t>
        </is>
      </c>
      <c r="X258" s="2">
        <f>Z258</f>
        <v/>
      </c>
      <c r="Y258" s="73">
        <f>IF(X258="","",X258-A258)</f>
        <v/>
      </c>
      <c r="Z258" s="18" t="n">
        <v>46147</v>
      </c>
      <c r="AA258" s="15" t="n"/>
      <c r="AB258" s="15" t="n"/>
      <c r="AF258">
        <f>IF(AND($F258="Closed",$X258&gt;=DATE(2026,5,1),$X258&lt;=DATE(2026,5,31)),"Closed in May","Other")</f>
        <v/>
      </c>
    </row>
    <row r="259">
      <c r="A259" s="2" t="n">
        <v>46106</v>
      </c>
      <c r="B259" s="3" t="n">
        <v>2026</v>
      </c>
      <c r="C259" s="3" t="inlineStr">
        <is>
          <t>First Energy</t>
        </is>
      </c>
      <c r="D259" s="3" t="inlineStr">
        <is>
          <t>Utility and C&amp;I</t>
        </is>
      </c>
      <c r="E259" s="3" t="n"/>
      <c r="F259" s="3" t="inlineStr">
        <is>
          <t>Closed</t>
        </is>
      </c>
      <c r="G259" s="3" t="inlineStr">
        <is>
          <t>Mr. Gaurav</t>
        </is>
      </c>
      <c r="H259" s="3" t="n">
        <v>9979185999</v>
      </c>
      <c r="I259" s="11" t="inlineStr">
        <is>
          <t>PE25032601</t>
        </is>
      </c>
      <c r="J259" s="9" t="inlineStr">
        <is>
          <t>Module Defects</t>
        </is>
      </c>
      <c r="K259" s="3" t="inlineStr">
        <is>
          <t>Rajkot</t>
        </is>
      </c>
      <c r="L259" s="3" t="inlineStr">
        <is>
          <t>Gujarat</t>
        </is>
      </c>
      <c r="M259" s="9" t="inlineStr">
        <is>
          <t xml:space="preserve">hotspot found </t>
        </is>
      </c>
      <c r="N259" s="19" t="inlineStr">
        <is>
          <t>Hotspot</t>
        </is>
      </c>
      <c r="O259" s="3" t="n">
        <v>550</v>
      </c>
      <c r="P259" s="9" t="inlineStr">
        <is>
          <t>NSMP2301289735</t>
        </is>
      </c>
      <c r="Q259" s="53">
        <f>MID(P259,5,2)</f>
        <v/>
      </c>
      <c r="R259" s="53">
        <f>MID(P259,7,2)</f>
        <v/>
      </c>
      <c r="S259" s="3" t="inlineStr">
        <is>
          <t>G2B</t>
        </is>
      </c>
      <c r="T259" s="3" t="inlineStr">
        <is>
          <t>P2</t>
        </is>
      </c>
      <c r="U259" s="9" t="inlineStr">
        <is>
          <t xml:space="preserve">Single Cell Hotspot </t>
        </is>
      </c>
      <c r="V259" s="3" t="inlineStr">
        <is>
          <t>Inspection</t>
        </is>
      </c>
      <c r="W259" s="3" t="inlineStr">
        <is>
          <t>Rejected</t>
        </is>
      </c>
      <c r="X259" s="2">
        <f>Z259</f>
        <v/>
      </c>
      <c r="Y259" s="73">
        <f>IF(X259="","",X259-A259)</f>
        <v/>
      </c>
      <c r="Z259" s="18" t="n">
        <v>46147</v>
      </c>
      <c r="AA259" s="15" t="n"/>
      <c r="AB259" s="15" t="n"/>
      <c r="AF259">
        <f>IF(AND($F259="Closed",$X259&gt;=DATE(2026,5,1),$X259&lt;=DATE(2026,5,31)),"Closed in May","Other")</f>
        <v/>
      </c>
    </row>
    <row r="260">
      <c r="A260" s="2" t="n">
        <v>46106</v>
      </c>
      <c r="B260" s="3" t="n">
        <v>2026</v>
      </c>
      <c r="C260" s="3" t="inlineStr">
        <is>
          <t>First Energy</t>
        </is>
      </c>
      <c r="D260" s="3" t="inlineStr">
        <is>
          <t>Utility and C&amp;I</t>
        </is>
      </c>
      <c r="E260" s="3" t="n"/>
      <c r="F260" s="3" t="inlineStr">
        <is>
          <t>Closed</t>
        </is>
      </c>
      <c r="G260" s="3" t="inlineStr">
        <is>
          <t>Mr. Gaurav</t>
        </is>
      </c>
      <c r="H260" s="3" t="n">
        <v>9979185999</v>
      </c>
      <c r="I260" s="11" t="inlineStr">
        <is>
          <t>PE25032601</t>
        </is>
      </c>
      <c r="J260" s="9" t="inlineStr">
        <is>
          <t>Module Defects</t>
        </is>
      </c>
      <c r="K260" s="3" t="inlineStr">
        <is>
          <t>Rajkot</t>
        </is>
      </c>
      <c r="L260" s="3" t="inlineStr">
        <is>
          <t>Gujarat</t>
        </is>
      </c>
      <c r="M260" s="9" t="inlineStr">
        <is>
          <t xml:space="preserve">hotspot found </t>
        </is>
      </c>
      <c r="N260" s="19" t="inlineStr">
        <is>
          <t>Hotspot</t>
        </is>
      </c>
      <c r="O260" s="3" t="n">
        <v>550</v>
      </c>
      <c r="P260" s="9" t="inlineStr">
        <is>
          <t>NSMP2301306702</t>
        </is>
      </c>
      <c r="Q260" s="53">
        <f>MID(P260,5,2)</f>
        <v/>
      </c>
      <c r="R260" s="53">
        <f>MID(P260,7,2)</f>
        <v/>
      </c>
      <c r="S260" s="3" t="inlineStr">
        <is>
          <t>G2B</t>
        </is>
      </c>
      <c r="T260" s="3" t="inlineStr">
        <is>
          <t>P2</t>
        </is>
      </c>
      <c r="U260" s="9" t="inlineStr">
        <is>
          <t>Single Cell Hotspot</t>
        </is>
      </c>
      <c r="V260" s="3" t="inlineStr">
        <is>
          <t>Inspection</t>
        </is>
      </c>
      <c r="W260" s="3" t="inlineStr">
        <is>
          <t>Rejected</t>
        </is>
      </c>
      <c r="X260" s="2">
        <f>Z260</f>
        <v/>
      </c>
      <c r="Y260" s="73">
        <f>IF(X260="","",X260-A260)</f>
        <v/>
      </c>
      <c r="Z260" s="18" t="n">
        <v>46147</v>
      </c>
      <c r="AA260" s="15" t="n"/>
      <c r="AB260" s="15" t="n"/>
      <c r="AF260">
        <f>IF(AND($F260="Closed",$X260&gt;=DATE(2026,5,1),$X260&lt;=DATE(2026,5,31)),"Closed in May","Other")</f>
        <v/>
      </c>
    </row>
    <row r="261">
      <c r="A261" s="2" t="n">
        <v>46106</v>
      </c>
      <c r="B261" s="3" t="n">
        <v>2026</v>
      </c>
      <c r="C261" s="3" t="inlineStr">
        <is>
          <t>First Energy</t>
        </is>
      </c>
      <c r="D261" s="3" t="inlineStr">
        <is>
          <t>Utility and C&amp;I</t>
        </is>
      </c>
      <c r="E261" s="3" t="n"/>
      <c r="F261" s="3" t="inlineStr">
        <is>
          <t>Closed</t>
        </is>
      </c>
      <c r="G261" s="3" t="inlineStr">
        <is>
          <t>Mr. Gaurav</t>
        </is>
      </c>
      <c r="H261" s="3" t="n">
        <v>9979185999</v>
      </c>
      <c r="I261" s="11" t="inlineStr">
        <is>
          <t>PE25032601</t>
        </is>
      </c>
      <c r="J261" s="9" t="inlineStr">
        <is>
          <t>Module Defects</t>
        </is>
      </c>
      <c r="K261" s="3" t="inlineStr">
        <is>
          <t>Rajkot</t>
        </is>
      </c>
      <c r="L261" s="3" t="inlineStr">
        <is>
          <t>Gujarat</t>
        </is>
      </c>
      <c r="M261" s="9" t="inlineStr">
        <is>
          <t xml:space="preserve">hotspot found </t>
        </is>
      </c>
      <c r="N261" s="19" t="inlineStr">
        <is>
          <t>Hotspot</t>
        </is>
      </c>
      <c r="O261" s="3" t="n">
        <v>550</v>
      </c>
      <c r="P261" s="9" t="inlineStr">
        <is>
          <t>NSMP2212280205</t>
        </is>
      </c>
      <c r="Q261" s="53">
        <f>MID(P261,5,2)</f>
        <v/>
      </c>
      <c r="R261" s="53">
        <f>MID(P261,7,2)</f>
        <v/>
      </c>
      <c r="S261" s="3" t="inlineStr">
        <is>
          <t>G2B</t>
        </is>
      </c>
      <c r="T261" s="3" t="inlineStr">
        <is>
          <t>P2</t>
        </is>
      </c>
      <c r="U261" s="9" t="inlineStr">
        <is>
          <t>Multi Cell Hotspot</t>
        </is>
      </c>
      <c r="V261" s="3" t="inlineStr">
        <is>
          <t>Inspection</t>
        </is>
      </c>
      <c r="W261" s="3" t="inlineStr">
        <is>
          <t>Rejected</t>
        </is>
      </c>
      <c r="X261" s="2">
        <f>Z261</f>
        <v/>
      </c>
      <c r="Y261" s="73">
        <f>IF(X261="","",X261-A261)</f>
        <v/>
      </c>
      <c r="Z261" s="18" t="n">
        <v>46147</v>
      </c>
      <c r="AA261" s="15" t="n"/>
      <c r="AB261" s="15" t="n"/>
      <c r="AF261">
        <f>IF(AND($F261="Closed",$X261&gt;=DATE(2026,5,1),$X261&lt;=DATE(2026,5,31)),"Closed in May","Other")</f>
        <v/>
      </c>
    </row>
    <row r="262">
      <c r="A262" s="2" t="n">
        <v>46106</v>
      </c>
      <c r="B262" s="3" t="n">
        <v>2026</v>
      </c>
      <c r="C262" s="3" t="inlineStr">
        <is>
          <t>First Energy</t>
        </is>
      </c>
      <c r="D262" s="3" t="inlineStr">
        <is>
          <t>Utility and C&amp;I</t>
        </is>
      </c>
      <c r="E262" s="3" t="n"/>
      <c r="F262" s="3" t="inlineStr">
        <is>
          <t>Closed</t>
        </is>
      </c>
      <c r="G262" s="3" t="inlineStr">
        <is>
          <t>Mr. Gaurav</t>
        </is>
      </c>
      <c r="H262" s="3" t="n">
        <v>9979185999</v>
      </c>
      <c r="I262" s="11" t="inlineStr">
        <is>
          <t>PE25032601</t>
        </is>
      </c>
      <c r="J262" s="9" t="inlineStr">
        <is>
          <t>Module Defects</t>
        </is>
      </c>
      <c r="K262" s="3" t="inlineStr">
        <is>
          <t>Rajkot</t>
        </is>
      </c>
      <c r="L262" s="3" t="inlineStr">
        <is>
          <t>Gujarat</t>
        </is>
      </c>
      <c r="M262" s="9" t="inlineStr">
        <is>
          <t xml:space="preserve">hotspot found </t>
        </is>
      </c>
      <c r="N262" s="19" t="inlineStr">
        <is>
          <t>Hotspot</t>
        </is>
      </c>
      <c r="O262" s="3" t="n">
        <v>550</v>
      </c>
      <c r="P262" s="9" t="inlineStr">
        <is>
          <t>NSMP2212284621</t>
        </is>
      </c>
      <c r="Q262" s="53">
        <f>MID(P262,5,2)</f>
        <v/>
      </c>
      <c r="R262" s="53">
        <f>MID(P262,7,2)</f>
        <v/>
      </c>
      <c r="S262" s="3" t="inlineStr">
        <is>
          <t>G2B</t>
        </is>
      </c>
      <c r="T262" s="3" t="inlineStr">
        <is>
          <t>P2</t>
        </is>
      </c>
      <c r="U262" s="9" t="inlineStr">
        <is>
          <t xml:space="preserve">Multi Cell Hotspot </t>
        </is>
      </c>
      <c r="V262" s="3" t="inlineStr">
        <is>
          <t>Inspection</t>
        </is>
      </c>
      <c r="W262" s="3" t="inlineStr">
        <is>
          <t>Rejected</t>
        </is>
      </c>
      <c r="X262" s="2">
        <f>Z262</f>
        <v/>
      </c>
      <c r="Y262" s="73">
        <f>IF(X262="","",X262-A262)</f>
        <v/>
      </c>
      <c r="Z262" s="18" t="n">
        <v>46147</v>
      </c>
      <c r="AA262" s="15" t="n"/>
      <c r="AB262" s="15" t="n"/>
      <c r="AF262">
        <f>IF(AND($F262="Closed",$X262&gt;=DATE(2026,5,1),$X262&lt;=DATE(2026,5,31)),"Closed in May","Other")</f>
        <v/>
      </c>
    </row>
    <row r="263">
      <c r="A263" s="2" t="n">
        <v>46106</v>
      </c>
      <c r="B263" s="3" t="n">
        <v>2026</v>
      </c>
      <c r="C263" s="3" t="inlineStr">
        <is>
          <t>First Energy</t>
        </is>
      </c>
      <c r="D263" s="3" t="inlineStr">
        <is>
          <t>Utility and C&amp;I</t>
        </is>
      </c>
      <c r="E263" s="3" t="n"/>
      <c r="F263" s="3" t="inlineStr">
        <is>
          <t>WIP</t>
        </is>
      </c>
      <c r="G263" s="3" t="inlineStr">
        <is>
          <t>Mr. Gaurav</t>
        </is>
      </c>
      <c r="H263" s="3" t="n">
        <v>9979185999</v>
      </c>
      <c r="I263" s="11" t="inlineStr">
        <is>
          <t>PE25032601</t>
        </is>
      </c>
      <c r="J263" s="9" t="inlineStr">
        <is>
          <t>Module Defects</t>
        </is>
      </c>
      <c r="K263" s="3" t="inlineStr">
        <is>
          <t>Rajkot</t>
        </is>
      </c>
      <c r="L263" s="3" t="inlineStr">
        <is>
          <t>Gujarat</t>
        </is>
      </c>
      <c r="M263" s="9" t="inlineStr">
        <is>
          <t xml:space="preserve">Broken Module </t>
        </is>
      </c>
      <c r="N263" s="19" t="inlineStr">
        <is>
          <t>Hotspot</t>
        </is>
      </c>
      <c r="O263" s="3" t="n">
        <v>550</v>
      </c>
      <c r="P263" s="9" t="inlineStr">
        <is>
          <t>NSMP2301308989</t>
        </is>
      </c>
      <c r="Q263" s="53">
        <f>MID(P263,5,2)</f>
        <v/>
      </c>
      <c r="R263" s="53">
        <f>MID(P263,7,2)</f>
        <v/>
      </c>
      <c r="S263" s="3" t="inlineStr">
        <is>
          <t>G2B</t>
        </is>
      </c>
      <c r="T263" s="3" t="inlineStr">
        <is>
          <t>P2</t>
        </is>
      </c>
      <c r="U263" s="9" t="inlineStr">
        <is>
          <t>Multi Cell Hotspot</t>
        </is>
      </c>
      <c r="V263" s="3" t="inlineStr">
        <is>
          <t>Inspection</t>
        </is>
      </c>
      <c r="W263" s="3" t="inlineStr">
        <is>
          <t>WIP</t>
        </is>
      </c>
      <c r="X263" s="5" t="n"/>
      <c r="Y263" s="73">
        <f>IF(X263="","",X263-A263)</f>
        <v/>
      </c>
      <c r="Z263" s="18" t="n">
        <v>46147</v>
      </c>
      <c r="AA263" s="15" t="n"/>
      <c r="AB263" s="15" t="n"/>
      <c r="AF263">
        <f>IF(AND($F263="Closed",$X263&gt;=DATE(2026,5,1),$X263&lt;=DATE(2026,5,31)),"Closed in May","Other")</f>
        <v/>
      </c>
    </row>
    <row r="264">
      <c r="A264" s="2" t="n">
        <v>46106</v>
      </c>
      <c r="B264" s="3" t="n">
        <v>2026</v>
      </c>
      <c r="C264" s="3" t="inlineStr">
        <is>
          <t>First Energy</t>
        </is>
      </c>
      <c r="D264" s="3" t="inlineStr">
        <is>
          <t>Utility and C&amp;I</t>
        </is>
      </c>
      <c r="E264" s="3" t="n"/>
      <c r="F264" s="3" t="inlineStr">
        <is>
          <t>WIP</t>
        </is>
      </c>
      <c r="G264" s="3" t="inlineStr">
        <is>
          <t>Mr. Gaurav</t>
        </is>
      </c>
      <c r="H264" s="3" t="n">
        <v>9979185999</v>
      </c>
      <c r="I264" s="11" t="inlineStr">
        <is>
          <t>PE25032601</t>
        </is>
      </c>
      <c r="J264" s="9" t="inlineStr">
        <is>
          <t>Module Defects</t>
        </is>
      </c>
      <c r="K264" s="3" t="inlineStr">
        <is>
          <t>Rajkot</t>
        </is>
      </c>
      <c r="L264" s="3" t="inlineStr">
        <is>
          <t>Gujarat</t>
        </is>
      </c>
      <c r="M264" s="9" t="inlineStr">
        <is>
          <t xml:space="preserve">Broken Module </t>
        </is>
      </c>
      <c r="N264" s="19" t="inlineStr">
        <is>
          <t>Hotspot</t>
        </is>
      </c>
      <c r="O264" s="3" t="n">
        <v>550</v>
      </c>
      <c r="P264" s="9" t="inlineStr">
        <is>
          <t>NSMP2301326148</t>
        </is>
      </c>
      <c r="Q264" s="53">
        <f>MID(P264,5,2)</f>
        <v/>
      </c>
      <c r="R264" s="53">
        <f>MID(P264,7,2)</f>
        <v/>
      </c>
      <c r="S264" s="3" t="inlineStr">
        <is>
          <t>G2B</t>
        </is>
      </c>
      <c r="T264" s="3" t="inlineStr">
        <is>
          <t>P2</t>
        </is>
      </c>
      <c r="U264" s="9" t="inlineStr">
        <is>
          <t>Multi Cell Hotspot</t>
        </is>
      </c>
      <c r="V264" s="3" t="inlineStr">
        <is>
          <t>Inspection</t>
        </is>
      </c>
      <c r="W264" s="3" t="inlineStr">
        <is>
          <t>WIP</t>
        </is>
      </c>
      <c r="X264" s="5" t="n"/>
      <c r="Y264" s="73">
        <f>IF(X264="","",X264-A264)</f>
        <v/>
      </c>
      <c r="Z264" s="18" t="n">
        <v>46147</v>
      </c>
      <c r="AA264" s="15" t="n"/>
      <c r="AB264" s="15" t="n"/>
      <c r="AF264">
        <f>IF(AND($F264="Closed",$X264&gt;=DATE(2026,5,1),$X264&lt;=DATE(2026,5,31)),"Closed in May","Other")</f>
        <v/>
      </c>
    </row>
    <row r="265">
      <c r="A265" s="2" t="n">
        <v>46106</v>
      </c>
      <c r="B265" s="3" t="n">
        <v>2026</v>
      </c>
      <c r="C265" s="3" t="inlineStr">
        <is>
          <t>First Energy</t>
        </is>
      </c>
      <c r="D265" s="3" t="inlineStr">
        <is>
          <t>Utility and C&amp;I</t>
        </is>
      </c>
      <c r="E265" s="3" t="n"/>
      <c r="F265" s="3" t="inlineStr">
        <is>
          <t>Closed</t>
        </is>
      </c>
      <c r="G265" s="3" t="inlineStr">
        <is>
          <t>Mr. Gaurav</t>
        </is>
      </c>
      <c r="H265" s="3" t="n">
        <v>9979185999</v>
      </c>
      <c r="I265" s="11" t="inlineStr">
        <is>
          <t>PE25032601</t>
        </is>
      </c>
      <c r="J265" s="9" t="inlineStr">
        <is>
          <t>Module Defects</t>
        </is>
      </c>
      <c r="K265" s="3" t="inlineStr">
        <is>
          <t>Rajkot</t>
        </is>
      </c>
      <c r="L265" s="3" t="inlineStr">
        <is>
          <t>Gujarat</t>
        </is>
      </c>
      <c r="M265" s="9" t="inlineStr">
        <is>
          <t xml:space="preserve">hotspot found </t>
        </is>
      </c>
      <c r="N265" s="19" t="inlineStr">
        <is>
          <t>Hotspot</t>
        </is>
      </c>
      <c r="O265" s="3" t="n">
        <v>550</v>
      </c>
      <c r="P265" s="9" t="inlineStr">
        <is>
          <t>NSMP2212286319</t>
        </is>
      </c>
      <c r="Q265" s="53">
        <f>MID(P265,5,2)</f>
        <v/>
      </c>
      <c r="R265" s="53">
        <f>MID(P265,7,2)</f>
        <v/>
      </c>
      <c r="S265" s="3" t="inlineStr">
        <is>
          <t>G2B</t>
        </is>
      </c>
      <c r="T265" s="3" t="inlineStr">
        <is>
          <t>P2</t>
        </is>
      </c>
      <c r="U265" s="9" t="inlineStr">
        <is>
          <t>Multi Cell Hotspot</t>
        </is>
      </c>
      <c r="V265" s="3" t="inlineStr">
        <is>
          <t>Inspection</t>
        </is>
      </c>
      <c r="W265" s="3" t="inlineStr">
        <is>
          <t>Rejected</t>
        </is>
      </c>
      <c r="X265" s="2">
        <f>Z265</f>
        <v/>
      </c>
      <c r="Y265" s="73">
        <f>IF(X265="","",X265-A265)</f>
        <v/>
      </c>
      <c r="Z265" s="18" t="n">
        <v>46147</v>
      </c>
      <c r="AA265" s="15" t="n"/>
      <c r="AB265" s="15" t="n"/>
      <c r="AF265">
        <f>IF(AND($F265="Closed",$X265&gt;=DATE(2026,5,1),$X265&lt;=DATE(2026,5,31)),"Closed in May","Other")</f>
        <v/>
      </c>
    </row>
    <row r="266">
      <c r="A266" s="2" t="n">
        <v>46106</v>
      </c>
      <c r="B266" s="3" t="n">
        <v>2026</v>
      </c>
      <c r="C266" s="3" t="inlineStr">
        <is>
          <t>First Energy</t>
        </is>
      </c>
      <c r="D266" s="3" t="inlineStr">
        <is>
          <t>Utility and C&amp;I</t>
        </is>
      </c>
      <c r="E266" s="3" t="n"/>
      <c r="F266" s="3" t="inlineStr">
        <is>
          <t>Closed</t>
        </is>
      </c>
      <c r="G266" s="3" t="inlineStr">
        <is>
          <t>Mr. Gaurav</t>
        </is>
      </c>
      <c r="H266" s="3" t="n">
        <v>9979185999</v>
      </c>
      <c r="I266" s="11" t="inlineStr">
        <is>
          <t>PE25032601</t>
        </is>
      </c>
      <c r="J266" s="9" t="inlineStr">
        <is>
          <t>Module Defects</t>
        </is>
      </c>
      <c r="K266" s="3" t="inlineStr">
        <is>
          <t>Rajkot</t>
        </is>
      </c>
      <c r="L266" s="3" t="inlineStr">
        <is>
          <t>Gujarat</t>
        </is>
      </c>
      <c r="M266" s="9" t="inlineStr">
        <is>
          <t xml:space="preserve">hotspot found </t>
        </is>
      </c>
      <c r="N266" s="19" t="inlineStr">
        <is>
          <t>Hotspot</t>
        </is>
      </c>
      <c r="O266" s="3" t="n">
        <v>550</v>
      </c>
      <c r="P266" s="9" t="inlineStr">
        <is>
          <t>NSMP2301311039</t>
        </is>
      </c>
      <c r="Q266" s="53">
        <f>MID(P266,5,2)</f>
        <v/>
      </c>
      <c r="R266" s="53">
        <f>MID(P266,7,2)</f>
        <v/>
      </c>
      <c r="S266" s="3" t="inlineStr">
        <is>
          <t>G2B</t>
        </is>
      </c>
      <c r="T266" s="3" t="inlineStr">
        <is>
          <t>P2</t>
        </is>
      </c>
      <c r="U266" s="9" t="inlineStr">
        <is>
          <t>Single Cell Hotspot</t>
        </is>
      </c>
      <c r="V266" s="3" t="inlineStr">
        <is>
          <t>Inspection</t>
        </is>
      </c>
      <c r="W266" s="3" t="inlineStr">
        <is>
          <t>Rejected</t>
        </is>
      </c>
      <c r="X266" s="2">
        <f>Z266</f>
        <v/>
      </c>
      <c r="Y266" s="73">
        <f>IF(X266="","",X266-A266)</f>
        <v/>
      </c>
      <c r="Z266" s="18" t="n">
        <v>46147</v>
      </c>
      <c r="AA266" s="15" t="n"/>
      <c r="AB266" s="15" t="n"/>
      <c r="AF266">
        <f>IF(AND($F266="Closed",$X266&gt;=DATE(2026,5,1),$X266&lt;=DATE(2026,5,31)),"Closed in May","Other")</f>
        <v/>
      </c>
    </row>
    <row r="267">
      <c r="A267" s="2" t="n">
        <v>46106</v>
      </c>
      <c r="B267" s="3" t="n">
        <v>2026</v>
      </c>
      <c r="C267" s="3" t="inlineStr">
        <is>
          <t>First Energy</t>
        </is>
      </c>
      <c r="D267" s="3" t="inlineStr">
        <is>
          <t>Utility and C&amp;I</t>
        </is>
      </c>
      <c r="E267" s="3" t="n"/>
      <c r="F267" s="3" t="inlineStr">
        <is>
          <t>Closed</t>
        </is>
      </c>
      <c r="G267" s="3" t="inlineStr">
        <is>
          <t>Mr. Gaurav</t>
        </is>
      </c>
      <c r="H267" s="3" t="n">
        <v>9979185999</v>
      </c>
      <c r="I267" s="11" t="inlineStr">
        <is>
          <t>PE25032601</t>
        </is>
      </c>
      <c r="J267" s="9" t="inlineStr">
        <is>
          <t>Module Defects</t>
        </is>
      </c>
      <c r="K267" s="3" t="inlineStr">
        <is>
          <t>Rajkot</t>
        </is>
      </c>
      <c r="L267" s="3" t="inlineStr">
        <is>
          <t>Gujarat</t>
        </is>
      </c>
      <c r="M267" s="9" t="inlineStr">
        <is>
          <t xml:space="preserve">hotspot found </t>
        </is>
      </c>
      <c r="N267" s="19" t="inlineStr">
        <is>
          <t>Hotspot</t>
        </is>
      </c>
      <c r="O267" s="3" t="n">
        <v>550</v>
      </c>
      <c r="P267" s="9" t="inlineStr">
        <is>
          <t>NSMP2301305169</t>
        </is>
      </c>
      <c r="Q267" s="53">
        <f>MID(P267,5,2)</f>
        <v/>
      </c>
      <c r="R267" s="53">
        <f>MID(P267,7,2)</f>
        <v/>
      </c>
      <c r="S267" s="3" t="inlineStr">
        <is>
          <t>G2B</t>
        </is>
      </c>
      <c r="T267" s="3" t="inlineStr">
        <is>
          <t>P2</t>
        </is>
      </c>
      <c r="U267" s="9" t="inlineStr">
        <is>
          <t>Single Cell Hotspot</t>
        </is>
      </c>
      <c r="V267" s="3" t="inlineStr">
        <is>
          <t>Inspection</t>
        </is>
      </c>
      <c r="W267" s="3" t="inlineStr">
        <is>
          <t>Rejected</t>
        </is>
      </c>
      <c r="X267" s="2">
        <f>Z267</f>
        <v/>
      </c>
      <c r="Y267" s="73">
        <f>IF(X267="","",X267-A267)</f>
        <v/>
      </c>
      <c r="Z267" s="18" t="n">
        <v>46147</v>
      </c>
      <c r="AA267" s="15" t="n"/>
      <c r="AB267" s="15" t="n"/>
      <c r="AF267">
        <f>IF(AND($F267="Closed",$X267&gt;=DATE(2026,5,1),$X267&lt;=DATE(2026,5,31)),"Closed in May","Other")</f>
        <v/>
      </c>
    </row>
    <row r="268">
      <c r="A268" s="2" t="n">
        <v>46106</v>
      </c>
      <c r="B268" s="3" t="n">
        <v>2026</v>
      </c>
      <c r="C268" s="3" t="inlineStr">
        <is>
          <t>First Energy</t>
        </is>
      </c>
      <c r="D268" s="3" t="inlineStr">
        <is>
          <t>Utility and C&amp;I</t>
        </is>
      </c>
      <c r="E268" s="3" t="n"/>
      <c r="F268" s="3" t="inlineStr">
        <is>
          <t>Closed</t>
        </is>
      </c>
      <c r="G268" s="3" t="inlineStr">
        <is>
          <t>Mr. Gaurav</t>
        </is>
      </c>
      <c r="H268" s="3" t="n">
        <v>9979185999</v>
      </c>
      <c r="I268" s="11" t="inlineStr">
        <is>
          <t>PE25032601</t>
        </is>
      </c>
      <c r="J268" s="9" t="inlineStr">
        <is>
          <t>Module Defects</t>
        </is>
      </c>
      <c r="K268" s="3" t="inlineStr">
        <is>
          <t>Rajkot</t>
        </is>
      </c>
      <c r="L268" s="3" t="inlineStr">
        <is>
          <t>Gujarat</t>
        </is>
      </c>
      <c r="M268" s="9" t="inlineStr">
        <is>
          <t xml:space="preserve">hotspot found </t>
        </is>
      </c>
      <c r="N268" s="19" t="inlineStr">
        <is>
          <t>Hotspot</t>
        </is>
      </c>
      <c r="O268" s="3" t="n">
        <v>550</v>
      </c>
      <c r="P268" s="9" t="inlineStr">
        <is>
          <t>NSMP2301312437</t>
        </is>
      </c>
      <c r="Q268" s="53">
        <f>MID(P268,5,2)</f>
        <v/>
      </c>
      <c r="R268" s="53">
        <f>MID(P268,7,2)</f>
        <v/>
      </c>
      <c r="S268" s="3" t="inlineStr">
        <is>
          <t>G2B</t>
        </is>
      </c>
      <c r="T268" s="3" t="inlineStr">
        <is>
          <t>P2</t>
        </is>
      </c>
      <c r="U268" s="9" t="inlineStr">
        <is>
          <t>Single Cell Hotspot</t>
        </is>
      </c>
      <c r="V268" s="3" t="inlineStr">
        <is>
          <t>Inspection</t>
        </is>
      </c>
      <c r="W268" s="3" t="inlineStr">
        <is>
          <t>Rejected</t>
        </is>
      </c>
      <c r="X268" s="2">
        <f>Z268</f>
        <v/>
      </c>
      <c r="Y268" s="73">
        <f>IF(X268="","",X268-A268)</f>
        <v/>
      </c>
      <c r="Z268" s="18" t="n">
        <v>46147</v>
      </c>
      <c r="AA268" s="15" t="n"/>
      <c r="AB268" s="15" t="n"/>
      <c r="AF268">
        <f>IF(AND($F268="Closed",$X268&gt;=DATE(2026,5,1),$X268&lt;=DATE(2026,5,31)),"Closed in May","Other")</f>
        <v/>
      </c>
    </row>
    <row r="269">
      <c r="A269" s="2" t="n">
        <v>46106</v>
      </c>
      <c r="B269" s="3" t="n">
        <v>2026</v>
      </c>
      <c r="C269" s="3" t="inlineStr">
        <is>
          <t>First Energy</t>
        </is>
      </c>
      <c r="D269" s="3" t="inlineStr">
        <is>
          <t>Utility and C&amp;I</t>
        </is>
      </c>
      <c r="E269" s="3" t="n"/>
      <c r="F269" s="3" t="inlineStr">
        <is>
          <t>Closed</t>
        </is>
      </c>
      <c r="G269" s="3" t="inlineStr">
        <is>
          <t>Mr. Gaurav</t>
        </is>
      </c>
      <c r="H269" s="3" t="n">
        <v>9979185999</v>
      </c>
      <c r="I269" s="11" t="inlineStr">
        <is>
          <t>PE25032601</t>
        </is>
      </c>
      <c r="J269" s="9" t="inlineStr">
        <is>
          <t>Module Defects</t>
        </is>
      </c>
      <c r="K269" s="3" t="inlineStr">
        <is>
          <t>Rajkot</t>
        </is>
      </c>
      <c r="L269" s="3" t="inlineStr">
        <is>
          <t>Gujarat</t>
        </is>
      </c>
      <c r="M269" s="9" t="inlineStr">
        <is>
          <t xml:space="preserve">hotspot found </t>
        </is>
      </c>
      <c r="N269" s="19" t="inlineStr">
        <is>
          <t>Hotspot</t>
        </is>
      </c>
      <c r="O269" s="3" t="n">
        <v>550</v>
      </c>
      <c r="P269" s="9" t="inlineStr">
        <is>
          <t>NSMP2212273926</t>
        </is>
      </c>
      <c r="Q269" s="53">
        <f>MID(P269,5,2)</f>
        <v/>
      </c>
      <c r="R269" s="53">
        <f>MID(P269,7,2)</f>
        <v/>
      </c>
      <c r="S269" s="3" t="inlineStr">
        <is>
          <t>G2B</t>
        </is>
      </c>
      <c r="T269" s="3" t="inlineStr">
        <is>
          <t>P2</t>
        </is>
      </c>
      <c r="U269" s="9" t="inlineStr">
        <is>
          <t>Multi Cell Hotspot</t>
        </is>
      </c>
      <c r="V269" s="3" t="inlineStr">
        <is>
          <t>Inspection</t>
        </is>
      </c>
      <c r="W269" s="3" t="inlineStr">
        <is>
          <t>Rejected</t>
        </is>
      </c>
      <c r="X269" s="2">
        <f>Z269</f>
        <v/>
      </c>
      <c r="Y269" s="73">
        <f>IF(X269="","",X269-A269)</f>
        <v/>
      </c>
      <c r="Z269" s="18" t="n">
        <v>46147</v>
      </c>
      <c r="AA269" s="15" t="n"/>
      <c r="AB269" s="15" t="n"/>
      <c r="AF269">
        <f>IF(AND($F269="Closed",$X269&gt;=DATE(2026,5,1),$X269&lt;=DATE(2026,5,31)),"Closed in May","Other")</f>
        <v/>
      </c>
    </row>
    <row r="270">
      <c r="A270" s="2" t="n">
        <v>46106</v>
      </c>
      <c r="B270" s="3" t="n">
        <v>2026</v>
      </c>
      <c r="C270" s="3" t="inlineStr">
        <is>
          <t>First Energy</t>
        </is>
      </c>
      <c r="D270" s="3" t="inlineStr">
        <is>
          <t>Utility and C&amp;I</t>
        </is>
      </c>
      <c r="E270" s="3" t="n"/>
      <c r="F270" s="3" t="inlineStr">
        <is>
          <t>Closed</t>
        </is>
      </c>
      <c r="G270" s="3" t="inlineStr">
        <is>
          <t>Mr. Gaurav</t>
        </is>
      </c>
      <c r="H270" s="3" t="n">
        <v>9979185999</v>
      </c>
      <c r="I270" s="11" t="inlineStr">
        <is>
          <t>PE25032601</t>
        </is>
      </c>
      <c r="J270" s="9" t="inlineStr">
        <is>
          <t>Module Defects</t>
        </is>
      </c>
      <c r="K270" s="3" t="inlineStr">
        <is>
          <t>Rajkot</t>
        </is>
      </c>
      <c r="L270" s="3" t="inlineStr">
        <is>
          <t>Gujarat</t>
        </is>
      </c>
      <c r="M270" s="9" t="inlineStr">
        <is>
          <t xml:space="preserve">hotspot found </t>
        </is>
      </c>
      <c r="N270" s="19" t="inlineStr">
        <is>
          <t>Hotspot</t>
        </is>
      </c>
      <c r="O270" s="3" t="n">
        <v>550</v>
      </c>
      <c r="P270" s="9" t="inlineStr">
        <is>
          <t>NSMP2212281140</t>
        </is>
      </c>
      <c r="Q270" s="53">
        <f>MID(P270,5,2)</f>
        <v/>
      </c>
      <c r="R270" s="53">
        <f>MID(P270,7,2)</f>
        <v/>
      </c>
      <c r="S270" s="3" t="inlineStr">
        <is>
          <t>G2B</t>
        </is>
      </c>
      <c r="T270" s="3" t="inlineStr">
        <is>
          <t>P2</t>
        </is>
      </c>
      <c r="U270" s="9" t="inlineStr">
        <is>
          <t xml:space="preserve">Multi Cell Hotspot </t>
        </is>
      </c>
      <c r="V270" s="3" t="inlineStr">
        <is>
          <t>Inspection</t>
        </is>
      </c>
      <c r="W270" s="3" t="inlineStr">
        <is>
          <t>Rejected</t>
        </is>
      </c>
      <c r="X270" s="2">
        <f>Z270</f>
        <v/>
      </c>
      <c r="Y270" s="73">
        <f>IF(X270="","",X270-A270)</f>
        <v/>
      </c>
      <c r="Z270" s="18" t="n">
        <v>46147</v>
      </c>
      <c r="AA270" s="15" t="n"/>
      <c r="AB270" s="15" t="n"/>
      <c r="AF270">
        <f>IF(AND($F270="Closed",$X270&gt;=DATE(2026,5,1),$X270&lt;=DATE(2026,5,31)),"Closed in May","Other")</f>
        <v/>
      </c>
    </row>
    <row r="271">
      <c r="A271" s="2" t="n">
        <v>46106</v>
      </c>
      <c r="B271" s="3" t="n">
        <v>2026</v>
      </c>
      <c r="C271" s="3" t="inlineStr">
        <is>
          <t>First Energy</t>
        </is>
      </c>
      <c r="D271" s="3" t="inlineStr">
        <is>
          <t>Utility and C&amp;I</t>
        </is>
      </c>
      <c r="E271" s="3" t="n"/>
      <c r="F271" s="3" t="inlineStr">
        <is>
          <t>Closed</t>
        </is>
      </c>
      <c r="G271" s="3" t="inlineStr">
        <is>
          <t>Mr. Gaurav</t>
        </is>
      </c>
      <c r="H271" s="3" t="n">
        <v>9979185999</v>
      </c>
      <c r="I271" s="11" t="inlineStr">
        <is>
          <t>PE25032601</t>
        </is>
      </c>
      <c r="J271" s="9" t="inlineStr">
        <is>
          <t>Module Defects</t>
        </is>
      </c>
      <c r="K271" s="3" t="inlineStr">
        <is>
          <t>Rajkot</t>
        </is>
      </c>
      <c r="L271" s="3" t="inlineStr">
        <is>
          <t>Gujarat</t>
        </is>
      </c>
      <c r="M271" s="9" t="inlineStr">
        <is>
          <t xml:space="preserve">hotspot found </t>
        </is>
      </c>
      <c r="N271" s="19" t="inlineStr">
        <is>
          <t>Hotspot</t>
        </is>
      </c>
      <c r="O271" s="3" t="n">
        <v>550</v>
      </c>
      <c r="P271" s="9" t="inlineStr">
        <is>
          <t>NSMP2301348207</t>
        </is>
      </c>
      <c r="Q271" s="53">
        <f>MID(P271,5,2)</f>
        <v/>
      </c>
      <c r="R271" s="53">
        <f>MID(P271,7,2)</f>
        <v/>
      </c>
      <c r="S271" s="3" t="inlineStr">
        <is>
          <t>G2B</t>
        </is>
      </c>
      <c r="T271" s="3" t="inlineStr">
        <is>
          <t>P2</t>
        </is>
      </c>
      <c r="U271" s="9" t="inlineStr">
        <is>
          <t>Single Cell Hotspot</t>
        </is>
      </c>
      <c r="V271" s="3" t="inlineStr">
        <is>
          <t>Inspection</t>
        </is>
      </c>
      <c r="W271" s="3" t="inlineStr">
        <is>
          <t>Rejected</t>
        </is>
      </c>
      <c r="X271" s="2">
        <f>Z271</f>
        <v/>
      </c>
      <c r="Y271" s="73">
        <f>IF(X271="","",X271-A271)</f>
        <v/>
      </c>
      <c r="Z271" s="18" t="n">
        <v>46147</v>
      </c>
      <c r="AA271" s="15" t="n"/>
      <c r="AB271" s="15" t="n"/>
      <c r="AF271">
        <f>IF(AND($F271="Closed",$X271&gt;=DATE(2026,5,1),$X271&lt;=DATE(2026,5,31)),"Closed in May","Other")</f>
        <v/>
      </c>
    </row>
    <row r="272">
      <c r="A272" s="2" t="n">
        <v>46106</v>
      </c>
      <c r="B272" s="3" t="n">
        <v>2026</v>
      </c>
      <c r="C272" s="3" t="inlineStr">
        <is>
          <t>First Energy</t>
        </is>
      </c>
      <c r="D272" s="3" t="inlineStr">
        <is>
          <t>Utility and C&amp;I</t>
        </is>
      </c>
      <c r="E272" s="3" t="n"/>
      <c r="F272" s="3" t="inlineStr">
        <is>
          <t>Closed</t>
        </is>
      </c>
      <c r="G272" s="3" t="inlineStr">
        <is>
          <t>Mr. Gaurav</t>
        </is>
      </c>
      <c r="H272" s="3" t="n">
        <v>9979185999</v>
      </c>
      <c r="I272" s="11" t="inlineStr">
        <is>
          <t>PE25032601</t>
        </is>
      </c>
      <c r="J272" s="9" t="inlineStr">
        <is>
          <t>Module Defects</t>
        </is>
      </c>
      <c r="K272" s="3" t="inlineStr">
        <is>
          <t>Rajkot</t>
        </is>
      </c>
      <c r="L272" s="3" t="inlineStr">
        <is>
          <t>Gujarat</t>
        </is>
      </c>
      <c r="M272" s="9" t="inlineStr">
        <is>
          <t xml:space="preserve">hotspot found </t>
        </is>
      </c>
      <c r="N272" s="19" t="inlineStr">
        <is>
          <t>Hotspot</t>
        </is>
      </c>
      <c r="O272" s="3" t="n">
        <v>550</v>
      </c>
      <c r="P272" s="9" t="inlineStr">
        <is>
          <t>NSMP2212280215</t>
        </is>
      </c>
      <c r="Q272" s="53">
        <f>MID(P272,5,2)</f>
        <v/>
      </c>
      <c r="R272" s="53">
        <f>MID(P272,7,2)</f>
        <v/>
      </c>
      <c r="S272" s="3" t="inlineStr">
        <is>
          <t>G2B</t>
        </is>
      </c>
      <c r="T272" s="3" t="inlineStr">
        <is>
          <t>P2</t>
        </is>
      </c>
      <c r="U272" s="9" t="inlineStr">
        <is>
          <t>Single Cell Hotspot</t>
        </is>
      </c>
      <c r="V272" s="3" t="inlineStr">
        <is>
          <t>Inspection</t>
        </is>
      </c>
      <c r="W272" s="3" t="inlineStr">
        <is>
          <t>Rejected</t>
        </is>
      </c>
      <c r="X272" s="2">
        <f>Z272</f>
        <v/>
      </c>
      <c r="Y272" s="73">
        <f>IF(X272="","",X272-A272)</f>
        <v/>
      </c>
      <c r="Z272" s="18" t="n">
        <v>46147</v>
      </c>
      <c r="AA272" s="15" t="n"/>
      <c r="AB272" s="15" t="n"/>
      <c r="AF272">
        <f>IF(AND($F272="Closed",$X272&gt;=DATE(2026,5,1),$X272&lt;=DATE(2026,5,31)),"Closed in May","Other")</f>
        <v/>
      </c>
    </row>
    <row r="273">
      <c r="A273" s="2" t="n">
        <v>46106</v>
      </c>
      <c r="B273" s="3" t="n">
        <v>2026</v>
      </c>
      <c r="C273" s="3" t="inlineStr">
        <is>
          <t>First Energy</t>
        </is>
      </c>
      <c r="D273" s="3" t="inlineStr">
        <is>
          <t>Utility and C&amp;I</t>
        </is>
      </c>
      <c r="E273" s="3" t="n"/>
      <c r="F273" s="3" t="inlineStr">
        <is>
          <t>Closed</t>
        </is>
      </c>
      <c r="G273" s="3" t="inlineStr">
        <is>
          <t>Mr. Gaurav</t>
        </is>
      </c>
      <c r="H273" s="3" t="n">
        <v>9979185999</v>
      </c>
      <c r="I273" s="11" t="inlineStr">
        <is>
          <t>PE25032601</t>
        </is>
      </c>
      <c r="J273" s="9" t="inlineStr">
        <is>
          <t>Module Defects</t>
        </is>
      </c>
      <c r="K273" s="3" t="inlineStr">
        <is>
          <t>Rajkot</t>
        </is>
      </c>
      <c r="L273" s="3" t="inlineStr">
        <is>
          <t>Gujarat</t>
        </is>
      </c>
      <c r="M273" s="9" t="inlineStr">
        <is>
          <t xml:space="preserve">hotspot found </t>
        </is>
      </c>
      <c r="N273" s="19" t="inlineStr">
        <is>
          <t>Hotspot</t>
        </is>
      </c>
      <c r="O273" s="3" t="n">
        <v>550</v>
      </c>
      <c r="P273" s="9" t="inlineStr">
        <is>
          <t>NSMP2301306608</t>
        </is>
      </c>
      <c r="Q273" s="53">
        <f>MID(P273,5,2)</f>
        <v/>
      </c>
      <c r="R273" s="53">
        <f>MID(P273,7,2)</f>
        <v/>
      </c>
      <c r="S273" s="3" t="inlineStr">
        <is>
          <t>G2B</t>
        </is>
      </c>
      <c r="T273" s="3" t="inlineStr">
        <is>
          <t>P2</t>
        </is>
      </c>
      <c r="U273" s="9" t="inlineStr">
        <is>
          <t>Single Cell Hotspot</t>
        </is>
      </c>
      <c r="V273" s="3" t="inlineStr">
        <is>
          <t>Inspection</t>
        </is>
      </c>
      <c r="W273" s="3" t="inlineStr">
        <is>
          <t>Rejected</t>
        </is>
      </c>
      <c r="X273" s="2">
        <f>Z273</f>
        <v/>
      </c>
      <c r="Y273" s="73">
        <f>IF(X273="","",X273-A273)</f>
        <v/>
      </c>
      <c r="Z273" s="18" t="n">
        <v>46147</v>
      </c>
      <c r="AA273" s="15" t="n"/>
      <c r="AB273" s="15" t="n"/>
      <c r="AF273">
        <f>IF(AND($F273="Closed",$X273&gt;=DATE(2026,5,1),$X273&lt;=DATE(2026,5,31)),"Closed in May","Other")</f>
        <v/>
      </c>
    </row>
    <row r="274">
      <c r="A274" s="2" t="n">
        <v>46106</v>
      </c>
      <c r="B274" s="3" t="n">
        <v>2026</v>
      </c>
      <c r="C274" s="3" t="inlineStr">
        <is>
          <t>First Energy</t>
        </is>
      </c>
      <c r="D274" s="3" t="inlineStr">
        <is>
          <t>Utility and C&amp;I</t>
        </is>
      </c>
      <c r="E274" s="3" t="n"/>
      <c r="F274" s="3" t="inlineStr">
        <is>
          <t>Closed</t>
        </is>
      </c>
      <c r="G274" s="3" t="inlineStr">
        <is>
          <t>Mr. Gaurav</t>
        </is>
      </c>
      <c r="H274" s="3" t="n">
        <v>9979185999</v>
      </c>
      <c r="I274" s="11" t="inlineStr">
        <is>
          <t>PE25032601</t>
        </is>
      </c>
      <c r="J274" s="9" t="inlineStr">
        <is>
          <t>Module Defects</t>
        </is>
      </c>
      <c r="K274" s="3" t="inlineStr">
        <is>
          <t>Rajkot</t>
        </is>
      </c>
      <c r="L274" s="3" t="inlineStr">
        <is>
          <t>Gujarat</t>
        </is>
      </c>
      <c r="M274" s="9" t="inlineStr">
        <is>
          <t xml:space="preserve">hotspot found </t>
        </is>
      </c>
      <c r="N274" s="19" t="inlineStr">
        <is>
          <t>Hotspot</t>
        </is>
      </c>
      <c r="O274" s="3" t="n">
        <v>550</v>
      </c>
      <c r="P274" s="9" t="inlineStr">
        <is>
          <t>NSMP2301296114</t>
        </is>
      </c>
      <c r="Q274" s="53">
        <f>MID(P274,5,2)</f>
        <v/>
      </c>
      <c r="R274" s="53">
        <f>MID(P274,7,2)</f>
        <v/>
      </c>
      <c r="S274" s="3" t="inlineStr">
        <is>
          <t>G2B</t>
        </is>
      </c>
      <c r="T274" s="3" t="inlineStr">
        <is>
          <t>P2</t>
        </is>
      </c>
      <c r="U274" s="9" t="inlineStr">
        <is>
          <t>Single Cell Hotspot</t>
        </is>
      </c>
      <c r="V274" s="3" t="inlineStr">
        <is>
          <t>Inspection</t>
        </is>
      </c>
      <c r="W274" s="3" t="inlineStr">
        <is>
          <t>Rejected</t>
        </is>
      </c>
      <c r="X274" s="2">
        <f>Z274</f>
        <v/>
      </c>
      <c r="Y274" s="73">
        <f>IF(X274="","",X274-A274)</f>
        <v/>
      </c>
      <c r="Z274" s="18" t="n">
        <v>46147</v>
      </c>
      <c r="AA274" s="15" t="n"/>
      <c r="AB274" s="15" t="n"/>
      <c r="AF274">
        <f>IF(AND($F274="Closed",$X274&gt;=DATE(2026,5,1),$X274&lt;=DATE(2026,5,31)),"Closed in May","Other")</f>
        <v/>
      </c>
    </row>
    <row r="275">
      <c r="A275" s="2" t="n">
        <v>46106</v>
      </c>
      <c r="B275" s="3" t="n">
        <v>2026</v>
      </c>
      <c r="C275" s="3" t="inlineStr">
        <is>
          <t>First Energy</t>
        </is>
      </c>
      <c r="D275" s="3" t="inlineStr">
        <is>
          <t>Utility and C&amp;I</t>
        </is>
      </c>
      <c r="E275" s="3" t="n"/>
      <c r="F275" s="3" t="inlineStr">
        <is>
          <t>Closed</t>
        </is>
      </c>
      <c r="G275" s="3" t="inlineStr">
        <is>
          <t>Mr. Gaurav</t>
        </is>
      </c>
      <c r="H275" s="3" t="n">
        <v>9979185999</v>
      </c>
      <c r="I275" s="11" t="inlineStr">
        <is>
          <t>PE25032601</t>
        </is>
      </c>
      <c r="J275" s="9" t="inlineStr">
        <is>
          <t>Module Defects</t>
        </is>
      </c>
      <c r="K275" s="3" t="inlineStr">
        <is>
          <t>Rajkot</t>
        </is>
      </c>
      <c r="L275" s="3" t="inlineStr">
        <is>
          <t>Gujarat</t>
        </is>
      </c>
      <c r="M275" s="9" t="inlineStr">
        <is>
          <t xml:space="preserve">hotspot found </t>
        </is>
      </c>
      <c r="N275" s="19" t="inlineStr">
        <is>
          <t>Hotspot</t>
        </is>
      </c>
      <c r="O275" s="3" t="n">
        <v>550</v>
      </c>
      <c r="P275" s="9" t="inlineStr">
        <is>
          <t>NSMP2301296728</t>
        </is>
      </c>
      <c r="Q275" s="53">
        <f>MID(P275,5,2)</f>
        <v/>
      </c>
      <c r="R275" s="53">
        <f>MID(P275,7,2)</f>
        <v/>
      </c>
      <c r="S275" s="3" t="inlineStr">
        <is>
          <t>G2B</t>
        </is>
      </c>
      <c r="T275" s="3" t="inlineStr">
        <is>
          <t>P2</t>
        </is>
      </c>
      <c r="U275" s="9" t="inlineStr">
        <is>
          <t>Single Cell Hotspot</t>
        </is>
      </c>
      <c r="V275" s="3" t="inlineStr">
        <is>
          <t>Inspection</t>
        </is>
      </c>
      <c r="W275" s="3" t="inlineStr">
        <is>
          <t>Rejected</t>
        </is>
      </c>
      <c r="X275" s="2">
        <f>Z275</f>
        <v/>
      </c>
      <c r="Y275" s="73">
        <f>IF(X275="","",X275-A275)</f>
        <v/>
      </c>
      <c r="Z275" s="18" t="n">
        <v>46147</v>
      </c>
      <c r="AA275" s="15" t="n"/>
      <c r="AB275" s="15" t="n"/>
      <c r="AF275">
        <f>IF(AND($F275="Closed",$X275&gt;=DATE(2026,5,1),$X275&lt;=DATE(2026,5,31)),"Closed in May","Other")</f>
        <v/>
      </c>
    </row>
    <row r="276">
      <c r="A276" s="2" t="n">
        <v>46106</v>
      </c>
      <c r="B276" s="3" t="n">
        <v>2026</v>
      </c>
      <c r="C276" s="3" t="inlineStr">
        <is>
          <t>First Energy</t>
        </is>
      </c>
      <c r="D276" s="3" t="inlineStr">
        <is>
          <t>Utility and C&amp;I</t>
        </is>
      </c>
      <c r="E276" s="3" t="n"/>
      <c r="F276" s="3" t="inlineStr">
        <is>
          <t>Closed</t>
        </is>
      </c>
      <c r="G276" s="3" t="inlineStr">
        <is>
          <t>Mr. Gaurav</t>
        </is>
      </c>
      <c r="H276" s="3" t="n">
        <v>9979185999</v>
      </c>
      <c r="I276" s="11" t="inlineStr">
        <is>
          <t>PE25032601</t>
        </is>
      </c>
      <c r="J276" s="9" t="inlineStr">
        <is>
          <t>Module Defects</t>
        </is>
      </c>
      <c r="K276" s="3" t="inlineStr">
        <is>
          <t>Rajkot</t>
        </is>
      </c>
      <c r="L276" s="3" t="inlineStr">
        <is>
          <t>Gujarat</t>
        </is>
      </c>
      <c r="M276" s="9" t="inlineStr">
        <is>
          <t xml:space="preserve">hotspot found </t>
        </is>
      </c>
      <c r="N276" s="19" t="inlineStr">
        <is>
          <t>Hotspot</t>
        </is>
      </c>
      <c r="O276" s="3" t="n">
        <v>550</v>
      </c>
      <c r="P276" s="9" t="inlineStr">
        <is>
          <t>NSMP2301304710</t>
        </is>
      </c>
      <c r="Q276" s="53">
        <f>MID(P276,5,2)</f>
        <v/>
      </c>
      <c r="R276" s="53">
        <f>MID(P276,7,2)</f>
        <v/>
      </c>
      <c r="S276" s="3" t="inlineStr">
        <is>
          <t>G2B</t>
        </is>
      </c>
      <c r="T276" s="3" t="inlineStr">
        <is>
          <t>P2</t>
        </is>
      </c>
      <c r="U276" s="9" t="inlineStr">
        <is>
          <t>Single Cell Hotspot</t>
        </is>
      </c>
      <c r="V276" s="3" t="inlineStr">
        <is>
          <t>Inspection</t>
        </is>
      </c>
      <c r="W276" s="3" t="inlineStr">
        <is>
          <t>Rejected</t>
        </is>
      </c>
      <c r="X276" s="2">
        <f>Z276</f>
        <v/>
      </c>
      <c r="Y276" s="73">
        <f>IF(X276="","",X276-A276)</f>
        <v/>
      </c>
      <c r="Z276" s="18" t="n">
        <v>46147</v>
      </c>
      <c r="AA276" s="15" t="n"/>
      <c r="AB276" s="15" t="n"/>
      <c r="AF276">
        <f>IF(AND($F276="Closed",$X276&gt;=DATE(2026,5,1),$X276&lt;=DATE(2026,5,31)),"Closed in May","Other")</f>
        <v/>
      </c>
    </row>
    <row r="277">
      <c r="A277" s="2" t="n">
        <v>46106</v>
      </c>
      <c r="B277" s="3" t="n">
        <v>2026</v>
      </c>
      <c r="C277" s="3" t="inlineStr">
        <is>
          <t>First Energy</t>
        </is>
      </c>
      <c r="D277" s="3" t="inlineStr">
        <is>
          <t>Utility and C&amp;I</t>
        </is>
      </c>
      <c r="E277" s="3" t="n"/>
      <c r="F277" s="3" t="inlineStr">
        <is>
          <t>Closed</t>
        </is>
      </c>
      <c r="G277" s="3" t="inlineStr">
        <is>
          <t>Mr. Gaurav</t>
        </is>
      </c>
      <c r="H277" s="3" t="n">
        <v>9979185999</v>
      </c>
      <c r="I277" s="11" t="inlineStr">
        <is>
          <t>PE25032601</t>
        </is>
      </c>
      <c r="J277" s="9" t="inlineStr">
        <is>
          <t>Module Defects</t>
        </is>
      </c>
      <c r="K277" s="3" t="inlineStr">
        <is>
          <t>Rajkot</t>
        </is>
      </c>
      <c r="L277" s="3" t="inlineStr">
        <is>
          <t>Gujarat</t>
        </is>
      </c>
      <c r="M277" s="9" t="inlineStr">
        <is>
          <t xml:space="preserve">hotspot found </t>
        </is>
      </c>
      <c r="N277" s="19" t="inlineStr">
        <is>
          <t>Hotspot</t>
        </is>
      </c>
      <c r="O277" s="3" t="n">
        <v>550</v>
      </c>
      <c r="P277" s="9" t="inlineStr">
        <is>
          <t>NSMP2212278825</t>
        </is>
      </c>
      <c r="Q277" s="53">
        <f>MID(P277,5,2)</f>
        <v/>
      </c>
      <c r="R277" s="53">
        <f>MID(P277,7,2)</f>
        <v/>
      </c>
      <c r="S277" s="3" t="inlineStr">
        <is>
          <t>G2B</t>
        </is>
      </c>
      <c r="T277" s="3" t="inlineStr">
        <is>
          <t>P2</t>
        </is>
      </c>
      <c r="U277" s="9" t="inlineStr">
        <is>
          <t>Single Cell Hotspot</t>
        </is>
      </c>
      <c r="V277" s="3" t="inlineStr">
        <is>
          <t>Inspection</t>
        </is>
      </c>
      <c r="W277" s="3" t="inlineStr">
        <is>
          <t>Rejected</t>
        </is>
      </c>
      <c r="X277" s="2">
        <f>Z277</f>
        <v/>
      </c>
      <c r="Y277" s="73">
        <f>IF(X277="","",X277-A277)</f>
        <v/>
      </c>
      <c r="Z277" s="18" t="n">
        <v>46147</v>
      </c>
      <c r="AA277" s="15" t="n"/>
      <c r="AB277" s="15" t="n"/>
      <c r="AF277">
        <f>IF(AND($F277="Closed",$X277&gt;=DATE(2026,5,1),$X277&lt;=DATE(2026,5,31)),"Closed in May","Other")</f>
        <v/>
      </c>
    </row>
    <row r="278">
      <c r="A278" s="2" t="n">
        <v>46106</v>
      </c>
      <c r="B278" s="3" t="n">
        <v>2026</v>
      </c>
      <c r="C278" s="3" t="inlineStr">
        <is>
          <t>First Energy</t>
        </is>
      </c>
      <c r="D278" s="3" t="inlineStr">
        <is>
          <t>Utility and C&amp;I</t>
        </is>
      </c>
      <c r="E278" s="3" t="n"/>
      <c r="F278" s="3" t="inlineStr">
        <is>
          <t>Closed</t>
        </is>
      </c>
      <c r="G278" s="3" t="inlineStr">
        <is>
          <t>Mr. Gaurav</t>
        </is>
      </c>
      <c r="H278" s="3" t="n">
        <v>9979185999</v>
      </c>
      <c r="I278" s="11" t="inlineStr">
        <is>
          <t>PE25032601</t>
        </is>
      </c>
      <c r="J278" s="9" t="inlineStr">
        <is>
          <t>Module Defects</t>
        </is>
      </c>
      <c r="K278" s="3" t="inlineStr">
        <is>
          <t>Rajkot</t>
        </is>
      </c>
      <c r="L278" s="3" t="inlineStr">
        <is>
          <t>Gujarat</t>
        </is>
      </c>
      <c r="M278" s="9" t="inlineStr">
        <is>
          <t xml:space="preserve">hotspot found </t>
        </is>
      </c>
      <c r="N278" s="19" t="inlineStr">
        <is>
          <t>Hotspot</t>
        </is>
      </c>
      <c r="O278" s="3" t="n">
        <v>550</v>
      </c>
      <c r="P278" s="9" t="inlineStr">
        <is>
          <t>NSMP2212285961</t>
        </is>
      </c>
      <c r="Q278" s="53">
        <f>MID(P278,5,2)</f>
        <v/>
      </c>
      <c r="R278" s="53">
        <f>MID(P278,7,2)</f>
        <v/>
      </c>
      <c r="S278" s="3" t="inlineStr">
        <is>
          <t>G2B</t>
        </is>
      </c>
      <c r="T278" s="3" t="inlineStr">
        <is>
          <t>P2</t>
        </is>
      </c>
      <c r="U278" s="9" t="inlineStr">
        <is>
          <t>Single Cell Hotspot</t>
        </is>
      </c>
      <c r="V278" s="3" t="inlineStr">
        <is>
          <t>Inspection</t>
        </is>
      </c>
      <c r="W278" s="3" t="inlineStr">
        <is>
          <t>Rejected</t>
        </is>
      </c>
      <c r="X278" s="2">
        <f>Z278</f>
        <v/>
      </c>
      <c r="Y278" s="73">
        <f>IF(X278="","",X278-A278)</f>
        <v/>
      </c>
      <c r="Z278" s="18" t="n">
        <v>46147</v>
      </c>
      <c r="AA278" s="15" t="n"/>
      <c r="AB278" s="15" t="n"/>
      <c r="AF278">
        <f>IF(AND($F278="Closed",$X278&gt;=DATE(2026,5,1),$X278&lt;=DATE(2026,5,31)),"Closed in May","Other")</f>
        <v/>
      </c>
    </row>
    <row r="279">
      <c r="A279" s="2" t="n">
        <v>46106</v>
      </c>
      <c r="B279" s="3" t="n">
        <v>2026</v>
      </c>
      <c r="C279" s="3" t="inlineStr">
        <is>
          <t>First Energy</t>
        </is>
      </c>
      <c r="D279" s="3" t="inlineStr">
        <is>
          <t>Utility and C&amp;I</t>
        </is>
      </c>
      <c r="E279" s="3" t="n"/>
      <c r="F279" s="3" t="inlineStr">
        <is>
          <t>Closed</t>
        </is>
      </c>
      <c r="G279" s="3" t="inlineStr">
        <is>
          <t>Mr. Gaurav</t>
        </is>
      </c>
      <c r="H279" s="3" t="n">
        <v>9979185999</v>
      </c>
      <c r="I279" s="11" t="inlineStr">
        <is>
          <t>PE25032601</t>
        </is>
      </c>
      <c r="J279" s="9" t="inlineStr">
        <is>
          <t>Module Defects</t>
        </is>
      </c>
      <c r="K279" s="3" t="inlineStr">
        <is>
          <t>Rajkot</t>
        </is>
      </c>
      <c r="L279" s="3" t="inlineStr">
        <is>
          <t>Gujarat</t>
        </is>
      </c>
      <c r="M279" s="9" t="inlineStr">
        <is>
          <t xml:space="preserve">hotspot found </t>
        </is>
      </c>
      <c r="N279" s="19" t="inlineStr">
        <is>
          <t>Hotspot</t>
        </is>
      </c>
      <c r="O279" s="3" t="n">
        <v>550</v>
      </c>
      <c r="P279" s="9" t="inlineStr">
        <is>
          <t>NSMP2212285079</t>
        </is>
      </c>
      <c r="Q279" s="53">
        <f>MID(P279,5,2)</f>
        <v/>
      </c>
      <c r="R279" s="53">
        <f>MID(P279,7,2)</f>
        <v/>
      </c>
      <c r="S279" s="3" t="inlineStr">
        <is>
          <t>G2B</t>
        </is>
      </c>
      <c r="T279" s="3" t="inlineStr">
        <is>
          <t>P2</t>
        </is>
      </c>
      <c r="U279" s="9" t="inlineStr">
        <is>
          <t>Multi Cell Hotspot</t>
        </is>
      </c>
      <c r="V279" s="3" t="inlineStr">
        <is>
          <t>Inspection</t>
        </is>
      </c>
      <c r="W279" s="3" t="inlineStr">
        <is>
          <t>Rejected</t>
        </is>
      </c>
      <c r="X279" s="2">
        <f>Z279</f>
        <v/>
      </c>
      <c r="Y279" s="73">
        <f>IF(X279="","",X279-A279)</f>
        <v/>
      </c>
      <c r="Z279" s="18" t="n">
        <v>46147</v>
      </c>
      <c r="AA279" s="15" t="n"/>
      <c r="AB279" s="15" t="n"/>
      <c r="AF279">
        <f>IF(AND($F279="Closed",$X279&gt;=DATE(2026,5,1),$X279&lt;=DATE(2026,5,31)),"Closed in May","Other")</f>
        <v/>
      </c>
    </row>
    <row r="280">
      <c r="A280" s="2" t="n">
        <v>46106</v>
      </c>
      <c r="B280" s="3" t="n">
        <v>2026</v>
      </c>
      <c r="C280" s="3" t="inlineStr">
        <is>
          <t>First Energy</t>
        </is>
      </c>
      <c r="D280" s="3" t="inlineStr">
        <is>
          <t>Utility and C&amp;I</t>
        </is>
      </c>
      <c r="E280" s="3" t="n"/>
      <c r="F280" s="3" t="inlineStr">
        <is>
          <t>Closed</t>
        </is>
      </c>
      <c r="G280" s="3" t="inlineStr">
        <is>
          <t>Mr. Gaurav</t>
        </is>
      </c>
      <c r="H280" s="3" t="n">
        <v>9979185999</v>
      </c>
      <c r="I280" s="11" t="inlineStr">
        <is>
          <t>PE25032601</t>
        </is>
      </c>
      <c r="J280" s="9" t="inlineStr">
        <is>
          <t>Module Defects</t>
        </is>
      </c>
      <c r="K280" s="3" t="inlineStr">
        <is>
          <t>Rajkot</t>
        </is>
      </c>
      <c r="L280" s="3" t="inlineStr">
        <is>
          <t>Gujarat</t>
        </is>
      </c>
      <c r="M280" s="9" t="inlineStr">
        <is>
          <t xml:space="preserve">hotspot found </t>
        </is>
      </c>
      <c r="N280" s="19" t="inlineStr">
        <is>
          <t>Hotspot</t>
        </is>
      </c>
      <c r="O280" s="3" t="n">
        <v>550</v>
      </c>
      <c r="P280" s="9" t="inlineStr">
        <is>
          <t>NSMP2301306783</t>
        </is>
      </c>
      <c r="Q280" s="53">
        <f>MID(P280,5,2)</f>
        <v/>
      </c>
      <c r="R280" s="53">
        <f>MID(P280,7,2)</f>
        <v/>
      </c>
      <c r="S280" s="3" t="inlineStr">
        <is>
          <t>G2B</t>
        </is>
      </c>
      <c r="T280" s="3" t="inlineStr">
        <is>
          <t>P2</t>
        </is>
      </c>
      <c r="U280" s="9" t="inlineStr">
        <is>
          <t>Multi Cell Hotspot</t>
        </is>
      </c>
      <c r="V280" s="3" t="inlineStr">
        <is>
          <t>Inspection</t>
        </is>
      </c>
      <c r="W280" s="3" t="inlineStr">
        <is>
          <t>Rejected</t>
        </is>
      </c>
      <c r="X280" s="2">
        <f>Z280</f>
        <v/>
      </c>
      <c r="Y280" s="73">
        <f>IF(X280="","",X280-A280)</f>
        <v/>
      </c>
      <c r="Z280" s="18" t="n">
        <v>46147</v>
      </c>
      <c r="AA280" s="15" t="n"/>
      <c r="AB280" s="15" t="n"/>
      <c r="AF280">
        <f>IF(AND($F280="Closed",$X280&gt;=DATE(2026,5,1),$X280&lt;=DATE(2026,5,31)),"Closed in May","Other")</f>
        <v/>
      </c>
    </row>
    <row r="281">
      <c r="A281" s="2" t="n">
        <v>46106</v>
      </c>
      <c r="B281" s="3" t="n">
        <v>2026</v>
      </c>
      <c r="C281" s="3" t="inlineStr">
        <is>
          <t>First Energy</t>
        </is>
      </c>
      <c r="D281" s="3" t="inlineStr">
        <is>
          <t>Utility and C&amp;I</t>
        </is>
      </c>
      <c r="E281" s="3" t="n"/>
      <c r="F281" s="3" t="inlineStr">
        <is>
          <t>Closed</t>
        </is>
      </c>
      <c r="G281" s="3" t="inlineStr">
        <is>
          <t>Mr. Gaurav</t>
        </is>
      </c>
      <c r="H281" s="3" t="n">
        <v>9979185999</v>
      </c>
      <c r="I281" s="11" t="inlineStr">
        <is>
          <t>PE25032601</t>
        </is>
      </c>
      <c r="J281" s="9" t="inlineStr">
        <is>
          <t>Module Defects</t>
        </is>
      </c>
      <c r="K281" s="3" t="inlineStr">
        <is>
          <t>Rajkot</t>
        </is>
      </c>
      <c r="L281" s="3" t="inlineStr">
        <is>
          <t>Gujarat</t>
        </is>
      </c>
      <c r="M281" s="9" t="inlineStr">
        <is>
          <t xml:space="preserve">hotspot found </t>
        </is>
      </c>
      <c r="N281" s="19" t="inlineStr">
        <is>
          <t>Hotspot</t>
        </is>
      </c>
      <c r="O281" s="3" t="n">
        <v>550</v>
      </c>
      <c r="P281" s="9" t="inlineStr">
        <is>
          <t>NSMP2212286367</t>
        </is>
      </c>
      <c r="Q281" s="53">
        <f>MID(P281,5,2)</f>
        <v/>
      </c>
      <c r="R281" s="53">
        <f>MID(P281,7,2)</f>
        <v/>
      </c>
      <c r="S281" s="3" t="inlineStr">
        <is>
          <t>G2B</t>
        </is>
      </c>
      <c r="T281" s="3" t="inlineStr">
        <is>
          <t>P2</t>
        </is>
      </c>
      <c r="U281" s="9" t="inlineStr">
        <is>
          <t>Multi Cell Hotspot</t>
        </is>
      </c>
      <c r="V281" s="3" t="inlineStr">
        <is>
          <t>Inspection</t>
        </is>
      </c>
      <c r="W281" s="3" t="inlineStr">
        <is>
          <t>Rejected</t>
        </is>
      </c>
      <c r="X281" s="2">
        <f>Z281</f>
        <v/>
      </c>
      <c r="Y281" s="73">
        <f>IF(X281="","",X281-A281)</f>
        <v/>
      </c>
      <c r="Z281" s="18" t="n">
        <v>46147</v>
      </c>
      <c r="AA281" s="15" t="n"/>
      <c r="AB281" s="15" t="n"/>
      <c r="AF281">
        <f>IF(AND($F281="Closed",$X281&gt;=DATE(2026,5,1),$X281&lt;=DATE(2026,5,31)),"Closed in May","Other")</f>
        <v/>
      </c>
    </row>
    <row r="282">
      <c r="A282" s="2" t="n">
        <v>46106</v>
      </c>
      <c r="B282" s="3" t="n">
        <v>2026</v>
      </c>
      <c r="C282" s="3" t="inlineStr">
        <is>
          <t>First Energy</t>
        </is>
      </c>
      <c r="D282" s="3" t="inlineStr">
        <is>
          <t>Utility and C&amp;I</t>
        </is>
      </c>
      <c r="E282" s="3" t="n"/>
      <c r="F282" s="3" t="inlineStr">
        <is>
          <t>Closed</t>
        </is>
      </c>
      <c r="G282" s="3" t="inlineStr">
        <is>
          <t>Mr. Gaurav</t>
        </is>
      </c>
      <c r="H282" s="3" t="n">
        <v>9979185999</v>
      </c>
      <c r="I282" s="11" t="inlineStr">
        <is>
          <t>PE25032601</t>
        </is>
      </c>
      <c r="J282" s="9" t="inlineStr">
        <is>
          <t>Module Defects</t>
        </is>
      </c>
      <c r="K282" s="3" t="inlineStr">
        <is>
          <t>Rajkot</t>
        </is>
      </c>
      <c r="L282" s="3" t="inlineStr">
        <is>
          <t>Gujarat</t>
        </is>
      </c>
      <c r="M282" s="9" t="inlineStr">
        <is>
          <t xml:space="preserve">hotspot found </t>
        </is>
      </c>
      <c r="N282" s="19" t="inlineStr">
        <is>
          <t>Hotspot</t>
        </is>
      </c>
      <c r="O282" s="3" t="n">
        <v>550</v>
      </c>
      <c r="P282" s="9" t="inlineStr">
        <is>
          <t>NSMP2301307867</t>
        </is>
      </c>
      <c r="Q282" s="53">
        <f>MID(P282,5,2)</f>
        <v/>
      </c>
      <c r="R282" s="53">
        <f>MID(P282,7,2)</f>
        <v/>
      </c>
      <c r="S282" s="3" t="inlineStr">
        <is>
          <t>G2B</t>
        </is>
      </c>
      <c r="T282" s="3" t="inlineStr">
        <is>
          <t>P2</t>
        </is>
      </c>
      <c r="U282" s="9" t="inlineStr">
        <is>
          <t>Multi Cell Hotspot</t>
        </is>
      </c>
      <c r="V282" s="3" t="inlineStr">
        <is>
          <t>Inspection</t>
        </is>
      </c>
      <c r="W282" s="3" t="inlineStr">
        <is>
          <t>Rejected</t>
        </is>
      </c>
      <c r="X282" s="2">
        <f>Z282</f>
        <v/>
      </c>
      <c r="Y282" s="73">
        <f>IF(X282="","",X282-A282)</f>
        <v/>
      </c>
      <c r="Z282" s="18" t="n">
        <v>46147</v>
      </c>
      <c r="AA282" s="15" t="n"/>
      <c r="AB282" s="15" t="n"/>
      <c r="AF282">
        <f>IF(AND($F282="Closed",$X282&gt;=DATE(2026,5,1),$X282&lt;=DATE(2026,5,31)),"Closed in May","Other")</f>
        <v/>
      </c>
    </row>
    <row r="283">
      <c r="A283" s="2" t="n">
        <v>46106</v>
      </c>
      <c r="B283" s="3" t="n">
        <v>2026</v>
      </c>
      <c r="C283" s="3" t="inlineStr">
        <is>
          <t>First Energy</t>
        </is>
      </c>
      <c r="D283" s="3" t="inlineStr">
        <is>
          <t>Utility and C&amp;I</t>
        </is>
      </c>
      <c r="E283" s="3" t="n"/>
      <c r="F283" s="3" t="inlineStr">
        <is>
          <t>Closed</t>
        </is>
      </c>
      <c r="G283" s="3" t="inlineStr">
        <is>
          <t>Mr. Gaurav</t>
        </is>
      </c>
      <c r="H283" s="3" t="n">
        <v>9979185999</v>
      </c>
      <c r="I283" s="11" t="inlineStr">
        <is>
          <t>PE25032601</t>
        </is>
      </c>
      <c r="J283" s="9" t="inlineStr">
        <is>
          <t>Module Defects</t>
        </is>
      </c>
      <c r="K283" s="3" t="inlineStr">
        <is>
          <t>Rajkot</t>
        </is>
      </c>
      <c r="L283" s="3" t="inlineStr">
        <is>
          <t>Gujarat</t>
        </is>
      </c>
      <c r="M283" s="9" t="inlineStr">
        <is>
          <t xml:space="preserve">hotspot found </t>
        </is>
      </c>
      <c r="N283" s="19" t="inlineStr">
        <is>
          <t>Hotspot</t>
        </is>
      </c>
      <c r="O283" s="3" t="n">
        <v>550</v>
      </c>
      <c r="P283" s="9" t="inlineStr">
        <is>
          <t>NSMP2212284484</t>
        </is>
      </c>
      <c r="Q283" s="53">
        <f>MID(P283,5,2)</f>
        <v/>
      </c>
      <c r="R283" s="53">
        <f>MID(P283,7,2)</f>
        <v/>
      </c>
      <c r="S283" s="3" t="inlineStr">
        <is>
          <t>G2B</t>
        </is>
      </c>
      <c r="T283" s="3" t="inlineStr">
        <is>
          <t>P2</t>
        </is>
      </c>
      <c r="U283" s="9" t="inlineStr">
        <is>
          <t>Multi Cell Hotspot</t>
        </is>
      </c>
      <c r="V283" s="3" t="inlineStr">
        <is>
          <t>Inspection</t>
        </is>
      </c>
      <c r="W283" s="3" t="inlineStr">
        <is>
          <t>Rejected</t>
        </is>
      </c>
      <c r="X283" s="2">
        <f>Z283</f>
        <v/>
      </c>
      <c r="Y283" s="73">
        <f>IF(X283="","",X283-A283)</f>
        <v/>
      </c>
      <c r="Z283" s="18" t="n">
        <v>46147</v>
      </c>
      <c r="AA283" s="15" t="n"/>
      <c r="AB283" s="15" t="n"/>
      <c r="AF283">
        <f>IF(AND($F283="Closed",$X283&gt;=DATE(2026,5,1),$X283&lt;=DATE(2026,5,31)),"Closed in May","Other")</f>
        <v/>
      </c>
    </row>
    <row r="284">
      <c r="A284" s="2" t="n">
        <v>46106</v>
      </c>
      <c r="B284" s="3" t="n">
        <v>2026</v>
      </c>
      <c r="C284" s="3" t="inlineStr">
        <is>
          <t>First Energy</t>
        </is>
      </c>
      <c r="D284" s="3" t="inlineStr">
        <is>
          <t>Utility and C&amp;I</t>
        </is>
      </c>
      <c r="E284" s="3" t="n"/>
      <c r="F284" s="3" t="inlineStr">
        <is>
          <t>Closed</t>
        </is>
      </c>
      <c r="G284" s="3" t="inlineStr">
        <is>
          <t>Mr. Gaurav</t>
        </is>
      </c>
      <c r="H284" s="3" t="n">
        <v>9979185999</v>
      </c>
      <c r="I284" s="11" t="inlineStr">
        <is>
          <t>PE25032601</t>
        </is>
      </c>
      <c r="J284" s="9" t="inlineStr">
        <is>
          <t>Module Defects</t>
        </is>
      </c>
      <c r="K284" s="3" t="inlineStr">
        <is>
          <t>Rajkot</t>
        </is>
      </c>
      <c r="L284" s="3" t="inlineStr">
        <is>
          <t>Gujarat</t>
        </is>
      </c>
      <c r="M284" s="9" t="inlineStr">
        <is>
          <t xml:space="preserve">hotspot found </t>
        </is>
      </c>
      <c r="N284" s="19" t="inlineStr">
        <is>
          <t>Hotspot</t>
        </is>
      </c>
      <c r="O284" s="3" t="n">
        <v>550</v>
      </c>
      <c r="P284" s="9" t="inlineStr">
        <is>
          <t>NSMP2212284494</t>
        </is>
      </c>
      <c r="Q284" s="53">
        <f>MID(P284,5,2)</f>
        <v/>
      </c>
      <c r="R284" s="53">
        <f>MID(P284,7,2)</f>
        <v/>
      </c>
      <c r="S284" s="3" t="inlineStr">
        <is>
          <t>G2B</t>
        </is>
      </c>
      <c r="T284" s="3" t="inlineStr">
        <is>
          <t>P2</t>
        </is>
      </c>
      <c r="U284" s="9" t="inlineStr">
        <is>
          <t>Multi Cell Hotspot</t>
        </is>
      </c>
      <c r="V284" s="3" t="inlineStr">
        <is>
          <t>Inspection</t>
        </is>
      </c>
      <c r="W284" s="3" t="inlineStr">
        <is>
          <t>Rejected</t>
        </is>
      </c>
      <c r="X284" s="2">
        <f>Z284</f>
        <v/>
      </c>
      <c r="Y284" s="73">
        <f>IF(X284="","",X284-A284)</f>
        <v/>
      </c>
      <c r="Z284" s="18" t="n">
        <v>46147</v>
      </c>
      <c r="AA284" s="15" t="n"/>
      <c r="AB284" s="15" t="n"/>
      <c r="AF284">
        <f>IF(AND($F284="Closed",$X284&gt;=DATE(2026,5,1),$X284&lt;=DATE(2026,5,31)),"Closed in May","Other")</f>
        <v/>
      </c>
    </row>
    <row r="285">
      <c r="A285" s="2" t="n">
        <v>46106</v>
      </c>
      <c r="B285" s="3" t="n">
        <v>2026</v>
      </c>
      <c r="C285" s="3" t="inlineStr">
        <is>
          <t>First Energy</t>
        </is>
      </c>
      <c r="D285" s="3" t="inlineStr">
        <is>
          <t>Utility and C&amp;I</t>
        </is>
      </c>
      <c r="E285" s="3" t="n"/>
      <c r="F285" s="3" t="inlineStr">
        <is>
          <t>Closed</t>
        </is>
      </c>
      <c r="G285" s="3" t="inlineStr">
        <is>
          <t>Mr. Gaurav</t>
        </is>
      </c>
      <c r="H285" s="3" t="n">
        <v>9979185999</v>
      </c>
      <c r="I285" s="11" t="inlineStr">
        <is>
          <t>PE25032601</t>
        </is>
      </c>
      <c r="J285" s="9" t="inlineStr">
        <is>
          <t>Module Defects</t>
        </is>
      </c>
      <c r="K285" s="3" t="inlineStr">
        <is>
          <t>Rajkot</t>
        </is>
      </c>
      <c r="L285" s="3" t="inlineStr">
        <is>
          <t>Gujarat</t>
        </is>
      </c>
      <c r="M285" s="9" t="inlineStr">
        <is>
          <t xml:space="preserve">hotspot found </t>
        </is>
      </c>
      <c r="N285" s="19" t="inlineStr">
        <is>
          <t>Hotspot</t>
        </is>
      </c>
      <c r="O285" s="3" t="n">
        <v>550</v>
      </c>
      <c r="P285" s="9" t="inlineStr">
        <is>
          <t>NSMP2301333881</t>
        </is>
      </c>
      <c r="Q285" s="53">
        <f>MID(P285,5,2)</f>
        <v/>
      </c>
      <c r="R285" s="53">
        <f>MID(P285,7,2)</f>
        <v/>
      </c>
      <c r="S285" s="3" t="inlineStr">
        <is>
          <t>G2B</t>
        </is>
      </c>
      <c r="T285" s="3" t="inlineStr">
        <is>
          <t>P2</t>
        </is>
      </c>
      <c r="U285" s="9" t="inlineStr">
        <is>
          <t>Multi Cell Hotspot</t>
        </is>
      </c>
      <c r="V285" s="3" t="inlineStr">
        <is>
          <t>Inspection</t>
        </is>
      </c>
      <c r="W285" s="3" t="inlineStr">
        <is>
          <t>Rejected</t>
        </is>
      </c>
      <c r="X285" s="2">
        <f>Z285</f>
        <v/>
      </c>
      <c r="Y285" s="73">
        <f>IF(X285="","",X285-A285)</f>
        <v/>
      </c>
      <c r="Z285" s="18" t="n">
        <v>46147</v>
      </c>
      <c r="AA285" s="15" t="n"/>
      <c r="AB285" s="15" t="n"/>
      <c r="AF285">
        <f>IF(AND($F285="Closed",$X285&gt;=DATE(2026,5,1),$X285&lt;=DATE(2026,5,31)),"Closed in May","Other")</f>
        <v/>
      </c>
    </row>
    <row r="286">
      <c r="A286" s="2" t="n">
        <v>46106</v>
      </c>
      <c r="B286" s="3" t="n">
        <v>2026</v>
      </c>
      <c r="C286" s="3" t="inlineStr">
        <is>
          <t>First Energy</t>
        </is>
      </c>
      <c r="D286" s="3" t="inlineStr">
        <is>
          <t>Utility and C&amp;I</t>
        </is>
      </c>
      <c r="E286" s="3" t="n"/>
      <c r="F286" s="3" t="inlineStr">
        <is>
          <t>Closed</t>
        </is>
      </c>
      <c r="G286" s="3" t="inlineStr">
        <is>
          <t>Mr. Gaurav</t>
        </is>
      </c>
      <c r="H286" s="3" t="n">
        <v>9979185999</v>
      </c>
      <c r="I286" s="11" t="inlineStr">
        <is>
          <t>PE25032601</t>
        </is>
      </c>
      <c r="J286" s="9" t="inlineStr">
        <is>
          <t>Module Defects</t>
        </is>
      </c>
      <c r="K286" s="3" t="inlineStr">
        <is>
          <t>Rajkot</t>
        </is>
      </c>
      <c r="L286" s="3" t="inlineStr">
        <is>
          <t>Gujarat</t>
        </is>
      </c>
      <c r="M286" s="9" t="inlineStr">
        <is>
          <t xml:space="preserve">hotspot found </t>
        </is>
      </c>
      <c r="N286" s="19" t="inlineStr">
        <is>
          <t>Hotspot</t>
        </is>
      </c>
      <c r="O286" s="3" t="n">
        <v>550</v>
      </c>
      <c r="P286" s="9" t="inlineStr">
        <is>
          <t>NSMP2301324006</t>
        </is>
      </c>
      <c r="Q286" s="53">
        <f>MID(P286,5,2)</f>
        <v/>
      </c>
      <c r="R286" s="53">
        <f>MID(P286,7,2)</f>
        <v/>
      </c>
      <c r="S286" s="3" t="inlineStr">
        <is>
          <t>G2B</t>
        </is>
      </c>
      <c r="T286" s="3" t="inlineStr">
        <is>
          <t>P2</t>
        </is>
      </c>
      <c r="U286" s="9" t="inlineStr">
        <is>
          <t>Multi Cell Hotspot</t>
        </is>
      </c>
      <c r="V286" s="3" t="inlineStr">
        <is>
          <t>Inspection</t>
        </is>
      </c>
      <c r="W286" s="3" t="inlineStr">
        <is>
          <t>Rejected</t>
        </is>
      </c>
      <c r="X286" s="2">
        <f>Z286</f>
        <v/>
      </c>
      <c r="Y286" s="73">
        <f>IF(X286="","",X286-A286)</f>
        <v/>
      </c>
      <c r="Z286" s="18" t="n">
        <v>46147</v>
      </c>
      <c r="AA286" s="15" t="n"/>
      <c r="AB286" s="15" t="n"/>
      <c r="AF286">
        <f>IF(AND($F286="Closed",$X286&gt;=DATE(2026,5,1),$X286&lt;=DATE(2026,5,31)),"Closed in May","Other")</f>
        <v/>
      </c>
    </row>
    <row r="287">
      <c r="A287" s="2" t="n">
        <v>46106</v>
      </c>
      <c r="B287" s="3" t="n">
        <v>2026</v>
      </c>
      <c r="C287" s="3" t="inlineStr">
        <is>
          <t>First Energy</t>
        </is>
      </c>
      <c r="D287" s="3" t="inlineStr">
        <is>
          <t>Utility and C&amp;I</t>
        </is>
      </c>
      <c r="E287" s="3" t="n"/>
      <c r="F287" s="3" t="inlineStr">
        <is>
          <t>WIP</t>
        </is>
      </c>
      <c r="G287" s="3" t="inlineStr">
        <is>
          <t>Mr. Gaurav</t>
        </is>
      </c>
      <c r="H287" s="3" t="n">
        <v>9979185999</v>
      </c>
      <c r="I287" s="11" t="inlineStr">
        <is>
          <t>PE25032601</t>
        </is>
      </c>
      <c r="J287" s="9" t="inlineStr">
        <is>
          <t>Module Defects</t>
        </is>
      </c>
      <c r="K287" s="3" t="inlineStr">
        <is>
          <t>Rajkot</t>
        </is>
      </c>
      <c r="L287" s="3" t="inlineStr">
        <is>
          <t>Gujarat</t>
        </is>
      </c>
      <c r="M287" s="9" t="inlineStr">
        <is>
          <t xml:space="preserve">Broken Module </t>
        </is>
      </c>
      <c r="N287" s="19" t="inlineStr">
        <is>
          <t>Hotspot</t>
        </is>
      </c>
      <c r="O287" s="3" t="n">
        <v>550</v>
      </c>
      <c r="P287" s="9" t="inlineStr">
        <is>
          <t>NSMP2301328119</t>
        </is>
      </c>
      <c r="Q287" s="53">
        <f>MID(P287,5,2)</f>
        <v/>
      </c>
      <c r="R287" s="53">
        <f>MID(P287,7,2)</f>
        <v/>
      </c>
      <c r="S287" s="3" t="inlineStr">
        <is>
          <t>G2B</t>
        </is>
      </c>
      <c r="T287" s="3" t="inlineStr">
        <is>
          <t>P2</t>
        </is>
      </c>
      <c r="U287" s="9" t="inlineStr">
        <is>
          <t>Single Cell Hotspot</t>
        </is>
      </c>
      <c r="V287" s="3" t="inlineStr">
        <is>
          <t>Inspection</t>
        </is>
      </c>
      <c r="W287" s="3" t="inlineStr">
        <is>
          <t>WIP</t>
        </is>
      </c>
      <c r="X287" s="5" t="n"/>
      <c r="Y287" s="73">
        <f>IF(X287="","",X287-A287)</f>
        <v/>
      </c>
      <c r="Z287" s="18" t="n">
        <v>46147</v>
      </c>
      <c r="AA287" s="15" t="n"/>
      <c r="AB287" s="15" t="n"/>
      <c r="AF287">
        <f>IF(AND($F287="Closed",$X287&gt;=DATE(2026,5,1),$X287&lt;=DATE(2026,5,31)),"Closed in May","Other")</f>
        <v/>
      </c>
    </row>
    <row r="288">
      <c r="A288" s="2" t="n">
        <v>46106</v>
      </c>
      <c r="B288" s="3" t="n">
        <v>2026</v>
      </c>
      <c r="C288" s="3" t="inlineStr">
        <is>
          <t>First Energy</t>
        </is>
      </c>
      <c r="D288" s="3" t="inlineStr">
        <is>
          <t>Utility and C&amp;I</t>
        </is>
      </c>
      <c r="E288" s="3" t="n"/>
      <c r="F288" s="3" t="inlineStr">
        <is>
          <t>Closed</t>
        </is>
      </c>
      <c r="G288" s="3" t="inlineStr">
        <is>
          <t>Mr. Gaurav</t>
        </is>
      </c>
      <c r="H288" s="3" t="n">
        <v>9979185999</v>
      </c>
      <c r="I288" s="11" t="inlineStr">
        <is>
          <t>PE25032601</t>
        </is>
      </c>
      <c r="J288" s="9" t="inlineStr">
        <is>
          <t>Module Defects</t>
        </is>
      </c>
      <c r="K288" s="3" t="inlineStr">
        <is>
          <t>Rajkot</t>
        </is>
      </c>
      <c r="L288" s="3" t="inlineStr">
        <is>
          <t>Gujarat</t>
        </is>
      </c>
      <c r="M288" s="9" t="inlineStr">
        <is>
          <t xml:space="preserve">hotspot found </t>
        </is>
      </c>
      <c r="N288" s="19" t="inlineStr">
        <is>
          <t>Hotspot</t>
        </is>
      </c>
      <c r="O288" s="3" t="n">
        <v>550</v>
      </c>
      <c r="P288" s="9" t="inlineStr">
        <is>
          <t>NSMP2301347945</t>
        </is>
      </c>
      <c r="Q288" s="53">
        <f>MID(P288,5,2)</f>
        <v/>
      </c>
      <c r="R288" s="53">
        <f>MID(P288,7,2)</f>
        <v/>
      </c>
      <c r="S288" s="3" t="inlineStr">
        <is>
          <t>G2B</t>
        </is>
      </c>
      <c r="T288" s="3" t="inlineStr">
        <is>
          <t>P2</t>
        </is>
      </c>
      <c r="U288" s="9" t="inlineStr">
        <is>
          <t>Single Cell Hotspot</t>
        </is>
      </c>
      <c r="V288" s="3" t="inlineStr">
        <is>
          <t>Inspection</t>
        </is>
      </c>
      <c r="W288" s="3" t="inlineStr">
        <is>
          <t>Rejected</t>
        </is>
      </c>
      <c r="X288" s="2">
        <f>Z288</f>
        <v/>
      </c>
      <c r="Y288" s="73">
        <f>IF(X288="","",X288-A288)</f>
        <v/>
      </c>
      <c r="Z288" s="18" t="n">
        <v>46147</v>
      </c>
      <c r="AA288" s="15" t="n"/>
      <c r="AB288" s="15" t="n"/>
      <c r="AF288">
        <f>IF(AND($F288="Closed",$X288&gt;=DATE(2026,5,1),$X288&lt;=DATE(2026,5,31)),"Closed in May","Other")</f>
        <v/>
      </c>
    </row>
    <row r="289">
      <c r="A289" s="2" t="n">
        <v>46106</v>
      </c>
      <c r="B289" s="3" t="n">
        <v>2026</v>
      </c>
      <c r="C289" s="3" t="inlineStr">
        <is>
          <t>First Energy</t>
        </is>
      </c>
      <c r="D289" s="3" t="inlineStr">
        <is>
          <t>Utility and C&amp;I</t>
        </is>
      </c>
      <c r="E289" s="3" t="n"/>
      <c r="F289" s="3" t="inlineStr">
        <is>
          <t>Closed</t>
        </is>
      </c>
      <c r="G289" s="3" t="inlineStr">
        <is>
          <t>Mr. Gaurav</t>
        </is>
      </c>
      <c r="H289" s="3" t="n">
        <v>9979185999</v>
      </c>
      <c r="I289" s="11" t="inlineStr">
        <is>
          <t>PE25032601</t>
        </is>
      </c>
      <c r="J289" s="9" t="inlineStr">
        <is>
          <t>Module Defects</t>
        </is>
      </c>
      <c r="K289" s="3" t="inlineStr">
        <is>
          <t>Rajkot</t>
        </is>
      </c>
      <c r="L289" s="3" t="inlineStr">
        <is>
          <t>Gujarat</t>
        </is>
      </c>
      <c r="M289" s="9" t="inlineStr">
        <is>
          <t xml:space="preserve">hotspot found </t>
        </is>
      </c>
      <c r="N289" s="19" t="inlineStr">
        <is>
          <t>Hotspot</t>
        </is>
      </c>
      <c r="O289" s="3" t="n">
        <v>550</v>
      </c>
      <c r="P289" s="9" t="inlineStr">
        <is>
          <t>NSMP24091544295</t>
        </is>
      </c>
      <c r="Q289" s="53">
        <f>MID(P289,5,2)</f>
        <v/>
      </c>
      <c r="R289" s="53">
        <f>MID(P289,7,2)</f>
        <v/>
      </c>
      <c r="S289" s="3" t="inlineStr">
        <is>
          <t>G2B</t>
        </is>
      </c>
      <c r="T289" s="3" t="inlineStr">
        <is>
          <t>P2</t>
        </is>
      </c>
      <c r="U289" s="9" t="inlineStr">
        <is>
          <t>Single Cell Hotspot</t>
        </is>
      </c>
      <c r="V289" s="3" t="inlineStr">
        <is>
          <t>Inspection</t>
        </is>
      </c>
      <c r="W289" s="3" t="inlineStr">
        <is>
          <t>Rejected</t>
        </is>
      </c>
      <c r="X289" s="2">
        <f>Z289</f>
        <v/>
      </c>
      <c r="Y289" s="73">
        <f>IF(X289="","",X289-A289)</f>
        <v/>
      </c>
      <c r="Z289" s="18" t="n">
        <v>46147</v>
      </c>
      <c r="AA289" s="15" t="n"/>
      <c r="AB289" s="15" t="n"/>
      <c r="AF289">
        <f>IF(AND($F289="Closed",$X289&gt;=DATE(2026,5,1),$X289&lt;=DATE(2026,5,31)),"Closed in May","Other")</f>
        <v/>
      </c>
    </row>
    <row r="290">
      <c r="A290" s="2" t="n">
        <v>46106</v>
      </c>
      <c r="B290" s="3" t="n">
        <v>2026</v>
      </c>
      <c r="C290" s="3" t="inlineStr">
        <is>
          <t>First Energy</t>
        </is>
      </c>
      <c r="D290" s="3" t="inlineStr">
        <is>
          <t>Utility and C&amp;I</t>
        </is>
      </c>
      <c r="E290" s="3" t="n"/>
      <c r="F290" s="3" t="inlineStr">
        <is>
          <t>Closed</t>
        </is>
      </c>
      <c r="G290" s="3" t="inlineStr">
        <is>
          <t>Mr. Gaurav</t>
        </is>
      </c>
      <c r="H290" s="3" t="n">
        <v>9979185999</v>
      </c>
      <c r="I290" s="11" t="inlineStr">
        <is>
          <t>PE25032601</t>
        </is>
      </c>
      <c r="J290" s="9" t="inlineStr">
        <is>
          <t>Module Defects</t>
        </is>
      </c>
      <c r="K290" s="3" t="inlineStr">
        <is>
          <t>Rajkot</t>
        </is>
      </c>
      <c r="L290" s="3" t="inlineStr">
        <is>
          <t>Gujarat</t>
        </is>
      </c>
      <c r="M290" s="9" t="inlineStr">
        <is>
          <t xml:space="preserve">hotspot found </t>
        </is>
      </c>
      <c r="N290" s="19" t="inlineStr">
        <is>
          <t>Hotspot</t>
        </is>
      </c>
      <c r="O290" s="3" t="n">
        <v>550</v>
      </c>
      <c r="P290" s="9" t="inlineStr">
        <is>
          <t>NSMP24091545009</t>
        </is>
      </c>
      <c r="Q290" s="53">
        <f>MID(P290,5,2)</f>
        <v/>
      </c>
      <c r="R290" s="53">
        <f>MID(P290,7,2)</f>
        <v/>
      </c>
      <c r="S290" s="3" t="inlineStr">
        <is>
          <t>G2B</t>
        </is>
      </c>
      <c r="T290" s="3" t="inlineStr">
        <is>
          <t>P2</t>
        </is>
      </c>
      <c r="U290" s="9" t="inlineStr">
        <is>
          <t>Single Cell Hotspot</t>
        </is>
      </c>
      <c r="V290" s="3" t="inlineStr">
        <is>
          <t>Inspection</t>
        </is>
      </c>
      <c r="W290" s="3" t="inlineStr">
        <is>
          <t>Rejected</t>
        </is>
      </c>
      <c r="X290" s="2">
        <f>Z290</f>
        <v/>
      </c>
      <c r="Y290" s="73">
        <f>IF(X290="","",X290-A290)</f>
        <v/>
      </c>
      <c r="Z290" s="18" t="n">
        <v>46147</v>
      </c>
      <c r="AA290" s="15" t="n"/>
      <c r="AB290" s="15" t="n"/>
      <c r="AF290">
        <f>IF(AND($F290="Closed",$X290&gt;=DATE(2026,5,1),$X290&lt;=DATE(2026,5,31)),"Closed in May","Other")</f>
        <v/>
      </c>
    </row>
    <row r="291">
      <c r="A291" s="2" t="n">
        <v>46106</v>
      </c>
      <c r="B291" s="3" t="n">
        <v>2026</v>
      </c>
      <c r="C291" s="3" t="inlineStr">
        <is>
          <t>First Energy</t>
        </is>
      </c>
      <c r="D291" s="3" t="inlineStr">
        <is>
          <t>Utility and C&amp;I</t>
        </is>
      </c>
      <c r="E291" s="3" t="n"/>
      <c r="F291" s="3" t="inlineStr">
        <is>
          <t>Closed</t>
        </is>
      </c>
      <c r="G291" s="3" t="inlineStr">
        <is>
          <t>Mr. Gaurav</t>
        </is>
      </c>
      <c r="H291" s="3" t="n">
        <v>9979185999</v>
      </c>
      <c r="I291" s="11" t="inlineStr">
        <is>
          <t>PE25032601</t>
        </is>
      </c>
      <c r="J291" s="9" t="inlineStr">
        <is>
          <t>Module Defects</t>
        </is>
      </c>
      <c r="K291" s="3" t="inlineStr">
        <is>
          <t>Rajkot</t>
        </is>
      </c>
      <c r="L291" s="3" t="inlineStr">
        <is>
          <t>Gujarat</t>
        </is>
      </c>
      <c r="M291" s="9" t="inlineStr">
        <is>
          <t xml:space="preserve">hotspot found </t>
        </is>
      </c>
      <c r="N291" s="19" t="inlineStr">
        <is>
          <t>Hotspot</t>
        </is>
      </c>
      <c r="O291" s="3" t="n">
        <v>550</v>
      </c>
      <c r="P291" s="9" t="inlineStr">
        <is>
          <t>NSMP2301328092</t>
        </is>
      </c>
      <c r="Q291" s="53">
        <f>MID(P291,5,2)</f>
        <v/>
      </c>
      <c r="R291" s="53">
        <f>MID(P291,7,2)</f>
        <v/>
      </c>
      <c r="S291" s="3" t="inlineStr">
        <is>
          <t>G2B</t>
        </is>
      </c>
      <c r="T291" s="3" t="inlineStr">
        <is>
          <t>P2</t>
        </is>
      </c>
      <c r="U291" s="9" t="inlineStr">
        <is>
          <t xml:space="preserve">Single Cell Hotspot </t>
        </is>
      </c>
      <c r="V291" s="3" t="inlineStr">
        <is>
          <t>Inspection</t>
        </is>
      </c>
      <c r="W291" s="3" t="inlineStr">
        <is>
          <t>Rejected</t>
        </is>
      </c>
      <c r="X291" s="2">
        <f>Z291</f>
        <v/>
      </c>
      <c r="Y291" s="73">
        <f>IF(X291="","",X291-A291)</f>
        <v/>
      </c>
      <c r="Z291" s="18" t="n">
        <v>46147</v>
      </c>
      <c r="AA291" s="15" t="n"/>
      <c r="AB291" s="15" t="n"/>
      <c r="AF291">
        <f>IF(AND($F291="Closed",$X291&gt;=DATE(2026,5,1),$X291&lt;=DATE(2026,5,31)),"Closed in May","Other")</f>
        <v/>
      </c>
    </row>
    <row r="292">
      <c r="A292" s="2" t="n">
        <v>46106</v>
      </c>
      <c r="B292" s="3" t="n">
        <v>2026</v>
      </c>
      <c r="C292" s="3" t="inlineStr">
        <is>
          <t>First Energy</t>
        </is>
      </c>
      <c r="D292" s="3" t="inlineStr">
        <is>
          <t>Utility and C&amp;I</t>
        </is>
      </c>
      <c r="E292" s="3" t="n"/>
      <c r="F292" s="3" t="inlineStr">
        <is>
          <t>Closed</t>
        </is>
      </c>
      <c r="G292" s="3" t="inlineStr">
        <is>
          <t>Mr. Gaurav</t>
        </is>
      </c>
      <c r="H292" s="3" t="n">
        <v>9979185999</v>
      </c>
      <c r="I292" s="11" t="inlineStr">
        <is>
          <t>PE25032601</t>
        </is>
      </c>
      <c r="J292" s="9" t="inlineStr">
        <is>
          <t>Module Defects</t>
        </is>
      </c>
      <c r="K292" s="3" t="inlineStr">
        <is>
          <t>Rajkot</t>
        </is>
      </c>
      <c r="L292" s="3" t="inlineStr">
        <is>
          <t>Gujarat</t>
        </is>
      </c>
      <c r="M292" s="9" t="inlineStr">
        <is>
          <t xml:space="preserve">hotspot found </t>
        </is>
      </c>
      <c r="N292" s="19" t="inlineStr">
        <is>
          <t>Hotspot</t>
        </is>
      </c>
      <c r="O292" s="3" t="n">
        <v>550</v>
      </c>
      <c r="P292" s="9" t="inlineStr">
        <is>
          <t>NSMP2212258014</t>
        </is>
      </c>
      <c r="Q292" s="53">
        <f>MID(P292,5,2)</f>
        <v/>
      </c>
      <c r="R292" s="53">
        <f>MID(P292,7,2)</f>
        <v/>
      </c>
      <c r="S292" s="3" t="inlineStr">
        <is>
          <t>G2B</t>
        </is>
      </c>
      <c r="T292" s="3" t="inlineStr">
        <is>
          <t>P2</t>
        </is>
      </c>
      <c r="U292" s="9" t="inlineStr">
        <is>
          <t>Single Cell Hotspot</t>
        </is>
      </c>
      <c r="V292" s="3" t="inlineStr">
        <is>
          <t>Inspection</t>
        </is>
      </c>
      <c r="W292" s="3" t="inlineStr">
        <is>
          <t>Rejected</t>
        </is>
      </c>
      <c r="X292" s="2">
        <f>Z292</f>
        <v/>
      </c>
      <c r="Y292" s="73">
        <f>IF(X292="","",X292-A292)</f>
        <v/>
      </c>
      <c r="Z292" s="18" t="n">
        <v>46147</v>
      </c>
      <c r="AA292" s="15" t="n"/>
      <c r="AB292" s="15" t="n"/>
      <c r="AF292">
        <f>IF(AND($F292="Closed",$X292&gt;=DATE(2026,5,1),$X292&lt;=DATE(2026,5,31)),"Closed in May","Other")</f>
        <v/>
      </c>
    </row>
    <row r="293">
      <c r="A293" s="2" t="n">
        <v>46106</v>
      </c>
      <c r="B293" s="3" t="n">
        <v>2026</v>
      </c>
      <c r="C293" s="3" t="inlineStr">
        <is>
          <t>First Energy</t>
        </is>
      </c>
      <c r="D293" s="3" t="inlineStr">
        <is>
          <t>Utility and C&amp;I</t>
        </is>
      </c>
      <c r="E293" s="3" t="n"/>
      <c r="F293" s="3" t="inlineStr">
        <is>
          <t>Closed</t>
        </is>
      </c>
      <c r="G293" s="3" t="inlineStr">
        <is>
          <t>Mr. Gaurav</t>
        </is>
      </c>
      <c r="H293" s="3" t="n">
        <v>9979185999</v>
      </c>
      <c r="I293" s="11" t="inlineStr">
        <is>
          <t>PE25032601</t>
        </is>
      </c>
      <c r="J293" s="9" t="inlineStr">
        <is>
          <t>Module Defects</t>
        </is>
      </c>
      <c r="K293" s="3" t="inlineStr">
        <is>
          <t>Rajkot</t>
        </is>
      </c>
      <c r="L293" s="3" t="inlineStr">
        <is>
          <t>Gujarat</t>
        </is>
      </c>
      <c r="M293" s="9" t="inlineStr">
        <is>
          <t xml:space="preserve">hotspot found </t>
        </is>
      </c>
      <c r="N293" s="19" t="inlineStr">
        <is>
          <t>Hotspot</t>
        </is>
      </c>
      <c r="O293" s="3" t="n">
        <v>550</v>
      </c>
      <c r="P293" s="9" t="inlineStr">
        <is>
          <t>NSMP2212282872</t>
        </is>
      </c>
      <c r="Q293" s="53">
        <f>MID(P293,5,2)</f>
        <v/>
      </c>
      <c r="R293" s="53">
        <f>MID(P293,7,2)</f>
        <v/>
      </c>
      <c r="S293" s="3" t="inlineStr">
        <is>
          <t>G2B</t>
        </is>
      </c>
      <c r="T293" s="3" t="inlineStr">
        <is>
          <t>P2</t>
        </is>
      </c>
      <c r="U293" s="9" t="inlineStr">
        <is>
          <t>Multi Cell Hotspot</t>
        </is>
      </c>
      <c r="V293" s="3" t="inlineStr">
        <is>
          <t>Inspection</t>
        </is>
      </c>
      <c r="W293" s="3" t="inlineStr">
        <is>
          <t>Rejected</t>
        </is>
      </c>
      <c r="X293" s="2">
        <f>Z293</f>
        <v/>
      </c>
      <c r="Y293" s="73">
        <f>IF(X293="","",X293-A293)</f>
        <v/>
      </c>
      <c r="Z293" s="18" t="n">
        <v>46147</v>
      </c>
      <c r="AA293" s="15" t="n"/>
      <c r="AB293" s="15" t="n"/>
      <c r="AF293">
        <f>IF(AND($F293="Closed",$X293&gt;=DATE(2026,5,1),$X293&lt;=DATE(2026,5,31)),"Closed in May","Other")</f>
        <v/>
      </c>
    </row>
    <row r="294">
      <c r="A294" s="2" t="n">
        <v>46106</v>
      </c>
      <c r="B294" s="3" t="n">
        <v>2026</v>
      </c>
      <c r="C294" s="3" t="inlineStr">
        <is>
          <t>First Energy</t>
        </is>
      </c>
      <c r="D294" s="3" t="inlineStr">
        <is>
          <t>Utility and C&amp;I</t>
        </is>
      </c>
      <c r="E294" s="3" t="n"/>
      <c r="F294" s="3" t="inlineStr">
        <is>
          <t>Closed</t>
        </is>
      </c>
      <c r="G294" s="3" t="inlineStr">
        <is>
          <t>Mr. Gaurav</t>
        </is>
      </c>
      <c r="H294" s="3" t="n">
        <v>9979185999</v>
      </c>
      <c r="I294" s="11" t="inlineStr">
        <is>
          <t>PE25032601</t>
        </is>
      </c>
      <c r="J294" s="9" t="inlineStr">
        <is>
          <t>Module Defects</t>
        </is>
      </c>
      <c r="K294" s="3" t="inlineStr">
        <is>
          <t>Rajkot</t>
        </is>
      </c>
      <c r="L294" s="3" t="inlineStr">
        <is>
          <t>Gujarat</t>
        </is>
      </c>
      <c r="M294" s="9" t="inlineStr">
        <is>
          <t xml:space="preserve">hotspot found </t>
        </is>
      </c>
      <c r="N294" s="19" t="inlineStr">
        <is>
          <t>Hotspot</t>
        </is>
      </c>
      <c r="O294" s="3" t="n">
        <v>550</v>
      </c>
      <c r="P294" s="9" t="inlineStr">
        <is>
          <t>NSMP2212268280</t>
        </is>
      </c>
      <c r="Q294" s="53">
        <f>MID(P294,5,2)</f>
        <v/>
      </c>
      <c r="R294" s="53">
        <f>MID(P294,7,2)</f>
        <v/>
      </c>
      <c r="S294" s="3" t="inlineStr">
        <is>
          <t>G2B</t>
        </is>
      </c>
      <c r="T294" s="3" t="inlineStr">
        <is>
          <t>P2</t>
        </is>
      </c>
      <c r="U294" s="9" t="inlineStr">
        <is>
          <t>Single Cell Hotspot</t>
        </is>
      </c>
      <c r="V294" s="3" t="inlineStr">
        <is>
          <t>Inspection</t>
        </is>
      </c>
      <c r="W294" s="3" t="inlineStr">
        <is>
          <t>Rejected</t>
        </is>
      </c>
      <c r="X294" s="2">
        <f>Z294</f>
        <v/>
      </c>
      <c r="Y294" s="73">
        <f>IF(X294="","",X294-A294)</f>
        <v/>
      </c>
      <c r="Z294" s="18" t="n">
        <v>46147</v>
      </c>
      <c r="AA294" s="15" t="n"/>
      <c r="AB294" s="15" t="n"/>
      <c r="AF294">
        <f>IF(AND($F294="Closed",$X294&gt;=DATE(2026,5,1),$X294&lt;=DATE(2026,5,31)),"Closed in May","Other")</f>
        <v/>
      </c>
    </row>
    <row r="295">
      <c r="A295" s="2" t="n">
        <v>46106</v>
      </c>
      <c r="B295" s="3" t="n">
        <v>2026</v>
      </c>
      <c r="C295" s="3" t="inlineStr">
        <is>
          <t>First Energy</t>
        </is>
      </c>
      <c r="D295" s="3" t="inlineStr">
        <is>
          <t>Utility and C&amp;I</t>
        </is>
      </c>
      <c r="E295" s="3" t="n"/>
      <c r="F295" s="3" t="inlineStr">
        <is>
          <t>Closed</t>
        </is>
      </c>
      <c r="G295" s="3" t="inlineStr">
        <is>
          <t>Mr. Gaurav</t>
        </is>
      </c>
      <c r="H295" s="3" t="n">
        <v>9979185999</v>
      </c>
      <c r="I295" s="11" t="inlineStr">
        <is>
          <t>PE25032601</t>
        </is>
      </c>
      <c r="J295" s="9" t="inlineStr">
        <is>
          <t>Module Defects</t>
        </is>
      </c>
      <c r="K295" s="3" t="inlineStr">
        <is>
          <t>Rajkot</t>
        </is>
      </c>
      <c r="L295" s="3" t="inlineStr">
        <is>
          <t>Gujarat</t>
        </is>
      </c>
      <c r="M295" s="9" t="inlineStr">
        <is>
          <t xml:space="preserve">hotspot found </t>
        </is>
      </c>
      <c r="N295" s="19" t="inlineStr">
        <is>
          <t>Hotspot</t>
        </is>
      </c>
      <c r="O295" s="3" t="n">
        <v>550</v>
      </c>
      <c r="P295" s="9" t="inlineStr">
        <is>
          <t>NSMP24091550289</t>
        </is>
      </c>
      <c r="Q295" s="53">
        <f>MID(P295,5,2)</f>
        <v/>
      </c>
      <c r="R295" s="53">
        <f>MID(P295,7,2)</f>
        <v/>
      </c>
      <c r="S295" s="3" t="inlineStr">
        <is>
          <t>G2B</t>
        </is>
      </c>
      <c r="T295" s="3" t="inlineStr">
        <is>
          <t>P2</t>
        </is>
      </c>
      <c r="U295" s="9" t="inlineStr">
        <is>
          <t>Single Cell Hotspot</t>
        </is>
      </c>
      <c r="V295" s="3" t="inlineStr">
        <is>
          <t>Inspection</t>
        </is>
      </c>
      <c r="W295" s="3" t="inlineStr">
        <is>
          <t>Rejected</t>
        </is>
      </c>
      <c r="X295" s="2">
        <f>Z295</f>
        <v/>
      </c>
      <c r="Y295" s="73">
        <f>IF(X295="","",X295-A295)</f>
        <v/>
      </c>
      <c r="Z295" s="18" t="n">
        <v>46147</v>
      </c>
      <c r="AA295" s="15" t="n"/>
      <c r="AB295" s="15" t="n"/>
      <c r="AF295">
        <f>IF(AND($F295="Closed",$X295&gt;=DATE(2026,5,1),$X295&lt;=DATE(2026,5,31)),"Closed in May","Other")</f>
        <v/>
      </c>
    </row>
    <row r="296">
      <c r="A296" s="2" t="n">
        <v>46106</v>
      </c>
      <c r="B296" s="3" t="n">
        <v>2026</v>
      </c>
      <c r="C296" s="3" t="inlineStr">
        <is>
          <t>First Energy</t>
        </is>
      </c>
      <c r="D296" s="3" t="inlineStr">
        <is>
          <t>Utility and C&amp;I</t>
        </is>
      </c>
      <c r="E296" s="3" t="n"/>
      <c r="F296" s="3" t="inlineStr">
        <is>
          <t>Closed</t>
        </is>
      </c>
      <c r="G296" s="3" t="inlineStr">
        <is>
          <t>Mr. Gaurav</t>
        </is>
      </c>
      <c r="H296" s="3" t="n">
        <v>9979185999</v>
      </c>
      <c r="I296" s="11" t="inlineStr">
        <is>
          <t>PE25032601</t>
        </is>
      </c>
      <c r="J296" s="9" t="inlineStr">
        <is>
          <t>Module Defects</t>
        </is>
      </c>
      <c r="K296" s="3" t="inlineStr">
        <is>
          <t>Rajkot</t>
        </is>
      </c>
      <c r="L296" s="3" t="inlineStr">
        <is>
          <t>Gujarat</t>
        </is>
      </c>
      <c r="M296" s="9" t="inlineStr">
        <is>
          <t xml:space="preserve">hotspot found </t>
        </is>
      </c>
      <c r="N296" s="19" t="inlineStr">
        <is>
          <t>Hotspot</t>
        </is>
      </c>
      <c r="O296" s="3" t="n">
        <v>550</v>
      </c>
      <c r="P296" s="9" t="inlineStr">
        <is>
          <t>NSMP2301306761</t>
        </is>
      </c>
      <c r="Q296" s="53">
        <f>MID(P296,5,2)</f>
        <v/>
      </c>
      <c r="R296" s="53">
        <f>MID(P296,7,2)</f>
        <v/>
      </c>
      <c r="S296" s="3" t="inlineStr">
        <is>
          <t>G2B</t>
        </is>
      </c>
      <c r="T296" s="3" t="inlineStr">
        <is>
          <t>P2</t>
        </is>
      </c>
      <c r="U296" s="9" t="inlineStr">
        <is>
          <t>Single Cell Hotspot</t>
        </is>
      </c>
      <c r="V296" s="3" t="inlineStr">
        <is>
          <t>Inspection</t>
        </is>
      </c>
      <c r="W296" s="3" t="inlineStr">
        <is>
          <t>Rejected</t>
        </is>
      </c>
      <c r="X296" s="2">
        <f>Z296</f>
        <v/>
      </c>
      <c r="Y296" s="73">
        <f>IF(X296="","",X296-A296)</f>
        <v/>
      </c>
      <c r="Z296" s="18" t="n">
        <v>46147</v>
      </c>
      <c r="AA296" s="15" t="n"/>
      <c r="AB296" s="15" t="n"/>
      <c r="AF296">
        <f>IF(AND($F296="Closed",$X296&gt;=DATE(2026,5,1),$X296&lt;=DATE(2026,5,31)),"Closed in May","Other")</f>
        <v/>
      </c>
    </row>
    <row r="297">
      <c r="A297" s="2" t="n">
        <v>46106</v>
      </c>
      <c r="B297" s="3" t="n">
        <v>2026</v>
      </c>
      <c r="C297" s="3" t="inlineStr">
        <is>
          <t>First Energy</t>
        </is>
      </c>
      <c r="D297" s="3" t="inlineStr">
        <is>
          <t>Utility and C&amp;I</t>
        </is>
      </c>
      <c r="E297" s="3" t="n"/>
      <c r="F297" s="3" t="inlineStr">
        <is>
          <t>Closed</t>
        </is>
      </c>
      <c r="G297" s="3" t="inlineStr">
        <is>
          <t>Mr. Gaurav</t>
        </is>
      </c>
      <c r="H297" s="3" t="n">
        <v>9979185999</v>
      </c>
      <c r="I297" s="11" t="inlineStr">
        <is>
          <t>PE25032601</t>
        </is>
      </c>
      <c r="J297" s="9" t="inlineStr">
        <is>
          <t>Module Defects</t>
        </is>
      </c>
      <c r="K297" s="3" t="inlineStr">
        <is>
          <t>Rajkot</t>
        </is>
      </c>
      <c r="L297" s="3" t="inlineStr">
        <is>
          <t>Gujarat</t>
        </is>
      </c>
      <c r="M297" s="9" t="inlineStr">
        <is>
          <t xml:space="preserve">hotspot found </t>
        </is>
      </c>
      <c r="N297" s="19" t="inlineStr">
        <is>
          <t>Hotspot</t>
        </is>
      </c>
      <c r="O297" s="3" t="n">
        <v>550</v>
      </c>
      <c r="P297" s="9" t="inlineStr">
        <is>
          <t>NSMP2301294781</t>
        </is>
      </c>
      <c r="Q297" s="53">
        <f>MID(P297,5,2)</f>
        <v/>
      </c>
      <c r="R297" s="53">
        <f>MID(P297,7,2)</f>
        <v/>
      </c>
      <c r="S297" s="3" t="inlineStr">
        <is>
          <t>G2B</t>
        </is>
      </c>
      <c r="T297" s="3" t="inlineStr">
        <is>
          <t>P2</t>
        </is>
      </c>
      <c r="U297" s="9" t="inlineStr">
        <is>
          <t>Single Cell Hotspot</t>
        </is>
      </c>
      <c r="V297" s="3" t="inlineStr">
        <is>
          <t>Inspection</t>
        </is>
      </c>
      <c r="W297" s="3" t="inlineStr">
        <is>
          <t>Rejected</t>
        </is>
      </c>
      <c r="X297" s="2">
        <f>Z297</f>
        <v/>
      </c>
      <c r="Y297" s="73">
        <f>IF(X297="","",X297-A297)</f>
        <v/>
      </c>
      <c r="Z297" s="18" t="n">
        <v>46147</v>
      </c>
      <c r="AA297" s="15" t="n"/>
      <c r="AB297" s="15" t="n"/>
      <c r="AF297">
        <f>IF(AND($F297="Closed",$X297&gt;=DATE(2026,5,1),$X297&lt;=DATE(2026,5,31)),"Closed in May","Other")</f>
        <v/>
      </c>
    </row>
    <row r="298">
      <c r="A298" s="2" t="n">
        <v>46106</v>
      </c>
      <c r="B298" s="3" t="n">
        <v>2026</v>
      </c>
      <c r="C298" s="3" t="inlineStr">
        <is>
          <t>First Energy</t>
        </is>
      </c>
      <c r="D298" s="3" t="inlineStr">
        <is>
          <t>Utility and C&amp;I</t>
        </is>
      </c>
      <c r="E298" s="3" t="n"/>
      <c r="F298" s="3" t="inlineStr">
        <is>
          <t>Closed</t>
        </is>
      </c>
      <c r="G298" s="3" t="inlineStr">
        <is>
          <t>Mr. Gaurav</t>
        </is>
      </c>
      <c r="H298" s="3" t="n">
        <v>9979185999</v>
      </c>
      <c r="I298" s="11" t="inlineStr">
        <is>
          <t>PE25032601</t>
        </is>
      </c>
      <c r="J298" s="9" t="inlineStr">
        <is>
          <t>Module Defects</t>
        </is>
      </c>
      <c r="K298" s="3" t="inlineStr">
        <is>
          <t>Rajkot</t>
        </is>
      </c>
      <c r="L298" s="3" t="inlineStr">
        <is>
          <t>Gujarat</t>
        </is>
      </c>
      <c r="M298" s="9" t="inlineStr">
        <is>
          <t xml:space="preserve">hotspot found </t>
        </is>
      </c>
      <c r="N298" s="19" t="inlineStr">
        <is>
          <t>Hotspot</t>
        </is>
      </c>
      <c r="O298" s="3" t="n">
        <v>550</v>
      </c>
      <c r="P298" s="9" t="inlineStr">
        <is>
          <t>NSMP2212282181</t>
        </is>
      </c>
      <c r="Q298" s="53">
        <f>MID(P298,5,2)</f>
        <v/>
      </c>
      <c r="R298" s="53">
        <f>MID(P298,7,2)</f>
        <v/>
      </c>
      <c r="S298" s="3" t="inlineStr">
        <is>
          <t>G2B</t>
        </is>
      </c>
      <c r="T298" s="3" t="inlineStr">
        <is>
          <t>P2</t>
        </is>
      </c>
      <c r="U298" s="9" t="inlineStr">
        <is>
          <t>Multi Cell Hotspot</t>
        </is>
      </c>
      <c r="V298" s="3" t="inlineStr">
        <is>
          <t>Inspection</t>
        </is>
      </c>
      <c r="W298" s="3" t="inlineStr">
        <is>
          <t>Rejected</t>
        </is>
      </c>
      <c r="X298" s="2">
        <f>Z298</f>
        <v/>
      </c>
      <c r="Y298" s="73">
        <f>IF(X298="","",X298-A298)</f>
        <v/>
      </c>
      <c r="Z298" s="18" t="n">
        <v>46147</v>
      </c>
      <c r="AA298" s="15" t="n"/>
      <c r="AB298" s="15" t="n"/>
      <c r="AF298">
        <f>IF(AND($F298="Closed",$X298&gt;=DATE(2026,5,1),$X298&lt;=DATE(2026,5,31)),"Closed in May","Other")</f>
        <v/>
      </c>
    </row>
    <row r="299">
      <c r="A299" s="6" t="n">
        <v>46107</v>
      </c>
      <c r="B299" s="3" t="n">
        <v>2026</v>
      </c>
      <c r="C299" s="3" t="inlineStr">
        <is>
          <t>Blupine Energy</t>
        </is>
      </c>
      <c r="D299" s="3" t="inlineStr">
        <is>
          <t>Utility and C&amp;I</t>
        </is>
      </c>
      <c r="E299" s="3" t="n"/>
      <c r="F299" s="3" t="inlineStr">
        <is>
          <t>Closed</t>
        </is>
      </c>
      <c r="G299" s="3" t="inlineStr">
        <is>
          <t>Chandrashekar Patidar</t>
        </is>
      </c>
      <c r="H299" s="3" t="n">
        <v>7879764773</v>
      </c>
      <c r="I299" s="11" t="inlineStr">
        <is>
          <t>PE26032601</t>
        </is>
      </c>
      <c r="J299" s="3" t="inlineStr">
        <is>
          <t>Module Diode Failure</t>
        </is>
      </c>
      <c r="K299" s="3" t="inlineStr">
        <is>
          <t>Sadla</t>
        </is>
      </c>
      <c r="L299" s="3" t="inlineStr">
        <is>
          <t>Gujarat</t>
        </is>
      </c>
      <c r="M299" s="9" t="inlineStr">
        <is>
          <t>PR</t>
        </is>
      </c>
      <c r="N299" s="3" t="inlineStr">
        <is>
          <t>JB Issue</t>
        </is>
      </c>
      <c r="O299" s="3" t="n">
        <v>570</v>
      </c>
      <c r="P299" s="9" t="inlineStr">
        <is>
          <t>NSMI24050053304</t>
        </is>
      </c>
      <c r="Q299" s="53">
        <f>MID(P299,5,2)</f>
        <v/>
      </c>
      <c r="R299" s="53">
        <f>MID(P299,7,2)</f>
        <v/>
      </c>
      <c r="S299" s="3" t="inlineStr">
        <is>
          <t>G2G</t>
        </is>
      </c>
      <c r="T299" s="3" t="inlineStr">
        <is>
          <t>P4</t>
        </is>
      </c>
      <c r="U299" s="3" t="inlineStr">
        <is>
          <t>P JB Issue</t>
        </is>
      </c>
      <c r="V299" s="15" t="inlineStr">
        <is>
          <t>JB Changed</t>
        </is>
      </c>
      <c r="W299" s="3" t="inlineStr">
        <is>
          <t>Repair</t>
        </is>
      </c>
      <c r="X299" s="18" t="n">
        <v>46147</v>
      </c>
      <c r="Y299" s="73">
        <f>IF(X299="","",X299-A299)</f>
        <v/>
      </c>
      <c r="Z299" s="18" t="n">
        <v>46147</v>
      </c>
      <c r="AA299" s="15" t="n"/>
      <c r="AB299" s="15" t="n"/>
      <c r="AF299">
        <f>IF(AND($F299="Closed",$X299&gt;=DATE(2026,5,1),$X299&lt;=DATE(2026,5,31)),"Closed in May","Other")</f>
        <v/>
      </c>
    </row>
    <row r="300">
      <c r="A300" s="6" t="n">
        <v>46107</v>
      </c>
      <c r="B300" s="3" t="n">
        <v>2026</v>
      </c>
      <c r="C300" s="3" t="inlineStr">
        <is>
          <t>Blupine Energy</t>
        </is>
      </c>
      <c r="D300" s="3" t="inlineStr">
        <is>
          <t>Utility and C&amp;I</t>
        </is>
      </c>
      <c r="E300" s="3" t="n"/>
      <c r="F300" s="3" t="inlineStr">
        <is>
          <t>Closed</t>
        </is>
      </c>
      <c r="G300" s="3" t="inlineStr">
        <is>
          <t>Chandrashekar Patidar</t>
        </is>
      </c>
      <c r="H300" s="3" t="n">
        <v>7879764773</v>
      </c>
      <c r="I300" s="11" t="inlineStr">
        <is>
          <t>PE26032601</t>
        </is>
      </c>
      <c r="J300" s="3" t="inlineStr">
        <is>
          <t>Module Diode Failure</t>
        </is>
      </c>
      <c r="K300" s="3" t="inlineStr">
        <is>
          <t>Sadla</t>
        </is>
      </c>
      <c r="L300" s="3" t="inlineStr">
        <is>
          <t>Gujarat</t>
        </is>
      </c>
      <c r="M300" s="9" t="inlineStr">
        <is>
          <t>Ok</t>
        </is>
      </c>
      <c r="N300" s="3" t="inlineStr">
        <is>
          <t>No Issue</t>
        </is>
      </c>
      <c r="O300" s="3" t="n">
        <v>570</v>
      </c>
      <c r="P300" s="9" t="inlineStr">
        <is>
          <t>NSMI24050062021</t>
        </is>
      </c>
      <c r="Q300" s="53">
        <f>MID(P300,5,2)</f>
        <v/>
      </c>
      <c r="R300" s="53">
        <f>MID(P300,7,2)</f>
        <v/>
      </c>
      <c r="S300" s="3" t="inlineStr">
        <is>
          <t>G2G</t>
        </is>
      </c>
      <c r="T300" s="3" t="inlineStr">
        <is>
          <t>P4</t>
        </is>
      </c>
      <c r="U300" s="19" t="inlineStr">
        <is>
          <t>No Issue Found</t>
        </is>
      </c>
      <c r="V300" s="19" t="inlineStr">
        <is>
          <t>Found OK</t>
        </is>
      </c>
      <c r="W300" s="19" t="inlineStr">
        <is>
          <t>Repair</t>
        </is>
      </c>
      <c r="X300" s="18" t="n">
        <v>46147</v>
      </c>
      <c r="Y300" s="73">
        <f>IF(X300="","",X300-A300)</f>
        <v/>
      </c>
      <c r="Z300" s="18" t="n">
        <v>46147</v>
      </c>
      <c r="AA300" s="15" t="n"/>
      <c r="AB300" s="15" t="n"/>
      <c r="AF300">
        <f>IF(AND($F300="Closed",$X300&gt;=DATE(2026,5,1),$X300&lt;=DATE(2026,5,31)),"Closed in May","Other")</f>
        <v/>
      </c>
    </row>
    <row r="301">
      <c r="A301" s="6" t="n">
        <v>46107</v>
      </c>
      <c r="B301" s="3" t="n">
        <v>2026</v>
      </c>
      <c r="C301" s="3" t="inlineStr">
        <is>
          <t>Blupine Energy</t>
        </is>
      </c>
      <c r="D301" s="3" t="inlineStr">
        <is>
          <t>Utility and C&amp;I</t>
        </is>
      </c>
      <c r="E301" s="3" t="n"/>
      <c r="F301" s="3" t="inlineStr">
        <is>
          <t>Closed</t>
        </is>
      </c>
      <c r="G301" s="3" t="inlineStr">
        <is>
          <t>Chandrashekar Patidar</t>
        </is>
      </c>
      <c r="H301" s="3" t="n">
        <v>7879764773</v>
      </c>
      <c r="I301" s="11" t="inlineStr">
        <is>
          <t>PE26032601</t>
        </is>
      </c>
      <c r="J301" s="3" t="inlineStr">
        <is>
          <t>Module Diode Failure</t>
        </is>
      </c>
      <c r="K301" s="3" t="inlineStr">
        <is>
          <t>Sadla</t>
        </is>
      </c>
      <c r="L301" s="3" t="inlineStr">
        <is>
          <t>Gujarat</t>
        </is>
      </c>
      <c r="M301" s="9" t="inlineStr">
        <is>
          <t>PR</t>
        </is>
      </c>
      <c r="N301" s="3" t="inlineStr">
        <is>
          <t>JB Issue</t>
        </is>
      </c>
      <c r="O301" s="3" t="n">
        <v>570</v>
      </c>
      <c r="P301" s="9" t="inlineStr">
        <is>
          <t>NSMI24050061891</t>
        </is>
      </c>
      <c r="Q301" s="53">
        <f>MID(P301,5,2)</f>
        <v/>
      </c>
      <c r="R301" s="53">
        <f>MID(P301,7,2)</f>
        <v/>
      </c>
      <c r="S301" s="3" t="inlineStr">
        <is>
          <t>G2G</t>
        </is>
      </c>
      <c r="T301" s="3" t="inlineStr">
        <is>
          <t>P4</t>
        </is>
      </c>
      <c r="U301" s="3" t="inlineStr">
        <is>
          <t>P JB Issue</t>
        </is>
      </c>
      <c r="V301" s="15" t="inlineStr">
        <is>
          <t>JB Changed</t>
        </is>
      </c>
      <c r="W301" s="3" t="inlineStr">
        <is>
          <t>Repair</t>
        </is>
      </c>
      <c r="X301" s="18" t="n">
        <v>46147</v>
      </c>
      <c r="Y301" s="73">
        <f>IF(X301="","",X301-A301)</f>
        <v/>
      </c>
      <c r="Z301" s="18" t="n">
        <v>46147</v>
      </c>
      <c r="AA301" s="15" t="n"/>
      <c r="AB301" s="15" t="n"/>
      <c r="AF301">
        <f>IF(AND($F301="Closed",$X301&gt;=DATE(2026,5,1),$X301&lt;=DATE(2026,5,31)),"Closed in May","Other")</f>
        <v/>
      </c>
    </row>
    <row r="302">
      <c r="A302" s="6" t="n">
        <v>46107</v>
      </c>
      <c r="B302" s="3" t="n">
        <v>2026</v>
      </c>
      <c r="C302" s="3" t="inlineStr">
        <is>
          <t>Blupine Energy</t>
        </is>
      </c>
      <c r="D302" s="3" t="inlineStr">
        <is>
          <t>Utility and C&amp;I</t>
        </is>
      </c>
      <c r="E302" s="3" t="n"/>
      <c r="F302" s="3" t="inlineStr">
        <is>
          <t>Closed</t>
        </is>
      </c>
      <c r="G302" s="3" t="inlineStr">
        <is>
          <t>Chandrashekar Patidar</t>
        </is>
      </c>
      <c r="H302" s="3" t="n">
        <v>7879764773</v>
      </c>
      <c r="I302" s="11" t="inlineStr">
        <is>
          <t>PE26032601</t>
        </is>
      </c>
      <c r="J302" s="3" t="inlineStr">
        <is>
          <t>Module Diode Failure</t>
        </is>
      </c>
      <c r="K302" s="3" t="inlineStr">
        <is>
          <t>Sadla</t>
        </is>
      </c>
      <c r="L302" s="3" t="inlineStr">
        <is>
          <t>Gujarat</t>
        </is>
      </c>
      <c r="M302" s="9" t="inlineStr">
        <is>
          <t>PS</t>
        </is>
      </c>
      <c r="N302" s="3" t="inlineStr">
        <is>
          <t>Cold Soldering</t>
        </is>
      </c>
      <c r="O302" s="3" t="n">
        <v>570</v>
      </c>
      <c r="P302" s="9" t="inlineStr">
        <is>
          <t>NSMI24050045558</t>
        </is>
      </c>
      <c r="Q302" s="53">
        <f>MID(P302,5,2)</f>
        <v/>
      </c>
      <c r="R302" s="53">
        <f>MID(P302,7,2)</f>
        <v/>
      </c>
      <c r="S302" s="3" t="inlineStr">
        <is>
          <t>G2G</t>
        </is>
      </c>
      <c r="T302" s="3" t="inlineStr">
        <is>
          <t>P4</t>
        </is>
      </c>
      <c r="U302" s="3" t="inlineStr">
        <is>
          <t>P JB Cold Soldering</t>
        </is>
      </c>
      <c r="V302" s="3" t="inlineStr">
        <is>
          <t>Soldering</t>
        </is>
      </c>
      <c r="W302" s="3" t="inlineStr">
        <is>
          <t>Repair</t>
        </is>
      </c>
      <c r="X302" s="18" t="n">
        <v>46147</v>
      </c>
      <c r="Y302" s="73">
        <f>IF(X302="","",X302-A302)</f>
        <v/>
      </c>
      <c r="Z302" s="18" t="n">
        <v>46147</v>
      </c>
      <c r="AA302" s="15" t="n"/>
      <c r="AB302" s="15" t="n"/>
      <c r="AF302">
        <f>IF(AND($F302="Closed",$X302&gt;=DATE(2026,5,1),$X302&lt;=DATE(2026,5,31)),"Closed in May","Other")</f>
        <v/>
      </c>
    </row>
    <row r="303">
      <c r="A303" s="6" t="n">
        <v>46107</v>
      </c>
      <c r="B303" s="3" t="n">
        <v>2026</v>
      </c>
      <c r="C303" s="3" t="inlineStr">
        <is>
          <t>Blupine Energy</t>
        </is>
      </c>
      <c r="D303" s="3" t="inlineStr">
        <is>
          <t>Utility and C&amp;I</t>
        </is>
      </c>
      <c r="E303" s="3" t="n"/>
      <c r="F303" s="3" t="inlineStr">
        <is>
          <t>Closed</t>
        </is>
      </c>
      <c r="G303" s="3" t="inlineStr">
        <is>
          <t>Chandrashekar Patidar</t>
        </is>
      </c>
      <c r="H303" s="3" t="n">
        <v>7879764773</v>
      </c>
      <c r="I303" s="11" t="inlineStr">
        <is>
          <t>PE26032601</t>
        </is>
      </c>
      <c r="J303" s="3" t="inlineStr">
        <is>
          <t>Module Diode Failure</t>
        </is>
      </c>
      <c r="K303" s="3" t="inlineStr">
        <is>
          <t>Sadla</t>
        </is>
      </c>
      <c r="L303" s="3" t="inlineStr">
        <is>
          <t>Gujarat</t>
        </is>
      </c>
      <c r="M303" s="9" t="inlineStr">
        <is>
          <t>PS</t>
        </is>
      </c>
      <c r="N303" s="3" t="inlineStr">
        <is>
          <t>Cold Soldering</t>
        </is>
      </c>
      <c r="O303" s="3" t="n">
        <v>570</v>
      </c>
      <c r="P303" s="9" t="inlineStr">
        <is>
          <t>NSMI24060101039</t>
        </is>
      </c>
      <c r="Q303" s="53">
        <f>MID(P303,5,2)</f>
        <v/>
      </c>
      <c r="R303" s="53">
        <f>MID(P303,7,2)</f>
        <v/>
      </c>
      <c r="S303" s="3" t="inlineStr">
        <is>
          <t>G2G</t>
        </is>
      </c>
      <c r="T303" s="3" t="inlineStr">
        <is>
          <t>P4</t>
        </is>
      </c>
      <c r="U303" s="3" t="inlineStr">
        <is>
          <t>P JB Cold Soldering</t>
        </is>
      </c>
      <c r="V303" s="3" t="inlineStr">
        <is>
          <t>Soldering</t>
        </is>
      </c>
      <c r="W303" s="3" t="inlineStr">
        <is>
          <t>Repair</t>
        </is>
      </c>
      <c r="X303" s="18" t="n">
        <v>46147</v>
      </c>
      <c r="Y303" s="73">
        <f>IF(X303="","",X303-A303)</f>
        <v/>
      </c>
      <c r="Z303" s="18" t="n">
        <v>46147</v>
      </c>
      <c r="AA303" s="15" t="n"/>
      <c r="AB303" s="15" t="n"/>
      <c r="AF303">
        <f>IF(AND($F303="Closed",$X303&gt;=DATE(2026,5,1),$X303&lt;=DATE(2026,5,31)),"Closed in May","Other")</f>
        <v/>
      </c>
    </row>
    <row r="304">
      <c r="A304" s="6" t="n">
        <v>46107</v>
      </c>
      <c r="B304" s="3" t="n">
        <v>2026</v>
      </c>
      <c r="C304" s="3" t="inlineStr">
        <is>
          <t>Blupine Energy</t>
        </is>
      </c>
      <c r="D304" s="3" t="inlineStr">
        <is>
          <t>Utility and C&amp;I</t>
        </is>
      </c>
      <c r="E304" s="3" t="n"/>
      <c r="F304" s="3" t="inlineStr">
        <is>
          <t>Closed</t>
        </is>
      </c>
      <c r="G304" s="3" t="inlineStr">
        <is>
          <t>Chandrashekar Patidar</t>
        </is>
      </c>
      <c r="H304" s="3" t="n">
        <v>7879764773</v>
      </c>
      <c r="I304" s="11" t="inlineStr">
        <is>
          <t>PE26032601</t>
        </is>
      </c>
      <c r="J304" s="3" t="inlineStr">
        <is>
          <t>Module Diode Failure</t>
        </is>
      </c>
      <c r="K304" s="3" t="inlineStr">
        <is>
          <t>Sadla</t>
        </is>
      </c>
      <c r="L304" s="3" t="inlineStr">
        <is>
          <t>Gujarat</t>
        </is>
      </c>
      <c r="M304" s="9" t="inlineStr">
        <is>
          <t>PS</t>
        </is>
      </c>
      <c r="N304" s="3" t="inlineStr">
        <is>
          <t>Cold Soldering</t>
        </is>
      </c>
      <c r="O304" s="3" t="n">
        <v>570</v>
      </c>
      <c r="P304" s="9" t="inlineStr">
        <is>
          <t>NSMI24060114610</t>
        </is>
      </c>
      <c r="Q304" s="53">
        <f>MID(P304,5,2)</f>
        <v/>
      </c>
      <c r="R304" s="53">
        <f>MID(P304,7,2)</f>
        <v/>
      </c>
      <c r="S304" s="3" t="inlineStr">
        <is>
          <t>G2G</t>
        </is>
      </c>
      <c r="T304" s="3" t="inlineStr">
        <is>
          <t>P4</t>
        </is>
      </c>
      <c r="U304" s="3" t="inlineStr">
        <is>
          <t>P JB Cold Soldering</t>
        </is>
      </c>
      <c r="V304" s="3" t="inlineStr">
        <is>
          <t>Soldering</t>
        </is>
      </c>
      <c r="W304" s="3" t="inlineStr">
        <is>
          <t>Repair</t>
        </is>
      </c>
      <c r="X304" s="18" t="n">
        <v>46147</v>
      </c>
      <c r="Y304" s="73">
        <f>IF(X304="","",X304-A304)</f>
        <v/>
      </c>
      <c r="Z304" s="18" t="n">
        <v>46147</v>
      </c>
      <c r="AA304" s="15" t="n"/>
      <c r="AB304" s="15" t="n"/>
      <c r="AF304">
        <f>IF(AND($F304="Closed",$X304&gt;=DATE(2026,5,1),$X304&lt;=DATE(2026,5,31)),"Closed in May","Other")</f>
        <v/>
      </c>
    </row>
    <row r="305">
      <c r="A305" s="6" t="n">
        <v>46107</v>
      </c>
      <c r="B305" s="3" t="n">
        <v>2026</v>
      </c>
      <c r="C305" s="3" t="inlineStr">
        <is>
          <t>Blupine Energy</t>
        </is>
      </c>
      <c r="D305" s="3" t="inlineStr">
        <is>
          <t>Utility and C&amp;I</t>
        </is>
      </c>
      <c r="E305" s="3" t="n"/>
      <c r="F305" s="3" t="inlineStr">
        <is>
          <t>Closed</t>
        </is>
      </c>
      <c r="G305" s="3" t="inlineStr">
        <is>
          <t>Chandrashekar Patidar</t>
        </is>
      </c>
      <c r="H305" s="3" t="n">
        <v>7879764773</v>
      </c>
      <c r="I305" s="11" t="inlineStr">
        <is>
          <t>PE26032601</t>
        </is>
      </c>
      <c r="J305" s="3" t="inlineStr">
        <is>
          <t>Module Diode Failure</t>
        </is>
      </c>
      <c r="K305" s="3" t="inlineStr">
        <is>
          <t>Sadla</t>
        </is>
      </c>
      <c r="L305" s="3" t="inlineStr">
        <is>
          <t>Gujarat</t>
        </is>
      </c>
      <c r="M305" s="9" t="inlineStr">
        <is>
          <t>PS</t>
        </is>
      </c>
      <c r="N305" s="3" t="inlineStr">
        <is>
          <t>Cold Soldering</t>
        </is>
      </c>
      <c r="O305" s="3" t="n">
        <v>570</v>
      </c>
      <c r="P305" s="9" t="inlineStr">
        <is>
          <t>NSMI24050049939</t>
        </is>
      </c>
      <c r="Q305" s="53">
        <f>MID(P305,5,2)</f>
        <v/>
      </c>
      <c r="R305" s="53">
        <f>MID(P305,7,2)</f>
        <v/>
      </c>
      <c r="S305" s="3" t="inlineStr">
        <is>
          <t>G2G</t>
        </is>
      </c>
      <c r="T305" s="3" t="inlineStr">
        <is>
          <t>P4</t>
        </is>
      </c>
      <c r="U305" s="3" t="inlineStr">
        <is>
          <t>P JB Cold Soldering</t>
        </is>
      </c>
      <c r="V305" s="3" t="inlineStr">
        <is>
          <t>Soldering</t>
        </is>
      </c>
      <c r="W305" s="3" t="inlineStr">
        <is>
          <t>Repair</t>
        </is>
      </c>
      <c r="X305" s="18" t="n">
        <v>46147</v>
      </c>
      <c r="Y305" s="73">
        <f>IF(X305="","",X305-A305)</f>
        <v/>
      </c>
      <c r="Z305" s="18" t="n">
        <v>46147</v>
      </c>
      <c r="AA305" s="15" t="n"/>
      <c r="AB305" s="15" t="n"/>
      <c r="AF305">
        <f>IF(AND($F305="Closed",$X305&gt;=DATE(2026,5,1),$X305&lt;=DATE(2026,5,31)),"Closed in May","Other")</f>
        <v/>
      </c>
    </row>
    <row r="306">
      <c r="A306" s="6" t="n">
        <v>46107</v>
      </c>
      <c r="B306" s="3" t="n">
        <v>2026</v>
      </c>
      <c r="C306" s="3" t="inlineStr">
        <is>
          <t>Blupine Energy</t>
        </is>
      </c>
      <c r="D306" s="3" t="inlineStr">
        <is>
          <t>Utility and C&amp;I</t>
        </is>
      </c>
      <c r="E306" s="3" t="n"/>
      <c r="F306" s="3" t="inlineStr">
        <is>
          <t>Closed</t>
        </is>
      </c>
      <c r="G306" s="3" t="inlineStr">
        <is>
          <t>Chandrashekar Patidar</t>
        </is>
      </c>
      <c r="H306" s="3" t="n">
        <v>7879764773</v>
      </c>
      <c r="I306" s="11" t="inlineStr">
        <is>
          <t>PE26032601</t>
        </is>
      </c>
      <c r="J306" s="3" t="inlineStr">
        <is>
          <t>Module Diode Failure</t>
        </is>
      </c>
      <c r="K306" s="3" t="inlineStr">
        <is>
          <t>Sadla</t>
        </is>
      </c>
      <c r="L306" s="3" t="inlineStr">
        <is>
          <t>Gujarat</t>
        </is>
      </c>
      <c r="M306" s="9" t="inlineStr">
        <is>
          <t>PS</t>
        </is>
      </c>
      <c r="N306" s="3" t="inlineStr">
        <is>
          <t>Cold Soldering</t>
        </is>
      </c>
      <c r="O306" s="3" t="n">
        <v>570</v>
      </c>
      <c r="P306" s="9" t="inlineStr">
        <is>
          <t>NSMI24050049946</t>
        </is>
      </c>
      <c r="Q306" s="53">
        <f>MID(P306,5,2)</f>
        <v/>
      </c>
      <c r="R306" s="53">
        <f>MID(P306,7,2)</f>
        <v/>
      </c>
      <c r="S306" s="3" t="inlineStr">
        <is>
          <t>G2G</t>
        </is>
      </c>
      <c r="T306" s="3" t="inlineStr">
        <is>
          <t>P4</t>
        </is>
      </c>
      <c r="U306" s="3" t="inlineStr">
        <is>
          <t>P JB Cold Soldering</t>
        </is>
      </c>
      <c r="V306" s="3" t="inlineStr">
        <is>
          <t>Soldering</t>
        </is>
      </c>
      <c r="W306" s="3" t="inlineStr">
        <is>
          <t>Repair</t>
        </is>
      </c>
      <c r="X306" s="18" t="n">
        <v>46147</v>
      </c>
      <c r="Y306" s="73">
        <f>IF(X306="","",X306-A306)</f>
        <v/>
      </c>
      <c r="Z306" s="18" t="n">
        <v>46147</v>
      </c>
      <c r="AA306" s="15" t="n"/>
      <c r="AB306" s="15" t="n"/>
      <c r="AF306">
        <f>IF(AND($F306="Closed",$X306&gt;=DATE(2026,5,1),$X306&lt;=DATE(2026,5,31)),"Closed in May","Other")</f>
        <v/>
      </c>
    </row>
    <row r="307">
      <c r="A307" s="6" t="n">
        <v>46107</v>
      </c>
      <c r="B307" s="3" t="n">
        <v>2026</v>
      </c>
      <c r="C307" s="3" t="inlineStr">
        <is>
          <t>Blupine Energy</t>
        </is>
      </c>
      <c r="D307" s="3" t="inlineStr">
        <is>
          <t>Utility and C&amp;I</t>
        </is>
      </c>
      <c r="E307" s="3" t="n"/>
      <c r="F307" s="3" t="inlineStr">
        <is>
          <t>Closed</t>
        </is>
      </c>
      <c r="G307" s="3" t="inlineStr">
        <is>
          <t>Chandrashekar Patidar</t>
        </is>
      </c>
      <c r="H307" s="3" t="n">
        <v>7879764773</v>
      </c>
      <c r="I307" s="11" t="inlineStr">
        <is>
          <t>PE26032601</t>
        </is>
      </c>
      <c r="J307" s="3" t="inlineStr">
        <is>
          <t>Module Diode Failure</t>
        </is>
      </c>
      <c r="K307" s="3" t="inlineStr">
        <is>
          <t>Sadla</t>
        </is>
      </c>
      <c r="L307" s="3" t="inlineStr">
        <is>
          <t>Gujarat</t>
        </is>
      </c>
      <c r="M307" s="9" t="inlineStr">
        <is>
          <t>PS</t>
        </is>
      </c>
      <c r="N307" s="3" t="inlineStr">
        <is>
          <t>Cold Soldering</t>
        </is>
      </c>
      <c r="O307" s="3" t="n">
        <v>570</v>
      </c>
      <c r="P307" s="9" t="inlineStr">
        <is>
          <t>NSMI24060078694</t>
        </is>
      </c>
      <c r="Q307" s="53">
        <f>MID(P307,5,2)</f>
        <v/>
      </c>
      <c r="R307" s="53">
        <f>MID(P307,7,2)</f>
        <v/>
      </c>
      <c r="S307" s="3" t="inlineStr">
        <is>
          <t>G2G</t>
        </is>
      </c>
      <c r="T307" s="3" t="inlineStr">
        <is>
          <t>P4</t>
        </is>
      </c>
      <c r="U307" s="3" t="inlineStr">
        <is>
          <t>P JB Cold Soldering</t>
        </is>
      </c>
      <c r="V307" s="3" t="inlineStr">
        <is>
          <t>Soldering</t>
        </is>
      </c>
      <c r="W307" s="3" t="inlineStr">
        <is>
          <t>Repair</t>
        </is>
      </c>
      <c r="X307" s="18" t="n">
        <v>46147</v>
      </c>
      <c r="Y307" s="73">
        <f>IF(X307="","",X307-A307)</f>
        <v/>
      </c>
      <c r="Z307" s="18" t="n">
        <v>46147</v>
      </c>
      <c r="AA307" s="15" t="n"/>
      <c r="AB307" s="15" t="n"/>
      <c r="AF307">
        <f>IF(AND($F307="Closed",$X307&gt;=DATE(2026,5,1),$X307&lt;=DATE(2026,5,31)),"Closed in May","Other")</f>
        <v/>
      </c>
    </row>
    <row r="308">
      <c r="A308" s="6" t="n">
        <v>46107</v>
      </c>
      <c r="B308" s="3" t="n">
        <v>2026</v>
      </c>
      <c r="C308" s="3" t="inlineStr">
        <is>
          <t>Blupine Energy</t>
        </is>
      </c>
      <c r="D308" s="3" t="inlineStr">
        <is>
          <t>Utility and C&amp;I</t>
        </is>
      </c>
      <c r="E308" s="3" t="n"/>
      <c r="F308" s="3" t="inlineStr">
        <is>
          <t>Closed</t>
        </is>
      </c>
      <c r="G308" s="3" t="inlineStr">
        <is>
          <t>Chandrashekar Patidar</t>
        </is>
      </c>
      <c r="H308" s="3" t="n">
        <v>7879764773</v>
      </c>
      <c r="I308" s="11" t="inlineStr">
        <is>
          <t>PE26032601</t>
        </is>
      </c>
      <c r="J308" s="3" t="inlineStr">
        <is>
          <t>Module Diode Failure</t>
        </is>
      </c>
      <c r="K308" s="3" t="inlineStr">
        <is>
          <t>Sadla</t>
        </is>
      </c>
      <c r="L308" s="3" t="inlineStr">
        <is>
          <t>Gujarat</t>
        </is>
      </c>
      <c r="M308" s="9" t="inlineStr">
        <is>
          <t>PS</t>
        </is>
      </c>
      <c r="N308" s="3" t="inlineStr">
        <is>
          <t>Cold Soldering</t>
        </is>
      </c>
      <c r="O308" s="3" t="n">
        <v>570</v>
      </c>
      <c r="P308" s="9" t="inlineStr">
        <is>
          <t>NSMI24060078605</t>
        </is>
      </c>
      <c r="Q308" s="53">
        <f>MID(P308,5,2)</f>
        <v/>
      </c>
      <c r="R308" s="53">
        <f>MID(P308,7,2)</f>
        <v/>
      </c>
      <c r="S308" s="3" t="inlineStr">
        <is>
          <t>G2G</t>
        </is>
      </c>
      <c r="T308" s="3" t="inlineStr">
        <is>
          <t>P4</t>
        </is>
      </c>
      <c r="U308" s="3" t="inlineStr">
        <is>
          <t>P JB Cold Soldering</t>
        </is>
      </c>
      <c r="V308" s="3" t="inlineStr">
        <is>
          <t>Soldering</t>
        </is>
      </c>
      <c r="W308" s="3" t="inlineStr">
        <is>
          <t>Repair</t>
        </is>
      </c>
      <c r="X308" s="18" t="n">
        <v>46147</v>
      </c>
      <c r="Y308" s="73">
        <f>IF(X308="","",X308-A308)</f>
        <v/>
      </c>
      <c r="Z308" s="18" t="n">
        <v>46147</v>
      </c>
      <c r="AA308" s="15" t="n"/>
      <c r="AB308" s="15" t="n"/>
      <c r="AF308">
        <f>IF(AND($F308="Closed",$X308&gt;=DATE(2026,5,1),$X308&lt;=DATE(2026,5,31)),"Closed in May","Other")</f>
        <v/>
      </c>
    </row>
    <row r="309">
      <c r="A309" s="6" t="n">
        <v>46107</v>
      </c>
      <c r="B309" s="3" t="n">
        <v>2026</v>
      </c>
      <c r="C309" s="3" t="inlineStr">
        <is>
          <t>Blupine Energy</t>
        </is>
      </c>
      <c r="D309" s="3" t="inlineStr">
        <is>
          <t>Utility and C&amp;I</t>
        </is>
      </c>
      <c r="E309" s="3" t="n"/>
      <c r="F309" s="3" t="inlineStr">
        <is>
          <t>Closed</t>
        </is>
      </c>
      <c r="G309" s="3" t="inlineStr">
        <is>
          <t>Chandrashekar Patidar</t>
        </is>
      </c>
      <c r="H309" s="3" t="n">
        <v>7879764773</v>
      </c>
      <c r="I309" s="11" t="inlineStr">
        <is>
          <t>PE26032601</t>
        </is>
      </c>
      <c r="J309" s="3" t="inlineStr">
        <is>
          <t>Module Diode Failure</t>
        </is>
      </c>
      <c r="K309" s="3" t="inlineStr">
        <is>
          <t>Sadla</t>
        </is>
      </c>
      <c r="L309" s="3" t="inlineStr">
        <is>
          <t>Gujarat</t>
        </is>
      </c>
      <c r="M309" s="9" t="inlineStr">
        <is>
          <t>NS</t>
        </is>
      </c>
      <c r="N309" s="3" t="inlineStr">
        <is>
          <t>Cold Soldering</t>
        </is>
      </c>
      <c r="O309" s="3" t="n">
        <v>570</v>
      </c>
      <c r="P309" s="9" t="inlineStr">
        <is>
          <t>NSMI24060078581</t>
        </is>
      </c>
      <c r="Q309" s="53">
        <f>MID(P309,5,2)</f>
        <v/>
      </c>
      <c r="R309" s="53">
        <f>MID(P309,7,2)</f>
        <v/>
      </c>
      <c r="S309" s="3" t="inlineStr">
        <is>
          <t>G2G</t>
        </is>
      </c>
      <c r="T309" s="3" t="inlineStr">
        <is>
          <t>P4</t>
        </is>
      </c>
      <c r="U309" s="3" t="inlineStr">
        <is>
          <t>N JB Cold Soldering</t>
        </is>
      </c>
      <c r="V309" s="3" t="inlineStr">
        <is>
          <t>Soldering</t>
        </is>
      </c>
      <c r="W309" s="3" t="inlineStr">
        <is>
          <t>Repair</t>
        </is>
      </c>
      <c r="X309" s="18" t="n">
        <v>46147</v>
      </c>
      <c r="Y309" s="73">
        <f>IF(X309="","",X309-A309)</f>
        <v/>
      </c>
      <c r="Z309" s="18" t="n">
        <v>46147</v>
      </c>
      <c r="AA309" s="15" t="n"/>
      <c r="AB309" s="15" t="n"/>
      <c r="AF309">
        <f>IF(AND($F309="Closed",$X309&gt;=DATE(2026,5,1),$X309&lt;=DATE(2026,5,31)),"Closed in May","Other")</f>
        <v/>
      </c>
    </row>
    <row r="310">
      <c r="A310" s="6" t="n">
        <v>46107</v>
      </c>
      <c r="B310" s="3" t="n">
        <v>2026</v>
      </c>
      <c r="C310" s="3" t="inlineStr">
        <is>
          <t>Blupine Energy</t>
        </is>
      </c>
      <c r="D310" s="3" t="inlineStr">
        <is>
          <t>Utility and C&amp;I</t>
        </is>
      </c>
      <c r="E310" s="3" t="n"/>
      <c r="F310" s="3" t="inlineStr">
        <is>
          <t>Closed</t>
        </is>
      </c>
      <c r="G310" s="3" t="inlineStr">
        <is>
          <t>Chandrashekar Patidar</t>
        </is>
      </c>
      <c r="H310" s="3" t="n">
        <v>7879764773</v>
      </c>
      <c r="I310" s="11" t="inlineStr">
        <is>
          <t>PE26032601</t>
        </is>
      </c>
      <c r="J310" s="3" t="inlineStr">
        <is>
          <t>Module Diode Failure</t>
        </is>
      </c>
      <c r="K310" s="3" t="inlineStr">
        <is>
          <t>Sadla</t>
        </is>
      </c>
      <c r="L310" s="3" t="inlineStr">
        <is>
          <t>Gujarat</t>
        </is>
      </c>
      <c r="M310" s="9" t="inlineStr">
        <is>
          <t>Ok</t>
        </is>
      </c>
      <c r="N310" s="3" t="inlineStr">
        <is>
          <t>No Issue</t>
        </is>
      </c>
      <c r="O310" s="3" t="n">
        <v>570</v>
      </c>
      <c r="P310" s="9" t="inlineStr">
        <is>
          <t>NSMI24060078483</t>
        </is>
      </c>
      <c r="Q310" s="53">
        <f>MID(P310,5,2)</f>
        <v/>
      </c>
      <c r="R310" s="53">
        <f>MID(P310,7,2)</f>
        <v/>
      </c>
      <c r="S310" s="3" t="inlineStr">
        <is>
          <t>G2G</t>
        </is>
      </c>
      <c r="T310" s="3" t="inlineStr">
        <is>
          <t>P4</t>
        </is>
      </c>
      <c r="U310" s="19" t="inlineStr">
        <is>
          <t>No Issue Found</t>
        </is>
      </c>
      <c r="V310" s="19" t="inlineStr">
        <is>
          <t>Found OK</t>
        </is>
      </c>
      <c r="W310" s="19" t="inlineStr">
        <is>
          <t>Repair</t>
        </is>
      </c>
      <c r="X310" s="18" t="n">
        <v>46147</v>
      </c>
      <c r="Y310" s="73">
        <f>IF(X310="","",X310-A310)</f>
        <v/>
      </c>
      <c r="Z310" s="18" t="n">
        <v>46147</v>
      </c>
      <c r="AA310" s="15" t="n"/>
      <c r="AB310" s="15" t="n"/>
      <c r="AF310">
        <f>IF(AND($F310="Closed",$X310&gt;=DATE(2026,5,1),$X310&lt;=DATE(2026,5,31)),"Closed in May","Other")</f>
        <v/>
      </c>
    </row>
    <row r="311">
      <c r="A311" s="6" t="n">
        <v>46107</v>
      </c>
      <c r="B311" s="3" t="n">
        <v>2026</v>
      </c>
      <c r="C311" s="3" t="inlineStr">
        <is>
          <t>Blupine Energy</t>
        </is>
      </c>
      <c r="D311" s="3" t="inlineStr">
        <is>
          <t>Utility and C&amp;I</t>
        </is>
      </c>
      <c r="E311" s="3" t="n"/>
      <c r="F311" s="3" t="inlineStr">
        <is>
          <t>Closed</t>
        </is>
      </c>
      <c r="G311" s="3" t="inlineStr">
        <is>
          <t>Chandrashekar Patidar</t>
        </is>
      </c>
      <c r="H311" s="3" t="n">
        <v>7879764773</v>
      </c>
      <c r="I311" s="11" t="inlineStr">
        <is>
          <t>PE26032601</t>
        </is>
      </c>
      <c r="J311" s="3" t="inlineStr">
        <is>
          <t>Module Diode Failure</t>
        </is>
      </c>
      <c r="K311" s="3" t="inlineStr">
        <is>
          <t>Sadla</t>
        </is>
      </c>
      <c r="L311" s="3" t="inlineStr">
        <is>
          <t>Gujarat</t>
        </is>
      </c>
      <c r="M311" s="9" t="inlineStr">
        <is>
          <t>NS</t>
        </is>
      </c>
      <c r="N311" s="3" t="inlineStr">
        <is>
          <t>Cold Soldering</t>
        </is>
      </c>
      <c r="O311" s="3" t="n">
        <v>570</v>
      </c>
      <c r="P311" s="9" t="inlineStr">
        <is>
          <t>NSMI24060078946</t>
        </is>
      </c>
      <c r="Q311" s="53">
        <f>MID(P311,5,2)</f>
        <v/>
      </c>
      <c r="R311" s="53">
        <f>MID(P311,7,2)</f>
        <v/>
      </c>
      <c r="S311" s="3" t="inlineStr">
        <is>
          <t>G2G</t>
        </is>
      </c>
      <c r="T311" s="3" t="inlineStr">
        <is>
          <t>P4</t>
        </is>
      </c>
      <c r="U311" s="3" t="inlineStr">
        <is>
          <t>N JB Cold Soldering</t>
        </is>
      </c>
      <c r="V311" s="3" t="inlineStr">
        <is>
          <t>Soldering</t>
        </is>
      </c>
      <c r="W311" s="3" t="inlineStr">
        <is>
          <t>Repair</t>
        </is>
      </c>
      <c r="X311" s="18" t="n">
        <v>46147</v>
      </c>
      <c r="Y311" s="73">
        <f>IF(X311="","",X311-A311)</f>
        <v/>
      </c>
      <c r="Z311" s="18" t="n">
        <v>46147</v>
      </c>
      <c r="AA311" s="15" t="n"/>
      <c r="AB311" s="15" t="n"/>
      <c r="AF311">
        <f>IF(AND($F311="Closed",$X311&gt;=DATE(2026,5,1),$X311&lt;=DATE(2026,5,31)),"Closed in May","Other")</f>
        <v/>
      </c>
    </row>
    <row r="312">
      <c r="A312" s="6" t="n">
        <v>46107</v>
      </c>
      <c r="B312" s="3" t="n">
        <v>2026</v>
      </c>
      <c r="C312" s="3" t="inlineStr">
        <is>
          <t>Blupine Energy</t>
        </is>
      </c>
      <c r="D312" s="3" t="inlineStr">
        <is>
          <t>Utility and C&amp;I</t>
        </is>
      </c>
      <c r="E312" s="3" t="n"/>
      <c r="F312" s="3" t="inlineStr">
        <is>
          <t>Closed</t>
        </is>
      </c>
      <c r="G312" s="3" t="inlineStr">
        <is>
          <t>Chandrashekar Patidar</t>
        </is>
      </c>
      <c r="H312" s="3" t="n">
        <v>7879764773</v>
      </c>
      <c r="I312" s="11" t="inlineStr">
        <is>
          <t>PE26032601</t>
        </is>
      </c>
      <c r="J312" s="3" t="inlineStr">
        <is>
          <t>Module Diode Failure</t>
        </is>
      </c>
      <c r="K312" s="3" t="inlineStr">
        <is>
          <t>Sadla</t>
        </is>
      </c>
      <c r="L312" s="3" t="inlineStr">
        <is>
          <t>Gujarat</t>
        </is>
      </c>
      <c r="M312" s="9" t="inlineStr">
        <is>
          <t>NS</t>
        </is>
      </c>
      <c r="N312" s="3" t="inlineStr">
        <is>
          <t>Cold Soldering</t>
        </is>
      </c>
      <c r="O312" s="3" t="n">
        <v>570</v>
      </c>
      <c r="P312" s="9" t="inlineStr">
        <is>
          <t>NSMI24060078940</t>
        </is>
      </c>
      <c r="Q312" s="53">
        <f>MID(P312,5,2)</f>
        <v/>
      </c>
      <c r="R312" s="53">
        <f>MID(P312,7,2)</f>
        <v/>
      </c>
      <c r="S312" s="3" t="inlineStr">
        <is>
          <t>G2G</t>
        </is>
      </c>
      <c r="T312" s="3" t="inlineStr">
        <is>
          <t>P4</t>
        </is>
      </c>
      <c r="U312" s="3" t="inlineStr">
        <is>
          <t>N JB Cold Soldering</t>
        </is>
      </c>
      <c r="V312" s="3" t="inlineStr">
        <is>
          <t>Soldering</t>
        </is>
      </c>
      <c r="W312" s="3" t="inlineStr">
        <is>
          <t>Repair</t>
        </is>
      </c>
      <c r="X312" s="18" t="n">
        <v>46147</v>
      </c>
      <c r="Y312" s="73">
        <f>IF(X312="","",X312-A312)</f>
        <v/>
      </c>
      <c r="Z312" s="18" t="n">
        <v>46147</v>
      </c>
      <c r="AA312" s="15" t="n"/>
      <c r="AB312" s="15" t="n"/>
      <c r="AF312">
        <f>IF(AND($F312="Closed",$X312&gt;=DATE(2026,5,1),$X312&lt;=DATE(2026,5,31)),"Closed in May","Other")</f>
        <v/>
      </c>
    </row>
    <row r="313">
      <c r="A313" s="6" t="n">
        <v>46107</v>
      </c>
      <c r="B313" s="3" t="n">
        <v>2026</v>
      </c>
      <c r="C313" s="3" t="inlineStr">
        <is>
          <t>Blupine Energy</t>
        </is>
      </c>
      <c r="D313" s="3" t="inlineStr">
        <is>
          <t>Utility and C&amp;I</t>
        </is>
      </c>
      <c r="E313" s="3" t="n"/>
      <c r="F313" s="3" t="inlineStr">
        <is>
          <t>Closed</t>
        </is>
      </c>
      <c r="G313" s="3" t="inlineStr">
        <is>
          <t>Chandrashekar Patidar</t>
        </is>
      </c>
      <c r="H313" s="3" t="n">
        <v>7879764773</v>
      </c>
      <c r="I313" s="11" t="inlineStr">
        <is>
          <t>PE26032601</t>
        </is>
      </c>
      <c r="J313" s="3" t="inlineStr">
        <is>
          <t>Module Diode Failure</t>
        </is>
      </c>
      <c r="K313" s="3" t="inlineStr">
        <is>
          <t>Sadla</t>
        </is>
      </c>
      <c r="L313" s="3" t="inlineStr">
        <is>
          <t>Gujarat</t>
        </is>
      </c>
      <c r="M313" s="9" t="inlineStr">
        <is>
          <t>NS</t>
        </is>
      </c>
      <c r="N313" s="3" t="inlineStr">
        <is>
          <t>Cold Soldering</t>
        </is>
      </c>
      <c r="O313" s="3" t="n">
        <v>570</v>
      </c>
      <c r="P313" s="9" t="inlineStr">
        <is>
          <t>NSMI24050063548</t>
        </is>
      </c>
      <c r="Q313" s="53">
        <f>MID(P313,5,2)</f>
        <v/>
      </c>
      <c r="R313" s="53">
        <f>MID(P313,7,2)</f>
        <v/>
      </c>
      <c r="S313" s="3" t="inlineStr">
        <is>
          <t>G2G</t>
        </is>
      </c>
      <c r="T313" s="3" t="inlineStr">
        <is>
          <t>P4</t>
        </is>
      </c>
      <c r="U313" s="3" t="inlineStr">
        <is>
          <t>N JB Cold Soldering</t>
        </is>
      </c>
      <c r="V313" s="3" t="inlineStr">
        <is>
          <t>Soldering</t>
        </is>
      </c>
      <c r="W313" s="3" t="inlineStr">
        <is>
          <t>Repair</t>
        </is>
      </c>
      <c r="X313" s="18" t="n">
        <v>46147</v>
      </c>
      <c r="Y313" s="73">
        <f>IF(X313="","",X313-A313)</f>
        <v/>
      </c>
      <c r="Z313" s="18" t="n">
        <v>46147</v>
      </c>
      <c r="AA313" s="15" t="n"/>
      <c r="AB313" s="15" t="n"/>
      <c r="AF313">
        <f>IF(AND($F313="Closed",$X313&gt;=DATE(2026,5,1),$X313&lt;=DATE(2026,5,31)),"Closed in May","Other")</f>
        <v/>
      </c>
    </row>
    <row r="314">
      <c r="A314" s="6" t="n">
        <v>46107</v>
      </c>
      <c r="B314" s="3" t="n">
        <v>2026</v>
      </c>
      <c r="C314" s="3" t="inlineStr">
        <is>
          <t>Blupine Energy</t>
        </is>
      </c>
      <c r="D314" s="3" t="inlineStr">
        <is>
          <t>Utility and C&amp;I</t>
        </is>
      </c>
      <c r="E314" s="3" t="n"/>
      <c r="F314" s="3" t="inlineStr">
        <is>
          <t>Closed</t>
        </is>
      </c>
      <c r="G314" s="3" t="inlineStr">
        <is>
          <t>Chandrashekar Patidar</t>
        </is>
      </c>
      <c r="H314" s="3" t="n">
        <v>7879764773</v>
      </c>
      <c r="I314" s="11" t="inlineStr">
        <is>
          <t>PE26032601</t>
        </is>
      </c>
      <c r="J314" s="3" t="inlineStr">
        <is>
          <t>Module Diode Failure</t>
        </is>
      </c>
      <c r="K314" s="3" t="inlineStr">
        <is>
          <t>Sadla</t>
        </is>
      </c>
      <c r="L314" s="3" t="inlineStr">
        <is>
          <t>Gujarat</t>
        </is>
      </c>
      <c r="M314" s="9" t="inlineStr">
        <is>
          <t>NS</t>
        </is>
      </c>
      <c r="N314" s="3" t="inlineStr">
        <is>
          <t>Cold Soldering</t>
        </is>
      </c>
      <c r="O314" s="3" t="n">
        <v>570</v>
      </c>
      <c r="P314" s="9" t="inlineStr">
        <is>
          <t>NSMI24050047940</t>
        </is>
      </c>
      <c r="Q314" s="53">
        <f>MID(P314,5,2)</f>
        <v/>
      </c>
      <c r="R314" s="53">
        <f>MID(P314,7,2)</f>
        <v/>
      </c>
      <c r="S314" s="3" t="inlineStr">
        <is>
          <t>G2G</t>
        </is>
      </c>
      <c r="T314" s="3" t="inlineStr">
        <is>
          <t>P4</t>
        </is>
      </c>
      <c r="U314" s="3" t="inlineStr">
        <is>
          <t>N JB Cold Soldering</t>
        </is>
      </c>
      <c r="V314" s="3" t="inlineStr">
        <is>
          <t>Soldering</t>
        </is>
      </c>
      <c r="W314" s="3" t="inlineStr">
        <is>
          <t>Repair</t>
        </is>
      </c>
      <c r="X314" s="18" t="n">
        <v>46147</v>
      </c>
      <c r="Y314" s="73">
        <f>IF(X314="","",X314-A314)</f>
        <v/>
      </c>
      <c r="Z314" s="18" t="n">
        <v>46147</v>
      </c>
      <c r="AA314" s="15" t="n"/>
      <c r="AB314" s="15" t="n"/>
      <c r="AF314">
        <f>IF(AND($F314="Closed",$X314&gt;=DATE(2026,5,1),$X314&lt;=DATE(2026,5,31)),"Closed in May","Other")</f>
        <v/>
      </c>
    </row>
    <row r="315">
      <c r="A315" s="6" t="n">
        <v>46107</v>
      </c>
      <c r="B315" s="3" t="n">
        <v>2026</v>
      </c>
      <c r="C315" s="3" t="inlineStr">
        <is>
          <t>Blupine Energy</t>
        </is>
      </c>
      <c r="D315" s="3" t="inlineStr">
        <is>
          <t>Utility and C&amp;I</t>
        </is>
      </c>
      <c r="E315" s="3" t="n"/>
      <c r="F315" s="3" t="inlineStr">
        <is>
          <t>Closed</t>
        </is>
      </c>
      <c r="G315" s="3" t="inlineStr">
        <is>
          <t>Chandrashekar Patidar</t>
        </is>
      </c>
      <c r="H315" s="3" t="n">
        <v>7879764773</v>
      </c>
      <c r="I315" s="11" t="inlineStr">
        <is>
          <t>PE26032601</t>
        </is>
      </c>
      <c r="J315" s="3" t="inlineStr">
        <is>
          <t>Module Diode Failure</t>
        </is>
      </c>
      <c r="K315" s="3" t="inlineStr">
        <is>
          <t>Sadla</t>
        </is>
      </c>
      <c r="L315" s="3" t="inlineStr">
        <is>
          <t>Gujarat</t>
        </is>
      </c>
      <c r="M315" s="9" t="inlineStr">
        <is>
          <t>NR</t>
        </is>
      </c>
      <c r="N315" s="3" t="inlineStr">
        <is>
          <t>JB Issue</t>
        </is>
      </c>
      <c r="O315" s="3" t="n">
        <v>570</v>
      </c>
      <c r="P315" s="9" t="inlineStr">
        <is>
          <t>NSMI24050063547</t>
        </is>
      </c>
      <c r="Q315" s="53">
        <f>MID(P315,5,2)</f>
        <v/>
      </c>
      <c r="R315" s="53">
        <f>MID(P315,7,2)</f>
        <v/>
      </c>
      <c r="S315" s="3" t="inlineStr">
        <is>
          <t>G2G</t>
        </is>
      </c>
      <c r="T315" s="3" t="inlineStr">
        <is>
          <t>P4</t>
        </is>
      </c>
      <c r="U315" s="3" t="inlineStr">
        <is>
          <t>N JB Issue</t>
        </is>
      </c>
      <c r="V315" s="3" t="inlineStr">
        <is>
          <t>JB Changed</t>
        </is>
      </c>
      <c r="W315" s="3" t="inlineStr">
        <is>
          <t>Repair</t>
        </is>
      </c>
      <c r="X315" s="18" t="n">
        <v>46147</v>
      </c>
      <c r="Y315" s="73">
        <f>IF(X315="","",X315-A315)</f>
        <v/>
      </c>
      <c r="Z315" s="18" t="n">
        <v>46147</v>
      </c>
      <c r="AA315" s="15" t="n"/>
      <c r="AB315" s="15" t="n"/>
      <c r="AF315">
        <f>IF(AND($F315="Closed",$X315&gt;=DATE(2026,5,1),$X315&lt;=DATE(2026,5,31)),"Closed in May","Other")</f>
        <v/>
      </c>
    </row>
    <row r="316">
      <c r="A316" s="6" t="n">
        <v>46107</v>
      </c>
      <c r="B316" s="3" t="n">
        <v>2026</v>
      </c>
      <c r="C316" s="3" t="inlineStr">
        <is>
          <t>Blupine Energy</t>
        </is>
      </c>
      <c r="D316" s="3" t="inlineStr">
        <is>
          <t>Utility and C&amp;I</t>
        </is>
      </c>
      <c r="E316" s="3" t="n"/>
      <c r="F316" s="3" t="inlineStr">
        <is>
          <t>Closed</t>
        </is>
      </c>
      <c r="G316" s="3" t="inlineStr">
        <is>
          <t>Chandrashekar Patidar</t>
        </is>
      </c>
      <c r="H316" s="3" t="n">
        <v>7879764773</v>
      </c>
      <c r="I316" s="11" t="inlineStr">
        <is>
          <t>PE26032601</t>
        </is>
      </c>
      <c r="J316" s="3" t="inlineStr">
        <is>
          <t>Module Diode Failure</t>
        </is>
      </c>
      <c r="K316" s="3" t="inlineStr">
        <is>
          <t>Sadla</t>
        </is>
      </c>
      <c r="L316" s="3" t="inlineStr">
        <is>
          <t>Gujarat</t>
        </is>
      </c>
      <c r="M316" s="9" t="inlineStr">
        <is>
          <t>Ok</t>
        </is>
      </c>
      <c r="N316" s="3" t="inlineStr">
        <is>
          <t>No Issue</t>
        </is>
      </c>
      <c r="O316" s="3" t="n">
        <v>570</v>
      </c>
      <c r="P316" s="9" t="inlineStr">
        <is>
          <t>NSMI24050050434</t>
        </is>
      </c>
      <c r="Q316" s="53">
        <f>MID(P316,5,2)</f>
        <v/>
      </c>
      <c r="R316" s="53">
        <f>MID(P316,7,2)</f>
        <v/>
      </c>
      <c r="S316" s="3" t="inlineStr">
        <is>
          <t>G2G</t>
        </is>
      </c>
      <c r="T316" s="3" t="inlineStr">
        <is>
          <t>P4</t>
        </is>
      </c>
      <c r="U316" s="19" t="inlineStr">
        <is>
          <t>No Issue Found</t>
        </is>
      </c>
      <c r="V316" s="19" t="inlineStr">
        <is>
          <t>Found OK</t>
        </is>
      </c>
      <c r="W316" s="19" t="inlineStr">
        <is>
          <t>Repair</t>
        </is>
      </c>
      <c r="X316" s="18" t="n">
        <v>46147</v>
      </c>
      <c r="Y316" s="73">
        <f>IF(X316="","",X316-A316)</f>
        <v/>
      </c>
      <c r="Z316" s="18" t="n">
        <v>46147</v>
      </c>
      <c r="AA316" s="15" t="n"/>
      <c r="AB316" s="15" t="n"/>
      <c r="AF316">
        <f>IF(AND($F316="Closed",$X316&gt;=DATE(2026,5,1),$X316&lt;=DATE(2026,5,31)),"Closed in May","Other")</f>
        <v/>
      </c>
    </row>
    <row r="317">
      <c r="A317" s="6" t="n">
        <v>46107</v>
      </c>
      <c r="B317" s="3" t="n">
        <v>2026</v>
      </c>
      <c r="C317" s="3" t="inlineStr">
        <is>
          <t>Blupine Energy</t>
        </is>
      </c>
      <c r="D317" s="3" t="inlineStr">
        <is>
          <t>Utility and C&amp;I</t>
        </is>
      </c>
      <c r="E317" s="3" t="n"/>
      <c r="F317" s="3" t="inlineStr">
        <is>
          <t>Closed</t>
        </is>
      </c>
      <c r="G317" s="3" t="inlineStr">
        <is>
          <t>Chandrashekar Patidar</t>
        </is>
      </c>
      <c r="H317" s="3" t="n">
        <v>7879764773</v>
      </c>
      <c r="I317" s="11" t="inlineStr">
        <is>
          <t>PE26032601</t>
        </is>
      </c>
      <c r="J317" s="3" t="inlineStr">
        <is>
          <t>Module Diode Failure</t>
        </is>
      </c>
      <c r="K317" s="3" t="inlineStr">
        <is>
          <t>Sadla</t>
        </is>
      </c>
      <c r="L317" s="3" t="inlineStr">
        <is>
          <t>Gujarat</t>
        </is>
      </c>
      <c r="M317" s="9" t="inlineStr">
        <is>
          <t>PS</t>
        </is>
      </c>
      <c r="N317" s="3" t="inlineStr">
        <is>
          <t>Cold Soldering</t>
        </is>
      </c>
      <c r="O317" s="3" t="n">
        <v>570</v>
      </c>
      <c r="P317" s="9" t="inlineStr">
        <is>
          <t>NSMI24060085176</t>
        </is>
      </c>
      <c r="Q317" s="53">
        <f>MID(P317,5,2)</f>
        <v/>
      </c>
      <c r="R317" s="53">
        <f>MID(P317,7,2)</f>
        <v/>
      </c>
      <c r="S317" s="3" t="inlineStr">
        <is>
          <t>G2G</t>
        </is>
      </c>
      <c r="T317" s="3" t="inlineStr">
        <is>
          <t>P4</t>
        </is>
      </c>
      <c r="U317" s="3" t="inlineStr">
        <is>
          <t>P JB Cold Soldering</t>
        </is>
      </c>
      <c r="V317" s="3" t="inlineStr">
        <is>
          <t>Soldering</t>
        </is>
      </c>
      <c r="W317" s="3" t="inlineStr">
        <is>
          <t>Repair</t>
        </is>
      </c>
      <c r="X317" s="18" t="n">
        <v>46147</v>
      </c>
      <c r="Y317" s="73">
        <f>IF(X317="","",X317-A317)</f>
        <v/>
      </c>
      <c r="Z317" s="18" t="n">
        <v>46147</v>
      </c>
      <c r="AA317" s="15" t="n"/>
      <c r="AB317" s="15" t="n"/>
      <c r="AF317">
        <f>IF(AND($F317="Closed",$X317&gt;=DATE(2026,5,1),$X317&lt;=DATE(2026,5,31)),"Closed in May","Other")</f>
        <v/>
      </c>
    </row>
    <row r="318">
      <c r="A318" s="6" t="n">
        <v>46107</v>
      </c>
      <c r="B318" s="3" t="n">
        <v>2026</v>
      </c>
      <c r="C318" s="3" t="inlineStr">
        <is>
          <t>Blupine Energy</t>
        </is>
      </c>
      <c r="D318" s="3" t="inlineStr">
        <is>
          <t>Utility and C&amp;I</t>
        </is>
      </c>
      <c r="E318" s="3" t="n"/>
      <c r="F318" s="3" t="inlineStr">
        <is>
          <t>Closed</t>
        </is>
      </c>
      <c r="G318" s="3" t="inlineStr">
        <is>
          <t>Chandrashekar Patidar</t>
        </is>
      </c>
      <c r="H318" s="3" t="n">
        <v>7879764773</v>
      </c>
      <c r="I318" s="11" t="inlineStr">
        <is>
          <t>PE26032601</t>
        </is>
      </c>
      <c r="J318" s="3" t="inlineStr">
        <is>
          <t>Module Diode Failure</t>
        </is>
      </c>
      <c r="K318" s="3" t="inlineStr">
        <is>
          <t>Sadla</t>
        </is>
      </c>
      <c r="L318" s="3" t="inlineStr">
        <is>
          <t>Gujarat</t>
        </is>
      </c>
      <c r="M318" s="9" t="inlineStr">
        <is>
          <t>NS</t>
        </is>
      </c>
      <c r="N318" s="3" t="inlineStr">
        <is>
          <t>Cold Soldering</t>
        </is>
      </c>
      <c r="O318" s="3" t="n">
        <v>570</v>
      </c>
      <c r="P318" s="9" t="inlineStr">
        <is>
          <t>NSMI24060103002</t>
        </is>
      </c>
      <c r="Q318" s="53">
        <f>MID(P318,5,2)</f>
        <v/>
      </c>
      <c r="R318" s="53">
        <f>MID(P318,7,2)</f>
        <v/>
      </c>
      <c r="S318" s="3" t="inlineStr">
        <is>
          <t>G2G</t>
        </is>
      </c>
      <c r="T318" s="3" t="inlineStr">
        <is>
          <t>P4</t>
        </is>
      </c>
      <c r="U318" s="3" t="inlineStr">
        <is>
          <t>N JB Cold Soldering</t>
        </is>
      </c>
      <c r="V318" s="3" t="inlineStr">
        <is>
          <t>Soldering</t>
        </is>
      </c>
      <c r="W318" s="3" t="inlineStr">
        <is>
          <t>Repair</t>
        </is>
      </c>
      <c r="X318" s="18" t="n">
        <v>46147</v>
      </c>
      <c r="Y318" s="73">
        <f>IF(X318="","",X318-A318)</f>
        <v/>
      </c>
      <c r="Z318" s="18" t="n">
        <v>46147</v>
      </c>
      <c r="AA318" s="15" t="n"/>
      <c r="AB318" s="15" t="n"/>
      <c r="AF318">
        <f>IF(AND($F318="Closed",$X318&gt;=DATE(2026,5,1),$X318&lt;=DATE(2026,5,31)),"Closed in May","Other")</f>
        <v/>
      </c>
    </row>
    <row r="319">
      <c r="A319" s="6" t="n">
        <v>46107</v>
      </c>
      <c r="B319" s="3" t="n">
        <v>2026</v>
      </c>
      <c r="C319" s="3" t="inlineStr">
        <is>
          <t>Blupine Energy</t>
        </is>
      </c>
      <c r="D319" s="3" t="inlineStr">
        <is>
          <t>Utility and C&amp;I</t>
        </is>
      </c>
      <c r="E319" s="3" t="n"/>
      <c r="F319" s="3" t="inlineStr">
        <is>
          <t>Closed</t>
        </is>
      </c>
      <c r="G319" s="3" t="inlineStr">
        <is>
          <t>Chandrashekar Patidar</t>
        </is>
      </c>
      <c r="H319" s="3" t="n">
        <v>7879764773</v>
      </c>
      <c r="I319" s="11" t="inlineStr">
        <is>
          <t>PE26032601</t>
        </is>
      </c>
      <c r="J319" s="3" t="inlineStr">
        <is>
          <t>Module Diode Failure</t>
        </is>
      </c>
      <c r="K319" s="3" t="inlineStr">
        <is>
          <t>Sadla</t>
        </is>
      </c>
      <c r="L319" s="3" t="inlineStr">
        <is>
          <t>Gujarat</t>
        </is>
      </c>
      <c r="M319" s="9" t="inlineStr">
        <is>
          <t>NS</t>
        </is>
      </c>
      <c r="N319" s="3" t="inlineStr">
        <is>
          <t>Cold Soldering</t>
        </is>
      </c>
      <c r="O319" s="3" t="n">
        <v>570</v>
      </c>
      <c r="P319" s="9" t="inlineStr">
        <is>
          <t>NSMI24060120858</t>
        </is>
      </c>
      <c r="Q319" s="53">
        <f>MID(P319,5,2)</f>
        <v/>
      </c>
      <c r="R319" s="53">
        <f>MID(P319,7,2)</f>
        <v/>
      </c>
      <c r="S319" s="3" t="inlineStr">
        <is>
          <t>G2G</t>
        </is>
      </c>
      <c r="T319" s="3" t="inlineStr">
        <is>
          <t>P4</t>
        </is>
      </c>
      <c r="U319" s="3" t="inlineStr">
        <is>
          <t>N JB Cold Soldering</t>
        </is>
      </c>
      <c r="V319" s="3" t="inlineStr">
        <is>
          <t>Soldering</t>
        </is>
      </c>
      <c r="W319" s="3" t="inlineStr">
        <is>
          <t>Repair</t>
        </is>
      </c>
      <c r="X319" s="18" t="n">
        <v>46147</v>
      </c>
      <c r="Y319" s="73">
        <f>IF(X319="","",X319-A319)</f>
        <v/>
      </c>
      <c r="Z319" s="18" t="n">
        <v>46147</v>
      </c>
      <c r="AA319" s="15" t="n"/>
      <c r="AB319" s="15" t="n"/>
      <c r="AF319">
        <f>IF(AND($F319="Closed",$X319&gt;=DATE(2026,5,1),$X319&lt;=DATE(2026,5,31)),"Closed in May","Other")</f>
        <v/>
      </c>
    </row>
    <row r="320">
      <c r="A320" s="6" t="n">
        <v>46107</v>
      </c>
      <c r="B320" s="3" t="n">
        <v>2026</v>
      </c>
      <c r="C320" s="3" t="inlineStr">
        <is>
          <t>Blupine Energy</t>
        </is>
      </c>
      <c r="D320" s="3" t="inlineStr">
        <is>
          <t>Utility and C&amp;I</t>
        </is>
      </c>
      <c r="E320" s="3" t="n"/>
      <c r="F320" s="3" t="inlineStr">
        <is>
          <t>Closed</t>
        </is>
      </c>
      <c r="G320" s="3" t="inlineStr">
        <is>
          <t>Chandrashekar Patidar</t>
        </is>
      </c>
      <c r="H320" s="3" t="n">
        <v>7879764773</v>
      </c>
      <c r="I320" s="11" t="inlineStr">
        <is>
          <t>PE26032601</t>
        </is>
      </c>
      <c r="J320" s="3" t="inlineStr">
        <is>
          <t>Module Diode Failure</t>
        </is>
      </c>
      <c r="K320" s="3" t="inlineStr">
        <is>
          <t>Sadla</t>
        </is>
      </c>
      <c r="L320" s="3" t="inlineStr">
        <is>
          <t>Gujarat</t>
        </is>
      </c>
      <c r="M320" s="9" t="inlineStr">
        <is>
          <t>PS</t>
        </is>
      </c>
      <c r="N320" s="3" t="inlineStr">
        <is>
          <t>Cold Soldering</t>
        </is>
      </c>
      <c r="O320" s="3" t="n">
        <v>570</v>
      </c>
      <c r="P320" s="9" t="inlineStr">
        <is>
          <t>NSMI24060083835</t>
        </is>
      </c>
      <c r="Q320" s="53">
        <f>MID(P320,5,2)</f>
        <v/>
      </c>
      <c r="R320" s="53">
        <f>MID(P320,7,2)</f>
        <v/>
      </c>
      <c r="S320" s="3" t="inlineStr">
        <is>
          <t>G2G</t>
        </is>
      </c>
      <c r="T320" s="3" t="inlineStr">
        <is>
          <t>P4</t>
        </is>
      </c>
      <c r="U320" s="3" t="inlineStr">
        <is>
          <t>P JB Cold Soldering</t>
        </is>
      </c>
      <c r="V320" s="3" t="inlineStr">
        <is>
          <t>Soldering</t>
        </is>
      </c>
      <c r="W320" s="3" t="inlineStr">
        <is>
          <t>Repair</t>
        </is>
      </c>
      <c r="X320" s="18" t="n">
        <v>46147</v>
      </c>
      <c r="Y320" s="73">
        <f>IF(X320="","",X320-A320)</f>
        <v/>
      </c>
      <c r="Z320" s="18" t="n">
        <v>46147</v>
      </c>
      <c r="AA320" s="15" t="n"/>
      <c r="AB320" s="15" t="n"/>
      <c r="AF320">
        <f>IF(AND($F320="Closed",$X320&gt;=DATE(2026,5,1),$X320&lt;=DATE(2026,5,31)),"Closed in May","Other")</f>
        <v/>
      </c>
    </row>
    <row r="321">
      <c r="A321" s="6" t="n">
        <v>46107</v>
      </c>
      <c r="B321" s="3" t="n">
        <v>2026</v>
      </c>
      <c r="C321" s="3" t="inlineStr">
        <is>
          <t>Blupine Energy</t>
        </is>
      </c>
      <c r="D321" s="3" t="inlineStr">
        <is>
          <t>Utility and C&amp;I</t>
        </is>
      </c>
      <c r="E321" s="3" t="n"/>
      <c r="F321" s="3" t="inlineStr">
        <is>
          <t>Closed</t>
        </is>
      </c>
      <c r="G321" s="3" t="inlineStr">
        <is>
          <t>Chandrashekar Patidar</t>
        </is>
      </c>
      <c r="H321" s="3" t="n">
        <v>7879764773</v>
      </c>
      <c r="I321" s="11" t="inlineStr">
        <is>
          <t>PE26032601</t>
        </is>
      </c>
      <c r="J321" s="3" t="inlineStr">
        <is>
          <t>Module Diode Failure</t>
        </is>
      </c>
      <c r="K321" s="3" t="inlineStr">
        <is>
          <t>Sadla</t>
        </is>
      </c>
      <c r="L321" s="3" t="inlineStr">
        <is>
          <t>Gujarat</t>
        </is>
      </c>
      <c r="M321" s="9" t="inlineStr">
        <is>
          <t>NS</t>
        </is>
      </c>
      <c r="N321" s="3" t="inlineStr">
        <is>
          <t>Cold Soldering</t>
        </is>
      </c>
      <c r="O321" s="3" t="n">
        <v>570</v>
      </c>
      <c r="P321" s="9" t="inlineStr">
        <is>
          <t>NSMI24060077795</t>
        </is>
      </c>
      <c r="Q321" s="53">
        <f>MID(P321,5,2)</f>
        <v/>
      </c>
      <c r="R321" s="53">
        <f>MID(P321,7,2)</f>
        <v/>
      </c>
      <c r="S321" s="3" t="inlineStr">
        <is>
          <t>G2G</t>
        </is>
      </c>
      <c r="T321" s="3" t="inlineStr">
        <is>
          <t>P4</t>
        </is>
      </c>
      <c r="U321" s="3" t="inlineStr">
        <is>
          <t>N JB Cold Soldering</t>
        </is>
      </c>
      <c r="V321" s="3" t="inlineStr">
        <is>
          <t>Soldering</t>
        </is>
      </c>
      <c r="W321" s="3" t="inlineStr">
        <is>
          <t>Repair</t>
        </is>
      </c>
      <c r="X321" s="18" t="n">
        <v>46147</v>
      </c>
      <c r="Y321" s="73">
        <f>IF(X321="","",X321-A321)</f>
        <v/>
      </c>
      <c r="Z321" s="18" t="n">
        <v>46147</v>
      </c>
      <c r="AA321" s="15" t="n"/>
      <c r="AB321" s="15" t="n"/>
      <c r="AF321">
        <f>IF(AND($F321="Closed",$X321&gt;=DATE(2026,5,1),$X321&lt;=DATE(2026,5,31)),"Closed in May","Other")</f>
        <v/>
      </c>
    </row>
    <row r="322">
      <c r="A322" s="6" t="n">
        <v>46107</v>
      </c>
      <c r="B322" s="3" t="n">
        <v>2026</v>
      </c>
      <c r="C322" s="3" t="inlineStr">
        <is>
          <t>Blupine Energy</t>
        </is>
      </c>
      <c r="D322" s="3" t="inlineStr">
        <is>
          <t>Utility and C&amp;I</t>
        </is>
      </c>
      <c r="E322" s="3" t="n"/>
      <c r="F322" s="3" t="inlineStr">
        <is>
          <t>Closed</t>
        </is>
      </c>
      <c r="G322" s="3" t="inlineStr">
        <is>
          <t>Chandrashekar Patidar</t>
        </is>
      </c>
      <c r="H322" s="3" t="n">
        <v>7879764773</v>
      </c>
      <c r="I322" s="11" t="inlineStr">
        <is>
          <t>PE26032601</t>
        </is>
      </c>
      <c r="J322" s="3" t="inlineStr">
        <is>
          <t>Module Diode Failure</t>
        </is>
      </c>
      <c r="K322" s="3" t="inlineStr">
        <is>
          <t>Sadla</t>
        </is>
      </c>
      <c r="L322" s="3" t="inlineStr">
        <is>
          <t>Gujarat</t>
        </is>
      </c>
      <c r="M322" s="9" t="inlineStr">
        <is>
          <t>PS</t>
        </is>
      </c>
      <c r="N322" s="3" t="inlineStr">
        <is>
          <t>Cold Soldering</t>
        </is>
      </c>
      <c r="O322" s="3" t="n">
        <v>570</v>
      </c>
      <c r="P322" s="9" t="inlineStr">
        <is>
          <t>NSMI24060077776</t>
        </is>
      </c>
      <c r="Q322" s="53">
        <f>MID(P322,5,2)</f>
        <v/>
      </c>
      <c r="R322" s="53">
        <f>MID(P322,7,2)</f>
        <v/>
      </c>
      <c r="S322" s="3" t="inlineStr">
        <is>
          <t>G2G</t>
        </is>
      </c>
      <c r="T322" s="3" t="inlineStr">
        <is>
          <t>P4</t>
        </is>
      </c>
      <c r="U322" s="3" t="inlineStr">
        <is>
          <t>P JB Cold Soldering</t>
        </is>
      </c>
      <c r="V322" s="3" t="inlineStr">
        <is>
          <t>Soldering</t>
        </is>
      </c>
      <c r="W322" s="3" t="inlineStr">
        <is>
          <t>Repair</t>
        </is>
      </c>
      <c r="X322" s="18" t="n">
        <v>46147</v>
      </c>
      <c r="Y322" s="73">
        <f>IF(X322="","",X322-A322)</f>
        <v/>
      </c>
      <c r="Z322" s="18" t="n">
        <v>46147</v>
      </c>
      <c r="AA322" s="15" t="n"/>
      <c r="AB322" s="15" t="n"/>
      <c r="AF322">
        <f>IF(AND($F322="Closed",$X322&gt;=DATE(2026,5,1),$X322&lt;=DATE(2026,5,31)),"Closed in May","Other")</f>
        <v/>
      </c>
    </row>
    <row r="323">
      <c r="A323" s="6" t="n">
        <v>46107</v>
      </c>
      <c r="B323" s="3" t="n">
        <v>2026</v>
      </c>
      <c r="C323" s="3" t="inlineStr">
        <is>
          <t>Blupine Energy</t>
        </is>
      </c>
      <c r="D323" s="3" t="inlineStr">
        <is>
          <t>Utility and C&amp;I</t>
        </is>
      </c>
      <c r="E323" s="3" t="n"/>
      <c r="F323" s="3" t="inlineStr">
        <is>
          <t>Closed</t>
        </is>
      </c>
      <c r="G323" s="3" t="inlineStr">
        <is>
          <t>Chandrashekar Patidar</t>
        </is>
      </c>
      <c r="H323" s="3" t="n">
        <v>7879764773</v>
      </c>
      <c r="I323" s="11" t="inlineStr">
        <is>
          <t>PE26032601</t>
        </is>
      </c>
      <c r="J323" s="3" t="inlineStr">
        <is>
          <t>Module Diode Failure</t>
        </is>
      </c>
      <c r="K323" s="3" t="inlineStr">
        <is>
          <t>Sadla</t>
        </is>
      </c>
      <c r="L323" s="3" t="inlineStr">
        <is>
          <t>Gujarat</t>
        </is>
      </c>
      <c r="M323" s="9" t="inlineStr">
        <is>
          <t>PS</t>
        </is>
      </c>
      <c r="N323" s="3" t="inlineStr">
        <is>
          <t>Cold Soldering</t>
        </is>
      </c>
      <c r="O323" s="3" t="n">
        <v>570</v>
      </c>
      <c r="P323" s="9" t="inlineStr">
        <is>
          <t>NSMI24060077793</t>
        </is>
      </c>
      <c r="Q323" s="53">
        <f>MID(P323,5,2)</f>
        <v/>
      </c>
      <c r="R323" s="53">
        <f>MID(P323,7,2)</f>
        <v/>
      </c>
      <c r="S323" s="3" t="inlineStr">
        <is>
          <t>G2G</t>
        </is>
      </c>
      <c r="T323" s="3" t="inlineStr">
        <is>
          <t>P4</t>
        </is>
      </c>
      <c r="U323" s="3" t="inlineStr">
        <is>
          <t>P JB Cold Soldering</t>
        </is>
      </c>
      <c r="V323" s="3" t="inlineStr">
        <is>
          <t>Soldering</t>
        </is>
      </c>
      <c r="W323" s="3" t="inlineStr">
        <is>
          <t>Repair</t>
        </is>
      </c>
      <c r="X323" s="18" t="n">
        <v>46147</v>
      </c>
      <c r="Y323" s="73">
        <f>IF(X323="","",X323-A323)</f>
        <v/>
      </c>
      <c r="Z323" s="18" t="n">
        <v>46147</v>
      </c>
      <c r="AA323" s="15" t="n"/>
      <c r="AB323" s="15" t="n"/>
      <c r="AF323">
        <f>IF(AND($F323="Closed",$X323&gt;=DATE(2026,5,1),$X323&lt;=DATE(2026,5,31)),"Closed in May","Other")</f>
        <v/>
      </c>
    </row>
    <row r="324">
      <c r="A324" s="6" t="n">
        <v>46107</v>
      </c>
      <c r="B324" s="3" t="n">
        <v>2026</v>
      </c>
      <c r="C324" s="3" t="inlineStr">
        <is>
          <t>Blupine Energy</t>
        </is>
      </c>
      <c r="D324" s="3" t="inlineStr">
        <is>
          <t>Utility and C&amp;I</t>
        </is>
      </c>
      <c r="E324" s="3" t="n"/>
      <c r="F324" s="3" t="inlineStr">
        <is>
          <t>Closed</t>
        </is>
      </c>
      <c r="G324" s="3" t="inlineStr">
        <is>
          <t>Chandrashekar Patidar</t>
        </is>
      </c>
      <c r="H324" s="3" t="n">
        <v>7879764773</v>
      </c>
      <c r="I324" s="11" t="inlineStr">
        <is>
          <t>PE26032601</t>
        </is>
      </c>
      <c r="J324" s="3" t="inlineStr">
        <is>
          <t>Module Diode Failure</t>
        </is>
      </c>
      <c r="K324" s="3" t="inlineStr">
        <is>
          <t>Sadla</t>
        </is>
      </c>
      <c r="L324" s="3" t="inlineStr">
        <is>
          <t>Gujarat</t>
        </is>
      </c>
      <c r="M324" s="9" t="inlineStr">
        <is>
          <t>NS</t>
        </is>
      </c>
      <c r="N324" s="3" t="inlineStr">
        <is>
          <t>Cold Soldering</t>
        </is>
      </c>
      <c r="O324" s="3" t="n">
        <v>570</v>
      </c>
      <c r="P324" s="9" t="inlineStr">
        <is>
          <t>NSMI24060126169</t>
        </is>
      </c>
      <c r="Q324" s="53">
        <f>MID(P324,5,2)</f>
        <v/>
      </c>
      <c r="R324" s="53">
        <f>MID(P324,7,2)</f>
        <v/>
      </c>
      <c r="S324" s="3" t="inlineStr">
        <is>
          <t>G2G</t>
        </is>
      </c>
      <c r="T324" s="3" t="inlineStr">
        <is>
          <t>P4</t>
        </is>
      </c>
      <c r="U324" s="3" t="inlineStr">
        <is>
          <t>N JB Cold Soldering</t>
        </is>
      </c>
      <c r="V324" s="3" t="inlineStr">
        <is>
          <t>Soldering</t>
        </is>
      </c>
      <c r="W324" s="3" t="inlineStr">
        <is>
          <t>Repair</t>
        </is>
      </c>
      <c r="X324" s="18" t="n">
        <v>46147</v>
      </c>
      <c r="Y324" s="73">
        <f>IF(X324="","",X324-A324)</f>
        <v/>
      </c>
      <c r="Z324" s="18" t="n">
        <v>46147</v>
      </c>
      <c r="AA324" s="15" t="n"/>
      <c r="AB324" s="15" t="n"/>
      <c r="AF324">
        <f>IF(AND($F324="Closed",$X324&gt;=DATE(2026,5,1),$X324&lt;=DATE(2026,5,31)),"Closed in May","Other")</f>
        <v/>
      </c>
    </row>
    <row r="325">
      <c r="A325" s="6" t="n">
        <v>46107</v>
      </c>
      <c r="B325" s="3" t="n">
        <v>2026</v>
      </c>
      <c r="C325" s="3" t="inlineStr">
        <is>
          <t>Blupine Energy</t>
        </is>
      </c>
      <c r="D325" s="3" t="inlineStr">
        <is>
          <t>Utility and C&amp;I</t>
        </is>
      </c>
      <c r="E325" s="3" t="n"/>
      <c r="F325" s="3" t="inlineStr">
        <is>
          <t>Closed</t>
        </is>
      </c>
      <c r="G325" s="3" t="inlineStr">
        <is>
          <t>Chandrashekar Patidar</t>
        </is>
      </c>
      <c r="H325" s="3" t="n">
        <v>7879764773</v>
      </c>
      <c r="I325" s="11" t="inlineStr">
        <is>
          <t>PE26032601</t>
        </is>
      </c>
      <c r="J325" s="3" t="inlineStr">
        <is>
          <t>Module Diode Failure</t>
        </is>
      </c>
      <c r="K325" s="3" t="inlineStr">
        <is>
          <t>Sadla</t>
        </is>
      </c>
      <c r="L325" s="3" t="inlineStr">
        <is>
          <t>Gujarat</t>
        </is>
      </c>
      <c r="M325" s="9" t="inlineStr">
        <is>
          <t>NS</t>
        </is>
      </c>
      <c r="N325" s="3" t="inlineStr">
        <is>
          <t>Cold Soldering</t>
        </is>
      </c>
      <c r="O325" s="3" t="n">
        <v>570</v>
      </c>
      <c r="P325" s="9" t="inlineStr">
        <is>
          <t>NSMI24060122655</t>
        </is>
      </c>
      <c r="Q325" s="53">
        <f>MID(P325,5,2)</f>
        <v/>
      </c>
      <c r="R325" s="53">
        <f>MID(P325,7,2)</f>
        <v/>
      </c>
      <c r="S325" s="3" t="inlineStr">
        <is>
          <t>G2G</t>
        </is>
      </c>
      <c r="T325" s="3" t="inlineStr">
        <is>
          <t>P4</t>
        </is>
      </c>
      <c r="U325" s="3" t="inlineStr">
        <is>
          <t>N JB Cold Soldering</t>
        </is>
      </c>
      <c r="V325" s="3" t="inlineStr">
        <is>
          <t>Soldering</t>
        </is>
      </c>
      <c r="W325" s="3" t="inlineStr">
        <is>
          <t>Repair</t>
        </is>
      </c>
      <c r="X325" s="18" t="n">
        <v>46147</v>
      </c>
      <c r="Y325" s="73">
        <f>IF(X325="","",X325-A325)</f>
        <v/>
      </c>
      <c r="Z325" s="18" t="n">
        <v>46147</v>
      </c>
      <c r="AA325" s="15" t="n"/>
      <c r="AB325" s="15" t="n"/>
      <c r="AF325">
        <f>IF(AND($F325="Closed",$X325&gt;=DATE(2026,5,1),$X325&lt;=DATE(2026,5,31)),"Closed in May","Other")</f>
        <v/>
      </c>
    </row>
    <row r="326">
      <c r="A326" s="6" t="n">
        <v>46107</v>
      </c>
      <c r="B326" s="3" t="n">
        <v>2026</v>
      </c>
      <c r="C326" s="3" t="inlineStr">
        <is>
          <t>Blupine Energy</t>
        </is>
      </c>
      <c r="D326" s="3" t="inlineStr">
        <is>
          <t>Utility and C&amp;I</t>
        </is>
      </c>
      <c r="E326" s="3" t="n"/>
      <c r="F326" s="3" t="inlineStr">
        <is>
          <t>Closed</t>
        </is>
      </c>
      <c r="G326" s="3" t="inlineStr">
        <is>
          <t>Chandrashekar Patidar</t>
        </is>
      </c>
      <c r="H326" s="3" t="n">
        <v>7879764773</v>
      </c>
      <c r="I326" s="11" t="inlineStr">
        <is>
          <t>PE26032601</t>
        </is>
      </c>
      <c r="J326" s="3" t="inlineStr">
        <is>
          <t>Module Diode Failure</t>
        </is>
      </c>
      <c r="K326" s="3" t="inlineStr">
        <is>
          <t>Sadla</t>
        </is>
      </c>
      <c r="L326" s="3" t="inlineStr">
        <is>
          <t>Gujarat</t>
        </is>
      </c>
      <c r="M326" s="9" t="inlineStr">
        <is>
          <t>NS</t>
        </is>
      </c>
      <c r="N326" s="3" t="inlineStr">
        <is>
          <t>Cold Soldering</t>
        </is>
      </c>
      <c r="O326" s="3" t="n">
        <v>570</v>
      </c>
      <c r="P326" s="9" t="inlineStr">
        <is>
          <t>NSMI24050067106</t>
        </is>
      </c>
      <c r="Q326" s="53">
        <f>MID(P326,5,2)</f>
        <v/>
      </c>
      <c r="R326" s="53">
        <f>MID(P326,7,2)</f>
        <v/>
      </c>
      <c r="S326" s="3" t="inlineStr">
        <is>
          <t>G2G</t>
        </is>
      </c>
      <c r="T326" s="3" t="inlineStr">
        <is>
          <t>P4</t>
        </is>
      </c>
      <c r="U326" s="3" t="inlineStr">
        <is>
          <t>N JB Cold Soldering</t>
        </is>
      </c>
      <c r="V326" s="3" t="inlineStr">
        <is>
          <t>Soldering</t>
        </is>
      </c>
      <c r="W326" s="3" t="inlineStr">
        <is>
          <t>Repair</t>
        </is>
      </c>
      <c r="X326" s="18" t="n">
        <v>46147</v>
      </c>
      <c r="Y326" s="73">
        <f>IF(X326="","",X326-A326)</f>
        <v/>
      </c>
      <c r="Z326" s="18" t="n">
        <v>46147</v>
      </c>
      <c r="AA326" s="15" t="n"/>
      <c r="AB326" s="15" t="n"/>
      <c r="AF326">
        <f>IF(AND($F326="Closed",$X326&gt;=DATE(2026,5,1),$X326&lt;=DATE(2026,5,31)),"Closed in May","Other")</f>
        <v/>
      </c>
    </row>
    <row r="327">
      <c r="A327" s="6" t="n">
        <v>46107</v>
      </c>
      <c r="B327" s="3" t="n">
        <v>2026</v>
      </c>
      <c r="C327" s="3" t="inlineStr">
        <is>
          <t>Blupine Energy</t>
        </is>
      </c>
      <c r="D327" s="3" t="inlineStr">
        <is>
          <t>Utility and C&amp;I</t>
        </is>
      </c>
      <c r="E327" s="3" t="n"/>
      <c r="F327" s="3" t="inlineStr">
        <is>
          <t>Closed</t>
        </is>
      </c>
      <c r="G327" s="3" t="inlineStr">
        <is>
          <t>Chandrashekar Patidar</t>
        </is>
      </c>
      <c r="H327" s="3" t="n">
        <v>7879764773</v>
      </c>
      <c r="I327" s="11" t="inlineStr">
        <is>
          <t>PE26032601</t>
        </is>
      </c>
      <c r="J327" s="3" t="inlineStr">
        <is>
          <t>Module Diode Failure</t>
        </is>
      </c>
      <c r="K327" s="3" t="inlineStr">
        <is>
          <t>Sadla</t>
        </is>
      </c>
      <c r="L327" s="3" t="inlineStr">
        <is>
          <t>Gujarat</t>
        </is>
      </c>
      <c r="M327" s="9" t="inlineStr">
        <is>
          <t>PS</t>
        </is>
      </c>
      <c r="N327" s="3" t="inlineStr">
        <is>
          <t>Cold Soldering</t>
        </is>
      </c>
      <c r="O327" s="3" t="n">
        <v>570</v>
      </c>
      <c r="P327" s="9" t="inlineStr">
        <is>
          <t>NSMI24022119439</t>
        </is>
      </c>
      <c r="Q327" s="53">
        <f>MID(P327,5,2)</f>
        <v/>
      </c>
      <c r="R327" s="53">
        <f>MID(P327,7,2)</f>
        <v/>
      </c>
      <c r="S327" s="3" t="inlineStr">
        <is>
          <t>G2G</t>
        </is>
      </c>
      <c r="T327" s="3" t="inlineStr">
        <is>
          <t>P4</t>
        </is>
      </c>
      <c r="U327" s="3" t="inlineStr">
        <is>
          <t>P JB Cold Soldering</t>
        </is>
      </c>
      <c r="V327" s="3" t="inlineStr">
        <is>
          <t>Soldering</t>
        </is>
      </c>
      <c r="W327" s="3" t="inlineStr">
        <is>
          <t>Repair</t>
        </is>
      </c>
      <c r="X327" s="18" t="n">
        <v>46147</v>
      </c>
      <c r="Y327" s="73">
        <f>IF(X327="","",X327-A327)</f>
        <v/>
      </c>
      <c r="Z327" s="18" t="n">
        <v>46147</v>
      </c>
      <c r="AA327" s="15" t="n"/>
      <c r="AB327" s="15" t="n"/>
      <c r="AF327">
        <f>IF(AND($F327="Closed",$X327&gt;=DATE(2026,5,1),$X327&lt;=DATE(2026,5,31)),"Closed in May","Other")</f>
        <v/>
      </c>
    </row>
    <row r="328">
      <c r="A328" s="6" t="n">
        <v>46107</v>
      </c>
      <c r="B328" s="3" t="n">
        <v>2026</v>
      </c>
      <c r="C328" s="3" t="inlineStr">
        <is>
          <t>Blupine Energy</t>
        </is>
      </c>
      <c r="D328" s="3" t="inlineStr">
        <is>
          <t>Utility and C&amp;I</t>
        </is>
      </c>
      <c r="E328" s="3" t="n"/>
      <c r="F328" s="3" t="inlineStr">
        <is>
          <t>Closed</t>
        </is>
      </c>
      <c r="G328" s="3" t="inlineStr">
        <is>
          <t>Chandrashekar Patidar</t>
        </is>
      </c>
      <c r="H328" s="3" t="n">
        <v>7879764773</v>
      </c>
      <c r="I328" s="11" t="inlineStr">
        <is>
          <t>PE26032601</t>
        </is>
      </c>
      <c r="J328" s="3" t="inlineStr">
        <is>
          <t>Module Diode Failure</t>
        </is>
      </c>
      <c r="K328" s="3" t="inlineStr">
        <is>
          <t>Sadla</t>
        </is>
      </c>
      <c r="L328" s="3" t="inlineStr">
        <is>
          <t>Gujarat</t>
        </is>
      </c>
      <c r="M328" s="9" t="inlineStr">
        <is>
          <t>PS</t>
        </is>
      </c>
      <c r="N328" s="3" t="inlineStr">
        <is>
          <t>Cold Soldering</t>
        </is>
      </c>
      <c r="O328" s="3" t="n">
        <v>570</v>
      </c>
      <c r="P328" s="9" t="inlineStr">
        <is>
          <t>NSMI24060079441</t>
        </is>
      </c>
      <c r="Q328" s="53">
        <f>MID(P328,5,2)</f>
        <v/>
      </c>
      <c r="R328" s="53">
        <f>MID(P328,7,2)</f>
        <v/>
      </c>
      <c r="S328" s="3" t="inlineStr">
        <is>
          <t>G2G</t>
        </is>
      </c>
      <c r="T328" s="3" t="inlineStr">
        <is>
          <t>P4</t>
        </is>
      </c>
      <c r="U328" s="3" t="inlineStr">
        <is>
          <t>P JB Cold Soldering</t>
        </is>
      </c>
      <c r="V328" s="3" t="inlineStr">
        <is>
          <t>Soldering</t>
        </is>
      </c>
      <c r="W328" s="3" t="inlineStr">
        <is>
          <t>Repair</t>
        </is>
      </c>
      <c r="X328" s="18" t="n">
        <v>46147</v>
      </c>
      <c r="Y328" s="73">
        <f>IF(X328="","",X328-A328)</f>
        <v/>
      </c>
      <c r="Z328" s="18" t="n">
        <v>46147</v>
      </c>
      <c r="AA328" s="15" t="n"/>
      <c r="AB328" s="15" t="n"/>
      <c r="AF328">
        <f>IF(AND($F328="Closed",$X328&gt;=DATE(2026,5,1),$X328&lt;=DATE(2026,5,31)),"Closed in May","Other")</f>
        <v/>
      </c>
    </row>
    <row r="329">
      <c r="A329" s="6" t="n">
        <v>46107</v>
      </c>
      <c r="B329" s="3" t="n">
        <v>2026</v>
      </c>
      <c r="C329" s="3" t="inlineStr">
        <is>
          <t>Blupine Energy</t>
        </is>
      </c>
      <c r="D329" s="3" t="inlineStr">
        <is>
          <t>Utility and C&amp;I</t>
        </is>
      </c>
      <c r="E329" s="3" t="n"/>
      <c r="F329" s="3" t="inlineStr">
        <is>
          <t>Closed</t>
        </is>
      </c>
      <c r="G329" s="3" t="inlineStr">
        <is>
          <t>Chandrashekar Patidar</t>
        </is>
      </c>
      <c r="H329" s="3" t="n">
        <v>7879764773</v>
      </c>
      <c r="I329" s="11" t="inlineStr">
        <is>
          <t>PE26032601</t>
        </is>
      </c>
      <c r="J329" s="3" t="inlineStr">
        <is>
          <t>Module Diode Failure</t>
        </is>
      </c>
      <c r="K329" s="3" t="inlineStr">
        <is>
          <t>Sadla</t>
        </is>
      </c>
      <c r="L329" s="3" t="inlineStr">
        <is>
          <t>Gujarat</t>
        </is>
      </c>
      <c r="M329" s="9" t="inlineStr">
        <is>
          <t>PR</t>
        </is>
      </c>
      <c r="N329" s="3" t="inlineStr">
        <is>
          <t>JB Issue</t>
        </is>
      </c>
      <c r="O329" s="3" t="n">
        <v>570</v>
      </c>
      <c r="P329" s="9" t="inlineStr">
        <is>
          <t>NSMI24050062632</t>
        </is>
      </c>
      <c r="Q329" s="53">
        <f>MID(P329,5,2)</f>
        <v/>
      </c>
      <c r="R329" s="53">
        <f>MID(P329,7,2)</f>
        <v/>
      </c>
      <c r="S329" s="3" t="inlineStr">
        <is>
          <t>G2G</t>
        </is>
      </c>
      <c r="T329" s="3" t="inlineStr">
        <is>
          <t>P4</t>
        </is>
      </c>
      <c r="U329" s="3" t="inlineStr">
        <is>
          <t>P JB Issue</t>
        </is>
      </c>
      <c r="V329" s="15" t="inlineStr">
        <is>
          <t>JB Changed</t>
        </is>
      </c>
      <c r="W329" s="3" t="inlineStr">
        <is>
          <t>Repair</t>
        </is>
      </c>
      <c r="X329" s="18" t="n">
        <v>46147</v>
      </c>
      <c r="Y329" s="73">
        <f>IF(X329="","",X329-A329)</f>
        <v/>
      </c>
      <c r="Z329" s="18" t="n">
        <v>46147</v>
      </c>
      <c r="AA329" s="15" t="n"/>
      <c r="AB329" s="15" t="n"/>
      <c r="AF329">
        <f>IF(AND($F329="Closed",$X329&gt;=DATE(2026,5,1),$X329&lt;=DATE(2026,5,31)),"Closed in May","Other")</f>
        <v/>
      </c>
    </row>
    <row r="330">
      <c r="A330" s="6" t="n">
        <v>46107</v>
      </c>
      <c r="B330" s="3" t="n">
        <v>2026</v>
      </c>
      <c r="C330" s="3" t="inlineStr">
        <is>
          <t>Blupine Energy</t>
        </is>
      </c>
      <c r="D330" s="3" t="inlineStr">
        <is>
          <t>Utility and C&amp;I</t>
        </is>
      </c>
      <c r="E330" s="3" t="n"/>
      <c r="F330" s="3" t="inlineStr">
        <is>
          <t>Closed</t>
        </is>
      </c>
      <c r="G330" s="3" t="inlineStr">
        <is>
          <t>Chandrashekar Patidar</t>
        </is>
      </c>
      <c r="H330" s="3" t="n">
        <v>7879764773</v>
      </c>
      <c r="I330" s="11" t="inlineStr">
        <is>
          <t>PE26032601</t>
        </is>
      </c>
      <c r="J330" s="3" t="inlineStr">
        <is>
          <t>Module Diode Failure</t>
        </is>
      </c>
      <c r="K330" s="3" t="inlineStr">
        <is>
          <t>Sadla</t>
        </is>
      </c>
      <c r="L330" s="3" t="inlineStr">
        <is>
          <t>Gujarat</t>
        </is>
      </c>
      <c r="M330" s="9" t="inlineStr">
        <is>
          <t>NS</t>
        </is>
      </c>
      <c r="N330" s="3" t="inlineStr">
        <is>
          <t>Cold Soldering</t>
        </is>
      </c>
      <c r="O330" s="3" t="n">
        <v>570</v>
      </c>
      <c r="P330" s="9" t="inlineStr">
        <is>
          <t>NSMI24060077703</t>
        </is>
      </c>
      <c r="Q330" s="53">
        <f>MID(P330,5,2)</f>
        <v/>
      </c>
      <c r="R330" s="53">
        <f>MID(P330,7,2)</f>
        <v/>
      </c>
      <c r="S330" s="3" t="inlineStr">
        <is>
          <t>G2G</t>
        </is>
      </c>
      <c r="T330" s="3" t="inlineStr">
        <is>
          <t>P4</t>
        </is>
      </c>
      <c r="U330" s="3" t="inlineStr">
        <is>
          <t>N JB Cold Soldering</t>
        </is>
      </c>
      <c r="V330" s="3" t="inlineStr">
        <is>
          <t>Soldering</t>
        </is>
      </c>
      <c r="W330" s="3" t="inlineStr">
        <is>
          <t>Repair</t>
        </is>
      </c>
      <c r="X330" s="18" t="n">
        <v>46147</v>
      </c>
      <c r="Y330" s="73">
        <f>IF(X330="","",X330-A330)</f>
        <v/>
      </c>
      <c r="Z330" s="18" t="n">
        <v>46147</v>
      </c>
      <c r="AA330" s="15" t="n"/>
      <c r="AB330" s="15" t="n"/>
      <c r="AF330">
        <f>IF(AND($F330="Closed",$X330&gt;=DATE(2026,5,1),$X330&lt;=DATE(2026,5,31)),"Closed in May","Other")</f>
        <v/>
      </c>
    </row>
    <row r="331">
      <c r="A331" s="6" t="n">
        <v>46107</v>
      </c>
      <c r="B331" s="3" t="n">
        <v>2026</v>
      </c>
      <c r="C331" s="3" t="inlineStr">
        <is>
          <t>Blupine Energy</t>
        </is>
      </c>
      <c r="D331" s="3" t="inlineStr">
        <is>
          <t>Utility and C&amp;I</t>
        </is>
      </c>
      <c r="E331" s="3" t="n"/>
      <c r="F331" s="3" t="inlineStr">
        <is>
          <t>Closed</t>
        </is>
      </c>
      <c r="G331" s="3" t="inlineStr">
        <is>
          <t>Chandrashekar Patidar</t>
        </is>
      </c>
      <c r="H331" s="3" t="n">
        <v>7879764773</v>
      </c>
      <c r="I331" s="11" t="inlineStr">
        <is>
          <t>PE26032601</t>
        </is>
      </c>
      <c r="J331" s="3" t="inlineStr">
        <is>
          <t>Module Diode Failure</t>
        </is>
      </c>
      <c r="K331" s="3" t="inlineStr">
        <is>
          <t>Sadla</t>
        </is>
      </c>
      <c r="L331" s="3" t="inlineStr">
        <is>
          <t>Gujarat</t>
        </is>
      </c>
      <c r="M331" s="9" t="inlineStr">
        <is>
          <t>PS</t>
        </is>
      </c>
      <c r="N331" s="3" t="inlineStr">
        <is>
          <t>Cold Soldering</t>
        </is>
      </c>
      <c r="O331" s="3" t="n">
        <v>570</v>
      </c>
      <c r="P331" s="9" t="inlineStr">
        <is>
          <t>NSMI24050066292</t>
        </is>
      </c>
      <c r="Q331" s="53">
        <f>MID(P331,5,2)</f>
        <v/>
      </c>
      <c r="R331" s="53">
        <f>MID(P331,7,2)</f>
        <v/>
      </c>
      <c r="S331" s="3" t="inlineStr">
        <is>
          <t>G2G</t>
        </is>
      </c>
      <c r="T331" s="3" t="inlineStr">
        <is>
          <t>P4</t>
        </is>
      </c>
      <c r="U331" s="3" t="inlineStr">
        <is>
          <t>P JB Cold Soldering</t>
        </is>
      </c>
      <c r="V331" s="3" t="inlineStr">
        <is>
          <t>Soldering</t>
        </is>
      </c>
      <c r="W331" s="3" t="inlineStr">
        <is>
          <t>Repair</t>
        </is>
      </c>
      <c r="X331" s="18" t="n">
        <v>46147</v>
      </c>
      <c r="Y331" s="73">
        <f>IF(X331="","",X331-A331)</f>
        <v/>
      </c>
      <c r="Z331" s="18" t="n">
        <v>46147</v>
      </c>
      <c r="AA331" s="15" t="n"/>
      <c r="AB331" s="15" t="n"/>
      <c r="AF331">
        <f>IF(AND($F331="Closed",$X331&gt;=DATE(2026,5,1),$X331&lt;=DATE(2026,5,31)),"Closed in May","Other")</f>
        <v/>
      </c>
    </row>
    <row r="332">
      <c r="A332" s="6" t="n">
        <v>46107</v>
      </c>
      <c r="B332" s="3" t="n">
        <v>2026</v>
      </c>
      <c r="C332" s="3" t="inlineStr">
        <is>
          <t>Blupine Energy</t>
        </is>
      </c>
      <c r="D332" s="3" t="inlineStr">
        <is>
          <t>Utility and C&amp;I</t>
        </is>
      </c>
      <c r="E332" s="3" t="n"/>
      <c r="F332" s="3" t="inlineStr">
        <is>
          <t>Closed</t>
        </is>
      </c>
      <c r="G332" s="3" t="inlineStr">
        <is>
          <t>Chandrashekar Patidar</t>
        </is>
      </c>
      <c r="H332" s="3" t="n">
        <v>7879764773</v>
      </c>
      <c r="I332" s="11" t="inlineStr">
        <is>
          <t>PE26032601</t>
        </is>
      </c>
      <c r="J332" s="3" t="inlineStr">
        <is>
          <t>Module Diode Failure</t>
        </is>
      </c>
      <c r="K332" s="3" t="inlineStr">
        <is>
          <t>Sadla</t>
        </is>
      </c>
      <c r="L332" s="3" t="inlineStr">
        <is>
          <t>Gujarat</t>
        </is>
      </c>
      <c r="M332" s="9" t="inlineStr">
        <is>
          <t>PS</t>
        </is>
      </c>
      <c r="N332" s="3" t="inlineStr">
        <is>
          <t>Cold Soldering</t>
        </is>
      </c>
      <c r="O332" s="3" t="n">
        <v>570</v>
      </c>
      <c r="P332" s="9" t="inlineStr">
        <is>
          <t>NSMI24060114680</t>
        </is>
      </c>
      <c r="Q332" s="53">
        <f>MID(P332,5,2)</f>
        <v/>
      </c>
      <c r="R332" s="53">
        <f>MID(P332,7,2)</f>
        <v/>
      </c>
      <c r="S332" s="3" t="inlineStr">
        <is>
          <t>G2G</t>
        </is>
      </c>
      <c r="T332" s="3" t="inlineStr">
        <is>
          <t>P4</t>
        </is>
      </c>
      <c r="U332" s="3" t="inlineStr">
        <is>
          <t>P JB Cold Soldering</t>
        </is>
      </c>
      <c r="V332" s="3" t="inlineStr">
        <is>
          <t>Soldering</t>
        </is>
      </c>
      <c r="W332" s="3" t="inlineStr">
        <is>
          <t>Repair</t>
        </is>
      </c>
      <c r="X332" s="18" t="n">
        <v>46147</v>
      </c>
      <c r="Y332" s="73">
        <f>IF(X332="","",X332-A332)</f>
        <v/>
      </c>
      <c r="Z332" s="18" t="n">
        <v>46147</v>
      </c>
      <c r="AA332" s="15" t="n"/>
      <c r="AB332" s="15" t="n"/>
      <c r="AF332">
        <f>IF(AND($F332="Closed",$X332&gt;=DATE(2026,5,1),$X332&lt;=DATE(2026,5,31)),"Closed in May","Other")</f>
        <v/>
      </c>
    </row>
    <row r="333">
      <c r="A333" s="6" t="n">
        <v>46107</v>
      </c>
      <c r="B333" s="3" t="n">
        <v>2026</v>
      </c>
      <c r="C333" s="3" t="inlineStr">
        <is>
          <t>Blupine Energy</t>
        </is>
      </c>
      <c r="D333" s="3" t="inlineStr">
        <is>
          <t>Utility and C&amp;I</t>
        </is>
      </c>
      <c r="E333" s="3" t="n"/>
      <c r="F333" s="3" t="inlineStr">
        <is>
          <t>Closed</t>
        </is>
      </c>
      <c r="G333" s="3" t="inlineStr">
        <is>
          <t>Chandrashekar Patidar</t>
        </is>
      </c>
      <c r="H333" s="3" t="n">
        <v>7879764773</v>
      </c>
      <c r="I333" s="11" t="inlineStr">
        <is>
          <t>PE26032601</t>
        </is>
      </c>
      <c r="J333" s="3" t="inlineStr">
        <is>
          <t>Module Diode Failure</t>
        </is>
      </c>
      <c r="K333" s="3" t="inlineStr">
        <is>
          <t>Sadla</t>
        </is>
      </c>
      <c r="L333" s="3" t="inlineStr">
        <is>
          <t>Gujarat</t>
        </is>
      </c>
      <c r="M333" s="9" t="inlineStr">
        <is>
          <t>Ok</t>
        </is>
      </c>
      <c r="N333" s="3" t="inlineStr">
        <is>
          <t>No Issue</t>
        </is>
      </c>
      <c r="O333" s="3" t="n">
        <v>570</v>
      </c>
      <c r="P333" s="9" t="inlineStr">
        <is>
          <t>NSMI24060114783</t>
        </is>
      </c>
      <c r="Q333" s="53">
        <f>MID(P333,5,2)</f>
        <v/>
      </c>
      <c r="R333" s="53">
        <f>MID(P333,7,2)</f>
        <v/>
      </c>
      <c r="S333" s="3" t="inlineStr">
        <is>
          <t>G2G</t>
        </is>
      </c>
      <c r="T333" s="3" t="inlineStr">
        <is>
          <t>P4</t>
        </is>
      </c>
      <c r="U333" s="19" t="inlineStr">
        <is>
          <t>No Issue Found</t>
        </is>
      </c>
      <c r="V333" s="19" t="inlineStr">
        <is>
          <t>Found OK</t>
        </is>
      </c>
      <c r="W333" s="19" t="inlineStr">
        <is>
          <t>Repair</t>
        </is>
      </c>
      <c r="X333" s="18" t="n">
        <v>46147</v>
      </c>
      <c r="Y333" s="73">
        <f>IF(X333="","",X333-A333)</f>
        <v/>
      </c>
      <c r="Z333" s="18" t="n">
        <v>46147</v>
      </c>
      <c r="AA333" s="15" t="n"/>
      <c r="AB333" s="15" t="n"/>
      <c r="AF333">
        <f>IF(AND($F333="Closed",$X333&gt;=DATE(2026,5,1),$X333&lt;=DATE(2026,5,31)),"Closed in May","Other")</f>
        <v/>
      </c>
    </row>
    <row r="334">
      <c r="A334" s="6" t="n">
        <v>46107</v>
      </c>
      <c r="B334" s="3" t="n">
        <v>2026</v>
      </c>
      <c r="C334" s="3" t="inlineStr">
        <is>
          <t>Blupine Energy</t>
        </is>
      </c>
      <c r="D334" s="3" t="inlineStr">
        <is>
          <t>Utility and C&amp;I</t>
        </is>
      </c>
      <c r="E334" s="3" t="n"/>
      <c r="F334" s="3" t="inlineStr">
        <is>
          <t>Closed</t>
        </is>
      </c>
      <c r="G334" s="3" t="inlineStr">
        <is>
          <t>Chandrashekar Patidar</t>
        </is>
      </c>
      <c r="H334" s="3" t="n">
        <v>7879764773</v>
      </c>
      <c r="I334" s="11" t="inlineStr">
        <is>
          <t>PE26032601</t>
        </is>
      </c>
      <c r="J334" s="3" t="inlineStr">
        <is>
          <t>Module Diode Failure</t>
        </is>
      </c>
      <c r="K334" s="3" t="inlineStr">
        <is>
          <t>Sadla</t>
        </is>
      </c>
      <c r="L334" s="3" t="inlineStr">
        <is>
          <t>Gujarat</t>
        </is>
      </c>
      <c r="M334" s="9" t="inlineStr">
        <is>
          <t>PS</t>
        </is>
      </c>
      <c r="N334" s="3" t="inlineStr">
        <is>
          <t>Cold Soldering</t>
        </is>
      </c>
      <c r="O334" s="3" t="n">
        <v>570</v>
      </c>
      <c r="P334" s="9" t="inlineStr">
        <is>
          <t>NSMI24060107578</t>
        </is>
      </c>
      <c r="Q334" s="53">
        <f>MID(P334,5,2)</f>
        <v/>
      </c>
      <c r="R334" s="53">
        <f>MID(P334,7,2)</f>
        <v/>
      </c>
      <c r="S334" s="3" t="inlineStr">
        <is>
          <t>G2G</t>
        </is>
      </c>
      <c r="T334" s="3" t="inlineStr">
        <is>
          <t>P4</t>
        </is>
      </c>
      <c r="U334" s="3" t="inlineStr">
        <is>
          <t>P JB Cold Soldering</t>
        </is>
      </c>
      <c r="V334" s="3" t="inlineStr">
        <is>
          <t>Soldering</t>
        </is>
      </c>
      <c r="W334" s="3" t="inlineStr">
        <is>
          <t>Repair</t>
        </is>
      </c>
      <c r="X334" s="18" t="n">
        <v>46147</v>
      </c>
      <c r="Y334" s="73">
        <f>IF(X334="","",X334-A334)</f>
        <v/>
      </c>
      <c r="Z334" s="18" t="n">
        <v>46147</v>
      </c>
      <c r="AA334" s="15" t="n"/>
      <c r="AB334" s="15" t="n"/>
      <c r="AF334">
        <f>IF(AND($F334="Closed",$X334&gt;=DATE(2026,5,1),$X334&lt;=DATE(2026,5,31)),"Closed in May","Other")</f>
        <v/>
      </c>
    </row>
    <row r="335">
      <c r="A335" s="6" t="n">
        <v>46107</v>
      </c>
      <c r="B335" s="3" t="n">
        <v>2026</v>
      </c>
      <c r="C335" s="3" t="inlineStr">
        <is>
          <t>Blupine Energy</t>
        </is>
      </c>
      <c r="D335" s="3" t="inlineStr">
        <is>
          <t>Utility and C&amp;I</t>
        </is>
      </c>
      <c r="E335" s="3" t="n"/>
      <c r="F335" s="3" t="inlineStr">
        <is>
          <t>Closed</t>
        </is>
      </c>
      <c r="G335" s="3" t="inlineStr">
        <is>
          <t>Chandrashekar Patidar</t>
        </is>
      </c>
      <c r="H335" s="3" t="n">
        <v>7879764773</v>
      </c>
      <c r="I335" s="11" t="inlineStr">
        <is>
          <t>PE26032601</t>
        </is>
      </c>
      <c r="J335" s="3" t="inlineStr">
        <is>
          <t>Module Diode Failure</t>
        </is>
      </c>
      <c r="K335" s="3" t="inlineStr">
        <is>
          <t>Sadla</t>
        </is>
      </c>
      <c r="L335" s="3" t="inlineStr">
        <is>
          <t>Gujarat</t>
        </is>
      </c>
      <c r="M335" s="9" t="inlineStr">
        <is>
          <t>NS</t>
        </is>
      </c>
      <c r="N335" s="3" t="inlineStr">
        <is>
          <t>Cold Soldering</t>
        </is>
      </c>
      <c r="O335" s="3" t="n">
        <v>570</v>
      </c>
      <c r="P335" s="9" t="inlineStr">
        <is>
          <t>NSMI24060107730</t>
        </is>
      </c>
      <c r="Q335" s="53">
        <f>MID(P335,5,2)</f>
        <v/>
      </c>
      <c r="R335" s="53">
        <f>MID(P335,7,2)</f>
        <v/>
      </c>
      <c r="S335" s="3" t="inlineStr">
        <is>
          <t>G2G</t>
        </is>
      </c>
      <c r="T335" s="3" t="inlineStr">
        <is>
          <t>P4</t>
        </is>
      </c>
      <c r="U335" s="3" t="inlineStr">
        <is>
          <t>N JB Cold Soldering</t>
        </is>
      </c>
      <c r="V335" s="3" t="inlineStr">
        <is>
          <t>Soldering</t>
        </is>
      </c>
      <c r="W335" s="3" t="inlineStr">
        <is>
          <t>Repair</t>
        </is>
      </c>
      <c r="X335" s="18" t="n">
        <v>46147</v>
      </c>
      <c r="Y335" s="73">
        <f>IF(X335="","",X335-A335)</f>
        <v/>
      </c>
      <c r="Z335" s="18" t="n">
        <v>46147</v>
      </c>
      <c r="AA335" s="15" t="n"/>
      <c r="AB335" s="15" t="n"/>
      <c r="AF335">
        <f>IF(AND($F335="Closed",$X335&gt;=DATE(2026,5,1),$X335&lt;=DATE(2026,5,31)),"Closed in May","Other")</f>
        <v/>
      </c>
    </row>
    <row r="336">
      <c r="A336" s="6" t="n">
        <v>46107</v>
      </c>
      <c r="B336" s="3" t="n">
        <v>2026</v>
      </c>
      <c r="C336" s="3" t="inlineStr">
        <is>
          <t>Blupine Energy</t>
        </is>
      </c>
      <c r="D336" s="3" t="inlineStr">
        <is>
          <t>Utility and C&amp;I</t>
        </is>
      </c>
      <c r="E336" s="3" t="n"/>
      <c r="F336" s="3" t="inlineStr">
        <is>
          <t>Closed</t>
        </is>
      </c>
      <c r="G336" s="3" t="inlineStr">
        <is>
          <t>Chandrashekar Patidar</t>
        </is>
      </c>
      <c r="H336" s="3" t="n">
        <v>7879764773</v>
      </c>
      <c r="I336" s="11" t="inlineStr">
        <is>
          <t>PE26032601</t>
        </is>
      </c>
      <c r="J336" s="3" t="inlineStr">
        <is>
          <t>Module Diode Failure</t>
        </is>
      </c>
      <c r="K336" s="3" t="inlineStr">
        <is>
          <t>Sadla</t>
        </is>
      </c>
      <c r="L336" s="3" t="inlineStr">
        <is>
          <t>Gujarat</t>
        </is>
      </c>
      <c r="M336" s="9" t="inlineStr">
        <is>
          <t>NS</t>
        </is>
      </c>
      <c r="N336" s="3" t="inlineStr">
        <is>
          <t>Cold Soldering</t>
        </is>
      </c>
      <c r="O336" s="3" t="n">
        <v>570</v>
      </c>
      <c r="P336" s="9" t="inlineStr">
        <is>
          <t>NSMI24060107681</t>
        </is>
      </c>
      <c r="Q336" s="53">
        <f>MID(P336,5,2)</f>
        <v/>
      </c>
      <c r="R336" s="53">
        <f>MID(P336,7,2)</f>
        <v/>
      </c>
      <c r="S336" s="3" t="inlineStr">
        <is>
          <t>G2G</t>
        </is>
      </c>
      <c r="T336" s="3" t="inlineStr">
        <is>
          <t>P4</t>
        </is>
      </c>
      <c r="U336" s="3" t="inlineStr">
        <is>
          <t>N JB Cold Soldering</t>
        </is>
      </c>
      <c r="V336" s="3" t="inlineStr">
        <is>
          <t>Soldering</t>
        </is>
      </c>
      <c r="W336" s="3" t="inlineStr">
        <is>
          <t>Repair</t>
        </is>
      </c>
      <c r="X336" s="18" t="n">
        <v>46147</v>
      </c>
      <c r="Y336" s="73">
        <f>IF(X336="","",X336-A336)</f>
        <v/>
      </c>
      <c r="Z336" s="18" t="n">
        <v>46147</v>
      </c>
      <c r="AA336" s="15" t="n"/>
      <c r="AB336" s="15" t="n"/>
      <c r="AF336">
        <f>IF(AND($F336="Closed",$X336&gt;=DATE(2026,5,1),$X336&lt;=DATE(2026,5,31)),"Closed in May","Other")</f>
        <v/>
      </c>
    </row>
    <row r="337">
      <c r="A337" s="6" t="n">
        <v>46107</v>
      </c>
      <c r="B337" s="3" t="n">
        <v>2026</v>
      </c>
      <c r="C337" s="3" t="inlineStr">
        <is>
          <t>Blupine Energy</t>
        </is>
      </c>
      <c r="D337" s="3" t="inlineStr">
        <is>
          <t>Utility and C&amp;I</t>
        </is>
      </c>
      <c r="E337" s="3" t="n"/>
      <c r="F337" s="3" t="inlineStr">
        <is>
          <t>Closed</t>
        </is>
      </c>
      <c r="G337" s="3" t="inlineStr">
        <is>
          <t>Chandrashekar Patidar</t>
        </is>
      </c>
      <c r="H337" s="3" t="n">
        <v>7879764773</v>
      </c>
      <c r="I337" s="11" t="inlineStr">
        <is>
          <t>PE26032601</t>
        </is>
      </c>
      <c r="J337" s="3" t="inlineStr">
        <is>
          <t>Module Diode Failure</t>
        </is>
      </c>
      <c r="K337" s="3" t="inlineStr">
        <is>
          <t>Sadla</t>
        </is>
      </c>
      <c r="L337" s="3" t="inlineStr">
        <is>
          <t>Gujarat</t>
        </is>
      </c>
      <c r="M337" s="9" t="inlineStr">
        <is>
          <t>NS</t>
        </is>
      </c>
      <c r="N337" s="3" t="inlineStr">
        <is>
          <t>Cold Soldering</t>
        </is>
      </c>
      <c r="O337" s="3" t="n">
        <v>570</v>
      </c>
      <c r="P337" s="9" t="inlineStr">
        <is>
          <t>NSMI24060107779</t>
        </is>
      </c>
      <c r="Q337" s="53">
        <f>MID(P337,5,2)</f>
        <v/>
      </c>
      <c r="R337" s="53">
        <f>MID(P337,7,2)</f>
        <v/>
      </c>
      <c r="S337" s="3" t="inlineStr">
        <is>
          <t>G2G</t>
        </is>
      </c>
      <c r="T337" s="3" t="inlineStr">
        <is>
          <t>P4</t>
        </is>
      </c>
      <c r="U337" s="3" t="inlineStr">
        <is>
          <t>N JB Cold Soldering</t>
        </is>
      </c>
      <c r="V337" s="3" t="inlineStr">
        <is>
          <t>Soldering</t>
        </is>
      </c>
      <c r="W337" s="3" t="inlineStr">
        <is>
          <t>Repair</t>
        </is>
      </c>
      <c r="X337" s="18" t="n">
        <v>46147</v>
      </c>
      <c r="Y337" s="73">
        <f>IF(X337="","",X337-A337)</f>
        <v/>
      </c>
      <c r="Z337" s="18" t="n">
        <v>46147</v>
      </c>
      <c r="AA337" s="15" t="n"/>
      <c r="AB337" s="15" t="n"/>
      <c r="AF337">
        <f>IF(AND($F337="Closed",$X337&gt;=DATE(2026,5,1),$X337&lt;=DATE(2026,5,31)),"Closed in May","Other")</f>
        <v/>
      </c>
    </row>
    <row r="338">
      <c r="A338" s="6" t="n">
        <v>46107</v>
      </c>
      <c r="B338" s="3" t="n">
        <v>2026</v>
      </c>
      <c r="C338" s="3" t="inlineStr">
        <is>
          <t>Blupine Energy</t>
        </is>
      </c>
      <c r="D338" s="3" t="inlineStr">
        <is>
          <t>Utility and C&amp;I</t>
        </is>
      </c>
      <c r="E338" s="3" t="n"/>
      <c r="F338" s="3" t="inlineStr">
        <is>
          <t>Closed</t>
        </is>
      </c>
      <c r="G338" s="3" t="inlineStr">
        <is>
          <t>Chandrashekar Patidar</t>
        </is>
      </c>
      <c r="H338" s="3" t="n">
        <v>7879764773</v>
      </c>
      <c r="I338" s="11" t="inlineStr">
        <is>
          <t>PE26032601</t>
        </is>
      </c>
      <c r="J338" s="3" t="inlineStr">
        <is>
          <t>Module Diode Failure</t>
        </is>
      </c>
      <c r="K338" s="3" t="inlineStr">
        <is>
          <t>Sadla</t>
        </is>
      </c>
      <c r="L338" s="3" t="inlineStr">
        <is>
          <t>Gujarat</t>
        </is>
      </c>
      <c r="M338" s="9" t="inlineStr">
        <is>
          <t>NS</t>
        </is>
      </c>
      <c r="N338" s="3" t="inlineStr">
        <is>
          <t>Cold Soldering</t>
        </is>
      </c>
      <c r="O338" s="3" t="n">
        <v>570</v>
      </c>
      <c r="P338" s="9" t="inlineStr">
        <is>
          <t>NSMI24060107671</t>
        </is>
      </c>
      <c r="Q338" s="53">
        <f>MID(P338,5,2)</f>
        <v/>
      </c>
      <c r="R338" s="53">
        <f>MID(P338,7,2)</f>
        <v/>
      </c>
      <c r="S338" s="3" t="inlineStr">
        <is>
          <t>G2G</t>
        </is>
      </c>
      <c r="T338" s="3" t="inlineStr">
        <is>
          <t>P4</t>
        </is>
      </c>
      <c r="U338" s="3" t="inlineStr">
        <is>
          <t>N JB Cold Soldering</t>
        </is>
      </c>
      <c r="V338" s="3" t="inlineStr">
        <is>
          <t>Soldering</t>
        </is>
      </c>
      <c r="W338" s="3" t="inlineStr">
        <is>
          <t>Repair</t>
        </is>
      </c>
      <c r="X338" s="18" t="n">
        <v>46147</v>
      </c>
      <c r="Y338" s="73">
        <f>IF(X338="","",X338-A338)</f>
        <v/>
      </c>
      <c r="Z338" s="18" t="n">
        <v>46147</v>
      </c>
      <c r="AA338" s="15" t="n"/>
      <c r="AB338" s="15" t="n"/>
      <c r="AF338">
        <f>IF(AND($F338="Closed",$X338&gt;=DATE(2026,5,1),$X338&lt;=DATE(2026,5,31)),"Closed in May","Other")</f>
        <v/>
      </c>
    </row>
    <row r="339">
      <c r="A339" s="6" t="n">
        <v>46107</v>
      </c>
      <c r="B339" s="3" t="n">
        <v>2026</v>
      </c>
      <c r="C339" s="3" t="inlineStr">
        <is>
          <t>Blupine Energy</t>
        </is>
      </c>
      <c r="D339" s="3" t="inlineStr">
        <is>
          <t>Utility and C&amp;I</t>
        </is>
      </c>
      <c r="E339" s="3" t="n"/>
      <c r="F339" s="3" t="inlineStr">
        <is>
          <t>Closed</t>
        </is>
      </c>
      <c r="G339" s="3" t="inlineStr">
        <is>
          <t>Chandrashekar Patidar</t>
        </is>
      </c>
      <c r="H339" s="3" t="n">
        <v>7879764773</v>
      </c>
      <c r="I339" s="11" t="inlineStr">
        <is>
          <t>PE26032601</t>
        </is>
      </c>
      <c r="J339" s="3" t="inlineStr">
        <is>
          <t>Module Diode Failure</t>
        </is>
      </c>
      <c r="K339" s="3" t="inlineStr">
        <is>
          <t>Sadla</t>
        </is>
      </c>
      <c r="L339" s="3" t="inlineStr">
        <is>
          <t>Gujarat</t>
        </is>
      </c>
      <c r="M339" s="9" t="inlineStr">
        <is>
          <t>NS</t>
        </is>
      </c>
      <c r="N339" s="3" t="inlineStr">
        <is>
          <t>Cold Soldering</t>
        </is>
      </c>
      <c r="O339" s="3" t="n">
        <v>570</v>
      </c>
      <c r="P339" s="9" t="inlineStr">
        <is>
          <t>NSMI24060080276</t>
        </is>
      </c>
      <c r="Q339" s="53">
        <f>MID(P339,5,2)</f>
        <v/>
      </c>
      <c r="R339" s="53">
        <f>MID(P339,7,2)</f>
        <v/>
      </c>
      <c r="S339" s="3" t="inlineStr">
        <is>
          <t>G2G</t>
        </is>
      </c>
      <c r="T339" s="3" t="inlineStr">
        <is>
          <t>P4</t>
        </is>
      </c>
      <c r="U339" s="3" t="inlineStr">
        <is>
          <t>N JB Cold Soldering</t>
        </is>
      </c>
      <c r="V339" s="3" t="inlineStr">
        <is>
          <t>Soldering</t>
        </is>
      </c>
      <c r="W339" s="3" t="inlineStr">
        <is>
          <t>Repair</t>
        </is>
      </c>
      <c r="X339" s="18" t="n">
        <v>46147</v>
      </c>
      <c r="Y339" s="73">
        <f>IF(X339="","",X339-A339)</f>
        <v/>
      </c>
      <c r="Z339" s="18" t="n">
        <v>46147</v>
      </c>
      <c r="AA339" s="15" t="n"/>
      <c r="AB339" s="15" t="n"/>
      <c r="AF339">
        <f>IF(AND($F339="Closed",$X339&gt;=DATE(2026,5,1),$X339&lt;=DATE(2026,5,31)),"Closed in May","Other")</f>
        <v/>
      </c>
    </row>
    <row r="340">
      <c r="A340" s="6" t="n">
        <v>46107</v>
      </c>
      <c r="B340" s="3" t="n">
        <v>2026</v>
      </c>
      <c r="C340" s="3" t="inlineStr">
        <is>
          <t>Blupine Energy</t>
        </is>
      </c>
      <c r="D340" s="3" t="inlineStr">
        <is>
          <t>Utility and C&amp;I</t>
        </is>
      </c>
      <c r="E340" s="3" t="n"/>
      <c r="F340" s="3" t="inlineStr">
        <is>
          <t>Closed</t>
        </is>
      </c>
      <c r="G340" s="3" t="inlineStr">
        <is>
          <t>Chandrashekar Patidar</t>
        </is>
      </c>
      <c r="H340" s="3" t="n">
        <v>7879764773</v>
      </c>
      <c r="I340" s="11" t="inlineStr">
        <is>
          <t>PE26032601</t>
        </is>
      </c>
      <c r="J340" s="3" t="inlineStr">
        <is>
          <t>Module Diode Failure</t>
        </is>
      </c>
      <c r="K340" s="3" t="inlineStr">
        <is>
          <t>Sadla</t>
        </is>
      </c>
      <c r="L340" s="3" t="inlineStr">
        <is>
          <t>Gujarat</t>
        </is>
      </c>
      <c r="M340" s="9" t="inlineStr">
        <is>
          <t>NS</t>
        </is>
      </c>
      <c r="N340" s="3" t="inlineStr">
        <is>
          <t>Cold Soldering</t>
        </is>
      </c>
      <c r="O340" s="3" t="n">
        <v>570</v>
      </c>
      <c r="P340" s="9" t="inlineStr">
        <is>
          <t>NSMI24050065323</t>
        </is>
      </c>
      <c r="Q340" s="53">
        <f>MID(P340,5,2)</f>
        <v/>
      </c>
      <c r="R340" s="53">
        <f>MID(P340,7,2)</f>
        <v/>
      </c>
      <c r="S340" s="3" t="inlineStr">
        <is>
          <t>G2G</t>
        </is>
      </c>
      <c r="T340" s="3" t="inlineStr">
        <is>
          <t>P4</t>
        </is>
      </c>
      <c r="U340" s="3" t="inlineStr">
        <is>
          <t>N JB Cold Soldering</t>
        </is>
      </c>
      <c r="V340" s="3" t="inlineStr">
        <is>
          <t>Soldering</t>
        </is>
      </c>
      <c r="W340" s="3" t="inlineStr">
        <is>
          <t>Repair</t>
        </is>
      </c>
      <c r="X340" s="18" t="n">
        <v>46147</v>
      </c>
      <c r="Y340" s="73">
        <f>IF(X340="","",X340-A340)</f>
        <v/>
      </c>
      <c r="Z340" s="18" t="n">
        <v>46147</v>
      </c>
      <c r="AA340" s="15" t="n"/>
      <c r="AB340" s="15" t="n"/>
      <c r="AF340">
        <f>IF(AND($F340="Closed",$X340&gt;=DATE(2026,5,1),$X340&lt;=DATE(2026,5,31)),"Closed in May","Other")</f>
        <v/>
      </c>
    </row>
    <row r="341">
      <c r="A341" s="6" t="n">
        <v>46107</v>
      </c>
      <c r="B341" s="3" t="n">
        <v>2026</v>
      </c>
      <c r="C341" s="3" t="inlineStr">
        <is>
          <t>Blupine Energy</t>
        </is>
      </c>
      <c r="D341" s="3" t="inlineStr">
        <is>
          <t>Utility and C&amp;I</t>
        </is>
      </c>
      <c r="E341" s="3" t="n"/>
      <c r="F341" s="3" t="inlineStr">
        <is>
          <t>Closed</t>
        </is>
      </c>
      <c r="G341" s="3" t="inlineStr">
        <is>
          <t>Chandrashekar Patidar</t>
        </is>
      </c>
      <c r="H341" s="3" t="n">
        <v>7879764773</v>
      </c>
      <c r="I341" s="11" t="inlineStr">
        <is>
          <t>PE26032601</t>
        </is>
      </c>
      <c r="J341" s="3" t="inlineStr">
        <is>
          <t>Module Diode Failure</t>
        </is>
      </c>
      <c r="K341" s="3" t="inlineStr">
        <is>
          <t>Sadla</t>
        </is>
      </c>
      <c r="L341" s="3" t="inlineStr">
        <is>
          <t>Gujarat</t>
        </is>
      </c>
      <c r="M341" s="9" t="inlineStr">
        <is>
          <t>PS</t>
        </is>
      </c>
      <c r="N341" s="3" t="inlineStr">
        <is>
          <t>Cold Soldering</t>
        </is>
      </c>
      <c r="O341" s="3" t="n">
        <v>570</v>
      </c>
      <c r="P341" s="9" t="inlineStr">
        <is>
          <t>NSMI24050064039</t>
        </is>
      </c>
      <c r="Q341" s="53">
        <f>MID(P341,5,2)</f>
        <v/>
      </c>
      <c r="R341" s="53">
        <f>MID(P341,7,2)</f>
        <v/>
      </c>
      <c r="S341" s="3" t="inlineStr">
        <is>
          <t>G2G</t>
        </is>
      </c>
      <c r="T341" s="3" t="inlineStr">
        <is>
          <t>P4</t>
        </is>
      </c>
      <c r="U341" s="3" t="inlineStr">
        <is>
          <t>P JB Cold Soldering</t>
        </is>
      </c>
      <c r="V341" s="3" t="inlineStr">
        <is>
          <t>Soldering</t>
        </is>
      </c>
      <c r="W341" s="3" t="inlineStr">
        <is>
          <t>Repair</t>
        </is>
      </c>
      <c r="X341" s="18" t="n">
        <v>46147</v>
      </c>
      <c r="Y341" s="73">
        <f>IF(X341="","",X341-A341)</f>
        <v/>
      </c>
      <c r="Z341" s="18" t="n">
        <v>46147</v>
      </c>
      <c r="AA341" s="15" t="n"/>
      <c r="AB341" s="15" t="n"/>
      <c r="AF341">
        <f>IF(AND($F341="Closed",$X341&gt;=DATE(2026,5,1),$X341&lt;=DATE(2026,5,31)),"Closed in May","Other")</f>
        <v/>
      </c>
    </row>
    <row r="342">
      <c r="A342" s="6" t="n">
        <v>46107</v>
      </c>
      <c r="B342" s="3" t="n">
        <v>2026</v>
      </c>
      <c r="C342" s="3" t="inlineStr">
        <is>
          <t>Blupine Energy</t>
        </is>
      </c>
      <c r="D342" s="3" t="inlineStr">
        <is>
          <t>Utility and C&amp;I</t>
        </is>
      </c>
      <c r="E342" s="3" t="n"/>
      <c r="F342" s="3" t="inlineStr">
        <is>
          <t>Closed</t>
        </is>
      </c>
      <c r="G342" s="3" t="inlineStr">
        <is>
          <t>Chandrashekar Patidar</t>
        </is>
      </c>
      <c r="H342" s="3" t="n">
        <v>7879764773</v>
      </c>
      <c r="I342" s="11" t="inlineStr">
        <is>
          <t>PE26032601</t>
        </is>
      </c>
      <c r="J342" s="3" t="inlineStr">
        <is>
          <t>Module Diode Failure</t>
        </is>
      </c>
      <c r="K342" s="3" t="inlineStr">
        <is>
          <t>Sadla</t>
        </is>
      </c>
      <c r="L342" s="3" t="inlineStr">
        <is>
          <t>Gujarat</t>
        </is>
      </c>
      <c r="M342" s="9" t="inlineStr">
        <is>
          <t>PS</t>
        </is>
      </c>
      <c r="N342" s="3" t="inlineStr">
        <is>
          <t>Cold Soldering</t>
        </is>
      </c>
      <c r="O342" s="3" t="n">
        <v>570</v>
      </c>
      <c r="P342" s="9" t="inlineStr">
        <is>
          <t>NSMI24050063996</t>
        </is>
      </c>
      <c r="Q342" s="53">
        <f>MID(P342,5,2)</f>
        <v/>
      </c>
      <c r="R342" s="53">
        <f>MID(P342,7,2)</f>
        <v/>
      </c>
      <c r="S342" s="3" t="inlineStr">
        <is>
          <t>G2G</t>
        </is>
      </c>
      <c r="T342" s="3" t="inlineStr">
        <is>
          <t>P4</t>
        </is>
      </c>
      <c r="U342" s="3" t="inlineStr">
        <is>
          <t>P JB Cold Soldering</t>
        </is>
      </c>
      <c r="V342" s="3" t="inlineStr">
        <is>
          <t>Soldering</t>
        </is>
      </c>
      <c r="W342" s="3" t="inlineStr">
        <is>
          <t>Repair</t>
        </is>
      </c>
      <c r="X342" s="18" t="n">
        <v>46147</v>
      </c>
      <c r="Y342" s="73">
        <f>IF(X342="","",X342-A342)</f>
        <v/>
      </c>
      <c r="Z342" s="18" t="n">
        <v>46147</v>
      </c>
      <c r="AA342" s="15" t="n"/>
      <c r="AB342" s="15" t="n"/>
      <c r="AF342">
        <f>IF(AND($F342="Closed",$X342&gt;=DATE(2026,5,1),$X342&lt;=DATE(2026,5,31)),"Closed in May","Other")</f>
        <v/>
      </c>
    </row>
    <row r="343">
      <c r="A343" s="6" t="n">
        <v>46107</v>
      </c>
      <c r="B343" s="3" t="n">
        <v>2026</v>
      </c>
      <c r="C343" s="3" t="inlineStr">
        <is>
          <t>Blupine Energy</t>
        </is>
      </c>
      <c r="D343" s="3" t="inlineStr">
        <is>
          <t>Utility and C&amp;I</t>
        </is>
      </c>
      <c r="E343" s="3" t="n"/>
      <c r="F343" s="3" t="inlineStr">
        <is>
          <t>Closed</t>
        </is>
      </c>
      <c r="G343" s="3" t="inlineStr">
        <is>
          <t>Chandrashekar Patidar</t>
        </is>
      </c>
      <c r="H343" s="3" t="n">
        <v>7879764773</v>
      </c>
      <c r="I343" s="11" t="inlineStr">
        <is>
          <t>PE26032601</t>
        </is>
      </c>
      <c r="J343" s="3" t="inlineStr">
        <is>
          <t>Module Diode Failure</t>
        </is>
      </c>
      <c r="K343" s="3" t="inlineStr">
        <is>
          <t>Sadla</t>
        </is>
      </c>
      <c r="L343" s="3" t="inlineStr">
        <is>
          <t>Gujarat</t>
        </is>
      </c>
      <c r="M343" s="9" t="inlineStr">
        <is>
          <t>NS</t>
        </is>
      </c>
      <c r="N343" s="3" t="inlineStr">
        <is>
          <t>Cold Soldering</t>
        </is>
      </c>
      <c r="O343" s="3" t="n">
        <v>570</v>
      </c>
      <c r="P343" s="9" t="inlineStr">
        <is>
          <t>NSMI24060085610</t>
        </is>
      </c>
      <c r="Q343" s="53">
        <f>MID(P343,5,2)</f>
        <v/>
      </c>
      <c r="R343" s="53">
        <f>MID(P343,7,2)</f>
        <v/>
      </c>
      <c r="S343" s="3" t="inlineStr">
        <is>
          <t>G2G</t>
        </is>
      </c>
      <c r="T343" s="3" t="inlineStr">
        <is>
          <t>P4</t>
        </is>
      </c>
      <c r="U343" s="3" t="inlineStr">
        <is>
          <t>N JB Cold Soldering</t>
        </is>
      </c>
      <c r="V343" s="3" t="inlineStr">
        <is>
          <t>Soldering</t>
        </is>
      </c>
      <c r="W343" s="3" t="inlineStr">
        <is>
          <t>Repair</t>
        </is>
      </c>
      <c r="X343" s="18" t="n">
        <v>46147</v>
      </c>
      <c r="Y343" s="73">
        <f>IF(X343="","",X343-A343)</f>
        <v/>
      </c>
      <c r="Z343" s="18" t="n">
        <v>46147</v>
      </c>
      <c r="AA343" s="15" t="n"/>
      <c r="AB343" s="15" t="n"/>
      <c r="AF343">
        <f>IF(AND($F343="Closed",$X343&gt;=DATE(2026,5,1),$X343&lt;=DATE(2026,5,31)),"Closed in May","Other")</f>
        <v/>
      </c>
    </row>
    <row r="344">
      <c r="A344" s="6" t="n">
        <v>46107</v>
      </c>
      <c r="B344" s="3" t="n">
        <v>2026</v>
      </c>
      <c r="C344" s="3" t="inlineStr">
        <is>
          <t>Blupine Energy</t>
        </is>
      </c>
      <c r="D344" s="3" t="inlineStr">
        <is>
          <t>Utility and C&amp;I</t>
        </is>
      </c>
      <c r="E344" s="3" t="n"/>
      <c r="F344" s="3" t="inlineStr">
        <is>
          <t>Closed</t>
        </is>
      </c>
      <c r="G344" s="3" t="inlineStr">
        <is>
          <t>Chandrashekar Patidar</t>
        </is>
      </c>
      <c r="H344" s="3" t="n">
        <v>7879764773</v>
      </c>
      <c r="I344" s="11" t="inlineStr">
        <is>
          <t>PE26032601</t>
        </is>
      </c>
      <c r="J344" s="3" t="inlineStr">
        <is>
          <t>Module Diode Failure</t>
        </is>
      </c>
      <c r="K344" s="3" t="inlineStr">
        <is>
          <t>Sadla</t>
        </is>
      </c>
      <c r="L344" s="3" t="inlineStr">
        <is>
          <t>Gujarat</t>
        </is>
      </c>
      <c r="M344" s="9" t="inlineStr">
        <is>
          <t>NS</t>
        </is>
      </c>
      <c r="N344" s="3" t="inlineStr">
        <is>
          <t>Cold Soldering</t>
        </is>
      </c>
      <c r="O344" s="3" t="n">
        <v>570</v>
      </c>
      <c r="P344" s="9" t="inlineStr">
        <is>
          <t>NSMI24060077339</t>
        </is>
      </c>
      <c r="Q344" s="53">
        <f>MID(P344,5,2)</f>
        <v/>
      </c>
      <c r="R344" s="53">
        <f>MID(P344,7,2)</f>
        <v/>
      </c>
      <c r="S344" s="3" t="inlineStr">
        <is>
          <t>G2G</t>
        </is>
      </c>
      <c r="T344" s="3" t="inlineStr">
        <is>
          <t>P4</t>
        </is>
      </c>
      <c r="U344" s="3" t="inlineStr">
        <is>
          <t>N JB Cold Soldering</t>
        </is>
      </c>
      <c r="V344" s="3" t="inlineStr">
        <is>
          <t>Soldering</t>
        </is>
      </c>
      <c r="W344" s="3" t="inlineStr">
        <is>
          <t>Repair</t>
        </is>
      </c>
      <c r="X344" s="18" t="n">
        <v>46147</v>
      </c>
      <c r="Y344" s="73">
        <f>IF(X344="","",X344-A344)</f>
        <v/>
      </c>
      <c r="Z344" s="18" t="n">
        <v>46147</v>
      </c>
      <c r="AA344" s="15" t="n"/>
      <c r="AB344" s="15" t="n"/>
      <c r="AF344">
        <f>IF(AND($F344="Closed",$X344&gt;=DATE(2026,5,1),$X344&lt;=DATE(2026,5,31)),"Closed in May","Other")</f>
        <v/>
      </c>
    </row>
    <row r="345">
      <c r="A345" s="6" t="n">
        <v>46107</v>
      </c>
      <c r="B345" s="3" t="n">
        <v>2026</v>
      </c>
      <c r="C345" s="3" t="inlineStr">
        <is>
          <t>Blupine Energy</t>
        </is>
      </c>
      <c r="D345" s="3" t="inlineStr">
        <is>
          <t>Utility and C&amp;I</t>
        </is>
      </c>
      <c r="E345" s="3" t="n"/>
      <c r="F345" s="3" t="inlineStr">
        <is>
          <t>Closed</t>
        </is>
      </c>
      <c r="G345" s="3" t="inlineStr">
        <is>
          <t>Chandrashekar Patidar</t>
        </is>
      </c>
      <c r="H345" s="3" t="n">
        <v>7879764773</v>
      </c>
      <c r="I345" s="11" t="inlineStr">
        <is>
          <t>PE26032601</t>
        </is>
      </c>
      <c r="J345" s="3" t="inlineStr">
        <is>
          <t>Module Diode Failure</t>
        </is>
      </c>
      <c r="K345" s="3" t="inlineStr">
        <is>
          <t>Sadla</t>
        </is>
      </c>
      <c r="L345" s="3" t="inlineStr">
        <is>
          <t>Gujarat</t>
        </is>
      </c>
      <c r="M345" s="9" t="inlineStr">
        <is>
          <t>PS</t>
        </is>
      </c>
      <c r="N345" s="3" t="inlineStr">
        <is>
          <t>Cold Soldering</t>
        </is>
      </c>
      <c r="O345" s="3" t="n">
        <v>570</v>
      </c>
      <c r="P345" s="9" t="inlineStr">
        <is>
          <t>NSMI24060077292</t>
        </is>
      </c>
      <c r="Q345" s="53">
        <f>MID(P345,5,2)</f>
        <v/>
      </c>
      <c r="R345" s="53">
        <f>MID(P345,7,2)</f>
        <v/>
      </c>
      <c r="S345" s="3" t="inlineStr">
        <is>
          <t>G2G</t>
        </is>
      </c>
      <c r="T345" s="3" t="inlineStr">
        <is>
          <t>P4</t>
        </is>
      </c>
      <c r="U345" s="3" t="inlineStr">
        <is>
          <t>P JB Cold Soldering</t>
        </is>
      </c>
      <c r="V345" s="3" t="inlineStr">
        <is>
          <t>Soldering</t>
        </is>
      </c>
      <c r="W345" s="3" t="inlineStr">
        <is>
          <t>Repair</t>
        </is>
      </c>
      <c r="X345" s="18" t="n">
        <v>46147</v>
      </c>
      <c r="Y345" s="73">
        <f>IF(X345="","",X345-A345)</f>
        <v/>
      </c>
      <c r="Z345" s="18" t="n">
        <v>46147</v>
      </c>
      <c r="AA345" s="15" t="n"/>
      <c r="AB345" s="15" t="n"/>
      <c r="AF345">
        <f>IF(AND($F345="Closed",$X345&gt;=DATE(2026,5,1),$X345&lt;=DATE(2026,5,31)),"Closed in May","Other")</f>
        <v/>
      </c>
    </row>
    <row r="346">
      <c r="A346" s="6" t="n">
        <v>46107</v>
      </c>
      <c r="B346" s="3" t="n">
        <v>2026</v>
      </c>
      <c r="C346" s="3" t="inlineStr">
        <is>
          <t>Blupine Energy</t>
        </is>
      </c>
      <c r="D346" s="3" t="inlineStr">
        <is>
          <t>Utility and C&amp;I</t>
        </is>
      </c>
      <c r="E346" s="3" t="n"/>
      <c r="F346" s="3" t="inlineStr">
        <is>
          <t>Closed</t>
        </is>
      </c>
      <c r="G346" s="3" t="inlineStr">
        <is>
          <t>Chandrashekar Patidar</t>
        </is>
      </c>
      <c r="H346" s="3" t="n">
        <v>7879764773</v>
      </c>
      <c r="I346" s="11" t="inlineStr">
        <is>
          <t>PE26032601</t>
        </is>
      </c>
      <c r="J346" s="3" t="inlineStr">
        <is>
          <t>Module Diode Failure</t>
        </is>
      </c>
      <c r="K346" s="3" t="inlineStr">
        <is>
          <t>Sadla</t>
        </is>
      </c>
      <c r="L346" s="3" t="inlineStr">
        <is>
          <t>Gujarat</t>
        </is>
      </c>
      <c r="M346" s="9" t="inlineStr">
        <is>
          <t>PS</t>
        </is>
      </c>
      <c r="N346" s="3" t="inlineStr">
        <is>
          <t>Cold Soldering</t>
        </is>
      </c>
      <c r="O346" s="3" t="n">
        <v>570</v>
      </c>
      <c r="P346" s="9" t="inlineStr">
        <is>
          <t>NSMI24050066358</t>
        </is>
      </c>
      <c r="Q346" s="53">
        <f>MID(P346,5,2)</f>
        <v/>
      </c>
      <c r="R346" s="53">
        <f>MID(P346,7,2)</f>
        <v/>
      </c>
      <c r="S346" s="3" t="inlineStr">
        <is>
          <t>G2G</t>
        </is>
      </c>
      <c r="T346" s="3" t="inlineStr">
        <is>
          <t>P4</t>
        </is>
      </c>
      <c r="U346" s="3" t="inlineStr">
        <is>
          <t>P JB Cold Soldering</t>
        </is>
      </c>
      <c r="V346" s="3" t="inlineStr">
        <is>
          <t>Soldering</t>
        </is>
      </c>
      <c r="W346" s="3" t="inlineStr">
        <is>
          <t>Repair</t>
        </is>
      </c>
      <c r="X346" s="18" t="n">
        <v>46147</v>
      </c>
      <c r="Y346" s="73">
        <f>IF(X346="","",X346-A346)</f>
        <v/>
      </c>
      <c r="Z346" s="18" t="n">
        <v>46147</v>
      </c>
      <c r="AA346" s="15" t="n"/>
      <c r="AB346" s="15" t="n"/>
      <c r="AF346">
        <f>IF(AND($F346="Closed",$X346&gt;=DATE(2026,5,1),$X346&lt;=DATE(2026,5,31)),"Closed in May","Other")</f>
        <v/>
      </c>
    </row>
    <row r="347">
      <c r="A347" s="6" t="n">
        <v>46107</v>
      </c>
      <c r="B347" s="3" t="n">
        <v>2026</v>
      </c>
      <c r="C347" s="3" t="inlineStr">
        <is>
          <t>Blupine Energy</t>
        </is>
      </c>
      <c r="D347" s="3" t="inlineStr">
        <is>
          <t>Utility and C&amp;I</t>
        </is>
      </c>
      <c r="E347" s="3" t="n"/>
      <c r="F347" s="3" t="inlineStr">
        <is>
          <t>Closed</t>
        </is>
      </c>
      <c r="G347" s="3" t="inlineStr">
        <is>
          <t>Chandrashekar Patidar</t>
        </is>
      </c>
      <c r="H347" s="3" t="n">
        <v>7879764773</v>
      </c>
      <c r="I347" s="11" t="inlineStr">
        <is>
          <t>PE26032601</t>
        </is>
      </c>
      <c r="J347" s="3" t="inlineStr">
        <is>
          <t>Module Diode Failure</t>
        </is>
      </c>
      <c r="K347" s="3" t="inlineStr">
        <is>
          <t>Sadla</t>
        </is>
      </c>
      <c r="L347" s="3" t="inlineStr">
        <is>
          <t>Gujarat</t>
        </is>
      </c>
      <c r="M347" s="9" t="inlineStr">
        <is>
          <t>PS</t>
        </is>
      </c>
      <c r="N347" s="3" t="inlineStr">
        <is>
          <t>Cold Soldering</t>
        </is>
      </c>
      <c r="O347" s="3" t="n">
        <v>570</v>
      </c>
      <c r="P347" s="9" t="inlineStr">
        <is>
          <t>NSMI24050066360</t>
        </is>
      </c>
      <c r="Q347" s="53">
        <f>MID(P347,5,2)</f>
        <v/>
      </c>
      <c r="R347" s="53">
        <f>MID(P347,7,2)</f>
        <v/>
      </c>
      <c r="S347" s="3" t="inlineStr">
        <is>
          <t>G2G</t>
        </is>
      </c>
      <c r="T347" s="3" t="inlineStr">
        <is>
          <t>P4</t>
        </is>
      </c>
      <c r="U347" s="3" t="inlineStr">
        <is>
          <t>P JB Cold Soldering</t>
        </is>
      </c>
      <c r="V347" s="3" t="inlineStr">
        <is>
          <t>Soldering</t>
        </is>
      </c>
      <c r="W347" s="3" t="inlineStr">
        <is>
          <t>Repair</t>
        </is>
      </c>
      <c r="X347" s="18" t="n">
        <v>46147</v>
      </c>
      <c r="Y347" s="73">
        <f>IF(X347="","",X347-A347)</f>
        <v/>
      </c>
      <c r="Z347" s="18" t="n">
        <v>46147</v>
      </c>
      <c r="AA347" s="15" t="n"/>
      <c r="AB347" s="15" t="n"/>
      <c r="AF347">
        <f>IF(AND($F347="Closed",$X347&gt;=DATE(2026,5,1),$X347&lt;=DATE(2026,5,31)),"Closed in May","Other")</f>
        <v/>
      </c>
    </row>
    <row r="348">
      <c r="A348" s="6" t="n">
        <v>46107</v>
      </c>
      <c r="B348" s="3" t="n">
        <v>2026</v>
      </c>
      <c r="C348" s="3" t="inlineStr">
        <is>
          <t>Blupine Energy</t>
        </is>
      </c>
      <c r="D348" s="3" t="inlineStr">
        <is>
          <t>Utility and C&amp;I</t>
        </is>
      </c>
      <c r="E348" s="3" t="n"/>
      <c r="F348" s="3" t="inlineStr">
        <is>
          <t>Closed</t>
        </is>
      </c>
      <c r="G348" s="3" t="inlineStr">
        <is>
          <t>Chandrashekar Patidar</t>
        </is>
      </c>
      <c r="H348" s="3" t="n">
        <v>7879764773</v>
      </c>
      <c r="I348" s="11" t="inlineStr">
        <is>
          <t>PE26032601</t>
        </is>
      </c>
      <c r="J348" s="3" t="inlineStr">
        <is>
          <t>Module Diode Failure</t>
        </is>
      </c>
      <c r="K348" s="3" t="inlineStr">
        <is>
          <t>Sadla</t>
        </is>
      </c>
      <c r="L348" s="3" t="inlineStr">
        <is>
          <t>Gujarat</t>
        </is>
      </c>
      <c r="M348" s="9" t="inlineStr">
        <is>
          <t>PMS</t>
        </is>
      </c>
      <c r="N348" s="3" t="inlineStr">
        <is>
          <t>Cold Soldering</t>
        </is>
      </c>
      <c r="O348" s="3" t="n">
        <v>570</v>
      </c>
      <c r="P348" s="9" t="inlineStr">
        <is>
          <t>NSMI24060101027</t>
        </is>
      </c>
      <c r="Q348" s="53">
        <f>MID(P348,5,2)</f>
        <v/>
      </c>
      <c r="R348" s="53">
        <f>MID(P348,7,2)</f>
        <v/>
      </c>
      <c r="S348" s="3" t="inlineStr">
        <is>
          <t>G2G</t>
        </is>
      </c>
      <c r="T348" s="3" t="inlineStr">
        <is>
          <t>P4</t>
        </is>
      </c>
      <c r="U348" s="3" t="inlineStr">
        <is>
          <t>P &amp; M JB Cold Soldering</t>
        </is>
      </c>
      <c r="V348" s="3" t="inlineStr">
        <is>
          <t>Soldering</t>
        </is>
      </c>
      <c r="W348" s="3" t="inlineStr">
        <is>
          <t>Repair</t>
        </is>
      </c>
      <c r="X348" s="18" t="n">
        <v>46147</v>
      </c>
      <c r="Y348" s="73">
        <f>IF(X348="","",X348-A348)</f>
        <v/>
      </c>
      <c r="Z348" s="18" t="n">
        <v>46147</v>
      </c>
      <c r="AA348" s="15" t="n"/>
      <c r="AB348" s="15" t="n"/>
      <c r="AF348">
        <f>IF(AND($F348="Closed",$X348&gt;=DATE(2026,5,1),$X348&lt;=DATE(2026,5,31)),"Closed in May","Other")</f>
        <v/>
      </c>
    </row>
    <row r="349">
      <c r="A349" s="6" t="n">
        <v>46107</v>
      </c>
      <c r="B349" s="3" t="n">
        <v>2026</v>
      </c>
      <c r="C349" s="3" t="inlineStr">
        <is>
          <t>Blupine Energy</t>
        </is>
      </c>
      <c r="D349" s="3" t="inlineStr">
        <is>
          <t>Utility and C&amp;I</t>
        </is>
      </c>
      <c r="E349" s="3" t="n"/>
      <c r="F349" s="3" t="inlineStr">
        <is>
          <t>Closed</t>
        </is>
      </c>
      <c r="G349" s="3" t="inlineStr">
        <is>
          <t>Chandrashekar Patidar</t>
        </is>
      </c>
      <c r="H349" s="3" t="n">
        <v>7879764773</v>
      </c>
      <c r="I349" s="11" t="inlineStr">
        <is>
          <t>PE26032601</t>
        </is>
      </c>
      <c r="J349" s="3" t="inlineStr">
        <is>
          <t>Module Diode Failure</t>
        </is>
      </c>
      <c r="K349" s="3" t="inlineStr">
        <is>
          <t>Sadla</t>
        </is>
      </c>
      <c r="L349" s="3" t="inlineStr">
        <is>
          <t>Gujarat</t>
        </is>
      </c>
      <c r="M349" s="9" t="inlineStr">
        <is>
          <t>PS</t>
        </is>
      </c>
      <c r="N349" s="3" t="inlineStr">
        <is>
          <t>Cold Soldering</t>
        </is>
      </c>
      <c r="O349" s="3" t="n">
        <v>570</v>
      </c>
      <c r="P349" s="9" t="inlineStr">
        <is>
          <t>NSMI24060101202</t>
        </is>
      </c>
      <c r="Q349" s="53">
        <f>MID(P349,5,2)</f>
        <v/>
      </c>
      <c r="R349" s="53">
        <f>MID(P349,7,2)</f>
        <v/>
      </c>
      <c r="S349" s="3" t="inlineStr">
        <is>
          <t>G2G</t>
        </is>
      </c>
      <c r="T349" s="3" t="inlineStr">
        <is>
          <t>P4</t>
        </is>
      </c>
      <c r="U349" s="3" t="inlineStr">
        <is>
          <t>P JB Cold Soldering</t>
        </is>
      </c>
      <c r="V349" s="3" t="inlineStr">
        <is>
          <t>Soldering</t>
        </is>
      </c>
      <c r="W349" s="3" t="inlineStr">
        <is>
          <t>Repair</t>
        </is>
      </c>
      <c r="X349" s="18" t="n">
        <v>46147</v>
      </c>
      <c r="Y349" s="73">
        <f>IF(X349="","",X349-A349)</f>
        <v/>
      </c>
      <c r="Z349" s="18" t="n">
        <v>46147</v>
      </c>
      <c r="AA349" s="15" t="n"/>
      <c r="AB349" s="15" t="n"/>
      <c r="AF349">
        <f>IF(AND($F349="Closed",$X349&gt;=DATE(2026,5,1),$X349&lt;=DATE(2026,5,31)),"Closed in May","Other")</f>
        <v/>
      </c>
    </row>
    <row r="350">
      <c r="A350" s="6" t="n">
        <v>46107</v>
      </c>
      <c r="B350" s="3" t="n">
        <v>2026</v>
      </c>
      <c r="C350" s="3" t="inlineStr">
        <is>
          <t>Blupine Energy</t>
        </is>
      </c>
      <c r="D350" s="3" t="inlineStr">
        <is>
          <t>Utility and C&amp;I</t>
        </is>
      </c>
      <c r="E350" s="3" t="n"/>
      <c r="F350" s="3" t="inlineStr">
        <is>
          <t>Closed</t>
        </is>
      </c>
      <c r="G350" s="3" t="inlineStr">
        <is>
          <t>Chandrashekar Patidar</t>
        </is>
      </c>
      <c r="H350" s="3" t="n">
        <v>7879764773</v>
      </c>
      <c r="I350" s="11" t="inlineStr">
        <is>
          <t>PE26032601</t>
        </is>
      </c>
      <c r="J350" s="3" t="inlineStr">
        <is>
          <t>Module Diode Failure</t>
        </is>
      </c>
      <c r="K350" s="3" t="inlineStr">
        <is>
          <t>Sadla</t>
        </is>
      </c>
      <c r="L350" s="3" t="inlineStr">
        <is>
          <t>Gujarat</t>
        </is>
      </c>
      <c r="M350" s="9" t="inlineStr">
        <is>
          <t>NS</t>
        </is>
      </c>
      <c r="N350" s="3" t="inlineStr">
        <is>
          <t>Cold Soldering</t>
        </is>
      </c>
      <c r="O350" s="3" t="n">
        <v>570</v>
      </c>
      <c r="P350" s="9" t="inlineStr">
        <is>
          <t>NSMI24060100596</t>
        </is>
      </c>
      <c r="Q350" s="53">
        <f>MID(P350,5,2)</f>
        <v/>
      </c>
      <c r="R350" s="53">
        <f>MID(P350,7,2)</f>
        <v/>
      </c>
      <c r="S350" s="3" t="inlineStr">
        <is>
          <t>G2G</t>
        </is>
      </c>
      <c r="T350" s="3" t="inlineStr">
        <is>
          <t>P4</t>
        </is>
      </c>
      <c r="U350" s="3" t="inlineStr">
        <is>
          <t>N JB Cold Soldering</t>
        </is>
      </c>
      <c r="V350" s="3" t="inlineStr">
        <is>
          <t>Soldering</t>
        </is>
      </c>
      <c r="W350" s="3" t="inlineStr">
        <is>
          <t>Repair</t>
        </is>
      </c>
      <c r="X350" s="18" t="n">
        <v>46147</v>
      </c>
      <c r="Y350" s="73">
        <f>IF(X350="","",X350-A350)</f>
        <v/>
      </c>
      <c r="Z350" s="18" t="n">
        <v>46147</v>
      </c>
      <c r="AA350" s="15" t="n"/>
      <c r="AB350" s="15" t="n"/>
      <c r="AF350">
        <f>IF(AND($F350="Closed",$X350&gt;=DATE(2026,5,1),$X350&lt;=DATE(2026,5,31)),"Closed in May","Other")</f>
        <v/>
      </c>
    </row>
    <row r="351">
      <c r="A351" s="6" t="n">
        <v>46107</v>
      </c>
      <c r="B351" s="3" t="n">
        <v>2026</v>
      </c>
      <c r="C351" s="3" t="inlineStr">
        <is>
          <t>Blupine Energy</t>
        </is>
      </c>
      <c r="D351" s="3" t="inlineStr">
        <is>
          <t>Utility and C&amp;I</t>
        </is>
      </c>
      <c r="E351" s="3" t="n"/>
      <c r="F351" s="3" t="inlineStr">
        <is>
          <t>Closed</t>
        </is>
      </c>
      <c r="G351" s="3" t="inlineStr">
        <is>
          <t>Chandrashekar Patidar</t>
        </is>
      </c>
      <c r="H351" s="3" t="n">
        <v>7879764773</v>
      </c>
      <c r="I351" s="11" t="inlineStr">
        <is>
          <t>PE26032601</t>
        </is>
      </c>
      <c r="J351" s="3" t="inlineStr">
        <is>
          <t>Module Diode Failure</t>
        </is>
      </c>
      <c r="K351" s="3" t="inlineStr">
        <is>
          <t>Sadla</t>
        </is>
      </c>
      <c r="L351" s="3" t="inlineStr">
        <is>
          <t>Gujarat</t>
        </is>
      </c>
      <c r="M351" s="9" t="inlineStr">
        <is>
          <t>NS</t>
        </is>
      </c>
      <c r="N351" s="3" t="inlineStr">
        <is>
          <t>Cold Soldering</t>
        </is>
      </c>
      <c r="O351" s="3" t="n">
        <v>570</v>
      </c>
      <c r="P351" s="9" t="inlineStr">
        <is>
          <t>NSMI24060100939</t>
        </is>
      </c>
      <c r="Q351" s="53">
        <f>MID(P351,5,2)</f>
        <v/>
      </c>
      <c r="R351" s="53">
        <f>MID(P351,7,2)</f>
        <v/>
      </c>
      <c r="S351" s="3" t="inlineStr">
        <is>
          <t>G2G</t>
        </is>
      </c>
      <c r="T351" s="3" t="inlineStr">
        <is>
          <t>P4</t>
        </is>
      </c>
      <c r="U351" s="3" t="inlineStr">
        <is>
          <t>N JB Cold Soldering</t>
        </is>
      </c>
      <c r="V351" s="3" t="inlineStr">
        <is>
          <t>Soldering</t>
        </is>
      </c>
      <c r="W351" s="3" t="inlineStr">
        <is>
          <t>Repair</t>
        </is>
      </c>
      <c r="X351" s="18" t="n">
        <v>46147</v>
      </c>
      <c r="Y351" s="73">
        <f>IF(X351="","",X351-A351)</f>
        <v/>
      </c>
      <c r="Z351" s="18" t="n">
        <v>46147</v>
      </c>
      <c r="AA351" s="15" t="n"/>
      <c r="AB351" s="15" t="n"/>
      <c r="AF351">
        <f>IF(AND($F351="Closed",$X351&gt;=DATE(2026,5,1),$X351&lt;=DATE(2026,5,31)),"Closed in May","Other")</f>
        <v/>
      </c>
    </row>
    <row r="352">
      <c r="A352" s="37" t="n">
        <v>46147</v>
      </c>
      <c r="B352" s="3" t="n">
        <v>2026</v>
      </c>
      <c r="C352" s="26" t="inlineStr">
        <is>
          <t>SILRES Energy Solutions Private Limited</t>
        </is>
      </c>
      <c r="D352" s="26" t="inlineStr">
        <is>
          <t>Channel Sales</t>
        </is>
      </c>
      <c r="E352" s="3" t="n"/>
      <c r="F352" s="3" t="inlineStr">
        <is>
          <t>Closed</t>
        </is>
      </c>
      <c r="G352" s="105" t="inlineStr">
        <is>
          <t>Bharath Gokul C</t>
        </is>
      </c>
      <c r="H352" s="39" t="n">
        <v>7845736732</v>
      </c>
      <c r="I352" s="38" t="inlineStr">
        <is>
          <t>PE5052601</t>
        </is>
      </c>
      <c r="J352" s="26" t="inlineStr">
        <is>
          <t>Burn Marks</t>
        </is>
      </c>
      <c r="K352" s="26" t="inlineStr">
        <is>
          <t>Chennai</t>
        </is>
      </c>
      <c r="L352" s="26" t="inlineStr">
        <is>
          <t>Tamil Nadu</t>
        </is>
      </c>
      <c r="M352" s="9" t="inlineStr">
        <is>
          <t>No Visit</t>
        </is>
      </c>
      <c r="N352" s="26" t="inlineStr">
        <is>
          <t>Tab lead Burn</t>
        </is>
      </c>
      <c r="O352" s="39" t="n">
        <v>540</v>
      </c>
      <c r="P352" s="8" t="inlineStr">
        <is>
          <t>NSMP24050485627</t>
        </is>
      </c>
      <c r="Q352" s="53">
        <f>MID(P352,5,2)</f>
        <v/>
      </c>
      <c r="R352" s="53">
        <f>MID(P352,7,2)</f>
        <v/>
      </c>
      <c r="S352" s="3" t="inlineStr">
        <is>
          <t>G2B</t>
        </is>
      </c>
      <c r="T352" s="3" t="inlineStr">
        <is>
          <t>P2</t>
        </is>
      </c>
      <c r="U352" s="26" t="inlineStr">
        <is>
          <t>Tab lead Burn</t>
        </is>
      </c>
      <c r="V352" s="3" t="inlineStr">
        <is>
          <t>CN</t>
        </is>
      </c>
      <c r="W352" s="3" t="inlineStr">
        <is>
          <t>Replacement</t>
        </is>
      </c>
      <c r="X352" s="18" t="n">
        <v>46156</v>
      </c>
      <c r="Y352" s="73">
        <f>IF(X352="","",X352-A352)</f>
        <v/>
      </c>
      <c r="Z352" s="18" t="inlineStr">
        <is>
          <t>No Visit</t>
        </is>
      </c>
      <c r="AA352" s="15" t="n"/>
      <c r="AB352" s="15" t="n"/>
      <c r="AF352">
        <f>IF(AND($F352="Closed",$X352&gt;=DATE(2026,5,1),$X352&lt;=DATE(2026,5,31)),"Closed in May","Other")</f>
        <v/>
      </c>
    </row>
    <row r="353">
      <c r="A353" s="40" t="n">
        <v>46071</v>
      </c>
      <c r="B353" s="3" t="n">
        <v>2026</v>
      </c>
      <c r="C353" s="26" t="inlineStr">
        <is>
          <t>True Sun Trading Company</t>
        </is>
      </c>
      <c r="D353" s="26" t="inlineStr">
        <is>
          <t>Channel Sales</t>
        </is>
      </c>
      <c r="E353" s="3" t="n"/>
      <c r="F353" s="3" t="inlineStr">
        <is>
          <t>Closed</t>
        </is>
      </c>
      <c r="G353" s="26" t="inlineStr">
        <is>
          <t>Sarath Ananda</t>
        </is>
      </c>
      <c r="H353" s="26" t="n">
        <v>8848944464</v>
      </c>
      <c r="I353" s="38" t="inlineStr">
        <is>
          <t>PE18022602</t>
        </is>
      </c>
      <c r="J353" s="26" t="inlineStr">
        <is>
          <t xml:space="preserve">Panel Blast </t>
        </is>
      </c>
      <c r="K353" s="26" t="inlineStr">
        <is>
          <t>Trivandram</t>
        </is>
      </c>
      <c r="L353" s="26" t="inlineStr">
        <is>
          <t>Kerala</t>
        </is>
      </c>
      <c r="M353" s="9" t="inlineStr">
        <is>
          <t>No Visit</t>
        </is>
      </c>
      <c r="N353" s="26" t="inlineStr">
        <is>
          <t>Tab lead Burn</t>
        </is>
      </c>
      <c r="O353" s="39" t="n">
        <v>540</v>
      </c>
      <c r="P353" s="9" t="inlineStr">
        <is>
          <t>NSMP2304026350</t>
        </is>
      </c>
      <c r="Q353" s="53">
        <f>MID(P353,5,2)</f>
        <v/>
      </c>
      <c r="R353" s="53">
        <f>MID(P353,7,2)</f>
        <v/>
      </c>
      <c r="S353" s="3" t="inlineStr">
        <is>
          <t>G2B</t>
        </is>
      </c>
      <c r="T353" s="3" t="inlineStr">
        <is>
          <t>P2</t>
        </is>
      </c>
      <c r="U353" s="26" t="inlineStr">
        <is>
          <t>Tab lead Burn</t>
        </is>
      </c>
      <c r="V353" s="3" t="inlineStr">
        <is>
          <t>CN</t>
        </is>
      </c>
      <c r="W353" s="3" t="inlineStr">
        <is>
          <t>Replacement</t>
        </is>
      </c>
      <c r="X353" s="18" t="n">
        <v>46147</v>
      </c>
      <c r="Y353" s="73">
        <f>IF(X353="","",X353-A353)</f>
        <v/>
      </c>
      <c r="Z353" s="18" t="inlineStr">
        <is>
          <t>No Visit</t>
        </is>
      </c>
      <c r="AA353" s="15" t="n"/>
      <c r="AB353" s="15" t="n"/>
      <c r="AF353">
        <f>IF(AND($F353="Closed",$X353&gt;=DATE(2026,5,1),$X353&lt;=DATE(2026,5,31)),"Closed in May","Other")</f>
        <v/>
      </c>
    </row>
    <row r="354">
      <c r="A354" s="40" t="n">
        <v>46073</v>
      </c>
      <c r="B354" s="3" t="n">
        <v>2026</v>
      </c>
      <c r="C354" s="26" t="inlineStr">
        <is>
          <t>True Sun Trading Company</t>
        </is>
      </c>
      <c r="D354" s="26" t="inlineStr">
        <is>
          <t>Channel Sales</t>
        </is>
      </c>
      <c r="E354" s="3" t="n"/>
      <c r="F354" s="3" t="inlineStr">
        <is>
          <t>Closed</t>
        </is>
      </c>
      <c r="G354" s="26" t="inlineStr">
        <is>
          <t>Joel Jacob</t>
        </is>
      </c>
      <c r="H354" s="26" t="n">
        <v>7902222180</v>
      </c>
      <c r="I354" s="38" t="inlineStr">
        <is>
          <t>PE20022602</t>
        </is>
      </c>
      <c r="J354" s="26" t="inlineStr">
        <is>
          <t xml:space="preserve">Panel Blast </t>
        </is>
      </c>
      <c r="K354" s="26" t="inlineStr">
        <is>
          <t>Thrissur</t>
        </is>
      </c>
      <c r="L354" s="26" t="inlineStr">
        <is>
          <t>Kerala</t>
        </is>
      </c>
      <c r="M354" s="9" t="inlineStr">
        <is>
          <t>No Visit</t>
        </is>
      </c>
      <c r="N354" s="26" t="inlineStr">
        <is>
          <t>Tab lead Burn</t>
        </is>
      </c>
      <c r="O354" s="39" t="n">
        <v>540</v>
      </c>
      <c r="P354" s="9" t="inlineStr">
        <is>
          <t>NSMP2309611339</t>
        </is>
      </c>
      <c r="Q354" s="53">
        <f>MID(P354,5,2)</f>
        <v/>
      </c>
      <c r="R354" s="53">
        <f>MID(P354,7,2)</f>
        <v/>
      </c>
      <c r="S354" s="3" t="inlineStr">
        <is>
          <t>G2TB</t>
        </is>
      </c>
      <c r="T354" s="3" t="inlineStr">
        <is>
          <t>P2</t>
        </is>
      </c>
      <c r="U354" s="26" t="inlineStr">
        <is>
          <t>Tab lead Burn</t>
        </is>
      </c>
      <c r="V354" s="3" t="inlineStr">
        <is>
          <t>CN</t>
        </is>
      </c>
      <c r="W354" s="3" t="inlineStr">
        <is>
          <t>Replacement</t>
        </is>
      </c>
      <c r="X354" s="18" t="n">
        <v>46147</v>
      </c>
      <c r="Y354" s="73">
        <f>IF(X354="","",X354-A354)</f>
        <v/>
      </c>
      <c r="Z354" s="18" t="inlineStr">
        <is>
          <t>No Visit</t>
        </is>
      </c>
      <c r="AA354" s="15" t="n"/>
      <c r="AB354" s="15" t="n"/>
      <c r="AF354">
        <f>IF(AND($F354="Closed",$X354&gt;=DATE(2026,5,1),$X354&lt;=DATE(2026,5,31)),"Closed in May","Other")</f>
        <v/>
      </c>
    </row>
    <row r="355">
      <c r="A355" s="37" t="n">
        <v>46136</v>
      </c>
      <c r="B355" s="3" t="n">
        <v>2026</v>
      </c>
      <c r="C355" s="26" t="inlineStr">
        <is>
          <t>True Sun Trading Company</t>
        </is>
      </c>
      <c r="D355" s="26" t="inlineStr">
        <is>
          <t>Channel Sales</t>
        </is>
      </c>
      <c r="E355" s="3" t="n"/>
      <c r="F355" s="3" t="inlineStr">
        <is>
          <t>Closed</t>
        </is>
      </c>
      <c r="G355" s="26" t="inlineStr">
        <is>
          <t>Joel Jacob</t>
        </is>
      </c>
      <c r="H355" s="26" t="n">
        <v>7902222180</v>
      </c>
      <c r="I355" s="38" t="inlineStr">
        <is>
          <t>PE24042601</t>
        </is>
      </c>
      <c r="J355" s="26" t="inlineStr">
        <is>
          <t>Snail Trail issue</t>
        </is>
      </c>
      <c r="K355" s="26" t="inlineStr">
        <is>
          <t>TRIVANDRAM</t>
        </is>
      </c>
      <c r="L355" s="26" t="inlineStr">
        <is>
          <t>Kerala</t>
        </is>
      </c>
      <c r="M355" s="9" t="inlineStr">
        <is>
          <t>No Visit</t>
        </is>
      </c>
      <c r="N355" s="42" t="inlineStr">
        <is>
          <t>Air entrapment during the lamination process</t>
        </is>
      </c>
      <c r="O355" s="39" t="n">
        <v>610</v>
      </c>
      <c r="P355" s="8" t="inlineStr">
        <is>
          <t>NSMG26031760548</t>
        </is>
      </c>
      <c r="Q355" s="53">
        <f>MID(P355,5,2)</f>
        <v/>
      </c>
      <c r="R355" s="53">
        <f>MID(P355,7,2)</f>
        <v/>
      </c>
      <c r="S355" s="3" t="inlineStr">
        <is>
          <t>G2G</t>
        </is>
      </c>
      <c r="T355" s="3" t="inlineStr">
        <is>
          <t>P2</t>
        </is>
      </c>
      <c r="U355" s="42" t="inlineStr">
        <is>
          <t>Air entrapment during the lamination process</t>
        </is>
      </c>
      <c r="V355" s="3" t="inlineStr">
        <is>
          <t>CN</t>
        </is>
      </c>
      <c r="W355" s="3" t="inlineStr">
        <is>
          <t>Replacement</t>
        </is>
      </c>
      <c r="X355" s="18" t="n">
        <v>46147</v>
      </c>
      <c r="Y355" s="73">
        <f>IF(X355="","",X355-A355)</f>
        <v/>
      </c>
      <c r="Z355" s="18" t="inlineStr">
        <is>
          <t>No Visit</t>
        </is>
      </c>
      <c r="AA355" s="15" t="n"/>
      <c r="AB355" s="15" t="n"/>
      <c r="AF355">
        <f>IF(AND($F355="Closed",$X355&gt;=DATE(2026,5,1),$X355&lt;=DATE(2026,5,31)),"Closed in May","Other")</f>
        <v/>
      </c>
    </row>
    <row r="356">
      <c r="A356" s="37" t="n">
        <v>46136</v>
      </c>
      <c r="B356" s="3" t="n">
        <v>2026</v>
      </c>
      <c r="C356" s="26" t="inlineStr">
        <is>
          <t>True Sun Trading Company</t>
        </is>
      </c>
      <c r="D356" s="26" t="inlineStr">
        <is>
          <t>Channel Sales</t>
        </is>
      </c>
      <c r="E356" s="3" t="n"/>
      <c r="F356" s="3" t="inlineStr">
        <is>
          <t>Closed</t>
        </is>
      </c>
      <c r="G356" s="26" t="inlineStr">
        <is>
          <t>Joel Jacob</t>
        </is>
      </c>
      <c r="H356" s="26" t="n">
        <v>7902222180</v>
      </c>
      <c r="I356" s="38" t="inlineStr">
        <is>
          <t>PE24042602</t>
        </is>
      </c>
      <c r="J356" s="26" t="inlineStr">
        <is>
          <t>Insect Inside and Busbar Rust</t>
        </is>
      </c>
      <c r="K356" s="26" t="inlineStr">
        <is>
          <t>TRIVANDRAM</t>
        </is>
      </c>
      <c r="L356" s="26" t="inlineStr">
        <is>
          <t>Kerala</t>
        </is>
      </c>
      <c r="M356" s="9" t="inlineStr">
        <is>
          <t>No Visit</t>
        </is>
      </c>
      <c r="N356" s="26" t="inlineStr">
        <is>
          <t>Aesthetic</t>
        </is>
      </c>
      <c r="O356" s="39" t="n">
        <v>540</v>
      </c>
      <c r="P356" s="8" t="inlineStr">
        <is>
          <t>NSMP26021346925</t>
        </is>
      </c>
      <c r="Q356" s="53">
        <f>MID(P356,5,2)</f>
        <v/>
      </c>
      <c r="R356" s="53">
        <f>MID(P356,7,2)</f>
        <v/>
      </c>
      <c r="S356" s="3" t="inlineStr">
        <is>
          <t>G2TB</t>
        </is>
      </c>
      <c r="T356" s="26" t="inlineStr">
        <is>
          <t>Prime Pack</t>
        </is>
      </c>
      <c r="U356" s="19" t="inlineStr">
        <is>
          <t>Aesthetic Issue</t>
        </is>
      </c>
      <c r="V356" s="3" t="inlineStr">
        <is>
          <t>CN</t>
        </is>
      </c>
      <c r="W356" s="3" t="inlineStr">
        <is>
          <t>Replacement</t>
        </is>
      </c>
      <c r="X356" s="18" t="n">
        <v>46147</v>
      </c>
      <c r="Y356" s="73">
        <f>IF(X356="","",X356-A356)</f>
        <v/>
      </c>
      <c r="Z356" s="18" t="inlineStr">
        <is>
          <t>No Visit</t>
        </is>
      </c>
      <c r="AA356" s="15" t="n"/>
      <c r="AB356" s="15" t="n"/>
      <c r="AF356">
        <f>IF(AND($F356="Closed",$X356&gt;=DATE(2026,5,1),$X356&lt;=DATE(2026,5,31)),"Closed in May","Other")</f>
        <v/>
      </c>
    </row>
    <row r="357">
      <c r="A357" s="40" t="n">
        <v>46079</v>
      </c>
      <c r="B357" s="3" t="n">
        <v>2026</v>
      </c>
      <c r="C357" s="26" t="inlineStr">
        <is>
          <t>Solar Square</t>
        </is>
      </c>
      <c r="D357" s="26" t="inlineStr">
        <is>
          <t>OEM</t>
        </is>
      </c>
      <c r="E357" s="3" t="n"/>
      <c r="F357" s="3" t="inlineStr">
        <is>
          <t>Closed</t>
        </is>
      </c>
      <c r="G357" s="39" t="inlineStr">
        <is>
          <t>Murali</t>
        </is>
      </c>
      <c r="H357" s="39" t="n">
        <v>9703345015</v>
      </c>
      <c r="I357" s="38" t="inlineStr">
        <is>
          <t>PE26022602</t>
        </is>
      </c>
      <c r="J357" s="26" t="inlineStr">
        <is>
          <t>JB improper fixing</t>
        </is>
      </c>
      <c r="K357" s="26" t="inlineStr">
        <is>
          <t>Indore</t>
        </is>
      </c>
      <c r="L357" s="26" t="inlineStr">
        <is>
          <t>MP</t>
        </is>
      </c>
      <c r="M357" s="25" t="inlineStr">
        <is>
          <t>JB moved</t>
        </is>
      </c>
      <c r="N357" s="26" t="inlineStr">
        <is>
          <t>JB Issue</t>
        </is>
      </c>
      <c r="O357" s="39" t="n">
        <v>540</v>
      </c>
      <c r="P357" s="25" t="inlineStr">
        <is>
          <t>NSMP25121229015</t>
        </is>
      </c>
      <c r="Q357" s="53">
        <f>MID(P357,5,2)</f>
        <v/>
      </c>
      <c r="R357" s="53">
        <f>MID(P357,7,2)</f>
        <v/>
      </c>
      <c r="S357" s="3" t="inlineStr">
        <is>
          <t>G2TB</t>
        </is>
      </c>
      <c r="T357" s="3" t="inlineStr">
        <is>
          <t>P2</t>
        </is>
      </c>
      <c r="U357" s="26" t="inlineStr">
        <is>
          <t>N JB Improper fixing</t>
        </is>
      </c>
      <c r="V357" s="3" t="inlineStr">
        <is>
          <t>JB Changed</t>
        </is>
      </c>
      <c r="W357" s="3" t="inlineStr">
        <is>
          <t>Repair</t>
        </is>
      </c>
      <c r="X357" s="18" t="n">
        <v>46148</v>
      </c>
      <c r="Y357" s="73">
        <f>IF(X357="","",X357-A357)</f>
        <v/>
      </c>
      <c r="Z357" s="18" t="n">
        <v>46148</v>
      </c>
      <c r="AA357" s="15" t="n"/>
      <c r="AB357" s="15" t="n"/>
      <c r="AF357">
        <f>IF(AND($F357="Closed",$X357&gt;=DATE(2026,5,1),$X357&lt;=DATE(2026,5,31)),"Closed in May","Other")</f>
        <v/>
      </c>
    </row>
    <row r="358">
      <c r="A358" s="40" t="n">
        <v>46079</v>
      </c>
      <c r="B358" s="3" t="n">
        <v>2026</v>
      </c>
      <c r="C358" s="26" t="inlineStr">
        <is>
          <t>Solar Square</t>
        </is>
      </c>
      <c r="D358" s="26" t="inlineStr">
        <is>
          <t>OEM</t>
        </is>
      </c>
      <c r="E358" s="3" t="n"/>
      <c r="F358" s="3" t="inlineStr">
        <is>
          <t>Closed</t>
        </is>
      </c>
      <c r="G358" s="39" t="inlineStr">
        <is>
          <t>Murali</t>
        </is>
      </c>
      <c r="H358" s="39" t="n">
        <v>9703345015</v>
      </c>
      <c r="I358" s="38" t="inlineStr">
        <is>
          <t>PE26022602</t>
        </is>
      </c>
      <c r="J358" s="26" t="inlineStr">
        <is>
          <t>JB improper fixing</t>
        </is>
      </c>
      <c r="K358" s="26" t="inlineStr">
        <is>
          <t>Indore</t>
        </is>
      </c>
      <c r="L358" s="26" t="inlineStr">
        <is>
          <t>MP</t>
        </is>
      </c>
      <c r="M358" s="25" t="inlineStr">
        <is>
          <t>JB moved</t>
        </is>
      </c>
      <c r="N358" s="26" t="inlineStr">
        <is>
          <t>JB Issue</t>
        </is>
      </c>
      <c r="O358" s="39" t="n">
        <v>540</v>
      </c>
      <c r="P358" s="25" t="inlineStr">
        <is>
          <t>NSMP25121241454</t>
        </is>
      </c>
      <c r="Q358" s="53">
        <f>MID(P358,5,2)</f>
        <v/>
      </c>
      <c r="R358" s="53">
        <f>MID(P358,7,2)</f>
        <v/>
      </c>
      <c r="S358" s="3" t="inlineStr">
        <is>
          <t>G2TB</t>
        </is>
      </c>
      <c r="T358" s="3" t="inlineStr">
        <is>
          <t>P2</t>
        </is>
      </c>
      <c r="U358" s="26" t="inlineStr">
        <is>
          <t>N JB Improper fixing</t>
        </is>
      </c>
      <c r="V358" s="3" t="inlineStr">
        <is>
          <t>JB Changed</t>
        </is>
      </c>
      <c r="W358" s="3" t="inlineStr">
        <is>
          <t>Repair</t>
        </is>
      </c>
      <c r="X358" s="18" t="n">
        <v>46148</v>
      </c>
      <c r="Y358" s="73">
        <f>IF(X358="","",X358-A358)</f>
        <v/>
      </c>
      <c r="Z358" s="18" t="n">
        <v>46148</v>
      </c>
      <c r="AA358" s="15" t="n"/>
      <c r="AB358" s="15" t="n"/>
      <c r="AF358">
        <f>IF(AND($F358="Closed",$X358&gt;=DATE(2026,5,1),$X358&lt;=DATE(2026,5,31)),"Closed in May","Other")</f>
        <v/>
      </c>
    </row>
    <row r="359">
      <c r="A359" s="6" t="n">
        <v>46107</v>
      </c>
      <c r="B359" s="3" t="n">
        <v>2026</v>
      </c>
      <c r="C359" s="3" t="inlineStr">
        <is>
          <t>Blupine Energy</t>
        </is>
      </c>
      <c r="D359" s="3" t="inlineStr">
        <is>
          <t>Utility and C&amp;I</t>
        </is>
      </c>
      <c r="E359" s="3" t="n"/>
      <c r="F359" s="3" t="inlineStr">
        <is>
          <t>Closed</t>
        </is>
      </c>
      <c r="G359" s="3" t="inlineStr">
        <is>
          <t>Chandrashekar Patidar</t>
        </is>
      </c>
      <c r="H359" s="3" t="n">
        <v>7879764773</v>
      </c>
      <c r="I359" s="11" t="inlineStr">
        <is>
          <t>PE26032601</t>
        </is>
      </c>
      <c r="J359" s="3" t="inlineStr">
        <is>
          <t>Module Diode Failure</t>
        </is>
      </c>
      <c r="K359" s="3" t="inlineStr">
        <is>
          <t>Sadla</t>
        </is>
      </c>
      <c r="L359" s="3" t="inlineStr">
        <is>
          <t>Gujarat</t>
        </is>
      </c>
      <c r="M359" s="9" t="inlineStr">
        <is>
          <t>NS</t>
        </is>
      </c>
      <c r="N359" s="3" t="inlineStr">
        <is>
          <t>Cold Soldering</t>
        </is>
      </c>
      <c r="O359" s="3" t="n">
        <v>570</v>
      </c>
      <c r="P359" s="9" t="inlineStr">
        <is>
          <t>NSMI24060138838</t>
        </is>
      </c>
      <c r="Q359" s="53">
        <f>MID(P359,5,2)</f>
        <v/>
      </c>
      <c r="R359" s="53">
        <f>MID(P359,7,2)</f>
        <v/>
      </c>
      <c r="S359" s="3" t="inlineStr">
        <is>
          <t>G2G</t>
        </is>
      </c>
      <c r="T359" s="3" t="inlineStr">
        <is>
          <t>P4</t>
        </is>
      </c>
      <c r="U359" s="3" t="inlineStr">
        <is>
          <t>N JB Cold Soldering</t>
        </is>
      </c>
      <c r="V359" s="3" t="inlineStr">
        <is>
          <t>Soldering</t>
        </is>
      </c>
      <c r="W359" s="3" t="inlineStr">
        <is>
          <t>Repair</t>
        </is>
      </c>
      <c r="X359" s="18" t="n">
        <v>46148</v>
      </c>
      <c r="Y359" s="73">
        <f>IF(X359="","",X359-A359)</f>
        <v/>
      </c>
      <c r="Z359" s="18" t="n">
        <v>46148</v>
      </c>
      <c r="AA359" s="15" t="n"/>
      <c r="AB359" s="15" t="n"/>
      <c r="AF359">
        <f>IF(AND($F359="Closed",$X359&gt;=DATE(2026,5,1),$X359&lt;=DATE(2026,5,31)),"Closed in May","Other")</f>
        <v/>
      </c>
    </row>
    <row r="360">
      <c r="A360" s="6" t="n">
        <v>46107</v>
      </c>
      <c r="B360" s="3" t="n">
        <v>2026</v>
      </c>
      <c r="C360" s="3" t="inlineStr">
        <is>
          <t>Blupine Energy</t>
        </is>
      </c>
      <c r="D360" s="3" t="inlineStr">
        <is>
          <t>Utility and C&amp;I</t>
        </is>
      </c>
      <c r="E360" s="3" t="n"/>
      <c r="F360" s="3" t="inlineStr">
        <is>
          <t>Closed</t>
        </is>
      </c>
      <c r="G360" s="3" t="inlineStr">
        <is>
          <t>Chandrashekar Patidar</t>
        </is>
      </c>
      <c r="H360" s="3" t="n">
        <v>7879764773</v>
      </c>
      <c r="I360" s="11" t="inlineStr">
        <is>
          <t>PE26032601</t>
        </is>
      </c>
      <c r="J360" s="3" t="inlineStr">
        <is>
          <t>Module Diode Failure</t>
        </is>
      </c>
      <c r="K360" s="3" t="inlineStr">
        <is>
          <t>Sadla</t>
        </is>
      </c>
      <c r="L360" s="3" t="inlineStr">
        <is>
          <t>Gujarat</t>
        </is>
      </c>
      <c r="M360" s="9" t="inlineStr">
        <is>
          <t>NS</t>
        </is>
      </c>
      <c r="N360" s="3" t="inlineStr">
        <is>
          <t>Cold Soldering</t>
        </is>
      </c>
      <c r="O360" s="3" t="n">
        <v>570</v>
      </c>
      <c r="P360" s="9" t="inlineStr">
        <is>
          <t>NSMI24060140347</t>
        </is>
      </c>
      <c r="Q360" s="53">
        <f>MID(P360,5,2)</f>
        <v/>
      </c>
      <c r="R360" s="53">
        <f>MID(P360,7,2)</f>
        <v/>
      </c>
      <c r="S360" s="3" t="inlineStr">
        <is>
          <t>G2G</t>
        </is>
      </c>
      <c r="T360" s="3" t="inlineStr">
        <is>
          <t>P4</t>
        </is>
      </c>
      <c r="U360" s="3" t="inlineStr">
        <is>
          <t>N JB Cold Soldering</t>
        </is>
      </c>
      <c r="V360" s="3" t="inlineStr">
        <is>
          <t>Soldering</t>
        </is>
      </c>
      <c r="W360" s="3" t="inlineStr">
        <is>
          <t>Repair</t>
        </is>
      </c>
      <c r="X360" s="18" t="n">
        <v>46148</v>
      </c>
      <c r="Y360" s="73">
        <f>IF(X360="","",X360-A360)</f>
        <v/>
      </c>
      <c r="Z360" s="18" t="n">
        <v>46148</v>
      </c>
      <c r="AA360" s="15" t="n"/>
      <c r="AB360" s="15" t="n"/>
      <c r="AF360">
        <f>IF(AND($F360="Closed",$X360&gt;=DATE(2026,5,1),$X360&lt;=DATE(2026,5,31)),"Closed in May","Other")</f>
        <v/>
      </c>
    </row>
    <row r="361">
      <c r="A361" s="6" t="n">
        <v>46107</v>
      </c>
      <c r="B361" s="3" t="n">
        <v>2026</v>
      </c>
      <c r="C361" s="3" t="inlineStr">
        <is>
          <t>Blupine Energy</t>
        </is>
      </c>
      <c r="D361" s="3" t="inlineStr">
        <is>
          <t>Utility and C&amp;I</t>
        </is>
      </c>
      <c r="E361" s="3" t="n"/>
      <c r="F361" s="3" t="inlineStr">
        <is>
          <t>Closed</t>
        </is>
      </c>
      <c r="G361" s="3" t="inlineStr">
        <is>
          <t>Chandrashekar Patidar</t>
        </is>
      </c>
      <c r="H361" s="3" t="n">
        <v>7879764773</v>
      </c>
      <c r="I361" s="11" t="inlineStr">
        <is>
          <t>PE26032601</t>
        </is>
      </c>
      <c r="J361" s="3" t="inlineStr">
        <is>
          <t>Module Diode Failure</t>
        </is>
      </c>
      <c r="K361" s="3" t="inlineStr">
        <is>
          <t>Sadla</t>
        </is>
      </c>
      <c r="L361" s="3" t="inlineStr">
        <is>
          <t>Gujarat</t>
        </is>
      </c>
      <c r="M361" s="9" t="inlineStr">
        <is>
          <t>NS</t>
        </is>
      </c>
      <c r="N361" s="3" t="inlineStr">
        <is>
          <t>Cold Soldering</t>
        </is>
      </c>
      <c r="O361" s="3" t="n">
        <v>570</v>
      </c>
      <c r="P361" s="9" t="inlineStr">
        <is>
          <t>NSMI24060140356</t>
        </is>
      </c>
      <c r="Q361" s="53">
        <f>MID(P361,5,2)</f>
        <v/>
      </c>
      <c r="R361" s="53">
        <f>MID(P361,7,2)</f>
        <v/>
      </c>
      <c r="S361" s="3" t="inlineStr">
        <is>
          <t>G2G</t>
        </is>
      </c>
      <c r="T361" s="3" t="inlineStr">
        <is>
          <t>P4</t>
        </is>
      </c>
      <c r="U361" s="3" t="inlineStr">
        <is>
          <t>N JB Cold Soldering</t>
        </is>
      </c>
      <c r="V361" s="3" t="inlineStr">
        <is>
          <t>Soldering</t>
        </is>
      </c>
      <c r="W361" s="3" t="inlineStr">
        <is>
          <t>Repair</t>
        </is>
      </c>
      <c r="X361" s="18" t="n">
        <v>46148</v>
      </c>
      <c r="Y361" s="73">
        <f>IF(X361="","",X361-A361)</f>
        <v/>
      </c>
      <c r="Z361" s="18" t="n">
        <v>46148</v>
      </c>
      <c r="AA361" s="15" t="n"/>
      <c r="AB361" s="15" t="n"/>
      <c r="AF361">
        <f>IF(AND($F361="Closed",$X361&gt;=DATE(2026,5,1),$X361&lt;=DATE(2026,5,31)),"Closed in May","Other")</f>
        <v/>
      </c>
    </row>
    <row r="362">
      <c r="A362" s="6" t="n">
        <v>46107</v>
      </c>
      <c r="B362" s="3" t="n">
        <v>2026</v>
      </c>
      <c r="C362" s="3" t="inlineStr">
        <is>
          <t>Blupine Energy</t>
        </is>
      </c>
      <c r="D362" s="3" t="inlineStr">
        <is>
          <t>Utility and C&amp;I</t>
        </is>
      </c>
      <c r="E362" s="3" t="n"/>
      <c r="F362" s="3" t="inlineStr">
        <is>
          <t>Closed</t>
        </is>
      </c>
      <c r="G362" s="3" t="inlineStr">
        <is>
          <t>Chandrashekar Patidar</t>
        </is>
      </c>
      <c r="H362" s="3" t="n">
        <v>7879764773</v>
      </c>
      <c r="I362" s="11" t="inlineStr">
        <is>
          <t>PE26032601</t>
        </is>
      </c>
      <c r="J362" s="3" t="inlineStr">
        <is>
          <t>Module Diode Failure</t>
        </is>
      </c>
      <c r="K362" s="3" t="inlineStr">
        <is>
          <t>Sadla</t>
        </is>
      </c>
      <c r="L362" s="3" t="inlineStr">
        <is>
          <t>Gujarat</t>
        </is>
      </c>
      <c r="M362" s="9" t="inlineStr">
        <is>
          <t>PS</t>
        </is>
      </c>
      <c r="N362" s="3" t="inlineStr">
        <is>
          <t>Cold Soldering</t>
        </is>
      </c>
      <c r="O362" s="3" t="n">
        <v>570</v>
      </c>
      <c r="P362" s="9" t="inlineStr">
        <is>
          <t>NSMI24060110003</t>
        </is>
      </c>
      <c r="Q362" s="53">
        <f>MID(P362,5,2)</f>
        <v/>
      </c>
      <c r="R362" s="53">
        <f>MID(P362,7,2)</f>
        <v/>
      </c>
      <c r="S362" s="3" t="inlineStr">
        <is>
          <t>G2G</t>
        </is>
      </c>
      <c r="T362" s="3" t="inlineStr">
        <is>
          <t>P4</t>
        </is>
      </c>
      <c r="U362" s="3" t="inlineStr">
        <is>
          <t>P JB Cold Soldering</t>
        </is>
      </c>
      <c r="V362" s="3" t="inlineStr">
        <is>
          <t>Soldering</t>
        </is>
      </c>
      <c r="W362" s="3" t="inlineStr">
        <is>
          <t>Repair</t>
        </is>
      </c>
      <c r="X362" s="18" t="n">
        <v>46148</v>
      </c>
      <c r="Y362" s="73">
        <f>IF(X362="","",X362-A362)</f>
        <v/>
      </c>
      <c r="Z362" s="18" t="n">
        <v>46148</v>
      </c>
      <c r="AA362" s="15" t="n"/>
      <c r="AB362" s="15" t="n"/>
      <c r="AF362">
        <f>IF(AND($F362="Closed",$X362&gt;=DATE(2026,5,1),$X362&lt;=DATE(2026,5,31)),"Closed in May","Other")</f>
        <v/>
      </c>
    </row>
    <row r="363">
      <c r="A363" s="6" t="n">
        <v>46107</v>
      </c>
      <c r="B363" s="3" t="n">
        <v>2026</v>
      </c>
      <c r="C363" s="3" t="inlineStr">
        <is>
          <t>Blupine Energy</t>
        </is>
      </c>
      <c r="D363" s="3" t="inlineStr">
        <is>
          <t>Utility and C&amp;I</t>
        </is>
      </c>
      <c r="E363" s="3" t="n"/>
      <c r="F363" s="3" t="inlineStr">
        <is>
          <t>Closed</t>
        </is>
      </c>
      <c r="G363" s="3" t="inlineStr">
        <is>
          <t>Chandrashekar Patidar</t>
        </is>
      </c>
      <c r="H363" s="3" t="n">
        <v>7879764773</v>
      </c>
      <c r="I363" s="11" t="inlineStr">
        <is>
          <t>PE26032601</t>
        </is>
      </c>
      <c r="J363" s="3" t="inlineStr">
        <is>
          <t>Module Diode Failure</t>
        </is>
      </c>
      <c r="K363" s="3" t="inlineStr">
        <is>
          <t>Sadla</t>
        </is>
      </c>
      <c r="L363" s="3" t="inlineStr">
        <is>
          <t>Gujarat</t>
        </is>
      </c>
      <c r="M363" s="9" t="inlineStr">
        <is>
          <t>PS</t>
        </is>
      </c>
      <c r="N363" s="3" t="inlineStr">
        <is>
          <t>Cold Soldering</t>
        </is>
      </c>
      <c r="O363" s="3" t="n">
        <v>570</v>
      </c>
      <c r="P363" s="9" t="inlineStr">
        <is>
          <t>NSMI24060107546</t>
        </is>
      </c>
      <c r="Q363" s="53">
        <f>MID(P363,5,2)</f>
        <v/>
      </c>
      <c r="R363" s="53">
        <f>MID(P363,7,2)</f>
        <v/>
      </c>
      <c r="S363" s="3" t="inlineStr">
        <is>
          <t>G2G</t>
        </is>
      </c>
      <c r="T363" s="3" t="inlineStr">
        <is>
          <t>P4</t>
        </is>
      </c>
      <c r="U363" s="3" t="inlineStr">
        <is>
          <t>P JB Cold Soldering</t>
        </is>
      </c>
      <c r="V363" s="3" t="inlineStr">
        <is>
          <t>Soldering</t>
        </is>
      </c>
      <c r="W363" s="3" t="inlineStr">
        <is>
          <t>Repair</t>
        </is>
      </c>
      <c r="X363" s="18" t="n">
        <v>46148</v>
      </c>
      <c r="Y363" s="73">
        <f>IF(X363="","",X363-A363)</f>
        <v/>
      </c>
      <c r="Z363" s="18" t="n">
        <v>46148</v>
      </c>
      <c r="AA363" s="15" t="n"/>
      <c r="AB363" s="15" t="n"/>
      <c r="AF363">
        <f>IF(AND($F363="Closed",$X363&gt;=DATE(2026,5,1),$X363&lt;=DATE(2026,5,31)),"Closed in May","Other")</f>
        <v/>
      </c>
    </row>
    <row r="364">
      <c r="A364" s="6" t="n">
        <v>46107</v>
      </c>
      <c r="B364" s="3" t="n">
        <v>2026</v>
      </c>
      <c r="C364" s="3" t="inlineStr">
        <is>
          <t>Blupine Energy</t>
        </is>
      </c>
      <c r="D364" s="3" t="inlineStr">
        <is>
          <t>Utility and C&amp;I</t>
        </is>
      </c>
      <c r="E364" s="3" t="n"/>
      <c r="F364" s="3" t="inlineStr">
        <is>
          <t>Closed</t>
        </is>
      </c>
      <c r="G364" s="3" t="inlineStr">
        <is>
          <t>Chandrashekar Patidar</t>
        </is>
      </c>
      <c r="H364" s="3" t="n">
        <v>7879764773</v>
      </c>
      <c r="I364" s="11" t="inlineStr">
        <is>
          <t>PE26032601</t>
        </is>
      </c>
      <c r="J364" s="3" t="inlineStr">
        <is>
          <t>Module Diode Failure</t>
        </is>
      </c>
      <c r="K364" s="3" t="inlineStr">
        <is>
          <t>Sadla</t>
        </is>
      </c>
      <c r="L364" s="3" t="inlineStr">
        <is>
          <t>Gujarat</t>
        </is>
      </c>
      <c r="M364" s="9" t="inlineStr">
        <is>
          <t>NS</t>
        </is>
      </c>
      <c r="N364" s="3" t="inlineStr">
        <is>
          <t>Cold Soldering</t>
        </is>
      </c>
      <c r="O364" s="3" t="n">
        <v>570</v>
      </c>
      <c r="P364" s="9" t="inlineStr">
        <is>
          <t>NSMI24060119236</t>
        </is>
      </c>
      <c r="Q364" s="53">
        <f>MID(P364,5,2)</f>
        <v/>
      </c>
      <c r="R364" s="53">
        <f>MID(P364,7,2)</f>
        <v/>
      </c>
      <c r="S364" s="3" t="inlineStr">
        <is>
          <t>G2G</t>
        </is>
      </c>
      <c r="T364" s="3" t="inlineStr">
        <is>
          <t>P4</t>
        </is>
      </c>
      <c r="U364" s="3" t="inlineStr">
        <is>
          <t>N JB Cold Soldering</t>
        </is>
      </c>
      <c r="V364" s="3" t="inlineStr">
        <is>
          <t>Soldering</t>
        </is>
      </c>
      <c r="W364" s="3" t="inlineStr">
        <is>
          <t>Repair</t>
        </is>
      </c>
      <c r="X364" s="18" t="n">
        <v>46148</v>
      </c>
      <c r="Y364" s="73">
        <f>IF(X364="","",X364-A364)</f>
        <v/>
      </c>
      <c r="Z364" s="18" t="n">
        <v>46148</v>
      </c>
      <c r="AA364" s="15" t="n"/>
      <c r="AB364" s="15" t="n"/>
      <c r="AF364">
        <f>IF(AND($F364="Closed",$X364&gt;=DATE(2026,5,1),$X364&lt;=DATE(2026,5,31)),"Closed in May","Other")</f>
        <v/>
      </c>
    </row>
    <row r="365">
      <c r="A365" s="6" t="n">
        <v>46107</v>
      </c>
      <c r="B365" s="3" t="n">
        <v>2026</v>
      </c>
      <c r="C365" s="3" t="inlineStr">
        <is>
          <t>Blupine Energy</t>
        </is>
      </c>
      <c r="D365" s="3" t="inlineStr">
        <is>
          <t>Utility and C&amp;I</t>
        </is>
      </c>
      <c r="E365" s="3" t="n"/>
      <c r="F365" s="3" t="inlineStr">
        <is>
          <t>Closed</t>
        </is>
      </c>
      <c r="G365" s="3" t="inlineStr">
        <is>
          <t>Chandrashekar Patidar</t>
        </is>
      </c>
      <c r="H365" s="3" t="n">
        <v>7879764773</v>
      </c>
      <c r="I365" s="11" t="inlineStr">
        <is>
          <t>PE26032601</t>
        </is>
      </c>
      <c r="J365" s="3" t="inlineStr">
        <is>
          <t>Module Diode Failure</t>
        </is>
      </c>
      <c r="K365" s="3" t="inlineStr">
        <is>
          <t>Sadla</t>
        </is>
      </c>
      <c r="L365" s="3" t="inlineStr">
        <is>
          <t>Gujarat</t>
        </is>
      </c>
      <c r="M365" s="9" t="inlineStr">
        <is>
          <t>PS</t>
        </is>
      </c>
      <c r="N365" s="3" t="inlineStr">
        <is>
          <t>Cold Soldering</t>
        </is>
      </c>
      <c r="O365" s="3" t="n">
        <v>570</v>
      </c>
      <c r="P365" s="9" t="inlineStr">
        <is>
          <t>NSMI24060119392</t>
        </is>
      </c>
      <c r="Q365" s="53">
        <f>MID(P365,5,2)</f>
        <v/>
      </c>
      <c r="R365" s="53">
        <f>MID(P365,7,2)</f>
        <v/>
      </c>
      <c r="S365" s="3" t="inlineStr">
        <is>
          <t>G2G</t>
        </is>
      </c>
      <c r="T365" s="3" t="inlineStr">
        <is>
          <t>P4</t>
        </is>
      </c>
      <c r="U365" s="3" t="inlineStr">
        <is>
          <t>P JB Cold Soldering</t>
        </is>
      </c>
      <c r="V365" s="3" t="inlineStr">
        <is>
          <t>Soldering</t>
        </is>
      </c>
      <c r="W365" s="3" t="inlineStr">
        <is>
          <t>Repair</t>
        </is>
      </c>
      <c r="X365" s="18" t="n">
        <v>46148</v>
      </c>
      <c r="Y365" s="73">
        <f>IF(X365="","",X365-A365)</f>
        <v/>
      </c>
      <c r="Z365" s="18" t="n">
        <v>46148</v>
      </c>
      <c r="AA365" s="15" t="n"/>
      <c r="AB365" s="15" t="n"/>
      <c r="AF365">
        <f>IF(AND($F365="Closed",$X365&gt;=DATE(2026,5,1),$X365&lt;=DATE(2026,5,31)),"Closed in May","Other")</f>
        <v/>
      </c>
    </row>
    <row r="366">
      <c r="A366" s="6" t="n">
        <v>46107</v>
      </c>
      <c r="B366" s="3" t="n">
        <v>2026</v>
      </c>
      <c r="C366" s="3" t="inlineStr">
        <is>
          <t>Blupine Energy</t>
        </is>
      </c>
      <c r="D366" s="3" t="inlineStr">
        <is>
          <t>Utility and C&amp;I</t>
        </is>
      </c>
      <c r="E366" s="3" t="n"/>
      <c r="F366" s="3" t="inlineStr">
        <is>
          <t>Closed</t>
        </is>
      </c>
      <c r="G366" s="3" t="inlineStr">
        <is>
          <t>Chandrashekar Patidar</t>
        </is>
      </c>
      <c r="H366" s="3" t="n">
        <v>7879764773</v>
      </c>
      <c r="I366" s="11" t="inlineStr">
        <is>
          <t>PE26032601</t>
        </is>
      </c>
      <c r="J366" s="3" t="inlineStr">
        <is>
          <t>Module Diode Failure</t>
        </is>
      </c>
      <c r="K366" s="3" t="inlineStr">
        <is>
          <t>Sadla</t>
        </is>
      </c>
      <c r="L366" s="3" t="inlineStr">
        <is>
          <t>Gujarat</t>
        </is>
      </c>
      <c r="M366" s="9" t="inlineStr">
        <is>
          <t>NS</t>
        </is>
      </c>
      <c r="N366" s="3" t="inlineStr">
        <is>
          <t>Cold Soldering</t>
        </is>
      </c>
      <c r="O366" s="3" t="n">
        <v>570</v>
      </c>
      <c r="P366" s="9" t="inlineStr">
        <is>
          <t>NSMI24060133949</t>
        </is>
      </c>
      <c r="Q366" s="53">
        <f>MID(P366,5,2)</f>
        <v/>
      </c>
      <c r="R366" s="53">
        <f>MID(P366,7,2)</f>
        <v/>
      </c>
      <c r="S366" s="3" t="inlineStr">
        <is>
          <t>G2G</t>
        </is>
      </c>
      <c r="T366" s="3" t="inlineStr">
        <is>
          <t>P4</t>
        </is>
      </c>
      <c r="U366" s="3" t="inlineStr">
        <is>
          <t>N JB Cold Soldering</t>
        </is>
      </c>
      <c r="V366" s="3" t="inlineStr">
        <is>
          <t>Soldering</t>
        </is>
      </c>
      <c r="W366" s="3" t="inlineStr">
        <is>
          <t>Repair</t>
        </is>
      </c>
      <c r="X366" s="18" t="n">
        <v>46148</v>
      </c>
      <c r="Y366" s="73">
        <f>IF(X366="","",X366-A366)</f>
        <v/>
      </c>
      <c r="Z366" s="18" t="n">
        <v>46148</v>
      </c>
      <c r="AA366" s="15" t="n"/>
      <c r="AB366" s="15" t="n"/>
      <c r="AF366">
        <f>IF(AND($F366="Closed",$X366&gt;=DATE(2026,5,1),$X366&lt;=DATE(2026,5,31)),"Closed in May","Other")</f>
        <v/>
      </c>
    </row>
    <row r="367">
      <c r="A367" s="6" t="n">
        <v>46107</v>
      </c>
      <c r="B367" s="3" t="n">
        <v>2026</v>
      </c>
      <c r="C367" s="3" t="inlineStr">
        <is>
          <t>Blupine Energy</t>
        </is>
      </c>
      <c r="D367" s="3" t="inlineStr">
        <is>
          <t>Utility and C&amp;I</t>
        </is>
      </c>
      <c r="E367" s="3" t="n"/>
      <c r="F367" s="3" t="inlineStr">
        <is>
          <t>Closed</t>
        </is>
      </c>
      <c r="G367" s="3" t="inlineStr">
        <is>
          <t>Chandrashekar Patidar</t>
        </is>
      </c>
      <c r="H367" s="3" t="n">
        <v>7879764773</v>
      </c>
      <c r="I367" s="11" t="inlineStr">
        <is>
          <t>PE26032601</t>
        </is>
      </c>
      <c r="J367" s="3" t="inlineStr">
        <is>
          <t>Module Diode Failure</t>
        </is>
      </c>
      <c r="K367" s="3" t="inlineStr">
        <is>
          <t>Sadla</t>
        </is>
      </c>
      <c r="L367" s="3" t="inlineStr">
        <is>
          <t>Gujarat</t>
        </is>
      </c>
      <c r="M367" s="9" t="inlineStr">
        <is>
          <t>NR</t>
        </is>
      </c>
      <c r="N367" s="3" t="inlineStr">
        <is>
          <t>JB Issue</t>
        </is>
      </c>
      <c r="O367" s="3" t="n">
        <v>570</v>
      </c>
      <c r="P367" s="9" t="inlineStr">
        <is>
          <t>NSMI24060133922</t>
        </is>
      </c>
      <c r="Q367" s="53">
        <f>MID(P367,5,2)</f>
        <v/>
      </c>
      <c r="R367" s="53">
        <f>MID(P367,7,2)</f>
        <v/>
      </c>
      <c r="S367" s="3" t="inlineStr">
        <is>
          <t>G2G</t>
        </is>
      </c>
      <c r="T367" s="3" t="inlineStr">
        <is>
          <t>P4</t>
        </is>
      </c>
      <c r="U367" s="3" t="inlineStr">
        <is>
          <t>N JB Issue</t>
        </is>
      </c>
      <c r="V367" s="3" t="inlineStr">
        <is>
          <t>JB Changed</t>
        </is>
      </c>
      <c r="W367" s="3" t="inlineStr">
        <is>
          <t>Repair</t>
        </is>
      </c>
      <c r="X367" s="18" t="n">
        <v>46148</v>
      </c>
      <c r="Y367" s="73">
        <f>IF(X367="","",X367-A367)</f>
        <v/>
      </c>
      <c r="Z367" s="18" t="n">
        <v>46148</v>
      </c>
      <c r="AA367" s="15" t="n"/>
      <c r="AB367" s="15" t="n"/>
      <c r="AF367">
        <f>IF(AND($F367="Closed",$X367&gt;=DATE(2026,5,1),$X367&lt;=DATE(2026,5,31)),"Closed in May","Other")</f>
        <v/>
      </c>
    </row>
    <row r="368">
      <c r="A368" s="6" t="n">
        <v>46107</v>
      </c>
      <c r="B368" s="3" t="n">
        <v>2026</v>
      </c>
      <c r="C368" s="3" t="inlineStr">
        <is>
          <t>Blupine Energy</t>
        </is>
      </c>
      <c r="D368" s="3" t="inlineStr">
        <is>
          <t>Utility and C&amp;I</t>
        </is>
      </c>
      <c r="E368" s="3" t="n"/>
      <c r="F368" s="3" t="inlineStr">
        <is>
          <t>Closed</t>
        </is>
      </c>
      <c r="G368" s="3" t="inlineStr">
        <is>
          <t>Chandrashekar Patidar</t>
        </is>
      </c>
      <c r="H368" s="3" t="n">
        <v>7879764773</v>
      </c>
      <c r="I368" s="11" t="inlineStr">
        <is>
          <t>PE26032601</t>
        </is>
      </c>
      <c r="J368" s="3" t="inlineStr">
        <is>
          <t>Module Diode Failure</t>
        </is>
      </c>
      <c r="K368" s="3" t="inlineStr">
        <is>
          <t>Sadla</t>
        </is>
      </c>
      <c r="L368" s="3" t="inlineStr">
        <is>
          <t>Gujarat</t>
        </is>
      </c>
      <c r="M368" s="9" t="inlineStr">
        <is>
          <t>NS</t>
        </is>
      </c>
      <c r="N368" s="3" t="inlineStr">
        <is>
          <t>Cold Soldering</t>
        </is>
      </c>
      <c r="O368" s="3" t="n">
        <v>570</v>
      </c>
      <c r="P368" s="9" t="inlineStr">
        <is>
          <t>NSMI24060100846</t>
        </is>
      </c>
      <c r="Q368" s="53">
        <f>MID(P368,5,2)</f>
        <v/>
      </c>
      <c r="R368" s="53">
        <f>MID(P368,7,2)</f>
        <v/>
      </c>
      <c r="S368" s="3" t="inlineStr">
        <is>
          <t>G2G</t>
        </is>
      </c>
      <c r="T368" s="3" t="inlineStr">
        <is>
          <t>P4</t>
        </is>
      </c>
      <c r="U368" s="3" t="inlineStr">
        <is>
          <t>N JB Cold Soldering</t>
        </is>
      </c>
      <c r="V368" s="3" t="inlineStr">
        <is>
          <t>Soldering</t>
        </is>
      </c>
      <c r="W368" s="3" t="inlineStr">
        <is>
          <t>Repair</t>
        </is>
      </c>
      <c r="X368" s="18" t="n">
        <v>46148</v>
      </c>
      <c r="Y368" s="73">
        <f>IF(X368="","",X368-A368)</f>
        <v/>
      </c>
      <c r="Z368" s="18" t="n">
        <v>46148</v>
      </c>
      <c r="AA368" s="15" t="n"/>
      <c r="AB368" s="15" t="n"/>
      <c r="AF368">
        <f>IF(AND($F368="Closed",$X368&gt;=DATE(2026,5,1),$X368&lt;=DATE(2026,5,31)),"Closed in May","Other")</f>
        <v/>
      </c>
    </row>
    <row r="369">
      <c r="A369" s="6" t="n">
        <v>46107</v>
      </c>
      <c r="B369" s="3" t="n">
        <v>2026</v>
      </c>
      <c r="C369" s="3" t="inlineStr">
        <is>
          <t>Blupine Energy</t>
        </is>
      </c>
      <c r="D369" s="3" t="inlineStr">
        <is>
          <t>Utility and C&amp;I</t>
        </is>
      </c>
      <c r="E369" s="3" t="n"/>
      <c r="F369" s="3" t="inlineStr">
        <is>
          <t>Closed</t>
        </is>
      </c>
      <c r="G369" s="3" t="inlineStr">
        <is>
          <t>Chandrashekar Patidar</t>
        </is>
      </c>
      <c r="H369" s="3" t="n">
        <v>7879764773</v>
      </c>
      <c r="I369" s="11" t="inlineStr">
        <is>
          <t>PE26032601</t>
        </is>
      </c>
      <c r="J369" s="3" t="inlineStr">
        <is>
          <t>Module Diode Failure</t>
        </is>
      </c>
      <c r="K369" s="3" t="inlineStr">
        <is>
          <t>Sadla</t>
        </is>
      </c>
      <c r="L369" s="3" t="inlineStr">
        <is>
          <t>Gujarat</t>
        </is>
      </c>
      <c r="M369" s="9" t="inlineStr">
        <is>
          <t>NS</t>
        </is>
      </c>
      <c r="N369" s="3" t="inlineStr">
        <is>
          <t>Cold Soldering</t>
        </is>
      </c>
      <c r="O369" s="3" t="n">
        <v>570</v>
      </c>
      <c r="P369" s="9" t="inlineStr">
        <is>
          <t>NSMI24060100636</t>
        </is>
      </c>
      <c r="Q369" s="53">
        <f>MID(P369,5,2)</f>
        <v/>
      </c>
      <c r="R369" s="53">
        <f>MID(P369,7,2)</f>
        <v/>
      </c>
      <c r="S369" s="3" t="inlineStr">
        <is>
          <t>G2G</t>
        </is>
      </c>
      <c r="T369" s="3" t="inlineStr">
        <is>
          <t>P4</t>
        </is>
      </c>
      <c r="U369" s="3" t="inlineStr">
        <is>
          <t>N JB Cold Soldering</t>
        </is>
      </c>
      <c r="V369" s="3" t="inlineStr">
        <is>
          <t>Soldering</t>
        </is>
      </c>
      <c r="W369" s="3" t="inlineStr">
        <is>
          <t>Repair</t>
        </is>
      </c>
      <c r="X369" s="18" t="n">
        <v>46148</v>
      </c>
      <c r="Y369" s="73">
        <f>IF(X369="","",X369-A369)</f>
        <v/>
      </c>
      <c r="Z369" s="18" t="n">
        <v>46148</v>
      </c>
      <c r="AA369" s="15" t="n"/>
      <c r="AB369" s="15" t="n"/>
      <c r="AF369">
        <f>IF(AND($F369="Closed",$X369&gt;=DATE(2026,5,1),$X369&lt;=DATE(2026,5,31)),"Closed in May","Other")</f>
        <v/>
      </c>
    </row>
    <row r="370">
      <c r="A370" s="6" t="n">
        <v>46107</v>
      </c>
      <c r="B370" s="3" t="n">
        <v>2026</v>
      </c>
      <c r="C370" s="3" t="inlineStr">
        <is>
          <t>Blupine Energy</t>
        </is>
      </c>
      <c r="D370" s="3" t="inlineStr">
        <is>
          <t>Utility and C&amp;I</t>
        </is>
      </c>
      <c r="E370" s="3" t="n"/>
      <c r="F370" s="3" t="inlineStr">
        <is>
          <t>Closed</t>
        </is>
      </c>
      <c r="G370" s="3" t="inlineStr">
        <is>
          <t>Chandrashekar Patidar</t>
        </is>
      </c>
      <c r="H370" s="3" t="n">
        <v>7879764773</v>
      </c>
      <c r="I370" s="11" t="inlineStr">
        <is>
          <t>PE26032601</t>
        </is>
      </c>
      <c r="J370" s="3" t="inlineStr">
        <is>
          <t>Module Diode Failure</t>
        </is>
      </c>
      <c r="K370" s="3" t="inlineStr">
        <is>
          <t>Sadla</t>
        </is>
      </c>
      <c r="L370" s="3" t="inlineStr">
        <is>
          <t>Gujarat</t>
        </is>
      </c>
      <c r="M370" s="9" t="inlineStr">
        <is>
          <t>PS</t>
        </is>
      </c>
      <c r="N370" s="3" t="inlineStr">
        <is>
          <t>Cold Soldering</t>
        </is>
      </c>
      <c r="O370" s="3" t="n">
        <v>570</v>
      </c>
      <c r="P370" s="9" t="inlineStr">
        <is>
          <t>NSMI24050048760</t>
        </is>
      </c>
      <c r="Q370" s="53">
        <f>MID(P370,5,2)</f>
        <v/>
      </c>
      <c r="R370" s="53">
        <f>MID(P370,7,2)</f>
        <v/>
      </c>
      <c r="S370" s="3" t="inlineStr">
        <is>
          <t>G2G</t>
        </is>
      </c>
      <c r="T370" s="3" t="inlineStr">
        <is>
          <t>P4</t>
        </is>
      </c>
      <c r="U370" s="3" t="inlineStr">
        <is>
          <t>P JB Cold Soldering</t>
        </is>
      </c>
      <c r="V370" s="3" t="inlineStr">
        <is>
          <t>Soldering</t>
        </is>
      </c>
      <c r="W370" s="3" t="inlineStr">
        <is>
          <t>Repair</t>
        </is>
      </c>
      <c r="X370" s="18" t="n">
        <v>46148</v>
      </c>
      <c r="Y370" s="73">
        <f>IF(X370="","",X370-A370)</f>
        <v/>
      </c>
      <c r="Z370" s="18" t="n">
        <v>46148</v>
      </c>
      <c r="AA370" s="15" t="n"/>
      <c r="AB370" s="15" t="n"/>
      <c r="AF370">
        <f>IF(AND($F370="Closed",$X370&gt;=DATE(2026,5,1),$X370&lt;=DATE(2026,5,31)),"Closed in May","Other")</f>
        <v/>
      </c>
    </row>
    <row r="371">
      <c r="A371" s="6" t="n">
        <v>46107</v>
      </c>
      <c r="B371" s="3" t="n">
        <v>2026</v>
      </c>
      <c r="C371" s="3" t="inlineStr">
        <is>
          <t>Blupine Energy</t>
        </is>
      </c>
      <c r="D371" s="3" t="inlineStr">
        <is>
          <t>Utility and C&amp;I</t>
        </is>
      </c>
      <c r="E371" s="3" t="n"/>
      <c r="F371" s="3" t="inlineStr">
        <is>
          <t>Closed</t>
        </is>
      </c>
      <c r="G371" s="3" t="inlineStr">
        <is>
          <t>Chandrashekar Patidar</t>
        </is>
      </c>
      <c r="H371" s="3" t="n">
        <v>7879764773</v>
      </c>
      <c r="I371" s="11" t="inlineStr">
        <is>
          <t>PE26032601</t>
        </is>
      </c>
      <c r="J371" s="3" t="inlineStr">
        <is>
          <t>Module Diode Failure</t>
        </is>
      </c>
      <c r="K371" s="3" t="inlineStr">
        <is>
          <t>Sadla</t>
        </is>
      </c>
      <c r="L371" s="3" t="inlineStr">
        <is>
          <t>Gujarat</t>
        </is>
      </c>
      <c r="M371" s="9" t="inlineStr">
        <is>
          <t>NS</t>
        </is>
      </c>
      <c r="N371" s="3" t="inlineStr">
        <is>
          <t>Cold Soldering</t>
        </is>
      </c>
      <c r="O371" s="3" t="n">
        <v>570</v>
      </c>
      <c r="P371" s="9" t="inlineStr">
        <is>
          <t>NSMI24060138433</t>
        </is>
      </c>
      <c r="Q371" s="53">
        <f>MID(P371,5,2)</f>
        <v/>
      </c>
      <c r="R371" s="53">
        <f>MID(P371,7,2)</f>
        <v/>
      </c>
      <c r="S371" s="3" t="inlineStr">
        <is>
          <t>G2G</t>
        </is>
      </c>
      <c r="T371" s="3" t="inlineStr">
        <is>
          <t>P4</t>
        </is>
      </c>
      <c r="U371" s="3" t="inlineStr">
        <is>
          <t>N JB Cold Soldering</t>
        </is>
      </c>
      <c r="V371" s="3" t="inlineStr">
        <is>
          <t>Soldering</t>
        </is>
      </c>
      <c r="W371" s="3" t="inlineStr">
        <is>
          <t>Repair</t>
        </is>
      </c>
      <c r="X371" s="18" t="n">
        <v>46148</v>
      </c>
      <c r="Y371" s="73">
        <f>IF(X371="","",X371-A371)</f>
        <v/>
      </c>
      <c r="Z371" s="18" t="n">
        <v>46148</v>
      </c>
      <c r="AA371" s="15" t="n"/>
      <c r="AB371" s="15" t="n"/>
      <c r="AF371">
        <f>IF(AND($F371="Closed",$X371&gt;=DATE(2026,5,1),$X371&lt;=DATE(2026,5,31)),"Closed in May","Other")</f>
        <v/>
      </c>
    </row>
    <row r="372">
      <c r="A372" s="6" t="n">
        <v>46107</v>
      </c>
      <c r="B372" s="3" t="n">
        <v>2026</v>
      </c>
      <c r="C372" s="3" t="inlineStr">
        <is>
          <t>Blupine Energy</t>
        </is>
      </c>
      <c r="D372" s="3" t="inlineStr">
        <is>
          <t>Utility and C&amp;I</t>
        </is>
      </c>
      <c r="E372" s="3" t="n"/>
      <c r="F372" s="3" t="inlineStr">
        <is>
          <t>Closed</t>
        </is>
      </c>
      <c r="G372" s="3" t="inlineStr">
        <is>
          <t>Chandrashekar Patidar</t>
        </is>
      </c>
      <c r="H372" s="3" t="n">
        <v>7879764773</v>
      </c>
      <c r="I372" s="11" t="inlineStr">
        <is>
          <t>PE26032601</t>
        </is>
      </c>
      <c r="J372" s="3" t="inlineStr">
        <is>
          <t>Module Diode Failure</t>
        </is>
      </c>
      <c r="K372" s="3" t="inlineStr">
        <is>
          <t>Sadla</t>
        </is>
      </c>
      <c r="L372" s="3" t="inlineStr">
        <is>
          <t>Gujarat</t>
        </is>
      </c>
      <c r="M372" s="9" t="inlineStr">
        <is>
          <t>NS</t>
        </is>
      </c>
      <c r="N372" s="3" t="inlineStr">
        <is>
          <t>Cold Soldering</t>
        </is>
      </c>
      <c r="O372" s="3" t="n">
        <v>570</v>
      </c>
      <c r="P372" s="9" t="inlineStr">
        <is>
          <t>NSMI24050045473</t>
        </is>
      </c>
      <c r="Q372" s="53">
        <f>MID(P372,5,2)</f>
        <v/>
      </c>
      <c r="R372" s="53">
        <f>MID(P372,7,2)</f>
        <v/>
      </c>
      <c r="S372" s="3" t="inlineStr">
        <is>
          <t>G2G</t>
        </is>
      </c>
      <c r="T372" s="3" t="inlineStr">
        <is>
          <t>P4</t>
        </is>
      </c>
      <c r="U372" s="3" t="inlineStr">
        <is>
          <t>N JB Cold Soldering</t>
        </is>
      </c>
      <c r="V372" s="3" t="inlineStr">
        <is>
          <t>Soldering</t>
        </is>
      </c>
      <c r="W372" s="3" t="inlineStr">
        <is>
          <t>Repair</t>
        </is>
      </c>
      <c r="X372" s="18" t="n">
        <v>46148</v>
      </c>
      <c r="Y372" s="73">
        <f>IF(X372="","",X372-A372)</f>
        <v/>
      </c>
      <c r="Z372" s="18" t="n">
        <v>46148</v>
      </c>
      <c r="AA372" s="15" t="n"/>
      <c r="AB372" s="15" t="n"/>
      <c r="AF372">
        <f>IF(AND($F372="Closed",$X372&gt;=DATE(2026,5,1),$X372&lt;=DATE(2026,5,31)),"Closed in May","Other")</f>
        <v/>
      </c>
    </row>
    <row r="373">
      <c r="A373" s="6" t="n">
        <v>46107</v>
      </c>
      <c r="B373" s="3" t="n">
        <v>2026</v>
      </c>
      <c r="C373" s="3" t="inlineStr">
        <is>
          <t>Blupine Energy</t>
        </is>
      </c>
      <c r="D373" s="3" t="inlineStr">
        <is>
          <t>Utility and C&amp;I</t>
        </is>
      </c>
      <c r="E373" s="3" t="n"/>
      <c r="F373" s="3" t="inlineStr">
        <is>
          <t>Closed</t>
        </is>
      </c>
      <c r="G373" s="3" t="inlineStr">
        <is>
          <t>Chandrashekar Patidar</t>
        </is>
      </c>
      <c r="H373" s="3" t="n">
        <v>7879764773</v>
      </c>
      <c r="I373" s="11" t="inlineStr">
        <is>
          <t>PE26032601</t>
        </is>
      </c>
      <c r="J373" s="3" t="inlineStr">
        <is>
          <t>Module Diode Failure</t>
        </is>
      </c>
      <c r="K373" s="3" t="inlineStr">
        <is>
          <t>Sadla</t>
        </is>
      </c>
      <c r="L373" s="3" t="inlineStr">
        <is>
          <t>Gujarat</t>
        </is>
      </c>
      <c r="M373" s="9" t="inlineStr">
        <is>
          <t>PS</t>
        </is>
      </c>
      <c r="N373" s="3" t="inlineStr">
        <is>
          <t>Cold Soldering</t>
        </is>
      </c>
      <c r="O373" s="3" t="n">
        <v>570</v>
      </c>
      <c r="P373" s="9" t="inlineStr">
        <is>
          <t>NSMI24060074516</t>
        </is>
      </c>
      <c r="Q373" s="53">
        <f>MID(P373,5,2)</f>
        <v/>
      </c>
      <c r="R373" s="53">
        <f>MID(P373,7,2)</f>
        <v/>
      </c>
      <c r="S373" s="3" t="inlineStr">
        <is>
          <t>G2G</t>
        </is>
      </c>
      <c r="T373" s="3" t="inlineStr">
        <is>
          <t>P4</t>
        </is>
      </c>
      <c r="U373" s="3" t="inlineStr">
        <is>
          <t>P JB Cold Soldering</t>
        </is>
      </c>
      <c r="V373" s="3" t="inlineStr">
        <is>
          <t>Soldering</t>
        </is>
      </c>
      <c r="W373" s="3" t="inlineStr">
        <is>
          <t>Repair</t>
        </is>
      </c>
      <c r="X373" s="18" t="n">
        <v>46148</v>
      </c>
      <c r="Y373" s="73">
        <f>IF(X373="","",X373-A373)</f>
        <v/>
      </c>
      <c r="Z373" s="18" t="n">
        <v>46148</v>
      </c>
      <c r="AA373" s="15" t="n"/>
      <c r="AB373" s="15" t="n"/>
      <c r="AF373">
        <f>IF(AND($F373="Closed",$X373&gt;=DATE(2026,5,1),$X373&lt;=DATE(2026,5,31)),"Closed in May","Other")</f>
        <v/>
      </c>
    </row>
    <row r="374">
      <c r="A374" s="6" t="n">
        <v>46107</v>
      </c>
      <c r="B374" s="3" t="n">
        <v>2026</v>
      </c>
      <c r="C374" s="3" t="inlineStr">
        <is>
          <t>Blupine Energy</t>
        </is>
      </c>
      <c r="D374" s="3" t="inlineStr">
        <is>
          <t>Utility and C&amp;I</t>
        </is>
      </c>
      <c r="E374" s="3" t="n"/>
      <c r="F374" s="3" t="inlineStr">
        <is>
          <t>Closed</t>
        </is>
      </c>
      <c r="G374" s="3" t="inlineStr">
        <is>
          <t>Chandrashekar Patidar</t>
        </is>
      </c>
      <c r="H374" s="3" t="n">
        <v>7879764773</v>
      </c>
      <c r="I374" s="11" t="inlineStr">
        <is>
          <t>PE26032601</t>
        </is>
      </c>
      <c r="J374" s="3" t="inlineStr">
        <is>
          <t>Module Diode Failure</t>
        </is>
      </c>
      <c r="K374" s="3" t="inlineStr">
        <is>
          <t>Sadla</t>
        </is>
      </c>
      <c r="L374" s="3" t="inlineStr">
        <is>
          <t>Gujarat</t>
        </is>
      </c>
      <c r="M374" s="9" t="inlineStr">
        <is>
          <t>PS</t>
        </is>
      </c>
      <c r="N374" s="3" t="inlineStr">
        <is>
          <t>Cold Soldering</t>
        </is>
      </c>
      <c r="O374" s="3" t="n">
        <v>570</v>
      </c>
      <c r="P374" s="9" t="inlineStr">
        <is>
          <t>NSMI24060077856</t>
        </is>
      </c>
      <c r="Q374" s="53">
        <f>MID(P374,5,2)</f>
        <v/>
      </c>
      <c r="R374" s="53">
        <f>MID(P374,7,2)</f>
        <v/>
      </c>
      <c r="S374" s="3" t="inlineStr">
        <is>
          <t>G2G</t>
        </is>
      </c>
      <c r="T374" s="3" t="inlineStr">
        <is>
          <t>P4</t>
        </is>
      </c>
      <c r="U374" s="3" t="inlineStr">
        <is>
          <t>P JB Cold Soldering</t>
        </is>
      </c>
      <c r="V374" s="3" t="inlineStr">
        <is>
          <t>Soldering</t>
        </is>
      </c>
      <c r="W374" s="3" t="inlineStr">
        <is>
          <t>Repair</t>
        </is>
      </c>
      <c r="X374" s="18" t="n">
        <v>46148</v>
      </c>
      <c r="Y374" s="73">
        <f>IF(X374="","",X374-A374)</f>
        <v/>
      </c>
      <c r="Z374" s="18" t="n">
        <v>46148</v>
      </c>
      <c r="AA374" s="15" t="n"/>
      <c r="AB374" s="15" t="n"/>
      <c r="AF374">
        <f>IF(AND($F374="Closed",$X374&gt;=DATE(2026,5,1),$X374&lt;=DATE(2026,5,31)),"Closed in May","Other")</f>
        <v/>
      </c>
    </row>
    <row r="375">
      <c r="A375" s="6" t="n">
        <v>46107</v>
      </c>
      <c r="B375" s="3" t="n">
        <v>2026</v>
      </c>
      <c r="C375" s="3" t="inlineStr">
        <is>
          <t>Blupine Energy</t>
        </is>
      </c>
      <c r="D375" s="3" t="inlineStr">
        <is>
          <t>Utility and C&amp;I</t>
        </is>
      </c>
      <c r="E375" s="3" t="n"/>
      <c r="F375" s="3" t="inlineStr">
        <is>
          <t>Closed</t>
        </is>
      </c>
      <c r="G375" s="3" t="inlineStr">
        <is>
          <t>Chandrashekar Patidar</t>
        </is>
      </c>
      <c r="H375" s="3" t="n">
        <v>7879764773</v>
      </c>
      <c r="I375" s="11" t="inlineStr">
        <is>
          <t>PE26032601</t>
        </is>
      </c>
      <c r="J375" s="3" t="inlineStr">
        <is>
          <t>Module Diode Failure</t>
        </is>
      </c>
      <c r="K375" s="3" t="inlineStr">
        <is>
          <t>Sadla</t>
        </is>
      </c>
      <c r="L375" s="3" t="inlineStr">
        <is>
          <t>Gujarat</t>
        </is>
      </c>
      <c r="M375" s="9" t="inlineStr">
        <is>
          <t>PS</t>
        </is>
      </c>
      <c r="N375" s="3" t="inlineStr">
        <is>
          <t>Cold Soldering</t>
        </is>
      </c>
      <c r="O375" s="3" t="n">
        <v>570</v>
      </c>
      <c r="P375" s="9" t="inlineStr">
        <is>
          <t>NSMI24060077857</t>
        </is>
      </c>
      <c r="Q375" s="53">
        <f>MID(P375,5,2)</f>
        <v/>
      </c>
      <c r="R375" s="53">
        <f>MID(P375,7,2)</f>
        <v/>
      </c>
      <c r="S375" s="3" t="inlineStr">
        <is>
          <t>G2G</t>
        </is>
      </c>
      <c r="T375" s="3" t="inlineStr">
        <is>
          <t>P4</t>
        </is>
      </c>
      <c r="U375" s="3" t="inlineStr">
        <is>
          <t>P JB Cold Soldering</t>
        </is>
      </c>
      <c r="V375" s="3" t="inlineStr">
        <is>
          <t>Soldering</t>
        </is>
      </c>
      <c r="W375" s="3" t="inlineStr">
        <is>
          <t>Repair</t>
        </is>
      </c>
      <c r="X375" s="18" t="n">
        <v>46148</v>
      </c>
      <c r="Y375" s="73">
        <f>IF(X375="","",X375-A375)</f>
        <v/>
      </c>
      <c r="Z375" s="18" t="n">
        <v>46148</v>
      </c>
      <c r="AA375" s="15" t="n"/>
      <c r="AB375" s="15" t="n"/>
      <c r="AF375">
        <f>IF(AND($F375="Closed",$X375&gt;=DATE(2026,5,1),$X375&lt;=DATE(2026,5,31)),"Closed in May","Other")</f>
        <v/>
      </c>
    </row>
    <row r="376">
      <c r="A376" s="6" t="n">
        <v>46107</v>
      </c>
      <c r="B376" s="3" t="n">
        <v>2026</v>
      </c>
      <c r="C376" s="3" t="inlineStr">
        <is>
          <t>Blupine Energy</t>
        </is>
      </c>
      <c r="D376" s="3" t="inlineStr">
        <is>
          <t>Utility and C&amp;I</t>
        </is>
      </c>
      <c r="E376" s="3" t="n"/>
      <c r="F376" s="3" t="inlineStr">
        <is>
          <t>Closed</t>
        </is>
      </c>
      <c r="G376" s="3" t="inlineStr">
        <is>
          <t>Chandrashekar Patidar</t>
        </is>
      </c>
      <c r="H376" s="3" t="n">
        <v>7879764773</v>
      </c>
      <c r="I376" s="11" t="inlineStr">
        <is>
          <t>PE26032601</t>
        </is>
      </c>
      <c r="J376" s="3" t="inlineStr">
        <is>
          <t>Module Diode Failure</t>
        </is>
      </c>
      <c r="K376" s="3" t="inlineStr">
        <is>
          <t>Sadla</t>
        </is>
      </c>
      <c r="L376" s="3" t="inlineStr">
        <is>
          <t>Gujarat</t>
        </is>
      </c>
      <c r="M376" s="9" t="inlineStr">
        <is>
          <t>PS</t>
        </is>
      </c>
      <c r="N376" s="3" t="inlineStr">
        <is>
          <t>Cold Soldering</t>
        </is>
      </c>
      <c r="O376" s="3" t="n">
        <v>570</v>
      </c>
      <c r="P376" s="9" t="inlineStr">
        <is>
          <t>NSMI24060077860</t>
        </is>
      </c>
      <c r="Q376" s="53">
        <f>MID(P376,5,2)</f>
        <v/>
      </c>
      <c r="R376" s="53">
        <f>MID(P376,7,2)</f>
        <v/>
      </c>
      <c r="S376" s="3" t="inlineStr">
        <is>
          <t>G2G</t>
        </is>
      </c>
      <c r="T376" s="3" t="inlineStr">
        <is>
          <t>P4</t>
        </is>
      </c>
      <c r="U376" s="3" t="inlineStr">
        <is>
          <t>P JB Cold Soldering</t>
        </is>
      </c>
      <c r="V376" s="3" t="inlineStr">
        <is>
          <t>Soldering</t>
        </is>
      </c>
      <c r="W376" s="3" t="inlineStr">
        <is>
          <t>Repair</t>
        </is>
      </c>
      <c r="X376" s="18" t="n">
        <v>46148</v>
      </c>
      <c r="Y376" s="73">
        <f>IF(X376="","",X376-A376)</f>
        <v/>
      </c>
      <c r="Z376" s="18" t="n">
        <v>46148</v>
      </c>
      <c r="AA376" s="15" t="n"/>
      <c r="AB376" s="15" t="n"/>
      <c r="AF376">
        <f>IF(AND($F376="Closed",$X376&gt;=DATE(2026,5,1),$X376&lt;=DATE(2026,5,31)),"Closed in May","Other")</f>
        <v/>
      </c>
    </row>
    <row r="377">
      <c r="A377" s="6" t="n">
        <v>46107</v>
      </c>
      <c r="B377" s="3" t="n">
        <v>2026</v>
      </c>
      <c r="C377" s="3" t="inlineStr">
        <is>
          <t>Blupine Energy</t>
        </is>
      </c>
      <c r="D377" s="3" t="inlineStr">
        <is>
          <t>Utility and C&amp;I</t>
        </is>
      </c>
      <c r="E377" s="3" t="n"/>
      <c r="F377" s="3" t="inlineStr">
        <is>
          <t>Closed</t>
        </is>
      </c>
      <c r="G377" s="3" t="inlineStr">
        <is>
          <t>Chandrashekar Patidar</t>
        </is>
      </c>
      <c r="H377" s="3" t="n">
        <v>7879764773</v>
      </c>
      <c r="I377" s="11" t="inlineStr">
        <is>
          <t>PE26032601</t>
        </is>
      </c>
      <c r="J377" s="3" t="inlineStr">
        <is>
          <t>Module Diode Failure</t>
        </is>
      </c>
      <c r="K377" s="3" t="inlineStr">
        <is>
          <t>Sadla</t>
        </is>
      </c>
      <c r="L377" s="3" t="inlineStr">
        <is>
          <t>Gujarat</t>
        </is>
      </c>
      <c r="M377" s="9" t="inlineStr">
        <is>
          <t>PS</t>
        </is>
      </c>
      <c r="N377" s="3" t="inlineStr">
        <is>
          <t>Cold Soldering</t>
        </is>
      </c>
      <c r="O377" s="3" t="n">
        <v>570</v>
      </c>
      <c r="P377" s="9" t="inlineStr">
        <is>
          <t>NSMI24050061145</t>
        </is>
      </c>
      <c r="Q377" s="53">
        <f>MID(P377,5,2)</f>
        <v/>
      </c>
      <c r="R377" s="53">
        <f>MID(P377,7,2)</f>
        <v/>
      </c>
      <c r="S377" s="3" t="inlineStr">
        <is>
          <t>G2G</t>
        </is>
      </c>
      <c r="T377" s="3" t="inlineStr">
        <is>
          <t>P4</t>
        </is>
      </c>
      <c r="U377" s="3" t="inlineStr">
        <is>
          <t>P JB Cold Soldering</t>
        </is>
      </c>
      <c r="V377" s="3" t="inlineStr">
        <is>
          <t>Soldering</t>
        </is>
      </c>
      <c r="W377" s="3" t="inlineStr">
        <is>
          <t>Repair</t>
        </is>
      </c>
      <c r="X377" s="18" t="n">
        <v>46148</v>
      </c>
      <c r="Y377" s="73">
        <f>IF(X377="","",X377-A377)</f>
        <v/>
      </c>
      <c r="Z377" s="18" t="n">
        <v>46148</v>
      </c>
      <c r="AA377" s="15" t="n"/>
      <c r="AB377" s="15" t="n"/>
      <c r="AF377">
        <f>IF(AND($F377="Closed",$X377&gt;=DATE(2026,5,1),$X377&lt;=DATE(2026,5,31)),"Closed in May","Other")</f>
        <v/>
      </c>
    </row>
    <row r="378">
      <c r="A378" s="6" t="n">
        <v>46107</v>
      </c>
      <c r="B378" s="3" t="n">
        <v>2026</v>
      </c>
      <c r="C378" s="3" t="inlineStr">
        <is>
          <t>Blupine Energy</t>
        </is>
      </c>
      <c r="D378" s="3" t="inlineStr">
        <is>
          <t>Utility and C&amp;I</t>
        </is>
      </c>
      <c r="E378" s="3" t="n"/>
      <c r="F378" s="3" t="inlineStr">
        <is>
          <t>Closed</t>
        </is>
      </c>
      <c r="G378" s="3" t="inlineStr">
        <is>
          <t>Chandrashekar Patidar</t>
        </is>
      </c>
      <c r="H378" s="3" t="n">
        <v>7879764773</v>
      </c>
      <c r="I378" s="11" t="inlineStr">
        <is>
          <t>PE26032601</t>
        </is>
      </c>
      <c r="J378" s="3" t="inlineStr">
        <is>
          <t>Module Diode Failure</t>
        </is>
      </c>
      <c r="K378" s="3" t="inlineStr">
        <is>
          <t>Sadla</t>
        </is>
      </c>
      <c r="L378" s="3" t="inlineStr">
        <is>
          <t>Gujarat</t>
        </is>
      </c>
      <c r="M378" s="9" t="inlineStr">
        <is>
          <t>PS</t>
        </is>
      </c>
      <c r="N378" s="3" t="inlineStr">
        <is>
          <t>Cold Soldering</t>
        </is>
      </c>
      <c r="O378" s="3" t="n">
        <v>570</v>
      </c>
      <c r="P378" s="9" t="inlineStr">
        <is>
          <t>NSMI24050061017</t>
        </is>
      </c>
      <c r="Q378" s="53">
        <f>MID(P378,5,2)</f>
        <v/>
      </c>
      <c r="R378" s="53">
        <f>MID(P378,7,2)</f>
        <v/>
      </c>
      <c r="S378" s="3" t="inlineStr">
        <is>
          <t>G2G</t>
        </is>
      </c>
      <c r="T378" s="3" t="inlineStr">
        <is>
          <t>P4</t>
        </is>
      </c>
      <c r="U378" s="3" t="inlineStr">
        <is>
          <t>P JB Cold Soldering</t>
        </is>
      </c>
      <c r="V378" s="3" t="inlineStr">
        <is>
          <t>Soldering</t>
        </is>
      </c>
      <c r="W378" s="3" t="inlineStr">
        <is>
          <t>Repair</t>
        </is>
      </c>
      <c r="X378" s="18" t="n">
        <v>46148</v>
      </c>
      <c r="Y378" s="73">
        <f>IF(X378="","",X378-A378)</f>
        <v/>
      </c>
      <c r="Z378" s="18" t="n">
        <v>46148</v>
      </c>
      <c r="AA378" s="15" t="n"/>
      <c r="AB378" s="15" t="n"/>
      <c r="AF378">
        <f>IF(AND($F378="Closed",$X378&gt;=DATE(2026,5,1),$X378&lt;=DATE(2026,5,31)),"Closed in May","Other")</f>
        <v/>
      </c>
    </row>
    <row r="379">
      <c r="A379" s="6" t="n">
        <v>46107</v>
      </c>
      <c r="B379" s="3" t="n">
        <v>2026</v>
      </c>
      <c r="C379" s="3" t="inlineStr">
        <is>
          <t>Blupine Energy</t>
        </is>
      </c>
      <c r="D379" s="3" t="inlineStr">
        <is>
          <t>Utility and C&amp;I</t>
        </is>
      </c>
      <c r="E379" s="3" t="n"/>
      <c r="F379" s="3" t="inlineStr">
        <is>
          <t>Closed</t>
        </is>
      </c>
      <c r="G379" s="3" t="inlineStr">
        <is>
          <t>Chandrashekar Patidar</t>
        </is>
      </c>
      <c r="H379" s="3" t="n">
        <v>7879764773</v>
      </c>
      <c r="I379" s="11" t="inlineStr">
        <is>
          <t>PE26032601</t>
        </is>
      </c>
      <c r="J379" s="3" t="inlineStr">
        <is>
          <t>Module Diode Failure</t>
        </is>
      </c>
      <c r="K379" s="3" t="inlineStr">
        <is>
          <t>Sadla</t>
        </is>
      </c>
      <c r="L379" s="3" t="inlineStr">
        <is>
          <t>Gujarat</t>
        </is>
      </c>
      <c r="M379" s="9" t="inlineStr">
        <is>
          <t>PS</t>
        </is>
      </c>
      <c r="N379" s="3" t="inlineStr">
        <is>
          <t>Cold Soldering</t>
        </is>
      </c>
      <c r="O379" s="3" t="n">
        <v>570</v>
      </c>
      <c r="P379" s="9" t="inlineStr">
        <is>
          <t>NSMI24050061030</t>
        </is>
      </c>
      <c r="Q379" s="53">
        <f>MID(P379,5,2)</f>
        <v/>
      </c>
      <c r="R379" s="53">
        <f>MID(P379,7,2)</f>
        <v/>
      </c>
      <c r="S379" s="3" t="inlineStr">
        <is>
          <t>G2G</t>
        </is>
      </c>
      <c r="T379" s="3" t="inlineStr">
        <is>
          <t>P4</t>
        </is>
      </c>
      <c r="U379" s="3" t="inlineStr">
        <is>
          <t>P JB Cold Soldering</t>
        </is>
      </c>
      <c r="V379" s="3" t="inlineStr">
        <is>
          <t>Soldering</t>
        </is>
      </c>
      <c r="W379" s="3" t="inlineStr">
        <is>
          <t>Repair</t>
        </is>
      </c>
      <c r="X379" s="18" t="n">
        <v>46148</v>
      </c>
      <c r="Y379" s="73">
        <f>IF(X379="","",X379-A379)</f>
        <v/>
      </c>
      <c r="Z379" s="18" t="n">
        <v>46148</v>
      </c>
      <c r="AA379" s="15" t="n"/>
      <c r="AB379" s="15" t="n"/>
      <c r="AF379">
        <f>IF(AND($F379="Closed",$X379&gt;=DATE(2026,5,1),$X379&lt;=DATE(2026,5,31)),"Closed in May","Other")</f>
        <v/>
      </c>
    </row>
    <row r="380">
      <c r="A380" s="6" t="n">
        <v>46107</v>
      </c>
      <c r="B380" s="3" t="n">
        <v>2026</v>
      </c>
      <c r="C380" s="3" t="inlineStr">
        <is>
          <t>Blupine Energy</t>
        </is>
      </c>
      <c r="D380" s="3" t="inlineStr">
        <is>
          <t>Utility and C&amp;I</t>
        </is>
      </c>
      <c r="E380" s="3" t="n"/>
      <c r="F380" s="3" t="inlineStr">
        <is>
          <t>Closed</t>
        </is>
      </c>
      <c r="G380" s="3" t="inlineStr">
        <is>
          <t>Chandrashekar Patidar</t>
        </is>
      </c>
      <c r="H380" s="3" t="n">
        <v>7879764773</v>
      </c>
      <c r="I380" s="11" t="inlineStr">
        <is>
          <t>PE26032601</t>
        </is>
      </c>
      <c r="J380" s="3" t="inlineStr">
        <is>
          <t>Module Diode Failure</t>
        </is>
      </c>
      <c r="K380" s="3" t="inlineStr">
        <is>
          <t>Sadla</t>
        </is>
      </c>
      <c r="L380" s="3" t="inlineStr">
        <is>
          <t>Gujarat</t>
        </is>
      </c>
      <c r="M380" s="9" t="inlineStr">
        <is>
          <t>NS</t>
        </is>
      </c>
      <c r="N380" s="3" t="inlineStr">
        <is>
          <t>Cold Soldering</t>
        </is>
      </c>
      <c r="O380" s="3" t="n">
        <v>570</v>
      </c>
      <c r="P380" s="9" t="inlineStr">
        <is>
          <t>NSMI24060133787</t>
        </is>
      </c>
      <c r="Q380" s="53">
        <f>MID(P380,5,2)</f>
        <v/>
      </c>
      <c r="R380" s="53">
        <f>MID(P380,7,2)</f>
        <v/>
      </c>
      <c r="S380" s="3" t="inlineStr">
        <is>
          <t>G2G</t>
        </is>
      </c>
      <c r="T380" s="3" t="inlineStr">
        <is>
          <t>P4</t>
        </is>
      </c>
      <c r="U380" s="3" t="inlineStr">
        <is>
          <t>N JB Cold Soldering</t>
        </is>
      </c>
      <c r="V380" s="3" t="inlineStr">
        <is>
          <t>Soldering</t>
        </is>
      </c>
      <c r="W380" s="3" t="inlineStr">
        <is>
          <t>Repair</t>
        </is>
      </c>
      <c r="X380" s="18" t="n">
        <v>46148</v>
      </c>
      <c r="Y380" s="73">
        <f>IF(X380="","",X380-A380)</f>
        <v/>
      </c>
      <c r="Z380" s="18" t="n">
        <v>46148</v>
      </c>
      <c r="AA380" s="15" t="n"/>
      <c r="AB380" s="15" t="n"/>
      <c r="AF380">
        <f>IF(AND($F380="Closed",$X380&gt;=DATE(2026,5,1),$X380&lt;=DATE(2026,5,31)),"Closed in May","Other")</f>
        <v/>
      </c>
    </row>
    <row r="381">
      <c r="A381" s="6" t="n">
        <v>46107</v>
      </c>
      <c r="B381" s="3" t="n">
        <v>2026</v>
      </c>
      <c r="C381" s="3" t="inlineStr">
        <is>
          <t>Blupine Energy</t>
        </is>
      </c>
      <c r="D381" s="3" t="inlineStr">
        <is>
          <t>Utility and C&amp;I</t>
        </is>
      </c>
      <c r="E381" s="3" t="n"/>
      <c r="F381" s="3" t="inlineStr">
        <is>
          <t>Closed</t>
        </is>
      </c>
      <c r="G381" s="3" t="inlineStr">
        <is>
          <t>Chandrashekar Patidar</t>
        </is>
      </c>
      <c r="H381" s="3" t="n">
        <v>7879764773</v>
      </c>
      <c r="I381" s="11" t="inlineStr">
        <is>
          <t>PE26032601</t>
        </is>
      </c>
      <c r="J381" s="3" t="inlineStr">
        <is>
          <t>Module Diode Failure</t>
        </is>
      </c>
      <c r="K381" s="3" t="inlineStr">
        <is>
          <t>Sadla</t>
        </is>
      </c>
      <c r="L381" s="3" t="inlineStr">
        <is>
          <t>Gujarat</t>
        </is>
      </c>
      <c r="M381" s="9" t="inlineStr">
        <is>
          <t>NS</t>
        </is>
      </c>
      <c r="N381" s="3" t="inlineStr">
        <is>
          <t>Cold Soldering</t>
        </is>
      </c>
      <c r="O381" s="3" t="n">
        <v>570</v>
      </c>
      <c r="P381" s="9" t="inlineStr">
        <is>
          <t>NSMI24060113387</t>
        </is>
      </c>
      <c r="Q381" s="53">
        <f>MID(P381,5,2)</f>
        <v/>
      </c>
      <c r="R381" s="53">
        <f>MID(P381,7,2)</f>
        <v/>
      </c>
      <c r="S381" s="3" t="inlineStr">
        <is>
          <t>G2G</t>
        </is>
      </c>
      <c r="T381" s="3" t="inlineStr">
        <is>
          <t>P4</t>
        </is>
      </c>
      <c r="U381" s="3" t="inlineStr">
        <is>
          <t>N JB Cold Soldering</t>
        </is>
      </c>
      <c r="V381" s="3" t="inlineStr">
        <is>
          <t>Soldering</t>
        </is>
      </c>
      <c r="W381" s="3" t="inlineStr">
        <is>
          <t>Repair</t>
        </is>
      </c>
      <c r="X381" s="18" t="n">
        <v>46148</v>
      </c>
      <c r="Y381" s="73">
        <f>IF(X381="","",X381-A381)</f>
        <v/>
      </c>
      <c r="Z381" s="18" t="n">
        <v>46148</v>
      </c>
      <c r="AA381" s="15" t="n"/>
      <c r="AB381" s="15" t="n"/>
      <c r="AF381">
        <f>IF(AND($F381="Closed",$X381&gt;=DATE(2026,5,1),$X381&lt;=DATE(2026,5,31)),"Closed in May","Other")</f>
        <v/>
      </c>
    </row>
    <row r="382">
      <c r="A382" s="6" t="n">
        <v>46107</v>
      </c>
      <c r="B382" s="3" t="n">
        <v>2026</v>
      </c>
      <c r="C382" s="3" t="inlineStr">
        <is>
          <t>Blupine Energy</t>
        </is>
      </c>
      <c r="D382" s="3" t="inlineStr">
        <is>
          <t>Utility and C&amp;I</t>
        </is>
      </c>
      <c r="E382" s="3" t="n"/>
      <c r="F382" s="3" t="inlineStr">
        <is>
          <t>Closed</t>
        </is>
      </c>
      <c r="G382" s="3" t="inlineStr">
        <is>
          <t>Chandrashekar Patidar</t>
        </is>
      </c>
      <c r="H382" s="3" t="n">
        <v>7879764773</v>
      </c>
      <c r="I382" s="11" t="inlineStr">
        <is>
          <t>PE26032601</t>
        </is>
      </c>
      <c r="J382" s="3" t="inlineStr">
        <is>
          <t>Module Diode Failure</t>
        </is>
      </c>
      <c r="K382" s="3" t="inlineStr">
        <is>
          <t>Sadla</t>
        </is>
      </c>
      <c r="L382" s="3" t="inlineStr">
        <is>
          <t>Gujarat</t>
        </is>
      </c>
      <c r="M382" s="9" t="inlineStr">
        <is>
          <t>PS</t>
        </is>
      </c>
      <c r="N382" s="3" t="inlineStr">
        <is>
          <t>Cold Soldering</t>
        </is>
      </c>
      <c r="O382" s="3" t="n">
        <v>570</v>
      </c>
      <c r="P382" s="9" t="inlineStr">
        <is>
          <t>NSMI24060140222</t>
        </is>
      </c>
      <c r="Q382" s="53">
        <f>MID(P382,5,2)</f>
        <v/>
      </c>
      <c r="R382" s="53">
        <f>MID(P382,7,2)</f>
        <v/>
      </c>
      <c r="S382" s="3" t="inlineStr">
        <is>
          <t>G2G</t>
        </is>
      </c>
      <c r="T382" s="3" t="inlineStr">
        <is>
          <t>P4</t>
        </is>
      </c>
      <c r="U382" s="3" t="inlineStr">
        <is>
          <t>P JB Cold Soldering</t>
        </is>
      </c>
      <c r="V382" s="3" t="inlineStr">
        <is>
          <t>Soldering</t>
        </is>
      </c>
      <c r="W382" s="3" t="inlineStr">
        <is>
          <t>Repair</t>
        </is>
      </c>
      <c r="X382" s="18" t="n">
        <v>46148</v>
      </c>
      <c r="Y382" s="73">
        <f>IF(X382="","",X382-A382)</f>
        <v/>
      </c>
      <c r="Z382" s="18" t="n">
        <v>46148</v>
      </c>
      <c r="AA382" s="15" t="n"/>
      <c r="AB382" s="15" t="n"/>
      <c r="AF382">
        <f>IF(AND($F382="Closed",$X382&gt;=DATE(2026,5,1),$X382&lt;=DATE(2026,5,31)),"Closed in May","Other")</f>
        <v/>
      </c>
    </row>
    <row r="383">
      <c r="A383" s="6" t="n">
        <v>46107</v>
      </c>
      <c r="B383" s="3" t="n">
        <v>2026</v>
      </c>
      <c r="C383" s="3" t="inlineStr">
        <is>
          <t>Blupine Energy</t>
        </is>
      </c>
      <c r="D383" s="3" t="inlineStr">
        <is>
          <t>Utility and C&amp;I</t>
        </is>
      </c>
      <c r="E383" s="3" t="n"/>
      <c r="F383" s="3" t="inlineStr">
        <is>
          <t>Closed</t>
        </is>
      </c>
      <c r="G383" s="3" t="inlineStr">
        <is>
          <t>Chandrashekar Patidar</t>
        </is>
      </c>
      <c r="H383" s="3" t="n">
        <v>7879764773</v>
      </c>
      <c r="I383" s="11" t="inlineStr">
        <is>
          <t>PE26032601</t>
        </is>
      </c>
      <c r="J383" s="3" t="inlineStr">
        <is>
          <t>Module Diode Failure</t>
        </is>
      </c>
      <c r="K383" s="3" t="inlineStr">
        <is>
          <t>Sadla</t>
        </is>
      </c>
      <c r="L383" s="3" t="inlineStr">
        <is>
          <t>Gujarat</t>
        </is>
      </c>
      <c r="M383" s="9" t="inlineStr">
        <is>
          <t>NS</t>
        </is>
      </c>
      <c r="N383" s="3" t="inlineStr">
        <is>
          <t>Cold Soldering</t>
        </is>
      </c>
      <c r="O383" s="3" t="n">
        <v>570</v>
      </c>
      <c r="P383" s="9" t="inlineStr">
        <is>
          <t>NSMI24060106017</t>
        </is>
      </c>
      <c r="Q383" s="53">
        <f>MID(P383,5,2)</f>
        <v/>
      </c>
      <c r="R383" s="53">
        <f>MID(P383,7,2)</f>
        <v/>
      </c>
      <c r="S383" s="3" t="inlineStr">
        <is>
          <t>G2G</t>
        </is>
      </c>
      <c r="T383" s="3" t="inlineStr">
        <is>
          <t>P4</t>
        </is>
      </c>
      <c r="U383" s="3" t="inlineStr">
        <is>
          <t>N JB Cold Soldering</t>
        </is>
      </c>
      <c r="V383" s="3" t="inlineStr">
        <is>
          <t>Soldering</t>
        </is>
      </c>
      <c r="W383" s="3" t="inlineStr">
        <is>
          <t>Repair</t>
        </is>
      </c>
      <c r="X383" s="18" t="n">
        <v>46148</v>
      </c>
      <c r="Y383" s="73">
        <f>IF(X383="","",X383-A383)</f>
        <v/>
      </c>
      <c r="Z383" s="18" t="n">
        <v>46148</v>
      </c>
      <c r="AA383" s="15" t="n"/>
      <c r="AB383" s="15" t="n"/>
      <c r="AF383">
        <f>IF(AND($F383="Closed",$X383&gt;=DATE(2026,5,1),$X383&lt;=DATE(2026,5,31)),"Closed in May","Other")</f>
        <v/>
      </c>
    </row>
    <row r="384">
      <c r="A384" s="6" t="n">
        <v>46107</v>
      </c>
      <c r="B384" s="3" t="n">
        <v>2026</v>
      </c>
      <c r="C384" s="3" t="inlineStr">
        <is>
          <t>Blupine Energy</t>
        </is>
      </c>
      <c r="D384" s="3" t="inlineStr">
        <is>
          <t>Utility and C&amp;I</t>
        </is>
      </c>
      <c r="E384" s="3" t="n"/>
      <c r="F384" s="3" t="inlineStr">
        <is>
          <t>Closed</t>
        </is>
      </c>
      <c r="G384" s="3" t="inlineStr">
        <is>
          <t>Chandrashekar Patidar</t>
        </is>
      </c>
      <c r="H384" s="3" t="n">
        <v>7879764773</v>
      </c>
      <c r="I384" s="11" t="inlineStr">
        <is>
          <t>PE26032601</t>
        </is>
      </c>
      <c r="J384" s="3" t="inlineStr">
        <is>
          <t>Module Diode Failure</t>
        </is>
      </c>
      <c r="K384" s="3" t="inlineStr">
        <is>
          <t>Sadla</t>
        </is>
      </c>
      <c r="L384" s="3" t="inlineStr">
        <is>
          <t>Gujarat</t>
        </is>
      </c>
      <c r="M384" s="9" t="inlineStr">
        <is>
          <t>NS</t>
        </is>
      </c>
      <c r="N384" s="3" t="inlineStr">
        <is>
          <t>Cold Soldering</t>
        </is>
      </c>
      <c r="O384" s="3" t="n">
        <v>570</v>
      </c>
      <c r="P384" s="9" t="inlineStr">
        <is>
          <t>NSMI24060107228</t>
        </is>
      </c>
      <c r="Q384" s="53">
        <f>MID(P384,5,2)</f>
        <v/>
      </c>
      <c r="R384" s="53">
        <f>MID(P384,7,2)</f>
        <v/>
      </c>
      <c r="S384" s="3" t="inlineStr">
        <is>
          <t>G2G</t>
        </is>
      </c>
      <c r="T384" s="3" t="inlineStr">
        <is>
          <t>P4</t>
        </is>
      </c>
      <c r="U384" s="3" t="inlineStr">
        <is>
          <t>N JB Cold Soldering</t>
        </is>
      </c>
      <c r="V384" s="3" t="inlineStr">
        <is>
          <t>Soldering</t>
        </is>
      </c>
      <c r="W384" s="3" t="inlineStr">
        <is>
          <t>Repair</t>
        </is>
      </c>
      <c r="X384" s="18" t="n">
        <v>46148</v>
      </c>
      <c r="Y384" s="73">
        <f>IF(X384="","",X384-A384)</f>
        <v/>
      </c>
      <c r="Z384" s="18" t="n">
        <v>46148</v>
      </c>
      <c r="AA384" s="15" t="n"/>
      <c r="AB384" s="15" t="n"/>
      <c r="AF384">
        <f>IF(AND($F384="Closed",$X384&gt;=DATE(2026,5,1),$X384&lt;=DATE(2026,5,31)),"Closed in May","Other")</f>
        <v/>
      </c>
    </row>
    <row r="385">
      <c r="A385" s="6" t="n">
        <v>46107</v>
      </c>
      <c r="B385" s="3" t="n">
        <v>2026</v>
      </c>
      <c r="C385" s="3" t="inlineStr">
        <is>
          <t>Blupine Energy</t>
        </is>
      </c>
      <c r="D385" s="3" t="inlineStr">
        <is>
          <t>Utility and C&amp;I</t>
        </is>
      </c>
      <c r="E385" s="3" t="n"/>
      <c r="F385" s="3" t="inlineStr">
        <is>
          <t>Closed</t>
        </is>
      </c>
      <c r="G385" s="3" t="inlineStr">
        <is>
          <t>Chandrashekar Patidar</t>
        </is>
      </c>
      <c r="H385" s="3" t="n">
        <v>7879764773</v>
      </c>
      <c r="I385" s="11" t="inlineStr">
        <is>
          <t>PE26032601</t>
        </is>
      </c>
      <c r="J385" s="3" t="inlineStr">
        <is>
          <t>Module Diode Failure</t>
        </is>
      </c>
      <c r="K385" s="3" t="inlineStr">
        <is>
          <t>Sadla</t>
        </is>
      </c>
      <c r="L385" s="3" t="inlineStr">
        <is>
          <t>Gujarat</t>
        </is>
      </c>
      <c r="M385" s="9" t="inlineStr">
        <is>
          <t>PS</t>
        </is>
      </c>
      <c r="N385" s="3" t="inlineStr">
        <is>
          <t>Cold Soldering</t>
        </is>
      </c>
      <c r="O385" s="3" t="n">
        <v>570</v>
      </c>
      <c r="P385" s="9" t="inlineStr">
        <is>
          <t>NSMI24060105975</t>
        </is>
      </c>
      <c r="Q385" s="53">
        <f>MID(P385,5,2)</f>
        <v/>
      </c>
      <c r="R385" s="53">
        <f>MID(P385,7,2)</f>
        <v/>
      </c>
      <c r="S385" s="3" t="inlineStr">
        <is>
          <t>G2G</t>
        </is>
      </c>
      <c r="T385" s="3" t="inlineStr">
        <is>
          <t>P4</t>
        </is>
      </c>
      <c r="U385" s="3" t="inlineStr">
        <is>
          <t>P JB Cold Soldering</t>
        </is>
      </c>
      <c r="V385" s="3" t="inlineStr">
        <is>
          <t>Soldering</t>
        </is>
      </c>
      <c r="W385" s="3" t="inlineStr">
        <is>
          <t>Repair</t>
        </is>
      </c>
      <c r="X385" s="18" t="n">
        <v>46148</v>
      </c>
      <c r="Y385" s="73">
        <f>IF(X385="","",X385-A385)</f>
        <v/>
      </c>
      <c r="Z385" s="18" t="n">
        <v>46148</v>
      </c>
      <c r="AA385" s="15" t="n"/>
      <c r="AB385" s="15" t="n"/>
      <c r="AF385">
        <f>IF(AND($F385="Closed",$X385&gt;=DATE(2026,5,1),$X385&lt;=DATE(2026,5,31)),"Closed in May","Other")</f>
        <v/>
      </c>
    </row>
    <row r="386">
      <c r="A386" s="6" t="n">
        <v>46107</v>
      </c>
      <c r="B386" s="3" t="n">
        <v>2026</v>
      </c>
      <c r="C386" s="3" t="inlineStr">
        <is>
          <t>Blupine Energy</t>
        </is>
      </c>
      <c r="D386" s="3" t="inlineStr">
        <is>
          <t>Utility and C&amp;I</t>
        </is>
      </c>
      <c r="E386" s="3" t="n"/>
      <c r="F386" s="3" t="inlineStr">
        <is>
          <t>Closed</t>
        </is>
      </c>
      <c r="G386" s="3" t="inlineStr">
        <is>
          <t>Chandrashekar Patidar</t>
        </is>
      </c>
      <c r="H386" s="3" t="n">
        <v>7879764773</v>
      </c>
      <c r="I386" s="11" t="inlineStr">
        <is>
          <t>PE26032601</t>
        </is>
      </c>
      <c r="J386" s="3" t="inlineStr">
        <is>
          <t>Module Diode Failure</t>
        </is>
      </c>
      <c r="K386" s="3" t="inlineStr">
        <is>
          <t>Sadla</t>
        </is>
      </c>
      <c r="L386" s="3" t="inlineStr">
        <is>
          <t>Gujarat</t>
        </is>
      </c>
      <c r="M386" s="9" t="inlineStr">
        <is>
          <t>PS</t>
        </is>
      </c>
      <c r="N386" s="3" t="inlineStr">
        <is>
          <t>Cold Soldering</t>
        </is>
      </c>
      <c r="O386" s="3" t="n">
        <v>570</v>
      </c>
      <c r="P386" s="9" t="inlineStr">
        <is>
          <t>NSMI24060127184</t>
        </is>
      </c>
      <c r="Q386" s="53">
        <f>MID(P386,5,2)</f>
        <v/>
      </c>
      <c r="R386" s="53">
        <f>MID(P386,7,2)</f>
        <v/>
      </c>
      <c r="S386" s="3" t="inlineStr">
        <is>
          <t>G2G</t>
        </is>
      </c>
      <c r="T386" s="3" t="inlineStr">
        <is>
          <t>P4</t>
        </is>
      </c>
      <c r="U386" s="3" t="inlineStr">
        <is>
          <t>P JB Cold Soldering</t>
        </is>
      </c>
      <c r="V386" s="3" t="inlineStr">
        <is>
          <t>Soldering</t>
        </is>
      </c>
      <c r="W386" s="3" t="inlineStr">
        <is>
          <t>Repair</t>
        </is>
      </c>
      <c r="X386" s="18" t="n">
        <v>46148</v>
      </c>
      <c r="Y386" s="73">
        <f>IF(X386="","",X386-A386)</f>
        <v/>
      </c>
      <c r="Z386" s="18" t="n">
        <v>46148</v>
      </c>
      <c r="AA386" s="15" t="n"/>
      <c r="AB386" s="15" t="n"/>
      <c r="AF386">
        <f>IF(AND($F386="Closed",$X386&gt;=DATE(2026,5,1),$X386&lt;=DATE(2026,5,31)),"Closed in May","Other")</f>
        <v/>
      </c>
    </row>
    <row r="387">
      <c r="A387" s="6" t="n">
        <v>46107</v>
      </c>
      <c r="B387" s="3" t="n">
        <v>2026</v>
      </c>
      <c r="C387" s="3" t="inlineStr">
        <is>
          <t>Blupine Energy</t>
        </is>
      </c>
      <c r="D387" s="3" t="inlineStr">
        <is>
          <t>Utility and C&amp;I</t>
        </is>
      </c>
      <c r="E387" s="3" t="n"/>
      <c r="F387" s="3" t="inlineStr">
        <is>
          <t>Closed</t>
        </is>
      </c>
      <c r="G387" s="3" t="inlineStr">
        <is>
          <t>Chandrashekar Patidar</t>
        </is>
      </c>
      <c r="H387" s="3" t="n">
        <v>7879764773</v>
      </c>
      <c r="I387" s="11" t="inlineStr">
        <is>
          <t>PE26032601</t>
        </is>
      </c>
      <c r="J387" s="3" t="inlineStr">
        <is>
          <t>Module Diode Failure</t>
        </is>
      </c>
      <c r="K387" s="3" t="inlineStr">
        <is>
          <t>Sadla</t>
        </is>
      </c>
      <c r="L387" s="3" t="inlineStr">
        <is>
          <t>Gujarat</t>
        </is>
      </c>
      <c r="M387" s="9" t="inlineStr">
        <is>
          <t>PS</t>
        </is>
      </c>
      <c r="N387" s="3" t="inlineStr">
        <is>
          <t>Cold Soldering</t>
        </is>
      </c>
      <c r="O387" s="3" t="n">
        <v>570</v>
      </c>
      <c r="P387" s="9" t="inlineStr">
        <is>
          <t>NSMI24060107553</t>
        </is>
      </c>
      <c r="Q387" s="53">
        <f>MID(P387,5,2)</f>
        <v/>
      </c>
      <c r="R387" s="53">
        <f>MID(P387,7,2)</f>
        <v/>
      </c>
      <c r="S387" s="3" t="inlineStr">
        <is>
          <t>G2G</t>
        </is>
      </c>
      <c r="T387" s="3" t="inlineStr">
        <is>
          <t>P4</t>
        </is>
      </c>
      <c r="U387" s="3" t="inlineStr">
        <is>
          <t>P JB Cold Soldering</t>
        </is>
      </c>
      <c r="V387" s="3" t="inlineStr">
        <is>
          <t>Soldering</t>
        </is>
      </c>
      <c r="W387" s="3" t="inlineStr">
        <is>
          <t>Repair</t>
        </is>
      </c>
      <c r="X387" s="18" t="n">
        <v>46148</v>
      </c>
      <c r="Y387" s="73">
        <f>IF(X387="","",X387-A387)</f>
        <v/>
      </c>
      <c r="Z387" s="18" t="n">
        <v>46148</v>
      </c>
      <c r="AA387" s="15" t="n"/>
      <c r="AB387" s="15" t="n"/>
      <c r="AF387">
        <f>IF(AND($F387="Closed",$X387&gt;=DATE(2026,5,1),$X387&lt;=DATE(2026,5,31)),"Closed in May","Other")</f>
        <v/>
      </c>
    </row>
    <row r="388">
      <c r="A388" s="6" t="n">
        <v>46107</v>
      </c>
      <c r="B388" s="3" t="n">
        <v>2026</v>
      </c>
      <c r="C388" s="3" t="inlineStr">
        <is>
          <t>Blupine Energy</t>
        </is>
      </c>
      <c r="D388" s="3" t="inlineStr">
        <is>
          <t>Utility and C&amp;I</t>
        </is>
      </c>
      <c r="E388" s="3" t="n"/>
      <c r="F388" s="3" t="inlineStr">
        <is>
          <t>Closed</t>
        </is>
      </c>
      <c r="G388" s="3" t="inlineStr">
        <is>
          <t>Chandrashekar Patidar</t>
        </is>
      </c>
      <c r="H388" s="3" t="n">
        <v>7879764773</v>
      </c>
      <c r="I388" s="11" t="inlineStr">
        <is>
          <t>PE26032601</t>
        </is>
      </c>
      <c r="J388" s="3" t="inlineStr">
        <is>
          <t>Module Diode Failure</t>
        </is>
      </c>
      <c r="K388" s="3" t="inlineStr">
        <is>
          <t>Sadla</t>
        </is>
      </c>
      <c r="L388" s="3" t="inlineStr">
        <is>
          <t>Gujarat</t>
        </is>
      </c>
      <c r="M388" s="9" t="inlineStr">
        <is>
          <t>PS</t>
        </is>
      </c>
      <c r="N388" s="3" t="inlineStr">
        <is>
          <t>Cold Soldering</t>
        </is>
      </c>
      <c r="O388" s="3" t="n">
        <v>570</v>
      </c>
      <c r="P388" s="9" t="inlineStr">
        <is>
          <t>NSMI24060137236</t>
        </is>
      </c>
      <c r="Q388" s="53">
        <f>MID(P388,5,2)</f>
        <v/>
      </c>
      <c r="R388" s="53">
        <f>MID(P388,7,2)</f>
        <v/>
      </c>
      <c r="S388" s="3" t="inlineStr">
        <is>
          <t>G2G</t>
        </is>
      </c>
      <c r="T388" s="3" t="inlineStr">
        <is>
          <t>P4</t>
        </is>
      </c>
      <c r="U388" s="3" t="inlineStr">
        <is>
          <t>P JB Cold Soldering</t>
        </is>
      </c>
      <c r="V388" s="3" t="inlineStr">
        <is>
          <t>Soldering</t>
        </is>
      </c>
      <c r="W388" s="3" t="inlineStr">
        <is>
          <t>Repair</t>
        </is>
      </c>
      <c r="X388" s="18" t="n">
        <v>46148</v>
      </c>
      <c r="Y388" s="73">
        <f>IF(X388="","",X388-A388)</f>
        <v/>
      </c>
      <c r="Z388" s="18" t="n">
        <v>46148</v>
      </c>
      <c r="AA388" s="15" t="n"/>
      <c r="AB388" s="15" t="n"/>
      <c r="AF388">
        <f>IF(AND($F388="Closed",$X388&gt;=DATE(2026,5,1),$X388&lt;=DATE(2026,5,31)),"Closed in May","Other")</f>
        <v/>
      </c>
    </row>
    <row r="389">
      <c r="A389" s="6" t="n">
        <v>46107</v>
      </c>
      <c r="B389" s="3" t="n">
        <v>2026</v>
      </c>
      <c r="C389" s="3" t="inlineStr">
        <is>
          <t>Blupine Energy</t>
        </is>
      </c>
      <c r="D389" s="3" t="inlineStr">
        <is>
          <t>Utility and C&amp;I</t>
        </is>
      </c>
      <c r="E389" s="3" t="n"/>
      <c r="F389" s="3" t="inlineStr">
        <is>
          <t>Closed</t>
        </is>
      </c>
      <c r="G389" s="3" t="inlineStr">
        <is>
          <t>Chandrashekar Patidar</t>
        </is>
      </c>
      <c r="H389" s="3" t="n">
        <v>7879764773</v>
      </c>
      <c r="I389" s="11" t="inlineStr">
        <is>
          <t>PE26032601</t>
        </is>
      </c>
      <c r="J389" s="3" t="inlineStr">
        <is>
          <t>Module Diode Failure</t>
        </is>
      </c>
      <c r="K389" s="3" t="inlineStr">
        <is>
          <t>Sadla</t>
        </is>
      </c>
      <c r="L389" s="3" t="inlineStr">
        <is>
          <t>Gujarat</t>
        </is>
      </c>
      <c r="M389" s="9" t="inlineStr">
        <is>
          <t>NS</t>
        </is>
      </c>
      <c r="N389" s="3" t="inlineStr">
        <is>
          <t>Cold Soldering</t>
        </is>
      </c>
      <c r="O389" s="3" t="n">
        <v>570</v>
      </c>
      <c r="P389" s="9" t="inlineStr">
        <is>
          <t>NSMI24060107466</t>
        </is>
      </c>
      <c r="Q389" s="53">
        <f>MID(P389,5,2)</f>
        <v/>
      </c>
      <c r="R389" s="53">
        <f>MID(P389,7,2)</f>
        <v/>
      </c>
      <c r="S389" s="3" t="inlineStr">
        <is>
          <t>G2G</t>
        </is>
      </c>
      <c r="T389" s="3" t="inlineStr">
        <is>
          <t>P4</t>
        </is>
      </c>
      <c r="U389" s="3" t="inlineStr">
        <is>
          <t>N JB Cold Soldering</t>
        </is>
      </c>
      <c r="V389" s="3" t="inlineStr">
        <is>
          <t>Soldering</t>
        </is>
      </c>
      <c r="W389" s="3" t="inlineStr">
        <is>
          <t>Repair</t>
        </is>
      </c>
      <c r="X389" s="18" t="n">
        <v>46148</v>
      </c>
      <c r="Y389" s="73">
        <f>IF(X389="","",X389-A389)</f>
        <v/>
      </c>
      <c r="Z389" s="18" t="n">
        <v>46148</v>
      </c>
      <c r="AA389" s="15" t="n"/>
      <c r="AB389" s="15" t="n"/>
      <c r="AF389">
        <f>IF(AND($F389="Closed",$X389&gt;=DATE(2026,5,1),$X389&lt;=DATE(2026,5,31)),"Closed in May","Other")</f>
        <v/>
      </c>
    </row>
    <row r="390">
      <c r="A390" s="6" t="n">
        <v>46107</v>
      </c>
      <c r="B390" s="3" t="n">
        <v>2026</v>
      </c>
      <c r="C390" s="3" t="inlineStr">
        <is>
          <t>Blupine Energy</t>
        </is>
      </c>
      <c r="D390" s="3" t="inlineStr">
        <is>
          <t>Utility and C&amp;I</t>
        </is>
      </c>
      <c r="E390" s="3" t="n"/>
      <c r="F390" s="3" t="inlineStr">
        <is>
          <t>Closed</t>
        </is>
      </c>
      <c r="G390" s="3" t="inlineStr">
        <is>
          <t>Chandrashekar Patidar</t>
        </is>
      </c>
      <c r="H390" s="3" t="n">
        <v>7879764773</v>
      </c>
      <c r="I390" s="11" t="inlineStr">
        <is>
          <t>PE26032601</t>
        </is>
      </c>
      <c r="J390" s="3" t="inlineStr">
        <is>
          <t>Module Diode Failure</t>
        </is>
      </c>
      <c r="K390" s="3" t="inlineStr">
        <is>
          <t>Sadla</t>
        </is>
      </c>
      <c r="L390" s="3" t="inlineStr">
        <is>
          <t>Gujarat</t>
        </is>
      </c>
      <c r="M390" s="9" t="inlineStr">
        <is>
          <t>PS</t>
        </is>
      </c>
      <c r="N390" s="3" t="inlineStr">
        <is>
          <t>Cold Soldering</t>
        </is>
      </c>
      <c r="O390" s="3" t="n">
        <v>570</v>
      </c>
      <c r="P390" s="9" t="inlineStr">
        <is>
          <t>NSMI24060106110</t>
        </is>
      </c>
      <c r="Q390" s="53">
        <f>MID(P390,5,2)</f>
        <v/>
      </c>
      <c r="R390" s="53">
        <f>MID(P390,7,2)</f>
        <v/>
      </c>
      <c r="S390" s="3" t="inlineStr">
        <is>
          <t>G2G</t>
        </is>
      </c>
      <c r="T390" s="3" t="inlineStr">
        <is>
          <t>P4</t>
        </is>
      </c>
      <c r="U390" s="3" t="inlineStr">
        <is>
          <t>P JB Cold Soldering</t>
        </is>
      </c>
      <c r="V390" s="3" t="inlineStr">
        <is>
          <t>Soldering</t>
        </is>
      </c>
      <c r="W390" s="3" t="inlineStr">
        <is>
          <t>Repair</t>
        </is>
      </c>
      <c r="X390" s="18" t="n">
        <v>46148</v>
      </c>
      <c r="Y390" s="73">
        <f>IF(X390="","",X390-A390)</f>
        <v/>
      </c>
      <c r="Z390" s="18" t="n">
        <v>46148</v>
      </c>
      <c r="AA390" s="15" t="n"/>
      <c r="AB390" s="15" t="n"/>
      <c r="AF390">
        <f>IF(AND($F390="Closed",$X390&gt;=DATE(2026,5,1),$X390&lt;=DATE(2026,5,31)),"Closed in May","Other")</f>
        <v/>
      </c>
    </row>
    <row r="391">
      <c r="A391" s="6" t="n">
        <v>46107</v>
      </c>
      <c r="B391" s="3" t="n">
        <v>2026</v>
      </c>
      <c r="C391" s="3" t="inlineStr">
        <is>
          <t>Blupine Energy</t>
        </is>
      </c>
      <c r="D391" s="3" t="inlineStr">
        <is>
          <t>Utility and C&amp;I</t>
        </is>
      </c>
      <c r="E391" s="3" t="n"/>
      <c r="F391" s="3" t="inlineStr">
        <is>
          <t>Closed</t>
        </is>
      </c>
      <c r="G391" s="3" t="inlineStr">
        <is>
          <t>Chandrashekar Patidar</t>
        </is>
      </c>
      <c r="H391" s="3" t="n">
        <v>7879764773</v>
      </c>
      <c r="I391" s="11" t="inlineStr">
        <is>
          <t>PE26032601</t>
        </is>
      </c>
      <c r="J391" s="3" t="inlineStr">
        <is>
          <t>Module Diode Failure</t>
        </is>
      </c>
      <c r="K391" s="3" t="inlineStr">
        <is>
          <t>Sadla</t>
        </is>
      </c>
      <c r="L391" s="3" t="inlineStr">
        <is>
          <t>Gujarat</t>
        </is>
      </c>
      <c r="M391" s="9" t="inlineStr">
        <is>
          <t>NS</t>
        </is>
      </c>
      <c r="N391" s="3" t="inlineStr">
        <is>
          <t>Cold Soldering</t>
        </is>
      </c>
      <c r="O391" s="3" t="n">
        <v>570</v>
      </c>
      <c r="P391" s="9" t="inlineStr">
        <is>
          <t>NSMI24060128392</t>
        </is>
      </c>
      <c r="Q391" s="53">
        <f>MID(P391,5,2)</f>
        <v/>
      </c>
      <c r="R391" s="53">
        <f>MID(P391,7,2)</f>
        <v/>
      </c>
      <c r="S391" s="3" t="inlineStr">
        <is>
          <t>G2G</t>
        </is>
      </c>
      <c r="T391" s="3" t="inlineStr">
        <is>
          <t>P4</t>
        </is>
      </c>
      <c r="U391" s="3" t="inlineStr">
        <is>
          <t>N JB Cold Soldering</t>
        </is>
      </c>
      <c r="V391" s="3" t="inlineStr">
        <is>
          <t>Soldering</t>
        </is>
      </c>
      <c r="W391" s="3" t="inlineStr">
        <is>
          <t>Repair</t>
        </is>
      </c>
      <c r="X391" s="18" t="n">
        <v>46148</v>
      </c>
      <c r="Y391" s="73">
        <f>IF(X391="","",X391-A391)</f>
        <v/>
      </c>
      <c r="Z391" s="18" t="n">
        <v>46148</v>
      </c>
      <c r="AA391" s="15" t="n"/>
      <c r="AB391" s="15" t="n"/>
      <c r="AF391">
        <f>IF(AND($F391="Closed",$X391&gt;=DATE(2026,5,1),$X391&lt;=DATE(2026,5,31)),"Closed in May","Other")</f>
        <v/>
      </c>
    </row>
    <row r="392">
      <c r="A392" s="6" t="n">
        <v>46107</v>
      </c>
      <c r="B392" s="3" t="n">
        <v>2026</v>
      </c>
      <c r="C392" s="3" t="inlineStr">
        <is>
          <t>Blupine Energy</t>
        </is>
      </c>
      <c r="D392" s="3" t="inlineStr">
        <is>
          <t>Utility and C&amp;I</t>
        </is>
      </c>
      <c r="E392" s="3" t="n"/>
      <c r="F392" s="3" t="inlineStr">
        <is>
          <t>Closed</t>
        </is>
      </c>
      <c r="G392" s="3" t="inlineStr">
        <is>
          <t>Chandrashekar Patidar</t>
        </is>
      </c>
      <c r="H392" s="3" t="n">
        <v>7879764773</v>
      </c>
      <c r="I392" s="11" t="inlineStr">
        <is>
          <t>PE26032601</t>
        </is>
      </c>
      <c r="J392" s="3" t="inlineStr">
        <is>
          <t>Module Diode Failure</t>
        </is>
      </c>
      <c r="K392" s="3" t="inlineStr">
        <is>
          <t>Sadla</t>
        </is>
      </c>
      <c r="L392" s="3" t="inlineStr">
        <is>
          <t>Gujarat</t>
        </is>
      </c>
      <c r="M392" s="9" t="inlineStr">
        <is>
          <t>PS</t>
        </is>
      </c>
      <c r="N392" s="3" t="inlineStr">
        <is>
          <t>Cold Soldering</t>
        </is>
      </c>
      <c r="O392" s="3" t="n">
        <v>570</v>
      </c>
      <c r="P392" s="9" t="inlineStr">
        <is>
          <t>NSMI24060134355</t>
        </is>
      </c>
      <c r="Q392" s="53">
        <f>MID(P392,5,2)</f>
        <v/>
      </c>
      <c r="R392" s="53">
        <f>MID(P392,7,2)</f>
        <v/>
      </c>
      <c r="S392" s="3" t="inlineStr">
        <is>
          <t>G2G</t>
        </is>
      </c>
      <c r="T392" s="3" t="inlineStr">
        <is>
          <t>P4</t>
        </is>
      </c>
      <c r="U392" s="3" t="inlineStr">
        <is>
          <t>P JB Cold Soldering</t>
        </is>
      </c>
      <c r="V392" s="3" t="inlineStr">
        <is>
          <t>Soldering</t>
        </is>
      </c>
      <c r="W392" s="3" t="inlineStr">
        <is>
          <t>Repair</t>
        </is>
      </c>
      <c r="X392" s="18" t="n">
        <v>46148</v>
      </c>
      <c r="Y392" s="73">
        <f>IF(X392="","",X392-A392)</f>
        <v/>
      </c>
      <c r="Z392" s="18" t="n">
        <v>46148</v>
      </c>
      <c r="AA392" s="15" t="n"/>
      <c r="AB392" s="15" t="n"/>
      <c r="AF392">
        <f>IF(AND($F392="Closed",$X392&gt;=DATE(2026,5,1),$X392&lt;=DATE(2026,5,31)),"Closed in May","Other")</f>
        <v/>
      </c>
    </row>
    <row r="393">
      <c r="A393" s="6" t="n">
        <v>46107</v>
      </c>
      <c r="B393" s="3" t="n">
        <v>2026</v>
      </c>
      <c r="C393" s="3" t="inlineStr">
        <is>
          <t>Blupine Energy</t>
        </is>
      </c>
      <c r="D393" s="3" t="inlineStr">
        <is>
          <t>Utility and C&amp;I</t>
        </is>
      </c>
      <c r="E393" s="3" t="n"/>
      <c r="F393" s="3" t="inlineStr">
        <is>
          <t>Closed</t>
        </is>
      </c>
      <c r="G393" s="3" t="inlineStr">
        <is>
          <t>Chandrashekar Patidar</t>
        </is>
      </c>
      <c r="H393" s="3" t="n">
        <v>7879764773</v>
      </c>
      <c r="I393" s="11" t="inlineStr">
        <is>
          <t>PE26032601</t>
        </is>
      </c>
      <c r="J393" s="3" t="inlineStr">
        <is>
          <t>Module Diode Failure</t>
        </is>
      </c>
      <c r="K393" s="3" t="inlineStr">
        <is>
          <t>Sadla</t>
        </is>
      </c>
      <c r="L393" s="3" t="inlineStr">
        <is>
          <t>Gujarat</t>
        </is>
      </c>
      <c r="M393" s="9" t="inlineStr">
        <is>
          <t>PS</t>
        </is>
      </c>
      <c r="N393" s="3" t="inlineStr">
        <is>
          <t>Cold Soldering</t>
        </is>
      </c>
      <c r="O393" s="3" t="n">
        <v>570</v>
      </c>
      <c r="P393" s="9" t="inlineStr">
        <is>
          <t>NSMI24050058271</t>
        </is>
      </c>
      <c r="Q393" s="53">
        <f>MID(P393,5,2)</f>
        <v/>
      </c>
      <c r="R393" s="53">
        <f>MID(P393,7,2)</f>
        <v/>
      </c>
      <c r="S393" s="3" t="inlineStr">
        <is>
          <t>G2G</t>
        </is>
      </c>
      <c r="T393" s="3" t="inlineStr">
        <is>
          <t>P4</t>
        </is>
      </c>
      <c r="U393" s="3" t="inlineStr">
        <is>
          <t>P JB Cold Soldering</t>
        </is>
      </c>
      <c r="V393" s="3" t="inlineStr">
        <is>
          <t>Soldering</t>
        </is>
      </c>
      <c r="W393" s="3" t="inlineStr">
        <is>
          <t>Repair</t>
        </is>
      </c>
      <c r="X393" s="18" t="n">
        <v>46148</v>
      </c>
      <c r="Y393" s="73">
        <f>IF(X393="","",X393-A393)</f>
        <v/>
      </c>
      <c r="Z393" s="18" t="n">
        <v>46148</v>
      </c>
      <c r="AA393" s="15" t="n"/>
      <c r="AB393" s="15" t="n"/>
      <c r="AF393">
        <f>IF(AND($F393="Closed",$X393&gt;=DATE(2026,5,1),$X393&lt;=DATE(2026,5,31)),"Closed in May","Other")</f>
        <v/>
      </c>
    </row>
    <row r="394">
      <c r="A394" s="6" t="n">
        <v>46107</v>
      </c>
      <c r="B394" s="3" t="n">
        <v>2026</v>
      </c>
      <c r="C394" s="3" t="inlineStr">
        <is>
          <t>Blupine Energy</t>
        </is>
      </c>
      <c r="D394" s="3" t="inlineStr">
        <is>
          <t>Utility and C&amp;I</t>
        </is>
      </c>
      <c r="E394" s="3" t="n"/>
      <c r="F394" s="3" t="inlineStr">
        <is>
          <t>Closed</t>
        </is>
      </c>
      <c r="G394" s="3" t="inlineStr">
        <is>
          <t>Chandrashekar Patidar</t>
        </is>
      </c>
      <c r="H394" s="3" t="n">
        <v>7879764773</v>
      </c>
      <c r="I394" s="11" t="inlineStr">
        <is>
          <t>PE26032601</t>
        </is>
      </c>
      <c r="J394" s="3" t="inlineStr">
        <is>
          <t>Module Diode Failure</t>
        </is>
      </c>
      <c r="K394" s="3" t="inlineStr">
        <is>
          <t>Sadla</t>
        </is>
      </c>
      <c r="L394" s="3" t="inlineStr">
        <is>
          <t>Gujarat</t>
        </is>
      </c>
      <c r="M394" s="9" t="inlineStr">
        <is>
          <t>NS</t>
        </is>
      </c>
      <c r="N394" s="3" t="inlineStr">
        <is>
          <t>Cold Soldering</t>
        </is>
      </c>
      <c r="O394" s="3" t="n">
        <v>570</v>
      </c>
      <c r="P394" s="9" t="inlineStr">
        <is>
          <t>NSMI24050049007</t>
        </is>
      </c>
      <c r="Q394" s="53">
        <f>MID(P394,5,2)</f>
        <v/>
      </c>
      <c r="R394" s="53">
        <f>MID(P394,7,2)</f>
        <v/>
      </c>
      <c r="S394" s="3" t="inlineStr">
        <is>
          <t>G2G</t>
        </is>
      </c>
      <c r="T394" s="3" t="inlineStr">
        <is>
          <t>P4</t>
        </is>
      </c>
      <c r="U394" s="3" t="inlineStr">
        <is>
          <t>N JB Cold Soldering</t>
        </is>
      </c>
      <c r="V394" s="3" t="inlineStr">
        <is>
          <t>Soldering</t>
        </is>
      </c>
      <c r="W394" s="3" t="inlineStr">
        <is>
          <t>Repair</t>
        </is>
      </c>
      <c r="X394" s="18" t="n">
        <v>46148</v>
      </c>
      <c r="Y394" s="73">
        <f>IF(X394="","",X394-A394)</f>
        <v/>
      </c>
      <c r="Z394" s="18" t="n">
        <v>46148</v>
      </c>
      <c r="AA394" s="15" t="n"/>
      <c r="AB394" s="15" t="n"/>
      <c r="AF394">
        <f>IF(AND($F394="Closed",$X394&gt;=DATE(2026,5,1),$X394&lt;=DATE(2026,5,31)),"Closed in May","Other")</f>
        <v/>
      </c>
    </row>
    <row r="395">
      <c r="A395" s="6" t="n">
        <v>46107</v>
      </c>
      <c r="B395" s="3" t="n">
        <v>2026</v>
      </c>
      <c r="C395" s="3" t="inlineStr">
        <is>
          <t>Blupine Energy</t>
        </is>
      </c>
      <c r="D395" s="3" t="inlineStr">
        <is>
          <t>Utility and C&amp;I</t>
        </is>
      </c>
      <c r="E395" s="3" t="n"/>
      <c r="F395" s="3" t="inlineStr">
        <is>
          <t>Closed</t>
        </is>
      </c>
      <c r="G395" s="3" t="inlineStr">
        <is>
          <t>Chandrashekar Patidar</t>
        </is>
      </c>
      <c r="H395" s="3" t="n">
        <v>7879764773</v>
      </c>
      <c r="I395" s="11" t="inlineStr">
        <is>
          <t>PE26032601</t>
        </is>
      </c>
      <c r="J395" s="3" t="inlineStr">
        <is>
          <t>Module Diode Failure</t>
        </is>
      </c>
      <c r="K395" s="3" t="inlineStr">
        <is>
          <t>Sadla</t>
        </is>
      </c>
      <c r="L395" s="3" t="inlineStr">
        <is>
          <t>Gujarat</t>
        </is>
      </c>
      <c r="M395" s="9" t="inlineStr">
        <is>
          <t>NS</t>
        </is>
      </c>
      <c r="N395" s="3" t="inlineStr">
        <is>
          <t>Cold Soldering</t>
        </is>
      </c>
      <c r="O395" s="3" t="n">
        <v>570</v>
      </c>
      <c r="P395" s="9" t="inlineStr">
        <is>
          <t>NSMI24050048994</t>
        </is>
      </c>
      <c r="Q395" s="53">
        <f>MID(P395,5,2)</f>
        <v/>
      </c>
      <c r="R395" s="53">
        <f>MID(P395,7,2)</f>
        <v/>
      </c>
      <c r="S395" s="3" t="inlineStr">
        <is>
          <t>G2G</t>
        </is>
      </c>
      <c r="T395" s="3" t="inlineStr">
        <is>
          <t>P4</t>
        </is>
      </c>
      <c r="U395" s="3" t="inlineStr">
        <is>
          <t>N JB Cold Soldering</t>
        </is>
      </c>
      <c r="V395" s="3" t="inlineStr">
        <is>
          <t>Soldering</t>
        </is>
      </c>
      <c r="W395" s="3" t="inlineStr">
        <is>
          <t>Repair</t>
        </is>
      </c>
      <c r="X395" s="18" t="n">
        <v>46148</v>
      </c>
      <c r="Y395" s="73">
        <f>IF(X395="","",X395-A395)</f>
        <v/>
      </c>
      <c r="Z395" s="18" t="n">
        <v>46148</v>
      </c>
      <c r="AA395" s="15" t="n"/>
      <c r="AB395" s="15" t="n"/>
      <c r="AF395">
        <f>IF(AND($F395="Closed",$X395&gt;=DATE(2026,5,1),$X395&lt;=DATE(2026,5,31)),"Closed in May","Other")</f>
        <v/>
      </c>
    </row>
    <row r="396">
      <c r="A396" s="6" t="n">
        <v>46107</v>
      </c>
      <c r="B396" s="3" t="n">
        <v>2026</v>
      </c>
      <c r="C396" s="3" t="inlineStr">
        <is>
          <t>Blupine Energy</t>
        </is>
      </c>
      <c r="D396" s="3" t="inlineStr">
        <is>
          <t>Utility and C&amp;I</t>
        </is>
      </c>
      <c r="E396" s="3" t="n"/>
      <c r="F396" s="3" t="inlineStr">
        <is>
          <t>Closed</t>
        </is>
      </c>
      <c r="G396" s="3" t="inlineStr">
        <is>
          <t>Chandrashekar Patidar</t>
        </is>
      </c>
      <c r="H396" s="3" t="n">
        <v>7879764773</v>
      </c>
      <c r="I396" s="11" t="inlineStr">
        <is>
          <t>PE26032601</t>
        </is>
      </c>
      <c r="J396" s="3" t="inlineStr">
        <is>
          <t>Module Diode Failure</t>
        </is>
      </c>
      <c r="K396" s="3" t="inlineStr">
        <is>
          <t>Sadla</t>
        </is>
      </c>
      <c r="L396" s="3" t="inlineStr">
        <is>
          <t>Gujarat</t>
        </is>
      </c>
      <c r="M396" s="9" t="inlineStr">
        <is>
          <t>NS</t>
        </is>
      </c>
      <c r="N396" s="3" t="inlineStr">
        <is>
          <t>Cold Soldering</t>
        </is>
      </c>
      <c r="O396" s="3" t="n">
        <v>570</v>
      </c>
      <c r="P396" s="9" t="inlineStr">
        <is>
          <t>NSMI24050048702</t>
        </is>
      </c>
      <c r="Q396" s="53">
        <f>MID(P396,5,2)</f>
        <v/>
      </c>
      <c r="R396" s="53">
        <f>MID(P396,7,2)</f>
        <v/>
      </c>
      <c r="S396" s="3" t="inlineStr">
        <is>
          <t>G2G</t>
        </is>
      </c>
      <c r="T396" s="3" t="inlineStr">
        <is>
          <t>P4</t>
        </is>
      </c>
      <c r="U396" s="3" t="inlineStr">
        <is>
          <t>N JB Cold Soldering</t>
        </is>
      </c>
      <c r="V396" s="3" t="inlineStr">
        <is>
          <t>Soldering</t>
        </is>
      </c>
      <c r="W396" s="3" t="inlineStr">
        <is>
          <t>Repair</t>
        </is>
      </c>
      <c r="X396" s="18" t="n">
        <v>46148</v>
      </c>
      <c r="Y396" s="73">
        <f>IF(X396="","",X396-A396)</f>
        <v/>
      </c>
      <c r="Z396" s="18" t="n">
        <v>46148</v>
      </c>
      <c r="AA396" s="15" t="n"/>
      <c r="AB396" s="15" t="n"/>
      <c r="AF396">
        <f>IF(AND($F396="Closed",$X396&gt;=DATE(2026,5,1),$X396&lt;=DATE(2026,5,31)),"Closed in May","Other")</f>
        <v/>
      </c>
    </row>
    <row r="397">
      <c r="A397" s="6" t="n">
        <v>46107</v>
      </c>
      <c r="B397" s="3" t="n">
        <v>2026</v>
      </c>
      <c r="C397" s="3" t="inlineStr">
        <is>
          <t>Blupine Energy</t>
        </is>
      </c>
      <c r="D397" s="3" t="inlineStr">
        <is>
          <t>Utility and C&amp;I</t>
        </is>
      </c>
      <c r="E397" s="3" t="n"/>
      <c r="F397" s="3" t="inlineStr">
        <is>
          <t>Closed</t>
        </is>
      </c>
      <c r="G397" s="3" t="inlineStr">
        <is>
          <t>Chandrashekar Patidar</t>
        </is>
      </c>
      <c r="H397" s="3" t="n">
        <v>7879764773</v>
      </c>
      <c r="I397" s="11" t="inlineStr">
        <is>
          <t>PE26032601</t>
        </is>
      </c>
      <c r="J397" s="3" t="inlineStr">
        <is>
          <t>Module Diode Failure</t>
        </is>
      </c>
      <c r="K397" s="3" t="inlineStr">
        <is>
          <t>Sadla</t>
        </is>
      </c>
      <c r="L397" s="3" t="inlineStr">
        <is>
          <t>Gujarat</t>
        </is>
      </c>
      <c r="M397" s="9" t="inlineStr">
        <is>
          <t>PS</t>
        </is>
      </c>
      <c r="N397" s="3" t="inlineStr">
        <is>
          <t>Cold Soldering</t>
        </is>
      </c>
      <c r="O397" s="3" t="n">
        <v>570</v>
      </c>
      <c r="P397" s="9" t="inlineStr">
        <is>
          <t>NSMI24060107164</t>
        </is>
      </c>
      <c r="Q397" s="53">
        <f>MID(P397,5,2)</f>
        <v/>
      </c>
      <c r="R397" s="53">
        <f>MID(P397,7,2)</f>
        <v/>
      </c>
      <c r="S397" s="3" t="inlineStr">
        <is>
          <t>G2G</t>
        </is>
      </c>
      <c r="T397" s="3" t="inlineStr">
        <is>
          <t>P4</t>
        </is>
      </c>
      <c r="U397" s="3" t="inlineStr">
        <is>
          <t>P JB Cold Soldering</t>
        </is>
      </c>
      <c r="V397" s="3" t="inlineStr">
        <is>
          <t>Soldering</t>
        </is>
      </c>
      <c r="W397" s="3" t="inlineStr">
        <is>
          <t>Repair</t>
        </is>
      </c>
      <c r="X397" s="18" t="n">
        <v>46148</v>
      </c>
      <c r="Y397" s="73">
        <f>IF(X397="","",X397-A397)</f>
        <v/>
      </c>
      <c r="Z397" s="18" t="n">
        <v>46148</v>
      </c>
      <c r="AA397" s="15" t="n"/>
      <c r="AB397" s="15" t="n"/>
      <c r="AF397">
        <f>IF(AND($F397="Closed",$X397&gt;=DATE(2026,5,1),$X397&lt;=DATE(2026,5,31)),"Closed in May","Other")</f>
        <v/>
      </c>
    </row>
    <row r="398">
      <c r="A398" s="6" t="n">
        <v>46107</v>
      </c>
      <c r="B398" s="3" t="n">
        <v>2026</v>
      </c>
      <c r="C398" s="3" t="inlineStr">
        <is>
          <t>Blupine Energy</t>
        </is>
      </c>
      <c r="D398" s="3" t="inlineStr">
        <is>
          <t>Utility and C&amp;I</t>
        </is>
      </c>
      <c r="E398" s="3" t="n"/>
      <c r="F398" s="3" t="inlineStr">
        <is>
          <t>Closed</t>
        </is>
      </c>
      <c r="G398" s="3" t="inlineStr">
        <is>
          <t>Chandrashekar Patidar</t>
        </is>
      </c>
      <c r="H398" s="3" t="n">
        <v>7879764773</v>
      </c>
      <c r="I398" s="11" t="inlineStr">
        <is>
          <t>PE26032601</t>
        </is>
      </c>
      <c r="J398" s="3" t="inlineStr">
        <is>
          <t>Module Diode Failure</t>
        </is>
      </c>
      <c r="K398" s="3" t="inlineStr">
        <is>
          <t>Sadla</t>
        </is>
      </c>
      <c r="L398" s="3" t="inlineStr">
        <is>
          <t>Gujarat</t>
        </is>
      </c>
      <c r="M398" s="9" t="inlineStr">
        <is>
          <t>NS</t>
        </is>
      </c>
      <c r="N398" s="3" t="inlineStr">
        <is>
          <t>Cold Soldering</t>
        </is>
      </c>
      <c r="O398" s="3" t="n">
        <v>570</v>
      </c>
      <c r="P398" s="9" t="inlineStr">
        <is>
          <t>NSMI24060091410</t>
        </is>
      </c>
      <c r="Q398" s="53">
        <f>MID(P398,5,2)</f>
        <v/>
      </c>
      <c r="R398" s="53">
        <f>MID(P398,7,2)</f>
        <v/>
      </c>
      <c r="S398" s="3" t="inlineStr">
        <is>
          <t>G2G</t>
        </is>
      </c>
      <c r="T398" s="3" t="inlineStr">
        <is>
          <t>P4</t>
        </is>
      </c>
      <c r="U398" s="3" t="inlineStr">
        <is>
          <t>N JB Cold Soldering</t>
        </is>
      </c>
      <c r="V398" s="3" t="inlineStr">
        <is>
          <t>Soldering</t>
        </is>
      </c>
      <c r="W398" s="3" t="inlineStr">
        <is>
          <t>Repair</t>
        </is>
      </c>
      <c r="X398" s="18" t="n">
        <v>46148</v>
      </c>
      <c r="Y398" s="73">
        <f>IF(X398="","",X398-A398)</f>
        <v/>
      </c>
      <c r="Z398" s="18" t="n">
        <v>46148</v>
      </c>
      <c r="AA398" s="15" t="n"/>
      <c r="AB398" s="15" t="n"/>
      <c r="AF398">
        <f>IF(AND($F398="Closed",$X398&gt;=DATE(2026,5,1),$X398&lt;=DATE(2026,5,31)),"Closed in May","Other")</f>
        <v/>
      </c>
    </row>
    <row r="399">
      <c r="A399" s="6" t="n">
        <v>46107</v>
      </c>
      <c r="B399" s="3" t="n">
        <v>2026</v>
      </c>
      <c r="C399" s="3" t="inlineStr">
        <is>
          <t>Blupine Energy</t>
        </is>
      </c>
      <c r="D399" s="3" t="inlineStr">
        <is>
          <t>Utility and C&amp;I</t>
        </is>
      </c>
      <c r="E399" s="3" t="n"/>
      <c r="F399" s="3" t="inlineStr">
        <is>
          <t>Closed</t>
        </is>
      </c>
      <c r="G399" s="3" t="inlineStr">
        <is>
          <t>Chandrashekar Patidar</t>
        </is>
      </c>
      <c r="H399" s="3" t="n">
        <v>7879764773</v>
      </c>
      <c r="I399" s="11" t="inlineStr">
        <is>
          <t>PE26032601</t>
        </is>
      </c>
      <c r="J399" s="3" t="inlineStr">
        <is>
          <t>Module Diode Failure</t>
        </is>
      </c>
      <c r="K399" s="3" t="inlineStr">
        <is>
          <t>Sadla</t>
        </is>
      </c>
      <c r="L399" s="3" t="inlineStr">
        <is>
          <t>Gujarat</t>
        </is>
      </c>
      <c r="M399" s="9" t="inlineStr">
        <is>
          <t>NS</t>
        </is>
      </c>
      <c r="N399" s="3" t="inlineStr">
        <is>
          <t>Cold Soldering</t>
        </is>
      </c>
      <c r="O399" s="3" t="n">
        <v>570</v>
      </c>
      <c r="P399" s="9" t="inlineStr">
        <is>
          <t>NSMI24060106541</t>
        </is>
      </c>
      <c r="Q399" s="53">
        <f>MID(P399,5,2)</f>
        <v/>
      </c>
      <c r="R399" s="53">
        <f>MID(P399,7,2)</f>
        <v/>
      </c>
      <c r="S399" s="3" t="inlineStr">
        <is>
          <t>G2G</t>
        </is>
      </c>
      <c r="T399" s="3" t="inlineStr">
        <is>
          <t>P4</t>
        </is>
      </c>
      <c r="U399" s="3" t="inlineStr">
        <is>
          <t>N JB Cold Soldering</t>
        </is>
      </c>
      <c r="V399" s="3" t="inlineStr">
        <is>
          <t>Soldering</t>
        </is>
      </c>
      <c r="W399" s="3" t="inlineStr">
        <is>
          <t>Repair</t>
        </is>
      </c>
      <c r="X399" s="18" t="n">
        <v>46148</v>
      </c>
      <c r="Y399" s="73">
        <f>IF(X399="","",X399-A399)</f>
        <v/>
      </c>
      <c r="Z399" s="18" t="n">
        <v>46148</v>
      </c>
      <c r="AA399" s="15" t="n"/>
      <c r="AB399" s="15" t="n"/>
      <c r="AF399">
        <f>IF(AND($F399="Closed",$X399&gt;=DATE(2026,5,1),$X399&lt;=DATE(2026,5,31)),"Closed in May","Other")</f>
        <v/>
      </c>
    </row>
    <row r="400">
      <c r="A400" s="6" t="n">
        <v>46107</v>
      </c>
      <c r="B400" s="3" t="n">
        <v>2026</v>
      </c>
      <c r="C400" s="3" t="inlineStr">
        <is>
          <t>Blupine Energy</t>
        </is>
      </c>
      <c r="D400" s="3" t="inlineStr">
        <is>
          <t>Utility and C&amp;I</t>
        </is>
      </c>
      <c r="E400" s="3" t="n"/>
      <c r="F400" s="3" t="inlineStr">
        <is>
          <t>Closed</t>
        </is>
      </c>
      <c r="G400" s="3" t="inlineStr">
        <is>
          <t>Chandrashekar Patidar</t>
        </is>
      </c>
      <c r="H400" s="3" t="n">
        <v>7879764773</v>
      </c>
      <c r="I400" s="11" t="inlineStr">
        <is>
          <t>PE26032601</t>
        </is>
      </c>
      <c r="J400" s="3" t="inlineStr">
        <is>
          <t>Module Diode Failure</t>
        </is>
      </c>
      <c r="K400" s="3" t="inlineStr">
        <is>
          <t>Sadla</t>
        </is>
      </c>
      <c r="L400" s="3" t="inlineStr">
        <is>
          <t>Gujarat</t>
        </is>
      </c>
      <c r="M400" s="9" t="inlineStr">
        <is>
          <t>NS</t>
        </is>
      </c>
      <c r="N400" s="3" t="inlineStr">
        <is>
          <t>Cold Soldering</t>
        </is>
      </c>
      <c r="O400" s="3" t="n">
        <v>570</v>
      </c>
      <c r="P400" s="9" t="inlineStr">
        <is>
          <t>NSMI24050050543</t>
        </is>
      </c>
      <c r="Q400" s="53">
        <f>MID(P400,5,2)</f>
        <v/>
      </c>
      <c r="R400" s="53">
        <f>MID(P400,7,2)</f>
        <v/>
      </c>
      <c r="S400" s="3" t="inlineStr">
        <is>
          <t>G2G</t>
        </is>
      </c>
      <c r="T400" s="3" t="inlineStr">
        <is>
          <t>P4</t>
        </is>
      </c>
      <c r="U400" s="3" t="inlineStr">
        <is>
          <t>N JB Cold Soldering</t>
        </is>
      </c>
      <c r="V400" s="3" t="inlineStr">
        <is>
          <t>Soldering</t>
        </is>
      </c>
      <c r="W400" s="3" t="inlineStr">
        <is>
          <t>Repair</t>
        </is>
      </c>
      <c r="X400" s="18" t="n">
        <v>46148</v>
      </c>
      <c r="Y400" s="73">
        <f>IF(X400="","",X400-A400)</f>
        <v/>
      </c>
      <c r="Z400" s="18" t="n">
        <v>46148</v>
      </c>
      <c r="AA400" s="15" t="n"/>
      <c r="AB400" s="15" t="n"/>
      <c r="AF400">
        <f>IF(AND($F400="Closed",$X400&gt;=DATE(2026,5,1),$X400&lt;=DATE(2026,5,31)),"Closed in May","Other")</f>
        <v/>
      </c>
    </row>
    <row r="401">
      <c r="A401" s="6" t="n">
        <v>46107</v>
      </c>
      <c r="B401" s="3" t="n">
        <v>2026</v>
      </c>
      <c r="C401" s="3" t="inlineStr">
        <is>
          <t>Blupine Energy</t>
        </is>
      </c>
      <c r="D401" s="3" t="inlineStr">
        <is>
          <t>Utility and C&amp;I</t>
        </is>
      </c>
      <c r="E401" s="3" t="n"/>
      <c r="F401" s="3" t="inlineStr">
        <is>
          <t>Closed</t>
        </is>
      </c>
      <c r="G401" s="3" t="inlineStr">
        <is>
          <t>Chandrashekar Patidar</t>
        </is>
      </c>
      <c r="H401" s="3" t="n">
        <v>7879764773</v>
      </c>
      <c r="I401" s="11" t="inlineStr">
        <is>
          <t>PE26032601</t>
        </is>
      </c>
      <c r="J401" s="3" t="inlineStr">
        <is>
          <t>Module Diode Failure</t>
        </is>
      </c>
      <c r="K401" s="3" t="inlineStr">
        <is>
          <t>Sadla</t>
        </is>
      </c>
      <c r="L401" s="3" t="inlineStr">
        <is>
          <t>Gujarat</t>
        </is>
      </c>
      <c r="M401" s="9" t="inlineStr">
        <is>
          <t>NS</t>
        </is>
      </c>
      <c r="N401" s="3" t="inlineStr">
        <is>
          <t>Cold Soldering</t>
        </is>
      </c>
      <c r="O401" s="3" t="n">
        <v>570</v>
      </c>
      <c r="P401" s="9" t="inlineStr">
        <is>
          <t>NSMI24050050532</t>
        </is>
      </c>
      <c r="Q401" s="53">
        <f>MID(P401,5,2)</f>
        <v/>
      </c>
      <c r="R401" s="53">
        <f>MID(P401,7,2)</f>
        <v/>
      </c>
      <c r="S401" s="3" t="inlineStr">
        <is>
          <t>G2G</t>
        </is>
      </c>
      <c r="T401" s="3" t="inlineStr">
        <is>
          <t>P4</t>
        </is>
      </c>
      <c r="U401" s="3" t="inlineStr">
        <is>
          <t>N JB Cold Soldering</t>
        </is>
      </c>
      <c r="V401" s="3" t="inlineStr">
        <is>
          <t>Soldering</t>
        </is>
      </c>
      <c r="W401" s="3" t="inlineStr">
        <is>
          <t>Repair</t>
        </is>
      </c>
      <c r="X401" s="18" t="n">
        <v>46148</v>
      </c>
      <c r="Y401" s="73">
        <f>IF(X401="","",X401-A401)</f>
        <v/>
      </c>
      <c r="Z401" s="18" t="n">
        <v>46148</v>
      </c>
      <c r="AA401" s="15" t="n"/>
      <c r="AB401" s="15" t="n"/>
      <c r="AF401">
        <f>IF(AND($F401="Closed",$X401&gt;=DATE(2026,5,1),$X401&lt;=DATE(2026,5,31)),"Closed in May","Other")</f>
        <v/>
      </c>
    </row>
    <row r="402">
      <c r="A402" s="6" t="n">
        <v>46107</v>
      </c>
      <c r="B402" s="3" t="n">
        <v>2026</v>
      </c>
      <c r="C402" s="3" t="inlineStr">
        <is>
          <t>Blupine Energy</t>
        </is>
      </c>
      <c r="D402" s="3" t="inlineStr">
        <is>
          <t>Utility and C&amp;I</t>
        </is>
      </c>
      <c r="E402" s="3" t="n"/>
      <c r="F402" s="3" t="inlineStr">
        <is>
          <t>Closed</t>
        </is>
      </c>
      <c r="G402" s="3" t="inlineStr">
        <is>
          <t>Chandrashekar Patidar</t>
        </is>
      </c>
      <c r="H402" s="3" t="n">
        <v>7879764773</v>
      </c>
      <c r="I402" s="11" t="inlineStr">
        <is>
          <t>PE26032601</t>
        </is>
      </c>
      <c r="J402" s="3" t="inlineStr">
        <is>
          <t>Module Diode Failure</t>
        </is>
      </c>
      <c r="K402" s="3" t="inlineStr">
        <is>
          <t>Sadla</t>
        </is>
      </c>
      <c r="L402" s="3" t="inlineStr">
        <is>
          <t>Gujarat</t>
        </is>
      </c>
      <c r="M402" s="9" t="inlineStr">
        <is>
          <t>NS</t>
        </is>
      </c>
      <c r="N402" s="3" t="inlineStr">
        <is>
          <t>Cold Soldering</t>
        </is>
      </c>
      <c r="O402" s="3" t="n">
        <v>570</v>
      </c>
      <c r="P402" s="9" t="inlineStr">
        <is>
          <t>NSMI24060107825</t>
        </is>
      </c>
      <c r="Q402" s="53">
        <f>MID(P402,5,2)</f>
        <v/>
      </c>
      <c r="R402" s="53">
        <f>MID(P402,7,2)</f>
        <v/>
      </c>
      <c r="S402" s="3" t="inlineStr">
        <is>
          <t>G2G</t>
        </is>
      </c>
      <c r="T402" s="3" t="inlineStr">
        <is>
          <t>P4</t>
        </is>
      </c>
      <c r="U402" s="3" t="inlineStr">
        <is>
          <t>N JB Cold Soldering</t>
        </is>
      </c>
      <c r="V402" s="3" t="inlineStr">
        <is>
          <t>Soldering</t>
        </is>
      </c>
      <c r="W402" s="3" t="inlineStr">
        <is>
          <t>Repair</t>
        </is>
      </c>
      <c r="X402" s="18" t="n">
        <v>46148</v>
      </c>
      <c r="Y402" s="73">
        <f>IF(X402="","",X402-A402)</f>
        <v/>
      </c>
      <c r="Z402" s="18" t="n">
        <v>46148</v>
      </c>
      <c r="AA402" s="15" t="n"/>
      <c r="AB402" s="15" t="n"/>
      <c r="AF402">
        <f>IF(AND($F402="Closed",$X402&gt;=DATE(2026,5,1),$X402&lt;=DATE(2026,5,31)),"Closed in May","Other")</f>
        <v/>
      </c>
    </row>
    <row r="403">
      <c r="A403" s="6" t="n">
        <v>46107</v>
      </c>
      <c r="B403" s="3" t="n">
        <v>2026</v>
      </c>
      <c r="C403" s="3" t="inlineStr">
        <is>
          <t>Blupine Energy</t>
        </is>
      </c>
      <c r="D403" s="3" t="inlineStr">
        <is>
          <t>Utility and C&amp;I</t>
        </is>
      </c>
      <c r="E403" s="3" t="n"/>
      <c r="F403" s="3" t="inlineStr">
        <is>
          <t>Closed</t>
        </is>
      </c>
      <c r="G403" s="3" t="inlineStr">
        <is>
          <t>Chandrashekar Patidar</t>
        </is>
      </c>
      <c r="H403" s="3" t="n">
        <v>7879764773</v>
      </c>
      <c r="I403" s="11" t="inlineStr">
        <is>
          <t>PE26032601</t>
        </is>
      </c>
      <c r="J403" s="3" t="inlineStr">
        <is>
          <t>Module Diode Failure</t>
        </is>
      </c>
      <c r="K403" s="3" t="inlineStr">
        <is>
          <t>Sadla</t>
        </is>
      </c>
      <c r="L403" s="3" t="inlineStr">
        <is>
          <t>Gujarat</t>
        </is>
      </c>
      <c r="M403" s="9" t="inlineStr">
        <is>
          <t>NR</t>
        </is>
      </c>
      <c r="N403" s="3" t="inlineStr">
        <is>
          <t>JB Issue</t>
        </is>
      </c>
      <c r="O403" s="3" t="n">
        <v>570</v>
      </c>
      <c r="P403" s="9" t="inlineStr">
        <is>
          <t>NSMI24060111140</t>
        </is>
      </c>
      <c r="Q403" s="53">
        <f>MID(P403,5,2)</f>
        <v/>
      </c>
      <c r="R403" s="53">
        <f>MID(P403,7,2)</f>
        <v/>
      </c>
      <c r="S403" s="3" t="inlineStr">
        <is>
          <t>G2G</t>
        </is>
      </c>
      <c r="T403" s="3" t="inlineStr">
        <is>
          <t>P4</t>
        </is>
      </c>
      <c r="U403" s="3" t="inlineStr">
        <is>
          <t>N JB Issue</t>
        </is>
      </c>
      <c r="V403" s="3" t="inlineStr">
        <is>
          <t>JB Changed</t>
        </is>
      </c>
      <c r="W403" s="3" t="inlineStr">
        <is>
          <t>Repair</t>
        </is>
      </c>
      <c r="X403" s="18" t="n">
        <v>46148</v>
      </c>
      <c r="Y403" s="73">
        <f>IF(X403="","",X403-A403)</f>
        <v/>
      </c>
      <c r="Z403" s="18" t="n">
        <v>46148</v>
      </c>
      <c r="AA403" s="15" t="n"/>
      <c r="AB403" s="15" t="n"/>
      <c r="AF403">
        <f>IF(AND($F403="Closed",$X403&gt;=DATE(2026,5,1),$X403&lt;=DATE(2026,5,31)),"Closed in May","Other")</f>
        <v/>
      </c>
    </row>
    <row r="404">
      <c r="A404" s="6" t="n">
        <v>46107</v>
      </c>
      <c r="B404" s="3" t="n">
        <v>2026</v>
      </c>
      <c r="C404" s="3" t="inlineStr">
        <is>
          <t>Blupine Energy</t>
        </is>
      </c>
      <c r="D404" s="3" t="inlineStr">
        <is>
          <t>Utility and C&amp;I</t>
        </is>
      </c>
      <c r="E404" s="3" t="n"/>
      <c r="F404" s="3" t="inlineStr">
        <is>
          <t>Closed</t>
        </is>
      </c>
      <c r="G404" s="3" t="inlineStr">
        <is>
          <t>Chandrashekar Patidar</t>
        </is>
      </c>
      <c r="H404" s="3" t="n">
        <v>7879764773</v>
      </c>
      <c r="I404" s="11" t="inlineStr">
        <is>
          <t>PE26032601</t>
        </is>
      </c>
      <c r="J404" s="3" t="inlineStr">
        <is>
          <t>Module Diode Failure</t>
        </is>
      </c>
      <c r="K404" s="3" t="inlineStr">
        <is>
          <t>Sadla</t>
        </is>
      </c>
      <c r="L404" s="3" t="inlineStr">
        <is>
          <t>Gujarat</t>
        </is>
      </c>
      <c r="M404" s="9" t="inlineStr">
        <is>
          <t>NS</t>
        </is>
      </c>
      <c r="N404" s="3" t="inlineStr">
        <is>
          <t>Cold Soldering</t>
        </is>
      </c>
      <c r="O404" s="3" t="n">
        <v>570</v>
      </c>
      <c r="P404" s="9" t="inlineStr">
        <is>
          <t>NSMI24060111131</t>
        </is>
      </c>
      <c r="Q404" s="53">
        <f>MID(P404,5,2)</f>
        <v/>
      </c>
      <c r="R404" s="53">
        <f>MID(P404,7,2)</f>
        <v/>
      </c>
      <c r="S404" s="3" t="inlineStr">
        <is>
          <t>G2G</t>
        </is>
      </c>
      <c r="T404" s="3" t="inlineStr">
        <is>
          <t>P4</t>
        </is>
      </c>
      <c r="U404" s="3" t="inlineStr">
        <is>
          <t>N JB Cold Soldering</t>
        </is>
      </c>
      <c r="V404" s="3" t="inlineStr">
        <is>
          <t>Soldering</t>
        </is>
      </c>
      <c r="W404" s="3" t="inlineStr">
        <is>
          <t>Repair</t>
        </is>
      </c>
      <c r="X404" s="18" t="n">
        <v>46148</v>
      </c>
      <c r="Y404" s="73">
        <f>IF(X404="","",X404-A404)</f>
        <v/>
      </c>
      <c r="Z404" s="18" t="n">
        <v>46148</v>
      </c>
      <c r="AA404" s="15" t="n"/>
      <c r="AB404" s="15" t="n"/>
      <c r="AF404">
        <f>IF(AND($F404="Closed",$X404&gt;=DATE(2026,5,1),$X404&lt;=DATE(2026,5,31)),"Closed in May","Other")</f>
        <v/>
      </c>
    </row>
    <row r="405">
      <c r="A405" s="6" t="n">
        <v>46107</v>
      </c>
      <c r="B405" s="3" t="n">
        <v>2026</v>
      </c>
      <c r="C405" s="3" t="inlineStr">
        <is>
          <t>Blupine Energy</t>
        </is>
      </c>
      <c r="D405" s="3" t="inlineStr">
        <is>
          <t>Utility and C&amp;I</t>
        </is>
      </c>
      <c r="E405" s="3" t="n"/>
      <c r="F405" s="3" t="inlineStr">
        <is>
          <t>Closed</t>
        </is>
      </c>
      <c r="G405" s="3" t="inlineStr">
        <is>
          <t>Chandrashekar Patidar</t>
        </is>
      </c>
      <c r="H405" s="3" t="n">
        <v>7879764773</v>
      </c>
      <c r="I405" s="11" t="inlineStr">
        <is>
          <t>PE26032601</t>
        </is>
      </c>
      <c r="J405" s="3" t="inlineStr">
        <is>
          <t>Module Diode Failure</t>
        </is>
      </c>
      <c r="K405" s="3" t="inlineStr">
        <is>
          <t>Sadla</t>
        </is>
      </c>
      <c r="L405" s="3" t="inlineStr">
        <is>
          <t>Gujarat</t>
        </is>
      </c>
      <c r="M405" s="9" t="inlineStr">
        <is>
          <t>PS</t>
        </is>
      </c>
      <c r="N405" s="3" t="inlineStr">
        <is>
          <t>Cold Soldering</t>
        </is>
      </c>
      <c r="O405" s="3" t="n">
        <v>570</v>
      </c>
      <c r="P405" s="9" t="inlineStr">
        <is>
          <t>NSMI24060107574</t>
        </is>
      </c>
      <c r="Q405" s="53">
        <f>MID(P405,5,2)</f>
        <v/>
      </c>
      <c r="R405" s="53">
        <f>MID(P405,7,2)</f>
        <v/>
      </c>
      <c r="S405" s="3" t="inlineStr">
        <is>
          <t>G2G</t>
        </is>
      </c>
      <c r="T405" s="3" t="inlineStr">
        <is>
          <t>P4</t>
        </is>
      </c>
      <c r="U405" s="3" t="inlineStr">
        <is>
          <t>P JB Cold Soldering</t>
        </is>
      </c>
      <c r="V405" s="3" t="inlineStr">
        <is>
          <t>Soldering</t>
        </is>
      </c>
      <c r="W405" s="3" t="inlineStr">
        <is>
          <t>Repair</t>
        </is>
      </c>
      <c r="X405" s="18" t="n">
        <v>46148</v>
      </c>
      <c r="Y405" s="73">
        <f>IF(X405="","",X405-A405)</f>
        <v/>
      </c>
      <c r="Z405" s="18" t="n">
        <v>46148</v>
      </c>
      <c r="AA405" s="15" t="n"/>
      <c r="AB405" s="15" t="n"/>
      <c r="AF405">
        <f>IF(AND($F405="Closed",$X405&gt;=DATE(2026,5,1),$X405&lt;=DATE(2026,5,31)),"Closed in May","Other")</f>
        <v/>
      </c>
    </row>
    <row r="406">
      <c r="A406" s="6" t="n">
        <v>46107</v>
      </c>
      <c r="B406" s="3" t="n">
        <v>2026</v>
      </c>
      <c r="C406" s="3" t="inlineStr">
        <is>
          <t>Blupine Energy</t>
        </is>
      </c>
      <c r="D406" s="3" t="inlineStr">
        <is>
          <t>Utility and C&amp;I</t>
        </is>
      </c>
      <c r="E406" s="3" t="n"/>
      <c r="F406" s="3" t="inlineStr">
        <is>
          <t>Closed</t>
        </is>
      </c>
      <c r="G406" s="3" t="inlineStr">
        <is>
          <t>Chandrashekar Patidar</t>
        </is>
      </c>
      <c r="H406" s="3" t="n">
        <v>7879764773</v>
      </c>
      <c r="I406" s="11" t="inlineStr">
        <is>
          <t>PE26032601</t>
        </is>
      </c>
      <c r="J406" s="3" t="inlineStr">
        <is>
          <t>Module Diode Failure</t>
        </is>
      </c>
      <c r="K406" s="3" t="inlineStr">
        <is>
          <t>Sadla</t>
        </is>
      </c>
      <c r="L406" s="3" t="inlineStr">
        <is>
          <t>Gujarat</t>
        </is>
      </c>
      <c r="M406" s="9" t="inlineStr">
        <is>
          <t>PS</t>
        </is>
      </c>
      <c r="N406" s="3" t="inlineStr">
        <is>
          <t>Cold Soldering</t>
        </is>
      </c>
      <c r="O406" s="3" t="n">
        <v>570</v>
      </c>
      <c r="P406" s="9" t="inlineStr">
        <is>
          <t>NSMI24060118579</t>
        </is>
      </c>
      <c r="Q406" s="53">
        <f>MID(P406,5,2)</f>
        <v/>
      </c>
      <c r="R406" s="53">
        <f>MID(P406,7,2)</f>
        <v/>
      </c>
      <c r="S406" s="3" t="inlineStr">
        <is>
          <t>G2G</t>
        </is>
      </c>
      <c r="T406" s="3" t="inlineStr">
        <is>
          <t>P4</t>
        </is>
      </c>
      <c r="U406" s="3" t="inlineStr">
        <is>
          <t>P JB Cold Soldering</t>
        </is>
      </c>
      <c r="V406" s="3" t="inlineStr">
        <is>
          <t>Soldering</t>
        </is>
      </c>
      <c r="W406" s="3" t="inlineStr">
        <is>
          <t>Repair</t>
        </is>
      </c>
      <c r="X406" s="18" t="n">
        <v>46148</v>
      </c>
      <c r="Y406" s="73">
        <f>IF(X406="","",X406-A406)</f>
        <v/>
      </c>
      <c r="Z406" s="18" t="n">
        <v>46148</v>
      </c>
      <c r="AA406" s="15" t="n"/>
      <c r="AB406" s="15" t="n"/>
      <c r="AF406">
        <f>IF(AND($F406="Closed",$X406&gt;=DATE(2026,5,1),$X406&lt;=DATE(2026,5,31)),"Closed in May","Other")</f>
        <v/>
      </c>
    </row>
    <row r="407">
      <c r="A407" s="6" t="n">
        <v>46107</v>
      </c>
      <c r="B407" s="3" t="n">
        <v>2026</v>
      </c>
      <c r="C407" s="3" t="inlineStr">
        <is>
          <t>Blupine Energy</t>
        </is>
      </c>
      <c r="D407" s="3" t="inlineStr">
        <is>
          <t>Utility and C&amp;I</t>
        </is>
      </c>
      <c r="E407" s="3" t="n"/>
      <c r="F407" s="3" t="inlineStr">
        <is>
          <t>Closed</t>
        </is>
      </c>
      <c r="G407" s="3" t="inlineStr">
        <is>
          <t>Chandrashekar Patidar</t>
        </is>
      </c>
      <c r="H407" s="3" t="n">
        <v>7879764773</v>
      </c>
      <c r="I407" s="11" t="inlineStr">
        <is>
          <t>PE26032601</t>
        </is>
      </c>
      <c r="J407" s="3" t="inlineStr">
        <is>
          <t>Module Diode Failure</t>
        </is>
      </c>
      <c r="K407" s="3" t="inlineStr">
        <is>
          <t>Sadla</t>
        </is>
      </c>
      <c r="L407" s="3" t="inlineStr">
        <is>
          <t>Gujarat</t>
        </is>
      </c>
      <c r="M407" s="9" t="inlineStr">
        <is>
          <t>NS</t>
        </is>
      </c>
      <c r="N407" s="3" t="inlineStr">
        <is>
          <t>Cold Soldering</t>
        </is>
      </c>
      <c r="O407" s="3" t="n">
        <v>570</v>
      </c>
      <c r="P407" s="9" t="inlineStr">
        <is>
          <t>NSMI24060118538</t>
        </is>
      </c>
      <c r="Q407" s="53">
        <f>MID(P407,5,2)</f>
        <v/>
      </c>
      <c r="R407" s="53">
        <f>MID(P407,7,2)</f>
        <v/>
      </c>
      <c r="S407" s="3" t="inlineStr">
        <is>
          <t>G2G</t>
        </is>
      </c>
      <c r="T407" s="3" t="inlineStr">
        <is>
          <t>P4</t>
        </is>
      </c>
      <c r="U407" s="3" t="inlineStr">
        <is>
          <t>N JB Cold Soldering</t>
        </is>
      </c>
      <c r="V407" s="3" t="inlineStr">
        <is>
          <t>Soldering</t>
        </is>
      </c>
      <c r="W407" s="3" t="inlineStr">
        <is>
          <t>Repair</t>
        </is>
      </c>
      <c r="X407" s="18" t="n">
        <v>46148</v>
      </c>
      <c r="Y407" s="73">
        <f>IF(X407="","",X407-A407)</f>
        <v/>
      </c>
      <c r="Z407" s="18" t="n">
        <v>46148</v>
      </c>
      <c r="AA407" s="15" t="n"/>
      <c r="AB407" s="15" t="n"/>
      <c r="AF407">
        <f>IF(AND($F407="Closed",$X407&gt;=DATE(2026,5,1),$X407&lt;=DATE(2026,5,31)),"Closed in May","Other")</f>
        <v/>
      </c>
    </row>
    <row r="408">
      <c r="A408" s="6" t="n">
        <v>46107</v>
      </c>
      <c r="B408" s="3" t="n">
        <v>2026</v>
      </c>
      <c r="C408" s="3" t="inlineStr">
        <is>
          <t>Blupine Energy</t>
        </is>
      </c>
      <c r="D408" s="3" t="inlineStr">
        <is>
          <t>Utility and C&amp;I</t>
        </is>
      </c>
      <c r="E408" s="3" t="n"/>
      <c r="F408" s="3" t="inlineStr">
        <is>
          <t>Closed</t>
        </is>
      </c>
      <c r="G408" s="3" t="inlineStr">
        <is>
          <t>Chandrashekar Patidar</t>
        </is>
      </c>
      <c r="H408" s="3" t="n">
        <v>7879764773</v>
      </c>
      <c r="I408" s="11" t="inlineStr">
        <is>
          <t>PE26032601</t>
        </is>
      </c>
      <c r="J408" s="3" t="inlineStr">
        <is>
          <t>Module Diode Failure</t>
        </is>
      </c>
      <c r="K408" s="3" t="inlineStr">
        <is>
          <t>Sadla</t>
        </is>
      </c>
      <c r="L408" s="3" t="inlineStr">
        <is>
          <t>Gujarat</t>
        </is>
      </c>
      <c r="M408" s="9" t="inlineStr">
        <is>
          <t>NS</t>
        </is>
      </c>
      <c r="N408" s="3" t="inlineStr">
        <is>
          <t>Cold Soldering</t>
        </is>
      </c>
      <c r="O408" s="3" t="n">
        <v>570</v>
      </c>
      <c r="P408" s="9" t="inlineStr">
        <is>
          <t>NSMI24050045721</t>
        </is>
      </c>
      <c r="Q408" s="53">
        <f>MID(P408,5,2)</f>
        <v/>
      </c>
      <c r="R408" s="53">
        <f>MID(P408,7,2)</f>
        <v/>
      </c>
      <c r="S408" s="3" t="inlineStr">
        <is>
          <t>G2G</t>
        </is>
      </c>
      <c r="T408" s="3" t="inlineStr">
        <is>
          <t>P4</t>
        </is>
      </c>
      <c r="U408" s="3" t="inlineStr">
        <is>
          <t>N JB Cold Soldering</t>
        </is>
      </c>
      <c r="V408" s="3" t="inlineStr">
        <is>
          <t>Soldering</t>
        </is>
      </c>
      <c r="W408" s="3" t="inlineStr">
        <is>
          <t>Repair</t>
        </is>
      </c>
      <c r="X408" s="18" t="n">
        <v>46148</v>
      </c>
      <c r="Y408" s="73">
        <f>IF(X408="","",X408-A408)</f>
        <v/>
      </c>
      <c r="Z408" s="18" t="n">
        <v>46148</v>
      </c>
      <c r="AA408" s="15" t="n"/>
      <c r="AB408" s="15" t="n"/>
      <c r="AF408">
        <f>IF(AND($F408="Closed",$X408&gt;=DATE(2026,5,1),$X408&lt;=DATE(2026,5,31)),"Closed in May","Other")</f>
        <v/>
      </c>
    </row>
    <row r="409">
      <c r="A409" s="6" t="n">
        <v>46107</v>
      </c>
      <c r="B409" s="3" t="n">
        <v>2026</v>
      </c>
      <c r="C409" s="3" t="inlineStr">
        <is>
          <t>Blupine Energy</t>
        </is>
      </c>
      <c r="D409" s="3" t="inlineStr">
        <is>
          <t>Utility and C&amp;I</t>
        </is>
      </c>
      <c r="E409" s="3" t="n"/>
      <c r="F409" s="3" t="inlineStr">
        <is>
          <t>Closed</t>
        </is>
      </c>
      <c r="G409" s="3" t="inlineStr">
        <is>
          <t>Chandrashekar Patidar</t>
        </is>
      </c>
      <c r="H409" s="3" t="n">
        <v>7879764773</v>
      </c>
      <c r="I409" s="11" t="inlineStr">
        <is>
          <t>PE26032601</t>
        </is>
      </c>
      <c r="J409" s="3" t="inlineStr">
        <is>
          <t>Module Diode Failure</t>
        </is>
      </c>
      <c r="K409" s="3" t="inlineStr">
        <is>
          <t>Sadla</t>
        </is>
      </c>
      <c r="L409" s="3" t="inlineStr">
        <is>
          <t>Gujarat</t>
        </is>
      </c>
      <c r="M409" s="9" t="inlineStr">
        <is>
          <t>NS</t>
        </is>
      </c>
      <c r="N409" s="3" t="inlineStr">
        <is>
          <t>Cold Soldering</t>
        </is>
      </c>
      <c r="O409" s="3" t="n">
        <v>570</v>
      </c>
      <c r="P409" s="9" t="inlineStr">
        <is>
          <t>NSMI24050045663</t>
        </is>
      </c>
      <c r="Q409" s="53">
        <f>MID(P409,5,2)</f>
        <v/>
      </c>
      <c r="R409" s="53">
        <f>MID(P409,7,2)</f>
        <v/>
      </c>
      <c r="S409" s="3" t="inlineStr">
        <is>
          <t>G2G</t>
        </is>
      </c>
      <c r="T409" s="3" t="inlineStr">
        <is>
          <t>P4</t>
        </is>
      </c>
      <c r="U409" s="3" t="inlineStr">
        <is>
          <t>N JB Cold Soldering</t>
        </is>
      </c>
      <c r="V409" s="3" t="inlineStr">
        <is>
          <t>Soldering</t>
        </is>
      </c>
      <c r="W409" s="3" t="inlineStr">
        <is>
          <t>Repair</t>
        </is>
      </c>
      <c r="X409" s="18" t="n">
        <v>46148</v>
      </c>
      <c r="Y409" s="73">
        <f>IF(X409="","",X409-A409)</f>
        <v/>
      </c>
      <c r="Z409" s="18" t="n">
        <v>46148</v>
      </c>
      <c r="AA409" s="15" t="n"/>
      <c r="AB409" s="15" t="n"/>
      <c r="AF409">
        <f>IF(AND($F409="Closed",$X409&gt;=DATE(2026,5,1),$X409&lt;=DATE(2026,5,31)),"Closed in May","Other")</f>
        <v/>
      </c>
    </row>
    <row r="410">
      <c r="A410" s="6" t="n">
        <v>46107</v>
      </c>
      <c r="B410" s="3" t="n">
        <v>2026</v>
      </c>
      <c r="C410" s="3" t="inlineStr">
        <is>
          <t>Blupine Energy</t>
        </is>
      </c>
      <c r="D410" s="3" t="inlineStr">
        <is>
          <t>Utility and C&amp;I</t>
        </is>
      </c>
      <c r="E410" s="3" t="n"/>
      <c r="F410" s="3" t="inlineStr">
        <is>
          <t>Closed</t>
        </is>
      </c>
      <c r="G410" s="3" t="inlineStr">
        <is>
          <t>Chandrashekar Patidar</t>
        </is>
      </c>
      <c r="H410" s="3" t="n">
        <v>7879764773</v>
      </c>
      <c r="I410" s="11" t="inlineStr">
        <is>
          <t>PE26032601</t>
        </is>
      </c>
      <c r="J410" s="3" t="inlineStr">
        <is>
          <t>Module Diode Failure</t>
        </is>
      </c>
      <c r="K410" s="3" t="inlineStr">
        <is>
          <t>Sadla</t>
        </is>
      </c>
      <c r="L410" s="3" t="inlineStr">
        <is>
          <t>Gujarat</t>
        </is>
      </c>
      <c r="M410" s="9" t="inlineStr">
        <is>
          <t>NS</t>
        </is>
      </c>
      <c r="N410" s="3" t="inlineStr">
        <is>
          <t>Cold Soldering</t>
        </is>
      </c>
      <c r="O410" s="3" t="n">
        <v>570</v>
      </c>
      <c r="P410" s="9" t="inlineStr">
        <is>
          <t>NSMI24050045654</t>
        </is>
      </c>
      <c r="Q410" s="53">
        <f>MID(P410,5,2)</f>
        <v/>
      </c>
      <c r="R410" s="53">
        <f>MID(P410,7,2)</f>
        <v/>
      </c>
      <c r="S410" s="3" t="inlineStr">
        <is>
          <t>G2G</t>
        </is>
      </c>
      <c r="T410" s="3" t="inlineStr">
        <is>
          <t>P4</t>
        </is>
      </c>
      <c r="U410" s="3" t="inlineStr">
        <is>
          <t>N JB Cold Soldering</t>
        </is>
      </c>
      <c r="V410" s="3" t="inlineStr">
        <is>
          <t>Soldering</t>
        </is>
      </c>
      <c r="W410" s="3" t="inlineStr">
        <is>
          <t>Repair</t>
        </is>
      </c>
      <c r="X410" s="18" t="n">
        <v>46148</v>
      </c>
      <c r="Y410" s="73">
        <f>IF(X410="","",X410-A410)</f>
        <v/>
      </c>
      <c r="Z410" s="18" t="n">
        <v>46148</v>
      </c>
      <c r="AA410" s="15" t="n"/>
      <c r="AB410" s="15" t="n"/>
      <c r="AF410">
        <f>IF(AND($F410="Closed",$X410&gt;=DATE(2026,5,1),$X410&lt;=DATE(2026,5,31)),"Closed in May","Other")</f>
        <v/>
      </c>
    </row>
    <row r="411">
      <c r="A411" s="6" t="n">
        <v>46107</v>
      </c>
      <c r="B411" s="3" t="n">
        <v>2026</v>
      </c>
      <c r="C411" s="3" t="inlineStr">
        <is>
          <t>Blupine Energy</t>
        </is>
      </c>
      <c r="D411" s="3" t="inlineStr">
        <is>
          <t>Utility and C&amp;I</t>
        </is>
      </c>
      <c r="E411" s="3" t="n"/>
      <c r="F411" s="3" t="inlineStr">
        <is>
          <t>Closed</t>
        </is>
      </c>
      <c r="G411" s="3" t="inlineStr">
        <is>
          <t>Chandrashekar Patidar</t>
        </is>
      </c>
      <c r="H411" s="3" t="n">
        <v>7879764773</v>
      </c>
      <c r="I411" s="11" t="inlineStr">
        <is>
          <t>PE26032601</t>
        </is>
      </c>
      <c r="J411" s="3" t="inlineStr">
        <is>
          <t>Module Diode Failure</t>
        </is>
      </c>
      <c r="K411" s="3" t="inlineStr">
        <is>
          <t>Sadla</t>
        </is>
      </c>
      <c r="L411" s="3" t="inlineStr">
        <is>
          <t>Gujarat</t>
        </is>
      </c>
      <c r="M411" s="9" t="inlineStr">
        <is>
          <t>NS</t>
        </is>
      </c>
      <c r="N411" s="3" t="inlineStr">
        <is>
          <t>Cold Soldering</t>
        </is>
      </c>
      <c r="O411" s="3" t="n">
        <v>570</v>
      </c>
      <c r="P411" s="9" t="inlineStr">
        <is>
          <t>NSMI24050045667</t>
        </is>
      </c>
      <c r="Q411" s="53">
        <f>MID(P411,5,2)</f>
        <v/>
      </c>
      <c r="R411" s="53">
        <f>MID(P411,7,2)</f>
        <v/>
      </c>
      <c r="S411" s="3" t="inlineStr">
        <is>
          <t>G2G</t>
        </is>
      </c>
      <c r="T411" s="3" t="inlineStr">
        <is>
          <t>P4</t>
        </is>
      </c>
      <c r="U411" s="3" t="inlineStr">
        <is>
          <t>N JB Cold Soldering</t>
        </is>
      </c>
      <c r="V411" s="3" t="inlineStr">
        <is>
          <t>Soldering</t>
        </is>
      </c>
      <c r="W411" s="3" t="inlineStr">
        <is>
          <t>Repair</t>
        </is>
      </c>
      <c r="X411" s="18" t="n">
        <v>46148</v>
      </c>
      <c r="Y411" s="73">
        <f>IF(X411="","",X411-A411)</f>
        <v/>
      </c>
      <c r="Z411" s="18" t="n">
        <v>46148</v>
      </c>
      <c r="AA411" s="15" t="n"/>
      <c r="AB411" s="15" t="n"/>
      <c r="AF411">
        <f>IF(AND($F411="Closed",$X411&gt;=DATE(2026,5,1),$X411&lt;=DATE(2026,5,31)),"Closed in May","Other")</f>
        <v/>
      </c>
    </row>
    <row r="412">
      <c r="A412" s="6" t="n">
        <v>46107</v>
      </c>
      <c r="B412" s="3" t="n">
        <v>2026</v>
      </c>
      <c r="C412" s="3" t="inlineStr">
        <is>
          <t>Blupine Energy</t>
        </is>
      </c>
      <c r="D412" s="3" t="inlineStr">
        <is>
          <t>Utility and C&amp;I</t>
        </is>
      </c>
      <c r="E412" s="3" t="n"/>
      <c r="F412" s="3" t="inlineStr">
        <is>
          <t>Closed</t>
        </is>
      </c>
      <c r="G412" s="3" t="inlineStr">
        <is>
          <t>Chandrashekar Patidar</t>
        </is>
      </c>
      <c r="H412" s="3" t="n">
        <v>7879764773</v>
      </c>
      <c r="I412" s="11" t="inlineStr">
        <is>
          <t>PE26032601</t>
        </is>
      </c>
      <c r="J412" s="3" t="inlineStr">
        <is>
          <t>Module Diode Failure</t>
        </is>
      </c>
      <c r="K412" s="3" t="inlineStr">
        <is>
          <t>Sadla</t>
        </is>
      </c>
      <c r="L412" s="3" t="inlineStr">
        <is>
          <t>Gujarat</t>
        </is>
      </c>
      <c r="M412" s="9" t="inlineStr">
        <is>
          <t>NS</t>
        </is>
      </c>
      <c r="N412" s="3" t="inlineStr">
        <is>
          <t>Cold Soldering</t>
        </is>
      </c>
      <c r="O412" s="3" t="n">
        <v>570</v>
      </c>
      <c r="P412" s="9" t="inlineStr">
        <is>
          <t>NSMI24050045659</t>
        </is>
      </c>
      <c r="Q412" s="53">
        <f>MID(P412,5,2)</f>
        <v/>
      </c>
      <c r="R412" s="53">
        <f>MID(P412,7,2)</f>
        <v/>
      </c>
      <c r="S412" s="3" t="inlineStr">
        <is>
          <t>G2G</t>
        </is>
      </c>
      <c r="T412" s="3" t="inlineStr">
        <is>
          <t>P4</t>
        </is>
      </c>
      <c r="U412" s="3" t="inlineStr">
        <is>
          <t>N JB Cold Soldering</t>
        </is>
      </c>
      <c r="V412" s="3" t="inlineStr">
        <is>
          <t>Soldering</t>
        </is>
      </c>
      <c r="W412" s="3" t="inlineStr">
        <is>
          <t>Repair</t>
        </is>
      </c>
      <c r="X412" s="18" t="n">
        <v>46148</v>
      </c>
      <c r="Y412" s="73">
        <f>IF(X412="","",X412-A412)</f>
        <v/>
      </c>
      <c r="Z412" s="18" t="n">
        <v>46148</v>
      </c>
      <c r="AA412" s="15" t="n"/>
      <c r="AB412" s="15" t="n"/>
      <c r="AF412">
        <f>IF(AND($F412="Closed",$X412&gt;=DATE(2026,5,1),$X412&lt;=DATE(2026,5,31)),"Closed in May","Other")</f>
        <v/>
      </c>
    </row>
    <row r="413">
      <c r="A413" s="6" t="n">
        <v>46107</v>
      </c>
      <c r="B413" s="3" t="n">
        <v>2026</v>
      </c>
      <c r="C413" s="3" t="inlineStr">
        <is>
          <t>Blupine Energy</t>
        </is>
      </c>
      <c r="D413" s="3" t="inlineStr">
        <is>
          <t>Utility and C&amp;I</t>
        </is>
      </c>
      <c r="E413" s="3" t="n"/>
      <c r="F413" s="3" t="inlineStr">
        <is>
          <t>Closed</t>
        </is>
      </c>
      <c r="G413" s="3" t="inlineStr">
        <is>
          <t>Chandrashekar Patidar</t>
        </is>
      </c>
      <c r="H413" s="3" t="n">
        <v>7879764773</v>
      </c>
      <c r="I413" s="11" t="inlineStr">
        <is>
          <t>PE26032601</t>
        </is>
      </c>
      <c r="J413" s="3" t="inlineStr">
        <is>
          <t>Module Diode Failure</t>
        </is>
      </c>
      <c r="K413" s="3" t="inlineStr">
        <is>
          <t>Sadla</t>
        </is>
      </c>
      <c r="L413" s="3" t="inlineStr">
        <is>
          <t>Gujarat</t>
        </is>
      </c>
      <c r="M413" s="9" t="inlineStr">
        <is>
          <t>NS</t>
        </is>
      </c>
      <c r="N413" s="3" t="inlineStr">
        <is>
          <t>Cold Soldering</t>
        </is>
      </c>
      <c r="O413" s="3" t="n">
        <v>570</v>
      </c>
      <c r="P413" s="9" t="inlineStr">
        <is>
          <t>NSMI24050045683</t>
        </is>
      </c>
      <c r="Q413" s="53">
        <f>MID(P413,5,2)</f>
        <v/>
      </c>
      <c r="R413" s="53">
        <f>MID(P413,7,2)</f>
        <v/>
      </c>
      <c r="S413" s="3" t="inlineStr">
        <is>
          <t>G2G</t>
        </is>
      </c>
      <c r="T413" s="3" t="inlineStr">
        <is>
          <t>P4</t>
        </is>
      </c>
      <c r="U413" s="3" t="inlineStr">
        <is>
          <t>N JB Cold Soldering</t>
        </is>
      </c>
      <c r="V413" s="3" t="inlineStr">
        <is>
          <t>Soldering</t>
        </is>
      </c>
      <c r="W413" s="3" t="inlineStr">
        <is>
          <t>Repair</t>
        </is>
      </c>
      <c r="X413" s="18" t="n">
        <v>46148</v>
      </c>
      <c r="Y413" s="73">
        <f>IF(X413="","",X413-A413)</f>
        <v/>
      </c>
      <c r="Z413" s="18" t="n">
        <v>46148</v>
      </c>
      <c r="AA413" s="15" t="n"/>
      <c r="AB413" s="15" t="n"/>
      <c r="AF413">
        <f>IF(AND($F413="Closed",$X413&gt;=DATE(2026,5,1),$X413&lt;=DATE(2026,5,31)),"Closed in May","Other")</f>
        <v/>
      </c>
    </row>
    <row r="414">
      <c r="A414" s="6" t="n">
        <v>46107</v>
      </c>
      <c r="B414" s="3" t="n">
        <v>2026</v>
      </c>
      <c r="C414" s="3" t="inlineStr">
        <is>
          <t>Blupine Energy</t>
        </is>
      </c>
      <c r="D414" s="3" t="inlineStr">
        <is>
          <t>Utility and C&amp;I</t>
        </is>
      </c>
      <c r="E414" s="3" t="n"/>
      <c r="F414" s="3" t="inlineStr">
        <is>
          <t>Closed</t>
        </is>
      </c>
      <c r="G414" s="3" t="inlineStr">
        <is>
          <t>Chandrashekar Patidar</t>
        </is>
      </c>
      <c r="H414" s="3" t="n">
        <v>7879764773</v>
      </c>
      <c r="I414" s="11" t="inlineStr">
        <is>
          <t>PE26032601</t>
        </is>
      </c>
      <c r="J414" s="3" t="inlineStr">
        <is>
          <t>Module Diode Failure</t>
        </is>
      </c>
      <c r="K414" s="3" t="inlineStr">
        <is>
          <t>Sadla</t>
        </is>
      </c>
      <c r="L414" s="3" t="inlineStr">
        <is>
          <t>Gujarat</t>
        </is>
      </c>
      <c r="M414" s="9" t="inlineStr">
        <is>
          <t>NS</t>
        </is>
      </c>
      <c r="N414" s="3" t="inlineStr">
        <is>
          <t>Cold Soldering</t>
        </is>
      </c>
      <c r="O414" s="3" t="n">
        <v>570</v>
      </c>
      <c r="P414" s="9" t="inlineStr">
        <is>
          <t>NSMI24050045649</t>
        </is>
      </c>
      <c r="Q414" s="53">
        <f>MID(P414,5,2)</f>
        <v/>
      </c>
      <c r="R414" s="53">
        <f>MID(P414,7,2)</f>
        <v/>
      </c>
      <c r="S414" s="3" t="inlineStr">
        <is>
          <t>G2G</t>
        </is>
      </c>
      <c r="T414" s="3" t="inlineStr">
        <is>
          <t>P4</t>
        </is>
      </c>
      <c r="U414" s="3" t="inlineStr">
        <is>
          <t>N JB Cold Soldering</t>
        </is>
      </c>
      <c r="V414" s="3" t="inlineStr">
        <is>
          <t>Soldering</t>
        </is>
      </c>
      <c r="W414" s="3" t="inlineStr">
        <is>
          <t>Repair</t>
        </is>
      </c>
      <c r="X414" s="18" t="n">
        <v>46148</v>
      </c>
      <c r="Y414" s="73">
        <f>IF(X414="","",X414-A414)</f>
        <v/>
      </c>
      <c r="Z414" s="18" t="n">
        <v>46148</v>
      </c>
      <c r="AA414" s="15" t="n"/>
      <c r="AB414" s="15" t="n"/>
      <c r="AF414">
        <f>IF(AND($F414="Closed",$X414&gt;=DATE(2026,5,1),$X414&lt;=DATE(2026,5,31)),"Closed in May","Other")</f>
        <v/>
      </c>
    </row>
    <row r="415">
      <c r="A415" s="6" t="n">
        <v>46107</v>
      </c>
      <c r="B415" s="3" t="n">
        <v>2026</v>
      </c>
      <c r="C415" s="3" t="inlineStr">
        <is>
          <t>Blupine Energy</t>
        </is>
      </c>
      <c r="D415" s="3" t="inlineStr">
        <is>
          <t>Utility and C&amp;I</t>
        </is>
      </c>
      <c r="E415" s="3" t="n"/>
      <c r="F415" s="3" t="inlineStr">
        <is>
          <t>Closed</t>
        </is>
      </c>
      <c r="G415" s="3" t="inlineStr">
        <is>
          <t>Chandrashekar Patidar</t>
        </is>
      </c>
      <c r="H415" s="3" t="n">
        <v>7879764773</v>
      </c>
      <c r="I415" s="11" t="inlineStr">
        <is>
          <t>PE26032601</t>
        </is>
      </c>
      <c r="J415" s="3" t="inlineStr">
        <is>
          <t>Module Diode Failure</t>
        </is>
      </c>
      <c r="K415" s="3" t="inlineStr">
        <is>
          <t>Sadla</t>
        </is>
      </c>
      <c r="L415" s="3" t="inlineStr">
        <is>
          <t>Gujarat</t>
        </is>
      </c>
      <c r="M415" s="9" t="inlineStr">
        <is>
          <t>NS</t>
        </is>
      </c>
      <c r="N415" s="3" t="inlineStr">
        <is>
          <t>Cold Soldering</t>
        </is>
      </c>
      <c r="O415" s="3" t="n">
        <v>570</v>
      </c>
      <c r="P415" s="9" t="inlineStr">
        <is>
          <t>NSMI24050043785</t>
        </is>
      </c>
      <c r="Q415" s="53">
        <f>MID(P415,5,2)</f>
        <v/>
      </c>
      <c r="R415" s="53">
        <f>MID(P415,7,2)</f>
        <v/>
      </c>
      <c r="S415" s="3" t="inlineStr">
        <is>
          <t>G2G</t>
        </is>
      </c>
      <c r="T415" s="3" t="inlineStr">
        <is>
          <t>P4</t>
        </is>
      </c>
      <c r="U415" s="3" t="inlineStr">
        <is>
          <t>N JB Cold Soldering</t>
        </is>
      </c>
      <c r="V415" s="3" t="inlineStr">
        <is>
          <t>Soldering</t>
        </is>
      </c>
      <c r="W415" s="3" t="inlineStr">
        <is>
          <t>Repair</t>
        </is>
      </c>
      <c r="X415" s="18" t="n">
        <v>46148</v>
      </c>
      <c r="Y415" s="73">
        <f>IF(X415="","",X415-A415)</f>
        <v/>
      </c>
      <c r="Z415" s="18" t="n">
        <v>46148</v>
      </c>
      <c r="AA415" s="15" t="n"/>
      <c r="AB415" s="15" t="n"/>
      <c r="AF415">
        <f>IF(AND($F415="Closed",$X415&gt;=DATE(2026,5,1),$X415&lt;=DATE(2026,5,31)),"Closed in May","Other")</f>
        <v/>
      </c>
    </row>
    <row r="416">
      <c r="A416" s="6" t="n">
        <v>46107</v>
      </c>
      <c r="B416" s="3" t="n">
        <v>2026</v>
      </c>
      <c r="C416" s="3" t="inlineStr">
        <is>
          <t>Blupine Energy</t>
        </is>
      </c>
      <c r="D416" s="3" t="inlineStr">
        <is>
          <t>Utility and C&amp;I</t>
        </is>
      </c>
      <c r="E416" s="3" t="n"/>
      <c r="F416" s="3" t="inlineStr">
        <is>
          <t>Closed</t>
        </is>
      </c>
      <c r="G416" s="3" t="inlineStr">
        <is>
          <t>Chandrashekar Patidar</t>
        </is>
      </c>
      <c r="H416" s="3" t="n">
        <v>7879764773</v>
      </c>
      <c r="I416" s="11" t="inlineStr">
        <is>
          <t>PE26032601</t>
        </is>
      </c>
      <c r="J416" s="3" t="inlineStr">
        <is>
          <t>Module Diode Failure</t>
        </is>
      </c>
      <c r="K416" s="3" t="inlineStr">
        <is>
          <t>Sadla</t>
        </is>
      </c>
      <c r="L416" s="3" t="inlineStr">
        <is>
          <t>Gujarat</t>
        </is>
      </c>
      <c r="M416" s="9" t="inlineStr">
        <is>
          <t>NS</t>
        </is>
      </c>
      <c r="N416" s="3" t="inlineStr">
        <is>
          <t>Cold Soldering</t>
        </is>
      </c>
      <c r="O416" s="3" t="n">
        <v>570</v>
      </c>
      <c r="P416" s="9" t="inlineStr">
        <is>
          <t>NSMI24060107175</t>
        </is>
      </c>
      <c r="Q416" s="53">
        <f>MID(P416,5,2)</f>
        <v/>
      </c>
      <c r="R416" s="53">
        <f>MID(P416,7,2)</f>
        <v/>
      </c>
      <c r="S416" s="3" t="inlineStr">
        <is>
          <t>G2G</t>
        </is>
      </c>
      <c r="T416" s="3" t="inlineStr">
        <is>
          <t>P4</t>
        </is>
      </c>
      <c r="U416" s="3" t="inlineStr">
        <is>
          <t>N JB Cold Soldering</t>
        </is>
      </c>
      <c r="V416" s="3" t="inlineStr">
        <is>
          <t>Soldering</t>
        </is>
      </c>
      <c r="W416" s="3" t="inlineStr">
        <is>
          <t>Repair</t>
        </is>
      </c>
      <c r="X416" s="18" t="n">
        <v>46148</v>
      </c>
      <c r="Y416" s="73">
        <f>IF(X416="","",X416-A416)</f>
        <v/>
      </c>
      <c r="Z416" s="18" t="n">
        <v>46148</v>
      </c>
      <c r="AA416" s="15" t="n"/>
      <c r="AB416" s="15" t="n"/>
      <c r="AF416">
        <f>IF(AND($F416="Closed",$X416&gt;=DATE(2026,5,1),$X416&lt;=DATE(2026,5,31)),"Closed in May","Other")</f>
        <v/>
      </c>
    </row>
    <row r="417">
      <c r="A417" s="2" t="n">
        <v>46106</v>
      </c>
      <c r="B417" s="3" t="n">
        <v>2026</v>
      </c>
      <c r="C417" s="3" t="inlineStr">
        <is>
          <t>First Energy</t>
        </is>
      </c>
      <c r="D417" s="3" t="inlineStr">
        <is>
          <t>Utility and C&amp;I</t>
        </is>
      </c>
      <c r="E417" s="3" t="n"/>
      <c r="F417" s="3" t="inlineStr">
        <is>
          <t>Closed</t>
        </is>
      </c>
      <c r="G417" s="3" t="inlineStr">
        <is>
          <t>Mr. Gaurav</t>
        </is>
      </c>
      <c r="H417" s="3" t="n">
        <v>9979185999</v>
      </c>
      <c r="I417" s="11" t="inlineStr">
        <is>
          <t>PE25032601</t>
        </is>
      </c>
      <c r="J417" s="9" t="inlineStr">
        <is>
          <t>Module Defects</t>
        </is>
      </c>
      <c r="K417" s="3" t="inlineStr">
        <is>
          <t>Rajkot</t>
        </is>
      </c>
      <c r="L417" s="3" t="inlineStr">
        <is>
          <t>Gujarat</t>
        </is>
      </c>
      <c r="M417" s="9" t="inlineStr">
        <is>
          <t xml:space="preserve">hotspot found </t>
        </is>
      </c>
      <c r="N417" s="19" t="inlineStr">
        <is>
          <t>Hotspot</t>
        </is>
      </c>
      <c r="O417" s="3" t="n">
        <v>550</v>
      </c>
      <c r="P417" s="9" t="inlineStr">
        <is>
          <t>NSMP2212286195</t>
        </is>
      </c>
      <c r="Q417" s="53">
        <f>MID(P417,5,2)</f>
        <v/>
      </c>
      <c r="R417" s="53">
        <f>MID(P417,7,2)</f>
        <v/>
      </c>
      <c r="S417" s="3" t="inlineStr">
        <is>
          <t>G2B</t>
        </is>
      </c>
      <c r="T417" s="3" t="inlineStr">
        <is>
          <t>P2</t>
        </is>
      </c>
      <c r="U417" s="9" t="inlineStr">
        <is>
          <t>Multi Cell Hotspot</t>
        </is>
      </c>
      <c r="V417" s="3" t="inlineStr">
        <is>
          <t>Inspection</t>
        </is>
      </c>
      <c r="W417" s="3" t="inlineStr">
        <is>
          <t>Rejected</t>
        </is>
      </c>
      <c r="X417" s="2">
        <f>Z417</f>
        <v/>
      </c>
      <c r="Y417" s="73">
        <f>IF(X417="","",X417-A417)</f>
        <v/>
      </c>
      <c r="Z417" s="18" t="n">
        <v>46148</v>
      </c>
      <c r="AA417" s="15" t="n"/>
      <c r="AB417" s="15" t="n"/>
      <c r="AF417">
        <f>IF(AND($F417="Closed",$X417&gt;=DATE(2026,5,1),$X417&lt;=DATE(2026,5,31)),"Closed in May","Other")</f>
        <v/>
      </c>
    </row>
    <row r="418">
      <c r="A418" s="2" t="n">
        <v>46106</v>
      </c>
      <c r="B418" s="3" t="n">
        <v>2026</v>
      </c>
      <c r="C418" s="3" t="inlineStr">
        <is>
          <t>First Energy</t>
        </is>
      </c>
      <c r="D418" s="3" t="inlineStr">
        <is>
          <t>Utility and C&amp;I</t>
        </is>
      </c>
      <c r="E418" s="3" t="n"/>
      <c r="F418" s="3" t="inlineStr">
        <is>
          <t>Closed</t>
        </is>
      </c>
      <c r="G418" s="3" t="inlineStr">
        <is>
          <t>Mr. Gaurav</t>
        </is>
      </c>
      <c r="H418" s="3" t="n">
        <v>9979185999</v>
      </c>
      <c r="I418" s="11" t="inlineStr">
        <is>
          <t>PE25032601</t>
        </is>
      </c>
      <c r="J418" s="9" t="inlineStr">
        <is>
          <t>Module Defects</t>
        </is>
      </c>
      <c r="K418" s="3" t="inlineStr">
        <is>
          <t>Rajkot</t>
        </is>
      </c>
      <c r="L418" s="3" t="inlineStr">
        <is>
          <t>Gujarat</t>
        </is>
      </c>
      <c r="M418" s="9" t="inlineStr">
        <is>
          <t xml:space="preserve">hotspot found </t>
        </is>
      </c>
      <c r="N418" s="19" t="inlineStr">
        <is>
          <t>Hotspot</t>
        </is>
      </c>
      <c r="O418" s="3" t="n">
        <v>550</v>
      </c>
      <c r="P418" s="9" t="inlineStr">
        <is>
          <t>NSMP2301308474</t>
        </is>
      </c>
      <c r="Q418" s="53">
        <f>MID(P418,5,2)</f>
        <v/>
      </c>
      <c r="R418" s="53">
        <f>MID(P418,7,2)</f>
        <v/>
      </c>
      <c r="S418" s="3" t="inlineStr">
        <is>
          <t>G2B</t>
        </is>
      </c>
      <c r="T418" s="3" t="inlineStr">
        <is>
          <t>P2</t>
        </is>
      </c>
      <c r="U418" s="9" t="inlineStr">
        <is>
          <t>Multi Cell Hotspot</t>
        </is>
      </c>
      <c r="V418" s="3" t="inlineStr">
        <is>
          <t>Inspection</t>
        </is>
      </c>
      <c r="W418" s="3" t="inlineStr">
        <is>
          <t>Rejected</t>
        </is>
      </c>
      <c r="X418" s="2">
        <f>Z418</f>
        <v/>
      </c>
      <c r="Y418" s="73">
        <f>IF(X418="","",X418-A418)</f>
        <v/>
      </c>
      <c r="Z418" s="18" t="n">
        <v>46148</v>
      </c>
      <c r="AA418" s="15" t="n"/>
      <c r="AB418" s="15" t="n"/>
      <c r="AF418">
        <f>IF(AND($F418="Closed",$X418&gt;=DATE(2026,5,1),$X418&lt;=DATE(2026,5,31)),"Closed in May","Other")</f>
        <v/>
      </c>
    </row>
    <row r="419">
      <c r="A419" s="2" t="n">
        <v>46106</v>
      </c>
      <c r="B419" s="3" t="n">
        <v>2026</v>
      </c>
      <c r="C419" s="3" t="inlineStr">
        <is>
          <t>First Energy</t>
        </is>
      </c>
      <c r="D419" s="3" t="inlineStr">
        <is>
          <t>Utility and C&amp;I</t>
        </is>
      </c>
      <c r="E419" s="3" t="n"/>
      <c r="F419" s="3" t="inlineStr">
        <is>
          <t>Closed</t>
        </is>
      </c>
      <c r="G419" s="3" t="inlineStr">
        <is>
          <t>Mr. Gaurav</t>
        </is>
      </c>
      <c r="H419" s="3" t="n">
        <v>9979185999</v>
      </c>
      <c r="I419" s="11" t="inlineStr">
        <is>
          <t>PE25032601</t>
        </is>
      </c>
      <c r="J419" s="9" t="inlineStr">
        <is>
          <t>Module Defects</t>
        </is>
      </c>
      <c r="K419" s="3" t="inlineStr">
        <is>
          <t>Rajkot</t>
        </is>
      </c>
      <c r="L419" s="3" t="inlineStr">
        <is>
          <t>Gujarat</t>
        </is>
      </c>
      <c r="M419" s="9" t="inlineStr">
        <is>
          <t xml:space="preserve">hotspot found </t>
        </is>
      </c>
      <c r="N419" s="19" t="inlineStr">
        <is>
          <t>Hotspot</t>
        </is>
      </c>
      <c r="O419" s="3" t="n">
        <v>550</v>
      </c>
      <c r="P419" s="9" t="inlineStr">
        <is>
          <t>NSMP2301325202</t>
        </is>
      </c>
      <c r="Q419" s="53">
        <f>MID(P419,5,2)</f>
        <v/>
      </c>
      <c r="R419" s="53">
        <f>MID(P419,7,2)</f>
        <v/>
      </c>
      <c r="S419" s="3" t="inlineStr">
        <is>
          <t>G2B</t>
        </is>
      </c>
      <c r="T419" s="3" t="inlineStr">
        <is>
          <t>P2</t>
        </is>
      </c>
      <c r="U419" s="9" t="inlineStr">
        <is>
          <t>Single Cell Hotspot</t>
        </is>
      </c>
      <c r="V419" s="3" t="inlineStr">
        <is>
          <t>Inspection</t>
        </is>
      </c>
      <c r="W419" s="3" t="inlineStr">
        <is>
          <t>Rejected</t>
        </is>
      </c>
      <c r="X419" s="2">
        <f>Z419</f>
        <v/>
      </c>
      <c r="Y419" s="73">
        <f>IF(X419="","",X419-A419)</f>
        <v/>
      </c>
      <c r="Z419" s="18" t="n">
        <v>46148</v>
      </c>
      <c r="AA419" s="15" t="n"/>
      <c r="AB419" s="15" t="n"/>
      <c r="AF419">
        <f>IF(AND($F419="Closed",$X419&gt;=DATE(2026,5,1),$X419&lt;=DATE(2026,5,31)),"Closed in May","Other")</f>
        <v/>
      </c>
    </row>
    <row r="420">
      <c r="A420" s="2" t="n">
        <v>46106</v>
      </c>
      <c r="B420" s="3" t="n">
        <v>2026</v>
      </c>
      <c r="C420" s="3" t="inlineStr">
        <is>
          <t>First Energy</t>
        </is>
      </c>
      <c r="D420" s="3" t="inlineStr">
        <is>
          <t>Utility and C&amp;I</t>
        </is>
      </c>
      <c r="E420" s="3" t="n"/>
      <c r="F420" s="3" t="inlineStr">
        <is>
          <t>Closed</t>
        </is>
      </c>
      <c r="G420" s="3" t="inlineStr">
        <is>
          <t>Mr. Gaurav</t>
        </is>
      </c>
      <c r="H420" s="3" t="n">
        <v>9979185999</v>
      </c>
      <c r="I420" s="11" t="inlineStr">
        <is>
          <t>PE25032601</t>
        </is>
      </c>
      <c r="J420" s="9" t="inlineStr">
        <is>
          <t>Module Defects</t>
        </is>
      </c>
      <c r="K420" s="3" t="inlineStr">
        <is>
          <t>Rajkot</t>
        </is>
      </c>
      <c r="L420" s="3" t="inlineStr">
        <is>
          <t>Gujarat</t>
        </is>
      </c>
      <c r="M420" s="9" t="inlineStr">
        <is>
          <t xml:space="preserve">hotspot found </t>
        </is>
      </c>
      <c r="N420" s="19" t="inlineStr">
        <is>
          <t>Hotspot</t>
        </is>
      </c>
      <c r="O420" s="3" t="n">
        <v>550</v>
      </c>
      <c r="P420" s="9" t="inlineStr">
        <is>
          <t>NSMP2212275129</t>
        </is>
      </c>
      <c r="Q420" s="53">
        <f>MID(P420,5,2)</f>
        <v/>
      </c>
      <c r="R420" s="53">
        <f>MID(P420,7,2)</f>
        <v/>
      </c>
      <c r="S420" s="3" t="inlineStr">
        <is>
          <t>G2B</t>
        </is>
      </c>
      <c r="T420" s="3" t="inlineStr">
        <is>
          <t>P2</t>
        </is>
      </c>
      <c r="U420" s="9" t="inlineStr">
        <is>
          <t>Multi Cell Hotspot</t>
        </is>
      </c>
      <c r="V420" s="3" t="inlineStr">
        <is>
          <t>Inspection</t>
        </is>
      </c>
      <c r="W420" s="3" t="inlineStr">
        <is>
          <t>Rejected</t>
        </is>
      </c>
      <c r="X420" s="2">
        <f>Z420</f>
        <v/>
      </c>
      <c r="Y420" s="73">
        <f>IF(X420="","",X420-A420)</f>
        <v/>
      </c>
      <c r="Z420" s="18" t="n">
        <v>46148</v>
      </c>
      <c r="AA420" s="15" t="n"/>
      <c r="AB420" s="15" t="n"/>
      <c r="AF420">
        <f>IF(AND($F420="Closed",$X420&gt;=DATE(2026,5,1),$X420&lt;=DATE(2026,5,31)),"Closed in May","Other")</f>
        <v/>
      </c>
    </row>
    <row r="421">
      <c r="A421" s="2" t="n">
        <v>46106</v>
      </c>
      <c r="B421" s="3" t="n">
        <v>2026</v>
      </c>
      <c r="C421" s="3" t="inlineStr">
        <is>
          <t>First Energy</t>
        </is>
      </c>
      <c r="D421" s="3" t="inlineStr">
        <is>
          <t>Utility and C&amp;I</t>
        </is>
      </c>
      <c r="E421" s="3" t="n"/>
      <c r="F421" s="3" t="inlineStr">
        <is>
          <t>Closed</t>
        </is>
      </c>
      <c r="G421" s="3" t="inlineStr">
        <is>
          <t>Mr. Gaurav</t>
        </is>
      </c>
      <c r="H421" s="3" t="n">
        <v>9979185999</v>
      </c>
      <c r="I421" s="11" t="inlineStr">
        <is>
          <t>PE25032601</t>
        </is>
      </c>
      <c r="J421" s="9" t="inlineStr">
        <is>
          <t>Module Defects</t>
        </is>
      </c>
      <c r="K421" s="3" t="inlineStr">
        <is>
          <t>Rajkot</t>
        </is>
      </c>
      <c r="L421" s="3" t="inlineStr">
        <is>
          <t>Gujarat</t>
        </is>
      </c>
      <c r="M421" s="9" t="inlineStr">
        <is>
          <t xml:space="preserve">hotspot found </t>
        </is>
      </c>
      <c r="N421" s="19" t="inlineStr">
        <is>
          <t>Hotspot</t>
        </is>
      </c>
      <c r="O421" s="3" t="n">
        <v>550</v>
      </c>
      <c r="P421" s="9" t="inlineStr">
        <is>
          <t>NSMP2301311836</t>
        </is>
      </c>
      <c r="Q421" s="53">
        <f>MID(P421,5,2)</f>
        <v/>
      </c>
      <c r="R421" s="53">
        <f>MID(P421,7,2)</f>
        <v/>
      </c>
      <c r="S421" s="3" t="inlineStr">
        <is>
          <t>G2B</t>
        </is>
      </c>
      <c r="T421" s="3" t="inlineStr">
        <is>
          <t>P2</t>
        </is>
      </c>
      <c r="U421" s="9" t="inlineStr">
        <is>
          <t>Multi Cell Hotspot</t>
        </is>
      </c>
      <c r="V421" s="3" t="inlineStr">
        <is>
          <t>Inspection</t>
        </is>
      </c>
      <c r="W421" s="3" t="inlineStr">
        <is>
          <t>Rejected</t>
        </is>
      </c>
      <c r="X421" s="2">
        <f>Z421</f>
        <v/>
      </c>
      <c r="Y421" s="73">
        <f>IF(X421="","",X421-A421)</f>
        <v/>
      </c>
      <c r="Z421" s="18" t="n">
        <v>46148</v>
      </c>
      <c r="AA421" s="15" t="n"/>
      <c r="AB421" s="15" t="n"/>
      <c r="AF421">
        <f>IF(AND($F421="Closed",$X421&gt;=DATE(2026,5,1),$X421&lt;=DATE(2026,5,31)),"Closed in May","Other")</f>
        <v/>
      </c>
    </row>
    <row r="422">
      <c r="A422" s="2" t="n">
        <v>46106</v>
      </c>
      <c r="B422" s="3" t="n">
        <v>2026</v>
      </c>
      <c r="C422" s="3" t="inlineStr">
        <is>
          <t>First Energy</t>
        </is>
      </c>
      <c r="D422" s="3" t="inlineStr">
        <is>
          <t>Utility and C&amp;I</t>
        </is>
      </c>
      <c r="E422" s="3" t="n"/>
      <c r="F422" s="3" t="inlineStr">
        <is>
          <t>Closed</t>
        </is>
      </c>
      <c r="G422" s="3" t="inlineStr">
        <is>
          <t>Mr. Gaurav</t>
        </is>
      </c>
      <c r="H422" s="3" t="n">
        <v>9979185999</v>
      </c>
      <c r="I422" s="11" t="inlineStr">
        <is>
          <t>PE25032601</t>
        </is>
      </c>
      <c r="J422" s="9" t="inlineStr">
        <is>
          <t>Module Defects</t>
        </is>
      </c>
      <c r="K422" s="3" t="inlineStr">
        <is>
          <t>Rajkot</t>
        </is>
      </c>
      <c r="L422" s="3" t="inlineStr">
        <is>
          <t>Gujarat</t>
        </is>
      </c>
      <c r="M422" s="9" t="inlineStr">
        <is>
          <t xml:space="preserve">hotspot found </t>
        </is>
      </c>
      <c r="N422" s="19" t="inlineStr">
        <is>
          <t>Hotspot</t>
        </is>
      </c>
      <c r="O422" s="3" t="n">
        <v>550</v>
      </c>
      <c r="P422" s="9" t="inlineStr">
        <is>
          <t>NSMP2212284642</t>
        </is>
      </c>
      <c r="Q422" s="53">
        <f>MID(P422,5,2)</f>
        <v/>
      </c>
      <c r="R422" s="53">
        <f>MID(P422,7,2)</f>
        <v/>
      </c>
      <c r="S422" s="3" t="inlineStr">
        <is>
          <t>G2B</t>
        </is>
      </c>
      <c r="T422" s="3" t="inlineStr">
        <is>
          <t>P2</t>
        </is>
      </c>
      <c r="U422" s="9" t="inlineStr">
        <is>
          <t>Single Cell Hotspot</t>
        </is>
      </c>
      <c r="V422" s="3" t="inlineStr">
        <is>
          <t>Inspection</t>
        </is>
      </c>
      <c r="W422" s="3" t="inlineStr">
        <is>
          <t>Rejected</t>
        </is>
      </c>
      <c r="X422" s="2">
        <f>Z422</f>
        <v/>
      </c>
      <c r="Y422" s="73">
        <f>IF(X422="","",X422-A422)</f>
        <v/>
      </c>
      <c r="Z422" s="18" t="n">
        <v>46148</v>
      </c>
      <c r="AA422" s="15" t="n"/>
      <c r="AB422" s="15" t="n"/>
      <c r="AF422">
        <f>IF(AND($F422="Closed",$X422&gt;=DATE(2026,5,1),$X422&lt;=DATE(2026,5,31)),"Closed in May","Other")</f>
        <v/>
      </c>
    </row>
    <row r="423">
      <c r="A423" s="2" t="n">
        <v>46106</v>
      </c>
      <c r="B423" s="3" t="n">
        <v>2026</v>
      </c>
      <c r="C423" s="3" t="inlineStr">
        <is>
          <t>First Energy</t>
        </is>
      </c>
      <c r="D423" s="3" t="inlineStr">
        <is>
          <t>Utility and C&amp;I</t>
        </is>
      </c>
      <c r="E423" s="3" t="n"/>
      <c r="F423" s="3" t="inlineStr">
        <is>
          <t>Closed</t>
        </is>
      </c>
      <c r="G423" s="3" t="inlineStr">
        <is>
          <t>Mr. Gaurav</t>
        </is>
      </c>
      <c r="H423" s="3" t="n">
        <v>9979185999</v>
      </c>
      <c r="I423" s="11" t="inlineStr">
        <is>
          <t>PE25032601</t>
        </is>
      </c>
      <c r="J423" s="9" t="inlineStr">
        <is>
          <t>Module Defects</t>
        </is>
      </c>
      <c r="K423" s="3" t="inlineStr">
        <is>
          <t>Rajkot</t>
        </is>
      </c>
      <c r="L423" s="3" t="inlineStr">
        <is>
          <t>Gujarat</t>
        </is>
      </c>
      <c r="M423" s="9" t="inlineStr">
        <is>
          <t xml:space="preserve">hotspot found </t>
        </is>
      </c>
      <c r="N423" s="19" t="inlineStr">
        <is>
          <t>Hotspot</t>
        </is>
      </c>
      <c r="O423" s="3" t="n">
        <v>550</v>
      </c>
      <c r="P423" s="9" t="inlineStr">
        <is>
          <t>NSMP2301289729</t>
        </is>
      </c>
      <c r="Q423" s="53">
        <f>MID(P423,5,2)</f>
        <v/>
      </c>
      <c r="R423" s="53">
        <f>MID(P423,7,2)</f>
        <v/>
      </c>
      <c r="S423" s="3" t="inlineStr">
        <is>
          <t>G2B</t>
        </is>
      </c>
      <c r="T423" s="3" t="inlineStr">
        <is>
          <t>P2</t>
        </is>
      </c>
      <c r="U423" s="9" t="inlineStr">
        <is>
          <t>Multi Cell Hotspot</t>
        </is>
      </c>
      <c r="V423" s="3" t="inlineStr">
        <is>
          <t>Inspection</t>
        </is>
      </c>
      <c r="W423" s="3" t="inlineStr">
        <is>
          <t>Rejected</t>
        </is>
      </c>
      <c r="X423" s="2">
        <f>Z423</f>
        <v/>
      </c>
      <c r="Y423" s="73">
        <f>IF(X423="","",X423-A423)</f>
        <v/>
      </c>
      <c r="Z423" s="18" t="n">
        <v>46148</v>
      </c>
      <c r="AA423" s="15" t="n"/>
      <c r="AB423" s="15" t="n"/>
      <c r="AF423">
        <f>IF(AND($F423="Closed",$X423&gt;=DATE(2026,5,1),$X423&lt;=DATE(2026,5,31)),"Closed in May","Other")</f>
        <v/>
      </c>
    </row>
    <row r="424">
      <c r="A424" s="2" t="n">
        <v>46106</v>
      </c>
      <c r="B424" s="3" t="n">
        <v>2026</v>
      </c>
      <c r="C424" s="3" t="inlineStr">
        <is>
          <t>First Energy</t>
        </is>
      </c>
      <c r="D424" s="3" t="inlineStr">
        <is>
          <t>Utility and C&amp;I</t>
        </is>
      </c>
      <c r="E424" s="3" t="n"/>
      <c r="F424" s="3" t="inlineStr">
        <is>
          <t>Closed</t>
        </is>
      </c>
      <c r="G424" s="3" t="inlineStr">
        <is>
          <t>Mr. Gaurav</t>
        </is>
      </c>
      <c r="H424" s="3" t="n">
        <v>9979185999</v>
      </c>
      <c r="I424" s="11" t="inlineStr">
        <is>
          <t>PE25032601</t>
        </is>
      </c>
      <c r="J424" s="9" t="inlineStr">
        <is>
          <t>Module Defects</t>
        </is>
      </c>
      <c r="K424" s="3" t="inlineStr">
        <is>
          <t>Rajkot</t>
        </is>
      </c>
      <c r="L424" s="3" t="inlineStr">
        <is>
          <t>Gujarat</t>
        </is>
      </c>
      <c r="M424" s="9" t="inlineStr">
        <is>
          <t xml:space="preserve">hotspot found </t>
        </is>
      </c>
      <c r="N424" s="19" t="inlineStr">
        <is>
          <t>Hotspot</t>
        </is>
      </c>
      <c r="O424" s="3" t="n">
        <v>550</v>
      </c>
      <c r="P424" s="9" t="inlineStr">
        <is>
          <t>NSMP2301296178</t>
        </is>
      </c>
      <c r="Q424" s="53">
        <f>MID(P424,5,2)</f>
        <v/>
      </c>
      <c r="R424" s="53">
        <f>MID(P424,7,2)</f>
        <v/>
      </c>
      <c r="S424" s="3" t="inlineStr">
        <is>
          <t>G2B</t>
        </is>
      </c>
      <c r="T424" s="3" t="inlineStr">
        <is>
          <t>P2</t>
        </is>
      </c>
      <c r="U424" s="9" t="inlineStr">
        <is>
          <t>Multi Cell Hotspot</t>
        </is>
      </c>
      <c r="V424" s="3" t="inlineStr">
        <is>
          <t>Inspection</t>
        </is>
      </c>
      <c r="W424" s="3" t="inlineStr">
        <is>
          <t>Rejected</t>
        </is>
      </c>
      <c r="X424" s="2">
        <f>Z424</f>
        <v/>
      </c>
      <c r="Y424" s="73">
        <f>IF(X424="","",X424-A424)</f>
        <v/>
      </c>
      <c r="Z424" s="18" t="n">
        <v>46148</v>
      </c>
      <c r="AA424" s="15" t="n"/>
      <c r="AB424" s="15" t="n"/>
      <c r="AF424">
        <f>IF(AND($F424="Closed",$X424&gt;=DATE(2026,5,1),$X424&lt;=DATE(2026,5,31)),"Closed in May","Other")</f>
        <v/>
      </c>
    </row>
    <row r="425">
      <c r="A425" s="2" t="n">
        <v>46106</v>
      </c>
      <c r="B425" s="3" t="n">
        <v>2026</v>
      </c>
      <c r="C425" s="3" t="inlineStr">
        <is>
          <t>First Energy</t>
        </is>
      </c>
      <c r="D425" s="3" t="inlineStr">
        <is>
          <t>Utility and C&amp;I</t>
        </is>
      </c>
      <c r="E425" s="3" t="n"/>
      <c r="F425" s="3" t="inlineStr">
        <is>
          <t>Closed</t>
        </is>
      </c>
      <c r="G425" s="3" t="inlineStr">
        <is>
          <t>Mr. Gaurav</t>
        </is>
      </c>
      <c r="H425" s="3" t="n">
        <v>9979185999</v>
      </c>
      <c r="I425" s="11" t="inlineStr">
        <is>
          <t>PE25032601</t>
        </is>
      </c>
      <c r="J425" s="9" t="inlineStr">
        <is>
          <t>Module Defects</t>
        </is>
      </c>
      <c r="K425" s="3" t="inlineStr">
        <is>
          <t>Rajkot</t>
        </is>
      </c>
      <c r="L425" s="3" t="inlineStr">
        <is>
          <t>Gujarat</t>
        </is>
      </c>
      <c r="M425" s="9" t="inlineStr">
        <is>
          <t xml:space="preserve">hotspot found </t>
        </is>
      </c>
      <c r="N425" s="19" t="inlineStr">
        <is>
          <t>Hotspot</t>
        </is>
      </c>
      <c r="O425" s="3" t="n">
        <v>550</v>
      </c>
      <c r="P425" s="9" t="inlineStr">
        <is>
          <t>NSMP2301328835</t>
        </is>
      </c>
      <c r="Q425" s="53">
        <f>MID(P425,5,2)</f>
        <v/>
      </c>
      <c r="R425" s="53">
        <f>MID(P425,7,2)</f>
        <v/>
      </c>
      <c r="S425" s="3" t="inlineStr">
        <is>
          <t>G2B</t>
        </is>
      </c>
      <c r="T425" s="3" t="inlineStr">
        <is>
          <t>P2</t>
        </is>
      </c>
      <c r="U425" s="9" t="inlineStr">
        <is>
          <t>Multi Cell Hotspot</t>
        </is>
      </c>
      <c r="V425" s="3" t="inlineStr">
        <is>
          <t>Inspection</t>
        </is>
      </c>
      <c r="W425" s="3" t="inlineStr">
        <is>
          <t>Rejected</t>
        </is>
      </c>
      <c r="X425" s="2">
        <f>Z425</f>
        <v/>
      </c>
      <c r="Y425" s="73">
        <f>IF(X425="","",X425-A425)</f>
        <v/>
      </c>
      <c r="Z425" s="18" t="n">
        <v>46148</v>
      </c>
      <c r="AA425" s="15" t="n"/>
      <c r="AB425" s="15" t="n"/>
      <c r="AF425">
        <f>IF(AND($F425="Closed",$X425&gt;=DATE(2026,5,1),$X425&lt;=DATE(2026,5,31)),"Closed in May","Other")</f>
        <v/>
      </c>
    </row>
    <row r="426">
      <c r="A426" s="2" t="n">
        <v>46106</v>
      </c>
      <c r="B426" s="3" t="n">
        <v>2026</v>
      </c>
      <c r="C426" s="3" t="inlineStr">
        <is>
          <t>First Energy</t>
        </is>
      </c>
      <c r="D426" s="3" t="inlineStr">
        <is>
          <t>Utility and C&amp;I</t>
        </is>
      </c>
      <c r="E426" s="3" t="n"/>
      <c r="F426" s="3" t="inlineStr">
        <is>
          <t>Closed</t>
        </is>
      </c>
      <c r="G426" s="3" t="inlineStr">
        <is>
          <t>Mr. Gaurav</t>
        </is>
      </c>
      <c r="H426" s="3" t="n">
        <v>9979185999</v>
      </c>
      <c r="I426" s="11" t="inlineStr">
        <is>
          <t>PE25032601</t>
        </is>
      </c>
      <c r="J426" s="9" t="inlineStr">
        <is>
          <t>Module Defects</t>
        </is>
      </c>
      <c r="K426" s="3" t="inlineStr">
        <is>
          <t>Rajkot</t>
        </is>
      </c>
      <c r="L426" s="3" t="inlineStr">
        <is>
          <t>Gujarat</t>
        </is>
      </c>
      <c r="M426" s="9" t="inlineStr">
        <is>
          <t xml:space="preserve">hotspot found </t>
        </is>
      </c>
      <c r="N426" s="19" t="inlineStr">
        <is>
          <t>Hotspot</t>
        </is>
      </c>
      <c r="O426" s="3" t="n">
        <v>550</v>
      </c>
      <c r="P426" s="9" t="inlineStr">
        <is>
          <t>NSMP2301333419</t>
        </is>
      </c>
      <c r="Q426" s="53">
        <f>MID(P426,5,2)</f>
        <v/>
      </c>
      <c r="R426" s="53">
        <f>MID(P426,7,2)</f>
        <v/>
      </c>
      <c r="S426" s="3" t="inlineStr">
        <is>
          <t>G2B</t>
        </is>
      </c>
      <c r="T426" s="3" t="inlineStr">
        <is>
          <t>P2</t>
        </is>
      </c>
      <c r="U426" s="9" t="inlineStr">
        <is>
          <t>Multi Cell Hotspot</t>
        </is>
      </c>
      <c r="V426" s="3" t="inlineStr">
        <is>
          <t>Inspection</t>
        </is>
      </c>
      <c r="W426" s="3" t="inlineStr">
        <is>
          <t>Rejected</t>
        </is>
      </c>
      <c r="X426" s="2">
        <f>Z426</f>
        <v/>
      </c>
      <c r="Y426" s="73">
        <f>IF(X426="","",X426-A426)</f>
        <v/>
      </c>
      <c r="Z426" s="18" t="n">
        <v>46148</v>
      </c>
      <c r="AA426" s="15" t="n"/>
      <c r="AB426" s="15" t="n"/>
      <c r="AF426">
        <f>IF(AND($F426="Closed",$X426&gt;=DATE(2026,5,1),$X426&lt;=DATE(2026,5,31)),"Closed in May","Other")</f>
        <v/>
      </c>
    </row>
    <row r="427">
      <c r="A427" s="2" t="n">
        <v>46106</v>
      </c>
      <c r="B427" s="3" t="n">
        <v>2026</v>
      </c>
      <c r="C427" s="3" t="inlineStr">
        <is>
          <t>First Energy</t>
        </is>
      </c>
      <c r="D427" s="3" t="inlineStr">
        <is>
          <t>Utility and C&amp;I</t>
        </is>
      </c>
      <c r="E427" s="3" t="n"/>
      <c r="F427" s="3" t="inlineStr">
        <is>
          <t>Closed</t>
        </is>
      </c>
      <c r="G427" s="3" t="inlineStr">
        <is>
          <t>Mr. Gaurav</t>
        </is>
      </c>
      <c r="H427" s="3" t="n">
        <v>9979185999</v>
      </c>
      <c r="I427" s="11" t="inlineStr">
        <is>
          <t>PE25032601</t>
        </is>
      </c>
      <c r="J427" s="9" t="inlineStr">
        <is>
          <t>Module Defects</t>
        </is>
      </c>
      <c r="K427" s="3" t="inlineStr">
        <is>
          <t>Rajkot</t>
        </is>
      </c>
      <c r="L427" s="3" t="inlineStr">
        <is>
          <t>Gujarat</t>
        </is>
      </c>
      <c r="M427" s="9" t="inlineStr">
        <is>
          <t xml:space="preserve">hotspot found </t>
        </is>
      </c>
      <c r="N427" s="19" t="inlineStr">
        <is>
          <t>Hotspot</t>
        </is>
      </c>
      <c r="O427" s="3" t="n">
        <v>550</v>
      </c>
      <c r="P427" s="9" t="inlineStr">
        <is>
          <t>NSMP2212270613</t>
        </is>
      </c>
      <c r="Q427" s="53">
        <f>MID(P427,5,2)</f>
        <v/>
      </c>
      <c r="R427" s="53">
        <f>MID(P427,7,2)</f>
        <v/>
      </c>
      <c r="S427" s="3" t="inlineStr">
        <is>
          <t>G2B</t>
        </is>
      </c>
      <c r="T427" s="3" t="inlineStr">
        <is>
          <t>P2</t>
        </is>
      </c>
      <c r="U427" s="9" t="inlineStr">
        <is>
          <t>Single Cell Hotspot</t>
        </is>
      </c>
      <c r="V427" s="3" t="inlineStr">
        <is>
          <t>Inspection</t>
        </is>
      </c>
      <c r="W427" s="3" t="inlineStr">
        <is>
          <t>Rejected</t>
        </is>
      </c>
      <c r="X427" s="2">
        <f>Z427</f>
        <v/>
      </c>
      <c r="Y427" s="73">
        <f>IF(X427="","",X427-A427)</f>
        <v/>
      </c>
      <c r="Z427" s="18" t="n">
        <v>46148</v>
      </c>
      <c r="AA427" s="15" t="n"/>
      <c r="AB427" s="15" t="n"/>
      <c r="AF427">
        <f>IF(AND($F427="Closed",$X427&gt;=DATE(2026,5,1),$X427&lt;=DATE(2026,5,31)),"Closed in May","Other")</f>
        <v/>
      </c>
    </row>
    <row r="428">
      <c r="A428" s="2" t="n">
        <v>46106</v>
      </c>
      <c r="B428" s="3" t="n">
        <v>2026</v>
      </c>
      <c r="C428" s="3" t="inlineStr">
        <is>
          <t>First Energy</t>
        </is>
      </c>
      <c r="D428" s="3" t="inlineStr">
        <is>
          <t>Utility and C&amp;I</t>
        </is>
      </c>
      <c r="E428" s="3" t="n"/>
      <c r="F428" s="3" t="inlineStr">
        <is>
          <t>Closed</t>
        </is>
      </c>
      <c r="G428" s="3" t="inlineStr">
        <is>
          <t>Mr. Gaurav</t>
        </is>
      </c>
      <c r="H428" s="3" t="n">
        <v>9979185999</v>
      </c>
      <c r="I428" s="11" t="inlineStr">
        <is>
          <t>PE25032601</t>
        </is>
      </c>
      <c r="J428" s="9" t="inlineStr">
        <is>
          <t>Module Defects</t>
        </is>
      </c>
      <c r="K428" s="3" t="inlineStr">
        <is>
          <t>Rajkot</t>
        </is>
      </c>
      <c r="L428" s="3" t="inlineStr">
        <is>
          <t>Gujarat</t>
        </is>
      </c>
      <c r="M428" s="9" t="inlineStr">
        <is>
          <t xml:space="preserve">hotspot found </t>
        </is>
      </c>
      <c r="N428" s="19" t="inlineStr">
        <is>
          <t>Hotspot</t>
        </is>
      </c>
      <c r="O428" s="3" t="n">
        <v>550</v>
      </c>
      <c r="P428" s="9" t="inlineStr">
        <is>
          <t>NSMP2301314449</t>
        </is>
      </c>
      <c r="Q428" s="53">
        <f>MID(P428,5,2)</f>
        <v/>
      </c>
      <c r="R428" s="53">
        <f>MID(P428,7,2)</f>
        <v/>
      </c>
      <c r="S428" s="3" t="inlineStr">
        <is>
          <t>G2B</t>
        </is>
      </c>
      <c r="T428" s="3" t="inlineStr">
        <is>
          <t>P2</t>
        </is>
      </c>
      <c r="U428" s="9" t="inlineStr">
        <is>
          <t>Single Cell Hotspot</t>
        </is>
      </c>
      <c r="V428" s="3" t="inlineStr">
        <is>
          <t>Inspection</t>
        </is>
      </c>
      <c r="W428" s="3" t="inlineStr">
        <is>
          <t>Rejected</t>
        </is>
      </c>
      <c r="X428" s="2">
        <f>Z428</f>
        <v/>
      </c>
      <c r="Y428" s="73">
        <f>IF(X428="","",X428-A428)</f>
        <v/>
      </c>
      <c r="Z428" s="18" t="n">
        <v>46148</v>
      </c>
      <c r="AA428" s="15" t="n"/>
      <c r="AB428" s="15" t="n"/>
      <c r="AF428">
        <f>IF(AND($F428="Closed",$X428&gt;=DATE(2026,5,1),$X428&lt;=DATE(2026,5,31)),"Closed in May","Other")</f>
        <v/>
      </c>
    </row>
    <row r="429">
      <c r="A429" s="2" t="n">
        <v>46106</v>
      </c>
      <c r="B429" s="3" t="n">
        <v>2026</v>
      </c>
      <c r="C429" s="3" t="inlineStr">
        <is>
          <t>First Energy</t>
        </is>
      </c>
      <c r="D429" s="3" t="inlineStr">
        <is>
          <t>Utility and C&amp;I</t>
        </is>
      </c>
      <c r="E429" s="3" t="n"/>
      <c r="F429" s="3" t="inlineStr">
        <is>
          <t>Closed</t>
        </is>
      </c>
      <c r="G429" s="3" t="inlineStr">
        <is>
          <t>Mr. Gaurav</t>
        </is>
      </c>
      <c r="H429" s="3" t="n">
        <v>9979185999</v>
      </c>
      <c r="I429" s="11" t="inlineStr">
        <is>
          <t>PE25032601</t>
        </is>
      </c>
      <c r="J429" s="9" t="inlineStr">
        <is>
          <t>Module Defects</t>
        </is>
      </c>
      <c r="K429" s="3" t="inlineStr">
        <is>
          <t>Rajkot</t>
        </is>
      </c>
      <c r="L429" s="3" t="inlineStr">
        <is>
          <t>Gujarat</t>
        </is>
      </c>
      <c r="M429" s="9" t="inlineStr">
        <is>
          <t xml:space="preserve">hotspot found </t>
        </is>
      </c>
      <c r="N429" s="19" t="inlineStr">
        <is>
          <t>Hotspot</t>
        </is>
      </c>
      <c r="O429" s="3" t="n">
        <v>550</v>
      </c>
      <c r="P429" s="9" t="inlineStr">
        <is>
          <t>NSMP2212269279</t>
        </is>
      </c>
      <c r="Q429" s="53">
        <f>MID(P429,5,2)</f>
        <v/>
      </c>
      <c r="R429" s="53">
        <f>MID(P429,7,2)</f>
        <v/>
      </c>
      <c r="S429" s="3" t="inlineStr">
        <is>
          <t>G2B</t>
        </is>
      </c>
      <c r="T429" s="3" t="inlineStr">
        <is>
          <t>P2</t>
        </is>
      </c>
      <c r="U429" s="9" t="inlineStr">
        <is>
          <t>Single Cell Hotspot</t>
        </is>
      </c>
      <c r="V429" s="3" t="inlineStr">
        <is>
          <t>Inspection</t>
        </is>
      </c>
      <c r="W429" s="3" t="inlineStr">
        <is>
          <t>Rejected</t>
        </is>
      </c>
      <c r="X429" s="2">
        <f>Z429</f>
        <v/>
      </c>
      <c r="Y429" s="73">
        <f>IF(X429="","",X429-A429)</f>
        <v/>
      </c>
      <c r="Z429" s="18" t="n">
        <v>46148</v>
      </c>
      <c r="AA429" s="15" t="n"/>
      <c r="AB429" s="15" t="n"/>
      <c r="AF429">
        <f>IF(AND($F429="Closed",$X429&gt;=DATE(2026,5,1),$X429&lt;=DATE(2026,5,31)),"Closed in May","Other")</f>
        <v/>
      </c>
    </row>
    <row r="430">
      <c r="A430" s="2" t="n">
        <v>46106</v>
      </c>
      <c r="B430" s="3" t="n">
        <v>2026</v>
      </c>
      <c r="C430" s="3" t="inlineStr">
        <is>
          <t>First Energy</t>
        </is>
      </c>
      <c r="D430" s="3" t="inlineStr">
        <is>
          <t>Utility and C&amp;I</t>
        </is>
      </c>
      <c r="E430" s="3" t="n"/>
      <c r="F430" s="3" t="inlineStr">
        <is>
          <t>Closed</t>
        </is>
      </c>
      <c r="G430" s="3" t="inlineStr">
        <is>
          <t>Mr. Gaurav</t>
        </is>
      </c>
      <c r="H430" s="3" t="n">
        <v>9979185999</v>
      </c>
      <c r="I430" s="11" t="inlineStr">
        <is>
          <t>PE25032601</t>
        </is>
      </c>
      <c r="J430" s="9" t="inlineStr">
        <is>
          <t>Module Defects</t>
        </is>
      </c>
      <c r="K430" s="3" t="inlineStr">
        <is>
          <t>Rajkot</t>
        </is>
      </c>
      <c r="L430" s="3" t="inlineStr">
        <is>
          <t>Gujarat</t>
        </is>
      </c>
      <c r="M430" s="9" t="inlineStr">
        <is>
          <t xml:space="preserve">hotspot found </t>
        </is>
      </c>
      <c r="N430" s="19" t="inlineStr">
        <is>
          <t>Hotspot</t>
        </is>
      </c>
      <c r="O430" s="3" t="n">
        <v>550</v>
      </c>
      <c r="P430" s="9" t="inlineStr">
        <is>
          <t>NSMP2301314117</t>
        </is>
      </c>
      <c r="Q430" s="53">
        <f>MID(P430,5,2)</f>
        <v/>
      </c>
      <c r="R430" s="53">
        <f>MID(P430,7,2)</f>
        <v/>
      </c>
      <c r="S430" s="3" t="inlineStr">
        <is>
          <t>G2B</t>
        </is>
      </c>
      <c r="T430" s="3" t="inlineStr">
        <is>
          <t>P2</t>
        </is>
      </c>
      <c r="U430" s="9" t="inlineStr">
        <is>
          <t>Multi Cell Hotspot</t>
        </is>
      </c>
      <c r="V430" s="3" t="inlineStr">
        <is>
          <t>Inspection</t>
        </is>
      </c>
      <c r="W430" s="3" t="inlineStr">
        <is>
          <t>Rejected</t>
        </is>
      </c>
      <c r="X430" s="2">
        <f>Z430</f>
        <v/>
      </c>
      <c r="Y430" s="73">
        <f>IF(X430="","",X430-A430)</f>
        <v/>
      </c>
      <c r="Z430" s="18" t="n">
        <v>46148</v>
      </c>
      <c r="AA430" s="15" t="n"/>
      <c r="AB430" s="15" t="n"/>
      <c r="AF430">
        <f>IF(AND($F430="Closed",$X430&gt;=DATE(2026,5,1),$X430&lt;=DATE(2026,5,31)),"Closed in May","Other")</f>
        <v/>
      </c>
    </row>
    <row r="431">
      <c r="A431" s="2" t="n">
        <v>46106</v>
      </c>
      <c r="B431" s="3" t="n">
        <v>2026</v>
      </c>
      <c r="C431" s="3" t="inlineStr">
        <is>
          <t>First Energy</t>
        </is>
      </c>
      <c r="D431" s="3" t="inlineStr">
        <is>
          <t>Utility and C&amp;I</t>
        </is>
      </c>
      <c r="E431" s="3" t="n"/>
      <c r="F431" s="3" t="inlineStr">
        <is>
          <t>Closed</t>
        </is>
      </c>
      <c r="G431" s="3" t="inlineStr">
        <is>
          <t>Mr. Gaurav</t>
        </is>
      </c>
      <c r="H431" s="3" t="n">
        <v>9979185999</v>
      </c>
      <c r="I431" s="11" t="inlineStr">
        <is>
          <t>PE25032601</t>
        </is>
      </c>
      <c r="J431" s="9" t="inlineStr">
        <is>
          <t>Module Defects</t>
        </is>
      </c>
      <c r="K431" s="3" t="inlineStr">
        <is>
          <t>Rajkot</t>
        </is>
      </c>
      <c r="L431" s="3" t="inlineStr">
        <is>
          <t>Gujarat</t>
        </is>
      </c>
      <c r="M431" s="9" t="inlineStr">
        <is>
          <t xml:space="preserve">hotspot found </t>
        </is>
      </c>
      <c r="N431" s="19" t="inlineStr">
        <is>
          <t>Hotspot</t>
        </is>
      </c>
      <c r="O431" s="3" t="n">
        <v>550</v>
      </c>
      <c r="P431" s="9" t="inlineStr">
        <is>
          <t>NSMP2301297255</t>
        </is>
      </c>
      <c r="Q431" s="53">
        <f>MID(P431,5,2)</f>
        <v/>
      </c>
      <c r="R431" s="53">
        <f>MID(P431,7,2)</f>
        <v/>
      </c>
      <c r="S431" s="3" t="inlineStr">
        <is>
          <t>G2B</t>
        </is>
      </c>
      <c r="T431" s="3" t="inlineStr">
        <is>
          <t>P2</t>
        </is>
      </c>
      <c r="U431" s="9" t="inlineStr">
        <is>
          <t>Multi Cell Hotspot</t>
        </is>
      </c>
      <c r="V431" s="3" t="inlineStr">
        <is>
          <t>Inspection</t>
        </is>
      </c>
      <c r="W431" s="3" t="inlineStr">
        <is>
          <t>Rejected</t>
        </is>
      </c>
      <c r="X431" s="2">
        <f>Z431</f>
        <v/>
      </c>
      <c r="Y431" s="73">
        <f>IF(X431="","",X431-A431)</f>
        <v/>
      </c>
      <c r="Z431" s="18" t="n">
        <v>46148</v>
      </c>
      <c r="AA431" s="15" t="n"/>
      <c r="AB431" s="15" t="n"/>
      <c r="AF431">
        <f>IF(AND($F431="Closed",$X431&gt;=DATE(2026,5,1),$X431&lt;=DATE(2026,5,31)),"Closed in May","Other")</f>
        <v/>
      </c>
    </row>
    <row r="432">
      <c r="A432" s="2" t="n">
        <v>46106</v>
      </c>
      <c r="B432" s="3" t="n">
        <v>2026</v>
      </c>
      <c r="C432" s="3" t="inlineStr">
        <is>
          <t>First Energy</t>
        </is>
      </c>
      <c r="D432" s="3" t="inlineStr">
        <is>
          <t>Utility and C&amp;I</t>
        </is>
      </c>
      <c r="E432" s="3" t="n"/>
      <c r="F432" s="3" t="inlineStr">
        <is>
          <t>Closed</t>
        </is>
      </c>
      <c r="G432" s="3" t="inlineStr">
        <is>
          <t>Mr. Gaurav</t>
        </is>
      </c>
      <c r="H432" s="3" t="n">
        <v>9979185999</v>
      </c>
      <c r="I432" s="11" t="inlineStr">
        <is>
          <t>PE25032601</t>
        </is>
      </c>
      <c r="J432" s="9" t="inlineStr">
        <is>
          <t>Module Defects</t>
        </is>
      </c>
      <c r="K432" s="3" t="inlineStr">
        <is>
          <t>Rajkot</t>
        </is>
      </c>
      <c r="L432" s="3" t="inlineStr">
        <is>
          <t>Gujarat</t>
        </is>
      </c>
      <c r="M432" s="9" t="inlineStr">
        <is>
          <t xml:space="preserve">hotspot found </t>
        </is>
      </c>
      <c r="N432" s="19" t="inlineStr">
        <is>
          <t>Hotspot</t>
        </is>
      </c>
      <c r="O432" s="3" t="n">
        <v>550</v>
      </c>
      <c r="P432" s="9" t="inlineStr">
        <is>
          <t>NSMP2301290258</t>
        </is>
      </c>
      <c r="Q432" s="53">
        <f>MID(P432,5,2)</f>
        <v/>
      </c>
      <c r="R432" s="53">
        <f>MID(P432,7,2)</f>
        <v/>
      </c>
      <c r="S432" s="3" t="inlineStr">
        <is>
          <t>G2B</t>
        </is>
      </c>
      <c r="T432" s="3" t="inlineStr">
        <is>
          <t>P2</t>
        </is>
      </c>
      <c r="U432" s="9" t="inlineStr">
        <is>
          <t>Multi Cell Hotspot</t>
        </is>
      </c>
      <c r="V432" s="3" t="inlineStr">
        <is>
          <t>Inspection</t>
        </is>
      </c>
      <c r="W432" s="3" t="inlineStr">
        <is>
          <t>Rejected</t>
        </is>
      </c>
      <c r="X432" s="2">
        <f>Z432</f>
        <v/>
      </c>
      <c r="Y432" s="73">
        <f>IF(X432="","",X432-A432)</f>
        <v/>
      </c>
      <c r="Z432" s="18" t="n">
        <v>46148</v>
      </c>
      <c r="AA432" s="15" t="n"/>
      <c r="AB432" s="15" t="n"/>
      <c r="AF432">
        <f>IF(AND($F432="Closed",$X432&gt;=DATE(2026,5,1),$X432&lt;=DATE(2026,5,31)),"Closed in May","Other")</f>
        <v/>
      </c>
    </row>
    <row r="433">
      <c r="A433" s="2" t="n">
        <v>46106</v>
      </c>
      <c r="B433" s="3" t="n">
        <v>2026</v>
      </c>
      <c r="C433" s="3" t="inlineStr">
        <is>
          <t>First Energy</t>
        </is>
      </c>
      <c r="D433" s="3" t="inlineStr">
        <is>
          <t>Utility and C&amp;I</t>
        </is>
      </c>
      <c r="E433" s="3" t="n"/>
      <c r="F433" s="3" t="inlineStr">
        <is>
          <t>Closed</t>
        </is>
      </c>
      <c r="G433" s="3" t="inlineStr">
        <is>
          <t>Mr. Gaurav</t>
        </is>
      </c>
      <c r="H433" s="3" t="n">
        <v>9979185999</v>
      </c>
      <c r="I433" s="11" t="inlineStr">
        <is>
          <t>PE25032601</t>
        </is>
      </c>
      <c r="J433" s="9" t="inlineStr">
        <is>
          <t>Module Defects</t>
        </is>
      </c>
      <c r="K433" s="3" t="inlineStr">
        <is>
          <t>Rajkot</t>
        </is>
      </c>
      <c r="L433" s="3" t="inlineStr">
        <is>
          <t>Gujarat</t>
        </is>
      </c>
      <c r="M433" s="9" t="inlineStr">
        <is>
          <t xml:space="preserve">hotspot found </t>
        </is>
      </c>
      <c r="N433" s="19" t="inlineStr">
        <is>
          <t>Hotspot</t>
        </is>
      </c>
      <c r="O433" s="3" t="n">
        <v>550</v>
      </c>
      <c r="P433" s="9" t="inlineStr">
        <is>
          <t>NSMP2301308883</t>
        </is>
      </c>
      <c r="Q433" s="53">
        <f>MID(P433,5,2)</f>
        <v/>
      </c>
      <c r="R433" s="53">
        <f>MID(P433,7,2)</f>
        <v/>
      </c>
      <c r="S433" s="3" t="inlineStr">
        <is>
          <t>G2B</t>
        </is>
      </c>
      <c r="T433" s="3" t="inlineStr">
        <is>
          <t>P2</t>
        </is>
      </c>
      <c r="U433" s="9" t="inlineStr">
        <is>
          <t>Single Cell Hotspot</t>
        </is>
      </c>
      <c r="V433" s="3" t="inlineStr">
        <is>
          <t>Inspection</t>
        </is>
      </c>
      <c r="W433" s="3" t="inlineStr">
        <is>
          <t>Rejected</t>
        </is>
      </c>
      <c r="X433" s="2">
        <f>Z433</f>
        <v/>
      </c>
      <c r="Y433" s="73">
        <f>IF(X433="","",X433-A433)</f>
        <v/>
      </c>
      <c r="Z433" s="18" t="n">
        <v>46148</v>
      </c>
      <c r="AA433" s="15" t="n"/>
      <c r="AB433" s="15" t="n"/>
      <c r="AF433">
        <f>IF(AND($F433="Closed",$X433&gt;=DATE(2026,5,1),$X433&lt;=DATE(2026,5,31)),"Closed in May","Other")</f>
        <v/>
      </c>
    </row>
    <row r="434">
      <c r="A434" s="2" t="n">
        <v>46106</v>
      </c>
      <c r="B434" s="3" t="n">
        <v>2026</v>
      </c>
      <c r="C434" s="3" t="inlineStr">
        <is>
          <t>First Energy</t>
        </is>
      </c>
      <c r="D434" s="3" t="inlineStr">
        <is>
          <t>Utility and C&amp;I</t>
        </is>
      </c>
      <c r="E434" s="3" t="n"/>
      <c r="F434" s="3" t="inlineStr">
        <is>
          <t>Closed</t>
        </is>
      </c>
      <c r="G434" s="3" t="inlineStr">
        <is>
          <t>Mr. Gaurav</t>
        </is>
      </c>
      <c r="H434" s="3" t="n">
        <v>9979185999</v>
      </c>
      <c r="I434" s="11" t="inlineStr">
        <is>
          <t>PE25032601</t>
        </is>
      </c>
      <c r="J434" s="9" t="inlineStr">
        <is>
          <t>Module Defects</t>
        </is>
      </c>
      <c r="K434" s="3" t="inlineStr">
        <is>
          <t>Rajkot</t>
        </is>
      </c>
      <c r="L434" s="3" t="inlineStr">
        <is>
          <t>Gujarat</t>
        </is>
      </c>
      <c r="M434" s="9" t="inlineStr">
        <is>
          <t xml:space="preserve">hotspot found </t>
        </is>
      </c>
      <c r="N434" s="19" t="inlineStr">
        <is>
          <t>Hotspot</t>
        </is>
      </c>
      <c r="O434" s="3" t="n">
        <v>550</v>
      </c>
      <c r="P434" s="9" t="inlineStr">
        <is>
          <t>NSMP2301300957</t>
        </is>
      </c>
      <c r="Q434" s="53">
        <f>MID(P434,5,2)</f>
        <v/>
      </c>
      <c r="R434" s="53">
        <f>MID(P434,7,2)</f>
        <v/>
      </c>
      <c r="S434" s="3" t="inlineStr">
        <is>
          <t>G2B</t>
        </is>
      </c>
      <c r="T434" s="3" t="inlineStr">
        <is>
          <t>P2</t>
        </is>
      </c>
      <c r="U434" s="9" t="inlineStr">
        <is>
          <t>Single Cell Hotspot</t>
        </is>
      </c>
      <c r="V434" s="3" t="inlineStr">
        <is>
          <t>Inspection</t>
        </is>
      </c>
      <c r="W434" s="3" t="inlineStr">
        <is>
          <t>Rejected</t>
        </is>
      </c>
      <c r="X434" s="2">
        <f>Z434</f>
        <v/>
      </c>
      <c r="Y434" s="73">
        <f>IF(X434="","",X434-A434)</f>
        <v/>
      </c>
      <c r="Z434" s="18" t="n">
        <v>46148</v>
      </c>
      <c r="AA434" s="15" t="n"/>
      <c r="AB434" s="15" t="n"/>
      <c r="AF434">
        <f>IF(AND($F434="Closed",$X434&gt;=DATE(2026,5,1),$X434&lt;=DATE(2026,5,31)),"Closed in May","Other")</f>
        <v/>
      </c>
    </row>
    <row r="435">
      <c r="A435" s="2" t="n">
        <v>46106</v>
      </c>
      <c r="B435" s="3" t="n">
        <v>2026</v>
      </c>
      <c r="C435" s="3" t="inlineStr">
        <is>
          <t>First Energy</t>
        </is>
      </c>
      <c r="D435" s="3" t="inlineStr">
        <is>
          <t>Utility and C&amp;I</t>
        </is>
      </c>
      <c r="E435" s="3" t="n"/>
      <c r="F435" s="3" t="inlineStr">
        <is>
          <t>Closed</t>
        </is>
      </c>
      <c r="G435" s="3" t="inlineStr">
        <is>
          <t>Mr. Gaurav</t>
        </is>
      </c>
      <c r="H435" s="3" t="n">
        <v>9979185999</v>
      </c>
      <c r="I435" s="11" t="inlineStr">
        <is>
          <t>PE25032601</t>
        </is>
      </c>
      <c r="J435" s="9" t="inlineStr">
        <is>
          <t>Module Defects</t>
        </is>
      </c>
      <c r="K435" s="3" t="inlineStr">
        <is>
          <t>Rajkot</t>
        </is>
      </c>
      <c r="L435" s="3" t="inlineStr">
        <is>
          <t>Gujarat</t>
        </is>
      </c>
      <c r="M435" s="9" t="inlineStr">
        <is>
          <t xml:space="preserve">hotspot found </t>
        </is>
      </c>
      <c r="N435" s="19" t="inlineStr">
        <is>
          <t>Hotspot</t>
        </is>
      </c>
      <c r="O435" s="3" t="n">
        <v>550</v>
      </c>
      <c r="P435" s="9" t="inlineStr">
        <is>
          <t>NSMP24091544369</t>
        </is>
      </c>
      <c r="Q435" s="53">
        <f>MID(P435,5,2)</f>
        <v/>
      </c>
      <c r="R435" s="53">
        <f>MID(P435,7,2)</f>
        <v/>
      </c>
      <c r="S435" s="3" t="inlineStr">
        <is>
          <t>G2B</t>
        </is>
      </c>
      <c r="T435" s="3" t="inlineStr">
        <is>
          <t>P2</t>
        </is>
      </c>
      <c r="U435" s="9" t="inlineStr">
        <is>
          <t>Single Cell Hotspot</t>
        </is>
      </c>
      <c r="V435" s="3" t="inlineStr">
        <is>
          <t>Inspection</t>
        </is>
      </c>
      <c r="W435" s="3" t="inlineStr">
        <is>
          <t>Rejected</t>
        </is>
      </c>
      <c r="X435" s="2">
        <f>Z435</f>
        <v/>
      </c>
      <c r="Y435" s="73">
        <f>IF(X435="","",X435-A435)</f>
        <v/>
      </c>
      <c r="Z435" s="18" t="n">
        <v>46148</v>
      </c>
      <c r="AA435" s="15" t="n"/>
      <c r="AB435" s="15" t="n"/>
      <c r="AF435">
        <f>IF(AND($F435="Closed",$X435&gt;=DATE(2026,5,1),$X435&lt;=DATE(2026,5,31)),"Closed in May","Other")</f>
        <v/>
      </c>
    </row>
    <row r="436">
      <c r="A436" s="2" t="n">
        <v>46106</v>
      </c>
      <c r="B436" s="3" t="n">
        <v>2026</v>
      </c>
      <c r="C436" s="3" t="inlineStr">
        <is>
          <t>First Energy</t>
        </is>
      </c>
      <c r="D436" s="3" t="inlineStr">
        <is>
          <t>Utility and C&amp;I</t>
        </is>
      </c>
      <c r="E436" s="3" t="n"/>
      <c r="F436" s="3" t="inlineStr">
        <is>
          <t>Closed</t>
        </is>
      </c>
      <c r="G436" s="3" t="inlineStr">
        <is>
          <t>Mr. Gaurav</t>
        </is>
      </c>
      <c r="H436" s="3" t="n">
        <v>9979185999</v>
      </c>
      <c r="I436" s="11" t="inlineStr">
        <is>
          <t>PE25032601</t>
        </is>
      </c>
      <c r="J436" s="9" t="inlineStr">
        <is>
          <t>Module Defects</t>
        </is>
      </c>
      <c r="K436" s="3" t="inlineStr">
        <is>
          <t>Rajkot</t>
        </is>
      </c>
      <c r="L436" s="3" t="inlineStr">
        <is>
          <t>Gujarat</t>
        </is>
      </c>
      <c r="M436" s="9" t="inlineStr">
        <is>
          <t xml:space="preserve">hotspot found </t>
        </is>
      </c>
      <c r="N436" s="19" t="inlineStr">
        <is>
          <t>Hotspot</t>
        </is>
      </c>
      <c r="O436" s="3" t="n">
        <v>550</v>
      </c>
      <c r="P436" s="9" t="inlineStr">
        <is>
          <t>NSMP24091544894</t>
        </is>
      </c>
      <c r="Q436" s="53">
        <f>MID(P436,5,2)</f>
        <v/>
      </c>
      <c r="R436" s="53">
        <f>MID(P436,7,2)</f>
        <v/>
      </c>
      <c r="S436" s="3" t="inlineStr">
        <is>
          <t>G2B</t>
        </is>
      </c>
      <c r="T436" s="3" t="inlineStr">
        <is>
          <t>P2</t>
        </is>
      </c>
      <c r="U436" s="9" t="inlineStr">
        <is>
          <t>Single Cell Hotspot</t>
        </is>
      </c>
      <c r="V436" s="3" t="inlineStr">
        <is>
          <t>Inspection</t>
        </is>
      </c>
      <c r="W436" s="3" t="inlineStr">
        <is>
          <t>Rejected</t>
        </is>
      </c>
      <c r="X436" s="2">
        <f>Z436</f>
        <v/>
      </c>
      <c r="Y436" s="73">
        <f>IF(X436="","",X436-A436)</f>
        <v/>
      </c>
      <c r="Z436" s="18" t="n">
        <v>46148</v>
      </c>
      <c r="AA436" s="15" t="n"/>
      <c r="AB436" s="15" t="n"/>
      <c r="AF436">
        <f>IF(AND($F436="Closed",$X436&gt;=DATE(2026,5,1),$X436&lt;=DATE(2026,5,31)),"Closed in May","Other")</f>
        <v/>
      </c>
    </row>
    <row r="437">
      <c r="A437" s="2" t="n">
        <v>46106</v>
      </c>
      <c r="B437" s="3" t="n">
        <v>2026</v>
      </c>
      <c r="C437" s="3" t="inlineStr">
        <is>
          <t>First Energy</t>
        </is>
      </c>
      <c r="D437" s="3" t="inlineStr">
        <is>
          <t>Utility and C&amp;I</t>
        </is>
      </c>
      <c r="E437" s="3" t="n"/>
      <c r="F437" s="3" t="inlineStr">
        <is>
          <t>Closed</t>
        </is>
      </c>
      <c r="G437" s="3" t="inlineStr">
        <is>
          <t>Mr. Gaurav</t>
        </is>
      </c>
      <c r="H437" s="3" t="n">
        <v>9979185999</v>
      </c>
      <c r="I437" s="11" t="inlineStr">
        <is>
          <t>PE25032601</t>
        </is>
      </c>
      <c r="J437" s="9" t="inlineStr">
        <is>
          <t>Module Defects</t>
        </is>
      </c>
      <c r="K437" s="3" t="inlineStr">
        <is>
          <t>Rajkot</t>
        </is>
      </c>
      <c r="L437" s="3" t="inlineStr">
        <is>
          <t>Gujarat</t>
        </is>
      </c>
      <c r="M437" s="9" t="inlineStr">
        <is>
          <t xml:space="preserve">hotspot found </t>
        </is>
      </c>
      <c r="N437" s="19" t="inlineStr">
        <is>
          <t>Hotspot</t>
        </is>
      </c>
      <c r="O437" s="3" t="n">
        <v>550</v>
      </c>
      <c r="P437" s="9" t="inlineStr">
        <is>
          <t>NSMP24091544363</t>
        </is>
      </c>
      <c r="Q437" s="53">
        <f>MID(P437,5,2)</f>
        <v/>
      </c>
      <c r="R437" s="53">
        <f>MID(P437,7,2)</f>
        <v/>
      </c>
      <c r="S437" s="3" t="inlineStr">
        <is>
          <t>G2B</t>
        </is>
      </c>
      <c r="T437" s="3" t="inlineStr">
        <is>
          <t>P2</t>
        </is>
      </c>
      <c r="U437" s="9" t="inlineStr">
        <is>
          <t>Single Cell Hotspot</t>
        </is>
      </c>
      <c r="V437" s="3" t="inlineStr">
        <is>
          <t>Inspection</t>
        </is>
      </c>
      <c r="W437" s="3" t="inlineStr">
        <is>
          <t>Rejected</t>
        </is>
      </c>
      <c r="X437" s="2">
        <f>Z437</f>
        <v/>
      </c>
      <c r="Y437" s="73">
        <f>IF(X437="","",X437-A437)</f>
        <v/>
      </c>
      <c r="Z437" s="18" t="n">
        <v>46148</v>
      </c>
      <c r="AA437" s="15" t="n"/>
      <c r="AB437" s="15" t="n"/>
      <c r="AF437">
        <f>IF(AND($F437="Closed",$X437&gt;=DATE(2026,5,1),$X437&lt;=DATE(2026,5,31)),"Closed in May","Other")</f>
        <v/>
      </c>
    </row>
    <row r="438">
      <c r="A438" s="2" t="n">
        <v>46106</v>
      </c>
      <c r="B438" s="3" t="n">
        <v>2026</v>
      </c>
      <c r="C438" s="3" t="inlineStr">
        <is>
          <t>First Energy</t>
        </is>
      </c>
      <c r="D438" s="3" t="inlineStr">
        <is>
          <t>Utility and C&amp;I</t>
        </is>
      </c>
      <c r="E438" s="3" t="n"/>
      <c r="F438" s="3" t="inlineStr">
        <is>
          <t>Closed</t>
        </is>
      </c>
      <c r="G438" s="3" t="inlineStr">
        <is>
          <t>Mr. Gaurav</t>
        </is>
      </c>
      <c r="H438" s="3" t="n">
        <v>9979185999</v>
      </c>
      <c r="I438" s="11" t="inlineStr">
        <is>
          <t>PE25032601</t>
        </is>
      </c>
      <c r="J438" s="9" t="inlineStr">
        <is>
          <t>Module Defects</t>
        </is>
      </c>
      <c r="K438" s="3" t="inlineStr">
        <is>
          <t>Rajkot</t>
        </is>
      </c>
      <c r="L438" s="3" t="inlineStr">
        <is>
          <t>Gujarat</t>
        </is>
      </c>
      <c r="M438" s="9" t="inlineStr">
        <is>
          <t xml:space="preserve">hotspot found </t>
        </is>
      </c>
      <c r="N438" s="19" t="inlineStr">
        <is>
          <t>Hotspot</t>
        </is>
      </c>
      <c r="O438" s="3" t="n">
        <v>550</v>
      </c>
      <c r="P438" s="9" t="inlineStr">
        <is>
          <t>NSMP24091545013</t>
        </is>
      </c>
      <c r="Q438" s="53">
        <f>MID(P438,5,2)</f>
        <v/>
      </c>
      <c r="R438" s="53">
        <f>MID(P438,7,2)</f>
        <v/>
      </c>
      <c r="S438" s="3" t="inlineStr">
        <is>
          <t>G2B</t>
        </is>
      </c>
      <c r="T438" s="3" t="inlineStr">
        <is>
          <t>P2</t>
        </is>
      </c>
      <c r="U438" s="9" t="inlineStr">
        <is>
          <t xml:space="preserve">Multi Cell Hotspot </t>
        </is>
      </c>
      <c r="V438" s="3" t="inlineStr">
        <is>
          <t>Inspection</t>
        </is>
      </c>
      <c r="W438" s="3" t="inlineStr">
        <is>
          <t>Rejected</t>
        </is>
      </c>
      <c r="X438" s="2">
        <f>Z438</f>
        <v/>
      </c>
      <c r="Y438" s="73">
        <f>IF(X438="","",X438-A438)</f>
        <v/>
      </c>
      <c r="Z438" s="18" t="n">
        <v>46148</v>
      </c>
      <c r="AA438" s="15" t="n"/>
      <c r="AB438" s="15" t="n"/>
      <c r="AF438">
        <f>IF(AND($F438="Closed",$X438&gt;=DATE(2026,5,1),$X438&lt;=DATE(2026,5,31)),"Closed in May","Other")</f>
        <v/>
      </c>
    </row>
    <row r="439">
      <c r="A439" s="2" t="n">
        <v>46106</v>
      </c>
      <c r="B439" s="3" t="n">
        <v>2026</v>
      </c>
      <c r="C439" s="3" t="inlineStr">
        <is>
          <t>First Energy</t>
        </is>
      </c>
      <c r="D439" s="3" t="inlineStr">
        <is>
          <t>Utility and C&amp;I</t>
        </is>
      </c>
      <c r="E439" s="3" t="n"/>
      <c r="F439" s="3" t="inlineStr">
        <is>
          <t>Closed</t>
        </is>
      </c>
      <c r="G439" s="3" t="inlineStr">
        <is>
          <t>Mr. Gaurav</t>
        </is>
      </c>
      <c r="H439" s="3" t="n">
        <v>9979185999</v>
      </c>
      <c r="I439" s="11" t="inlineStr">
        <is>
          <t>PE25032601</t>
        </is>
      </c>
      <c r="J439" s="9" t="inlineStr">
        <is>
          <t>Module Defects</t>
        </is>
      </c>
      <c r="K439" s="3" t="inlineStr">
        <is>
          <t>Rajkot</t>
        </is>
      </c>
      <c r="L439" s="3" t="inlineStr">
        <is>
          <t>Gujarat</t>
        </is>
      </c>
      <c r="M439" s="9" t="inlineStr">
        <is>
          <t xml:space="preserve">hotspot found </t>
        </is>
      </c>
      <c r="N439" s="19" t="inlineStr">
        <is>
          <t>Hotspot</t>
        </is>
      </c>
      <c r="O439" s="3" t="n">
        <v>550</v>
      </c>
      <c r="P439" s="9" t="inlineStr">
        <is>
          <t>NSMP24091541435</t>
        </is>
      </c>
      <c r="Q439" s="53">
        <f>MID(P439,5,2)</f>
        <v/>
      </c>
      <c r="R439" s="53">
        <f>MID(P439,7,2)</f>
        <v/>
      </c>
      <c r="S439" s="3" t="inlineStr">
        <is>
          <t>G2B</t>
        </is>
      </c>
      <c r="T439" s="3" t="inlineStr">
        <is>
          <t>P2</t>
        </is>
      </c>
      <c r="U439" s="9" t="inlineStr">
        <is>
          <t>Multi Cell Hotspot</t>
        </is>
      </c>
      <c r="V439" s="3" t="inlineStr">
        <is>
          <t>Inspection</t>
        </is>
      </c>
      <c r="W439" s="3" t="inlineStr">
        <is>
          <t>Rejected</t>
        </is>
      </c>
      <c r="X439" s="2">
        <f>Z439</f>
        <v/>
      </c>
      <c r="Y439" s="73">
        <f>IF(X439="","",X439-A439)</f>
        <v/>
      </c>
      <c r="Z439" s="18" t="n">
        <v>46148</v>
      </c>
      <c r="AA439" s="15" t="n"/>
      <c r="AB439" s="15" t="n"/>
      <c r="AF439">
        <f>IF(AND($F439="Closed",$X439&gt;=DATE(2026,5,1),$X439&lt;=DATE(2026,5,31)),"Closed in May","Other")</f>
        <v/>
      </c>
    </row>
    <row r="440">
      <c r="A440" s="2" t="n">
        <v>46106</v>
      </c>
      <c r="B440" s="3" t="n">
        <v>2026</v>
      </c>
      <c r="C440" s="3" t="inlineStr">
        <is>
          <t>First Energy</t>
        </is>
      </c>
      <c r="D440" s="3" t="inlineStr">
        <is>
          <t>Utility and C&amp;I</t>
        </is>
      </c>
      <c r="E440" s="3" t="n"/>
      <c r="F440" s="3" t="inlineStr">
        <is>
          <t>Closed</t>
        </is>
      </c>
      <c r="G440" s="3" t="inlineStr">
        <is>
          <t>Mr. Gaurav</t>
        </is>
      </c>
      <c r="H440" s="3" t="n">
        <v>9979185999</v>
      </c>
      <c r="I440" s="11" t="inlineStr">
        <is>
          <t>PE25032601</t>
        </is>
      </c>
      <c r="J440" s="9" t="inlineStr">
        <is>
          <t>Module Defects</t>
        </is>
      </c>
      <c r="K440" s="3" t="inlineStr">
        <is>
          <t>Rajkot</t>
        </is>
      </c>
      <c r="L440" s="3" t="inlineStr">
        <is>
          <t>Gujarat</t>
        </is>
      </c>
      <c r="M440" s="9" t="inlineStr">
        <is>
          <t xml:space="preserve">hotspot found </t>
        </is>
      </c>
      <c r="N440" s="19" t="inlineStr">
        <is>
          <t>Hotspot</t>
        </is>
      </c>
      <c r="O440" s="3" t="n">
        <v>550</v>
      </c>
      <c r="P440" s="9" t="inlineStr">
        <is>
          <t>NSMP24091541919</t>
        </is>
      </c>
      <c r="Q440" s="53">
        <f>MID(P440,5,2)</f>
        <v/>
      </c>
      <c r="R440" s="53">
        <f>MID(P440,7,2)</f>
        <v/>
      </c>
      <c r="S440" s="3" t="inlineStr">
        <is>
          <t>G2B</t>
        </is>
      </c>
      <c r="T440" s="3" t="inlineStr">
        <is>
          <t>P2</t>
        </is>
      </c>
      <c r="U440" s="9" t="inlineStr">
        <is>
          <t>Single Cell Hotspot</t>
        </is>
      </c>
      <c r="V440" s="3" t="inlineStr">
        <is>
          <t>Inspection</t>
        </is>
      </c>
      <c r="W440" s="3" t="inlineStr">
        <is>
          <t>Rejected</t>
        </is>
      </c>
      <c r="X440" s="2">
        <f>Z440</f>
        <v/>
      </c>
      <c r="Y440" s="73">
        <f>IF(X440="","",X440-A440)</f>
        <v/>
      </c>
      <c r="Z440" s="18" t="n">
        <v>46148</v>
      </c>
      <c r="AA440" s="15" t="n"/>
      <c r="AB440" s="15" t="n"/>
      <c r="AF440">
        <f>IF(AND($F440="Closed",$X440&gt;=DATE(2026,5,1),$X440&lt;=DATE(2026,5,31)),"Closed in May","Other")</f>
        <v/>
      </c>
    </row>
    <row r="441">
      <c r="A441" s="2" t="n">
        <v>46106</v>
      </c>
      <c r="B441" s="3" t="n">
        <v>2026</v>
      </c>
      <c r="C441" s="3" t="inlineStr">
        <is>
          <t>First Energy</t>
        </is>
      </c>
      <c r="D441" s="3" t="inlineStr">
        <is>
          <t>Utility and C&amp;I</t>
        </is>
      </c>
      <c r="E441" s="3" t="n"/>
      <c r="F441" s="3" t="inlineStr">
        <is>
          <t>Closed</t>
        </is>
      </c>
      <c r="G441" s="3" t="inlineStr">
        <is>
          <t>Mr. Gaurav</t>
        </is>
      </c>
      <c r="H441" s="3" t="n">
        <v>9979185999</v>
      </c>
      <c r="I441" s="11" t="inlineStr">
        <is>
          <t>PE25032601</t>
        </is>
      </c>
      <c r="J441" s="9" t="inlineStr">
        <is>
          <t>Module Defects</t>
        </is>
      </c>
      <c r="K441" s="3" t="inlineStr">
        <is>
          <t>Rajkot</t>
        </is>
      </c>
      <c r="L441" s="3" t="inlineStr">
        <is>
          <t>Gujarat</t>
        </is>
      </c>
      <c r="M441" s="9" t="inlineStr">
        <is>
          <t xml:space="preserve">hotspot found </t>
        </is>
      </c>
      <c r="N441" s="19" t="inlineStr">
        <is>
          <t>Hotspot</t>
        </is>
      </c>
      <c r="O441" s="3" t="n">
        <v>550</v>
      </c>
      <c r="P441" s="9" t="inlineStr">
        <is>
          <t>NSMP24091541767</t>
        </is>
      </c>
      <c r="Q441" s="53">
        <f>MID(P441,5,2)</f>
        <v/>
      </c>
      <c r="R441" s="53">
        <f>MID(P441,7,2)</f>
        <v/>
      </c>
      <c r="S441" s="3" t="inlineStr">
        <is>
          <t>G2B</t>
        </is>
      </c>
      <c r="T441" s="3" t="inlineStr">
        <is>
          <t>P2</t>
        </is>
      </c>
      <c r="U441" s="9" t="inlineStr">
        <is>
          <t>Multi Cell Hotspot</t>
        </is>
      </c>
      <c r="V441" s="3" t="inlineStr">
        <is>
          <t>Inspection</t>
        </is>
      </c>
      <c r="W441" s="3" t="inlineStr">
        <is>
          <t>Rejected</t>
        </is>
      </c>
      <c r="X441" s="2">
        <f>Z441</f>
        <v/>
      </c>
      <c r="Y441" s="73">
        <f>IF(X441="","",X441-A441)</f>
        <v/>
      </c>
      <c r="Z441" s="18" t="n">
        <v>46148</v>
      </c>
      <c r="AA441" s="15" t="n"/>
      <c r="AB441" s="15" t="n"/>
      <c r="AF441">
        <f>IF(AND($F441="Closed",$X441&gt;=DATE(2026,5,1),$X441&lt;=DATE(2026,5,31)),"Closed in May","Other")</f>
        <v/>
      </c>
    </row>
    <row r="442">
      <c r="A442" s="2" t="n">
        <v>46106</v>
      </c>
      <c r="B442" s="3" t="n">
        <v>2026</v>
      </c>
      <c r="C442" s="3" t="inlineStr">
        <is>
          <t>First Energy</t>
        </is>
      </c>
      <c r="D442" s="3" t="inlineStr">
        <is>
          <t>Utility and C&amp;I</t>
        </is>
      </c>
      <c r="E442" s="3" t="n"/>
      <c r="F442" s="3" t="inlineStr">
        <is>
          <t>Closed</t>
        </is>
      </c>
      <c r="G442" s="3" t="inlineStr">
        <is>
          <t>Mr. Gaurav</t>
        </is>
      </c>
      <c r="H442" s="3" t="n">
        <v>9979185999</v>
      </c>
      <c r="I442" s="11" t="inlineStr">
        <is>
          <t>PE25032601</t>
        </is>
      </c>
      <c r="J442" s="9" t="inlineStr">
        <is>
          <t>Module Defects</t>
        </is>
      </c>
      <c r="K442" s="3" t="inlineStr">
        <is>
          <t>Rajkot</t>
        </is>
      </c>
      <c r="L442" s="3" t="inlineStr">
        <is>
          <t>Gujarat</t>
        </is>
      </c>
      <c r="M442" s="9" t="inlineStr">
        <is>
          <t xml:space="preserve">hotspot found </t>
        </is>
      </c>
      <c r="N442" s="19" t="inlineStr">
        <is>
          <t>Hotspot</t>
        </is>
      </c>
      <c r="O442" s="3" t="n">
        <v>550</v>
      </c>
      <c r="P442" s="9" t="inlineStr">
        <is>
          <t>NSMP24091544147</t>
        </is>
      </c>
      <c r="Q442" s="53">
        <f>MID(P442,5,2)</f>
        <v/>
      </c>
      <c r="R442" s="53">
        <f>MID(P442,7,2)</f>
        <v/>
      </c>
      <c r="S442" s="3" t="inlineStr">
        <is>
          <t>G2B</t>
        </is>
      </c>
      <c r="T442" s="3" t="inlineStr">
        <is>
          <t>P2</t>
        </is>
      </c>
      <c r="U442" s="9" t="inlineStr">
        <is>
          <t>Multi Cell Hotspot</t>
        </is>
      </c>
      <c r="V442" s="3" t="inlineStr">
        <is>
          <t>Inspection</t>
        </is>
      </c>
      <c r="W442" s="3" t="inlineStr">
        <is>
          <t>Rejected</t>
        </is>
      </c>
      <c r="X442" s="2">
        <f>Z442</f>
        <v/>
      </c>
      <c r="Y442" s="73">
        <f>IF(X442="","",X442-A442)</f>
        <v/>
      </c>
      <c r="Z442" s="18" t="n">
        <v>46148</v>
      </c>
      <c r="AA442" s="15" t="n"/>
      <c r="AB442" s="15" t="n"/>
      <c r="AF442">
        <f>IF(AND($F442="Closed",$X442&gt;=DATE(2026,5,1),$X442&lt;=DATE(2026,5,31)),"Closed in May","Other")</f>
        <v/>
      </c>
    </row>
    <row r="443">
      <c r="A443" s="2" t="n">
        <v>46106</v>
      </c>
      <c r="B443" s="3" t="n">
        <v>2026</v>
      </c>
      <c r="C443" s="3" t="inlineStr">
        <is>
          <t>First Energy</t>
        </is>
      </c>
      <c r="D443" s="3" t="inlineStr">
        <is>
          <t>Utility and C&amp;I</t>
        </is>
      </c>
      <c r="E443" s="3" t="n"/>
      <c r="F443" s="3" t="inlineStr">
        <is>
          <t>Closed</t>
        </is>
      </c>
      <c r="G443" s="3" t="inlineStr">
        <is>
          <t>Mr. Gaurav</t>
        </is>
      </c>
      <c r="H443" s="3" t="n">
        <v>9979185999</v>
      </c>
      <c r="I443" s="11" t="inlineStr">
        <is>
          <t>PE25032601</t>
        </is>
      </c>
      <c r="J443" s="9" t="inlineStr">
        <is>
          <t>Module Defects</t>
        </is>
      </c>
      <c r="K443" s="3" t="inlineStr">
        <is>
          <t>Rajkot</t>
        </is>
      </c>
      <c r="L443" s="3" t="inlineStr">
        <is>
          <t>Gujarat</t>
        </is>
      </c>
      <c r="M443" s="9" t="inlineStr">
        <is>
          <t xml:space="preserve">hotspot found </t>
        </is>
      </c>
      <c r="N443" s="19" t="inlineStr">
        <is>
          <t>Hotspot</t>
        </is>
      </c>
      <c r="O443" s="3" t="n">
        <v>550</v>
      </c>
      <c r="P443" s="9" t="inlineStr">
        <is>
          <t>NSMP24091541123</t>
        </is>
      </c>
      <c r="Q443" s="53">
        <f>MID(P443,5,2)</f>
        <v/>
      </c>
      <c r="R443" s="53">
        <f>MID(P443,7,2)</f>
        <v/>
      </c>
      <c r="S443" s="3" t="inlineStr">
        <is>
          <t>G2B</t>
        </is>
      </c>
      <c r="T443" s="3" t="inlineStr">
        <is>
          <t>P2</t>
        </is>
      </c>
      <c r="U443" s="9" t="inlineStr">
        <is>
          <t xml:space="preserve">Multi Cell Hotspot </t>
        </is>
      </c>
      <c r="V443" s="3" t="inlineStr">
        <is>
          <t>Inspection</t>
        </is>
      </c>
      <c r="W443" s="3" t="inlineStr">
        <is>
          <t>Rejected</t>
        </is>
      </c>
      <c r="X443" s="2">
        <f>Z443</f>
        <v/>
      </c>
      <c r="Y443" s="73">
        <f>IF(X443="","",X443-A443)</f>
        <v/>
      </c>
      <c r="Z443" s="18" t="n">
        <v>46148</v>
      </c>
      <c r="AA443" s="15" t="n"/>
      <c r="AB443" s="15" t="n"/>
      <c r="AF443">
        <f>IF(AND($F443="Closed",$X443&gt;=DATE(2026,5,1),$X443&lt;=DATE(2026,5,31)),"Closed in May","Other")</f>
        <v/>
      </c>
    </row>
    <row r="444">
      <c r="A444" s="2" t="n">
        <v>46106</v>
      </c>
      <c r="B444" s="3" t="n">
        <v>2026</v>
      </c>
      <c r="C444" s="3" t="inlineStr">
        <is>
          <t>First Energy</t>
        </is>
      </c>
      <c r="D444" s="3" t="inlineStr">
        <is>
          <t>Utility and C&amp;I</t>
        </is>
      </c>
      <c r="E444" s="3" t="n"/>
      <c r="F444" s="3" t="inlineStr">
        <is>
          <t>Closed</t>
        </is>
      </c>
      <c r="G444" s="3" t="inlineStr">
        <is>
          <t>Mr. Gaurav</t>
        </is>
      </c>
      <c r="H444" s="3" t="n">
        <v>9979185999</v>
      </c>
      <c r="I444" s="11" t="inlineStr">
        <is>
          <t>PE25032601</t>
        </is>
      </c>
      <c r="J444" s="9" t="inlineStr">
        <is>
          <t>Module Defects</t>
        </is>
      </c>
      <c r="K444" s="3" t="inlineStr">
        <is>
          <t>Rajkot</t>
        </is>
      </c>
      <c r="L444" s="3" t="inlineStr">
        <is>
          <t>Gujarat</t>
        </is>
      </c>
      <c r="M444" s="9" t="inlineStr">
        <is>
          <t xml:space="preserve">hotspot found </t>
        </is>
      </c>
      <c r="N444" s="19" t="inlineStr">
        <is>
          <t>Hotspot</t>
        </is>
      </c>
      <c r="O444" s="3" t="n">
        <v>550</v>
      </c>
      <c r="P444" s="9" t="inlineStr">
        <is>
          <t>NSMP24091541085</t>
        </is>
      </c>
      <c r="Q444" s="53">
        <f>MID(P444,5,2)</f>
        <v/>
      </c>
      <c r="R444" s="53">
        <f>MID(P444,7,2)</f>
        <v/>
      </c>
      <c r="S444" s="3" t="inlineStr">
        <is>
          <t>G2B</t>
        </is>
      </c>
      <c r="T444" s="3" t="inlineStr">
        <is>
          <t>P2</t>
        </is>
      </c>
      <c r="U444" s="9" t="inlineStr">
        <is>
          <t>Single Cell Hotspot</t>
        </is>
      </c>
      <c r="V444" s="3" t="inlineStr">
        <is>
          <t>Inspection</t>
        </is>
      </c>
      <c r="W444" s="3" t="inlineStr">
        <is>
          <t>Rejected</t>
        </is>
      </c>
      <c r="X444" s="2">
        <f>Z444</f>
        <v/>
      </c>
      <c r="Y444" s="73">
        <f>IF(X444="","",X444-A444)</f>
        <v/>
      </c>
      <c r="Z444" s="18" t="n">
        <v>46148</v>
      </c>
      <c r="AA444" s="15" t="n"/>
      <c r="AB444" s="15" t="n"/>
      <c r="AF444">
        <f>IF(AND($F444="Closed",$X444&gt;=DATE(2026,5,1),$X444&lt;=DATE(2026,5,31)),"Closed in May","Other")</f>
        <v/>
      </c>
    </row>
    <row r="445">
      <c r="A445" s="2" t="n">
        <v>46106</v>
      </c>
      <c r="B445" s="3" t="n">
        <v>2026</v>
      </c>
      <c r="C445" s="3" t="inlineStr">
        <is>
          <t>First Energy</t>
        </is>
      </c>
      <c r="D445" s="3" t="inlineStr">
        <is>
          <t>Utility and C&amp;I</t>
        </is>
      </c>
      <c r="E445" s="3" t="n"/>
      <c r="F445" s="3" t="inlineStr">
        <is>
          <t>Closed</t>
        </is>
      </c>
      <c r="G445" s="3" t="inlineStr">
        <is>
          <t>Mr. Gaurav</t>
        </is>
      </c>
      <c r="H445" s="3" t="n">
        <v>9979185999</v>
      </c>
      <c r="I445" s="11" t="inlineStr">
        <is>
          <t>PE25032601</t>
        </is>
      </c>
      <c r="J445" s="9" t="inlineStr">
        <is>
          <t>Module Defects</t>
        </is>
      </c>
      <c r="K445" s="3" t="inlineStr">
        <is>
          <t>Rajkot</t>
        </is>
      </c>
      <c r="L445" s="3" t="inlineStr">
        <is>
          <t>Gujarat</t>
        </is>
      </c>
      <c r="M445" s="9" t="inlineStr">
        <is>
          <t xml:space="preserve">hotspot found </t>
        </is>
      </c>
      <c r="N445" s="19" t="inlineStr">
        <is>
          <t>Hotspot</t>
        </is>
      </c>
      <c r="O445" s="3" t="n">
        <v>550</v>
      </c>
      <c r="P445" s="9" t="inlineStr">
        <is>
          <t>NSMP24091541674</t>
        </is>
      </c>
      <c r="Q445" s="53">
        <f>MID(P445,5,2)</f>
        <v/>
      </c>
      <c r="R445" s="53">
        <f>MID(P445,7,2)</f>
        <v/>
      </c>
      <c r="S445" s="3" t="inlineStr">
        <is>
          <t>G2B</t>
        </is>
      </c>
      <c r="T445" s="3" t="inlineStr">
        <is>
          <t>P2</t>
        </is>
      </c>
      <c r="U445" s="9" t="inlineStr">
        <is>
          <t>Single Cell Hotspot</t>
        </is>
      </c>
      <c r="V445" s="3" t="inlineStr">
        <is>
          <t>Inspection</t>
        </is>
      </c>
      <c r="W445" s="3" t="inlineStr">
        <is>
          <t>Rejected</t>
        </is>
      </c>
      <c r="X445" s="2">
        <f>Z445</f>
        <v/>
      </c>
      <c r="Y445" s="73">
        <f>IF(X445="","",X445-A445)</f>
        <v/>
      </c>
      <c r="Z445" s="18" t="n">
        <v>46148</v>
      </c>
      <c r="AA445" s="15" t="n"/>
      <c r="AB445" s="15" t="n"/>
      <c r="AF445">
        <f>IF(AND($F445="Closed",$X445&gt;=DATE(2026,5,1),$X445&lt;=DATE(2026,5,31)),"Closed in May","Other")</f>
        <v/>
      </c>
    </row>
    <row r="446">
      <c r="A446" s="2" t="n">
        <v>46106</v>
      </c>
      <c r="B446" s="3" t="n">
        <v>2026</v>
      </c>
      <c r="C446" s="3" t="inlineStr">
        <is>
          <t>First Energy</t>
        </is>
      </c>
      <c r="D446" s="3" t="inlineStr">
        <is>
          <t>Utility and C&amp;I</t>
        </is>
      </c>
      <c r="E446" s="3" t="n"/>
      <c r="F446" s="3" t="inlineStr">
        <is>
          <t>Closed</t>
        </is>
      </c>
      <c r="G446" s="3" t="inlineStr">
        <is>
          <t>Mr. Gaurav</t>
        </is>
      </c>
      <c r="H446" s="3" t="n">
        <v>9979185999</v>
      </c>
      <c r="I446" s="11" t="inlineStr">
        <is>
          <t>PE25032601</t>
        </is>
      </c>
      <c r="J446" s="9" t="inlineStr">
        <is>
          <t>Module Defects</t>
        </is>
      </c>
      <c r="K446" s="3" t="inlineStr">
        <is>
          <t>Rajkot</t>
        </is>
      </c>
      <c r="L446" s="3" t="inlineStr">
        <is>
          <t>Gujarat</t>
        </is>
      </c>
      <c r="M446" s="9" t="inlineStr">
        <is>
          <t xml:space="preserve">hotspot found </t>
        </is>
      </c>
      <c r="N446" s="19" t="inlineStr">
        <is>
          <t>Hotspot</t>
        </is>
      </c>
      <c r="O446" s="3" t="n">
        <v>550</v>
      </c>
      <c r="P446" s="9" t="inlineStr">
        <is>
          <t>NSMP24091550424</t>
        </is>
      </c>
      <c r="Q446" s="53">
        <f>MID(P446,5,2)</f>
        <v/>
      </c>
      <c r="R446" s="53">
        <f>MID(P446,7,2)</f>
        <v/>
      </c>
      <c r="S446" s="3" t="inlineStr">
        <is>
          <t>G2B</t>
        </is>
      </c>
      <c r="T446" s="3" t="inlineStr">
        <is>
          <t>P2</t>
        </is>
      </c>
      <c r="U446" s="9" t="inlineStr">
        <is>
          <t xml:space="preserve">Multi Cell Hotspot </t>
        </is>
      </c>
      <c r="V446" s="3" t="inlineStr">
        <is>
          <t>Inspection</t>
        </is>
      </c>
      <c r="W446" s="3" t="inlineStr">
        <is>
          <t>Rejected</t>
        </is>
      </c>
      <c r="X446" s="2">
        <f>Z446</f>
        <v/>
      </c>
      <c r="Y446" s="73">
        <f>IF(X446="","",X446-A446)</f>
        <v/>
      </c>
      <c r="Z446" s="18" t="n">
        <v>46148</v>
      </c>
      <c r="AA446" s="15" t="n"/>
      <c r="AB446" s="15" t="n"/>
      <c r="AF446">
        <f>IF(AND($F446="Closed",$X446&gt;=DATE(2026,5,1),$X446&lt;=DATE(2026,5,31)),"Closed in May","Other")</f>
        <v/>
      </c>
    </row>
    <row r="447">
      <c r="A447" s="2" t="n">
        <v>46106</v>
      </c>
      <c r="B447" s="3" t="n">
        <v>2026</v>
      </c>
      <c r="C447" s="3" t="inlineStr">
        <is>
          <t>First Energy</t>
        </is>
      </c>
      <c r="D447" s="3" t="inlineStr">
        <is>
          <t>Utility and C&amp;I</t>
        </is>
      </c>
      <c r="E447" s="3" t="n"/>
      <c r="F447" s="3" t="inlineStr">
        <is>
          <t>Closed</t>
        </is>
      </c>
      <c r="G447" s="3" t="inlineStr">
        <is>
          <t>Mr. Gaurav</t>
        </is>
      </c>
      <c r="H447" s="3" t="n">
        <v>9979185999</v>
      </c>
      <c r="I447" s="11" t="inlineStr">
        <is>
          <t>PE25032601</t>
        </is>
      </c>
      <c r="J447" s="9" t="inlineStr">
        <is>
          <t>Module Defects</t>
        </is>
      </c>
      <c r="K447" s="3" t="inlineStr">
        <is>
          <t>Rajkot</t>
        </is>
      </c>
      <c r="L447" s="3" t="inlineStr">
        <is>
          <t>Gujarat</t>
        </is>
      </c>
      <c r="M447" s="9" t="inlineStr">
        <is>
          <t xml:space="preserve">hotspot found </t>
        </is>
      </c>
      <c r="N447" s="19" t="inlineStr">
        <is>
          <t>Hotspot</t>
        </is>
      </c>
      <c r="O447" s="3" t="n">
        <v>550</v>
      </c>
      <c r="P447" s="9" t="inlineStr">
        <is>
          <t>NSMP2301308462</t>
        </is>
      </c>
      <c r="Q447" s="53">
        <f>MID(P447,5,2)</f>
        <v/>
      </c>
      <c r="R447" s="53">
        <f>MID(P447,7,2)</f>
        <v/>
      </c>
      <c r="S447" s="3" t="inlineStr">
        <is>
          <t>G2B</t>
        </is>
      </c>
      <c r="T447" s="3" t="inlineStr">
        <is>
          <t>P2</t>
        </is>
      </c>
      <c r="U447" s="9" t="inlineStr">
        <is>
          <t>Multi Cell Hotspot</t>
        </is>
      </c>
      <c r="V447" s="3" t="inlineStr">
        <is>
          <t>Inspection</t>
        </is>
      </c>
      <c r="W447" s="3" t="inlineStr">
        <is>
          <t>Rejected</t>
        </is>
      </c>
      <c r="X447" s="2">
        <f>Z447</f>
        <v/>
      </c>
      <c r="Y447" s="73">
        <f>IF(X447="","",X447-A447)</f>
        <v/>
      </c>
      <c r="Z447" s="18" t="n">
        <v>46148</v>
      </c>
      <c r="AA447" s="15" t="n"/>
      <c r="AB447" s="15" t="n"/>
      <c r="AF447">
        <f>IF(AND($F447="Closed",$X447&gt;=DATE(2026,5,1),$X447&lt;=DATE(2026,5,31)),"Closed in May","Other")</f>
        <v/>
      </c>
    </row>
    <row r="448">
      <c r="A448" s="2" t="n">
        <v>46106</v>
      </c>
      <c r="B448" s="3" t="n">
        <v>2026</v>
      </c>
      <c r="C448" s="3" t="inlineStr">
        <is>
          <t>First Energy</t>
        </is>
      </c>
      <c r="D448" s="3" t="inlineStr">
        <is>
          <t>Utility and C&amp;I</t>
        </is>
      </c>
      <c r="E448" s="3" t="n"/>
      <c r="F448" s="3" t="inlineStr">
        <is>
          <t>Closed</t>
        </is>
      </c>
      <c r="G448" s="3" t="inlineStr">
        <is>
          <t>Mr. Gaurav</t>
        </is>
      </c>
      <c r="H448" s="3" t="n">
        <v>9979185999</v>
      </c>
      <c r="I448" s="11" t="inlineStr">
        <is>
          <t>PE25032601</t>
        </is>
      </c>
      <c r="J448" s="9" t="inlineStr">
        <is>
          <t>Module Defects</t>
        </is>
      </c>
      <c r="K448" s="3" t="inlineStr">
        <is>
          <t>Rajkot</t>
        </is>
      </c>
      <c r="L448" s="3" t="inlineStr">
        <is>
          <t>Gujarat</t>
        </is>
      </c>
      <c r="M448" s="9" t="inlineStr">
        <is>
          <t xml:space="preserve">hotspot found </t>
        </is>
      </c>
      <c r="N448" s="19" t="inlineStr">
        <is>
          <t>Hotspot</t>
        </is>
      </c>
      <c r="O448" s="3" t="n">
        <v>550</v>
      </c>
      <c r="P448" s="9" t="inlineStr">
        <is>
          <t>NSMP2212268805</t>
        </is>
      </c>
      <c r="Q448" s="53">
        <f>MID(P448,5,2)</f>
        <v/>
      </c>
      <c r="R448" s="53">
        <f>MID(P448,7,2)</f>
        <v/>
      </c>
      <c r="S448" s="3" t="inlineStr">
        <is>
          <t>G2B</t>
        </is>
      </c>
      <c r="T448" s="3" t="inlineStr">
        <is>
          <t>P2</t>
        </is>
      </c>
      <c r="U448" s="9" t="inlineStr">
        <is>
          <t>Multi Cell Hotspot</t>
        </is>
      </c>
      <c r="V448" s="3" t="inlineStr">
        <is>
          <t>Inspection</t>
        </is>
      </c>
      <c r="W448" s="3" t="inlineStr">
        <is>
          <t>Rejected</t>
        </is>
      </c>
      <c r="X448" s="2">
        <f>Z448</f>
        <v/>
      </c>
      <c r="Y448" s="73">
        <f>IF(X448="","",X448-A448)</f>
        <v/>
      </c>
      <c r="Z448" s="18" t="n">
        <v>46148</v>
      </c>
      <c r="AA448" s="15" t="n"/>
      <c r="AB448" s="15" t="n"/>
      <c r="AF448">
        <f>IF(AND($F448="Closed",$X448&gt;=DATE(2026,5,1),$X448&lt;=DATE(2026,5,31)),"Closed in May","Other")</f>
        <v/>
      </c>
    </row>
    <row r="449">
      <c r="A449" s="2" t="n">
        <v>46106</v>
      </c>
      <c r="B449" s="3" t="n">
        <v>2026</v>
      </c>
      <c r="C449" s="3" t="inlineStr">
        <is>
          <t>First Energy</t>
        </is>
      </c>
      <c r="D449" s="3" t="inlineStr">
        <is>
          <t>Utility and C&amp;I</t>
        </is>
      </c>
      <c r="E449" s="3" t="n"/>
      <c r="F449" s="3" t="inlineStr">
        <is>
          <t>Closed</t>
        </is>
      </c>
      <c r="G449" s="3" t="inlineStr">
        <is>
          <t>Mr. Gaurav</t>
        </is>
      </c>
      <c r="H449" s="3" t="n">
        <v>9979185999</v>
      </c>
      <c r="I449" s="11" t="inlineStr">
        <is>
          <t>PE25032601</t>
        </is>
      </c>
      <c r="J449" s="9" t="inlineStr">
        <is>
          <t>Module Defects</t>
        </is>
      </c>
      <c r="K449" s="3" t="inlineStr">
        <is>
          <t>Rajkot</t>
        </is>
      </c>
      <c r="L449" s="3" t="inlineStr">
        <is>
          <t>Gujarat</t>
        </is>
      </c>
      <c r="M449" s="9" t="inlineStr">
        <is>
          <t xml:space="preserve">hotspot found </t>
        </is>
      </c>
      <c r="N449" s="19" t="inlineStr">
        <is>
          <t>Hotspot</t>
        </is>
      </c>
      <c r="O449" s="3" t="n">
        <v>550</v>
      </c>
      <c r="P449" s="9" t="inlineStr">
        <is>
          <t>NSMP24091544627</t>
        </is>
      </c>
      <c r="Q449" s="53">
        <f>MID(P449,5,2)</f>
        <v/>
      </c>
      <c r="R449" s="53">
        <f>MID(P449,7,2)</f>
        <v/>
      </c>
      <c r="S449" s="3" t="inlineStr">
        <is>
          <t>G2B</t>
        </is>
      </c>
      <c r="T449" s="3" t="inlineStr">
        <is>
          <t>P2</t>
        </is>
      </c>
      <c r="U449" s="9" t="inlineStr">
        <is>
          <t>Multi Cell Hotspot</t>
        </is>
      </c>
      <c r="V449" s="3" t="inlineStr">
        <is>
          <t>Inspection</t>
        </is>
      </c>
      <c r="W449" s="3" t="inlineStr">
        <is>
          <t>Rejected</t>
        </is>
      </c>
      <c r="X449" s="2">
        <f>Z449</f>
        <v/>
      </c>
      <c r="Y449" s="73">
        <f>IF(X449="","",X449-A449)</f>
        <v/>
      </c>
      <c r="Z449" s="18" t="n">
        <v>46148</v>
      </c>
      <c r="AA449" s="15" t="n"/>
      <c r="AB449" s="15" t="n"/>
      <c r="AF449">
        <f>IF(AND($F449="Closed",$X449&gt;=DATE(2026,5,1),$X449&lt;=DATE(2026,5,31)),"Closed in May","Other")</f>
        <v/>
      </c>
    </row>
    <row r="450">
      <c r="A450" s="2" t="n">
        <v>46106</v>
      </c>
      <c r="B450" s="3" t="n">
        <v>2026</v>
      </c>
      <c r="C450" s="3" t="inlineStr">
        <is>
          <t>First Energy</t>
        </is>
      </c>
      <c r="D450" s="3" t="inlineStr">
        <is>
          <t>Utility and C&amp;I</t>
        </is>
      </c>
      <c r="E450" s="3" t="n"/>
      <c r="F450" s="3" t="inlineStr">
        <is>
          <t>Closed</t>
        </is>
      </c>
      <c r="G450" s="3" t="inlineStr">
        <is>
          <t>Mr. Gaurav</t>
        </is>
      </c>
      <c r="H450" s="3" t="n">
        <v>9979185999</v>
      </c>
      <c r="I450" s="11" t="inlineStr">
        <is>
          <t>PE25032601</t>
        </is>
      </c>
      <c r="J450" s="9" t="inlineStr">
        <is>
          <t>Module Defects</t>
        </is>
      </c>
      <c r="K450" s="3" t="inlineStr">
        <is>
          <t>Rajkot</t>
        </is>
      </c>
      <c r="L450" s="3" t="inlineStr">
        <is>
          <t>Gujarat</t>
        </is>
      </c>
      <c r="M450" s="9" t="inlineStr">
        <is>
          <t xml:space="preserve">hotspot found </t>
        </is>
      </c>
      <c r="N450" s="19" t="inlineStr">
        <is>
          <t>Hotspot</t>
        </is>
      </c>
      <c r="O450" s="3" t="n">
        <v>550</v>
      </c>
      <c r="P450" s="9" t="inlineStr">
        <is>
          <t>NSMP2212283817</t>
        </is>
      </c>
      <c r="Q450" s="53">
        <f>MID(P450,5,2)</f>
        <v/>
      </c>
      <c r="R450" s="53">
        <f>MID(P450,7,2)</f>
        <v/>
      </c>
      <c r="S450" s="3" t="inlineStr">
        <is>
          <t>G2B</t>
        </is>
      </c>
      <c r="T450" s="3" t="inlineStr">
        <is>
          <t>P2</t>
        </is>
      </c>
      <c r="U450" s="9" t="inlineStr">
        <is>
          <t>Single Cell Hotspot</t>
        </is>
      </c>
      <c r="V450" s="3" t="inlineStr">
        <is>
          <t>Inspection</t>
        </is>
      </c>
      <c r="W450" s="3" t="inlineStr">
        <is>
          <t>Rejected</t>
        </is>
      </c>
      <c r="X450" s="2">
        <f>Z450</f>
        <v/>
      </c>
      <c r="Y450" s="73">
        <f>IF(X450="","",X450-A450)</f>
        <v/>
      </c>
      <c r="Z450" s="18" t="n">
        <v>46148</v>
      </c>
      <c r="AA450" s="15" t="n"/>
      <c r="AB450" s="15" t="n"/>
      <c r="AF450">
        <f>IF(AND($F450="Closed",$X450&gt;=DATE(2026,5,1),$X450&lt;=DATE(2026,5,31)),"Closed in May","Other")</f>
        <v/>
      </c>
    </row>
    <row r="451">
      <c r="A451" s="2" t="n">
        <v>46106</v>
      </c>
      <c r="B451" s="3" t="n">
        <v>2026</v>
      </c>
      <c r="C451" s="3" t="inlineStr">
        <is>
          <t>First Energy</t>
        </is>
      </c>
      <c r="D451" s="3" t="inlineStr">
        <is>
          <t>Utility and C&amp;I</t>
        </is>
      </c>
      <c r="E451" s="3" t="n"/>
      <c r="F451" s="3" t="inlineStr">
        <is>
          <t>Closed</t>
        </is>
      </c>
      <c r="G451" s="3" t="inlineStr">
        <is>
          <t>Mr. Gaurav</t>
        </is>
      </c>
      <c r="H451" s="3" t="n">
        <v>9979185999</v>
      </c>
      <c r="I451" s="11" t="inlineStr">
        <is>
          <t>PE25032601</t>
        </is>
      </c>
      <c r="J451" s="9" t="inlineStr">
        <is>
          <t>Module Defects</t>
        </is>
      </c>
      <c r="K451" s="3" t="inlineStr">
        <is>
          <t>Rajkot</t>
        </is>
      </c>
      <c r="L451" s="3" t="inlineStr">
        <is>
          <t>Gujarat</t>
        </is>
      </c>
      <c r="M451" s="9" t="inlineStr">
        <is>
          <t xml:space="preserve">hotspot found </t>
        </is>
      </c>
      <c r="N451" s="19" t="inlineStr">
        <is>
          <t>Hotspot</t>
        </is>
      </c>
      <c r="O451" s="3" t="n">
        <v>550</v>
      </c>
      <c r="P451" s="9" t="inlineStr">
        <is>
          <t>NSMP2212280215</t>
        </is>
      </c>
      <c r="Q451" s="53">
        <f>MID(P451,5,2)</f>
        <v/>
      </c>
      <c r="R451" s="53">
        <f>MID(P451,7,2)</f>
        <v/>
      </c>
      <c r="S451" s="3" t="inlineStr">
        <is>
          <t>G2B</t>
        </is>
      </c>
      <c r="T451" s="3" t="inlineStr">
        <is>
          <t>P2</t>
        </is>
      </c>
      <c r="U451" s="9" t="inlineStr">
        <is>
          <t>Single Cell Hotspot</t>
        </is>
      </c>
      <c r="V451" s="3" t="inlineStr">
        <is>
          <t>Inspection</t>
        </is>
      </c>
      <c r="W451" s="3" t="inlineStr">
        <is>
          <t>Rejected</t>
        </is>
      </c>
      <c r="X451" s="2">
        <f>Z451</f>
        <v/>
      </c>
      <c r="Y451" s="73">
        <f>IF(X451="","",X451-A451)</f>
        <v/>
      </c>
      <c r="Z451" s="18" t="n">
        <v>46149</v>
      </c>
      <c r="AA451" s="15" t="n"/>
      <c r="AB451" s="15" t="n"/>
      <c r="AF451">
        <f>IF(AND($F451="Closed",$X451&gt;=DATE(2026,5,1),$X451&lt;=DATE(2026,5,31)),"Closed in May","Other")</f>
        <v/>
      </c>
    </row>
    <row r="452">
      <c r="A452" s="2" t="n">
        <v>46106</v>
      </c>
      <c r="B452" s="3" t="n">
        <v>2026</v>
      </c>
      <c r="C452" s="3" t="inlineStr">
        <is>
          <t>First Energy</t>
        </is>
      </c>
      <c r="D452" s="3" t="inlineStr">
        <is>
          <t>Utility and C&amp;I</t>
        </is>
      </c>
      <c r="E452" s="3" t="n"/>
      <c r="F452" s="3" t="inlineStr">
        <is>
          <t>Closed</t>
        </is>
      </c>
      <c r="G452" s="3" t="inlineStr">
        <is>
          <t>Mr. Gaurav</t>
        </is>
      </c>
      <c r="H452" s="3" t="n">
        <v>9979185999</v>
      </c>
      <c r="I452" s="11" t="inlineStr">
        <is>
          <t>PE25032601</t>
        </is>
      </c>
      <c r="J452" s="9" t="inlineStr">
        <is>
          <t>Module Defects</t>
        </is>
      </c>
      <c r="K452" s="3" t="inlineStr">
        <is>
          <t>Rajkot</t>
        </is>
      </c>
      <c r="L452" s="3" t="inlineStr">
        <is>
          <t>Gujarat</t>
        </is>
      </c>
      <c r="M452" s="9" t="inlineStr">
        <is>
          <t xml:space="preserve">hotspot found </t>
        </is>
      </c>
      <c r="N452" s="19" t="inlineStr">
        <is>
          <t>Hotspot</t>
        </is>
      </c>
      <c r="O452" s="3" t="n">
        <v>550</v>
      </c>
      <c r="P452" s="9" t="inlineStr">
        <is>
          <t>NSMP2301306608</t>
        </is>
      </c>
      <c r="Q452" s="53">
        <f>MID(P452,5,2)</f>
        <v/>
      </c>
      <c r="R452" s="53">
        <f>MID(P452,7,2)</f>
        <v/>
      </c>
      <c r="S452" s="3" t="inlineStr">
        <is>
          <t>G2B</t>
        </is>
      </c>
      <c r="T452" s="3" t="inlineStr">
        <is>
          <t>P2</t>
        </is>
      </c>
      <c r="U452" s="9" t="inlineStr">
        <is>
          <t>Single Cell Hotspot</t>
        </is>
      </c>
      <c r="V452" s="3" t="inlineStr">
        <is>
          <t>Inspection</t>
        </is>
      </c>
      <c r="W452" s="3" t="inlineStr">
        <is>
          <t>Rejected</t>
        </is>
      </c>
      <c r="X452" s="2">
        <f>Z452</f>
        <v/>
      </c>
      <c r="Y452" s="73">
        <f>IF(X452="","",X452-A452)</f>
        <v/>
      </c>
      <c r="Z452" s="18" t="n">
        <v>46149</v>
      </c>
      <c r="AA452" s="15" t="n"/>
      <c r="AB452" s="15" t="n"/>
      <c r="AF452">
        <f>IF(AND($F452="Closed",$X452&gt;=DATE(2026,5,1),$X452&lt;=DATE(2026,5,31)),"Closed in May","Other")</f>
        <v/>
      </c>
    </row>
    <row r="453">
      <c r="A453" s="2" t="n">
        <v>46106</v>
      </c>
      <c r="B453" s="3" t="n">
        <v>2026</v>
      </c>
      <c r="C453" s="3" t="inlineStr">
        <is>
          <t>First Energy</t>
        </is>
      </c>
      <c r="D453" s="3" t="inlineStr">
        <is>
          <t>Utility and C&amp;I</t>
        </is>
      </c>
      <c r="E453" s="3" t="n"/>
      <c r="F453" s="3" t="inlineStr">
        <is>
          <t>Closed</t>
        </is>
      </c>
      <c r="G453" s="3" t="inlineStr">
        <is>
          <t>Mr. Gaurav</t>
        </is>
      </c>
      <c r="H453" s="3" t="n">
        <v>9979185999</v>
      </c>
      <c r="I453" s="11" t="inlineStr">
        <is>
          <t>PE25032601</t>
        </is>
      </c>
      <c r="J453" s="9" t="inlineStr">
        <is>
          <t>Module Defects</t>
        </is>
      </c>
      <c r="K453" s="3" t="inlineStr">
        <is>
          <t>Rajkot</t>
        </is>
      </c>
      <c r="L453" s="3" t="inlineStr">
        <is>
          <t>Gujarat</t>
        </is>
      </c>
      <c r="M453" s="9" t="inlineStr">
        <is>
          <t xml:space="preserve">hotspot found </t>
        </is>
      </c>
      <c r="N453" s="19" t="inlineStr">
        <is>
          <t>Hotspot</t>
        </is>
      </c>
      <c r="O453" s="3" t="n">
        <v>550</v>
      </c>
      <c r="P453" s="9" t="inlineStr">
        <is>
          <t>NSMP24091544295</t>
        </is>
      </c>
      <c r="Q453" s="53">
        <f>MID(P453,5,2)</f>
        <v/>
      </c>
      <c r="R453" s="53">
        <f>MID(P453,7,2)</f>
        <v/>
      </c>
      <c r="S453" s="3" t="inlineStr">
        <is>
          <t>G2B</t>
        </is>
      </c>
      <c r="T453" s="3" t="inlineStr">
        <is>
          <t>P2</t>
        </is>
      </c>
      <c r="U453" s="9" t="inlineStr">
        <is>
          <t>Single Cell Hotspot</t>
        </is>
      </c>
      <c r="V453" s="3" t="inlineStr">
        <is>
          <t>Inspection</t>
        </is>
      </c>
      <c r="W453" s="3" t="inlineStr">
        <is>
          <t>Rejected</t>
        </is>
      </c>
      <c r="X453" s="2">
        <f>Z453</f>
        <v/>
      </c>
      <c r="Y453" s="73">
        <f>IF(X453="","",X453-A453)</f>
        <v/>
      </c>
      <c r="Z453" s="18" t="n">
        <v>46149</v>
      </c>
      <c r="AA453" s="15" t="n"/>
      <c r="AB453" s="15" t="n"/>
      <c r="AF453">
        <f>IF(AND($F453="Closed",$X453&gt;=DATE(2026,5,1),$X453&lt;=DATE(2026,5,31)),"Closed in May","Other")</f>
        <v/>
      </c>
    </row>
    <row r="454">
      <c r="A454" s="2" t="n">
        <v>46106</v>
      </c>
      <c r="B454" s="3" t="n">
        <v>2026</v>
      </c>
      <c r="C454" s="3" t="inlineStr">
        <is>
          <t>First Energy</t>
        </is>
      </c>
      <c r="D454" s="3" t="inlineStr">
        <is>
          <t>Utility and C&amp;I</t>
        </is>
      </c>
      <c r="E454" s="3" t="n"/>
      <c r="F454" s="3" t="inlineStr">
        <is>
          <t>Closed</t>
        </is>
      </c>
      <c r="G454" s="3" t="inlineStr">
        <is>
          <t>Mr. Gaurav</t>
        </is>
      </c>
      <c r="H454" s="3" t="n">
        <v>9979185999</v>
      </c>
      <c r="I454" s="11" t="inlineStr">
        <is>
          <t>PE25032601</t>
        </is>
      </c>
      <c r="J454" s="9" t="inlineStr">
        <is>
          <t>Module Defects</t>
        </is>
      </c>
      <c r="K454" s="3" t="inlineStr">
        <is>
          <t>Rajkot</t>
        </is>
      </c>
      <c r="L454" s="3" t="inlineStr">
        <is>
          <t>Gujarat</t>
        </is>
      </c>
      <c r="M454" s="9" t="inlineStr">
        <is>
          <t xml:space="preserve">hotspot found </t>
        </is>
      </c>
      <c r="N454" s="19" t="inlineStr">
        <is>
          <t>Hotspot</t>
        </is>
      </c>
      <c r="O454" s="3" t="n">
        <v>550</v>
      </c>
      <c r="P454" s="9" t="inlineStr">
        <is>
          <t>NSMP2212285462</t>
        </is>
      </c>
      <c r="Q454" s="53">
        <f>MID(P454,5,2)</f>
        <v/>
      </c>
      <c r="R454" s="53">
        <f>MID(P454,7,2)</f>
        <v/>
      </c>
      <c r="S454" s="3" t="inlineStr">
        <is>
          <t>G2B</t>
        </is>
      </c>
      <c r="T454" s="3" t="inlineStr">
        <is>
          <t>P2</t>
        </is>
      </c>
      <c r="U454" s="9" t="inlineStr">
        <is>
          <t>Single Cell Hotspot</t>
        </is>
      </c>
      <c r="V454" s="3" t="inlineStr">
        <is>
          <t>Inspection</t>
        </is>
      </c>
      <c r="W454" s="3" t="inlineStr">
        <is>
          <t>Rejected</t>
        </is>
      </c>
      <c r="X454" s="2">
        <f>Z454</f>
        <v/>
      </c>
      <c r="Y454" s="73">
        <f>IF(X454="","",X454-A454)</f>
        <v/>
      </c>
      <c r="Z454" s="18" t="n">
        <v>46149</v>
      </c>
      <c r="AA454" s="15" t="n"/>
      <c r="AB454" s="15" t="n"/>
      <c r="AF454">
        <f>IF(AND($F454="Closed",$X454&gt;=DATE(2026,5,1),$X454&lt;=DATE(2026,5,31)),"Closed in May","Other")</f>
        <v/>
      </c>
    </row>
    <row r="455">
      <c r="A455" s="2" t="n">
        <v>46106</v>
      </c>
      <c r="B455" s="3" t="n">
        <v>2026</v>
      </c>
      <c r="C455" s="3" t="inlineStr">
        <is>
          <t>First Energy</t>
        </is>
      </c>
      <c r="D455" s="3" t="inlineStr">
        <is>
          <t>Utility and C&amp;I</t>
        </is>
      </c>
      <c r="E455" s="3" t="n"/>
      <c r="F455" s="3" t="inlineStr">
        <is>
          <t>Closed</t>
        </is>
      </c>
      <c r="G455" s="3" t="inlineStr">
        <is>
          <t>Mr. Gaurav</t>
        </is>
      </c>
      <c r="H455" s="3" t="n">
        <v>9979185999</v>
      </c>
      <c r="I455" s="11" t="inlineStr">
        <is>
          <t>PE25032601</t>
        </is>
      </c>
      <c r="J455" s="9" t="inlineStr">
        <is>
          <t>Module Defects</t>
        </is>
      </c>
      <c r="K455" s="3" t="inlineStr">
        <is>
          <t>Rajkot</t>
        </is>
      </c>
      <c r="L455" s="3" t="inlineStr">
        <is>
          <t>Gujarat</t>
        </is>
      </c>
      <c r="M455" s="9" t="inlineStr">
        <is>
          <t xml:space="preserve">hotspot found </t>
        </is>
      </c>
      <c r="N455" s="19" t="inlineStr">
        <is>
          <t>Hotspot</t>
        </is>
      </c>
      <c r="O455" s="3" t="n">
        <v>550</v>
      </c>
      <c r="P455" s="9" t="inlineStr">
        <is>
          <t>NSMP2301295194</t>
        </is>
      </c>
      <c r="Q455" s="53">
        <f>MID(P455,5,2)</f>
        <v/>
      </c>
      <c r="R455" s="53">
        <f>MID(P455,7,2)</f>
        <v/>
      </c>
      <c r="S455" s="3" t="inlineStr">
        <is>
          <t>G2B</t>
        </is>
      </c>
      <c r="T455" s="3" t="inlineStr">
        <is>
          <t>P2</t>
        </is>
      </c>
      <c r="U455" s="9" t="inlineStr">
        <is>
          <t>Single Cell Hotspot</t>
        </is>
      </c>
      <c r="V455" s="3" t="inlineStr">
        <is>
          <t>Inspection</t>
        </is>
      </c>
      <c r="W455" s="3" t="inlineStr">
        <is>
          <t>Rejected</t>
        </is>
      </c>
      <c r="X455" s="2">
        <f>Z455</f>
        <v/>
      </c>
      <c r="Y455" s="73">
        <f>IF(X455="","",X455-A455)</f>
        <v/>
      </c>
      <c r="Z455" s="18" t="n">
        <v>46149</v>
      </c>
      <c r="AA455" s="15" t="n"/>
      <c r="AB455" s="15" t="n"/>
      <c r="AF455">
        <f>IF(AND($F455="Closed",$X455&gt;=DATE(2026,5,1),$X455&lt;=DATE(2026,5,31)),"Closed in May","Other")</f>
        <v/>
      </c>
    </row>
    <row r="456">
      <c r="A456" s="6" t="n">
        <v>46107</v>
      </c>
      <c r="B456" s="3" t="n">
        <v>2026</v>
      </c>
      <c r="C456" s="3" t="inlineStr">
        <is>
          <t>Blupine Energy</t>
        </is>
      </c>
      <c r="D456" s="3" t="inlineStr">
        <is>
          <t>Utility and C&amp;I</t>
        </is>
      </c>
      <c r="E456" s="3" t="n"/>
      <c r="F456" s="3" t="inlineStr">
        <is>
          <t>Closed</t>
        </is>
      </c>
      <c r="G456" s="3" t="inlineStr">
        <is>
          <t>Chandrashekar Patidar</t>
        </is>
      </c>
      <c r="H456" s="3" t="n">
        <v>7879764773</v>
      </c>
      <c r="I456" s="11" t="inlineStr">
        <is>
          <t>PE26032601</t>
        </is>
      </c>
      <c r="J456" s="3" t="inlineStr">
        <is>
          <t>Module Diode Failure</t>
        </is>
      </c>
      <c r="K456" s="3" t="inlineStr">
        <is>
          <t>Sadla</t>
        </is>
      </c>
      <c r="L456" s="3" t="inlineStr">
        <is>
          <t>Gujarat</t>
        </is>
      </c>
      <c r="M456" s="9" t="inlineStr">
        <is>
          <t>NS</t>
        </is>
      </c>
      <c r="N456" s="3" t="inlineStr">
        <is>
          <t>Cold Soldering</t>
        </is>
      </c>
      <c r="O456" s="3" t="n">
        <v>570</v>
      </c>
      <c r="P456" s="9" t="inlineStr">
        <is>
          <t>NSMI24060105868</t>
        </is>
      </c>
      <c r="Q456" s="53">
        <f>MID(P456,5,2)</f>
        <v/>
      </c>
      <c r="R456" s="53">
        <f>MID(P456,7,2)</f>
        <v/>
      </c>
      <c r="S456" s="3" t="inlineStr">
        <is>
          <t>G2G</t>
        </is>
      </c>
      <c r="T456" s="3" t="inlineStr">
        <is>
          <t>P4</t>
        </is>
      </c>
      <c r="U456" s="3" t="inlineStr">
        <is>
          <t>N JB Cold Soldering</t>
        </is>
      </c>
      <c r="V456" s="3" t="inlineStr">
        <is>
          <t>Soldering</t>
        </is>
      </c>
      <c r="W456" s="3" t="inlineStr">
        <is>
          <t>Repair</t>
        </is>
      </c>
      <c r="X456" s="18" t="n">
        <v>46149</v>
      </c>
      <c r="Y456" s="73">
        <f>IF(X456="","",X456-A456)</f>
        <v/>
      </c>
      <c r="Z456" s="18" t="n">
        <v>46149</v>
      </c>
      <c r="AA456" s="15" t="n"/>
      <c r="AB456" s="15" t="n"/>
      <c r="AF456">
        <f>IF(AND($F456="Closed",$X456&gt;=DATE(2026,5,1),$X456&lt;=DATE(2026,5,31)),"Closed in May","Other")</f>
        <v/>
      </c>
    </row>
    <row r="457">
      <c r="A457" s="6" t="n">
        <v>46107</v>
      </c>
      <c r="B457" s="3" t="n">
        <v>2026</v>
      </c>
      <c r="C457" s="3" t="inlineStr">
        <is>
          <t>Blupine Energy</t>
        </is>
      </c>
      <c r="D457" s="3" t="inlineStr">
        <is>
          <t>Utility and C&amp;I</t>
        </is>
      </c>
      <c r="E457" s="3" t="n"/>
      <c r="F457" s="3" t="inlineStr">
        <is>
          <t>Closed</t>
        </is>
      </c>
      <c r="G457" s="3" t="inlineStr">
        <is>
          <t>Chandrashekar Patidar</t>
        </is>
      </c>
      <c r="H457" s="3" t="n">
        <v>7879764773</v>
      </c>
      <c r="I457" s="11" t="inlineStr">
        <is>
          <t>PE26032601</t>
        </is>
      </c>
      <c r="J457" s="3" t="inlineStr">
        <is>
          <t>Module Diode Failure</t>
        </is>
      </c>
      <c r="K457" s="3" t="inlineStr">
        <is>
          <t>Sadla</t>
        </is>
      </c>
      <c r="L457" s="3" t="inlineStr">
        <is>
          <t>Gujarat</t>
        </is>
      </c>
      <c r="M457" s="9" t="inlineStr">
        <is>
          <t>PS</t>
        </is>
      </c>
      <c r="N457" s="3" t="inlineStr">
        <is>
          <t>Cold Soldering</t>
        </is>
      </c>
      <c r="O457" s="3" t="n">
        <v>570</v>
      </c>
      <c r="P457" s="9" t="inlineStr">
        <is>
          <t>NSMI24050044919</t>
        </is>
      </c>
      <c r="Q457" s="53">
        <f>MID(P457,5,2)</f>
        <v/>
      </c>
      <c r="R457" s="53">
        <f>MID(P457,7,2)</f>
        <v/>
      </c>
      <c r="S457" s="3" t="inlineStr">
        <is>
          <t>G2G</t>
        </is>
      </c>
      <c r="T457" s="3" t="inlineStr">
        <is>
          <t>P4</t>
        </is>
      </c>
      <c r="U457" s="3" t="inlineStr">
        <is>
          <t>P JB Cold Soldering</t>
        </is>
      </c>
      <c r="V457" s="3" t="inlineStr">
        <is>
          <t>Soldering</t>
        </is>
      </c>
      <c r="W457" s="3" t="inlineStr">
        <is>
          <t>Repair</t>
        </is>
      </c>
      <c r="X457" s="18" t="n">
        <v>46149</v>
      </c>
      <c r="Y457" s="73">
        <f>IF(X457="","",X457-A457)</f>
        <v/>
      </c>
      <c r="Z457" s="18" t="n">
        <v>46149</v>
      </c>
      <c r="AA457" s="15" t="n"/>
      <c r="AB457" s="15" t="n"/>
      <c r="AF457">
        <f>IF(AND($F457="Closed",$X457&gt;=DATE(2026,5,1),$X457&lt;=DATE(2026,5,31)),"Closed in May","Other")</f>
        <v/>
      </c>
    </row>
    <row r="458">
      <c r="A458" s="6" t="n">
        <v>46107</v>
      </c>
      <c r="B458" s="3" t="n">
        <v>2026</v>
      </c>
      <c r="C458" s="3" t="inlineStr">
        <is>
          <t>Blupine Energy</t>
        </is>
      </c>
      <c r="D458" s="3" t="inlineStr">
        <is>
          <t>Utility and C&amp;I</t>
        </is>
      </c>
      <c r="E458" s="3" t="n"/>
      <c r="F458" s="3" t="inlineStr">
        <is>
          <t>Closed</t>
        </is>
      </c>
      <c r="G458" s="3" t="inlineStr">
        <is>
          <t>Chandrashekar Patidar</t>
        </is>
      </c>
      <c r="H458" s="3" t="n">
        <v>7879764773</v>
      </c>
      <c r="I458" s="11" t="inlineStr">
        <is>
          <t>PE26032601</t>
        </is>
      </c>
      <c r="J458" s="3" t="inlineStr">
        <is>
          <t>Module Diode Failure</t>
        </is>
      </c>
      <c r="K458" s="3" t="inlineStr">
        <is>
          <t>Sadla</t>
        </is>
      </c>
      <c r="L458" s="3" t="inlineStr">
        <is>
          <t>Gujarat</t>
        </is>
      </c>
      <c r="M458" s="9" t="inlineStr">
        <is>
          <t>NS</t>
        </is>
      </c>
      <c r="N458" s="3" t="inlineStr">
        <is>
          <t>Cold Soldering</t>
        </is>
      </c>
      <c r="O458" s="3" t="n">
        <v>570</v>
      </c>
      <c r="P458" s="9" t="inlineStr">
        <is>
          <t>NSMI24050052640</t>
        </is>
      </c>
      <c r="Q458" s="53">
        <f>MID(P458,5,2)</f>
        <v/>
      </c>
      <c r="R458" s="53">
        <f>MID(P458,7,2)</f>
        <v/>
      </c>
      <c r="S458" s="3" t="inlineStr">
        <is>
          <t>G2G</t>
        </is>
      </c>
      <c r="T458" s="3" t="inlineStr">
        <is>
          <t>P4</t>
        </is>
      </c>
      <c r="U458" s="3" t="inlineStr">
        <is>
          <t>N JB Cold Soldering</t>
        </is>
      </c>
      <c r="V458" s="3" t="inlineStr">
        <is>
          <t>Soldering</t>
        </is>
      </c>
      <c r="W458" s="3" t="inlineStr">
        <is>
          <t>Repair</t>
        </is>
      </c>
      <c r="X458" s="18" t="n">
        <v>46149</v>
      </c>
      <c r="Y458" s="73">
        <f>IF(X458="","",X458-A458)</f>
        <v/>
      </c>
      <c r="Z458" s="18" t="n">
        <v>46149</v>
      </c>
      <c r="AA458" s="15" t="n"/>
      <c r="AB458" s="15" t="n"/>
      <c r="AF458">
        <f>IF(AND($F458="Closed",$X458&gt;=DATE(2026,5,1),$X458&lt;=DATE(2026,5,31)),"Closed in May","Other")</f>
        <v/>
      </c>
    </row>
    <row r="459">
      <c r="A459" s="6" t="n">
        <v>46107</v>
      </c>
      <c r="B459" s="3" t="n">
        <v>2026</v>
      </c>
      <c r="C459" s="3" t="inlineStr">
        <is>
          <t>Blupine Energy</t>
        </is>
      </c>
      <c r="D459" s="3" t="inlineStr">
        <is>
          <t>Utility and C&amp;I</t>
        </is>
      </c>
      <c r="E459" s="3" t="n"/>
      <c r="F459" s="3" t="inlineStr">
        <is>
          <t>Closed</t>
        </is>
      </c>
      <c r="G459" s="3" t="inlineStr">
        <is>
          <t>Chandrashekar Patidar</t>
        </is>
      </c>
      <c r="H459" s="3" t="n">
        <v>7879764773</v>
      </c>
      <c r="I459" s="11" t="inlineStr">
        <is>
          <t>PE26032601</t>
        </is>
      </c>
      <c r="J459" s="3" t="inlineStr">
        <is>
          <t>Module Diode Failure</t>
        </is>
      </c>
      <c r="K459" s="3" t="inlineStr">
        <is>
          <t>Sadla</t>
        </is>
      </c>
      <c r="L459" s="3" t="inlineStr">
        <is>
          <t>Gujarat</t>
        </is>
      </c>
      <c r="M459" s="9" t="inlineStr">
        <is>
          <t>NS</t>
        </is>
      </c>
      <c r="N459" s="3" t="inlineStr">
        <is>
          <t>Cold Soldering</t>
        </is>
      </c>
      <c r="O459" s="3" t="n">
        <v>570</v>
      </c>
      <c r="P459" s="9" t="inlineStr">
        <is>
          <t>NSMI24050052624</t>
        </is>
      </c>
      <c r="Q459" s="53">
        <f>MID(P459,5,2)</f>
        <v/>
      </c>
      <c r="R459" s="53">
        <f>MID(P459,7,2)</f>
        <v/>
      </c>
      <c r="S459" s="3" t="inlineStr">
        <is>
          <t>G2G</t>
        </is>
      </c>
      <c r="T459" s="3" t="inlineStr">
        <is>
          <t>P4</t>
        </is>
      </c>
      <c r="U459" s="3" t="inlineStr">
        <is>
          <t>N JB Cold Soldering</t>
        </is>
      </c>
      <c r="V459" s="3" t="inlineStr">
        <is>
          <t>Soldering</t>
        </is>
      </c>
      <c r="W459" s="3" t="inlineStr">
        <is>
          <t>Repair</t>
        </is>
      </c>
      <c r="X459" s="18" t="n">
        <v>46149</v>
      </c>
      <c r="Y459" s="73">
        <f>IF(X459="","",X459-A459)</f>
        <v/>
      </c>
      <c r="Z459" s="18" t="n">
        <v>46149</v>
      </c>
      <c r="AA459" s="15" t="n"/>
      <c r="AB459" s="15" t="n"/>
      <c r="AF459">
        <f>IF(AND($F459="Closed",$X459&gt;=DATE(2026,5,1),$X459&lt;=DATE(2026,5,31)),"Closed in May","Other")</f>
        <v/>
      </c>
    </row>
    <row r="460">
      <c r="A460" s="6" t="n">
        <v>46107</v>
      </c>
      <c r="B460" s="3" t="n">
        <v>2026</v>
      </c>
      <c r="C460" s="3" t="inlineStr">
        <is>
          <t>Blupine Energy</t>
        </is>
      </c>
      <c r="D460" s="3" t="inlineStr">
        <is>
          <t>Utility and C&amp;I</t>
        </is>
      </c>
      <c r="E460" s="3" t="n"/>
      <c r="F460" s="3" t="inlineStr">
        <is>
          <t>Closed</t>
        </is>
      </c>
      <c r="G460" s="3" t="inlineStr">
        <is>
          <t>Chandrashekar Patidar</t>
        </is>
      </c>
      <c r="H460" s="3" t="n">
        <v>7879764773</v>
      </c>
      <c r="I460" s="11" t="inlineStr">
        <is>
          <t>PE26032601</t>
        </is>
      </c>
      <c r="J460" s="3" t="inlineStr">
        <is>
          <t>Module Diode Failure</t>
        </is>
      </c>
      <c r="K460" s="3" t="inlineStr">
        <is>
          <t>Sadla</t>
        </is>
      </c>
      <c r="L460" s="3" t="inlineStr">
        <is>
          <t>Gujarat</t>
        </is>
      </c>
      <c r="M460" s="9" t="inlineStr">
        <is>
          <t>NS</t>
        </is>
      </c>
      <c r="N460" s="3" t="inlineStr">
        <is>
          <t>Cold Soldering</t>
        </is>
      </c>
      <c r="O460" s="3" t="n">
        <v>570</v>
      </c>
      <c r="P460" s="9" t="inlineStr">
        <is>
          <t>NSMI24050044900</t>
        </is>
      </c>
      <c r="Q460" s="53">
        <f>MID(P460,5,2)</f>
        <v/>
      </c>
      <c r="R460" s="53">
        <f>MID(P460,7,2)</f>
        <v/>
      </c>
      <c r="S460" s="3" t="inlineStr">
        <is>
          <t>G2G</t>
        </is>
      </c>
      <c r="T460" s="3" t="inlineStr">
        <is>
          <t>P4</t>
        </is>
      </c>
      <c r="U460" s="3" t="inlineStr">
        <is>
          <t>N JB Cold Soldering &amp; Glass Breakage</t>
        </is>
      </c>
      <c r="V460" s="3" t="inlineStr">
        <is>
          <t>Soldering</t>
        </is>
      </c>
      <c r="W460" s="3" t="inlineStr">
        <is>
          <t>Repair</t>
        </is>
      </c>
      <c r="X460" s="18" t="n">
        <v>46149</v>
      </c>
      <c r="Y460" s="73">
        <f>IF(X460="","",X460-A460)</f>
        <v/>
      </c>
      <c r="Z460" s="18" t="n">
        <v>46149</v>
      </c>
      <c r="AA460" s="15" t="n"/>
      <c r="AB460" s="15" t="n"/>
      <c r="AF460">
        <f>IF(AND($F460="Closed",$X460&gt;=DATE(2026,5,1),$X460&lt;=DATE(2026,5,31)),"Closed in May","Other")</f>
        <v/>
      </c>
    </row>
    <row r="461">
      <c r="A461" s="6" t="n">
        <v>46107</v>
      </c>
      <c r="B461" s="3" t="n">
        <v>2026</v>
      </c>
      <c r="C461" s="3" t="inlineStr">
        <is>
          <t>Blupine Energy</t>
        </is>
      </c>
      <c r="D461" s="3" t="inlineStr">
        <is>
          <t>Utility and C&amp;I</t>
        </is>
      </c>
      <c r="E461" s="3" t="n"/>
      <c r="F461" s="3" t="inlineStr">
        <is>
          <t>Closed</t>
        </is>
      </c>
      <c r="G461" s="3" t="inlineStr">
        <is>
          <t>Chandrashekar Patidar</t>
        </is>
      </c>
      <c r="H461" s="3" t="n">
        <v>7879764773</v>
      </c>
      <c r="I461" s="11" t="inlineStr">
        <is>
          <t>PE26032601</t>
        </is>
      </c>
      <c r="J461" s="3" t="inlineStr">
        <is>
          <t>Module Diode Failure</t>
        </is>
      </c>
      <c r="K461" s="3" t="inlineStr">
        <is>
          <t>Sadla</t>
        </is>
      </c>
      <c r="L461" s="3" t="inlineStr">
        <is>
          <t>Gujarat</t>
        </is>
      </c>
      <c r="M461" s="9" t="inlineStr">
        <is>
          <t>NS</t>
        </is>
      </c>
      <c r="N461" s="3" t="inlineStr">
        <is>
          <t>Cold Soldering</t>
        </is>
      </c>
      <c r="O461" s="3" t="n">
        <v>570</v>
      </c>
      <c r="P461" s="9" t="inlineStr">
        <is>
          <t>NSMI24060095880</t>
        </is>
      </c>
      <c r="Q461" s="53">
        <f>MID(P461,5,2)</f>
        <v/>
      </c>
      <c r="R461" s="53">
        <f>MID(P461,7,2)</f>
        <v/>
      </c>
      <c r="S461" s="3" t="inlineStr">
        <is>
          <t>G2G</t>
        </is>
      </c>
      <c r="T461" s="3" t="inlineStr">
        <is>
          <t>P4</t>
        </is>
      </c>
      <c r="U461" s="3" t="inlineStr">
        <is>
          <t>N JB Cold Soldering</t>
        </is>
      </c>
      <c r="V461" s="3" t="inlineStr">
        <is>
          <t>Soldering</t>
        </is>
      </c>
      <c r="W461" s="3" t="inlineStr">
        <is>
          <t>Repair</t>
        </is>
      </c>
      <c r="X461" s="18" t="n">
        <v>46149</v>
      </c>
      <c r="Y461" s="73">
        <f>IF(X461="","",X461-A461)</f>
        <v/>
      </c>
      <c r="Z461" s="18" t="n">
        <v>46149</v>
      </c>
      <c r="AA461" s="15" t="n"/>
      <c r="AB461" s="15" t="n"/>
      <c r="AF461">
        <f>IF(AND($F461="Closed",$X461&gt;=DATE(2026,5,1),$X461&lt;=DATE(2026,5,31)),"Closed in May","Other")</f>
        <v/>
      </c>
    </row>
    <row r="462">
      <c r="A462" s="6" t="n">
        <v>46107</v>
      </c>
      <c r="B462" s="3" t="n">
        <v>2026</v>
      </c>
      <c r="C462" s="3" t="inlineStr">
        <is>
          <t>Blupine Energy</t>
        </is>
      </c>
      <c r="D462" s="3" t="inlineStr">
        <is>
          <t>Utility and C&amp;I</t>
        </is>
      </c>
      <c r="E462" s="3" t="n"/>
      <c r="F462" s="3" t="inlineStr">
        <is>
          <t>Closed</t>
        </is>
      </c>
      <c r="G462" s="3" t="inlineStr">
        <is>
          <t>Chandrashekar Patidar</t>
        </is>
      </c>
      <c r="H462" s="3" t="n">
        <v>7879764773</v>
      </c>
      <c r="I462" s="11" t="inlineStr">
        <is>
          <t>PE26032601</t>
        </is>
      </c>
      <c r="J462" s="3" t="inlineStr">
        <is>
          <t>Module Diode Failure</t>
        </is>
      </c>
      <c r="K462" s="3" t="inlineStr">
        <is>
          <t>Sadla</t>
        </is>
      </c>
      <c r="L462" s="3" t="inlineStr">
        <is>
          <t>Gujarat</t>
        </is>
      </c>
      <c r="M462" s="9" t="inlineStr">
        <is>
          <t>NS</t>
        </is>
      </c>
      <c r="N462" s="3" t="inlineStr">
        <is>
          <t>Cold Soldering</t>
        </is>
      </c>
      <c r="O462" s="3" t="n">
        <v>570</v>
      </c>
      <c r="P462" s="9" t="inlineStr">
        <is>
          <t>NSMI24050044963</t>
        </is>
      </c>
      <c r="Q462" s="53">
        <f>MID(P462,5,2)</f>
        <v/>
      </c>
      <c r="R462" s="53">
        <f>MID(P462,7,2)</f>
        <v/>
      </c>
      <c r="S462" s="3" t="inlineStr">
        <is>
          <t>G2G</t>
        </is>
      </c>
      <c r="T462" s="3" t="inlineStr">
        <is>
          <t>P4</t>
        </is>
      </c>
      <c r="U462" s="3" t="inlineStr">
        <is>
          <t>N JB Cold Soldering</t>
        </is>
      </c>
      <c r="V462" s="3" t="inlineStr">
        <is>
          <t>Soldering</t>
        </is>
      </c>
      <c r="W462" s="3" t="inlineStr">
        <is>
          <t>Repair</t>
        </is>
      </c>
      <c r="X462" s="18" t="n">
        <v>46149</v>
      </c>
      <c r="Y462" s="73">
        <f>IF(X462="","",X462-A462)</f>
        <v/>
      </c>
      <c r="Z462" s="18" t="n">
        <v>46149</v>
      </c>
      <c r="AA462" s="15" t="n"/>
      <c r="AB462" s="15" t="n"/>
      <c r="AF462">
        <f>IF(AND($F462="Closed",$X462&gt;=DATE(2026,5,1),$X462&lt;=DATE(2026,5,31)),"Closed in May","Other")</f>
        <v/>
      </c>
    </row>
    <row r="463">
      <c r="A463" s="6" t="n">
        <v>46107</v>
      </c>
      <c r="B463" s="3" t="n">
        <v>2026</v>
      </c>
      <c r="C463" s="3" t="inlineStr">
        <is>
          <t>Blupine Energy</t>
        </is>
      </c>
      <c r="D463" s="3" t="inlineStr">
        <is>
          <t>Utility and C&amp;I</t>
        </is>
      </c>
      <c r="E463" s="3" t="n"/>
      <c r="F463" s="3" t="inlineStr">
        <is>
          <t>Closed</t>
        </is>
      </c>
      <c r="G463" s="3" t="inlineStr">
        <is>
          <t>Chandrashekar Patidar</t>
        </is>
      </c>
      <c r="H463" s="3" t="n">
        <v>7879764773</v>
      </c>
      <c r="I463" s="11" t="inlineStr">
        <is>
          <t>PE26032601</t>
        </is>
      </c>
      <c r="J463" s="3" t="inlineStr">
        <is>
          <t>Module Diode Failure</t>
        </is>
      </c>
      <c r="K463" s="3" t="inlineStr">
        <is>
          <t>Sadla</t>
        </is>
      </c>
      <c r="L463" s="3" t="inlineStr">
        <is>
          <t>Gujarat</t>
        </is>
      </c>
      <c r="M463" s="9" t="inlineStr">
        <is>
          <t>PS</t>
        </is>
      </c>
      <c r="N463" s="3" t="inlineStr">
        <is>
          <t>Cold Soldering</t>
        </is>
      </c>
      <c r="O463" s="3" t="n">
        <v>570</v>
      </c>
      <c r="P463" s="9" t="inlineStr">
        <is>
          <t>NSMI24060106814</t>
        </is>
      </c>
      <c r="Q463" s="53">
        <f>MID(P463,5,2)</f>
        <v/>
      </c>
      <c r="R463" s="53">
        <f>MID(P463,7,2)</f>
        <v/>
      </c>
      <c r="S463" s="3" t="inlineStr">
        <is>
          <t>G2G</t>
        </is>
      </c>
      <c r="T463" s="3" t="inlineStr">
        <is>
          <t>P4</t>
        </is>
      </c>
      <c r="U463" s="3" t="inlineStr">
        <is>
          <t>P JB Cold Soldering</t>
        </is>
      </c>
      <c r="V463" s="3" t="inlineStr">
        <is>
          <t>Soldering</t>
        </is>
      </c>
      <c r="W463" s="3" t="inlineStr">
        <is>
          <t>Repair</t>
        </is>
      </c>
      <c r="X463" s="18" t="n">
        <v>46149</v>
      </c>
      <c r="Y463" s="73">
        <f>IF(X463="","",X463-A463)</f>
        <v/>
      </c>
      <c r="Z463" s="18" t="n">
        <v>46149</v>
      </c>
      <c r="AA463" s="15" t="n"/>
      <c r="AB463" s="15" t="n"/>
      <c r="AF463">
        <f>IF(AND($F463="Closed",$X463&gt;=DATE(2026,5,1),$X463&lt;=DATE(2026,5,31)),"Closed in May","Other")</f>
        <v/>
      </c>
    </row>
    <row r="464">
      <c r="A464" s="6" t="n">
        <v>46107</v>
      </c>
      <c r="B464" s="3" t="n">
        <v>2026</v>
      </c>
      <c r="C464" s="3" t="inlineStr">
        <is>
          <t>Blupine Energy</t>
        </is>
      </c>
      <c r="D464" s="3" t="inlineStr">
        <is>
          <t>Utility and C&amp;I</t>
        </is>
      </c>
      <c r="E464" s="3" t="n"/>
      <c r="F464" s="3" t="inlineStr">
        <is>
          <t>Closed</t>
        </is>
      </c>
      <c r="G464" s="3" t="inlineStr">
        <is>
          <t>Chandrashekar Patidar</t>
        </is>
      </c>
      <c r="H464" s="3" t="n">
        <v>7879764773</v>
      </c>
      <c r="I464" s="11" t="inlineStr">
        <is>
          <t>PE26032601</t>
        </is>
      </c>
      <c r="J464" s="3" t="inlineStr">
        <is>
          <t>Module Diode Failure</t>
        </is>
      </c>
      <c r="K464" s="3" t="inlineStr">
        <is>
          <t>Sadla</t>
        </is>
      </c>
      <c r="L464" s="3" t="inlineStr">
        <is>
          <t>Gujarat</t>
        </is>
      </c>
      <c r="M464" s="9" t="inlineStr">
        <is>
          <t>NR</t>
        </is>
      </c>
      <c r="N464" s="3" t="inlineStr">
        <is>
          <t>JB Issue</t>
        </is>
      </c>
      <c r="O464" s="3" t="n">
        <v>570</v>
      </c>
      <c r="P464" s="9" t="inlineStr">
        <is>
          <t>NSMI24060140375</t>
        </is>
      </c>
      <c r="Q464" s="53">
        <f>MID(P464,5,2)</f>
        <v/>
      </c>
      <c r="R464" s="53">
        <f>MID(P464,7,2)</f>
        <v/>
      </c>
      <c r="S464" s="3" t="inlineStr">
        <is>
          <t>G2G</t>
        </is>
      </c>
      <c r="T464" s="3" t="inlineStr">
        <is>
          <t>P4</t>
        </is>
      </c>
      <c r="U464" s="3" t="inlineStr">
        <is>
          <t>N JB Issue</t>
        </is>
      </c>
      <c r="V464" s="3" t="inlineStr">
        <is>
          <t>JB Changed</t>
        </is>
      </c>
      <c r="W464" s="3" t="inlineStr">
        <is>
          <t>Repair</t>
        </is>
      </c>
      <c r="X464" s="18" t="n">
        <v>46149</v>
      </c>
      <c r="Y464" s="73">
        <f>IF(X464="","",X464-A464)</f>
        <v/>
      </c>
      <c r="Z464" s="18" t="n">
        <v>46149</v>
      </c>
      <c r="AA464" s="15" t="n"/>
      <c r="AB464" s="15" t="n"/>
      <c r="AF464">
        <f>IF(AND($F464="Closed",$X464&gt;=DATE(2026,5,1),$X464&lt;=DATE(2026,5,31)),"Closed in May","Other")</f>
        <v/>
      </c>
    </row>
    <row r="465">
      <c r="A465" s="6" t="n">
        <v>46107</v>
      </c>
      <c r="B465" s="3" t="n">
        <v>2026</v>
      </c>
      <c r="C465" s="3" t="inlineStr">
        <is>
          <t>Blupine Energy</t>
        </is>
      </c>
      <c r="D465" s="3" t="inlineStr">
        <is>
          <t>Utility and C&amp;I</t>
        </is>
      </c>
      <c r="E465" s="3" t="n"/>
      <c r="F465" s="3" t="inlineStr">
        <is>
          <t>Closed</t>
        </is>
      </c>
      <c r="G465" s="3" t="inlineStr">
        <is>
          <t>Chandrashekar Patidar</t>
        </is>
      </c>
      <c r="H465" s="3" t="n">
        <v>7879764773</v>
      </c>
      <c r="I465" s="11" t="inlineStr">
        <is>
          <t>PE26032601</t>
        </is>
      </c>
      <c r="J465" s="3" t="inlineStr">
        <is>
          <t>Module Diode Failure</t>
        </is>
      </c>
      <c r="K465" s="3" t="inlineStr">
        <is>
          <t>Sadla</t>
        </is>
      </c>
      <c r="L465" s="3" t="inlineStr">
        <is>
          <t>Gujarat</t>
        </is>
      </c>
      <c r="M465" s="9" t="inlineStr">
        <is>
          <t>NS</t>
        </is>
      </c>
      <c r="N465" s="3" t="inlineStr">
        <is>
          <t>Cold Soldering</t>
        </is>
      </c>
      <c r="O465" s="3" t="n">
        <v>570</v>
      </c>
      <c r="P465" s="9" t="inlineStr">
        <is>
          <t>NSMI24050057119</t>
        </is>
      </c>
      <c r="Q465" s="53">
        <f>MID(P465,5,2)</f>
        <v/>
      </c>
      <c r="R465" s="53">
        <f>MID(P465,7,2)</f>
        <v/>
      </c>
      <c r="S465" s="3" t="inlineStr">
        <is>
          <t>G2G</t>
        </is>
      </c>
      <c r="T465" s="3" t="inlineStr">
        <is>
          <t>P4</t>
        </is>
      </c>
      <c r="U465" s="3" t="inlineStr">
        <is>
          <t>N JB Cold Soldering</t>
        </is>
      </c>
      <c r="V465" s="3" t="inlineStr">
        <is>
          <t>Soldering</t>
        </is>
      </c>
      <c r="W465" s="3" t="inlineStr">
        <is>
          <t>Repair</t>
        </is>
      </c>
      <c r="X465" s="18" t="n">
        <v>46149</v>
      </c>
      <c r="Y465" s="73">
        <f>IF(X465="","",X465-A465)</f>
        <v/>
      </c>
      <c r="Z465" s="18" t="n">
        <v>46149</v>
      </c>
      <c r="AA465" s="15" t="n"/>
      <c r="AB465" s="15" t="n"/>
      <c r="AF465">
        <f>IF(AND($F465="Closed",$X465&gt;=DATE(2026,5,1),$X465&lt;=DATE(2026,5,31)),"Closed in May","Other")</f>
        <v/>
      </c>
    </row>
    <row r="466">
      <c r="A466" s="6" t="n">
        <v>46107</v>
      </c>
      <c r="B466" s="3" t="n">
        <v>2026</v>
      </c>
      <c r="C466" s="3" t="inlineStr">
        <is>
          <t>Blupine Energy</t>
        </is>
      </c>
      <c r="D466" s="3" t="inlineStr">
        <is>
          <t>Utility and C&amp;I</t>
        </is>
      </c>
      <c r="E466" s="3" t="n"/>
      <c r="F466" s="3" t="inlineStr">
        <is>
          <t>Closed</t>
        </is>
      </c>
      <c r="G466" s="3" t="inlineStr">
        <is>
          <t>Chandrashekar Patidar</t>
        </is>
      </c>
      <c r="H466" s="3" t="n">
        <v>7879764773</v>
      </c>
      <c r="I466" s="11" t="inlineStr">
        <is>
          <t>PE26032601</t>
        </is>
      </c>
      <c r="J466" s="3" t="inlineStr">
        <is>
          <t>Module Diode Failure</t>
        </is>
      </c>
      <c r="K466" s="3" t="inlineStr">
        <is>
          <t>Sadla</t>
        </is>
      </c>
      <c r="L466" s="3" t="inlineStr">
        <is>
          <t>Gujarat</t>
        </is>
      </c>
      <c r="M466" s="9" t="inlineStr">
        <is>
          <t>PS</t>
        </is>
      </c>
      <c r="N466" s="3" t="inlineStr">
        <is>
          <t>Cold Soldering</t>
        </is>
      </c>
      <c r="O466" s="3" t="n">
        <v>570</v>
      </c>
      <c r="P466" s="9" t="inlineStr">
        <is>
          <t>NSMI24060136431</t>
        </is>
      </c>
      <c r="Q466" s="53">
        <f>MID(P466,5,2)</f>
        <v/>
      </c>
      <c r="R466" s="53">
        <f>MID(P466,7,2)</f>
        <v/>
      </c>
      <c r="S466" s="3" t="inlineStr">
        <is>
          <t>G2G</t>
        </is>
      </c>
      <c r="T466" s="3" t="inlineStr">
        <is>
          <t>P4</t>
        </is>
      </c>
      <c r="U466" s="3" t="inlineStr">
        <is>
          <t>P JB Cold Soldering</t>
        </is>
      </c>
      <c r="V466" s="3" t="inlineStr">
        <is>
          <t>Soldering</t>
        </is>
      </c>
      <c r="W466" s="3" t="inlineStr">
        <is>
          <t>Repair</t>
        </is>
      </c>
      <c r="X466" s="18" t="n">
        <v>46149</v>
      </c>
      <c r="Y466" s="73">
        <f>IF(X466="","",X466-A466)</f>
        <v/>
      </c>
      <c r="Z466" s="18" t="n">
        <v>46149</v>
      </c>
      <c r="AA466" s="15" t="n"/>
      <c r="AB466" s="15" t="n"/>
      <c r="AF466">
        <f>IF(AND($F466="Closed",$X466&gt;=DATE(2026,5,1),$X466&lt;=DATE(2026,5,31)),"Closed in May","Other")</f>
        <v/>
      </c>
    </row>
    <row r="467">
      <c r="A467" s="6" t="n">
        <v>46107</v>
      </c>
      <c r="B467" s="3" t="n">
        <v>2026</v>
      </c>
      <c r="C467" s="3" t="inlineStr">
        <is>
          <t>Blupine Energy</t>
        </is>
      </c>
      <c r="D467" s="3" t="inlineStr">
        <is>
          <t>Utility and C&amp;I</t>
        </is>
      </c>
      <c r="E467" s="3" t="n"/>
      <c r="F467" s="3" t="inlineStr">
        <is>
          <t>Closed</t>
        </is>
      </c>
      <c r="G467" s="3" t="inlineStr">
        <is>
          <t>Chandrashekar Patidar</t>
        </is>
      </c>
      <c r="H467" s="3" t="n">
        <v>7879764773</v>
      </c>
      <c r="I467" s="11" t="inlineStr">
        <is>
          <t>PE26032601</t>
        </is>
      </c>
      <c r="J467" s="3" t="inlineStr">
        <is>
          <t>Module Diode Failure</t>
        </is>
      </c>
      <c r="K467" s="3" t="inlineStr">
        <is>
          <t>Sadla</t>
        </is>
      </c>
      <c r="L467" s="3" t="inlineStr">
        <is>
          <t>Gujarat</t>
        </is>
      </c>
      <c r="M467" s="9" t="inlineStr">
        <is>
          <t>NS</t>
        </is>
      </c>
      <c r="N467" s="3" t="inlineStr">
        <is>
          <t>Cold Soldering</t>
        </is>
      </c>
      <c r="O467" s="3" t="n">
        <v>570</v>
      </c>
      <c r="P467" s="9" t="inlineStr">
        <is>
          <t>NSMI24050052177</t>
        </is>
      </c>
      <c r="Q467" s="53">
        <f>MID(P467,5,2)</f>
        <v/>
      </c>
      <c r="R467" s="53">
        <f>MID(P467,7,2)</f>
        <v/>
      </c>
      <c r="S467" s="3" t="inlineStr">
        <is>
          <t>G2G</t>
        </is>
      </c>
      <c r="T467" s="3" t="inlineStr">
        <is>
          <t>P4</t>
        </is>
      </c>
      <c r="U467" s="3" t="inlineStr">
        <is>
          <t>N JB Cold Soldering</t>
        </is>
      </c>
      <c r="V467" s="3" t="inlineStr">
        <is>
          <t>Soldering</t>
        </is>
      </c>
      <c r="W467" s="3" t="inlineStr">
        <is>
          <t>Repair</t>
        </is>
      </c>
      <c r="X467" s="18" t="n">
        <v>46149</v>
      </c>
      <c r="Y467" s="73">
        <f>IF(X467="","",X467-A467)</f>
        <v/>
      </c>
      <c r="Z467" s="18" t="n">
        <v>46149</v>
      </c>
      <c r="AA467" s="15" t="n"/>
      <c r="AB467" s="15" t="n"/>
      <c r="AF467">
        <f>IF(AND($F467="Closed",$X467&gt;=DATE(2026,5,1),$X467&lt;=DATE(2026,5,31)),"Closed in May","Other")</f>
        <v/>
      </c>
    </row>
    <row r="468">
      <c r="A468" s="6" t="n">
        <v>46107</v>
      </c>
      <c r="B468" s="3" t="n">
        <v>2026</v>
      </c>
      <c r="C468" s="3" t="inlineStr">
        <is>
          <t>Blupine Energy</t>
        </is>
      </c>
      <c r="D468" s="3" t="inlineStr">
        <is>
          <t>Utility and C&amp;I</t>
        </is>
      </c>
      <c r="E468" s="3" t="n"/>
      <c r="F468" s="3" t="inlineStr">
        <is>
          <t>Closed</t>
        </is>
      </c>
      <c r="G468" s="3" t="inlineStr">
        <is>
          <t>Chandrashekar Patidar</t>
        </is>
      </c>
      <c r="H468" s="3" t="n">
        <v>7879764773</v>
      </c>
      <c r="I468" s="11" t="inlineStr">
        <is>
          <t>PE26032601</t>
        </is>
      </c>
      <c r="J468" s="3" t="inlineStr">
        <is>
          <t>Module Diode Failure</t>
        </is>
      </c>
      <c r="K468" s="3" t="inlineStr">
        <is>
          <t>Sadla</t>
        </is>
      </c>
      <c r="L468" s="3" t="inlineStr">
        <is>
          <t>Gujarat</t>
        </is>
      </c>
      <c r="M468" s="9" t="inlineStr">
        <is>
          <t>NS</t>
        </is>
      </c>
      <c r="N468" s="3" t="inlineStr">
        <is>
          <t>Cold Soldering</t>
        </is>
      </c>
      <c r="O468" s="3" t="n">
        <v>570</v>
      </c>
      <c r="P468" s="9" t="inlineStr">
        <is>
          <t>NSMI24060114149</t>
        </is>
      </c>
      <c r="Q468" s="53">
        <f>MID(P468,5,2)</f>
        <v/>
      </c>
      <c r="R468" s="53">
        <f>MID(P468,7,2)</f>
        <v/>
      </c>
      <c r="S468" s="3" t="inlineStr">
        <is>
          <t>G2G</t>
        </is>
      </c>
      <c r="T468" s="3" t="inlineStr">
        <is>
          <t>P4</t>
        </is>
      </c>
      <c r="U468" s="3" t="inlineStr">
        <is>
          <t>N JB Cold Soldering</t>
        </is>
      </c>
      <c r="V468" s="3" t="inlineStr">
        <is>
          <t>Soldering</t>
        </is>
      </c>
      <c r="W468" s="3" t="inlineStr">
        <is>
          <t>Repair</t>
        </is>
      </c>
      <c r="X468" s="18" t="n">
        <v>46149</v>
      </c>
      <c r="Y468" s="73">
        <f>IF(X468="","",X468-A468)</f>
        <v/>
      </c>
      <c r="Z468" s="18" t="n">
        <v>46149</v>
      </c>
      <c r="AA468" s="15" t="n"/>
      <c r="AB468" s="15" t="n"/>
      <c r="AF468">
        <f>IF(AND($F468="Closed",$X468&gt;=DATE(2026,5,1),$X468&lt;=DATE(2026,5,31)),"Closed in May","Other")</f>
        <v/>
      </c>
    </row>
    <row r="469">
      <c r="A469" s="6" t="n">
        <v>46107</v>
      </c>
      <c r="B469" s="3" t="n">
        <v>2026</v>
      </c>
      <c r="C469" s="3" t="inlineStr">
        <is>
          <t>Blupine Energy</t>
        </is>
      </c>
      <c r="D469" s="3" t="inlineStr">
        <is>
          <t>Utility and C&amp;I</t>
        </is>
      </c>
      <c r="E469" s="3" t="n"/>
      <c r="F469" s="3" t="inlineStr">
        <is>
          <t>Closed</t>
        </is>
      </c>
      <c r="G469" s="3" t="inlineStr">
        <is>
          <t>Chandrashekar Patidar</t>
        </is>
      </c>
      <c r="H469" s="3" t="n">
        <v>7879764773</v>
      </c>
      <c r="I469" s="11" t="inlineStr">
        <is>
          <t>PE26032601</t>
        </is>
      </c>
      <c r="J469" s="3" t="inlineStr">
        <is>
          <t>Module Diode Failure</t>
        </is>
      </c>
      <c r="K469" s="3" t="inlineStr">
        <is>
          <t>Sadla</t>
        </is>
      </c>
      <c r="L469" s="3" t="inlineStr">
        <is>
          <t>Gujarat</t>
        </is>
      </c>
      <c r="M469" s="9" t="inlineStr">
        <is>
          <t>PS</t>
        </is>
      </c>
      <c r="N469" s="3" t="inlineStr">
        <is>
          <t>Cold Soldering</t>
        </is>
      </c>
      <c r="O469" s="3" t="n">
        <v>570</v>
      </c>
      <c r="P469" s="9" t="inlineStr">
        <is>
          <t>NSMI24060091387</t>
        </is>
      </c>
      <c r="Q469" s="53">
        <f>MID(P469,5,2)</f>
        <v/>
      </c>
      <c r="R469" s="53">
        <f>MID(P469,7,2)</f>
        <v/>
      </c>
      <c r="S469" s="3" t="inlineStr">
        <is>
          <t>G2G</t>
        </is>
      </c>
      <c r="T469" s="3" t="inlineStr">
        <is>
          <t>P4</t>
        </is>
      </c>
      <c r="U469" s="3" t="inlineStr">
        <is>
          <t>P JB Cold Soldering</t>
        </is>
      </c>
      <c r="V469" s="3" t="inlineStr">
        <is>
          <t>Soldering</t>
        </is>
      </c>
      <c r="W469" s="3" t="inlineStr">
        <is>
          <t>Repair</t>
        </is>
      </c>
      <c r="X469" s="18" t="n">
        <v>46149</v>
      </c>
      <c r="Y469" s="73">
        <f>IF(X469="","",X469-A469)</f>
        <v/>
      </c>
      <c r="Z469" s="18" t="n">
        <v>46149</v>
      </c>
      <c r="AA469" s="15" t="n"/>
      <c r="AB469" s="15" t="n"/>
      <c r="AF469">
        <f>IF(AND($F469="Closed",$X469&gt;=DATE(2026,5,1),$X469&lt;=DATE(2026,5,31)),"Closed in May","Other")</f>
        <v/>
      </c>
    </row>
    <row r="470">
      <c r="A470" s="6" t="n">
        <v>46107</v>
      </c>
      <c r="B470" s="3" t="n">
        <v>2026</v>
      </c>
      <c r="C470" s="3" t="inlineStr">
        <is>
          <t>Blupine Energy</t>
        </is>
      </c>
      <c r="D470" s="3" t="inlineStr">
        <is>
          <t>Utility and C&amp;I</t>
        </is>
      </c>
      <c r="E470" s="3" t="n"/>
      <c r="F470" s="3" t="inlineStr">
        <is>
          <t>Closed</t>
        </is>
      </c>
      <c r="G470" s="3" t="inlineStr">
        <is>
          <t>Chandrashekar Patidar</t>
        </is>
      </c>
      <c r="H470" s="3" t="n">
        <v>7879764773</v>
      </c>
      <c r="I470" s="11" t="inlineStr">
        <is>
          <t>PE26032601</t>
        </is>
      </c>
      <c r="J470" s="3" t="inlineStr">
        <is>
          <t>Module Diode Failure</t>
        </is>
      </c>
      <c r="K470" s="3" t="inlineStr">
        <is>
          <t>Sadla</t>
        </is>
      </c>
      <c r="L470" s="3" t="inlineStr">
        <is>
          <t>Gujarat</t>
        </is>
      </c>
      <c r="M470" s="9" t="inlineStr">
        <is>
          <t>NS</t>
        </is>
      </c>
      <c r="N470" s="3" t="inlineStr">
        <is>
          <t>Cold Soldering</t>
        </is>
      </c>
      <c r="O470" s="3" t="n">
        <v>570</v>
      </c>
      <c r="P470" s="9" t="inlineStr">
        <is>
          <t>NSMI24060094726</t>
        </is>
      </c>
      <c r="Q470" s="53">
        <f>MID(P470,5,2)</f>
        <v/>
      </c>
      <c r="R470" s="53">
        <f>MID(P470,7,2)</f>
        <v/>
      </c>
      <c r="S470" s="3" t="inlineStr">
        <is>
          <t>G2G</t>
        </is>
      </c>
      <c r="T470" s="3" t="inlineStr">
        <is>
          <t>P4</t>
        </is>
      </c>
      <c r="U470" s="3" t="inlineStr">
        <is>
          <t>N JB Cold Soldering</t>
        </is>
      </c>
      <c r="V470" s="3" t="inlineStr">
        <is>
          <t>Soldering</t>
        </is>
      </c>
      <c r="W470" s="3" t="inlineStr">
        <is>
          <t>Repair</t>
        </is>
      </c>
      <c r="X470" s="18" t="n">
        <v>46149</v>
      </c>
      <c r="Y470" s="73">
        <f>IF(X470="","",X470-A470)</f>
        <v/>
      </c>
      <c r="Z470" s="18" t="n">
        <v>46149</v>
      </c>
      <c r="AA470" s="15" t="n"/>
      <c r="AB470" s="15" t="n"/>
      <c r="AF470">
        <f>IF(AND($F470="Closed",$X470&gt;=DATE(2026,5,1),$X470&lt;=DATE(2026,5,31)),"Closed in May","Other")</f>
        <v/>
      </c>
    </row>
    <row r="471">
      <c r="A471" s="6" t="n">
        <v>46107</v>
      </c>
      <c r="B471" s="3" t="n">
        <v>2026</v>
      </c>
      <c r="C471" s="3" t="inlineStr">
        <is>
          <t>Blupine Energy</t>
        </is>
      </c>
      <c r="D471" s="3" t="inlineStr">
        <is>
          <t>Utility and C&amp;I</t>
        </is>
      </c>
      <c r="E471" s="3" t="n"/>
      <c r="F471" s="3" t="inlineStr">
        <is>
          <t>Closed</t>
        </is>
      </c>
      <c r="G471" s="3" t="inlineStr">
        <is>
          <t>Chandrashekar Patidar</t>
        </is>
      </c>
      <c r="H471" s="3" t="n">
        <v>7879764773</v>
      </c>
      <c r="I471" s="11" t="inlineStr">
        <is>
          <t>PE26032601</t>
        </is>
      </c>
      <c r="J471" s="3" t="inlineStr">
        <is>
          <t>Module Diode Failure</t>
        </is>
      </c>
      <c r="K471" s="3" t="inlineStr">
        <is>
          <t>Sadla</t>
        </is>
      </c>
      <c r="L471" s="3" t="inlineStr">
        <is>
          <t>Gujarat</t>
        </is>
      </c>
      <c r="M471" s="9" t="inlineStr">
        <is>
          <t>NS</t>
        </is>
      </c>
      <c r="N471" s="3" t="inlineStr">
        <is>
          <t>Cold Soldering</t>
        </is>
      </c>
      <c r="O471" s="3" t="n">
        <v>570</v>
      </c>
      <c r="P471" s="9" t="inlineStr">
        <is>
          <t>NSMI24060094729</t>
        </is>
      </c>
      <c r="Q471" s="53">
        <f>MID(P471,5,2)</f>
        <v/>
      </c>
      <c r="R471" s="53">
        <f>MID(P471,7,2)</f>
        <v/>
      </c>
      <c r="S471" s="3" t="inlineStr">
        <is>
          <t>G2G</t>
        </is>
      </c>
      <c r="T471" s="3" t="inlineStr">
        <is>
          <t>P4</t>
        </is>
      </c>
      <c r="U471" s="3" t="inlineStr">
        <is>
          <t>N JB Cold Soldering</t>
        </is>
      </c>
      <c r="V471" s="3" t="inlineStr">
        <is>
          <t>Soldering</t>
        </is>
      </c>
      <c r="W471" s="3" t="inlineStr">
        <is>
          <t>Repair</t>
        </is>
      </c>
      <c r="X471" s="18" t="n">
        <v>46149</v>
      </c>
      <c r="Y471" s="73">
        <f>IF(X471="","",X471-A471)</f>
        <v/>
      </c>
      <c r="Z471" s="18" t="n">
        <v>46149</v>
      </c>
      <c r="AA471" s="15" t="n"/>
      <c r="AB471" s="15" t="n"/>
      <c r="AF471">
        <f>IF(AND($F471="Closed",$X471&gt;=DATE(2026,5,1),$X471&lt;=DATE(2026,5,31)),"Closed in May","Other")</f>
        <v/>
      </c>
    </row>
    <row r="472">
      <c r="A472" s="6" t="n">
        <v>46107</v>
      </c>
      <c r="B472" s="3" t="n">
        <v>2026</v>
      </c>
      <c r="C472" s="3" t="inlineStr">
        <is>
          <t>Blupine Energy</t>
        </is>
      </c>
      <c r="D472" s="3" t="inlineStr">
        <is>
          <t>Utility and C&amp;I</t>
        </is>
      </c>
      <c r="E472" s="3" t="n"/>
      <c r="F472" s="3" t="inlineStr">
        <is>
          <t>Closed</t>
        </is>
      </c>
      <c r="G472" s="3" t="inlineStr">
        <is>
          <t>Chandrashekar Patidar</t>
        </is>
      </c>
      <c r="H472" s="3" t="n">
        <v>7879764773</v>
      </c>
      <c r="I472" s="11" t="inlineStr">
        <is>
          <t>PE26032601</t>
        </is>
      </c>
      <c r="J472" s="3" t="inlineStr">
        <is>
          <t>Module Diode Failure</t>
        </is>
      </c>
      <c r="K472" s="3" t="inlineStr">
        <is>
          <t>Sadla</t>
        </is>
      </c>
      <c r="L472" s="3" t="inlineStr">
        <is>
          <t>Gujarat</t>
        </is>
      </c>
      <c r="M472" s="9" t="inlineStr">
        <is>
          <t>NS</t>
        </is>
      </c>
      <c r="N472" s="3" t="inlineStr">
        <is>
          <t>Cold Soldering</t>
        </is>
      </c>
      <c r="O472" s="3" t="n">
        <v>570</v>
      </c>
      <c r="P472" s="9" t="inlineStr">
        <is>
          <t>NSMI24060093299</t>
        </is>
      </c>
      <c r="Q472" s="53">
        <f>MID(P472,5,2)</f>
        <v/>
      </c>
      <c r="R472" s="53">
        <f>MID(P472,7,2)</f>
        <v/>
      </c>
      <c r="S472" s="3" t="inlineStr">
        <is>
          <t>G2G</t>
        </is>
      </c>
      <c r="T472" s="3" t="inlineStr">
        <is>
          <t>P4</t>
        </is>
      </c>
      <c r="U472" s="3" t="inlineStr">
        <is>
          <t>N JB Cold Soldering</t>
        </is>
      </c>
      <c r="V472" s="3" t="inlineStr">
        <is>
          <t>Soldering</t>
        </is>
      </c>
      <c r="W472" s="3" t="inlineStr">
        <is>
          <t>Repair</t>
        </is>
      </c>
      <c r="X472" s="18" t="n">
        <v>46149</v>
      </c>
      <c r="Y472" s="73">
        <f>IF(X472="","",X472-A472)</f>
        <v/>
      </c>
      <c r="Z472" s="18" t="n">
        <v>46149</v>
      </c>
      <c r="AA472" s="15" t="n"/>
      <c r="AB472" s="15" t="n"/>
      <c r="AF472">
        <f>IF(AND($F472="Closed",$X472&gt;=DATE(2026,5,1),$X472&lt;=DATE(2026,5,31)),"Closed in May","Other")</f>
        <v/>
      </c>
    </row>
    <row r="473">
      <c r="A473" s="6" t="n">
        <v>46107</v>
      </c>
      <c r="B473" s="3" t="n">
        <v>2026</v>
      </c>
      <c r="C473" s="3" t="inlineStr">
        <is>
          <t>Blupine Energy</t>
        </is>
      </c>
      <c r="D473" s="3" t="inlineStr">
        <is>
          <t>Utility and C&amp;I</t>
        </is>
      </c>
      <c r="E473" s="3" t="n"/>
      <c r="F473" s="3" t="inlineStr">
        <is>
          <t>Closed</t>
        </is>
      </c>
      <c r="G473" s="3" t="inlineStr">
        <is>
          <t>Chandrashekar Patidar</t>
        </is>
      </c>
      <c r="H473" s="3" t="n">
        <v>7879764773</v>
      </c>
      <c r="I473" s="11" t="inlineStr">
        <is>
          <t>PE26032601</t>
        </is>
      </c>
      <c r="J473" s="3" t="inlineStr">
        <is>
          <t>Module Diode Failure</t>
        </is>
      </c>
      <c r="K473" s="3" t="inlineStr">
        <is>
          <t>Sadla</t>
        </is>
      </c>
      <c r="L473" s="3" t="inlineStr">
        <is>
          <t>Gujarat</t>
        </is>
      </c>
      <c r="M473" s="9" t="inlineStr">
        <is>
          <t>NS</t>
        </is>
      </c>
      <c r="N473" s="3" t="inlineStr">
        <is>
          <t>Cold Soldering</t>
        </is>
      </c>
      <c r="O473" s="3" t="n">
        <v>570</v>
      </c>
      <c r="P473" s="9" t="inlineStr">
        <is>
          <t>NSMI24050060507</t>
        </is>
      </c>
      <c r="Q473" s="53">
        <f>MID(P473,5,2)</f>
        <v/>
      </c>
      <c r="R473" s="53">
        <f>MID(P473,7,2)</f>
        <v/>
      </c>
      <c r="S473" s="3" t="inlineStr">
        <is>
          <t>G2G</t>
        </is>
      </c>
      <c r="T473" s="3" t="inlineStr">
        <is>
          <t>P4</t>
        </is>
      </c>
      <c r="U473" s="3" t="inlineStr">
        <is>
          <t>N JB Cold Soldering</t>
        </is>
      </c>
      <c r="V473" s="3" t="inlineStr">
        <is>
          <t>Soldering</t>
        </is>
      </c>
      <c r="W473" s="3" t="inlineStr">
        <is>
          <t>Repair</t>
        </is>
      </c>
      <c r="X473" s="18" t="n">
        <v>46149</v>
      </c>
      <c r="Y473" s="73">
        <f>IF(X473="","",X473-A473)</f>
        <v/>
      </c>
      <c r="Z473" s="18" t="n">
        <v>46149</v>
      </c>
      <c r="AA473" s="15" t="n"/>
      <c r="AB473" s="15" t="n"/>
      <c r="AF473">
        <f>IF(AND($F473="Closed",$X473&gt;=DATE(2026,5,1),$X473&lt;=DATE(2026,5,31)),"Closed in May","Other")</f>
        <v/>
      </c>
    </row>
    <row r="474">
      <c r="A474" s="6" t="n">
        <v>46107</v>
      </c>
      <c r="B474" s="3" t="n">
        <v>2026</v>
      </c>
      <c r="C474" s="3" t="inlineStr">
        <is>
          <t>Blupine Energy</t>
        </is>
      </c>
      <c r="D474" s="3" t="inlineStr">
        <is>
          <t>Utility and C&amp;I</t>
        </is>
      </c>
      <c r="E474" s="3" t="n"/>
      <c r="F474" s="3" t="inlineStr">
        <is>
          <t>Closed</t>
        </is>
      </c>
      <c r="G474" s="3" t="inlineStr">
        <is>
          <t>Chandrashekar Patidar</t>
        </is>
      </c>
      <c r="H474" s="3" t="n">
        <v>7879764773</v>
      </c>
      <c r="I474" s="11" t="inlineStr">
        <is>
          <t>PE26032601</t>
        </is>
      </c>
      <c r="J474" s="3" t="inlineStr">
        <is>
          <t>Module Diode Failure</t>
        </is>
      </c>
      <c r="K474" s="3" t="inlineStr">
        <is>
          <t>Sadla</t>
        </is>
      </c>
      <c r="L474" s="3" t="inlineStr">
        <is>
          <t>Gujarat</t>
        </is>
      </c>
      <c r="M474" s="9" t="inlineStr">
        <is>
          <t>NS</t>
        </is>
      </c>
      <c r="N474" s="3" t="inlineStr">
        <is>
          <t>Cold Soldering</t>
        </is>
      </c>
      <c r="O474" s="3" t="n">
        <v>570</v>
      </c>
      <c r="P474" s="9" t="inlineStr">
        <is>
          <t>NSMI24050060641</t>
        </is>
      </c>
      <c r="Q474" s="53">
        <f>MID(P474,5,2)</f>
        <v/>
      </c>
      <c r="R474" s="53">
        <f>MID(P474,7,2)</f>
        <v/>
      </c>
      <c r="S474" s="3" t="inlineStr">
        <is>
          <t>G2G</t>
        </is>
      </c>
      <c r="T474" s="3" t="inlineStr">
        <is>
          <t>P4</t>
        </is>
      </c>
      <c r="U474" s="3" t="inlineStr">
        <is>
          <t>N JB Cold Soldering</t>
        </is>
      </c>
      <c r="V474" s="3" t="inlineStr">
        <is>
          <t>Soldering</t>
        </is>
      </c>
      <c r="W474" s="3" t="inlineStr">
        <is>
          <t>Repair</t>
        </is>
      </c>
      <c r="X474" s="18" t="n">
        <v>46149</v>
      </c>
      <c r="Y474" s="73">
        <f>IF(X474="","",X474-A474)</f>
        <v/>
      </c>
      <c r="Z474" s="18" t="n">
        <v>46149</v>
      </c>
      <c r="AA474" s="15" t="n"/>
      <c r="AB474" s="15" t="n"/>
      <c r="AF474">
        <f>IF(AND($F474="Closed",$X474&gt;=DATE(2026,5,1),$X474&lt;=DATE(2026,5,31)),"Closed in May","Other")</f>
        <v/>
      </c>
    </row>
    <row r="475">
      <c r="A475" s="6" t="n">
        <v>46107</v>
      </c>
      <c r="B475" s="3" t="n">
        <v>2026</v>
      </c>
      <c r="C475" s="3" t="inlineStr">
        <is>
          <t>Blupine Energy</t>
        </is>
      </c>
      <c r="D475" s="3" t="inlineStr">
        <is>
          <t>Utility and C&amp;I</t>
        </is>
      </c>
      <c r="E475" s="3" t="n"/>
      <c r="F475" s="3" t="inlineStr">
        <is>
          <t>Closed</t>
        </is>
      </c>
      <c r="G475" s="3" t="inlineStr">
        <is>
          <t>Chandrashekar Patidar</t>
        </is>
      </c>
      <c r="H475" s="3" t="n">
        <v>7879764773</v>
      </c>
      <c r="I475" s="11" t="inlineStr">
        <is>
          <t>PE26032601</t>
        </is>
      </c>
      <c r="J475" s="3" t="inlineStr">
        <is>
          <t>Module Diode Failure</t>
        </is>
      </c>
      <c r="K475" s="3" t="inlineStr">
        <is>
          <t>Sadla</t>
        </is>
      </c>
      <c r="L475" s="3" t="inlineStr">
        <is>
          <t>Gujarat</t>
        </is>
      </c>
      <c r="M475" s="9" t="inlineStr">
        <is>
          <t>PNS</t>
        </is>
      </c>
      <c r="N475" s="3" t="inlineStr">
        <is>
          <t>Cold Soldering</t>
        </is>
      </c>
      <c r="O475" s="3" t="n">
        <v>570</v>
      </c>
      <c r="P475" s="9" t="inlineStr">
        <is>
          <t>NSMI24050060523</t>
        </is>
      </c>
      <c r="Q475" s="53">
        <f>MID(P475,5,2)</f>
        <v/>
      </c>
      <c r="R475" s="53">
        <f>MID(P475,7,2)</f>
        <v/>
      </c>
      <c r="S475" s="3" t="inlineStr">
        <is>
          <t>G2G</t>
        </is>
      </c>
      <c r="T475" s="3" t="inlineStr">
        <is>
          <t>P4</t>
        </is>
      </c>
      <c r="U475" s="3" t="inlineStr">
        <is>
          <t>P &amp; N JB Cold Soldering</t>
        </is>
      </c>
      <c r="V475" s="3" t="inlineStr">
        <is>
          <t>Soldering</t>
        </is>
      </c>
      <c r="W475" s="3" t="inlineStr">
        <is>
          <t>Repair</t>
        </is>
      </c>
      <c r="X475" s="18" t="n">
        <v>46149</v>
      </c>
      <c r="Y475" s="73">
        <f>IF(X475="","",X475-A475)</f>
        <v/>
      </c>
      <c r="Z475" s="18" t="n">
        <v>46149</v>
      </c>
      <c r="AA475" s="15" t="n"/>
      <c r="AB475" s="15" t="n"/>
      <c r="AF475">
        <f>IF(AND($F475="Closed",$X475&gt;=DATE(2026,5,1),$X475&lt;=DATE(2026,5,31)),"Closed in May","Other")</f>
        <v/>
      </c>
    </row>
    <row r="476">
      <c r="A476" s="6" t="n">
        <v>46107</v>
      </c>
      <c r="B476" s="3" t="n">
        <v>2026</v>
      </c>
      <c r="C476" s="3" t="inlineStr">
        <is>
          <t>Blupine Energy</t>
        </is>
      </c>
      <c r="D476" s="3" t="inlineStr">
        <is>
          <t>Utility and C&amp;I</t>
        </is>
      </c>
      <c r="E476" s="3" t="n"/>
      <c r="F476" s="3" t="inlineStr">
        <is>
          <t>Closed</t>
        </is>
      </c>
      <c r="G476" s="3" t="inlineStr">
        <is>
          <t>Chandrashekar Patidar</t>
        </is>
      </c>
      <c r="H476" s="3" t="n">
        <v>7879764773</v>
      </c>
      <c r="I476" s="11" t="inlineStr">
        <is>
          <t>PE26032601</t>
        </is>
      </c>
      <c r="J476" s="3" t="inlineStr">
        <is>
          <t>Module Diode Failure</t>
        </is>
      </c>
      <c r="K476" s="3" t="inlineStr">
        <is>
          <t>Sadla</t>
        </is>
      </c>
      <c r="L476" s="3" t="inlineStr">
        <is>
          <t>Gujarat</t>
        </is>
      </c>
      <c r="M476" s="9" t="inlineStr">
        <is>
          <t>NS</t>
        </is>
      </c>
      <c r="N476" s="3" t="inlineStr">
        <is>
          <t>Cold Soldering</t>
        </is>
      </c>
      <c r="O476" s="3" t="n">
        <v>570</v>
      </c>
      <c r="P476" s="9" t="inlineStr">
        <is>
          <t>NSMI24050060452</t>
        </is>
      </c>
      <c r="Q476" s="53">
        <f>MID(P476,5,2)</f>
        <v/>
      </c>
      <c r="R476" s="53">
        <f>MID(P476,7,2)</f>
        <v/>
      </c>
      <c r="S476" s="3" t="inlineStr">
        <is>
          <t>G2G</t>
        </is>
      </c>
      <c r="T476" s="3" t="inlineStr">
        <is>
          <t>P4</t>
        </is>
      </c>
      <c r="U476" s="3" t="inlineStr">
        <is>
          <t>N JB Cold Soldering</t>
        </is>
      </c>
      <c r="V476" s="3" t="inlineStr">
        <is>
          <t>Soldering</t>
        </is>
      </c>
      <c r="W476" s="3" t="inlineStr">
        <is>
          <t>Repair</t>
        </is>
      </c>
      <c r="X476" s="18" t="n">
        <v>46149</v>
      </c>
      <c r="Y476" s="73">
        <f>IF(X476="","",X476-A476)</f>
        <v/>
      </c>
      <c r="Z476" s="18" t="n">
        <v>46149</v>
      </c>
      <c r="AA476" s="15" t="n"/>
      <c r="AB476" s="15" t="n"/>
      <c r="AF476">
        <f>IF(AND($F476="Closed",$X476&gt;=DATE(2026,5,1),$X476&lt;=DATE(2026,5,31)),"Closed in May","Other")</f>
        <v/>
      </c>
    </row>
    <row r="477">
      <c r="A477" s="6" t="n">
        <v>46107</v>
      </c>
      <c r="B477" s="3" t="n">
        <v>2026</v>
      </c>
      <c r="C477" s="3" t="inlineStr">
        <is>
          <t>Blupine Energy</t>
        </is>
      </c>
      <c r="D477" s="3" t="inlineStr">
        <is>
          <t>Utility and C&amp;I</t>
        </is>
      </c>
      <c r="E477" s="3" t="n"/>
      <c r="F477" s="3" t="inlineStr">
        <is>
          <t>Closed</t>
        </is>
      </c>
      <c r="G477" s="3" t="inlineStr">
        <is>
          <t>Chandrashekar Patidar</t>
        </is>
      </c>
      <c r="H477" s="3" t="n">
        <v>7879764773</v>
      </c>
      <c r="I477" s="11" t="inlineStr">
        <is>
          <t>PE26032601</t>
        </is>
      </c>
      <c r="J477" s="3" t="inlineStr">
        <is>
          <t>Module Diode Failure</t>
        </is>
      </c>
      <c r="K477" s="3" t="inlineStr">
        <is>
          <t>Sadla</t>
        </is>
      </c>
      <c r="L477" s="3" t="inlineStr">
        <is>
          <t>Gujarat</t>
        </is>
      </c>
      <c r="M477" s="9" t="inlineStr">
        <is>
          <t>NS</t>
        </is>
      </c>
      <c r="N477" s="3" t="inlineStr">
        <is>
          <t>Cold Soldering</t>
        </is>
      </c>
      <c r="O477" s="3" t="n">
        <v>570</v>
      </c>
      <c r="P477" s="9" t="inlineStr">
        <is>
          <t>NSMI24060096756</t>
        </is>
      </c>
      <c r="Q477" s="53">
        <f>MID(P477,5,2)</f>
        <v/>
      </c>
      <c r="R477" s="53">
        <f>MID(P477,7,2)</f>
        <v/>
      </c>
      <c r="S477" s="3" t="inlineStr">
        <is>
          <t>G2G</t>
        </is>
      </c>
      <c r="T477" s="3" t="inlineStr">
        <is>
          <t>P4</t>
        </is>
      </c>
      <c r="U477" s="3" t="inlineStr">
        <is>
          <t>N JB Cold Soldering</t>
        </is>
      </c>
      <c r="V477" s="3" t="inlineStr">
        <is>
          <t>Soldering</t>
        </is>
      </c>
      <c r="W477" s="3" t="inlineStr">
        <is>
          <t>Repair</t>
        </is>
      </c>
      <c r="X477" s="18" t="n">
        <v>46149</v>
      </c>
      <c r="Y477" s="73">
        <f>IF(X477="","",X477-A477)</f>
        <v/>
      </c>
      <c r="Z477" s="18" t="n">
        <v>46149</v>
      </c>
      <c r="AA477" s="15" t="n"/>
      <c r="AB477" s="15" t="n"/>
      <c r="AF477">
        <f>IF(AND($F477="Closed",$X477&gt;=DATE(2026,5,1),$X477&lt;=DATE(2026,5,31)),"Closed in May","Other")</f>
        <v/>
      </c>
    </row>
    <row r="478">
      <c r="A478" s="6" t="n">
        <v>46107</v>
      </c>
      <c r="B478" s="3" t="n">
        <v>2026</v>
      </c>
      <c r="C478" s="3" t="inlineStr">
        <is>
          <t>Blupine Energy</t>
        </is>
      </c>
      <c r="D478" s="3" t="inlineStr">
        <is>
          <t>Utility and C&amp;I</t>
        </is>
      </c>
      <c r="E478" s="3" t="n"/>
      <c r="F478" s="3" t="inlineStr">
        <is>
          <t>Closed</t>
        </is>
      </c>
      <c r="G478" s="3" t="inlineStr">
        <is>
          <t>Chandrashekar Patidar</t>
        </is>
      </c>
      <c r="H478" s="3" t="n">
        <v>7879764773</v>
      </c>
      <c r="I478" s="11" t="inlineStr">
        <is>
          <t>PE26032601</t>
        </is>
      </c>
      <c r="J478" s="3" t="inlineStr">
        <is>
          <t>Module Diode Failure</t>
        </is>
      </c>
      <c r="K478" s="3" t="inlineStr">
        <is>
          <t>Sadla</t>
        </is>
      </c>
      <c r="L478" s="3" t="inlineStr">
        <is>
          <t>Gujarat</t>
        </is>
      </c>
      <c r="M478" s="9" t="inlineStr">
        <is>
          <t>NS</t>
        </is>
      </c>
      <c r="N478" s="3" t="inlineStr">
        <is>
          <t>Cold Soldering</t>
        </is>
      </c>
      <c r="O478" s="3" t="n">
        <v>570</v>
      </c>
      <c r="P478" s="9" t="inlineStr">
        <is>
          <t>NSMI24060093175</t>
        </is>
      </c>
      <c r="Q478" s="53">
        <f>MID(P478,5,2)</f>
        <v/>
      </c>
      <c r="R478" s="53">
        <f>MID(P478,7,2)</f>
        <v/>
      </c>
      <c r="S478" s="3" t="inlineStr">
        <is>
          <t>G2G</t>
        </is>
      </c>
      <c r="T478" s="3" t="inlineStr">
        <is>
          <t>P4</t>
        </is>
      </c>
      <c r="U478" s="3" t="inlineStr">
        <is>
          <t>N JB Cold Soldering</t>
        </is>
      </c>
      <c r="V478" s="3" t="inlineStr">
        <is>
          <t>Soldering</t>
        </is>
      </c>
      <c r="W478" s="3" t="inlineStr">
        <is>
          <t>Repair</t>
        </is>
      </c>
      <c r="X478" s="18" t="n">
        <v>46149</v>
      </c>
      <c r="Y478" s="73">
        <f>IF(X478="","",X478-A478)</f>
        <v/>
      </c>
      <c r="Z478" s="18" t="n">
        <v>46149</v>
      </c>
      <c r="AA478" s="15" t="n"/>
      <c r="AB478" s="15" t="n"/>
      <c r="AF478">
        <f>IF(AND($F478="Closed",$X478&gt;=DATE(2026,5,1),$X478&lt;=DATE(2026,5,31)),"Closed in May","Other")</f>
        <v/>
      </c>
    </row>
    <row r="479">
      <c r="A479" s="6" t="n">
        <v>46107</v>
      </c>
      <c r="B479" s="3" t="n">
        <v>2026</v>
      </c>
      <c r="C479" s="3" t="inlineStr">
        <is>
          <t>Blupine Energy</t>
        </is>
      </c>
      <c r="D479" s="3" t="inlineStr">
        <is>
          <t>Utility and C&amp;I</t>
        </is>
      </c>
      <c r="E479" s="3" t="n"/>
      <c r="F479" s="3" t="inlineStr">
        <is>
          <t>Closed</t>
        </is>
      </c>
      <c r="G479" s="3" t="inlineStr">
        <is>
          <t>Chandrashekar Patidar</t>
        </is>
      </c>
      <c r="H479" s="3" t="n">
        <v>7879764773</v>
      </c>
      <c r="I479" s="11" t="inlineStr">
        <is>
          <t>PE26032601</t>
        </is>
      </c>
      <c r="J479" s="3" t="inlineStr">
        <is>
          <t>Module Diode Failure</t>
        </is>
      </c>
      <c r="K479" s="3" t="inlineStr">
        <is>
          <t>Sadla</t>
        </is>
      </c>
      <c r="L479" s="3" t="inlineStr">
        <is>
          <t>Gujarat</t>
        </is>
      </c>
      <c r="M479" s="9" t="inlineStr">
        <is>
          <t>NS</t>
        </is>
      </c>
      <c r="N479" s="3" t="inlineStr">
        <is>
          <t>Cold Soldering</t>
        </is>
      </c>
      <c r="O479" s="3" t="n">
        <v>570</v>
      </c>
      <c r="P479" s="9" t="inlineStr">
        <is>
          <t>NSMI24060094800</t>
        </is>
      </c>
      <c r="Q479" s="53">
        <f>MID(P479,5,2)</f>
        <v/>
      </c>
      <c r="R479" s="53">
        <f>MID(P479,7,2)</f>
        <v/>
      </c>
      <c r="S479" s="3" t="inlineStr">
        <is>
          <t>G2G</t>
        </is>
      </c>
      <c r="T479" s="3" t="inlineStr">
        <is>
          <t>P4</t>
        </is>
      </c>
      <c r="U479" s="3" t="inlineStr">
        <is>
          <t>N JB Cold Soldering</t>
        </is>
      </c>
      <c r="V479" s="3" t="inlineStr">
        <is>
          <t>Soldering</t>
        </is>
      </c>
      <c r="W479" s="3" t="inlineStr">
        <is>
          <t>Repair</t>
        </is>
      </c>
      <c r="X479" s="18" t="n">
        <v>46149</v>
      </c>
      <c r="Y479" s="73">
        <f>IF(X479="","",X479-A479)</f>
        <v/>
      </c>
      <c r="Z479" s="18" t="n">
        <v>46149</v>
      </c>
      <c r="AA479" s="15" t="n"/>
      <c r="AB479" s="15" t="n"/>
      <c r="AF479">
        <f>IF(AND($F479="Closed",$X479&gt;=DATE(2026,5,1),$X479&lt;=DATE(2026,5,31)),"Closed in May","Other")</f>
        <v/>
      </c>
    </row>
    <row r="480">
      <c r="A480" s="6" t="n">
        <v>46107</v>
      </c>
      <c r="B480" s="3" t="n">
        <v>2026</v>
      </c>
      <c r="C480" s="3" t="inlineStr">
        <is>
          <t>Blupine Energy</t>
        </is>
      </c>
      <c r="D480" s="3" t="inlineStr">
        <is>
          <t>Utility and C&amp;I</t>
        </is>
      </c>
      <c r="E480" s="3" t="n"/>
      <c r="F480" s="3" t="inlineStr">
        <is>
          <t>Closed</t>
        </is>
      </c>
      <c r="G480" s="3" t="inlineStr">
        <is>
          <t>Chandrashekar Patidar</t>
        </is>
      </c>
      <c r="H480" s="3" t="n">
        <v>7879764773</v>
      </c>
      <c r="I480" s="11" t="inlineStr">
        <is>
          <t>PE26032601</t>
        </is>
      </c>
      <c r="J480" s="3" t="inlineStr">
        <is>
          <t>Module Diode Failure</t>
        </is>
      </c>
      <c r="K480" s="3" t="inlineStr">
        <is>
          <t>Sadla</t>
        </is>
      </c>
      <c r="L480" s="3" t="inlineStr">
        <is>
          <t>Gujarat</t>
        </is>
      </c>
      <c r="M480" s="9" t="inlineStr">
        <is>
          <t>Ok</t>
        </is>
      </c>
      <c r="N480" s="3" t="inlineStr">
        <is>
          <t>No Issue</t>
        </is>
      </c>
      <c r="O480" s="3" t="n">
        <v>570</v>
      </c>
      <c r="P480" s="9" t="inlineStr">
        <is>
          <t>NSMI24060094791</t>
        </is>
      </c>
      <c r="Q480" s="53">
        <f>MID(P480,5,2)</f>
        <v/>
      </c>
      <c r="R480" s="53">
        <f>MID(P480,7,2)</f>
        <v/>
      </c>
      <c r="S480" s="3" t="inlineStr">
        <is>
          <t>G2G</t>
        </is>
      </c>
      <c r="T480" s="3" t="inlineStr">
        <is>
          <t>P4</t>
        </is>
      </c>
      <c r="U480" s="19" t="inlineStr">
        <is>
          <t>No Issue Found</t>
        </is>
      </c>
      <c r="V480" s="19" t="inlineStr">
        <is>
          <t>Found OK</t>
        </is>
      </c>
      <c r="W480" s="3" t="inlineStr">
        <is>
          <t>Repair</t>
        </is>
      </c>
      <c r="X480" s="18" t="n">
        <v>46149</v>
      </c>
      <c r="Y480" s="73">
        <f>IF(X480="","",X480-A480)</f>
        <v/>
      </c>
      <c r="Z480" s="18" t="n">
        <v>46149</v>
      </c>
      <c r="AA480" s="15" t="n"/>
      <c r="AB480" s="15" t="n"/>
      <c r="AF480">
        <f>IF(AND($F480="Closed",$X480&gt;=DATE(2026,5,1),$X480&lt;=DATE(2026,5,31)),"Closed in May","Other")</f>
        <v/>
      </c>
    </row>
    <row r="481">
      <c r="A481" s="6" t="n">
        <v>46107</v>
      </c>
      <c r="B481" s="3" t="n">
        <v>2026</v>
      </c>
      <c r="C481" s="3" t="inlineStr">
        <is>
          <t>Blupine Energy</t>
        </is>
      </c>
      <c r="D481" s="3" t="inlineStr">
        <is>
          <t>Utility and C&amp;I</t>
        </is>
      </c>
      <c r="E481" s="3" t="n"/>
      <c r="F481" s="3" t="inlineStr">
        <is>
          <t>Closed</t>
        </is>
      </c>
      <c r="G481" s="3" t="inlineStr">
        <is>
          <t>Chandrashekar Patidar</t>
        </is>
      </c>
      <c r="H481" s="3" t="n">
        <v>7879764773</v>
      </c>
      <c r="I481" s="11" t="inlineStr">
        <is>
          <t>PE26032601</t>
        </is>
      </c>
      <c r="J481" s="3" t="inlineStr">
        <is>
          <t>Module Diode Failure</t>
        </is>
      </c>
      <c r="K481" s="3" t="inlineStr">
        <is>
          <t>Sadla</t>
        </is>
      </c>
      <c r="L481" s="3" t="inlineStr">
        <is>
          <t>Gujarat</t>
        </is>
      </c>
      <c r="M481" s="9" t="inlineStr">
        <is>
          <t>PS</t>
        </is>
      </c>
      <c r="N481" s="3" t="inlineStr">
        <is>
          <t>Cold Soldering</t>
        </is>
      </c>
      <c r="O481" s="3" t="n">
        <v>570</v>
      </c>
      <c r="P481" s="9" t="inlineStr">
        <is>
          <t>NSMI24060091775</t>
        </is>
      </c>
      <c r="Q481" s="53">
        <f>MID(P481,5,2)</f>
        <v/>
      </c>
      <c r="R481" s="53">
        <f>MID(P481,7,2)</f>
        <v/>
      </c>
      <c r="S481" s="3" t="inlineStr">
        <is>
          <t>G2G</t>
        </is>
      </c>
      <c r="T481" s="3" t="inlineStr">
        <is>
          <t>P4</t>
        </is>
      </c>
      <c r="U481" s="3" t="inlineStr">
        <is>
          <t>P JB Cold Soldering</t>
        </is>
      </c>
      <c r="V481" s="3" t="inlineStr">
        <is>
          <t>Soldering</t>
        </is>
      </c>
      <c r="W481" s="3" t="inlineStr">
        <is>
          <t>Repair</t>
        </is>
      </c>
      <c r="X481" s="18" t="n">
        <v>46149</v>
      </c>
      <c r="Y481" s="73">
        <f>IF(X481="","",X481-A481)</f>
        <v/>
      </c>
      <c r="Z481" s="18" t="n">
        <v>46149</v>
      </c>
      <c r="AA481" s="15" t="n"/>
      <c r="AB481" s="15" t="n"/>
      <c r="AF481">
        <f>IF(AND($F481="Closed",$X481&gt;=DATE(2026,5,1),$X481&lt;=DATE(2026,5,31)),"Closed in May","Other")</f>
        <v/>
      </c>
    </row>
    <row r="482">
      <c r="A482" s="6" t="n">
        <v>46107</v>
      </c>
      <c r="B482" s="3" t="n">
        <v>2026</v>
      </c>
      <c r="C482" s="3" t="inlineStr">
        <is>
          <t>Blupine Energy</t>
        </is>
      </c>
      <c r="D482" s="3" t="inlineStr">
        <is>
          <t>Utility and C&amp;I</t>
        </is>
      </c>
      <c r="E482" s="3" t="n"/>
      <c r="F482" s="3" t="inlineStr">
        <is>
          <t>Closed</t>
        </is>
      </c>
      <c r="G482" s="3" t="inlineStr">
        <is>
          <t>Chandrashekar Patidar</t>
        </is>
      </c>
      <c r="H482" s="3" t="n">
        <v>7879764773</v>
      </c>
      <c r="I482" s="11" t="inlineStr">
        <is>
          <t>PE26032601</t>
        </is>
      </c>
      <c r="J482" s="3" t="inlineStr">
        <is>
          <t>Module Diode Failure</t>
        </is>
      </c>
      <c r="K482" s="3" t="inlineStr">
        <is>
          <t>Sadla</t>
        </is>
      </c>
      <c r="L482" s="3" t="inlineStr">
        <is>
          <t>Gujarat</t>
        </is>
      </c>
      <c r="M482" s="9" t="inlineStr">
        <is>
          <t>NS</t>
        </is>
      </c>
      <c r="N482" s="3" t="inlineStr">
        <is>
          <t>Cold Soldering</t>
        </is>
      </c>
      <c r="O482" s="3" t="n">
        <v>570</v>
      </c>
      <c r="P482" s="9" t="inlineStr">
        <is>
          <t>NSMI24060092130</t>
        </is>
      </c>
      <c r="Q482" s="53">
        <f>MID(P482,5,2)</f>
        <v/>
      </c>
      <c r="R482" s="53">
        <f>MID(P482,7,2)</f>
        <v/>
      </c>
      <c r="S482" s="3" t="inlineStr">
        <is>
          <t>G2G</t>
        </is>
      </c>
      <c r="T482" s="3" t="inlineStr">
        <is>
          <t>P4</t>
        </is>
      </c>
      <c r="U482" s="3" t="inlineStr">
        <is>
          <t>N JB Cold Soldering</t>
        </is>
      </c>
      <c r="V482" s="3" t="inlineStr">
        <is>
          <t>Soldering</t>
        </is>
      </c>
      <c r="W482" s="3" t="inlineStr">
        <is>
          <t>Repair</t>
        </is>
      </c>
      <c r="X482" s="18" t="n">
        <v>46149</v>
      </c>
      <c r="Y482" s="73">
        <f>IF(X482="","",X482-A482)</f>
        <v/>
      </c>
      <c r="Z482" s="18" t="n">
        <v>46149</v>
      </c>
      <c r="AA482" s="15" t="n"/>
      <c r="AB482" s="15" t="n"/>
      <c r="AF482">
        <f>IF(AND($F482="Closed",$X482&gt;=DATE(2026,5,1),$X482&lt;=DATE(2026,5,31)),"Closed in May","Other")</f>
        <v/>
      </c>
    </row>
    <row r="483">
      <c r="A483" s="6" t="n">
        <v>46107</v>
      </c>
      <c r="B483" s="3" t="n">
        <v>2026</v>
      </c>
      <c r="C483" s="3" t="inlineStr">
        <is>
          <t>Blupine Energy</t>
        </is>
      </c>
      <c r="D483" s="3" t="inlineStr">
        <is>
          <t>Utility and C&amp;I</t>
        </is>
      </c>
      <c r="E483" s="3" t="n"/>
      <c r="F483" s="3" t="inlineStr">
        <is>
          <t>Closed</t>
        </is>
      </c>
      <c r="G483" s="3" t="inlineStr">
        <is>
          <t>Chandrashekar Patidar</t>
        </is>
      </c>
      <c r="H483" s="3" t="n">
        <v>7879764773</v>
      </c>
      <c r="I483" s="11" t="inlineStr">
        <is>
          <t>PE26032601</t>
        </is>
      </c>
      <c r="J483" s="3" t="inlineStr">
        <is>
          <t>Module Diode Failure</t>
        </is>
      </c>
      <c r="K483" s="3" t="inlineStr">
        <is>
          <t>Sadla</t>
        </is>
      </c>
      <c r="L483" s="3" t="inlineStr">
        <is>
          <t>Gujarat</t>
        </is>
      </c>
      <c r="M483" s="9" t="inlineStr">
        <is>
          <t>PS</t>
        </is>
      </c>
      <c r="N483" s="3" t="inlineStr">
        <is>
          <t>Cold Soldering</t>
        </is>
      </c>
      <c r="O483" s="3" t="n">
        <v>570</v>
      </c>
      <c r="P483" s="9" t="inlineStr">
        <is>
          <t>NSMI24060098140</t>
        </is>
      </c>
      <c r="Q483" s="53">
        <f>MID(P483,5,2)</f>
        <v/>
      </c>
      <c r="R483" s="53">
        <f>MID(P483,7,2)</f>
        <v/>
      </c>
      <c r="S483" s="3" t="inlineStr">
        <is>
          <t>G2G</t>
        </is>
      </c>
      <c r="T483" s="3" t="inlineStr">
        <is>
          <t>P4</t>
        </is>
      </c>
      <c r="U483" s="3" t="inlineStr">
        <is>
          <t>P JB Cold Soldering</t>
        </is>
      </c>
      <c r="V483" s="3" t="inlineStr">
        <is>
          <t>Soldering</t>
        </is>
      </c>
      <c r="W483" s="3" t="inlineStr">
        <is>
          <t>Repair</t>
        </is>
      </c>
      <c r="X483" s="18" t="n">
        <v>46149</v>
      </c>
      <c r="Y483" s="73">
        <f>IF(X483="","",X483-A483)</f>
        <v/>
      </c>
      <c r="Z483" s="18" t="n">
        <v>46149</v>
      </c>
      <c r="AA483" s="15" t="n"/>
      <c r="AB483" s="15" t="n"/>
      <c r="AF483">
        <f>IF(AND($F483="Closed",$X483&gt;=DATE(2026,5,1),$X483&lt;=DATE(2026,5,31)),"Closed in May","Other")</f>
        <v/>
      </c>
    </row>
    <row r="484">
      <c r="A484" s="6" t="n">
        <v>46107</v>
      </c>
      <c r="B484" s="3" t="n">
        <v>2026</v>
      </c>
      <c r="C484" s="3" t="inlineStr">
        <is>
          <t>Blupine Energy</t>
        </is>
      </c>
      <c r="D484" s="3" t="inlineStr">
        <is>
          <t>Utility and C&amp;I</t>
        </is>
      </c>
      <c r="E484" s="3" t="n"/>
      <c r="F484" s="3" t="inlineStr">
        <is>
          <t>Closed</t>
        </is>
      </c>
      <c r="G484" s="3" t="inlineStr">
        <is>
          <t>Chandrashekar Patidar</t>
        </is>
      </c>
      <c r="H484" s="3" t="n">
        <v>7879764773</v>
      </c>
      <c r="I484" s="11" t="inlineStr">
        <is>
          <t>PE26032601</t>
        </is>
      </c>
      <c r="J484" s="3" t="inlineStr">
        <is>
          <t>Module Diode Failure</t>
        </is>
      </c>
      <c r="K484" s="3" t="inlineStr">
        <is>
          <t>Sadla</t>
        </is>
      </c>
      <c r="L484" s="3" t="inlineStr">
        <is>
          <t>Gujarat</t>
        </is>
      </c>
      <c r="M484" s="9" t="inlineStr">
        <is>
          <t>NS</t>
        </is>
      </c>
      <c r="N484" s="3" t="inlineStr">
        <is>
          <t>Cold Soldering</t>
        </is>
      </c>
      <c r="O484" s="3" t="n">
        <v>570</v>
      </c>
      <c r="P484" s="9" t="inlineStr">
        <is>
          <t>NSMI24060098365</t>
        </is>
      </c>
      <c r="Q484" s="53">
        <f>MID(P484,5,2)</f>
        <v/>
      </c>
      <c r="R484" s="53">
        <f>MID(P484,7,2)</f>
        <v/>
      </c>
      <c r="S484" s="3" t="inlineStr">
        <is>
          <t>G2G</t>
        </is>
      </c>
      <c r="T484" s="3" t="inlineStr">
        <is>
          <t>P4</t>
        </is>
      </c>
      <c r="U484" s="3" t="inlineStr">
        <is>
          <t>N JB Cold Soldering</t>
        </is>
      </c>
      <c r="V484" s="3" t="inlineStr">
        <is>
          <t>Soldering</t>
        </is>
      </c>
      <c r="W484" s="3" t="inlineStr">
        <is>
          <t>Repair</t>
        </is>
      </c>
      <c r="X484" s="18" t="n">
        <v>46149</v>
      </c>
      <c r="Y484" s="73">
        <f>IF(X484="","",X484-A484)</f>
        <v/>
      </c>
      <c r="Z484" s="18" t="n">
        <v>46149</v>
      </c>
      <c r="AA484" s="15" t="n"/>
      <c r="AB484" s="15" t="n"/>
      <c r="AF484">
        <f>IF(AND($F484="Closed",$X484&gt;=DATE(2026,5,1),$X484&lt;=DATE(2026,5,31)),"Closed in May","Other")</f>
        <v/>
      </c>
    </row>
    <row r="485">
      <c r="A485" s="6" t="n">
        <v>46107</v>
      </c>
      <c r="B485" s="3" t="n">
        <v>2026</v>
      </c>
      <c r="C485" s="3" t="inlineStr">
        <is>
          <t>Blupine Energy</t>
        </is>
      </c>
      <c r="D485" s="3" t="inlineStr">
        <is>
          <t>Utility and C&amp;I</t>
        </is>
      </c>
      <c r="E485" s="3" t="n"/>
      <c r="F485" s="3" t="inlineStr">
        <is>
          <t>Closed</t>
        </is>
      </c>
      <c r="G485" s="3" t="inlineStr">
        <is>
          <t>Chandrashekar Patidar</t>
        </is>
      </c>
      <c r="H485" s="3" t="n">
        <v>7879764773</v>
      </c>
      <c r="I485" s="11" t="inlineStr">
        <is>
          <t>PE26032601</t>
        </is>
      </c>
      <c r="J485" s="3" t="inlineStr">
        <is>
          <t>Module Diode Failure</t>
        </is>
      </c>
      <c r="K485" s="3" t="inlineStr">
        <is>
          <t>Sadla</t>
        </is>
      </c>
      <c r="L485" s="3" t="inlineStr">
        <is>
          <t>Gujarat</t>
        </is>
      </c>
      <c r="M485" s="9" t="inlineStr">
        <is>
          <t>PS</t>
        </is>
      </c>
      <c r="N485" s="3" t="inlineStr">
        <is>
          <t>Cold Soldering</t>
        </is>
      </c>
      <c r="O485" s="3" t="n">
        <v>570</v>
      </c>
      <c r="P485" s="9" t="inlineStr">
        <is>
          <t>NSMI24060091271</t>
        </is>
      </c>
      <c r="Q485" s="53">
        <f>MID(P485,5,2)</f>
        <v/>
      </c>
      <c r="R485" s="53">
        <f>MID(P485,7,2)</f>
        <v/>
      </c>
      <c r="S485" s="3" t="inlineStr">
        <is>
          <t>G2G</t>
        </is>
      </c>
      <c r="T485" s="3" t="inlineStr">
        <is>
          <t>P4</t>
        </is>
      </c>
      <c r="U485" s="3" t="inlineStr">
        <is>
          <t>P JB Cold Soldering</t>
        </is>
      </c>
      <c r="V485" s="3" t="inlineStr">
        <is>
          <t>Soldering</t>
        </is>
      </c>
      <c r="W485" s="3" t="inlineStr">
        <is>
          <t>Repair</t>
        </is>
      </c>
      <c r="X485" s="18" t="n">
        <v>46149</v>
      </c>
      <c r="Y485" s="73">
        <f>IF(X485="","",X485-A485)</f>
        <v/>
      </c>
      <c r="Z485" s="18" t="n">
        <v>46149</v>
      </c>
      <c r="AA485" s="15" t="n"/>
      <c r="AB485" s="15" t="n"/>
      <c r="AF485">
        <f>IF(AND($F485="Closed",$X485&gt;=DATE(2026,5,1),$X485&lt;=DATE(2026,5,31)),"Closed in May","Other")</f>
        <v/>
      </c>
    </row>
    <row r="486">
      <c r="A486" s="6" t="n">
        <v>46107</v>
      </c>
      <c r="B486" s="3" t="n">
        <v>2026</v>
      </c>
      <c r="C486" s="3" t="inlineStr">
        <is>
          <t>Blupine Energy</t>
        </is>
      </c>
      <c r="D486" s="3" t="inlineStr">
        <is>
          <t>Utility and C&amp;I</t>
        </is>
      </c>
      <c r="E486" s="3" t="n"/>
      <c r="F486" s="3" t="inlineStr">
        <is>
          <t>Closed</t>
        </is>
      </c>
      <c r="G486" s="3" t="inlineStr">
        <is>
          <t>Chandrashekar Patidar</t>
        </is>
      </c>
      <c r="H486" s="3" t="n">
        <v>7879764773</v>
      </c>
      <c r="I486" s="11" t="inlineStr">
        <is>
          <t>PE26032601</t>
        </is>
      </c>
      <c r="J486" s="3" t="inlineStr">
        <is>
          <t>Module Diode Failure</t>
        </is>
      </c>
      <c r="K486" s="3" t="inlineStr">
        <is>
          <t>Sadla</t>
        </is>
      </c>
      <c r="L486" s="3" t="inlineStr">
        <is>
          <t>Gujarat</t>
        </is>
      </c>
      <c r="M486" s="9" t="inlineStr">
        <is>
          <t>NS</t>
        </is>
      </c>
      <c r="N486" s="3" t="inlineStr">
        <is>
          <t>Cold Soldering</t>
        </is>
      </c>
      <c r="O486" s="3" t="n">
        <v>570</v>
      </c>
      <c r="P486" s="9" t="inlineStr">
        <is>
          <t>NSMI24060100383</t>
        </is>
      </c>
      <c r="Q486" s="53">
        <f>MID(P486,5,2)</f>
        <v/>
      </c>
      <c r="R486" s="53">
        <f>MID(P486,7,2)</f>
        <v/>
      </c>
      <c r="S486" s="3" t="inlineStr">
        <is>
          <t>G2G</t>
        </is>
      </c>
      <c r="T486" s="3" t="inlineStr">
        <is>
          <t>P4</t>
        </is>
      </c>
      <c r="U486" s="3" t="inlineStr">
        <is>
          <t>N JB Cold Soldering</t>
        </is>
      </c>
      <c r="V486" s="3" t="inlineStr">
        <is>
          <t>Soldering</t>
        </is>
      </c>
      <c r="W486" s="3" t="inlineStr">
        <is>
          <t>Repair</t>
        </is>
      </c>
      <c r="X486" s="18" t="n">
        <v>46149</v>
      </c>
      <c r="Y486" s="73">
        <f>IF(X486="","",X486-A486)</f>
        <v/>
      </c>
      <c r="Z486" s="18" t="n">
        <v>46149</v>
      </c>
      <c r="AA486" s="15" t="n"/>
      <c r="AB486" s="15" t="n"/>
      <c r="AF486">
        <f>IF(AND($F486="Closed",$X486&gt;=DATE(2026,5,1),$X486&lt;=DATE(2026,5,31)),"Closed in May","Other")</f>
        <v/>
      </c>
    </row>
    <row r="487">
      <c r="A487" s="6" t="n">
        <v>46107</v>
      </c>
      <c r="B487" s="3" t="n">
        <v>2026</v>
      </c>
      <c r="C487" s="3" t="inlineStr">
        <is>
          <t>Blupine Energy</t>
        </is>
      </c>
      <c r="D487" s="3" t="inlineStr">
        <is>
          <t>Utility and C&amp;I</t>
        </is>
      </c>
      <c r="E487" s="3" t="n"/>
      <c r="F487" s="3" t="inlineStr">
        <is>
          <t>Closed</t>
        </is>
      </c>
      <c r="G487" s="3" t="inlineStr">
        <is>
          <t>Chandrashekar Patidar</t>
        </is>
      </c>
      <c r="H487" s="3" t="n">
        <v>7879764773</v>
      </c>
      <c r="I487" s="11" t="inlineStr">
        <is>
          <t>PE26032601</t>
        </is>
      </c>
      <c r="J487" s="3" t="inlineStr">
        <is>
          <t>Module Diode Failure</t>
        </is>
      </c>
      <c r="K487" s="3" t="inlineStr">
        <is>
          <t>Sadla</t>
        </is>
      </c>
      <c r="L487" s="3" t="inlineStr">
        <is>
          <t>Gujarat</t>
        </is>
      </c>
      <c r="M487" s="9" t="inlineStr">
        <is>
          <t>NS</t>
        </is>
      </c>
      <c r="N487" s="3" t="inlineStr">
        <is>
          <t>Cold Soldering</t>
        </is>
      </c>
      <c r="O487" s="3" t="n">
        <v>570</v>
      </c>
      <c r="P487" s="9" t="inlineStr">
        <is>
          <t>NSMI24060115745</t>
        </is>
      </c>
      <c r="Q487" s="53">
        <f>MID(P487,5,2)</f>
        <v/>
      </c>
      <c r="R487" s="53">
        <f>MID(P487,7,2)</f>
        <v/>
      </c>
      <c r="S487" s="3" t="inlineStr">
        <is>
          <t>G2G</t>
        </is>
      </c>
      <c r="T487" s="3" t="inlineStr">
        <is>
          <t>P4</t>
        </is>
      </c>
      <c r="U487" s="3" t="inlineStr">
        <is>
          <t>N JB Cold Soldering</t>
        </is>
      </c>
      <c r="V487" s="3" t="inlineStr">
        <is>
          <t>Soldering</t>
        </is>
      </c>
      <c r="W487" s="3" t="inlineStr">
        <is>
          <t>Repair</t>
        </is>
      </c>
      <c r="X487" s="18" t="n">
        <v>46149</v>
      </c>
      <c r="Y487" s="73">
        <f>IF(X487="","",X487-A487)</f>
        <v/>
      </c>
      <c r="Z487" s="18" t="n">
        <v>46149</v>
      </c>
      <c r="AA487" s="15" t="n"/>
      <c r="AB487" s="15" t="n"/>
      <c r="AF487">
        <f>IF(AND($F487="Closed",$X487&gt;=DATE(2026,5,1),$X487&lt;=DATE(2026,5,31)),"Closed in May","Other")</f>
        <v/>
      </c>
    </row>
    <row r="488">
      <c r="A488" s="6" t="n">
        <v>46107</v>
      </c>
      <c r="B488" s="3" t="n">
        <v>2026</v>
      </c>
      <c r="C488" s="3" t="inlineStr">
        <is>
          <t>Blupine Energy</t>
        </is>
      </c>
      <c r="D488" s="3" t="inlineStr">
        <is>
          <t>Utility and C&amp;I</t>
        </is>
      </c>
      <c r="E488" s="3" t="n"/>
      <c r="F488" s="3" t="inlineStr">
        <is>
          <t>Closed</t>
        </is>
      </c>
      <c r="G488" s="3" t="inlineStr">
        <is>
          <t>Chandrashekar Patidar</t>
        </is>
      </c>
      <c r="H488" s="3" t="n">
        <v>7879764773</v>
      </c>
      <c r="I488" s="11" t="inlineStr">
        <is>
          <t>PE26032601</t>
        </is>
      </c>
      <c r="J488" s="3" t="inlineStr">
        <is>
          <t>Module Diode Failure</t>
        </is>
      </c>
      <c r="K488" s="3" t="inlineStr">
        <is>
          <t>Sadla</t>
        </is>
      </c>
      <c r="L488" s="3" t="inlineStr">
        <is>
          <t>Gujarat</t>
        </is>
      </c>
      <c r="M488" s="9" t="inlineStr">
        <is>
          <t>PS</t>
        </is>
      </c>
      <c r="N488" s="3" t="inlineStr">
        <is>
          <t>Cold Soldering</t>
        </is>
      </c>
      <c r="O488" s="3" t="n">
        <v>570</v>
      </c>
      <c r="P488" s="9" t="inlineStr">
        <is>
          <t>NSMI24050046586</t>
        </is>
      </c>
      <c r="Q488" s="53">
        <f>MID(P488,5,2)</f>
        <v/>
      </c>
      <c r="R488" s="53">
        <f>MID(P488,7,2)</f>
        <v/>
      </c>
      <c r="S488" s="3" t="inlineStr">
        <is>
          <t>G2G</t>
        </is>
      </c>
      <c r="T488" s="3" t="inlineStr">
        <is>
          <t>P4</t>
        </is>
      </c>
      <c r="U488" s="3" t="inlineStr">
        <is>
          <t>P JB Cold Soldering</t>
        </is>
      </c>
      <c r="V488" s="3" t="inlineStr">
        <is>
          <t>Soldering</t>
        </is>
      </c>
      <c r="W488" s="3" t="inlineStr">
        <is>
          <t>Repair</t>
        </is>
      </c>
      <c r="X488" s="18" t="n">
        <v>46149</v>
      </c>
      <c r="Y488" s="73">
        <f>IF(X488="","",X488-A488)</f>
        <v/>
      </c>
      <c r="Z488" s="18" t="n">
        <v>46149</v>
      </c>
      <c r="AA488" s="15" t="n"/>
      <c r="AB488" s="15" t="n"/>
      <c r="AF488">
        <f>IF(AND($F488="Closed",$X488&gt;=DATE(2026,5,1),$X488&lt;=DATE(2026,5,31)),"Closed in May","Other")</f>
        <v/>
      </c>
    </row>
    <row r="489">
      <c r="A489" s="6" t="n">
        <v>46107</v>
      </c>
      <c r="B489" s="3" t="n">
        <v>2026</v>
      </c>
      <c r="C489" s="3" t="inlineStr">
        <is>
          <t>Blupine Energy</t>
        </is>
      </c>
      <c r="D489" s="3" t="inlineStr">
        <is>
          <t>Utility and C&amp;I</t>
        </is>
      </c>
      <c r="E489" s="3" t="n"/>
      <c r="F489" s="3" t="inlineStr">
        <is>
          <t>Closed</t>
        </is>
      </c>
      <c r="G489" s="3" t="inlineStr">
        <is>
          <t>Chandrashekar Patidar</t>
        </is>
      </c>
      <c r="H489" s="3" t="n">
        <v>7879764773</v>
      </c>
      <c r="I489" s="11" t="inlineStr">
        <is>
          <t>PE26032601</t>
        </is>
      </c>
      <c r="J489" s="3" t="inlineStr">
        <is>
          <t>Module Diode Failure</t>
        </is>
      </c>
      <c r="K489" s="3" t="inlineStr">
        <is>
          <t>Sadla</t>
        </is>
      </c>
      <c r="L489" s="3" t="inlineStr">
        <is>
          <t>Gujarat</t>
        </is>
      </c>
      <c r="M489" s="9" t="inlineStr">
        <is>
          <t>NS</t>
        </is>
      </c>
      <c r="N489" s="3" t="inlineStr">
        <is>
          <t>Cold Soldering</t>
        </is>
      </c>
      <c r="O489" s="3" t="n">
        <v>570</v>
      </c>
      <c r="P489" s="9" t="inlineStr">
        <is>
          <t>NSMI24060104504</t>
        </is>
      </c>
      <c r="Q489" s="53">
        <f>MID(P489,5,2)</f>
        <v/>
      </c>
      <c r="R489" s="53">
        <f>MID(P489,7,2)</f>
        <v/>
      </c>
      <c r="S489" s="3" t="inlineStr">
        <is>
          <t>G2G</t>
        </is>
      </c>
      <c r="T489" s="3" t="inlineStr">
        <is>
          <t>P4</t>
        </is>
      </c>
      <c r="U489" s="3" t="inlineStr">
        <is>
          <t>N JB Cold Soldering</t>
        </is>
      </c>
      <c r="V489" s="3" t="inlineStr">
        <is>
          <t>Soldering</t>
        </is>
      </c>
      <c r="W489" s="3" t="inlineStr">
        <is>
          <t>Repair</t>
        </is>
      </c>
      <c r="X489" s="18" t="n">
        <v>46149</v>
      </c>
      <c r="Y489" s="73">
        <f>IF(X489="","",X489-A489)</f>
        <v/>
      </c>
      <c r="Z489" s="18" t="n">
        <v>46149</v>
      </c>
      <c r="AA489" s="15" t="n"/>
      <c r="AB489" s="15" t="n"/>
      <c r="AF489">
        <f>IF(AND($F489="Closed",$X489&gt;=DATE(2026,5,1),$X489&lt;=DATE(2026,5,31)),"Closed in May","Other")</f>
        <v/>
      </c>
    </row>
    <row r="490">
      <c r="A490" s="6" t="n">
        <v>46107</v>
      </c>
      <c r="B490" s="3" t="n">
        <v>2026</v>
      </c>
      <c r="C490" s="3" t="inlineStr">
        <is>
          <t>Blupine Energy</t>
        </is>
      </c>
      <c r="D490" s="3" t="inlineStr">
        <is>
          <t>Utility and C&amp;I</t>
        </is>
      </c>
      <c r="E490" s="3" t="n"/>
      <c r="F490" s="3" t="inlineStr">
        <is>
          <t>Closed</t>
        </is>
      </c>
      <c r="G490" s="3" t="inlineStr">
        <is>
          <t>Chandrashekar Patidar</t>
        </is>
      </c>
      <c r="H490" s="3" t="n">
        <v>7879764773</v>
      </c>
      <c r="I490" s="11" t="inlineStr">
        <is>
          <t>PE26032601</t>
        </is>
      </c>
      <c r="J490" s="3" t="inlineStr">
        <is>
          <t>Module Diode Failure</t>
        </is>
      </c>
      <c r="K490" s="3" t="inlineStr">
        <is>
          <t>Sadla</t>
        </is>
      </c>
      <c r="L490" s="3" t="inlineStr">
        <is>
          <t>Gujarat</t>
        </is>
      </c>
      <c r="M490" s="9" t="inlineStr">
        <is>
          <t>NS</t>
        </is>
      </c>
      <c r="N490" s="3" t="inlineStr">
        <is>
          <t>Cold Soldering</t>
        </is>
      </c>
      <c r="O490" s="3" t="n">
        <v>570</v>
      </c>
      <c r="P490" s="9" t="inlineStr">
        <is>
          <t>NSMI24060115428</t>
        </is>
      </c>
      <c r="Q490" s="53">
        <f>MID(P490,5,2)</f>
        <v/>
      </c>
      <c r="R490" s="53">
        <f>MID(P490,7,2)</f>
        <v/>
      </c>
      <c r="S490" s="3" t="inlineStr">
        <is>
          <t>G2G</t>
        </is>
      </c>
      <c r="T490" s="3" t="inlineStr">
        <is>
          <t>P4</t>
        </is>
      </c>
      <c r="U490" s="3" t="inlineStr">
        <is>
          <t>N JB Cold Soldering</t>
        </is>
      </c>
      <c r="V490" s="3" t="inlineStr">
        <is>
          <t>Soldering</t>
        </is>
      </c>
      <c r="W490" s="3" t="inlineStr">
        <is>
          <t>Repair</t>
        </is>
      </c>
      <c r="X490" s="18" t="n">
        <v>46149</v>
      </c>
      <c r="Y490" s="73">
        <f>IF(X490="","",X490-A490)</f>
        <v/>
      </c>
      <c r="Z490" s="18" t="n">
        <v>46149</v>
      </c>
      <c r="AA490" s="15" t="n"/>
      <c r="AB490" s="15" t="n"/>
      <c r="AF490">
        <f>IF(AND($F490="Closed",$X490&gt;=DATE(2026,5,1),$X490&lt;=DATE(2026,5,31)),"Closed in May","Other")</f>
        <v/>
      </c>
    </row>
    <row r="491">
      <c r="A491" s="6" t="n">
        <v>46107</v>
      </c>
      <c r="B491" s="3" t="n">
        <v>2026</v>
      </c>
      <c r="C491" s="3" t="inlineStr">
        <is>
          <t>Blupine Energy</t>
        </is>
      </c>
      <c r="D491" s="3" t="inlineStr">
        <is>
          <t>Utility and C&amp;I</t>
        </is>
      </c>
      <c r="E491" s="3" t="n"/>
      <c r="F491" s="3" t="inlineStr">
        <is>
          <t>Closed</t>
        </is>
      </c>
      <c r="G491" s="3" t="inlineStr">
        <is>
          <t>Chandrashekar Patidar</t>
        </is>
      </c>
      <c r="H491" s="3" t="n">
        <v>7879764773</v>
      </c>
      <c r="I491" s="11" t="inlineStr">
        <is>
          <t>PE26032601</t>
        </is>
      </c>
      <c r="J491" s="3" t="inlineStr">
        <is>
          <t>Module Diode Failure</t>
        </is>
      </c>
      <c r="K491" s="3" t="inlineStr">
        <is>
          <t>Sadla</t>
        </is>
      </c>
      <c r="L491" s="3" t="inlineStr">
        <is>
          <t>Gujarat</t>
        </is>
      </c>
      <c r="M491" s="9" t="inlineStr">
        <is>
          <t>PS</t>
        </is>
      </c>
      <c r="N491" s="3" t="inlineStr">
        <is>
          <t>Cold Soldering</t>
        </is>
      </c>
      <c r="O491" s="3" t="n">
        <v>570</v>
      </c>
      <c r="P491" s="9" t="inlineStr">
        <is>
          <t>NSMI24060077583</t>
        </is>
      </c>
      <c r="Q491" s="53">
        <f>MID(P491,5,2)</f>
        <v/>
      </c>
      <c r="R491" s="53">
        <f>MID(P491,7,2)</f>
        <v/>
      </c>
      <c r="S491" s="3" t="inlineStr">
        <is>
          <t>G2G</t>
        </is>
      </c>
      <c r="T491" s="3" t="inlineStr">
        <is>
          <t>P4</t>
        </is>
      </c>
      <c r="U491" s="3" t="inlineStr">
        <is>
          <t>P JB Cold Soldering</t>
        </is>
      </c>
      <c r="V491" s="3" t="inlineStr">
        <is>
          <t>Soldering</t>
        </is>
      </c>
      <c r="W491" s="3" t="inlineStr">
        <is>
          <t>Repair</t>
        </is>
      </c>
      <c r="X491" s="18" t="n">
        <v>46149</v>
      </c>
      <c r="Y491" s="73">
        <f>IF(X491="","",X491-A491)</f>
        <v/>
      </c>
      <c r="Z491" s="18" t="n">
        <v>46149</v>
      </c>
      <c r="AA491" s="15" t="n"/>
      <c r="AB491" s="15" t="n"/>
      <c r="AF491">
        <f>IF(AND($F491="Closed",$X491&gt;=DATE(2026,5,1),$X491&lt;=DATE(2026,5,31)),"Closed in May","Other")</f>
        <v/>
      </c>
    </row>
    <row r="492">
      <c r="A492" s="6" t="n">
        <v>46107</v>
      </c>
      <c r="B492" s="3" t="n">
        <v>2026</v>
      </c>
      <c r="C492" s="3" t="inlineStr">
        <is>
          <t>Blupine Energy</t>
        </is>
      </c>
      <c r="D492" s="3" t="inlineStr">
        <is>
          <t>Utility and C&amp;I</t>
        </is>
      </c>
      <c r="E492" s="3" t="n"/>
      <c r="F492" s="3" t="inlineStr">
        <is>
          <t>Closed</t>
        </is>
      </c>
      <c r="G492" s="3" t="inlineStr">
        <is>
          <t>Chandrashekar Patidar</t>
        </is>
      </c>
      <c r="H492" s="3" t="n">
        <v>7879764773</v>
      </c>
      <c r="I492" s="11" t="inlineStr">
        <is>
          <t>PE26032601</t>
        </is>
      </c>
      <c r="J492" s="3" t="inlineStr">
        <is>
          <t>Module Diode Failure</t>
        </is>
      </c>
      <c r="K492" s="3" t="inlineStr">
        <is>
          <t>Sadla</t>
        </is>
      </c>
      <c r="L492" s="3" t="inlineStr">
        <is>
          <t>Gujarat</t>
        </is>
      </c>
      <c r="M492" s="9" t="inlineStr">
        <is>
          <t>PS</t>
        </is>
      </c>
      <c r="N492" s="3" t="inlineStr">
        <is>
          <t>Cold Soldering</t>
        </is>
      </c>
      <c r="O492" s="3" t="n">
        <v>570</v>
      </c>
      <c r="P492" s="9" t="inlineStr">
        <is>
          <t>NSMI24060077564</t>
        </is>
      </c>
      <c r="Q492" s="53">
        <f>MID(P492,5,2)</f>
        <v/>
      </c>
      <c r="R492" s="53">
        <f>MID(P492,7,2)</f>
        <v/>
      </c>
      <c r="S492" s="3" t="inlineStr">
        <is>
          <t>G2G</t>
        </is>
      </c>
      <c r="T492" s="3" t="inlineStr">
        <is>
          <t>P4</t>
        </is>
      </c>
      <c r="U492" s="3" t="inlineStr">
        <is>
          <t>P JB Cold Soldering</t>
        </is>
      </c>
      <c r="V492" s="3" t="inlineStr">
        <is>
          <t>Soldering</t>
        </is>
      </c>
      <c r="W492" s="3" t="inlineStr">
        <is>
          <t>Repair</t>
        </is>
      </c>
      <c r="X492" s="18" t="n">
        <v>46149</v>
      </c>
      <c r="Y492" s="73">
        <f>IF(X492="","",X492-A492)</f>
        <v/>
      </c>
      <c r="Z492" s="18" t="n">
        <v>46149</v>
      </c>
      <c r="AA492" s="15" t="n"/>
      <c r="AB492" s="15" t="n"/>
      <c r="AF492">
        <f>IF(AND($F492="Closed",$X492&gt;=DATE(2026,5,1),$X492&lt;=DATE(2026,5,31)),"Closed in May","Other")</f>
        <v/>
      </c>
    </row>
    <row r="493">
      <c r="A493" s="6" t="n">
        <v>46107</v>
      </c>
      <c r="B493" s="3" t="n">
        <v>2026</v>
      </c>
      <c r="C493" s="3" t="inlineStr">
        <is>
          <t>Blupine Energy</t>
        </is>
      </c>
      <c r="D493" s="3" t="inlineStr">
        <is>
          <t>Utility and C&amp;I</t>
        </is>
      </c>
      <c r="E493" s="3" t="n"/>
      <c r="F493" s="3" t="inlineStr">
        <is>
          <t>Closed</t>
        </is>
      </c>
      <c r="G493" s="3" t="inlineStr">
        <is>
          <t>Chandrashekar Patidar</t>
        </is>
      </c>
      <c r="H493" s="3" t="n">
        <v>7879764773</v>
      </c>
      <c r="I493" s="11" t="inlineStr">
        <is>
          <t>PE26032601</t>
        </is>
      </c>
      <c r="J493" s="3" t="inlineStr">
        <is>
          <t>Module Diode Failure</t>
        </is>
      </c>
      <c r="K493" s="3" t="inlineStr">
        <is>
          <t>Sadla</t>
        </is>
      </c>
      <c r="L493" s="3" t="inlineStr">
        <is>
          <t>Gujarat</t>
        </is>
      </c>
      <c r="M493" s="9" t="inlineStr">
        <is>
          <t>PS</t>
        </is>
      </c>
      <c r="N493" s="3" t="inlineStr">
        <is>
          <t>Cold Soldering</t>
        </is>
      </c>
      <c r="O493" s="3" t="n">
        <v>570</v>
      </c>
      <c r="P493" s="9" t="inlineStr">
        <is>
          <t>NSMI24060093837</t>
        </is>
      </c>
      <c r="Q493" s="53">
        <f>MID(P493,5,2)</f>
        <v/>
      </c>
      <c r="R493" s="53">
        <f>MID(P493,7,2)</f>
        <v/>
      </c>
      <c r="S493" s="3" t="inlineStr">
        <is>
          <t>G2G</t>
        </is>
      </c>
      <c r="T493" s="3" t="inlineStr">
        <is>
          <t>P4</t>
        </is>
      </c>
      <c r="U493" s="3" t="inlineStr">
        <is>
          <t>P JB Cold Soldering</t>
        </is>
      </c>
      <c r="V493" s="3" t="inlineStr">
        <is>
          <t>Soldering</t>
        </is>
      </c>
      <c r="W493" s="3" t="inlineStr">
        <is>
          <t>Repair</t>
        </is>
      </c>
      <c r="X493" s="18" t="n">
        <v>46149</v>
      </c>
      <c r="Y493" s="73">
        <f>IF(X493="","",X493-A493)</f>
        <v/>
      </c>
      <c r="Z493" s="18" t="n">
        <v>46149</v>
      </c>
      <c r="AA493" s="15" t="n"/>
      <c r="AB493" s="15" t="n"/>
      <c r="AF493">
        <f>IF(AND($F493="Closed",$X493&gt;=DATE(2026,5,1),$X493&lt;=DATE(2026,5,31)),"Closed in May","Other")</f>
        <v/>
      </c>
    </row>
    <row r="494">
      <c r="A494" s="6" t="n">
        <v>46107</v>
      </c>
      <c r="B494" s="3" t="n">
        <v>2026</v>
      </c>
      <c r="C494" s="3" t="inlineStr">
        <is>
          <t>Blupine Energy</t>
        </is>
      </c>
      <c r="D494" s="3" t="inlineStr">
        <is>
          <t>Utility and C&amp;I</t>
        </is>
      </c>
      <c r="E494" s="3" t="n"/>
      <c r="F494" s="3" t="inlineStr">
        <is>
          <t>Closed</t>
        </is>
      </c>
      <c r="G494" s="3" t="inlineStr">
        <is>
          <t>Chandrashekar Patidar</t>
        </is>
      </c>
      <c r="H494" s="3" t="n">
        <v>7879764773</v>
      </c>
      <c r="I494" s="11" t="inlineStr">
        <is>
          <t>PE26032601</t>
        </is>
      </c>
      <c r="J494" s="3" t="inlineStr">
        <is>
          <t>Module Diode Failure</t>
        </is>
      </c>
      <c r="K494" s="3" t="inlineStr">
        <is>
          <t>Sadla</t>
        </is>
      </c>
      <c r="L494" s="3" t="inlineStr">
        <is>
          <t>Gujarat</t>
        </is>
      </c>
      <c r="M494" s="9" t="inlineStr">
        <is>
          <t>PS</t>
        </is>
      </c>
      <c r="N494" s="3" t="inlineStr">
        <is>
          <t>Cold Soldering</t>
        </is>
      </c>
      <c r="O494" s="3" t="n">
        <v>570</v>
      </c>
      <c r="P494" s="9" t="inlineStr">
        <is>
          <t>NSMI24060093843</t>
        </is>
      </c>
      <c r="Q494" s="53">
        <f>MID(P494,5,2)</f>
        <v/>
      </c>
      <c r="R494" s="53">
        <f>MID(P494,7,2)</f>
        <v/>
      </c>
      <c r="S494" s="3" t="inlineStr">
        <is>
          <t>G2G</t>
        </is>
      </c>
      <c r="T494" s="3" t="inlineStr">
        <is>
          <t>P4</t>
        </is>
      </c>
      <c r="U494" s="3" t="inlineStr">
        <is>
          <t>P JB Cold Soldering</t>
        </is>
      </c>
      <c r="V494" s="3" t="inlineStr">
        <is>
          <t>Soldering</t>
        </is>
      </c>
      <c r="W494" s="3" t="inlineStr">
        <is>
          <t>Repair</t>
        </is>
      </c>
      <c r="X494" s="18" t="n">
        <v>46149</v>
      </c>
      <c r="Y494" s="73">
        <f>IF(X494="","",X494-A494)</f>
        <v/>
      </c>
      <c r="Z494" s="18" t="n">
        <v>46149</v>
      </c>
      <c r="AA494" s="15" t="n"/>
      <c r="AB494" s="15" t="n"/>
      <c r="AF494">
        <f>IF(AND($F494="Closed",$X494&gt;=DATE(2026,5,1),$X494&lt;=DATE(2026,5,31)),"Closed in May","Other")</f>
        <v/>
      </c>
    </row>
    <row r="495">
      <c r="A495" s="6" t="n">
        <v>46107</v>
      </c>
      <c r="B495" s="3" t="n">
        <v>2026</v>
      </c>
      <c r="C495" s="3" t="inlineStr">
        <is>
          <t>Blupine Energy</t>
        </is>
      </c>
      <c r="D495" s="3" t="inlineStr">
        <is>
          <t>Utility and C&amp;I</t>
        </is>
      </c>
      <c r="E495" s="3" t="n"/>
      <c r="F495" s="3" t="inlineStr">
        <is>
          <t>Closed</t>
        </is>
      </c>
      <c r="G495" s="3" t="inlineStr">
        <is>
          <t>Chandrashekar Patidar</t>
        </is>
      </c>
      <c r="H495" s="3" t="n">
        <v>7879764773</v>
      </c>
      <c r="I495" s="11" t="inlineStr">
        <is>
          <t>PE26032601</t>
        </is>
      </c>
      <c r="J495" s="3" t="inlineStr">
        <is>
          <t>Module Diode Failure</t>
        </is>
      </c>
      <c r="K495" s="3" t="inlineStr">
        <is>
          <t>Sadla</t>
        </is>
      </c>
      <c r="L495" s="3" t="inlineStr">
        <is>
          <t>Gujarat</t>
        </is>
      </c>
      <c r="M495" s="9" t="inlineStr">
        <is>
          <t>NS</t>
        </is>
      </c>
      <c r="N495" s="3" t="inlineStr">
        <is>
          <t>Cold Soldering</t>
        </is>
      </c>
      <c r="O495" s="3" t="n">
        <v>570</v>
      </c>
      <c r="P495" s="9" t="inlineStr">
        <is>
          <t>NSMI24050066772</t>
        </is>
      </c>
      <c r="Q495" s="53">
        <f>MID(P495,5,2)</f>
        <v/>
      </c>
      <c r="R495" s="53">
        <f>MID(P495,7,2)</f>
        <v/>
      </c>
      <c r="S495" s="3" t="inlineStr">
        <is>
          <t>G2G</t>
        </is>
      </c>
      <c r="T495" s="3" t="inlineStr">
        <is>
          <t>P4</t>
        </is>
      </c>
      <c r="U495" s="3" t="inlineStr">
        <is>
          <t>N JB Cold Soldering</t>
        </is>
      </c>
      <c r="V495" s="3" t="inlineStr">
        <is>
          <t>Soldering</t>
        </is>
      </c>
      <c r="W495" s="3" t="inlineStr">
        <is>
          <t>Repair</t>
        </is>
      </c>
      <c r="X495" s="18" t="n">
        <v>46149</v>
      </c>
      <c r="Y495" s="73">
        <f>IF(X495="","",X495-A495)</f>
        <v/>
      </c>
      <c r="Z495" s="18" t="n">
        <v>46149</v>
      </c>
      <c r="AA495" s="15" t="n"/>
      <c r="AB495" s="15" t="n"/>
      <c r="AF495">
        <f>IF(AND($F495="Closed",$X495&gt;=DATE(2026,5,1),$X495&lt;=DATE(2026,5,31)),"Closed in May","Other")</f>
        <v/>
      </c>
    </row>
    <row r="496">
      <c r="A496" s="6" t="n">
        <v>46107</v>
      </c>
      <c r="B496" s="3" t="n">
        <v>2026</v>
      </c>
      <c r="C496" s="3" t="inlineStr">
        <is>
          <t>Blupine Energy</t>
        </is>
      </c>
      <c r="D496" s="3" t="inlineStr">
        <is>
          <t>Utility and C&amp;I</t>
        </is>
      </c>
      <c r="E496" s="3" t="n"/>
      <c r="F496" s="3" t="inlineStr">
        <is>
          <t>Closed</t>
        </is>
      </c>
      <c r="G496" s="3" t="inlineStr">
        <is>
          <t>Chandrashekar Patidar</t>
        </is>
      </c>
      <c r="H496" s="3" t="n">
        <v>7879764773</v>
      </c>
      <c r="I496" s="11" t="inlineStr">
        <is>
          <t>PE26032601</t>
        </is>
      </c>
      <c r="J496" s="3" t="inlineStr">
        <is>
          <t>Module Diode Failure</t>
        </is>
      </c>
      <c r="K496" s="3" t="inlineStr">
        <is>
          <t>Sadla</t>
        </is>
      </c>
      <c r="L496" s="3" t="inlineStr">
        <is>
          <t>Gujarat</t>
        </is>
      </c>
      <c r="M496" s="9" t="inlineStr">
        <is>
          <t>NS</t>
        </is>
      </c>
      <c r="N496" s="3" t="inlineStr">
        <is>
          <t>Cold Soldering</t>
        </is>
      </c>
      <c r="O496" s="3" t="n">
        <v>570</v>
      </c>
      <c r="P496" s="9" t="inlineStr">
        <is>
          <t>NSMI24050066791</t>
        </is>
      </c>
      <c r="Q496" s="53">
        <f>MID(P496,5,2)</f>
        <v/>
      </c>
      <c r="R496" s="53">
        <f>MID(P496,7,2)</f>
        <v/>
      </c>
      <c r="S496" s="3" t="inlineStr">
        <is>
          <t>G2G</t>
        </is>
      </c>
      <c r="T496" s="3" t="inlineStr">
        <is>
          <t>P4</t>
        </is>
      </c>
      <c r="U496" s="3" t="inlineStr">
        <is>
          <t>N JB Cold Soldering</t>
        </is>
      </c>
      <c r="V496" s="3" t="inlineStr">
        <is>
          <t>Soldering</t>
        </is>
      </c>
      <c r="W496" s="3" t="inlineStr">
        <is>
          <t>Repair</t>
        </is>
      </c>
      <c r="X496" s="18" t="n">
        <v>46149</v>
      </c>
      <c r="Y496" s="73">
        <f>IF(X496="","",X496-A496)</f>
        <v/>
      </c>
      <c r="Z496" s="18" t="n">
        <v>46149</v>
      </c>
      <c r="AA496" s="15" t="n"/>
      <c r="AB496" s="15" t="n"/>
      <c r="AF496">
        <f>IF(AND($F496="Closed",$X496&gt;=DATE(2026,5,1),$X496&lt;=DATE(2026,5,31)),"Closed in May","Other")</f>
        <v/>
      </c>
    </row>
    <row r="497">
      <c r="A497" s="6" t="n">
        <v>46107</v>
      </c>
      <c r="B497" s="3" t="n">
        <v>2026</v>
      </c>
      <c r="C497" s="3" t="inlineStr">
        <is>
          <t>Blupine Energy</t>
        </is>
      </c>
      <c r="D497" s="3" t="inlineStr">
        <is>
          <t>Utility and C&amp;I</t>
        </is>
      </c>
      <c r="E497" s="3" t="n"/>
      <c r="F497" s="3" t="inlineStr">
        <is>
          <t>Closed</t>
        </is>
      </c>
      <c r="G497" s="3" t="inlineStr">
        <is>
          <t>Chandrashekar Patidar</t>
        </is>
      </c>
      <c r="H497" s="3" t="n">
        <v>7879764773</v>
      </c>
      <c r="I497" s="11" t="inlineStr">
        <is>
          <t>PE26032601</t>
        </is>
      </c>
      <c r="J497" s="3" t="inlineStr">
        <is>
          <t>Module Diode Failure</t>
        </is>
      </c>
      <c r="K497" s="3" t="inlineStr">
        <is>
          <t>Sadla</t>
        </is>
      </c>
      <c r="L497" s="3" t="inlineStr">
        <is>
          <t>Gujarat</t>
        </is>
      </c>
      <c r="M497" s="9" t="inlineStr">
        <is>
          <t>NS</t>
        </is>
      </c>
      <c r="N497" s="3" t="inlineStr">
        <is>
          <t>Cold Soldering</t>
        </is>
      </c>
      <c r="O497" s="3" t="n">
        <v>570</v>
      </c>
      <c r="P497" s="9" t="inlineStr">
        <is>
          <t>NSMI24050066800</t>
        </is>
      </c>
      <c r="Q497" s="53">
        <f>MID(P497,5,2)</f>
        <v/>
      </c>
      <c r="R497" s="53">
        <f>MID(P497,7,2)</f>
        <v/>
      </c>
      <c r="S497" s="3" t="inlineStr">
        <is>
          <t>G2G</t>
        </is>
      </c>
      <c r="T497" s="3" t="inlineStr">
        <is>
          <t>P4</t>
        </is>
      </c>
      <c r="U497" s="3" t="inlineStr">
        <is>
          <t>N JB Cold Soldering</t>
        </is>
      </c>
      <c r="V497" s="3" t="inlineStr">
        <is>
          <t>Soldering</t>
        </is>
      </c>
      <c r="W497" s="3" t="inlineStr">
        <is>
          <t>Repair</t>
        </is>
      </c>
      <c r="X497" s="18" t="n">
        <v>46149</v>
      </c>
      <c r="Y497" s="73">
        <f>IF(X497="","",X497-A497)</f>
        <v/>
      </c>
      <c r="Z497" s="18" t="n">
        <v>46149</v>
      </c>
      <c r="AA497" s="15" t="n"/>
      <c r="AB497" s="15" t="n"/>
      <c r="AF497">
        <f>IF(AND($F497="Closed",$X497&gt;=DATE(2026,5,1),$X497&lt;=DATE(2026,5,31)),"Closed in May","Other")</f>
        <v/>
      </c>
    </row>
    <row r="498">
      <c r="A498" s="6" t="n">
        <v>46107</v>
      </c>
      <c r="B498" s="3" t="n">
        <v>2026</v>
      </c>
      <c r="C498" s="3" t="inlineStr">
        <is>
          <t>Blupine Energy</t>
        </is>
      </c>
      <c r="D498" s="3" t="inlineStr">
        <is>
          <t>Utility and C&amp;I</t>
        </is>
      </c>
      <c r="E498" s="3" t="n"/>
      <c r="F498" s="3" t="inlineStr">
        <is>
          <t>Closed</t>
        </is>
      </c>
      <c r="G498" s="3" t="inlineStr">
        <is>
          <t>Chandrashekar Patidar</t>
        </is>
      </c>
      <c r="H498" s="3" t="n">
        <v>7879764773</v>
      </c>
      <c r="I498" s="11" t="inlineStr">
        <is>
          <t>PE26032601</t>
        </is>
      </c>
      <c r="J498" s="3" t="inlineStr">
        <is>
          <t>Module Diode Failure</t>
        </is>
      </c>
      <c r="K498" s="3" t="inlineStr">
        <is>
          <t>Sadla</t>
        </is>
      </c>
      <c r="L498" s="3" t="inlineStr">
        <is>
          <t>Gujarat</t>
        </is>
      </c>
      <c r="M498" s="9" t="inlineStr">
        <is>
          <t>PS</t>
        </is>
      </c>
      <c r="N498" s="3" t="inlineStr">
        <is>
          <t>Cold Soldering</t>
        </is>
      </c>
      <c r="O498" s="3" t="n">
        <v>570</v>
      </c>
      <c r="P498" s="9" t="inlineStr">
        <is>
          <t>NSMI24060095048</t>
        </is>
      </c>
      <c r="Q498" s="53">
        <f>MID(P498,5,2)</f>
        <v/>
      </c>
      <c r="R498" s="53">
        <f>MID(P498,7,2)</f>
        <v/>
      </c>
      <c r="S498" s="3" t="inlineStr">
        <is>
          <t>G2G</t>
        </is>
      </c>
      <c r="T498" s="3" t="inlineStr">
        <is>
          <t>P4</t>
        </is>
      </c>
      <c r="U498" s="3" t="inlineStr">
        <is>
          <t>P JB Cold Soldering</t>
        </is>
      </c>
      <c r="V498" s="3" t="inlineStr">
        <is>
          <t>Soldering</t>
        </is>
      </c>
      <c r="W498" s="3" t="inlineStr">
        <is>
          <t>Repair</t>
        </is>
      </c>
      <c r="X498" s="18" t="n">
        <v>46149</v>
      </c>
      <c r="Y498" s="73">
        <f>IF(X498="","",X498-A498)</f>
        <v/>
      </c>
      <c r="Z498" s="18" t="n">
        <v>46149</v>
      </c>
      <c r="AA498" s="15" t="n"/>
      <c r="AB498" s="15" t="n"/>
      <c r="AF498">
        <f>IF(AND($F498="Closed",$X498&gt;=DATE(2026,5,1),$X498&lt;=DATE(2026,5,31)),"Closed in May","Other")</f>
        <v/>
      </c>
    </row>
    <row r="499">
      <c r="A499" s="6" t="n">
        <v>46107</v>
      </c>
      <c r="B499" s="3" t="n">
        <v>2026</v>
      </c>
      <c r="C499" s="3" t="inlineStr">
        <is>
          <t>Blupine Energy</t>
        </is>
      </c>
      <c r="D499" s="3" t="inlineStr">
        <is>
          <t>Utility and C&amp;I</t>
        </is>
      </c>
      <c r="E499" s="3" t="n"/>
      <c r="F499" s="3" t="inlineStr">
        <is>
          <t>Closed</t>
        </is>
      </c>
      <c r="G499" s="3" t="inlineStr">
        <is>
          <t>Chandrashekar Patidar</t>
        </is>
      </c>
      <c r="H499" s="3" t="n">
        <v>7879764773</v>
      </c>
      <c r="I499" s="11" t="inlineStr">
        <is>
          <t>PE26032601</t>
        </is>
      </c>
      <c r="J499" s="3" t="inlineStr">
        <is>
          <t>Module Diode Failure</t>
        </is>
      </c>
      <c r="K499" s="3" t="inlineStr">
        <is>
          <t>Sadla</t>
        </is>
      </c>
      <c r="L499" s="3" t="inlineStr">
        <is>
          <t>Gujarat</t>
        </is>
      </c>
      <c r="M499" s="9" t="inlineStr">
        <is>
          <t>NS</t>
        </is>
      </c>
      <c r="N499" s="3" t="inlineStr">
        <is>
          <t>Cold Soldering</t>
        </is>
      </c>
      <c r="O499" s="3" t="n">
        <v>570</v>
      </c>
      <c r="P499" s="9" t="inlineStr">
        <is>
          <t>NSMI24050048241</t>
        </is>
      </c>
      <c r="Q499" s="53">
        <f>MID(P499,5,2)</f>
        <v/>
      </c>
      <c r="R499" s="53">
        <f>MID(P499,7,2)</f>
        <v/>
      </c>
      <c r="S499" s="3" t="inlineStr">
        <is>
          <t>G2G</t>
        </is>
      </c>
      <c r="T499" s="3" t="inlineStr">
        <is>
          <t>P4</t>
        </is>
      </c>
      <c r="U499" s="3" t="inlineStr">
        <is>
          <t>N JB Cold Soldering</t>
        </is>
      </c>
      <c r="V499" s="3" t="inlineStr">
        <is>
          <t>Soldering</t>
        </is>
      </c>
      <c r="W499" s="3" t="inlineStr">
        <is>
          <t>Repair</t>
        </is>
      </c>
      <c r="X499" s="18" t="n">
        <v>46149</v>
      </c>
      <c r="Y499" s="73">
        <f>IF(X499="","",X499-A499)</f>
        <v/>
      </c>
      <c r="Z499" s="18" t="n">
        <v>46149</v>
      </c>
      <c r="AA499" s="15" t="n"/>
      <c r="AB499" s="15" t="n"/>
      <c r="AF499">
        <f>IF(AND($F499="Closed",$X499&gt;=DATE(2026,5,1),$X499&lt;=DATE(2026,5,31)),"Closed in May","Other")</f>
        <v/>
      </c>
    </row>
    <row r="500">
      <c r="A500" s="6" t="n">
        <v>46107</v>
      </c>
      <c r="B500" s="3" t="n">
        <v>2026</v>
      </c>
      <c r="C500" s="3" t="inlineStr">
        <is>
          <t>Blupine Energy</t>
        </is>
      </c>
      <c r="D500" s="3" t="inlineStr">
        <is>
          <t>Utility and C&amp;I</t>
        </is>
      </c>
      <c r="E500" s="3" t="n"/>
      <c r="F500" s="3" t="inlineStr">
        <is>
          <t>Closed</t>
        </is>
      </c>
      <c r="G500" s="3" t="inlineStr">
        <is>
          <t>Chandrashekar Patidar</t>
        </is>
      </c>
      <c r="H500" s="3" t="n">
        <v>7879764773</v>
      </c>
      <c r="I500" s="11" t="inlineStr">
        <is>
          <t>PE26032601</t>
        </is>
      </c>
      <c r="J500" s="3" t="inlineStr">
        <is>
          <t>Module Diode Failure</t>
        </is>
      </c>
      <c r="K500" s="3" t="inlineStr">
        <is>
          <t>Sadla</t>
        </is>
      </c>
      <c r="L500" s="3" t="inlineStr">
        <is>
          <t>Gujarat</t>
        </is>
      </c>
      <c r="M500" s="9" t="inlineStr">
        <is>
          <t xml:space="preserve">NS </t>
        </is>
      </c>
      <c r="N500" s="3" t="inlineStr">
        <is>
          <t>Cold Soldering</t>
        </is>
      </c>
      <c r="O500" s="3" t="n">
        <v>570</v>
      </c>
      <c r="P500" s="9" t="inlineStr">
        <is>
          <t>NSMI24060091409</t>
        </is>
      </c>
      <c r="Q500" s="53">
        <f>MID(P500,5,2)</f>
        <v/>
      </c>
      <c r="R500" s="53">
        <f>MID(P500,7,2)</f>
        <v/>
      </c>
      <c r="S500" s="3" t="inlineStr">
        <is>
          <t>G2G</t>
        </is>
      </c>
      <c r="T500" s="3" t="inlineStr">
        <is>
          <t>P4</t>
        </is>
      </c>
      <c r="U500" s="3" t="inlineStr">
        <is>
          <t>N JB Cold Soldering</t>
        </is>
      </c>
      <c r="V500" s="3" t="inlineStr">
        <is>
          <t>Soldering</t>
        </is>
      </c>
      <c r="W500" s="3" t="inlineStr">
        <is>
          <t>Repair</t>
        </is>
      </c>
      <c r="X500" s="18" t="n">
        <v>46150</v>
      </c>
      <c r="Y500" s="73">
        <f>IF(X500="","",X500-A500)</f>
        <v/>
      </c>
      <c r="Z500" s="18" t="n">
        <v>46150</v>
      </c>
      <c r="AA500" s="15" t="n"/>
      <c r="AB500" s="15" t="n"/>
      <c r="AF500">
        <f>IF(AND($F500="Closed",$X500&gt;=DATE(2026,5,1),$X500&lt;=DATE(2026,5,31)),"Closed in May","Other")</f>
        <v/>
      </c>
    </row>
    <row r="501">
      <c r="A501" s="6" t="n">
        <v>46107</v>
      </c>
      <c r="B501" s="3" t="n">
        <v>2026</v>
      </c>
      <c r="C501" s="3" t="inlineStr">
        <is>
          <t>Blupine Energy</t>
        </is>
      </c>
      <c r="D501" s="3" t="inlineStr">
        <is>
          <t>Utility and C&amp;I</t>
        </is>
      </c>
      <c r="E501" s="3" t="n"/>
      <c r="F501" s="3" t="inlineStr">
        <is>
          <t>Closed</t>
        </is>
      </c>
      <c r="G501" s="3" t="inlineStr">
        <is>
          <t>Chandrashekar Patidar</t>
        </is>
      </c>
      <c r="H501" s="3" t="n">
        <v>7879764773</v>
      </c>
      <c r="I501" s="11" t="inlineStr">
        <is>
          <t>PE26032601</t>
        </is>
      </c>
      <c r="J501" s="3" t="inlineStr">
        <is>
          <t>Module Diode Failure</t>
        </is>
      </c>
      <c r="K501" s="3" t="inlineStr">
        <is>
          <t>Sadla</t>
        </is>
      </c>
      <c r="L501" s="3" t="inlineStr">
        <is>
          <t>Gujarat</t>
        </is>
      </c>
      <c r="M501" s="9" t="inlineStr">
        <is>
          <t xml:space="preserve">NS </t>
        </is>
      </c>
      <c r="N501" s="3" t="inlineStr">
        <is>
          <t>Cold Soldering</t>
        </is>
      </c>
      <c r="O501" s="3" t="n">
        <v>570</v>
      </c>
      <c r="P501" s="9" t="inlineStr">
        <is>
          <t>NSMI24060091262</t>
        </is>
      </c>
      <c r="Q501" s="53">
        <f>MID(P501,5,2)</f>
        <v/>
      </c>
      <c r="R501" s="53">
        <f>MID(P501,7,2)</f>
        <v/>
      </c>
      <c r="S501" s="3" t="inlineStr">
        <is>
          <t>G2G</t>
        </is>
      </c>
      <c r="T501" s="3" t="inlineStr">
        <is>
          <t>P4</t>
        </is>
      </c>
      <c r="U501" s="3" t="inlineStr">
        <is>
          <t>N JB Cold Soldering</t>
        </is>
      </c>
      <c r="V501" s="3" t="inlineStr">
        <is>
          <t>Soldering</t>
        </is>
      </c>
      <c r="W501" s="3" t="inlineStr">
        <is>
          <t>Repair</t>
        </is>
      </c>
      <c r="X501" s="18" t="n">
        <v>46150</v>
      </c>
      <c r="Y501" s="73">
        <f>IF(X501="","",X501-A501)</f>
        <v/>
      </c>
      <c r="Z501" s="18" t="n">
        <v>46150</v>
      </c>
      <c r="AA501" s="15" t="n"/>
      <c r="AB501" s="15" t="n"/>
      <c r="AF501">
        <f>IF(AND($F501="Closed",$X501&gt;=DATE(2026,5,1),$X501&lt;=DATE(2026,5,31)),"Closed in May","Other")</f>
        <v/>
      </c>
    </row>
    <row r="502">
      <c r="A502" s="6" t="n">
        <v>46107</v>
      </c>
      <c r="B502" s="3" t="n">
        <v>2026</v>
      </c>
      <c r="C502" s="3" t="inlineStr">
        <is>
          <t>Blupine Energy</t>
        </is>
      </c>
      <c r="D502" s="3" t="inlineStr">
        <is>
          <t>Utility and C&amp;I</t>
        </is>
      </c>
      <c r="E502" s="3" t="n"/>
      <c r="F502" s="3" t="inlineStr">
        <is>
          <t>Closed</t>
        </is>
      </c>
      <c r="G502" s="3" t="inlineStr">
        <is>
          <t>Chandrashekar Patidar</t>
        </is>
      </c>
      <c r="H502" s="3" t="n">
        <v>7879764773</v>
      </c>
      <c r="I502" s="11" t="inlineStr">
        <is>
          <t>PE26032601</t>
        </is>
      </c>
      <c r="J502" s="3" t="inlineStr">
        <is>
          <t>Module Diode Failure</t>
        </is>
      </c>
      <c r="K502" s="3" t="inlineStr">
        <is>
          <t>Sadla</t>
        </is>
      </c>
      <c r="L502" s="3" t="inlineStr">
        <is>
          <t>Gujarat</t>
        </is>
      </c>
      <c r="M502" s="9" t="inlineStr">
        <is>
          <t>PR</t>
        </is>
      </c>
      <c r="N502" s="3" t="inlineStr">
        <is>
          <t>JB Issue</t>
        </is>
      </c>
      <c r="O502" s="3" t="n">
        <v>570</v>
      </c>
      <c r="P502" s="9" t="inlineStr">
        <is>
          <t>NSMI24080333591</t>
        </is>
      </c>
      <c r="Q502" s="53">
        <f>MID(P502,5,2)</f>
        <v/>
      </c>
      <c r="R502" s="53">
        <f>MID(P502,7,2)</f>
        <v/>
      </c>
      <c r="S502" s="3" t="inlineStr">
        <is>
          <t>G2G</t>
        </is>
      </c>
      <c r="T502" s="3" t="inlineStr">
        <is>
          <t>P4</t>
        </is>
      </c>
      <c r="U502" s="3" t="inlineStr">
        <is>
          <t>P JB Issue</t>
        </is>
      </c>
      <c r="V502" s="15" t="inlineStr">
        <is>
          <t>JB Changed</t>
        </is>
      </c>
      <c r="W502" s="3" t="inlineStr">
        <is>
          <t>Repair</t>
        </is>
      </c>
      <c r="X502" s="18" t="n">
        <v>46150</v>
      </c>
      <c r="Y502" s="73">
        <f>IF(X502="","",X502-A502)</f>
        <v/>
      </c>
      <c r="Z502" s="18" t="n">
        <v>46150</v>
      </c>
      <c r="AA502" s="15" t="n"/>
      <c r="AB502" s="15" t="n"/>
      <c r="AF502">
        <f>IF(AND($F502="Closed",$X502&gt;=DATE(2026,5,1),$X502&lt;=DATE(2026,5,31)),"Closed in May","Other")</f>
        <v/>
      </c>
    </row>
    <row r="503">
      <c r="A503" s="6" t="n">
        <v>46107</v>
      </c>
      <c r="B503" s="3" t="n">
        <v>2026</v>
      </c>
      <c r="C503" s="3" t="inlineStr">
        <is>
          <t>Blupine Energy</t>
        </is>
      </c>
      <c r="D503" s="3" t="inlineStr">
        <is>
          <t>Utility and C&amp;I</t>
        </is>
      </c>
      <c r="E503" s="3" t="n"/>
      <c r="F503" s="3" t="inlineStr">
        <is>
          <t>Closed</t>
        </is>
      </c>
      <c r="G503" s="3" t="inlineStr">
        <is>
          <t>Chandrashekar Patidar</t>
        </is>
      </c>
      <c r="H503" s="3" t="n">
        <v>7879764773</v>
      </c>
      <c r="I503" s="11" t="inlineStr">
        <is>
          <t>PE26032601</t>
        </is>
      </c>
      <c r="J503" s="3" t="inlineStr">
        <is>
          <t>Module Diode Failure</t>
        </is>
      </c>
      <c r="K503" s="3" t="inlineStr">
        <is>
          <t>Sadla</t>
        </is>
      </c>
      <c r="L503" s="3" t="inlineStr">
        <is>
          <t>Gujarat</t>
        </is>
      </c>
      <c r="M503" s="9" t="inlineStr">
        <is>
          <t>Ok</t>
        </is>
      </c>
      <c r="N503" s="3" t="inlineStr">
        <is>
          <t>No Issue</t>
        </is>
      </c>
      <c r="O503" s="3" t="n">
        <v>570</v>
      </c>
      <c r="P503" s="9" t="inlineStr">
        <is>
          <t>NSMI24050046304</t>
        </is>
      </c>
      <c r="Q503" s="53">
        <f>MID(P503,5,2)</f>
        <v/>
      </c>
      <c r="R503" s="53">
        <f>MID(P503,7,2)</f>
        <v/>
      </c>
      <c r="S503" s="3" t="inlineStr">
        <is>
          <t>G2G</t>
        </is>
      </c>
      <c r="T503" s="3" t="inlineStr">
        <is>
          <t>P4</t>
        </is>
      </c>
      <c r="U503" s="19" t="inlineStr">
        <is>
          <t>No Issue Found</t>
        </is>
      </c>
      <c r="V503" s="19" t="inlineStr">
        <is>
          <t>Found OK</t>
        </is>
      </c>
      <c r="W503" s="3" t="inlineStr">
        <is>
          <t>Repair</t>
        </is>
      </c>
      <c r="X503" s="18" t="n">
        <v>46150</v>
      </c>
      <c r="Y503" s="73">
        <f>IF(X503="","",X503-A503)</f>
        <v/>
      </c>
      <c r="Z503" s="18" t="n">
        <v>46150</v>
      </c>
      <c r="AA503" s="15" t="n"/>
      <c r="AB503" s="15" t="n"/>
      <c r="AF503">
        <f>IF(AND($F503="Closed",$X503&gt;=DATE(2026,5,1),$X503&lt;=DATE(2026,5,31)),"Closed in May","Other")</f>
        <v/>
      </c>
    </row>
    <row r="504">
      <c r="A504" s="6" t="n">
        <v>46107</v>
      </c>
      <c r="B504" s="3" t="n">
        <v>2026</v>
      </c>
      <c r="C504" s="3" t="inlineStr">
        <is>
          <t>Blupine Energy</t>
        </is>
      </c>
      <c r="D504" s="3" t="inlineStr">
        <is>
          <t>Utility and C&amp;I</t>
        </is>
      </c>
      <c r="E504" s="3" t="n"/>
      <c r="F504" s="3" t="inlineStr">
        <is>
          <t>Closed</t>
        </is>
      </c>
      <c r="G504" s="3" t="inlineStr">
        <is>
          <t>Chandrashekar Patidar</t>
        </is>
      </c>
      <c r="H504" s="3" t="n">
        <v>7879764773</v>
      </c>
      <c r="I504" s="11" t="inlineStr">
        <is>
          <t>PE26032601</t>
        </is>
      </c>
      <c r="J504" s="3" t="inlineStr">
        <is>
          <t>Module Diode Failure</t>
        </is>
      </c>
      <c r="K504" s="3" t="inlineStr">
        <is>
          <t>Sadla</t>
        </is>
      </c>
      <c r="L504" s="3" t="inlineStr">
        <is>
          <t>Gujarat</t>
        </is>
      </c>
      <c r="M504" s="9" t="inlineStr">
        <is>
          <t>Ok</t>
        </is>
      </c>
      <c r="N504" s="3" t="inlineStr">
        <is>
          <t>No Issue</t>
        </is>
      </c>
      <c r="O504" s="3" t="n">
        <v>570</v>
      </c>
      <c r="P504" s="9" t="inlineStr">
        <is>
          <t>NSMI24050048377</t>
        </is>
      </c>
      <c r="Q504" s="53">
        <f>MID(P504,5,2)</f>
        <v/>
      </c>
      <c r="R504" s="53">
        <f>MID(P504,7,2)</f>
        <v/>
      </c>
      <c r="S504" s="3" t="inlineStr">
        <is>
          <t>G2G</t>
        </is>
      </c>
      <c r="T504" s="3" t="inlineStr">
        <is>
          <t>P4</t>
        </is>
      </c>
      <c r="U504" s="19" t="inlineStr">
        <is>
          <t>No Issue Found</t>
        </is>
      </c>
      <c r="V504" s="19" t="inlineStr">
        <is>
          <t>Found OK</t>
        </is>
      </c>
      <c r="W504" s="3" t="inlineStr">
        <is>
          <t>Repair</t>
        </is>
      </c>
      <c r="X504" s="18" t="n">
        <v>46150</v>
      </c>
      <c r="Y504" s="73">
        <f>IF(X504="","",X504-A504)</f>
        <v/>
      </c>
      <c r="Z504" s="18" t="n">
        <v>46150</v>
      </c>
      <c r="AA504" s="15" t="n"/>
      <c r="AB504" s="15" t="n"/>
      <c r="AF504">
        <f>IF(AND($F504="Closed",$X504&gt;=DATE(2026,5,1),$X504&lt;=DATE(2026,5,31)),"Closed in May","Other")</f>
        <v/>
      </c>
    </row>
    <row r="505">
      <c r="A505" s="6" t="n">
        <v>46107</v>
      </c>
      <c r="B505" s="3" t="n">
        <v>2026</v>
      </c>
      <c r="C505" s="3" t="inlineStr">
        <is>
          <t>Blupine Energy</t>
        </is>
      </c>
      <c r="D505" s="3" t="inlineStr">
        <is>
          <t>Utility and C&amp;I</t>
        </is>
      </c>
      <c r="E505" s="3" t="n"/>
      <c r="F505" s="3" t="inlineStr">
        <is>
          <t>Closed</t>
        </is>
      </c>
      <c r="G505" s="3" t="inlineStr">
        <is>
          <t>Chandrashekar Patidar</t>
        </is>
      </c>
      <c r="H505" s="3" t="n">
        <v>7879764773</v>
      </c>
      <c r="I505" s="11" t="inlineStr">
        <is>
          <t>PE26032601</t>
        </is>
      </c>
      <c r="J505" s="3" t="inlineStr">
        <is>
          <t>Module Diode Failure</t>
        </is>
      </c>
      <c r="K505" s="3" t="inlineStr">
        <is>
          <t>Sadla</t>
        </is>
      </c>
      <c r="L505" s="3" t="inlineStr">
        <is>
          <t>Gujarat</t>
        </is>
      </c>
      <c r="M505" s="9" t="inlineStr">
        <is>
          <t xml:space="preserve">NS </t>
        </is>
      </c>
      <c r="N505" s="3" t="inlineStr">
        <is>
          <t>Cold Soldering</t>
        </is>
      </c>
      <c r="O505" s="3" t="n">
        <v>570</v>
      </c>
      <c r="P505" s="9" t="inlineStr">
        <is>
          <t>NSMI24050046442</t>
        </is>
      </c>
      <c r="Q505" s="53">
        <f>MID(P505,5,2)</f>
        <v/>
      </c>
      <c r="R505" s="53">
        <f>MID(P505,7,2)</f>
        <v/>
      </c>
      <c r="S505" s="3" t="inlineStr">
        <is>
          <t>G2G</t>
        </is>
      </c>
      <c r="T505" s="3" t="inlineStr">
        <is>
          <t>P4</t>
        </is>
      </c>
      <c r="U505" s="3" t="inlineStr">
        <is>
          <t>N JB Cold Soldering</t>
        </is>
      </c>
      <c r="V505" s="3" t="inlineStr">
        <is>
          <t>Soldering</t>
        </is>
      </c>
      <c r="W505" s="3" t="inlineStr">
        <is>
          <t>Repair</t>
        </is>
      </c>
      <c r="X505" s="18" t="n">
        <v>46150</v>
      </c>
      <c r="Y505" s="73">
        <f>IF(X505="","",X505-A505)</f>
        <v/>
      </c>
      <c r="Z505" s="18" t="n">
        <v>46150</v>
      </c>
      <c r="AA505" s="15" t="n"/>
      <c r="AB505" s="15" t="n"/>
      <c r="AF505">
        <f>IF(AND($F505="Closed",$X505&gt;=DATE(2026,5,1),$X505&lt;=DATE(2026,5,31)),"Closed in May","Other")</f>
        <v/>
      </c>
    </row>
    <row r="506">
      <c r="A506" s="6" t="n">
        <v>46107</v>
      </c>
      <c r="B506" s="3" t="n">
        <v>2026</v>
      </c>
      <c r="C506" s="3" t="inlineStr">
        <is>
          <t>Blupine Energy</t>
        </is>
      </c>
      <c r="D506" s="3" t="inlineStr">
        <is>
          <t>Utility and C&amp;I</t>
        </is>
      </c>
      <c r="E506" s="3" t="n"/>
      <c r="F506" s="3" t="inlineStr">
        <is>
          <t>Closed</t>
        </is>
      </c>
      <c r="G506" s="3" t="inlineStr">
        <is>
          <t>Chandrashekar Patidar</t>
        </is>
      </c>
      <c r="H506" s="3" t="n">
        <v>7879764773</v>
      </c>
      <c r="I506" s="11" t="inlineStr">
        <is>
          <t>PE26032601</t>
        </is>
      </c>
      <c r="J506" s="3" t="inlineStr">
        <is>
          <t>Module Diode Failure</t>
        </is>
      </c>
      <c r="K506" s="3" t="inlineStr">
        <is>
          <t>Sadla</t>
        </is>
      </c>
      <c r="L506" s="3" t="inlineStr">
        <is>
          <t>Gujarat</t>
        </is>
      </c>
      <c r="M506" s="9" t="inlineStr">
        <is>
          <t>PS</t>
        </is>
      </c>
      <c r="N506" s="3" t="inlineStr">
        <is>
          <t>Cold Soldering</t>
        </is>
      </c>
      <c r="O506" s="3" t="n">
        <v>570</v>
      </c>
      <c r="P506" s="9" t="inlineStr">
        <is>
          <t>NSMI24050048553</t>
        </is>
      </c>
      <c r="Q506" s="53">
        <f>MID(P506,5,2)</f>
        <v/>
      </c>
      <c r="R506" s="53">
        <f>MID(P506,7,2)</f>
        <v/>
      </c>
      <c r="S506" s="3" t="inlineStr">
        <is>
          <t>G2G</t>
        </is>
      </c>
      <c r="T506" s="3" t="inlineStr">
        <is>
          <t>P4</t>
        </is>
      </c>
      <c r="U506" s="3" t="inlineStr">
        <is>
          <t>P JB Cold Soldering</t>
        </is>
      </c>
      <c r="V506" s="3" t="inlineStr">
        <is>
          <t>Soldering</t>
        </is>
      </c>
      <c r="W506" s="3" t="inlineStr">
        <is>
          <t>Repair</t>
        </is>
      </c>
      <c r="X506" s="18" t="n">
        <v>46150</v>
      </c>
      <c r="Y506" s="73">
        <f>IF(X506="","",X506-A506)</f>
        <v/>
      </c>
      <c r="Z506" s="18" t="n">
        <v>46150</v>
      </c>
      <c r="AA506" s="15" t="n"/>
      <c r="AB506" s="15" t="n"/>
      <c r="AF506">
        <f>IF(AND($F506="Closed",$X506&gt;=DATE(2026,5,1),$X506&lt;=DATE(2026,5,31)),"Closed in May","Other")</f>
        <v/>
      </c>
    </row>
    <row r="507">
      <c r="A507" s="6" t="n">
        <v>46107</v>
      </c>
      <c r="B507" s="3" t="n">
        <v>2026</v>
      </c>
      <c r="C507" s="3" t="inlineStr">
        <is>
          <t>Blupine Energy</t>
        </is>
      </c>
      <c r="D507" s="3" t="inlineStr">
        <is>
          <t>Utility and C&amp;I</t>
        </is>
      </c>
      <c r="E507" s="3" t="n"/>
      <c r="F507" s="3" t="inlineStr">
        <is>
          <t>Closed</t>
        </is>
      </c>
      <c r="G507" s="3" t="inlineStr">
        <is>
          <t>Chandrashekar Patidar</t>
        </is>
      </c>
      <c r="H507" s="3" t="n">
        <v>7879764773</v>
      </c>
      <c r="I507" s="11" t="inlineStr">
        <is>
          <t>PE26032601</t>
        </is>
      </c>
      <c r="J507" s="3" t="inlineStr">
        <is>
          <t>Module Diode Failure</t>
        </is>
      </c>
      <c r="K507" s="3" t="inlineStr">
        <is>
          <t>Sadla</t>
        </is>
      </c>
      <c r="L507" s="3" t="inlineStr">
        <is>
          <t>Gujarat</t>
        </is>
      </c>
      <c r="M507" s="9" t="inlineStr">
        <is>
          <t xml:space="preserve">NS </t>
        </is>
      </c>
      <c r="N507" s="3" t="inlineStr">
        <is>
          <t>Cold Soldering</t>
        </is>
      </c>
      <c r="O507" s="3" t="n">
        <v>570</v>
      </c>
      <c r="P507" s="9" t="inlineStr">
        <is>
          <t>NSMI24050048437</t>
        </is>
      </c>
      <c r="Q507" s="53">
        <f>MID(P507,5,2)</f>
        <v/>
      </c>
      <c r="R507" s="53">
        <f>MID(P507,7,2)</f>
        <v/>
      </c>
      <c r="S507" s="3" t="inlineStr">
        <is>
          <t>G2G</t>
        </is>
      </c>
      <c r="T507" s="3" t="inlineStr">
        <is>
          <t>P4</t>
        </is>
      </c>
      <c r="U507" s="3" t="inlineStr">
        <is>
          <t>N JB Cold Soldering</t>
        </is>
      </c>
      <c r="V507" s="3" t="inlineStr">
        <is>
          <t>Soldering</t>
        </is>
      </c>
      <c r="W507" s="3" t="inlineStr">
        <is>
          <t>Repair</t>
        </is>
      </c>
      <c r="X507" s="18" t="n">
        <v>46150</v>
      </c>
      <c r="Y507" s="73">
        <f>IF(X507="","",X507-A507)</f>
        <v/>
      </c>
      <c r="Z507" s="18" t="n">
        <v>46150</v>
      </c>
      <c r="AA507" s="15" t="n"/>
      <c r="AB507" s="15" t="n"/>
      <c r="AF507">
        <f>IF(AND($F507="Closed",$X507&gt;=DATE(2026,5,1),$X507&lt;=DATE(2026,5,31)),"Closed in May","Other")</f>
        <v/>
      </c>
    </row>
    <row r="508">
      <c r="A508" s="6" t="n">
        <v>46107</v>
      </c>
      <c r="B508" s="3" t="n">
        <v>2026</v>
      </c>
      <c r="C508" s="3" t="inlineStr">
        <is>
          <t>Blupine Energy</t>
        </is>
      </c>
      <c r="D508" s="3" t="inlineStr">
        <is>
          <t>Utility and C&amp;I</t>
        </is>
      </c>
      <c r="E508" s="3" t="n"/>
      <c r="F508" s="3" t="inlineStr">
        <is>
          <t>Closed</t>
        </is>
      </c>
      <c r="G508" s="3" t="inlineStr">
        <is>
          <t>Chandrashekar Patidar</t>
        </is>
      </c>
      <c r="H508" s="3" t="n">
        <v>7879764773</v>
      </c>
      <c r="I508" s="11" t="inlineStr">
        <is>
          <t>PE26032601</t>
        </is>
      </c>
      <c r="J508" s="3" t="inlineStr">
        <is>
          <t>Module Diode Failure</t>
        </is>
      </c>
      <c r="K508" s="3" t="inlineStr">
        <is>
          <t>Sadla</t>
        </is>
      </c>
      <c r="L508" s="3" t="inlineStr">
        <is>
          <t>Gujarat</t>
        </is>
      </c>
      <c r="M508" s="9" t="inlineStr">
        <is>
          <t xml:space="preserve">NS </t>
        </is>
      </c>
      <c r="N508" s="3" t="inlineStr">
        <is>
          <t>Cold Soldering</t>
        </is>
      </c>
      <c r="O508" s="3" t="n">
        <v>570</v>
      </c>
      <c r="P508" s="9" t="inlineStr">
        <is>
          <t>NSMI24050063848</t>
        </is>
      </c>
      <c r="Q508" s="53">
        <f>MID(P508,5,2)</f>
        <v/>
      </c>
      <c r="R508" s="53">
        <f>MID(P508,7,2)</f>
        <v/>
      </c>
      <c r="S508" s="3" t="inlineStr">
        <is>
          <t>G2G</t>
        </is>
      </c>
      <c r="T508" s="3" t="inlineStr">
        <is>
          <t>P4</t>
        </is>
      </c>
      <c r="U508" s="3" t="inlineStr">
        <is>
          <t>N JB Cold Soldering</t>
        </is>
      </c>
      <c r="V508" s="3" t="inlineStr">
        <is>
          <t>Soldering</t>
        </is>
      </c>
      <c r="W508" s="3" t="inlineStr">
        <is>
          <t>Repair</t>
        </is>
      </c>
      <c r="X508" s="18" t="n">
        <v>46150</v>
      </c>
      <c r="Y508" s="73">
        <f>IF(X508="","",X508-A508)</f>
        <v/>
      </c>
      <c r="Z508" s="18" t="n">
        <v>46150</v>
      </c>
      <c r="AA508" s="15" t="n"/>
      <c r="AB508" s="15" t="n"/>
      <c r="AF508">
        <f>IF(AND($F508="Closed",$X508&gt;=DATE(2026,5,1),$X508&lt;=DATE(2026,5,31)),"Closed in May","Other")</f>
        <v/>
      </c>
    </row>
    <row r="509">
      <c r="A509" s="6" t="n">
        <v>46107</v>
      </c>
      <c r="B509" s="3" t="n">
        <v>2026</v>
      </c>
      <c r="C509" s="3" t="inlineStr">
        <is>
          <t>Blupine Energy</t>
        </is>
      </c>
      <c r="D509" s="3" t="inlineStr">
        <is>
          <t>Utility and C&amp;I</t>
        </is>
      </c>
      <c r="E509" s="3" t="n"/>
      <c r="F509" s="3" t="inlineStr">
        <is>
          <t>Closed</t>
        </is>
      </c>
      <c r="G509" s="3" t="inlineStr">
        <is>
          <t>Chandrashekar Patidar</t>
        </is>
      </c>
      <c r="H509" s="3" t="n">
        <v>7879764773</v>
      </c>
      <c r="I509" s="11" t="inlineStr">
        <is>
          <t>PE26032601</t>
        </is>
      </c>
      <c r="J509" s="3" t="inlineStr">
        <is>
          <t>Module Diode Failure</t>
        </is>
      </c>
      <c r="K509" s="3" t="inlineStr">
        <is>
          <t>Sadla</t>
        </is>
      </c>
      <c r="L509" s="3" t="inlineStr">
        <is>
          <t>Gujarat</t>
        </is>
      </c>
      <c r="M509" s="9" t="inlineStr">
        <is>
          <t xml:space="preserve">NS </t>
        </is>
      </c>
      <c r="N509" s="3" t="inlineStr">
        <is>
          <t>Cold Soldering</t>
        </is>
      </c>
      <c r="O509" s="3" t="n">
        <v>570</v>
      </c>
      <c r="P509" s="9" t="inlineStr">
        <is>
          <t>NSMI24060106986</t>
        </is>
      </c>
      <c r="Q509" s="53">
        <f>MID(P509,5,2)</f>
        <v/>
      </c>
      <c r="R509" s="53">
        <f>MID(P509,7,2)</f>
        <v/>
      </c>
      <c r="S509" s="3" t="inlineStr">
        <is>
          <t>G2G</t>
        </is>
      </c>
      <c r="T509" s="3" t="inlineStr">
        <is>
          <t>P4</t>
        </is>
      </c>
      <c r="U509" s="3" t="inlineStr">
        <is>
          <t>N JB Cold Soldering</t>
        </is>
      </c>
      <c r="V509" s="3" t="inlineStr">
        <is>
          <t>Soldering</t>
        </is>
      </c>
      <c r="W509" s="3" t="inlineStr">
        <is>
          <t>Repair</t>
        </is>
      </c>
      <c r="X509" s="18" t="n">
        <v>46150</v>
      </c>
      <c r="Y509" s="73">
        <f>IF(X509="","",X509-A509)</f>
        <v/>
      </c>
      <c r="Z509" s="18" t="n">
        <v>46150</v>
      </c>
      <c r="AA509" s="15" t="n"/>
      <c r="AB509" s="15" t="n"/>
      <c r="AF509">
        <f>IF(AND($F509="Closed",$X509&gt;=DATE(2026,5,1),$X509&lt;=DATE(2026,5,31)),"Closed in May","Other")</f>
        <v/>
      </c>
    </row>
    <row r="510">
      <c r="A510" s="6" t="n">
        <v>46107</v>
      </c>
      <c r="B510" s="3" t="n">
        <v>2026</v>
      </c>
      <c r="C510" s="3" t="inlineStr">
        <is>
          <t>Blupine Energy</t>
        </is>
      </c>
      <c r="D510" s="3" t="inlineStr">
        <is>
          <t>Utility and C&amp;I</t>
        </is>
      </c>
      <c r="E510" s="3" t="n"/>
      <c r="F510" s="3" t="inlineStr">
        <is>
          <t>Closed</t>
        </is>
      </c>
      <c r="G510" s="3" t="inlineStr">
        <is>
          <t>Chandrashekar Patidar</t>
        </is>
      </c>
      <c r="H510" s="3" t="n">
        <v>7879764773</v>
      </c>
      <c r="I510" s="11" t="inlineStr">
        <is>
          <t>PE26032601</t>
        </is>
      </c>
      <c r="J510" s="3" t="inlineStr">
        <is>
          <t>Module Diode Failure</t>
        </is>
      </c>
      <c r="K510" s="3" t="inlineStr">
        <is>
          <t>Sadla</t>
        </is>
      </c>
      <c r="L510" s="3" t="inlineStr">
        <is>
          <t>Gujarat</t>
        </is>
      </c>
      <c r="M510" s="9" t="inlineStr">
        <is>
          <t>PS</t>
        </is>
      </c>
      <c r="N510" s="3" t="inlineStr">
        <is>
          <t>Cold Soldering</t>
        </is>
      </c>
      <c r="O510" s="3" t="n">
        <v>570</v>
      </c>
      <c r="P510" s="9" t="inlineStr">
        <is>
          <t>NSMI24060091938</t>
        </is>
      </c>
      <c r="Q510" s="53">
        <f>MID(P510,5,2)</f>
        <v/>
      </c>
      <c r="R510" s="53">
        <f>MID(P510,7,2)</f>
        <v/>
      </c>
      <c r="S510" s="3" t="inlineStr">
        <is>
          <t>G2G</t>
        </is>
      </c>
      <c r="T510" s="3" t="inlineStr">
        <is>
          <t>P4</t>
        </is>
      </c>
      <c r="U510" s="3" t="inlineStr">
        <is>
          <t>P JB Cold Soldering</t>
        </is>
      </c>
      <c r="V510" s="3" t="inlineStr">
        <is>
          <t>Soldering</t>
        </is>
      </c>
      <c r="W510" s="3" t="inlineStr">
        <is>
          <t>Repair</t>
        </is>
      </c>
      <c r="X510" s="18" t="n">
        <v>46150</v>
      </c>
      <c r="Y510" s="73">
        <f>IF(X510="","",X510-A510)</f>
        <v/>
      </c>
      <c r="Z510" s="18" t="n">
        <v>46150</v>
      </c>
      <c r="AA510" s="15" t="n"/>
      <c r="AB510" s="15" t="n"/>
      <c r="AF510">
        <f>IF(AND($F510="Closed",$X510&gt;=DATE(2026,5,1),$X510&lt;=DATE(2026,5,31)),"Closed in May","Other")</f>
        <v/>
      </c>
    </row>
    <row r="511">
      <c r="A511" s="6" t="n">
        <v>46107</v>
      </c>
      <c r="B511" s="3" t="n">
        <v>2026</v>
      </c>
      <c r="C511" s="3" t="inlineStr">
        <is>
          <t>Blupine Energy</t>
        </is>
      </c>
      <c r="D511" s="3" t="inlineStr">
        <is>
          <t>Utility and C&amp;I</t>
        </is>
      </c>
      <c r="E511" s="3" t="n"/>
      <c r="F511" s="3" t="inlineStr">
        <is>
          <t>Closed</t>
        </is>
      </c>
      <c r="G511" s="3" t="inlineStr">
        <is>
          <t>Chandrashekar Patidar</t>
        </is>
      </c>
      <c r="H511" s="3" t="n">
        <v>7879764773</v>
      </c>
      <c r="I511" s="11" t="inlineStr">
        <is>
          <t>PE26032601</t>
        </is>
      </c>
      <c r="J511" s="3" t="inlineStr">
        <is>
          <t>Module Diode Failure</t>
        </is>
      </c>
      <c r="K511" s="3" t="inlineStr">
        <is>
          <t>Sadla</t>
        </is>
      </c>
      <c r="L511" s="3" t="inlineStr">
        <is>
          <t>Gujarat</t>
        </is>
      </c>
      <c r="M511" s="9" t="inlineStr">
        <is>
          <t xml:space="preserve">NS </t>
        </is>
      </c>
      <c r="N511" s="3" t="inlineStr">
        <is>
          <t>Cold Soldering</t>
        </is>
      </c>
      <c r="O511" s="3" t="n">
        <v>570</v>
      </c>
      <c r="P511" s="9" t="inlineStr">
        <is>
          <t>NSMI24060096191</t>
        </is>
      </c>
      <c r="Q511" s="53">
        <f>MID(P511,5,2)</f>
        <v/>
      </c>
      <c r="R511" s="53">
        <f>MID(P511,7,2)</f>
        <v/>
      </c>
      <c r="S511" s="3" t="inlineStr">
        <is>
          <t>G2G</t>
        </is>
      </c>
      <c r="T511" s="3" t="inlineStr">
        <is>
          <t>P4</t>
        </is>
      </c>
      <c r="U511" s="3" t="inlineStr">
        <is>
          <t>N JB Cold Soldering</t>
        </is>
      </c>
      <c r="V511" s="3" t="inlineStr">
        <is>
          <t>Soldering</t>
        </is>
      </c>
      <c r="W511" s="3" t="inlineStr">
        <is>
          <t>Repair</t>
        </is>
      </c>
      <c r="X511" s="18" t="n">
        <v>46150</v>
      </c>
      <c r="Y511" s="73">
        <f>IF(X511="","",X511-A511)</f>
        <v/>
      </c>
      <c r="Z511" s="18" t="n">
        <v>46150</v>
      </c>
      <c r="AA511" s="15" t="n"/>
      <c r="AB511" s="15" t="n"/>
      <c r="AF511">
        <f>IF(AND($F511="Closed",$X511&gt;=DATE(2026,5,1),$X511&lt;=DATE(2026,5,31)),"Closed in May","Other")</f>
        <v/>
      </c>
    </row>
    <row r="512">
      <c r="A512" s="6" t="n">
        <v>46107</v>
      </c>
      <c r="B512" s="3" t="n">
        <v>2026</v>
      </c>
      <c r="C512" s="3" t="inlineStr">
        <is>
          <t>Blupine Energy</t>
        </is>
      </c>
      <c r="D512" s="3" t="inlineStr">
        <is>
          <t>Utility and C&amp;I</t>
        </is>
      </c>
      <c r="E512" s="3" t="n"/>
      <c r="F512" s="3" t="inlineStr">
        <is>
          <t>Closed</t>
        </is>
      </c>
      <c r="G512" s="3" t="inlineStr">
        <is>
          <t>Chandrashekar Patidar</t>
        </is>
      </c>
      <c r="H512" s="3" t="n">
        <v>7879764773</v>
      </c>
      <c r="I512" s="11" t="inlineStr">
        <is>
          <t>PE26032601</t>
        </is>
      </c>
      <c r="J512" s="3" t="inlineStr">
        <is>
          <t>Module Diode Failure</t>
        </is>
      </c>
      <c r="K512" s="3" t="inlineStr">
        <is>
          <t>Sadla</t>
        </is>
      </c>
      <c r="L512" s="3" t="inlineStr">
        <is>
          <t>Gujarat</t>
        </is>
      </c>
      <c r="M512" s="9" t="inlineStr">
        <is>
          <t>PS</t>
        </is>
      </c>
      <c r="N512" s="3" t="inlineStr">
        <is>
          <t>Cold Soldering</t>
        </is>
      </c>
      <c r="O512" s="3" t="n">
        <v>570</v>
      </c>
      <c r="P512" s="9" t="inlineStr">
        <is>
          <t>NSMI24060074800</t>
        </is>
      </c>
      <c r="Q512" s="53">
        <f>MID(P512,5,2)</f>
        <v/>
      </c>
      <c r="R512" s="53">
        <f>MID(P512,7,2)</f>
        <v/>
      </c>
      <c r="S512" s="3" t="inlineStr">
        <is>
          <t>G2G</t>
        </is>
      </c>
      <c r="T512" s="3" t="inlineStr">
        <is>
          <t>P4</t>
        </is>
      </c>
      <c r="U512" s="3" t="inlineStr">
        <is>
          <t>P JB Cold Soldering</t>
        </is>
      </c>
      <c r="V512" s="3" t="inlineStr">
        <is>
          <t>Soldering</t>
        </is>
      </c>
      <c r="W512" s="3" t="inlineStr">
        <is>
          <t>Repair</t>
        </is>
      </c>
      <c r="X512" s="18" t="n">
        <v>46150</v>
      </c>
      <c r="Y512" s="73">
        <f>IF(X512="","",X512-A512)</f>
        <v/>
      </c>
      <c r="Z512" s="18" t="n">
        <v>46150</v>
      </c>
      <c r="AA512" s="15" t="n"/>
      <c r="AB512" s="15" t="n"/>
      <c r="AF512">
        <f>IF(AND($F512="Closed",$X512&gt;=DATE(2026,5,1),$X512&lt;=DATE(2026,5,31)),"Closed in May","Other")</f>
        <v/>
      </c>
    </row>
    <row r="513">
      <c r="A513" s="6" t="n">
        <v>46107</v>
      </c>
      <c r="B513" s="3" t="n">
        <v>2026</v>
      </c>
      <c r="C513" s="3" t="inlineStr">
        <is>
          <t>Blupine Energy</t>
        </is>
      </c>
      <c r="D513" s="3" t="inlineStr">
        <is>
          <t>Utility and C&amp;I</t>
        </is>
      </c>
      <c r="E513" s="3" t="n"/>
      <c r="F513" s="3" t="inlineStr">
        <is>
          <t>Closed</t>
        </is>
      </c>
      <c r="G513" s="3" t="inlineStr">
        <is>
          <t>Chandrashekar Patidar</t>
        </is>
      </c>
      <c r="H513" s="3" t="n">
        <v>7879764773</v>
      </c>
      <c r="I513" s="11" t="inlineStr">
        <is>
          <t>PE26032601</t>
        </is>
      </c>
      <c r="J513" s="3" t="inlineStr">
        <is>
          <t>Module Diode Failure</t>
        </is>
      </c>
      <c r="K513" s="3" t="inlineStr">
        <is>
          <t>Sadla</t>
        </is>
      </c>
      <c r="L513" s="3" t="inlineStr">
        <is>
          <t>Gujarat</t>
        </is>
      </c>
      <c r="M513" s="9" t="inlineStr">
        <is>
          <t>PS</t>
        </is>
      </c>
      <c r="N513" s="3" t="inlineStr">
        <is>
          <t>Cold Soldering</t>
        </is>
      </c>
      <c r="O513" s="3" t="n">
        <v>570</v>
      </c>
      <c r="P513" s="9" t="inlineStr">
        <is>
          <t>NSMI24060074679</t>
        </is>
      </c>
      <c r="Q513" s="53">
        <f>MID(P513,5,2)</f>
        <v/>
      </c>
      <c r="R513" s="53">
        <f>MID(P513,7,2)</f>
        <v/>
      </c>
      <c r="S513" s="3" t="inlineStr">
        <is>
          <t>G2G</t>
        </is>
      </c>
      <c r="T513" s="3" t="inlineStr">
        <is>
          <t>P4</t>
        </is>
      </c>
      <c r="U513" s="3" t="inlineStr">
        <is>
          <t>P JB Cold Soldering</t>
        </is>
      </c>
      <c r="V513" s="3" t="inlineStr">
        <is>
          <t>Soldering</t>
        </is>
      </c>
      <c r="W513" s="3" t="inlineStr">
        <is>
          <t>Repair</t>
        </is>
      </c>
      <c r="X513" s="18" t="n">
        <v>46150</v>
      </c>
      <c r="Y513" s="73">
        <f>IF(X513="","",X513-A513)</f>
        <v/>
      </c>
      <c r="Z513" s="18" t="n">
        <v>46150</v>
      </c>
      <c r="AA513" s="15" t="n"/>
      <c r="AB513" s="15" t="n"/>
      <c r="AF513">
        <f>IF(AND($F513="Closed",$X513&gt;=DATE(2026,5,1),$X513&lt;=DATE(2026,5,31)),"Closed in May","Other")</f>
        <v/>
      </c>
    </row>
    <row r="514">
      <c r="A514" s="6" t="n">
        <v>46107</v>
      </c>
      <c r="B514" s="3" t="n">
        <v>2026</v>
      </c>
      <c r="C514" s="3" t="inlineStr">
        <is>
          <t>Blupine Energy</t>
        </is>
      </c>
      <c r="D514" s="3" t="inlineStr">
        <is>
          <t>Utility and C&amp;I</t>
        </is>
      </c>
      <c r="E514" s="3" t="n"/>
      <c r="F514" s="3" t="inlineStr">
        <is>
          <t>Closed</t>
        </is>
      </c>
      <c r="G514" s="3" t="inlineStr">
        <is>
          <t>Chandrashekar Patidar</t>
        </is>
      </c>
      <c r="H514" s="3" t="n">
        <v>7879764773</v>
      </c>
      <c r="I514" s="11" t="inlineStr">
        <is>
          <t>PE26032601</t>
        </is>
      </c>
      <c r="J514" s="3" t="inlineStr">
        <is>
          <t>Module Diode Failure</t>
        </is>
      </c>
      <c r="K514" s="3" t="inlineStr">
        <is>
          <t>Sadla</t>
        </is>
      </c>
      <c r="L514" s="3" t="inlineStr">
        <is>
          <t>Gujarat</t>
        </is>
      </c>
      <c r="M514" s="9" t="inlineStr">
        <is>
          <t xml:space="preserve">NS </t>
        </is>
      </c>
      <c r="N514" s="3" t="inlineStr">
        <is>
          <t>Cold Soldering</t>
        </is>
      </c>
      <c r="O514" s="3" t="n">
        <v>570</v>
      </c>
      <c r="P514" s="9" t="inlineStr">
        <is>
          <t>NSMI24060091937</t>
        </is>
      </c>
      <c r="Q514" s="53">
        <f>MID(P514,5,2)</f>
        <v/>
      </c>
      <c r="R514" s="53">
        <f>MID(P514,7,2)</f>
        <v/>
      </c>
      <c r="S514" s="3" t="inlineStr">
        <is>
          <t>G2G</t>
        </is>
      </c>
      <c r="T514" s="3" t="inlineStr">
        <is>
          <t>P4</t>
        </is>
      </c>
      <c r="U514" s="3" t="inlineStr">
        <is>
          <t>N JB Cold Soldering</t>
        </is>
      </c>
      <c r="V514" s="3" t="inlineStr">
        <is>
          <t>Soldering</t>
        </is>
      </c>
      <c r="W514" s="3" t="inlineStr">
        <is>
          <t>Repair</t>
        </is>
      </c>
      <c r="X514" s="18" t="n">
        <v>46150</v>
      </c>
      <c r="Y514" s="73">
        <f>IF(X514="","",X514-A514)</f>
        <v/>
      </c>
      <c r="Z514" s="18" t="n">
        <v>46150</v>
      </c>
      <c r="AA514" s="15" t="n"/>
      <c r="AB514" s="15" t="n"/>
      <c r="AF514">
        <f>IF(AND($F514="Closed",$X514&gt;=DATE(2026,5,1),$X514&lt;=DATE(2026,5,31)),"Closed in May","Other")</f>
        <v/>
      </c>
    </row>
    <row r="515">
      <c r="A515" s="6" t="n">
        <v>46107</v>
      </c>
      <c r="B515" s="3" t="n">
        <v>2026</v>
      </c>
      <c r="C515" s="3" t="inlineStr">
        <is>
          <t>Blupine Energy</t>
        </is>
      </c>
      <c r="D515" s="3" t="inlineStr">
        <is>
          <t>Utility and C&amp;I</t>
        </is>
      </c>
      <c r="E515" s="3" t="n"/>
      <c r="F515" s="3" t="inlineStr">
        <is>
          <t>Closed</t>
        </is>
      </c>
      <c r="G515" s="3" t="inlineStr">
        <is>
          <t>Chandrashekar Patidar</t>
        </is>
      </c>
      <c r="H515" s="3" t="n">
        <v>7879764773</v>
      </c>
      <c r="I515" s="11" t="inlineStr">
        <is>
          <t>PE26032601</t>
        </is>
      </c>
      <c r="J515" s="3" t="inlineStr">
        <is>
          <t>Module Diode Failure</t>
        </is>
      </c>
      <c r="K515" s="3" t="inlineStr">
        <is>
          <t>Sadla</t>
        </is>
      </c>
      <c r="L515" s="3" t="inlineStr">
        <is>
          <t>Gujarat</t>
        </is>
      </c>
      <c r="M515" s="9" t="inlineStr">
        <is>
          <t>PS</t>
        </is>
      </c>
      <c r="N515" s="3" t="inlineStr">
        <is>
          <t>Cold Soldering</t>
        </is>
      </c>
      <c r="O515" s="3" t="n">
        <v>570</v>
      </c>
      <c r="P515" s="9" t="inlineStr">
        <is>
          <t>NSMI24060093841</t>
        </is>
      </c>
      <c r="Q515" s="53">
        <f>MID(P515,5,2)</f>
        <v/>
      </c>
      <c r="R515" s="53">
        <f>MID(P515,7,2)</f>
        <v/>
      </c>
      <c r="S515" s="3" t="inlineStr">
        <is>
          <t>G2G</t>
        </is>
      </c>
      <c r="T515" s="3" t="inlineStr">
        <is>
          <t>P4</t>
        </is>
      </c>
      <c r="U515" s="3" t="inlineStr">
        <is>
          <t>P JB Cold Soldering</t>
        </is>
      </c>
      <c r="V515" s="3" t="inlineStr">
        <is>
          <t>Soldering</t>
        </is>
      </c>
      <c r="W515" s="3" t="inlineStr">
        <is>
          <t>Repair</t>
        </is>
      </c>
      <c r="X515" s="18" t="n">
        <v>46150</v>
      </c>
      <c r="Y515" s="73">
        <f>IF(X515="","",X515-A515)</f>
        <v/>
      </c>
      <c r="Z515" s="18" t="n">
        <v>46150</v>
      </c>
      <c r="AA515" s="15" t="n"/>
      <c r="AB515" s="15" t="n"/>
      <c r="AF515">
        <f>IF(AND($F515="Closed",$X515&gt;=DATE(2026,5,1),$X515&lt;=DATE(2026,5,31)),"Closed in May","Other")</f>
        <v/>
      </c>
    </row>
    <row r="516">
      <c r="A516" s="6" t="n">
        <v>46107</v>
      </c>
      <c r="B516" s="3" t="n">
        <v>2026</v>
      </c>
      <c r="C516" s="3" t="inlineStr">
        <is>
          <t>Blupine Energy</t>
        </is>
      </c>
      <c r="D516" s="3" t="inlineStr">
        <is>
          <t>Utility and C&amp;I</t>
        </is>
      </c>
      <c r="E516" s="3" t="n"/>
      <c r="F516" s="3" t="inlineStr">
        <is>
          <t>Closed</t>
        </is>
      </c>
      <c r="G516" s="3" t="inlineStr">
        <is>
          <t>Chandrashekar Patidar</t>
        </is>
      </c>
      <c r="H516" s="3" t="n">
        <v>7879764773</v>
      </c>
      <c r="I516" s="11" t="inlineStr">
        <is>
          <t>PE26032601</t>
        </is>
      </c>
      <c r="J516" s="3" t="inlineStr">
        <is>
          <t>Module Diode Failure</t>
        </is>
      </c>
      <c r="K516" s="3" t="inlineStr">
        <is>
          <t>Sadla</t>
        </is>
      </c>
      <c r="L516" s="3" t="inlineStr">
        <is>
          <t>Gujarat</t>
        </is>
      </c>
      <c r="M516" s="9" t="inlineStr">
        <is>
          <t>NS</t>
        </is>
      </c>
      <c r="N516" s="3" t="inlineStr">
        <is>
          <t>Cold Soldering</t>
        </is>
      </c>
      <c r="O516" s="3" t="n">
        <v>570</v>
      </c>
      <c r="P516" s="9" t="inlineStr">
        <is>
          <t>NSMI24060098375</t>
        </is>
      </c>
      <c r="Q516" s="53">
        <f>MID(P516,5,2)</f>
        <v/>
      </c>
      <c r="R516" s="53">
        <f>MID(P516,7,2)</f>
        <v/>
      </c>
      <c r="S516" s="3" t="inlineStr">
        <is>
          <t>G2G</t>
        </is>
      </c>
      <c r="T516" s="3" t="inlineStr">
        <is>
          <t>P4</t>
        </is>
      </c>
      <c r="U516" s="3" t="inlineStr">
        <is>
          <t>N JB Cold Soldering &amp; Glass Breakage</t>
        </is>
      </c>
      <c r="V516" s="3" t="inlineStr">
        <is>
          <t>Soldering</t>
        </is>
      </c>
      <c r="W516" s="3" t="inlineStr">
        <is>
          <t>Repair</t>
        </is>
      </c>
      <c r="X516" s="18" t="n">
        <v>46150</v>
      </c>
      <c r="Y516" s="73">
        <f>IF(X516="","",X516-A516)</f>
        <v/>
      </c>
      <c r="Z516" s="18" t="n">
        <v>46150</v>
      </c>
      <c r="AA516" s="15" t="n"/>
      <c r="AB516" s="15" t="n"/>
      <c r="AF516">
        <f>IF(AND($F516="Closed",$X516&gt;=DATE(2026,5,1),$X516&lt;=DATE(2026,5,31)),"Closed in May","Other")</f>
        <v/>
      </c>
    </row>
    <row r="517">
      <c r="A517" s="6" t="n">
        <v>46107</v>
      </c>
      <c r="B517" s="3" t="n">
        <v>2026</v>
      </c>
      <c r="C517" s="3" t="inlineStr">
        <is>
          <t>Blupine Energy</t>
        </is>
      </c>
      <c r="D517" s="3" t="inlineStr">
        <is>
          <t>Utility and C&amp;I</t>
        </is>
      </c>
      <c r="E517" s="3" t="n"/>
      <c r="F517" s="3" t="inlineStr">
        <is>
          <t>Closed</t>
        </is>
      </c>
      <c r="G517" s="3" t="inlineStr">
        <is>
          <t>Chandrashekar Patidar</t>
        </is>
      </c>
      <c r="H517" s="3" t="n">
        <v>7879764773</v>
      </c>
      <c r="I517" s="11" t="inlineStr">
        <is>
          <t>PE26032601</t>
        </is>
      </c>
      <c r="J517" s="3" t="inlineStr">
        <is>
          <t>Module Diode Failure</t>
        </is>
      </c>
      <c r="K517" s="3" t="inlineStr">
        <is>
          <t>Sadla</t>
        </is>
      </c>
      <c r="L517" s="3" t="inlineStr">
        <is>
          <t>Gujarat</t>
        </is>
      </c>
      <c r="M517" s="9" t="inlineStr">
        <is>
          <t xml:space="preserve">NS </t>
        </is>
      </c>
      <c r="N517" s="3" t="inlineStr">
        <is>
          <t>Cold Soldering</t>
        </is>
      </c>
      <c r="O517" s="3" t="n">
        <v>570</v>
      </c>
      <c r="P517" s="9" t="inlineStr">
        <is>
          <t>NSMI24060094142</t>
        </is>
      </c>
      <c r="Q517" s="53">
        <f>MID(P517,5,2)</f>
        <v/>
      </c>
      <c r="R517" s="53">
        <f>MID(P517,7,2)</f>
        <v/>
      </c>
      <c r="S517" s="3" t="inlineStr">
        <is>
          <t>G2G</t>
        </is>
      </c>
      <c r="T517" s="3" t="inlineStr">
        <is>
          <t>P4</t>
        </is>
      </c>
      <c r="U517" s="3" t="inlineStr">
        <is>
          <t>N JB Cold Soldering</t>
        </is>
      </c>
      <c r="V517" s="3" t="inlineStr">
        <is>
          <t>Soldering</t>
        </is>
      </c>
      <c r="W517" s="3" t="inlineStr">
        <is>
          <t>Repair</t>
        </is>
      </c>
      <c r="X517" s="18" t="n">
        <v>46150</v>
      </c>
      <c r="Y517" s="73">
        <f>IF(X517="","",X517-A517)</f>
        <v/>
      </c>
      <c r="Z517" s="18" t="n">
        <v>46150</v>
      </c>
      <c r="AA517" s="15" t="n"/>
      <c r="AB517" s="15" t="n"/>
      <c r="AF517">
        <f>IF(AND($F517="Closed",$X517&gt;=DATE(2026,5,1),$X517&lt;=DATE(2026,5,31)),"Closed in May","Other")</f>
        <v/>
      </c>
    </row>
    <row r="518">
      <c r="A518" s="6" t="n">
        <v>46107</v>
      </c>
      <c r="B518" s="3" t="n">
        <v>2026</v>
      </c>
      <c r="C518" s="3" t="inlineStr">
        <is>
          <t>Blupine Energy</t>
        </is>
      </c>
      <c r="D518" s="3" t="inlineStr">
        <is>
          <t>Utility and C&amp;I</t>
        </is>
      </c>
      <c r="E518" s="3" t="n"/>
      <c r="F518" s="3" t="inlineStr">
        <is>
          <t>Closed</t>
        </is>
      </c>
      <c r="G518" s="3" t="inlineStr">
        <is>
          <t>Chandrashekar Patidar</t>
        </is>
      </c>
      <c r="H518" s="3" t="n">
        <v>7879764773</v>
      </c>
      <c r="I518" s="11" t="inlineStr">
        <is>
          <t>PE26032601</t>
        </is>
      </c>
      <c r="J518" s="3" t="inlineStr">
        <is>
          <t>Module Diode Failure</t>
        </is>
      </c>
      <c r="K518" s="3" t="inlineStr">
        <is>
          <t>Sadla</t>
        </is>
      </c>
      <c r="L518" s="3" t="inlineStr">
        <is>
          <t>Gujarat</t>
        </is>
      </c>
      <c r="M518" s="9" t="inlineStr">
        <is>
          <t>NR</t>
        </is>
      </c>
      <c r="N518" s="3" t="inlineStr">
        <is>
          <t>JB Issue</t>
        </is>
      </c>
      <c r="O518" s="3" t="n">
        <v>570</v>
      </c>
      <c r="P518" s="9" t="inlineStr">
        <is>
          <t>NSMI24060093015</t>
        </is>
      </c>
      <c r="Q518" s="53">
        <f>MID(P518,5,2)</f>
        <v/>
      </c>
      <c r="R518" s="53">
        <f>MID(P518,7,2)</f>
        <v/>
      </c>
      <c r="S518" s="3" t="inlineStr">
        <is>
          <t>G2G</t>
        </is>
      </c>
      <c r="T518" s="3" t="inlineStr">
        <is>
          <t>P4</t>
        </is>
      </c>
      <c r="U518" s="3" t="inlineStr">
        <is>
          <t>N JB Issue</t>
        </is>
      </c>
      <c r="V518" s="3" t="inlineStr">
        <is>
          <t>JB Changed</t>
        </is>
      </c>
      <c r="W518" s="3" t="inlineStr">
        <is>
          <t>Repair</t>
        </is>
      </c>
      <c r="X518" s="18" t="n">
        <v>46150</v>
      </c>
      <c r="Y518" s="73">
        <f>IF(X518="","",X518-A518)</f>
        <v/>
      </c>
      <c r="Z518" s="18" t="n">
        <v>46150</v>
      </c>
      <c r="AA518" s="15" t="n"/>
      <c r="AB518" s="15" t="n"/>
      <c r="AF518">
        <f>IF(AND($F518="Closed",$X518&gt;=DATE(2026,5,1),$X518&lt;=DATE(2026,5,31)),"Closed in May","Other")</f>
        <v/>
      </c>
    </row>
    <row r="519">
      <c r="A519" s="6" t="n">
        <v>46107</v>
      </c>
      <c r="B519" s="3" t="n">
        <v>2026</v>
      </c>
      <c r="C519" s="3" t="inlineStr">
        <is>
          <t>Blupine Energy</t>
        </is>
      </c>
      <c r="D519" s="3" t="inlineStr">
        <is>
          <t>Utility and C&amp;I</t>
        </is>
      </c>
      <c r="E519" s="3" t="n"/>
      <c r="F519" s="3" t="inlineStr">
        <is>
          <t>Closed</t>
        </is>
      </c>
      <c r="G519" s="3" t="inlineStr">
        <is>
          <t>Chandrashekar Patidar</t>
        </is>
      </c>
      <c r="H519" s="3" t="n">
        <v>7879764773</v>
      </c>
      <c r="I519" s="11" t="inlineStr">
        <is>
          <t>PE26032601</t>
        </is>
      </c>
      <c r="J519" s="3" t="inlineStr">
        <is>
          <t>Module Diode Failure</t>
        </is>
      </c>
      <c r="K519" s="3" t="inlineStr">
        <is>
          <t>Sadla</t>
        </is>
      </c>
      <c r="L519" s="3" t="inlineStr">
        <is>
          <t>Gujarat</t>
        </is>
      </c>
      <c r="M519" s="9" t="inlineStr">
        <is>
          <t xml:space="preserve">NS </t>
        </is>
      </c>
      <c r="N519" s="3" t="inlineStr">
        <is>
          <t>Cold Soldering</t>
        </is>
      </c>
      <c r="O519" s="3" t="n">
        <v>570</v>
      </c>
      <c r="P519" s="9" t="inlineStr">
        <is>
          <t>NSMI24060084638</t>
        </is>
      </c>
      <c r="Q519" s="53">
        <f>MID(P519,5,2)</f>
        <v/>
      </c>
      <c r="R519" s="53">
        <f>MID(P519,7,2)</f>
        <v/>
      </c>
      <c r="S519" s="3" t="inlineStr">
        <is>
          <t>G2G</t>
        </is>
      </c>
      <c r="T519" s="3" t="inlineStr">
        <is>
          <t>P4</t>
        </is>
      </c>
      <c r="U519" s="3" t="inlineStr">
        <is>
          <t>N JB Cold Soldering</t>
        </is>
      </c>
      <c r="V519" s="3" t="inlineStr">
        <is>
          <t>Soldering</t>
        </is>
      </c>
      <c r="W519" s="3" t="inlineStr">
        <is>
          <t>Repair</t>
        </is>
      </c>
      <c r="X519" s="18" t="n">
        <v>46150</v>
      </c>
      <c r="Y519" s="73">
        <f>IF(X519="","",X519-A519)</f>
        <v/>
      </c>
      <c r="Z519" s="18" t="n">
        <v>46150</v>
      </c>
      <c r="AA519" s="15" t="n"/>
      <c r="AB519" s="15" t="n"/>
      <c r="AF519">
        <f>IF(AND($F519="Closed",$X519&gt;=DATE(2026,5,1),$X519&lt;=DATE(2026,5,31)),"Closed in May","Other")</f>
        <v/>
      </c>
    </row>
    <row r="520">
      <c r="A520" s="6" t="n">
        <v>46107</v>
      </c>
      <c r="B520" s="3" t="n">
        <v>2026</v>
      </c>
      <c r="C520" s="3" t="inlineStr">
        <is>
          <t>Blupine Energy</t>
        </is>
      </c>
      <c r="D520" s="3" t="inlineStr">
        <is>
          <t>Utility and C&amp;I</t>
        </is>
      </c>
      <c r="E520" s="3" t="n"/>
      <c r="F520" s="3" t="inlineStr">
        <is>
          <t>Closed</t>
        </is>
      </c>
      <c r="G520" s="3" t="inlineStr">
        <is>
          <t>Chandrashekar Patidar</t>
        </is>
      </c>
      <c r="H520" s="3" t="n">
        <v>7879764773</v>
      </c>
      <c r="I520" s="11" t="inlineStr">
        <is>
          <t>PE26032601</t>
        </is>
      </c>
      <c r="J520" s="3" t="inlineStr">
        <is>
          <t>Module Diode Failure</t>
        </is>
      </c>
      <c r="K520" s="3" t="inlineStr">
        <is>
          <t>Sadla</t>
        </is>
      </c>
      <c r="L520" s="3" t="inlineStr">
        <is>
          <t>Gujarat</t>
        </is>
      </c>
      <c r="M520" s="9" t="inlineStr">
        <is>
          <t xml:space="preserve">NS </t>
        </is>
      </c>
      <c r="N520" s="3" t="inlineStr">
        <is>
          <t>Cold Soldering</t>
        </is>
      </c>
      <c r="O520" s="3" t="n">
        <v>570</v>
      </c>
      <c r="P520" s="9" t="inlineStr">
        <is>
          <t>NSMI24060091994</t>
        </is>
      </c>
      <c r="Q520" s="53">
        <f>MID(P520,5,2)</f>
        <v/>
      </c>
      <c r="R520" s="53">
        <f>MID(P520,7,2)</f>
        <v/>
      </c>
      <c r="S520" s="3" t="inlineStr">
        <is>
          <t>G2G</t>
        </is>
      </c>
      <c r="T520" s="3" t="inlineStr">
        <is>
          <t>P4</t>
        </is>
      </c>
      <c r="U520" s="3" t="inlineStr">
        <is>
          <t>N JB Cold Soldering</t>
        </is>
      </c>
      <c r="V520" s="3" t="inlineStr">
        <is>
          <t>Soldering</t>
        </is>
      </c>
      <c r="W520" s="3" t="inlineStr">
        <is>
          <t>Repair</t>
        </is>
      </c>
      <c r="X520" s="18" t="n">
        <v>46150</v>
      </c>
      <c r="Y520" s="73">
        <f>IF(X520="","",X520-A520)</f>
        <v/>
      </c>
      <c r="Z520" s="18" t="n">
        <v>46150</v>
      </c>
      <c r="AA520" s="15" t="n"/>
      <c r="AB520" s="15" t="n"/>
      <c r="AF520">
        <f>IF(AND($F520="Closed",$X520&gt;=DATE(2026,5,1),$X520&lt;=DATE(2026,5,31)),"Closed in May","Other")</f>
        <v/>
      </c>
    </row>
    <row r="521">
      <c r="A521" s="6" t="n">
        <v>46107</v>
      </c>
      <c r="B521" s="3" t="n">
        <v>2026</v>
      </c>
      <c r="C521" s="3" t="inlineStr">
        <is>
          <t>Blupine Energy</t>
        </is>
      </c>
      <c r="D521" s="3" t="inlineStr">
        <is>
          <t>Utility and C&amp;I</t>
        </is>
      </c>
      <c r="E521" s="3" t="n"/>
      <c r="F521" s="3" t="inlineStr">
        <is>
          <t>Closed</t>
        </is>
      </c>
      <c r="G521" s="3" t="inlineStr">
        <is>
          <t>Chandrashekar Patidar</t>
        </is>
      </c>
      <c r="H521" s="3" t="n">
        <v>7879764773</v>
      </c>
      <c r="I521" s="11" t="inlineStr">
        <is>
          <t>PE26032601</t>
        </is>
      </c>
      <c r="J521" s="3" t="inlineStr">
        <is>
          <t>Module Diode Failure</t>
        </is>
      </c>
      <c r="K521" s="3" t="inlineStr">
        <is>
          <t>Sadla</t>
        </is>
      </c>
      <c r="L521" s="3" t="inlineStr">
        <is>
          <t>Gujarat</t>
        </is>
      </c>
      <c r="M521" s="9" t="inlineStr">
        <is>
          <t>PS</t>
        </is>
      </c>
      <c r="N521" s="3" t="inlineStr">
        <is>
          <t>Cold Soldering</t>
        </is>
      </c>
      <c r="O521" s="3" t="n">
        <v>570</v>
      </c>
      <c r="P521" s="9" t="inlineStr">
        <is>
          <t>NSMI24050060530</t>
        </is>
      </c>
      <c r="Q521" s="53">
        <f>MID(P521,5,2)</f>
        <v/>
      </c>
      <c r="R521" s="53">
        <f>MID(P521,7,2)</f>
        <v/>
      </c>
      <c r="S521" s="3" t="inlineStr">
        <is>
          <t>G2G</t>
        </is>
      </c>
      <c r="T521" s="3" t="inlineStr">
        <is>
          <t>P4</t>
        </is>
      </c>
      <c r="U521" s="3" t="inlineStr">
        <is>
          <t>P JB Cold Soldering</t>
        </is>
      </c>
      <c r="V521" s="3" t="inlineStr">
        <is>
          <t>Soldering</t>
        </is>
      </c>
      <c r="W521" s="3" t="inlineStr">
        <is>
          <t>Repair</t>
        </is>
      </c>
      <c r="X521" s="18" t="n">
        <v>46150</v>
      </c>
      <c r="Y521" s="73">
        <f>IF(X521="","",X521-A521)</f>
        <v/>
      </c>
      <c r="Z521" s="18" t="n">
        <v>46150</v>
      </c>
      <c r="AA521" s="15" t="n"/>
      <c r="AB521" s="15" t="n"/>
      <c r="AF521">
        <f>IF(AND($F521="Closed",$X521&gt;=DATE(2026,5,1),$X521&lt;=DATE(2026,5,31)),"Closed in May","Other")</f>
        <v/>
      </c>
    </row>
    <row r="522">
      <c r="A522" s="6" t="n">
        <v>46107</v>
      </c>
      <c r="B522" s="3" t="n">
        <v>2026</v>
      </c>
      <c r="C522" s="3" t="inlineStr">
        <is>
          <t>Blupine Energy</t>
        </is>
      </c>
      <c r="D522" s="3" t="inlineStr">
        <is>
          <t>Utility and C&amp;I</t>
        </is>
      </c>
      <c r="E522" s="3" t="n"/>
      <c r="F522" s="3" t="inlineStr">
        <is>
          <t>Closed</t>
        </is>
      </c>
      <c r="G522" s="3" t="inlineStr">
        <is>
          <t>Chandrashekar Patidar</t>
        </is>
      </c>
      <c r="H522" s="3" t="n">
        <v>7879764773</v>
      </c>
      <c r="I522" s="11" t="inlineStr">
        <is>
          <t>PE26032601</t>
        </is>
      </c>
      <c r="J522" s="3" t="inlineStr">
        <is>
          <t>Module Diode Failure</t>
        </is>
      </c>
      <c r="K522" s="3" t="inlineStr">
        <is>
          <t>Sadla</t>
        </is>
      </c>
      <c r="L522" s="3" t="inlineStr">
        <is>
          <t>Gujarat</t>
        </is>
      </c>
      <c r="M522" s="9" t="inlineStr">
        <is>
          <t>PS</t>
        </is>
      </c>
      <c r="N522" s="3" t="inlineStr">
        <is>
          <t>Cold Soldering</t>
        </is>
      </c>
      <c r="O522" s="3" t="n">
        <v>570</v>
      </c>
      <c r="P522" s="9" t="inlineStr">
        <is>
          <t>NSMI24050060533</t>
        </is>
      </c>
      <c r="Q522" s="53">
        <f>MID(P522,5,2)</f>
        <v/>
      </c>
      <c r="R522" s="53">
        <f>MID(P522,7,2)</f>
        <v/>
      </c>
      <c r="S522" s="3" t="inlineStr">
        <is>
          <t>G2G</t>
        </is>
      </c>
      <c r="T522" s="3" t="inlineStr">
        <is>
          <t>P4</t>
        </is>
      </c>
      <c r="U522" s="3" t="inlineStr">
        <is>
          <t>P JB Cold Soldering</t>
        </is>
      </c>
      <c r="V522" s="3" t="inlineStr">
        <is>
          <t>Soldering</t>
        </is>
      </c>
      <c r="W522" s="3" t="inlineStr">
        <is>
          <t>Repair</t>
        </is>
      </c>
      <c r="X522" s="18" t="n">
        <v>46150</v>
      </c>
      <c r="Y522" s="73">
        <f>IF(X522="","",X522-A522)</f>
        <v/>
      </c>
      <c r="Z522" s="18" t="n">
        <v>46150</v>
      </c>
      <c r="AA522" s="15" t="n"/>
      <c r="AB522" s="15" t="n"/>
      <c r="AF522">
        <f>IF(AND($F522="Closed",$X522&gt;=DATE(2026,5,1),$X522&lt;=DATE(2026,5,31)),"Closed in May","Other")</f>
        <v/>
      </c>
    </row>
    <row r="523">
      <c r="A523" s="6" t="n">
        <v>46107</v>
      </c>
      <c r="B523" s="3" t="n">
        <v>2026</v>
      </c>
      <c r="C523" s="3" t="inlineStr">
        <is>
          <t>Blupine Energy</t>
        </is>
      </c>
      <c r="D523" s="3" t="inlineStr">
        <is>
          <t>Utility and C&amp;I</t>
        </is>
      </c>
      <c r="E523" s="3" t="n"/>
      <c r="F523" s="3" t="inlineStr">
        <is>
          <t>Closed</t>
        </is>
      </c>
      <c r="G523" s="3" t="inlineStr">
        <is>
          <t>Chandrashekar Patidar</t>
        </is>
      </c>
      <c r="H523" s="3" t="n">
        <v>7879764773</v>
      </c>
      <c r="I523" s="11" t="inlineStr">
        <is>
          <t>PE26032601</t>
        </is>
      </c>
      <c r="J523" s="3" t="inlineStr">
        <is>
          <t>Module Diode Failure</t>
        </is>
      </c>
      <c r="K523" s="3" t="inlineStr">
        <is>
          <t>Sadla</t>
        </is>
      </c>
      <c r="L523" s="3" t="inlineStr">
        <is>
          <t>Gujarat</t>
        </is>
      </c>
      <c r="M523" s="9" t="inlineStr">
        <is>
          <t xml:space="preserve">NS </t>
        </is>
      </c>
      <c r="N523" s="3" t="inlineStr">
        <is>
          <t>Cold Soldering</t>
        </is>
      </c>
      <c r="O523" s="3" t="n">
        <v>570</v>
      </c>
      <c r="P523" s="9" t="inlineStr">
        <is>
          <t>NSMI24060079615</t>
        </is>
      </c>
      <c r="Q523" s="53">
        <f>MID(P523,5,2)</f>
        <v/>
      </c>
      <c r="R523" s="53">
        <f>MID(P523,7,2)</f>
        <v/>
      </c>
      <c r="S523" s="3" t="inlineStr">
        <is>
          <t>G2G</t>
        </is>
      </c>
      <c r="T523" s="3" t="inlineStr">
        <is>
          <t>P4</t>
        </is>
      </c>
      <c r="U523" s="3" t="inlineStr">
        <is>
          <t>N JB Cold Soldering</t>
        </is>
      </c>
      <c r="V523" s="3" t="inlineStr">
        <is>
          <t>Soldering</t>
        </is>
      </c>
      <c r="W523" s="3" t="inlineStr">
        <is>
          <t>Repair</t>
        </is>
      </c>
      <c r="X523" s="18" t="n">
        <v>46150</v>
      </c>
      <c r="Y523" s="73">
        <f>IF(X523="","",X523-A523)</f>
        <v/>
      </c>
      <c r="Z523" s="18" t="n">
        <v>46150</v>
      </c>
      <c r="AA523" s="15" t="n"/>
      <c r="AB523" s="15" t="n"/>
      <c r="AF523">
        <f>IF(AND($F523="Closed",$X523&gt;=DATE(2026,5,1),$X523&lt;=DATE(2026,5,31)),"Closed in May","Other")</f>
        <v/>
      </c>
    </row>
    <row r="524">
      <c r="A524" s="6" t="n">
        <v>46107</v>
      </c>
      <c r="B524" s="3" t="n">
        <v>2026</v>
      </c>
      <c r="C524" s="3" t="inlineStr">
        <is>
          <t>Blupine Energy</t>
        </is>
      </c>
      <c r="D524" s="3" t="inlineStr">
        <is>
          <t>Utility and C&amp;I</t>
        </is>
      </c>
      <c r="E524" s="3" t="n"/>
      <c r="F524" s="3" t="inlineStr">
        <is>
          <t>Closed</t>
        </is>
      </c>
      <c r="G524" s="3" t="inlineStr">
        <is>
          <t>Chandrashekar Patidar</t>
        </is>
      </c>
      <c r="H524" s="3" t="n">
        <v>7879764773</v>
      </c>
      <c r="I524" s="11" t="inlineStr">
        <is>
          <t>PE26032601</t>
        </is>
      </c>
      <c r="J524" s="3" t="inlineStr">
        <is>
          <t>Module Diode Failure</t>
        </is>
      </c>
      <c r="K524" s="3" t="inlineStr">
        <is>
          <t>Sadla</t>
        </is>
      </c>
      <c r="L524" s="3" t="inlineStr">
        <is>
          <t>Gujarat</t>
        </is>
      </c>
      <c r="M524" s="9" t="inlineStr">
        <is>
          <t>PR</t>
        </is>
      </c>
      <c r="N524" s="3" t="inlineStr">
        <is>
          <t>JB Issue</t>
        </is>
      </c>
      <c r="O524" s="3" t="n">
        <v>570</v>
      </c>
      <c r="P524" s="9" t="inlineStr">
        <is>
          <t>NSMI24060091153</t>
        </is>
      </c>
      <c r="Q524" s="53">
        <f>MID(P524,5,2)</f>
        <v/>
      </c>
      <c r="R524" s="53">
        <f>MID(P524,7,2)</f>
        <v/>
      </c>
      <c r="S524" s="3" t="inlineStr">
        <is>
          <t>G2G</t>
        </is>
      </c>
      <c r="T524" s="3" t="inlineStr">
        <is>
          <t>P4</t>
        </is>
      </c>
      <c r="U524" s="3" t="inlineStr">
        <is>
          <t>P JB Issue</t>
        </is>
      </c>
      <c r="V524" s="15" t="inlineStr">
        <is>
          <t>JB Changed</t>
        </is>
      </c>
      <c r="W524" s="3" t="inlineStr">
        <is>
          <t>Repair</t>
        </is>
      </c>
      <c r="X524" s="18" t="n">
        <v>46150</v>
      </c>
      <c r="Y524" s="73">
        <f>IF(X524="","",X524-A524)</f>
        <v/>
      </c>
      <c r="Z524" s="18" t="n">
        <v>46150</v>
      </c>
      <c r="AA524" s="15" t="n"/>
      <c r="AB524" s="15" t="n"/>
      <c r="AF524">
        <f>IF(AND($F524="Closed",$X524&gt;=DATE(2026,5,1),$X524&lt;=DATE(2026,5,31)),"Closed in May","Other")</f>
        <v/>
      </c>
    </row>
    <row r="525">
      <c r="A525" s="6" t="n">
        <v>46107</v>
      </c>
      <c r="B525" s="3" t="n">
        <v>2026</v>
      </c>
      <c r="C525" s="3" t="inlineStr">
        <is>
          <t>Blupine Energy</t>
        </is>
      </c>
      <c r="D525" s="3" t="inlineStr">
        <is>
          <t>Utility and C&amp;I</t>
        </is>
      </c>
      <c r="E525" s="3" t="n"/>
      <c r="F525" s="3" t="inlineStr">
        <is>
          <t>Closed</t>
        </is>
      </c>
      <c r="G525" s="3" t="inlineStr">
        <is>
          <t>Chandrashekar Patidar</t>
        </is>
      </c>
      <c r="H525" s="3" t="n">
        <v>7879764773</v>
      </c>
      <c r="I525" s="11" t="inlineStr">
        <is>
          <t>PE26032601</t>
        </is>
      </c>
      <c r="J525" s="3" t="inlineStr">
        <is>
          <t>Module Diode Failure</t>
        </is>
      </c>
      <c r="K525" s="3" t="inlineStr">
        <is>
          <t>Sadla</t>
        </is>
      </c>
      <c r="L525" s="3" t="inlineStr">
        <is>
          <t>Gujarat</t>
        </is>
      </c>
      <c r="M525" s="9" t="inlineStr">
        <is>
          <t xml:space="preserve">NS </t>
        </is>
      </c>
      <c r="N525" s="3" t="inlineStr">
        <is>
          <t>Cold Soldering</t>
        </is>
      </c>
      <c r="O525" s="3" t="n">
        <v>570</v>
      </c>
      <c r="P525" s="9" t="inlineStr">
        <is>
          <t>NSMI24060135706</t>
        </is>
      </c>
      <c r="Q525" s="53">
        <f>MID(P525,5,2)</f>
        <v/>
      </c>
      <c r="R525" s="53">
        <f>MID(P525,7,2)</f>
        <v/>
      </c>
      <c r="S525" s="3" t="inlineStr">
        <is>
          <t>G2G</t>
        </is>
      </c>
      <c r="T525" s="3" t="inlineStr">
        <is>
          <t>P4</t>
        </is>
      </c>
      <c r="U525" s="3" t="inlineStr">
        <is>
          <t>N JB Cold Soldering</t>
        </is>
      </c>
      <c r="V525" s="3" t="inlineStr">
        <is>
          <t>Soldering</t>
        </is>
      </c>
      <c r="W525" s="3" t="inlineStr">
        <is>
          <t>Repair</t>
        </is>
      </c>
      <c r="X525" s="18" t="n">
        <v>46150</v>
      </c>
      <c r="Y525" s="73">
        <f>IF(X525="","",X525-A525)</f>
        <v/>
      </c>
      <c r="Z525" s="18" t="n">
        <v>46150</v>
      </c>
      <c r="AA525" s="15" t="n"/>
      <c r="AB525" s="15" t="n"/>
      <c r="AF525">
        <f>IF(AND($F525="Closed",$X525&gt;=DATE(2026,5,1),$X525&lt;=DATE(2026,5,31)),"Closed in May","Other")</f>
        <v/>
      </c>
    </row>
    <row r="526">
      <c r="A526" s="6" t="n">
        <v>46107</v>
      </c>
      <c r="B526" s="3" t="n">
        <v>2026</v>
      </c>
      <c r="C526" s="3" t="inlineStr">
        <is>
          <t>Blupine Energy</t>
        </is>
      </c>
      <c r="D526" s="3" t="inlineStr">
        <is>
          <t>Utility and C&amp;I</t>
        </is>
      </c>
      <c r="E526" s="3" t="n"/>
      <c r="F526" s="3" t="inlineStr">
        <is>
          <t>Closed</t>
        </is>
      </c>
      <c r="G526" s="3" t="inlineStr">
        <is>
          <t>Chandrashekar Patidar</t>
        </is>
      </c>
      <c r="H526" s="3" t="n">
        <v>7879764773</v>
      </c>
      <c r="I526" s="11" t="inlineStr">
        <is>
          <t>PE26032601</t>
        </is>
      </c>
      <c r="J526" s="3" t="inlineStr">
        <is>
          <t>Module Diode Failure</t>
        </is>
      </c>
      <c r="K526" s="3" t="inlineStr">
        <is>
          <t>Sadla</t>
        </is>
      </c>
      <c r="L526" s="3" t="inlineStr">
        <is>
          <t>Gujarat</t>
        </is>
      </c>
      <c r="M526" s="9" t="inlineStr">
        <is>
          <t xml:space="preserve">NS </t>
        </is>
      </c>
      <c r="N526" s="3" t="inlineStr">
        <is>
          <t>Cold Soldering</t>
        </is>
      </c>
      <c r="O526" s="3" t="n">
        <v>570</v>
      </c>
      <c r="P526" s="9" t="inlineStr">
        <is>
          <t>NSMI24050048532</t>
        </is>
      </c>
      <c r="Q526" s="53">
        <f>MID(P526,5,2)</f>
        <v/>
      </c>
      <c r="R526" s="53">
        <f>MID(P526,7,2)</f>
        <v/>
      </c>
      <c r="S526" s="3" t="inlineStr">
        <is>
          <t>G2G</t>
        </is>
      </c>
      <c r="T526" s="3" t="inlineStr">
        <is>
          <t>P4</t>
        </is>
      </c>
      <c r="U526" s="3" t="inlineStr">
        <is>
          <t>N JB Cold Soldering</t>
        </is>
      </c>
      <c r="V526" s="3" t="inlineStr">
        <is>
          <t>Soldering</t>
        </is>
      </c>
      <c r="W526" s="3" t="inlineStr">
        <is>
          <t>Repair</t>
        </is>
      </c>
      <c r="X526" s="18" t="n">
        <v>46150</v>
      </c>
      <c r="Y526" s="73">
        <f>IF(X526="","",X526-A526)</f>
        <v/>
      </c>
      <c r="Z526" s="18" t="n">
        <v>46150</v>
      </c>
      <c r="AA526" s="15" t="n"/>
      <c r="AB526" s="15" t="n"/>
      <c r="AF526">
        <f>IF(AND($F526="Closed",$X526&gt;=DATE(2026,5,1),$X526&lt;=DATE(2026,5,31)),"Closed in May","Other")</f>
        <v/>
      </c>
    </row>
    <row r="527">
      <c r="A527" s="6" t="n">
        <v>46107</v>
      </c>
      <c r="B527" s="3" t="n">
        <v>2026</v>
      </c>
      <c r="C527" s="3" t="inlineStr">
        <is>
          <t>Blupine Energy</t>
        </is>
      </c>
      <c r="D527" s="3" t="inlineStr">
        <is>
          <t>Utility and C&amp;I</t>
        </is>
      </c>
      <c r="E527" s="3" t="n"/>
      <c r="F527" s="3" t="inlineStr">
        <is>
          <t>Closed</t>
        </is>
      </c>
      <c r="G527" s="3" t="inlineStr">
        <is>
          <t>Chandrashekar Patidar</t>
        </is>
      </c>
      <c r="H527" s="3" t="n">
        <v>7879764773</v>
      </c>
      <c r="I527" s="11" t="inlineStr">
        <is>
          <t>PE26032601</t>
        </is>
      </c>
      <c r="J527" s="3" t="inlineStr">
        <is>
          <t>Module Diode Failure</t>
        </is>
      </c>
      <c r="K527" s="3" t="inlineStr">
        <is>
          <t>Sadla</t>
        </is>
      </c>
      <c r="L527" s="3" t="inlineStr">
        <is>
          <t>Gujarat</t>
        </is>
      </c>
      <c r="M527" s="9" t="inlineStr">
        <is>
          <t>PR</t>
        </is>
      </c>
      <c r="N527" s="3" t="inlineStr">
        <is>
          <t>JB Issue</t>
        </is>
      </c>
      <c r="O527" s="3" t="n">
        <v>570</v>
      </c>
      <c r="P527" s="9" t="inlineStr">
        <is>
          <t>NSMI24050047142</t>
        </is>
      </c>
      <c r="Q527" s="53">
        <f>MID(P527,5,2)</f>
        <v/>
      </c>
      <c r="R527" s="53">
        <f>MID(P527,7,2)</f>
        <v/>
      </c>
      <c r="S527" s="3" t="inlineStr">
        <is>
          <t>G2G</t>
        </is>
      </c>
      <c r="T527" s="3" t="inlineStr">
        <is>
          <t>P4</t>
        </is>
      </c>
      <c r="U527" s="3" t="inlineStr">
        <is>
          <t>P JB Issue</t>
        </is>
      </c>
      <c r="V527" s="15" t="inlineStr">
        <is>
          <t>JB Changed</t>
        </is>
      </c>
      <c r="W527" s="3" t="inlineStr">
        <is>
          <t>Repair</t>
        </is>
      </c>
      <c r="X527" s="18" t="n">
        <v>46150</v>
      </c>
      <c r="Y527" s="73">
        <f>IF(X527="","",X527-A527)</f>
        <v/>
      </c>
      <c r="Z527" s="18" t="n">
        <v>46150</v>
      </c>
      <c r="AA527" s="15" t="n"/>
      <c r="AB527" s="15" t="n"/>
      <c r="AF527">
        <f>IF(AND($F527="Closed",$X527&gt;=DATE(2026,5,1),$X527&lt;=DATE(2026,5,31)),"Closed in May","Other")</f>
        <v/>
      </c>
    </row>
    <row r="528">
      <c r="A528" s="6" t="n">
        <v>46107</v>
      </c>
      <c r="B528" s="3" t="n">
        <v>2026</v>
      </c>
      <c r="C528" s="3" t="inlineStr">
        <is>
          <t>Blupine Energy</t>
        </is>
      </c>
      <c r="D528" s="3" t="inlineStr">
        <is>
          <t>Utility and C&amp;I</t>
        </is>
      </c>
      <c r="E528" s="3" t="n"/>
      <c r="F528" s="3" t="inlineStr">
        <is>
          <t>Closed</t>
        </is>
      </c>
      <c r="G528" s="3" t="inlineStr">
        <is>
          <t>Chandrashekar Patidar</t>
        </is>
      </c>
      <c r="H528" s="3" t="n">
        <v>7879764773</v>
      </c>
      <c r="I528" s="11" t="inlineStr">
        <is>
          <t>PE26032601</t>
        </is>
      </c>
      <c r="J528" s="3" t="inlineStr">
        <is>
          <t>Module Diode Failure</t>
        </is>
      </c>
      <c r="K528" s="3" t="inlineStr">
        <is>
          <t>Sadla</t>
        </is>
      </c>
      <c r="L528" s="3" t="inlineStr">
        <is>
          <t>Gujarat</t>
        </is>
      </c>
      <c r="M528" s="9" t="inlineStr">
        <is>
          <t>NR</t>
        </is>
      </c>
      <c r="N528" s="3" t="inlineStr">
        <is>
          <t>JB Issue</t>
        </is>
      </c>
      <c r="O528" s="3" t="n">
        <v>570</v>
      </c>
      <c r="P528" s="9" t="inlineStr">
        <is>
          <t>NSMI24050048705</t>
        </is>
      </c>
      <c r="Q528" s="53">
        <f>MID(P528,5,2)</f>
        <v/>
      </c>
      <c r="R528" s="53">
        <f>MID(P528,7,2)</f>
        <v/>
      </c>
      <c r="S528" s="3" t="inlineStr">
        <is>
          <t>G2G</t>
        </is>
      </c>
      <c r="T528" s="3" t="inlineStr">
        <is>
          <t>P4</t>
        </is>
      </c>
      <c r="U528" s="3" t="inlineStr">
        <is>
          <t>N JB Issue</t>
        </is>
      </c>
      <c r="V528" s="3" t="inlineStr">
        <is>
          <t>JB Changed</t>
        </is>
      </c>
      <c r="W528" s="3" t="inlineStr">
        <is>
          <t>Repair</t>
        </is>
      </c>
      <c r="X528" s="18" t="n">
        <v>46150</v>
      </c>
      <c r="Y528" s="73">
        <f>IF(X528="","",X528-A528)</f>
        <v/>
      </c>
      <c r="Z528" s="18" t="n">
        <v>46150</v>
      </c>
      <c r="AA528" s="15" t="n"/>
      <c r="AB528" s="15" t="n"/>
      <c r="AF528">
        <f>IF(AND($F528="Closed",$X528&gt;=DATE(2026,5,1),$X528&lt;=DATE(2026,5,31)),"Closed in May","Other")</f>
        <v/>
      </c>
    </row>
    <row r="529">
      <c r="A529" s="6" t="n">
        <v>46107</v>
      </c>
      <c r="B529" s="3" t="n">
        <v>2026</v>
      </c>
      <c r="C529" s="3" t="inlineStr">
        <is>
          <t>Blupine Energy</t>
        </is>
      </c>
      <c r="D529" s="3" t="inlineStr">
        <is>
          <t>Utility and C&amp;I</t>
        </is>
      </c>
      <c r="E529" s="3" t="n"/>
      <c r="F529" s="3" t="inlineStr">
        <is>
          <t>Closed</t>
        </is>
      </c>
      <c r="G529" s="3" t="inlineStr">
        <is>
          <t>Chandrashekar Patidar</t>
        </is>
      </c>
      <c r="H529" s="3" t="n">
        <v>7879764773</v>
      </c>
      <c r="I529" s="11" t="inlineStr">
        <is>
          <t>PE26032601</t>
        </is>
      </c>
      <c r="J529" s="3" t="inlineStr">
        <is>
          <t>Module Diode Failure</t>
        </is>
      </c>
      <c r="K529" s="3" t="inlineStr">
        <is>
          <t>Sadla</t>
        </is>
      </c>
      <c r="L529" s="3" t="inlineStr">
        <is>
          <t>Gujarat</t>
        </is>
      </c>
      <c r="M529" s="9" t="inlineStr">
        <is>
          <t xml:space="preserve">NS </t>
        </is>
      </c>
      <c r="N529" s="3" t="inlineStr">
        <is>
          <t>Cold Soldering</t>
        </is>
      </c>
      <c r="O529" s="3" t="n">
        <v>570</v>
      </c>
      <c r="P529" s="9" t="inlineStr">
        <is>
          <t>NSMI24050048232</t>
        </is>
      </c>
      <c r="Q529" s="53">
        <f>MID(P529,5,2)</f>
        <v/>
      </c>
      <c r="R529" s="53">
        <f>MID(P529,7,2)</f>
        <v/>
      </c>
      <c r="S529" s="3" t="inlineStr">
        <is>
          <t>G2G</t>
        </is>
      </c>
      <c r="T529" s="3" t="inlineStr">
        <is>
          <t>P4</t>
        </is>
      </c>
      <c r="U529" s="3" t="inlineStr">
        <is>
          <t>N JB Cold Soldering</t>
        </is>
      </c>
      <c r="V529" s="3" t="inlineStr">
        <is>
          <t>Soldering</t>
        </is>
      </c>
      <c r="W529" s="3" t="inlineStr">
        <is>
          <t>Repair</t>
        </is>
      </c>
      <c r="X529" s="18" t="n">
        <v>46150</v>
      </c>
      <c r="Y529" s="73">
        <f>IF(X529="","",X529-A529)</f>
        <v/>
      </c>
      <c r="Z529" s="18" t="n">
        <v>46150</v>
      </c>
      <c r="AA529" s="15" t="n"/>
      <c r="AB529" s="15" t="n"/>
      <c r="AF529">
        <f>IF(AND($F529="Closed",$X529&gt;=DATE(2026,5,1),$X529&lt;=DATE(2026,5,31)),"Closed in May","Other")</f>
        <v/>
      </c>
    </row>
    <row r="530">
      <c r="A530" s="6" t="n">
        <v>46107</v>
      </c>
      <c r="B530" s="3" t="n">
        <v>2026</v>
      </c>
      <c r="C530" s="3" t="inlineStr">
        <is>
          <t>Blupine Energy</t>
        </is>
      </c>
      <c r="D530" s="3" t="inlineStr">
        <is>
          <t>Utility and C&amp;I</t>
        </is>
      </c>
      <c r="E530" s="3" t="n"/>
      <c r="F530" s="3" t="inlineStr">
        <is>
          <t>Closed</t>
        </is>
      </c>
      <c r="G530" s="3" t="inlineStr">
        <is>
          <t>Chandrashekar Patidar</t>
        </is>
      </c>
      <c r="H530" s="3" t="n">
        <v>7879764773</v>
      </c>
      <c r="I530" s="11" t="inlineStr">
        <is>
          <t>PE26032601</t>
        </is>
      </c>
      <c r="J530" s="3" t="inlineStr">
        <is>
          <t>Module Diode Failure</t>
        </is>
      </c>
      <c r="K530" s="3" t="inlineStr">
        <is>
          <t>Sadla</t>
        </is>
      </c>
      <c r="L530" s="3" t="inlineStr">
        <is>
          <t>Gujarat</t>
        </is>
      </c>
      <c r="M530" s="9" t="inlineStr">
        <is>
          <t>NS</t>
        </is>
      </c>
      <c r="N530" s="3" t="inlineStr">
        <is>
          <t>Cold Soldering</t>
        </is>
      </c>
      <c r="O530" s="3" t="n">
        <v>570</v>
      </c>
      <c r="P530" s="9" t="inlineStr">
        <is>
          <t>NSMI24050046626</t>
        </is>
      </c>
      <c r="Q530" s="53">
        <f>MID(P530,5,2)</f>
        <v/>
      </c>
      <c r="R530" s="53">
        <f>MID(P530,7,2)</f>
        <v/>
      </c>
      <c r="S530" s="3" t="inlineStr">
        <is>
          <t>G2G</t>
        </is>
      </c>
      <c r="T530" s="3" t="inlineStr">
        <is>
          <t>P4</t>
        </is>
      </c>
      <c r="U530" s="3" t="inlineStr">
        <is>
          <t>N JB Cold Soldering &amp; Glass Breakage</t>
        </is>
      </c>
      <c r="V530" s="3" t="inlineStr">
        <is>
          <t>Soldering</t>
        </is>
      </c>
      <c r="W530" s="3" t="inlineStr">
        <is>
          <t>Repair</t>
        </is>
      </c>
      <c r="X530" s="18" t="n">
        <v>46150</v>
      </c>
      <c r="Y530" s="73">
        <f>IF(X530="","",X530-A530)</f>
        <v/>
      </c>
      <c r="Z530" s="18" t="n">
        <v>46150</v>
      </c>
      <c r="AA530" s="15" t="n"/>
      <c r="AB530" s="15" t="n"/>
      <c r="AF530">
        <f>IF(AND($F530="Closed",$X530&gt;=DATE(2026,5,1),$X530&lt;=DATE(2026,5,31)),"Closed in May","Other")</f>
        <v/>
      </c>
    </row>
    <row r="531">
      <c r="A531" s="6" t="n">
        <v>46107</v>
      </c>
      <c r="B531" s="3" t="n">
        <v>2026</v>
      </c>
      <c r="C531" s="3" t="inlineStr">
        <is>
          <t>Blupine Energy</t>
        </is>
      </c>
      <c r="D531" s="3" t="inlineStr">
        <is>
          <t>Utility and C&amp;I</t>
        </is>
      </c>
      <c r="E531" s="3" t="n"/>
      <c r="F531" s="3" t="inlineStr">
        <is>
          <t>Closed</t>
        </is>
      </c>
      <c r="G531" s="3" t="inlineStr">
        <is>
          <t>Chandrashekar Patidar</t>
        </is>
      </c>
      <c r="H531" s="3" t="n">
        <v>7879764773</v>
      </c>
      <c r="I531" s="11" t="inlineStr">
        <is>
          <t>PE26032601</t>
        </is>
      </c>
      <c r="J531" s="3" t="inlineStr">
        <is>
          <t>Module Diode Failure</t>
        </is>
      </c>
      <c r="K531" s="3" t="inlineStr">
        <is>
          <t>Sadla</t>
        </is>
      </c>
      <c r="L531" s="3" t="inlineStr">
        <is>
          <t>Gujarat</t>
        </is>
      </c>
      <c r="M531" s="9" t="inlineStr">
        <is>
          <t>NS</t>
        </is>
      </c>
      <c r="N531" s="3" t="inlineStr">
        <is>
          <t>Cold Soldering</t>
        </is>
      </c>
      <c r="O531" s="3" t="n">
        <v>570</v>
      </c>
      <c r="P531" s="9" t="inlineStr">
        <is>
          <t>NSMI24060079494</t>
        </is>
      </c>
      <c r="Q531" s="53">
        <f>MID(P531,5,2)</f>
        <v/>
      </c>
      <c r="R531" s="53">
        <f>MID(P531,7,2)</f>
        <v/>
      </c>
      <c r="S531" s="3" t="inlineStr">
        <is>
          <t>G2G</t>
        </is>
      </c>
      <c r="T531" s="3" t="inlineStr">
        <is>
          <t>P4</t>
        </is>
      </c>
      <c r="U531" s="3" t="inlineStr">
        <is>
          <t>N JB Cold Soldering &amp; Glass Breakage</t>
        </is>
      </c>
      <c r="V531" s="3" t="inlineStr">
        <is>
          <t>Soldering</t>
        </is>
      </c>
      <c r="W531" s="3" t="inlineStr">
        <is>
          <t>Repair</t>
        </is>
      </c>
      <c r="X531" s="18" t="n">
        <v>46150</v>
      </c>
      <c r="Y531" s="73">
        <f>IF(X531="","",X531-A531)</f>
        <v/>
      </c>
      <c r="Z531" s="18" t="n">
        <v>46150</v>
      </c>
      <c r="AA531" s="15" t="n"/>
      <c r="AB531" s="15" t="n"/>
      <c r="AF531">
        <f>IF(AND($F531="Closed",$X531&gt;=DATE(2026,5,1),$X531&lt;=DATE(2026,5,31)),"Closed in May","Other")</f>
        <v/>
      </c>
    </row>
    <row r="532">
      <c r="A532" s="6" t="n">
        <v>46107</v>
      </c>
      <c r="B532" s="3" t="n">
        <v>2026</v>
      </c>
      <c r="C532" s="3" t="inlineStr">
        <is>
          <t>Blupine Energy</t>
        </is>
      </c>
      <c r="D532" s="3" t="inlineStr">
        <is>
          <t>Utility and C&amp;I</t>
        </is>
      </c>
      <c r="E532" s="3" t="n"/>
      <c r="F532" s="3" t="inlineStr">
        <is>
          <t>Closed</t>
        </is>
      </c>
      <c r="G532" s="3" t="inlineStr">
        <is>
          <t>Chandrashekar Patidar</t>
        </is>
      </c>
      <c r="H532" s="3" t="n">
        <v>7879764773</v>
      </c>
      <c r="I532" s="11" t="inlineStr">
        <is>
          <t>PE26032601</t>
        </is>
      </c>
      <c r="J532" s="3" t="inlineStr">
        <is>
          <t>Module Diode Failure</t>
        </is>
      </c>
      <c r="K532" s="3" t="inlineStr">
        <is>
          <t>Sadla</t>
        </is>
      </c>
      <c r="L532" s="3" t="inlineStr">
        <is>
          <t>Gujarat</t>
        </is>
      </c>
      <c r="M532" s="9" t="inlineStr">
        <is>
          <t xml:space="preserve">PNS </t>
        </is>
      </c>
      <c r="N532" s="3" t="inlineStr">
        <is>
          <t>Cold Soldering</t>
        </is>
      </c>
      <c r="O532" s="3" t="n">
        <v>570</v>
      </c>
      <c r="P532" s="9" t="inlineStr">
        <is>
          <t>NSMI24060076291</t>
        </is>
      </c>
      <c r="Q532" s="53">
        <f>MID(P532,5,2)</f>
        <v/>
      </c>
      <c r="R532" s="53">
        <f>MID(P532,7,2)</f>
        <v/>
      </c>
      <c r="S532" s="3" t="inlineStr">
        <is>
          <t>G2G</t>
        </is>
      </c>
      <c r="T532" s="3" t="inlineStr">
        <is>
          <t>P4</t>
        </is>
      </c>
      <c r="U532" s="3" t="inlineStr">
        <is>
          <t>P &amp; N JB Cold Soldering</t>
        </is>
      </c>
      <c r="V532" s="3" t="inlineStr">
        <is>
          <t>Soldering</t>
        </is>
      </c>
      <c r="W532" s="3" t="inlineStr">
        <is>
          <t>Repair</t>
        </is>
      </c>
      <c r="X532" s="18" t="n">
        <v>46150</v>
      </c>
      <c r="Y532" s="73">
        <f>IF(X532="","",X532-A532)</f>
        <v/>
      </c>
      <c r="Z532" s="18" t="n">
        <v>46150</v>
      </c>
      <c r="AA532" s="15" t="n"/>
      <c r="AB532" s="15" t="n"/>
      <c r="AF532">
        <f>IF(AND($F532="Closed",$X532&gt;=DATE(2026,5,1),$X532&lt;=DATE(2026,5,31)),"Closed in May","Other")</f>
        <v/>
      </c>
    </row>
    <row r="533">
      <c r="A533" s="6" t="n">
        <v>46107</v>
      </c>
      <c r="B533" s="3" t="n">
        <v>2026</v>
      </c>
      <c r="C533" s="3" t="inlineStr">
        <is>
          <t>Blupine Energy</t>
        </is>
      </c>
      <c r="D533" s="3" t="inlineStr">
        <is>
          <t>Utility and C&amp;I</t>
        </is>
      </c>
      <c r="E533" s="3" t="n"/>
      <c r="F533" s="3" t="inlineStr">
        <is>
          <t>Closed</t>
        </is>
      </c>
      <c r="G533" s="3" t="inlineStr">
        <is>
          <t>Chandrashekar Patidar</t>
        </is>
      </c>
      <c r="H533" s="3" t="n">
        <v>7879764773</v>
      </c>
      <c r="I533" s="11" t="inlineStr">
        <is>
          <t>PE26032601</t>
        </is>
      </c>
      <c r="J533" s="3" t="inlineStr">
        <is>
          <t>Module Diode Failure</t>
        </is>
      </c>
      <c r="K533" s="3" t="inlineStr">
        <is>
          <t>Sadla</t>
        </is>
      </c>
      <c r="L533" s="3" t="inlineStr">
        <is>
          <t>Gujarat</t>
        </is>
      </c>
      <c r="M533" s="9" t="inlineStr">
        <is>
          <t xml:space="preserve">NS </t>
        </is>
      </c>
      <c r="N533" s="3" t="inlineStr">
        <is>
          <t>Cold Soldering</t>
        </is>
      </c>
      <c r="O533" s="3" t="n">
        <v>570</v>
      </c>
      <c r="P533" s="9" t="inlineStr">
        <is>
          <t>NSMI24060122472</t>
        </is>
      </c>
      <c r="Q533" s="53">
        <f>MID(P533,5,2)</f>
        <v/>
      </c>
      <c r="R533" s="53">
        <f>MID(P533,7,2)</f>
        <v/>
      </c>
      <c r="S533" s="3" t="inlineStr">
        <is>
          <t>G2G</t>
        </is>
      </c>
      <c r="T533" s="3" t="inlineStr">
        <is>
          <t>P4</t>
        </is>
      </c>
      <c r="U533" s="3" t="inlineStr">
        <is>
          <t>N JB Cold Soldering</t>
        </is>
      </c>
      <c r="V533" s="3" t="inlineStr">
        <is>
          <t>Soldering</t>
        </is>
      </c>
      <c r="W533" s="3" t="inlineStr">
        <is>
          <t>Repair</t>
        </is>
      </c>
      <c r="X533" s="18" t="n">
        <v>46150</v>
      </c>
      <c r="Y533" s="73">
        <f>IF(X533="","",X533-A533)</f>
        <v/>
      </c>
      <c r="Z533" s="18" t="n">
        <v>46150</v>
      </c>
      <c r="AA533" s="15" t="n"/>
      <c r="AB533" s="15" t="n"/>
      <c r="AF533">
        <f>IF(AND($F533="Closed",$X533&gt;=DATE(2026,5,1),$X533&lt;=DATE(2026,5,31)),"Closed in May","Other")</f>
        <v/>
      </c>
    </row>
    <row r="534">
      <c r="A534" s="6" t="n">
        <v>46107</v>
      </c>
      <c r="B534" s="3" t="n">
        <v>2026</v>
      </c>
      <c r="C534" s="3" t="inlineStr">
        <is>
          <t>Blupine Energy</t>
        </is>
      </c>
      <c r="D534" s="3" t="inlineStr">
        <is>
          <t>Utility and C&amp;I</t>
        </is>
      </c>
      <c r="E534" s="3" t="n"/>
      <c r="F534" s="3" t="inlineStr">
        <is>
          <t>Closed</t>
        </is>
      </c>
      <c r="G534" s="3" t="inlineStr">
        <is>
          <t>Chandrashekar Patidar</t>
        </is>
      </c>
      <c r="H534" s="3" t="n">
        <v>7879764773</v>
      </c>
      <c r="I534" s="11" t="inlineStr">
        <is>
          <t>PE26032601</t>
        </is>
      </c>
      <c r="J534" s="3" t="inlineStr">
        <is>
          <t>Module Diode Failure</t>
        </is>
      </c>
      <c r="K534" s="3" t="inlineStr">
        <is>
          <t>Sadla</t>
        </is>
      </c>
      <c r="L534" s="3" t="inlineStr">
        <is>
          <t>Gujarat</t>
        </is>
      </c>
      <c r="M534" s="9" t="inlineStr">
        <is>
          <t>PR</t>
        </is>
      </c>
      <c r="N534" s="3" t="inlineStr">
        <is>
          <t>JB Issue</t>
        </is>
      </c>
      <c r="O534" s="3" t="n">
        <v>570</v>
      </c>
      <c r="P534" s="9" t="inlineStr">
        <is>
          <t>NSMI24060122474</t>
        </is>
      </c>
      <c r="Q534" s="53">
        <f>MID(P534,5,2)</f>
        <v/>
      </c>
      <c r="R534" s="53">
        <f>MID(P534,7,2)</f>
        <v/>
      </c>
      <c r="S534" s="3" t="inlineStr">
        <is>
          <t>G2G</t>
        </is>
      </c>
      <c r="T534" s="3" t="inlineStr">
        <is>
          <t>P4</t>
        </is>
      </c>
      <c r="U534" s="3" t="inlineStr">
        <is>
          <t>P JB Issue</t>
        </is>
      </c>
      <c r="V534" s="15" t="inlineStr">
        <is>
          <t>JB Changed</t>
        </is>
      </c>
      <c r="W534" s="3" t="inlineStr">
        <is>
          <t>Repair</t>
        </is>
      </c>
      <c r="X534" s="18" t="n">
        <v>46150</v>
      </c>
      <c r="Y534" s="73">
        <f>IF(X534="","",X534-A534)</f>
        <v/>
      </c>
      <c r="Z534" s="18" t="n">
        <v>46150</v>
      </c>
      <c r="AA534" s="15" t="n"/>
      <c r="AB534" s="15" t="n"/>
      <c r="AF534">
        <f>IF(AND($F534="Closed",$X534&gt;=DATE(2026,5,1),$X534&lt;=DATE(2026,5,31)),"Closed in May","Other")</f>
        <v/>
      </c>
    </row>
    <row r="535">
      <c r="A535" s="6" t="n">
        <v>46107</v>
      </c>
      <c r="B535" s="3" t="n">
        <v>2026</v>
      </c>
      <c r="C535" s="3" t="inlineStr">
        <is>
          <t>Blupine Energy</t>
        </is>
      </c>
      <c r="D535" s="3" t="inlineStr">
        <is>
          <t>Utility and C&amp;I</t>
        </is>
      </c>
      <c r="E535" s="3" t="n"/>
      <c r="F535" s="3" t="inlineStr">
        <is>
          <t>Closed</t>
        </is>
      </c>
      <c r="G535" s="3" t="inlineStr">
        <is>
          <t>Chandrashekar Patidar</t>
        </is>
      </c>
      <c r="H535" s="3" t="n">
        <v>7879764773</v>
      </c>
      <c r="I535" s="11" t="inlineStr">
        <is>
          <t>PE26032601</t>
        </is>
      </c>
      <c r="J535" s="3" t="inlineStr">
        <is>
          <t>Module Diode Failure</t>
        </is>
      </c>
      <c r="K535" s="3" t="inlineStr">
        <is>
          <t>Sadla</t>
        </is>
      </c>
      <c r="L535" s="3" t="inlineStr">
        <is>
          <t>Gujarat</t>
        </is>
      </c>
      <c r="M535" s="9" t="inlineStr">
        <is>
          <t xml:space="preserve">PNS </t>
        </is>
      </c>
      <c r="N535" s="3" t="inlineStr">
        <is>
          <t>Cold Soldering</t>
        </is>
      </c>
      <c r="O535" s="3" t="n">
        <v>570</v>
      </c>
      <c r="P535" s="9" t="inlineStr">
        <is>
          <t>NSMI24050047135</t>
        </is>
      </c>
      <c r="Q535" s="53">
        <f>MID(P535,5,2)</f>
        <v/>
      </c>
      <c r="R535" s="53">
        <f>MID(P535,7,2)</f>
        <v/>
      </c>
      <c r="S535" s="3" t="inlineStr">
        <is>
          <t>G2G</t>
        </is>
      </c>
      <c r="T535" s="3" t="inlineStr">
        <is>
          <t>P4</t>
        </is>
      </c>
      <c r="U535" s="3" t="inlineStr">
        <is>
          <t>P &amp; N JB Cold Soldering</t>
        </is>
      </c>
      <c r="V535" s="3" t="inlineStr">
        <is>
          <t>Soldering</t>
        </is>
      </c>
      <c r="W535" s="3" t="inlineStr">
        <is>
          <t>Repair</t>
        </is>
      </c>
      <c r="X535" s="18" t="n">
        <v>46150</v>
      </c>
      <c r="Y535" s="73">
        <f>IF(X535="","",X535-A535)</f>
        <v/>
      </c>
      <c r="Z535" s="18" t="n">
        <v>46150</v>
      </c>
      <c r="AA535" s="15" t="n"/>
      <c r="AB535" s="15" t="n"/>
      <c r="AF535">
        <f>IF(AND($F535="Closed",$X535&gt;=DATE(2026,5,1),$X535&lt;=DATE(2026,5,31)),"Closed in May","Other")</f>
        <v/>
      </c>
    </row>
    <row r="536">
      <c r="A536" s="6" t="n">
        <v>46107</v>
      </c>
      <c r="B536" s="3" t="n">
        <v>2026</v>
      </c>
      <c r="C536" s="3" t="inlineStr">
        <is>
          <t>Blupine Energy</t>
        </is>
      </c>
      <c r="D536" s="3" t="inlineStr">
        <is>
          <t>Utility and C&amp;I</t>
        </is>
      </c>
      <c r="E536" s="3" t="n"/>
      <c r="F536" s="3" t="inlineStr">
        <is>
          <t>Closed</t>
        </is>
      </c>
      <c r="G536" s="3" t="inlineStr">
        <is>
          <t>Chandrashekar Patidar</t>
        </is>
      </c>
      <c r="H536" s="3" t="n">
        <v>7879764773</v>
      </c>
      <c r="I536" s="11" t="inlineStr">
        <is>
          <t>PE26032601</t>
        </is>
      </c>
      <c r="J536" s="3" t="inlineStr">
        <is>
          <t>Module Diode Failure</t>
        </is>
      </c>
      <c r="K536" s="3" t="inlineStr">
        <is>
          <t>Sadla</t>
        </is>
      </c>
      <c r="L536" s="3" t="inlineStr">
        <is>
          <t>Gujarat</t>
        </is>
      </c>
      <c r="M536" s="9" t="inlineStr">
        <is>
          <t xml:space="preserve">NS </t>
        </is>
      </c>
      <c r="N536" s="3" t="inlineStr">
        <is>
          <t>Cold Soldering</t>
        </is>
      </c>
      <c r="O536" s="3" t="n">
        <v>570</v>
      </c>
      <c r="P536" s="9" t="inlineStr">
        <is>
          <t>NSMI24050047253</t>
        </is>
      </c>
      <c r="Q536" s="53">
        <f>MID(P536,5,2)</f>
        <v/>
      </c>
      <c r="R536" s="53">
        <f>MID(P536,7,2)</f>
        <v/>
      </c>
      <c r="S536" s="3" t="inlineStr">
        <is>
          <t>G2G</t>
        </is>
      </c>
      <c r="T536" s="3" t="inlineStr">
        <is>
          <t>P4</t>
        </is>
      </c>
      <c r="U536" s="3" t="inlineStr">
        <is>
          <t>N JB Cold Soldering</t>
        </is>
      </c>
      <c r="V536" s="3" t="inlineStr">
        <is>
          <t>Soldering</t>
        </is>
      </c>
      <c r="W536" s="3" t="inlineStr">
        <is>
          <t>Repair</t>
        </is>
      </c>
      <c r="X536" s="18" t="n">
        <v>46150</v>
      </c>
      <c r="Y536" s="73">
        <f>IF(X536="","",X536-A536)</f>
        <v/>
      </c>
      <c r="Z536" s="18" t="n">
        <v>46150</v>
      </c>
      <c r="AA536" s="15" t="n"/>
      <c r="AB536" s="15" t="n"/>
      <c r="AF536">
        <f>IF(AND($F536="Closed",$X536&gt;=DATE(2026,5,1),$X536&lt;=DATE(2026,5,31)),"Closed in May","Other")</f>
        <v/>
      </c>
    </row>
    <row r="537">
      <c r="A537" s="6" t="n">
        <v>46107</v>
      </c>
      <c r="B537" s="3" t="n">
        <v>2026</v>
      </c>
      <c r="C537" s="3" t="inlineStr">
        <is>
          <t>Blupine Energy</t>
        </is>
      </c>
      <c r="D537" s="3" t="inlineStr">
        <is>
          <t>Utility and C&amp;I</t>
        </is>
      </c>
      <c r="E537" s="3" t="n"/>
      <c r="F537" s="3" t="inlineStr">
        <is>
          <t>Closed</t>
        </is>
      </c>
      <c r="G537" s="3" t="inlineStr">
        <is>
          <t>Chandrashekar Patidar</t>
        </is>
      </c>
      <c r="H537" s="3" t="n">
        <v>7879764773</v>
      </c>
      <c r="I537" s="11" t="inlineStr">
        <is>
          <t>PE26032601</t>
        </is>
      </c>
      <c r="J537" s="3" t="inlineStr">
        <is>
          <t>Module Diode Failure</t>
        </is>
      </c>
      <c r="K537" s="3" t="inlineStr">
        <is>
          <t>Sadla</t>
        </is>
      </c>
      <c r="L537" s="3" t="inlineStr">
        <is>
          <t>Gujarat</t>
        </is>
      </c>
      <c r="M537" s="9" t="inlineStr">
        <is>
          <t>PR</t>
        </is>
      </c>
      <c r="N537" s="3" t="inlineStr">
        <is>
          <t>JB Issue</t>
        </is>
      </c>
      <c r="O537" s="3" t="n">
        <v>570</v>
      </c>
      <c r="P537" s="9" t="inlineStr">
        <is>
          <t>NSMI24050057401</t>
        </is>
      </c>
      <c r="Q537" s="53">
        <f>MID(P537,5,2)</f>
        <v/>
      </c>
      <c r="R537" s="53">
        <f>MID(P537,7,2)</f>
        <v/>
      </c>
      <c r="S537" s="3" t="inlineStr">
        <is>
          <t>G2G</t>
        </is>
      </c>
      <c r="T537" s="3" t="inlineStr">
        <is>
          <t>P4</t>
        </is>
      </c>
      <c r="U537" s="3" t="inlineStr">
        <is>
          <t>P JB Issue</t>
        </is>
      </c>
      <c r="V537" s="15" t="inlineStr">
        <is>
          <t>JB Changed</t>
        </is>
      </c>
      <c r="W537" s="3" t="inlineStr">
        <is>
          <t>Repair</t>
        </is>
      </c>
      <c r="X537" s="18" t="n">
        <v>46150</v>
      </c>
      <c r="Y537" s="73">
        <f>IF(X537="","",X537-A537)</f>
        <v/>
      </c>
      <c r="Z537" s="18" t="n">
        <v>46150</v>
      </c>
      <c r="AA537" s="15" t="n"/>
      <c r="AB537" s="15" t="n"/>
      <c r="AF537">
        <f>IF(AND($F537="Closed",$X537&gt;=DATE(2026,5,1),$X537&lt;=DATE(2026,5,31)),"Closed in May","Other")</f>
        <v/>
      </c>
    </row>
    <row r="538">
      <c r="A538" s="6" t="n">
        <v>46107</v>
      </c>
      <c r="B538" s="3" t="n">
        <v>2026</v>
      </c>
      <c r="C538" s="3" t="inlineStr">
        <is>
          <t>Blupine Energy</t>
        </is>
      </c>
      <c r="D538" s="3" t="inlineStr">
        <is>
          <t>Utility and C&amp;I</t>
        </is>
      </c>
      <c r="E538" s="3" t="n"/>
      <c r="F538" s="3" t="inlineStr">
        <is>
          <t>Closed</t>
        </is>
      </c>
      <c r="G538" s="3" t="inlineStr">
        <is>
          <t>Chandrashekar Patidar</t>
        </is>
      </c>
      <c r="H538" s="3" t="n">
        <v>7879764773</v>
      </c>
      <c r="I538" s="11" t="inlineStr">
        <is>
          <t>PE26032601</t>
        </is>
      </c>
      <c r="J538" s="3" t="inlineStr">
        <is>
          <t>Module Diode Failure</t>
        </is>
      </c>
      <c r="K538" s="3" t="inlineStr">
        <is>
          <t>Sadla</t>
        </is>
      </c>
      <c r="L538" s="3" t="inlineStr">
        <is>
          <t>Gujarat</t>
        </is>
      </c>
      <c r="M538" s="9" t="inlineStr">
        <is>
          <t>PS</t>
        </is>
      </c>
      <c r="N538" s="3" t="inlineStr">
        <is>
          <t>Cold Soldering</t>
        </is>
      </c>
      <c r="O538" s="3" t="n">
        <v>570</v>
      </c>
      <c r="P538" s="9" t="inlineStr">
        <is>
          <t>NSMI24050047236</t>
        </is>
      </c>
      <c r="Q538" s="53">
        <f>MID(P538,5,2)</f>
        <v/>
      </c>
      <c r="R538" s="53">
        <f>MID(P538,7,2)</f>
        <v/>
      </c>
      <c r="S538" s="3" t="inlineStr">
        <is>
          <t>G2G</t>
        </is>
      </c>
      <c r="T538" s="3" t="inlineStr">
        <is>
          <t>P4</t>
        </is>
      </c>
      <c r="U538" s="3" t="inlineStr">
        <is>
          <t>P JB Cold Soldering</t>
        </is>
      </c>
      <c r="V538" s="3" t="inlineStr">
        <is>
          <t>Soldering</t>
        </is>
      </c>
      <c r="W538" s="3" t="inlineStr">
        <is>
          <t>Repair</t>
        </is>
      </c>
      <c r="X538" s="18" t="n">
        <v>46150</v>
      </c>
      <c r="Y538" s="73">
        <f>IF(X538="","",X538-A538)</f>
        <v/>
      </c>
      <c r="Z538" s="18" t="n">
        <v>46150</v>
      </c>
      <c r="AA538" s="15" t="n"/>
      <c r="AB538" s="15" t="n"/>
      <c r="AF538">
        <f>IF(AND($F538="Closed",$X538&gt;=DATE(2026,5,1),$X538&lt;=DATE(2026,5,31)),"Closed in May","Other")</f>
        <v/>
      </c>
    </row>
    <row r="539">
      <c r="A539" s="6" t="n">
        <v>46107</v>
      </c>
      <c r="B539" s="3" t="n">
        <v>2026</v>
      </c>
      <c r="C539" s="3" t="inlineStr">
        <is>
          <t>Blupine Energy</t>
        </is>
      </c>
      <c r="D539" s="3" t="inlineStr">
        <is>
          <t>Utility and C&amp;I</t>
        </is>
      </c>
      <c r="E539" s="3" t="n"/>
      <c r="F539" s="3" t="inlineStr">
        <is>
          <t>Closed</t>
        </is>
      </c>
      <c r="G539" s="3" t="inlineStr">
        <is>
          <t>Chandrashekar Patidar</t>
        </is>
      </c>
      <c r="H539" s="3" t="n">
        <v>7879764773</v>
      </c>
      <c r="I539" s="11" t="inlineStr">
        <is>
          <t>PE26032601</t>
        </is>
      </c>
      <c r="J539" s="3" t="inlineStr">
        <is>
          <t>Module Diode Failure</t>
        </is>
      </c>
      <c r="K539" s="3" t="inlineStr">
        <is>
          <t>Sadla</t>
        </is>
      </c>
      <c r="L539" s="3" t="inlineStr">
        <is>
          <t>Gujarat</t>
        </is>
      </c>
      <c r="M539" s="9" t="inlineStr">
        <is>
          <t xml:space="preserve">NS </t>
        </is>
      </c>
      <c r="N539" s="3" t="inlineStr">
        <is>
          <t>Cold Soldering</t>
        </is>
      </c>
      <c r="O539" s="3" t="n">
        <v>570</v>
      </c>
      <c r="P539" s="9" t="inlineStr">
        <is>
          <t>NSMI24050047128</t>
        </is>
      </c>
      <c r="Q539" s="53">
        <f>MID(P539,5,2)</f>
        <v/>
      </c>
      <c r="R539" s="53">
        <f>MID(P539,7,2)</f>
        <v/>
      </c>
      <c r="S539" s="3" t="inlineStr">
        <is>
          <t>G2G</t>
        </is>
      </c>
      <c r="T539" s="3" t="inlineStr">
        <is>
          <t>P4</t>
        </is>
      </c>
      <c r="U539" s="3" t="inlineStr">
        <is>
          <t>N JB Cold Soldering</t>
        </is>
      </c>
      <c r="V539" s="3" t="inlineStr">
        <is>
          <t>Soldering</t>
        </is>
      </c>
      <c r="W539" s="3" t="inlineStr">
        <is>
          <t>Repair</t>
        </is>
      </c>
      <c r="X539" s="18" t="n">
        <v>46150</v>
      </c>
      <c r="Y539" s="73">
        <f>IF(X539="","",X539-A539)</f>
        <v/>
      </c>
      <c r="Z539" s="18" t="n">
        <v>46150</v>
      </c>
      <c r="AA539" s="15" t="n"/>
      <c r="AB539" s="15" t="n"/>
      <c r="AF539">
        <f>IF(AND($F539="Closed",$X539&gt;=DATE(2026,5,1),$X539&lt;=DATE(2026,5,31)),"Closed in May","Other")</f>
        <v/>
      </c>
    </row>
    <row r="540">
      <c r="A540" s="6" t="n">
        <v>46107</v>
      </c>
      <c r="B540" s="3" t="n">
        <v>2026</v>
      </c>
      <c r="C540" s="3" t="inlineStr">
        <is>
          <t>Blupine Energy</t>
        </is>
      </c>
      <c r="D540" s="3" t="inlineStr">
        <is>
          <t>Utility and C&amp;I</t>
        </is>
      </c>
      <c r="E540" s="3" t="n"/>
      <c r="F540" s="3" t="inlineStr">
        <is>
          <t>Closed</t>
        </is>
      </c>
      <c r="G540" s="3" t="inlineStr">
        <is>
          <t>Chandrashekar Patidar</t>
        </is>
      </c>
      <c r="H540" s="3" t="n">
        <v>7879764773</v>
      </c>
      <c r="I540" s="11" t="inlineStr">
        <is>
          <t>PE26032601</t>
        </is>
      </c>
      <c r="J540" s="3" t="inlineStr">
        <is>
          <t>Module Diode Failure</t>
        </is>
      </c>
      <c r="K540" s="3" t="inlineStr">
        <is>
          <t>Sadla</t>
        </is>
      </c>
      <c r="L540" s="3" t="inlineStr">
        <is>
          <t>Gujarat</t>
        </is>
      </c>
      <c r="M540" s="9" t="inlineStr">
        <is>
          <t xml:space="preserve">NS </t>
        </is>
      </c>
      <c r="N540" s="3" t="inlineStr">
        <is>
          <t>Cold Soldering</t>
        </is>
      </c>
      <c r="O540" s="3" t="n">
        <v>570</v>
      </c>
      <c r="P540" s="9" t="inlineStr">
        <is>
          <t>NSMI24050049193</t>
        </is>
      </c>
      <c r="Q540" s="53">
        <f>MID(P540,5,2)</f>
        <v/>
      </c>
      <c r="R540" s="53">
        <f>MID(P540,7,2)</f>
        <v/>
      </c>
      <c r="S540" s="3" t="inlineStr">
        <is>
          <t>G2G</t>
        </is>
      </c>
      <c r="T540" s="3" t="inlineStr">
        <is>
          <t>P4</t>
        </is>
      </c>
      <c r="U540" s="3" t="inlineStr">
        <is>
          <t>N JB Cold Soldering</t>
        </is>
      </c>
      <c r="V540" s="3" t="inlineStr">
        <is>
          <t>Soldering</t>
        </is>
      </c>
      <c r="W540" s="3" t="inlineStr">
        <is>
          <t>Repair</t>
        </is>
      </c>
      <c r="X540" s="18" t="n">
        <v>46150</v>
      </c>
      <c r="Y540" s="73">
        <f>IF(X540="","",X540-A540)</f>
        <v/>
      </c>
      <c r="Z540" s="18" t="n">
        <v>46150</v>
      </c>
      <c r="AA540" s="15" t="n"/>
      <c r="AB540" s="15" t="n"/>
      <c r="AF540">
        <f>IF(AND($F540="Closed",$X540&gt;=DATE(2026,5,1),$X540&lt;=DATE(2026,5,31)),"Closed in May","Other")</f>
        <v/>
      </c>
    </row>
    <row r="541">
      <c r="A541" s="6" t="n">
        <v>46107</v>
      </c>
      <c r="B541" s="3" t="n">
        <v>2026</v>
      </c>
      <c r="C541" s="3" t="inlineStr">
        <is>
          <t>Blupine Energy</t>
        </is>
      </c>
      <c r="D541" s="3" t="inlineStr">
        <is>
          <t>Utility and C&amp;I</t>
        </is>
      </c>
      <c r="E541" s="3" t="n"/>
      <c r="F541" s="3" t="inlineStr">
        <is>
          <t>Closed</t>
        </is>
      </c>
      <c r="G541" s="3" t="inlineStr">
        <is>
          <t>Chandrashekar Patidar</t>
        </is>
      </c>
      <c r="H541" s="3" t="n">
        <v>7879764773</v>
      </c>
      <c r="I541" s="11" t="inlineStr">
        <is>
          <t>PE26032601</t>
        </is>
      </c>
      <c r="J541" s="3" t="inlineStr">
        <is>
          <t>Module Diode Failure</t>
        </is>
      </c>
      <c r="K541" s="3" t="inlineStr">
        <is>
          <t>Sadla</t>
        </is>
      </c>
      <c r="L541" s="3" t="inlineStr">
        <is>
          <t>Gujarat</t>
        </is>
      </c>
      <c r="M541" s="9" t="inlineStr">
        <is>
          <t xml:space="preserve">PNS </t>
        </is>
      </c>
      <c r="N541" s="3" t="inlineStr">
        <is>
          <t>Cold Soldering</t>
        </is>
      </c>
      <c r="O541" s="3" t="n">
        <v>570</v>
      </c>
      <c r="P541" s="9" t="inlineStr">
        <is>
          <t>NSMI24050049165</t>
        </is>
      </c>
      <c r="Q541" s="53">
        <f>MID(P541,5,2)</f>
        <v/>
      </c>
      <c r="R541" s="53">
        <f>MID(P541,7,2)</f>
        <v/>
      </c>
      <c r="S541" s="3" t="inlineStr">
        <is>
          <t>G2G</t>
        </is>
      </c>
      <c r="T541" s="3" t="inlineStr">
        <is>
          <t>P4</t>
        </is>
      </c>
      <c r="U541" s="3" t="inlineStr">
        <is>
          <t>P &amp; N JB Cold Soldering</t>
        </is>
      </c>
      <c r="V541" s="3" t="inlineStr">
        <is>
          <t>Soldering</t>
        </is>
      </c>
      <c r="W541" s="3" t="inlineStr">
        <is>
          <t>Repair</t>
        </is>
      </c>
      <c r="X541" s="18" t="n">
        <v>46150</v>
      </c>
      <c r="Y541" s="73">
        <f>IF(X541="","",X541-A541)</f>
        <v/>
      </c>
      <c r="Z541" s="18" t="n">
        <v>46150</v>
      </c>
      <c r="AA541" s="15" t="n"/>
      <c r="AB541" s="15" t="n"/>
      <c r="AF541">
        <f>IF(AND($F541="Closed",$X541&gt;=DATE(2026,5,1),$X541&lt;=DATE(2026,5,31)),"Closed in May","Other")</f>
        <v/>
      </c>
    </row>
    <row r="542">
      <c r="A542" s="6" t="n">
        <v>46107</v>
      </c>
      <c r="B542" s="3" t="n">
        <v>2026</v>
      </c>
      <c r="C542" s="3" t="inlineStr">
        <is>
          <t>Blupine Energy</t>
        </is>
      </c>
      <c r="D542" s="3" t="inlineStr">
        <is>
          <t>Utility and C&amp;I</t>
        </is>
      </c>
      <c r="E542" s="3" t="n"/>
      <c r="F542" s="3" t="inlineStr">
        <is>
          <t>Closed</t>
        </is>
      </c>
      <c r="G542" s="3" t="inlineStr">
        <is>
          <t>Chandrashekar Patidar</t>
        </is>
      </c>
      <c r="H542" s="3" t="n">
        <v>7879764773</v>
      </c>
      <c r="I542" s="11" t="inlineStr">
        <is>
          <t>PE26032601</t>
        </is>
      </c>
      <c r="J542" s="3" t="inlineStr">
        <is>
          <t>Module Diode Failure</t>
        </is>
      </c>
      <c r="K542" s="3" t="inlineStr">
        <is>
          <t>Sadla</t>
        </is>
      </c>
      <c r="L542" s="3" t="inlineStr">
        <is>
          <t>Gujarat</t>
        </is>
      </c>
      <c r="M542" s="9" t="inlineStr">
        <is>
          <t xml:space="preserve">NS </t>
        </is>
      </c>
      <c r="N542" s="3" t="inlineStr">
        <is>
          <t>Cold Soldering</t>
        </is>
      </c>
      <c r="O542" s="3" t="n">
        <v>570</v>
      </c>
      <c r="P542" s="9" t="inlineStr">
        <is>
          <t>NSMI24060097427</t>
        </is>
      </c>
      <c r="Q542" s="53">
        <f>MID(P542,5,2)</f>
        <v/>
      </c>
      <c r="R542" s="53">
        <f>MID(P542,7,2)</f>
        <v/>
      </c>
      <c r="S542" s="3" t="inlineStr">
        <is>
          <t>G2G</t>
        </is>
      </c>
      <c r="T542" s="3" t="inlineStr">
        <is>
          <t>P4</t>
        </is>
      </c>
      <c r="U542" s="3" t="inlineStr">
        <is>
          <t>N JB Cold Soldering</t>
        </is>
      </c>
      <c r="V542" s="3" t="inlineStr">
        <is>
          <t>Soldering</t>
        </is>
      </c>
      <c r="W542" s="3" t="inlineStr">
        <is>
          <t>Repair</t>
        </is>
      </c>
      <c r="X542" s="18" t="n">
        <v>46150</v>
      </c>
      <c r="Y542" s="73">
        <f>IF(X542="","",X542-A542)</f>
        <v/>
      </c>
      <c r="Z542" s="18" t="n">
        <v>46150</v>
      </c>
      <c r="AA542" s="15" t="n"/>
      <c r="AB542" s="15" t="n"/>
      <c r="AF542">
        <f>IF(AND($F542="Closed",$X542&gt;=DATE(2026,5,1),$X542&lt;=DATE(2026,5,31)),"Closed in May","Other")</f>
        <v/>
      </c>
    </row>
    <row r="543">
      <c r="A543" s="6" t="n">
        <v>46107</v>
      </c>
      <c r="B543" s="3" t="n">
        <v>2026</v>
      </c>
      <c r="C543" s="3" t="inlineStr">
        <is>
          <t>Blupine Energy</t>
        </is>
      </c>
      <c r="D543" s="3" t="inlineStr">
        <is>
          <t>Utility and C&amp;I</t>
        </is>
      </c>
      <c r="E543" s="3" t="n"/>
      <c r="F543" s="3" t="inlineStr">
        <is>
          <t>Closed</t>
        </is>
      </c>
      <c r="G543" s="3" t="inlineStr">
        <is>
          <t>Chandrashekar Patidar</t>
        </is>
      </c>
      <c r="H543" s="3" t="n">
        <v>7879764773</v>
      </c>
      <c r="I543" s="11" t="inlineStr">
        <is>
          <t>PE26032601</t>
        </is>
      </c>
      <c r="J543" s="3" t="inlineStr">
        <is>
          <t>Module Diode Failure</t>
        </is>
      </c>
      <c r="K543" s="3" t="inlineStr">
        <is>
          <t>Sadla</t>
        </is>
      </c>
      <c r="L543" s="3" t="inlineStr">
        <is>
          <t>Gujarat</t>
        </is>
      </c>
      <c r="M543" s="9" t="inlineStr">
        <is>
          <t>PS</t>
        </is>
      </c>
      <c r="N543" s="3" t="inlineStr">
        <is>
          <t>Cold Soldering</t>
        </is>
      </c>
      <c r="O543" s="3" t="n">
        <v>570</v>
      </c>
      <c r="P543" s="9" t="inlineStr">
        <is>
          <t>NSMI24060097532</t>
        </is>
      </c>
      <c r="Q543" s="53">
        <f>MID(P543,5,2)</f>
        <v/>
      </c>
      <c r="R543" s="53">
        <f>MID(P543,7,2)</f>
        <v/>
      </c>
      <c r="S543" s="3" t="inlineStr">
        <is>
          <t>G2G</t>
        </is>
      </c>
      <c r="T543" s="3" t="inlineStr">
        <is>
          <t>P4</t>
        </is>
      </c>
      <c r="U543" s="3" t="inlineStr">
        <is>
          <t>P JB Cold Soldering</t>
        </is>
      </c>
      <c r="V543" s="3" t="inlineStr">
        <is>
          <t>Soldering</t>
        </is>
      </c>
      <c r="W543" s="3" t="inlineStr">
        <is>
          <t>Repair</t>
        </is>
      </c>
      <c r="X543" s="18" t="n">
        <v>46150</v>
      </c>
      <c r="Y543" s="73">
        <f>IF(X543="","",X543-A543)</f>
        <v/>
      </c>
      <c r="Z543" s="18" t="n">
        <v>46150</v>
      </c>
      <c r="AA543" s="15" t="n"/>
      <c r="AB543" s="15" t="n"/>
      <c r="AF543">
        <f>IF(AND($F543="Closed",$X543&gt;=DATE(2026,5,1),$X543&lt;=DATE(2026,5,31)),"Closed in May","Other")</f>
        <v/>
      </c>
    </row>
    <row r="544">
      <c r="A544" s="6" t="n">
        <v>46107</v>
      </c>
      <c r="B544" s="3" t="n">
        <v>2026</v>
      </c>
      <c r="C544" s="3" t="inlineStr">
        <is>
          <t>Blupine Energy</t>
        </is>
      </c>
      <c r="D544" s="3" t="inlineStr">
        <is>
          <t>Utility and C&amp;I</t>
        </is>
      </c>
      <c r="E544" s="3" t="n"/>
      <c r="F544" s="3" t="inlineStr">
        <is>
          <t>Closed</t>
        </is>
      </c>
      <c r="G544" s="3" t="inlineStr">
        <is>
          <t>Chandrashekar Patidar</t>
        </is>
      </c>
      <c r="H544" s="3" t="n">
        <v>7879764773</v>
      </c>
      <c r="I544" s="11" t="inlineStr">
        <is>
          <t>PE26032601</t>
        </is>
      </c>
      <c r="J544" s="3" t="inlineStr">
        <is>
          <t>Module Diode Failure</t>
        </is>
      </c>
      <c r="K544" s="3" t="inlineStr">
        <is>
          <t>Sadla</t>
        </is>
      </c>
      <c r="L544" s="3" t="inlineStr">
        <is>
          <t>Gujarat</t>
        </is>
      </c>
      <c r="M544" s="9" t="inlineStr">
        <is>
          <t>PS</t>
        </is>
      </c>
      <c r="N544" s="3" t="inlineStr">
        <is>
          <t>Cold Soldering</t>
        </is>
      </c>
      <c r="O544" s="3" t="n">
        <v>570</v>
      </c>
      <c r="P544" s="9" t="inlineStr">
        <is>
          <t>NSMI24050047234</t>
        </is>
      </c>
      <c r="Q544" s="53">
        <f>MID(P544,5,2)</f>
        <v/>
      </c>
      <c r="R544" s="53">
        <f>MID(P544,7,2)</f>
        <v/>
      </c>
      <c r="S544" s="3" t="inlineStr">
        <is>
          <t>G2G</t>
        </is>
      </c>
      <c r="T544" s="3" t="inlineStr">
        <is>
          <t>P4</t>
        </is>
      </c>
      <c r="U544" s="3" t="inlineStr">
        <is>
          <t>P JB Cold Soldering</t>
        </is>
      </c>
      <c r="V544" s="3" t="inlineStr">
        <is>
          <t>Soldering</t>
        </is>
      </c>
      <c r="W544" s="3" t="inlineStr">
        <is>
          <t>Repair</t>
        </is>
      </c>
      <c r="X544" s="18" t="n">
        <v>46150</v>
      </c>
      <c r="Y544" s="73">
        <f>IF(X544="","",X544-A544)</f>
        <v/>
      </c>
      <c r="Z544" s="18" t="n">
        <v>46150</v>
      </c>
      <c r="AA544" s="15" t="n"/>
      <c r="AB544" s="15" t="n"/>
      <c r="AF544">
        <f>IF(AND($F544="Closed",$X544&gt;=DATE(2026,5,1),$X544&lt;=DATE(2026,5,31)),"Closed in May","Other")</f>
        <v/>
      </c>
    </row>
    <row r="545">
      <c r="A545" s="6" t="n">
        <v>46107</v>
      </c>
      <c r="B545" s="3" t="n">
        <v>2026</v>
      </c>
      <c r="C545" s="3" t="inlineStr">
        <is>
          <t>Blupine Energy</t>
        </is>
      </c>
      <c r="D545" s="3" t="inlineStr">
        <is>
          <t>Utility and C&amp;I</t>
        </is>
      </c>
      <c r="E545" s="3" t="n"/>
      <c r="F545" s="3" t="inlineStr">
        <is>
          <t>Closed</t>
        </is>
      </c>
      <c r="G545" s="3" t="inlineStr">
        <is>
          <t>Chandrashekar Patidar</t>
        </is>
      </c>
      <c r="H545" s="3" t="n">
        <v>7879764773</v>
      </c>
      <c r="I545" s="11" t="inlineStr">
        <is>
          <t>PE26032601</t>
        </is>
      </c>
      <c r="J545" s="3" t="inlineStr">
        <is>
          <t>Module Diode Failure</t>
        </is>
      </c>
      <c r="K545" s="3" t="inlineStr">
        <is>
          <t>Sadla</t>
        </is>
      </c>
      <c r="L545" s="3" t="inlineStr">
        <is>
          <t>Gujarat</t>
        </is>
      </c>
      <c r="M545" s="9" t="inlineStr">
        <is>
          <t>PS</t>
        </is>
      </c>
      <c r="N545" s="3" t="inlineStr">
        <is>
          <t>Cold Soldering</t>
        </is>
      </c>
      <c r="O545" s="3" t="n">
        <v>570</v>
      </c>
      <c r="P545" s="9" t="inlineStr">
        <is>
          <t>NSMI24050047225</t>
        </is>
      </c>
      <c r="Q545" s="53">
        <f>MID(P545,5,2)</f>
        <v/>
      </c>
      <c r="R545" s="53">
        <f>MID(P545,7,2)</f>
        <v/>
      </c>
      <c r="S545" s="3" t="inlineStr">
        <is>
          <t>G2G</t>
        </is>
      </c>
      <c r="T545" s="3" t="inlineStr">
        <is>
          <t>P4</t>
        </is>
      </c>
      <c r="U545" s="3" t="inlineStr">
        <is>
          <t>P JB Cold Soldering</t>
        </is>
      </c>
      <c r="V545" s="3" t="inlineStr">
        <is>
          <t>Soldering</t>
        </is>
      </c>
      <c r="W545" s="3" t="inlineStr">
        <is>
          <t>Repair</t>
        </is>
      </c>
      <c r="X545" s="18" t="n">
        <v>46150</v>
      </c>
      <c r="Y545" s="73">
        <f>IF(X545="","",X545-A545)</f>
        <v/>
      </c>
      <c r="Z545" s="18" t="n">
        <v>46150</v>
      </c>
      <c r="AA545" s="15" t="n"/>
      <c r="AB545" s="15" t="n"/>
      <c r="AF545">
        <f>IF(AND($F545="Closed",$X545&gt;=DATE(2026,5,1),$X545&lt;=DATE(2026,5,31)),"Closed in May","Other")</f>
        <v/>
      </c>
    </row>
    <row r="546">
      <c r="A546" s="6" t="n">
        <v>46107</v>
      </c>
      <c r="B546" s="3" t="n">
        <v>2026</v>
      </c>
      <c r="C546" s="3" t="inlineStr">
        <is>
          <t>Blupine Energy</t>
        </is>
      </c>
      <c r="D546" s="3" t="inlineStr">
        <is>
          <t>Utility and C&amp;I</t>
        </is>
      </c>
      <c r="E546" s="3" t="n"/>
      <c r="F546" s="3" t="inlineStr">
        <is>
          <t>Closed</t>
        </is>
      </c>
      <c r="G546" s="3" t="inlineStr">
        <is>
          <t>Chandrashekar Patidar</t>
        </is>
      </c>
      <c r="H546" s="3" t="n">
        <v>7879764773</v>
      </c>
      <c r="I546" s="11" t="inlineStr">
        <is>
          <t>PE26032601</t>
        </is>
      </c>
      <c r="J546" s="3" t="inlineStr">
        <is>
          <t>Module Diode Failure</t>
        </is>
      </c>
      <c r="K546" s="3" t="inlineStr">
        <is>
          <t>Sadla</t>
        </is>
      </c>
      <c r="L546" s="3" t="inlineStr">
        <is>
          <t>Gujarat</t>
        </is>
      </c>
      <c r="M546" s="9" t="inlineStr">
        <is>
          <t xml:space="preserve">NS </t>
        </is>
      </c>
      <c r="N546" s="3" t="inlineStr">
        <is>
          <t>Cold Soldering</t>
        </is>
      </c>
      <c r="O546" s="3" t="n">
        <v>570</v>
      </c>
      <c r="P546" s="9" t="inlineStr">
        <is>
          <t>NSMI24060121581</t>
        </is>
      </c>
      <c r="Q546" s="53">
        <f>MID(P546,5,2)</f>
        <v/>
      </c>
      <c r="R546" s="53">
        <f>MID(P546,7,2)</f>
        <v/>
      </c>
      <c r="S546" s="3" t="inlineStr">
        <is>
          <t>G2G</t>
        </is>
      </c>
      <c r="T546" s="3" t="inlineStr">
        <is>
          <t>P4</t>
        </is>
      </c>
      <c r="U546" s="3" t="inlineStr">
        <is>
          <t>N JB Cold Soldering</t>
        </is>
      </c>
      <c r="V546" s="3" t="inlineStr">
        <is>
          <t>Soldering</t>
        </is>
      </c>
      <c r="W546" s="3" t="inlineStr">
        <is>
          <t>Repair</t>
        </is>
      </c>
      <c r="X546" s="18" t="n">
        <v>46150</v>
      </c>
      <c r="Y546" s="73">
        <f>IF(X546="","",X546-A546)</f>
        <v/>
      </c>
      <c r="Z546" s="18" t="n">
        <v>46150</v>
      </c>
      <c r="AA546" s="15" t="n"/>
      <c r="AB546" s="15" t="n"/>
      <c r="AF546">
        <f>IF(AND($F546="Closed",$X546&gt;=DATE(2026,5,1),$X546&lt;=DATE(2026,5,31)),"Closed in May","Other")</f>
        <v/>
      </c>
    </row>
    <row r="547">
      <c r="A547" s="6" t="n">
        <v>46107</v>
      </c>
      <c r="B547" s="3" t="n">
        <v>2026</v>
      </c>
      <c r="C547" s="3" t="inlineStr">
        <is>
          <t>Blupine Energy</t>
        </is>
      </c>
      <c r="D547" s="3" t="inlineStr">
        <is>
          <t>Utility and C&amp;I</t>
        </is>
      </c>
      <c r="E547" s="3" t="n"/>
      <c r="F547" s="3" t="inlineStr">
        <is>
          <t>Closed</t>
        </is>
      </c>
      <c r="G547" s="3" t="inlineStr">
        <is>
          <t>Chandrashekar Patidar</t>
        </is>
      </c>
      <c r="H547" s="3" t="n">
        <v>7879764773</v>
      </c>
      <c r="I547" s="11" t="inlineStr">
        <is>
          <t>PE26032601</t>
        </is>
      </c>
      <c r="J547" s="3" t="inlineStr">
        <is>
          <t>Module Diode Failure</t>
        </is>
      </c>
      <c r="K547" s="3" t="inlineStr">
        <is>
          <t>Sadla</t>
        </is>
      </c>
      <c r="L547" s="3" t="inlineStr">
        <is>
          <t>Gujarat</t>
        </is>
      </c>
      <c r="M547" s="9" t="inlineStr">
        <is>
          <t>PS</t>
        </is>
      </c>
      <c r="N547" s="3" t="inlineStr">
        <is>
          <t>Cold Soldering</t>
        </is>
      </c>
      <c r="O547" s="3" t="n">
        <v>570</v>
      </c>
      <c r="P547" s="9" t="inlineStr">
        <is>
          <t>NSMI24060090441</t>
        </is>
      </c>
      <c r="Q547" s="53">
        <f>MID(P547,5,2)</f>
        <v/>
      </c>
      <c r="R547" s="53">
        <f>MID(P547,7,2)</f>
        <v/>
      </c>
      <c r="S547" s="3" t="inlineStr">
        <is>
          <t>G2G</t>
        </is>
      </c>
      <c r="T547" s="3" t="inlineStr">
        <is>
          <t>P4</t>
        </is>
      </c>
      <c r="U547" s="3" t="inlineStr">
        <is>
          <t>P JB Cold Soldering</t>
        </is>
      </c>
      <c r="V547" s="3" t="inlineStr">
        <is>
          <t>Soldering</t>
        </is>
      </c>
      <c r="W547" s="3" t="inlineStr">
        <is>
          <t>Repair</t>
        </is>
      </c>
      <c r="X547" s="18" t="n">
        <v>46150</v>
      </c>
      <c r="Y547" s="73">
        <f>IF(X547="","",X547-A547)</f>
        <v/>
      </c>
      <c r="Z547" s="18" t="n">
        <v>46150</v>
      </c>
      <c r="AA547" s="15" t="n"/>
      <c r="AB547" s="15" t="n"/>
      <c r="AF547">
        <f>IF(AND($F547="Closed",$X547&gt;=DATE(2026,5,1),$X547&lt;=DATE(2026,5,31)),"Closed in May","Other")</f>
        <v/>
      </c>
    </row>
    <row r="548">
      <c r="A548" s="6" t="n">
        <v>46107</v>
      </c>
      <c r="B548" s="3" t="n">
        <v>2026</v>
      </c>
      <c r="C548" s="3" t="inlineStr">
        <is>
          <t>Blupine Energy</t>
        </is>
      </c>
      <c r="D548" s="3" t="inlineStr">
        <is>
          <t>Utility and C&amp;I</t>
        </is>
      </c>
      <c r="E548" s="3" t="n"/>
      <c r="F548" s="3" t="inlineStr">
        <is>
          <t>Closed</t>
        </is>
      </c>
      <c r="G548" s="3" t="inlineStr">
        <is>
          <t>Chandrashekar Patidar</t>
        </is>
      </c>
      <c r="H548" s="3" t="n">
        <v>7879764773</v>
      </c>
      <c r="I548" s="11" t="inlineStr">
        <is>
          <t>PE26032601</t>
        </is>
      </c>
      <c r="J548" s="3" t="inlineStr">
        <is>
          <t>Module Diode Failure</t>
        </is>
      </c>
      <c r="K548" s="3" t="inlineStr">
        <is>
          <t>Sadla</t>
        </is>
      </c>
      <c r="L548" s="3" t="inlineStr">
        <is>
          <t>Gujarat</t>
        </is>
      </c>
      <c r="M548" s="9" t="inlineStr">
        <is>
          <t>PS</t>
        </is>
      </c>
      <c r="N548" s="3" t="inlineStr">
        <is>
          <t>Cold Soldering</t>
        </is>
      </c>
      <c r="O548" s="3" t="n">
        <v>570</v>
      </c>
      <c r="P548" s="9" t="inlineStr">
        <is>
          <t>NSMI24060082846</t>
        </is>
      </c>
      <c r="Q548" s="53">
        <f>MID(P548,5,2)</f>
        <v/>
      </c>
      <c r="R548" s="53">
        <f>MID(P548,7,2)</f>
        <v/>
      </c>
      <c r="S548" s="3" t="inlineStr">
        <is>
          <t>G2G</t>
        </is>
      </c>
      <c r="T548" s="3" t="inlineStr">
        <is>
          <t>P4</t>
        </is>
      </c>
      <c r="U548" s="3" t="inlineStr">
        <is>
          <t>P JB Cold Soldering</t>
        </is>
      </c>
      <c r="V548" s="3" t="inlineStr">
        <is>
          <t>Soldering</t>
        </is>
      </c>
      <c r="W548" s="3" t="inlineStr">
        <is>
          <t>Repair</t>
        </is>
      </c>
      <c r="X548" s="18" t="n">
        <v>46150</v>
      </c>
      <c r="Y548" s="73">
        <f>IF(X548="","",X548-A548)</f>
        <v/>
      </c>
      <c r="Z548" s="18" t="n">
        <v>46150</v>
      </c>
      <c r="AA548" s="15" t="n"/>
      <c r="AB548" s="15" t="n"/>
      <c r="AF548">
        <f>IF(AND($F548="Closed",$X548&gt;=DATE(2026,5,1),$X548&lt;=DATE(2026,5,31)),"Closed in May","Other")</f>
        <v/>
      </c>
    </row>
    <row r="549">
      <c r="A549" s="6" t="n">
        <v>46107</v>
      </c>
      <c r="B549" s="3" t="n">
        <v>2026</v>
      </c>
      <c r="C549" s="3" t="inlineStr">
        <is>
          <t>Blupine Energy</t>
        </is>
      </c>
      <c r="D549" s="3" t="inlineStr">
        <is>
          <t>Utility and C&amp;I</t>
        </is>
      </c>
      <c r="E549" s="3" t="n"/>
      <c r="F549" s="3" t="inlineStr">
        <is>
          <t>Closed</t>
        </is>
      </c>
      <c r="G549" s="3" t="inlineStr">
        <is>
          <t>Chandrashekar Patidar</t>
        </is>
      </c>
      <c r="H549" s="3" t="n">
        <v>7879764773</v>
      </c>
      <c r="I549" s="11" t="inlineStr">
        <is>
          <t>PE26032601</t>
        </is>
      </c>
      <c r="J549" s="3" t="inlineStr">
        <is>
          <t>Module Diode Failure</t>
        </is>
      </c>
      <c r="K549" s="3" t="inlineStr">
        <is>
          <t>Sadla</t>
        </is>
      </c>
      <c r="L549" s="3" t="inlineStr">
        <is>
          <t>Gujarat</t>
        </is>
      </c>
      <c r="M549" s="9" t="inlineStr">
        <is>
          <t>NR</t>
        </is>
      </c>
      <c r="N549" s="3" t="inlineStr">
        <is>
          <t>JB Issue</t>
        </is>
      </c>
      <c r="O549" s="3" t="n">
        <v>570</v>
      </c>
      <c r="P549" s="9" t="inlineStr">
        <is>
          <t>NSMI24050058369</t>
        </is>
      </c>
      <c r="Q549" s="53">
        <f>MID(P549,5,2)</f>
        <v/>
      </c>
      <c r="R549" s="53">
        <f>MID(P549,7,2)</f>
        <v/>
      </c>
      <c r="S549" s="3" t="inlineStr">
        <is>
          <t>G2G</t>
        </is>
      </c>
      <c r="T549" s="3" t="inlineStr">
        <is>
          <t>P4</t>
        </is>
      </c>
      <c r="U549" s="3" t="inlineStr">
        <is>
          <t>N JB Issue</t>
        </is>
      </c>
      <c r="V549" s="3" t="inlineStr">
        <is>
          <t>JB Changed</t>
        </is>
      </c>
      <c r="W549" s="3" t="inlineStr">
        <is>
          <t>Repair</t>
        </is>
      </c>
      <c r="X549" s="18" t="n">
        <v>46150</v>
      </c>
      <c r="Y549" s="73">
        <f>IF(X549="","",X549-A549)</f>
        <v/>
      </c>
      <c r="Z549" s="18" t="n">
        <v>46150</v>
      </c>
      <c r="AA549" s="15" t="n"/>
      <c r="AB549" s="15" t="n"/>
      <c r="AF549">
        <f>IF(AND($F549="Closed",$X549&gt;=DATE(2026,5,1),$X549&lt;=DATE(2026,5,31)),"Closed in May","Other")</f>
        <v/>
      </c>
    </row>
    <row r="550">
      <c r="A550" s="6" t="n">
        <v>46107</v>
      </c>
      <c r="B550" s="3" t="n">
        <v>2026</v>
      </c>
      <c r="C550" s="3" t="inlineStr">
        <is>
          <t>Blupine Energy</t>
        </is>
      </c>
      <c r="D550" s="3" t="inlineStr">
        <is>
          <t>Utility and C&amp;I</t>
        </is>
      </c>
      <c r="E550" s="3" t="n"/>
      <c r="F550" s="3" t="inlineStr">
        <is>
          <t>Closed</t>
        </is>
      </c>
      <c r="G550" s="3" t="inlineStr">
        <is>
          <t>Chandrashekar Patidar</t>
        </is>
      </c>
      <c r="H550" s="3" t="n">
        <v>7879764773</v>
      </c>
      <c r="I550" s="11" t="inlineStr">
        <is>
          <t>PE26032601</t>
        </is>
      </c>
      <c r="J550" s="3" t="inlineStr">
        <is>
          <t>Module Diode Failure</t>
        </is>
      </c>
      <c r="K550" s="3" t="inlineStr">
        <is>
          <t>Sadla</t>
        </is>
      </c>
      <c r="L550" s="3" t="inlineStr">
        <is>
          <t>Gujarat</t>
        </is>
      </c>
      <c r="M550" s="9" t="inlineStr">
        <is>
          <t>PS</t>
        </is>
      </c>
      <c r="N550" s="3" t="inlineStr">
        <is>
          <t>Cold Soldering</t>
        </is>
      </c>
      <c r="O550" s="3" t="n">
        <v>570</v>
      </c>
      <c r="P550" s="9" t="inlineStr">
        <is>
          <t>NSMI24050058384</t>
        </is>
      </c>
      <c r="Q550" s="53">
        <f>MID(P550,5,2)</f>
        <v/>
      </c>
      <c r="R550" s="53">
        <f>MID(P550,7,2)</f>
        <v/>
      </c>
      <c r="S550" s="3" t="inlineStr">
        <is>
          <t>G2G</t>
        </is>
      </c>
      <c r="T550" s="3" t="inlineStr">
        <is>
          <t>P4</t>
        </is>
      </c>
      <c r="U550" s="3" t="inlineStr">
        <is>
          <t>P JB Cold Soldering</t>
        </is>
      </c>
      <c r="V550" s="3" t="inlineStr">
        <is>
          <t>Soldering</t>
        </is>
      </c>
      <c r="W550" s="3" t="inlineStr">
        <is>
          <t>Repair</t>
        </is>
      </c>
      <c r="X550" s="18" t="n">
        <v>46150</v>
      </c>
      <c r="Y550" s="73">
        <f>IF(X550="","",X550-A550)</f>
        <v/>
      </c>
      <c r="Z550" s="18" t="n">
        <v>46150</v>
      </c>
      <c r="AA550" s="15" t="n"/>
      <c r="AB550" s="15" t="n"/>
      <c r="AF550">
        <f>IF(AND($F550="Closed",$X550&gt;=DATE(2026,5,1),$X550&lt;=DATE(2026,5,31)),"Closed in May","Other")</f>
        <v/>
      </c>
    </row>
    <row r="551">
      <c r="A551" s="6" t="n">
        <v>46107</v>
      </c>
      <c r="B551" s="3" t="n">
        <v>2026</v>
      </c>
      <c r="C551" s="3" t="inlineStr">
        <is>
          <t>Blupine Energy</t>
        </is>
      </c>
      <c r="D551" s="3" t="inlineStr">
        <is>
          <t>Utility and C&amp;I</t>
        </is>
      </c>
      <c r="E551" s="3" t="n"/>
      <c r="F551" s="3" t="inlineStr">
        <is>
          <t>Closed</t>
        </is>
      </c>
      <c r="G551" s="3" t="inlineStr">
        <is>
          <t>Chandrashekar Patidar</t>
        </is>
      </c>
      <c r="H551" s="3" t="n">
        <v>7879764773</v>
      </c>
      <c r="I551" s="11" t="inlineStr">
        <is>
          <t>PE26032601</t>
        </is>
      </c>
      <c r="J551" s="3" t="inlineStr">
        <is>
          <t>Module Diode Failure</t>
        </is>
      </c>
      <c r="K551" s="3" t="inlineStr">
        <is>
          <t>Sadla</t>
        </is>
      </c>
      <c r="L551" s="3" t="inlineStr">
        <is>
          <t>Gujarat</t>
        </is>
      </c>
      <c r="M551" s="9" t="inlineStr">
        <is>
          <t xml:space="preserve">NS </t>
        </is>
      </c>
      <c r="N551" s="3" t="inlineStr">
        <is>
          <t>Cold Soldering</t>
        </is>
      </c>
      <c r="O551" s="3" t="n">
        <v>570</v>
      </c>
      <c r="P551" s="9" t="inlineStr">
        <is>
          <t>NSMI24050044227</t>
        </is>
      </c>
      <c r="Q551" s="53">
        <f>MID(P551,5,2)</f>
        <v/>
      </c>
      <c r="R551" s="53">
        <f>MID(P551,7,2)</f>
        <v/>
      </c>
      <c r="S551" s="3" t="inlineStr">
        <is>
          <t>G2G</t>
        </is>
      </c>
      <c r="T551" s="3" t="inlineStr">
        <is>
          <t>P4</t>
        </is>
      </c>
      <c r="U551" s="3" t="inlineStr">
        <is>
          <t>N JB Cold Soldering</t>
        </is>
      </c>
      <c r="V551" s="3" t="inlineStr">
        <is>
          <t>Soldering</t>
        </is>
      </c>
      <c r="W551" s="3" t="inlineStr">
        <is>
          <t>Repair</t>
        </is>
      </c>
      <c r="X551" s="18" t="n">
        <v>46150</v>
      </c>
      <c r="Y551" s="73">
        <f>IF(X551="","",X551-A551)</f>
        <v/>
      </c>
      <c r="Z551" s="18" t="n">
        <v>46150</v>
      </c>
      <c r="AA551" s="15" t="n"/>
      <c r="AB551" s="15" t="n"/>
      <c r="AF551">
        <f>IF(AND($F551="Closed",$X551&gt;=DATE(2026,5,1),$X551&lt;=DATE(2026,5,31)),"Closed in May","Other")</f>
        <v/>
      </c>
    </row>
    <row r="552">
      <c r="A552" s="6" t="n">
        <v>46107</v>
      </c>
      <c r="B552" s="3" t="n">
        <v>2026</v>
      </c>
      <c r="C552" s="3" t="inlineStr">
        <is>
          <t>Blupine Energy</t>
        </is>
      </c>
      <c r="D552" s="3" t="inlineStr">
        <is>
          <t>Utility and C&amp;I</t>
        </is>
      </c>
      <c r="E552" s="3" t="n"/>
      <c r="F552" s="3" t="inlineStr">
        <is>
          <t>Closed</t>
        </is>
      </c>
      <c r="G552" s="3" t="inlineStr">
        <is>
          <t>Chandrashekar Patidar</t>
        </is>
      </c>
      <c r="H552" s="3" t="n">
        <v>7879764773</v>
      </c>
      <c r="I552" s="11" t="inlineStr">
        <is>
          <t>PE26032601</t>
        </is>
      </c>
      <c r="J552" s="3" t="inlineStr">
        <is>
          <t>Module Diode Failure</t>
        </is>
      </c>
      <c r="K552" s="3" t="inlineStr">
        <is>
          <t>Sadla</t>
        </is>
      </c>
      <c r="L552" s="3" t="inlineStr">
        <is>
          <t>Gujarat</t>
        </is>
      </c>
      <c r="M552" s="9" t="inlineStr">
        <is>
          <t>NS</t>
        </is>
      </c>
      <c r="N552" s="3" t="inlineStr">
        <is>
          <t>Cold Soldering</t>
        </is>
      </c>
      <c r="O552" s="3" t="n">
        <v>570</v>
      </c>
      <c r="P552" s="9" t="inlineStr">
        <is>
          <t>NSMI24060126652</t>
        </is>
      </c>
      <c r="Q552" s="53">
        <f>MID(P552,5,2)</f>
        <v/>
      </c>
      <c r="R552" s="53">
        <f>MID(P552,7,2)</f>
        <v/>
      </c>
      <c r="S552" s="3" t="inlineStr">
        <is>
          <t>G2G</t>
        </is>
      </c>
      <c r="T552" s="3" t="inlineStr">
        <is>
          <t>P4</t>
        </is>
      </c>
      <c r="U552" s="3" t="inlineStr">
        <is>
          <t>N JB Cold Soldering</t>
        </is>
      </c>
      <c r="V552" s="3" t="inlineStr">
        <is>
          <t>Soldering</t>
        </is>
      </c>
      <c r="W552" s="3" t="inlineStr">
        <is>
          <t>Repair</t>
        </is>
      </c>
      <c r="X552" s="18" t="n">
        <v>46151</v>
      </c>
      <c r="Y552" s="73">
        <f>IF(X552="","",X552-A552)</f>
        <v/>
      </c>
      <c r="Z552" s="18" t="n">
        <v>46151</v>
      </c>
      <c r="AA552" s="15" t="n"/>
      <c r="AB552" s="15" t="n"/>
      <c r="AF552">
        <f>IF(AND($F552="Closed",$X552&gt;=DATE(2026,5,1),$X552&lt;=DATE(2026,5,31)),"Closed in May","Other")</f>
        <v/>
      </c>
    </row>
    <row r="553">
      <c r="A553" s="6" t="n">
        <v>46107</v>
      </c>
      <c r="B553" s="3" t="n">
        <v>2026</v>
      </c>
      <c r="C553" s="3" t="inlineStr">
        <is>
          <t>Blupine Energy</t>
        </is>
      </c>
      <c r="D553" s="3" t="inlineStr">
        <is>
          <t>Utility and C&amp;I</t>
        </is>
      </c>
      <c r="E553" s="3" t="n"/>
      <c r="F553" s="3" t="inlineStr">
        <is>
          <t>Closed</t>
        </is>
      </c>
      <c r="G553" s="3" t="inlineStr">
        <is>
          <t>Chandrashekar Patidar</t>
        </is>
      </c>
      <c r="H553" s="3" t="n">
        <v>7879764773</v>
      </c>
      <c r="I553" s="11" t="inlineStr">
        <is>
          <t>PE26032601</t>
        </is>
      </c>
      <c r="J553" s="3" t="inlineStr">
        <is>
          <t>Module Diode Failure</t>
        </is>
      </c>
      <c r="K553" s="3" t="inlineStr">
        <is>
          <t>Sadla</t>
        </is>
      </c>
      <c r="L553" s="3" t="inlineStr">
        <is>
          <t>Gujarat</t>
        </is>
      </c>
      <c r="M553" s="9" t="inlineStr">
        <is>
          <t>PR</t>
        </is>
      </c>
      <c r="N553" s="3" t="inlineStr">
        <is>
          <t>JB Issue</t>
        </is>
      </c>
      <c r="O553" s="3" t="n">
        <v>570</v>
      </c>
      <c r="P553" s="9" t="inlineStr">
        <is>
          <t>NSMI24060106612</t>
        </is>
      </c>
      <c r="Q553" s="53">
        <f>MID(P553,5,2)</f>
        <v/>
      </c>
      <c r="R553" s="53">
        <f>MID(P553,7,2)</f>
        <v/>
      </c>
      <c r="S553" s="3" t="inlineStr">
        <is>
          <t>G2G</t>
        </is>
      </c>
      <c r="T553" s="3" t="inlineStr">
        <is>
          <t>P4</t>
        </is>
      </c>
      <c r="U553" s="3" t="inlineStr">
        <is>
          <t>P JB Issue</t>
        </is>
      </c>
      <c r="V553" s="15" t="inlineStr">
        <is>
          <t>JB Changed</t>
        </is>
      </c>
      <c r="W553" s="3" t="inlineStr">
        <is>
          <t>Repair</t>
        </is>
      </c>
      <c r="X553" s="18" t="n">
        <v>46151</v>
      </c>
      <c r="Y553" s="73">
        <f>IF(X553="","",X553-A553)</f>
        <v/>
      </c>
      <c r="Z553" s="18" t="n">
        <v>46151</v>
      </c>
      <c r="AA553" s="15" t="n"/>
      <c r="AB553" s="15" t="n"/>
      <c r="AF553">
        <f>IF(AND($F553="Closed",$X553&gt;=DATE(2026,5,1),$X553&lt;=DATE(2026,5,31)),"Closed in May","Other")</f>
        <v/>
      </c>
    </row>
    <row r="554">
      <c r="A554" s="6" t="n">
        <v>46107</v>
      </c>
      <c r="B554" s="3" t="n">
        <v>2026</v>
      </c>
      <c r="C554" s="3" t="inlineStr">
        <is>
          <t>Blupine Energy</t>
        </is>
      </c>
      <c r="D554" s="3" t="inlineStr">
        <is>
          <t>Utility and C&amp;I</t>
        </is>
      </c>
      <c r="E554" s="3" t="n"/>
      <c r="F554" s="3" t="inlineStr">
        <is>
          <t>Closed</t>
        </is>
      </c>
      <c r="G554" s="3" t="inlineStr">
        <is>
          <t>Chandrashekar Patidar</t>
        </is>
      </c>
      <c r="H554" s="3" t="n">
        <v>7879764773</v>
      </c>
      <c r="I554" s="11" t="inlineStr">
        <is>
          <t>PE26032601</t>
        </is>
      </c>
      <c r="J554" s="3" t="inlineStr">
        <is>
          <t>Module Diode Failure</t>
        </is>
      </c>
      <c r="K554" s="3" t="inlineStr">
        <is>
          <t>Sadla</t>
        </is>
      </c>
      <c r="L554" s="3" t="inlineStr">
        <is>
          <t>Gujarat</t>
        </is>
      </c>
      <c r="M554" s="9" t="inlineStr">
        <is>
          <t>NR</t>
        </is>
      </c>
      <c r="N554" s="3" t="inlineStr">
        <is>
          <t>JB Issue</t>
        </is>
      </c>
      <c r="O554" s="3" t="n">
        <v>570</v>
      </c>
      <c r="P554" s="9" t="inlineStr">
        <is>
          <t>NSMI24060106553</t>
        </is>
      </c>
      <c r="Q554" s="53">
        <f>MID(P554,5,2)</f>
        <v/>
      </c>
      <c r="R554" s="53">
        <f>MID(P554,7,2)</f>
        <v/>
      </c>
      <c r="S554" s="3" t="inlineStr">
        <is>
          <t>G2G</t>
        </is>
      </c>
      <c r="T554" s="3" t="inlineStr">
        <is>
          <t>P4</t>
        </is>
      </c>
      <c r="U554" s="3" t="inlineStr">
        <is>
          <t>N JB Issue</t>
        </is>
      </c>
      <c r="V554" s="3" t="inlineStr">
        <is>
          <t>JB Changed</t>
        </is>
      </c>
      <c r="W554" s="3" t="inlineStr">
        <is>
          <t>Repair</t>
        </is>
      </c>
      <c r="X554" s="18" t="n">
        <v>46151</v>
      </c>
      <c r="Y554" s="73">
        <f>IF(X554="","",X554-A554)</f>
        <v/>
      </c>
      <c r="Z554" s="18" t="n">
        <v>46151</v>
      </c>
      <c r="AA554" s="15" t="n"/>
      <c r="AB554" s="15" t="n"/>
      <c r="AF554">
        <f>IF(AND($F554="Closed",$X554&gt;=DATE(2026,5,1),$X554&lt;=DATE(2026,5,31)),"Closed in May","Other")</f>
        <v/>
      </c>
    </row>
    <row r="555">
      <c r="A555" s="6" t="n">
        <v>46107</v>
      </c>
      <c r="B555" s="3" t="n">
        <v>2026</v>
      </c>
      <c r="C555" s="3" t="inlineStr">
        <is>
          <t>Blupine Energy</t>
        </is>
      </c>
      <c r="D555" s="3" t="inlineStr">
        <is>
          <t>Utility and C&amp;I</t>
        </is>
      </c>
      <c r="E555" s="3" t="n"/>
      <c r="F555" s="3" t="inlineStr">
        <is>
          <t>Closed</t>
        </is>
      </c>
      <c r="G555" s="3" t="inlineStr">
        <is>
          <t>Chandrashekar Patidar</t>
        </is>
      </c>
      <c r="H555" s="3" t="n">
        <v>7879764773</v>
      </c>
      <c r="I555" s="11" t="inlineStr">
        <is>
          <t>PE26032601</t>
        </is>
      </c>
      <c r="J555" s="3" t="inlineStr">
        <is>
          <t>Module Diode Failure</t>
        </is>
      </c>
      <c r="K555" s="3" t="inlineStr">
        <is>
          <t>Sadla</t>
        </is>
      </c>
      <c r="L555" s="3" t="inlineStr">
        <is>
          <t>Gujarat</t>
        </is>
      </c>
      <c r="M555" s="9" t="inlineStr">
        <is>
          <t xml:space="preserve">PR </t>
        </is>
      </c>
      <c r="N555" s="3" t="inlineStr">
        <is>
          <t>JB Issue</t>
        </is>
      </c>
      <c r="O555" s="3" t="n">
        <v>570</v>
      </c>
      <c r="P555" s="9" t="inlineStr">
        <is>
          <t>NSMI24060106556</t>
        </is>
      </c>
      <c r="Q555" s="53">
        <f>MID(P555,5,2)</f>
        <v/>
      </c>
      <c r="R555" s="53">
        <f>MID(P555,7,2)</f>
        <v/>
      </c>
      <c r="S555" s="3" t="inlineStr">
        <is>
          <t>G2G</t>
        </is>
      </c>
      <c r="T555" s="3" t="inlineStr">
        <is>
          <t>P4</t>
        </is>
      </c>
      <c r="U555" s="3" t="inlineStr">
        <is>
          <t>P JB Issue</t>
        </is>
      </c>
      <c r="V555" s="15" t="inlineStr">
        <is>
          <t>JB Changed</t>
        </is>
      </c>
      <c r="W555" s="3" t="inlineStr">
        <is>
          <t>Repair</t>
        </is>
      </c>
      <c r="X555" s="18" t="n">
        <v>46151</v>
      </c>
      <c r="Y555" s="73">
        <f>IF(X555="","",X555-A555)</f>
        <v/>
      </c>
      <c r="Z555" s="18" t="n">
        <v>46151</v>
      </c>
      <c r="AA555" s="15" t="n"/>
      <c r="AB555" s="15" t="n"/>
      <c r="AF555">
        <f>IF(AND($F555="Closed",$X555&gt;=DATE(2026,5,1),$X555&lt;=DATE(2026,5,31)),"Closed in May","Other")</f>
        <v/>
      </c>
    </row>
    <row r="556">
      <c r="A556" s="6" t="n">
        <v>46107</v>
      </c>
      <c r="B556" s="3" t="n">
        <v>2026</v>
      </c>
      <c r="C556" s="3" t="inlineStr">
        <is>
          <t>Blupine Energy</t>
        </is>
      </c>
      <c r="D556" s="3" t="inlineStr">
        <is>
          <t>Utility and C&amp;I</t>
        </is>
      </c>
      <c r="E556" s="3" t="n"/>
      <c r="F556" s="3" t="inlineStr">
        <is>
          <t>Closed</t>
        </is>
      </c>
      <c r="G556" s="3" t="inlineStr">
        <is>
          <t>Chandrashekar Patidar</t>
        </is>
      </c>
      <c r="H556" s="3" t="n">
        <v>7879764773</v>
      </c>
      <c r="I556" s="11" t="inlineStr">
        <is>
          <t>PE26032601</t>
        </is>
      </c>
      <c r="J556" s="3" t="inlineStr">
        <is>
          <t>Module Diode Failure</t>
        </is>
      </c>
      <c r="K556" s="3" t="inlineStr">
        <is>
          <t>Sadla</t>
        </is>
      </c>
      <c r="L556" s="3" t="inlineStr">
        <is>
          <t>Gujarat</t>
        </is>
      </c>
      <c r="M556" s="9" t="inlineStr">
        <is>
          <t>PS</t>
        </is>
      </c>
      <c r="N556" s="3" t="inlineStr">
        <is>
          <t>Cold Soldering</t>
        </is>
      </c>
      <c r="O556" s="3" t="n">
        <v>570</v>
      </c>
      <c r="P556" s="9" t="inlineStr">
        <is>
          <t>NSMI24060082993</t>
        </is>
      </c>
      <c r="Q556" s="53">
        <f>MID(P556,5,2)</f>
        <v/>
      </c>
      <c r="R556" s="53">
        <f>MID(P556,7,2)</f>
        <v/>
      </c>
      <c r="S556" s="3" t="inlineStr">
        <is>
          <t>G2G</t>
        </is>
      </c>
      <c r="T556" s="3" t="inlineStr">
        <is>
          <t>P4</t>
        </is>
      </c>
      <c r="U556" s="3" t="inlineStr">
        <is>
          <t>P JB Cold Soldering</t>
        </is>
      </c>
      <c r="V556" s="3" t="inlineStr">
        <is>
          <t>Soldering</t>
        </is>
      </c>
      <c r="W556" s="3" t="inlineStr">
        <is>
          <t>Repair</t>
        </is>
      </c>
      <c r="X556" s="18" t="n">
        <v>46151</v>
      </c>
      <c r="Y556" s="73">
        <f>IF(X556="","",X556-A556)</f>
        <v/>
      </c>
      <c r="Z556" s="18" t="n">
        <v>46151</v>
      </c>
      <c r="AA556" s="15" t="n"/>
      <c r="AB556" s="15" t="n"/>
      <c r="AF556">
        <f>IF(AND($F556="Closed",$X556&gt;=DATE(2026,5,1),$X556&lt;=DATE(2026,5,31)),"Closed in May","Other")</f>
        <v/>
      </c>
    </row>
    <row r="557">
      <c r="A557" s="6" t="n">
        <v>46107</v>
      </c>
      <c r="B557" s="3" t="n">
        <v>2026</v>
      </c>
      <c r="C557" s="3" t="inlineStr">
        <is>
          <t>Blupine Energy</t>
        </is>
      </c>
      <c r="D557" s="3" t="inlineStr">
        <is>
          <t>Utility and C&amp;I</t>
        </is>
      </c>
      <c r="E557" s="3" t="n"/>
      <c r="F557" s="3" t="inlineStr">
        <is>
          <t>Closed</t>
        </is>
      </c>
      <c r="G557" s="3" t="inlineStr">
        <is>
          <t>Chandrashekar Patidar</t>
        </is>
      </c>
      <c r="H557" s="3" t="n">
        <v>7879764773</v>
      </c>
      <c r="I557" s="11" t="inlineStr">
        <is>
          <t>PE26032601</t>
        </is>
      </c>
      <c r="J557" s="3" t="inlineStr">
        <is>
          <t>Module Diode Failure</t>
        </is>
      </c>
      <c r="K557" s="3" t="inlineStr">
        <is>
          <t>Sadla</t>
        </is>
      </c>
      <c r="L557" s="3" t="inlineStr">
        <is>
          <t>Gujarat</t>
        </is>
      </c>
      <c r="M557" s="9" t="inlineStr">
        <is>
          <t>PS</t>
        </is>
      </c>
      <c r="N557" s="3" t="inlineStr">
        <is>
          <t>Cold Soldering</t>
        </is>
      </c>
      <c r="O557" s="3" t="n">
        <v>570</v>
      </c>
      <c r="P557" s="9" t="inlineStr">
        <is>
          <t>NSMI24060082892</t>
        </is>
      </c>
      <c r="Q557" s="53">
        <f>MID(P557,5,2)</f>
        <v/>
      </c>
      <c r="R557" s="53">
        <f>MID(P557,7,2)</f>
        <v/>
      </c>
      <c r="S557" s="3" t="inlineStr">
        <is>
          <t>G2G</t>
        </is>
      </c>
      <c r="T557" s="3" t="inlineStr">
        <is>
          <t>P4</t>
        </is>
      </c>
      <c r="U557" s="3" t="inlineStr">
        <is>
          <t>P JB Cold Soldering</t>
        </is>
      </c>
      <c r="V557" s="3" t="inlineStr">
        <is>
          <t>Soldering</t>
        </is>
      </c>
      <c r="W557" s="3" t="inlineStr">
        <is>
          <t>Repair</t>
        </is>
      </c>
      <c r="X557" s="18" t="n">
        <v>46151</v>
      </c>
      <c r="Y557" s="73">
        <f>IF(X557="","",X557-A557)</f>
        <v/>
      </c>
      <c r="Z557" s="18" t="n">
        <v>46151</v>
      </c>
      <c r="AA557" s="15" t="n"/>
      <c r="AB557" s="15" t="n"/>
      <c r="AF557">
        <f>IF(AND($F557="Closed",$X557&gt;=DATE(2026,5,1),$X557&lt;=DATE(2026,5,31)),"Closed in May","Other")</f>
        <v/>
      </c>
    </row>
    <row r="558">
      <c r="A558" s="6" t="n">
        <v>46107</v>
      </c>
      <c r="B558" s="3" t="n">
        <v>2026</v>
      </c>
      <c r="C558" s="3" t="inlineStr">
        <is>
          <t>Blupine Energy</t>
        </is>
      </c>
      <c r="D558" s="3" t="inlineStr">
        <is>
          <t>Utility and C&amp;I</t>
        </is>
      </c>
      <c r="E558" s="3" t="n"/>
      <c r="F558" s="3" t="inlineStr">
        <is>
          <t>Closed</t>
        </is>
      </c>
      <c r="G558" s="3" t="inlineStr">
        <is>
          <t>Chandrashekar Patidar</t>
        </is>
      </c>
      <c r="H558" s="3" t="n">
        <v>7879764773</v>
      </c>
      <c r="I558" s="11" t="inlineStr">
        <is>
          <t>PE26032601</t>
        </is>
      </c>
      <c r="J558" s="3" t="inlineStr">
        <is>
          <t>Module Diode Failure</t>
        </is>
      </c>
      <c r="K558" s="3" t="inlineStr">
        <is>
          <t>Sadla</t>
        </is>
      </c>
      <c r="L558" s="3" t="inlineStr">
        <is>
          <t>Gujarat</t>
        </is>
      </c>
      <c r="M558" s="9" t="inlineStr">
        <is>
          <t>NS</t>
        </is>
      </c>
      <c r="N558" s="3" t="inlineStr">
        <is>
          <t>Cold Soldering</t>
        </is>
      </c>
      <c r="O558" s="3" t="n">
        <v>570</v>
      </c>
      <c r="P558" s="9" t="inlineStr">
        <is>
          <t>NSMI24060098390</t>
        </is>
      </c>
      <c r="Q558" s="53">
        <f>MID(P558,5,2)</f>
        <v/>
      </c>
      <c r="R558" s="53">
        <f>MID(P558,7,2)</f>
        <v/>
      </c>
      <c r="S558" s="3" t="inlineStr">
        <is>
          <t>G2G</t>
        </is>
      </c>
      <c r="T558" s="3" t="inlineStr">
        <is>
          <t>P4</t>
        </is>
      </c>
      <c r="U558" s="3" t="inlineStr">
        <is>
          <t>N JB Cold Soldering</t>
        </is>
      </c>
      <c r="V558" s="3" t="inlineStr">
        <is>
          <t>Soldering</t>
        </is>
      </c>
      <c r="W558" s="3" t="inlineStr">
        <is>
          <t>Repair</t>
        </is>
      </c>
      <c r="X558" s="18" t="n">
        <v>46151</v>
      </c>
      <c r="Y558" s="73">
        <f>IF(X558="","",X558-A558)</f>
        <v/>
      </c>
      <c r="Z558" s="18" t="n">
        <v>46151</v>
      </c>
      <c r="AA558" s="15" t="n"/>
      <c r="AB558" s="15" t="n"/>
      <c r="AF558">
        <f>IF(AND($F558="Closed",$X558&gt;=DATE(2026,5,1),$X558&lt;=DATE(2026,5,31)),"Closed in May","Other")</f>
        <v/>
      </c>
    </row>
    <row r="559">
      <c r="A559" s="6" t="n">
        <v>46107</v>
      </c>
      <c r="B559" s="3" t="n">
        <v>2026</v>
      </c>
      <c r="C559" s="3" t="inlineStr">
        <is>
          <t>Blupine Energy</t>
        </is>
      </c>
      <c r="D559" s="3" t="inlineStr">
        <is>
          <t>Utility and C&amp;I</t>
        </is>
      </c>
      <c r="E559" s="3" t="n"/>
      <c r="F559" s="3" t="inlineStr">
        <is>
          <t>Closed</t>
        </is>
      </c>
      <c r="G559" s="3" t="inlineStr">
        <is>
          <t>Chandrashekar Patidar</t>
        </is>
      </c>
      <c r="H559" s="3" t="n">
        <v>7879764773</v>
      </c>
      <c r="I559" s="11" t="inlineStr">
        <is>
          <t>PE26032601</t>
        </is>
      </c>
      <c r="J559" s="3" t="inlineStr">
        <is>
          <t>Module Diode Failure</t>
        </is>
      </c>
      <c r="K559" s="3" t="inlineStr">
        <is>
          <t>Sadla</t>
        </is>
      </c>
      <c r="L559" s="3" t="inlineStr">
        <is>
          <t>Gujarat</t>
        </is>
      </c>
      <c r="M559" s="9" t="inlineStr">
        <is>
          <t>NS</t>
        </is>
      </c>
      <c r="N559" s="3" t="inlineStr">
        <is>
          <t>Cold Soldering</t>
        </is>
      </c>
      <c r="O559" s="3" t="n">
        <v>570</v>
      </c>
      <c r="P559" s="9" t="inlineStr">
        <is>
          <t>NSMI24050064511</t>
        </is>
      </c>
      <c r="Q559" s="53">
        <f>MID(P559,5,2)</f>
        <v/>
      </c>
      <c r="R559" s="53">
        <f>MID(P559,7,2)</f>
        <v/>
      </c>
      <c r="S559" s="3" t="inlineStr">
        <is>
          <t>G2G</t>
        </is>
      </c>
      <c r="T559" s="3" t="inlineStr">
        <is>
          <t>P4</t>
        </is>
      </c>
      <c r="U559" s="3" t="inlineStr">
        <is>
          <t>N JB Cold Soldering</t>
        </is>
      </c>
      <c r="V559" s="3" t="inlineStr">
        <is>
          <t>Soldering</t>
        </is>
      </c>
      <c r="W559" s="3" t="inlineStr">
        <is>
          <t>Repair</t>
        </is>
      </c>
      <c r="X559" s="18" t="n">
        <v>46151</v>
      </c>
      <c r="Y559" s="73">
        <f>IF(X559="","",X559-A559)</f>
        <v/>
      </c>
      <c r="Z559" s="18" t="n">
        <v>46151</v>
      </c>
      <c r="AA559" s="15" t="n"/>
      <c r="AB559" s="15" t="n"/>
      <c r="AF559">
        <f>IF(AND($F559="Closed",$X559&gt;=DATE(2026,5,1),$X559&lt;=DATE(2026,5,31)),"Closed in May","Other")</f>
        <v/>
      </c>
    </row>
    <row r="560">
      <c r="A560" s="6" t="n">
        <v>46107</v>
      </c>
      <c r="B560" s="3" t="n">
        <v>2026</v>
      </c>
      <c r="C560" s="3" t="inlineStr">
        <is>
          <t>Blupine Energy</t>
        </is>
      </c>
      <c r="D560" s="3" t="inlineStr">
        <is>
          <t>Utility and C&amp;I</t>
        </is>
      </c>
      <c r="E560" s="3" t="n"/>
      <c r="F560" s="3" t="inlineStr">
        <is>
          <t>Closed</t>
        </is>
      </c>
      <c r="G560" s="3" t="inlineStr">
        <is>
          <t>Chandrashekar Patidar</t>
        </is>
      </c>
      <c r="H560" s="3" t="n">
        <v>7879764773</v>
      </c>
      <c r="I560" s="11" t="inlineStr">
        <is>
          <t>PE26032601</t>
        </is>
      </c>
      <c r="J560" s="3" t="inlineStr">
        <is>
          <t>Module Diode Failure</t>
        </is>
      </c>
      <c r="K560" s="3" t="inlineStr">
        <is>
          <t>Sadla</t>
        </is>
      </c>
      <c r="L560" s="3" t="inlineStr">
        <is>
          <t>Gujarat</t>
        </is>
      </c>
      <c r="M560" s="9" t="inlineStr">
        <is>
          <t>NS</t>
        </is>
      </c>
      <c r="N560" s="3" t="inlineStr">
        <is>
          <t>Cold Soldering</t>
        </is>
      </c>
      <c r="O560" s="3" t="n">
        <v>570</v>
      </c>
      <c r="P560" s="9" t="inlineStr">
        <is>
          <t>NSMI24060090790</t>
        </is>
      </c>
      <c r="Q560" s="53">
        <f>MID(P560,5,2)</f>
        <v/>
      </c>
      <c r="R560" s="53">
        <f>MID(P560,7,2)</f>
        <v/>
      </c>
      <c r="S560" s="3" t="inlineStr">
        <is>
          <t>G2G</t>
        </is>
      </c>
      <c r="T560" s="3" t="inlineStr">
        <is>
          <t>P4</t>
        </is>
      </c>
      <c r="U560" s="3" t="inlineStr">
        <is>
          <t>N JB Cold Soldering</t>
        </is>
      </c>
      <c r="V560" s="3" t="inlineStr">
        <is>
          <t>Soldering</t>
        </is>
      </c>
      <c r="W560" s="3" t="inlineStr">
        <is>
          <t>Repair</t>
        </is>
      </c>
      <c r="X560" s="18" t="n">
        <v>46151</v>
      </c>
      <c r="Y560" s="73">
        <f>IF(X560="","",X560-A560)</f>
        <v/>
      </c>
      <c r="Z560" s="18" t="n">
        <v>46151</v>
      </c>
      <c r="AA560" s="15" t="n"/>
      <c r="AB560" s="15" t="n"/>
      <c r="AF560">
        <f>IF(AND($F560="Closed",$X560&gt;=DATE(2026,5,1),$X560&lt;=DATE(2026,5,31)),"Closed in May","Other")</f>
        <v/>
      </c>
    </row>
    <row r="561">
      <c r="A561" s="6" t="n">
        <v>46107</v>
      </c>
      <c r="B561" s="3" t="n">
        <v>2026</v>
      </c>
      <c r="C561" s="3" t="inlineStr">
        <is>
          <t>Blupine Energy</t>
        </is>
      </c>
      <c r="D561" s="3" t="inlineStr">
        <is>
          <t>Utility and C&amp;I</t>
        </is>
      </c>
      <c r="E561" s="3" t="n"/>
      <c r="F561" s="3" t="inlineStr">
        <is>
          <t>Closed</t>
        </is>
      </c>
      <c r="G561" s="3" t="inlineStr">
        <is>
          <t>Chandrashekar Patidar</t>
        </is>
      </c>
      <c r="H561" s="3" t="n">
        <v>7879764773</v>
      </c>
      <c r="I561" s="11" t="inlineStr">
        <is>
          <t>PE26032601</t>
        </is>
      </c>
      <c r="J561" s="3" t="inlineStr">
        <is>
          <t>Module Diode Failure</t>
        </is>
      </c>
      <c r="K561" s="3" t="inlineStr">
        <is>
          <t>Sadla</t>
        </is>
      </c>
      <c r="L561" s="3" t="inlineStr">
        <is>
          <t>Gujarat</t>
        </is>
      </c>
      <c r="M561" s="9" t="inlineStr">
        <is>
          <t>PS</t>
        </is>
      </c>
      <c r="N561" s="3" t="inlineStr">
        <is>
          <t>Cold Soldering</t>
        </is>
      </c>
      <c r="O561" s="3" t="n">
        <v>570</v>
      </c>
      <c r="P561" s="9" t="inlineStr">
        <is>
          <t>NSMI24060094330</t>
        </is>
      </c>
      <c r="Q561" s="53">
        <f>MID(P561,5,2)</f>
        <v/>
      </c>
      <c r="R561" s="53">
        <f>MID(P561,7,2)</f>
        <v/>
      </c>
      <c r="S561" s="3" t="inlineStr">
        <is>
          <t>G2G</t>
        </is>
      </c>
      <c r="T561" s="3" t="inlineStr">
        <is>
          <t>P4</t>
        </is>
      </c>
      <c r="U561" s="3" t="inlineStr">
        <is>
          <t>P JB Cold Soldering</t>
        </is>
      </c>
      <c r="V561" s="3" t="inlineStr">
        <is>
          <t>Soldering</t>
        </is>
      </c>
      <c r="W561" s="3" t="inlineStr">
        <is>
          <t>Repair</t>
        </is>
      </c>
      <c r="X561" s="18" t="n">
        <v>46151</v>
      </c>
      <c r="Y561" s="73">
        <f>IF(X561="","",X561-A561)</f>
        <v/>
      </c>
      <c r="Z561" s="18" t="n">
        <v>46151</v>
      </c>
      <c r="AA561" s="15" t="n"/>
      <c r="AB561" s="15" t="n"/>
      <c r="AF561">
        <f>IF(AND($F561="Closed",$X561&gt;=DATE(2026,5,1),$X561&lt;=DATE(2026,5,31)),"Closed in May","Other")</f>
        <v/>
      </c>
    </row>
    <row r="562">
      <c r="A562" s="6" t="n">
        <v>46107</v>
      </c>
      <c r="B562" s="3" t="n">
        <v>2026</v>
      </c>
      <c r="C562" s="3" t="inlineStr">
        <is>
          <t>Blupine Energy</t>
        </is>
      </c>
      <c r="D562" s="3" t="inlineStr">
        <is>
          <t>Utility and C&amp;I</t>
        </is>
      </c>
      <c r="E562" s="3" t="n"/>
      <c r="F562" s="3" t="inlineStr">
        <is>
          <t>Closed</t>
        </is>
      </c>
      <c r="G562" s="3" t="inlineStr">
        <is>
          <t>Chandrashekar Patidar</t>
        </is>
      </c>
      <c r="H562" s="3" t="n">
        <v>7879764773</v>
      </c>
      <c r="I562" s="11" t="inlineStr">
        <is>
          <t>PE26032601</t>
        </is>
      </c>
      <c r="J562" s="3" t="inlineStr">
        <is>
          <t>Module Diode Failure</t>
        </is>
      </c>
      <c r="K562" s="3" t="inlineStr">
        <is>
          <t>Sadla</t>
        </is>
      </c>
      <c r="L562" s="3" t="inlineStr">
        <is>
          <t>Gujarat</t>
        </is>
      </c>
      <c r="M562" s="9" t="inlineStr">
        <is>
          <t>PS</t>
        </is>
      </c>
      <c r="N562" s="3" t="inlineStr">
        <is>
          <t>Cold Soldering</t>
        </is>
      </c>
      <c r="O562" s="3" t="n">
        <v>570</v>
      </c>
      <c r="P562" s="9" t="inlineStr">
        <is>
          <t>NSMI24060090595</t>
        </is>
      </c>
      <c r="Q562" s="53">
        <f>MID(P562,5,2)</f>
        <v/>
      </c>
      <c r="R562" s="53">
        <f>MID(P562,7,2)</f>
        <v/>
      </c>
      <c r="S562" s="3" t="inlineStr">
        <is>
          <t>G2G</t>
        </is>
      </c>
      <c r="T562" s="3" t="inlineStr">
        <is>
          <t>P4</t>
        </is>
      </c>
      <c r="U562" s="3" t="inlineStr">
        <is>
          <t>P JB Cold Soldering</t>
        </is>
      </c>
      <c r="V562" s="3" t="inlineStr">
        <is>
          <t>Soldering</t>
        </is>
      </c>
      <c r="W562" s="3" t="inlineStr">
        <is>
          <t>Repair</t>
        </is>
      </c>
      <c r="X562" s="18" t="n">
        <v>46151</v>
      </c>
      <c r="Y562" s="73">
        <f>IF(X562="","",X562-A562)</f>
        <v/>
      </c>
      <c r="Z562" s="18" t="n">
        <v>46151</v>
      </c>
      <c r="AA562" s="15" t="n"/>
      <c r="AB562" s="15" t="n"/>
      <c r="AF562">
        <f>IF(AND($F562="Closed",$X562&gt;=DATE(2026,5,1),$X562&lt;=DATE(2026,5,31)),"Closed in May","Other")</f>
        <v/>
      </c>
    </row>
    <row r="563">
      <c r="A563" s="6" t="n">
        <v>46107</v>
      </c>
      <c r="B563" s="3" t="n">
        <v>2026</v>
      </c>
      <c r="C563" s="3" t="inlineStr">
        <is>
          <t>Blupine Energy</t>
        </is>
      </c>
      <c r="D563" s="3" t="inlineStr">
        <is>
          <t>Utility and C&amp;I</t>
        </is>
      </c>
      <c r="E563" s="3" t="n"/>
      <c r="F563" s="3" t="inlineStr">
        <is>
          <t>Closed</t>
        </is>
      </c>
      <c r="G563" s="3" t="inlineStr">
        <is>
          <t>Chandrashekar Patidar</t>
        </is>
      </c>
      <c r="H563" s="3" t="n">
        <v>7879764773</v>
      </c>
      <c r="I563" s="11" t="inlineStr">
        <is>
          <t>PE26032601</t>
        </is>
      </c>
      <c r="J563" s="3" t="inlineStr">
        <is>
          <t>Module Diode Failure</t>
        </is>
      </c>
      <c r="K563" s="3" t="inlineStr">
        <is>
          <t>Sadla</t>
        </is>
      </c>
      <c r="L563" s="3" t="inlineStr">
        <is>
          <t>Gujarat</t>
        </is>
      </c>
      <c r="M563" s="9" t="inlineStr">
        <is>
          <t>NS</t>
        </is>
      </c>
      <c r="N563" s="3" t="inlineStr">
        <is>
          <t>Cold Soldering</t>
        </is>
      </c>
      <c r="O563" s="3" t="n">
        <v>570</v>
      </c>
      <c r="P563" s="9" t="inlineStr">
        <is>
          <t>NSMI24060090553</t>
        </is>
      </c>
      <c r="Q563" s="53">
        <f>MID(P563,5,2)</f>
        <v/>
      </c>
      <c r="R563" s="53">
        <f>MID(P563,7,2)</f>
        <v/>
      </c>
      <c r="S563" s="3" t="inlineStr">
        <is>
          <t>G2G</t>
        </is>
      </c>
      <c r="T563" s="3" t="inlineStr">
        <is>
          <t>P4</t>
        </is>
      </c>
      <c r="U563" s="3" t="inlineStr">
        <is>
          <t>N JB Cold Soldering</t>
        </is>
      </c>
      <c r="V563" s="3" t="inlineStr">
        <is>
          <t>Soldering</t>
        </is>
      </c>
      <c r="W563" s="3" t="inlineStr">
        <is>
          <t>Repair</t>
        </is>
      </c>
      <c r="X563" s="18" t="n">
        <v>46151</v>
      </c>
      <c r="Y563" s="73">
        <f>IF(X563="","",X563-A563)</f>
        <v/>
      </c>
      <c r="Z563" s="18" t="n">
        <v>46151</v>
      </c>
      <c r="AA563" s="15" t="n"/>
      <c r="AB563" s="15" t="n"/>
      <c r="AF563">
        <f>IF(AND($F563="Closed",$X563&gt;=DATE(2026,5,1),$X563&lt;=DATE(2026,5,31)),"Closed in May","Other")</f>
        <v/>
      </c>
    </row>
    <row r="564">
      <c r="A564" s="6" t="n">
        <v>46107</v>
      </c>
      <c r="B564" s="3" t="n">
        <v>2026</v>
      </c>
      <c r="C564" s="3" t="inlineStr">
        <is>
          <t>Blupine Energy</t>
        </is>
      </c>
      <c r="D564" s="3" t="inlineStr">
        <is>
          <t>Utility and C&amp;I</t>
        </is>
      </c>
      <c r="E564" s="3" t="n"/>
      <c r="F564" s="3" t="inlineStr">
        <is>
          <t>Closed</t>
        </is>
      </c>
      <c r="G564" s="3" t="inlineStr">
        <is>
          <t>Chandrashekar Patidar</t>
        </is>
      </c>
      <c r="H564" s="3" t="n">
        <v>7879764773</v>
      </c>
      <c r="I564" s="11" t="inlineStr">
        <is>
          <t>PE26032601</t>
        </is>
      </c>
      <c r="J564" s="3" t="inlineStr">
        <is>
          <t>Module Diode Failure</t>
        </is>
      </c>
      <c r="K564" s="3" t="inlineStr">
        <is>
          <t>Sadla</t>
        </is>
      </c>
      <c r="L564" s="3" t="inlineStr">
        <is>
          <t>Gujarat</t>
        </is>
      </c>
      <c r="M564" s="9" t="inlineStr">
        <is>
          <t>PS</t>
        </is>
      </c>
      <c r="N564" s="3" t="inlineStr">
        <is>
          <t>Cold Soldering</t>
        </is>
      </c>
      <c r="O564" s="3" t="n">
        <v>570</v>
      </c>
      <c r="P564" s="9" t="inlineStr">
        <is>
          <t>NSMI24050049379</t>
        </is>
      </c>
      <c r="Q564" s="53">
        <f>MID(P564,5,2)</f>
        <v/>
      </c>
      <c r="R564" s="53">
        <f>MID(P564,7,2)</f>
        <v/>
      </c>
      <c r="S564" s="3" t="inlineStr">
        <is>
          <t>G2G</t>
        </is>
      </c>
      <c r="T564" s="3" t="inlineStr">
        <is>
          <t>P4</t>
        </is>
      </c>
      <c r="U564" s="3" t="inlineStr">
        <is>
          <t>P JB Cold Soldering</t>
        </is>
      </c>
      <c r="V564" s="3" t="inlineStr">
        <is>
          <t>Soldering</t>
        </is>
      </c>
      <c r="W564" s="3" t="inlineStr">
        <is>
          <t>Repair</t>
        </is>
      </c>
      <c r="X564" s="18" t="n">
        <v>46151</v>
      </c>
      <c r="Y564" s="73">
        <f>IF(X564="","",X564-A564)</f>
        <v/>
      </c>
      <c r="Z564" s="18" t="n">
        <v>46151</v>
      </c>
      <c r="AA564" s="15" t="n"/>
      <c r="AB564" s="15" t="n"/>
      <c r="AF564">
        <f>IF(AND($F564="Closed",$X564&gt;=DATE(2026,5,1),$X564&lt;=DATE(2026,5,31)),"Closed in May","Other")</f>
        <v/>
      </c>
    </row>
    <row r="565">
      <c r="A565" s="6" t="n">
        <v>46107</v>
      </c>
      <c r="B565" s="3" t="n">
        <v>2026</v>
      </c>
      <c r="C565" s="3" t="inlineStr">
        <is>
          <t>Blupine Energy</t>
        </is>
      </c>
      <c r="D565" s="3" t="inlineStr">
        <is>
          <t>Utility and C&amp;I</t>
        </is>
      </c>
      <c r="E565" s="3" t="n"/>
      <c r="F565" s="3" t="inlineStr">
        <is>
          <t>Closed</t>
        </is>
      </c>
      <c r="G565" s="3" t="inlineStr">
        <is>
          <t>Chandrashekar Patidar</t>
        </is>
      </c>
      <c r="H565" s="3" t="n">
        <v>7879764773</v>
      </c>
      <c r="I565" s="11" t="inlineStr">
        <is>
          <t>PE26032601</t>
        </is>
      </c>
      <c r="J565" s="3" t="inlineStr">
        <is>
          <t>Module Diode Failure</t>
        </is>
      </c>
      <c r="K565" s="3" t="inlineStr">
        <is>
          <t>Sadla</t>
        </is>
      </c>
      <c r="L565" s="3" t="inlineStr">
        <is>
          <t>Gujarat</t>
        </is>
      </c>
      <c r="M565" s="9" t="inlineStr">
        <is>
          <t>PS</t>
        </is>
      </c>
      <c r="N565" s="3" t="inlineStr">
        <is>
          <t>Cold Soldering</t>
        </is>
      </c>
      <c r="O565" s="3" t="n">
        <v>570</v>
      </c>
      <c r="P565" s="9" t="inlineStr">
        <is>
          <t>NSMI24060084932</t>
        </is>
      </c>
      <c r="Q565" s="53">
        <f>MID(P565,5,2)</f>
        <v/>
      </c>
      <c r="R565" s="53">
        <f>MID(P565,7,2)</f>
        <v/>
      </c>
      <c r="S565" s="3" t="inlineStr">
        <is>
          <t>G2G</t>
        </is>
      </c>
      <c r="T565" s="3" t="inlineStr">
        <is>
          <t>P4</t>
        </is>
      </c>
      <c r="U565" s="3" t="inlineStr">
        <is>
          <t>P JB Cold Soldering</t>
        </is>
      </c>
      <c r="V565" s="3" t="inlineStr">
        <is>
          <t>Soldering</t>
        </is>
      </c>
      <c r="W565" s="3" t="inlineStr">
        <is>
          <t>Repair</t>
        </is>
      </c>
      <c r="X565" s="18" t="n">
        <v>46151</v>
      </c>
      <c r="Y565" s="73">
        <f>IF(X565="","",X565-A565)</f>
        <v/>
      </c>
      <c r="Z565" s="18" t="n">
        <v>46151</v>
      </c>
      <c r="AA565" s="15" t="n"/>
      <c r="AB565" s="15" t="n"/>
      <c r="AF565">
        <f>IF(AND($F565="Closed",$X565&gt;=DATE(2026,5,1),$X565&lt;=DATE(2026,5,31)),"Closed in May","Other")</f>
        <v/>
      </c>
    </row>
    <row r="566">
      <c r="A566" s="6" t="n">
        <v>46107</v>
      </c>
      <c r="B566" s="3" t="n">
        <v>2026</v>
      </c>
      <c r="C566" s="3" t="inlineStr">
        <is>
          <t>Blupine Energy</t>
        </is>
      </c>
      <c r="D566" s="3" t="inlineStr">
        <is>
          <t>Utility and C&amp;I</t>
        </is>
      </c>
      <c r="E566" s="3" t="n"/>
      <c r="F566" s="3" t="inlineStr">
        <is>
          <t>Closed</t>
        </is>
      </c>
      <c r="G566" s="3" t="inlineStr">
        <is>
          <t>Chandrashekar Patidar</t>
        </is>
      </c>
      <c r="H566" s="3" t="n">
        <v>7879764773</v>
      </c>
      <c r="I566" s="11" t="inlineStr">
        <is>
          <t>PE26032601</t>
        </is>
      </c>
      <c r="J566" s="3" t="inlineStr">
        <is>
          <t>Module Diode Failure</t>
        </is>
      </c>
      <c r="K566" s="3" t="inlineStr">
        <is>
          <t>Sadla</t>
        </is>
      </c>
      <c r="L566" s="3" t="inlineStr">
        <is>
          <t>Gujarat</t>
        </is>
      </c>
      <c r="M566" s="9" t="inlineStr">
        <is>
          <t>NS</t>
        </is>
      </c>
      <c r="N566" s="3" t="inlineStr">
        <is>
          <t>Cold Soldering</t>
        </is>
      </c>
      <c r="O566" s="3" t="n">
        <v>570</v>
      </c>
      <c r="P566" s="9" t="inlineStr">
        <is>
          <t>NSMI24060093548</t>
        </is>
      </c>
      <c r="Q566" s="53">
        <f>MID(P566,5,2)</f>
        <v/>
      </c>
      <c r="R566" s="53">
        <f>MID(P566,7,2)</f>
        <v/>
      </c>
      <c r="S566" s="3" t="inlineStr">
        <is>
          <t>G2G</t>
        </is>
      </c>
      <c r="T566" s="3" t="inlineStr">
        <is>
          <t>P4</t>
        </is>
      </c>
      <c r="U566" s="3" t="inlineStr">
        <is>
          <t>N JB Cold Soldering</t>
        </is>
      </c>
      <c r="V566" s="3" t="inlineStr">
        <is>
          <t>Soldering</t>
        </is>
      </c>
      <c r="W566" s="3" t="inlineStr">
        <is>
          <t>Repair</t>
        </is>
      </c>
      <c r="X566" s="18" t="n">
        <v>46151</v>
      </c>
      <c r="Y566" s="73">
        <f>IF(X566="","",X566-A566)</f>
        <v/>
      </c>
      <c r="Z566" s="18" t="n">
        <v>46151</v>
      </c>
      <c r="AA566" s="15" t="n"/>
      <c r="AB566" s="15" t="n"/>
      <c r="AF566">
        <f>IF(AND($F566="Closed",$X566&gt;=DATE(2026,5,1),$X566&lt;=DATE(2026,5,31)),"Closed in May","Other")</f>
        <v/>
      </c>
    </row>
    <row r="567">
      <c r="A567" s="6" t="n">
        <v>46107</v>
      </c>
      <c r="B567" s="3" t="n">
        <v>2026</v>
      </c>
      <c r="C567" s="3" t="inlineStr">
        <is>
          <t>Blupine Energy</t>
        </is>
      </c>
      <c r="D567" s="3" t="inlineStr">
        <is>
          <t>Utility and C&amp;I</t>
        </is>
      </c>
      <c r="E567" s="3" t="n"/>
      <c r="F567" s="3" t="inlineStr">
        <is>
          <t>Closed</t>
        </is>
      </c>
      <c r="G567" s="3" t="inlineStr">
        <is>
          <t>Chandrashekar Patidar</t>
        </is>
      </c>
      <c r="H567" s="3" t="n">
        <v>7879764773</v>
      </c>
      <c r="I567" s="11" t="inlineStr">
        <is>
          <t>PE26032601</t>
        </is>
      </c>
      <c r="J567" s="3" t="inlineStr">
        <is>
          <t>Module Diode Failure</t>
        </is>
      </c>
      <c r="K567" s="3" t="inlineStr">
        <is>
          <t>Sadla</t>
        </is>
      </c>
      <c r="L567" s="3" t="inlineStr">
        <is>
          <t>Gujarat</t>
        </is>
      </c>
      <c r="M567" s="9" t="inlineStr">
        <is>
          <t>PS</t>
        </is>
      </c>
      <c r="N567" s="3" t="inlineStr">
        <is>
          <t>Cold Soldering</t>
        </is>
      </c>
      <c r="O567" s="3" t="n">
        <v>570</v>
      </c>
      <c r="P567" s="9" t="inlineStr">
        <is>
          <t>NSMI24060080636</t>
        </is>
      </c>
      <c r="Q567" s="53">
        <f>MID(P567,5,2)</f>
        <v/>
      </c>
      <c r="R567" s="53">
        <f>MID(P567,7,2)</f>
        <v/>
      </c>
      <c r="S567" s="3" t="inlineStr">
        <is>
          <t>G2G</t>
        </is>
      </c>
      <c r="T567" s="3" t="inlineStr">
        <is>
          <t>P4</t>
        </is>
      </c>
      <c r="U567" s="3" t="inlineStr">
        <is>
          <t>P JB Cold Soldering</t>
        </is>
      </c>
      <c r="V567" s="3" t="inlineStr">
        <is>
          <t>Soldering</t>
        </is>
      </c>
      <c r="W567" s="3" t="inlineStr">
        <is>
          <t>Repair</t>
        </is>
      </c>
      <c r="X567" s="18" t="n">
        <v>46151</v>
      </c>
      <c r="Y567" s="73">
        <f>IF(X567="","",X567-A567)</f>
        <v/>
      </c>
      <c r="Z567" s="18" t="n">
        <v>46151</v>
      </c>
      <c r="AA567" s="15" t="n"/>
      <c r="AB567" s="15" t="n"/>
      <c r="AF567">
        <f>IF(AND($F567="Closed",$X567&gt;=DATE(2026,5,1),$X567&lt;=DATE(2026,5,31)),"Closed in May","Other")</f>
        <v/>
      </c>
    </row>
    <row r="568">
      <c r="A568" s="6" t="n">
        <v>46107</v>
      </c>
      <c r="B568" s="3" t="n">
        <v>2026</v>
      </c>
      <c r="C568" s="3" t="inlineStr">
        <is>
          <t>Blupine Energy</t>
        </is>
      </c>
      <c r="D568" s="3" t="inlineStr">
        <is>
          <t>Utility and C&amp;I</t>
        </is>
      </c>
      <c r="E568" s="3" t="n"/>
      <c r="F568" s="3" t="inlineStr">
        <is>
          <t>Closed</t>
        </is>
      </c>
      <c r="G568" s="3" t="inlineStr">
        <is>
          <t>Chandrashekar Patidar</t>
        </is>
      </c>
      <c r="H568" s="3" t="n">
        <v>7879764773</v>
      </c>
      <c r="I568" s="11" t="inlineStr">
        <is>
          <t>PE26032601</t>
        </is>
      </c>
      <c r="J568" s="3" t="inlineStr">
        <is>
          <t>Module Diode Failure</t>
        </is>
      </c>
      <c r="K568" s="3" t="inlineStr">
        <is>
          <t>Sadla</t>
        </is>
      </c>
      <c r="L568" s="3" t="inlineStr">
        <is>
          <t>Gujarat</t>
        </is>
      </c>
      <c r="M568" s="9" t="inlineStr">
        <is>
          <t>PNS</t>
        </is>
      </c>
      <c r="N568" s="3" t="inlineStr">
        <is>
          <t>Cold Soldering</t>
        </is>
      </c>
      <c r="O568" s="3" t="n">
        <v>570</v>
      </c>
      <c r="P568" s="9" t="inlineStr">
        <is>
          <t>NSMI24060080592</t>
        </is>
      </c>
      <c r="Q568" s="53">
        <f>MID(P568,5,2)</f>
        <v/>
      </c>
      <c r="R568" s="53">
        <f>MID(P568,7,2)</f>
        <v/>
      </c>
      <c r="S568" s="3" t="inlineStr">
        <is>
          <t>G2G</t>
        </is>
      </c>
      <c r="T568" s="3" t="inlineStr">
        <is>
          <t>P4</t>
        </is>
      </c>
      <c r="U568" s="3" t="inlineStr">
        <is>
          <t>P &amp; N JB Cold Soldering</t>
        </is>
      </c>
      <c r="V568" s="3" t="inlineStr">
        <is>
          <t>Soldering</t>
        </is>
      </c>
      <c r="W568" s="3" t="inlineStr">
        <is>
          <t>Repair</t>
        </is>
      </c>
      <c r="X568" s="18" t="n">
        <v>46151</v>
      </c>
      <c r="Y568" s="73">
        <f>IF(X568="","",X568-A568)</f>
        <v/>
      </c>
      <c r="Z568" s="18" t="n">
        <v>46151</v>
      </c>
      <c r="AA568" s="15" t="n"/>
      <c r="AB568" s="15" t="n"/>
      <c r="AF568">
        <f>IF(AND($F568="Closed",$X568&gt;=DATE(2026,5,1),$X568&lt;=DATE(2026,5,31)),"Closed in May","Other")</f>
        <v/>
      </c>
    </row>
    <row r="569">
      <c r="A569" s="6" t="n">
        <v>46107</v>
      </c>
      <c r="B569" s="3" t="n">
        <v>2026</v>
      </c>
      <c r="C569" s="3" t="inlineStr">
        <is>
          <t>Blupine Energy</t>
        </is>
      </c>
      <c r="D569" s="3" t="inlineStr">
        <is>
          <t>Utility and C&amp;I</t>
        </is>
      </c>
      <c r="E569" s="3" t="n"/>
      <c r="F569" s="3" t="inlineStr">
        <is>
          <t>Closed</t>
        </is>
      </c>
      <c r="G569" s="3" t="inlineStr">
        <is>
          <t>Chandrashekar Patidar</t>
        </is>
      </c>
      <c r="H569" s="3" t="n">
        <v>7879764773</v>
      </c>
      <c r="I569" s="11" t="inlineStr">
        <is>
          <t>PE26032601</t>
        </is>
      </c>
      <c r="J569" s="3" t="inlineStr">
        <is>
          <t>Module Diode Failure</t>
        </is>
      </c>
      <c r="K569" s="3" t="inlineStr">
        <is>
          <t>Sadla</t>
        </is>
      </c>
      <c r="L569" s="3" t="inlineStr">
        <is>
          <t>Gujarat</t>
        </is>
      </c>
      <c r="M569" s="9" t="inlineStr">
        <is>
          <t>NR</t>
        </is>
      </c>
      <c r="N569" s="3" t="inlineStr">
        <is>
          <t>JB Issue</t>
        </is>
      </c>
      <c r="O569" s="3" t="n">
        <v>570</v>
      </c>
      <c r="P569" s="9" t="inlineStr">
        <is>
          <t>NSMI24050044978</t>
        </is>
      </c>
      <c r="Q569" s="53">
        <f>MID(P569,5,2)</f>
        <v/>
      </c>
      <c r="R569" s="53">
        <f>MID(P569,7,2)</f>
        <v/>
      </c>
      <c r="S569" s="3" t="inlineStr">
        <is>
          <t>G2G</t>
        </is>
      </c>
      <c r="T569" s="3" t="inlineStr">
        <is>
          <t>P4</t>
        </is>
      </c>
      <c r="U569" s="3" t="inlineStr">
        <is>
          <t>N JB Issue</t>
        </is>
      </c>
      <c r="V569" s="3" t="inlineStr">
        <is>
          <t>JB Changed</t>
        </is>
      </c>
      <c r="W569" s="3" t="inlineStr">
        <is>
          <t>Repair</t>
        </is>
      </c>
      <c r="X569" s="18" t="n">
        <v>46151</v>
      </c>
      <c r="Y569" s="73">
        <f>IF(X569="","",X569-A569)</f>
        <v/>
      </c>
      <c r="Z569" s="18" t="n">
        <v>46151</v>
      </c>
      <c r="AA569" s="15" t="n"/>
      <c r="AB569" s="15" t="n"/>
      <c r="AF569">
        <f>IF(AND($F569="Closed",$X569&gt;=DATE(2026,5,1),$X569&lt;=DATE(2026,5,31)),"Closed in May","Other")</f>
        <v/>
      </c>
    </row>
    <row r="570">
      <c r="A570" s="6" t="n">
        <v>46107</v>
      </c>
      <c r="B570" s="3" t="n">
        <v>2026</v>
      </c>
      <c r="C570" s="3" t="inlineStr">
        <is>
          <t>Blupine Energy</t>
        </is>
      </c>
      <c r="D570" s="3" t="inlineStr">
        <is>
          <t>Utility and C&amp;I</t>
        </is>
      </c>
      <c r="E570" s="3" t="n"/>
      <c r="F570" s="3" t="inlineStr">
        <is>
          <t>Closed</t>
        </is>
      </c>
      <c r="G570" s="3" t="inlineStr">
        <is>
          <t>Chandrashekar Patidar</t>
        </is>
      </c>
      <c r="H570" s="3" t="n">
        <v>7879764773</v>
      </c>
      <c r="I570" s="11" t="inlineStr">
        <is>
          <t>PE26032601</t>
        </is>
      </c>
      <c r="J570" s="3" t="inlineStr">
        <is>
          <t>Module Diode Failure</t>
        </is>
      </c>
      <c r="K570" s="3" t="inlineStr">
        <is>
          <t>Sadla</t>
        </is>
      </c>
      <c r="L570" s="3" t="inlineStr">
        <is>
          <t>Gujarat</t>
        </is>
      </c>
      <c r="M570" s="9" t="inlineStr">
        <is>
          <t>NS</t>
        </is>
      </c>
      <c r="N570" s="3" t="inlineStr">
        <is>
          <t>Cold Soldering</t>
        </is>
      </c>
      <c r="O570" s="3" t="n">
        <v>570</v>
      </c>
      <c r="P570" s="9" t="inlineStr">
        <is>
          <t>NSMI24050062869</t>
        </is>
      </c>
      <c r="Q570" s="53">
        <f>MID(P570,5,2)</f>
        <v/>
      </c>
      <c r="R570" s="53">
        <f>MID(P570,7,2)</f>
        <v/>
      </c>
      <c r="S570" s="3" t="inlineStr">
        <is>
          <t>G2G</t>
        </is>
      </c>
      <c r="T570" s="3" t="inlineStr">
        <is>
          <t>P4</t>
        </is>
      </c>
      <c r="U570" s="3" t="inlineStr">
        <is>
          <t>N JB Cold Soldering</t>
        </is>
      </c>
      <c r="V570" s="3" t="inlineStr">
        <is>
          <t>Soldering</t>
        </is>
      </c>
      <c r="W570" s="3" t="inlineStr">
        <is>
          <t>Repair</t>
        </is>
      </c>
      <c r="X570" s="18" t="n">
        <v>46151</v>
      </c>
      <c r="Y570" s="73">
        <f>IF(X570="","",X570-A570)</f>
        <v/>
      </c>
      <c r="Z570" s="18" t="n">
        <v>46151</v>
      </c>
      <c r="AA570" s="15" t="n"/>
      <c r="AB570" s="15" t="n"/>
      <c r="AF570">
        <f>IF(AND($F570="Closed",$X570&gt;=DATE(2026,5,1),$X570&lt;=DATE(2026,5,31)),"Closed in May","Other")</f>
        <v/>
      </c>
    </row>
    <row r="571">
      <c r="A571" s="6" t="n">
        <v>46107</v>
      </c>
      <c r="B571" s="3" t="n">
        <v>2026</v>
      </c>
      <c r="C571" s="3" t="inlineStr">
        <is>
          <t>Blupine Energy</t>
        </is>
      </c>
      <c r="D571" s="3" t="inlineStr">
        <is>
          <t>Utility and C&amp;I</t>
        </is>
      </c>
      <c r="E571" s="3" t="n"/>
      <c r="F571" s="3" t="inlineStr">
        <is>
          <t>Closed</t>
        </is>
      </c>
      <c r="G571" s="3" t="inlineStr">
        <is>
          <t>Chandrashekar Patidar</t>
        </is>
      </c>
      <c r="H571" s="3" t="n">
        <v>7879764773</v>
      </c>
      <c r="I571" s="11" t="inlineStr">
        <is>
          <t>PE26032601</t>
        </is>
      </c>
      <c r="J571" s="3" t="inlineStr">
        <is>
          <t>Module Diode Failure</t>
        </is>
      </c>
      <c r="K571" s="3" t="inlineStr">
        <is>
          <t>Sadla</t>
        </is>
      </c>
      <c r="L571" s="3" t="inlineStr">
        <is>
          <t>Gujarat</t>
        </is>
      </c>
      <c r="M571" s="9" t="inlineStr">
        <is>
          <t>NS</t>
        </is>
      </c>
      <c r="N571" s="3" t="inlineStr">
        <is>
          <t>Cold Soldering</t>
        </is>
      </c>
      <c r="O571" s="3" t="n">
        <v>570</v>
      </c>
      <c r="P571" s="9" t="inlineStr">
        <is>
          <t>NSMI24060096532</t>
        </is>
      </c>
      <c r="Q571" s="53">
        <f>MID(P571,5,2)</f>
        <v/>
      </c>
      <c r="R571" s="53">
        <f>MID(P571,7,2)</f>
        <v/>
      </c>
      <c r="S571" s="3" t="inlineStr">
        <is>
          <t>G2G</t>
        </is>
      </c>
      <c r="T571" s="3" t="inlineStr">
        <is>
          <t>P4</t>
        </is>
      </c>
      <c r="U571" s="3" t="inlineStr">
        <is>
          <t>N JB Cold Soldering</t>
        </is>
      </c>
      <c r="V571" s="3" t="inlineStr">
        <is>
          <t>Soldering</t>
        </is>
      </c>
      <c r="W571" s="3" t="inlineStr">
        <is>
          <t>Repair</t>
        </is>
      </c>
      <c r="X571" s="18" t="n">
        <v>46151</v>
      </c>
      <c r="Y571" s="73">
        <f>IF(X571="","",X571-A571)</f>
        <v/>
      </c>
      <c r="Z571" s="18" t="n">
        <v>46151</v>
      </c>
      <c r="AA571" s="15" t="n"/>
      <c r="AB571" s="15" t="n"/>
      <c r="AF571">
        <f>IF(AND($F571="Closed",$X571&gt;=DATE(2026,5,1),$X571&lt;=DATE(2026,5,31)),"Closed in May","Other")</f>
        <v/>
      </c>
    </row>
    <row r="572">
      <c r="A572" s="6" t="n">
        <v>46107</v>
      </c>
      <c r="B572" s="3" t="n">
        <v>2026</v>
      </c>
      <c r="C572" s="3" t="inlineStr">
        <is>
          <t>Blupine Energy</t>
        </is>
      </c>
      <c r="D572" s="3" t="inlineStr">
        <is>
          <t>Utility and C&amp;I</t>
        </is>
      </c>
      <c r="E572" s="3" t="n"/>
      <c r="F572" s="3" t="inlineStr">
        <is>
          <t>Closed</t>
        </is>
      </c>
      <c r="G572" s="3" t="inlineStr">
        <is>
          <t>Chandrashekar Patidar</t>
        </is>
      </c>
      <c r="H572" s="3" t="n">
        <v>7879764773</v>
      </c>
      <c r="I572" s="11" t="inlineStr">
        <is>
          <t>PE26032601</t>
        </is>
      </c>
      <c r="J572" s="3" t="inlineStr">
        <is>
          <t>Module Diode Failure</t>
        </is>
      </c>
      <c r="K572" s="3" t="inlineStr">
        <is>
          <t>Sadla</t>
        </is>
      </c>
      <c r="L572" s="3" t="inlineStr">
        <is>
          <t>Gujarat</t>
        </is>
      </c>
      <c r="M572" s="9" t="inlineStr">
        <is>
          <t>NS</t>
        </is>
      </c>
      <c r="N572" s="3" t="inlineStr">
        <is>
          <t>Cold Soldering</t>
        </is>
      </c>
      <c r="O572" s="3" t="n">
        <v>570</v>
      </c>
      <c r="P572" s="9" t="inlineStr">
        <is>
          <t>NSMI24060096969</t>
        </is>
      </c>
      <c r="Q572" s="53">
        <f>MID(P572,5,2)</f>
        <v/>
      </c>
      <c r="R572" s="53">
        <f>MID(P572,7,2)</f>
        <v/>
      </c>
      <c r="S572" s="3" t="inlineStr">
        <is>
          <t>G2G</t>
        </is>
      </c>
      <c r="T572" s="3" t="inlineStr">
        <is>
          <t>P4</t>
        </is>
      </c>
      <c r="U572" s="3" t="inlineStr">
        <is>
          <t>N JB Cold Soldering</t>
        </is>
      </c>
      <c r="V572" s="3" t="inlineStr">
        <is>
          <t>Soldering</t>
        </is>
      </c>
      <c r="W572" s="3" t="inlineStr">
        <is>
          <t>Repair</t>
        </is>
      </c>
      <c r="X572" s="18" t="n">
        <v>46151</v>
      </c>
      <c r="Y572" s="73">
        <f>IF(X572="","",X572-A572)</f>
        <v/>
      </c>
      <c r="Z572" s="18" t="n">
        <v>46151</v>
      </c>
      <c r="AA572" s="15" t="n"/>
      <c r="AB572" s="15" t="n"/>
      <c r="AF572">
        <f>IF(AND($F572="Closed",$X572&gt;=DATE(2026,5,1),$X572&lt;=DATE(2026,5,31)),"Closed in May","Other")</f>
        <v/>
      </c>
    </row>
    <row r="573">
      <c r="A573" s="6" t="n">
        <v>46107</v>
      </c>
      <c r="B573" s="3" t="n">
        <v>2026</v>
      </c>
      <c r="C573" s="3" t="inlineStr">
        <is>
          <t>Blupine Energy</t>
        </is>
      </c>
      <c r="D573" s="3" t="inlineStr">
        <is>
          <t>Utility and C&amp;I</t>
        </is>
      </c>
      <c r="E573" s="3" t="n"/>
      <c r="F573" s="3" t="inlineStr">
        <is>
          <t>Closed</t>
        </is>
      </c>
      <c r="G573" s="3" t="inlineStr">
        <is>
          <t>Chandrashekar Patidar</t>
        </is>
      </c>
      <c r="H573" s="3" t="n">
        <v>7879764773</v>
      </c>
      <c r="I573" s="11" t="inlineStr">
        <is>
          <t>PE26032601</t>
        </is>
      </c>
      <c r="J573" s="3" t="inlineStr">
        <is>
          <t>Module Diode Failure</t>
        </is>
      </c>
      <c r="K573" s="3" t="inlineStr">
        <is>
          <t>Sadla</t>
        </is>
      </c>
      <c r="L573" s="3" t="inlineStr">
        <is>
          <t>Gujarat</t>
        </is>
      </c>
      <c r="M573" s="9" t="inlineStr">
        <is>
          <t>NS</t>
        </is>
      </c>
      <c r="N573" s="3" t="inlineStr">
        <is>
          <t>Cold Soldering</t>
        </is>
      </c>
      <c r="O573" s="3" t="n">
        <v>570</v>
      </c>
      <c r="P573" s="9" t="inlineStr">
        <is>
          <t>NSMI24060096786</t>
        </is>
      </c>
      <c r="Q573" s="53">
        <f>MID(P573,5,2)</f>
        <v/>
      </c>
      <c r="R573" s="53">
        <f>MID(P573,7,2)</f>
        <v/>
      </c>
      <c r="S573" s="3" t="inlineStr">
        <is>
          <t>G2G</t>
        </is>
      </c>
      <c r="T573" s="3" t="inlineStr">
        <is>
          <t>P4</t>
        </is>
      </c>
      <c r="U573" s="3" t="inlineStr">
        <is>
          <t>N JB Cold Soldering</t>
        </is>
      </c>
      <c r="V573" s="3" t="inlineStr">
        <is>
          <t>Soldering</t>
        </is>
      </c>
      <c r="W573" s="3" t="inlineStr">
        <is>
          <t>Repair</t>
        </is>
      </c>
      <c r="X573" s="18" t="n">
        <v>46151</v>
      </c>
      <c r="Y573" s="73">
        <f>IF(X573="","",X573-A573)</f>
        <v/>
      </c>
      <c r="Z573" s="18" t="n">
        <v>46151</v>
      </c>
      <c r="AA573" s="15" t="n"/>
      <c r="AB573" s="15" t="n"/>
      <c r="AF573">
        <f>IF(AND($F573="Closed",$X573&gt;=DATE(2026,5,1),$X573&lt;=DATE(2026,5,31)),"Closed in May","Other")</f>
        <v/>
      </c>
    </row>
    <row r="574">
      <c r="A574" s="6" t="n">
        <v>46107</v>
      </c>
      <c r="B574" s="3" t="n">
        <v>2026</v>
      </c>
      <c r="C574" s="3" t="inlineStr">
        <is>
          <t>Blupine Energy</t>
        </is>
      </c>
      <c r="D574" s="3" t="inlineStr">
        <is>
          <t>Utility and C&amp;I</t>
        </is>
      </c>
      <c r="E574" s="3" t="n"/>
      <c r="F574" s="3" t="inlineStr">
        <is>
          <t>Closed</t>
        </is>
      </c>
      <c r="G574" s="3" t="inlineStr">
        <is>
          <t>Chandrashekar Patidar</t>
        </is>
      </c>
      <c r="H574" s="3" t="n">
        <v>7879764773</v>
      </c>
      <c r="I574" s="11" t="inlineStr">
        <is>
          <t>PE26032601</t>
        </is>
      </c>
      <c r="J574" s="3" t="inlineStr">
        <is>
          <t>Module Diode Failure</t>
        </is>
      </c>
      <c r="K574" s="3" t="inlineStr">
        <is>
          <t>Sadla</t>
        </is>
      </c>
      <c r="L574" s="3" t="inlineStr">
        <is>
          <t>Gujarat</t>
        </is>
      </c>
      <c r="M574" s="9" t="inlineStr">
        <is>
          <t>NS</t>
        </is>
      </c>
      <c r="N574" s="3" t="inlineStr">
        <is>
          <t>Cold Soldering</t>
        </is>
      </c>
      <c r="O574" s="3" t="n">
        <v>570</v>
      </c>
      <c r="P574" s="9" t="inlineStr">
        <is>
          <t>NSMI24060114102</t>
        </is>
      </c>
      <c r="Q574" s="53">
        <f>MID(P574,5,2)</f>
        <v/>
      </c>
      <c r="R574" s="53">
        <f>MID(P574,7,2)</f>
        <v/>
      </c>
      <c r="S574" s="3" t="inlineStr">
        <is>
          <t>G2G</t>
        </is>
      </c>
      <c r="T574" s="3" t="inlineStr">
        <is>
          <t>P4</t>
        </is>
      </c>
      <c r="U574" s="3" t="inlineStr">
        <is>
          <t>N JB Cold Soldering</t>
        </is>
      </c>
      <c r="V574" s="3" t="inlineStr">
        <is>
          <t>Soldering</t>
        </is>
      </c>
      <c r="W574" s="3" t="inlineStr">
        <is>
          <t>Repair</t>
        </is>
      </c>
      <c r="X574" s="18" t="n">
        <v>46151</v>
      </c>
      <c r="Y574" s="73">
        <f>IF(X574="","",X574-A574)</f>
        <v/>
      </c>
      <c r="Z574" s="18" t="n">
        <v>46151</v>
      </c>
      <c r="AA574" s="15" t="n"/>
      <c r="AB574" s="15" t="n"/>
      <c r="AF574">
        <f>IF(AND($F574="Closed",$X574&gt;=DATE(2026,5,1),$X574&lt;=DATE(2026,5,31)),"Closed in May","Other")</f>
        <v/>
      </c>
    </row>
    <row r="575">
      <c r="A575" s="6" t="n">
        <v>46107</v>
      </c>
      <c r="B575" s="3" t="n">
        <v>2026</v>
      </c>
      <c r="C575" s="3" t="inlineStr">
        <is>
          <t>Blupine Energy</t>
        </is>
      </c>
      <c r="D575" s="3" t="inlineStr">
        <is>
          <t>Utility and C&amp;I</t>
        </is>
      </c>
      <c r="E575" s="3" t="n"/>
      <c r="F575" s="3" t="inlineStr">
        <is>
          <t>Closed</t>
        </is>
      </c>
      <c r="G575" s="3" t="inlineStr">
        <is>
          <t>Chandrashekar Patidar</t>
        </is>
      </c>
      <c r="H575" s="3" t="n">
        <v>7879764773</v>
      </c>
      <c r="I575" s="11" t="inlineStr">
        <is>
          <t>PE26032601</t>
        </is>
      </c>
      <c r="J575" s="3" t="inlineStr">
        <is>
          <t>Module Diode Failure</t>
        </is>
      </c>
      <c r="K575" s="3" t="inlineStr">
        <is>
          <t>Sadla</t>
        </is>
      </c>
      <c r="L575" s="3" t="inlineStr">
        <is>
          <t>Gujarat</t>
        </is>
      </c>
      <c r="M575" s="9" t="inlineStr">
        <is>
          <t>NS</t>
        </is>
      </c>
      <c r="N575" s="3" t="inlineStr">
        <is>
          <t>Cold Soldering</t>
        </is>
      </c>
      <c r="O575" s="3" t="n">
        <v>570</v>
      </c>
      <c r="P575" s="9" t="inlineStr">
        <is>
          <t>NSMI24060095255</t>
        </is>
      </c>
      <c r="Q575" s="53">
        <f>MID(P575,5,2)</f>
        <v/>
      </c>
      <c r="R575" s="53">
        <f>MID(P575,7,2)</f>
        <v/>
      </c>
      <c r="S575" s="3" t="inlineStr">
        <is>
          <t>G2G</t>
        </is>
      </c>
      <c r="T575" s="3" t="inlineStr">
        <is>
          <t>P4</t>
        </is>
      </c>
      <c r="U575" s="3" t="inlineStr">
        <is>
          <t>N JB Cold Soldering</t>
        </is>
      </c>
      <c r="V575" s="3" t="inlineStr">
        <is>
          <t>Soldering</t>
        </is>
      </c>
      <c r="W575" s="3" t="inlineStr">
        <is>
          <t>Repair</t>
        </is>
      </c>
      <c r="X575" s="18" t="n">
        <v>46151</v>
      </c>
      <c r="Y575" s="73">
        <f>IF(X575="","",X575-A575)</f>
        <v/>
      </c>
      <c r="Z575" s="18" t="n">
        <v>46151</v>
      </c>
      <c r="AA575" s="15" t="n"/>
      <c r="AB575" s="15" t="n"/>
      <c r="AF575">
        <f>IF(AND($F575="Closed",$X575&gt;=DATE(2026,5,1),$X575&lt;=DATE(2026,5,31)),"Closed in May","Other")</f>
        <v/>
      </c>
    </row>
    <row r="576">
      <c r="A576" s="6" t="n">
        <v>46107</v>
      </c>
      <c r="B576" s="3" t="n">
        <v>2026</v>
      </c>
      <c r="C576" s="3" t="inlineStr">
        <is>
          <t>Blupine Energy</t>
        </is>
      </c>
      <c r="D576" s="3" t="inlineStr">
        <is>
          <t>Utility and C&amp;I</t>
        </is>
      </c>
      <c r="E576" s="3" t="n"/>
      <c r="F576" s="3" t="inlineStr">
        <is>
          <t>Closed</t>
        </is>
      </c>
      <c r="G576" s="3" t="inlineStr">
        <is>
          <t>Chandrashekar Patidar</t>
        </is>
      </c>
      <c r="H576" s="3" t="n">
        <v>7879764773</v>
      </c>
      <c r="I576" s="11" t="inlineStr">
        <is>
          <t>PE26032601</t>
        </is>
      </c>
      <c r="J576" s="3" t="inlineStr">
        <is>
          <t>Module Diode Failure</t>
        </is>
      </c>
      <c r="K576" s="3" t="inlineStr">
        <is>
          <t>Sadla</t>
        </is>
      </c>
      <c r="L576" s="3" t="inlineStr">
        <is>
          <t>Gujarat</t>
        </is>
      </c>
      <c r="M576" s="9" t="inlineStr">
        <is>
          <t>NS</t>
        </is>
      </c>
      <c r="N576" s="3" t="inlineStr">
        <is>
          <t>Cold Soldering</t>
        </is>
      </c>
      <c r="O576" s="3" t="n">
        <v>570</v>
      </c>
      <c r="P576" s="9" t="inlineStr">
        <is>
          <t>NSMI24050064637</t>
        </is>
      </c>
      <c r="Q576" s="53">
        <f>MID(P576,5,2)</f>
        <v/>
      </c>
      <c r="R576" s="53">
        <f>MID(P576,7,2)</f>
        <v/>
      </c>
      <c r="S576" s="3" t="inlineStr">
        <is>
          <t>G2G</t>
        </is>
      </c>
      <c r="T576" s="3" t="inlineStr">
        <is>
          <t>P4</t>
        </is>
      </c>
      <c r="U576" s="3" t="inlineStr">
        <is>
          <t>N JB Cold Soldering</t>
        </is>
      </c>
      <c r="V576" s="3" t="inlineStr">
        <is>
          <t>Soldering</t>
        </is>
      </c>
      <c r="W576" s="3" t="inlineStr">
        <is>
          <t>Repair</t>
        </is>
      </c>
      <c r="X576" s="18" t="n">
        <v>46151</v>
      </c>
      <c r="Y576" s="73">
        <f>IF(X576="","",X576-A576)</f>
        <v/>
      </c>
      <c r="Z576" s="18" t="n">
        <v>46151</v>
      </c>
      <c r="AA576" s="15" t="n"/>
      <c r="AB576" s="15" t="n"/>
      <c r="AF576">
        <f>IF(AND($F576="Closed",$X576&gt;=DATE(2026,5,1),$X576&lt;=DATE(2026,5,31)),"Closed in May","Other")</f>
        <v/>
      </c>
    </row>
    <row r="577">
      <c r="A577" s="6" t="n">
        <v>46107</v>
      </c>
      <c r="B577" s="3" t="n">
        <v>2026</v>
      </c>
      <c r="C577" s="3" t="inlineStr">
        <is>
          <t>Blupine Energy</t>
        </is>
      </c>
      <c r="D577" s="3" t="inlineStr">
        <is>
          <t>Utility and C&amp;I</t>
        </is>
      </c>
      <c r="E577" s="3" t="n"/>
      <c r="F577" s="3" t="inlineStr">
        <is>
          <t>Closed</t>
        </is>
      </c>
      <c r="G577" s="3" t="inlineStr">
        <is>
          <t>Chandrashekar Patidar</t>
        </is>
      </c>
      <c r="H577" s="3" t="n">
        <v>7879764773</v>
      </c>
      <c r="I577" s="11" t="inlineStr">
        <is>
          <t>PE26032601</t>
        </is>
      </c>
      <c r="J577" s="3" t="inlineStr">
        <is>
          <t>Module Diode Failure</t>
        </is>
      </c>
      <c r="K577" s="3" t="inlineStr">
        <is>
          <t>Sadla</t>
        </is>
      </c>
      <c r="L577" s="3" t="inlineStr">
        <is>
          <t>Gujarat</t>
        </is>
      </c>
      <c r="M577" s="9" t="inlineStr">
        <is>
          <t>NS</t>
        </is>
      </c>
      <c r="N577" s="3" t="inlineStr">
        <is>
          <t>Cold Soldering</t>
        </is>
      </c>
      <c r="O577" s="3" t="n">
        <v>570</v>
      </c>
      <c r="P577" s="9" t="inlineStr">
        <is>
          <t>NSMI24050063694</t>
        </is>
      </c>
      <c r="Q577" s="53">
        <f>MID(P577,5,2)</f>
        <v/>
      </c>
      <c r="R577" s="53">
        <f>MID(P577,7,2)</f>
        <v/>
      </c>
      <c r="S577" s="3" t="inlineStr">
        <is>
          <t>G2G</t>
        </is>
      </c>
      <c r="T577" s="3" t="inlineStr">
        <is>
          <t>P4</t>
        </is>
      </c>
      <c r="U577" s="3" t="inlineStr">
        <is>
          <t>N JB Cold Soldering</t>
        </is>
      </c>
      <c r="V577" s="3" t="inlineStr">
        <is>
          <t>Soldering</t>
        </is>
      </c>
      <c r="W577" s="3" t="inlineStr">
        <is>
          <t>Repair</t>
        </is>
      </c>
      <c r="X577" s="18" t="n">
        <v>46151</v>
      </c>
      <c r="Y577" s="73">
        <f>IF(X577="","",X577-A577)</f>
        <v/>
      </c>
      <c r="Z577" s="18" t="n">
        <v>46151</v>
      </c>
      <c r="AA577" s="15" t="n"/>
      <c r="AB577" s="15" t="n"/>
      <c r="AF577">
        <f>IF(AND($F577="Closed",$X577&gt;=DATE(2026,5,1),$X577&lt;=DATE(2026,5,31)),"Closed in May","Other")</f>
        <v/>
      </c>
    </row>
    <row r="578">
      <c r="A578" s="6" t="n">
        <v>46107</v>
      </c>
      <c r="B578" s="3" t="n">
        <v>2026</v>
      </c>
      <c r="C578" s="3" t="inlineStr">
        <is>
          <t>Blupine Energy</t>
        </is>
      </c>
      <c r="D578" s="3" t="inlineStr">
        <is>
          <t>Utility and C&amp;I</t>
        </is>
      </c>
      <c r="E578" s="3" t="n"/>
      <c r="F578" s="3" t="inlineStr">
        <is>
          <t>Closed</t>
        </is>
      </c>
      <c r="G578" s="3" t="inlineStr">
        <is>
          <t>Chandrashekar Patidar</t>
        </is>
      </c>
      <c r="H578" s="3" t="n">
        <v>7879764773</v>
      </c>
      <c r="I578" s="11" t="inlineStr">
        <is>
          <t>PE26032601</t>
        </is>
      </c>
      <c r="J578" s="3" t="inlineStr">
        <is>
          <t>Module Diode Failure</t>
        </is>
      </c>
      <c r="K578" s="3" t="inlineStr">
        <is>
          <t>Sadla</t>
        </is>
      </c>
      <c r="L578" s="3" t="inlineStr">
        <is>
          <t>Gujarat</t>
        </is>
      </c>
      <c r="M578" s="9" t="inlineStr">
        <is>
          <t>NS</t>
        </is>
      </c>
      <c r="N578" s="3" t="inlineStr">
        <is>
          <t>Cold Soldering</t>
        </is>
      </c>
      <c r="O578" s="3" t="n">
        <v>570</v>
      </c>
      <c r="P578" s="9" t="inlineStr">
        <is>
          <t>NSMI24050046406</t>
        </is>
      </c>
      <c r="Q578" s="53">
        <f>MID(P578,5,2)</f>
        <v/>
      </c>
      <c r="R578" s="53">
        <f>MID(P578,7,2)</f>
        <v/>
      </c>
      <c r="S578" s="3" t="inlineStr">
        <is>
          <t>G2G</t>
        </is>
      </c>
      <c r="T578" s="3" t="inlineStr">
        <is>
          <t>P4</t>
        </is>
      </c>
      <c r="U578" s="3" t="inlineStr">
        <is>
          <t>N JB Cold Soldering</t>
        </is>
      </c>
      <c r="V578" s="3" t="inlineStr">
        <is>
          <t>Soldering</t>
        </is>
      </c>
      <c r="W578" s="3" t="inlineStr">
        <is>
          <t>Repair</t>
        </is>
      </c>
      <c r="X578" s="18" t="n">
        <v>46151</v>
      </c>
      <c r="Y578" s="73">
        <f>IF(X578="","",X578-A578)</f>
        <v/>
      </c>
      <c r="Z578" s="18" t="n">
        <v>46151</v>
      </c>
      <c r="AA578" s="15" t="n"/>
      <c r="AB578" s="15" t="n"/>
      <c r="AF578">
        <f>IF(AND($F578="Closed",$X578&gt;=DATE(2026,5,1),$X578&lt;=DATE(2026,5,31)),"Closed in May","Other")</f>
        <v/>
      </c>
    </row>
    <row r="579">
      <c r="A579" s="6" t="n">
        <v>46107</v>
      </c>
      <c r="B579" s="3" t="n">
        <v>2026</v>
      </c>
      <c r="C579" s="3" t="inlineStr">
        <is>
          <t>Blupine Energy</t>
        </is>
      </c>
      <c r="D579" s="3" t="inlineStr">
        <is>
          <t>Utility and C&amp;I</t>
        </is>
      </c>
      <c r="E579" s="3" t="n"/>
      <c r="F579" s="3" t="inlineStr">
        <is>
          <t>Closed</t>
        </is>
      </c>
      <c r="G579" s="3" t="inlineStr">
        <is>
          <t>Chandrashekar Patidar</t>
        </is>
      </c>
      <c r="H579" s="3" t="n">
        <v>7879764773</v>
      </c>
      <c r="I579" s="11" t="inlineStr">
        <is>
          <t>PE26032601</t>
        </is>
      </c>
      <c r="J579" s="3" t="inlineStr">
        <is>
          <t>Module Diode Failure</t>
        </is>
      </c>
      <c r="K579" s="3" t="inlineStr">
        <is>
          <t>Sadla</t>
        </is>
      </c>
      <c r="L579" s="3" t="inlineStr">
        <is>
          <t>Gujarat</t>
        </is>
      </c>
      <c r="M579" s="9" t="inlineStr">
        <is>
          <t>NR</t>
        </is>
      </c>
      <c r="N579" s="3" t="inlineStr">
        <is>
          <t>JB Issue</t>
        </is>
      </c>
      <c r="O579" s="3" t="n">
        <v>570</v>
      </c>
      <c r="P579" s="9" t="inlineStr">
        <is>
          <t>NSMI24050046617</t>
        </is>
      </c>
      <c r="Q579" s="53">
        <f>MID(P579,5,2)</f>
        <v/>
      </c>
      <c r="R579" s="53">
        <f>MID(P579,7,2)</f>
        <v/>
      </c>
      <c r="S579" s="3" t="inlineStr">
        <is>
          <t>G2G</t>
        </is>
      </c>
      <c r="T579" s="3" t="inlineStr">
        <is>
          <t>P4</t>
        </is>
      </c>
      <c r="U579" s="3" t="inlineStr">
        <is>
          <t>N JB Issue</t>
        </is>
      </c>
      <c r="V579" s="3" t="inlineStr">
        <is>
          <t>JB Changed</t>
        </is>
      </c>
      <c r="W579" s="3" t="inlineStr">
        <is>
          <t>Repair</t>
        </is>
      </c>
      <c r="X579" s="18" t="n">
        <v>46151</v>
      </c>
      <c r="Y579" s="73">
        <f>IF(X579="","",X579-A579)</f>
        <v/>
      </c>
      <c r="Z579" s="18" t="n">
        <v>46151</v>
      </c>
      <c r="AA579" s="15" t="n"/>
      <c r="AB579" s="15" t="n"/>
      <c r="AF579">
        <f>IF(AND($F579="Closed",$X579&gt;=DATE(2026,5,1),$X579&lt;=DATE(2026,5,31)),"Closed in May","Other")</f>
        <v/>
      </c>
    </row>
    <row r="580">
      <c r="A580" s="6" t="n">
        <v>46107</v>
      </c>
      <c r="B580" s="3" t="n">
        <v>2026</v>
      </c>
      <c r="C580" s="3" t="inlineStr">
        <is>
          <t>Blupine Energy</t>
        </is>
      </c>
      <c r="D580" s="3" t="inlineStr">
        <is>
          <t>Utility and C&amp;I</t>
        </is>
      </c>
      <c r="E580" s="3" t="n"/>
      <c r="F580" s="3" t="inlineStr">
        <is>
          <t>Closed</t>
        </is>
      </c>
      <c r="G580" s="3" t="inlineStr">
        <is>
          <t>Chandrashekar Patidar</t>
        </is>
      </c>
      <c r="H580" s="3" t="n">
        <v>7879764773</v>
      </c>
      <c r="I580" s="11" t="inlineStr">
        <is>
          <t>PE26032601</t>
        </is>
      </c>
      <c r="J580" s="3" t="inlineStr">
        <is>
          <t>Module Diode Failure</t>
        </is>
      </c>
      <c r="K580" s="3" t="inlineStr">
        <is>
          <t>Sadla</t>
        </is>
      </c>
      <c r="L580" s="3" t="inlineStr">
        <is>
          <t>Gujarat</t>
        </is>
      </c>
      <c r="M580" s="9" t="inlineStr">
        <is>
          <t>NS</t>
        </is>
      </c>
      <c r="N580" s="3" t="inlineStr">
        <is>
          <t>Cold Soldering</t>
        </is>
      </c>
      <c r="O580" s="3" t="n">
        <v>570</v>
      </c>
      <c r="P580" s="9" t="inlineStr">
        <is>
          <t>NSMI24050046495</t>
        </is>
      </c>
      <c r="Q580" s="53">
        <f>MID(P580,5,2)</f>
        <v/>
      </c>
      <c r="R580" s="53">
        <f>MID(P580,7,2)</f>
        <v/>
      </c>
      <c r="S580" s="3" t="inlineStr">
        <is>
          <t>G2G</t>
        </is>
      </c>
      <c r="T580" s="3" t="inlineStr">
        <is>
          <t>P4</t>
        </is>
      </c>
      <c r="U580" s="3" t="inlineStr">
        <is>
          <t>N JB Cold Soldering</t>
        </is>
      </c>
      <c r="V580" s="3" t="inlineStr">
        <is>
          <t>Soldering</t>
        </is>
      </c>
      <c r="W580" s="3" t="inlineStr">
        <is>
          <t>Repair</t>
        </is>
      </c>
      <c r="X580" s="18" t="n">
        <v>46151</v>
      </c>
      <c r="Y580" s="73">
        <f>IF(X580="","",X580-A580)</f>
        <v/>
      </c>
      <c r="Z580" s="18" t="n">
        <v>46151</v>
      </c>
      <c r="AA580" s="15" t="n"/>
      <c r="AB580" s="15" t="n"/>
      <c r="AF580">
        <f>IF(AND($F580="Closed",$X580&gt;=DATE(2026,5,1),$X580&lt;=DATE(2026,5,31)),"Closed in May","Other")</f>
        <v/>
      </c>
    </row>
    <row r="581">
      <c r="A581" s="6" t="n">
        <v>46107</v>
      </c>
      <c r="B581" s="3" t="n">
        <v>2026</v>
      </c>
      <c r="C581" s="3" t="inlineStr">
        <is>
          <t>Blupine Energy</t>
        </is>
      </c>
      <c r="D581" s="3" t="inlineStr">
        <is>
          <t>Utility and C&amp;I</t>
        </is>
      </c>
      <c r="E581" s="3" t="n"/>
      <c r="F581" s="3" t="inlineStr">
        <is>
          <t>Closed</t>
        </is>
      </c>
      <c r="G581" s="3" t="inlineStr">
        <is>
          <t>Chandrashekar Patidar</t>
        </is>
      </c>
      <c r="H581" s="3" t="n">
        <v>7879764773</v>
      </c>
      <c r="I581" s="11" t="inlineStr">
        <is>
          <t>PE26032601</t>
        </is>
      </c>
      <c r="J581" s="3" t="inlineStr">
        <is>
          <t>Module Diode Failure</t>
        </is>
      </c>
      <c r="K581" s="3" t="inlineStr">
        <is>
          <t>Sadla</t>
        </is>
      </c>
      <c r="L581" s="3" t="inlineStr">
        <is>
          <t>Gujarat</t>
        </is>
      </c>
      <c r="M581" s="9" t="inlineStr">
        <is>
          <t>NS</t>
        </is>
      </c>
      <c r="N581" s="3" t="inlineStr">
        <is>
          <t>Cold Soldering</t>
        </is>
      </c>
      <c r="O581" s="3" t="n">
        <v>570</v>
      </c>
      <c r="P581" s="9" t="inlineStr">
        <is>
          <t>NSMI24050046601</t>
        </is>
      </c>
      <c r="Q581" s="53">
        <f>MID(P581,5,2)</f>
        <v/>
      </c>
      <c r="R581" s="53">
        <f>MID(P581,7,2)</f>
        <v/>
      </c>
      <c r="S581" s="3" t="inlineStr">
        <is>
          <t>G2G</t>
        </is>
      </c>
      <c r="T581" s="3" t="inlineStr">
        <is>
          <t>P4</t>
        </is>
      </c>
      <c r="U581" s="3" t="inlineStr">
        <is>
          <t>N JB Cold Soldering</t>
        </is>
      </c>
      <c r="V581" s="3" t="inlineStr">
        <is>
          <t>Soldering</t>
        </is>
      </c>
      <c r="W581" s="3" t="inlineStr">
        <is>
          <t>Repair</t>
        </is>
      </c>
      <c r="X581" s="18" t="n">
        <v>46151</v>
      </c>
      <c r="Y581" s="73">
        <f>IF(X581="","",X581-A581)</f>
        <v/>
      </c>
      <c r="Z581" s="18" t="n">
        <v>46151</v>
      </c>
      <c r="AA581" s="15" t="n"/>
      <c r="AB581" s="15" t="n"/>
      <c r="AF581">
        <f>IF(AND($F581="Closed",$X581&gt;=DATE(2026,5,1),$X581&lt;=DATE(2026,5,31)),"Closed in May","Other")</f>
        <v/>
      </c>
    </row>
    <row r="582">
      <c r="A582" s="6" t="n">
        <v>46107</v>
      </c>
      <c r="B582" s="3" t="n">
        <v>2026</v>
      </c>
      <c r="C582" s="3" t="inlineStr">
        <is>
          <t>Blupine Energy</t>
        </is>
      </c>
      <c r="D582" s="3" t="inlineStr">
        <is>
          <t>Utility and C&amp;I</t>
        </is>
      </c>
      <c r="E582" s="3" t="n"/>
      <c r="F582" s="3" t="inlineStr">
        <is>
          <t>Closed</t>
        </is>
      </c>
      <c r="G582" s="3" t="inlineStr">
        <is>
          <t>Chandrashekar Patidar</t>
        </is>
      </c>
      <c r="H582" s="3" t="n">
        <v>7879764773</v>
      </c>
      <c r="I582" s="11" t="inlineStr">
        <is>
          <t>PE26032601</t>
        </is>
      </c>
      <c r="J582" s="3" t="inlineStr">
        <is>
          <t>Module Diode Failure</t>
        </is>
      </c>
      <c r="K582" s="3" t="inlineStr">
        <is>
          <t>Sadla</t>
        </is>
      </c>
      <c r="L582" s="3" t="inlineStr">
        <is>
          <t>Gujarat</t>
        </is>
      </c>
      <c r="M582" s="9" t="inlineStr">
        <is>
          <t>NS</t>
        </is>
      </c>
      <c r="N582" s="3" t="inlineStr">
        <is>
          <t>Cold Soldering</t>
        </is>
      </c>
      <c r="O582" s="3" t="n">
        <v>570</v>
      </c>
      <c r="P582" s="9" t="inlineStr">
        <is>
          <t>NSMI24050043885</t>
        </is>
      </c>
      <c r="Q582" s="53">
        <f>MID(P582,5,2)</f>
        <v/>
      </c>
      <c r="R582" s="53">
        <f>MID(P582,7,2)</f>
        <v/>
      </c>
      <c r="S582" s="3" t="inlineStr">
        <is>
          <t>G2G</t>
        </is>
      </c>
      <c r="T582" s="3" t="inlineStr">
        <is>
          <t>P4</t>
        </is>
      </c>
      <c r="U582" s="3" t="inlineStr">
        <is>
          <t>N JB Cold Soldering</t>
        </is>
      </c>
      <c r="V582" s="3" t="inlineStr">
        <is>
          <t>Soldering</t>
        </is>
      </c>
      <c r="W582" s="3" t="inlineStr">
        <is>
          <t>Repair</t>
        </is>
      </c>
      <c r="X582" s="18" t="n">
        <v>46151</v>
      </c>
      <c r="Y582" s="73">
        <f>IF(X582="","",X582-A582)</f>
        <v/>
      </c>
      <c r="Z582" s="18" t="n">
        <v>46151</v>
      </c>
      <c r="AA582" s="15" t="n"/>
      <c r="AB582" s="15" t="n"/>
      <c r="AF582">
        <f>IF(AND($F582="Closed",$X582&gt;=DATE(2026,5,1),$X582&lt;=DATE(2026,5,31)),"Closed in May","Other")</f>
        <v/>
      </c>
    </row>
    <row r="583">
      <c r="A583" s="6" t="n">
        <v>46107</v>
      </c>
      <c r="B583" s="3" t="n">
        <v>2026</v>
      </c>
      <c r="C583" s="3" t="inlineStr">
        <is>
          <t>Blupine Energy</t>
        </is>
      </c>
      <c r="D583" s="3" t="inlineStr">
        <is>
          <t>Utility and C&amp;I</t>
        </is>
      </c>
      <c r="E583" s="3" t="n"/>
      <c r="F583" s="3" t="inlineStr">
        <is>
          <t>Closed</t>
        </is>
      </c>
      <c r="G583" s="3" t="inlineStr">
        <is>
          <t>Chandrashekar Patidar</t>
        </is>
      </c>
      <c r="H583" s="3" t="n">
        <v>7879764773</v>
      </c>
      <c r="I583" s="11" t="inlineStr">
        <is>
          <t>PE26032601</t>
        </is>
      </c>
      <c r="J583" s="3" t="inlineStr">
        <is>
          <t>Module Diode Failure</t>
        </is>
      </c>
      <c r="K583" s="3" t="inlineStr">
        <is>
          <t>Sadla</t>
        </is>
      </c>
      <c r="L583" s="3" t="inlineStr">
        <is>
          <t>Gujarat</t>
        </is>
      </c>
      <c r="M583" s="9" t="inlineStr">
        <is>
          <t>NS</t>
        </is>
      </c>
      <c r="N583" s="3" t="inlineStr">
        <is>
          <t>Cold Soldering</t>
        </is>
      </c>
      <c r="O583" s="3" t="n">
        <v>570</v>
      </c>
      <c r="P583" s="9" t="inlineStr">
        <is>
          <t>NSMI24050047955</t>
        </is>
      </c>
      <c r="Q583" s="53">
        <f>MID(P583,5,2)</f>
        <v/>
      </c>
      <c r="R583" s="53">
        <f>MID(P583,7,2)</f>
        <v/>
      </c>
      <c r="S583" s="3" t="inlineStr">
        <is>
          <t>G2G</t>
        </is>
      </c>
      <c r="T583" s="3" t="inlineStr">
        <is>
          <t>P4</t>
        </is>
      </c>
      <c r="U583" s="3" t="inlineStr">
        <is>
          <t>N JB Cold Soldering</t>
        </is>
      </c>
      <c r="V583" s="3" t="inlineStr">
        <is>
          <t>Soldering</t>
        </is>
      </c>
      <c r="W583" s="3" t="inlineStr">
        <is>
          <t>Repair</t>
        </is>
      </c>
      <c r="X583" s="18" t="n">
        <v>46151</v>
      </c>
      <c r="Y583" s="73">
        <f>IF(X583="","",X583-A583)</f>
        <v/>
      </c>
      <c r="Z583" s="18" t="n">
        <v>46151</v>
      </c>
      <c r="AA583" s="15" t="n"/>
      <c r="AB583" s="15" t="n"/>
      <c r="AF583">
        <f>IF(AND($F583="Closed",$X583&gt;=DATE(2026,5,1),$X583&lt;=DATE(2026,5,31)),"Closed in May","Other")</f>
        <v/>
      </c>
    </row>
    <row r="584">
      <c r="A584" s="6" t="n">
        <v>46107</v>
      </c>
      <c r="B584" s="3" t="n">
        <v>2026</v>
      </c>
      <c r="C584" s="3" t="inlineStr">
        <is>
          <t>Blupine Energy</t>
        </is>
      </c>
      <c r="D584" s="3" t="inlineStr">
        <is>
          <t>Utility and C&amp;I</t>
        </is>
      </c>
      <c r="E584" s="3" t="n"/>
      <c r="F584" s="3" t="inlineStr">
        <is>
          <t>Closed</t>
        </is>
      </c>
      <c r="G584" s="3" t="inlineStr">
        <is>
          <t>Chandrashekar Patidar</t>
        </is>
      </c>
      <c r="H584" s="3" t="n">
        <v>7879764773</v>
      </c>
      <c r="I584" s="11" t="inlineStr">
        <is>
          <t>PE26032601</t>
        </is>
      </c>
      <c r="J584" s="3" t="inlineStr">
        <is>
          <t>Module Diode Failure</t>
        </is>
      </c>
      <c r="K584" s="3" t="inlineStr">
        <is>
          <t>Sadla</t>
        </is>
      </c>
      <c r="L584" s="3" t="inlineStr">
        <is>
          <t>Gujarat</t>
        </is>
      </c>
      <c r="M584" s="9" t="inlineStr">
        <is>
          <t>NS</t>
        </is>
      </c>
      <c r="N584" s="3" t="inlineStr">
        <is>
          <t>Cold Soldering</t>
        </is>
      </c>
      <c r="O584" s="3" t="n">
        <v>570</v>
      </c>
      <c r="P584" s="9" t="inlineStr">
        <is>
          <t>NSMI24060114444</t>
        </is>
      </c>
      <c r="Q584" s="53">
        <f>MID(P584,5,2)</f>
        <v/>
      </c>
      <c r="R584" s="53">
        <f>MID(P584,7,2)</f>
        <v/>
      </c>
      <c r="S584" s="3" t="inlineStr">
        <is>
          <t>G2G</t>
        </is>
      </c>
      <c r="T584" s="3" t="inlineStr">
        <is>
          <t>P4</t>
        </is>
      </c>
      <c r="U584" s="3" t="inlineStr">
        <is>
          <t>N JB Cold Soldering</t>
        </is>
      </c>
      <c r="V584" s="3" t="inlineStr">
        <is>
          <t>Soldering</t>
        </is>
      </c>
      <c r="W584" s="3" t="inlineStr">
        <is>
          <t>Repair</t>
        </is>
      </c>
      <c r="X584" s="18" t="n">
        <v>46151</v>
      </c>
      <c r="Y584" s="73">
        <f>IF(X584="","",X584-A584)</f>
        <v/>
      </c>
      <c r="Z584" s="18" t="n">
        <v>46151</v>
      </c>
      <c r="AA584" s="15" t="n"/>
      <c r="AB584" s="15" t="n"/>
      <c r="AF584">
        <f>IF(AND($F584="Closed",$X584&gt;=DATE(2026,5,1),$X584&lt;=DATE(2026,5,31)),"Closed in May","Other")</f>
        <v/>
      </c>
    </row>
    <row r="585">
      <c r="A585" s="6" t="n">
        <v>46107</v>
      </c>
      <c r="B585" s="3" t="n">
        <v>2026</v>
      </c>
      <c r="C585" s="3" t="inlineStr">
        <is>
          <t>Blupine Energy</t>
        </is>
      </c>
      <c r="D585" s="3" t="inlineStr">
        <is>
          <t>Utility and C&amp;I</t>
        </is>
      </c>
      <c r="E585" s="3" t="n"/>
      <c r="F585" s="3" t="inlineStr">
        <is>
          <t>Closed</t>
        </is>
      </c>
      <c r="G585" s="3" t="inlineStr">
        <is>
          <t>Chandrashekar Patidar</t>
        </is>
      </c>
      <c r="H585" s="3" t="n">
        <v>7879764773</v>
      </c>
      <c r="I585" s="11" t="inlineStr">
        <is>
          <t>PE26032601</t>
        </is>
      </c>
      <c r="J585" s="3" t="inlineStr">
        <is>
          <t>Module Diode Failure</t>
        </is>
      </c>
      <c r="K585" s="3" t="inlineStr">
        <is>
          <t>Sadla</t>
        </is>
      </c>
      <c r="L585" s="3" t="inlineStr">
        <is>
          <t>Gujarat</t>
        </is>
      </c>
      <c r="M585" s="9" t="inlineStr">
        <is>
          <t>NS</t>
        </is>
      </c>
      <c r="N585" s="3" t="inlineStr">
        <is>
          <t>Cold Soldering</t>
        </is>
      </c>
      <c r="O585" s="3" t="n">
        <v>570</v>
      </c>
      <c r="P585" s="9" t="inlineStr">
        <is>
          <t>NSMI24050043867</t>
        </is>
      </c>
      <c r="Q585" s="53">
        <f>MID(P585,5,2)</f>
        <v/>
      </c>
      <c r="R585" s="53">
        <f>MID(P585,7,2)</f>
        <v/>
      </c>
      <c r="S585" s="3" t="inlineStr">
        <is>
          <t>G2G</t>
        </is>
      </c>
      <c r="T585" s="3" t="inlineStr">
        <is>
          <t>P4</t>
        </is>
      </c>
      <c r="U585" s="3" t="inlineStr">
        <is>
          <t>N JB Cold Soldering</t>
        </is>
      </c>
      <c r="V585" s="3" t="inlineStr">
        <is>
          <t>Soldering</t>
        </is>
      </c>
      <c r="W585" s="3" t="inlineStr">
        <is>
          <t>Repair</t>
        </is>
      </c>
      <c r="X585" s="18" t="n">
        <v>46151</v>
      </c>
      <c r="Y585" s="73">
        <f>IF(X585="","",X585-A585)</f>
        <v/>
      </c>
      <c r="Z585" s="18" t="n">
        <v>46151</v>
      </c>
      <c r="AA585" s="15" t="n"/>
      <c r="AB585" s="15" t="n"/>
      <c r="AF585">
        <f>IF(AND($F585="Closed",$X585&gt;=DATE(2026,5,1),$X585&lt;=DATE(2026,5,31)),"Closed in May","Other")</f>
        <v/>
      </c>
    </row>
    <row r="586">
      <c r="A586" s="6" t="n">
        <v>46107</v>
      </c>
      <c r="B586" s="3" t="n">
        <v>2026</v>
      </c>
      <c r="C586" s="3" t="inlineStr">
        <is>
          <t>Blupine Energy</t>
        </is>
      </c>
      <c r="D586" s="3" t="inlineStr">
        <is>
          <t>Utility and C&amp;I</t>
        </is>
      </c>
      <c r="E586" s="3" t="n"/>
      <c r="F586" s="3" t="inlineStr">
        <is>
          <t>Closed</t>
        </is>
      </c>
      <c r="G586" s="3" t="inlineStr">
        <is>
          <t>Chandrashekar Patidar</t>
        </is>
      </c>
      <c r="H586" s="3" t="n">
        <v>7879764773</v>
      </c>
      <c r="I586" s="11" t="inlineStr">
        <is>
          <t>PE26032601</t>
        </is>
      </c>
      <c r="J586" s="3" t="inlineStr">
        <is>
          <t>Module Diode Failure</t>
        </is>
      </c>
      <c r="K586" s="3" t="inlineStr">
        <is>
          <t>Sadla</t>
        </is>
      </c>
      <c r="L586" s="3" t="inlineStr">
        <is>
          <t>Gujarat</t>
        </is>
      </c>
      <c r="M586" s="9" t="inlineStr">
        <is>
          <t>PS</t>
        </is>
      </c>
      <c r="N586" s="3" t="inlineStr">
        <is>
          <t>Cold Soldering</t>
        </is>
      </c>
      <c r="O586" s="3" t="n">
        <v>570</v>
      </c>
      <c r="P586" s="9" t="inlineStr">
        <is>
          <t>NSMI24050063782</t>
        </is>
      </c>
      <c r="Q586" s="53">
        <f>MID(P586,5,2)</f>
        <v/>
      </c>
      <c r="R586" s="53">
        <f>MID(P586,7,2)</f>
        <v/>
      </c>
      <c r="S586" s="3" t="inlineStr">
        <is>
          <t>G2G</t>
        </is>
      </c>
      <c r="T586" s="3" t="inlineStr">
        <is>
          <t>P4</t>
        </is>
      </c>
      <c r="U586" s="3" t="inlineStr">
        <is>
          <t>P JB Cold Soldering</t>
        </is>
      </c>
      <c r="V586" s="3" t="inlineStr">
        <is>
          <t>Soldering</t>
        </is>
      </c>
      <c r="W586" s="3" t="inlineStr">
        <is>
          <t>Repair</t>
        </is>
      </c>
      <c r="X586" s="18" t="n">
        <v>46151</v>
      </c>
      <c r="Y586" s="73">
        <f>IF(X586="","",X586-A586)</f>
        <v/>
      </c>
      <c r="Z586" s="18" t="n">
        <v>46151</v>
      </c>
      <c r="AA586" s="15" t="n"/>
      <c r="AB586" s="15" t="n"/>
      <c r="AF586">
        <f>IF(AND($F586="Closed",$X586&gt;=DATE(2026,5,1),$X586&lt;=DATE(2026,5,31)),"Closed in May","Other")</f>
        <v/>
      </c>
    </row>
    <row r="587">
      <c r="A587" s="6" t="n">
        <v>46107</v>
      </c>
      <c r="B587" s="3" t="n">
        <v>2026</v>
      </c>
      <c r="C587" s="3" t="inlineStr">
        <is>
          <t>Blupine Energy</t>
        </is>
      </c>
      <c r="D587" s="3" t="inlineStr">
        <is>
          <t>Utility and C&amp;I</t>
        </is>
      </c>
      <c r="E587" s="3" t="n"/>
      <c r="F587" s="3" t="inlineStr">
        <is>
          <t>Closed</t>
        </is>
      </c>
      <c r="G587" s="3" t="inlineStr">
        <is>
          <t>Chandrashekar Patidar</t>
        </is>
      </c>
      <c r="H587" s="3" t="n">
        <v>7879764773</v>
      </c>
      <c r="I587" s="11" t="inlineStr">
        <is>
          <t>PE26032601</t>
        </is>
      </c>
      <c r="J587" s="3" t="inlineStr">
        <is>
          <t>Module Diode Failure</t>
        </is>
      </c>
      <c r="K587" s="3" t="inlineStr">
        <is>
          <t>Sadla</t>
        </is>
      </c>
      <c r="L587" s="3" t="inlineStr">
        <is>
          <t>Gujarat</t>
        </is>
      </c>
      <c r="M587" s="9" t="inlineStr">
        <is>
          <t>NS</t>
        </is>
      </c>
      <c r="N587" s="3" t="inlineStr">
        <is>
          <t>Cold Soldering</t>
        </is>
      </c>
      <c r="O587" s="3" t="n">
        <v>570</v>
      </c>
      <c r="P587" s="9" t="inlineStr">
        <is>
          <t>NSMI24050046008</t>
        </is>
      </c>
      <c r="Q587" s="53">
        <f>MID(P587,5,2)</f>
        <v/>
      </c>
      <c r="R587" s="53">
        <f>MID(P587,7,2)</f>
        <v/>
      </c>
      <c r="S587" s="3" t="inlineStr">
        <is>
          <t>G2G</t>
        </is>
      </c>
      <c r="T587" s="3" t="inlineStr">
        <is>
          <t>P4</t>
        </is>
      </c>
      <c r="U587" s="3" t="inlineStr">
        <is>
          <t>N JB Cold Soldering</t>
        </is>
      </c>
      <c r="V587" s="3" t="inlineStr">
        <is>
          <t>Soldering</t>
        </is>
      </c>
      <c r="W587" s="3" t="inlineStr">
        <is>
          <t>Repair</t>
        </is>
      </c>
      <c r="X587" s="18" t="n">
        <v>46151</v>
      </c>
      <c r="Y587" s="73">
        <f>IF(X587="","",X587-A587)</f>
        <v/>
      </c>
      <c r="Z587" s="18" t="n">
        <v>46151</v>
      </c>
      <c r="AA587" s="15" t="n"/>
      <c r="AB587" s="15" t="n"/>
      <c r="AF587">
        <f>IF(AND($F587="Closed",$X587&gt;=DATE(2026,5,1),$X587&lt;=DATE(2026,5,31)),"Closed in May","Other")</f>
        <v/>
      </c>
    </row>
    <row r="588">
      <c r="A588" s="6" t="n">
        <v>46107</v>
      </c>
      <c r="B588" s="3" t="n">
        <v>2026</v>
      </c>
      <c r="C588" s="3" t="inlineStr">
        <is>
          <t>Blupine Energy</t>
        </is>
      </c>
      <c r="D588" s="3" t="inlineStr">
        <is>
          <t>Utility and C&amp;I</t>
        </is>
      </c>
      <c r="E588" s="3" t="n"/>
      <c r="F588" s="3" t="inlineStr">
        <is>
          <t>Closed</t>
        </is>
      </c>
      <c r="G588" s="3" t="inlineStr">
        <is>
          <t>Chandrashekar Patidar</t>
        </is>
      </c>
      <c r="H588" s="3" t="n">
        <v>7879764773</v>
      </c>
      <c r="I588" s="11" t="inlineStr">
        <is>
          <t>PE26032601</t>
        </is>
      </c>
      <c r="J588" s="3" t="inlineStr">
        <is>
          <t>Module Diode Failure</t>
        </is>
      </c>
      <c r="K588" s="3" t="inlineStr">
        <is>
          <t>Sadla</t>
        </is>
      </c>
      <c r="L588" s="3" t="inlineStr">
        <is>
          <t>Gujarat</t>
        </is>
      </c>
      <c r="M588" s="9" t="inlineStr">
        <is>
          <t>PS</t>
        </is>
      </c>
      <c r="N588" s="3" t="inlineStr">
        <is>
          <t>Cold Soldering</t>
        </is>
      </c>
      <c r="O588" s="3" t="n">
        <v>570</v>
      </c>
      <c r="P588" s="9" t="inlineStr">
        <is>
          <t>NSMI24060077903</t>
        </is>
      </c>
      <c r="Q588" s="53">
        <f>MID(P588,5,2)</f>
        <v/>
      </c>
      <c r="R588" s="53">
        <f>MID(P588,7,2)</f>
        <v/>
      </c>
      <c r="S588" s="3" t="inlineStr">
        <is>
          <t>G2G</t>
        </is>
      </c>
      <c r="T588" s="3" t="inlineStr">
        <is>
          <t>P4</t>
        </is>
      </c>
      <c r="U588" s="3" t="inlineStr">
        <is>
          <t>P JB Cold Soldering</t>
        </is>
      </c>
      <c r="V588" s="3" t="inlineStr">
        <is>
          <t>Soldering</t>
        </is>
      </c>
      <c r="W588" s="3" t="inlineStr">
        <is>
          <t>Repair</t>
        </is>
      </c>
      <c r="X588" s="18" t="n">
        <v>46151</v>
      </c>
      <c r="Y588" s="73">
        <f>IF(X588="","",X588-A588)</f>
        <v/>
      </c>
      <c r="Z588" s="18" t="n">
        <v>46151</v>
      </c>
      <c r="AA588" s="15" t="n"/>
      <c r="AB588" s="15" t="n"/>
      <c r="AF588">
        <f>IF(AND($F588="Closed",$X588&gt;=DATE(2026,5,1),$X588&lt;=DATE(2026,5,31)),"Closed in May","Other")</f>
        <v/>
      </c>
    </row>
    <row r="589">
      <c r="A589" s="6" t="n">
        <v>46107</v>
      </c>
      <c r="B589" s="3" t="n">
        <v>2026</v>
      </c>
      <c r="C589" s="3" t="inlineStr">
        <is>
          <t>Blupine Energy</t>
        </is>
      </c>
      <c r="D589" s="3" t="inlineStr">
        <is>
          <t>Utility and C&amp;I</t>
        </is>
      </c>
      <c r="E589" s="3" t="n"/>
      <c r="F589" s="3" t="inlineStr">
        <is>
          <t>Closed</t>
        </is>
      </c>
      <c r="G589" s="3" t="inlineStr">
        <is>
          <t>Chandrashekar Patidar</t>
        </is>
      </c>
      <c r="H589" s="3" t="n">
        <v>7879764773</v>
      </c>
      <c r="I589" s="11" t="inlineStr">
        <is>
          <t>PE26032601</t>
        </is>
      </c>
      <c r="J589" s="3" t="inlineStr">
        <is>
          <t>Module Diode Failure</t>
        </is>
      </c>
      <c r="K589" s="3" t="inlineStr">
        <is>
          <t>Sadla</t>
        </is>
      </c>
      <c r="L589" s="3" t="inlineStr">
        <is>
          <t>Gujarat</t>
        </is>
      </c>
      <c r="M589" s="9" t="inlineStr">
        <is>
          <t>PS</t>
        </is>
      </c>
      <c r="N589" s="3" t="inlineStr">
        <is>
          <t>Cold Soldering</t>
        </is>
      </c>
      <c r="O589" s="3" t="n">
        <v>570</v>
      </c>
      <c r="P589" s="9" t="inlineStr">
        <is>
          <t>NSMI24060079043</t>
        </is>
      </c>
      <c r="Q589" s="53">
        <f>MID(P589,5,2)</f>
        <v/>
      </c>
      <c r="R589" s="53">
        <f>MID(P589,7,2)</f>
        <v/>
      </c>
      <c r="S589" s="3" t="inlineStr">
        <is>
          <t>G2G</t>
        </is>
      </c>
      <c r="T589" s="3" t="inlineStr">
        <is>
          <t>P4</t>
        </is>
      </c>
      <c r="U589" s="3" t="inlineStr">
        <is>
          <t>P JB Cold Soldering</t>
        </is>
      </c>
      <c r="V589" s="3" t="inlineStr">
        <is>
          <t>Soldering</t>
        </is>
      </c>
      <c r="W589" s="3" t="inlineStr">
        <is>
          <t>Repair</t>
        </is>
      </c>
      <c r="X589" s="18" t="n">
        <v>46151</v>
      </c>
      <c r="Y589" s="73">
        <f>IF(X589="","",X589-A589)</f>
        <v/>
      </c>
      <c r="Z589" s="18" t="n">
        <v>46151</v>
      </c>
      <c r="AA589" s="15" t="n"/>
      <c r="AB589" s="15" t="n"/>
      <c r="AF589">
        <f>IF(AND($F589="Closed",$X589&gt;=DATE(2026,5,1),$X589&lt;=DATE(2026,5,31)),"Closed in May","Other")</f>
        <v/>
      </c>
    </row>
    <row r="590">
      <c r="A590" s="6" t="n">
        <v>46107</v>
      </c>
      <c r="B590" s="3" t="n">
        <v>2026</v>
      </c>
      <c r="C590" s="3" t="inlineStr">
        <is>
          <t>Blupine Energy</t>
        </is>
      </c>
      <c r="D590" s="3" t="inlineStr">
        <is>
          <t>Utility and C&amp;I</t>
        </is>
      </c>
      <c r="E590" s="3" t="n"/>
      <c r="F590" s="3" t="inlineStr">
        <is>
          <t>Closed</t>
        </is>
      </c>
      <c r="G590" s="3" t="inlineStr">
        <is>
          <t>Chandrashekar Patidar</t>
        </is>
      </c>
      <c r="H590" s="3" t="n">
        <v>7879764773</v>
      </c>
      <c r="I590" s="11" t="inlineStr">
        <is>
          <t>PE26032601</t>
        </is>
      </c>
      <c r="J590" s="3" t="inlineStr">
        <is>
          <t>Module Diode Failure</t>
        </is>
      </c>
      <c r="K590" s="3" t="inlineStr">
        <is>
          <t>Sadla</t>
        </is>
      </c>
      <c r="L590" s="3" t="inlineStr">
        <is>
          <t>Gujarat</t>
        </is>
      </c>
      <c r="M590" s="9" t="inlineStr">
        <is>
          <t>PS</t>
        </is>
      </c>
      <c r="N590" s="3" t="inlineStr">
        <is>
          <t>Cold Soldering</t>
        </is>
      </c>
      <c r="O590" s="3" t="n">
        <v>570</v>
      </c>
      <c r="P590" s="9" t="inlineStr">
        <is>
          <t>NSMI24050049308</t>
        </is>
      </c>
      <c r="Q590" s="53">
        <f>MID(P590,5,2)</f>
        <v/>
      </c>
      <c r="R590" s="53">
        <f>MID(P590,7,2)</f>
        <v/>
      </c>
      <c r="S590" s="3" t="inlineStr">
        <is>
          <t>G2G</t>
        </is>
      </c>
      <c r="T590" s="3" t="inlineStr">
        <is>
          <t>P4</t>
        </is>
      </c>
      <c r="U590" s="3" t="inlineStr">
        <is>
          <t>P JB Cold Soldering</t>
        </is>
      </c>
      <c r="V590" s="3" t="inlineStr">
        <is>
          <t>Soldering</t>
        </is>
      </c>
      <c r="W590" s="3" t="inlineStr">
        <is>
          <t>Repair</t>
        </is>
      </c>
      <c r="X590" s="18" t="n">
        <v>46151</v>
      </c>
      <c r="Y590" s="73">
        <f>IF(X590="","",X590-A590)</f>
        <v/>
      </c>
      <c r="Z590" s="18" t="n">
        <v>46151</v>
      </c>
      <c r="AA590" s="15" t="n"/>
      <c r="AB590" s="15" t="n"/>
      <c r="AF590">
        <f>IF(AND($F590="Closed",$X590&gt;=DATE(2026,5,1),$X590&lt;=DATE(2026,5,31)),"Closed in May","Other")</f>
        <v/>
      </c>
    </row>
    <row r="591">
      <c r="A591" s="6" t="n">
        <v>46107</v>
      </c>
      <c r="B591" s="3" t="n">
        <v>2026</v>
      </c>
      <c r="C591" s="3" t="inlineStr">
        <is>
          <t>Blupine Energy</t>
        </is>
      </c>
      <c r="D591" s="3" t="inlineStr">
        <is>
          <t>Utility and C&amp;I</t>
        </is>
      </c>
      <c r="E591" s="3" t="n"/>
      <c r="F591" s="3" t="inlineStr">
        <is>
          <t>Closed</t>
        </is>
      </c>
      <c r="G591" s="3" t="inlineStr">
        <is>
          <t>Chandrashekar Patidar</t>
        </is>
      </c>
      <c r="H591" s="3" t="n">
        <v>7879764773</v>
      </c>
      <c r="I591" s="11" t="inlineStr">
        <is>
          <t>PE26032601</t>
        </is>
      </c>
      <c r="J591" s="3" t="inlineStr">
        <is>
          <t>Module Diode Failure</t>
        </is>
      </c>
      <c r="K591" s="3" t="inlineStr">
        <is>
          <t>Sadla</t>
        </is>
      </c>
      <c r="L591" s="3" t="inlineStr">
        <is>
          <t>Gujarat</t>
        </is>
      </c>
      <c r="M591" s="9" t="inlineStr">
        <is>
          <t>PS</t>
        </is>
      </c>
      <c r="N591" s="3" t="inlineStr">
        <is>
          <t>Cold Soldering</t>
        </is>
      </c>
      <c r="O591" s="3" t="n">
        <v>570</v>
      </c>
      <c r="P591" s="9" t="inlineStr">
        <is>
          <t>NSMI24050043287</t>
        </is>
      </c>
      <c r="Q591" s="53">
        <f>MID(P591,5,2)</f>
        <v/>
      </c>
      <c r="R591" s="53">
        <f>MID(P591,7,2)</f>
        <v/>
      </c>
      <c r="S591" s="3" t="inlineStr">
        <is>
          <t>G2G</t>
        </is>
      </c>
      <c r="T591" s="3" t="inlineStr">
        <is>
          <t>P4</t>
        </is>
      </c>
      <c r="U591" s="3" t="inlineStr">
        <is>
          <t>P JB Cold Soldering</t>
        </is>
      </c>
      <c r="V591" s="3" t="inlineStr">
        <is>
          <t>Soldering</t>
        </is>
      </c>
      <c r="W591" s="3" t="inlineStr">
        <is>
          <t>Repair</t>
        </is>
      </c>
      <c r="X591" s="18" t="n">
        <v>46151</v>
      </c>
      <c r="Y591" s="73">
        <f>IF(X591="","",X591-A591)</f>
        <v/>
      </c>
      <c r="Z591" s="18" t="n">
        <v>46151</v>
      </c>
      <c r="AA591" s="15" t="n"/>
      <c r="AB591" s="15" t="n"/>
      <c r="AF591">
        <f>IF(AND($F591="Closed",$X591&gt;=DATE(2026,5,1),$X591&lt;=DATE(2026,5,31)),"Closed in May","Other")</f>
        <v/>
      </c>
    </row>
    <row r="592">
      <c r="A592" s="6" t="n">
        <v>46107</v>
      </c>
      <c r="B592" s="3" t="n">
        <v>2026</v>
      </c>
      <c r="C592" s="3" t="inlineStr">
        <is>
          <t>Blupine Energy</t>
        </is>
      </c>
      <c r="D592" s="3" t="inlineStr">
        <is>
          <t>Utility and C&amp;I</t>
        </is>
      </c>
      <c r="E592" s="3" t="n"/>
      <c r="F592" s="3" t="inlineStr">
        <is>
          <t>Closed</t>
        </is>
      </c>
      <c r="G592" s="3" t="inlineStr">
        <is>
          <t>Chandrashekar Patidar</t>
        </is>
      </c>
      <c r="H592" s="3" t="n">
        <v>7879764773</v>
      </c>
      <c r="I592" s="11" t="inlineStr">
        <is>
          <t>PE26032601</t>
        </is>
      </c>
      <c r="J592" s="3" t="inlineStr">
        <is>
          <t>Module Diode Failure</t>
        </is>
      </c>
      <c r="K592" s="3" t="inlineStr">
        <is>
          <t>Sadla</t>
        </is>
      </c>
      <c r="L592" s="3" t="inlineStr">
        <is>
          <t>Gujarat</t>
        </is>
      </c>
      <c r="M592" s="9" t="inlineStr">
        <is>
          <t>NS</t>
        </is>
      </c>
      <c r="N592" s="3" t="inlineStr">
        <is>
          <t>Cold Soldering</t>
        </is>
      </c>
      <c r="O592" s="3" t="n">
        <v>570</v>
      </c>
      <c r="P592" s="9" t="inlineStr">
        <is>
          <t>NSMI24050063161</t>
        </is>
      </c>
      <c r="Q592" s="53">
        <f>MID(P592,5,2)</f>
        <v/>
      </c>
      <c r="R592" s="53">
        <f>MID(P592,7,2)</f>
        <v/>
      </c>
      <c r="S592" s="3" t="inlineStr">
        <is>
          <t>G2G</t>
        </is>
      </c>
      <c r="T592" s="3" t="inlineStr">
        <is>
          <t>P4</t>
        </is>
      </c>
      <c r="U592" s="3" t="inlineStr">
        <is>
          <t>N JB Cold Soldering</t>
        </is>
      </c>
      <c r="V592" s="3" t="inlineStr">
        <is>
          <t>Soldering</t>
        </is>
      </c>
      <c r="W592" s="3" t="inlineStr">
        <is>
          <t>Repair</t>
        </is>
      </c>
      <c r="X592" s="18" t="n">
        <v>46151</v>
      </c>
      <c r="Y592" s="73">
        <f>IF(X592="","",X592-A592)</f>
        <v/>
      </c>
      <c r="Z592" s="18" t="n">
        <v>46151</v>
      </c>
      <c r="AA592" s="15" t="n"/>
      <c r="AB592" s="15" t="n"/>
      <c r="AF592">
        <f>IF(AND($F592="Closed",$X592&gt;=DATE(2026,5,1),$X592&lt;=DATE(2026,5,31)),"Closed in May","Other")</f>
        <v/>
      </c>
    </row>
    <row r="593">
      <c r="A593" s="6" t="n">
        <v>46107</v>
      </c>
      <c r="B593" s="3" t="n">
        <v>2026</v>
      </c>
      <c r="C593" s="3" t="inlineStr">
        <is>
          <t>Blupine Energy</t>
        </is>
      </c>
      <c r="D593" s="3" t="inlineStr">
        <is>
          <t>Utility and C&amp;I</t>
        </is>
      </c>
      <c r="E593" s="3" t="n"/>
      <c r="F593" s="3" t="inlineStr">
        <is>
          <t>Closed</t>
        </is>
      </c>
      <c r="G593" s="3" t="inlineStr">
        <is>
          <t>Chandrashekar Patidar</t>
        </is>
      </c>
      <c r="H593" s="3" t="n">
        <v>7879764773</v>
      </c>
      <c r="I593" s="11" t="inlineStr">
        <is>
          <t>PE26032601</t>
        </is>
      </c>
      <c r="J593" s="3" t="inlineStr">
        <is>
          <t>Module Diode Failure</t>
        </is>
      </c>
      <c r="K593" s="3" t="inlineStr">
        <is>
          <t>Sadla</t>
        </is>
      </c>
      <c r="L593" s="3" t="inlineStr">
        <is>
          <t>Gujarat</t>
        </is>
      </c>
      <c r="M593" s="9" t="inlineStr">
        <is>
          <t>PS</t>
        </is>
      </c>
      <c r="N593" s="3" t="inlineStr">
        <is>
          <t>Cold Soldering</t>
        </is>
      </c>
      <c r="O593" s="3" t="n">
        <v>570</v>
      </c>
      <c r="P593" s="9" t="inlineStr">
        <is>
          <t>NSMI24060093055</t>
        </is>
      </c>
      <c r="Q593" s="53">
        <f>MID(P593,5,2)</f>
        <v/>
      </c>
      <c r="R593" s="53">
        <f>MID(P593,7,2)</f>
        <v/>
      </c>
      <c r="S593" s="3" t="inlineStr">
        <is>
          <t>G2G</t>
        </is>
      </c>
      <c r="T593" s="3" t="inlineStr">
        <is>
          <t>P4</t>
        </is>
      </c>
      <c r="U593" s="3" t="inlineStr">
        <is>
          <t>P JB Cold Soldering</t>
        </is>
      </c>
      <c r="V593" s="3" t="inlineStr">
        <is>
          <t>Soldering</t>
        </is>
      </c>
      <c r="W593" s="3" t="inlineStr">
        <is>
          <t>Repair</t>
        </is>
      </c>
      <c r="X593" s="18" t="n">
        <v>46151</v>
      </c>
      <c r="Y593" s="73">
        <f>IF(X593="","",X593-A593)</f>
        <v/>
      </c>
      <c r="Z593" s="18" t="n">
        <v>46151</v>
      </c>
      <c r="AA593" s="15" t="n"/>
      <c r="AB593" s="15" t="n"/>
      <c r="AF593">
        <f>IF(AND($F593="Closed",$X593&gt;=DATE(2026,5,1),$X593&lt;=DATE(2026,5,31)),"Closed in May","Other")</f>
        <v/>
      </c>
    </row>
    <row r="594">
      <c r="A594" s="6" t="n">
        <v>46107</v>
      </c>
      <c r="B594" s="3" t="n">
        <v>2026</v>
      </c>
      <c r="C594" s="3" t="inlineStr">
        <is>
          <t>Blupine Energy</t>
        </is>
      </c>
      <c r="D594" s="3" t="inlineStr">
        <is>
          <t>Utility and C&amp;I</t>
        </is>
      </c>
      <c r="E594" s="3" t="n"/>
      <c r="F594" s="3" t="inlineStr">
        <is>
          <t>Closed</t>
        </is>
      </c>
      <c r="G594" s="3" t="inlineStr">
        <is>
          <t>Chandrashekar Patidar</t>
        </is>
      </c>
      <c r="H594" s="3" t="n">
        <v>7879764773</v>
      </c>
      <c r="I594" s="11" t="inlineStr">
        <is>
          <t>PE26032601</t>
        </is>
      </c>
      <c r="J594" s="3" t="inlineStr">
        <is>
          <t>Module Diode Failure</t>
        </is>
      </c>
      <c r="K594" s="3" t="inlineStr">
        <is>
          <t>Sadla</t>
        </is>
      </c>
      <c r="L594" s="3" t="inlineStr">
        <is>
          <t>Gujarat</t>
        </is>
      </c>
      <c r="M594" s="9" t="inlineStr">
        <is>
          <t>NS</t>
        </is>
      </c>
      <c r="N594" s="3" t="inlineStr">
        <is>
          <t>Cold Soldering</t>
        </is>
      </c>
      <c r="O594" s="3" t="n">
        <v>570</v>
      </c>
      <c r="P594" s="9" t="inlineStr">
        <is>
          <t>NSMI24060078897</t>
        </is>
      </c>
      <c r="Q594" s="53">
        <f>MID(P594,5,2)</f>
        <v/>
      </c>
      <c r="R594" s="53">
        <f>MID(P594,7,2)</f>
        <v/>
      </c>
      <c r="S594" s="3" t="inlineStr">
        <is>
          <t>G2G</t>
        </is>
      </c>
      <c r="T594" s="3" t="inlineStr">
        <is>
          <t>P4</t>
        </is>
      </c>
      <c r="U594" s="3" t="inlineStr">
        <is>
          <t>N JB Cold Soldering</t>
        </is>
      </c>
      <c r="V594" s="3" t="inlineStr">
        <is>
          <t>Soldering</t>
        </is>
      </c>
      <c r="W594" s="3" t="inlineStr">
        <is>
          <t>Repair</t>
        </is>
      </c>
      <c r="X594" s="18" t="n">
        <v>46151</v>
      </c>
      <c r="Y594" s="73">
        <f>IF(X594="","",X594-A594)</f>
        <v/>
      </c>
      <c r="Z594" s="18" t="n">
        <v>46151</v>
      </c>
      <c r="AA594" s="15" t="n"/>
      <c r="AB594" s="15" t="n"/>
      <c r="AF594">
        <f>IF(AND($F594="Closed",$X594&gt;=DATE(2026,5,1),$X594&lt;=DATE(2026,5,31)),"Closed in May","Other")</f>
        <v/>
      </c>
    </row>
    <row r="595">
      <c r="A595" s="6" t="n">
        <v>46107</v>
      </c>
      <c r="B595" s="3" t="n">
        <v>2026</v>
      </c>
      <c r="C595" s="3" t="inlineStr">
        <is>
          <t>Blupine Energy</t>
        </is>
      </c>
      <c r="D595" s="3" t="inlineStr">
        <is>
          <t>Utility and C&amp;I</t>
        </is>
      </c>
      <c r="E595" s="3" t="n"/>
      <c r="F595" s="3" t="inlineStr">
        <is>
          <t>Closed</t>
        </is>
      </c>
      <c r="G595" s="3" t="inlineStr">
        <is>
          <t>Chandrashekar Patidar</t>
        </is>
      </c>
      <c r="H595" s="3" t="n">
        <v>7879764773</v>
      </c>
      <c r="I595" s="11" t="inlineStr">
        <is>
          <t>PE26032601</t>
        </is>
      </c>
      <c r="J595" s="3" t="inlineStr">
        <is>
          <t>Module Diode Failure</t>
        </is>
      </c>
      <c r="K595" s="3" t="inlineStr">
        <is>
          <t>Sadla</t>
        </is>
      </c>
      <c r="L595" s="3" t="inlineStr">
        <is>
          <t>Gujarat</t>
        </is>
      </c>
      <c r="M595" s="9" t="inlineStr">
        <is>
          <t>NS</t>
        </is>
      </c>
      <c r="N595" s="3" t="inlineStr">
        <is>
          <t>Cold Soldering</t>
        </is>
      </c>
      <c r="O595" s="3" t="n">
        <v>570</v>
      </c>
      <c r="P595" s="9" t="inlineStr">
        <is>
          <t>NSMI24060079001</t>
        </is>
      </c>
      <c r="Q595" s="53">
        <f>MID(P595,5,2)</f>
        <v/>
      </c>
      <c r="R595" s="53">
        <f>MID(P595,7,2)</f>
        <v/>
      </c>
      <c r="S595" s="3" t="inlineStr">
        <is>
          <t>G2G</t>
        </is>
      </c>
      <c r="T595" s="3" t="inlineStr">
        <is>
          <t>P4</t>
        </is>
      </c>
      <c r="U595" s="3" t="inlineStr">
        <is>
          <t>N JB Cold Soldering</t>
        </is>
      </c>
      <c r="V595" s="3" t="inlineStr">
        <is>
          <t>Soldering</t>
        </is>
      </c>
      <c r="W595" s="3" t="inlineStr">
        <is>
          <t>Repair</t>
        </is>
      </c>
      <c r="X595" s="18" t="n">
        <v>46151</v>
      </c>
      <c r="Y595" s="73">
        <f>IF(X595="","",X595-A595)</f>
        <v/>
      </c>
      <c r="Z595" s="18" t="n">
        <v>46151</v>
      </c>
      <c r="AA595" s="15" t="n"/>
      <c r="AB595" s="15" t="n"/>
      <c r="AF595">
        <f>IF(AND($F595="Closed",$X595&gt;=DATE(2026,5,1),$X595&lt;=DATE(2026,5,31)),"Closed in May","Other")</f>
        <v/>
      </c>
    </row>
    <row r="596">
      <c r="A596" s="6" t="n">
        <v>46107</v>
      </c>
      <c r="B596" s="3" t="n">
        <v>2026</v>
      </c>
      <c r="C596" s="3" t="inlineStr">
        <is>
          <t>Blupine Energy</t>
        </is>
      </c>
      <c r="D596" s="3" t="inlineStr">
        <is>
          <t>Utility and C&amp;I</t>
        </is>
      </c>
      <c r="E596" s="3" t="n"/>
      <c r="F596" s="3" t="inlineStr">
        <is>
          <t>Closed</t>
        </is>
      </c>
      <c r="G596" s="3" t="inlineStr">
        <is>
          <t>Chandrashekar Patidar</t>
        </is>
      </c>
      <c r="H596" s="3" t="n">
        <v>7879764773</v>
      </c>
      <c r="I596" s="11" t="inlineStr">
        <is>
          <t>PE26032601</t>
        </is>
      </c>
      <c r="J596" s="3" t="inlineStr">
        <is>
          <t>Module Diode Failure</t>
        </is>
      </c>
      <c r="K596" s="3" t="inlineStr">
        <is>
          <t>Sadla</t>
        </is>
      </c>
      <c r="L596" s="3" t="inlineStr">
        <is>
          <t>Gujarat</t>
        </is>
      </c>
      <c r="M596" s="9" t="inlineStr">
        <is>
          <t>NS</t>
        </is>
      </c>
      <c r="N596" s="3" t="inlineStr">
        <is>
          <t>Cold Soldering</t>
        </is>
      </c>
      <c r="O596" s="3" t="n">
        <v>570</v>
      </c>
      <c r="P596" s="9" t="inlineStr">
        <is>
          <t>NSMI24050048461</t>
        </is>
      </c>
      <c r="Q596" s="53">
        <f>MID(P596,5,2)</f>
        <v/>
      </c>
      <c r="R596" s="53">
        <f>MID(P596,7,2)</f>
        <v/>
      </c>
      <c r="S596" s="3" t="inlineStr">
        <is>
          <t>G2G</t>
        </is>
      </c>
      <c r="T596" s="3" t="inlineStr">
        <is>
          <t>P4</t>
        </is>
      </c>
      <c r="U596" s="3" t="inlineStr">
        <is>
          <t>N JB Cold Soldering</t>
        </is>
      </c>
      <c r="V596" s="3" t="inlineStr">
        <is>
          <t>Soldering</t>
        </is>
      </c>
      <c r="W596" s="3" t="inlineStr">
        <is>
          <t>Repair</t>
        </is>
      </c>
      <c r="X596" s="18" t="n">
        <v>46151</v>
      </c>
      <c r="Y596" s="73">
        <f>IF(X596="","",X596-A596)</f>
        <v/>
      </c>
      <c r="Z596" s="18" t="n">
        <v>46151</v>
      </c>
      <c r="AA596" s="15" t="n"/>
      <c r="AB596" s="15" t="n"/>
      <c r="AF596">
        <f>IF(AND($F596="Closed",$X596&gt;=DATE(2026,5,1),$X596&lt;=DATE(2026,5,31)),"Closed in May","Other")</f>
        <v/>
      </c>
    </row>
    <row r="597">
      <c r="A597" s="6" t="n">
        <v>46107</v>
      </c>
      <c r="B597" s="3" t="n">
        <v>2026</v>
      </c>
      <c r="C597" s="3" t="inlineStr">
        <is>
          <t>Blupine Energy</t>
        </is>
      </c>
      <c r="D597" s="3" t="inlineStr">
        <is>
          <t>Utility and C&amp;I</t>
        </is>
      </c>
      <c r="E597" s="3" t="n"/>
      <c r="F597" s="3" t="inlineStr">
        <is>
          <t>Closed</t>
        </is>
      </c>
      <c r="G597" s="3" t="inlineStr">
        <is>
          <t>Chandrashekar Patidar</t>
        </is>
      </c>
      <c r="H597" s="3" t="n">
        <v>7879764773</v>
      </c>
      <c r="I597" s="11" t="inlineStr">
        <is>
          <t>PE26032601</t>
        </is>
      </c>
      <c r="J597" s="3" t="inlineStr">
        <is>
          <t>Module Diode Failure</t>
        </is>
      </c>
      <c r="K597" s="3" t="inlineStr">
        <is>
          <t>Sadla</t>
        </is>
      </c>
      <c r="L597" s="3" t="inlineStr">
        <is>
          <t>Gujarat</t>
        </is>
      </c>
      <c r="M597" s="9" t="inlineStr">
        <is>
          <t>NS</t>
        </is>
      </c>
      <c r="N597" s="3" t="inlineStr">
        <is>
          <t>Cold Soldering</t>
        </is>
      </c>
      <c r="O597" s="3" t="n">
        <v>570</v>
      </c>
      <c r="P597" s="9" t="inlineStr">
        <is>
          <t>NSMI24050046176</t>
        </is>
      </c>
      <c r="Q597" s="53">
        <f>MID(P597,5,2)</f>
        <v/>
      </c>
      <c r="R597" s="53">
        <f>MID(P597,7,2)</f>
        <v/>
      </c>
      <c r="S597" s="3" t="inlineStr">
        <is>
          <t>G2G</t>
        </is>
      </c>
      <c r="T597" s="3" t="inlineStr">
        <is>
          <t>P4</t>
        </is>
      </c>
      <c r="U597" s="3" t="inlineStr">
        <is>
          <t>N JB Cold Soldering</t>
        </is>
      </c>
      <c r="V597" s="3" t="inlineStr">
        <is>
          <t>Soldering</t>
        </is>
      </c>
      <c r="W597" s="3" t="inlineStr">
        <is>
          <t>Repair</t>
        </is>
      </c>
      <c r="X597" s="18" t="n">
        <v>46151</v>
      </c>
      <c r="Y597" s="73">
        <f>IF(X597="","",X597-A597)</f>
        <v/>
      </c>
      <c r="Z597" s="18" t="n">
        <v>46151</v>
      </c>
      <c r="AA597" s="15" t="n"/>
      <c r="AB597" s="15" t="n"/>
      <c r="AF597">
        <f>IF(AND($F597="Closed",$X597&gt;=DATE(2026,5,1),$X597&lt;=DATE(2026,5,31)),"Closed in May","Other")</f>
        <v/>
      </c>
    </row>
    <row r="598">
      <c r="A598" s="6" t="n">
        <v>46107</v>
      </c>
      <c r="B598" s="3" t="n">
        <v>2026</v>
      </c>
      <c r="C598" s="3" t="inlineStr">
        <is>
          <t>Blupine Energy</t>
        </is>
      </c>
      <c r="D598" s="3" t="inlineStr">
        <is>
          <t>Utility and C&amp;I</t>
        </is>
      </c>
      <c r="E598" s="3" t="n"/>
      <c r="F598" s="3" t="inlineStr">
        <is>
          <t>Closed</t>
        </is>
      </c>
      <c r="G598" s="3" t="inlineStr">
        <is>
          <t>Chandrashekar Patidar</t>
        </is>
      </c>
      <c r="H598" s="3" t="n">
        <v>7879764773</v>
      </c>
      <c r="I598" s="11" t="inlineStr">
        <is>
          <t>PE26032601</t>
        </is>
      </c>
      <c r="J598" s="3" t="inlineStr">
        <is>
          <t>Module Diode Failure</t>
        </is>
      </c>
      <c r="K598" s="3" t="inlineStr">
        <is>
          <t>Sadla</t>
        </is>
      </c>
      <c r="L598" s="3" t="inlineStr">
        <is>
          <t>Gujarat</t>
        </is>
      </c>
      <c r="M598" s="9" t="inlineStr">
        <is>
          <t>NS</t>
        </is>
      </c>
      <c r="N598" s="3" t="inlineStr">
        <is>
          <t>Cold Soldering</t>
        </is>
      </c>
      <c r="O598" s="3" t="n">
        <v>570</v>
      </c>
      <c r="P598" s="9" t="inlineStr">
        <is>
          <t>NSMI24050046353</t>
        </is>
      </c>
      <c r="Q598" s="53">
        <f>MID(P598,5,2)</f>
        <v/>
      </c>
      <c r="R598" s="53">
        <f>MID(P598,7,2)</f>
        <v/>
      </c>
      <c r="S598" s="3" t="inlineStr">
        <is>
          <t>G2G</t>
        </is>
      </c>
      <c r="T598" s="3" t="inlineStr">
        <is>
          <t>P4</t>
        </is>
      </c>
      <c r="U598" s="3" t="inlineStr">
        <is>
          <t>N JB Cold Soldering</t>
        </is>
      </c>
      <c r="V598" s="3" t="inlineStr">
        <is>
          <t>Soldering</t>
        </is>
      </c>
      <c r="W598" s="3" t="inlineStr">
        <is>
          <t>Repair</t>
        </is>
      </c>
      <c r="X598" s="18" t="n">
        <v>46151</v>
      </c>
      <c r="Y598" s="73">
        <f>IF(X598="","",X598-A598)</f>
        <v/>
      </c>
      <c r="Z598" s="18" t="n">
        <v>46151</v>
      </c>
      <c r="AA598" s="15" t="n"/>
      <c r="AB598" s="15" t="n"/>
      <c r="AF598">
        <f>IF(AND($F598="Closed",$X598&gt;=DATE(2026,5,1),$X598&lt;=DATE(2026,5,31)),"Closed in May","Other")</f>
        <v/>
      </c>
    </row>
    <row r="599">
      <c r="A599" s="6" t="n">
        <v>46107</v>
      </c>
      <c r="B599" s="3" t="n">
        <v>2026</v>
      </c>
      <c r="C599" s="3" t="inlineStr">
        <is>
          <t>Blupine Energy</t>
        </is>
      </c>
      <c r="D599" s="3" t="inlineStr">
        <is>
          <t>Utility and C&amp;I</t>
        </is>
      </c>
      <c r="E599" s="3" t="n"/>
      <c r="F599" s="3" t="inlineStr">
        <is>
          <t>Closed</t>
        </is>
      </c>
      <c r="G599" s="3" t="inlineStr">
        <is>
          <t>Chandrashekar Patidar</t>
        </is>
      </c>
      <c r="H599" s="3" t="n">
        <v>7879764773</v>
      </c>
      <c r="I599" s="11" t="inlineStr">
        <is>
          <t>PE26032601</t>
        </is>
      </c>
      <c r="J599" s="3" t="inlineStr">
        <is>
          <t>Module Diode Failure</t>
        </is>
      </c>
      <c r="K599" s="3" t="inlineStr">
        <is>
          <t>Sadla</t>
        </is>
      </c>
      <c r="L599" s="3" t="inlineStr">
        <is>
          <t>Gujarat</t>
        </is>
      </c>
      <c r="M599" s="9" t="inlineStr">
        <is>
          <t>NS</t>
        </is>
      </c>
      <c r="N599" s="3" t="inlineStr">
        <is>
          <t>Cold Soldering</t>
        </is>
      </c>
      <c r="O599" s="3" t="n">
        <v>570</v>
      </c>
      <c r="P599" s="9" t="inlineStr">
        <is>
          <t>NSMI24050044906</t>
        </is>
      </c>
      <c r="Q599" s="53">
        <f>MID(P599,5,2)</f>
        <v/>
      </c>
      <c r="R599" s="53">
        <f>MID(P599,7,2)</f>
        <v/>
      </c>
      <c r="S599" s="3" t="inlineStr">
        <is>
          <t>G2G</t>
        </is>
      </c>
      <c r="T599" s="3" t="inlineStr">
        <is>
          <t>P4</t>
        </is>
      </c>
      <c r="U599" s="3" t="inlineStr">
        <is>
          <t>N JB Cold Soldering</t>
        </is>
      </c>
      <c r="V599" s="3" t="inlineStr">
        <is>
          <t>Soldering</t>
        </is>
      </c>
      <c r="W599" s="3" t="inlineStr">
        <is>
          <t>Repair</t>
        </is>
      </c>
      <c r="X599" s="18" t="n">
        <v>46151</v>
      </c>
      <c r="Y599" s="73">
        <f>IF(X599="","",X599-A599)</f>
        <v/>
      </c>
      <c r="Z599" s="18" t="n">
        <v>46151</v>
      </c>
      <c r="AA599" s="15" t="n"/>
      <c r="AB599" s="15" t="n"/>
      <c r="AF599">
        <f>IF(AND($F599="Closed",$X599&gt;=DATE(2026,5,1),$X599&lt;=DATE(2026,5,31)),"Closed in May","Other")</f>
        <v/>
      </c>
    </row>
    <row r="600">
      <c r="A600" s="6" t="n">
        <v>46107</v>
      </c>
      <c r="B600" s="3" t="n">
        <v>2026</v>
      </c>
      <c r="C600" s="3" t="inlineStr">
        <is>
          <t>Blupine Energy</t>
        </is>
      </c>
      <c r="D600" s="3" t="inlineStr">
        <is>
          <t>Utility and C&amp;I</t>
        </is>
      </c>
      <c r="E600" s="3" t="n"/>
      <c r="F600" s="3" t="inlineStr">
        <is>
          <t>Closed</t>
        </is>
      </c>
      <c r="G600" s="3" t="inlineStr">
        <is>
          <t>Chandrashekar Patidar</t>
        </is>
      </c>
      <c r="H600" s="3" t="n">
        <v>7879764773</v>
      </c>
      <c r="I600" s="11" t="inlineStr">
        <is>
          <t>PE26032601</t>
        </is>
      </c>
      <c r="J600" s="3" t="inlineStr">
        <is>
          <t>Module Diode Failure</t>
        </is>
      </c>
      <c r="K600" s="3" t="inlineStr">
        <is>
          <t>Sadla</t>
        </is>
      </c>
      <c r="L600" s="3" t="inlineStr">
        <is>
          <t>Gujarat</t>
        </is>
      </c>
      <c r="M600" s="9" t="inlineStr">
        <is>
          <t>NS</t>
        </is>
      </c>
      <c r="N600" s="3" t="inlineStr">
        <is>
          <t>Cold Soldering</t>
        </is>
      </c>
      <c r="O600" s="3" t="n">
        <v>570</v>
      </c>
      <c r="P600" s="9" t="inlineStr">
        <is>
          <t>NSMI24050047157</t>
        </is>
      </c>
      <c r="Q600" s="53">
        <f>MID(P600,5,2)</f>
        <v/>
      </c>
      <c r="R600" s="53">
        <f>MID(P600,7,2)</f>
        <v/>
      </c>
      <c r="S600" s="3" t="inlineStr">
        <is>
          <t>G2G</t>
        </is>
      </c>
      <c r="T600" s="3" t="inlineStr">
        <is>
          <t>P4</t>
        </is>
      </c>
      <c r="U600" s="3" t="inlineStr">
        <is>
          <t>N JB Cold Soldering</t>
        </is>
      </c>
      <c r="V600" s="3" t="inlineStr">
        <is>
          <t>Soldering</t>
        </is>
      </c>
      <c r="W600" s="3" t="inlineStr">
        <is>
          <t>Repair</t>
        </is>
      </c>
      <c r="X600" s="18" t="n">
        <v>46151</v>
      </c>
      <c r="Y600" s="73">
        <f>IF(X600="","",X600-A600)</f>
        <v/>
      </c>
      <c r="Z600" s="18" t="n">
        <v>46151</v>
      </c>
      <c r="AA600" s="15" t="n"/>
      <c r="AB600" s="15" t="n"/>
      <c r="AF600">
        <f>IF(AND($F600="Closed",$X600&gt;=DATE(2026,5,1),$X600&lt;=DATE(2026,5,31)),"Closed in May","Other")</f>
        <v/>
      </c>
    </row>
    <row r="601">
      <c r="A601" s="6" t="n">
        <v>46107</v>
      </c>
      <c r="B601" s="3" t="n">
        <v>2026</v>
      </c>
      <c r="C601" s="3" t="inlineStr">
        <is>
          <t>Blupine Energy</t>
        </is>
      </c>
      <c r="D601" s="3" t="inlineStr">
        <is>
          <t>Utility and C&amp;I</t>
        </is>
      </c>
      <c r="E601" s="3" t="n"/>
      <c r="F601" s="3" t="inlineStr">
        <is>
          <t>Closed</t>
        </is>
      </c>
      <c r="G601" s="3" t="inlineStr">
        <is>
          <t>Chandrashekar Patidar</t>
        </is>
      </c>
      <c r="H601" s="3" t="n">
        <v>7879764773</v>
      </c>
      <c r="I601" s="11" t="inlineStr">
        <is>
          <t>PE26032601</t>
        </is>
      </c>
      <c r="J601" s="3" t="inlineStr">
        <is>
          <t>Module Diode Failure</t>
        </is>
      </c>
      <c r="K601" s="3" t="inlineStr">
        <is>
          <t>Sadla</t>
        </is>
      </c>
      <c r="L601" s="3" t="inlineStr">
        <is>
          <t>Gujarat</t>
        </is>
      </c>
      <c r="M601" s="9" t="inlineStr">
        <is>
          <t>NS</t>
        </is>
      </c>
      <c r="N601" s="3" t="inlineStr">
        <is>
          <t>Cold Soldering</t>
        </is>
      </c>
      <c r="O601" s="3" t="n">
        <v>570</v>
      </c>
      <c r="P601" s="9" t="inlineStr">
        <is>
          <t>NSMI24050047842</t>
        </is>
      </c>
      <c r="Q601" s="53">
        <f>MID(P601,5,2)</f>
        <v/>
      </c>
      <c r="R601" s="53">
        <f>MID(P601,7,2)</f>
        <v/>
      </c>
      <c r="S601" s="3" t="inlineStr">
        <is>
          <t>G2G</t>
        </is>
      </c>
      <c r="T601" s="3" t="inlineStr">
        <is>
          <t>P4</t>
        </is>
      </c>
      <c r="U601" s="3" t="inlineStr">
        <is>
          <t>N JB Cold Soldering</t>
        </is>
      </c>
      <c r="V601" s="3" t="inlineStr">
        <is>
          <t>Soldering</t>
        </is>
      </c>
      <c r="W601" s="3" t="inlineStr">
        <is>
          <t>Repair</t>
        </is>
      </c>
      <c r="X601" s="18" t="n">
        <v>46151</v>
      </c>
      <c r="Y601" s="73">
        <f>IF(X601="","",X601-A601)</f>
        <v/>
      </c>
      <c r="Z601" s="18" t="n">
        <v>46151</v>
      </c>
      <c r="AA601" s="15" t="n"/>
      <c r="AB601" s="15" t="n"/>
      <c r="AF601">
        <f>IF(AND($F601="Closed",$X601&gt;=DATE(2026,5,1),$X601&lt;=DATE(2026,5,31)),"Closed in May","Other")</f>
        <v/>
      </c>
    </row>
    <row r="602">
      <c r="A602" s="6" t="n">
        <v>46107</v>
      </c>
      <c r="B602" s="3" t="n">
        <v>2026</v>
      </c>
      <c r="C602" s="3" t="inlineStr">
        <is>
          <t>Blupine Energy</t>
        </is>
      </c>
      <c r="D602" s="3" t="inlineStr">
        <is>
          <t>Utility and C&amp;I</t>
        </is>
      </c>
      <c r="E602" s="3" t="n"/>
      <c r="F602" s="3" t="inlineStr">
        <is>
          <t>Closed</t>
        </is>
      </c>
      <c r="G602" s="3" t="inlineStr">
        <is>
          <t>Chandrashekar Patidar</t>
        </is>
      </c>
      <c r="H602" s="3" t="n">
        <v>7879764773</v>
      </c>
      <c r="I602" s="11" t="inlineStr">
        <is>
          <t>PE26032601</t>
        </is>
      </c>
      <c r="J602" s="3" t="inlineStr">
        <is>
          <t>Module Diode Failure</t>
        </is>
      </c>
      <c r="K602" s="3" t="inlineStr">
        <is>
          <t>Sadla</t>
        </is>
      </c>
      <c r="L602" s="3" t="inlineStr">
        <is>
          <t>Gujarat</t>
        </is>
      </c>
      <c r="M602" s="9" t="inlineStr">
        <is>
          <t>NS</t>
        </is>
      </c>
      <c r="N602" s="3" t="inlineStr">
        <is>
          <t>Cold Soldering</t>
        </is>
      </c>
      <c r="O602" s="3" t="n">
        <v>570</v>
      </c>
      <c r="P602" s="9" t="inlineStr">
        <is>
          <t>NSMI24060085589</t>
        </is>
      </c>
      <c r="Q602" s="53">
        <f>MID(P602,5,2)</f>
        <v/>
      </c>
      <c r="R602" s="53">
        <f>MID(P602,7,2)</f>
        <v/>
      </c>
      <c r="S602" s="3" t="inlineStr">
        <is>
          <t>G2G</t>
        </is>
      </c>
      <c r="T602" s="3" t="inlineStr">
        <is>
          <t>P4</t>
        </is>
      </c>
      <c r="U602" s="3" t="inlineStr">
        <is>
          <t>N JB Cold Soldering</t>
        </is>
      </c>
      <c r="V602" s="3" t="inlineStr">
        <is>
          <t>Soldering</t>
        </is>
      </c>
      <c r="W602" s="3" t="inlineStr">
        <is>
          <t>Repair</t>
        </is>
      </c>
      <c r="X602" s="18" t="n">
        <v>46151</v>
      </c>
      <c r="Y602" s="73">
        <f>IF(X602="","",X602-A602)</f>
        <v/>
      </c>
      <c r="Z602" s="18" t="n">
        <v>46151</v>
      </c>
      <c r="AA602" s="15" t="n"/>
      <c r="AB602" s="15" t="n"/>
      <c r="AF602">
        <f>IF(AND($F602="Closed",$X602&gt;=DATE(2026,5,1),$X602&lt;=DATE(2026,5,31)),"Closed in May","Other")</f>
        <v/>
      </c>
    </row>
    <row r="603">
      <c r="A603" s="6" t="n">
        <v>46107</v>
      </c>
      <c r="B603" s="3" t="n">
        <v>2026</v>
      </c>
      <c r="C603" s="3" t="inlineStr">
        <is>
          <t>Blupine Energy</t>
        </is>
      </c>
      <c r="D603" s="3" t="inlineStr">
        <is>
          <t>Utility and C&amp;I</t>
        </is>
      </c>
      <c r="E603" s="3" t="n"/>
      <c r="F603" s="3" t="inlineStr">
        <is>
          <t>Closed</t>
        </is>
      </c>
      <c r="G603" s="3" t="inlineStr">
        <is>
          <t>Chandrashekar Patidar</t>
        </is>
      </c>
      <c r="H603" s="3" t="n">
        <v>7879764773</v>
      </c>
      <c r="I603" s="11" t="inlineStr">
        <is>
          <t>PE26032601</t>
        </is>
      </c>
      <c r="J603" s="3" t="inlineStr">
        <is>
          <t>Module Diode Failure</t>
        </is>
      </c>
      <c r="K603" s="3" t="inlineStr">
        <is>
          <t>Sadla</t>
        </is>
      </c>
      <c r="L603" s="3" t="inlineStr">
        <is>
          <t>Gujarat</t>
        </is>
      </c>
      <c r="M603" s="9" t="inlineStr">
        <is>
          <t xml:space="preserve">NS </t>
        </is>
      </c>
      <c r="N603" s="3" t="inlineStr">
        <is>
          <t>Cold Soldering</t>
        </is>
      </c>
      <c r="O603" s="3" t="n">
        <v>570</v>
      </c>
      <c r="P603" s="9" t="inlineStr">
        <is>
          <t>NSMI24060092391</t>
        </is>
      </c>
      <c r="Q603" s="53">
        <f>MID(P603,5,2)</f>
        <v/>
      </c>
      <c r="R603" s="53">
        <f>MID(P603,7,2)</f>
        <v/>
      </c>
      <c r="S603" s="3" t="inlineStr">
        <is>
          <t>G2G</t>
        </is>
      </c>
      <c r="T603" s="3" t="inlineStr">
        <is>
          <t>P4</t>
        </is>
      </c>
      <c r="U603" s="3" t="inlineStr">
        <is>
          <t>N JB Cold Soldering</t>
        </is>
      </c>
      <c r="V603" s="3" t="inlineStr">
        <is>
          <t>Soldering</t>
        </is>
      </c>
      <c r="W603" s="3" t="inlineStr">
        <is>
          <t>Repair</t>
        </is>
      </c>
      <c r="X603" s="18" t="n">
        <v>46151</v>
      </c>
      <c r="Y603" s="73">
        <f>IF(X603="","",X603-A603)</f>
        <v/>
      </c>
      <c r="Z603" s="18" t="n">
        <v>46151</v>
      </c>
      <c r="AA603" s="15" t="n"/>
      <c r="AB603" s="15" t="n"/>
      <c r="AF603">
        <f>IF(AND($F603="Closed",$X603&gt;=DATE(2026,5,1),$X603&lt;=DATE(2026,5,31)),"Closed in May","Other")</f>
        <v/>
      </c>
    </row>
    <row r="604">
      <c r="A604" s="6" t="n">
        <v>46107</v>
      </c>
      <c r="B604" s="3" t="n">
        <v>2026</v>
      </c>
      <c r="C604" s="3" t="inlineStr">
        <is>
          <t>Blupine Energy</t>
        </is>
      </c>
      <c r="D604" s="3" t="inlineStr">
        <is>
          <t>Utility and C&amp;I</t>
        </is>
      </c>
      <c r="E604" s="3" t="n"/>
      <c r="F604" s="3" t="inlineStr">
        <is>
          <t>Closed</t>
        </is>
      </c>
      <c r="G604" s="3" t="inlineStr">
        <is>
          <t>Chandrashekar Patidar</t>
        </is>
      </c>
      <c r="H604" s="3" t="n">
        <v>7879764773</v>
      </c>
      <c r="I604" s="11" t="inlineStr">
        <is>
          <t>PE26032601</t>
        </is>
      </c>
      <c r="J604" s="3" t="inlineStr">
        <is>
          <t>Module Diode Failure</t>
        </is>
      </c>
      <c r="K604" s="3" t="inlineStr">
        <is>
          <t>Sadla</t>
        </is>
      </c>
      <c r="L604" s="3" t="inlineStr">
        <is>
          <t>Gujarat</t>
        </is>
      </c>
      <c r="M604" s="9" t="inlineStr">
        <is>
          <t>NS</t>
        </is>
      </c>
      <c r="N604" s="3" t="inlineStr">
        <is>
          <t>Cold Soldering</t>
        </is>
      </c>
      <c r="O604" s="3" t="n">
        <v>570</v>
      </c>
      <c r="P604" s="9" t="inlineStr">
        <is>
          <t>NSMI24060113928</t>
        </is>
      </c>
      <c r="Q604" s="53">
        <f>MID(P604,5,2)</f>
        <v/>
      </c>
      <c r="R604" s="53">
        <f>MID(P604,7,2)</f>
        <v/>
      </c>
      <c r="S604" s="3" t="inlineStr">
        <is>
          <t>G2G</t>
        </is>
      </c>
      <c r="T604" s="3" t="inlineStr">
        <is>
          <t>P4</t>
        </is>
      </c>
      <c r="U604" s="3" t="inlineStr">
        <is>
          <t>N JB Cold Soldering</t>
        </is>
      </c>
      <c r="V604" s="3" t="inlineStr">
        <is>
          <t>Soldering</t>
        </is>
      </c>
      <c r="W604" s="3" t="inlineStr">
        <is>
          <t>Repair</t>
        </is>
      </c>
      <c r="X604" s="18" t="n">
        <v>46151</v>
      </c>
      <c r="Y604" s="73">
        <f>IF(X604="","",X604-A604)</f>
        <v/>
      </c>
      <c r="Z604" s="18" t="n">
        <v>46151</v>
      </c>
      <c r="AA604" s="15" t="n"/>
      <c r="AB604" s="15" t="n"/>
      <c r="AF604">
        <f>IF(AND($F604="Closed",$X604&gt;=DATE(2026,5,1),$X604&lt;=DATE(2026,5,31)),"Closed in May","Other")</f>
        <v/>
      </c>
    </row>
    <row r="605">
      <c r="A605" s="6" t="n">
        <v>46107</v>
      </c>
      <c r="B605" s="3" t="n">
        <v>2026</v>
      </c>
      <c r="C605" s="3" t="inlineStr">
        <is>
          <t>Blupine Energy</t>
        </is>
      </c>
      <c r="D605" s="3" t="inlineStr">
        <is>
          <t>Utility and C&amp;I</t>
        </is>
      </c>
      <c r="E605" s="3" t="n"/>
      <c r="F605" s="3" t="inlineStr">
        <is>
          <t>Closed</t>
        </is>
      </c>
      <c r="G605" s="3" t="inlineStr">
        <is>
          <t>Chandrashekar Patidar</t>
        </is>
      </c>
      <c r="H605" s="3" t="n">
        <v>7879764773</v>
      </c>
      <c r="I605" s="11" t="inlineStr">
        <is>
          <t>PE26032601</t>
        </is>
      </c>
      <c r="J605" s="3" t="inlineStr">
        <is>
          <t>Module Diode Failure</t>
        </is>
      </c>
      <c r="K605" s="3" t="inlineStr">
        <is>
          <t>Sadla</t>
        </is>
      </c>
      <c r="L605" s="3" t="inlineStr">
        <is>
          <t>Gujarat</t>
        </is>
      </c>
      <c r="M605" s="9" t="inlineStr">
        <is>
          <t>NS</t>
        </is>
      </c>
      <c r="N605" s="3" t="inlineStr">
        <is>
          <t>Cold Soldering</t>
        </is>
      </c>
      <c r="O605" s="3" t="n">
        <v>570</v>
      </c>
      <c r="P605" s="9" t="inlineStr">
        <is>
          <t>NSMI24060114016</t>
        </is>
      </c>
      <c r="Q605" s="53">
        <f>MID(P605,5,2)</f>
        <v/>
      </c>
      <c r="R605" s="53">
        <f>MID(P605,7,2)</f>
        <v/>
      </c>
      <c r="S605" s="3" t="inlineStr">
        <is>
          <t>G2G</t>
        </is>
      </c>
      <c r="T605" s="3" t="inlineStr">
        <is>
          <t>P4</t>
        </is>
      </c>
      <c r="U605" s="3" t="inlineStr">
        <is>
          <t>N JB Cold Soldering</t>
        </is>
      </c>
      <c r="V605" s="3" t="inlineStr">
        <is>
          <t>Soldering</t>
        </is>
      </c>
      <c r="W605" s="3" t="inlineStr">
        <is>
          <t>Repair</t>
        </is>
      </c>
      <c r="X605" s="18" t="n">
        <v>46151</v>
      </c>
      <c r="Y605" s="73">
        <f>IF(X605="","",X605-A605)</f>
        <v/>
      </c>
      <c r="Z605" s="18" t="n">
        <v>46151</v>
      </c>
      <c r="AA605" s="15" t="n"/>
      <c r="AB605" s="15" t="n"/>
      <c r="AF605">
        <f>IF(AND($F605="Closed",$X605&gt;=DATE(2026,5,1),$X605&lt;=DATE(2026,5,31)),"Closed in May","Other")</f>
        <v/>
      </c>
    </row>
    <row r="606">
      <c r="A606" s="6" t="n">
        <v>46107</v>
      </c>
      <c r="B606" s="3" t="n">
        <v>2026</v>
      </c>
      <c r="C606" s="3" t="inlineStr">
        <is>
          <t>Blupine Energy</t>
        </is>
      </c>
      <c r="D606" s="3" t="inlineStr">
        <is>
          <t>Utility and C&amp;I</t>
        </is>
      </c>
      <c r="E606" s="3" t="n"/>
      <c r="F606" s="3" t="inlineStr">
        <is>
          <t>Closed</t>
        </is>
      </c>
      <c r="G606" s="3" t="inlineStr">
        <is>
          <t>Chandrashekar Patidar</t>
        </is>
      </c>
      <c r="H606" s="3" t="n">
        <v>7879764773</v>
      </c>
      <c r="I606" s="11" t="inlineStr">
        <is>
          <t>PE26032601</t>
        </is>
      </c>
      <c r="J606" s="3" t="inlineStr">
        <is>
          <t>Module Diode Failure</t>
        </is>
      </c>
      <c r="K606" s="3" t="inlineStr">
        <is>
          <t>Sadla</t>
        </is>
      </c>
      <c r="L606" s="3" t="inlineStr">
        <is>
          <t>Gujarat</t>
        </is>
      </c>
      <c r="M606" s="9" t="inlineStr">
        <is>
          <t>NR</t>
        </is>
      </c>
      <c r="N606" s="3" t="inlineStr">
        <is>
          <t>JB Issue</t>
        </is>
      </c>
      <c r="O606" s="3" t="n">
        <v>570</v>
      </c>
      <c r="P606" s="9" t="inlineStr">
        <is>
          <t>NSMI24060079401</t>
        </is>
      </c>
      <c r="Q606" s="53">
        <f>MID(P606,5,2)</f>
        <v/>
      </c>
      <c r="R606" s="53">
        <f>MID(P606,7,2)</f>
        <v/>
      </c>
      <c r="S606" s="3" t="inlineStr">
        <is>
          <t>G2G</t>
        </is>
      </c>
      <c r="T606" s="3" t="inlineStr">
        <is>
          <t>P4</t>
        </is>
      </c>
      <c r="U606" s="3" t="inlineStr">
        <is>
          <t>N JB Issue</t>
        </is>
      </c>
      <c r="V606" s="3" t="inlineStr">
        <is>
          <t>JB Changed</t>
        </is>
      </c>
      <c r="W606" s="3" t="inlineStr">
        <is>
          <t>Repair</t>
        </is>
      </c>
      <c r="X606" s="18" t="n">
        <v>46151</v>
      </c>
      <c r="Y606" s="73">
        <f>IF(X606="","",X606-A606)</f>
        <v/>
      </c>
      <c r="Z606" s="18" t="n">
        <v>46151</v>
      </c>
      <c r="AA606" s="15" t="n"/>
      <c r="AB606" s="15" t="n"/>
      <c r="AF606">
        <f>IF(AND($F606="Closed",$X606&gt;=DATE(2026,5,1),$X606&lt;=DATE(2026,5,31)),"Closed in May","Other")</f>
        <v/>
      </c>
    </row>
    <row r="607">
      <c r="A607" s="6" t="n">
        <v>46107</v>
      </c>
      <c r="B607" s="3" t="n">
        <v>2026</v>
      </c>
      <c r="C607" s="3" t="inlineStr">
        <is>
          <t>Blupine Energy</t>
        </is>
      </c>
      <c r="D607" s="3" t="inlineStr">
        <is>
          <t>Utility and C&amp;I</t>
        </is>
      </c>
      <c r="E607" s="3" t="n"/>
      <c r="F607" s="3" t="inlineStr">
        <is>
          <t>Closed</t>
        </is>
      </c>
      <c r="G607" s="3" t="inlineStr">
        <is>
          <t>Chandrashekar Patidar</t>
        </is>
      </c>
      <c r="H607" s="3" t="n">
        <v>7879764773</v>
      </c>
      <c r="I607" s="11" t="inlineStr">
        <is>
          <t>PE26032601</t>
        </is>
      </c>
      <c r="J607" s="3" t="inlineStr">
        <is>
          <t>Module Diode Failure</t>
        </is>
      </c>
      <c r="K607" s="3" t="inlineStr">
        <is>
          <t>Sadla</t>
        </is>
      </c>
      <c r="L607" s="3" t="inlineStr">
        <is>
          <t>Gujarat</t>
        </is>
      </c>
      <c r="M607" s="9" t="inlineStr">
        <is>
          <t>NS</t>
        </is>
      </c>
      <c r="N607" s="3" t="inlineStr">
        <is>
          <t>Cold Soldering</t>
        </is>
      </c>
      <c r="O607" s="3" t="n">
        <v>570</v>
      </c>
      <c r="P607" s="9" t="inlineStr">
        <is>
          <t>NSMI24060079407</t>
        </is>
      </c>
      <c r="Q607" s="53">
        <f>MID(P607,5,2)</f>
        <v/>
      </c>
      <c r="R607" s="53">
        <f>MID(P607,7,2)</f>
        <v/>
      </c>
      <c r="S607" s="3" t="inlineStr">
        <is>
          <t>G2G</t>
        </is>
      </c>
      <c r="T607" s="3" t="inlineStr">
        <is>
          <t>P4</t>
        </is>
      </c>
      <c r="U607" s="3" t="inlineStr">
        <is>
          <t>N JB Cold Soldering</t>
        </is>
      </c>
      <c r="V607" s="3" t="inlineStr">
        <is>
          <t>Soldering</t>
        </is>
      </c>
      <c r="W607" s="3" t="inlineStr">
        <is>
          <t>Repair</t>
        </is>
      </c>
      <c r="X607" s="18" t="n">
        <v>46151</v>
      </c>
      <c r="Y607" s="73">
        <f>IF(X607="","",X607-A607)</f>
        <v/>
      </c>
      <c r="Z607" s="18" t="n">
        <v>46151</v>
      </c>
      <c r="AA607" s="15" t="n"/>
      <c r="AB607" s="15" t="n"/>
      <c r="AF607">
        <f>IF(AND($F607="Closed",$X607&gt;=DATE(2026,5,1),$X607&lt;=DATE(2026,5,31)),"Closed in May","Other")</f>
        <v/>
      </c>
    </row>
    <row r="608">
      <c r="A608" s="6" t="n">
        <v>46107</v>
      </c>
      <c r="B608" s="3" t="n">
        <v>2026</v>
      </c>
      <c r="C608" s="3" t="inlineStr">
        <is>
          <t>Blupine Energy</t>
        </is>
      </c>
      <c r="D608" s="3" t="inlineStr">
        <is>
          <t>Utility and C&amp;I</t>
        </is>
      </c>
      <c r="E608" s="3" t="n"/>
      <c r="F608" s="3" t="inlineStr">
        <is>
          <t>Closed</t>
        </is>
      </c>
      <c r="G608" s="3" t="inlineStr">
        <is>
          <t>Chandrashekar Patidar</t>
        </is>
      </c>
      <c r="H608" s="3" t="n">
        <v>7879764773</v>
      </c>
      <c r="I608" s="11" t="inlineStr">
        <is>
          <t>PE26032601</t>
        </is>
      </c>
      <c r="J608" s="3" t="inlineStr">
        <is>
          <t>Module Diode Failure</t>
        </is>
      </c>
      <c r="K608" s="3" t="inlineStr">
        <is>
          <t>Sadla</t>
        </is>
      </c>
      <c r="L608" s="3" t="inlineStr">
        <is>
          <t>Gujarat</t>
        </is>
      </c>
      <c r="M608" s="9" t="inlineStr">
        <is>
          <t xml:space="preserve">NS </t>
        </is>
      </c>
      <c r="N608" s="3" t="inlineStr">
        <is>
          <t>Cold Soldering</t>
        </is>
      </c>
      <c r="O608" s="3" t="n">
        <v>570</v>
      </c>
      <c r="P608" s="9" t="inlineStr">
        <is>
          <t>NSMI24060077191</t>
        </is>
      </c>
      <c r="Q608" s="53">
        <f>MID(P608,5,2)</f>
        <v/>
      </c>
      <c r="R608" s="53">
        <f>MID(P608,7,2)</f>
        <v/>
      </c>
      <c r="S608" s="3" t="inlineStr">
        <is>
          <t>G2G</t>
        </is>
      </c>
      <c r="T608" s="3" t="inlineStr">
        <is>
          <t>P4</t>
        </is>
      </c>
      <c r="U608" s="3" t="inlineStr">
        <is>
          <t>N JB Cold Soldering</t>
        </is>
      </c>
      <c r="V608" s="3" t="inlineStr">
        <is>
          <t>Soldering</t>
        </is>
      </c>
      <c r="W608" s="3" t="inlineStr">
        <is>
          <t>Repair</t>
        </is>
      </c>
      <c r="X608" s="18" t="n">
        <v>46151</v>
      </c>
      <c r="Y608" s="73">
        <f>IF(X608="","",X608-A608)</f>
        <v/>
      </c>
      <c r="Z608" s="18" t="n">
        <v>46151</v>
      </c>
      <c r="AA608" s="15" t="n"/>
      <c r="AB608" s="15" t="n"/>
      <c r="AF608">
        <f>IF(AND($F608="Closed",$X608&gt;=DATE(2026,5,1),$X608&lt;=DATE(2026,5,31)),"Closed in May","Other")</f>
        <v/>
      </c>
    </row>
    <row r="609">
      <c r="A609" s="6" t="n">
        <v>46107</v>
      </c>
      <c r="B609" s="3" t="n">
        <v>2026</v>
      </c>
      <c r="C609" s="3" t="inlineStr">
        <is>
          <t>Blupine Energy</t>
        </is>
      </c>
      <c r="D609" s="3" t="inlineStr">
        <is>
          <t>Utility and C&amp;I</t>
        </is>
      </c>
      <c r="E609" s="3" t="n"/>
      <c r="F609" s="3" t="inlineStr">
        <is>
          <t>Closed</t>
        </is>
      </c>
      <c r="G609" s="3" t="inlineStr">
        <is>
          <t>Chandrashekar Patidar</t>
        </is>
      </c>
      <c r="H609" s="3" t="n">
        <v>7879764773</v>
      </c>
      <c r="I609" s="11" t="inlineStr">
        <is>
          <t>PE26032601</t>
        </is>
      </c>
      <c r="J609" s="3" t="inlineStr">
        <is>
          <t>Module Diode Failure</t>
        </is>
      </c>
      <c r="K609" s="3" t="inlineStr">
        <is>
          <t>Sadla</t>
        </is>
      </c>
      <c r="L609" s="3" t="inlineStr">
        <is>
          <t>Gujarat</t>
        </is>
      </c>
      <c r="M609" s="9" t="inlineStr">
        <is>
          <t xml:space="preserve">NS </t>
        </is>
      </c>
      <c r="N609" s="3" t="inlineStr">
        <is>
          <t>Cold Soldering</t>
        </is>
      </c>
      <c r="O609" s="3" t="n">
        <v>570</v>
      </c>
      <c r="P609" s="9" t="inlineStr">
        <is>
          <t>NSMI24060080226</t>
        </is>
      </c>
      <c r="Q609" s="53">
        <f>MID(P609,5,2)</f>
        <v/>
      </c>
      <c r="R609" s="53">
        <f>MID(P609,7,2)</f>
        <v/>
      </c>
      <c r="S609" s="3" t="inlineStr">
        <is>
          <t>G2G</t>
        </is>
      </c>
      <c r="T609" s="3" t="inlineStr">
        <is>
          <t>P4</t>
        </is>
      </c>
      <c r="U609" s="3" t="inlineStr">
        <is>
          <t>N JB Cold Soldering</t>
        </is>
      </c>
      <c r="V609" s="3" t="inlineStr">
        <is>
          <t>Soldering</t>
        </is>
      </c>
      <c r="W609" s="3" t="inlineStr">
        <is>
          <t>Repair</t>
        </is>
      </c>
      <c r="X609" s="18" t="n">
        <v>46151</v>
      </c>
      <c r="Y609" s="73">
        <f>IF(X609="","",X609-A609)</f>
        <v/>
      </c>
      <c r="Z609" s="18" t="n">
        <v>46151</v>
      </c>
      <c r="AA609" s="15" t="n"/>
      <c r="AB609" s="15" t="n"/>
      <c r="AF609">
        <f>IF(AND($F609="Closed",$X609&gt;=DATE(2026,5,1),$X609&lt;=DATE(2026,5,31)),"Closed in May","Other")</f>
        <v/>
      </c>
    </row>
    <row r="610">
      <c r="A610" s="6" t="n">
        <v>46107</v>
      </c>
      <c r="B610" s="3" t="n">
        <v>2026</v>
      </c>
      <c r="C610" s="3" t="inlineStr">
        <is>
          <t>Blupine Energy</t>
        </is>
      </c>
      <c r="D610" s="3" t="inlineStr">
        <is>
          <t>Utility and C&amp;I</t>
        </is>
      </c>
      <c r="E610" s="3" t="n"/>
      <c r="F610" s="3" t="inlineStr">
        <is>
          <t>Closed</t>
        </is>
      </c>
      <c r="G610" s="3" t="inlineStr">
        <is>
          <t>Chandrashekar Patidar</t>
        </is>
      </c>
      <c r="H610" s="3" t="n">
        <v>7879764773</v>
      </c>
      <c r="I610" s="11" t="inlineStr">
        <is>
          <t>PE26032601</t>
        </is>
      </c>
      <c r="J610" s="3" t="inlineStr">
        <is>
          <t>Module Diode Failure</t>
        </is>
      </c>
      <c r="K610" s="3" t="inlineStr">
        <is>
          <t>Sadla</t>
        </is>
      </c>
      <c r="L610" s="3" t="inlineStr">
        <is>
          <t>Gujarat</t>
        </is>
      </c>
      <c r="M610" s="9" t="inlineStr">
        <is>
          <t xml:space="preserve">NS </t>
        </is>
      </c>
      <c r="N610" s="3" t="inlineStr">
        <is>
          <t>Cold Soldering</t>
        </is>
      </c>
      <c r="O610" s="3" t="n">
        <v>570</v>
      </c>
      <c r="P610" s="9" t="inlineStr">
        <is>
          <t>NSMI24060096944</t>
        </is>
      </c>
      <c r="Q610" s="53">
        <f>MID(P610,5,2)</f>
        <v/>
      </c>
      <c r="R610" s="53">
        <f>MID(P610,7,2)</f>
        <v/>
      </c>
      <c r="S610" s="3" t="inlineStr">
        <is>
          <t>G2G</t>
        </is>
      </c>
      <c r="T610" s="3" t="inlineStr">
        <is>
          <t>P4</t>
        </is>
      </c>
      <c r="U610" s="3" t="inlineStr">
        <is>
          <t>N JB Cold Soldering</t>
        </is>
      </c>
      <c r="V610" s="3" t="inlineStr">
        <is>
          <t>Soldering</t>
        </is>
      </c>
      <c r="W610" s="3" t="inlineStr">
        <is>
          <t>Repair</t>
        </is>
      </c>
      <c r="X610" s="18" t="n">
        <v>46151</v>
      </c>
      <c r="Y610" s="73">
        <f>IF(X610="","",X610-A610)</f>
        <v/>
      </c>
      <c r="Z610" s="18" t="n">
        <v>46151</v>
      </c>
      <c r="AA610" s="15" t="n"/>
      <c r="AB610" s="15" t="n"/>
      <c r="AF610">
        <f>IF(AND($F610="Closed",$X610&gt;=DATE(2026,5,1),$X610&lt;=DATE(2026,5,31)),"Closed in May","Other")</f>
        <v/>
      </c>
    </row>
    <row r="611">
      <c r="A611" s="6" t="n">
        <v>46107</v>
      </c>
      <c r="B611" s="3" t="n">
        <v>2026</v>
      </c>
      <c r="C611" s="3" t="inlineStr">
        <is>
          <t>Blupine Energy</t>
        </is>
      </c>
      <c r="D611" s="3" t="inlineStr">
        <is>
          <t>Utility and C&amp;I</t>
        </is>
      </c>
      <c r="E611" s="3" t="n"/>
      <c r="F611" s="3" t="inlineStr">
        <is>
          <t>Closed</t>
        </is>
      </c>
      <c r="G611" s="3" t="inlineStr">
        <is>
          <t>Chandrashekar Patidar</t>
        </is>
      </c>
      <c r="H611" s="3" t="n">
        <v>7879764773</v>
      </c>
      <c r="I611" s="11" t="inlineStr">
        <is>
          <t>PE26032601</t>
        </is>
      </c>
      <c r="J611" s="3" t="inlineStr">
        <is>
          <t>Module Diode Failure</t>
        </is>
      </c>
      <c r="K611" s="3" t="inlineStr">
        <is>
          <t>Sadla</t>
        </is>
      </c>
      <c r="L611" s="3" t="inlineStr">
        <is>
          <t>Gujarat</t>
        </is>
      </c>
      <c r="M611" s="9" t="inlineStr">
        <is>
          <t>NS</t>
        </is>
      </c>
      <c r="N611" s="3" t="inlineStr">
        <is>
          <t>Cold Soldering</t>
        </is>
      </c>
      <c r="O611" s="3" t="n">
        <v>570</v>
      </c>
      <c r="P611" s="9" t="inlineStr">
        <is>
          <t>NSMI24060097111</t>
        </is>
      </c>
      <c r="Q611" s="53">
        <f>MID(P611,5,2)</f>
        <v/>
      </c>
      <c r="R611" s="53">
        <f>MID(P611,7,2)</f>
        <v/>
      </c>
      <c r="S611" s="3" t="inlineStr">
        <is>
          <t>G2G</t>
        </is>
      </c>
      <c r="T611" s="3" t="inlineStr">
        <is>
          <t>P4</t>
        </is>
      </c>
      <c r="U611" s="3" t="inlineStr">
        <is>
          <t>N JB Cold Soldering</t>
        </is>
      </c>
      <c r="V611" s="3" t="inlineStr">
        <is>
          <t>Soldering</t>
        </is>
      </c>
      <c r="W611" s="3" t="inlineStr">
        <is>
          <t>Repair</t>
        </is>
      </c>
      <c r="X611" s="18" t="n">
        <v>46151</v>
      </c>
      <c r="Y611" s="73">
        <f>IF(X611="","",X611-A611)</f>
        <v/>
      </c>
      <c r="Z611" s="18" t="n">
        <v>46151</v>
      </c>
      <c r="AA611" s="15" t="n"/>
      <c r="AB611" s="15" t="n"/>
      <c r="AF611">
        <f>IF(AND($F611="Closed",$X611&gt;=DATE(2026,5,1),$X611&lt;=DATE(2026,5,31)),"Closed in May","Other")</f>
        <v/>
      </c>
    </row>
    <row r="612">
      <c r="A612" s="6" t="n">
        <v>46107</v>
      </c>
      <c r="B612" s="3" t="n">
        <v>2026</v>
      </c>
      <c r="C612" s="3" t="inlineStr">
        <is>
          <t>Blupine Energy</t>
        </is>
      </c>
      <c r="D612" s="3" t="inlineStr">
        <is>
          <t>Utility and C&amp;I</t>
        </is>
      </c>
      <c r="E612" s="3" t="n"/>
      <c r="F612" s="3" t="inlineStr">
        <is>
          <t>Closed</t>
        </is>
      </c>
      <c r="G612" s="3" t="inlineStr">
        <is>
          <t>Chandrashekar Patidar</t>
        </is>
      </c>
      <c r="H612" s="3" t="n">
        <v>7879764773</v>
      </c>
      <c r="I612" s="11" t="inlineStr">
        <is>
          <t>PE26032601</t>
        </is>
      </c>
      <c r="J612" s="3" t="inlineStr">
        <is>
          <t>Module Diode Failure</t>
        </is>
      </c>
      <c r="K612" s="3" t="inlineStr">
        <is>
          <t>Sadla</t>
        </is>
      </c>
      <c r="L612" s="3" t="inlineStr">
        <is>
          <t>Gujarat</t>
        </is>
      </c>
      <c r="M612" s="9" t="inlineStr">
        <is>
          <t xml:space="preserve">NS </t>
        </is>
      </c>
      <c r="N612" s="3" t="inlineStr">
        <is>
          <t>Cold Soldering</t>
        </is>
      </c>
      <c r="O612" s="3" t="n">
        <v>570</v>
      </c>
      <c r="P612" s="9" t="inlineStr">
        <is>
          <t>NSMI24060094092</t>
        </is>
      </c>
      <c r="Q612" s="53">
        <f>MID(P612,5,2)</f>
        <v/>
      </c>
      <c r="R612" s="53">
        <f>MID(P612,7,2)</f>
        <v/>
      </c>
      <c r="S612" s="3" t="inlineStr">
        <is>
          <t>G2G</t>
        </is>
      </c>
      <c r="T612" s="3" t="inlineStr">
        <is>
          <t>P4</t>
        </is>
      </c>
      <c r="U612" s="3" t="inlineStr">
        <is>
          <t>N JB Cold Soldering</t>
        </is>
      </c>
      <c r="V612" s="3" t="inlineStr">
        <is>
          <t>Soldering</t>
        </is>
      </c>
      <c r="W612" s="3" t="inlineStr">
        <is>
          <t>Repair</t>
        </is>
      </c>
      <c r="X612" s="18" t="n">
        <v>46151</v>
      </c>
      <c r="Y612" s="73">
        <f>IF(X612="","",X612-A612)</f>
        <v/>
      </c>
      <c r="Z612" s="18" t="n">
        <v>46151</v>
      </c>
      <c r="AA612" s="15" t="n"/>
      <c r="AB612" s="15" t="n"/>
      <c r="AF612">
        <f>IF(AND($F612="Closed",$X612&gt;=DATE(2026,5,1),$X612&lt;=DATE(2026,5,31)),"Closed in May","Other")</f>
        <v/>
      </c>
    </row>
    <row r="613">
      <c r="A613" s="6" t="n">
        <v>46107</v>
      </c>
      <c r="B613" s="3" t="n">
        <v>2026</v>
      </c>
      <c r="C613" s="3" t="inlineStr">
        <is>
          <t>Blupine Energy</t>
        </is>
      </c>
      <c r="D613" s="3" t="inlineStr">
        <is>
          <t>Utility and C&amp;I</t>
        </is>
      </c>
      <c r="E613" s="3" t="n"/>
      <c r="F613" s="3" t="inlineStr">
        <is>
          <t>Closed</t>
        </is>
      </c>
      <c r="G613" s="3" t="inlineStr">
        <is>
          <t>Chandrashekar Patidar</t>
        </is>
      </c>
      <c r="H613" s="3" t="n">
        <v>7879764773</v>
      </c>
      <c r="I613" s="11" t="inlineStr">
        <is>
          <t>PE26032601</t>
        </is>
      </c>
      <c r="J613" s="3" t="inlineStr">
        <is>
          <t>Module Diode Failure</t>
        </is>
      </c>
      <c r="K613" s="3" t="inlineStr">
        <is>
          <t>Sadla</t>
        </is>
      </c>
      <c r="L613" s="3" t="inlineStr">
        <is>
          <t>Gujarat</t>
        </is>
      </c>
      <c r="M613" s="9" t="inlineStr">
        <is>
          <t xml:space="preserve">NS </t>
        </is>
      </c>
      <c r="N613" s="3" t="inlineStr">
        <is>
          <t>Cold Soldering</t>
        </is>
      </c>
      <c r="O613" s="3" t="n">
        <v>570</v>
      </c>
      <c r="P613" s="9" t="inlineStr">
        <is>
          <t>NSMI24060091079</t>
        </is>
      </c>
      <c r="Q613" s="53">
        <f>MID(P613,5,2)</f>
        <v/>
      </c>
      <c r="R613" s="53">
        <f>MID(P613,7,2)</f>
        <v/>
      </c>
      <c r="S613" s="3" t="inlineStr">
        <is>
          <t>G2G</t>
        </is>
      </c>
      <c r="T613" s="3" t="inlineStr">
        <is>
          <t>P4</t>
        </is>
      </c>
      <c r="U613" s="3" t="inlineStr">
        <is>
          <t>N JB Cold Soldering</t>
        </is>
      </c>
      <c r="V613" s="3" t="inlineStr">
        <is>
          <t>Soldering</t>
        </is>
      </c>
      <c r="W613" s="3" t="inlineStr">
        <is>
          <t>Repair</t>
        </is>
      </c>
      <c r="X613" s="18" t="n">
        <v>46151</v>
      </c>
      <c r="Y613" s="73">
        <f>IF(X613="","",X613-A613)</f>
        <v/>
      </c>
      <c r="Z613" s="18" t="n">
        <v>46151</v>
      </c>
      <c r="AA613" s="15" t="n"/>
      <c r="AB613" s="15" t="n"/>
      <c r="AF613">
        <f>IF(AND($F613="Closed",$X613&gt;=DATE(2026,5,1),$X613&lt;=DATE(2026,5,31)),"Closed in May","Other")</f>
        <v/>
      </c>
    </row>
    <row r="614">
      <c r="A614" s="6" t="n">
        <v>46107</v>
      </c>
      <c r="B614" s="3" t="n">
        <v>2026</v>
      </c>
      <c r="C614" s="3" t="inlineStr">
        <is>
          <t>Blupine Energy</t>
        </is>
      </c>
      <c r="D614" s="3" t="inlineStr">
        <is>
          <t>Utility and C&amp;I</t>
        </is>
      </c>
      <c r="E614" s="3" t="n"/>
      <c r="F614" s="3" t="inlineStr">
        <is>
          <t>Closed</t>
        </is>
      </c>
      <c r="G614" s="3" t="inlineStr">
        <is>
          <t>Chandrashekar Patidar</t>
        </is>
      </c>
      <c r="H614" s="3" t="n">
        <v>7879764773</v>
      </c>
      <c r="I614" s="11" t="inlineStr">
        <is>
          <t>PE26032601</t>
        </is>
      </c>
      <c r="J614" s="3" t="inlineStr">
        <is>
          <t>Module Diode Failure</t>
        </is>
      </c>
      <c r="K614" s="3" t="inlineStr">
        <is>
          <t>Sadla</t>
        </is>
      </c>
      <c r="L614" s="3" t="inlineStr">
        <is>
          <t>Gujarat</t>
        </is>
      </c>
      <c r="M614" s="9" t="inlineStr">
        <is>
          <t>PS</t>
        </is>
      </c>
      <c r="N614" s="3" t="inlineStr">
        <is>
          <t>Cold Soldering</t>
        </is>
      </c>
      <c r="O614" s="3" t="n">
        <v>570</v>
      </c>
      <c r="P614" s="9" t="inlineStr">
        <is>
          <t>NSMI24060093751</t>
        </is>
      </c>
      <c r="Q614" s="53">
        <f>MID(P614,5,2)</f>
        <v/>
      </c>
      <c r="R614" s="53">
        <f>MID(P614,7,2)</f>
        <v/>
      </c>
      <c r="S614" s="3" t="inlineStr">
        <is>
          <t>G2G</t>
        </is>
      </c>
      <c r="T614" s="3" t="inlineStr">
        <is>
          <t>P4</t>
        </is>
      </c>
      <c r="U614" s="3" t="inlineStr">
        <is>
          <t>P JB Cold Soldering</t>
        </is>
      </c>
      <c r="V614" s="3" t="inlineStr">
        <is>
          <t>Soldering</t>
        </is>
      </c>
      <c r="W614" s="3" t="inlineStr">
        <is>
          <t>Repair</t>
        </is>
      </c>
      <c r="X614" s="18" t="n">
        <v>46151</v>
      </c>
      <c r="Y614" s="73">
        <f>IF(X614="","",X614-A614)</f>
        <v/>
      </c>
      <c r="Z614" s="18" t="n">
        <v>46151</v>
      </c>
      <c r="AA614" s="15" t="n"/>
      <c r="AB614" s="15" t="n"/>
      <c r="AF614">
        <f>IF(AND($F614="Closed",$X614&gt;=DATE(2026,5,1),$X614&lt;=DATE(2026,5,31)),"Closed in May","Other")</f>
        <v/>
      </c>
    </row>
    <row r="615">
      <c r="A615" s="6" t="n">
        <v>46107</v>
      </c>
      <c r="B615" s="3" t="n">
        <v>2026</v>
      </c>
      <c r="C615" s="3" t="inlineStr">
        <is>
          <t>Blupine Energy</t>
        </is>
      </c>
      <c r="D615" s="3" t="inlineStr">
        <is>
          <t>Utility and C&amp;I</t>
        </is>
      </c>
      <c r="E615" s="3" t="n"/>
      <c r="F615" s="3" t="inlineStr">
        <is>
          <t>Closed</t>
        </is>
      </c>
      <c r="G615" s="3" t="inlineStr">
        <is>
          <t>Chandrashekar Patidar</t>
        </is>
      </c>
      <c r="H615" s="3" t="n">
        <v>7879764773</v>
      </c>
      <c r="I615" s="11" t="inlineStr">
        <is>
          <t>PE26032601</t>
        </is>
      </c>
      <c r="J615" s="3" t="inlineStr">
        <is>
          <t>Module Diode Failure</t>
        </is>
      </c>
      <c r="K615" s="3" t="inlineStr">
        <is>
          <t>Sadla</t>
        </is>
      </c>
      <c r="L615" s="3" t="inlineStr">
        <is>
          <t>Gujarat</t>
        </is>
      </c>
      <c r="M615" s="9" t="inlineStr">
        <is>
          <t>NS</t>
        </is>
      </c>
      <c r="N615" s="3" t="inlineStr">
        <is>
          <t>Cold Soldering</t>
        </is>
      </c>
      <c r="O615" s="3" t="n">
        <v>570</v>
      </c>
      <c r="P615" s="9" t="inlineStr">
        <is>
          <t>NSMI24060096800</t>
        </is>
      </c>
      <c r="Q615" s="53">
        <f>MID(P615,5,2)</f>
        <v/>
      </c>
      <c r="R615" s="53">
        <f>MID(P615,7,2)</f>
        <v/>
      </c>
      <c r="S615" s="3" t="inlineStr">
        <is>
          <t>G2G</t>
        </is>
      </c>
      <c r="T615" s="3" t="inlineStr">
        <is>
          <t>P4</t>
        </is>
      </c>
      <c r="U615" s="3" t="inlineStr">
        <is>
          <t>N JB Cold Soldering</t>
        </is>
      </c>
      <c r="V615" s="3" t="inlineStr">
        <is>
          <t>Soldering</t>
        </is>
      </c>
      <c r="W615" s="3" t="inlineStr">
        <is>
          <t>Repair</t>
        </is>
      </c>
      <c r="X615" s="18" t="n">
        <v>46151</v>
      </c>
      <c r="Y615" s="73">
        <f>IF(X615="","",X615-A615)</f>
        <v/>
      </c>
      <c r="Z615" s="18" t="n">
        <v>46151</v>
      </c>
      <c r="AA615" s="15" t="n"/>
      <c r="AB615" s="15" t="n"/>
      <c r="AF615">
        <f>IF(AND($F615="Closed",$X615&gt;=DATE(2026,5,1),$X615&lt;=DATE(2026,5,31)),"Closed in May","Other")</f>
        <v/>
      </c>
    </row>
    <row r="616">
      <c r="A616" s="6" t="n">
        <v>46107</v>
      </c>
      <c r="B616" s="3" t="n">
        <v>2026</v>
      </c>
      <c r="C616" s="3" t="inlineStr">
        <is>
          <t>Blupine Energy</t>
        </is>
      </c>
      <c r="D616" s="3" t="inlineStr">
        <is>
          <t>Utility and C&amp;I</t>
        </is>
      </c>
      <c r="E616" s="3" t="n"/>
      <c r="F616" s="3" t="inlineStr">
        <is>
          <t>Closed</t>
        </is>
      </c>
      <c r="G616" s="3" t="inlineStr">
        <is>
          <t>Chandrashekar Patidar</t>
        </is>
      </c>
      <c r="H616" s="3" t="n">
        <v>7879764773</v>
      </c>
      <c r="I616" s="11" t="inlineStr">
        <is>
          <t>PE26032601</t>
        </is>
      </c>
      <c r="J616" s="3" t="inlineStr">
        <is>
          <t>Module Diode Failure</t>
        </is>
      </c>
      <c r="K616" s="3" t="inlineStr">
        <is>
          <t>Sadla</t>
        </is>
      </c>
      <c r="L616" s="3" t="inlineStr">
        <is>
          <t>Gujarat</t>
        </is>
      </c>
      <c r="M616" s="9" t="inlineStr">
        <is>
          <t>NS</t>
        </is>
      </c>
      <c r="N616" s="3" t="inlineStr">
        <is>
          <t>Cold Soldering</t>
        </is>
      </c>
      <c r="O616" s="3" t="n">
        <v>570</v>
      </c>
      <c r="P616" s="9" t="inlineStr">
        <is>
          <t>NSMI24060096560</t>
        </is>
      </c>
      <c r="Q616" s="53">
        <f>MID(P616,5,2)</f>
        <v/>
      </c>
      <c r="R616" s="53">
        <f>MID(P616,7,2)</f>
        <v/>
      </c>
      <c r="S616" s="3" t="inlineStr">
        <is>
          <t>G2G</t>
        </is>
      </c>
      <c r="T616" s="3" t="inlineStr">
        <is>
          <t>P4</t>
        </is>
      </c>
      <c r="U616" s="3" t="inlineStr">
        <is>
          <t>N JB Cold Soldering</t>
        </is>
      </c>
      <c r="V616" s="3" t="inlineStr">
        <is>
          <t>Soldering</t>
        </is>
      </c>
      <c r="W616" s="3" t="inlineStr">
        <is>
          <t>Repair</t>
        </is>
      </c>
      <c r="X616" s="18" t="n">
        <v>46151</v>
      </c>
      <c r="Y616" s="73">
        <f>IF(X616="","",X616-A616)</f>
        <v/>
      </c>
      <c r="Z616" s="18" t="n">
        <v>46151</v>
      </c>
      <c r="AA616" s="15" t="n"/>
      <c r="AB616" s="15" t="n"/>
      <c r="AF616">
        <f>IF(AND($F616="Closed",$X616&gt;=DATE(2026,5,1),$X616&lt;=DATE(2026,5,31)),"Closed in May","Other")</f>
        <v/>
      </c>
    </row>
    <row r="617">
      <c r="A617" s="6" t="n">
        <v>46107</v>
      </c>
      <c r="B617" s="3" t="n">
        <v>2026</v>
      </c>
      <c r="C617" s="3" t="inlineStr">
        <is>
          <t>Blupine Energy</t>
        </is>
      </c>
      <c r="D617" s="3" t="inlineStr">
        <is>
          <t>Utility and C&amp;I</t>
        </is>
      </c>
      <c r="E617" s="3" t="n"/>
      <c r="F617" s="3" t="inlineStr">
        <is>
          <t>Closed</t>
        </is>
      </c>
      <c r="G617" s="3" t="inlineStr">
        <is>
          <t>Chandrashekar Patidar</t>
        </is>
      </c>
      <c r="H617" s="3" t="n">
        <v>7879764773</v>
      </c>
      <c r="I617" s="11" t="inlineStr">
        <is>
          <t>PE26032601</t>
        </is>
      </c>
      <c r="J617" s="3" t="inlineStr">
        <is>
          <t>Module Diode Failure</t>
        </is>
      </c>
      <c r="K617" s="3" t="inlineStr">
        <is>
          <t>Sadla</t>
        </is>
      </c>
      <c r="L617" s="3" t="inlineStr">
        <is>
          <t>Gujarat</t>
        </is>
      </c>
      <c r="M617" s="9" t="inlineStr">
        <is>
          <t>NS</t>
        </is>
      </c>
      <c r="N617" s="3" t="inlineStr">
        <is>
          <t>Cold Soldering</t>
        </is>
      </c>
      <c r="O617" s="3" t="n">
        <v>570</v>
      </c>
      <c r="P617" s="9" t="inlineStr">
        <is>
          <t>NSMI24060096696</t>
        </is>
      </c>
      <c r="Q617" s="53">
        <f>MID(P617,5,2)</f>
        <v/>
      </c>
      <c r="R617" s="53">
        <f>MID(P617,7,2)</f>
        <v/>
      </c>
      <c r="S617" s="3" t="inlineStr">
        <is>
          <t>G2G</t>
        </is>
      </c>
      <c r="T617" s="3" t="inlineStr">
        <is>
          <t>P4</t>
        </is>
      </c>
      <c r="U617" s="3" t="inlineStr">
        <is>
          <t>N JB Cold Soldering</t>
        </is>
      </c>
      <c r="V617" s="3" t="inlineStr">
        <is>
          <t>Soldering</t>
        </is>
      </c>
      <c r="W617" s="3" t="inlineStr">
        <is>
          <t>Repair</t>
        </is>
      </c>
      <c r="X617" s="18" t="n">
        <v>46151</v>
      </c>
      <c r="Y617" s="73">
        <f>IF(X617="","",X617-A617)</f>
        <v/>
      </c>
      <c r="Z617" s="18" t="n">
        <v>46151</v>
      </c>
      <c r="AA617" s="15" t="n"/>
      <c r="AB617" s="15" t="n"/>
      <c r="AF617">
        <f>IF(AND($F617="Closed",$X617&gt;=DATE(2026,5,1),$X617&lt;=DATE(2026,5,31)),"Closed in May","Other")</f>
        <v/>
      </c>
    </row>
    <row r="618">
      <c r="A618" s="6" t="n">
        <v>46107</v>
      </c>
      <c r="B618" s="3" t="n">
        <v>2026</v>
      </c>
      <c r="C618" s="3" t="inlineStr">
        <is>
          <t>Blupine Energy</t>
        </is>
      </c>
      <c r="D618" s="3" t="inlineStr">
        <is>
          <t>Utility and C&amp;I</t>
        </is>
      </c>
      <c r="E618" s="3" t="n"/>
      <c r="F618" s="3" t="inlineStr">
        <is>
          <t>Closed</t>
        </is>
      </c>
      <c r="G618" s="3" t="inlineStr">
        <is>
          <t>Chandrashekar Patidar</t>
        </is>
      </c>
      <c r="H618" s="3" t="n">
        <v>7879764773</v>
      </c>
      <c r="I618" s="11" t="inlineStr">
        <is>
          <t>PE26032601</t>
        </is>
      </c>
      <c r="J618" s="3" t="inlineStr">
        <is>
          <t>Module Diode Failure</t>
        </is>
      </c>
      <c r="K618" s="3" t="inlineStr">
        <is>
          <t>Sadla</t>
        </is>
      </c>
      <c r="L618" s="3" t="inlineStr">
        <is>
          <t>Gujarat</t>
        </is>
      </c>
      <c r="M618" s="9" t="inlineStr">
        <is>
          <t>NS</t>
        </is>
      </c>
      <c r="N618" s="3" t="inlineStr">
        <is>
          <t>Cold Soldering</t>
        </is>
      </c>
      <c r="O618" s="3" t="n">
        <v>570</v>
      </c>
      <c r="P618" s="9" t="inlineStr">
        <is>
          <t>NSMI24060096537</t>
        </is>
      </c>
      <c r="Q618" s="53">
        <f>MID(P618,5,2)</f>
        <v/>
      </c>
      <c r="R618" s="53">
        <f>MID(P618,7,2)</f>
        <v/>
      </c>
      <c r="S618" s="3" t="inlineStr">
        <is>
          <t>G2G</t>
        </is>
      </c>
      <c r="T618" s="3" t="inlineStr">
        <is>
          <t>P4</t>
        </is>
      </c>
      <c r="U618" s="3" t="inlineStr">
        <is>
          <t>N JB Cold Soldering</t>
        </is>
      </c>
      <c r="V618" s="3" t="inlineStr">
        <is>
          <t>Soldering</t>
        </is>
      </c>
      <c r="W618" s="3" t="inlineStr">
        <is>
          <t>Repair</t>
        </is>
      </c>
      <c r="X618" s="18" t="n">
        <v>46151</v>
      </c>
      <c r="Y618" s="73">
        <f>IF(X618="","",X618-A618)</f>
        <v/>
      </c>
      <c r="Z618" s="18" t="n">
        <v>46151</v>
      </c>
      <c r="AA618" s="15" t="n"/>
      <c r="AB618" s="15" t="n"/>
      <c r="AF618">
        <f>IF(AND($F618="Closed",$X618&gt;=DATE(2026,5,1),$X618&lt;=DATE(2026,5,31)),"Closed in May","Other")</f>
        <v/>
      </c>
    </row>
    <row r="619">
      <c r="A619" s="6" t="n">
        <v>46107</v>
      </c>
      <c r="B619" s="3" t="n">
        <v>2026</v>
      </c>
      <c r="C619" s="3" t="inlineStr">
        <is>
          <t>Blupine Energy</t>
        </is>
      </c>
      <c r="D619" s="3" t="inlineStr">
        <is>
          <t>Utility and C&amp;I</t>
        </is>
      </c>
      <c r="E619" s="3" t="n"/>
      <c r="F619" s="3" t="inlineStr">
        <is>
          <t>Closed</t>
        </is>
      </c>
      <c r="G619" s="3" t="inlineStr">
        <is>
          <t>Chandrashekar Patidar</t>
        </is>
      </c>
      <c r="H619" s="3" t="n">
        <v>7879764773</v>
      </c>
      <c r="I619" s="11" t="inlineStr">
        <is>
          <t>PE26032601</t>
        </is>
      </c>
      <c r="J619" s="3" t="inlineStr">
        <is>
          <t>Module Diode Failure</t>
        </is>
      </c>
      <c r="K619" s="3" t="inlineStr">
        <is>
          <t>Sadla</t>
        </is>
      </c>
      <c r="L619" s="3" t="inlineStr">
        <is>
          <t>Gujarat</t>
        </is>
      </c>
      <c r="M619" s="9" t="inlineStr">
        <is>
          <t>NS</t>
        </is>
      </c>
      <c r="N619" s="3" t="inlineStr">
        <is>
          <t>Cold Soldering</t>
        </is>
      </c>
      <c r="O619" s="3" t="n">
        <v>570</v>
      </c>
      <c r="P619" s="9" t="inlineStr">
        <is>
          <t>NSMI24060114037</t>
        </is>
      </c>
      <c r="Q619" s="53">
        <f>MID(P619,5,2)</f>
        <v/>
      </c>
      <c r="R619" s="53">
        <f>MID(P619,7,2)</f>
        <v/>
      </c>
      <c r="S619" s="3" t="inlineStr">
        <is>
          <t>G2G</t>
        </is>
      </c>
      <c r="T619" s="3" t="inlineStr">
        <is>
          <t>P4</t>
        </is>
      </c>
      <c r="U619" s="3" t="inlineStr">
        <is>
          <t>N JB Cold Soldering</t>
        </is>
      </c>
      <c r="V619" s="3" t="inlineStr">
        <is>
          <t>Soldering</t>
        </is>
      </c>
      <c r="W619" s="3" t="inlineStr">
        <is>
          <t>Repair</t>
        </is>
      </c>
      <c r="X619" s="18" t="n">
        <v>46151</v>
      </c>
      <c r="Y619" s="73">
        <f>IF(X619="","",X619-A619)</f>
        <v/>
      </c>
      <c r="Z619" s="18" t="n">
        <v>46151</v>
      </c>
      <c r="AA619" s="15" t="n"/>
      <c r="AB619" s="15" t="n"/>
      <c r="AF619">
        <f>IF(AND($F619="Closed",$X619&gt;=DATE(2026,5,1),$X619&lt;=DATE(2026,5,31)),"Closed in May","Other")</f>
        <v/>
      </c>
    </row>
    <row r="620">
      <c r="A620" s="6" t="n">
        <v>46107</v>
      </c>
      <c r="B620" s="3" t="n">
        <v>2026</v>
      </c>
      <c r="C620" s="3" t="inlineStr">
        <is>
          <t>Blupine Energy</t>
        </is>
      </c>
      <c r="D620" s="3" t="inlineStr">
        <is>
          <t>Utility and C&amp;I</t>
        </is>
      </c>
      <c r="E620" s="3" t="n"/>
      <c r="F620" s="3" t="inlineStr">
        <is>
          <t>Closed</t>
        </is>
      </c>
      <c r="G620" s="3" t="inlineStr">
        <is>
          <t>Chandrashekar Patidar</t>
        </is>
      </c>
      <c r="H620" s="3" t="n">
        <v>7879764773</v>
      </c>
      <c r="I620" s="11" t="inlineStr">
        <is>
          <t>PE26032601</t>
        </is>
      </c>
      <c r="J620" s="3" t="inlineStr">
        <is>
          <t>Module Diode Failure</t>
        </is>
      </c>
      <c r="K620" s="3" t="inlineStr">
        <is>
          <t>Sadla</t>
        </is>
      </c>
      <c r="L620" s="3" t="inlineStr">
        <is>
          <t>Gujarat</t>
        </is>
      </c>
      <c r="M620" s="9" t="inlineStr">
        <is>
          <t>NS</t>
        </is>
      </c>
      <c r="N620" s="3" t="inlineStr">
        <is>
          <t>Cold Soldering</t>
        </is>
      </c>
      <c r="O620" s="3" t="n">
        <v>570</v>
      </c>
      <c r="P620" s="9" t="inlineStr">
        <is>
          <t>NSMI24060085664</t>
        </is>
      </c>
      <c r="Q620" s="53">
        <f>MID(P620,5,2)</f>
        <v/>
      </c>
      <c r="R620" s="53">
        <f>MID(P620,7,2)</f>
        <v/>
      </c>
      <c r="S620" s="3" t="inlineStr">
        <is>
          <t>G2G</t>
        </is>
      </c>
      <c r="T620" s="3" t="inlineStr">
        <is>
          <t>P4</t>
        </is>
      </c>
      <c r="U620" s="3" t="inlineStr">
        <is>
          <t>N JB Cold Soldering</t>
        </is>
      </c>
      <c r="V620" s="3" t="inlineStr">
        <is>
          <t>Soldering</t>
        </is>
      </c>
      <c r="W620" s="3" t="inlineStr">
        <is>
          <t>Repair</t>
        </is>
      </c>
      <c r="X620" s="18" t="n">
        <v>46151</v>
      </c>
      <c r="Y620" s="73">
        <f>IF(X620="","",X620-A620)</f>
        <v/>
      </c>
      <c r="Z620" s="18" t="n">
        <v>46151</v>
      </c>
      <c r="AA620" s="15" t="n"/>
      <c r="AB620" s="15" t="n"/>
      <c r="AF620">
        <f>IF(AND($F620="Closed",$X620&gt;=DATE(2026,5,1),$X620&lt;=DATE(2026,5,31)),"Closed in May","Other")</f>
        <v/>
      </c>
    </row>
    <row r="621">
      <c r="A621" s="6" t="n">
        <v>46107</v>
      </c>
      <c r="B621" s="3" t="n">
        <v>2026</v>
      </c>
      <c r="C621" s="3" t="inlineStr">
        <is>
          <t>Blupine Energy</t>
        </is>
      </c>
      <c r="D621" s="3" t="inlineStr">
        <is>
          <t>Utility and C&amp;I</t>
        </is>
      </c>
      <c r="E621" s="3" t="n"/>
      <c r="F621" s="3" t="inlineStr">
        <is>
          <t>Closed</t>
        </is>
      </c>
      <c r="G621" s="3" t="inlineStr">
        <is>
          <t>Chandrashekar Patidar</t>
        </is>
      </c>
      <c r="H621" s="3" t="n">
        <v>7879764773</v>
      </c>
      <c r="I621" s="11" t="inlineStr">
        <is>
          <t>PE26032601</t>
        </is>
      </c>
      <c r="J621" s="3" t="inlineStr">
        <is>
          <t>Module Diode Failure</t>
        </is>
      </c>
      <c r="K621" s="3" t="inlineStr">
        <is>
          <t>Sadla</t>
        </is>
      </c>
      <c r="L621" s="3" t="inlineStr">
        <is>
          <t>Gujarat</t>
        </is>
      </c>
      <c r="M621" s="9" t="inlineStr">
        <is>
          <t xml:space="preserve">NS </t>
        </is>
      </c>
      <c r="N621" s="3" t="inlineStr">
        <is>
          <t>Cold Soldering</t>
        </is>
      </c>
      <c r="O621" s="3" t="n">
        <v>570</v>
      </c>
      <c r="P621" s="9" t="inlineStr">
        <is>
          <t>NSMI24050048001</t>
        </is>
      </c>
      <c r="Q621" s="53">
        <f>MID(P621,5,2)</f>
        <v/>
      </c>
      <c r="R621" s="53">
        <f>MID(P621,7,2)</f>
        <v/>
      </c>
      <c r="S621" s="3" t="inlineStr">
        <is>
          <t>G2G</t>
        </is>
      </c>
      <c r="T621" s="3" t="inlineStr">
        <is>
          <t>P4</t>
        </is>
      </c>
      <c r="U621" s="3" t="inlineStr">
        <is>
          <t>N JB Cold Soldering</t>
        </is>
      </c>
      <c r="V621" s="3" t="inlineStr">
        <is>
          <t>Soldering</t>
        </is>
      </c>
      <c r="W621" s="3" t="inlineStr">
        <is>
          <t>Repair</t>
        </is>
      </c>
      <c r="X621" s="18" t="n">
        <v>46151</v>
      </c>
      <c r="Y621" s="73">
        <f>IF(X621="","",X621-A621)</f>
        <v/>
      </c>
      <c r="Z621" s="18" t="n">
        <v>46151</v>
      </c>
      <c r="AA621" s="15" t="n"/>
      <c r="AB621" s="15" t="n"/>
      <c r="AF621">
        <f>IF(AND($F621="Closed",$X621&gt;=DATE(2026,5,1),$X621&lt;=DATE(2026,5,31)),"Closed in May","Other")</f>
        <v/>
      </c>
    </row>
    <row r="622">
      <c r="A622" s="6" t="n">
        <v>46107</v>
      </c>
      <c r="B622" s="3" t="n">
        <v>2026</v>
      </c>
      <c r="C622" s="3" t="inlineStr">
        <is>
          <t>Blupine Energy</t>
        </is>
      </c>
      <c r="D622" s="3" t="inlineStr">
        <is>
          <t>Utility and C&amp;I</t>
        </is>
      </c>
      <c r="E622" s="3" t="n"/>
      <c r="F622" s="3" t="inlineStr">
        <is>
          <t>Closed</t>
        </is>
      </c>
      <c r="G622" s="3" t="inlineStr">
        <is>
          <t>Chandrashekar Patidar</t>
        </is>
      </c>
      <c r="H622" s="3" t="n">
        <v>7879764773</v>
      </c>
      <c r="I622" s="11" t="inlineStr">
        <is>
          <t>PE26032601</t>
        </is>
      </c>
      <c r="J622" s="3" t="inlineStr">
        <is>
          <t>Module Diode Failure</t>
        </is>
      </c>
      <c r="K622" s="3" t="inlineStr">
        <is>
          <t>Sadla</t>
        </is>
      </c>
      <c r="L622" s="3" t="inlineStr">
        <is>
          <t>Gujarat</t>
        </is>
      </c>
      <c r="M622" s="9" t="inlineStr">
        <is>
          <t>PS</t>
        </is>
      </c>
      <c r="N622" s="3" t="inlineStr">
        <is>
          <t>Cold Soldering</t>
        </is>
      </c>
      <c r="O622" s="3" t="n">
        <v>570</v>
      </c>
      <c r="P622" s="9" t="inlineStr">
        <is>
          <t>NSMI24060106579</t>
        </is>
      </c>
      <c r="Q622" s="53">
        <f>MID(P622,5,2)</f>
        <v/>
      </c>
      <c r="R622" s="53">
        <f>MID(P622,7,2)</f>
        <v/>
      </c>
      <c r="S622" s="3" t="inlineStr">
        <is>
          <t>G2G</t>
        </is>
      </c>
      <c r="T622" s="3" t="inlineStr">
        <is>
          <t>P4</t>
        </is>
      </c>
      <c r="U622" s="3" t="inlineStr">
        <is>
          <t>P JB Cold Soldering</t>
        </is>
      </c>
      <c r="V622" s="3" t="inlineStr">
        <is>
          <t>Soldering</t>
        </is>
      </c>
      <c r="W622" s="3" t="inlineStr">
        <is>
          <t>Repair</t>
        </is>
      </c>
      <c r="X622" s="18" t="n">
        <v>46151</v>
      </c>
      <c r="Y622" s="73">
        <f>IF(X622="","",X622-A622)</f>
        <v/>
      </c>
      <c r="Z622" s="18" t="n">
        <v>46151</v>
      </c>
      <c r="AA622" s="15" t="n"/>
      <c r="AB622" s="15" t="n"/>
      <c r="AF622">
        <f>IF(AND($F622="Closed",$X622&gt;=DATE(2026,5,1),$X622&lt;=DATE(2026,5,31)),"Closed in May","Other")</f>
        <v/>
      </c>
    </row>
    <row r="623">
      <c r="A623" s="6" t="n">
        <v>46107</v>
      </c>
      <c r="B623" s="3" t="n">
        <v>2026</v>
      </c>
      <c r="C623" s="3" t="inlineStr">
        <is>
          <t>Blupine Energy</t>
        </is>
      </c>
      <c r="D623" s="3" t="inlineStr">
        <is>
          <t>Utility and C&amp;I</t>
        </is>
      </c>
      <c r="E623" s="3" t="n"/>
      <c r="F623" s="3" t="inlineStr">
        <is>
          <t>Closed</t>
        </is>
      </c>
      <c r="G623" s="3" t="inlineStr">
        <is>
          <t>Chandrashekar Patidar</t>
        </is>
      </c>
      <c r="H623" s="3" t="n">
        <v>7879764773</v>
      </c>
      <c r="I623" s="11" t="inlineStr">
        <is>
          <t>PE26032601</t>
        </is>
      </c>
      <c r="J623" s="3" t="inlineStr">
        <is>
          <t>Module Diode Failure</t>
        </is>
      </c>
      <c r="K623" s="3" t="inlineStr">
        <is>
          <t>Sadla</t>
        </is>
      </c>
      <c r="L623" s="3" t="inlineStr">
        <is>
          <t>Gujarat</t>
        </is>
      </c>
      <c r="M623" s="9" t="inlineStr">
        <is>
          <t>NS</t>
        </is>
      </c>
      <c r="N623" s="3" t="inlineStr">
        <is>
          <t>Cold Soldering</t>
        </is>
      </c>
      <c r="O623" s="3" t="n">
        <v>570</v>
      </c>
      <c r="P623" s="9" t="inlineStr">
        <is>
          <t>NSMI24060106591</t>
        </is>
      </c>
      <c r="Q623" s="53">
        <f>MID(P623,5,2)</f>
        <v/>
      </c>
      <c r="R623" s="53">
        <f>MID(P623,7,2)</f>
        <v/>
      </c>
      <c r="S623" s="3" t="inlineStr">
        <is>
          <t>G2G</t>
        </is>
      </c>
      <c r="T623" s="3" t="inlineStr">
        <is>
          <t>P4</t>
        </is>
      </c>
      <c r="U623" s="3" t="inlineStr">
        <is>
          <t>N JB Cold Soldering</t>
        </is>
      </c>
      <c r="V623" s="3" t="inlineStr">
        <is>
          <t>Soldering</t>
        </is>
      </c>
      <c r="W623" s="3" t="inlineStr">
        <is>
          <t>Repair</t>
        </is>
      </c>
      <c r="X623" s="18" t="n">
        <v>46151</v>
      </c>
      <c r="Y623" s="73">
        <f>IF(X623="","",X623-A623)</f>
        <v/>
      </c>
      <c r="Z623" s="18" t="n">
        <v>46151</v>
      </c>
      <c r="AA623" s="15" t="n"/>
      <c r="AB623" s="15" t="n"/>
      <c r="AF623">
        <f>IF(AND($F623="Closed",$X623&gt;=DATE(2026,5,1),$X623&lt;=DATE(2026,5,31)),"Closed in May","Other")</f>
        <v/>
      </c>
    </row>
    <row r="624">
      <c r="A624" s="6" t="n">
        <v>46107</v>
      </c>
      <c r="B624" s="3" t="n">
        <v>2026</v>
      </c>
      <c r="C624" s="3" t="inlineStr">
        <is>
          <t>Blupine Energy</t>
        </is>
      </c>
      <c r="D624" s="3" t="inlineStr">
        <is>
          <t>Utility and C&amp;I</t>
        </is>
      </c>
      <c r="E624" s="3" t="n"/>
      <c r="F624" s="3" t="inlineStr">
        <is>
          <t>Closed</t>
        </is>
      </c>
      <c r="G624" s="3" t="inlineStr">
        <is>
          <t>Chandrashekar Patidar</t>
        </is>
      </c>
      <c r="H624" s="3" t="n">
        <v>7879764773</v>
      </c>
      <c r="I624" s="11" t="inlineStr">
        <is>
          <t>PE26032601</t>
        </is>
      </c>
      <c r="J624" s="3" t="inlineStr">
        <is>
          <t>Module Diode Failure</t>
        </is>
      </c>
      <c r="K624" s="3" t="inlineStr">
        <is>
          <t>Sadla</t>
        </is>
      </c>
      <c r="L624" s="3" t="inlineStr">
        <is>
          <t>Gujarat</t>
        </is>
      </c>
      <c r="M624" s="9" t="inlineStr">
        <is>
          <t>PS</t>
        </is>
      </c>
      <c r="N624" s="3" t="inlineStr">
        <is>
          <t>Cold Soldering</t>
        </is>
      </c>
      <c r="O624" s="3" t="n">
        <v>570</v>
      </c>
      <c r="P624" s="9" t="inlineStr">
        <is>
          <t>NSMI24060106595</t>
        </is>
      </c>
      <c r="Q624" s="53">
        <f>MID(P624,5,2)</f>
        <v/>
      </c>
      <c r="R624" s="53">
        <f>MID(P624,7,2)</f>
        <v/>
      </c>
      <c r="S624" s="3" t="inlineStr">
        <is>
          <t>G2G</t>
        </is>
      </c>
      <c r="T624" s="3" t="inlineStr">
        <is>
          <t>P4</t>
        </is>
      </c>
      <c r="U624" s="3" t="inlineStr">
        <is>
          <t>P JB Cold Soldering</t>
        </is>
      </c>
      <c r="V624" s="3" t="inlineStr">
        <is>
          <t>Soldering</t>
        </is>
      </c>
      <c r="W624" s="3" t="inlineStr">
        <is>
          <t>Repair</t>
        </is>
      </c>
      <c r="X624" s="18" t="n">
        <v>46151</v>
      </c>
      <c r="Y624" s="73">
        <f>IF(X624="","",X624-A624)</f>
        <v/>
      </c>
      <c r="Z624" s="18" t="n">
        <v>46151</v>
      </c>
      <c r="AA624" s="15" t="n"/>
      <c r="AB624" s="15" t="n"/>
      <c r="AF624">
        <f>IF(AND($F624="Closed",$X624&gt;=DATE(2026,5,1),$X624&lt;=DATE(2026,5,31)),"Closed in May","Other")</f>
        <v/>
      </c>
    </row>
    <row r="625">
      <c r="A625" s="6" t="n">
        <v>46107</v>
      </c>
      <c r="B625" s="3" t="n">
        <v>2026</v>
      </c>
      <c r="C625" s="3" t="inlineStr">
        <is>
          <t>Blupine Energy</t>
        </is>
      </c>
      <c r="D625" s="3" t="inlineStr">
        <is>
          <t>Utility and C&amp;I</t>
        </is>
      </c>
      <c r="E625" s="3" t="n"/>
      <c r="F625" s="3" t="inlineStr">
        <is>
          <t>Closed</t>
        </is>
      </c>
      <c r="G625" s="3" t="inlineStr">
        <is>
          <t>Chandrashekar Patidar</t>
        </is>
      </c>
      <c r="H625" s="3" t="n">
        <v>7879764773</v>
      </c>
      <c r="I625" s="11" t="inlineStr">
        <is>
          <t>PE26032601</t>
        </is>
      </c>
      <c r="J625" s="3" t="inlineStr">
        <is>
          <t>Module Diode Failure</t>
        </is>
      </c>
      <c r="K625" s="3" t="inlineStr">
        <is>
          <t>Sadla</t>
        </is>
      </c>
      <c r="L625" s="3" t="inlineStr">
        <is>
          <t>Gujarat</t>
        </is>
      </c>
      <c r="M625" s="9" t="inlineStr">
        <is>
          <t>PS</t>
        </is>
      </c>
      <c r="N625" s="3" t="inlineStr">
        <is>
          <t>Cold Soldering</t>
        </is>
      </c>
      <c r="O625" s="3" t="n">
        <v>570</v>
      </c>
      <c r="P625" s="9" t="inlineStr">
        <is>
          <t>NSMI24050065717</t>
        </is>
      </c>
      <c r="Q625" s="53">
        <f>MID(P625,5,2)</f>
        <v/>
      </c>
      <c r="R625" s="53">
        <f>MID(P625,7,2)</f>
        <v/>
      </c>
      <c r="S625" s="3" t="inlineStr">
        <is>
          <t>G2G</t>
        </is>
      </c>
      <c r="T625" s="3" t="inlineStr">
        <is>
          <t>P4</t>
        </is>
      </c>
      <c r="U625" s="3" t="inlineStr">
        <is>
          <t>P JB Cold Soldering</t>
        </is>
      </c>
      <c r="V625" s="3" t="inlineStr">
        <is>
          <t>Soldering</t>
        </is>
      </c>
      <c r="W625" s="3" t="inlineStr">
        <is>
          <t>Repair</t>
        </is>
      </c>
      <c r="X625" s="18" t="n">
        <v>46151</v>
      </c>
      <c r="Y625" s="73">
        <f>IF(X625="","",X625-A625)</f>
        <v/>
      </c>
      <c r="Z625" s="18" t="n">
        <v>46151</v>
      </c>
      <c r="AA625" s="15" t="n"/>
      <c r="AB625" s="15" t="n"/>
      <c r="AF625">
        <f>IF(AND($F625="Closed",$X625&gt;=DATE(2026,5,1),$X625&lt;=DATE(2026,5,31)),"Closed in May","Other")</f>
        <v/>
      </c>
    </row>
    <row r="626">
      <c r="A626" s="6" t="n">
        <v>46107</v>
      </c>
      <c r="B626" s="3" t="n">
        <v>2026</v>
      </c>
      <c r="C626" s="3" t="inlineStr">
        <is>
          <t>Blupine Energy</t>
        </is>
      </c>
      <c r="D626" s="3" t="inlineStr">
        <is>
          <t>Utility and C&amp;I</t>
        </is>
      </c>
      <c r="E626" s="3" t="n"/>
      <c r="F626" s="3" t="inlineStr">
        <is>
          <t>Closed</t>
        </is>
      </c>
      <c r="G626" s="3" t="inlineStr">
        <is>
          <t>Chandrashekar Patidar</t>
        </is>
      </c>
      <c r="H626" s="3" t="n">
        <v>7879764773</v>
      </c>
      <c r="I626" s="11" t="inlineStr">
        <is>
          <t>PE26032601</t>
        </is>
      </c>
      <c r="J626" s="3" t="inlineStr">
        <is>
          <t>Module Diode Failure</t>
        </is>
      </c>
      <c r="K626" s="3" t="inlineStr">
        <is>
          <t>Sadla</t>
        </is>
      </c>
      <c r="L626" s="3" t="inlineStr">
        <is>
          <t>Gujarat</t>
        </is>
      </c>
      <c r="M626" s="9" t="inlineStr">
        <is>
          <t>PS</t>
        </is>
      </c>
      <c r="N626" s="3" t="inlineStr">
        <is>
          <t>Cold Soldering</t>
        </is>
      </c>
      <c r="O626" s="3" t="n">
        <v>570</v>
      </c>
      <c r="P626" s="9" t="inlineStr">
        <is>
          <t>NSMI24050059871</t>
        </is>
      </c>
      <c r="Q626" s="53">
        <f>MID(P626,5,2)</f>
        <v/>
      </c>
      <c r="R626" s="53">
        <f>MID(P626,7,2)</f>
        <v/>
      </c>
      <c r="S626" s="3" t="inlineStr">
        <is>
          <t>G2G</t>
        </is>
      </c>
      <c r="T626" s="3" t="inlineStr">
        <is>
          <t>P4</t>
        </is>
      </c>
      <c r="U626" s="3" t="inlineStr">
        <is>
          <t>P JB Cold Soldering</t>
        </is>
      </c>
      <c r="V626" s="3" t="inlineStr">
        <is>
          <t>Soldering</t>
        </is>
      </c>
      <c r="W626" s="3" t="inlineStr">
        <is>
          <t>Repair</t>
        </is>
      </c>
      <c r="X626" s="18" t="n">
        <v>46151</v>
      </c>
      <c r="Y626" s="73">
        <f>IF(X626="","",X626-A626)</f>
        <v/>
      </c>
      <c r="Z626" s="18" t="n">
        <v>46151</v>
      </c>
      <c r="AA626" s="15" t="n"/>
      <c r="AB626" s="15" t="n"/>
      <c r="AF626">
        <f>IF(AND($F626="Closed",$X626&gt;=DATE(2026,5,1),$X626&lt;=DATE(2026,5,31)),"Closed in May","Other")</f>
        <v/>
      </c>
    </row>
    <row r="627">
      <c r="A627" s="6" t="n">
        <v>46107</v>
      </c>
      <c r="B627" s="3" t="n">
        <v>2026</v>
      </c>
      <c r="C627" s="3" t="inlineStr">
        <is>
          <t>Blupine Energy</t>
        </is>
      </c>
      <c r="D627" s="3" t="inlineStr">
        <is>
          <t>Utility and C&amp;I</t>
        </is>
      </c>
      <c r="E627" s="3" t="n"/>
      <c r="F627" s="3" t="inlineStr">
        <is>
          <t>Closed</t>
        </is>
      </c>
      <c r="G627" s="3" t="inlineStr">
        <is>
          <t>Chandrashekar Patidar</t>
        </is>
      </c>
      <c r="H627" s="3" t="n">
        <v>7879764773</v>
      </c>
      <c r="I627" s="11" t="inlineStr">
        <is>
          <t>PE26032601</t>
        </is>
      </c>
      <c r="J627" s="3" t="inlineStr">
        <is>
          <t>Module Diode Failure</t>
        </is>
      </c>
      <c r="K627" s="3" t="inlineStr">
        <is>
          <t>Sadla</t>
        </is>
      </c>
      <c r="L627" s="3" t="inlineStr">
        <is>
          <t>Gujarat</t>
        </is>
      </c>
      <c r="M627" s="9" t="inlineStr">
        <is>
          <t xml:space="preserve">NS </t>
        </is>
      </c>
      <c r="N627" s="3" t="inlineStr">
        <is>
          <t>Cold Soldering</t>
        </is>
      </c>
      <c r="O627" s="3" t="n">
        <v>570</v>
      </c>
      <c r="P627" s="9" t="inlineStr">
        <is>
          <t>NSMI24060114483</t>
        </is>
      </c>
      <c r="Q627" s="53">
        <f>MID(P627,5,2)</f>
        <v/>
      </c>
      <c r="R627" s="53">
        <f>MID(P627,7,2)</f>
        <v/>
      </c>
      <c r="S627" s="3" t="inlineStr">
        <is>
          <t>G2G</t>
        </is>
      </c>
      <c r="T627" s="3" t="inlineStr">
        <is>
          <t>P4</t>
        </is>
      </c>
      <c r="U627" s="3" t="inlineStr">
        <is>
          <t>N JB Cold Soldering</t>
        </is>
      </c>
      <c r="V627" s="3" t="inlineStr">
        <is>
          <t>Soldering</t>
        </is>
      </c>
      <c r="W627" s="3" t="inlineStr">
        <is>
          <t>Repair</t>
        </is>
      </c>
      <c r="X627" s="18" t="n">
        <v>46151</v>
      </c>
      <c r="Y627" s="73">
        <f>IF(X627="","",X627-A627)</f>
        <v/>
      </c>
      <c r="Z627" s="18" t="n">
        <v>46151</v>
      </c>
      <c r="AA627" s="15" t="n"/>
      <c r="AB627" s="15" t="n"/>
      <c r="AF627">
        <f>IF(AND($F627="Closed",$X627&gt;=DATE(2026,5,1),$X627&lt;=DATE(2026,5,31)),"Closed in May","Other")</f>
        <v/>
      </c>
    </row>
    <row r="628">
      <c r="A628" s="6" t="n">
        <v>46107</v>
      </c>
      <c r="B628" s="3" t="n">
        <v>2026</v>
      </c>
      <c r="C628" s="3" t="inlineStr">
        <is>
          <t>Blupine Energy</t>
        </is>
      </c>
      <c r="D628" s="3" t="inlineStr">
        <is>
          <t>Utility and C&amp;I</t>
        </is>
      </c>
      <c r="E628" s="3" t="n"/>
      <c r="F628" s="3" t="inlineStr">
        <is>
          <t>Closed</t>
        </is>
      </c>
      <c r="G628" s="3" t="inlineStr">
        <is>
          <t>Chandrashekar Patidar</t>
        </is>
      </c>
      <c r="H628" s="3" t="n">
        <v>7879764773</v>
      </c>
      <c r="I628" s="11" t="inlineStr">
        <is>
          <t>PE26032601</t>
        </is>
      </c>
      <c r="J628" s="3" t="inlineStr">
        <is>
          <t>Module Diode Failure</t>
        </is>
      </c>
      <c r="K628" s="3" t="inlineStr">
        <is>
          <t>Sadla</t>
        </is>
      </c>
      <c r="L628" s="3" t="inlineStr">
        <is>
          <t>Gujarat</t>
        </is>
      </c>
      <c r="M628" s="9" t="inlineStr">
        <is>
          <t>PNS</t>
        </is>
      </c>
      <c r="N628" s="3" t="inlineStr">
        <is>
          <t>Cold Soldering</t>
        </is>
      </c>
      <c r="O628" s="3" t="n">
        <v>570</v>
      </c>
      <c r="P628" s="9" t="inlineStr">
        <is>
          <t>NSMI24060114478</t>
        </is>
      </c>
      <c r="Q628" s="53">
        <f>MID(P628,5,2)</f>
        <v/>
      </c>
      <c r="R628" s="53">
        <f>MID(P628,7,2)</f>
        <v/>
      </c>
      <c r="S628" s="3" t="inlineStr">
        <is>
          <t>G2G</t>
        </is>
      </c>
      <c r="T628" s="3" t="inlineStr">
        <is>
          <t>P4</t>
        </is>
      </c>
      <c r="U628" s="3" t="inlineStr">
        <is>
          <t>P &amp; N JB Cold Soldering</t>
        </is>
      </c>
      <c r="V628" s="3" t="inlineStr">
        <is>
          <t>Soldering</t>
        </is>
      </c>
      <c r="W628" s="3" t="inlineStr">
        <is>
          <t>Repair</t>
        </is>
      </c>
      <c r="X628" s="18" t="n">
        <v>46151</v>
      </c>
      <c r="Y628" s="73">
        <f>IF(X628="","",X628-A628)</f>
        <v/>
      </c>
      <c r="Z628" s="18" t="n">
        <v>46151</v>
      </c>
      <c r="AA628" s="15" t="n"/>
      <c r="AB628" s="15" t="n"/>
      <c r="AF628">
        <f>IF(AND($F628="Closed",$X628&gt;=DATE(2026,5,1),$X628&lt;=DATE(2026,5,31)),"Closed in May","Other")</f>
        <v/>
      </c>
    </row>
    <row r="629">
      <c r="A629" s="6" t="n">
        <v>46107</v>
      </c>
      <c r="B629" s="3" t="n">
        <v>2026</v>
      </c>
      <c r="C629" s="3" t="inlineStr">
        <is>
          <t>Blupine Energy</t>
        </is>
      </c>
      <c r="D629" s="3" t="inlineStr">
        <is>
          <t>Utility and C&amp;I</t>
        </is>
      </c>
      <c r="E629" s="3" t="n"/>
      <c r="F629" s="3" t="inlineStr">
        <is>
          <t>Closed</t>
        </is>
      </c>
      <c r="G629" s="3" t="inlineStr">
        <is>
          <t>Chandrashekar Patidar</t>
        </is>
      </c>
      <c r="H629" s="3" t="n">
        <v>7879764773</v>
      </c>
      <c r="I629" s="11" t="inlineStr">
        <is>
          <t>PE26032601</t>
        </is>
      </c>
      <c r="J629" s="3" t="inlineStr">
        <is>
          <t>Module Diode Failure</t>
        </is>
      </c>
      <c r="K629" s="3" t="inlineStr">
        <is>
          <t>Sadla</t>
        </is>
      </c>
      <c r="L629" s="3" t="inlineStr">
        <is>
          <t>Gujarat</t>
        </is>
      </c>
      <c r="M629" s="9" t="inlineStr">
        <is>
          <t>NR</t>
        </is>
      </c>
      <c r="N629" s="3" t="inlineStr">
        <is>
          <t>JB Issue</t>
        </is>
      </c>
      <c r="O629" s="3" t="n">
        <v>570</v>
      </c>
      <c r="P629" s="9" t="inlineStr">
        <is>
          <t>NSMI24050063274</t>
        </is>
      </c>
      <c r="Q629" s="53">
        <f>MID(P629,5,2)</f>
        <v/>
      </c>
      <c r="R629" s="53">
        <f>MID(P629,7,2)</f>
        <v/>
      </c>
      <c r="S629" s="3" t="inlineStr">
        <is>
          <t>G2G</t>
        </is>
      </c>
      <c r="T629" s="3" t="inlineStr">
        <is>
          <t>P4</t>
        </is>
      </c>
      <c r="U629" s="3" t="inlineStr">
        <is>
          <t>N JB Issue</t>
        </is>
      </c>
      <c r="V629" s="3" t="inlineStr">
        <is>
          <t>JB Changed</t>
        </is>
      </c>
      <c r="W629" s="3" t="inlineStr">
        <is>
          <t>Repair</t>
        </is>
      </c>
      <c r="X629" s="18" t="n">
        <v>46151</v>
      </c>
      <c r="Y629" s="73">
        <f>IF(X629="","",X629-A629)</f>
        <v/>
      </c>
      <c r="Z629" s="18" t="n">
        <v>46151</v>
      </c>
      <c r="AA629" s="15" t="n"/>
      <c r="AB629" s="15" t="n"/>
      <c r="AF629">
        <f>IF(AND($F629="Closed",$X629&gt;=DATE(2026,5,1),$X629&lt;=DATE(2026,5,31)),"Closed in May","Other")</f>
        <v/>
      </c>
    </row>
    <row r="630">
      <c r="A630" s="6" t="n">
        <v>46107</v>
      </c>
      <c r="B630" s="3" t="n">
        <v>2026</v>
      </c>
      <c r="C630" s="3" t="inlineStr">
        <is>
          <t>Blupine Energy</t>
        </is>
      </c>
      <c r="D630" s="3" t="inlineStr">
        <is>
          <t>Utility and C&amp;I</t>
        </is>
      </c>
      <c r="E630" s="3" t="n"/>
      <c r="F630" s="3" t="inlineStr">
        <is>
          <t>Closed</t>
        </is>
      </c>
      <c r="G630" s="3" t="inlineStr">
        <is>
          <t>Chandrashekar Patidar</t>
        </is>
      </c>
      <c r="H630" s="3" t="n">
        <v>7879764773</v>
      </c>
      <c r="I630" s="11" t="inlineStr">
        <is>
          <t>PE26032601</t>
        </is>
      </c>
      <c r="J630" s="3" t="inlineStr">
        <is>
          <t>Module Diode Failure</t>
        </is>
      </c>
      <c r="K630" s="3" t="inlineStr">
        <is>
          <t>Sadla</t>
        </is>
      </c>
      <c r="L630" s="3" t="inlineStr">
        <is>
          <t>Gujarat</t>
        </is>
      </c>
      <c r="M630" s="9" t="inlineStr">
        <is>
          <t>PNS</t>
        </is>
      </c>
      <c r="N630" s="3" t="inlineStr">
        <is>
          <t>Cold Soldering</t>
        </is>
      </c>
      <c r="O630" s="3" t="n">
        <v>570</v>
      </c>
      <c r="P630" s="9" t="inlineStr">
        <is>
          <t>NSMI24050045981</t>
        </is>
      </c>
      <c r="Q630" s="53">
        <f>MID(P630,5,2)</f>
        <v/>
      </c>
      <c r="R630" s="53">
        <f>MID(P630,7,2)</f>
        <v/>
      </c>
      <c r="S630" s="3" t="inlineStr">
        <is>
          <t>G2G</t>
        </is>
      </c>
      <c r="T630" s="3" t="inlineStr">
        <is>
          <t>P4</t>
        </is>
      </c>
      <c r="U630" s="3" t="inlineStr">
        <is>
          <t>P &amp; N JB Cold Soldering</t>
        </is>
      </c>
      <c r="V630" s="3" t="inlineStr">
        <is>
          <t>Soldering</t>
        </is>
      </c>
      <c r="W630" s="3" t="inlineStr">
        <is>
          <t>Repair</t>
        </is>
      </c>
      <c r="X630" s="18" t="n">
        <v>46151</v>
      </c>
      <c r="Y630" s="73">
        <f>IF(X630="","",X630-A630)</f>
        <v/>
      </c>
      <c r="Z630" s="18" t="n">
        <v>46151</v>
      </c>
      <c r="AA630" s="15" t="n"/>
      <c r="AB630" s="15" t="n"/>
      <c r="AF630">
        <f>IF(AND($F630="Closed",$X630&gt;=DATE(2026,5,1),$X630&lt;=DATE(2026,5,31)),"Closed in May","Other")</f>
        <v/>
      </c>
    </row>
    <row r="631">
      <c r="A631" s="6" t="n">
        <v>46107</v>
      </c>
      <c r="B631" s="3" t="n">
        <v>2026</v>
      </c>
      <c r="C631" s="3" t="inlineStr">
        <is>
          <t>Blupine Energy</t>
        </is>
      </c>
      <c r="D631" s="3" t="inlineStr">
        <is>
          <t>Utility and C&amp;I</t>
        </is>
      </c>
      <c r="E631" s="3" t="n"/>
      <c r="F631" s="3" t="inlineStr">
        <is>
          <t>Closed</t>
        </is>
      </c>
      <c r="G631" s="3" t="inlineStr">
        <is>
          <t>Chandrashekar Patidar</t>
        </is>
      </c>
      <c r="H631" s="3" t="n">
        <v>7879764773</v>
      </c>
      <c r="I631" s="11" t="inlineStr">
        <is>
          <t>PE26032601</t>
        </is>
      </c>
      <c r="J631" s="3" t="inlineStr">
        <is>
          <t>Module Diode Failure</t>
        </is>
      </c>
      <c r="K631" s="3" t="inlineStr">
        <is>
          <t>Sadla</t>
        </is>
      </c>
      <c r="L631" s="3" t="inlineStr">
        <is>
          <t>Gujarat</t>
        </is>
      </c>
      <c r="M631" s="9" t="inlineStr">
        <is>
          <t xml:space="preserve">NS </t>
        </is>
      </c>
      <c r="N631" s="3" t="inlineStr">
        <is>
          <t>Cold Soldering</t>
        </is>
      </c>
      <c r="O631" s="3" t="n">
        <v>570</v>
      </c>
      <c r="P631" s="9" t="inlineStr">
        <is>
          <t>NSMI24050064909</t>
        </is>
      </c>
      <c r="Q631" s="53">
        <f>MID(P631,5,2)</f>
        <v/>
      </c>
      <c r="R631" s="53">
        <f>MID(P631,7,2)</f>
        <v/>
      </c>
      <c r="S631" s="3" t="inlineStr">
        <is>
          <t>G2G</t>
        </is>
      </c>
      <c r="T631" s="3" t="inlineStr">
        <is>
          <t>P4</t>
        </is>
      </c>
      <c r="U631" s="3" t="inlineStr">
        <is>
          <t>N JB Cold Soldering</t>
        </is>
      </c>
      <c r="V631" s="3" t="inlineStr">
        <is>
          <t>Soldering</t>
        </is>
      </c>
      <c r="W631" s="3" t="inlineStr">
        <is>
          <t>Repair</t>
        </is>
      </c>
      <c r="X631" s="18" t="n">
        <v>46151</v>
      </c>
      <c r="Y631" s="73">
        <f>IF(X631="","",X631-A631)</f>
        <v/>
      </c>
      <c r="Z631" s="18" t="n">
        <v>46151</v>
      </c>
      <c r="AA631" s="15" t="n"/>
      <c r="AB631" s="15" t="n"/>
      <c r="AF631">
        <f>IF(AND($F631="Closed",$X631&gt;=DATE(2026,5,1),$X631&lt;=DATE(2026,5,31)),"Closed in May","Other")</f>
        <v/>
      </c>
    </row>
    <row r="632">
      <c r="A632" s="6" t="n">
        <v>46107</v>
      </c>
      <c r="B632" s="3" t="n">
        <v>2026</v>
      </c>
      <c r="C632" s="3" t="inlineStr">
        <is>
          <t>Blupine Energy</t>
        </is>
      </c>
      <c r="D632" s="3" t="inlineStr">
        <is>
          <t>Utility and C&amp;I</t>
        </is>
      </c>
      <c r="E632" s="3" t="n"/>
      <c r="F632" s="3" t="inlineStr">
        <is>
          <t>Closed</t>
        </is>
      </c>
      <c r="G632" s="3" t="inlineStr">
        <is>
          <t>Chandrashekar Patidar</t>
        </is>
      </c>
      <c r="H632" s="3" t="n">
        <v>7879764773</v>
      </c>
      <c r="I632" s="11" t="inlineStr">
        <is>
          <t>PE26032601</t>
        </is>
      </c>
      <c r="J632" s="3" t="inlineStr">
        <is>
          <t>Module Diode Failure</t>
        </is>
      </c>
      <c r="K632" s="3" t="inlineStr">
        <is>
          <t>Sadla</t>
        </is>
      </c>
      <c r="L632" s="3" t="inlineStr">
        <is>
          <t>Gujarat</t>
        </is>
      </c>
      <c r="M632" s="9" t="inlineStr">
        <is>
          <t>PNS</t>
        </is>
      </c>
      <c r="N632" s="3" t="inlineStr">
        <is>
          <t>Cold Soldering</t>
        </is>
      </c>
      <c r="O632" s="3" t="n">
        <v>570</v>
      </c>
      <c r="P632" s="9" t="inlineStr">
        <is>
          <t>NSMI24060075382</t>
        </is>
      </c>
      <c r="Q632" s="53">
        <f>MID(P632,5,2)</f>
        <v/>
      </c>
      <c r="R632" s="53">
        <f>MID(P632,7,2)</f>
        <v/>
      </c>
      <c r="S632" s="3" t="inlineStr">
        <is>
          <t>G2G</t>
        </is>
      </c>
      <c r="T632" s="3" t="inlineStr">
        <is>
          <t>P4</t>
        </is>
      </c>
      <c r="U632" s="3" t="inlineStr">
        <is>
          <t>P &amp; N JB Cold Soldering</t>
        </is>
      </c>
      <c r="V632" s="3" t="inlineStr">
        <is>
          <t>Soldering</t>
        </is>
      </c>
      <c r="W632" s="3" t="inlineStr">
        <is>
          <t>Repair</t>
        </is>
      </c>
      <c r="X632" s="18" t="n">
        <v>46153</v>
      </c>
      <c r="Y632" s="73">
        <f>IF(X632="","",X632-A632)</f>
        <v/>
      </c>
      <c r="Z632" s="18" t="n">
        <v>46153</v>
      </c>
      <c r="AA632" s="15" t="n"/>
      <c r="AB632" s="15" t="n"/>
      <c r="AF632">
        <f>IF(AND($F632="Closed",$X632&gt;=DATE(2026,5,1),$X632&lt;=DATE(2026,5,31)),"Closed in May","Other")</f>
        <v/>
      </c>
    </row>
    <row r="633">
      <c r="A633" s="6" t="n">
        <v>46107</v>
      </c>
      <c r="B633" s="3" t="n">
        <v>2026</v>
      </c>
      <c r="C633" s="3" t="inlineStr">
        <is>
          <t>Blupine Energy</t>
        </is>
      </c>
      <c r="D633" s="3" t="inlineStr">
        <is>
          <t>Utility and C&amp;I</t>
        </is>
      </c>
      <c r="E633" s="3" t="n"/>
      <c r="F633" s="3" t="inlineStr">
        <is>
          <t>Closed</t>
        </is>
      </c>
      <c r="G633" s="3" t="inlineStr">
        <is>
          <t>Chandrashekar Patidar</t>
        </is>
      </c>
      <c r="H633" s="3" t="n">
        <v>7879764773</v>
      </c>
      <c r="I633" s="11" t="inlineStr">
        <is>
          <t>PE26032601</t>
        </is>
      </c>
      <c r="J633" s="3" t="inlineStr">
        <is>
          <t>Module Diode Failure</t>
        </is>
      </c>
      <c r="K633" s="3" t="inlineStr">
        <is>
          <t>Sadla</t>
        </is>
      </c>
      <c r="L633" s="3" t="inlineStr">
        <is>
          <t>Gujarat</t>
        </is>
      </c>
      <c r="M633" s="9" t="inlineStr">
        <is>
          <t>PS</t>
        </is>
      </c>
      <c r="N633" s="3" t="inlineStr">
        <is>
          <t>Cold Soldering</t>
        </is>
      </c>
      <c r="O633" s="3" t="n">
        <v>570</v>
      </c>
      <c r="P633" s="9" t="inlineStr">
        <is>
          <t>NSMI24060076565</t>
        </is>
      </c>
      <c r="Q633" s="53">
        <f>MID(P633,5,2)</f>
        <v/>
      </c>
      <c r="R633" s="53">
        <f>MID(P633,7,2)</f>
        <v/>
      </c>
      <c r="S633" s="3" t="inlineStr">
        <is>
          <t>G2G</t>
        </is>
      </c>
      <c r="T633" s="3" t="inlineStr">
        <is>
          <t>P4</t>
        </is>
      </c>
      <c r="U633" s="3" t="inlineStr">
        <is>
          <t>P JB Cold Soldering</t>
        </is>
      </c>
      <c r="V633" s="3" t="inlineStr">
        <is>
          <t>Soldering</t>
        </is>
      </c>
      <c r="W633" s="3" t="inlineStr">
        <is>
          <t>Repair</t>
        </is>
      </c>
      <c r="X633" s="18" t="n">
        <v>46153</v>
      </c>
      <c r="Y633" s="73">
        <f>IF(X633="","",X633-A633)</f>
        <v/>
      </c>
      <c r="Z633" s="18" t="n">
        <v>46153</v>
      </c>
      <c r="AA633" s="15" t="n"/>
      <c r="AB633" s="15" t="n"/>
      <c r="AF633">
        <f>IF(AND($F633="Closed",$X633&gt;=DATE(2026,5,1),$X633&lt;=DATE(2026,5,31)),"Closed in May","Other")</f>
        <v/>
      </c>
    </row>
    <row r="634">
      <c r="A634" s="6" t="n">
        <v>46107</v>
      </c>
      <c r="B634" s="3" t="n">
        <v>2026</v>
      </c>
      <c r="C634" s="3" t="inlineStr">
        <is>
          <t>Blupine Energy</t>
        </is>
      </c>
      <c r="D634" s="3" t="inlineStr">
        <is>
          <t>Utility and C&amp;I</t>
        </is>
      </c>
      <c r="E634" s="3" t="n"/>
      <c r="F634" s="3" t="inlineStr">
        <is>
          <t>Closed</t>
        </is>
      </c>
      <c r="G634" s="3" t="inlineStr">
        <is>
          <t>Chandrashekar Patidar</t>
        </is>
      </c>
      <c r="H634" s="3" t="n">
        <v>7879764773</v>
      </c>
      <c r="I634" s="11" t="inlineStr">
        <is>
          <t>PE26032601</t>
        </is>
      </c>
      <c r="J634" s="3" t="inlineStr">
        <is>
          <t>Module Diode Failure</t>
        </is>
      </c>
      <c r="K634" s="3" t="inlineStr">
        <is>
          <t>Sadla</t>
        </is>
      </c>
      <c r="L634" s="3" t="inlineStr">
        <is>
          <t>Gujarat</t>
        </is>
      </c>
      <c r="M634" s="9" t="inlineStr">
        <is>
          <t>PS</t>
        </is>
      </c>
      <c r="N634" s="3" t="inlineStr">
        <is>
          <t>Cold Soldering</t>
        </is>
      </c>
      <c r="O634" s="3" t="n">
        <v>570</v>
      </c>
      <c r="P634" s="9" t="inlineStr">
        <is>
          <t>NSMI24060076568</t>
        </is>
      </c>
      <c r="Q634" s="53">
        <f>MID(P634,5,2)</f>
        <v/>
      </c>
      <c r="R634" s="53">
        <f>MID(P634,7,2)</f>
        <v/>
      </c>
      <c r="S634" s="3" t="inlineStr">
        <is>
          <t>G2G</t>
        </is>
      </c>
      <c r="T634" s="3" t="inlineStr">
        <is>
          <t>P4</t>
        </is>
      </c>
      <c r="U634" s="3" t="inlineStr">
        <is>
          <t>P JB Cold Soldering</t>
        </is>
      </c>
      <c r="V634" s="3" t="inlineStr">
        <is>
          <t>Soldering</t>
        </is>
      </c>
      <c r="W634" s="3" t="inlineStr">
        <is>
          <t>Repair</t>
        </is>
      </c>
      <c r="X634" s="18" t="n">
        <v>46153</v>
      </c>
      <c r="Y634" s="73">
        <f>IF(X634="","",X634-A634)</f>
        <v/>
      </c>
      <c r="Z634" s="18" t="n">
        <v>46153</v>
      </c>
      <c r="AA634" s="15" t="n"/>
      <c r="AB634" s="15" t="n"/>
      <c r="AF634">
        <f>IF(AND($F634="Closed",$X634&gt;=DATE(2026,5,1),$X634&lt;=DATE(2026,5,31)),"Closed in May","Other")</f>
        <v/>
      </c>
    </row>
    <row r="635">
      <c r="A635" s="6" t="n">
        <v>46107</v>
      </c>
      <c r="B635" s="3" t="n">
        <v>2026</v>
      </c>
      <c r="C635" s="3" t="inlineStr">
        <is>
          <t>Blupine Energy</t>
        </is>
      </c>
      <c r="D635" s="3" t="inlineStr">
        <is>
          <t>Utility and C&amp;I</t>
        </is>
      </c>
      <c r="E635" s="3" t="n"/>
      <c r="F635" s="3" t="inlineStr">
        <is>
          <t>Closed</t>
        </is>
      </c>
      <c r="G635" s="3" t="inlineStr">
        <is>
          <t>Chandrashekar Patidar</t>
        </is>
      </c>
      <c r="H635" s="3" t="n">
        <v>7879764773</v>
      </c>
      <c r="I635" s="11" t="inlineStr">
        <is>
          <t>PE26032601</t>
        </is>
      </c>
      <c r="J635" s="3" t="inlineStr">
        <is>
          <t>Module Diode Failure</t>
        </is>
      </c>
      <c r="K635" s="3" t="inlineStr">
        <is>
          <t>Sadla</t>
        </is>
      </c>
      <c r="L635" s="3" t="inlineStr">
        <is>
          <t>Gujarat</t>
        </is>
      </c>
      <c r="M635" s="9" t="inlineStr">
        <is>
          <t>NS</t>
        </is>
      </c>
      <c r="N635" s="3" t="inlineStr">
        <is>
          <t>Cold Soldering</t>
        </is>
      </c>
      <c r="O635" s="3" t="n">
        <v>570</v>
      </c>
      <c r="P635" s="9" t="inlineStr">
        <is>
          <t>NSMI24060101439</t>
        </is>
      </c>
      <c r="Q635" s="53">
        <f>MID(P635,5,2)</f>
        <v/>
      </c>
      <c r="R635" s="53">
        <f>MID(P635,7,2)</f>
        <v/>
      </c>
      <c r="S635" s="3" t="inlineStr">
        <is>
          <t>G2G</t>
        </is>
      </c>
      <c r="T635" s="3" t="inlineStr">
        <is>
          <t>P4</t>
        </is>
      </c>
      <c r="U635" s="3" t="inlineStr">
        <is>
          <t>N JB Cold Soldering</t>
        </is>
      </c>
      <c r="V635" s="3" t="inlineStr">
        <is>
          <t>Soldering</t>
        </is>
      </c>
      <c r="W635" s="3" t="inlineStr">
        <is>
          <t>Repair</t>
        </is>
      </c>
      <c r="X635" s="18" t="n">
        <v>46153</v>
      </c>
      <c r="Y635" s="73">
        <f>IF(X635="","",X635-A635)</f>
        <v/>
      </c>
      <c r="Z635" s="18" t="n">
        <v>46153</v>
      </c>
      <c r="AA635" s="15" t="n"/>
      <c r="AB635" s="15" t="n"/>
      <c r="AF635">
        <f>IF(AND($F635="Closed",$X635&gt;=DATE(2026,5,1),$X635&lt;=DATE(2026,5,31)),"Closed in May","Other")</f>
        <v/>
      </c>
    </row>
    <row r="636">
      <c r="A636" s="6" t="n">
        <v>46107</v>
      </c>
      <c r="B636" s="3" t="n">
        <v>2026</v>
      </c>
      <c r="C636" s="3" t="inlineStr">
        <is>
          <t>Blupine Energy</t>
        </is>
      </c>
      <c r="D636" s="3" t="inlineStr">
        <is>
          <t>Utility and C&amp;I</t>
        </is>
      </c>
      <c r="E636" s="3" t="n"/>
      <c r="F636" s="3" t="inlineStr">
        <is>
          <t>Closed</t>
        </is>
      </c>
      <c r="G636" s="3" t="inlineStr">
        <is>
          <t>Chandrashekar Patidar</t>
        </is>
      </c>
      <c r="H636" s="3" t="n">
        <v>7879764773</v>
      </c>
      <c r="I636" s="11" t="inlineStr">
        <is>
          <t>PE26032601</t>
        </is>
      </c>
      <c r="J636" s="3" t="inlineStr">
        <is>
          <t>Module Diode Failure</t>
        </is>
      </c>
      <c r="K636" s="3" t="inlineStr">
        <is>
          <t>Sadla</t>
        </is>
      </c>
      <c r="L636" s="3" t="inlineStr">
        <is>
          <t>Gujarat</t>
        </is>
      </c>
      <c r="M636" s="9" t="inlineStr">
        <is>
          <t>NS</t>
        </is>
      </c>
      <c r="N636" s="3" t="inlineStr">
        <is>
          <t>Cold Soldering</t>
        </is>
      </c>
      <c r="O636" s="3" t="n">
        <v>570</v>
      </c>
      <c r="P636" s="9" t="inlineStr">
        <is>
          <t>NSMI24050048295</t>
        </is>
      </c>
      <c r="Q636" s="53">
        <f>MID(P636,5,2)</f>
        <v/>
      </c>
      <c r="R636" s="53">
        <f>MID(P636,7,2)</f>
        <v/>
      </c>
      <c r="S636" s="3" t="inlineStr">
        <is>
          <t>G2G</t>
        </is>
      </c>
      <c r="T636" s="3" t="inlineStr">
        <is>
          <t>P4</t>
        </is>
      </c>
      <c r="U636" s="3" t="inlineStr">
        <is>
          <t>N JB Cold Soldering</t>
        </is>
      </c>
      <c r="V636" s="3" t="inlineStr">
        <is>
          <t>Soldering</t>
        </is>
      </c>
      <c r="W636" s="3" t="inlineStr">
        <is>
          <t>Repair</t>
        </is>
      </c>
      <c r="X636" s="18" t="n">
        <v>46153</v>
      </c>
      <c r="Y636" s="73">
        <f>IF(X636="","",X636-A636)</f>
        <v/>
      </c>
      <c r="Z636" s="18" t="n">
        <v>46153</v>
      </c>
      <c r="AA636" s="15" t="n"/>
      <c r="AB636" s="15" t="n"/>
      <c r="AF636">
        <f>IF(AND($F636="Closed",$X636&gt;=DATE(2026,5,1),$X636&lt;=DATE(2026,5,31)),"Closed in May","Other")</f>
        <v/>
      </c>
    </row>
    <row r="637">
      <c r="A637" s="6" t="n">
        <v>46107</v>
      </c>
      <c r="B637" s="3" t="n">
        <v>2026</v>
      </c>
      <c r="C637" s="3" t="inlineStr">
        <is>
          <t>Blupine Energy</t>
        </is>
      </c>
      <c r="D637" s="3" t="inlineStr">
        <is>
          <t>Utility and C&amp;I</t>
        </is>
      </c>
      <c r="E637" s="3" t="n"/>
      <c r="F637" s="3" t="inlineStr">
        <is>
          <t>Closed</t>
        </is>
      </c>
      <c r="G637" s="3" t="inlineStr">
        <is>
          <t>Chandrashekar Patidar</t>
        </is>
      </c>
      <c r="H637" s="3" t="n">
        <v>7879764773</v>
      </c>
      <c r="I637" s="11" t="inlineStr">
        <is>
          <t>PE26032601</t>
        </is>
      </c>
      <c r="J637" s="3" t="inlineStr">
        <is>
          <t>Module Diode Failure</t>
        </is>
      </c>
      <c r="K637" s="3" t="inlineStr">
        <is>
          <t>Sadla</t>
        </is>
      </c>
      <c r="L637" s="3" t="inlineStr">
        <is>
          <t>Gujarat</t>
        </is>
      </c>
      <c r="M637" s="9" t="inlineStr">
        <is>
          <t>NR</t>
        </is>
      </c>
      <c r="N637" s="3" t="inlineStr">
        <is>
          <t>JB Issue</t>
        </is>
      </c>
      <c r="O637" s="3" t="n">
        <v>570</v>
      </c>
      <c r="P637" s="9" t="inlineStr">
        <is>
          <t>NSMI24050048459</t>
        </is>
      </c>
      <c r="Q637" s="53">
        <f>MID(P637,5,2)</f>
        <v/>
      </c>
      <c r="R637" s="53">
        <f>MID(P637,7,2)</f>
        <v/>
      </c>
      <c r="S637" s="3" t="inlineStr">
        <is>
          <t>G2G</t>
        </is>
      </c>
      <c r="T637" s="3" t="inlineStr">
        <is>
          <t>P4</t>
        </is>
      </c>
      <c r="U637" s="3" t="inlineStr">
        <is>
          <t>N JB Issue</t>
        </is>
      </c>
      <c r="V637" s="3" t="inlineStr">
        <is>
          <t>JB Changed</t>
        </is>
      </c>
      <c r="W637" s="3" t="inlineStr">
        <is>
          <t>Repair</t>
        </is>
      </c>
      <c r="X637" s="18" t="n">
        <v>46153</v>
      </c>
      <c r="Y637" s="73">
        <f>IF(X637="","",X637-A637)</f>
        <v/>
      </c>
      <c r="Z637" s="18" t="n">
        <v>46153</v>
      </c>
      <c r="AA637" s="15" t="n"/>
      <c r="AB637" s="15" t="n"/>
      <c r="AF637">
        <f>IF(AND($F637="Closed",$X637&gt;=DATE(2026,5,1),$X637&lt;=DATE(2026,5,31)),"Closed in May","Other")</f>
        <v/>
      </c>
    </row>
    <row r="638">
      <c r="A638" s="6" t="n">
        <v>46107</v>
      </c>
      <c r="B638" s="3" t="n">
        <v>2026</v>
      </c>
      <c r="C638" s="3" t="inlineStr">
        <is>
          <t>Blupine Energy</t>
        </is>
      </c>
      <c r="D638" s="3" t="inlineStr">
        <is>
          <t>Utility and C&amp;I</t>
        </is>
      </c>
      <c r="E638" s="3" t="n"/>
      <c r="F638" s="3" t="inlineStr">
        <is>
          <t>Closed</t>
        </is>
      </c>
      <c r="G638" s="3" t="inlineStr">
        <is>
          <t>Chandrashekar Patidar</t>
        </is>
      </c>
      <c r="H638" s="3" t="n">
        <v>7879764773</v>
      </c>
      <c r="I638" s="11" t="inlineStr">
        <is>
          <t>PE26032601</t>
        </is>
      </c>
      <c r="J638" s="3" t="inlineStr">
        <is>
          <t>Module Diode Failure</t>
        </is>
      </c>
      <c r="K638" s="3" t="inlineStr">
        <is>
          <t>Sadla</t>
        </is>
      </c>
      <c r="L638" s="3" t="inlineStr">
        <is>
          <t>Gujarat</t>
        </is>
      </c>
      <c r="M638" s="9" t="inlineStr">
        <is>
          <t>PS</t>
        </is>
      </c>
      <c r="N638" s="3" t="inlineStr">
        <is>
          <t>Cold Soldering</t>
        </is>
      </c>
      <c r="O638" s="3" t="n">
        <v>570</v>
      </c>
      <c r="P638" s="9" t="inlineStr">
        <is>
          <t>NSMI24050045972</t>
        </is>
      </c>
      <c r="Q638" s="53">
        <f>MID(P638,5,2)</f>
        <v/>
      </c>
      <c r="R638" s="53">
        <f>MID(P638,7,2)</f>
        <v/>
      </c>
      <c r="S638" s="3" t="inlineStr">
        <is>
          <t>G2G</t>
        </is>
      </c>
      <c r="T638" s="3" t="inlineStr">
        <is>
          <t>P4</t>
        </is>
      </c>
      <c r="U638" s="3" t="inlineStr">
        <is>
          <t>P JB Cold Soldering</t>
        </is>
      </c>
      <c r="V638" s="3" t="inlineStr">
        <is>
          <t>Soldering</t>
        </is>
      </c>
      <c r="W638" s="3" t="inlineStr">
        <is>
          <t>Repair</t>
        </is>
      </c>
      <c r="X638" s="18" t="n">
        <v>46153</v>
      </c>
      <c r="Y638" s="73">
        <f>IF(X638="","",X638-A638)</f>
        <v/>
      </c>
      <c r="Z638" s="18" t="n">
        <v>46153</v>
      </c>
      <c r="AA638" s="15" t="n"/>
      <c r="AB638" s="15" t="n"/>
      <c r="AF638">
        <f>IF(AND($F638="Closed",$X638&gt;=DATE(2026,5,1),$X638&lt;=DATE(2026,5,31)),"Closed in May","Other")</f>
        <v/>
      </c>
    </row>
    <row r="639">
      <c r="A639" s="6" t="n">
        <v>46107</v>
      </c>
      <c r="B639" s="3" t="n">
        <v>2026</v>
      </c>
      <c r="C639" s="3" t="inlineStr">
        <is>
          <t>Blupine Energy</t>
        </is>
      </c>
      <c r="D639" s="3" t="inlineStr">
        <is>
          <t>Utility and C&amp;I</t>
        </is>
      </c>
      <c r="E639" s="3" t="n"/>
      <c r="F639" s="3" t="inlineStr">
        <is>
          <t>Closed</t>
        </is>
      </c>
      <c r="G639" s="3" t="inlineStr">
        <is>
          <t>Chandrashekar Patidar</t>
        </is>
      </c>
      <c r="H639" s="3" t="n">
        <v>7879764773</v>
      </c>
      <c r="I639" s="11" t="inlineStr">
        <is>
          <t>PE26032601</t>
        </is>
      </c>
      <c r="J639" s="3" t="inlineStr">
        <is>
          <t>Module Diode Failure</t>
        </is>
      </c>
      <c r="K639" s="3" t="inlineStr">
        <is>
          <t>Sadla</t>
        </is>
      </c>
      <c r="L639" s="3" t="inlineStr">
        <is>
          <t>Gujarat</t>
        </is>
      </c>
      <c r="M639" s="9" t="inlineStr">
        <is>
          <t>PS</t>
        </is>
      </c>
      <c r="N639" s="3" t="inlineStr">
        <is>
          <t>Cold Soldering</t>
        </is>
      </c>
      <c r="O639" s="3" t="n">
        <v>570</v>
      </c>
      <c r="P639" s="9" t="inlineStr">
        <is>
          <t>NSMI24060091541</t>
        </is>
      </c>
      <c r="Q639" s="53">
        <f>MID(P639,5,2)</f>
        <v/>
      </c>
      <c r="R639" s="53">
        <f>MID(P639,7,2)</f>
        <v/>
      </c>
      <c r="S639" s="3" t="inlineStr">
        <is>
          <t>G2G</t>
        </is>
      </c>
      <c r="T639" s="3" t="inlineStr">
        <is>
          <t>P4</t>
        </is>
      </c>
      <c r="U639" s="3" t="inlineStr">
        <is>
          <t>P JB Cold Soldering</t>
        </is>
      </c>
      <c r="V639" s="3" t="inlineStr">
        <is>
          <t>Soldering</t>
        </is>
      </c>
      <c r="W639" s="3" t="inlineStr">
        <is>
          <t>Repair</t>
        </is>
      </c>
      <c r="X639" s="18" t="n">
        <v>46153</v>
      </c>
      <c r="Y639" s="73">
        <f>IF(X639="","",X639-A639)</f>
        <v/>
      </c>
      <c r="Z639" s="18" t="n">
        <v>46153</v>
      </c>
      <c r="AA639" s="15" t="n"/>
      <c r="AB639" s="15" t="n"/>
      <c r="AF639">
        <f>IF(AND($F639="Closed",$X639&gt;=DATE(2026,5,1),$X639&lt;=DATE(2026,5,31)),"Closed in May","Other")</f>
        <v/>
      </c>
    </row>
    <row r="640">
      <c r="A640" s="6" t="n">
        <v>46107</v>
      </c>
      <c r="B640" s="3" t="n">
        <v>2026</v>
      </c>
      <c r="C640" s="3" t="inlineStr">
        <is>
          <t>Blupine Energy</t>
        </is>
      </c>
      <c r="D640" s="3" t="inlineStr">
        <is>
          <t>Utility and C&amp;I</t>
        </is>
      </c>
      <c r="E640" s="3" t="n"/>
      <c r="F640" s="3" t="inlineStr">
        <is>
          <t>Closed</t>
        </is>
      </c>
      <c r="G640" s="3" t="inlineStr">
        <is>
          <t>Chandrashekar Patidar</t>
        </is>
      </c>
      <c r="H640" s="3" t="n">
        <v>7879764773</v>
      </c>
      <c r="I640" s="11" t="inlineStr">
        <is>
          <t>PE26032601</t>
        </is>
      </c>
      <c r="J640" s="3" t="inlineStr">
        <is>
          <t>Module Diode Failure</t>
        </is>
      </c>
      <c r="K640" s="3" t="inlineStr">
        <is>
          <t>Sadla</t>
        </is>
      </c>
      <c r="L640" s="3" t="inlineStr">
        <is>
          <t>Gujarat</t>
        </is>
      </c>
      <c r="M640" s="9" t="inlineStr">
        <is>
          <t>NS</t>
        </is>
      </c>
      <c r="N640" s="3" t="inlineStr">
        <is>
          <t>Cold Soldering</t>
        </is>
      </c>
      <c r="O640" s="3" t="n">
        <v>570</v>
      </c>
      <c r="P640" s="9" t="inlineStr">
        <is>
          <t>NSMI24060090066</t>
        </is>
      </c>
      <c r="Q640" s="53">
        <f>MID(P640,5,2)</f>
        <v/>
      </c>
      <c r="R640" s="53">
        <f>MID(P640,7,2)</f>
        <v/>
      </c>
      <c r="S640" s="3" t="inlineStr">
        <is>
          <t>G2G</t>
        </is>
      </c>
      <c r="T640" s="3" t="inlineStr">
        <is>
          <t>P4</t>
        </is>
      </c>
      <c r="U640" s="3" t="inlineStr">
        <is>
          <t>N JB Cold Soldering</t>
        </is>
      </c>
      <c r="V640" s="3" t="inlineStr">
        <is>
          <t>Soldering</t>
        </is>
      </c>
      <c r="W640" s="3" t="inlineStr">
        <is>
          <t>Repair</t>
        </is>
      </c>
      <c r="X640" s="18" t="n">
        <v>46153</v>
      </c>
      <c r="Y640" s="73">
        <f>IF(X640="","",X640-A640)</f>
        <v/>
      </c>
      <c r="Z640" s="18" t="n">
        <v>46153</v>
      </c>
      <c r="AA640" s="15" t="n"/>
      <c r="AB640" s="15" t="n"/>
      <c r="AF640">
        <f>IF(AND($F640="Closed",$X640&gt;=DATE(2026,5,1),$X640&lt;=DATE(2026,5,31)),"Closed in May","Other")</f>
        <v/>
      </c>
    </row>
    <row r="641">
      <c r="A641" s="6" t="n">
        <v>46107</v>
      </c>
      <c r="B641" s="3" t="n">
        <v>2026</v>
      </c>
      <c r="C641" s="3" t="inlineStr">
        <is>
          <t>Blupine Energy</t>
        </is>
      </c>
      <c r="D641" s="3" t="inlineStr">
        <is>
          <t>Utility and C&amp;I</t>
        </is>
      </c>
      <c r="E641" s="3" t="n"/>
      <c r="F641" s="3" t="inlineStr">
        <is>
          <t>Closed</t>
        </is>
      </c>
      <c r="G641" s="3" t="inlineStr">
        <is>
          <t>Chandrashekar Patidar</t>
        </is>
      </c>
      <c r="H641" s="3" t="n">
        <v>7879764773</v>
      </c>
      <c r="I641" s="11" t="inlineStr">
        <is>
          <t>PE26032601</t>
        </is>
      </c>
      <c r="J641" s="3" t="inlineStr">
        <is>
          <t>Module Diode Failure</t>
        </is>
      </c>
      <c r="K641" s="3" t="inlineStr">
        <is>
          <t>Sadla</t>
        </is>
      </c>
      <c r="L641" s="3" t="inlineStr">
        <is>
          <t>Gujarat</t>
        </is>
      </c>
      <c r="M641" s="9" t="inlineStr">
        <is>
          <t>PS</t>
        </is>
      </c>
      <c r="N641" s="3" t="inlineStr">
        <is>
          <t>Cold Soldering</t>
        </is>
      </c>
      <c r="O641" s="3" t="n">
        <v>570</v>
      </c>
      <c r="P641" s="9" t="inlineStr">
        <is>
          <t>NSMI24050046696</t>
        </is>
      </c>
      <c r="Q641" s="53">
        <f>MID(P641,5,2)</f>
        <v/>
      </c>
      <c r="R641" s="53">
        <f>MID(P641,7,2)</f>
        <v/>
      </c>
      <c r="S641" s="3" t="inlineStr">
        <is>
          <t>G2G</t>
        </is>
      </c>
      <c r="T641" s="3" t="inlineStr">
        <is>
          <t>P4</t>
        </is>
      </c>
      <c r="U641" s="3" t="inlineStr">
        <is>
          <t>P JB Cold Soldering</t>
        </is>
      </c>
      <c r="V641" s="3" t="inlineStr">
        <is>
          <t>Soldering</t>
        </is>
      </c>
      <c r="W641" s="3" t="inlineStr">
        <is>
          <t>Repair</t>
        </is>
      </c>
      <c r="X641" s="18" t="n">
        <v>46153</v>
      </c>
      <c r="Y641" s="73">
        <f>IF(X641="","",X641-A641)</f>
        <v/>
      </c>
      <c r="Z641" s="18" t="n">
        <v>46153</v>
      </c>
      <c r="AA641" s="15" t="n"/>
      <c r="AB641" s="15" t="n"/>
      <c r="AF641">
        <f>IF(AND($F641="Closed",$X641&gt;=DATE(2026,5,1),$X641&lt;=DATE(2026,5,31)),"Closed in May","Other")</f>
        <v/>
      </c>
    </row>
    <row r="642">
      <c r="A642" s="6" t="n">
        <v>46107</v>
      </c>
      <c r="B642" s="3" t="n">
        <v>2026</v>
      </c>
      <c r="C642" s="3" t="inlineStr">
        <is>
          <t>Blupine Energy</t>
        </is>
      </c>
      <c r="D642" s="3" t="inlineStr">
        <is>
          <t>Utility and C&amp;I</t>
        </is>
      </c>
      <c r="E642" s="3" t="n"/>
      <c r="F642" s="3" t="inlineStr">
        <is>
          <t>Closed</t>
        </is>
      </c>
      <c r="G642" s="3" t="inlineStr">
        <is>
          <t>Chandrashekar Patidar</t>
        </is>
      </c>
      <c r="H642" s="3" t="n">
        <v>7879764773</v>
      </c>
      <c r="I642" s="11" t="inlineStr">
        <is>
          <t>PE26032601</t>
        </is>
      </c>
      <c r="J642" s="3" t="inlineStr">
        <is>
          <t>Module Diode Failure</t>
        </is>
      </c>
      <c r="K642" s="3" t="inlineStr">
        <is>
          <t>Sadla</t>
        </is>
      </c>
      <c r="L642" s="3" t="inlineStr">
        <is>
          <t>Gujarat</t>
        </is>
      </c>
      <c r="M642" s="9" t="inlineStr">
        <is>
          <t>NS</t>
        </is>
      </c>
      <c r="N642" s="3" t="inlineStr">
        <is>
          <t>Cold Soldering</t>
        </is>
      </c>
      <c r="O642" s="3" t="n">
        <v>570</v>
      </c>
      <c r="P642" s="9" t="inlineStr">
        <is>
          <t>NSMI24050044277</t>
        </is>
      </c>
      <c r="Q642" s="53">
        <f>MID(P642,5,2)</f>
        <v/>
      </c>
      <c r="R642" s="53">
        <f>MID(P642,7,2)</f>
        <v/>
      </c>
      <c r="S642" s="3" t="inlineStr">
        <is>
          <t>G2G</t>
        </is>
      </c>
      <c r="T642" s="3" t="inlineStr">
        <is>
          <t>P4</t>
        </is>
      </c>
      <c r="U642" s="3" t="inlineStr">
        <is>
          <t>N JB Cold Soldering</t>
        </is>
      </c>
      <c r="V642" s="3" t="inlineStr">
        <is>
          <t>Soldering</t>
        </is>
      </c>
      <c r="W642" s="3" t="inlineStr">
        <is>
          <t>Repair</t>
        </is>
      </c>
      <c r="X642" s="18" t="n">
        <v>46153</v>
      </c>
      <c r="Y642" s="73">
        <f>IF(X642="","",X642-A642)</f>
        <v/>
      </c>
      <c r="Z642" s="18" t="n">
        <v>46153</v>
      </c>
      <c r="AA642" s="15" t="n"/>
      <c r="AB642" s="15" t="n"/>
      <c r="AF642">
        <f>IF(AND($F642="Closed",$X642&gt;=DATE(2026,5,1),$X642&lt;=DATE(2026,5,31)),"Closed in May","Other")</f>
        <v/>
      </c>
    </row>
    <row r="643">
      <c r="A643" s="6" t="n">
        <v>46107</v>
      </c>
      <c r="B643" s="3" t="n">
        <v>2026</v>
      </c>
      <c r="C643" s="3" t="inlineStr">
        <is>
          <t>Blupine Energy</t>
        </is>
      </c>
      <c r="D643" s="3" t="inlineStr">
        <is>
          <t>Utility and C&amp;I</t>
        </is>
      </c>
      <c r="E643" s="3" t="n"/>
      <c r="F643" s="3" t="inlineStr">
        <is>
          <t>Closed</t>
        </is>
      </c>
      <c r="G643" s="3" t="inlineStr">
        <is>
          <t>Chandrashekar Patidar</t>
        </is>
      </c>
      <c r="H643" s="3" t="n">
        <v>7879764773</v>
      </c>
      <c r="I643" s="11" t="inlineStr">
        <is>
          <t>PE26032601</t>
        </is>
      </c>
      <c r="J643" s="3" t="inlineStr">
        <is>
          <t>Module Diode Failure</t>
        </is>
      </c>
      <c r="K643" s="3" t="inlineStr">
        <is>
          <t>Sadla</t>
        </is>
      </c>
      <c r="L643" s="3" t="inlineStr">
        <is>
          <t>Gujarat</t>
        </is>
      </c>
      <c r="M643" s="9" t="inlineStr">
        <is>
          <t>PS</t>
        </is>
      </c>
      <c r="N643" s="3" t="inlineStr">
        <is>
          <t>Cold Soldering</t>
        </is>
      </c>
      <c r="O643" s="3" t="n">
        <v>570</v>
      </c>
      <c r="P643" s="9" t="inlineStr">
        <is>
          <t>NSMI24050062729</t>
        </is>
      </c>
      <c r="Q643" s="53">
        <f>MID(P643,5,2)</f>
        <v/>
      </c>
      <c r="R643" s="53">
        <f>MID(P643,7,2)</f>
        <v/>
      </c>
      <c r="S643" s="3" t="inlineStr">
        <is>
          <t>G2G</t>
        </is>
      </c>
      <c r="T643" s="3" t="inlineStr">
        <is>
          <t>P4</t>
        </is>
      </c>
      <c r="U643" s="3" t="inlineStr">
        <is>
          <t>P JB Cold Soldering</t>
        </is>
      </c>
      <c r="V643" s="3" t="inlineStr">
        <is>
          <t>Soldering</t>
        </is>
      </c>
      <c r="W643" s="3" t="inlineStr">
        <is>
          <t>Repair</t>
        </is>
      </c>
      <c r="X643" s="18" t="n">
        <v>46153</v>
      </c>
      <c r="Y643" s="73">
        <f>IF(X643="","",X643-A643)</f>
        <v/>
      </c>
      <c r="Z643" s="18" t="n">
        <v>46153</v>
      </c>
      <c r="AA643" s="15" t="n"/>
      <c r="AB643" s="15" t="n"/>
      <c r="AF643">
        <f>IF(AND($F643="Closed",$X643&gt;=DATE(2026,5,1),$X643&lt;=DATE(2026,5,31)),"Closed in May","Other")</f>
        <v/>
      </c>
    </row>
    <row r="644">
      <c r="A644" s="6" t="n">
        <v>46107</v>
      </c>
      <c r="B644" s="3" t="n">
        <v>2026</v>
      </c>
      <c r="C644" s="3" t="inlineStr">
        <is>
          <t>Blupine Energy</t>
        </is>
      </c>
      <c r="D644" s="3" t="inlineStr">
        <is>
          <t>Utility and C&amp;I</t>
        </is>
      </c>
      <c r="E644" s="3" t="n"/>
      <c r="F644" s="3" t="inlineStr">
        <is>
          <t>Closed</t>
        </is>
      </c>
      <c r="G644" s="3" t="inlineStr">
        <is>
          <t>Chandrashekar Patidar</t>
        </is>
      </c>
      <c r="H644" s="3" t="n">
        <v>7879764773</v>
      </c>
      <c r="I644" s="11" t="inlineStr">
        <is>
          <t>PE26032601</t>
        </is>
      </c>
      <c r="J644" s="3" t="inlineStr">
        <is>
          <t>Module Diode Failure</t>
        </is>
      </c>
      <c r="K644" s="3" t="inlineStr">
        <is>
          <t>Sadla</t>
        </is>
      </c>
      <c r="L644" s="3" t="inlineStr">
        <is>
          <t>Gujarat</t>
        </is>
      </c>
      <c r="M644" s="9" t="inlineStr">
        <is>
          <t>PS</t>
        </is>
      </c>
      <c r="N644" s="3" t="inlineStr">
        <is>
          <t>Cold Soldering</t>
        </is>
      </c>
      <c r="O644" s="3" t="n">
        <v>570</v>
      </c>
      <c r="P644" s="9" t="inlineStr">
        <is>
          <t>NSMI24050062673</t>
        </is>
      </c>
      <c r="Q644" s="53">
        <f>MID(P644,5,2)</f>
        <v/>
      </c>
      <c r="R644" s="53">
        <f>MID(P644,7,2)</f>
        <v/>
      </c>
      <c r="S644" s="3" t="inlineStr">
        <is>
          <t>G2G</t>
        </is>
      </c>
      <c r="T644" s="3" t="inlineStr">
        <is>
          <t>P4</t>
        </is>
      </c>
      <c r="U644" s="3" t="inlineStr">
        <is>
          <t>P JB Cold Soldering</t>
        </is>
      </c>
      <c r="V644" s="3" t="inlineStr">
        <is>
          <t>Soldering</t>
        </is>
      </c>
      <c r="W644" s="3" t="inlineStr">
        <is>
          <t>Repair</t>
        </is>
      </c>
      <c r="X644" s="18" t="n">
        <v>46153</v>
      </c>
      <c r="Y644" s="73">
        <f>IF(X644="","",X644-A644)</f>
        <v/>
      </c>
      <c r="Z644" s="18" t="n">
        <v>46153</v>
      </c>
      <c r="AA644" s="15" t="n"/>
      <c r="AB644" s="15" t="n"/>
      <c r="AF644">
        <f>IF(AND($F644="Closed",$X644&gt;=DATE(2026,5,1),$X644&lt;=DATE(2026,5,31)),"Closed in May","Other")</f>
        <v/>
      </c>
    </row>
    <row r="645">
      <c r="A645" s="6" t="n">
        <v>46107</v>
      </c>
      <c r="B645" s="3" t="n">
        <v>2026</v>
      </c>
      <c r="C645" s="3" t="inlineStr">
        <is>
          <t>Blupine Energy</t>
        </is>
      </c>
      <c r="D645" s="3" t="inlineStr">
        <is>
          <t>Utility and C&amp;I</t>
        </is>
      </c>
      <c r="E645" s="3" t="n"/>
      <c r="F645" s="3" t="inlineStr">
        <is>
          <t>Closed</t>
        </is>
      </c>
      <c r="G645" s="3" t="inlineStr">
        <is>
          <t>Chandrashekar Patidar</t>
        </is>
      </c>
      <c r="H645" s="3" t="n">
        <v>7879764773</v>
      </c>
      <c r="I645" s="11" t="inlineStr">
        <is>
          <t>PE26032601</t>
        </is>
      </c>
      <c r="J645" s="3" t="inlineStr">
        <is>
          <t>Module Diode Failure</t>
        </is>
      </c>
      <c r="K645" s="3" t="inlineStr">
        <is>
          <t>Sadla</t>
        </is>
      </c>
      <c r="L645" s="3" t="inlineStr">
        <is>
          <t>Gujarat</t>
        </is>
      </c>
      <c r="M645" s="9" t="inlineStr">
        <is>
          <t>PS</t>
        </is>
      </c>
      <c r="N645" s="3" t="inlineStr">
        <is>
          <t>Cold Soldering</t>
        </is>
      </c>
      <c r="O645" s="3" t="n">
        <v>570</v>
      </c>
      <c r="P645" s="9" t="inlineStr">
        <is>
          <t>NSMI24050054316</t>
        </is>
      </c>
      <c r="Q645" s="53">
        <f>MID(P645,5,2)</f>
        <v/>
      </c>
      <c r="R645" s="53">
        <f>MID(P645,7,2)</f>
        <v/>
      </c>
      <c r="S645" s="3" t="inlineStr">
        <is>
          <t>G2G</t>
        </is>
      </c>
      <c r="T645" s="3" t="inlineStr">
        <is>
          <t>P4</t>
        </is>
      </c>
      <c r="U645" s="3" t="inlineStr">
        <is>
          <t>P JB Cold Soldering</t>
        </is>
      </c>
      <c r="V645" s="3" t="inlineStr">
        <is>
          <t>Soldering</t>
        </is>
      </c>
      <c r="W645" s="3" t="inlineStr">
        <is>
          <t>Repair</t>
        </is>
      </c>
      <c r="X645" s="18" t="n">
        <v>46153</v>
      </c>
      <c r="Y645" s="73">
        <f>IF(X645="","",X645-A645)</f>
        <v/>
      </c>
      <c r="Z645" s="18" t="n">
        <v>46153</v>
      </c>
      <c r="AA645" s="15" t="n"/>
      <c r="AB645" s="15" t="n"/>
      <c r="AF645">
        <f>IF(AND($F645="Closed",$X645&gt;=DATE(2026,5,1),$X645&lt;=DATE(2026,5,31)),"Closed in May","Other")</f>
        <v/>
      </c>
    </row>
    <row r="646">
      <c r="A646" s="6" t="n">
        <v>46107</v>
      </c>
      <c r="B646" s="3" t="n">
        <v>2026</v>
      </c>
      <c r="C646" s="3" t="inlineStr">
        <is>
          <t>Blupine Energy</t>
        </is>
      </c>
      <c r="D646" s="3" t="inlineStr">
        <is>
          <t>Utility and C&amp;I</t>
        </is>
      </c>
      <c r="E646" s="3" t="n"/>
      <c r="F646" s="3" t="inlineStr">
        <is>
          <t>Closed</t>
        </is>
      </c>
      <c r="G646" s="3" t="inlineStr">
        <is>
          <t>Chandrashekar Patidar</t>
        </is>
      </c>
      <c r="H646" s="3" t="n">
        <v>7879764773</v>
      </c>
      <c r="I646" s="11" t="inlineStr">
        <is>
          <t>PE26032601</t>
        </is>
      </c>
      <c r="J646" s="3" t="inlineStr">
        <is>
          <t>Module Diode Failure</t>
        </is>
      </c>
      <c r="K646" s="3" t="inlineStr">
        <is>
          <t>Sadla</t>
        </is>
      </c>
      <c r="L646" s="3" t="inlineStr">
        <is>
          <t>Gujarat</t>
        </is>
      </c>
      <c r="M646" s="9" t="inlineStr">
        <is>
          <t>PS</t>
        </is>
      </c>
      <c r="N646" s="3" t="inlineStr">
        <is>
          <t>Cold Soldering</t>
        </is>
      </c>
      <c r="O646" s="3" t="n">
        <v>570</v>
      </c>
      <c r="P646" s="9" t="inlineStr">
        <is>
          <t>NSMI24060093770</t>
        </is>
      </c>
      <c r="Q646" s="53">
        <f>MID(P646,5,2)</f>
        <v/>
      </c>
      <c r="R646" s="53">
        <f>MID(P646,7,2)</f>
        <v/>
      </c>
      <c r="S646" s="3" t="inlineStr">
        <is>
          <t>G2G</t>
        </is>
      </c>
      <c r="T646" s="3" t="inlineStr">
        <is>
          <t>P4</t>
        </is>
      </c>
      <c r="U646" s="3" t="inlineStr">
        <is>
          <t>P JB Cold Soldering</t>
        </is>
      </c>
      <c r="V646" s="3" t="inlineStr">
        <is>
          <t>Soldering</t>
        </is>
      </c>
      <c r="W646" s="3" t="inlineStr">
        <is>
          <t>Repair</t>
        </is>
      </c>
      <c r="X646" s="18" t="n">
        <v>46153</v>
      </c>
      <c r="Y646" s="73">
        <f>IF(X646="","",X646-A646)</f>
        <v/>
      </c>
      <c r="Z646" s="18" t="n">
        <v>46153</v>
      </c>
      <c r="AA646" s="15" t="n"/>
      <c r="AB646" s="15" t="n"/>
      <c r="AF646">
        <f>IF(AND($F646="Closed",$X646&gt;=DATE(2026,5,1),$X646&lt;=DATE(2026,5,31)),"Closed in May","Other")</f>
        <v/>
      </c>
    </row>
    <row r="647">
      <c r="A647" s="6" t="n">
        <v>46107</v>
      </c>
      <c r="B647" s="3" t="n">
        <v>2026</v>
      </c>
      <c r="C647" s="3" t="inlineStr">
        <is>
          <t>Blupine Energy</t>
        </is>
      </c>
      <c r="D647" s="3" t="inlineStr">
        <is>
          <t>Utility and C&amp;I</t>
        </is>
      </c>
      <c r="E647" s="3" t="n"/>
      <c r="F647" s="3" t="inlineStr">
        <is>
          <t>Closed</t>
        </is>
      </c>
      <c r="G647" s="3" t="inlineStr">
        <is>
          <t>Chandrashekar Patidar</t>
        </is>
      </c>
      <c r="H647" s="3" t="n">
        <v>7879764773</v>
      </c>
      <c r="I647" s="11" t="inlineStr">
        <is>
          <t>PE26032601</t>
        </is>
      </c>
      <c r="J647" s="3" t="inlineStr">
        <is>
          <t>Module Diode Failure</t>
        </is>
      </c>
      <c r="K647" s="3" t="inlineStr">
        <is>
          <t>Sadla</t>
        </is>
      </c>
      <c r="L647" s="3" t="inlineStr">
        <is>
          <t>Gujarat</t>
        </is>
      </c>
      <c r="M647" s="9" t="inlineStr">
        <is>
          <t>PS</t>
        </is>
      </c>
      <c r="N647" s="3" t="inlineStr">
        <is>
          <t>Cold Soldering</t>
        </is>
      </c>
      <c r="O647" s="3" t="n">
        <v>570</v>
      </c>
      <c r="P647" s="9" t="inlineStr">
        <is>
          <t>NSMI24060093745</t>
        </is>
      </c>
      <c r="Q647" s="53">
        <f>MID(P647,5,2)</f>
        <v/>
      </c>
      <c r="R647" s="53">
        <f>MID(P647,7,2)</f>
        <v/>
      </c>
      <c r="S647" s="3" t="inlineStr">
        <is>
          <t>G2G</t>
        </is>
      </c>
      <c r="T647" s="3" t="inlineStr">
        <is>
          <t>P4</t>
        </is>
      </c>
      <c r="U647" s="3" t="inlineStr">
        <is>
          <t>P JB Cold Soldering</t>
        </is>
      </c>
      <c r="V647" s="3" t="inlineStr">
        <is>
          <t>Soldering</t>
        </is>
      </c>
      <c r="W647" s="3" t="inlineStr">
        <is>
          <t>Repair</t>
        </is>
      </c>
      <c r="X647" s="18" t="n">
        <v>46153</v>
      </c>
      <c r="Y647" s="73">
        <f>IF(X647="","",X647-A647)</f>
        <v/>
      </c>
      <c r="Z647" s="18" t="n">
        <v>46153</v>
      </c>
      <c r="AA647" s="15" t="n"/>
      <c r="AB647" s="15" t="n"/>
      <c r="AF647">
        <f>IF(AND($F647="Closed",$X647&gt;=DATE(2026,5,1),$X647&lt;=DATE(2026,5,31)),"Closed in May","Other")</f>
        <v/>
      </c>
    </row>
    <row r="648">
      <c r="A648" s="6" t="n">
        <v>46107</v>
      </c>
      <c r="B648" s="3" t="n">
        <v>2026</v>
      </c>
      <c r="C648" s="3" t="inlineStr">
        <is>
          <t>Blupine Energy</t>
        </is>
      </c>
      <c r="D648" s="3" t="inlineStr">
        <is>
          <t>Utility and C&amp;I</t>
        </is>
      </c>
      <c r="E648" s="3" t="n"/>
      <c r="F648" s="3" t="inlineStr">
        <is>
          <t>Closed</t>
        </is>
      </c>
      <c r="G648" s="3" t="inlineStr">
        <is>
          <t>Chandrashekar Patidar</t>
        </is>
      </c>
      <c r="H648" s="3" t="n">
        <v>7879764773</v>
      </c>
      <c r="I648" s="11" t="inlineStr">
        <is>
          <t>PE26032601</t>
        </is>
      </c>
      <c r="J648" s="3" t="inlineStr">
        <is>
          <t>Module Diode Failure</t>
        </is>
      </c>
      <c r="K648" s="3" t="inlineStr">
        <is>
          <t>Sadla</t>
        </is>
      </c>
      <c r="L648" s="3" t="inlineStr">
        <is>
          <t>Gujarat</t>
        </is>
      </c>
      <c r="M648" s="9" t="inlineStr">
        <is>
          <t>NS</t>
        </is>
      </c>
      <c r="N648" s="3" t="inlineStr">
        <is>
          <t>Cold Soldering</t>
        </is>
      </c>
      <c r="O648" s="3" t="n">
        <v>570</v>
      </c>
      <c r="P648" s="9" t="inlineStr">
        <is>
          <t>NSMI24060093261</t>
        </is>
      </c>
      <c r="Q648" s="53">
        <f>MID(P648,5,2)</f>
        <v/>
      </c>
      <c r="R648" s="53">
        <f>MID(P648,7,2)</f>
        <v/>
      </c>
      <c r="S648" s="3" t="inlineStr">
        <is>
          <t>G2G</t>
        </is>
      </c>
      <c r="T648" s="3" t="inlineStr">
        <is>
          <t>P4</t>
        </is>
      </c>
      <c r="U648" s="3" t="inlineStr">
        <is>
          <t>N JB Cold Soldering</t>
        </is>
      </c>
      <c r="V648" s="3" t="inlineStr">
        <is>
          <t>Soldering</t>
        </is>
      </c>
      <c r="W648" s="3" t="inlineStr">
        <is>
          <t>Repair</t>
        </is>
      </c>
      <c r="X648" s="18" t="n">
        <v>46153</v>
      </c>
      <c r="Y648" s="73">
        <f>IF(X648="","",X648-A648)</f>
        <v/>
      </c>
      <c r="Z648" s="18" t="n">
        <v>46153</v>
      </c>
      <c r="AA648" s="15" t="n"/>
      <c r="AB648" s="15" t="n"/>
      <c r="AF648">
        <f>IF(AND($F648="Closed",$X648&gt;=DATE(2026,5,1),$X648&lt;=DATE(2026,5,31)),"Closed in May","Other")</f>
        <v/>
      </c>
    </row>
    <row r="649">
      <c r="A649" s="6" t="n">
        <v>46107</v>
      </c>
      <c r="B649" s="3" t="n">
        <v>2026</v>
      </c>
      <c r="C649" s="3" t="inlineStr">
        <is>
          <t>Blupine Energy</t>
        </is>
      </c>
      <c r="D649" s="3" t="inlineStr">
        <is>
          <t>Utility and C&amp;I</t>
        </is>
      </c>
      <c r="E649" s="3" t="n"/>
      <c r="F649" s="3" t="inlineStr">
        <is>
          <t>Closed</t>
        </is>
      </c>
      <c r="G649" s="3" t="inlineStr">
        <is>
          <t>Chandrashekar Patidar</t>
        </is>
      </c>
      <c r="H649" s="3" t="n">
        <v>7879764773</v>
      </c>
      <c r="I649" s="11" t="inlineStr">
        <is>
          <t>PE26032601</t>
        </is>
      </c>
      <c r="J649" s="3" t="inlineStr">
        <is>
          <t>Module Diode Failure</t>
        </is>
      </c>
      <c r="K649" s="3" t="inlineStr">
        <is>
          <t>Sadla</t>
        </is>
      </c>
      <c r="L649" s="3" t="inlineStr">
        <is>
          <t>Gujarat</t>
        </is>
      </c>
      <c r="M649" s="9" t="inlineStr">
        <is>
          <t>PS</t>
        </is>
      </c>
      <c r="N649" s="3" t="inlineStr">
        <is>
          <t>Cold Soldering</t>
        </is>
      </c>
      <c r="O649" s="3" t="n">
        <v>570</v>
      </c>
      <c r="P649" s="9" t="inlineStr">
        <is>
          <t>NSMI24060094215</t>
        </is>
      </c>
      <c r="Q649" s="53">
        <f>MID(P649,5,2)</f>
        <v/>
      </c>
      <c r="R649" s="53">
        <f>MID(P649,7,2)</f>
        <v/>
      </c>
      <c r="S649" s="3" t="inlineStr">
        <is>
          <t>G2G</t>
        </is>
      </c>
      <c r="T649" s="3" t="inlineStr">
        <is>
          <t>P4</t>
        </is>
      </c>
      <c r="U649" s="3" t="inlineStr">
        <is>
          <t>P JB Cold Soldering</t>
        </is>
      </c>
      <c r="V649" s="3" t="inlineStr">
        <is>
          <t>Soldering</t>
        </is>
      </c>
      <c r="W649" s="3" t="inlineStr">
        <is>
          <t>Repair</t>
        </is>
      </c>
      <c r="X649" s="18" t="n">
        <v>46153</v>
      </c>
      <c r="Y649" s="73">
        <f>IF(X649="","",X649-A649)</f>
        <v/>
      </c>
      <c r="Z649" s="18" t="n">
        <v>46153</v>
      </c>
      <c r="AA649" s="15" t="n"/>
      <c r="AB649" s="15" t="n"/>
      <c r="AF649">
        <f>IF(AND($F649="Closed",$X649&gt;=DATE(2026,5,1),$X649&lt;=DATE(2026,5,31)),"Closed in May","Other")</f>
        <v/>
      </c>
    </row>
    <row r="650">
      <c r="A650" s="6" t="n">
        <v>46107</v>
      </c>
      <c r="B650" s="3" t="n">
        <v>2026</v>
      </c>
      <c r="C650" s="3" t="inlineStr">
        <is>
          <t>Blupine Energy</t>
        </is>
      </c>
      <c r="D650" s="3" t="inlineStr">
        <is>
          <t>Utility and C&amp;I</t>
        </is>
      </c>
      <c r="E650" s="3" t="n"/>
      <c r="F650" s="3" t="inlineStr">
        <is>
          <t>Closed</t>
        </is>
      </c>
      <c r="G650" s="3" t="inlineStr">
        <is>
          <t>Chandrashekar Patidar</t>
        </is>
      </c>
      <c r="H650" s="3" t="n">
        <v>7879764773</v>
      </c>
      <c r="I650" s="11" t="inlineStr">
        <is>
          <t>PE26032601</t>
        </is>
      </c>
      <c r="J650" s="3" t="inlineStr">
        <is>
          <t>Module Diode Failure</t>
        </is>
      </c>
      <c r="K650" s="3" t="inlineStr">
        <is>
          <t>Sadla</t>
        </is>
      </c>
      <c r="L650" s="3" t="inlineStr">
        <is>
          <t>Gujarat</t>
        </is>
      </c>
      <c r="M650" s="9" t="inlineStr">
        <is>
          <t>NS</t>
        </is>
      </c>
      <c r="N650" s="3" t="inlineStr">
        <is>
          <t>Cold Soldering</t>
        </is>
      </c>
      <c r="O650" s="3" t="n">
        <v>570</v>
      </c>
      <c r="P650" s="9" t="inlineStr">
        <is>
          <t>NSMI24060128339</t>
        </is>
      </c>
      <c r="Q650" s="53">
        <f>MID(P650,5,2)</f>
        <v/>
      </c>
      <c r="R650" s="53">
        <f>MID(P650,7,2)</f>
        <v/>
      </c>
      <c r="S650" s="3" t="inlineStr">
        <is>
          <t>G2G</t>
        </is>
      </c>
      <c r="T650" s="3" t="inlineStr">
        <is>
          <t>P4</t>
        </is>
      </c>
      <c r="U650" s="3" t="inlineStr">
        <is>
          <t>N JB Cold Soldering</t>
        </is>
      </c>
      <c r="V650" s="3" t="inlineStr">
        <is>
          <t>Soldering</t>
        </is>
      </c>
      <c r="W650" s="3" t="inlineStr">
        <is>
          <t>Repair</t>
        </is>
      </c>
      <c r="X650" s="18" t="n">
        <v>46153</v>
      </c>
      <c r="Y650" s="73">
        <f>IF(X650="","",X650-A650)</f>
        <v/>
      </c>
      <c r="Z650" s="18" t="n">
        <v>46153</v>
      </c>
      <c r="AA650" s="15" t="n"/>
      <c r="AB650" s="15" t="n"/>
      <c r="AF650">
        <f>IF(AND($F650="Closed",$X650&gt;=DATE(2026,5,1),$X650&lt;=DATE(2026,5,31)),"Closed in May","Other")</f>
        <v/>
      </c>
    </row>
    <row r="651">
      <c r="A651" s="6" t="n">
        <v>46107</v>
      </c>
      <c r="B651" s="3" t="n">
        <v>2026</v>
      </c>
      <c r="C651" s="3" t="inlineStr">
        <is>
          <t>Blupine Energy</t>
        </is>
      </c>
      <c r="D651" s="3" t="inlineStr">
        <is>
          <t>Utility and C&amp;I</t>
        </is>
      </c>
      <c r="E651" s="3" t="n"/>
      <c r="F651" s="3" t="inlineStr">
        <is>
          <t>Closed</t>
        </is>
      </c>
      <c r="G651" s="3" t="inlineStr">
        <is>
          <t>Chandrashekar Patidar</t>
        </is>
      </c>
      <c r="H651" s="3" t="n">
        <v>7879764773</v>
      </c>
      <c r="I651" s="11" t="inlineStr">
        <is>
          <t>PE26032601</t>
        </is>
      </c>
      <c r="J651" s="3" t="inlineStr">
        <is>
          <t>Module Diode Failure</t>
        </is>
      </c>
      <c r="K651" s="3" t="inlineStr">
        <is>
          <t>Sadla</t>
        </is>
      </c>
      <c r="L651" s="3" t="inlineStr">
        <is>
          <t>Gujarat</t>
        </is>
      </c>
      <c r="M651" s="9" t="inlineStr">
        <is>
          <t>NS</t>
        </is>
      </c>
      <c r="N651" s="3" t="inlineStr">
        <is>
          <t>Cold Soldering</t>
        </is>
      </c>
      <c r="O651" s="3" t="n">
        <v>570</v>
      </c>
      <c r="P651" s="9" t="inlineStr">
        <is>
          <t>NSMI24060097138</t>
        </is>
      </c>
      <c r="Q651" s="53">
        <f>MID(P651,5,2)</f>
        <v/>
      </c>
      <c r="R651" s="53">
        <f>MID(P651,7,2)</f>
        <v/>
      </c>
      <c r="S651" s="3" t="inlineStr">
        <is>
          <t>G2G</t>
        </is>
      </c>
      <c r="T651" s="3" t="inlineStr">
        <is>
          <t>P4</t>
        </is>
      </c>
      <c r="U651" s="3" t="inlineStr">
        <is>
          <t>N JB Cold Soldering</t>
        </is>
      </c>
      <c r="V651" s="3" t="inlineStr">
        <is>
          <t>Soldering</t>
        </is>
      </c>
      <c r="W651" s="3" t="inlineStr">
        <is>
          <t>Repair</t>
        </is>
      </c>
      <c r="X651" s="18" t="n">
        <v>46153</v>
      </c>
      <c r="Y651" s="73">
        <f>IF(X651="","",X651-A651)</f>
        <v/>
      </c>
      <c r="Z651" s="18" t="n">
        <v>46153</v>
      </c>
      <c r="AA651" s="15" t="n"/>
      <c r="AB651" s="15" t="n"/>
      <c r="AF651">
        <f>IF(AND($F651="Closed",$X651&gt;=DATE(2026,5,1),$X651&lt;=DATE(2026,5,31)),"Closed in May","Other")</f>
        <v/>
      </c>
    </row>
    <row r="652">
      <c r="A652" s="6" t="n">
        <v>46107</v>
      </c>
      <c r="B652" s="3" t="n">
        <v>2026</v>
      </c>
      <c r="C652" s="3" t="inlineStr">
        <is>
          <t>Blupine Energy</t>
        </is>
      </c>
      <c r="D652" s="3" t="inlineStr">
        <is>
          <t>Utility and C&amp;I</t>
        </is>
      </c>
      <c r="E652" s="3" t="n"/>
      <c r="F652" s="3" t="inlineStr">
        <is>
          <t>Closed</t>
        </is>
      </c>
      <c r="G652" s="3" t="inlineStr">
        <is>
          <t>Chandrashekar Patidar</t>
        </is>
      </c>
      <c r="H652" s="3" t="n">
        <v>7879764773</v>
      </c>
      <c r="I652" s="11" t="inlineStr">
        <is>
          <t>PE26032601</t>
        </is>
      </c>
      <c r="J652" s="3" t="inlineStr">
        <is>
          <t>Module Diode Failure</t>
        </is>
      </c>
      <c r="K652" s="3" t="inlineStr">
        <is>
          <t>Sadla</t>
        </is>
      </c>
      <c r="L652" s="3" t="inlineStr">
        <is>
          <t>Gujarat</t>
        </is>
      </c>
      <c r="M652" s="9" t="inlineStr">
        <is>
          <t>PS</t>
        </is>
      </c>
      <c r="N652" s="3" t="inlineStr">
        <is>
          <t>Cold Soldering</t>
        </is>
      </c>
      <c r="O652" s="3" t="n">
        <v>570</v>
      </c>
      <c r="P652" s="9" t="inlineStr">
        <is>
          <t>NSMI24060093451</t>
        </is>
      </c>
      <c r="Q652" s="53">
        <f>MID(P652,5,2)</f>
        <v/>
      </c>
      <c r="R652" s="53">
        <f>MID(P652,7,2)</f>
        <v/>
      </c>
      <c r="S652" s="3" t="inlineStr">
        <is>
          <t>G2G</t>
        </is>
      </c>
      <c r="T652" s="3" t="inlineStr">
        <is>
          <t>P4</t>
        </is>
      </c>
      <c r="U652" s="3" t="inlineStr">
        <is>
          <t>P JB Cold Soldering</t>
        </is>
      </c>
      <c r="V652" s="3" t="inlineStr">
        <is>
          <t>Soldering</t>
        </is>
      </c>
      <c r="W652" s="3" t="inlineStr">
        <is>
          <t>Repair</t>
        </is>
      </c>
      <c r="X652" s="18" t="n">
        <v>46153</v>
      </c>
      <c r="Y652" s="73">
        <f>IF(X652="","",X652-A652)</f>
        <v/>
      </c>
      <c r="Z652" s="18" t="n">
        <v>46153</v>
      </c>
      <c r="AA652" s="15" t="n"/>
      <c r="AB652" s="15" t="n"/>
      <c r="AF652">
        <f>IF(AND($F652="Closed",$X652&gt;=DATE(2026,5,1),$X652&lt;=DATE(2026,5,31)),"Closed in May","Other")</f>
        <v/>
      </c>
    </row>
    <row r="653">
      <c r="A653" s="6" t="n">
        <v>46107</v>
      </c>
      <c r="B653" s="3" t="n">
        <v>2026</v>
      </c>
      <c r="C653" s="3" t="inlineStr">
        <is>
          <t>Blupine Energy</t>
        </is>
      </c>
      <c r="D653" s="3" t="inlineStr">
        <is>
          <t>Utility and C&amp;I</t>
        </is>
      </c>
      <c r="E653" s="3" t="n"/>
      <c r="F653" s="3" t="inlineStr">
        <is>
          <t>Closed</t>
        </is>
      </c>
      <c r="G653" s="3" t="inlineStr">
        <is>
          <t>Chandrashekar Patidar</t>
        </is>
      </c>
      <c r="H653" s="3" t="n">
        <v>7879764773</v>
      </c>
      <c r="I653" s="11" t="inlineStr">
        <is>
          <t>PE26032601</t>
        </is>
      </c>
      <c r="J653" s="3" t="inlineStr">
        <is>
          <t>Module Diode Failure</t>
        </is>
      </c>
      <c r="K653" s="3" t="inlineStr">
        <is>
          <t>Sadla</t>
        </is>
      </c>
      <c r="L653" s="3" t="inlineStr">
        <is>
          <t>Gujarat</t>
        </is>
      </c>
      <c r="M653" s="9" t="inlineStr">
        <is>
          <t>NS</t>
        </is>
      </c>
      <c r="N653" s="3" t="inlineStr">
        <is>
          <t>Cold Soldering</t>
        </is>
      </c>
      <c r="O653" s="3" t="n">
        <v>570</v>
      </c>
      <c r="P653" s="9" t="inlineStr">
        <is>
          <t>NSMI24050048121</t>
        </is>
      </c>
      <c r="Q653" s="53">
        <f>MID(P653,5,2)</f>
        <v/>
      </c>
      <c r="R653" s="53">
        <f>MID(P653,7,2)</f>
        <v/>
      </c>
      <c r="S653" s="3" t="inlineStr">
        <is>
          <t>G2G</t>
        </is>
      </c>
      <c r="T653" s="3" t="inlineStr">
        <is>
          <t>P4</t>
        </is>
      </c>
      <c r="U653" s="3" t="inlineStr">
        <is>
          <t>N JB Cold Soldering</t>
        </is>
      </c>
      <c r="V653" s="3" t="inlineStr">
        <is>
          <t>Soldering</t>
        </is>
      </c>
      <c r="W653" s="3" t="inlineStr">
        <is>
          <t>Repair</t>
        </is>
      </c>
      <c r="X653" s="18" t="n">
        <v>46153</v>
      </c>
      <c r="Y653" s="73">
        <f>IF(X653="","",X653-A653)</f>
        <v/>
      </c>
      <c r="Z653" s="18" t="n">
        <v>46153</v>
      </c>
      <c r="AA653" s="15" t="n"/>
      <c r="AB653" s="15" t="n"/>
      <c r="AF653">
        <f>IF(AND($F653="Closed",$X653&gt;=DATE(2026,5,1),$X653&lt;=DATE(2026,5,31)),"Closed in May","Other")</f>
        <v/>
      </c>
    </row>
    <row r="654">
      <c r="A654" s="6" t="n">
        <v>46107</v>
      </c>
      <c r="B654" s="3" t="n">
        <v>2026</v>
      </c>
      <c r="C654" s="3" t="inlineStr">
        <is>
          <t>Blupine Energy</t>
        </is>
      </c>
      <c r="D654" s="3" t="inlineStr">
        <is>
          <t>Utility and C&amp;I</t>
        </is>
      </c>
      <c r="E654" s="3" t="n"/>
      <c r="F654" s="3" t="inlineStr">
        <is>
          <t>Closed</t>
        </is>
      </c>
      <c r="G654" s="3" t="inlineStr">
        <is>
          <t>Chandrashekar Patidar</t>
        </is>
      </c>
      <c r="H654" s="3" t="n">
        <v>7879764773</v>
      </c>
      <c r="I654" s="11" t="inlineStr">
        <is>
          <t>PE26032601</t>
        </is>
      </c>
      <c r="J654" s="3" t="inlineStr">
        <is>
          <t>Module Diode Failure</t>
        </is>
      </c>
      <c r="K654" s="3" t="inlineStr">
        <is>
          <t>Sadla</t>
        </is>
      </c>
      <c r="L654" s="3" t="inlineStr">
        <is>
          <t>Gujarat</t>
        </is>
      </c>
      <c r="M654" s="9" t="inlineStr">
        <is>
          <t>PS</t>
        </is>
      </c>
      <c r="N654" s="3" t="inlineStr">
        <is>
          <t>Cold Soldering</t>
        </is>
      </c>
      <c r="O654" s="3" t="n">
        <v>570</v>
      </c>
      <c r="P654" s="9" t="inlineStr">
        <is>
          <t>NSMI24050058115</t>
        </is>
      </c>
      <c r="Q654" s="53">
        <f>MID(P654,5,2)</f>
        <v/>
      </c>
      <c r="R654" s="53">
        <f>MID(P654,7,2)</f>
        <v/>
      </c>
      <c r="S654" s="3" t="inlineStr">
        <is>
          <t>G2G</t>
        </is>
      </c>
      <c r="T654" s="3" t="inlineStr">
        <is>
          <t>P4</t>
        </is>
      </c>
      <c r="U654" s="3" t="inlineStr">
        <is>
          <t>P JB Cold Soldering</t>
        </is>
      </c>
      <c r="V654" s="3" t="inlineStr">
        <is>
          <t>Soldering</t>
        </is>
      </c>
      <c r="W654" s="3" t="inlineStr">
        <is>
          <t>Repair</t>
        </is>
      </c>
      <c r="X654" s="18" t="n">
        <v>46153</v>
      </c>
      <c r="Y654" s="73">
        <f>IF(X654="","",X654-A654)</f>
        <v/>
      </c>
      <c r="Z654" s="18" t="n">
        <v>46153</v>
      </c>
      <c r="AA654" s="15" t="n"/>
      <c r="AB654" s="15" t="n"/>
      <c r="AF654">
        <f>IF(AND($F654="Closed",$X654&gt;=DATE(2026,5,1),$X654&lt;=DATE(2026,5,31)),"Closed in May","Other")</f>
        <v/>
      </c>
    </row>
    <row r="655">
      <c r="A655" s="6" t="n">
        <v>46107</v>
      </c>
      <c r="B655" s="3" t="n">
        <v>2026</v>
      </c>
      <c r="C655" s="3" t="inlineStr">
        <is>
          <t>Blupine Energy</t>
        </is>
      </c>
      <c r="D655" s="3" t="inlineStr">
        <is>
          <t>Utility and C&amp;I</t>
        </is>
      </c>
      <c r="E655" s="3" t="n"/>
      <c r="F655" s="3" t="inlineStr">
        <is>
          <t>Closed</t>
        </is>
      </c>
      <c r="G655" s="3" t="inlineStr">
        <is>
          <t>Chandrashekar Patidar</t>
        </is>
      </c>
      <c r="H655" s="3" t="n">
        <v>7879764773</v>
      </c>
      <c r="I655" s="11" t="inlineStr">
        <is>
          <t>PE26032601</t>
        </is>
      </c>
      <c r="J655" s="3" t="inlineStr">
        <is>
          <t>Module Diode Failure</t>
        </is>
      </c>
      <c r="K655" s="3" t="inlineStr">
        <is>
          <t>Sadla</t>
        </is>
      </c>
      <c r="L655" s="3" t="inlineStr">
        <is>
          <t>Gujarat</t>
        </is>
      </c>
      <c r="M655" s="9" t="inlineStr">
        <is>
          <t>NS</t>
        </is>
      </c>
      <c r="N655" s="3" t="inlineStr">
        <is>
          <t>Cold Soldering</t>
        </is>
      </c>
      <c r="O655" s="3" t="n">
        <v>570</v>
      </c>
      <c r="P655" s="9" t="inlineStr">
        <is>
          <t>NSMI24050046488</t>
        </is>
      </c>
      <c r="Q655" s="53">
        <f>MID(P655,5,2)</f>
        <v/>
      </c>
      <c r="R655" s="53">
        <f>MID(P655,7,2)</f>
        <v/>
      </c>
      <c r="S655" s="3" t="inlineStr">
        <is>
          <t>G2G</t>
        </is>
      </c>
      <c r="T655" s="3" t="inlineStr">
        <is>
          <t>P4</t>
        </is>
      </c>
      <c r="U655" s="3" t="inlineStr">
        <is>
          <t>N JB Cold Soldering</t>
        </is>
      </c>
      <c r="V655" s="3" t="inlineStr">
        <is>
          <t>Soldering</t>
        </is>
      </c>
      <c r="W655" s="3" t="inlineStr">
        <is>
          <t>Repair</t>
        </is>
      </c>
      <c r="X655" s="18" t="n">
        <v>46153</v>
      </c>
      <c r="Y655" s="73">
        <f>IF(X655="","",X655-A655)</f>
        <v/>
      </c>
      <c r="Z655" s="18" t="n">
        <v>46153</v>
      </c>
      <c r="AA655" s="15" t="n"/>
      <c r="AB655" s="15" t="n"/>
      <c r="AF655">
        <f>IF(AND($F655="Closed",$X655&gt;=DATE(2026,5,1),$X655&lt;=DATE(2026,5,31)),"Closed in May","Other")</f>
        <v/>
      </c>
    </row>
    <row r="656">
      <c r="A656" s="6" t="n">
        <v>46107</v>
      </c>
      <c r="B656" s="3" t="n">
        <v>2026</v>
      </c>
      <c r="C656" s="3" t="inlineStr">
        <is>
          <t>Blupine Energy</t>
        </is>
      </c>
      <c r="D656" s="3" t="inlineStr">
        <is>
          <t>Utility and C&amp;I</t>
        </is>
      </c>
      <c r="E656" s="3" t="n"/>
      <c r="F656" s="3" t="inlineStr">
        <is>
          <t>Closed</t>
        </is>
      </c>
      <c r="G656" s="3" t="inlineStr">
        <is>
          <t>Chandrashekar Patidar</t>
        </is>
      </c>
      <c r="H656" s="3" t="n">
        <v>7879764773</v>
      </c>
      <c r="I656" s="11" t="inlineStr">
        <is>
          <t>PE26032601</t>
        </is>
      </c>
      <c r="J656" s="3" t="inlineStr">
        <is>
          <t>Module Diode Failure</t>
        </is>
      </c>
      <c r="K656" s="3" t="inlineStr">
        <is>
          <t>Sadla</t>
        </is>
      </c>
      <c r="L656" s="3" t="inlineStr">
        <is>
          <t>Gujarat</t>
        </is>
      </c>
      <c r="M656" s="9" t="inlineStr">
        <is>
          <t>NS</t>
        </is>
      </c>
      <c r="N656" s="3" t="inlineStr">
        <is>
          <t>Cold Soldering</t>
        </is>
      </c>
      <c r="O656" s="3" t="n">
        <v>570</v>
      </c>
      <c r="P656" s="9" t="inlineStr">
        <is>
          <t>NSMI24050046324</t>
        </is>
      </c>
      <c r="Q656" s="53">
        <f>MID(P656,5,2)</f>
        <v/>
      </c>
      <c r="R656" s="53">
        <f>MID(P656,7,2)</f>
        <v/>
      </c>
      <c r="S656" s="3" t="inlineStr">
        <is>
          <t>G2G</t>
        </is>
      </c>
      <c r="T656" s="3" t="inlineStr">
        <is>
          <t>P4</t>
        </is>
      </c>
      <c r="U656" s="3" t="inlineStr">
        <is>
          <t>N JB Cold Soldering</t>
        </is>
      </c>
      <c r="V656" s="3" t="inlineStr">
        <is>
          <t>Soldering</t>
        </is>
      </c>
      <c r="W656" s="3" t="inlineStr">
        <is>
          <t>Repair</t>
        </is>
      </c>
      <c r="X656" s="18" t="n">
        <v>46153</v>
      </c>
      <c r="Y656" s="73">
        <f>IF(X656="","",X656-A656)</f>
        <v/>
      </c>
      <c r="Z656" s="18" t="n">
        <v>46153</v>
      </c>
      <c r="AA656" s="15" t="n"/>
      <c r="AB656" s="15" t="n"/>
      <c r="AF656">
        <f>IF(AND($F656="Closed",$X656&gt;=DATE(2026,5,1),$X656&lt;=DATE(2026,5,31)),"Closed in May","Other")</f>
        <v/>
      </c>
    </row>
    <row r="657">
      <c r="A657" s="6" t="n">
        <v>46107</v>
      </c>
      <c r="B657" s="3" t="n">
        <v>2026</v>
      </c>
      <c r="C657" s="3" t="inlineStr">
        <is>
          <t>Blupine Energy</t>
        </is>
      </c>
      <c r="D657" s="3" t="inlineStr">
        <is>
          <t>Utility and C&amp;I</t>
        </is>
      </c>
      <c r="E657" s="3" t="n"/>
      <c r="F657" s="3" t="inlineStr">
        <is>
          <t>Closed</t>
        </is>
      </c>
      <c r="G657" s="3" t="inlineStr">
        <is>
          <t>Chandrashekar Patidar</t>
        </is>
      </c>
      <c r="H657" s="3" t="n">
        <v>7879764773</v>
      </c>
      <c r="I657" s="11" t="inlineStr">
        <is>
          <t>PE26032601</t>
        </is>
      </c>
      <c r="J657" s="3" t="inlineStr">
        <is>
          <t>Module Diode Failure</t>
        </is>
      </c>
      <c r="K657" s="3" t="inlineStr">
        <is>
          <t>Sadla</t>
        </is>
      </c>
      <c r="L657" s="3" t="inlineStr">
        <is>
          <t>Gujarat</t>
        </is>
      </c>
      <c r="M657" s="9" t="inlineStr">
        <is>
          <t>NS</t>
        </is>
      </c>
      <c r="N657" s="3" t="inlineStr">
        <is>
          <t>Cold Soldering</t>
        </is>
      </c>
      <c r="O657" s="3" t="n">
        <v>570</v>
      </c>
      <c r="P657" s="9" t="inlineStr">
        <is>
          <t>NSMI24050046493</t>
        </is>
      </c>
      <c r="Q657" s="53">
        <f>MID(P657,5,2)</f>
        <v/>
      </c>
      <c r="R657" s="53">
        <f>MID(P657,7,2)</f>
        <v/>
      </c>
      <c r="S657" s="3" t="inlineStr">
        <is>
          <t>G2G</t>
        </is>
      </c>
      <c r="T657" s="3" t="inlineStr">
        <is>
          <t>P4</t>
        </is>
      </c>
      <c r="U657" s="3" t="inlineStr">
        <is>
          <t>N JB Cold Soldering</t>
        </is>
      </c>
      <c r="V657" s="3" t="inlineStr">
        <is>
          <t>Soldering</t>
        </is>
      </c>
      <c r="W657" s="3" t="inlineStr">
        <is>
          <t>Repair</t>
        </is>
      </c>
      <c r="X657" s="18" t="n">
        <v>46153</v>
      </c>
      <c r="Y657" s="73">
        <f>IF(X657="","",X657-A657)</f>
        <v/>
      </c>
      <c r="Z657" s="18" t="n">
        <v>46153</v>
      </c>
      <c r="AA657" s="15" t="n"/>
      <c r="AB657" s="15" t="n"/>
      <c r="AF657">
        <f>IF(AND($F657="Closed",$X657&gt;=DATE(2026,5,1),$X657&lt;=DATE(2026,5,31)),"Closed in May","Other")</f>
        <v/>
      </c>
    </row>
    <row r="658">
      <c r="A658" s="6" t="n">
        <v>46107</v>
      </c>
      <c r="B658" s="3" t="n">
        <v>2026</v>
      </c>
      <c r="C658" s="3" t="inlineStr">
        <is>
          <t>Blupine Energy</t>
        </is>
      </c>
      <c r="D658" s="3" t="inlineStr">
        <is>
          <t>Utility and C&amp;I</t>
        </is>
      </c>
      <c r="E658" s="3" t="n"/>
      <c r="F658" s="3" t="inlineStr">
        <is>
          <t>Closed</t>
        </is>
      </c>
      <c r="G658" s="3" t="inlineStr">
        <is>
          <t>Chandrashekar Patidar</t>
        </is>
      </c>
      <c r="H658" s="3" t="n">
        <v>7879764773</v>
      </c>
      <c r="I658" s="11" t="inlineStr">
        <is>
          <t>PE26032601</t>
        </is>
      </c>
      <c r="J658" s="3" t="inlineStr">
        <is>
          <t>Module Diode Failure</t>
        </is>
      </c>
      <c r="K658" s="3" t="inlineStr">
        <is>
          <t>Sadla</t>
        </is>
      </c>
      <c r="L658" s="3" t="inlineStr">
        <is>
          <t>Gujarat</t>
        </is>
      </c>
      <c r="M658" s="9" t="inlineStr">
        <is>
          <t>PS</t>
        </is>
      </c>
      <c r="N658" s="3" t="inlineStr">
        <is>
          <t>Cold Soldering</t>
        </is>
      </c>
      <c r="O658" s="3" t="n">
        <v>570</v>
      </c>
      <c r="P658" s="9" t="inlineStr">
        <is>
          <t>NSMI24060077761</t>
        </is>
      </c>
      <c r="Q658" s="53">
        <f>MID(P658,5,2)</f>
        <v/>
      </c>
      <c r="R658" s="53">
        <f>MID(P658,7,2)</f>
        <v/>
      </c>
      <c r="S658" s="3" t="inlineStr">
        <is>
          <t>G2G</t>
        </is>
      </c>
      <c r="T658" s="3" t="inlineStr">
        <is>
          <t>P4</t>
        </is>
      </c>
      <c r="U658" s="3" t="inlineStr">
        <is>
          <t>P JB Cold Soldering</t>
        </is>
      </c>
      <c r="V658" s="3" t="inlineStr">
        <is>
          <t>Soldering</t>
        </is>
      </c>
      <c r="W658" s="3" t="inlineStr">
        <is>
          <t>Repair</t>
        </is>
      </c>
      <c r="X658" s="18" t="n">
        <v>46153</v>
      </c>
      <c r="Y658" s="73">
        <f>IF(X658="","",X658-A658)</f>
        <v/>
      </c>
      <c r="Z658" s="18" t="n">
        <v>46153</v>
      </c>
      <c r="AA658" s="15" t="n"/>
      <c r="AB658" s="15" t="n"/>
      <c r="AF658">
        <f>IF(AND($F658="Closed",$X658&gt;=DATE(2026,5,1),$X658&lt;=DATE(2026,5,31)),"Closed in May","Other")</f>
        <v/>
      </c>
    </row>
    <row r="659">
      <c r="A659" s="6" t="n">
        <v>46107</v>
      </c>
      <c r="B659" s="3" t="n">
        <v>2026</v>
      </c>
      <c r="C659" s="3" t="inlineStr">
        <is>
          <t>Blupine Energy</t>
        </is>
      </c>
      <c r="D659" s="3" t="inlineStr">
        <is>
          <t>Utility and C&amp;I</t>
        </is>
      </c>
      <c r="E659" s="3" t="n"/>
      <c r="F659" s="3" t="inlineStr">
        <is>
          <t>Closed</t>
        </is>
      </c>
      <c r="G659" s="3" t="inlineStr">
        <is>
          <t>Chandrashekar Patidar</t>
        </is>
      </c>
      <c r="H659" s="3" t="n">
        <v>7879764773</v>
      </c>
      <c r="I659" s="11" t="inlineStr">
        <is>
          <t>PE26032601</t>
        </is>
      </c>
      <c r="J659" s="3" t="inlineStr">
        <is>
          <t>Module Diode Failure</t>
        </is>
      </c>
      <c r="K659" s="3" t="inlineStr">
        <is>
          <t>Sadla</t>
        </is>
      </c>
      <c r="L659" s="3" t="inlineStr">
        <is>
          <t>Gujarat</t>
        </is>
      </c>
      <c r="M659" s="9" t="inlineStr">
        <is>
          <t>NS</t>
        </is>
      </c>
      <c r="N659" s="3" t="inlineStr">
        <is>
          <t>Cold Soldering</t>
        </is>
      </c>
      <c r="O659" s="3" t="n">
        <v>570</v>
      </c>
      <c r="P659" s="9" t="inlineStr">
        <is>
          <t>NSMI24060095518</t>
        </is>
      </c>
      <c r="Q659" s="53">
        <f>MID(P659,5,2)</f>
        <v/>
      </c>
      <c r="R659" s="53">
        <f>MID(P659,7,2)</f>
        <v/>
      </c>
      <c r="S659" s="3" t="inlineStr">
        <is>
          <t>G2G</t>
        </is>
      </c>
      <c r="T659" s="3" t="inlineStr">
        <is>
          <t>P4</t>
        </is>
      </c>
      <c r="U659" s="3" t="inlineStr">
        <is>
          <t>N JB Cold Soldering</t>
        </is>
      </c>
      <c r="V659" s="3" t="inlineStr">
        <is>
          <t>Soldering</t>
        </is>
      </c>
      <c r="W659" s="3" t="inlineStr">
        <is>
          <t>Repair</t>
        </is>
      </c>
      <c r="X659" s="18" t="n">
        <v>46153</v>
      </c>
      <c r="Y659" s="73">
        <f>IF(X659="","",X659-A659)</f>
        <v/>
      </c>
      <c r="Z659" s="18" t="n">
        <v>46153</v>
      </c>
      <c r="AA659" s="15" t="n"/>
      <c r="AB659" s="15" t="n"/>
      <c r="AF659">
        <f>IF(AND($F659="Closed",$X659&gt;=DATE(2026,5,1),$X659&lt;=DATE(2026,5,31)),"Closed in May","Other")</f>
        <v/>
      </c>
    </row>
    <row r="660">
      <c r="A660" s="6" t="n">
        <v>46107</v>
      </c>
      <c r="B660" s="3" t="n">
        <v>2026</v>
      </c>
      <c r="C660" s="3" t="inlineStr">
        <is>
          <t>Blupine Energy</t>
        </is>
      </c>
      <c r="D660" s="3" t="inlineStr">
        <is>
          <t>Utility and C&amp;I</t>
        </is>
      </c>
      <c r="E660" s="3" t="n"/>
      <c r="F660" s="3" t="inlineStr">
        <is>
          <t>Closed</t>
        </is>
      </c>
      <c r="G660" s="3" t="inlineStr">
        <is>
          <t>Chandrashekar Patidar</t>
        </is>
      </c>
      <c r="H660" s="3" t="n">
        <v>7879764773</v>
      </c>
      <c r="I660" s="11" t="inlineStr">
        <is>
          <t>PE26032601</t>
        </is>
      </c>
      <c r="J660" s="3" t="inlineStr">
        <is>
          <t>Module Diode Failure</t>
        </is>
      </c>
      <c r="K660" s="3" t="inlineStr">
        <is>
          <t>Sadla</t>
        </is>
      </c>
      <c r="L660" s="3" t="inlineStr">
        <is>
          <t>Gujarat</t>
        </is>
      </c>
      <c r="M660" s="9" t="inlineStr">
        <is>
          <t>NS</t>
        </is>
      </c>
      <c r="N660" s="3" t="inlineStr">
        <is>
          <t>Cold Soldering</t>
        </is>
      </c>
      <c r="O660" s="3" t="n">
        <v>570</v>
      </c>
      <c r="P660" s="9" t="inlineStr">
        <is>
          <t>NSMI24060090158</t>
        </is>
      </c>
      <c r="Q660" s="53">
        <f>MID(P660,5,2)</f>
        <v/>
      </c>
      <c r="R660" s="53">
        <f>MID(P660,7,2)</f>
        <v/>
      </c>
      <c r="S660" s="3" t="inlineStr">
        <is>
          <t>G2G</t>
        </is>
      </c>
      <c r="T660" s="3" t="inlineStr">
        <is>
          <t>P4</t>
        </is>
      </c>
      <c r="U660" s="3" t="inlineStr">
        <is>
          <t>N JB Cold Soldering</t>
        </is>
      </c>
      <c r="V660" s="3" t="inlineStr">
        <is>
          <t>Soldering</t>
        </is>
      </c>
      <c r="W660" s="3" t="inlineStr">
        <is>
          <t>Repair</t>
        </is>
      </c>
      <c r="X660" s="18" t="n">
        <v>46153</v>
      </c>
      <c r="Y660" s="73">
        <f>IF(X660="","",X660-A660)</f>
        <v/>
      </c>
      <c r="Z660" s="18" t="n">
        <v>46153</v>
      </c>
      <c r="AA660" s="15" t="n"/>
      <c r="AB660" s="15" t="n"/>
      <c r="AF660">
        <f>IF(AND($F660="Closed",$X660&gt;=DATE(2026,5,1),$X660&lt;=DATE(2026,5,31)),"Closed in May","Other")</f>
        <v/>
      </c>
    </row>
    <row r="661">
      <c r="A661" s="6" t="n">
        <v>46107</v>
      </c>
      <c r="B661" s="3" t="n">
        <v>2026</v>
      </c>
      <c r="C661" s="3" t="inlineStr">
        <is>
          <t>Blupine Energy</t>
        </is>
      </c>
      <c r="D661" s="3" t="inlineStr">
        <is>
          <t>Utility and C&amp;I</t>
        </is>
      </c>
      <c r="E661" s="3" t="n"/>
      <c r="F661" s="3" t="inlineStr">
        <is>
          <t>Closed</t>
        </is>
      </c>
      <c r="G661" s="3" t="inlineStr">
        <is>
          <t>Chandrashekar Patidar</t>
        </is>
      </c>
      <c r="H661" s="3" t="n">
        <v>7879764773</v>
      </c>
      <c r="I661" s="11" t="inlineStr">
        <is>
          <t>PE26032601</t>
        </is>
      </c>
      <c r="J661" s="3" t="inlineStr">
        <is>
          <t>Module Diode Failure</t>
        </is>
      </c>
      <c r="K661" s="3" t="inlineStr">
        <is>
          <t>Sadla</t>
        </is>
      </c>
      <c r="L661" s="3" t="inlineStr">
        <is>
          <t>Gujarat</t>
        </is>
      </c>
      <c r="M661" s="9" t="inlineStr">
        <is>
          <t>NS</t>
        </is>
      </c>
      <c r="N661" s="3" t="inlineStr">
        <is>
          <t>Cold Soldering</t>
        </is>
      </c>
      <c r="O661" s="3" t="n">
        <v>570</v>
      </c>
      <c r="P661" s="9" t="inlineStr">
        <is>
          <t>NSMI24060095285</t>
        </is>
      </c>
      <c r="Q661" s="53">
        <f>MID(P661,5,2)</f>
        <v/>
      </c>
      <c r="R661" s="53">
        <f>MID(P661,7,2)</f>
        <v/>
      </c>
      <c r="S661" s="3" t="inlineStr">
        <is>
          <t>G2G</t>
        </is>
      </c>
      <c r="T661" s="3" t="inlineStr">
        <is>
          <t>P4</t>
        </is>
      </c>
      <c r="U661" s="3" t="inlineStr">
        <is>
          <t>N JB Cold Soldering</t>
        </is>
      </c>
      <c r="V661" s="3" t="inlineStr">
        <is>
          <t>Soldering</t>
        </is>
      </c>
      <c r="W661" s="3" t="inlineStr">
        <is>
          <t>Repair</t>
        </is>
      </c>
      <c r="X661" s="18" t="n">
        <v>46153</v>
      </c>
      <c r="Y661" s="73">
        <f>IF(X661="","",X661-A661)</f>
        <v/>
      </c>
      <c r="Z661" s="18" t="n">
        <v>46153</v>
      </c>
      <c r="AA661" s="15" t="n"/>
      <c r="AB661" s="15" t="n"/>
      <c r="AF661">
        <f>IF(AND($F661="Closed",$X661&gt;=DATE(2026,5,1),$X661&lt;=DATE(2026,5,31)),"Closed in May","Other")</f>
        <v/>
      </c>
    </row>
    <row r="662">
      <c r="A662" s="6" t="n">
        <v>46107</v>
      </c>
      <c r="B662" s="3" t="n">
        <v>2026</v>
      </c>
      <c r="C662" s="3" t="inlineStr">
        <is>
          <t>Blupine Energy</t>
        </is>
      </c>
      <c r="D662" s="3" t="inlineStr">
        <is>
          <t>Utility and C&amp;I</t>
        </is>
      </c>
      <c r="E662" s="3" t="n"/>
      <c r="F662" s="3" t="inlineStr">
        <is>
          <t>Closed</t>
        </is>
      </c>
      <c r="G662" s="3" t="inlineStr">
        <is>
          <t>Chandrashekar Patidar</t>
        </is>
      </c>
      <c r="H662" s="3" t="n">
        <v>7879764773</v>
      </c>
      <c r="I662" s="11" t="inlineStr">
        <is>
          <t>PE26032601</t>
        </is>
      </c>
      <c r="J662" s="3" t="inlineStr">
        <is>
          <t>Module Diode Failure</t>
        </is>
      </c>
      <c r="K662" s="3" t="inlineStr">
        <is>
          <t>Sadla</t>
        </is>
      </c>
      <c r="L662" s="3" t="inlineStr">
        <is>
          <t>Gujarat</t>
        </is>
      </c>
      <c r="M662" s="9" t="inlineStr">
        <is>
          <t>NS</t>
        </is>
      </c>
      <c r="N662" s="3" t="inlineStr">
        <is>
          <t>Cold Soldering</t>
        </is>
      </c>
      <c r="O662" s="3" t="n">
        <v>570</v>
      </c>
      <c r="P662" s="9" t="inlineStr">
        <is>
          <t>NSMI24060094664</t>
        </is>
      </c>
      <c r="Q662" s="53">
        <f>MID(P662,5,2)</f>
        <v/>
      </c>
      <c r="R662" s="53">
        <f>MID(P662,7,2)</f>
        <v/>
      </c>
      <c r="S662" s="3" t="inlineStr">
        <is>
          <t>G2G</t>
        </is>
      </c>
      <c r="T662" s="3" t="inlineStr">
        <is>
          <t>P4</t>
        </is>
      </c>
      <c r="U662" s="3" t="inlineStr">
        <is>
          <t>N JB Cold Soldering</t>
        </is>
      </c>
      <c r="V662" s="3" t="inlineStr">
        <is>
          <t>Soldering</t>
        </is>
      </c>
      <c r="W662" s="3" t="inlineStr">
        <is>
          <t>Repair</t>
        </is>
      </c>
      <c r="X662" s="18" t="n">
        <v>46153</v>
      </c>
      <c r="Y662" s="73">
        <f>IF(X662="","",X662-A662)</f>
        <v/>
      </c>
      <c r="Z662" s="18" t="n">
        <v>46153</v>
      </c>
      <c r="AA662" s="15" t="n"/>
      <c r="AB662" s="15" t="n"/>
      <c r="AF662">
        <f>IF(AND($F662="Closed",$X662&gt;=DATE(2026,5,1),$X662&lt;=DATE(2026,5,31)),"Closed in May","Other")</f>
        <v/>
      </c>
    </row>
    <row r="663">
      <c r="A663" s="6" t="n">
        <v>46107</v>
      </c>
      <c r="B663" s="3" t="n">
        <v>2026</v>
      </c>
      <c r="C663" s="3" t="inlineStr">
        <is>
          <t>Blupine Energy</t>
        </is>
      </c>
      <c r="D663" s="3" t="inlineStr">
        <is>
          <t>Utility and C&amp;I</t>
        </is>
      </c>
      <c r="E663" s="3" t="n"/>
      <c r="F663" s="3" t="inlineStr">
        <is>
          <t>Closed</t>
        </is>
      </c>
      <c r="G663" s="3" t="inlineStr">
        <is>
          <t>Chandrashekar Patidar</t>
        </is>
      </c>
      <c r="H663" s="3" t="n">
        <v>7879764773</v>
      </c>
      <c r="I663" s="11" t="inlineStr">
        <is>
          <t>PE26032601</t>
        </is>
      </c>
      <c r="J663" s="3" t="inlineStr">
        <is>
          <t>Module Diode Failure</t>
        </is>
      </c>
      <c r="K663" s="3" t="inlineStr">
        <is>
          <t>Sadla</t>
        </is>
      </c>
      <c r="L663" s="3" t="inlineStr">
        <is>
          <t>Gujarat</t>
        </is>
      </c>
      <c r="M663" s="9" t="inlineStr">
        <is>
          <t>PS</t>
        </is>
      </c>
      <c r="N663" s="3" t="inlineStr">
        <is>
          <t>Cold Soldering</t>
        </is>
      </c>
      <c r="O663" s="3" t="n">
        <v>570</v>
      </c>
      <c r="P663" s="9" t="inlineStr">
        <is>
          <t>NSMI24060094723</t>
        </is>
      </c>
      <c r="Q663" s="53">
        <f>MID(P663,5,2)</f>
        <v/>
      </c>
      <c r="R663" s="53">
        <f>MID(P663,7,2)</f>
        <v/>
      </c>
      <c r="S663" s="3" t="inlineStr">
        <is>
          <t>G2G</t>
        </is>
      </c>
      <c r="T663" s="3" t="inlineStr">
        <is>
          <t>P4</t>
        </is>
      </c>
      <c r="U663" s="3" t="inlineStr">
        <is>
          <t>P JB Cold Soldering</t>
        </is>
      </c>
      <c r="V663" s="3" t="inlineStr">
        <is>
          <t>Soldering</t>
        </is>
      </c>
      <c r="W663" s="3" t="inlineStr">
        <is>
          <t>Repair</t>
        </is>
      </c>
      <c r="X663" s="18" t="n">
        <v>46153</v>
      </c>
      <c r="Y663" s="73">
        <f>IF(X663="","",X663-A663)</f>
        <v/>
      </c>
      <c r="Z663" s="18" t="n">
        <v>46153</v>
      </c>
      <c r="AA663" s="15" t="n"/>
      <c r="AB663" s="15" t="n"/>
      <c r="AF663">
        <f>IF(AND($F663="Closed",$X663&gt;=DATE(2026,5,1),$X663&lt;=DATE(2026,5,31)),"Closed in May","Other")</f>
        <v/>
      </c>
    </row>
    <row r="664">
      <c r="A664" s="6" t="n">
        <v>46107</v>
      </c>
      <c r="B664" s="3" t="n">
        <v>2026</v>
      </c>
      <c r="C664" s="3" t="inlineStr">
        <is>
          <t>Blupine Energy</t>
        </is>
      </c>
      <c r="D664" s="3" t="inlineStr">
        <is>
          <t>Utility and C&amp;I</t>
        </is>
      </c>
      <c r="E664" s="3" t="n"/>
      <c r="F664" s="3" t="inlineStr">
        <is>
          <t>Closed</t>
        </is>
      </c>
      <c r="G664" s="3" t="inlineStr">
        <is>
          <t>Chandrashekar Patidar</t>
        </is>
      </c>
      <c r="H664" s="3" t="n">
        <v>7879764773</v>
      </c>
      <c r="I664" s="11" t="inlineStr">
        <is>
          <t>PE26032601</t>
        </is>
      </c>
      <c r="J664" s="3" t="inlineStr">
        <is>
          <t>Module Diode Failure</t>
        </is>
      </c>
      <c r="K664" s="3" t="inlineStr">
        <is>
          <t>Sadla</t>
        </is>
      </c>
      <c r="L664" s="3" t="inlineStr">
        <is>
          <t>Gujarat</t>
        </is>
      </c>
      <c r="M664" s="9" t="inlineStr">
        <is>
          <t>PNS</t>
        </is>
      </c>
      <c r="N664" s="3" t="inlineStr">
        <is>
          <t>Cold Soldering</t>
        </is>
      </c>
      <c r="O664" s="3" t="n">
        <v>570</v>
      </c>
      <c r="P664" s="9" t="inlineStr">
        <is>
          <t>NSMI24060128380</t>
        </is>
      </c>
      <c r="Q664" s="53">
        <f>MID(P664,5,2)</f>
        <v/>
      </c>
      <c r="R664" s="53">
        <f>MID(P664,7,2)</f>
        <v/>
      </c>
      <c r="S664" s="3" t="inlineStr">
        <is>
          <t>G2G</t>
        </is>
      </c>
      <c r="T664" s="3" t="inlineStr">
        <is>
          <t>P4</t>
        </is>
      </c>
      <c r="U664" s="3" t="inlineStr">
        <is>
          <t>P &amp; N JB Cold Soldering</t>
        </is>
      </c>
      <c r="V664" s="3" t="inlineStr">
        <is>
          <t>Soldering</t>
        </is>
      </c>
      <c r="W664" s="3" t="inlineStr">
        <is>
          <t>Repair</t>
        </is>
      </c>
      <c r="X664" s="18" t="n">
        <v>46153</v>
      </c>
      <c r="Y664" s="73">
        <f>IF(X664="","",X664-A664)</f>
        <v/>
      </c>
      <c r="Z664" s="18" t="n">
        <v>46153</v>
      </c>
      <c r="AA664" s="15" t="n"/>
      <c r="AB664" s="15" t="n"/>
      <c r="AF664">
        <f>IF(AND($F664="Closed",$X664&gt;=DATE(2026,5,1),$X664&lt;=DATE(2026,5,31)),"Closed in May","Other")</f>
        <v/>
      </c>
    </row>
    <row r="665">
      <c r="A665" s="6" t="n">
        <v>46107</v>
      </c>
      <c r="B665" s="3" t="n">
        <v>2026</v>
      </c>
      <c r="C665" s="3" t="inlineStr">
        <is>
          <t>Blupine Energy</t>
        </is>
      </c>
      <c r="D665" s="3" t="inlineStr">
        <is>
          <t>Utility and C&amp;I</t>
        </is>
      </c>
      <c r="E665" s="3" t="n"/>
      <c r="F665" s="3" t="inlineStr">
        <is>
          <t>Closed</t>
        </is>
      </c>
      <c r="G665" s="3" t="inlineStr">
        <is>
          <t>Chandrashekar Patidar</t>
        </is>
      </c>
      <c r="H665" s="3" t="n">
        <v>7879764773</v>
      </c>
      <c r="I665" s="11" t="inlineStr">
        <is>
          <t>PE26032601</t>
        </is>
      </c>
      <c r="J665" s="3" t="inlineStr">
        <is>
          <t>Module Diode Failure</t>
        </is>
      </c>
      <c r="K665" s="3" t="inlineStr">
        <is>
          <t>Sadla</t>
        </is>
      </c>
      <c r="L665" s="3" t="inlineStr">
        <is>
          <t>Gujarat</t>
        </is>
      </c>
      <c r="M665" s="9" t="inlineStr">
        <is>
          <t>PS</t>
        </is>
      </c>
      <c r="N665" s="3" t="inlineStr">
        <is>
          <t>Cold Soldering</t>
        </is>
      </c>
      <c r="O665" s="3" t="n">
        <v>570</v>
      </c>
      <c r="P665" s="9" t="inlineStr">
        <is>
          <t>NSMI24060091182</t>
        </is>
      </c>
      <c r="Q665" s="53">
        <f>MID(P665,5,2)</f>
        <v/>
      </c>
      <c r="R665" s="53">
        <f>MID(P665,7,2)</f>
        <v/>
      </c>
      <c r="S665" s="3" t="inlineStr">
        <is>
          <t>G2G</t>
        </is>
      </c>
      <c r="T665" s="3" t="inlineStr">
        <is>
          <t>P4</t>
        </is>
      </c>
      <c r="U665" s="3" t="inlineStr">
        <is>
          <t>P JB Cold Soldering</t>
        </is>
      </c>
      <c r="V665" s="3" t="inlineStr">
        <is>
          <t>Soldering</t>
        </is>
      </c>
      <c r="W665" s="3" t="inlineStr">
        <is>
          <t>Repair</t>
        </is>
      </c>
      <c r="X665" s="18" t="n">
        <v>46153</v>
      </c>
      <c r="Y665" s="73">
        <f>IF(X665="","",X665-A665)</f>
        <v/>
      </c>
      <c r="Z665" s="18" t="n">
        <v>46153</v>
      </c>
      <c r="AA665" s="15" t="n"/>
      <c r="AB665" s="15" t="n"/>
      <c r="AF665">
        <f>IF(AND($F665="Closed",$X665&gt;=DATE(2026,5,1),$X665&lt;=DATE(2026,5,31)),"Closed in May","Other")</f>
        <v/>
      </c>
    </row>
    <row r="666">
      <c r="A666" s="6" t="n">
        <v>46107</v>
      </c>
      <c r="B666" s="3" t="n">
        <v>2026</v>
      </c>
      <c r="C666" s="3" t="inlineStr">
        <is>
          <t>Blupine Energy</t>
        </is>
      </c>
      <c r="D666" s="3" t="inlineStr">
        <is>
          <t>Utility and C&amp;I</t>
        </is>
      </c>
      <c r="E666" s="3" t="n"/>
      <c r="F666" s="3" t="inlineStr">
        <is>
          <t>Closed</t>
        </is>
      </c>
      <c r="G666" s="3" t="inlineStr">
        <is>
          <t>Chandrashekar Patidar</t>
        </is>
      </c>
      <c r="H666" s="3" t="n">
        <v>7879764773</v>
      </c>
      <c r="I666" s="11" t="inlineStr">
        <is>
          <t>PE26032601</t>
        </is>
      </c>
      <c r="J666" s="3" t="inlineStr">
        <is>
          <t>Module Diode Failure</t>
        </is>
      </c>
      <c r="K666" s="3" t="inlineStr">
        <is>
          <t>Sadla</t>
        </is>
      </c>
      <c r="L666" s="3" t="inlineStr">
        <is>
          <t>Gujarat</t>
        </is>
      </c>
      <c r="M666" s="9" t="inlineStr">
        <is>
          <t>NS</t>
        </is>
      </c>
      <c r="N666" s="3" t="inlineStr">
        <is>
          <t>Cold Soldering</t>
        </is>
      </c>
      <c r="O666" s="3" t="n">
        <v>570</v>
      </c>
      <c r="P666" s="9" t="inlineStr">
        <is>
          <t>NSMI24060094693</t>
        </is>
      </c>
      <c r="Q666" s="53">
        <f>MID(P666,5,2)</f>
        <v/>
      </c>
      <c r="R666" s="53">
        <f>MID(P666,7,2)</f>
        <v/>
      </c>
      <c r="S666" s="3" t="inlineStr">
        <is>
          <t>G2G</t>
        </is>
      </c>
      <c r="T666" s="3" t="inlineStr">
        <is>
          <t>P4</t>
        </is>
      </c>
      <c r="U666" s="3" t="inlineStr">
        <is>
          <t>N JB Cold Soldering</t>
        </is>
      </c>
      <c r="V666" s="3" t="inlineStr">
        <is>
          <t>Soldering</t>
        </is>
      </c>
      <c r="W666" s="3" t="inlineStr">
        <is>
          <t>Repair</t>
        </is>
      </c>
      <c r="X666" s="18" t="n">
        <v>46153</v>
      </c>
      <c r="Y666" s="73">
        <f>IF(X666="","",X666-A666)</f>
        <v/>
      </c>
      <c r="Z666" s="18" t="n">
        <v>46153</v>
      </c>
      <c r="AA666" s="15" t="n"/>
      <c r="AB666" s="15" t="n"/>
      <c r="AF666">
        <f>IF(AND($F666="Closed",$X666&gt;=DATE(2026,5,1),$X666&lt;=DATE(2026,5,31)),"Closed in May","Other")</f>
        <v/>
      </c>
    </row>
    <row r="667">
      <c r="A667" s="6" t="n">
        <v>46107</v>
      </c>
      <c r="B667" s="3" t="n">
        <v>2026</v>
      </c>
      <c r="C667" s="3" t="inlineStr">
        <is>
          <t>Blupine Energy</t>
        </is>
      </c>
      <c r="D667" s="3" t="inlineStr">
        <is>
          <t>Utility and C&amp;I</t>
        </is>
      </c>
      <c r="E667" s="3" t="n"/>
      <c r="F667" s="3" t="inlineStr">
        <is>
          <t>Closed</t>
        </is>
      </c>
      <c r="G667" s="3" t="inlineStr">
        <is>
          <t>Chandrashekar Patidar</t>
        </is>
      </c>
      <c r="H667" s="3" t="n">
        <v>7879764773</v>
      </c>
      <c r="I667" s="11" t="inlineStr">
        <is>
          <t>PE26032601</t>
        </is>
      </c>
      <c r="J667" s="3" t="inlineStr">
        <is>
          <t>Module Diode Failure</t>
        </is>
      </c>
      <c r="K667" s="3" t="inlineStr">
        <is>
          <t>Sadla</t>
        </is>
      </c>
      <c r="L667" s="3" t="inlineStr">
        <is>
          <t>Gujarat</t>
        </is>
      </c>
      <c r="M667" s="9" t="inlineStr">
        <is>
          <t>PS</t>
        </is>
      </c>
      <c r="N667" s="3" t="inlineStr">
        <is>
          <t>Cold Soldering</t>
        </is>
      </c>
      <c r="O667" s="3" t="n">
        <v>570</v>
      </c>
      <c r="P667" s="9" t="inlineStr">
        <is>
          <t>NSMI24060094685</t>
        </is>
      </c>
      <c r="Q667" s="53">
        <f>MID(P667,5,2)</f>
        <v/>
      </c>
      <c r="R667" s="53">
        <f>MID(P667,7,2)</f>
        <v/>
      </c>
      <c r="S667" s="3" t="inlineStr">
        <is>
          <t>G2G</t>
        </is>
      </c>
      <c r="T667" s="3" t="inlineStr">
        <is>
          <t>P4</t>
        </is>
      </c>
      <c r="U667" s="3" t="inlineStr">
        <is>
          <t>P JB Cold Soldering</t>
        </is>
      </c>
      <c r="V667" s="3" t="inlineStr">
        <is>
          <t>Soldering</t>
        </is>
      </c>
      <c r="W667" s="3" t="inlineStr">
        <is>
          <t>Repair</t>
        </is>
      </c>
      <c r="X667" s="18" t="n">
        <v>46153</v>
      </c>
      <c r="Y667" s="73">
        <f>IF(X667="","",X667-A667)</f>
        <v/>
      </c>
      <c r="Z667" s="18" t="n">
        <v>46153</v>
      </c>
      <c r="AA667" s="15" t="n"/>
      <c r="AB667" s="15" t="n"/>
      <c r="AF667">
        <f>IF(AND($F667="Closed",$X667&gt;=DATE(2026,5,1),$X667&lt;=DATE(2026,5,31)),"Closed in May","Other")</f>
        <v/>
      </c>
    </row>
    <row r="668">
      <c r="A668" s="6" t="n">
        <v>46107</v>
      </c>
      <c r="B668" s="3" t="n">
        <v>2026</v>
      </c>
      <c r="C668" s="3" t="inlineStr">
        <is>
          <t>Blupine Energy</t>
        </is>
      </c>
      <c r="D668" s="3" t="inlineStr">
        <is>
          <t>Utility and C&amp;I</t>
        </is>
      </c>
      <c r="E668" s="3" t="n"/>
      <c r="F668" s="3" t="inlineStr">
        <is>
          <t>Closed</t>
        </is>
      </c>
      <c r="G668" s="3" t="inlineStr">
        <is>
          <t>Chandrashekar Patidar</t>
        </is>
      </c>
      <c r="H668" s="3" t="n">
        <v>7879764773</v>
      </c>
      <c r="I668" s="11" t="inlineStr">
        <is>
          <t>PE26032601</t>
        </is>
      </c>
      <c r="J668" s="3" t="inlineStr">
        <is>
          <t>Module Diode Failure</t>
        </is>
      </c>
      <c r="K668" s="3" t="inlineStr">
        <is>
          <t>Sadla</t>
        </is>
      </c>
      <c r="L668" s="3" t="inlineStr">
        <is>
          <t>Gujarat</t>
        </is>
      </c>
      <c r="M668" s="9" t="inlineStr">
        <is>
          <t>NS</t>
        </is>
      </c>
      <c r="N668" s="3" t="inlineStr">
        <is>
          <t>Cold Soldering</t>
        </is>
      </c>
      <c r="O668" s="3" t="n">
        <v>570</v>
      </c>
      <c r="P668" s="9" t="inlineStr">
        <is>
          <t>NSMI24060094574</t>
        </is>
      </c>
      <c r="Q668" s="53">
        <f>MID(P668,5,2)</f>
        <v/>
      </c>
      <c r="R668" s="53">
        <f>MID(P668,7,2)</f>
        <v/>
      </c>
      <c r="S668" s="3" t="inlineStr">
        <is>
          <t>G2G</t>
        </is>
      </c>
      <c r="T668" s="3" t="inlineStr">
        <is>
          <t>P4</t>
        </is>
      </c>
      <c r="U668" s="3" t="inlineStr">
        <is>
          <t>N JB Cold Soldering</t>
        </is>
      </c>
      <c r="V668" s="3" t="inlineStr">
        <is>
          <t>Soldering</t>
        </is>
      </c>
      <c r="W668" s="3" t="inlineStr">
        <is>
          <t>Repair</t>
        </is>
      </c>
      <c r="X668" s="18" t="n">
        <v>46153</v>
      </c>
      <c r="Y668" s="73">
        <f>IF(X668="","",X668-A668)</f>
        <v/>
      </c>
      <c r="Z668" s="18" t="n">
        <v>46153</v>
      </c>
      <c r="AA668" s="15" t="n"/>
      <c r="AB668" s="15" t="n"/>
      <c r="AF668">
        <f>IF(AND($F668="Closed",$X668&gt;=DATE(2026,5,1),$X668&lt;=DATE(2026,5,31)),"Closed in May","Other")</f>
        <v/>
      </c>
    </row>
    <row r="669">
      <c r="A669" s="6" t="n">
        <v>46107</v>
      </c>
      <c r="B669" s="3" t="n">
        <v>2026</v>
      </c>
      <c r="C669" s="3" t="inlineStr">
        <is>
          <t>Blupine Energy</t>
        </is>
      </c>
      <c r="D669" s="3" t="inlineStr">
        <is>
          <t>Utility and C&amp;I</t>
        </is>
      </c>
      <c r="E669" s="3" t="n"/>
      <c r="F669" s="3" t="inlineStr">
        <is>
          <t>Closed</t>
        </is>
      </c>
      <c r="G669" s="3" t="inlineStr">
        <is>
          <t>Chandrashekar Patidar</t>
        </is>
      </c>
      <c r="H669" s="3" t="n">
        <v>7879764773</v>
      </c>
      <c r="I669" s="11" t="inlineStr">
        <is>
          <t>PE26032601</t>
        </is>
      </c>
      <c r="J669" s="3" t="inlineStr">
        <is>
          <t>Module Diode Failure</t>
        </is>
      </c>
      <c r="K669" s="3" t="inlineStr">
        <is>
          <t>Sadla</t>
        </is>
      </c>
      <c r="L669" s="3" t="inlineStr">
        <is>
          <t>Gujarat</t>
        </is>
      </c>
      <c r="M669" s="9" t="inlineStr">
        <is>
          <t>NS</t>
        </is>
      </c>
      <c r="N669" s="3" t="inlineStr">
        <is>
          <t>Cold Soldering</t>
        </is>
      </c>
      <c r="O669" s="3" t="n">
        <v>570</v>
      </c>
      <c r="P669" s="9" t="inlineStr">
        <is>
          <t>NSMI24060097303</t>
        </is>
      </c>
      <c r="Q669" s="53">
        <f>MID(P669,5,2)</f>
        <v/>
      </c>
      <c r="R669" s="53">
        <f>MID(P669,7,2)</f>
        <v/>
      </c>
      <c r="S669" s="3" t="inlineStr">
        <is>
          <t>G2G</t>
        </is>
      </c>
      <c r="T669" s="3" t="inlineStr">
        <is>
          <t>P4</t>
        </is>
      </c>
      <c r="U669" s="3" t="inlineStr">
        <is>
          <t>N JB Cold Soldering</t>
        </is>
      </c>
      <c r="V669" s="3" t="inlineStr">
        <is>
          <t>Soldering</t>
        </is>
      </c>
      <c r="W669" s="3" t="inlineStr">
        <is>
          <t>Repair</t>
        </is>
      </c>
      <c r="X669" s="18" t="n">
        <v>46153</v>
      </c>
      <c r="Y669" s="73">
        <f>IF(X669="","",X669-A669)</f>
        <v/>
      </c>
      <c r="Z669" s="18" t="n">
        <v>46153</v>
      </c>
      <c r="AA669" s="15" t="n"/>
      <c r="AB669" s="15" t="n"/>
      <c r="AF669">
        <f>IF(AND($F669="Closed",$X669&gt;=DATE(2026,5,1),$X669&lt;=DATE(2026,5,31)),"Closed in May","Other")</f>
        <v/>
      </c>
    </row>
    <row r="670">
      <c r="A670" s="6" t="n">
        <v>46107</v>
      </c>
      <c r="B670" s="3" t="n">
        <v>2026</v>
      </c>
      <c r="C670" s="3" t="inlineStr">
        <is>
          <t>Blupine Energy</t>
        </is>
      </c>
      <c r="D670" s="3" t="inlineStr">
        <is>
          <t>Utility and C&amp;I</t>
        </is>
      </c>
      <c r="E670" s="3" t="n"/>
      <c r="F670" s="3" t="inlineStr">
        <is>
          <t>Closed</t>
        </is>
      </c>
      <c r="G670" s="3" t="inlineStr">
        <is>
          <t>Chandrashekar Patidar</t>
        </is>
      </c>
      <c r="H670" s="3" t="n">
        <v>7879764773</v>
      </c>
      <c r="I670" s="11" t="inlineStr">
        <is>
          <t>PE26032601</t>
        </is>
      </c>
      <c r="J670" s="3" t="inlineStr">
        <is>
          <t>Module Diode Failure</t>
        </is>
      </c>
      <c r="K670" s="3" t="inlineStr">
        <is>
          <t>Sadla</t>
        </is>
      </c>
      <c r="L670" s="3" t="inlineStr">
        <is>
          <t>Gujarat</t>
        </is>
      </c>
      <c r="M670" s="9" t="inlineStr">
        <is>
          <t>NS</t>
        </is>
      </c>
      <c r="N670" s="3" t="inlineStr">
        <is>
          <t>Cold Soldering</t>
        </is>
      </c>
      <c r="O670" s="3" t="n">
        <v>570</v>
      </c>
      <c r="P670" s="9" t="inlineStr">
        <is>
          <t>NSMI24050044278</t>
        </is>
      </c>
      <c r="Q670" s="53">
        <f>MID(P670,5,2)</f>
        <v/>
      </c>
      <c r="R670" s="53">
        <f>MID(P670,7,2)</f>
        <v/>
      </c>
      <c r="S670" s="3" t="inlineStr">
        <is>
          <t>G2G</t>
        </is>
      </c>
      <c r="T670" s="3" t="inlineStr">
        <is>
          <t>P4</t>
        </is>
      </c>
      <c r="U670" s="3" t="inlineStr">
        <is>
          <t>N JB Cold Soldering</t>
        </is>
      </c>
      <c r="V670" s="3" t="inlineStr">
        <is>
          <t>Soldering</t>
        </is>
      </c>
      <c r="W670" s="3" t="inlineStr">
        <is>
          <t>Repair</t>
        </is>
      </c>
      <c r="X670" s="18" t="n">
        <v>46153</v>
      </c>
      <c r="Y670" s="73">
        <f>IF(X670="","",X670-A670)</f>
        <v/>
      </c>
      <c r="Z670" s="18" t="n">
        <v>46153</v>
      </c>
      <c r="AA670" s="15" t="n"/>
      <c r="AB670" s="15" t="n"/>
      <c r="AF670">
        <f>IF(AND($F670="Closed",$X670&gt;=DATE(2026,5,1),$X670&lt;=DATE(2026,5,31)),"Closed in May","Other")</f>
        <v/>
      </c>
    </row>
    <row r="671">
      <c r="A671" s="6" t="n">
        <v>46107</v>
      </c>
      <c r="B671" s="3" t="n">
        <v>2026</v>
      </c>
      <c r="C671" s="3" t="inlineStr">
        <is>
          <t>Blupine Energy</t>
        </is>
      </c>
      <c r="D671" s="3" t="inlineStr">
        <is>
          <t>Utility and C&amp;I</t>
        </is>
      </c>
      <c r="E671" s="3" t="n"/>
      <c r="F671" s="3" t="inlineStr">
        <is>
          <t>Closed</t>
        </is>
      </c>
      <c r="G671" s="3" t="inlineStr">
        <is>
          <t>Chandrashekar Patidar</t>
        </is>
      </c>
      <c r="H671" s="3" t="n">
        <v>7879764773</v>
      </c>
      <c r="I671" s="11" t="inlineStr">
        <is>
          <t>PE26032601</t>
        </is>
      </c>
      <c r="J671" s="3" t="inlineStr">
        <is>
          <t>Module Diode Failure</t>
        </is>
      </c>
      <c r="K671" s="3" t="inlineStr">
        <is>
          <t>Sadla</t>
        </is>
      </c>
      <c r="L671" s="3" t="inlineStr">
        <is>
          <t>Gujarat</t>
        </is>
      </c>
      <c r="M671" s="9" t="inlineStr">
        <is>
          <t>NS</t>
        </is>
      </c>
      <c r="N671" s="3" t="inlineStr">
        <is>
          <t>Cold Soldering</t>
        </is>
      </c>
      <c r="O671" s="3" t="n">
        <v>570</v>
      </c>
      <c r="P671" s="9" t="inlineStr">
        <is>
          <t>NSMI24060134955</t>
        </is>
      </c>
      <c r="Q671" s="53">
        <f>MID(P671,5,2)</f>
        <v/>
      </c>
      <c r="R671" s="53">
        <f>MID(P671,7,2)</f>
        <v/>
      </c>
      <c r="S671" s="3" t="inlineStr">
        <is>
          <t>G2G</t>
        </is>
      </c>
      <c r="T671" s="3" t="inlineStr">
        <is>
          <t>P4</t>
        </is>
      </c>
      <c r="U671" s="3" t="inlineStr">
        <is>
          <t>N JB Cold Soldering</t>
        </is>
      </c>
      <c r="V671" s="3" t="inlineStr">
        <is>
          <t>Soldering</t>
        </is>
      </c>
      <c r="W671" s="3" t="inlineStr">
        <is>
          <t>Repair</t>
        </is>
      </c>
      <c r="X671" s="18" t="n">
        <v>46153</v>
      </c>
      <c r="Y671" s="73">
        <f>IF(X671="","",X671-A671)</f>
        <v/>
      </c>
      <c r="Z671" s="18" t="n">
        <v>46153</v>
      </c>
      <c r="AA671" s="15" t="n"/>
      <c r="AB671" s="15" t="n"/>
      <c r="AF671">
        <f>IF(AND($F671="Closed",$X671&gt;=DATE(2026,5,1),$X671&lt;=DATE(2026,5,31)),"Closed in May","Other")</f>
        <v/>
      </c>
    </row>
    <row r="672">
      <c r="A672" s="6" t="n">
        <v>46107</v>
      </c>
      <c r="B672" s="3" t="n">
        <v>2026</v>
      </c>
      <c r="C672" s="3" t="inlineStr">
        <is>
          <t>Blupine Energy</t>
        </is>
      </c>
      <c r="D672" s="3" t="inlineStr">
        <is>
          <t>Utility and C&amp;I</t>
        </is>
      </c>
      <c r="E672" s="3" t="n"/>
      <c r="F672" s="3" t="inlineStr">
        <is>
          <t>Closed</t>
        </is>
      </c>
      <c r="G672" s="3" t="inlineStr">
        <is>
          <t>Chandrashekar Patidar</t>
        </is>
      </c>
      <c r="H672" s="3" t="n">
        <v>7879764773</v>
      </c>
      <c r="I672" s="11" t="inlineStr">
        <is>
          <t>PE26032601</t>
        </is>
      </c>
      <c r="J672" s="3" t="inlineStr">
        <is>
          <t>Module Diode Failure</t>
        </is>
      </c>
      <c r="K672" s="3" t="inlineStr">
        <is>
          <t>Sadla</t>
        </is>
      </c>
      <c r="L672" s="3" t="inlineStr">
        <is>
          <t>Gujarat</t>
        </is>
      </c>
      <c r="M672" s="9" t="inlineStr">
        <is>
          <t>NS</t>
        </is>
      </c>
      <c r="N672" s="3" t="inlineStr">
        <is>
          <t>Cold Soldering</t>
        </is>
      </c>
      <c r="O672" s="3" t="n">
        <v>570</v>
      </c>
      <c r="P672" s="9" t="inlineStr">
        <is>
          <t>NSMI24050044315</t>
        </is>
      </c>
      <c r="Q672" s="53">
        <f>MID(P672,5,2)</f>
        <v/>
      </c>
      <c r="R672" s="53">
        <f>MID(P672,7,2)</f>
        <v/>
      </c>
      <c r="S672" s="3" t="inlineStr">
        <is>
          <t>G2G</t>
        </is>
      </c>
      <c r="T672" s="3" t="inlineStr">
        <is>
          <t>P4</t>
        </is>
      </c>
      <c r="U672" s="3" t="inlineStr">
        <is>
          <t>N JB Cold Soldering</t>
        </is>
      </c>
      <c r="V672" s="3" t="inlineStr">
        <is>
          <t>Soldering</t>
        </is>
      </c>
      <c r="W672" s="3" t="inlineStr">
        <is>
          <t>Repair</t>
        </is>
      </c>
      <c r="X672" s="18" t="n">
        <v>46153</v>
      </c>
      <c r="Y672" s="73">
        <f>IF(X672="","",X672-A672)</f>
        <v/>
      </c>
      <c r="Z672" s="18" t="n">
        <v>46153</v>
      </c>
      <c r="AA672" s="15" t="n"/>
      <c r="AB672" s="15" t="n"/>
      <c r="AF672">
        <f>IF(AND($F672="Closed",$X672&gt;=DATE(2026,5,1),$X672&lt;=DATE(2026,5,31)),"Closed in May","Other")</f>
        <v/>
      </c>
    </row>
    <row r="673">
      <c r="A673" s="6" t="n">
        <v>46107</v>
      </c>
      <c r="B673" s="3" t="n">
        <v>2026</v>
      </c>
      <c r="C673" s="3" t="inlineStr">
        <is>
          <t>Blupine Energy</t>
        </is>
      </c>
      <c r="D673" s="3" t="inlineStr">
        <is>
          <t>Utility and C&amp;I</t>
        </is>
      </c>
      <c r="E673" s="3" t="n"/>
      <c r="F673" s="3" t="inlineStr">
        <is>
          <t>Closed</t>
        </is>
      </c>
      <c r="G673" s="3" t="inlineStr">
        <is>
          <t>Chandrashekar Patidar</t>
        </is>
      </c>
      <c r="H673" s="3" t="n">
        <v>7879764773</v>
      </c>
      <c r="I673" s="11" t="inlineStr">
        <is>
          <t>PE26032601</t>
        </is>
      </c>
      <c r="J673" s="3" t="inlineStr">
        <is>
          <t>Module Diode Failure</t>
        </is>
      </c>
      <c r="K673" s="3" t="inlineStr">
        <is>
          <t>Sadla</t>
        </is>
      </c>
      <c r="L673" s="3" t="inlineStr">
        <is>
          <t>Gujarat</t>
        </is>
      </c>
      <c r="M673" s="9" t="inlineStr">
        <is>
          <t>NS</t>
        </is>
      </c>
      <c r="N673" s="3" t="inlineStr">
        <is>
          <t>Cold Soldering</t>
        </is>
      </c>
      <c r="O673" s="3" t="n">
        <v>570</v>
      </c>
      <c r="P673" s="9" t="inlineStr">
        <is>
          <t>NSMI24050048222</t>
        </is>
      </c>
      <c r="Q673" s="53">
        <f>MID(P673,5,2)</f>
        <v/>
      </c>
      <c r="R673" s="53">
        <f>MID(P673,7,2)</f>
        <v/>
      </c>
      <c r="S673" s="3" t="inlineStr">
        <is>
          <t>G2G</t>
        </is>
      </c>
      <c r="T673" s="3" t="inlineStr">
        <is>
          <t>P4</t>
        </is>
      </c>
      <c r="U673" s="3" t="inlineStr">
        <is>
          <t>N JB Cold Soldering</t>
        </is>
      </c>
      <c r="V673" s="3" t="inlineStr">
        <is>
          <t>Soldering</t>
        </is>
      </c>
      <c r="W673" s="3" t="inlineStr">
        <is>
          <t>Repair</t>
        </is>
      </c>
      <c r="X673" s="18" t="n">
        <v>46153</v>
      </c>
      <c r="Y673" s="73">
        <f>IF(X673="","",X673-A673)</f>
        <v/>
      </c>
      <c r="Z673" s="18" t="n">
        <v>46153</v>
      </c>
      <c r="AA673" s="15" t="n"/>
      <c r="AB673" s="15" t="n"/>
      <c r="AF673">
        <f>IF(AND($F673="Closed",$X673&gt;=DATE(2026,5,1),$X673&lt;=DATE(2026,5,31)),"Closed in May","Other")</f>
        <v/>
      </c>
    </row>
    <row r="674">
      <c r="A674" s="6" t="n">
        <v>46107</v>
      </c>
      <c r="B674" s="3" t="n">
        <v>2026</v>
      </c>
      <c r="C674" s="3" t="inlineStr">
        <is>
          <t>Blupine Energy</t>
        </is>
      </c>
      <c r="D674" s="3" t="inlineStr">
        <is>
          <t>Utility and C&amp;I</t>
        </is>
      </c>
      <c r="E674" s="3" t="n"/>
      <c r="F674" s="3" t="inlineStr">
        <is>
          <t>Closed</t>
        </is>
      </c>
      <c r="G674" s="3" t="inlineStr">
        <is>
          <t>Chandrashekar Patidar</t>
        </is>
      </c>
      <c r="H674" s="3" t="n">
        <v>7879764773</v>
      </c>
      <c r="I674" s="11" t="inlineStr">
        <is>
          <t>PE26032601</t>
        </is>
      </c>
      <c r="J674" s="3" t="inlineStr">
        <is>
          <t>Module Diode Failure</t>
        </is>
      </c>
      <c r="K674" s="3" t="inlineStr">
        <is>
          <t>Sadla</t>
        </is>
      </c>
      <c r="L674" s="3" t="inlineStr">
        <is>
          <t>Gujarat</t>
        </is>
      </c>
      <c r="M674" s="9" t="inlineStr">
        <is>
          <t>NS</t>
        </is>
      </c>
      <c r="N674" s="3" t="inlineStr">
        <is>
          <t>Cold Soldering</t>
        </is>
      </c>
      <c r="O674" s="3" t="n">
        <v>570</v>
      </c>
      <c r="P674" s="9" t="inlineStr">
        <is>
          <t>NSMI24050063312</t>
        </is>
      </c>
      <c r="Q674" s="53">
        <f>MID(P674,5,2)</f>
        <v/>
      </c>
      <c r="R674" s="53">
        <f>MID(P674,7,2)</f>
        <v/>
      </c>
      <c r="S674" s="3" t="inlineStr">
        <is>
          <t>G2G</t>
        </is>
      </c>
      <c r="T674" s="3" t="inlineStr">
        <is>
          <t>P4</t>
        </is>
      </c>
      <c r="U674" s="3" t="inlineStr">
        <is>
          <t>N JB Cold Soldering</t>
        </is>
      </c>
      <c r="V674" s="3" t="inlineStr">
        <is>
          <t>Soldering</t>
        </is>
      </c>
      <c r="W674" s="3" t="inlineStr">
        <is>
          <t>Repair</t>
        </is>
      </c>
      <c r="X674" s="18" t="n">
        <v>46153</v>
      </c>
      <c r="Y674" s="73">
        <f>IF(X674="","",X674-A674)</f>
        <v/>
      </c>
      <c r="Z674" s="18" t="n">
        <v>46153</v>
      </c>
      <c r="AA674" s="15" t="n"/>
      <c r="AB674" s="15" t="n"/>
      <c r="AF674">
        <f>IF(AND($F674="Closed",$X674&gt;=DATE(2026,5,1),$X674&lt;=DATE(2026,5,31)),"Closed in May","Other")</f>
        <v/>
      </c>
    </row>
    <row r="675">
      <c r="A675" s="6" t="n">
        <v>46107</v>
      </c>
      <c r="B675" s="3" t="n">
        <v>2026</v>
      </c>
      <c r="C675" s="3" t="inlineStr">
        <is>
          <t>Blupine Energy</t>
        </is>
      </c>
      <c r="D675" s="3" t="inlineStr">
        <is>
          <t>Utility and C&amp;I</t>
        </is>
      </c>
      <c r="E675" s="3" t="n"/>
      <c r="F675" s="3" t="inlineStr">
        <is>
          <t>Closed</t>
        </is>
      </c>
      <c r="G675" s="3" t="inlineStr">
        <is>
          <t>Chandrashekar Patidar</t>
        </is>
      </c>
      <c r="H675" s="3" t="n">
        <v>7879764773</v>
      </c>
      <c r="I675" s="11" t="inlineStr">
        <is>
          <t>PE26032601</t>
        </is>
      </c>
      <c r="J675" s="3" t="inlineStr">
        <is>
          <t>Module Diode Failure</t>
        </is>
      </c>
      <c r="K675" s="3" t="inlineStr">
        <is>
          <t>Sadla</t>
        </is>
      </c>
      <c r="L675" s="3" t="inlineStr">
        <is>
          <t>Gujarat</t>
        </is>
      </c>
      <c r="M675" s="9" t="inlineStr">
        <is>
          <t>PNS</t>
        </is>
      </c>
      <c r="N675" s="3" t="inlineStr">
        <is>
          <t>Cold Soldering</t>
        </is>
      </c>
      <c r="O675" s="3" t="n">
        <v>570</v>
      </c>
      <c r="P675" s="9" t="inlineStr">
        <is>
          <t>NSMI24060094112</t>
        </is>
      </c>
      <c r="Q675" s="53">
        <f>MID(P675,5,2)</f>
        <v/>
      </c>
      <c r="R675" s="53">
        <f>MID(P675,7,2)</f>
        <v/>
      </c>
      <c r="S675" s="3" t="inlineStr">
        <is>
          <t>G2G</t>
        </is>
      </c>
      <c r="T675" s="3" t="inlineStr">
        <is>
          <t>P4</t>
        </is>
      </c>
      <c r="U675" s="3" t="inlineStr">
        <is>
          <t>P &amp; N JB Cold Soldering</t>
        </is>
      </c>
      <c r="V675" s="3" t="inlineStr">
        <is>
          <t>Soldering</t>
        </is>
      </c>
      <c r="W675" s="3" t="inlineStr">
        <is>
          <t>Repair</t>
        </is>
      </c>
      <c r="X675" s="18" t="n">
        <v>46153</v>
      </c>
      <c r="Y675" s="73">
        <f>IF(X675="","",X675-A675)</f>
        <v/>
      </c>
      <c r="Z675" s="18" t="n">
        <v>46153</v>
      </c>
      <c r="AA675" s="15" t="n"/>
      <c r="AB675" s="15" t="n"/>
      <c r="AF675">
        <f>IF(AND($F675="Closed",$X675&gt;=DATE(2026,5,1),$X675&lt;=DATE(2026,5,31)),"Closed in May","Other")</f>
        <v/>
      </c>
    </row>
    <row r="676">
      <c r="A676" s="6" t="n">
        <v>46107</v>
      </c>
      <c r="B676" s="3" t="n">
        <v>2026</v>
      </c>
      <c r="C676" s="3" t="inlineStr">
        <is>
          <t>Blupine Energy</t>
        </is>
      </c>
      <c r="D676" s="3" t="inlineStr">
        <is>
          <t>Utility and C&amp;I</t>
        </is>
      </c>
      <c r="E676" s="3" t="n"/>
      <c r="F676" s="3" t="inlineStr">
        <is>
          <t>Closed</t>
        </is>
      </c>
      <c r="G676" s="3" t="inlineStr">
        <is>
          <t>Chandrashekar Patidar</t>
        </is>
      </c>
      <c r="H676" s="3" t="n">
        <v>7879764773</v>
      </c>
      <c r="I676" s="11" t="inlineStr">
        <is>
          <t>PE26032601</t>
        </is>
      </c>
      <c r="J676" s="3" t="inlineStr">
        <is>
          <t>Module Diode Failure</t>
        </is>
      </c>
      <c r="K676" s="3" t="inlineStr">
        <is>
          <t>Sadla</t>
        </is>
      </c>
      <c r="L676" s="3" t="inlineStr">
        <is>
          <t>Gujarat</t>
        </is>
      </c>
      <c r="M676" s="9" t="inlineStr">
        <is>
          <t>NS</t>
        </is>
      </c>
      <c r="N676" s="3" t="inlineStr">
        <is>
          <t>Cold Soldering</t>
        </is>
      </c>
      <c r="O676" s="3" t="n">
        <v>570</v>
      </c>
      <c r="P676" s="9" t="inlineStr">
        <is>
          <t>NSMI24060094657</t>
        </is>
      </c>
      <c r="Q676" s="53">
        <f>MID(P676,5,2)</f>
        <v/>
      </c>
      <c r="R676" s="53">
        <f>MID(P676,7,2)</f>
        <v/>
      </c>
      <c r="S676" s="3" t="inlineStr">
        <is>
          <t>G2G</t>
        </is>
      </c>
      <c r="T676" s="3" t="inlineStr">
        <is>
          <t>P4</t>
        </is>
      </c>
      <c r="U676" s="3" t="inlineStr">
        <is>
          <t>N JB Cold Soldering</t>
        </is>
      </c>
      <c r="V676" s="3" t="inlineStr">
        <is>
          <t>Soldering</t>
        </is>
      </c>
      <c r="W676" s="3" t="inlineStr">
        <is>
          <t>Repair</t>
        </is>
      </c>
      <c r="X676" s="18" t="n">
        <v>46153</v>
      </c>
      <c r="Y676" s="73">
        <f>IF(X676="","",X676-A676)</f>
        <v/>
      </c>
      <c r="Z676" s="18" t="n">
        <v>46153</v>
      </c>
      <c r="AA676" s="15" t="n"/>
      <c r="AB676" s="15" t="n"/>
      <c r="AF676">
        <f>IF(AND($F676="Closed",$X676&gt;=DATE(2026,5,1),$X676&lt;=DATE(2026,5,31)),"Closed in May","Other")</f>
        <v/>
      </c>
    </row>
    <row r="677">
      <c r="A677" s="6" t="n">
        <v>46107</v>
      </c>
      <c r="B677" s="3" t="n">
        <v>2026</v>
      </c>
      <c r="C677" s="3" t="inlineStr">
        <is>
          <t>Blupine Energy</t>
        </is>
      </c>
      <c r="D677" s="3" t="inlineStr">
        <is>
          <t>Utility and C&amp;I</t>
        </is>
      </c>
      <c r="E677" s="3" t="n"/>
      <c r="F677" s="3" t="inlineStr">
        <is>
          <t>Closed</t>
        </is>
      </c>
      <c r="G677" s="3" t="inlineStr">
        <is>
          <t>Chandrashekar Patidar</t>
        </is>
      </c>
      <c r="H677" s="3" t="n">
        <v>7879764773</v>
      </c>
      <c r="I677" s="11" t="inlineStr">
        <is>
          <t>PE26032601</t>
        </is>
      </c>
      <c r="J677" s="3" t="inlineStr">
        <is>
          <t>Module Diode Failure</t>
        </is>
      </c>
      <c r="K677" s="3" t="inlineStr">
        <is>
          <t>Sadla</t>
        </is>
      </c>
      <c r="L677" s="3" t="inlineStr">
        <is>
          <t>Gujarat</t>
        </is>
      </c>
      <c r="M677" s="9" t="inlineStr">
        <is>
          <t>PS</t>
        </is>
      </c>
      <c r="N677" s="3" t="inlineStr">
        <is>
          <t>Cold Soldering</t>
        </is>
      </c>
      <c r="O677" s="3" t="n">
        <v>570</v>
      </c>
      <c r="P677" s="9" t="inlineStr">
        <is>
          <t>NSMI24060091966</t>
        </is>
      </c>
      <c r="Q677" s="53">
        <f>MID(P677,5,2)</f>
        <v/>
      </c>
      <c r="R677" s="53">
        <f>MID(P677,7,2)</f>
        <v/>
      </c>
      <c r="S677" s="3" t="inlineStr">
        <is>
          <t>G2G</t>
        </is>
      </c>
      <c r="T677" s="3" t="inlineStr">
        <is>
          <t>P4</t>
        </is>
      </c>
      <c r="U677" s="3" t="inlineStr">
        <is>
          <t>P JB Cold Soldering</t>
        </is>
      </c>
      <c r="V677" s="3" t="inlineStr">
        <is>
          <t>Soldering</t>
        </is>
      </c>
      <c r="W677" s="3" t="inlineStr">
        <is>
          <t>Repair</t>
        </is>
      </c>
      <c r="X677" s="18" t="n">
        <v>46153</v>
      </c>
      <c r="Y677" s="73">
        <f>IF(X677="","",X677-A677)</f>
        <v/>
      </c>
      <c r="Z677" s="18" t="n">
        <v>46153</v>
      </c>
      <c r="AA677" s="15" t="n"/>
      <c r="AB677" s="15" t="n"/>
      <c r="AF677">
        <f>IF(AND($F677="Closed",$X677&gt;=DATE(2026,5,1),$X677&lt;=DATE(2026,5,31)),"Closed in May","Other")</f>
        <v/>
      </c>
    </row>
    <row r="678">
      <c r="A678" s="6" t="n">
        <v>46107</v>
      </c>
      <c r="B678" s="3" t="n">
        <v>2026</v>
      </c>
      <c r="C678" s="3" t="inlineStr">
        <is>
          <t>Blupine Energy</t>
        </is>
      </c>
      <c r="D678" s="3" t="inlineStr">
        <is>
          <t>Utility and C&amp;I</t>
        </is>
      </c>
      <c r="E678" s="3" t="n"/>
      <c r="F678" s="3" t="inlineStr">
        <is>
          <t>Closed</t>
        </is>
      </c>
      <c r="G678" s="3" t="inlineStr">
        <is>
          <t>Chandrashekar Patidar</t>
        </is>
      </c>
      <c r="H678" s="3" t="n">
        <v>7879764773</v>
      </c>
      <c r="I678" s="11" t="inlineStr">
        <is>
          <t>PE26032601</t>
        </is>
      </c>
      <c r="J678" s="3" t="inlineStr">
        <is>
          <t>Module Diode Failure</t>
        </is>
      </c>
      <c r="K678" s="3" t="inlineStr">
        <is>
          <t>Sadla</t>
        </is>
      </c>
      <c r="L678" s="3" t="inlineStr">
        <is>
          <t>Gujarat</t>
        </is>
      </c>
      <c r="M678" s="9" t="inlineStr">
        <is>
          <t>PNS</t>
        </is>
      </c>
      <c r="N678" s="3" t="inlineStr">
        <is>
          <t>Cold Soldering</t>
        </is>
      </c>
      <c r="O678" s="3" t="n">
        <v>570</v>
      </c>
      <c r="P678" s="9" t="inlineStr">
        <is>
          <t>NSMI24060078492</t>
        </is>
      </c>
      <c r="Q678" s="53">
        <f>MID(P678,5,2)</f>
        <v/>
      </c>
      <c r="R678" s="53">
        <f>MID(P678,7,2)</f>
        <v/>
      </c>
      <c r="S678" s="3" t="inlineStr">
        <is>
          <t>G2G</t>
        </is>
      </c>
      <c r="T678" s="3" t="inlineStr">
        <is>
          <t>P4</t>
        </is>
      </c>
      <c r="U678" s="3" t="inlineStr">
        <is>
          <t>P &amp; N JB Cold Soldering</t>
        </is>
      </c>
      <c r="V678" s="3" t="inlineStr">
        <is>
          <t>Soldering</t>
        </is>
      </c>
      <c r="W678" s="3" t="inlineStr">
        <is>
          <t>Repair</t>
        </is>
      </c>
      <c r="X678" s="18" t="n">
        <v>46153</v>
      </c>
      <c r="Y678" s="73">
        <f>IF(X678="","",X678-A678)</f>
        <v/>
      </c>
      <c r="Z678" s="18" t="n">
        <v>46153</v>
      </c>
      <c r="AA678" s="15" t="n"/>
      <c r="AB678" s="15" t="n"/>
      <c r="AF678">
        <f>IF(AND($F678="Closed",$X678&gt;=DATE(2026,5,1),$X678&lt;=DATE(2026,5,31)),"Closed in May","Other")</f>
        <v/>
      </c>
    </row>
    <row r="679">
      <c r="A679" s="6" t="n">
        <v>46107</v>
      </c>
      <c r="B679" s="3" t="n">
        <v>2026</v>
      </c>
      <c r="C679" s="3" t="inlineStr">
        <is>
          <t>Blupine Energy</t>
        </is>
      </c>
      <c r="D679" s="3" t="inlineStr">
        <is>
          <t>Utility and C&amp;I</t>
        </is>
      </c>
      <c r="E679" s="3" t="n"/>
      <c r="F679" s="3" t="inlineStr">
        <is>
          <t>Closed</t>
        </is>
      </c>
      <c r="G679" s="3" t="inlineStr">
        <is>
          <t>Chandrashekar Patidar</t>
        </is>
      </c>
      <c r="H679" s="3" t="n">
        <v>7879764773</v>
      </c>
      <c r="I679" s="11" t="inlineStr">
        <is>
          <t>PE26032601</t>
        </is>
      </c>
      <c r="J679" s="3" t="inlineStr">
        <is>
          <t>Module Diode Failure</t>
        </is>
      </c>
      <c r="K679" s="3" t="inlineStr">
        <is>
          <t>Sadla</t>
        </is>
      </c>
      <c r="L679" s="3" t="inlineStr">
        <is>
          <t>Gujarat</t>
        </is>
      </c>
      <c r="M679" s="9" t="inlineStr">
        <is>
          <t>NR</t>
        </is>
      </c>
      <c r="N679" s="3" t="inlineStr">
        <is>
          <t>JB Issue</t>
        </is>
      </c>
      <c r="O679" s="3" t="n">
        <v>570</v>
      </c>
      <c r="P679" s="9" t="inlineStr">
        <is>
          <t>NSMI24060093558</t>
        </is>
      </c>
      <c r="Q679" s="53">
        <f>MID(P679,5,2)</f>
        <v/>
      </c>
      <c r="R679" s="53">
        <f>MID(P679,7,2)</f>
        <v/>
      </c>
      <c r="S679" s="3" t="inlineStr">
        <is>
          <t>G2G</t>
        </is>
      </c>
      <c r="T679" s="3" t="inlineStr">
        <is>
          <t>P4</t>
        </is>
      </c>
      <c r="U679" s="3" t="inlineStr">
        <is>
          <t>N JB Issue</t>
        </is>
      </c>
      <c r="V679" s="3" t="inlineStr">
        <is>
          <t>JB Changed</t>
        </is>
      </c>
      <c r="W679" s="3" t="inlineStr">
        <is>
          <t>Repair</t>
        </is>
      </c>
      <c r="X679" s="18" t="n">
        <v>46153</v>
      </c>
      <c r="Y679" s="73">
        <f>IF(X679="","",X679-A679)</f>
        <v/>
      </c>
      <c r="Z679" s="18" t="n">
        <v>46153</v>
      </c>
      <c r="AA679" s="15" t="n"/>
      <c r="AB679" s="15" t="n"/>
      <c r="AF679">
        <f>IF(AND($F679="Closed",$X679&gt;=DATE(2026,5,1),$X679&lt;=DATE(2026,5,31)),"Closed in May","Other")</f>
        <v/>
      </c>
    </row>
    <row r="680">
      <c r="A680" s="6" t="n">
        <v>46107</v>
      </c>
      <c r="B680" s="3" t="n">
        <v>2026</v>
      </c>
      <c r="C680" s="3" t="inlineStr">
        <is>
          <t>Blupine Energy</t>
        </is>
      </c>
      <c r="D680" s="3" t="inlineStr">
        <is>
          <t>Utility and C&amp;I</t>
        </is>
      </c>
      <c r="E680" s="3" t="n"/>
      <c r="F680" s="3" t="inlineStr">
        <is>
          <t>Closed</t>
        </is>
      </c>
      <c r="G680" s="3" t="inlineStr">
        <is>
          <t>Chandrashekar Patidar</t>
        </is>
      </c>
      <c r="H680" s="3" t="n">
        <v>7879764773</v>
      </c>
      <c r="I680" s="11" t="inlineStr">
        <is>
          <t>PE26032601</t>
        </is>
      </c>
      <c r="J680" s="3" t="inlineStr">
        <is>
          <t>Module Diode Failure</t>
        </is>
      </c>
      <c r="K680" s="3" t="inlineStr">
        <is>
          <t>Sadla</t>
        </is>
      </c>
      <c r="L680" s="3" t="inlineStr">
        <is>
          <t>Gujarat</t>
        </is>
      </c>
      <c r="M680" s="9" t="inlineStr">
        <is>
          <t>NS</t>
        </is>
      </c>
      <c r="N680" s="3" t="inlineStr">
        <is>
          <t>Cold Soldering</t>
        </is>
      </c>
      <c r="O680" s="3" t="n">
        <v>570</v>
      </c>
      <c r="P680" s="9" t="inlineStr">
        <is>
          <t>NSMI24060095365</t>
        </is>
      </c>
      <c r="Q680" s="53">
        <f>MID(P680,5,2)</f>
        <v/>
      </c>
      <c r="R680" s="53">
        <f>MID(P680,7,2)</f>
        <v/>
      </c>
      <c r="S680" s="3" t="inlineStr">
        <is>
          <t>G2G</t>
        </is>
      </c>
      <c r="T680" s="3" t="inlineStr">
        <is>
          <t>P4</t>
        </is>
      </c>
      <c r="U680" s="3" t="inlineStr">
        <is>
          <t>N JB Cold Soldering</t>
        </is>
      </c>
      <c r="V680" s="3" t="inlineStr">
        <is>
          <t>Soldering</t>
        </is>
      </c>
      <c r="W680" s="3" t="inlineStr">
        <is>
          <t>Repair</t>
        </is>
      </c>
      <c r="X680" s="18" t="n">
        <v>46153</v>
      </c>
      <c r="Y680" s="73">
        <f>IF(X680="","",X680-A680)</f>
        <v/>
      </c>
      <c r="Z680" s="18" t="n">
        <v>46153</v>
      </c>
      <c r="AA680" s="15" t="n"/>
      <c r="AB680" s="15" t="n"/>
      <c r="AF680">
        <f>IF(AND($F680="Closed",$X680&gt;=DATE(2026,5,1),$X680&lt;=DATE(2026,5,31)),"Closed in May","Other")</f>
        <v/>
      </c>
    </row>
    <row r="681">
      <c r="A681" s="6" t="n">
        <v>46107</v>
      </c>
      <c r="B681" s="3" t="n">
        <v>2026</v>
      </c>
      <c r="C681" s="3" t="inlineStr">
        <is>
          <t>Blupine Energy</t>
        </is>
      </c>
      <c r="D681" s="3" t="inlineStr">
        <is>
          <t>Utility and C&amp;I</t>
        </is>
      </c>
      <c r="E681" s="3" t="n"/>
      <c r="F681" s="3" t="inlineStr">
        <is>
          <t>Closed</t>
        </is>
      </c>
      <c r="G681" s="3" t="inlineStr">
        <is>
          <t>Chandrashekar Patidar</t>
        </is>
      </c>
      <c r="H681" s="3" t="n">
        <v>7879764773</v>
      </c>
      <c r="I681" s="11" t="inlineStr">
        <is>
          <t>PE26032601</t>
        </is>
      </c>
      <c r="J681" s="3" t="inlineStr">
        <is>
          <t>Module Diode Failure</t>
        </is>
      </c>
      <c r="K681" s="3" t="inlineStr">
        <is>
          <t>Sadla</t>
        </is>
      </c>
      <c r="L681" s="3" t="inlineStr">
        <is>
          <t>Gujarat</t>
        </is>
      </c>
      <c r="M681" s="9" t="inlineStr">
        <is>
          <t>PR</t>
        </is>
      </c>
      <c r="N681" s="3" t="inlineStr">
        <is>
          <t>JB Issue</t>
        </is>
      </c>
      <c r="O681" s="3" t="n">
        <v>570</v>
      </c>
      <c r="P681" s="9" t="inlineStr">
        <is>
          <t>NSMI24050049847</t>
        </is>
      </c>
      <c r="Q681" s="53">
        <f>MID(P681,5,2)</f>
        <v/>
      </c>
      <c r="R681" s="53">
        <f>MID(P681,7,2)</f>
        <v/>
      </c>
      <c r="S681" s="3" t="inlineStr">
        <is>
          <t>G2G</t>
        </is>
      </c>
      <c r="T681" s="3" t="inlineStr">
        <is>
          <t>P4</t>
        </is>
      </c>
      <c r="U681" s="3" t="inlineStr">
        <is>
          <t>P JB Issue</t>
        </is>
      </c>
      <c r="V681" s="15" t="inlineStr">
        <is>
          <t>JB Changed</t>
        </is>
      </c>
      <c r="W681" s="3" t="inlineStr">
        <is>
          <t>Repair</t>
        </is>
      </c>
      <c r="X681" s="18" t="n">
        <v>46153</v>
      </c>
      <c r="Y681" s="73">
        <f>IF(X681="","",X681-A681)</f>
        <v/>
      </c>
      <c r="Z681" s="18" t="n">
        <v>46153</v>
      </c>
      <c r="AA681" s="15" t="n"/>
      <c r="AB681" s="15" t="n"/>
      <c r="AF681">
        <f>IF(AND($F681="Closed",$X681&gt;=DATE(2026,5,1),$X681&lt;=DATE(2026,5,31)),"Closed in May","Other")</f>
        <v/>
      </c>
    </row>
    <row r="682">
      <c r="A682" s="6" t="n">
        <v>46107</v>
      </c>
      <c r="B682" s="3" t="n">
        <v>2026</v>
      </c>
      <c r="C682" s="3" t="inlineStr">
        <is>
          <t>Blupine Energy</t>
        </is>
      </c>
      <c r="D682" s="3" t="inlineStr">
        <is>
          <t>Utility and C&amp;I</t>
        </is>
      </c>
      <c r="E682" s="3" t="n"/>
      <c r="F682" s="3" t="inlineStr">
        <is>
          <t>Closed</t>
        </is>
      </c>
      <c r="G682" s="3" t="inlineStr">
        <is>
          <t>Chandrashekar Patidar</t>
        </is>
      </c>
      <c r="H682" s="3" t="n">
        <v>7879764773</v>
      </c>
      <c r="I682" s="11" t="inlineStr">
        <is>
          <t>PE26032601</t>
        </is>
      </c>
      <c r="J682" s="3" t="inlineStr">
        <is>
          <t>Module Diode Failure</t>
        </is>
      </c>
      <c r="K682" s="3" t="inlineStr">
        <is>
          <t>Sadla</t>
        </is>
      </c>
      <c r="L682" s="3" t="inlineStr">
        <is>
          <t>Gujarat</t>
        </is>
      </c>
      <c r="M682" s="9" t="inlineStr">
        <is>
          <t>PS</t>
        </is>
      </c>
      <c r="N682" s="3" t="inlineStr">
        <is>
          <t>Cold Soldering</t>
        </is>
      </c>
      <c r="O682" s="3" t="n">
        <v>570</v>
      </c>
      <c r="P682" s="9" t="inlineStr">
        <is>
          <t>NSMI24050051416</t>
        </is>
      </c>
      <c r="Q682" s="53">
        <f>MID(P682,5,2)</f>
        <v/>
      </c>
      <c r="R682" s="53">
        <f>MID(P682,7,2)</f>
        <v/>
      </c>
      <c r="S682" s="3" t="inlineStr">
        <is>
          <t>G2G</t>
        </is>
      </c>
      <c r="T682" s="3" t="inlineStr">
        <is>
          <t>P4</t>
        </is>
      </c>
      <c r="U682" s="3" t="inlineStr">
        <is>
          <t>P JB Cold Soldering</t>
        </is>
      </c>
      <c r="V682" s="3" t="inlineStr">
        <is>
          <t>Soldering</t>
        </is>
      </c>
      <c r="W682" s="3" t="inlineStr">
        <is>
          <t>Repair</t>
        </is>
      </c>
      <c r="X682" s="18" t="n">
        <v>46153</v>
      </c>
      <c r="Y682" s="73">
        <f>IF(X682="","",X682-A682)</f>
        <v/>
      </c>
      <c r="Z682" s="18" t="n">
        <v>46153</v>
      </c>
      <c r="AA682" s="15" t="n"/>
      <c r="AB682" s="15" t="n"/>
      <c r="AF682">
        <f>IF(AND($F682="Closed",$X682&gt;=DATE(2026,5,1),$X682&lt;=DATE(2026,5,31)),"Closed in May","Other")</f>
        <v/>
      </c>
    </row>
    <row r="683">
      <c r="A683" s="6" t="n">
        <v>46107</v>
      </c>
      <c r="B683" s="3" t="n">
        <v>2026</v>
      </c>
      <c r="C683" s="3" t="inlineStr">
        <is>
          <t>Blupine Energy</t>
        </is>
      </c>
      <c r="D683" s="3" t="inlineStr">
        <is>
          <t>Utility and C&amp;I</t>
        </is>
      </c>
      <c r="E683" s="3" t="n"/>
      <c r="F683" s="3" t="inlineStr">
        <is>
          <t>Closed</t>
        </is>
      </c>
      <c r="G683" s="3" t="inlineStr">
        <is>
          <t>Chandrashekar Patidar</t>
        </is>
      </c>
      <c r="H683" s="3" t="n">
        <v>7879764773</v>
      </c>
      <c r="I683" s="11" t="inlineStr">
        <is>
          <t>PE26032601</t>
        </is>
      </c>
      <c r="J683" s="3" t="inlineStr">
        <is>
          <t>Module Diode Failure</t>
        </is>
      </c>
      <c r="K683" s="3" t="inlineStr">
        <is>
          <t>Sadla</t>
        </is>
      </c>
      <c r="L683" s="3" t="inlineStr">
        <is>
          <t>Gujarat</t>
        </is>
      </c>
      <c r="M683" s="9" t="inlineStr">
        <is>
          <t>PS</t>
        </is>
      </c>
      <c r="N683" s="3" t="inlineStr">
        <is>
          <t>Cold Soldering</t>
        </is>
      </c>
      <c r="O683" s="3" t="n">
        <v>570</v>
      </c>
      <c r="P683" s="9" t="inlineStr">
        <is>
          <t>NSMI24060075476</t>
        </is>
      </c>
      <c r="Q683" s="53">
        <f>MID(P683,5,2)</f>
        <v/>
      </c>
      <c r="R683" s="53">
        <f>MID(P683,7,2)</f>
        <v/>
      </c>
      <c r="S683" s="3" t="inlineStr">
        <is>
          <t>G2G</t>
        </is>
      </c>
      <c r="T683" s="3" t="inlineStr">
        <is>
          <t>P4</t>
        </is>
      </c>
      <c r="U683" s="3" t="inlineStr">
        <is>
          <t>P JB Cold Soldering</t>
        </is>
      </c>
      <c r="V683" s="3" t="inlineStr">
        <is>
          <t>Soldering</t>
        </is>
      </c>
      <c r="W683" s="3" t="inlineStr">
        <is>
          <t>Repair</t>
        </is>
      </c>
      <c r="X683" s="18" t="n">
        <v>46153</v>
      </c>
      <c r="Y683" s="73">
        <f>IF(X683="","",X683-A683)</f>
        <v/>
      </c>
      <c r="Z683" s="18" t="n">
        <v>46153</v>
      </c>
      <c r="AA683" s="15" t="n"/>
      <c r="AB683" s="15" t="n"/>
      <c r="AF683">
        <f>IF(AND($F683="Closed",$X683&gt;=DATE(2026,5,1),$X683&lt;=DATE(2026,5,31)),"Closed in May","Other")</f>
        <v/>
      </c>
    </row>
    <row r="684">
      <c r="A684" s="6" t="n">
        <v>46107</v>
      </c>
      <c r="B684" s="3" t="n">
        <v>2026</v>
      </c>
      <c r="C684" s="3" t="inlineStr">
        <is>
          <t>Blupine Energy</t>
        </is>
      </c>
      <c r="D684" s="3" t="inlineStr">
        <is>
          <t>Utility and C&amp;I</t>
        </is>
      </c>
      <c r="E684" s="3" t="n"/>
      <c r="F684" s="3" t="inlineStr">
        <is>
          <t>Closed</t>
        </is>
      </c>
      <c r="G684" s="3" t="inlineStr">
        <is>
          <t>Chandrashekar Patidar</t>
        </is>
      </c>
      <c r="H684" s="3" t="n">
        <v>7879764773</v>
      </c>
      <c r="I684" s="11" t="inlineStr">
        <is>
          <t>PE26032601</t>
        </is>
      </c>
      <c r="J684" s="3" t="inlineStr">
        <is>
          <t>Module Diode Failure</t>
        </is>
      </c>
      <c r="K684" s="3" t="inlineStr">
        <is>
          <t>Sadla</t>
        </is>
      </c>
      <c r="L684" s="3" t="inlineStr">
        <is>
          <t>Gujarat</t>
        </is>
      </c>
      <c r="M684" s="9" t="inlineStr">
        <is>
          <t>NS</t>
        </is>
      </c>
      <c r="N684" s="3" t="inlineStr">
        <is>
          <t>Cold Soldering</t>
        </is>
      </c>
      <c r="O684" s="3" t="n">
        <v>570</v>
      </c>
      <c r="P684" s="9" t="inlineStr">
        <is>
          <t>NSMI24050045888</t>
        </is>
      </c>
      <c r="Q684" s="53">
        <f>MID(P684,5,2)</f>
        <v/>
      </c>
      <c r="R684" s="53">
        <f>MID(P684,7,2)</f>
        <v/>
      </c>
      <c r="S684" s="3" t="inlineStr">
        <is>
          <t>G2G</t>
        </is>
      </c>
      <c r="T684" s="3" t="inlineStr">
        <is>
          <t>P4</t>
        </is>
      </c>
      <c r="U684" s="3" t="inlineStr">
        <is>
          <t>N JB Cold Soldering</t>
        </is>
      </c>
      <c r="V684" s="3" t="inlineStr">
        <is>
          <t>Soldering</t>
        </is>
      </c>
      <c r="W684" s="3" t="inlineStr">
        <is>
          <t>Repair</t>
        </is>
      </c>
      <c r="X684" s="18" t="n">
        <v>46153</v>
      </c>
      <c r="Y684" s="73">
        <f>IF(X684="","",X684-A684)</f>
        <v/>
      </c>
      <c r="Z684" s="18" t="n">
        <v>46153</v>
      </c>
      <c r="AA684" s="15" t="n"/>
      <c r="AB684" s="15" t="n"/>
      <c r="AF684">
        <f>IF(AND($F684="Closed",$X684&gt;=DATE(2026,5,1),$X684&lt;=DATE(2026,5,31)),"Closed in May","Other")</f>
        <v/>
      </c>
    </row>
    <row r="685">
      <c r="A685" s="6" t="n">
        <v>46107</v>
      </c>
      <c r="B685" s="3" t="n">
        <v>2026</v>
      </c>
      <c r="C685" s="3" t="inlineStr">
        <is>
          <t>Blupine Energy</t>
        </is>
      </c>
      <c r="D685" s="3" t="inlineStr">
        <is>
          <t>Utility and C&amp;I</t>
        </is>
      </c>
      <c r="E685" s="3" t="n"/>
      <c r="F685" s="3" t="inlineStr">
        <is>
          <t>Closed</t>
        </is>
      </c>
      <c r="G685" s="3" t="inlineStr">
        <is>
          <t>Chandrashekar Patidar</t>
        </is>
      </c>
      <c r="H685" s="3" t="n">
        <v>7879764773</v>
      </c>
      <c r="I685" s="11" t="inlineStr">
        <is>
          <t>PE26032601</t>
        </is>
      </c>
      <c r="J685" s="3" t="inlineStr">
        <is>
          <t>Module Diode Failure</t>
        </is>
      </c>
      <c r="K685" s="3" t="inlineStr">
        <is>
          <t>Sadla</t>
        </is>
      </c>
      <c r="L685" s="3" t="inlineStr">
        <is>
          <t>Gujarat</t>
        </is>
      </c>
      <c r="M685" s="9" t="inlineStr">
        <is>
          <t>NS</t>
        </is>
      </c>
      <c r="N685" s="3" t="inlineStr">
        <is>
          <t>Cold Soldering</t>
        </is>
      </c>
      <c r="O685" s="3" t="n">
        <v>570</v>
      </c>
      <c r="P685" s="9" t="inlineStr">
        <is>
          <t>NSMI24050045787</t>
        </is>
      </c>
      <c r="Q685" s="53">
        <f>MID(P685,5,2)</f>
        <v/>
      </c>
      <c r="R685" s="53">
        <f>MID(P685,7,2)</f>
        <v/>
      </c>
      <c r="S685" s="3" t="inlineStr">
        <is>
          <t>G2G</t>
        </is>
      </c>
      <c r="T685" s="3" t="inlineStr">
        <is>
          <t>P4</t>
        </is>
      </c>
      <c r="U685" s="3" t="inlineStr">
        <is>
          <t>N JB Cold Soldering</t>
        </is>
      </c>
      <c r="V685" s="3" t="inlineStr">
        <is>
          <t>Soldering</t>
        </is>
      </c>
      <c r="W685" s="3" t="inlineStr">
        <is>
          <t>Repair</t>
        </is>
      </c>
      <c r="X685" s="18" t="n">
        <v>46153</v>
      </c>
      <c r="Y685" s="73">
        <f>IF(X685="","",X685-A685)</f>
        <v/>
      </c>
      <c r="Z685" s="18" t="n">
        <v>46153</v>
      </c>
      <c r="AA685" s="15" t="n"/>
      <c r="AB685" s="15" t="n"/>
      <c r="AF685">
        <f>IF(AND($F685="Closed",$X685&gt;=DATE(2026,5,1),$X685&lt;=DATE(2026,5,31)),"Closed in May","Other")</f>
        <v/>
      </c>
    </row>
    <row r="686">
      <c r="A686" s="6" t="n">
        <v>46107</v>
      </c>
      <c r="B686" s="3" t="n">
        <v>2026</v>
      </c>
      <c r="C686" s="3" t="inlineStr">
        <is>
          <t>Blupine Energy</t>
        </is>
      </c>
      <c r="D686" s="3" t="inlineStr">
        <is>
          <t>Utility and C&amp;I</t>
        </is>
      </c>
      <c r="E686" s="3" t="n"/>
      <c r="F686" s="3" t="inlineStr">
        <is>
          <t>Closed</t>
        </is>
      </c>
      <c r="G686" s="3" t="inlineStr">
        <is>
          <t>Chandrashekar Patidar</t>
        </is>
      </c>
      <c r="H686" s="3" t="n">
        <v>7879764773</v>
      </c>
      <c r="I686" s="11" t="inlineStr">
        <is>
          <t>PE26032601</t>
        </is>
      </c>
      <c r="J686" s="3" t="inlineStr">
        <is>
          <t>Module Diode Failure</t>
        </is>
      </c>
      <c r="K686" s="3" t="inlineStr">
        <is>
          <t>Sadla</t>
        </is>
      </c>
      <c r="L686" s="3" t="inlineStr">
        <is>
          <t>Gujarat</t>
        </is>
      </c>
      <c r="M686" s="9" t="inlineStr">
        <is>
          <t>NS</t>
        </is>
      </c>
      <c r="N686" s="3" t="inlineStr">
        <is>
          <t>Cold Soldering</t>
        </is>
      </c>
      <c r="O686" s="3" t="n">
        <v>570</v>
      </c>
      <c r="P686" s="9" t="inlineStr">
        <is>
          <t>NSMI24050050772</t>
        </is>
      </c>
      <c r="Q686" s="53">
        <f>MID(P686,5,2)</f>
        <v/>
      </c>
      <c r="R686" s="53">
        <f>MID(P686,7,2)</f>
        <v/>
      </c>
      <c r="S686" s="3" t="inlineStr">
        <is>
          <t>G2G</t>
        </is>
      </c>
      <c r="T686" s="3" t="inlineStr">
        <is>
          <t>P4</t>
        </is>
      </c>
      <c r="U686" s="3" t="inlineStr">
        <is>
          <t>N JB Cold Soldering</t>
        </is>
      </c>
      <c r="V686" s="3" t="inlineStr">
        <is>
          <t>Soldering</t>
        </is>
      </c>
      <c r="W686" s="3" t="inlineStr">
        <is>
          <t>Repair</t>
        </is>
      </c>
      <c r="X686" s="18" t="n">
        <v>46153</v>
      </c>
      <c r="Y686" s="73">
        <f>IF(X686="","",X686-A686)</f>
        <v/>
      </c>
      <c r="Z686" s="18" t="n">
        <v>46153</v>
      </c>
      <c r="AA686" s="15" t="n"/>
      <c r="AB686" s="15" t="n"/>
      <c r="AF686">
        <f>IF(AND($F686="Closed",$X686&gt;=DATE(2026,5,1),$X686&lt;=DATE(2026,5,31)),"Closed in May","Other")</f>
        <v/>
      </c>
    </row>
    <row r="687">
      <c r="A687" s="6" t="n">
        <v>46107</v>
      </c>
      <c r="B687" s="3" t="n">
        <v>2026</v>
      </c>
      <c r="C687" s="3" t="inlineStr">
        <is>
          <t>Blupine Energy</t>
        </is>
      </c>
      <c r="D687" s="3" t="inlineStr">
        <is>
          <t>Utility and C&amp;I</t>
        </is>
      </c>
      <c r="E687" s="3" t="n"/>
      <c r="F687" s="3" t="inlineStr">
        <is>
          <t>Closed</t>
        </is>
      </c>
      <c r="G687" s="3" t="inlineStr">
        <is>
          <t>Chandrashekar Patidar</t>
        </is>
      </c>
      <c r="H687" s="3" t="n">
        <v>7879764773</v>
      </c>
      <c r="I687" s="11" t="inlineStr">
        <is>
          <t>PE26032601</t>
        </is>
      </c>
      <c r="J687" s="3" t="inlineStr">
        <is>
          <t>Module Diode Failure</t>
        </is>
      </c>
      <c r="K687" s="3" t="inlineStr">
        <is>
          <t>Sadla</t>
        </is>
      </c>
      <c r="L687" s="3" t="inlineStr">
        <is>
          <t>Gujarat</t>
        </is>
      </c>
      <c r="M687" s="9" t="inlineStr">
        <is>
          <t>NS</t>
        </is>
      </c>
      <c r="N687" s="3" t="inlineStr">
        <is>
          <t>Cold Soldering</t>
        </is>
      </c>
      <c r="O687" s="3" t="n">
        <v>570</v>
      </c>
      <c r="P687" s="9" t="inlineStr">
        <is>
          <t>NSMI24050051345</t>
        </is>
      </c>
      <c r="Q687" s="53">
        <f>MID(P687,5,2)</f>
        <v/>
      </c>
      <c r="R687" s="53">
        <f>MID(P687,7,2)</f>
        <v/>
      </c>
      <c r="S687" s="3" t="inlineStr">
        <is>
          <t>G2G</t>
        </is>
      </c>
      <c r="T687" s="3" t="inlineStr">
        <is>
          <t>P4</t>
        </is>
      </c>
      <c r="U687" s="3" t="inlineStr">
        <is>
          <t>N JB Cold Soldering</t>
        </is>
      </c>
      <c r="V687" s="3" t="inlineStr">
        <is>
          <t>Soldering</t>
        </is>
      </c>
      <c r="W687" s="3" t="inlineStr">
        <is>
          <t>Repair</t>
        </is>
      </c>
      <c r="X687" s="18" t="n">
        <v>46153</v>
      </c>
      <c r="Y687" s="73">
        <f>IF(X687="","",X687-A687)</f>
        <v/>
      </c>
      <c r="Z687" s="18" t="n">
        <v>46153</v>
      </c>
      <c r="AA687" s="15" t="n"/>
      <c r="AB687" s="15" t="n"/>
      <c r="AF687">
        <f>IF(AND($F687="Closed",$X687&gt;=DATE(2026,5,1),$X687&lt;=DATE(2026,5,31)),"Closed in May","Other")</f>
        <v/>
      </c>
    </row>
    <row r="688">
      <c r="A688" s="6" t="n">
        <v>46107</v>
      </c>
      <c r="B688" s="3" t="n">
        <v>2026</v>
      </c>
      <c r="C688" s="3" t="inlineStr">
        <is>
          <t>Blupine Energy</t>
        </is>
      </c>
      <c r="D688" s="3" t="inlineStr">
        <is>
          <t>Utility and C&amp;I</t>
        </is>
      </c>
      <c r="E688" s="3" t="n"/>
      <c r="F688" s="3" t="inlineStr">
        <is>
          <t>Closed</t>
        </is>
      </c>
      <c r="G688" s="3" t="inlineStr">
        <is>
          <t>Chandrashekar Patidar</t>
        </is>
      </c>
      <c r="H688" s="3" t="n">
        <v>7879764773</v>
      </c>
      <c r="I688" s="11" t="inlineStr">
        <is>
          <t>PE26032601</t>
        </is>
      </c>
      <c r="J688" s="3" t="inlineStr">
        <is>
          <t>Module Diode Failure</t>
        </is>
      </c>
      <c r="K688" s="3" t="inlineStr">
        <is>
          <t>Sadla</t>
        </is>
      </c>
      <c r="L688" s="3" t="inlineStr">
        <is>
          <t>Gujarat</t>
        </is>
      </c>
      <c r="M688" s="9" t="inlineStr">
        <is>
          <t>NS</t>
        </is>
      </c>
      <c r="N688" s="3" t="inlineStr">
        <is>
          <t>Cold Soldering</t>
        </is>
      </c>
      <c r="O688" s="3" t="n">
        <v>570</v>
      </c>
      <c r="P688" s="9" t="inlineStr">
        <is>
          <t>NSMI24050051320</t>
        </is>
      </c>
      <c r="Q688" s="53">
        <f>MID(P688,5,2)</f>
        <v/>
      </c>
      <c r="R688" s="53">
        <f>MID(P688,7,2)</f>
        <v/>
      </c>
      <c r="S688" s="3" t="inlineStr">
        <is>
          <t>G2G</t>
        </is>
      </c>
      <c r="T688" s="3" t="inlineStr">
        <is>
          <t>P4</t>
        </is>
      </c>
      <c r="U688" s="3" t="inlineStr">
        <is>
          <t>N JB Cold Soldering</t>
        </is>
      </c>
      <c r="V688" s="3" t="inlineStr">
        <is>
          <t>Soldering</t>
        </is>
      </c>
      <c r="W688" s="3" t="inlineStr">
        <is>
          <t>Repair</t>
        </is>
      </c>
      <c r="X688" s="18" t="n">
        <v>46153</v>
      </c>
      <c r="Y688" s="73">
        <f>IF(X688="","",X688-A688)</f>
        <v/>
      </c>
      <c r="Z688" s="18" t="n">
        <v>46153</v>
      </c>
      <c r="AA688" s="15" t="n"/>
      <c r="AB688" s="15" t="n"/>
      <c r="AF688">
        <f>IF(AND($F688="Closed",$X688&gt;=DATE(2026,5,1),$X688&lt;=DATE(2026,5,31)),"Closed in May","Other")</f>
        <v/>
      </c>
    </row>
    <row r="689">
      <c r="A689" s="6" t="n">
        <v>46107</v>
      </c>
      <c r="B689" s="3" t="n">
        <v>2026</v>
      </c>
      <c r="C689" s="3" t="inlineStr">
        <is>
          <t>Blupine Energy</t>
        </is>
      </c>
      <c r="D689" s="3" t="inlineStr">
        <is>
          <t>Utility and C&amp;I</t>
        </is>
      </c>
      <c r="E689" s="3" t="n"/>
      <c r="F689" s="3" t="inlineStr">
        <is>
          <t>Closed</t>
        </is>
      </c>
      <c r="G689" s="3" t="inlineStr">
        <is>
          <t>Chandrashekar Patidar</t>
        </is>
      </c>
      <c r="H689" s="3" t="n">
        <v>7879764773</v>
      </c>
      <c r="I689" s="11" t="inlineStr">
        <is>
          <t>PE26032601</t>
        </is>
      </c>
      <c r="J689" s="3" t="inlineStr">
        <is>
          <t>Module Diode Failure</t>
        </is>
      </c>
      <c r="K689" s="3" t="inlineStr">
        <is>
          <t>Sadla</t>
        </is>
      </c>
      <c r="L689" s="3" t="inlineStr">
        <is>
          <t>Gujarat</t>
        </is>
      </c>
      <c r="M689" s="9" t="inlineStr">
        <is>
          <t>NS</t>
        </is>
      </c>
      <c r="N689" s="3" t="inlineStr">
        <is>
          <t>Cold Soldering</t>
        </is>
      </c>
      <c r="O689" s="3" t="n">
        <v>570</v>
      </c>
      <c r="P689" s="9" t="inlineStr">
        <is>
          <t>NSMI24060096523</t>
        </is>
      </c>
      <c r="Q689" s="53">
        <f>MID(P689,5,2)</f>
        <v/>
      </c>
      <c r="R689" s="53">
        <f>MID(P689,7,2)</f>
        <v/>
      </c>
      <c r="S689" s="3" t="inlineStr">
        <is>
          <t>G2G</t>
        </is>
      </c>
      <c r="T689" s="3" t="inlineStr">
        <is>
          <t>P4</t>
        </is>
      </c>
      <c r="U689" s="3" t="inlineStr">
        <is>
          <t>N JB Cold Soldering</t>
        </is>
      </c>
      <c r="V689" s="3" t="inlineStr">
        <is>
          <t>Soldering</t>
        </is>
      </c>
      <c r="W689" s="3" t="inlineStr">
        <is>
          <t>Repair</t>
        </is>
      </c>
      <c r="X689" s="18" t="n">
        <v>46153</v>
      </c>
      <c r="Y689" s="73">
        <f>IF(X689="","",X689-A689)</f>
        <v/>
      </c>
      <c r="Z689" s="18" t="n">
        <v>46153</v>
      </c>
      <c r="AA689" s="15" t="n"/>
      <c r="AB689" s="15" t="n"/>
      <c r="AF689">
        <f>IF(AND($F689="Closed",$X689&gt;=DATE(2026,5,1),$X689&lt;=DATE(2026,5,31)),"Closed in May","Other")</f>
        <v/>
      </c>
    </row>
    <row r="690">
      <c r="A690" s="6" t="n">
        <v>46107</v>
      </c>
      <c r="B690" s="3" t="n">
        <v>2026</v>
      </c>
      <c r="C690" s="3" t="inlineStr">
        <is>
          <t>Blupine Energy</t>
        </is>
      </c>
      <c r="D690" s="3" t="inlineStr">
        <is>
          <t>Utility and C&amp;I</t>
        </is>
      </c>
      <c r="E690" s="3" t="n"/>
      <c r="F690" s="3" t="inlineStr">
        <is>
          <t>Closed</t>
        </is>
      </c>
      <c r="G690" s="3" t="inlineStr">
        <is>
          <t>Chandrashekar Patidar</t>
        </is>
      </c>
      <c r="H690" s="3" t="n">
        <v>7879764773</v>
      </c>
      <c r="I690" s="11" t="inlineStr">
        <is>
          <t>PE26032601</t>
        </is>
      </c>
      <c r="J690" s="3" t="inlineStr">
        <is>
          <t>Module Diode Failure</t>
        </is>
      </c>
      <c r="K690" s="3" t="inlineStr">
        <is>
          <t>Sadla</t>
        </is>
      </c>
      <c r="L690" s="3" t="inlineStr">
        <is>
          <t>Gujarat</t>
        </is>
      </c>
      <c r="M690" s="9" t="inlineStr">
        <is>
          <t>NS</t>
        </is>
      </c>
      <c r="N690" s="3" t="inlineStr">
        <is>
          <t>Cold Soldering</t>
        </is>
      </c>
      <c r="O690" s="3" t="n">
        <v>570</v>
      </c>
      <c r="P690" s="9" t="inlineStr">
        <is>
          <t>NSMI24060095264</t>
        </is>
      </c>
      <c r="Q690" s="53">
        <f>MID(P690,5,2)</f>
        <v/>
      </c>
      <c r="R690" s="53">
        <f>MID(P690,7,2)</f>
        <v/>
      </c>
      <c r="S690" s="3" t="inlineStr">
        <is>
          <t>G2G</t>
        </is>
      </c>
      <c r="T690" s="3" t="inlineStr">
        <is>
          <t>P4</t>
        </is>
      </c>
      <c r="U690" s="3" t="inlineStr">
        <is>
          <t>N JB Cold Soldering</t>
        </is>
      </c>
      <c r="V690" s="3" t="inlineStr">
        <is>
          <t>Soldering</t>
        </is>
      </c>
      <c r="W690" s="3" t="inlineStr">
        <is>
          <t>Repair</t>
        </is>
      </c>
      <c r="X690" s="18" t="n">
        <v>46153</v>
      </c>
      <c r="Y690" s="73">
        <f>IF(X690="","",X690-A690)</f>
        <v/>
      </c>
      <c r="Z690" s="18" t="n">
        <v>46153</v>
      </c>
      <c r="AA690" s="15" t="n"/>
      <c r="AB690" s="15" t="n"/>
      <c r="AF690">
        <f>IF(AND($F690="Closed",$X690&gt;=DATE(2026,5,1),$X690&lt;=DATE(2026,5,31)),"Closed in May","Other")</f>
        <v/>
      </c>
    </row>
    <row r="691">
      <c r="A691" s="6" t="n">
        <v>46107</v>
      </c>
      <c r="B691" s="3" t="n">
        <v>2026</v>
      </c>
      <c r="C691" s="3" t="inlineStr">
        <is>
          <t>Blupine Energy</t>
        </is>
      </c>
      <c r="D691" s="3" t="inlineStr">
        <is>
          <t>Utility and C&amp;I</t>
        </is>
      </c>
      <c r="E691" s="3" t="n"/>
      <c r="F691" s="3" t="inlineStr">
        <is>
          <t>Closed</t>
        </is>
      </c>
      <c r="G691" s="3" t="inlineStr">
        <is>
          <t>Chandrashekar Patidar</t>
        </is>
      </c>
      <c r="H691" s="3" t="n">
        <v>7879764773</v>
      </c>
      <c r="I691" s="11" t="inlineStr">
        <is>
          <t>PE26032601</t>
        </is>
      </c>
      <c r="J691" s="3" t="inlineStr">
        <is>
          <t>Module Diode Failure</t>
        </is>
      </c>
      <c r="K691" s="3" t="inlineStr">
        <is>
          <t>Sadla</t>
        </is>
      </c>
      <c r="L691" s="3" t="inlineStr">
        <is>
          <t>Gujarat</t>
        </is>
      </c>
      <c r="M691" s="9" t="inlineStr">
        <is>
          <t>PS</t>
        </is>
      </c>
      <c r="N691" s="3" t="inlineStr">
        <is>
          <t>Cold Soldering</t>
        </is>
      </c>
      <c r="O691" s="3" t="n">
        <v>570</v>
      </c>
      <c r="P691" s="9" t="inlineStr">
        <is>
          <t>NSMI24060092916</t>
        </is>
      </c>
      <c r="Q691" s="53">
        <f>MID(P691,5,2)</f>
        <v/>
      </c>
      <c r="R691" s="53">
        <f>MID(P691,7,2)</f>
        <v/>
      </c>
      <c r="S691" s="3" t="inlineStr">
        <is>
          <t>G2G</t>
        </is>
      </c>
      <c r="T691" s="3" t="inlineStr">
        <is>
          <t>P4</t>
        </is>
      </c>
      <c r="U691" s="3" t="inlineStr">
        <is>
          <t>P JB Cold Soldering</t>
        </is>
      </c>
      <c r="V691" s="3" t="inlineStr">
        <is>
          <t>Soldering</t>
        </is>
      </c>
      <c r="W691" s="3" t="inlineStr">
        <is>
          <t>Repair</t>
        </is>
      </c>
      <c r="X691" s="18" t="n">
        <v>46153</v>
      </c>
      <c r="Y691" s="73">
        <f>IF(X691="","",X691-A691)</f>
        <v/>
      </c>
      <c r="Z691" s="18" t="n">
        <v>46153</v>
      </c>
      <c r="AA691" s="15" t="n"/>
      <c r="AB691" s="15" t="n"/>
      <c r="AF691">
        <f>IF(AND($F691="Closed",$X691&gt;=DATE(2026,5,1),$X691&lt;=DATE(2026,5,31)),"Closed in May","Other")</f>
        <v/>
      </c>
    </row>
    <row r="692">
      <c r="A692" s="6" t="n">
        <v>46107</v>
      </c>
      <c r="B692" s="3" t="n">
        <v>2026</v>
      </c>
      <c r="C692" s="3" t="inlineStr">
        <is>
          <t>Blupine Energy</t>
        </is>
      </c>
      <c r="D692" s="3" t="inlineStr">
        <is>
          <t>Utility and C&amp;I</t>
        </is>
      </c>
      <c r="E692" s="3" t="n"/>
      <c r="F692" s="3" t="inlineStr">
        <is>
          <t>Closed</t>
        </is>
      </c>
      <c r="G692" s="3" t="inlineStr">
        <is>
          <t>Chandrashekar Patidar</t>
        </is>
      </c>
      <c r="H692" s="3" t="n">
        <v>7879764773</v>
      </c>
      <c r="I692" s="11" t="inlineStr">
        <is>
          <t>PE26032601</t>
        </is>
      </c>
      <c r="J692" s="3" t="inlineStr">
        <is>
          <t>Module Diode Failure</t>
        </is>
      </c>
      <c r="K692" s="3" t="inlineStr">
        <is>
          <t>Sadla</t>
        </is>
      </c>
      <c r="L692" s="3" t="inlineStr">
        <is>
          <t>Gujarat</t>
        </is>
      </c>
      <c r="M692" s="9" t="inlineStr">
        <is>
          <t>NS</t>
        </is>
      </c>
      <c r="N692" s="3" t="inlineStr">
        <is>
          <t>Cold Soldering</t>
        </is>
      </c>
      <c r="O692" s="3" t="n">
        <v>570</v>
      </c>
      <c r="P692" s="9" t="inlineStr">
        <is>
          <t>NSMI24060095158</t>
        </is>
      </c>
      <c r="Q692" s="53">
        <f>MID(P692,5,2)</f>
        <v/>
      </c>
      <c r="R692" s="53">
        <f>MID(P692,7,2)</f>
        <v/>
      </c>
      <c r="S692" s="3" t="inlineStr">
        <is>
          <t>G2G</t>
        </is>
      </c>
      <c r="T692" s="3" t="inlineStr">
        <is>
          <t>P4</t>
        </is>
      </c>
      <c r="U692" s="3" t="inlineStr">
        <is>
          <t>N JB Cold Soldering</t>
        </is>
      </c>
      <c r="V692" s="3" t="inlineStr">
        <is>
          <t>Soldering</t>
        </is>
      </c>
      <c r="W692" s="3" t="inlineStr">
        <is>
          <t>Repair</t>
        </is>
      </c>
      <c r="X692" s="18" t="n">
        <v>46153</v>
      </c>
      <c r="Y692" s="73">
        <f>IF(X692="","",X692-A692)</f>
        <v/>
      </c>
      <c r="Z692" s="18" t="n">
        <v>46153</v>
      </c>
      <c r="AA692" s="15" t="n"/>
      <c r="AB692" s="15" t="n"/>
      <c r="AF692">
        <f>IF(AND($F692="Closed",$X692&gt;=DATE(2026,5,1),$X692&lt;=DATE(2026,5,31)),"Closed in May","Other")</f>
        <v/>
      </c>
    </row>
    <row r="693">
      <c r="A693" s="6" t="n">
        <v>46107</v>
      </c>
      <c r="B693" s="3" t="n">
        <v>2026</v>
      </c>
      <c r="C693" s="3" t="inlineStr">
        <is>
          <t>Blupine Energy</t>
        </is>
      </c>
      <c r="D693" s="3" t="inlineStr">
        <is>
          <t>Utility and C&amp;I</t>
        </is>
      </c>
      <c r="E693" s="3" t="n"/>
      <c r="F693" s="3" t="inlineStr">
        <is>
          <t>Closed</t>
        </is>
      </c>
      <c r="G693" s="3" t="inlineStr">
        <is>
          <t>Chandrashekar Patidar</t>
        </is>
      </c>
      <c r="H693" s="3" t="n">
        <v>7879764773</v>
      </c>
      <c r="I693" s="11" t="inlineStr">
        <is>
          <t>PE26032601</t>
        </is>
      </c>
      <c r="J693" s="3" t="inlineStr">
        <is>
          <t>Module Diode Failure</t>
        </is>
      </c>
      <c r="K693" s="3" t="inlineStr">
        <is>
          <t>Sadla</t>
        </is>
      </c>
      <c r="L693" s="3" t="inlineStr">
        <is>
          <t>Gujarat</t>
        </is>
      </c>
      <c r="M693" s="9" t="inlineStr">
        <is>
          <t>NS</t>
        </is>
      </c>
      <c r="N693" s="3" t="inlineStr">
        <is>
          <t>Cold Soldering</t>
        </is>
      </c>
      <c r="O693" s="3" t="n">
        <v>570</v>
      </c>
      <c r="P693" s="9" t="inlineStr">
        <is>
          <t>NSMI24060094461</t>
        </is>
      </c>
      <c r="Q693" s="53">
        <f>MID(P693,5,2)</f>
        <v/>
      </c>
      <c r="R693" s="53">
        <f>MID(P693,7,2)</f>
        <v/>
      </c>
      <c r="S693" s="3" t="inlineStr">
        <is>
          <t>G2G</t>
        </is>
      </c>
      <c r="T693" s="3" t="inlineStr">
        <is>
          <t>P4</t>
        </is>
      </c>
      <c r="U693" s="3" t="inlineStr">
        <is>
          <t>N JB Cold Soldering</t>
        </is>
      </c>
      <c r="V693" s="3" t="inlineStr">
        <is>
          <t>Soldering</t>
        </is>
      </c>
      <c r="W693" s="3" t="inlineStr">
        <is>
          <t>Repair</t>
        </is>
      </c>
      <c r="X693" s="18" t="n">
        <v>46153</v>
      </c>
      <c r="Y693" s="73">
        <f>IF(X693="","",X693-A693)</f>
        <v/>
      </c>
      <c r="Z693" s="18" t="n">
        <v>46153</v>
      </c>
      <c r="AA693" s="15" t="n"/>
      <c r="AB693" s="15" t="n"/>
      <c r="AF693">
        <f>IF(AND($F693="Closed",$X693&gt;=DATE(2026,5,1),$X693&lt;=DATE(2026,5,31)),"Closed in May","Other")</f>
        <v/>
      </c>
    </row>
    <row r="694">
      <c r="A694" s="6" t="n">
        <v>46107</v>
      </c>
      <c r="B694" s="3" t="n">
        <v>2026</v>
      </c>
      <c r="C694" s="3" t="inlineStr">
        <is>
          <t>Blupine Energy</t>
        </is>
      </c>
      <c r="D694" s="3" t="inlineStr">
        <is>
          <t>Utility and C&amp;I</t>
        </is>
      </c>
      <c r="E694" s="3" t="n"/>
      <c r="F694" s="3" t="inlineStr">
        <is>
          <t>Closed</t>
        </is>
      </c>
      <c r="G694" s="3" t="inlineStr">
        <is>
          <t>Chandrashekar Patidar</t>
        </is>
      </c>
      <c r="H694" s="3" t="n">
        <v>7879764773</v>
      </c>
      <c r="I694" s="11" t="inlineStr">
        <is>
          <t>PE26032601</t>
        </is>
      </c>
      <c r="J694" s="3" t="inlineStr">
        <is>
          <t>Module Diode Failure</t>
        </is>
      </c>
      <c r="K694" s="3" t="inlineStr">
        <is>
          <t>Sadla</t>
        </is>
      </c>
      <c r="L694" s="3" t="inlineStr">
        <is>
          <t>Gujarat</t>
        </is>
      </c>
      <c r="M694" s="9" t="inlineStr">
        <is>
          <t>PS</t>
        </is>
      </c>
      <c r="N694" s="3" t="inlineStr">
        <is>
          <t>Cold Soldering</t>
        </is>
      </c>
      <c r="O694" s="3" t="n">
        <v>570</v>
      </c>
      <c r="P694" s="9" t="inlineStr">
        <is>
          <t>NSMI24050066874</t>
        </is>
      </c>
      <c r="Q694" s="53">
        <f>MID(P694,5,2)</f>
        <v/>
      </c>
      <c r="R694" s="53">
        <f>MID(P694,7,2)</f>
        <v/>
      </c>
      <c r="S694" s="3" t="inlineStr">
        <is>
          <t>G2G</t>
        </is>
      </c>
      <c r="T694" s="3" t="inlineStr">
        <is>
          <t>P4</t>
        </is>
      </c>
      <c r="U694" s="3" t="inlineStr">
        <is>
          <t>P JB Cold Soldering</t>
        </is>
      </c>
      <c r="V694" s="3" t="inlineStr">
        <is>
          <t>Soldering</t>
        </is>
      </c>
      <c r="W694" s="3" t="inlineStr">
        <is>
          <t>Repair</t>
        </is>
      </c>
      <c r="X694" s="18" t="n">
        <v>46153</v>
      </c>
      <c r="Y694" s="73">
        <f>IF(X694="","",X694-A694)</f>
        <v/>
      </c>
      <c r="Z694" s="18" t="n">
        <v>46153</v>
      </c>
      <c r="AA694" s="15" t="n"/>
      <c r="AB694" s="15" t="n"/>
      <c r="AF694">
        <f>IF(AND($F694="Closed",$X694&gt;=DATE(2026,5,1),$X694&lt;=DATE(2026,5,31)),"Closed in May","Other")</f>
        <v/>
      </c>
    </row>
    <row r="695">
      <c r="A695" s="6" t="n">
        <v>46107</v>
      </c>
      <c r="B695" s="3" t="n">
        <v>2026</v>
      </c>
      <c r="C695" s="3" t="inlineStr">
        <is>
          <t>Blupine Energy</t>
        </is>
      </c>
      <c r="D695" s="3" t="inlineStr">
        <is>
          <t>Utility and C&amp;I</t>
        </is>
      </c>
      <c r="E695" s="3" t="n"/>
      <c r="F695" s="3" t="inlineStr">
        <is>
          <t>Closed</t>
        </is>
      </c>
      <c r="G695" s="3" t="inlineStr">
        <is>
          <t>Chandrashekar Patidar</t>
        </is>
      </c>
      <c r="H695" s="3" t="n">
        <v>7879764773</v>
      </c>
      <c r="I695" s="11" t="inlineStr">
        <is>
          <t>PE26032601</t>
        </is>
      </c>
      <c r="J695" s="3" t="inlineStr">
        <is>
          <t>Module Diode Failure</t>
        </is>
      </c>
      <c r="K695" s="3" t="inlineStr">
        <is>
          <t>Sadla</t>
        </is>
      </c>
      <c r="L695" s="3" t="inlineStr">
        <is>
          <t>Gujarat</t>
        </is>
      </c>
      <c r="M695" s="9" t="inlineStr">
        <is>
          <t>NS</t>
        </is>
      </c>
      <c r="N695" s="3" t="inlineStr">
        <is>
          <t>Cold Soldering</t>
        </is>
      </c>
      <c r="O695" s="3" t="n">
        <v>570</v>
      </c>
      <c r="P695" s="9" t="inlineStr">
        <is>
          <t>NSMI24050066866</t>
        </is>
      </c>
      <c r="Q695" s="53">
        <f>MID(P695,5,2)</f>
        <v/>
      </c>
      <c r="R695" s="53">
        <f>MID(P695,7,2)</f>
        <v/>
      </c>
      <c r="S695" s="3" t="inlineStr">
        <is>
          <t>G2G</t>
        </is>
      </c>
      <c r="T695" s="3" t="inlineStr">
        <is>
          <t>P4</t>
        </is>
      </c>
      <c r="U695" s="3" t="inlineStr">
        <is>
          <t>N JB Cold Soldering</t>
        </is>
      </c>
      <c r="V695" s="3" t="inlineStr">
        <is>
          <t>Soldering</t>
        </is>
      </c>
      <c r="W695" s="3" t="inlineStr">
        <is>
          <t>Repair</t>
        </is>
      </c>
      <c r="X695" s="18" t="n">
        <v>46153</v>
      </c>
      <c r="Y695" s="73">
        <f>IF(X695="","",X695-A695)</f>
        <v/>
      </c>
      <c r="Z695" s="18" t="n">
        <v>46153</v>
      </c>
      <c r="AA695" s="15" t="n"/>
      <c r="AB695" s="15" t="n"/>
      <c r="AF695">
        <f>IF(AND($F695="Closed",$X695&gt;=DATE(2026,5,1),$X695&lt;=DATE(2026,5,31)),"Closed in May","Other")</f>
        <v/>
      </c>
    </row>
    <row r="696">
      <c r="A696" s="6" t="n">
        <v>46107</v>
      </c>
      <c r="B696" s="3" t="n">
        <v>2026</v>
      </c>
      <c r="C696" s="3" t="inlineStr">
        <is>
          <t>Blupine Energy</t>
        </is>
      </c>
      <c r="D696" s="3" t="inlineStr">
        <is>
          <t>Utility and C&amp;I</t>
        </is>
      </c>
      <c r="E696" s="3" t="n"/>
      <c r="F696" s="3" t="inlineStr">
        <is>
          <t>Closed</t>
        </is>
      </c>
      <c r="G696" s="3" t="inlineStr">
        <is>
          <t>Chandrashekar Patidar</t>
        </is>
      </c>
      <c r="H696" s="3" t="n">
        <v>7879764773</v>
      </c>
      <c r="I696" s="11" t="inlineStr">
        <is>
          <t>PE26032601</t>
        </is>
      </c>
      <c r="J696" s="3" t="inlineStr">
        <is>
          <t>Module Diode Failure</t>
        </is>
      </c>
      <c r="K696" s="3" t="inlineStr">
        <is>
          <t>Sadla</t>
        </is>
      </c>
      <c r="L696" s="3" t="inlineStr">
        <is>
          <t>Gujarat</t>
        </is>
      </c>
      <c r="M696" s="9" t="inlineStr">
        <is>
          <t>NS</t>
        </is>
      </c>
      <c r="N696" s="3" t="inlineStr">
        <is>
          <t>Cold Soldering</t>
        </is>
      </c>
      <c r="O696" s="3" t="n">
        <v>570</v>
      </c>
      <c r="P696" s="9" t="inlineStr">
        <is>
          <t>NSMI24050048332</t>
        </is>
      </c>
      <c r="Q696" s="53">
        <f>MID(P696,5,2)</f>
        <v/>
      </c>
      <c r="R696" s="53">
        <f>MID(P696,7,2)</f>
        <v/>
      </c>
      <c r="S696" s="3" t="inlineStr">
        <is>
          <t>G2G</t>
        </is>
      </c>
      <c r="T696" s="3" t="inlineStr">
        <is>
          <t>P4</t>
        </is>
      </c>
      <c r="U696" s="3" t="inlineStr">
        <is>
          <t>N JB Cold Soldering</t>
        </is>
      </c>
      <c r="V696" s="3" t="inlineStr">
        <is>
          <t>Soldering</t>
        </is>
      </c>
      <c r="W696" s="3" t="inlineStr">
        <is>
          <t>Repair</t>
        </is>
      </c>
      <c r="X696" s="18" t="n">
        <v>46153</v>
      </c>
      <c r="Y696" s="73">
        <f>IF(X696="","",X696-A696)</f>
        <v/>
      </c>
      <c r="Z696" s="18" t="n">
        <v>46153</v>
      </c>
      <c r="AA696" s="15" t="n"/>
      <c r="AB696" s="15" t="n"/>
      <c r="AF696">
        <f>IF(AND($F696="Closed",$X696&gt;=DATE(2026,5,1),$X696&lt;=DATE(2026,5,31)),"Closed in May","Other")</f>
        <v/>
      </c>
    </row>
    <row r="697">
      <c r="A697" s="6" t="n">
        <v>46107</v>
      </c>
      <c r="B697" s="3" t="n">
        <v>2026</v>
      </c>
      <c r="C697" s="3" t="inlineStr">
        <is>
          <t>Blupine Energy</t>
        </is>
      </c>
      <c r="D697" s="3" t="inlineStr">
        <is>
          <t>Utility and C&amp;I</t>
        </is>
      </c>
      <c r="E697" s="3" t="n"/>
      <c r="F697" s="3" t="inlineStr">
        <is>
          <t>Closed</t>
        </is>
      </c>
      <c r="G697" s="3" t="inlineStr">
        <is>
          <t>Chandrashekar Patidar</t>
        </is>
      </c>
      <c r="H697" s="3" t="n">
        <v>7879764773</v>
      </c>
      <c r="I697" s="11" t="inlineStr">
        <is>
          <t>PE26032601</t>
        </is>
      </c>
      <c r="J697" s="3" t="inlineStr">
        <is>
          <t>Module Diode Failure</t>
        </is>
      </c>
      <c r="K697" s="3" t="inlineStr">
        <is>
          <t>Sadla</t>
        </is>
      </c>
      <c r="L697" s="3" t="inlineStr">
        <is>
          <t>Gujarat</t>
        </is>
      </c>
      <c r="M697" s="9" t="inlineStr">
        <is>
          <t>PS</t>
        </is>
      </c>
      <c r="N697" s="3" t="inlineStr">
        <is>
          <t>Cold Soldering</t>
        </is>
      </c>
      <c r="O697" s="3" t="n">
        <v>570</v>
      </c>
      <c r="P697" s="9" t="inlineStr">
        <is>
          <t>NSMI24060077781</t>
        </is>
      </c>
      <c r="Q697" s="53">
        <f>MID(P697,5,2)</f>
        <v/>
      </c>
      <c r="R697" s="53">
        <f>MID(P697,7,2)</f>
        <v/>
      </c>
      <c r="S697" s="3" t="inlineStr">
        <is>
          <t>G2G</t>
        </is>
      </c>
      <c r="T697" s="3" t="inlineStr">
        <is>
          <t>P4</t>
        </is>
      </c>
      <c r="U697" s="3" t="inlineStr">
        <is>
          <t>P JB Cold Soldering</t>
        </is>
      </c>
      <c r="V697" s="3" t="inlineStr">
        <is>
          <t>Soldering</t>
        </is>
      </c>
      <c r="W697" s="3" t="inlineStr">
        <is>
          <t>Repair</t>
        </is>
      </c>
      <c r="X697" s="18" t="n">
        <v>46153</v>
      </c>
      <c r="Y697" s="73">
        <f>IF(X697="","",X697-A697)</f>
        <v/>
      </c>
      <c r="Z697" s="18" t="n">
        <v>46153</v>
      </c>
      <c r="AA697" s="15" t="n"/>
      <c r="AB697" s="15" t="n"/>
      <c r="AF697">
        <f>IF(AND($F697="Closed",$X697&gt;=DATE(2026,5,1),$X697&lt;=DATE(2026,5,31)),"Closed in May","Other")</f>
        <v/>
      </c>
    </row>
    <row r="698">
      <c r="A698" s="6" t="n">
        <v>46107</v>
      </c>
      <c r="B698" s="3" t="n">
        <v>2026</v>
      </c>
      <c r="C698" s="3" t="inlineStr">
        <is>
          <t>Blupine Energy</t>
        </is>
      </c>
      <c r="D698" s="3" t="inlineStr">
        <is>
          <t>Utility and C&amp;I</t>
        </is>
      </c>
      <c r="E698" s="3" t="n"/>
      <c r="F698" s="3" t="inlineStr">
        <is>
          <t>Closed</t>
        </is>
      </c>
      <c r="G698" s="3" t="inlineStr">
        <is>
          <t>Chandrashekar Patidar</t>
        </is>
      </c>
      <c r="H698" s="3" t="n">
        <v>7879764773</v>
      </c>
      <c r="I698" s="11" t="inlineStr">
        <is>
          <t>PE26032601</t>
        </is>
      </c>
      <c r="J698" s="3" t="inlineStr">
        <is>
          <t>Module Diode Failure</t>
        </is>
      </c>
      <c r="K698" s="3" t="inlineStr">
        <is>
          <t>Sadla</t>
        </is>
      </c>
      <c r="L698" s="3" t="inlineStr">
        <is>
          <t>Gujarat</t>
        </is>
      </c>
      <c r="M698" s="9" t="inlineStr">
        <is>
          <t>PS</t>
        </is>
      </c>
      <c r="N698" s="3" t="inlineStr">
        <is>
          <t>Cold Soldering</t>
        </is>
      </c>
      <c r="O698" s="3" t="n">
        <v>570</v>
      </c>
      <c r="P698" s="9" t="inlineStr">
        <is>
          <t>NSMI24060077488</t>
        </is>
      </c>
      <c r="Q698" s="53">
        <f>MID(P698,5,2)</f>
        <v/>
      </c>
      <c r="R698" s="53">
        <f>MID(P698,7,2)</f>
        <v/>
      </c>
      <c r="S698" s="3" t="inlineStr">
        <is>
          <t>G2G</t>
        </is>
      </c>
      <c r="T698" s="3" t="inlineStr">
        <is>
          <t>P4</t>
        </is>
      </c>
      <c r="U698" s="3" t="inlineStr">
        <is>
          <t>P JB Cold Soldering</t>
        </is>
      </c>
      <c r="V698" s="3" t="inlineStr">
        <is>
          <t>Soldering</t>
        </is>
      </c>
      <c r="W698" s="3" t="inlineStr">
        <is>
          <t>Repair</t>
        </is>
      </c>
      <c r="X698" s="18" t="n">
        <v>46153</v>
      </c>
      <c r="Y698" s="73">
        <f>IF(X698="","",X698-A698)</f>
        <v/>
      </c>
      <c r="Z698" s="18" t="n">
        <v>46153</v>
      </c>
      <c r="AA698" s="15" t="n"/>
      <c r="AB698" s="15" t="n"/>
      <c r="AF698">
        <f>IF(AND($F698="Closed",$X698&gt;=DATE(2026,5,1),$X698&lt;=DATE(2026,5,31)),"Closed in May","Other")</f>
        <v/>
      </c>
    </row>
    <row r="699">
      <c r="A699" s="6" t="n">
        <v>46107</v>
      </c>
      <c r="B699" s="3" t="n">
        <v>2026</v>
      </c>
      <c r="C699" s="3" t="inlineStr">
        <is>
          <t>Blupine Energy</t>
        </is>
      </c>
      <c r="D699" s="3" t="inlineStr">
        <is>
          <t>Utility and C&amp;I</t>
        </is>
      </c>
      <c r="E699" s="3" t="n"/>
      <c r="F699" s="3" t="inlineStr">
        <is>
          <t>Closed</t>
        </is>
      </c>
      <c r="G699" s="3" t="inlineStr">
        <is>
          <t>Chandrashekar Patidar</t>
        </is>
      </c>
      <c r="H699" s="3" t="n">
        <v>7879764773</v>
      </c>
      <c r="I699" s="11" t="inlineStr">
        <is>
          <t>PE26032601</t>
        </is>
      </c>
      <c r="J699" s="3" t="inlineStr">
        <is>
          <t>Module Diode Failure</t>
        </is>
      </c>
      <c r="K699" s="3" t="inlineStr">
        <is>
          <t>Sadla</t>
        </is>
      </c>
      <c r="L699" s="3" t="inlineStr">
        <is>
          <t>Gujarat</t>
        </is>
      </c>
      <c r="M699" s="9" t="inlineStr">
        <is>
          <t>PS</t>
        </is>
      </c>
      <c r="N699" s="3" t="inlineStr">
        <is>
          <t>Cold Soldering</t>
        </is>
      </c>
      <c r="O699" s="3" t="n">
        <v>570</v>
      </c>
      <c r="P699" s="9" t="inlineStr">
        <is>
          <t>NSMI24060093742</t>
        </is>
      </c>
      <c r="Q699" s="53">
        <f>MID(P699,5,2)</f>
        <v/>
      </c>
      <c r="R699" s="53">
        <f>MID(P699,7,2)</f>
        <v/>
      </c>
      <c r="S699" s="3" t="inlineStr">
        <is>
          <t>G2G</t>
        </is>
      </c>
      <c r="T699" s="3" t="inlineStr">
        <is>
          <t>P4</t>
        </is>
      </c>
      <c r="U699" s="3" t="inlineStr">
        <is>
          <t>P JB Cold Soldering</t>
        </is>
      </c>
      <c r="V699" s="3" t="inlineStr">
        <is>
          <t>Soldering</t>
        </is>
      </c>
      <c r="W699" s="3" t="inlineStr">
        <is>
          <t>Repair</t>
        </is>
      </c>
      <c r="X699" s="18" t="n">
        <v>46153</v>
      </c>
      <c r="Y699" s="73">
        <f>IF(X699="","",X699-A699)</f>
        <v/>
      </c>
      <c r="Z699" s="18" t="n">
        <v>46153</v>
      </c>
      <c r="AA699" s="15" t="n"/>
      <c r="AB699" s="15" t="n"/>
      <c r="AF699">
        <f>IF(AND($F699="Closed",$X699&gt;=DATE(2026,5,1),$X699&lt;=DATE(2026,5,31)),"Closed in May","Other")</f>
        <v/>
      </c>
    </row>
    <row r="700">
      <c r="A700" s="6" t="n">
        <v>46107</v>
      </c>
      <c r="B700" s="3" t="n">
        <v>2026</v>
      </c>
      <c r="C700" s="3" t="inlineStr">
        <is>
          <t>Blupine Energy</t>
        </is>
      </c>
      <c r="D700" s="3" t="inlineStr">
        <is>
          <t>Utility and C&amp;I</t>
        </is>
      </c>
      <c r="E700" s="3" t="n"/>
      <c r="F700" s="3" t="inlineStr">
        <is>
          <t>Closed</t>
        </is>
      </c>
      <c r="G700" s="3" t="inlineStr">
        <is>
          <t>Chandrashekar Patidar</t>
        </is>
      </c>
      <c r="H700" s="3" t="n">
        <v>7879764773</v>
      </c>
      <c r="I700" s="11" t="inlineStr">
        <is>
          <t>PE26032601</t>
        </is>
      </c>
      <c r="J700" s="3" t="inlineStr">
        <is>
          <t>Module Diode Failure</t>
        </is>
      </c>
      <c r="K700" s="3" t="inlineStr">
        <is>
          <t>Sadla</t>
        </is>
      </c>
      <c r="L700" s="3" t="inlineStr">
        <is>
          <t>Gujarat</t>
        </is>
      </c>
      <c r="M700" s="9" t="inlineStr">
        <is>
          <t>PS</t>
        </is>
      </c>
      <c r="N700" s="3" t="inlineStr">
        <is>
          <t>Cold Soldering</t>
        </is>
      </c>
      <c r="O700" s="3" t="n">
        <v>570</v>
      </c>
      <c r="P700" s="9" t="inlineStr">
        <is>
          <t>NSMI24050062813</t>
        </is>
      </c>
      <c r="Q700" s="53">
        <f>MID(P700,5,2)</f>
        <v/>
      </c>
      <c r="R700" s="53">
        <f>MID(P700,7,2)</f>
        <v/>
      </c>
      <c r="S700" s="3" t="inlineStr">
        <is>
          <t>G2G</t>
        </is>
      </c>
      <c r="T700" s="3" t="inlineStr">
        <is>
          <t>P4</t>
        </is>
      </c>
      <c r="U700" s="3" t="inlineStr">
        <is>
          <t>P JB Cold Soldering</t>
        </is>
      </c>
      <c r="V700" s="3" t="inlineStr">
        <is>
          <t>Soldering</t>
        </is>
      </c>
      <c r="W700" s="3" t="inlineStr">
        <is>
          <t>Repair</t>
        </is>
      </c>
      <c r="X700" s="18" t="n">
        <v>46153</v>
      </c>
      <c r="Y700" s="73">
        <f>IF(X700="","",X700-A700)</f>
        <v/>
      </c>
      <c r="Z700" s="18" t="n">
        <v>46153</v>
      </c>
      <c r="AA700" s="15" t="n"/>
      <c r="AB700" s="15" t="n"/>
      <c r="AF700">
        <f>IF(AND($F700="Closed",$X700&gt;=DATE(2026,5,1),$X700&lt;=DATE(2026,5,31)),"Closed in May","Other")</f>
        <v/>
      </c>
    </row>
    <row r="701">
      <c r="A701" s="6" t="n">
        <v>46107</v>
      </c>
      <c r="B701" s="3" t="n">
        <v>2026</v>
      </c>
      <c r="C701" s="3" t="inlineStr">
        <is>
          <t>Blupine Energy</t>
        </is>
      </c>
      <c r="D701" s="3" t="inlineStr">
        <is>
          <t>Utility and C&amp;I</t>
        </is>
      </c>
      <c r="E701" s="3" t="n"/>
      <c r="F701" s="3" t="inlineStr">
        <is>
          <t>Closed</t>
        </is>
      </c>
      <c r="G701" s="3" t="inlineStr">
        <is>
          <t>Chandrashekar Patidar</t>
        </is>
      </c>
      <c r="H701" s="3" t="n">
        <v>7879764773</v>
      </c>
      <c r="I701" s="11" t="inlineStr">
        <is>
          <t>PE26032601</t>
        </is>
      </c>
      <c r="J701" s="3" t="inlineStr">
        <is>
          <t>Module Diode Failure</t>
        </is>
      </c>
      <c r="K701" s="3" t="inlineStr">
        <is>
          <t>Sadla</t>
        </is>
      </c>
      <c r="L701" s="3" t="inlineStr">
        <is>
          <t>Gujarat</t>
        </is>
      </c>
      <c r="M701" s="9" t="inlineStr">
        <is>
          <t>PS</t>
        </is>
      </c>
      <c r="N701" s="3" t="inlineStr">
        <is>
          <t>Cold Soldering</t>
        </is>
      </c>
      <c r="O701" s="3" t="n">
        <v>570</v>
      </c>
      <c r="P701" s="9" t="inlineStr">
        <is>
          <t>NSMI24060079406</t>
        </is>
      </c>
      <c r="Q701" s="53">
        <f>MID(P701,5,2)</f>
        <v/>
      </c>
      <c r="R701" s="53">
        <f>MID(P701,7,2)</f>
        <v/>
      </c>
      <c r="S701" s="3" t="inlineStr">
        <is>
          <t>G2G</t>
        </is>
      </c>
      <c r="T701" s="3" t="inlineStr">
        <is>
          <t>P4</t>
        </is>
      </c>
      <c r="U701" s="3" t="inlineStr">
        <is>
          <t>P JB Cold Soldering</t>
        </is>
      </c>
      <c r="V701" s="3" t="inlineStr">
        <is>
          <t>Soldering</t>
        </is>
      </c>
      <c r="W701" s="3" t="inlineStr">
        <is>
          <t>Repair</t>
        </is>
      </c>
      <c r="X701" s="18" t="n">
        <v>46153</v>
      </c>
      <c r="Y701" s="73">
        <f>IF(X701="","",X701-A701)</f>
        <v/>
      </c>
      <c r="Z701" s="18" t="n">
        <v>46153</v>
      </c>
      <c r="AA701" s="15" t="n"/>
      <c r="AB701" s="15" t="n"/>
      <c r="AF701">
        <f>IF(AND($F701="Closed",$X701&gt;=DATE(2026,5,1),$X701&lt;=DATE(2026,5,31)),"Closed in May","Other")</f>
        <v/>
      </c>
    </row>
    <row r="702">
      <c r="A702" s="6" t="n">
        <v>46107</v>
      </c>
      <c r="B702" s="3" t="n">
        <v>2026</v>
      </c>
      <c r="C702" s="3" t="inlineStr">
        <is>
          <t>Blupine Energy</t>
        </is>
      </c>
      <c r="D702" s="3" t="inlineStr">
        <is>
          <t>Utility and C&amp;I</t>
        </is>
      </c>
      <c r="E702" s="3" t="n"/>
      <c r="F702" s="3" t="inlineStr">
        <is>
          <t>Closed</t>
        </is>
      </c>
      <c r="G702" s="3" t="inlineStr">
        <is>
          <t>Chandrashekar Patidar</t>
        </is>
      </c>
      <c r="H702" s="3" t="n">
        <v>7879764773</v>
      </c>
      <c r="I702" s="11" t="inlineStr">
        <is>
          <t>PE26032601</t>
        </is>
      </c>
      <c r="J702" s="3" t="inlineStr">
        <is>
          <t>Module Diode Failure</t>
        </is>
      </c>
      <c r="K702" s="3" t="inlineStr">
        <is>
          <t>Sadla</t>
        </is>
      </c>
      <c r="L702" s="3" t="inlineStr">
        <is>
          <t>Gujarat</t>
        </is>
      </c>
      <c r="M702" s="9" t="inlineStr">
        <is>
          <t>PS</t>
        </is>
      </c>
      <c r="N702" s="3" t="inlineStr">
        <is>
          <t>Cold Soldering</t>
        </is>
      </c>
      <c r="O702" s="3" t="n">
        <v>570</v>
      </c>
      <c r="P702" s="9" t="inlineStr">
        <is>
          <t>NSMI24060079480</t>
        </is>
      </c>
      <c r="Q702" s="53">
        <f>MID(P702,5,2)</f>
        <v/>
      </c>
      <c r="R702" s="53">
        <f>MID(P702,7,2)</f>
        <v/>
      </c>
      <c r="S702" s="3" t="inlineStr">
        <is>
          <t>G2G</t>
        </is>
      </c>
      <c r="T702" s="3" t="inlineStr">
        <is>
          <t>P4</t>
        </is>
      </c>
      <c r="U702" s="3" t="inlineStr">
        <is>
          <t>P JB Cold Soldering</t>
        </is>
      </c>
      <c r="V702" s="3" t="inlineStr">
        <is>
          <t>Soldering</t>
        </is>
      </c>
      <c r="W702" s="3" t="inlineStr">
        <is>
          <t>Repair</t>
        </is>
      </c>
      <c r="X702" s="18" t="n">
        <v>46153</v>
      </c>
      <c r="Y702" s="73">
        <f>IF(X702="","",X702-A702)</f>
        <v/>
      </c>
      <c r="Z702" s="18" t="n">
        <v>46153</v>
      </c>
      <c r="AA702" s="15" t="n"/>
      <c r="AB702" s="15" t="n"/>
      <c r="AF702">
        <f>IF(AND($F702="Closed",$X702&gt;=DATE(2026,5,1),$X702&lt;=DATE(2026,5,31)),"Closed in May","Other")</f>
        <v/>
      </c>
    </row>
    <row r="703">
      <c r="A703" s="6" t="n">
        <v>46107</v>
      </c>
      <c r="B703" s="3" t="n">
        <v>2026</v>
      </c>
      <c r="C703" s="3" t="inlineStr">
        <is>
          <t>Blupine Energy</t>
        </is>
      </c>
      <c r="D703" s="3" t="inlineStr">
        <is>
          <t>Utility and C&amp;I</t>
        </is>
      </c>
      <c r="E703" s="3" t="n"/>
      <c r="F703" s="3" t="inlineStr">
        <is>
          <t>Closed</t>
        </is>
      </c>
      <c r="G703" s="3" t="inlineStr">
        <is>
          <t>Chandrashekar Patidar</t>
        </is>
      </c>
      <c r="H703" s="3" t="n">
        <v>7879764773</v>
      </c>
      <c r="I703" s="11" t="inlineStr">
        <is>
          <t>PE26032601</t>
        </is>
      </c>
      <c r="J703" s="3" t="inlineStr">
        <is>
          <t>Module Diode Failure</t>
        </is>
      </c>
      <c r="K703" s="3" t="inlineStr">
        <is>
          <t>Sadla</t>
        </is>
      </c>
      <c r="L703" s="3" t="inlineStr">
        <is>
          <t>Gujarat</t>
        </is>
      </c>
      <c r="M703" s="9" t="inlineStr">
        <is>
          <t>PS</t>
        </is>
      </c>
      <c r="N703" s="3" t="inlineStr">
        <is>
          <t>Cold Soldering</t>
        </is>
      </c>
      <c r="O703" s="3" t="n">
        <v>570</v>
      </c>
      <c r="P703" s="9" t="inlineStr">
        <is>
          <t>NSMI24060079294</t>
        </is>
      </c>
      <c r="Q703" s="53">
        <f>MID(P703,5,2)</f>
        <v/>
      </c>
      <c r="R703" s="53">
        <f>MID(P703,7,2)</f>
        <v/>
      </c>
      <c r="S703" s="3" t="inlineStr">
        <is>
          <t>G2G</t>
        </is>
      </c>
      <c r="T703" s="3" t="inlineStr">
        <is>
          <t>P4</t>
        </is>
      </c>
      <c r="U703" s="3" t="inlineStr">
        <is>
          <t>P JB Cold Soldering</t>
        </is>
      </c>
      <c r="V703" s="3" t="inlineStr">
        <is>
          <t>Soldering</t>
        </is>
      </c>
      <c r="W703" s="3" t="inlineStr">
        <is>
          <t>Repair</t>
        </is>
      </c>
      <c r="X703" s="18" t="n">
        <v>46153</v>
      </c>
      <c r="Y703" s="73">
        <f>IF(X703="","",X703-A703)</f>
        <v/>
      </c>
      <c r="Z703" s="18" t="n">
        <v>46153</v>
      </c>
      <c r="AA703" s="15" t="n"/>
      <c r="AB703" s="15" t="n"/>
      <c r="AF703">
        <f>IF(AND($F703="Closed",$X703&gt;=DATE(2026,5,1),$X703&lt;=DATE(2026,5,31)),"Closed in May","Other")</f>
        <v/>
      </c>
    </row>
    <row r="704">
      <c r="A704" s="6" t="n">
        <v>46107</v>
      </c>
      <c r="B704" s="3" t="n">
        <v>2026</v>
      </c>
      <c r="C704" s="3" t="inlineStr">
        <is>
          <t>Blupine Energy</t>
        </is>
      </c>
      <c r="D704" s="3" t="inlineStr">
        <is>
          <t>Utility and C&amp;I</t>
        </is>
      </c>
      <c r="E704" s="3" t="n"/>
      <c r="F704" s="3" t="inlineStr">
        <is>
          <t>Closed</t>
        </is>
      </c>
      <c r="G704" s="3" t="inlineStr">
        <is>
          <t>Chandrashekar Patidar</t>
        </is>
      </c>
      <c r="H704" s="3" t="n">
        <v>7879764773</v>
      </c>
      <c r="I704" s="11" t="inlineStr">
        <is>
          <t>PE26032601</t>
        </is>
      </c>
      <c r="J704" s="3" t="inlineStr">
        <is>
          <t>Module Diode Failure</t>
        </is>
      </c>
      <c r="K704" s="3" t="inlineStr">
        <is>
          <t>Sadla</t>
        </is>
      </c>
      <c r="L704" s="3" t="inlineStr">
        <is>
          <t>Gujarat</t>
        </is>
      </c>
      <c r="M704" s="9" t="inlineStr">
        <is>
          <t>PS</t>
        </is>
      </c>
      <c r="N704" s="3" t="inlineStr">
        <is>
          <t>Cold Soldering</t>
        </is>
      </c>
      <c r="O704" s="3" t="n">
        <v>570</v>
      </c>
      <c r="P704" s="9" t="inlineStr">
        <is>
          <t>NSMI24060079674</t>
        </is>
      </c>
      <c r="Q704" s="53">
        <f>MID(P704,5,2)</f>
        <v/>
      </c>
      <c r="R704" s="53">
        <f>MID(P704,7,2)</f>
        <v/>
      </c>
      <c r="S704" s="3" t="inlineStr">
        <is>
          <t>G2G</t>
        </is>
      </c>
      <c r="T704" s="3" t="inlineStr">
        <is>
          <t>P4</t>
        </is>
      </c>
      <c r="U704" s="3" t="inlineStr">
        <is>
          <t>P JB Cold Soldering</t>
        </is>
      </c>
      <c r="V704" s="3" t="inlineStr">
        <is>
          <t>Soldering</t>
        </is>
      </c>
      <c r="W704" s="3" t="inlineStr">
        <is>
          <t>Repair</t>
        </is>
      </c>
      <c r="X704" s="18" t="n">
        <v>46153</v>
      </c>
      <c r="Y704" s="73">
        <f>IF(X704="","",X704-A704)</f>
        <v/>
      </c>
      <c r="Z704" s="18" t="n">
        <v>46153</v>
      </c>
      <c r="AA704" s="15" t="n"/>
      <c r="AB704" s="15" t="n"/>
      <c r="AF704">
        <f>IF(AND($F704="Closed",$X704&gt;=DATE(2026,5,1),$X704&lt;=DATE(2026,5,31)),"Closed in May","Other")</f>
        <v/>
      </c>
    </row>
    <row r="705">
      <c r="A705" s="6" t="n">
        <v>46107</v>
      </c>
      <c r="B705" s="3" t="n">
        <v>2026</v>
      </c>
      <c r="C705" s="3" t="inlineStr">
        <is>
          <t>Blupine Energy</t>
        </is>
      </c>
      <c r="D705" s="3" t="inlineStr">
        <is>
          <t>Utility and C&amp;I</t>
        </is>
      </c>
      <c r="E705" s="3" t="n"/>
      <c r="F705" s="3" t="inlineStr">
        <is>
          <t>Closed</t>
        </is>
      </c>
      <c r="G705" s="3" t="inlineStr">
        <is>
          <t>Chandrashekar Patidar</t>
        </is>
      </c>
      <c r="H705" s="3" t="n">
        <v>7879764773</v>
      </c>
      <c r="I705" s="11" t="inlineStr">
        <is>
          <t>PE26032601</t>
        </is>
      </c>
      <c r="J705" s="3" t="inlineStr">
        <is>
          <t>Module Diode Failure</t>
        </is>
      </c>
      <c r="K705" s="3" t="inlineStr">
        <is>
          <t>Sadla</t>
        </is>
      </c>
      <c r="L705" s="3" t="inlineStr">
        <is>
          <t>Gujarat</t>
        </is>
      </c>
      <c r="M705" s="9" t="inlineStr">
        <is>
          <t>NS</t>
        </is>
      </c>
      <c r="N705" s="3" t="inlineStr">
        <is>
          <t>Cold Soldering</t>
        </is>
      </c>
      <c r="O705" s="3" t="n">
        <v>570</v>
      </c>
      <c r="P705" s="9" t="inlineStr">
        <is>
          <t>NSMI24060138653</t>
        </is>
      </c>
      <c r="Q705" s="53">
        <f>MID(P705,5,2)</f>
        <v/>
      </c>
      <c r="R705" s="53">
        <f>MID(P705,7,2)</f>
        <v/>
      </c>
      <c r="S705" s="3" t="inlineStr">
        <is>
          <t>G2G</t>
        </is>
      </c>
      <c r="T705" s="3" t="inlineStr">
        <is>
          <t>P4</t>
        </is>
      </c>
      <c r="U705" s="3" t="inlineStr">
        <is>
          <t>N JB Cold Soldering</t>
        </is>
      </c>
      <c r="V705" s="3" t="inlineStr">
        <is>
          <t>Soldering</t>
        </is>
      </c>
      <c r="W705" s="3" t="inlineStr">
        <is>
          <t>Repair</t>
        </is>
      </c>
      <c r="X705" s="18" t="n">
        <v>46153</v>
      </c>
      <c r="Y705" s="73">
        <f>IF(X705="","",X705-A705)</f>
        <v/>
      </c>
      <c r="Z705" s="18" t="n">
        <v>46153</v>
      </c>
      <c r="AA705" s="15" t="n"/>
      <c r="AB705" s="15" t="n"/>
      <c r="AF705">
        <f>IF(AND($F705="Closed",$X705&gt;=DATE(2026,5,1),$X705&lt;=DATE(2026,5,31)),"Closed in May","Other")</f>
        <v/>
      </c>
    </row>
    <row r="706">
      <c r="A706" s="6" t="n">
        <v>46107</v>
      </c>
      <c r="B706" s="3" t="n">
        <v>2026</v>
      </c>
      <c r="C706" s="3" t="inlineStr">
        <is>
          <t>Blupine Energy</t>
        </is>
      </c>
      <c r="D706" s="3" t="inlineStr">
        <is>
          <t>Utility and C&amp;I</t>
        </is>
      </c>
      <c r="E706" s="3" t="n"/>
      <c r="F706" s="3" t="inlineStr">
        <is>
          <t>Closed</t>
        </is>
      </c>
      <c r="G706" s="3" t="inlineStr">
        <is>
          <t>Chandrashekar Patidar</t>
        </is>
      </c>
      <c r="H706" s="3" t="n">
        <v>7879764773</v>
      </c>
      <c r="I706" s="11" t="inlineStr">
        <is>
          <t>PE26032601</t>
        </is>
      </c>
      <c r="J706" s="3" t="inlineStr">
        <is>
          <t>Module Diode Failure</t>
        </is>
      </c>
      <c r="K706" s="3" t="inlineStr">
        <is>
          <t>Sadla</t>
        </is>
      </c>
      <c r="L706" s="3" t="inlineStr">
        <is>
          <t>Gujarat</t>
        </is>
      </c>
      <c r="M706" s="9" t="inlineStr">
        <is>
          <t>PS</t>
        </is>
      </c>
      <c r="N706" s="3" t="inlineStr">
        <is>
          <t>Cold Soldering</t>
        </is>
      </c>
      <c r="O706" s="3" t="n">
        <v>570</v>
      </c>
      <c r="P706" s="9" t="inlineStr">
        <is>
          <t>NSMI24060079681</t>
        </is>
      </c>
      <c r="Q706" s="53">
        <f>MID(P706,5,2)</f>
        <v/>
      </c>
      <c r="R706" s="53">
        <f>MID(P706,7,2)</f>
        <v/>
      </c>
      <c r="S706" s="3" t="inlineStr">
        <is>
          <t>G2G</t>
        </is>
      </c>
      <c r="T706" s="3" t="inlineStr">
        <is>
          <t>P4</t>
        </is>
      </c>
      <c r="U706" s="3" t="inlineStr">
        <is>
          <t>P JB Cold Soldering</t>
        </is>
      </c>
      <c r="V706" s="3" t="inlineStr">
        <is>
          <t>Soldering</t>
        </is>
      </c>
      <c r="W706" s="3" t="inlineStr">
        <is>
          <t>Repair</t>
        </is>
      </c>
      <c r="X706" s="18" t="n">
        <v>46153</v>
      </c>
      <c r="Y706" s="73">
        <f>IF(X706="","",X706-A706)</f>
        <v/>
      </c>
      <c r="Z706" s="18" t="n">
        <v>46153</v>
      </c>
      <c r="AA706" s="15" t="n"/>
      <c r="AB706" s="15" t="n"/>
      <c r="AF706">
        <f>IF(AND($F706="Closed",$X706&gt;=DATE(2026,5,1),$X706&lt;=DATE(2026,5,31)),"Closed in May","Other")</f>
        <v/>
      </c>
    </row>
    <row r="707">
      <c r="A707" s="6" t="n">
        <v>46107</v>
      </c>
      <c r="B707" s="3" t="n">
        <v>2026</v>
      </c>
      <c r="C707" s="3" t="inlineStr">
        <is>
          <t>Blupine Energy</t>
        </is>
      </c>
      <c r="D707" s="3" t="inlineStr">
        <is>
          <t>Utility and C&amp;I</t>
        </is>
      </c>
      <c r="E707" s="3" t="n"/>
      <c r="F707" s="3" t="inlineStr">
        <is>
          <t>Closed</t>
        </is>
      </c>
      <c r="G707" s="3" t="inlineStr">
        <is>
          <t>Chandrashekar Patidar</t>
        </is>
      </c>
      <c r="H707" s="3" t="n">
        <v>7879764773</v>
      </c>
      <c r="I707" s="11" t="inlineStr">
        <is>
          <t>PE26032601</t>
        </is>
      </c>
      <c r="J707" s="3" t="inlineStr">
        <is>
          <t>Module Diode Failure</t>
        </is>
      </c>
      <c r="K707" s="3" t="inlineStr">
        <is>
          <t>Sadla</t>
        </is>
      </c>
      <c r="L707" s="3" t="inlineStr">
        <is>
          <t>Gujarat</t>
        </is>
      </c>
      <c r="M707" s="9" t="inlineStr">
        <is>
          <t>PS</t>
        </is>
      </c>
      <c r="N707" s="3" t="inlineStr">
        <is>
          <t>Cold Soldering</t>
        </is>
      </c>
      <c r="O707" s="3" t="n">
        <v>570</v>
      </c>
      <c r="P707" s="9" t="inlineStr">
        <is>
          <t>NSMI24060097679</t>
        </is>
      </c>
      <c r="Q707" s="53">
        <f>MID(P707,5,2)</f>
        <v/>
      </c>
      <c r="R707" s="53">
        <f>MID(P707,7,2)</f>
        <v/>
      </c>
      <c r="S707" s="3" t="inlineStr">
        <is>
          <t>G2G</t>
        </is>
      </c>
      <c r="T707" s="3" t="inlineStr">
        <is>
          <t>P4</t>
        </is>
      </c>
      <c r="U707" s="3" t="inlineStr">
        <is>
          <t>P JB Cold Soldering</t>
        </is>
      </c>
      <c r="V707" s="3" t="inlineStr">
        <is>
          <t>Soldering</t>
        </is>
      </c>
      <c r="W707" s="3" t="inlineStr">
        <is>
          <t>Repair</t>
        </is>
      </c>
      <c r="X707" s="18" t="n">
        <v>46153</v>
      </c>
      <c r="Y707" s="73">
        <f>IF(X707="","",X707-A707)</f>
        <v/>
      </c>
      <c r="Z707" s="18" t="n">
        <v>46153</v>
      </c>
      <c r="AA707" s="15" t="n"/>
      <c r="AB707" s="15" t="n"/>
      <c r="AF707">
        <f>IF(AND($F707="Closed",$X707&gt;=DATE(2026,5,1),$X707&lt;=DATE(2026,5,31)),"Closed in May","Other")</f>
        <v/>
      </c>
    </row>
    <row r="708">
      <c r="A708" s="6" t="n">
        <v>46107</v>
      </c>
      <c r="B708" s="3" t="n">
        <v>2026</v>
      </c>
      <c r="C708" s="3" t="inlineStr">
        <is>
          <t>Blupine Energy</t>
        </is>
      </c>
      <c r="D708" s="3" t="inlineStr">
        <is>
          <t>Utility and C&amp;I</t>
        </is>
      </c>
      <c r="E708" s="3" t="n"/>
      <c r="F708" s="3" t="inlineStr">
        <is>
          <t>Closed</t>
        </is>
      </c>
      <c r="G708" s="3" t="inlineStr">
        <is>
          <t>Chandrashekar Patidar</t>
        </is>
      </c>
      <c r="H708" s="3" t="n">
        <v>7879764773</v>
      </c>
      <c r="I708" s="11" t="inlineStr">
        <is>
          <t>PE26032601</t>
        </is>
      </c>
      <c r="J708" s="3" t="inlineStr">
        <is>
          <t>Module Diode Failure</t>
        </is>
      </c>
      <c r="K708" s="3" t="inlineStr">
        <is>
          <t>Sadla</t>
        </is>
      </c>
      <c r="L708" s="3" t="inlineStr">
        <is>
          <t>Gujarat</t>
        </is>
      </c>
      <c r="M708" s="9" t="inlineStr">
        <is>
          <t>PS</t>
        </is>
      </c>
      <c r="N708" s="3" t="inlineStr">
        <is>
          <t>Cold Soldering</t>
        </is>
      </c>
      <c r="O708" s="3" t="n">
        <v>570</v>
      </c>
      <c r="P708" s="9" t="inlineStr">
        <is>
          <t>NSMI24060098735</t>
        </is>
      </c>
      <c r="Q708" s="53">
        <f>MID(P708,5,2)</f>
        <v/>
      </c>
      <c r="R708" s="53">
        <f>MID(P708,7,2)</f>
        <v/>
      </c>
      <c r="S708" s="3" t="inlineStr">
        <is>
          <t>G2G</t>
        </is>
      </c>
      <c r="T708" s="3" t="inlineStr">
        <is>
          <t>P4</t>
        </is>
      </c>
      <c r="U708" s="3" t="inlineStr">
        <is>
          <t>P JB Cold Soldering</t>
        </is>
      </c>
      <c r="V708" s="3" t="inlineStr">
        <is>
          <t>Soldering</t>
        </is>
      </c>
      <c r="W708" s="3" t="inlineStr">
        <is>
          <t>Repair</t>
        </is>
      </c>
      <c r="X708" s="18" t="n">
        <v>46153</v>
      </c>
      <c r="Y708" s="73">
        <f>IF(X708="","",X708-A708)</f>
        <v/>
      </c>
      <c r="Z708" s="18" t="n">
        <v>46153</v>
      </c>
      <c r="AA708" s="15" t="n"/>
      <c r="AB708" s="15" t="n"/>
      <c r="AF708">
        <f>IF(AND($F708="Closed",$X708&gt;=DATE(2026,5,1),$X708&lt;=DATE(2026,5,31)),"Closed in May","Other")</f>
        <v/>
      </c>
    </row>
    <row r="709">
      <c r="A709" s="6" t="n">
        <v>46107</v>
      </c>
      <c r="B709" s="3" t="n">
        <v>2026</v>
      </c>
      <c r="C709" s="3" t="inlineStr">
        <is>
          <t>Blupine Energy</t>
        </is>
      </c>
      <c r="D709" s="3" t="inlineStr">
        <is>
          <t>Utility and C&amp;I</t>
        </is>
      </c>
      <c r="E709" s="3" t="n"/>
      <c r="F709" s="3" t="inlineStr">
        <is>
          <t>Closed</t>
        </is>
      </c>
      <c r="G709" s="3" t="inlineStr">
        <is>
          <t>Chandrashekar Patidar</t>
        </is>
      </c>
      <c r="H709" s="3" t="n">
        <v>7879764773</v>
      </c>
      <c r="I709" s="11" t="inlineStr">
        <is>
          <t>PE26032601</t>
        </is>
      </c>
      <c r="J709" s="3" t="inlineStr">
        <is>
          <t>Module Diode Failure</t>
        </is>
      </c>
      <c r="K709" s="3" t="inlineStr">
        <is>
          <t>Sadla</t>
        </is>
      </c>
      <c r="L709" s="3" t="inlineStr">
        <is>
          <t>Gujarat</t>
        </is>
      </c>
      <c r="M709" s="9" t="inlineStr">
        <is>
          <t>NS</t>
        </is>
      </c>
      <c r="N709" s="3" t="inlineStr">
        <is>
          <t>Cold Soldering</t>
        </is>
      </c>
      <c r="O709" s="3" t="n">
        <v>570</v>
      </c>
      <c r="P709" s="9" t="inlineStr">
        <is>
          <t>NSMI24060097127</t>
        </is>
      </c>
      <c r="Q709" s="53">
        <f>MID(P709,5,2)</f>
        <v/>
      </c>
      <c r="R709" s="53">
        <f>MID(P709,7,2)</f>
        <v/>
      </c>
      <c r="S709" s="3" t="inlineStr">
        <is>
          <t>G2G</t>
        </is>
      </c>
      <c r="T709" s="3" t="inlineStr">
        <is>
          <t>P4</t>
        </is>
      </c>
      <c r="U709" s="3" t="inlineStr">
        <is>
          <t>N JB Cold Soldering</t>
        </is>
      </c>
      <c r="V709" s="3" t="inlineStr">
        <is>
          <t>Soldering</t>
        </is>
      </c>
      <c r="W709" s="3" t="inlineStr">
        <is>
          <t>Repair</t>
        </is>
      </c>
      <c r="X709" s="18" t="n">
        <v>46153</v>
      </c>
      <c r="Y709" s="73">
        <f>IF(X709="","",X709-A709)</f>
        <v/>
      </c>
      <c r="Z709" s="18" t="n">
        <v>46153</v>
      </c>
      <c r="AA709" s="15" t="n"/>
      <c r="AB709" s="15" t="n"/>
      <c r="AF709">
        <f>IF(AND($F709="Closed",$X709&gt;=DATE(2026,5,1),$X709&lt;=DATE(2026,5,31)),"Closed in May","Other")</f>
        <v/>
      </c>
    </row>
    <row r="710">
      <c r="A710" s="6" t="n">
        <v>46107</v>
      </c>
      <c r="B710" s="3" t="n">
        <v>2026</v>
      </c>
      <c r="C710" s="3" t="inlineStr">
        <is>
          <t>Blupine Energy</t>
        </is>
      </c>
      <c r="D710" s="3" t="inlineStr">
        <is>
          <t>Utility and C&amp;I</t>
        </is>
      </c>
      <c r="E710" s="3" t="n"/>
      <c r="F710" s="3" t="inlineStr">
        <is>
          <t>Closed</t>
        </is>
      </c>
      <c r="G710" s="3" t="inlineStr">
        <is>
          <t>Chandrashekar Patidar</t>
        </is>
      </c>
      <c r="H710" s="3" t="n">
        <v>7879764773</v>
      </c>
      <c r="I710" s="11" t="inlineStr">
        <is>
          <t>PE26032601</t>
        </is>
      </c>
      <c r="J710" s="3" t="inlineStr">
        <is>
          <t>Module Diode Failure</t>
        </is>
      </c>
      <c r="K710" s="3" t="inlineStr">
        <is>
          <t>Sadla</t>
        </is>
      </c>
      <c r="L710" s="3" t="inlineStr">
        <is>
          <t>Gujarat</t>
        </is>
      </c>
      <c r="M710" s="9" t="inlineStr">
        <is>
          <t>NS</t>
        </is>
      </c>
      <c r="N710" s="3" t="inlineStr">
        <is>
          <t>Cold Soldering</t>
        </is>
      </c>
      <c r="O710" s="3" t="n">
        <v>570</v>
      </c>
      <c r="P710" s="9" t="inlineStr">
        <is>
          <t>NSMI24060097133</t>
        </is>
      </c>
      <c r="Q710" s="53">
        <f>MID(P710,5,2)</f>
        <v/>
      </c>
      <c r="R710" s="53">
        <f>MID(P710,7,2)</f>
        <v/>
      </c>
      <c r="S710" s="3" t="inlineStr">
        <is>
          <t>G2G</t>
        </is>
      </c>
      <c r="T710" s="3" t="inlineStr">
        <is>
          <t>P4</t>
        </is>
      </c>
      <c r="U710" s="3" t="inlineStr">
        <is>
          <t>N JB Cold Soldering</t>
        </is>
      </c>
      <c r="V710" s="3" t="inlineStr">
        <is>
          <t>Soldering</t>
        </is>
      </c>
      <c r="W710" s="3" t="inlineStr">
        <is>
          <t>Repair</t>
        </is>
      </c>
      <c r="X710" s="18" t="n">
        <v>46153</v>
      </c>
      <c r="Y710" s="73">
        <f>IF(X710="","",X710-A710)</f>
        <v/>
      </c>
      <c r="Z710" s="18" t="n">
        <v>46153</v>
      </c>
      <c r="AA710" s="15" t="n"/>
      <c r="AB710" s="15" t="n"/>
      <c r="AF710">
        <f>IF(AND($F710="Closed",$X710&gt;=DATE(2026,5,1),$X710&lt;=DATE(2026,5,31)),"Closed in May","Other")</f>
        <v/>
      </c>
    </row>
    <row r="711">
      <c r="A711" s="6" t="n">
        <v>46107</v>
      </c>
      <c r="B711" s="3" t="n">
        <v>2026</v>
      </c>
      <c r="C711" s="3" t="inlineStr">
        <is>
          <t>Blupine Energy</t>
        </is>
      </c>
      <c r="D711" s="3" t="inlineStr">
        <is>
          <t>Utility and C&amp;I</t>
        </is>
      </c>
      <c r="E711" s="3" t="n"/>
      <c r="F711" s="3" t="inlineStr">
        <is>
          <t>Closed</t>
        </is>
      </c>
      <c r="G711" s="3" t="inlineStr">
        <is>
          <t>Chandrashekar Patidar</t>
        </is>
      </c>
      <c r="H711" s="3" t="n">
        <v>7879764773</v>
      </c>
      <c r="I711" s="11" t="inlineStr">
        <is>
          <t>PE26032601</t>
        </is>
      </c>
      <c r="J711" s="3" t="inlineStr">
        <is>
          <t>Module Diode Failure</t>
        </is>
      </c>
      <c r="K711" s="3" t="inlineStr">
        <is>
          <t>Sadla</t>
        </is>
      </c>
      <c r="L711" s="3" t="inlineStr">
        <is>
          <t>Gujarat</t>
        </is>
      </c>
      <c r="M711" s="9" t="inlineStr">
        <is>
          <t>NS</t>
        </is>
      </c>
      <c r="N711" s="3" t="inlineStr">
        <is>
          <t>Cold Soldering</t>
        </is>
      </c>
      <c r="O711" s="3" t="n">
        <v>570</v>
      </c>
      <c r="P711" s="9" t="inlineStr">
        <is>
          <t>NSMI24060128715</t>
        </is>
      </c>
      <c r="Q711" s="53">
        <f>MID(P711,5,2)</f>
        <v/>
      </c>
      <c r="R711" s="53">
        <f>MID(P711,7,2)</f>
        <v/>
      </c>
      <c r="S711" s="3" t="inlineStr">
        <is>
          <t>G2G</t>
        </is>
      </c>
      <c r="T711" s="3" t="inlineStr">
        <is>
          <t>P4</t>
        </is>
      </c>
      <c r="U711" s="3" t="inlineStr">
        <is>
          <t>N JB Cold Soldering</t>
        </is>
      </c>
      <c r="V711" s="3" t="inlineStr">
        <is>
          <t>Soldering</t>
        </is>
      </c>
      <c r="W711" s="3" t="inlineStr">
        <is>
          <t>Repair</t>
        </is>
      </c>
      <c r="X711" s="18" t="n">
        <v>46153</v>
      </c>
      <c r="Y711" s="73">
        <f>IF(X711="","",X711-A711)</f>
        <v/>
      </c>
      <c r="Z711" s="18" t="n">
        <v>46153</v>
      </c>
      <c r="AA711" s="15" t="n"/>
      <c r="AB711" s="15" t="n"/>
      <c r="AF711">
        <f>IF(AND($F711="Closed",$X711&gt;=DATE(2026,5,1),$X711&lt;=DATE(2026,5,31)),"Closed in May","Other")</f>
        <v/>
      </c>
    </row>
    <row r="712">
      <c r="A712" s="6" t="n">
        <v>46107</v>
      </c>
      <c r="B712" s="3" t="n">
        <v>2026</v>
      </c>
      <c r="C712" s="3" t="inlineStr">
        <is>
          <t>Blupine Energy</t>
        </is>
      </c>
      <c r="D712" s="3" t="inlineStr">
        <is>
          <t>Utility and C&amp;I</t>
        </is>
      </c>
      <c r="E712" s="3" t="n"/>
      <c r="F712" s="3" t="inlineStr">
        <is>
          <t>Closed</t>
        </is>
      </c>
      <c r="G712" s="3" t="inlineStr">
        <is>
          <t>Chandrashekar Patidar</t>
        </is>
      </c>
      <c r="H712" s="3" t="n">
        <v>7879764773</v>
      </c>
      <c r="I712" s="11" t="inlineStr">
        <is>
          <t>PE26032601</t>
        </is>
      </c>
      <c r="J712" s="3" t="inlineStr">
        <is>
          <t>Module Diode Failure</t>
        </is>
      </c>
      <c r="K712" s="3" t="inlineStr">
        <is>
          <t>Sadla</t>
        </is>
      </c>
      <c r="L712" s="3" t="inlineStr">
        <is>
          <t>Gujarat</t>
        </is>
      </c>
      <c r="M712" s="9" t="inlineStr">
        <is>
          <t>PS</t>
        </is>
      </c>
      <c r="N712" s="3" t="inlineStr">
        <is>
          <t>Cold Soldering</t>
        </is>
      </c>
      <c r="O712" s="3" t="n">
        <v>570</v>
      </c>
      <c r="P712" s="9" t="inlineStr">
        <is>
          <t>NSMI24060084839</t>
        </is>
      </c>
      <c r="Q712" s="53">
        <f>MID(P712,5,2)</f>
        <v/>
      </c>
      <c r="R712" s="53">
        <f>MID(P712,7,2)</f>
        <v/>
      </c>
      <c r="S712" s="3" t="inlineStr">
        <is>
          <t>G2G</t>
        </is>
      </c>
      <c r="T712" s="3" t="inlineStr">
        <is>
          <t>P4</t>
        </is>
      </c>
      <c r="U712" s="3" t="inlineStr">
        <is>
          <t>P JB Cold Soldering</t>
        </is>
      </c>
      <c r="V712" s="3" t="inlineStr">
        <is>
          <t>Soldering</t>
        </is>
      </c>
      <c r="W712" s="3" t="inlineStr">
        <is>
          <t>Repair</t>
        </is>
      </c>
      <c r="X712" s="18" t="n">
        <v>46153</v>
      </c>
      <c r="Y712" s="73">
        <f>IF(X712="","",X712-A712)</f>
        <v/>
      </c>
      <c r="Z712" s="18" t="n">
        <v>46153</v>
      </c>
      <c r="AA712" s="15" t="n"/>
      <c r="AB712" s="15" t="n"/>
      <c r="AF712">
        <f>IF(AND($F712="Closed",$X712&gt;=DATE(2026,5,1),$X712&lt;=DATE(2026,5,31)),"Closed in May","Other")</f>
        <v/>
      </c>
    </row>
    <row r="713">
      <c r="A713" s="6" t="n">
        <v>46107</v>
      </c>
      <c r="B713" s="3" t="n">
        <v>2026</v>
      </c>
      <c r="C713" s="3" t="inlineStr">
        <is>
          <t>Blupine Energy</t>
        </is>
      </c>
      <c r="D713" s="3" t="inlineStr">
        <is>
          <t>Utility and C&amp;I</t>
        </is>
      </c>
      <c r="E713" s="3" t="n"/>
      <c r="F713" s="3" t="inlineStr">
        <is>
          <t>Closed</t>
        </is>
      </c>
      <c r="G713" s="3" t="inlineStr">
        <is>
          <t>Chandrashekar Patidar</t>
        </is>
      </c>
      <c r="H713" s="3" t="n">
        <v>7879764773</v>
      </c>
      <c r="I713" s="11" t="inlineStr">
        <is>
          <t>PE26032601</t>
        </is>
      </c>
      <c r="J713" s="3" t="inlineStr">
        <is>
          <t>Module Diode Failure</t>
        </is>
      </c>
      <c r="K713" s="3" t="inlineStr">
        <is>
          <t>Sadla</t>
        </is>
      </c>
      <c r="L713" s="3" t="inlineStr">
        <is>
          <t>Gujarat</t>
        </is>
      </c>
      <c r="M713" s="9" t="inlineStr">
        <is>
          <t>NS</t>
        </is>
      </c>
      <c r="N713" s="3" t="inlineStr">
        <is>
          <t>Cold Soldering</t>
        </is>
      </c>
      <c r="O713" s="3" t="n">
        <v>570</v>
      </c>
      <c r="P713" s="9" t="inlineStr">
        <is>
          <t>NSMI24060084615</t>
        </is>
      </c>
      <c r="Q713" s="53">
        <f>MID(P713,5,2)</f>
        <v/>
      </c>
      <c r="R713" s="53">
        <f>MID(P713,7,2)</f>
        <v/>
      </c>
      <c r="S713" s="3" t="inlineStr">
        <is>
          <t>G2G</t>
        </is>
      </c>
      <c r="T713" s="3" t="inlineStr">
        <is>
          <t>P4</t>
        </is>
      </c>
      <c r="U713" s="3" t="inlineStr">
        <is>
          <t>N JB Cold Soldering</t>
        </is>
      </c>
      <c r="V713" s="3" t="inlineStr">
        <is>
          <t>Soldering</t>
        </is>
      </c>
      <c r="W713" s="3" t="inlineStr">
        <is>
          <t>Repair</t>
        </is>
      </c>
      <c r="X713" s="18" t="n">
        <v>46153</v>
      </c>
      <c r="Y713" s="73">
        <f>IF(X713="","",X713-A713)</f>
        <v/>
      </c>
      <c r="Z713" s="18" t="n">
        <v>46153</v>
      </c>
      <c r="AA713" s="15" t="n"/>
      <c r="AB713" s="15" t="n"/>
      <c r="AF713">
        <f>IF(AND($F713="Closed",$X713&gt;=DATE(2026,5,1),$X713&lt;=DATE(2026,5,31)),"Closed in May","Other")</f>
        <v/>
      </c>
    </row>
    <row r="714">
      <c r="A714" s="6" t="n">
        <v>46107</v>
      </c>
      <c r="B714" s="3" t="n">
        <v>2026</v>
      </c>
      <c r="C714" s="3" t="inlineStr">
        <is>
          <t>Blupine Energy</t>
        </is>
      </c>
      <c r="D714" s="3" t="inlineStr">
        <is>
          <t>Utility and C&amp;I</t>
        </is>
      </c>
      <c r="E714" s="3" t="n"/>
      <c r="F714" s="3" t="inlineStr">
        <is>
          <t>Closed</t>
        </is>
      </c>
      <c r="G714" s="3" t="inlineStr">
        <is>
          <t>Chandrashekar Patidar</t>
        </is>
      </c>
      <c r="H714" s="3" t="n">
        <v>7879764773</v>
      </c>
      <c r="I714" s="11" t="inlineStr">
        <is>
          <t>PE26032601</t>
        </is>
      </c>
      <c r="J714" s="3" t="inlineStr">
        <is>
          <t>Module Diode Failure</t>
        </is>
      </c>
      <c r="K714" s="3" t="inlineStr">
        <is>
          <t>Sadla</t>
        </is>
      </c>
      <c r="L714" s="3" t="inlineStr">
        <is>
          <t>Gujarat</t>
        </is>
      </c>
      <c r="M714" s="9" t="inlineStr">
        <is>
          <t>NS</t>
        </is>
      </c>
      <c r="N714" s="3" t="inlineStr">
        <is>
          <t>Cold Soldering</t>
        </is>
      </c>
      <c r="O714" s="3" t="n">
        <v>570</v>
      </c>
      <c r="P714" s="9" t="inlineStr">
        <is>
          <t>NSMI24060075282</t>
        </is>
      </c>
      <c r="Q714" s="53">
        <f>MID(P714,5,2)</f>
        <v/>
      </c>
      <c r="R714" s="53">
        <f>MID(P714,7,2)</f>
        <v/>
      </c>
      <c r="S714" s="3" t="inlineStr">
        <is>
          <t>G2G</t>
        </is>
      </c>
      <c r="T714" s="3" t="inlineStr">
        <is>
          <t>P4</t>
        </is>
      </c>
      <c r="U714" s="3" t="inlineStr">
        <is>
          <t>N JB Cold Soldering</t>
        </is>
      </c>
      <c r="V714" s="3" t="inlineStr">
        <is>
          <t>Soldering</t>
        </is>
      </c>
      <c r="W714" s="3" t="inlineStr">
        <is>
          <t>Repair</t>
        </is>
      </c>
      <c r="X714" s="18" t="n">
        <v>46153</v>
      </c>
      <c r="Y714" s="73">
        <f>IF(X714="","",X714-A714)</f>
        <v/>
      </c>
      <c r="Z714" s="18" t="n">
        <v>46153</v>
      </c>
      <c r="AA714" s="15" t="n"/>
      <c r="AB714" s="15" t="n"/>
      <c r="AF714">
        <f>IF(AND($F714="Closed",$X714&gt;=DATE(2026,5,1),$X714&lt;=DATE(2026,5,31)),"Closed in May","Other")</f>
        <v/>
      </c>
    </row>
    <row r="715">
      <c r="A715" s="6" t="n">
        <v>46107</v>
      </c>
      <c r="B715" s="3" t="n">
        <v>2026</v>
      </c>
      <c r="C715" s="3" t="inlineStr">
        <is>
          <t>Blupine Energy</t>
        </is>
      </c>
      <c r="D715" s="3" t="inlineStr">
        <is>
          <t>Utility and C&amp;I</t>
        </is>
      </c>
      <c r="E715" s="3" t="n"/>
      <c r="F715" s="3" t="inlineStr">
        <is>
          <t>Closed</t>
        </is>
      </c>
      <c r="G715" s="3" t="inlineStr">
        <is>
          <t>Chandrashekar Patidar</t>
        </is>
      </c>
      <c r="H715" s="3" t="n">
        <v>7879764773</v>
      </c>
      <c r="I715" s="11" t="inlineStr">
        <is>
          <t>PE26032601</t>
        </is>
      </c>
      <c r="J715" s="3" t="inlineStr">
        <is>
          <t>Module Diode Failure</t>
        </is>
      </c>
      <c r="K715" s="3" t="inlineStr">
        <is>
          <t>Sadla</t>
        </is>
      </c>
      <c r="L715" s="3" t="inlineStr">
        <is>
          <t>Gujarat</t>
        </is>
      </c>
      <c r="M715" s="9" t="inlineStr">
        <is>
          <t>PS</t>
        </is>
      </c>
      <c r="N715" s="3" t="inlineStr">
        <is>
          <t>Cold Soldering</t>
        </is>
      </c>
      <c r="O715" s="3" t="n">
        <v>570</v>
      </c>
      <c r="P715" s="9" t="inlineStr">
        <is>
          <t>NSMI24060075926</t>
        </is>
      </c>
      <c r="Q715" s="53">
        <f>MID(P715,5,2)</f>
        <v/>
      </c>
      <c r="R715" s="53">
        <f>MID(P715,7,2)</f>
        <v/>
      </c>
      <c r="S715" s="3" t="inlineStr">
        <is>
          <t>G2G</t>
        </is>
      </c>
      <c r="T715" s="3" t="inlineStr">
        <is>
          <t>P4</t>
        </is>
      </c>
      <c r="U715" s="3" t="inlineStr">
        <is>
          <t>P JB Cold Soldering</t>
        </is>
      </c>
      <c r="V715" s="3" t="inlineStr">
        <is>
          <t>Soldering</t>
        </is>
      </c>
      <c r="W715" s="3" t="inlineStr">
        <is>
          <t>Repair</t>
        </is>
      </c>
      <c r="X715" s="18" t="n">
        <v>46153</v>
      </c>
      <c r="Y715" s="73">
        <f>IF(X715="","",X715-A715)</f>
        <v/>
      </c>
      <c r="Z715" s="18" t="n">
        <v>46153</v>
      </c>
      <c r="AA715" s="15" t="n"/>
      <c r="AB715" s="15" t="n"/>
      <c r="AF715">
        <f>IF(AND($F715="Closed",$X715&gt;=DATE(2026,5,1),$X715&lt;=DATE(2026,5,31)),"Closed in May","Other")</f>
        <v/>
      </c>
    </row>
    <row r="716">
      <c r="A716" s="6" t="n">
        <v>46107</v>
      </c>
      <c r="B716" s="3" t="n">
        <v>2026</v>
      </c>
      <c r="C716" s="3" t="inlineStr">
        <is>
          <t>Blupine Energy</t>
        </is>
      </c>
      <c r="D716" s="3" t="inlineStr">
        <is>
          <t>Utility and C&amp;I</t>
        </is>
      </c>
      <c r="E716" s="3" t="n"/>
      <c r="F716" s="3" t="inlineStr">
        <is>
          <t>Closed</t>
        </is>
      </c>
      <c r="G716" s="3" t="inlineStr">
        <is>
          <t>Chandrashekar Patidar</t>
        </is>
      </c>
      <c r="H716" s="3" t="n">
        <v>7879764773</v>
      </c>
      <c r="I716" s="11" t="inlineStr">
        <is>
          <t>PE26032601</t>
        </is>
      </c>
      <c r="J716" s="3" t="inlineStr">
        <is>
          <t>Module Diode Failure</t>
        </is>
      </c>
      <c r="K716" s="3" t="inlineStr">
        <is>
          <t>Sadla</t>
        </is>
      </c>
      <c r="L716" s="3" t="inlineStr">
        <is>
          <t>Gujarat</t>
        </is>
      </c>
      <c r="M716" s="9" t="inlineStr">
        <is>
          <t>NS</t>
        </is>
      </c>
      <c r="N716" s="3" t="inlineStr">
        <is>
          <t>Cold Soldering</t>
        </is>
      </c>
      <c r="O716" s="3" t="n">
        <v>570</v>
      </c>
      <c r="P716" s="9" t="inlineStr">
        <is>
          <t>NSMI24060116069</t>
        </is>
      </c>
      <c r="Q716" s="53">
        <f>MID(P716,5,2)</f>
        <v/>
      </c>
      <c r="R716" s="53">
        <f>MID(P716,7,2)</f>
        <v/>
      </c>
      <c r="S716" s="3" t="inlineStr">
        <is>
          <t>G2G</t>
        </is>
      </c>
      <c r="T716" s="3" t="inlineStr">
        <is>
          <t>P4</t>
        </is>
      </c>
      <c r="U716" s="3" t="inlineStr">
        <is>
          <t>N JB Cold Soldering</t>
        </is>
      </c>
      <c r="V716" s="3" t="inlineStr">
        <is>
          <t>Soldering</t>
        </is>
      </c>
      <c r="W716" s="3" t="inlineStr">
        <is>
          <t>Repair</t>
        </is>
      </c>
      <c r="X716" s="18" t="n">
        <v>46153</v>
      </c>
      <c r="Y716" s="73">
        <f>IF(X716="","",X716-A716)</f>
        <v/>
      </c>
      <c r="Z716" s="18" t="n">
        <v>46153</v>
      </c>
      <c r="AA716" s="15" t="n"/>
      <c r="AB716" s="15" t="n"/>
      <c r="AF716">
        <f>IF(AND($F716="Closed",$X716&gt;=DATE(2026,5,1),$X716&lt;=DATE(2026,5,31)),"Closed in May","Other")</f>
        <v/>
      </c>
    </row>
    <row r="717">
      <c r="A717" s="37" t="n">
        <v>46143</v>
      </c>
      <c r="B717" s="3" t="n">
        <v>2026</v>
      </c>
      <c r="C717" s="26" t="inlineStr">
        <is>
          <t>Yanara Power</t>
        </is>
      </c>
      <c r="D717" s="3" t="inlineStr">
        <is>
          <t>Utility and C&amp;I</t>
        </is>
      </c>
      <c r="E717" s="3" t="n"/>
      <c r="F717" s="3" t="inlineStr">
        <is>
          <t>Closed</t>
        </is>
      </c>
      <c r="G717" s="9" t="inlineStr">
        <is>
          <t xml:space="preserve">Ashish Jindal </t>
        </is>
      </c>
      <c r="H717" s="26" t="n">
        <v>9983975581</v>
      </c>
      <c r="I717" s="38" t="inlineStr">
        <is>
          <t>PE01052601</t>
        </is>
      </c>
      <c r="J717" s="26" t="inlineStr">
        <is>
          <t>Multiple Issues</t>
        </is>
      </c>
      <c r="K717" s="39" t="inlineStr">
        <is>
          <t>Holi</t>
        </is>
      </c>
      <c r="L717" s="39" t="inlineStr">
        <is>
          <t>Maharashtra</t>
        </is>
      </c>
      <c r="M717" s="9" t="inlineStr">
        <is>
          <t>NS</t>
        </is>
      </c>
      <c r="N717" s="3" t="inlineStr">
        <is>
          <t>Cold Soldering</t>
        </is>
      </c>
      <c r="O717" s="39" t="n">
        <v>575</v>
      </c>
      <c r="P717" s="9" t="inlineStr">
        <is>
          <t>NSMI24070216608</t>
        </is>
      </c>
      <c r="Q717" s="53">
        <f>MID(P717,5,2)</f>
        <v/>
      </c>
      <c r="R717" s="53">
        <f>MID(P717,7,2)</f>
        <v/>
      </c>
      <c r="S717" s="3" t="inlineStr">
        <is>
          <t>G2G</t>
        </is>
      </c>
      <c r="T717" s="3" t="inlineStr">
        <is>
          <t>P4</t>
        </is>
      </c>
      <c r="U717" s="3" t="inlineStr">
        <is>
          <t>N JB Cold Soldering</t>
        </is>
      </c>
      <c r="V717" s="3" t="inlineStr">
        <is>
          <t>Soldering</t>
        </is>
      </c>
      <c r="W717" s="3" t="inlineStr">
        <is>
          <t>Repair</t>
        </is>
      </c>
      <c r="X717" s="18" t="n">
        <v>46153</v>
      </c>
      <c r="Y717" s="73">
        <f>IF(X717="","",X717-A717)</f>
        <v/>
      </c>
      <c r="Z717" s="18" t="n">
        <v>46153</v>
      </c>
      <c r="AA717" s="15" t="n"/>
      <c r="AB717" s="15" t="n"/>
      <c r="AF717">
        <f>IF(AND($F717="Closed",$X717&gt;=DATE(2026,5,1),$X717&lt;=DATE(2026,5,31)),"Closed in May","Other")</f>
        <v/>
      </c>
    </row>
    <row r="718">
      <c r="A718" s="37" t="n">
        <v>46143</v>
      </c>
      <c r="B718" s="3" t="n">
        <v>2026</v>
      </c>
      <c r="C718" s="26" t="inlineStr">
        <is>
          <t>Yanara Power</t>
        </is>
      </c>
      <c r="D718" s="3" t="inlineStr">
        <is>
          <t>Utility and C&amp;I</t>
        </is>
      </c>
      <c r="E718" s="3" t="n"/>
      <c r="F718" s="3" t="inlineStr">
        <is>
          <t>Closed</t>
        </is>
      </c>
      <c r="G718" s="9" t="inlineStr">
        <is>
          <t xml:space="preserve">Ashish Jindal </t>
        </is>
      </c>
      <c r="H718" s="26" t="n">
        <v>9983975581</v>
      </c>
      <c r="I718" s="38" t="inlineStr">
        <is>
          <t>PE01052601</t>
        </is>
      </c>
      <c r="J718" s="26" t="inlineStr">
        <is>
          <t>Multiple Issues</t>
        </is>
      </c>
      <c r="K718" s="39" t="inlineStr">
        <is>
          <t>Holi</t>
        </is>
      </c>
      <c r="L718" s="39" t="inlineStr">
        <is>
          <t>Maharashtra</t>
        </is>
      </c>
      <c r="M718" s="9" t="inlineStr">
        <is>
          <t>PS</t>
        </is>
      </c>
      <c r="N718" s="3" t="inlineStr">
        <is>
          <t>Cold Soldering</t>
        </is>
      </c>
      <c r="O718" s="39" t="n">
        <v>575</v>
      </c>
      <c r="P718" s="9" t="inlineStr">
        <is>
          <t>NSMI24070196884</t>
        </is>
      </c>
      <c r="Q718" s="53">
        <f>MID(P718,5,2)</f>
        <v/>
      </c>
      <c r="R718" s="53">
        <f>MID(P718,7,2)</f>
        <v/>
      </c>
      <c r="S718" s="3" t="inlineStr">
        <is>
          <t>G2G</t>
        </is>
      </c>
      <c r="T718" s="3" t="inlineStr">
        <is>
          <t>P4</t>
        </is>
      </c>
      <c r="U718" s="3" t="inlineStr">
        <is>
          <t>P JB Cold Soldering</t>
        </is>
      </c>
      <c r="V718" s="3" t="inlineStr">
        <is>
          <t>Soldering</t>
        </is>
      </c>
      <c r="W718" s="3" t="inlineStr">
        <is>
          <t>Repair</t>
        </is>
      </c>
      <c r="X718" s="18" t="n">
        <v>46153</v>
      </c>
      <c r="Y718" s="73">
        <f>IF(X718="","",X718-A718)</f>
        <v/>
      </c>
      <c r="Z718" s="18" t="n">
        <v>46153</v>
      </c>
      <c r="AA718" s="15" t="n"/>
      <c r="AB718" s="15" t="n"/>
      <c r="AF718">
        <f>IF(AND($F718="Closed",$X718&gt;=DATE(2026,5,1),$X718&lt;=DATE(2026,5,31)),"Closed in May","Other")</f>
        <v/>
      </c>
    </row>
    <row r="719">
      <c r="A719" s="37" t="n">
        <v>46143</v>
      </c>
      <c r="B719" s="3" t="n">
        <v>2026</v>
      </c>
      <c r="C719" s="26" t="inlineStr">
        <is>
          <t>Yanara Power</t>
        </is>
      </c>
      <c r="D719" s="3" t="inlineStr">
        <is>
          <t>Utility and C&amp;I</t>
        </is>
      </c>
      <c r="E719" s="3" t="n"/>
      <c r="F719" s="3" t="inlineStr">
        <is>
          <t>Closed</t>
        </is>
      </c>
      <c r="G719" s="9" t="inlineStr">
        <is>
          <t xml:space="preserve">Ashish Jindal </t>
        </is>
      </c>
      <c r="H719" s="26" t="n">
        <v>9983975581</v>
      </c>
      <c r="I719" s="38" t="inlineStr">
        <is>
          <t>PE01052601</t>
        </is>
      </c>
      <c r="J719" s="26" t="inlineStr">
        <is>
          <t>Multiple Issues</t>
        </is>
      </c>
      <c r="K719" s="39" t="inlineStr">
        <is>
          <t>Holi</t>
        </is>
      </c>
      <c r="L719" s="39" t="inlineStr">
        <is>
          <t>Maharashtra</t>
        </is>
      </c>
      <c r="M719" s="9" t="inlineStr">
        <is>
          <t>NS</t>
        </is>
      </c>
      <c r="N719" s="3" t="inlineStr">
        <is>
          <t>Cold Soldering</t>
        </is>
      </c>
      <c r="O719" s="39" t="n">
        <v>575</v>
      </c>
      <c r="P719" s="9" t="inlineStr">
        <is>
          <t>NSMI24070196985</t>
        </is>
      </c>
      <c r="Q719" s="53">
        <f>MID(P719,5,2)</f>
        <v/>
      </c>
      <c r="R719" s="53">
        <f>MID(P719,7,2)</f>
        <v/>
      </c>
      <c r="S719" s="3" t="inlineStr">
        <is>
          <t>G2G</t>
        </is>
      </c>
      <c r="T719" s="3" t="inlineStr">
        <is>
          <t>P4</t>
        </is>
      </c>
      <c r="U719" s="3" t="inlineStr">
        <is>
          <t>N JB Cold Soldering</t>
        </is>
      </c>
      <c r="V719" s="3" t="inlineStr">
        <is>
          <t>Soldering</t>
        </is>
      </c>
      <c r="W719" s="3" t="inlineStr">
        <is>
          <t>Repair</t>
        </is>
      </c>
      <c r="X719" s="18" t="n">
        <v>46153</v>
      </c>
      <c r="Y719" s="73">
        <f>IF(X719="","",X719-A719)</f>
        <v/>
      </c>
      <c r="Z719" s="18" t="n">
        <v>46153</v>
      </c>
      <c r="AA719" s="15" t="n"/>
      <c r="AB719" s="15" t="n"/>
      <c r="AF719">
        <f>IF(AND($F719="Closed",$X719&gt;=DATE(2026,5,1),$X719&lt;=DATE(2026,5,31)),"Closed in May","Other")</f>
        <v/>
      </c>
    </row>
    <row r="720">
      <c r="A720" s="37" t="n">
        <v>46143</v>
      </c>
      <c r="B720" s="3" t="n">
        <v>2026</v>
      </c>
      <c r="C720" s="26" t="inlineStr">
        <is>
          <t>Yanara Power</t>
        </is>
      </c>
      <c r="D720" s="3" t="inlineStr">
        <is>
          <t>Utility and C&amp;I</t>
        </is>
      </c>
      <c r="E720" s="3" t="n"/>
      <c r="F720" s="3" t="inlineStr">
        <is>
          <t>Closed</t>
        </is>
      </c>
      <c r="G720" s="9" t="inlineStr">
        <is>
          <t xml:space="preserve">Ashish Jindal </t>
        </is>
      </c>
      <c r="H720" s="26" t="n">
        <v>9983975581</v>
      </c>
      <c r="I720" s="38" t="inlineStr">
        <is>
          <t>PE01052601</t>
        </is>
      </c>
      <c r="J720" s="26" t="inlineStr">
        <is>
          <t>Multiple Issues</t>
        </is>
      </c>
      <c r="K720" s="39" t="inlineStr">
        <is>
          <t>Holi</t>
        </is>
      </c>
      <c r="L720" s="39" t="inlineStr">
        <is>
          <t>Maharashtra</t>
        </is>
      </c>
      <c r="M720" s="9" t="inlineStr">
        <is>
          <t>PR</t>
        </is>
      </c>
      <c r="N720" s="3" t="inlineStr">
        <is>
          <t>JB Issue</t>
        </is>
      </c>
      <c r="O720" s="39" t="n">
        <v>575</v>
      </c>
      <c r="P720" s="9" t="inlineStr">
        <is>
          <t>NSMI24070196984</t>
        </is>
      </c>
      <c r="Q720" s="53">
        <f>MID(P720,5,2)</f>
        <v/>
      </c>
      <c r="R720" s="53">
        <f>MID(P720,7,2)</f>
        <v/>
      </c>
      <c r="S720" s="3" t="inlineStr">
        <is>
          <t>G2G</t>
        </is>
      </c>
      <c r="T720" s="3" t="inlineStr">
        <is>
          <t>P4</t>
        </is>
      </c>
      <c r="U720" s="3" t="inlineStr">
        <is>
          <t>P JB Issue</t>
        </is>
      </c>
      <c r="V720" s="15" t="inlineStr">
        <is>
          <t>JB Changed</t>
        </is>
      </c>
      <c r="W720" s="3" t="inlineStr">
        <is>
          <t>Repair</t>
        </is>
      </c>
      <c r="X720" s="18" t="n">
        <v>46153</v>
      </c>
      <c r="Y720" s="73">
        <f>IF(X720="","",X720-A720)</f>
        <v/>
      </c>
      <c r="Z720" s="18" t="n">
        <v>46153</v>
      </c>
      <c r="AA720" s="15" t="n"/>
      <c r="AB720" s="15" t="n"/>
      <c r="AF720">
        <f>IF(AND($F720="Closed",$X720&gt;=DATE(2026,5,1),$X720&lt;=DATE(2026,5,31)),"Closed in May","Other")</f>
        <v/>
      </c>
    </row>
    <row r="721">
      <c r="A721" s="37" t="n">
        <v>46143</v>
      </c>
      <c r="B721" s="3" t="n">
        <v>2026</v>
      </c>
      <c r="C721" s="26" t="inlineStr">
        <is>
          <t>Yanara Power</t>
        </is>
      </c>
      <c r="D721" s="3" t="inlineStr">
        <is>
          <t>Utility and C&amp;I</t>
        </is>
      </c>
      <c r="E721" s="3" t="n"/>
      <c r="F721" s="3" t="inlineStr">
        <is>
          <t>Closed</t>
        </is>
      </c>
      <c r="G721" s="9" t="inlineStr">
        <is>
          <t xml:space="preserve">Ashish Jindal </t>
        </is>
      </c>
      <c r="H721" s="26" t="n">
        <v>9983975581</v>
      </c>
      <c r="I721" s="38" t="inlineStr">
        <is>
          <t>PE01052601</t>
        </is>
      </c>
      <c r="J721" s="26" t="inlineStr">
        <is>
          <t>Multiple Issues</t>
        </is>
      </c>
      <c r="K721" s="39" t="inlineStr">
        <is>
          <t>Holi</t>
        </is>
      </c>
      <c r="L721" s="39" t="inlineStr">
        <is>
          <t>Maharashtra</t>
        </is>
      </c>
      <c r="M721" s="9" t="inlineStr">
        <is>
          <t>NS</t>
        </is>
      </c>
      <c r="N721" s="3" t="inlineStr">
        <is>
          <t>Cold Soldering</t>
        </is>
      </c>
      <c r="O721" s="39" t="n">
        <v>575</v>
      </c>
      <c r="P721" s="9" t="inlineStr">
        <is>
          <t>NSMI24070216614</t>
        </is>
      </c>
      <c r="Q721" s="53">
        <f>MID(P721,5,2)</f>
        <v/>
      </c>
      <c r="R721" s="53">
        <f>MID(P721,7,2)</f>
        <v/>
      </c>
      <c r="S721" s="3" t="inlineStr">
        <is>
          <t>G2G</t>
        </is>
      </c>
      <c r="T721" s="3" t="inlineStr">
        <is>
          <t>P4</t>
        </is>
      </c>
      <c r="U721" s="3" t="inlineStr">
        <is>
          <t>N JB Cold Soldering</t>
        </is>
      </c>
      <c r="V721" s="3" t="inlineStr">
        <is>
          <t>Soldering</t>
        </is>
      </c>
      <c r="W721" s="3" t="inlineStr">
        <is>
          <t>Repair</t>
        </is>
      </c>
      <c r="X721" s="18" t="n">
        <v>46153</v>
      </c>
      <c r="Y721" s="73">
        <f>IF(X721="","",X721-A721)</f>
        <v/>
      </c>
      <c r="Z721" s="18" t="n">
        <v>46153</v>
      </c>
      <c r="AA721" s="15" t="n"/>
      <c r="AB721" s="15" t="n"/>
      <c r="AF721">
        <f>IF(AND($F721="Closed",$X721&gt;=DATE(2026,5,1),$X721&lt;=DATE(2026,5,31)),"Closed in May","Other")</f>
        <v/>
      </c>
    </row>
    <row r="722">
      <c r="A722" s="37" t="n">
        <v>46143</v>
      </c>
      <c r="B722" s="3" t="n">
        <v>2026</v>
      </c>
      <c r="C722" s="26" t="inlineStr">
        <is>
          <t>Yanara Power</t>
        </is>
      </c>
      <c r="D722" s="3" t="inlineStr">
        <is>
          <t>Utility and C&amp;I</t>
        </is>
      </c>
      <c r="E722" s="3" t="n"/>
      <c r="F722" s="3" t="inlineStr">
        <is>
          <t>Closed</t>
        </is>
      </c>
      <c r="G722" s="9" t="inlineStr">
        <is>
          <t xml:space="preserve">Ashish Jindal </t>
        </is>
      </c>
      <c r="H722" s="26" t="n">
        <v>9983975581</v>
      </c>
      <c r="I722" s="38" t="inlineStr">
        <is>
          <t>PE01052601</t>
        </is>
      </c>
      <c r="J722" s="26" t="inlineStr">
        <is>
          <t>Multiple Issues</t>
        </is>
      </c>
      <c r="K722" s="39" t="inlineStr">
        <is>
          <t>Holi</t>
        </is>
      </c>
      <c r="L722" s="39" t="inlineStr">
        <is>
          <t>Maharashtra</t>
        </is>
      </c>
      <c r="M722" s="9" t="inlineStr">
        <is>
          <t>PS</t>
        </is>
      </c>
      <c r="N722" s="3" t="inlineStr">
        <is>
          <t>Cold Soldering</t>
        </is>
      </c>
      <c r="O722" s="39" t="n">
        <v>575</v>
      </c>
      <c r="P722" s="9" t="inlineStr">
        <is>
          <t>NSMI24070216611</t>
        </is>
      </c>
      <c r="Q722" s="53">
        <f>MID(P722,5,2)</f>
        <v/>
      </c>
      <c r="R722" s="53">
        <f>MID(P722,7,2)</f>
        <v/>
      </c>
      <c r="S722" s="3" t="inlineStr">
        <is>
          <t>G2G</t>
        </is>
      </c>
      <c r="T722" s="3" t="inlineStr">
        <is>
          <t>P4</t>
        </is>
      </c>
      <c r="U722" s="3" t="inlineStr">
        <is>
          <t>P JB Cold Soldering</t>
        </is>
      </c>
      <c r="V722" s="3" t="inlineStr">
        <is>
          <t>Soldering</t>
        </is>
      </c>
      <c r="W722" s="3" t="inlineStr">
        <is>
          <t>Repair</t>
        </is>
      </c>
      <c r="X722" s="18" t="n">
        <v>46153</v>
      </c>
      <c r="Y722" s="73">
        <f>IF(X722="","",X722-A722)</f>
        <v/>
      </c>
      <c r="Z722" s="18" t="n">
        <v>46153</v>
      </c>
      <c r="AA722" s="15" t="n"/>
      <c r="AB722" s="15" t="n"/>
      <c r="AF722">
        <f>IF(AND($F722="Closed",$X722&gt;=DATE(2026,5,1),$X722&lt;=DATE(2026,5,31)),"Closed in May","Other")</f>
        <v/>
      </c>
    </row>
    <row r="723">
      <c r="A723" s="37" t="n">
        <v>46143</v>
      </c>
      <c r="B723" s="3" t="n">
        <v>2026</v>
      </c>
      <c r="C723" s="26" t="inlineStr">
        <is>
          <t>Yanara Power</t>
        </is>
      </c>
      <c r="D723" s="3" t="inlineStr">
        <is>
          <t>Utility and C&amp;I</t>
        </is>
      </c>
      <c r="E723" s="3" t="n"/>
      <c r="F723" s="3" t="inlineStr">
        <is>
          <t>Closed</t>
        </is>
      </c>
      <c r="G723" s="9" t="inlineStr">
        <is>
          <t xml:space="preserve">Ashish Jindal </t>
        </is>
      </c>
      <c r="H723" s="26" t="n">
        <v>9983975581</v>
      </c>
      <c r="I723" s="38" t="inlineStr">
        <is>
          <t>PE01052601</t>
        </is>
      </c>
      <c r="J723" s="26" t="inlineStr">
        <is>
          <t>Multiple Issues</t>
        </is>
      </c>
      <c r="K723" s="39" t="inlineStr">
        <is>
          <t>Holi</t>
        </is>
      </c>
      <c r="L723" s="39" t="inlineStr">
        <is>
          <t>Maharashtra</t>
        </is>
      </c>
      <c r="M723" s="9" t="inlineStr">
        <is>
          <t>PS</t>
        </is>
      </c>
      <c r="N723" s="3" t="inlineStr">
        <is>
          <t>Cold Soldering</t>
        </is>
      </c>
      <c r="O723" s="39" t="n">
        <v>575</v>
      </c>
      <c r="P723" s="9" t="inlineStr">
        <is>
          <t>NSMI24070197090</t>
        </is>
      </c>
      <c r="Q723" s="53">
        <f>MID(P723,5,2)</f>
        <v/>
      </c>
      <c r="R723" s="53">
        <f>MID(P723,7,2)</f>
        <v/>
      </c>
      <c r="S723" s="3" t="inlineStr">
        <is>
          <t>G2G</t>
        </is>
      </c>
      <c r="T723" s="3" t="inlineStr">
        <is>
          <t>P4</t>
        </is>
      </c>
      <c r="U723" s="3" t="inlineStr">
        <is>
          <t>P JB Cold Soldering &amp; Back Glass Broken</t>
        </is>
      </c>
      <c r="V723" s="3" t="inlineStr">
        <is>
          <t>Soldering</t>
        </is>
      </c>
      <c r="W723" s="3" t="inlineStr">
        <is>
          <t>Repair</t>
        </is>
      </c>
      <c r="X723" s="18" t="n">
        <v>46153</v>
      </c>
      <c r="Y723" s="73">
        <f>IF(X723="","",X723-A723)</f>
        <v/>
      </c>
      <c r="Z723" s="18" t="n">
        <v>46153</v>
      </c>
      <c r="AA723" s="15" t="n"/>
      <c r="AB723" s="15" t="n"/>
      <c r="AF723">
        <f>IF(AND($F723="Closed",$X723&gt;=DATE(2026,5,1),$X723&lt;=DATE(2026,5,31)),"Closed in May","Other")</f>
        <v/>
      </c>
    </row>
    <row r="724">
      <c r="A724" s="37" t="n">
        <v>46143</v>
      </c>
      <c r="B724" s="3" t="n">
        <v>2026</v>
      </c>
      <c r="C724" s="26" t="inlineStr">
        <is>
          <t>Yanara Power</t>
        </is>
      </c>
      <c r="D724" s="3" t="inlineStr">
        <is>
          <t>Utility and C&amp;I</t>
        </is>
      </c>
      <c r="E724" s="3" t="n"/>
      <c r="F724" s="3" t="inlineStr">
        <is>
          <t>Closed</t>
        </is>
      </c>
      <c r="G724" s="9" t="inlineStr">
        <is>
          <t xml:space="preserve">Ashish Jindal </t>
        </is>
      </c>
      <c r="H724" s="26" t="n">
        <v>9983975581</v>
      </c>
      <c r="I724" s="38" t="inlineStr">
        <is>
          <t>PE01052601</t>
        </is>
      </c>
      <c r="J724" s="26" t="inlineStr">
        <is>
          <t>Multiple Issues</t>
        </is>
      </c>
      <c r="K724" s="39" t="inlineStr">
        <is>
          <t>Holi</t>
        </is>
      </c>
      <c r="L724" s="39" t="inlineStr">
        <is>
          <t>Maharashtra</t>
        </is>
      </c>
      <c r="M724" s="9" t="inlineStr">
        <is>
          <t>PS</t>
        </is>
      </c>
      <c r="N724" s="3" t="inlineStr">
        <is>
          <t>Cold Soldering</t>
        </is>
      </c>
      <c r="O724" s="39" t="n">
        <v>575</v>
      </c>
      <c r="P724" s="9" t="inlineStr">
        <is>
          <t>NSMI24070215733</t>
        </is>
      </c>
      <c r="Q724" s="53">
        <f>MID(P724,5,2)</f>
        <v/>
      </c>
      <c r="R724" s="53">
        <f>MID(P724,7,2)</f>
        <v/>
      </c>
      <c r="S724" s="3" t="inlineStr">
        <is>
          <t>G2G</t>
        </is>
      </c>
      <c r="T724" s="3" t="inlineStr">
        <is>
          <t>P4</t>
        </is>
      </c>
      <c r="U724" s="3" t="inlineStr">
        <is>
          <t>P JB Cold Soldering</t>
        </is>
      </c>
      <c r="V724" s="3" t="inlineStr">
        <is>
          <t>Soldering</t>
        </is>
      </c>
      <c r="W724" s="3" t="inlineStr">
        <is>
          <t>Repair</t>
        </is>
      </c>
      <c r="X724" s="18" t="n">
        <v>46153</v>
      </c>
      <c r="Y724" s="73">
        <f>IF(X724="","",X724-A724)</f>
        <v/>
      </c>
      <c r="Z724" s="18" t="n">
        <v>46153</v>
      </c>
      <c r="AA724" s="15" t="n"/>
      <c r="AB724" s="15" t="n"/>
      <c r="AF724">
        <f>IF(AND($F724="Closed",$X724&gt;=DATE(2026,5,1),$X724&lt;=DATE(2026,5,31)),"Closed in May","Other")</f>
        <v/>
      </c>
    </row>
    <row r="725">
      <c r="A725" s="37" t="n">
        <v>46143</v>
      </c>
      <c r="B725" s="3" t="n">
        <v>2026</v>
      </c>
      <c r="C725" s="26" t="inlineStr">
        <is>
          <t>Yanara Power</t>
        </is>
      </c>
      <c r="D725" s="3" t="inlineStr">
        <is>
          <t>Utility and C&amp;I</t>
        </is>
      </c>
      <c r="E725" s="3" t="n"/>
      <c r="F725" s="3" t="inlineStr">
        <is>
          <t>Closed</t>
        </is>
      </c>
      <c r="G725" s="9" t="inlineStr">
        <is>
          <t xml:space="preserve">Ashish Jindal </t>
        </is>
      </c>
      <c r="H725" s="26" t="n">
        <v>9983975581</v>
      </c>
      <c r="I725" s="38" t="inlineStr">
        <is>
          <t>PE01052601</t>
        </is>
      </c>
      <c r="J725" s="26" t="inlineStr">
        <is>
          <t>Multiple Issues</t>
        </is>
      </c>
      <c r="K725" s="39" t="inlineStr">
        <is>
          <t>Holi</t>
        </is>
      </c>
      <c r="L725" s="39" t="inlineStr">
        <is>
          <t>Maharashtra</t>
        </is>
      </c>
      <c r="M725" s="9" t="inlineStr">
        <is>
          <t>PS</t>
        </is>
      </c>
      <c r="N725" s="3" t="inlineStr">
        <is>
          <t>Cold Soldering</t>
        </is>
      </c>
      <c r="O725" s="39" t="n">
        <v>575</v>
      </c>
      <c r="P725" s="9" t="inlineStr">
        <is>
          <t>NSMI24070200588</t>
        </is>
      </c>
      <c r="Q725" s="53">
        <f>MID(P725,5,2)</f>
        <v/>
      </c>
      <c r="R725" s="53">
        <f>MID(P725,7,2)</f>
        <v/>
      </c>
      <c r="S725" s="3" t="inlineStr">
        <is>
          <t>G2G</t>
        </is>
      </c>
      <c r="T725" s="3" t="inlineStr">
        <is>
          <t>P4</t>
        </is>
      </c>
      <c r="U725" s="3" t="inlineStr">
        <is>
          <t>P JB Cold Soldering</t>
        </is>
      </c>
      <c r="V725" s="3" t="inlineStr">
        <is>
          <t>Soldering</t>
        </is>
      </c>
      <c r="W725" s="3" t="inlineStr">
        <is>
          <t>Repair</t>
        </is>
      </c>
      <c r="X725" s="18" t="n">
        <v>46153</v>
      </c>
      <c r="Y725" s="73">
        <f>IF(X725="","",X725-A725)</f>
        <v/>
      </c>
      <c r="Z725" s="18" t="n">
        <v>46153</v>
      </c>
      <c r="AA725" s="15" t="n"/>
      <c r="AB725" s="15" t="n"/>
      <c r="AF725">
        <f>IF(AND($F725="Closed",$X725&gt;=DATE(2026,5,1),$X725&lt;=DATE(2026,5,31)),"Closed in May","Other")</f>
        <v/>
      </c>
    </row>
    <row r="726">
      <c r="A726" s="37" t="n">
        <v>46143</v>
      </c>
      <c r="B726" s="3" t="n">
        <v>2026</v>
      </c>
      <c r="C726" s="26" t="inlineStr">
        <is>
          <t>Yanara Power</t>
        </is>
      </c>
      <c r="D726" s="3" t="inlineStr">
        <is>
          <t>Utility and C&amp;I</t>
        </is>
      </c>
      <c r="E726" s="3" t="n"/>
      <c r="F726" s="3" t="inlineStr">
        <is>
          <t>Closed</t>
        </is>
      </c>
      <c r="G726" s="9" t="inlineStr">
        <is>
          <t xml:space="preserve">Ashish Jindal </t>
        </is>
      </c>
      <c r="H726" s="26" t="n">
        <v>9983975581</v>
      </c>
      <c r="I726" s="38" t="inlineStr">
        <is>
          <t>PE01052601</t>
        </is>
      </c>
      <c r="J726" s="26" t="inlineStr">
        <is>
          <t>Multiple Issues</t>
        </is>
      </c>
      <c r="K726" s="39" t="inlineStr">
        <is>
          <t>Holi</t>
        </is>
      </c>
      <c r="L726" s="39" t="inlineStr">
        <is>
          <t>Maharashtra</t>
        </is>
      </c>
      <c r="M726" s="9" t="inlineStr">
        <is>
          <t>PS</t>
        </is>
      </c>
      <c r="N726" s="3" t="inlineStr">
        <is>
          <t>Cold Soldering</t>
        </is>
      </c>
      <c r="O726" s="39" t="n">
        <v>575</v>
      </c>
      <c r="P726" s="9" t="inlineStr">
        <is>
          <t>NSMI24070215485</t>
        </is>
      </c>
      <c r="Q726" s="53">
        <f>MID(P726,5,2)</f>
        <v/>
      </c>
      <c r="R726" s="53">
        <f>MID(P726,7,2)</f>
        <v/>
      </c>
      <c r="S726" s="3" t="inlineStr">
        <is>
          <t>G2G</t>
        </is>
      </c>
      <c r="T726" s="3" t="inlineStr">
        <is>
          <t>P4</t>
        </is>
      </c>
      <c r="U726" s="3" t="inlineStr">
        <is>
          <t>P JB Cold Soldering</t>
        </is>
      </c>
      <c r="V726" s="3" t="inlineStr">
        <is>
          <t>Soldering</t>
        </is>
      </c>
      <c r="W726" s="3" t="inlineStr">
        <is>
          <t>Repair</t>
        </is>
      </c>
      <c r="X726" s="18" t="n">
        <v>46153</v>
      </c>
      <c r="Y726" s="73">
        <f>IF(X726="","",X726-A726)</f>
        <v/>
      </c>
      <c r="Z726" s="18" t="n">
        <v>46153</v>
      </c>
      <c r="AA726" s="15" t="n"/>
      <c r="AB726" s="15" t="n"/>
      <c r="AF726">
        <f>IF(AND($F726="Closed",$X726&gt;=DATE(2026,5,1),$X726&lt;=DATE(2026,5,31)),"Closed in May","Other")</f>
        <v/>
      </c>
    </row>
    <row r="727">
      <c r="A727" s="37" t="n">
        <v>46143</v>
      </c>
      <c r="B727" s="3" t="n">
        <v>2026</v>
      </c>
      <c r="C727" s="26" t="inlineStr">
        <is>
          <t>Yanara Power</t>
        </is>
      </c>
      <c r="D727" s="3" t="inlineStr">
        <is>
          <t>Utility and C&amp;I</t>
        </is>
      </c>
      <c r="E727" s="3" t="n"/>
      <c r="F727" s="3" t="inlineStr">
        <is>
          <t>Closed</t>
        </is>
      </c>
      <c r="G727" s="9" t="inlineStr">
        <is>
          <t xml:space="preserve">Ashish Jindal </t>
        </is>
      </c>
      <c r="H727" s="26" t="n">
        <v>9983975581</v>
      </c>
      <c r="I727" s="38" t="inlineStr">
        <is>
          <t>PE01052601</t>
        </is>
      </c>
      <c r="J727" s="26" t="inlineStr">
        <is>
          <t>Multiple Issues</t>
        </is>
      </c>
      <c r="K727" s="39" t="inlineStr">
        <is>
          <t>Holi</t>
        </is>
      </c>
      <c r="L727" s="39" t="inlineStr">
        <is>
          <t>Maharashtra</t>
        </is>
      </c>
      <c r="M727" s="9" t="inlineStr">
        <is>
          <t>PS</t>
        </is>
      </c>
      <c r="N727" s="3" t="inlineStr">
        <is>
          <t>Cold Soldering</t>
        </is>
      </c>
      <c r="O727" s="39" t="n">
        <v>575</v>
      </c>
      <c r="P727" s="9" t="inlineStr">
        <is>
          <t>NSMI24070202772</t>
        </is>
      </c>
      <c r="Q727" s="53">
        <f>MID(P727,5,2)</f>
        <v/>
      </c>
      <c r="R727" s="53">
        <f>MID(P727,7,2)</f>
        <v/>
      </c>
      <c r="S727" s="3" t="inlineStr">
        <is>
          <t>G2G</t>
        </is>
      </c>
      <c r="T727" s="3" t="inlineStr">
        <is>
          <t>P4</t>
        </is>
      </c>
      <c r="U727" s="3" t="inlineStr">
        <is>
          <t>P JB Cold Soldering</t>
        </is>
      </c>
      <c r="V727" s="3" t="inlineStr">
        <is>
          <t>Soldering</t>
        </is>
      </c>
      <c r="W727" s="3" t="inlineStr">
        <is>
          <t>Repair</t>
        </is>
      </c>
      <c r="X727" s="18" t="n">
        <v>46153</v>
      </c>
      <c r="Y727" s="73">
        <f>IF(X727="","",X727-A727)</f>
        <v/>
      </c>
      <c r="Z727" s="18" t="n">
        <v>46153</v>
      </c>
      <c r="AA727" s="15" t="n"/>
      <c r="AB727" s="15" t="n"/>
      <c r="AF727">
        <f>IF(AND($F727="Closed",$X727&gt;=DATE(2026,5,1),$X727&lt;=DATE(2026,5,31)),"Closed in May","Other")</f>
        <v/>
      </c>
    </row>
    <row r="728">
      <c r="A728" s="37" t="n">
        <v>46143</v>
      </c>
      <c r="B728" s="3" t="n">
        <v>2026</v>
      </c>
      <c r="C728" s="26" t="inlineStr">
        <is>
          <t>Yanara Power</t>
        </is>
      </c>
      <c r="D728" s="3" t="inlineStr">
        <is>
          <t>Utility and C&amp;I</t>
        </is>
      </c>
      <c r="E728" s="3" t="n"/>
      <c r="F728" s="3" t="inlineStr">
        <is>
          <t>Closed</t>
        </is>
      </c>
      <c r="G728" s="9" t="inlineStr">
        <is>
          <t xml:space="preserve">Ashish Jindal </t>
        </is>
      </c>
      <c r="H728" s="26" t="n">
        <v>9983975581</v>
      </c>
      <c r="I728" s="38" t="inlineStr">
        <is>
          <t>PE01052601</t>
        </is>
      </c>
      <c r="J728" s="26" t="inlineStr">
        <is>
          <t>Multiple Issues</t>
        </is>
      </c>
      <c r="K728" s="39" t="inlineStr">
        <is>
          <t>Holi</t>
        </is>
      </c>
      <c r="L728" s="39" t="inlineStr">
        <is>
          <t>Maharashtra</t>
        </is>
      </c>
      <c r="M728" s="9" t="inlineStr">
        <is>
          <t>PS</t>
        </is>
      </c>
      <c r="N728" s="3" t="inlineStr">
        <is>
          <t>Cold Soldering</t>
        </is>
      </c>
      <c r="O728" s="39" t="n">
        <v>575</v>
      </c>
      <c r="P728" s="9" t="inlineStr">
        <is>
          <t>NSMI24070202767</t>
        </is>
      </c>
      <c r="Q728" s="53">
        <f>MID(P728,5,2)</f>
        <v/>
      </c>
      <c r="R728" s="53">
        <f>MID(P728,7,2)</f>
        <v/>
      </c>
      <c r="S728" s="3" t="inlineStr">
        <is>
          <t>G2G</t>
        </is>
      </c>
      <c r="T728" s="3" t="inlineStr">
        <is>
          <t>P4</t>
        </is>
      </c>
      <c r="U728" s="3" t="inlineStr">
        <is>
          <t>P JB Cold Soldering</t>
        </is>
      </c>
      <c r="V728" s="3" t="inlineStr">
        <is>
          <t>Soldering</t>
        </is>
      </c>
      <c r="W728" s="3" t="inlineStr">
        <is>
          <t>Repair</t>
        </is>
      </c>
      <c r="X728" s="18" t="n">
        <v>46153</v>
      </c>
      <c r="Y728" s="73">
        <f>IF(X728="","",X728-A728)</f>
        <v/>
      </c>
      <c r="Z728" s="18" t="n">
        <v>46153</v>
      </c>
      <c r="AA728" s="15" t="n"/>
      <c r="AB728" s="15" t="n"/>
      <c r="AF728">
        <f>IF(AND($F728="Closed",$X728&gt;=DATE(2026,5,1),$X728&lt;=DATE(2026,5,31)),"Closed in May","Other")</f>
        <v/>
      </c>
    </row>
    <row r="729">
      <c r="A729" s="37" t="n">
        <v>46143</v>
      </c>
      <c r="B729" s="3" t="n">
        <v>2026</v>
      </c>
      <c r="C729" s="26" t="inlineStr">
        <is>
          <t>Yanara Power</t>
        </is>
      </c>
      <c r="D729" s="3" t="inlineStr">
        <is>
          <t>Utility and C&amp;I</t>
        </is>
      </c>
      <c r="E729" s="3" t="n"/>
      <c r="F729" s="3" t="inlineStr">
        <is>
          <t>Closed</t>
        </is>
      </c>
      <c r="G729" s="9" t="inlineStr">
        <is>
          <t xml:space="preserve">Ashish Jindal </t>
        </is>
      </c>
      <c r="H729" s="26" t="n">
        <v>9983975581</v>
      </c>
      <c r="I729" s="38" t="inlineStr">
        <is>
          <t>PE01052601</t>
        </is>
      </c>
      <c r="J729" s="26" t="inlineStr">
        <is>
          <t>Multiple Issues</t>
        </is>
      </c>
      <c r="K729" s="39" t="inlineStr">
        <is>
          <t>Holi</t>
        </is>
      </c>
      <c r="L729" s="39" t="inlineStr">
        <is>
          <t>Maharashtra</t>
        </is>
      </c>
      <c r="M729" s="9" t="inlineStr">
        <is>
          <t>PS</t>
        </is>
      </c>
      <c r="N729" s="3" t="inlineStr">
        <is>
          <t>Cold Soldering</t>
        </is>
      </c>
      <c r="O729" s="39" t="n">
        <v>575</v>
      </c>
      <c r="P729" s="9" t="inlineStr">
        <is>
          <t>NSMI24070193919</t>
        </is>
      </c>
      <c r="Q729" s="53">
        <f>MID(P729,5,2)</f>
        <v/>
      </c>
      <c r="R729" s="53">
        <f>MID(P729,7,2)</f>
        <v/>
      </c>
      <c r="S729" s="3" t="inlineStr">
        <is>
          <t>G2G</t>
        </is>
      </c>
      <c r="T729" s="3" t="inlineStr">
        <is>
          <t>P4</t>
        </is>
      </c>
      <c r="U729" s="3" t="inlineStr">
        <is>
          <t>P JB Cold Soldering</t>
        </is>
      </c>
      <c r="V729" s="3" t="inlineStr">
        <is>
          <t>Soldering</t>
        </is>
      </c>
      <c r="W729" s="3" t="inlineStr">
        <is>
          <t>Repair</t>
        </is>
      </c>
      <c r="X729" s="18" t="n">
        <v>46153</v>
      </c>
      <c r="Y729" s="73">
        <f>IF(X729="","",X729-A729)</f>
        <v/>
      </c>
      <c r="Z729" s="18" t="n">
        <v>46153</v>
      </c>
      <c r="AA729" s="15" t="n"/>
      <c r="AB729" s="15" t="n"/>
      <c r="AF729">
        <f>IF(AND($F729="Closed",$X729&gt;=DATE(2026,5,1),$X729&lt;=DATE(2026,5,31)),"Closed in May","Other")</f>
        <v/>
      </c>
    </row>
    <row r="730">
      <c r="A730" s="37" t="n">
        <v>46143</v>
      </c>
      <c r="B730" s="3" t="n">
        <v>2026</v>
      </c>
      <c r="C730" s="26" t="inlineStr">
        <is>
          <t>Yanara Power</t>
        </is>
      </c>
      <c r="D730" s="3" t="inlineStr">
        <is>
          <t>Utility and C&amp;I</t>
        </is>
      </c>
      <c r="E730" s="3" t="n"/>
      <c r="F730" s="3" t="inlineStr">
        <is>
          <t>Closed</t>
        </is>
      </c>
      <c r="G730" s="9" t="inlineStr">
        <is>
          <t xml:space="preserve">Ashish Jindal </t>
        </is>
      </c>
      <c r="H730" s="26" t="n">
        <v>9983975581</v>
      </c>
      <c r="I730" s="38" t="inlineStr">
        <is>
          <t>PE01052601</t>
        </is>
      </c>
      <c r="J730" s="26" t="inlineStr">
        <is>
          <t>Multiple Issues</t>
        </is>
      </c>
      <c r="K730" s="39" t="inlineStr">
        <is>
          <t>Holi</t>
        </is>
      </c>
      <c r="L730" s="39" t="inlineStr">
        <is>
          <t>Maharashtra</t>
        </is>
      </c>
      <c r="M730" s="9" t="inlineStr">
        <is>
          <t>NS</t>
        </is>
      </c>
      <c r="N730" s="3" t="inlineStr">
        <is>
          <t>Cold Soldering</t>
        </is>
      </c>
      <c r="O730" s="39" t="n">
        <v>575</v>
      </c>
      <c r="P730" s="9" t="inlineStr">
        <is>
          <t>NSMI24070192225</t>
        </is>
      </c>
      <c r="Q730" s="53">
        <f>MID(P730,5,2)</f>
        <v/>
      </c>
      <c r="R730" s="53">
        <f>MID(P730,7,2)</f>
        <v/>
      </c>
      <c r="S730" s="3" t="inlineStr">
        <is>
          <t>G2G</t>
        </is>
      </c>
      <c r="T730" s="3" t="inlineStr">
        <is>
          <t>P4</t>
        </is>
      </c>
      <c r="U730" s="3" t="inlineStr">
        <is>
          <t>N JB Cold Soldering</t>
        </is>
      </c>
      <c r="V730" s="3" t="inlineStr">
        <is>
          <t>Soldering</t>
        </is>
      </c>
      <c r="W730" s="3" t="inlineStr">
        <is>
          <t>Repair</t>
        </is>
      </c>
      <c r="X730" s="18" t="n">
        <v>46153</v>
      </c>
      <c r="Y730" s="73">
        <f>IF(X730="","",X730-A730)</f>
        <v/>
      </c>
      <c r="Z730" s="18" t="n">
        <v>46153</v>
      </c>
      <c r="AA730" s="15" t="n"/>
      <c r="AB730" s="15" t="n"/>
      <c r="AF730">
        <f>IF(AND($F730="Closed",$X730&gt;=DATE(2026,5,1),$X730&lt;=DATE(2026,5,31)),"Closed in May","Other")</f>
        <v/>
      </c>
    </row>
    <row r="731">
      <c r="A731" s="37" t="n">
        <v>46143</v>
      </c>
      <c r="B731" s="3" t="n">
        <v>2026</v>
      </c>
      <c r="C731" s="26" t="inlineStr">
        <is>
          <t>Yanara Power</t>
        </is>
      </c>
      <c r="D731" s="3" t="inlineStr">
        <is>
          <t>Utility and C&amp;I</t>
        </is>
      </c>
      <c r="E731" s="3" t="n"/>
      <c r="F731" s="3" t="inlineStr">
        <is>
          <t>Closed</t>
        </is>
      </c>
      <c r="G731" s="9" t="inlineStr">
        <is>
          <t xml:space="preserve">Ashish Jindal </t>
        </is>
      </c>
      <c r="H731" s="26" t="n">
        <v>9983975581</v>
      </c>
      <c r="I731" s="38" t="inlineStr">
        <is>
          <t>PE01052601</t>
        </is>
      </c>
      <c r="J731" s="26" t="inlineStr">
        <is>
          <t>Multiple Issues</t>
        </is>
      </c>
      <c r="K731" s="39" t="inlineStr">
        <is>
          <t>Holi</t>
        </is>
      </c>
      <c r="L731" s="39" t="inlineStr">
        <is>
          <t>Maharashtra</t>
        </is>
      </c>
      <c r="M731" s="9" t="inlineStr">
        <is>
          <t>PNS</t>
        </is>
      </c>
      <c r="N731" s="3" t="inlineStr">
        <is>
          <t>Cold Soldering</t>
        </is>
      </c>
      <c r="O731" s="39" t="n">
        <v>575</v>
      </c>
      <c r="P731" s="9" t="inlineStr">
        <is>
          <t>NSMI24070194100</t>
        </is>
      </c>
      <c r="Q731" s="53">
        <f>MID(P731,5,2)</f>
        <v/>
      </c>
      <c r="R731" s="53">
        <f>MID(P731,7,2)</f>
        <v/>
      </c>
      <c r="S731" s="3" t="inlineStr">
        <is>
          <t>G2G</t>
        </is>
      </c>
      <c r="T731" s="3" t="inlineStr">
        <is>
          <t>P4</t>
        </is>
      </c>
      <c r="U731" s="3" t="inlineStr">
        <is>
          <t>P &amp; N JB Cold Soldering</t>
        </is>
      </c>
      <c r="V731" s="3" t="inlineStr">
        <is>
          <t>Soldering</t>
        </is>
      </c>
      <c r="W731" s="3" t="inlineStr">
        <is>
          <t>Repair</t>
        </is>
      </c>
      <c r="X731" s="18" t="n">
        <v>46153</v>
      </c>
      <c r="Y731" s="73">
        <f>IF(X731="","",X731-A731)</f>
        <v/>
      </c>
      <c r="Z731" s="18" t="n">
        <v>46153</v>
      </c>
      <c r="AA731" s="15" t="n"/>
      <c r="AB731" s="15" t="n"/>
      <c r="AF731">
        <f>IF(AND($F731="Closed",$X731&gt;=DATE(2026,5,1),$X731&lt;=DATE(2026,5,31)),"Closed in May","Other")</f>
        <v/>
      </c>
    </row>
    <row r="732">
      <c r="A732" s="37" t="n">
        <v>46143</v>
      </c>
      <c r="B732" s="3" t="n">
        <v>2026</v>
      </c>
      <c r="C732" s="26" t="inlineStr">
        <is>
          <t>Yanara Power</t>
        </is>
      </c>
      <c r="D732" s="3" t="inlineStr">
        <is>
          <t>Utility and C&amp;I</t>
        </is>
      </c>
      <c r="E732" s="3" t="n"/>
      <c r="F732" s="3" t="inlineStr">
        <is>
          <t>Closed</t>
        </is>
      </c>
      <c r="G732" s="9" t="inlineStr">
        <is>
          <t xml:space="preserve">Ashish Jindal </t>
        </is>
      </c>
      <c r="H732" s="26" t="n">
        <v>9983975581</v>
      </c>
      <c r="I732" s="38" t="inlineStr">
        <is>
          <t>PE01052601</t>
        </is>
      </c>
      <c r="J732" s="26" t="inlineStr">
        <is>
          <t>Multiple Issues</t>
        </is>
      </c>
      <c r="K732" s="39" t="inlineStr">
        <is>
          <t>Holi</t>
        </is>
      </c>
      <c r="L732" s="39" t="inlineStr">
        <is>
          <t>Maharashtra</t>
        </is>
      </c>
      <c r="M732" s="9" t="inlineStr">
        <is>
          <t>PS</t>
        </is>
      </c>
      <c r="N732" s="3" t="inlineStr">
        <is>
          <t>Cold Soldering</t>
        </is>
      </c>
      <c r="O732" s="39" t="n">
        <v>575</v>
      </c>
      <c r="P732" s="9" t="inlineStr">
        <is>
          <t>NSMI24070217904</t>
        </is>
      </c>
      <c r="Q732" s="53">
        <f>MID(P732,5,2)</f>
        <v/>
      </c>
      <c r="R732" s="53">
        <f>MID(P732,7,2)</f>
        <v/>
      </c>
      <c r="S732" s="3" t="inlineStr">
        <is>
          <t>G2G</t>
        </is>
      </c>
      <c r="T732" s="3" t="inlineStr">
        <is>
          <t>P4</t>
        </is>
      </c>
      <c r="U732" s="3" t="inlineStr">
        <is>
          <t>P JB Cold Soldering</t>
        </is>
      </c>
      <c r="V732" s="3" t="inlineStr">
        <is>
          <t>Soldering</t>
        </is>
      </c>
      <c r="W732" s="3" t="inlineStr">
        <is>
          <t>Repair</t>
        </is>
      </c>
      <c r="X732" s="18" t="n">
        <v>46153</v>
      </c>
      <c r="Y732" s="73">
        <f>IF(X732="","",X732-A732)</f>
        <v/>
      </c>
      <c r="Z732" s="18" t="n">
        <v>46153</v>
      </c>
      <c r="AA732" s="15" t="n"/>
      <c r="AB732" s="15" t="n"/>
      <c r="AF732">
        <f>IF(AND($F732="Closed",$X732&gt;=DATE(2026,5,1),$X732&lt;=DATE(2026,5,31)),"Closed in May","Other")</f>
        <v/>
      </c>
    </row>
    <row r="733">
      <c r="A733" s="37" t="n">
        <v>46143</v>
      </c>
      <c r="B733" s="3" t="n">
        <v>2026</v>
      </c>
      <c r="C733" s="26" t="inlineStr">
        <is>
          <t>Yanara Power</t>
        </is>
      </c>
      <c r="D733" s="3" t="inlineStr">
        <is>
          <t>Utility and C&amp;I</t>
        </is>
      </c>
      <c r="E733" s="3" t="n"/>
      <c r="F733" s="3" t="inlineStr">
        <is>
          <t>Closed</t>
        </is>
      </c>
      <c r="G733" s="9" t="inlineStr">
        <is>
          <t xml:space="preserve">Ashish Jindal </t>
        </is>
      </c>
      <c r="H733" s="26" t="n">
        <v>9983975581</v>
      </c>
      <c r="I733" s="38" t="inlineStr">
        <is>
          <t>PE01052601</t>
        </is>
      </c>
      <c r="J733" s="26" t="inlineStr">
        <is>
          <t>Multiple Issues</t>
        </is>
      </c>
      <c r="K733" s="39" t="inlineStr">
        <is>
          <t>Holi</t>
        </is>
      </c>
      <c r="L733" s="39" t="inlineStr">
        <is>
          <t>Maharashtra</t>
        </is>
      </c>
      <c r="M733" s="9" t="inlineStr">
        <is>
          <t>PS</t>
        </is>
      </c>
      <c r="N733" s="3" t="inlineStr">
        <is>
          <t>Cold Soldering</t>
        </is>
      </c>
      <c r="O733" s="39" t="n">
        <v>575</v>
      </c>
      <c r="P733" s="9" t="inlineStr">
        <is>
          <t>NSMI24070215705</t>
        </is>
      </c>
      <c r="Q733" s="53">
        <f>MID(P733,5,2)</f>
        <v/>
      </c>
      <c r="R733" s="53">
        <f>MID(P733,7,2)</f>
        <v/>
      </c>
      <c r="S733" s="3" t="inlineStr">
        <is>
          <t>G2G</t>
        </is>
      </c>
      <c r="T733" s="3" t="inlineStr">
        <is>
          <t>P4</t>
        </is>
      </c>
      <c r="U733" s="3" t="inlineStr">
        <is>
          <t>P JB Cold Soldering</t>
        </is>
      </c>
      <c r="V733" s="3" t="inlineStr">
        <is>
          <t>Soldering</t>
        </is>
      </c>
      <c r="W733" s="3" t="inlineStr">
        <is>
          <t>Repair</t>
        </is>
      </c>
      <c r="X733" s="18" t="n">
        <v>46153</v>
      </c>
      <c r="Y733" s="73">
        <f>IF(X733="","",X733-A733)</f>
        <v/>
      </c>
      <c r="Z733" s="18" t="n">
        <v>46153</v>
      </c>
      <c r="AA733" s="15" t="n"/>
      <c r="AB733" s="15" t="n"/>
      <c r="AF733">
        <f>IF(AND($F733="Closed",$X733&gt;=DATE(2026,5,1),$X733&lt;=DATE(2026,5,31)),"Closed in May","Other")</f>
        <v/>
      </c>
    </row>
    <row r="734">
      <c r="A734" s="37" t="n">
        <v>46143</v>
      </c>
      <c r="B734" s="3" t="n">
        <v>2026</v>
      </c>
      <c r="C734" s="26" t="inlineStr">
        <is>
          <t>Yanara Power</t>
        </is>
      </c>
      <c r="D734" s="3" t="inlineStr">
        <is>
          <t>Utility and C&amp;I</t>
        </is>
      </c>
      <c r="E734" s="3" t="n"/>
      <c r="F734" s="3" t="inlineStr">
        <is>
          <t>Closed</t>
        </is>
      </c>
      <c r="G734" s="9" t="inlineStr">
        <is>
          <t xml:space="preserve">Ashish Jindal </t>
        </is>
      </c>
      <c r="H734" s="26" t="n">
        <v>9983975581</v>
      </c>
      <c r="I734" s="38" t="inlineStr">
        <is>
          <t>PE01052601</t>
        </is>
      </c>
      <c r="J734" s="26" t="inlineStr">
        <is>
          <t>Multiple Issues</t>
        </is>
      </c>
      <c r="K734" s="39" t="inlineStr">
        <is>
          <t>Holi</t>
        </is>
      </c>
      <c r="L734" s="39" t="inlineStr">
        <is>
          <t>Maharashtra</t>
        </is>
      </c>
      <c r="M734" s="9" t="inlineStr">
        <is>
          <t>PS</t>
        </is>
      </c>
      <c r="N734" s="3" t="inlineStr">
        <is>
          <t>Cold Soldering</t>
        </is>
      </c>
      <c r="O734" s="39" t="n">
        <v>575</v>
      </c>
      <c r="P734" s="9" t="inlineStr">
        <is>
          <t>NSMI24070181702</t>
        </is>
      </c>
      <c r="Q734" s="53">
        <f>MID(P734,5,2)</f>
        <v/>
      </c>
      <c r="R734" s="53">
        <f>MID(P734,7,2)</f>
        <v/>
      </c>
      <c r="S734" s="3" t="inlineStr">
        <is>
          <t>G2G</t>
        </is>
      </c>
      <c r="T734" s="3" t="inlineStr">
        <is>
          <t>P4</t>
        </is>
      </c>
      <c r="U734" s="3" t="inlineStr">
        <is>
          <t>P JB Cold Soldering</t>
        </is>
      </c>
      <c r="V734" s="3" t="inlineStr">
        <is>
          <t>Soldering</t>
        </is>
      </c>
      <c r="W734" s="3" t="inlineStr">
        <is>
          <t>Repair</t>
        </is>
      </c>
      <c r="X734" s="18" t="n">
        <v>46153</v>
      </c>
      <c r="Y734" s="73">
        <f>IF(X734="","",X734-A734)</f>
        <v/>
      </c>
      <c r="Z734" s="18" t="n">
        <v>46153</v>
      </c>
      <c r="AA734" s="15" t="n"/>
      <c r="AB734" s="15" t="n"/>
      <c r="AF734">
        <f>IF(AND($F734="Closed",$X734&gt;=DATE(2026,5,1),$X734&lt;=DATE(2026,5,31)),"Closed in May","Other")</f>
        <v/>
      </c>
    </row>
    <row r="735">
      <c r="A735" s="37" t="n">
        <v>46143</v>
      </c>
      <c r="B735" s="3" t="n">
        <v>2026</v>
      </c>
      <c r="C735" s="26" t="inlineStr">
        <is>
          <t>Yanara Power</t>
        </is>
      </c>
      <c r="D735" s="3" t="inlineStr">
        <is>
          <t>Utility and C&amp;I</t>
        </is>
      </c>
      <c r="E735" s="3" t="n"/>
      <c r="F735" s="3" t="inlineStr">
        <is>
          <t>Closed</t>
        </is>
      </c>
      <c r="G735" s="9" t="inlineStr">
        <is>
          <t xml:space="preserve">Ashish Jindal </t>
        </is>
      </c>
      <c r="H735" s="26" t="n">
        <v>9983975581</v>
      </c>
      <c r="I735" s="38" t="inlineStr">
        <is>
          <t>PE01052601</t>
        </is>
      </c>
      <c r="J735" s="26" t="inlineStr">
        <is>
          <t>Multiple Issues</t>
        </is>
      </c>
      <c r="K735" s="39" t="inlineStr">
        <is>
          <t>Holi</t>
        </is>
      </c>
      <c r="L735" s="39" t="inlineStr">
        <is>
          <t>Maharashtra</t>
        </is>
      </c>
      <c r="M735" s="9" t="inlineStr">
        <is>
          <t>PS</t>
        </is>
      </c>
      <c r="N735" s="3" t="inlineStr">
        <is>
          <t>Cold Soldering</t>
        </is>
      </c>
      <c r="O735" s="39" t="n">
        <v>575</v>
      </c>
      <c r="P735" s="9" t="inlineStr">
        <is>
          <t>NSMI24070215697</t>
        </is>
      </c>
      <c r="Q735" s="53">
        <f>MID(P735,5,2)</f>
        <v/>
      </c>
      <c r="R735" s="53">
        <f>MID(P735,7,2)</f>
        <v/>
      </c>
      <c r="S735" s="3" t="inlineStr">
        <is>
          <t>G2G</t>
        </is>
      </c>
      <c r="T735" s="3" t="inlineStr">
        <is>
          <t>P4</t>
        </is>
      </c>
      <c r="U735" s="3" t="inlineStr">
        <is>
          <t>P JB Cold Soldering</t>
        </is>
      </c>
      <c r="V735" s="3" t="inlineStr">
        <is>
          <t>Soldering</t>
        </is>
      </c>
      <c r="W735" s="3" t="inlineStr">
        <is>
          <t>Repair</t>
        </is>
      </c>
      <c r="X735" s="18" t="n">
        <v>46153</v>
      </c>
      <c r="Y735" s="73">
        <f>IF(X735="","",X735-A735)</f>
        <v/>
      </c>
      <c r="Z735" s="18" t="n">
        <v>46153</v>
      </c>
      <c r="AA735" s="15" t="n"/>
      <c r="AB735" s="15" t="n"/>
      <c r="AF735">
        <f>IF(AND($F735="Closed",$X735&gt;=DATE(2026,5,1),$X735&lt;=DATE(2026,5,31)),"Closed in May","Other")</f>
        <v/>
      </c>
    </row>
    <row r="736">
      <c r="A736" s="37" t="n">
        <v>46143</v>
      </c>
      <c r="B736" s="3" t="n">
        <v>2026</v>
      </c>
      <c r="C736" s="26" t="inlineStr">
        <is>
          <t>Yanara Power</t>
        </is>
      </c>
      <c r="D736" s="3" t="inlineStr">
        <is>
          <t>Utility and C&amp;I</t>
        </is>
      </c>
      <c r="E736" s="3" t="n"/>
      <c r="F736" s="3" t="inlineStr">
        <is>
          <t>Closed</t>
        </is>
      </c>
      <c r="G736" s="9" t="inlineStr">
        <is>
          <t xml:space="preserve">Ashish Jindal </t>
        </is>
      </c>
      <c r="H736" s="26" t="n">
        <v>9983975581</v>
      </c>
      <c r="I736" s="38" t="inlineStr">
        <is>
          <t>PE01052601</t>
        </is>
      </c>
      <c r="J736" s="26" t="inlineStr">
        <is>
          <t>Multiple Issues</t>
        </is>
      </c>
      <c r="K736" s="39" t="inlineStr">
        <is>
          <t>Holi</t>
        </is>
      </c>
      <c r="L736" s="39" t="inlineStr">
        <is>
          <t>Maharashtra</t>
        </is>
      </c>
      <c r="M736" s="9" t="inlineStr">
        <is>
          <t>PR</t>
        </is>
      </c>
      <c r="N736" s="3" t="inlineStr">
        <is>
          <t>JB Issue</t>
        </is>
      </c>
      <c r="O736" s="39" t="n">
        <v>575</v>
      </c>
      <c r="P736" s="9" t="inlineStr">
        <is>
          <t>NSMI24070218025</t>
        </is>
      </c>
      <c r="Q736" s="53">
        <f>MID(P736,5,2)</f>
        <v/>
      </c>
      <c r="R736" s="53">
        <f>MID(P736,7,2)</f>
        <v/>
      </c>
      <c r="S736" s="3" t="inlineStr">
        <is>
          <t>G2G</t>
        </is>
      </c>
      <c r="T736" s="3" t="inlineStr">
        <is>
          <t>P4</t>
        </is>
      </c>
      <c r="U736" s="3" t="inlineStr">
        <is>
          <t>P JB Issue</t>
        </is>
      </c>
      <c r="V736" s="15" t="inlineStr">
        <is>
          <t>JB Changed</t>
        </is>
      </c>
      <c r="W736" s="3" t="inlineStr">
        <is>
          <t>Repair</t>
        </is>
      </c>
      <c r="X736" s="18" t="n">
        <v>46153</v>
      </c>
      <c r="Y736" s="73">
        <f>IF(X736="","",X736-A736)</f>
        <v/>
      </c>
      <c r="Z736" s="18" t="n">
        <v>46153</v>
      </c>
      <c r="AA736" s="15" t="n"/>
      <c r="AB736" s="15" t="n"/>
      <c r="AF736">
        <f>IF(AND($F736="Closed",$X736&gt;=DATE(2026,5,1),$X736&lt;=DATE(2026,5,31)),"Closed in May","Other")</f>
        <v/>
      </c>
    </row>
    <row r="737">
      <c r="A737" s="37" t="n">
        <v>46143</v>
      </c>
      <c r="B737" s="3" t="n">
        <v>2026</v>
      </c>
      <c r="C737" s="26" t="inlineStr">
        <is>
          <t>Yanara Power</t>
        </is>
      </c>
      <c r="D737" s="3" t="inlineStr">
        <is>
          <t>Utility and C&amp;I</t>
        </is>
      </c>
      <c r="E737" s="3" t="n"/>
      <c r="F737" s="3" t="inlineStr">
        <is>
          <t>Closed</t>
        </is>
      </c>
      <c r="G737" s="9" t="inlineStr">
        <is>
          <t xml:space="preserve">Ashish Jindal </t>
        </is>
      </c>
      <c r="H737" s="26" t="n">
        <v>9983975581</v>
      </c>
      <c r="I737" s="38" t="inlineStr">
        <is>
          <t>PE01052601</t>
        </is>
      </c>
      <c r="J737" s="26" t="inlineStr">
        <is>
          <t>Multiple Issues</t>
        </is>
      </c>
      <c r="K737" s="39" t="inlineStr">
        <is>
          <t>Holi</t>
        </is>
      </c>
      <c r="L737" s="39" t="inlineStr">
        <is>
          <t>Maharashtra</t>
        </is>
      </c>
      <c r="M737" s="9" t="inlineStr">
        <is>
          <t>PS</t>
        </is>
      </c>
      <c r="N737" s="3" t="inlineStr">
        <is>
          <t>Cold Soldering</t>
        </is>
      </c>
      <c r="O737" s="39" t="n">
        <v>575</v>
      </c>
      <c r="P737" s="9" t="inlineStr">
        <is>
          <t>NSMI24070191026</t>
        </is>
      </c>
      <c r="Q737" s="53">
        <f>MID(P737,5,2)</f>
        <v/>
      </c>
      <c r="R737" s="53">
        <f>MID(P737,7,2)</f>
        <v/>
      </c>
      <c r="S737" s="3" t="inlineStr">
        <is>
          <t>G2G</t>
        </is>
      </c>
      <c r="T737" s="3" t="inlineStr">
        <is>
          <t>P4</t>
        </is>
      </c>
      <c r="U737" s="3" t="inlineStr">
        <is>
          <t>P JB Cold Soldering</t>
        </is>
      </c>
      <c r="V737" s="3" t="inlineStr">
        <is>
          <t>Soldering</t>
        </is>
      </c>
      <c r="W737" s="3" t="inlineStr">
        <is>
          <t>Repair</t>
        </is>
      </c>
      <c r="X737" s="18" t="n">
        <v>46153</v>
      </c>
      <c r="Y737" s="73">
        <f>IF(X737="","",X737-A737)</f>
        <v/>
      </c>
      <c r="Z737" s="18" t="n">
        <v>46153</v>
      </c>
      <c r="AA737" s="15" t="n"/>
      <c r="AB737" s="15" t="n"/>
      <c r="AF737">
        <f>IF(AND($F737="Closed",$X737&gt;=DATE(2026,5,1),$X737&lt;=DATE(2026,5,31)),"Closed in May","Other")</f>
        <v/>
      </c>
    </row>
    <row r="738">
      <c r="A738" s="37" t="n">
        <v>46143</v>
      </c>
      <c r="B738" s="3" t="n">
        <v>2026</v>
      </c>
      <c r="C738" s="26" t="inlineStr">
        <is>
          <t>Yanara Power</t>
        </is>
      </c>
      <c r="D738" s="3" t="inlineStr">
        <is>
          <t>Utility and C&amp;I</t>
        </is>
      </c>
      <c r="E738" s="3" t="n"/>
      <c r="F738" s="3" t="inlineStr">
        <is>
          <t>Closed</t>
        </is>
      </c>
      <c r="G738" s="9" t="inlineStr">
        <is>
          <t xml:space="preserve">Ashish Jindal </t>
        </is>
      </c>
      <c r="H738" s="26" t="n">
        <v>9983975581</v>
      </c>
      <c r="I738" s="38" t="inlineStr">
        <is>
          <t>PE01052601</t>
        </is>
      </c>
      <c r="J738" s="26" t="inlineStr">
        <is>
          <t>Multiple Issues</t>
        </is>
      </c>
      <c r="K738" s="39" t="inlineStr">
        <is>
          <t>Holi</t>
        </is>
      </c>
      <c r="L738" s="39" t="inlineStr">
        <is>
          <t>Maharashtra</t>
        </is>
      </c>
      <c r="M738" s="9" t="inlineStr">
        <is>
          <t>NR</t>
        </is>
      </c>
      <c r="N738" s="3" t="inlineStr">
        <is>
          <t>JB Issue</t>
        </is>
      </c>
      <c r="O738" s="39" t="n">
        <v>575</v>
      </c>
      <c r="P738" s="9" t="inlineStr">
        <is>
          <t>NSMI24070193608</t>
        </is>
      </c>
      <c r="Q738" s="53">
        <f>MID(P738,5,2)</f>
        <v/>
      </c>
      <c r="R738" s="53">
        <f>MID(P738,7,2)</f>
        <v/>
      </c>
      <c r="S738" s="3" t="inlineStr">
        <is>
          <t>G2G</t>
        </is>
      </c>
      <c r="T738" s="3" t="inlineStr">
        <is>
          <t>P4</t>
        </is>
      </c>
      <c r="U738" s="3" t="inlineStr">
        <is>
          <t>N JB Issue</t>
        </is>
      </c>
      <c r="V738" s="3" t="inlineStr">
        <is>
          <t>JB Changed</t>
        </is>
      </c>
      <c r="W738" s="3" t="inlineStr">
        <is>
          <t>Repair</t>
        </is>
      </c>
      <c r="X738" s="18" t="n">
        <v>46153</v>
      </c>
      <c r="Y738" s="73">
        <f>IF(X738="","",X738-A738)</f>
        <v/>
      </c>
      <c r="Z738" s="18" t="n">
        <v>46153</v>
      </c>
      <c r="AA738" s="15" t="n"/>
      <c r="AB738" s="15" t="n"/>
      <c r="AF738">
        <f>IF(AND($F738="Closed",$X738&gt;=DATE(2026,5,1),$X738&lt;=DATE(2026,5,31)),"Closed in May","Other")</f>
        <v/>
      </c>
    </row>
    <row r="739">
      <c r="A739" s="37" t="n">
        <v>46143</v>
      </c>
      <c r="B739" s="3" t="n">
        <v>2026</v>
      </c>
      <c r="C739" s="26" t="inlineStr">
        <is>
          <t>Yanara Power</t>
        </is>
      </c>
      <c r="D739" s="3" t="inlineStr">
        <is>
          <t>Utility and C&amp;I</t>
        </is>
      </c>
      <c r="E739" s="3" t="n"/>
      <c r="F739" s="3" t="inlineStr">
        <is>
          <t>Closed</t>
        </is>
      </c>
      <c r="G739" s="9" t="inlineStr">
        <is>
          <t xml:space="preserve">Ashish Jindal </t>
        </is>
      </c>
      <c r="H739" s="26" t="n">
        <v>9983975581</v>
      </c>
      <c r="I739" s="38" t="inlineStr">
        <is>
          <t>PE01052601</t>
        </is>
      </c>
      <c r="J739" s="26" t="inlineStr">
        <is>
          <t>Multiple Issues</t>
        </is>
      </c>
      <c r="K739" s="39" t="inlineStr">
        <is>
          <t>Holi</t>
        </is>
      </c>
      <c r="L739" s="39" t="inlineStr">
        <is>
          <t>Maharashtra</t>
        </is>
      </c>
      <c r="M739" s="9" t="inlineStr">
        <is>
          <t>NS</t>
        </is>
      </c>
      <c r="N739" s="3" t="inlineStr">
        <is>
          <t>Cold Soldering</t>
        </is>
      </c>
      <c r="O739" s="39" t="n">
        <v>575</v>
      </c>
      <c r="P739" s="9" t="inlineStr">
        <is>
          <t>NSMI24070193662</t>
        </is>
      </c>
      <c r="Q739" s="53">
        <f>MID(P739,5,2)</f>
        <v/>
      </c>
      <c r="R739" s="53">
        <f>MID(P739,7,2)</f>
        <v/>
      </c>
      <c r="S739" s="3" t="inlineStr">
        <is>
          <t>G2G</t>
        </is>
      </c>
      <c r="T739" s="3" t="inlineStr">
        <is>
          <t>P4</t>
        </is>
      </c>
      <c r="U739" s="3" t="inlineStr">
        <is>
          <t>N JB Cold Soldering</t>
        </is>
      </c>
      <c r="V739" s="3" t="inlineStr">
        <is>
          <t>Soldering</t>
        </is>
      </c>
      <c r="W739" s="3" t="inlineStr">
        <is>
          <t>Repair</t>
        </is>
      </c>
      <c r="X739" s="18" t="n">
        <v>46153</v>
      </c>
      <c r="Y739" s="73">
        <f>IF(X739="","",X739-A739)</f>
        <v/>
      </c>
      <c r="Z739" s="18" t="n">
        <v>46153</v>
      </c>
      <c r="AA739" s="15" t="n"/>
      <c r="AB739" s="15" t="n"/>
      <c r="AF739">
        <f>IF(AND($F739="Closed",$X739&gt;=DATE(2026,5,1),$X739&lt;=DATE(2026,5,31)),"Closed in May","Other")</f>
        <v/>
      </c>
    </row>
    <row r="740">
      <c r="A740" s="37" t="n">
        <v>46143</v>
      </c>
      <c r="B740" s="3" t="n">
        <v>2026</v>
      </c>
      <c r="C740" s="26" t="inlineStr">
        <is>
          <t>Yanara Power</t>
        </is>
      </c>
      <c r="D740" s="3" t="inlineStr">
        <is>
          <t>Utility and C&amp;I</t>
        </is>
      </c>
      <c r="E740" s="3" t="n"/>
      <c r="F740" s="3" t="inlineStr">
        <is>
          <t>Closed</t>
        </is>
      </c>
      <c r="G740" s="9" t="inlineStr">
        <is>
          <t xml:space="preserve">Ashish Jindal </t>
        </is>
      </c>
      <c r="H740" s="26" t="n">
        <v>9983975581</v>
      </c>
      <c r="I740" s="38" t="inlineStr">
        <is>
          <t>PE01052601</t>
        </is>
      </c>
      <c r="J740" s="26" t="inlineStr">
        <is>
          <t>Multiple Issues</t>
        </is>
      </c>
      <c r="K740" s="39" t="inlineStr">
        <is>
          <t>Holi</t>
        </is>
      </c>
      <c r="L740" s="39" t="inlineStr">
        <is>
          <t>Maharashtra</t>
        </is>
      </c>
      <c r="M740" s="9" t="inlineStr">
        <is>
          <t>PS</t>
        </is>
      </c>
      <c r="N740" s="3" t="inlineStr">
        <is>
          <t>Cold Soldering</t>
        </is>
      </c>
      <c r="O740" s="39" t="n">
        <v>575</v>
      </c>
      <c r="P740" s="9" t="inlineStr">
        <is>
          <t>NSMI24070194418</t>
        </is>
      </c>
      <c r="Q740" s="53">
        <f>MID(P740,5,2)</f>
        <v/>
      </c>
      <c r="R740" s="53">
        <f>MID(P740,7,2)</f>
        <v/>
      </c>
      <c r="S740" s="3" t="inlineStr">
        <is>
          <t>G2G</t>
        </is>
      </c>
      <c r="T740" s="3" t="inlineStr">
        <is>
          <t>P4</t>
        </is>
      </c>
      <c r="U740" s="3" t="inlineStr">
        <is>
          <t>P JB Cold Soldering</t>
        </is>
      </c>
      <c r="V740" s="3" t="inlineStr">
        <is>
          <t>Soldering</t>
        </is>
      </c>
      <c r="W740" s="3" t="inlineStr">
        <is>
          <t>Repair</t>
        </is>
      </c>
      <c r="X740" s="18" t="n">
        <v>46153</v>
      </c>
      <c r="Y740" s="73">
        <f>IF(X740="","",X740-A740)</f>
        <v/>
      </c>
      <c r="Z740" s="18" t="n">
        <v>46153</v>
      </c>
      <c r="AA740" s="15" t="n"/>
      <c r="AB740" s="15" t="n"/>
      <c r="AF740">
        <f>IF(AND($F740="Closed",$X740&gt;=DATE(2026,5,1),$X740&lt;=DATE(2026,5,31)),"Closed in May","Other")</f>
        <v/>
      </c>
    </row>
    <row r="741">
      <c r="A741" s="37" t="n">
        <v>46143</v>
      </c>
      <c r="B741" s="3" t="n">
        <v>2026</v>
      </c>
      <c r="C741" s="26" t="inlineStr">
        <is>
          <t>Yanara Power</t>
        </is>
      </c>
      <c r="D741" s="3" t="inlineStr">
        <is>
          <t>Utility and C&amp;I</t>
        </is>
      </c>
      <c r="E741" s="3" t="n"/>
      <c r="F741" s="3" t="inlineStr">
        <is>
          <t>Closed</t>
        </is>
      </c>
      <c r="G741" s="9" t="inlineStr">
        <is>
          <t xml:space="preserve">Ashish Jindal </t>
        </is>
      </c>
      <c r="H741" s="26" t="n">
        <v>9983975581</v>
      </c>
      <c r="I741" s="38" t="inlineStr">
        <is>
          <t>PE01052601</t>
        </is>
      </c>
      <c r="J741" s="26" t="inlineStr">
        <is>
          <t>Multiple Issues</t>
        </is>
      </c>
      <c r="K741" s="39" t="inlineStr">
        <is>
          <t>Holi</t>
        </is>
      </c>
      <c r="L741" s="39" t="inlineStr">
        <is>
          <t>Maharashtra</t>
        </is>
      </c>
      <c r="M741" s="9" t="inlineStr">
        <is>
          <t>PS</t>
        </is>
      </c>
      <c r="N741" s="3" t="inlineStr">
        <is>
          <t>Cold Soldering</t>
        </is>
      </c>
      <c r="O741" s="39" t="n">
        <v>575</v>
      </c>
      <c r="P741" s="9" t="inlineStr">
        <is>
          <t>NSMI24070199020</t>
        </is>
      </c>
      <c r="Q741" s="53">
        <f>MID(P741,5,2)</f>
        <v/>
      </c>
      <c r="R741" s="53">
        <f>MID(P741,7,2)</f>
        <v/>
      </c>
      <c r="S741" s="3" t="inlineStr">
        <is>
          <t>G2G</t>
        </is>
      </c>
      <c r="T741" s="3" t="inlineStr">
        <is>
          <t>P4</t>
        </is>
      </c>
      <c r="U741" s="3" t="inlineStr">
        <is>
          <t>P JB Cold Soldering</t>
        </is>
      </c>
      <c r="V741" s="3" t="inlineStr">
        <is>
          <t>Soldering</t>
        </is>
      </c>
      <c r="W741" s="3" t="inlineStr">
        <is>
          <t>Repair</t>
        </is>
      </c>
      <c r="X741" s="18" t="n">
        <v>46153</v>
      </c>
      <c r="Y741" s="73">
        <f>IF(X741="","",X741-A741)</f>
        <v/>
      </c>
      <c r="Z741" s="18" t="n">
        <v>46153</v>
      </c>
      <c r="AA741" s="15" t="n"/>
      <c r="AB741" s="15" t="n"/>
      <c r="AF741">
        <f>IF(AND($F741="Closed",$X741&gt;=DATE(2026,5,1),$X741&lt;=DATE(2026,5,31)),"Closed in May","Other")</f>
        <v/>
      </c>
    </row>
    <row r="742">
      <c r="A742" s="37" t="n">
        <v>46143</v>
      </c>
      <c r="B742" s="3" t="n">
        <v>2026</v>
      </c>
      <c r="C742" s="26" t="inlineStr">
        <is>
          <t>Yanara Power</t>
        </is>
      </c>
      <c r="D742" s="3" t="inlineStr">
        <is>
          <t>Utility and C&amp;I</t>
        </is>
      </c>
      <c r="E742" s="3" t="n"/>
      <c r="F742" s="3" t="inlineStr">
        <is>
          <t>Closed</t>
        </is>
      </c>
      <c r="G742" s="9" t="inlineStr">
        <is>
          <t xml:space="preserve">Ashish Jindal </t>
        </is>
      </c>
      <c r="H742" s="26" t="n">
        <v>9983975581</v>
      </c>
      <c r="I742" s="38" t="inlineStr">
        <is>
          <t>PE01052601</t>
        </is>
      </c>
      <c r="J742" s="26" t="inlineStr">
        <is>
          <t>Multiple Issues</t>
        </is>
      </c>
      <c r="K742" s="39" t="inlineStr">
        <is>
          <t>Holi</t>
        </is>
      </c>
      <c r="L742" s="39" t="inlineStr">
        <is>
          <t>Maharashtra</t>
        </is>
      </c>
      <c r="M742" s="9" t="inlineStr">
        <is>
          <t>NS</t>
        </is>
      </c>
      <c r="N742" s="3" t="inlineStr">
        <is>
          <t>Cold Soldering</t>
        </is>
      </c>
      <c r="O742" s="39" t="n">
        <v>575</v>
      </c>
      <c r="P742" s="9" t="inlineStr">
        <is>
          <t>NSMI24070199099</t>
        </is>
      </c>
      <c r="Q742" s="53">
        <f>MID(P742,5,2)</f>
        <v/>
      </c>
      <c r="R742" s="53">
        <f>MID(P742,7,2)</f>
        <v/>
      </c>
      <c r="S742" s="3" t="inlineStr">
        <is>
          <t>G2TB</t>
        </is>
      </c>
      <c r="T742" s="3" t="inlineStr">
        <is>
          <t>P4</t>
        </is>
      </c>
      <c r="U742" s="3" t="inlineStr">
        <is>
          <t>N JB Cold Soldering</t>
        </is>
      </c>
      <c r="V742" s="3" t="inlineStr">
        <is>
          <t>Soldering</t>
        </is>
      </c>
      <c r="W742" s="3" t="inlineStr">
        <is>
          <t>Repair</t>
        </is>
      </c>
      <c r="X742" s="18" t="n">
        <v>46153</v>
      </c>
      <c r="Y742" s="73">
        <f>IF(X742="","",X742-A742)</f>
        <v/>
      </c>
      <c r="Z742" s="18" t="n">
        <v>46153</v>
      </c>
      <c r="AA742" s="15" t="n"/>
      <c r="AB742" s="15" t="n"/>
      <c r="AF742">
        <f>IF(AND($F742="Closed",$X742&gt;=DATE(2026,5,1),$X742&lt;=DATE(2026,5,31)),"Closed in May","Other")</f>
        <v/>
      </c>
    </row>
    <row r="743">
      <c r="A743" s="37" t="n">
        <v>46154</v>
      </c>
      <c r="B743" s="3" t="n">
        <v>2026</v>
      </c>
      <c r="C743" s="19" t="inlineStr">
        <is>
          <t>Uma Trading Company</t>
        </is>
      </c>
      <c r="D743" s="26" t="inlineStr">
        <is>
          <t>Channel Sales</t>
        </is>
      </c>
      <c r="E743" s="3" t="n"/>
      <c r="F743" s="3" t="inlineStr">
        <is>
          <t>Closed</t>
        </is>
      </c>
      <c r="G743" s="45" t="inlineStr">
        <is>
          <t>Anisha</t>
        </is>
      </c>
      <c r="H743" s="25" t="n">
        <v>9307883016</v>
      </c>
      <c r="I743" s="4" t="inlineStr">
        <is>
          <t>PE12052604</t>
        </is>
      </c>
      <c r="J743" s="26" t="inlineStr">
        <is>
          <t>Module Burnt</t>
        </is>
      </c>
      <c r="K743" s="26" t="inlineStr">
        <is>
          <t xml:space="preserve"> Sangli</t>
        </is>
      </c>
      <c r="L743" s="26" t="inlineStr">
        <is>
          <t>Maharashtra</t>
        </is>
      </c>
      <c r="M743" s="9" t="inlineStr">
        <is>
          <t>No Visit</t>
        </is>
      </c>
      <c r="N743" s="26" t="inlineStr">
        <is>
          <t>MC4 connectors damaged</t>
        </is>
      </c>
      <c r="O743" s="39" t="n">
        <v>540</v>
      </c>
      <c r="P743" s="19" t="inlineStr">
        <is>
          <t>NSMP24122090183</t>
        </is>
      </c>
      <c r="Q743" s="53">
        <f>MID(P743,5,2)</f>
        <v/>
      </c>
      <c r="R743" s="53">
        <f>MID(P743,7,2)</f>
        <v/>
      </c>
      <c r="S743" s="3" t="inlineStr">
        <is>
          <t>G2G</t>
        </is>
      </c>
      <c r="T743" s="3" t="inlineStr">
        <is>
          <t>P2</t>
        </is>
      </c>
      <c r="U743" s="9" t="inlineStr">
        <is>
          <t>Improper connection between the module-side MC4 and the string output MC4</t>
        </is>
      </c>
      <c r="V743" s="26" t="inlineStr">
        <is>
          <t>MC4 connectors damaged</t>
        </is>
      </c>
      <c r="W743" s="3" t="inlineStr">
        <is>
          <t>Rejected</t>
        </is>
      </c>
      <c r="X743" s="18" t="n">
        <v>46155</v>
      </c>
      <c r="Y743" s="73">
        <f>IF(X743="","",X743-A743)</f>
        <v/>
      </c>
      <c r="Z743" s="19" t="n"/>
      <c r="AA743" s="19" t="n"/>
      <c r="AB743" s="19" t="n"/>
      <c r="AF743">
        <f>IF(AND($F743="Closed",$X743&gt;=DATE(2026,5,1),$X743&lt;=DATE(2026,5,31)),"Closed in May","Other")</f>
        <v/>
      </c>
    </row>
    <row r="744">
      <c r="A744" s="37" t="n">
        <v>46149</v>
      </c>
      <c r="B744" s="3" t="n">
        <v>2026</v>
      </c>
      <c r="C744" s="42" t="inlineStr">
        <is>
          <t>Cresta solar</t>
        </is>
      </c>
      <c r="D744" s="26" t="inlineStr">
        <is>
          <t>Channel Sales</t>
        </is>
      </c>
      <c r="E744" s="19" t="n"/>
      <c r="F744" s="3" t="inlineStr">
        <is>
          <t>Closed</t>
        </is>
      </c>
      <c r="G744" s="26" t="inlineStr">
        <is>
          <t>Shashank Sir</t>
        </is>
      </c>
      <c r="H744" s="19" t="n"/>
      <c r="I744" s="38" t="inlineStr">
        <is>
          <t>PE07052601</t>
        </is>
      </c>
      <c r="J744" s="42" t="inlineStr">
        <is>
          <t xml:space="preserve">Glass damage </t>
        </is>
      </c>
      <c r="K744" s="26" t="inlineStr">
        <is>
          <t>Hyderabad</t>
        </is>
      </c>
      <c r="L744" s="26" t="inlineStr">
        <is>
          <t>Telangana</t>
        </is>
      </c>
      <c r="M744" s="9" t="inlineStr">
        <is>
          <t>No Visit</t>
        </is>
      </c>
      <c r="N744" s="3" t="inlineStr">
        <is>
          <t>Glass Breakage</t>
        </is>
      </c>
      <c r="O744" s="39" t="n">
        <v>590</v>
      </c>
      <c r="P744" s="9" t="inlineStr">
        <is>
          <t>NSMI25031671069</t>
        </is>
      </c>
      <c r="Q744" s="53">
        <f>MID(P744,5,2)</f>
        <v/>
      </c>
      <c r="R744" s="53">
        <f>MID(P744,7,2)</f>
        <v/>
      </c>
      <c r="S744" s="3" t="inlineStr">
        <is>
          <t>G2G</t>
        </is>
      </c>
      <c r="T744" s="3" t="inlineStr">
        <is>
          <t>P4</t>
        </is>
      </c>
      <c r="U744" s="3" t="inlineStr">
        <is>
          <t>Glass Breakage</t>
        </is>
      </c>
      <c r="V744" s="19" t="inlineStr">
        <is>
          <t>Replacement</t>
        </is>
      </c>
      <c r="W744" s="19" t="inlineStr">
        <is>
          <t>Replacement</t>
        </is>
      </c>
      <c r="X744" s="18" t="n">
        <v>46150</v>
      </c>
      <c r="Y744" s="73">
        <f>IF(X744="","",X744-A744)</f>
        <v/>
      </c>
      <c r="Z744" s="19" t="inlineStr">
        <is>
          <t>No Visit</t>
        </is>
      </c>
      <c r="AA744" s="19" t="n"/>
      <c r="AB744" s="19" t="n"/>
      <c r="AF744">
        <f>IF(AND($F744="Closed",$X744&gt;=DATE(2026,5,1),$X744&lt;=DATE(2026,5,31)),"Closed in May","Other")</f>
        <v/>
      </c>
    </row>
    <row r="745">
      <c r="A745" s="6" t="n">
        <v>46107</v>
      </c>
      <c r="B745" s="3" t="n">
        <v>2026</v>
      </c>
      <c r="C745" s="3" t="inlineStr">
        <is>
          <t>Blupine Energy</t>
        </is>
      </c>
      <c r="D745" s="3" t="inlineStr">
        <is>
          <t>Utility and C&amp;I</t>
        </is>
      </c>
      <c r="E745" s="3" t="n"/>
      <c r="F745" s="3" t="inlineStr">
        <is>
          <t>Closed</t>
        </is>
      </c>
      <c r="G745" s="3" t="inlineStr">
        <is>
          <t>Chandrashekar Patidar</t>
        </is>
      </c>
      <c r="H745" s="3" t="n">
        <v>7879764773</v>
      </c>
      <c r="I745" s="11" t="inlineStr">
        <is>
          <t>PE26032601</t>
        </is>
      </c>
      <c r="J745" s="3" t="inlineStr">
        <is>
          <t>Module Diode Failure</t>
        </is>
      </c>
      <c r="K745" s="3" t="inlineStr">
        <is>
          <t>Sadla</t>
        </is>
      </c>
      <c r="L745" s="3" t="inlineStr">
        <is>
          <t>Gujarat</t>
        </is>
      </c>
      <c r="M745" s="9" t="inlineStr">
        <is>
          <t>NS</t>
        </is>
      </c>
      <c r="N745" s="3" t="inlineStr">
        <is>
          <t>Cold Soldering</t>
        </is>
      </c>
      <c r="O745" s="3" t="n">
        <v>570</v>
      </c>
      <c r="P745" s="9" t="inlineStr">
        <is>
          <t>NSMI24050066841</t>
        </is>
      </c>
      <c r="Q745" s="53">
        <f>MID(P745,5,2)</f>
        <v/>
      </c>
      <c r="R745" s="53">
        <f>MID(P745,7,2)</f>
        <v/>
      </c>
      <c r="S745" s="3" t="inlineStr">
        <is>
          <t>G2G</t>
        </is>
      </c>
      <c r="T745" s="3" t="inlineStr">
        <is>
          <t>P4</t>
        </is>
      </c>
      <c r="U745" s="9" t="inlineStr">
        <is>
          <t>N JB Cold Soldering</t>
        </is>
      </c>
      <c r="V745" s="3" t="inlineStr">
        <is>
          <t>Soldering</t>
        </is>
      </c>
      <c r="W745" s="3" t="inlineStr">
        <is>
          <t>Repair</t>
        </is>
      </c>
      <c r="X745" s="18" t="n">
        <v>46154</v>
      </c>
      <c r="Y745" s="73">
        <f>IF(X745="","",X745-A745)</f>
        <v/>
      </c>
      <c r="Z745" s="18" t="n">
        <v>46154</v>
      </c>
      <c r="AA745" s="15" t="n"/>
      <c r="AB745" s="15" t="n"/>
      <c r="AF745">
        <f>IF(AND($F745="Closed",$X745&gt;=DATE(2026,5,1),$X745&lt;=DATE(2026,5,31)),"Closed in May","Other")</f>
        <v/>
      </c>
    </row>
    <row r="746">
      <c r="A746" s="6" t="n">
        <v>46107</v>
      </c>
      <c r="B746" s="3" t="n">
        <v>2026</v>
      </c>
      <c r="C746" s="3" t="inlineStr">
        <is>
          <t>Blupine Energy</t>
        </is>
      </c>
      <c r="D746" s="3" t="inlineStr">
        <is>
          <t>Utility and C&amp;I</t>
        </is>
      </c>
      <c r="E746" s="3" t="n"/>
      <c r="F746" s="3" t="inlineStr">
        <is>
          <t>Closed</t>
        </is>
      </c>
      <c r="G746" s="3" t="inlineStr">
        <is>
          <t>Chandrashekar Patidar</t>
        </is>
      </c>
      <c r="H746" s="3" t="n">
        <v>7879764773</v>
      </c>
      <c r="I746" s="11" t="inlineStr">
        <is>
          <t>PE26032601</t>
        </is>
      </c>
      <c r="J746" s="3" t="inlineStr">
        <is>
          <t>Module Diode Failure</t>
        </is>
      </c>
      <c r="K746" s="3" t="inlineStr">
        <is>
          <t>Sadla</t>
        </is>
      </c>
      <c r="L746" s="3" t="inlineStr">
        <is>
          <t>Gujarat</t>
        </is>
      </c>
      <c r="M746" s="9" t="inlineStr">
        <is>
          <t>NS</t>
        </is>
      </c>
      <c r="N746" s="3" t="inlineStr">
        <is>
          <t>Cold Soldering</t>
        </is>
      </c>
      <c r="O746" s="3" t="n">
        <v>570</v>
      </c>
      <c r="P746" s="9" t="inlineStr">
        <is>
          <t>NSMI24060091962</t>
        </is>
      </c>
      <c r="Q746" s="53">
        <f>MID(P746,5,2)</f>
        <v/>
      </c>
      <c r="R746" s="53">
        <f>MID(P746,7,2)</f>
        <v/>
      </c>
      <c r="S746" s="3" t="inlineStr">
        <is>
          <t>G2G</t>
        </is>
      </c>
      <c r="T746" s="3" t="inlineStr">
        <is>
          <t>P4</t>
        </is>
      </c>
      <c r="U746" s="3" t="inlineStr">
        <is>
          <t>N JB Cold Soldering</t>
        </is>
      </c>
      <c r="V746" s="3" t="inlineStr">
        <is>
          <t>Soldering</t>
        </is>
      </c>
      <c r="W746" s="3" t="inlineStr">
        <is>
          <t>Repair</t>
        </is>
      </c>
      <c r="X746" s="18" t="n">
        <v>46154</v>
      </c>
      <c r="Y746" s="73">
        <f>IF(X746="","",X746-A746)</f>
        <v/>
      </c>
      <c r="Z746" s="18" t="n">
        <v>46154</v>
      </c>
      <c r="AA746" s="15" t="n"/>
      <c r="AB746" s="15" t="n"/>
      <c r="AF746">
        <f>IF(AND($F746="Closed",$X746&gt;=DATE(2026,5,1),$X746&lt;=DATE(2026,5,31)),"Closed in May","Other")</f>
        <v/>
      </c>
    </row>
    <row r="747">
      <c r="A747" s="6" t="n">
        <v>46107</v>
      </c>
      <c r="B747" s="3" t="n">
        <v>2026</v>
      </c>
      <c r="C747" s="3" t="inlineStr">
        <is>
          <t>Blupine Energy</t>
        </is>
      </c>
      <c r="D747" s="3" t="inlineStr">
        <is>
          <t>Utility and C&amp;I</t>
        </is>
      </c>
      <c r="E747" s="3" t="n"/>
      <c r="F747" s="3" t="inlineStr">
        <is>
          <t>Closed</t>
        </is>
      </c>
      <c r="G747" s="3" t="inlineStr">
        <is>
          <t>Chandrashekar Patidar</t>
        </is>
      </c>
      <c r="H747" s="3" t="n">
        <v>7879764773</v>
      </c>
      <c r="I747" s="11" t="inlineStr">
        <is>
          <t>PE26032601</t>
        </is>
      </c>
      <c r="J747" s="3" t="inlineStr">
        <is>
          <t>Module Diode Failure</t>
        </is>
      </c>
      <c r="K747" s="3" t="inlineStr">
        <is>
          <t>Sadla</t>
        </is>
      </c>
      <c r="L747" s="3" t="inlineStr">
        <is>
          <t>Gujarat</t>
        </is>
      </c>
      <c r="M747" s="9" t="inlineStr">
        <is>
          <t>NS</t>
        </is>
      </c>
      <c r="N747" s="3" t="inlineStr">
        <is>
          <t>Cold Soldering</t>
        </is>
      </c>
      <c r="O747" s="3" t="n">
        <v>570</v>
      </c>
      <c r="P747" s="9" t="inlineStr">
        <is>
          <t>NSMI24060091963</t>
        </is>
      </c>
      <c r="Q747" s="53">
        <f>MID(P747,5,2)</f>
        <v/>
      </c>
      <c r="R747" s="53">
        <f>MID(P747,7,2)</f>
        <v/>
      </c>
      <c r="S747" s="3" t="inlineStr">
        <is>
          <t>G2G</t>
        </is>
      </c>
      <c r="T747" s="3" t="inlineStr">
        <is>
          <t>P4</t>
        </is>
      </c>
      <c r="U747" s="3" t="inlineStr">
        <is>
          <t>N JB Cold Soldering</t>
        </is>
      </c>
      <c r="V747" s="3" t="inlineStr">
        <is>
          <t>Soldering</t>
        </is>
      </c>
      <c r="W747" s="3" t="inlineStr">
        <is>
          <t>Repair</t>
        </is>
      </c>
      <c r="X747" s="18" t="n">
        <v>46154</v>
      </c>
      <c r="Y747" s="73">
        <f>IF(X747="","",X747-A747)</f>
        <v/>
      </c>
      <c r="Z747" s="18" t="n">
        <v>46154</v>
      </c>
      <c r="AA747" s="15" t="n"/>
      <c r="AB747" s="15" t="n"/>
      <c r="AF747">
        <f>IF(AND($F747="Closed",$X747&gt;=DATE(2026,5,1),$X747&lt;=DATE(2026,5,31)),"Closed in May","Other")</f>
        <v/>
      </c>
    </row>
    <row r="748">
      <c r="A748" s="6" t="n">
        <v>46107</v>
      </c>
      <c r="B748" s="3" t="n">
        <v>2026</v>
      </c>
      <c r="C748" s="3" t="inlineStr">
        <is>
          <t>Blupine Energy</t>
        </is>
      </c>
      <c r="D748" s="3" t="inlineStr">
        <is>
          <t>Utility and C&amp;I</t>
        </is>
      </c>
      <c r="E748" s="3" t="n"/>
      <c r="F748" s="3" t="inlineStr">
        <is>
          <t>Closed</t>
        </is>
      </c>
      <c r="G748" s="3" t="inlineStr">
        <is>
          <t>Chandrashekar Patidar</t>
        </is>
      </c>
      <c r="H748" s="3" t="n">
        <v>7879764773</v>
      </c>
      <c r="I748" s="11" t="inlineStr">
        <is>
          <t>PE26032601</t>
        </is>
      </c>
      <c r="J748" s="3" t="inlineStr">
        <is>
          <t>Module Diode Failure</t>
        </is>
      </c>
      <c r="K748" s="3" t="inlineStr">
        <is>
          <t>Sadla</t>
        </is>
      </c>
      <c r="L748" s="3" t="inlineStr">
        <is>
          <t>Gujarat</t>
        </is>
      </c>
      <c r="M748" s="9" t="inlineStr">
        <is>
          <t>PS</t>
        </is>
      </c>
      <c r="N748" s="3" t="inlineStr">
        <is>
          <t>Cold Soldering</t>
        </is>
      </c>
      <c r="O748" s="3" t="n">
        <v>570</v>
      </c>
      <c r="P748" s="9" t="inlineStr">
        <is>
          <t>NSMI24060092056</t>
        </is>
      </c>
      <c r="Q748" s="53">
        <f>MID(P748,5,2)</f>
        <v/>
      </c>
      <c r="R748" s="53">
        <f>MID(P748,7,2)</f>
        <v/>
      </c>
      <c r="S748" s="3" t="inlineStr">
        <is>
          <t>G2G</t>
        </is>
      </c>
      <c r="T748" s="3" t="inlineStr">
        <is>
          <t>P4</t>
        </is>
      </c>
      <c r="U748" s="3" t="inlineStr">
        <is>
          <t>P JB Cold Soldering</t>
        </is>
      </c>
      <c r="V748" s="3" t="inlineStr">
        <is>
          <t>Soldering</t>
        </is>
      </c>
      <c r="W748" s="3" t="inlineStr">
        <is>
          <t>Repair</t>
        </is>
      </c>
      <c r="X748" s="18" t="n">
        <v>46154</v>
      </c>
      <c r="Y748" s="73">
        <f>IF(X748="","",X748-A748)</f>
        <v/>
      </c>
      <c r="Z748" s="18" t="n">
        <v>46154</v>
      </c>
      <c r="AA748" s="15" t="n"/>
      <c r="AB748" s="15" t="n"/>
      <c r="AF748">
        <f>IF(AND($F748="Closed",$X748&gt;=DATE(2026,5,1),$X748&lt;=DATE(2026,5,31)),"Closed in May","Other")</f>
        <v/>
      </c>
    </row>
    <row r="749">
      <c r="A749" s="6" t="n">
        <v>46107</v>
      </c>
      <c r="B749" s="3" t="n">
        <v>2026</v>
      </c>
      <c r="C749" s="3" t="inlineStr">
        <is>
          <t>Blupine Energy</t>
        </is>
      </c>
      <c r="D749" s="3" t="inlineStr">
        <is>
          <t>Utility and C&amp;I</t>
        </is>
      </c>
      <c r="E749" s="3" t="n"/>
      <c r="F749" s="3" t="inlineStr">
        <is>
          <t>Closed</t>
        </is>
      </c>
      <c r="G749" s="3" t="inlineStr">
        <is>
          <t>Chandrashekar Patidar</t>
        </is>
      </c>
      <c r="H749" s="3" t="n">
        <v>7879764773</v>
      </c>
      <c r="I749" s="11" t="inlineStr">
        <is>
          <t>PE26032601</t>
        </is>
      </c>
      <c r="J749" s="3" t="inlineStr">
        <is>
          <t>Module Diode Failure</t>
        </is>
      </c>
      <c r="K749" s="3" t="inlineStr">
        <is>
          <t>Sadla</t>
        </is>
      </c>
      <c r="L749" s="3" t="inlineStr">
        <is>
          <t>Gujarat</t>
        </is>
      </c>
      <c r="M749" s="9" t="inlineStr">
        <is>
          <t>NS</t>
        </is>
      </c>
      <c r="N749" s="3" t="inlineStr">
        <is>
          <t>Cold Soldering</t>
        </is>
      </c>
      <c r="O749" s="3" t="n">
        <v>570</v>
      </c>
      <c r="P749" s="9" t="inlineStr">
        <is>
          <t>NSMI24060096933</t>
        </is>
      </c>
      <c r="Q749" s="53">
        <f>MID(P749,5,2)</f>
        <v/>
      </c>
      <c r="R749" s="53">
        <f>MID(P749,7,2)</f>
        <v/>
      </c>
      <c r="S749" s="3" t="inlineStr">
        <is>
          <t>G2G</t>
        </is>
      </c>
      <c r="T749" s="3" t="inlineStr">
        <is>
          <t>P4</t>
        </is>
      </c>
      <c r="U749" s="3" t="inlineStr">
        <is>
          <t>N JB Cold Soldering</t>
        </is>
      </c>
      <c r="V749" s="3" t="inlineStr">
        <is>
          <t>Soldering</t>
        </is>
      </c>
      <c r="W749" s="3" t="inlineStr">
        <is>
          <t>Repair</t>
        </is>
      </c>
      <c r="X749" s="18" t="n">
        <v>46154</v>
      </c>
      <c r="Y749" s="73">
        <f>IF(X749="","",X749-A749)</f>
        <v/>
      </c>
      <c r="Z749" s="18" t="n">
        <v>46154</v>
      </c>
      <c r="AA749" s="15" t="n"/>
      <c r="AB749" s="15" t="n"/>
      <c r="AF749">
        <f>IF(AND($F749="Closed",$X749&gt;=DATE(2026,5,1),$X749&lt;=DATE(2026,5,31)),"Closed in May","Other")</f>
        <v/>
      </c>
    </row>
    <row r="750">
      <c r="A750" s="6" t="n">
        <v>46107</v>
      </c>
      <c r="B750" s="3" t="n">
        <v>2026</v>
      </c>
      <c r="C750" s="3" t="inlineStr">
        <is>
          <t>Blupine Energy</t>
        </is>
      </c>
      <c r="D750" s="3" t="inlineStr">
        <is>
          <t>Utility and C&amp;I</t>
        </is>
      </c>
      <c r="E750" s="3" t="n"/>
      <c r="F750" s="3" t="inlineStr">
        <is>
          <t>Closed</t>
        </is>
      </c>
      <c r="G750" s="3" t="inlineStr">
        <is>
          <t>Chandrashekar Patidar</t>
        </is>
      </c>
      <c r="H750" s="3" t="n">
        <v>7879764773</v>
      </c>
      <c r="I750" s="11" t="inlineStr">
        <is>
          <t>PE26032601</t>
        </is>
      </c>
      <c r="J750" s="3" t="inlineStr">
        <is>
          <t>Module Diode Failure</t>
        </is>
      </c>
      <c r="K750" s="3" t="inlineStr">
        <is>
          <t>Sadla</t>
        </is>
      </c>
      <c r="L750" s="3" t="inlineStr">
        <is>
          <t>Gujarat</t>
        </is>
      </c>
      <c r="M750" s="9" t="inlineStr">
        <is>
          <t>PS</t>
        </is>
      </c>
      <c r="N750" s="3" t="inlineStr">
        <is>
          <t>Cold Soldering</t>
        </is>
      </c>
      <c r="O750" s="3" t="n">
        <v>570</v>
      </c>
      <c r="P750" s="9" t="inlineStr">
        <is>
          <t>NSMI24060098773</t>
        </is>
      </c>
      <c r="Q750" s="53">
        <f>MID(P750,5,2)</f>
        <v/>
      </c>
      <c r="R750" s="53">
        <f>MID(P750,7,2)</f>
        <v/>
      </c>
      <c r="S750" s="3" t="inlineStr">
        <is>
          <t>G2G</t>
        </is>
      </c>
      <c r="T750" s="3" t="inlineStr">
        <is>
          <t>P4</t>
        </is>
      </c>
      <c r="U750" s="3" t="inlineStr">
        <is>
          <t>P JB Cold Soldering</t>
        </is>
      </c>
      <c r="V750" s="3" t="inlineStr">
        <is>
          <t>Soldering</t>
        </is>
      </c>
      <c r="W750" s="3" t="inlineStr">
        <is>
          <t>Repair</t>
        </is>
      </c>
      <c r="X750" s="18" t="n">
        <v>46154</v>
      </c>
      <c r="Y750" s="73">
        <f>IF(X750="","",X750-A750)</f>
        <v/>
      </c>
      <c r="Z750" s="18" t="n">
        <v>46154</v>
      </c>
      <c r="AA750" s="15" t="n"/>
      <c r="AB750" s="15" t="n"/>
      <c r="AF750">
        <f>IF(AND($F750="Closed",$X750&gt;=DATE(2026,5,1),$X750&lt;=DATE(2026,5,31)),"Closed in May","Other")</f>
        <v/>
      </c>
    </row>
    <row r="751">
      <c r="A751" s="6" t="n">
        <v>46107</v>
      </c>
      <c r="B751" s="3" t="n">
        <v>2026</v>
      </c>
      <c r="C751" s="3" t="inlineStr">
        <is>
          <t>Blupine Energy</t>
        </is>
      </c>
      <c r="D751" s="3" t="inlineStr">
        <is>
          <t>Utility and C&amp;I</t>
        </is>
      </c>
      <c r="E751" s="3" t="n"/>
      <c r="F751" s="3" t="inlineStr">
        <is>
          <t>Closed</t>
        </is>
      </c>
      <c r="G751" s="3" t="inlineStr">
        <is>
          <t>Chandrashekar Patidar</t>
        </is>
      </c>
      <c r="H751" s="3" t="n">
        <v>7879764773</v>
      </c>
      <c r="I751" s="11" t="inlineStr">
        <is>
          <t>PE26032601</t>
        </is>
      </c>
      <c r="J751" s="3" t="inlineStr">
        <is>
          <t>Module Diode Failure</t>
        </is>
      </c>
      <c r="K751" s="3" t="inlineStr">
        <is>
          <t>Sadla</t>
        </is>
      </c>
      <c r="L751" s="3" t="inlineStr">
        <is>
          <t>Gujarat</t>
        </is>
      </c>
      <c r="M751" s="9" t="inlineStr">
        <is>
          <t>PS</t>
        </is>
      </c>
      <c r="N751" s="3" t="inlineStr">
        <is>
          <t>Cold Soldering</t>
        </is>
      </c>
      <c r="O751" s="3" t="n">
        <v>570</v>
      </c>
      <c r="P751" s="9" t="inlineStr">
        <is>
          <t>NSMI24060097281</t>
        </is>
      </c>
      <c r="Q751" s="53">
        <f>MID(P751,5,2)</f>
        <v/>
      </c>
      <c r="R751" s="53">
        <f>MID(P751,7,2)</f>
        <v/>
      </c>
      <c r="S751" s="3" t="inlineStr">
        <is>
          <t>G2G</t>
        </is>
      </c>
      <c r="T751" s="3" t="inlineStr">
        <is>
          <t>P4</t>
        </is>
      </c>
      <c r="U751" s="3" t="inlineStr">
        <is>
          <t>P JB Cold Soldering</t>
        </is>
      </c>
      <c r="V751" s="3" t="inlineStr">
        <is>
          <t>Soldering</t>
        </is>
      </c>
      <c r="W751" s="3" t="inlineStr">
        <is>
          <t>Repair</t>
        </is>
      </c>
      <c r="X751" s="18" t="n">
        <v>46154</v>
      </c>
      <c r="Y751" s="73">
        <f>IF(X751="","",X751-A751)</f>
        <v/>
      </c>
      <c r="Z751" s="18" t="n">
        <v>46154</v>
      </c>
      <c r="AA751" s="15" t="n"/>
      <c r="AB751" s="15" t="n"/>
      <c r="AF751">
        <f>IF(AND($F751="Closed",$X751&gt;=DATE(2026,5,1),$X751&lt;=DATE(2026,5,31)),"Closed in May","Other")</f>
        <v/>
      </c>
    </row>
    <row r="752">
      <c r="A752" s="6" t="n">
        <v>46107</v>
      </c>
      <c r="B752" s="3" t="n">
        <v>2026</v>
      </c>
      <c r="C752" s="3" t="inlineStr">
        <is>
          <t>Blupine Energy</t>
        </is>
      </c>
      <c r="D752" s="3" t="inlineStr">
        <is>
          <t>Utility and C&amp;I</t>
        </is>
      </c>
      <c r="E752" s="3" t="n"/>
      <c r="F752" s="3" t="inlineStr">
        <is>
          <t>Closed</t>
        </is>
      </c>
      <c r="G752" s="3" t="inlineStr">
        <is>
          <t>Chandrashekar Patidar</t>
        </is>
      </c>
      <c r="H752" s="3" t="n">
        <v>7879764773</v>
      </c>
      <c r="I752" s="11" t="inlineStr">
        <is>
          <t>PE26032601</t>
        </is>
      </c>
      <c r="J752" s="3" t="inlineStr">
        <is>
          <t>Module Diode Failure</t>
        </is>
      </c>
      <c r="K752" s="3" t="inlineStr">
        <is>
          <t>Sadla</t>
        </is>
      </c>
      <c r="L752" s="3" t="inlineStr">
        <is>
          <t>Gujarat</t>
        </is>
      </c>
      <c r="M752" s="9" t="inlineStr">
        <is>
          <t>PS</t>
        </is>
      </c>
      <c r="N752" s="3" t="inlineStr">
        <is>
          <t>Cold Soldering</t>
        </is>
      </c>
      <c r="O752" s="3" t="n">
        <v>570</v>
      </c>
      <c r="P752" s="9" t="inlineStr">
        <is>
          <t>NSMI24060096671</t>
        </is>
      </c>
      <c r="Q752" s="53">
        <f>MID(P752,5,2)</f>
        <v/>
      </c>
      <c r="R752" s="53">
        <f>MID(P752,7,2)</f>
        <v/>
      </c>
      <c r="S752" s="3" t="inlineStr">
        <is>
          <t>G2G</t>
        </is>
      </c>
      <c r="T752" s="3" t="inlineStr">
        <is>
          <t>P4</t>
        </is>
      </c>
      <c r="U752" s="3" t="inlineStr">
        <is>
          <t>P JB Cold Soldering</t>
        </is>
      </c>
      <c r="V752" s="3" t="inlineStr">
        <is>
          <t>Soldering</t>
        </is>
      </c>
      <c r="W752" s="3" t="inlineStr">
        <is>
          <t>Repair</t>
        </is>
      </c>
      <c r="X752" s="18" t="n">
        <v>46154</v>
      </c>
      <c r="Y752" s="73">
        <f>IF(X752="","",X752-A752)</f>
        <v/>
      </c>
      <c r="Z752" s="18" t="n">
        <v>46154</v>
      </c>
      <c r="AA752" s="15" t="n"/>
      <c r="AB752" s="15" t="n"/>
      <c r="AF752">
        <f>IF(AND($F752="Closed",$X752&gt;=DATE(2026,5,1),$X752&lt;=DATE(2026,5,31)),"Closed in May","Other")</f>
        <v/>
      </c>
    </row>
    <row r="753">
      <c r="A753" s="6" t="n">
        <v>46107</v>
      </c>
      <c r="B753" s="3" t="n">
        <v>2026</v>
      </c>
      <c r="C753" s="3" t="inlineStr">
        <is>
          <t>Blupine Energy</t>
        </is>
      </c>
      <c r="D753" s="3" t="inlineStr">
        <is>
          <t>Utility and C&amp;I</t>
        </is>
      </c>
      <c r="E753" s="3" t="n"/>
      <c r="F753" s="3" t="inlineStr">
        <is>
          <t>Closed</t>
        </is>
      </c>
      <c r="G753" s="3" t="inlineStr">
        <is>
          <t>Chandrashekar Patidar</t>
        </is>
      </c>
      <c r="H753" s="3" t="n">
        <v>7879764773</v>
      </c>
      <c r="I753" s="11" t="inlineStr">
        <is>
          <t>PE26032601</t>
        </is>
      </c>
      <c r="J753" s="3" t="inlineStr">
        <is>
          <t>Module Diode Failure</t>
        </is>
      </c>
      <c r="K753" s="3" t="inlineStr">
        <is>
          <t>Sadla</t>
        </is>
      </c>
      <c r="L753" s="3" t="inlineStr">
        <is>
          <t>Gujarat</t>
        </is>
      </c>
      <c r="M753" s="9" t="inlineStr">
        <is>
          <t>PS</t>
        </is>
      </c>
      <c r="N753" s="3" t="inlineStr">
        <is>
          <t>Cold Soldering</t>
        </is>
      </c>
      <c r="O753" s="3" t="n">
        <v>570</v>
      </c>
      <c r="P753" s="9" t="inlineStr">
        <is>
          <t>NSMI24060098798</t>
        </is>
      </c>
      <c r="Q753" s="53">
        <f>MID(P753,5,2)</f>
        <v/>
      </c>
      <c r="R753" s="53">
        <f>MID(P753,7,2)</f>
        <v/>
      </c>
      <c r="S753" s="3" t="inlineStr">
        <is>
          <t>G2G</t>
        </is>
      </c>
      <c r="T753" s="3" t="inlineStr">
        <is>
          <t>P4</t>
        </is>
      </c>
      <c r="U753" s="3" t="inlineStr">
        <is>
          <t>P JB Cold Soldering</t>
        </is>
      </c>
      <c r="V753" s="3" t="inlineStr">
        <is>
          <t>Soldering</t>
        </is>
      </c>
      <c r="W753" s="3" t="inlineStr">
        <is>
          <t>Repair</t>
        </is>
      </c>
      <c r="X753" s="18" t="n">
        <v>46154</v>
      </c>
      <c r="Y753" s="73">
        <f>IF(X753="","",X753-A753)</f>
        <v/>
      </c>
      <c r="Z753" s="18" t="n">
        <v>46154</v>
      </c>
      <c r="AA753" s="15" t="n"/>
      <c r="AB753" s="15" t="n"/>
      <c r="AF753">
        <f>IF(AND($F753="Closed",$X753&gt;=DATE(2026,5,1),$X753&lt;=DATE(2026,5,31)),"Closed in May","Other")</f>
        <v/>
      </c>
    </row>
    <row r="754">
      <c r="A754" s="6" t="n">
        <v>46107</v>
      </c>
      <c r="B754" s="3" t="n">
        <v>2026</v>
      </c>
      <c r="C754" s="3" t="inlineStr">
        <is>
          <t>Blupine Energy</t>
        </is>
      </c>
      <c r="D754" s="3" t="inlineStr">
        <is>
          <t>Utility and C&amp;I</t>
        </is>
      </c>
      <c r="E754" s="3" t="n"/>
      <c r="F754" s="3" t="inlineStr">
        <is>
          <t>Closed</t>
        </is>
      </c>
      <c r="G754" s="3" t="inlineStr">
        <is>
          <t>Chandrashekar Patidar</t>
        </is>
      </c>
      <c r="H754" s="3" t="n">
        <v>7879764773</v>
      </c>
      <c r="I754" s="11" t="inlineStr">
        <is>
          <t>PE26032601</t>
        </is>
      </c>
      <c r="J754" s="3" t="inlineStr">
        <is>
          <t>Module Diode Failure</t>
        </is>
      </c>
      <c r="K754" s="3" t="inlineStr">
        <is>
          <t>Sadla</t>
        </is>
      </c>
      <c r="L754" s="3" t="inlineStr">
        <is>
          <t>Gujarat</t>
        </is>
      </c>
      <c r="M754" s="9" t="inlineStr">
        <is>
          <t>PS</t>
        </is>
      </c>
      <c r="N754" s="3" t="inlineStr">
        <is>
          <t>Cold Soldering</t>
        </is>
      </c>
      <c r="O754" s="3" t="n">
        <v>570</v>
      </c>
      <c r="P754" s="9" t="inlineStr">
        <is>
          <t>NSMI24060090731</t>
        </is>
      </c>
      <c r="Q754" s="53">
        <f>MID(P754,5,2)</f>
        <v/>
      </c>
      <c r="R754" s="53">
        <f>MID(P754,7,2)</f>
        <v/>
      </c>
      <c r="S754" s="3" t="inlineStr">
        <is>
          <t>G2G</t>
        </is>
      </c>
      <c r="T754" s="3" t="inlineStr">
        <is>
          <t>P4</t>
        </is>
      </c>
      <c r="U754" s="3" t="inlineStr">
        <is>
          <t>P JB Cold Soldering</t>
        </is>
      </c>
      <c r="V754" s="3" t="inlineStr">
        <is>
          <t>Soldering</t>
        </is>
      </c>
      <c r="W754" s="3" t="inlineStr">
        <is>
          <t>Repair</t>
        </is>
      </c>
      <c r="X754" s="18" t="n">
        <v>46154</v>
      </c>
      <c r="Y754" s="73">
        <f>IF(X754="","",X754-A754)</f>
        <v/>
      </c>
      <c r="Z754" s="18" t="n">
        <v>46154</v>
      </c>
      <c r="AA754" s="15" t="n"/>
      <c r="AB754" s="15" t="n"/>
      <c r="AF754">
        <f>IF(AND($F754="Closed",$X754&gt;=DATE(2026,5,1),$X754&lt;=DATE(2026,5,31)),"Closed in May","Other")</f>
        <v/>
      </c>
    </row>
    <row r="755">
      <c r="A755" s="6" t="n">
        <v>46107</v>
      </c>
      <c r="B755" s="3" t="n">
        <v>2026</v>
      </c>
      <c r="C755" s="3" t="inlineStr">
        <is>
          <t>Blupine Energy</t>
        </is>
      </c>
      <c r="D755" s="3" t="inlineStr">
        <is>
          <t>Utility and C&amp;I</t>
        </is>
      </c>
      <c r="E755" s="3" t="n"/>
      <c r="F755" s="3" t="inlineStr">
        <is>
          <t>Closed</t>
        </is>
      </c>
      <c r="G755" s="3" t="inlineStr">
        <is>
          <t>Chandrashekar Patidar</t>
        </is>
      </c>
      <c r="H755" s="3" t="n">
        <v>7879764773</v>
      </c>
      <c r="I755" s="11" t="inlineStr">
        <is>
          <t>PE26032601</t>
        </is>
      </c>
      <c r="J755" s="3" t="inlineStr">
        <is>
          <t>Module Diode Failure</t>
        </is>
      </c>
      <c r="K755" s="3" t="inlineStr">
        <is>
          <t>Sadla</t>
        </is>
      </c>
      <c r="L755" s="3" t="inlineStr">
        <is>
          <t>Gujarat</t>
        </is>
      </c>
      <c r="M755" s="9" t="inlineStr">
        <is>
          <t>NS</t>
        </is>
      </c>
      <c r="N755" s="3" t="inlineStr">
        <is>
          <t>Cold Soldering</t>
        </is>
      </c>
      <c r="O755" s="3" t="n">
        <v>570</v>
      </c>
      <c r="P755" s="9" t="inlineStr">
        <is>
          <t>NSMI24060097150</t>
        </is>
      </c>
      <c r="Q755" s="53">
        <f>MID(P755,5,2)</f>
        <v/>
      </c>
      <c r="R755" s="53">
        <f>MID(P755,7,2)</f>
        <v/>
      </c>
      <c r="S755" s="3" t="inlineStr">
        <is>
          <t>G2G</t>
        </is>
      </c>
      <c r="T755" s="3" t="inlineStr">
        <is>
          <t>P4</t>
        </is>
      </c>
      <c r="U755" s="3" t="inlineStr">
        <is>
          <t>N JB Cold Soldering</t>
        </is>
      </c>
      <c r="V755" s="3" t="inlineStr">
        <is>
          <t>Soldering</t>
        </is>
      </c>
      <c r="W755" s="3" t="inlineStr">
        <is>
          <t>Repair</t>
        </is>
      </c>
      <c r="X755" s="18" t="n">
        <v>46154</v>
      </c>
      <c r="Y755" s="73">
        <f>IF(X755="","",X755-A755)</f>
        <v/>
      </c>
      <c r="Z755" s="18" t="n">
        <v>46154</v>
      </c>
      <c r="AA755" s="15" t="n"/>
      <c r="AB755" s="15" t="n"/>
      <c r="AF755">
        <f>IF(AND($F755="Closed",$X755&gt;=DATE(2026,5,1),$X755&lt;=DATE(2026,5,31)),"Closed in May","Other")</f>
        <v/>
      </c>
    </row>
    <row r="756">
      <c r="A756" s="6" t="n">
        <v>46107</v>
      </c>
      <c r="B756" s="3" t="n">
        <v>2026</v>
      </c>
      <c r="C756" s="3" t="inlineStr">
        <is>
          <t>Blupine Energy</t>
        </is>
      </c>
      <c r="D756" s="3" t="inlineStr">
        <is>
          <t>Utility and C&amp;I</t>
        </is>
      </c>
      <c r="E756" s="3" t="n"/>
      <c r="F756" s="3" t="inlineStr">
        <is>
          <t>Closed</t>
        </is>
      </c>
      <c r="G756" s="3" t="inlineStr">
        <is>
          <t>Chandrashekar Patidar</t>
        </is>
      </c>
      <c r="H756" s="3" t="n">
        <v>7879764773</v>
      </c>
      <c r="I756" s="11" t="inlineStr">
        <is>
          <t>PE26032601</t>
        </is>
      </c>
      <c r="J756" s="3" t="inlineStr">
        <is>
          <t>Module Diode Failure</t>
        </is>
      </c>
      <c r="K756" s="3" t="inlineStr">
        <is>
          <t>Sadla</t>
        </is>
      </c>
      <c r="L756" s="3" t="inlineStr">
        <is>
          <t>Gujarat</t>
        </is>
      </c>
      <c r="M756" s="9" t="inlineStr">
        <is>
          <t>PS</t>
        </is>
      </c>
      <c r="N756" s="3" t="inlineStr">
        <is>
          <t>Cold Soldering</t>
        </is>
      </c>
      <c r="O756" s="3" t="n">
        <v>570</v>
      </c>
      <c r="P756" s="9" t="inlineStr">
        <is>
          <t>NSMI24080336864</t>
        </is>
      </c>
      <c r="Q756" s="53">
        <f>MID(P756,5,2)</f>
        <v/>
      </c>
      <c r="R756" s="53">
        <f>MID(P756,7,2)</f>
        <v/>
      </c>
      <c r="S756" s="3" t="inlineStr">
        <is>
          <t>G2G</t>
        </is>
      </c>
      <c r="T756" s="3" t="inlineStr">
        <is>
          <t>P4</t>
        </is>
      </c>
      <c r="U756" s="3" t="inlineStr">
        <is>
          <t>P JB Cold Soldering</t>
        </is>
      </c>
      <c r="V756" s="3" t="inlineStr">
        <is>
          <t>Soldering</t>
        </is>
      </c>
      <c r="W756" s="3" t="inlineStr">
        <is>
          <t>Repair</t>
        </is>
      </c>
      <c r="X756" s="18" t="n">
        <v>46154</v>
      </c>
      <c r="Y756" s="73">
        <f>IF(X756="","",X756-A756)</f>
        <v/>
      </c>
      <c r="Z756" s="18" t="n">
        <v>46154</v>
      </c>
      <c r="AA756" s="15" t="n"/>
      <c r="AB756" s="15" t="n"/>
      <c r="AF756">
        <f>IF(AND($F756="Closed",$X756&gt;=DATE(2026,5,1),$X756&lt;=DATE(2026,5,31)),"Closed in May","Other")</f>
        <v/>
      </c>
    </row>
    <row r="757">
      <c r="A757" s="6" t="n">
        <v>46107</v>
      </c>
      <c r="B757" s="3" t="n">
        <v>2026</v>
      </c>
      <c r="C757" s="3" t="inlineStr">
        <is>
          <t>Blupine Energy</t>
        </is>
      </c>
      <c r="D757" s="3" t="inlineStr">
        <is>
          <t>Utility and C&amp;I</t>
        </is>
      </c>
      <c r="E757" s="3" t="n"/>
      <c r="F757" s="3" t="inlineStr">
        <is>
          <t>Closed</t>
        </is>
      </c>
      <c r="G757" s="3" t="inlineStr">
        <is>
          <t>Chandrashekar Patidar</t>
        </is>
      </c>
      <c r="H757" s="3" t="n">
        <v>7879764773</v>
      </c>
      <c r="I757" s="11" t="inlineStr">
        <is>
          <t>PE26032601</t>
        </is>
      </c>
      <c r="J757" s="3" t="inlineStr">
        <is>
          <t>Module Diode Failure</t>
        </is>
      </c>
      <c r="K757" s="3" t="inlineStr">
        <is>
          <t>Sadla</t>
        </is>
      </c>
      <c r="L757" s="3" t="inlineStr">
        <is>
          <t>Gujarat</t>
        </is>
      </c>
      <c r="M757" s="9" t="inlineStr">
        <is>
          <t>PS</t>
        </is>
      </c>
      <c r="N757" s="3" t="inlineStr">
        <is>
          <t>Cold Soldering</t>
        </is>
      </c>
      <c r="O757" s="3" t="n">
        <v>570</v>
      </c>
      <c r="P757" s="9" t="inlineStr">
        <is>
          <t>NSMI24060085131</t>
        </is>
      </c>
      <c r="Q757" s="53">
        <f>MID(P757,5,2)</f>
        <v/>
      </c>
      <c r="R757" s="53">
        <f>MID(P757,7,2)</f>
        <v/>
      </c>
      <c r="S757" s="3" t="inlineStr">
        <is>
          <t>G2G</t>
        </is>
      </c>
      <c r="T757" s="3" t="inlineStr">
        <is>
          <t>P4</t>
        </is>
      </c>
      <c r="U757" s="3" t="inlineStr">
        <is>
          <t>P JB Cold Soldering</t>
        </is>
      </c>
      <c r="V757" s="3" t="inlineStr">
        <is>
          <t>Soldering</t>
        </is>
      </c>
      <c r="W757" s="3" t="inlineStr">
        <is>
          <t>Repair</t>
        </is>
      </c>
      <c r="X757" s="18" t="n">
        <v>46154</v>
      </c>
      <c r="Y757" s="73">
        <f>IF(X757="","",X757-A757)</f>
        <v/>
      </c>
      <c r="Z757" s="18" t="n">
        <v>46154</v>
      </c>
      <c r="AA757" s="15" t="n"/>
      <c r="AB757" s="15" t="n"/>
      <c r="AF757">
        <f>IF(AND($F757="Closed",$X757&gt;=DATE(2026,5,1),$X757&lt;=DATE(2026,5,31)),"Closed in May","Other")</f>
        <v/>
      </c>
    </row>
    <row r="758">
      <c r="A758" s="6" t="n">
        <v>46107</v>
      </c>
      <c r="B758" s="3" t="n">
        <v>2026</v>
      </c>
      <c r="C758" s="3" t="inlineStr">
        <is>
          <t>Blupine Energy</t>
        </is>
      </c>
      <c r="D758" s="3" t="inlineStr">
        <is>
          <t>Utility and C&amp;I</t>
        </is>
      </c>
      <c r="E758" s="3" t="n"/>
      <c r="F758" s="3" t="inlineStr">
        <is>
          <t>Closed</t>
        </is>
      </c>
      <c r="G758" s="3" t="inlineStr">
        <is>
          <t>Chandrashekar Patidar</t>
        </is>
      </c>
      <c r="H758" s="3" t="n">
        <v>7879764773</v>
      </c>
      <c r="I758" s="11" t="inlineStr">
        <is>
          <t>PE26032601</t>
        </is>
      </c>
      <c r="J758" s="3" t="inlineStr">
        <is>
          <t>Module Diode Failure</t>
        </is>
      </c>
      <c r="K758" s="3" t="inlineStr">
        <is>
          <t>Sadla</t>
        </is>
      </c>
      <c r="L758" s="3" t="inlineStr">
        <is>
          <t>Gujarat</t>
        </is>
      </c>
      <c r="M758" s="9" t="inlineStr">
        <is>
          <t>NS</t>
        </is>
      </c>
      <c r="N758" s="3" t="inlineStr">
        <is>
          <t>Cold Soldering</t>
        </is>
      </c>
      <c r="O758" s="3" t="n">
        <v>570</v>
      </c>
      <c r="P758" s="9" t="inlineStr">
        <is>
          <t>NSMI24060081108</t>
        </is>
      </c>
      <c r="Q758" s="53">
        <f>MID(P758,5,2)</f>
        <v/>
      </c>
      <c r="R758" s="53">
        <f>MID(P758,7,2)</f>
        <v/>
      </c>
      <c r="S758" s="3" t="inlineStr">
        <is>
          <t>G2G</t>
        </is>
      </c>
      <c r="T758" s="3" t="inlineStr">
        <is>
          <t>P4</t>
        </is>
      </c>
      <c r="U758" s="3" t="inlineStr">
        <is>
          <t>N JB Cold Soldering</t>
        </is>
      </c>
      <c r="V758" s="3" t="inlineStr">
        <is>
          <t>Soldering</t>
        </is>
      </c>
      <c r="W758" s="3" t="inlineStr">
        <is>
          <t>Repair</t>
        </is>
      </c>
      <c r="X758" s="18" t="n">
        <v>46154</v>
      </c>
      <c r="Y758" s="73">
        <f>IF(X758="","",X758-A758)</f>
        <v/>
      </c>
      <c r="Z758" s="18" t="n">
        <v>46154</v>
      </c>
      <c r="AA758" s="15" t="n"/>
      <c r="AB758" s="15" t="n"/>
      <c r="AF758">
        <f>IF(AND($F758="Closed",$X758&gt;=DATE(2026,5,1),$X758&lt;=DATE(2026,5,31)),"Closed in May","Other")</f>
        <v/>
      </c>
    </row>
    <row r="759">
      <c r="A759" s="6" t="n">
        <v>46107</v>
      </c>
      <c r="B759" s="3" t="n">
        <v>2026</v>
      </c>
      <c r="C759" s="3" t="inlineStr">
        <is>
          <t>Blupine Energy</t>
        </is>
      </c>
      <c r="D759" s="3" t="inlineStr">
        <is>
          <t>Utility and C&amp;I</t>
        </is>
      </c>
      <c r="E759" s="3" t="n"/>
      <c r="F759" s="3" t="inlineStr">
        <is>
          <t>Closed</t>
        </is>
      </c>
      <c r="G759" s="3" t="inlineStr">
        <is>
          <t>Chandrashekar Patidar</t>
        </is>
      </c>
      <c r="H759" s="3" t="n">
        <v>7879764773</v>
      </c>
      <c r="I759" s="11" t="inlineStr">
        <is>
          <t>PE26032601</t>
        </is>
      </c>
      <c r="J759" s="3" t="inlineStr">
        <is>
          <t>Module Diode Failure</t>
        </is>
      </c>
      <c r="K759" s="3" t="inlineStr">
        <is>
          <t>Sadla</t>
        </is>
      </c>
      <c r="L759" s="3" t="inlineStr">
        <is>
          <t>Gujarat</t>
        </is>
      </c>
      <c r="M759" s="9" t="inlineStr">
        <is>
          <t>PS</t>
        </is>
      </c>
      <c r="N759" s="3" t="inlineStr">
        <is>
          <t>Cold Soldering</t>
        </is>
      </c>
      <c r="O759" s="3" t="n">
        <v>570</v>
      </c>
      <c r="P759" s="9" t="inlineStr">
        <is>
          <t>NSMI24060084525</t>
        </is>
      </c>
      <c r="Q759" s="53">
        <f>MID(P759,5,2)</f>
        <v/>
      </c>
      <c r="R759" s="53">
        <f>MID(P759,7,2)</f>
        <v/>
      </c>
      <c r="S759" s="3" t="inlineStr">
        <is>
          <t>G2G</t>
        </is>
      </c>
      <c r="T759" s="3" t="inlineStr">
        <is>
          <t>P4</t>
        </is>
      </c>
      <c r="U759" s="3" t="inlineStr">
        <is>
          <t>P JB Cold Soldering</t>
        </is>
      </c>
      <c r="V759" s="3" t="inlineStr">
        <is>
          <t>Soldering</t>
        </is>
      </c>
      <c r="W759" s="3" t="inlineStr">
        <is>
          <t>Repair</t>
        </is>
      </c>
      <c r="X759" s="18" t="n">
        <v>46154</v>
      </c>
      <c r="Y759" s="73">
        <f>IF(X759="","",X759-A759)</f>
        <v/>
      </c>
      <c r="Z759" s="18" t="n">
        <v>46154</v>
      </c>
      <c r="AA759" s="15" t="n"/>
      <c r="AB759" s="15" t="n"/>
      <c r="AF759">
        <f>IF(AND($F759="Closed",$X759&gt;=DATE(2026,5,1),$X759&lt;=DATE(2026,5,31)),"Closed in May","Other")</f>
        <v/>
      </c>
    </row>
    <row r="760">
      <c r="A760" s="6" t="n">
        <v>46107</v>
      </c>
      <c r="B760" s="3" t="n">
        <v>2026</v>
      </c>
      <c r="C760" s="3" t="inlineStr">
        <is>
          <t>Blupine Energy</t>
        </is>
      </c>
      <c r="D760" s="3" t="inlineStr">
        <is>
          <t>Utility and C&amp;I</t>
        </is>
      </c>
      <c r="E760" s="3" t="n"/>
      <c r="F760" s="3" t="inlineStr">
        <is>
          <t>Closed</t>
        </is>
      </c>
      <c r="G760" s="3" t="inlineStr">
        <is>
          <t>Chandrashekar Patidar</t>
        </is>
      </c>
      <c r="H760" s="3" t="n">
        <v>7879764773</v>
      </c>
      <c r="I760" s="11" t="inlineStr">
        <is>
          <t>PE26032601</t>
        </is>
      </c>
      <c r="J760" s="3" t="inlineStr">
        <is>
          <t>Module Diode Failure</t>
        </is>
      </c>
      <c r="K760" s="3" t="inlineStr">
        <is>
          <t>Sadla</t>
        </is>
      </c>
      <c r="L760" s="3" t="inlineStr">
        <is>
          <t>Gujarat</t>
        </is>
      </c>
      <c r="M760" s="9" t="inlineStr">
        <is>
          <t>NS</t>
        </is>
      </c>
      <c r="N760" s="3" t="inlineStr">
        <is>
          <t>Cold Soldering</t>
        </is>
      </c>
      <c r="O760" s="3" t="n">
        <v>570</v>
      </c>
      <c r="P760" s="9" t="inlineStr">
        <is>
          <t>NSMI24060103052</t>
        </is>
      </c>
      <c r="Q760" s="53">
        <f>MID(P760,5,2)</f>
        <v/>
      </c>
      <c r="R760" s="53">
        <f>MID(P760,7,2)</f>
        <v/>
      </c>
      <c r="S760" s="3" t="inlineStr">
        <is>
          <t>G2G</t>
        </is>
      </c>
      <c r="T760" s="3" t="inlineStr">
        <is>
          <t>P4</t>
        </is>
      </c>
      <c r="U760" s="3" t="inlineStr">
        <is>
          <t>N JB Cold Soldering</t>
        </is>
      </c>
      <c r="V760" s="3" t="inlineStr">
        <is>
          <t>Soldering</t>
        </is>
      </c>
      <c r="W760" s="3" t="inlineStr">
        <is>
          <t>Repair</t>
        </is>
      </c>
      <c r="X760" s="18" t="n">
        <v>46154</v>
      </c>
      <c r="Y760" s="73">
        <f>IF(X760="","",X760-A760)</f>
        <v/>
      </c>
      <c r="Z760" s="18" t="n">
        <v>46154</v>
      </c>
      <c r="AA760" s="15" t="n"/>
      <c r="AB760" s="15" t="n"/>
      <c r="AF760">
        <f>IF(AND($F760="Closed",$X760&gt;=DATE(2026,5,1),$X760&lt;=DATE(2026,5,31)),"Closed in May","Other")</f>
        <v/>
      </c>
    </row>
    <row r="761">
      <c r="A761" s="6" t="n">
        <v>46107</v>
      </c>
      <c r="B761" s="3" t="n">
        <v>2026</v>
      </c>
      <c r="C761" s="3" t="inlineStr">
        <is>
          <t>Blupine Energy</t>
        </is>
      </c>
      <c r="D761" s="3" t="inlineStr">
        <is>
          <t>Utility and C&amp;I</t>
        </is>
      </c>
      <c r="E761" s="3" t="n"/>
      <c r="F761" s="3" t="inlineStr">
        <is>
          <t>Closed</t>
        </is>
      </c>
      <c r="G761" s="3" t="inlineStr">
        <is>
          <t>Chandrashekar Patidar</t>
        </is>
      </c>
      <c r="H761" s="3" t="n">
        <v>7879764773</v>
      </c>
      <c r="I761" s="11" t="inlineStr">
        <is>
          <t>PE26032601</t>
        </is>
      </c>
      <c r="J761" s="3" t="inlineStr">
        <is>
          <t>Module Diode Failure</t>
        </is>
      </c>
      <c r="K761" s="3" t="inlineStr">
        <is>
          <t>Sadla</t>
        </is>
      </c>
      <c r="L761" s="3" t="inlineStr">
        <is>
          <t>Gujarat</t>
        </is>
      </c>
      <c r="M761" s="9" t="inlineStr">
        <is>
          <t>PNS</t>
        </is>
      </c>
      <c r="N761" s="3" t="inlineStr">
        <is>
          <t>Cold Soldering</t>
        </is>
      </c>
      <c r="O761" s="3" t="n">
        <v>570</v>
      </c>
      <c r="P761" s="9" t="inlineStr">
        <is>
          <t>NSMI24050054078</t>
        </is>
      </c>
      <c r="Q761" s="53">
        <f>MID(P761,5,2)</f>
        <v/>
      </c>
      <c r="R761" s="53">
        <f>MID(P761,7,2)</f>
        <v/>
      </c>
      <c r="S761" s="3" t="inlineStr">
        <is>
          <t>G2G</t>
        </is>
      </c>
      <c r="T761" s="3" t="inlineStr">
        <is>
          <t>P4</t>
        </is>
      </c>
      <c r="U761" s="3" t="inlineStr">
        <is>
          <t>P &amp; N JB Cold Soldering</t>
        </is>
      </c>
      <c r="V761" s="3" t="inlineStr">
        <is>
          <t>Soldering</t>
        </is>
      </c>
      <c r="W761" s="3" t="inlineStr">
        <is>
          <t>Repair</t>
        </is>
      </c>
      <c r="X761" s="18" t="n">
        <v>46154</v>
      </c>
      <c r="Y761" s="73">
        <f>IF(X761="","",X761-A761)</f>
        <v/>
      </c>
      <c r="Z761" s="18" t="n">
        <v>46154</v>
      </c>
      <c r="AA761" s="15" t="n"/>
      <c r="AB761" s="15" t="n"/>
      <c r="AF761">
        <f>IF(AND($F761="Closed",$X761&gt;=DATE(2026,5,1),$X761&lt;=DATE(2026,5,31)),"Closed in May","Other")</f>
        <v/>
      </c>
    </row>
    <row r="762">
      <c r="A762" s="6" t="n">
        <v>46107</v>
      </c>
      <c r="B762" s="3" t="n">
        <v>2026</v>
      </c>
      <c r="C762" s="3" t="inlineStr">
        <is>
          <t>Blupine Energy</t>
        </is>
      </c>
      <c r="D762" s="3" t="inlineStr">
        <is>
          <t>Utility and C&amp;I</t>
        </is>
      </c>
      <c r="E762" s="3" t="n"/>
      <c r="F762" s="3" t="inlineStr">
        <is>
          <t>Closed</t>
        </is>
      </c>
      <c r="G762" s="3" t="inlineStr">
        <is>
          <t>Chandrashekar Patidar</t>
        </is>
      </c>
      <c r="H762" s="3" t="n">
        <v>7879764773</v>
      </c>
      <c r="I762" s="11" t="inlineStr">
        <is>
          <t>PE26032601</t>
        </is>
      </c>
      <c r="J762" s="3" t="inlineStr">
        <is>
          <t>Module Diode Failure</t>
        </is>
      </c>
      <c r="K762" s="3" t="inlineStr">
        <is>
          <t>Sadla</t>
        </is>
      </c>
      <c r="L762" s="3" t="inlineStr">
        <is>
          <t>Gujarat</t>
        </is>
      </c>
      <c r="M762" s="9" t="inlineStr">
        <is>
          <t>PS</t>
        </is>
      </c>
      <c r="N762" s="3" t="inlineStr">
        <is>
          <t>Cold Soldering</t>
        </is>
      </c>
      <c r="O762" s="3" t="n">
        <v>570</v>
      </c>
      <c r="P762" s="9" t="inlineStr">
        <is>
          <t>NSMI24050061553</t>
        </is>
      </c>
      <c r="Q762" s="53">
        <f>MID(P762,5,2)</f>
        <v/>
      </c>
      <c r="R762" s="53">
        <f>MID(P762,7,2)</f>
        <v/>
      </c>
      <c r="S762" s="3" t="inlineStr">
        <is>
          <t>G2G</t>
        </is>
      </c>
      <c r="T762" s="3" t="inlineStr">
        <is>
          <t>P4</t>
        </is>
      </c>
      <c r="U762" s="3" t="inlineStr">
        <is>
          <t>P JB Cold Soldering</t>
        </is>
      </c>
      <c r="V762" s="3" t="inlineStr">
        <is>
          <t>Soldering</t>
        </is>
      </c>
      <c r="W762" s="3" t="inlineStr">
        <is>
          <t>Repair</t>
        </is>
      </c>
      <c r="X762" s="18" t="n">
        <v>46154</v>
      </c>
      <c r="Y762" s="73">
        <f>IF(X762="","",X762-A762)</f>
        <v/>
      </c>
      <c r="Z762" s="18" t="n">
        <v>46154</v>
      </c>
      <c r="AA762" s="15" t="n"/>
      <c r="AB762" s="15" t="n"/>
      <c r="AF762">
        <f>IF(AND($F762="Closed",$X762&gt;=DATE(2026,5,1),$X762&lt;=DATE(2026,5,31)),"Closed in May","Other")</f>
        <v/>
      </c>
    </row>
    <row r="763">
      <c r="A763" s="6" t="n">
        <v>46107</v>
      </c>
      <c r="B763" s="3" t="n">
        <v>2026</v>
      </c>
      <c r="C763" s="3" t="inlineStr">
        <is>
          <t>Blupine Energy</t>
        </is>
      </c>
      <c r="D763" s="3" t="inlineStr">
        <is>
          <t>Utility and C&amp;I</t>
        </is>
      </c>
      <c r="E763" s="3" t="n"/>
      <c r="F763" s="3" t="inlineStr">
        <is>
          <t>Closed</t>
        </is>
      </c>
      <c r="G763" s="3" t="inlineStr">
        <is>
          <t>Chandrashekar Patidar</t>
        </is>
      </c>
      <c r="H763" s="3" t="n">
        <v>7879764773</v>
      </c>
      <c r="I763" s="11" t="inlineStr">
        <is>
          <t>PE26032601</t>
        </is>
      </c>
      <c r="J763" s="3" t="inlineStr">
        <is>
          <t>Module Diode Failure</t>
        </is>
      </c>
      <c r="K763" s="3" t="inlineStr">
        <is>
          <t>Sadla</t>
        </is>
      </c>
      <c r="L763" s="3" t="inlineStr">
        <is>
          <t>Gujarat</t>
        </is>
      </c>
      <c r="M763" s="9" t="inlineStr">
        <is>
          <t>NS</t>
        </is>
      </c>
      <c r="N763" s="3" t="inlineStr">
        <is>
          <t>Cold Soldering</t>
        </is>
      </c>
      <c r="O763" s="3" t="n">
        <v>570</v>
      </c>
      <c r="P763" s="9" t="inlineStr">
        <is>
          <t>NSMI24060098054</t>
        </is>
      </c>
      <c r="Q763" s="53">
        <f>MID(P763,5,2)</f>
        <v/>
      </c>
      <c r="R763" s="53">
        <f>MID(P763,7,2)</f>
        <v/>
      </c>
      <c r="S763" s="3" t="inlineStr">
        <is>
          <t>G2G</t>
        </is>
      </c>
      <c r="T763" s="3" t="inlineStr">
        <is>
          <t>P4</t>
        </is>
      </c>
      <c r="U763" s="3" t="inlineStr">
        <is>
          <t>N JB Cold Soldering</t>
        </is>
      </c>
      <c r="V763" s="3" t="inlineStr">
        <is>
          <t>Soldering</t>
        </is>
      </c>
      <c r="W763" s="3" t="inlineStr">
        <is>
          <t>Repair</t>
        </is>
      </c>
      <c r="X763" s="18" t="n">
        <v>46154</v>
      </c>
      <c r="Y763" s="73">
        <f>IF(X763="","",X763-A763)</f>
        <v/>
      </c>
      <c r="Z763" s="18" t="n">
        <v>46154</v>
      </c>
      <c r="AA763" s="15" t="n"/>
      <c r="AB763" s="15" t="n"/>
      <c r="AF763">
        <f>IF(AND($F763="Closed",$X763&gt;=DATE(2026,5,1),$X763&lt;=DATE(2026,5,31)),"Closed in May","Other")</f>
        <v/>
      </c>
    </row>
    <row r="764">
      <c r="A764" s="6" t="n">
        <v>46107</v>
      </c>
      <c r="B764" s="3" t="n">
        <v>2026</v>
      </c>
      <c r="C764" s="3" t="inlineStr">
        <is>
          <t>Blupine Energy</t>
        </is>
      </c>
      <c r="D764" s="3" t="inlineStr">
        <is>
          <t>Utility and C&amp;I</t>
        </is>
      </c>
      <c r="E764" s="3" t="n"/>
      <c r="F764" s="3" t="inlineStr">
        <is>
          <t>Closed</t>
        </is>
      </c>
      <c r="G764" s="3" t="inlineStr">
        <is>
          <t>Chandrashekar Patidar</t>
        </is>
      </c>
      <c r="H764" s="3" t="n">
        <v>7879764773</v>
      </c>
      <c r="I764" s="11" t="inlineStr">
        <is>
          <t>PE26032601</t>
        </is>
      </c>
      <c r="J764" s="3" t="inlineStr">
        <is>
          <t>Module Diode Failure</t>
        </is>
      </c>
      <c r="K764" s="3" t="inlineStr">
        <is>
          <t>Sadla</t>
        </is>
      </c>
      <c r="L764" s="3" t="inlineStr">
        <is>
          <t>Gujarat</t>
        </is>
      </c>
      <c r="M764" s="9" t="inlineStr">
        <is>
          <t>NS</t>
        </is>
      </c>
      <c r="N764" s="3" t="inlineStr">
        <is>
          <t>Cold Soldering</t>
        </is>
      </c>
      <c r="O764" s="3" t="n">
        <v>570</v>
      </c>
      <c r="P764" s="9" t="inlineStr">
        <is>
          <t>NSMI24060090885</t>
        </is>
      </c>
      <c r="Q764" s="53">
        <f>MID(P764,5,2)</f>
        <v/>
      </c>
      <c r="R764" s="53">
        <f>MID(P764,7,2)</f>
        <v/>
      </c>
      <c r="S764" s="3" t="inlineStr">
        <is>
          <t>G2G</t>
        </is>
      </c>
      <c r="T764" s="3" t="inlineStr">
        <is>
          <t>P4</t>
        </is>
      </c>
      <c r="U764" s="3" t="inlineStr">
        <is>
          <t>N JB Cold Soldering</t>
        </is>
      </c>
      <c r="V764" s="3" t="inlineStr">
        <is>
          <t>Soldering</t>
        </is>
      </c>
      <c r="W764" s="3" t="inlineStr">
        <is>
          <t>Repair</t>
        </is>
      </c>
      <c r="X764" s="18" t="n">
        <v>46154</v>
      </c>
      <c r="Y764" s="73">
        <f>IF(X764="","",X764-A764)</f>
        <v/>
      </c>
      <c r="Z764" s="18" t="n">
        <v>46154</v>
      </c>
      <c r="AA764" s="15" t="n"/>
      <c r="AB764" s="15" t="n"/>
      <c r="AF764">
        <f>IF(AND($F764="Closed",$X764&gt;=DATE(2026,5,1),$X764&lt;=DATE(2026,5,31)),"Closed in May","Other")</f>
        <v/>
      </c>
    </row>
    <row r="765">
      <c r="A765" s="6" t="n">
        <v>46107</v>
      </c>
      <c r="B765" s="3" t="n">
        <v>2026</v>
      </c>
      <c r="C765" s="3" t="inlineStr">
        <is>
          <t>Blupine Energy</t>
        </is>
      </c>
      <c r="D765" s="3" t="inlineStr">
        <is>
          <t>Utility and C&amp;I</t>
        </is>
      </c>
      <c r="E765" s="3" t="n"/>
      <c r="F765" s="3" t="inlineStr">
        <is>
          <t>Closed</t>
        </is>
      </c>
      <c r="G765" s="3" t="inlineStr">
        <is>
          <t>Chandrashekar Patidar</t>
        </is>
      </c>
      <c r="H765" s="3" t="n">
        <v>7879764773</v>
      </c>
      <c r="I765" s="11" t="inlineStr">
        <is>
          <t>PE26032601</t>
        </is>
      </c>
      <c r="J765" s="3" t="inlineStr">
        <is>
          <t>Module Diode Failure</t>
        </is>
      </c>
      <c r="K765" s="3" t="inlineStr">
        <is>
          <t>Sadla</t>
        </is>
      </c>
      <c r="L765" s="3" t="inlineStr">
        <is>
          <t>Gujarat</t>
        </is>
      </c>
      <c r="M765" s="9" t="inlineStr">
        <is>
          <t>NS</t>
        </is>
      </c>
      <c r="N765" s="3" t="inlineStr">
        <is>
          <t>Cold Soldering</t>
        </is>
      </c>
      <c r="O765" s="3" t="n">
        <v>570</v>
      </c>
      <c r="P765" s="9" t="inlineStr">
        <is>
          <t>NSMI24060117565</t>
        </is>
      </c>
      <c r="Q765" s="53">
        <f>MID(P765,5,2)</f>
        <v/>
      </c>
      <c r="R765" s="53">
        <f>MID(P765,7,2)</f>
        <v/>
      </c>
      <c r="S765" s="3" t="inlineStr">
        <is>
          <t>G2G</t>
        </is>
      </c>
      <c r="T765" s="3" t="inlineStr">
        <is>
          <t>P4</t>
        </is>
      </c>
      <c r="U765" s="3" t="inlineStr">
        <is>
          <t>N JB Cold Soldering</t>
        </is>
      </c>
      <c r="V765" s="3" t="inlineStr">
        <is>
          <t>Soldering</t>
        </is>
      </c>
      <c r="W765" s="3" t="inlineStr">
        <is>
          <t>Repair</t>
        </is>
      </c>
      <c r="X765" s="18" t="n">
        <v>46154</v>
      </c>
      <c r="Y765" s="73">
        <f>IF(X765="","",X765-A765)</f>
        <v/>
      </c>
      <c r="Z765" s="18" t="n">
        <v>46154</v>
      </c>
      <c r="AA765" s="15" t="n"/>
      <c r="AB765" s="15" t="n"/>
      <c r="AF765">
        <f>IF(AND($F765="Closed",$X765&gt;=DATE(2026,5,1),$X765&lt;=DATE(2026,5,31)),"Closed in May","Other")</f>
        <v/>
      </c>
    </row>
    <row r="766">
      <c r="A766" s="6" t="n">
        <v>46107</v>
      </c>
      <c r="B766" s="3" t="n">
        <v>2026</v>
      </c>
      <c r="C766" s="3" t="inlineStr">
        <is>
          <t>Blupine Energy</t>
        </is>
      </c>
      <c r="D766" s="3" t="inlineStr">
        <is>
          <t>Utility and C&amp;I</t>
        </is>
      </c>
      <c r="E766" s="3" t="n"/>
      <c r="F766" s="3" t="inlineStr">
        <is>
          <t>Closed</t>
        </is>
      </c>
      <c r="G766" s="3" t="inlineStr">
        <is>
          <t>Chandrashekar Patidar</t>
        </is>
      </c>
      <c r="H766" s="3" t="n">
        <v>7879764773</v>
      </c>
      <c r="I766" s="11" t="inlineStr">
        <is>
          <t>PE26032601</t>
        </is>
      </c>
      <c r="J766" s="3" t="inlineStr">
        <is>
          <t>Module Diode Failure</t>
        </is>
      </c>
      <c r="K766" s="3" t="inlineStr">
        <is>
          <t>Sadla</t>
        </is>
      </c>
      <c r="L766" s="3" t="inlineStr">
        <is>
          <t>Gujarat</t>
        </is>
      </c>
      <c r="M766" s="9" t="inlineStr">
        <is>
          <t>NS</t>
        </is>
      </c>
      <c r="N766" s="3" t="inlineStr">
        <is>
          <t>Cold Soldering</t>
        </is>
      </c>
      <c r="O766" s="3" t="n">
        <v>570</v>
      </c>
      <c r="P766" s="9" t="inlineStr">
        <is>
          <t>NSMI24060115942</t>
        </is>
      </c>
      <c r="Q766" s="53">
        <f>MID(P766,5,2)</f>
        <v/>
      </c>
      <c r="R766" s="53">
        <f>MID(P766,7,2)</f>
        <v/>
      </c>
      <c r="S766" s="3" t="inlineStr">
        <is>
          <t>G2G</t>
        </is>
      </c>
      <c r="T766" s="3" t="inlineStr">
        <is>
          <t>P4</t>
        </is>
      </c>
      <c r="U766" s="3" t="inlineStr">
        <is>
          <t>N JB Cold Soldering</t>
        </is>
      </c>
      <c r="V766" s="3" t="inlineStr">
        <is>
          <t>Soldering</t>
        </is>
      </c>
      <c r="W766" s="3" t="inlineStr">
        <is>
          <t>Repair</t>
        </is>
      </c>
      <c r="X766" s="18" t="n">
        <v>46154</v>
      </c>
      <c r="Y766" s="73">
        <f>IF(X766="","",X766-A766)</f>
        <v/>
      </c>
      <c r="Z766" s="18" t="n">
        <v>46154</v>
      </c>
      <c r="AA766" s="15" t="n"/>
      <c r="AB766" s="15" t="n"/>
      <c r="AF766">
        <f>IF(AND($F766="Closed",$X766&gt;=DATE(2026,5,1),$X766&lt;=DATE(2026,5,31)),"Closed in May","Other")</f>
        <v/>
      </c>
    </row>
    <row r="767">
      <c r="A767" s="6" t="n">
        <v>46107</v>
      </c>
      <c r="B767" s="3" t="n">
        <v>2026</v>
      </c>
      <c r="C767" s="3" t="inlineStr">
        <is>
          <t>Blupine Energy</t>
        </is>
      </c>
      <c r="D767" s="3" t="inlineStr">
        <is>
          <t>Utility and C&amp;I</t>
        </is>
      </c>
      <c r="E767" s="3" t="n"/>
      <c r="F767" s="3" t="inlineStr">
        <is>
          <t>Closed</t>
        </is>
      </c>
      <c r="G767" s="3" t="inlineStr">
        <is>
          <t>Chandrashekar Patidar</t>
        </is>
      </c>
      <c r="H767" s="3" t="n">
        <v>7879764773</v>
      </c>
      <c r="I767" s="11" t="inlineStr">
        <is>
          <t>PE26032601</t>
        </is>
      </c>
      <c r="J767" s="3" t="inlineStr">
        <is>
          <t>Module Diode Failure</t>
        </is>
      </c>
      <c r="K767" s="3" t="inlineStr">
        <is>
          <t>Sadla</t>
        </is>
      </c>
      <c r="L767" s="3" t="inlineStr">
        <is>
          <t>Gujarat</t>
        </is>
      </c>
      <c r="M767" s="9" t="inlineStr">
        <is>
          <t>Ok</t>
        </is>
      </c>
      <c r="N767" s="3" t="inlineStr">
        <is>
          <t>No Issue</t>
        </is>
      </c>
      <c r="O767" s="3" t="n">
        <v>570</v>
      </c>
      <c r="P767" s="9" t="inlineStr">
        <is>
          <t>NSMI24050050633</t>
        </is>
      </c>
      <c r="Q767" s="53">
        <f>MID(P767,5,2)</f>
        <v/>
      </c>
      <c r="R767" s="53">
        <f>MID(P767,7,2)</f>
        <v/>
      </c>
      <c r="S767" s="3" t="inlineStr">
        <is>
          <t>G2G</t>
        </is>
      </c>
      <c r="T767" s="3" t="inlineStr">
        <is>
          <t>P4</t>
        </is>
      </c>
      <c r="U767" s="19" t="inlineStr">
        <is>
          <t>No Issue Found</t>
        </is>
      </c>
      <c r="V767" s="19" t="inlineStr">
        <is>
          <t>Found OK</t>
        </is>
      </c>
      <c r="W767" s="3" t="inlineStr">
        <is>
          <t>Repair</t>
        </is>
      </c>
      <c r="X767" s="18" t="n">
        <v>46154</v>
      </c>
      <c r="Y767" s="73">
        <f>IF(X767="","",X767-A767)</f>
        <v/>
      </c>
      <c r="Z767" s="18" t="n">
        <v>46154</v>
      </c>
      <c r="AA767" s="15" t="n"/>
      <c r="AB767" s="15" t="n"/>
      <c r="AF767">
        <f>IF(AND($F767="Closed",$X767&gt;=DATE(2026,5,1),$X767&lt;=DATE(2026,5,31)),"Closed in May","Other")</f>
        <v/>
      </c>
    </row>
    <row r="768">
      <c r="A768" s="6" t="n">
        <v>46107</v>
      </c>
      <c r="B768" s="3" t="n">
        <v>2026</v>
      </c>
      <c r="C768" s="3" t="inlineStr">
        <is>
          <t>Blupine Energy</t>
        </is>
      </c>
      <c r="D768" s="3" t="inlineStr">
        <is>
          <t>Utility and C&amp;I</t>
        </is>
      </c>
      <c r="E768" s="3" t="n"/>
      <c r="F768" s="3" t="inlineStr">
        <is>
          <t>Closed</t>
        </is>
      </c>
      <c r="G768" s="3" t="inlineStr">
        <is>
          <t>Chandrashekar Patidar</t>
        </is>
      </c>
      <c r="H768" s="3" t="n">
        <v>7879764773</v>
      </c>
      <c r="I768" s="11" t="inlineStr">
        <is>
          <t>PE26032601</t>
        </is>
      </c>
      <c r="J768" s="3" t="inlineStr">
        <is>
          <t>Module Diode Failure</t>
        </is>
      </c>
      <c r="K768" s="3" t="inlineStr">
        <is>
          <t>Sadla</t>
        </is>
      </c>
      <c r="L768" s="3" t="inlineStr">
        <is>
          <t>Gujarat</t>
        </is>
      </c>
      <c r="M768" s="9" t="inlineStr">
        <is>
          <t>NR</t>
        </is>
      </c>
      <c r="N768" s="3" t="inlineStr">
        <is>
          <t>JB Issue</t>
        </is>
      </c>
      <c r="O768" s="3" t="n">
        <v>570</v>
      </c>
      <c r="P768" s="9" t="inlineStr">
        <is>
          <t>NSMI24050048937</t>
        </is>
      </c>
      <c r="Q768" s="53">
        <f>MID(P768,5,2)</f>
        <v/>
      </c>
      <c r="R768" s="53">
        <f>MID(P768,7,2)</f>
        <v/>
      </c>
      <c r="S768" s="3" t="inlineStr">
        <is>
          <t>G2G</t>
        </is>
      </c>
      <c r="T768" s="3" t="inlineStr">
        <is>
          <t>P4</t>
        </is>
      </c>
      <c r="U768" s="3" t="inlineStr">
        <is>
          <t>N JB Issue</t>
        </is>
      </c>
      <c r="V768" s="3" t="inlineStr">
        <is>
          <t>JB Changed</t>
        </is>
      </c>
      <c r="W768" s="3" t="inlineStr">
        <is>
          <t>Repair</t>
        </is>
      </c>
      <c r="X768" s="18" t="n">
        <v>46154</v>
      </c>
      <c r="Y768" s="73">
        <f>IF(X768="","",X768-A768)</f>
        <v/>
      </c>
      <c r="Z768" s="18" t="n">
        <v>46154</v>
      </c>
      <c r="AA768" s="15" t="n"/>
      <c r="AB768" s="15" t="n"/>
      <c r="AF768">
        <f>IF(AND($F768="Closed",$X768&gt;=DATE(2026,5,1),$X768&lt;=DATE(2026,5,31)),"Closed in May","Other")</f>
        <v/>
      </c>
    </row>
    <row r="769">
      <c r="A769" s="6" t="n">
        <v>46107</v>
      </c>
      <c r="B769" s="3" t="n">
        <v>2026</v>
      </c>
      <c r="C769" s="3" t="inlineStr">
        <is>
          <t>Blupine Energy</t>
        </is>
      </c>
      <c r="D769" s="3" t="inlineStr">
        <is>
          <t>Utility and C&amp;I</t>
        </is>
      </c>
      <c r="E769" s="3" t="n"/>
      <c r="F769" s="3" t="inlineStr">
        <is>
          <t>Closed</t>
        </is>
      </c>
      <c r="G769" s="3" t="inlineStr">
        <is>
          <t>Chandrashekar Patidar</t>
        </is>
      </c>
      <c r="H769" s="3" t="n">
        <v>7879764773</v>
      </c>
      <c r="I769" s="11" t="inlineStr">
        <is>
          <t>PE26032601</t>
        </is>
      </c>
      <c r="J769" s="3" t="inlineStr">
        <is>
          <t>Module Diode Failure</t>
        </is>
      </c>
      <c r="K769" s="3" t="inlineStr">
        <is>
          <t>Sadla</t>
        </is>
      </c>
      <c r="L769" s="3" t="inlineStr">
        <is>
          <t>Gujarat</t>
        </is>
      </c>
      <c r="M769" s="9" t="inlineStr">
        <is>
          <t>NS</t>
        </is>
      </c>
      <c r="N769" s="3" t="inlineStr">
        <is>
          <t>Cold Soldering</t>
        </is>
      </c>
      <c r="O769" s="3" t="n">
        <v>570</v>
      </c>
      <c r="P769" s="9" t="inlineStr">
        <is>
          <t>NSMI24050049070</t>
        </is>
      </c>
      <c r="Q769" s="53">
        <f>MID(P769,5,2)</f>
        <v/>
      </c>
      <c r="R769" s="53">
        <f>MID(P769,7,2)</f>
        <v/>
      </c>
      <c r="S769" s="3" t="inlineStr">
        <is>
          <t>G2G</t>
        </is>
      </c>
      <c r="T769" s="3" t="inlineStr">
        <is>
          <t>P4</t>
        </is>
      </c>
      <c r="U769" s="3" t="inlineStr">
        <is>
          <t>N JB Cold Soldering</t>
        </is>
      </c>
      <c r="V769" s="3" t="inlineStr">
        <is>
          <t>Soldering</t>
        </is>
      </c>
      <c r="W769" s="3" t="inlineStr">
        <is>
          <t>Repair</t>
        </is>
      </c>
      <c r="X769" s="18" t="n">
        <v>46154</v>
      </c>
      <c r="Y769" s="73">
        <f>IF(X769="","",X769-A769)</f>
        <v/>
      </c>
      <c r="Z769" s="18" t="n">
        <v>46154</v>
      </c>
      <c r="AA769" s="15" t="n"/>
      <c r="AB769" s="15" t="n"/>
      <c r="AF769">
        <f>IF(AND($F769="Closed",$X769&gt;=DATE(2026,5,1),$X769&lt;=DATE(2026,5,31)),"Closed in May","Other")</f>
        <v/>
      </c>
    </row>
    <row r="770">
      <c r="A770" s="6" t="n">
        <v>46107</v>
      </c>
      <c r="B770" s="3" t="n">
        <v>2026</v>
      </c>
      <c r="C770" s="3" t="inlineStr">
        <is>
          <t>Blupine Energy</t>
        </is>
      </c>
      <c r="D770" s="3" t="inlineStr">
        <is>
          <t>Utility and C&amp;I</t>
        </is>
      </c>
      <c r="E770" s="3" t="n"/>
      <c r="F770" s="3" t="inlineStr">
        <is>
          <t>Closed</t>
        </is>
      </c>
      <c r="G770" s="3" t="inlineStr">
        <is>
          <t>Chandrashekar Patidar</t>
        </is>
      </c>
      <c r="H770" s="3" t="n">
        <v>7879764773</v>
      </c>
      <c r="I770" s="11" t="inlineStr">
        <is>
          <t>PE26032601</t>
        </is>
      </c>
      <c r="J770" s="3" t="inlineStr">
        <is>
          <t>Module Diode Failure</t>
        </is>
      </c>
      <c r="K770" s="3" t="inlineStr">
        <is>
          <t>Sadla</t>
        </is>
      </c>
      <c r="L770" s="3" t="inlineStr">
        <is>
          <t>Gujarat</t>
        </is>
      </c>
      <c r="M770" s="9" t="inlineStr">
        <is>
          <t>PS</t>
        </is>
      </c>
      <c r="N770" s="3" t="inlineStr">
        <is>
          <t>Cold Soldering</t>
        </is>
      </c>
      <c r="O770" s="3" t="n">
        <v>570</v>
      </c>
      <c r="P770" s="9" t="inlineStr">
        <is>
          <t>NSMI24060083046</t>
        </is>
      </c>
      <c r="Q770" s="53">
        <f>MID(P770,5,2)</f>
        <v/>
      </c>
      <c r="R770" s="53">
        <f>MID(P770,7,2)</f>
        <v/>
      </c>
      <c r="S770" s="3" t="inlineStr">
        <is>
          <t>G2G</t>
        </is>
      </c>
      <c r="T770" s="3" t="inlineStr">
        <is>
          <t>P4</t>
        </is>
      </c>
      <c r="U770" s="3" t="inlineStr">
        <is>
          <t>P JB Cold Soldering</t>
        </is>
      </c>
      <c r="V770" s="3" t="inlineStr">
        <is>
          <t>Soldering</t>
        </is>
      </c>
      <c r="W770" s="3" t="inlineStr">
        <is>
          <t>Repair</t>
        </is>
      </c>
      <c r="X770" s="18" t="n">
        <v>46154</v>
      </c>
      <c r="Y770" s="73">
        <f>IF(X770="","",X770-A770)</f>
        <v/>
      </c>
      <c r="Z770" s="18" t="n">
        <v>46154</v>
      </c>
      <c r="AA770" s="15" t="n"/>
      <c r="AB770" s="15" t="n"/>
      <c r="AF770">
        <f>IF(AND($F770="Closed",$X770&gt;=DATE(2026,5,1),$X770&lt;=DATE(2026,5,31)),"Closed in May","Other")</f>
        <v/>
      </c>
    </row>
    <row r="771">
      <c r="A771" s="6" t="n">
        <v>46107</v>
      </c>
      <c r="B771" s="3" t="n">
        <v>2026</v>
      </c>
      <c r="C771" s="3" t="inlineStr">
        <is>
          <t>Blupine Energy</t>
        </is>
      </c>
      <c r="D771" s="3" t="inlineStr">
        <is>
          <t>Utility and C&amp;I</t>
        </is>
      </c>
      <c r="E771" s="3" t="n"/>
      <c r="F771" s="3" t="inlineStr">
        <is>
          <t>Closed</t>
        </is>
      </c>
      <c r="G771" s="3" t="inlineStr">
        <is>
          <t>Chandrashekar Patidar</t>
        </is>
      </c>
      <c r="H771" s="3" t="n">
        <v>7879764773</v>
      </c>
      <c r="I771" s="11" t="inlineStr">
        <is>
          <t>PE26032601</t>
        </is>
      </c>
      <c r="J771" s="3" t="inlineStr">
        <is>
          <t>Module Diode Failure</t>
        </is>
      </c>
      <c r="K771" s="3" t="inlineStr">
        <is>
          <t>Sadla</t>
        </is>
      </c>
      <c r="L771" s="3" t="inlineStr">
        <is>
          <t>Gujarat</t>
        </is>
      </c>
      <c r="M771" s="9" t="inlineStr">
        <is>
          <t>NR</t>
        </is>
      </c>
      <c r="N771" s="3" t="inlineStr">
        <is>
          <t>JB Issue</t>
        </is>
      </c>
      <c r="O771" s="3" t="n">
        <v>570</v>
      </c>
      <c r="P771" s="9" t="inlineStr">
        <is>
          <t>NSMI24060077129</t>
        </is>
      </c>
      <c r="Q771" s="53">
        <f>MID(P771,5,2)</f>
        <v/>
      </c>
      <c r="R771" s="53">
        <f>MID(P771,7,2)</f>
        <v/>
      </c>
      <c r="S771" s="3" t="inlineStr">
        <is>
          <t>G2G</t>
        </is>
      </c>
      <c r="T771" s="3" t="inlineStr">
        <is>
          <t>P4</t>
        </is>
      </c>
      <c r="U771" s="3" t="inlineStr">
        <is>
          <t>N JB Issue</t>
        </is>
      </c>
      <c r="V771" s="3" t="inlineStr">
        <is>
          <t>JB Changed</t>
        </is>
      </c>
      <c r="W771" s="3" t="inlineStr">
        <is>
          <t>Repair</t>
        </is>
      </c>
      <c r="X771" s="18" t="n">
        <v>46154</v>
      </c>
      <c r="Y771" s="73">
        <f>IF(X771="","",X771-A771)</f>
        <v/>
      </c>
      <c r="Z771" s="18" t="n">
        <v>46154</v>
      </c>
      <c r="AA771" s="15" t="n"/>
      <c r="AB771" s="15" t="n"/>
      <c r="AF771">
        <f>IF(AND($F771="Closed",$X771&gt;=DATE(2026,5,1),$X771&lt;=DATE(2026,5,31)),"Closed in May","Other")</f>
        <v/>
      </c>
    </row>
    <row r="772">
      <c r="A772" s="6" t="n">
        <v>46107</v>
      </c>
      <c r="B772" s="3" t="n">
        <v>2026</v>
      </c>
      <c r="C772" s="3" t="inlineStr">
        <is>
          <t>Blupine Energy</t>
        </is>
      </c>
      <c r="D772" s="3" t="inlineStr">
        <is>
          <t>Utility and C&amp;I</t>
        </is>
      </c>
      <c r="E772" s="3" t="n"/>
      <c r="F772" s="3" t="inlineStr">
        <is>
          <t>Closed</t>
        </is>
      </c>
      <c r="G772" s="3" t="inlineStr">
        <is>
          <t>Chandrashekar Patidar</t>
        </is>
      </c>
      <c r="H772" s="3" t="n">
        <v>7879764773</v>
      </c>
      <c r="I772" s="11" t="inlineStr">
        <is>
          <t>PE26032601</t>
        </is>
      </c>
      <c r="J772" s="3" t="inlineStr">
        <is>
          <t>Module Diode Failure</t>
        </is>
      </c>
      <c r="K772" s="3" t="inlineStr">
        <is>
          <t>Sadla</t>
        </is>
      </c>
      <c r="L772" s="3" t="inlineStr">
        <is>
          <t>Gujarat</t>
        </is>
      </c>
      <c r="M772" s="9" t="inlineStr">
        <is>
          <t>NS</t>
        </is>
      </c>
      <c r="N772" s="3" t="inlineStr">
        <is>
          <t>Cold Soldering</t>
        </is>
      </c>
      <c r="O772" s="3" t="n">
        <v>570</v>
      </c>
      <c r="P772" s="9" t="inlineStr">
        <is>
          <t>NSMI24060077131</t>
        </is>
      </c>
      <c r="Q772" s="53">
        <f>MID(P772,5,2)</f>
        <v/>
      </c>
      <c r="R772" s="53">
        <f>MID(P772,7,2)</f>
        <v/>
      </c>
      <c r="S772" s="3" t="inlineStr">
        <is>
          <t>G2G</t>
        </is>
      </c>
      <c r="T772" s="3" t="inlineStr">
        <is>
          <t>P4</t>
        </is>
      </c>
      <c r="U772" s="3" t="inlineStr">
        <is>
          <t>N JB Cold Soldering</t>
        </is>
      </c>
      <c r="V772" s="3" t="inlineStr">
        <is>
          <t>Soldering</t>
        </is>
      </c>
      <c r="W772" s="3" t="inlineStr">
        <is>
          <t>Repair</t>
        </is>
      </c>
      <c r="X772" s="18" t="n">
        <v>46154</v>
      </c>
      <c r="Y772" s="73">
        <f>IF(X772="","",X772-A772)</f>
        <v/>
      </c>
      <c r="Z772" s="18" t="n">
        <v>46154</v>
      </c>
      <c r="AA772" s="15" t="n"/>
      <c r="AB772" s="15" t="n"/>
      <c r="AF772">
        <f>IF(AND($F772="Closed",$X772&gt;=DATE(2026,5,1),$X772&lt;=DATE(2026,5,31)),"Closed in May","Other")</f>
        <v/>
      </c>
    </row>
    <row r="773">
      <c r="A773" s="6" t="n">
        <v>46107</v>
      </c>
      <c r="B773" s="3" t="n">
        <v>2026</v>
      </c>
      <c r="C773" s="3" t="inlineStr">
        <is>
          <t>Blupine Energy</t>
        </is>
      </c>
      <c r="D773" s="3" t="inlineStr">
        <is>
          <t>Utility and C&amp;I</t>
        </is>
      </c>
      <c r="E773" s="3" t="n"/>
      <c r="F773" s="3" t="inlineStr">
        <is>
          <t>Closed</t>
        </is>
      </c>
      <c r="G773" s="3" t="inlineStr">
        <is>
          <t>Chandrashekar Patidar</t>
        </is>
      </c>
      <c r="H773" s="3" t="n">
        <v>7879764773</v>
      </c>
      <c r="I773" s="11" t="inlineStr">
        <is>
          <t>PE26032601</t>
        </is>
      </c>
      <c r="J773" s="3" t="inlineStr">
        <is>
          <t>Module Diode Failure</t>
        </is>
      </c>
      <c r="K773" s="3" t="inlineStr">
        <is>
          <t>Sadla</t>
        </is>
      </c>
      <c r="L773" s="3" t="inlineStr">
        <is>
          <t>Gujarat</t>
        </is>
      </c>
      <c r="M773" s="9" t="inlineStr">
        <is>
          <t>PS</t>
        </is>
      </c>
      <c r="N773" s="3" t="inlineStr">
        <is>
          <t>Cold Soldering</t>
        </is>
      </c>
      <c r="O773" s="3" t="n">
        <v>570</v>
      </c>
      <c r="P773" s="9" t="inlineStr">
        <is>
          <t>NSMI24060115798</t>
        </is>
      </c>
      <c r="Q773" s="53">
        <f>MID(P773,5,2)</f>
        <v/>
      </c>
      <c r="R773" s="53">
        <f>MID(P773,7,2)</f>
        <v/>
      </c>
      <c r="S773" s="3" t="inlineStr">
        <is>
          <t>G2G</t>
        </is>
      </c>
      <c r="T773" s="3" t="inlineStr">
        <is>
          <t>P4</t>
        </is>
      </c>
      <c r="U773" s="3" t="inlineStr">
        <is>
          <t>P JB Cold Soldering</t>
        </is>
      </c>
      <c r="V773" s="3" t="inlineStr">
        <is>
          <t>Soldering</t>
        </is>
      </c>
      <c r="W773" s="3" t="inlineStr">
        <is>
          <t>Repair</t>
        </is>
      </c>
      <c r="X773" s="18" t="n">
        <v>46154</v>
      </c>
      <c r="Y773" s="73">
        <f>IF(X773="","",X773-A773)</f>
        <v/>
      </c>
      <c r="Z773" s="18" t="n">
        <v>46154</v>
      </c>
      <c r="AA773" s="15" t="n"/>
      <c r="AB773" s="15" t="n"/>
      <c r="AF773">
        <f>IF(AND($F773="Closed",$X773&gt;=DATE(2026,5,1),$X773&lt;=DATE(2026,5,31)),"Closed in May","Other")</f>
        <v/>
      </c>
    </row>
    <row r="774">
      <c r="A774" s="6" t="n">
        <v>46107</v>
      </c>
      <c r="B774" s="3" t="n">
        <v>2026</v>
      </c>
      <c r="C774" s="3" t="inlineStr">
        <is>
          <t>Blupine Energy</t>
        </is>
      </c>
      <c r="D774" s="3" t="inlineStr">
        <is>
          <t>Utility and C&amp;I</t>
        </is>
      </c>
      <c r="E774" s="3" t="n"/>
      <c r="F774" s="3" t="inlineStr">
        <is>
          <t>Closed</t>
        </is>
      </c>
      <c r="G774" s="3" t="inlineStr">
        <is>
          <t>Chandrashekar Patidar</t>
        </is>
      </c>
      <c r="H774" s="3" t="n">
        <v>7879764773</v>
      </c>
      <c r="I774" s="11" t="inlineStr">
        <is>
          <t>PE26032601</t>
        </is>
      </c>
      <c r="J774" s="3" t="inlineStr">
        <is>
          <t>Module Diode Failure</t>
        </is>
      </c>
      <c r="K774" s="3" t="inlineStr">
        <is>
          <t>Sadla</t>
        </is>
      </c>
      <c r="L774" s="3" t="inlineStr">
        <is>
          <t>Gujarat</t>
        </is>
      </c>
      <c r="M774" s="9" t="inlineStr">
        <is>
          <t>NS</t>
        </is>
      </c>
      <c r="N774" s="3" t="inlineStr">
        <is>
          <t>Cold Soldering</t>
        </is>
      </c>
      <c r="O774" s="3" t="n">
        <v>570</v>
      </c>
      <c r="P774" s="9" t="inlineStr">
        <is>
          <t>NSMI24060077164</t>
        </is>
      </c>
      <c r="Q774" s="53">
        <f>MID(P774,5,2)</f>
        <v/>
      </c>
      <c r="R774" s="53">
        <f>MID(P774,7,2)</f>
        <v/>
      </c>
      <c r="S774" s="3" t="inlineStr">
        <is>
          <t>G2G</t>
        </is>
      </c>
      <c r="T774" s="3" t="inlineStr">
        <is>
          <t>P4</t>
        </is>
      </c>
      <c r="U774" s="3" t="inlineStr">
        <is>
          <t>N JB Cold Soldering</t>
        </is>
      </c>
      <c r="V774" s="3" t="inlineStr">
        <is>
          <t>Soldering</t>
        </is>
      </c>
      <c r="W774" s="3" t="inlineStr">
        <is>
          <t>Repair</t>
        </is>
      </c>
      <c r="X774" s="18" t="n">
        <v>46154</v>
      </c>
      <c r="Y774" s="73">
        <f>IF(X774="","",X774-A774)</f>
        <v/>
      </c>
      <c r="Z774" s="18" t="n">
        <v>46154</v>
      </c>
      <c r="AA774" s="15" t="n"/>
      <c r="AB774" s="15" t="n"/>
      <c r="AF774">
        <f>IF(AND($F774="Closed",$X774&gt;=DATE(2026,5,1),$X774&lt;=DATE(2026,5,31)),"Closed in May","Other")</f>
        <v/>
      </c>
    </row>
    <row r="775">
      <c r="A775" s="6" t="n">
        <v>46107</v>
      </c>
      <c r="B775" s="3" t="n">
        <v>2026</v>
      </c>
      <c r="C775" s="3" t="inlineStr">
        <is>
          <t>Blupine Energy</t>
        </is>
      </c>
      <c r="D775" s="3" t="inlineStr">
        <is>
          <t>Utility and C&amp;I</t>
        </is>
      </c>
      <c r="E775" s="3" t="n"/>
      <c r="F775" s="3" t="inlineStr">
        <is>
          <t>Closed</t>
        </is>
      </c>
      <c r="G775" s="3" t="inlineStr">
        <is>
          <t>Chandrashekar Patidar</t>
        </is>
      </c>
      <c r="H775" s="3" t="n">
        <v>7879764773</v>
      </c>
      <c r="I775" s="11" t="inlineStr">
        <is>
          <t>PE26032601</t>
        </is>
      </c>
      <c r="J775" s="3" t="inlineStr">
        <is>
          <t>Module Diode Failure</t>
        </is>
      </c>
      <c r="K775" s="3" t="inlineStr">
        <is>
          <t>Sadla</t>
        </is>
      </c>
      <c r="L775" s="3" t="inlineStr">
        <is>
          <t>Gujarat</t>
        </is>
      </c>
      <c r="M775" s="9" t="inlineStr">
        <is>
          <t>PS</t>
        </is>
      </c>
      <c r="N775" s="3" t="inlineStr">
        <is>
          <t>Cold Soldering</t>
        </is>
      </c>
      <c r="O775" s="3" t="n">
        <v>570</v>
      </c>
      <c r="P775" s="9" t="inlineStr">
        <is>
          <t>NSMI24060085603</t>
        </is>
      </c>
      <c r="Q775" s="53">
        <f>MID(P775,5,2)</f>
        <v/>
      </c>
      <c r="R775" s="53">
        <f>MID(P775,7,2)</f>
        <v/>
      </c>
      <c r="S775" s="3" t="inlineStr">
        <is>
          <t>G2G</t>
        </is>
      </c>
      <c r="T775" s="3" t="inlineStr">
        <is>
          <t>P4</t>
        </is>
      </c>
      <c r="U775" s="3" t="inlineStr">
        <is>
          <t>P JB Cold Soldering</t>
        </is>
      </c>
      <c r="V775" s="3" t="inlineStr">
        <is>
          <t>Soldering</t>
        </is>
      </c>
      <c r="W775" s="3" t="inlineStr">
        <is>
          <t>Repair</t>
        </is>
      </c>
      <c r="X775" s="18" t="n">
        <v>46154</v>
      </c>
      <c r="Y775" s="73">
        <f>IF(X775="","",X775-A775)</f>
        <v/>
      </c>
      <c r="Z775" s="18" t="n">
        <v>46154</v>
      </c>
      <c r="AA775" s="15" t="n"/>
      <c r="AB775" s="15" t="n"/>
      <c r="AF775">
        <f>IF(AND($F775="Closed",$X775&gt;=DATE(2026,5,1),$X775&lt;=DATE(2026,5,31)),"Closed in May","Other")</f>
        <v/>
      </c>
    </row>
    <row r="776">
      <c r="A776" s="6" t="n">
        <v>46107</v>
      </c>
      <c r="B776" s="3" t="n">
        <v>2026</v>
      </c>
      <c r="C776" s="3" t="inlineStr">
        <is>
          <t>Blupine Energy</t>
        </is>
      </c>
      <c r="D776" s="3" t="inlineStr">
        <is>
          <t>Utility and C&amp;I</t>
        </is>
      </c>
      <c r="E776" s="3" t="n"/>
      <c r="F776" s="3" t="inlineStr">
        <is>
          <t>Closed</t>
        </is>
      </c>
      <c r="G776" s="3" t="inlineStr">
        <is>
          <t>Chandrashekar Patidar</t>
        </is>
      </c>
      <c r="H776" s="3" t="n">
        <v>7879764773</v>
      </c>
      <c r="I776" s="11" t="inlineStr">
        <is>
          <t>PE26032601</t>
        </is>
      </c>
      <c r="J776" s="3" t="inlineStr">
        <is>
          <t>Module Diode Failure</t>
        </is>
      </c>
      <c r="K776" s="3" t="inlineStr">
        <is>
          <t>Sadla</t>
        </is>
      </c>
      <c r="L776" s="3" t="inlineStr">
        <is>
          <t>Gujarat</t>
        </is>
      </c>
      <c r="M776" s="9" t="inlineStr">
        <is>
          <t>NS</t>
        </is>
      </c>
      <c r="N776" s="3" t="inlineStr">
        <is>
          <t>Cold Soldering</t>
        </is>
      </c>
      <c r="O776" s="3" t="n">
        <v>570</v>
      </c>
      <c r="P776" s="9" t="inlineStr">
        <is>
          <t>NSMI24060091112</t>
        </is>
      </c>
      <c r="Q776" s="53">
        <f>MID(P776,5,2)</f>
        <v/>
      </c>
      <c r="R776" s="53">
        <f>MID(P776,7,2)</f>
        <v/>
      </c>
      <c r="S776" s="3" t="inlineStr">
        <is>
          <t>G2G</t>
        </is>
      </c>
      <c r="T776" s="3" t="inlineStr">
        <is>
          <t>P4</t>
        </is>
      </c>
      <c r="U776" s="3" t="inlineStr">
        <is>
          <t>N JB Cold Soldering</t>
        </is>
      </c>
      <c r="V776" s="3" t="inlineStr">
        <is>
          <t>Soldering</t>
        </is>
      </c>
      <c r="W776" s="3" t="inlineStr">
        <is>
          <t>Repair</t>
        </is>
      </c>
      <c r="X776" s="18" t="n">
        <v>46154</v>
      </c>
      <c r="Y776" s="73">
        <f>IF(X776="","",X776-A776)</f>
        <v/>
      </c>
      <c r="Z776" s="18" t="n">
        <v>46154</v>
      </c>
      <c r="AA776" s="15" t="n"/>
      <c r="AB776" s="15" t="n"/>
      <c r="AF776">
        <f>IF(AND($F776="Closed",$X776&gt;=DATE(2026,5,1),$X776&lt;=DATE(2026,5,31)),"Closed in May","Other")</f>
        <v/>
      </c>
    </row>
    <row r="777">
      <c r="A777" s="6" t="n">
        <v>46107</v>
      </c>
      <c r="B777" s="3" t="n">
        <v>2026</v>
      </c>
      <c r="C777" s="3" t="inlineStr">
        <is>
          <t>Blupine Energy</t>
        </is>
      </c>
      <c r="D777" s="3" t="inlineStr">
        <is>
          <t>Utility and C&amp;I</t>
        </is>
      </c>
      <c r="E777" s="3" t="n"/>
      <c r="F777" s="3" t="inlineStr">
        <is>
          <t>Closed</t>
        </is>
      </c>
      <c r="G777" s="3" t="inlineStr">
        <is>
          <t>Chandrashekar Patidar</t>
        </is>
      </c>
      <c r="H777" s="3" t="n">
        <v>7879764773</v>
      </c>
      <c r="I777" s="11" t="inlineStr">
        <is>
          <t>PE26032601</t>
        </is>
      </c>
      <c r="J777" s="3" t="inlineStr">
        <is>
          <t>Module Diode Failure</t>
        </is>
      </c>
      <c r="K777" s="3" t="inlineStr">
        <is>
          <t>Sadla</t>
        </is>
      </c>
      <c r="L777" s="3" t="inlineStr">
        <is>
          <t>Gujarat</t>
        </is>
      </c>
      <c r="M777" s="9" t="inlineStr">
        <is>
          <t>NR</t>
        </is>
      </c>
      <c r="N777" s="3" t="inlineStr">
        <is>
          <t>JB Issue</t>
        </is>
      </c>
      <c r="O777" s="3" t="n">
        <v>570</v>
      </c>
      <c r="P777" s="9" t="inlineStr">
        <is>
          <t>NSMI24060091553</t>
        </is>
      </c>
      <c r="Q777" s="53">
        <f>MID(P777,5,2)</f>
        <v/>
      </c>
      <c r="R777" s="53">
        <f>MID(P777,7,2)</f>
        <v/>
      </c>
      <c r="S777" s="3" t="inlineStr">
        <is>
          <t>G2G</t>
        </is>
      </c>
      <c r="T777" s="3" t="inlineStr">
        <is>
          <t>P4</t>
        </is>
      </c>
      <c r="U777" s="3" t="inlineStr">
        <is>
          <t>N JB Issue</t>
        </is>
      </c>
      <c r="V777" s="3" t="inlineStr">
        <is>
          <t>JB Changed</t>
        </is>
      </c>
      <c r="W777" s="3" t="inlineStr">
        <is>
          <t>Repair</t>
        </is>
      </c>
      <c r="X777" s="18" t="n">
        <v>46154</v>
      </c>
      <c r="Y777" s="73">
        <f>IF(X777="","",X777-A777)</f>
        <v/>
      </c>
      <c r="Z777" s="18" t="n">
        <v>46154</v>
      </c>
      <c r="AA777" s="15" t="n"/>
      <c r="AB777" s="15" t="n"/>
      <c r="AF777">
        <f>IF(AND($F777="Closed",$X777&gt;=DATE(2026,5,1),$X777&lt;=DATE(2026,5,31)),"Closed in May","Other")</f>
        <v/>
      </c>
    </row>
    <row r="778">
      <c r="A778" s="6" t="n">
        <v>46107</v>
      </c>
      <c r="B778" s="3" t="n">
        <v>2026</v>
      </c>
      <c r="C778" s="3" t="inlineStr">
        <is>
          <t>Blupine Energy</t>
        </is>
      </c>
      <c r="D778" s="3" t="inlineStr">
        <is>
          <t>Utility and C&amp;I</t>
        </is>
      </c>
      <c r="E778" s="3" t="n"/>
      <c r="F778" s="3" t="inlineStr">
        <is>
          <t>Closed</t>
        </is>
      </c>
      <c r="G778" s="3" t="inlineStr">
        <is>
          <t>Chandrashekar Patidar</t>
        </is>
      </c>
      <c r="H778" s="3" t="n">
        <v>7879764773</v>
      </c>
      <c r="I778" s="11" t="inlineStr">
        <is>
          <t>PE26032601</t>
        </is>
      </c>
      <c r="J778" s="3" t="inlineStr">
        <is>
          <t>Module Diode Failure</t>
        </is>
      </c>
      <c r="K778" s="3" t="inlineStr">
        <is>
          <t>Sadla</t>
        </is>
      </c>
      <c r="L778" s="3" t="inlineStr">
        <is>
          <t>Gujarat</t>
        </is>
      </c>
      <c r="M778" s="9" t="inlineStr">
        <is>
          <t>NS</t>
        </is>
      </c>
      <c r="N778" s="3" t="inlineStr">
        <is>
          <t>Cold Soldering</t>
        </is>
      </c>
      <c r="O778" s="3" t="n">
        <v>570</v>
      </c>
      <c r="P778" s="9" t="inlineStr">
        <is>
          <t>NSMI24060091890</t>
        </is>
      </c>
      <c r="Q778" s="53">
        <f>MID(P778,5,2)</f>
        <v/>
      </c>
      <c r="R778" s="53">
        <f>MID(P778,7,2)</f>
        <v/>
      </c>
      <c r="S778" s="3" t="inlineStr">
        <is>
          <t>G2G</t>
        </is>
      </c>
      <c r="T778" s="3" t="inlineStr">
        <is>
          <t>P4</t>
        </is>
      </c>
      <c r="U778" s="3" t="inlineStr">
        <is>
          <t>N JB Cold Soldering</t>
        </is>
      </c>
      <c r="V778" s="3" t="inlineStr">
        <is>
          <t>Soldering</t>
        </is>
      </c>
      <c r="W778" s="3" t="inlineStr">
        <is>
          <t>Repair</t>
        </is>
      </c>
      <c r="X778" s="18" t="n">
        <v>46154</v>
      </c>
      <c r="Y778" s="73">
        <f>IF(X778="","",X778-A778)</f>
        <v/>
      </c>
      <c r="Z778" s="18" t="n">
        <v>46154</v>
      </c>
      <c r="AA778" s="15" t="n"/>
      <c r="AB778" s="15" t="n"/>
      <c r="AF778">
        <f>IF(AND($F778="Closed",$X778&gt;=DATE(2026,5,1),$X778&lt;=DATE(2026,5,31)),"Closed in May","Other")</f>
        <v/>
      </c>
    </row>
    <row r="779">
      <c r="A779" s="6" t="n">
        <v>46107</v>
      </c>
      <c r="B779" s="3" t="n">
        <v>2026</v>
      </c>
      <c r="C779" s="3" t="inlineStr">
        <is>
          <t>Blupine Energy</t>
        </is>
      </c>
      <c r="D779" s="3" t="inlineStr">
        <is>
          <t>Utility and C&amp;I</t>
        </is>
      </c>
      <c r="E779" s="3" t="n"/>
      <c r="F779" s="3" t="inlineStr">
        <is>
          <t>Closed</t>
        </is>
      </c>
      <c r="G779" s="3" t="inlineStr">
        <is>
          <t>Chandrashekar Patidar</t>
        </is>
      </c>
      <c r="H779" s="3" t="n">
        <v>7879764773</v>
      </c>
      <c r="I779" s="11" t="inlineStr">
        <is>
          <t>PE26032601</t>
        </is>
      </c>
      <c r="J779" s="3" t="inlineStr">
        <is>
          <t>Module Diode Failure</t>
        </is>
      </c>
      <c r="K779" s="3" t="inlineStr">
        <is>
          <t>Sadla</t>
        </is>
      </c>
      <c r="L779" s="3" t="inlineStr">
        <is>
          <t>Gujarat</t>
        </is>
      </c>
      <c r="M779" s="9" t="inlineStr">
        <is>
          <t>PS</t>
        </is>
      </c>
      <c r="N779" s="3" t="inlineStr">
        <is>
          <t>Cold Soldering</t>
        </is>
      </c>
      <c r="O779" s="3" t="n">
        <v>570</v>
      </c>
      <c r="P779" s="9" t="inlineStr">
        <is>
          <t>NSMI24060090901</t>
        </is>
      </c>
      <c r="Q779" s="53">
        <f>MID(P779,5,2)</f>
        <v/>
      </c>
      <c r="R779" s="53">
        <f>MID(P779,7,2)</f>
        <v/>
      </c>
      <c r="S779" s="3" t="inlineStr">
        <is>
          <t>G2G</t>
        </is>
      </c>
      <c r="T779" s="3" t="inlineStr">
        <is>
          <t>P4</t>
        </is>
      </c>
      <c r="U779" s="3" t="inlineStr">
        <is>
          <t>P JB Cold Soldering</t>
        </is>
      </c>
      <c r="V779" s="3" t="inlineStr">
        <is>
          <t>Soldering</t>
        </is>
      </c>
      <c r="W779" s="3" t="inlineStr">
        <is>
          <t>Repair</t>
        </is>
      </c>
      <c r="X779" s="18" t="n">
        <v>46154</v>
      </c>
      <c r="Y779" s="73">
        <f>IF(X779="","",X779-A779)</f>
        <v/>
      </c>
      <c r="Z779" s="18" t="n">
        <v>46154</v>
      </c>
      <c r="AA779" s="15" t="n"/>
      <c r="AB779" s="15" t="n"/>
      <c r="AF779">
        <f>IF(AND($F779="Closed",$X779&gt;=DATE(2026,5,1),$X779&lt;=DATE(2026,5,31)),"Closed in May","Other")</f>
        <v/>
      </c>
    </row>
    <row r="780">
      <c r="A780" s="6" t="n">
        <v>46107</v>
      </c>
      <c r="B780" s="3" t="n">
        <v>2026</v>
      </c>
      <c r="C780" s="3" t="inlineStr">
        <is>
          <t>Blupine Energy</t>
        </is>
      </c>
      <c r="D780" s="3" t="inlineStr">
        <is>
          <t>Utility and C&amp;I</t>
        </is>
      </c>
      <c r="E780" s="3" t="n"/>
      <c r="F780" s="3" t="inlineStr">
        <is>
          <t>Closed</t>
        </is>
      </c>
      <c r="G780" s="3" t="inlineStr">
        <is>
          <t>Chandrashekar Patidar</t>
        </is>
      </c>
      <c r="H780" s="3" t="n">
        <v>7879764773</v>
      </c>
      <c r="I780" s="11" t="inlineStr">
        <is>
          <t>PE26032601</t>
        </is>
      </c>
      <c r="J780" s="3" t="inlineStr">
        <is>
          <t>Module Diode Failure</t>
        </is>
      </c>
      <c r="K780" s="3" t="inlineStr">
        <is>
          <t>Sadla</t>
        </is>
      </c>
      <c r="L780" s="3" t="inlineStr">
        <is>
          <t>Gujarat</t>
        </is>
      </c>
      <c r="M780" s="9" t="inlineStr">
        <is>
          <t>PS</t>
        </is>
      </c>
      <c r="N780" s="3" t="inlineStr">
        <is>
          <t>Cold Soldering</t>
        </is>
      </c>
      <c r="O780" s="3" t="n">
        <v>570</v>
      </c>
      <c r="P780" s="9" t="inlineStr">
        <is>
          <t>NSMI24050061550</t>
        </is>
      </c>
      <c r="Q780" s="53">
        <f>MID(P780,5,2)</f>
        <v/>
      </c>
      <c r="R780" s="53">
        <f>MID(P780,7,2)</f>
        <v/>
      </c>
      <c r="S780" s="3" t="inlineStr">
        <is>
          <t>G2G</t>
        </is>
      </c>
      <c r="T780" s="3" t="inlineStr">
        <is>
          <t>P4</t>
        </is>
      </c>
      <c r="U780" s="3" t="inlineStr">
        <is>
          <t>P JB Cold Soldering</t>
        </is>
      </c>
      <c r="V780" s="3" t="inlineStr">
        <is>
          <t>Soldering</t>
        </is>
      </c>
      <c r="W780" s="3" t="inlineStr">
        <is>
          <t>Repair</t>
        </is>
      </c>
      <c r="X780" s="18" t="n">
        <v>46154</v>
      </c>
      <c r="Y780" s="73">
        <f>IF(X780="","",X780-A780)</f>
        <v/>
      </c>
      <c r="Z780" s="18" t="n">
        <v>46154</v>
      </c>
      <c r="AA780" s="15" t="n"/>
      <c r="AB780" s="15" t="n"/>
      <c r="AF780">
        <f>IF(AND($F780="Closed",$X780&gt;=DATE(2026,5,1),$X780&lt;=DATE(2026,5,31)),"Closed in May","Other")</f>
        <v/>
      </c>
    </row>
    <row r="781">
      <c r="A781" s="6" t="n">
        <v>46107</v>
      </c>
      <c r="B781" s="3" t="n">
        <v>2026</v>
      </c>
      <c r="C781" s="3" t="inlineStr">
        <is>
          <t>Blupine Energy</t>
        </is>
      </c>
      <c r="D781" s="3" t="inlineStr">
        <is>
          <t>Utility and C&amp;I</t>
        </is>
      </c>
      <c r="E781" s="3" t="n"/>
      <c r="F781" s="3" t="inlineStr">
        <is>
          <t>Closed</t>
        </is>
      </c>
      <c r="G781" s="3" t="inlineStr">
        <is>
          <t>Chandrashekar Patidar</t>
        </is>
      </c>
      <c r="H781" s="3" t="n">
        <v>7879764773</v>
      </c>
      <c r="I781" s="11" t="inlineStr">
        <is>
          <t>PE26032601</t>
        </is>
      </c>
      <c r="J781" s="3" t="inlineStr">
        <is>
          <t>Module Diode Failure</t>
        </is>
      </c>
      <c r="K781" s="3" t="inlineStr">
        <is>
          <t>Sadla</t>
        </is>
      </c>
      <c r="L781" s="3" t="inlineStr">
        <is>
          <t>Gujarat</t>
        </is>
      </c>
      <c r="M781" s="9" t="inlineStr">
        <is>
          <t>NS</t>
        </is>
      </c>
      <c r="N781" s="3" t="inlineStr">
        <is>
          <t>Cold Soldering</t>
        </is>
      </c>
      <c r="O781" s="3" t="n">
        <v>570</v>
      </c>
      <c r="P781" s="9" t="inlineStr">
        <is>
          <t>NSMI24060094598</t>
        </is>
      </c>
      <c r="Q781" s="53">
        <f>MID(P781,5,2)</f>
        <v/>
      </c>
      <c r="R781" s="53">
        <f>MID(P781,7,2)</f>
        <v/>
      </c>
      <c r="S781" s="3" t="inlineStr">
        <is>
          <t>G2G</t>
        </is>
      </c>
      <c r="T781" s="3" t="inlineStr">
        <is>
          <t>P4</t>
        </is>
      </c>
      <c r="U781" s="3" t="inlineStr">
        <is>
          <t>N JB Cold Soldering</t>
        </is>
      </c>
      <c r="V781" s="3" t="inlineStr">
        <is>
          <t>Soldering</t>
        </is>
      </c>
      <c r="W781" s="3" t="inlineStr">
        <is>
          <t>Repair</t>
        </is>
      </c>
      <c r="X781" s="18" t="n">
        <v>46154</v>
      </c>
      <c r="Y781" s="73">
        <f>IF(X781="","",X781-A781)</f>
        <v/>
      </c>
      <c r="Z781" s="18" t="n">
        <v>46154</v>
      </c>
      <c r="AA781" s="15" t="n"/>
      <c r="AB781" s="15" t="n"/>
      <c r="AF781">
        <f>IF(AND($F781="Closed",$X781&gt;=DATE(2026,5,1),$X781&lt;=DATE(2026,5,31)),"Closed in May","Other")</f>
        <v/>
      </c>
    </row>
    <row r="782">
      <c r="A782" s="6" t="n">
        <v>46107</v>
      </c>
      <c r="B782" s="3" t="n">
        <v>2026</v>
      </c>
      <c r="C782" s="3" t="inlineStr">
        <is>
          <t>Blupine Energy</t>
        </is>
      </c>
      <c r="D782" s="3" t="inlineStr">
        <is>
          <t>Utility and C&amp;I</t>
        </is>
      </c>
      <c r="E782" s="3" t="n"/>
      <c r="F782" s="3" t="inlineStr">
        <is>
          <t>Closed</t>
        </is>
      </c>
      <c r="G782" s="3" t="inlineStr">
        <is>
          <t>Chandrashekar Patidar</t>
        </is>
      </c>
      <c r="H782" s="3" t="n">
        <v>7879764773</v>
      </c>
      <c r="I782" s="11" t="inlineStr">
        <is>
          <t>PE26032601</t>
        </is>
      </c>
      <c r="J782" s="3" t="inlineStr">
        <is>
          <t>Module Diode Failure</t>
        </is>
      </c>
      <c r="K782" s="3" t="inlineStr">
        <is>
          <t>Sadla</t>
        </is>
      </c>
      <c r="L782" s="3" t="inlineStr">
        <is>
          <t>Gujarat</t>
        </is>
      </c>
      <c r="M782" s="9" t="inlineStr">
        <is>
          <t>PS</t>
        </is>
      </c>
      <c r="N782" s="3" t="inlineStr">
        <is>
          <t>Cold Soldering</t>
        </is>
      </c>
      <c r="O782" s="3" t="n">
        <v>570</v>
      </c>
      <c r="P782" s="9" t="inlineStr">
        <is>
          <t>NSMI24050067694</t>
        </is>
      </c>
      <c r="Q782" s="53">
        <f>MID(P782,5,2)</f>
        <v/>
      </c>
      <c r="R782" s="53">
        <f>MID(P782,7,2)</f>
        <v/>
      </c>
      <c r="S782" s="3" t="inlineStr">
        <is>
          <t>G2G</t>
        </is>
      </c>
      <c r="T782" s="3" t="inlineStr">
        <is>
          <t>P4</t>
        </is>
      </c>
      <c r="U782" s="3" t="inlineStr">
        <is>
          <t>P JB Cold Soldering</t>
        </is>
      </c>
      <c r="V782" s="3" t="inlineStr">
        <is>
          <t>Soldering</t>
        </is>
      </c>
      <c r="W782" s="3" t="inlineStr">
        <is>
          <t>Repair</t>
        </is>
      </c>
      <c r="X782" s="18" t="n">
        <v>46154</v>
      </c>
      <c r="Y782" s="73">
        <f>IF(X782="","",X782-A782)</f>
        <v/>
      </c>
      <c r="Z782" s="18" t="n">
        <v>46154</v>
      </c>
      <c r="AA782" s="15" t="n"/>
      <c r="AB782" s="15" t="n"/>
      <c r="AF782">
        <f>IF(AND($F782="Closed",$X782&gt;=DATE(2026,5,1),$X782&lt;=DATE(2026,5,31)),"Closed in May","Other")</f>
        <v/>
      </c>
    </row>
    <row r="783">
      <c r="A783" s="6" t="n">
        <v>46107</v>
      </c>
      <c r="B783" s="3" t="n">
        <v>2026</v>
      </c>
      <c r="C783" s="3" t="inlineStr">
        <is>
          <t>Blupine Energy</t>
        </is>
      </c>
      <c r="D783" s="3" t="inlineStr">
        <is>
          <t>Utility and C&amp;I</t>
        </is>
      </c>
      <c r="E783" s="3" t="n"/>
      <c r="F783" s="3" t="inlineStr">
        <is>
          <t>Closed</t>
        </is>
      </c>
      <c r="G783" s="3" t="inlineStr">
        <is>
          <t>Chandrashekar Patidar</t>
        </is>
      </c>
      <c r="H783" s="3" t="n">
        <v>7879764773</v>
      </c>
      <c r="I783" s="11" t="inlineStr">
        <is>
          <t>PE26032601</t>
        </is>
      </c>
      <c r="J783" s="3" t="inlineStr">
        <is>
          <t>Module Diode Failure</t>
        </is>
      </c>
      <c r="K783" s="3" t="inlineStr">
        <is>
          <t>Sadla</t>
        </is>
      </c>
      <c r="L783" s="3" t="inlineStr">
        <is>
          <t>Gujarat</t>
        </is>
      </c>
      <c r="M783" s="9" t="inlineStr">
        <is>
          <t>NS</t>
        </is>
      </c>
      <c r="N783" s="3" t="inlineStr">
        <is>
          <t>Cold Soldering</t>
        </is>
      </c>
      <c r="O783" s="3" t="n">
        <v>570</v>
      </c>
      <c r="P783" s="9" t="inlineStr">
        <is>
          <t>NSMI24060093204</t>
        </is>
      </c>
      <c r="Q783" s="53">
        <f>MID(P783,5,2)</f>
        <v/>
      </c>
      <c r="R783" s="53">
        <f>MID(P783,7,2)</f>
        <v/>
      </c>
      <c r="S783" s="3" t="inlineStr">
        <is>
          <t>G2G</t>
        </is>
      </c>
      <c r="T783" s="3" t="inlineStr">
        <is>
          <t>P4</t>
        </is>
      </c>
      <c r="U783" s="3" t="inlineStr">
        <is>
          <t>N JB Cold Soldering</t>
        </is>
      </c>
      <c r="V783" s="3" t="inlineStr">
        <is>
          <t>Soldering</t>
        </is>
      </c>
      <c r="W783" s="3" t="inlineStr">
        <is>
          <t>Repair</t>
        </is>
      </c>
      <c r="X783" s="18" t="n">
        <v>46154</v>
      </c>
      <c r="Y783" s="73">
        <f>IF(X783="","",X783-A783)</f>
        <v/>
      </c>
      <c r="Z783" s="18" t="n">
        <v>46154</v>
      </c>
      <c r="AA783" s="15" t="n"/>
      <c r="AB783" s="15" t="n"/>
      <c r="AF783">
        <f>IF(AND($F783="Closed",$X783&gt;=DATE(2026,5,1),$X783&lt;=DATE(2026,5,31)),"Closed in May","Other")</f>
        <v/>
      </c>
    </row>
    <row r="784">
      <c r="A784" s="6" t="n">
        <v>46107</v>
      </c>
      <c r="B784" s="3" t="n">
        <v>2026</v>
      </c>
      <c r="C784" s="3" t="inlineStr">
        <is>
          <t>Blupine Energy</t>
        </is>
      </c>
      <c r="D784" s="3" t="inlineStr">
        <is>
          <t>Utility and C&amp;I</t>
        </is>
      </c>
      <c r="E784" s="3" t="n"/>
      <c r="F784" s="3" t="inlineStr">
        <is>
          <t>Closed</t>
        </is>
      </c>
      <c r="G784" s="3" t="inlineStr">
        <is>
          <t>Chandrashekar Patidar</t>
        </is>
      </c>
      <c r="H784" s="3" t="n">
        <v>7879764773</v>
      </c>
      <c r="I784" s="11" t="inlineStr">
        <is>
          <t>PE26032601</t>
        </is>
      </c>
      <c r="J784" s="3" t="inlineStr">
        <is>
          <t>Module Diode Failure</t>
        </is>
      </c>
      <c r="K784" s="3" t="inlineStr">
        <is>
          <t>Sadla</t>
        </is>
      </c>
      <c r="L784" s="3" t="inlineStr">
        <is>
          <t>Gujarat</t>
        </is>
      </c>
      <c r="M784" s="9" t="inlineStr">
        <is>
          <t>PNS</t>
        </is>
      </c>
      <c r="N784" s="3" t="inlineStr">
        <is>
          <t>Cold Soldering</t>
        </is>
      </c>
      <c r="O784" s="3" t="n">
        <v>570</v>
      </c>
      <c r="P784" s="9" t="inlineStr">
        <is>
          <t>NSMI24060094381</t>
        </is>
      </c>
      <c r="Q784" s="53">
        <f>MID(P784,5,2)</f>
        <v/>
      </c>
      <c r="R784" s="53">
        <f>MID(P784,7,2)</f>
        <v/>
      </c>
      <c r="S784" s="3" t="inlineStr">
        <is>
          <t>G2G</t>
        </is>
      </c>
      <c r="T784" s="3" t="inlineStr">
        <is>
          <t>P4</t>
        </is>
      </c>
      <c r="U784" s="3" t="inlineStr">
        <is>
          <t>P &amp; N JB Cold Soldering</t>
        </is>
      </c>
      <c r="V784" s="3" t="inlineStr">
        <is>
          <t>Soldering</t>
        </is>
      </c>
      <c r="W784" s="3" t="inlineStr">
        <is>
          <t>Repair</t>
        </is>
      </c>
      <c r="X784" s="18" t="n">
        <v>46154</v>
      </c>
      <c r="Y784" s="73">
        <f>IF(X784="","",X784-A784)</f>
        <v/>
      </c>
      <c r="Z784" s="18" t="n">
        <v>46154</v>
      </c>
      <c r="AA784" s="15" t="n"/>
      <c r="AB784" s="15" t="n"/>
      <c r="AF784">
        <f>IF(AND($F784="Closed",$X784&gt;=DATE(2026,5,1),$X784&lt;=DATE(2026,5,31)),"Closed in May","Other")</f>
        <v/>
      </c>
    </row>
    <row r="785">
      <c r="A785" s="6" t="n">
        <v>46107</v>
      </c>
      <c r="B785" s="3" t="n">
        <v>2026</v>
      </c>
      <c r="C785" s="3" t="inlineStr">
        <is>
          <t>Blupine Energy</t>
        </is>
      </c>
      <c r="D785" s="3" t="inlineStr">
        <is>
          <t>Utility and C&amp;I</t>
        </is>
      </c>
      <c r="E785" s="3" t="n"/>
      <c r="F785" s="3" t="inlineStr">
        <is>
          <t>Closed</t>
        </is>
      </c>
      <c r="G785" s="3" t="inlineStr">
        <is>
          <t>Chandrashekar Patidar</t>
        </is>
      </c>
      <c r="H785" s="3" t="n">
        <v>7879764773</v>
      </c>
      <c r="I785" s="11" t="inlineStr">
        <is>
          <t>PE26032601</t>
        </is>
      </c>
      <c r="J785" s="3" t="inlineStr">
        <is>
          <t>Module Diode Failure</t>
        </is>
      </c>
      <c r="K785" s="3" t="inlineStr">
        <is>
          <t>Sadla</t>
        </is>
      </c>
      <c r="L785" s="3" t="inlineStr">
        <is>
          <t>Gujarat</t>
        </is>
      </c>
      <c r="M785" s="9" t="inlineStr">
        <is>
          <t>PS</t>
        </is>
      </c>
      <c r="N785" s="3" t="inlineStr">
        <is>
          <t>Cold Soldering</t>
        </is>
      </c>
      <c r="O785" s="3" t="n">
        <v>570</v>
      </c>
      <c r="P785" s="9" t="inlineStr">
        <is>
          <t>NSMI24060094324</t>
        </is>
      </c>
      <c r="Q785" s="53">
        <f>MID(P785,5,2)</f>
        <v/>
      </c>
      <c r="R785" s="53">
        <f>MID(P785,7,2)</f>
        <v/>
      </c>
      <c r="S785" s="3" t="inlineStr">
        <is>
          <t>G2G</t>
        </is>
      </c>
      <c r="T785" s="3" t="inlineStr">
        <is>
          <t>P4</t>
        </is>
      </c>
      <c r="U785" s="3" t="inlineStr">
        <is>
          <t>P JB Cold Soldering</t>
        </is>
      </c>
      <c r="V785" s="3" t="inlineStr">
        <is>
          <t>Soldering</t>
        </is>
      </c>
      <c r="W785" s="3" t="inlineStr">
        <is>
          <t>Repair</t>
        </is>
      </c>
      <c r="X785" s="18" t="n">
        <v>46154</v>
      </c>
      <c r="Y785" s="73">
        <f>IF(X785="","",X785-A785)</f>
        <v/>
      </c>
      <c r="Z785" s="18" t="n">
        <v>46154</v>
      </c>
      <c r="AA785" s="15" t="n"/>
      <c r="AB785" s="15" t="n"/>
      <c r="AF785">
        <f>IF(AND($F785="Closed",$X785&gt;=DATE(2026,5,1),$X785&lt;=DATE(2026,5,31)),"Closed in May","Other")</f>
        <v/>
      </c>
    </row>
    <row r="786">
      <c r="A786" s="6" t="n">
        <v>46107</v>
      </c>
      <c r="B786" s="3" t="n">
        <v>2026</v>
      </c>
      <c r="C786" s="3" t="inlineStr">
        <is>
          <t>Blupine Energy</t>
        </is>
      </c>
      <c r="D786" s="3" t="inlineStr">
        <is>
          <t>Utility and C&amp;I</t>
        </is>
      </c>
      <c r="E786" s="3" t="n"/>
      <c r="F786" s="3" t="inlineStr">
        <is>
          <t>Closed</t>
        </is>
      </c>
      <c r="G786" s="3" t="inlineStr">
        <is>
          <t>Chandrashekar Patidar</t>
        </is>
      </c>
      <c r="H786" s="3" t="n">
        <v>7879764773</v>
      </c>
      <c r="I786" s="11" t="inlineStr">
        <is>
          <t>PE26032601</t>
        </is>
      </c>
      <c r="J786" s="3" t="inlineStr">
        <is>
          <t>Module Diode Failure</t>
        </is>
      </c>
      <c r="K786" s="3" t="inlineStr">
        <is>
          <t>Sadla</t>
        </is>
      </c>
      <c r="L786" s="3" t="inlineStr">
        <is>
          <t>Gujarat</t>
        </is>
      </c>
      <c r="M786" s="9" t="inlineStr">
        <is>
          <t>PS</t>
        </is>
      </c>
      <c r="N786" s="3" t="inlineStr">
        <is>
          <t>Cold Soldering</t>
        </is>
      </c>
      <c r="O786" s="3" t="n">
        <v>570</v>
      </c>
      <c r="P786" s="9" t="inlineStr">
        <is>
          <t>NSMI24060094370</t>
        </is>
      </c>
      <c r="Q786" s="53">
        <f>MID(P786,5,2)</f>
        <v/>
      </c>
      <c r="R786" s="53">
        <f>MID(P786,7,2)</f>
        <v/>
      </c>
      <c r="S786" s="3" t="inlineStr">
        <is>
          <t>G2G</t>
        </is>
      </c>
      <c r="T786" s="3" t="inlineStr">
        <is>
          <t>P4</t>
        </is>
      </c>
      <c r="U786" s="3" t="inlineStr">
        <is>
          <t>P JB Cold Soldering</t>
        </is>
      </c>
      <c r="V786" s="3" t="inlineStr">
        <is>
          <t>Soldering</t>
        </is>
      </c>
      <c r="W786" s="3" t="inlineStr">
        <is>
          <t>Repair</t>
        </is>
      </c>
      <c r="X786" s="18" t="n">
        <v>46154</v>
      </c>
      <c r="Y786" s="73">
        <f>IF(X786="","",X786-A786)</f>
        <v/>
      </c>
      <c r="Z786" s="18" t="n">
        <v>46154</v>
      </c>
      <c r="AA786" s="15" t="n"/>
      <c r="AB786" s="15" t="n"/>
      <c r="AF786">
        <f>IF(AND($F786="Closed",$X786&gt;=DATE(2026,5,1),$X786&lt;=DATE(2026,5,31)),"Closed in May","Other")</f>
        <v/>
      </c>
    </row>
    <row r="787">
      <c r="A787" s="6" t="n">
        <v>46107</v>
      </c>
      <c r="B787" s="3" t="n">
        <v>2026</v>
      </c>
      <c r="C787" s="3" t="inlineStr">
        <is>
          <t>Blupine Energy</t>
        </is>
      </c>
      <c r="D787" s="3" t="inlineStr">
        <is>
          <t>Utility and C&amp;I</t>
        </is>
      </c>
      <c r="E787" s="3" t="n"/>
      <c r="F787" s="3" t="inlineStr">
        <is>
          <t>Closed</t>
        </is>
      </c>
      <c r="G787" s="3" t="inlineStr">
        <is>
          <t>Chandrashekar Patidar</t>
        </is>
      </c>
      <c r="H787" s="3" t="n">
        <v>7879764773</v>
      </c>
      <c r="I787" s="11" t="inlineStr">
        <is>
          <t>PE26032601</t>
        </is>
      </c>
      <c r="J787" s="3" t="inlineStr">
        <is>
          <t>Module Diode Failure</t>
        </is>
      </c>
      <c r="K787" s="3" t="inlineStr">
        <is>
          <t>Sadla</t>
        </is>
      </c>
      <c r="L787" s="3" t="inlineStr">
        <is>
          <t>Gujarat</t>
        </is>
      </c>
      <c r="M787" s="9" t="inlineStr">
        <is>
          <t>PS</t>
        </is>
      </c>
      <c r="N787" s="3" t="inlineStr">
        <is>
          <t>Cold Soldering</t>
        </is>
      </c>
      <c r="O787" s="3" t="n">
        <v>570</v>
      </c>
      <c r="P787" s="9" t="inlineStr">
        <is>
          <t>NSMI24060098665</t>
        </is>
      </c>
      <c r="Q787" s="53">
        <f>MID(P787,5,2)</f>
        <v/>
      </c>
      <c r="R787" s="53">
        <f>MID(P787,7,2)</f>
        <v/>
      </c>
      <c r="S787" s="3" t="inlineStr">
        <is>
          <t>G2G</t>
        </is>
      </c>
      <c r="T787" s="3" t="inlineStr">
        <is>
          <t>P4</t>
        </is>
      </c>
      <c r="U787" s="3" t="inlineStr">
        <is>
          <t>P JB Cold Soldering</t>
        </is>
      </c>
      <c r="V787" s="3" t="inlineStr">
        <is>
          <t>Soldering</t>
        </is>
      </c>
      <c r="W787" s="3" t="inlineStr">
        <is>
          <t>Repair</t>
        </is>
      </c>
      <c r="X787" s="18" t="n">
        <v>46154</v>
      </c>
      <c r="Y787" s="73">
        <f>IF(X787="","",X787-A787)</f>
        <v/>
      </c>
      <c r="Z787" s="18" t="n">
        <v>46154</v>
      </c>
      <c r="AA787" s="15" t="n"/>
      <c r="AB787" s="15" t="n"/>
      <c r="AF787">
        <f>IF(AND($F787="Closed",$X787&gt;=DATE(2026,5,1),$X787&lt;=DATE(2026,5,31)),"Closed in May","Other")</f>
        <v/>
      </c>
    </row>
    <row r="788">
      <c r="A788" s="6" t="n">
        <v>46107</v>
      </c>
      <c r="B788" s="3" t="n">
        <v>2026</v>
      </c>
      <c r="C788" s="3" t="inlineStr">
        <is>
          <t>Blupine Energy</t>
        </is>
      </c>
      <c r="D788" s="3" t="inlineStr">
        <is>
          <t>Utility and C&amp;I</t>
        </is>
      </c>
      <c r="E788" s="3" t="n"/>
      <c r="F788" s="3" t="inlineStr">
        <is>
          <t>Closed</t>
        </is>
      </c>
      <c r="G788" s="3" t="inlineStr">
        <is>
          <t>Chandrashekar Patidar</t>
        </is>
      </c>
      <c r="H788" s="3" t="n">
        <v>7879764773</v>
      </c>
      <c r="I788" s="11" t="inlineStr">
        <is>
          <t>PE26032601</t>
        </is>
      </c>
      <c r="J788" s="3" t="inlineStr">
        <is>
          <t>Module Diode Failure</t>
        </is>
      </c>
      <c r="K788" s="3" t="inlineStr">
        <is>
          <t>Sadla</t>
        </is>
      </c>
      <c r="L788" s="3" t="inlineStr">
        <is>
          <t>Gujarat</t>
        </is>
      </c>
      <c r="M788" s="9" t="inlineStr">
        <is>
          <t>NS</t>
        </is>
      </c>
      <c r="N788" s="3" t="inlineStr">
        <is>
          <t>Cold Soldering</t>
        </is>
      </c>
      <c r="O788" s="3" t="n">
        <v>570</v>
      </c>
      <c r="P788" s="9" t="inlineStr">
        <is>
          <t>NSMI24060096889</t>
        </is>
      </c>
      <c r="Q788" s="53">
        <f>MID(P788,5,2)</f>
        <v/>
      </c>
      <c r="R788" s="53">
        <f>MID(P788,7,2)</f>
        <v/>
      </c>
      <c r="S788" s="3" t="inlineStr">
        <is>
          <t>G2G</t>
        </is>
      </c>
      <c r="T788" s="3" t="inlineStr">
        <is>
          <t>P4</t>
        </is>
      </c>
      <c r="U788" s="3" t="inlineStr">
        <is>
          <t>N JB Cold Soldering</t>
        </is>
      </c>
      <c r="V788" s="3" t="inlineStr">
        <is>
          <t>Soldering</t>
        </is>
      </c>
      <c r="W788" s="3" t="inlineStr">
        <is>
          <t>Repair</t>
        </is>
      </c>
      <c r="X788" s="18" t="n">
        <v>46154</v>
      </c>
      <c r="Y788" s="73">
        <f>IF(X788="","",X788-A788)</f>
        <v/>
      </c>
      <c r="Z788" s="18" t="n">
        <v>46154</v>
      </c>
      <c r="AA788" s="15" t="n"/>
      <c r="AB788" s="15" t="n"/>
      <c r="AF788">
        <f>IF(AND($F788="Closed",$X788&gt;=DATE(2026,5,1),$X788&lt;=DATE(2026,5,31)),"Closed in May","Other")</f>
        <v/>
      </c>
    </row>
    <row r="789">
      <c r="A789" s="6" t="n">
        <v>46107</v>
      </c>
      <c r="B789" s="3" t="n">
        <v>2026</v>
      </c>
      <c r="C789" s="3" t="inlineStr">
        <is>
          <t>Blupine Energy</t>
        </is>
      </c>
      <c r="D789" s="3" t="inlineStr">
        <is>
          <t>Utility and C&amp;I</t>
        </is>
      </c>
      <c r="E789" s="3" t="n"/>
      <c r="F789" s="3" t="inlineStr">
        <is>
          <t>Closed</t>
        </is>
      </c>
      <c r="G789" s="3" t="inlineStr">
        <is>
          <t>Chandrashekar Patidar</t>
        </is>
      </c>
      <c r="H789" s="3" t="n">
        <v>7879764773</v>
      </c>
      <c r="I789" s="11" t="inlineStr">
        <is>
          <t>PE26032601</t>
        </is>
      </c>
      <c r="J789" s="3" t="inlineStr">
        <is>
          <t>Module Diode Failure</t>
        </is>
      </c>
      <c r="K789" s="3" t="inlineStr">
        <is>
          <t>Sadla</t>
        </is>
      </c>
      <c r="L789" s="3" t="inlineStr">
        <is>
          <t>Gujarat</t>
        </is>
      </c>
      <c r="M789" s="9" t="inlineStr">
        <is>
          <t>PS</t>
        </is>
      </c>
      <c r="N789" s="3" t="inlineStr">
        <is>
          <t>Cold Soldering</t>
        </is>
      </c>
      <c r="O789" s="3" t="n">
        <v>570</v>
      </c>
      <c r="P789" s="9" t="inlineStr">
        <is>
          <t>NSMI24060097346</t>
        </is>
      </c>
      <c r="Q789" s="53">
        <f>MID(P789,5,2)</f>
        <v/>
      </c>
      <c r="R789" s="53">
        <f>MID(P789,7,2)</f>
        <v/>
      </c>
      <c r="S789" s="3" t="inlineStr">
        <is>
          <t>G2G</t>
        </is>
      </c>
      <c r="T789" s="3" t="inlineStr">
        <is>
          <t>P4</t>
        </is>
      </c>
      <c r="U789" s="3" t="inlineStr">
        <is>
          <t>P JB Cold Soldering</t>
        </is>
      </c>
      <c r="V789" s="3" t="inlineStr">
        <is>
          <t>Soldering</t>
        </is>
      </c>
      <c r="W789" s="3" t="inlineStr">
        <is>
          <t>Repair</t>
        </is>
      </c>
      <c r="X789" s="18" t="n">
        <v>46154</v>
      </c>
      <c r="Y789" s="73">
        <f>IF(X789="","",X789-A789)</f>
        <v/>
      </c>
      <c r="Z789" s="18" t="n">
        <v>46154</v>
      </c>
      <c r="AA789" s="15" t="n"/>
      <c r="AB789" s="15" t="n"/>
      <c r="AF789">
        <f>IF(AND($F789="Closed",$X789&gt;=DATE(2026,5,1),$X789&lt;=DATE(2026,5,31)),"Closed in May","Other")</f>
        <v/>
      </c>
    </row>
    <row r="790">
      <c r="A790" s="6" t="n">
        <v>46107</v>
      </c>
      <c r="B790" s="3" t="n">
        <v>2026</v>
      </c>
      <c r="C790" s="3" t="inlineStr">
        <is>
          <t>Blupine Energy</t>
        </is>
      </c>
      <c r="D790" s="3" t="inlineStr">
        <is>
          <t>Utility and C&amp;I</t>
        </is>
      </c>
      <c r="E790" s="3" t="n"/>
      <c r="F790" s="3" t="inlineStr">
        <is>
          <t>Closed</t>
        </is>
      </c>
      <c r="G790" s="3" t="inlineStr">
        <is>
          <t>Chandrashekar Patidar</t>
        </is>
      </c>
      <c r="H790" s="3" t="n">
        <v>7879764773</v>
      </c>
      <c r="I790" s="11" t="inlineStr">
        <is>
          <t>PE26032601</t>
        </is>
      </c>
      <c r="J790" s="3" t="inlineStr">
        <is>
          <t>Module Diode Failure</t>
        </is>
      </c>
      <c r="K790" s="3" t="inlineStr">
        <is>
          <t>Sadla</t>
        </is>
      </c>
      <c r="L790" s="3" t="inlineStr">
        <is>
          <t>Gujarat</t>
        </is>
      </c>
      <c r="M790" s="9" t="inlineStr">
        <is>
          <t>PS</t>
        </is>
      </c>
      <c r="N790" s="3" t="inlineStr">
        <is>
          <t>Cold Soldering</t>
        </is>
      </c>
      <c r="O790" s="3" t="n">
        <v>570</v>
      </c>
      <c r="P790" s="9" t="inlineStr">
        <is>
          <t>NSMI24060093754</t>
        </is>
      </c>
      <c r="Q790" s="53">
        <f>MID(P790,5,2)</f>
        <v/>
      </c>
      <c r="R790" s="53">
        <f>MID(P790,7,2)</f>
        <v/>
      </c>
      <c r="S790" s="3" t="inlineStr">
        <is>
          <t>G2G</t>
        </is>
      </c>
      <c r="T790" s="3" t="inlineStr">
        <is>
          <t>P4</t>
        </is>
      </c>
      <c r="U790" s="3" t="inlineStr">
        <is>
          <t>P JB Cold Soldering</t>
        </is>
      </c>
      <c r="V790" s="3" t="inlineStr">
        <is>
          <t>Soldering</t>
        </is>
      </c>
      <c r="W790" s="3" t="inlineStr">
        <is>
          <t>Repair</t>
        </is>
      </c>
      <c r="X790" s="18" t="n">
        <v>46154</v>
      </c>
      <c r="Y790" s="73">
        <f>IF(X790="","",X790-A790)</f>
        <v/>
      </c>
      <c r="Z790" s="18" t="n">
        <v>46154</v>
      </c>
      <c r="AA790" s="15" t="n"/>
      <c r="AB790" s="15" t="n"/>
      <c r="AF790">
        <f>IF(AND($F790="Closed",$X790&gt;=DATE(2026,5,1),$X790&lt;=DATE(2026,5,31)),"Closed in May","Other")</f>
        <v/>
      </c>
    </row>
    <row r="791">
      <c r="A791" s="6" t="n">
        <v>46107</v>
      </c>
      <c r="B791" s="3" t="n">
        <v>2026</v>
      </c>
      <c r="C791" s="3" t="inlineStr">
        <is>
          <t>Blupine Energy</t>
        </is>
      </c>
      <c r="D791" s="3" t="inlineStr">
        <is>
          <t>Utility and C&amp;I</t>
        </is>
      </c>
      <c r="E791" s="3" t="n"/>
      <c r="F791" s="3" t="inlineStr">
        <is>
          <t>Closed</t>
        </is>
      </c>
      <c r="G791" s="3" t="inlineStr">
        <is>
          <t>Chandrashekar Patidar</t>
        </is>
      </c>
      <c r="H791" s="3" t="n">
        <v>7879764773</v>
      </c>
      <c r="I791" s="11" t="inlineStr">
        <is>
          <t>PE26032601</t>
        </is>
      </c>
      <c r="J791" s="3" t="inlineStr">
        <is>
          <t>Module Diode Failure</t>
        </is>
      </c>
      <c r="K791" s="3" t="inlineStr">
        <is>
          <t>Sadla</t>
        </is>
      </c>
      <c r="L791" s="3" t="inlineStr">
        <is>
          <t>Gujarat</t>
        </is>
      </c>
      <c r="M791" s="9" t="inlineStr">
        <is>
          <t>NS</t>
        </is>
      </c>
      <c r="N791" s="3" t="inlineStr">
        <is>
          <t>Cold Soldering</t>
        </is>
      </c>
      <c r="O791" s="3" t="n">
        <v>570</v>
      </c>
      <c r="P791" s="9" t="inlineStr">
        <is>
          <t>NSMI24060090786</t>
        </is>
      </c>
      <c r="Q791" s="53">
        <f>MID(P791,5,2)</f>
        <v/>
      </c>
      <c r="R791" s="53">
        <f>MID(P791,7,2)</f>
        <v/>
      </c>
      <c r="S791" s="3" t="inlineStr">
        <is>
          <t>G2G</t>
        </is>
      </c>
      <c r="T791" s="3" t="inlineStr">
        <is>
          <t>P4</t>
        </is>
      </c>
      <c r="U791" s="3" t="inlineStr">
        <is>
          <t>N JB Cold Soldering</t>
        </is>
      </c>
      <c r="V791" s="3" t="inlineStr">
        <is>
          <t>Soldering</t>
        </is>
      </c>
      <c r="W791" s="3" t="inlineStr">
        <is>
          <t>Repair</t>
        </is>
      </c>
      <c r="X791" s="18" t="n">
        <v>46154</v>
      </c>
      <c r="Y791" s="73">
        <f>IF(X791="","",X791-A791)</f>
        <v/>
      </c>
      <c r="Z791" s="18" t="n">
        <v>46154</v>
      </c>
      <c r="AA791" s="15" t="n"/>
      <c r="AB791" s="15" t="n"/>
      <c r="AF791">
        <f>IF(AND($F791="Closed",$X791&gt;=DATE(2026,5,1),$X791&lt;=DATE(2026,5,31)),"Closed in May","Other")</f>
        <v/>
      </c>
    </row>
    <row r="792">
      <c r="A792" s="6" t="n">
        <v>46107</v>
      </c>
      <c r="B792" s="3" t="n">
        <v>2026</v>
      </c>
      <c r="C792" s="3" t="inlineStr">
        <is>
          <t>Blupine Energy</t>
        </is>
      </c>
      <c r="D792" s="3" t="inlineStr">
        <is>
          <t>Utility and C&amp;I</t>
        </is>
      </c>
      <c r="E792" s="3" t="n"/>
      <c r="F792" s="3" t="inlineStr">
        <is>
          <t>Closed</t>
        </is>
      </c>
      <c r="G792" s="3" t="inlineStr">
        <is>
          <t>Chandrashekar Patidar</t>
        </is>
      </c>
      <c r="H792" s="3" t="n">
        <v>7879764773</v>
      </c>
      <c r="I792" s="11" t="inlineStr">
        <is>
          <t>PE26032601</t>
        </is>
      </c>
      <c r="J792" s="3" t="inlineStr">
        <is>
          <t>Module Diode Failure</t>
        </is>
      </c>
      <c r="K792" s="3" t="inlineStr">
        <is>
          <t>Sadla</t>
        </is>
      </c>
      <c r="L792" s="3" t="inlineStr">
        <is>
          <t>Gujarat</t>
        </is>
      </c>
      <c r="M792" s="9" t="inlineStr">
        <is>
          <t>PS</t>
        </is>
      </c>
      <c r="N792" s="3" t="inlineStr">
        <is>
          <t>Cold Soldering</t>
        </is>
      </c>
      <c r="O792" s="3" t="n">
        <v>570</v>
      </c>
      <c r="P792" s="9" t="inlineStr">
        <is>
          <t>NSMI24060093145</t>
        </is>
      </c>
      <c r="Q792" s="53">
        <f>MID(P792,5,2)</f>
        <v/>
      </c>
      <c r="R792" s="53">
        <f>MID(P792,7,2)</f>
        <v/>
      </c>
      <c r="S792" s="3" t="inlineStr">
        <is>
          <t>G2G</t>
        </is>
      </c>
      <c r="T792" s="3" t="inlineStr">
        <is>
          <t>P4</t>
        </is>
      </c>
      <c r="U792" s="3" t="inlineStr">
        <is>
          <t>P JB Cold Soldering</t>
        </is>
      </c>
      <c r="V792" s="3" t="inlineStr">
        <is>
          <t>Soldering</t>
        </is>
      </c>
      <c r="W792" s="3" t="inlineStr">
        <is>
          <t>Repair</t>
        </is>
      </c>
      <c r="X792" s="18" t="n">
        <v>46154</v>
      </c>
      <c r="Y792" s="73">
        <f>IF(X792="","",X792-A792)</f>
        <v/>
      </c>
      <c r="Z792" s="18" t="n">
        <v>46154</v>
      </c>
      <c r="AA792" s="15" t="n"/>
      <c r="AB792" s="15" t="n"/>
      <c r="AF792">
        <f>IF(AND($F792="Closed",$X792&gt;=DATE(2026,5,1),$X792&lt;=DATE(2026,5,31)),"Closed in May","Other")</f>
        <v/>
      </c>
    </row>
    <row r="793">
      <c r="A793" s="6" t="n">
        <v>46107</v>
      </c>
      <c r="B793" s="3" t="n">
        <v>2026</v>
      </c>
      <c r="C793" s="3" t="inlineStr">
        <is>
          <t>Blupine Energy</t>
        </is>
      </c>
      <c r="D793" s="3" t="inlineStr">
        <is>
          <t>Utility and C&amp;I</t>
        </is>
      </c>
      <c r="E793" s="3" t="n"/>
      <c r="F793" s="3" t="inlineStr">
        <is>
          <t>Closed</t>
        </is>
      </c>
      <c r="G793" s="3" t="inlineStr">
        <is>
          <t>Chandrashekar Patidar</t>
        </is>
      </c>
      <c r="H793" s="3" t="n">
        <v>7879764773</v>
      </c>
      <c r="I793" s="11" t="inlineStr">
        <is>
          <t>PE26032601</t>
        </is>
      </c>
      <c r="J793" s="3" t="inlineStr">
        <is>
          <t>Module Diode Failure</t>
        </is>
      </c>
      <c r="K793" s="3" t="inlineStr">
        <is>
          <t>Sadla</t>
        </is>
      </c>
      <c r="L793" s="3" t="inlineStr">
        <is>
          <t>Gujarat</t>
        </is>
      </c>
      <c r="M793" s="9" t="inlineStr">
        <is>
          <t>NS</t>
        </is>
      </c>
      <c r="N793" s="3" t="inlineStr">
        <is>
          <t>Cold Soldering</t>
        </is>
      </c>
      <c r="O793" s="3" t="n">
        <v>570</v>
      </c>
      <c r="P793" s="9" t="inlineStr">
        <is>
          <t>NSMI24060094497</t>
        </is>
      </c>
      <c r="Q793" s="53">
        <f>MID(P793,5,2)</f>
        <v/>
      </c>
      <c r="R793" s="53">
        <f>MID(P793,7,2)</f>
        <v/>
      </c>
      <c r="S793" s="3" t="inlineStr">
        <is>
          <t>G2G</t>
        </is>
      </c>
      <c r="T793" s="3" t="inlineStr">
        <is>
          <t>P4</t>
        </is>
      </c>
      <c r="U793" s="3" t="inlineStr">
        <is>
          <t>N JB Cold Soldering</t>
        </is>
      </c>
      <c r="V793" s="3" t="inlineStr">
        <is>
          <t>Soldering</t>
        </is>
      </c>
      <c r="W793" s="3" t="inlineStr">
        <is>
          <t>Repair</t>
        </is>
      </c>
      <c r="X793" s="18" t="n">
        <v>46154</v>
      </c>
      <c r="Y793" s="73">
        <f>IF(X793="","",X793-A793)</f>
        <v/>
      </c>
      <c r="Z793" s="18" t="n">
        <v>46154</v>
      </c>
      <c r="AA793" s="15" t="n"/>
      <c r="AB793" s="15" t="n"/>
      <c r="AF793">
        <f>IF(AND($F793="Closed",$X793&gt;=DATE(2026,5,1),$X793&lt;=DATE(2026,5,31)),"Closed in May","Other")</f>
        <v/>
      </c>
    </row>
    <row r="794">
      <c r="A794" s="6" t="n">
        <v>46107</v>
      </c>
      <c r="B794" s="3" t="n">
        <v>2026</v>
      </c>
      <c r="C794" s="3" t="inlineStr">
        <is>
          <t>Blupine Energy</t>
        </is>
      </c>
      <c r="D794" s="3" t="inlineStr">
        <is>
          <t>Utility and C&amp;I</t>
        </is>
      </c>
      <c r="E794" s="3" t="n"/>
      <c r="F794" s="3" t="inlineStr">
        <is>
          <t>Closed</t>
        </is>
      </c>
      <c r="G794" s="3" t="inlineStr">
        <is>
          <t>Chandrashekar Patidar</t>
        </is>
      </c>
      <c r="H794" s="3" t="n">
        <v>7879764773</v>
      </c>
      <c r="I794" s="11" t="inlineStr">
        <is>
          <t>PE26032601</t>
        </is>
      </c>
      <c r="J794" s="3" t="inlineStr">
        <is>
          <t>Module Diode Failure</t>
        </is>
      </c>
      <c r="K794" s="3" t="inlineStr">
        <is>
          <t>Sadla</t>
        </is>
      </c>
      <c r="L794" s="3" t="inlineStr">
        <is>
          <t>Gujarat</t>
        </is>
      </c>
      <c r="M794" s="9" t="inlineStr">
        <is>
          <t>NS</t>
        </is>
      </c>
      <c r="N794" s="3" t="inlineStr">
        <is>
          <t>Cold Soldering</t>
        </is>
      </c>
      <c r="O794" s="3" t="n">
        <v>570</v>
      </c>
      <c r="P794" s="9" t="inlineStr">
        <is>
          <t>NSMI24060094472</t>
        </is>
      </c>
      <c r="Q794" s="53">
        <f>MID(P794,5,2)</f>
        <v/>
      </c>
      <c r="R794" s="53">
        <f>MID(P794,7,2)</f>
        <v/>
      </c>
      <c r="S794" s="3" t="inlineStr">
        <is>
          <t>G2G</t>
        </is>
      </c>
      <c r="T794" s="3" t="inlineStr">
        <is>
          <t>P4</t>
        </is>
      </c>
      <c r="U794" s="3" t="inlineStr">
        <is>
          <t>N JB Cold Soldering</t>
        </is>
      </c>
      <c r="V794" s="3" t="inlineStr">
        <is>
          <t>Soldering</t>
        </is>
      </c>
      <c r="W794" s="3" t="inlineStr">
        <is>
          <t>Repair</t>
        </is>
      </c>
      <c r="X794" s="18" t="n">
        <v>46154</v>
      </c>
      <c r="Y794" s="73">
        <f>IF(X794="","",X794-A794)</f>
        <v/>
      </c>
      <c r="Z794" s="18" t="n">
        <v>46154</v>
      </c>
      <c r="AA794" s="15" t="n"/>
      <c r="AB794" s="15" t="n"/>
      <c r="AF794">
        <f>IF(AND($F794="Closed",$X794&gt;=DATE(2026,5,1),$X794&lt;=DATE(2026,5,31)),"Closed in May","Other")</f>
        <v/>
      </c>
    </row>
    <row r="795">
      <c r="A795" s="6" t="n">
        <v>46107</v>
      </c>
      <c r="B795" s="3" t="n">
        <v>2026</v>
      </c>
      <c r="C795" s="3" t="inlineStr">
        <is>
          <t>Blupine Energy</t>
        </is>
      </c>
      <c r="D795" s="3" t="inlineStr">
        <is>
          <t>Utility and C&amp;I</t>
        </is>
      </c>
      <c r="E795" s="3" t="n"/>
      <c r="F795" s="3" t="inlineStr">
        <is>
          <t>Closed</t>
        </is>
      </c>
      <c r="G795" s="3" t="inlineStr">
        <is>
          <t>Chandrashekar Patidar</t>
        </is>
      </c>
      <c r="H795" s="3" t="n">
        <v>7879764773</v>
      </c>
      <c r="I795" s="11" t="inlineStr">
        <is>
          <t>PE26032601</t>
        </is>
      </c>
      <c r="J795" s="3" t="inlineStr">
        <is>
          <t>Module Diode Failure</t>
        </is>
      </c>
      <c r="K795" s="3" t="inlineStr">
        <is>
          <t>Sadla</t>
        </is>
      </c>
      <c r="L795" s="3" t="inlineStr">
        <is>
          <t>Gujarat</t>
        </is>
      </c>
      <c r="M795" s="9" t="inlineStr">
        <is>
          <t>PS</t>
        </is>
      </c>
      <c r="N795" s="3" t="inlineStr">
        <is>
          <t>Cold Soldering</t>
        </is>
      </c>
      <c r="O795" s="3" t="n">
        <v>570</v>
      </c>
      <c r="P795" s="9" t="inlineStr">
        <is>
          <t>NSMI24060093350</t>
        </is>
      </c>
      <c r="Q795" s="53">
        <f>MID(P795,5,2)</f>
        <v/>
      </c>
      <c r="R795" s="53">
        <f>MID(P795,7,2)</f>
        <v/>
      </c>
      <c r="S795" s="3" t="inlineStr">
        <is>
          <t>G2G</t>
        </is>
      </c>
      <c r="T795" s="3" t="inlineStr">
        <is>
          <t>P4</t>
        </is>
      </c>
      <c r="U795" s="3" t="inlineStr">
        <is>
          <t>P JB Cold Soldering</t>
        </is>
      </c>
      <c r="V795" s="3" t="inlineStr">
        <is>
          <t>Soldering</t>
        </is>
      </c>
      <c r="W795" s="3" t="inlineStr">
        <is>
          <t>Repair</t>
        </is>
      </c>
      <c r="X795" s="18" t="n">
        <v>46154</v>
      </c>
      <c r="Y795" s="73">
        <f>IF(X795="","",X795-A795)</f>
        <v/>
      </c>
      <c r="Z795" s="18" t="n">
        <v>46154</v>
      </c>
      <c r="AA795" s="15" t="n"/>
      <c r="AB795" s="15" t="n"/>
      <c r="AF795">
        <f>IF(AND($F795="Closed",$X795&gt;=DATE(2026,5,1),$X795&lt;=DATE(2026,5,31)),"Closed in May","Other")</f>
        <v/>
      </c>
    </row>
    <row r="796">
      <c r="A796" s="6" t="n">
        <v>46107</v>
      </c>
      <c r="B796" s="3" t="n">
        <v>2026</v>
      </c>
      <c r="C796" s="3" t="inlineStr">
        <is>
          <t>Blupine Energy</t>
        </is>
      </c>
      <c r="D796" s="3" t="inlineStr">
        <is>
          <t>Utility and C&amp;I</t>
        </is>
      </c>
      <c r="E796" s="3" t="n"/>
      <c r="F796" s="3" t="inlineStr">
        <is>
          <t>Closed</t>
        </is>
      </c>
      <c r="G796" s="3" t="inlineStr">
        <is>
          <t>Chandrashekar Patidar</t>
        </is>
      </c>
      <c r="H796" s="3" t="n">
        <v>7879764773</v>
      </c>
      <c r="I796" s="11" t="inlineStr">
        <is>
          <t>PE26032601</t>
        </is>
      </c>
      <c r="J796" s="3" t="inlineStr">
        <is>
          <t>Module Diode Failure</t>
        </is>
      </c>
      <c r="K796" s="3" t="inlineStr">
        <is>
          <t>Sadla</t>
        </is>
      </c>
      <c r="L796" s="3" t="inlineStr">
        <is>
          <t>Gujarat</t>
        </is>
      </c>
      <c r="M796" s="9" t="inlineStr">
        <is>
          <t>NR</t>
        </is>
      </c>
      <c r="N796" s="3" t="inlineStr">
        <is>
          <t>JB Issue</t>
        </is>
      </c>
      <c r="O796" s="3" t="n">
        <v>570</v>
      </c>
      <c r="P796" s="9" t="inlineStr">
        <is>
          <t>NSMI24060093202</t>
        </is>
      </c>
      <c r="Q796" s="53">
        <f>MID(P796,5,2)</f>
        <v/>
      </c>
      <c r="R796" s="53">
        <f>MID(P796,7,2)</f>
        <v/>
      </c>
      <c r="S796" s="3" t="inlineStr">
        <is>
          <t>G2G</t>
        </is>
      </c>
      <c r="T796" s="3" t="inlineStr">
        <is>
          <t>P4</t>
        </is>
      </c>
      <c r="U796" s="3" t="inlineStr">
        <is>
          <t>N JB Issue</t>
        </is>
      </c>
      <c r="V796" s="3" t="inlineStr">
        <is>
          <t>JB Changed</t>
        </is>
      </c>
      <c r="W796" s="3" t="inlineStr">
        <is>
          <t>Repair</t>
        </is>
      </c>
      <c r="X796" s="18" t="n">
        <v>46154</v>
      </c>
      <c r="Y796" s="73">
        <f>IF(X796="","",X796-A796)</f>
        <v/>
      </c>
      <c r="Z796" s="18" t="n">
        <v>46154</v>
      </c>
      <c r="AA796" s="15" t="n"/>
      <c r="AB796" s="15" t="n"/>
      <c r="AF796">
        <f>IF(AND($F796="Closed",$X796&gt;=DATE(2026,5,1),$X796&lt;=DATE(2026,5,31)),"Closed in May","Other")</f>
        <v/>
      </c>
    </row>
    <row r="797">
      <c r="A797" s="6" t="n">
        <v>46107</v>
      </c>
      <c r="B797" s="3" t="n">
        <v>2026</v>
      </c>
      <c r="C797" s="3" t="inlineStr">
        <is>
          <t>Blupine Energy</t>
        </is>
      </c>
      <c r="D797" s="3" t="inlineStr">
        <is>
          <t>Utility and C&amp;I</t>
        </is>
      </c>
      <c r="E797" s="3" t="n"/>
      <c r="F797" s="3" t="inlineStr">
        <is>
          <t>Closed</t>
        </is>
      </c>
      <c r="G797" s="3" t="inlineStr">
        <is>
          <t>Chandrashekar Patidar</t>
        </is>
      </c>
      <c r="H797" s="3" t="n">
        <v>7879764773</v>
      </c>
      <c r="I797" s="11" t="inlineStr">
        <is>
          <t>PE26032601</t>
        </is>
      </c>
      <c r="J797" s="3" t="inlineStr">
        <is>
          <t>Module Diode Failure</t>
        </is>
      </c>
      <c r="K797" s="3" t="inlineStr">
        <is>
          <t>Sadla</t>
        </is>
      </c>
      <c r="L797" s="3" t="inlineStr">
        <is>
          <t>Gujarat</t>
        </is>
      </c>
      <c r="M797" s="9" t="inlineStr">
        <is>
          <t>NS</t>
        </is>
      </c>
      <c r="N797" s="3" t="inlineStr">
        <is>
          <t>Cold Soldering</t>
        </is>
      </c>
      <c r="O797" s="3" t="n">
        <v>570</v>
      </c>
      <c r="P797" s="9" t="inlineStr">
        <is>
          <t>NSMI24060084200</t>
        </is>
      </c>
      <c r="Q797" s="53">
        <f>MID(P797,5,2)</f>
        <v/>
      </c>
      <c r="R797" s="53">
        <f>MID(P797,7,2)</f>
        <v/>
      </c>
      <c r="S797" s="3" t="inlineStr">
        <is>
          <t>G2G</t>
        </is>
      </c>
      <c r="T797" s="3" t="inlineStr">
        <is>
          <t>P4</t>
        </is>
      </c>
      <c r="U797" s="3" t="inlineStr">
        <is>
          <t>N JB Cold Soldering</t>
        </is>
      </c>
      <c r="V797" s="3" t="inlineStr">
        <is>
          <t>Soldering</t>
        </is>
      </c>
      <c r="W797" s="3" t="inlineStr">
        <is>
          <t>Repair</t>
        </is>
      </c>
      <c r="X797" s="18" t="n">
        <v>46154</v>
      </c>
      <c r="Y797" s="73">
        <f>IF(X797="","",X797-A797)</f>
        <v/>
      </c>
      <c r="Z797" s="18" t="n">
        <v>46154</v>
      </c>
      <c r="AA797" s="15" t="n"/>
      <c r="AB797" s="15" t="n"/>
      <c r="AF797">
        <f>IF(AND($F797="Closed",$X797&gt;=DATE(2026,5,1),$X797&lt;=DATE(2026,5,31)),"Closed in May","Other")</f>
        <v/>
      </c>
    </row>
    <row r="798">
      <c r="A798" s="6" t="n">
        <v>46107</v>
      </c>
      <c r="B798" s="3" t="n">
        <v>2026</v>
      </c>
      <c r="C798" s="3" t="inlineStr">
        <is>
          <t>Blupine Energy</t>
        </is>
      </c>
      <c r="D798" s="3" t="inlineStr">
        <is>
          <t>Utility and C&amp;I</t>
        </is>
      </c>
      <c r="E798" s="3" t="n"/>
      <c r="F798" s="3" t="inlineStr">
        <is>
          <t>Closed</t>
        </is>
      </c>
      <c r="G798" s="3" t="inlineStr">
        <is>
          <t>Chandrashekar Patidar</t>
        </is>
      </c>
      <c r="H798" s="3" t="n">
        <v>7879764773</v>
      </c>
      <c r="I798" s="11" t="inlineStr">
        <is>
          <t>PE26032601</t>
        </is>
      </c>
      <c r="J798" s="3" t="inlineStr">
        <is>
          <t>Module Diode Failure</t>
        </is>
      </c>
      <c r="K798" s="3" t="inlineStr">
        <is>
          <t>Sadla</t>
        </is>
      </c>
      <c r="L798" s="3" t="inlineStr">
        <is>
          <t>Gujarat</t>
        </is>
      </c>
      <c r="M798" s="9" t="inlineStr">
        <is>
          <t>PS</t>
        </is>
      </c>
      <c r="N798" s="3" t="inlineStr">
        <is>
          <t>Cold Soldering</t>
        </is>
      </c>
      <c r="O798" s="3" t="n">
        <v>570</v>
      </c>
      <c r="P798" s="9" t="inlineStr">
        <is>
          <t>NSMI24060084313</t>
        </is>
      </c>
      <c r="Q798" s="53">
        <f>MID(P798,5,2)</f>
        <v/>
      </c>
      <c r="R798" s="53">
        <f>MID(P798,7,2)</f>
        <v/>
      </c>
      <c r="S798" s="3" t="inlineStr">
        <is>
          <t>G2G</t>
        </is>
      </c>
      <c r="T798" s="3" t="inlineStr">
        <is>
          <t>P4</t>
        </is>
      </c>
      <c r="U798" s="3" t="inlineStr">
        <is>
          <t>P JB Cold Soldering</t>
        </is>
      </c>
      <c r="V798" s="3" t="inlineStr">
        <is>
          <t>Soldering</t>
        </is>
      </c>
      <c r="W798" s="3" t="inlineStr">
        <is>
          <t>Repair</t>
        </is>
      </c>
      <c r="X798" s="18" t="n">
        <v>46154</v>
      </c>
      <c r="Y798" s="73">
        <f>IF(X798="","",X798-A798)</f>
        <v/>
      </c>
      <c r="Z798" s="18" t="n">
        <v>46154</v>
      </c>
      <c r="AA798" s="15" t="n"/>
      <c r="AB798" s="15" t="n"/>
      <c r="AF798">
        <f>IF(AND($F798="Closed",$X798&gt;=DATE(2026,5,1),$X798&lt;=DATE(2026,5,31)),"Closed in May","Other")</f>
        <v/>
      </c>
    </row>
    <row r="799">
      <c r="A799" s="6" t="n">
        <v>46107</v>
      </c>
      <c r="B799" s="3" t="n">
        <v>2026</v>
      </c>
      <c r="C799" s="3" t="inlineStr">
        <is>
          <t>Blupine Energy</t>
        </is>
      </c>
      <c r="D799" s="3" t="inlineStr">
        <is>
          <t>Utility and C&amp;I</t>
        </is>
      </c>
      <c r="E799" s="3" t="n"/>
      <c r="F799" s="3" t="inlineStr">
        <is>
          <t>Closed</t>
        </is>
      </c>
      <c r="G799" s="3" t="inlineStr">
        <is>
          <t>Chandrashekar Patidar</t>
        </is>
      </c>
      <c r="H799" s="3" t="n">
        <v>7879764773</v>
      </c>
      <c r="I799" s="11" t="inlineStr">
        <is>
          <t>PE26032601</t>
        </is>
      </c>
      <c r="J799" s="3" t="inlineStr">
        <is>
          <t>Module Diode Failure</t>
        </is>
      </c>
      <c r="K799" s="3" t="inlineStr">
        <is>
          <t>Sadla</t>
        </is>
      </c>
      <c r="L799" s="3" t="inlineStr">
        <is>
          <t>Gujarat</t>
        </is>
      </c>
      <c r="M799" s="9" t="inlineStr">
        <is>
          <t>NS</t>
        </is>
      </c>
      <c r="N799" s="3" t="inlineStr">
        <is>
          <t>Cold Soldering</t>
        </is>
      </c>
      <c r="O799" s="3" t="n">
        <v>570</v>
      </c>
      <c r="P799" s="9" t="inlineStr">
        <is>
          <t>NSMI24060107709</t>
        </is>
      </c>
      <c r="Q799" s="53">
        <f>MID(P799,5,2)</f>
        <v/>
      </c>
      <c r="R799" s="53">
        <f>MID(P799,7,2)</f>
        <v/>
      </c>
      <c r="S799" s="3" t="inlineStr">
        <is>
          <t>G2G</t>
        </is>
      </c>
      <c r="T799" s="3" t="inlineStr">
        <is>
          <t>P4</t>
        </is>
      </c>
      <c r="U799" s="3" t="inlineStr">
        <is>
          <t>N JB Cold Soldering</t>
        </is>
      </c>
      <c r="V799" s="3" t="inlineStr">
        <is>
          <t>Soldering</t>
        </is>
      </c>
      <c r="W799" s="3" t="inlineStr">
        <is>
          <t>Repair</t>
        </is>
      </c>
      <c r="X799" s="18" t="n">
        <v>46154</v>
      </c>
      <c r="Y799" s="73">
        <f>IF(X799="","",X799-A799)</f>
        <v/>
      </c>
      <c r="Z799" s="18" t="n">
        <v>46154</v>
      </c>
      <c r="AA799" s="15" t="n"/>
      <c r="AB799" s="15" t="n"/>
      <c r="AF799">
        <f>IF(AND($F799="Closed",$X799&gt;=DATE(2026,5,1),$X799&lt;=DATE(2026,5,31)),"Closed in May","Other")</f>
        <v/>
      </c>
    </row>
    <row r="800">
      <c r="A800" s="6" t="n">
        <v>46107</v>
      </c>
      <c r="B800" s="3" t="n">
        <v>2026</v>
      </c>
      <c r="C800" s="3" t="inlineStr">
        <is>
          <t>Blupine Energy</t>
        </is>
      </c>
      <c r="D800" s="3" t="inlineStr">
        <is>
          <t>Utility and C&amp;I</t>
        </is>
      </c>
      <c r="E800" s="3" t="n"/>
      <c r="F800" s="3" t="inlineStr">
        <is>
          <t>Closed</t>
        </is>
      </c>
      <c r="G800" s="3" t="inlineStr">
        <is>
          <t>Chandrashekar Patidar</t>
        </is>
      </c>
      <c r="H800" s="3" t="n">
        <v>7879764773</v>
      </c>
      <c r="I800" s="11" t="inlineStr">
        <is>
          <t>PE26032601</t>
        </is>
      </c>
      <c r="J800" s="3" t="inlineStr">
        <is>
          <t>Module Diode Failure</t>
        </is>
      </c>
      <c r="K800" s="3" t="inlineStr">
        <is>
          <t>Sadla</t>
        </is>
      </c>
      <c r="L800" s="3" t="inlineStr">
        <is>
          <t>Gujarat</t>
        </is>
      </c>
      <c r="M800" s="9" t="inlineStr">
        <is>
          <t>PS</t>
        </is>
      </c>
      <c r="N800" s="3" t="inlineStr">
        <is>
          <t>Cold Soldering</t>
        </is>
      </c>
      <c r="O800" s="3" t="n">
        <v>570</v>
      </c>
      <c r="P800" s="9" t="inlineStr">
        <is>
          <t>NSMI24060107880</t>
        </is>
      </c>
      <c r="Q800" s="53">
        <f>MID(P800,5,2)</f>
        <v/>
      </c>
      <c r="R800" s="53">
        <f>MID(P800,7,2)</f>
        <v/>
      </c>
      <c r="S800" s="3" t="inlineStr">
        <is>
          <t>G2G</t>
        </is>
      </c>
      <c r="T800" s="3" t="inlineStr">
        <is>
          <t>P4</t>
        </is>
      </c>
      <c r="U800" s="3" t="inlineStr">
        <is>
          <t>P JB Cold Soldering</t>
        </is>
      </c>
      <c r="V800" s="3" t="inlineStr">
        <is>
          <t>Soldering</t>
        </is>
      </c>
      <c r="W800" s="3" t="inlineStr">
        <is>
          <t>Repair</t>
        </is>
      </c>
      <c r="X800" s="18" t="n">
        <v>46154</v>
      </c>
      <c r="Y800" s="73">
        <f>IF(X800="","",X800-A800)</f>
        <v/>
      </c>
      <c r="Z800" s="18" t="n">
        <v>46154</v>
      </c>
      <c r="AA800" s="15" t="n"/>
      <c r="AB800" s="15" t="n"/>
      <c r="AF800">
        <f>IF(AND($F800="Closed",$X800&gt;=DATE(2026,5,1),$X800&lt;=DATE(2026,5,31)),"Closed in May","Other")</f>
        <v/>
      </c>
    </row>
    <row r="801">
      <c r="A801" s="6" t="n">
        <v>46107</v>
      </c>
      <c r="B801" s="3" t="n">
        <v>2026</v>
      </c>
      <c r="C801" s="3" t="inlineStr">
        <is>
          <t>Blupine Energy</t>
        </is>
      </c>
      <c r="D801" s="3" t="inlineStr">
        <is>
          <t>Utility and C&amp;I</t>
        </is>
      </c>
      <c r="E801" s="3" t="n"/>
      <c r="F801" s="3" t="inlineStr">
        <is>
          <t>Closed</t>
        </is>
      </c>
      <c r="G801" s="3" t="inlineStr">
        <is>
          <t>Chandrashekar Patidar</t>
        </is>
      </c>
      <c r="H801" s="3" t="n">
        <v>7879764773</v>
      </c>
      <c r="I801" s="11" t="inlineStr">
        <is>
          <t>PE26032601</t>
        </is>
      </c>
      <c r="J801" s="3" t="inlineStr">
        <is>
          <t>Module Diode Failure</t>
        </is>
      </c>
      <c r="K801" s="3" t="inlineStr">
        <is>
          <t>Sadla</t>
        </is>
      </c>
      <c r="L801" s="3" t="inlineStr">
        <is>
          <t>Gujarat</t>
        </is>
      </c>
      <c r="M801" s="9" t="inlineStr">
        <is>
          <t>NS</t>
        </is>
      </c>
      <c r="N801" s="3" t="inlineStr">
        <is>
          <t>Cold Soldering</t>
        </is>
      </c>
      <c r="O801" s="3" t="n">
        <v>570</v>
      </c>
      <c r="P801" s="9" t="inlineStr">
        <is>
          <t>NSMI24060079211</t>
        </is>
      </c>
      <c r="Q801" s="53">
        <f>MID(P801,5,2)</f>
        <v/>
      </c>
      <c r="R801" s="53">
        <f>MID(P801,7,2)</f>
        <v/>
      </c>
      <c r="S801" s="3" t="inlineStr">
        <is>
          <t>G2G</t>
        </is>
      </c>
      <c r="T801" s="3" t="inlineStr">
        <is>
          <t>P4</t>
        </is>
      </c>
      <c r="U801" s="3" t="inlineStr">
        <is>
          <t>N JB Cold Soldering</t>
        </is>
      </c>
      <c r="V801" s="3" t="inlineStr">
        <is>
          <t>Soldering</t>
        </is>
      </c>
      <c r="W801" s="3" t="inlineStr">
        <is>
          <t>Repair</t>
        </is>
      </c>
      <c r="X801" s="18" t="n">
        <v>46154</v>
      </c>
      <c r="Y801" s="73">
        <f>IF(X801="","",X801-A801)</f>
        <v/>
      </c>
      <c r="Z801" s="18" t="n">
        <v>46154</v>
      </c>
      <c r="AA801" s="15" t="n"/>
      <c r="AB801" s="15" t="n"/>
      <c r="AF801">
        <f>IF(AND($F801="Closed",$X801&gt;=DATE(2026,5,1),$X801&lt;=DATE(2026,5,31)),"Closed in May","Other")</f>
        <v/>
      </c>
    </row>
    <row r="802">
      <c r="A802" s="6" t="n">
        <v>46107</v>
      </c>
      <c r="B802" s="3" t="n">
        <v>2026</v>
      </c>
      <c r="C802" s="3" t="inlineStr">
        <is>
          <t>Blupine Energy</t>
        </is>
      </c>
      <c r="D802" s="3" t="inlineStr">
        <is>
          <t>Utility and C&amp;I</t>
        </is>
      </c>
      <c r="E802" s="3" t="n"/>
      <c r="F802" s="3" t="inlineStr">
        <is>
          <t>Closed</t>
        </is>
      </c>
      <c r="G802" s="3" t="inlineStr">
        <is>
          <t>Chandrashekar Patidar</t>
        </is>
      </c>
      <c r="H802" s="3" t="n">
        <v>7879764773</v>
      </c>
      <c r="I802" s="11" t="inlineStr">
        <is>
          <t>PE26032601</t>
        </is>
      </c>
      <c r="J802" s="3" t="inlineStr">
        <is>
          <t>Module Diode Failure</t>
        </is>
      </c>
      <c r="K802" s="3" t="inlineStr">
        <is>
          <t>Sadla</t>
        </is>
      </c>
      <c r="L802" s="3" t="inlineStr">
        <is>
          <t>Gujarat</t>
        </is>
      </c>
      <c r="M802" s="9" t="inlineStr">
        <is>
          <t>PS</t>
        </is>
      </c>
      <c r="N802" s="3" t="inlineStr">
        <is>
          <t>Cold Soldering</t>
        </is>
      </c>
      <c r="O802" s="3" t="n">
        <v>570</v>
      </c>
      <c r="P802" s="9" t="inlineStr">
        <is>
          <t>NSMI24060079223</t>
        </is>
      </c>
      <c r="Q802" s="53">
        <f>MID(P802,5,2)</f>
        <v/>
      </c>
      <c r="R802" s="53">
        <f>MID(P802,7,2)</f>
        <v/>
      </c>
      <c r="S802" s="3" t="inlineStr">
        <is>
          <t>G2G</t>
        </is>
      </c>
      <c r="T802" s="3" t="inlineStr">
        <is>
          <t>P4</t>
        </is>
      </c>
      <c r="U802" s="3" t="inlineStr">
        <is>
          <t>P JB Cold Soldering</t>
        </is>
      </c>
      <c r="V802" s="3" t="inlineStr">
        <is>
          <t>Soldering</t>
        </is>
      </c>
      <c r="W802" s="3" t="inlineStr">
        <is>
          <t>Repair</t>
        </is>
      </c>
      <c r="X802" s="18" t="n">
        <v>46154</v>
      </c>
      <c r="Y802" s="73">
        <f>IF(X802="","",X802-A802)</f>
        <v/>
      </c>
      <c r="Z802" s="18" t="n">
        <v>46154</v>
      </c>
      <c r="AA802" s="15" t="n"/>
      <c r="AB802" s="15" t="n"/>
      <c r="AF802">
        <f>IF(AND($F802="Closed",$X802&gt;=DATE(2026,5,1),$X802&lt;=DATE(2026,5,31)),"Closed in May","Other")</f>
        <v/>
      </c>
    </row>
    <row r="803">
      <c r="A803" s="6" t="n">
        <v>46107</v>
      </c>
      <c r="B803" s="3" t="n">
        <v>2026</v>
      </c>
      <c r="C803" s="3" t="inlineStr">
        <is>
          <t>Blupine Energy</t>
        </is>
      </c>
      <c r="D803" s="3" t="inlineStr">
        <is>
          <t>Utility and C&amp;I</t>
        </is>
      </c>
      <c r="E803" s="3" t="n"/>
      <c r="F803" s="3" t="inlineStr">
        <is>
          <t>Closed</t>
        </is>
      </c>
      <c r="G803" s="3" t="inlineStr">
        <is>
          <t>Chandrashekar Patidar</t>
        </is>
      </c>
      <c r="H803" s="3" t="n">
        <v>7879764773</v>
      </c>
      <c r="I803" s="11" t="inlineStr">
        <is>
          <t>PE26032601</t>
        </is>
      </c>
      <c r="J803" s="3" t="inlineStr">
        <is>
          <t>Module Diode Failure</t>
        </is>
      </c>
      <c r="K803" s="3" t="inlineStr">
        <is>
          <t>Sadla</t>
        </is>
      </c>
      <c r="L803" s="3" t="inlineStr">
        <is>
          <t>Gujarat</t>
        </is>
      </c>
      <c r="M803" s="9" t="inlineStr">
        <is>
          <t>NR</t>
        </is>
      </c>
      <c r="N803" s="3" t="inlineStr">
        <is>
          <t>JB Issue</t>
        </is>
      </c>
      <c r="O803" s="3" t="n">
        <v>570</v>
      </c>
      <c r="P803" s="9" t="inlineStr">
        <is>
          <t>NSMI24050066190</t>
        </is>
      </c>
      <c r="Q803" s="53">
        <f>MID(P803,5,2)</f>
        <v/>
      </c>
      <c r="R803" s="53">
        <f>MID(P803,7,2)</f>
        <v/>
      </c>
      <c r="S803" s="3" t="inlineStr">
        <is>
          <t>G2G</t>
        </is>
      </c>
      <c r="T803" s="3" t="inlineStr">
        <is>
          <t>P4</t>
        </is>
      </c>
      <c r="U803" s="3" t="inlineStr">
        <is>
          <t>N JB Issue</t>
        </is>
      </c>
      <c r="V803" s="3" t="inlineStr">
        <is>
          <t>JB Changed</t>
        </is>
      </c>
      <c r="W803" s="3" t="inlineStr">
        <is>
          <t>Repair</t>
        </is>
      </c>
      <c r="X803" s="18" t="n">
        <v>46154</v>
      </c>
      <c r="Y803" s="73">
        <f>IF(X803="","",X803-A803)</f>
        <v/>
      </c>
      <c r="Z803" s="18" t="n">
        <v>46154</v>
      </c>
      <c r="AA803" s="15" t="n"/>
      <c r="AB803" s="15" t="n"/>
      <c r="AF803">
        <f>IF(AND($F803="Closed",$X803&gt;=DATE(2026,5,1),$X803&lt;=DATE(2026,5,31)),"Closed in May","Other")</f>
        <v/>
      </c>
    </row>
    <row r="804">
      <c r="A804" s="6" t="n">
        <v>46107</v>
      </c>
      <c r="B804" s="3" t="n">
        <v>2026</v>
      </c>
      <c r="C804" s="3" t="inlineStr">
        <is>
          <t>Blupine Energy</t>
        </is>
      </c>
      <c r="D804" s="3" t="inlineStr">
        <is>
          <t>Utility and C&amp;I</t>
        </is>
      </c>
      <c r="E804" s="3" t="n"/>
      <c r="F804" s="3" t="inlineStr">
        <is>
          <t>Closed</t>
        </is>
      </c>
      <c r="G804" s="3" t="inlineStr">
        <is>
          <t>Chandrashekar Patidar</t>
        </is>
      </c>
      <c r="H804" s="3" t="n">
        <v>7879764773</v>
      </c>
      <c r="I804" s="11" t="inlineStr">
        <is>
          <t>PE26032601</t>
        </is>
      </c>
      <c r="J804" s="3" t="inlineStr">
        <is>
          <t>Module Diode Failure</t>
        </is>
      </c>
      <c r="K804" s="3" t="inlineStr">
        <is>
          <t>Sadla</t>
        </is>
      </c>
      <c r="L804" s="3" t="inlineStr">
        <is>
          <t>Gujarat</t>
        </is>
      </c>
      <c r="M804" s="9" t="inlineStr">
        <is>
          <t>NS</t>
        </is>
      </c>
      <c r="N804" s="3" t="inlineStr">
        <is>
          <t>Cold Soldering</t>
        </is>
      </c>
      <c r="O804" s="3" t="n">
        <v>570</v>
      </c>
      <c r="P804" s="9" t="inlineStr">
        <is>
          <t>NSMI24060077429</t>
        </is>
      </c>
      <c r="Q804" s="53">
        <f>MID(P804,5,2)</f>
        <v/>
      </c>
      <c r="R804" s="53">
        <f>MID(P804,7,2)</f>
        <v/>
      </c>
      <c r="S804" s="3" t="inlineStr">
        <is>
          <t>G2G</t>
        </is>
      </c>
      <c r="T804" s="3" t="inlineStr">
        <is>
          <t>P4</t>
        </is>
      </c>
      <c r="U804" s="3" t="inlineStr">
        <is>
          <t>N JB Cold Soldering</t>
        </is>
      </c>
      <c r="V804" s="3" t="inlineStr">
        <is>
          <t>Soldering</t>
        </is>
      </c>
      <c r="W804" s="3" t="inlineStr">
        <is>
          <t>Repair</t>
        </is>
      </c>
      <c r="X804" s="18" t="n">
        <v>46154</v>
      </c>
      <c r="Y804" s="73">
        <f>IF(X804="","",X804-A804)</f>
        <v/>
      </c>
      <c r="Z804" s="18" t="n">
        <v>46154</v>
      </c>
      <c r="AA804" s="15" t="n"/>
      <c r="AB804" s="15" t="n"/>
      <c r="AF804">
        <f>IF(AND($F804="Closed",$X804&gt;=DATE(2026,5,1),$X804&lt;=DATE(2026,5,31)),"Closed in May","Other")</f>
        <v/>
      </c>
    </row>
    <row r="805">
      <c r="A805" s="6" t="n">
        <v>46107</v>
      </c>
      <c r="B805" s="3" t="n">
        <v>2026</v>
      </c>
      <c r="C805" s="3" t="inlineStr">
        <is>
          <t>Blupine Energy</t>
        </is>
      </c>
      <c r="D805" s="3" t="inlineStr">
        <is>
          <t>Utility and C&amp;I</t>
        </is>
      </c>
      <c r="E805" s="3" t="n"/>
      <c r="F805" s="3" t="inlineStr">
        <is>
          <t>Closed</t>
        </is>
      </c>
      <c r="G805" s="3" t="inlineStr">
        <is>
          <t>Chandrashekar Patidar</t>
        </is>
      </c>
      <c r="H805" s="3" t="n">
        <v>7879764773</v>
      </c>
      <c r="I805" s="11" t="inlineStr">
        <is>
          <t>PE26032601</t>
        </is>
      </c>
      <c r="J805" s="3" t="inlineStr">
        <is>
          <t>Module Diode Failure</t>
        </is>
      </c>
      <c r="K805" s="3" t="inlineStr">
        <is>
          <t>Sadla</t>
        </is>
      </c>
      <c r="L805" s="3" t="inlineStr">
        <is>
          <t>Gujarat</t>
        </is>
      </c>
      <c r="M805" s="9" t="inlineStr">
        <is>
          <t>PS</t>
        </is>
      </c>
      <c r="N805" s="3" t="inlineStr">
        <is>
          <t>Cold Soldering</t>
        </is>
      </c>
      <c r="O805" s="3" t="n">
        <v>570</v>
      </c>
      <c r="P805" s="9" t="inlineStr">
        <is>
          <t>NSMI24050067884</t>
        </is>
      </c>
      <c r="Q805" s="53">
        <f>MID(P805,5,2)</f>
        <v/>
      </c>
      <c r="R805" s="53">
        <f>MID(P805,7,2)</f>
        <v/>
      </c>
      <c r="S805" s="3" t="inlineStr">
        <is>
          <t>G2G</t>
        </is>
      </c>
      <c r="T805" s="3" t="inlineStr">
        <is>
          <t>P4</t>
        </is>
      </c>
      <c r="U805" s="3" t="inlineStr">
        <is>
          <t>P JB Cold Soldering</t>
        </is>
      </c>
      <c r="V805" s="3" t="inlineStr">
        <is>
          <t>Soldering</t>
        </is>
      </c>
      <c r="W805" s="3" t="inlineStr">
        <is>
          <t>Repair</t>
        </is>
      </c>
      <c r="X805" s="18" t="n">
        <v>46154</v>
      </c>
      <c r="Y805" s="73">
        <f>IF(X805="","",X805-A805)</f>
        <v/>
      </c>
      <c r="Z805" s="18" t="n">
        <v>46154</v>
      </c>
      <c r="AA805" s="15" t="n"/>
      <c r="AB805" s="15" t="n"/>
      <c r="AF805">
        <f>IF(AND($F805="Closed",$X805&gt;=DATE(2026,5,1),$X805&lt;=DATE(2026,5,31)),"Closed in May","Other")</f>
        <v/>
      </c>
    </row>
    <row r="806">
      <c r="A806" s="6" t="n">
        <v>46107</v>
      </c>
      <c r="B806" s="3" t="n">
        <v>2026</v>
      </c>
      <c r="C806" s="3" t="inlineStr">
        <is>
          <t>Blupine Energy</t>
        </is>
      </c>
      <c r="D806" s="3" t="inlineStr">
        <is>
          <t>Utility and C&amp;I</t>
        </is>
      </c>
      <c r="E806" s="3" t="n"/>
      <c r="F806" s="3" t="inlineStr">
        <is>
          <t>Closed</t>
        </is>
      </c>
      <c r="G806" s="3" t="inlineStr">
        <is>
          <t>Chandrashekar Patidar</t>
        </is>
      </c>
      <c r="H806" s="3" t="n">
        <v>7879764773</v>
      </c>
      <c r="I806" s="11" t="inlineStr">
        <is>
          <t>PE26032601</t>
        </is>
      </c>
      <c r="J806" s="3" t="inlineStr">
        <is>
          <t>Module Diode Failure</t>
        </is>
      </c>
      <c r="K806" s="3" t="inlineStr">
        <is>
          <t>Sadla</t>
        </is>
      </c>
      <c r="L806" s="3" t="inlineStr">
        <is>
          <t>Gujarat</t>
        </is>
      </c>
      <c r="M806" s="9" t="inlineStr">
        <is>
          <t>PS</t>
        </is>
      </c>
      <c r="N806" s="3" t="inlineStr">
        <is>
          <t>Cold Soldering</t>
        </is>
      </c>
      <c r="O806" s="3" t="n">
        <v>570</v>
      </c>
      <c r="P806" s="9" t="inlineStr">
        <is>
          <t>NSMI24050067852</t>
        </is>
      </c>
      <c r="Q806" s="53">
        <f>MID(P806,5,2)</f>
        <v/>
      </c>
      <c r="R806" s="53">
        <f>MID(P806,7,2)</f>
        <v/>
      </c>
      <c r="S806" s="3" t="inlineStr">
        <is>
          <t>G2G</t>
        </is>
      </c>
      <c r="T806" s="3" t="inlineStr">
        <is>
          <t>P4</t>
        </is>
      </c>
      <c r="U806" s="3" t="inlineStr">
        <is>
          <t>P JB Cold Soldering</t>
        </is>
      </c>
      <c r="V806" s="3" t="inlineStr">
        <is>
          <t>Soldering</t>
        </is>
      </c>
      <c r="W806" s="3" t="inlineStr">
        <is>
          <t>Repair</t>
        </is>
      </c>
      <c r="X806" s="18" t="n">
        <v>46154</v>
      </c>
      <c r="Y806" s="73">
        <f>IF(X806="","",X806-A806)</f>
        <v/>
      </c>
      <c r="Z806" s="18" t="n">
        <v>46154</v>
      </c>
      <c r="AA806" s="15" t="n"/>
      <c r="AB806" s="15" t="n"/>
      <c r="AF806">
        <f>IF(AND($F806="Closed",$X806&gt;=DATE(2026,5,1),$X806&lt;=DATE(2026,5,31)),"Closed in May","Other")</f>
        <v/>
      </c>
    </row>
    <row r="807">
      <c r="A807" s="6" t="n">
        <v>46107</v>
      </c>
      <c r="B807" s="3" t="n">
        <v>2026</v>
      </c>
      <c r="C807" s="3" t="inlineStr">
        <is>
          <t>Blupine Energy</t>
        </is>
      </c>
      <c r="D807" s="3" t="inlineStr">
        <is>
          <t>Utility and C&amp;I</t>
        </is>
      </c>
      <c r="E807" s="3" t="n"/>
      <c r="F807" s="3" t="inlineStr">
        <is>
          <t>Closed</t>
        </is>
      </c>
      <c r="G807" s="3" t="inlineStr">
        <is>
          <t>Chandrashekar Patidar</t>
        </is>
      </c>
      <c r="H807" s="3" t="n">
        <v>7879764773</v>
      </c>
      <c r="I807" s="11" t="inlineStr">
        <is>
          <t>PE26032601</t>
        </is>
      </c>
      <c r="J807" s="3" t="inlineStr">
        <is>
          <t>Module Diode Failure</t>
        </is>
      </c>
      <c r="K807" s="3" t="inlineStr">
        <is>
          <t>Sadla</t>
        </is>
      </c>
      <c r="L807" s="3" t="inlineStr">
        <is>
          <t>Gujarat</t>
        </is>
      </c>
      <c r="M807" s="9" t="inlineStr">
        <is>
          <t>PS</t>
        </is>
      </c>
      <c r="N807" s="3" t="inlineStr">
        <is>
          <t>Cold Soldering</t>
        </is>
      </c>
      <c r="O807" s="3" t="n">
        <v>570</v>
      </c>
      <c r="P807" s="9" t="inlineStr">
        <is>
          <t>NSMI24050060962</t>
        </is>
      </c>
      <c r="Q807" s="53">
        <f>MID(P807,5,2)</f>
        <v/>
      </c>
      <c r="R807" s="53">
        <f>MID(P807,7,2)</f>
        <v/>
      </c>
      <c r="S807" s="3" t="inlineStr">
        <is>
          <t>G2G</t>
        </is>
      </c>
      <c r="T807" s="3" t="inlineStr">
        <is>
          <t>P4</t>
        </is>
      </c>
      <c r="U807" s="3" t="inlineStr">
        <is>
          <t>P JB Cold Soldering</t>
        </is>
      </c>
      <c r="V807" s="3" t="inlineStr">
        <is>
          <t>Soldering</t>
        </is>
      </c>
      <c r="W807" s="3" t="inlineStr">
        <is>
          <t>Repair</t>
        </is>
      </c>
      <c r="X807" s="18" t="n">
        <v>46154</v>
      </c>
      <c r="Y807" s="73">
        <f>IF(X807="","",X807-A807)</f>
        <v/>
      </c>
      <c r="Z807" s="18" t="n">
        <v>46154</v>
      </c>
      <c r="AA807" s="15" t="n"/>
      <c r="AB807" s="15" t="n"/>
      <c r="AF807">
        <f>IF(AND($F807="Closed",$X807&gt;=DATE(2026,5,1),$X807&lt;=DATE(2026,5,31)),"Closed in May","Other")</f>
        <v/>
      </c>
    </row>
    <row r="808">
      <c r="A808" s="6" t="n">
        <v>46107</v>
      </c>
      <c r="B808" s="3" t="n">
        <v>2026</v>
      </c>
      <c r="C808" s="3" t="inlineStr">
        <is>
          <t>Blupine Energy</t>
        </is>
      </c>
      <c r="D808" s="3" t="inlineStr">
        <is>
          <t>Utility and C&amp;I</t>
        </is>
      </c>
      <c r="E808" s="3" t="n"/>
      <c r="F808" s="3" t="inlineStr">
        <is>
          <t>Closed</t>
        </is>
      </c>
      <c r="G808" s="3" t="inlineStr">
        <is>
          <t>Chandrashekar Patidar</t>
        </is>
      </c>
      <c r="H808" s="3" t="n">
        <v>7879764773</v>
      </c>
      <c r="I808" s="11" t="inlineStr">
        <is>
          <t>PE26032601</t>
        </is>
      </c>
      <c r="J808" s="3" t="inlineStr">
        <is>
          <t>Module Diode Failure</t>
        </is>
      </c>
      <c r="K808" s="3" t="inlineStr">
        <is>
          <t>Sadla</t>
        </is>
      </c>
      <c r="L808" s="3" t="inlineStr">
        <is>
          <t>Gujarat</t>
        </is>
      </c>
      <c r="M808" s="9" t="inlineStr">
        <is>
          <t>PS</t>
        </is>
      </c>
      <c r="N808" s="3" t="inlineStr">
        <is>
          <t>Cold Soldering</t>
        </is>
      </c>
      <c r="O808" s="3" t="n">
        <v>570</v>
      </c>
      <c r="P808" s="9" t="inlineStr">
        <is>
          <t>NSMI24060085037</t>
        </is>
      </c>
      <c r="Q808" s="53">
        <f>MID(P808,5,2)</f>
        <v/>
      </c>
      <c r="R808" s="53">
        <f>MID(P808,7,2)</f>
        <v/>
      </c>
      <c r="S808" s="3" t="inlineStr">
        <is>
          <t>G2G</t>
        </is>
      </c>
      <c r="T808" s="3" t="inlineStr">
        <is>
          <t>P4</t>
        </is>
      </c>
      <c r="U808" s="3" t="inlineStr">
        <is>
          <t>P JB Cold Soldering</t>
        </is>
      </c>
      <c r="V808" s="3" t="inlineStr">
        <is>
          <t>Soldering</t>
        </is>
      </c>
      <c r="W808" s="3" t="inlineStr">
        <is>
          <t>Repair</t>
        </is>
      </c>
      <c r="X808" s="18" t="n">
        <v>46154</v>
      </c>
      <c r="Y808" s="73">
        <f>IF(X808="","",X808-A808)</f>
        <v/>
      </c>
      <c r="Z808" s="18" t="n">
        <v>46154</v>
      </c>
      <c r="AA808" s="15" t="n"/>
      <c r="AB808" s="15" t="n"/>
      <c r="AF808">
        <f>IF(AND($F808="Closed",$X808&gt;=DATE(2026,5,1),$X808&lt;=DATE(2026,5,31)),"Closed in May","Other")</f>
        <v/>
      </c>
    </row>
    <row r="809">
      <c r="A809" s="6" t="n">
        <v>46107</v>
      </c>
      <c r="B809" s="3" t="n">
        <v>2026</v>
      </c>
      <c r="C809" s="3" t="inlineStr">
        <is>
          <t>Blupine Energy</t>
        </is>
      </c>
      <c r="D809" s="3" t="inlineStr">
        <is>
          <t>Utility and C&amp;I</t>
        </is>
      </c>
      <c r="E809" s="3" t="n"/>
      <c r="F809" s="3" t="inlineStr">
        <is>
          <t>Closed</t>
        </is>
      </c>
      <c r="G809" s="3" t="inlineStr">
        <is>
          <t>Chandrashekar Patidar</t>
        </is>
      </c>
      <c r="H809" s="3" t="n">
        <v>7879764773</v>
      </c>
      <c r="I809" s="11" t="inlineStr">
        <is>
          <t>PE26032601</t>
        </is>
      </c>
      <c r="J809" s="3" t="inlineStr">
        <is>
          <t>Module Diode Failure</t>
        </is>
      </c>
      <c r="K809" s="3" t="inlineStr">
        <is>
          <t>Sadla</t>
        </is>
      </c>
      <c r="L809" s="3" t="inlineStr">
        <is>
          <t>Gujarat</t>
        </is>
      </c>
      <c r="M809" s="9" t="inlineStr">
        <is>
          <t>PS</t>
        </is>
      </c>
      <c r="N809" s="3" t="inlineStr">
        <is>
          <t>Cold Soldering</t>
        </is>
      </c>
      <c r="O809" s="3" t="n">
        <v>570</v>
      </c>
      <c r="P809" s="9" t="inlineStr">
        <is>
          <t>NSMI24060092429</t>
        </is>
      </c>
      <c r="Q809" s="53">
        <f>MID(P809,5,2)</f>
        <v/>
      </c>
      <c r="R809" s="53">
        <f>MID(P809,7,2)</f>
        <v/>
      </c>
      <c r="S809" s="3" t="inlineStr">
        <is>
          <t>G2G</t>
        </is>
      </c>
      <c r="T809" s="3" t="inlineStr">
        <is>
          <t>P4</t>
        </is>
      </c>
      <c r="U809" s="3" t="inlineStr">
        <is>
          <t>P JB Cold Soldering</t>
        </is>
      </c>
      <c r="V809" s="3" t="inlineStr">
        <is>
          <t>Soldering</t>
        </is>
      </c>
      <c r="W809" s="3" t="inlineStr">
        <is>
          <t>Repair</t>
        </is>
      </c>
      <c r="X809" s="18" t="n">
        <v>46154</v>
      </c>
      <c r="Y809" s="73">
        <f>IF(X809="","",X809-A809)</f>
        <v/>
      </c>
      <c r="Z809" s="18" t="n">
        <v>46154</v>
      </c>
      <c r="AA809" s="15" t="n"/>
      <c r="AB809" s="15" t="n"/>
      <c r="AF809">
        <f>IF(AND($F809="Closed",$X809&gt;=DATE(2026,5,1),$X809&lt;=DATE(2026,5,31)),"Closed in May","Other")</f>
        <v/>
      </c>
    </row>
    <row r="810">
      <c r="A810" s="6" t="n">
        <v>46107</v>
      </c>
      <c r="B810" s="3" t="n">
        <v>2026</v>
      </c>
      <c r="C810" s="3" t="inlineStr">
        <is>
          <t>Blupine Energy</t>
        </is>
      </c>
      <c r="D810" s="3" t="inlineStr">
        <is>
          <t>Utility and C&amp;I</t>
        </is>
      </c>
      <c r="E810" s="3" t="n"/>
      <c r="F810" s="3" t="inlineStr">
        <is>
          <t>Closed</t>
        </is>
      </c>
      <c r="G810" s="3" t="inlineStr">
        <is>
          <t>Chandrashekar Patidar</t>
        </is>
      </c>
      <c r="H810" s="3" t="n">
        <v>7879764773</v>
      </c>
      <c r="I810" s="11" t="inlineStr">
        <is>
          <t>PE26032601</t>
        </is>
      </c>
      <c r="J810" s="3" t="inlineStr">
        <is>
          <t>Module Diode Failure</t>
        </is>
      </c>
      <c r="K810" s="3" t="inlineStr">
        <is>
          <t>Sadla</t>
        </is>
      </c>
      <c r="L810" s="3" t="inlineStr">
        <is>
          <t>Gujarat</t>
        </is>
      </c>
      <c r="M810" s="9" t="inlineStr">
        <is>
          <t>PNS</t>
        </is>
      </c>
      <c r="N810" s="3" t="inlineStr">
        <is>
          <t>Cold Soldering</t>
        </is>
      </c>
      <c r="O810" s="3" t="n">
        <v>570</v>
      </c>
      <c r="P810" s="9" t="inlineStr">
        <is>
          <t>NSMI24060092451</t>
        </is>
      </c>
      <c r="Q810" s="53">
        <f>MID(P810,5,2)</f>
        <v/>
      </c>
      <c r="R810" s="53">
        <f>MID(P810,7,2)</f>
        <v/>
      </c>
      <c r="S810" s="3" t="inlineStr">
        <is>
          <t>G2G</t>
        </is>
      </c>
      <c r="T810" s="3" t="inlineStr">
        <is>
          <t>P4</t>
        </is>
      </c>
      <c r="U810" s="3" t="inlineStr">
        <is>
          <t>P &amp; N JB Cold Soldering</t>
        </is>
      </c>
      <c r="V810" s="3" t="inlineStr">
        <is>
          <t>Soldering</t>
        </is>
      </c>
      <c r="W810" s="3" t="inlineStr">
        <is>
          <t>Repair</t>
        </is>
      </c>
      <c r="X810" s="18" t="n">
        <v>46154</v>
      </c>
      <c r="Y810" s="73">
        <f>IF(X810="","",X810-A810)</f>
        <v/>
      </c>
      <c r="Z810" s="18" t="n">
        <v>46154</v>
      </c>
      <c r="AA810" s="15" t="n"/>
      <c r="AB810" s="15" t="n"/>
      <c r="AF810">
        <f>IF(AND($F810="Closed",$X810&gt;=DATE(2026,5,1),$X810&lt;=DATE(2026,5,31)),"Closed in May","Other")</f>
        <v/>
      </c>
    </row>
    <row r="811">
      <c r="A811" s="6" t="n">
        <v>46107</v>
      </c>
      <c r="B811" s="3" t="n">
        <v>2026</v>
      </c>
      <c r="C811" s="3" t="inlineStr">
        <is>
          <t>Blupine Energy</t>
        </is>
      </c>
      <c r="D811" s="3" t="inlineStr">
        <is>
          <t>Utility and C&amp;I</t>
        </is>
      </c>
      <c r="E811" s="3" t="n"/>
      <c r="F811" s="3" t="inlineStr">
        <is>
          <t>Closed</t>
        </is>
      </c>
      <c r="G811" s="3" t="inlineStr">
        <is>
          <t>Chandrashekar Patidar</t>
        </is>
      </c>
      <c r="H811" s="3" t="n">
        <v>7879764773</v>
      </c>
      <c r="I811" s="11" t="inlineStr">
        <is>
          <t>PE26032601</t>
        </is>
      </c>
      <c r="J811" s="3" t="inlineStr">
        <is>
          <t>Module Diode Failure</t>
        </is>
      </c>
      <c r="K811" s="3" t="inlineStr">
        <is>
          <t>Sadla</t>
        </is>
      </c>
      <c r="L811" s="3" t="inlineStr">
        <is>
          <t>Gujarat</t>
        </is>
      </c>
      <c r="M811" s="9" t="inlineStr">
        <is>
          <t>PS</t>
        </is>
      </c>
      <c r="N811" s="3" t="inlineStr">
        <is>
          <t>Cold Soldering</t>
        </is>
      </c>
      <c r="O811" s="3" t="n">
        <v>570</v>
      </c>
      <c r="P811" s="9" t="inlineStr">
        <is>
          <t>NSMI24050067660</t>
        </is>
      </c>
      <c r="Q811" s="53">
        <f>MID(P811,5,2)</f>
        <v/>
      </c>
      <c r="R811" s="53">
        <f>MID(P811,7,2)</f>
        <v/>
      </c>
      <c r="S811" s="3" t="inlineStr">
        <is>
          <t>G2G</t>
        </is>
      </c>
      <c r="T811" s="3" t="inlineStr">
        <is>
          <t>P4</t>
        </is>
      </c>
      <c r="U811" s="3" t="inlineStr">
        <is>
          <t>P JB Cold Soldering</t>
        </is>
      </c>
      <c r="V811" s="3" t="inlineStr">
        <is>
          <t>Soldering</t>
        </is>
      </c>
      <c r="W811" s="3" t="inlineStr">
        <is>
          <t>Repair</t>
        </is>
      </c>
      <c r="X811" s="18" t="n">
        <v>46154</v>
      </c>
      <c r="Y811" s="73">
        <f>IF(X811="","",X811-A811)</f>
        <v/>
      </c>
      <c r="Z811" s="18" t="n">
        <v>46154</v>
      </c>
      <c r="AA811" s="15" t="n"/>
      <c r="AB811" s="15" t="n"/>
      <c r="AF811">
        <f>IF(AND($F811="Closed",$X811&gt;=DATE(2026,5,1),$X811&lt;=DATE(2026,5,31)),"Closed in May","Other")</f>
        <v/>
      </c>
    </row>
    <row r="812">
      <c r="A812" s="6" t="n">
        <v>46107</v>
      </c>
      <c r="B812" s="3" t="n">
        <v>2026</v>
      </c>
      <c r="C812" s="3" t="inlineStr">
        <is>
          <t>Blupine Energy</t>
        </is>
      </c>
      <c r="D812" s="3" t="inlineStr">
        <is>
          <t>Utility and C&amp;I</t>
        </is>
      </c>
      <c r="E812" s="3" t="n"/>
      <c r="F812" s="3" t="inlineStr">
        <is>
          <t>Closed</t>
        </is>
      </c>
      <c r="G812" s="3" t="inlineStr">
        <is>
          <t>Chandrashekar Patidar</t>
        </is>
      </c>
      <c r="H812" s="3" t="n">
        <v>7879764773</v>
      </c>
      <c r="I812" s="11" t="inlineStr">
        <is>
          <t>PE26032601</t>
        </is>
      </c>
      <c r="J812" s="3" t="inlineStr">
        <is>
          <t>Module Diode Failure</t>
        </is>
      </c>
      <c r="K812" s="3" t="inlineStr">
        <is>
          <t>Sadla</t>
        </is>
      </c>
      <c r="L812" s="3" t="inlineStr">
        <is>
          <t>Gujarat</t>
        </is>
      </c>
      <c r="M812" s="9" t="inlineStr">
        <is>
          <t>NS</t>
        </is>
      </c>
      <c r="N812" s="3" t="inlineStr">
        <is>
          <t>Cold Soldering</t>
        </is>
      </c>
      <c r="O812" s="3" t="n">
        <v>570</v>
      </c>
      <c r="P812" s="9" t="inlineStr">
        <is>
          <t>NSMI24050064997</t>
        </is>
      </c>
      <c r="Q812" s="53">
        <f>MID(P812,5,2)</f>
        <v/>
      </c>
      <c r="R812" s="53">
        <f>MID(P812,7,2)</f>
        <v/>
      </c>
      <c r="S812" s="3" t="inlineStr">
        <is>
          <t>G2G</t>
        </is>
      </c>
      <c r="T812" s="3" t="inlineStr">
        <is>
          <t>P4</t>
        </is>
      </c>
      <c r="U812" s="3" t="inlineStr">
        <is>
          <t>N JB Cold Soldering</t>
        </is>
      </c>
      <c r="V812" s="3" t="inlineStr">
        <is>
          <t>Soldering</t>
        </is>
      </c>
      <c r="W812" s="3" t="inlineStr">
        <is>
          <t>Repair</t>
        </is>
      </c>
      <c r="X812" s="18" t="n">
        <v>46154</v>
      </c>
      <c r="Y812" s="73">
        <f>IF(X812="","",X812-A812)</f>
        <v/>
      </c>
      <c r="Z812" s="18" t="n">
        <v>46154</v>
      </c>
      <c r="AA812" s="15" t="n"/>
      <c r="AB812" s="15" t="n"/>
      <c r="AF812">
        <f>IF(AND($F812="Closed",$X812&gt;=DATE(2026,5,1),$X812&lt;=DATE(2026,5,31)),"Closed in May","Other")</f>
        <v/>
      </c>
    </row>
    <row r="813">
      <c r="A813" s="6" t="n">
        <v>46107</v>
      </c>
      <c r="B813" s="3" t="n">
        <v>2026</v>
      </c>
      <c r="C813" s="3" t="inlineStr">
        <is>
          <t>Blupine Energy</t>
        </is>
      </c>
      <c r="D813" s="3" t="inlineStr">
        <is>
          <t>Utility and C&amp;I</t>
        </is>
      </c>
      <c r="E813" s="3" t="n"/>
      <c r="F813" s="3" t="inlineStr">
        <is>
          <t>Closed</t>
        </is>
      </c>
      <c r="G813" s="3" t="inlineStr">
        <is>
          <t>Chandrashekar Patidar</t>
        </is>
      </c>
      <c r="H813" s="3" t="n">
        <v>7879764773</v>
      </c>
      <c r="I813" s="11" t="inlineStr">
        <is>
          <t>PE26032601</t>
        </is>
      </c>
      <c r="J813" s="3" t="inlineStr">
        <is>
          <t>Module Diode Failure</t>
        </is>
      </c>
      <c r="K813" s="3" t="inlineStr">
        <is>
          <t>Sadla</t>
        </is>
      </c>
      <c r="L813" s="3" t="inlineStr">
        <is>
          <t>Gujarat</t>
        </is>
      </c>
      <c r="M813" s="9" t="inlineStr">
        <is>
          <t>NR</t>
        </is>
      </c>
      <c r="N813" s="3" t="inlineStr">
        <is>
          <t>JB Issue</t>
        </is>
      </c>
      <c r="O813" s="3" t="n">
        <v>570</v>
      </c>
      <c r="P813" s="9" t="inlineStr">
        <is>
          <t>NSMI24060090886</t>
        </is>
      </c>
      <c r="Q813" s="53">
        <f>MID(P813,5,2)</f>
        <v/>
      </c>
      <c r="R813" s="53">
        <f>MID(P813,7,2)</f>
        <v/>
      </c>
      <c r="S813" s="3" t="inlineStr">
        <is>
          <t>G2G</t>
        </is>
      </c>
      <c r="T813" s="3" t="inlineStr">
        <is>
          <t>P4</t>
        </is>
      </c>
      <c r="U813" s="3" t="inlineStr">
        <is>
          <t>N JB Issue</t>
        </is>
      </c>
      <c r="V813" s="3" t="inlineStr">
        <is>
          <t>JB Changed</t>
        </is>
      </c>
      <c r="W813" s="3" t="inlineStr">
        <is>
          <t>Repair</t>
        </is>
      </c>
      <c r="X813" s="18" t="n">
        <v>46154</v>
      </c>
      <c r="Y813" s="73">
        <f>IF(X813="","",X813-A813)</f>
        <v/>
      </c>
      <c r="Z813" s="18" t="n">
        <v>46154</v>
      </c>
      <c r="AA813" s="15" t="n"/>
      <c r="AB813" s="15" t="n"/>
      <c r="AF813">
        <f>IF(AND($F813="Closed",$X813&gt;=DATE(2026,5,1),$X813&lt;=DATE(2026,5,31)),"Closed in May","Other")</f>
        <v/>
      </c>
    </row>
    <row r="814">
      <c r="A814" s="6" t="n">
        <v>46107</v>
      </c>
      <c r="B814" s="3" t="n">
        <v>2026</v>
      </c>
      <c r="C814" s="3" t="inlineStr">
        <is>
          <t>Blupine Energy</t>
        </is>
      </c>
      <c r="D814" s="3" t="inlineStr">
        <is>
          <t>Utility and C&amp;I</t>
        </is>
      </c>
      <c r="E814" s="3" t="n"/>
      <c r="F814" s="3" t="inlineStr">
        <is>
          <t>Closed</t>
        </is>
      </c>
      <c r="G814" s="3" t="inlineStr">
        <is>
          <t>Chandrashekar Patidar</t>
        </is>
      </c>
      <c r="H814" s="3" t="n">
        <v>7879764773</v>
      </c>
      <c r="I814" s="11" t="inlineStr">
        <is>
          <t>PE26032601</t>
        </is>
      </c>
      <c r="J814" s="3" t="inlineStr">
        <is>
          <t>Module Diode Failure</t>
        </is>
      </c>
      <c r="K814" s="3" t="inlineStr">
        <is>
          <t>Sadla</t>
        </is>
      </c>
      <c r="L814" s="3" t="inlineStr">
        <is>
          <t>Gujarat</t>
        </is>
      </c>
      <c r="M814" s="9" t="inlineStr">
        <is>
          <t>NS</t>
        </is>
      </c>
      <c r="N814" s="3" t="inlineStr">
        <is>
          <t>Cold Soldering</t>
        </is>
      </c>
      <c r="O814" s="3" t="n">
        <v>570</v>
      </c>
      <c r="P814" s="9" t="inlineStr">
        <is>
          <t>NSMI24060113099</t>
        </is>
      </c>
      <c r="Q814" s="53">
        <f>MID(P814,5,2)</f>
        <v/>
      </c>
      <c r="R814" s="53">
        <f>MID(P814,7,2)</f>
        <v/>
      </c>
      <c r="S814" s="3" t="inlineStr">
        <is>
          <t>G2G</t>
        </is>
      </c>
      <c r="T814" s="3" t="inlineStr">
        <is>
          <t>P4</t>
        </is>
      </c>
      <c r="U814" s="3" t="inlineStr">
        <is>
          <t>N JB Cold Soldering</t>
        </is>
      </c>
      <c r="V814" s="3" t="inlineStr">
        <is>
          <t>Soldering</t>
        </is>
      </c>
      <c r="W814" s="3" t="inlineStr">
        <is>
          <t>Repair</t>
        </is>
      </c>
      <c r="X814" s="18" t="n">
        <v>46154</v>
      </c>
      <c r="Y814" s="73">
        <f>IF(X814="","",X814-A814)</f>
        <v/>
      </c>
      <c r="Z814" s="18" t="n">
        <v>46154</v>
      </c>
      <c r="AA814" s="15" t="n"/>
      <c r="AB814" s="15" t="n"/>
      <c r="AF814">
        <f>IF(AND($F814="Closed",$X814&gt;=DATE(2026,5,1),$X814&lt;=DATE(2026,5,31)),"Closed in May","Other")</f>
        <v/>
      </c>
    </row>
    <row r="815">
      <c r="A815" s="6" t="n">
        <v>46107</v>
      </c>
      <c r="B815" s="3" t="n">
        <v>2026</v>
      </c>
      <c r="C815" s="3" t="inlineStr">
        <is>
          <t>Blupine Energy</t>
        </is>
      </c>
      <c r="D815" s="3" t="inlineStr">
        <is>
          <t>Utility and C&amp;I</t>
        </is>
      </c>
      <c r="E815" s="3" t="n"/>
      <c r="F815" s="3" t="inlineStr">
        <is>
          <t>Closed</t>
        </is>
      </c>
      <c r="G815" s="3" t="inlineStr">
        <is>
          <t>Chandrashekar Patidar</t>
        </is>
      </c>
      <c r="H815" s="3" t="n">
        <v>7879764773</v>
      </c>
      <c r="I815" s="11" t="inlineStr">
        <is>
          <t>PE26032601</t>
        </is>
      </c>
      <c r="J815" s="3" t="inlineStr">
        <is>
          <t>Module Diode Failure</t>
        </is>
      </c>
      <c r="K815" s="3" t="inlineStr">
        <is>
          <t>Sadla</t>
        </is>
      </c>
      <c r="L815" s="3" t="inlineStr">
        <is>
          <t>Gujarat</t>
        </is>
      </c>
      <c r="M815" s="9" t="inlineStr">
        <is>
          <t>NS</t>
        </is>
      </c>
      <c r="N815" s="3" t="inlineStr">
        <is>
          <t>Cold Soldering</t>
        </is>
      </c>
      <c r="O815" s="3" t="n">
        <v>570</v>
      </c>
      <c r="P815" s="9" t="inlineStr">
        <is>
          <t>NSMI24060113081</t>
        </is>
      </c>
      <c r="Q815" s="53">
        <f>MID(P815,5,2)</f>
        <v/>
      </c>
      <c r="R815" s="53">
        <f>MID(P815,7,2)</f>
        <v/>
      </c>
      <c r="S815" s="3" t="inlineStr">
        <is>
          <t>G2G</t>
        </is>
      </c>
      <c r="T815" s="3" t="inlineStr">
        <is>
          <t>P4</t>
        </is>
      </c>
      <c r="U815" s="3" t="inlineStr">
        <is>
          <t>N JB Cold Soldering</t>
        </is>
      </c>
      <c r="V815" s="3" t="inlineStr">
        <is>
          <t>Soldering</t>
        </is>
      </c>
      <c r="W815" s="3" t="inlineStr">
        <is>
          <t>Repair</t>
        </is>
      </c>
      <c r="X815" s="18" t="n">
        <v>46154</v>
      </c>
      <c r="Y815" s="73">
        <f>IF(X815="","",X815-A815)</f>
        <v/>
      </c>
      <c r="Z815" s="18" t="n">
        <v>46154</v>
      </c>
      <c r="AA815" s="15" t="n"/>
      <c r="AB815" s="15" t="n"/>
      <c r="AF815">
        <f>IF(AND($F815="Closed",$X815&gt;=DATE(2026,5,1),$X815&lt;=DATE(2026,5,31)),"Closed in May","Other")</f>
        <v/>
      </c>
    </row>
    <row r="816">
      <c r="A816" s="6" t="n">
        <v>46107</v>
      </c>
      <c r="B816" s="3" t="n">
        <v>2026</v>
      </c>
      <c r="C816" s="3" t="inlineStr">
        <is>
          <t>Blupine Energy</t>
        </is>
      </c>
      <c r="D816" s="3" t="inlineStr">
        <is>
          <t>Utility and C&amp;I</t>
        </is>
      </c>
      <c r="E816" s="3" t="n"/>
      <c r="F816" s="3" t="inlineStr">
        <is>
          <t>Closed</t>
        </is>
      </c>
      <c r="G816" s="3" t="inlineStr">
        <is>
          <t>Chandrashekar Patidar</t>
        </is>
      </c>
      <c r="H816" s="3" t="n">
        <v>7879764773</v>
      </c>
      <c r="I816" s="11" t="inlineStr">
        <is>
          <t>PE26032601</t>
        </is>
      </c>
      <c r="J816" s="3" t="inlineStr">
        <is>
          <t>Module Diode Failure</t>
        </is>
      </c>
      <c r="K816" s="3" t="inlineStr">
        <is>
          <t>Sadla</t>
        </is>
      </c>
      <c r="L816" s="3" t="inlineStr">
        <is>
          <t>Gujarat</t>
        </is>
      </c>
      <c r="M816" s="9" t="inlineStr">
        <is>
          <t>NS</t>
        </is>
      </c>
      <c r="N816" s="3" t="inlineStr">
        <is>
          <t>Cold Soldering</t>
        </is>
      </c>
      <c r="O816" s="3" t="n">
        <v>570</v>
      </c>
      <c r="P816" s="9" t="inlineStr">
        <is>
          <t>NSMI24060113095</t>
        </is>
      </c>
      <c r="Q816" s="53">
        <f>MID(P816,5,2)</f>
        <v/>
      </c>
      <c r="R816" s="53">
        <f>MID(P816,7,2)</f>
        <v/>
      </c>
      <c r="S816" s="3" t="inlineStr">
        <is>
          <t>G2G</t>
        </is>
      </c>
      <c r="T816" s="3" t="inlineStr">
        <is>
          <t>P4</t>
        </is>
      </c>
      <c r="U816" s="3" t="inlineStr">
        <is>
          <t>N JB Cold Soldering</t>
        </is>
      </c>
      <c r="V816" s="3" t="inlineStr">
        <is>
          <t>Soldering</t>
        </is>
      </c>
      <c r="W816" s="3" t="inlineStr">
        <is>
          <t>Repair</t>
        </is>
      </c>
      <c r="X816" s="18" t="n">
        <v>46154</v>
      </c>
      <c r="Y816" s="73">
        <f>IF(X816="","",X816-A816)</f>
        <v/>
      </c>
      <c r="Z816" s="18" t="n">
        <v>46154</v>
      </c>
      <c r="AA816" s="15" t="n"/>
      <c r="AB816" s="15" t="n"/>
      <c r="AF816">
        <f>IF(AND($F816="Closed",$X816&gt;=DATE(2026,5,1),$X816&lt;=DATE(2026,5,31)),"Closed in May","Other")</f>
        <v/>
      </c>
    </row>
    <row r="817">
      <c r="A817" s="6" t="n">
        <v>46107</v>
      </c>
      <c r="B817" s="3" t="n">
        <v>2026</v>
      </c>
      <c r="C817" s="3" t="inlineStr">
        <is>
          <t>Blupine Energy</t>
        </is>
      </c>
      <c r="D817" s="3" t="inlineStr">
        <is>
          <t>Utility and C&amp;I</t>
        </is>
      </c>
      <c r="E817" s="3" t="n"/>
      <c r="F817" s="3" t="inlineStr">
        <is>
          <t>Closed</t>
        </is>
      </c>
      <c r="G817" s="3" t="inlineStr">
        <is>
          <t>Chandrashekar Patidar</t>
        </is>
      </c>
      <c r="H817" s="3" t="n">
        <v>7879764773</v>
      </c>
      <c r="I817" s="11" t="inlineStr">
        <is>
          <t>PE26032601</t>
        </is>
      </c>
      <c r="J817" s="3" t="inlineStr">
        <is>
          <t>Module Diode Failure</t>
        </is>
      </c>
      <c r="K817" s="3" t="inlineStr">
        <is>
          <t>Sadla</t>
        </is>
      </c>
      <c r="L817" s="3" t="inlineStr">
        <is>
          <t>Gujarat</t>
        </is>
      </c>
      <c r="M817" s="9" t="inlineStr">
        <is>
          <t>PS</t>
        </is>
      </c>
      <c r="N817" s="3" t="inlineStr">
        <is>
          <t>Cold Soldering</t>
        </is>
      </c>
      <c r="O817" s="3" t="n">
        <v>570</v>
      </c>
      <c r="P817" s="9" t="inlineStr">
        <is>
          <t>NSMI24060113008</t>
        </is>
      </c>
      <c r="Q817" s="53">
        <f>MID(P817,5,2)</f>
        <v/>
      </c>
      <c r="R817" s="53">
        <f>MID(P817,7,2)</f>
        <v/>
      </c>
      <c r="S817" s="3" t="inlineStr">
        <is>
          <t>G2G</t>
        </is>
      </c>
      <c r="T817" s="3" t="inlineStr">
        <is>
          <t>P4</t>
        </is>
      </c>
      <c r="U817" s="3" t="inlineStr">
        <is>
          <t>P JB Cold Soldering</t>
        </is>
      </c>
      <c r="V817" s="3" t="inlineStr">
        <is>
          <t>Soldering</t>
        </is>
      </c>
      <c r="W817" s="3" t="inlineStr">
        <is>
          <t>Repair</t>
        </is>
      </c>
      <c r="X817" s="18" t="n">
        <v>46154</v>
      </c>
      <c r="Y817" s="73">
        <f>IF(X817="","",X817-A817)</f>
        <v/>
      </c>
      <c r="Z817" s="18" t="n">
        <v>46154</v>
      </c>
      <c r="AA817" s="15" t="n"/>
      <c r="AB817" s="15" t="n"/>
      <c r="AF817">
        <f>IF(AND($F817="Closed",$X817&gt;=DATE(2026,5,1),$X817&lt;=DATE(2026,5,31)),"Closed in May","Other")</f>
        <v/>
      </c>
    </row>
    <row r="818">
      <c r="A818" s="6" t="n">
        <v>46107</v>
      </c>
      <c r="B818" s="3" t="n">
        <v>2026</v>
      </c>
      <c r="C818" s="3" t="inlineStr">
        <is>
          <t>Blupine Energy</t>
        </is>
      </c>
      <c r="D818" s="3" t="inlineStr">
        <is>
          <t>Utility and C&amp;I</t>
        </is>
      </c>
      <c r="E818" s="3" t="n"/>
      <c r="F818" s="3" t="inlineStr">
        <is>
          <t>Closed</t>
        </is>
      </c>
      <c r="G818" s="3" t="inlineStr">
        <is>
          <t>Chandrashekar Patidar</t>
        </is>
      </c>
      <c r="H818" s="3" t="n">
        <v>7879764773</v>
      </c>
      <c r="I818" s="11" t="inlineStr">
        <is>
          <t>PE26032601</t>
        </is>
      </c>
      <c r="J818" s="3" t="inlineStr">
        <is>
          <t>Module Diode Failure</t>
        </is>
      </c>
      <c r="K818" s="3" t="inlineStr">
        <is>
          <t>Sadla</t>
        </is>
      </c>
      <c r="L818" s="3" t="inlineStr">
        <is>
          <t>Gujarat</t>
        </is>
      </c>
      <c r="M818" s="9" t="inlineStr">
        <is>
          <t>NS</t>
        </is>
      </c>
      <c r="N818" s="3" t="inlineStr">
        <is>
          <t>Cold Soldering</t>
        </is>
      </c>
      <c r="O818" s="3" t="n">
        <v>570</v>
      </c>
      <c r="P818" s="9" t="inlineStr">
        <is>
          <t>NSMI24060074164</t>
        </is>
      </c>
      <c r="Q818" s="53">
        <f>MID(P818,5,2)</f>
        <v/>
      </c>
      <c r="R818" s="53">
        <f>MID(P818,7,2)</f>
        <v/>
      </c>
      <c r="S818" s="3" t="inlineStr">
        <is>
          <t>G2G</t>
        </is>
      </c>
      <c r="T818" s="3" t="inlineStr">
        <is>
          <t>P4</t>
        </is>
      </c>
      <c r="U818" s="3" t="inlineStr">
        <is>
          <t>N JB Cold Soldering</t>
        </is>
      </c>
      <c r="V818" s="3" t="inlineStr">
        <is>
          <t>Soldering</t>
        </is>
      </c>
      <c r="W818" s="3" t="inlineStr">
        <is>
          <t>Repair</t>
        </is>
      </c>
      <c r="X818" s="18" t="n">
        <v>46154</v>
      </c>
      <c r="Y818" s="73">
        <f>IF(X818="","",X818-A818)</f>
        <v/>
      </c>
      <c r="Z818" s="18" t="n">
        <v>46154</v>
      </c>
      <c r="AA818" s="15" t="n"/>
      <c r="AB818" s="15" t="n"/>
      <c r="AF818">
        <f>IF(AND($F818="Closed",$X818&gt;=DATE(2026,5,1),$X818&lt;=DATE(2026,5,31)),"Closed in May","Other")</f>
        <v/>
      </c>
    </row>
    <row r="819">
      <c r="A819" s="6" t="n">
        <v>46107</v>
      </c>
      <c r="B819" s="3" t="n">
        <v>2026</v>
      </c>
      <c r="C819" s="3" t="inlineStr">
        <is>
          <t>Blupine Energy</t>
        </is>
      </c>
      <c r="D819" s="3" t="inlineStr">
        <is>
          <t>Utility and C&amp;I</t>
        </is>
      </c>
      <c r="E819" s="3" t="n"/>
      <c r="F819" s="3" t="inlineStr">
        <is>
          <t>Closed</t>
        </is>
      </c>
      <c r="G819" s="3" t="inlineStr">
        <is>
          <t>Chandrashekar Patidar</t>
        </is>
      </c>
      <c r="H819" s="3" t="n">
        <v>7879764773</v>
      </c>
      <c r="I819" s="11" t="inlineStr">
        <is>
          <t>PE26032601</t>
        </is>
      </c>
      <c r="J819" s="3" t="inlineStr">
        <is>
          <t>Module Diode Failure</t>
        </is>
      </c>
      <c r="K819" s="3" t="inlineStr">
        <is>
          <t>Sadla</t>
        </is>
      </c>
      <c r="L819" s="3" t="inlineStr">
        <is>
          <t>Gujarat</t>
        </is>
      </c>
      <c r="M819" s="9" t="inlineStr">
        <is>
          <t>NS</t>
        </is>
      </c>
      <c r="N819" s="3" t="inlineStr">
        <is>
          <t>Cold Soldering</t>
        </is>
      </c>
      <c r="O819" s="3" t="n">
        <v>570</v>
      </c>
      <c r="P819" s="9" t="inlineStr">
        <is>
          <t>NSMI24050067831</t>
        </is>
      </c>
      <c r="Q819" s="53">
        <f>MID(P819,5,2)</f>
        <v/>
      </c>
      <c r="R819" s="53">
        <f>MID(P819,7,2)</f>
        <v/>
      </c>
      <c r="S819" s="3" t="inlineStr">
        <is>
          <t>G2G</t>
        </is>
      </c>
      <c r="T819" s="3" t="inlineStr">
        <is>
          <t>P4</t>
        </is>
      </c>
      <c r="U819" s="3" t="inlineStr">
        <is>
          <t>N JB Cold Soldering</t>
        </is>
      </c>
      <c r="V819" s="3" t="inlineStr">
        <is>
          <t>Soldering</t>
        </is>
      </c>
      <c r="W819" s="3" t="inlineStr">
        <is>
          <t>Repair</t>
        </is>
      </c>
      <c r="X819" s="18" t="n">
        <v>46154</v>
      </c>
      <c r="Y819" s="73">
        <f>IF(X819="","",X819-A819)</f>
        <v/>
      </c>
      <c r="Z819" s="18" t="n">
        <v>46154</v>
      </c>
      <c r="AA819" s="15" t="n"/>
      <c r="AB819" s="15" t="n"/>
      <c r="AF819">
        <f>IF(AND($F819="Closed",$X819&gt;=DATE(2026,5,1),$X819&lt;=DATE(2026,5,31)),"Closed in May","Other")</f>
        <v/>
      </c>
    </row>
    <row r="820">
      <c r="A820" s="6" t="n">
        <v>46107</v>
      </c>
      <c r="B820" s="3" t="n">
        <v>2026</v>
      </c>
      <c r="C820" s="3" t="inlineStr">
        <is>
          <t>Blupine Energy</t>
        </is>
      </c>
      <c r="D820" s="3" t="inlineStr">
        <is>
          <t>Utility and C&amp;I</t>
        </is>
      </c>
      <c r="E820" s="3" t="n"/>
      <c r="F820" s="3" t="inlineStr">
        <is>
          <t>Closed</t>
        </is>
      </c>
      <c r="G820" s="3" t="inlineStr">
        <is>
          <t>Chandrashekar Patidar</t>
        </is>
      </c>
      <c r="H820" s="3" t="n">
        <v>7879764773</v>
      </c>
      <c r="I820" s="11" t="inlineStr">
        <is>
          <t>PE26032601</t>
        </is>
      </c>
      <c r="J820" s="3" t="inlineStr">
        <is>
          <t>Module Diode Failure</t>
        </is>
      </c>
      <c r="K820" s="3" t="inlineStr">
        <is>
          <t>Sadla</t>
        </is>
      </c>
      <c r="L820" s="3" t="inlineStr">
        <is>
          <t>Gujarat</t>
        </is>
      </c>
      <c r="M820" s="9" t="inlineStr">
        <is>
          <t>NS</t>
        </is>
      </c>
      <c r="N820" s="3" t="inlineStr">
        <is>
          <t>Cold Soldering</t>
        </is>
      </c>
      <c r="O820" s="3" t="n">
        <v>570</v>
      </c>
      <c r="P820" s="9" t="inlineStr">
        <is>
          <t>NSMI24060115183</t>
        </is>
      </c>
      <c r="Q820" s="53">
        <f>MID(P820,5,2)</f>
        <v/>
      </c>
      <c r="R820" s="53">
        <f>MID(P820,7,2)</f>
        <v/>
      </c>
      <c r="S820" s="3" t="inlineStr">
        <is>
          <t>G2G</t>
        </is>
      </c>
      <c r="T820" s="3" t="inlineStr">
        <is>
          <t>P4</t>
        </is>
      </c>
      <c r="U820" s="3" t="inlineStr">
        <is>
          <t>N JB Cold Soldering</t>
        </is>
      </c>
      <c r="V820" s="3" t="inlineStr">
        <is>
          <t>Soldering</t>
        </is>
      </c>
      <c r="W820" s="3" t="inlineStr">
        <is>
          <t>Repair</t>
        </is>
      </c>
      <c r="X820" s="18" t="n">
        <v>46154</v>
      </c>
      <c r="Y820" s="73">
        <f>IF(X820="","",X820-A820)</f>
        <v/>
      </c>
      <c r="Z820" s="18" t="n">
        <v>46154</v>
      </c>
      <c r="AA820" s="15" t="n"/>
      <c r="AB820" s="15" t="n"/>
      <c r="AF820">
        <f>IF(AND($F820="Closed",$X820&gt;=DATE(2026,5,1),$X820&lt;=DATE(2026,5,31)),"Closed in May","Other")</f>
        <v/>
      </c>
    </row>
    <row r="821">
      <c r="A821" s="6" t="n">
        <v>46107</v>
      </c>
      <c r="B821" s="3" t="n">
        <v>2026</v>
      </c>
      <c r="C821" s="3" t="inlineStr">
        <is>
          <t>Blupine Energy</t>
        </is>
      </c>
      <c r="D821" s="3" t="inlineStr">
        <is>
          <t>Utility and C&amp;I</t>
        </is>
      </c>
      <c r="E821" s="3" t="n"/>
      <c r="F821" s="3" t="inlineStr">
        <is>
          <t>Closed</t>
        </is>
      </c>
      <c r="G821" s="3" t="inlineStr">
        <is>
          <t>Chandrashekar Patidar</t>
        </is>
      </c>
      <c r="H821" s="3" t="n">
        <v>7879764773</v>
      </c>
      <c r="I821" s="11" t="inlineStr">
        <is>
          <t>PE26032601</t>
        </is>
      </c>
      <c r="J821" s="3" t="inlineStr">
        <is>
          <t>Module Diode Failure</t>
        </is>
      </c>
      <c r="K821" s="3" t="inlineStr">
        <is>
          <t>Sadla</t>
        </is>
      </c>
      <c r="L821" s="3" t="inlineStr">
        <is>
          <t>Gujarat</t>
        </is>
      </c>
      <c r="M821" s="9" t="inlineStr">
        <is>
          <t>PS</t>
        </is>
      </c>
      <c r="N821" s="3" t="inlineStr">
        <is>
          <t>Cold Soldering</t>
        </is>
      </c>
      <c r="O821" s="3" t="n">
        <v>570</v>
      </c>
      <c r="P821" s="9" t="inlineStr">
        <is>
          <t>NSMI24060114791</t>
        </is>
      </c>
      <c r="Q821" s="53">
        <f>MID(P821,5,2)</f>
        <v/>
      </c>
      <c r="R821" s="53">
        <f>MID(P821,7,2)</f>
        <v/>
      </c>
      <c r="S821" s="3" t="inlineStr">
        <is>
          <t>G2G</t>
        </is>
      </c>
      <c r="T821" s="3" t="inlineStr">
        <is>
          <t>P4</t>
        </is>
      </c>
      <c r="U821" s="3" t="inlineStr">
        <is>
          <t>P JB Cold Soldering</t>
        </is>
      </c>
      <c r="V821" s="3" t="inlineStr">
        <is>
          <t>Soldering</t>
        </is>
      </c>
      <c r="W821" s="3" t="inlineStr">
        <is>
          <t>Repair</t>
        </is>
      </c>
      <c r="X821" s="18" t="n">
        <v>46154</v>
      </c>
      <c r="Y821" s="73">
        <f>IF(X821="","",X821-A821)</f>
        <v/>
      </c>
      <c r="Z821" s="18" t="n">
        <v>46154</v>
      </c>
      <c r="AA821" s="15" t="n"/>
      <c r="AB821" s="15" t="n"/>
      <c r="AF821">
        <f>IF(AND($F821="Closed",$X821&gt;=DATE(2026,5,1),$X821&lt;=DATE(2026,5,31)),"Closed in May","Other")</f>
        <v/>
      </c>
    </row>
    <row r="822">
      <c r="A822" s="6" t="n">
        <v>46107</v>
      </c>
      <c r="B822" s="3" t="n">
        <v>2026</v>
      </c>
      <c r="C822" s="3" t="inlineStr">
        <is>
          <t>Blupine Energy</t>
        </is>
      </c>
      <c r="D822" s="3" t="inlineStr">
        <is>
          <t>Utility and C&amp;I</t>
        </is>
      </c>
      <c r="E822" s="3" t="n"/>
      <c r="F822" s="3" t="inlineStr">
        <is>
          <t>Closed</t>
        </is>
      </c>
      <c r="G822" s="3" t="inlineStr">
        <is>
          <t>Chandrashekar Patidar</t>
        </is>
      </c>
      <c r="H822" s="3" t="n">
        <v>7879764773</v>
      </c>
      <c r="I822" s="11" t="inlineStr">
        <is>
          <t>PE26032601</t>
        </is>
      </c>
      <c r="J822" s="3" t="inlineStr">
        <is>
          <t>Module Diode Failure</t>
        </is>
      </c>
      <c r="K822" s="3" t="inlineStr">
        <is>
          <t>Sadla</t>
        </is>
      </c>
      <c r="L822" s="3" t="inlineStr">
        <is>
          <t>Gujarat</t>
        </is>
      </c>
      <c r="M822" s="9" t="inlineStr">
        <is>
          <t>NS</t>
        </is>
      </c>
      <c r="N822" s="3" t="inlineStr">
        <is>
          <t>Cold Soldering</t>
        </is>
      </c>
      <c r="O822" s="3" t="n">
        <v>570</v>
      </c>
      <c r="P822" s="9" t="inlineStr">
        <is>
          <t>NSMI24060091863</t>
        </is>
      </c>
      <c r="Q822" s="53">
        <f>MID(P822,5,2)</f>
        <v/>
      </c>
      <c r="R822" s="53">
        <f>MID(P822,7,2)</f>
        <v/>
      </c>
      <c r="S822" s="3" t="inlineStr">
        <is>
          <t>G2G</t>
        </is>
      </c>
      <c r="T822" s="3" t="inlineStr">
        <is>
          <t>P4</t>
        </is>
      </c>
      <c r="U822" s="3" t="inlineStr">
        <is>
          <t>N JB Cold Soldering</t>
        </is>
      </c>
      <c r="V822" s="3" t="inlineStr">
        <is>
          <t>Soldering</t>
        </is>
      </c>
      <c r="W822" s="3" t="inlineStr">
        <is>
          <t>Repair</t>
        </is>
      </c>
      <c r="X822" s="18" t="n">
        <v>46154</v>
      </c>
      <c r="Y822" s="73">
        <f>IF(X822="","",X822-A822)</f>
        <v/>
      </c>
      <c r="Z822" s="18" t="n">
        <v>46154</v>
      </c>
      <c r="AA822" s="15" t="n"/>
      <c r="AB822" s="15" t="n"/>
      <c r="AF822">
        <f>IF(AND($F822="Closed",$X822&gt;=DATE(2026,5,1),$X822&lt;=DATE(2026,5,31)),"Closed in May","Other")</f>
        <v/>
      </c>
    </row>
    <row r="823">
      <c r="A823" s="6" t="n">
        <v>46107</v>
      </c>
      <c r="B823" s="3" t="n">
        <v>2026</v>
      </c>
      <c r="C823" s="3" t="inlineStr">
        <is>
          <t>Blupine Energy</t>
        </is>
      </c>
      <c r="D823" s="3" t="inlineStr">
        <is>
          <t>Utility and C&amp;I</t>
        </is>
      </c>
      <c r="E823" s="3" t="n"/>
      <c r="F823" s="3" t="inlineStr">
        <is>
          <t>Closed</t>
        </is>
      </c>
      <c r="G823" s="3" t="inlineStr">
        <is>
          <t>Chandrashekar Patidar</t>
        </is>
      </c>
      <c r="H823" s="3" t="n">
        <v>7879764773</v>
      </c>
      <c r="I823" s="11" t="inlineStr">
        <is>
          <t>PE26032601</t>
        </is>
      </c>
      <c r="J823" s="3" t="inlineStr">
        <is>
          <t>Module Diode Failure</t>
        </is>
      </c>
      <c r="K823" s="3" t="inlineStr">
        <is>
          <t>Sadla</t>
        </is>
      </c>
      <c r="L823" s="3" t="inlineStr">
        <is>
          <t>Gujarat</t>
        </is>
      </c>
      <c r="M823" s="9" t="inlineStr">
        <is>
          <t>PS</t>
        </is>
      </c>
      <c r="N823" s="3" t="inlineStr">
        <is>
          <t>Cold Soldering</t>
        </is>
      </c>
      <c r="O823" s="3" t="n">
        <v>570</v>
      </c>
      <c r="P823" s="9" t="inlineStr">
        <is>
          <t>NSMI24060084384</t>
        </is>
      </c>
      <c r="Q823" s="53">
        <f>MID(P823,5,2)</f>
        <v/>
      </c>
      <c r="R823" s="53">
        <f>MID(P823,7,2)</f>
        <v/>
      </c>
      <c r="S823" s="3" t="inlineStr">
        <is>
          <t>G2G</t>
        </is>
      </c>
      <c r="T823" s="3" t="inlineStr">
        <is>
          <t>P4</t>
        </is>
      </c>
      <c r="U823" s="3" t="inlineStr">
        <is>
          <t>P JB Cold Soldering</t>
        </is>
      </c>
      <c r="V823" s="3" t="inlineStr">
        <is>
          <t>Soldering</t>
        </is>
      </c>
      <c r="W823" s="3" t="inlineStr">
        <is>
          <t>Repair</t>
        </is>
      </c>
      <c r="X823" s="18" t="n">
        <v>46154</v>
      </c>
      <c r="Y823" s="73">
        <f>IF(X823="","",X823-A823)</f>
        <v/>
      </c>
      <c r="Z823" s="18" t="n">
        <v>46154</v>
      </c>
      <c r="AA823" s="15" t="n"/>
      <c r="AB823" s="15" t="n"/>
      <c r="AF823">
        <f>IF(AND($F823="Closed",$X823&gt;=DATE(2026,5,1),$X823&lt;=DATE(2026,5,31)),"Closed in May","Other")</f>
        <v/>
      </c>
    </row>
    <row r="824">
      <c r="A824" s="6" t="n">
        <v>46107</v>
      </c>
      <c r="B824" s="3" t="n">
        <v>2026</v>
      </c>
      <c r="C824" s="3" t="inlineStr">
        <is>
          <t>Blupine Energy</t>
        </is>
      </c>
      <c r="D824" s="3" t="inlineStr">
        <is>
          <t>Utility and C&amp;I</t>
        </is>
      </c>
      <c r="E824" s="3" t="n"/>
      <c r="F824" s="3" t="inlineStr">
        <is>
          <t>Closed</t>
        </is>
      </c>
      <c r="G824" s="3" t="inlineStr">
        <is>
          <t>Chandrashekar Patidar</t>
        </is>
      </c>
      <c r="H824" s="3" t="n">
        <v>7879764773</v>
      </c>
      <c r="I824" s="11" t="inlineStr">
        <is>
          <t>PE26032601</t>
        </is>
      </c>
      <c r="J824" s="3" t="inlineStr">
        <is>
          <t>Module Diode Failure</t>
        </is>
      </c>
      <c r="K824" s="3" t="inlineStr">
        <is>
          <t>Sadla</t>
        </is>
      </c>
      <c r="L824" s="3" t="inlineStr">
        <is>
          <t>Gujarat</t>
        </is>
      </c>
      <c r="M824" s="9" t="inlineStr">
        <is>
          <t>PS</t>
        </is>
      </c>
      <c r="N824" s="3" t="inlineStr">
        <is>
          <t>Cold Soldering</t>
        </is>
      </c>
      <c r="O824" s="3" t="n">
        <v>570</v>
      </c>
      <c r="P824" s="9" t="inlineStr">
        <is>
          <t>NSMI24060123419</t>
        </is>
      </c>
      <c r="Q824" s="53">
        <f>MID(P824,5,2)</f>
        <v/>
      </c>
      <c r="R824" s="53">
        <f>MID(P824,7,2)</f>
        <v/>
      </c>
      <c r="S824" s="3" t="inlineStr">
        <is>
          <t>G2G</t>
        </is>
      </c>
      <c r="T824" s="3" t="inlineStr">
        <is>
          <t>P4</t>
        </is>
      </c>
      <c r="U824" s="3" t="inlineStr">
        <is>
          <t>P JB Cold Soldering</t>
        </is>
      </c>
      <c r="V824" s="3" t="inlineStr">
        <is>
          <t>Soldering</t>
        </is>
      </c>
      <c r="W824" s="3" t="inlineStr">
        <is>
          <t>Repair</t>
        </is>
      </c>
      <c r="X824" s="18" t="n">
        <v>46154</v>
      </c>
      <c r="Y824" s="73">
        <f>IF(X824="","",X824-A824)</f>
        <v/>
      </c>
      <c r="Z824" s="18" t="n">
        <v>46154</v>
      </c>
      <c r="AA824" s="15" t="n"/>
      <c r="AB824" s="15" t="n"/>
      <c r="AF824">
        <f>IF(AND($F824="Closed",$X824&gt;=DATE(2026,5,1),$X824&lt;=DATE(2026,5,31)),"Closed in May","Other")</f>
        <v/>
      </c>
    </row>
    <row r="825">
      <c r="A825" s="6" t="n">
        <v>46107</v>
      </c>
      <c r="B825" s="3" t="n">
        <v>2026</v>
      </c>
      <c r="C825" s="3" t="inlineStr">
        <is>
          <t>Blupine Energy</t>
        </is>
      </c>
      <c r="D825" s="3" t="inlineStr">
        <is>
          <t>Utility and C&amp;I</t>
        </is>
      </c>
      <c r="E825" s="3" t="n"/>
      <c r="F825" s="3" t="inlineStr">
        <is>
          <t>Closed</t>
        </is>
      </c>
      <c r="G825" s="3" t="inlineStr">
        <is>
          <t>Chandrashekar Patidar</t>
        </is>
      </c>
      <c r="H825" s="3" t="n">
        <v>7879764773</v>
      </c>
      <c r="I825" s="11" t="inlineStr">
        <is>
          <t>PE26032601</t>
        </is>
      </c>
      <c r="J825" s="3" t="inlineStr">
        <is>
          <t>Module Diode Failure</t>
        </is>
      </c>
      <c r="K825" s="3" t="inlineStr">
        <is>
          <t>Sadla</t>
        </is>
      </c>
      <c r="L825" s="3" t="inlineStr">
        <is>
          <t>Gujarat</t>
        </is>
      </c>
      <c r="M825" s="9" t="inlineStr">
        <is>
          <t>PS</t>
        </is>
      </c>
      <c r="N825" s="3" t="inlineStr">
        <is>
          <t>Cold Soldering</t>
        </is>
      </c>
      <c r="O825" s="3" t="n">
        <v>570</v>
      </c>
      <c r="P825" s="9" t="inlineStr">
        <is>
          <t>NSMI24060123391</t>
        </is>
      </c>
      <c r="Q825" s="53">
        <f>MID(P825,5,2)</f>
        <v/>
      </c>
      <c r="R825" s="53">
        <f>MID(P825,7,2)</f>
        <v/>
      </c>
      <c r="S825" s="3" t="inlineStr">
        <is>
          <t>G2G</t>
        </is>
      </c>
      <c r="T825" s="3" t="inlineStr">
        <is>
          <t>P4</t>
        </is>
      </c>
      <c r="U825" s="3" t="inlineStr">
        <is>
          <t>P JB Cold Soldering</t>
        </is>
      </c>
      <c r="V825" s="3" t="inlineStr">
        <is>
          <t>Soldering</t>
        </is>
      </c>
      <c r="W825" s="3" t="inlineStr">
        <is>
          <t>Repair</t>
        </is>
      </c>
      <c r="X825" s="18" t="n">
        <v>46154</v>
      </c>
      <c r="Y825" s="73">
        <f>IF(X825="","",X825-A825)</f>
        <v/>
      </c>
      <c r="Z825" s="18" t="n">
        <v>46154</v>
      </c>
      <c r="AA825" s="15" t="n"/>
      <c r="AB825" s="15" t="n"/>
      <c r="AF825">
        <f>IF(AND($F825="Closed",$X825&gt;=DATE(2026,5,1),$X825&lt;=DATE(2026,5,31)),"Closed in May","Other")</f>
        <v/>
      </c>
    </row>
    <row r="826">
      <c r="A826" s="6" t="n">
        <v>46107</v>
      </c>
      <c r="B826" s="3" t="n">
        <v>2026</v>
      </c>
      <c r="C826" s="3" t="inlineStr">
        <is>
          <t>Blupine Energy</t>
        </is>
      </c>
      <c r="D826" s="3" t="inlineStr">
        <is>
          <t>Utility and C&amp;I</t>
        </is>
      </c>
      <c r="E826" s="3" t="n"/>
      <c r="F826" s="3" t="inlineStr">
        <is>
          <t>Closed</t>
        </is>
      </c>
      <c r="G826" s="3" t="inlineStr">
        <is>
          <t>Chandrashekar Patidar</t>
        </is>
      </c>
      <c r="H826" s="3" t="n">
        <v>7879764773</v>
      </c>
      <c r="I826" s="11" t="inlineStr">
        <is>
          <t>PE26032601</t>
        </is>
      </c>
      <c r="J826" s="3" t="inlineStr">
        <is>
          <t>Module Diode Failure</t>
        </is>
      </c>
      <c r="K826" s="3" t="inlineStr">
        <is>
          <t>Sadla</t>
        </is>
      </c>
      <c r="L826" s="3" t="inlineStr">
        <is>
          <t>Gujarat</t>
        </is>
      </c>
      <c r="M826" s="9" t="inlineStr">
        <is>
          <t>NS</t>
        </is>
      </c>
      <c r="N826" s="3" t="inlineStr">
        <is>
          <t>Cold Soldering</t>
        </is>
      </c>
      <c r="O826" s="3" t="n">
        <v>570</v>
      </c>
      <c r="P826" s="9" t="inlineStr">
        <is>
          <t>NSMI24060096906</t>
        </is>
      </c>
      <c r="Q826" s="53">
        <f>MID(P826,5,2)</f>
        <v/>
      </c>
      <c r="R826" s="53">
        <f>MID(P826,7,2)</f>
        <v/>
      </c>
      <c r="S826" s="3" t="inlineStr">
        <is>
          <t>G2G</t>
        </is>
      </c>
      <c r="T826" s="3" t="inlineStr">
        <is>
          <t>P4</t>
        </is>
      </c>
      <c r="U826" s="3" t="inlineStr">
        <is>
          <t>N JB Cold Soldering</t>
        </is>
      </c>
      <c r="V826" s="3" t="inlineStr">
        <is>
          <t>Soldering</t>
        </is>
      </c>
      <c r="W826" s="3" t="inlineStr">
        <is>
          <t>Repair</t>
        </is>
      </c>
      <c r="X826" s="18" t="n">
        <v>46154</v>
      </c>
      <c r="Y826" s="73">
        <f>IF(X826="","",X826-A826)</f>
        <v/>
      </c>
      <c r="Z826" s="18" t="n">
        <v>46154</v>
      </c>
      <c r="AA826" s="15" t="n"/>
      <c r="AB826" s="15" t="n"/>
      <c r="AF826">
        <f>IF(AND($F826="Closed",$X826&gt;=DATE(2026,5,1),$X826&lt;=DATE(2026,5,31)),"Closed in May","Other")</f>
        <v/>
      </c>
    </row>
    <row r="827">
      <c r="A827" s="6" t="n">
        <v>46107</v>
      </c>
      <c r="B827" s="3" t="n">
        <v>2026</v>
      </c>
      <c r="C827" s="3" t="inlineStr">
        <is>
          <t>Blupine Energy</t>
        </is>
      </c>
      <c r="D827" s="3" t="inlineStr">
        <is>
          <t>Utility and C&amp;I</t>
        </is>
      </c>
      <c r="E827" s="3" t="n"/>
      <c r="F827" s="3" t="inlineStr">
        <is>
          <t>Closed</t>
        </is>
      </c>
      <c r="G827" s="3" t="inlineStr">
        <is>
          <t>Chandrashekar Patidar</t>
        </is>
      </c>
      <c r="H827" s="3" t="n">
        <v>7879764773</v>
      </c>
      <c r="I827" s="11" t="inlineStr">
        <is>
          <t>PE26032601</t>
        </is>
      </c>
      <c r="J827" s="3" t="inlineStr">
        <is>
          <t>Module Diode Failure</t>
        </is>
      </c>
      <c r="K827" s="3" t="inlineStr">
        <is>
          <t>Sadla</t>
        </is>
      </c>
      <c r="L827" s="3" t="inlineStr">
        <is>
          <t>Gujarat</t>
        </is>
      </c>
      <c r="M827" s="9" t="inlineStr">
        <is>
          <t>NS</t>
        </is>
      </c>
      <c r="N827" s="3" t="inlineStr">
        <is>
          <t>Cold Soldering</t>
        </is>
      </c>
      <c r="O827" s="3" t="n">
        <v>570</v>
      </c>
      <c r="P827" s="9" t="inlineStr">
        <is>
          <t>NSMI24060096893</t>
        </is>
      </c>
      <c r="Q827" s="53">
        <f>MID(P827,5,2)</f>
        <v/>
      </c>
      <c r="R827" s="53">
        <f>MID(P827,7,2)</f>
        <v/>
      </c>
      <c r="S827" s="3" t="inlineStr">
        <is>
          <t>G2G</t>
        </is>
      </c>
      <c r="T827" s="3" t="inlineStr">
        <is>
          <t>P4</t>
        </is>
      </c>
      <c r="U827" s="3" t="inlineStr">
        <is>
          <t>N JB Cold Soldering</t>
        </is>
      </c>
      <c r="V827" s="3" t="inlineStr">
        <is>
          <t>Soldering</t>
        </is>
      </c>
      <c r="W827" s="3" t="inlineStr">
        <is>
          <t>Repair</t>
        </is>
      </c>
      <c r="X827" s="18" t="n">
        <v>46154</v>
      </c>
      <c r="Y827" s="73">
        <f>IF(X827="","",X827-A827)</f>
        <v/>
      </c>
      <c r="Z827" s="18" t="n">
        <v>46154</v>
      </c>
      <c r="AA827" s="15" t="n"/>
      <c r="AB827" s="15" t="n"/>
      <c r="AF827">
        <f>IF(AND($F827="Closed",$X827&gt;=DATE(2026,5,1),$X827&lt;=DATE(2026,5,31)),"Closed in May","Other")</f>
        <v/>
      </c>
    </row>
    <row r="828">
      <c r="A828" s="6" t="n">
        <v>46107</v>
      </c>
      <c r="B828" s="3" t="n">
        <v>2026</v>
      </c>
      <c r="C828" s="3" t="inlineStr">
        <is>
          <t>Blupine Energy</t>
        </is>
      </c>
      <c r="D828" s="3" t="inlineStr">
        <is>
          <t>Utility and C&amp;I</t>
        </is>
      </c>
      <c r="E828" s="3" t="n"/>
      <c r="F828" s="3" t="inlineStr">
        <is>
          <t>Closed</t>
        </is>
      </c>
      <c r="G828" s="3" t="inlineStr">
        <is>
          <t>Chandrashekar Patidar</t>
        </is>
      </c>
      <c r="H828" s="3" t="n">
        <v>7879764773</v>
      </c>
      <c r="I828" s="11" t="inlineStr">
        <is>
          <t>PE26032601</t>
        </is>
      </c>
      <c r="J828" s="3" t="inlineStr">
        <is>
          <t>Module Diode Failure</t>
        </is>
      </c>
      <c r="K828" s="3" t="inlineStr">
        <is>
          <t>Sadla</t>
        </is>
      </c>
      <c r="L828" s="3" t="inlineStr">
        <is>
          <t>Gujarat</t>
        </is>
      </c>
      <c r="M828" s="9" t="inlineStr">
        <is>
          <t>NS</t>
        </is>
      </c>
      <c r="N828" s="3" t="inlineStr">
        <is>
          <t>Cold Soldering</t>
        </is>
      </c>
      <c r="O828" s="3" t="n">
        <v>570</v>
      </c>
      <c r="P828" s="9" t="inlineStr">
        <is>
          <t>NSMI24060096904</t>
        </is>
      </c>
      <c r="Q828" s="53">
        <f>MID(P828,5,2)</f>
        <v/>
      </c>
      <c r="R828" s="53">
        <f>MID(P828,7,2)</f>
        <v/>
      </c>
      <c r="S828" s="3" t="inlineStr">
        <is>
          <t>G2G</t>
        </is>
      </c>
      <c r="T828" s="3" t="inlineStr">
        <is>
          <t>P4</t>
        </is>
      </c>
      <c r="U828" s="3" t="inlineStr">
        <is>
          <t>N JB Cold Soldering</t>
        </is>
      </c>
      <c r="V828" s="3" t="inlineStr">
        <is>
          <t>Soldering</t>
        </is>
      </c>
      <c r="W828" s="3" t="inlineStr">
        <is>
          <t>Repair</t>
        </is>
      </c>
      <c r="X828" s="18" t="n">
        <v>46154</v>
      </c>
      <c r="Y828" s="73">
        <f>IF(X828="","",X828-A828)</f>
        <v/>
      </c>
      <c r="Z828" s="18" t="n">
        <v>46154</v>
      </c>
      <c r="AA828" s="15" t="n"/>
      <c r="AB828" s="15" t="n"/>
      <c r="AF828">
        <f>IF(AND($F828="Closed",$X828&gt;=DATE(2026,5,1),$X828&lt;=DATE(2026,5,31)),"Closed in May","Other")</f>
        <v/>
      </c>
    </row>
    <row r="829">
      <c r="A829" s="6" t="n">
        <v>46107</v>
      </c>
      <c r="B829" s="3" t="n">
        <v>2026</v>
      </c>
      <c r="C829" s="3" t="inlineStr">
        <is>
          <t>Blupine Energy</t>
        </is>
      </c>
      <c r="D829" s="3" t="inlineStr">
        <is>
          <t>Utility and C&amp;I</t>
        </is>
      </c>
      <c r="E829" s="3" t="n"/>
      <c r="F829" s="3" t="inlineStr">
        <is>
          <t>Closed</t>
        </is>
      </c>
      <c r="G829" s="3" t="inlineStr">
        <is>
          <t>Chandrashekar Patidar</t>
        </is>
      </c>
      <c r="H829" s="3" t="n">
        <v>7879764773</v>
      </c>
      <c r="I829" s="11" t="inlineStr">
        <is>
          <t>PE26032601</t>
        </is>
      </c>
      <c r="J829" s="3" t="inlineStr">
        <is>
          <t>Module Diode Failure</t>
        </is>
      </c>
      <c r="K829" s="3" t="inlineStr">
        <is>
          <t>Sadla</t>
        </is>
      </c>
      <c r="L829" s="3" t="inlineStr">
        <is>
          <t>Gujarat</t>
        </is>
      </c>
      <c r="M829" s="9" t="inlineStr">
        <is>
          <t>NS</t>
        </is>
      </c>
      <c r="N829" s="3" t="inlineStr">
        <is>
          <t>Cold Soldering</t>
        </is>
      </c>
      <c r="O829" s="3" t="n">
        <v>570</v>
      </c>
      <c r="P829" s="9" t="inlineStr">
        <is>
          <t>NSMI24060096878</t>
        </is>
      </c>
      <c r="Q829" s="53">
        <f>MID(P829,5,2)</f>
        <v/>
      </c>
      <c r="R829" s="53">
        <f>MID(P829,7,2)</f>
        <v/>
      </c>
      <c r="S829" s="3" t="inlineStr">
        <is>
          <t>G2G</t>
        </is>
      </c>
      <c r="T829" s="3" t="inlineStr">
        <is>
          <t>P4</t>
        </is>
      </c>
      <c r="U829" s="3" t="inlineStr">
        <is>
          <t>N JB Cold Soldering</t>
        </is>
      </c>
      <c r="V829" s="3" t="inlineStr">
        <is>
          <t>Soldering</t>
        </is>
      </c>
      <c r="W829" s="3" t="inlineStr">
        <is>
          <t>Repair</t>
        </is>
      </c>
      <c r="X829" s="18" t="n">
        <v>46154</v>
      </c>
      <c r="Y829" s="73">
        <f>IF(X829="","",X829-A829)</f>
        <v/>
      </c>
      <c r="Z829" s="18" t="n">
        <v>46154</v>
      </c>
      <c r="AA829" s="15" t="n"/>
      <c r="AB829" s="15" t="n"/>
      <c r="AF829">
        <f>IF(AND($F829="Closed",$X829&gt;=DATE(2026,5,1),$X829&lt;=DATE(2026,5,31)),"Closed in May","Other")</f>
        <v/>
      </c>
    </row>
    <row r="830">
      <c r="A830" s="6" t="n">
        <v>46107</v>
      </c>
      <c r="B830" s="3" t="n">
        <v>2026</v>
      </c>
      <c r="C830" s="3" t="inlineStr">
        <is>
          <t>Blupine Energy</t>
        </is>
      </c>
      <c r="D830" s="3" t="inlineStr">
        <is>
          <t>Utility and C&amp;I</t>
        </is>
      </c>
      <c r="E830" s="3" t="n"/>
      <c r="F830" s="3" t="inlineStr">
        <is>
          <t>Closed</t>
        </is>
      </c>
      <c r="G830" s="3" t="inlineStr">
        <is>
          <t>Chandrashekar Patidar</t>
        </is>
      </c>
      <c r="H830" s="3" t="n">
        <v>7879764773</v>
      </c>
      <c r="I830" s="11" t="inlineStr">
        <is>
          <t>PE26032601</t>
        </is>
      </c>
      <c r="J830" s="3" t="inlineStr">
        <is>
          <t>Module Diode Failure</t>
        </is>
      </c>
      <c r="K830" s="3" t="inlineStr">
        <is>
          <t>Sadla</t>
        </is>
      </c>
      <c r="L830" s="3" t="inlineStr">
        <is>
          <t>Gujarat</t>
        </is>
      </c>
      <c r="M830" s="9" t="inlineStr">
        <is>
          <t>NS</t>
        </is>
      </c>
      <c r="N830" s="3" t="inlineStr">
        <is>
          <t>Cold Soldering</t>
        </is>
      </c>
      <c r="O830" s="3" t="n">
        <v>570</v>
      </c>
      <c r="P830" s="9" t="inlineStr">
        <is>
          <t>NSMI24060094216</t>
        </is>
      </c>
      <c r="Q830" s="53">
        <f>MID(P830,5,2)</f>
        <v/>
      </c>
      <c r="R830" s="53">
        <f>MID(P830,7,2)</f>
        <v/>
      </c>
      <c r="S830" s="3" t="inlineStr">
        <is>
          <t>G2G</t>
        </is>
      </c>
      <c r="T830" s="3" t="inlineStr">
        <is>
          <t>P4</t>
        </is>
      </c>
      <c r="U830" s="3" t="inlineStr">
        <is>
          <t>N JB Cold Soldering</t>
        </is>
      </c>
      <c r="V830" s="3" t="inlineStr">
        <is>
          <t>Soldering</t>
        </is>
      </c>
      <c r="W830" s="3" t="inlineStr">
        <is>
          <t>Repair</t>
        </is>
      </c>
      <c r="X830" s="18" t="n">
        <v>46154</v>
      </c>
      <c r="Y830" s="73">
        <f>IF(X830="","",X830-A830)</f>
        <v/>
      </c>
      <c r="Z830" s="18" t="n">
        <v>46154</v>
      </c>
      <c r="AA830" s="15" t="n"/>
      <c r="AB830" s="15" t="n"/>
      <c r="AF830">
        <f>IF(AND($F830="Closed",$X830&gt;=DATE(2026,5,1),$X830&lt;=DATE(2026,5,31)),"Closed in May","Other")</f>
        <v/>
      </c>
    </row>
    <row r="831">
      <c r="A831" s="6" t="n">
        <v>46107</v>
      </c>
      <c r="B831" s="3" t="n">
        <v>2026</v>
      </c>
      <c r="C831" s="3" t="inlineStr">
        <is>
          <t>Blupine Energy</t>
        </is>
      </c>
      <c r="D831" s="3" t="inlineStr">
        <is>
          <t>Utility and C&amp;I</t>
        </is>
      </c>
      <c r="E831" s="3" t="n"/>
      <c r="F831" s="3" t="inlineStr">
        <is>
          <t>Closed</t>
        </is>
      </c>
      <c r="G831" s="3" t="inlineStr">
        <is>
          <t>Chandrashekar Patidar</t>
        </is>
      </c>
      <c r="H831" s="3" t="n">
        <v>7879764773</v>
      </c>
      <c r="I831" s="11" t="inlineStr">
        <is>
          <t>PE26032601</t>
        </is>
      </c>
      <c r="J831" s="3" t="inlineStr">
        <is>
          <t>Module Diode Failure</t>
        </is>
      </c>
      <c r="K831" s="3" t="inlineStr">
        <is>
          <t>Sadla</t>
        </is>
      </c>
      <c r="L831" s="3" t="inlineStr">
        <is>
          <t>Gujarat</t>
        </is>
      </c>
      <c r="M831" s="9" t="inlineStr">
        <is>
          <t>NS</t>
        </is>
      </c>
      <c r="N831" s="3" t="inlineStr">
        <is>
          <t>Cold Soldering</t>
        </is>
      </c>
      <c r="O831" s="3" t="n">
        <v>570</v>
      </c>
      <c r="P831" s="9" t="inlineStr">
        <is>
          <t>NSMI24060097004</t>
        </is>
      </c>
      <c r="Q831" s="53">
        <f>MID(P831,5,2)</f>
        <v/>
      </c>
      <c r="R831" s="53">
        <f>MID(P831,7,2)</f>
        <v/>
      </c>
      <c r="S831" s="3" t="inlineStr">
        <is>
          <t>G2G</t>
        </is>
      </c>
      <c r="T831" s="3" t="inlineStr">
        <is>
          <t>P4</t>
        </is>
      </c>
      <c r="U831" s="3" t="inlineStr">
        <is>
          <t>N JB Cold Soldering</t>
        </is>
      </c>
      <c r="V831" s="3" t="inlineStr">
        <is>
          <t>Soldering</t>
        </is>
      </c>
      <c r="W831" s="3" t="inlineStr">
        <is>
          <t>Repair</t>
        </is>
      </c>
      <c r="X831" s="18" t="n">
        <v>46154</v>
      </c>
      <c r="Y831" s="73">
        <f>IF(X831="","",X831-A831)</f>
        <v/>
      </c>
      <c r="Z831" s="18" t="n">
        <v>46154</v>
      </c>
      <c r="AA831" s="15" t="n"/>
      <c r="AB831" s="15" t="n"/>
      <c r="AF831">
        <f>IF(AND($F831="Closed",$X831&gt;=DATE(2026,5,1),$X831&lt;=DATE(2026,5,31)),"Closed in May","Other")</f>
        <v/>
      </c>
    </row>
    <row r="832">
      <c r="A832" s="6" t="n">
        <v>46107</v>
      </c>
      <c r="B832" s="3" t="n">
        <v>2026</v>
      </c>
      <c r="C832" s="3" t="inlineStr">
        <is>
          <t>Blupine Energy</t>
        </is>
      </c>
      <c r="D832" s="3" t="inlineStr">
        <is>
          <t>Utility and C&amp;I</t>
        </is>
      </c>
      <c r="E832" s="3" t="n"/>
      <c r="F832" s="3" t="inlineStr">
        <is>
          <t>Closed</t>
        </is>
      </c>
      <c r="G832" s="3" t="inlineStr">
        <is>
          <t>Chandrashekar Patidar</t>
        </is>
      </c>
      <c r="H832" s="3" t="n">
        <v>7879764773</v>
      </c>
      <c r="I832" s="11" t="inlineStr">
        <is>
          <t>PE26032601</t>
        </is>
      </c>
      <c r="J832" s="3" t="inlineStr">
        <is>
          <t>Module Diode Failure</t>
        </is>
      </c>
      <c r="K832" s="3" t="inlineStr">
        <is>
          <t>Sadla</t>
        </is>
      </c>
      <c r="L832" s="3" t="inlineStr">
        <is>
          <t>Gujarat</t>
        </is>
      </c>
      <c r="M832" s="9" t="inlineStr">
        <is>
          <t>NR</t>
        </is>
      </c>
      <c r="N832" s="3" t="inlineStr">
        <is>
          <t>JB Issue</t>
        </is>
      </c>
      <c r="O832" s="3" t="n">
        <v>570</v>
      </c>
      <c r="P832" s="9" t="inlineStr">
        <is>
          <t>NSMI24060096928</t>
        </is>
      </c>
      <c r="Q832" s="53">
        <f>MID(P832,5,2)</f>
        <v/>
      </c>
      <c r="R832" s="53">
        <f>MID(P832,7,2)</f>
        <v/>
      </c>
      <c r="S832" s="3" t="inlineStr">
        <is>
          <t>G2G</t>
        </is>
      </c>
      <c r="T832" s="3" t="inlineStr">
        <is>
          <t>P4</t>
        </is>
      </c>
      <c r="U832" s="3" t="inlineStr">
        <is>
          <t>N JB Issue</t>
        </is>
      </c>
      <c r="V832" s="3" t="inlineStr">
        <is>
          <t>JB Changed</t>
        </is>
      </c>
      <c r="W832" s="3" t="inlineStr">
        <is>
          <t>Repair</t>
        </is>
      </c>
      <c r="X832" s="18" t="n">
        <v>46154</v>
      </c>
      <c r="Y832" s="73">
        <f>IF(X832="","",X832-A832)</f>
        <v/>
      </c>
      <c r="Z832" s="18" t="n">
        <v>46154</v>
      </c>
      <c r="AA832" s="15" t="n"/>
      <c r="AB832" s="15" t="n"/>
      <c r="AF832">
        <f>IF(AND($F832="Closed",$X832&gt;=DATE(2026,5,1),$X832&lt;=DATE(2026,5,31)),"Closed in May","Other")</f>
        <v/>
      </c>
    </row>
    <row r="833">
      <c r="A833" s="6" t="n">
        <v>46107</v>
      </c>
      <c r="B833" s="3" t="n">
        <v>2026</v>
      </c>
      <c r="C833" s="3" t="inlineStr">
        <is>
          <t>Blupine Energy</t>
        </is>
      </c>
      <c r="D833" s="3" t="inlineStr">
        <is>
          <t>Utility and C&amp;I</t>
        </is>
      </c>
      <c r="E833" s="3" t="n"/>
      <c r="F833" s="3" t="inlineStr">
        <is>
          <t>Closed</t>
        </is>
      </c>
      <c r="G833" s="3" t="inlineStr">
        <is>
          <t>Chandrashekar Patidar</t>
        </is>
      </c>
      <c r="H833" s="3" t="n">
        <v>7879764773</v>
      </c>
      <c r="I833" s="11" t="inlineStr">
        <is>
          <t>PE26032601</t>
        </is>
      </c>
      <c r="J833" s="3" t="inlineStr">
        <is>
          <t>Module Diode Failure</t>
        </is>
      </c>
      <c r="K833" s="3" t="inlineStr">
        <is>
          <t>Sadla</t>
        </is>
      </c>
      <c r="L833" s="3" t="inlineStr">
        <is>
          <t>Gujarat</t>
        </is>
      </c>
      <c r="M833" s="9" t="inlineStr">
        <is>
          <t>NS</t>
        </is>
      </c>
      <c r="N833" s="3" t="inlineStr">
        <is>
          <t>Cold Soldering</t>
        </is>
      </c>
      <c r="O833" s="3" t="n">
        <v>570</v>
      </c>
      <c r="P833" s="9" t="inlineStr">
        <is>
          <t>NSMI24060089941</t>
        </is>
      </c>
      <c r="Q833" s="53">
        <f>MID(P833,5,2)</f>
        <v/>
      </c>
      <c r="R833" s="53">
        <f>MID(P833,7,2)</f>
        <v/>
      </c>
      <c r="S833" s="3" t="inlineStr">
        <is>
          <t>G2G</t>
        </is>
      </c>
      <c r="T833" s="3" t="inlineStr">
        <is>
          <t>P4</t>
        </is>
      </c>
      <c r="U833" s="3" t="inlineStr">
        <is>
          <t>N JB Cold Soldering</t>
        </is>
      </c>
      <c r="V833" s="3" t="inlineStr">
        <is>
          <t>Soldering</t>
        </is>
      </c>
      <c r="W833" s="3" t="inlineStr">
        <is>
          <t>Repair</t>
        </is>
      </c>
      <c r="X833" s="18" t="n">
        <v>46155</v>
      </c>
      <c r="Y833" s="73">
        <f>IF(X833="","",X833-A833)</f>
        <v/>
      </c>
      <c r="Z833" s="18" t="n">
        <v>46155</v>
      </c>
      <c r="AA833" s="15" t="n"/>
      <c r="AB833" s="15" t="n"/>
      <c r="AF833">
        <f>IF(AND($F833="Closed",$X833&gt;=DATE(2026,5,1),$X833&lt;=DATE(2026,5,31)),"Closed in May","Other")</f>
        <v/>
      </c>
    </row>
    <row r="834">
      <c r="A834" s="6" t="n">
        <v>46107</v>
      </c>
      <c r="B834" s="3" t="n">
        <v>2026</v>
      </c>
      <c r="C834" s="3" t="inlineStr">
        <is>
          <t>Blupine Energy</t>
        </is>
      </c>
      <c r="D834" s="3" t="inlineStr">
        <is>
          <t>Utility and C&amp;I</t>
        </is>
      </c>
      <c r="E834" s="3" t="n"/>
      <c r="F834" s="3" t="inlineStr">
        <is>
          <t>Closed</t>
        </is>
      </c>
      <c r="G834" s="3" t="inlineStr">
        <is>
          <t>Chandrashekar Patidar</t>
        </is>
      </c>
      <c r="H834" s="3" t="n">
        <v>7879764773</v>
      </c>
      <c r="I834" s="11" t="inlineStr">
        <is>
          <t>PE26032601</t>
        </is>
      </c>
      <c r="J834" s="3" t="inlineStr">
        <is>
          <t>Module Diode Failure</t>
        </is>
      </c>
      <c r="K834" s="3" t="inlineStr">
        <is>
          <t>Sadla</t>
        </is>
      </c>
      <c r="L834" s="3" t="inlineStr">
        <is>
          <t>Gujarat</t>
        </is>
      </c>
      <c r="M834" s="9" t="inlineStr">
        <is>
          <t>PS</t>
        </is>
      </c>
      <c r="N834" s="3" t="inlineStr">
        <is>
          <t>Cold Soldering</t>
        </is>
      </c>
      <c r="O834" s="3" t="n">
        <v>570</v>
      </c>
      <c r="P834" s="9" t="inlineStr">
        <is>
          <t>NSMI24060097962</t>
        </is>
      </c>
      <c r="Q834" s="53">
        <f>MID(P834,5,2)</f>
        <v/>
      </c>
      <c r="R834" s="53">
        <f>MID(P834,7,2)</f>
        <v/>
      </c>
      <c r="S834" s="3" t="inlineStr">
        <is>
          <t>G2G</t>
        </is>
      </c>
      <c r="T834" s="3" t="inlineStr">
        <is>
          <t>P4</t>
        </is>
      </c>
      <c r="U834" s="3" t="inlineStr">
        <is>
          <t>P JB Cold Soldering</t>
        </is>
      </c>
      <c r="V834" s="3" t="inlineStr">
        <is>
          <t>Soldering</t>
        </is>
      </c>
      <c r="W834" s="3" t="inlineStr">
        <is>
          <t>Repair</t>
        </is>
      </c>
      <c r="X834" s="18" t="n">
        <v>46155</v>
      </c>
      <c r="Y834" s="73">
        <f>IF(X834="","",X834-A834)</f>
        <v/>
      </c>
      <c r="Z834" s="18" t="n">
        <v>46155</v>
      </c>
      <c r="AA834" s="15" t="n"/>
      <c r="AB834" s="15" t="n"/>
      <c r="AF834">
        <f>IF(AND($F834="Closed",$X834&gt;=DATE(2026,5,1),$X834&lt;=DATE(2026,5,31)),"Closed in May","Other")</f>
        <v/>
      </c>
    </row>
    <row r="835">
      <c r="A835" s="6" t="n">
        <v>46107</v>
      </c>
      <c r="B835" s="3" t="n">
        <v>2026</v>
      </c>
      <c r="C835" s="3" t="inlineStr">
        <is>
          <t>Blupine Energy</t>
        </is>
      </c>
      <c r="D835" s="3" t="inlineStr">
        <is>
          <t>Utility and C&amp;I</t>
        </is>
      </c>
      <c r="E835" s="3" t="n"/>
      <c r="F835" s="3" t="inlineStr">
        <is>
          <t>Closed</t>
        </is>
      </c>
      <c r="G835" s="3" t="inlineStr">
        <is>
          <t>Chandrashekar Patidar</t>
        </is>
      </c>
      <c r="H835" s="3" t="n">
        <v>7879764773</v>
      </c>
      <c r="I835" s="11" t="inlineStr">
        <is>
          <t>PE26032601</t>
        </is>
      </c>
      <c r="J835" s="3" t="inlineStr">
        <is>
          <t>Module Diode Failure</t>
        </is>
      </c>
      <c r="K835" s="3" t="inlineStr">
        <is>
          <t>Sadla</t>
        </is>
      </c>
      <c r="L835" s="3" t="inlineStr">
        <is>
          <t>Gujarat</t>
        </is>
      </c>
      <c r="M835" s="9" t="inlineStr">
        <is>
          <t>NS</t>
        </is>
      </c>
      <c r="N835" s="3" t="inlineStr">
        <is>
          <t>Cold Soldering</t>
        </is>
      </c>
      <c r="O835" s="3" t="n">
        <v>570</v>
      </c>
      <c r="P835" s="9" t="inlineStr">
        <is>
          <t>NSMI24060096945</t>
        </is>
      </c>
      <c r="Q835" s="53">
        <f>MID(P835,5,2)</f>
        <v/>
      </c>
      <c r="R835" s="53">
        <f>MID(P835,7,2)</f>
        <v/>
      </c>
      <c r="S835" s="3" t="inlineStr">
        <is>
          <t>G2G</t>
        </is>
      </c>
      <c r="T835" s="3" t="inlineStr">
        <is>
          <t>P4</t>
        </is>
      </c>
      <c r="U835" s="3" t="inlineStr">
        <is>
          <t>N JB Cold Soldering</t>
        </is>
      </c>
      <c r="V835" s="3" t="inlineStr">
        <is>
          <t>Soldering</t>
        </is>
      </c>
      <c r="W835" s="3" t="inlineStr">
        <is>
          <t>Repair</t>
        </is>
      </c>
      <c r="X835" s="18" t="n">
        <v>46155</v>
      </c>
      <c r="Y835" s="73">
        <f>IF(X835="","",X835-A835)</f>
        <v/>
      </c>
      <c r="Z835" s="18" t="n">
        <v>46155</v>
      </c>
      <c r="AA835" s="15" t="n"/>
      <c r="AB835" s="15" t="n"/>
      <c r="AF835">
        <f>IF(AND($F835="Closed",$X835&gt;=DATE(2026,5,1),$X835&lt;=DATE(2026,5,31)),"Closed in May","Other")</f>
        <v/>
      </c>
    </row>
    <row r="836">
      <c r="A836" s="6" t="n">
        <v>46107</v>
      </c>
      <c r="B836" s="3" t="n">
        <v>2026</v>
      </c>
      <c r="C836" s="3" t="inlineStr">
        <is>
          <t>Blupine Energy</t>
        </is>
      </c>
      <c r="D836" s="3" t="inlineStr">
        <is>
          <t>Utility and C&amp;I</t>
        </is>
      </c>
      <c r="E836" s="3" t="n"/>
      <c r="F836" s="3" t="inlineStr">
        <is>
          <t>Closed</t>
        </is>
      </c>
      <c r="G836" s="3" t="inlineStr">
        <is>
          <t>Chandrashekar Patidar</t>
        </is>
      </c>
      <c r="H836" s="3" t="n">
        <v>7879764773</v>
      </c>
      <c r="I836" s="11" t="inlineStr">
        <is>
          <t>PE26032601</t>
        </is>
      </c>
      <c r="J836" s="3" t="inlineStr">
        <is>
          <t>Module Diode Failure</t>
        </is>
      </c>
      <c r="K836" s="3" t="inlineStr">
        <is>
          <t>Sadla</t>
        </is>
      </c>
      <c r="L836" s="3" t="inlineStr">
        <is>
          <t>Gujarat</t>
        </is>
      </c>
      <c r="M836" s="9" t="inlineStr">
        <is>
          <t>NS</t>
        </is>
      </c>
      <c r="N836" s="3" t="inlineStr">
        <is>
          <t>Cold Soldering</t>
        </is>
      </c>
      <c r="O836" s="3" t="n">
        <v>570</v>
      </c>
      <c r="P836" s="9" t="inlineStr">
        <is>
          <t>NSMI24060085186</t>
        </is>
      </c>
      <c r="Q836" s="53">
        <f>MID(P836,5,2)</f>
        <v/>
      </c>
      <c r="R836" s="53">
        <f>MID(P836,7,2)</f>
        <v/>
      </c>
      <c r="S836" s="3" t="inlineStr">
        <is>
          <t>G2G</t>
        </is>
      </c>
      <c r="T836" s="3" t="inlineStr">
        <is>
          <t>P4</t>
        </is>
      </c>
      <c r="U836" s="3" t="inlineStr">
        <is>
          <t>N JB Cold Soldering</t>
        </is>
      </c>
      <c r="V836" s="3" t="inlineStr">
        <is>
          <t>Soldering</t>
        </is>
      </c>
      <c r="W836" s="3" t="inlineStr">
        <is>
          <t>Repair</t>
        </is>
      </c>
      <c r="X836" s="18" t="n">
        <v>46155</v>
      </c>
      <c r="Y836" s="73">
        <f>IF(X836="","",X836-A836)</f>
        <v/>
      </c>
      <c r="Z836" s="18" t="n">
        <v>46155</v>
      </c>
      <c r="AA836" s="15" t="n"/>
      <c r="AB836" s="15" t="n"/>
      <c r="AF836">
        <f>IF(AND($F836="Closed",$X836&gt;=DATE(2026,5,1),$X836&lt;=DATE(2026,5,31)),"Closed in May","Other")</f>
        <v/>
      </c>
    </row>
    <row r="837">
      <c r="A837" s="6" t="n">
        <v>46107</v>
      </c>
      <c r="B837" s="3" t="n">
        <v>2026</v>
      </c>
      <c r="C837" s="3" t="inlineStr">
        <is>
          <t>Blupine Energy</t>
        </is>
      </c>
      <c r="D837" s="3" t="inlineStr">
        <is>
          <t>Utility and C&amp;I</t>
        </is>
      </c>
      <c r="E837" s="3" t="n"/>
      <c r="F837" s="3" t="inlineStr">
        <is>
          <t>Closed</t>
        </is>
      </c>
      <c r="G837" s="3" t="inlineStr">
        <is>
          <t>Chandrashekar Patidar</t>
        </is>
      </c>
      <c r="H837" s="3" t="n">
        <v>7879764773</v>
      </c>
      <c r="I837" s="11" t="inlineStr">
        <is>
          <t>PE26032601</t>
        </is>
      </c>
      <c r="J837" s="3" t="inlineStr">
        <is>
          <t>Module Diode Failure</t>
        </is>
      </c>
      <c r="K837" s="3" t="inlineStr">
        <is>
          <t>Sadla</t>
        </is>
      </c>
      <c r="L837" s="3" t="inlineStr">
        <is>
          <t>Gujarat</t>
        </is>
      </c>
      <c r="M837" s="9" t="inlineStr">
        <is>
          <t>PS</t>
        </is>
      </c>
      <c r="N837" s="3" t="inlineStr">
        <is>
          <t>Cold Soldering</t>
        </is>
      </c>
      <c r="O837" s="3" t="n">
        <v>570</v>
      </c>
      <c r="P837" s="9" t="inlineStr">
        <is>
          <t>NSMI24060085163</t>
        </is>
      </c>
      <c r="Q837" s="53">
        <f>MID(P837,5,2)</f>
        <v/>
      </c>
      <c r="R837" s="53">
        <f>MID(P837,7,2)</f>
        <v/>
      </c>
      <c r="S837" s="3" t="inlineStr">
        <is>
          <t>G2G</t>
        </is>
      </c>
      <c r="T837" s="3" t="inlineStr">
        <is>
          <t>P4</t>
        </is>
      </c>
      <c r="U837" s="3" t="inlineStr">
        <is>
          <t>P JB Cold Soldering</t>
        </is>
      </c>
      <c r="V837" s="3" t="inlineStr">
        <is>
          <t>Soldering</t>
        </is>
      </c>
      <c r="W837" s="3" t="inlineStr">
        <is>
          <t>Repair</t>
        </is>
      </c>
      <c r="X837" s="18" t="n">
        <v>46155</v>
      </c>
      <c r="Y837" s="73">
        <f>IF(X837="","",X837-A837)</f>
        <v/>
      </c>
      <c r="Z837" s="18" t="n">
        <v>46155</v>
      </c>
      <c r="AA837" s="15" t="n"/>
      <c r="AB837" s="15" t="n"/>
      <c r="AF837">
        <f>IF(AND($F837="Closed",$X837&gt;=DATE(2026,5,1),$X837&lt;=DATE(2026,5,31)),"Closed in May","Other")</f>
        <v/>
      </c>
    </row>
    <row r="838">
      <c r="A838" s="6" t="n">
        <v>46107</v>
      </c>
      <c r="B838" s="3" t="n">
        <v>2026</v>
      </c>
      <c r="C838" s="3" t="inlineStr">
        <is>
          <t>Blupine Energy</t>
        </is>
      </c>
      <c r="D838" s="3" t="inlineStr">
        <is>
          <t>Utility and C&amp;I</t>
        </is>
      </c>
      <c r="E838" s="3" t="n"/>
      <c r="F838" s="3" t="inlineStr">
        <is>
          <t>Closed</t>
        </is>
      </c>
      <c r="G838" s="3" t="inlineStr">
        <is>
          <t>Chandrashekar Patidar</t>
        </is>
      </c>
      <c r="H838" s="3" t="n">
        <v>7879764773</v>
      </c>
      <c r="I838" s="11" t="inlineStr">
        <is>
          <t>PE26032601</t>
        </is>
      </c>
      <c r="J838" s="3" t="inlineStr">
        <is>
          <t>Module Diode Failure</t>
        </is>
      </c>
      <c r="K838" s="3" t="inlineStr">
        <is>
          <t>Sadla</t>
        </is>
      </c>
      <c r="L838" s="3" t="inlineStr">
        <is>
          <t>Gujarat</t>
        </is>
      </c>
      <c r="M838" s="9" t="inlineStr">
        <is>
          <t>NS</t>
        </is>
      </c>
      <c r="N838" s="3" t="inlineStr">
        <is>
          <t>Cold Soldering</t>
        </is>
      </c>
      <c r="O838" s="3" t="n">
        <v>570</v>
      </c>
      <c r="P838" s="9" t="inlineStr">
        <is>
          <t>NSMI24060096210</t>
        </is>
      </c>
      <c r="Q838" s="53">
        <f>MID(P838,5,2)</f>
        <v/>
      </c>
      <c r="R838" s="53">
        <f>MID(P838,7,2)</f>
        <v/>
      </c>
      <c r="S838" s="3" t="inlineStr">
        <is>
          <t>G2G</t>
        </is>
      </c>
      <c r="T838" s="3" t="inlineStr">
        <is>
          <t>P4</t>
        </is>
      </c>
      <c r="U838" s="3" t="inlineStr">
        <is>
          <t>N JB Cold Soldering</t>
        </is>
      </c>
      <c r="V838" s="3" t="inlineStr">
        <is>
          <t>Soldering</t>
        </is>
      </c>
      <c r="W838" s="3" t="inlineStr">
        <is>
          <t>Repair</t>
        </is>
      </c>
      <c r="X838" s="18" t="n">
        <v>46155</v>
      </c>
      <c r="Y838" s="73">
        <f>IF(X838="","",X838-A838)</f>
        <v/>
      </c>
      <c r="Z838" s="18" t="n">
        <v>46155</v>
      </c>
      <c r="AA838" s="15" t="n"/>
      <c r="AB838" s="15" t="n"/>
      <c r="AF838">
        <f>IF(AND($F838="Closed",$X838&gt;=DATE(2026,5,1),$X838&lt;=DATE(2026,5,31)),"Closed in May","Other")</f>
        <v/>
      </c>
    </row>
    <row r="839">
      <c r="A839" s="6" t="n">
        <v>46107</v>
      </c>
      <c r="B839" s="3" t="n">
        <v>2026</v>
      </c>
      <c r="C839" s="3" t="inlineStr">
        <is>
          <t>Blupine Energy</t>
        </is>
      </c>
      <c r="D839" s="3" t="inlineStr">
        <is>
          <t>Utility and C&amp;I</t>
        </is>
      </c>
      <c r="E839" s="3" t="n"/>
      <c r="F839" s="3" t="inlineStr">
        <is>
          <t>Closed</t>
        </is>
      </c>
      <c r="G839" s="3" t="inlineStr">
        <is>
          <t>Chandrashekar Patidar</t>
        </is>
      </c>
      <c r="H839" s="3" t="n">
        <v>7879764773</v>
      </c>
      <c r="I839" s="11" t="inlineStr">
        <is>
          <t>PE26032601</t>
        </is>
      </c>
      <c r="J839" s="3" t="inlineStr">
        <is>
          <t>Module Diode Failure</t>
        </is>
      </c>
      <c r="K839" s="3" t="inlineStr">
        <is>
          <t>Sadla</t>
        </is>
      </c>
      <c r="L839" s="3" t="inlineStr">
        <is>
          <t>Gujarat</t>
        </is>
      </c>
      <c r="M839" s="9" t="inlineStr">
        <is>
          <t>NS</t>
        </is>
      </c>
      <c r="N839" s="3" t="inlineStr">
        <is>
          <t>Cold Soldering</t>
        </is>
      </c>
      <c r="O839" s="3" t="n">
        <v>570</v>
      </c>
      <c r="P839" s="9" t="inlineStr">
        <is>
          <t>NSMI24060096527</t>
        </is>
      </c>
      <c r="Q839" s="53">
        <f>MID(P839,5,2)</f>
        <v/>
      </c>
      <c r="R839" s="53">
        <f>MID(P839,7,2)</f>
        <v/>
      </c>
      <c r="S839" s="3" t="inlineStr">
        <is>
          <t>G2G</t>
        </is>
      </c>
      <c r="T839" s="3" t="inlineStr">
        <is>
          <t>P4</t>
        </is>
      </c>
      <c r="U839" s="3" t="inlineStr">
        <is>
          <t>N JB Cold Soldering</t>
        </is>
      </c>
      <c r="V839" s="3" t="inlineStr">
        <is>
          <t>Soldering</t>
        </is>
      </c>
      <c r="W839" s="3" t="inlineStr">
        <is>
          <t>Repair</t>
        </is>
      </c>
      <c r="X839" s="18" t="n">
        <v>46155</v>
      </c>
      <c r="Y839" s="73">
        <f>IF(X839="","",X839-A839)</f>
        <v/>
      </c>
      <c r="Z839" s="18" t="n">
        <v>46155</v>
      </c>
      <c r="AA839" s="15" t="n"/>
      <c r="AB839" s="15" t="n"/>
      <c r="AF839">
        <f>IF(AND($F839="Closed",$X839&gt;=DATE(2026,5,1),$X839&lt;=DATE(2026,5,31)),"Closed in May","Other")</f>
        <v/>
      </c>
    </row>
    <row r="840">
      <c r="A840" s="6" t="n">
        <v>46107</v>
      </c>
      <c r="B840" s="3" t="n">
        <v>2026</v>
      </c>
      <c r="C840" s="3" t="inlineStr">
        <is>
          <t>Blupine Energy</t>
        </is>
      </c>
      <c r="D840" s="3" t="inlineStr">
        <is>
          <t>Utility and C&amp;I</t>
        </is>
      </c>
      <c r="E840" s="3" t="n"/>
      <c r="F840" s="3" t="inlineStr">
        <is>
          <t>Closed</t>
        </is>
      </c>
      <c r="G840" s="3" t="inlineStr">
        <is>
          <t>Chandrashekar Patidar</t>
        </is>
      </c>
      <c r="H840" s="3" t="n">
        <v>7879764773</v>
      </c>
      <c r="I840" s="11" t="inlineStr">
        <is>
          <t>PE26032601</t>
        </is>
      </c>
      <c r="J840" s="3" t="inlineStr">
        <is>
          <t>Module Diode Failure</t>
        </is>
      </c>
      <c r="K840" s="3" t="inlineStr">
        <is>
          <t>Sadla</t>
        </is>
      </c>
      <c r="L840" s="3" t="inlineStr">
        <is>
          <t>Gujarat</t>
        </is>
      </c>
      <c r="M840" s="9" t="inlineStr">
        <is>
          <t>NS</t>
        </is>
      </c>
      <c r="N840" s="3" t="inlineStr">
        <is>
          <t>Cold Soldering</t>
        </is>
      </c>
      <c r="O840" s="3" t="n">
        <v>570</v>
      </c>
      <c r="P840" s="9" t="inlineStr">
        <is>
          <t>NSMI24060094924</t>
        </is>
      </c>
      <c r="Q840" s="53">
        <f>MID(P840,5,2)</f>
        <v/>
      </c>
      <c r="R840" s="53">
        <f>MID(P840,7,2)</f>
        <v/>
      </c>
      <c r="S840" s="3" t="inlineStr">
        <is>
          <t>G2G</t>
        </is>
      </c>
      <c r="T840" s="3" t="inlineStr">
        <is>
          <t>P4</t>
        </is>
      </c>
      <c r="U840" s="3" t="inlineStr">
        <is>
          <t>N JB Cold Soldering</t>
        </is>
      </c>
      <c r="V840" s="3" t="inlineStr">
        <is>
          <t>Soldering</t>
        </is>
      </c>
      <c r="W840" s="3" t="inlineStr">
        <is>
          <t>Repair</t>
        </is>
      </c>
      <c r="X840" s="18" t="n">
        <v>46155</v>
      </c>
      <c r="Y840" s="73">
        <f>IF(X840="","",X840-A840)</f>
        <v/>
      </c>
      <c r="Z840" s="18" t="n">
        <v>46155</v>
      </c>
      <c r="AA840" s="15" t="n"/>
      <c r="AB840" s="15" t="n"/>
      <c r="AF840">
        <f>IF(AND($F840="Closed",$X840&gt;=DATE(2026,5,1),$X840&lt;=DATE(2026,5,31)),"Closed in May","Other")</f>
        <v/>
      </c>
    </row>
    <row r="841">
      <c r="A841" s="6" t="n">
        <v>46107</v>
      </c>
      <c r="B841" s="3" t="n">
        <v>2026</v>
      </c>
      <c r="C841" s="3" t="inlineStr">
        <is>
          <t>Blupine Energy</t>
        </is>
      </c>
      <c r="D841" s="3" t="inlineStr">
        <is>
          <t>Utility and C&amp;I</t>
        </is>
      </c>
      <c r="E841" s="3" t="n"/>
      <c r="F841" s="3" t="inlineStr">
        <is>
          <t>Closed</t>
        </is>
      </c>
      <c r="G841" s="3" t="inlineStr">
        <is>
          <t>Chandrashekar Patidar</t>
        </is>
      </c>
      <c r="H841" s="3" t="n">
        <v>7879764773</v>
      </c>
      <c r="I841" s="11" t="inlineStr">
        <is>
          <t>PE26032601</t>
        </is>
      </c>
      <c r="J841" s="3" t="inlineStr">
        <is>
          <t>Module Diode Failure</t>
        </is>
      </c>
      <c r="K841" s="3" t="inlineStr">
        <is>
          <t>Sadla</t>
        </is>
      </c>
      <c r="L841" s="3" t="inlineStr">
        <is>
          <t>Gujarat</t>
        </is>
      </c>
      <c r="M841" s="9" t="inlineStr">
        <is>
          <t>NS</t>
        </is>
      </c>
      <c r="N841" s="3" t="inlineStr">
        <is>
          <t>Cold Soldering</t>
        </is>
      </c>
      <c r="O841" s="3" t="n">
        <v>570</v>
      </c>
      <c r="P841" s="9" t="inlineStr">
        <is>
          <t>NSMI24060094537</t>
        </is>
      </c>
      <c r="Q841" s="53">
        <f>MID(P841,5,2)</f>
        <v/>
      </c>
      <c r="R841" s="53">
        <f>MID(P841,7,2)</f>
        <v/>
      </c>
      <c r="S841" s="3" t="inlineStr">
        <is>
          <t>G2G</t>
        </is>
      </c>
      <c r="T841" s="3" t="inlineStr">
        <is>
          <t>P4</t>
        </is>
      </c>
      <c r="U841" s="3" t="inlineStr">
        <is>
          <t>N JB Cold Soldering</t>
        </is>
      </c>
      <c r="V841" s="3" t="inlineStr">
        <is>
          <t>Soldering</t>
        </is>
      </c>
      <c r="W841" s="3" t="inlineStr">
        <is>
          <t>Repair</t>
        </is>
      </c>
      <c r="X841" s="18" t="n">
        <v>46155</v>
      </c>
      <c r="Y841" s="73">
        <f>IF(X841="","",X841-A841)</f>
        <v/>
      </c>
      <c r="Z841" s="18" t="n">
        <v>46155</v>
      </c>
      <c r="AA841" s="15" t="n"/>
      <c r="AB841" s="15" t="n"/>
      <c r="AF841">
        <f>IF(AND($F841="Closed",$X841&gt;=DATE(2026,5,1),$X841&lt;=DATE(2026,5,31)),"Closed in May","Other")</f>
        <v/>
      </c>
    </row>
    <row r="842">
      <c r="A842" s="6" t="n">
        <v>46107</v>
      </c>
      <c r="B842" s="3" t="n">
        <v>2026</v>
      </c>
      <c r="C842" s="3" t="inlineStr">
        <is>
          <t>Blupine Energy</t>
        </is>
      </c>
      <c r="D842" s="3" t="inlineStr">
        <is>
          <t>Utility and C&amp;I</t>
        </is>
      </c>
      <c r="E842" s="3" t="n"/>
      <c r="F842" s="3" t="inlineStr">
        <is>
          <t>Closed</t>
        </is>
      </c>
      <c r="G842" s="3" t="inlineStr">
        <is>
          <t>Chandrashekar Patidar</t>
        </is>
      </c>
      <c r="H842" s="3" t="n">
        <v>7879764773</v>
      </c>
      <c r="I842" s="11" t="inlineStr">
        <is>
          <t>PE26032601</t>
        </is>
      </c>
      <c r="J842" s="3" t="inlineStr">
        <is>
          <t>Module Diode Failure</t>
        </is>
      </c>
      <c r="K842" s="3" t="inlineStr">
        <is>
          <t>Sadla</t>
        </is>
      </c>
      <c r="L842" s="3" t="inlineStr">
        <is>
          <t>Gujarat</t>
        </is>
      </c>
      <c r="M842" s="9" t="inlineStr">
        <is>
          <t>NS</t>
        </is>
      </c>
      <c r="N842" s="3" t="inlineStr">
        <is>
          <t>Cold Soldering</t>
        </is>
      </c>
      <c r="O842" s="3" t="n">
        <v>570</v>
      </c>
      <c r="P842" s="9" t="inlineStr">
        <is>
          <t>NSMI24060094431</t>
        </is>
      </c>
      <c r="Q842" s="53">
        <f>MID(P842,5,2)</f>
        <v/>
      </c>
      <c r="R842" s="53">
        <f>MID(P842,7,2)</f>
        <v/>
      </c>
      <c r="S842" s="3" t="inlineStr">
        <is>
          <t>G2G</t>
        </is>
      </c>
      <c r="T842" s="3" t="inlineStr">
        <is>
          <t>P4</t>
        </is>
      </c>
      <c r="U842" s="3" t="inlineStr">
        <is>
          <t>N JB Cold Soldering</t>
        </is>
      </c>
      <c r="V842" s="3" t="inlineStr">
        <is>
          <t>Soldering</t>
        </is>
      </c>
      <c r="W842" s="3" t="inlineStr">
        <is>
          <t>Repair</t>
        </is>
      </c>
      <c r="X842" s="18" t="n">
        <v>46155</v>
      </c>
      <c r="Y842" s="73">
        <f>IF(X842="","",X842-A842)</f>
        <v/>
      </c>
      <c r="Z842" s="18" t="n">
        <v>46155</v>
      </c>
      <c r="AA842" s="15" t="n"/>
      <c r="AB842" s="15" t="n"/>
      <c r="AF842">
        <f>IF(AND($F842="Closed",$X842&gt;=DATE(2026,5,1),$X842&lt;=DATE(2026,5,31)),"Closed in May","Other")</f>
        <v/>
      </c>
    </row>
    <row r="843">
      <c r="A843" s="6" t="n">
        <v>46107</v>
      </c>
      <c r="B843" s="3" t="n">
        <v>2026</v>
      </c>
      <c r="C843" s="3" t="inlineStr">
        <is>
          <t>Blupine Energy</t>
        </is>
      </c>
      <c r="D843" s="3" t="inlineStr">
        <is>
          <t>Utility and C&amp;I</t>
        </is>
      </c>
      <c r="E843" s="3" t="n"/>
      <c r="F843" s="3" t="inlineStr">
        <is>
          <t>Closed</t>
        </is>
      </c>
      <c r="G843" s="3" t="inlineStr">
        <is>
          <t>Chandrashekar Patidar</t>
        </is>
      </c>
      <c r="H843" s="3" t="n">
        <v>7879764773</v>
      </c>
      <c r="I843" s="11" t="inlineStr">
        <is>
          <t>PE26032601</t>
        </is>
      </c>
      <c r="J843" s="3" t="inlineStr">
        <is>
          <t>Module Diode Failure</t>
        </is>
      </c>
      <c r="K843" s="3" t="inlineStr">
        <is>
          <t>Sadla</t>
        </is>
      </c>
      <c r="L843" s="3" t="inlineStr">
        <is>
          <t>Gujarat</t>
        </is>
      </c>
      <c r="M843" s="9" t="inlineStr">
        <is>
          <t>NS</t>
        </is>
      </c>
      <c r="N843" s="3" t="inlineStr">
        <is>
          <t>Cold Soldering</t>
        </is>
      </c>
      <c r="O843" s="3" t="n">
        <v>570</v>
      </c>
      <c r="P843" s="9" t="inlineStr">
        <is>
          <t>NSMI24060093220</t>
        </is>
      </c>
      <c r="Q843" s="53">
        <f>MID(P843,5,2)</f>
        <v/>
      </c>
      <c r="R843" s="53">
        <f>MID(P843,7,2)</f>
        <v/>
      </c>
      <c r="S843" s="3" t="inlineStr">
        <is>
          <t>G2G</t>
        </is>
      </c>
      <c r="T843" s="3" t="inlineStr">
        <is>
          <t>P4</t>
        </is>
      </c>
      <c r="U843" s="3" t="inlineStr">
        <is>
          <t>N JB Cold Soldering</t>
        </is>
      </c>
      <c r="V843" s="3" t="inlineStr">
        <is>
          <t>Soldering</t>
        </is>
      </c>
      <c r="W843" s="3" t="inlineStr">
        <is>
          <t>Repair</t>
        </is>
      </c>
      <c r="X843" s="18" t="n">
        <v>46155</v>
      </c>
      <c r="Y843" s="73">
        <f>IF(X843="","",X843-A843)</f>
        <v/>
      </c>
      <c r="Z843" s="18" t="n">
        <v>46155</v>
      </c>
      <c r="AA843" s="15" t="n"/>
      <c r="AB843" s="15" t="n"/>
      <c r="AF843">
        <f>IF(AND($F843="Closed",$X843&gt;=DATE(2026,5,1),$X843&lt;=DATE(2026,5,31)),"Closed in May","Other")</f>
        <v/>
      </c>
    </row>
    <row r="844">
      <c r="A844" s="6" t="n">
        <v>46107</v>
      </c>
      <c r="B844" s="3" t="n">
        <v>2026</v>
      </c>
      <c r="C844" s="3" t="inlineStr">
        <is>
          <t>Blupine Energy</t>
        </is>
      </c>
      <c r="D844" s="3" t="inlineStr">
        <is>
          <t>Utility and C&amp;I</t>
        </is>
      </c>
      <c r="E844" s="3" t="n"/>
      <c r="F844" s="3" t="inlineStr">
        <is>
          <t>Closed</t>
        </is>
      </c>
      <c r="G844" s="3" t="inlineStr">
        <is>
          <t>Chandrashekar Patidar</t>
        </is>
      </c>
      <c r="H844" s="3" t="n">
        <v>7879764773</v>
      </c>
      <c r="I844" s="11" t="inlineStr">
        <is>
          <t>PE26032601</t>
        </is>
      </c>
      <c r="J844" s="3" t="inlineStr">
        <is>
          <t>Module Diode Failure</t>
        </is>
      </c>
      <c r="K844" s="3" t="inlineStr">
        <is>
          <t>Sadla</t>
        </is>
      </c>
      <c r="L844" s="3" t="inlineStr">
        <is>
          <t>Gujarat</t>
        </is>
      </c>
      <c r="M844" s="9" t="inlineStr">
        <is>
          <t>PS</t>
        </is>
      </c>
      <c r="N844" s="3" t="inlineStr">
        <is>
          <t>Cold Soldering</t>
        </is>
      </c>
      <c r="O844" s="3" t="n">
        <v>570</v>
      </c>
      <c r="P844" s="9" t="inlineStr">
        <is>
          <t>NSMI24060094535</t>
        </is>
      </c>
      <c r="Q844" s="53">
        <f>MID(P844,5,2)</f>
        <v/>
      </c>
      <c r="R844" s="53">
        <f>MID(P844,7,2)</f>
        <v/>
      </c>
      <c r="S844" s="3" t="inlineStr">
        <is>
          <t>G2G</t>
        </is>
      </c>
      <c r="T844" s="3" t="inlineStr">
        <is>
          <t>P4</t>
        </is>
      </c>
      <c r="U844" s="3" t="inlineStr">
        <is>
          <t>P JB Cold Soldering</t>
        </is>
      </c>
      <c r="V844" s="3" t="inlineStr">
        <is>
          <t>Soldering</t>
        </is>
      </c>
      <c r="W844" s="3" t="inlineStr">
        <is>
          <t>Repair</t>
        </is>
      </c>
      <c r="X844" s="18" t="n">
        <v>46155</v>
      </c>
      <c r="Y844" s="73">
        <f>IF(X844="","",X844-A844)</f>
        <v/>
      </c>
      <c r="Z844" s="18" t="n">
        <v>46155</v>
      </c>
      <c r="AA844" s="15" t="n"/>
      <c r="AB844" s="15" t="n"/>
      <c r="AF844">
        <f>IF(AND($F844="Closed",$X844&gt;=DATE(2026,5,1),$X844&lt;=DATE(2026,5,31)),"Closed in May","Other")</f>
        <v/>
      </c>
    </row>
    <row r="845">
      <c r="A845" s="6" t="n">
        <v>46107</v>
      </c>
      <c r="B845" s="3" t="n">
        <v>2026</v>
      </c>
      <c r="C845" s="3" t="inlineStr">
        <is>
          <t>Blupine Energy</t>
        </is>
      </c>
      <c r="D845" s="3" t="inlineStr">
        <is>
          <t>Utility and C&amp;I</t>
        </is>
      </c>
      <c r="E845" s="3" t="n"/>
      <c r="F845" s="3" t="inlineStr">
        <is>
          <t>Closed</t>
        </is>
      </c>
      <c r="G845" s="3" t="inlineStr">
        <is>
          <t>Chandrashekar Patidar</t>
        </is>
      </c>
      <c r="H845" s="3" t="n">
        <v>7879764773</v>
      </c>
      <c r="I845" s="11" t="inlineStr">
        <is>
          <t>PE26032601</t>
        </is>
      </c>
      <c r="J845" s="3" t="inlineStr">
        <is>
          <t>Module Diode Failure</t>
        </is>
      </c>
      <c r="K845" s="3" t="inlineStr">
        <is>
          <t>Sadla</t>
        </is>
      </c>
      <c r="L845" s="3" t="inlineStr">
        <is>
          <t>Gujarat</t>
        </is>
      </c>
      <c r="M845" s="9" t="inlineStr">
        <is>
          <t>NS</t>
        </is>
      </c>
      <c r="N845" s="3" t="inlineStr">
        <is>
          <t>Cold Soldering</t>
        </is>
      </c>
      <c r="O845" s="3" t="n">
        <v>570</v>
      </c>
      <c r="P845" s="9" t="inlineStr">
        <is>
          <t>NSMI24060095214</t>
        </is>
      </c>
      <c r="Q845" s="53">
        <f>MID(P845,5,2)</f>
        <v/>
      </c>
      <c r="R845" s="53">
        <f>MID(P845,7,2)</f>
        <v/>
      </c>
      <c r="S845" s="3" t="inlineStr">
        <is>
          <t>G2G</t>
        </is>
      </c>
      <c r="T845" s="3" t="inlineStr">
        <is>
          <t>P4</t>
        </is>
      </c>
      <c r="U845" s="3" t="inlineStr">
        <is>
          <t>N JB Cold Soldering</t>
        </is>
      </c>
      <c r="V845" s="3" t="inlineStr">
        <is>
          <t>Soldering</t>
        </is>
      </c>
      <c r="W845" s="3" t="inlineStr">
        <is>
          <t>Repair</t>
        </is>
      </c>
      <c r="X845" s="18" t="n">
        <v>46155</v>
      </c>
      <c r="Y845" s="73">
        <f>IF(X845="","",X845-A845)</f>
        <v/>
      </c>
      <c r="Z845" s="18" t="n">
        <v>46155</v>
      </c>
      <c r="AA845" s="15" t="n"/>
      <c r="AB845" s="15" t="n"/>
      <c r="AF845">
        <f>IF(AND($F845="Closed",$X845&gt;=DATE(2026,5,1),$X845&lt;=DATE(2026,5,31)),"Closed in May","Other")</f>
        <v/>
      </c>
    </row>
    <row r="846">
      <c r="A846" s="6" t="n">
        <v>46107</v>
      </c>
      <c r="B846" s="3" t="n">
        <v>2026</v>
      </c>
      <c r="C846" s="3" t="inlineStr">
        <is>
          <t>Blupine Energy</t>
        </is>
      </c>
      <c r="D846" s="3" t="inlineStr">
        <is>
          <t>Utility and C&amp;I</t>
        </is>
      </c>
      <c r="E846" s="3" t="n"/>
      <c r="F846" s="3" t="inlineStr">
        <is>
          <t>Closed</t>
        </is>
      </c>
      <c r="G846" s="3" t="inlineStr">
        <is>
          <t>Chandrashekar Patidar</t>
        </is>
      </c>
      <c r="H846" s="3" t="n">
        <v>7879764773</v>
      </c>
      <c r="I846" s="11" t="inlineStr">
        <is>
          <t>PE26032601</t>
        </is>
      </c>
      <c r="J846" s="3" t="inlineStr">
        <is>
          <t>Module Diode Failure</t>
        </is>
      </c>
      <c r="K846" s="3" t="inlineStr">
        <is>
          <t>Sadla</t>
        </is>
      </c>
      <c r="L846" s="3" t="inlineStr">
        <is>
          <t>Gujarat</t>
        </is>
      </c>
      <c r="M846" s="9" t="inlineStr">
        <is>
          <t>NS</t>
        </is>
      </c>
      <c r="N846" s="3" t="inlineStr">
        <is>
          <t>Cold Soldering</t>
        </is>
      </c>
      <c r="O846" s="3" t="n">
        <v>570</v>
      </c>
      <c r="P846" s="9" t="inlineStr">
        <is>
          <t>NSMI24060078372</t>
        </is>
      </c>
      <c r="Q846" s="53">
        <f>MID(P846,5,2)</f>
        <v/>
      </c>
      <c r="R846" s="53">
        <f>MID(P846,7,2)</f>
        <v/>
      </c>
      <c r="S846" s="3" t="inlineStr">
        <is>
          <t>G2G</t>
        </is>
      </c>
      <c r="T846" s="3" t="inlineStr">
        <is>
          <t>P4</t>
        </is>
      </c>
      <c r="U846" s="3" t="inlineStr">
        <is>
          <t>N JB Cold Soldering</t>
        </is>
      </c>
      <c r="V846" s="3" t="inlineStr">
        <is>
          <t>Soldering</t>
        </is>
      </c>
      <c r="W846" s="3" t="inlineStr">
        <is>
          <t>Repair</t>
        </is>
      </c>
      <c r="X846" s="18" t="n">
        <v>46155</v>
      </c>
      <c r="Y846" s="73">
        <f>IF(X846="","",X846-A846)</f>
        <v/>
      </c>
      <c r="Z846" s="18" t="n">
        <v>46155</v>
      </c>
      <c r="AA846" s="15" t="n"/>
      <c r="AB846" s="15" t="n"/>
      <c r="AF846">
        <f>IF(AND($F846="Closed",$X846&gt;=DATE(2026,5,1),$X846&lt;=DATE(2026,5,31)),"Closed in May","Other")</f>
        <v/>
      </c>
    </row>
    <row r="847">
      <c r="A847" s="6" t="n">
        <v>46107</v>
      </c>
      <c r="B847" s="3" t="n">
        <v>2026</v>
      </c>
      <c r="C847" s="3" t="inlineStr">
        <is>
          <t>Blupine Energy</t>
        </is>
      </c>
      <c r="D847" s="3" t="inlineStr">
        <is>
          <t>Utility and C&amp;I</t>
        </is>
      </c>
      <c r="E847" s="3" t="n"/>
      <c r="F847" s="3" t="inlineStr">
        <is>
          <t>Closed</t>
        </is>
      </c>
      <c r="G847" s="3" t="inlineStr">
        <is>
          <t>Chandrashekar Patidar</t>
        </is>
      </c>
      <c r="H847" s="3" t="n">
        <v>7879764773</v>
      </c>
      <c r="I847" s="11" t="inlineStr">
        <is>
          <t>PE26032601</t>
        </is>
      </c>
      <c r="J847" s="3" t="inlineStr">
        <is>
          <t>Module Diode Failure</t>
        </is>
      </c>
      <c r="K847" s="3" t="inlineStr">
        <is>
          <t>Sadla</t>
        </is>
      </c>
      <c r="L847" s="3" t="inlineStr">
        <is>
          <t>Gujarat</t>
        </is>
      </c>
      <c r="M847" s="9" t="inlineStr">
        <is>
          <t>PS</t>
        </is>
      </c>
      <c r="N847" s="3" t="inlineStr">
        <is>
          <t>Cold Soldering</t>
        </is>
      </c>
      <c r="O847" s="3" t="n">
        <v>570</v>
      </c>
      <c r="P847" s="9" t="inlineStr">
        <is>
          <t>NSMI24060078981</t>
        </is>
      </c>
      <c r="Q847" s="53">
        <f>MID(P847,5,2)</f>
        <v/>
      </c>
      <c r="R847" s="53">
        <f>MID(P847,7,2)</f>
        <v/>
      </c>
      <c r="S847" s="3" t="inlineStr">
        <is>
          <t>G2G</t>
        </is>
      </c>
      <c r="T847" s="3" t="inlineStr">
        <is>
          <t>P4</t>
        </is>
      </c>
      <c r="U847" s="3" t="inlineStr">
        <is>
          <t>P JB Cold Soldering</t>
        </is>
      </c>
      <c r="V847" s="3" t="inlineStr">
        <is>
          <t>Soldering</t>
        </is>
      </c>
      <c r="W847" s="3" t="inlineStr">
        <is>
          <t>Repair</t>
        </is>
      </c>
      <c r="X847" s="18" t="n">
        <v>46155</v>
      </c>
      <c r="Y847" s="73">
        <f>IF(X847="","",X847-A847)</f>
        <v/>
      </c>
      <c r="Z847" s="18" t="n">
        <v>46155</v>
      </c>
      <c r="AA847" s="15" t="n"/>
      <c r="AB847" s="15" t="n"/>
      <c r="AF847">
        <f>IF(AND($F847="Closed",$X847&gt;=DATE(2026,5,1),$X847&lt;=DATE(2026,5,31)),"Closed in May","Other")</f>
        <v/>
      </c>
    </row>
    <row r="848">
      <c r="A848" s="6" t="n">
        <v>46107</v>
      </c>
      <c r="B848" s="3" t="n">
        <v>2026</v>
      </c>
      <c r="C848" s="3" t="inlineStr">
        <is>
          <t>Blupine Energy</t>
        </is>
      </c>
      <c r="D848" s="3" t="inlineStr">
        <is>
          <t>Utility and C&amp;I</t>
        </is>
      </c>
      <c r="E848" s="3" t="n"/>
      <c r="F848" s="3" t="inlineStr">
        <is>
          <t>Closed</t>
        </is>
      </c>
      <c r="G848" s="3" t="inlineStr">
        <is>
          <t>Chandrashekar Patidar</t>
        </is>
      </c>
      <c r="H848" s="3" t="n">
        <v>7879764773</v>
      </c>
      <c r="I848" s="11" t="inlineStr">
        <is>
          <t>PE26032601</t>
        </is>
      </c>
      <c r="J848" s="3" t="inlineStr">
        <is>
          <t>Module Diode Failure</t>
        </is>
      </c>
      <c r="K848" s="3" t="inlineStr">
        <is>
          <t>Sadla</t>
        </is>
      </c>
      <c r="L848" s="3" t="inlineStr">
        <is>
          <t>Gujarat</t>
        </is>
      </c>
      <c r="M848" s="9" t="inlineStr">
        <is>
          <t>NS</t>
        </is>
      </c>
      <c r="N848" s="3" t="inlineStr">
        <is>
          <t>Cold Soldering</t>
        </is>
      </c>
      <c r="O848" s="3" t="n">
        <v>570</v>
      </c>
      <c r="P848" s="9" t="inlineStr">
        <is>
          <t>NSMI24060078317</t>
        </is>
      </c>
      <c r="Q848" s="53">
        <f>MID(P848,5,2)</f>
        <v/>
      </c>
      <c r="R848" s="53">
        <f>MID(P848,7,2)</f>
        <v/>
      </c>
      <c r="S848" s="3" t="inlineStr">
        <is>
          <t>G2G</t>
        </is>
      </c>
      <c r="T848" s="3" t="inlineStr">
        <is>
          <t>P4</t>
        </is>
      </c>
      <c r="U848" s="3" t="inlineStr">
        <is>
          <t>N JB Cold Soldering</t>
        </is>
      </c>
      <c r="V848" s="3" t="inlineStr">
        <is>
          <t>Soldering</t>
        </is>
      </c>
      <c r="W848" s="3" t="inlineStr">
        <is>
          <t>Repair</t>
        </is>
      </c>
      <c r="X848" s="18" t="n">
        <v>46155</v>
      </c>
      <c r="Y848" s="73">
        <f>IF(X848="","",X848-A848)</f>
        <v/>
      </c>
      <c r="Z848" s="18" t="n">
        <v>46155</v>
      </c>
      <c r="AA848" s="15" t="n"/>
      <c r="AB848" s="15" t="n"/>
      <c r="AF848">
        <f>IF(AND($F848="Closed",$X848&gt;=DATE(2026,5,1),$X848&lt;=DATE(2026,5,31)),"Closed in May","Other")</f>
        <v/>
      </c>
    </row>
    <row r="849">
      <c r="A849" s="6" t="n">
        <v>46107</v>
      </c>
      <c r="B849" s="3" t="n">
        <v>2026</v>
      </c>
      <c r="C849" s="3" t="inlineStr">
        <is>
          <t>Blupine Energy</t>
        </is>
      </c>
      <c r="D849" s="3" t="inlineStr">
        <is>
          <t>Utility and C&amp;I</t>
        </is>
      </c>
      <c r="E849" s="3" t="n"/>
      <c r="F849" s="3" t="inlineStr">
        <is>
          <t>Closed</t>
        </is>
      </c>
      <c r="G849" s="3" t="inlineStr">
        <is>
          <t>Chandrashekar Patidar</t>
        </is>
      </c>
      <c r="H849" s="3" t="n">
        <v>7879764773</v>
      </c>
      <c r="I849" s="11" t="inlineStr">
        <is>
          <t>PE26032601</t>
        </is>
      </c>
      <c r="J849" s="3" t="inlineStr">
        <is>
          <t>Module Diode Failure</t>
        </is>
      </c>
      <c r="K849" s="3" t="inlineStr">
        <is>
          <t>Sadla</t>
        </is>
      </c>
      <c r="L849" s="3" t="inlineStr">
        <is>
          <t>Gujarat</t>
        </is>
      </c>
      <c r="M849" s="9" t="inlineStr">
        <is>
          <t>NS</t>
        </is>
      </c>
      <c r="N849" s="3" t="inlineStr">
        <is>
          <t>Cold Soldering</t>
        </is>
      </c>
      <c r="O849" s="3" t="n">
        <v>570</v>
      </c>
      <c r="P849" s="9" t="inlineStr">
        <is>
          <t>NSMI24060138191</t>
        </is>
      </c>
      <c r="Q849" s="53">
        <f>MID(P849,5,2)</f>
        <v/>
      </c>
      <c r="R849" s="53">
        <f>MID(P849,7,2)</f>
        <v/>
      </c>
      <c r="S849" s="3" t="inlineStr">
        <is>
          <t>G2G</t>
        </is>
      </c>
      <c r="T849" s="3" t="inlineStr">
        <is>
          <t>P4</t>
        </is>
      </c>
      <c r="U849" s="3" t="inlineStr">
        <is>
          <t>N JB Cold Soldering</t>
        </is>
      </c>
      <c r="V849" s="3" t="inlineStr">
        <is>
          <t>Soldering</t>
        </is>
      </c>
      <c r="W849" s="3" t="inlineStr">
        <is>
          <t>Repair</t>
        </is>
      </c>
      <c r="X849" s="18" t="n">
        <v>46155</v>
      </c>
      <c r="Y849" s="73">
        <f>IF(X849="","",X849-A849)</f>
        <v/>
      </c>
      <c r="Z849" s="18" t="n">
        <v>46155</v>
      </c>
      <c r="AA849" s="15" t="n"/>
      <c r="AB849" s="15" t="n"/>
      <c r="AF849">
        <f>IF(AND($F849="Closed",$X849&gt;=DATE(2026,5,1),$X849&lt;=DATE(2026,5,31)),"Closed in May","Other")</f>
        <v/>
      </c>
    </row>
    <row r="850">
      <c r="A850" s="6" t="n">
        <v>46107</v>
      </c>
      <c r="B850" s="3" t="n">
        <v>2026</v>
      </c>
      <c r="C850" s="3" t="inlineStr">
        <is>
          <t>Blupine Energy</t>
        </is>
      </c>
      <c r="D850" s="3" t="inlineStr">
        <is>
          <t>Utility and C&amp;I</t>
        </is>
      </c>
      <c r="E850" s="3" t="n"/>
      <c r="F850" s="3" t="inlineStr">
        <is>
          <t>Closed</t>
        </is>
      </c>
      <c r="G850" s="3" t="inlineStr">
        <is>
          <t>Chandrashekar Patidar</t>
        </is>
      </c>
      <c r="H850" s="3" t="n">
        <v>7879764773</v>
      </c>
      <c r="I850" s="11" t="inlineStr">
        <is>
          <t>PE26032601</t>
        </is>
      </c>
      <c r="J850" s="3" t="inlineStr">
        <is>
          <t>Module Diode Failure</t>
        </is>
      </c>
      <c r="K850" s="3" t="inlineStr">
        <is>
          <t>Sadla</t>
        </is>
      </c>
      <c r="L850" s="3" t="inlineStr">
        <is>
          <t>Gujarat</t>
        </is>
      </c>
      <c r="M850" s="9" t="inlineStr">
        <is>
          <t>NS</t>
        </is>
      </c>
      <c r="N850" s="3" t="inlineStr">
        <is>
          <t>Cold Soldering</t>
        </is>
      </c>
      <c r="O850" s="3" t="n">
        <v>570</v>
      </c>
      <c r="P850" s="9" t="inlineStr">
        <is>
          <t>NSMI24060091843</t>
        </is>
      </c>
      <c r="Q850" s="53">
        <f>MID(P850,5,2)</f>
        <v/>
      </c>
      <c r="R850" s="53">
        <f>MID(P850,7,2)</f>
        <v/>
      </c>
      <c r="S850" s="3" t="inlineStr">
        <is>
          <t>G2G</t>
        </is>
      </c>
      <c r="T850" s="3" t="inlineStr">
        <is>
          <t>P4</t>
        </is>
      </c>
      <c r="U850" s="3" t="inlineStr">
        <is>
          <t>N JB Cold Soldering</t>
        </is>
      </c>
      <c r="V850" s="3" t="inlineStr">
        <is>
          <t>Soldering</t>
        </is>
      </c>
      <c r="W850" s="3" t="inlineStr">
        <is>
          <t>Repair</t>
        </is>
      </c>
      <c r="X850" s="18" t="n">
        <v>46155</v>
      </c>
      <c r="Y850" s="73">
        <f>IF(X850="","",X850-A850)</f>
        <v/>
      </c>
      <c r="Z850" s="18" t="n">
        <v>46155</v>
      </c>
      <c r="AA850" s="15" t="n"/>
      <c r="AB850" s="15" t="n"/>
      <c r="AF850">
        <f>IF(AND($F850="Closed",$X850&gt;=DATE(2026,5,1),$X850&lt;=DATE(2026,5,31)),"Closed in May","Other")</f>
        <v/>
      </c>
    </row>
    <row r="851">
      <c r="A851" s="6" t="n">
        <v>46107</v>
      </c>
      <c r="B851" s="3" t="n">
        <v>2026</v>
      </c>
      <c r="C851" s="3" t="inlineStr">
        <is>
          <t>Blupine Energy</t>
        </is>
      </c>
      <c r="D851" s="3" t="inlineStr">
        <is>
          <t>Utility and C&amp;I</t>
        </is>
      </c>
      <c r="E851" s="3" t="n"/>
      <c r="F851" s="3" t="inlineStr">
        <is>
          <t>Closed</t>
        </is>
      </c>
      <c r="G851" s="3" t="inlineStr">
        <is>
          <t>Chandrashekar Patidar</t>
        </is>
      </c>
      <c r="H851" s="3" t="n">
        <v>7879764773</v>
      </c>
      <c r="I851" s="11" t="inlineStr">
        <is>
          <t>PE26032601</t>
        </is>
      </c>
      <c r="J851" s="3" t="inlineStr">
        <is>
          <t>Module Diode Failure</t>
        </is>
      </c>
      <c r="K851" s="3" t="inlineStr">
        <is>
          <t>Sadla</t>
        </is>
      </c>
      <c r="L851" s="3" t="inlineStr">
        <is>
          <t>Gujarat</t>
        </is>
      </c>
      <c r="M851" s="9" t="inlineStr">
        <is>
          <t>NS</t>
        </is>
      </c>
      <c r="N851" s="3" t="inlineStr">
        <is>
          <t>Cold Soldering</t>
        </is>
      </c>
      <c r="O851" s="3" t="n">
        <v>570</v>
      </c>
      <c r="P851" s="9" t="inlineStr">
        <is>
          <t>NSMI24060091806</t>
        </is>
      </c>
      <c r="Q851" s="53">
        <f>MID(P851,5,2)</f>
        <v/>
      </c>
      <c r="R851" s="53">
        <f>MID(P851,7,2)</f>
        <v/>
      </c>
      <c r="S851" s="3" t="inlineStr">
        <is>
          <t>G2G</t>
        </is>
      </c>
      <c r="T851" s="3" t="inlineStr">
        <is>
          <t>P4</t>
        </is>
      </c>
      <c r="U851" s="3" t="inlineStr">
        <is>
          <t>N JB Cold Soldering</t>
        </is>
      </c>
      <c r="V851" s="3" t="inlineStr">
        <is>
          <t>Soldering</t>
        </is>
      </c>
      <c r="W851" s="3" t="inlineStr">
        <is>
          <t>Repair</t>
        </is>
      </c>
      <c r="X851" s="18" t="n">
        <v>46155</v>
      </c>
      <c r="Y851" s="73">
        <f>IF(X851="","",X851-A851)</f>
        <v/>
      </c>
      <c r="Z851" s="18" t="n">
        <v>46155</v>
      </c>
      <c r="AA851" s="15" t="n"/>
      <c r="AB851" s="15" t="n"/>
      <c r="AF851">
        <f>IF(AND($F851="Closed",$X851&gt;=DATE(2026,5,1),$X851&lt;=DATE(2026,5,31)),"Closed in May","Other")</f>
        <v/>
      </c>
    </row>
    <row r="852">
      <c r="A852" s="6" t="n">
        <v>46107</v>
      </c>
      <c r="B852" s="3" t="n">
        <v>2026</v>
      </c>
      <c r="C852" s="3" t="inlineStr">
        <is>
          <t>Blupine Energy</t>
        </is>
      </c>
      <c r="D852" s="3" t="inlineStr">
        <is>
          <t>Utility and C&amp;I</t>
        </is>
      </c>
      <c r="E852" s="3" t="n"/>
      <c r="F852" s="3" t="inlineStr">
        <is>
          <t>Closed</t>
        </is>
      </c>
      <c r="G852" s="3" t="inlineStr">
        <is>
          <t>Chandrashekar Patidar</t>
        </is>
      </c>
      <c r="H852" s="3" t="n">
        <v>7879764773</v>
      </c>
      <c r="I852" s="11" t="inlineStr">
        <is>
          <t>PE26032601</t>
        </is>
      </c>
      <c r="J852" s="3" t="inlineStr">
        <is>
          <t>Module Diode Failure</t>
        </is>
      </c>
      <c r="K852" s="3" t="inlineStr">
        <is>
          <t>Sadla</t>
        </is>
      </c>
      <c r="L852" s="3" t="inlineStr">
        <is>
          <t>Gujarat</t>
        </is>
      </c>
      <c r="M852" s="9" t="inlineStr">
        <is>
          <t>NR</t>
        </is>
      </c>
      <c r="N852" s="3" t="inlineStr">
        <is>
          <t>JB Issue</t>
        </is>
      </c>
      <c r="O852" s="3" t="n">
        <v>570</v>
      </c>
      <c r="P852" s="9" t="inlineStr">
        <is>
          <t>NSMI24060091790</t>
        </is>
      </c>
      <c r="Q852" s="53">
        <f>MID(P852,5,2)</f>
        <v/>
      </c>
      <c r="R852" s="53">
        <f>MID(P852,7,2)</f>
        <v/>
      </c>
      <c r="S852" s="3" t="inlineStr">
        <is>
          <t>G2G</t>
        </is>
      </c>
      <c r="T852" s="3" t="inlineStr">
        <is>
          <t>P4</t>
        </is>
      </c>
      <c r="U852" s="3" t="inlineStr">
        <is>
          <t>N JB Issue</t>
        </is>
      </c>
      <c r="V852" s="3" t="inlineStr">
        <is>
          <t>JB Changed</t>
        </is>
      </c>
      <c r="W852" s="3" t="inlineStr">
        <is>
          <t>Repair</t>
        </is>
      </c>
      <c r="X852" s="18" t="n">
        <v>46155</v>
      </c>
      <c r="Y852" s="73">
        <f>IF(X852="","",X852-A852)</f>
        <v/>
      </c>
      <c r="Z852" s="18" t="n">
        <v>46155</v>
      </c>
      <c r="AA852" s="15" t="n"/>
      <c r="AB852" s="15" t="n"/>
      <c r="AF852">
        <f>IF(AND($F852="Closed",$X852&gt;=DATE(2026,5,1),$X852&lt;=DATE(2026,5,31)),"Closed in May","Other")</f>
        <v/>
      </c>
    </row>
    <row r="853">
      <c r="A853" s="6" t="n">
        <v>46107</v>
      </c>
      <c r="B853" s="3" t="n">
        <v>2026</v>
      </c>
      <c r="C853" s="3" t="inlineStr">
        <is>
          <t>Blupine Energy</t>
        </is>
      </c>
      <c r="D853" s="3" t="inlineStr">
        <is>
          <t>Utility and C&amp;I</t>
        </is>
      </c>
      <c r="E853" s="3" t="n"/>
      <c r="F853" s="3" t="inlineStr">
        <is>
          <t>Closed</t>
        </is>
      </c>
      <c r="G853" s="3" t="inlineStr">
        <is>
          <t>Chandrashekar Patidar</t>
        </is>
      </c>
      <c r="H853" s="3" t="n">
        <v>7879764773</v>
      </c>
      <c r="I853" s="11" t="inlineStr">
        <is>
          <t>PE26032601</t>
        </is>
      </c>
      <c r="J853" s="3" t="inlineStr">
        <is>
          <t>Module Diode Failure</t>
        </is>
      </c>
      <c r="K853" s="3" t="inlineStr">
        <is>
          <t>Sadla</t>
        </is>
      </c>
      <c r="L853" s="3" t="inlineStr">
        <is>
          <t>Gujarat</t>
        </is>
      </c>
      <c r="M853" s="9" t="inlineStr">
        <is>
          <t>NS</t>
        </is>
      </c>
      <c r="N853" s="3" t="inlineStr">
        <is>
          <t>Cold Soldering</t>
        </is>
      </c>
      <c r="O853" s="3" t="n">
        <v>570</v>
      </c>
      <c r="P853" s="9" t="inlineStr">
        <is>
          <t>NSMI24060091878</t>
        </is>
      </c>
      <c r="Q853" s="53">
        <f>MID(P853,5,2)</f>
        <v/>
      </c>
      <c r="R853" s="53">
        <f>MID(P853,7,2)</f>
        <v/>
      </c>
      <c r="S853" s="3" t="inlineStr">
        <is>
          <t>G2G</t>
        </is>
      </c>
      <c r="T853" s="3" t="inlineStr">
        <is>
          <t>P4</t>
        </is>
      </c>
      <c r="U853" s="3" t="inlineStr">
        <is>
          <t>N JB Cold Soldering</t>
        </is>
      </c>
      <c r="V853" s="3" t="inlineStr">
        <is>
          <t>Soldering</t>
        </is>
      </c>
      <c r="W853" s="3" t="inlineStr">
        <is>
          <t>Repair</t>
        </is>
      </c>
      <c r="X853" s="18" t="n">
        <v>46155</v>
      </c>
      <c r="Y853" s="73">
        <f>IF(X853="","",X853-A853)</f>
        <v/>
      </c>
      <c r="Z853" s="18" t="n">
        <v>46155</v>
      </c>
      <c r="AA853" s="15" t="n"/>
      <c r="AB853" s="15" t="n"/>
      <c r="AF853">
        <f>IF(AND($F853="Closed",$X853&gt;=DATE(2026,5,1),$X853&lt;=DATE(2026,5,31)),"Closed in May","Other")</f>
        <v/>
      </c>
    </row>
    <row r="854">
      <c r="A854" s="6" t="n">
        <v>46107</v>
      </c>
      <c r="B854" s="3" t="n">
        <v>2026</v>
      </c>
      <c r="C854" s="3" t="inlineStr">
        <is>
          <t>Blupine Energy</t>
        </is>
      </c>
      <c r="D854" s="3" t="inlineStr">
        <is>
          <t>Utility and C&amp;I</t>
        </is>
      </c>
      <c r="E854" s="3" t="n"/>
      <c r="F854" s="3" t="inlineStr">
        <is>
          <t>Closed</t>
        </is>
      </c>
      <c r="G854" s="3" t="inlineStr">
        <is>
          <t>Chandrashekar Patidar</t>
        </is>
      </c>
      <c r="H854" s="3" t="n">
        <v>7879764773</v>
      </c>
      <c r="I854" s="11" t="inlineStr">
        <is>
          <t>PE26032601</t>
        </is>
      </c>
      <c r="J854" s="3" t="inlineStr">
        <is>
          <t>Module Diode Failure</t>
        </is>
      </c>
      <c r="K854" s="3" t="inlineStr">
        <is>
          <t>Sadla</t>
        </is>
      </c>
      <c r="L854" s="3" t="inlineStr">
        <is>
          <t>Gujarat</t>
        </is>
      </c>
      <c r="M854" s="9" t="inlineStr">
        <is>
          <t>NS</t>
        </is>
      </c>
      <c r="N854" s="3" t="inlineStr">
        <is>
          <t>Cold Soldering</t>
        </is>
      </c>
      <c r="O854" s="3" t="n">
        <v>570</v>
      </c>
      <c r="P854" s="9" t="inlineStr">
        <is>
          <t>NSMI24060098541</t>
        </is>
      </c>
      <c r="Q854" s="53">
        <f>MID(P854,5,2)</f>
        <v/>
      </c>
      <c r="R854" s="53">
        <f>MID(P854,7,2)</f>
        <v/>
      </c>
      <c r="S854" s="3" t="inlineStr">
        <is>
          <t>G2G</t>
        </is>
      </c>
      <c r="T854" s="3" t="inlineStr">
        <is>
          <t>P4</t>
        </is>
      </c>
      <c r="U854" s="3" t="inlineStr">
        <is>
          <t>N JB Cold Soldering</t>
        </is>
      </c>
      <c r="V854" s="3" t="inlineStr">
        <is>
          <t>Soldering</t>
        </is>
      </c>
      <c r="W854" s="3" t="inlineStr">
        <is>
          <t>Repair</t>
        </is>
      </c>
      <c r="X854" s="18" t="n">
        <v>46155</v>
      </c>
      <c r="Y854" s="73">
        <f>IF(X854="","",X854-A854)</f>
        <v/>
      </c>
      <c r="Z854" s="18" t="n">
        <v>46155</v>
      </c>
      <c r="AA854" s="15" t="n"/>
      <c r="AB854" s="15" t="n"/>
      <c r="AF854">
        <f>IF(AND($F854="Closed",$X854&gt;=DATE(2026,5,1),$X854&lt;=DATE(2026,5,31)),"Closed in May","Other")</f>
        <v/>
      </c>
    </row>
    <row r="855">
      <c r="A855" s="6" t="n">
        <v>46107</v>
      </c>
      <c r="B855" s="3" t="n">
        <v>2026</v>
      </c>
      <c r="C855" s="3" t="inlineStr">
        <is>
          <t>Blupine Energy</t>
        </is>
      </c>
      <c r="D855" s="3" t="inlineStr">
        <is>
          <t>Utility and C&amp;I</t>
        </is>
      </c>
      <c r="E855" s="3" t="n"/>
      <c r="F855" s="3" t="inlineStr">
        <is>
          <t>Closed</t>
        </is>
      </c>
      <c r="G855" s="3" t="inlineStr">
        <is>
          <t>Chandrashekar Patidar</t>
        </is>
      </c>
      <c r="H855" s="3" t="n">
        <v>7879764773</v>
      </c>
      <c r="I855" s="11" t="inlineStr">
        <is>
          <t>PE26032601</t>
        </is>
      </c>
      <c r="J855" s="3" t="inlineStr">
        <is>
          <t>Module Diode Failure</t>
        </is>
      </c>
      <c r="K855" s="3" t="inlineStr">
        <is>
          <t>Sadla</t>
        </is>
      </c>
      <c r="L855" s="3" t="inlineStr">
        <is>
          <t>Gujarat</t>
        </is>
      </c>
      <c r="M855" s="9" t="inlineStr">
        <is>
          <t>NR</t>
        </is>
      </c>
      <c r="N855" s="3" t="inlineStr">
        <is>
          <t>JB Issue</t>
        </is>
      </c>
      <c r="O855" s="3" t="n">
        <v>570</v>
      </c>
      <c r="P855" s="9" t="inlineStr">
        <is>
          <t>NSMI24060098510</t>
        </is>
      </c>
      <c r="Q855" s="53">
        <f>MID(P855,5,2)</f>
        <v/>
      </c>
      <c r="R855" s="53">
        <f>MID(P855,7,2)</f>
        <v/>
      </c>
      <c r="S855" s="3" t="inlineStr">
        <is>
          <t>G2G</t>
        </is>
      </c>
      <c r="T855" s="3" t="inlineStr">
        <is>
          <t>P4</t>
        </is>
      </c>
      <c r="U855" s="3" t="inlineStr">
        <is>
          <t>N JB Issue</t>
        </is>
      </c>
      <c r="V855" s="3" t="inlineStr">
        <is>
          <t>JB Changed</t>
        </is>
      </c>
      <c r="W855" s="3" t="inlineStr">
        <is>
          <t>Repair</t>
        </is>
      </c>
      <c r="X855" s="18" t="n">
        <v>46155</v>
      </c>
      <c r="Y855" s="73">
        <f>IF(X855="","",X855-A855)</f>
        <v/>
      </c>
      <c r="Z855" s="18" t="n">
        <v>46155</v>
      </c>
      <c r="AA855" s="15" t="n"/>
      <c r="AB855" s="15" t="n"/>
      <c r="AF855">
        <f>IF(AND($F855="Closed",$X855&gt;=DATE(2026,5,1),$X855&lt;=DATE(2026,5,31)),"Closed in May","Other")</f>
        <v/>
      </c>
    </row>
    <row r="856">
      <c r="A856" s="6" t="n">
        <v>46107</v>
      </c>
      <c r="B856" s="3" t="n">
        <v>2026</v>
      </c>
      <c r="C856" s="3" t="inlineStr">
        <is>
          <t>Blupine Energy</t>
        </is>
      </c>
      <c r="D856" s="3" t="inlineStr">
        <is>
          <t>Utility and C&amp;I</t>
        </is>
      </c>
      <c r="E856" s="3" t="n"/>
      <c r="F856" s="3" t="inlineStr">
        <is>
          <t>Closed</t>
        </is>
      </c>
      <c r="G856" s="3" t="inlineStr">
        <is>
          <t>Chandrashekar Patidar</t>
        </is>
      </c>
      <c r="H856" s="3" t="n">
        <v>7879764773</v>
      </c>
      <c r="I856" s="11" t="inlineStr">
        <is>
          <t>PE26032601</t>
        </is>
      </c>
      <c r="J856" s="3" t="inlineStr">
        <is>
          <t>Module Diode Failure</t>
        </is>
      </c>
      <c r="K856" s="3" t="inlineStr">
        <is>
          <t>Sadla</t>
        </is>
      </c>
      <c r="L856" s="3" t="inlineStr">
        <is>
          <t>Gujarat</t>
        </is>
      </c>
      <c r="M856" s="9" t="inlineStr">
        <is>
          <t>NS</t>
        </is>
      </c>
      <c r="N856" s="3" t="inlineStr">
        <is>
          <t>Cold Soldering</t>
        </is>
      </c>
      <c r="O856" s="3" t="n">
        <v>570</v>
      </c>
      <c r="P856" s="9" t="inlineStr">
        <is>
          <t>NSMI24050066453</t>
        </is>
      </c>
      <c r="Q856" s="53">
        <f>MID(P856,5,2)</f>
        <v/>
      </c>
      <c r="R856" s="53">
        <f>MID(P856,7,2)</f>
        <v/>
      </c>
      <c r="S856" s="3" t="inlineStr">
        <is>
          <t>G2G</t>
        </is>
      </c>
      <c r="T856" s="3" t="inlineStr">
        <is>
          <t>P4</t>
        </is>
      </c>
      <c r="U856" s="3" t="inlineStr">
        <is>
          <t>N JB Cold Soldering</t>
        </is>
      </c>
      <c r="V856" s="3" t="inlineStr">
        <is>
          <t>Soldering</t>
        </is>
      </c>
      <c r="W856" s="3" t="inlineStr">
        <is>
          <t>Repair</t>
        </is>
      </c>
      <c r="X856" s="18" t="n">
        <v>46155</v>
      </c>
      <c r="Y856" s="73">
        <f>IF(X856="","",X856-A856)</f>
        <v/>
      </c>
      <c r="Z856" s="18" t="n">
        <v>46155</v>
      </c>
      <c r="AA856" s="15" t="n"/>
      <c r="AB856" s="15" t="n"/>
      <c r="AF856">
        <f>IF(AND($F856="Closed",$X856&gt;=DATE(2026,5,1),$X856&lt;=DATE(2026,5,31)),"Closed in May","Other")</f>
        <v/>
      </c>
    </row>
    <row r="857">
      <c r="A857" s="6" t="n">
        <v>46107</v>
      </c>
      <c r="B857" s="3" t="n">
        <v>2026</v>
      </c>
      <c r="C857" s="3" t="inlineStr">
        <is>
          <t>Blupine Energy</t>
        </is>
      </c>
      <c r="D857" s="3" t="inlineStr">
        <is>
          <t>Utility and C&amp;I</t>
        </is>
      </c>
      <c r="E857" s="3" t="n"/>
      <c r="F857" s="3" t="inlineStr">
        <is>
          <t>Closed</t>
        </is>
      </c>
      <c r="G857" s="3" t="inlineStr">
        <is>
          <t>Chandrashekar Patidar</t>
        </is>
      </c>
      <c r="H857" s="3" t="n">
        <v>7879764773</v>
      </c>
      <c r="I857" s="11" t="inlineStr">
        <is>
          <t>PE26032601</t>
        </is>
      </c>
      <c r="J857" s="3" t="inlineStr">
        <is>
          <t>Module Diode Failure</t>
        </is>
      </c>
      <c r="K857" s="3" t="inlineStr">
        <is>
          <t>Sadla</t>
        </is>
      </c>
      <c r="L857" s="3" t="inlineStr">
        <is>
          <t>Gujarat</t>
        </is>
      </c>
      <c r="M857" s="9" t="inlineStr">
        <is>
          <t>NS</t>
        </is>
      </c>
      <c r="N857" s="3" t="inlineStr">
        <is>
          <t>Cold Soldering</t>
        </is>
      </c>
      <c r="O857" s="3" t="n">
        <v>570</v>
      </c>
      <c r="P857" s="9" t="inlineStr">
        <is>
          <t>NSMI24060078356</t>
        </is>
      </c>
      <c r="Q857" s="53">
        <f>MID(P857,5,2)</f>
        <v/>
      </c>
      <c r="R857" s="53">
        <f>MID(P857,7,2)</f>
        <v/>
      </c>
      <c r="S857" s="3" t="inlineStr">
        <is>
          <t>G2G</t>
        </is>
      </c>
      <c r="T857" s="3" t="inlineStr">
        <is>
          <t>P4</t>
        </is>
      </c>
      <c r="U857" s="3" t="inlineStr">
        <is>
          <t>N JB Cold Soldering</t>
        </is>
      </c>
      <c r="V857" s="3" t="inlineStr">
        <is>
          <t>Soldering</t>
        </is>
      </c>
      <c r="W857" s="3" t="inlineStr">
        <is>
          <t>Repair</t>
        </is>
      </c>
      <c r="X857" s="18" t="n">
        <v>46155</v>
      </c>
      <c r="Y857" s="73">
        <f>IF(X857="","",X857-A857)</f>
        <v/>
      </c>
      <c r="Z857" s="18" t="n">
        <v>46155</v>
      </c>
      <c r="AA857" s="15" t="n"/>
      <c r="AB857" s="15" t="n"/>
      <c r="AF857">
        <f>IF(AND($F857="Closed",$X857&gt;=DATE(2026,5,1),$X857&lt;=DATE(2026,5,31)),"Closed in May","Other")</f>
        <v/>
      </c>
    </row>
    <row r="858">
      <c r="A858" s="6" t="n">
        <v>46107</v>
      </c>
      <c r="B858" s="3" t="n">
        <v>2026</v>
      </c>
      <c r="C858" s="3" t="inlineStr">
        <is>
          <t>Blupine Energy</t>
        </is>
      </c>
      <c r="D858" s="3" t="inlineStr">
        <is>
          <t>Utility and C&amp;I</t>
        </is>
      </c>
      <c r="E858" s="3" t="n"/>
      <c r="F858" s="3" t="inlineStr">
        <is>
          <t>Closed</t>
        </is>
      </c>
      <c r="G858" s="3" t="inlineStr">
        <is>
          <t>Chandrashekar Patidar</t>
        </is>
      </c>
      <c r="H858" s="3" t="n">
        <v>7879764773</v>
      </c>
      <c r="I858" s="11" t="inlineStr">
        <is>
          <t>PE26032601</t>
        </is>
      </c>
      <c r="J858" s="3" t="inlineStr">
        <is>
          <t>Module Diode Failure</t>
        </is>
      </c>
      <c r="K858" s="3" t="inlineStr">
        <is>
          <t>Sadla</t>
        </is>
      </c>
      <c r="L858" s="3" t="inlineStr">
        <is>
          <t>Gujarat</t>
        </is>
      </c>
      <c r="M858" s="9" t="inlineStr">
        <is>
          <t>PS</t>
        </is>
      </c>
      <c r="N858" s="3" t="inlineStr">
        <is>
          <t>Cold Soldering</t>
        </is>
      </c>
      <c r="O858" s="3" t="n">
        <v>570</v>
      </c>
      <c r="P858" s="9" t="inlineStr">
        <is>
          <t>NSMI24060079077</t>
        </is>
      </c>
      <c r="Q858" s="53">
        <f>MID(P858,5,2)</f>
        <v/>
      </c>
      <c r="R858" s="53">
        <f>MID(P858,7,2)</f>
        <v/>
      </c>
      <c r="S858" s="3" t="inlineStr">
        <is>
          <t>G2G</t>
        </is>
      </c>
      <c r="T858" s="3" t="inlineStr">
        <is>
          <t>P4</t>
        </is>
      </c>
      <c r="U858" s="3" t="inlineStr">
        <is>
          <t>P JB Cold Soldering</t>
        </is>
      </c>
      <c r="V858" s="3" t="inlineStr">
        <is>
          <t>Soldering</t>
        </is>
      </c>
      <c r="W858" s="3" t="inlineStr">
        <is>
          <t>Repair</t>
        </is>
      </c>
      <c r="X858" s="18" t="n">
        <v>46155</v>
      </c>
      <c r="Y858" s="73">
        <f>IF(X858="","",X858-A858)</f>
        <v/>
      </c>
      <c r="Z858" s="18" t="n">
        <v>46155</v>
      </c>
      <c r="AA858" s="15" t="n"/>
      <c r="AB858" s="15" t="n"/>
      <c r="AF858">
        <f>IF(AND($F858="Closed",$X858&gt;=DATE(2026,5,1),$X858&lt;=DATE(2026,5,31)),"Closed in May","Other")</f>
        <v/>
      </c>
    </row>
    <row r="859">
      <c r="A859" s="6" t="n">
        <v>46107</v>
      </c>
      <c r="B859" s="3" t="n">
        <v>2026</v>
      </c>
      <c r="C859" s="3" t="inlineStr">
        <is>
          <t>Blupine Energy</t>
        </is>
      </c>
      <c r="D859" s="3" t="inlineStr">
        <is>
          <t>Utility and C&amp;I</t>
        </is>
      </c>
      <c r="E859" s="3" t="n"/>
      <c r="F859" s="3" t="inlineStr">
        <is>
          <t>Closed</t>
        </is>
      </c>
      <c r="G859" s="3" t="inlineStr">
        <is>
          <t>Chandrashekar Patidar</t>
        </is>
      </c>
      <c r="H859" s="3" t="n">
        <v>7879764773</v>
      </c>
      <c r="I859" s="11" t="inlineStr">
        <is>
          <t>PE26032601</t>
        </is>
      </c>
      <c r="J859" s="3" t="inlineStr">
        <is>
          <t>Module Diode Failure</t>
        </is>
      </c>
      <c r="K859" s="3" t="inlineStr">
        <is>
          <t>Sadla</t>
        </is>
      </c>
      <c r="L859" s="3" t="inlineStr">
        <is>
          <t>Gujarat</t>
        </is>
      </c>
      <c r="M859" s="9" t="inlineStr">
        <is>
          <t>NS</t>
        </is>
      </c>
      <c r="N859" s="3" t="inlineStr">
        <is>
          <t>Cold Soldering</t>
        </is>
      </c>
      <c r="O859" s="3" t="n">
        <v>570</v>
      </c>
      <c r="P859" s="9" t="inlineStr">
        <is>
          <t>NSMI24060081012</t>
        </is>
      </c>
      <c r="Q859" s="53">
        <f>MID(P859,5,2)</f>
        <v/>
      </c>
      <c r="R859" s="53">
        <f>MID(P859,7,2)</f>
        <v/>
      </c>
      <c r="S859" s="3" t="inlineStr">
        <is>
          <t>G2G</t>
        </is>
      </c>
      <c r="T859" s="3" t="inlineStr">
        <is>
          <t>P4</t>
        </is>
      </c>
      <c r="U859" s="3" t="inlineStr">
        <is>
          <t>N JB Cold Soldering</t>
        </is>
      </c>
      <c r="V859" s="3" t="inlineStr">
        <is>
          <t>Soldering</t>
        </is>
      </c>
      <c r="W859" s="3" t="inlineStr">
        <is>
          <t>Repair</t>
        </is>
      </c>
      <c r="X859" s="18" t="n">
        <v>46155</v>
      </c>
      <c r="Y859" s="73">
        <f>IF(X859="","",X859-A859)</f>
        <v/>
      </c>
      <c r="Z859" s="18" t="n">
        <v>46155</v>
      </c>
      <c r="AA859" s="15" t="n"/>
      <c r="AB859" s="15" t="n"/>
      <c r="AF859">
        <f>IF(AND($F859="Closed",$X859&gt;=DATE(2026,5,1),$X859&lt;=DATE(2026,5,31)),"Closed in May","Other")</f>
        <v/>
      </c>
    </row>
    <row r="860">
      <c r="A860" s="6" t="n">
        <v>46107</v>
      </c>
      <c r="B860" s="3" t="n">
        <v>2026</v>
      </c>
      <c r="C860" s="3" t="inlineStr">
        <is>
          <t>Blupine Energy</t>
        </is>
      </c>
      <c r="D860" s="3" t="inlineStr">
        <is>
          <t>Utility and C&amp;I</t>
        </is>
      </c>
      <c r="E860" s="3" t="n"/>
      <c r="F860" s="3" t="inlineStr">
        <is>
          <t>Closed</t>
        </is>
      </c>
      <c r="G860" s="3" t="inlineStr">
        <is>
          <t>Chandrashekar Patidar</t>
        </is>
      </c>
      <c r="H860" s="3" t="n">
        <v>7879764773</v>
      </c>
      <c r="I860" s="11" t="inlineStr">
        <is>
          <t>PE26032601</t>
        </is>
      </c>
      <c r="J860" s="3" t="inlineStr">
        <is>
          <t>Module Diode Failure</t>
        </is>
      </c>
      <c r="K860" s="3" t="inlineStr">
        <is>
          <t>Sadla</t>
        </is>
      </c>
      <c r="L860" s="3" t="inlineStr">
        <is>
          <t>Gujarat</t>
        </is>
      </c>
      <c r="M860" s="9" t="inlineStr">
        <is>
          <t>NS</t>
        </is>
      </c>
      <c r="N860" s="3" t="inlineStr">
        <is>
          <t>Cold Soldering</t>
        </is>
      </c>
      <c r="O860" s="3" t="n">
        <v>570</v>
      </c>
      <c r="P860" s="9" t="inlineStr">
        <is>
          <t>NSMI24060096477</t>
        </is>
      </c>
      <c r="Q860" s="53">
        <f>MID(P860,5,2)</f>
        <v/>
      </c>
      <c r="R860" s="53">
        <f>MID(P860,7,2)</f>
        <v/>
      </c>
      <c r="S860" s="3" t="inlineStr">
        <is>
          <t>G2G</t>
        </is>
      </c>
      <c r="T860" s="3" t="inlineStr">
        <is>
          <t>P4</t>
        </is>
      </c>
      <c r="U860" s="3" t="inlineStr">
        <is>
          <t>N JB Cold Soldering</t>
        </is>
      </c>
      <c r="V860" s="3" t="inlineStr">
        <is>
          <t>Soldering</t>
        </is>
      </c>
      <c r="W860" s="3" t="inlineStr">
        <is>
          <t>Repair</t>
        </is>
      </c>
      <c r="X860" s="18" t="n">
        <v>46155</v>
      </c>
      <c r="Y860" s="73">
        <f>IF(X860="","",X860-A860)</f>
        <v/>
      </c>
      <c r="Z860" s="18" t="n">
        <v>46155</v>
      </c>
      <c r="AA860" s="15" t="n"/>
      <c r="AB860" s="15" t="n"/>
      <c r="AF860">
        <f>IF(AND($F860="Closed",$X860&gt;=DATE(2026,5,1),$X860&lt;=DATE(2026,5,31)),"Closed in May","Other")</f>
        <v/>
      </c>
    </row>
    <row r="861">
      <c r="A861" s="6" t="n">
        <v>46107</v>
      </c>
      <c r="B861" s="3" t="n">
        <v>2026</v>
      </c>
      <c r="C861" s="3" t="inlineStr">
        <is>
          <t>Blupine Energy</t>
        </is>
      </c>
      <c r="D861" s="3" t="inlineStr">
        <is>
          <t>Utility and C&amp;I</t>
        </is>
      </c>
      <c r="E861" s="3" t="n"/>
      <c r="F861" s="3" t="inlineStr">
        <is>
          <t>Closed</t>
        </is>
      </c>
      <c r="G861" s="3" t="inlineStr">
        <is>
          <t>Chandrashekar Patidar</t>
        </is>
      </c>
      <c r="H861" s="3" t="n">
        <v>7879764773</v>
      </c>
      <c r="I861" s="11" t="inlineStr">
        <is>
          <t>PE26032601</t>
        </is>
      </c>
      <c r="J861" s="3" t="inlineStr">
        <is>
          <t>Module Diode Failure</t>
        </is>
      </c>
      <c r="K861" s="3" t="inlineStr">
        <is>
          <t>Sadla</t>
        </is>
      </c>
      <c r="L861" s="3" t="inlineStr">
        <is>
          <t>Gujarat</t>
        </is>
      </c>
      <c r="M861" s="9" t="inlineStr">
        <is>
          <t>PS</t>
        </is>
      </c>
      <c r="N861" s="3" t="inlineStr">
        <is>
          <t>Cold Soldering</t>
        </is>
      </c>
      <c r="O861" s="3" t="n">
        <v>570</v>
      </c>
      <c r="P861" s="9" t="inlineStr">
        <is>
          <t>NSMI24060098539</t>
        </is>
      </c>
      <c r="Q861" s="53">
        <f>MID(P861,5,2)</f>
        <v/>
      </c>
      <c r="R861" s="53">
        <f>MID(P861,7,2)</f>
        <v/>
      </c>
      <c r="S861" s="3" t="inlineStr">
        <is>
          <t>G2G</t>
        </is>
      </c>
      <c r="T861" s="3" t="inlineStr">
        <is>
          <t>P4</t>
        </is>
      </c>
      <c r="U861" s="3" t="inlineStr">
        <is>
          <t>P JB Cold Soldering</t>
        </is>
      </c>
      <c r="V861" s="3" t="inlineStr">
        <is>
          <t>Soldering</t>
        </is>
      </c>
      <c r="W861" s="3" t="inlineStr">
        <is>
          <t>Repair</t>
        </is>
      </c>
      <c r="X861" s="18" t="n">
        <v>46155</v>
      </c>
      <c r="Y861" s="73">
        <f>IF(X861="","",X861-A861)</f>
        <v/>
      </c>
      <c r="Z861" s="18" t="n">
        <v>46155</v>
      </c>
      <c r="AA861" s="15" t="n"/>
      <c r="AB861" s="15" t="n"/>
      <c r="AF861">
        <f>IF(AND($F861="Closed",$X861&gt;=DATE(2026,5,1),$X861&lt;=DATE(2026,5,31)),"Closed in May","Other")</f>
        <v/>
      </c>
    </row>
    <row r="862">
      <c r="A862" s="6" t="n">
        <v>46107</v>
      </c>
      <c r="B862" s="3" t="n">
        <v>2026</v>
      </c>
      <c r="C862" s="3" t="inlineStr">
        <is>
          <t>Blupine Energy</t>
        </is>
      </c>
      <c r="D862" s="3" t="inlineStr">
        <is>
          <t>Utility and C&amp;I</t>
        </is>
      </c>
      <c r="E862" s="3" t="n"/>
      <c r="F862" s="3" t="inlineStr">
        <is>
          <t>Closed</t>
        </is>
      </c>
      <c r="G862" s="3" t="inlineStr">
        <is>
          <t>Chandrashekar Patidar</t>
        </is>
      </c>
      <c r="H862" s="3" t="n">
        <v>7879764773</v>
      </c>
      <c r="I862" s="11" t="inlineStr">
        <is>
          <t>PE26032601</t>
        </is>
      </c>
      <c r="J862" s="3" t="inlineStr">
        <is>
          <t>Module Diode Failure</t>
        </is>
      </c>
      <c r="K862" s="3" t="inlineStr">
        <is>
          <t>Sadla</t>
        </is>
      </c>
      <c r="L862" s="3" t="inlineStr">
        <is>
          <t>Gujarat</t>
        </is>
      </c>
      <c r="M862" s="9" t="inlineStr">
        <is>
          <t>NS</t>
        </is>
      </c>
      <c r="N862" s="3" t="inlineStr">
        <is>
          <t>Cold Soldering</t>
        </is>
      </c>
      <c r="O862" s="3" t="n">
        <v>570</v>
      </c>
      <c r="P862" s="9" t="inlineStr">
        <is>
          <t>NSMI24060096554</t>
        </is>
      </c>
      <c r="Q862" s="53">
        <f>MID(P862,5,2)</f>
        <v/>
      </c>
      <c r="R862" s="53">
        <f>MID(P862,7,2)</f>
        <v/>
      </c>
      <c r="S862" s="3" t="inlineStr">
        <is>
          <t>G2G</t>
        </is>
      </c>
      <c r="T862" s="3" t="inlineStr">
        <is>
          <t>P4</t>
        </is>
      </c>
      <c r="U862" s="3" t="inlineStr">
        <is>
          <t>N JB Cold Soldering</t>
        </is>
      </c>
      <c r="V862" s="3" t="inlineStr">
        <is>
          <t>Soldering</t>
        </is>
      </c>
      <c r="W862" s="3" t="inlineStr">
        <is>
          <t>Repair</t>
        </is>
      </c>
      <c r="X862" s="18" t="n">
        <v>46155</v>
      </c>
      <c r="Y862" s="73">
        <f>IF(X862="","",X862-A862)</f>
        <v/>
      </c>
      <c r="Z862" s="18" t="n">
        <v>46155</v>
      </c>
      <c r="AA862" s="15" t="n"/>
      <c r="AB862" s="15" t="n"/>
      <c r="AF862">
        <f>IF(AND($F862="Closed",$X862&gt;=DATE(2026,5,1),$X862&lt;=DATE(2026,5,31)),"Closed in May","Other")</f>
        <v/>
      </c>
    </row>
    <row r="863">
      <c r="A863" s="6" t="n">
        <v>46107</v>
      </c>
      <c r="B863" s="3" t="n">
        <v>2026</v>
      </c>
      <c r="C863" s="3" t="inlineStr">
        <is>
          <t>Blupine Energy</t>
        </is>
      </c>
      <c r="D863" s="3" t="inlineStr">
        <is>
          <t>Utility and C&amp;I</t>
        </is>
      </c>
      <c r="E863" s="3" t="n"/>
      <c r="F863" s="3" t="inlineStr">
        <is>
          <t>Closed</t>
        </is>
      </c>
      <c r="G863" s="3" t="inlineStr">
        <is>
          <t>Chandrashekar Patidar</t>
        </is>
      </c>
      <c r="H863" s="3" t="n">
        <v>7879764773</v>
      </c>
      <c r="I863" s="11" t="inlineStr">
        <is>
          <t>PE26032601</t>
        </is>
      </c>
      <c r="J863" s="3" t="inlineStr">
        <is>
          <t>Module Diode Failure</t>
        </is>
      </c>
      <c r="K863" s="3" t="inlineStr">
        <is>
          <t>Sadla</t>
        </is>
      </c>
      <c r="L863" s="3" t="inlineStr">
        <is>
          <t>Gujarat</t>
        </is>
      </c>
      <c r="M863" s="9" t="inlineStr">
        <is>
          <t>PS</t>
        </is>
      </c>
      <c r="N863" s="3" t="inlineStr">
        <is>
          <t>Cold Soldering</t>
        </is>
      </c>
      <c r="O863" s="3" t="n">
        <v>570</v>
      </c>
      <c r="P863" s="9" t="inlineStr">
        <is>
          <t>NSMI24060098527</t>
        </is>
      </c>
      <c r="Q863" s="53">
        <f>MID(P863,5,2)</f>
        <v/>
      </c>
      <c r="R863" s="53">
        <f>MID(P863,7,2)</f>
        <v/>
      </c>
      <c r="S863" s="3" t="inlineStr">
        <is>
          <t>G2G</t>
        </is>
      </c>
      <c r="T863" s="3" t="inlineStr">
        <is>
          <t>P4</t>
        </is>
      </c>
      <c r="U863" s="3" t="inlineStr">
        <is>
          <t>P JB Cold Soldering</t>
        </is>
      </c>
      <c r="V863" s="3" t="inlineStr">
        <is>
          <t>Soldering</t>
        </is>
      </c>
      <c r="W863" s="3" t="inlineStr">
        <is>
          <t>Repair</t>
        </is>
      </c>
      <c r="X863" s="18" t="n">
        <v>46155</v>
      </c>
      <c r="Y863" s="73">
        <f>IF(X863="","",X863-A863)</f>
        <v/>
      </c>
      <c r="Z863" s="18" t="n">
        <v>46155</v>
      </c>
      <c r="AA863" s="15" t="n"/>
      <c r="AB863" s="15" t="n"/>
      <c r="AF863">
        <f>IF(AND($F863="Closed",$X863&gt;=DATE(2026,5,1),$X863&lt;=DATE(2026,5,31)),"Closed in May","Other")</f>
        <v/>
      </c>
    </row>
    <row r="864">
      <c r="A864" s="6" t="n">
        <v>46107</v>
      </c>
      <c r="B864" s="3" t="n">
        <v>2026</v>
      </c>
      <c r="C864" s="3" t="inlineStr">
        <is>
          <t>Blupine Energy</t>
        </is>
      </c>
      <c r="D864" s="3" t="inlineStr">
        <is>
          <t>Utility and C&amp;I</t>
        </is>
      </c>
      <c r="E864" s="3" t="n"/>
      <c r="F864" s="3" t="inlineStr">
        <is>
          <t>Closed</t>
        </is>
      </c>
      <c r="G864" s="3" t="inlineStr">
        <is>
          <t>Chandrashekar Patidar</t>
        </is>
      </c>
      <c r="H864" s="3" t="n">
        <v>7879764773</v>
      </c>
      <c r="I864" s="11" t="inlineStr">
        <is>
          <t>PE26032601</t>
        </is>
      </c>
      <c r="J864" s="3" t="inlineStr">
        <is>
          <t>Module Diode Failure</t>
        </is>
      </c>
      <c r="K864" s="3" t="inlineStr">
        <is>
          <t>Sadla</t>
        </is>
      </c>
      <c r="L864" s="3" t="inlineStr">
        <is>
          <t>Gujarat</t>
        </is>
      </c>
      <c r="M864" s="9" t="inlineStr">
        <is>
          <t>NS</t>
        </is>
      </c>
      <c r="N864" s="3" t="inlineStr">
        <is>
          <t>Cold Soldering</t>
        </is>
      </c>
      <c r="O864" s="3" t="n">
        <v>570</v>
      </c>
      <c r="P864" s="9" t="inlineStr">
        <is>
          <t>NSMI24060076563</t>
        </is>
      </c>
      <c r="Q864" s="53">
        <f>MID(P864,5,2)</f>
        <v/>
      </c>
      <c r="R864" s="53">
        <f>MID(P864,7,2)</f>
        <v/>
      </c>
      <c r="S864" s="3" t="inlineStr">
        <is>
          <t>G2G</t>
        </is>
      </c>
      <c r="T864" s="3" t="inlineStr">
        <is>
          <t>P4</t>
        </is>
      </c>
      <c r="U864" s="3" t="inlineStr">
        <is>
          <t>N JB Cold Soldering</t>
        </is>
      </c>
      <c r="V864" s="3" t="inlineStr">
        <is>
          <t>Soldering</t>
        </is>
      </c>
      <c r="W864" s="3" t="inlineStr">
        <is>
          <t>Repair</t>
        </is>
      </c>
      <c r="X864" s="18" t="n">
        <v>46155</v>
      </c>
      <c r="Y864" s="73">
        <f>IF(X864="","",X864-A864)</f>
        <v/>
      </c>
      <c r="Z864" s="18" t="n">
        <v>46155</v>
      </c>
      <c r="AA864" s="15" t="n"/>
      <c r="AB864" s="15" t="n"/>
      <c r="AF864">
        <f>IF(AND($F864="Closed",$X864&gt;=DATE(2026,5,1),$X864&lt;=DATE(2026,5,31)),"Closed in May","Other")</f>
        <v/>
      </c>
    </row>
    <row r="865">
      <c r="A865" s="6" t="n">
        <v>46107</v>
      </c>
      <c r="B865" s="3" t="n">
        <v>2026</v>
      </c>
      <c r="C865" s="3" t="inlineStr">
        <is>
          <t>Blupine Energy</t>
        </is>
      </c>
      <c r="D865" s="3" t="inlineStr">
        <is>
          <t>Utility and C&amp;I</t>
        </is>
      </c>
      <c r="E865" s="3" t="n"/>
      <c r="F865" s="3" t="inlineStr">
        <is>
          <t>Closed</t>
        </is>
      </c>
      <c r="G865" s="3" t="inlineStr">
        <is>
          <t>Chandrashekar Patidar</t>
        </is>
      </c>
      <c r="H865" s="3" t="n">
        <v>7879764773</v>
      </c>
      <c r="I865" s="11" t="inlineStr">
        <is>
          <t>PE26032601</t>
        </is>
      </c>
      <c r="J865" s="3" t="inlineStr">
        <is>
          <t>Module Diode Failure</t>
        </is>
      </c>
      <c r="K865" s="3" t="inlineStr">
        <is>
          <t>Sadla</t>
        </is>
      </c>
      <c r="L865" s="3" t="inlineStr">
        <is>
          <t>Gujarat</t>
        </is>
      </c>
      <c r="M865" s="9" t="inlineStr">
        <is>
          <t>PR</t>
        </is>
      </c>
      <c r="N865" s="3" t="inlineStr">
        <is>
          <t>JB Issue</t>
        </is>
      </c>
      <c r="O865" s="3" t="n">
        <v>570</v>
      </c>
      <c r="P865" s="9" t="inlineStr">
        <is>
          <t>NSMI24060076617</t>
        </is>
      </c>
      <c r="Q865" s="53">
        <f>MID(P865,5,2)</f>
        <v/>
      </c>
      <c r="R865" s="53">
        <f>MID(P865,7,2)</f>
        <v/>
      </c>
      <c r="S865" s="3" t="inlineStr">
        <is>
          <t>G2G</t>
        </is>
      </c>
      <c r="T865" s="3" t="inlineStr">
        <is>
          <t>P4</t>
        </is>
      </c>
      <c r="U865" s="3" t="inlineStr">
        <is>
          <t>P JB Issue</t>
        </is>
      </c>
      <c r="V865" s="15" t="inlineStr">
        <is>
          <t>JB Changed</t>
        </is>
      </c>
      <c r="W865" s="3" t="inlineStr">
        <is>
          <t>Repair</t>
        </is>
      </c>
      <c r="X865" s="18" t="n">
        <v>46155</v>
      </c>
      <c r="Y865" s="73">
        <f>IF(X865="","",X865-A865)</f>
        <v/>
      </c>
      <c r="Z865" s="18" t="n">
        <v>46155</v>
      </c>
      <c r="AA865" s="15" t="n"/>
      <c r="AB865" s="15" t="n"/>
      <c r="AF865">
        <f>IF(AND($F865="Closed",$X865&gt;=DATE(2026,5,1),$X865&lt;=DATE(2026,5,31)),"Closed in May","Other")</f>
        <v/>
      </c>
    </row>
    <row r="866">
      <c r="A866" s="6" t="n">
        <v>46107</v>
      </c>
      <c r="B866" s="3" t="n">
        <v>2026</v>
      </c>
      <c r="C866" s="3" t="inlineStr">
        <is>
          <t>Blupine Energy</t>
        </is>
      </c>
      <c r="D866" s="3" t="inlineStr">
        <is>
          <t>Utility and C&amp;I</t>
        </is>
      </c>
      <c r="E866" s="3" t="n"/>
      <c r="F866" s="3" t="inlineStr">
        <is>
          <t>Closed</t>
        </is>
      </c>
      <c r="G866" s="3" t="inlineStr">
        <is>
          <t>Chandrashekar Patidar</t>
        </is>
      </c>
      <c r="H866" s="3" t="n">
        <v>7879764773</v>
      </c>
      <c r="I866" s="11" t="inlineStr">
        <is>
          <t>PE26032601</t>
        </is>
      </c>
      <c r="J866" s="3" t="inlineStr">
        <is>
          <t>Module Diode Failure</t>
        </is>
      </c>
      <c r="K866" s="3" t="inlineStr">
        <is>
          <t>Sadla</t>
        </is>
      </c>
      <c r="L866" s="3" t="inlineStr">
        <is>
          <t>Gujarat</t>
        </is>
      </c>
      <c r="M866" s="9" t="inlineStr">
        <is>
          <t>NS</t>
        </is>
      </c>
      <c r="N866" s="3" t="inlineStr">
        <is>
          <t>Cold Soldering</t>
        </is>
      </c>
      <c r="O866" s="3" t="n">
        <v>570</v>
      </c>
      <c r="P866" s="9" t="inlineStr">
        <is>
          <t>NSMI24060076627</t>
        </is>
      </c>
      <c r="Q866" s="53">
        <f>MID(P866,5,2)</f>
        <v/>
      </c>
      <c r="R866" s="53">
        <f>MID(P866,7,2)</f>
        <v/>
      </c>
      <c r="S866" s="3" t="inlineStr">
        <is>
          <t>G2G</t>
        </is>
      </c>
      <c r="T866" s="3" t="inlineStr">
        <is>
          <t>P4</t>
        </is>
      </c>
      <c r="U866" s="3" t="inlineStr">
        <is>
          <t>N JB Cold Soldering</t>
        </is>
      </c>
      <c r="V866" s="3" t="inlineStr">
        <is>
          <t>Soldering</t>
        </is>
      </c>
      <c r="W866" s="3" t="inlineStr">
        <is>
          <t>Repair</t>
        </is>
      </c>
      <c r="X866" s="18" t="n">
        <v>46155</v>
      </c>
      <c r="Y866" s="73">
        <f>IF(X866="","",X866-A866)</f>
        <v/>
      </c>
      <c r="Z866" s="18" t="n">
        <v>46155</v>
      </c>
      <c r="AA866" s="15" t="n"/>
      <c r="AB866" s="15" t="n"/>
      <c r="AF866">
        <f>IF(AND($F866="Closed",$X866&gt;=DATE(2026,5,1),$X866&lt;=DATE(2026,5,31)),"Closed in May","Other")</f>
        <v/>
      </c>
    </row>
    <row r="867">
      <c r="A867" s="6" t="n">
        <v>46107</v>
      </c>
      <c r="B867" s="3" t="n">
        <v>2026</v>
      </c>
      <c r="C867" s="3" t="inlineStr">
        <is>
          <t>Blupine Energy</t>
        </is>
      </c>
      <c r="D867" s="3" t="inlineStr">
        <is>
          <t>Utility and C&amp;I</t>
        </is>
      </c>
      <c r="E867" s="3" t="n"/>
      <c r="F867" s="3" t="inlineStr">
        <is>
          <t>Closed</t>
        </is>
      </c>
      <c r="G867" s="3" t="inlineStr">
        <is>
          <t>Chandrashekar Patidar</t>
        </is>
      </c>
      <c r="H867" s="3" t="n">
        <v>7879764773</v>
      </c>
      <c r="I867" s="11" t="inlineStr">
        <is>
          <t>PE26032601</t>
        </is>
      </c>
      <c r="J867" s="3" t="inlineStr">
        <is>
          <t>Module Diode Failure</t>
        </is>
      </c>
      <c r="K867" s="3" t="inlineStr">
        <is>
          <t>Sadla</t>
        </is>
      </c>
      <c r="L867" s="3" t="inlineStr">
        <is>
          <t>Gujarat</t>
        </is>
      </c>
      <c r="M867" s="9" t="inlineStr">
        <is>
          <t>NR</t>
        </is>
      </c>
      <c r="N867" s="3" t="inlineStr">
        <is>
          <t>JB Issue</t>
        </is>
      </c>
      <c r="O867" s="3" t="n">
        <v>570</v>
      </c>
      <c r="P867" s="9" t="inlineStr">
        <is>
          <t>NSMI24060076628</t>
        </is>
      </c>
      <c r="Q867" s="53">
        <f>MID(P867,5,2)</f>
        <v/>
      </c>
      <c r="R867" s="53">
        <f>MID(P867,7,2)</f>
        <v/>
      </c>
      <c r="S867" s="3" t="inlineStr">
        <is>
          <t>G2G</t>
        </is>
      </c>
      <c r="T867" s="3" t="inlineStr">
        <is>
          <t>P4</t>
        </is>
      </c>
      <c r="U867" s="3" t="inlineStr">
        <is>
          <t>N JB Issue</t>
        </is>
      </c>
      <c r="V867" s="3" t="inlineStr">
        <is>
          <t>JB Changed</t>
        </is>
      </c>
      <c r="W867" s="3" t="inlineStr">
        <is>
          <t>Repair</t>
        </is>
      </c>
      <c r="X867" s="18" t="n">
        <v>46155</v>
      </c>
      <c r="Y867" s="73">
        <f>IF(X867="","",X867-A867)</f>
        <v/>
      </c>
      <c r="Z867" s="18" t="n">
        <v>46155</v>
      </c>
      <c r="AA867" s="15" t="n"/>
      <c r="AB867" s="15" t="n"/>
      <c r="AF867">
        <f>IF(AND($F867="Closed",$X867&gt;=DATE(2026,5,1),$X867&lt;=DATE(2026,5,31)),"Closed in May","Other")</f>
        <v/>
      </c>
    </row>
    <row r="868">
      <c r="A868" s="6" t="n">
        <v>46107</v>
      </c>
      <c r="B868" s="3" t="n">
        <v>2026</v>
      </c>
      <c r="C868" s="3" t="inlineStr">
        <is>
          <t>Blupine Energy</t>
        </is>
      </c>
      <c r="D868" s="3" t="inlineStr">
        <is>
          <t>Utility and C&amp;I</t>
        </is>
      </c>
      <c r="E868" s="3" t="n"/>
      <c r="F868" s="3" t="inlineStr">
        <is>
          <t>Closed</t>
        </is>
      </c>
      <c r="G868" s="3" t="inlineStr">
        <is>
          <t>Chandrashekar Patidar</t>
        </is>
      </c>
      <c r="H868" s="3" t="n">
        <v>7879764773</v>
      </c>
      <c r="I868" s="11" t="inlineStr">
        <is>
          <t>PE26032601</t>
        </is>
      </c>
      <c r="J868" s="3" t="inlineStr">
        <is>
          <t>Module Diode Failure</t>
        </is>
      </c>
      <c r="K868" s="3" t="inlineStr">
        <is>
          <t>Sadla</t>
        </is>
      </c>
      <c r="L868" s="3" t="inlineStr">
        <is>
          <t>Gujarat</t>
        </is>
      </c>
      <c r="M868" s="9" t="inlineStr">
        <is>
          <t>NS</t>
        </is>
      </c>
      <c r="N868" s="3" t="inlineStr">
        <is>
          <t>Cold Soldering</t>
        </is>
      </c>
      <c r="O868" s="3" t="n">
        <v>570</v>
      </c>
      <c r="P868" s="9" t="inlineStr">
        <is>
          <t>NSMI24060096513</t>
        </is>
      </c>
      <c r="Q868" s="53">
        <f>MID(P868,5,2)</f>
        <v/>
      </c>
      <c r="R868" s="53">
        <f>MID(P868,7,2)</f>
        <v/>
      </c>
      <c r="S868" s="3" t="inlineStr">
        <is>
          <t>G2G</t>
        </is>
      </c>
      <c r="T868" s="3" t="inlineStr">
        <is>
          <t>P4</t>
        </is>
      </c>
      <c r="U868" s="3" t="inlineStr">
        <is>
          <t>N JB Cold Soldering</t>
        </is>
      </c>
      <c r="V868" s="3" t="inlineStr">
        <is>
          <t>Soldering</t>
        </is>
      </c>
      <c r="W868" s="3" t="inlineStr">
        <is>
          <t>Repair</t>
        </is>
      </c>
      <c r="X868" s="18" t="n">
        <v>46155</v>
      </c>
      <c r="Y868" s="73">
        <f>IF(X868="","",X868-A868)</f>
        <v/>
      </c>
      <c r="Z868" s="18" t="n">
        <v>46155</v>
      </c>
      <c r="AA868" s="15" t="n"/>
      <c r="AB868" s="15" t="n"/>
      <c r="AF868">
        <f>IF(AND($F868="Closed",$X868&gt;=DATE(2026,5,1),$X868&lt;=DATE(2026,5,31)),"Closed in May","Other")</f>
        <v/>
      </c>
    </row>
    <row r="869">
      <c r="A869" s="6" t="n">
        <v>46107</v>
      </c>
      <c r="B869" s="3" t="n">
        <v>2026</v>
      </c>
      <c r="C869" s="3" t="inlineStr">
        <is>
          <t>Blupine Energy</t>
        </is>
      </c>
      <c r="D869" s="3" t="inlineStr">
        <is>
          <t>Utility and C&amp;I</t>
        </is>
      </c>
      <c r="E869" s="3" t="n"/>
      <c r="F869" s="3" t="inlineStr">
        <is>
          <t>Closed</t>
        </is>
      </c>
      <c r="G869" s="3" t="inlineStr">
        <is>
          <t>Chandrashekar Patidar</t>
        </is>
      </c>
      <c r="H869" s="3" t="n">
        <v>7879764773</v>
      </c>
      <c r="I869" s="11" t="inlineStr">
        <is>
          <t>PE26032601</t>
        </is>
      </c>
      <c r="J869" s="3" t="inlineStr">
        <is>
          <t>Module Diode Failure</t>
        </is>
      </c>
      <c r="K869" s="3" t="inlineStr">
        <is>
          <t>Sadla</t>
        </is>
      </c>
      <c r="L869" s="3" t="inlineStr">
        <is>
          <t>Gujarat</t>
        </is>
      </c>
      <c r="M869" s="9" t="inlineStr">
        <is>
          <t>NS</t>
        </is>
      </c>
      <c r="N869" s="3" t="inlineStr">
        <is>
          <t>Cold Soldering</t>
        </is>
      </c>
      <c r="O869" s="3" t="n">
        <v>570</v>
      </c>
      <c r="P869" s="9" t="inlineStr">
        <is>
          <t>NSMI24060096547</t>
        </is>
      </c>
      <c r="Q869" s="53">
        <f>MID(P869,5,2)</f>
        <v/>
      </c>
      <c r="R869" s="53">
        <f>MID(P869,7,2)</f>
        <v/>
      </c>
      <c r="S869" s="3" t="inlineStr">
        <is>
          <t>G2G</t>
        </is>
      </c>
      <c r="T869" s="3" t="inlineStr">
        <is>
          <t>P4</t>
        </is>
      </c>
      <c r="U869" s="3" t="inlineStr">
        <is>
          <t>N JB Cold Soldering</t>
        </is>
      </c>
      <c r="V869" s="3" t="inlineStr">
        <is>
          <t>Soldering</t>
        </is>
      </c>
      <c r="W869" s="3" t="inlineStr">
        <is>
          <t>Repair</t>
        </is>
      </c>
      <c r="X869" s="18" t="n">
        <v>46155</v>
      </c>
      <c r="Y869" s="73">
        <f>IF(X869="","",X869-A869)</f>
        <v/>
      </c>
      <c r="Z869" s="18" t="n">
        <v>46155</v>
      </c>
      <c r="AA869" s="15" t="n"/>
      <c r="AB869" s="15" t="n"/>
      <c r="AF869">
        <f>IF(AND($F869="Closed",$X869&gt;=DATE(2026,5,1),$X869&lt;=DATE(2026,5,31)),"Closed in May","Other")</f>
        <v/>
      </c>
    </row>
    <row r="870">
      <c r="A870" s="6" t="n">
        <v>46107</v>
      </c>
      <c r="B870" s="3" t="n">
        <v>2026</v>
      </c>
      <c r="C870" s="3" t="inlineStr">
        <is>
          <t>Blupine Energy</t>
        </is>
      </c>
      <c r="D870" s="3" t="inlineStr">
        <is>
          <t>Utility and C&amp;I</t>
        </is>
      </c>
      <c r="E870" s="3" t="n"/>
      <c r="F870" s="3" t="inlineStr">
        <is>
          <t>Closed</t>
        </is>
      </c>
      <c r="G870" s="3" t="inlineStr">
        <is>
          <t>Chandrashekar Patidar</t>
        </is>
      </c>
      <c r="H870" s="3" t="n">
        <v>7879764773</v>
      </c>
      <c r="I870" s="11" t="inlineStr">
        <is>
          <t>PE26032601</t>
        </is>
      </c>
      <c r="J870" s="3" t="inlineStr">
        <is>
          <t>Module Diode Failure</t>
        </is>
      </c>
      <c r="K870" s="3" t="inlineStr">
        <is>
          <t>Sadla</t>
        </is>
      </c>
      <c r="L870" s="3" t="inlineStr">
        <is>
          <t>Gujarat</t>
        </is>
      </c>
      <c r="M870" s="9" t="inlineStr">
        <is>
          <t>NS</t>
        </is>
      </c>
      <c r="N870" s="3" t="inlineStr">
        <is>
          <t>Cold Soldering</t>
        </is>
      </c>
      <c r="O870" s="3" t="n">
        <v>570</v>
      </c>
      <c r="P870" s="9" t="inlineStr">
        <is>
          <t>NSMI24060096014</t>
        </is>
      </c>
      <c r="Q870" s="53">
        <f>MID(P870,5,2)</f>
        <v/>
      </c>
      <c r="R870" s="53">
        <f>MID(P870,7,2)</f>
        <v/>
      </c>
      <c r="S870" s="3" t="inlineStr">
        <is>
          <t>G2G</t>
        </is>
      </c>
      <c r="T870" s="3" t="inlineStr">
        <is>
          <t>P4</t>
        </is>
      </c>
      <c r="U870" s="3" t="inlineStr">
        <is>
          <t>N JB Cold Soldering</t>
        </is>
      </c>
      <c r="V870" s="3" t="inlineStr">
        <is>
          <t>Soldering</t>
        </is>
      </c>
      <c r="W870" s="3" t="inlineStr">
        <is>
          <t>Repair</t>
        </is>
      </c>
      <c r="X870" s="18" t="n">
        <v>46155</v>
      </c>
      <c r="Y870" s="73">
        <f>IF(X870="","",X870-A870)</f>
        <v/>
      </c>
      <c r="Z870" s="18" t="n">
        <v>46155</v>
      </c>
      <c r="AA870" s="15" t="n"/>
      <c r="AB870" s="15" t="n"/>
      <c r="AF870">
        <f>IF(AND($F870="Closed",$X870&gt;=DATE(2026,5,1),$X870&lt;=DATE(2026,5,31)),"Closed in May","Other")</f>
        <v/>
      </c>
    </row>
    <row r="871">
      <c r="A871" s="6" t="n">
        <v>46107</v>
      </c>
      <c r="B871" s="3" t="n">
        <v>2026</v>
      </c>
      <c r="C871" s="3" t="inlineStr">
        <is>
          <t>Blupine Energy</t>
        </is>
      </c>
      <c r="D871" s="3" t="inlineStr">
        <is>
          <t>Utility and C&amp;I</t>
        </is>
      </c>
      <c r="E871" s="3" t="n"/>
      <c r="F871" s="3" t="inlineStr">
        <is>
          <t>Closed</t>
        </is>
      </c>
      <c r="G871" s="3" t="inlineStr">
        <is>
          <t>Chandrashekar Patidar</t>
        </is>
      </c>
      <c r="H871" s="3" t="n">
        <v>7879764773</v>
      </c>
      <c r="I871" s="11" t="inlineStr">
        <is>
          <t>PE26032601</t>
        </is>
      </c>
      <c r="J871" s="3" t="inlineStr">
        <is>
          <t>Module Diode Failure</t>
        </is>
      </c>
      <c r="K871" s="3" t="inlineStr">
        <is>
          <t>Sadla</t>
        </is>
      </c>
      <c r="L871" s="3" t="inlineStr">
        <is>
          <t>Gujarat</t>
        </is>
      </c>
      <c r="M871" s="9" t="inlineStr">
        <is>
          <t>NS</t>
        </is>
      </c>
      <c r="N871" s="3" t="inlineStr">
        <is>
          <t>Cold Soldering</t>
        </is>
      </c>
      <c r="O871" s="3" t="n">
        <v>570</v>
      </c>
      <c r="P871" s="9" t="inlineStr">
        <is>
          <t>NSMI24060097439</t>
        </is>
      </c>
      <c r="Q871" s="53">
        <f>MID(P871,5,2)</f>
        <v/>
      </c>
      <c r="R871" s="53">
        <f>MID(P871,7,2)</f>
        <v/>
      </c>
      <c r="S871" s="3" t="inlineStr">
        <is>
          <t>G2G</t>
        </is>
      </c>
      <c r="T871" s="3" t="inlineStr">
        <is>
          <t>P4</t>
        </is>
      </c>
      <c r="U871" s="3" t="inlineStr">
        <is>
          <t>N JB Cold Soldering</t>
        </is>
      </c>
      <c r="V871" s="3" t="inlineStr">
        <is>
          <t>Soldering</t>
        </is>
      </c>
      <c r="W871" s="3" t="inlineStr">
        <is>
          <t>Repair</t>
        </is>
      </c>
      <c r="X871" s="18" t="n">
        <v>46155</v>
      </c>
      <c r="Y871" s="73">
        <f>IF(X871="","",X871-A871)</f>
        <v/>
      </c>
      <c r="Z871" s="18" t="n">
        <v>46155</v>
      </c>
      <c r="AA871" s="15" t="n"/>
      <c r="AB871" s="15" t="n"/>
      <c r="AF871">
        <f>IF(AND($F871="Closed",$X871&gt;=DATE(2026,5,1),$X871&lt;=DATE(2026,5,31)),"Closed in May","Other")</f>
        <v/>
      </c>
    </row>
    <row r="872">
      <c r="A872" s="6" t="n">
        <v>46107</v>
      </c>
      <c r="B872" s="3" t="n">
        <v>2026</v>
      </c>
      <c r="C872" s="3" t="inlineStr">
        <is>
          <t>Blupine Energy</t>
        </is>
      </c>
      <c r="D872" s="3" t="inlineStr">
        <is>
          <t>Utility and C&amp;I</t>
        </is>
      </c>
      <c r="E872" s="3" t="n"/>
      <c r="F872" s="3" t="inlineStr">
        <is>
          <t>Closed</t>
        </is>
      </c>
      <c r="G872" s="3" t="inlineStr">
        <is>
          <t>Chandrashekar Patidar</t>
        </is>
      </c>
      <c r="H872" s="3" t="n">
        <v>7879764773</v>
      </c>
      <c r="I872" s="11" t="inlineStr">
        <is>
          <t>PE26032601</t>
        </is>
      </c>
      <c r="J872" s="3" t="inlineStr">
        <is>
          <t>Module Diode Failure</t>
        </is>
      </c>
      <c r="K872" s="3" t="inlineStr">
        <is>
          <t>Sadla</t>
        </is>
      </c>
      <c r="L872" s="3" t="inlineStr">
        <is>
          <t>Gujarat</t>
        </is>
      </c>
      <c r="M872" s="9" t="inlineStr">
        <is>
          <t>NS</t>
        </is>
      </c>
      <c r="N872" s="3" t="inlineStr">
        <is>
          <t>Cold Soldering</t>
        </is>
      </c>
      <c r="O872" s="3" t="n">
        <v>570</v>
      </c>
      <c r="P872" s="9" t="inlineStr">
        <is>
          <t>NSMI24060096564</t>
        </is>
      </c>
      <c r="Q872" s="53">
        <f>MID(P872,5,2)</f>
        <v/>
      </c>
      <c r="R872" s="53">
        <f>MID(P872,7,2)</f>
        <v/>
      </c>
      <c r="S872" s="3" t="inlineStr">
        <is>
          <t>G2G</t>
        </is>
      </c>
      <c r="T872" s="3" t="inlineStr">
        <is>
          <t>P4</t>
        </is>
      </c>
      <c r="U872" s="3" t="inlineStr">
        <is>
          <t>N JB Cold Soldering</t>
        </is>
      </c>
      <c r="V872" s="3" t="inlineStr">
        <is>
          <t>Soldering</t>
        </is>
      </c>
      <c r="W872" s="3" t="inlineStr">
        <is>
          <t>Repair</t>
        </is>
      </c>
      <c r="X872" s="18" t="n">
        <v>46155</v>
      </c>
      <c r="Y872" s="73">
        <f>IF(X872="","",X872-A872)</f>
        <v/>
      </c>
      <c r="Z872" s="18" t="n">
        <v>46155</v>
      </c>
      <c r="AA872" s="15" t="n"/>
      <c r="AB872" s="15" t="n"/>
      <c r="AF872">
        <f>IF(AND($F872="Closed",$X872&gt;=DATE(2026,5,1),$X872&lt;=DATE(2026,5,31)),"Closed in May","Other")</f>
        <v/>
      </c>
    </row>
    <row r="873">
      <c r="A873" s="6" t="n">
        <v>46107</v>
      </c>
      <c r="B873" s="3" t="n">
        <v>2026</v>
      </c>
      <c r="C873" s="3" t="inlineStr">
        <is>
          <t>Blupine Energy</t>
        </is>
      </c>
      <c r="D873" s="3" t="inlineStr">
        <is>
          <t>Utility and C&amp;I</t>
        </is>
      </c>
      <c r="E873" s="3" t="n"/>
      <c r="F873" s="3" t="inlineStr">
        <is>
          <t>Closed</t>
        </is>
      </c>
      <c r="G873" s="3" t="inlineStr">
        <is>
          <t>Chandrashekar Patidar</t>
        </is>
      </c>
      <c r="H873" s="3" t="n">
        <v>7879764773</v>
      </c>
      <c r="I873" s="11" t="inlineStr">
        <is>
          <t>PE26032601</t>
        </is>
      </c>
      <c r="J873" s="3" t="inlineStr">
        <is>
          <t>Module Diode Failure</t>
        </is>
      </c>
      <c r="K873" s="3" t="inlineStr">
        <is>
          <t>Sadla</t>
        </is>
      </c>
      <c r="L873" s="3" t="inlineStr">
        <is>
          <t>Gujarat</t>
        </is>
      </c>
      <c r="M873" s="9" t="inlineStr">
        <is>
          <t>NS</t>
        </is>
      </c>
      <c r="N873" s="3" t="inlineStr">
        <is>
          <t>Cold Soldering</t>
        </is>
      </c>
      <c r="O873" s="3" t="n">
        <v>570</v>
      </c>
      <c r="P873" s="9" t="inlineStr">
        <is>
          <t>NSMI24060096588</t>
        </is>
      </c>
      <c r="Q873" s="53">
        <f>MID(P873,5,2)</f>
        <v/>
      </c>
      <c r="R873" s="53">
        <f>MID(P873,7,2)</f>
        <v/>
      </c>
      <c r="S873" s="3" t="inlineStr">
        <is>
          <t>G2G</t>
        </is>
      </c>
      <c r="T873" s="3" t="inlineStr">
        <is>
          <t>P4</t>
        </is>
      </c>
      <c r="U873" s="3" t="inlineStr">
        <is>
          <t>N JB Cold Soldering</t>
        </is>
      </c>
      <c r="V873" s="3" t="inlineStr">
        <is>
          <t>Soldering</t>
        </is>
      </c>
      <c r="W873" s="3" t="inlineStr">
        <is>
          <t>Repair</t>
        </is>
      </c>
      <c r="X873" s="18" t="n">
        <v>46155</v>
      </c>
      <c r="Y873" s="73">
        <f>IF(X873="","",X873-A873)</f>
        <v/>
      </c>
      <c r="Z873" s="18" t="n">
        <v>46155</v>
      </c>
      <c r="AA873" s="15" t="n"/>
      <c r="AB873" s="15" t="n"/>
      <c r="AF873">
        <f>IF(AND($F873="Closed",$X873&gt;=DATE(2026,5,1),$X873&lt;=DATE(2026,5,31)),"Closed in May","Other")</f>
        <v/>
      </c>
    </row>
    <row r="874">
      <c r="A874" s="6" t="n">
        <v>46107</v>
      </c>
      <c r="B874" s="3" t="n">
        <v>2026</v>
      </c>
      <c r="C874" s="3" t="inlineStr">
        <is>
          <t>Blupine Energy</t>
        </is>
      </c>
      <c r="D874" s="3" t="inlineStr">
        <is>
          <t>Utility and C&amp;I</t>
        </is>
      </c>
      <c r="E874" s="3" t="n"/>
      <c r="F874" s="3" t="inlineStr">
        <is>
          <t>Closed</t>
        </is>
      </c>
      <c r="G874" s="3" t="inlineStr">
        <is>
          <t>Chandrashekar Patidar</t>
        </is>
      </c>
      <c r="H874" s="3" t="n">
        <v>7879764773</v>
      </c>
      <c r="I874" s="11" t="inlineStr">
        <is>
          <t>PE26032601</t>
        </is>
      </c>
      <c r="J874" s="3" t="inlineStr">
        <is>
          <t>Module Diode Failure</t>
        </is>
      </c>
      <c r="K874" s="3" t="inlineStr">
        <is>
          <t>Sadla</t>
        </is>
      </c>
      <c r="L874" s="3" t="inlineStr">
        <is>
          <t>Gujarat</t>
        </is>
      </c>
      <c r="M874" s="9" t="inlineStr">
        <is>
          <t>NS</t>
        </is>
      </c>
      <c r="N874" s="3" t="inlineStr">
        <is>
          <t>Cold Soldering</t>
        </is>
      </c>
      <c r="O874" s="3" t="n">
        <v>570</v>
      </c>
      <c r="P874" s="9" t="inlineStr">
        <is>
          <t>NSMI24060096587</t>
        </is>
      </c>
      <c r="Q874" s="53">
        <f>MID(P874,5,2)</f>
        <v/>
      </c>
      <c r="R874" s="53">
        <f>MID(P874,7,2)</f>
        <v/>
      </c>
      <c r="S874" s="3" t="inlineStr">
        <is>
          <t>G2G</t>
        </is>
      </c>
      <c r="T874" s="3" t="inlineStr">
        <is>
          <t>P4</t>
        </is>
      </c>
      <c r="U874" s="3" t="inlineStr">
        <is>
          <t>N JB Cold Soldering</t>
        </is>
      </c>
      <c r="V874" s="3" t="inlineStr">
        <is>
          <t>Soldering</t>
        </is>
      </c>
      <c r="W874" s="3" t="inlineStr">
        <is>
          <t>Repair</t>
        </is>
      </c>
      <c r="X874" s="18" t="n">
        <v>46155</v>
      </c>
      <c r="Y874" s="73">
        <f>IF(X874="","",X874-A874)</f>
        <v/>
      </c>
      <c r="Z874" s="18" t="n">
        <v>46155</v>
      </c>
      <c r="AA874" s="15" t="n"/>
      <c r="AB874" s="15" t="n"/>
      <c r="AF874">
        <f>IF(AND($F874="Closed",$X874&gt;=DATE(2026,5,1),$X874&lt;=DATE(2026,5,31)),"Closed in May","Other")</f>
        <v/>
      </c>
    </row>
    <row r="875">
      <c r="A875" s="6" t="n">
        <v>46107</v>
      </c>
      <c r="B875" s="3" t="n">
        <v>2026</v>
      </c>
      <c r="C875" s="3" t="inlineStr">
        <is>
          <t>Blupine Energy</t>
        </is>
      </c>
      <c r="D875" s="3" t="inlineStr">
        <is>
          <t>Utility and C&amp;I</t>
        </is>
      </c>
      <c r="E875" s="3" t="n"/>
      <c r="F875" s="3" t="inlineStr">
        <is>
          <t>Closed</t>
        </is>
      </c>
      <c r="G875" s="3" t="inlineStr">
        <is>
          <t>Chandrashekar Patidar</t>
        </is>
      </c>
      <c r="H875" s="3" t="n">
        <v>7879764773</v>
      </c>
      <c r="I875" s="11" t="inlineStr">
        <is>
          <t>PE26032601</t>
        </is>
      </c>
      <c r="J875" s="3" t="inlineStr">
        <is>
          <t>Module Diode Failure</t>
        </is>
      </c>
      <c r="K875" s="3" t="inlineStr">
        <is>
          <t>Sadla</t>
        </is>
      </c>
      <c r="L875" s="3" t="inlineStr">
        <is>
          <t>Gujarat</t>
        </is>
      </c>
      <c r="M875" s="9" t="inlineStr">
        <is>
          <t>PS</t>
        </is>
      </c>
      <c r="N875" s="3" t="inlineStr">
        <is>
          <t>Cold Soldering</t>
        </is>
      </c>
      <c r="O875" s="3" t="n">
        <v>570</v>
      </c>
      <c r="P875" s="9" t="inlineStr">
        <is>
          <t>NSMI24060084751</t>
        </is>
      </c>
      <c r="Q875" s="53">
        <f>MID(P875,5,2)</f>
        <v/>
      </c>
      <c r="R875" s="53">
        <f>MID(P875,7,2)</f>
        <v/>
      </c>
      <c r="S875" s="3" t="inlineStr">
        <is>
          <t>G2G</t>
        </is>
      </c>
      <c r="T875" s="3" t="inlineStr">
        <is>
          <t>P4</t>
        </is>
      </c>
      <c r="U875" s="3" t="inlineStr">
        <is>
          <t>P JB Cold Soldering</t>
        </is>
      </c>
      <c r="V875" s="3" t="inlineStr">
        <is>
          <t>Soldering</t>
        </is>
      </c>
      <c r="W875" s="3" t="inlineStr">
        <is>
          <t>Repair</t>
        </is>
      </c>
      <c r="X875" s="18" t="n">
        <v>46155</v>
      </c>
      <c r="Y875" s="73">
        <f>IF(X875="","",X875-A875)</f>
        <v/>
      </c>
      <c r="Z875" s="18" t="n">
        <v>46155</v>
      </c>
      <c r="AA875" s="15" t="n"/>
      <c r="AB875" s="15" t="n"/>
      <c r="AF875">
        <f>IF(AND($F875="Closed",$X875&gt;=DATE(2026,5,1),$X875&lt;=DATE(2026,5,31)),"Closed in May","Other")</f>
        <v/>
      </c>
    </row>
    <row r="876">
      <c r="A876" s="6" t="n">
        <v>46107</v>
      </c>
      <c r="B876" s="3" t="n">
        <v>2026</v>
      </c>
      <c r="C876" s="3" t="inlineStr">
        <is>
          <t>Blupine Energy</t>
        </is>
      </c>
      <c r="D876" s="3" t="inlineStr">
        <is>
          <t>Utility and C&amp;I</t>
        </is>
      </c>
      <c r="E876" s="3" t="n"/>
      <c r="F876" s="3" t="inlineStr">
        <is>
          <t>Closed</t>
        </is>
      </c>
      <c r="G876" s="3" t="inlineStr">
        <is>
          <t>Chandrashekar Patidar</t>
        </is>
      </c>
      <c r="H876" s="3" t="n">
        <v>7879764773</v>
      </c>
      <c r="I876" s="11" t="inlineStr">
        <is>
          <t>PE26032601</t>
        </is>
      </c>
      <c r="J876" s="3" t="inlineStr">
        <is>
          <t>Module Diode Failure</t>
        </is>
      </c>
      <c r="K876" s="3" t="inlineStr">
        <is>
          <t>Sadla</t>
        </is>
      </c>
      <c r="L876" s="3" t="inlineStr">
        <is>
          <t>Gujarat</t>
        </is>
      </c>
      <c r="M876" s="9" t="inlineStr">
        <is>
          <t>NS</t>
        </is>
      </c>
      <c r="N876" s="3" t="inlineStr">
        <is>
          <t>Cold Soldering</t>
        </is>
      </c>
      <c r="O876" s="3" t="n">
        <v>570</v>
      </c>
      <c r="P876" s="9" t="inlineStr">
        <is>
          <t>NSMI24060096407</t>
        </is>
      </c>
      <c r="Q876" s="53">
        <f>MID(P876,5,2)</f>
        <v/>
      </c>
      <c r="R876" s="53">
        <f>MID(P876,7,2)</f>
        <v/>
      </c>
      <c r="S876" s="3" t="inlineStr">
        <is>
          <t>G2G</t>
        </is>
      </c>
      <c r="T876" s="3" t="inlineStr">
        <is>
          <t>P4</t>
        </is>
      </c>
      <c r="U876" s="3" t="inlineStr">
        <is>
          <t>N JB Cold Soldering</t>
        </is>
      </c>
      <c r="V876" s="3" t="inlineStr">
        <is>
          <t>Soldering</t>
        </is>
      </c>
      <c r="W876" s="3" t="inlineStr">
        <is>
          <t>Repair</t>
        </is>
      </c>
      <c r="X876" s="18" t="n">
        <v>46155</v>
      </c>
      <c r="Y876" s="73">
        <f>IF(X876="","",X876-A876)</f>
        <v/>
      </c>
      <c r="Z876" s="18" t="n">
        <v>46155</v>
      </c>
      <c r="AA876" s="15" t="n"/>
      <c r="AB876" s="15" t="n"/>
      <c r="AF876">
        <f>IF(AND($F876="Closed",$X876&gt;=DATE(2026,5,1),$X876&lt;=DATE(2026,5,31)),"Closed in May","Other")</f>
        <v/>
      </c>
    </row>
    <row r="877">
      <c r="A877" s="6" t="n">
        <v>46107</v>
      </c>
      <c r="B877" s="3" t="n">
        <v>2026</v>
      </c>
      <c r="C877" s="3" t="inlineStr">
        <is>
          <t>Blupine Energy</t>
        </is>
      </c>
      <c r="D877" s="3" t="inlineStr">
        <is>
          <t>Utility and C&amp;I</t>
        </is>
      </c>
      <c r="E877" s="3" t="n"/>
      <c r="F877" s="3" t="inlineStr">
        <is>
          <t>Closed</t>
        </is>
      </c>
      <c r="G877" s="3" t="inlineStr">
        <is>
          <t>Chandrashekar Patidar</t>
        </is>
      </c>
      <c r="H877" s="3" t="n">
        <v>7879764773</v>
      </c>
      <c r="I877" s="11" t="inlineStr">
        <is>
          <t>PE26032601</t>
        </is>
      </c>
      <c r="J877" s="3" t="inlineStr">
        <is>
          <t>Module Diode Failure</t>
        </is>
      </c>
      <c r="K877" s="3" t="inlineStr">
        <is>
          <t>Sadla</t>
        </is>
      </c>
      <c r="L877" s="3" t="inlineStr">
        <is>
          <t>Gujarat</t>
        </is>
      </c>
      <c r="M877" s="9" t="inlineStr">
        <is>
          <t>NS</t>
        </is>
      </c>
      <c r="N877" s="3" t="inlineStr">
        <is>
          <t>Cold Soldering</t>
        </is>
      </c>
      <c r="O877" s="3" t="n">
        <v>570</v>
      </c>
      <c r="P877" s="5" t="inlineStr">
        <is>
          <t>NSMI24060092781</t>
        </is>
      </c>
      <c r="Q877" s="53">
        <f>MID(P877,5,2)</f>
        <v/>
      </c>
      <c r="R877" s="53">
        <f>MID(P877,7,2)</f>
        <v/>
      </c>
      <c r="S877" s="3" t="inlineStr">
        <is>
          <t>G2G</t>
        </is>
      </c>
      <c r="T877" s="3" t="inlineStr">
        <is>
          <t>P4</t>
        </is>
      </c>
      <c r="U877" s="3" t="inlineStr">
        <is>
          <t>N JB Cold Soldering</t>
        </is>
      </c>
      <c r="V877" s="3" t="inlineStr">
        <is>
          <t>Soldering</t>
        </is>
      </c>
      <c r="W877" s="3" t="inlineStr">
        <is>
          <t>Repair</t>
        </is>
      </c>
      <c r="X877" s="18" t="n">
        <v>46155</v>
      </c>
      <c r="Y877" s="73">
        <f>IF(X877="","",X877-A877)</f>
        <v/>
      </c>
      <c r="Z877" s="18" t="n">
        <v>46155</v>
      </c>
      <c r="AA877" s="15" t="n"/>
      <c r="AB877" s="15" t="n"/>
      <c r="AF877">
        <f>IF(AND($F877="Closed",$X877&gt;=DATE(2026,5,1),$X877&lt;=DATE(2026,5,31)),"Closed in May","Other")</f>
        <v/>
      </c>
    </row>
    <row r="878">
      <c r="A878" s="6" t="n">
        <v>46107</v>
      </c>
      <c r="B878" s="3" t="n">
        <v>2026</v>
      </c>
      <c r="C878" s="3" t="inlineStr">
        <is>
          <t>Blupine Energy</t>
        </is>
      </c>
      <c r="D878" s="3" t="inlineStr">
        <is>
          <t>Utility and C&amp;I</t>
        </is>
      </c>
      <c r="E878" s="3" t="n"/>
      <c r="F878" s="3" t="inlineStr">
        <is>
          <t>Closed</t>
        </is>
      </c>
      <c r="G878" s="3" t="inlineStr">
        <is>
          <t>Chandrashekar Patidar</t>
        </is>
      </c>
      <c r="H878" s="3" t="n">
        <v>7879764773</v>
      </c>
      <c r="I878" s="11" t="inlineStr">
        <is>
          <t>PE26032601</t>
        </is>
      </c>
      <c r="J878" s="3" t="inlineStr">
        <is>
          <t>Module Diode Failure</t>
        </is>
      </c>
      <c r="K878" s="3" t="inlineStr">
        <is>
          <t>Sadla</t>
        </is>
      </c>
      <c r="L878" s="3" t="inlineStr">
        <is>
          <t>Gujarat</t>
        </is>
      </c>
      <c r="M878" s="9" t="inlineStr">
        <is>
          <t>NS</t>
        </is>
      </c>
      <c r="N878" s="3" t="inlineStr">
        <is>
          <t>Cold Soldering</t>
        </is>
      </c>
      <c r="O878" s="3" t="n">
        <v>570</v>
      </c>
      <c r="P878" s="3" t="inlineStr">
        <is>
          <t>NSMI24060100710</t>
        </is>
      </c>
      <c r="Q878" s="53">
        <f>MID(P878,5,2)</f>
        <v/>
      </c>
      <c r="R878" s="53">
        <f>MID(P878,7,2)</f>
        <v/>
      </c>
      <c r="S878" s="3" t="inlineStr">
        <is>
          <t>G2G</t>
        </is>
      </c>
      <c r="T878" s="3" t="inlineStr">
        <is>
          <t>P4</t>
        </is>
      </c>
      <c r="U878" s="3" t="inlineStr">
        <is>
          <t>N JB Cold Soldering</t>
        </is>
      </c>
      <c r="V878" s="3" t="inlineStr">
        <is>
          <t>Soldering</t>
        </is>
      </c>
      <c r="W878" s="3" t="inlineStr">
        <is>
          <t>Repair</t>
        </is>
      </c>
      <c r="X878" s="18" t="n">
        <v>46155</v>
      </c>
      <c r="Y878" s="73">
        <f>IF(X878="","",X878-A878)</f>
        <v/>
      </c>
      <c r="Z878" s="18" t="n">
        <v>46155</v>
      </c>
      <c r="AA878" s="15" t="n"/>
      <c r="AB878" s="15" t="n"/>
      <c r="AF878">
        <f>IF(AND($F878="Closed",$X878&gt;=DATE(2026,5,1),$X878&lt;=DATE(2026,5,31)),"Closed in May","Other")</f>
        <v/>
      </c>
    </row>
    <row r="879">
      <c r="A879" s="6" t="n">
        <v>46107</v>
      </c>
      <c r="B879" s="3" t="n">
        <v>2026</v>
      </c>
      <c r="C879" s="3" t="inlineStr">
        <is>
          <t>Blupine Energy</t>
        </is>
      </c>
      <c r="D879" s="3" t="inlineStr">
        <is>
          <t>Utility and C&amp;I</t>
        </is>
      </c>
      <c r="E879" s="3" t="n"/>
      <c r="F879" s="3" t="inlineStr">
        <is>
          <t>Closed</t>
        </is>
      </c>
      <c r="G879" s="3" t="inlineStr">
        <is>
          <t>Chandrashekar Patidar</t>
        </is>
      </c>
      <c r="H879" s="3" t="n">
        <v>7879764773</v>
      </c>
      <c r="I879" s="11" t="inlineStr">
        <is>
          <t>PE26032601</t>
        </is>
      </c>
      <c r="J879" s="3" t="inlineStr">
        <is>
          <t>Module Diode Failure</t>
        </is>
      </c>
      <c r="K879" s="3" t="inlineStr">
        <is>
          <t>Sadla</t>
        </is>
      </c>
      <c r="L879" s="3" t="inlineStr">
        <is>
          <t>Gujarat</t>
        </is>
      </c>
      <c r="M879" s="9" t="inlineStr">
        <is>
          <t>NS</t>
        </is>
      </c>
      <c r="N879" s="3" t="inlineStr">
        <is>
          <t>Cold Soldering</t>
        </is>
      </c>
      <c r="O879" s="3" t="n">
        <v>570</v>
      </c>
      <c r="P879" s="9" t="inlineStr">
        <is>
          <t>NSMI24060100756</t>
        </is>
      </c>
      <c r="Q879" s="53">
        <f>MID(P879,5,2)</f>
        <v/>
      </c>
      <c r="R879" s="53">
        <f>MID(P879,7,2)</f>
        <v/>
      </c>
      <c r="S879" s="3" t="inlineStr">
        <is>
          <t>G2G</t>
        </is>
      </c>
      <c r="T879" s="3" t="inlineStr">
        <is>
          <t>P4</t>
        </is>
      </c>
      <c r="U879" s="3" t="inlineStr">
        <is>
          <t>N JB Cold Soldering</t>
        </is>
      </c>
      <c r="V879" s="3" t="inlineStr">
        <is>
          <t>Soldering</t>
        </is>
      </c>
      <c r="W879" s="3" t="inlineStr">
        <is>
          <t>Repair</t>
        </is>
      </c>
      <c r="X879" s="18" t="n">
        <v>46155</v>
      </c>
      <c r="Y879" s="73">
        <f>IF(X879="","",X879-A879)</f>
        <v/>
      </c>
      <c r="Z879" s="18" t="n">
        <v>46155</v>
      </c>
      <c r="AA879" s="15" t="n"/>
      <c r="AB879" s="15" t="n"/>
      <c r="AF879">
        <f>IF(AND($F879="Closed",$X879&gt;=DATE(2026,5,1),$X879&lt;=DATE(2026,5,31)),"Closed in May","Other")</f>
        <v/>
      </c>
    </row>
    <row r="880">
      <c r="A880" s="6" t="n">
        <v>46107</v>
      </c>
      <c r="B880" s="3" t="n">
        <v>2026</v>
      </c>
      <c r="C880" s="3" t="inlineStr">
        <is>
          <t>Blupine Energy</t>
        </is>
      </c>
      <c r="D880" s="3" t="inlineStr">
        <is>
          <t>Utility and C&amp;I</t>
        </is>
      </c>
      <c r="E880" s="3" t="n"/>
      <c r="F880" s="3" t="inlineStr">
        <is>
          <t>Closed</t>
        </is>
      </c>
      <c r="G880" s="3" t="inlineStr">
        <is>
          <t>Chandrashekar Patidar</t>
        </is>
      </c>
      <c r="H880" s="3" t="n">
        <v>7879764773</v>
      </c>
      <c r="I880" s="11" t="inlineStr">
        <is>
          <t>PE26032601</t>
        </is>
      </c>
      <c r="J880" s="3" t="inlineStr">
        <is>
          <t>Module Diode Failure</t>
        </is>
      </c>
      <c r="K880" s="3" t="inlineStr">
        <is>
          <t>Sadla</t>
        </is>
      </c>
      <c r="L880" s="3" t="inlineStr">
        <is>
          <t>Gujarat</t>
        </is>
      </c>
      <c r="M880" s="9" t="inlineStr">
        <is>
          <t>NS</t>
        </is>
      </c>
      <c r="N880" s="3" t="inlineStr">
        <is>
          <t>Cold Soldering</t>
        </is>
      </c>
      <c r="O880" s="3" t="n">
        <v>570</v>
      </c>
      <c r="P880" s="9" t="inlineStr">
        <is>
          <t>NSMI24060100759</t>
        </is>
      </c>
      <c r="Q880" s="53">
        <f>MID(P880,5,2)</f>
        <v/>
      </c>
      <c r="R880" s="53">
        <f>MID(P880,7,2)</f>
        <v/>
      </c>
      <c r="S880" s="3" t="inlineStr">
        <is>
          <t>G2G</t>
        </is>
      </c>
      <c r="T880" s="3" t="inlineStr">
        <is>
          <t>P4</t>
        </is>
      </c>
      <c r="U880" s="3" t="inlineStr">
        <is>
          <t>N JB Cold Soldering</t>
        </is>
      </c>
      <c r="V880" s="3" t="inlineStr">
        <is>
          <t>Soldering</t>
        </is>
      </c>
      <c r="W880" s="3" t="inlineStr">
        <is>
          <t>Repair</t>
        </is>
      </c>
      <c r="X880" s="18" t="n">
        <v>46155</v>
      </c>
      <c r="Y880" s="73">
        <f>IF(X880="","",X880-A880)</f>
        <v/>
      </c>
      <c r="Z880" s="18" t="n">
        <v>46155</v>
      </c>
      <c r="AA880" s="15" t="n"/>
      <c r="AB880" s="15" t="n"/>
      <c r="AF880">
        <f>IF(AND($F880="Closed",$X880&gt;=DATE(2026,5,1),$X880&lt;=DATE(2026,5,31)),"Closed in May","Other")</f>
        <v/>
      </c>
    </row>
    <row r="881">
      <c r="A881" s="6" t="n">
        <v>46107</v>
      </c>
      <c r="B881" s="3" t="n">
        <v>2026</v>
      </c>
      <c r="C881" s="3" t="inlineStr">
        <is>
          <t>Blupine Energy</t>
        </is>
      </c>
      <c r="D881" s="3" t="inlineStr">
        <is>
          <t>Utility and C&amp;I</t>
        </is>
      </c>
      <c r="E881" s="3" t="n"/>
      <c r="F881" s="3" t="inlineStr">
        <is>
          <t>Closed</t>
        </is>
      </c>
      <c r="G881" s="3" t="inlineStr">
        <is>
          <t>Chandrashekar Patidar</t>
        </is>
      </c>
      <c r="H881" s="3" t="n">
        <v>7879764773</v>
      </c>
      <c r="I881" s="11" t="inlineStr">
        <is>
          <t>PE26032601</t>
        </is>
      </c>
      <c r="J881" s="3" t="inlineStr">
        <is>
          <t>Module Diode Failure</t>
        </is>
      </c>
      <c r="K881" s="3" t="inlineStr">
        <is>
          <t>Sadla</t>
        </is>
      </c>
      <c r="L881" s="3" t="inlineStr">
        <is>
          <t>Gujarat</t>
        </is>
      </c>
      <c r="M881" s="9" t="inlineStr">
        <is>
          <t>NS</t>
        </is>
      </c>
      <c r="N881" s="3" t="inlineStr">
        <is>
          <t>Cold Soldering</t>
        </is>
      </c>
      <c r="O881" s="3" t="n">
        <v>570</v>
      </c>
      <c r="P881" s="9" t="inlineStr">
        <is>
          <t>NSMI24060120727</t>
        </is>
      </c>
      <c r="Q881" s="53">
        <f>MID(P881,5,2)</f>
        <v/>
      </c>
      <c r="R881" s="53">
        <f>MID(P881,7,2)</f>
        <v/>
      </c>
      <c r="S881" s="3" t="inlineStr">
        <is>
          <t>G2G</t>
        </is>
      </c>
      <c r="T881" s="3" t="inlineStr">
        <is>
          <t>P4</t>
        </is>
      </c>
      <c r="U881" s="3" t="inlineStr">
        <is>
          <t>N JB Cold Soldering</t>
        </is>
      </c>
      <c r="V881" s="3" t="inlineStr">
        <is>
          <t>Soldering</t>
        </is>
      </c>
      <c r="W881" s="3" t="inlineStr">
        <is>
          <t>Repair</t>
        </is>
      </c>
      <c r="X881" s="18" t="n">
        <v>46155</v>
      </c>
      <c r="Y881" s="73">
        <f>IF(X881="","",X881-A881)</f>
        <v/>
      </c>
      <c r="Z881" s="18" t="n">
        <v>46155</v>
      </c>
      <c r="AA881" s="15" t="n"/>
      <c r="AB881" s="15" t="n"/>
      <c r="AF881">
        <f>IF(AND($F881="Closed",$X881&gt;=DATE(2026,5,1),$X881&lt;=DATE(2026,5,31)),"Closed in May","Other")</f>
        <v/>
      </c>
    </row>
    <row r="882">
      <c r="A882" s="6" t="n">
        <v>46107</v>
      </c>
      <c r="B882" s="3" t="n">
        <v>2026</v>
      </c>
      <c r="C882" s="3" t="inlineStr">
        <is>
          <t>Blupine Energy</t>
        </is>
      </c>
      <c r="D882" s="3" t="inlineStr">
        <is>
          <t>Utility and C&amp;I</t>
        </is>
      </c>
      <c r="E882" s="3" t="n"/>
      <c r="F882" s="3" t="inlineStr">
        <is>
          <t>Closed</t>
        </is>
      </c>
      <c r="G882" s="3" t="inlineStr">
        <is>
          <t>Chandrashekar Patidar</t>
        </is>
      </c>
      <c r="H882" s="3" t="n">
        <v>7879764773</v>
      </c>
      <c r="I882" s="11" t="inlineStr">
        <is>
          <t>PE26032601</t>
        </is>
      </c>
      <c r="J882" s="3" t="inlineStr">
        <is>
          <t>Module Diode Failure</t>
        </is>
      </c>
      <c r="K882" s="3" t="inlineStr">
        <is>
          <t>Sadla</t>
        </is>
      </c>
      <c r="L882" s="3" t="inlineStr">
        <is>
          <t>Gujarat</t>
        </is>
      </c>
      <c r="M882" s="9" t="inlineStr">
        <is>
          <t>NS</t>
        </is>
      </c>
      <c r="N882" s="3" t="inlineStr">
        <is>
          <t>Cold Soldering</t>
        </is>
      </c>
      <c r="O882" s="3" t="n">
        <v>570</v>
      </c>
      <c r="P882" s="9" t="inlineStr">
        <is>
          <t>NSMI24060082227</t>
        </is>
      </c>
      <c r="Q882" s="53">
        <f>MID(P882,5,2)</f>
        <v/>
      </c>
      <c r="R882" s="53">
        <f>MID(P882,7,2)</f>
        <v/>
      </c>
      <c r="S882" s="3" t="inlineStr">
        <is>
          <t>G2G</t>
        </is>
      </c>
      <c r="T882" s="3" t="inlineStr">
        <is>
          <t>P4</t>
        </is>
      </c>
      <c r="U882" s="3" t="inlineStr">
        <is>
          <t>N JB Cold Soldering</t>
        </is>
      </c>
      <c r="V882" s="3" t="inlineStr">
        <is>
          <t>Soldering</t>
        </is>
      </c>
      <c r="W882" s="3" t="inlineStr">
        <is>
          <t>Repair</t>
        </is>
      </c>
      <c r="X882" s="18" t="n">
        <v>46155</v>
      </c>
      <c r="Y882" s="73">
        <f>IF(X882="","",X882-A882)</f>
        <v/>
      </c>
      <c r="Z882" s="18" t="n">
        <v>46155</v>
      </c>
      <c r="AA882" s="15" t="n"/>
      <c r="AB882" s="15" t="n"/>
      <c r="AF882">
        <f>IF(AND($F882="Closed",$X882&gt;=DATE(2026,5,1),$X882&lt;=DATE(2026,5,31)),"Closed in May","Other")</f>
        <v/>
      </c>
    </row>
    <row r="883">
      <c r="A883" s="6" t="n">
        <v>46107</v>
      </c>
      <c r="B883" s="3" t="n">
        <v>2026</v>
      </c>
      <c r="C883" s="3" t="inlineStr">
        <is>
          <t>Blupine Energy</t>
        </is>
      </c>
      <c r="D883" s="3" t="inlineStr">
        <is>
          <t>Utility and C&amp;I</t>
        </is>
      </c>
      <c r="E883" s="3" t="n"/>
      <c r="F883" s="3" t="inlineStr">
        <is>
          <t>Closed</t>
        </is>
      </c>
      <c r="G883" s="3" t="inlineStr">
        <is>
          <t>Chandrashekar Patidar</t>
        </is>
      </c>
      <c r="H883" s="3" t="n">
        <v>7879764773</v>
      </c>
      <c r="I883" s="11" t="inlineStr">
        <is>
          <t>PE26032601</t>
        </is>
      </c>
      <c r="J883" s="3" t="inlineStr">
        <is>
          <t>Module Diode Failure</t>
        </is>
      </c>
      <c r="K883" s="3" t="inlineStr">
        <is>
          <t>Sadla</t>
        </is>
      </c>
      <c r="L883" s="3" t="inlineStr">
        <is>
          <t>Gujarat</t>
        </is>
      </c>
      <c r="M883" s="9" t="inlineStr">
        <is>
          <t>PNS</t>
        </is>
      </c>
      <c r="N883" s="3" t="inlineStr">
        <is>
          <t>Cold Soldering</t>
        </is>
      </c>
      <c r="O883" s="3" t="n">
        <v>570</v>
      </c>
      <c r="P883" s="9" t="inlineStr">
        <is>
          <t>NSMI24060091934</t>
        </is>
      </c>
      <c r="Q883" s="53">
        <f>MID(P883,5,2)</f>
        <v/>
      </c>
      <c r="R883" s="53">
        <f>MID(P883,7,2)</f>
        <v/>
      </c>
      <c r="S883" s="3" t="inlineStr">
        <is>
          <t>G2G</t>
        </is>
      </c>
      <c r="T883" s="3" t="inlineStr">
        <is>
          <t>P4</t>
        </is>
      </c>
      <c r="U883" s="3" t="inlineStr">
        <is>
          <t>P &amp; N JB Cold Soldering</t>
        </is>
      </c>
      <c r="V883" s="3" t="inlineStr">
        <is>
          <t>Soldering</t>
        </is>
      </c>
      <c r="W883" s="3" t="inlineStr">
        <is>
          <t>Repair</t>
        </is>
      </c>
      <c r="X883" s="18" t="n">
        <v>46155</v>
      </c>
      <c r="Y883" s="73">
        <f>IF(X883="","",X883-A883)</f>
        <v/>
      </c>
      <c r="Z883" s="18" t="n">
        <v>46155</v>
      </c>
      <c r="AA883" s="15" t="n"/>
      <c r="AB883" s="15" t="n"/>
      <c r="AF883">
        <f>IF(AND($F883="Closed",$X883&gt;=DATE(2026,5,1),$X883&lt;=DATE(2026,5,31)),"Closed in May","Other")</f>
        <v/>
      </c>
    </row>
    <row r="884">
      <c r="A884" s="6" t="n">
        <v>46107</v>
      </c>
      <c r="B884" s="3" t="n">
        <v>2026</v>
      </c>
      <c r="C884" s="3" t="inlineStr">
        <is>
          <t>Blupine Energy</t>
        </is>
      </c>
      <c r="D884" s="3" t="inlineStr">
        <is>
          <t>Utility and C&amp;I</t>
        </is>
      </c>
      <c r="E884" s="3" t="n"/>
      <c r="F884" s="3" t="inlineStr">
        <is>
          <t>Closed</t>
        </is>
      </c>
      <c r="G884" s="3" t="inlineStr">
        <is>
          <t>Chandrashekar Patidar</t>
        </is>
      </c>
      <c r="H884" s="3" t="n">
        <v>7879764773</v>
      </c>
      <c r="I884" s="11" t="inlineStr">
        <is>
          <t>PE26032601</t>
        </is>
      </c>
      <c r="J884" s="3" t="inlineStr">
        <is>
          <t>Module Diode Failure</t>
        </is>
      </c>
      <c r="K884" s="3" t="inlineStr">
        <is>
          <t>Sadla</t>
        </is>
      </c>
      <c r="L884" s="3" t="inlineStr">
        <is>
          <t>Gujarat</t>
        </is>
      </c>
      <c r="M884" s="9" t="inlineStr">
        <is>
          <t>PS</t>
        </is>
      </c>
      <c r="N884" s="3" t="inlineStr">
        <is>
          <t>Cold Soldering</t>
        </is>
      </c>
      <c r="O884" s="3" t="n">
        <v>570</v>
      </c>
      <c r="P884" s="9" t="inlineStr">
        <is>
          <t>NSMI24060095563</t>
        </is>
      </c>
      <c r="Q884" s="53">
        <f>MID(P884,5,2)</f>
        <v/>
      </c>
      <c r="R884" s="53">
        <f>MID(P884,7,2)</f>
        <v/>
      </c>
      <c r="S884" s="3" t="inlineStr">
        <is>
          <t>G2G</t>
        </is>
      </c>
      <c r="T884" s="3" t="inlineStr">
        <is>
          <t>P4</t>
        </is>
      </c>
      <c r="U884" s="3" t="inlineStr">
        <is>
          <t>P JB Cold Soldering</t>
        </is>
      </c>
      <c r="V884" s="3" t="inlineStr">
        <is>
          <t>Soldering</t>
        </is>
      </c>
      <c r="W884" s="3" t="inlineStr">
        <is>
          <t>Repair</t>
        </is>
      </c>
      <c r="X884" s="18" t="n">
        <v>46155</v>
      </c>
      <c r="Y884" s="73">
        <f>IF(X884="","",X884-A884)</f>
        <v/>
      </c>
      <c r="Z884" s="18" t="n">
        <v>46155</v>
      </c>
      <c r="AA884" s="15" t="n"/>
      <c r="AB884" s="15" t="n"/>
      <c r="AF884">
        <f>IF(AND($F884="Closed",$X884&gt;=DATE(2026,5,1),$X884&lt;=DATE(2026,5,31)),"Closed in May","Other")</f>
        <v/>
      </c>
    </row>
    <row r="885">
      <c r="A885" s="6" t="n">
        <v>46107</v>
      </c>
      <c r="B885" s="3" t="n">
        <v>2026</v>
      </c>
      <c r="C885" s="3" t="inlineStr">
        <is>
          <t>Blupine Energy</t>
        </is>
      </c>
      <c r="D885" s="3" t="inlineStr">
        <is>
          <t>Utility and C&amp;I</t>
        </is>
      </c>
      <c r="E885" s="3" t="n"/>
      <c r="F885" s="3" t="inlineStr">
        <is>
          <t>Closed</t>
        </is>
      </c>
      <c r="G885" s="3" t="inlineStr">
        <is>
          <t>Chandrashekar Patidar</t>
        </is>
      </c>
      <c r="H885" s="3" t="n">
        <v>7879764773</v>
      </c>
      <c r="I885" s="11" t="inlineStr">
        <is>
          <t>PE26032601</t>
        </is>
      </c>
      <c r="J885" s="3" t="inlineStr">
        <is>
          <t>Module Diode Failure</t>
        </is>
      </c>
      <c r="K885" s="3" t="inlineStr">
        <is>
          <t>Sadla</t>
        </is>
      </c>
      <c r="L885" s="3" t="inlineStr">
        <is>
          <t>Gujarat</t>
        </is>
      </c>
      <c r="M885" s="9" t="inlineStr">
        <is>
          <t>NS</t>
        </is>
      </c>
      <c r="N885" s="3" t="inlineStr">
        <is>
          <t>Cold Soldering</t>
        </is>
      </c>
      <c r="O885" s="3" t="n">
        <v>570</v>
      </c>
      <c r="P885" s="9" t="inlineStr">
        <is>
          <t>NSMI24060114834</t>
        </is>
      </c>
      <c r="Q885" s="53">
        <f>MID(P885,5,2)</f>
        <v/>
      </c>
      <c r="R885" s="53">
        <f>MID(P885,7,2)</f>
        <v/>
      </c>
      <c r="S885" s="3" t="inlineStr">
        <is>
          <t>G2G</t>
        </is>
      </c>
      <c r="T885" s="3" t="inlineStr">
        <is>
          <t>P4</t>
        </is>
      </c>
      <c r="U885" s="3" t="inlineStr">
        <is>
          <t>N JB Cold Soldering</t>
        </is>
      </c>
      <c r="V885" s="3" t="inlineStr">
        <is>
          <t>Soldering</t>
        </is>
      </c>
      <c r="W885" s="3" t="inlineStr">
        <is>
          <t>Repair</t>
        </is>
      </c>
      <c r="X885" s="18" t="n">
        <v>46155</v>
      </c>
      <c r="Y885" s="73">
        <f>IF(X885="","",X885-A885)</f>
        <v/>
      </c>
      <c r="Z885" s="18" t="n">
        <v>46155</v>
      </c>
      <c r="AA885" s="15" t="n"/>
      <c r="AB885" s="15" t="n"/>
      <c r="AF885">
        <f>IF(AND($F885="Closed",$X885&gt;=DATE(2026,5,1),$X885&lt;=DATE(2026,5,31)),"Closed in May","Other")</f>
        <v/>
      </c>
    </row>
    <row r="886">
      <c r="A886" s="6" t="n">
        <v>46107</v>
      </c>
      <c r="B886" s="3" t="n">
        <v>2026</v>
      </c>
      <c r="C886" s="3" t="inlineStr">
        <is>
          <t>Blupine Energy</t>
        </is>
      </c>
      <c r="D886" s="3" t="inlineStr">
        <is>
          <t>Utility and C&amp;I</t>
        </is>
      </c>
      <c r="E886" s="3" t="n"/>
      <c r="F886" s="3" t="inlineStr">
        <is>
          <t>Closed</t>
        </is>
      </c>
      <c r="G886" s="3" t="inlineStr">
        <is>
          <t>Chandrashekar Patidar</t>
        </is>
      </c>
      <c r="H886" s="3" t="n">
        <v>7879764773</v>
      </c>
      <c r="I886" s="11" t="inlineStr">
        <is>
          <t>PE26032601</t>
        </is>
      </c>
      <c r="J886" s="3" t="inlineStr">
        <is>
          <t>Module Diode Failure</t>
        </is>
      </c>
      <c r="K886" s="3" t="inlineStr">
        <is>
          <t>Sadla</t>
        </is>
      </c>
      <c r="L886" s="3" t="inlineStr">
        <is>
          <t>Gujarat</t>
        </is>
      </c>
      <c r="M886" s="9" t="inlineStr">
        <is>
          <t>PS</t>
        </is>
      </c>
      <c r="N886" s="3" t="inlineStr">
        <is>
          <t>Cold Soldering</t>
        </is>
      </c>
      <c r="O886" s="3" t="n">
        <v>570</v>
      </c>
      <c r="P886" s="9" t="inlineStr">
        <is>
          <t>NSMI24060077497</t>
        </is>
      </c>
      <c r="Q886" s="53">
        <f>MID(P886,5,2)</f>
        <v/>
      </c>
      <c r="R886" s="53">
        <f>MID(P886,7,2)</f>
        <v/>
      </c>
      <c r="S886" s="3" t="inlineStr">
        <is>
          <t>G2G</t>
        </is>
      </c>
      <c r="T886" s="3" t="inlineStr">
        <is>
          <t>P4</t>
        </is>
      </c>
      <c r="U886" s="3" t="inlineStr">
        <is>
          <t>P JB Cold Soldering</t>
        </is>
      </c>
      <c r="V886" s="3" t="inlineStr">
        <is>
          <t>Soldering</t>
        </is>
      </c>
      <c r="W886" s="3" t="inlineStr">
        <is>
          <t>Repair</t>
        </is>
      </c>
      <c r="X886" s="18" t="n">
        <v>46155</v>
      </c>
      <c r="Y886" s="73">
        <f>IF(X886="","",X886-A886)</f>
        <v/>
      </c>
      <c r="Z886" s="18" t="n">
        <v>46155</v>
      </c>
      <c r="AA886" s="15" t="n"/>
      <c r="AB886" s="15" t="n"/>
      <c r="AF886">
        <f>IF(AND($F886="Closed",$X886&gt;=DATE(2026,5,1),$X886&lt;=DATE(2026,5,31)),"Closed in May","Other")</f>
        <v/>
      </c>
    </row>
    <row r="887">
      <c r="A887" s="6" t="n">
        <v>46107</v>
      </c>
      <c r="B887" s="3" t="n">
        <v>2026</v>
      </c>
      <c r="C887" s="3" t="inlineStr">
        <is>
          <t>Blupine Energy</t>
        </is>
      </c>
      <c r="D887" s="3" t="inlineStr">
        <is>
          <t>Utility and C&amp;I</t>
        </is>
      </c>
      <c r="E887" s="3" t="n"/>
      <c r="F887" s="3" t="inlineStr">
        <is>
          <t>Closed</t>
        </is>
      </c>
      <c r="G887" s="3" t="inlineStr">
        <is>
          <t>Chandrashekar Patidar</t>
        </is>
      </c>
      <c r="H887" s="3" t="n">
        <v>7879764773</v>
      </c>
      <c r="I887" s="11" t="inlineStr">
        <is>
          <t>PE26032601</t>
        </is>
      </c>
      <c r="J887" s="3" t="inlineStr">
        <is>
          <t>Module Diode Failure</t>
        </is>
      </c>
      <c r="K887" s="3" t="inlineStr">
        <is>
          <t>Sadla</t>
        </is>
      </c>
      <c r="L887" s="3" t="inlineStr">
        <is>
          <t>Gujarat</t>
        </is>
      </c>
      <c r="M887" s="9" t="inlineStr">
        <is>
          <t>PS</t>
        </is>
      </c>
      <c r="N887" s="3" t="inlineStr">
        <is>
          <t>Cold Soldering</t>
        </is>
      </c>
      <c r="O887" s="3" t="n">
        <v>570</v>
      </c>
      <c r="P887" s="9" t="inlineStr">
        <is>
          <t>NSMI24060076817</t>
        </is>
      </c>
      <c r="Q887" s="53">
        <f>MID(P887,5,2)</f>
        <v/>
      </c>
      <c r="R887" s="53">
        <f>MID(P887,7,2)</f>
        <v/>
      </c>
      <c r="S887" s="3" t="inlineStr">
        <is>
          <t>G2G</t>
        </is>
      </c>
      <c r="T887" s="3" t="inlineStr">
        <is>
          <t>P4</t>
        </is>
      </c>
      <c r="U887" s="3" t="inlineStr">
        <is>
          <t>P JB Cold Soldering &amp; Glass Breakage</t>
        </is>
      </c>
      <c r="V887" s="3" t="inlineStr">
        <is>
          <t>Soldering</t>
        </is>
      </c>
      <c r="W887" s="3" t="inlineStr">
        <is>
          <t>Repair</t>
        </is>
      </c>
      <c r="X887" s="18" t="n">
        <v>46155</v>
      </c>
      <c r="Y887" s="73">
        <f>IF(X887="","",X887-A887)</f>
        <v/>
      </c>
      <c r="Z887" s="18" t="n">
        <v>46155</v>
      </c>
      <c r="AA887" s="15" t="n"/>
      <c r="AB887" s="15" t="n"/>
      <c r="AF887">
        <f>IF(AND($F887="Closed",$X887&gt;=DATE(2026,5,1),$X887&lt;=DATE(2026,5,31)),"Closed in May","Other")</f>
        <v/>
      </c>
    </row>
    <row r="888">
      <c r="A888" s="37" t="n">
        <v>46143</v>
      </c>
      <c r="B888" s="3" t="n">
        <v>2026</v>
      </c>
      <c r="C888" s="26" t="inlineStr">
        <is>
          <t>Yanara Power</t>
        </is>
      </c>
      <c r="D888" s="3" t="inlineStr">
        <is>
          <t>Utility and C&amp;I</t>
        </is>
      </c>
      <c r="E888" s="3" t="n"/>
      <c r="F888" s="3" t="inlineStr">
        <is>
          <t>Closed</t>
        </is>
      </c>
      <c r="G888" s="9" t="inlineStr">
        <is>
          <t xml:space="preserve">Ashish Jindal </t>
        </is>
      </c>
      <c r="H888" s="26" t="n">
        <v>9983975581</v>
      </c>
      <c r="I888" s="38" t="inlineStr">
        <is>
          <t>PE01052601</t>
        </is>
      </c>
      <c r="J888" s="26" t="inlineStr">
        <is>
          <t>Multiple Issues</t>
        </is>
      </c>
      <c r="K888" s="39" t="inlineStr">
        <is>
          <t>Holi</t>
        </is>
      </c>
      <c r="L888" s="39" t="inlineStr">
        <is>
          <t>Maharashtra</t>
        </is>
      </c>
      <c r="M888" s="9" t="inlineStr">
        <is>
          <t>PR</t>
        </is>
      </c>
      <c r="N888" s="3" t="inlineStr">
        <is>
          <t>JB Issue</t>
        </is>
      </c>
      <c r="O888" s="39" t="n">
        <v>575</v>
      </c>
      <c r="P888" s="9" t="inlineStr">
        <is>
          <t>NSMI24070194517</t>
        </is>
      </c>
      <c r="Q888" s="53">
        <f>MID(P888,5,2)</f>
        <v/>
      </c>
      <c r="R888" s="53">
        <f>MID(P888,7,2)</f>
        <v/>
      </c>
      <c r="S888" s="3" t="inlineStr">
        <is>
          <t>G2TB</t>
        </is>
      </c>
      <c r="T888" s="3" t="inlineStr">
        <is>
          <t>P4</t>
        </is>
      </c>
      <c r="U888" s="3" t="inlineStr">
        <is>
          <t>P JB Issue</t>
        </is>
      </c>
      <c r="V888" s="15" t="inlineStr">
        <is>
          <t>JB Changed</t>
        </is>
      </c>
      <c r="W888" s="3" t="inlineStr">
        <is>
          <t>Repair</t>
        </is>
      </c>
      <c r="X888" s="18" t="n">
        <v>46155</v>
      </c>
      <c r="Y888" s="73">
        <f>IF(X888="","",X888-A888)</f>
        <v/>
      </c>
      <c r="Z888" s="18" t="n">
        <v>46155</v>
      </c>
      <c r="AA888" s="15" t="n"/>
      <c r="AB888" s="15" t="n"/>
      <c r="AF888">
        <f>IF(AND($F888="Closed",$X888&gt;=DATE(2026,5,1),$X888&lt;=DATE(2026,5,31)),"Closed in May","Other")</f>
        <v/>
      </c>
    </row>
    <row r="889">
      <c r="A889" s="37" t="n">
        <v>46143</v>
      </c>
      <c r="B889" s="3" t="n">
        <v>2026</v>
      </c>
      <c r="C889" s="26" t="inlineStr">
        <is>
          <t>Yanara Power</t>
        </is>
      </c>
      <c r="D889" s="3" t="inlineStr">
        <is>
          <t>Utility and C&amp;I</t>
        </is>
      </c>
      <c r="E889" s="3" t="n"/>
      <c r="F889" s="3" t="inlineStr">
        <is>
          <t>Closed</t>
        </is>
      </c>
      <c r="G889" s="9" t="inlineStr">
        <is>
          <t xml:space="preserve">Ashish Jindal </t>
        </is>
      </c>
      <c r="H889" s="26" t="n">
        <v>9983975581</v>
      </c>
      <c r="I889" s="38" t="inlineStr">
        <is>
          <t>PE01052601</t>
        </is>
      </c>
      <c r="J889" s="26" t="inlineStr">
        <is>
          <t>Multiple Issues</t>
        </is>
      </c>
      <c r="K889" s="39" t="inlineStr">
        <is>
          <t>Holi</t>
        </is>
      </c>
      <c r="L889" s="39" t="inlineStr">
        <is>
          <t>Maharashtra</t>
        </is>
      </c>
      <c r="M889" s="9" t="inlineStr">
        <is>
          <t>PS</t>
        </is>
      </c>
      <c r="N889" s="3" t="inlineStr">
        <is>
          <t>Cold Soldering</t>
        </is>
      </c>
      <c r="O889" s="39" t="n">
        <v>575</v>
      </c>
      <c r="P889" s="9" t="inlineStr">
        <is>
          <t>NSMI24070198902</t>
        </is>
      </c>
      <c r="Q889" s="53">
        <f>MID(P889,5,2)</f>
        <v/>
      </c>
      <c r="R889" s="53">
        <f>MID(P889,7,2)</f>
        <v/>
      </c>
      <c r="S889" s="3" t="inlineStr">
        <is>
          <t>G2G</t>
        </is>
      </c>
      <c r="T889" s="3" t="inlineStr">
        <is>
          <t>P4</t>
        </is>
      </c>
      <c r="U889" s="3" t="inlineStr">
        <is>
          <t>P JB Cold Soldering</t>
        </is>
      </c>
      <c r="V889" s="3" t="inlineStr">
        <is>
          <t>Soldering</t>
        </is>
      </c>
      <c r="W889" s="3" t="inlineStr">
        <is>
          <t>Repair</t>
        </is>
      </c>
      <c r="X889" s="18" t="n">
        <v>46155</v>
      </c>
      <c r="Y889" s="73">
        <f>IF(X889="","",X889-A889)</f>
        <v/>
      </c>
      <c r="Z889" s="18" t="n">
        <v>46155</v>
      </c>
      <c r="AA889" s="15" t="n"/>
      <c r="AB889" s="15" t="n"/>
      <c r="AF889">
        <f>IF(AND($F889="Closed",$X889&gt;=DATE(2026,5,1),$X889&lt;=DATE(2026,5,31)),"Closed in May","Other")</f>
        <v/>
      </c>
    </row>
    <row r="890">
      <c r="A890" s="37" t="n">
        <v>46143</v>
      </c>
      <c r="B890" s="3" t="n">
        <v>2026</v>
      </c>
      <c r="C890" s="26" t="inlineStr">
        <is>
          <t>Yanara Power</t>
        </is>
      </c>
      <c r="D890" s="3" t="inlineStr">
        <is>
          <t>Utility and C&amp;I</t>
        </is>
      </c>
      <c r="E890" s="3" t="n"/>
      <c r="F890" s="3" t="inlineStr">
        <is>
          <t>Closed</t>
        </is>
      </c>
      <c r="G890" s="9" t="inlineStr">
        <is>
          <t xml:space="preserve">Ashish Jindal </t>
        </is>
      </c>
      <c r="H890" s="26" t="n">
        <v>9983975581</v>
      </c>
      <c r="I890" s="38" t="inlineStr">
        <is>
          <t>PE01052601</t>
        </is>
      </c>
      <c r="J890" s="26" t="inlineStr">
        <is>
          <t>Multiple Issues</t>
        </is>
      </c>
      <c r="K890" s="39" t="inlineStr">
        <is>
          <t>Holi</t>
        </is>
      </c>
      <c r="L890" s="39" t="inlineStr">
        <is>
          <t>Maharashtra</t>
        </is>
      </c>
      <c r="M890" s="9" t="inlineStr">
        <is>
          <t>PS</t>
        </is>
      </c>
      <c r="N890" s="3" t="inlineStr">
        <is>
          <t>Cold Soldering</t>
        </is>
      </c>
      <c r="O890" s="39" t="n">
        <v>575</v>
      </c>
      <c r="P890" s="9" t="inlineStr">
        <is>
          <t>NSMI24070183172</t>
        </is>
      </c>
      <c r="Q890" s="53">
        <f>MID(P890,5,2)</f>
        <v/>
      </c>
      <c r="R890" s="53">
        <f>MID(P890,7,2)</f>
        <v/>
      </c>
      <c r="S890" s="3" t="inlineStr">
        <is>
          <t>G2G</t>
        </is>
      </c>
      <c r="T890" s="3" t="inlineStr">
        <is>
          <t>P4</t>
        </is>
      </c>
      <c r="U890" s="3" t="inlineStr">
        <is>
          <t>P JB Cold Soldering</t>
        </is>
      </c>
      <c r="V890" s="3" t="inlineStr">
        <is>
          <t>Soldering</t>
        </is>
      </c>
      <c r="W890" s="3" t="inlineStr">
        <is>
          <t>Repair</t>
        </is>
      </c>
      <c r="X890" s="18" t="n">
        <v>46155</v>
      </c>
      <c r="Y890" s="73">
        <f>IF(X890="","",X890-A890)</f>
        <v/>
      </c>
      <c r="Z890" s="18" t="n">
        <v>46155</v>
      </c>
      <c r="AA890" s="15" t="n"/>
      <c r="AB890" s="15" t="n"/>
      <c r="AF890">
        <f>IF(AND($F890="Closed",$X890&gt;=DATE(2026,5,1),$X890&lt;=DATE(2026,5,31)),"Closed in May","Other")</f>
        <v/>
      </c>
    </row>
    <row r="891">
      <c r="A891" s="37" t="n">
        <v>46143</v>
      </c>
      <c r="B891" s="3" t="n">
        <v>2026</v>
      </c>
      <c r="C891" s="26" t="inlineStr">
        <is>
          <t>Yanara Power</t>
        </is>
      </c>
      <c r="D891" s="3" t="inlineStr">
        <is>
          <t>Utility and C&amp;I</t>
        </is>
      </c>
      <c r="E891" s="3" t="n"/>
      <c r="F891" s="3" t="inlineStr">
        <is>
          <t>Closed</t>
        </is>
      </c>
      <c r="G891" s="9" t="inlineStr">
        <is>
          <t xml:space="preserve">Ashish Jindal </t>
        </is>
      </c>
      <c r="H891" s="26" t="n">
        <v>9983975581</v>
      </c>
      <c r="I891" s="38" t="inlineStr">
        <is>
          <t>PE01052601</t>
        </is>
      </c>
      <c r="J891" s="26" t="inlineStr">
        <is>
          <t>Multiple Issues</t>
        </is>
      </c>
      <c r="K891" s="39" t="inlineStr">
        <is>
          <t>Holi</t>
        </is>
      </c>
      <c r="L891" s="39" t="inlineStr">
        <is>
          <t>Maharashtra</t>
        </is>
      </c>
      <c r="M891" s="9" t="inlineStr">
        <is>
          <t>NS</t>
        </is>
      </c>
      <c r="N891" s="3" t="inlineStr">
        <is>
          <t>Cold Soldering</t>
        </is>
      </c>
      <c r="O891" s="39" t="n">
        <v>575</v>
      </c>
      <c r="P891" s="9" t="inlineStr">
        <is>
          <t>NSMI24070183105</t>
        </is>
      </c>
      <c r="Q891" s="53">
        <f>MID(P891,5,2)</f>
        <v/>
      </c>
      <c r="R891" s="53">
        <f>MID(P891,7,2)</f>
        <v/>
      </c>
      <c r="S891" s="3" t="inlineStr">
        <is>
          <t>G2TB</t>
        </is>
      </c>
      <c r="T891" s="3" t="inlineStr">
        <is>
          <t>P4</t>
        </is>
      </c>
      <c r="U891" s="3" t="inlineStr">
        <is>
          <t>N JB Cold Soldering</t>
        </is>
      </c>
      <c r="V891" s="3" t="inlineStr">
        <is>
          <t>Soldering</t>
        </is>
      </c>
      <c r="W891" s="3" t="inlineStr">
        <is>
          <t>Repair</t>
        </is>
      </c>
      <c r="X891" s="18" t="n">
        <v>46155</v>
      </c>
      <c r="Y891" s="73">
        <f>IF(X891="","",X891-A891)</f>
        <v/>
      </c>
      <c r="Z891" s="18" t="n">
        <v>46155</v>
      </c>
      <c r="AA891" s="15" t="n"/>
      <c r="AB891" s="15" t="n"/>
      <c r="AF891">
        <f>IF(AND($F891="Closed",$X891&gt;=DATE(2026,5,1),$X891&lt;=DATE(2026,5,31)),"Closed in May","Other")</f>
        <v/>
      </c>
    </row>
    <row r="892">
      <c r="A892" s="37" t="n">
        <v>46143</v>
      </c>
      <c r="B892" s="3" t="n">
        <v>2026</v>
      </c>
      <c r="C892" s="26" t="inlineStr">
        <is>
          <t>Yanara Power</t>
        </is>
      </c>
      <c r="D892" s="3" t="inlineStr">
        <is>
          <t>Utility and C&amp;I</t>
        </is>
      </c>
      <c r="E892" s="3" t="n"/>
      <c r="F892" s="3" t="inlineStr">
        <is>
          <t>Closed</t>
        </is>
      </c>
      <c r="G892" s="9" t="inlineStr">
        <is>
          <t xml:space="preserve">Ashish Jindal </t>
        </is>
      </c>
      <c r="H892" s="26" t="n">
        <v>9983975581</v>
      </c>
      <c r="I892" s="38" t="inlineStr">
        <is>
          <t>PE01052601</t>
        </is>
      </c>
      <c r="J892" s="26" t="inlineStr">
        <is>
          <t>Multiple Issues</t>
        </is>
      </c>
      <c r="K892" s="39" t="inlineStr">
        <is>
          <t>Holi</t>
        </is>
      </c>
      <c r="L892" s="39" t="inlineStr">
        <is>
          <t>Maharashtra</t>
        </is>
      </c>
      <c r="M892" s="9" t="inlineStr">
        <is>
          <t>PS</t>
        </is>
      </c>
      <c r="N892" s="3" t="inlineStr">
        <is>
          <t>Cold Soldering</t>
        </is>
      </c>
      <c r="O892" s="39" t="n">
        <v>575</v>
      </c>
      <c r="P892" s="9" t="inlineStr">
        <is>
          <t>NSMI24070183189</t>
        </is>
      </c>
      <c r="Q892" s="53">
        <f>MID(P892,5,2)</f>
        <v/>
      </c>
      <c r="R892" s="53">
        <f>MID(P892,7,2)</f>
        <v/>
      </c>
      <c r="S892" s="3" t="inlineStr">
        <is>
          <t>G2G</t>
        </is>
      </c>
      <c r="T892" s="3" t="inlineStr">
        <is>
          <t>P4</t>
        </is>
      </c>
      <c r="U892" s="3" t="inlineStr">
        <is>
          <t>P JB Cold Soldering</t>
        </is>
      </c>
      <c r="V892" s="3" t="inlineStr">
        <is>
          <t>Soldering</t>
        </is>
      </c>
      <c r="W892" s="3" t="inlineStr">
        <is>
          <t>Repair</t>
        </is>
      </c>
      <c r="X892" s="18" t="n">
        <v>46155</v>
      </c>
      <c r="Y892" s="73">
        <f>IF(X892="","",X892-A892)</f>
        <v/>
      </c>
      <c r="Z892" s="18" t="n">
        <v>46155</v>
      </c>
      <c r="AA892" s="15" t="n"/>
      <c r="AB892" s="15" t="n"/>
      <c r="AF892">
        <f>IF(AND($F892="Closed",$X892&gt;=DATE(2026,5,1),$X892&lt;=DATE(2026,5,31)),"Closed in May","Other")</f>
        <v/>
      </c>
    </row>
    <row r="893">
      <c r="A893" s="37" t="n">
        <v>46143</v>
      </c>
      <c r="B893" s="3" t="n">
        <v>2026</v>
      </c>
      <c r="C893" s="26" t="inlineStr">
        <is>
          <t>Yanara Power</t>
        </is>
      </c>
      <c r="D893" s="3" t="inlineStr">
        <is>
          <t>Utility and C&amp;I</t>
        </is>
      </c>
      <c r="E893" s="3" t="n"/>
      <c r="F893" s="3" t="inlineStr">
        <is>
          <t>Closed</t>
        </is>
      </c>
      <c r="G893" s="9" t="inlineStr">
        <is>
          <t xml:space="preserve">Ashish Jindal </t>
        </is>
      </c>
      <c r="H893" s="26" t="n">
        <v>9983975581</v>
      </c>
      <c r="I893" s="38" t="inlineStr">
        <is>
          <t>PE01052601</t>
        </is>
      </c>
      <c r="J893" s="26" t="inlineStr">
        <is>
          <t>Multiple Issues</t>
        </is>
      </c>
      <c r="K893" s="39" t="inlineStr">
        <is>
          <t>Holi</t>
        </is>
      </c>
      <c r="L893" s="39" t="inlineStr">
        <is>
          <t>Maharashtra</t>
        </is>
      </c>
      <c r="M893" s="9" t="inlineStr">
        <is>
          <t>NS</t>
        </is>
      </c>
      <c r="N893" s="3" t="inlineStr">
        <is>
          <t>Cold Soldering</t>
        </is>
      </c>
      <c r="O893" s="39" t="n">
        <v>575</v>
      </c>
      <c r="P893" s="9" t="inlineStr">
        <is>
          <t>NSMI24070183157</t>
        </is>
      </c>
      <c r="Q893" s="53">
        <f>MID(P893,5,2)</f>
        <v/>
      </c>
      <c r="R893" s="53">
        <f>MID(P893,7,2)</f>
        <v/>
      </c>
      <c r="S893" s="3" t="inlineStr">
        <is>
          <t>G2TB</t>
        </is>
      </c>
      <c r="T893" s="3" t="inlineStr">
        <is>
          <t>P4</t>
        </is>
      </c>
      <c r="U893" s="3" t="inlineStr">
        <is>
          <t>N JB Cold Soldering</t>
        </is>
      </c>
      <c r="V893" s="3" t="inlineStr">
        <is>
          <t>Soldering</t>
        </is>
      </c>
      <c r="W893" s="3" t="inlineStr">
        <is>
          <t>Repair</t>
        </is>
      </c>
      <c r="X893" s="18" t="n">
        <v>46155</v>
      </c>
      <c r="Y893" s="73">
        <f>IF(X893="","",X893-A893)</f>
        <v/>
      </c>
      <c r="Z893" s="18" t="n">
        <v>46155</v>
      </c>
      <c r="AA893" s="15" t="n"/>
      <c r="AB893" s="15" t="n"/>
      <c r="AF893">
        <f>IF(AND($F893="Closed",$X893&gt;=DATE(2026,5,1),$X893&lt;=DATE(2026,5,31)),"Closed in May","Other")</f>
        <v/>
      </c>
    </row>
    <row r="894">
      <c r="A894" s="37" t="n">
        <v>46143</v>
      </c>
      <c r="B894" s="3" t="n">
        <v>2026</v>
      </c>
      <c r="C894" s="26" t="inlineStr">
        <is>
          <t>Yanara Power</t>
        </is>
      </c>
      <c r="D894" s="3" t="inlineStr">
        <is>
          <t>Utility and C&amp;I</t>
        </is>
      </c>
      <c r="E894" s="3" t="n"/>
      <c r="F894" s="3" t="inlineStr">
        <is>
          <t>Closed</t>
        </is>
      </c>
      <c r="G894" s="9" t="inlineStr">
        <is>
          <t xml:space="preserve">Ashish Jindal </t>
        </is>
      </c>
      <c r="H894" s="26" t="n">
        <v>9983975581</v>
      </c>
      <c r="I894" s="38" t="inlineStr">
        <is>
          <t>PE01052601</t>
        </is>
      </c>
      <c r="J894" s="26" t="inlineStr">
        <is>
          <t>Multiple Issues</t>
        </is>
      </c>
      <c r="K894" s="39" t="inlineStr">
        <is>
          <t>Holi</t>
        </is>
      </c>
      <c r="L894" s="39" t="inlineStr">
        <is>
          <t>Maharashtra</t>
        </is>
      </c>
      <c r="M894" s="9" t="inlineStr">
        <is>
          <t>PNS</t>
        </is>
      </c>
      <c r="N894" s="3" t="inlineStr">
        <is>
          <t>Cold Soldering</t>
        </is>
      </c>
      <c r="O894" s="39" t="n">
        <v>575</v>
      </c>
      <c r="P894" s="9" t="inlineStr">
        <is>
          <t>NSMI24070198298</t>
        </is>
      </c>
      <c r="Q894" s="53">
        <f>MID(P894,5,2)</f>
        <v/>
      </c>
      <c r="R894" s="53">
        <f>MID(P894,7,2)</f>
        <v/>
      </c>
      <c r="S894" s="3" t="inlineStr">
        <is>
          <t>G2TB</t>
        </is>
      </c>
      <c r="T894" s="3" t="inlineStr">
        <is>
          <t>P4</t>
        </is>
      </c>
      <c r="U894" s="3" t="inlineStr">
        <is>
          <t>P &amp; N JB Cold Soldering</t>
        </is>
      </c>
      <c r="V894" s="3" t="inlineStr">
        <is>
          <t>Soldering</t>
        </is>
      </c>
      <c r="W894" s="3" t="inlineStr">
        <is>
          <t>Repair</t>
        </is>
      </c>
      <c r="X894" s="18" t="n">
        <v>46155</v>
      </c>
      <c r="Y894" s="73">
        <f>IF(X894="","",X894-A894)</f>
        <v/>
      </c>
      <c r="Z894" s="18" t="n">
        <v>46155</v>
      </c>
      <c r="AA894" s="15" t="n"/>
      <c r="AB894" s="15" t="n"/>
      <c r="AF894">
        <f>IF(AND($F894="Closed",$X894&gt;=DATE(2026,5,1),$X894&lt;=DATE(2026,5,31)),"Closed in May","Other")</f>
        <v/>
      </c>
    </row>
    <row r="895">
      <c r="A895" s="37" t="n">
        <v>46143</v>
      </c>
      <c r="B895" s="3" t="n">
        <v>2026</v>
      </c>
      <c r="C895" s="26" t="inlineStr">
        <is>
          <t>Yanara Power</t>
        </is>
      </c>
      <c r="D895" s="3" t="inlineStr">
        <is>
          <t>Utility and C&amp;I</t>
        </is>
      </c>
      <c r="E895" s="3" t="n"/>
      <c r="F895" s="3" t="inlineStr">
        <is>
          <t>Closed</t>
        </is>
      </c>
      <c r="G895" s="9" t="inlineStr">
        <is>
          <t xml:space="preserve">Ashish Jindal </t>
        </is>
      </c>
      <c r="H895" s="26" t="n">
        <v>9983975581</v>
      </c>
      <c r="I895" s="38" t="inlineStr">
        <is>
          <t>PE01052601</t>
        </is>
      </c>
      <c r="J895" s="26" t="inlineStr">
        <is>
          <t>Multiple Issues</t>
        </is>
      </c>
      <c r="K895" s="39" t="inlineStr">
        <is>
          <t>Holi</t>
        </is>
      </c>
      <c r="L895" s="39" t="inlineStr">
        <is>
          <t>Maharashtra</t>
        </is>
      </c>
      <c r="M895" s="9" t="inlineStr">
        <is>
          <t>PS</t>
        </is>
      </c>
      <c r="N895" s="3" t="inlineStr">
        <is>
          <t>Cold Soldering</t>
        </is>
      </c>
      <c r="O895" s="39" t="n">
        <v>575</v>
      </c>
      <c r="P895" s="9" t="inlineStr">
        <is>
          <t>NSMI24070179047</t>
        </is>
      </c>
      <c r="Q895" s="53">
        <f>MID(P895,5,2)</f>
        <v/>
      </c>
      <c r="R895" s="53">
        <f>MID(P895,7,2)</f>
        <v/>
      </c>
      <c r="S895" s="3" t="inlineStr">
        <is>
          <t>G2G</t>
        </is>
      </c>
      <c r="T895" s="3" t="inlineStr">
        <is>
          <t>P4</t>
        </is>
      </c>
      <c r="U895" s="3" t="inlineStr">
        <is>
          <t>P JB Cold Soldering</t>
        </is>
      </c>
      <c r="V895" s="3" t="inlineStr">
        <is>
          <t>Soldering</t>
        </is>
      </c>
      <c r="W895" s="3" t="inlineStr">
        <is>
          <t>Repair</t>
        </is>
      </c>
      <c r="X895" s="18" t="n">
        <v>46155</v>
      </c>
      <c r="Y895" s="73">
        <f>IF(X895="","",X895-A895)</f>
        <v/>
      </c>
      <c r="Z895" s="18" t="n">
        <v>46155</v>
      </c>
      <c r="AA895" s="15" t="n"/>
      <c r="AB895" s="15" t="n"/>
      <c r="AF895">
        <f>IF(AND($F895="Closed",$X895&gt;=DATE(2026,5,1),$X895&lt;=DATE(2026,5,31)),"Closed in May","Other")</f>
        <v/>
      </c>
    </row>
    <row r="896">
      <c r="A896" s="37" t="n">
        <v>46143</v>
      </c>
      <c r="B896" s="3" t="n">
        <v>2026</v>
      </c>
      <c r="C896" s="26" t="inlineStr">
        <is>
          <t>Yanara Power</t>
        </is>
      </c>
      <c r="D896" s="3" t="inlineStr">
        <is>
          <t>Utility and C&amp;I</t>
        </is>
      </c>
      <c r="E896" s="3" t="n"/>
      <c r="F896" s="3" t="inlineStr">
        <is>
          <t>Closed</t>
        </is>
      </c>
      <c r="G896" s="9" t="inlineStr">
        <is>
          <t xml:space="preserve">Ashish Jindal </t>
        </is>
      </c>
      <c r="H896" s="26" t="n">
        <v>9983975581</v>
      </c>
      <c r="I896" s="38" t="inlineStr">
        <is>
          <t>PE01052601</t>
        </is>
      </c>
      <c r="J896" s="26" t="inlineStr">
        <is>
          <t>Multiple Issues</t>
        </is>
      </c>
      <c r="K896" s="39" t="inlineStr">
        <is>
          <t>Holi</t>
        </is>
      </c>
      <c r="L896" s="39" t="inlineStr">
        <is>
          <t>Maharashtra</t>
        </is>
      </c>
      <c r="M896" s="9" t="inlineStr">
        <is>
          <t>PS</t>
        </is>
      </c>
      <c r="N896" s="3" t="inlineStr">
        <is>
          <t>Cold Soldering</t>
        </is>
      </c>
      <c r="O896" s="39" t="n">
        <v>575</v>
      </c>
      <c r="P896" s="9" t="inlineStr">
        <is>
          <t>NSMI24070178780</t>
        </is>
      </c>
      <c r="Q896" s="53">
        <f>MID(P896,5,2)</f>
        <v/>
      </c>
      <c r="R896" s="53">
        <f>MID(P896,7,2)</f>
        <v/>
      </c>
      <c r="S896" s="3" t="inlineStr">
        <is>
          <t>G2G</t>
        </is>
      </c>
      <c r="T896" s="3" t="inlineStr">
        <is>
          <t>P4</t>
        </is>
      </c>
      <c r="U896" s="3" t="inlineStr">
        <is>
          <t>P JB Cold Soldering</t>
        </is>
      </c>
      <c r="V896" s="3" t="inlineStr">
        <is>
          <t>Soldering</t>
        </is>
      </c>
      <c r="W896" s="3" t="inlineStr">
        <is>
          <t>Repair</t>
        </is>
      </c>
      <c r="X896" s="18" t="n">
        <v>46155</v>
      </c>
      <c r="Y896" s="73">
        <f>IF(X896="","",X896-A896)</f>
        <v/>
      </c>
      <c r="Z896" s="18" t="n">
        <v>46155</v>
      </c>
      <c r="AA896" s="15" t="n"/>
      <c r="AB896" s="15" t="n"/>
      <c r="AF896">
        <f>IF(AND($F896="Closed",$X896&gt;=DATE(2026,5,1),$X896&lt;=DATE(2026,5,31)),"Closed in May","Other")</f>
        <v/>
      </c>
    </row>
    <row r="897">
      <c r="A897" s="37" t="n">
        <v>46143</v>
      </c>
      <c r="B897" s="3" t="n">
        <v>2026</v>
      </c>
      <c r="C897" s="26" t="inlineStr">
        <is>
          <t>Yanara Power</t>
        </is>
      </c>
      <c r="D897" s="3" t="inlineStr">
        <is>
          <t>Utility and C&amp;I</t>
        </is>
      </c>
      <c r="E897" s="3" t="n"/>
      <c r="F897" s="3" t="inlineStr">
        <is>
          <t>Closed</t>
        </is>
      </c>
      <c r="G897" s="9" t="inlineStr">
        <is>
          <t xml:space="preserve">Ashish Jindal </t>
        </is>
      </c>
      <c r="H897" s="26" t="n">
        <v>9983975581</v>
      </c>
      <c r="I897" s="38" t="inlineStr">
        <is>
          <t>PE01052601</t>
        </is>
      </c>
      <c r="J897" s="26" t="inlineStr">
        <is>
          <t>Multiple Issues</t>
        </is>
      </c>
      <c r="K897" s="39" t="inlineStr">
        <is>
          <t>Holi</t>
        </is>
      </c>
      <c r="L897" s="39" t="inlineStr">
        <is>
          <t>Maharashtra</t>
        </is>
      </c>
      <c r="M897" s="9" t="inlineStr">
        <is>
          <t>PR</t>
        </is>
      </c>
      <c r="N897" s="3" t="inlineStr">
        <is>
          <t>JB Issue</t>
        </is>
      </c>
      <c r="O897" s="39" t="n">
        <v>575</v>
      </c>
      <c r="P897" s="9" t="inlineStr">
        <is>
          <t>NSMI24070201666</t>
        </is>
      </c>
      <c r="Q897" s="53">
        <f>MID(P897,5,2)</f>
        <v/>
      </c>
      <c r="R897" s="53">
        <f>MID(P897,7,2)</f>
        <v/>
      </c>
      <c r="S897" s="3" t="inlineStr">
        <is>
          <t>G2TB</t>
        </is>
      </c>
      <c r="T897" s="3" t="inlineStr">
        <is>
          <t>P4</t>
        </is>
      </c>
      <c r="U897" s="3" t="inlineStr">
        <is>
          <t>P JB Issue</t>
        </is>
      </c>
      <c r="V897" s="15" t="inlineStr">
        <is>
          <t>JB Changed</t>
        </is>
      </c>
      <c r="W897" s="3" t="inlineStr">
        <is>
          <t>Repair</t>
        </is>
      </c>
      <c r="X897" s="18" t="n">
        <v>46155</v>
      </c>
      <c r="Y897" s="73">
        <f>IF(X897="","",X897-A897)</f>
        <v/>
      </c>
      <c r="Z897" s="18" t="n">
        <v>46155</v>
      </c>
      <c r="AA897" s="15" t="n"/>
      <c r="AB897" s="15" t="n"/>
      <c r="AF897">
        <f>IF(AND($F897="Closed",$X897&gt;=DATE(2026,5,1),$X897&lt;=DATE(2026,5,31)),"Closed in May","Other")</f>
        <v/>
      </c>
    </row>
    <row r="898">
      <c r="A898" s="37" t="n">
        <v>46143</v>
      </c>
      <c r="B898" s="3" t="n">
        <v>2026</v>
      </c>
      <c r="C898" s="26" t="inlineStr">
        <is>
          <t>Yanara Power</t>
        </is>
      </c>
      <c r="D898" s="3" t="inlineStr">
        <is>
          <t>Utility and C&amp;I</t>
        </is>
      </c>
      <c r="E898" s="3" t="n"/>
      <c r="F898" s="3" t="inlineStr">
        <is>
          <t>Closed</t>
        </is>
      </c>
      <c r="G898" s="9" t="inlineStr">
        <is>
          <t xml:space="preserve">Ashish Jindal </t>
        </is>
      </c>
      <c r="H898" s="26" t="n">
        <v>9983975581</v>
      </c>
      <c r="I898" s="38" t="inlineStr">
        <is>
          <t>PE01052601</t>
        </is>
      </c>
      <c r="J898" s="26" t="inlineStr">
        <is>
          <t>Multiple Issues</t>
        </is>
      </c>
      <c r="K898" s="39" t="inlineStr">
        <is>
          <t>Holi</t>
        </is>
      </c>
      <c r="L898" s="39" t="inlineStr">
        <is>
          <t>Maharashtra</t>
        </is>
      </c>
      <c r="M898" s="9" t="inlineStr">
        <is>
          <t>PR</t>
        </is>
      </c>
      <c r="N898" s="3" t="inlineStr">
        <is>
          <t>JB Issue</t>
        </is>
      </c>
      <c r="O898" s="39" t="n">
        <v>575</v>
      </c>
      <c r="P898" s="9" t="inlineStr">
        <is>
          <t>NSMI24070201698</t>
        </is>
      </c>
      <c r="Q898" s="53">
        <f>MID(P898,5,2)</f>
        <v/>
      </c>
      <c r="R898" s="53">
        <f>MID(P898,7,2)</f>
        <v/>
      </c>
      <c r="S898" s="3" t="inlineStr">
        <is>
          <t>G2TB</t>
        </is>
      </c>
      <c r="T898" s="3" t="inlineStr">
        <is>
          <t>P4</t>
        </is>
      </c>
      <c r="U898" s="3" t="inlineStr">
        <is>
          <t>P JB Issue</t>
        </is>
      </c>
      <c r="V898" s="15" t="inlineStr">
        <is>
          <t>JB Changed</t>
        </is>
      </c>
      <c r="W898" s="3" t="inlineStr">
        <is>
          <t>Repair</t>
        </is>
      </c>
      <c r="X898" s="18" t="n">
        <v>46155</v>
      </c>
      <c r="Y898" s="73">
        <f>IF(X898="","",X898-A898)</f>
        <v/>
      </c>
      <c r="Z898" s="18" t="n">
        <v>46155</v>
      </c>
      <c r="AA898" s="15" t="n"/>
      <c r="AB898" s="15" t="n"/>
      <c r="AF898">
        <f>IF(AND($F898="Closed",$X898&gt;=DATE(2026,5,1),$X898&lt;=DATE(2026,5,31)),"Closed in May","Other")</f>
        <v/>
      </c>
    </row>
    <row r="899">
      <c r="A899" s="37" t="n">
        <v>46143</v>
      </c>
      <c r="B899" s="3" t="n">
        <v>2026</v>
      </c>
      <c r="C899" s="26" t="inlineStr">
        <is>
          <t>Yanara Power</t>
        </is>
      </c>
      <c r="D899" s="3" t="inlineStr">
        <is>
          <t>Utility and C&amp;I</t>
        </is>
      </c>
      <c r="E899" s="3" t="n"/>
      <c r="F899" s="3" t="inlineStr">
        <is>
          <t>Closed</t>
        </is>
      </c>
      <c r="G899" s="9" t="inlineStr">
        <is>
          <t xml:space="preserve">Ashish Jindal </t>
        </is>
      </c>
      <c r="H899" s="26" t="n">
        <v>9983975581</v>
      </c>
      <c r="I899" s="38" t="inlineStr">
        <is>
          <t>PE01052601</t>
        </is>
      </c>
      <c r="J899" s="26" t="inlineStr">
        <is>
          <t>Multiple Issues</t>
        </is>
      </c>
      <c r="K899" s="39" t="inlineStr">
        <is>
          <t>Holi</t>
        </is>
      </c>
      <c r="L899" s="39" t="inlineStr">
        <is>
          <t>Maharashtra</t>
        </is>
      </c>
      <c r="M899" s="9" t="inlineStr">
        <is>
          <t>PS</t>
        </is>
      </c>
      <c r="N899" s="3" t="inlineStr">
        <is>
          <t>Cold Soldering</t>
        </is>
      </c>
      <c r="O899" s="39" t="n">
        <v>575</v>
      </c>
      <c r="P899" s="9" t="inlineStr">
        <is>
          <t>NSMI24070191158</t>
        </is>
      </c>
      <c r="Q899" s="53">
        <f>MID(P899,5,2)</f>
        <v/>
      </c>
      <c r="R899" s="53">
        <f>MID(P899,7,2)</f>
        <v/>
      </c>
      <c r="S899" s="3" t="inlineStr">
        <is>
          <t>G2G</t>
        </is>
      </c>
      <c r="T899" s="3" t="inlineStr">
        <is>
          <t>P4</t>
        </is>
      </c>
      <c r="U899" s="3" t="inlineStr">
        <is>
          <t>P JB Cold Soldering</t>
        </is>
      </c>
      <c r="V899" s="3" t="inlineStr">
        <is>
          <t>Soldering</t>
        </is>
      </c>
      <c r="W899" s="3" t="inlineStr">
        <is>
          <t>Repair</t>
        </is>
      </c>
      <c r="X899" s="18" t="n">
        <v>46155</v>
      </c>
      <c r="Y899" s="73">
        <f>IF(X899="","",X899-A899)</f>
        <v/>
      </c>
      <c r="Z899" s="18" t="n">
        <v>46155</v>
      </c>
      <c r="AA899" s="15" t="n"/>
      <c r="AB899" s="15" t="n"/>
      <c r="AF899">
        <f>IF(AND($F899="Closed",$X899&gt;=DATE(2026,5,1),$X899&lt;=DATE(2026,5,31)),"Closed in May","Other")</f>
        <v/>
      </c>
    </row>
    <row r="900">
      <c r="A900" s="37" t="n">
        <v>46143</v>
      </c>
      <c r="B900" s="3" t="n">
        <v>2026</v>
      </c>
      <c r="C900" s="26" t="inlineStr">
        <is>
          <t>Yanara Power</t>
        </is>
      </c>
      <c r="D900" s="3" t="inlineStr">
        <is>
          <t>Utility and C&amp;I</t>
        </is>
      </c>
      <c r="E900" s="3" t="n"/>
      <c r="F900" s="3" t="inlineStr">
        <is>
          <t>Closed</t>
        </is>
      </c>
      <c r="G900" s="9" t="inlineStr">
        <is>
          <t xml:space="preserve">Ashish Jindal </t>
        </is>
      </c>
      <c r="H900" s="26" t="n">
        <v>9983975581</v>
      </c>
      <c r="I900" s="38" t="inlineStr">
        <is>
          <t>PE01052601</t>
        </is>
      </c>
      <c r="J900" s="26" t="inlineStr">
        <is>
          <t>Multiple Issues</t>
        </is>
      </c>
      <c r="K900" s="39" t="inlineStr">
        <is>
          <t>Holi</t>
        </is>
      </c>
      <c r="L900" s="39" t="inlineStr">
        <is>
          <t>Maharashtra</t>
        </is>
      </c>
      <c r="M900" s="9" t="inlineStr">
        <is>
          <t>PS</t>
        </is>
      </c>
      <c r="N900" s="3" t="inlineStr">
        <is>
          <t>Cold Soldering</t>
        </is>
      </c>
      <c r="O900" s="39" t="n">
        <v>575</v>
      </c>
      <c r="P900" s="9" t="inlineStr">
        <is>
          <t>NSMI24070190786</t>
        </is>
      </c>
      <c r="Q900" s="53">
        <f>MID(P900,5,2)</f>
        <v/>
      </c>
      <c r="R900" s="53">
        <f>MID(P900,7,2)</f>
        <v/>
      </c>
      <c r="S900" s="3" t="inlineStr">
        <is>
          <t>G2G</t>
        </is>
      </c>
      <c r="T900" s="3" t="inlineStr">
        <is>
          <t>P4</t>
        </is>
      </c>
      <c r="U900" s="3" t="inlineStr">
        <is>
          <t>P JB Cold Soldering</t>
        </is>
      </c>
      <c r="V900" s="3" t="inlineStr">
        <is>
          <t>Soldering</t>
        </is>
      </c>
      <c r="W900" s="3" t="inlineStr">
        <is>
          <t>Repair</t>
        </is>
      </c>
      <c r="X900" s="18" t="n">
        <v>46155</v>
      </c>
      <c r="Y900" s="73">
        <f>IF(X900="","",X900-A900)</f>
        <v/>
      </c>
      <c r="Z900" s="18" t="n">
        <v>46155</v>
      </c>
      <c r="AA900" s="15" t="n"/>
      <c r="AB900" s="15" t="n"/>
      <c r="AF900">
        <f>IF(AND($F900="Closed",$X900&gt;=DATE(2026,5,1),$X900&lt;=DATE(2026,5,31)),"Closed in May","Other")</f>
        <v/>
      </c>
    </row>
    <row r="901">
      <c r="A901" s="37" t="n">
        <v>46143</v>
      </c>
      <c r="B901" s="3" t="n">
        <v>2026</v>
      </c>
      <c r="C901" s="26" t="inlineStr">
        <is>
          <t>Yanara Power</t>
        </is>
      </c>
      <c r="D901" s="3" t="inlineStr">
        <is>
          <t>Utility and C&amp;I</t>
        </is>
      </c>
      <c r="E901" s="3" t="n"/>
      <c r="F901" s="3" t="inlineStr">
        <is>
          <t>Closed</t>
        </is>
      </c>
      <c r="G901" s="9" t="inlineStr">
        <is>
          <t xml:space="preserve">Ashish Jindal </t>
        </is>
      </c>
      <c r="H901" s="26" t="n">
        <v>9983975581</v>
      </c>
      <c r="I901" s="38" t="inlineStr">
        <is>
          <t>PE01052601</t>
        </is>
      </c>
      <c r="J901" s="26" t="inlineStr">
        <is>
          <t>Multiple Issues</t>
        </is>
      </c>
      <c r="K901" s="39" t="inlineStr">
        <is>
          <t>Holi</t>
        </is>
      </c>
      <c r="L901" s="39" t="inlineStr">
        <is>
          <t>Maharashtra</t>
        </is>
      </c>
      <c r="M901" s="9" t="inlineStr">
        <is>
          <t>PS</t>
        </is>
      </c>
      <c r="N901" s="3" t="inlineStr">
        <is>
          <t>Cold Soldering</t>
        </is>
      </c>
      <c r="O901" s="39" t="n">
        <v>575</v>
      </c>
      <c r="P901" s="9" t="inlineStr">
        <is>
          <t>NSMI24070217754</t>
        </is>
      </c>
      <c r="Q901" s="53">
        <f>MID(P901,5,2)</f>
        <v/>
      </c>
      <c r="R901" s="53">
        <f>MID(P901,7,2)</f>
        <v/>
      </c>
      <c r="S901" s="3" t="inlineStr">
        <is>
          <t>G2G</t>
        </is>
      </c>
      <c r="T901" s="3" t="inlineStr">
        <is>
          <t>P4</t>
        </is>
      </c>
      <c r="U901" s="3" t="inlineStr">
        <is>
          <t>P JB Cold Soldering</t>
        </is>
      </c>
      <c r="V901" s="3" t="inlineStr">
        <is>
          <t>Soldering</t>
        </is>
      </c>
      <c r="W901" s="3" t="inlineStr">
        <is>
          <t>Repair</t>
        </is>
      </c>
      <c r="X901" s="18" t="n">
        <v>46155</v>
      </c>
      <c r="Y901" s="73">
        <f>IF(X901="","",X901-A901)</f>
        <v/>
      </c>
      <c r="Z901" s="18" t="n">
        <v>46155</v>
      </c>
      <c r="AA901" s="15" t="n"/>
      <c r="AB901" s="15" t="n"/>
      <c r="AF901">
        <f>IF(AND($F901="Closed",$X901&gt;=DATE(2026,5,1),$X901&lt;=DATE(2026,5,31)),"Closed in May","Other")</f>
        <v/>
      </c>
    </row>
    <row r="902">
      <c r="A902" s="37" t="n">
        <v>46143</v>
      </c>
      <c r="B902" s="3" t="n">
        <v>2026</v>
      </c>
      <c r="C902" s="26" t="inlineStr">
        <is>
          <t>Yanara Power</t>
        </is>
      </c>
      <c r="D902" s="3" t="inlineStr">
        <is>
          <t>Utility and C&amp;I</t>
        </is>
      </c>
      <c r="E902" s="3" t="n"/>
      <c r="F902" s="3" t="inlineStr">
        <is>
          <t>Closed</t>
        </is>
      </c>
      <c r="G902" s="9" t="inlineStr">
        <is>
          <t xml:space="preserve">Ashish Jindal </t>
        </is>
      </c>
      <c r="H902" s="26" t="n">
        <v>9983975581</v>
      </c>
      <c r="I902" s="38" t="inlineStr">
        <is>
          <t>PE01052601</t>
        </is>
      </c>
      <c r="J902" s="26" t="inlineStr">
        <is>
          <t>Multiple Issues</t>
        </is>
      </c>
      <c r="K902" s="39" t="inlineStr">
        <is>
          <t>Holi</t>
        </is>
      </c>
      <c r="L902" s="39" t="inlineStr">
        <is>
          <t>Maharashtra</t>
        </is>
      </c>
      <c r="M902" s="9" t="inlineStr">
        <is>
          <t>PS</t>
        </is>
      </c>
      <c r="N902" s="3" t="inlineStr">
        <is>
          <t>Cold Soldering</t>
        </is>
      </c>
      <c r="O902" s="39" t="n">
        <v>575</v>
      </c>
      <c r="P902" s="9" t="inlineStr">
        <is>
          <t>NSMI24070218696</t>
        </is>
      </c>
      <c r="Q902" s="53">
        <f>MID(P902,5,2)</f>
        <v/>
      </c>
      <c r="R902" s="53">
        <f>MID(P902,7,2)</f>
        <v/>
      </c>
      <c r="S902" s="3" t="inlineStr">
        <is>
          <t>G2G</t>
        </is>
      </c>
      <c r="T902" s="3" t="inlineStr">
        <is>
          <t>P4</t>
        </is>
      </c>
      <c r="U902" s="3" t="inlineStr">
        <is>
          <t>P JB Cold Soldering</t>
        </is>
      </c>
      <c r="V902" s="3" t="inlineStr">
        <is>
          <t>Soldering</t>
        </is>
      </c>
      <c r="W902" s="3" t="inlineStr">
        <is>
          <t>Repair</t>
        </is>
      </c>
      <c r="X902" s="18" t="n">
        <v>46155</v>
      </c>
      <c r="Y902" s="73">
        <f>IF(X902="","",X902-A902)</f>
        <v/>
      </c>
      <c r="Z902" s="18" t="n">
        <v>46155</v>
      </c>
      <c r="AA902" s="15" t="n"/>
      <c r="AB902" s="15" t="n"/>
      <c r="AF902">
        <f>IF(AND($F902="Closed",$X902&gt;=DATE(2026,5,1),$X902&lt;=DATE(2026,5,31)),"Closed in May","Other")</f>
        <v/>
      </c>
    </row>
    <row r="903">
      <c r="A903" s="37" t="n">
        <v>46143</v>
      </c>
      <c r="B903" s="3" t="n">
        <v>2026</v>
      </c>
      <c r="C903" s="26" t="inlineStr">
        <is>
          <t>Yanara Power</t>
        </is>
      </c>
      <c r="D903" s="3" t="inlineStr">
        <is>
          <t>Utility and C&amp;I</t>
        </is>
      </c>
      <c r="E903" s="3" t="n"/>
      <c r="F903" s="3" t="inlineStr">
        <is>
          <t>Closed</t>
        </is>
      </c>
      <c r="G903" s="9" t="inlineStr">
        <is>
          <t xml:space="preserve">Ashish Jindal </t>
        </is>
      </c>
      <c r="H903" s="26" t="n">
        <v>9983975581</v>
      </c>
      <c r="I903" s="38" t="inlineStr">
        <is>
          <t>PE01052601</t>
        </is>
      </c>
      <c r="J903" s="26" t="inlineStr">
        <is>
          <t>Multiple Issues</t>
        </is>
      </c>
      <c r="K903" s="39" t="inlineStr">
        <is>
          <t>Holi</t>
        </is>
      </c>
      <c r="L903" s="39" t="inlineStr">
        <is>
          <t>Maharashtra</t>
        </is>
      </c>
      <c r="M903" s="9" t="inlineStr">
        <is>
          <t>NS</t>
        </is>
      </c>
      <c r="N903" s="3" t="inlineStr">
        <is>
          <t>Cold Soldering</t>
        </is>
      </c>
      <c r="O903" s="39" t="n">
        <v>575</v>
      </c>
      <c r="P903" s="9" t="inlineStr">
        <is>
          <t>NSMI24070194929</t>
        </is>
      </c>
      <c r="Q903" s="53">
        <f>MID(P903,5,2)</f>
        <v/>
      </c>
      <c r="R903" s="53">
        <f>MID(P903,7,2)</f>
        <v/>
      </c>
      <c r="S903" s="3" t="inlineStr">
        <is>
          <t>G2TB</t>
        </is>
      </c>
      <c r="T903" s="3" t="inlineStr">
        <is>
          <t>P4</t>
        </is>
      </c>
      <c r="U903" s="3" t="inlineStr">
        <is>
          <t>N JB Cold Soldering</t>
        </is>
      </c>
      <c r="V903" s="3" t="inlineStr">
        <is>
          <t>Soldering</t>
        </is>
      </c>
      <c r="W903" s="3" t="inlineStr">
        <is>
          <t>Repair</t>
        </is>
      </c>
      <c r="X903" s="18" t="n">
        <v>46155</v>
      </c>
      <c r="Y903" s="73">
        <f>IF(X903="","",X903-A903)</f>
        <v/>
      </c>
      <c r="Z903" s="18" t="n">
        <v>46155</v>
      </c>
      <c r="AA903" s="15" t="n"/>
      <c r="AB903" s="15" t="n"/>
      <c r="AF903">
        <f>IF(AND($F903="Closed",$X903&gt;=DATE(2026,5,1),$X903&lt;=DATE(2026,5,31)),"Closed in May","Other")</f>
        <v/>
      </c>
    </row>
    <row r="904">
      <c r="A904" s="37" t="n">
        <v>46143</v>
      </c>
      <c r="B904" s="3" t="n">
        <v>2026</v>
      </c>
      <c r="C904" s="26" t="inlineStr">
        <is>
          <t>Yanara Power</t>
        </is>
      </c>
      <c r="D904" s="3" t="inlineStr">
        <is>
          <t>Utility and C&amp;I</t>
        </is>
      </c>
      <c r="E904" s="3" t="n"/>
      <c r="F904" s="3" t="inlineStr">
        <is>
          <t>Closed</t>
        </is>
      </c>
      <c r="G904" s="9" t="inlineStr">
        <is>
          <t xml:space="preserve">Ashish Jindal </t>
        </is>
      </c>
      <c r="H904" s="26" t="n">
        <v>9983975581</v>
      </c>
      <c r="I904" s="38" t="inlineStr">
        <is>
          <t>PE01052601</t>
        </is>
      </c>
      <c r="J904" s="26" t="inlineStr">
        <is>
          <t>Multiple Issues</t>
        </is>
      </c>
      <c r="K904" s="39" t="inlineStr">
        <is>
          <t>Holi</t>
        </is>
      </c>
      <c r="L904" s="39" t="inlineStr">
        <is>
          <t>Maharashtra</t>
        </is>
      </c>
      <c r="M904" s="9" t="inlineStr">
        <is>
          <t>NS</t>
        </is>
      </c>
      <c r="N904" s="3" t="inlineStr">
        <is>
          <t>Cold Soldering</t>
        </is>
      </c>
      <c r="O904" s="39" t="n">
        <v>575</v>
      </c>
      <c r="P904" s="9" t="inlineStr">
        <is>
          <t>NSMI24070201991</t>
        </is>
      </c>
      <c r="Q904" s="53">
        <f>MID(P904,5,2)</f>
        <v/>
      </c>
      <c r="R904" s="53">
        <f>MID(P904,7,2)</f>
        <v/>
      </c>
      <c r="S904" s="3" t="inlineStr">
        <is>
          <t>G2TB</t>
        </is>
      </c>
      <c r="T904" s="3" t="inlineStr">
        <is>
          <t>P4</t>
        </is>
      </c>
      <c r="U904" s="3" t="inlineStr">
        <is>
          <t>N JB Cold Soldering</t>
        </is>
      </c>
      <c r="V904" s="3" t="inlineStr">
        <is>
          <t>Soldering</t>
        </is>
      </c>
      <c r="W904" s="3" t="inlineStr">
        <is>
          <t>Repair</t>
        </is>
      </c>
      <c r="X904" s="18" t="n">
        <v>46155</v>
      </c>
      <c r="Y904" s="73">
        <f>IF(X904="","",X904-A904)</f>
        <v/>
      </c>
      <c r="Z904" s="18" t="n">
        <v>46155</v>
      </c>
      <c r="AA904" s="15" t="n"/>
      <c r="AB904" s="15" t="n"/>
      <c r="AF904">
        <f>IF(AND($F904="Closed",$X904&gt;=DATE(2026,5,1),$X904&lt;=DATE(2026,5,31)),"Closed in May","Other")</f>
        <v/>
      </c>
    </row>
    <row r="905">
      <c r="A905" s="37" t="n">
        <v>46143</v>
      </c>
      <c r="B905" s="3" t="n">
        <v>2026</v>
      </c>
      <c r="C905" s="26" t="inlineStr">
        <is>
          <t>Yanara Power</t>
        </is>
      </c>
      <c r="D905" s="3" t="inlineStr">
        <is>
          <t>Utility and C&amp;I</t>
        </is>
      </c>
      <c r="E905" s="3" t="n"/>
      <c r="F905" s="3" t="inlineStr">
        <is>
          <t>Closed</t>
        </is>
      </c>
      <c r="G905" s="9" t="inlineStr">
        <is>
          <t xml:space="preserve">Ashish Jindal </t>
        </is>
      </c>
      <c r="H905" s="26" t="n">
        <v>9983975581</v>
      </c>
      <c r="I905" s="38" t="inlineStr">
        <is>
          <t>PE01052601</t>
        </is>
      </c>
      <c r="J905" s="26" t="inlineStr">
        <is>
          <t>Multiple Issues</t>
        </is>
      </c>
      <c r="K905" s="39" t="inlineStr">
        <is>
          <t>Holi</t>
        </is>
      </c>
      <c r="L905" s="39" t="inlineStr">
        <is>
          <t>Maharashtra</t>
        </is>
      </c>
      <c r="M905" s="9" t="inlineStr">
        <is>
          <t>PS</t>
        </is>
      </c>
      <c r="N905" s="3" t="inlineStr">
        <is>
          <t>Cold Soldering</t>
        </is>
      </c>
      <c r="O905" s="39" t="n">
        <v>575</v>
      </c>
      <c r="P905" s="9" t="inlineStr">
        <is>
          <t>NSMI24070202028</t>
        </is>
      </c>
      <c r="Q905" s="53">
        <f>MID(P905,5,2)</f>
        <v/>
      </c>
      <c r="R905" s="53">
        <f>MID(P905,7,2)</f>
        <v/>
      </c>
      <c r="S905" s="3" t="inlineStr">
        <is>
          <t>G2G</t>
        </is>
      </c>
      <c r="T905" s="3" t="inlineStr">
        <is>
          <t>P4</t>
        </is>
      </c>
      <c r="U905" s="3" t="inlineStr">
        <is>
          <t>P JB Cold Soldering</t>
        </is>
      </c>
      <c r="V905" s="3" t="inlineStr">
        <is>
          <t>Soldering</t>
        </is>
      </c>
      <c r="W905" s="3" t="inlineStr">
        <is>
          <t>Repair</t>
        </is>
      </c>
      <c r="X905" s="18" t="n">
        <v>46155</v>
      </c>
      <c r="Y905" s="73">
        <f>IF(X905="","",X905-A905)</f>
        <v/>
      </c>
      <c r="Z905" s="18" t="n">
        <v>46155</v>
      </c>
      <c r="AA905" s="15" t="n"/>
      <c r="AB905" s="15" t="n"/>
      <c r="AF905">
        <f>IF(AND($F905="Closed",$X905&gt;=DATE(2026,5,1),$X905&lt;=DATE(2026,5,31)),"Closed in May","Other")</f>
        <v/>
      </c>
    </row>
    <row r="906">
      <c r="A906" s="37" t="n">
        <v>46143</v>
      </c>
      <c r="B906" s="3" t="n">
        <v>2026</v>
      </c>
      <c r="C906" s="26" t="inlineStr">
        <is>
          <t>Yanara Power</t>
        </is>
      </c>
      <c r="D906" s="3" t="inlineStr">
        <is>
          <t>Utility and C&amp;I</t>
        </is>
      </c>
      <c r="E906" s="3" t="n"/>
      <c r="F906" s="3" t="inlineStr">
        <is>
          <t>Closed</t>
        </is>
      </c>
      <c r="G906" s="9" t="inlineStr">
        <is>
          <t xml:space="preserve">Ashish Jindal </t>
        </is>
      </c>
      <c r="H906" s="26" t="n">
        <v>9983975581</v>
      </c>
      <c r="I906" s="38" t="inlineStr">
        <is>
          <t>PE01052601</t>
        </is>
      </c>
      <c r="J906" s="26" t="inlineStr">
        <is>
          <t>Multiple Issues</t>
        </is>
      </c>
      <c r="K906" s="39" t="inlineStr">
        <is>
          <t>Holi</t>
        </is>
      </c>
      <c r="L906" s="39" t="inlineStr">
        <is>
          <t>Maharashtra</t>
        </is>
      </c>
      <c r="M906" s="9" t="inlineStr">
        <is>
          <t>PS</t>
        </is>
      </c>
      <c r="N906" s="3" t="inlineStr">
        <is>
          <t>Cold Soldering</t>
        </is>
      </c>
      <c r="O906" s="39" t="n">
        <v>575</v>
      </c>
      <c r="P906" s="9" t="inlineStr">
        <is>
          <t>NSMI24070184440</t>
        </is>
      </c>
      <c r="Q906" s="53">
        <f>MID(P906,5,2)</f>
        <v/>
      </c>
      <c r="R906" s="53">
        <f>MID(P906,7,2)</f>
        <v/>
      </c>
      <c r="S906" s="3" t="inlineStr">
        <is>
          <t>G2G</t>
        </is>
      </c>
      <c r="T906" s="3" t="inlineStr">
        <is>
          <t>P4</t>
        </is>
      </c>
      <c r="U906" s="3" t="inlineStr">
        <is>
          <t>P JB Cold Soldering</t>
        </is>
      </c>
      <c r="V906" s="3" t="inlineStr">
        <is>
          <t>Soldering</t>
        </is>
      </c>
      <c r="W906" s="3" t="inlineStr">
        <is>
          <t>Repair</t>
        </is>
      </c>
      <c r="X906" s="18" t="n">
        <v>46155</v>
      </c>
      <c r="Y906" s="73">
        <f>IF(X906="","",X906-A906)</f>
        <v/>
      </c>
      <c r="Z906" s="18" t="n">
        <v>46155</v>
      </c>
      <c r="AA906" s="15" t="n"/>
      <c r="AB906" s="15" t="n"/>
      <c r="AF906">
        <f>IF(AND($F906="Closed",$X906&gt;=DATE(2026,5,1),$X906&lt;=DATE(2026,5,31)),"Closed in May","Other")</f>
        <v/>
      </c>
    </row>
    <row r="907">
      <c r="A907" s="37" t="n">
        <v>46143</v>
      </c>
      <c r="B907" s="3" t="n">
        <v>2026</v>
      </c>
      <c r="C907" s="26" t="inlineStr">
        <is>
          <t>Yanara Power</t>
        </is>
      </c>
      <c r="D907" s="3" t="inlineStr">
        <is>
          <t>Utility and C&amp;I</t>
        </is>
      </c>
      <c r="E907" s="3" t="n"/>
      <c r="F907" s="3" t="inlineStr">
        <is>
          <t>Closed</t>
        </is>
      </c>
      <c r="G907" s="9" t="inlineStr">
        <is>
          <t xml:space="preserve">Ashish Jindal </t>
        </is>
      </c>
      <c r="H907" s="26" t="n">
        <v>9983975581</v>
      </c>
      <c r="I907" s="38" t="inlineStr">
        <is>
          <t>PE01052601</t>
        </is>
      </c>
      <c r="J907" s="26" t="inlineStr">
        <is>
          <t>Multiple Issues</t>
        </is>
      </c>
      <c r="K907" s="39" t="inlineStr">
        <is>
          <t>Holi</t>
        </is>
      </c>
      <c r="L907" s="39" t="inlineStr">
        <is>
          <t>Maharashtra</t>
        </is>
      </c>
      <c r="M907" s="9" t="inlineStr">
        <is>
          <t>PS</t>
        </is>
      </c>
      <c r="N907" s="3" t="inlineStr">
        <is>
          <t>Cold Soldering</t>
        </is>
      </c>
      <c r="O907" s="39" t="n">
        <v>575</v>
      </c>
      <c r="P907" s="9" t="inlineStr">
        <is>
          <t>NSMI24070184499</t>
        </is>
      </c>
      <c r="Q907" s="53">
        <f>MID(P907,5,2)</f>
        <v/>
      </c>
      <c r="R907" s="53">
        <f>MID(P907,7,2)</f>
        <v/>
      </c>
      <c r="S907" s="3" t="inlineStr">
        <is>
          <t>G2G</t>
        </is>
      </c>
      <c r="T907" s="3" t="inlineStr">
        <is>
          <t>P4</t>
        </is>
      </c>
      <c r="U907" s="3" t="inlineStr">
        <is>
          <t>P JB Cold Soldering</t>
        </is>
      </c>
      <c r="V907" s="3" t="inlineStr">
        <is>
          <t>Soldering</t>
        </is>
      </c>
      <c r="W907" s="3" t="inlineStr">
        <is>
          <t>Repair</t>
        </is>
      </c>
      <c r="X907" s="18" t="n">
        <v>46155</v>
      </c>
      <c r="Y907" s="73">
        <f>IF(X907="","",X907-A907)</f>
        <v/>
      </c>
      <c r="Z907" s="18" t="n">
        <v>46155</v>
      </c>
      <c r="AA907" s="15" t="n"/>
      <c r="AB907" s="15" t="n"/>
      <c r="AF907">
        <f>IF(AND($F907="Closed",$X907&gt;=DATE(2026,5,1),$X907&lt;=DATE(2026,5,31)),"Closed in May","Other")</f>
        <v/>
      </c>
    </row>
    <row r="908">
      <c r="A908" s="37" t="n">
        <v>46143</v>
      </c>
      <c r="B908" s="3" t="n">
        <v>2026</v>
      </c>
      <c r="C908" s="26" t="inlineStr">
        <is>
          <t>Yanara Power</t>
        </is>
      </c>
      <c r="D908" s="3" t="inlineStr">
        <is>
          <t>Utility and C&amp;I</t>
        </is>
      </c>
      <c r="E908" s="3" t="n"/>
      <c r="F908" s="3" t="inlineStr">
        <is>
          <t>Closed</t>
        </is>
      </c>
      <c r="G908" s="9" t="inlineStr">
        <is>
          <t xml:space="preserve">Ashish Jindal </t>
        </is>
      </c>
      <c r="H908" s="26" t="n">
        <v>9983975581</v>
      </c>
      <c r="I908" s="38" t="inlineStr">
        <is>
          <t>PE01052601</t>
        </is>
      </c>
      <c r="J908" s="26" t="inlineStr">
        <is>
          <t>Multiple Issues</t>
        </is>
      </c>
      <c r="K908" s="39" t="inlineStr">
        <is>
          <t>Holi</t>
        </is>
      </c>
      <c r="L908" s="39" t="inlineStr">
        <is>
          <t>Maharashtra</t>
        </is>
      </c>
      <c r="M908" s="9" t="inlineStr">
        <is>
          <t>PS</t>
        </is>
      </c>
      <c r="N908" s="3" t="inlineStr">
        <is>
          <t>Cold Soldering</t>
        </is>
      </c>
      <c r="O908" s="39" t="n">
        <v>575</v>
      </c>
      <c r="P908" s="9" t="inlineStr">
        <is>
          <t>NSMI24070188740</t>
        </is>
      </c>
      <c r="Q908" s="53">
        <f>MID(P908,5,2)</f>
        <v/>
      </c>
      <c r="R908" s="53">
        <f>MID(P908,7,2)</f>
        <v/>
      </c>
      <c r="S908" s="3" t="inlineStr">
        <is>
          <t>G2G</t>
        </is>
      </c>
      <c r="T908" s="3" t="inlineStr">
        <is>
          <t>P4</t>
        </is>
      </c>
      <c r="U908" s="3" t="inlineStr">
        <is>
          <t>P JB Cold Soldering</t>
        </is>
      </c>
      <c r="V908" s="3" t="inlineStr">
        <is>
          <t>Soldering</t>
        </is>
      </c>
      <c r="W908" s="3" t="inlineStr">
        <is>
          <t>Repair</t>
        </is>
      </c>
      <c r="X908" s="18" t="n">
        <v>46155</v>
      </c>
      <c r="Y908" s="73">
        <f>IF(X908="","",X908-A908)</f>
        <v/>
      </c>
      <c r="Z908" s="18" t="n">
        <v>46155</v>
      </c>
      <c r="AA908" s="15" t="n"/>
      <c r="AB908" s="15" t="n"/>
      <c r="AF908">
        <f>IF(AND($F908="Closed",$X908&gt;=DATE(2026,5,1),$X908&lt;=DATE(2026,5,31)),"Closed in May","Other")</f>
        <v/>
      </c>
    </row>
    <row r="909">
      <c r="A909" s="37" t="n">
        <v>46143</v>
      </c>
      <c r="B909" s="3" t="n">
        <v>2026</v>
      </c>
      <c r="C909" s="26" t="inlineStr">
        <is>
          <t>Yanara Power</t>
        </is>
      </c>
      <c r="D909" s="3" t="inlineStr">
        <is>
          <t>Utility and C&amp;I</t>
        </is>
      </c>
      <c r="E909" s="3" t="n"/>
      <c r="F909" s="3" t="inlineStr">
        <is>
          <t>Closed</t>
        </is>
      </c>
      <c r="G909" s="9" t="inlineStr">
        <is>
          <t xml:space="preserve">Ashish Jindal </t>
        </is>
      </c>
      <c r="H909" s="26" t="n">
        <v>9983975581</v>
      </c>
      <c r="I909" s="38" t="inlineStr">
        <is>
          <t>PE01052601</t>
        </is>
      </c>
      <c r="J909" s="26" t="inlineStr">
        <is>
          <t>Multiple Issues</t>
        </is>
      </c>
      <c r="K909" s="39" t="inlineStr">
        <is>
          <t>Holi</t>
        </is>
      </c>
      <c r="L909" s="39" t="inlineStr">
        <is>
          <t>Maharashtra</t>
        </is>
      </c>
      <c r="M909" s="9" t="inlineStr">
        <is>
          <t>PS</t>
        </is>
      </c>
      <c r="N909" s="3" t="inlineStr">
        <is>
          <t>Cold Soldering</t>
        </is>
      </c>
      <c r="O909" s="39" t="n">
        <v>575</v>
      </c>
      <c r="P909" s="9" t="inlineStr">
        <is>
          <t>NSMI24070181142</t>
        </is>
      </c>
      <c r="Q909" s="53">
        <f>MID(P909,5,2)</f>
        <v/>
      </c>
      <c r="R909" s="53">
        <f>MID(P909,7,2)</f>
        <v/>
      </c>
      <c r="S909" s="3" t="inlineStr">
        <is>
          <t>G2G</t>
        </is>
      </c>
      <c r="T909" s="3" t="inlineStr">
        <is>
          <t>P4</t>
        </is>
      </c>
      <c r="U909" s="3" t="inlineStr">
        <is>
          <t>P JB Cold Soldering</t>
        </is>
      </c>
      <c r="V909" s="3" t="inlineStr">
        <is>
          <t>Soldering</t>
        </is>
      </c>
      <c r="W909" s="3" t="inlineStr">
        <is>
          <t>Repair</t>
        </is>
      </c>
      <c r="X909" s="18" t="n">
        <v>46155</v>
      </c>
      <c r="Y909" s="73">
        <f>IF(X909="","",X909-A909)</f>
        <v/>
      </c>
      <c r="Z909" s="18" t="n">
        <v>46155</v>
      </c>
      <c r="AA909" s="15" t="n"/>
      <c r="AB909" s="15" t="n"/>
      <c r="AF909">
        <f>IF(AND($F909="Closed",$X909&gt;=DATE(2026,5,1),$X909&lt;=DATE(2026,5,31)),"Closed in May","Other")</f>
        <v/>
      </c>
    </row>
    <row r="910">
      <c r="A910" s="37" t="n">
        <v>46143</v>
      </c>
      <c r="B910" s="3" t="n">
        <v>2026</v>
      </c>
      <c r="C910" s="26" t="inlineStr">
        <is>
          <t>Yanara Power</t>
        </is>
      </c>
      <c r="D910" s="3" t="inlineStr">
        <is>
          <t>Utility and C&amp;I</t>
        </is>
      </c>
      <c r="E910" s="3" t="n"/>
      <c r="F910" s="3" t="inlineStr">
        <is>
          <t>Closed</t>
        </is>
      </c>
      <c r="G910" s="9" t="inlineStr">
        <is>
          <t xml:space="preserve">Ashish Jindal </t>
        </is>
      </c>
      <c r="H910" s="26" t="n">
        <v>9983975581</v>
      </c>
      <c r="I910" s="38" t="inlineStr">
        <is>
          <t>PE01052601</t>
        </is>
      </c>
      <c r="J910" s="26" t="inlineStr">
        <is>
          <t>Multiple Issues</t>
        </is>
      </c>
      <c r="K910" s="39" t="inlineStr">
        <is>
          <t>Holi</t>
        </is>
      </c>
      <c r="L910" s="39" t="inlineStr">
        <is>
          <t>Maharashtra</t>
        </is>
      </c>
      <c r="M910" s="9" t="inlineStr">
        <is>
          <t>PNS</t>
        </is>
      </c>
      <c r="N910" s="3" t="inlineStr">
        <is>
          <t>Cold Soldering</t>
        </is>
      </c>
      <c r="O910" s="39" t="n">
        <v>575</v>
      </c>
      <c r="P910" s="9" t="inlineStr">
        <is>
          <t>NSMI24070181087</t>
        </is>
      </c>
      <c r="Q910" s="53">
        <f>MID(P910,5,2)</f>
        <v/>
      </c>
      <c r="R910" s="53">
        <f>MID(P910,7,2)</f>
        <v/>
      </c>
      <c r="S910" s="3" t="inlineStr">
        <is>
          <t>G2TB</t>
        </is>
      </c>
      <c r="T910" s="3" t="inlineStr">
        <is>
          <t>P4</t>
        </is>
      </c>
      <c r="U910" s="3" t="inlineStr">
        <is>
          <t>P &amp; N JB Cold Soldering</t>
        </is>
      </c>
      <c r="V910" s="3" t="inlineStr">
        <is>
          <t>Soldering</t>
        </is>
      </c>
      <c r="W910" s="3" t="inlineStr">
        <is>
          <t>Repair</t>
        </is>
      </c>
      <c r="X910" s="18" t="n">
        <v>46155</v>
      </c>
      <c r="Y910" s="73">
        <f>IF(X910="","",X910-A910)</f>
        <v/>
      </c>
      <c r="Z910" s="18" t="n">
        <v>46155</v>
      </c>
      <c r="AA910" s="15" t="n"/>
      <c r="AB910" s="15" t="n"/>
      <c r="AF910">
        <f>IF(AND($F910="Closed",$X910&gt;=DATE(2026,5,1),$X910&lt;=DATE(2026,5,31)),"Closed in May","Other")</f>
        <v/>
      </c>
    </row>
    <row r="911">
      <c r="A911" s="37" t="n">
        <v>46143</v>
      </c>
      <c r="B911" s="3" t="n">
        <v>2026</v>
      </c>
      <c r="C911" s="26" t="inlineStr">
        <is>
          <t>Yanara Power</t>
        </is>
      </c>
      <c r="D911" s="3" t="inlineStr">
        <is>
          <t>Utility and C&amp;I</t>
        </is>
      </c>
      <c r="E911" s="3" t="n"/>
      <c r="F911" s="3" t="inlineStr">
        <is>
          <t>Closed</t>
        </is>
      </c>
      <c r="G911" s="9" t="inlineStr">
        <is>
          <t xml:space="preserve">Ashish Jindal </t>
        </is>
      </c>
      <c r="H911" s="26" t="n">
        <v>9983975581</v>
      </c>
      <c r="I911" s="38" t="inlineStr">
        <is>
          <t>PE01052601</t>
        </is>
      </c>
      <c r="J911" s="26" t="inlineStr">
        <is>
          <t>Multiple Issues</t>
        </is>
      </c>
      <c r="K911" s="39" t="inlineStr">
        <is>
          <t>Holi</t>
        </is>
      </c>
      <c r="L911" s="39" t="inlineStr">
        <is>
          <t>Maharashtra</t>
        </is>
      </c>
      <c r="M911" s="9" t="inlineStr">
        <is>
          <t>PS</t>
        </is>
      </c>
      <c r="N911" s="3" t="inlineStr">
        <is>
          <t>Cold Soldering</t>
        </is>
      </c>
      <c r="O911" s="39" t="n">
        <v>575</v>
      </c>
      <c r="P911" s="9" t="inlineStr">
        <is>
          <t>NSMI24070183806</t>
        </is>
      </c>
      <c r="Q911" s="53">
        <f>MID(P911,5,2)</f>
        <v/>
      </c>
      <c r="R911" s="53">
        <f>MID(P911,7,2)</f>
        <v/>
      </c>
      <c r="S911" s="3" t="inlineStr">
        <is>
          <t>G2G</t>
        </is>
      </c>
      <c r="T911" s="3" t="inlineStr">
        <is>
          <t>P4</t>
        </is>
      </c>
      <c r="U911" s="3" t="inlineStr">
        <is>
          <t>P JB Cold Soldering</t>
        </is>
      </c>
      <c r="V911" s="3" t="inlineStr">
        <is>
          <t>Soldering</t>
        </is>
      </c>
      <c r="W911" s="3" t="inlineStr">
        <is>
          <t>Repair</t>
        </is>
      </c>
      <c r="X911" s="18" t="n">
        <v>46155</v>
      </c>
      <c r="Y911" s="73">
        <f>IF(X911="","",X911-A911)</f>
        <v/>
      </c>
      <c r="Z911" s="18" t="n">
        <v>46155</v>
      </c>
      <c r="AA911" s="15" t="n"/>
      <c r="AB911" s="15" t="n"/>
      <c r="AF911">
        <f>IF(AND($F911="Closed",$X911&gt;=DATE(2026,5,1),$X911&lt;=DATE(2026,5,31)),"Closed in May","Other")</f>
        <v/>
      </c>
    </row>
    <row r="912">
      <c r="A912" s="37" t="n">
        <v>46143</v>
      </c>
      <c r="B912" s="3" t="n">
        <v>2026</v>
      </c>
      <c r="C912" s="26" t="inlineStr">
        <is>
          <t>Yanara Power</t>
        </is>
      </c>
      <c r="D912" s="3" t="inlineStr">
        <is>
          <t>Utility and C&amp;I</t>
        </is>
      </c>
      <c r="E912" s="3" t="n"/>
      <c r="F912" s="3" t="inlineStr">
        <is>
          <t>Closed</t>
        </is>
      </c>
      <c r="G912" s="9" t="inlineStr">
        <is>
          <t xml:space="preserve">Ashish Jindal </t>
        </is>
      </c>
      <c r="H912" s="26" t="n">
        <v>9983975581</v>
      </c>
      <c r="I912" s="38" t="inlineStr">
        <is>
          <t>PE01052601</t>
        </is>
      </c>
      <c r="J912" s="26" t="inlineStr">
        <is>
          <t>Multiple Issues</t>
        </is>
      </c>
      <c r="K912" s="39" t="inlineStr">
        <is>
          <t>Holi</t>
        </is>
      </c>
      <c r="L912" s="39" t="inlineStr">
        <is>
          <t>Maharashtra</t>
        </is>
      </c>
      <c r="M912" s="9" t="inlineStr">
        <is>
          <t>PS</t>
        </is>
      </c>
      <c r="N912" s="3" t="inlineStr">
        <is>
          <t>Cold Soldering</t>
        </is>
      </c>
      <c r="O912" s="39" t="n">
        <v>575</v>
      </c>
      <c r="P912" s="9" t="inlineStr">
        <is>
          <t>NSMI24070183214</t>
        </is>
      </c>
      <c r="Q912" s="53">
        <f>MID(P912,5,2)</f>
        <v/>
      </c>
      <c r="R912" s="53">
        <f>MID(P912,7,2)</f>
        <v/>
      </c>
      <c r="S912" s="3" t="inlineStr">
        <is>
          <t>G2G</t>
        </is>
      </c>
      <c r="T912" s="3" t="inlineStr">
        <is>
          <t>P4</t>
        </is>
      </c>
      <c r="U912" s="3" t="inlineStr">
        <is>
          <t>P JB Cold Soldering</t>
        </is>
      </c>
      <c r="V912" s="3" t="inlineStr">
        <is>
          <t>Soldering</t>
        </is>
      </c>
      <c r="W912" s="3" t="inlineStr">
        <is>
          <t>Repair</t>
        </is>
      </c>
      <c r="X912" s="18" t="n">
        <v>46155</v>
      </c>
      <c r="Y912" s="73">
        <f>IF(X912="","",X912-A912)</f>
        <v/>
      </c>
      <c r="Z912" s="18" t="n">
        <v>46155</v>
      </c>
      <c r="AA912" s="15" t="n"/>
      <c r="AB912" s="15" t="n"/>
      <c r="AF912">
        <f>IF(AND($F912="Closed",$X912&gt;=DATE(2026,5,1),$X912&lt;=DATE(2026,5,31)),"Closed in May","Other")</f>
        <v/>
      </c>
    </row>
    <row r="913">
      <c r="A913" s="37" t="n">
        <v>46143</v>
      </c>
      <c r="B913" s="3" t="n">
        <v>2026</v>
      </c>
      <c r="C913" s="26" t="inlineStr">
        <is>
          <t>Yanara Power</t>
        </is>
      </c>
      <c r="D913" s="3" t="inlineStr">
        <is>
          <t>Utility and C&amp;I</t>
        </is>
      </c>
      <c r="E913" s="3" t="n"/>
      <c r="F913" s="3" t="inlineStr">
        <is>
          <t>Closed</t>
        </is>
      </c>
      <c r="G913" s="9" t="inlineStr">
        <is>
          <t xml:space="preserve">Ashish Jindal </t>
        </is>
      </c>
      <c r="H913" s="26" t="n">
        <v>9983975581</v>
      </c>
      <c r="I913" s="38" t="inlineStr">
        <is>
          <t>PE01052601</t>
        </is>
      </c>
      <c r="J913" s="26" t="inlineStr">
        <is>
          <t>Multiple Issues</t>
        </is>
      </c>
      <c r="K913" s="39" t="inlineStr">
        <is>
          <t>Holi</t>
        </is>
      </c>
      <c r="L913" s="39" t="inlineStr">
        <is>
          <t>Maharashtra</t>
        </is>
      </c>
      <c r="M913" s="9" t="inlineStr">
        <is>
          <t>NS</t>
        </is>
      </c>
      <c r="N913" s="3" t="inlineStr">
        <is>
          <t>Cold Soldering</t>
        </is>
      </c>
      <c r="O913" s="39" t="n">
        <v>575</v>
      </c>
      <c r="P913" s="9" t="inlineStr">
        <is>
          <t>NSMI24070185622</t>
        </is>
      </c>
      <c r="Q913" s="53">
        <f>MID(P913,5,2)</f>
        <v/>
      </c>
      <c r="R913" s="53">
        <f>MID(P913,7,2)</f>
        <v/>
      </c>
      <c r="S913" s="3" t="inlineStr">
        <is>
          <t>G2TB</t>
        </is>
      </c>
      <c r="T913" s="3" t="inlineStr">
        <is>
          <t>P4</t>
        </is>
      </c>
      <c r="U913" s="3" t="inlineStr">
        <is>
          <t>N JB Cold Soldering</t>
        </is>
      </c>
      <c r="V913" s="3" t="inlineStr">
        <is>
          <t>Soldering</t>
        </is>
      </c>
      <c r="W913" s="3" t="inlineStr">
        <is>
          <t>Repair</t>
        </is>
      </c>
      <c r="X913" s="18" t="n">
        <v>46155</v>
      </c>
      <c r="Y913" s="73">
        <f>IF(X913="","",X913-A913)</f>
        <v/>
      </c>
      <c r="Z913" s="18" t="n">
        <v>46155</v>
      </c>
      <c r="AA913" s="15" t="n"/>
      <c r="AB913" s="15" t="n"/>
      <c r="AF913">
        <f>IF(AND($F913="Closed",$X913&gt;=DATE(2026,5,1),$X913&lt;=DATE(2026,5,31)),"Closed in May","Other")</f>
        <v/>
      </c>
    </row>
    <row r="914">
      <c r="A914" s="37" t="n">
        <v>46143</v>
      </c>
      <c r="B914" s="3" t="n">
        <v>2026</v>
      </c>
      <c r="C914" s="26" t="inlineStr">
        <is>
          <t>Yanara Power</t>
        </is>
      </c>
      <c r="D914" s="3" t="inlineStr">
        <is>
          <t>Utility and C&amp;I</t>
        </is>
      </c>
      <c r="E914" s="3" t="n"/>
      <c r="F914" s="3" t="inlineStr">
        <is>
          <t>Closed</t>
        </is>
      </c>
      <c r="G914" s="9" t="inlineStr">
        <is>
          <t xml:space="preserve">Ashish Jindal </t>
        </is>
      </c>
      <c r="H914" s="26" t="n">
        <v>9983975581</v>
      </c>
      <c r="I914" s="38" t="inlineStr">
        <is>
          <t>PE01052601</t>
        </is>
      </c>
      <c r="J914" s="26" t="inlineStr">
        <is>
          <t>Multiple Issues</t>
        </is>
      </c>
      <c r="K914" s="39" t="inlineStr">
        <is>
          <t>Holi</t>
        </is>
      </c>
      <c r="L914" s="39" t="inlineStr">
        <is>
          <t>Maharashtra</t>
        </is>
      </c>
      <c r="M914" s="9" t="inlineStr">
        <is>
          <t>PS</t>
        </is>
      </c>
      <c r="N914" s="3" t="inlineStr">
        <is>
          <t>Cold Soldering</t>
        </is>
      </c>
      <c r="O914" s="39" t="n">
        <v>575</v>
      </c>
      <c r="P914" s="9" t="inlineStr">
        <is>
          <t>NSMI24070195602</t>
        </is>
      </c>
      <c r="Q914" s="53">
        <f>MID(P914,5,2)</f>
        <v/>
      </c>
      <c r="R914" s="53">
        <f>MID(P914,7,2)</f>
        <v/>
      </c>
      <c r="S914" s="3" t="inlineStr">
        <is>
          <t>G2G</t>
        </is>
      </c>
      <c r="T914" s="3" t="inlineStr">
        <is>
          <t>P4</t>
        </is>
      </c>
      <c r="U914" s="3" t="inlineStr">
        <is>
          <t>P JB Cold Soldering</t>
        </is>
      </c>
      <c r="V914" s="3" t="inlineStr">
        <is>
          <t>Soldering</t>
        </is>
      </c>
      <c r="W914" s="3" t="inlineStr">
        <is>
          <t>Repair</t>
        </is>
      </c>
      <c r="X914" s="18" t="n">
        <v>46155</v>
      </c>
      <c r="Y914" s="73">
        <f>IF(X914="","",X914-A914)</f>
        <v/>
      </c>
      <c r="Z914" s="18" t="n">
        <v>46155</v>
      </c>
      <c r="AA914" s="15" t="n"/>
      <c r="AB914" s="15" t="n"/>
      <c r="AF914">
        <f>IF(AND($F914="Closed",$X914&gt;=DATE(2026,5,1),$X914&lt;=DATE(2026,5,31)),"Closed in May","Other")</f>
        <v/>
      </c>
    </row>
    <row r="915">
      <c r="A915" s="37" t="n">
        <v>46143</v>
      </c>
      <c r="B915" s="3" t="n">
        <v>2026</v>
      </c>
      <c r="C915" s="26" t="inlineStr">
        <is>
          <t>Yanara Power</t>
        </is>
      </c>
      <c r="D915" s="3" t="inlineStr">
        <is>
          <t>Utility and C&amp;I</t>
        </is>
      </c>
      <c r="E915" s="3" t="n"/>
      <c r="F915" s="3" t="inlineStr">
        <is>
          <t>Closed</t>
        </is>
      </c>
      <c r="G915" s="9" t="inlineStr">
        <is>
          <t xml:space="preserve">Ashish Jindal </t>
        </is>
      </c>
      <c r="H915" s="26" t="n">
        <v>9983975581</v>
      </c>
      <c r="I915" s="38" t="inlineStr">
        <is>
          <t>PE01052601</t>
        </is>
      </c>
      <c r="J915" s="26" t="inlineStr">
        <is>
          <t>Multiple Issues</t>
        </is>
      </c>
      <c r="K915" s="39" t="inlineStr">
        <is>
          <t>Holi</t>
        </is>
      </c>
      <c r="L915" s="39" t="inlineStr">
        <is>
          <t>Maharashtra</t>
        </is>
      </c>
      <c r="M915" s="9" t="inlineStr">
        <is>
          <t>PS</t>
        </is>
      </c>
      <c r="N915" s="3" t="inlineStr">
        <is>
          <t>Cold Soldering</t>
        </is>
      </c>
      <c r="O915" s="39" t="n">
        <v>575</v>
      </c>
      <c r="P915" s="9" t="inlineStr">
        <is>
          <t>NSMI24070201930</t>
        </is>
      </c>
      <c r="Q915" s="53">
        <f>MID(P915,5,2)</f>
        <v/>
      </c>
      <c r="R915" s="53">
        <f>MID(P915,7,2)</f>
        <v/>
      </c>
      <c r="S915" s="3" t="inlineStr">
        <is>
          <t>G2G</t>
        </is>
      </c>
      <c r="T915" s="3" t="inlineStr">
        <is>
          <t>P4</t>
        </is>
      </c>
      <c r="U915" s="3" t="inlineStr">
        <is>
          <t>P JB Cold Soldering</t>
        </is>
      </c>
      <c r="V915" s="3" t="inlineStr">
        <is>
          <t>Soldering</t>
        </is>
      </c>
      <c r="W915" s="3" t="inlineStr">
        <is>
          <t>Repair</t>
        </is>
      </c>
      <c r="X915" s="18" t="n">
        <v>46155</v>
      </c>
      <c r="Y915" s="73">
        <f>IF(X915="","",X915-A915)</f>
        <v/>
      </c>
      <c r="Z915" s="18" t="n">
        <v>46155</v>
      </c>
      <c r="AA915" s="15" t="n"/>
      <c r="AB915" s="15" t="n"/>
      <c r="AF915">
        <f>IF(AND($F915="Closed",$X915&gt;=DATE(2026,5,1),$X915&lt;=DATE(2026,5,31)),"Closed in May","Other")</f>
        <v/>
      </c>
    </row>
    <row r="916">
      <c r="A916" s="37" t="n">
        <v>46143</v>
      </c>
      <c r="B916" s="3" t="n">
        <v>2026</v>
      </c>
      <c r="C916" s="26" t="inlineStr">
        <is>
          <t>Yanara Power</t>
        </is>
      </c>
      <c r="D916" s="3" t="inlineStr">
        <is>
          <t>Utility and C&amp;I</t>
        </is>
      </c>
      <c r="E916" s="3" t="n"/>
      <c r="F916" s="3" t="inlineStr">
        <is>
          <t>Closed</t>
        </is>
      </c>
      <c r="G916" s="9" t="inlineStr">
        <is>
          <t xml:space="preserve">Ashish Jindal </t>
        </is>
      </c>
      <c r="H916" s="26" t="n">
        <v>9983975581</v>
      </c>
      <c r="I916" s="38" t="inlineStr">
        <is>
          <t>PE01052601</t>
        </is>
      </c>
      <c r="J916" s="26" t="inlineStr">
        <is>
          <t>Multiple Issues</t>
        </is>
      </c>
      <c r="K916" s="39" t="inlineStr">
        <is>
          <t>Holi</t>
        </is>
      </c>
      <c r="L916" s="39" t="inlineStr">
        <is>
          <t>Maharashtra</t>
        </is>
      </c>
      <c r="M916" s="9" t="inlineStr">
        <is>
          <t>NS</t>
        </is>
      </c>
      <c r="N916" s="3" t="inlineStr">
        <is>
          <t>Cold Soldering</t>
        </is>
      </c>
      <c r="O916" s="39" t="n">
        <v>575</v>
      </c>
      <c r="P916" s="9" t="inlineStr">
        <is>
          <t>NSMI24070201903</t>
        </is>
      </c>
      <c r="Q916" s="53">
        <f>MID(P916,5,2)</f>
        <v/>
      </c>
      <c r="R916" s="53">
        <f>MID(P916,7,2)</f>
        <v/>
      </c>
      <c r="S916" s="3" t="inlineStr">
        <is>
          <t>G2TB</t>
        </is>
      </c>
      <c r="T916" s="3" t="inlineStr">
        <is>
          <t>P4</t>
        </is>
      </c>
      <c r="U916" s="3" t="inlineStr">
        <is>
          <t>N JB Cold Soldering</t>
        </is>
      </c>
      <c r="V916" s="3" t="inlineStr">
        <is>
          <t>Soldering</t>
        </is>
      </c>
      <c r="W916" s="3" t="inlineStr">
        <is>
          <t>Repair</t>
        </is>
      </c>
      <c r="X916" s="18" t="n">
        <v>46155</v>
      </c>
      <c r="Y916" s="73">
        <f>IF(X916="","",X916-A916)</f>
        <v/>
      </c>
      <c r="Z916" s="18" t="n">
        <v>46155</v>
      </c>
      <c r="AA916" s="15" t="n"/>
      <c r="AB916" s="15" t="n"/>
      <c r="AF916">
        <f>IF(AND($F916="Closed",$X916&gt;=DATE(2026,5,1),$X916&lt;=DATE(2026,5,31)),"Closed in May","Other")</f>
        <v/>
      </c>
    </row>
    <row r="917">
      <c r="A917" s="37" t="n">
        <v>46143</v>
      </c>
      <c r="B917" s="3" t="n">
        <v>2026</v>
      </c>
      <c r="C917" s="26" t="inlineStr">
        <is>
          <t>Yanara Power</t>
        </is>
      </c>
      <c r="D917" s="3" t="inlineStr">
        <is>
          <t>Utility and C&amp;I</t>
        </is>
      </c>
      <c r="E917" s="3" t="n"/>
      <c r="F917" s="3" t="inlineStr">
        <is>
          <t>Closed</t>
        </is>
      </c>
      <c r="G917" s="9" t="inlineStr">
        <is>
          <t xml:space="preserve">Ashish Jindal </t>
        </is>
      </c>
      <c r="H917" s="26" t="n">
        <v>9983975581</v>
      </c>
      <c r="I917" s="38" t="inlineStr">
        <is>
          <t>PE01052601</t>
        </is>
      </c>
      <c r="J917" s="26" t="inlineStr">
        <is>
          <t>Multiple Issues</t>
        </is>
      </c>
      <c r="K917" s="39" t="inlineStr">
        <is>
          <t>Holi</t>
        </is>
      </c>
      <c r="L917" s="39" t="inlineStr">
        <is>
          <t>Maharashtra</t>
        </is>
      </c>
      <c r="M917" s="9" t="inlineStr">
        <is>
          <t>PS</t>
        </is>
      </c>
      <c r="N917" s="3" t="inlineStr">
        <is>
          <t>Cold Soldering</t>
        </is>
      </c>
      <c r="O917" s="39" t="n">
        <v>575</v>
      </c>
      <c r="P917" s="9" t="inlineStr">
        <is>
          <t>NSMI24070202000</t>
        </is>
      </c>
      <c r="Q917" s="53">
        <f>MID(P917,5,2)</f>
        <v/>
      </c>
      <c r="R917" s="53">
        <f>MID(P917,7,2)</f>
        <v/>
      </c>
      <c r="S917" s="3" t="inlineStr">
        <is>
          <t>G2G</t>
        </is>
      </c>
      <c r="T917" s="3" t="inlineStr">
        <is>
          <t>P4</t>
        </is>
      </c>
      <c r="U917" s="3" t="inlineStr">
        <is>
          <t>P JB Cold Soldering</t>
        </is>
      </c>
      <c r="V917" s="3" t="inlineStr">
        <is>
          <t>Soldering</t>
        </is>
      </c>
      <c r="W917" s="3" t="inlineStr">
        <is>
          <t>Repair</t>
        </is>
      </c>
      <c r="X917" s="18" t="n">
        <v>46155</v>
      </c>
      <c r="Y917" s="73">
        <f>IF(X917="","",X917-A917)</f>
        <v/>
      </c>
      <c r="Z917" s="18" t="n">
        <v>46155</v>
      </c>
      <c r="AA917" s="15" t="n"/>
      <c r="AB917" s="15" t="n"/>
      <c r="AF917">
        <f>IF(AND($F917="Closed",$X917&gt;=DATE(2026,5,1),$X917&lt;=DATE(2026,5,31)),"Closed in May","Other")</f>
        <v/>
      </c>
    </row>
    <row r="918">
      <c r="A918" s="37" t="n">
        <v>46143</v>
      </c>
      <c r="B918" s="3" t="n">
        <v>2026</v>
      </c>
      <c r="C918" s="26" t="inlineStr">
        <is>
          <t>Yanara Power</t>
        </is>
      </c>
      <c r="D918" s="3" t="inlineStr">
        <is>
          <t>Utility and C&amp;I</t>
        </is>
      </c>
      <c r="E918" s="3" t="n"/>
      <c r="F918" s="3" t="inlineStr">
        <is>
          <t>Closed</t>
        </is>
      </c>
      <c r="G918" s="9" t="inlineStr">
        <is>
          <t xml:space="preserve">Ashish Jindal </t>
        </is>
      </c>
      <c r="H918" s="26" t="n">
        <v>9983975581</v>
      </c>
      <c r="I918" s="38" t="inlineStr">
        <is>
          <t>PE01052601</t>
        </is>
      </c>
      <c r="J918" s="26" t="inlineStr">
        <is>
          <t>Multiple Issues</t>
        </is>
      </c>
      <c r="K918" s="39" t="inlineStr">
        <is>
          <t>Holi</t>
        </is>
      </c>
      <c r="L918" s="39" t="inlineStr">
        <is>
          <t>Maharashtra</t>
        </is>
      </c>
      <c r="M918" s="9" t="inlineStr">
        <is>
          <t>NS</t>
        </is>
      </c>
      <c r="N918" s="3" t="inlineStr">
        <is>
          <t>Cold Soldering</t>
        </is>
      </c>
      <c r="O918" s="39" t="n">
        <v>575</v>
      </c>
      <c r="P918" s="9" t="inlineStr">
        <is>
          <t>NSMI24070201973</t>
        </is>
      </c>
      <c r="Q918" s="53">
        <f>MID(P918,5,2)</f>
        <v/>
      </c>
      <c r="R918" s="53">
        <f>MID(P918,7,2)</f>
        <v/>
      </c>
      <c r="S918" s="3" t="inlineStr">
        <is>
          <t>G2TB</t>
        </is>
      </c>
      <c r="T918" s="3" t="inlineStr">
        <is>
          <t>P4</t>
        </is>
      </c>
      <c r="U918" s="3" t="inlineStr">
        <is>
          <t>N JB Cold Soldering</t>
        </is>
      </c>
      <c r="V918" s="3" t="inlineStr">
        <is>
          <t>Soldering</t>
        </is>
      </c>
      <c r="W918" s="3" t="inlineStr">
        <is>
          <t>Repair</t>
        </is>
      </c>
      <c r="X918" s="18" t="n">
        <v>46155</v>
      </c>
      <c r="Y918" s="73">
        <f>IF(X918="","",X918-A918)</f>
        <v/>
      </c>
      <c r="Z918" s="18" t="n">
        <v>46155</v>
      </c>
      <c r="AA918" s="15" t="n"/>
      <c r="AB918" s="15" t="n"/>
      <c r="AF918">
        <f>IF(AND($F918="Closed",$X918&gt;=DATE(2026,5,1),$X918&lt;=DATE(2026,5,31)),"Closed in May","Other")</f>
        <v/>
      </c>
    </row>
    <row r="919">
      <c r="A919" s="37" t="n">
        <v>46143</v>
      </c>
      <c r="B919" s="3" t="n">
        <v>2026</v>
      </c>
      <c r="C919" s="26" t="inlineStr">
        <is>
          <t>Yanara Power</t>
        </is>
      </c>
      <c r="D919" s="3" t="inlineStr">
        <is>
          <t>Utility and C&amp;I</t>
        </is>
      </c>
      <c r="E919" s="3" t="n"/>
      <c r="F919" s="3" t="inlineStr">
        <is>
          <t>Closed</t>
        </is>
      </c>
      <c r="G919" s="9" t="inlineStr">
        <is>
          <t xml:space="preserve">Ashish Jindal </t>
        </is>
      </c>
      <c r="H919" s="26" t="n">
        <v>9983975581</v>
      </c>
      <c r="I919" s="38" t="inlineStr">
        <is>
          <t>PE01052601</t>
        </is>
      </c>
      <c r="J919" s="26" t="inlineStr">
        <is>
          <t>Multiple Issues</t>
        </is>
      </c>
      <c r="K919" s="39" t="inlineStr">
        <is>
          <t>Holi</t>
        </is>
      </c>
      <c r="L919" s="39" t="inlineStr">
        <is>
          <t>Maharashtra</t>
        </is>
      </c>
      <c r="M919" s="9" t="inlineStr">
        <is>
          <t>PS</t>
        </is>
      </c>
      <c r="N919" s="3" t="inlineStr">
        <is>
          <t>Cold Soldering</t>
        </is>
      </c>
      <c r="O919" s="39" t="n">
        <v>575</v>
      </c>
      <c r="P919" s="9" t="inlineStr">
        <is>
          <t>NSMI24070201972</t>
        </is>
      </c>
      <c r="Q919" s="53">
        <f>MID(P919,5,2)</f>
        <v/>
      </c>
      <c r="R919" s="53">
        <f>MID(P919,7,2)</f>
        <v/>
      </c>
      <c r="S919" s="3" t="inlineStr">
        <is>
          <t>G2G</t>
        </is>
      </c>
      <c r="T919" s="3" t="inlineStr">
        <is>
          <t>P4</t>
        </is>
      </c>
      <c r="U919" s="3" t="inlineStr">
        <is>
          <t>P JB Cold Soldering</t>
        </is>
      </c>
      <c r="V919" s="3" t="inlineStr">
        <is>
          <t>Soldering</t>
        </is>
      </c>
      <c r="W919" s="3" t="inlineStr">
        <is>
          <t>Repair</t>
        </is>
      </c>
      <c r="X919" s="18" t="n">
        <v>46155</v>
      </c>
      <c r="Y919" s="73">
        <f>IF(X919="","",X919-A919)</f>
        <v/>
      </c>
      <c r="Z919" s="18" t="n">
        <v>46155</v>
      </c>
      <c r="AA919" s="15" t="n"/>
      <c r="AB919" s="15" t="n"/>
      <c r="AF919">
        <f>IF(AND($F919="Closed",$X919&gt;=DATE(2026,5,1),$X919&lt;=DATE(2026,5,31)),"Closed in May","Other")</f>
        <v/>
      </c>
    </row>
    <row r="920">
      <c r="A920" s="37" t="n">
        <v>46143</v>
      </c>
      <c r="B920" s="3" t="n">
        <v>2026</v>
      </c>
      <c r="C920" s="26" t="inlineStr">
        <is>
          <t>Yanara Power</t>
        </is>
      </c>
      <c r="D920" s="3" t="inlineStr">
        <is>
          <t>Utility and C&amp;I</t>
        </is>
      </c>
      <c r="E920" s="3" t="n"/>
      <c r="F920" s="3" t="inlineStr">
        <is>
          <t>Closed</t>
        </is>
      </c>
      <c r="G920" s="9" t="inlineStr">
        <is>
          <t xml:space="preserve">Ashish Jindal </t>
        </is>
      </c>
      <c r="H920" s="26" t="n">
        <v>9983975581</v>
      </c>
      <c r="I920" s="38" t="inlineStr">
        <is>
          <t>PE01052601</t>
        </is>
      </c>
      <c r="J920" s="26" t="inlineStr">
        <is>
          <t>Multiple Issues</t>
        </is>
      </c>
      <c r="K920" s="39" t="inlineStr">
        <is>
          <t>Holi</t>
        </is>
      </c>
      <c r="L920" s="39" t="inlineStr">
        <is>
          <t>Maharashtra</t>
        </is>
      </c>
      <c r="M920" s="9" t="inlineStr">
        <is>
          <t>NS</t>
        </is>
      </c>
      <c r="N920" s="3" t="inlineStr">
        <is>
          <t>Cold Soldering</t>
        </is>
      </c>
      <c r="O920" s="39" t="n">
        <v>575</v>
      </c>
      <c r="P920" s="9" t="inlineStr">
        <is>
          <t>NSMI24070201899</t>
        </is>
      </c>
      <c r="Q920" s="53">
        <f>MID(P920,5,2)</f>
        <v/>
      </c>
      <c r="R920" s="53">
        <f>MID(P920,7,2)</f>
        <v/>
      </c>
      <c r="S920" s="3" t="inlineStr">
        <is>
          <t>G2TB</t>
        </is>
      </c>
      <c r="T920" s="3" t="inlineStr">
        <is>
          <t>P4</t>
        </is>
      </c>
      <c r="U920" s="3" t="inlineStr">
        <is>
          <t>N JB Cold Soldering</t>
        </is>
      </c>
      <c r="V920" s="3" t="inlineStr">
        <is>
          <t>Soldering</t>
        </is>
      </c>
      <c r="W920" s="3" t="inlineStr">
        <is>
          <t>Repair</t>
        </is>
      </c>
      <c r="X920" s="18" t="n">
        <v>46155</v>
      </c>
      <c r="Y920" s="73">
        <f>IF(X920="","",X920-A920)</f>
        <v/>
      </c>
      <c r="Z920" s="18" t="n">
        <v>46155</v>
      </c>
      <c r="AA920" s="15" t="n"/>
      <c r="AB920" s="15" t="n"/>
      <c r="AF920">
        <f>IF(AND($F920="Closed",$X920&gt;=DATE(2026,5,1),$X920&lt;=DATE(2026,5,31)),"Closed in May","Other")</f>
        <v/>
      </c>
    </row>
    <row r="921">
      <c r="A921" s="37" t="n">
        <v>46143</v>
      </c>
      <c r="B921" s="3" t="n">
        <v>2026</v>
      </c>
      <c r="C921" s="26" t="inlineStr">
        <is>
          <t>Yanara Power</t>
        </is>
      </c>
      <c r="D921" s="3" t="inlineStr">
        <is>
          <t>Utility and C&amp;I</t>
        </is>
      </c>
      <c r="E921" s="3" t="n"/>
      <c r="F921" s="3" t="inlineStr">
        <is>
          <t>Closed</t>
        </is>
      </c>
      <c r="G921" s="9" t="inlineStr">
        <is>
          <t xml:space="preserve">Ashish Jindal </t>
        </is>
      </c>
      <c r="H921" s="26" t="n">
        <v>9983975581</v>
      </c>
      <c r="I921" s="38" t="inlineStr">
        <is>
          <t>PE01052601</t>
        </is>
      </c>
      <c r="J921" s="26" t="inlineStr">
        <is>
          <t>Multiple Issues</t>
        </is>
      </c>
      <c r="K921" s="39" t="inlineStr">
        <is>
          <t>Holi</t>
        </is>
      </c>
      <c r="L921" s="39" t="inlineStr">
        <is>
          <t>Maharashtra</t>
        </is>
      </c>
      <c r="M921" s="9" t="inlineStr">
        <is>
          <t>PS</t>
        </is>
      </c>
      <c r="N921" s="3" t="inlineStr">
        <is>
          <t>Cold Soldering</t>
        </is>
      </c>
      <c r="O921" s="39" t="n">
        <v>575</v>
      </c>
      <c r="P921" s="9" t="inlineStr">
        <is>
          <t>NSMI24070191008</t>
        </is>
      </c>
      <c r="Q921" s="53">
        <f>MID(P921,5,2)</f>
        <v/>
      </c>
      <c r="R921" s="53">
        <f>MID(P921,7,2)</f>
        <v/>
      </c>
      <c r="S921" s="3" t="inlineStr">
        <is>
          <t>G2G</t>
        </is>
      </c>
      <c r="T921" s="3" t="inlineStr">
        <is>
          <t>P4</t>
        </is>
      </c>
      <c r="U921" s="3" t="inlineStr">
        <is>
          <t>P JB Cold Soldering &amp; Back Glass Broken</t>
        </is>
      </c>
      <c r="V921" s="3" t="inlineStr">
        <is>
          <t>Soldering</t>
        </is>
      </c>
      <c r="W921" s="3" t="inlineStr">
        <is>
          <t>Repair</t>
        </is>
      </c>
      <c r="X921" s="18" t="n">
        <v>46155</v>
      </c>
      <c r="Y921" s="73">
        <f>IF(X921="","",X921-A921)</f>
        <v/>
      </c>
      <c r="Z921" s="18" t="n">
        <v>46155</v>
      </c>
      <c r="AA921" s="15" t="n"/>
      <c r="AB921" s="15" t="n"/>
      <c r="AF921">
        <f>IF(AND($F921="Closed",$X921&gt;=DATE(2026,5,1),$X921&lt;=DATE(2026,5,31)),"Closed in May","Other")</f>
        <v/>
      </c>
    </row>
    <row r="922">
      <c r="A922" s="37" t="n">
        <v>46143</v>
      </c>
      <c r="B922" s="3" t="n">
        <v>2026</v>
      </c>
      <c r="C922" s="26" t="inlineStr">
        <is>
          <t>Yanara Power</t>
        </is>
      </c>
      <c r="D922" s="3" t="inlineStr">
        <is>
          <t>Utility and C&amp;I</t>
        </is>
      </c>
      <c r="E922" s="3" t="n"/>
      <c r="F922" s="3" t="inlineStr">
        <is>
          <t>Closed</t>
        </is>
      </c>
      <c r="G922" s="9" t="inlineStr">
        <is>
          <t xml:space="preserve">Ashish Jindal </t>
        </is>
      </c>
      <c r="H922" s="26" t="n">
        <v>9983975581</v>
      </c>
      <c r="I922" s="38" t="inlineStr">
        <is>
          <t>PE01052601</t>
        </is>
      </c>
      <c r="J922" s="26" t="inlineStr">
        <is>
          <t>Multiple Issues</t>
        </is>
      </c>
      <c r="K922" s="39" t="inlineStr">
        <is>
          <t>Holi</t>
        </is>
      </c>
      <c r="L922" s="39" t="inlineStr">
        <is>
          <t>Maharashtra</t>
        </is>
      </c>
      <c r="M922" s="9" t="inlineStr">
        <is>
          <t>NS</t>
        </is>
      </c>
      <c r="N922" s="3" t="inlineStr">
        <is>
          <t>Cold Soldering</t>
        </is>
      </c>
      <c r="O922" s="39" t="n">
        <v>575</v>
      </c>
      <c r="P922" s="9" t="inlineStr">
        <is>
          <t>NSMI24070191017</t>
        </is>
      </c>
      <c r="Q922" s="53">
        <f>MID(P922,5,2)</f>
        <v/>
      </c>
      <c r="R922" s="53">
        <f>MID(P922,7,2)</f>
        <v/>
      </c>
      <c r="S922" s="3" t="inlineStr">
        <is>
          <t>G2TB</t>
        </is>
      </c>
      <c r="T922" s="3" t="inlineStr">
        <is>
          <t>P4</t>
        </is>
      </c>
      <c r="U922" s="3" t="inlineStr">
        <is>
          <t>N JB Cold Soldering</t>
        </is>
      </c>
      <c r="V922" s="3" t="inlineStr">
        <is>
          <t>Soldering</t>
        </is>
      </c>
      <c r="W922" s="3" t="inlineStr">
        <is>
          <t>Repair</t>
        </is>
      </c>
      <c r="X922" s="18" t="n">
        <v>46155</v>
      </c>
      <c r="Y922" s="73">
        <f>IF(X922="","",X922-A922)</f>
        <v/>
      </c>
      <c r="Z922" s="18" t="n">
        <v>46155</v>
      </c>
      <c r="AA922" s="15" t="n"/>
      <c r="AB922" s="15" t="n"/>
      <c r="AF922">
        <f>IF(AND($F922="Closed",$X922&gt;=DATE(2026,5,1),$X922&lt;=DATE(2026,5,31)),"Closed in May","Other")</f>
        <v/>
      </c>
    </row>
    <row r="923">
      <c r="A923" s="37" t="n">
        <v>46143</v>
      </c>
      <c r="B923" s="3" t="n">
        <v>2026</v>
      </c>
      <c r="C923" s="26" t="inlineStr">
        <is>
          <t>Yanara Power</t>
        </is>
      </c>
      <c r="D923" s="3" t="inlineStr">
        <is>
          <t>Utility and C&amp;I</t>
        </is>
      </c>
      <c r="E923" s="3" t="n"/>
      <c r="F923" s="3" t="inlineStr">
        <is>
          <t>Closed</t>
        </is>
      </c>
      <c r="G923" s="9" t="inlineStr">
        <is>
          <t xml:space="preserve">Ashish Jindal </t>
        </is>
      </c>
      <c r="H923" s="26" t="n">
        <v>9983975581</v>
      </c>
      <c r="I923" s="38" t="inlineStr">
        <is>
          <t>PE01052601</t>
        </is>
      </c>
      <c r="J923" s="26" t="inlineStr">
        <is>
          <t>Multiple Issues</t>
        </is>
      </c>
      <c r="K923" s="39" t="inlineStr">
        <is>
          <t>Holi</t>
        </is>
      </c>
      <c r="L923" s="39" t="inlineStr">
        <is>
          <t>Maharashtra</t>
        </is>
      </c>
      <c r="M923" s="9" t="inlineStr">
        <is>
          <t>PS</t>
        </is>
      </c>
      <c r="N923" s="3" t="inlineStr">
        <is>
          <t>Cold Soldering</t>
        </is>
      </c>
      <c r="O923" s="39" t="n">
        <v>575</v>
      </c>
      <c r="P923" s="9" t="inlineStr">
        <is>
          <t>NSMI24070191019</t>
        </is>
      </c>
      <c r="Q923" s="53">
        <f>MID(P923,5,2)</f>
        <v/>
      </c>
      <c r="R923" s="53">
        <f>MID(P923,7,2)</f>
        <v/>
      </c>
      <c r="S923" s="3" t="inlineStr">
        <is>
          <t>G2G</t>
        </is>
      </c>
      <c r="T923" s="3" t="inlineStr">
        <is>
          <t>P4</t>
        </is>
      </c>
      <c r="U923" s="3" t="inlineStr">
        <is>
          <t>P JB Cold Soldering</t>
        </is>
      </c>
      <c r="V923" s="3" t="inlineStr">
        <is>
          <t>Soldering</t>
        </is>
      </c>
      <c r="W923" s="3" t="inlineStr">
        <is>
          <t>Repair</t>
        </is>
      </c>
      <c r="X923" s="18" t="n">
        <v>46155</v>
      </c>
      <c r="Y923" s="73">
        <f>IF(X923="","",X923-A923)</f>
        <v/>
      </c>
      <c r="Z923" s="18" t="n">
        <v>46155</v>
      </c>
      <c r="AA923" s="15" t="n"/>
      <c r="AB923" s="15" t="n"/>
      <c r="AF923">
        <f>IF(AND($F923="Closed",$X923&gt;=DATE(2026,5,1),$X923&lt;=DATE(2026,5,31)),"Closed in May","Other")</f>
        <v/>
      </c>
    </row>
    <row r="924">
      <c r="A924" s="37" t="n">
        <v>46143</v>
      </c>
      <c r="B924" s="3" t="n">
        <v>2026</v>
      </c>
      <c r="C924" s="26" t="inlineStr">
        <is>
          <t>Yanara Power</t>
        </is>
      </c>
      <c r="D924" s="3" t="inlineStr">
        <is>
          <t>Utility and C&amp;I</t>
        </is>
      </c>
      <c r="E924" s="3" t="n"/>
      <c r="F924" s="3" t="inlineStr">
        <is>
          <t>Closed</t>
        </is>
      </c>
      <c r="G924" s="9" t="inlineStr">
        <is>
          <t xml:space="preserve">Ashish Jindal </t>
        </is>
      </c>
      <c r="H924" s="26" t="n">
        <v>9983975581</v>
      </c>
      <c r="I924" s="38" t="inlineStr">
        <is>
          <t>PE01052601</t>
        </is>
      </c>
      <c r="J924" s="26" t="inlineStr">
        <is>
          <t>Multiple Issues</t>
        </is>
      </c>
      <c r="K924" s="39" t="inlineStr">
        <is>
          <t>Holi</t>
        </is>
      </c>
      <c r="L924" s="39" t="inlineStr">
        <is>
          <t>Maharashtra</t>
        </is>
      </c>
      <c r="M924" s="9" t="inlineStr">
        <is>
          <t>PS</t>
        </is>
      </c>
      <c r="N924" s="3" t="inlineStr">
        <is>
          <t>Cold Soldering</t>
        </is>
      </c>
      <c r="O924" s="39" t="n">
        <v>575</v>
      </c>
      <c r="P924" s="9" t="inlineStr">
        <is>
          <t>NSMI24070219254</t>
        </is>
      </c>
      <c r="Q924" s="53">
        <f>MID(P924,5,2)</f>
        <v/>
      </c>
      <c r="R924" s="53">
        <f>MID(P924,7,2)</f>
        <v/>
      </c>
      <c r="S924" s="3" t="inlineStr">
        <is>
          <t>G2G</t>
        </is>
      </c>
      <c r="T924" s="3" t="inlineStr">
        <is>
          <t>P4</t>
        </is>
      </c>
      <c r="U924" s="3" t="inlineStr">
        <is>
          <t>P JB Cold Soldering</t>
        </is>
      </c>
      <c r="V924" s="3" t="inlineStr">
        <is>
          <t>Soldering</t>
        </is>
      </c>
      <c r="W924" s="3" t="inlineStr">
        <is>
          <t>Repair</t>
        </is>
      </c>
      <c r="X924" s="18" t="n">
        <v>46155</v>
      </c>
      <c r="Y924" s="73">
        <f>IF(X924="","",X924-A924)</f>
        <v/>
      </c>
      <c r="Z924" s="18" t="n">
        <v>46155</v>
      </c>
      <c r="AA924" s="15" t="n"/>
      <c r="AB924" s="15" t="n"/>
      <c r="AF924">
        <f>IF(AND($F924="Closed",$X924&gt;=DATE(2026,5,1),$X924&lt;=DATE(2026,5,31)),"Closed in May","Other")</f>
        <v/>
      </c>
    </row>
    <row r="925">
      <c r="A925" s="37" t="n">
        <v>46139</v>
      </c>
      <c r="B925" s="3" t="n">
        <v>2026</v>
      </c>
      <c r="C925" s="26" t="inlineStr">
        <is>
          <t>Solar Square</t>
        </is>
      </c>
      <c r="D925" s="26" t="inlineStr">
        <is>
          <t>OEM</t>
        </is>
      </c>
      <c r="E925" s="3" t="n"/>
      <c r="F925" s="3" t="inlineStr">
        <is>
          <t>Closed</t>
        </is>
      </c>
      <c r="G925" s="39" t="inlineStr">
        <is>
          <t>Murali</t>
        </is>
      </c>
      <c r="H925" s="39" t="n">
        <v>9703345015</v>
      </c>
      <c r="I925" s="38" t="inlineStr">
        <is>
          <t>PE27042601</t>
        </is>
      </c>
      <c r="J925" s="26" t="inlineStr">
        <is>
          <t>Low VOC</t>
        </is>
      </c>
      <c r="K925" s="26" t="inlineStr">
        <is>
          <t>Hyderabad</t>
        </is>
      </c>
      <c r="L925" s="26" t="inlineStr">
        <is>
          <t>Telangana</t>
        </is>
      </c>
      <c r="M925" s="9" t="inlineStr">
        <is>
          <t>PS</t>
        </is>
      </c>
      <c r="N925" s="3" t="inlineStr">
        <is>
          <t>Cold Soldering</t>
        </is>
      </c>
      <c r="O925" s="39" t="n">
        <v>545</v>
      </c>
      <c r="P925" s="8" t="inlineStr">
        <is>
          <t>NSMP2211207221</t>
        </is>
      </c>
      <c r="Q925" s="53">
        <f>MID(P925,5,2)</f>
        <v/>
      </c>
      <c r="R925" s="53">
        <f>MID(P925,7,2)</f>
        <v/>
      </c>
      <c r="S925" s="3" t="inlineStr">
        <is>
          <t>G2B</t>
        </is>
      </c>
      <c r="T925" s="3" t="inlineStr">
        <is>
          <t>P2</t>
        </is>
      </c>
      <c r="U925" s="3" t="inlineStr">
        <is>
          <t>P JB Cold Soldering</t>
        </is>
      </c>
      <c r="V925" s="3" t="inlineStr">
        <is>
          <t>Soldering</t>
        </is>
      </c>
      <c r="W925" s="3" t="inlineStr">
        <is>
          <t>Repair</t>
        </is>
      </c>
      <c r="X925" s="18" t="n">
        <v>46156</v>
      </c>
      <c r="Y925" s="73">
        <f>IF(X925="","",X925-A925)</f>
        <v/>
      </c>
      <c r="Z925" s="18" t="n">
        <v>46156</v>
      </c>
      <c r="AA925" s="15" t="n"/>
      <c r="AB925" s="15" t="n"/>
      <c r="AF925">
        <f>IF(AND($F925="Closed",$X925&gt;=DATE(2026,5,1),$X925&lt;=DATE(2026,5,31)),"Closed in May","Other")</f>
        <v/>
      </c>
    </row>
    <row r="926">
      <c r="A926" s="37" t="n">
        <v>46139</v>
      </c>
      <c r="B926" s="3" t="n">
        <v>2026</v>
      </c>
      <c r="C926" s="26" t="inlineStr">
        <is>
          <t>Solar Square</t>
        </is>
      </c>
      <c r="D926" s="26" t="inlineStr">
        <is>
          <t>OEM</t>
        </is>
      </c>
      <c r="E926" s="3" t="n"/>
      <c r="F926" s="3" t="inlineStr">
        <is>
          <t>Closed</t>
        </is>
      </c>
      <c r="G926" s="39" t="inlineStr">
        <is>
          <t>Murali</t>
        </is>
      </c>
      <c r="H926" s="39" t="n">
        <v>9703345015</v>
      </c>
      <c r="I926" s="38" t="inlineStr">
        <is>
          <t>PE27042602</t>
        </is>
      </c>
      <c r="J926" s="26" t="inlineStr">
        <is>
          <t>Low VOC</t>
        </is>
      </c>
      <c r="K926" s="26" t="inlineStr">
        <is>
          <t>Hyderabad</t>
        </is>
      </c>
      <c r="L926" s="26" t="inlineStr">
        <is>
          <t>Telangana</t>
        </is>
      </c>
      <c r="M926" s="9" t="inlineStr">
        <is>
          <t>PS</t>
        </is>
      </c>
      <c r="N926" s="3" t="inlineStr">
        <is>
          <t>Cold Soldering</t>
        </is>
      </c>
      <c r="O926" s="39" t="n">
        <v>545</v>
      </c>
      <c r="P926" s="9" t="inlineStr">
        <is>
          <t>NSMP2211207221</t>
        </is>
      </c>
      <c r="Q926" s="53">
        <f>MID(P926,5,2)</f>
        <v/>
      </c>
      <c r="R926" s="53">
        <f>MID(P926,7,2)</f>
        <v/>
      </c>
      <c r="S926" s="3" t="inlineStr">
        <is>
          <t>G2B</t>
        </is>
      </c>
      <c r="T926" s="3" t="inlineStr">
        <is>
          <t>P2</t>
        </is>
      </c>
      <c r="U926" s="3" t="inlineStr">
        <is>
          <t>P JB Cold Soldering</t>
        </is>
      </c>
      <c r="V926" s="3" t="inlineStr">
        <is>
          <t>Soldering</t>
        </is>
      </c>
      <c r="W926" s="3" t="inlineStr">
        <is>
          <t>Repair</t>
        </is>
      </c>
      <c r="X926" s="18" t="n">
        <v>46156</v>
      </c>
      <c r="Y926" s="73">
        <f>IF(X926="","",X926-A926)</f>
        <v/>
      </c>
      <c r="Z926" s="18" t="n">
        <v>46156</v>
      </c>
      <c r="AA926" s="15" t="n"/>
      <c r="AB926" s="15" t="n"/>
      <c r="AF926">
        <f>IF(AND($F926="Closed",$X926&gt;=DATE(2026,5,1),$X926&lt;=DATE(2026,5,31)),"Closed in May","Other")</f>
        <v/>
      </c>
    </row>
    <row r="927">
      <c r="A927" s="37" t="n">
        <v>46139</v>
      </c>
      <c r="B927" s="3" t="n">
        <v>2026</v>
      </c>
      <c r="C927" s="26" t="inlineStr">
        <is>
          <t>Solar Square</t>
        </is>
      </c>
      <c r="D927" s="26" t="inlineStr">
        <is>
          <t>OEM</t>
        </is>
      </c>
      <c r="E927" s="3" t="n"/>
      <c r="F927" s="3" t="inlineStr">
        <is>
          <t>Closed</t>
        </is>
      </c>
      <c r="G927" s="39" t="inlineStr">
        <is>
          <t>Murali</t>
        </is>
      </c>
      <c r="H927" s="39" t="n">
        <v>9703345015</v>
      </c>
      <c r="I927" s="38" t="inlineStr">
        <is>
          <t>PE27042602</t>
        </is>
      </c>
      <c r="J927" s="26" t="inlineStr">
        <is>
          <t>Low VOC</t>
        </is>
      </c>
      <c r="K927" s="26" t="inlineStr">
        <is>
          <t>Hyderabad</t>
        </is>
      </c>
      <c r="L927" s="26" t="inlineStr">
        <is>
          <t>Telangana</t>
        </is>
      </c>
      <c r="M927" s="9" t="inlineStr">
        <is>
          <t>PS</t>
        </is>
      </c>
      <c r="N927" s="3" t="inlineStr">
        <is>
          <t>Cold Soldering</t>
        </is>
      </c>
      <c r="O927" s="39" t="n">
        <v>545</v>
      </c>
      <c r="P927" s="9" t="inlineStr">
        <is>
          <t>NSMP2211207246</t>
        </is>
      </c>
      <c r="Q927" s="53">
        <f>MID(P927,5,2)</f>
        <v/>
      </c>
      <c r="R927" s="53">
        <f>MID(P927,7,2)</f>
        <v/>
      </c>
      <c r="S927" s="3" t="inlineStr">
        <is>
          <t>G2B</t>
        </is>
      </c>
      <c r="T927" s="3" t="inlineStr">
        <is>
          <t>P2</t>
        </is>
      </c>
      <c r="U927" s="3" t="inlineStr">
        <is>
          <t>P JB Cold Soldering</t>
        </is>
      </c>
      <c r="V927" s="3" t="inlineStr">
        <is>
          <t>Soldering</t>
        </is>
      </c>
      <c r="W927" s="3" t="inlineStr">
        <is>
          <t>Repair</t>
        </is>
      </c>
      <c r="X927" s="18" t="n">
        <v>46156</v>
      </c>
      <c r="Y927" s="73">
        <f>IF(X927="","",X927-A927)</f>
        <v/>
      </c>
      <c r="Z927" s="18" t="n">
        <v>46156</v>
      </c>
      <c r="AA927" s="15" t="n"/>
      <c r="AB927" s="15" t="n"/>
      <c r="AF927">
        <f>IF(AND($F927="Closed",$X927&gt;=DATE(2026,5,1),$X927&lt;=DATE(2026,5,31)),"Closed in May","Other")</f>
        <v/>
      </c>
    </row>
    <row r="928">
      <c r="A928" s="6" t="n">
        <v>46107</v>
      </c>
      <c r="B928" s="3" t="n">
        <v>2026</v>
      </c>
      <c r="C928" s="3" t="inlineStr">
        <is>
          <t>Blupine Energy</t>
        </is>
      </c>
      <c r="D928" s="3" t="inlineStr">
        <is>
          <t>Utility and C&amp;I</t>
        </is>
      </c>
      <c r="E928" s="3" t="n"/>
      <c r="F928" s="3" t="inlineStr">
        <is>
          <t>Closed</t>
        </is>
      </c>
      <c r="G928" s="3" t="inlineStr">
        <is>
          <t>Chandrashekar Patidar</t>
        </is>
      </c>
      <c r="H928" s="3" t="n">
        <v>7879764773</v>
      </c>
      <c r="I928" s="11" t="inlineStr">
        <is>
          <t>PE26032601</t>
        </is>
      </c>
      <c r="J928" s="3" t="inlineStr">
        <is>
          <t>Module Diode Failure</t>
        </is>
      </c>
      <c r="K928" s="3" t="inlineStr">
        <is>
          <t>Sadla</t>
        </is>
      </c>
      <c r="L928" s="3" t="inlineStr">
        <is>
          <t>Gujarat</t>
        </is>
      </c>
      <c r="M928" s="9" t="inlineStr">
        <is>
          <t>PR</t>
        </is>
      </c>
      <c r="N928" s="3" t="inlineStr">
        <is>
          <t>JB Issue</t>
        </is>
      </c>
      <c r="O928" s="3" t="n">
        <v>570</v>
      </c>
      <c r="P928" s="9" t="inlineStr">
        <is>
          <t>NSMI24060084449</t>
        </is>
      </c>
      <c r="Q928" s="53">
        <f>MID(P928,5,2)</f>
        <v/>
      </c>
      <c r="R928" s="53">
        <f>MID(P928,7,2)</f>
        <v/>
      </c>
      <c r="S928" s="3" t="inlineStr">
        <is>
          <t>G2G</t>
        </is>
      </c>
      <c r="T928" s="3" t="inlineStr">
        <is>
          <t>P4</t>
        </is>
      </c>
      <c r="U928" s="3" t="inlineStr">
        <is>
          <t>P JB Issue</t>
        </is>
      </c>
      <c r="V928" s="15" t="inlineStr">
        <is>
          <t>JB Changed</t>
        </is>
      </c>
      <c r="W928" s="3" t="inlineStr">
        <is>
          <t>Repair</t>
        </is>
      </c>
      <c r="X928" s="18" t="n">
        <v>46156</v>
      </c>
      <c r="Y928" s="73">
        <f>IF(X928="","",X928-A928)</f>
        <v/>
      </c>
      <c r="Z928" s="18" t="n">
        <v>46156</v>
      </c>
      <c r="AA928" s="15" t="n"/>
      <c r="AB928" s="15" t="n"/>
      <c r="AF928">
        <f>IF(AND($F928="Closed",$X928&gt;=DATE(2026,5,1),$X928&lt;=DATE(2026,5,31)),"Closed in May","Other")</f>
        <v/>
      </c>
    </row>
    <row r="929">
      <c r="A929" s="6" t="n">
        <v>46107</v>
      </c>
      <c r="B929" s="3" t="n">
        <v>2026</v>
      </c>
      <c r="C929" s="3" t="inlineStr">
        <is>
          <t>Blupine Energy</t>
        </is>
      </c>
      <c r="D929" s="3" t="inlineStr">
        <is>
          <t>Utility and C&amp;I</t>
        </is>
      </c>
      <c r="E929" s="3" t="n"/>
      <c r="F929" s="3" t="inlineStr">
        <is>
          <t>Closed</t>
        </is>
      </c>
      <c r="G929" s="3" t="inlineStr">
        <is>
          <t>Chandrashekar Patidar</t>
        </is>
      </c>
      <c r="H929" s="3" t="n">
        <v>7879764773</v>
      </c>
      <c r="I929" s="11" t="inlineStr">
        <is>
          <t>PE26032601</t>
        </is>
      </c>
      <c r="J929" s="3" t="inlineStr">
        <is>
          <t>Module Diode Failure</t>
        </is>
      </c>
      <c r="K929" s="3" t="inlineStr">
        <is>
          <t>Sadla</t>
        </is>
      </c>
      <c r="L929" s="3" t="inlineStr">
        <is>
          <t>Gujarat</t>
        </is>
      </c>
      <c r="M929" s="9" t="inlineStr">
        <is>
          <t>Ok</t>
        </is>
      </c>
      <c r="N929" s="3" t="inlineStr">
        <is>
          <t>No Issue</t>
        </is>
      </c>
      <c r="O929" s="3" t="n">
        <v>570</v>
      </c>
      <c r="P929" s="9" t="inlineStr">
        <is>
          <t>NSMI24060084123</t>
        </is>
      </c>
      <c r="Q929" s="53">
        <f>MID(P929,5,2)</f>
        <v/>
      </c>
      <c r="R929" s="53">
        <f>MID(P929,7,2)</f>
        <v/>
      </c>
      <c r="S929" s="3" t="inlineStr">
        <is>
          <t>G2G</t>
        </is>
      </c>
      <c r="T929" s="3" t="inlineStr">
        <is>
          <t>P4</t>
        </is>
      </c>
      <c r="U929" s="19" t="inlineStr">
        <is>
          <t>No Issue Found</t>
        </is>
      </c>
      <c r="V929" s="19" t="inlineStr">
        <is>
          <t>Found OK</t>
        </is>
      </c>
      <c r="W929" s="3" t="inlineStr">
        <is>
          <t>Repair</t>
        </is>
      </c>
      <c r="X929" s="18" t="n">
        <v>46156</v>
      </c>
      <c r="Y929" s="73">
        <f>IF(X929="","",X929-A929)</f>
        <v/>
      </c>
      <c r="Z929" s="18" t="n">
        <v>46156</v>
      </c>
      <c r="AA929" s="15" t="n"/>
      <c r="AB929" s="15" t="n"/>
      <c r="AF929">
        <f>IF(AND($F929="Closed",$X929&gt;=DATE(2026,5,1),$X929&lt;=DATE(2026,5,31)),"Closed in May","Other")</f>
        <v/>
      </c>
    </row>
    <row r="930">
      <c r="A930" s="6" t="n">
        <v>46107</v>
      </c>
      <c r="B930" s="3" t="n">
        <v>2026</v>
      </c>
      <c r="C930" s="3" t="inlineStr">
        <is>
          <t>Blupine Energy</t>
        </is>
      </c>
      <c r="D930" s="3" t="inlineStr">
        <is>
          <t>Utility and C&amp;I</t>
        </is>
      </c>
      <c r="E930" s="3" t="n"/>
      <c r="F930" s="3" t="inlineStr">
        <is>
          <t>Closed</t>
        </is>
      </c>
      <c r="G930" s="3" t="inlineStr">
        <is>
          <t>Chandrashekar Patidar</t>
        </is>
      </c>
      <c r="H930" s="3" t="n">
        <v>7879764773</v>
      </c>
      <c r="I930" s="11" t="inlineStr">
        <is>
          <t>PE26032601</t>
        </is>
      </c>
      <c r="J930" s="3" t="inlineStr">
        <is>
          <t>Module Diode Failure</t>
        </is>
      </c>
      <c r="K930" s="3" t="inlineStr">
        <is>
          <t>Sadla</t>
        </is>
      </c>
      <c r="L930" s="3" t="inlineStr">
        <is>
          <t>Gujarat</t>
        </is>
      </c>
      <c r="M930" s="9" t="inlineStr">
        <is>
          <t>NS</t>
        </is>
      </c>
      <c r="N930" s="3" t="inlineStr">
        <is>
          <t>Cold Soldering</t>
        </is>
      </c>
      <c r="O930" s="3" t="n">
        <v>570</v>
      </c>
      <c r="P930" s="9" t="inlineStr">
        <is>
          <t>NSMI24060101004</t>
        </is>
      </c>
      <c r="Q930" s="53">
        <f>MID(P930,5,2)</f>
        <v/>
      </c>
      <c r="R930" s="53">
        <f>MID(P930,7,2)</f>
        <v/>
      </c>
      <c r="S930" s="3" t="inlineStr">
        <is>
          <t>G2G</t>
        </is>
      </c>
      <c r="T930" s="3" t="inlineStr">
        <is>
          <t>P4</t>
        </is>
      </c>
      <c r="U930" s="3" t="inlineStr">
        <is>
          <t>N JB Cold Soldering</t>
        </is>
      </c>
      <c r="V930" s="3" t="inlineStr">
        <is>
          <t>Soldering</t>
        </is>
      </c>
      <c r="W930" s="3" t="inlineStr">
        <is>
          <t>Repair</t>
        </is>
      </c>
      <c r="X930" s="18" t="n">
        <v>46156</v>
      </c>
      <c r="Y930" s="73">
        <f>IF(X930="","",X930-A930)</f>
        <v/>
      </c>
      <c r="Z930" s="18" t="n">
        <v>46156</v>
      </c>
      <c r="AA930" s="15" t="n"/>
      <c r="AB930" s="15" t="n"/>
      <c r="AF930">
        <f>IF(AND($F930="Closed",$X930&gt;=DATE(2026,5,1),$X930&lt;=DATE(2026,5,31)),"Closed in May","Other")</f>
        <v/>
      </c>
    </row>
    <row r="931">
      <c r="A931" s="6" t="n">
        <v>46107</v>
      </c>
      <c r="B931" s="3" t="n">
        <v>2026</v>
      </c>
      <c r="C931" s="3" t="inlineStr">
        <is>
          <t>Blupine Energy</t>
        </is>
      </c>
      <c r="D931" s="3" t="inlineStr">
        <is>
          <t>Utility and C&amp;I</t>
        </is>
      </c>
      <c r="E931" s="3" t="n"/>
      <c r="F931" s="3" t="inlineStr">
        <is>
          <t>Closed</t>
        </is>
      </c>
      <c r="G931" s="3" t="inlineStr">
        <is>
          <t>Chandrashekar Patidar</t>
        </is>
      </c>
      <c r="H931" s="3" t="n">
        <v>7879764773</v>
      </c>
      <c r="I931" s="11" t="inlineStr">
        <is>
          <t>PE26032601</t>
        </is>
      </c>
      <c r="J931" s="3" t="inlineStr">
        <is>
          <t>Module Diode Failure</t>
        </is>
      </c>
      <c r="K931" s="3" t="inlineStr">
        <is>
          <t>Sadla</t>
        </is>
      </c>
      <c r="L931" s="3" t="inlineStr">
        <is>
          <t>Gujarat</t>
        </is>
      </c>
      <c r="M931" s="9" t="inlineStr">
        <is>
          <t>PS</t>
        </is>
      </c>
      <c r="N931" s="3" t="inlineStr">
        <is>
          <t>Cold Soldering</t>
        </is>
      </c>
      <c r="O931" s="3" t="n">
        <v>570</v>
      </c>
      <c r="P931" s="9" t="inlineStr">
        <is>
          <t>NSMI24050067808</t>
        </is>
      </c>
      <c r="Q931" s="53">
        <f>MID(P931,5,2)</f>
        <v/>
      </c>
      <c r="R931" s="53">
        <f>MID(P931,7,2)</f>
        <v/>
      </c>
      <c r="S931" s="3" t="inlineStr">
        <is>
          <t>G2G</t>
        </is>
      </c>
      <c r="T931" s="3" t="inlineStr">
        <is>
          <t>P4</t>
        </is>
      </c>
      <c r="U931" s="3" t="inlineStr">
        <is>
          <t>P JB Cold Soldering</t>
        </is>
      </c>
      <c r="V931" s="3" t="inlineStr">
        <is>
          <t>Soldering</t>
        </is>
      </c>
      <c r="W931" s="3" t="inlineStr">
        <is>
          <t>Repair</t>
        </is>
      </c>
      <c r="X931" s="18" t="n">
        <v>46156</v>
      </c>
      <c r="Y931" s="73">
        <f>IF(X931="","",X931-A931)</f>
        <v/>
      </c>
      <c r="Z931" s="18" t="n">
        <v>46156</v>
      </c>
      <c r="AA931" s="15" t="n"/>
      <c r="AB931" s="15" t="n"/>
      <c r="AF931">
        <f>IF(AND($F931="Closed",$X931&gt;=DATE(2026,5,1),$X931&lt;=DATE(2026,5,31)),"Closed in May","Other")</f>
        <v/>
      </c>
    </row>
    <row r="932">
      <c r="A932" s="6" t="n">
        <v>46107</v>
      </c>
      <c r="B932" s="3" t="n">
        <v>2026</v>
      </c>
      <c r="C932" s="3" t="inlineStr">
        <is>
          <t>Blupine Energy</t>
        </is>
      </c>
      <c r="D932" s="3" t="inlineStr">
        <is>
          <t>Utility and C&amp;I</t>
        </is>
      </c>
      <c r="E932" s="3" t="n"/>
      <c r="F932" s="3" t="inlineStr">
        <is>
          <t>Closed</t>
        </is>
      </c>
      <c r="G932" s="3" t="inlineStr">
        <is>
          <t>Chandrashekar Patidar</t>
        </is>
      </c>
      <c r="H932" s="3" t="n">
        <v>7879764773</v>
      </c>
      <c r="I932" s="11" t="inlineStr">
        <is>
          <t>PE26032601</t>
        </is>
      </c>
      <c r="J932" s="3" t="inlineStr">
        <is>
          <t>Module Diode Failure</t>
        </is>
      </c>
      <c r="K932" s="3" t="inlineStr">
        <is>
          <t>Sadla</t>
        </is>
      </c>
      <c r="L932" s="3" t="inlineStr">
        <is>
          <t>Gujarat</t>
        </is>
      </c>
      <c r="M932" s="9" t="inlineStr">
        <is>
          <t>NR</t>
        </is>
      </c>
      <c r="N932" s="3" t="inlineStr">
        <is>
          <t>JB Issue</t>
        </is>
      </c>
      <c r="O932" s="3" t="n">
        <v>570</v>
      </c>
      <c r="P932" s="9" t="inlineStr">
        <is>
          <t>NSMI24060125498</t>
        </is>
      </c>
      <c r="Q932" s="53">
        <f>MID(P932,5,2)</f>
        <v/>
      </c>
      <c r="R932" s="53">
        <f>MID(P932,7,2)</f>
        <v/>
      </c>
      <c r="S932" s="3" t="inlineStr">
        <is>
          <t>G2G</t>
        </is>
      </c>
      <c r="T932" s="3" t="inlineStr">
        <is>
          <t>P4</t>
        </is>
      </c>
      <c r="U932" s="3" t="inlineStr">
        <is>
          <t>N JB Issue</t>
        </is>
      </c>
      <c r="V932" s="3" t="inlineStr">
        <is>
          <t>JB Changed</t>
        </is>
      </c>
      <c r="W932" s="3" t="inlineStr">
        <is>
          <t>Repair</t>
        </is>
      </c>
      <c r="X932" s="18" t="n">
        <v>46156</v>
      </c>
      <c r="Y932" s="73">
        <f>IF(X932="","",X932-A932)</f>
        <v/>
      </c>
      <c r="Z932" s="18" t="n">
        <v>46156</v>
      </c>
      <c r="AA932" s="15" t="n"/>
      <c r="AB932" s="15" t="n"/>
      <c r="AF932">
        <f>IF(AND($F932="Closed",$X932&gt;=DATE(2026,5,1),$X932&lt;=DATE(2026,5,31)),"Closed in May","Other")</f>
        <v/>
      </c>
    </row>
    <row r="933">
      <c r="A933" s="6" t="n">
        <v>46107</v>
      </c>
      <c r="B933" s="3" t="n">
        <v>2026</v>
      </c>
      <c r="C933" s="3" t="inlineStr">
        <is>
          <t>Blupine Energy</t>
        </is>
      </c>
      <c r="D933" s="3" t="inlineStr">
        <is>
          <t>Utility and C&amp;I</t>
        </is>
      </c>
      <c r="E933" s="3" t="n"/>
      <c r="F933" s="3" t="inlineStr">
        <is>
          <t>Closed</t>
        </is>
      </c>
      <c r="G933" s="3" t="inlineStr">
        <is>
          <t>Chandrashekar Patidar</t>
        </is>
      </c>
      <c r="H933" s="3" t="n">
        <v>7879764773</v>
      </c>
      <c r="I933" s="11" t="inlineStr">
        <is>
          <t>PE26032601</t>
        </is>
      </c>
      <c r="J933" s="3" t="inlineStr">
        <is>
          <t>Module Diode Failure</t>
        </is>
      </c>
      <c r="K933" s="3" t="inlineStr">
        <is>
          <t>Sadla</t>
        </is>
      </c>
      <c r="L933" s="3" t="inlineStr">
        <is>
          <t>Gujarat</t>
        </is>
      </c>
      <c r="M933" s="9" t="inlineStr">
        <is>
          <t>PS</t>
        </is>
      </c>
      <c r="N933" s="3" t="inlineStr">
        <is>
          <t>Cold Soldering</t>
        </is>
      </c>
      <c r="O933" s="3" t="n">
        <v>570</v>
      </c>
      <c r="P933" s="9" t="inlineStr">
        <is>
          <t>NSMI24060112415</t>
        </is>
      </c>
      <c r="Q933" s="53">
        <f>MID(P933,5,2)</f>
        <v/>
      </c>
      <c r="R933" s="53">
        <f>MID(P933,7,2)</f>
        <v/>
      </c>
      <c r="S933" s="3" t="inlineStr">
        <is>
          <t>G2G</t>
        </is>
      </c>
      <c r="T933" s="3" t="inlineStr">
        <is>
          <t>P4</t>
        </is>
      </c>
      <c r="U933" s="3" t="inlineStr">
        <is>
          <t>P JB Cold Soldering &amp; Glass Breakage</t>
        </is>
      </c>
      <c r="V933" s="3" t="inlineStr">
        <is>
          <t>Soldering</t>
        </is>
      </c>
      <c r="W933" s="3" t="inlineStr">
        <is>
          <t>Repair</t>
        </is>
      </c>
      <c r="X933" s="18" t="n">
        <v>46156</v>
      </c>
      <c r="Y933" s="73">
        <f>IF(X933="","",X933-A933)</f>
        <v/>
      </c>
      <c r="Z933" s="18" t="n">
        <v>46156</v>
      </c>
      <c r="AA933" s="15" t="n"/>
      <c r="AB933" s="15" t="n"/>
      <c r="AF933">
        <f>IF(AND($F933="Closed",$X933&gt;=DATE(2026,5,1),$X933&lt;=DATE(2026,5,31)),"Closed in May","Other")</f>
        <v/>
      </c>
    </row>
    <row r="934">
      <c r="A934" s="6" t="n">
        <v>46107</v>
      </c>
      <c r="B934" s="3" t="n">
        <v>2026</v>
      </c>
      <c r="C934" s="3" t="inlineStr">
        <is>
          <t>Blupine Energy</t>
        </is>
      </c>
      <c r="D934" s="3" t="inlineStr">
        <is>
          <t>Utility and C&amp;I</t>
        </is>
      </c>
      <c r="E934" s="3" t="n"/>
      <c r="F934" s="3" t="inlineStr">
        <is>
          <t>Closed</t>
        </is>
      </c>
      <c r="G934" s="3" t="inlineStr">
        <is>
          <t>Chandrashekar Patidar</t>
        </is>
      </c>
      <c r="H934" s="3" t="n">
        <v>7879764773</v>
      </c>
      <c r="I934" s="11" t="inlineStr">
        <is>
          <t>PE26032601</t>
        </is>
      </c>
      <c r="J934" s="3" t="inlineStr">
        <is>
          <t>Module Diode Failure</t>
        </is>
      </c>
      <c r="K934" s="3" t="inlineStr">
        <is>
          <t>Sadla</t>
        </is>
      </c>
      <c r="L934" s="3" t="inlineStr">
        <is>
          <t>Gujarat</t>
        </is>
      </c>
      <c r="M934" s="9" t="inlineStr">
        <is>
          <t>NS</t>
        </is>
      </c>
      <c r="N934" s="3" t="inlineStr">
        <is>
          <t>Cold Soldering</t>
        </is>
      </c>
      <c r="O934" s="3" t="n">
        <v>570</v>
      </c>
      <c r="P934" s="9" t="inlineStr">
        <is>
          <t>NSMI24060112429</t>
        </is>
      </c>
      <c r="Q934" s="53">
        <f>MID(P934,5,2)</f>
        <v/>
      </c>
      <c r="R934" s="53">
        <f>MID(P934,7,2)</f>
        <v/>
      </c>
      <c r="S934" s="3" t="inlineStr">
        <is>
          <t>G2G</t>
        </is>
      </c>
      <c r="T934" s="3" t="inlineStr">
        <is>
          <t>P4</t>
        </is>
      </c>
      <c r="U934" s="3" t="inlineStr">
        <is>
          <t>P JB Cold Soldering &amp; Glass Breakage</t>
        </is>
      </c>
      <c r="V934" s="3" t="inlineStr">
        <is>
          <t>Soldering</t>
        </is>
      </c>
      <c r="W934" s="3" t="inlineStr">
        <is>
          <t>Repair</t>
        </is>
      </c>
      <c r="X934" s="18" t="n">
        <v>46156</v>
      </c>
      <c r="Y934" s="73">
        <f>IF(X934="","",X934-A934)</f>
        <v/>
      </c>
      <c r="Z934" s="18" t="n">
        <v>46156</v>
      </c>
      <c r="AA934" s="15" t="n"/>
      <c r="AB934" s="15" t="n"/>
      <c r="AF934">
        <f>IF(AND($F934="Closed",$X934&gt;=DATE(2026,5,1),$X934&lt;=DATE(2026,5,31)),"Closed in May","Other")</f>
        <v/>
      </c>
    </row>
    <row r="935">
      <c r="A935" s="6" t="n">
        <v>46107</v>
      </c>
      <c r="B935" s="3" t="n">
        <v>2026</v>
      </c>
      <c r="C935" s="3" t="inlineStr">
        <is>
          <t>Blupine Energy</t>
        </is>
      </c>
      <c r="D935" s="3" t="inlineStr">
        <is>
          <t>Utility and C&amp;I</t>
        </is>
      </c>
      <c r="E935" s="3" t="n"/>
      <c r="F935" s="3" t="inlineStr">
        <is>
          <t>Closed</t>
        </is>
      </c>
      <c r="G935" s="3" t="inlineStr">
        <is>
          <t>Chandrashekar Patidar</t>
        </is>
      </c>
      <c r="H935" s="3" t="n">
        <v>7879764773</v>
      </c>
      <c r="I935" s="11" t="inlineStr">
        <is>
          <t>PE26032601</t>
        </is>
      </c>
      <c r="J935" s="3" t="inlineStr">
        <is>
          <t>Module Diode Failure</t>
        </is>
      </c>
      <c r="K935" s="3" t="inlineStr">
        <is>
          <t>Sadla</t>
        </is>
      </c>
      <c r="L935" s="3" t="inlineStr">
        <is>
          <t>Gujarat</t>
        </is>
      </c>
      <c r="M935" s="9" t="inlineStr">
        <is>
          <t>NS</t>
        </is>
      </c>
      <c r="N935" s="3" t="inlineStr">
        <is>
          <t>Cold Soldering</t>
        </is>
      </c>
      <c r="O935" s="3" t="n">
        <v>570</v>
      </c>
      <c r="P935" s="9" t="inlineStr">
        <is>
          <t>NSMI24060112384</t>
        </is>
      </c>
      <c r="Q935" s="53">
        <f>MID(P935,5,2)</f>
        <v/>
      </c>
      <c r="R935" s="53">
        <f>MID(P935,7,2)</f>
        <v/>
      </c>
      <c r="S935" s="3" t="inlineStr">
        <is>
          <t>G2G</t>
        </is>
      </c>
      <c r="T935" s="3" t="inlineStr">
        <is>
          <t>P4</t>
        </is>
      </c>
      <c r="U935" s="3" t="inlineStr">
        <is>
          <t>N JB Cold Soldering</t>
        </is>
      </c>
      <c r="V935" s="3" t="inlineStr">
        <is>
          <t>Soldering</t>
        </is>
      </c>
      <c r="W935" s="3" t="inlineStr">
        <is>
          <t>Repair</t>
        </is>
      </c>
      <c r="X935" s="18" t="n">
        <v>46156</v>
      </c>
      <c r="Y935" s="73">
        <f>IF(X935="","",X935-A935)</f>
        <v/>
      </c>
      <c r="Z935" s="18" t="n">
        <v>46156</v>
      </c>
      <c r="AA935" s="15" t="n"/>
      <c r="AB935" s="15" t="n"/>
      <c r="AF935">
        <f>IF(AND($F935="Closed",$X935&gt;=DATE(2026,5,1),$X935&lt;=DATE(2026,5,31)),"Closed in May","Other")</f>
        <v/>
      </c>
    </row>
    <row r="936">
      <c r="A936" s="6" t="n">
        <v>46107</v>
      </c>
      <c r="B936" s="3" t="n">
        <v>2026</v>
      </c>
      <c r="C936" s="3" t="inlineStr">
        <is>
          <t>Blupine Energy</t>
        </is>
      </c>
      <c r="D936" s="3" t="inlineStr">
        <is>
          <t>Utility and C&amp;I</t>
        </is>
      </c>
      <c r="E936" s="3" t="n"/>
      <c r="F936" s="3" t="inlineStr">
        <is>
          <t>Closed</t>
        </is>
      </c>
      <c r="G936" s="3" t="inlineStr">
        <is>
          <t>Chandrashekar Patidar</t>
        </is>
      </c>
      <c r="H936" s="3" t="n">
        <v>7879764773</v>
      </c>
      <c r="I936" s="11" t="inlineStr">
        <is>
          <t>PE26032601</t>
        </is>
      </c>
      <c r="J936" s="3" t="inlineStr">
        <is>
          <t>Module Diode Failure</t>
        </is>
      </c>
      <c r="K936" s="3" t="inlineStr">
        <is>
          <t>Sadla</t>
        </is>
      </c>
      <c r="L936" s="3" t="inlineStr">
        <is>
          <t>Gujarat</t>
        </is>
      </c>
      <c r="M936" s="9" t="inlineStr">
        <is>
          <t>NS</t>
        </is>
      </c>
      <c r="N936" s="3" t="inlineStr">
        <is>
          <t>Cold Soldering</t>
        </is>
      </c>
      <c r="O936" s="3" t="n">
        <v>570</v>
      </c>
      <c r="P936" s="9" t="inlineStr">
        <is>
          <t>NSMI24060112399</t>
        </is>
      </c>
      <c r="Q936" s="53">
        <f>MID(P936,5,2)</f>
        <v/>
      </c>
      <c r="R936" s="53">
        <f>MID(P936,7,2)</f>
        <v/>
      </c>
      <c r="S936" s="3" t="inlineStr">
        <is>
          <t>G2G</t>
        </is>
      </c>
      <c r="T936" s="3" t="inlineStr">
        <is>
          <t>P4</t>
        </is>
      </c>
      <c r="U936" s="3" t="inlineStr">
        <is>
          <t>N JB Cold Soldering</t>
        </is>
      </c>
      <c r="V936" s="3" t="inlineStr">
        <is>
          <t>Soldering</t>
        </is>
      </c>
      <c r="W936" s="3" t="inlineStr">
        <is>
          <t>Repair</t>
        </is>
      </c>
      <c r="X936" s="18" t="n">
        <v>46156</v>
      </c>
      <c r="Y936" s="73">
        <f>IF(X936="","",X936-A936)</f>
        <v/>
      </c>
      <c r="Z936" s="18" t="n">
        <v>46156</v>
      </c>
      <c r="AA936" s="15" t="n"/>
      <c r="AB936" s="15" t="n"/>
      <c r="AF936">
        <f>IF(AND($F936="Closed",$X936&gt;=DATE(2026,5,1),$X936&lt;=DATE(2026,5,31)),"Closed in May","Other")</f>
        <v/>
      </c>
    </row>
    <row r="937">
      <c r="A937" s="6" t="n">
        <v>46107</v>
      </c>
      <c r="B937" s="3" t="n">
        <v>2026</v>
      </c>
      <c r="C937" s="3" t="inlineStr">
        <is>
          <t>Blupine Energy</t>
        </is>
      </c>
      <c r="D937" s="3" t="inlineStr">
        <is>
          <t>Utility and C&amp;I</t>
        </is>
      </c>
      <c r="E937" s="3" t="n"/>
      <c r="F937" s="3" t="inlineStr">
        <is>
          <t>Closed</t>
        </is>
      </c>
      <c r="G937" s="3" t="inlineStr">
        <is>
          <t>Chandrashekar Patidar</t>
        </is>
      </c>
      <c r="H937" s="3" t="n">
        <v>7879764773</v>
      </c>
      <c r="I937" s="11" t="inlineStr">
        <is>
          <t>PE26032601</t>
        </is>
      </c>
      <c r="J937" s="3" t="inlineStr">
        <is>
          <t>Module Diode Failure</t>
        </is>
      </c>
      <c r="K937" s="3" t="inlineStr">
        <is>
          <t>Sadla</t>
        </is>
      </c>
      <c r="L937" s="3" t="inlineStr">
        <is>
          <t>Gujarat</t>
        </is>
      </c>
      <c r="M937" s="9" t="inlineStr">
        <is>
          <t>PR</t>
        </is>
      </c>
      <c r="N937" s="3" t="inlineStr">
        <is>
          <t>JB Issue</t>
        </is>
      </c>
      <c r="O937" s="3" t="n">
        <v>570</v>
      </c>
      <c r="P937" s="9" t="inlineStr">
        <is>
          <t>NSMI24060095750</t>
        </is>
      </c>
      <c r="Q937" s="53">
        <f>MID(P937,5,2)</f>
        <v/>
      </c>
      <c r="R937" s="53">
        <f>MID(P937,7,2)</f>
        <v/>
      </c>
      <c r="S937" s="3" t="inlineStr">
        <is>
          <t>G2G</t>
        </is>
      </c>
      <c r="T937" s="3" t="inlineStr">
        <is>
          <t>P4</t>
        </is>
      </c>
      <c r="U937" s="3" t="inlineStr">
        <is>
          <t>P JB Issue &amp; Glass Breakage</t>
        </is>
      </c>
      <c r="V937" s="15" t="inlineStr">
        <is>
          <t>JB Changed</t>
        </is>
      </c>
      <c r="W937" s="3" t="inlineStr">
        <is>
          <t>Repair</t>
        </is>
      </c>
      <c r="X937" s="18" t="n">
        <v>46156</v>
      </c>
      <c r="Y937" s="73">
        <f>IF(X937="","",X937-A937)</f>
        <v/>
      </c>
      <c r="Z937" s="18" t="n">
        <v>46156</v>
      </c>
      <c r="AA937" s="15" t="n"/>
      <c r="AB937" s="15" t="n"/>
      <c r="AF937">
        <f>IF(AND($F937="Closed",$X937&gt;=DATE(2026,5,1),$X937&lt;=DATE(2026,5,31)),"Closed in May","Other")</f>
        <v/>
      </c>
    </row>
    <row r="938">
      <c r="A938" s="6" t="n">
        <v>46107</v>
      </c>
      <c r="B938" s="3" t="n">
        <v>2026</v>
      </c>
      <c r="C938" s="3" t="inlineStr">
        <is>
          <t>Blupine Energy</t>
        </is>
      </c>
      <c r="D938" s="3" t="inlineStr">
        <is>
          <t>Utility and C&amp;I</t>
        </is>
      </c>
      <c r="E938" s="3" t="n"/>
      <c r="F938" s="3" t="inlineStr">
        <is>
          <t>Closed</t>
        </is>
      </c>
      <c r="G938" s="3" t="inlineStr">
        <is>
          <t>Chandrashekar Patidar</t>
        </is>
      </c>
      <c r="H938" s="3" t="n">
        <v>7879764773</v>
      </c>
      <c r="I938" s="11" t="inlineStr">
        <is>
          <t>PE26032601</t>
        </is>
      </c>
      <c r="J938" s="3" t="inlineStr">
        <is>
          <t>Module Diode Failure</t>
        </is>
      </c>
      <c r="K938" s="3" t="inlineStr">
        <is>
          <t>Sadla</t>
        </is>
      </c>
      <c r="L938" s="3" t="inlineStr">
        <is>
          <t>Gujarat</t>
        </is>
      </c>
      <c r="M938" s="9" t="inlineStr">
        <is>
          <t>NS</t>
        </is>
      </c>
      <c r="N938" s="3" t="inlineStr">
        <is>
          <t>Cold Soldering</t>
        </is>
      </c>
      <c r="O938" s="3" t="n">
        <v>570</v>
      </c>
      <c r="P938" s="9" t="inlineStr">
        <is>
          <t>NSMI24060095465</t>
        </is>
      </c>
      <c r="Q938" s="53">
        <f>MID(P938,5,2)</f>
        <v/>
      </c>
      <c r="R938" s="53">
        <f>MID(P938,7,2)</f>
        <v/>
      </c>
      <c r="S938" s="3" t="inlineStr">
        <is>
          <t>G2G</t>
        </is>
      </c>
      <c r="T938" s="3" t="inlineStr">
        <is>
          <t>P4</t>
        </is>
      </c>
      <c r="U938" s="3" t="inlineStr">
        <is>
          <t>N JB Cold Soldering</t>
        </is>
      </c>
      <c r="V938" s="3" t="inlineStr">
        <is>
          <t>Soldering</t>
        </is>
      </c>
      <c r="W938" s="3" t="inlineStr">
        <is>
          <t>Repair</t>
        </is>
      </c>
      <c r="X938" s="18" t="n">
        <v>46156</v>
      </c>
      <c r="Y938" s="73">
        <f>IF(X938="","",X938-A938)</f>
        <v/>
      </c>
      <c r="Z938" s="18" t="n">
        <v>46156</v>
      </c>
      <c r="AA938" s="15" t="n"/>
      <c r="AB938" s="15" t="n"/>
      <c r="AF938">
        <f>IF(AND($F938="Closed",$X938&gt;=DATE(2026,5,1),$X938&lt;=DATE(2026,5,31)),"Closed in May","Other")</f>
        <v/>
      </c>
    </row>
    <row r="939">
      <c r="A939" s="6" t="n">
        <v>46107</v>
      </c>
      <c r="B939" s="3" t="n">
        <v>2026</v>
      </c>
      <c r="C939" s="3" t="inlineStr">
        <is>
          <t>Blupine Energy</t>
        </is>
      </c>
      <c r="D939" s="3" t="inlineStr">
        <is>
          <t>Utility and C&amp;I</t>
        </is>
      </c>
      <c r="E939" s="3" t="n"/>
      <c r="F939" s="3" t="inlineStr">
        <is>
          <t>Closed</t>
        </is>
      </c>
      <c r="G939" s="3" t="inlineStr">
        <is>
          <t>Chandrashekar Patidar</t>
        </is>
      </c>
      <c r="H939" s="3" t="n">
        <v>7879764773</v>
      </c>
      <c r="I939" s="11" t="inlineStr">
        <is>
          <t>PE26032601</t>
        </is>
      </c>
      <c r="J939" s="3" t="inlineStr">
        <is>
          <t>Module Diode Failure</t>
        </is>
      </c>
      <c r="K939" s="3" t="inlineStr">
        <is>
          <t>Sadla</t>
        </is>
      </c>
      <c r="L939" s="3" t="inlineStr">
        <is>
          <t>Gujarat</t>
        </is>
      </c>
      <c r="M939" s="9" t="inlineStr">
        <is>
          <t>NS</t>
        </is>
      </c>
      <c r="N939" s="3" t="inlineStr">
        <is>
          <t>Cold Soldering</t>
        </is>
      </c>
      <c r="O939" s="3" t="n">
        <v>570</v>
      </c>
      <c r="P939" s="9" t="inlineStr">
        <is>
          <t>NSMI24060094867</t>
        </is>
      </c>
      <c r="Q939" s="53">
        <f>MID(P939,5,2)</f>
        <v/>
      </c>
      <c r="R939" s="53">
        <f>MID(P939,7,2)</f>
        <v/>
      </c>
      <c r="S939" s="3" t="inlineStr">
        <is>
          <t>G2G</t>
        </is>
      </c>
      <c r="T939" s="3" t="inlineStr">
        <is>
          <t>P4</t>
        </is>
      </c>
      <c r="U939" s="3" t="inlineStr">
        <is>
          <t>N JB Cold Soldering</t>
        </is>
      </c>
      <c r="V939" s="3" t="inlineStr">
        <is>
          <t>Soldering</t>
        </is>
      </c>
      <c r="W939" s="3" t="inlineStr">
        <is>
          <t>Repair</t>
        </is>
      </c>
      <c r="X939" s="18" t="n">
        <v>46156</v>
      </c>
      <c r="Y939" s="73">
        <f>IF(X939="","",X939-A939)</f>
        <v/>
      </c>
      <c r="Z939" s="18" t="n">
        <v>46156</v>
      </c>
      <c r="AA939" s="15" t="n"/>
      <c r="AB939" s="15" t="n"/>
      <c r="AF939">
        <f>IF(AND($F939="Closed",$X939&gt;=DATE(2026,5,1),$X939&lt;=DATE(2026,5,31)),"Closed in May","Other")</f>
        <v/>
      </c>
    </row>
    <row r="940">
      <c r="A940" s="6" t="n">
        <v>46107</v>
      </c>
      <c r="B940" s="3" t="n">
        <v>2026</v>
      </c>
      <c r="C940" s="3" t="inlineStr">
        <is>
          <t>Blupine Energy</t>
        </is>
      </c>
      <c r="D940" s="3" t="inlineStr">
        <is>
          <t>Utility and C&amp;I</t>
        </is>
      </c>
      <c r="E940" s="3" t="n"/>
      <c r="F940" s="3" t="inlineStr">
        <is>
          <t>Closed</t>
        </is>
      </c>
      <c r="G940" s="3" t="inlineStr">
        <is>
          <t>Chandrashekar Patidar</t>
        </is>
      </c>
      <c r="H940" s="3" t="n">
        <v>7879764773</v>
      </c>
      <c r="I940" s="11" t="inlineStr">
        <is>
          <t>PE26032601</t>
        </is>
      </c>
      <c r="J940" s="3" t="inlineStr">
        <is>
          <t>Module Diode Failure</t>
        </is>
      </c>
      <c r="K940" s="3" t="inlineStr">
        <is>
          <t>Sadla</t>
        </is>
      </c>
      <c r="L940" s="3" t="inlineStr">
        <is>
          <t>Gujarat</t>
        </is>
      </c>
      <c r="M940" s="9" t="inlineStr">
        <is>
          <t>NS</t>
        </is>
      </c>
      <c r="N940" s="3" t="inlineStr">
        <is>
          <t>Cold Soldering</t>
        </is>
      </c>
      <c r="O940" s="3" t="n">
        <v>570</v>
      </c>
      <c r="P940" s="9" t="inlineStr">
        <is>
          <t>NSMI24060096102</t>
        </is>
      </c>
      <c r="Q940" s="53">
        <f>MID(P940,5,2)</f>
        <v/>
      </c>
      <c r="R940" s="53">
        <f>MID(P940,7,2)</f>
        <v/>
      </c>
      <c r="S940" s="3" t="inlineStr">
        <is>
          <t>G2G</t>
        </is>
      </c>
      <c r="T940" s="3" t="inlineStr">
        <is>
          <t>P4</t>
        </is>
      </c>
      <c r="U940" s="3" t="inlineStr">
        <is>
          <t>N JB Cold Soldering</t>
        </is>
      </c>
      <c r="V940" s="3" t="inlineStr">
        <is>
          <t>Soldering</t>
        </is>
      </c>
      <c r="W940" s="3" t="inlineStr">
        <is>
          <t>Repair</t>
        </is>
      </c>
      <c r="X940" s="18" t="n">
        <v>46156</v>
      </c>
      <c r="Y940" s="73">
        <f>IF(X940="","",X940-A940)</f>
        <v/>
      </c>
      <c r="Z940" s="18" t="n">
        <v>46156</v>
      </c>
      <c r="AA940" s="15" t="n"/>
      <c r="AB940" s="15" t="n"/>
      <c r="AF940">
        <f>IF(AND($F940="Closed",$X940&gt;=DATE(2026,5,1),$X940&lt;=DATE(2026,5,31)),"Closed in May","Other")</f>
        <v/>
      </c>
    </row>
    <row r="941">
      <c r="A941" s="6" t="n">
        <v>46107</v>
      </c>
      <c r="B941" s="3" t="n">
        <v>2026</v>
      </c>
      <c r="C941" s="3" t="inlineStr">
        <is>
          <t>Blupine Energy</t>
        </is>
      </c>
      <c r="D941" s="3" t="inlineStr">
        <is>
          <t>Utility and C&amp;I</t>
        </is>
      </c>
      <c r="E941" s="3" t="n"/>
      <c r="F941" s="3" t="inlineStr">
        <is>
          <t>Closed</t>
        </is>
      </c>
      <c r="G941" s="3" t="inlineStr">
        <is>
          <t>Chandrashekar Patidar</t>
        </is>
      </c>
      <c r="H941" s="3" t="n">
        <v>7879764773</v>
      </c>
      <c r="I941" s="11" t="inlineStr">
        <is>
          <t>PE26032601</t>
        </is>
      </c>
      <c r="J941" s="3" t="inlineStr">
        <is>
          <t>Module Diode Failure</t>
        </is>
      </c>
      <c r="K941" s="3" t="inlineStr">
        <is>
          <t>Sadla</t>
        </is>
      </c>
      <c r="L941" s="3" t="inlineStr">
        <is>
          <t>Gujarat</t>
        </is>
      </c>
      <c r="M941" s="9" t="inlineStr">
        <is>
          <t>PS</t>
        </is>
      </c>
      <c r="N941" s="3" t="inlineStr">
        <is>
          <t>Cold Soldering</t>
        </is>
      </c>
      <c r="O941" s="3" t="n">
        <v>570</v>
      </c>
      <c r="P941" s="9" t="inlineStr">
        <is>
          <t>NSMI24050057605</t>
        </is>
      </c>
      <c r="Q941" s="53">
        <f>MID(P941,5,2)</f>
        <v/>
      </c>
      <c r="R941" s="53">
        <f>MID(P941,7,2)</f>
        <v/>
      </c>
      <c r="S941" s="3" t="inlineStr">
        <is>
          <t>G2G</t>
        </is>
      </c>
      <c r="T941" s="3" t="inlineStr">
        <is>
          <t>P4</t>
        </is>
      </c>
      <c r="U941" s="3" t="inlineStr">
        <is>
          <t>P JB Cold Soldering</t>
        </is>
      </c>
      <c r="V941" s="3" t="inlineStr">
        <is>
          <t>Soldering</t>
        </is>
      </c>
      <c r="W941" s="3" t="inlineStr">
        <is>
          <t>Repair</t>
        </is>
      </c>
      <c r="X941" s="18" t="n">
        <v>46156</v>
      </c>
      <c r="Y941" s="73">
        <f>IF(X941="","",X941-A941)</f>
        <v/>
      </c>
      <c r="Z941" s="18" t="n">
        <v>46156</v>
      </c>
      <c r="AA941" s="15" t="n"/>
      <c r="AB941" s="15" t="n"/>
      <c r="AF941">
        <f>IF(AND($F941="Closed",$X941&gt;=DATE(2026,5,1),$X941&lt;=DATE(2026,5,31)),"Closed in May","Other")</f>
        <v/>
      </c>
    </row>
    <row r="942">
      <c r="A942" s="6" t="n">
        <v>46107</v>
      </c>
      <c r="B942" s="3" t="n">
        <v>2026</v>
      </c>
      <c r="C942" s="3" t="inlineStr">
        <is>
          <t>Blupine Energy</t>
        </is>
      </c>
      <c r="D942" s="3" t="inlineStr">
        <is>
          <t>Utility and C&amp;I</t>
        </is>
      </c>
      <c r="E942" s="3" t="n"/>
      <c r="F942" s="3" t="inlineStr">
        <is>
          <t>Closed</t>
        </is>
      </c>
      <c r="G942" s="3" t="inlineStr">
        <is>
          <t>Chandrashekar Patidar</t>
        </is>
      </c>
      <c r="H942" s="3" t="n">
        <v>7879764773</v>
      </c>
      <c r="I942" s="11" t="inlineStr">
        <is>
          <t>PE26032601</t>
        </is>
      </c>
      <c r="J942" s="3" t="inlineStr">
        <is>
          <t>Module Diode Failure</t>
        </is>
      </c>
      <c r="K942" s="3" t="inlineStr">
        <is>
          <t>Sadla</t>
        </is>
      </c>
      <c r="L942" s="3" t="inlineStr">
        <is>
          <t>Gujarat</t>
        </is>
      </c>
      <c r="M942" s="9" t="inlineStr">
        <is>
          <t>NS</t>
        </is>
      </c>
      <c r="N942" s="3" t="inlineStr">
        <is>
          <t>Cold Soldering</t>
        </is>
      </c>
      <c r="O942" s="3" t="n">
        <v>570</v>
      </c>
      <c r="P942" s="9" t="inlineStr">
        <is>
          <t>NSMI24060084970</t>
        </is>
      </c>
      <c r="Q942" s="53">
        <f>MID(P942,5,2)</f>
        <v/>
      </c>
      <c r="R942" s="53">
        <f>MID(P942,7,2)</f>
        <v/>
      </c>
      <c r="S942" s="3" t="inlineStr">
        <is>
          <t>G2G</t>
        </is>
      </c>
      <c r="T942" s="3" t="inlineStr">
        <is>
          <t>P4</t>
        </is>
      </c>
      <c r="U942" s="3" t="inlineStr">
        <is>
          <t>N JB Cold Soldering</t>
        </is>
      </c>
      <c r="V942" s="3" t="inlineStr">
        <is>
          <t>Soldering</t>
        </is>
      </c>
      <c r="W942" s="3" t="inlineStr">
        <is>
          <t>Repair</t>
        </is>
      </c>
      <c r="X942" s="18" t="n">
        <v>46156</v>
      </c>
      <c r="Y942" s="73">
        <f>IF(X942="","",X942-A942)</f>
        <v/>
      </c>
      <c r="Z942" s="18" t="n">
        <v>46156</v>
      </c>
      <c r="AA942" s="15" t="n"/>
      <c r="AB942" s="15" t="n"/>
      <c r="AF942">
        <f>IF(AND($F942="Closed",$X942&gt;=DATE(2026,5,1),$X942&lt;=DATE(2026,5,31)),"Closed in May","Other")</f>
        <v/>
      </c>
    </row>
    <row r="943">
      <c r="A943" s="6" t="n">
        <v>46107</v>
      </c>
      <c r="B943" s="3" t="n">
        <v>2026</v>
      </c>
      <c r="C943" s="3" t="inlineStr">
        <is>
          <t>Blupine Energy</t>
        </is>
      </c>
      <c r="D943" s="3" t="inlineStr">
        <is>
          <t>Utility and C&amp;I</t>
        </is>
      </c>
      <c r="E943" s="3" t="n"/>
      <c r="F943" s="3" t="inlineStr">
        <is>
          <t>Closed</t>
        </is>
      </c>
      <c r="G943" s="3" t="inlineStr">
        <is>
          <t>Chandrashekar Patidar</t>
        </is>
      </c>
      <c r="H943" s="3" t="n">
        <v>7879764773</v>
      </c>
      <c r="I943" s="11" t="inlineStr">
        <is>
          <t>PE26032601</t>
        </is>
      </c>
      <c r="J943" s="3" t="inlineStr">
        <is>
          <t>Module Diode Failure</t>
        </is>
      </c>
      <c r="K943" s="3" t="inlineStr">
        <is>
          <t>Sadla</t>
        </is>
      </c>
      <c r="L943" s="3" t="inlineStr">
        <is>
          <t>Gujarat</t>
        </is>
      </c>
      <c r="M943" s="9" t="inlineStr">
        <is>
          <t>NS</t>
        </is>
      </c>
      <c r="N943" s="3" t="inlineStr">
        <is>
          <t>Cold Soldering</t>
        </is>
      </c>
      <c r="O943" s="3" t="n">
        <v>570</v>
      </c>
      <c r="P943" s="9" t="inlineStr">
        <is>
          <t>NSMI24060076706</t>
        </is>
      </c>
      <c r="Q943" s="53">
        <f>MID(P943,5,2)</f>
        <v/>
      </c>
      <c r="R943" s="53">
        <f>MID(P943,7,2)</f>
        <v/>
      </c>
      <c r="S943" s="3" t="inlineStr">
        <is>
          <t>G2G</t>
        </is>
      </c>
      <c r="T943" s="3" t="inlineStr">
        <is>
          <t>P4</t>
        </is>
      </c>
      <c r="U943" s="3" t="inlineStr">
        <is>
          <t>N JB Cold Soldering</t>
        </is>
      </c>
      <c r="V943" s="3" t="inlineStr">
        <is>
          <t>Soldering</t>
        </is>
      </c>
      <c r="W943" s="3" t="inlineStr">
        <is>
          <t>Repair</t>
        </is>
      </c>
      <c r="X943" s="18" t="n">
        <v>46156</v>
      </c>
      <c r="Y943" s="73">
        <f>IF(X943="","",X943-A943)</f>
        <v/>
      </c>
      <c r="Z943" s="18" t="n">
        <v>46156</v>
      </c>
      <c r="AA943" s="15" t="n"/>
      <c r="AB943" s="15" t="n"/>
      <c r="AF943">
        <f>IF(AND($F943="Closed",$X943&gt;=DATE(2026,5,1),$X943&lt;=DATE(2026,5,31)),"Closed in May","Other")</f>
        <v/>
      </c>
    </row>
    <row r="944">
      <c r="A944" s="6" t="n">
        <v>46107</v>
      </c>
      <c r="B944" s="3" t="n">
        <v>2026</v>
      </c>
      <c r="C944" s="3" t="inlineStr">
        <is>
          <t>Blupine Energy</t>
        </is>
      </c>
      <c r="D944" s="3" t="inlineStr">
        <is>
          <t>Utility and C&amp;I</t>
        </is>
      </c>
      <c r="E944" s="3" t="n"/>
      <c r="F944" s="3" t="inlineStr">
        <is>
          <t>Closed</t>
        </is>
      </c>
      <c r="G944" s="3" t="inlineStr">
        <is>
          <t>Chandrashekar Patidar</t>
        </is>
      </c>
      <c r="H944" s="3" t="n">
        <v>7879764773</v>
      </c>
      <c r="I944" s="11" t="inlineStr">
        <is>
          <t>PE26032601</t>
        </is>
      </c>
      <c r="J944" s="3" t="inlineStr">
        <is>
          <t>Module Diode Failure</t>
        </is>
      </c>
      <c r="K944" s="3" t="inlineStr">
        <is>
          <t>Sadla</t>
        </is>
      </c>
      <c r="L944" s="3" t="inlineStr">
        <is>
          <t>Gujarat</t>
        </is>
      </c>
      <c r="M944" s="9" t="inlineStr">
        <is>
          <t>NS</t>
        </is>
      </c>
      <c r="N944" s="3" t="inlineStr">
        <is>
          <t>Cold Soldering</t>
        </is>
      </c>
      <c r="O944" s="3" t="n">
        <v>570</v>
      </c>
      <c r="P944" s="9" t="inlineStr">
        <is>
          <t>NSMI24060090495</t>
        </is>
      </c>
      <c r="Q944" s="53">
        <f>MID(P944,5,2)</f>
        <v/>
      </c>
      <c r="R944" s="53">
        <f>MID(P944,7,2)</f>
        <v/>
      </c>
      <c r="S944" s="3" t="inlineStr">
        <is>
          <t>G2G</t>
        </is>
      </c>
      <c r="T944" s="3" t="inlineStr">
        <is>
          <t>P4</t>
        </is>
      </c>
      <c r="U944" s="3" t="inlineStr">
        <is>
          <t>N JB Cold Soldering</t>
        </is>
      </c>
      <c r="V944" s="3" t="inlineStr">
        <is>
          <t>Soldering</t>
        </is>
      </c>
      <c r="W944" s="3" t="inlineStr">
        <is>
          <t>Repair</t>
        </is>
      </c>
      <c r="X944" s="18" t="n">
        <v>46156</v>
      </c>
      <c r="Y944" s="73">
        <f>IF(X944="","",X944-A944)</f>
        <v/>
      </c>
      <c r="Z944" s="18" t="n">
        <v>46156</v>
      </c>
      <c r="AA944" s="15" t="n"/>
      <c r="AB944" s="15" t="n"/>
      <c r="AF944">
        <f>IF(AND($F944="Closed",$X944&gt;=DATE(2026,5,1),$X944&lt;=DATE(2026,5,31)),"Closed in May","Other")</f>
        <v/>
      </c>
    </row>
    <row r="945">
      <c r="A945" s="6" t="n">
        <v>46107</v>
      </c>
      <c r="B945" s="3" t="n">
        <v>2026</v>
      </c>
      <c r="C945" s="3" t="inlineStr">
        <is>
          <t>Blupine Energy</t>
        </is>
      </c>
      <c r="D945" s="3" t="inlineStr">
        <is>
          <t>Utility and C&amp;I</t>
        </is>
      </c>
      <c r="E945" s="3" t="n"/>
      <c r="F945" s="3" t="inlineStr">
        <is>
          <t>Closed</t>
        </is>
      </c>
      <c r="G945" s="3" t="inlineStr">
        <is>
          <t>Chandrashekar Patidar</t>
        </is>
      </c>
      <c r="H945" s="3" t="n">
        <v>7879764773</v>
      </c>
      <c r="I945" s="11" t="inlineStr">
        <is>
          <t>PE26032601</t>
        </is>
      </c>
      <c r="J945" s="3" t="inlineStr">
        <is>
          <t>Module Diode Failure</t>
        </is>
      </c>
      <c r="K945" s="3" t="inlineStr">
        <is>
          <t>Sadla</t>
        </is>
      </c>
      <c r="L945" s="3" t="inlineStr">
        <is>
          <t>Gujarat</t>
        </is>
      </c>
      <c r="M945" s="9" t="inlineStr">
        <is>
          <t>PS</t>
        </is>
      </c>
      <c r="N945" s="3" t="inlineStr">
        <is>
          <t>Cold Soldering</t>
        </is>
      </c>
      <c r="O945" s="3" t="n">
        <v>570</v>
      </c>
      <c r="P945" s="9" t="inlineStr">
        <is>
          <t>NSMI24060091975</t>
        </is>
      </c>
      <c r="Q945" s="53">
        <f>MID(P945,5,2)</f>
        <v/>
      </c>
      <c r="R945" s="53">
        <f>MID(P945,7,2)</f>
        <v/>
      </c>
      <c r="S945" s="3" t="inlineStr">
        <is>
          <t>G2G</t>
        </is>
      </c>
      <c r="T945" s="3" t="inlineStr">
        <is>
          <t>P4</t>
        </is>
      </c>
      <c r="U945" s="3" t="inlineStr">
        <is>
          <t>P JB Cold Soldering</t>
        </is>
      </c>
      <c r="V945" s="3" t="inlineStr">
        <is>
          <t>Soldering</t>
        </is>
      </c>
      <c r="W945" s="3" t="inlineStr">
        <is>
          <t>Repair</t>
        </is>
      </c>
      <c r="X945" s="18" t="n">
        <v>46156</v>
      </c>
      <c r="Y945" s="73">
        <f>IF(X945="","",X945-A945)</f>
        <v/>
      </c>
      <c r="Z945" s="18" t="n">
        <v>46156</v>
      </c>
      <c r="AA945" s="15" t="n"/>
      <c r="AB945" s="15" t="n"/>
      <c r="AF945">
        <f>IF(AND($F945="Closed",$X945&gt;=DATE(2026,5,1),$X945&lt;=DATE(2026,5,31)),"Closed in May","Other")</f>
        <v/>
      </c>
    </row>
    <row r="946">
      <c r="A946" s="6" t="n">
        <v>46107</v>
      </c>
      <c r="B946" s="3" t="n">
        <v>2026</v>
      </c>
      <c r="C946" s="3" t="inlineStr">
        <is>
          <t>Blupine Energy</t>
        </is>
      </c>
      <c r="D946" s="3" t="inlineStr">
        <is>
          <t>Utility and C&amp;I</t>
        </is>
      </c>
      <c r="E946" s="3" t="n"/>
      <c r="F946" s="3" t="inlineStr">
        <is>
          <t>Closed</t>
        </is>
      </c>
      <c r="G946" s="3" t="inlineStr">
        <is>
          <t>Chandrashekar Patidar</t>
        </is>
      </c>
      <c r="H946" s="3" t="n">
        <v>7879764773</v>
      </c>
      <c r="I946" s="11" t="inlineStr">
        <is>
          <t>PE26032601</t>
        </is>
      </c>
      <c r="J946" s="3" t="inlineStr">
        <is>
          <t>Module Diode Failure</t>
        </is>
      </c>
      <c r="K946" s="3" t="inlineStr">
        <is>
          <t>Sadla</t>
        </is>
      </c>
      <c r="L946" s="3" t="inlineStr">
        <is>
          <t>Gujarat</t>
        </is>
      </c>
      <c r="M946" s="9" t="inlineStr">
        <is>
          <t>NS</t>
        </is>
      </c>
      <c r="N946" s="3" t="inlineStr">
        <is>
          <t>Cold Soldering</t>
        </is>
      </c>
      <c r="O946" s="3" t="n">
        <v>570</v>
      </c>
      <c r="P946" s="9" t="inlineStr">
        <is>
          <t>NSMI24060097924</t>
        </is>
      </c>
      <c r="Q946" s="53">
        <f>MID(P946,5,2)</f>
        <v/>
      </c>
      <c r="R946" s="53">
        <f>MID(P946,7,2)</f>
        <v/>
      </c>
      <c r="S946" s="3" t="inlineStr">
        <is>
          <t>G2G</t>
        </is>
      </c>
      <c r="T946" s="3" t="inlineStr">
        <is>
          <t>P4</t>
        </is>
      </c>
      <c r="U946" s="3" t="inlineStr">
        <is>
          <t>N JB Cold Soldering</t>
        </is>
      </c>
      <c r="V946" s="3" t="inlineStr">
        <is>
          <t>Soldering</t>
        </is>
      </c>
      <c r="W946" s="3" t="inlineStr">
        <is>
          <t>Repair</t>
        </is>
      </c>
      <c r="X946" s="18" t="n">
        <v>46156</v>
      </c>
      <c r="Y946" s="73">
        <f>IF(X946="","",X946-A946)</f>
        <v/>
      </c>
      <c r="Z946" s="18" t="n">
        <v>46156</v>
      </c>
      <c r="AA946" s="15" t="n"/>
      <c r="AB946" s="15" t="n"/>
      <c r="AF946">
        <f>IF(AND($F946="Closed",$X946&gt;=DATE(2026,5,1),$X946&lt;=DATE(2026,5,31)),"Closed in May","Other")</f>
        <v/>
      </c>
    </row>
    <row r="947">
      <c r="A947" s="6" t="n">
        <v>46107</v>
      </c>
      <c r="B947" s="3" t="n">
        <v>2026</v>
      </c>
      <c r="C947" s="3" t="inlineStr">
        <is>
          <t>Blupine Energy</t>
        </is>
      </c>
      <c r="D947" s="3" t="inlineStr">
        <is>
          <t>Utility and C&amp;I</t>
        </is>
      </c>
      <c r="E947" s="3" t="n"/>
      <c r="F947" s="3" t="inlineStr">
        <is>
          <t>Closed</t>
        </is>
      </c>
      <c r="G947" s="3" t="inlineStr">
        <is>
          <t>Chandrashekar Patidar</t>
        </is>
      </c>
      <c r="H947" s="3" t="n">
        <v>7879764773</v>
      </c>
      <c r="I947" s="11" t="inlineStr">
        <is>
          <t>PE26032601</t>
        </is>
      </c>
      <c r="J947" s="3" t="inlineStr">
        <is>
          <t>Module Diode Failure</t>
        </is>
      </c>
      <c r="K947" s="3" t="inlineStr">
        <is>
          <t>Sadla</t>
        </is>
      </c>
      <c r="L947" s="3" t="inlineStr">
        <is>
          <t>Gujarat</t>
        </is>
      </c>
      <c r="M947" s="9" t="inlineStr">
        <is>
          <t>PS</t>
        </is>
      </c>
      <c r="N947" s="3" t="inlineStr">
        <is>
          <t>Cold Soldering</t>
        </is>
      </c>
      <c r="O947" s="3" t="n">
        <v>570</v>
      </c>
      <c r="P947" s="9" t="inlineStr">
        <is>
          <t>NSMI24060092437</t>
        </is>
      </c>
      <c r="Q947" s="53">
        <f>MID(P947,5,2)</f>
        <v/>
      </c>
      <c r="R947" s="53">
        <f>MID(P947,7,2)</f>
        <v/>
      </c>
      <c r="S947" s="3" t="inlineStr">
        <is>
          <t>G2G</t>
        </is>
      </c>
      <c r="T947" s="3" t="inlineStr">
        <is>
          <t>P4</t>
        </is>
      </c>
      <c r="U947" s="3" t="inlineStr">
        <is>
          <t>P JB Cold Soldering</t>
        </is>
      </c>
      <c r="V947" s="3" t="inlineStr">
        <is>
          <t>Soldering</t>
        </is>
      </c>
      <c r="W947" s="3" t="inlineStr">
        <is>
          <t>Repair</t>
        </is>
      </c>
      <c r="X947" s="18" t="n">
        <v>46156</v>
      </c>
      <c r="Y947" s="73">
        <f>IF(X947="","",X947-A947)</f>
        <v/>
      </c>
      <c r="Z947" s="18" t="n">
        <v>46156</v>
      </c>
      <c r="AA947" s="15" t="n"/>
      <c r="AB947" s="15" t="n"/>
      <c r="AF947">
        <f>IF(AND($F947="Closed",$X947&gt;=DATE(2026,5,1),$X947&lt;=DATE(2026,5,31)),"Closed in May","Other")</f>
        <v/>
      </c>
    </row>
    <row r="948">
      <c r="A948" s="6" t="n">
        <v>46107</v>
      </c>
      <c r="B948" s="3" t="n">
        <v>2026</v>
      </c>
      <c r="C948" s="3" t="inlineStr">
        <is>
          <t>Blupine Energy</t>
        </is>
      </c>
      <c r="D948" s="3" t="inlineStr">
        <is>
          <t>Utility and C&amp;I</t>
        </is>
      </c>
      <c r="E948" s="3" t="n"/>
      <c r="F948" s="3" t="inlineStr">
        <is>
          <t>Closed</t>
        </is>
      </c>
      <c r="G948" s="3" t="inlineStr">
        <is>
          <t>Chandrashekar Patidar</t>
        </is>
      </c>
      <c r="H948" s="3" t="n">
        <v>7879764773</v>
      </c>
      <c r="I948" s="11" t="inlineStr">
        <is>
          <t>PE26032601</t>
        </is>
      </c>
      <c r="J948" s="3" t="inlineStr">
        <is>
          <t>Module Diode Failure</t>
        </is>
      </c>
      <c r="K948" s="3" t="inlineStr">
        <is>
          <t>Sadla</t>
        </is>
      </c>
      <c r="L948" s="3" t="inlineStr">
        <is>
          <t>Gujarat</t>
        </is>
      </c>
      <c r="M948" s="9" t="inlineStr">
        <is>
          <t>PS</t>
        </is>
      </c>
      <c r="N948" s="3" t="inlineStr">
        <is>
          <t>Cold Soldering</t>
        </is>
      </c>
      <c r="O948" s="3" t="n">
        <v>570</v>
      </c>
      <c r="P948" s="9" t="inlineStr">
        <is>
          <t>NSMI24050066265</t>
        </is>
      </c>
      <c r="Q948" s="53">
        <f>MID(P948,5,2)</f>
        <v/>
      </c>
      <c r="R948" s="53">
        <f>MID(P948,7,2)</f>
        <v/>
      </c>
      <c r="S948" s="3" t="inlineStr">
        <is>
          <t>G2G</t>
        </is>
      </c>
      <c r="T948" s="3" t="inlineStr">
        <is>
          <t>P4</t>
        </is>
      </c>
      <c r="U948" s="3" t="inlineStr">
        <is>
          <t>P JB Cold Soldering</t>
        </is>
      </c>
      <c r="V948" s="3" t="inlineStr">
        <is>
          <t>Soldering</t>
        </is>
      </c>
      <c r="W948" s="3" t="inlineStr">
        <is>
          <t>Repair</t>
        </is>
      </c>
      <c r="X948" s="18" t="n">
        <v>46156</v>
      </c>
      <c r="Y948" s="73">
        <f>IF(X948="","",X948-A948)</f>
        <v/>
      </c>
      <c r="Z948" s="18" t="n">
        <v>46156</v>
      </c>
      <c r="AA948" s="15" t="n"/>
      <c r="AB948" s="15" t="n"/>
      <c r="AF948">
        <f>IF(AND($F948="Closed",$X948&gt;=DATE(2026,5,1),$X948&lt;=DATE(2026,5,31)),"Closed in May","Other")</f>
        <v/>
      </c>
    </row>
    <row r="949">
      <c r="A949" s="6" t="n">
        <v>46107</v>
      </c>
      <c r="B949" s="3" t="n">
        <v>2026</v>
      </c>
      <c r="C949" s="3" t="inlineStr">
        <is>
          <t>Blupine Energy</t>
        </is>
      </c>
      <c r="D949" s="3" t="inlineStr">
        <is>
          <t>Utility and C&amp;I</t>
        </is>
      </c>
      <c r="E949" s="3" t="n"/>
      <c r="F949" s="3" t="inlineStr">
        <is>
          <t>Closed</t>
        </is>
      </c>
      <c r="G949" s="3" t="inlineStr">
        <is>
          <t>Chandrashekar Patidar</t>
        </is>
      </c>
      <c r="H949" s="3" t="n">
        <v>7879764773</v>
      </c>
      <c r="I949" s="11" t="inlineStr">
        <is>
          <t>PE26032601</t>
        </is>
      </c>
      <c r="J949" s="3" t="inlineStr">
        <is>
          <t>Module Diode Failure</t>
        </is>
      </c>
      <c r="K949" s="3" t="inlineStr">
        <is>
          <t>Sadla</t>
        </is>
      </c>
      <c r="L949" s="3" t="inlineStr">
        <is>
          <t>Gujarat</t>
        </is>
      </c>
      <c r="M949" s="9" t="inlineStr">
        <is>
          <t>PS</t>
        </is>
      </c>
      <c r="N949" s="3" t="inlineStr">
        <is>
          <t>Cold Soldering</t>
        </is>
      </c>
      <c r="O949" s="3" t="n">
        <v>570</v>
      </c>
      <c r="P949" s="9" t="inlineStr">
        <is>
          <t>NSMI24060092626</t>
        </is>
      </c>
      <c r="Q949" s="53">
        <f>MID(P949,5,2)</f>
        <v/>
      </c>
      <c r="R949" s="53">
        <f>MID(P949,7,2)</f>
        <v/>
      </c>
      <c r="S949" s="3" t="inlineStr">
        <is>
          <t>G2G</t>
        </is>
      </c>
      <c r="T949" s="3" t="inlineStr">
        <is>
          <t>P4</t>
        </is>
      </c>
      <c r="U949" s="3" t="inlineStr">
        <is>
          <t>P JB Cold Soldering</t>
        </is>
      </c>
      <c r="V949" s="3" t="inlineStr">
        <is>
          <t>Soldering</t>
        </is>
      </c>
      <c r="W949" s="3" t="inlineStr">
        <is>
          <t>Repair</t>
        </is>
      </c>
      <c r="X949" s="18" t="n">
        <v>46156</v>
      </c>
      <c r="Y949" s="73">
        <f>IF(X949="","",X949-A949)</f>
        <v/>
      </c>
      <c r="Z949" s="18" t="n">
        <v>46156</v>
      </c>
      <c r="AA949" s="15" t="n"/>
      <c r="AB949" s="15" t="n"/>
      <c r="AF949">
        <f>IF(AND($F949="Closed",$X949&gt;=DATE(2026,5,1),$X949&lt;=DATE(2026,5,31)),"Closed in May","Other")</f>
        <v/>
      </c>
    </row>
    <row r="950">
      <c r="A950" s="6" t="n">
        <v>46107</v>
      </c>
      <c r="B950" s="3" t="n">
        <v>2026</v>
      </c>
      <c r="C950" s="3" t="inlineStr">
        <is>
          <t>Blupine Energy</t>
        </is>
      </c>
      <c r="D950" s="3" t="inlineStr">
        <is>
          <t>Utility and C&amp;I</t>
        </is>
      </c>
      <c r="E950" s="3" t="n"/>
      <c r="F950" s="3" t="inlineStr">
        <is>
          <t>Closed</t>
        </is>
      </c>
      <c r="G950" s="3" t="inlineStr">
        <is>
          <t>Chandrashekar Patidar</t>
        </is>
      </c>
      <c r="H950" s="3" t="n">
        <v>7879764773</v>
      </c>
      <c r="I950" s="11" t="inlineStr">
        <is>
          <t>PE26032601</t>
        </is>
      </c>
      <c r="J950" s="3" t="inlineStr">
        <is>
          <t>Module Diode Failure</t>
        </is>
      </c>
      <c r="K950" s="3" t="inlineStr">
        <is>
          <t>Sadla</t>
        </is>
      </c>
      <c r="L950" s="3" t="inlineStr">
        <is>
          <t>Gujarat</t>
        </is>
      </c>
      <c r="M950" s="9" t="inlineStr">
        <is>
          <t>PS</t>
        </is>
      </c>
      <c r="N950" s="3" t="inlineStr">
        <is>
          <t>Cold Soldering</t>
        </is>
      </c>
      <c r="O950" s="3" t="n">
        <v>570</v>
      </c>
      <c r="P950" s="9" t="inlineStr">
        <is>
          <t>NSMI24060078676</t>
        </is>
      </c>
      <c r="Q950" s="53">
        <f>MID(P950,5,2)</f>
        <v/>
      </c>
      <c r="R950" s="53">
        <f>MID(P950,7,2)</f>
        <v/>
      </c>
      <c r="S950" s="3" t="inlineStr">
        <is>
          <t>G2G</t>
        </is>
      </c>
      <c r="T950" s="3" t="inlineStr">
        <is>
          <t>P4</t>
        </is>
      </c>
      <c r="U950" s="3" t="inlineStr">
        <is>
          <t>P JB Cold Soldering</t>
        </is>
      </c>
      <c r="V950" s="3" t="inlineStr">
        <is>
          <t>Soldering</t>
        </is>
      </c>
      <c r="W950" s="3" t="inlineStr">
        <is>
          <t>Repair</t>
        </is>
      </c>
      <c r="X950" s="18" t="n">
        <v>46156</v>
      </c>
      <c r="Y950" s="73">
        <f>IF(X950="","",X950-A950)</f>
        <v/>
      </c>
      <c r="Z950" s="18" t="n">
        <v>46156</v>
      </c>
      <c r="AA950" s="15" t="n"/>
      <c r="AB950" s="15" t="n"/>
      <c r="AF950">
        <f>IF(AND($F950="Closed",$X950&gt;=DATE(2026,5,1),$X950&lt;=DATE(2026,5,31)),"Closed in May","Other")</f>
        <v/>
      </c>
    </row>
    <row r="951">
      <c r="A951" s="6" t="n">
        <v>46107</v>
      </c>
      <c r="B951" s="3" t="n">
        <v>2026</v>
      </c>
      <c r="C951" s="3" t="inlineStr">
        <is>
          <t>Blupine Energy</t>
        </is>
      </c>
      <c r="D951" s="3" t="inlineStr">
        <is>
          <t>Utility and C&amp;I</t>
        </is>
      </c>
      <c r="E951" s="3" t="n"/>
      <c r="F951" s="3" t="inlineStr">
        <is>
          <t>Closed</t>
        </is>
      </c>
      <c r="G951" s="3" t="inlineStr">
        <is>
          <t>Chandrashekar Patidar</t>
        </is>
      </c>
      <c r="H951" s="3" t="n">
        <v>7879764773</v>
      </c>
      <c r="I951" s="11" t="inlineStr">
        <is>
          <t>PE26032601</t>
        </is>
      </c>
      <c r="J951" s="3" t="inlineStr">
        <is>
          <t>Module Diode Failure</t>
        </is>
      </c>
      <c r="K951" s="3" t="inlineStr">
        <is>
          <t>Sadla</t>
        </is>
      </c>
      <c r="L951" s="3" t="inlineStr">
        <is>
          <t>Gujarat</t>
        </is>
      </c>
      <c r="M951" s="9" t="inlineStr">
        <is>
          <t>NS</t>
        </is>
      </c>
      <c r="N951" s="3" t="inlineStr">
        <is>
          <t>Cold Soldering</t>
        </is>
      </c>
      <c r="O951" s="3" t="n">
        <v>570</v>
      </c>
      <c r="P951" s="9" t="inlineStr">
        <is>
          <t>NSMI24060095443</t>
        </is>
      </c>
      <c r="Q951" s="53">
        <f>MID(P951,5,2)</f>
        <v/>
      </c>
      <c r="R951" s="53">
        <f>MID(P951,7,2)</f>
        <v/>
      </c>
      <c r="S951" s="3" t="inlineStr">
        <is>
          <t>G2G</t>
        </is>
      </c>
      <c r="T951" s="3" t="inlineStr">
        <is>
          <t>P4</t>
        </is>
      </c>
      <c r="U951" s="3" t="inlineStr">
        <is>
          <t>N JB Cold Soldering</t>
        </is>
      </c>
      <c r="V951" s="3" t="inlineStr">
        <is>
          <t>Soldering</t>
        </is>
      </c>
      <c r="W951" s="3" t="inlineStr">
        <is>
          <t>Repair</t>
        </is>
      </c>
      <c r="X951" s="18" t="n">
        <v>46156</v>
      </c>
      <c r="Y951" s="73">
        <f>IF(X951="","",X951-A951)</f>
        <v/>
      </c>
      <c r="Z951" s="18" t="n">
        <v>46156</v>
      </c>
      <c r="AA951" s="15" t="n"/>
      <c r="AB951" s="15" t="n"/>
      <c r="AF951">
        <f>IF(AND($F951="Closed",$X951&gt;=DATE(2026,5,1),$X951&lt;=DATE(2026,5,31)),"Closed in May","Other")</f>
        <v/>
      </c>
    </row>
    <row r="952">
      <c r="A952" s="6" t="n">
        <v>46107</v>
      </c>
      <c r="B952" s="3" t="n">
        <v>2026</v>
      </c>
      <c r="C952" s="3" t="inlineStr">
        <is>
          <t>Blupine Energy</t>
        </is>
      </c>
      <c r="D952" s="3" t="inlineStr">
        <is>
          <t>Utility and C&amp;I</t>
        </is>
      </c>
      <c r="E952" s="3" t="n"/>
      <c r="F952" s="3" t="inlineStr">
        <is>
          <t>Closed</t>
        </is>
      </c>
      <c r="G952" s="3" t="inlineStr">
        <is>
          <t>Chandrashekar Patidar</t>
        </is>
      </c>
      <c r="H952" s="3" t="n">
        <v>7879764773</v>
      </c>
      <c r="I952" s="11" t="inlineStr">
        <is>
          <t>PE26032601</t>
        </is>
      </c>
      <c r="J952" s="3" t="inlineStr">
        <is>
          <t>Module Diode Failure</t>
        </is>
      </c>
      <c r="K952" s="3" t="inlineStr">
        <is>
          <t>Sadla</t>
        </is>
      </c>
      <c r="L952" s="3" t="inlineStr">
        <is>
          <t>Gujarat</t>
        </is>
      </c>
      <c r="M952" s="9" t="inlineStr">
        <is>
          <t>NS</t>
        </is>
      </c>
      <c r="N952" s="3" t="inlineStr">
        <is>
          <t>Cold Soldering</t>
        </is>
      </c>
      <c r="O952" s="3" t="n">
        <v>570</v>
      </c>
      <c r="P952" s="9" t="inlineStr">
        <is>
          <t>NSMI24060111090</t>
        </is>
      </c>
      <c r="Q952" s="53">
        <f>MID(P952,5,2)</f>
        <v/>
      </c>
      <c r="R952" s="53">
        <f>MID(P952,7,2)</f>
        <v/>
      </c>
      <c r="S952" s="3" t="inlineStr">
        <is>
          <t>G2G</t>
        </is>
      </c>
      <c r="T952" s="3" t="inlineStr">
        <is>
          <t>P4</t>
        </is>
      </c>
      <c r="U952" s="3" t="inlineStr">
        <is>
          <t>N JB Cold Soldering</t>
        </is>
      </c>
      <c r="V952" s="3" t="inlineStr">
        <is>
          <t>Soldering</t>
        </is>
      </c>
      <c r="W952" s="3" t="inlineStr">
        <is>
          <t>Repair</t>
        </is>
      </c>
      <c r="X952" s="18" t="n">
        <v>46156</v>
      </c>
      <c r="Y952" s="73">
        <f>IF(X952="","",X952-A952)</f>
        <v/>
      </c>
      <c r="Z952" s="18" t="n">
        <v>46156</v>
      </c>
      <c r="AA952" s="15" t="n"/>
      <c r="AB952" s="15" t="n"/>
      <c r="AF952">
        <f>IF(AND($F952="Closed",$X952&gt;=DATE(2026,5,1),$X952&lt;=DATE(2026,5,31)),"Closed in May","Other")</f>
        <v/>
      </c>
    </row>
    <row r="953">
      <c r="A953" s="6" t="n">
        <v>46107</v>
      </c>
      <c r="B953" s="3" t="n">
        <v>2026</v>
      </c>
      <c r="C953" s="3" t="inlineStr">
        <is>
          <t>Blupine Energy</t>
        </is>
      </c>
      <c r="D953" s="3" t="inlineStr">
        <is>
          <t>Utility and C&amp;I</t>
        </is>
      </c>
      <c r="E953" s="3" t="n"/>
      <c r="F953" s="3" t="inlineStr">
        <is>
          <t>Closed</t>
        </is>
      </c>
      <c r="G953" s="3" t="inlineStr">
        <is>
          <t>Chandrashekar Patidar</t>
        </is>
      </c>
      <c r="H953" s="3" t="n">
        <v>7879764773</v>
      </c>
      <c r="I953" s="11" t="inlineStr">
        <is>
          <t>PE26032601</t>
        </is>
      </c>
      <c r="J953" s="3" t="inlineStr">
        <is>
          <t>Module Diode Failure</t>
        </is>
      </c>
      <c r="K953" s="3" t="inlineStr">
        <is>
          <t>Sadla</t>
        </is>
      </c>
      <c r="L953" s="3" t="inlineStr">
        <is>
          <t>Gujarat</t>
        </is>
      </c>
      <c r="M953" s="9" t="inlineStr">
        <is>
          <t>NS</t>
        </is>
      </c>
      <c r="N953" s="3" t="inlineStr">
        <is>
          <t>Cold Soldering</t>
        </is>
      </c>
      <c r="O953" s="3" t="n">
        <v>570</v>
      </c>
      <c r="P953" s="9" t="inlineStr">
        <is>
          <t>NSMI24060137324</t>
        </is>
      </c>
      <c r="Q953" s="53">
        <f>MID(P953,5,2)</f>
        <v/>
      </c>
      <c r="R953" s="53">
        <f>MID(P953,7,2)</f>
        <v/>
      </c>
      <c r="S953" s="3" t="inlineStr">
        <is>
          <t>G2G</t>
        </is>
      </c>
      <c r="T953" s="3" t="inlineStr">
        <is>
          <t>P4</t>
        </is>
      </c>
      <c r="U953" s="3" t="inlineStr">
        <is>
          <t>N JB Cold Soldering</t>
        </is>
      </c>
      <c r="V953" s="3" t="inlineStr">
        <is>
          <t>Soldering</t>
        </is>
      </c>
      <c r="W953" s="3" t="inlineStr">
        <is>
          <t>Repair</t>
        </is>
      </c>
      <c r="X953" s="18" t="n">
        <v>46156</v>
      </c>
      <c r="Y953" s="73">
        <f>IF(X953="","",X953-A953)</f>
        <v/>
      </c>
      <c r="Z953" s="18" t="n">
        <v>46156</v>
      </c>
      <c r="AA953" s="15" t="n"/>
      <c r="AB953" s="15" t="n"/>
      <c r="AF953">
        <f>IF(AND($F953="Closed",$X953&gt;=DATE(2026,5,1),$X953&lt;=DATE(2026,5,31)),"Closed in May","Other")</f>
        <v/>
      </c>
    </row>
    <row r="954">
      <c r="A954" s="6" t="n">
        <v>46107</v>
      </c>
      <c r="B954" s="3" t="n">
        <v>2026</v>
      </c>
      <c r="C954" s="3" t="inlineStr">
        <is>
          <t>Blupine Energy</t>
        </is>
      </c>
      <c r="D954" s="3" t="inlineStr">
        <is>
          <t>Utility and C&amp;I</t>
        </is>
      </c>
      <c r="E954" s="3" t="n"/>
      <c r="F954" s="3" t="inlineStr">
        <is>
          <t>Closed</t>
        </is>
      </c>
      <c r="G954" s="3" t="inlineStr">
        <is>
          <t>Chandrashekar Patidar</t>
        </is>
      </c>
      <c r="H954" s="3" t="n">
        <v>7879764773</v>
      </c>
      <c r="I954" s="11" t="inlineStr">
        <is>
          <t>PE26032601</t>
        </is>
      </c>
      <c r="J954" s="3" t="inlineStr">
        <is>
          <t>Module Diode Failure</t>
        </is>
      </c>
      <c r="K954" s="3" t="inlineStr">
        <is>
          <t>Sadla</t>
        </is>
      </c>
      <c r="L954" s="3" t="inlineStr">
        <is>
          <t>Gujarat</t>
        </is>
      </c>
      <c r="M954" s="9" t="inlineStr">
        <is>
          <t>NS</t>
        </is>
      </c>
      <c r="N954" s="3" t="inlineStr">
        <is>
          <t>Cold Soldering</t>
        </is>
      </c>
      <c r="O954" s="3" t="n">
        <v>570</v>
      </c>
      <c r="P954" s="9" t="inlineStr">
        <is>
          <t>NSMI24060137479</t>
        </is>
      </c>
      <c r="Q954" s="53">
        <f>MID(P954,5,2)</f>
        <v/>
      </c>
      <c r="R954" s="53">
        <f>MID(P954,7,2)</f>
        <v/>
      </c>
      <c r="S954" s="3" t="inlineStr">
        <is>
          <t>G2G</t>
        </is>
      </c>
      <c r="T954" s="3" t="inlineStr">
        <is>
          <t>P4</t>
        </is>
      </c>
      <c r="U954" s="3" t="inlineStr">
        <is>
          <t>N JB Cold Soldering</t>
        </is>
      </c>
      <c r="V954" s="3" t="inlineStr">
        <is>
          <t>Soldering</t>
        </is>
      </c>
      <c r="W954" s="3" t="inlineStr">
        <is>
          <t>Repair</t>
        </is>
      </c>
      <c r="X954" s="18" t="n">
        <v>46156</v>
      </c>
      <c r="Y954" s="73">
        <f>IF(X954="","",X954-A954)</f>
        <v/>
      </c>
      <c r="Z954" s="18" t="n">
        <v>46156</v>
      </c>
      <c r="AA954" s="15" t="n"/>
      <c r="AB954" s="15" t="n"/>
      <c r="AF954">
        <f>IF(AND($F954="Closed",$X954&gt;=DATE(2026,5,1),$X954&lt;=DATE(2026,5,31)),"Closed in May","Other")</f>
        <v/>
      </c>
    </row>
    <row r="955">
      <c r="A955" s="6" t="n">
        <v>46107</v>
      </c>
      <c r="B955" s="3" t="n">
        <v>2026</v>
      </c>
      <c r="C955" s="3" t="inlineStr">
        <is>
          <t>Blupine Energy</t>
        </is>
      </c>
      <c r="D955" s="3" t="inlineStr">
        <is>
          <t>Utility and C&amp;I</t>
        </is>
      </c>
      <c r="E955" s="3" t="n"/>
      <c r="F955" s="3" t="inlineStr">
        <is>
          <t>Closed</t>
        </is>
      </c>
      <c r="G955" s="3" t="inlineStr">
        <is>
          <t>Chandrashekar Patidar</t>
        </is>
      </c>
      <c r="H955" s="3" t="n">
        <v>7879764773</v>
      </c>
      <c r="I955" s="11" t="inlineStr">
        <is>
          <t>PE26032601</t>
        </is>
      </c>
      <c r="J955" s="3" t="inlineStr">
        <is>
          <t>Module Diode Failure</t>
        </is>
      </c>
      <c r="K955" s="3" t="inlineStr">
        <is>
          <t>Sadla</t>
        </is>
      </c>
      <c r="L955" s="3" t="inlineStr">
        <is>
          <t>Gujarat</t>
        </is>
      </c>
      <c r="M955" s="9" t="inlineStr">
        <is>
          <t>PR</t>
        </is>
      </c>
      <c r="N955" s="3" t="inlineStr">
        <is>
          <t>JB Issue</t>
        </is>
      </c>
      <c r="O955" s="3" t="n">
        <v>570</v>
      </c>
      <c r="P955" s="9" t="inlineStr">
        <is>
          <t>NSMI24060079195</t>
        </is>
      </c>
      <c r="Q955" s="53">
        <f>MID(P955,5,2)</f>
        <v/>
      </c>
      <c r="R955" s="53">
        <f>MID(P955,7,2)</f>
        <v/>
      </c>
      <c r="S955" s="3" t="inlineStr">
        <is>
          <t>G2G</t>
        </is>
      </c>
      <c r="T955" s="3" t="inlineStr">
        <is>
          <t>P4</t>
        </is>
      </c>
      <c r="U955" s="3" t="inlineStr">
        <is>
          <t>P JB Issue</t>
        </is>
      </c>
      <c r="V955" s="15" t="inlineStr">
        <is>
          <t>JB Changed</t>
        </is>
      </c>
      <c r="W955" s="3" t="inlineStr">
        <is>
          <t>Repair</t>
        </is>
      </c>
      <c r="X955" s="18" t="n">
        <v>46156</v>
      </c>
      <c r="Y955" s="73">
        <f>IF(X955="","",X955-A955)</f>
        <v/>
      </c>
      <c r="Z955" s="18" t="n">
        <v>46156</v>
      </c>
      <c r="AA955" s="15" t="n"/>
      <c r="AB955" s="15" t="n"/>
      <c r="AF955">
        <f>IF(AND($F955="Closed",$X955&gt;=DATE(2026,5,1),$X955&lt;=DATE(2026,5,31)),"Closed in May","Other")</f>
        <v/>
      </c>
    </row>
    <row r="956">
      <c r="A956" s="6" t="n">
        <v>46107</v>
      </c>
      <c r="B956" s="3" t="n">
        <v>2026</v>
      </c>
      <c r="C956" s="3" t="inlineStr">
        <is>
          <t>Blupine Energy</t>
        </is>
      </c>
      <c r="D956" s="3" t="inlineStr">
        <is>
          <t>Utility and C&amp;I</t>
        </is>
      </c>
      <c r="E956" s="3" t="n"/>
      <c r="F956" s="3" t="inlineStr">
        <is>
          <t>Closed</t>
        </is>
      </c>
      <c r="G956" s="3" t="inlineStr">
        <is>
          <t>Chandrashekar Patidar</t>
        </is>
      </c>
      <c r="H956" s="3" t="n">
        <v>7879764773</v>
      </c>
      <c r="I956" s="11" t="inlineStr">
        <is>
          <t>PE26032601</t>
        </is>
      </c>
      <c r="J956" s="3" t="inlineStr">
        <is>
          <t>Module Diode Failure</t>
        </is>
      </c>
      <c r="K956" s="3" t="inlineStr">
        <is>
          <t>Sadla</t>
        </is>
      </c>
      <c r="L956" s="3" t="inlineStr">
        <is>
          <t>Gujarat</t>
        </is>
      </c>
      <c r="M956" s="9" t="inlineStr">
        <is>
          <t>PNR</t>
        </is>
      </c>
      <c r="N956" s="3" t="inlineStr">
        <is>
          <t>JB Issue</t>
        </is>
      </c>
      <c r="O956" s="3" t="n">
        <v>570</v>
      </c>
      <c r="P956" s="9" t="inlineStr">
        <is>
          <t>NSMI24060079186</t>
        </is>
      </c>
      <c r="Q956" s="53">
        <f>MID(P956,5,2)</f>
        <v/>
      </c>
      <c r="R956" s="53">
        <f>MID(P956,7,2)</f>
        <v/>
      </c>
      <c r="S956" s="3" t="inlineStr">
        <is>
          <t>G2G</t>
        </is>
      </c>
      <c r="T956" s="3" t="inlineStr">
        <is>
          <t>P4</t>
        </is>
      </c>
      <c r="U956" s="3" t="inlineStr">
        <is>
          <t>P &amp; N JB Issue &amp; Glass Breakage</t>
        </is>
      </c>
      <c r="V956" s="15" t="inlineStr">
        <is>
          <t>JB Changed</t>
        </is>
      </c>
      <c r="W956" s="3" t="inlineStr">
        <is>
          <t>Repair</t>
        </is>
      </c>
      <c r="X956" s="18" t="n">
        <v>46156</v>
      </c>
      <c r="Y956" s="73">
        <f>IF(X956="","",X956-A956)</f>
        <v/>
      </c>
      <c r="Z956" s="18" t="n">
        <v>46156</v>
      </c>
      <c r="AA956" s="15" t="n"/>
      <c r="AB956" s="15" t="n"/>
      <c r="AF956">
        <f>IF(AND($F956="Closed",$X956&gt;=DATE(2026,5,1),$X956&lt;=DATE(2026,5,31)),"Closed in May","Other")</f>
        <v/>
      </c>
    </row>
    <row r="957">
      <c r="A957" s="6" t="n">
        <v>46107</v>
      </c>
      <c r="B957" s="3" t="n">
        <v>2026</v>
      </c>
      <c r="C957" s="3" t="inlineStr">
        <is>
          <t>Blupine Energy</t>
        </is>
      </c>
      <c r="D957" s="3" t="inlineStr">
        <is>
          <t>Utility and C&amp;I</t>
        </is>
      </c>
      <c r="E957" s="3" t="n"/>
      <c r="F957" s="3" t="inlineStr">
        <is>
          <t>Closed</t>
        </is>
      </c>
      <c r="G957" s="3" t="inlineStr">
        <is>
          <t>Chandrashekar Patidar</t>
        </is>
      </c>
      <c r="H957" s="3" t="n">
        <v>7879764773</v>
      </c>
      <c r="I957" s="11" t="inlineStr">
        <is>
          <t>PE26032601</t>
        </is>
      </c>
      <c r="J957" s="3" t="inlineStr">
        <is>
          <t>Module Diode Failure</t>
        </is>
      </c>
      <c r="K957" s="3" t="inlineStr">
        <is>
          <t>Sadla</t>
        </is>
      </c>
      <c r="L957" s="3" t="inlineStr">
        <is>
          <t>Gujarat</t>
        </is>
      </c>
      <c r="M957" s="9" t="inlineStr">
        <is>
          <t>NS</t>
        </is>
      </c>
      <c r="N957" s="3" t="inlineStr">
        <is>
          <t>Cold Soldering</t>
        </is>
      </c>
      <c r="O957" s="3" t="n">
        <v>570</v>
      </c>
      <c r="P957" s="9" t="inlineStr">
        <is>
          <t>NSMI24060095271</t>
        </is>
      </c>
      <c r="Q957" s="53">
        <f>MID(P957,5,2)</f>
        <v/>
      </c>
      <c r="R957" s="53">
        <f>MID(P957,7,2)</f>
        <v/>
      </c>
      <c r="S957" s="3" t="inlineStr">
        <is>
          <t>G2G</t>
        </is>
      </c>
      <c r="T957" s="3" t="inlineStr">
        <is>
          <t>P4</t>
        </is>
      </c>
      <c r="U957" s="3" t="inlineStr">
        <is>
          <t>N JB Cold Soldering</t>
        </is>
      </c>
      <c r="V957" s="3" t="inlineStr">
        <is>
          <t>Soldering</t>
        </is>
      </c>
      <c r="W957" s="3" t="inlineStr">
        <is>
          <t>Repair</t>
        </is>
      </c>
      <c r="X957" s="18" t="n">
        <v>46156</v>
      </c>
      <c r="Y957" s="73">
        <f>IF(X957="","",X957-A957)</f>
        <v/>
      </c>
      <c r="Z957" s="18" t="n">
        <v>46156</v>
      </c>
      <c r="AA957" s="15" t="n"/>
      <c r="AB957" s="15" t="n"/>
      <c r="AF957">
        <f>IF(AND($F957="Closed",$X957&gt;=DATE(2026,5,1),$X957&lt;=DATE(2026,5,31)),"Closed in May","Other")</f>
        <v/>
      </c>
    </row>
    <row r="958">
      <c r="A958" s="6" t="n">
        <v>46107</v>
      </c>
      <c r="B958" s="3" t="n">
        <v>2026</v>
      </c>
      <c r="C958" s="3" t="inlineStr">
        <is>
          <t>Blupine Energy</t>
        </is>
      </c>
      <c r="D958" s="3" t="inlineStr">
        <is>
          <t>Utility and C&amp;I</t>
        </is>
      </c>
      <c r="E958" s="3" t="n"/>
      <c r="F958" s="3" t="inlineStr">
        <is>
          <t>Closed</t>
        </is>
      </c>
      <c r="G958" s="3" t="inlineStr">
        <is>
          <t>Chandrashekar Patidar</t>
        </is>
      </c>
      <c r="H958" s="3" t="n">
        <v>7879764773</v>
      </c>
      <c r="I958" s="11" t="inlineStr">
        <is>
          <t>PE26032601</t>
        </is>
      </c>
      <c r="J958" s="3" t="inlineStr">
        <is>
          <t>Module Diode Failure</t>
        </is>
      </c>
      <c r="K958" s="3" t="inlineStr">
        <is>
          <t>Sadla</t>
        </is>
      </c>
      <c r="L958" s="3" t="inlineStr">
        <is>
          <t>Gujarat</t>
        </is>
      </c>
      <c r="M958" s="9" t="inlineStr">
        <is>
          <t>NR</t>
        </is>
      </c>
      <c r="N958" s="3" t="inlineStr">
        <is>
          <t>JB Issue</t>
        </is>
      </c>
      <c r="O958" s="3" t="n">
        <v>570</v>
      </c>
      <c r="P958" s="9" t="inlineStr">
        <is>
          <t>NSMI24060095322</t>
        </is>
      </c>
      <c r="Q958" s="53">
        <f>MID(P958,5,2)</f>
        <v/>
      </c>
      <c r="R958" s="53">
        <f>MID(P958,7,2)</f>
        <v/>
      </c>
      <c r="S958" s="3" t="inlineStr">
        <is>
          <t>G2G</t>
        </is>
      </c>
      <c r="T958" s="3" t="inlineStr">
        <is>
          <t>P4</t>
        </is>
      </c>
      <c r="U958" s="3" t="inlineStr">
        <is>
          <t>N JB Issue</t>
        </is>
      </c>
      <c r="V958" s="3" t="inlineStr">
        <is>
          <t>JB Changed</t>
        </is>
      </c>
      <c r="W958" s="3" t="inlineStr">
        <is>
          <t>Repair</t>
        </is>
      </c>
      <c r="X958" s="18" t="n">
        <v>46156</v>
      </c>
      <c r="Y958" s="73">
        <f>IF(X958="","",X958-A958)</f>
        <v/>
      </c>
      <c r="Z958" s="18" t="n">
        <v>46156</v>
      </c>
      <c r="AA958" s="15" t="n"/>
      <c r="AB958" s="15" t="n"/>
      <c r="AF958">
        <f>IF(AND($F958="Closed",$X958&gt;=DATE(2026,5,1),$X958&lt;=DATE(2026,5,31)),"Closed in May","Other")</f>
        <v/>
      </c>
    </row>
    <row r="959">
      <c r="A959" s="6" t="n">
        <v>46107</v>
      </c>
      <c r="B959" s="3" t="n">
        <v>2026</v>
      </c>
      <c r="C959" s="3" t="inlineStr">
        <is>
          <t>Blupine Energy</t>
        </is>
      </c>
      <c r="D959" s="3" t="inlineStr">
        <is>
          <t>Utility and C&amp;I</t>
        </is>
      </c>
      <c r="E959" s="3" t="n"/>
      <c r="F959" s="3" t="inlineStr">
        <is>
          <t>Closed</t>
        </is>
      </c>
      <c r="G959" s="3" t="inlineStr">
        <is>
          <t>Chandrashekar Patidar</t>
        </is>
      </c>
      <c r="H959" s="3" t="n">
        <v>7879764773</v>
      </c>
      <c r="I959" s="11" t="inlineStr">
        <is>
          <t>PE26032601</t>
        </is>
      </c>
      <c r="J959" s="3" t="inlineStr">
        <is>
          <t>Module Diode Failure</t>
        </is>
      </c>
      <c r="K959" s="3" t="inlineStr">
        <is>
          <t>Sadla</t>
        </is>
      </c>
      <c r="L959" s="3" t="inlineStr">
        <is>
          <t>Gujarat</t>
        </is>
      </c>
      <c r="M959" s="9" t="inlineStr">
        <is>
          <t>NS</t>
        </is>
      </c>
      <c r="N959" s="3" t="inlineStr">
        <is>
          <t>Cold Soldering</t>
        </is>
      </c>
      <c r="O959" s="3" t="n">
        <v>570</v>
      </c>
      <c r="P959" s="9" t="inlineStr">
        <is>
          <t>NSMI24060094566</t>
        </is>
      </c>
      <c r="Q959" s="53">
        <f>MID(P959,5,2)</f>
        <v/>
      </c>
      <c r="R959" s="53">
        <f>MID(P959,7,2)</f>
        <v/>
      </c>
      <c r="S959" s="3" t="inlineStr">
        <is>
          <t>G2G</t>
        </is>
      </c>
      <c r="T959" s="3" t="inlineStr">
        <is>
          <t>P4</t>
        </is>
      </c>
      <c r="U959" s="3" t="inlineStr">
        <is>
          <t>N JB Cold Soldering</t>
        </is>
      </c>
      <c r="V959" s="3" t="inlineStr">
        <is>
          <t>Soldering</t>
        </is>
      </c>
      <c r="W959" s="3" t="inlineStr">
        <is>
          <t>Repair</t>
        </is>
      </c>
      <c r="X959" s="18" t="n">
        <v>46156</v>
      </c>
      <c r="Y959" s="73">
        <f>IF(X959="","",X959-A959)</f>
        <v/>
      </c>
      <c r="Z959" s="18" t="n">
        <v>46156</v>
      </c>
      <c r="AA959" s="15" t="n"/>
      <c r="AB959" s="15" t="n"/>
      <c r="AF959">
        <f>IF(AND($F959="Closed",$X959&gt;=DATE(2026,5,1),$X959&lt;=DATE(2026,5,31)),"Closed in May","Other")</f>
        <v/>
      </c>
    </row>
    <row r="960">
      <c r="A960" s="6" t="n">
        <v>46107</v>
      </c>
      <c r="B960" s="3" t="n">
        <v>2026</v>
      </c>
      <c r="C960" s="3" t="inlineStr">
        <is>
          <t>Blupine Energy</t>
        </is>
      </c>
      <c r="D960" s="3" t="inlineStr">
        <is>
          <t>Utility and C&amp;I</t>
        </is>
      </c>
      <c r="E960" s="3" t="n"/>
      <c r="F960" s="3" t="inlineStr">
        <is>
          <t>Closed</t>
        </is>
      </c>
      <c r="G960" s="3" t="inlineStr">
        <is>
          <t>Chandrashekar Patidar</t>
        </is>
      </c>
      <c r="H960" s="3" t="n">
        <v>7879764773</v>
      </c>
      <c r="I960" s="11" t="inlineStr">
        <is>
          <t>PE26032601</t>
        </is>
      </c>
      <c r="J960" s="3" t="inlineStr">
        <is>
          <t>Module Diode Failure</t>
        </is>
      </c>
      <c r="K960" s="3" t="inlineStr">
        <is>
          <t>Sadla</t>
        </is>
      </c>
      <c r="L960" s="3" t="inlineStr">
        <is>
          <t>Gujarat</t>
        </is>
      </c>
      <c r="M960" s="9" t="inlineStr">
        <is>
          <t>NR</t>
        </is>
      </c>
      <c r="N960" s="3" t="inlineStr">
        <is>
          <t>JB Issue</t>
        </is>
      </c>
      <c r="O960" s="3" t="n">
        <v>570</v>
      </c>
      <c r="P960" s="9" t="inlineStr">
        <is>
          <t>NSMI24060151818</t>
        </is>
      </c>
      <c r="Q960" s="53">
        <f>MID(P960,5,2)</f>
        <v/>
      </c>
      <c r="R960" s="53">
        <f>MID(P960,7,2)</f>
        <v/>
      </c>
      <c r="S960" s="3" t="inlineStr">
        <is>
          <t>G2G</t>
        </is>
      </c>
      <c r="T960" s="3" t="inlineStr">
        <is>
          <t>P4</t>
        </is>
      </c>
      <c r="U960" s="3" t="inlineStr">
        <is>
          <t>N JB Issue</t>
        </is>
      </c>
      <c r="V960" s="3" t="inlineStr">
        <is>
          <t>JB Changed</t>
        </is>
      </c>
      <c r="W960" s="3" t="inlineStr">
        <is>
          <t>Repair</t>
        </is>
      </c>
      <c r="X960" s="18" t="n">
        <v>46156</v>
      </c>
      <c r="Y960" s="73">
        <f>IF(X960="","",X960-A960)</f>
        <v/>
      </c>
      <c r="Z960" s="18" t="n">
        <v>46156</v>
      </c>
      <c r="AA960" s="15" t="n"/>
      <c r="AB960" s="15" t="n"/>
      <c r="AF960">
        <f>IF(AND($F960="Closed",$X960&gt;=DATE(2026,5,1),$X960&lt;=DATE(2026,5,31)),"Closed in May","Other")</f>
        <v/>
      </c>
    </row>
    <row r="961">
      <c r="A961" s="6" t="n">
        <v>46107</v>
      </c>
      <c r="B961" s="3" t="n">
        <v>2026</v>
      </c>
      <c r="C961" s="3" t="inlineStr">
        <is>
          <t>Blupine Energy</t>
        </is>
      </c>
      <c r="D961" s="3" t="inlineStr">
        <is>
          <t>Utility and C&amp;I</t>
        </is>
      </c>
      <c r="E961" s="3" t="n"/>
      <c r="F961" s="3" t="inlineStr">
        <is>
          <t>Closed</t>
        </is>
      </c>
      <c r="G961" s="3" t="inlineStr">
        <is>
          <t>Chandrashekar Patidar</t>
        </is>
      </c>
      <c r="H961" s="3" t="n">
        <v>7879764773</v>
      </c>
      <c r="I961" s="11" t="inlineStr">
        <is>
          <t>PE26032601</t>
        </is>
      </c>
      <c r="J961" s="3" t="inlineStr">
        <is>
          <t>Module Diode Failure</t>
        </is>
      </c>
      <c r="K961" s="3" t="inlineStr">
        <is>
          <t>Sadla</t>
        </is>
      </c>
      <c r="L961" s="3" t="inlineStr">
        <is>
          <t>Gujarat</t>
        </is>
      </c>
      <c r="M961" s="9" t="inlineStr">
        <is>
          <t>PR</t>
        </is>
      </c>
      <c r="N961" s="3" t="inlineStr">
        <is>
          <t>JB Issue</t>
        </is>
      </c>
      <c r="O961" s="3" t="n">
        <v>570</v>
      </c>
      <c r="P961" s="9" t="inlineStr">
        <is>
          <t>NSMI24060090289</t>
        </is>
      </c>
      <c r="Q961" s="53">
        <f>MID(P961,5,2)</f>
        <v/>
      </c>
      <c r="R961" s="53">
        <f>MID(P961,7,2)</f>
        <v/>
      </c>
      <c r="S961" s="3" t="inlineStr">
        <is>
          <t>G2G</t>
        </is>
      </c>
      <c r="T961" s="3" t="inlineStr">
        <is>
          <t>P4</t>
        </is>
      </c>
      <c r="U961" s="3" t="inlineStr">
        <is>
          <t>P JB Issue</t>
        </is>
      </c>
      <c r="V961" s="15" t="inlineStr">
        <is>
          <t>JB Changed</t>
        </is>
      </c>
      <c r="W961" s="3" t="inlineStr">
        <is>
          <t>Repair</t>
        </is>
      </c>
      <c r="X961" s="18" t="n">
        <v>46156</v>
      </c>
      <c r="Y961" s="73">
        <f>IF(X961="","",X961-A961)</f>
        <v/>
      </c>
      <c r="Z961" s="18" t="n">
        <v>46156</v>
      </c>
      <c r="AA961" s="15" t="n"/>
      <c r="AB961" s="15" t="n"/>
      <c r="AF961">
        <f>IF(AND($F961="Closed",$X961&gt;=DATE(2026,5,1),$X961&lt;=DATE(2026,5,31)),"Closed in May","Other")</f>
        <v/>
      </c>
    </row>
    <row r="962">
      <c r="A962" s="6" t="n">
        <v>46107</v>
      </c>
      <c r="B962" s="3" t="n">
        <v>2026</v>
      </c>
      <c r="C962" s="3" t="inlineStr">
        <is>
          <t>Blupine Energy</t>
        </is>
      </c>
      <c r="D962" s="3" t="inlineStr">
        <is>
          <t>Utility and C&amp;I</t>
        </is>
      </c>
      <c r="E962" s="3" t="n"/>
      <c r="F962" s="3" t="inlineStr">
        <is>
          <t>Closed</t>
        </is>
      </c>
      <c r="G962" s="3" t="inlineStr">
        <is>
          <t>Chandrashekar Patidar</t>
        </is>
      </c>
      <c r="H962" s="3" t="n">
        <v>7879764773</v>
      </c>
      <c r="I962" s="11" t="inlineStr">
        <is>
          <t>PE26032601</t>
        </is>
      </c>
      <c r="J962" s="3" t="inlineStr">
        <is>
          <t>Module Diode Failure</t>
        </is>
      </c>
      <c r="K962" s="3" t="inlineStr">
        <is>
          <t>Sadla</t>
        </is>
      </c>
      <c r="L962" s="3" t="inlineStr">
        <is>
          <t>Gujarat</t>
        </is>
      </c>
      <c r="M962" s="9" t="inlineStr">
        <is>
          <t>NS</t>
        </is>
      </c>
      <c r="N962" s="3" t="inlineStr">
        <is>
          <t>Cold Soldering</t>
        </is>
      </c>
      <c r="O962" s="3" t="n">
        <v>570</v>
      </c>
      <c r="P962" s="9" t="inlineStr">
        <is>
          <t>NSMI24060110647</t>
        </is>
      </c>
      <c r="Q962" s="53">
        <f>MID(P962,5,2)</f>
        <v/>
      </c>
      <c r="R962" s="53">
        <f>MID(P962,7,2)</f>
        <v/>
      </c>
      <c r="S962" s="3" t="inlineStr">
        <is>
          <t>G2G</t>
        </is>
      </c>
      <c r="T962" s="3" t="inlineStr">
        <is>
          <t>P4</t>
        </is>
      </c>
      <c r="U962" s="3" t="inlineStr">
        <is>
          <t>N JB Cold Soldering</t>
        </is>
      </c>
      <c r="V962" s="3" t="inlineStr">
        <is>
          <t>Soldering</t>
        </is>
      </c>
      <c r="W962" s="3" t="inlineStr">
        <is>
          <t>Repair</t>
        </is>
      </c>
      <c r="X962" s="18" t="n">
        <v>46156</v>
      </c>
      <c r="Y962" s="73">
        <f>IF(X962="","",X962-A962)</f>
        <v/>
      </c>
      <c r="Z962" s="18" t="n">
        <v>46156</v>
      </c>
      <c r="AA962" s="15" t="n"/>
      <c r="AB962" s="15" t="n"/>
      <c r="AF962">
        <f>IF(AND($F962="Closed",$X962&gt;=DATE(2026,5,1),$X962&lt;=DATE(2026,5,31)),"Closed in May","Other")</f>
        <v/>
      </c>
    </row>
    <row r="963">
      <c r="A963" s="6" t="n">
        <v>46107</v>
      </c>
      <c r="B963" s="3" t="n">
        <v>2026</v>
      </c>
      <c r="C963" s="3" t="inlineStr">
        <is>
          <t>Blupine Energy</t>
        </is>
      </c>
      <c r="D963" s="3" t="inlineStr">
        <is>
          <t>Utility and C&amp;I</t>
        </is>
      </c>
      <c r="E963" s="3" t="n"/>
      <c r="F963" s="3" t="inlineStr">
        <is>
          <t>Closed</t>
        </is>
      </c>
      <c r="G963" s="3" t="inlineStr">
        <is>
          <t>Chandrashekar Patidar</t>
        </is>
      </c>
      <c r="H963" s="3" t="n">
        <v>7879764773</v>
      </c>
      <c r="I963" s="11" t="inlineStr">
        <is>
          <t>PE26032601</t>
        </is>
      </c>
      <c r="J963" s="3" t="inlineStr">
        <is>
          <t>Module Diode Failure</t>
        </is>
      </c>
      <c r="K963" s="3" t="inlineStr">
        <is>
          <t>Sadla</t>
        </is>
      </c>
      <c r="L963" s="3" t="inlineStr">
        <is>
          <t>Gujarat</t>
        </is>
      </c>
      <c r="M963" s="9" t="inlineStr">
        <is>
          <t>NS</t>
        </is>
      </c>
      <c r="N963" s="3" t="inlineStr">
        <is>
          <t>Cold Soldering</t>
        </is>
      </c>
      <c r="O963" s="3" t="n">
        <v>570</v>
      </c>
      <c r="P963" s="9" t="inlineStr">
        <is>
          <t>NSMI24060110211</t>
        </is>
      </c>
      <c r="Q963" s="53">
        <f>MID(P963,5,2)</f>
        <v/>
      </c>
      <c r="R963" s="53">
        <f>MID(P963,7,2)</f>
        <v/>
      </c>
      <c r="S963" s="3" t="inlineStr">
        <is>
          <t>G2G</t>
        </is>
      </c>
      <c r="T963" s="3" t="inlineStr">
        <is>
          <t>P4</t>
        </is>
      </c>
      <c r="U963" s="3" t="inlineStr">
        <is>
          <t>N JB Cold Soldering</t>
        </is>
      </c>
      <c r="V963" s="3" t="inlineStr">
        <is>
          <t>Soldering</t>
        </is>
      </c>
      <c r="W963" s="3" t="inlineStr">
        <is>
          <t>Repair</t>
        </is>
      </c>
      <c r="X963" s="18" t="n">
        <v>46156</v>
      </c>
      <c r="Y963" s="73">
        <f>IF(X963="","",X963-A963)</f>
        <v/>
      </c>
      <c r="Z963" s="18" t="n">
        <v>46156</v>
      </c>
      <c r="AA963" s="15" t="n"/>
      <c r="AB963" s="15" t="n"/>
      <c r="AF963">
        <f>IF(AND($F963="Closed",$X963&gt;=DATE(2026,5,1),$X963&lt;=DATE(2026,5,31)),"Closed in May","Other")</f>
        <v/>
      </c>
    </row>
    <row r="964">
      <c r="A964" s="6" t="n">
        <v>46107</v>
      </c>
      <c r="B964" s="3" t="n">
        <v>2026</v>
      </c>
      <c r="C964" s="3" t="inlineStr">
        <is>
          <t>Blupine Energy</t>
        </is>
      </c>
      <c r="D964" s="3" t="inlineStr">
        <is>
          <t>Utility and C&amp;I</t>
        </is>
      </c>
      <c r="E964" s="3" t="n"/>
      <c r="F964" s="3" t="inlineStr">
        <is>
          <t>Closed</t>
        </is>
      </c>
      <c r="G964" s="3" t="inlineStr">
        <is>
          <t>Chandrashekar Patidar</t>
        </is>
      </c>
      <c r="H964" s="3" t="n">
        <v>7879764773</v>
      </c>
      <c r="I964" s="11" t="inlineStr">
        <is>
          <t>PE26032601</t>
        </is>
      </c>
      <c r="J964" s="3" t="inlineStr">
        <is>
          <t>Module Diode Failure</t>
        </is>
      </c>
      <c r="K964" s="3" t="inlineStr">
        <is>
          <t>Sadla</t>
        </is>
      </c>
      <c r="L964" s="3" t="inlineStr">
        <is>
          <t>Gujarat</t>
        </is>
      </c>
      <c r="M964" s="9" t="inlineStr">
        <is>
          <t>NS</t>
        </is>
      </c>
      <c r="N964" s="3" t="inlineStr">
        <is>
          <t>Cold Soldering</t>
        </is>
      </c>
      <c r="O964" s="3" t="n">
        <v>570</v>
      </c>
      <c r="P964" s="9" t="inlineStr">
        <is>
          <t>NSMI24060111034</t>
        </is>
      </c>
      <c r="Q964" s="53">
        <f>MID(P964,5,2)</f>
        <v/>
      </c>
      <c r="R964" s="53">
        <f>MID(P964,7,2)</f>
        <v/>
      </c>
      <c r="S964" s="3" t="inlineStr">
        <is>
          <t>G2G</t>
        </is>
      </c>
      <c r="T964" s="3" t="inlineStr">
        <is>
          <t>P4</t>
        </is>
      </c>
      <c r="U964" s="3" t="inlineStr">
        <is>
          <t>N JB Cold Soldering</t>
        </is>
      </c>
      <c r="V964" s="3" t="inlineStr">
        <is>
          <t>Soldering</t>
        </is>
      </c>
      <c r="W964" s="3" t="inlineStr">
        <is>
          <t>Repair</t>
        </is>
      </c>
      <c r="X964" s="18" t="n">
        <v>46156</v>
      </c>
      <c r="Y964" s="73">
        <f>IF(X964="","",X964-A964)</f>
        <v/>
      </c>
      <c r="Z964" s="18" t="n">
        <v>46156</v>
      </c>
      <c r="AA964" s="15" t="n"/>
      <c r="AB964" s="15" t="n"/>
      <c r="AF964">
        <f>IF(AND($F964="Closed",$X964&gt;=DATE(2026,5,1),$X964&lt;=DATE(2026,5,31)),"Closed in May","Other")</f>
        <v/>
      </c>
    </row>
    <row r="965">
      <c r="A965" s="6" t="n">
        <v>46107</v>
      </c>
      <c r="B965" s="3" t="n">
        <v>2026</v>
      </c>
      <c r="C965" s="3" t="inlineStr">
        <is>
          <t>Blupine Energy</t>
        </is>
      </c>
      <c r="D965" s="3" t="inlineStr">
        <is>
          <t>Utility and C&amp;I</t>
        </is>
      </c>
      <c r="E965" s="3" t="n"/>
      <c r="F965" s="3" t="inlineStr">
        <is>
          <t>Closed</t>
        </is>
      </c>
      <c r="G965" s="3" t="inlineStr">
        <is>
          <t>Chandrashekar Patidar</t>
        </is>
      </c>
      <c r="H965" s="3" t="n">
        <v>7879764773</v>
      </c>
      <c r="I965" s="11" t="inlineStr">
        <is>
          <t>PE26032601</t>
        </is>
      </c>
      <c r="J965" s="3" t="inlineStr">
        <is>
          <t>Module Diode Failure</t>
        </is>
      </c>
      <c r="K965" s="3" t="inlineStr">
        <is>
          <t>Sadla</t>
        </is>
      </c>
      <c r="L965" s="3" t="inlineStr">
        <is>
          <t>Gujarat</t>
        </is>
      </c>
      <c r="M965" s="9" t="inlineStr">
        <is>
          <t>NS</t>
        </is>
      </c>
      <c r="N965" s="3" t="inlineStr">
        <is>
          <t>Cold Soldering</t>
        </is>
      </c>
      <c r="O965" s="3" t="n">
        <v>570</v>
      </c>
      <c r="P965" s="9" t="inlineStr">
        <is>
          <t>NSMI24060110665</t>
        </is>
      </c>
      <c r="Q965" s="53">
        <f>MID(P965,5,2)</f>
        <v/>
      </c>
      <c r="R965" s="53">
        <f>MID(P965,7,2)</f>
        <v/>
      </c>
      <c r="S965" s="3" t="inlineStr">
        <is>
          <t>G2G</t>
        </is>
      </c>
      <c r="T965" s="3" t="inlineStr">
        <is>
          <t>P4</t>
        </is>
      </c>
      <c r="U965" s="3" t="inlineStr">
        <is>
          <t>N JB Cold Soldering</t>
        </is>
      </c>
      <c r="V965" s="3" t="inlineStr">
        <is>
          <t>Soldering</t>
        </is>
      </c>
      <c r="W965" s="3" t="inlineStr">
        <is>
          <t>Repair</t>
        </is>
      </c>
      <c r="X965" s="18" t="n">
        <v>46156</v>
      </c>
      <c r="Y965" s="73">
        <f>IF(X965="","",X965-A965)</f>
        <v/>
      </c>
      <c r="Z965" s="18" t="n">
        <v>46156</v>
      </c>
      <c r="AA965" s="15" t="n"/>
      <c r="AB965" s="15" t="n"/>
      <c r="AF965">
        <f>IF(AND($F965="Closed",$X965&gt;=DATE(2026,5,1),$X965&lt;=DATE(2026,5,31)),"Closed in May","Other")</f>
        <v/>
      </c>
    </row>
    <row r="966">
      <c r="A966" s="6" t="n">
        <v>46107</v>
      </c>
      <c r="B966" s="3" t="n">
        <v>2026</v>
      </c>
      <c r="C966" s="3" t="inlineStr">
        <is>
          <t>Blupine Energy</t>
        </is>
      </c>
      <c r="D966" s="3" t="inlineStr">
        <is>
          <t>Utility and C&amp;I</t>
        </is>
      </c>
      <c r="E966" s="3" t="n"/>
      <c r="F966" s="3" t="inlineStr">
        <is>
          <t>Closed</t>
        </is>
      </c>
      <c r="G966" s="3" t="inlineStr">
        <is>
          <t>Chandrashekar Patidar</t>
        </is>
      </c>
      <c r="H966" s="3" t="n">
        <v>7879764773</v>
      </c>
      <c r="I966" s="11" t="inlineStr">
        <is>
          <t>PE26032601</t>
        </is>
      </c>
      <c r="J966" s="3" t="inlineStr">
        <is>
          <t>Module Diode Failure</t>
        </is>
      </c>
      <c r="K966" s="3" t="inlineStr">
        <is>
          <t>Sadla</t>
        </is>
      </c>
      <c r="L966" s="3" t="inlineStr">
        <is>
          <t>Gujarat</t>
        </is>
      </c>
      <c r="M966" s="9" t="inlineStr">
        <is>
          <t>PS</t>
        </is>
      </c>
      <c r="N966" s="3" t="inlineStr">
        <is>
          <t>Cold Soldering</t>
        </is>
      </c>
      <c r="O966" s="3" t="n">
        <v>570</v>
      </c>
      <c r="P966" s="9" t="inlineStr">
        <is>
          <t>NSMI24060164590</t>
        </is>
      </c>
      <c r="Q966" s="53">
        <f>MID(P966,5,2)</f>
        <v/>
      </c>
      <c r="R966" s="53">
        <f>MID(P966,7,2)</f>
        <v/>
      </c>
      <c r="S966" s="3" t="inlineStr">
        <is>
          <t>G2G</t>
        </is>
      </c>
      <c r="T966" s="3" t="inlineStr">
        <is>
          <t>P4</t>
        </is>
      </c>
      <c r="U966" s="3" t="inlineStr">
        <is>
          <t>P JB Cold Soldering</t>
        </is>
      </c>
      <c r="V966" s="3" t="inlineStr">
        <is>
          <t>Soldering</t>
        </is>
      </c>
      <c r="W966" s="3" t="inlineStr">
        <is>
          <t>Repair</t>
        </is>
      </c>
      <c r="X966" s="18" t="n">
        <v>46156</v>
      </c>
      <c r="Y966" s="73">
        <f>IF(X966="","",X966-A966)</f>
        <v/>
      </c>
      <c r="Z966" s="18" t="n">
        <v>46156</v>
      </c>
      <c r="AA966" s="15" t="n"/>
      <c r="AB966" s="15" t="n"/>
      <c r="AF966">
        <f>IF(AND($F966="Closed",$X966&gt;=DATE(2026,5,1),$X966&lt;=DATE(2026,5,31)),"Closed in May","Other")</f>
        <v/>
      </c>
    </row>
    <row r="967">
      <c r="A967" s="6" t="n">
        <v>46107</v>
      </c>
      <c r="B967" s="3" t="n">
        <v>2026</v>
      </c>
      <c r="C967" s="3" t="inlineStr">
        <is>
          <t>Blupine Energy</t>
        </is>
      </c>
      <c r="D967" s="3" t="inlineStr">
        <is>
          <t>Utility and C&amp;I</t>
        </is>
      </c>
      <c r="E967" s="3" t="n"/>
      <c r="F967" s="3" t="inlineStr">
        <is>
          <t>Closed</t>
        </is>
      </c>
      <c r="G967" s="3" t="inlineStr">
        <is>
          <t>Chandrashekar Patidar</t>
        </is>
      </c>
      <c r="H967" s="3" t="n">
        <v>7879764773</v>
      </c>
      <c r="I967" s="11" t="inlineStr">
        <is>
          <t>PE26032601</t>
        </is>
      </c>
      <c r="J967" s="3" t="inlineStr">
        <is>
          <t>Module Diode Failure</t>
        </is>
      </c>
      <c r="K967" s="3" t="inlineStr">
        <is>
          <t>Sadla</t>
        </is>
      </c>
      <c r="L967" s="3" t="inlineStr">
        <is>
          <t>Gujarat</t>
        </is>
      </c>
      <c r="M967" s="9" t="inlineStr">
        <is>
          <t>PS</t>
        </is>
      </c>
      <c r="N967" s="3" t="inlineStr">
        <is>
          <t>Cold Soldering</t>
        </is>
      </c>
      <c r="O967" s="3" t="n">
        <v>570</v>
      </c>
      <c r="P967" s="9" t="inlineStr">
        <is>
          <t>NSMI24060155714</t>
        </is>
      </c>
      <c r="Q967" s="53">
        <f>MID(P967,5,2)</f>
        <v/>
      </c>
      <c r="R967" s="53">
        <f>MID(P967,7,2)</f>
        <v/>
      </c>
      <c r="S967" s="3" t="inlineStr">
        <is>
          <t>G2G</t>
        </is>
      </c>
      <c r="T967" s="3" t="inlineStr">
        <is>
          <t>P4</t>
        </is>
      </c>
      <c r="U967" s="3" t="inlineStr">
        <is>
          <t>P JB Cold Soldering</t>
        </is>
      </c>
      <c r="V967" s="3" t="inlineStr">
        <is>
          <t>Soldering</t>
        </is>
      </c>
      <c r="W967" s="3" t="inlineStr">
        <is>
          <t>Repair</t>
        </is>
      </c>
      <c r="X967" s="18" t="n">
        <v>46156</v>
      </c>
      <c r="Y967" s="73">
        <f>IF(X967="","",X967-A967)</f>
        <v/>
      </c>
      <c r="Z967" s="18" t="n">
        <v>46156</v>
      </c>
      <c r="AA967" s="15" t="n"/>
      <c r="AB967" s="15" t="n"/>
      <c r="AF967">
        <f>IF(AND($F967="Closed",$X967&gt;=DATE(2026,5,1),$X967&lt;=DATE(2026,5,31)),"Closed in May","Other")</f>
        <v/>
      </c>
    </row>
    <row r="968">
      <c r="A968" s="6" t="n">
        <v>46107</v>
      </c>
      <c r="B968" s="3" t="n">
        <v>2026</v>
      </c>
      <c r="C968" s="3" t="inlineStr">
        <is>
          <t>Blupine Energy</t>
        </is>
      </c>
      <c r="D968" s="3" t="inlineStr">
        <is>
          <t>Utility and C&amp;I</t>
        </is>
      </c>
      <c r="E968" s="3" t="n"/>
      <c r="F968" s="3" t="inlineStr">
        <is>
          <t>Closed</t>
        </is>
      </c>
      <c r="G968" s="3" t="inlineStr">
        <is>
          <t>Chandrashekar Patidar</t>
        </is>
      </c>
      <c r="H968" s="3" t="n">
        <v>7879764773</v>
      </c>
      <c r="I968" s="11" t="inlineStr">
        <is>
          <t>PE26032601</t>
        </is>
      </c>
      <c r="J968" s="3" t="inlineStr">
        <is>
          <t>Module Diode Failure</t>
        </is>
      </c>
      <c r="K968" s="3" t="inlineStr">
        <is>
          <t>Sadla</t>
        </is>
      </c>
      <c r="L968" s="3" t="inlineStr">
        <is>
          <t>Gujarat</t>
        </is>
      </c>
      <c r="M968" s="9" t="inlineStr">
        <is>
          <t>NS</t>
        </is>
      </c>
      <c r="N968" s="3" t="inlineStr">
        <is>
          <t>Cold Soldering</t>
        </is>
      </c>
      <c r="O968" s="3" t="n">
        <v>570</v>
      </c>
      <c r="P968" s="9" t="inlineStr">
        <is>
          <t>NSMI24060159410</t>
        </is>
      </c>
      <c r="Q968" s="53">
        <f>MID(P968,5,2)</f>
        <v/>
      </c>
      <c r="R968" s="53">
        <f>MID(P968,7,2)</f>
        <v/>
      </c>
      <c r="S968" s="3" t="inlineStr">
        <is>
          <t>G2G</t>
        </is>
      </c>
      <c r="T968" s="3" t="inlineStr">
        <is>
          <t>P4</t>
        </is>
      </c>
      <c r="U968" s="3" t="inlineStr">
        <is>
          <t>N JB Cold Soldering</t>
        </is>
      </c>
      <c r="V968" s="3" t="inlineStr">
        <is>
          <t>Soldering</t>
        </is>
      </c>
      <c r="W968" s="3" t="inlineStr">
        <is>
          <t>Repair</t>
        </is>
      </c>
      <c r="X968" s="18" t="n">
        <v>46156</v>
      </c>
      <c r="Y968" s="73">
        <f>IF(X968="","",X968-A968)</f>
        <v/>
      </c>
      <c r="Z968" s="18" t="n">
        <v>46156</v>
      </c>
      <c r="AA968" s="15" t="n"/>
      <c r="AB968" s="15" t="n"/>
      <c r="AF968">
        <f>IF(AND($F968="Closed",$X968&gt;=DATE(2026,5,1),$X968&lt;=DATE(2026,5,31)),"Closed in May","Other")</f>
        <v/>
      </c>
    </row>
    <row r="969">
      <c r="A969" s="6" t="n">
        <v>46107</v>
      </c>
      <c r="B969" s="3" t="n">
        <v>2026</v>
      </c>
      <c r="C969" s="3" t="inlineStr">
        <is>
          <t>Blupine Energy</t>
        </is>
      </c>
      <c r="D969" s="3" t="inlineStr">
        <is>
          <t>Utility and C&amp;I</t>
        </is>
      </c>
      <c r="E969" s="3" t="n"/>
      <c r="F969" s="3" t="inlineStr">
        <is>
          <t>Closed</t>
        </is>
      </c>
      <c r="G969" s="3" t="inlineStr">
        <is>
          <t>Chandrashekar Patidar</t>
        </is>
      </c>
      <c r="H969" s="3" t="n">
        <v>7879764773</v>
      </c>
      <c r="I969" s="11" t="inlineStr">
        <is>
          <t>PE26032601</t>
        </is>
      </c>
      <c r="J969" s="3" t="inlineStr">
        <is>
          <t>Module Diode Failure</t>
        </is>
      </c>
      <c r="K969" s="3" t="inlineStr">
        <is>
          <t>Sadla</t>
        </is>
      </c>
      <c r="L969" s="3" t="inlineStr">
        <is>
          <t>Gujarat</t>
        </is>
      </c>
      <c r="M969" s="9" t="inlineStr">
        <is>
          <t>NS</t>
        </is>
      </c>
      <c r="N969" s="3" t="inlineStr">
        <is>
          <t>Cold Soldering</t>
        </is>
      </c>
      <c r="O969" s="3" t="n">
        <v>570</v>
      </c>
      <c r="P969" s="9" t="inlineStr">
        <is>
          <t>NSMI24060159979</t>
        </is>
      </c>
      <c r="Q969" s="53">
        <f>MID(P969,5,2)</f>
        <v/>
      </c>
      <c r="R969" s="53">
        <f>MID(P969,7,2)</f>
        <v/>
      </c>
      <c r="S969" s="3" t="inlineStr">
        <is>
          <t>G2G</t>
        </is>
      </c>
      <c r="T969" s="3" t="inlineStr">
        <is>
          <t>P4</t>
        </is>
      </c>
      <c r="U969" s="3" t="inlineStr">
        <is>
          <t>N JB Cold Soldering</t>
        </is>
      </c>
      <c r="V969" s="3" t="inlineStr">
        <is>
          <t>Soldering</t>
        </is>
      </c>
      <c r="W969" s="3" t="inlineStr">
        <is>
          <t>Repair</t>
        </is>
      </c>
      <c r="X969" s="18" t="n">
        <v>46156</v>
      </c>
      <c r="Y969" s="73">
        <f>IF(X969="","",X969-A969)</f>
        <v/>
      </c>
      <c r="Z969" s="18" t="n">
        <v>46156</v>
      </c>
      <c r="AA969" s="15" t="n"/>
      <c r="AB969" s="15" t="n"/>
      <c r="AF969">
        <f>IF(AND($F969="Closed",$X969&gt;=DATE(2026,5,1),$X969&lt;=DATE(2026,5,31)),"Closed in May","Other")</f>
        <v/>
      </c>
    </row>
    <row r="970">
      <c r="A970" s="6" t="n">
        <v>46107</v>
      </c>
      <c r="B970" s="3" t="n">
        <v>2026</v>
      </c>
      <c r="C970" s="3" t="inlineStr">
        <is>
          <t>Blupine Energy</t>
        </is>
      </c>
      <c r="D970" s="3" t="inlineStr">
        <is>
          <t>Utility and C&amp;I</t>
        </is>
      </c>
      <c r="E970" s="3" t="n"/>
      <c r="F970" s="3" t="inlineStr">
        <is>
          <t>Closed</t>
        </is>
      </c>
      <c r="G970" s="3" t="inlineStr">
        <is>
          <t>Chandrashekar Patidar</t>
        </is>
      </c>
      <c r="H970" s="3" t="n">
        <v>7879764773</v>
      </c>
      <c r="I970" s="11" t="inlineStr">
        <is>
          <t>PE26032601</t>
        </is>
      </c>
      <c r="J970" s="3" t="inlineStr">
        <is>
          <t>Module Diode Failure</t>
        </is>
      </c>
      <c r="K970" s="3" t="inlineStr">
        <is>
          <t>Sadla</t>
        </is>
      </c>
      <c r="L970" s="3" t="inlineStr">
        <is>
          <t>Gujarat</t>
        </is>
      </c>
      <c r="M970" s="9" t="inlineStr">
        <is>
          <t>NS</t>
        </is>
      </c>
      <c r="N970" s="3" t="inlineStr">
        <is>
          <t>Cold Soldering</t>
        </is>
      </c>
      <c r="O970" s="3" t="n">
        <v>570</v>
      </c>
      <c r="P970" s="9" t="inlineStr">
        <is>
          <t>NSMI24060160009</t>
        </is>
      </c>
      <c r="Q970" s="53">
        <f>MID(P970,5,2)</f>
        <v/>
      </c>
      <c r="R970" s="53">
        <f>MID(P970,7,2)</f>
        <v/>
      </c>
      <c r="S970" s="3" t="inlineStr">
        <is>
          <t>G2G</t>
        </is>
      </c>
      <c r="T970" s="3" t="inlineStr">
        <is>
          <t>P4</t>
        </is>
      </c>
      <c r="U970" s="3" t="inlineStr">
        <is>
          <t>N JB Cold Soldering</t>
        </is>
      </c>
      <c r="V970" s="3" t="inlineStr">
        <is>
          <t>Soldering</t>
        </is>
      </c>
      <c r="W970" s="3" t="inlineStr">
        <is>
          <t>Repair</t>
        </is>
      </c>
      <c r="X970" s="18" t="n">
        <v>46156</v>
      </c>
      <c r="Y970" s="73">
        <f>IF(X970="","",X970-A970)</f>
        <v/>
      </c>
      <c r="Z970" s="18" t="n">
        <v>46156</v>
      </c>
      <c r="AA970" s="15" t="n"/>
      <c r="AB970" s="15" t="n"/>
      <c r="AF970">
        <f>IF(AND($F970="Closed",$X970&gt;=DATE(2026,5,1),$X970&lt;=DATE(2026,5,31)),"Closed in May","Other")</f>
        <v/>
      </c>
    </row>
    <row r="971">
      <c r="A971" s="6" t="n">
        <v>46107</v>
      </c>
      <c r="B971" s="3" t="n">
        <v>2026</v>
      </c>
      <c r="C971" s="3" t="inlineStr">
        <is>
          <t>Blupine Energy</t>
        </is>
      </c>
      <c r="D971" s="3" t="inlineStr">
        <is>
          <t>Utility and C&amp;I</t>
        </is>
      </c>
      <c r="E971" s="3" t="n"/>
      <c r="F971" s="3" t="inlineStr">
        <is>
          <t>Closed</t>
        </is>
      </c>
      <c r="G971" s="3" t="inlineStr">
        <is>
          <t>Chandrashekar Patidar</t>
        </is>
      </c>
      <c r="H971" s="3" t="n">
        <v>7879764773</v>
      </c>
      <c r="I971" s="11" t="inlineStr">
        <is>
          <t>PE26032601</t>
        </is>
      </c>
      <c r="J971" s="3" t="inlineStr">
        <is>
          <t>Module Diode Failure</t>
        </is>
      </c>
      <c r="K971" s="3" t="inlineStr">
        <is>
          <t>Sadla</t>
        </is>
      </c>
      <c r="L971" s="3" t="inlineStr">
        <is>
          <t>Gujarat</t>
        </is>
      </c>
      <c r="M971" s="9" t="inlineStr">
        <is>
          <t>NS</t>
        </is>
      </c>
      <c r="N971" s="3" t="inlineStr">
        <is>
          <t>Cold Soldering</t>
        </is>
      </c>
      <c r="O971" s="3" t="n">
        <v>570</v>
      </c>
      <c r="P971" s="9" t="inlineStr">
        <is>
          <t>NSMI24060163806</t>
        </is>
      </c>
      <c r="Q971" s="53">
        <f>MID(P971,5,2)</f>
        <v/>
      </c>
      <c r="R971" s="53">
        <f>MID(P971,7,2)</f>
        <v/>
      </c>
      <c r="S971" s="3" t="inlineStr">
        <is>
          <t>G2G</t>
        </is>
      </c>
      <c r="T971" s="3" t="inlineStr">
        <is>
          <t>P4</t>
        </is>
      </c>
      <c r="U971" s="3" t="inlineStr">
        <is>
          <t>N JB Cold Soldering</t>
        </is>
      </c>
      <c r="V971" s="3" t="inlineStr">
        <is>
          <t>Soldering</t>
        </is>
      </c>
      <c r="W971" s="3" t="inlineStr">
        <is>
          <t>Repair</t>
        </is>
      </c>
      <c r="X971" s="18" t="n">
        <v>46156</v>
      </c>
      <c r="Y971" s="73">
        <f>IF(X971="","",X971-A971)</f>
        <v/>
      </c>
      <c r="Z971" s="18" t="n">
        <v>46156</v>
      </c>
      <c r="AA971" s="15" t="n"/>
      <c r="AB971" s="15" t="n"/>
      <c r="AF971">
        <f>IF(AND($F971="Closed",$X971&gt;=DATE(2026,5,1),$X971&lt;=DATE(2026,5,31)),"Closed in May","Other")</f>
        <v/>
      </c>
    </row>
    <row r="972">
      <c r="A972" s="6" t="n">
        <v>46107</v>
      </c>
      <c r="B972" s="3" t="n">
        <v>2026</v>
      </c>
      <c r="C972" s="3" t="inlineStr">
        <is>
          <t>Blupine Energy</t>
        </is>
      </c>
      <c r="D972" s="3" t="inlineStr">
        <is>
          <t>Utility and C&amp;I</t>
        </is>
      </c>
      <c r="E972" s="3" t="n"/>
      <c r="F972" s="3" t="inlineStr">
        <is>
          <t>Closed</t>
        </is>
      </c>
      <c r="G972" s="3" t="inlineStr">
        <is>
          <t>Chandrashekar Patidar</t>
        </is>
      </c>
      <c r="H972" s="3" t="n">
        <v>7879764773</v>
      </c>
      <c r="I972" s="11" t="inlineStr">
        <is>
          <t>PE26032601</t>
        </is>
      </c>
      <c r="J972" s="3" t="inlineStr">
        <is>
          <t>Module Diode Failure</t>
        </is>
      </c>
      <c r="K972" s="3" t="inlineStr">
        <is>
          <t>Sadla</t>
        </is>
      </c>
      <c r="L972" s="3" t="inlineStr">
        <is>
          <t>Gujarat</t>
        </is>
      </c>
      <c r="M972" s="9" t="inlineStr">
        <is>
          <t>NS</t>
        </is>
      </c>
      <c r="N972" s="3" t="inlineStr">
        <is>
          <t>Cold Soldering</t>
        </is>
      </c>
      <c r="O972" s="3" t="n">
        <v>570</v>
      </c>
      <c r="P972" s="9" t="inlineStr">
        <is>
          <t>NSMI24060146673</t>
        </is>
      </c>
      <c r="Q972" s="53">
        <f>MID(P972,5,2)</f>
        <v/>
      </c>
      <c r="R972" s="53">
        <f>MID(P972,7,2)</f>
        <v/>
      </c>
      <c r="S972" s="3" t="inlineStr">
        <is>
          <t>G2G</t>
        </is>
      </c>
      <c r="T972" s="3" t="inlineStr">
        <is>
          <t>P4</t>
        </is>
      </c>
      <c r="U972" s="3" t="inlineStr">
        <is>
          <t>N JB Cold Soldering</t>
        </is>
      </c>
      <c r="V972" s="3" t="inlineStr">
        <is>
          <t>Soldering</t>
        </is>
      </c>
      <c r="W972" s="3" t="inlineStr">
        <is>
          <t>Repair</t>
        </is>
      </c>
      <c r="X972" s="18" t="n">
        <v>46156</v>
      </c>
      <c r="Y972" s="73">
        <f>IF(X972="","",X972-A972)</f>
        <v/>
      </c>
      <c r="Z972" s="18" t="n">
        <v>46156</v>
      </c>
      <c r="AA972" s="15" t="n"/>
      <c r="AB972" s="15" t="n"/>
      <c r="AF972">
        <f>IF(AND($F972="Closed",$X972&gt;=DATE(2026,5,1),$X972&lt;=DATE(2026,5,31)),"Closed in May","Other")</f>
        <v/>
      </c>
    </row>
    <row r="973">
      <c r="A973" s="6" t="n">
        <v>46107</v>
      </c>
      <c r="B973" s="3" t="n">
        <v>2026</v>
      </c>
      <c r="C973" s="3" t="inlineStr">
        <is>
          <t>Blupine Energy</t>
        </is>
      </c>
      <c r="D973" s="3" t="inlineStr">
        <is>
          <t>Utility and C&amp;I</t>
        </is>
      </c>
      <c r="E973" s="3" t="n"/>
      <c r="F973" s="3" t="inlineStr">
        <is>
          <t>Closed</t>
        </is>
      </c>
      <c r="G973" s="3" t="inlineStr">
        <is>
          <t>Chandrashekar Patidar</t>
        </is>
      </c>
      <c r="H973" s="3" t="n">
        <v>7879764773</v>
      </c>
      <c r="I973" s="11" t="inlineStr">
        <is>
          <t>PE26032601</t>
        </is>
      </c>
      <c r="J973" s="3" t="inlineStr">
        <is>
          <t>Module Diode Failure</t>
        </is>
      </c>
      <c r="K973" s="3" t="inlineStr">
        <is>
          <t>Sadla</t>
        </is>
      </c>
      <c r="L973" s="3" t="inlineStr">
        <is>
          <t>Gujarat</t>
        </is>
      </c>
      <c r="M973" s="9" t="inlineStr">
        <is>
          <t>NS</t>
        </is>
      </c>
      <c r="N973" s="3" t="inlineStr">
        <is>
          <t>Cold Soldering</t>
        </is>
      </c>
      <c r="O973" s="3" t="n">
        <v>570</v>
      </c>
      <c r="P973" s="9" t="inlineStr">
        <is>
          <t>NSMI24060147007</t>
        </is>
      </c>
      <c r="Q973" s="53">
        <f>MID(P973,5,2)</f>
        <v/>
      </c>
      <c r="R973" s="53">
        <f>MID(P973,7,2)</f>
        <v/>
      </c>
      <c r="S973" s="3" t="inlineStr">
        <is>
          <t>G2G</t>
        </is>
      </c>
      <c r="T973" s="3" t="inlineStr">
        <is>
          <t>P4</t>
        </is>
      </c>
      <c r="U973" s="3" t="inlineStr">
        <is>
          <t>N JB Cold Soldering</t>
        </is>
      </c>
      <c r="V973" s="3" t="inlineStr">
        <is>
          <t>Soldering</t>
        </is>
      </c>
      <c r="W973" s="3" t="inlineStr">
        <is>
          <t>Repair</t>
        </is>
      </c>
      <c r="X973" s="18" t="n">
        <v>46156</v>
      </c>
      <c r="Y973" s="73">
        <f>IF(X973="","",X973-A973)</f>
        <v/>
      </c>
      <c r="Z973" s="18" t="n">
        <v>46156</v>
      </c>
      <c r="AA973" s="15" t="n"/>
      <c r="AB973" s="15" t="n"/>
      <c r="AF973">
        <f>IF(AND($F973="Closed",$X973&gt;=DATE(2026,5,1),$X973&lt;=DATE(2026,5,31)),"Closed in May","Other")</f>
        <v/>
      </c>
    </row>
    <row r="974">
      <c r="A974" s="6" t="n">
        <v>46107</v>
      </c>
      <c r="B974" s="3" t="n">
        <v>2026</v>
      </c>
      <c r="C974" s="3" t="inlineStr">
        <is>
          <t>Blupine Energy</t>
        </is>
      </c>
      <c r="D974" s="3" t="inlineStr">
        <is>
          <t>Utility and C&amp;I</t>
        </is>
      </c>
      <c r="E974" s="3" t="n"/>
      <c r="F974" s="3" t="inlineStr">
        <is>
          <t>Closed</t>
        </is>
      </c>
      <c r="G974" s="3" t="inlineStr">
        <is>
          <t>Chandrashekar Patidar</t>
        </is>
      </c>
      <c r="H974" s="3" t="n">
        <v>7879764773</v>
      </c>
      <c r="I974" s="11" t="inlineStr">
        <is>
          <t>PE26032601</t>
        </is>
      </c>
      <c r="J974" s="3" t="inlineStr">
        <is>
          <t>Module Diode Failure</t>
        </is>
      </c>
      <c r="K974" s="3" t="inlineStr">
        <is>
          <t>Sadla</t>
        </is>
      </c>
      <c r="L974" s="3" t="inlineStr">
        <is>
          <t>Gujarat</t>
        </is>
      </c>
      <c r="M974" s="9" t="inlineStr">
        <is>
          <t>NS</t>
        </is>
      </c>
      <c r="N974" s="3" t="inlineStr">
        <is>
          <t>Cold Soldering</t>
        </is>
      </c>
      <c r="O974" s="3" t="n">
        <v>570</v>
      </c>
      <c r="P974" s="9" t="inlineStr">
        <is>
          <t>NSMI24060090883</t>
        </is>
      </c>
      <c r="Q974" s="53">
        <f>MID(P974,5,2)</f>
        <v/>
      </c>
      <c r="R974" s="53">
        <f>MID(P974,7,2)</f>
        <v/>
      </c>
      <c r="S974" s="3" t="inlineStr">
        <is>
          <t>G2G</t>
        </is>
      </c>
      <c r="T974" s="3" t="inlineStr">
        <is>
          <t>P4</t>
        </is>
      </c>
      <c r="U974" s="3" t="inlineStr">
        <is>
          <t>N JB Cold Soldering</t>
        </is>
      </c>
      <c r="V974" s="3" t="inlineStr">
        <is>
          <t>Soldering</t>
        </is>
      </c>
      <c r="W974" s="3" t="inlineStr">
        <is>
          <t>Repair</t>
        </is>
      </c>
      <c r="X974" s="18" t="n">
        <v>46156</v>
      </c>
      <c r="Y974" s="73">
        <f>IF(X974="","",X974-A974)</f>
        <v/>
      </c>
      <c r="Z974" s="18" t="n">
        <v>46156</v>
      </c>
      <c r="AA974" s="15" t="n"/>
      <c r="AB974" s="15" t="n"/>
      <c r="AF974">
        <f>IF(AND($F974="Closed",$X974&gt;=DATE(2026,5,1),$X974&lt;=DATE(2026,5,31)),"Closed in May","Other")</f>
        <v/>
      </c>
    </row>
    <row r="975">
      <c r="A975" s="6" t="n">
        <v>46107</v>
      </c>
      <c r="B975" s="3" t="n">
        <v>2026</v>
      </c>
      <c r="C975" s="3" t="inlineStr">
        <is>
          <t>Blupine Energy</t>
        </is>
      </c>
      <c r="D975" s="3" t="inlineStr">
        <is>
          <t>Utility and C&amp;I</t>
        </is>
      </c>
      <c r="E975" s="3" t="n"/>
      <c r="F975" s="3" t="inlineStr">
        <is>
          <t>Closed</t>
        </is>
      </c>
      <c r="G975" s="3" t="inlineStr">
        <is>
          <t>Chandrashekar Patidar</t>
        </is>
      </c>
      <c r="H975" s="3" t="n">
        <v>7879764773</v>
      </c>
      <c r="I975" s="11" t="inlineStr">
        <is>
          <t>PE26032601</t>
        </is>
      </c>
      <c r="J975" s="3" t="inlineStr">
        <is>
          <t>Module Diode Failure</t>
        </is>
      </c>
      <c r="K975" s="3" t="inlineStr">
        <is>
          <t>Sadla</t>
        </is>
      </c>
      <c r="L975" s="3" t="inlineStr">
        <is>
          <t>Gujarat</t>
        </is>
      </c>
      <c r="M975" s="9" t="inlineStr">
        <is>
          <t>NS</t>
        </is>
      </c>
      <c r="N975" s="3" t="inlineStr">
        <is>
          <t>Cold Soldering</t>
        </is>
      </c>
      <c r="O975" s="3" t="n">
        <v>570</v>
      </c>
      <c r="P975" s="9" t="inlineStr">
        <is>
          <t>NSMI24060090182</t>
        </is>
      </c>
      <c r="Q975" s="53">
        <f>MID(P975,5,2)</f>
        <v/>
      </c>
      <c r="R975" s="53">
        <f>MID(P975,7,2)</f>
        <v/>
      </c>
      <c r="S975" s="3" t="inlineStr">
        <is>
          <t>G2G</t>
        </is>
      </c>
      <c r="T975" s="3" t="inlineStr">
        <is>
          <t>P4</t>
        </is>
      </c>
      <c r="U975" s="3" t="inlineStr">
        <is>
          <t>N JB Cold Soldering</t>
        </is>
      </c>
      <c r="V975" s="3" t="inlineStr">
        <is>
          <t>Soldering</t>
        </is>
      </c>
      <c r="W975" s="3" t="inlineStr">
        <is>
          <t>Repair</t>
        </is>
      </c>
      <c r="X975" s="18" t="n">
        <v>46156</v>
      </c>
      <c r="Y975" s="73">
        <f>IF(X975="","",X975-A975)</f>
        <v/>
      </c>
      <c r="Z975" s="18" t="n">
        <v>46156</v>
      </c>
      <c r="AA975" s="15" t="n"/>
      <c r="AB975" s="15" t="n"/>
      <c r="AF975">
        <f>IF(AND($F975="Closed",$X975&gt;=DATE(2026,5,1),$X975&lt;=DATE(2026,5,31)),"Closed in May","Other")</f>
        <v/>
      </c>
    </row>
    <row r="976">
      <c r="A976" s="6" t="n">
        <v>46107</v>
      </c>
      <c r="B976" s="3" t="n">
        <v>2026</v>
      </c>
      <c r="C976" s="3" t="inlineStr">
        <is>
          <t>Blupine Energy</t>
        </is>
      </c>
      <c r="D976" s="3" t="inlineStr">
        <is>
          <t>Utility and C&amp;I</t>
        </is>
      </c>
      <c r="E976" s="3" t="n"/>
      <c r="F976" s="3" t="inlineStr">
        <is>
          <t>Closed</t>
        </is>
      </c>
      <c r="G976" s="3" t="inlineStr">
        <is>
          <t>Chandrashekar Patidar</t>
        </is>
      </c>
      <c r="H976" s="3" t="n">
        <v>7879764773</v>
      </c>
      <c r="I976" s="11" t="inlineStr">
        <is>
          <t>PE26032601</t>
        </is>
      </c>
      <c r="J976" s="3" t="inlineStr">
        <is>
          <t>Module Diode Failure</t>
        </is>
      </c>
      <c r="K976" s="3" t="inlineStr">
        <is>
          <t>Sadla</t>
        </is>
      </c>
      <c r="L976" s="3" t="inlineStr">
        <is>
          <t>Gujarat</t>
        </is>
      </c>
      <c r="M976" s="9" t="inlineStr">
        <is>
          <t>NS</t>
        </is>
      </c>
      <c r="N976" s="3" t="inlineStr">
        <is>
          <t>Cold Soldering</t>
        </is>
      </c>
      <c r="O976" s="3" t="n">
        <v>570</v>
      </c>
      <c r="P976" s="9" t="inlineStr">
        <is>
          <t>NSMI24060090680</t>
        </is>
      </c>
      <c r="Q976" s="53">
        <f>MID(P976,5,2)</f>
        <v/>
      </c>
      <c r="R976" s="53">
        <f>MID(P976,7,2)</f>
        <v/>
      </c>
      <c r="S976" s="3" t="inlineStr">
        <is>
          <t>G2G</t>
        </is>
      </c>
      <c r="T976" s="3" t="inlineStr">
        <is>
          <t>P4</t>
        </is>
      </c>
      <c r="U976" s="3" t="inlineStr">
        <is>
          <t>N JB Cold Soldering</t>
        </is>
      </c>
      <c r="V976" s="3" t="inlineStr">
        <is>
          <t>Soldering</t>
        </is>
      </c>
      <c r="W976" s="3" t="inlineStr">
        <is>
          <t>Repair</t>
        </is>
      </c>
      <c r="X976" s="18" t="n">
        <v>46156</v>
      </c>
      <c r="Y976" s="73">
        <f>IF(X976="","",X976-A976)</f>
        <v/>
      </c>
      <c r="Z976" s="18" t="n">
        <v>46156</v>
      </c>
      <c r="AA976" s="15" t="n"/>
      <c r="AB976" s="15" t="n"/>
      <c r="AF976">
        <f>IF(AND($F976="Closed",$X976&gt;=DATE(2026,5,1),$X976&lt;=DATE(2026,5,31)),"Closed in May","Other")</f>
        <v/>
      </c>
    </row>
    <row r="977">
      <c r="A977" s="6" t="n">
        <v>46107</v>
      </c>
      <c r="B977" s="3" t="n">
        <v>2026</v>
      </c>
      <c r="C977" s="3" t="inlineStr">
        <is>
          <t>Blupine Energy</t>
        </is>
      </c>
      <c r="D977" s="3" t="inlineStr">
        <is>
          <t>Utility and C&amp;I</t>
        </is>
      </c>
      <c r="E977" s="3" t="n"/>
      <c r="F977" s="3" t="inlineStr">
        <is>
          <t>Closed</t>
        </is>
      </c>
      <c r="G977" s="3" t="inlineStr">
        <is>
          <t>Chandrashekar Patidar</t>
        </is>
      </c>
      <c r="H977" s="3" t="n">
        <v>7879764773</v>
      </c>
      <c r="I977" s="11" t="inlineStr">
        <is>
          <t>PE26032601</t>
        </is>
      </c>
      <c r="J977" s="3" t="inlineStr">
        <is>
          <t>Module Diode Failure</t>
        </is>
      </c>
      <c r="K977" s="3" t="inlineStr">
        <is>
          <t>Sadla</t>
        </is>
      </c>
      <c r="L977" s="3" t="inlineStr">
        <is>
          <t>Gujarat</t>
        </is>
      </c>
      <c r="M977" s="9" t="inlineStr">
        <is>
          <t>PS</t>
        </is>
      </c>
      <c r="N977" s="3" t="inlineStr">
        <is>
          <t>Cold Soldering</t>
        </is>
      </c>
      <c r="O977" s="3" t="n">
        <v>570</v>
      </c>
      <c r="P977" s="9" t="inlineStr">
        <is>
          <t>NSMI24060076758</t>
        </is>
      </c>
      <c r="Q977" s="53">
        <f>MID(P977,5,2)</f>
        <v/>
      </c>
      <c r="R977" s="53">
        <f>MID(P977,7,2)</f>
        <v/>
      </c>
      <c r="S977" s="3" t="inlineStr">
        <is>
          <t>G2G</t>
        </is>
      </c>
      <c r="T977" s="3" t="inlineStr">
        <is>
          <t>P4</t>
        </is>
      </c>
      <c r="U977" s="3" t="inlineStr">
        <is>
          <t>P JB Cold Soldering</t>
        </is>
      </c>
      <c r="V977" s="3" t="inlineStr">
        <is>
          <t>Soldering</t>
        </is>
      </c>
      <c r="W977" s="3" t="inlineStr">
        <is>
          <t>Repair</t>
        </is>
      </c>
      <c r="X977" s="18" t="n">
        <v>46156</v>
      </c>
      <c r="Y977" s="73">
        <f>IF(X977="","",X977-A977)</f>
        <v/>
      </c>
      <c r="Z977" s="18" t="n">
        <v>46156</v>
      </c>
      <c r="AA977" s="15" t="n"/>
      <c r="AB977" s="15" t="n"/>
      <c r="AF977">
        <f>IF(AND($F977="Closed",$X977&gt;=DATE(2026,5,1),$X977&lt;=DATE(2026,5,31)),"Closed in May","Other")</f>
        <v/>
      </c>
    </row>
    <row r="978">
      <c r="A978" s="6" t="n">
        <v>46107</v>
      </c>
      <c r="B978" s="3" t="n">
        <v>2026</v>
      </c>
      <c r="C978" s="3" t="inlineStr">
        <is>
          <t>Blupine Energy</t>
        </is>
      </c>
      <c r="D978" s="3" t="inlineStr">
        <is>
          <t>Utility and C&amp;I</t>
        </is>
      </c>
      <c r="E978" s="3" t="n"/>
      <c r="F978" s="3" t="inlineStr">
        <is>
          <t>Closed</t>
        </is>
      </c>
      <c r="G978" s="3" t="inlineStr">
        <is>
          <t>Chandrashekar Patidar</t>
        </is>
      </c>
      <c r="H978" s="3" t="n">
        <v>7879764773</v>
      </c>
      <c r="I978" s="11" t="inlineStr">
        <is>
          <t>PE26032601</t>
        </is>
      </c>
      <c r="J978" s="3" t="inlineStr">
        <is>
          <t>Module Diode Failure</t>
        </is>
      </c>
      <c r="K978" s="3" t="inlineStr">
        <is>
          <t>Sadla</t>
        </is>
      </c>
      <c r="L978" s="3" t="inlineStr">
        <is>
          <t>Gujarat</t>
        </is>
      </c>
      <c r="M978" s="9" t="inlineStr">
        <is>
          <t>NS</t>
        </is>
      </c>
      <c r="N978" s="3" t="inlineStr">
        <is>
          <t>Cold Soldering</t>
        </is>
      </c>
      <c r="O978" s="3" t="n">
        <v>570</v>
      </c>
      <c r="P978" s="9" t="inlineStr">
        <is>
          <t>NSMI24060092807</t>
        </is>
      </c>
      <c r="Q978" s="53">
        <f>MID(P978,5,2)</f>
        <v/>
      </c>
      <c r="R978" s="53">
        <f>MID(P978,7,2)</f>
        <v/>
      </c>
      <c r="S978" s="3" t="inlineStr">
        <is>
          <t>G2G</t>
        </is>
      </c>
      <c r="T978" s="3" t="inlineStr">
        <is>
          <t>P4</t>
        </is>
      </c>
      <c r="U978" s="3" t="inlineStr">
        <is>
          <t>N JB Cold Soldering</t>
        </is>
      </c>
      <c r="V978" s="3" t="inlineStr">
        <is>
          <t>Soldering</t>
        </is>
      </c>
      <c r="W978" s="3" t="inlineStr">
        <is>
          <t>Repair</t>
        </is>
      </c>
      <c r="X978" s="18" t="n">
        <v>46156</v>
      </c>
      <c r="Y978" s="73">
        <f>IF(X978="","",X978-A978)</f>
        <v/>
      </c>
      <c r="Z978" s="18" t="n">
        <v>46156</v>
      </c>
      <c r="AA978" s="15" t="n"/>
      <c r="AB978" s="15" t="n"/>
      <c r="AF978">
        <f>IF(AND($F978="Closed",$X978&gt;=DATE(2026,5,1),$X978&lt;=DATE(2026,5,31)),"Closed in May","Other")</f>
        <v/>
      </c>
    </row>
    <row r="979">
      <c r="A979" s="6" t="n">
        <v>46107</v>
      </c>
      <c r="B979" s="3" t="n">
        <v>2026</v>
      </c>
      <c r="C979" s="3" t="inlineStr">
        <is>
          <t>Blupine Energy</t>
        </is>
      </c>
      <c r="D979" s="3" t="inlineStr">
        <is>
          <t>Utility and C&amp;I</t>
        </is>
      </c>
      <c r="E979" s="3" t="n"/>
      <c r="F979" s="3" t="inlineStr">
        <is>
          <t>Closed</t>
        </is>
      </c>
      <c r="G979" s="3" t="inlineStr">
        <is>
          <t>Chandrashekar Patidar</t>
        </is>
      </c>
      <c r="H979" s="3" t="n">
        <v>7879764773</v>
      </c>
      <c r="I979" s="11" t="inlineStr">
        <is>
          <t>PE26032601</t>
        </is>
      </c>
      <c r="J979" s="3" t="inlineStr">
        <is>
          <t>Module Diode Failure</t>
        </is>
      </c>
      <c r="K979" s="3" t="inlineStr">
        <is>
          <t>Sadla</t>
        </is>
      </c>
      <c r="L979" s="3" t="inlineStr">
        <is>
          <t>Gujarat</t>
        </is>
      </c>
      <c r="M979" s="9" t="inlineStr">
        <is>
          <t>NS</t>
        </is>
      </c>
      <c r="N979" s="3" t="inlineStr">
        <is>
          <t>Cold Soldering</t>
        </is>
      </c>
      <c r="O979" s="3" t="n">
        <v>570</v>
      </c>
      <c r="P979" s="9" t="inlineStr">
        <is>
          <t>NSMI24060093019</t>
        </is>
      </c>
      <c r="Q979" s="53">
        <f>MID(P979,5,2)</f>
        <v/>
      </c>
      <c r="R979" s="53">
        <f>MID(P979,7,2)</f>
        <v/>
      </c>
      <c r="S979" s="3" t="inlineStr">
        <is>
          <t>G2G</t>
        </is>
      </c>
      <c r="T979" s="3" t="inlineStr">
        <is>
          <t>P4</t>
        </is>
      </c>
      <c r="U979" s="3" t="inlineStr">
        <is>
          <t>N JB Cold Soldering</t>
        </is>
      </c>
      <c r="V979" s="3" t="inlineStr">
        <is>
          <t>Soldering</t>
        </is>
      </c>
      <c r="W979" s="3" t="inlineStr">
        <is>
          <t>Repair</t>
        </is>
      </c>
      <c r="X979" s="18" t="n">
        <v>46156</v>
      </c>
      <c r="Y979" s="73">
        <f>IF(X979="","",X979-A979)</f>
        <v/>
      </c>
      <c r="Z979" s="18" t="n">
        <v>46156</v>
      </c>
      <c r="AA979" s="15" t="n"/>
      <c r="AB979" s="15" t="n"/>
      <c r="AF979">
        <f>IF(AND($F979="Closed",$X979&gt;=DATE(2026,5,1),$X979&lt;=DATE(2026,5,31)),"Closed in May","Other")</f>
        <v/>
      </c>
    </row>
    <row r="980">
      <c r="A980" s="6" t="n">
        <v>46107</v>
      </c>
      <c r="B980" s="3" t="n">
        <v>2026</v>
      </c>
      <c r="C980" s="3" t="inlineStr">
        <is>
          <t>Blupine Energy</t>
        </is>
      </c>
      <c r="D980" s="3" t="inlineStr">
        <is>
          <t>Utility and C&amp;I</t>
        </is>
      </c>
      <c r="E980" s="3" t="n"/>
      <c r="F980" s="3" t="inlineStr">
        <is>
          <t>Closed</t>
        </is>
      </c>
      <c r="G980" s="3" t="inlineStr">
        <is>
          <t>Chandrashekar Patidar</t>
        </is>
      </c>
      <c r="H980" s="3" t="n">
        <v>7879764773</v>
      </c>
      <c r="I980" s="11" t="inlineStr">
        <is>
          <t>PE26032601</t>
        </is>
      </c>
      <c r="J980" s="3" t="inlineStr">
        <is>
          <t>Module Diode Failure</t>
        </is>
      </c>
      <c r="K980" s="3" t="inlineStr">
        <is>
          <t>Sadla</t>
        </is>
      </c>
      <c r="L980" s="3" t="inlineStr">
        <is>
          <t>Gujarat</t>
        </is>
      </c>
      <c r="M980" s="9" t="inlineStr">
        <is>
          <t>PS</t>
        </is>
      </c>
      <c r="N980" s="3" t="inlineStr">
        <is>
          <t>Cold Soldering</t>
        </is>
      </c>
      <c r="O980" s="3" t="n">
        <v>570</v>
      </c>
      <c r="P980" s="9" t="inlineStr">
        <is>
          <t>NSMI24060092914</t>
        </is>
      </c>
      <c r="Q980" s="53">
        <f>MID(P980,5,2)</f>
        <v/>
      </c>
      <c r="R980" s="53">
        <f>MID(P980,7,2)</f>
        <v/>
      </c>
      <c r="S980" s="3" t="inlineStr">
        <is>
          <t>G2G</t>
        </is>
      </c>
      <c r="T980" s="3" t="inlineStr">
        <is>
          <t>P4</t>
        </is>
      </c>
      <c r="U980" s="3" t="inlineStr">
        <is>
          <t>P JB Cold Soldering</t>
        </is>
      </c>
      <c r="V980" s="3" t="inlineStr">
        <is>
          <t>Soldering</t>
        </is>
      </c>
      <c r="W980" s="3" t="inlineStr">
        <is>
          <t>Repair</t>
        </is>
      </c>
      <c r="X980" s="18" t="n">
        <v>46156</v>
      </c>
      <c r="Y980" s="73">
        <f>IF(X980="","",X980-A980)</f>
        <v/>
      </c>
      <c r="Z980" s="18" t="n">
        <v>46156</v>
      </c>
      <c r="AA980" s="15" t="n"/>
      <c r="AB980" s="15" t="n"/>
      <c r="AF980">
        <f>IF(AND($F980="Closed",$X980&gt;=DATE(2026,5,1),$X980&lt;=DATE(2026,5,31)),"Closed in May","Other")</f>
        <v/>
      </c>
    </row>
    <row r="981">
      <c r="A981" s="6" t="n">
        <v>46107</v>
      </c>
      <c r="B981" s="3" t="n">
        <v>2026</v>
      </c>
      <c r="C981" s="3" t="inlineStr">
        <is>
          <t>Blupine Energy</t>
        </is>
      </c>
      <c r="D981" s="3" t="inlineStr">
        <is>
          <t>Utility and C&amp;I</t>
        </is>
      </c>
      <c r="E981" s="3" t="n"/>
      <c r="F981" s="3" t="inlineStr">
        <is>
          <t>Closed</t>
        </is>
      </c>
      <c r="G981" s="3" t="inlineStr">
        <is>
          <t>Chandrashekar Patidar</t>
        </is>
      </c>
      <c r="H981" s="3" t="n">
        <v>7879764773</v>
      </c>
      <c r="I981" s="11" t="inlineStr">
        <is>
          <t>PE26032601</t>
        </is>
      </c>
      <c r="J981" s="3" t="inlineStr">
        <is>
          <t>Module Diode Failure</t>
        </is>
      </c>
      <c r="K981" s="3" t="inlineStr">
        <is>
          <t>Sadla</t>
        </is>
      </c>
      <c r="L981" s="3" t="inlineStr">
        <is>
          <t>Gujarat</t>
        </is>
      </c>
      <c r="M981" s="9" t="inlineStr">
        <is>
          <t>NS</t>
        </is>
      </c>
      <c r="N981" s="3" t="inlineStr">
        <is>
          <t>Cold Soldering</t>
        </is>
      </c>
      <c r="O981" s="3" t="n">
        <v>570</v>
      </c>
      <c r="P981" s="9" t="inlineStr">
        <is>
          <t>NSMI24060096020</t>
        </is>
      </c>
      <c r="Q981" s="53">
        <f>MID(P981,5,2)</f>
        <v/>
      </c>
      <c r="R981" s="53">
        <f>MID(P981,7,2)</f>
        <v/>
      </c>
      <c r="S981" s="3" t="inlineStr">
        <is>
          <t>G2G</t>
        </is>
      </c>
      <c r="T981" s="3" t="inlineStr">
        <is>
          <t>P4</t>
        </is>
      </c>
      <c r="U981" s="3" t="inlineStr">
        <is>
          <t>N JB Cold Soldering</t>
        </is>
      </c>
      <c r="V981" s="3" t="inlineStr">
        <is>
          <t>Soldering</t>
        </is>
      </c>
      <c r="W981" s="3" t="inlineStr">
        <is>
          <t>Repair</t>
        </is>
      </c>
      <c r="X981" s="18" t="n">
        <v>46156</v>
      </c>
      <c r="Y981" s="73">
        <f>IF(X981="","",X981-A981)</f>
        <v/>
      </c>
      <c r="Z981" s="18" t="n">
        <v>46156</v>
      </c>
      <c r="AA981" s="15" t="n"/>
      <c r="AB981" s="15" t="n"/>
      <c r="AF981">
        <f>IF(AND($F981="Closed",$X981&gt;=DATE(2026,5,1),$X981&lt;=DATE(2026,5,31)),"Closed in May","Other")</f>
        <v/>
      </c>
    </row>
    <row r="982">
      <c r="A982" s="6" t="n">
        <v>46107</v>
      </c>
      <c r="B982" s="3" t="n">
        <v>2026</v>
      </c>
      <c r="C982" s="3" t="inlineStr">
        <is>
          <t>Blupine Energy</t>
        </is>
      </c>
      <c r="D982" s="3" t="inlineStr">
        <is>
          <t>Utility and C&amp;I</t>
        </is>
      </c>
      <c r="E982" s="3" t="n"/>
      <c r="F982" s="3" t="inlineStr">
        <is>
          <t>Closed</t>
        </is>
      </c>
      <c r="G982" s="3" t="inlineStr">
        <is>
          <t>Chandrashekar Patidar</t>
        </is>
      </c>
      <c r="H982" s="3" t="n">
        <v>7879764773</v>
      </c>
      <c r="I982" s="11" t="inlineStr">
        <is>
          <t>PE26032601</t>
        </is>
      </c>
      <c r="J982" s="3" t="inlineStr">
        <is>
          <t>Module Diode Failure</t>
        </is>
      </c>
      <c r="K982" s="3" t="inlineStr">
        <is>
          <t>Sadla</t>
        </is>
      </c>
      <c r="L982" s="3" t="inlineStr">
        <is>
          <t>Gujarat</t>
        </is>
      </c>
      <c r="M982" s="9" t="inlineStr">
        <is>
          <t>NS</t>
        </is>
      </c>
      <c r="N982" s="3" t="inlineStr">
        <is>
          <t>Cold Soldering</t>
        </is>
      </c>
      <c r="O982" s="3" t="n">
        <v>570</v>
      </c>
      <c r="P982" s="9" t="inlineStr">
        <is>
          <t>NSMI24060096079</t>
        </is>
      </c>
      <c r="Q982" s="53">
        <f>MID(P982,5,2)</f>
        <v/>
      </c>
      <c r="R982" s="53">
        <f>MID(P982,7,2)</f>
        <v/>
      </c>
      <c r="S982" s="3" t="inlineStr">
        <is>
          <t>G2G</t>
        </is>
      </c>
      <c r="T982" s="3" t="inlineStr">
        <is>
          <t>P4</t>
        </is>
      </c>
      <c r="U982" s="3" t="inlineStr">
        <is>
          <t>N JB Cold Soldering</t>
        </is>
      </c>
      <c r="V982" s="3" t="inlineStr">
        <is>
          <t>Soldering</t>
        </is>
      </c>
      <c r="W982" s="3" t="inlineStr">
        <is>
          <t>Repair</t>
        </is>
      </c>
      <c r="X982" s="18" t="n">
        <v>46156</v>
      </c>
      <c r="Y982" s="73">
        <f>IF(X982="","",X982-A982)</f>
        <v/>
      </c>
      <c r="Z982" s="18" t="n">
        <v>46156</v>
      </c>
      <c r="AA982" s="15" t="n"/>
      <c r="AB982" s="15" t="n"/>
      <c r="AF982">
        <f>IF(AND($F982="Closed",$X982&gt;=DATE(2026,5,1),$X982&lt;=DATE(2026,5,31)),"Closed in May","Other")</f>
        <v/>
      </c>
    </row>
    <row r="983">
      <c r="A983" s="6" t="n">
        <v>46107</v>
      </c>
      <c r="B983" s="3" t="n">
        <v>2026</v>
      </c>
      <c r="C983" s="3" t="inlineStr">
        <is>
          <t>Blupine Energy</t>
        </is>
      </c>
      <c r="D983" s="3" t="inlineStr">
        <is>
          <t>Utility and C&amp;I</t>
        </is>
      </c>
      <c r="E983" s="3" t="n"/>
      <c r="F983" s="3" t="inlineStr">
        <is>
          <t>Closed</t>
        </is>
      </c>
      <c r="G983" s="3" t="inlineStr">
        <is>
          <t>Chandrashekar Patidar</t>
        </is>
      </c>
      <c r="H983" s="3" t="n">
        <v>7879764773</v>
      </c>
      <c r="I983" s="11" t="inlineStr">
        <is>
          <t>PE26032601</t>
        </is>
      </c>
      <c r="J983" s="3" t="inlineStr">
        <is>
          <t>Module Diode Failure</t>
        </is>
      </c>
      <c r="K983" s="3" t="inlineStr">
        <is>
          <t>Sadla</t>
        </is>
      </c>
      <c r="L983" s="3" t="inlineStr">
        <is>
          <t>Gujarat</t>
        </is>
      </c>
      <c r="M983" s="9" t="inlineStr">
        <is>
          <t>PS</t>
        </is>
      </c>
      <c r="N983" s="3" t="inlineStr">
        <is>
          <t>Cold Soldering</t>
        </is>
      </c>
      <c r="O983" s="3" t="n">
        <v>570</v>
      </c>
      <c r="P983" s="9" t="inlineStr">
        <is>
          <t>NSMI24060098241</t>
        </is>
      </c>
      <c r="Q983" s="53">
        <f>MID(P983,5,2)</f>
        <v/>
      </c>
      <c r="R983" s="53">
        <f>MID(P983,7,2)</f>
        <v/>
      </c>
      <c r="S983" s="3" t="inlineStr">
        <is>
          <t>G2G</t>
        </is>
      </c>
      <c r="T983" s="3" t="inlineStr">
        <is>
          <t>P4</t>
        </is>
      </c>
      <c r="U983" s="3" t="inlineStr">
        <is>
          <t>P JB Cold Soldering</t>
        </is>
      </c>
      <c r="V983" s="3" t="inlineStr">
        <is>
          <t>Soldering</t>
        </is>
      </c>
      <c r="W983" s="3" t="inlineStr">
        <is>
          <t>Repair</t>
        </is>
      </c>
      <c r="X983" s="18" t="n">
        <v>46156</v>
      </c>
      <c r="Y983" s="73">
        <f>IF(X983="","",X983-A983)</f>
        <v/>
      </c>
      <c r="Z983" s="18" t="n">
        <v>46156</v>
      </c>
      <c r="AA983" s="15" t="n"/>
      <c r="AB983" s="15" t="n"/>
      <c r="AF983">
        <f>IF(AND($F983="Closed",$X983&gt;=DATE(2026,5,1),$X983&lt;=DATE(2026,5,31)),"Closed in May","Other")</f>
        <v/>
      </c>
    </row>
    <row r="984">
      <c r="A984" s="6" t="n">
        <v>46107</v>
      </c>
      <c r="B984" s="3" t="n">
        <v>2026</v>
      </c>
      <c r="C984" s="3" t="inlineStr">
        <is>
          <t>Blupine Energy</t>
        </is>
      </c>
      <c r="D984" s="3" t="inlineStr">
        <is>
          <t>Utility and C&amp;I</t>
        </is>
      </c>
      <c r="E984" s="3" t="n"/>
      <c r="F984" s="3" t="inlineStr">
        <is>
          <t>Closed</t>
        </is>
      </c>
      <c r="G984" s="3" t="inlineStr">
        <is>
          <t>Chandrashekar Patidar</t>
        </is>
      </c>
      <c r="H984" s="3" t="n">
        <v>7879764773</v>
      </c>
      <c r="I984" s="11" t="inlineStr">
        <is>
          <t>PE26032601</t>
        </is>
      </c>
      <c r="J984" s="3" t="inlineStr">
        <is>
          <t>Module Diode Failure</t>
        </is>
      </c>
      <c r="K984" s="3" t="inlineStr">
        <is>
          <t>Sadla</t>
        </is>
      </c>
      <c r="L984" s="3" t="inlineStr">
        <is>
          <t>Gujarat</t>
        </is>
      </c>
      <c r="M984" s="9" t="inlineStr">
        <is>
          <t>NS</t>
        </is>
      </c>
      <c r="N984" s="3" t="inlineStr">
        <is>
          <t>Cold Soldering</t>
        </is>
      </c>
      <c r="O984" s="3" t="n">
        <v>570</v>
      </c>
      <c r="P984" s="9" t="inlineStr">
        <is>
          <t>NSMI24060091784</t>
        </is>
      </c>
      <c r="Q984" s="53">
        <f>MID(P984,5,2)</f>
        <v/>
      </c>
      <c r="R984" s="53">
        <f>MID(P984,7,2)</f>
        <v/>
      </c>
      <c r="S984" s="3" t="inlineStr">
        <is>
          <t>G2G</t>
        </is>
      </c>
      <c r="T984" s="3" t="inlineStr">
        <is>
          <t>P4</t>
        </is>
      </c>
      <c r="U984" s="3" t="inlineStr">
        <is>
          <t>N JB Cold Soldering</t>
        </is>
      </c>
      <c r="V984" s="3" t="inlineStr">
        <is>
          <t>Soldering</t>
        </is>
      </c>
      <c r="W984" s="3" t="inlineStr">
        <is>
          <t>Repair</t>
        </is>
      </c>
      <c r="X984" s="18" t="n">
        <v>46156</v>
      </c>
      <c r="Y984" s="73">
        <f>IF(X984="","",X984-A984)</f>
        <v/>
      </c>
      <c r="Z984" s="18" t="n">
        <v>46156</v>
      </c>
      <c r="AA984" s="15" t="n"/>
      <c r="AB984" s="15" t="n"/>
      <c r="AF984">
        <f>IF(AND($F984="Closed",$X984&gt;=DATE(2026,5,1),$X984&lt;=DATE(2026,5,31)),"Closed in May","Other")</f>
        <v/>
      </c>
    </row>
    <row r="985">
      <c r="A985" s="6" t="n">
        <v>46107</v>
      </c>
      <c r="B985" s="3" t="n">
        <v>2026</v>
      </c>
      <c r="C985" s="3" t="inlineStr">
        <is>
          <t>Blupine Energy</t>
        </is>
      </c>
      <c r="D985" s="3" t="inlineStr">
        <is>
          <t>Utility and C&amp;I</t>
        </is>
      </c>
      <c r="E985" s="3" t="n"/>
      <c r="F985" s="3" t="inlineStr">
        <is>
          <t>Closed</t>
        </is>
      </c>
      <c r="G985" s="3" t="inlineStr">
        <is>
          <t>Chandrashekar Patidar</t>
        </is>
      </c>
      <c r="H985" s="3" t="n">
        <v>7879764773</v>
      </c>
      <c r="I985" s="11" t="inlineStr">
        <is>
          <t>PE26032601</t>
        </is>
      </c>
      <c r="J985" s="3" t="inlineStr">
        <is>
          <t>Module Diode Failure</t>
        </is>
      </c>
      <c r="K985" s="3" t="inlineStr">
        <is>
          <t>Sadla</t>
        </is>
      </c>
      <c r="L985" s="3" t="inlineStr">
        <is>
          <t>Gujarat</t>
        </is>
      </c>
      <c r="M985" s="9" t="inlineStr">
        <is>
          <t>NS</t>
        </is>
      </c>
      <c r="N985" s="3" t="inlineStr">
        <is>
          <t>Cold Soldering</t>
        </is>
      </c>
      <c r="O985" s="3" t="n">
        <v>570</v>
      </c>
      <c r="P985" s="9" t="inlineStr">
        <is>
          <t>NSMI24060091408</t>
        </is>
      </c>
      <c r="Q985" s="53">
        <f>MID(P985,5,2)</f>
        <v/>
      </c>
      <c r="R985" s="53">
        <f>MID(P985,7,2)</f>
        <v/>
      </c>
      <c r="S985" s="3" t="inlineStr">
        <is>
          <t>G2G</t>
        </is>
      </c>
      <c r="T985" s="3" t="inlineStr">
        <is>
          <t>P4</t>
        </is>
      </c>
      <c r="U985" s="3" t="inlineStr">
        <is>
          <t>N JB Cold Soldering</t>
        </is>
      </c>
      <c r="V985" s="3" t="inlineStr">
        <is>
          <t>Soldering</t>
        </is>
      </c>
      <c r="W985" s="3" t="inlineStr">
        <is>
          <t>Repair</t>
        </is>
      </c>
      <c r="X985" s="18" t="n">
        <v>46156</v>
      </c>
      <c r="Y985" s="73">
        <f>IF(X985="","",X985-A985)</f>
        <v/>
      </c>
      <c r="Z985" s="18" t="n">
        <v>46156</v>
      </c>
      <c r="AA985" s="15" t="n"/>
      <c r="AB985" s="15" t="n"/>
      <c r="AF985">
        <f>IF(AND($F985="Closed",$X985&gt;=DATE(2026,5,1),$X985&lt;=DATE(2026,5,31)),"Closed in May","Other")</f>
        <v/>
      </c>
    </row>
    <row r="986">
      <c r="A986" s="6" t="n">
        <v>46107</v>
      </c>
      <c r="B986" s="3" t="n">
        <v>2026</v>
      </c>
      <c r="C986" s="3" t="inlineStr">
        <is>
          <t>Blupine Energy</t>
        </is>
      </c>
      <c r="D986" s="3" t="inlineStr">
        <is>
          <t>Utility and C&amp;I</t>
        </is>
      </c>
      <c r="E986" s="3" t="n"/>
      <c r="F986" s="3" t="inlineStr">
        <is>
          <t>Closed</t>
        </is>
      </c>
      <c r="G986" s="3" t="inlineStr">
        <is>
          <t>Chandrashekar Patidar</t>
        </is>
      </c>
      <c r="H986" s="3" t="n">
        <v>7879764773</v>
      </c>
      <c r="I986" s="11" t="inlineStr">
        <is>
          <t>PE26032601</t>
        </is>
      </c>
      <c r="J986" s="3" t="inlineStr">
        <is>
          <t>Module Diode Failure</t>
        </is>
      </c>
      <c r="K986" s="3" t="inlineStr">
        <is>
          <t>Sadla</t>
        </is>
      </c>
      <c r="L986" s="3" t="inlineStr">
        <is>
          <t>Gujarat</t>
        </is>
      </c>
      <c r="M986" s="9" t="inlineStr">
        <is>
          <t>PS</t>
        </is>
      </c>
      <c r="N986" s="3" t="inlineStr">
        <is>
          <t>Cold Soldering</t>
        </is>
      </c>
      <c r="O986" s="3" t="n">
        <v>570</v>
      </c>
      <c r="P986" s="9" t="inlineStr">
        <is>
          <t>NSMI24060092587</t>
        </is>
      </c>
      <c r="Q986" s="53">
        <f>MID(P986,5,2)</f>
        <v/>
      </c>
      <c r="R986" s="53">
        <f>MID(P986,7,2)</f>
        <v/>
      </c>
      <c r="S986" s="3" t="inlineStr">
        <is>
          <t>G2G</t>
        </is>
      </c>
      <c r="T986" s="3" t="inlineStr">
        <is>
          <t>P4</t>
        </is>
      </c>
      <c r="U986" s="3" t="inlineStr">
        <is>
          <t>P JB Cold Soldering</t>
        </is>
      </c>
      <c r="V986" s="3" t="inlineStr">
        <is>
          <t>Soldering</t>
        </is>
      </c>
      <c r="W986" s="3" t="inlineStr">
        <is>
          <t>Repair</t>
        </is>
      </c>
      <c r="X986" s="18" t="n">
        <v>46156</v>
      </c>
      <c r="Y986" s="73">
        <f>IF(X986="","",X986-A986)</f>
        <v/>
      </c>
      <c r="Z986" s="18" t="n">
        <v>46156</v>
      </c>
      <c r="AA986" s="15" t="n"/>
      <c r="AB986" s="15" t="n"/>
      <c r="AF986">
        <f>IF(AND($F986="Closed",$X986&gt;=DATE(2026,5,1),$X986&lt;=DATE(2026,5,31)),"Closed in May","Other")</f>
        <v/>
      </c>
    </row>
    <row r="987">
      <c r="A987" s="6" t="n">
        <v>46107</v>
      </c>
      <c r="B987" s="3" t="n">
        <v>2026</v>
      </c>
      <c r="C987" s="3" t="inlineStr">
        <is>
          <t>Blupine Energy</t>
        </is>
      </c>
      <c r="D987" s="3" t="inlineStr">
        <is>
          <t>Utility and C&amp;I</t>
        </is>
      </c>
      <c r="E987" s="3" t="n"/>
      <c r="F987" s="3" t="inlineStr">
        <is>
          <t>Closed</t>
        </is>
      </c>
      <c r="G987" s="3" t="inlineStr">
        <is>
          <t>Chandrashekar Patidar</t>
        </is>
      </c>
      <c r="H987" s="3" t="n">
        <v>7879764773</v>
      </c>
      <c r="I987" s="11" t="inlineStr">
        <is>
          <t>PE26032601</t>
        </is>
      </c>
      <c r="J987" s="3" t="inlineStr">
        <is>
          <t>Module Diode Failure</t>
        </is>
      </c>
      <c r="K987" s="3" t="inlineStr">
        <is>
          <t>Sadla</t>
        </is>
      </c>
      <c r="L987" s="3" t="inlineStr">
        <is>
          <t>Gujarat</t>
        </is>
      </c>
      <c r="M987" s="9" t="inlineStr">
        <is>
          <t>NS</t>
        </is>
      </c>
      <c r="N987" s="3" t="inlineStr">
        <is>
          <t>Cold Soldering</t>
        </is>
      </c>
      <c r="O987" s="3" t="n">
        <v>570</v>
      </c>
      <c r="P987" s="9" t="inlineStr">
        <is>
          <t>NSMI24060092667</t>
        </is>
      </c>
      <c r="Q987" s="53">
        <f>MID(P987,5,2)</f>
        <v/>
      </c>
      <c r="R987" s="53">
        <f>MID(P987,7,2)</f>
        <v/>
      </c>
      <c r="S987" s="3" t="inlineStr">
        <is>
          <t>G2G</t>
        </is>
      </c>
      <c r="T987" s="3" t="inlineStr">
        <is>
          <t>P4</t>
        </is>
      </c>
      <c r="U987" s="3" t="inlineStr">
        <is>
          <t>N JB Cold Soldering</t>
        </is>
      </c>
      <c r="V987" s="3" t="inlineStr">
        <is>
          <t>Soldering</t>
        </is>
      </c>
      <c r="W987" s="3" t="inlineStr">
        <is>
          <t>Repair</t>
        </is>
      </c>
      <c r="X987" s="18" t="n">
        <v>46156</v>
      </c>
      <c r="Y987" s="73">
        <f>IF(X987="","",X987-A987)</f>
        <v/>
      </c>
      <c r="Z987" s="18" t="n">
        <v>46156</v>
      </c>
      <c r="AA987" s="15" t="n"/>
      <c r="AB987" s="15" t="n"/>
      <c r="AF987">
        <f>IF(AND($F987="Closed",$X987&gt;=DATE(2026,5,1),$X987&lt;=DATE(2026,5,31)),"Closed in May","Other")</f>
        <v/>
      </c>
    </row>
    <row r="988">
      <c r="A988" s="6" t="n">
        <v>46107</v>
      </c>
      <c r="B988" s="3" t="n">
        <v>2026</v>
      </c>
      <c r="C988" s="3" t="inlineStr">
        <is>
          <t>Blupine Energy</t>
        </is>
      </c>
      <c r="D988" s="3" t="inlineStr">
        <is>
          <t>Utility and C&amp;I</t>
        </is>
      </c>
      <c r="E988" s="3" t="n"/>
      <c r="F988" s="3" t="inlineStr">
        <is>
          <t>Closed</t>
        </is>
      </c>
      <c r="G988" s="3" t="inlineStr">
        <is>
          <t>Chandrashekar Patidar</t>
        </is>
      </c>
      <c r="H988" s="3" t="n">
        <v>7879764773</v>
      </c>
      <c r="I988" s="11" t="inlineStr">
        <is>
          <t>PE26032601</t>
        </is>
      </c>
      <c r="J988" s="3" t="inlineStr">
        <is>
          <t>Module Diode Failure</t>
        </is>
      </c>
      <c r="K988" s="3" t="inlineStr">
        <is>
          <t>Sadla</t>
        </is>
      </c>
      <c r="L988" s="3" t="inlineStr">
        <is>
          <t>Gujarat</t>
        </is>
      </c>
      <c r="M988" s="9" t="inlineStr">
        <is>
          <t>PS</t>
        </is>
      </c>
      <c r="N988" s="3" t="inlineStr">
        <is>
          <t>Cold Soldering</t>
        </is>
      </c>
      <c r="O988" s="3" t="n">
        <v>570</v>
      </c>
      <c r="P988" s="9" t="inlineStr">
        <is>
          <t>NSMI24060084518</t>
        </is>
      </c>
      <c r="Q988" s="53">
        <f>MID(P988,5,2)</f>
        <v/>
      </c>
      <c r="R988" s="53">
        <f>MID(P988,7,2)</f>
        <v/>
      </c>
      <c r="S988" s="3" t="inlineStr">
        <is>
          <t>G2G</t>
        </is>
      </c>
      <c r="T988" s="3" t="inlineStr">
        <is>
          <t>P4</t>
        </is>
      </c>
      <c r="U988" s="3" t="inlineStr">
        <is>
          <t>P JB Cold Soldering</t>
        </is>
      </c>
      <c r="V988" s="3" t="inlineStr">
        <is>
          <t>Soldering</t>
        </is>
      </c>
      <c r="W988" s="3" t="inlineStr">
        <is>
          <t>Repair</t>
        </is>
      </c>
      <c r="X988" s="18" t="n">
        <v>46156</v>
      </c>
      <c r="Y988" s="73">
        <f>IF(X988="","",X988-A988)</f>
        <v/>
      </c>
      <c r="Z988" s="18" t="n">
        <v>46156</v>
      </c>
      <c r="AA988" s="15" t="n"/>
      <c r="AB988" s="15" t="n"/>
      <c r="AF988">
        <f>IF(AND($F988="Closed",$X988&gt;=DATE(2026,5,1),$X988&lt;=DATE(2026,5,31)),"Closed in May","Other")</f>
        <v/>
      </c>
    </row>
    <row r="989">
      <c r="A989" s="6" t="n">
        <v>46107</v>
      </c>
      <c r="B989" s="3" t="n">
        <v>2026</v>
      </c>
      <c r="C989" s="3" t="inlineStr">
        <is>
          <t>Blupine Energy</t>
        </is>
      </c>
      <c r="D989" s="3" t="inlineStr">
        <is>
          <t>Utility and C&amp;I</t>
        </is>
      </c>
      <c r="E989" s="3" t="n"/>
      <c r="F989" s="3" t="inlineStr">
        <is>
          <t>Closed</t>
        </is>
      </c>
      <c r="G989" s="3" t="inlineStr">
        <is>
          <t>Chandrashekar Patidar</t>
        </is>
      </c>
      <c r="H989" s="3" t="n">
        <v>7879764773</v>
      </c>
      <c r="I989" s="11" t="inlineStr">
        <is>
          <t>PE26032601</t>
        </is>
      </c>
      <c r="J989" s="3" t="inlineStr">
        <is>
          <t>Module Diode Failure</t>
        </is>
      </c>
      <c r="K989" s="3" t="inlineStr">
        <is>
          <t>Sadla</t>
        </is>
      </c>
      <c r="L989" s="3" t="inlineStr">
        <is>
          <t>Gujarat</t>
        </is>
      </c>
      <c r="M989" s="9" t="inlineStr">
        <is>
          <t>PS</t>
        </is>
      </c>
      <c r="N989" s="3" t="inlineStr">
        <is>
          <t>Cold Soldering</t>
        </is>
      </c>
      <c r="O989" s="3" t="n">
        <v>570</v>
      </c>
      <c r="P989" s="9" t="inlineStr">
        <is>
          <t>NSMI24050051554</t>
        </is>
      </c>
      <c r="Q989" s="53">
        <f>MID(P989,5,2)</f>
        <v/>
      </c>
      <c r="R989" s="53">
        <f>MID(P989,7,2)</f>
        <v/>
      </c>
      <c r="S989" s="3" t="inlineStr">
        <is>
          <t>G2G</t>
        </is>
      </c>
      <c r="T989" s="3" t="inlineStr">
        <is>
          <t>P4</t>
        </is>
      </c>
      <c r="U989" s="3" t="inlineStr">
        <is>
          <t>P JB Cold Soldering</t>
        </is>
      </c>
      <c r="V989" s="3" t="inlineStr">
        <is>
          <t>Soldering</t>
        </is>
      </c>
      <c r="W989" s="3" t="inlineStr">
        <is>
          <t>Repair</t>
        </is>
      </c>
      <c r="X989" s="18" t="n">
        <v>46156</v>
      </c>
      <c r="Y989" s="73">
        <f>IF(X989="","",X989-A989)</f>
        <v/>
      </c>
      <c r="Z989" s="18" t="n">
        <v>46156</v>
      </c>
      <c r="AA989" s="15" t="n"/>
      <c r="AB989" s="15" t="n"/>
      <c r="AF989">
        <f>IF(AND($F989="Closed",$X989&gt;=DATE(2026,5,1),$X989&lt;=DATE(2026,5,31)),"Closed in May","Other")</f>
        <v/>
      </c>
    </row>
    <row r="990">
      <c r="A990" s="6" t="n">
        <v>46107</v>
      </c>
      <c r="B990" s="3" t="n">
        <v>2026</v>
      </c>
      <c r="C990" s="3" t="inlineStr">
        <is>
          <t>Blupine Energy</t>
        </is>
      </c>
      <c r="D990" s="3" t="inlineStr">
        <is>
          <t>Utility and C&amp;I</t>
        </is>
      </c>
      <c r="E990" s="3" t="n"/>
      <c r="F990" s="3" t="inlineStr">
        <is>
          <t>Closed</t>
        </is>
      </c>
      <c r="G990" s="3" t="inlineStr">
        <is>
          <t>Chandrashekar Patidar</t>
        </is>
      </c>
      <c r="H990" s="3" t="n">
        <v>7879764773</v>
      </c>
      <c r="I990" s="11" t="inlineStr">
        <is>
          <t>PE26032601</t>
        </is>
      </c>
      <c r="J990" s="3" t="inlineStr">
        <is>
          <t>Module Diode Failure</t>
        </is>
      </c>
      <c r="K990" s="3" t="inlineStr">
        <is>
          <t>Sadla</t>
        </is>
      </c>
      <c r="L990" s="3" t="inlineStr">
        <is>
          <t>Gujarat</t>
        </is>
      </c>
      <c r="M990" s="9" t="inlineStr">
        <is>
          <t>PS</t>
        </is>
      </c>
      <c r="N990" s="3" t="inlineStr">
        <is>
          <t>Cold Soldering</t>
        </is>
      </c>
      <c r="O990" s="3" t="n">
        <v>570</v>
      </c>
      <c r="P990" s="9" t="inlineStr">
        <is>
          <t>NSMI24050067229</t>
        </is>
      </c>
      <c r="Q990" s="53">
        <f>MID(P990,5,2)</f>
        <v/>
      </c>
      <c r="R990" s="53">
        <f>MID(P990,7,2)</f>
        <v/>
      </c>
      <c r="S990" s="3" t="inlineStr">
        <is>
          <t>G2G</t>
        </is>
      </c>
      <c r="T990" s="3" t="inlineStr">
        <is>
          <t>P4</t>
        </is>
      </c>
      <c r="U990" s="3" t="inlineStr">
        <is>
          <t>P JB Cold Soldering</t>
        </is>
      </c>
      <c r="V990" s="3" t="inlineStr">
        <is>
          <t>Soldering</t>
        </is>
      </c>
      <c r="W990" s="3" t="inlineStr">
        <is>
          <t>Repair</t>
        </is>
      </c>
      <c r="X990" s="18" t="n">
        <v>46156</v>
      </c>
      <c r="Y990" s="73">
        <f>IF(X990="","",X990-A990)</f>
        <v/>
      </c>
      <c r="Z990" s="18" t="n">
        <v>46156</v>
      </c>
      <c r="AA990" s="15" t="n"/>
      <c r="AB990" s="15" t="n"/>
      <c r="AF990">
        <f>IF(AND($F990="Closed",$X990&gt;=DATE(2026,5,1),$X990&lt;=DATE(2026,5,31)),"Closed in May","Other")</f>
        <v/>
      </c>
    </row>
    <row r="991">
      <c r="A991" s="6" t="n">
        <v>46107</v>
      </c>
      <c r="B991" s="3" t="n">
        <v>2026</v>
      </c>
      <c r="C991" s="3" t="inlineStr">
        <is>
          <t>Blupine Energy</t>
        </is>
      </c>
      <c r="D991" s="3" t="inlineStr">
        <is>
          <t>Utility and C&amp;I</t>
        </is>
      </c>
      <c r="E991" s="3" t="n"/>
      <c r="F991" s="3" t="inlineStr">
        <is>
          <t>Closed</t>
        </is>
      </c>
      <c r="G991" s="3" t="inlineStr">
        <is>
          <t>Chandrashekar Patidar</t>
        </is>
      </c>
      <c r="H991" s="3" t="n">
        <v>7879764773</v>
      </c>
      <c r="I991" s="11" t="inlineStr">
        <is>
          <t>PE26032601</t>
        </is>
      </c>
      <c r="J991" s="3" t="inlineStr">
        <is>
          <t>Module Diode Failure</t>
        </is>
      </c>
      <c r="K991" s="3" t="inlineStr">
        <is>
          <t>Sadla</t>
        </is>
      </c>
      <c r="L991" s="3" t="inlineStr">
        <is>
          <t>Gujarat</t>
        </is>
      </c>
      <c r="M991" s="9" t="inlineStr">
        <is>
          <t>PS</t>
        </is>
      </c>
      <c r="N991" s="3" t="inlineStr">
        <is>
          <t>Cold Soldering</t>
        </is>
      </c>
      <c r="O991" s="3" t="n">
        <v>570</v>
      </c>
      <c r="P991" s="9" t="inlineStr">
        <is>
          <t>NSMI24050067319</t>
        </is>
      </c>
      <c r="Q991" s="53">
        <f>MID(P991,5,2)</f>
        <v/>
      </c>
      <c r="R991" s="53">
        <f>MID(P991,7,2)</f>
        <v/>
      </c>
      <c r="S991" s="3" t="inlineStr">
        <is>
          <t>G2G</t>
        </is>
      </c>
      <c r="T991" s="3" t="inlineStr">
        <is>
          <t>P4</t>
        </is>
      </c>
      <c r="U991" s="3" t="inlineStr">
        <is>
          <t>P JB Cold Soldering</t>
        </is>
      </c>
      <c r="V991" s="3" t="inlineStr">
        <is>
          <t>Soldering</t>
        </is>
      </c>
      <c r="W991" s="3" t="inlineStr">
        <is>
          <t>Repair</t>
        </is>
      </c>
      <c r="X991" s="18" t="n">
        <v>46156</v>
      </c>
      <c r="Y991" s="73">
        <f>IF(X991="","",X991-A991)</f>
        <v/>
      </c>
      <c r="Z991" s="18" t="n">
        <v>46156</v>
      </c>
      <c r="AA991" s="15" t="n"/>
      <c r="AB991" s="15" t="n"/>
      <c r="AF991">
        <f>IF(AND($F991="Closed",$X991&gt;=DATE(2026,5,1),$X991&lt;=DATE(2026,5,31)),"Closed in May","Other")</f>
        <v/>
      </c>
    </row>
    <row r="992">
      <c r="A992" s="6" t="n">
        <v>46107</v>
      </c>
      <c r="B992" s="3" t="n">
        <v>2026</v>
      </c>
      <c r="C992" s="3" t="inlineStr">
        <is>
          <t>Blupine Energy</t>
        </is>
      </c>
      <c r="D992" s="3" t="inlineStr">
        <is>
          <t>Utility and C&amp;I</t>
        </is>
      </c>
      <c r="E992" s="3" t="n"/>
      <c r="F992" s="3" t="inlineStr">
        <is>
          <t>Closed</t>
        </is>
      </c>
      <c r="G992" s="3" t="inlineStr">
        <is>
          <t>Chandrashekar Patidar</t>
        </is>
      </c>
      <c r="H992" s="3" t="n">
        <v>7879764773</v>
      </c>
      <c r="I992" s="11" t="inlineStr">
        <is>
          <t>PE26032601</t>
        </is>
      </c>
      <c r="J992" s="3" t="inlineStr">
        <is>
          <t>Module Diode Failure</t>
        </is>
      </c>
      <c r="K992" s="3" t="inlineStr">
        <is>
          <t>Sadla</t>
        </is>
      </c>
      <c r="L992" s="3" t="inlineStr">
        <is>
          <t>Gujarat</t>
        </is>
      </c>
      <c r="M992" s="9" t="inlineStr">
        <is>
          <t>Ok</t>
        </is>
      </c>
      <c r="N992" s="3" t="inlineStr">
        <is>
          <t>No Issue</t>
        </is>
      </c>
      <c r="O992" s="3" t="n">
        <v>570</v>
      </c>
      <c r="P992" s="9" t="inlineStr">
        <is>
          <t>NSMI24060093888</t>
        </is>
      </c>
      <c r="Q992" s="53">
        <f>MID(P992,5,2)</f>
        <v/>
      </c>
      <c r="R992" s="53">
        <f>MID(P992,7,2)</f>
        <v/>
      </c>
      <c r="S992" s="3" t="inlineStr">
        <is>
          <t>G2G</t>
        </is>
      </c>
      <c r="T992" s="3" t="inlineStr">
        <is>
          <t>P4</t>
        </is>
      </c>
      <c r="U992" s="19" t="inlineStr">
        <is>
          <t>No Issue Found</t>
        </is>
      </c>
      <c r="V992" s="19" t="inlineStr">
        <is>
          <t>Found OK</t>
        </is>
      </c>
      <c r="W992" s="3" t="inlineStr">
        <is>
          <t>Repair</t>
        </is>
      </c>
      <c r="X992" s="18" t="n">
        <v>46156</v>
      </c>
      <c r="Y992" s="73">
        <f>IF(X992="","",X992-A992)</f>
        <v/>
      </c>
      <c r="Z992" s="18" t="n">
        <v>46156</v>
      </c>
      <c r="AA992" s="15" t="n"/>
      <c r="AB992" s="15" t="n"/>
      <c r="AF992">
        <f>IF(AND($F992="Closed",$X992&gt;=DATE(2026,5,1),$X992&lt;=DATE(2026,5,31)),"Closed in May","Other")</f>
        <v/>
      </c>
    </row>
    <row r="993">
      <c r="A993" s="6" t="n">
        <v>46107</v>
      </c>
      <c r="B993" s="3" t="n">
        <v>2026</v>
      </c>
      <c r="C993" s="3" t="inlineStr">
        <is>
          <t>Blupine Energy</t>
        </is>
      </c>
      <c r="D993" s="3" t="inlineStr">
        <is>
          <t>Utility and C&amp;I</t>
        </is>
      </c>
      <c r="E993" s="3" t="n"/>
      <c r="F993" s="3" t="inlineStr">
        <is>
          <t>Closed</t>
        </is>
      </c>
      <c r="G993" s="3" t="inlineStr">
        <is>
          <t>Chandrashekar Patidar</t>
        </is>
      </c>
      <c r="H993" s="3" t="n">
        <v>7879764773</v>
      </c>
      <c r="I993" s="11" t="inlineStr">
        <is>
          <t>PE26032601</t>
        </is>
      </c>
      <c r="J993" s="3" t="inlineStr">
        <is>
          <t>Module Diode Failure</t>
        </is>
      </c>
      <c r="K993" s="3" t="inlineStr">
        <is>
          <t>Sadla</t>
        </is>
      </c>
      <c r="L993" s="3" t="inlineStr">
        <is>
          <t>Gujarat</t>
        </is>
      </c>
      <c r="M993" s="9" t="inlineStr">
        <is>
          <t>NS</t>
        </is>
      </c>
      <c r="N993" s="3" t="inlineStr">
        <is>
          <t>Cold Soldering</t>
        </is>
      </c>
      <c r="O993" s="3" t="n">
        <v>570</v>
      </c>
      <c r="P993" s="9" t="inlineStr">
        <is>
          <t>NSMI24060078797</t>
        </is>
      </c>
      <c r="Q993" s="53">
        <f>MID(P993,5,2)</f>
        <v/>
      </c>
      <c r="R993" s="53">
        <f>MID(P993,7,2)</f>
        <v/>
      </c>
      <c r="S993" s="3" t="inlineStr">
        <is>
          <t>G2G</t>
        </is>
      </c>
      <c r="T993" s="3" t="inlineStr">
        <is>
          <t>P4</t>
        </is>
      </c>
      <c r="U993" s="3" t="inlineStr">
        <is>
          <t>N JB Cold Soldering</t>
        </is>
      </c>
      <c r="V993" s="3" t="inlineStr">
        <is>
          <t>Soldering</t>
        </is>
      </c>
      <c r="W993" s="3" t="inlineStr">
        <is>
          <t>Repair</t>
        </is>
      </c>
      <c r="X993" s="18" t="n">
        <v>46156</v>
      </c>
      <c r="Y993" s="73">
        <f>IF(X993="","",X993-A993)</f>
        <v/>
      </c>
      <c r="Z993" s="18" t="n">
        <v>46156</v>
      </c>
      <c r="AA993" s="15" t="n"/>
      <c r="AB993" s="15" t="n"/>
      <c r="AF993">
        <f>IF(AND($F993="Closed",$X993&gt;=DATE(2026,5,1),$X993&lt;=DATE(2026,5,31)),"Closed in May","Other")</f>
        <v/>
      </c>
    </row>
    <row r="994">
      <c r="A994" s="6" t="n">
        <v>46107</v>
      </c>
      <c r="B994" s="3" t="n">
        <v>2026</v>
      </c>
      <c r="C994" s="3" t="inlineStr">
        <is>
          <t>Blupine Energy</t>
        </is>
      </c>
      <c r="D994" s="3" t="inlineStr">
        <is>
          <t>Utility and C&amp;I</t>
        </is>
      </c>
      <c r="E994" s="3" t="n"/>
      <c r="F994" s="3" t="inlineStr">
        <is>
          <t>Closed</t>
        </is>
      </c>
      <c r="G994" s="3" t="inlineStr">
        <is>
          <t>Chandrashekar Patidar</t>
        </is>
      </c>
      <c r="H994" s="3" t="n">
        <v>7879764773</v>
      </c>
      <c r="I994" s="11" t="inlineStr">
        <is>
          <t>PE26032601</t>
        </is>
      </c>
      <c r="J994" s="3" t="inlineStr">
        <is>
          <t>Module Diode Failure</t>
        </is>
      </c>
      <c r="K994" s="3" t="inlineStr">
        <is>
          <t>Sadla</t>
        </is>
      </c>
      <c r="L994" s="3" t="inlineStr">
        <is>
          <t>Gujarat</t>
        </is>
      </c>
      <c r="M994" s="9" t="inlineStr">
        <is>
          <t>PS</t>
        </is>
      </c>
      <c r="N994" s="3" t="inlineStr">
        <is>
          <t>Cold Soldering</t>
        </is>
      </c>
      <c r="O994" s="3" t="n">
        <v>570</v>
      </c>
      <c r="P994" s="9" t="inlineStr">
        <is>
          <t>NSMI24060078817</t>
        </is>
      </c>
      <c r="Q994" s="53">
        <f>MID(P994,5,2)</f>
        <v/>
      </c>
      <c r="R994" s="53">
        <f>MID(P994,7,2)</f>
        <v/>
      </c>
      <c r="S994" s="3" t="inlineStr">
        <is>
          <t>G2G</t>
        </is>
      </c>
      <c r="T994" s="3" t="inlineStr">
        <is>
          <t>P4</t>
        </is>
      </c>
      <c r="U994" s="3" t="inlineStr">
        <is>
          <t>P JB Cold Soldering</t>
        </is>
      </c>
      <c r="V994" s="3" t="inlineStr">
        <is>
          <t>Soldering</t>
        </is>
      </c>
      <c r="W994" s="3" t="inlineStr">
        <is>
          <t>Repair</t>
        </is>
      </c>
      <c r="X994" s="18" t="n">
        <v>46156</v>
      </c>
      <c r="Y994" s="73">
        <f>IF(X994="","",X994-A994)</f>
        <v/>
      </c>
      <c r="Z994" s="18" t="n">
        <v>46156</v>
      </c>
      <c r="AA994" s="15" t="n"/>
      <c r="AB994" s="15" t="n"/>
      <c r="AF994">
        <f>IF(AND($F994="Closed",$X994&gt;=DATE(2026,5,1),$X994&lt;=DATE(2026,5,31)),"Closed in May","Other")</f>
        <v/>
      </c>
    </row>
    <row r="995">
      <c r="A995" s="6" t="n">
        <v>46107</v>
      </c>
      <c r="B995" s="3" t="n">
        <v>2026</v>
      </c>
      <c r="C995" s="3" t="inlineStr">
        <is>
          <t>Blupine Energy</t>
        </is>
      </c>
      <c r="D995" s="3" t="inlineStr">
        <is>
          <t>Utility and C&amp;I</t>
        </is>
      </c>
      <c r="E995" s="3" t="n"/>
      <c r="F995" s="3" t="inlineStr">
        <is>
          <t>Closed</t>
        </is>
      </c>
      <c r="G995" s="3" t="inlineStr">
        <is>
          <t>Chandrashekar Patidar</t>
        </is>
      </c>
      <c r="H995" s="3" t="n">
        <v>7879764773</v>
      </c>
      <c r="I995" s="11" t="inlineStr">
        <is>
          <t>PE26032601</t>
        </is>
      </c>
      <c r="J995" s="3" t="inlineStr">
        <is>
          <t>Module Diode Failure</t>
        </is>
      </c>
      <c r="K995" s="3" t="inlineStr">
        <is>
          <t>Sadla</t>
        </is>
      </c>
      <c r="L995" s="3" t="inlineStr">
        <is>
          <t>Gujarat</t>
        </is>
      </c>
      <c r="M995" s="9" t="inlineStr">
        <is>
          <t>PS</t>
        </is>
      </c>
      <c r="N995" s="3" t="inlineStr">
        <is>
          <t>Cold Soldering</t>
        </is>
      </c>
      <c r="O995" s="3" t="n">
        <v>570</v>
      </c>
      <c r="P995" s="9" t="inlineStr">
        <is>
          <t>NSMI24060110892</t>
        </is>
      </c>
      <c r="Q995" s="53">
        <f>MID(P995,5,2)</f>
        <v/>
      </c>
      <c r="R995" s="53">
        <f>MID(P995,7,2)</f>
        <v/>
      </c>
      <c r="S995" s="3" t="inlineStr">
        <is>
          <t>G2G</t>
        </is>
      </c>
      <c r="T995" s="3" t="inlineStr">
        <is>
          <t>P4</t>
        </is>
      </c>
      <c r="U995" s="3" t="inlineStr">
        <is>
          <t>P JB Cold Soldering</t>
        </is>
      </c>
      <c r="V995" s="3" t="inlineStr">
        <is>
          <t>Soldering</t>
        </is>
      </c>
      <c r="W995" s="3" t="inlineStr">
        <is>
          <t>Repair</t>
        </is>
      </c>
      <c r="X995" s="18" t="n">
        <v>46156</v>
      </c>
      <c r="Y995" s="73">
        <f>IF(X995="","",X995-A995)</f>
        <v/>
      </c>
      <c r="Z995" s="18" t="n">
        <v>46156</v>
      </c>
      <c r="AA995" s="15" t="n"/>
      <c r="AB995" s="15" t="n"/>
      <c r="AF995">
        <f>IF(AND($F995="Closed",$X995&gt;=DATE(2026,5,1),$X995&lt;=DATE(2026,5,31)),"Closed in May","Other")</f>
        <v/>
      </c>
    </row>
    <row r="996">
      <c r="A996" s="6" t="n">
        <v>46107</v>
      </c>
      <c r="B996" s="3" t="n">
        <v>2026</v>
      </c>
      <c r="C996" s="3" t="inlineStr">
        <is>
          <t>Blupine Energy</t>
        </is>
      </c>
      <c r="D996" s="3" t="inlineStr">
        <is>
          <t>Utility and C&amp;I</t>
        </is>
      </c>
      <c r="E996" s="3" t="n"/>
      <c r="F996" s="3" t="inlineStr">
        <is>
          <t>Closed</t>
        </is>
      </c>
      <c r="G996" s="3" t="inlineStr">
        <is>
          <t>Chandrashekar Patidar</t>
        </is>
      </c>
      <c r="H996" s="3" t="n">
        <v>7879764773</v>
      </c>
      <c r="I996" s="11" t="inlineStr">
        <is>
          <t>PE26032601</t>
        </is>
      </c>
      <c r="J996" s="3" t="inlineStr">
        <is>
          <t>Module Diode Failure</t>
        </is>
      </c>
      <c r="K996" s="3" t="inlineStr">
        <is>
          <t>Sadla</t>
        </is>
      </c>
      <c r="L996" s="3" t="inlineStr">
        <is>
          <t>Gujarat</t>
        </is>
      </c>
      <c r="M996" s="9" t="inlineStr">
        <is>
          <t>NS</t>
        </is>
      </c>
      <c r="N996" s="3" t="inlineStr">
        <is>
          <t>Cold Soldering</t>
        </is>
      </c>
      <c r="O996" s="3" t="n">
        <v>570</v>
      </c>
      <c r="P996" s="9" t="inlineStr">
        <is>
          <t>NSMI24060122514</t>
        </is>
      </c>
      <c r="Q996" s="53">
        <f>MID(P996,5,2)</f>
        <v/>
      </c>
      <c r="R996" s="53">
        <f>MID(P996,7,2)</f>
        <v/>
      </c>
      <c r="S996" s="3" t="inlineStr">
        <is>
          <t>G2G</t>
        </is>
      </c>
      <c r="T996" s="3" t="inlineStr">
        <is>
          <t>P4</t>
        </is>
      </c>
      <c r="U996" s="3" t="inlineStr">
        <is>
          <t>N JB Cold Soldering</t>
        </is>
      </c>
      <c r="V996" s="3" t="inlineStr">
        <is>
          <t>Soldering</t>
        </is>
      </c>
      <c r="W996" s="3" t="inlineStr">
        <is>
          <t>Repair</t>
        </is>
      </c>
      <c r="X996" s="18" t="n">
        <v>46156</v>
      </c>
      <c r="Y996" s="73">
        <f>IF(X996="","",X996-A996)</f>
        <v/>
      </c>
      <c r="Z996" s="18" t="n">
        <v>46156</v>
      </c>
      <c r="AA996" s="15" t="n"/>
      <c r="AB996" s="15" t="n"/>
      <c r="AF996">
        <f>IF(AND($F996="Closed",$X996&gt;=DATE(2026,5,1),$X996&lt;=DATE(2026,5,31)),"Closed in May","Other")</f>
        <v/>
      </c>
    </row>
    <row r="997">
      <c r="A997" s="6" t="n">
        <v>46107</v>
      </c>
      <c r="B997" s="3" t="n">
        <v>2026</v>
      </c>
      <c r="C997" s="3" t="inlineStr">
        <is>
          <t>Blupine Energy</t>
        </is>
      </c>
      <c r="D997" s="3" t="inlineStr">
        <is>
          <t>Utility and C&amp;I</t>
        </is>
      </c>
      <c r="E997" s="3" t="n"/>
      <c r="F997" s="3" t="inlineStr">
        <is>
          <t>Closed</t>
        </is>
      </c>
      <c r="G997" s="3" t="inlineStr">
        <is>
          <t>Chandrashekar Patidar</t>
        </is>
      </c>
      <c r="H997" s="3" t="n">
        <v>7879764773</v>
      </c>
      <c r="I997" s="11" t="inlineStr">
        <is>
          <t>PE26032601</t>
        </is>
      </c>
      <c r="J997" s="3" t="inlineStr">
        <is>
          <t>Module Diode Failure</t>
        </is>
      </c>
      <c r="K997" s="3" t="inlineStr">
        <is>
          <t>Sadla</t>
        </is>
      </c>
      <c r="L997" s="3" t="inlineStr">
        <is>
          <t>Gujarat</t>
        </is>
      </c>
      <c r="M997" s="9" t="inlineStr">
        <is>
          <t>NS</t>
        </is>
      </c>
      <c r="N997" s="3" t="inlineStr">
        <is>
          <t>Cold Soldering</t>
        </is>
      </c>
      <c r="O997" s="3" t="n">
        <v>570</v>
      </c>
      <c r="P997" s="9" t="inlineStr">
        <is>
          <t>NSMI24060125591</t>
        </is>
      </c>
      <c r="Q997" s="53">
        <f>MID(P997,5,2)</f>
        <v/>
      </c>
      <c r="R997" s="53">
        <f>MID(P997,7,2)</f>
        <v/>
      </c>
      <c r="S997" s="3" t="inlineStr">
        <is>
          <t>G2G</t>
        </is>
      </c>
      <c r="T997" s="3" t="inlineStr">
        <is>
          <t>P4</t>
        </is>
      </c>
      <c r="U997" s="3" t="inlineStr">
        <is>
          <t>N JB Cold Soldering</t>
        </is>
      </c>
      <c r="V997" s="3" t="inlineStr">
        <is>
          <t>Soldering</t>
        </is>
      </c>
      <c r="W997" s="3" t="inlineStr">
        <is>
          <t>Repair</t>
        </is>
      </c>
      <c r="X997" s="18" t="n">
        <v>46156</v>
      </c>
      <c r="Y997" s="73">
        <f>IF(X997="","",X997-A997)</f>
        <v/>
      </c>
      <c r="Z997" s="18" t="n">
        <v>46156</v>
      </c>
      <c r="AA997" s="15" t="n"/>
      <c r="AB997" s="15" t="n"/>
      <c r="AF997">
        <f>IF(AND($F997="Closed",$X997&gt;=DATE(2026,5,1),$X997&lt;=DATE(2026,5,31)),"Closed in May","Other")</f>
        <v/>
      </c>
    </row>
    <row r="998">
      <c r="A998" s="6" t="n">
        <v>46107</v>
      </c>
      <c r="B998" s="3" t="n">
        <v>2026</v>
      </c>
      <c r="C998" s="3" t="inlineStr">
        <is>
          <t>Blupine Energy</t>
        </is>
      </c>
      <c r="D998" s="3" t="inlineStr">
        <is>
          <t>Utility and C&amp;I</t>
        </is>
      </c>
      <c r="E998" s="3" t="n"/>
      <c r="F998" s="3" t="inlineStr">
        <is>
          <t>Closed</t>
        </is>
      </c>
      <c r="G998" s="3" t="inlineStr">
        <is>
          <t>Chandrashekar Patidar</t>
        </is>
      </c>
      <c r="H998" s="3" t="n">
        <v>7879764773</v>
      </c>
      <c r="I998" s="11" t="inlineStr">
        <is>
          <t>PE26032601</t>
        </is>
      </c>
      <c r="J998" s="3" t="inlineStr">
        <is>
          <t>Module Diode Failure</t>
        </is>
      </c>
      <c r="K998" s="3" t="inlineStr">
        <is>
          <t>Sadla</t>
        </is>
      </c>
      <c r="L998" s="3" t="inlineStr">
        <is>
          <t>Gujarat</t>
        </is>
      </c>
      <c r="M998" s="9" t="inlineStr">
        <is>
          <t>NS</t>
        </is>
      </c>
      <c r="N998" s="3" t="inlineStr">
        <is>
          <t>Cold Soldering</t>
        </is>
      </c>
      <c r="O998" s="3" t="n">
        <v>570</v>
      </c>
      <c r="P998" s="9" t="inlineStr">
        <is>
          <t>NSMI24060160863</t>
        </is>
      </c>
      <c r="Q998" s="53">
        <f>MID(P998,5,2)</f>
        <v/>
      </c>
      <c r="R998" s="53">
        <f>MID(P998,7,2)</f>
        <v/>
      </c>
      <c r="S998" s="3" t="inlineStr">
        <is>
          <t>G2G</t>
        </is>
      </c>
      <c r="T998" s="3" t="inlineStr">
        <is>
          <t>P4</t>
        </is>
      </c>
      <c r="U998" s="3" t="inlineStr">
        <is>
          <t>N JB Cold Soldering</t>
        </is>
      </c>
      <c r="V998" s="3" t="inlineStr">
        <is>
          <t>Soldering</t>
        </is>
      </c>
      <c r="W998" s="3" t="inlineStr">
        <is>
          <t>Repair</t>
        </is>
      </c>
      <c r="X998" s="18" t="n">
        <v>46156</v>
      </c>
      <c r="Y998" s="73">
        <f>IF(X998="","",X998-A998)</f>
        <v/>
      </c>
      <c r="Z998" s="18" t="n">
        <v>46156</v>
      </c>
      <c r="AA998" s="15" t="n"/>
      <c r="AB998" s="15" t="n"/>
      <c r="AF998">
        <f>IF(AND($F998="Closed",$X998&gt;=DATE(2026,5,1),$X998&lt;=DATE(2026,5,31)),"Closed in May","Other")</f>
        <v/>
      </c>
    </row>
    <row r="999">
      <c r="A999" s="6" t="n">
        <v>46107</v>
      </c>
      <c r="B999" s="3" t="n">
        <v>2026</v>
      </c>
      <c r="C999" s="3" t="inlineStr">
        <is>
          <t>Blupine Energy</t>
        </is>
      </c>
      <c r="D999" s="3" t="inlineStr">
        <is>
          <t>Utility and C&amp;I</t>
        </is>
      </c>
      <c r="E999" s="3" t="n"/>
      <c r="F999" s="3" t="inlineStr">
        <is>
          <t>Closed</t>
        </is>
      </c>
      <c r="G999" s="3" t="inlineStr">
        <is>
          <t>Chandrashekar Patidar</t>
        </is>
      </c>
      <c r="H999" s="3" t="n">
        <v>7879764773</v>
      </c>
      <c r="I999" s="11" t="inlineStr">
        <is>
          <t>PE26032601</t>
        </is>
      </c>
      <c r="J999" s="3" t="inlineStr">
        <is>
          <t>Module Diode Failure</t>
        </is>
      </c>
      <c r="K999" s="3" t="inlineStr">
        <is>
          <t>Sadla</t>
        </is>
      </c>
      <c r="L999" s="3" t="inlineStr">
        <is>
          <t>Gujarat</t>
        </is>
      </c>
      <c r="M999" s="9" t="inlineStr">
        <is>
          <t>PS</t>
        </is>
      </c>
      <c r="N999" s="3" t="inlineStr">
        <is>
          <t>Cold Soldering</t>
        </is>
      </c>
      <c r="O999" s="3" t="n">
        <v>570</v>
      </c>
      <c r="P999" s="9" t="inlineStr">
        <is>
          <t>NSMI24060146916</t>
        </is>
      </c>
      <c r="Q999" s="53">
        <f>MID(P999,5,2)</f>
        <v/>
      </c>
      <c r="R999" s="53">
        <f>MID(P999,7,2)</f>
        <v/>
      </c>
      <c r="S999" s="3" t="inlineStr">
        <is>
          <t>G2G</t>
        </is>
      </c>
      <c r="T999" s="3" t="inlineStr">
        <is>
          <t>P4</t>
        </is>
      </c>
      <c r="U999" s="3" t="inlineStr">
        <is>
          <t>P JB Cold Soldering</t>
        </is>
      </c>
      <c r="V999" s="3" t="inlineStr">
        <is>
          <t>Soldering</t>
        </is>
      </c>
      <c r="W999" s="3" t="inlineStr">
        <is>
          <t>Repair</t>
        </is>
      </c>
      <c r="X999" s="18" t="n">
        <v>46156</v>
      </c>
      <c r="Y999" s="73">
        <f>IF(X999="","",X999-A999)</f>
        <v/>
      </c>
      <c r="Z999" s="18" t="n">
        <v>46156</v>
      </c>
      <c r="AA999" s="15" t="n"/>
      <c r="AB999" s="15" t="n"/>
      <c r="AF999">
        <f>IF(AND($F999="Closed",$X999&gt;=DATE(2026,5,1),$X999&lt;=DATE(2026,5,31)),"Closed in May","Other")</f>
        <v/>
      </c>
    </row>
    <row r="1000">
      <c r="A1000" s="6" t="n">
        <v>46107</v>
      </c>
      <c r="B1000" s="3" t="n">
        <v>2026</v>
      </c>
      <c r="C1000" s="3" t="inlineStr">
        <is>
          <t>Blupine Energy</t>
        </is>
      </c>
      <c r="D1000" s="3" t="inlineStr">
        <is>
          <t>Utility and C&amp;I</t>
        </is>
      </c>
      <c r="E1000" s="3" t="n"/>
      <c r="F1000" s="3" t="inlineStr">
        <is>
          <t>Closed</t>
        </is>
      </c>
      <c r="G1000" s="3" t="inlineStr">
        <is>
          <t>Chandrashekar Patidar</t>
        </is>
      </c>
      <c r="H1000" s="3" t="n">
        <v>7879764773</v>
      </c>
      <c r="I1000" s="11" t="inlineStr">
        <is>
          <t>PE26032601</t>
        </is>
      </c>
      <c r="J1000" s="3" t="inlineStr">
        <is>
          <t>Module Diode Failure</t>
        </is>
      </c>
      <c r="K1000" s="3" t="inlineStr">
        <is>
          <t>Sadla</t>
        </is>
      </c>
      <c r="L1000" s="3" t="inlineStr">
        <is>
          <t>Gujarat</t>
        </is>
      </c>
      <c r="M1000" s="9" t="inlineStr">
        <is>
          <t>NS</t>
        </is>
      </c>
      <c r="N1000" s="3" t="inlineStr">
        <is>
          <t>Cold Soldering</t>
        </is>
      </c>
      <c r="O1000" s="3" t="n">
        <v>570</v>
      </c>
      <c r="P1000" s="9" t="inlineStr">
        <is>
          <t>NSMI24060146507</t>
        </is>
      </c>
      <c r="Q1000" s="53">
        <f>MID(P1000,5,2)</f>
        <v/>
      </c>
      <c r="R1000" s="53">
        <f>MID(P1000,7,2)</f>
        <v/>
      </c>
      <c r="S1000" s="3" t="inlineStr">
        <is>
          <t>G2G</t>
        </is>
      </c>
      <c r="T1000" s="3" t="inlineStr">
        <is>
          <t>P4</t>
        </is>
      </c>
      <c r="U1000" s="3" t="inlineStr">
        <is>
          <t>N JB Cold Soldering</t>
        </is>
      </c>
      <c r="V1000" s="3" t="inlineStr">
        <is>
          <t>Soldering</t>
        </is>
      </c>
      <c r="W1000" s="3" t="inlineStr">
        <is>
          <t>Repair</t>
        </is>
      </c>
      <c r="X1000" s="18" t="n">
        <v>46156</v>
      </c>
      <c r="Y1000" s="73">
        <f>IF(X1000="","",X1000-A1000)</f>
        <v/>
      </c>
      <c r="Z1000" s="18" t="n">
        <v>46156</v>
      </c>
      <c r="AA1000" s="15" t="n"/>
      <c r="AB1000" s="15" t="n"/>
      <c r="AF1000">
        <f>IF(AND($F1000="Closed",$X1000&gt;=DATE(2026,5,1),$X1000&lt;=DATE(2026,5,31)),"Closed in May","Other")</f>
        <v/>
      </c>
    </row>
    <row r="1001">
      <c r="A1001" s="6" t="n">
        <v>46107</v>
      </c>
      <c r="B1001" s="3" t="n">
        <v>2026</v>
      </c>
      <c r="C1001" s="3" t="inlineStr">
        <is>
          <t>Blupine Energy</t>
        </is>
      </c>
      <c r="D1001" s="3" t="inlineStr">
        <is>
          <t>Utility and C&amp;I</t>
        </is>
      </c>
      <c r="E1001" s="3" t="n"/>
      <c r="F1001" s="3" t="inlineStr">
        <is>
          <t>Closed</t>
        </is>
      </c>
      <c r="G1001" s="3" t="inlineStr">
        <is>
          <t>Chandrashekar Patidar</t>
        </is>
      </c>
      <c r="H1001" s="3" t="n">
        <v>7879764773</v>
      </c>
      <c r="I1001" s="11" t="inlineStr">
        <is>
          <t>PE26032601</t>
        </is>
      </c>
      <c r="J1001" s="3" t="inlineStr">
        <is>
          <t>Module Diode Failure</t>
        </is>
      </c>
      <c r="K1001" s="3" t="inlineStr">
        <is>
          <t>Sadla</t>
        </is>
      </c>
      <c r="L1001" s="3" t="inlineStr">
        <is>
          <t>Gujarat</t>
        </is>
      </c>
      <c r="M1001" s="9" t="inlineStr">
        <is>
          <t>NS</t>
        </is>
      </c>
      <c r="N1001" s="3" t="inlineStr">
        <is>
          <t>Cold Soldering</t>
        </is>
      </c>
      <c r="O1001" s="3" t="n">
        <v>570</v>
      </c>
      <c r="P1001" s="9" t="inlineStr">
        <is>
          <t>NSMI24060147535</t>
        </is>
      </c>
      <c r="Q1001" s="53">
        <f>MID(P1001,5,2)</f>
        <v/>
      </c>
      <c r="R1001" s="53">
        <f>MID(P1001,7,2)</f>
        <v/>
      </c>
      <c r="S1001" s="3" t="inlineStr">
        <is>
          <t>G2G</t>
        </is>
      </c>
      <c r="T1001" s="3" t="inlineStr">
        <is>
          <t>P4</t>
        </is>
      </c>
      <c r="U1001" s="3" t="inlineStr">
        <is>
          <t>N JB Cold Soldering</t>
        </is>
      </c>
      <c r="V1001" s="3" t="inlineStr">
        <is>
          <t>Soldering</t>
        </is>
      </c>
      <c r="W1001" s="3" t="inlineStr">
        <is>
          <t>Repair</t>
        </is>
      </c>
      <c r="X1001" s="18" t="n">
        <v>46156</v>
      </c>
      <c r="Y1001" s="73">
        <f>IF(X1001="","",X1001-A1001)</f>
        <v/>
      </c>
      <c r="Z1001" s="18" t="n">
        <v>46156</v>
      </c>
      <c r="AA1001" s="15" t="n"/>
      <c r="AB1001" s="15" t="n"/>
      <c r="AF1001">
        <f>IF(AND($F1001="Closed",$X1001&gt;=DATE(2026,5,1),$X1001&lt;=DATE(2026,5,31)),"Closed in May","Other")</f>
        <v/>
      </c>
    </row>
    <row r="1002">
      <c r="A1002" s="6" t="n">
        <v>46107</v>
      </c>
      <c r="B1002" s="3" t="n">
        <v>2026</v>
      </c>
      <c r="C1002" s="3" t="inlineStr">
        <is>
          <t>Blupine Energy</t>
        </is>
      </c>
      <c r="D1002" s="3" t="inlineStr">
        <is>
          <t>Utility and C&amp;I</t>
        </is>
      </c>
      <c r="E1002" s="3" t="n"/>
      <c r="F1002" s="3" t="inlineStr">
        <is>
          <t>Closed</t>
        </is>
      </c>
      <c r="G1002" s="3" t="inlineStr">
        <is>
          <t>Chandrashekar Patidar</t>
        </is>
      </c>
      <c r="H1002" s="3" t="n">
        <v>7879764773</v>
      </c>
      <c r="I1002" s="11" t="inlineStr">
        <is>
          <t>PE26032601</t>
        </is>
      </c>
      <c r="J1002" s="3" t="inlineStr">
        <is>
          <t>Module Diode Failure</t>
        </is>
      </c>
      <c r="K1002" s="3" t="inlineStr">
        <is>
          <t>Sadla</t>
        </is>
      </c>
      <c r="L1002" s="3" t="inlineStr">
        <is>
          <t>Gujarat</t>
        </is>
      </c>
      <c r="M1002" s="9" t="inlineStr">
        <is>
          <t>NR</t>
        </is>
      </c>
      <c r="N1002" s="3" t="inlineStr">
        <is>
          <t>JB Issue</t>
        </is>
      </c>
      <c r="O1002" s="3" t="n">
        <v>570</v>
      </c>
      <c r="P1002" s="9" t="inlineStr">
        <is>
          <t>NSMI24060162667</t>
        </is>
      </c>
      <c r="Q1002" s="53">
        <f>MID(P1002,5,2)</f>
        <v/>
      </c>
      <c r="R1002" s="53">
        <f>MID(P1002,7,2)</f>
        <v/>
      </c>
      <c r="S1002" s="3" t="inlineStr">
        <is>
          <t>G2G</t>
        </is>
      </c>
      <c r="T1002" s="3" t="inlineStr">
        <is>
          <t>P4</t>
        </is>
      </c>
      <c r="U1002" s="3" t="inlineStr">
        <is>
          <t>N JB Issue</t>
        </is>
      </c>
      <c r="V1002" s="3" t="inlineStr">
        <is>
          <t>JB Changed</t>
        </is>
      </c>
      <c r="W1002" s="3" t="inlineStr">
        <is>
          <t>Repair</t>
        </is>
      </c>
      <c r="X1002" s="18" t="n">
        <v>46156</v>
      </c>
      <c r="Y1002" s="73">
        <f>IF(X1002="","",X1002-A1002)</f>
        <v/>
      </c>
      <c r="Z1002" s="18" t="n">
        <v>46156</v>
      </c>
      <c r="AA1002" s="15" t="n"/>
      <c r="AB1002" s="15" t="n"/>
      <c r="AF1002">
        <f>IF(AND($F1002="Closed",$X1002&gt;=DATE(2026,5,1),$X1002&lt;=DATE(2026,5,31)),"Closed in May","Other")</f>
        <v/>
      </c>
    </row>
    <row r="1003">
      <c r="A1003" s="6" t="n">
        <v>46107</v>
      </c>
      <c r="B1003" s="3" t="n">
        <v>2026</v>
      </c>
      <c r="C1003" s="3" t="inlineStr">
        <is>
          <t>Blupine Energy</t>
        </is>
      </c>
      <c r="D1003" s="3" t="inlineStr">
        <is>
          <t>Utility and C&amp;I</t>
        </is>
      </c>
      <c r="E1003" s="3" t="n"/>
      <c r="F1003" s="3" t="inlineStr">
        <is>
          <t>Closed</t>
        </is>
      </c>
      <c r="G1003" s="3" t="inlineStr">
        <is>
          <t>Chandrashekar Patidar</t>
        </is>
      </c>
      <c r="H1003" s="3" t="n">
        <v>7879764773</v>
      </c>
      <c r="I1003" s="11" t="inlineStr">
        <is>
          <t>PE26032601</t>
        </is>
      </c>
      <c r="J1003" s="3" t="inlineStr">
        <is>
          <t>Module Diode Failure</t>
        </is>
      </c>
      <c r="K1003" s="3" t="inlineStr">
        <is>
          <t>Sadla</t>
        </is>
      </c>
      <c r="L1003" s="3" t="inlineStr">
        <is>
          <t>Gujarat</t>
        </is>
      </c>
      <c r="M1003" s="9" t="inlineStr">
        <is>
          <t>NR</t>
        </is>
      </c>
      <c r="N1003" s="3" t="inlineStr">
        <is>
          <t>JB Issue</t>
        </is>
      </c>
      <c r="O1003" s="3" t="n">
        <v>570</v>
      </c>
      <c r="P1003" s="9" t="inlineStr">
        <is>
          <t>NSMI24060162742</t>
        </is>
      </c>
      <c r="Q1003" s="53">
        <f>MID(P1003,5,2)</f>
        <v/>
      </c>
      <c r="R1003" s="53">
        <f>MID(P1003,7,2)</f>
        <v/>
      </c>
      <c r="S1003" s="3" t="inlineStr">
        <is>
          <t>G2G</t>
        </is>
      </c>
      <c r="T1003" s="3" t="inlineStr">
        <is>
          <t>P4</t>
        </is>
      </c>
      <c r="U1003" s="3" t="inlineStr">
        <is>
          <t>N JB Issue</t>
        </is>
      </c>
      <c r="V1003" s="3" t="inlineStr">
        <is>
          <t>JB Changed</t>
        </is>
      </c>
      <c r="W1003" s="3" t="inlineStr">
        <is>
          <t>Repair</t>
        </is>
      </c>
      <c r="X1003" s="18" t="n">
        <v>46156</v>
      </c>
      <c r="Y1003" s="73">
        <f>IF(X1003="","",X1003-A1003)</f>
        <v/>
      </c>
      <c r="Z1003" s="18" t="n">
        <v>46156</v>
      </c>
      <c r="AA1003" s="15" t="n"/>
      <c r="AB1003" s="15" t="n"/>
      <c r="AF1003">
        <f>IF(AND($F1003="Closed",$X1003&gt;=DATE(2026,5,1),$X1003&lt;=DATE(2026,5,31)),"Closed in May","Other")</f>
        <v/>
      </c>
    </row>
    <row r="1004">
      <c r="A1004" s="6" t="n">
        <v>46107</v>
      </c>
      <c r="B1004" s="3" t="n">
        <v>2026</v>
      </c>
      <c r="C1004" s="3" t="inlineStr">
        <is>
          <t>Blupine Energy</t>
        </is>
      </c>
      <c r="D1004" s="3" t="inlineStr">
        <is>
          <t>Utility and C&amp;I</t>
        </is>
      </c>
      <c r="E1004" s="3" t="n"/>
      <c r="F1004" s="3" t="inlineStr">
        <is>
          <t>Closed</t>
        </is>
      </c>
      <c r="G1004" s="3" t="inlineStr">
        <is>
          <t>Chandrashekar Patidar</t>
        </is>
      </c>
      <c r="H1004" s="3" t="n">
        <v>7879764773</v>
      </c>
      <c r="I1004" s="11" t="inlineStr">
        <is>
          <t>PE26032601</t>
        </is>
      </c>
      <c r="J1004" s="3" t="inlineStr">
        <is>
          <t>Module Diode Failure</t>
        </is>
      </c>
      <c r="K1004" s="3" t="inlineStr">
        <is>
          <t>Sadla</t>
        </is>
      </c>
      <c r="L1004" s="3" t="inlineStr">
        <is>
          <t>Gujarat</t>
        </is>
      </c>
      <c r="M1004" s="9" t="inlineStr">
        <is>
          <t>NR</t>
        </is>
      </c>
      <c r="N1004" s="3" t="inlineStr">
        <is>
          <t>JB Issue</t>
        </is>
      </c>
      <c r="O1004" s="3" t="n">
        <v>570</v>
      </c>
      <c r="P1004" s="9" t="inlineStr">
        <is>
          <t>NSMI24060162800</t>
        </is>
      </c>
      <c r="Q1004" s="53">
        <f>MID(P1004,5,2)</f>
        <v/>
      </c>
      <c r="R1004" s="53">
        <f>MID(P1004,7,2)</f>
        <v/>
      </c>
      <c r="S1004" s="3" t="inlineStr">
        <is>
          <t>G2G</t>
        </is>
      </c>
      <c r="T1004" s="3" t="inlineStr">
        <is>
          <t>P4</t>
        </is>
      </c>
      <c r="U1004" s="3" t="inlineStr">
        <is>
          <t>N JB Issue</t>
        </is>
      </c>
      <c r="V1004" s="3" t="inlineStr">
        <is>
          <t>JB Changed</t>
        </is>
      </c>
      <c r="W1004" s="3" t="inlineStr">
        <is>
          <t>Repair</t>
        </is>
      </c>
      <c r="X1004" s="18" t="n">
        <v>46156</v>
      </c>
      <c r="Y1004" s="73">
        <f>IF(X1004="","",X1004-A1004)</f>
        <v/>
      </c>
      <c r="Z1004" s="18" t="n">
        <v>46156</v>
      </c>
      <c r="AA1004" s="15" t="n"/>
      <c r="AB1004" s="15" t="n"/>
      <c r="AF1004">
        <f>IF(AND($F1004="Closed",$X1004&gt;=DATE(2026,5,1),$X1004&lt;=DATE(2026,5,31)),"Closed in May","Other")</f>
        <v/>
      </c>
    </row>
    <row r="1005">
      <c r="A1005" s="6" t="n">
        <v>46107</v>
      </c>
      <c r="B1005" s="3" t="n">
        <v>2026</v>
      </c>
      <c r="C1005" s="3" t="inlineStr">
        <is>
          <t>Blupine Energy</t>
        </is>
      </c>
      <c r="D1005" s="3" t="inlineStr">
        <is>
          <t>Utility and C&amp;I</t>
        </is>
      </c>
      <c r="E1005" s="3" t="n"/>
      <c r="F1005" s="3" t="inlineStr">
        <is>
          <t>Closed</t>
        </is>
      </c>
      <c r="G1005" s="3" t="inlineStr">
        <is>
          <t>Chandrashekar Patidar</t>
        </is>
      </c>
      <c r="H1005" s="3" t="n">
        <v>7879764773</v>
      </c>
      <c r="I1005" s="11" t="inlineStr">
        <is>
          <t>PE26032601</t>
        </is>
      </c>
      <c r="J1005" s="3" t="inlineStr">
        <is>
          <t>Module Diode Failure</t>
        </is>
      </c>
      <c r="K1005" s="3" t="inlineStr">
        <is>
          <t>Sadla</t>
        </is>
      </c>
      <c r="L1005" s="3" t="inlineStr">
        <is>
          <t>Gujarat</t>
        </is>
      </c>
      <c r="M1005" s="9" t="inlineStr">
        <is>
          <t>NS</t>
        </is>
      </c>
      <c r="N1005" s="3" t="inlineStr">
        <is>
          <t>Cold Soldering</t>
        </is>
      </c>
      <c r="O1005" s="3" t="n">
        <v>570</v>
      </c>
      <c r="P1005" s="9" t="inlineStr">
        <is>
          <t>NSMI24060095280</t>
        </is>
      </c>
      <c r="Q1005" s="53">
        <f>MID(P1005,5,2)</f>
        <v/>
      </c>
      <c r="R1005" s="53">
        <f>MID(P1005,7,2)</f>
        <v/>
      </c>
      <c r="S1005" s="3" t="inlineStr">
        <is>
          <t>G2G</t>
        </is>
      </c>
      <c r="T1005" s="3" t="inlineStr">
        <is>
          <t>P4</t>
        </is>
      </c>
      <c r="U1005" s="3" t="inlineStr">
        <is>
          <t>N JB Cold Soldering</t>
        </is>
      </c>
      <c r="V1005" s="3" t="inlineStr">
        <is>
          <t>Soldering</t>
        </is>
      </c>
      <c r="W1005" s="3" t="inlineStr">
        <is>
          <t>Repair</t>
        </is>
      </c>
      <c r="X1005" s="18" t="n">
        <v>46156</v>
      </c>
      <c r="Y1005" s="73">
        <f>IF(X1005="","",X1005-A1005)</f>
        <v/>
      </c>
      <c r="Z1005" s="18" t="n">
        <v>46156</v>
      </c>
      <c r="AA1005" s="15" t="n"/>
      <c r="AB1005" s="15" t="n"/>
      <c r="AF1005">
        <f>IF(AND($F1005="Closed",$X1005&gt;=DATE(2026,5,1),$X1005&lt;=DATE(2026,5,31)),"Closed in May","Other")</f>
        <v/>
      </c>
    </row>
    <row r="1006">
      <c r="A1006" s="6" t="n">
        <v>46107</v>
      </c>
      <c r="B1006" s="3" t="n">
        <v>2026</v>
      </c>
      <c r="C1006" s="3" t="inlineStr">
        <is>
          <t>Blupine Energy</t>
        </is>
      </c>
      <c r="D1006" s="3" t="inlineStr">
        <is>
          <t>Utility and C&amp;I</t>
        </is>
      </c>
      <c r="E1006" s="3" t="n"/>
      <c r="F1006" s="3" t="inlineStr">
        <is>
          <t>Closed</t>
        </is>
      </c>
      <c r="G1006" s="3" t="inlineStr">
        <is>
          <t>Chandrashekar Patidar</t>
        </is>
      </c>
      <c r="H1006" s="3" t="n">
        <v>7879764773</v>
      </c>
      <c r="I1006" s="11" t="inlineStr">
        <is>
          <t>PE26032601</t>
        </is>
      </c>
      <c r="J1006" s="3" t="inlineStr">
        <is>
          <t>Module Diode Failure</t>
        </is>
      </c>
      <c r="K1006" s="3" t="inlineStr">
        <is>
          <t>Sadla</t>
        </is>
      </c>
      <c r="L1006" s="3" t="inlineStr">
        <is>
          <t>Gujarat</t>
        </is>
      </c>
      <c r="M1006" s="9" t="inlineStr">
        <is>
          <t>NS</t>
        </is>
      </c>
      <c r="N1006" s="3" t="inlineStr">
        <is>
          <t>Cold Soldering</t>
        </is>
      </c>
      <c r="O1006" s="3" t="n">
        <v>570</v>
      </c>
      <c r="P1006" s="9" t="inlineStr">
        <is>
          <t>NSMI24060094513</t>
        </is>
      </c>
      <c r="Q1006" s="53">
        <f>MID(P1006,5,2)</f>
        <v/>
      </c>
      <c r="R1006" s="53">
        <f>MID(P1006,7,2)</f>
        <v/>
      </c>
      <c r="S1006" s="3" t="inlineStr">
        <is>
          <t>G2G</t>
        </is>
      </c>
      <c r="T1006" s="3" t="inlineStr">
        <is>
          <t>P4</t>
        </is>
      </c>
      <c r="U1006" s="3" t="inlineStr">
        <is>
          <t>N JB Cold Soldering</t>
        </is>
      </c>
      <c r="V1006" s="3" t="inlineStr">
        <is>
          <t>Soldering</t>
        </is>
      </c>
      <c r="W1006" s="3" t="inlineStr">
        <is>
          <t>Repair</t>
        </is>
      </c>
      <c r="X1006" s="18" t="n">
        <v>46156</v>
      </c>
      <c r="Y1006" s="73">
        <f>IF(X1006="","",X1006-A1006)</f>
        <v/>
      </c>
      <c r="Z1006" s="18" t="n">
        <v>46156</v>
      </c>
      <c r="AA1006" s="15" t="n"/>
      <c r="AB1006" s="15" t="n"/>
      <c r="AF1006">
        <f>IF(AND($F1006="Closed",$X1006&gt;=DATE(2026,5,1),$X1006&lt;=DATE(2026,5,31)),"Closed in May","Other")</f>
        <v/>
      </c>
    </row>
    <row r="1007">
      <c r="A1007" s="6" t="n">
        <v>46107</v>
      </c>
      <c r="B1007" s="3" t="n">
        <v>2026</v>
      </c>
      <c r="C1007" s="3" t="inlineStr">
        <is>
          <t>Blupine Energy</t>
        </is>
      </c>
      <c r="D1007" s="3" t="inlineStr">
        <is>
          <t>Utility and C&amp;I</t>
        </is>
      </c>
      <c r="E1007" s="3" t="n"/>
      <c r="F1007" s="3" t="inlineStr">
        <is>
          <t>Closed</t>
        </is>
      </c>
      <c r="G1007" s="3" t="inlineStr">
        <is>
          <t>Chandrashekar Patidar</t>
        </is>
      </c>
      <c r="H1007" s="3" t="n">
        <v>7879764773</v>
      </c>
      <c r="I1007" s="11" t="inlineStr">
        <is>
          <t>PE26032601</t>
        </is>
      </c>
      <c r="J1007" s="3" t="inlineStr">
        <is>
          <t>Module Diode Failure</t>
        </is>
      </c>
      <c r="K1007" s="3" t="inlineStr">
        <is>
          <t>Sadla</t>
        </is>
      </c>
      <c r="L1007" s="3" t="inlineStr">
        <is>
          <t>Gujarat</t>
        </is>
      </c>
      <c r="M1007" s="9" t="inlineStr">
        <is>
          <t>NS</t>
        </is>
      </c>
      <c r="N1007" s="3" t="inlineStr">
        <is>
          <t>Cold Soldering</t>
        </is>
      </c>
      <c r="O1007" s="3" t="n">
        <v>570</v>
      </c>
      <c r="P1007" s="9" t="inlineStr">
        <is>
          <t>NSMI24060143459</t>
        </is>
      </c>
      <c r="Q1007" s="53">
        <f>MID(P1007,5,2)</f>
        <v/>
      </c>
      <c r="R1007" s="53">
        <f>MID(P1007,7,2)</f>
        <v/>
      </c>
      <c r="S1007" s="3" t="inlineStr">
        <is>
          <t>G2G</t>
        </is>
      </c>
      <c r="T1007" s="3" t="inlineStr">
        <is>
          <t>P4</t>
        </is>
      </c>
      <c r="U1007" s="3" t="inlineStr">
        <is>
          <t>N JB Cold Soldering</t>
        </is>
      </c>
      <c r="V1007" s="3" t="inlineStr">
        <is>
          <t>Soldering</t>
        </is>
      </c>
      <c r="W1007" s="3" t="inlineStr">
        <is>
          <t>Repair</t>
        </is>
      </c>
      <c r="X1007" s="18" t="n">
        <v>46156</v>
      </c>
      <c r="Y1007" s="73">
        <f>IF(X1007="","",X1007-A1007)</f>
        <v/>
      </c>
      <c r="Z1007" s="18" t="n">
        <v>46156</v>
      </c>
      <c r="AA1007" s="15" t="n"/>
      <c r="AB1007" s="15" t="n"/>
      <c r="AF1007">
        <f>IF(AND($F1007="Closed",$X1007&gt;=DATE(2026,5,1),$X1007&lt;=DATE(2026,5,31)),"Closed in May","Other")</f>
        <v/>
      </c>
    </row>
    <row r="1008">
      <c r="A1008" s="6" t="n">
        <v>46107</v>
      </c>
      <c r="B1008" s="3" t="n">
        <v>2026</v>
      </c>
      <c r="C1008" s="3" t="inlineStr">
        <is>
          <t>Blupine Energy</t>
        </is>
      </c>
      <c r="D1008" s="3" t="inlineStr">
        <is>
          <t>Utility and C&amp;I</t>
        </is>
      </c>
      <c r="E1008" s="3" t="n"/>
      <c r="F1008" s="3" t="inlineStr">
        <is>
          <t>Closed</t>
        </is>
      </c>
      <c r="G1008" s="3" t="inlineStr">
        <is>
          <t>Chandrashekar Patidar</t>
        </is>
      </c>
      <c r="H1008" s="3" t="n">
        <v>7879764773</v>
      </c>
      <c r="I1008" s="11" t="inlineStr">
        <is>
          <t>PE26032601</t>
        </is>
      </c>
      <c r="J1008" s="3" t="inlineStr">
        <is>
          <t>Module Diode Failure</t>
        </is>
      </c>
      <c r="K1008" s="3" t="inlineStr">
        <is>
          <t>Sadla</t>
        </is>
      </c>
      <c r="L1008" s="3" t="inlineStr">
        <is>
          <t>Gujarat</t>
        </is>
      </c>
      <c r="M1008" s="9" t="inlineStr">
        <is>
          <t>NR</t>
        </is>
      </c>
      <c r="N1008" s="3" t="inlineStr">
        <is>
          <t>JB Issue</t>
        </is>
      </c>
      <c r="O1008" s="3" t="n">
        <v>570</v>
      </c>
      <c r="P1008" s="9" t="inlineStr">
        <is>
          <t>NSMI24060162495</t>
        </is>
      </c>
      <c r="Q1008" s="53">
        <f>MID(P1008,5,2)</f>
        <v/>
      </c>
      <c r="R1008" s="53">
        <f>MID(P1008,7,2)</f>
        <v/>
      </c>
      <c r="S1008" s="3" t="inlineStr">
        <is>
          <t>G2G</t>
        </is>
      </c>
      <c r="T1008" s="3" t="inlineStr">
        <is>
          <t>P4</t>
        </is>
      </c>
      <c r="U1008" s="3" t="inlineStr">
        <is>
          <t>N JB Issue</t>
        </is>
      </c>
      <c r="V1008" s="3" t="inlineStr">
        <is>
          <t>JB Changed</t>
        </is>
      </c>
      <c r="W1008" s="3" t="inlineStr">
        <is>
          <t>Repair</t>
        </is>
      </c>
      <c r="X1008" s="18" t="n">
        <v>46156</v>
      </c>
      <c r="Y1008" s="73">
        <f>IF(X1008="","",X1008-A1008)</f>
        <v/>
      </c>
      <c r="Z1008" s="18" t="n">
        <v>46156</v>
      </c>
      <c r="AA1008" s="15" t="n"/>
      <c r="AB1008" s="15" t="n"/>
      <c r="AF1008">
        <f>IF(AND($F1008="Closed",$X1008&gt;=DATE(2026,5,1),$X1008&lt;=DATE(2026,5,31)),"Closed in May","Other")</f>
        <v/>
      </c>
    </row>
    <row r="1009">
      <c r="A1009" s="6" t="n">
        <v>46107</v>
      </c>
      <c r="B1009" s="3" t="n">
        <v>2026</v>
      </c>
      <c r="C1009" s="3" t="inlineStr">
        <is>
          <t>Blupine Energy</t>
        </is>
      </c>
      <c r="D1009" s="3" t="inlineStr">
        <is>
          <t>Utility and C&amp;I</t>
        </is>
      </c>
      <c r="E1009" s="3" t="n"/>
      <c r="F1009" s="3" t="inlineStr">
        <is>
          <t>Closed</t>
        </is>
      </c>
      <c r="G1009" s="3" t="inlineStr">
        <is>
          <t>Chandrashekar Patidar</t>
        </is>
      </c>
      <c r="H1009" s="3" t="n">
        <v>7879764773</v>
      </c>
      <c r="I1009" s="11" t="inlineStr">
        <is>
          <t>PE26032601</t>
        </is>
      </c>
      <c r="J1009" s="3" t="inlineStr">
        <is>
          <t>Module Diode Failure</t>
        </is>
      </c>
      <c r="K1009" s="3" t="inlineStr">
        <is>
          <t>Sadla</t>
        </is>
      </c>
      <c r="L1009" s="3" t="inlineStr">
        <is>
          <t>Gujarat</t>
        </is>
      </c>
      <c r="M1009" s="9" t="inlineStr">
        <is>
          <t>PR</t>
        </is>
      </c>
      <c r="N1009" s="3" t="inlineStr">
        <is>
          <t>JB Issue</t>
        </is>
      </c>
      <c r="O1009" s="3" t="n">
        <v>570</v>
      </c>
      <c r="P1009" s="9" t="inlineStr">
        <is>
          <t>NSMI24060144467</t>
        </is>
      </c>
      <c r="Q1009" s="53">
        <f>MID(P1009,5,2)</f>
        <v/>
      </c>
      <c r="R1009" s="53">
        <f>MID(P1009,7,2)</f>
        <v/>
      </c>
      <c r="S1009" s="3" t="inlineStr">
        <is>
          <t>G2G</t>
        </is>
      </c>
      <c r="T1009" s="3" t="inlineStr">
        <is>
          <t>P4</t>
        </is>
      </c>
      <c r="U1009" s="3" t="inlineStr">
        <is>
          <t>P JB Issue</t>
        </is>
      </c>
      <c r="V1009" s="15" t="inlineStr">
        <is>
          <t>JB Changed</t>
        </is>
      </c>
      <c r="W1009" s="3" t="inlineStr">
        <is>
          <t>Repair</t>
        </is>
      </c>
      <c r="X1009" s="18" t="n">
        <v>46156</v>
      </c>
      <c r="Y1009" s="73">
        <f>IF(X1009="","",X1009-A1009)</f>
        <v/>
      </c>
      <c r="Z1009" s="18" t="n">
        <v>46156</v>
      </c>
      <c r="AA1009" s="15" t="n"/>
      <c r="AB1009" s="15" t="n"/>
      <c r="AF1009">
        <f>IF(AND($F1009="Closed",$X1009&gt;=DATE(2026,5,1),$X1009&lt;=DATE(2026,5,31)),"Closed in May","Other")</f>
        <v/>
      </c>
    </row>
    <row r="1010">
      <c r="A1010" s="6" t="n">
        <v>46107</v>
      </c>
      <c r="B1010" s="3" t="n">
        <v>2026</v>
      </c>
      <c r="C1010" s="3" t="inlineStr">
        <is>
          <t>Blupine Energy</t>
        </is>
      </c>
      <c r="D1010" s="3" t="inlineStr">
        <is>
          <t>Utility and C&amp;I</t>
        </is>
      </c>
      <c r="E1010" s="3" t="n"/>
      <c r="F1010" s="3" t="inlineStr">
        <is>
          <t>Closed</t>
        </is>
      </c>
      <c r="G1010" s="3" t="inlineStr">
        <is>
          <t>Chandrashekar Patidar</t>
        </is>
      </c>
      <c r="H1010" s="3" t="n">
        <v>7879764773</v>
      </c>
      <c r="I1010" s="11" t="inlineStr">
        <is>
          <t>PE26032601</t>
        </is>
      </c>
      <c r="J1010" s="3" t="inlineStr">
        <is>
          <t>Module Diode Failure</t>
        </is>
      </c>
      <c r="K1010" s="3" t="inlineStr">
        <is>
          <t>Sadla</t>
        </is>
      </c>
      <c r="L1010" s="3" t="inlineStr">
        <is>
          <t>Gujarat</t>
        </is>
      </c>
      <c r="M1010" s="9" t="inlineStr">
        <is>
          <t>NS</t>
        </is>
      </c>
      <c r="N1010" s="3" t="inlineStr">
        <is>
          <t>Cold Soldering</t>
        </is>
      </c>
      <c r="O1010" s="3" t="n">
        <v>570</v>
      </c>
      <c r="P1010" s="9" t="inlineStr">
        <is>
          <t>NSMI24060164537</t>
        </is>
      </c>
      <c r="Q1010" s="53">
        <f>MID(P1010,5,2)</f>
        <v/>
      </c>
      <c r="R1010" s="53">
        <f>MID(P1010,7,2)</f>
        <v/>
      </c>
      <c r="S1010" s="3" t="inlineStr">
        <is>
          <t>G2G</t>
        </is>
      </c>
      <c r="T1010" s="3" t="inlineStr">
        <is>
          <t>P4</t>
        </is>
      </c>
      <c r="U1010" s="3" t="inlineStr">
        <is>
          <t>N JB Cold Soldering</t>
        </is>
      </c>
      <c r="V1010" s="3" t="inlineStr">
        <is>
          <t>Soldering</t>
        </is>
      </c>
      <c r="W1010" s="3" t="inlineStr">
        <is>
          <t>Repair</t>
        </is>
      </c>
      <c r="X1010" s="18" t="n">
        <v>46156</v>
      </c>
      <c r="Y1010" s="73">
        <f>IF(X1010="","",X1010-A1010)</f>
        <v/>
      </c>
      <c r="Z1010" s="18" t="n">
        <v>46156</v>
      </c>
      <c r="AA1010" s="15" t="n"/>
      <c r="AB1010" s="15" t="n"/>
      <c r="AF1010">
        <f>IF(AND($F1010="Closed",$X1010&gt;=DATE(2026,5,1),$X1010&lt;=DATE(2026,5,31)),"Closed in May","Other")</f>
        <v/>
      </c>
    </row>
    <row r="1011">
      <c r="A1011" s="6" t="n">
        <v>46107</v>
      </c>
      <c r="B1011" s="3" t="n">
        <v>2026</v>
      </c>
      <c r="C1011" s="3" t="inlineStr">
        <is>
          <t>Blupine Energy</t>
        </is>
      </c>
      <c r="D1011" s="3" t="inlineStr">
        <is>
          <t>Utility and C&amp;I</t>
        </is>
      </c>
      <c r="E1011" s="3" t="n"/>
      <c r="F1011" s="3" t="inlineStr">
        <is>
          <t>Closed</t>
        </is>
      </c>
      <c r="G1011" s="3" t="inlineStr">
        <is>
          <t>Chandrashekar Patidar</t>
        </is>
      </c>
      <c r="H1011" s="3" t="n">
        <v>7879764773</v>
      </c>
      <c r="I1011" s="11" t="inlineStr">
        <is>
          <t>PE26032601</t>
        </is>
      </c>
      <c r="J1011" s="3" t="inlineStr">
        <is>
          <t>Module Diode Failure</t>
        </is>
      </c>
      <c r="K1011" s="3" t="inlineStr">
        <is>
          <t>Sadla</t>
        </is>
      </c>
      <c r="L1011" s="3" t="inlineStr">
        <is>
          <t>Gujarat</t>
        </is>
      </c>
      <c r="M1011" s="9" t="inlineStr">
        <is>
          <t>NS</t>
        </is>
      </c>
      <c r="N1011" s="3" t="inlineStr">
        <is>
          <t>Cold Soldering</t>
        </is>
      </c>
      <c r="O1011" s="3" t="n">
        <v>570</v>
      </c>
      <c r="P1011" s="9" t="inlineStr">
        <is>
          <t>NSMI24060152017</t>
        </is>
      </c>
      <c r="Q1011" s="53">
        <f>MID(P1011,5,2)</f>
        <v/>
      </c>
      <c r="R1011" s="53">
        <f>MID(P1011,7,2)</f>
        <v/>
      </c>
      <c r="S1011" s="3" t="inlineStr">
        <is>
          <t>G2G</t>
        </is>
      </c>
      <c r="T1011" s="3" t="inlineStr">
        <is>
          <t>P4</t>
        </is>
      </c>
      <c r="U1011" s="3" t="inlineStr">
        <is>
          <t>N JB Cold Soldering</t>
        </is>
      </c>
      <c r="V1011" s="3" t="inlineStr">
        <is>
          <t>Soldering</t>
        </is>
      </c>
      <c r="W1011" s="3" t="inlineStr">
        <is>
          <t>Repair</t>
        </is>
      </c>
      <c r="X1011" s="18" t="n">
        <v>46156</v>
      </c>
      <c r="Y1011" s="73">
        <f>IF(X1011="","",X1011-A1011)</f>
        <v/>
      </c>
      <c r="Z1011" s="18" t="n">
        <v>46156</v>
      </c>
      <c r="AA1011" s="15" t="n"/>
      <c r="AB1011" s="15" t="n"/>
      <c r="AF1011">
        <f>IF(AND($F1011="Closed",$X1011&gt;=DATE(2026,5,1),$X1011&lt;=DATE(2026,5,31)),"Closed in May","Other")</f>
        <v/>
      </c>
    </row>
    <row r="1012">
      <c r="A1012" s="6" t="n">
        <v>46107</v>
      </c>
      <c r="B1012" s="3" t="n">
        <v>2026</v>
      </c>
      <c r="C1012" s="3" t="inlineStr">
        <is>
          <t>Blupine Energy</t>
        </is>
      </c>
      <c r="D1012" s="3" t="inlineStr">
        <is>
          <t>Utility and C&amp;I</t>
        </is>
      </c>
      <c r="E1012" s="3" t="n"/>
      <c r="F1012" s="3" t="inlineStr">
        <is>
          <t>Closed</t>
        </is>
      </c>
      <c r="G1012" s="3" t="inlineStr">
        <is>
          <t>Chandrashekar Patidar</t>
        </is>
      </c>
      <c r="H1012" s="3" t="n">
        <v>7879764773</v>
      </c>
      <c r="I1012" s="11" t="inlineStr">
        <is>
          <t>PE26032601</t>
        </is>
      </c>
      <c r="J1012" s="3" t="inlineStr">
        <is>
          <t>Module Diode Failure</t>
        </is>
      </c>
      <c r="K1012" s="3" t="inlineStr">
        <is>
          <t>Sadla</t>
        </is>
      </c>
      <c r="L1012" s="3" t="inlineStr">
        <is>
          <t>Gujarat</t>
        </is>
      </c>
      <c r="M1012" s="9" t="inlineStr">
        <is>
          <t>NS</t>
        </is>
      </c>
      <c r="N1012" s="3" t="inlineStr">
        <is>
          <t>Cold Soldering</t>
        </is>
      </c>
      <c r="O1012" s="3" t="n">
        <v>570</v>
      </c>
      <c r="P1012" s="9" t="inlineStr">
        <is>
          <t>NSMI24060162826</t>
        </is>
      </c>
      <c r="Q1012" s="53">
        <f>MID(P1012,5,2)</f>
        <v/>
      </c>
      <c r="R1012" s="53">
        <f>MID(P1012,7,2)</f>
        <v/>
      </c>
      <c r="S1012" s="3" t="inlineStr">
        <is>
          <t>G2G</t>
        </is>
      </c>
      <c r="T1012" s="3" t="inlineStr">
        <is>
          <t>P4</t>
        </is>
      </c>
      <c r="U1012" s="3" t="inlineStr">
        <is>
          <t>N JB Cold Soldering</t>
        </is>
      </c>
      <c r="V1012" s="3" t="inlineStr">
        <is>
          <t>Soldering</t>
        </is>
      </c>
      <c r="W1012" s="3" t="inlineStr">
        <is>
          <t>Repair</t>
        </is>
      </c>
      <c r="X1012" s="18" t="n">
        <v>46156</v>
      </c>
      <c r="Y1012" s="73">
        <f>IF(X1012="","",X1012-A1012)</f>
        <v/>
      </c>
      <c r="Z1012" s="18" t="n">
        <v>46156</v>
      </c>
      <c r="AA1012" s="15" t="n"/>
      <c r="AB1012" s="15" t="n"/>
      <c r="AF1012">
        <f>IF(AND($F1012="Closed",$X1012&gt;=DATE(2026,5,1),$X1012&lt;=DATE(2026,5,31)),"Closed in May","Other")</f>
        <v/>
      </c>
    </row>
    <row r="1013">
      <c r="A1013" s="6" t="n">
        <v>46107</v>
      </c>
      <c r="B1013" s="3" t="n">
        <v>2026</v>
      </c>
      <c r="C1013" s="3" t="inlineStr">
        <is>
          <t>Blupine Energy</t>
        </is>
      </c>
      <c r="D1013" s="3" t="inlineStr">
        <is>
          <t>Utility and C&amp;I</t>
        </is>
      </c>
      <c r="E1013" s="3" t="n"/>
      <c r="F1013" s="3" t="inlineStr">
        <is>
          <t>Closed</t>
        </is>
      </c>
      <c r="G1013" s="3" t="inlineStr">
        <is>
          <t>Chandrashekar Patidar</t>
        </is>
      </c>
      <c r="H1013" s="3" t="n">
        <v>7879764773</v>
      </c>
      <c r="I1013" s="11" t="inlineStr">
        <is>
          <t>PE26032601</t>
        </is>
      </c>
      <c r="J1013" s="3" t="inlineStr">
        <is>
          <t>Module Diode Failure</t>
        </is>
      </c>
      <c r="K1013" s="3" t="inlineStr">
        <is>
          <t>Sadla</t>
        </is>
      </c>
      <c r="L1013" s="3" t="inlineStr">
        <is>
          <t>Gujarat</t>
        </is>
      </c>
      <c r="M1013" s="9" t="inlineStr">
        <is>
          <t>NS</t>
        </is>
      </c>
      <c r="N1013" s="3" t="inlineStr">
        <is>
          <t>Cold Soldering</t>
        </is>
      </c>
      <c r="O1013" s="3" t="n">
        <v>570</v>
      </c>
      <c r="P1013" s="9" t="inlineStr">
        <is>
          <t>NSMI24060144730</t>
        </is>
      </c>
      <c r="Q1013" s="53">
        <f>MID(P1013,5,2)</f>
        <v/>
      </c>
      <c r="R1013" s="53">
        <f>MID(P1013,7,2)</f>
        <v/>
      </c>
      <c r="S1013" s="3" t="inlineStr">
        <is>
          <t>G2G</t>
        </is>
      </c>
      <c r="T1013" s="3" t="inlineStr">
        <is>
          <t>P4</t>
        </is>
      </c>
      <c r="U1013" s="3" t="inlineStr">
        <is>
          <t>N JB Cold Soldering</t>
        </is>
      </c>
      <c r="V1013" s="3" t="inlineStr">
        <is>
          <t>Soldering</t>
        </is>
      </c>
      <c r="W1013" s="3" t="inlineStr">
        <is>
          <t>Repair</t>
        </is>
      </c>
      <c r="X1013" s="18" t="n">
        <v>46156</v>
      </c>
      <c r="Y1013" s="73">
        <f>IF(X1013="","",X1013-A1013)</f>
        <v/>
      </c>
      <c r="Z1013" s="18" t="n">
        <v>46156</v>
      </c>
      <c r="AA1013" s="15" t="n"/>
      <c r="AB1013" s="15" t="n"/>
      <c r="AF1013">
        <f>IF(AND($F1013="Closed",$X1013&gt;=DATE(2026,5,1),$X1013&lt;=DATE(2026,5,31)),"Closed in May","Other")</f>
        <v/>
      </c>
    </row>
    <row r="1014">
      <c r="A1014" s="6" t="n">
        <v>46107</v>
      </c>
      <c r="B1014" s="3" t="n">
        <v>2026</v>
      </c>
      <c r="C1014" s="3" t="inlineStr">
        <is>
          <t>Blupine Energy</t>
        </is>
      </c>
      <c r="D1014" s="3" t="inlineStr">
        <is>
          <t>Utility and C&amp;I</t>
        </is>
      </c>
      <c r="E1014" s="3" t="n"/>
      <c r="F1014" s="3" t="inlineStr">
        <is>
          <t>Closed</t>
        </is>
      </c>
      <c r="G1014" s="3" t="inlineStr">
        <is>
          <t>Chandrashekar Patidar</t>
        </is>
      </c>
      <c r="H1014" s="3" t="n">
        <v>7879764773</v>
      </c>
      <c r="I1014" s="11" t="inlineStr">
        <is>
          <t>PE26032601</t>
        </is>
      </c>
      <c r="J1014" s="3" t="inlineStr">
        <is>
          <t>Module Diode Failure</t>
        </is>
      </c>
      <c r="K1014" s="3" t="inlineStr">
        <is>
          <t>Sadla</t>
        </is>
      </c>
      <c r="L1014" s="3" t="inlineStr">
        <is>
          <t>Gujarat</t>
        </is>
      </c>
      <c r="M1014" s="9" t="inlineStr">
        <is>
          <t>NS</t>
        </is>
      </c>
      <c r="N1014" s="3" t="inlineStr">
        <is>
          <t>Cold Soldering</t>
        </is>
      </c>
      <c r="O1014" s="3" t="n">
        <v>570</v>
      </c>
      <c r="P1014" s="9" t="inlineStr">
        <is>
          <t>NSMI24060142723</t>
        </is>
      </c>
      <c r="Q1014" s="53">
        <f>MID(P1014,5,2)</f>
        <v/>
      </c>
      <c r="R1014" s="53">
        <f>MID(P1014,7,2)</f>
        <v/>
      </c>
      <c r="S1014" s="3" t="inlineStr">
        <is>
          <t>G2G</t>
        </is>
      </c>
      <c r="T1014" s="3" t="inlineStr">
        <is>
          <t>P4</t>
        </is>
      </c>
      <c r="U1014" s="3" t="inlineStr">
        <is>
          <t>N JB Cold Soldering</t>
        </is>
      </c>
      <c r="V1014" s="3" t="inlineStr">
        <is>
          <t>Soldering</t>
        </is>
      </c>
      <c r="W1014" s="3" t="inlineStr">
        <is>
          <t>Repair</t>
        </is>
      </c>
      <c r="X1014" s="18" t="n">
        <v>46156</v>
      </c>
      <c r="Y1014" s="73">
        <f>IF(X1014="","",X1014-A1014)</f>
        <v/>
      </c>
      <c r="Z1014" s="18" t="n">
        <v>46156</v>
      </c>
      <c r="AA1014" s="15" t="n"/>
      <c r="AB1014" s="15" t="n"/>
      <c r="AF1014">
        <f>IF(AND($F1014="Closed",$X1014&gt;=DATE(2026,5,1),$X1014&lt;=DATE(2026,5,31)),"Closed in May","Other")</f>
        <v/>
      </c>
    </row>
    <row r="1015">
      <c r="A1015" s="6" t="n">
        <v>46107</v>
      </c>
      <c r="B1015" s="3" t="n">
        <v>2026</v>
      </c>
      <c r="C1015" s="3" t="inlineStr">
        <is>
          <t>Blupine Energy</t>
        </is>
      </c>
      <c r="D1015" s="3" t="inlineStr">
        <is>
          <t>Utility and C&amp;I</t>
        </is>
      </c>
      <c r="E1015" s="3" t="n"/>
      <c r="F1015" s="3" t="inlineStr">
        <is>
          <t>Closed</t>
        </is>
      </c>
      <c r="G1015" s="3" t="inlineStr">
        <is>
          <t>Chandrashekar Patidar</t>
        </is>
      </c>
      <c r="H1015" s="3" t="n">
        <v>7879764773</v>
      </c>
      <c r="I1015" s="11" t="inlineStr">
        <is>
          <t>PE26032601</t>
        </is>
      </c>
      <c r="J1015" s="3" t="inlineStr">
        <is>
          <t>Module Diode Failure</t>
        </is>
      </c>
      <c r="K1015" s="3" t="inlineStr">
        <is>
          <t>Sadla</t>
        </is>
      </c>
      <c r="L1015" s="3" t="inlineStr">
        <is>
          <t>Gujarat</t>
        </is>
      </c>
      <c r="M1015" s="9" t="inlineStr">
        <is>
          <t>PS</t>
        </is>
      </c>
      <c r="N1015" s="3" t="inlineStr">
        <is>
          <t>Cold Soldering</t>
        </is>
      </c>
      <c r="O1015" s="3" t="n">
        <v>570</v>
      </c>
      <c r="P1015" s="9" t="inlineStr">
        <is>
          <t>NSMI24060143430</t>
        </is>
      </c>
      <c r="Q1015" s="53">
        <f>MID(P1015,5,2)</f>
        <v/>
      </c>
      <c r="R1015" s="53">
        <f>MID(P1015,7,2)</f>
        <v/>
      </c>
      <c r="S1015" s="3" t="inlineStr">
        <is>
          <t>G2G</t>
        </is>
      </c>
      <c r="T1015" s="3" t="inlineStr">
        <is>
          <t>P4</t>
        </is>
      </c>
      <c r="U1015" s="3" t="inlineStr">
        <is>
          <t>P JB Cold Soldering</t>
        </is>
      </c>
      <c r="V1015" s="3" t="inlineStr">
        <is>
          <t>Soldering</t>
        </is>
      </c>
      <c r="W1015" s="3" t="inlineStr">
        <is>
          <t>Repair</t>
        </is>
      </c>
      <c r="X1015" s="18" t="n">
        <v>46156</v>
      </c>
      <c r="Y1015" s="73">
        <f>IF(X1015="","",X1015-A1015)</f>
        <v/>
      </c>
      <c r="Z1015" s="18" t="n">
        <v>46156</v>
      </c>
      <c r="AA1015" s="15" t="n"/>
      <c r="AB1015" s="15" t="n"/>
      <c r="AF1015">
        <f>IF(AND($F1015="Closed",$X1015&gt;=DATE(2026,5,1),$X1015&lt;=DATE(2026,5,31)),"Closed in May","Other")</f>
        <v/>
      </c>
    </row>
    <row r="1016">
      <c r="A1016" s="6" t="n">
        <v>46107</v>
      </c>
      <c r="B1016" s="3" t="n">
        <v>2026</v>
      </c>
      <c r="C1016" s="3" t="inlineStr">
        <is>
          <t>Blupine Energy</t>
        </is>
      </c>
      <c r="D1016" s="3" t="inlineStr">
        <is>
          <t>Utility and C&amp;I</t>
        </is>
      </c>
      <c r="E1016" s="3" t="n"/>
      <c r="F1016" s="3" t="inlineStr">
        <is>
          <t>Closed</t>
        </is>
      </c>
      <c r="G1016" s="3" t="inlineStr">
        <is>
          <t>Chandrashekar Patidar</t>
        </is>
      </c>
      <c r="H1016" s="3" t="n">
        <v>7879764773</v>
      </c>
      <c r="I1016" s="11" t="inlineStr">
        <is>
          <t>PE26032601</t>
        </is>
      </c>
      <c r="J1016" s="3" t="inlineStr">
        <is>
          <t>Module Diode Failure</t>
        </is>
      </c>
      <c r="K1016" s="3" t="inlineStr">
        <is>
          <t>Sadla</t>
        </is>
      </c>
      <c r="L1016" s="3" t="inlineStr">
        <is>
          <t>Gujarat</t>
        </is>
      </c>
      <c r="M1016" s="9" t="inlineStr">
        <is>
          <t>NS</t>
        </is>
      </c>
      <c r="N1016" s="3" t="inlineStr">
        <is>
          <t>Cold Soldering</t>
        </is>
      </c>
      <c r="O1016" s="3" t="n">
        <v>570</v>
      </c>
      <c r="P1016" s="9" t="inlineStr">
        <is>
          <t>NSMI24060161515</t>
        </is>
      </c>
      <c r="Q1016" s="53">
        <f>MID(P1016,5,2)</f>
        <v/>
      </c>
      <c r="R1016" s="53">
        <f>MID(P1016,7,2)</f>
        <v/>
      </c>
      <c r="S1016" s="3" t="inlineStr">
        <is>
          <t>G2G</t>
        </is>
      </c>
      <c r="T1016" s="3" t="inlineStr">
        <is>
          <t>P4</t>
        </is>
      </c>
      <c r="U1016" s="3" t="inlineStr">
        <is>
          <t>N JB Cold Soldering</t>
        </is>
      </c>
      <c r="V1016" s="3" t="inlineStr">
        <is>
          <t>Soldering</t>
        </is>
      </c>
      <c r="W1016" s="3" t="inlineStr">
        <is>
          <t>Repair</t>
        </is>
      </c>
      <c r="X1016" s="18" t="n">
        <v>46156</v>
      </c>
      <c r="Y1016" s="73">
        <f>IF(X1016="","",X1016-A1016)</f>
        <v/>
      </c>
      <c r="Z1016" s="18" t="n">
        <v>46156</v>
      </c>
      <c r="AA1016" s="15" t="n"/>
      <c r="AB1016" s="15" t="n"/>
      <c r="AF1016">
        <f>IF(AND($F1016="Closed",$X1016&gt;=DATE(2026,5,1),$X1016&lt;=DATE(2026,5,31)),"Closed in May","Other")</f>
        <v/>
      </c>
    </row>
    <row r="1017">
      <c r="A1017" s="6" t="n">
        <v>46107</v>
      </c>
      <c r="B1017" s="3" t="n">
        <v>2026</v>
      </c>
      <c r="C1017" s="3" t="inlineStr">
        <is>
          <t>Blupine Energy</t>
        </is>
      </c>
      <c r="D1017" s="3" t="inlineStr">
        <is>
          <t>Utility and C&amp;I</t>
        </is>
      </c>
      <c r="E1017" s="3" t="n"/>
      <c r="F1017" s="3" t="inlineStr">
        <is>
          <t>Closed</t>
        </is>
      </c>
      <c r="G1017" s="3" t="inlineStr">
        <is>
          <t>Chandrashekar Patidar</t>
        </is>
      </c>
      <c r="H1017" s="3" t="n">
        <v>7879764773</v>
      </c>
      <c r="I1017" s="11" t="inlineStr">
        <is>
          <t>PE26032601</t>
        </is>
      </c>
      <c r="J1017" s="3" t="inlineStr">
        <is>
          <t>Module Diode Failure</t>
        </is>
      </c>
      <c r="K1017" s="3" t="inlineStr">
        <is>
          <t>Sadla</t>
        </is>
      </c>
      <c r="L1017" s="3" t="inlineStr">
        <is>
          <t>Gujarat</t>
        </is>
      </c>
      <c r="M1017" s="9" t="inlineStr">
        <is>
          <t>NS</t>
        </is>
      </c>
      <c r="N1017" s="3" t="inlineStr">
        <is>
          <t>Cold Soldering</t>
        </is>
      </c>
      <c r="O1017" s="3" t="n">
        <v>570</v>
      </c>
      <c r="P1017" s="9" t="inlineStr">
        <is>
          <t>NSMI24060146165</t>
        </is>
      </c>
      <c r="Q1017" s="53">
        <f>MID(P1017,5,2)</f>
        <v/>
      </c>
      <c r="R1017" s="53">
        <f>MID(P1017,7,2)</f>
        <v/>
      </c>
      <c r="S1017" s="3" t="inlineStr">
        <is>
          <t>G2G</t>
        </is>
      </c>
      <c r="T1017" s="3" t="inlineStr">
        <is>
          <t>P4</t>
        </is>
      </c>
      <c r="U1017" s="3" t="inlineStr">
        <is>
          <t>N JB Cold Soldering</t>
        </is>
      </c>
      <c r="V1017" s="3" t="inlineStr">
        <is>
          <t>Soldering</t>
        </is>
      </c>
      <c r="W1017" s="3" t="inlineStr">
        <is>
          <t>Repair</t>
        </is>
      </c>
      <c r="X1017" s="18" t="n">
        <v>46156</v>
      </c>
      <c r="Y1017" s="73">
        <f>IF(X1017="","",X1017-A1017)</f>
        <v/>
      </c>
      <c r="Z1017" s="18" t="n">
        <v>46156</v>
      </c>
      <c r="AA1017" s="15" t="n"/>
      <c r="AB1017" s="15" t="n"/>
      <c r="AF1017">
        <f>IF(AND($F1017="Closed",$X1017&gt;=DATE(2026,5,1),$X1017&lt;=DATE(2026,5,31)),"Closed in May","Other")</f>
        <v/>
      </c>
    </row>
    <row r="1018">
      <c r="A1018" s="6" t="n">
        <v>46107</v>
      </c>
      <c r="B1018" s="3" t="n">
        <v>2026</v>
      </c>
      <c r="C1018" s="3" t="inlineStr">
        <is>
          <t>Blupine Energy</t>
        </is>
      </c>
      <c r="D1018" s="3" t="inlineStr">
        <is>
          <t>Utility and C&amp;I</t>
        </is>
      </c>
      <c r="E1018" s="3" t="n"/>
      <c r="F1018" s="3" t="inlineStr">
        <is>
          <t>Closed</t>
        </is>
      </c>
      <c r="G1018" s="3" t="inlineStr">
        <is>
          <t>Chandrashekar Patidar</t>
        </is>
      </c>
      <c r="H1018" s="3" t="n">
        <v>7879764773</v>
      </c>
      <c r="I1018" s="11" t="inlineStr">
        <is>
          <t>PE26032601</t>
        </is>
      </c>
      <c r="J1018" s="3" t="inlineStr">
        <is>
          <t>Module Diode Failure</t>
        </is>
      </c>
      <c r="K1018" s="3" t="inlineStr">
        <is>
          <t>Sadla</t>
        </is>
      </c>
      <c r="L1018" s="3" t="inlineStr">
        <is>
          <t>Gujarat</t>
        </is>
      </c>
      <c r="M1018" s="9" t="inlineStr">
        <is>
          <t>NS</t>
        </is>
      </c>
      <c r="N1018" s="3" t="inlineStr">
        <is>
          <t>Cold Soldering</t>
        </is>
      </c>
      <c r="O1018" s="3" t="n">
        <v>570</v>
      </c>
      <c r="P1018" s="9" t="inlineStr">
        <is>
          <t>NSMI24070166698</t>
        </is>
      </c>
      <c r="Q1018" s="53">
        <f>MID(P1018,5,2)</f>
        <v/>
      </c>
      <c r="R1018" s="53">
        <f>MID(P1018,7,2)</f>
        <v/>
      </c>
      <c r="S1018" s="3" t="inlineStr">
        <is>
          <t>G2G</t>
        </is>
      </c>
      <c r="T1018" s="3" t="inlineStr">
        <is>
          <t>P4</t>
        </is>
      </c>
      <c r="U1018" s="3" t="inlineStr">
        <is>
          <t>N JB Cold Soldering</t>
        </is>
      </c>
      <c r="V1018" s="3" t="inlineStr">
        <is>
          <t>Soldering</t>
        </is>
      </c>
      <c r="W1018" s="3" t="inlineStr">
        <is>
          <t>Repair</t>
        </is>
      </c>
      <c r="X1018" s="18" t="n">
        <v>46156</v>
      </c>
      <c r="Y1018" s="73">
        <f>IF(X1018="","",X1018-A1018)</f>
        <v/>
      </c>
      <c r="Z1018" s="18" t="n">
        <v>46156</v>
      </c>
      <c r="AA1018" s="15" t="n"/>
      <c r="AB1018" s="15" t="n"/>
      <c r="AF1018">
        <f>IF(AND($F1018="Closed",$X1018&gt;=DATE(2026,5,1),$X1018&lt;=DATE(2026,5,31)),"Closed in May","Other")</f>
        <v/>
      </c>
    </row>
    <row r="1019">
      <c r="A1019" s="6" t="n">
        <v>46107</v>
      </c>
      <c r="B1019" s="3" t="n">
        <v>2026</v>
      </c>
      <c r="C1019" s="3" t="inlineStr">
        <is>
          <t>Blupine Energy</t>
        </is>
      </c>
      <c r="D1019" s="3" t="inlineStr">
        <is>
          <t>Utility and C&amp;I</t>
        </is>
      </c>
      <c r="E1019" s="3" t="n"/>
      <c r="F1019" s="3" t="inlineStr">
        <is>
          <t>Closed</t>
        </is>
      </c>
      <c r="G1019" s="3" t="inlineStr">
        <is>
          <t>Chandrashekar Patidar</t>
        </is>
      </c>
      <c r="H1019" s="3" t="n">
        <v>7879764773</v>
      </c>
      <c r="I1019" s="11" t="inlineStr">
        <is>
          <t>PE26032601</t>
        </is>
      </c>
      <c r="J1019" s="3" t="inlineStr">
        <is>
          <t>Module Diode Failure</t>
        </is>
      </c>
      <c r="K1019" s="3" t="inlineStr">
        <is>
          <t>Sadla</t>
        </is>
      </c>
      <c r="L1019" s="3" t="inlineStr">
        <is>
          <t>Gujarat</t>
        </is>
      </c>
      <c r="M1019" s="9" t="inlineStr">
        <is>
          <t>NS</t>
        </is>
      </c>
      <c r="N1019" s="3" t="inlineStr">
        <is>
          <t>Cold Soldering</t>
        </is>
      </c>
      <c r="O1019" s="3" t="n">
        <v>570</v>
      </c>
      <c r="P1019" s="9" t="inlineStr">
        <is>
          <t>NSMI24070166686</t>
        </is>
      </c>
      <c r="Q1019" s="53">
        <f>MID(P1019,5,2)</f>
        <v/>
      </c>
      <c r="R1019" s="53">
        <f>MID(P1019,7,2)</f>
        <v/>
      </c>
      <c r="S1019" s="3" t="inlineStr">
        <is>
          <t>G2G</t>
        </is>
      </c>
      <c r="T1019" s="3" t="inlineStr">
        <is>
          <t>P4</t>
        </is>
      </c>
      <c r="U1019" s="3" t="inlineStr">
        <is>
          <t>N JB Cold Soldering</t>
        </is>
      </c>
      <c r="V1019" s="3" t="inlineStr">
        <is>
          <t>Soldering</t>
        </is>
      </c>
      <c r="W1019" s="3" t="inlineStr">
        <is>
          <t>Repair</t>
        </is>
      </c>
      <c r="X1019" s="18" t="n">
        <v>46156</v>
      </c>
      <c r="Y1019" s="73">
        <f>IF(X1019="","",X1019-A1019)</f>
        <v/>
      </c>
      <c r="Z1019" s="18" t="n">
        <v>46156</v>
      </c>
      <c r="AA1019" s="15" t="n"/>
      <c r="AB1019" s="15" t="n"/>
      <c r="AF1019">
        <f>IF(AND($F1019="Closed",$X1019&gt;=DATE(2026,5,1),$X1019&lt;=DATE(2026,5,31)),"Closed in May","Other")</f>
        <v/>
      </c>
    </row>
    <row r="1020">
      <c r="A1020" s="6" t="n">
        <v>46107</v>
      </c>
      <c r="B1020" s="3" t="n">
        <v>2026</v>
      </c>
      <c r="C1020" s="3" t="inlineStr">
        <is>
          <t>Blupine Energy</t>
        </is>
      </c>
      <c r="D1020" s="3" t="inlineStr">
        <is>
          <t>Utility and C&amp;I</t>
        </is>
      </c>
      <c r="E1020" s="3" t="n"/>
      <c r="F1020" s="3" t="inlineStr">
        <is>
          <t>Closed</t>
        </is>
      </c>
      <c r="G1020" s="3" t="inlineStr">
        <is>
          <t>Chandrashekar Patidar</t>
        </is>
      </c>
      <c r="H1020" s="3" t="n">
        <v>7879764773</v>
      </c>
      <c r="I1020" s="11" t="inlineStr">
        <is>
          <t>PE26032601</t>
        </is>
      </c>
      <c r="J1020" s="3" t="inlineStr">
        <is>
          <t>Module Diode Failure</t>
        </is>
      </c>
      <c r="K1020" s="3" t="inlineStr">
        <is>
          <t>Sadla</t>
        </is>
      </c>
      <c r="L1020" s="3" t="inlineStr">
        <is>
          <t>Gujarat</t>
        </is>
      </c>
      <c r="M1020" s="9" t="inlineStr">
        <is>
          <t>NS</t>
        </is>
      </c>
      <c r="N1020" s="3" t="inlineStr">
        <is>
          <t>Cold Soldering</t>
        </is>
      </c>
      <c r="O1020" s="3" t="n">
        <v>570</v>
      </c>
      <c r="P1020" s="9" t="inlineStr">
        <is>
          <t>NSMI24070167388</t>
        </is>
      </c>
      <c r="Q1020" s="53">
        <f>MID(P1020,5,2)</f>
        <v/>
      </c>
      <c r="R1020" s="53">
        <f>MID(P1020,7,2)</f>
        <v/>
      </c>
      <c r="S1020" s="3" t="inlineStr">
        <is>
          <t>G2G</t>
        </is>
      </c>
      <c r="T1020" s="3" t="inlineStr">
        <is>
          <t>P4</t>
        </is>
      </c>
      <c r="U1020" s="3" t="inlineStr">
        <is>
          <t>N JB Cold Soldering</t>
        </is>
      </c>
      <c r="V1020" s="3" t="inlineStr">
        <is>
          <t>Soldering</t>
        </is>
      </c>
      <c r="W1020" s="3" t="inlineStr">
        <is>
          <t>Repair</t>
        </is>
      </c>
      <c r="X1020" s="18" t="n">
        <v>46156</v>
      </c>
      <c r="Y1020" s="73">
        <f>IF(X1020="","",X1020-A1020)</f>
        <v/>
      </c>
      <c r="Z1020" s="18" t="n">
        <v>46156</v>
      </c>
      <c r="AA1020" s="15" t="n"/>
      <c r="AB1020" s="15" t="n"/>
      <c r="AF1020">
        <f>IF(AND($F1020="Closed",$X1020&gt;=DATE(2026,5,1),$X1020&lt;=DATE(2026,5,31)),"Closed in May","Other")</f>
        <v/>
      </c>
    </row>
    <row r="1021">
      <c r="A1021" s="6" t="n">
        <v>46107</v>
      </c>
      <c r="B1021" s="3" t="n">
        <v>2026</v>
      </c>
      <c r="C1021" s="3" t="inlineStr">
        <is>
          <t>Blupine Energy</t>
        </is>
      </c>
      <c r="D1021" s="3" t="inlineStr">
        <is>
          <t>Utility and C&amp;I</t>
        </is>
      </c>
      <c r="E1021" s="3" t="n"/>
      <c r="F1021" s="3" t="inlineStr">
        <is>
          <t>Closed</t>
        </is>
      </c>
      <c r="G1021" s="3" t="inlineStr">
        <is>
          <t>Chandrashekar Patidar</t>
        </is>
      </c>
      <c r="H1021" s="3" t="n">
        <v>7879764773</v>
      </c>
      <c r="I1021" s="11" t="inlineStr">
        <is>
          <t>PE26032601</t>
        </is>
      </c>
      <c r="J1021" s="3" t="inlineStr">
        <is>
          <t>Module Diode Failure</t>
        </is>
      </c>
      <c r="K1021" s="3" t="inlineStr">
        <is>
          <t>Sadla</t>
        </is>
      </c>
      <c r="L1021" s="3" t="inlineStr">
        <is>
          <t>Gujarat</t>
        </is>
      </c>
      <c r="M1021" s="9" t="inlineStr">
        <is>
          <t>NS</t>
        </is>
      </c>
      <c r="N1021" s="3" t="inlineStr">
        <is>
          <t>Cold Soldering</t>
        </is>
      </c>
      <c r="O1021" s="3" t="n">
        <v>570</v>
      </c>
      <c r="P1021" s="9" t="inlineStr">
        <is>
          <t>NSMI24060154849</t>
        </is>
      </c>
      <c r="Q1021" s="53">
        <f>MID(P1021,5,2)</f>
        <v/>
      </c>
      <c r="R1021" s="53">
        <f>MID(P1021,7,2)</f>
        <v/>
      </c>
      <c r="S1021" s="3" t="inlineStr">
        <is>
          <t>G2G</t>
        </is>
      </c>
      <c r="T1021" s="3" t="inlineStr">
        <is>
          <t>P4</t>
        </is>
      </c>
      <c r="U1021" s="3" t="inlineStr">
        <is>
          <t>N JB Cold Soldering</t>
        </is>
      </c>
      <c r="V1021" s="3" t="inlineStr">
        <is>
          <t>Soldering</t>
        </is>
      </c>
      <c r="W1021" s="3" t="inlineStr">
        <is>
          <t>Repair</t>
        </is>
      </c>
      <c r="X1021" s="18" t="n">
        <v>46156</v>
      </c>
      <c r="Y1021" s="73">
        <f>IF(X1021="","",X1021-A1021)</f>
        <v/>
      </c>
      <c r="Z1021" s="18" t="n">
        <v>46156</v>
      </c>
      <c r="AA1021" s="15" t="n"/>
      <c r="AB1021" s="15" t="n"/>
      <c r="AF1021">
        <f>IF(AND($F1021="Closed",$X1021&gt;=DATE(2026,5,1),$X1021&lt;=DATE(2026,5,31)),"Closed in May","Other")</f>
        <v/>
      </c>
    </row>
    <row r="1022">
      <c r="A1022" s="6" t="n">
        <v>46107</v>
      </c>
      <c r="B1022" s="3" t="n">
        <v>2026</v>
      </c>
      <c r="C1022" s="3" t="inlineStr">
        <is>
          <t>Blupine Energy</t>
        </is>
      </c>
      <c r="D1022" s="3" t="inlineStr">
        <is>
          <t>Utility and C&amp;I</t>
        </is>
      </c>
      <c r="E1022" s="3" t="n"/>
      <c r="F1022" s="3" t="inlineStr">
        <is>
          <t>Closed</t>
        </is>
      </c>
      <c r="G1022" s="3" t="inlineStr">
        <is>
          <t>Chandrashekar Patidar</t>
        </is>
      </c>
      <c r="H1022" s="3" t="n">
        <v>7879764773</v>
      </c>
      <c r="I1022" s="11" t="inlineStr">
        <is>
          <t>PE26032601</t>
        </is>
      </c>
      <c r="J1022" s="3" t="inlineStr">
        <is>
          <t>Module Diode Failure</t>
        </is>
      </c>
      <c r="K1022" s="3" t="inlineStr">
        <is>
          <t>Sadla</t>
        </is>
      </c>
      <c r="L1022" s="3" t="inlineStr">
        <is>
          <t>Gujarat</t>
        </is>
      </c>
      <c r="M1022" s="9" t="inlineStr">
        <is>
          <t>NS</t>
        </is>
      </c>
      <c r="N1022" s="3" t="inlineStr">
        <is>
          <t>Cold Soldering</t>
        </is>
      </c>
      <c r="O1022" s="3" t="n">
        <v>570</v>
      </c>
      <c r="P1022" s="9" t="inlineStr">
        <is>
          <t>NSMI24070166948</t>
        </is>
      </c>
      <c r="Q1022" s="53">
        <f>MID(P1022,5,2)</f>
        <v/>
      </c>
      <c r="R1022" s="53">
        <f>MID(P1022,7,2)</f>
        <v/>
      </c>
      <c r="S1022" s="3" t="inlineStr">
        <is>
          <t>G2G</t>
        </is>
      </c>
      <c r="T1022" s="3" t="inlineStr">
        <is>
          <t>P4</t>
        </is>
      </c>
      <c r="U1022" s="3" t="inlineStr">
        <is>
          <t>N JB Cold Soldering</t>
        </is>
      </c>
      <c r="V1022" s="3" t="inlineStr">
        <is>
          <t>Soldering</t>
        </is>
      </c>
      <c r="W1022" s="3" t="inlineStr">
        <is>
          <t>Repair</t>
        </is>
      </c>
      <c r="X1022" s="18" t="n">
        <v>46156</v>
      </c>
      <c r="Y1022" s="73">
        <f>IF(X1022="","",X1022-A1022)</f>
        <v/>
      </c>
      <c r="Z1022" s="18" t="n">
        <v>46156</v>
      </c>
      <c r="AA1022" s="15" t="n"/>
      <c r="AB1022" s="15" t="n"/>
      <c r="AF1022">
        <f>IF(AND($F1022="Closed",$X1022&gt;=DATE(2026,5,1),$X1022&lt;=DATE(2026,5,31)),"Closed in May","Other")</f>
        <v/>
      </c>
    </row>
    <row r="1023">
      <c r="A1023" s="6" t="n">
        <v>46107</v>
      </c>
      <c r="B1023" s="3" t="n">
        <v>2026</v>
      </c>
      <c r="C1023" s="3" t="inlineStr">
        <is>
          <t>Blupine Energy</t>
        </is>
      </c>
      <c r="D1023" s="3" t="inlineStr">
        <is>
          <t>Utility and C&amp;I</t>
        </is>
      </c>
      <c r="E1023" s="3" t="n"/>
      <c r="F1023" s="3" t="inlineStr">
        <is>
          <t>Closed</t>
        </is>
      </c>
      <c r="G1023" s="3" t="inlineStr">
        <is>
          <t>Chandrashekar Patidar</t>
        </is>
      </c>
      <c r="H1023" s="3" t="n">
        <v>7879764773</v>
      </c>
      <c r="I1023" s="11" t="inlineStr">
        <is>
          <t>PE26032601</t>
        </is>
      </c>
      <c r="J1023" s="3" t="inlineStr">
        <is>
          <t>Module Diode Failure</t>
        </is>
      </c>
      <c r="K1023" s="3" t="inlineStr">
        <is>
          <t>Sadla</t>
        </is>
      </c>
      <c r="L1023" s="3" t="inlineStr">
        <is>
          <t>Gujarat</t>
        </is>
      </c>
      <c r="M1023" s="9" t="inlineStr">
        <is>
          <t>NS</t>
        </is>
      </c>
      <c r="N1023" s="3" t="inlineStr">
        <is>
          <t>Cold Soldering</t>
        </is>
      </c>
      <c r="O1023" s="3" t="n">
        <v>570</v>
      </c>
      <c r="P1023" s="9" t="inlineStr">
        <is>
          <t>NSMI24060154820</t>
        </is>
      </c>
      <c r="Q1023" s="53">
        <f>MID(P1023,5,2)</f>
        <v/>
      </c>
      <c r="R1023" s="53">
        <f>MID(P1023,7,2)</f>
        <v/>
      </c>
      <c r="S1023" s="3" t="inlineStr">
        <is>
          <t>G2G</t>
        </is>
      </c>
      <c r="T1023" s="3" t="inlineStr">
        <is>
          <t>P4</t>
        </is>
      </c>
      <c r="U1023" s="3" t="inlineStr">
        <is>
          <t>N JB Cold Soldering</t>
        </is>
      </c>
      <c r="V1023" s="3" t="inlineStr">
        <is>
          <t>Soldering</t>
        </is>
      </c>
      <c r="W1023" s="3" t="inlineStr">
        <is>
          <t>Repair</t>
        </is>
      </c>
      <c r="X1023" s="18" t="n">
        <v>46156</v>
      </c>
      <c r="Y1023" s="73">
        <f>IF(X1023="","",X1023-A1023)</f>
        <v/>
      </c>
      <c r="Z1023" s="18" t="n">
        <v>46156</v>
      </c>
      <c r="AA1023" s="15" t="n"/>
      <c r="AB1023" s="15" t="n"/>
      <c r="AF1023">
        <f>IF(AND($F1023="Closed",$X1023&gt;=DATE(2026,5,1),$X1023&lt;=DATE(2026,5,31)),"Closed in May","Other")</f>
        <v/>
      </c>
    </row>
    <row r="1024">
      <c r="A1024" s="6" t="n">
        <v>46107</v>
      </c>
      <c r="B1024" s="3" t="n">
        <v>2026</v>
      </c>
      <c r="C1024" s="3" t="inlineStr">
        <is>
          <t>Blupine Energy</t>
        </is>
      </c>
      <c r="D1024" s="3" t="inlineStr">
        <is>
          <t>Utility and C&amp;I</t>
        </is>
      </c>
      <c r="E1024" s="3" t="n"/>
      <c r="F1024" s="3" t="inlineStr">
        <is>
          <t>Closed</t>
        </is>
      </c>
      <c r="G1024" s="3" t="inlineStr">
        <is>
          <t>Chandrashekar Patidar</t>
        </is>
      </c>
      <c r="H1024" s="3" t="n">
        <v>7879764773</v>
      </c>
      <c r="I1024" s="11" t="inlineStr">
        <is>
          <t>PE26032601</t>
        </is>
      </c>
      <c r="J1024" s="3" t="inlineStr">
        <is>
          <t>Module Diode Failure</t>
        </is>
      </c>
      <c r="K1024" s="3" t="inlineStr">
        <is>
          <t>Sadla</t>
        </is>
      </c>
      <c r="L1024" s="3" t="inlineStr">
        <is>
          <t>Gujarat</t>
        </is>
      </c>
      <c r="M1024" s="9" t="inlineStr">
        <is>
          <t>NS</t>
        </is>
      </c>
      <c r="N1024" s="3" t="inlineStr">
        <is>
          <t>Cold Soldering</t>
        </is>
      </c>
      <c r="O1024" s="3" t="n">
        <v>570</v>
      </c>
      <c r="P1024" s="9" t="inlineStr">
        <is>
          <t>NSMI24060153579</t>
        </is>
      </c>
      <c r="Q1024" s="53">
        <f>MID(P1024,5,2)</f>
        <v/>
      </c>
      <c r="R1024" s="53">
        <f>MID(P1024,7,2)</f>
        <v/>
      </c>
      <c r="S1024" s="3" t="inlineStr">
        <is>
          <t>G2G</t>
        </is>
      </c>
      <c r="T1024" s="3" t="inlineStr">
        <is>
          <t>P4</t>
        </is>
      </c>
      <c r="U1024" s="3" t="inlineStr">
        <is>
          <t>N JB Cold Soldering</t>
        </is>
      </c>
      <c r="V1024" s="3" t="inlineStr">
        <is>
          <t>Soldering</t>
        </is>
      </c>
      <c r="W1024" s="3" t="inlineStr">
        <is>
          <t>Repair</t>
        </is>
      </c>
      <c r="X1024" s="18" t="n">
        <v>46156</v>
      </c>
      <c r="Y1024" s="73">
        <f>IF(X1024="","",X1024-A1024)</f>
        <v/>
      </c>
      <c r="Z1024" s="18" t="n">
        <v>46156</v>
      </c>
      <c r="AA1024" s="15" t="n"/>
      <c r="AB1024" s="15" t="n"/>
      <c r="AF1024">
        <f>IF(AND($F1024="Closed",$X1024&gt;=DATE(2026,5,1),$X1024&lt;=DATE(2026,5,31)),"Closed in May","Other")</f>
        <v/>
      </c>
    </row>
    <row r="1025">
      <c r="A1025" s="6" t="n">
        <v>46107</v>
      </c>
      <c r="B1025" s="3" t="n">
        <v>2026</v>
      </c>
      <c r="C1025" s="3" t="inlineStr">
        <is>
          <t>Blupine Energy</t>
        </is>
      </c>
      <c r="D1025" s="3" t="inlineStr">
        <is>
          <t>Utility and C&amp;I</t>
        </is>
      </c>
      <c r="E1025" s="3" t="n"/>
      <c r="F1025" s="3" t="inlineStr">
        <is>
          <t>Closed</t>
        </is>
      </c>
      <c r="G1025" s="3" t="inlineStr">
        <is>
          <t>Chandrashekar Patidar</t>
        </is>
      </c>
      <c r="H1025" s="3" t="n">
        <v>7879764773</v>
      </c>
      <c r="I1025" s="11" t="inlineStr">
        <is>
          <t>PE26032601</t>
        </is>
      </c>
      <c r="J1025" s="3" t="inlineStr">
        <is>
          <t>Module Diode Failure</t>
        </is>
      </c>
      <c r="K1025" s="3" t="inlineStr">
        <is>
          <t>Sadla</t>
        </is>
      </c>
      <c r="L1025" s="3" t="inlineStr">
        <is>
          <t>Gujarat</t>
        </is>
      </c>
      <c r="M1025" s="9" t="inlineStr">
        <is>
          <t>NS</t>
        </is>
      </c>
      <c r="N1025" s="3" t="inlineStr">
        <is>
          <t>Cold Soldering</t>
        </is>
      </c>
      <c r="O1025" s="3" t="n">
        <v>570</v>
      </c>
      <c r="P1025" s="9" t="inlineStr">
        <is>
          <t>NSMI24060146922</t>
        </is>
      </c>
      <c r="Q1025" s="53">
        <f>MID(P1025,5,2)</f>
        <v/>
      </c>
      <c r="R1025" s="53">
        <f>MID(P1025,7,2)</f>
        <v/>
      </c>
      <c r="S1025" s="3" t="inlineStr">
        <is>
          <t>G2G</t>
        </is>
      </c>
      <c r="T1025" s="3" t="inlineStr">
        <is>
          <t>P4</t>
        </is>
      </c>
      <c r="U1025" s="3" t="inlineStr">
        <is>
          <t>N JB Cold Soldering</t>
        </is>
      </c>
      <c r="V1025" s="3" t="inlineStr">
        <is>
          <t>Soldering</t>
        </is>
      </c>
      <c r="W1025" s="3" t="inlineStr">
        <is>
          <t>Repair</t>
        </is>
      </c>
      <c r="X1025" s="18" t="n">
        <v>46156</v>
      </c>
      <c r="Y1025" s="73">
        <f>IF(X1025="","",X1025-A1025)</f>
        <v/>
      </c>
      <c r="Z1025" s="18" t="n">
        <v>46156</v>
      </c>
      <c r="AA1025" s="15" t="n"/>
      <c r="AB1025" s="15" t="n"/>
      <c r="AF1025">
        <f>IF(AND($F1025="Closed",$X1025&gt;=DATE(2026,5,1),$X1025&lt;=DATE(2026,5,31)),"Closed in May","Other")</f>
        <v/>
      </c>
    </row>
    <row r="1026">
      <c r="A1026" s="6" t="n">
        <v>46107</v>
      </c>
      <c r="B1026" s="3" t="n">
        <v>2026</v>
      </c>
      <c r="C1026" s="3" t="inlineStr">
        <is>
          <t>Blupine Energy</t>
        </is>
      </c>
      <c r="D1026" s="3" t="inlineStr">
        <is>
          <t>Utility and C&amp;I</t>
        </is>
      </c>
      <c r="E1026" s="3" t="n"/>
      <c r="F1026" s="3" t="inlineStr">
        <is>
          <t>Closed</t>
        </is>
      </c>
      <c r="G1026" s="3" t="inlineStr">
        <is>
          <t>Chandrashekar Patidar</t>
        </is>
      </c>
      <c r="H1026" s="3" t="n">
        <v>7879764773</v>
      </c>
      <c r="I1026" s="11" t="inlineStr">
        <is>
          <t>PE26032601</t>
        </is>
      </c>
      <c r="J1026" s="3" t="inlineStr">
        <is>
          <t>Module Diode Failure</t>
        </is>
      </c>
      <c r="K1026" s="3" t="inlineStr">
        <is>
          <t>Sadla</t>
        </is>
      </c>
      <c r="L1026" s="3" t="inlineStr">
        <is>
          <t>Gujarat</t>
        </is>
      </c>
      <c r="M1026" s="9" t="inlineStr">
        <is>
          <t>NR</t>
        </is>
      </c>
      <c r="N1026" s="3" t="inlineStr">
        <is>
          <t>JB Issue</t>
        </is>
      </c>
      <c r="O1026" s="3" t="n">
        <v>570</v>
      </c>
      <c r="P1026" s="9" t="inlineStr">
        <is>
          <t>NSMI24060111081</t>
        </is>
      </c>
      <c r="Q1026" s="53">
        <f>MID(P1026,5,2)</f>
        <v/>
      </c>
      <c r="R1026" s="53">
        <f>MID(P1026,7,2)</f>
        <v/>
      </c>
      <c r="S1026" s="3" t="inlineStr">
        <is>
          <t>G2G</t>
        </is>
      </c>
      <c r="T1026" s="3" t="inlineStr">
        <is>
          <t>P4</t>
        </is>
      </c>
      <c r="U1026" s="3" t="inlineStr">
        <is>
          <t>N JB Issue</t>
        </is>
      </c>
      <c r="V1026" s="3" t="inlineStr">
        <is>
          <t>JB Changed</t>
        </is>
      </c>
      <c r="W1026" s="3" t="inlineStr">
        <is>
          <t>Repair</t>
        </is>
      </c>
      <c r="X1026" s="18" t="n">
        <v>46156</v>
      </c>
      <c r="Y1026" s="73">
        <f>IF(X1026="","",X1026-A1026)</f>
        <v/>
      </c>
      <c r="Z1026" s="18" t="n">
        <v>46156</v>
      </c>
      <c r="AA1026" s="15" t="n"/>
      <c r="AB1026" s="15" t="n"/>
      <c r="AF1026">
        <f>IF(AND($F1026="Closed",$X1026&gt;=DATE(2026,5,1),$X1026&lt;=DATE(2026,5,31)),"Closed in May","Other")</f>
        <v/>
      </c>
    </row>
    <row r="1027">
      <c r="A1027" s="6" t="n">
        <v>46107</v>
      </c>
      <c r="B1027" s="3" t="n">
        <v>2026</v>
      </c>
      <c r="C1027" s="3" t="inlineStr">
        <is>
          <t>Blupine Energy</t>
        </is>
      </c>
      <c r="D1027" s="3" t="inlineStr">
        <is>
          <t>Utility and C&amp;I</t>
        </is>
      </c>
      <c r="E1027" s="3" t="n"/>
      <c r="F1027" s="3" t="inlineStr">
        <is>
          <t>Closed</t>
        </is>
      </c>
      <c r="G1027" s="3" t="inlineStr">
        <is>
          <t>Chandrashekar Patidar</t>
        </is>
      </c>
      <c r="H1027" s="3" t="n">
        <v>7879764773</v>
      </c>
      <c r="I1027" s="11" t="inlineStr">
        <is>
          <t>PE26032601</t>
        </is>
      </c>
      <c r="J1027" s="3" t="inlineStr">
        <is>
          <t>Module Diode Failure</t>
        </is>
      </c>
      <c r="K1027" s="3" t="inlineStr">
        <is>
          <t>Sadla</t>
        </is>
      </c>
      <c r="L1027" s="3" t="inlineStr">
        <is>
          <t>Gujarat</t>
        </is>
      </c>
      <c r="M1027" s="9" t="inlineStr">
        <is>
          <t>NR</t>
        </is>
      </c>
      <c r="N1027" s="3" t="inlineStr">
        <is>
          <t>JB Issue</t>
        </is>
      </c>
      <c r="O1027" s="3" t="n">
        <v>570</v>
      </c>
      <c r="P1027" s="9" t="inlineStr">
        <is>
          <t>NSMI24060091603</t>
        </is>
      </c>
      <c r="Q1027" s="53">
        <f>MID(P1027,5,2)</f>
        <v/>
      </c>
      <c r="R1027" s="53">
        <f>MID(P1027,7,2)</f>
        <v/>
      </c>
      <c r="S1027" s="3" t="inlineStr">
        <is>
          <t>G2G</t>
        </is>
      </c>
      <c r="T1027" s="3" t="inlineStr">
        <is>
          <t>P4</t>
        </is>
      </c>
      <c r="U1027" s="3" t="inlineStr">
        <is>
          <t>N JB Issue</t>
        </is>
      </c>
      <c r="V1027" s="3" t="inlineStr">
        <is>
          <t>JB Changed</t>
        </is>
      </c>
      <c r="W1027" s="3" t="inlineStr">
        <is>
          <t>Repair</t>
        </is>
      </c>
      <c r="X1027" s="18" t="n">
        <v>46156</v>
      </c>
      <c r="Y1027" s="73">
        <f>IF(X1027="","",X1027-A1027)</f>
        <v/>
      </c>
      <c r="Z1027" s="18" t="n">
        <v>46156</v>
      </c>
      <c r="AA1027" s="15" t="n"/>
      <c r="AB1027" s="15" t="n"/>
      <c r="AF1027">
        <f>IF(AND($F1027="Closed",$X1027&gt;=DATE(2026,5,1),$X1027&lt;=DATE(2026,5,31)),"Closed in May","Other")</f>
        <v/>
      </c>
    </row>
    <row r="1028">
      <c r="A1028" s="6" t="n">
        <v>46107</v>
      </c>
      <c r="B1028" s="3" t="n">
        <v>2026</v>
      </c>
      <c r="C1028" s="3" t="inlineStr">
        <is>
          <t>Blupine Energy</t>
        </is>
      </c>
      <c r="D1028" s="3" t="inlineStr">
        <is>
          <t>Utility and C&amp;I</t>
        </is>
      </c>
      <c r="E1028" s="3" t="n"/>
      <c r="F1028" s="3" t="inlineStr">
        <is>
          <t>Closed</t>
        </is>
      </c>
      <c r="G1028" s="3" t="inlineStr">
        <is>
          <t>Chandrashekar Patidar</t>
        </is>
      </c>
      <c r="H1028" s="3" t="n">
        <v>7879764773</v>
      </c>
      <c r="I1028" s="11" t="inlineStr">
        <is>
          <t>PE26032601</t>
        </is>
      </c>
      <c r="J1028" s="3" t="inlineStr">
        <is>
          <t>Module Diode Failure</t>
        </is>
      </c>
      <c r="K1028" s="3" t="inlineStr">
        <is>
          <t>Sadla</t>
        </is>
      </c>
      <c r="L1028" s="3" t="inlineStr">
        <is>
          <t>Gujarat</t>
        </is>
      </c>
      <c r="M1028" s="9" t="inlineStr">
        <is>
          <t>PR</t>
        </is>
      </c>
      <c r="N1028" s="3" t="inlineStr">
        <is>
          <t>JB Issue</t>
        </is>
      </c>
      <c r="O1028" s="3" t="n">
        <v>570</v>
      </c>
      <c r="P1028" s="9" t="inlineStr">
        <is>
          <t>NSMI24060096124</t>
        </is>
      </c>
      <c r="Q1028" s="53">
        <f>MID(P1028,5,2)</f>
        <v/>
      </c>
      <c r="R1028" s="53">
        <f>MID(P1028,7,2)</f>
        <v/>
      </c>
      <c r="S1028" s="3" t="inlineStr">
        <is>
          <t>G2G</t>
        </is>
      </c>
      <c r="T1028" s="3" t="inlineStr">
        <is>
          <t>P4</t>
        </is>
      </c>
      <c r="U1028" s="3" t="inlineStr">
        <is>
          <t>P JB Issue</t>
        </is>
      </c>
      <c r="V1028" s="15" t="inlineStr">
        <is>
          <t>JB Changed</t>
        </is>
      </c>
      <c r="W1028" s="3" t="inlineStr">
        <is>
          <t>Repair</t>
        </is>
      </c>
      <c r="X1028" s="18" t="n">
        <v>46156</v>
      </c>
      <c r="Y1028" s="73">
        <f>IF(X1028="","",X1028-A1028)</f>
        <v/>
      </c>
      <c r="Z1028" s="18" t="n">
        <v>46156</v>
      </c>
      <c r="AA1028" s="15" t="n"/>
      <c r="AB1028" s="15" t="n"/>
      <c r="AF1028">
        <f>IF(AND($F1028="Closed",$X1028&gt;=DATE(2026,5,1),$X1028&lt;=DATE(2026,5,31)),"Closed in May","Other")</f>
        <v/>
      </c>
    </row>
    <row r="1029">
      <c r="A1029" s="37" t="n">
        <v>46143</v>
      </c>
      <c r="B1029" s="3" t="n">
        <v>2026</v>
      </c>
      <c r="C1029" s="26" t="inlineStr">
        <is>
          <t>Yanara Power</t>
        </is>
      </c>
      <c r="D1029" s="3" t="inlineStr">
        <is>
          <t>Utility and C&amp;I</t>
        </is>
      </c>
      <c r="E1029" s="3" t="n"/>
      <c r="F1029" s="3" t="inlineStr">
        <is>
          <t>Closed</t>
        </is>
      </c>
      <c r="G1029" s="9" t="inlineStr">
        <is>
          <t xml:space="preserve">Ashish Jindal </t>
        </is>
      </c>
      <c r="H1029" s="26" t="n">
        <v>9983975581</v>
      </c>
      <c r="I1029" s="38" t="inlineStr">
        <is>
          <t>PE01052601</t>
        </is>
      </c>
      <c r="J1029" s="26" t="inlineStr">
        <is>
          <t>Multiple Issues</t>
        </is>
      </c>
      <c r="K1029" s="39" t="inlineStr">
        <is>
          <t>Holi</t>
        </is>
      </c>
      <c r="L1029" s="39" t="inlineStr">
        <is>
          <t>Maharashtra</t>
        </is>
      </c>
      <c r="M1029" s="9" t="inlineStr">
        <is>
          <t>PS</t>
        </is>
      </c>
      <c r="N1029" s="3" t="inlineStr">
        <is>
          <t>Cold Soldering</t>
        </is>
      </c>
      <c r="O1029" s="39" t="n">
        <v>575</v>
      </c>
      <c r="P1029" s="9" t="inlineStr">
        <is>
          <t>NSMI24070190991</t>
        </is>
      </c>
      <c r="Q1029" s="53">
        <f>MID(P1029,5,2)</f>
        <v/>
      </c>
      <c r="R1029" s="53">
        <f>MID(P1029,7,2)</f>
        <v/>
      </c>
      <c r="S1029" s="3" t="inlineStr">
        <is>
          <t>G2G</t>
        </is>
      </c>
      <c r="T1029" s="3" t="inlineStr">
        <is>
          <t>P4</t>
        </is>
      </c>
      <c r="U1029" s="19" t="inlineStr">
        <is>
          <t>P JB Cold Soldering</t>
        </is>
      </c>
      <c r="V1029" s="19" t="inlineStr">
        <is>
          <t>Soldering</t>
        </is>
      </c>
      <c r="W1029" s="3" t="inlineStr">
        <is>
          <t>Repair</t>
        </is>
      </c>
      <c r="X1029" s="18" t="n">
        <v>46156</v>
      </c>
      <c r="Y1029" s="73">
        <f>IF(X1029="","",X1029-A1029)</f>
        <v/>
      </c>
      <c r="Z1029" s="18" t="n">
        <v>46156</v>
      </c>
      <c r="AA1029" s="15" t="n"/>
      <c r="AB1029" s="15" t="n"/>
      <c r="AF1029">
        <f>IF(AND($F1029="Closed",$X1029&gt;=DATE(2026,5,1),$X1029&lt;=DATE(2026,5,31)),"Closed in May","Other")</f>
        <v/>
      </c>
    </row>
    <row r="1030">
      <c r="A1030" s="37" t="n">
        <v>46143</v>
      </c>
      <c r="B1030" s="3" t="n">
        <v>2026</v>
      </c>
      <c r="C1030" s="26" t="inlineStr">
        <is>
          <t>Yanara Power</t>
        </is>
      </c>
      <c r="D1030" s="3" t="inlineStr">
        <is>
          <t>Utility and C&amp;I</t>
        </is>
      </c>
      <c r="E1030" s="3" t="n"/>
      <c r="F1030" s="3" t="inlineStr">
        <is>
          <t>Closed</t>
        </is>
      </c>
      <c r="G1030" s="9" t="inlineStr">
        <is>
          <t xml:space="preserve">Ashish Jindal </t>
        </is>
      </c>
      <c r="H1030" s="26" t="n">
        <v>9983975581</v>
      </c>
      <c r="I1030" s="38" t="inlineStr">
        <is>
          <t>PE01052601</t>
        </is>
      </c>
      <c r="J1030" s="26" t="inlineStr">
        <is>
          <t>Multiple Issues</t>
        </is>
      </c>
      <c r="K1030" s="39" t="inlineStr">
        <is>
          <t>Holi</t>
        </is>
      </c>
      <c r="L1030" s="39" t="inlineStr">
        <is>
          <t>Maharashtra</t>
        </is>
      </c>
      <c r="M1030" s="9" t="inlineStr">
        <is>
          <t>PS</t>
        </is>
      </c>
      <c r="N1030" s="3" t="inlineStr">
        <is>
          <t>Cold Soldering</t>
        </is>
      </c>
      <c r="O1030" s="39" t="n">
        <v>575</v>
      </c>
      <c r="P1030" s="9" t="inlineStr">
        <is>
          <t>NSMI24070190960</t>
        </is>
      </c>
      <c r="Q1030" s="53">
        <f>MID(P1030,5,2)</f>
        <v/>
      </c>
      <c r="R1030" s="53">
        <f>MID(P1030,7,2)</f>
        <v/>
      </c>
      <c r="S1030" s="3" t="inlineStr">
        <is>
          <t>G2G</t>
        </is>
      </c>
      <c r="T1030" s="3" t="inlineStr">
        <is>
          <t>P4</t>
        </is>
      </c>
      <c r="U1030" s="19" t="inlineStr">
        <is>
          <t>P JB Cold Soldering</t>
        </is>
      </c>
      <c r="V1030" s="19" t="inlineStr">
        <is>
          <t>Soldering</t>
        </is>
      </c>
      <c r="W1030" s="3" t="inlineStr">
        <is>
          <t>Repair</t>
        </is>
      </c>
      <c r="X1030" s="18" t="n">
        <v>46156</v>
      </c>
      <c r="Y1030" s="73">
        <f>IF(X1030="","",X1030-A1030)</f>
        <v/>
      </c>
      <c r="Z1030" s="18" t="n">
        <v>46156</v>
      </c>
      <c r="AA1030" s="15" t="n"/>
      <c r="AB1030" s="15" t="n"/>
      <c r="AF1030">
        <f>IF(AND($F1030="Closed",$X1030&gt;=DATE(2026,5,1),$X1030&lt;=DATE(2026,5,31)),"Closed in May","Other")</f>
        <v/>
      </c>
    </row>
    <row r="1031">
      <c r="A1031" s="37" t="n">
        <v>46143</v>
      </c>
      <c r="B1031" s="3" t="n">
        <v>2026</v>
      </c>
      <c r="C1031" s="26" t="inlineStr">
        <is>
          <t>Yanara Power</t>
        </is>
      </c>
      <c r="D1031" s="3" t="inlineStr">
        <is>
          <t>Utility and C&amp;I</t>
        </is>
      </c>
      <c r="E1031" s="3" t="n"/>
      <c r="F1031" s="3" t="inlineStr">
        <is>
          <t>Closed</t>
        </is>
      </c>
      <c r="G1031" s="9" t="inlineStr">
        <is>
          <t xml:space="preserve">Ashish Jindal </t>
        </is>
      </c>
      <c r="H1031" s="26" t="n">
        <v>9983975581</v>
      </c>
      <c r="I1031" s="38" t="inlineStr">
        <is>
          <t>PE01052601</t>
        </is>
      </c>
      <c r="J1031" s="26" t="inlineStr">
        <is>
          <t>Multiple Issues</t>
        </is>
      </c>
      <c r="K1031" s="39" t="inlineStr">
        <is>
          <t>Holi</t>
        </is>
      </c>
      <c r="L1031" s="39" t="inlineStr">
        <is>
          <t>Maharashtra</t>
        </is>
      </c>
      <c r="M1031" s="9" t="inlineStr">
        <is>
          <t>PS</t>
        </is>
      </c>
      <c r="N1031" s="3" t="inlineStr">
        <is>
          <t>Cold Soldering</t>
        </is>
      </c>
      <c r="O1031" s="39" t="n">
        <v>575</v>
      </c>
      <c r="P1031" s="9" t="inlineStr">
        <is>
          <t>NSMI24070192743</t>
        </is>
      </c>
      <c r="Q1031" s="53">
        <f>MID(P1031,5,2)</f>
        <v/>
      </c>
      <c r="R1031" s="53">
        <f>MID(P1031,7,2)</f>
        <v/>
      </c>
      <c r="S1031" s="3" t="inlineStr">
        <is>
          <t>G2G</t>
        </is>
      </c>
      <c r="T1031" s="3" t="inlineStr">
        <is>
          <t>P4</t>
        </is>
      </c>
      <c r="U1031" s="19" t="inlineStr">
        <is>
          <t>P JB Cold Soldering</t>
        </is>
      </c>
      <c r="V1031" s="19" t="inlineStr">
        <is>
          <t>Soldering</t>
        </is>
      </c>
      <c r="W1031" s="3" t="inlineStr">
        <is>
          <t>Repair</t>
        </is>
      </c>
      <c r="X1031" s="18" t="n">
        <v>46156</v>
      </c>
      <c r="Y1031" s="73">
        <f>IF(X1031="","",X1031-A1031)</f>
        <v/>
      </c>
      <c r="Z1031" s="18" t="n">
        <v>46156</v>
      </c>
      <c r="AA1031" s="15" t="n"/>
      <c r="AB1031" s="15" t="n"/>
      <c r="AF1031">
        <f>IF(AND($F1031="Closed",$X1031&gt;=DATE(2026,5,1),$X1031&lt;=DATE(2026,5,31)),"Closed in May","Other")</f>
        <v/>
      </c>
    </row>
    <row r="1032">
      <c r="A1032" s="37" t="n">
        <v>46143</v>
      </c>
      <c r="B1032" s="3" t="n">
        <v>2026</v>
      </c>
      <c r="C1032" s="26" t="inlineStr">
        <is>
          <t>Yanara Power</t>
        </is>
      </c>
      <c r="D1032" s="3" t="inlineStr">
        <is>
          <t>Utility and C&amp;I</t>
        </is>
      </c>
      <c r="E1032" s="3" t="n"/>
      <c r="F1032" s="3" t="inlineStr">
        <is>
          <t>Closed</t>
        </is>
      </c>
      <c r="G1032" s="9" t="inlineStr">
        <is>
          <t xml:space="preserve">Ashish Jindal </t>
        </is>
      </c>
      <c r="H1032" s="26" t="n">
        <v>9983975581</v>
      </c>
      <c r="I1032" s="38" t="inlineStr">
        <is>
          <t>PE01052601</t>
        </is>
      </c>
      <c r="J1032" s="26" t="inlineStr">
        <is>
          <t>Multiple Issues</t>
        </is>
      </c>
      <c r="K1032" s="39" t="inlineStr">
        <is>
          <t>Holi</t>
        </is>
      </c>
      <c r="L1032" s="39" t="inlineStr">
        <is>
          <t>Maharashtra</t>
        </is>
      </c>
      <c r="M1032" s="9" t="inlineStr">
        <is>
          <t>NS</t>
        </is>
      </c>
      <c r="N1032" s="3" t="inlineStr">
        <is>
          <t>Cold Soldering</t>
        </is>
      </c>
      <c r="O1032" s="39" t="n">
        <v>575</v>
      </c>
      <c r="P1032" s="9" t="inlineStr">
        <is>
          <t>NSMI24070202809</t>
        </is>
      </c>
      <c r="Q1032" s="53">
        <f>MID(P1032,5,2)</f>
        <v/>
      </c>
      <c r="R1032" s="53">
        <f>MID(P1032,7,2)</f>
        <v/>
      </c>
      <c r="S1032" s="3" t="inlineStr">
        <is>
          <t>G2G</t>
        </is>
      </c>
      <c r="T1032" s="3" t="inlineStr">
        <is>
          <t>P4</t>
        </is>
      </c>
      <c r="U1032" s="3" t="inlineStr">
        <is>
          <t>N JB Cold Soldering</t>
        </is>
      </c>
      <c r="V1032" s="3" t="inlineStr">
        <is>
          <t>Soldering</t>
        </is>
      </c>
      <c r="W1032" s="3" t="inlineStr">
        <is>
          <t>Repair</t>
        </is>
      </c>
      <c r="X1032" s="18" t="n">
        <v>46156</v>
      </c>
      <c r="Y1032" s="73">
        <f>IF(X1032="","",X1032-A1032)</f>
        <v/>
      </c>
      <c r="Z1032" s="18" t="n">
        <v>46156</v>
      </c>
      <c r="AA1032" s="15" t="n"/>
      <c r="AB1032" s="15" t="n"/>
      <c r="AF1032">
        <f>IF(AND($F1032="Closed",$X1032&gt;=DATE(2026,5,1),$X1032&lt;=DATE(2026,5,31)),"Closed in May","Other")</f>
        <v/>
      </c>
    </row>
    <row r="1033">
      <c r="A1033" s="37" t="n">
        <v>46143</v>
      </c>
      <c r="B1033" s="3" t="n">
        <v>2026</v>
      </c>
      <c r="C1033" s="26" t="inlineStr">
        <is>
          <t>Yanara Power</t>
        </is>
      </c>
      <c r="D1033" s="3" t="inlineStr">
        <is>
          <t>Utility and C&amp;I</t>
        </is>
      </c>
      <c r="E1033" s="3" t="n"/>
      <c r="F1033" s="3" t="inlineStr">
        <is>
          <t>Closed</t>
        </is>
      </c>
      <c r="G1033" s="9" t="inlineStr">
        <is>
          <t xml:space="preserve">Ashish Jindal </t>
        </is>
      </c>
      <c r="H1033" s="26" t="n">
        <v>9983975581</v>
      </c>
      <c r="I1033" s="38" t="inlineStr">
        <is>
          <t>PE01052601</t>
        </is>
      </c>
      <c r="J1033" s="26" t="inlineStr">
        <is>
          <t>Multiple Issues</t>
        </is>
      </c>
      <c r="K1033" s="39" t="inlineStr">
        <is>
          <t>Holi</t>
        </is>
      </c>
      <c r="L1033" s="39" t="inlineStr">
        <is>
          <t>Maharashtra</t>
        </is>
      </c>
      <c r="M1033" s="9" t="inlineStr">
        <is>
          <t>PS</t>
        </is>
      </c>
      <c r="N1033" s="3" t="inlineStr">
        <is>
          <t>Cold Soldering</t>
        </is>
      </c>
      <c r="O1033" s="39" t="n">
        <v>575</v>
      </c>
      <c r="P1033" s="9" t="inlineStr">
        <is>
          <t>NSMI24070178355</t>
        </is>
      </c>
      <c r="Q1033" s="53">
        <f>MID(P1033,5,2)</f>
        <v/>
      </c>
      <c r="R1033" s="53">
        <f>MID(P1033,7,2)</f>
        <v/>
      </c>
      <c r="S1033" s="3" t="inlineStr">
        <is>
          <t>G2G</t>
        </is>
      </c>
      <c r="T1033" s="3" t="inlineStr">
        <is>
          <t>P4</t>
        </is>
      </c>
      <c r="U1033" s="19" t="inlineStr">
        <is>
          <t>P JB Cold Soldering</t>
        </is>
      </c>
      <c r="V1033" s="19" t="inlineStr">
        <is>
          <t>Soldering</t>
        </is>
      </c>
      <c r="W1033" s="3" t="inlineStr">
        <is>
          <t>Repair</t>
        </is>
      </c>
      <c r="X1033" s="18" t="n">
        <v>46156</v>
      </c>
      <c r="Y1033" s="73">
        <f>IF(X1033="","",X1033-A1033)</f>
        <v/>
      </c>
      <c r="Z1033" s="18" t="n">
        <v>46156</v>
      </c>
      <c r="AA1033" s="15" t="n"/>
      <c r="AB1033" s="15" t="n"/>
      <c r="AF1033">
        <f>IF(AND($F1033="Closed",$X1033&gt;=DATE(2026,5,1),$X1033&lt;=DATE(2026,5,31)),"Closed in May","Other")</f>
        <v/>
      </c>
    </row>
    <row r="1034">
      <c r="A1034" s="37" t="n">
        <v>46143</v>
      </c>
      <c r="B1034" s="3" t="n">
        <v>2026</v>
      </c>
      <c r="C1034" s="26" t="inlineStr">
        <is>
          <t>Yanara Power</t>
        </is>
      </c>
      <c r="D1034" s="3" t="inlineStr">
        <is>
          <t>Utility and C&amp;I</t>
        </is>
      </c>
      <c r="E1034" s="3" t="n"/>
      <c r="F1034" s="3" t="inlineStr">
        <is>
          <t>Closed</t>
        </is>
      </c>
      <c r="G1034" s="9" t="inlineStr">
        <is>
          <t xml:space="preserve">Ashish Jindal </t>
        </is>
      </c>
      <c r="H1034" s="26" t="n">
        <v>9983975581</v>
      </c>
      <c r="I1034" s="38" t="inlineStr">
        <is>
          <t>PE01052601</t>
        </is>
      </c>
      <c r="J1034" s="26" t="inlineStr">
        <is>
          <t>Multiple Issues</t>
        </is>
      </c>
      <c r="K1034" s="39" t="inlineStr">
        <is>
          <t>Holi</t>
        </is>
      </c>
      <c r="L1034" s="39" t="inlineStr">
        <is>
          <t>Maharashtra</t>
        </is>
      </c>
      <c r="M1034" s="9" t="inlineStr">
        <is>
          <t>PS</t>
        </is>
      </c>
      <c r="N1034" s="3" t="inlineStr">
        <is>
          <t>Cold Soldering</t>
        </is>
      </c>
      <c r="O1034" s="39" t="n">
        <v>575</v>
      </c>
      <c r="P1034" s="9" t="inlineStr">
        <is>
          <t>NSMI24070183640</t>
        </is>
      </c>
      <c r="Q1034" s="53">
        <f>MID(P1034,5,2)</f>
        <v/>
      </c>
      <c r="R1034" s="53">
        <f>MID(P1034,7,2)</f>
        <v/>
      </c>
      <c r="S1034" s="3" t="inlineStr">
        <is>
          <t>G2G</t>
        </is>
      </c>
      <c r="T1034" s="3" t="inlineStr">
        <is>
          <t>P4</t>
        </is>
      </c>
      <c r="U1034" s="19" t="inlineStr">
        <is>
          <t>P JB Cold Soldering</t>
        </is>
      </c>
      <c r="V1034" s="19" t="inlineStr">
        <is>
          <t>Soldering</t>
        </is>
      </c>
      <c r="W1034" s="3" t="inlineStr">
        <is>
          <t>Repair</t>
        </is>
      </c>
      <c r="X1034" s="18" t="n">
        <v>46156</v>
      </c>
      <c r="Y1034" s="73">
        <f>IF(X1034="","",X1034-A1034)</f>
        <v/>
      </c>
      <c r="Z1034" s="18" t="n">
        <v>46156</v>
      </c>
      <c r="AA1034" s="15" t="n"/>
      <c r="AB1034" s="15" t="n"/>
      <c r="AF1034">
        <f>IF(AND($F1034="Closed",$X1034&gt;=DATE(2026,5,1),$X1034&lt;=DATE(2026,5,31)),"Closed in May","Other")</f>
        <v/>
      </c>
    </row>
    <row r="1035">
      <c r="A1035" s="37" t="n">
        <v>46143</v>
      </c>
      <c r="B1035" s="3" t="n">
        <v>2026</v>
      </c>
      <c r="C1035" s="26" t="inlineStr">
        <is>
          <t>Yanara Power</t>
        </is>
      </c>
      <c r="D1035" s="3" t="inlineStr">
        <is>
          <t>Utility and C&amp;I</t>
        </is>
      </c>
      <c r="E1035" s="3" t="n"/>
      <c r="F1035" s="3" t="inlineStr">
        <is>
          <t>Closed</t>
        </is>
      </c>
      <c r="G1035" s="9" t="inlineStr">
        <is>
          <t xml:space="preserve">Ashish Jindal </t>
        </is>
      </c>
      <c r="H1035" s="26" t="n">
        <v>9983975581</v>
      </c>
      <c r="I1035" s="38" t="inlineStr">
        <is>
          <t>PE01052601</t>
        </is>
      </c>
      <c r="J1035" s="26" t="inlineStr">
        <is>
          <t>Multiple Issues</t>
        </is>
      </c>
      <c r="K1035" s="39" t="inlineStr">
        <is>
          <t>Holi</t>
        </is>
      </c>
      <c r="L1035" s="39" t="inlineStr">
        <is>
          <t>Maharashtra</t>
        </is>
      </c>
      <c r="M1035" s="9" t="inlineStr">
        <is>
          <t>PS</t>
        </is>
      </c>
      <c r="N1035" s="3" t="inlineStr">
        <is>
          <t>Cold Soldering</t>
        </is>
      </c>
      <c r="O1035" s="39" t="n">
        <v>575</v>
      </c>
      <c r="P1035" s="9" t="inlineStr">
        <is>
          <t>NSMI24070183582</t>
        </is>
      </c>
      <c r="Q1035" s="53">
        <f>MID(P1035,5,2)</f>
        <v/>
      </c>
      <c r="R1035" s="53">
        <f>MID(P1035,7,2)</f>
        <v/>
      </c>
      <c r="S1035" s="3" t="inlineStr">
        <is>
          <t>G2G</t>
        </is>
      </c>
      <c r="T1035" s="3" t="inlineStr">
        <is>
          <t>P4</t>
        </is>
      </c>
      <c r="U1035" s="19" t="inlineStr">
        <is>
          <t>P JB Cold Soldering</t>
        </is>
      </c>
      <c r="V1035" s="19" t="inlineStr">
        <is>
          <t>Soldering</t>
        </is>
      </c>
      <c r="W1035" s="3" t="inlineStr">
        <is>
          <t>Repair</t>
        </is>
      </c>
      <c r="X1035" s="18" t="n">
        <v>46156</v>
      </c>
      <c r="Y1035" s="73">
        <f>IF(X1035="","",X1035-A1035)</f>
        <v/>
      </c>
      <c r="Z1035" s="18" t="n">
        <v>46156</v>
      </c>
      <c r="AA1035" s="15" t="n"/>
      <c r="AB1035" s="15" t="n"/>
      <c r="AF1035">
        <f>IF(AND($F1035="Closed",$X1035&gt;=DATE(2026,5,1),$X1035&lt;=DATE(2026,5,31)),"Closed in May","Other")</f>
        <v/>
      </c>
    </row>
    <row r="1036">
      <c r="A1036" s="37" t="n">
        <v>46143</v>
      </c>
      <c r="B1036" s="3" t="n">
        <v>2026</v>
      </c>
      <c r="C1036" s="26" t="inlineStr">
        <is>
          <t>Yanara Power</t>
        </is>
      </c>
      <c r="D1036" s="3" t="inlineStr">
        <is>
          <t>Utility and C&amp;I</t>
        </is>
      </c>
      <c r="E1036" s="3" t="n"/>
      <c r="F1036" s="3" t="inlineStr">
        <is>
          <t>Closed</t>
        </is>
      </c>
      <c r="G1036" s="9" t="inlineStr">
        <is>
          <t xml:space="preserve">Ashish Jindal </t>
        </is>
      </c>
      <c r="H1036" s="26" t="n">
        <v>9983975581</v>
      </c>
      <c r="I1036" s="38" t="inlineStr">
        <is>
          <t>PE01052601</t>
        </is>
      </c>
      <c r="J1036" s="26" t="inlineStr">
        <is>
          <t>Multiple Issues</t>
        </is>
      </c>
      <c r="K1036" s="39" t="inlineStr">
        <is>
          <t>Holi</t>
        </is>
      </c>
      <c r="L1036" s="39" t="inlineStr">
        <is>
          <t>Maharashtra</t>
        </is>
      </c>
      <c r="M1036" s="9" t="inlineStr">
        <is>
          <t>PS</t>
        </is>
      </c>
      <c r="N1036" s="3" t="inlineStr">
        <is>
          <t>Cold Soldering</t>
        </is>
      </c>
      <c r="O1036" s="39" t="n">
        <v>575</v>
      </c>
      <c r="P1036" s="9" t="inlineStr">
        <is>
          <t>NSMI24070196194</t>
        </is>
      </c>
      <c r="Q1036" s="53">
        <f>MID(P1036,5,2)</f>
        <v/>
      </c>
      <c r="R1036" s="53">
        <f>MID(P1036,7,2)</f>
        <v/>
      </c>
      <c r="S1036" s="3" t="inlineStr">
        <is>
          <t>G2G</t>
        </is>
      </c>
      <c r="T1036" s="3" t="inlineStr">
        <is>
          <t>P4</t>
        </is>
      </c>
      <c r="U1036" s="19" t="inlineStr">
        <is>
          <t>P JB Cold Soldering</t>
        </is>
      </c>
      <c r="V1036" s="19" t="inlineStr">
        <is>
          <t>Soldering</t>
        </is>
      </c>
      <c r="W1036" s="3" t="inlineStr">
        <is>
          <t>Repair</t>
        </is>
      </c>
      <c r="X1036" s="18" t="n">
        <v>46156</v>
      </c>
      <c r="Y1036" s="73">
        <f>IF(X1036="","",X1036-A1036)</f>
        <v/>
      </c>
      <c r="Z1036" s="18" t="n">
        <v>46156</v>
      </c>
      <c r="AA1036" s="15" t="n"/>
      <c r="AB1036" s="15" t="n"/>
      <c r="AF1036">
        <f>IF(AND($F1036="Closed",$X1036&gt;=DATE(2026,5,1),$X1036&lt;=DATE(2026,5,31)),"Closed in May","Other")</f>
        <v/>
      </c>
    </row>
    <row r="1037">
      <c r="A1037" s="37" t="n">
        <v>46143</v>
      </c>
      <c r="B1037" s="3" t="n">
        <v>2026</v>
      </c>
      <c r="C1037" s="26" t="inlineStr">
        <is>
          <t>Yanara Power</t>
        </is>
      </c>
      <c r="D1037" s="3" t="inlineStr">
        <is>
          <t>Utility and C&amp;I</t>
        </is>
      </c>
      <c r="E1037" s="3" t="n"/>
      <c r="F1037" s="3" t="inlineStr">
        <is>
          <t>Closed</t>
        </is>
      </c>
      <c r="G1037" s="9" t="inlineStr">
        <is>
          <t xml:space="preserve">Ashish Jindal </t>
        </is>
      </c>
      <c r="H1037" s="26" t="n">
        <v>9983975581</v>
      </c>
      <c r="I1037" s="38" t="inlineStr">
        <is>
          <t>PE01052601</t>
        </is>
      </c>
      <c r="J1037" s="26" t="inlineStr">
        <is>
          <t>Multiple Issues</t>
        </is>
      </c>
      <c r="K1037" s="39" t="inlineStr">
        <is>
          <t>Holi</t>
        </is>
      </c>
      <c r="L1037" s="39" t="inlineStr">
        <is>
          <t>Maharashtra</t>
        </is>
      </c>
      <c r="M1037" s="9" t="inlineStr">
        <is>
          <t>NS</t>
        </is>
      </c>
      <c r="N1037" s="3" t="inlineStr">
        <is>
          <t>Cold Soldering</t>
        </is>
      </c>
      <c r="O1037" s="39" t="n">
        <v>575</v>
      </c>
      <c r="P1037" s="9" t="inlineStr">
        <is>
          <t>NSMI24070183695</t>
        </is>
      </c>
      <c r="Q1037" s="53">
        <f>MID(P1037,5,2)</f>
        <v/>
      </c>
      <c r="R1037" s="53">
        <f>MID(P1037,7,2)</f>
        <v/>
      </c>
      <c r="S1037" s="3" t="inlineStr">
        <is>
          <t>G2G</t>
        </is>
      </c>
      <c r="T1037" s="3" t="inlineStr">
        <is>
          <t>P4</t>
        </is>
      </c>
      <c r="U1037" s="3" t="inlineStr">
        <is>
          <t>N JB Cold Soldering</t>
        </is>
      </c>
      <c r="V1037" s="3" t="inlineStr">
        <is>
          <t>Soldering</t>
        </is>
      </c>
      <c r="W1037" s="3" t="inlineStr">
        <is>
          <t>Repair</t>
        </is>
      </c>
      <c r="X1037" s="18" t="n">
        <v>46156</v>
      </c>
      <c r="Y1037" s="73">
        <f>IF(X1037="","",X1037-A1037)</f>
        <v/>
      </c>
      <c r="Z1037" s="18" t="n">
        <v>46156</v>
      </c>
      <c r="AA1037" s="15" t="n"/>
      <c r="AB1037" s="15" t="n"/>
      <c r="AF1037">
        <f>IF(AND($F1037="Closed",$X1037&gt;=DATE(2026,5,1),$X1037&lt;=DATE(2026,5,31)),"Closed in May","Other")</f>
        <v/>
      </c>
    </row>
    <row r="1038">
      <c r="A1038" s="37" t="n">
        <v>46143</v>
      </c>
      <c r="B1038" s="3" t="n">
        <v>2026</v>
      </c>
      <c r="C1038" s="26" t="inlineStr">
        <is>
          <t>Yanara Power</t>
        </is>
      </c>
      <c r="D1038" s="3" t="inlineStr">
        <is>
          <t>Utility and C&amp;I</t>
        </is>
      </c>
      <c r="E1038" s="3" t="n"/>
      <c r="F1038" s="3" t="inlineStr">
        <is>
          <t>Closed</t>
        </is>
      </c>
      <c r="G1038" s="9" t="inlineStr">
        <is>
          <t xml:space="preserve">Ashish Jindal </t>
        </is>
      </c>
      <c r="H1038" s="26" t="n">
        <v>9983975581</v>
      </c>
      <c r="I1038" s="38" t="inlineStr">
        <is>
          <t>PE01052601</t>
        </is>
      </c>
      <c r="J1038" s="26" t="inlineStr">
        <is>
          <t>Multiple Issues</t>
        </is>
      </c>
      <c r="K1038" s="39" t="inlineStr">
        <is>
          <t>Holi</t>
        </is>
      </c>
      <c r="L1038" s="39" t="inlineStr">
        <is>
          <t>Maharashtra</t>
        </is>
      </c>
      <c r="M1038" s="9" t="inlineStr">
        <is>
          <t>PR</t>
        </is>
      </c>
      <c r="N1038" s="3" t="inlineStr">
        <is>
          <t>JB Issue</t>
        </is>
      </c>
      <c r="O1038" s="39" t="n">
        <v>575</v>
      </c>
      <c r="P1038" s="9" t="inlineStr">
        <is>
          <t>NSMI24070200315</t>
        </is>
      </c>
      <c r="Q1038" s="53">
        <f>MID(P1038,5,2)</f>
        <v/>
      </c>
      <c r="R1038" s="53">
        <f>MID(P1038,7,2)</f>
        <v/>
      </c>
      <c r="S1038" s="3" t="inlineStr">
        <is>
          <t>G2G</t>
        </is>
      </c>
      <c r="T1038" s="3" t="inlineStr">
        <is>
          <t>P4</t>
        </is>
      </c>
      <c r="U1038" s="3" t="inlineStr">
        <is>
          <t>P JB Issue</t>
        </is>
      </c>
      <c r="V1038" s="15" t="inlineStr">
        <is>
          <t>JB Changed</t>
        </is>
      </c>
      <c r="W1038" s="3" t="inlineStr">
        <is>
          <t>Repair</t>
        </is>
      </c>
      <c r="X1038" s="18" t="n">
        <v>46156</v>
      </c>
      <c r="Y1038" s="73">
        <f>IF(X1038="","",X1038-A1038)</f>
        <v/>
      </c>
      <c r="Z1038" s="18" t="n">
        <v>46156</v>
      </c>
      <c r="AA1038" s="15" t="n"/>
      <c r="AB1038" s="15" t="n"/>
      <c r="AF1038">
        <f>IF(AND($F1038="Closed",$X1038&gt;=DATE(2026,5,1),$X1038&lt;=DATE(2026,5,31)),"Closed in May","Other")</f>
        <v/>
      </c>
    </row>
    <row r="1039">
      <c r="A1039" s="37" t="n">
        <v>46143</v>
      </c>
      <c r="B1039" s="3" t="n">
        <v>2026</v>
      </c>
      <c r="C1039" s="26" t="inlineStr">
        <is>
          <t>Yanara Power</t>
        </is>
      </c>
      <c r="D1039" s="3" t="inlineStr">
        <is>
          <t>Utility and C&amp;I</t>
        </is>
      </c>
      <c r="E1039" s="3" t="n"/>
      <c r="F1039" s="3" t="inlineStr">
        <is>
          <t>Closed</t>
        </is>
      </c>
      <c r="G1039" s="9" t="inlineStr">
        <is>
          <t xml:space="preserve">Ashish Jindal </t>
        </is>
      </c>
      <c r="H1039" s="26" t="n">
        <v>9983975581</v>
      </c>
      <c r="I1039" s="38" t="inlineStr">
        <is>
          <t>PE01052601</t>
        </is>
      </c>
      <c r="J1039" s="26" t="inlineStr">
        <is>
          <t>Multiple Issues</t>
        </is>
      </c>
      <c r="K1039" s="39" t="inlineStr">
        <is>
          <t>Holi</t>
        </is>
      </c>
      <c r="L1039" s="39" t="inlineStr">
        <is>
          <t>Maharashtra</t>
        </is>
      </c>
      <c r="M1039" s="9" t="inlineStr">
        <is>
          <t>PR</t>
        </is>
      </c>
      <c r="N1039" s="3" t="inlineStr">
        <is>
          <t>JB Issue</t>
        </is>
      </c>
      <c r="O1039" s="39" t="n">
        <v>575</v>
      </c>
      <c r="P1039" s="9" t="inlineStr">
        <is>
          <t>NSMI24070200312</t>
        </is>
      </c>
      <c r="Q1039" s="53">
        <f>MID(P1039,5,2)</f>
        <v/>
      </c>
      <c r="R1039" s="53">
        <f>MID(P1039,7,2)</f>
        <v/>
      </c>
      <c r="S1039" s="3" t="inlineStr">
        <is>
          <t>G2G</t>
        </is>
      </c>
      <c r="T1039" s="3" t="inlineStr">
        <is>
          <t>P4</t>
        </is>
      </c>
      <c r="U1039" s="3" t="inlineStr">
        <is>
          <t>P JB Issue</t>
        </is>
      </c>
      <c r="V1039" s="15" t="inlineStr">
        <is>
          <t>JB Changed</t>
        </is>
      </c>
      <c r="W1039" s="3" t="inlineStr">
        <is>
          <t>Repair</t>
        </is>
      </c>
      <c r="X1039" s="18" t="n">
        <v>46156</v>
      </c>
      <c r="Y1039" s="73">
        <f>IF(X1039="","",X1039-A1039)</f>
        <v/>
      </c>
      <c r="Z1039" s="18" t="n">
        <v>46156</v>
      </c>
      <c r="AA1039" s="15" t="n"/>
      <c r="AB1039" s="15" t="n"/>
      <c r="AF1039">
        <f>IF(AND($F1039="Closed",$X1039&gt;=DATE(2026,5,1),$X1039&lt;=DATE(2026,5,31)),"Closed in May","Other")</f>
        <v/>
      </c>
    </row>
    <row r="1040">
      <c r="A1040" s="37" t="n">
        <v>46143</v>
      </c>
      <c r="B1040" s="3" t="n">
        <v>2026</v>
      </c>
      <c r="C1040" s="26" t="inlineStr">
        <is>
          <t>Yanara Power</t>
        </is>
      </c>
      <c r="D1040" s="3" t="inlineStr">
        <is>
          <t>Utility and C&amp;I</t>
        </is>
      </c>
      <c r="E1040" s="3" t="n"/>
      <c r="F1040" s="3" t="inlineStr">
        <is>
          <t>Closed</t>
        </is>
      </c>
      <c r="G1040" s="9" t="inlineStr">
        <is>
          <t xml:space="preserve">Ashish Jindal </t>
        </is>
      </c>
      <c r="H1040" s="26" t="n">
        <v>9983975581</v>
      </c>
      <c r="I1040" s="38" t="inlineStr">
        <is>
          <t>PE01052601</t>
        </is>
      </c>
      <c r="J1040" s="26" t="inlineStr">
        <is>
          <t>Multiple Issues</t>
        </is>
      </c>
      <c r="K1040" s="39" t="inlineStr">
        <is>
          <t>Holi</t>
        </is>
      </c>
      <c r="L1040" s="39" t="inlineStr">
        <is>
          <t>Maharashtra</t>
        </is>
      </c>
      <c r="M1040" s="9" t="inlineStr">
        <is>
          <t>NS</t>
        </is>
      </c>
      <c r="N1040" s="3" t="inlineStr">
        <is>
          <t>Cold Soldering</t>
        </is>
      </c>
      <c r="O1040" s="39" t="n">
        <v>575</v>
      </c>
      <c r="P1040" s="9" t="inlineStr">
        <is>
          <t>NSMI24070200182</t>
        </is>
      </c>
      <c r="Q1040" s="53">
        <f>MID(P1040,5,2)</f>
        <v/>
      </c>
      <c r="R1040" s="53">
        <f>MID(P1040,7,2)</f>
        <v/>
      </c>
      <c r="S1040" s="3" t="inlineStr">
        <is>
          <t>G2G</t>
        </is>
      </c>
      <c r="T1040" s="3" t="inlineStr">
        <is>
          <t>P4</t>
        </is>
      </c>
      <c r="U1040" s="3" t="inlineStr">
        <is>
          <t>N JB Cold Soldering</t>
        </is>
      </c>
      <c r="V1040" s="3" t="inlineStr">
        <is>
          <t>Soldering</t>
        </is>
      </c>
      <c r="W1040" s="3" t="inlineStr">
        <is>
          <t>Repair</t>
        </is>
      </c>
      <c r="X1040" s="18" t="n">
        <v>46156</v>
      </c>
      <c r="Y1040" s="73">
        <f>IF(X1040="","",X1040-A1040)</f>
        <v/>
      </c>
      <c r="Z1040" s="18" t="n">
        <v>46156</v>
      </c>
      <c r="AA1040" s="15" t="n"/>
      <c r="AB1040" s="15" t="n"/>
      <c r="AF1040">
        <f>IF(AND($F1040="Closed",$X1040&gt;=DATE(2026,5,1),$X1040&lt;=DATE(2026,5,31)),"Closed in May","Other")</f>
        <v/>
      </c>
    </row>
    <row r="1041">
      <c r="A1041" s="37" t="n">
        <v>46143</v>
      </c>
      <c r="B1041" s="3" t="n">
        <v>2026</v>
      </c>
      <c r="C1041" s="26" t="inlineStr">
        <is>
          <t>Yanara Power</t>
        </is>
      </c>
      <c r="D1041" s="3" t="inlineStr">
        <is>
          <t>Utility and C&amp;I</t>
        </is>
      </c>
      <c r="E1041" s="3" t="n"/>
      <c r="F1041" s="3" t="inlineStr">
        <is>
          <t>Closed</t>
        </is>
      </c>
      <c r="G1041" s="9" t="inlineStr">
        <is>
          <t xml:space="preserve">Ashish Jindal </t>
        </is>
      </c>
      <c r="H1041" s="26" t="n">
        <v>9983975581</v>
      </c>
      <c r="I1041" s="38" t="inlineStr">
        <is>
          <t>PE01052601</t>
        </is>
      </c>
      <c r="J1041" s="26" t="inlineStr">
        <is>
          <t>Multiple Issues</t>
        </is>
      </c>
      <c r="K1041" s="39" t="inlineStr">
        <is>
          <t>Holi</t>
        </is>
      </c>
      <c r="L1041" s="39" t="inlineStr">
        <is>
          <t>Maharashtra</t>
        </is>
      </c>
      <c r="M1041" s="9" t="inlineStr">
        <is>
          <t>PNS</t>
        </is>
      </c>
      <c r="N1041" s="3" t="inlineStr">
        <is>
          <t>Cold Soldering</t>
        </is>
      </c>
      <c r="O1041" s="39" t="n">
        <v>575</v>
      </c>
      <c r="P1041" s="9" t="inlineStr">
        <is>
          <t>NSMI24070188499</t>
        </is>
      </c>
      <c r="Q1041" s="53">
        <f>MID(P1041,5,2)</f>
        <v/>
      </c>
      <c r="R1041" s="53">
        <f>MID(P1041,7,2)</f>
        <v/>
      </c>
      <c r="S1041" s="3" t="inlineStr">
        <is>
          <t>G2G</t>
        </is>
      </c>
      <c r="T1041" s="3" t="inlineStr">
        <is>
          <t>P4</t>
        </is>
      </c>
      <c r="U1041" s="3" t="inlineStr">
        <is>
          <t>P &amp; N JB Cold Soldering</t>
        </is>
      </c>
      <c r="V1041" s="3" t="inlineStr">
        <is>
          <t>Soldering</t>
        </is>
      </c>
      <c r="W1041" s="3" t="inlineStr">
        <is>
          <t>Repair</t>
        </is>
      </c>
      <c r="X1041" s="18" t="n">
        <v>46156</v>
      </c>
      <c r="Y1041" s="73">
        <f>IF(X1041="","",X1041-A1041)</f>
        <v/>
      </c>
      <c r="Z1041" s="18" t="n">
        <v>46156</v>
      </c>
      <c r="AA1041" s="15" t="n"/>
      <c r="AB1041" s="15" t="n"/>
      <c r="AF1041">
        <f>IF(AND($F1041="Closed",$X1041&gt;=DATE(2026,5,1),$X1041&lt;=DATE(2026,5,31)),"Closed in May","Other")</f>
        <v/>
      </c>
    </row>
    <row r="1042">
      <c r="A1042" s="37" t="n">
        <v>46143</v>
      </c>
      <c r="B1042" s="3" t="n">
        <v>2026</v>
      </c>
      <c r="C1042" s="26" t="inlineStr">
        <is>
          <t>Yanara Power</t>
        </is>
      </c>
      <c r="D1042" s="3" t="inlineStr">
        <is>
          <t>Utility and C&amp;I</t>
        </is>
      </c>
      <c r="E1042" s="3" t="n"/>
      <c r="F1042" s="3" t="inlineStr">
        <is>
          <t>Closed</t>
        </is>
      </c>
      <c r="G1042" s="9" t="inlineStr">
        <is>
          <t xml:space="preserve">Ashish Jindal </t>
        </is>
      </c>
      <c r="H1042" s="26" t="n">
        <v>9983975581</v>
      </c>
      <c r="I1042" s="38" t="inlineStr">
        <is>
          <t>PE01052601</t>
        </is>
      </c>
      <c r="J1042" s="26" t="inlineStr">
        <is>
          <t>Multiple Issues</t>
        </is>
      </c>
      <c r="K1042" s="39" t="inlineStr">
        <is>
          <t>Holi</t>
        </is>
      </c>
      <c r="L1042" s="39" t="inlineStr">
        <is>
          <t>Maharashtra</t>
        </is>
      </c>
      <c r="M1042" s="9" t="inlineStr">
        <is>
          <t>PR</t>
        </is>
      </c>
      <c r="N1042" s="3" t="inlineStr">
        <is>
          <t>JB Issue</t>
        </is>
      </c>
      <c r="O1042" s="39" t="n">
        <v>575</v>
      </c>
      <c r="P1042" s="9" t="inlineStr">
        <is>
          <t>NSMI24070195707</t>
        </is>
      </c>
      <c r="Q1042" s="53">
        <f>MID(P1042,5,2)</f>
        <v/>
      </c>
      <c r="R1042" s="53">
        <f>MID(P1042,7,2)</f>
        <v/>
      </c>
      <c r="S1042" s="3" t="inlineStr">
        <is>
          <t>G2G</t>
        </is>
      </c>
      <c r="T1042" s="3" t="inlineStr">
        <is>
          <t>P4</t>
        </is>
      </c>
      <c r="U1042" s="3" t="inlineStr">
        <is>
          <t>P JB Issue</t>
        </is>
      </c>
      <c r="V1042" s="15" t="inlineStr">
        <is>
          <t>JB Changed</t>
        </is>
      </c>
      <c r="W1042" s="3" t="inlineStr">
        <is>
          <t>Repair</t>
        </is>
      </c>
      <c r="X1042" s="18" t="n">
        <v>46156</v>
      </c>
      <c r="Y1042" s="73">
        <f>IF(X1042="","",X1042-A1042)</f>
        <v/>
      </c>
      <c r="Z1042" s="18" t="n">
        <v>46156</v>
      </c>
      <c r="AA1042" s="15" t="n"/>
      <c r="AB1042" s="15" t="n"/>
      <c r="AF1042">
        <f>IF(AND($F1042="Closed",$X1042&gt;=DATE(2026,5,1),$X1042&lt;=DATE(2026,5,31)),"Closed in May","Other")</f>
        <v/>
      </c>
    </row>
    <row r="1043">
      <c r="A1043" s="37" t="n">
        <v>46143</v>
      </c>
      <c r="B1043" s="3" t="n">
        <v>2026</v>
      </c>
      <c r="C1043" s="26" t="inlineStr">
        <is>
          <t>Yanara Power</t>
        </is>
      </c>
      <c r="D1043" s="3" t="inlineStr">
        <is>
          <t>Utility and C&amp;I</t>
        </is>
      </c>
      <c r="E1043" s="3" t="n"/>
      <c r="F1043" s="3" t="inlineStr">
        <is>
          <t>Closed</t>
        </is>
      </c>
      <c r="G1043" s="9" t="inlineStr">
        <is>
          <t xml:space="preserve">Ashish Jindal </t>
        </is>
      </c>
      <c r="H1043" s="26" t="n">
        <v>9983975581</v>
      </c>
      <c r="I1043" s="38" t="inlineStr">
        <is>
          <t>PE01052601</t>
        </is>
      </c>
      <c r="J1043" s="26" t="inlineStr">
        <is>
          <t>Multiple Issues</t>
        </is>
      </c>
      <c r="K1043" s="39" t="inlineStr">
        <is>
          <t>Holi</t>
        </is>
      </c>
      <c r="L1043" s="39" t="inlineStr">
        <is>
          <t>Maharashtra</t>
        </is>
      </c>
      <c r="M1043" s="9" t="inlineStr">
        <is>
          <t>PR</t>
        </is>
      </c>
      <c r="N1043" s="3" t="inlineStr">
        <is>
          <t>JB Issue</t>
        </is>
      </c>
      <c r="O1043" s="39" t="n">
        <v>575</v>
      </c>
      <c r="P1043" s="9" t="inlineStr">
        <is>
          <t>NSMI24070201931</t>
        </is>
      </c>
      <c r="Q1043" s="53">
        <f>MID(P1043,5,2)</f>
        <v/>
      </c>
      <c r="R1043" s="53">
        <f>MID(P1043,7,2)</f>
        <v/>
      </c>
      <c r="S1043" s="3" t="inlineStr">
        <is>
          <t>G2G</t>
        </is>
      </c>
      <c r="T1043" s="3" t="inlineStr">
        <is>
          <t>P4</t>
        </is>
      </c>
      <c r="U1043" s="3" t="inlineStr">
        <is>
          <t>P JB Issue</t>
        </is>
      </c>
      <c r="V1043" s="15" t="inlineStr">
        <is>
          <t>JB Changed</t>
        </is>
      </c>
      <c r="W1043" s="3" t="inlineStr">
        <is>
          <t>Repair</t>
        </is>
      </c>
      <c r="X1043" s="18" t="n">
        <v>46156</v>
      </c>
      <c r="Y1043" s="73">
        <f>IF(X1043="","",X1043-A1043)</f>
        <v/>
      </c>
      <c r="Z1043" s="18" t="n">
        <v>46156</v>
      </c>
      <c r="AA1043" s="15" t="n"/>
      <c r="AB1043" s="15" t="n"/>
      <c r="AF1043">
        <f>IF(AND($F1043="Closed",$X1043&gt;=DATE(2026,5,1),$X1043&lt;=DATE(2026,5,31)),"Closed in May","Other")</f>
        <v/>
      </c>
    </row>
    <row r="1044">
      <c r="A1044" s="37" t="n">
        <v>46143</v>
      </c>
      <c r="B1044" s="3" t="n">
        <v>2026</v>
      </c>
      <c r="C1044" s="26" t="inlineStr">
        <is>
          <t>Yanara Power</t>
        </is>
      </c>
      <c r="D1044" s="3" t="inlineStr">
        <is>
          <t>Utility and C&amp;I</t>
        </is>
      </c>
      <c r="E1044" s="3" t="n"/>
      <c r="F1044" s="3" t="inlineStr">
        <is>
          <t>Closed</t>
        </is>
      </c>
      <c r="G1044" s="9" t="inlineStr">
        <is>
          <t xml:space="preserve">Ashish Jindal </t>
        </is>
      </c>
      <c r="H1044" s="26" t="n">
        <v>9983975581</v>
      </c>
      <c r="I1044" s="38" t="inlineStr">
        <is>
          <t>PE01052601</t>
        </is>
      </c>
      <c r="J1044" s="26" t="inlineStr">
        <is>
          <t>Multiple Issues</t>
        </is>
      </c>
      <c r="K1044" s="39" t="inlineStr">
        <is>
          <t>Holi</t>
        </is>
      </c>
      <c r="L1044" s="39" t="inlineStr">
        <is>
          <t>Maharashtra</t>
        </is>
      </c>
      <c r="M1044" s="9" t="inlineStr">
        <is>
          <t>PS</t>
        </is>
      </c>
      <c r="N1044" s="3" t="inlineStr">
        <is>
          <t>Cold Soldering</t>
        </is>
      </c>
      <c r="O1044" s="39" t="n">
        <v>575</v>
      </c>
      <c r="P1044" s="9" t="inlineStr">
        <is>
          <t>NSMI24070191763</t>
        </is>
      </c>
      <c r="Q1044" s="53">
        <f>MID(P1044,5,2)</f>
        <v/>
      </c>
      <c r="R1044" s="53">
        <f>MID(P1044,7,2)</f>
        <v/>
      </c>
      <c r="S1044" s="3" t="inlineStr">
        <is>
          <t>G2G</t>
        </is>
      </c>
      <c r="T1044" s="3" t="inlineStr">
        <is>
          <t>P4</t>
        </is>
      </c>
      <c r="U1044" s="19" t="inlineStr">
        <is>
          <t>P JB Cold Soldering</t>
        </is>
      </c>
      <c r="V1044" s="19" t="inlineStr">
        <is>
          <t>Soldering</t>
        </is>
      </c>
      <c r="W1044" s="3" t="inlineStr">
        <is>
          <t>Repair</t>
        </is>
      </c>
      <c r="X1044" s="18" t="n">
        <v>46156</v>
      </c>
      <c r="Y1044" s="73">
        <f>IF(X1044="","",X1044-A1044)</f>
        <v/>
      </c>
      <c r="Z1044" s="18" t="n">
        <v>46156</v>
      </c>
      <c r="AA1044" s="15" t="n"/>
      <c r="AB1044" s="15" t="n"/>
      <c r="AF1044">
        <f>IF(AND($F1044="Closed",$X1044&gt;=DATE(2026,5,1),$X1044&lt;=DATE(2026,5,31)),"Closed in May","Other")</f>
        <v/>
      </c>
    </row>
    <row r="1045">
      <c r="A1045" s="37" t="n">
        <v>46143</v>
      </c>
      <c r="B1045" s="3" t="n">
        <v>2026</v>
      </c>
      <c r="C1045" s="26" t="inlineStr">
        <is>
          <t>Yanara Power</t>
        </is>
      </c>
      <c r="D1045" s="3" t="inlineStr">
        <is>
          <t>Utility and C&amp;I</t>
        </is>
      </c>
      <c r="E1045" s="3" t="n"/>
      <c r="F1045" s="3" t="inlineStr">
        <is>
          <t>Closed</t>
        </is>
      </c>
      <c r="G1045" s="9" t="inlineStr">
        <is>
          <t xml:space="preserve">Ashish Jindal </t>
        </is>
      </c>
      <c r="H1045" s="26" t="n">
        <v>9983975581</v>
      </c>
      <c r="I1045" s="38" t="inlineStr">
        <is>
          <t>PE01052601</t>
        </is>
      </c>
      <c r="J1045" s="26" t="inlineStr">
        <is>
          <t>Multiple Issues</t>
        </is>
      </c>
      <c r="K1045" s="39" t="inlineStr">
        <is>
          <t>Holi</t>
        </is>
      </c>
      <c r="L1045" s="39" t="inlineStr">
        <is>
          <t>Maharashtra</t>
        </is>
      </c>
      <c r="M1045" s="9" t="inlineStr">
        <is>
          <t>NS</t>
        </is>
      </c>
      <c r="N1045" s="3" t="inlineStr">
        <is>
          <t>Cold Soldering</t>
        </is>
      </c>
      <c r="O1045" s="39" t="n">
        <v>575</v>
      </c>
      <c r="P1045" s="9" t="inlineStr">
        <is>
          <t>NSMI24070178369</t>
        </is>
      </c>
      <c r="Q1045" s="53">
        <f>MID(P1045,5,2)</f>
        <v/>
      </c>
      <c r="R1045" s="53">
        <f>MID(P1045,7,2)</f>
        <v/>
      </c>
      <c r="S1045" s="3" t="inlineStr">
        <is>
          <t>G2G</t>
        </is>
      </c>
      <c r="T1045" s="3" t="inlineStr">
        <is>
          <t>P4</t>
        </is>
      </c>
      <c r="U1045" s="3" t="inlineStr">
        <is>
          <t>N JB Cold Soldering</t>
        </is>
      </c>
      <c r="V1045" s="3" t="inlineStr">
        <is>
          <t>Soldering</t>
        </is>
      </c>
      <c r="W1045" s="3" t="inlineStr">
        <is>
          <t>Repair</t>
        </is>
      </c>
      <c r="X1045" s="18" t="n">
        <v>46156</v>
      </c>
      <c r="Y1045" s="73">
        <f>IF(X1045="","",X1045-A1045)</f>
        <v/>
      </c>
      <c r="Z1045" s="18" t="n">
        <v>46156</v>
      </c>
      <c r="AA1045" s="15" t="n"/>
      <c r="AB1045" s="15" t="n"/>
      <c r="AF1045">
        <f>IF(AND($F1045="Closed",$X1045&gt;=DATE(2026,5,1),$X1045&lt;=DATE(2026,5,31)),"Closed in May","Other")</f>
        <v/>
      </c>
    </row>
    <row r="1046">
      <c r="A1046" s="37" t="n">
        <v>46143</v>
      </c>
      <c r="B1046" s="3" t="n">
        <v>2026</v>
      </c>
      <c r="C1046" s="26" t="inlineStr">
        <is>
          <t>Yanara Power</t>
        </is>
      </c>
      <c r="D1046" s="3" t="inlineStr">
        <is>
          <t>Utility and C&amp;I</t>
        </is>
      </c>
      <c r="E1046" s="3" t="n"/>
      <c r="F1046" s="3" t="inlineStr">
        <is>
          <t>Closed</t>
        </is>
      </c>
      <c r="G1046" s="9" t="inlineStr">
        <is>
          <t xml:space="preserve">Ashish Jindal </t>
        </is>
      </c>
      <c r="H1046" s="26" t="n">
        <v>9983975581</v>
      </c>
      <c r="I1046" s="38" t="inlineStr">
        <is>
          <t>PE01052601</t>
        </is>
      </c>
      <c r="J1046" s="26" t="inlineStr">
        <is>
          <t>Multiple Issues</t>
        </is>
      </c>
      <c r="K1046" s="39" t="inlineStr">
        <is>
          <t>Holi</t>
        </is>
      </c>
      <c r="L1046" s="39" t="inlineStr">
        <is>
          <t>Maharashtra</t>
        </is>
      </c>
      <c r="M1046" s="9" t="inlineStr">
        <is>
          <t>PS</t>
        </is>
      </c>
      <c r="N1046" s="3" t="inlineStr">
        <is>
          <t>Cold Soldering</t>
        </is>
      </c>
      <c r="O1046" s="39" t="n">
        <v>575</v>
      </c>
      <c r="P1046" s="9" t="inlineStr">
        <is>
          <t>NSMI24070178355</t>
        </is>
      </c>
      <c r="Q1046" s="53">
        <f>MID(P1046,5,2)</f>
        <v/>
      </c>
      <c r="R1046" s="53">
        <f>MID(P1046,7,2)</f>
        <v/>
      </c>
      <c r="S1046" s="3" t="inlineStr">
        <is>
          <t>G2G</t>
        </is>
      </c>
      <c r="T1046" s="3" t="inlineStr">
        <is>
          <t>P4</t>
        </is>
      </c>
      <c r="U1046" s="19" t="inlineStr">
        <is>
          <t>P JB Cold Soldering</t>
        </is>
      </c>
      <c r="V1046" s="19" t="inlineStr">
        <is>
          <t>Soldering</t>
        </is>
      </c>
      <c r="W1046" s="3" t="inlineStr">
        <is>
          <t>Repair</t>
        </is>
      </c>
      <c r="X1046" s="18" t="n">
        <v>46156</v>
      </c>
      <c r="Y1046" s="73">
        <f>IF(X1046="","",X1046-A1046)</f>
        <v/>
      </c>
      <c r="Z1046" s="18" t="n">
        <v>46156</v>
      </c>
      <c r="AA1046" s="15" t="n"/>
      <c r="AB1046" s="15" t="n"/>
      <c r="AF1046">
        <f>IF(AND($F1046="Closed",$X1046&gt;=DATE(2026,5,1),$X1046&lt;=DATE(2026,5,31)),"Closed in May","Other")</f>
        <v/>
      </c>
    </row>
    <row r="1047">
      <c r="A1047" s="37" t="n">
        <v>46143</v>
      </c>
      <c r="B1047" s="3" t="n">
        <v>2026</v>
      </c>
      <c r="C1047" s="26" t="inlineStr">
        <is>
          <t>Yanara Power</t>
        </is>
      </c>
      <c r="D1047" s="3" t="inlineStr">
        <is>
          <t>Utility and C&amp;I</t>
        </is>
      </c>
      <c r="E1047" s="3" t="n"/>
      <c r="F1047" s="3" t="inlineStr">
        <is>
          <t>Closed</t>
        </is>
      </c>
      <c r="G1047" s="9" t="inlineStr">
        <is>
          <t xml:space="preserve">Ashish Jindal </t>
        </is>
      </c>
      <c r="H1047" s="26" t="n">
        <v>9983975581</v>
      </c>
      <c r="I1047" s="38" t="inlineStr">
        <is>
          <t>PE01052601</t>
        </is>
      </c>
      <c r="J1047" s="26" t="inlineStr">
        <is>
          <t>Multiple Issues</t>
        </is>
      </c>
      <c r="K1047" s="39" t="inlineStr">
        <is>
          <t>Holi</t>
        </is>
      </c>
      <c r="L1047" s="39" t="inlineStr">
        <is>
          <t>Maharashtra</t>
        </is>
      </c>
      <c r="M1047" s="9" t="inlineStr">
        <is>
          <t>PS</t>
        </is>
      </c>
      <c r="N1047" s="3" t="inlineStr">
        <is>
          <t>Cold Soldering</t>
        </is>
      </c>
      <c r="O1047" s="39" t="n">
        <v>575</v>
      </c>
      <c r="P1047" s="9" t="inlineStr">
        <is>
          <t>NSMI24070195629</t>
        </is>
      </c>
      <c r="Q1047" s="53">
        <f>MID(P1047,5,2)</f>
        <v/>
      </c>
      <c r="R1047" s="53">
        <f>MID(P1047,7,2)</f>
        <v/>
      </c>
      <c r="S1047" s="3" t="inlineStr">
        <is>
          <t>G2G</t>
        </is>
      </c>
      <c r="T1047" s="3" t="inlineStr">
        <is>
          <t>P4</t>
        </is>
      </c>
      <c r="U1047" s="19" t="inlineStr">
        <is>
          <t>P JB Cold Soldering</t>
        </is>
      </c>
      <c r="V1047" s="19" t="inlineStr">
        <is>
          <t>Soldering</t>
        </is>
      </c>
      <c r="W1047" s="3" t="inlineStr">
        <is>
          <t>Repair</t>
        </is>
      </c>
      <c r="X1047" s="18" t="n">
        <v>46156</v>
      </c>
      <c r="Y1047" s="73">
        <f>IF(X1047="","",X1047-A1047)</f>
        <v/>
      </c>
      <c r="Z1047" s="18" t="n">
        <v>46156</v>
      </c>
      <c r="AA1047" s="15" t="n"/>
      <c r="AB1047" s="15" t="n"/>
      <c r="AF1047">
        <f>IF(AND($F1047="Closed",$X1047&gt;=DATE(2026,5,1),$X1047&lt;=DATE(2026,5,31)),"Closed in May","Other")</f>
        <v/>
      </c>
    </row>
    <row r="1048">
      <c r="A1048" s="37" t="n">
        <v>46143</v>
      </c>
      <c r="B1048" s="3" t="n">
        <v>2026</v>
      </c>
      <c r="C1048" s="26" t="inlineStr">
        <is>
          <t>Yanara Power</t>
        </is>
      </c>
      <c r="D1048" s="3" t="inlineStr">
        <is>
          <t>Utility and C&amp;I</t>
        </is>
      </c>
      <c r="E1048" s="3" t="n"/>
      <c r="F1048" s="3" t="inlineStr">
        <is>
          <t>Closed</t>
        </is>
      </c>
      <c r="G1048" s="9" t="inlineStr">
        <is>
          <t xml:space="preserve">Ashish Jindal </t>
        </is>
      </c>
      <c r="H1048" s="26" t="n">
        <v>9983975581</v>
      </c>
      <c r="I1048" s="38" t="inlineStr">
        <is>
          <t>PE01052601</t>
        </is>
      </c>
      <c r="J1048" s="26" t="inlineStr">
        <is>
          <t>Multiple Issues</t>
        </is>
      </c>
      <c r="K1048" s="39" t="inlineStr">
        <is>
          <t>Holi</t>
        </is>
      </c>
      <c r="L1048" s="39" t="inlineStr">
        <is>
          <t>Maharashtra</t>
        </is>
      </c>
      <c r="M1048" s="9" t="inlineStr">
        <is>
          <t>PS</t>
        </is>
      </c>
      <c r="N1048" s="3" t="inlineStr">
        <is>
          <t>Cold Soldering</t>
        </is>
      </c>
      <c r="O1048" s="39" t="n">
        <v>575</v>
      </c>
      <c r="P1048" s="9" t="inlineStr">
        <is>
          <t>NSMI24070195648</t>
        </is>
      </c>
      <c r="Q1048" s="53">
        <f>MID(P1048,5,2)</f>
        <v/>
      </c>
      <c r="R1048" s="53">
        <f>MID(P1048,7,2)</f>
        <v/>
      </c>
      <c r="S1048" s="3" t="inlineStr">
        <is>
          <t>G2G</t>
        </is>
      </c>
      <c r="T1048" s="3" t="inlineStr">
        <is>
          <t>P4</t>
        </is>
      </c>
      <c r="U1048" s="19" t="inlineStr">
        <is>
          <t>P JB Cold Soldering</t>
        </is>
      </c>
      <c r="V1048" s="19" t="inlineStr">
        <is>
          <t>Soldering</t>
        </is>
      </c>
      <c r="W1048" s="3" t="inlineStr">
        <is>
          <t>Repair</t>
        </is>
      </c>
      <c r="X1048" s="18" t="n">
        <v>46156</v>
      </c>
      <c r="Y1048" s="73">
        <f>IF(X1048="","",X1048-A1048)</f>
        <v/>
      </c>
      <c r="Z1048" s="18" t="n">
        <v>46156</v>
      </c>
      <c r="AA1048" s="15" t="n"/>
      <c r="AB1048" s="15" t="n"/>
      <c r="AF1048">
        <f>IF(AND($F1048="Closed",$X1048&gt;=DATE(2026,5,1),$X1048&lt;=DATE(2026,5,31)),"Closed in May","Other")</f>
        <v/>
      </c>
    </row>
    <row r="1049">
      <c r="A1049" s="37" t="n">
        <v>46143</v>
      </c>
      <c r="B1049" s="3" t="n">
        <v>2026</v>
      </c>
      <c r="C1049" s="26" t="inlineStr">
        <is>
          <t>Yanara Power</t>
        </is>
      </c>
      <c r="D1049" s="3" t="inlineStr">
        <is>
          <t>Utility and C&amp;I</t>
        </is>
      </c>
      <c r="E1049" s="3" t="n"/>
      <c r="F1049" s="3" t="inlineStr">
        <is>
          <t>Closed</t>
        </is>
      </c>
      <c r="G1049" s="9" t="inlineStr">
        <is>
          <t xml:space="preserve">Ashish Jindal </t>
        </is>
      </c>
      <c r="H1049" s="26" t="n">
        <v>9983975581</v>
      </c>
      <c r="I1049" s="38" t="inlineStr">
        <is>
          <t>PE01052601</t>
        </is>
      </c>
      <c r="J1049" s="26" t="inlineStr">
        <is>
          <t>Multiple Issues</t>
        </is>
      </c>
      <c r="K1049" s="39" t="inlineStr">
        <is>
          <t>Holi</t>
        </is>
      </c>
      <c r="L1049" s="39" t="inlineStr">
        <is>
          <t>Maharashtra</t>
        </is>
      </c>
      <c r="M1049" s="9" t="inlineStr">
        <is>
          <t>NS</t>
        </is>
      </c>
      <c r="N1049" s="3" t="inlineStr">
        <is>
          <t>Cold Soldering</t>
        </is>
      </c>
      <c r="O1049" s="39" t="n">
        <v>575</v>
      </c>
      <c r="P1049" s="9" t="inlineStr">
        <is>
          <t>NSMI24070195634</t>
        </is>
      </c>
      <c r="Q1049" s="53">
        <f>MID(P1049,5,2)</f>
        <v/>
      </c>
      <c r="R1049" s="53">
        <f>MID(P1049,7,2)</f>
        <v/>
      </c>
      <c r="S1049" s="3" t="inlineStr">
        <is>
          <t>G2G</t>
        </is>
      </c>
      <c r="T1049" s="3" t="inlineStr">
        <is>
          <t>P4</t>
        </is>
      </c>
      <c r="U1049" s="3" t="inlineStr">
        <is>
          <t>N JB Cold Soldering</t>
        </is>
      </c>
      <c r="V1049" s="3" t="inlineStr">
        <is>
          <t>Soldering</t>
        </is>
      </c>
      <c r="W1049" s="3" t="inlineStr">
        <is>
          <t>Repair</t>
        </is>
      </c>
      <c r="X1049" s="18" t="n">
        <v>46156</v>
      </c>
      <c r="Y1049" s="73">
        <f>IF(X1049="","",X1049-A1049)</f>
        <v/>
      </c>
      <c r="Z1049" s="18" t="n">
        <v>46156</v>
      </c>
      <c r="AA1049" s="15" t="n"/>
      <c r="AB1049" s="15" t="n"/>
      <c r="AF1049">
        <f>IF(AND($F1049="Closed",$X1049&gt;=DATE(2026,5,1),$X1049&lt;=DATE(2026,5,31)),"Closed in May","Other")</f>
        <v/>
      </c>
    </row>
    <row r="1050">
      <c r="A1050" s="37" t="n">
        <v>46143</v>
      </c>
      <c r="B1050" s="3" t="n">
        <v>2026</v>
      </c>
      <c r="C1050" s="26" t="inlineStr">
        <is>
          <t>Yanara Power</t>
        </is>
      </c>
      <c r="D1050" s="3" t="inlineStr">
        <is>
          <t>Utility and C&amp;I</t>
        </is>
      </c>
      <c r="E1050" s="3" t="n"/>
      <c r="F1050" s="3" t="inlineStr">
        <is>
          <t>Closed</t>
        </is>
      </c>
      <c r="G1050" s="9" t="inlineStr">
        <is>
          <t xml:space="preserve">Ashish Jindal </t>
        </is>
      </c>
      <c r="H1050" s="26" t="n">
        <v>9983975581</v>
      </c>
      <c r="I1050" s="38" t="inlineStr">
        <is>
          <t>PE01052601</t>
        </is>
      </c>
      <c r="J1050" s="26" t="inlineStr">
        <is>
          <t>Multiple Issues</t>
        </is>
      </c>
      <c r="K1050" s="39" t="inlineStr">
        <is>
          <t>Holi</t>
        </is>
      </c>
      <c r="L1050" s="39" t="inlineStr">
        <is>
          <t>Maharashtra</t>
        </is>
      </c>
      <c r="M1050" s="9" t="inlineStr">
        <is>
          <t>NS</t>
        </is>
      </c>
      <c r="N1050" s="3" t="inlineStr">
        <is>
          <t>Cold Soldering</t>
        </is>
      </c>
      <c r="O1050" s="39" t="n">
        <v>575</v>
      </c>
      <c r="P1050" s="9" t="inlineStr">
        <is>
          <t>NSMI24070195635</t>
        </is>
      </c>
      <c r="Q1050" s="53">
        <f>MID(P1050,5,2)</f>
        <v/>
      </c>
      <c r="R1050" s="53">
        <f>MID(P1050,7,2)</f>
        <v/>
      </c>
      <c r="S1050" s="3" t="inlineStr">
        <is>
          <t>G2G</t>
        </is>
      </c>
      <c r="T1050" s="3" t="inlineStr">
        <is>
          <t>P4</t>
        </is>
      </c>
      <c r="U1050" s="3" t="inlineStr">
        <is>
          <t>N JB Cold Soldering</t>
        </is>
      </c>
      <c r="V1050" s="3" t="inlineStr">
        <is>
          <t>Soldering</t>
        </is>
      </c>
      <c r="W1050" s="3" t="inlineStr">
        <is>
          <t>Repair</t>
        </is>
      </c>
      <c r="X1050" s="18" t="n">
        <v>46156</v>
      </c>
      <c r="Y1050" s="73">
        <f>IF(X1050="","",X1050-A1050)</f>
        <v/>
      </c>
      <c r="Z1050" s="18" t="n">
        <v>46156</v>
      </c>
      <c r="AA1050" s="15" t="n"/>
      <c r="AB1050" s="15" t="n"/>
      <c r="AF1050">
        <f>IF(AND($F1050="Closed",$X1050&gt;=DATE(2026,5,1),$X1050&lt;=DATE(2026,5,31)),"Closed in May","Other")</f>
        <v/>
      </c>
    </row>
    <row r="1051">
      <c r="A1051" s="37" t="n">
        <v>46143</v>
      </c>
      <c r="B1051" s="3" t="n">
        <v>2026</v>
      </c>
      <c r="C1051" s="26" t="inlineStr">
        <is>
          <t>Yanara Power</t>
        </is>
      </c>
      <c r="D1051" s="3" t="inlineStr">
        <is>
          <t>Utility and C&amp;I</t>
        </is>
      </c>
      <c r="E1051" s="3" t="n"/>
      <c r="F1051" s="3" t="inlineStr">
        <is>
          <t>Closed</t>
        </is>
      </c>
      <c r="G1051" s="9" t="inlineStr">
        <is>
          <t xml:space="preserve">Ashish Jindal </t>
        </is>
      </c>
      <c r="H1051" s="26" t="n">
        <v>9983975581</v>
      </c>
      <c r="I1051" s="38" t="inlineStr">
        <is>
          <t>PE01052601</t>
        </is>
      </c>
      <c r="J1051" s="26" t="inlineStr">
        <is>
          <t>Multiple Issues</t>
        </is>
      </c>
      <c r="K1051" s="39" t="inlineStr">
        <is>
          <t>Holi</t>
        </is>
      </c>
      <c r="L1051" s="39" t="inlineStr">
        <is>
          <t>Maharashtra</t>
        </is>
      </c>
      <c r="M1051" s="9" t="inlineStr">
        <is>
          <t>NS</t>
        </is>
      </c>
      <c r="N1051" s="3" t="inlineStr">
        <is>
          <t>Cold Soldering</t>
        </is>
      </c>
      <c r="O1051" s="39" t="n">
        <v>575</v>
      </c>
      <c r="P1051" s="9" t="inlineStr">
        <is>
          <t>NSMI24070195577</t>
        </is>
      </c>
      <c r="Q1051" s="53">
        <f>MID(P1051,5,2)</f>
        <v/>
      </c>
      <c r="R1051" s="53">
        <f>MID(P1051,7,2)</f>
        <v/>
      </c>
      <c r="S1051" s="3" t="inlineStr">
        <is>
          <t>G2G</t>
        </is>
      </c>
      <c r="T1051" s="3" t="inlineStr">
        <is>
          <t>P4</t>
        </is>
      </c>
      <c r="U1051" s="3" t="inlineStr">
        <is>
          <t>N JB Cold Soldering</t>
        </is>
      </c>
      <c r="V1051" s="3" t="inlineStr">
        <is>
          <t>Soldering</t>
        </is>
      </c>
      <c r="W1051" s="3" t="inlineStr">
        <is>
          <t>Repair</t>
        </is>
      </c>
      <c r="X1051" s="18" t="n">
        <v>46156</v>
      </c>
      <c r="Y1051" s="73">
        <f>IF(X1051="","",X1051-A1051)</f>
        <v/>
      </c>
      <c r="Z1051" s="18" t="n">
        <v>46156</v>
      </c>
      <c r="AA1051" s="15" t="n"/>
      <c r="AB1051" s="15" t="n"/>
      <c r="AF1051">
        <f>IF(AND($F1051="Closed",$X1051&gt;=DATE(2026,5,1),$X1051&lt;=DATE(2026,5,31)),"Closed in May","Other")</f>
        <v/>
      </c>
    </row>
    <row r="1052">
      <c r="A1052" s="37" t="n">
        <v>46143</v>
      </c>
      <c r="B1052" s="3" t="n">
        <v>2026</v>
      </c>
      <c r="C1052" s="26" t="inlineStr">
        <is>
          <t>Yanara Power</t>
        </is>
      </c>
      <c r="D1052" s="3" t="inlineStr">
        <is>
          <t>Utility and C&amp;I</t>
        </is>
      </c>
      <c r="E1052" s="3" t="n"/>
      <c r="F1052" s="3" t="inlineStr">
        <is>
          <t>Closed</t>
        </is>
      </c>
      <c r="G1052" s="9" t="inlineStr">
        <is>
          <t xml:space="preserve">Ashish Jindal </t>
        </is>
      </c>
      <c r="H1052" s="26" t="n">
        <v>9983975581</v>
      </c>
      <c r="I1052" s="38" t="inlineStr">
        <is>
          <t>PE01052601</t>
        </is>
      </c>
      <c r="J1052" s="26" t="inlineStr">
        <is>
          <t>Multiple Issues</t>
        </is>
      </c>
      <c r="K1052" s="39" t="inlineStr">
        <is>
          <t>Holi</t>
        </is>
      </c>
      <c r="L1052" s="39" t="inlineStr">
        <is>
          <t>Maharashtra</t>
        </is>
      </c>
      <c r="M1052" s="9" t="inlineStr">
        <is>
          <t>NS</t>
        </is>
      </c>
      <c r="N1052" s="3" t="inlineStr">
        <is>
          <t>Cold Soldering</t>
        </is>
      </c>
      <c r="O1052" s="39" t="n">
        <v>575</v>
      </c>
      <c r="P1052" s="9" t="inlineStr">
        <is>
          <t>NSMI24070195637</t>
        </is>
      </c>
      <c r="Q1052" s="53">
        <f>MID(P1052,5,2)</f>
        <v/>
      </c>
      <c r="R1052" s="53">
        <f>MID(P1052,7,2)</f>
        <v/>
      </c>
      <c r="S1052" s="3" t="inlineStr">
        <is>
          <t>G2G</t>
        </is>
      </c>
      <c r="T1052" s="3" t="inlineStr">
        <is>
          <t>P4</t>
        </is>
      </c>
      <c r="U1052" s="3" t="inlineStr">
        <is>
          <t>N JB Cold Soldering</t>
        </is>
      </c>
      <c r="V1052" s="3" t="inlineStr">
        <is>
          <t>Soldering</t>
        </is>
      </c>
      <c r="W1052" s="3" t="inlineStr">
        <is>
          <t>Repair</t>
        </is>
      </c>
      <c r="X1052" s="18" t="n">
        <v>46156</v>
      </c>
      <c r="Y1052" s="73">
        <f>IF(X1052="","",X1052-A1052)</f>
        <v/>
      </c>
      <c r="Z1052" s="18" t="n">
        <v>46156</v>
      </c>
      <c r="AA1052" s="15" t="n"/>
      <c r="AB1052" s="15" t="n"/>
      <c r="AF1052">
        <f>IF(AND($F1052="Closed",$X1052&gt;=DATE(2026,5,1),$X1052&lt;=DATE(2026,5,31)),"Closed in May","Other")</f>
        <v/>
      </c>
    </row>
    <row r="1053">
      <c r="A1053" s="37" t="n">
        <v>46143</v>
      </c>
      <c r="B1053" s="3" t="n">
        <v>2026</v>
      </c>
      <c r="C1053" s="26" t="inlineStr">
        <is>
          <t>Yanara Power</t>
        </is>
      </c>
      <c r="D1053" s="3" t="inlineStr">
        <is>
          <t>Utility and C&amp;I</t>
        </is>
      </c>
      <c r="E1053" s="3" t="n"/>
      <c r="F1053" s="3" t="inlineStr">
        <is>
          <t>Closed</t>
        </is>
      </c>
      <c r="G1053" s="9" t="inlineStr">
        <is>
          <t xml:space="preserve">Ashish Jindal </t>
        </is>
      </c>
      <c r="H1053" s="26" t="n">
        <v>9983975581</v>
      </c>
      <c r="I1053" s="38" t="inlineStr">
        <is>
          <t>PE01052601</t>
        </is>
      </c>
      <c r="J1053" s="26" t="inlineStr">
        <is>
          <t>Multiple Issues</t>
        </is>
      </c>
      <c r="K1053" s="39" t="inlineStr">
        <is>
          <t>Holi</t>
        </is>
      </c>
      <c r="L1053" s="39" t="inlineStr">
        <is>
          <t>Maharashtra</t>
        </is>
      </c>
      <c r="M1053" s="9" t="inlineStr">
        <is>
          <t>PS</t>
        </is>
      </c>
      <c r="N1053" s="3" t="inlineStr">
        <is>
          <t>Cold Soldering</t>
        </is>
      </c>
      <c r="O1053" s="39" t="n">
        <v>575</v>
      </c>
      <c r="P1053" s="9" t="inlineStr">
        <is>
          <t>NSMI24070195638</t>
        </is>
      </c>
      <c r="Q1053" s="53">
        <f>MID(P1053,5,2)</f>
        <v/>
      </c>
      <c r="R1053" s="53">
        <f>MID(P1053,7,2)</f>
        <v/>
      </c>
      <c r="S1053" s="3" t="inlineStr">
        <is>
          <t>G2G</t>
        </is>
      </c>
      <c r="T1053" s="3" t="inlineStr">
        <is>
          <t>P4</t>
        </is>
      </c>
      <c r="U1053" s="19" t="inlineStr">
        <is>
          <t>P JB Cold Soldering</t>
        </is>
      </c>
      <c r="V1053" s="19" t="inlineStr">
        <is>
          <t>Soldering</t>
        </is>
      </c>
      <c r="W1053" s="3" t="inlineStr">
        <is>
          <t>Repair</t>
        </is>
      </c>
      <c r="X1053" s="18" t="n">
        <v>46156</v>
      </c>
      <c r="Y1053" s="73">
        <f>IF(X1053="","",X1053-A1053)</f>
        <v/>
      </c>
      <c r="Z1053" s="18" t="n">
        <v>46156</v>
      </c>
      <c r="AA1053" s="15" t="n"/>
      <c r="AB1053" s="15" t="n"/>
      <c r="AF1053">
        <f>IF(AND($F1053="Closed",$X1053&gt;=DATE(2026,5,1),$X1053&lt;=DATE(2026,5,31)),"Closed in May","Other")</f>
        <v/>
      </c>
    </row>
    <row r="1054">
      <c r="A1054" s="37" t="n">
        <v>46143</v>
      </c>
      <c r="B1054" s="3" t="n">
        <v>2026</v>
      </c>
      <c r="C1054" s="26" t="inlineStr">
        <is>
          <t>Yanara Power</t>
        </is>
      </c>
      <c r="D1054" s="3" t="inlineStr">
        <is>
          <t>Utility and C&amp;I</t>
        </is>
      </c>
      <c r="E1054" s="3" t="n"/>
      <c r="F1054" s="3" t="inlineStr">
        <is>
          <t>Closed</t>
        </is>
      </c>
      <c r="G1054" s="9" t="inlineStr">
        <is>
          <t xml:space="preserve">Ashish Jindal </t>
        </is>
      </c>
      <c r="H1054" s="26" t="n">
        <v>9983975581</v>
      </c>
      <c r="I1054" s="38" t="inlineStr">
        <is>
          <t>PE01052601</t>
        </is>
      </c>
      <c r="J1054" s="26" t="inlineStr">
        <is>
          <t>Multiple Issues</t>
        </is>
      </c>
      <c r="K1054" s="39" t="inlineStr">
        <is>
          <t>Holi</t>
        </is>
      </c>
      <c r="L1054" s="39" t="inlineStr">
        <is>
          <t>Maharashtra</t>
        </is>
      </c>
      <c r="M1054" s="9" t="inlineStr">
        <is>
          <t>PR</t>
        </is>
      </c>
      <c r="N1054" s="3" t="inlineStr">
        <is>
          <t>JB Issue</t>
        </is>
      </c>
      <c r="O1054" s="39" t="n">
        <v>575</v>
      </c>
      <c r="P1054" s="9" t="inlineStr">
        <is>
          <t>NSMI24070196194</t>
        </is>
      </c>
      <c r="Q1054" s="53">
        <f>MID(P1054,5,2)</f>
        <v/>
      </c>
      <c r="R1054" s="53">
        <f>MID(P1054,7,2)</f>
        <v/>
      </c>
      <c r="S1054" s="3" t="inlineStr">
        <is>
          <t>G2G</t>
        </is>
      </c>
      <c r="T1054" s="3" t="inlineStr">
        <is>
          <t>P4</t>
        </is>
      </c>
      <c r="U1054" s="3" t="inlineStr">
        <is>
          <t>P JB Issue</t>
        </is>
      </c>
      <c r="V1054" s="15" t="inlineStr">
        <is>
          <t>JB Changed</t>
        </is>
      </c>
      <c r="W1054" s="3" t="inlineStr">
        <is>
          <t>Repair</t>
        </is>
      </c>
      <c r="X1054" s="18" t="n">
        <v>46156</v>
      </c>
      <c r="Y1054" s="73">
        <f>IF(X1054="","",X1054-A1054)</f>
        <v/>
      </c>
      <c r="Z1054" s="18" t="n">
        <v>46156</v>
      </c>
      <c r="AA1054" s="15" t="n"/>
      <c r="AB1054" s="15" t="n"/>
      <c r="AF1054">
        <f>IF(AND($F1054="Closed",$X1054&gt;=DATE(2026,5,1),$X1054&lt;=DATE(2026,5,31)),"Closed in May","Other")</f>
        <v/>
      </c>
    </row>
    <row r="1055">
      <c r="A1055" s="37" t="n">
        <v>46143</v>
      </c>
      <c r="B1055" s="3" t="n">
        <v>2026</v>
      </c>
      <c r="C1055" s="26" t="inlineStr">
        <is>
          <t>Yanara Power</t>
        </is>
      </c>
      <c r="D1055" s="3" t="inlineStr">
        <is>
          <t>Utility and C&amp;I</t>
        </is>
      </c>
      <c r="E1055" s="3" t="n"/>
      <c r="F1055" s="3" t="inlineStr">
        <is>
          <t>Closed</t>
        </is>
      </c>
      <c r="G1055" s="9" t="inlineStr">
        <is>
          <t xml:space="preserve">Ashish Jindal </t>
        </is>
      </c>
      <c r="H1055" s="26" t="n">
        <v>9983975581</v>
      </c>
      <c r="I1055" s="38" t="inlineStr">
        <is>
          <t>PE01052601</t>
        </is>
      </c>
      <c r="J1055" s="26" t="inlineStr">
        <is>
          <t>Multiple Issues</t>
        </is>
      </c>
      <c r="K1055" s="39" t="inlineStr">
        <is>
          <t>Holi</t>
        </is>
      </c>
      <c r="L1055" s="39" t="inlineStr">
        <is>
          <t>Maharashtra</t>
        </is>
      </c>
      <c r="M1055" s="9" t="inlineStr">
        <is>
          <t>PS</t>
        </is>
      </c>
      <c r="N1055" s="3" t="inlineStr">
        <is>
          <t>Cold Soldering</t>
        </is>
      </c>
      <c r="O1055" s="39" t="n">
        <v>575</v>
      </c>
      <c r="P1055" s="9" t="inlineStr">
        <is>
          <t>NSMI24070195477</t>
        </is>
      </c>
      <c r="Q1055" s="53">
        <f>MID(P1055,5,2)</f>
        <v/>
      </c>
      <c r="R1055" s="53">
        <f>MID(P1055,7,2)</f>
        <v/>
      </c>
      <c r="S1055" s="3" t="inlineStr">
        <is>
          <t>G2G</t>
        </is>
      </c>
      <c r="T1055" s="3" t="inlineStr">
        <is>
          <t>P4</t>
        </is>
      </c>
      <c r="U1055" s="19" t="inlineStr">
        <is>
          <t>P JB Cold Soldering</t>
        </is>
      </c>
      <c r="V1055" s="19" t="inlineStr">
        <is>
          <t>Soldering</t>
        </is>
      </c>
      <c r="W1055" s="3" t="inlineStr">
        <is>
          <t>Repair</t>
        </is>
      </c>
      <c r="X1055" s="18" t="n">
        <v>46156</v>
      </c>
      <c r="Y1055" s="73">
        <f>IF(X1055="","",X1055-A1055)</f>
        <v/>
      </c>
      <c r="Z1055" s="18" t="n">
        <v>46156</v>
      </c>
      <c r="AA1055" s="15" t="n"/>
      <c r="AB1055" s="15" t="n"/>
      <c r="AF1055">
        <f>IF(AND($F1055="Closed",$X1055&gt;=DATE(2026,5,1),$X1055&lt;=DATE(2026,5,31)),"Closed in May","Other")</f>
        <v/>
      </c>
    </row>
    <row r="1056">
      <c r="A1056" s="37" t="n">
        <v>46143</v>
      </c>
      <c r="B1056" s="3" t="n">
        <v>2026</v>
      </c>
      <c r="C1056" s="26" t="inlineStr">
        <is>
          <t>Yanara Power</t>
        </is>
      </c>
      <c r="D1056" s="3" t="inlineStr">
        <is>
          <t>Utility and C&amp;I</t>
        </is>
      </c>
      <c r="E1056" s="3" t="n"/>
      <c r="F1056" s="3" t="inlineStr">
        <is>
          <t>Closed</t>
        </is>
      </c>
      <c r="G1056" s="9" t="inlineStr">
        <is>
          <t xml:space="preserve">Ashish Jindal </t>
        </is>
      </c>
      <c r="H1056" s="26" t="n">
        <v>9983975581</v>
      </c>
      <c r="I1056" s="38" t="inlineStr">
        <is>
          <t>PE01052601</t>
        </is>
      </c>
      <c r="J1056" s="26" t="inlineStr">
        <is>
          <t>Multiple Issues</t>
        </is>
      </c>
      <c r="K1056" s="39" t="inlineStr">
        <is>
          <t>Holi</t>
        </is>
      </c>
      <c r="L1056" s="39" t="inlineStr">
        <is>
          <t>Maharashtra</t>
        </is>
      </c>
      <c r="M1056" s="9" t="inlineStr">
        <is>
          <t>PS</t>
        </is>
      </c>
      <c r="N1056" s="3" t="inlineStr">
        <is>
          <t>Cold Soldering</t>
        </is>
      </c>
      <c r="O1056" s="39" t="n">
        <v>575</v>
      </c>
      <c r="P1056" s="9" t="inlineStr">
        <is>
          <t>NSMI24070195330</t>
        </is>
      </c>
      <c r="Q1056" s="53">
        <f>MID(P1056,5,2)</f>
        <v/>
      </c>
      <c r="R1056" s="53">
        <f>MID(P1056,7,2)</f>
        <v/>
      </c>
      <c r="S1056" s="3" t="inlineStr">
        <is>
          <t>G2G</t>
        </is>
      </c>
      <c r="T1056" s="3" t="inlineStr">
        <is>
          <t>P4</t>
        </is>
      </c>
      <c r="U1056" s="19" t="inlineStr">
        <is>
          <t>P JB Cold Soldering</t>
        </is>
      </c>
      <c r="V1056" s="19" t="inlineStr">
        <is>
          <t>Soldering</t>
        </is>
      </c>
      <c r="W1056" s="3" t="inlineStr">
        <is>
          <t>Repair</t>
        </is>
      </c>
      <c r="X1056" s="18" t="n">
        <v>46156</v>
      </c>
      <c r="Y1056" s="73">
        <f>IF(X1056="","",X1056-A1056)</f>
        <v/>
      </c>
      <c r="Z1056" s="18" t="n">
        <v>46156</v>
      </c>
      <c r="AA1056" s="15" t="n"/>
      <c r="AB1056" s="15" t="n"/>
      <c r="AF1056">
        <f>IF(AND($F1056="Closed",$X1056&gt;=DATE(2026,5,1),$X1056&lt;=DATE(2026,5,31)),"Closed in May","Other")</f>
        <v/>
      </c>
    </row>
    <row r="1057">
      <c r="A1057" s="37" t="n">
        <v>46143</v>
      </c>
      <c r="B1057" s="3" t="n">
        <v>2026</v>
      </c>
      <c r="C1057" s="26" t="inlineStr">
        <is>
          <t>Yanara Power</t>
        </is>
      </c>
      <c r="D1057" s="3" t="inlineStr">
        <is>
          <t>Utility and C&amp;I</t>
        </is>
      </c>
      <c r="E1057" s="3" t="n"/>
      <c r="F1057" s="3" t="inlineStr">
        <is>
          <t>Closed</t>
        </is>
      </c>
      <c r="G1057" s="9" t="inlineStr">
        <is>
          <t xml:space="preserve">Ashish Jindal </t>
        </is>
      </c>
      <c r="H1057" s="26" t="n">
        <v>9983975581</v>
      </c>
      <c r="I1057" s="38" t="inlineStr">
        <is>
          <t>PE01052601</t>
        </is>
      </c>
      <c r="J1057" s="26" t="inlineStr">
        <is>
          <t>Multiple Issues</t>
        </is>
      </c>
      <c r="K1057" s="39" t="inlineStr">
        <is>
          <t>Holi</t>
        </is>
      </c>
      <c r="L1057" s="39" t="inlineStr">
        <is>
          <t>Maharashtra</t>
        </is>
      </c>
      <c r="M1057" s="9" t="inlineStr">
        <is>
          <t>NS</t>
        </is>
      </c>
      <c r="N1057" s="3" t="inlineStr">
        <is>
          <t>Cold Soldering</t>
        </is>
      </c>
      <c r="O1057" s="39" t="n">
        <v>575</v>
      </c>
      <c r="P1057" s="9" t="inlineStr">
        <is>
          <t>NSMI24070195334</t>
        </is>
      </c>
      <c r="Q1057" s="53">
        <f>MID(P1057,5,2)</f>
        <v/>
      </c>
      <c r="R1057" s="53">
        <f>MID(P1057,7,2)</f>
        <v/>
      </c>
      <c r="S1057" s="3" t="inlineStr">
        <is>
          <t>G2G</t>
        </is>
      </c>
      <c r="T1057" s="3" t="inlineStr">
        <is>
          <t>P4</t>
        </is>
      </c>
      <c r="U1057" s="3" t="inlineStr">
        <is>
          <t>N JB Cold Soldering</t>
        </is>
      </c>
      <c r="V1057" s="3" t="inlineStr">
        <is>
          <t>Soldering</t>
        </is>
      </c>
      <c r="W1057" s="3" t="inlineStr">
        <is>
          <t>Repair</t>
        </is>
      </c>
      <c r="X1057" s="18" t="n">
        <v>46156</v>
      </c>
      <c r="Y1057" s="73">
        <f>IF(X1057="","",X1057-A1057)</f>
        <v/>
      </c>
      <c r="Z1057" s="18" t="n">
        <v>46156</v>
      </c>
      <c r="AA1057" s="15" t="n"/>
      <c r="AB1057" s="15" t="n"/>
      <c r="AF1057">
        <f>IF(AND($F1057="Closed",$X1057&gt;=DATE(2026,5,1),$X1057&lt;=DATE(2026,5,31)),"Closed in May","Other")</f>
        <v/>
      </c>
    </row>
    <row r="1058">
      <c r="A1058" s="37" t="n">
        <v>46143</v>
      </c>
      <c r="B1058" s="3" t="n">
        <v>2026</v>
      </c>
      <c r="C1058" s="26" t="inlineStr">
        <is>
          <t>Yanara Power</t>
        </is>
      </c>
      <c r="D1058" s="3" t="inlineStr">
        <is>
          <t>Utility and C&amp;I</t>
        </is>
      </c>
      <c r="E1058" s="3" t="n"/>
      <c r="F1058" s="3" t="inlineStr">
        <is>
          <t>Closed</t>
        </is>
      </c>
      <c r="G1058" s="9" t="inlineStr">
        <is>
          <t xml:space="preserve">Ashish Jindal </t>
        </is>
      </c>
      <c r="H1058" s="26" t="n">
        <v>9983975581</v>
      </c>
      <c r="I1058" s="38" t="inlineStr">
        <is>
          <t>PE01052601</t>
        </is>
      </c>
      <c r="J1058" s="26" t="inlineStr">
        <is>
          <t>Multiple Issues</t>
        </is>
      </c>
      <c r="K1058" s="39" t="inlineStr">
        <is>
          <t>Holi</t>
        </is>
      </c>
      <c r="L1058" s="39" t="inlineStr">
        <is>
          <t>Maharashtra</t>
        </is>
      </c>
      <c r="M1058" s="9" t="inlineStr">
        <is>
          <t>PS</t>
        </is>
      </c>
      <c r="N1058" s="3" t="inlineStr">
        <is>
          <t>Cold Soldering</t>
        </is>
      </c>
      <c r="O1058" s="39" t="n">
        <v>575</v>
      </c>
      <c r="P1058" s="9" t="inlineStr">
        <is>
          <t>NSMI24070195481</t>
        </is>
      </c>
      <c r="Q1058" s="53">
        <f>MID(P1058,5,2)</f>
        <v/>
      </c>
      <c r="R1058" s="53">
        <f>MID(P1058,7,2)</f>
        <v/>
      </c>
      <c r="S1058" s="3" t="inlineStr">
        <is>
          <t>G2G</t>
        </is>
      </c>
      <c r="T1058" s="3" t="inlineStr">
        <is>
          <t>P4</t>
        </is>
      </c>
      <c r="U1058" s="19" t="inlineStr">
        <is>
          <t>P JB Cold Soldering</t>
        </is>
      </c>
      <c r="V1058" s="19" t="inlineStr">
        <is>
          <t>Soldering</t>
        </is>
      </c>
      <c r="W1058" s="3" t="inlineStr">
        <is>
          <t>Repair</t>
        </is>
      </c>
      <c r="X1058" s="18" t="n">
        <v>46156</v>
      </c>
      <c r="Y1058" s="73">
        <f>IF(X1058="","",X1058-A1058)</f>
        <v/>
      </c>
      <c r="Z1058" s="18" t="n">
        <v>46156</v>
      </c>
      <c r="AA1058" s="15" t="n"/>
      <c r="AB1058" s="15" t="n"/>
      <c r="AF1058">
        <f>IF(AND($F1058="Closed",$X1058&gt;=DATE(2026,5,1),$X1058&lt;=DATE(2026,5,31)),"Closed in May","Other")</f>
        <v/>
      </c>
    </row>
    <row r="1059">
      <c r="A1059" s="37" t="n">
        <v>46143</v>
      </c>
      <c r="B1059" s="3" t="n">
        <v>2026</v>
      </c>
      <c r="C1059" s="26" t="inlineStr">
        <is>
          <t>Yanara Power</t>
        </is>
      </c>
      <c r="D1059" s="3" t="inlineStr">
        <is>
          <t>Utility and C&amp;I</t>
        </is>
      </c>
      <c r="E1059" s="3" t="n"/>
      <c r="F1059" s="3" t="inlineStr">
        <is>
          <t>Closed</t>
        </is>
      </c>
      <c r="G1059" s="9" t="inlineStr">
        <is>
          <t xml:space="preserve">Ashish Jindal </t>
        </is>
      </c>
      <c r="H1059" s="26" t="n">
        <v>9983975581</v>
      </c>
      <c r="I1059" s="38" t="inlineStr">
        <is>
          <t>PE01052601</t>
        </is>
      </c>
      <c r="J1059" s="26" t="inlineStr">
        <is>
          <t>Multiple Issues</t>
        </is>
      </c>
      <c r="K1059" s="39" t="inlineStr">
        <is>
          <t>Holi</t>
        </is>
      </c>
      <c r="L1059" s="39" t="inlineStr">
        <is>
          <t>Maharashtra</t>
        </is>
      </c>
      <c r="M1059" s="9" t="inlineStr">
        <is>
          <t>PS</t>
        </is>
      </c>
      <c r="N1059" s="3" t="inlineStr">
        <is>
          <t>Cold Soldering</t>
        </is>
      </c>
      <c r="O1059" s="39" t="n">
        <v>575</v>
      </c>
      <c r="P1059" s="9" t="inlineStr">
        <is>
          <t>NSMI24070184898</t>
        </is>
      </c>
      <c r="Q1059" s="53">
        <f>MID(P1059,5,2)</f>
        <v/>
      </c>
      <c r="R1059" s="53">
        <f>MID(P1059,7,2)</f>
        <v/>
      </c>
      <c r="S1059" s="3" t="inlineStr">
        <is>
          <t>G2G</t>
        </is>
      </c>
      <c r="T1059" s="3" t="inlineStr">
        <is>
          <t>P4</t>
        </is>
      </c>
      <c r="U1059" s="19" t="inlineStr">
        <is>
          <t>P JB Cold Soldering</t>
        </is>
      </c>
      <c r="V1059" s="19" t="inlineStr">
        <is>
          <t>Soldering</t>
        </is>
      </c>
      <c r="W1059" s="3" t="inlineStr">
        <is>
          <t>Repair</t>
        </is>
      </c>
      <c r="X1059" s="18" t="n">
        <v>46156</v>
      </c>
      <c r="Y1059" s="73">
        <f>IF(X1059="","",X1059-A1059)</f>
        <v/>
      </c>
      <c r="Z1059" s="18" t="n">
        <v>46156</v>
      </c>
      <c r="AA1059" s="15" t="n"/>
      <c r="AB1059" s="15" t="n"/>
      <c r="AF1059">
        <f>IF(AND($F1059="Closed",$X1059&gt;=DATE(2026,5,1),$X1059&lt;=DATE(2026,5,31)),"Closed in May","Other")</f>
        <v/>
      </c>
    </row>
    <row r="1060">
      <c r="A1060" s="37" t="n">
        <v>46143</v>
      </c>
      <c r="B1060" s="3" t="n">
        <v>2026</v>
      </c>
      <c r="C1060" s="26" t="inlineStr">
        <is>
          <t>Yanara Power</t>
        </is>
      </c>
      <c r="D1060" s="3" t="inlineStr">
        <is>
          <t>Utility and C&amp;I</t>
        </is>
      </c>
      <c r="E1060" s="3" t="n"/>
      <c r="F1060" s="3" t="inlineStr">
        <is>
          <t>Closed</t>
        </is>
      </c>
      <c r="G1060" s="9" t="inlineStr">
        <is>
          <t xml:space="preserve">Ashish Jindal </t>
        </is>
      </c>
      <c r="H1060" s="26" t="n">
        <v>9983975581</v>
      </c>
      <c r="I1060" s="38" t="inlineStr">
        <is>
          <t>PE01052601</t>
        </is>
      </c>
      <c r="J1060" s="26" t="inlineStr">
        <is>
          <t>Multiple Issues</t>
        </is>
      </c>
      <c r="K1060" s="39" t="inlineStr">
        <is>
          <t>Holi</t>
        </is>
      </c>
      <c r="L1060" s="39" t="inlineStr">
        <is>
          <t>Maharashtra</t>
        </is>
      </c>
      <c r="M1060" s="9" t="inlineStr">
        <is>
          <t>PNS</t>
        </is>
      </c>
      <c r="N1060" s="3" t="inlineStr">
        <is>
          <t>Cold Soldering</t>
        </is>
      </c>
      <c r="O1060" s="39" t="n">
        <v>575</v>
      </c>
      <c r="P1060" s="9" t="inlineStr">
        <is>
          <t>NSMI24070184904</t>
        </is>
      </c>
      <c r="Q1060" s="53">
        <f>MID(P1060,5,2)</f>
        <v/>
      </c>
      <c r="R1060" s="53">
        <f>MID(P1060,7,2)</f>
        <v/>
      </c>
      <c r="S1060" s="3" t="inlineStr">
        <is>
          <t>G2G</t>
        </is>
      </c>
      <c r="T1060" s="3" t="inlineStr">
        <is>
          <t>P4</t>
        </is>
      </c>
      <c r="U1060" s="3" t="inlineStr">
        <is>
          <t>P &amp; N JB Cold Soldering</t>
        </is>
      </c>
      <c r="V1060" s="3" t="inlineStr">
        <is>
          <t>Soldering</t>
        </is>
      </c>
      <c r="W1060" s="3" t="inlineStr">
        <is>
          <t>Repair</t>
        </is>
      </c>
      <c r="X1060" s="18" t="n">
        <v>46156</v>
      </c>
      <c r="Y1060" s="73">
        <f>IF(X1060="","",X1060-A1060)</f>
        <v/>
      </c>
      <c r="Z1060" s="18" t="n">
        <v>46156</v>
      </c>
      <c r="AA1060" s="15" t="n"/>
      <c r="AB1060" s="15" t="n"/>
      <c r="AF1060">
        <f>IF(AND($F1060="Closed",$X1060&gt;=DATE(2026,5,1),$X1060&lt;=DATE(2026,5,31)),"Closed in May","Other")</f>
        <v/>
      </c>
    </row>
    <row r="1061">
      <c r="A1061" s="37" t="n">
        <v>46143</v>
      </c>
      <c r="B1061" s="3" t="n">
        <v>2026</v>
      </c>
      <c r="C1061" s="26" t="inlineStr">
        <is>
          <t>Yanara Power</t>
        </is>
      </c>
      <c r="D1061" s="3" t="inlineStr">
        <is>
          <t>Utility and C&amp;I</t>
        </is>
      </c>
      <c r="E1061" s="3" t="n"/>
      <c r="F1061" s="3" t="inlineStr">
        <is>
          <t>Closed</t>
        </is>
      </c>
      <c r="G1061" s="9" t="inlineStr">
        <is>
          <t xml:space="preserve">Ashish Jindal </t>
        </is>
      </c>
      <c r="H1061" s="26" t="n">
        <v>9983975581</v>
      </c>
      <c r="I1061" s="38" t="inlineStr">
        <is>
          <t>PE01052601</t>
        </is>
      </c>
      <c r="J1061" s="26" t="inlineStr">
        <is>
          <t>Multiple Issues</t>
        </is>
      </c>
      <c r="K1061" s="39" t="inlineStr">
        <is>
          <t>Holi</t>
        </is>
      </c>
      <c r="L1061" s="39" t="inlineStr">
        <is>
          <t>Maharashtra</t>
        </is>
      </c>
      <c r="M1061" s="9" t="inlineStr">
        <is>
          <t>PS</t>
        </is>
      </c>
      <c r="N1061" s="3" t="inlineStr">
        <is>
          <t>Cold Soldering</t>
        </is>
      </c>
      <c r="O1061" s="39" t="n">
        <v>575</v>
      </c>
      <c r="P1061" s="9" t="inlineStr">
        <is>
          <t>NSMI24070192884</t>
        </is>
      </c>
      <c r="Q1061" s="53">
        <f>MID(P1061,5,2)</f>
        <v/>
      </c>
      <c r="R1061" s="53">
        <f>MID(P1061,7,2)</f>
        <v/>
      </c>
      <c r="S1061" s="3" t="inlineStr">
        <is>
          <t>G2G</t>
        </is>
      </c>
      <c r="T1061" s="3" t="inlineStr">
        <is>
          <t>P4</t>
        </is>
      </c>
      <c r="U1061" s="19" t="inlineStr">
        <is>
          <t>P JB Cold Soldering</t>
        </is>
      </c>
      <c r="V1061" s="19" t="inlineStr">
        <is>
          <t>Soldering</t>
        </is>
      </c>
      <c r="W1061" s="3" t="inlineStr">
        <is>
          <t>Repair</t>
        </is>
      </c>
      <c r="X1061" s="18" t="n">
        <v>46156</v>
      </c>
      <c r="Y1061" s="73">
        <f>IF(X1061="","",X1061-A1061)</f>
        <v/>
      </c>
      <c r="Z1061" s="18" t="n">
        <v>46156</v>
      </c>
      <c r="AA1061" s="15" t="n"/>
      <c r="AB1061" s="15" t="n"/>
      <c r="AF1061">
        <f>IF(AND($F1061="Closed",$X1061&gt;=DATE(2026,5,1),$X1061&lt;=DATE(2026,5,31)),"Closed in May","Other")</f>
        <v/>
      </c>
    </row>
    <row r="1062">
      <c r="A1062" s="37" t="n">
        <v>46143</v>
      </c>
      <c r="B1062" s="3" t="n">
        <v>2026</v>
      </c>
      <c r="C1062" s="26" t="inlineStr">
        <is>
          <t>Yanara Power</t>
        </is>
      </c>
      <c r="D1062" s="3" t="inlineStr">
        <is>
          <t>Utility and C&amp;I</t>
        </is>
      </c>
      <c r="E1062" s="3" t="n"/>
      <c r="F1062" s="3" t="inlineStr">
        <is>
          <t>Closed</t>
        </is>
      </c>
      <c r="G1062" s="9" t="inlineStr">
        <is>
          <t xml:space="preserve">Ashish Jindal </t>
        </is>
      </c>
      <c r="H1062" s="26" t="n">
        <v>9983975581</v>
      </c>
      <c r="I1062" s="38" t="inlineStr">
        <is>
          <t>PE01052601</t>
        </is>
      </c>
      <c r="J1062" s="26" t="inlineStr">
        <is>
          <t>Multiple Issues</t>
        </is>
      </c>
      <c r="K1062" s="39" t="inlineStr">
        <is>
          <t>Holi</t>
        </is>
      </c>
      <c r="L1062" s="39" t="inlineStr">
        <is>
          <t>Maharashtra</t>
        </is>
      </c>
      <c r="M1062" s="9" t="inlineStr">
        <is>
          <t>PS</t>
        </is>
      </c>
      <c r="N1062" s="3" t="inlineStr">
        <is>
          <t>Cold Soldering</t>
        </is>
      </c>
      <c r="O1062" s="39" t="n">
        <v>575</v>
      </c>
      <c r="P1062" s="9" t="inlineStr">
        <is>
          <t>NSMI24070192886</t>
        </is>
      </c>
      <c r="Q1062" s="53">
        <f>MID(P1062,5,2)</f>
        <v/>
      </c>
      <c r="R1062" s="53">
        <f>MID(P1062,7,2)</f>
        <v/>
      </c>
      <c r="S1062" s="3" t="inlineStr">
        <is>
          <t>G2G</t>
        </is>
      </c>
      <c r="T1062" s="3" t="inlineStr">
        <is>
          <t>P4</t>
        </is>
      </c>
      <c r="U1062" s="19" t="inlineStr">
        <is>
          <t>P JB Cold Soldering</t>
        </is>
      </c>
      <c r="V1062" s="19" t="inlineStr">
        <is>
          <t>Soldering</t>
        </is>
      </c>
      <c r="W1062" s="3" t="inlineStr">
        <is>
          <t>Repair</t>
        </is>
      </c>
      <c r="X1062" s="18" t="n">
        <v>46156</v>
      </c>
      <c r="Y1062" s="73">
        <f>IF(X1062="","",X1062-A1062)</f>
        <v/>
      </c>
      <c r="Z1062" s="18" t="n">
        <v>46156</v>
      </c>
      <c r="AA1062" s="15" t="n"/>
      <c r="AB1062" s="15" t="n"/>
      <c r="AF1062">
        <f>IF(AND($F1062="Closed",$X1062&gt;=DATE(2026,5,1),$X1062&lt;=DATE(2026,5,31)),"Closed in May","Other")</f>
        <v/>
      </c>
    </row>
    <row r="1063">
      <c r="A1063" s="37" t="n">
        <v>46143</v>
      </c>
      <c r="B1063" s="3" t="n">
        <v>2026</v>
      </c>
      <c r="C1063" s="26" t="inlineStr">
        <is>
          <t>Yanara Power</t>
        </is>
      </c>
      <c r="D1063" s="3" t="inlineStr">
        <is>
          <t>Utility and C&amp;I</t>
        </is>
      </c>
      <c r="E1063" s="3" t="n"/>
      <c r="F1063" s="3" t="inlineStr">
        <is>
          <t>Closed</t>
        </is>
      </c>
      <c r="G1063" s="9" t="inlineStr">
        <is>
          <t xml:space="preserve">Ashish Jindal </t>
        </is>
      </c>
      <c r="H1063" s="26" t="n">
        <v>9983975581</v>
      </c>
      <c r="I1063" s="38" t="inlineStr">
        <is>
          <t>PE01052601</t>
        </is>
      </c>
      <c r="J1063" s="26" t="inlineStr">
        <is>
          <t>Multiple Issues</t>
        </is>
      </c>
      <c r="K1063" s="39" t="inlineStr">
        <is>
          <t>Holi</t>
        </is>
      </c>
      <c r="L1063" s="39" t="inlineStr">
        <is>
          <t>Maharashtra</t>
        </is>
      </c>
      <c r="M1063" s="9" t="inlineStr">
        <is>
          <t>NS</t>
        </is>
      </c>
      <c r="N1063" s="3" t="inlineStr">
        <is>
          <t>Cold Soldering</t>
        </is>
      </c>
      <c r="O1063" s="39" t="n">
        <v>575</v>
      </c>
      <c r="P1063" s="9" t="inlineStr">
        <is>
          <t>NSMI24070192836</t>
        </is>
      </c>
      <c r="Q1063" s="53">
        <f>MID(P1063,5,2)</f>
        <v/>
      </c>
      <c r="R1063" s="53">
        <f>MID(P1063,7,2)</f>
        <v/>
      </c>
      <c r="S1063" s="3" t="inlineStr">
        <is>
          <t>G2G</t>
        </is>
      </c>
      <c r="T1063" s="3" t="inlineStr">
        <is>
          <t>P4</t>
        </is>
      </c>
      <c r="U1063" s="3" t="inlineStr">
        <is>
          <t>N JB Cold Soldering</t>
        </is>
      </c>
      <c r="V1063" s="3" t="inlineStr">
        <is>
          <t>Soldering</t>
        </is>
      </c>
      <c r="W1063" s="3" t="inlineStr">
        <is>
          <t>Repair</t>
        </is>
      </c>
      <c r="X1063" s="18" t="n">
        <v>46156</v>
      </c>
      <c r="Y1063" s="73">
        <f>IF(X1063="","",X1063-A1063)</f>
        <v/>
      </c>
      <c r="Z1063" s="18" t="n">
        <v>46156</v>
      </c>
      <c r="AA1063" s="15" t="n"/>
      <c r="AB1063" s="15" t="n"/>
      <c r="AF1063">
        <f>IF(AND($F1063="Closed",$X1063&gt;=DATE(2026,5,1),$X1063&lt;=DATE(2026,5,31)),"Closed in May","Other")</f>
        <v/>
      </c>
    </row>
    <row r="1064">
      <c r="A1064" s="37" t="n">
        <v>46143</v>
      </c>
      <c r="B1064" s="3" t="n">
        <v>2026</v>
      </c>
      <c r="C1064" s="26" t="inlineStr">
        <is>
          <t>Yanara Power</t>
        </is>
      </c>
      <c r="D1064" s="3" t="inlineStr">
        <is>
          <t>Utility and C&amp;I</t>
        </is>
      </c>
      <c r="E1064" s="3" t="n"/>
      <c r="F1064" s="3" t="inlineStr">
        <is>
          <t>Closed</t>
        </is>
      </c>
      <c r="G1064" s="9" t="inlineStr">
        <is>
          <t xml:space="preserve">Ashish Jindal </t>
        </is>
      </c>
      <c r="H1064" s="26" t="n">
        <v>9983975581</v>
      </c>
      <c r="I1064" s="38" t="inlineStr">
        <is>
          <t>PE01052601</t>
        </is>
      </c>
      <c r="J1064" s="26" t="inlineStr">
        <is>
          <t>Multiple Issues</t>
        </is>
      </c>
      <c r="K1064" s="39" t="inlineStr">
        <is>
          <t>Holi</t>
        </is>
      </c>
      <c r="L1064" s="39" t="inlineStr">
        <is>
          <t>Maharashtra</t>
        </is>
      </c>
      <c r="M1064" s="9" t="inlineStr">
        <is>
          <t>PS</t>
        </is>
      </c>
      <c r="N1064" s="3" t="inlineStr">
        <is>
          <t>Cold Soldering</t>
        </is>
      </c>
      <c r="O1064" s="39" t="n">
        <v>575</v>
      </c>
      <c r="P1064" s="9" t="inlineStr">
        <is>
          <t>NSMI24070193152</t>
        </is>
      </c>
      <c r="Q1064" s="53">
        <f>MID(P1064,5,2)</f>
        <v/>
      </c>
      <c r="R1064" s="53">
        <f>MID(P1064,7,2)</f>
        <v/>
      </c>
      <c r="S1064" s="3" t="inlineStr">
        <is>
          <t>G2G</t>
        </is>
      </c>
      <c r="T1064" s="3" t="inlineStr">
        <is>
          <t>P4</t>
        </is>
      </c>
      <c r="U1064" s="19" t="inlineStr">
        <is>
          <t>P JB Cold Soldering</t>
        </is>
      </c>
      <c r="V1064" s="19" t="inlineStr">
        <is>
          <t>Soldering</t>
        </is>
      </c>
      <c r="W1064" s="3" t="inlineStr">
        <is>
          <t>Repair</t>
        </is>
      </c>
      <c r="X1064" s="18" t="n">
        <v>46156</v>
      </c>
      <c r="Y1064" s="73">
        <f>IF(X1064="","",X1064-A1064)</f>
        <v/>
      </c>
      <c r="Z1064" s="18" t="n">
        <v>46156</v>
      </c>
      <c r="AA1064" s="15" t="n"/>
      <c r="AB1064" s="15" t="n"/>
      <c r="AF1064">
        <f>IF(AND($F1064="Closed",$X1064&gt;=DATE(2026,5,1),$X1064&lt;=DATE(2026,5,31)),"Closed in May","Other")</f>
        <v/>
      </c>
    </row>
    <row r="1065">
      <c r="A1065" s="37" t="n">
        <v>46143</v>
      </c>
      <c r="B1065" s="3" t="n">
        <v>2026</v>
      </c>
      <c r="C1065" s="26" t="inlineStr">
        <is>
          <t>Yanara Power</t>
        </is>
      </c>
      <c r="D1065" s="3" t="inlineStr">
        <is>
          <t>Utility and C&amp;I</t>
        </is>
      </c>
      <c r="E1065" s="3" t="n"/>
      <c r="F1065" s="3" t="inlineStr">
        <is>
          <t>Closed</t>
        </is>
      </c>
      <c r="G1065" s="9" t="inlineStr">
        <is>
          <t xml:space="preserve">Ashish Jindal </t>
        </is>
      </c>
      <c r="H1065" s="26" t="n">
        <v>9983975581</v>
      </c>
      <c r="I1065" s="38" t="inlineStr">
        <is>
          <t>PE01052601</t>
        </is>
      </c>
      <c r="J1065" s="26" t="inlineStr">
        <is>
          <t>Multiple Issues</t>
        </is>
      </c>
      <c r="K1065" s="39" t="inlineStr">
        <is>
          <t>Holi</t>
        </is>
      </c>
      <c r="L1065" s="39" t="inlineStr">
        <is>
          <t>Maharashtra</t>
        </is>
      </c>
      <c r="M1065" s="9" t="inlineStr">
        <is>
          <t>PR</t>
        </is>
      </c>
      <c r="N1065" s="3" t="inlineStr">
        <is>
          <t>JB Issue</t>
        </is>
      </c>
      <c r="O1065" s="39" t="n">
        <v>575</v>
      </c>
      <c r="P1065" s="9" t="inlineStr">
        <is>
          <t>NSMI24070193391</t>
        </is>
      </c>
      <c r="Q1065" s="53">
        <f>MID(P1065,5,2)</f>
        <v/>
      </c>
      <c r="R1065" s="53">
        <f>MID(P1065,7,2)</f>
        <v/>
      </c>
      <c r="S1065" s="3" t="inlineStr">
        <is>
          <t>G2G</t>
        </is>
      </c>
      <c r="T1065" s="3" t="inlineStr">
        <is>
          <t>P4</t>
        </is>
      </c>
      <c r="U1065" s="3" t="inlineStr">
        <is>
          <t>P JB Issue</t>
        </is>
      </c>
      <c r="V1065" s="15" t="inlineStr">
        <is>
          <t>JB Changed</t>
        </is>
      </c>
      <c r="W1065" s="3" t="inlineStr">
        <is>
          <t>Repair</t>
        </is>
      </c>
      <c r="X1065" s="18" t="n">
        <v>46156</v>
      </c>
      <c r="Y1065" s="73">
        <f>IF(X1065="","",X1065-A1065)</f>
        <v/>
      </c>
      <c r="Z1065" s="18" t="n">
        <v>46156</v>
      </c>
      <c r="AA1065" s="15" t="n"/>
      <c r="AB1065" s="15" t="n"/>
      <c r="AF1065">
        <f>IF(AND($F1065="Closed",$X1065&gt;=DATE(2026,5,1),$X1065&lt;=DATE(2026,5,31)),"Closed in May","Other")</f>
        <v/>
      </c>
    </row>
    <row r="1066">
      <c r="A1066" s="37" t="n">
        <v>46143</v>
      </c>
      <c r="B1066" s="3" t="n">
        <v>2026</v>
      </c>
      <c r="C1066" s="26" t="inlineStr">
        <is>
          <t>Yanara Power</t>
        </is>
      </c>
      <c r="D1066" s="3" t="inlineStr">
        <is>
          <t>Utility and C&amp;I</t>
        </is>
      </c>
      <c r="E1066" s="3" t="n"/>
      <c r="F1066" s="3" t="inlineStr">
        <is>
          <t>Closed</t>
        </is>
      </c>
      <c r="G1066" s="9" t="inlineStr">
        <is>
          <t xml:space="preserve">Ashish Jindal </t>
        </is>
      </c>
      <c r="H1066" s="26" t="n">
        <v>9983975581</v>
      </c>
      <c r="I1066" s="38" t="inlineStr">
        <is>
          <t>PE01052601</t>
        </is>
      </c>
      <c r="J1066" s="26" t="inlineStr">
        <is>
          <t>Multiple Issues</t>
        </is>
      </c>
      <c r="K1066" s="39" t="inlineStr">
        <is>
          <t>Holi</t>
        </is>
      </c>
      <c r="L1066" s="39" t="inlineStr">
        <is>
          <t>Maharashtra</t>
        </is>
      </c>
      <c r="M1066" s="9" t="inlineStr">
        <is>
          <t>NS</t>
        </is>
      </c>
      <c r="N1066" s="3" t="inlineStr">
        <is>
          <t>Cold Soldering</t>
        </is>
      </c>
      <c r="O1066" s="39" t="n">
        <v>575</v>
      </c>
      <c r="P1066" s="9" t="inlineStr">
        <is>
          <t>NSMI24070176630</t>
        </is>
      </c>
      <c r="Q1066" s="53">
        <f>MID(P1066,5,2)</f>
        <v/>
      </c>
      <c r="R1066" s="53">
        <f>MID(P1066,7,2)</f>
        <v/>
      </c>
      <c r="S1066" s="3" t="inlineStr">
        <is>
          <t>G2G</t>
        </is>
      </c>
      <c r="T1066" s="3" t="inlineStr">
        <is>
          <t>P4</t>
        </is>
      </c>
      <c r="U1066" s="3" t="inlineStr">
        <is>
          <t>N JB Cold Soldering</t>
        </is>
      </c>
      <c r="V1066" s="3" t="inlineStr">
        <is>
          <t>Soldering</t>
        </is>
      </c>
      <c r="W1066" s="3" t="inlineStr">
        <is>
          <t>Repair</t>
        </is>
      </c>
      <c r="X1066" s="18" t="n">
        <v>46156</v>
      </c>
      <c r="Y1066" s="73">
        <f>IF(X1066="","",X1066-A1066)</f>
        <v/>
      </c>
      <c r="Z1066" s="18" t="n">
        <v>46156</v>
      </c>
      <c r="AA1066" s="15" t="n"/>
      <c r="AB1066" s="15" t="n"/>
      <c r="AF1066">
        <f>IF(AND($F1066="Closed",$X1066&gt;=DATE(2026,5,1),$X1066&lt;=DATE(2026,5,31)),"Closed in May","Other")</f>
        <v/>
      </c>
    </row>
    <row r="1067">
      <c r="A1067" s="37" t="n">
        <v>46143</v>
      </c>
      <c r="B1067" s="3" t="n">
        <v>2026</v>
      </c>
      <c r="C1067" s="26" t="inlineStr">
        <is>
          <t>Yanara Power</t>
        </is>
      </c>
      <c r="D1067" s="3" t="inlineStr">
        <is>
          <t>Utility and C&amp;I</t>
        </is>
      </c>
      <c r="E1067" s="3" t="n"/>
      <c r="F1067" s="3" t="inlineStr">
        <is>
          <t>Closed</t>
        </is>
      </c>
      <c r="G1067" s="9" t="inlineStr">
        <is>
          <t xml:space="preserve">Ashish Jindal </t>
        </is>
      </c>
      <c r="H1067" s="26" t="n">
        <v>9983975581</v>
      </c>
      <c r="I1067" s="38" t="inlineStr">
        <is>
          <t>PE01052601</t>
        </is>
      </c>
      <c r="J1067" s="26" t="inlineStr">
        <is>
          <t>Multiple Issues</t>
        </is>
      </c>
      <c r="K1067" s="39" t="inlineStr">
        <is>
          <t>Holi</t>
        </is>
      </c>
      <c r="L1067" s="39" t="inlineStr">
        <is>
          <t>Maharashtra</t>
        </is>
      </c>
      <c r="M1067" s="9" t="inlineStr">
        <is>
          <t>PS</t>
        </is>
      </c>
      <c r="N1067" s="3" t="inlineStr">
        <is>
          <t>Cold Soldering</t>
        </is>
      </c>
      <c r="O1067" s="39" t="n">
        <v>575</v>
      </c>
      <c r="P1067" s="9" t="inlineStr">
        <is>
          <t>NSMI24070190815</t>
        </is>
      </c>
      <c r="Q1067" s="53">
        <f>MID(P1067,5,2)</f>
        <v/>
      </c>
      <c r="R1067" s="53">
        <f>MID(P1067,7,2)</f>
        <v/>
      </c>
      <c r="S1067" s="3" t="inlineStr">
        <is>
          <t>G2G</t>
        </is>
      </c>
      <c r="T1067" s="3" t="inlineStr">
        <is>
          <t>P4</t>
        </is>
      </c>
      <c r="U1067" s="19" t="inlineStr">
        <is>
          <t>P JB Cold Soldering</t>
        </is>
      </c>
      <c r="V1067" s="19" t="inlineStr">
        <is>
          <t>Soldering</t>
        </is>
      </c>
      <c r="W1067" s="3" t="inlineStr">
        <is>
          <t>Repair</t>
        </is>
      </c>
      <c r="X1067" s="18" t="n">
        <v>46156</v>
      </c>
      <c r="Y1067" s="73">
        <f>IF(X1067="","",X1067-A1067)</f>
        <v/>
      </c>
      <c r="Z1067" s="18" t="n">
        <v>46156</v>
      </c>
      <c r="AA1067" s="15" t="n"/>
      <c r="AB1067" s="15" t="n"/>
      <c r="AF1067">
        <f>IF(AND($F1067="Closed",$X1067&gt;=DATE(2026,5,1),$X1067&lt;=DATE(2026,5,31)),"Closed in May","Other")</f>
        <v/>
      </c>
    </row>
    <row r="1068">
      <c r="A1068" s="37" t="n">
        <v>46143</v>
      </c>
      <c r="B1068" s="3" t="n">
        <v>2026</v>
      </c>
      <c r="C1068" s="26" t="inlineStr">
        <is>
          <t>Yanara Power</t>
        </is>
      </c>
      <c r="D1068" s="3" t="inlineStr">
        <is>
          <t>Utility and C&amp;I</t>
        </is>
      </c>
      <c r="E1068" s="3" t="n"/>
      <c r="F1068" s="3" t="inlineStr">
        <is>
          <t>Closed</t>
        </is>
      </c>
      <c r="G1068" s="9" t="inlineStr">
        <is>
          <t xml:space="preserve">Ashish Jindal </t>
        </is>
      </c>
      <c r="H1068" s="26" t="n">
        <v>9983975581</v>
      </c>
      <c r="I1068" s="38" t="inlineStr">
        <is>
          <t>PE01052601</t>
        </is>
      </c>
      <c r="J1068" s="26" t="inlineStr">
        <is>
          <t>Multiple Issues</t>
        </is>
      </c>
      <c r="K1068" s="39" t="inlineStr">
        <is>
          <t>Holi</t>
        </is>
      </c>
      <c r="L1068" s="39" t="inlineStr">
        <is>
          <t>Maharashtra</t>
        </is>
      </c>
      <c r="M1068" s="9" t="inlineStr">
        <is>
          <t>PS</t>
        </is>
      </c>
      <c r="N1068" s="3" t="inlineStr">
        <is>
          <t>Cold Soldering</t>
        </is>
      </c>
      <c r="O1068" s="39" t="n">
        <v>575</v>
      </c>
      <c r="P1068" s="9" t="inlineStr">
        <is>
          <t>NSMI24070201936</t>
        </is>
      </c>
      <c r="Q1068" s="53">
        <f>MID(P1068,5,2)</f>
        <v/>
      </c>
      <c r="R1068" s="53">
        <f>MID(P1068,7,2)</f>
        <v/>
      </c>
      <c r="S1068" s="3" t="inlineStr">
        <is>
          <t>G2G</t>
        </is>
      </c>
      <c r="T1068" s="3" t="inlineStr">
        <is>
          <t>P4</t>
        </is>
      </c>
      <c r="U1068" s="19" t="inlineStr">
        <is>
          <t>P JB Cold Soldering</t>
        </is>
      </c>
      <c r="V1068" s="19" t="inlineStr">
        <is>
          <t>Soldering</t>
        </is>
      </c>
      <c r="W1068" s="3" t="inlineStr">
        <is>
          <t>Repair</t>
        </is>
      </c>
      <c r="X1068" s="18" t="n">
        <v>46156</v>
      </c>
      <c r="Y1068" s="73">
        <f>IF(X1068="","",X1068-A1068)</f>
        <v/>
      </c>
      <c r="Z1068" s="18" t="n">
        <v>46156</v>
      </c>
      <c r="AA1068" s="15" t="n"/>
      <c r="AB1068" s="15" t="n"/>
      <c r="AF1068">
        <f>IF(AND($F1068="Closed",$X1068&gt;=DATE(2026,5,1),$X1068&lt;=DATE(2026,5,31)),"Closed in May","Other")</f>
        <v/>
      </c>
    </row>
    <row r="1069">
      <c r="A1069" s="37" t="n">
        <v>46143</v>
      </c>
      <c r="B1069" s="3" t="n">
        <v>2026</v>
      </c>
      <c r="C1069" s="26" t="inlineStr">
        <is>
          <t>Yanara Power</t>
        </is>
      </c>
      <c r="D1069" s="3" t="inlineStr">
        <is>
          <t>Utility and C&amp;I</t>
        </is>
      </c>
      <c r="E1069" s="3" t="n"/>
      <c r="F1069" s="3" t="inlineStr">
        <is>
          <t>Closed</t>
        </is>
      </c>
      <c r="G1069" s="9" t="inlineStr">
        <is>
          <t xml:space="preserve">Ashish Jindal </t>
        </is>
      </c>
      <c r="H1069" s="26" t="n">
        <v>9983975581</v>
      </c>
      <c r="I1069" s="38" t="inlineStr">
        <is>
          <t>PE01052601</t>
        </is>
      </c>
      <c r="J1069" s="26" t="inlineStr">
        <is>
          <t>Multiple Issues</t>
        </is>
      </c>
      <c r="K1069" s="39" t="inlineStr">
        <is>
          <t>Holi</t>
        </is>
      </c>
      <c r="L1069" s="39" t="inlineStr">
        <is>
          <t>Maharashtra</t>
        </is>
      </c>
      <c r="M1069" s="9" t="inlineStr">
        <is>
          <t>PS</t>
        </is>
      </c>
      <c r="N1069" s="3" t="inlineStr">
        <is>
          <t>Cold Soldering</t>
        </is>
      </c>
      <c r="O1069" s="39" t="n">
        <v>575</v>
      </c>
      <c r="P1069" s="9" t="inlineStr">
        <is>
          <t>NSMI24070195280</t>
        </is>
      </c>
      <c r="Q1069" s="53">
        <f>MID(P1069,5,2)</f>
        <v/>
      </c>
      <c r="R1069" s="53">
        <f>MID(P1069,7,2)</f>
        <v/>
      </c>
      <c r="S1069" s="3" t="inlineStr">
        <is>
          <t>G2G</t>
        </is>
      </c>
      <c r="T1069" s="3" t="inlineStr">
        <is>
          <t>P4</t>
        </is>
      </c>
      <c r="U1069" s="19" t="inlineStr">
        <is>
          <t>P JB Cold Soldering</t>
        </is>
      </c>
      <c r="V1069" s="19" t="inlineStr">
        <is>
          <t>Soldering</t>
        </is>
      </c>
      <c r="W1069" s="3" t="inlineStr">
        <is>
          <t>Repair</t>
        </is>
      </c>
      <c r="X1069" s="18" t="n">
        <v>46156</v>
      </c>
      <c r="Y1069" s="73">
        <f>IF(X1069="","",X1069-A1069)</f>
        <v/>
      </c>
      <c r="Z1069" s="18" t="n">
        <v>46156</v>
      </c>
      <c r="AA1069" s="15" t="n"/>
      <c r="AB1069" s="15" t="n"/>
      <c r="AF1069">
        <f>IF(AND($F1069="Closed",$X1069&gt;=DATE(2026,5,1),$X1069&lt;=DATE(2026,5,31)),"Closed in May","Other")</f>
        <v/>
      </c>
    </row>
    <row r="1070">
      <c r="A1070" s="37" t="n">
        <v>46143</v>
      </c>
      <c r="B1070" s="3" t="n">
        <v>2026</v>
      </c>
      <c r="C1070" s="26" t="inlineStr">
        <is>
          <t>Yanara Power</t>
        </is>
      </c>
      <c r="D1070" s="3" t="inlineStr">
        <is>
          <t>Utility and C&amp;I</t>
        </is>
      </c>
      <c r="E1070" s="3" t="n"/>
      <c r="F1070" s="3" t="inlineStr">
        <is>
          <t>Closed</t>
        </is>
      </c>
      <c r="G1070" s="9" t="inlineStr">
        <is>
          <t xml:space="preserve">Ashish Jindal </t>
        </is>
      </c>
      <c r="H1070" s="26" t="n">
        <v>9983975581</v>
      </c>
      <c r="I1070" s="38" t="inlineStr">
        <is>
          <t>PE01052601</t>
        </is>
      </c>
      <c r="J1070" s="26" t="inlineStr">
        <is>
          <t>Multiple Issues</t>
        </is>
      </c>
      <c r="K1070" s="39" t="inlineStr">
        <is>
          <t>Holi</t>
        </is>
      </c>
      <c r="L1070" s="39" t="inlineStr">
        <is>
          <t>Maharashtra</t>
        </is>
      </c>
      <c r="M1070" s="9" t="inlineStr">
        <is>
          <t>NS</t>
        </is>
      </c>
      <c r="N1070" s="3" t="inlineStr">
        <is>
          <t>Cold Soldering</t>
        </is>
      </c>
      <c r="O1070" s="39" t="n">
        <v>575</v>
      </c>
      <c r="P1070" s="9" t="inlineStr">
        <is>
          <t>NSMI24070189437</t>
        </is>
      </c>
      <c r="Q1070" s="53">
        <f>MID(P1070,5,2)</f>
        <v/>
      </c>
      <c r="R1070" s="53">
        <f>MID(P1070,7,2)</f>
        <v/>
      </c>
      <c r="S1070" s="3" t="inlineStr">
        <is>
          <t>G2G</t>
        </is>
      </c>
      <c r="T1070" s="3" t="inlineStr">
        <is>
          <t>P4</t>
        </is>
      </c>
      <c r="U1070" s="3" t="inlineStr">
        <is>
          <t>N JB Cold Soldering</t>
        </is>
      </c>
      <c r="V1070" s="3" t="inlineStr">
        <is>
          <t>Soldering</t>
        </is>
      </c>
      <c r="W1070" s="3" t="inlineStr">
        <is>
          <t>Repair</t>
        </is>
      </c>
      <c r="X1070" s="18" t="n">
        <v>46156</v>
      </c>
      <c r="Y1070" s="73">
        <f>IF(X1070="","",X1070-A1070)</f>
        <v/>
      </c>
      <c r="Z1070" s="18" t="n">
        <v>46156</v>
      </c>
      <c r="AA1070" s="15" t="n"/>
      <c r="AB1070" s="15" t="n"/>
      <c r="AF1070">
        <f>IF(AND($F1070="Closed",$X1070&gt;=DATE(2026,5,1),$X1070&lt;=DATE(2026,5,31)),"Closed in May","Other")</f>
        <v/>
      </c>
    </row>
    <row r="1071">
      <c r="A1071" s="37" t="n">
        <v>46143</v>
      </c>
      <c r="B1071" s="3" t="n">
        <v>2026</v>
      </c>
      <c r="C1071" s="26" t="inlineStr">
        <is>
          <t>Yanara Power</t>
        </is>
      </c>
      <c r="D1071" s="3" t="inlineStr">
        <is>
          <t>Utility and C&amp;I</t>
        </is>
      </c>
      <c r="E1071" s="3" t="n"/>
      <c r="F1071" s="3" t="inlineStr">
        <is>
          <t>Closed</t>
        </is>
      </c>
      <c r="G1071" s="9" t="inlineStr">
        <is>
          <t xml:space="preserve">Ashish Jindal </t>
        </is>
      </c>
      <c r="H1071" s="26" t="n">
        <v>9983975581</v>
      </c>
      <c r="I1071" s="38" t="inlineStr">
        <is>
          <t>PE01052601</t>
        </is>
      </c>
      <c r="J1071" s="26" t="inlineStr">
        <is>
          <t>Multiple Issues</t>
        </is>
      </c>
      <c r="K1071" s="39" t="inlineStr">
        <is>
          <t>Holi</t>
        </is>
      </c>
      <c r="L1071" s="39" t="inlineStr">
        <is>
          <t>Maharashtra</t>
        </is>
      </c>
      <c r="M1071" s="9" t="inlineStr">
        <is>
          <t>PS</t>
        </is>
      </c>
      <c r="N1071" s="3" t="inlineStr">
        <is>
          <t>Cold Soldering</t>
        </is>
      </c>
      <c r="O1071" s="39" t="n">
        <v>575</v>
      </c>
      <c r="P1071" s="9" t="inlineStr">
        <is>
          <t>NSMI24070190508</t>
        </is>
      </c>
      <c r="Q1071" s="53">
        <f>MID(P1071,5,2)</f>
        <v/>
      </c>
      <c r="R1071" s="53">
        <f>MID(P1071,7,2)</f>
        <v/>
      </c>
      <c r="S1071" s="3" t="inlineStr">
        <is>
          <t>G2G</t>
        </is>
      </c>
      <c r="T1071" s="3" t="inlineStr">
        <is>
          <t>P4</t>
        </is>
      </c>
      <c r="U1071" s="19" t="inlineStr">
        <is>
          <t>P JB Cold Soldering</t>
        </is>
      </c>
      <c r="V1071" s="19" t="inlineStr">
        <is>
          <t>Soldering</t>
        </is>
      </c>
      <c r="W1071" s="3" t="inlineStr">
        <is>
          <t>Repair</t>
        </is>
      </c>
      <c r="X1071" s="18" t="n">
        <v>46156</v>
      </c>
      <c r="Y1071" s="73">
        <f>IF(X1071="","",X1071-A1071)</f>
        <v/>
      </c>
      <c r="Z1071" s="18" t="n">
        <v>46156</v>
      </c>
      <c r="AA1071" s="15" t="n"/>
      <c r="AB1071" s="15" t="n"/>
      <c r="AF1071">
        <f>IF(AND($F1071="Closed",$X1071&gt;=DATE(2026,5,1),$X1071&lt;=DATE(2026,5,31)),"Closed in May","Other")</f>
        <v/>
      </c>
    </row>
    <row r="1072">
      <c r="A1072" s="37" t="n">
        <v>46143</v>
      </c>
      <c r="B1072" s="3" t="n">
        <v>2026</v>
      </c>
      <c r="C1072" s="26" t="inlineStr">
        <is>
          <t>Yanara Power</t>
        </is>
      </c>
      <c r="D1072" s="3" t="inlineStr">
        <is>
          <t>Utility and C&amp;I</t>
        </is>
      </c>
      <c r="E1072" s="3" t="n"/>
      <c r="F1072" s="3" t="inlineStr">
        <is>
          <t>Closed</t>
        </is>
      </c>
      <c r="G1072" s="9" t="inlineStr">
        <is>
          <t xml:space="preserve">Ashish Jindal </t>
        </is>
      </c>
      <c r="H1072" s="26" t="n">
        <v>9983975581</v>
      </c>
      <c r="I1072" s="38" t="inlineStr">
        <is>
          <t>PE01052601</t>
        </is>
      </c>
      <c r="J1072" s="26" t="inlineStr">
        <is>
          <t>Multiple Issues</t>
        </is>
      </c>
      <c r="K1072" s="39" t="inlineStr">
        <is>
          <t>Holi</t>
        </is>
      </c>
      <c r="L1072" s="39" t="inlineStr">
        <is>
          <t>Maharashtra</t>
        </is>
      </c>
      <c r="M1072" s="9" t="inlineStr">
        <is>
          <t>AR</t>
        </is>
      </c>
      <c r="N1072" s="19" t="inlineStr">
        <is>
          <t>JB Issue</t>
        </is>
      </c>
      <c r="O1072" s="39" t="n">
        <v>575</v>
      </c>
      <c r="P1072" s="9" t="inlineStr">
        <is>
          <t>NSMI24070192957</t>
        </is>
      </c>
      <c r="Q1072" s="53">
        <f>MID(P1072,5,2)</f>
        <v/>
      </c>
      <c r="R1072" s="53">
        <f>MID(P1072,7,2)</f>
        <v/>
      </c>
      <c r="S1072" s="3" t="inlineStr">
        <is>
          <t>G2G</t>
        </is>
      </c>
      <c r="T1072" s="3" t="inlineStr">
        <is>
          <t>P4</t>
        </is>
      </c>
      <c r="U1072" s="19" t="inlineStr">
        <is>
          <t>All JB Issue</t>
        </is>
      </c>
      <c r="V1072" s="19" t="inlineStr">
        <is>
          <t>JB Changed</t>
        </is>
      </c>
      <c r="W1072" s="3" t="inlineStr">
        <is>
          <t>Repair</t>
        </is>
      </c>
      <c r="X1072" s="18" t="n">
        <v>46156</v>
      </c>
      <c r="Y1072" s="73">
        <f>IF(X1072="","",X1072-A1072)</f>
        <v/>
      </c>
      <c r="Z1072" s="18" t="n">
        <v>46156</v>
      </c>
      <c r="AA1072" s="15" t="n"/>
      <c r="AB1072" s="15" t="n"/>
      <c r="AF1072">
        <f>IF(AND($F1072="Closed",$X1072&gt;=DATE(2026,5,1),$X1072&lt;=DATE(2026,5,31)),"Closed in May","Other")</f>
        <v/>
      </c>
    </row>
    <row r="1073">
      <c r="A1073" s="37" t="n">
        <v>46143</v>
      </c>
      <c r="B1073" s="3" t="n">
        <v>2026</v>
      </c>
      <c r="C1073" s="26" t="inlineStr">
        <is>
          <t>Yanara Power</t>
        </is>
      </c>
      <c r="D1073" s="3" t="inlineStr">
        <is>
          <t>Utility and C&amp;I</t>
        </is>
      </c>
      <c r="E1073" s="3" t="n"/>
      <c r="F1073" s="3" t="inlineStr">
        <is>
          <t>Closed</t>
        </is>
      </c>
      <c r="G1073" s="9" t="inlineStr">
        <is>
          <t xml:space="preserve">Ashish Jindal </t>
        </is>
      </c>
      <c r="H1073" s="26" t="n">
        <v>9983975581</v>
      </c>
      <c r="I1073" s="38" t="inlineStr">
        <is>
          <t>PE01052601</t>
        </is>
      </c>
      <c r="J1073" s="26" t="inlineStr">
        <is>
          <t>Multiple Issues</t>
        </is>
      </c>
      <c r="K1073" s="39" t="inlineStr">
        <is>
          <t>Holi</t>
        </is>
      </c>
      <c r="L1073" s="39" t="inlineStr">
        <is>
          <t>Maharashtra</t>
        </is>
      </c>
      <c r="M1073" s="9" t="inlineStr">
        <is>
          <t>PS</t>
        </is>
      </c>
      <c r="N1073" s="3" t="inlineStr">
        <is>
          <t>Cold Soldering</t>
        </is>
      </c>
      <c r="O1073" s="39" t="n">
        <v>575</v>
      </c>
      <c r="P1073" s="9" t="inlineStr">
        <is>
          <t>NSMI24070216979</t>
        </is>
      </c>
      <c r="Q1073" s="53">
        <f>MID(P1073,5,2)</f>
        <v/>
      </c>
      <c r="R1073" s="53">
        <f>MID(P1073,7,2)</f>
        <v/>
      </c>
      <c r="S1073" s="3" t="inlineStr">
        <is>
          <t>G2G</t>
        </is>
      </c>
      <c r="T1073" s="3" t="inlineStr">
        <is>
          <t>P4</t>
        </is>
      </c>
      <c r="U1073" s="19" t="inlineStr">
        <is>
          <t>P JB Cold Soldering</t>
        </is>
      </c>
      <c r="V1073" s="19" t="inlineStr">
        <is>
          <t>Soldering</t>
        </is>
      </c>
      <c r="W1073" s="3" t="inlineStr">
        <is>
          <t>Repair</t>
        </is>
      </c>
      <c r="X1073" s="18" t="n">
        <v>46156</v>
      </c>
      <c r="Y1073" s="73">
        <f>IF(X1073="","",X1073-A1073)</f>
        <v/>
      </c>
      <c r="Z1073" s="18" t="n">
        <v>46156</v>
      </c>
      <c r="AA1073" s="15" t="n"/>
      <c r="AB1073" s="15" t="n"/>
      <c r="AF1073">
        <f>IF(AND($F1073="Closed",$X1073&gt;=DATE(2026,5,1),$X1073&lt;=DATE(2026,5,31)),"Closed in May","Other")</f>
        <v/>
      </c>
    </row>
    <row r="1074">
      <c r="A1074" s="37" t="n">
        <v>46143</v>
      </c>
      <c r="B1074" s="3" t="n">
        <v>2026</v>
      </c>
      <c r="C1074" s="26" t="inlineStr">
        <is>
          <t>Yanara Power</t>
        </is>
      </c>
      <c r="D1074" s="3" t="inlineStr">
        <is>
          <t>Utility and C&amp;I</t>
        </is>
      </c>
      <c r="E1074" s="3" t="n"/>
      <c r="F1074" s="3" t="inlineStr">
        <is>
          <t>Closed</t>
        </is>
      </c>
      <c r="G1074" s="9" t="inlineStr">
        <is>
          <t xml:space="preserve">Ashish Jindal </t>
        </is>
      </c>
      <c r="H1074" s="26" t="n">
        <v>9983975581</v>
      </c>
      <c r="I1074" s="38" t="inlineStr">
        <is>
          <t>PE01052601</t>
        </is>
      </c>
      <c r="J1074" s="26" t="inlineStr">
        <is>
          <t>Multiple Issues</t>
        </is>
      </c>
      <c r="K1074" s="39" t="inlineStr">
        <is>
          <t>Holi</t>
        </is>
      </c>
      <c r="L1074" s="39" t="inlineStr">
        <is>
          <t>Maharashtra</t>
        </is>
      </c>
      <c r="M1074" s="9" t="inlineStr">
        <is>
          <t>PS</t>
        </is>
      </c>
      <c r="N1074" s="3" t="inlineStr">
        <is>
          <t>Cold Soldering</t>
        </is>
      </c>
      <c r="O1074" s="39" t="n">
        <v>575</v>
      </c>
      <c r="P1074" s="9" t="inlineStr">
        <is>
          <t>NSMI24070202920</t>
        </is>
      </c>
      <c r="Q1074" s="53">
        <f>MID(P1074,5,2)</f>
        <v/>
      </c>
      <c r="R1074" s="53">
        <f>MID(P1074,7,2)</f>
        <v/>
      </c>
      <c r="S1074" s="3" t="inlineStr">
        <is>
          <t>G2G</t>
        </is>
      </c>
      <c r="T1074" s="3" t="inlineStr">
        <is>
          <t>P4</t>
        </is>
      </c>
      <c r="U1074" s="19" t="inlineStr">
        <is>
          <t>P JB Cold Soldering</t>
        </is>
      </c>
      <c r="V1074" s="19" t="inlineStr">
        <is>
          <t>Soldering</t>
        </is>
      </c>
      <c r="W1074" s="3" t="inlineStr">
        <is>
          <t>Repair</t>
        </is>
      </c>
      <c r="X1074" s="18" t="n">
        <v>46156</v>
      </c>
      <c r="Y1074" s="73">
        <f>IF(X1074="","",X1074-A1074)</f>
        <v/>
      </c>
      <c r="Z1074" s="18" t="n">
        <v>46156</v>
      </c>
      <c r="AA1074" s="15" t="n"/>
      <c r="AB1074" s="15" t="n"/>
      <c r="AF1074">
        <f>IF(AND($F1074="Closed",$X1074&gt;=DATE(2026,5,1),$X1074&lt;=DATE(2026,5,31)),"Closed in May","Other")</f>
        <v/>
      </c>
    </row>
    <row r="1075">
      <c r="A1075" s="37" t="n">
        <v>46143</v>
      </c>
      <c r="B1075" s="3" t="n">
        <v>2026</v>
      </c>
      <c r="C1075" s="26" t="inlineStr">
        <is>
          <t>Yanara Power</t>
        </is>
      </c>
      <c r="D1075" s="3" t="inlineStr">
        <is>
          <t>Utility and C&amp;I</t>
        </is>
      </c>
      <c r="E1075" s="3" t="n"/>
      <c r="F1075" s="3" t="inlineStr">
        <is>
          <t>Closed</t>
        </is>
      </c>
      <c r="G1075" s="9" t="inlineStr">
        <is>
          <t xml:space="preserve">Ashish Jindal </t>
        </is>
      </c>
      <c r="H1075" s="26" t="n">
        <v>9983975581</v>
      </c>
      <c r="I1075" s="38" t="inlineStr">
        <is>
          <t>PE01052601</t>
        </is>
      </c>
      <c r="J1075" s="26" t="inlineStr">
        <is>
          <t>Multiple Issues</t>
        </is>
      </c>
      <c r="K1075" s="39" t="inlineStr">
        <is>
          <t>Holi</t>
        </is>
      </c>
      <c r="L1075" s="39" t="inlineStr">
        <is>
          <t>Maharashtra</t>
        </is>
      </c>
      <c r="M1075" s="9" t="inlineStr">
        <is>
          <t>PS</t>
        </is>
      </c>
      <c r="N1075" s="3" t="inlineStr">
        <is>
          <t>Cold Soldering</t>
        </is>
      </c>
      <c r="O1075" s="39" t="n">
        <v>575</v>
      </c>
      <c r="P1075" s="9" t="inlineStr">
        <is>
          <t>NSMI24070202278</t>
        </is>
      </c>
      <c r="Q1075" s="53">
        <f>MID(P1075,5,2)</f>
        <v/>
      </c>
      <c r="R1075" s="53">
        <f>MID(P1075,7,2)</f>
        <v/>
      </c>
      <c r="S1075" s="3" t="inlineStr">
        <is>
          <t>G2G</t>
        </is>
      </c>
      <c r="T1075" s="3" t="inlineStr">
        <is>
          <t>P4</t>
        </is>
      </c>
      <c r="U1075" s="19" t="inlineStr">
        <is>
          <t>P JB Cold Soldering</t>
        </is>
      </c>
      <c r="V1075" s="19" t="inlineStr">
        <is>
          <t>Soldering</t>
        </is>
      </c>
      <c r="W1075" s="3" t="inlineStr">
        <is>
          <t>Repair</t>
        </is>
      </c>
      <c r="X1075" s="18" t="n">
        <v>46156</v>
      </c>
      <c r="Y1075" s="73">
        <f>IF(X1075="","",X1075-A1075)</f>
        <v/>
      </c>
      <c r="Z1075" s="18" t="n">
        <v>46156</v>
      </c>
      <c r="AA1075" s="15" t="n"/>
      <c r="AB1075" s="15" t="n"/>
      <c r="AF1075">
        <f>IF(AND($F1075="Closed",$X1075&gt;=DATE(2026,5,1),$X1075&lt;=DATE(2026,5,31)),"Closed in May","Other")</f>
        <v/>
      </c>
    </row>
    <row r="1076">
      <c r="A1076" s="37" t="n">
        <v>46143</v>
      </c>
      <c r="B1076" s="3" t="n">
        <v>2026</v>
      </c>
      <c r="C1076" s="26" t="inlineStr">
        <is>
          <t>Yanara Power</t>
        </is>
      </c>
      <c r="D1076" s="3" t="inlineStr">
        <is>
          <t>Utility and C&amp;I</t>
        </is>
      </c>
      <c r="E1076" s="3" t="n"/>
      <c r="F1076" s="3" t="inlineStr">
        <is>
          <t>Closed</t>
        </is>
      </c>
      <c r="G1076" s="9" t="inlineStr">
        <is>
          <t xml:space="preserve">Ashish Jindal </t>
        </is>
      </c>
      <c r="H1076" s="26" t="n">
        <v>9983975581</v>
      </c>
      <c r="I1076" s="38" t="inlineStr">
        <is>
          <t>PE01052601</t>
        </is>
      </c>
      <c r="J1076" s="26" t="inlineStr">
        <is>
          <t>Multiple Issues</t>
        </is>
      </c>
      <c r="K1076" s="39" t="inlineStr">
        <is>
          <t>Holi</t>
        </is>
      </c>
      <c r="L1076" s="39" t="inlineStr">
        <is>
          <t>Maharashtra</t>
        </is>
      </c>
      <c r="M1076" s="9" t="inlineStr">
        <is>
          <t>PS</t>
        </is>
      </c>
      <c r="N1076" s="3" t="inlineStr">
        <is>
          <t>Cold Soldering</t>
        </is>
      </c>
      <c r="O1076" s="39" t="n">
        <v>575</v>
      </c>
      <c r="P1076" s="9" t="inlineStr">
        <is>
          <t>NSMI24070194198</t>
        </is>
      </c>
      <c r="Q1076" s="53">
        <f>MID(P1076,5,2)</f>
        <v/>
      </c>
      <c r="R1076" s="53">
        <f>MID(P1076,7,2)</f>
        <v/>
      </c>
      <c r="S1076" s="3" t="inlineStr">
        <is>
          <t>G2G</t>
        </is>
      </c>
      <c r="T1076" s="3" t="inlineStr">
        <is>
          <t>P4</t>
        </is>
      </c>
      <c r="U1076" s="19" t="inlineStr">
        <is>
          <t>P JB Cold Soldering</t>
        </is>
      </c>
      <c r="V1076" s="19" t="inlineStr">
        <is>
          <t>Soldering</t>
        </is>
      </c>
      <c r="W1076" s="3" t="inlineStr">
        <is>
          <t>Repair</t>
        </is>
      </c>
      <c r="X1076" s="18" t="n">
        <v>46156</v>
      </c>
      <c r="Y1076" s="73">
        <f>IF(X1076="","",X1076-A1076)</f>
        <v/>
      </c>
      <c r="Z1076" s="18" t="n">
        <v>46156</v>
      </c>
      <c r="AA1076" s="15" t="n"/>
      <c r="AB1076" s="15" t="n"/>
      <c r="AF1076">
        <f>IF(AND($F1076="Closed",$X1076&gt;=DATE(2026,5,1),$X1076&lt;=DATE(2026,5,31)),"Closed in May","Other")</f>
        <v/>
      </c>
    </row>
    <row r="1077">
      <c r="A1077" s="37" t="n">
        <v>46143</v>
      </c>
      <c r="B1077" s="3" t="n">
        <v>2026</v>
      </c>
      <c r="C1077" s="26" t="inlineStr">
        <is>
          <t>Yanara Power</t>
        </is>
      </c>
      <c r="D1077" s="3" t="inlineStr">
        <is>
          <t>Utility and C&amp;I</t>
        </is>
      </c>
      <c r="E1077" s="3" t="n"/>
      <c r="F1077" s="3" t="inlineStr">
        <is>
          <t>Closed</t>
        </is>
      </c>
      <c r="G1077" s="9" t="inlineStr">
        <is>
          <t xml:space="preserve">Ashish Jindal </t>
        </is>
      </c>
      <c r="H1077" s="26" t="n">
        <v>9983975581</v>
      </c>
      <c r="I1077" s="38" t="inlineStr">
        <is>
          <t>PE01052601</t>
        </is>
      </c>
      <c r="J1077" s="26" t="inlineStr">
        <is>
          <t>Multiple Issues</t>
        </is>
      </c>
      <c r="K1077" s="39" t="inlineStr">
        <is>
          <t>Holi</t>
        </is>
      </c>
      <c r="L1077" s="39" t="inlineStr">
        <is>
          <t>Maharashtra</t>
        </is>
      </c>
      <c r="M1077" s="9" t="inlineStr">
        <is>
          <t>NS</t>
        </is>
      </c>
      <c r="N1077" s="3" t="inlineStr">
        <is>
          <t>Cold Soldering</t>
        </is>
      </c>
      <c r="O1077" s="39" t="n">
        <v>575</v>
      </c>
      <c r="P1077" s="9" t="inlineStr">
        <is>
          <t>NSMI24070189652</t>
        </is>
      </c>
      <c r="Q1077" s="53">
        <f>MID(P1077,5,2)</f>
        <v/>
      </c>
      <c r="R1077" s="53">
        <f>MID(P1077,7,2)</f>
        <v/>
      </c>
      <c r="S1077" s="3" t="inlineStr">
        <is>
          <t>G2G</t>
        </is>
      </c>
      <c r="T1077" s="3" t="inlineStr">
        <is>
          <t>P4</t>
        </is>
      </c>
      <c r="U1077" s="3" t="inlineStr">
        <is>
          <t>N JB Cold Soldering</t>
        </is>
      </c>
      <c r="V1077" s="3" t="inlineStr">
        <is>
          <t>Soldering</t>
        </is>
      </c>
      <c r="W1077" s="3" t="inlineStr">
        <is>
          <t>Repair</t>
        </is>
      </c>
      <c r="X1077" s="18" t="n">
        <v>46156</v>
      </c>
      <c r="Y1077" s="73">
        <f>IF(X1077="","",X1077-A1077)</f>
        <v/>
      </c>
      <c r="Z1077" s="18" t="n">
        <v>46156</v>
      </c>
      <c r="AA1077" s="15" t="n"/>
      <c r="AB1077" s="15" t="n"/>
      <c r="AF1077">
        <f>IF(AND($F1077="Closed",$X1077&gt;=DATE(2026,5,1),$X1077&lt;=DATE(2026,5,31)),"Closed in May","Other")</f>
        <v/>
      </c>
    </row>
    <row r="1078">
      <c r="A1078" s="37" t="n">
        <v>46143</v>
      </c>
      <c r="B1078" s="3" t="n">
        <v>2026</v>
      </c>
      <c r="C1078" s="26" t="inlineStr">
        <is>
          <t>Yanara Power</t>
        </is>
      </c>
      <c r="D1078" s="3" t="inlineStr">
        <is>
          <t>Utility and C&amp;I</t>
        </is>
      </c>
      <c r="E1078" s="3" t="n"/>
      <c r="F1078" s="3" t="inlineStr">
        <is>
          <t>Closed</t>
        </is>
      </c>
      <c r="G1078" s="9" t="inlineStr">
        <is>
          <t xml:space="preserve">Ashish Jindal </t>
        </is>
      </c>
      <c r="H1078" s="26" t="n">
        <v>9983975581</v>
      </c>
      <c r="I1078" s="38" t="inlineStr">
        <is>
          <t>PE01052601</t>
        </is>
      </c>
      <c r="J1078" s="26" t="inlineStr">
        <is>
          <t>Multiple Issues</t>
        </is>
      </c>
      <c r="K1078" s="39" t="inlineStr">
        <is>
          <t>Holi</t>
        </is>
      </c>
      <c r="L1078" s="39" t="inlineStr">
        <is>
          <t>Maharashtra</t>
        </is>
      </c>
      <c r="M1078" s="9" t="inlineStr">
        <is>
          <t>PS</t>
        </is>
      </c>
      <c r="N1078" s="3" t="inlineStr">
        <is>
          <t>Cold Soldering</t>
        </is>
      </c>
      <c r="O1078" s="39" t="n">
        <v>575</v>
      </c>
      <c r="P1078" s="9" t="inlineStr">
        <is>
          <t>NSMI24070186322</t>
        </is>
      </c>
      <c r="Q1078" s="53">
        <f>MID(P1078,5,2)</f>
        <v/>
      </c>
      <c r="R1078" s="53">
        <f>MID(P1078,7,2)</f>
        <v/>
      </c>
      <c r="S1078" s="3" t="inlineStr">
        <is>
          <t>G2G</t>
        </is>
      </c>
      <c r="T1078" s="3" t="inlineStr">
        <is>
          <t>P4</t>
        </is>
      </c>
      <c r="U1078" s="19" t="inlineStr">
        <is>
          <t>P JB Cold Soldering</t>
        </is>
      </c>
      <c r="V1078" s="19" t="inlineStr">
        <is>
          <t>Soldering</t>
        </is>
      </c>
      <c r="W1078" s="3" t="inlineStr">
        <is>
          <t>Repair</t>
        </is>
      </c>
      <c r="X1078" s="18" t="n">
        <v>46156</v>
      </c>
      <c r="Y1078" s="73">
        <f>IF(X1078="","",X1078-A1078)</f>
        <v/>
      </c>
      <c r="Z1078" s="18" t="n">
        <v>46156</v>
      </c>
      <c r="AA1078" s="15" t="n"/>
      <c r="AB1078" s="15" t="n"/>
      <c r="AF1078">
        <f>IF(AND($F1078="Closed",$X1078&gt;=DATE(2026,5,1),$X1078&lt;=DATE(2026,5,31)),"Closed in May","Other")</f>
        <v/>
      </c>
    </row>
    <row r="1079">
      <c r="A1079" s="37" t="n">
        <v>46143</v>
      </c>
      <c r="B1079" s="3" t="n">
        <v>2026</v>
      </c>
      <c r="C1079" s="26" t="inlineStr">
        <is>
          <t>Yanara Power</t>
        </is>
      </c>
      <c r="D1079" s="3" t="inlineStr">
        <is>
          <t>Utility and C&amp;I</t>
        </is>
      </c>
      <c r="E1079" s="3" t="n"/>
      <c r="F1079" s="3" t="inlineStr">
        <is>
          <t>Closed</t>
        </is>
      </c>
      <c r="G1079" s="9" t="inlineStr">
        <is>
          <t xml:space="preserve">Ashish Jindal </t>
        </is>
      </c>
      <c r="H1079" s="26" t="n">
        <v>9983975581</v>
      </c>
      <c r="I1079" s="38" t="inlineStr">
        <is>
          <t>PE01052601</t>
        </is>
      </c>
      <c r="J1079" s="26" t="inlineStr">
        <is>
          <t>Multiple Issues</t>
        </is>
      </c>
      <c r="K1079" s="39" t="inlineStr">
        <is>
          <t>Holi</t>
        </is>
      </c>
      <c r="L1079" s="39" t="inlineStr">
        <is>
          <t>Maharashtra</t>
        </is>
      </c>
      <c r="M1079" s="9" t="inlineStr">
        <is>
          <t>PNS</t>
        </is>
      </c>
      <c r="N1079" s="3" t="inlineStr">
        <is>
          <t>Cold Soldering</t>
        </is>
      </c>
      <c r="O1079" s="39" t="n">
        <v>575</v>
      </c>
      <c r="P1079" s="9" t="inlineStr">
        <is>
          <t>NSMI24070191758</t>
        </is>
      </c>
      <c r="Q1079" s="53">
        <f>MID(P1079,5,2)</f>
        <v/>
      </c>
      <c r="R1079" s="53">
        <f>MID(P1079,7,2)</f>
        <v/>
      </c>
      <c r="S1079" s="3" t="inlineStr">
        <is>
          <t>G2G</t>
        </is>
      </c>
      <c r="T1079" s="3" t="inlineStr">
        <is>
          <t>P4</t>
        </is>
      </c>
      <c r="U1079" s="3" t="inlineStr">
        <is>
          <t>P &amp; N JB Cold Soldering</t>
        </is>
      </c>
      <c r="V1079" s="3" t="inlineStr">
        <is>
          <t>Soldering</t>
        </is>
      </c>
      <c r="W1079" s="3" t="inlineStr">
        <is>
          <t>Repair</t>
        </is>
      </c>
      <c r="X1079" s="18" t="n">
        <v>46156</v>
      </c>
      <c r="Y1079" s="73">
        <f>IF(X1079="","",X1079-A1079)</f>
        <v/>
      </c>
      <c r="Z1079" s="18" t="n">
        <v>46156</v>
      </c>
      <c r="AA1079" s="15" t="n"/>
      <c r="AB1079" s="15" t="n"/>
      <c r="AF1079">
        <f>IF(AND($F1079="Closed",$X1079&gt;=DATE(2026,5,1),$X1079&lt;=DATE(2026,5,31)),"Closed in May","Other")</f>
        <v/>
      </c>
    </row>
    <row r="1080">
      <c r="A1080" s="37" t="n">
        <v>46143</v>
      </c>
      <c r="B1080" s="3" t="n">
        <v>2026</v>
      </c>
      <c r="C1080" s="26" t="inlineStr">
        <is>
          <t>Yanara Power</t>
        </is>
      </c>
      <c r="D1080" s="3" t="inlineStr">
        <is>
          <t>Utility and C&amp;I</t>
        </is>
      </c>
      <c r="E1080" s="3" t="n"/>
      <c r="F1080" s="3" t="inlineStr">
        <is>
          <t>Closed</t>
        </is>
      </c>
      <c r="G1080" s="9" t="inlineStr">
        <is>
          <t xml:space="preserve">Ashish Jindal </t>
        </is>
      </c>
      <c r="H1080" s="26" t="n">
        <v>9983975581</v>
      </c>
      <c r="I1080" s="38" t="inlineStr">
        <is>
          <t>PE01052601</t>
        </is>
      </c>
      <c r="J1080" s="26" t="inlineStr">
        <is>
          <t>Multiple Issues</t>
        </is>
      </c>
      <c r="K1080" s="39" t="inlineStr">
        <is>
          <t>Holi</t>
        </is>
      </c>
      <c r="L1080" s="39" t="inlineStr">
        <is>
          <t>Maharashtra</t>
        </is>
      </c>
      <c r="M1080" s="9" t="inlineStr">
        <is>
          <t>PS</t>
        </is>
      </c>
      <c r="N1080" s="3" t="inlineStr">
        <is>
          <t>Cold Soldering</t>
        </is>
      </c>
      <c r="O1080" s="39" t="n">
        <v>575</v>
      </c>
      <c r="P1080" s="9" t="inlineStr">
        <is>
          <t>NSMI24070191508</t>
        </is>
      </c>
      <c r="Q1080" s="53">
        <f>MID(P1080,5,2)</f>
        <v/>
      </c>
      <c r="R1080" s="53">
        <f>MID(P1080,7,2)</f>
        <v/>
      </c>
      <c r="S1080" s="3" t="inlineStr">
        <is>
          <t>G2G</t>
        </is>
      </c>
      <c r="T1080" s="3" t="inlineStr">
        <is>
          <t>P4</t>
        </is>
      </c>
      <c r="U1080" s="19" t="inlineStr">
        <is>
          <t>P JB Cold Soldering</t>
        </is>
      </c>
      <c r="V1080" s="19" t="inlineStr">
        <is>
          <t>Soldering</t>
        </is>
      </c>
      <c r="W1080" s="3" t="inlineStr">
        <is>
          <t>Repair</t>
        </is>
      </c>
      <c r="X1080" s="18" t="n">
        <v>46156</v>
      </c>
      <c r="Y1080" s="73">
        <f>IF(X1080="","",X1080-A1080)</f>
        <v/>
      </c>
      <c r="Z1080" s="18" t="n">
        <v>46156</v>
      </c>
      <c r="AA1080" s="15" t="n"/>
      <c r="AB1080" s="15" t="n"/>
      <c r="AF1080">
        <f>IF(AND($F1080="Closed",$X1080&gt;=DATE(2026,5,1),$X1080&lt;=DATE(2026,5,31)),"Closed in May","Other")</f>
        <v/>
      </c>
    </row>
    <row r="1081">
      <c r="A1081" s="6" t="n">
        <v>46107</v>
      </c>
      <c r="B1081" s="3" t="n">
        <v>2026</v>
      </c>
      <c r="C1081" s="3" t="inlineStr">
        <is>
          <t>Blupine Energy</t>
        </is>
      </c>
      <c r="D1081" s="3" t="inlineStr">
        <is>
          <t>Utility and C&amp;I</t>
        </is>
      </c>
      <c r="E1081" s="3" t="n"/>
      <c r="F1081" s="3" t="inlineStr">
        <is>
          <t>Closed</t>
        </is>
      </c>
      <c r="G1081" s="3" t="inlineStr">
        <is>
          <t>Chandrashekar Patidar</t>
        </is>
      </c>
      <c r="H1081" s="3" t="n">
        <v>7879764773</v>
      </c>
      <c r="I1081" s="11" t="inlineStr">
        <is>
          <t>PE26032601</t>
        </is>
      </c>
      <c r="J1081" s="3" t="inlineStr">
        <is>
          <t>Module Diode Failure</t>
        </is>
      </c>
      <c r="K1081" s="3" t="inlineStr">
        <is>
          <t>Sadla</t>
        </is>
      </c>
      <c r="L1081" s="3" t="inlineStr">
        <is>
          <t>Gujarat</t>
        </is>
      </c>
      <c r="M1081" s="9" t="inlineStr">
        <is>
          <t>NS</t>
        </is>
      </c>
      <c r="N1081" s="3" t="inlineStr">
        <is>
          <t>Cold Soldering</t>
        </is>
      </c>
      <c r="O1081" s="3" t="n">
        <v>570</v>
      </c>
      <c r="P1081" s="9" t="inlineStr">
        <is>
          <t>NSMI24060165124</t>
        </is>
      </c>
      <c r="Q1081" s="53">
        <f>MID(P1081,5,2)</f>
        <v/>
      </c>
      <c r="R1081" s="53">
        <f>MID(P1081,7,2)</f>
        <v/>
      </c>
      <c r="S1081" s="3" t="inlineStr">
        <is>
          <t>G2G</t>
        </is>
      </c>
      <c r="T1081" s="3" t="inlineStr">
        <is>
          <t>P4</t>
        </is>
      </c>
      <c r="U1081" s="3" t="inlineStr">
        <is>
          <t>N JB Cold Soldering</t>
        </is>
      </c>
      <c r="V1081" s="3" t="inlineStr">
        <is>
          <t>Soldering</t>
        </is>
      </c>
      <c r="W1081" s="3" t="inlineStr">
        <is>
          <t>Repair</t>
        </is>
      </c>
      <c r="X1081" s="18" t="n">
        <v>46157</v>
      </c>
      <c r="Y1081" s="73">
        <f>IF(X1081="","",X1081-A1081)</f>
        <v/>
      </c>
      <c r="Z1081" s="18" t="n">
        <v>46157</v>
      </c>
      <c r="AA1081" s="15" t="n"/>
      <c r="AB1081" s="15" t="n"/>
      <c r="AF1081">
        <f>IF(AND($F1081="Closed",$X1081&gt;=DATE(2026,5,1),$X1081&lt;=DATE(2026,5,31)),"Closed in May","Other")</f>
        <v/>
      </c>
    </row>
    <row r="1082">
      <c r="A1082" s="6" t="n">
        <v>46107</v>
      </c>
      <c r="B1082" s="3" t="n">
        <v>2026</v>
      </c>
      <c r="C1082" s="3" t="inlineStr">
        <is>
          <t>Blupine Energy</t>
        </is>
      </c>
      <c r="D1082" s="3" t="inlineStr">
        <is>
          <t>Utility and C&amp;I</t>
        </is>
      </c>
      <c r="E1082" s="3" t="n"/>
      <c r="F1082" s="3" t="inlineStr">
        <is>
          <t>Closed</t>
        </is>
      </c>
      <c r="G1082" s="3" t="inlineStr">
        <is>
          <t>Chandrashekar Patidar</t>
        </is>
      </c>
      <c r="H1082" s="3" t="n">
        <v>7879764773</v>
      </c>
      <c r="I1082" s="11" t="inlineStr">
        <is>
          <t>PE26032601</t>
        </is>
      </c>
      <c r="J1082" s="3" t="inlineStr">
        <is>
          <t>Module Diode Failure</t>
        </is>
      </c>
      <c r="K1082" s="3" t="inlineStr">
        <is>
          <t>Sadla</t>
        </is>
      </c>
      <c r="L1082" s="3" t="inlineStr">
        <is>
          <t>Gujarat</t>
        </is>
      </c>
      <c r="M1082" s="9" t="inlineStr">
        <is>
          <t>PS</t>
        </is>
      </c>
      <c r="N1082" s="3" t="inlineStr">
        <is>
          <t>Cold Soldering</t>
        </is>
      </c>
      <c r="O1082" s="3" t="n">
        <v>570</v>
      </c>
      <c r="P1082" s="9" t="inlineStr">
        <is>
          <t>NSMI24060143832</t>
        </is>
      </c>
      <c r="Q1082" s="53">
        <f>MID(P1082,5,2)</f>
        <v/>
      </c>
      <c r="R1082" s="53">
        <f>MID(P1082,7,2)</f>
        <v/>
      </c>
      <c r="S1082" s="3" t="inlineStr">
        <is>
          <t>G2G</t>
        </is>
      </c>
      <c r="T1082" s="3" t="inlineStr">
        <is>
          <t>P4</t>
        </is>
      </c>
      <c r="U1082" s="3" t="inlineStr">
        <is>
          <t>P JB Cold Soldering</t>
        </is>
      </c>
      <c r="V1082" s="3" t="inlineStr">
        <is>
          <t>Soldering</t>
        </is>
      </c>
      <c r="W1082" s="3" t="inlineStr">
        <is>
          <t>Repair</t>
        </is>
      </c>
      <c r="X1082" s="18" t="n">
        <v>46157</v>
      </c>
      <c r="Y1082" s="73">
        <f>IF(X1082="","",X1082-A1082)</f>
        <v/>
      </c>
      <c r="Z1082" s="18" t="n">
        <v>46157</v>
      </c>
      <c r="AA1082" s="15" t="n"/>
      <c r="AB1082" s="15" t="n"/>
      <c r="AF1082">
        <f>IF(AND($F1082="Closed",$X1082&gt;=DATE(2026,5,1),$X1082&lt;=DATE(2026,5,31)),"Closed in May","Other")</f>
        <v/>
      </c>
    </row>
    <row r="1083">
      <c r="A1083" s="6" t="n">
        <v>46107</v>
      </c>
      <c r="B1083" s="3" t="n">
        <v>2026</v>
      </c>
      <c r="C1083" s="3" t="inlineStr">
        <is>
          <t>Blupine Energy</t>
        </is>
      </c>
      <c r="D1083" s="3" t="inlineStr">
        <is>
          <t>Utility and C&amp;I</t>
        </is>
      </c>
      <c r="E1083" s="3" t="n"/>
      <c r="F1083" s="3" t="inlineStr">
        <is>
          <t>Closed</t>
        </is>
      </c>
      <c r="G1083" s="3" t="inlineStr">
        <is>
          <t>Chandrashekar Patidar</t>
        </is>
      </c>
      <c r="H1083" s="3" t="n">
        <v>7879764773</v>
      </c>
      <c r="I1083" s="11" t="inlineStr">
        <is>
          <t>PE26032601</t>
        </is>
      </c>
      <c r="J1083" s="3" t="inlineStr">
        <is>
          <t>Module Diode Failure</t>
        </is>
      </c>
      <c r="K1083" s="3" t="inlineStr">
        <is>
          <t>Sadla</t>
        </is>
      </c>
      <c r="L1083" s="3" t="inlineStr">
        <is>
          <t>Gujarat</t>
        </is>
      </c>
      <c r="M1083" s="9" t="inlineStr">
        <is>
          <t>NS</t>
        </is>
      </c>
      <c r="N1083" s="3" t="inlineStr">
        <is>
          <t>Cold Soldering</t>
        </is>
      </c>
      <c r="O1083" s="3" t="n">
        <v>570</v>
      </c>
      <c r="P1083" s="9" t="inlineStr">
        <is>
          <t>NSMI24060147526</t>
        </is>
      </c>
      <c r="Q1083" s="53">
        <f>MID(P1083,5,2)</f>
        <v/>
      </c>
      <c r="R1083" s="53">
        <f>MID(P1083,7,2)</f>
        <v/>
      </c>
      <c r="S1083" s="3" t="inlineStr">
        <is>
          <t>G2G</t>
        </is>
      </c>
      <c r="T1083" s="3" t="inlineStr">
        <is>
          <t>P4</t>
        </is>
      </c>
      <c r="U1083" s="3" t="inlineStr">
        <is>
          <t>N JB Cold Soldering</t>
        </is>
      </c>
      <c r="V1083" s="3" t="inlineStr">
        <is>
          <t>Soldering</t>
        </is>
      </c>
      <c r="W1083" s="3" t="inlineStr">
        <is>
          <t>Repair</t>
        </is>
      </c>
      <c r="X1083" s="18" t="n">
        <v>46157</v>
      </c>
      <c r="Y1083" s="73">
        <f>IF(X1083="","",X1083-A1083)</f>
        <v/>
      </c>
      <c r="Z1083" s="18" t="n">
        <v>46157</v>
      </c>
      <c r="AA1083" s="15" t="n"/>
      <c r="AB1083" s="15" t="n"/>
      <c r="AF1083">
        <f>IF(AND($F1083="Closed",$X1083&gt;=DATE(2026,5,1),$X1083&lt;=DATE(2026,5,31)),"Closed in May","Other")</f>
        <v/>
      </c>
    </row>
    <row r="1084">
      <c r="A1084" s="6" t="n">
        <v>46107</v>
      </c>
      <c r="B1084" s="3" t="n">
        <v>2026</v>
      </c>
      <c r="C1084" s="3" t="inlineStr">
        <is>
          <t>Blupine Energy</t>
        </is>
      </c>
      <c r="D1084" s="3" t="inlineStr">
        <is>
          <t>Utility and C&amp;I</t>
        </is>
      </c>
      <c r="E1084" s="3" t="n"/>
      <c r="F1084" s="3" t="inlineStr">
        <is>
          <t>Closed</t>
        </is>
      </c>
      <c r="G1084" s="3" t="inlineStr">
        <is>
          <t>Chandrashekar Patidar</t>
        </is>
      </c>
      <c r="H1084" s="3" t="n">
        <v>7879764773</v>
      </c>
      <c r="I1084" s="11" t="inlineStr">
        <is>
          <t>PE26032601</t>
        </is>
      </c>
      <c r="J1084" s="3" t="inlineStr">
        <is>
          <t>Module Diode Failure</t>
        </is>
      </c>
      <c r="K1084" s="3" t="inlineStr">
        <is>
          <t>Sadla</t>
        </is>
      </c>
      <c r="L1084" s="3" t="inlineStr">
        <is>
          <t>Gujarat</t>
        </is>
      </c>
      <c r="M1084" s="9" t="inlineStr">
        <is>
          <t>NS</t>
        </is>
      </c>
      <c r="N1084" s="3" t="inlineStr">
        <is>
          <t>Cold Soldering</t>
        </is>
      </c>
      <c r="O1084" s="3" t="n">
        <v>570</v>
      </c>
      <c r="P1084" s="9" t="inlineStr">
        <is>
          <t>NSMI24070167280</t>
        </is>
      </c>
      <c r="Q1084" s="53">
        <f>MID(P1084,5,2)</f>
        <v/>
      </c>
      <c r="R1084" s="53">
        <f>MID(P1084,7,2)</f>
        <v/>
      </c>
      <c r="S1084" s="3" t="inlineStr">
        <is>
          <t>G2G</t>
        </is>
      </c>
      <c r="T1084" s="3" t="inlineStr">
        <is>
          <t>P4</t>
        </is>
      </c>
      <c r="U1084" s="3" t="inlineStr">
        <is>
          <t>N JB Cold Soldering</t>
        </is>
      </c>
      <c r="V1084" s="3" t="inlineStr">
        <is>
          <t>Soldering</t>
        </is>
      </c>
      <c r="W1084" s="3" t="inlineStr">
        <is>
          <t>Repair</t>
        </is>
      </c>
      <c r="X1084" s="18" t="n">
        <v>46157</v>
      </c>
      <c r="Y1084" s="73">
        <f>IF(X1084="","",X1084-A1084)</f>
        <v/>
      </c>
      <c r="Z1084" s="18" t="n">
        <v>46157</v>
      </c>
      <c r="AA1084" s="15" t="n"/>
      <c r="AB1084" s="15" t="n"/>
      <c r="AF1084">
        <f>IF(AND($F1084="Closed",$X1084&gt;=DATE(2026,5,1),$X1084&lt;=DATE(2026,5,31)),"Closed in May","Other")</f>
        <v/>
      </c>
    </row>
    <row r="1085">
      <c r="A1085" s="6" t="n">
        <v>46107</v>
      </c>
      <c r="B1085" s="3" t="n">
        <v>2026</v>
      </c>
      <c r="C1085" s="3" t="inlineStr">
        <is>
          <t>Blupine Energy</t>
        </is>
      </c>
      <c r="D1085" s="3" t="inlineStr">
        <is>
          <t>Utility and C&amp;I</t>
        </is>
      </c>
      <c r="E1085" s="3" t="n"/>
      <c r="F1085" s="3" t="inlineStr">
        <is>
          <t>Closed</t>
        </is>
      </c>
      <c r="G1085" s="3" t="inlineStr">
        <is>
          <t>Chandrashekar Patidar</t>
        </is>
      </c>
      <c r="H1085" s="3" t="n">
        <v>7879764773</v>
      </c>
      <c r="I1085" s="11" t="inlineStr">
        <is>
          <t>PE26032601</t>
        </is>
      </c>
      <c r="J1085" s="3" t="inlineStr">
        <is>
          <t>Module Diode Failure</t>
        </is>
      </c>
      <c r="K1085" s="3" t="inlineStr">
        <is>
          <t>Sadla</t>
        </is>
      </c>
      <c r="L1085" s="3" t="inlineStr">
        <is>
          <t>Gujarat</t>
        </is>
      </c>
      <c r="M1085" s="9" t="inlineStr">
        <is>
          <t>NS</t>
        </is>
      </c>
      <c r="N1085" s="3" t="inlineStr">
        <is>
          <t>Cold Soldering</t>
        </is>
      </c>
      <c r="O1085" s="3" t="n">
        <v>570</v>
      </c>
      <c r="P1085" s="9" t="inlineStr">
        <is>
          <t>NSMI24060157354</t>
        </is>
      </c>
      <c r="Q1085" s="53">
        <f>MID(P1085,5,2)</f>
        <v/>
      </c>
      <c r="R1085" s="53">
        <f>MID(P1085,7,2)</f>
        <v/>
      </c>
      <c r="S1085" s="3" t="inlineStr">
        <is>
          <t>G2G</t>
        </is>
      </c>
      <c r="T1085" s="3" t="inlineStr">
        <is>
          <t>P4</t>
        </is>
      </c>
      <c r="U1085" s="3" t="inlineStr">
        <is>
          <t>N JB Cold Soldering</t>
        </is>
      </c>
      <c r="V1085" s="3" t="inlineStr">
        <is>
          <t>Soldering</t>
        </is>
      </c>
      <c r="W1085" s="3" t="inlineStr">
        <is>
          <t>Repair</t>
        </is>
      </c>
      <c r="X1085" s="18" t="n">
        <v>46157</v>
      </c>
      <c r="Y1085" s="73">
        <f>IF(X1085="","",X1085-A1085)</f>
        <v/>
      </c>
      <c r="Z1085" s="18" t="n">
        <v>46157</v>
      </c>
      <c r="AA1085" s="15" t="n"/>
      <c r="AB1085" s="15" t="n"/>
      <c r="AF1085">
        <f>IF(AND($F1085="Closed",$X1085&gt;=DATE(2026,5,1),$X1085&lt;=DATE(2026,5,31)),"Closed in May","Other")</f>
        <v/>
      </c>
    </row>
    <row r="1086">
      <c r="A1086" s="6" t="n">
        <v>46107</v>
      </c>
      <c r="B1086" s="3" t="n">
        <v>2026</v>
      </c>
      <c r="C1086" s="3" t="inlineStr">
        <is>
          <t>Blupine Energy</t>
        </is>
      </c>
      <c r="D1086" s="3" t="inlineStr">
        <is>
          <t>Utility and C&amp;I</t>
        </is>
      </c>
      <c r="E1086" s="3" t="n"/>
      <c r="F1086" s="3" t="inlineStr">
        <is>
          <t>Closed</t>
        </is>
      </c>
      <c r="G1086" s="3" t="inlineStr">
        <is>
          <t>Chandrashekar Patidar</t>
        </is>
      </c>
      <c r="H1086" s="3" t="n">
        <v>7879764773</v>
      </c>
      <c r="I1086" s="11" t="inlineStr">
        <is>
          <t>PE26032601</t>
        </is>
      </c>
      <c r="J1086" s="3" t="inlineStr">
        <is>
          <t>Module Diode Failure</t>
        </is>
      </c>
      <c r="K1086" s="3" t="inlineStr">
        <is>
          <t>Sadla</t>
        </is>
      </c>
      <c r="L1086" s="3" t="inlineStr">
        <is>
          <t>Gujarat</t>
        </is>
      </c>
      <c r="M1086" s="9" t="inlineStr">
        <is>
          <t>NS</t>
        </is>
      </c>
      <c r="N1086" s="3" t="inlineStr">
        <is>
          <t>Cold Soldering</t>
        </is>
      </c>
      <c r="O1086" s="3" t="n">
        <v>570</v>
      </c>
      <c r="P1086" s="9" t="inlineStr">
        <is>
          <t>NSMI24060151643</t>
        </is>
      </c>
      <c r="Q1086" s="53">
        <f>MID(P1086,5,2)</f>
        <v/>
      </c>
      <c r="R1086" s="53">
        <f>MID(P1086,7,2)</f>
        <v/>
      </c>
      <c r="S1086" s="3" t="inlineStr">
        <is>
          <t>G2G</t>
        </is>
      </c>
      <c r="T1086" s="3" t="inlineStr">
        <is>
          <t>P4</t>
        </is>
      </c>
      <c r="U1086" s="3" t="inlineStr">
        <is>
          <t>N JB Cold Soldering</t>
        </is>
      </c>
      <c r="V1086" s="3" t="inlineStr">
        <is>
          <t>Soldering</t>
        </is>
      </c>
      <c r="W1086" s="3" t="inlineStr">
        <is>
          <t>Repair</t>
        </is>
      </c>
      <c r="X1086" s="18" t="n">
        <v>46157</v>
      </c>
      <c r="Y1086" s="73">
        <f>IF(X1086="","",X1086-A1086)</f>
        <v/>
      </c>
      <c r="Z1086" s="18" t="n">
        <v>46157</v>
      </c>
      <c r="AA1086" s="15" t="n"/>
      <c r="AB1086" s="15" t="n"/>
      <c r="AF1086">
        <f>IF(AND($F1086="Closed",$X1086&gt;=DATE(2026,5,1),$X1086&lt;=DATE(2026,5,31)),"Closed in May","Other")</f>
        <v/>
      </c>
    </row>
    <row r="1087">
      <c r="A1087" s="6" t="n">
        <v>46107</v>
      </c>
      <c r="B1087" s="3" t="n">
        <v>2026</v>
      </c>
      <c r="C1087" s="3" t="inlineStr">
        <is>
          <t>Blupine Energy</t>
        </is>
      </c>
      <c r="D1087" s="3" t="inlineStr">
        <is>
          <t>Utility and C&amp;I</t>
        </is>
      </c>
      <c r="E1087" s="3" t="n"/>
      <c r="F1087" s="3" t="inlineStr">
        <is>
          <t>Closed</t>
        </is>
      </c>
      <c r="G1087" s="3" t="inlineStr">
        <is>
          <t>Chandrashekar Patidar</t>
        </is>
      </c>
      <c r="H1087" s="3" t="n">
        <v>7879764773</v>
      </c>
      <c r="I1087" s="11" t="inlineStr">
        <is>
          <t>PE26032601</t>
        </is>
      </c>
      <c r="J1087" s="3" t="inlineStr">
        <is>
          <t>Module Diode Failure</t>
        </is>
      </c>
      <c r="K1087" s="3" t="inlineStr">
        <is>
          <t>Sadla</t>
        </is>
      </c>
      <c r="L1087" s="3" t="inlineStr">
        <is>
          <t>Gujarat</t>
        </is>
      </c>
      <c r="M1087" s="9" t="inlineStr">
        <is>
          <t>NS</t>
        </is>
      </c>
      <c r="N1087" s="3" t="inlineStr">
        <is>
          <t>Cold Soldering</t>
        </is>
      </c>
      <c r="O1087" s="3" t="n">
        <v>570</v>
      </c>
      <c r="P1087" s="9" t="inlineStr">
        <is>
          <t>NSMI24060155910</t>
        </is>
      </c>
      <c r="Q1087" s="53">
        <f>MID(P1087,5,2)</f>
        <v/>
      </c>
      <c r="R1087" s="53">
        <f>MID(P1087,7,2)</f>
        <v/>
      </c>
      <c r="S1087" s="3" t="inlineStr">
        <is>
          <t>G2G</t>
        </is>
      </c>
      <c r="T1087" s="3" t="inlineStr">
        <is>
          <t>P4</t>
        </is>
      </c>
      <c r="U1087" s="3" t="inlineStr">
        <is>
          <t>N JB Cold Soldering</t>
        </is>
      </c>
      <c r="V1087" s="3" t="inlineStr">
        <is>
          <t>Soldering</t>
        </is>
      </c>
      <c r="W1087" s="3" t="inlineStr">
        <is>
          <t>Repair</t>
        </is>
      </c>
      <c r="X1087" s="18" t="n">
        <v>46157</v>
      </c>
      <c r="Y1087" s="73">
        <f>IF(X1087="","",X1087-A1087)</f>
        <v/>
      </c>
      <c r="Z1087" s="18" t="n">
        <v>46157</v>
      </c>
      <c r="AA1087" s="15" t="n"/>
      <c r="AB1087" s="15" t="n"/>
      <c r="AF1087">
        <f>IF(AND($F1087="Closed",$X1087&gt;=DATE(2026,5,1),$X1087&lt;=DATE(2026,5,31)),"Closed in May","Other")</f>
        <v/>
      </c>
    </row>
    <row r="1088">
      <c r="A1088" s="6" t="n">
        <v>46107</v>
      </c>
      <c r="B1088" s="3" t="n">
        <v>2026</v>
      </c>
      <c r="C1088" s="3" t="inlineStr">
        <is>
          <t>Blupine Energy</t>
        </is>
      </c>
      <c r="D1088" s="3" t="inlineStr">
        <is>
          <t>Utility and C&amp;I</t>
        </is>
      </c>
      <c r="E1088" s="3" t="n"/>
      <c r="F1088" s="3" t="inlineStr">
        <is>
          <t>Closed</t>
        </is>
      </c>
      <c r="G1088" s="3" t="inlineStr">
        <is>
          <t>Chandrashekar Patidar</t>
        </is>
      </c>
      <c r="H1088" s="3" t="n">
        <v>7879764773</v>
      </c>
      <c r="I1088" s="11" t="inlineStr">
        <is>
          <t>PE26032601</t>
        </is>
      </c>
      <c r="J1088" s="3" t="inlineStr">
        <is>
          <t>Module Diode Failure</t>
        </is>
      </c>
      <c r="K1088" s="3" t="inlineStr">
        <is>
          <t>Sadla</t>
        </is>
      </c>
      <c r="L1088" s="3" t="inlineStr">
        <is>
          <t>Gujarat</t>
        </is>
      </c>
      <c r="M1088" s="9" t="inlineStr">
        <is>
          <t>NS</t>
        </is>
      </c>
      <c r="N1088" s="3" t="inlineStr">
        <is>
          <t>Cold Soldering</t>
        </is>
      </c>
      <c r="O1088" s="3" t="n">
        <v>570</v>
      </c>
      <c r="P1088" s="9" t="inlineStr">
        <is>
          <t>NSMI24060151736</t>
        </is>
      </c>
      <c r="Q1088" s="53">
        <f>MID(P1088,5,2)</f>
        <v/>
      </c>
      <c r="R1088" s="53">
        <f>MID(P1088,7,2)</f>
        <v/>
      </c>
      <c r="S1088" s="3" t="inlineStr">
        <is>
          <t>G2G</t>
        </is>
      </c>
      <c r="T1088" s="3" t="inlineStr">
        <is>
          <t>P4</t>
        </is>
      </c>
      <c r="U1088" s="3" t="inlineStr">
        <is>
          <t>N JB Cold Soldering</t>
        </is>
      </c>
      <c r="V1088" s="3" t="inlineStr">
        <is>
          <t>Soldering</t>
        </is>
      </c>
      <c r="W1088" s="3" t="inlineStr">
        <is>
          <t>Repair</t>
        </is>
      </c>
      <c r="X1088" s="18" t="n">
        <v>46157</v>
      </c>
      <c r="Y1088" s="73">
        <f>IF(X1088="","",X1088-A1088)</f>
        <v/>
      </c>
      <c r="Z1088" s="18" t="n">
        <v>46157</v>
      </c>
      <c r="AA1088" s="15" t="n"/>
      <c r="AB1088" s="15" t="n"/>
      <c r="AF1088">
        <f>IF(AND($F1088="Closed",$X1088&gt;=DATE(2026,5,1),$X1088&lt;=DATE(2026,5,31)),"Closed in May","Other")</f>
        <v/>
      </c>
    </row>
    <row r="1089">
      <c r="A1089" s="6" t="n">
        <v>46107</v>
      </c>
      <c r="B1089" s="3" t="n">
        <v>2026</v>
      </c>
      <c r="C1089" s="3" t="inlineStr">
        <is>
          <t>Blupine Energy</t>
        </is>
      </c>
      <c r="D1089" s="3" t="inlineStr">
        <is>
          <t>Utility and C&amp;I</t>
        </is>
      </c>
      <c r="E1089" s="3" t="n"/>
      <c r="F1089" s="3" t="inlineStr">
        <is>
          <t>Closed</t>
        </is>
      </c>
      <c r="G1089" s="3" t="inlineStr">
        <is>
          <t>Chandrashekar Patidar</t>
        </is>
      </c>
      <c r="H1089" s="3" t="n">
        <v>7879764773</v>
      </c>
      <c r="I1089" s="11" t="inlineStr">
        <is>
          <t>PE26032601</t>
        </is>
      </c>
      <c r="J1089" s="3" t="inlineStr">
        <is>
          <t>Module Diode Failure</t>
        </is>
      </c>
      <c r="K1089" s="3" t="inlineStr">
        <is>
          <t>Sadla</t>
        </is>
      </c>
      <c r="L1089" s="3" t="inlineStr">
        <is>
          <t>Gujarat</t>
        </is>
      </c>
      <c r="M1089" s="9" t="inlineStr">
        <is>
          <t>NS</t>
        </is>
      </c>
      <c r="N1089" s="3" t="inlineStr">
        <is>
          <t>Cold Soldering</t>
        </is>
      </c>
      <c r="O1089" s="3" t="n">
        <v>570</v>
      </c>
      <c r="P1089" s="9" t="inlineStr">
        <is>
          <t>NSMI24060158542</t>
        </is>
      </c>
      <c r="Q1089" s="53">
        <f>MID(P1089,5,2)</f>
        <v/>
      </c>
      <c r="R1089" s="53">
        <f>MID(P1089,7,2)</f>
        <v/>
      </c>
      <c r="S1089" s="3" t="inlineStr">
        <is>
          <t>G2G</t>
        </is>
      </c>
      <c r="T1089" s="3" t="inlineStr">
        <is>
          <t>P4</t>
        </is>
      </c>
      <c r="U1089" s="3" t="inlineStr">
        <is>
          <t>N JB Cold Soldering</t>
        </is>
      </c>
      <c r="V1089" s="3" t="inlineStr">
        <is>
          <t>Soldering</t>
        </is>
      </c>
      <c r="W1089" s="3" t="inlineStr">
        <is>
          <t>Repair</t>
        </is>
      </c>
      <c r="X1089" s="18" t="n">
        <v>46157</v>
      </c>
      <c r="Y1089" s="73">
        <f>IF(X1089="","",X1089-A1089)</f>
        <v/>
      </c>
      <c r="Z1089" s="18" t="n">
        <v>46157</v>
      </c>
      <c r="AA1089" s="15" t="n"/>
      <c r="AB1089" s="15" t="n"/>
      <c r="AF1089">
        <f>IF(AND($F1089="Closed",$X1089&gt;=DATE(2026,5,1),$X1089&lt;=DATE(2026,5,31)),"Closed in May","Other")</f>
        <v/>
      </c>
    </row>
    <row r="1090">
      <c r="A1090" s="6" t="n">
        <v>46107</v>
      </c>
      <c r="B1090" s="3" t="n">
        <v>2026</v>
      </c>
      <c r="C1090" s="3" t="inlineStr">
        <is>
          <t>Blupine Energy</t>
        </is>
      </c>
      <c r="D1090" s="3" t="inlineStr">
        <is>
          <t>Utility and C&amp;I</t>
        </is>
      </c>
      <c r="E1090" s="3" t="n"/>
      <c r="F1090" s="3" t="inlineStr">
        <is>
          <t>Closed</t>
        </is>
      </c>
      <c r="G1090" s="3" t="inlineStr">
        <is>
          <t>Chandrashekar Patidar</t>
        </is>
      </c>
      <c r="H1090" s="3" t="n">
        <v>7879764773</v>
      </c>
      <c r="I1090" s="11" t="inlineStr">
        <is>
          <t>PE26032601</t>
        </is>
      </c>
      <c r="J1090" s="3" t="inlineStr">
        <is>
          <t>Module Diode Failure</t>
        </is>
      </c>
      <c r="K1090" s="3" t="inlineStr">
        <is>
          <t>Sadla</t>
        </is>
      </c>
      <c r="L1090" s="3" t="inlineStr">
        <is>
          <t>Gujarat</t>
        </is>
      </c>
      <c r="M1090" s="9" t="inlineStr">
        <is>
          <t>PS</t>
        </is>
      </c>
      <c r="N1090" s="3" t="inlineStr">
        <is>
          <t>Cold Soldering</t>
        </is>
      </c>
      <c r="O1090" s="3" t="n">
        <v>570</v>
      </c>
      <c r="P1090" s="9" t="inlineStr">
        <is>
          <t>NSMI24060146423</t>
        </is>
      </c>
      <c r="Q1090" s="53">
        <f>MID(P1090,5,2)</f>
        <v/>
      </c>
      <c r="R1090" s="53">
        <f>MID(P1090,7,2)</f>
        <v/>
      </c>
      <c r="S1090" s="3" t="inlineStr">
        <is>
          <t>G2G</t>
        </is>
      </c>
      <c r="T1090" s="3" t="inlineStr">
        <is>
          <t>P4</t>
        </is>
      </c>
      <c r="U1090" s="3" t="inlineStr">
        <is>
          <t>P JB Cold Soldering</t>
        </is>
      </c>
      <c r="V1090" s="3" t="inlineStr">
        <is>
          <t>Soldering</t>
        </is>
      </c>
      <c r="W1090" s="3" t="inlineStr">
        <is>
          <t>Repair</t>
        </is>
      </c>
      <c r="X1090" s="18" t="n">
        <v>46157</v>
      </c>
      <c r="Y1090" s="73">
        <f>IF(X1090="","",X1090-A1090)</f>
        <v/>
      </c>
      <c r="Z1090" s="18" t="n">
        <v>46157</v>
      </c>
      <c r="AA1090" s="15" t="n"/>
      <c r="AB1090" s="15" t="n"/>
      <c r="AF1090">
        <f>IF(AND($F1090="Closed",$X1090&gt;=DATE(2026,5,1),$X1090&lt;=DATE(2026,5,31)),"Closed in May","Other")</f>
        <v/>
      </c>
    </row>
    <row r="1091">
      <c r="A1091" s="6" t="n">
        <v>46107</v>
      </c>
      <c r="B1091" s="3" t="n">
        <v>2026</v>
      </c>
      <c r="C1091" s="3" t="inlineStr">
        <is>
          <t>Blupine Energy</t>
        </is>
      </c>
      <c r="D1091" s="3" t="inlineStr">
        <is>
          <t>Utility and C&amp;I</t>
        </is>
      </c>
      <c r="E1091" s="3" t="n"/>
      <c r="F1091" s="3" t="inlineStr">
        <is>
          <t>Closed</t>
        </is>
      </c>
      <c r="G1091" s="3" t="inlineStr">
        <is>
          <t>Chandrashekar Patidar</t>
        </is>
      </c>
      <c r="H1091" s="3" t="n">
        <v>7879764773</v>
      </c>
      <c r="I1091" s="11" t="inlineStr">
        <is>
          <t>PE26032601</t>
        </is>
      </c>
      <c r="J1091" s="3" t="inlineStr">
        <is>
          <t>Module Diode Failure</t>
        </is>
      </c>
      <c r="K1091" s="3" t="inlineStr">
        <is>
          <t>Sadla</t>
        </is>
      </c>
      <c r="L1091" s="3" t="inlineStr">
        <is>
          <t>Gujarat</t>
        </is>
      </c>
      <c r="M1091" s="9" t="inlineStr">
        <is>
          <t>OK</t>
        </is>
      </c>
      <c r="N1091" s="3" t="inlineStr">
        <is>
          <t>No Issue</t>
        </is>
      </c>
      <c r="O1091" s="3" t="n">
        <v>570</v>
      </c>
      <c r="P1091" s="9" t="inlineStr">
        <is>
          <t>NSMI24060145392</t>
        </is>
      </c>
      <c r="Q1091" s="53">
        <f>MID(P1091,5,2)</f>
        <v/>
      </c>
      <c r="R1091" s="53">
        <f>MID(P1091,7,2)</f>
        <v/>
      </c>
      <c r="S1091" s="3" t="inlineStr">
        <is>
          <t>G2G</t>
        </is>
      </c>
      <c r="T1091" s="3" t="inlineStr">
        <is>
          <t>P4</t>
        </is>
      </c>
      <c r="U1091" s="19" t="inlineStr">
        <is>
          <t>No Issue Found &amp; Glass Breakage</t>
        </is>
      </c>
      <c r="V1091" s="19" t="inlineStr">
        <is>
          <t>Found OK</t>
        </is>
      </c>
      <c r="W1091" s="3" t="inlineStr">
        <is>
          <t>Repair</t>
        </is>
      </c>
      <c r="X1091" s="18" t="n">
        <v>46157</v>
      </c>
      <c r="Y1091" s="73">
        <f>IF(X1091="","",X1091-A1091)</f>
        <v/>
      </c>
      <c r="Z1091" s="18" t="n">
        <v>46157</v>
      </c>
      <c r="AA1091" s="15" t="n"/>
      <c r="AB1091" s="15" t="n"/>
      <c r="AF1091">
        <f>IF(AND($F1091="Closed",$X1091&gt;=DATE(2026,5,1),$X1091&lt;=DATE(2026,5,31)),"Closed in May","Other")</f>
        <v/>
      </c>
    </row>
    <row r="1092">
      <c r="A1092" s="6" t="n">
        <v>46107</v>
      </c>
      <c r="B1092" s="3" t="n">
        <v>2026</v>
      </c>
      <c r="C1092" s="3" t="inlineStr">
        <is>
          <t>Blupine Energy</t>
        </is>
      </c>
      <c r="D1092" s="3" t="inlineStr">
        <is>
          <t>Utility and C&amp;I</t>
        </is>
      </c>
      <c r="E1092" s="3" t="n"/>
      <c r="F1092" s="3" t="inlineStr">
        <is>
          <t>Closed</t>
        </is>
      </c>
      <c r="G1092" s="3" t="inlineStr">
        <is>
          <t>Chandrashekar Patidar</t>
        </is>
      </c>
      <c r="H1092" s="3" t="n">
        <v>7879764773</v>
      </c>
      <c r="I1092" s="11" t="inlineStr">
        <is>
          <t>PE26032601</t>
        </is>
      </c>
      <c r="J1092" s="3" t="inlineStr">
        <is>
          <t>Module Diode Failure</t>
        </is>
      </c>
      <c r="K1092" s="3" t="inlineStr">
        <is>
          <t>Sadla</t>
        </is>
      </c>
      <c r="L1092" s="3" t="inlineStr">
        <is>
          <t>Gujarat</t>
        </is>
      </c>
      <c r="M1092" s="9" t="inlineStr">
        <is>
          <t>NS</t>
        </is>
      </c>
      <c r="N1092" s="3" t="inlineStr">
        <is>
          <t>Cold Soldering</t>
        </is>
      </c>
      <c r="O1092" s="3" t="n">
        <v>570</v>
      </c>
      <c r="P1092" s="9" t="inlineStr">
        <is>
          <t>NSMI24060155614</t>
        </is>
      </c>
      <c r="Q1092" s="53">
        <f>MID(P1092,5,2)</f>
        <v/>
      </c>
      <c r="R1092" s="53">
        <f>MID(P1092,7,2)</f>
        <v/>
      </c>
      <c r="S1092" s="3" t="inlineStr">
        <is>
          <t>G2G</t>
        </is>
      </c>
      <c r="T1092" s="3" t="inlineStr">
        <is>
          <t>P4</t>
        </is>
      </c>
      <c r="U1092" s="3" t="inlineStr">
        <is>
          <t>N JB Cold Soldering</t>
        </is>
      </c>
      <c r="V1092" s="3" t="inlineStr">
        <is>
          <t>Soldering</t>
        </is>
      </c>
      <c r="W1092" s="3" t="inlineStr">
        <is>
          <t>Repair</t>
        </is>
      </c>
      <c r="X1092" s="18" t="n">
        <v>46157</v>
      </c>
      <c r="Y1092" s="73">
        <f>IF(X1092="","",X1092-A1092)</f>
        <v/>
      </c>
      <c r="Z1092" s="18" t="n">
        <v>46157</v>
      </c>
      <c r="AA1092" s="15" t="n"/>
      <c r="AB1092" s="15" t="n"/>
      <c r="AF1092">
        <f>IF(AND($F1092="Closed",$X1092&gt;=DATE(2026,5,1),$X1092&lt;=DATE(2026,5,31)),"Closed in May","Other")</f>
        <v/>
      </c>
    </row>
    <row r="1093">
      <c r="A1093" s="6" t="n">
        <v>46107</v>
      </c>
      <c r="B1093" s="3" t="n">
        <v>2026</v>
      </c>
      <c r="C1093" s="3" t="inlineStr">
        <is>
          <t>Blupine Energy</t>
        </is>
      </c>
      <c r="D1093" s="3" t="inlineStr">
        <is>
          <t>Utility and C&amp;I</t>
        </is>
      </c>
      <c r="E1093" s="3" t="n"/>
      <c r="F1093" s="3" t="inlineStr">
        <is>
          <t>Closed</t>
        </is>
      </c>
      <c r="G1093" s="3" t="inlineStr">
        <is>
          <t>Chandrashekar Patidar</t>
        </is>
      </c>
      <c r="H1093" s="3" t="n">
        <v>7879764773</v>
      </c>
      <c r="I1093" s="11" t="inlineStr">
        <is>
          <t>PE26032601</t>
        </is>
      </c>
      <c r="J1093" s="3" t="inlineStr">
        <is>
          <t>Module Diode Failure</t>
        </is>
      </c>
      <c r="K1093" s="3" t="inlineStr">
        <is>
          <t>Sadla</t>
        </is>
      </c>
      <c r="L1093" s="3" t="inlineStr">
        <is>
          <t>Gujarat</t>
        </is>
      </c>
      <c r="M1093" s="9" t="inlineStr">
        <is>
          <t>NS</t>
        </is>
      </c>
      <c r="N1093" s="3" t="inlineStr">
        <is>
          <t>Cold Soldering</t>
        </is>
      </c>
      <c r="O1093" s="3" t="n">
        <v>570</v>
      </c>
      <c r="P1093" s="9" t="inlineStr">
        <is>
          <t>NSMI24060157257</t>
        </is>
      </c>
      <c r="Q1093" s="53">
        <f>MID(P1093,5,2)</f>
        <v/>
      </c>
      <c r="R1093" s="53">
        <f>MID(P1093,7,2)</f>
        <v/>
      </c>
      <c r="S1093" s="3" t="inlineStr">
        <is>
          <t>G2G</t>
        </is>
      </c>
      <c r="T1093" s="3" t="inlineStr">
        <is>
          <t>P4</t>
        </is>
      </c>
      <c r="U1093" s="3" t="inlineStr">
        <is>
          <t>N JB Cold Soldering</t>
        </is>
      </c>
      <c r="V1093" s="3" t="inlineStr">
        <is>
          <t>Soldering</t>
        </is>
      </c>
      <c r="W1093" s="3" t="inlineStr">
        <is>
          <t>Repair</t>
        </is>
      </c>
      <c r="X1093" s="18" t="n">
        <v>46157</v>
      </c>
      <c r="Y1093" s="73">
        <f>IF(X1093="","",X1093-A1093)</f>
        <v/>
      </c>
      <c r="Z1093" s="18" t="n">
        <v>46157</v>
      </c>
      <c r="AA1093" s="15" t="n"/>
      <c r="AB1093" s="15" t="n"/>
      <c r="AF1093">
        <f>IF(AND($F1093="Closed",$X1093&gt;=DATE(2026,5,1),$X1093&lt;=DATE(2026,5,31)),"Closed in May","Other")</f>
        <v/>
      </c>
    </row>
    <row r="1094">
      <c r="A1094" s="6" t="n">
        <v>46107</v>
      </c>
      <c r="B1094" s="3" t="n">
        <v>2026</v>
      </c>
      <c r="C1094" s="3" t="inlineStr">
        <is>
          <t>Blupine Energy</t>
        </is>
      </c>
      <c r="D1094" s="3" t="inlineStr">
        <is>
          <t>Utility and C&amp;I</t>
        </is>
      </c>
      <c r="E1094" s="3" t="n"/>
      <c r="F1094" s="3" t="inlineStr">
        <is>
          <t>Closed</t>
        </is>
      </c>
      <c r="G1094" s="3" t="inlineStr">
        <is>
          <t>Chandrashekar Patidar</t>
        </is>
      </c>
      <c r="H1094" s="3" t="n">
        <v>7879764773</v>
      </c>
      <c r="I1094" s="11" t="inlineStr">
        <is>
          <t>PE26032601</t>
        </is>
      </c>
      <c r="J1094" s="3" t="inlineStr">
        <is>
          <t>Module Diode Failure</t>
        </is>
      </c>
      <c r="K1094" s="3" t="inlineStr">
        <is>
          <t>Sadla</t>
        </is>
      </c>
      <c r="L1094" s="3" t="inlineStr">
        <is>
          <t>Gujarat</t>
        </is>
      </c>
      <c r="M1094" s="9" t="inlineStr">
        <is>
          <t>NS</t>
        </is>
      </c>
      <c r="N1094" s="3" t="inlineStr">
        <is>
          <t>Cold Soldering</t>
        </is>
      </c>
      <c r="O1094" s="3" t="n">
        <v>570</v>
      </c>
      <c r="P1094" s="9" t="inlineStr">
        <is>
          <t>NSMI24060155777</t>
        </is>
      </c>
      <c r="Q1094" s="53">
        <f>MID(P1094,5,2)</f>
        <v/>
      </c>
      <c r="R1094" s="53">
        <f>MID(P1094,7,2)</f>
        <v/>
      </c>
      <c r="S1094" s="3" t="inlineStr">
        <is>
          <t>G2G</t>
        </is>
      </c>
      <c r="T1094" s="3" t="inlineStr">
        <is>
          <t>P4</t>
        </is>
      </c>
      <c r="U1094" s="3" t="inlineStr">
        <is>
          <t>N JB Cold Soldering</t>
        </is>
      </c>
      <c r="V1094" s="3" t="inlineStr">
        <is>
          <t>Soldering</t>
        </is>
      </c>
      <c r="W1094" s="3" t="inlineStr">
        <is>
          <t>Repair</t>
        </is>
      </c>
      <c r="X1094" s="18" t="n">
        <v>46157</v>
      </c>
      <c r="Y1094" s="73">
        <f>IF(X1094="","",X1094-A1094)</f>
        <v/>
      </c>
      <c r="Z1094" s="18" t="n">
        <v>46157</v>
      </c>
      <c r="AA1094" s="15" t="n"/>
      <c r="AB1094" s="15" t="n"/>
      <c r="AF1094">
        <f>IF(AND($F1094="Closed",$X1094&gt;=DATE(2026,5,1),$X1094&lt;=DATE(2026,5,31)),"Closed in May","Other")</f>
        <v/>
      </c>
    </row>
    <row r="1095">
      <c r="A1095" s="6" t="n">
        <v>46107</v>
      </c>
      <c r="B1095" s="3" t="n">
        <v>2026</v>
      </c>
      <c r="C1095" s="3" t="inlineStr">
        <is>
          <t>Blupine Energy</t>
        </is>
      </c>
      <c r="D1095" s="3" t="inlineStr">
        <is>
          <t>Utility and C&amp;I</t>
        </is>
      </c>
      <c r="E1095" s="3" t="n"/>
      <c r="F1095" s="3" t="inlineStr">
        <is>
          <t>Closed</t>
        </is>
      </c>
      <c r="G1095" s="3" t="inlineStr">
        <is>
          <t>Chandrashekar Patidar</t>
        </is>
      </c>
      <c r="H1095" s="3" t="n">
        <v>7879764773</v>
      </c>
      <c r="I1095" s="11" t="inlineStr">
        <is>
          <t>PE26032601</t>
        </is>
      </c>
      <c r="J1095" s="3" t="inlineStr">
        <is>
          <t>Module Diode Failure</t>
        </is>
      </c>
      <c r="K1095" s="3" t="inlineStr">
        <is>
          <t>Sadla</t>
        </is>
      </c>
      <c r="L1095" s="3" t="inlineStr">
        <is>
          <t>Gujarat</t>
        </is>
      </c>
      <c r="M1095" s="9" t="inlineStr">
        <is>
          <t>NS</t>
        </is>
      </c>
      <c r="N1095" s="3" t="inlineStr">
        <is>
          <t>Cold Soldering</t>
        </is>
      </c>
      <c r="O1095" s="3" t="n">
        <v>570</v>
      </c>
      <c r="P1095" s="9" t="inlineStr">
        <is>
          <t>NSMI24060157306</t>
        </is>
      </c>
      <c r="Q1095" s="53">
        <f>MID(P1095,5,2)</f>
        <v/>
      </c>
      <c r="R1095" s="53">
        <f>MID(P1095,7,2)</f>
        <v/>
      </c>
      <c r="S1095" s="3" t="inlineStr">
        <is>
          <t>G2G</t>
        </is>
      </c>
      <c r="T1095" s="3" t="inlineStr">
        <is>
          <t>P4</t>
        </is>
      </c>
      <c r="U1095" s="3" t="inlineStr">
        <is>
          <t>N JB Cold Soldering</t>
        </is>
      </c>
      <c r="V1095" s="3" t="inlineStr">
        <is>
          <t>Soldering</t>
        </is>
      </c>
      <c r="W1095" s="3" t="inlineStr">
        <is>
          <t>Repair</t>
        </is>
      </c>
      <c r="X1095" s="18" t="n">
        <v>46157</v>
      </c>
      <c r="Y1095" s="73">
        <f>IF(X1095="","",X1095-A1095)</f>
        <v/>
      </c>
      <c r="Z1095" s="18" t="n">
        <v>46157</v>
      </c>
      <c r="AA1095" s="15" t="n"/>
      <c r="AB1095" s="15" t="n"/>
      <c r="AF1095">
        <f>IF(AND($F1095="Closed",$X1095&gt;=DATE(2026,5,1),$X1095&lt;=DATE(2026,5,31)),"Closed in May","Other")</f>
        <v/>
      </c>
    </row>
    <row r="1096">
      <c r="A1096" s="6" t="n">
        <v>46107</v>
      </c>
      <c r="B1096" s="3" t="n">
        <v>2026</v>
      </c>
      <c r="C1096" s="3" t="inlineStr">
        <is>
          <t>Blupine Energy</t>
        </is>
      </c>
      <c r="D1096" s="3" t="inlineStr">
        <is>
          <t>Utility and C&amp;I</t>
        </is>
      </c>
      <c r="E1096" s="3" t="n"/>
      <c r="F1096" s="3" t="inlineStr">
        <is>
          <t>Closed</t>
        </is>
      </c>
      <c r="G1096" s="3" t="inlineStr">
        <is>
          <t>Chandrashekar Patidar</t>
        </is>
      </c>
      <c r="H1096" s="3" t="n">
        <v>7879764773</v>
      </c>
      <c r="I1096" s="11" t="inlineStr">
        <is>
          <t>PE26032601</t>
        </is>
      </c>
      <c r="J1096" s="3" t="inlineStr">
        <is>
          <t>Module Diode Failure</t>
        </is>
      </c>
      <c r="K1096" s="3" t="inlineStr">
        <is>
          <t>Sadla</t>
        </is>
      </c>
      <c r="L1096" s="3" t="inlineStr">
        <is>
          <t>Gujarat</t>
        </is>
      </c>
      <c r="M1096" s="9" t="inlineStr">
        <is>
          <t>PS</t>
        </is>
      </c>
      <c r="N1096" s="3" t="inlineStr">
        <is>
          <t>Cold Soldering</t>
        </is>
      </c>
      <c r="O1096" s="3" t="n">
        <v>570</v>
      </c>
      <c r="P1096" s="9" t="inlineStr">
        <is>
          <t>NSMI24060146149</t>
        </is>
      </c>
      <c r="Q1096" s="53">
        <f>MID(P1096,5,2)</f>
        <v/>
      </c>
      <c r="R1096" s="53">
        <f>MID(P1096,7,2)</f>
        <v/>
      </c>
      <c r="S1096" s="3" t="inlineStr">
        <is>
          <t>G2G</t>
        </is>
      </c>
      <c r="T1096" s="3" t="inlineStr">
        <is>
          <t>P4</t>
        </is>
      </c>
      <c r="U1096" s="3" t="inlineStr">
        <is>
          <t>P JB Cold Soldering</t>
        </is>
      </c>
      <c r="V1096" s="3" t="inlineStr">
        <is>
          <t>Soldering</t>
        </is>
      </c>
      <c r="W1096" s="3" t="inlineStr">
        <is>
          <t>Repair</t>
        </is>
      </c>
      <c r="X1096" s="18" t="n">
        <v>46157</v>
      </c>
      <c r="Y1096" s="73">
        <f>IF(X1096="","",X1096-A1096)</f>
        <v/>
      </c>
      <c r="Z1096" s="18" t="n">
        <v>46157</v>
      </c>
      <c r="AA1096" s="15" t="n"/>
      <c r="AB1096" s="15" t="n"/>
      <c r="AF1096">
        <f>IF(AND($F1096="Closed",$X1096&gt;=DATE(2026,5,1),$X1096&lt;=DATE(2026,5,31)),"Closed in May","Other")</f>
        <v/>
      </c>
    </row>
    <row r="1097">
      <c r="A1097" s="6" t="n">
        <v>46107</v>
      </c>
      <c r="B1097" s="3" t="n">
        <v>2026</v>
      </c>
      <c r="C1097" s="3" t="inlineStr">
        <is>
          <t>Blupine Energy</t>
        </is>
      </c>
      <c r="D1097" s="3" t="inlineStr">
        <is>
          <t>Utility and C&amp;I</t>
        </is>
      </c>
      <c r="E1097" s="3" t="n"/>
      <c r="F1097" s="3" t="inlineStr">
        <is>
          <t>Closed</t>
        </is>
      </c>
      <c r="G1097" s="3" t="inlineStr">
        <is>
          <t>Chandrashekar Patidar</t>
        </is>
      </c>
      <c r="H1097" s="3" t="n">
        <v>7879764773</v>
      </c>
      <c r="I1097" s="11" t="inlineStr">
        <is>
          <t>PE26032601</t>
        </is>
      </c>
      <c r="J1097" s="3" t="inlineStr">
        <is>
          <t>Module Diode Failure</t>
        </is>
      </c>
      <c r="K1097" s="3" t="inlineStr">
        <is>
          <t>Sadla</t>
        </is>
      </c>
      <c r="L1097" s="3" t="inlineStr">
        <is>
          <t>Gujarat</t>
        </is>
      </c>
      <c r="M1097" s="9" t="inlineStr">
        <is>
          <t>NS</t>
        </is>
      </c>
      <c r="N1097" s="3" t="inlineStr">
        <is>
          <t>Cold Soldering</t>
        </is>
      </c>
      <c r="O1097" s="3" t="n">
        <v>570</v>
      </c>
      <c r="P1097" s="9" t="inlineStr">
        <is>
          <t>NSMI24060156328</t>
        </is>
      </c>
      <c r="Q1097" s="53">
        <f>MID(P1097,5,2)</f>
        <v/>
      </c>
      <c r="R1097" s="53">
        <f>MID(P1097,7,2)</f>
        <v/>
      </c>
      <c r="S1097" s="3" t="inlineStr">
        <is>
          <t>G2G</t>
        </is>
      </c>
      <c r="T1097" s="3" t="inlineStr">
        <is>
          <t>P4</t>
        </is>
      </c>
      <c r="U1097" s="3" t="inlineStr">
        <is>
          <t>N JB Cold Soldering</t>
        </is>
      </c>
      <c r="V1097" s="3" t="inlineStr">
        <is>
          <t>Soldering</t>
        </is>
      </c>
      <c r="W1097" s="3" t="inlineStr">
        <is>
          <t>Repair</t>
        </is>
      </c>
      <c r="X1097" s="18" t="n">
        <v>46157</v>
      </c>
      <c r="Y1097" s="73">
        <f>IF(X1097="","",X1097-A1097)</f>
        <v/>
      </c>
      <c r="Z1097" s="18" t="n">
        <v>46157</v>
      </c>
      <c r="AA1097" s="15" t="n"/>
      <c r="AB1097" s="15" t="n"/>
      <c r="AF1097">
        <f>IF(AND($F1097="Closed",$X1097&gt;=DATE(2026,5,1),$X1097&lt;=DATE(2026,5,31)),"Closed in May","Other")</f>
        <v/>
      </c>
    </row>
    <row r="1098">
      <c r="A1098" s="6" t="n">
        <v>46107</v>
      </c>
      <c r="B1098" s="3" t="n">
        <v>2026</v>
      </c>
      <c r="C1098" s="3" t="inlineStr">
        <is>
          <t>Blupine Energy</t>
        </is>
      </c>
      <c r="D1098" s="3" t="inlineStr">
        <is>
          <t>Utility and C&amp;I</t>
        </is>
      </c>
      <c r="E1098" s="3" t="n"/>
      <c r="F1098" s="3" t="inlineStr">
        <is>
          <t>Closed</t>
        </is>
      </c>
      <c r="G1098" s="3" t="inlineStr">
        <is>
          <t>Chandrashekar Patidar</t>
        </is>
      </c>
      <c r="H1098" s="3" t="n">
        <v>7879764773</v>
      </c>
      <c r="I1098" s="11" t="inlineStr">
        <is>
          <t>PE26032601</t>
        </is>
      </c>
      <c r="J1098" s="3" t="inlineStr">
        <is>
          <t>Module Diode Failure</t>
        </is>
      </c>
      <c r="K1098" s="3" t="inlineStr">
        <is>
          <t>Sadla</t>
        </is>
      </c>
      <c r="L1098" s="3" t="inlineStr">
        <is>
          <t>Gujarat</t>
        </is>
      </c>
      <c r="M1098" s="9" t="inlineStr">
        <is>
          <t>NS</t>
        </is>
      </c>
      <c r="N1098" s="3" t="inlineStr">
        <is>
          <t>Cold Soldering</t>
        </is>
      </c>
      <c r="O1098" s="3" t="n">
        <v>570</v>
      </c>
      <c r="P1098" s="9" t="inlineStr">
        <is>
          <t>NSMI24060156269</t>
        </is>
      </c>
      <c r="Q1098" s="53">
        <f>MID(P1098,5,2)</f>
        <v/>
      </c>
      <c r="R1098" s="53">
        <f>MID(P1098,7,2)</f>
        <v/>
      </c>
      <c r="S1098" s="3" t="inlineStr">
        <is>
          <t>G2G</t>
        </is>
      </c>
      <c r="T1098" s="3" t="inlineStr">
        <is>
          <t>P4</t>
        </is>
      </c>
      <c r="U1098" s="3" t="inlineStr">
        <is>
          <t>N JB Cold Soldering</t>
        </is>
      </c>
      <c r="V1098" s="3" t="inlineStr">
        <is>
          <t>Soldering</t>
        </is>
      </c>
      <c r="W1098" s="3" t="inlineStr">
        <is>
          <t>Repair</t>
        </is>
      </c>
      <c r="X1098" s="18" t="n">
        <v>46157</v>
      </c>
      <c r="Y1098" s="73">
        <f>IF(X1098="","",X1098-A1098)</f>
        <v/>
      </c>
      <c r="Z1098" s="18" t="n">
        <v>46157</v>
      </c>
      <c r="AA1098" s="15" t="n"/>
      <c r="AB1098" s="15" t="n"/>
      <c r="AF1098">
        <f>IF(AND($F1098="Closed",$X1098&gt;=DATE(2026,5,1),$X1098&lt;=DATE(2026,5,31)),"Closed in May","Other")</f>
        <v/>
      </c>
    </row>
    <row r="1099">
      <c r="A1099" s="6" t="n">
        <v>46107</v>
      </c>
      <c r="B1099" s="3" t="n">
        <v>2026</v>
      </c>
      <c r="C1099" s="3" t="inlineStr">
        <is>
          <t>Blupine Energy</t>
        </is>
      </c>
      <c r="D1099" s="3" t="inlineStr">
        <is>
          <t>Utility and C&amp;I</t>
        </is>
      </c>
      <c r="E1099" s="3" t="n"/>
      <c r="F1099" s="3" t="inlineStr">
        <is>
          <t>Closed</t>
        </is>
      </c>
      <c r="G1099" s="3" t="inlineStr">
        <is>
          <t>Chandrashekar Patidar</t>
        </is>
      </c>
      <c r="H1099" s="3" t="n">
        <v>7879764773</v>
      </c>
      <c r="I1099" s="11" t="inlineStr">
        <is>
          <t>PE26032601</t>
        </is>
      </c>
      <c r="J1099" s="3" t="inlineStr">
        <is>
          <t>Module Diode Failure</t>
        </is>
      </c>
      <c r="K1099" s="3" t="inlineStr">
        <is>
          <t>Sadla</t>
        </is>
      </c>
      <c r="L1099" s="3" t="inlineStr">
        <is>
          <t>Gujarat</t>
        </is>
      </c>
      <c r="M1099" s="9" t="inlineStr">
        <is>
          <t>NS</t>
        </is>
      </c>
      <c r="N1099" s="3" t="inlineStr">
        <is>
          <t>Cold Soldering</t>
        </is>
      </c>
      <c r="O1099" s="3" t="n">
        <v>570</v>
      </c>
      <c r="P1099" s="9" t="inlineStr">
        <is>
          <t>NSMI24060151122</t>
        </is>
      </c>
      <c r="Q1099" s="53">
        <f>MID(P1099,5,2)</f>
        <v/>
      </c>
      <c r="R1099" s="53">
        <f>MID(P1099,7,2)</f>
        <v/>
      </c>
      <c r="S1099" s="3" t="inlineStr">
        <is>
          <t>G2G</t>
        </is>
      </c>
      <c r="T1099" s="3" t="inlineStr">
        <is>
          <t>P4</t>
        </is>
      </c>
      <c r="U1099" s="3" t="inlineStr">
        <is>
          <t>N JB Cold Soldering</t>
        </is>
      </c>
      <c r="V1099" s="3" t="inlineStr">
        <is>
          <t>Soldering</t>
        </is>
      </c>
      <c r="W1099" s="3" t="inlineStr">
        <is>
          <t>Repair</t>
        </is>
      </c>
      <c r="X1099" s="18" t="n">
        <v>46157</v>
      </c>
      <c r="Y1099" s="73">
        <f>IF(X1099="","",X1099-A1099)</f>
        <v/>
      </c>
      <c r="Z1099" s="18" t="n">
        <v>46157</v>
      </c>
      <c r="AA1099" s="15" t="n"/>
      <c r="AB1099" s="15" t="n"/>
      <c r="AF1099">
        <f>IF(AND($F1099="Closed",$X1099&gt;=DATE(2026,5,1),$X1099&lt;=DATE(2026,5,31)),"Closed in May","Other")</f>
        <v/>
      </c>
    </row>
    <row r="1100">
      <c r="A1100" s="6" t="n">
        <v>46107</v>
      </c>
      <c r="B1100" s="3" t="n">
        <v>2026</v>
      </c>
      <c r="C1100" s="3" t="inlineStr">
        <is>
          <t>Blupine Energy</t>
        </is>
      </c>
      <c r="D1100" s="3" t="inlineStr">
        <is>
          <t>Utility and C&amp;I</t>
        </is>
      </c>
      <c r="E1100" s="3" t="n"/>
      <c r="F1100" s="3" t="inlineStr">
        <is>
          <t>Closed</t>
        </is>
      </c>
      <c r="G1100" s="3" t="inlineStr">
        <is>
          <t>Chandrashekar Patidar</t>
        </is>
      </c>
      <c r="H1100" s="3" t="n">
        <v>7879764773</v>
      </c>
      <c r="I1100" s="11" t="inlineStr">
        <is>
          <t>PE26032601</t>
        </is>
      </c>
      <c r="J1100" s="3" t="inlineStr">
        <is>
          <t>Module Diode Failure</t>
        </is>
      </c>
      <c r="K1100" s="3" t="inlineStr">
        <is>
          <t>Sadla</t>
        </is>
      </c>
      <c r="L1100" s="3" t="inlineStr">
        <is>
          <t>Gujarat</t>
        </is>
      </c>
      <c r="M1100" s="9" t="inlineStr">
        <is>
          <t>OK</t>
        </is>
      </c>
      <c r="N1100" s="3" t="inlineStr">
        <is>
          <t>No Issue</t>
        </is>
      </c>
      <c r="O1100" s="3" t="n">
        <v>570</v>
      </c>
      <c r="P1100" s="9" t="inlineStr">
        <is>
          <t>NSMI24060163557</t>
        </is>
      </c>
      <c r="Q1100" s="53">
        <f>MID(P1100,5,2)</f>
        <v/>
      </c>
      <c r="R1100" s="53">
        <f>MID(P1100,7,2)</f>
        <v/>
      </c>
      <c r="S1100" s="3" t="inlineStr">
        <is>
          <t>G2G</t>
        </is>
      </c>
      <c r="T1100" s="3" t="inlineStr">
        <is>
          <t>P4</t>
        </is>
      </c>
      <c r="U1100" s="19" t="inlineStr">
        <is>
          <t>No Issue Found</t>
        </is>
      </c>
      <c r="V1100" s="19" t="inlineStr">
        <is>
          <t>Found OK</t>
        </is>
      </c>
      <c r="W1100" s="3" t="inlineStr">
        <is>
          <t>Repair</t>
        </is>
      </c>
      <c r="X1100" s="18" t="n">
        <v>46157</v>
      </c>
      <c r="Y1100" s="73">
        <f>IF(X1100="","",X1100-A1100)</f>
        <v/>
      </c>
      <c r="Z1100" s="18" t="n">
        <v>46157</v>
      </c>
      <c r="AA1100" s="15" t="n"/>
      <c r="AB1100" s="15" t="n"/>
      <c r="AF1100">
        <f>IF(AND($F1100="Closed",$X1100&gt;=DATE(2026,5,1),$X1100&lt;=DATE(2026,5,31)),"Closed in May","Other")</f>
        <v/>
      </c>
    </row>
    <row r="1101">
      <c r="A1101" s="6" t="n">
        <v>46107</v>
      </c>
      <c r="B1101" s="3" t="n">
        <v>2026</v>
      </c>
      <c r="C1101" s="3" t="inlineStr">
        <is>
          <t>Blupine Energy</t>
        </is>
      </c>
      <c r="D1101" s="3" t="inlineStr">
        <is>
          <t>Utility and C&amp;I</t>
        </is>
      </c>
      <c r="E1101" s="3" t="n"/>
      <c r="F1101" s="3" t="inlineStr">
        <is>
          <t>Closed</t>
        </is>
      </c>
      <c r="G1101" s="3" t="inlineStr">
        <is>
          <t>Chandrashekar Patidar</t>
        </is>
      </c>
      <c r="H1101" s="3" t="n">
        <v>7879764773</v>
      </c>
      <c r="I1101" s="11" t="inlineStr">
        <is>
          <t>PE26032601</t>
        </is>
      </c>
      <c r="J1101" s="3" t="inlineStr">
        <is>
          <t>Module Diode Failure</t>
        </is>
      </c>
      <c r="K1101" s="3" t="inlineStr">
        <is>
          <t>Sadla</t>
        </is>
      </c>
      <c r="L1101" s="3" t="inlineStr">
        <is>
          <t>Gujarat</t>
        </is>
      </c>
      <c r="M1101" s="9" t="inlineStr">
        <is>
          <t>NS</t>
        </is>
      </c>
      <c r="N1101" s="3" t="inlineStr">
        <is>
          <t>Cold Soldering</t>
        </is>
      </c>
      <c r="O1101" s="3" t="n">
        <v>570</v>
      </c>
      <c r="P1101" s="9" t="inlineStr">
        <is>
          <t>NSMI24060157467</t>
        </is>
      </c>
      <c r="Q1101" s="53">
        <f>MID(P1101,5,2)</f>
        <v/>
      </c>
      <c r="R1101" s="53">
        <f>MID(P1101,7,2)</f>
        <v/>
      </c>
      <c r="S1101" s="3" t="inlineStr">
        <is>
          <t>G2G</t>
        </is>
      </c>
      <c r="T1101" s="3" t="inlineStr">
        <is>
          <t>P4</t>
        </is>
      </c>
      <c r="U1101" s="3" t="inlineStr">
        <is>
          <t>N JB Cold Soldering</t>
        </is>
      </c>
      <c r="V1101" s="3" t="inlineStr">
        <is>
          <t>Soldering</t>
        </is>
      </c>
      <c r="W1101" s="3" t="inlineStr">
        <is>
          <t>Repair</t>
        </is>
      </c>
      <c r="X1101" s="18" t="n">
        <v>46157</v>
      </c>
      <c r="Y1101" s="73">
        <f>IF(X1101="","",X1101-A1101)</f>
        <v/>
      </c>
      <c r="Z1101" s="18" t="n">
        <v>46157</v>
      </c>
      <c r="AA1101" s="15" t="n"/>
      <c r="AB1101" s="15" t="n"/>
      <c r="AF1101">
        <f>IF(AND($F1101="Closed",$X1101&gt;=DATE(2026,5,1),$X1101&lt;=DATE(2026,5,31)),"Closed in May","Other")</f>
        <v/>
      </c>
    </row>
    <row r="1102">
      <c r="A1102" s="6" t="n">
        <v>46107</v>
      </c>
      <c r="B1102" s="3" t="n">
        <v>2026</v>
      </c>
      <c r="C1102" s="3" t="inlineStr">
        <is>
          <t>Blupine Energy</t>
        </is>
      </c>
      <c r="D1102" s="3" t="inlineStr">
        <is>
          <t>Utility and C&amp;I</t>
        </is>
      </c>
      <c r="E1102" s="3" t="n"/>
      <c r="F1102" s="3" t="inlineStr">
        <is>
          <t>Closed</t>
        </is>
      </c>
      <c r="G1102" s="3" t="inlineStr">
        <is>
          <t>Chandrashekar Patidar</t>
        </is>
      </c>
      <c r="H1102" s="3" t="n">
        <v>7879764773</v>
      </c>
      <c r="I1102" s="11" t="inlineStr">
        <is>
          <t>PE26032601</t>
        </is>
      </c>
      <c r="J1102" s="3" t="inlineStr">
        <is>
          <t>Module Diode Failure</t>
        </is>
      </c>
      <c r="K1102" s="3" t="inlineStr">
        <is>
          <t>Sadla</t>
        </is>
      </c>
      <c r="L1102" s="3" t="inlineStr">
        <is>
          <t>Gujarat</t>
        </is>
      </c>
      <c r="M1102" s="9" t="inlineStr">
        <is>
          <t>NS</t>
        </is>
      </c>
      <c r="N1102" s="3" t="inlineStr">
        <is>
          <t>Cold Soldering</t>
        </is>
      </c>
      <c r="O1102" s="3" t="n">
        <v>570</v>
      </c>
      <c r="P1102" s="9" t="inlineStr">
        <is>
          <t>NSMI24060160015</t>
        </is>
      </c>
      <c r="Q1102" s="53">
        <f>MID(P1102,5,2)</f>
        <v/>
      </c>
      <c r="R1102" s="53">
        <f>MID(P1102,7,2)</f>
        <v/>
      </c>
      <c r="S1102" s="3" t="inlineStr">
        <is>
          <t>G2G</t>
        </is>
      </c>
      <c r="T1102" s="3" t="inlineStr">
        <is>
          <t>P4</t>
        </is>
      </c>
      <c r="U1102" s="3" t="inlineStr">
        <is>
          <t>N JB Cold Soldering</t>
        </is>
      </c>
      <c r="V1102" s="3" t="inlineStr">
        <is>
          <t>Soldering</t>
        </is>
      </c>
      <c r="W1102" s="3" t="inlineStr">
        <is>
          <t>Repair</t>
        </is>
      </c>
      <c r="X1102" s="18" t="n">
        <v>46157</v>
      </c>
      <c r="Y1102" s="73">
        <f>IF(X1102="","",X1102-A1102)</f>
        <v/>
      </c>
      <c r="Z1102" s="18" t="n">
        <v>46157</v>
      </c>
      <c r="AA1102" s="15" t="n"/>
      <c r="AB1102" s="15" t="n"/>
      <c r="AF1102">
        <f>IF(AND($F1102="Closed",$X1102&gt;=DATE(2026,5,1),$X1102&lt;=DATE(2026,5,31)),"Closed in May","Other")</f>
        <v/>
      </c>
    </row>
    <row r="1103">
      <c r="A1103" s="6" t="n">
        <v>46107</v>
      </c>
      <c r="B1103" s="3" t="n">
        <v>2026</v>
      </c>
      <c r="C1103" s="3" t="inlineStr">
        <is>
          <t>Blupine Energy</t>
        </is>
      </c>
      <c r="D1103" s="3" t="inlineStr">
        <is>
          <t>Utility and C&amp;I</t>
        </is>
      </c>
      <c r="E1103" s="3" t="n"/>
      <c r="F1103" s="3" t="inlineStr">
        <is>
          <t>Closed</t>
        </is>
      </c>
      <c r="G1103" s="3" t="inlineStr">
        <is>
          <t>Chandrashekar Patidar</t>
        </is>
      </c>
      <c r="H1103" s="3" t="n">
        <v>7879764773</v>
      </c>
      <c r="I1103" s="11" t="inlineStr">
        <is>
          <t>PE26032601</t>
        </is>
      </c>
      <c r="J1103" s="3" t="inlineStr">
        <is>
          <t>Module Diode Failure</t>
        </is>
      </c>
      <c r="K1103" s="3" t="inlineStr">
        <is>
          <t>Sadla</t>
        </is>
      </c>
      <c r="L1103" s="3" t="inlineStr">
        <is>
          <t>Gujarat</t>
        </is>
      </c>
      <c r="M1103" s="9" t="inlineStr">
        <is>
          <t>NS</t>
        </is>
      </c>
      <c r="N1103" s="3" t="inlineStr">
        <is>
          <t>Cold Soldering</t>
        </is>
      </c>
      <c r="O1103" s="3" t="n">
        <v>570</v>
      </c>
      <c r="P1103" s="9" t="inlineStr">
        <is>
          <t>NSMI24060147438</t>
        </is>
      </c>
      <c r="Q1103" s="53">
        <f>MID(P1103,5,2)</f>
        <v/>
      </c>
      <c r="R1103" s="53">
        <f>MID(P1103,7,2)</f>
        <v/>
      </c>
      <c r="S1103" s="3" t="inlineStr">
        <is>
          <t>G2G</t>
        </is>
      </c>
      <c r="T1103" s="3" t="inlineStr">
        <is>
          <t>P4</t>
        </is>
      </c>
      <c r="U1103" s="3" t="inlineStr">
        <is>
          <t>N JB Cold Soldering</t>
        </is>
      </c>
      <c r="V1103" s="3" t="inlineStr">
        <is>
          <t>Soldering</t>
        </is>
      </c>
      <c r="W1103" s="3" t="inlineStr">
        <is>
          <t>Repair</t>
        </is>
      </c>
      <c r="X1103" s="18" t="n">
        <v>46157</v>
      </c>
      <c r="Y1103" s="73">
        <f>IF(X1103="","",X1103-A1103)</f>
        <v/>
      </c>
      <c r="Z1103" s="18" t="n">
        <v>46157</v>
      </c>
      <c r="AA1103" s="15" t="n"/>
      <c r="AB1103" s="15" t="n"/>
      <c r="AF1103">
        <f>IF(AND($F1103="Closed",$X1103&gt;=DATE(2026,5,1),$X1103&lt;=DATE(2026,5,31)),"Closed in May","Other")</f>
        <v/>
      </c>
    </row>
    <row r="1104">
      <c r="A1104" s="6" t="n">
        <v>46107</v>
      </c>
      <c r="B1104" s="3" t="n">
        <v>2026</v>
      </c>
      <c r="C1104" s="3" t="inlineStr">
        <is>
          <t>Blupine Energy</t>
        </is>
      </c>
      <c r="D1104" s="3" t="inlineStr">
        <is>
          <t>Utility and C&amp;I</t>
        </is>
      </c>
      <c r="E1104" s="3" t="n"/>
      <c r="F1104" s="3" t="inlineStr">
        <is>
          <t>Closed</t>
        </is>
      </c>
      <c r="G1104" s="3" t="inlineStr">
        <is>
          <t>Chandrashekar Patidar</t>
        </is>
      </c>
      <c r="H1104" s="3" t="n">
        <v>7879764773</v>
      </c>
      <c r="I1104" s="11" t="inlineStr">
        <is>
          <t>PE26032601</t>
        </is>
      </c>
      <c r="J1104" s="3" t="inlineStr">
        <is>
          <t>Module Diode Failure</t>
        </is>
      </c>
      <c r="K1104" s="3" t="inlineStr">
        <is>
          <t>Sadla</t>
        </is>
      </c>
      <c r="L1104" s="3" t="inlineStr">
        <is>
          <t>Gujarat</t>
        </is>
      </c>
      <c r="M1104" s="9" t="inlineStr">
        <is>
          <t>NR</t>
        </is>
      </c>
      <c r="N1104" s="3" t="inlineStr">
        <is>
          <t>JB Issue</t>
        </is>
      </c>
      <c r="O1104" s="3" t="n">
        <v>570</v>
      </c>
      <c r="P1104" s="9" t="inlineStr">
        <is>
          <t>NSMI24060144958</t>
        </is>
      </c>
      <c r="Q1104" s="53">
        <f>MID(P1104,5,2)</f>
        <v/>
      </c>
      <c r="R1104" s="53">
        <f>MID(P1104,7,2)</f>
        <v/>
      </c>
      <c r="S1104" s="3" t="inlineStr">
        <is>
          <t>G2G</t>
        </is>
      </c>
      <c r="T1104" s="3" t="inlineStr">
        <is>
          <t>P4</t>
        </is>
      </c>
      <c r="U1104" s="3" t="inlineStr">
        <is>
          <t>N JB Issue</t>
        </is>
      </c>
      <c r="V1104" s="3" t="inlineStr">
        <is>
          <t>JB Changed</t>
        </is>
      </c>
      <c r="W1104" s="3" t="inlineStr">
        <is>
          <t>Repair</t>
        </is>
      </c>
      <c r="X1104" s="18" t="n">
        <v>46157</v>
      </c>
      <c r="Y1104" s="73">
        <f>IF(X1104="","",X1104-A1104)</f>
        <v/>
      </c>
      <c r="Z1104" s="18" t="n">
        <v>46157</v>
      </c>
      <c r="AA1104" s="15" t="n"/>
      <c r="AB1104" s="15" t="n"/>
      <c r="AF1104">
        <f>IF(AND($F1104="Closed",$X1104&gt;=DATE(2026,5,1),$X1104&lt;=DATE(2026,5,31)),"Closed in May","Other")</f>
        <v/>
      </c>
    </row>
    <row r="1105">
      <c r="A1105" s="6" t="n">
        <v>46107</v>
      </c>
      <c r="B1105" s="3" t="n">
        <v>2026</v>
      </c>
      <c r="C1105" s="3" t="inlineStr">
        <is>
          <t>Blupine Energy</t>
        </is>
      </c>
      <c r="D1105" s="3" t="inlineStr">
        <is>
          <t>Utility and C&amp;I</t>
        </is>
      </c>
      <c r="E1105" s="3" t="n"/>
      <c r="F1105" s="3" t="inlineStr">
        <is>
          <t>Closed</t>
        </is>
      </c>
      <c r="G1105" s="3" t="inlineStr">
        <is>
          <t>Chandrashekar Patidar</t>
        </is>
      </c>
      <c r="H1105" s="3" t="n">
        <v>7879764773</v>
      </c>
      <c r="I1105" s="11" t="inlineStr">
        <is>
          <t>PE26032601</t>
        </is>
      </c>
      <c r="J1105" s="3" t="inlineStr">
        <is>
          <t>Module Diode Failure</t>
        </is>
      </c>
      <c r="K1105" s="3" t="inlineStr">
        <is>
          <t>Sadla</t>
        </is>
      </c>
      <c r="L1105" s="3" t="inlineStr">
        <is>
          <t>Gujarat</t>
        </is>
      </c>
      <c r="M1105" s="9" t="inlineStr">
        <is>
          <t>NS</t>
        </is>
      </c>
      <c r="N1105" s="3" t="inlineStr">
        <is>
          <t>Cold Soldering</t>
        </is>
      </c>
      <c r="O1105" s="3" t="n">
        <v>570</v>
      </c>
      <c r="P1105" s="9" t="inlineStr">
        <is>
          <t>NSMI24060145333</t>
        </is>
      </c>
      <c r="Q1105" s="53">
        <f>MID(P1105,5,2)</f>
        <v/>
      </c>
      <c r="R1105" s="53">
        <f>MID(P1105,7,2)</f>
        <v/>
      </c>
      <c r="S1105" s="3" t="inlineStr">
        <is>
          <t>G2G</t>
        </is>
      </c>
      <c r="T1105" s="3" t="inlineStr">
        <is>
          <t>P4</t>
        </is>
      </c>
      <c r="U1105" s="3" t="inlineStr">
        <is>
          <t>N JB Cold Soldering</t>
        </is>
      </c>
      <c r="V1105" s="3" t="inlineStr">
        <is>
          <t>Soldering</t>
        </is>
      </c>
      <c r="W1105" s="3" t="inlineStr">
        <is>
          <t>Repair</t>
        </is>
      </c>
      <c r="X1105" s="18" t="n">
        <v>46157</v>
      </c>
      <c r="Y1105" s="73">
        <f>IF(X1105="","",X1105-A1105)</f>
        <v/>
      </c>
      <c r="Z1105" s="18" t="n">
        <v>46157</v>
      </c>
      <c r="AA1105" s="15" t="n"/>
      <c r="AB1105" s="15" t="n"/>
      <c r="AF1105">
        <f>IF(AND($F1105="Closed",$X1105&gt;=DATE(2026,5,1),$X1105&lt;=DATE(2026,5,31)),"Closed in May","Other")</f>
        <v/>
      </c>
    </row>
    <row r="1106">
      <c r="A1106" s="6" t="n">
        <v>46107</v>
      </c>
      <c r="B1106" s="3" t="n">
        <v>2026</v>
      </c>
      <c r="C1106" s="3" t="inlineStr">
        <is>
          <t>Blupine Energy</t>
        </is>
      </c>
      <c r="D1106" s="3" t="inlineStr">
        <is>
          <t>Utility and C&amp;I</t>
        </is>
      </c>
      <c r="E1106" s="3" t="n"/>
      <c r="F1106" s="3" t="inlineStr">
        <is>
          <t>Closed</t>
        </is>
      </c>
      <c r="G1106" s="3" t="inlineStr">
        <is>
          <t>Chandrashekar Patidar</t>
        </is>
      </c>
      <c r="H1106" s="3" t="n">
        <v>7879764773</v>
      </c>
      <c r="I1106" s="11" t="inlineStr">
        <is>
          <t>PE26032601</t>
        </is>
      </c>
      <c r="J1106" s="3" t="inlineStr">
        <is>
          <t>Module Diode Failure</t>
        </is>
      </c>
      <c r="K1106" s="3" t="inlineStr">
        <is>
          <t>Sadla</t>
        </is>
      </c>
      <c r="L1106" s="3" t="inlineStr">
        <is>
          <t>Gujarat</t>
        </is>
      </c>
      <c r="M1106" s="9" t="inlineStr">
        <is>
          <t>PS</t>
        </is>
      </c>
      <c r="N1106" s="3" t="inlineStr">
        <is>
          <t>Cold Soldering</t>
        </is>
      </c>
      <c r="O1106" s="3" t="n">
        <v>570</v>
      </c>
      <c r="P1106" s="9" t="inlineStr">
        <is>
          <t>NSMI24060162309</t>
        </is>
      </c>
      <c r="Q1106" s="53">
        <f>MID(P1106,5,2)</f>
        <v/>
      </c>
      <c r="R1106" s="53">
        <f>MID(P1106,7,2)</f>
        <v/>
      </c>
      <c r="S1106" s="3" t="inlineStr">
        <is>
          <t>G2G</t>
        </is>
      </c>
      <c r="T1106" s="3" t="inlineStr">
        <is>
          <t>P4</t>
        </is>
      </c>
      <c r="U1106" s="3" t="inlineStr">
        <is>
          <t>P JB Cold Soldering</t>
        </is>
      </c>
      <c r="V1106" s="3" t="inlineStr">
        <is>
          <t>Soldering</t>
        </is>
      </c>
      <c r="W1106" s="3" t="inlineStr">
        <is>
          <t>Repair</t>
        </is>
      </c>
      <c r="X1106" s="18" t="n">
        <v>46157</v>
      </c>
      <c r="Y1106" s="73">
        <f>IF(X1106="","",X1106-A1106)</f>
        <v/>
      </c>
      <c r="Z1106" s="18" t="n">
        <v>46157</v>
      </c>
      <c r="AA1106" s="15" t="n"/>
      <c r="AB1106" s="15" t="n"/>
      <c r="AF1106">
        <f>IF(AND($F1106="Closed",$X1106&gt;=DATE(2026,5,1),$X1106&lt;=DATE(2026,5,31)),"Closed in May","Other")</f>
        <v/>
      </c>
    </row>
    <row r="1107">
      <c r="A1107" s="6" t="n">
        <v>46107</v>
      </c>
      <c r="B1107" s="3" t="n">
        <v>2026</v>
      </c>
      <c r="C1107" s="3" t="inlineStr">
        <is>
          <t>Blupine Energy</t>
        </is>
      </c>
      <c r="D1107" s="3" t="inlineStr">
        <is>
          <t>Utility and C&amp;I</t>
        </is>
      </c>
      <c r="E1107" s="3" t="n"/>
      <c r="F1107" s="3" t="inlineStr">
        <is>
          <t>Closed</t>
        </is>
      </c>
      <c r="G1107" s="3" t="inlineStr">
        <is>
          <t>Chandrashekar Patidar</t>
        </is>
      </c>
      <c r="H1107" s="3" t="n">
        <v>7879764773</v>
      </c>
      <c r="I1107" s="11" t="inlineStr">
        <is>
          <t>PE26032601</t>
        </is>
      </c>
      <c r="J1107" s="3" t="inlineStr">
        <is>
          <t>Module Diode Failure</t>
        </is>
      </c>
      <c r="K1107" s="3" t="inlineStr">
        <is>
          <t>Sadla</t>
        </is>
      </c>
      <c r="L1107" s="3" t="inlineStr">
        <is>
          <t>Gujarat</t>
        </is>
      </c>
      <c r="M1107" s="9" t="inlineStr">
        <is>
          <t>NS</t>
        </is>
      </c>
      <c r="N1107" s="3" t="inlineStr">
        <is>
          <t>Cold Soldering</t>
        </is>
      </c>
      <c r="O1107" s="3" t="n">
        <v>570</v>
      </c>
      <c r="P1107" s="9" t="inlineStr">
        <is>
          <t>NSMI24060162620</t>
        </is>
      </c>
      <c r="Q1107" s="53">
        <f>MID(P1107,5,2)</f>
        <v/>
      </c>
      <c r="R1107" s="53">
        <f>MID(P1107,7,2)</f>
        <v/>
      </c>
      <c r="S1107" s="3" t="inlineStr">
        <is>
          <t>G2G</t>
        </is>
      </c>
      <c r="T1107" s="3" t="inlineStr">
        <is>
          <t>P4</t>
        </is>
      </c>
      <c r="U1107" s="3" t="inlineStr">
        <is>
          <t>N JB Cold Soldering</t>
        </is>
      </c>
      <c r="V1107" s="3" t="inlineStr">
        <is>
          <t>Soldering</t>
        </is>
      </c>
      <c r="W1107" s="3" t="inlineStr">
        <is>
          <t>Repair</t>
        </is>
      </c>
      <c r="X1107" s="18" t="n">
        <v>46157</v>
      </c>
      <c r="Y1107" s="73">
        <f>IF(X1107="","",X1107-A1107)</f>
        <v/>
      </c>
      <c r="Z1107" s="18" t="n">
        <v>46157</v>
      </c>
      <c r="AA1107" s="15" t="n"/>
      <c r="AB1107" s="15" t="n"/>
      <c r="AF1107">
        <f>IF(AND($F1107="Closed",$X1107&gt;=DATE(2026,5,1),$X1107&lt;=DATE(2026,5,31)),"Closed in May","Other")</f>
        <v/>
      </c>
    </row>
    <row r="1108">
      <c r="A1108" s="6" t="n">
        <v>46107</v>
      </c>
      <c r="B1108" s="3" t="n">
        <v>2026</v>
      </c>
      <c r="C1108" s="3" t="inlineStr">
        <is>
          <t>Blupine Energy</t>
        </is>
      </c>
      <c r="D1108" s="3" t="inlineStr">
        <is>
          <t>Utility and C&amp;I</t>
        </is>
      </c>
      <c r="E1108" s="3" t="n"/>
      <c r="F1108" s="3" t="inlineStr">
        <is>
          <t>Closed</t>
        </is>
      </c>
      <c r="G1108" s="3" t="inlineStr">
        <is>
          <t>Chandrashekar Patidar</t>
        </is>
      </c>
      <c r="H1108" s="3" t="n">
        <v>7879764773</v>
      </c>
      <c r="I1108" s="11" t="inlineStr">
        <is>
          <t>PE26032601</t>
        </is>
      </c>
      <c r="J1108" s="3" t="inlineStr">
        <is>
          <t>Module Diode Failure</t>
        </is>
      </c>
      <c r="K1108" s="3" t="inlineStr">
        <is>
          <t>Sadla</t>
        </is>
      </c>
      <c r="L1108" s="3" t="inlineStr">
        <is>
          <t>Gujarat</t>
        </is>
      </c>
      <c r="M1108" s="9" t="inlineStr">
        <is>
          <t>NS</t>
        </is>
      </c>
      <c r="N1108" s="3" t="inlineStr">
        <is>
          <t>Cold Soldering</t>
        </is>
      </c>
      <c r="O1108" s="3" t="n">
        <v>570</v>
      </c>
      <c r="P1108" s="9" t="inlineStr">
        <is>
          <t>NSMI24060162526</t>
        </is>
      </c>
      <c r="Q1108" s="53">
        <f>MID(P1108,5,2)</f>
        <v/>
      </c>
      <c r="R1108" s="53">
        <f>MID(P1108,7,2)</f>
        <v/>
      </c>
      <c r="S1108" s="3" t="inlineStr">
        <is>
          <t>G2G</t>
        </is>
      </c>
      <c r="T1108" s="3" t="inlineStr">
        <is>
          <t>P4</t>
        </is>
      </c>
      <c r="U1108" s="3" t="inlineStr">
        <is>
          <t>N JB Cold Soldering</t>
        </is>
      </c>
      <c r="V1108" s="3" t="inlineStr">
        <is>
          <t>Soldering</t>
        </is>
      </c>
      <c r="W1108" s="3" t="inlineStr">
        <is>
          <t>Repair</t>
        </is>
      </c>
      <c r="X1108" s="18" t="n">
        <v>46157</v>
      </c>
      <c r="Y1108" s="73">
        <f>IF(X1108="","",X1108-A1108)</f>
        <v/>
      </c>
      <c r="Z1108" s="18" t="n">
        <v>46157</v>
      </c>
      <c r="AA1108" s="15" t="n"/>
      <c r="AB1108" s="15" t="n"/>
      <c r="AF1108">
        <f>IF(AND($F1108="Closed",$X1108&gt;=DATE(2026,5,1),$X1108&lt;=DATE(2026,5,31)),"Closed in May","Other")</f>
        <v/>
      </c>
    </row>
    <row r="1109">
      <c r="A1109" s="6" t="n">
        <v>46107</v>
      </c>
      <c r="B1109" s="3" t="n">
        <v>2026</v>
      </c>
      <c r="C1109" s="3" t="inlineStr">
        <is>
          <t>Blupine Energy</t>
        </is>
      </c>
      <c r="D1109" s="3" t="inlineStr">
        <is>
          <t>Utility and C&amp;I</t>
        </is>
      </c>
      <c r="E1109" s="3" t="n"/>
      <c r="F1109" s="3" t="inlineStr">
        <is>
          <t>Closed</t>
        </is>
      </c>
      <c r="G1109" s="3" t="inlineStr">
        <is>
          <t>Chandrashekar Patidar</t>
        </is>
      </c>
      <c r="H1109" s="3" t="n">
        <v>7879764773</v>
      </c>
      <c r="I1109" s="11" t="inlineStr">
        <is>
          <t>PE26032601</t>
        </is>
      </c>
      <c r="J1109" s="3" t="inlineStr">
        <is>
          <t>Module Diode Failure</t>
        </is>
      </c>
      <c r="K1109" s="3" t="inlineStr">
        <is>
          <t>Sadla</t>
        </is>
      </c>
      <c r="L1109" s="3" t="inlineStr">
        <is>
          <t>Gujarat</t>
        </is>
      </c>
      <c r="M1109" s="9" t="inlineStr">
        <is>
          <t>NS</t>
        </is>
      </c>
      <c r="N1109" s="3" t="inlineStr">
        <is>
          <t>Cold Soldering</t>
        </is>
      </c>
      <c r="O1109" s="3" t="n">
        <v>570</v>
      </c>
      <c r="P1109" s="9" t="inlineStr">
        <is>
          <t>NSMI24060145055</t>
        </is>
      </c>
      <c r="Q1109" s="53">
        <f>MID(P1109,5,2)</f>
        <v/>
      </c>
      <c r="R1109" s="53">
        <f>MID(P1109,7,2)</f>
        <v/>
      </c>
      <c r="S1109" s="3" t="inlineStr">
        <is>
          <t>G2G</t>
        </is>
      </c>
      <c r="T1109" s="3" t="inlineStr">
        <is>
          <t>P4</t>
        </is>
      </c>
      <c r="U1109" s="3" t="inlineStr">
        <is>
          <t>N JB Cold Soldering</t>
        </is>
      </c>
      <c r="V1109" s="3" t="inlineStr">
        <is>
          <t>Soldering</t>
        </is>
      </c>
      <c r="W1109" s="3" t="inlineStr">
        <is>
          <t>Repair</t>
        </is>
      </c>
      <c r="X1109" s="18" t="n">
        <v>46157</v>
      </c>
      <c r="Y1109" s="73">
        <f>IF(X1109="","",X1109-A1109)</f>
        <v/>
      </c>
      <c r="Z1109" s="18" t="n">
        <v>46157</v>
      </c>
      <c r="AA1109" s="15" t="n"/>
      <c r="AB1109" s="15" t="n"/>
      <c r="AF1109">
        <f>IF(AND($F1109="Closed",$X1109&gt;=DATE(2026,5,1),$X1109&lt;=DATE(2026,5,31)),"Closed in May","Other")</f>
        <v/>
      </c>
    </row>
    <row r="1110">
      <c r="A1110" s="6" t="n">
        <v>46107</v>
      </c>
      <c r="B1110" s="3" t="n">
        <v>2026</v>
      </c>
      <c r="C1110" s="3" t="inlineStr">
        <is>
          <t>Blupine Energy</t>
        </is>
      </c>
      <c r="D1110" s="3" t="inlineStr">
        <is>
          <t>Utility and C&amp;I</t>
        </is>
      </c>
      <c r="E1110" s="3" t="n"/>
      <c r="F1110" s="3" t="inlineStr">
        <is>
          <t>Closed</t>
        </is>
      </c>
      <c r="G1110" s="3" t="inlineStr">
        <is>
          <t>Chandrashekar Patidar</t>
        </is>
      </c>
      <c r="H1110" s="3" t="n">
        <v>7879764773</v>
      </c>
      <c r="I1110" s="11" t="inlineStr">
        <is>
          <t>PE26032601</t>
        </is>
      </c>
      <c r="J1110" s="3" t="inlineStr">
        <is>
          <t>Module Diode Failure</t>
        </is>
      </c>
      <c r="K1110" s="3" t="inlineStr">
        <is>
          <t>Sadla</t>
        </is>
      </c>
      <c r="L1110" s="3" t="inlineStr">
        <is>
          <t>Gujarat</t>
        </is>
      </c>
      <c r="M1110" s="9" t="inlineStr">
        <is>
          <t>NS</t>
        </is>
      </c>
      <c r="N1110" s="3" t="inlineStr">
        <is>
          <t>Cold Soldering</t>
        </is>
      </c>
      <c r="O1110" s="3" t="n">
        <v>570</v>
      </c>
      <c r="P1110" s="9" t="inlineStr">
        <is>
          <t>NSMI24060157074</t>
        </is>
      </c>
      <c r="Q1110" s="53">
        <f>MID(P1110,5,2)</f>
        <v/>
      </c>
      <c r="R1110" s="53">
        <f>MID(P1110,7,2)</f>
        <v/>
      </c>
      <c r="S1110" s="3" t="inlineStr">
        <is>
          <t>G2G</t>
        </is>
      </c>
      <c r="T1110" s="3" t="inlineStr">
        <is>
          <t>P4</t>
        </is>
      </c>
      <c r="U1110" s="3" t="inlineStr">
        <is>
          <t>N JB Cold Soldering</t>
        </is>
      </c>
      <c r="V1110" s="3" t="inlineStr">
        <is>
          <t>Soldering</t>
        </is>
      </c>
      <c r="W1110" s="3" t="inlineStr">
        <is>
          <t>Repair</t>
        </is>
      </c>
      <c r="X1110" s="18" t="n">
        <v>46157</v>
      </c>
      <c r="Y1110" s="73">
        <f>IF(X1110="","",X1110-A1110)</f>
        <v/>
      </c>
      <c r="Z1110" s="18" t="n">
        <v>46157</v>
      </c>
      <c r="AA1110" s="15" t="n"/>
      <c r="AB1110" s="15" t="n"/>
      <c r="AF1110">
        <f>IF(AND($F1110="Closed",$X1110&gt;=DATE(2026,5,1),$X1110&lt;=DATE(2026,5,31)),"Closed in May","Other")</f>
        <v/>
      </c>
    </row>
    <row r="1111">
      <c r="A1111" s="6" t="n">
        <v>46107</v>
      </c>
      <c r="B1111" s="3" t="n">
        <v>2026</v>
      </c>
      <c r="C1111" s="3" t="inlineStr">
        <is>
          <t>Blupine Energy</t>
        </is>
      </c>
      <c r="D1111" s="3" t="inlineStr">
        <is>
          <t>Utility and C&amp;I</t>
        </is>
      </c>
      <c r="E1111" s="3" t="n"/>
      <c r="F1111" s="3" t="inlineStr">
        <is>
          <t>Closed</t>
        </is>
      </c>
      <c r="G1111" s="3" t="inlineStr">
        <is>
          <t>Chandrashekar Patidar</t>
        </is>
      </c>
      <c r="H1111" s="3" t="n">
        <v>7879764773</v>
      </c>
      <c r="I1111" s="11" t="inlineStr">
        <is>
          <t>PE26032601</t>
        </is>
      </c>
      <c r="J1111" s="3" t="inlineStr">
        <is>
          <t>Module Diode Failure</t>
        </is>
      </c>
      <c r="K1111" s="3" t="inlineStr">
        <is>
          <t>Sadla</t>
        </is>
      </c>
      <c r="L1111" s="3" t="inlineStr">
        <is>
          <t>Gujarat</t>
        </is>
      </c>
      <c r="M1111" s="9" t="inlineStr">
        <is>
          <t>PS</t>
        </is>
      </c>
      <c r="N1111" s="3" t="inlineStr">
        <is>
          <t>Cold Soldering</t>
        </is>
      </c>
      <c r="O1111" s="3" t="n">
        <v>570</v>
      </c>
      <c r="P1111" s="9" t="inlineStr">
        <is>
          <t>NSMI24070166945</t>
        </is>
      </c>
      <c r="Q1111" s="53">
        <f>MID(P1111,5,2)</f>
        <v/>
      </c>
      <c r="R1111" s="53">
        <f>MID(P1111,7,2)</f>
        <v/>
      </c>
      <c r="S1111" s="3" t="inlineStr">
        <is>
          <t>G2G</t>
        </is>
      </c>
      <c r="T1111" s="3" t="inlineStr">
        <is>
          <t>P4</t>
        </is>
      </c>
      <c r="U1111" s="3" t="inlineStr">
        <is>
          <t>P JB Cold Soldering</t>
        </is>
      </c>
      <c r="V1111" s="3" t="inlineStr">
        <is>
          <t>Soldering</t>
        </is>
      </c>
      <c r="W1111" s="3" t="inlineStr">
        <is>
          <t>Repair</t>
        </is>
      </c>
      <c r="X1111" s="18" t="n">
        <v>46157</v>
      </c>
      <c r="Y1111" s="73">
        <f>IF(X1111="","",X1111-A1111)</f>
        <v/>
      </c>
      <c r="Z1111" s="18" t="n">
        <v>46157</v>
      </c>
      <c r="AA1111" s="15" t="n"/>
      <c r="AB1111" s="15" t="n"/>
      <c r="AF1111">
        <f>IF(AND($F1111="Closed",$X1111&gt;=DATE(2026,5,1),$X1111&lt;=DATE(2026,5,31)),"Closed in May","Other")</f>
        <v/>
      </c>
    </row>
    <row r="1112">
      <c r="A1112" s="6" t="n">
        <v>46107</v>
      </c>
      <c r="B1112" s="3" t="n">
        <v>2026</v>
      </c>
      <c r="C1112" s="3" t="inlineStr">
        <is>
          <t>Blupine Energy</t>
        </is>
      </c>
      <c r="D1112" s="3" t="inlineStr">
        <is>
          <t>Utility and C&amp;I</t>
        </is>
      </c>
      <c r="E1112" s="3" t="n"/>
      <c r="F1112" s="3" t="inlineStr">
        <is>
          <t>Closed</t>
        </is>
      </c>
      <c r="G1112" s="3" t="inlineStr">
        <is>
          <t>Chandrashekar Patidar</t>
        </is>
      </c>
      <c r="H1112" s="3" t="n">
        <v>7879764773</v>
      </c>
      <c r="I1112" s="11" t="inlineStr">
        <is>
          <t>PE26032601</t>
        </is>
      </c>
      <c r="J1112" s="3" t="inlineStr">
        <is>
          <t>Module Diode Failure</t>
        </is>
      </c>
      <c r="K1112" s="3" t="inlineStr">
        <is>
          <t>Sadla</t>
        </is>
      </c>
      <c r="L1112" s="3" t="inlineStr">
        <is>
          <t>Gujarat</t>
        </is>
      </c>
      <c r="M1112" s="9" t="inlineStr">
        <is>
          <t>PS</t>
        </is>
      </c>
      <c r="N1112" s="3" t="inlineStr">
        <is>
          <t>Cold Soldering</t>
        </is>
      </c>
      <c r="O1112" s="3" t="n">
        <v>570</v>
      </c>
      <c r="P1112" s="9" t="inlineStr">
        <is>
          <t>NSMI24060143885</t>
        </is>
      </c>
      <c r="Q1112" s="53">
        <f>MID(P1112,5,2)</f>
        <v/>
      </c>
      <c r="R1112" s="53">
        <f>MID(P1112,7,2)</f>
        <v/>
      </c>
      <c r="S1112" s="3" t="inlineStr">
        <is>
          <t>G2G</t>
        </is>
      </c>
      <c r="T1112" s="3" t="inlineStr">
        <is>
          <t>P4</t>
        </is>
      </c>
      <c r="U1112" s="3" t="inlineStr">
        <is>
          <t>P JB Cold Soldering</t>
        </is>
      </c>
      <c r="V1112" s="3" t="inlineStr">
        <is>
          <t>Soldering</t>
        </is>
      </c>
      <c r="W1112" s="3" t="inlineStr">
        <is>
          <t>Repair</t>
        </is>
      </c>
      <c r="X1112" s="18" t="n">
        <v>46157</v>
      </c>
      <c r="Y1112" s="73">
        <f>IF(X1112="","",X1112-A1112)</f>
        <v/>
      </c>
      <c r="Z1112" s="18" t="n">
        <v>46157</v>
      </c>
      <c r="AA1112" s="15" t="n"/>
      <c r="AB1112" s="15" t="n"/>
      <c r="AF1112">
        <f>IF(AND($F1112="Closed",$X1112&gt;=DATE(2026,5,1),$X1112&lt;=DATE(2026,5,31)),"Closed in May","Other")</f>
        <v/>
      </c>
    </row>
    <row r="1113">
      <c r="A1113" s="6" t="n">
        <v>46107</v>
      </c>
      <c r="B1113" s="3" t="n">
        <v>2026</v>
      </c>
      <c r="C1113" s="3" t="inlineStr">
        <is>
          <t>Blupine Energy</t>
        </is>
      </c>
      <c r="D1113" s="3" t="inlineStr">
        <is>
          <t>Utility and C&amp;I</t>
        </is>
      </c>
      <c r="E1113" s="3" t="n"/>
      <c r="F1113" s="3" t="inlineStr">
        <is>
          <t>Closed</t>
        </is>
      </c>
      <c r="G1113" s="3" t="inlineStr">
        <is>
          <t>Chandrashekar Patidar</t>
        </is>
      </c>
      <c r="H1113" s="3" t="n">
        <v>7879764773</v>
      </c>
      <c r="I1113" s="11" t="inlineStr">
        <is>
          <t>PE26032601</t>
        </is>
      </c>
      <c r="J1113" s="3" t="inlineStr">
        <is>
          <t>Module Diode Failure</t>
        </is>
      </c>
      <c r="K1113" s="3" t="inlineStr">
        <is>
          <t>Sadla</t>
        </is>
      </c>
      <c r="L1113" s="3" t="inlineStr">
        <is>
          <t>Gujarat</t>
        </is>
      </c>
      <c r="M1113" s="9" t="inlineStr">
        <is>
          <t>NS</t>
        </is>
      </c>
      <c r="N1113" s="3" t="inlineStr">
        <is>
          <t>Cold Soldering</t>
        </is>
      </c>
      <c r="O1113" s="3" t="n">
        <v>570</v>
      </c>
      <c r="P1113" s="9" t="inlineStr">
        <is>
          <t>NSMI24060142428</t>
        </is>
      </c>
      <c r="Q1113" s="53">
        <f>MID(P1113,5,2)</f>
        <v/>
      </c>
      <c r="R1113" s="53">
        <f>MID(P1113,7,2)</f>
        <v/>
      </c>
      <c r="S1113" s="3" t="inlineStr">
        <is>
          <t>G2G</t>
        </is>
      </c>
      <c r="T1113" s="3" t="inlineStr">
        <is>
          <t>P4</t>
        </is>
      </c>
      <c r="U1113" s="3" t="inlineStr">
        <is>
          <t>N JB Cold Soldering</t>
        </is>
      </c>
      <c r="V1113" s="3" t="inlineStr">
        <is>
          <t>Soldering</t>
        </is>
      </c>
      <c r="W1113" s="3" t="inlineStr">
        <is>
          <t>Repair</t>
        </is>
      </c>
      <c r="X1113" s="18" t="n">
        <v>46157</v>
      </c>
      <c r="Y1113" s="73">
        <f>IF(X1113="","",X1113-A1113)</f>
        <v/>
      </c>
      <c r="Z1113" s="18" t="n">
        <v>46157</v>
      </c>
      <c r="AA1113" s="15" t="n"/>
      <c r="AB1113" s="15" t="n"/>
      <c r="AF1113">
        <f>IF(AND($F1113="Closed",$X1113&gt;=DATE(2026,5,1),$X1113&lt;=DATE(2026,5,31)),"Closed in May","Other")</f>
        <v/>
      </c>
    </row>
    <row r="1114">
      <c r="A1114" s="6" t="n">
        <v>46107</v>
      </c>
      <c r="B1114" s="3" t="n">
        <v>2026</v>
      </c>
      <c r="C1114" s="3" t="inlineStr">
        <is>
          <t>Blupine Energy</t>
        </is>
      </c>
      <c r="D1114" s="3" t="inlineStr">
        <is>
          <t>Utility and C&amp;I</t>
        </is>
      </c>
      <c r="E1114" s="3" t="n"/>
      <c r="F1114" s="3" t="inlineStr">
        <is>
          <t>Closed</t>
        </is>
      </c>
      <c r="G1114" s="3" t="inlineStr">
        <is>
          <t>Chandrashekar Patidar</t>
        </is>
      </c>
      <c r="H1114" s="3" t="n">
        <v>7879764773</v>
      </c>
      <c r="I1114" s="11" t="inlineStr">
        <is>
          <t>PE26032601</t>
        </is>
      </c>
      <c r="J1114" s="3" t="inlineStr">
        <is>
          <t>Module Diode Failure</t>
        </is>
      </c>
      <c r="K1114" s="3" t="inlineStr">
        <is>
          <t>Sadla</t>
        </is>
      </c>
      <c r="L1114" s="3" t="inlineStr">
        <is>
          <t>Gujarat</t>
        </is>
      </c>
      <c r="M1114" s="9" t="inlineStr">
        <is>
          <t>NS</t>
        </is>
      </c>
      <c r="N1114" s="3" t="inlineStr">
        <is>
          <t>Cold Soldering</t>
        </is>
      </c>
      <c r="O1114" s="3" t="n">
        <v>570</v>
      </c>
      <c r="P1114" s="9" t="inlineStr">
        <is>
          <t>NSMI24060144935</t>
        </is>
      </c>
      <c r="Q1114" s="53">
        <f>MID(P1114,5,2)</f>
        <v/>
      </c>
      <c r="R1114" s="53">
        <f>MID(P1114,7,2)</f>
        <v/>
      </c>
      <c r="S1114" s="3" t="inlineStr">
        <is>
          <t>G2G</t>
        </is>
      </c>
      <c r="T1114" s="3" t="inlineStr">
        <is>
          <t>P4</t>
        </is>
      </c>
      <c r="U1114" s="3" t="inlineStr">
        <is>
          <t>N JB Cold Soldering</t>
        </is>
      </c>
      <c r="V1114" s="3" t="inlineStr">
        <is>
          <t>Soldering</t>
        </is>
      </c>
      <c r="W1114" s="3" t="inlineStr">
        <is>
          <t>Repair</t>
        </is>
      </c>
      <c r="X1114" s="18" t="n">
        <v>46157</v>
      </c>
      <c r="Y1114" s="73">
        <f>IF(X1114="","",X1114-A1114)</f>
        <v/>
      </c>
      <c r="Z1114" s="18" t="n">
        <v>46157</v>
      </c>
      <c r="AA1114" s="15" t="n"/>
      <c r="AB1114" s="15" t="n"/>
      <c r="AF1114">
        <f>IF(AND($F1114="Closed",$X1114&gt;=DATE(2026,5,1),$X1114&lt;=DATE(2026,5,31)),"Closed in May","Other")</f>
        <v/>
      </c>
    </row>
    <row r="1115">
      <c r="A1115" s="6" t="n">
        <v>46107</v>
      </c>
      <c r="B1115" s="3" t="n">
        <v>2026</v>
      </c>
      <c r="C1115" s="3" t="inlineStr">
        <is>
          <t>Blupine Energy</t>
        </is>
      </c>
      <c r="D1115" s="3" t="inlineStr">
        <is>
          <t>Utility and C&amp;I</t>
        </is>
      </c>
      <c r="E1115" s="3" t="n"/>
      <c r="F1115" s="3" t="inlineStr">
        <is>
          <t>Closed</t>
        </is>
      </c>
      <c r="G1115" s="3" t="inlineStr">
        <is>
          <t>Chandrashekar Patidar</t>
        </is>
      </c>
      <c r="H1115" s="3" t="n">
        <v>7879764773</v>
      </c>
      <c r="I1115" s="11" t="inlineStr">
        <is>
          <t>PE26032601</t>
        </is>
      </c>
      <c r="J1115" s="3" t="inlineStr">
        <is>
          <t>Module Diode Failure</t>
        </is>
      </c>
      <c r="K1115" s="3" t="inlineStr">
        <is>
          <t>Sadla</t>
        </is>
      </c>
      <c r="L1115" s="3" t="inlineStr">
        <is>
          <t>Gujarat</t>
        </is>
      </c>
      <c r="M1115" s="9" t="inlineStr">
        <is>
          <t>NS</t>
        </is>
      </c>
      <c r="N1115" s="3" t="inlineStr">
        <is>
          <t>Cold Soldering</t>
        </is>
      </c>
      <c r="O1115" s="3" t="n">
        <v>570</v>
      </c>
      <c r="P1115" s="9" t="inlineStr">
        <is>
          <t>NSMI24070167258</t>
        </is>
      </c>
      <c r="Q1115" s="53">
        <f>MID(P1115,5,2)</f>
        <v/>
      </c>
      <c r="R1115" s="53">
        <f>MID(P1115,7,2)</f>
        <v/>
      </c>
      <c r="S1115" s="3" t="inlineStr">
        <is>
          <t>G2G</t>
        </is>
      </c>
      <c r="T1115" s="3" t="inlineStr">
        <is>
          <t>P4</t>
        </is>
      </c>
      <c r="U1115" s="3" t="inlineStr">
        <is>
          <t>N JB Cold Soldering</t>
        </is>
      </c>
      <c r="V1115" s="3" t="inlineStr">
        <is>
          <t>Soldering</t>
        </is>
      </c>
      <c r="W1115" s="3" t="inlineStr">
        <is>
          <t>Repair</t>
        </is>
      </c>
      <c r="X1115" s="18" t="n">
        <v>46157</v>
      </c>
      <c r="Y1115" s="73">
        <f>IF(X1115="","",X1115-A1115)</f>
        <v/>
      </c>
      <c r="Z1115" s="18" t="n">
        <v>46157</v>
      </c>
      <c r="AA1115" s="15" t="n"/>
      <c r="AB1115" s="15" t="n"/>
      <c r="AF1115">
        <f>IF(AND($F1115="Closed",$X1115&gt;=DATE(2026,5,1),$X1115&lt;=DATE(2026,5,31)),"Closed in May","Other")</f>
        <v/>
      </c>
    </row>
    <row r="1116">
      <c r="A1116" s="6" t="n">
        <v>46107</v>
      </c>
      <c r="B1116" s="3" t="n">
        <v>2026</v>
      </c>
      <c r="C1116" s="3" t="inlineStr">
        <is>
          <t>Blupine Energy</t>
        </is>
      </c>
      <c r="D1116" s="3" t="inlineStr">
        <is>
          <t>Utility and C&amp;I</t>
        </is>
      </c>
      <c r="E1116" s="3" t="n"/>
      <c r="F1116" s="3" t="inlineStr">
        <is>
          <t>Closed</t>
        </is>
      </c>
      <c r="G1116" s="3" t="inlineStr">
        <is>
          <t>Chandrashekar Patidar</t>
        </is>
      </c>
      <c r="H1116" s="3" t="n">
        <v>7879764773</v>
      </c>
      <c r="I1116" s="11" t="inlineStr">
        <is>
          <t>PE26032601</t>
        </is>
      </c>
      <c r="J1116" s="3" t="inlineStr">
        <is>
          <t>Module Diode Failure</t>
        </is>
      </c>
      <c r="K1116" s="3" t="inlineStr">
        <is>
          <t>Sadla</t>
        </is>
      </c>
      <c r="L1116" s="3" t="inlineStr">
        <is>
          <t>Gujarat</t>
        </is>
      </c>
      <c r="M1116" s="9" t="inlineStr">
        <is>
          <t>NS</t>
        </is>
      </c>
      <c r="N1116" s="3" t="inlineStr">
        <is>
          <t>Cold Soldering</t>
        </is>
      </c>
      <c r="O1116" s="3" t="n">
        <v>570</v>
      </c>
      <c r="P1116" s="9" t="inlineStr">
        <is>
          <t>NSMI24070167251</t>
        </is>
      </c>
      <c r="Q1116" s="53">
        <f>MID(P1116,5,2)</f>
        <v/>
      </c>
      <c r="R1116" s="53">
        <f>MID(P1116,7,2)</f>
        <v/>
      </c>
      <c r="S1116" s="3" t="inlineStr">
        <is>
          <t>G2G</t>
        </is>
      </c>
      <c r="T1116" s="3" t="inlineStr">
        <is>
          <t>P4</t>
        </is>
      </c>
      <c r="U1116" s="3" t="inlineStr">
        <is>
          <t>N JB Cold Soldering</t>
        </is>
      </c>
      <c r="V1116" s="3" t="inlineStr">
        <is>
          <t>Soldering</t>
        </is>
      </c>
      <c r="W1116" s="3" t="inlineStr">
        <is>
          <t>Repair</t>
        </is>
      </c>
      <c r="X1116" s="18" t="n">
        <v>46157</v>
      </c>
      <c r="Y1116" s="73">
        <f>IF(X1116="","",X1116-A1116)</f>
        <v/>
      </c>
      <c r="Z1116" s="18" t="n">
        <v>46157</v>
      </c>
      <c r="AA1116" s="15" t="n"/>
      <c r="AB1116" s="15" t="n"/>
      <c r="AF1116">
        <f>IF(AND($F1116="Closed",$X1116&gt;=DATE(2026,5,1),$X1116&lt;=DATE(2026,5,31)),"Closed in May","Other")</f>
        <v/>
      </c>
    </row>
    <row r="1117">
      <c r="A1117" s="6" t="n">
        <v>46107</v>
      </c>
      <c r="B1117" s="3" t="n">
        <v>2026</v>
      </c>
      <c r="C1117" s="3" t="inlineStr">
        <is>
          <t>Blupine Energy</t>
        </is>
      </c>
      <c r="D1117" s="3" t="inlineStr">
        <is>
          <t>Utility and C&amp;I</t>
        </is>
      </c>
      <c r="E1117" s="3" t="n"/>
      <c r="F1117" s="3" t="inlineStr">
        <is>
          <t>Closed</t>
        </is>
      </c>
      <c r="G1117" s="3" t="inlineStr">
        <is>
          <t>Chandrashekar Patidar</t>
        </is>
      </c>
      <c r="H1117" s="3" t="n">
        <v>7879764773</v>
      </c>
      <c r="I1117" s="11" t="inlineStr">
        <is>
          <t>PE26032601</t>
        </is>
      </c>
      <c r="J1117" s="3" t="inlineStr">
        <is>
          <t>Module Diode Failure</t>
        </is>
      </c>
      <c r="K1117" s="3" t="inlineStr">
        <is>
          <t>Sadla</t>
        </is>
      </c>
      <c r="L1117" s="3" t="inlineStr">
        <is>
          <t>Gujarat</t>
        </is>
      </c>
      <c r="M1117" s="9" t="inlineStr">
        <is>
          <t>NS</t>
        </is>
      </c>
      <c r="N1117" s="3" t="inlineStr">
        <is>
          <t>Cold Soldering</t>
        </is>
      </c>
      <c r="O1117" s="3" t="n">
        <v>570</v>
      </c>
      <c r="P1117" s="9" t="inlineStr">
        <is>
          <t>NSMI24060157194</t>
        </is>
      </c>
      <c r="Q1117" s="53">
        <f>MID(P1117,5,2)</f>
        <v/>
      </c>
      <c r="R1117" s="53">
        <f>MID(P1117,7,2)</f>
        <v/>
      </c>
      <c r="S1117" s="3" t="inlineStr">
        <is>
          <t>G2G</t>
        </is>
      </c>
      <c r="T1117" s="3" t="inlineStr">
        <is>
          <t>P4</t>
        </is>
      </c>
      <c r="U1117" s="3" t="inlineStr">
        <is>
          <t>N JB Cold Soldering</t>
        </is>
      </c>
      <c r="V1117" s="3" t="inlineStr">
        <is>
          <t>Soldering</t>
        </is>
      </c>
      <c r="W1117" s="3" t="inlineStr">
        <is>
          <t>Repair</t>
        </is>
      </c>
      <c r="X1117" s="18" t="n">
        <v>46157</v>
      </c>
      <c r="Y1117" s="73">
        <f>IF(X1117="","",X1117-A1117)</f>
        <v/>
      </c>
      <c r="Z1117" s="18" t="n">
        <v>46157</v>
      </c>
      <c r="AA1117" s="15" t="n"/>
      <c r="AB1117" s="15" t="n"/>
      <c r="AF1117">
        <f>IF(AND($F1117="Closed",$X1117&gt;=DATE(2026,5,1),$X1117&lt;=DATE(2026,5,31)),"Closed in May","Other")</f>
        <v/>
      </c>
    </row>
    <row r="1118">
      <c r="A1118" s="6" t="n">
        <v>46107</v>
      </c>
      <c r="B1118" s="3" t="n">
        <v>2026</v>
      </c>
      <c r="C1118" s="3" t="inlineStr">
        <is>
          <t>Blupine Energy</t>
        </is>
      </c>
      <c r="D1118" s="3" t="inlineStr">
        <is>
          <t>Utility and C&amp;I</t>
        </is>
      </c>
      <c r="E1118" s="3" t="n"/>
      <c r="F1118" s="3" t="inlineStr">
        <is>
          <t>Closed</t>
        </is>
      </c>
      <c r="G1118" s="3" t="inlineStr">
        <is>
          <t>Chandrashekar Patidar</t>
        </is>
      </c>
      <c r="H1118" s="3" t="n">
        <v>7879764773</v>
      </c>
      <c r="I1118" s="11" t="inlineStr">
        <is>
          <t>PE26032601</t>
        </is>
      </c>
      <c r="J1118" s="3" t="inlineStr">
        <is>
          <t>Module Diode Failure</t>
        </is>
      </c>
      <c r="K1118" s="3" t="inlineStr">
        <is>
          <t>Sadla</t>
        </is>
      </c>
      <c r="L1118" s="3" t="inlineStr">
        <is>
          <t>Gujarat</t>
        </is>
      </c>
      <c r="M1118" s="9" t="inlineStr">
        <is>
          <t>NS</t>
        </is>
      </c>
      <c r="N1118" s="3" t="inlineStr">
        <is>
          <t>Cold Soldering</t>
        </is>
      </c>
      <c r="O1118" s="3" t="n">
        <v>570</v>
      </c>
      <c r="P1118" s="9" t="inlineStr">
        <is>
          <t>NSMI24060157283</t>
        </is>
      </c>
      <c r="Q1118" s="53">
        <f>MID(P1118,5,2)</f>
        <v/>
      </c>
      <c r="R1118" s="53">
        <f>MID(P1118,7,2)</f>
        <v/>
      </c>
      <c r="S1118" s="3" t="inlineStr">
        <is>
          <t>G2G</t>
        </is>
      </c>
      <c r="T1118" s="3" t="inlineStr">
        <is>
          <t>P4</t>
        </is>
      </c>
      <c r="U1118" s="3" t="inlineStr">
        <is>
          <t>N JB Cold Soldering</t>
        </is>
      </c>
      <c r="V1118" s="3" t="inlineStr">
        <is>
          <t>Soldering</t>
        </is>
      </c>
      <c r="W1118" s="3" t="inlineStr">
        <is>
          <t>Repair</t>
        </is>
      </c>
      <c r="X1118" s="18" t="n">
        <v>46157</v>
      </c>
      <c r="Y1118" s="73">
        <f>IF(X1118="","",X1118-A1118)</f>
        <v/>
      </c>
      <c r="Z1118" s="18" t="n">
        <v>46157</v>
      </c>
      <c r="AA1118" s="15" t="n"/>
      <c r="AB1118" s="15" t="n"/>
      <c r="AF1118">
        <f>IF(AND($F1118="Closed",$X1118&gt;=DATE(2026,5,1),$X1118&lt;=DATE(2026,5,31)),"Closed in May","Other")</f>
        <v/>
      </c>
    </row>
    <row r="1119">
      <c r="A1119" s="6" t="n">
        <v>46107</v>
      </c>
      <c r="B1119" s="3" t="n">
        <v>2026</v>
      </c>
      <c r="C1119" s="3" t="inlineStr">
        <is>
          <t>Blupine Energy</t>
        </is>
      </c>
      <c r="D1119" s="3" t="inlineStr">
        <is>
          <t>Utility and C&amp;I</t>
        </is>
      </c>
      <c r="E1119" s="3" t="n"/>
      <c r="F1119" s="3" t="inlineStr">
        <is>
          <t>Closed</t>
        </is>
      </c>
      <c r="G1119" s="3" t="inlineStr">
        <is>
          <t>Chandrashekar Patidar</t>
        </is>
      </c>
      <c r="H1119" s="3" t="n">
        <v>7879764773</v>
      </c>
      <c r="I1119" s="11" t="inlineStr">
        <is>
          <t>PE26032601</t>
        </is>
      </c>
      <c r="J1119" s="3" t="inlineStr">
        <is>
          <t>Module Diode Failure</t>
        </is>
      </c>
      <c r="K1119" s="3" t="inlineStr">
        <is>
          <t>Sadla</t>
        </is>
      </c>
      <c r="L1119" s="3" t="inlineStr">
        <is>
          <t>Gujarat</t>
        </is>
      </c>
      <c r="M1119" s="9" t="inlineStr">
        <is>
          <t>NS</t>
        </is>
      </c>
      <c r="N1119" s="3" t="inlineStr">
        <is>
          <t>Cold Soldering</t>
        </is>
      </c>
      <c r="O1119" s="3" t="n">
        <v>570</v>
      </c>
      <c r="P1119" s="9" t="inlineStr">
        <is>
          <t>NSMI24060156790</t>
        </is>
      </c>
      <c r="Q1119" s="53">
        <f>MID(P1119,5,2)</f>
        <v/>
      </c>
      <c r="R1119" s="53">
        <f>MID(P1119,7,2)</f>
        <v/>
      </c>
      <c r="S1119" s="3" t="inlineStr">
        <is>
          <t>G2G</t>
        </is>
      </c>
      <c r="T1119" s="3" t="inlineStr">
        <is>
          <t>P4</t>
        </is>
      </c>
      <c r="U1119" s="3" t="inlineStr">
        <is>
          <t>N JB Cold Soldering</t>
        </is>
      </c>
      <c r="V1119" s="3" t="inlineStr">
        <is>
          <t>Soldering</t>
        </is>
      </c>
      <c r="W1119" s="3" t="inlineStr">
        <is>
          <t>Repair</t>
        </is>
      </c>
      <c r="X1119" s="18" t="n">
        <v>46157</v>
      </c>
      <c r="Y1119" s="73">
        <f>IF(X1119="","",X1119-A1119)</f>
        <v/>
      </c>
      <c r="Z1119" s="18" t="n">
        <v>46157</v>
      </c>
      <c r="AA1119" s="15" t="n"/>
      <c r="AB1119" s="15" t="n"/>
      <c r="AF1119">
        <f>IF(AND($F1119="Closed",$X1119&gt;=DATE(2026,5,1),$X1119&lt;=DATE(2026,5,31)),"Closed in May","Other")</f>
        <v/>
      </c>
    </row>
    <row r="1120">
      <c r="A1120" s="6" t="n">
        <v>46107</v>
      </c>
      <c r="B1120" s="3" t="n">
        <v>2026</v>
      </c>
      <c r="C1120" s="3" t="inlineStr">
        <is>
          <t>Blupine Energy</t>
        </is>
      </c>
      <c r="D1120" s="3" t="inlineStr">
        <is>
          <t>Utility and C&amp;I</t>
        </is>
      </c>
      <c r="E1120" s="3" t="n"/>
      <c r="F1120" s="3" t="inlineStr">
        <is>
          <t>Closed</t>
        </is>
      </c>
      <c r="G1120" s="3" t="inlineStr">
        <is>
          <t>Chandrashekar Patidar</t>
        </is>
      </c>
      <c r="H1120" s="3" t="n">
        <v>7879764773</v>
      </c>
      <c r="I1120" s="11" t="inlineStr">
        <is>
          <t>PE26032601</t>
        </is>
      </c>
      <c r="J1120" s="3" t="inlineStr">
        <is>
          <t>Module Diode Failure</t>
        </is>
      </c>
      <c r="K1120" s="3" t="inlineStr">
        <is>
          <t>Sadla</t>
        </is>
      </c>
      <c r="L1120" s="3" t="inlineStr">
        <is>
          <t>Gujarat</t>
        </is>
      </c>
      <c r="M1120" s="9" t="inlineStr">
        <is>
          <t>NR</t>
        </is>
      </c>
      <c r="N1120" s="3" t="inlineStr">
        <is>
          <t>JB Issue</t>
        </is>
      </c>
      <c r="O1120" s="3" t="n">
        <v>570</v>
      </c>
      <c r="P1120" s="9" t="inlineStr">
        <is>
          <t>NSMI24060145691</t>
        </is>
      </c>
      <c r="Q1120" s="53">
        <f>MID(P1120,5,2)</f>
        <v/>
      </c>
      <c r="R1120" s="53">
        <f>MID(P1120,7,2)</f>
        <v/>
      </c>
      <c r="S1120" s="3" t="inlineStr">
        <is>
          <t>G2G</t>
        </is>
      </c>
      <c r="T1120" s="3" t="inlineStr">
        <is>
          <t>P4</t>
        </is>
      </c>
      <c r="U1120" s="3" t="inlineStr">
        <is>
          <t>N JB Issue</t>
        </is>
      </c>
      <c r="V1120" s="3" t="inlineStr">
        <is>
          <t>JB Changed</t>
        </is>
      </c>
      <c r="W1120" s="3" t="inlineStr">
        <is>
          <t>Repair</t>
        </is>
      </c>
      <c r="X1120" s="18" t="n">
        <v>46157</v>
      </c>
      <c r="Y1120" s="73">
        <f>IF(X1120="","",X1120-A1120)</f>
        <v/>
      </c>
      <c r="Z1120" s="18" t="n">
        <v>46157</v>
      </c>
      <c r="AA1120" s="15" t="n"/>
      <c r="AB1120" s="15" t="n"/>
      <c r="AF1120">
        <f>IF(AND($F1120="Closed",$X1120&gt;=DATE(2026,5,1),$X1120&lt;=DATE(2026,5,31)),"Closed in May","Other")</f>
        <v/>
      </c>
    </row>
    <row r="1121">
      <c r="A1121" s="6" t="n">
        <v>46107</v>
      </c>
      <c r="B1121" s="3" t="n">
        <v>2026</v>
      </c>
      <c r="C1121" s="3" t="inlineStr">
        <is>
          <t>Blupine Energy</t>
        </is>
      </c>
      <c r="D1121" s="3" t="inlineStr">
        <is>
          <t>Utility and C&amp;I</t>
        </is>
      </c>
      <c r="E1121" s="3" t="n"/>
      <c r="F1121" s="3" t="inlineStr">
        <is>
          <t>Closed</t>
        </is>
      </c>
      <c r="G1121" s="3" t="inlineStr">
        <is>
          <t>Chandrashekar Patidar</t>
        </is>
      </c>
      <c r="H1121" s="3" t="n">
        <v>7879764773</v>
      </c>
      <c r="I1121" s="11" t="inlineStr">
        <is>
          <t>PE26032601</t>
        </is>
      </c>
      <c r="J1121" s="3" t="inlineStr">
        <is>
          <t>Module Diode Failure</t>
        </is>
      </c>
      <c r="K1121" s="3" t="inlineStr">
        <is>
          <t>Sadla</t>
        </is>
      </c>
      <c r="L1121" s="3" t="inlineStr">
        <is>
          <t>Gujarat</t>
        </is>
      </c>
      <c r="M1121" s="9" t="inlineStr">
        <is>
          <t>NS</t>
        </is>
      </c>
      <c r="N1121" s="3" t="inlineStr">
        <is>
          <t>Cold Soldering</t>
        </is>
      </c>
      <c r="O1121" s="3" t="n">
        <v>570</v>
      </c>
      <c r="P1121" s="9" t="inlineStr">
        <is>
          <t>NSMI24060145792</t>
        </is>
      </c>
      <c r="Q1121" s="53">
        <f>MID(P1121,5,2)</f>
        <v/>
      </c>
      <c r="R1121" s="53">
        <f>MID(P1121,7,2)</f>
        <v/>
      </c>
      <c r="S1121" s="3" t="inlineStr">
        <is>
          <t>G2G</t>
        </is>
      </c>
      <c r="T1121" s="3" t="inlineStr">
        <is>
          <t>P4</t>
        </is>
      </c>
      <c r="U1121" s="3" t="inlineStr">
        <is>
          <t>N JB Cold Soldering</t>
        </is>
      </c>
      <c r="V1121" s="3" t="inlineStr">
        <is>
          <t>Soldering</t>
        </is>
      </c>
      <c r="W1121" s="3" t="inlineStr">
        <is>
          <t>Repair</t>
        </is>
      </c>
      <c r="X1121" s="18" t="n">
        <v>46157</v>
      </c>
      <c r="Y1121" s="73">
        <f>IF(X1121="","",X1121-A1121)</f>
        <v/>
      </c>
      <c r="Z1121" s="18" t="n">
        <v>46157</v>
      </c>
      <c r="AA1121" s="15" t="n"/>
      <c r="AB1121" s="15" t="n"/>
      <c r="AF1121">
        <f>IF(AND($F1121="Closed",$X1121&gt;=DATE(2026,5,1),$X1121&lt;=DATE(2026,5,31)),"Closed in May","Other")</f>
        <v/>
      </c>
    </row>
    <row r="1122">
      <c r="A1122" s="6" t="n">
        <v>46107</v>
      </c>
      <c r="B1122" s="3" t="n">
        <v>2026</v>
      </c>
      <c r="C1122" s="3" t="inlineStr">
        <is>
          <t>Blupine Energy</t>
        </is>
      </c>
      <c r="D1122" s="3" t="inlineStr">
        <is>
          <t>Utility and C&amp;I</t>
        </is>
      </c>
      <c r="E1122" s="3" t="n"/>
      <c r="F1122" s="3" t="inlineStr">
        <is>
          <t>Closed</t>
        </is>
      </c>
      <c r="G1122" s="3" t="inlineStr">
        <is>
          <t>Chandrashekar Patidar</t>
        </is>
      </c>
      <c r="H1122" s="3" t="n">
        <v>7879764773</v>
      </c>
      <c r="I1122" s="11" t="inlineStr">
        <is>
          <t>PE26032601</t>
        </is>
      </c>
      <c r="J1122" s="3" t="inlineStr">
        <is>
          <t>Module Diode Failure</t>
        </is>
      </c>
      <c r="K1122" s="3" t="inlineStr">
        <is>
          <t>Sadla</t>
        </is>
      </c>
      <c r="L1122" s="3" t="inlineStr">
        <is>
          <t>Gujarat</t>
        </is>
      </c>
      <c r="M1122" s="9" t="inlineStr">
        <is>
          <t>NS</t>
        </is>
      </c>
      <c r="N1122" s="3" t="inlineStr">
        <is>
          <t>Cold Soldering</t>
        </is>
      </c>
      <c r="O1122" s="3" t="n">
        <v>570</v>
      </c>
      <c r="P1122" s="9" t="inlineStr">
        <is>
          <t>NSMI24060152214</t>
        </is>
      </c>
      <c r="Q1122" s="53">
        <f>MID(P1122,5,2)</f>
        <v/>
      </c>
      <c r="R1122" s="53">
        <f>MID(P1122,7,2)</f>
        <v/>
      </c>
      <c r="S1122" s="3" t="inlineStr">
        <is>
          <t>G2G</t>
        </is>
      </c>
      <c r="T1122" s="3" t="inlineStr">
        <is>
          <t>P4</t>
        </is>
      </c>
      <c r="U1122" s="3" t="inlineStr">
        <is>
          <t>N JB Cold Soldering</t>
        </is>
      </c>
      <c r="V1122" s="3" t="inlineStr">
        <is>
          <t>Soldering</t>
        </is>
      </c>
      <c r="W1122" s="3" t="inlineStr">
        <is>
          <t>Repair</t>
        </is>
      </c>
      <c r="X1122" s="18" t="n">
        <v>46157</v>
      </c>
      <c r="Y1122" s="73">
        <f>IF(X1122="","",X1122-A1122)</f>
        <v/>
      </c>
      <c r="Z1122" s="18" t="n">
        <v>46157</v>
      </c>
      <c r="AA1122" s="15" t="n"/>
      <c r="AB1122" s="15" t="n"/>
      <c r="AF1122">
        <f>IF(AND($F1122="Closed",$X1122&gt;=DATE(2026,5,1),$X1122&lt;=DATE(2026,5,31)),"Closed in May","Other")</f>
        <v/>
      </c>
    </row>
    <row r="1123">
      <c r="A1123" s="6" t="n">
        <v>46107</v>
      </c>
      <c r="B1123" s="3" t="n">
        <v>2026</v>
      </c>
      <c r="C1123" s="3" t="inlineStr">
        <is>
          <t>Blupine Energy</t>
        </is>
      </c>
      <c r="D1123" s="3" t="inlineStr">
        <is>
          <t>Utility and C&amp;I</t>
        </is>
      </c>
      <c r="E1123" s="3" t="n"/>
      <c r="F1123" s="3" t="inlineStr">
        <is>
          <t>Closed</t>
        </is>
      </c>
      <c r="G1123" s="3" t="inlineStr">
        <is>
          <t>Chandrashekar Patidar</t>
        </is>
      </c>
      <c r="H1123" s="3" t="n">
        <v>7879764773</v>
      </c>
      <c r="I1123" s="11" t="inlineStr">
        <is>
          <t>PE26032601</t>
        </is>
      </c>
      <c r="J1123" s="3" t="inlineStr">
        <is>
          <t>Module Diode Failure</t>
        </is>
      </c>
      <c r="K1123" s="3" t="inlineStr">
        <is>
          <t>Sadla</t>
        </is>
      </c>
      <c r="L1123" s="3" t="inlineStr">
        <is>
          <t>Gujarat</t>
        </is>
      </c>
      <c r="M1123" s="9" t="inlineStr">
        <is>
          <t>NS</t>
        </is>
      </c>
      <c r="N1123" s="3" t="inlineStr">
        <is>
          <t>Cold Soldering</t>
        </is>
      </c>
      <c r="O1123" s="3" t="n">
        <v>570</v>
      </c>
      <c r="P1123" s="9" t="inlineStr">
        <is>
          <t>NSMI24060142858</t>
        </is>
      </c>
      <c r="Q1123" s="53">
        <f>MID(P1123,5,2)</f>
        <v/>
      </c>
      <c r="R1123" s="53">
        <f>MID(P1123,7,2)</f>
        <v/>
      </c>
      <c r="S1123" s="3" t="inlineStr">
        <is>
          <t>G2G</t>
        </is>
      </c>
      <c r="T1123" s="3" t="inlineStr">
        <is>
          <t>P4</t>
        </is>
      </c>
      <c r="U1123" s="3" t="inlineStr">
        <is>
          <t>N JB Cold Soldering</t>
        </is>
      </c>
      <c r="V1123" s="3" t="inlineStr">
        <is>
          <t>Soldering</t>
        </is>
      </c>
      <c r="W1123" s="3" t="inlineStr">
        <is>
          <t>Repair</t>
        </is>
      </c>
      <c r="X1123" s="18" t="n">
        <v>46157</v>
      </c>
      <c r="Y1123" s="73">
        <f>IF(X1123="","",X1123-A1123)</f>
        <v/>
      </c>
      <c r="Z1123" s="18" t="n">
        <v>46157</v>
      </c>
      <c r="AA1123" s="15" t="n"/>
      <c r="AB1123" s="15" t="n"/>
      <c r="AF1123">
        <f>IF(AND($F1123="Closed",$X1123&gt;=DATE(2026,5,1),$X1123&lt;=DATE(2026,5,31)),"Closed in May","Other")</f>
        <v/>
      </c>
    </row>
    <row r="1124">
      <c r="A1124" s="6" t="n">
        <v>46107</v>
      </c>
      <c r="B1124" s="3" t="n">
        <v>2026</v>
      </c>
      <c r="C1124" s="3" t="inlineStr">
        <is>
          <t>Blupine Energy</t>
        </is>
      </c>
      <c r="D1124" s="3" t="inlineStr">
        <is>
          <t>Utility and C&amp;I</t>
        </is>
      </c>
      <c r="E1124" s="3" t="n"/>
      <c r="F1124" s="3" t="inlineStr">
        <is>
          <t>Closed</t>
        </is>
      </c>
      <c r="G1124" s="3" t="inlineStr">
        <is>
          <t>Chandrashekar Patidar</t>
        </is>
      </c>
      <c r="H1124" s="3" t="n">
        <v>7879764773</v>
      </c>
      <c r="I1124" s="11" t="inlineStr">
        <is>
          <t>PE26032601</t>
        </is>
      </c>
      <c r="J1124" s="3" t="inlineStr">
        <is>
          <t>Module Diode Failure</t>
        </is>
      </c>
      <c r="K1124" s="3" t="inlineStr">
        <is>
          <t>Sadla</t>
        </is>
      </c>
      <c r="L1124" s="3" t="inlineStr">
        <is>
          <t>Gujarat</t>
        </is>
      </c>
      <c r="M1124" s="9" t="inlineStr">
        <is>
          <t>NS</t>
        </is>
      </c>
      <c r="N1124" s="3" t="inlineStr">
        <is>
          <t>Cold Soldering</t>
        </is>
      </c>
      <c r="O1124" s="3" t="n">
        <v>570</v>
      </c>
      <c r="P1124" s="9" t="inlineStr">
        <is>
          <t>NSMI24060152136</t>
        </is>
      </c>
      <c r="Q1124" s="53">
        <f>MID(P1124,5,2)</f>
        <v/>
      </c>
      <c r="R1124" s="53">
        <f>MID(P1124,7,2)</f>
        <v/>
      </c>
      <c r="S1124" s="3" t="inlineStr">
        <is>
          <t>G2G</t>
        </is>
      </c>
      <c r="T1124" s="3" t="inlineStr">
        <is>
          <t>P4</t>
        </is>
      </c>
      <c r="U1124" s="3" t="inlineStr">
        <is>
          <t>N JB Cold Soldering</t>
        </is>
      </c>
      <c r="V1124" s="3" t="inlineStr">
        <is>
          <t>Soldering</t>
        </is>
      </c>
      <c r="W1124" s="3" t="inlineStr">
        <is>
          <t>Repair</t>
        </is>
      </c>
      <c r="X1124" s="18" t="n">
        <v>46157</v>
      </c>
      <c r="Y1124" s="73">
        <f>IF(X1124="","",X1124-A1124)</f>
        <v/>
      </c>
      <c r="Z1124" s="18" t="n">
        <v>46157</v>
      </c>
      <c r="AA1124" s="15" t="n"/>
      <c r="AB1124" s="15" t="n"/>
      <c r="AF1124">
        <f>IF(AND($F1124="Closed",$X1124&gt;=DATE(2026,5,1),$X1124&lt;=DATE(2026,5,31)),"Closed in May","Other")</f>
        <v/>
      </c>
    </row>
    <row r="1125">
      <c r="A1125" s="6" t="n">
        <v>46107</v>
      </c>
      <c r="B1125" s="3" t="n">
        <v>2026</v>
      </c>
      <c r="C1125" s="3" t="inlineStr">
        <is>
          <t>Blupine Energy</t>
        </is>
      </c>
      <c r="D1125" s="3" t="inlineStr">
        <is>
          <t>Utility and C&amp;I</t>
        </is>
      </c>
      <c r="E1125" s="3" t="n"/>
      <c r="F1125" s="3" t="inlineStr">
        <is>
          <t>Closed</t>
        </is>
      </c>
      <c r="G1125" s="3" t="inlineStr">
        <is>
          <t>Chandrashekar Patidar</t>
        </is>
      </c>
      <c r="H1125" s="3" t="n">
        <v>7879764773</v>
      </c>
      <c r="I1125" s="11" t="inlineStr">
        <is>
          <t>PE26032601</t>
        </is>
      </c>
      <c r="J1125" s="3" t="inlineStr">
        <is>
          <t>Module Diode Failure</t>
        </is>
      </c>
      <c r="K1125" s="3" t="inlineStr">
        <is>
          <t>Sadla</t>
        </is>
      </c>
      <c r="L1125" s="3" t="inlineStr">
        <is>
          <t>Gujarat</t>
        </is>
      </c>
      <c r="M1125" s="9" t="inlineStr">
        <is>
          <t>NS</t>
        </is>
      </c>
      <c r="N1125" s="3" t="inlineStr">
        <is>
          <t>Cold Soldering</t>
        </is>
      </c>
      <c r="O1125" s="3" t="n">
        <v>570</v>
      </c>
      <c r="P1125" s="9" t="inlineStr">
        <is>
          <t>NSMI24060152139</t>
        </is>
      </c>
      <c r="Q1125" s="53">
        <f>MID(P1125,5,2)</f>
        <v/>
      </c>
      <c r="R1125" s="53">
        <f>MID(P1125,7,2)</f>
        <v/>
      </c>
      <c r="S1125" s="3" t="inlineStr">
        <is>
          <t>G2G</t>
        </is>
      </c>
      <c r="T1125" s="3" t="inlineStr">
        <is>
          <t>P4</t>
        </is>
      </c>
      <c r="U1125" s="3" t="inlineStr">
        <is>
          <t>N JB Cold Soldering</t>
        </is>
      </c>
      <c r="V1125" s="3" t="inlineStr">
        <is>
          <t>Soldering</t>
        </is>
      </c>
      <c r="W1125" s="3" t="inlineStr">
        <is>
          <t>Repair</t>
        </is>
      </c>
      <c r="X1125" s="18" t="n">
        <v>46157</v>
      </c>
      <c r="Y1125" s="73">
        <f>IF(X1125="","",X1125-A1125)</f>
        <v/>
      </c>
      <c r="Z1125" s="18" t="n">
        <v>46157</v>
      </c>
      <c r="AA1125" s="15" t="n"/>
      <c r="AB1125" s="15" t="n"/>
      <c r="AF1125">
        <f>IF(AND($F1125="Closed",$X1125&gt;=DATE(2026,5,1),$X1125&lt;=DATE(2026,5,31)),"Closed in May","Other")</f>
        <v/>
      </c>
    </row>
    <row r="1126">
      <c r="A1126" s="6" t="n">
        <v>46107</v>
      </c>
      <c r="B1126" s="3" t="n">
        <v>2026</v>
      </c>
      <c r="C1126" s="3" t="inlineStr">
        <is>
          <t>Blupine Energy</t>
        </is>
      </c>
      <c r="D1126" s="3" t="inlineStr">
        <is>
          <t>Utility and C&amp;I</t>
        </is>
      </c>
      <c r="E1126" s="3" t="n"/>
      <c r="F1126" s="3" t="inlineStr">
        <is>
          <t>Closed</t>
        </is>
      </c>
      <c r="G1126" s="3" t="inlineStr">
        <is>
          <t>Chandrashekar Patidar</t>
        </is>
      </c>
      <c r="H1126" s="3" t="n">
        <v>7879764773</v>
      </c>
      <c r="I1126" s="11" t="inlineStr">
        <is>
          <t>PE26032601</t>
        </is>
      </c>
      <c r="J1126" s="3" t="inlineStr">
        <is>
          <t>Module Diode Failure</t>
        </is>
      </c>
      <c r="K1126" s="3" t="inlineStr">
        <is>
          <t>Sadla</t>
        </is>
      </c>
      <c r="L1126" s="3" t="inlineStr">
        <is>
          <t>Gujarat</t>
        </is>
      </c>
      <c r="M1126" s="9" t="inlineStr">
        <is>
          <t>NS</t>
        </is>
      </c>
      <c r="N1126" s="3" t="inlineStr">
        <is>
          <t>Cold Soldering</t>
        </is>
      </c>
      <c r="O1126" s="3" t="n">
        <v>570</v>
      </c>
      <c r="P1126" s="9" t="inlineStr">
        <is>
          <t>NSMI24060154745</t>
        </is>
      </c>
      <c r="Q1126" s="53">
        <f>MID(P1126,5,2)</f>
        <v/>
      </c>
      <c r="R1126" s="53">
        <f>MID(P1126,7,2)</f>
        <v/>
      </c>
      <c r="S1126" s="3" t="inlineStr">
        <is>
          <t>G2G</t>
        </is>
      </c>
      <c r="T1126" s="3" t="inlineStr">
        <is>
          <t>P4</t>
        </is>
      </c>
      <c r="U1126" s="3" t="inlineStr">
        <is>
          <t>N JB Cold Soldering</t>
        </is>
      </c>
      <c r="V1126" s="3" t="inlineStr">
        <is>
          <t>Soldering</t>
        </is>
      </c>
      <c r="W1126" s="3" t="inlineStr">
        <is>
          <t>Repair</t>
        </is>
      </c>
      <c r="X1126" s="18" t="n">
        <v>46157</v>
      </c>
      <c r="Y1126" s="73">
        <f>IF(X1126="","",X1126-A1126)</f>
        <v/>
      </c>
      <c r="Z1126" s="18" t="n">
        <v>46157</v>
      </c>
      <c r="AA1126" s="15" t="n"/>
      <c r="AB1126" s="15" t="n"/>
      <c r="AF1126">
        <f>IF(AND($F1126="Closed",$X1126&gt;=DATE(2026,5,1),$X1126&lt;=DATE(2026,5,31)),"Closed in May","Other")</f>
        <v/>
      </c>
    </row>
    <row r="1127">
      <c r="A1127" s="6" t="n">
        <v>46107</v>
      </c>
      <c r="B1127" s="3" t="n">
        <v>2026</v>
      </c>
      <c r="C1127" s="3" t="inlineStr">
        <is>
          <t>Blupine Energy</t>
        </is>
      </c>
      <c r="D1127" s="3" t="inlineStr">
        <is>
          <t>Utility and C&amp;I</t>
        </is>
      </c>
      <c r="E1127" s="3" t="n"/>
      <c r="F1127" s="3" t="inlineStr">
        <is>
          <t>Closed</t>
        </is>
      </c>
      <c r="G1127" s="3" t="inlineStr">
        <is>
          <t>Chandrashekar Patidar</t>
        </is>
      </c>
      <c r="H1127" s="3" t="n">
        <v>7879764773</v>
      </c>
      <c r="I1127" s="11" t="inlineStr">
        <is>
          <t>PE26032601</t>
        </is>
      </c>
      <c r="J1127" s="3" t="inlineStr">
        <is>
          <t>Module Diode Failure</t>
        </is>
      </c>
      <c r="K1127" s="3" t="inlineStr">
        <is>
          <t>Sadla</t>
        </is>
      </c>
      <c r="L1127" s="3" t="inlineStr">
        <is>
          <t>Gujarat</t>
        </is>
      </c>
      <c r="M1127" s="9" t="inlineStr">
        <is>
          <t>PS</t>
        </is>
      </c>
      <c r="N1127" s="3" t="inlineStr">
        <is>
          <t>Cold Soldering</t>
        </is>
      </c>
      <c r="O1127" s="3" t="n">
        <v>570</v>
      </c>
      <c r="P1127" s="9" t="inlineStr">
        <is>
          <t>NSMI24060156003</t>
        </is>
      </c>
      <c r="Q1127" s="53">
        <f>MID(P1127,5,2)</f>
        <v/>
      </c>
      <c r="R1127" s="53">
        <f>MID(P1127,7,2)</f>
        <v/>
      </c>
      <c r="S1127" s="3" t="inlineStr">
        <is>
          <t>G2G</t>
        </is>
      </c>
      <c r="T1127" s="3" t="inlineStr">
        <is>
          <t>P4</t>
        </is>
      </c>
      <c r="U1127" s="3" t="inlineStr">
        <is>
          <t>P JB Cold Soldering</t>
        </is>
      </c>
      <c r="V1127" s="3" t="inlineStr">
        <is>
          <t>Soldering</t>
        </is>
      </c>
      <c r="W1127" s="3" t="inlineStr">
        <is>
          <t>Repair</t>
        </is>
      </c>
      <c r="X1127" s="18" t="n">
        <v>46157</v>
      </c>
      <c r="Y1127" s="73">
        <f>IF(X1127="","",X1127-A1127)</f>
        <v/>
      </c>
      <c r="Z1127" s="18" t="n">
        <v>46157</v>
      </c>
      <c r="AA1127" s="15" t="n"/>
      <c r="AB1127" s="15" t="n"/>
      <c r="AF1127">
        <f>IF(AND($F1127="Closed",$X1127&gt;=DATE(2026,5,1),$X1127&lt;=DATE(2026,5,31)),"Closed in May","Other")</f>
        <v/>
      </c>
    </row>
    <row r="1128">
      <c r="A1128" s="6" t="n">
        <v>46107</v>
      </c>
      <c r="B1128" s="3" t="n">
        <v>2026</v>
      </c>
      <c r="C1128" s="3" t="inlineStr">
        <is>
          <t>Blupine Energy</t>
        </is>
      </c>
      <c r="D1128" s="3" t="inlineStr">
        <is>
          <t>Utility and C&amp;I</t>
        </is>
      </c>
      <c r="E1128" s="3" t="n"/>
      <c r="F1128" s="3" t="inlineStr">
        <is>
          <t>Closed</t>
        </is>
      </c>
      <c r="G1128" s="3" t="inlineStr">
        <is>
          <t>Chandrashekar Patidar</t>
        </is>
      </c>
      <c r="H1128" s="3" t="n">
        <v>7879764773</v>
      </c>
      <c r="I1128" s="11" t="inlineStr">
        <is>
          <t>PE26032601</t>
        </is>
      </c>
      <c r="J1128" s="3" t="inlineStr">
        <is>
          <t>Module Diode Failure</t>
        </is>
      </c>
      <c r="K1128" s="3" t="inlineStr">
        <is>
          <t>Sadla</t>
        </is>
      </c>
      <c r="L1128" s="3" t="inlineStr">
        <is>
          <t>Gujarat</t>
        </is>
      </c>
      <c r="M1128" s="9" t="inlineStr">
        <is>
          <t>NS</t>
        </is>
      </c>
      <c r="N1128" s="3" t="inlineStr">
        <is>
          <t>Cold Soldering</t>
        </is>
      </c>
      <c r="O1128" s="3" t="n">
        <v>570</v>
      </c>
      <c r="P1128" s="9" t="inlineStr">
        <is>
          <t>NSMI24060139346</t>
        </is>
      </c>
      <c r="Q1128" s="53">
        <f>MID(P1128,5,2)</f>
        <v/>
      </c>
      <c r="R1128" s="53">
        <f>MID(P1128,7,2)</f>
        <v/>
      </c>
      <c r="S1128" s="3" t="inlineStr">
        <is>
          <t>G2G</t>
        </is>
      </c>
      <c r="T1128" s="3" t="inlineStr">
        <is>
          <t>P4</t>
        </is>
      </c>
      <c r="U1128" s="3" t="inlineStr">
        <is>
          <t>N JB Cold Soldering</t>
        </is>
      </c>
      <c r="V1128" s="3" t="inlineStr">
        <is>
          <t>Soldering</t>
        </is>
      </c>
      <c r="W1128" s="3" t="inlineStr">
        <is>
          <t>Repair</t>
        </is>
      </c>
      <c r="X1128" s="18" t="n">
        <v>46157</v>
      </c>
      <c r="Y1128" s="73">
        <f>IF(X1128="","",X1128-A1128)</f>
        <v/>
      </c>
      <c r="Z1128" s="18" t="n">
        <v>46157</v>
      </c>
      <c r="AA1128" s="15" t="n"/>
      <c r="AB1128" s="15" t="n"/>
      <c r="AF1128">
        <f>IF(AND($F1128="Closed",$X1128&gt;=DATE(2026,5,1),$X1128&lt;=DATE(2026,5,31)),"Closed in May","Other")</f>
        <v/>
      </c>
    </row>
    <row r="1129">
      <c r="A1129" s="6" t="n">
        <v>46107</v>
      </c>
      <c r="B1129" s="3" t="n">
        <v>2026</v>
      </c>
      <c r="C1129" s="3" t="inlineStr">
        <is>
          <t>Blupine Energy</t>
        </is>
      </c>
      <c r="D1129" s="3" t="inlineStr">
        <is>
          <t>Utility and C&amp;I</t>
        </is>
      </c>
      <c r="E1129" s="3" t="n"/>
      <c r="F1129" s="3" t="inlineStr">
        <is>
          <t>Closed</t>
        </is>
      </c>
      <c r="G1129" s="3" t="inlineStr">
        <is>
          <t>Chandrashekar Patidar</t>
        </is>
      </c>
      <c r="H1129" s="3" t="n">
        <v>7879764773</v>
      </c>
      <c r="I1129" s="11" t="inlineStr">
        <is>
          <t>PE26032601</t>
        </is>
      </c>
      <c r="J1129" s="3" t="inlineStr">
        <is>
          <t>Module Diode Failure</t>
        </is>
      </c>
      <c r="K1129" s="3" t="inlineStr">
        <is>
          <t>Sadla</t>
        </is>
      </c>
      <c r="L1129" s="3" t="inlineStr">
        <is>
          <t>Gujarat</t>
        </is>
      </c>
      <c r="M1129" s="9" t="inlineStr">
        <is>
          <t>NS</t>
        </is>
      </c>
      <c r="N1129" s="3" t="inlineStr">
        <is>
          <t>Cold Soldering</t>
        </is>
      </c>
      <c r="O1129" s="3" t="n">
        <v>570</v>
      </c>
      <c r="P1129" s="9" t="inlineStr">
        <is>
          <t>NSMI24060151672</t>
        </is>
      </c>
      <c r="Q1129" s="53">
        <f>MID(P1129,5,2)</f>
        <v/>
      </c>
      <c r="R1129" s="53">
        <f>MID(P1129,7,2)</f>
        <v/>
      </c>
      <c r="S1129" s="3" t="inlineStr">
        <is>
          <t>G2G</t>
        </is>
      </c>
      <c r="T1129" s="3" t="inlineStr">
        <is>
          <t>P4</t>
        </is>
      </c>
      <c r="U1129" s="3" t="inlineStr">
        <is>
          <t>N JB Cold Soldering</t>
        </is>
      </c>
      <c r="V1129" s="3" t="inlineStr">
        <is>
          <t>Soldering</t>
        </is>
      </c>
      <c r="W1129" s="3" t="inlineStr">
        <is>
          <t>Repair</t>
        </is>
      </c>
      <c r="X1129" s="18" t="n">
        <v>46157</v>
      </c>
      <c r="Y1129" s="73">
        <f>IF(X1129="","",X1129-A1129)</f>
        <v/>
      </c>
      <c r="Z1129" s="18" t="n">
        <v>46157</v>
      </c>
      <c r="AA1129" s="15" t="n"/>
      <c r="AB1129" s="15" t="n"/>
      <c r="AF1129">
        <f>IF(AND($F1129="Closed",$X1129&gt;=DATE(2026,5,1),$X1129&lt;=DATE(2026,5,31)),"Closed in May","Other")</f>
        <v/>
      </c>
    </row>
    <row r="1130">
      <c r="A1130" s="6" t="n">
        <v>46107</v>
      </c>
      <c r="B1130" s="3" t="n">
        <v>2026</v>
      </c>
      <c r="C1130" s="3" t="inlineStr">
        <is>
          <t>Blupine Energy</t>
        </is>
      </c>
      <c r="D1130" s="3" t="inlineStr">
        <is>
          <t>Utility and C&amp;I</t>
        </is>
      </c>
      <c r="E1130" s="3" t="n"/>
      <c r="F1130" s="3" t="inlineStr">
        <is>
          <t>Closed</t>
        </is>
      </c>
      <c r="G1130" s="3" t="inlineStr">
        <is>
          <t>Chandrashekar Patidar</t>
        </is>
      </c>
      <c r="H1130" s="3" t="n">
        <v>7879764773</v>
      </c>
      <c r="I1130" s="11" t="inlineStr">
        <is>
          <t>PE26032601</t>
        </is>
      </c>
      <c r="J1130" s="3" t="inlineStr">
        <is>
          <t>Module Diode Failure</t>
        </is>
      </c>
      <c r="K1130" s="3" t="inlineStr">
        <is>
          <t>Sadla</t>
        </is>
      </c>
      <c r="L1130" s="3" t="inlineStr">
        <is>
          <t>Gujarat</t>
        </is>
      </c>
      <c r="M1130" s="9" t="inlineStr">
        <is>
          <t>NS</t>
        </is>
      </c>
      <c r="N1130" s="3" t="inlineStr">
        <is>
          <t>Cold Soldering</t>
        </is>
      </c>
      <c r="O1130" s="3" t="n">
        <v>570</v>
      </c>
      <c r="P1130" s="9" t="inlineStr">
        <is>
          <t>NSMI24060151685</t>
        </is>
      </c>
      <c r="Q1130" s="53">
        <f>MID(P1130,5,2)</f>
        <v/>
      </c>
      <c r="R1130" s="53">
        <f>MID(P1130,7,2)</f>
        <v/>
      </c>
      <c r="S1130" s="3" t="inlineStr">
        <is>
          <t>G2G</t>
        </is>
      </c>
      <c r="T1130" s="3" t="inlineStr">
        <is>
          <t>P4</t>
        </is>
      </c>
      <c r="U1130" s="3" t="inlineStr">
        <is>
          <t>N JB Cold Soldering</t>
        </is>
      </c>
      <c r="V1130" s="3" t="inlineStr">
        <is>
          <t>Soldering</t>
        </is>
      </c>
      <c r="W1130" s="3" t="inlineStr">
        <is>
          <t>Repair</t>
        </is>
      </c>
      <c r="X1130" s="18" t="n">
        <v>46157</v>
      </c>
      <c r="Y1130" s="73">
        <f>IF(X1130="","",X1130-A1130)</f>
        <v/>
      </c>
      <c r="Z1130" s="18" t="n">
        <v>46157</v>
      </c>
      <c r="AA1130" s="15" t="n"/>
      <c r="AB1130" s="15" t="n"/>
      <c r="AF1130">
        <f>IF(AND($F1130="Closed",$X1130&gt;=DATE(2026,5,1),$X1130&lt;=DATE(2026,5,31)),"Closed in May","Other")</f>
        <v/>
      </c>
    </row>
    <row r="1131">
      <c r="A1131" s="6" t="n">
        <v>46107</v>
      </c>
      <c r="B1131" s="3" t="n">
        <v>2026</v>
      </c>
      <c r="C1131" s="3" t="inlineStr">
        <is>
          <t>Blupine Energy</t>
        </is>
      </c>
      <c r="D1131" s="3" t="inlineStr">
        <is>
          <t>Utility and C&amp;I</t>
        </is>
      </c>
      <c r="E1131" s="3" t="n"/>
      <c r="F1131" s="3" t="inlineStr">
        <is>
          <t>Closed</t>
        </is>
      </c>
      <c r="G1131" s="3" t="inlineStr">
        <is>
          <t>Chandrashekar Patidar</t>
        </is>
      </c>
      <c r="H1131" s="3" t="n">
        <v>7879764773</v>
      </c>
      <c r="I1131" s="11" t="inlineStr">
        <is>
          <t>PE26032601</t>
        </is>
      </c>
      <c r="J1131" s="3" t="inlineStr">
        <is>
          <t>Module Diode Failure</t>
        </is>
      </c>
      <c r="K1131" s="3" t="inlineStr">
        <is>
          <t>Sadla</t>
        </is>
      </c>
      <c r="L1131" s="3" t="inlineStr">
        <is>
          <t>Gujarat</t>
        </is>
      </c>
      <c r="M1131" s="9" t="inlineStr">
        <is>
          <t>PS</t>
        </is>
      </c>
      <c r="N1131" s="3" t="inlineStr">
        <is>
          <t>Cold Soldering</t>
        </is>
      </c>
      <c r="O1131" s="3" t="n">
        <v>570</v>
      </c>
      <c r="P1131" s="9" t="inlineStr">
        <is>
          <t>NSMI24060144109</t>
        </is>
      </c>
      <c r="Q1131" s="53">
        <f>MID(P1131,5,2)</f>
        <v/>
      </c>
      <c r="R1131" s="53">
        <f>MID(P1131,7,2)</f>
        <v/>
      </c>
      <c r="S1131" s="3" t="inlineStr">
        <is>
          <t>G2G</t>
        </is>
      </c>
      <c r="T1131" s="3" t="inlineStr">
        <is>
          <t>P4</t>
        </is>
      </c>
      <c r="U1131" s="3" t="inlineStr">
        <is>
          <t>P JB Cold Soldering</t>
        </is>
      </c>
      <c r="V1131" s="3" t="inlineStr">
        <is>
          <t>Soldering</t>
        </is>
      </c>
      <c r="W1131" s="3" t="inlineStr">
        <is>
          <t>Repair</t>
        </is>
      </c>
      <c r="X1131" s="18" t="n">
        <v>46157</v>
      </c>
      <c r="Y1131" s="73">
        <f>IF(X1131="","",X1131-A1131)</f>
        <v/>
      </c>
      <c r="Z1131" s="18" t="n">
        <v>46157</v>
      </c>
      <c r="AA1131" s="15" t="n"/>
      <c r="AB1131" s="15" t="n"/>
      <c r="AF1131">
        <f>IF(AND($F1131="Closed",$X1131&gt;=DATE(2026,5,1),$X1131&lt;=DATE(2026,5,31)),"Closed in May","Other")</f>
        <v/>
      </c>
    </row>
    <row r="1132">
      <c r="A1132" s="37" t="n">
        <v>46143</v>
      </c>
      <c r="B1132" s="3" t="n">
        <v>2026</v>
      </c>
      <c r="C1132" s="26" t="inlineStr">
        <is>
          <t>Yanara Power</t>
        </is>
      </c>
      <c r="D1132" s="3" t="inlineStr">
        <is>
          <t>Utility and C&amp;I</t>
        </is>
      </c>
      <c r="E1132" s="3" t="n"/>
      <c r="F1132" s="3" t="inlineStr">
        <is>
          <t>Closed</t>
        </is>
      </c>
      <c r="G1132" s="9" t="inlineStr">
        <is>
          <t xml:space="preserve">Ashish Jindal </t>
        </is>
      </c>
      <c r="H1132" s="26" t="n">
        <v>9983975581</v>
      </c>
      <c r="I1132" s="38" t="inlineStr">
        <is>
          <t>PE01052601</t>
        </is>
      </c>
      <c r="J1132" s="26" t="inlineStr">
        <is>
          <t>Multiple Issues</t>
        </is>
      </c>
      <c r="K1132" s="39" t="inlineStr">
        <is>
          <t>Holi</t>
        </is>
      </c>
      <c r="L1132" s="39" t="inlineStr">
        <is>
          <t>Maharashtra</t>
        </is>
      </c>
      <c r="M1132" s="9" t="inlineStr">
        <is>
          <t>PS</t>
        </is>
      </c>
      <c r="N1132" s="3" t="inlineStr">
        <is>
          <t>Cold Soldering</t>
        </is>
      </c>
      <c r="O1132" s="39" t="n">
        <v>575</v>
      </c>
      <c r="P1132" s="9" t="inlineStr">
        <is>
          <t>NSMI24070222496</t>
        </is>
      </c>
      <c r="Q1132" s="53">
        <f>MID(P1132,5,2)</f>
        <v/>
      </c>
      <c r="R1132" s="53">
        <f>MID(P1132,7,2)</f>
        <v/>
      </c>
      <c r="S1132" s="3" t="inlineStr">
        <is>
          <t>G2G</t>
        </is>
      </c>
      <c r="T1132" s="3" t="inlineStr">
        <is>
          <t>P4</t>
        </is>
      </c>
      <c r="U1132" s="19" t="inlineStr">
        <is>
          <t>P JB Cold Soldering</t>
        </is>
      </c>
      <c r="V1132" s="19" t="inlineStr">
        <is>
          <t>Soldering</t>
        </is>
      </c>
      <c r="W1132" s="3" t="inlineStr">
        <is>
          <t>Repair</t>
        </is>
      </c>
      <c r="X1132" s="18" t="n">
        <v>46157</v>
      </c>
      <c r="Y1132" s="73">
        <f>IF(X1132="","",X1132-A1132)</f>
        <v/>
      </c>
      <c r="Z1132" s="18" t="n">
        <v>46157</v>
      </c>
      <c r="AA1132" s="15" t="n"/>
      <c r="AB1132" s="15" t="n"/>
      <c r="AF1132">
        <f>IF(AND($F1132="Closed",$X1132&gt;=DATE(2026,5,1),$X1132&lt;=DATE(2026,5,31)),"Closed in May","Other")</f>
        <v/>
      </c>
    </row>
    <row r="1133">
      <c r="A1133" s="37" t="n">
        <v>46143</v>
      </c>
      <c r="B1133" s="3" t="n">
        <v>2026</v>
      </c>
      <c r="C1133" s="26" t="inlineStr">
        <is>
          <t>Yanara Power</t>
        </is>
      </c>
      <c r="D1133" s="3" t="inlineStr">
        <is>
          <t>Utility and C&amp;I</t>
        </is>
      </c>
      <c r="E1133" s="3" t="n"/>
      <c r="F1133" s="3" t="inlineStr">
        <is>
          <t>Closed</t>
        </is>
      </c>
      <c r="G1133" s="9" t="inlineStr">
        <is>
          <t xml:space="preserve">Ashish Jindal </t>
        </is>
      </c>
      <c r="H1133" s="26" t="n">
        <v>9983975581</v>
      </c>
      <c r="I1133" s="38" t="inlineStr">
        <is>
          <t>PE01052601</t>
        </is>
      </c>
      <c r="J1133" s="26" t="inlineStr">
        <is>
          <t>Multiple Issues</t>
        </is>
      </c>
      <c r="K1133" s="39" t="inlineStr">
        <is>
          <t>Holi</t>
        </is>
      </c>
      <c r="L1133" s="39" t="inlineStr">
        <is>
          <t>Maharashtra</t>
        </is>
      </c>
      <c r="M1133" s="9" t="inlineStr">
        <is>
          <t>PS</t>
        </is>
      </c>
      <c r="N1133" s="3" t="inlineStr">
        <is>
          <t>Cold Soldering</t>
        </is>
      </c>
      <c r="O1133" s="39" t="n">
        <v>575</v>
      </c>
      <c r="P1133" s="9" t="inlineStr">
        <is>
          <t>NSMI24070218176</t>
        </is>
      </c>
      <c r="Q1133" s="53">
        <f>MID(P1133,5,2)</f>
        <v/>
      </c>
      <c r="R1133" s="53">
        <f>MID(P1133,7,2)</f>
        <v/>
      </c>
      <c r="S1133" s="3" t="inlineStr">
        <is>
          <t>G2G</t>
        </is>
      </c>
      <c r="T1133" s="3" t="inlineStr">
        <is>
          <t>P4</t>
        </is>
      </c>
      <c r="U1133" s="19" t="inlineStr">
        <is>
          <t>P JB Cold Soldering</t>
        </is>
      </c>
      <c r="V1133" s="19" t="inlineStr">
        <is>
          <t>Soldering</t>
        </is>
      </c>
      <c r="W1133" s="3" t="inlineStr">
        <is>
          <t>Repair</t>
        </is>
      </c>
      <c r="X1133" s="18" t="n">
        <v>46157</v>
      </c>
      <c r="Y1133" s="73">
        <f>IF(X1133="","",X1133-A1133)</f>
        <v/>
      </c>
      <c r="Z1133" s="18" t="n">
        <v>46157</v>
      </c>
      <c r="AA1133" s="15" t="n"/>
      <c r="AB1133" s="15" t="n"/>
      <c r="AF1133">
        <f>IF(AND($F1133="Closed",$X1133&gt;=DATE(2026,5,1),$X1133&lt;=DATE(2026,5,31)),"Closed in May","Other")</f>
        <v/>
      </c>
    </row>
    <row r="1134">
      <c r="A1134" s="37" t="n">
        <v>46143</v>
      </c>
      <c r="B1134" s="3" t="n">
        <v>2026</v>
      </c>
      <c r="C1134" s="26" t="inlineStr">
        <is>
          <t>Yanara Power</t>
        </is>
      </c>
      <c r="D1134" s="3" t="inlineStr">
        <is>
          <t>Utility and C&amp;I</t>
        </is>
      </c>
      <c r="E1134" s="3" t="n"/>
      <c r="F1134" s="3" t="inlineStr">
        <is>
          <t>Closed</t>
        </is>
      </c>
      <c r="G1134" s="9" t="inlineStr">
        <is>
          <t xml:space="preserve">Ashish Jindal </t>
        </is>
      </c>
      <c r="H1134" s="26" t="n">
        <v>9983975581</v>
      </c>
      <c r="I1134" s="38" t="inlineStr">
        <is>
          <t>PE01052601</t>
        </is>
      </c>
      <c r="J1134" s="26" t="inlineStr">
        <is>
          <t>Multiple Issues</t>
        </is>
      </c>
      <c r="K1134" s="39" t="inlineStr">
        <is>
          <t>Holi</t>
        </is>
      </c>
      <c r="L1134" s="39" t="inlineStr">
        <is>
          <t>Maharashtra</t>
        </is>
      </c>
      <c r="M1134" s="9" t="inlineStr">
        <is>
          <t>NS</t>
        </is>
      </c>
      <c r="N1134" s="3" t="inlineStr">
        <is>
          <t>Cold Soldering</t>
        </is>
      </c>
      <c r="O1134" s="39" t="n">
        <v>575</v>
      </c>
      <c r="P1134" s="9" t="inlineStr">
        <is>
          <t>NSMI24070218136</t>
        </is>
      </c>
      <c r="Q1134" s="53">
        <f>MID(P1134,5,2)</f>
        <v/>
      </c>
      <c r="R1134" s="53">
        <f>MID(P1134,7,2)</f>
        <v/>
      </c>
      <c r="S1134" s="3" t="inlineStr">
        <is>
          <t>G2G</t>
        </is>
      </c>
      <c r="T1134" s="3" t="inlineStr">
        <is>
          <t>P4</t>
        </is>
      </c>
      <c r="U1134" s="3" t="inlineStr">
        <is>
          <t>N JB Cold Soldering</t>
        </is>
      </c>
      <c r="V1134" s="3" t="inlineStr">
        <is>
          <t>Soldering</t>
        </is>
      </c>
      <c r="W1134" s="3" t="inlineStr">
        <is>
          <t>Repair</t>
        </is>
      </c>
      <c r="X1134" s="18" t="n">
        <v>46157</v>
      </c>
      <c r="Y1134" s="73">
        <f>IF(X1134="","",X1134-A1134)</f>
        <v/>
      </c>
      <c r="Z1134" s="18" t="n">
        <v>46157</v>
      </c>
      <c r="AA1134" s="15" t="n"/>
      <c r="AB1134" s="15" t="n"/>
      <c r="AF1134">
        <f>IF(AND($F1134="Closed",$X1134&gt;=DATE(2026,5,1),$X1134&lt;=DATE(2026,5,31)),"Closed in May","Other")</f>
        <v/>
      </c>
    </row>
    <row r="1135">
      <c r="A1135" s="37" t="n">
        <v>46143</v>
      </c>
      <c r="B1135" s="3" t="n">
        <v>2026</v>
      </c>
      <c r="C1135" s="26" t="inlineStr">
        <is>
          <t>Yanara Power</t>
        </is>
      </c>
      <c r="D1135" s="3" t="inlineStr">
        <is>
          <t>Utility and C&amp;I</t>
        </is>
      </c>
      <c r="E1135" s="3" t="n"/>
      <c r="F1135" s="3" t="inlineStr">
        <is>
          <t>Closed</t>
        </is>
      </c>
      <c r="G1135" s="9" t="inlineStr">
        <is>
          <t xml:space="preserve">Ashish Jindal </t>
        </is>
      </c>
      <c r="H1135" s="26" t="n">
        <v>9983975581</v>
      </c>
      <c r="I1135" s="38" t="inlineStr">
        <is>
          <t>PE01052601</t>
        </is>
      </c>
      <c r="J1135" s="26" t="inlineStr">
        <is>
          <t>Multiple Issues</t>
        </is>
      </c>
      <c r="K1135" s="39" t="inlineStr">
        <is>
          <t>Holi</t>
        </is>
      </c>
      <c r="L1135" s="39" t="inlineStr">
        <is>
          <t>Maharashtra</t>
        </is>
      </c>
      <c r="M1135" s="9" t="inlineStr">
        <is>
          <t>PS</t>
        </is>
      </c>
      <c r="N1135" s="3" t="inlineStr">
        <is>
          <t>Cold Soldering</t>
        </is>
      </c>
      <c r="O1135" s="39" t="n">
        <v>575</v>
      </c>
      <c r="P1135" s="9" t="inlineStr">
        <is>
          <t>NSMI24070200589</t>
        </is>
      </c>
      <c r="Q1135" s="53">
        <f>MID(P1135,5,2)</f>
        <v/>
      </c>
      <c r="R1135" s="53">
        <f>MID(P1135,7,2)</f>
        <v/>
      </c>
      <c r="S1135" s="3" t="inlineStr">
        <is>
          <t>G2G</t>
        </is>
      </c>
      <c r="T1135" s="3" t="inlineStr">
        <is>
          <t>P4</t>
        </is>
      </c>
      <c r="U1135" s="19" t="inlineStr">
        <is>
          <t>P JB Cold Soldering</t>
        </is>
      </c>
      <c r="V1135" s="19" t="inlineStr">
        <is>
          <t>Soldering</t>
        </is>
      </c>
      <c r="W1135" s="3" t="inlineStr">
        <is>
          <t>Repair</t>
        </is>
      </c>
      <c r="X1135" s="18" t="n">
        <v>46157</v>
      </c>
      <c r="Y1135" s="73">
        <f>IF(X1135="","",X1135-A1135)</f>
        <v/>
      </c>
      <c r="Z1135" s="18" t="n">
        <v>46157</v>
      </c>
      <c r="AA1135" s="15" t="n"/>
      <c r="AB1135" s="15" t="n"/>
      <c r="AF1135">
        <f>IF(AND($F1135="Closed",$X1135&gt;=DATE(2026,5,1),$X1135&lt;=DATE(2026,5,31)),"Closed in May","Other")</f>
        <v/>
      </c>
    </row>
    <row r="1136">
      <c r="A1136" s="37" t="n">
        <v>46143</v>
      </c>
      <c r="B1136" s="3" t="n">
        <v>2026</v>
      </c>
      <c r="C1136" s="26" t="inlineStr">
        <is>
          <t>Yanara Power</t>
        </is>
      </c>
      <c r="D1136" s="3" t="inlineStr">
        <is>
          <t>Utility and C&amp;I</t>
        </is>
      </c>
      <c r="E1136" s="3" t="n"/>
      <c r="F1136" s="3" t="inlineStr">
        <is>
          <t>Closed</t>
        </is>
      </c>
      <c r="G1136" s="9" t="inlineStr">
        <is>
          <t xml:space="preserve">Ashish Jindal </t>
        </is>
      </c>
      <c r="H1136" s="26" t="n">
        <v>9983975581</v>
      </c>
      <c r="I1136" s="38" t="inlineStr">
        <is>
          <t>PE01052601</t>
        </is>
      </c>
      <c r="J1136" s="26" t="inlineStr">
        <is>
          <t>Multiple Issues</t>
        </is>
      </c>
      <c r="K1136" s="39" t="inlineStr">
        <is>
          <t>Holi</t>
        </is>
      </c>
      <c r="L1136" s="39" t="inlineStr">
        <is>
          <t>Maharashtra</t>
        </is>
      </c>
      <c r="M1136" s="9" t="inlineStr">
        <is>
          <t>PNS</t>
        </is>
      </c>
      <c r="N1136" s="3" t="inlineStr">
        <is>
          <t>Cold Soldering</t>
        </is>
      </c>
      <c r="O1136" s="39" t="n">
        <v>575</v>
      </c>
      <c r="P1136" s="9" t="inlineStr">
        <is>
          <t>NSMI24070195266</t>
        </is>
      </c>
      <c r="Q1136" s="53">
        <f>MID(P1136,5,2)</f>
        <v/>
      </c>
      <c r="R1136" s="53">
        <f>MID(P1136,7,2)</f>
        <v/>
      </c>
      <c r="S1136" s="3" t="inlineStr">
        <is>
          <t>G2G</t>
        </is>
      </c>
      <c r="T1136" s="3" t="inlineStr">
        <is>
          <t>P4</t>
        </is>
      </c>
      <c r="U1136" s="3" t="inlineStr">
        <is>
          <t>P &amp; N JB Cold Soldering</t>
        </is>
      </c>
      <c r="V1136" s="3" t="inlineStr">
        <is>
          <t>Soldering</t>
        </is>
      </c>
      <c r="W1136" s="3" t="inlineStr">
        <is>
          <t>Repair</t>
        </is>
      </c>
      <c r="X1136" s="18" t="n">
        <v>46157</v>
      </c>
      <c r="Y1136" s="73">
        <f>IF(X1136="","",X1136-A1136)</f>
        <v/>
      </c>
      <c r="Z1136" s="18" t="n">
        <v>46157</v>
      </c>
      <c r="AA1136" s="15" t="n"/>
      <c r="AB1136" s="15" t="n"/>
      <c r="AF1136">
        <f>IF(AND($F1136="Closed",$X1136&gt;=DATE(2026,5,1),$X1136&lt;=DATE(2026,5,31)),"Closed in May","Other")</f>
        <v/>
      </c>
    </row>
    <row r="1137">
      <c r="A1137" s="37" t="n">
        <v>46143</v>
      </c>
      <c r="B1137" s="3" t="n">
        <v>2026</v>
      </c>
      <c r="C1137" s="26" t="inlineStr">
        <is>
          <t>Yanara Power</t>
        </is>
      </c>
      <c r="D1137" s="3" t="inlineStr">
        <is>
          <t>Utility and C&amp;I</t>
        </is>
      </c>
      <c r="E1137" s="3" t="n"/>
      <c r="F1137" s="3" t="inlineStr">
        <is>
          <t>Closed</t>
        </is>
      </c>
      <c r="G1137" s="9" t="inlineStr">
        <is>
          <t xml:space="preserve">Ashish Jindal </t>
        </is>
      </c>
      <c r="H1137" s="26" t="n">
        <v>9983975581</v>
      </c>
      <c r="I1137" s="38" t="inlineStr">
        <is>
          <t>PE01052601</t>
        </is>
      </c>
      <c r="J1137" s="26" t="inlineStr">
        <is>
          <t>Multiple Issues</t>
        </is>
      </c>
      <c r="K1137" s="39" t="inlineStr">
        <is>
          <t>Holi</t>
        </is>
      </c>
      <c r="L1137" s="39" t="inlineStr">
        <is>
          <t>Maharashtra</t>
        </is>
      </c>
      <c r="M1137" s="9" t="inlineStr">
        <is>
          <t>PNS</t>
        </is>
      </c>
      <c r="N1137" s="3" t="inlineStr">
        <is>
          <t>Cold Soldering</t>
        </is>
      </c>
      <c r="O1137" s="39" t="n">
        <v>575</v>
      </c>
      <c r="P1137" s="9" t="inlineStr">
        <is>
          <t>NSMI24070201948</t>
        </is>
      </c>
      <c r="Q1137" s="53">
        <f>MID(P1137,5,2)</f>
        <v/>
      </c>
      <c r="R1137" s="53">
        <f>MID(P1137,7,2)</f>
        <v/>
      </c>
      <c r="S1137" s="3" t="inlineStr">
        <is>
          <t>G2G</t>
        </is>
      </c>
      <c r="T1137" s="3" t="inlineStr">
        <is>
          <t>P4</t>
        </is>
      </c>
      <c r="U1137" s="3" t="inlineStr">
        <is>
          <t>P &amp; N JB Cold Soldering</t>
        </is>
      </c>
      <c r="V1137" s="3" t="inlineStr">
        <is>
          <t>Soldering</t>
        </is>
      </c>
      <c r="W1137" s="3" t="inlineStr">
        <is>
          <t>Repair</t>
        </is>
      </c>
      <c r="X1137" s="18" t="n">
        <v>46157</v>
      </c>
      <c r="Y1137" s="73">
        <f>IF(X1137="","",X1137-A1137)</f>
        <v/>
      </c>
      <c r="Z1137" s="18" t="n">
        <v>46157</v>
      </c>
      <c r="AA1137" s="15" t="n"/>
      <c r="AB1137" s="15" t="n"/>
      <c r="AF1137">
        <f>IF(AND($F1137="Closed",$X1137&gt;=DATE(2026,5,1),$X1137&lt;=DATE(2026,5,31)),"Closed in May","Other")</f>
        <v/>
      </c>
    </row>
    <row r="1138">
      <c r="A1138" s="37" t="n">
        <v>46143</v>
      </c>
      <c r="B1138" s="3" t="n">
        <v>2026</v>
      </c>
      <c r="C1138" s="26" t="inlineStr">
        <is>
          <t>Yanara Power</t>
        </is>
      </c>
      <c r="D1138" s="3" t="inlineStr">
        <is>
          <t>Utility and C&amp;I</t>
        </is>
      </c>
      <c r="E1138" s="3" t="n"/>
      <c r="F1138" s="3" t="inlineStr">
        <is>
          <t>Closed</t>
        </is>
      </c>
      <c r="G1138" s="9" t="inlineStr">
        <is>
          <t xml:space="preserve">Ashish Jindal </t>
        </is>
      </c>
      <c r="H1138" s="26" t="n">
        <v>9983975581</v>
      </c>
      <c r="I1138" s="38" t="inlineStr">
        <is>
          <t>PE01052601</t>
        </is>
      </c>
      <c r="J1138" s="26" t="inlineStr">
        <is>
          <t>Multiple Issues</t>
        </is>
      </c>
      <c r="K1138" s="39" t="inlineStr">
        <is>
          <t>Holi</t>
        </is>
      </c>
      <c r="L1138" s="39" t="inlineStr">
        <is>
          <t>Maharashtra</t>
        </is>
      </c>
      <c r="M1138" s="9" t="inlineStr">
        <is>
          <t>PS</t>
        </is>
      </c>
      <c r="N1138" s="3" t="inlineStr">
        <is>
          <t>Cold Soldering</t>
        </is>
      </c>
      <c r="O1138" s="39" t="n">
        <v>575</v>
      </c>
      <c r="P1138" s="9" t="inlineStr">
        <is>
          <t>NSMI24070201492</t>
        </is>
      </c>
      <c r="Q1138" s="53">
        <f>MID(P1138,5,2)</f>
        <v/>
      </c>
      <c r="R1138" s="53">
        <f>MID(P1138,7,2)</f>
        <v/>
      </c>
      <c r="S1138" s="3" t="inlineStr">
        <is>
          <t>G2G</t>
        </is>
      </c>
      <c r="T1138" s="3" t="inlineStr">
        <is>
          <t>P4</t>
        </is>
      </c>
      <c r="U1138" s="19" t="inlineStr">
        <is>
          <t>P JB Cold Soldering</t>
        </is>
      </c>
      <c r="V1138" s="19" t="inlineStr">
        <is>
          <t>Soldering</t>
        </is>
      </c>
      <c r="W1138" s="3" t="inlineStr">
        <is>
          <t>Repair</t>
        </is>
      </c>
      <c r="X1138" s="18" t="n">
        <v>46157</v>
      </c>
      <c r="Y1138" s="73">
        <f>IF(X1138="","",X1138-A1138)</f>
        <v/>
      </c>
      <c r="Z1138" s="18" t="n">
        <v>46157</v>
      </c>
      <c r="AA1138" s="15" t="n"/>
      <c r="AB1138" s="15" t="n"/>
      <c r="AF1138">
        <f>IF(AND($F1138="Closed",$X1138&gt;=DATE(2026,5,1),$X1138&lt;=DATE(2026,5,31)),"Closed in May","Other")</f>
        <v/>
      </c>
    </row>
    <row r="1139">
      <c r="A1139" s="37" t="n">
        <v>46143</v>
      </c>
      <c r="B1139" s="3" t="n">
        <v>2026</v>
      </c>
      <c r="C1139" s="26" t="inlineStr">
        <is>
          <t>Yanara Power</t>
        </is>
      </c>
      <c r="D1139" s="3" t="inlineStr">
        <is>
          <t>Utility and C&amp;I</t>
        </is>
      </c>
      <c r="E1139" s="3" t="n"/>
      <c r="F1139" s="3" t="inlineStr">
        <is>
          <t>Closed</t>
        </is>
      </c>
      <c r="G1139" s="9" t="inlineStr">
        <is>
          <t xml:space="preserve">Ashish Jindal </t>
        </is>
      </c>
      <c r="H1139" s="26" t="n">
        <v>9983975581</v>
      </c>
      <c r="I1139" s="38" t="inlineStr">
        <is>
          <t>PE01052601</t>
        </is>
      </c>
      <c r="J1139" s="26" t="inlineStr">
        <is>
          <t>Multiple Issues</t>
        </is>
      </c>
      <c r="K1139" s="39" t="inlineStr">
        <is>
          <t>Holi</t>
        </is>
      </c>
      <c r="L1139" s="39" t="inlineStr">
        <is>
          <t>Maharashtra</t>
        </is>
      </c>
      <c r="M1139" s="9" t="inlineStr">
        <is>
          <t>PS</t>
        </is>
      </c>
      <c r="N1139" s="3" t="inlineStr">
        <is>
          <t>Cold Soldering</t>
        </is>
      </c>
      <c r="O1139" s="39" t="n">
        <v>575</v>
      </c>
      <c r="P1139" s="9" t="inlineStr">
        <is>
          <t>NSMI24070190842</t>
        </is>
      </c>
      <c r="Q1139" s="53">
        <f>MID(P1139,5,2)</f>
        <v/>
      </c>
      <c r="R1139" s="53">
        <f>MID(P1139,7,2)</f>
        <v/>
      </c>
      <c r="S1139" s="3" t="inlineStr">
        <is>
          <t>G2G</t>
        </is>
      </c>
      <c r="T1139" s="3" t="inlineStr">
        <is>
          <t>P4</t>
        </is>
      </c>
      <c r="U1139" s="19" t="inlineStr">
        <is>
          <t>P JB Cold Soldering</t>
        </is>
      </c>
      <c r="V1139" s="19" t="inlineStr">
        <is>
          <t>Soldering</t>
        </is>
      </c>
      <c r="W1139" s="3" t="inlineStr">
        <is>
          <t>Repair</t>
        </is>
      </c>
      <c r="X1139" s="18" t="n">
        <v>46157</v>
      </c>
      <c r="Y1139" s="73">
        <f>IF(X1139="","",X1139-A1139)</f>
        <v/>
      </c>
      <c r="Z1139" s="18" t="n">
        <v>46157</v>
      </c>
      <c r="AA1139" s="15" t="n"/>
      <c r="AB1139" s="15" t="n"/>
      <c r="AF1139">
        <f>IF(AND($F1139="Closed",$X1139&gt;=DATE(2026,5,1),$X1139&lt;=DATE(2026,5,31)),"Closed in May","Other")</f>
        <v/>
      </c>
    </row>
    <row r="1140">
      <c r="A1140" s="37" t="n">
        <v>46143</v>
      </c>
      <c r="B1140" s="3" t="n">
        <v>2026</v>
      </c>
      <c r="C1140" s="26" t="inlineStr">
        <is>
          <t>Yanara Power</t>
        </is>
      </c>
      <c r="D1140" s="3" t="inlineStr">
        <is>
          <t>Utility and C&amp;I</t>
        </is>
      </c>
      <c r="E1140" s="3" t="n"/>
      <c r="F1140" s="3" t="inlineStr">
        <is>
          <t>Closed</t>
        </is>
      </c>
      <c r="G1140" s="9" t="inlineStr">
        <is>
          <t xml:space="preserve">Ashish Jindal </t>
        </is>
      </c>
      <c r="H1140" s="26" t="n">
        <v>9983975581</v>
      </c>
      <c r="I1140" s="38" t="inlineStr">
        <is>
          <t>PE01052601</t>
        </is>
      </c>
      <c r="J1140" s="26" t="inlineStr">
        <is>
          <t>Multiple Issues</t>
        </is>
      </c>
      <c r="K1140" s="39" t="inlineStr">
        <is>
          <t>Holi</t>
        </is>
      </c>
      <c r="L1140" s="39" t="inlineStr">
        <is>
          <t>Maharashtra</t>
        </is>
      </c>
      <c r="M1140" s="9" t="inlineStr">
        <is>
          <t>PS</t>
        </is>
      </c>
      <c r="N1140" s="3" t="inlineStr">
        <is>
          <t>Cold Soldering</t>
        </is>
      </c>
      <c r="O1140" s="39" t="n">
        <v>575</v>
      </c>
      <c r="P1140" s="9" t="inlineStr">
        <is>
          <t>NSMI24070200617</t>
        </is>
      </c>
      <c r="Q1140" s="53">
        <f>MID(P1140,5,2)</f>
        <v/>
      </c>
      <c r="R1140" s="53">
        <f>MID(P1140,7,2)</f>
        <v/>
      </c>
      <c r="S1140" s="3" t="inlineStr">
        <is>
          <t>G2G</t>
        </is>
      </c>
      <c r="T1140" s="3" t="inlineStr">
        <is>
          <t>P4</t>
        </is>
      </c>
      <c r="U1140" s="19" t="inlineStr">
        <is>
          <t>P JB Cold Soldering</t>
        </is>
      </c>
      <c r="V1140" s="19" t="inlineStr">
        <is>
          <t>Soldering</t>
        </is>
      </c>
      <c r="W1140" s="3" t="inlineStr">
        <is>
          <t>Repair</t>
        </is>
      </c>
      <c r="X1140" s="18" t="n">
        <v>46157</v>
      </c>
      <c r="Y1140" s="73">
        <f>IF(X1140="","",X1140-A1140)</f>
        <v/>
      </c>
      <c r="Z1140" s="18" t="n">
        <v>46157</v>
      </c>
      <c r="AA1140" s="15" t="n"/>
      <c r="AB1140" s="15" t="n"/>
      <c r="AF1140">
        <f>IF(AND($F1140="Closed",$X1140&gt;=DATE(2026,5,1),$X1140&lt;=DATE(2026,5,31)),"Closed in May","Other")</f>
        <v/>
      </c>
    </row>
    <row r="1141">
      <c r="A1141" s="37" t="n">
        <v>46143</v>
      </c>
      <c r="B1141" s="3" t="n">
        <v>2026</v>
      </c>
      <c r="C1141" s="26" t="inlineStr">
        <is>
          <t>Yanara Power</t>
        </is>
      </c>
      <c r="D1141" s="3" t="inlineStr">
        <is>
          <t>Utility and C&amp;I</t>
        </is>
      </c>
      <c r="E1141" s="3" t="n"/>
      <c r="F1141" s="3" t="inlineStr">
        <is>
          <t>Closed</t>
        </is>
      </c>
      <c r="G1141" s="9" t="inlineStr">
        <is>
          <t xml:space="preserve">Ashish Jindal </t>
        </is>
      </c>
      <c r="H1141" s="26" t="n">
        <v>9983975581</v>
      </c>
      <c r="I1141" s="38" t="inlineStr">
        <is>
          <t>PE01052601</t>
        </is>
      </c>
      <c r="J1141" s="26" t="inlineStr">
        <is>
          <t>Multiple Issues</t>
        </is>
      </c>
      <c r="K1141" s="39" t="inlineStr">
        <is>
          <t>Holi</t>
        </is>
      </c>
      <c r="L1141" s="39" t="inlineStr">
        <is>
          <t>Maharashtra</t>
        </is>
      </c>
      <c r="M1141" s="9" t="inlineStr">
        <is>
          <t>NS</t>
        </is>
      </c>
      <c r="N1141" s="3" t="inlineStr">
        <is>
          <t>Cold Soldering</t>
        </is>
      </c>
      <c r="O1141" s="39" t="n">
        <v>575</v>
      </c>
      <c r="P1141" s="9" t="inlineStr">
        <is>
          <t>NSMI24070191064</t>
        </is>
      </c>
      <c r="Q1141" s="53">
        <f>MID(P1141,5,2)</f>
        <v/>
      </c>
      <c r="R1141" s="53">
        <f>MID(P1141,7,2)</f>
        <v/>
      </c>
      <c r="S1141" s="3" t="inlineStr">
        <is>
          <t>G2G</t>
        </is>
      </c>
      <c r="T1141" s="3" t="inlineStr">
        <is>
          <t>P4</t>
        </is>
      </c>
      <c r="U1141" s="3" t="inlineStr">
        <is>
          <t>N JB Cold Soldering</t>
        </is>
      </c>
      <c r="V1141" s="3" t="inlineStr">
        <is>
          <t>Soldering</t>
        </is>
      </c>
      <c r="W1141" s="3" t="inlineStr">
        <is>
          <t>Repair</t>
        </is>
      </c>
      <c r="X1141" s="18" t="n">
        <v>46157</v>
      </c>
      <c r="Y1141" s="73">
        <f>IF(X1141="","",X1141-A1141)</f>
        <v/>
      </c>
      <c r="Z1141" s="18" t="n">
        <v>46157</v>
      </c>
      <c r="AA1141" s="15" t="n"/>
      <c r="AB1141" s="15" t="n"/>
      <c r="AF1141">
        <f>IF(AND($F1141="Closed",$X1141&gt;=DATE(2026,5,1),$X1141&lt;=DATE(2026,5,31)),"Closed in May","Other")</f>
        <v/>
      </c>
    </row>
    <row r="1142">
      <c r="A1142" s="37" t="n">
        <v>46143</v>
      </c>
      <c r="B1142" s="3" t="n">
        <v>2026</v>
      </c>
      <c r="C1142" s="26" t="inlineStr">
        <is>
          <t>Yanara Power</t>
        </is>
      </c>
      <c r="D1142" s="3" t="inlineStr">
        <is>
          <t>Utility and C&amp;I</t>
        </is>
      </c>
      <c r="E1142" s="3" t="n"/>
      <c r="F1142" s="3" t="inlineStr">
        <is>
          <t>Closed</t>
        </is>
      </c>
      <c r="G1142" s="9" t="inlineStr">
        <is>
          <t xml:space="preserve">Ashish Jindal </t>
        </is>
      </c>
      <c r="H1142" s="26" t="n">
        <v>9983975581</v>
      </c>
      <c r="I1142" s="38" t="inlineStr">
        <is>
          <t>PE01052601</t>
        </is>
      </c>
      <c r="J1142" s="26" t="inlineStr">
        <is>
          <t>Multiple Issues</t>
        </is>
      </c>
      <c r="K1142" s="39" t="inlineStr">
        <is>
          <t>Holi</t>
        </is>
      </c>
      <c r="L1142" s="39" t="inlineStr">
        <is>
          <t>Maharashtra</t>
        </is>
      </c>
      <c r="M1142" s="9" t="inlineStr">
        <is>
          <t>PS</t>
        </is>
      </c>
      <c r="N1142" s="3" t="inlineStr">
        <is>
          <t>Cold Soldering</t>
        </is>
      </c>
      <c r="O1142" s="39" t="n">
        <v>575</v>
      </c>
      <c r="P1142" s="9" t="inlineStr">
        <is>
          <t>NSMI24070190970</t>
        </is>
      </c>
      <c r="Q1142" s="53">
        <f>MID(P1142,5,2)</f>
        <v/>
      </c>
      <c r="R1142" s="53">
        <f>MID(P1142,7,2)</f>
        <v/>
      </c>
      <c r="S1142" s="3" t="inlineStr">
        <is>
          <t>G2G</t>
        </is>
      </c>
      <c r="T1142" s="3" t="inlineStr">
        <is>
          <t>P4</t>
        </is>
      </c>
      <c r="U1142" s="19" t="inlineStr">
        <is>
          <t>P JB Cold Soldering</t>
        </is>
      </c>
      <c r="V1142" s="19" t="inlineStr">
        <is>
          <t>Soldering</t>
        </is>
      </c>
      <c r="W1142" s="3" t="inlineStr">
        <is>
          <t>Repair</t>
        </is>
      </c>
      <c r="X1142" s="18" t="n">
        <v>46157</v>
      </c>
      <c r="Y1142" s="73">
        <f>IF(X1142="","",X1142-A1142)</f>
        <v/>
      </c>
      <c r="Z1142" s="18" t="n">
        <v>46157</v>
      </c>
      <c r="AA1142" s="15" t="n"/>
      <c r="AB1142" s="15" t="n"/>
      <c r="AF1142">
        <f>IF(AND($F1142="Closed",$X1142&gt;=DATE(2026,5,1),$X1142&lt;=DATE(2026,5,31)),"Closed in May","Other")</f>
        <v/>
      </c>
    </row>
    <row r="1143">
      <c r="A1143" s="37" t="n">
        <v>46143</v>
      </c>
      <c r="B1143" s="3" t="n">
        <v>2026</v>
      </c>
      <c r="C1143" s="26" t="inlineStr">
        <is>
          <t>Yanara Power</t>
        </is>
      </c>
      <c r="D1143" s="3" t="inlineStr">
        <is>
          <t>Utility and C&amp;I</t>
        </is>
      </c>
      <c r="E1143" s="3" t="n"/>
      <c r="F1143" s="3" t="inlineStr">
        <is>
          <t>Closed</t>
        </is>
      </c>
      <c r="G1143" s="9" t="inlineStr">
        <is>
          <t xml:space="preserve">Ashish Jindal </t>
        </is>
      </c>
      <c r="H1143" s="26" t="n">
        <v>9983975581</v>
      </c>
      <c r="I1143" s="38" t="inlineStr">
        <is>
          <t>PE01052601</t>
        </is>
      </c>
      <c r="J1143" s="26" t="inlineStr">
        <is>
          <t>Multiple Issues</t>
        </is>
      </c>
      <c r="K1143" s="39" t="inlineStr">
        <is>
          <t>Holi</t>
        </is>
      </c>
      <c r="L1143" s="39" t="inlineStr">
        <is>
          <t>Maharashtra</t>
        </is>
      </c>
      <c r="M1143" s="9" t="inlineStr">
        <is>
          <t>PS</t>
        </is>
      </c>
      <c r="N1143" s="3" t="inlineStr">
        <is>
          <t>Cold Soldering</t>
        </is>
      </c>
      <c r="O1143" s="39" t="n">
        <v>575</v>
      </c>
      <c r="P1143" s="9" t="inlineStr">
        <is>
          <t>NSMI24070190874</t>
        </is>
      </c>
      <c r="Q1143" s="53">
        <f>MID(P1143,5,2)</f>
        <v/>
      </c>
      <c r="R1143" s="53">
        <f>MID(P1143,7,2)</f>
        <v/>
      </c>
      <c r="S1143" s="3" t="inlineStr">
        <is>
          <t>G2G</t>
        </is>
      </c>
      <c r="T1143" s="3" t="inlineStr">
        <is>
          <t>P4</t>
        </is>
      </c>
      <c r="U1143" s="19" t="inlineStr">
        <is>
          <t>P JB Cold Soldering</t>
        </is>
      </c>
      <c r="V1143" s="19" t="inlineStr">
        <is>
          <t>Soldering</t>
        </is>
      </c>
      <c r="W1143" s="3" t="inlineStr">
        <is>
          <t>Repair</t>
        </is>
      </c>
      <c r="X1143" s="18" t="n">
        <v>46157</v>
      </c>
      <c r="Y1143" s="73">
        <f>IF(X1143="","",X1143-A1143)</f>
        <v/>
      </c>
      <c r="Z1143" s="18" t="n">
        <v>46157</v>
      </c>
      <c r="AA1143" s="15" t="n"/>
      <c r="AB1143" s="15" t="n"/>
      <c r="AF1143">
        <f>IF(AND($F1143="Closed",$X1143&gt;=DATE(2026,5,1),$X1143&lt;=DATE(2026,5,31)),"Closed in May","Other")</f>
        <v/>
      </c>
    </row>
    <row r="1144">
      <c r="A1144" s="37" t="n">
        <v>46143</v>
      </c>
      <c r="B1144" s="3" t="n">
        <v>2026</v>
      </c>
      <c r="C1144" s="26" t="inlineStr">
        <is>
          <t>Yanara Power</t>
        </is>
      </c>
      <c r="D1144" s="3" t="inlineStr">
        <is>
          <t>Utility and C&amp;I</t>
        </is>
      </c>
      <c r="E1144" s="3" t="n"/>
      <c r="F1144" s="3" t="inlineStr">
        <is>
          <t>Closed</t>
        </is>
      </c>
      <c r="G1144" s="9" t="inlineStr">
        <is>
          <t xml:space="preserve">Ashish Jindal </t>
        </is>
      </c>
      <c r="H1144" s="26" t="n">
        <v>9983975581</v>
      </c>
      <c r="I1144" s="38" t="inlineStr">
        <is>
          <t>PE01052601</t>
        </is>
      </c>
      <c r="J1144" s="26" t="inlineStr">
        <is>
          <t>Multiple Issues</t>
        </is>
      </c>
      <c r="K1144" s="39" t="inlineStr">
        <is>
          <t>Holi</t>
        </is>
      </c>
      <c r="L1144" s="39" t="inlineStr">
        <is>
          <t>Maharashtra</t>
        </is>
      </c>
      <c r="M1144" s="9" t="inlineStr">
        <is>
          <t>PS</t>
        </is>
      </c>
      <c r="N1144" s="3" t="inlineStr">
        <is>
          <t>Cold Soldering</t>
        </is>
      </c>
      <c r="O1144" s="39" t="n">
        <v>575</v>
      </c>
      <c r="P1144" s="9" t="inlineStr">
        <is>
          <t>NSMI24070198800</t>
        </is>
      </c>
      <c r="Q1144" s="53">
        <f>MID(P1144,5,2)</f>
        <v/>
      </c>
      <c r="R1144" s="53">
        <f>MID(P1144,7,2)</f>
        <v/>
      </c>
      <c r="S1144" s="3" t="inlineStr">
        <is>
          <t>G2G</t>
        </is>
      </c>
      <c r="T1144" s="3" t="inlineStr">
        <is>
          <t>P4</t>
        </is>
      </c>
      <c r="U1144" s="19" t="inlineStr">
        <is>
          <t>P JB Cold Soldering</t>
        </is>
      </c>
      <c r="V1144" s="19" t="inlineStr">
        <is>
          <t>Soldering</t>
        </is>
      </c>
      <c r="W1144" s="3" t="inlineStr">
        <is>
          <t>Repair</t>
        </is>
      </c>
      <c r="X1144" s="18" t="n">
        <v>46157</v>
      </c>
      <c r="Y1144" s="73">
        <f>IF(X1144="","",X1144-A1144)</f>
        <v/>
      </c>
      <c r="Z1144" s="18" t="n">
        <v>46157</v>
      </c>
      <c r="AA1144" s="15" t="n"/>
      <c r="AB1144" s="15" t="n"/>
      <c r="AF1144">
        <f>IF(AND($F1144="Closed",$X1144&gt;=DATE(2026,5,1),$X1144&lt;=DATE(2026,5,31)),"Closed in May","Other")</f>
        <v/>
      </c>
    </row>
    <row r="1145">
      <c r="A1145" s="37" t="n">
        <v>46143</v>
      </c>
      <c r="B1145" s="3" t="n">
        <v>2026</v>
      </c>
      <c r="C1145" s="26" t="inlineStr">
        <is>
          <t>Yanara Power</t>
        </is>
      </c>
      <c r="D1145" s="3" t="inlineStr">
        <is>
          <t>Utility and C&amp;I</t>
        </is>
      </c>
      <c r="E1145" s="3" t="n"/>
      <c r="F1145" s="3" t="inlineStr">
        <is>
          <t>Closed</t>
        </is>
      </c>
      <c r="G1145" s="9" t="inlineStr">
        <is>
          <t xml:space="preserve">Ashish Jindal </t>
        </is>
      </c>
      <c r="H1145" s="26" t="n">
        <v>9983975581</v>
      </c>
      <c r="I1145" s="38" t="inlineStr">
        <is>
          <t>PE01052601</t>
        </is>
      </c>
      <c r="J1145" s="26" t="inlineStr">
        <is>
          <t>Multiple Issues</t>
        </is>
      </c>
      <c r="K1145" s="39" t="inlineStr">
        <is>
          <t>Holi</t>
        </is>
      </c>
      <c r="L1145" s="39" t="inlineStr">
        <is>
          <t>Maharashtra</t>
        </is>
      </c>
      <c r="M1145" s="9" t="inlineStr">
        <is>
          <t>PS</t>
        </is>
      </c>
      <c r="N1145" s="3" t="inlineStr">
        <is>
          <t>Cold Soldering</t>
        </is>
      </c>
      <c r="O1145" s="39" t="n">
        <v>575</v>
      </c>
      <c r="P1145" s="9" t="inlineStr">
        <is>
          <t>NSMI24070190999</t>
        </is>
      </c>
      <c r="Q1145" s="53">
        <f>MID(P1145,5,2)</f>
        <v/>
      </c>
      <c r="R1145" s="53">
        <f>MID(P1145,7,2)</f>
        <v/>
      </c>
      <c r="S1145" s="3" t="inlineStr">
        <is>
          <t>G2G</t>
        </is>
      </c>
      <c r="T1145" s="3" t="inlineStr">
        <is>
          <t>P4</t>
        </is>
      </c>
      <c r="U1145" s="19" t="inlineStr">
        <is>
          <t>P JB Cold Soldering</t>
        </is>
      </c>
      <c r="V1145" s="19" t="inlineStr">
        <is>
          <t>Soldering</t>
        </is>
      </c>
      <c r="W1145" s="3" t="inlineStr">
        <is>
          <t>Repair</t>
        </is>
      </c>
      <c r="X1145" s="18" t="n">
        <v>46157</v>
      </c>
      <c r="Y1145" s="73">
        <f>IF(X1145="","",X1145-A1145)</f>
        <v/>
      </c>
      <c r="Z1145" s="18" t="n">
        <v>46157</v>
      </c>
      <c r="AA1145" s="15" t="n"/>
      <c r="AB1145" s="15" t="n"/>
      <c r="AF1145">
        <f>IF(AND($F1145="Closed",$X1145&gt;=DATE(2026,5,1),$X1145&lt;=DATE(2026,5,31)),"Closed in May","Other")</f>
        <v/>
      </c>
    </row>
    <row r="1146">
      <c r="A1146" s="37" t="n">
        <v>46143</v>
      </c>
      <c r="B1146" s="3" t="n">
        <v>2026</v>
      </c>
      <c r="C1146" s="26" t="inlineStr">
        <is>
          <t>Yanara Power</t>
        </is>
      </c>
      <c r="D1146" s="3" t="inlineStr">
        <is>
          <t>Utility and C&amp;I</t>
        </is>
      </c>
      <c r="E1146" s="3" t="n"/>
      <c r="F1146" s="3" t="inlineStr">
        <is>
          <t>Closed</t>
        </is>
      </c>
      <c r="G1146" s="9" t="inlineStr">
        <is>
          <t xml:space="preserve">Ashish Jindal </t>
        </is>
      </c>
      <c r="H1146" s="26" t="n">
        <v>9983975581</v>
      </c>
      <c r="I1146" s="38" t="inlineStr">
        <is>
          <t>PE01052601</t>
        </is>
      </c>
      <c r="J1146" s="26" t="inlineStr">
        <is>
          <t>Multiple Issues</t>
        </is>
      </c>
      <c r="K1146" s="39" t="inlineStr">
        <is>
          <t>Holi</t>
        </is>
      </c>
      <c r="L1146" s="39" t="inlineStr">
        <is>
          <t>Maharashtra</t>
        </is>
      </c>
      <c r="M1146" s="9" t="inlineStr">
        <is>
          <t>NS</t>
        </is>
      </c>
      <c r="N1146" s="3" t="inlineStr">
        <is>
          <t>Cold Soldering</t>
        </is>
      </c>
      <c r="O1146" s="39" t="n">
        <v>575</v>
      </c>
      <c r="P1146" s="9" t="inlineStr">
        <is>
          <t>NSMI24070190788</t>
        </is>
      </c>
      <c r="Q1146" s="53">
        <f>MID(P1146,5,2)</f>
        <v/>
      </c>
      <c r="R1146" s="53">
        <f>MID(P1146,7,2)</f>
        <v/>
      </c>
      <c r="S1146" s="3" t="inlineStr">
        <is>
          <t>G2G</t>
        </is>
      </c>
      <c r="T1146" s="3" t="inlineStr">
        <is>
          <t>P4</t>
        </is>
      </c>
      <c r="U1146" s="3" t="inlineStr">
        <is>
          <t>N JB Cold Soldering</t>
        </is>
      </c>
      <c r="V1146" s="3" t="inlineStr">
        <is>
          <t>Soldering</t>
        </is>
      </c>
      <c r="W1146" s="3" t="inlineStr">
        <is>
          <t>Repair</t>
        </is>
      </c>
      <c r="X1146" s="18" t="n">
        <v>46157</v>
      </c>
      <c r="Y1146" s="73">
        <f>IF(X1146="","",X1146-A1146)</f>
        <v/>
      </c>
      <c r="Z1146" s="18" t="n">
        <v>46157</v>
      </c>
      <c r="AA1146" s="15" t="n"/>
      <c r="AB1146" s="15" t="n"/>
      <c r="AF1146">
        <f>IF(AND($F1146="Closed",$X1146&gt;=DATE(2026,5,1),$X1146&lt;=DATE(2026,5,31)),"Closed in May","Other")</f>
        <v/>
      </c>
    </row>
    <row r="1147">
      <c r="A1147" s="37" t="n">
        <v>46143</v>
      </c>
      <c r="B1147" s="3" t="n">
        <v>2026</v>
      </c>
      <c r="C1147" s="26" t="inlineStr">
        <is>
          <t>Yanara Power</t>
        </is>
      </c>
      <c r="D1147" s="3" t="inlineStr">
        <is>
          <t>Utility and C&amp;I</t>
        </is>
      </c>
      <c r="E1147" s="3" t="n"/>
      <c r="F1147" s="3" t="inlineStr">
        <is>
          <t>Closed</t>
        </is>
      </c>
      <c r="G1147" s="9" t="inlineStr">
        <is>
          <t xml:space="preserve">Ashish Jindal </t>
        </is>
      </c>
      <c r="H1147" s="26" t="n">
        <v>9983975581</v>
      </c>
      <c r="I1147" s="38" t="inlineStr">
        <is>
          <t>PE01052601</t>
        </is>
      </c>
      <c r="J1147" s="26" t="inlineStr">
        <is>
          <t>Multiple Issues</t>
        </is>
      </c>
      <c r="K1147" s="39" t="inlineStr">
        <is>
          <t>Holi</t>
        </is>
      </c>
      <c r="L1147" s="39" t="inlineStr">
        <is>
          <t>Maharashtra</t>
        </is>
      </c>
      <c r="M1147" s="9" t="inlineStr">
        <is>
          <t>PS</t>
        </is>
      </c>
      <c r="N1147" s="3" t="inlineStr">
        <is>
          <t>Cold Soldering</t>
        </is>
      </c>
      <c r="O1147" s="39" t="n">
        <v>575</v>
      </c>
      <c r="P1147" s="9" t="inlineStr">
        <is>
          <t>NSMI24070191081</t>
        </is>
      </c>
      <c r="Q1147" s="53">
        <f>MID(P1147,5,2)</f>
        <v/>
      </c>
      <c r="R1147" s="53">
        <f>MID(P1147,7,2)</f>
        <v/>
      </c>
      <c r="S1147" s="3" t="inlineStr">
        <is>
          <t>G2G</t>
        </is>
      </c>
      <c r="T1147" s="3" t="inlineStr">
        <is>
          <t>P4</t>
        </is>
      </c>
      <c r="U1147" s="19" t="inlineStr">
        <is>
          <t>P JB Cold Soldering</t>
        </is>
      </c>
      <c r="V1147" s="19" t="inlineStr">
        <is>
          <t>Soldering</t>
        </is>
      </c>
      <c r="W1147" s="3" t="inlineStr">
        <is>
          <t>Repair</t>
        </is>
      </c>
      <c r="X1147" s="18" t="n">
        <v>46157</v>
      </c>
      <c r="Y1147" s="73">
        <f>IF(X1147="","",X1147-A1147)</f>
        <v/>
      </c>
      <c r="Z1147" s="18" t="n">
        <v>46157</v>
      </c>
      <c r="AA1147" s="15" t="n"/>
      <c r="AB1147" s="15" t="n"/>
      <c r="AF1147">
        <f>IF(AND($F1147="Closed",$X1147&gt;=DATE(2026,5,1),$X1147&lt;=DATE(2026,5,31)),"Closed in May","Other")</f>
        <v/>
      </c>
    </row>
    <row r="1148">
      <c r="A1148" s="37" t="n">
        <v>46143</v>
      </c>
      <c r="B1148" s="3" t="n">
        <v>2026</v>
      </c>
      <c r="C1148" s="26" t="inlineStr">
        <is>
          <t>Yanara Power</t>
        </is>
      </c>
      <c r="D1148" s="3" t="inlineStr">
        <is>
          <t>Utility and C&amp;I</t>
        </is>
      </c>
      <c r="E1148" s="3" t="n"/>
      <c r="F1148" s="3" t="inlineStr">
        <is>
          <t>Closed</t>
        </is>
      </c>
      <c r="G1148" s="9" t="inlineStr">
        <is>
          <t xml:space="preserve">Ashish Jindal </t>
        </is>
      </c>
      <c r="H1148" s="26" t="n">
        <v>9983975581</v>
      </c>
      <c r="I1148" s="38" t="inlineStr">
        <is>
          <t>PE01052601</t>
        </is>
      </c>
      <c r="J1148" s="26" t="inlineStr">
        <is>
          <t>Multiple Issues</t>
        </is>
      </c>
      <c r="K1148" s="39" t="inlineStr">
        <is>
          <t>Holi</t>
        </is>
      </c>
      <c r="L1148" s="39" t="inlineStr">
        <is>
          <t>Maharashtra</t>
        </is>
      </c>
      <c r="M1148" s="9" t="inlineStr">
        <is>
          <t>PNS</t>
        </is>
      </c>
      <c r="N1148" s="3" t="inlineStr">
        <is>
          <t>Cold Soldering</t>
        </is>
      </c>
      <c r="O1148" s="39" t="n">
        <v>575</v>
      </c>
      <c r="P1148" s="9" t="inlineStr">
        <is>
          <t>NSMI24070195348</t>
        </is>
      </c>
      <c r="Q1148" s="53">
        <f>MID(P1148,5,2)</f>
        <v/>
      </c>
      <c r="R1148" s="53">
        <f>MID(P1148,7,2)</f>
        <v/>
      </c>
      <c r="S1148" s="3" t="inlineStr">
        <is>
          <t>G2G</t>
        </is>
      </c>
      <c r="T1148" s="3" t="inlineStr">
        <is>
          <t>P4</t>
        </is>
      </c>
      <c r="U1148" s="3" t="inlineStr">
        <is>
          <t>P &amp; N JB Cold Soldering</t>
        </is>
      </c>
      <c r="V1148" s="3" t="inlineStr">
        <is>
          <t>Soldering</t>
        </is>
      </c>
      <c r="W1148" s="3" t="inlineStr">
        <is>
          <t>Repair</t>
        </is>
      </c>
      <c r="X1148" s="18" t="n">
        <v>46157</v>
      </c>
      <c r="Y1148" s="73">
        <f>IF(X1148="","",X1148-A1148)</f>
        <v/>
      </c>
      <c r="Z1148" s="18" t="n">
        <v>46157</v>
      </c>
      <c r="AA1148" s="15" t="n"/>
      <c r="AB1148" s="15" t="n"/>
      <c r="AF1148">
        <f>IF(AND($F1148="Closed",$X1148&gt;=DATE(2026,5,1),$X1148&lt;=DATE(2026,5,31)),"Closed in May","Other")</f>
        <v/>
      </c>
    </row>
    <row r="1149">
      <c r="A1149" s="37" t="n">
        <v>46143</v>
      </c>
      <c r="B1149" s="3" t="n">
        <v>2026</v>
      </c>
      <c r="C1149" s="26" t="inlineStr">
        <is>
          <t>Yanara Power</t>
        </is>
      </c>
      <c r="D1149" s="3" t="inlineStr">
        <is>
          <t>Utility and C&amp;I</t>
        </is>
      </c>
      <c r="E1149" s="3" t="n"/>
      <c r="F1149" s="3" t="inlineStr">
        <is>
          <t>Closed</t>
        </is>
      </c>
      <c r="G1149" s="9" t="inlineStr">
        <is>
          <t xml:space="preserve">Ashish Jindal </t>
        </is>
      </c>
      <c r="H1149" s="26" t="n">
        <v>9983975581</v>
      </c>
      <c r="I1149" s="38" t="inlineStr">
        <is>
          <t>PE01052601</t>
        </is>
      </c>
      <c r="J1149" s="26" t="inlineStr">
        <is>
          <t>Multiple Issues</t>
        </is>
      </c>
      <c r="K1149" s="39" t="inlineStr">
        <is>
          <t>Holi</t>
        </is>
      </c>
      <c r="L1149" s="39" t="inlineStr">
        <is>
          <t>Maharashtra</t>
        </is>
      </c>
      <c r="M1149" s="9" t="inlineStr">
        <is>
          <t>NS</t>
        </is>
      </c>
      <c r="N1149" s="3" t="inlineStr">
        <is>
          <t>Cold Soldering</t>
        </is>
      </c>
      <c r="O1149" s="39" t="n">
        <v>575</v>
      </c>
      <c r="P1149" s="9" t="inlineStr">
        <is>
          <t>NSMI24070195146</t>
        </is>
      </c>
      <c r="Q1149" s="53">
        <f>MID(P1149,5,2)</f>
        <v/>
      </c>
      <c r="R1149" s="53">
        <f>MID(P1149,7,2)</f>
        <v/>
      </c>
      <c r="S1149" s="3" t="inlineStr">
        <is>
          <t>G2G</t>
        </is>
      </c>
      <c r="T1149" s="3" t="inlineStr">
        <is>
          <t>P4</t>
        </is>
      </c>
      <c r="U1149" s="3" t="inlineStr">
        <is>
          <t>N JB Cold Soldering</t>
        </is>
      </c>
      <c r="V1149" s="3" t="inlineStr">
        <is>
          <t>Soldering</t>
        </is>
      </c>
      <c r="W1149" s="3" t="inlineStr">
        <is>
          <t>Repair</t>
        </is>
      </c>
      <c r="X1149" s="18" t="n">
        <v>46157</v>
      </c>
      <c r="Y1149" s="73">
        <f>IF(X1149="","",X1149-A1149)</f>
        <v/>
      </c>
      <c r="Z1149" s="18" t="n">
        <v>46157</v>
      </c>
      <c r="AA1149" s="15" t="n"/>
      <c r="AB1149" s="15" t="n"/>
      <c r="AF1149">
        <f>IF(AND($F1149="Closed",$X1149&gt;=DATE(2026,5,1),$X1149&lt;=DATE(2026,5,31)),"Closed in May","Other")</f>
        <v/>
      </c>
    </row>
    <row r="1150">
      <c r="A1150" s="37" t="n">
        <v>46143</v>
      </c>
      <c r="B1150" s="3" t="n">
        <v>2026</v>
      </c>
      <c r="C1150" s="26" t="inlineStr">
        <is>
          <t>Yanara Power</t>
        </is>
      </c>
      <c r="D1150" s="3" t="inlineStr">
        <is>
          <t>Utility and C&amp;I</t>
        </is>
      </c>
      <c r="E1150" s="3" t="n"/>
      <c r="F1150" s="3" t="inlineStr">
        <is>
          <t>Closed</t>
        </is>
      </c>
      <c r="G1150" s="9" t="inlineStr">
        <is>
          <t xml:space="preserve">Ashish Jindal </t>
        </is>
      </c>
      <c r="H1150" s="26" t="n">
        <v>9983975581</v>
      </c>
      <c r="I1150" s="38" t="inlineStr">
        <is>
          <t>PE01052601</t>
        </is>
      </c>
      <c r="J1150" s="26" t="inlineStr">
        <is>
          <t>Multiple Issues</t>
        </is>
      </c>
      <c r="K1150" s="39" t="inlineStr">
        <is>
          <t>Holi</t>
        </is>
      </c>
      <c r="L1150" s="39" t="inlineStr">
        <is>
          <t>Maharashtra</t>
        </is>
      </c>
      <c r="M1150" s="9" t="inlineStr">
        <is>
          <t>PS</t>
        </is>
      </c>
      <c r="N1150" s="3" t="inlineStr">
        <is>
          <t>Cold Soldering</t>
        </is>
      </c>
      <c r="O1150" s="39" t="n">
        <v>575</v>
      </c>
      <c r="P1150" s="9" t="inlineStr">
        <is>
          <t>NSMI24070218548</t>
        </is>
      </c>
      <c r="Q1150" s="53">
        <f>MID(P1150,5,2)</f>
        <v/>
      </c>
      <c r="R1150" s="53">
        <f>MID(P1150,7,2)</f>
        <v/>
      </c>
      <c r="S1150" s="3" t="inlineStr">
        <is>
          <t>G2G</t>
        </is>
      </c>
      <c r="T1150" s="3" t="inlineStr">
        <is>
          <t>P4</t>
        </is>
      </c>
      <c r="U1150" s="19" t="inlineStr">
        <is>
          <t>P JB Cold Soldering</t>
        </is>
      </c>
      <c r="V1150" s="19" t="inlineStr">
        <is>
          <t>Soldering</t>
        </is>
      </c>
      <c r="W1150" s="3" t="inlineStr">
        <is>
          <t>Repair</t>
        </is>
      </c>
      <c r="X1150" s="18" t="n">
        <v>46157</v>
      </c>
      <c r="Y1150" s="73">
        <f>IF(X1150="","",X1150-A1150)</f>
        <v/>
      </c>
      <c r="Z1150" s="18" t="n">
        <v>46157</v>
      </c>
      <c r="AA1150" s="15" t="n"/>
      <c r="AB1150" s="15" t="n"/>
      <c r="AF1150">
        <f>IF(AND($F1150="Closed",$X1150&gt;=DATE(2026,5,1),$X1150&lt;=DATE(2026,5,31)),"Closed in May","Other")</f>
        <v/>
      </c>
    </row>
    <row r="1151">
      <c r="A1151" s="37" t="n">
        <v>46143</v>
      </c>
      <c r="B1151" s="3" t="n">
        <v>2026</v>
      </c>
      <c r="C1151" s="26" t="inlineStr">
        <is>
          <t>Yanara Power</t>
        </is>
      </c>
      <c r="D1151" s="3" t="inlineStr">
        <is>
          <t>Utility and C&amp;I</t>
        </is>
      </c>
      <c r="E1151" s="3" t="n"/>
      <c r="F1151" s="3" t="inlineStr">
        <is>
          <t>Closed</t>
        </is>
      </c>
      <c r="G1151" s="9" t="inlineStr">
        <is>
          <t xml:space="preserve">Ashish Jindal </t>
        </is>
      </c>
      <c r="H1151" s="26" t="n">
        <v>9983975581</v>
      </c>
      <c r="I1151" s="38" t="inlineStr">
        <is>
          <t>PE01052601</t>
        </is>
      </c>
      <c r="J1151" s="26" t="inlineStr">
        <is>
          <t>Multiple Issues</t>
        </is>
      </c>
      <c r="K1151" s="39" t="inlineStr">
        <is>
          <t>Holi</t>
        </is>
      </c>
      <c r="L1151" s="39" t="inlineStr">
        <is>
          <t>Maharashtra</t>
        </is>
      </c>
      <c r="M1151" s="9" t="inlineStr">
        <is>
          <t>PS</t>
        </is>
      </c>
      <c r="N1151" s="3" t="inlineStr">
        <is>
          <t>Cold Soldering</t>
        </is>
      </c>
      <c r="O1151" s="39" t="n">
        <v>575</v>
      </c>
      <c r="P1151" s="9" t="inlineStr">
        <is>
          <t>NSMI24070204527</t>
        </is>
      </c>
      <c r="Q1151" s="53">
        <f>MID(P1151,5,2)</f>
        <v/>
      </c>
      <c r="R1151" s="53">
        <f>MID(P1151,7,2)</f>
        <v/>
      </c>
      <c r="S1151" s="3" t="inlineStr">
        <is>
          <t>G2G</t>
        </is>
      </c>
      <c r="T1151" s="3" t="inlineStr">
        <is>
          <t>P4</t>
        </is>
      </c>
      <c r="U1151" s="19" t="inlineStr">
        <is>
          <t>P JB Cold Soldering</t>
        </is>
      </c>
      <c r="V1151" s="19" t="inlineStr">
        <is>
          <t>Soldering</t>
        </is>
      </c>
      <c r="W1151" s="3" t="inlineStr">
        <is>
          <t>Repair</t>
        </is>
      </c>
      <c r="X1151" s="18" t="n">
        <v>46157</v>
      </c>
      <c r="Y1151" s="73">
        <f>IF(X1151="","",X1151-A1151)</f>
        <v/>
      </c>
      <c r="Z1151" s="18" t="n">
        <v>46157</v>
      </c>
      <c r="AA1151" s="15" t="n"/>
      <c r="AB1151" s="15" t="n"/>
      <c r="AF1151">
        <f>IF(AND($F1151="Closed",$X1151&gt;=DATE(2026,5,1),$X1151&lt;=DATE(2026,5,31)),"Closed in May","Other")</f>
        <v/>
      </c>
    </row>
    <row r="1152">
      <c r="A1152" s="37" t="n">
        <v>46143</v>
      </c>
      <c r="B1152" s="3" t="n">
        <v>2026</v>
      </c>
      <c r="C1152" s="26" t="inlineStr">
        <is>
          <t>Yanara Power</t>
        </is>
      </c>
      <c r="D1152" s="3" t="inlineStr">
        <is>
          <t>Utility and C&amp;I</t>
        </is>
      </c>
      <c r="E1152" s="3" t="n"/>
      <c r="F1152" s="3" t="inlineStr">
        <is>
          <t>Closed</t>
        </is>
      </c>
      <c r="G1152" s="9" t="inlineStr">
        <is>
          <t xml:space="preserve">Ashish Jindal </t>
        </is>
      </c>
      <c r="H1152" s="26" t="n">
        <v>9983975581</v>
      </c>
      <c r="I1152" s="38" t="inlineStr">
        <is>
          <t>PE01052601</t>
        </is>
      </c>
      <c r="J1152" s="26" t="inlineStr">
        <is>
          <t>Multiple Issues</t>
        </is>
      </c>
      <c r="K1152" s="39" t="inlineStr">
        <is>
          <t>Holi</t>
        </is>
      </c>
      <c r="L1152" s="39" t="inlineStr">
        <is>
          <t>Maharashtra</t>
        </is>
      </c>
      <c r="M1152" s="9" t="inlineStr">
        <is>
          <t>PS</t>
        </is>
      </c>
      <c r="N1152" s="3" t="inlineStr">
        <is>
          <t>Cold Soldering</t>
        </is>
      </c>
      <c r="O1152" s="39" t="n">
        <v>575</v>
      </c>
      <c r="P1152" s="9" t="inlineStr">
        <is>
          <t>NSMI24070215441</t>
        </is>
      </c>
      <c r="Q1152" s="53">
        <f>MID(P1152,5,2)</f>
        <v/>
      </c>
      <c r="R1152" s="53">
        <f>MID(P1152,7,2)</f>
        <v/>
      </c>
      <c r="S1152" s="3" t="inlineStr">
        <is>
          <t>G2G</t>
        </is>
      </c>
      <c r="T1152" s="3" t="inlineStr">
        <is>
          <t>P4</t>
        </is>
      </c>
      <c r="U1152" s="19" t="inlineStr">
        <is>
          <t>P JB Cold Soldering</t>
        </is>
      </c>
      <c r="V1152" s="19" t="inlineStr">
        <is>
          <t>Soldering</t>
        </is>
      </c>
      <c r="W1152" s="3" t="inlineStr">
        <is>
          <t>Repair</t>
        </is>
      </c>
      <c r="X1152" s="18" t="n">
        <v>46157</v>
      </c>
      <c r="Y1152" s="73">
        <f>IF(X1152="","",X1152-A1152)</f>
        <v/>
      </c>
      <c r="Z1152" s="18" t="n">
        <v>46157</v>
      </c>
      <c r="AA1152" s="15" t="n"/>
      <c r="AB1152" s="15" t="n"/>
      <c r="AF1152">
        <f>IF(AND($F1152="Closed",$X1152&gt;=DATE(2026,5,1),$X1152&lt;=DATE(2026,5,31)),"Closed in May","Other")</f>
        <v/>
      </c>
    </row>
    <row r="1153">
      <c r="A1153" s="37" t="n">
        <v>46143</v>
      </c>
      <c r="B1153" s="3" t="n">
        <v>2026</v>
      </c>
      <c r="C1153" s="26" t="inlineStr">
        <is>
          <t>Yanara Power</t>
        </is>
      </c>
      <c r="D1153" s="3" t="inlineStr">
        <is>
          <t>Utility and C&amp;I</t>
        </is>
      </c>
      <c r="E1153" s="3" t="n"/>
      <c r="F1153" s="3" t="inlineStr">
        <is>
          <t>Closed</t>
        </is>
      </c>
      <c r="G1153" s="9" t="inlineStr">
        <is>
          <t xml:space="preserve">Ashish Jindal </t>
        </is>
      </c>
      <c r="H1153" s="26" t="n">
        <v>9983975581</v>
      </c>
      <c r="I1153" s="38" t="inlineStr">
        <is>
          <t>PE01052601</t>
        </is>
      </c>
      <c r="J1153" s="26" t="inlineStr">
        <is>
          <t>Multiple Issues</t>
        </is>
      </c>
      <c r="K1153" s="39" t="inlineStr">
        <is>
          <t>Holi</t>
        </is>
      </c>
      <c r="L1153" s="39" t="inlineStr">
        <is>
          <t>Maharashtra</t>
        </is>
      </c>
      <c r="M1153" s="9" t="inlineStr">
        <is>
          <t>PS</t>
        </is>
      </c>
      <c r="N1153" s="3" t="inlineStr">
        <is>
          <t>Cold Soldering</t>
        </is>
      </c>
      <c r="O1153" s="39" t="n">
        <v>575</v>
      </c>
      <c r="P1153" s="9" t="inlineStr">
        <is>
          <t>NSMI24070185728</t>
        </is>
      </c>
      <c r="Q1153" s="53">
        <f>MID(P1153,5,2)</f>
        <v/>
      </c>
      <c r="R1153" s="53">
        <f>MID(P1153,7,2)</f>
        <v/>
      </c>
      <c r="S1153" s="3" t="inlineStr">
        <is>
          <t>G2G</t>
        </is>
      </c>
      <c r="T1153" s="3" t="inlineStr">
        <is>
          <t>P4</t>
        </is>
      </c>
      <c r="U1153" s="19" t="inlineStr">
        <is>
          <t>P JB Cold Soldering</t>
        </is>
      </c>
      <c r="V1153" s="19" t="inlineStr">
        <is>
          <t>Soldering</t>
        </is>
      </c>
      <c r="W1153" s="3" t="inlineStr">
        <is>
          <t>Repair</t>
        </is>
      </c>
      <c r="X1153" s="18" t="n">
        <v>46157</v>
      </c>
      <c r="Y1153" s="73">
        <f>IF(X1153="","",X1153-A1153)</f>
        <v/>
      </c>
      <c r="Z1153" s="18" t="n">
        <v>46157</v>
      </c>
      <c r="AA1153" s="15" t="n"/>
      <c r="AB1153" s="15" t="n"/>
      <c r="AF1153">
        <f>IF(AND($F1153="Closed",$X1153&gt;=DATE(2026,5,1),$X1153&lt;=DATE(2026,5,31)),"Closed in May","Other")</f>
        <v/>
      </c>
    </row>
    <row r="1154">
      <c r="A1154" s="37" t="n">
        <v>46143</v>
      </c>
      <c r="B1154" s="3" t="n">
        <v>2026</v>
      </c>
      <c r="C1154" s="26" t="inlineStr">
        <is>
          <t>Yanara Power</t>
        </is>
      </c>
      <c r="D1154" s="3" t="inlineStr">
        <is>
          <t>Utility and C&amp;I</t>
        </is>
      </c>
      <c r="E1154" s="3" t="n"/>
      <c r="F1154" s="3" t="inlineStr">
        <is>
          <t>Closed</t>
        </is>
      </c>
      <c r="G1154" s="9" t="inlineStr">
        <is>
          <t xml:space="preserve">Ashish Jindal </t>
        </is>
      </c>
      <c r="H1154" s="26" t="n">
        <v>9983975581</v>
      </c>
      <c r="I1154" s="38" t="inlineStr">
        <is>
          <t>PE01052601</t>
        </is>
      </c>
      <c r="J1154" s="26" t="inlineStr">
        <is>
          <t>Multiple Issues</t>
        </is>
      </c>
      <c r="K1154" s="39" t="inlineStr">
        <is>
          <t>Holi</t>
        </is>
      </c>
      <c r="L1154" s="39" t="inlineStr">
        <is>
          <t>Maharashtra</t>
        </is>
      </c>
      <c r="M1154" s="9" t="inlineStr">
        <is>
          <t>NS</t>
        </is>
      </c>
      <c r="N1154" s="3" t="inlineStr">
        <is>
          <t>Cold Soldering</t>
        </is>
      </c>
      <c r="O1154" s="39" t="n">
        <v>575</v>
      </c>
      <c r="P1154" s="9" t="inlineStr">
        <is>
          <t>NSMI24070188130</t>
        </is>
      </c>
      <c r="Q1154" s="53">
        <f>MID(P1154,5,2)</f>
        <v/>
      </c>
      <c r="R1154" s="53">
        <f>MID(P1154,7,2)</f>
        <v/>
      </c>
      <c r="S1154" s="3" t="inlineStr">
        <is>
          <t>G2G</t>
        </is>
      </c>
      <c r="T1154" s="3" t="inlineStr">
        <is>
          <t>P4</t>
        </is>
      </c>
      <c r="U1154" s="3" t="inlineStr">
        <is>
          <t>N JB Cold Soldering</t>
        </is>
      </c>
      <c r="V1154" s="3" t="inlineStr">
        <is>
          <t>Soldering</t>
        </is>
      </c>
      <c r="W1154" s="3" t="inlineStr">
        <is>
          <t>Repair</t>
        </is>
      </c>
      <c r="X1154" s="18" t="n">
        <v>46157</v>
      </c>
      <c r="Y1154" s="73">
        <f>IF(X1154="","",X1154-A1154)</f>
        <v/>
      </c>
      <c r="Z1154" s="18" t="n">
        <v>46157</v>
      </c>
      <c r="AA1154" s="15" t="n"/>
      <c r="AB1154" s="15" t="n"/>
      <c r="AF1154">
        <f>IF(AND($F1154="Closed",$X1154&gt;=DATE(2026,5,1),$X1154&lt;=DATE(2026,5,31)),"Closed in May","Other")</f>
        <v/>
      </c>
    </row>
    <row r="1155">
      <c r="A1155" s="37" t="n">
        <v>46143</v>
      </c>
      <c r="B1155" s="3" t="n">
        <v>2026</v>
      </c>
      <c r="C1155" s="26" t="inlineStr">
        <is>
          <t>Yanara Power</t>
        </is>
      </c>
      <c r="D1155" s="3" t="inlineStr">
        <is>
          <t>Utility and C&amp;I</t>
        </is>
      </c>
      <c r="E1155" s="3" t="n"/>
      <c r="F1155" s="3" t="inlineStr">
        <is>
          <t>Closed</t>
        </is>
      </c>
      <c r="G1155" s="9" t="inlineStr">
        <is>
          <t xml:space="preserve">Ashish Jindal </t>
        </is>
      </c>
      <c r="H1155" s="26" t="n">
        <v>9983975581</v>
      </c>
      <c r="I1155" s="38" t="inlineStr">
        <is>
          <t>PE01052601</t>
        </is>
      </c>
      <c r="J1155" s="26" t="inlineStr">
        <is>
          <t>Multiple Issues</t>
        </is>
      </c>
      <c r="K1155" s="39" t="inlineStr">
        <is>
          <t>Holi</t>
        </is>
      </c>
      <c r="L1155" s="39" t="inlineStr">
        <is>
          <t>Maharashtra</t>
        </is>
      </c>
      <c r="M1155" s="9" t="inlineStr">
        <is>
          <t>PS</t>
        </is>
      </c>
      <c r="N1155" s="3" t="inlineStr">
        <is>
          <t>Cold Soldering</t>
        </is>
      </c>
      <c r="O1155" s="39" t="n">
        <v>575</v>
      </c>
      <c r="P1155" s="9" t="inlineStr">
        <is>
          <t>NSMI24070188058</t>
        </is>
      </c>
      <c r="Q1155" s="53">
        <f>MID(P1155,5,2)</f>
        <v/>
      </c>
      <c r="R1155" s="53">
        <f>MID(P1155,7,2)</f>
        <v/>
      </c>
      <c r="S1155" s="3" t="inlineStr">
        <is>
          <t>G2G</t>
        </is>
      </c>
      <c r="T1155" s="3" t="inlineStr">
        <is>
          <t>P4</t>
        </is>
      </c>
      <c r="U1155" s="19" t="inlineStr">
        <is>
          <t>P JB Cold Soldering</t>
        </is>
      </c>
      <c r="V1155" s="19" t="inlineStr">
        <is>
          <t>Soldering</t>
        </is>
      </c>
      <c r="W1155" s="3" t="inlineStr">
        <is>
          <t>Repair</t>
        </is>
      </c>
      <c r="X1155" s="18" t="n">
        <v>46157</v>
      </c>
      <c r="Y1155" s="73">
        <f>IF(X1155="","",X1155-A1155)</f>
        <v/>
      </c>
      <c r="Z1155" s="18" t="n">
        <v>46157</v>
      </c>
      <c r="AA1155" s="15" t="n"/>
      <c r="AB1155" s="15" t="n"/>
      <c r="AF1155">
        <f>IF(AND($F1155="Closed",$X1155&gt;=DATE(2026,5,1),$X1155&lt;=DATE(2026,5,31)),"Closed in May","Other")</f>
        <v/>
      </c>
    </row>
    <row r="1156">
      <c r="A1156" s="37" t="n">
        <v>46143</v>
      </c>
      <c r="B1156" s="3" t="n">
        <v>2026</v>
      </c>
      <c r="C1156" s="26" t="inlineStr">
        <is>
          <t>Yanara Power</t>
        </is>
      </c>
      <c r="D1156" s="3" t="inlineStr">
        <is>
          <t>Utility and C&amp;I</t>
        </is>
      </c>
      <c r="E1156" s="3" t="n"/>
      <c r="F1156" s="3" t="inlineStr">
        <is>
          <t>Closed</t>
        </is>
      </c>
      <c r="G1156" s="9" t="inlineStr">
        <is>
          <t xml:space="preserve">Ashish Jindal </t>
        </is>
      </c>
      <c r="H1156" s="26" t="n">
        <v>9983975581</v>
      </c>
      <c r="I1156" s="38" t="inlineStr">
        <is>
          <t>PE01052601</t>
        </is>
      </c>
      <c r="J1156" s="26" t="inlineStr">
        <is>
          <t>Multiple Issues</t>
        </is>
      </c>
      <c r="K1156" s="39" t="inlineStr">
        <is>
          <t>Holi</t>
        </is>
      </c>
      <c r="L1156" s="39" t="inlineStr">
        <is>
          <t>Maharashtra</t>
        </is>
      </c>
      <c r="M1156" s="9" t="inlineStr">
        <is>
          <t>NS</t>
        </is>
      </c>
      <c r="N1156" s="3" t="inlineStr">
        <is>
          <t>Cold Soldering</t>
        </is>
      </c>
      <c r="O1156" s="39" t="n">
        <v>575</v>
      </c>
      <c r="P1156" s="9" t="inlineStr">
        <is>
          <t>NSMI24070193990</t>
        </is>
      </c>
      <c r="Q1156" s="53">
        <f>MID(P1156,5,2)</f>
        <v/>
      </c>
      <c r="R1156" s="53">
        <f>MID(P1156,7,2)</f>
        <v/>
      </c>
      <c r="S1156" s="3" t="inlineStr">
        <is>
          <t>G2G</t>
        </is>
      </c>
      <c r="T1156" s="3" t="inlineStr">
        <is>
          <t>P4</t>
        </is>
      </c>
      <c r="U1156" s="3" t="inlineStr">
        <is>
          <t>N JB Cold Soldering</t>
        </is>
      </c>
      <c r="V1156" s="3" t="inlineStr">
        <is>
          <t>Soldering</t>
        </is>
      </c>
      <c r="W1156" s="3" t="inlineStr">
        <is>
          <t>Repair</t>
        </is>
      </c>
      <c r="X1156" s="18" t="n">
        <v>46157</v>
      </c>
      <c r="Y1156" s="73">
        <f>IF(X1156="","",X1156-A1156)</f>
        <v/>
      </c>
      <c r="Z1156" s="18" t="n">
        <v>46157</v>
      </c>
      <c r="AA1156" s="15" t="n"/>
      <c r="AB1156" s="15" t="n"/>
      <c r="AF1156">
        <f>IF(AND($F1156="Closed",$X1156&gt;=DATE(2026,5,1),$X1156&lt;=DATE(2026,5,31)),"Closed in May","Other")</f>
        <v/>
      </c>
    </row>
    <row r="1157">
      <c r="A1157" s="37" t="n">
        <v>46143</v>
      </c>
      <c r="B1157" s="3" t="n">
        <v>2026</v>
      </c>
      <c r="C1157" s="26" t="inlineStr">
        <is>
          <t>Yanara Power</t>
        </is>
      </c>
      <c r="D1157" s="3" t="inlineStr">
        <is>
          <t>Utility and C&amp;I</t>
        </is>
      </c>
      <c r="E1157" s="3" t="n"/>
      <c r="F1157" s="3" t="inlineStr">
        <is>
          <t>Closed</t>
        </is>
      </c>
      <c r="G1157" s="9" t="inlineStr">
        <is>
          <t xml:space="preserve">Ashish Jindal </t>
        </is>
      </c>
      <c r="H1157" s="26" t="n">
        <v>9983975581</v>
      </c>
      <c r="I1157" s="38" t="inlineStr">
        <is>
          <t>PE01052601</t>
        </is>
      </c>
      <c r="J1157" s="26" t="inlineStr">
        <is>
          <t>Multiple Issues</t>
        </is>
      </c>
      <c r="K1157" s="39" t="inlineStr">
        <is>
          <t>Holi</t>
        </is>
      </c>
      <c r="L1157" s="39" t="inlineStr">
        <is>
          <t>Maharashtra</t>
        </is>
      </c>
      <c r="M1157" s="9" t="inlineStr">
        <is>
          <t>PS</t>
        </is>
      </c>
      <c r="N1157" s="3" t="inlineStr">
        <is>
          <t>Cold Soldering</t>
        </is>
      </c>
      <c r="O1157" s="39" t="n">
        <v>575</v>
      </c>
      <c r="P1157" s="9" t="inlineStr">
        <is>
          <t>NSMI24070194881</t>
        </is>
      </c>
      <c r="Q1157" s="53">
        <f>MID(P1157,5,2)</f>
        <v/>
      </c>
      <c r="R1157" s="53">
        <f>MID(P1157,7,2)</f>
        <v/>
      </c>
      <c r="S1157" s="3" t="inlineStr">
        <is>
          <t>G2G</t>
        </is>
      </c>
      <c r="T1157" s="3" t="inlineStr">
        <is>
          <t>P4</t>
        </is>
      </c>
      <c r="U1157" s="19" t="inlineStr">
        <is>
          <t>P JB Cold Soldering</t>
        </is>
      </c>
      <c r="V1157" s="19" t="inlineStr">
        <is>
          <t>Soldering</t>
        </is>
      </c>
      <c r="W1157" s="3" t="inlineStr">
        <is>
          <t>Repair</t>
        </is>
      </c>
      <c r="X1157" s="18" t="n">
        <v>46157</v>
      </c>
      <c r="Y1157" s="73">
        <f>IF(X1157="","",X1157-A1157)</f>
        <v/>
      </c>
      <c r="Z1157" s="18" t="n">
        <v>46157</v>
      </c>
      <c r="AA1157" s="15" t="n"/>
      <c r="AB1157" s="15" t="n"/>
      <c r="AF1157">
        <f>IF(AND($F1157="Closed",$X1157&gt;=DATE(2026,5,1),$X1157&lt;=DATE(2026,5,31)),"Closed in May","Other")</f>
        <v/>
      </c>
    </row>
    <row r="1158">
      <c r="A1158" s="37" t="n">
        <v>46143</v>
      </c>
      <c r="B1158" s="3" t="n">
        <v>2026</v>
      </c>
      <c r="C1158" s="26" t="inlineStr">
        <is>
          <t>Yanara Power</t>
        </is>
      </c>
      <c r="D1158" s="3" t="inlineStr">
        <is>
          <t>Utility and C&amp;I</t>
        </is>
      </c>
      <c r="E1158" s="3" t="n"/>
      <c r="F1158" s="3" t="inlineStr">
        <is>
          <t>Closed</t>
        </is>
      </c>
      <c r="G1158" s="9" t="inlineStr">
        <is>
          <t xml:space="preserve">Ashish Jindal </t>
        </is>
      </c>
      <c r="H1158" s="26" t="n">
        <v>9983975581</v>
      </c>
      <c r="I1158" s="38" t="inlineStr">
        <is>
          <t>PE01052601</t>
        </is>
      </c>
      <c r="J1158" s="26" t="inlineStr">
        <is>
          <t>Multiple Issues</t>
        </is>
      </c>
      <c r="K1158" s="39" t="inlineStr">
        <is>
          <t>Holi</t>
        </is>
      </c>
      <c r="L1158" s="39" t="inlineStr">
        <is>
          <t>Maharashtra</t>
        </is>
      </c>
      <c r="M1158" s="9" t="inlineStr">
        <is>
          <t>NS</t>
        </is>
      </c>
      <c r="N1158" s="3" t="inlineStr">
        <is>
          <t>Cold Soldering</t>
        </is>
      </c>
      <c r="O1158" s="39" t="n">
        <v>575</v>
      </c>
      <c r="P1158" s="9" t="inlineStr">
        <is>
          <t>NSMI24070221859</t>
        </is>
      </c>
      <c r="Q1158" s="53">
        <f>MID(P1158,5,2)</f>
        <v/>
      </c>
      <c r="R1158" s="53">
        <f>MID(P1158,7,2)</f>
        <v/>
      </c>
      <c r="S1158" s="3" t="inlineStr">
        <is>
          <t>G2G</t>
        </is>
      </c>
      <c r="T1158" s="3" t="inlineStr">
        <is>
          <t>P4</t>
        </is>
      </c>
      <c r="U1158" s="3" t="inlineStr">
        <is>
          <t>N JB Cold Soldering</t>
        </is>
      </c>
      <c r="V1158" s="3" t="inlineStr">
        <is>
          <t>Soldering</t>
        </is>
      </c>
      <c r="W1158" s="3" t="inlineStr">
        <is>
          <t>Repair</t>
        </is>
      </c>
      <c r="X1158" s="18" t="n">
        <v>46157</v>
      </c>
      <c r="Y1158" s="73">
        <f>IF(X1158="","",X1158-A1158)</f>
        <v/>
      </c>
      <c r="Z1158" s="18" t="n">
        <v>46157</v>
      </c>
      <c r="AA1158" s="15" t="n"/>
      <c r="AB1158" s="15" t="n"/>
      <c r="AF1158">
        <f>IF(AND($F1158="Closed",$X1158&gt;=DATE(2026,5,1),$X1158&lt;=DATE(2026,5,31)),"Closed in May","Other")</f>
        <v/>
      </c>
    </row>
    <row r="1159">
      <c r="A1159" s="37" t="n">
        <v>46143</v>
      </c>
      <c r="B1159" s="3" t="n">
        <v>2026</v>
      </c>
      <c r="C1159" s="26" t="inlineStr">
        <is>
          <t>Yanara Power</t>
        </is>
      </c>
      <c r="D1159" s="3" t="inlineStr">
        <is>
          <t>Utility and C&amp;I</t>
        </is>
      </c>
      <c r="E1159" s="3" t="n"/>
      <c r="F1159" s="3" t="inlineStr">
        <is>
          <t>Closed</t>
        </is>
      </c>
      <c r="G1159" s="9" t="inlineStr">
        <is>
          <t xml:space="preserve">Ashish Jindal </t>
        </is>
      </c>
      <c r="H1159" s="26" t="n">
        <v>9983975581</v>
      </c>
      <c r="I1159" s="38" t="inlineStr">
        <is>
          <t>PE01052601</t>
        </is>
      </c>
      <c r="J1159" s="26" t="inlineStr">
        <is>
          <t>Multiple Issues</t>
        </is>
      </c>
      <c r="K1159" s="39" t="inlineStr">
        <is>
          <t>Holi</t>
        </is>
      </c>
      <c r="L1159" s="39" t="inlineStr">
        <is>
          <t>Maharashtra</t>
        </is>
      </c>
      <c r="M1159" s="9" t="inlineStr">
        <is>
          <t>PS</t>
        </is>
      </c>
      <c r="N1159" s="3" t="inlineStr">
        <is>
          <t>Cold Soldering</t>
        </is>
      </c>
      <c r="O1159" s="39" t="n">
        <v>575</v>
      </c>
      <c r="P1159" s="9" t="inlineStr">
        <is>
          <t>NSMI24070178175</t>
        </is>
      </c>
      <c r="Q1159" s="53">
        <f>MID(P1159,5,2)</f>
        <v/>
      </c>
      <c r="R1159" s="53">
        <f>MID(P1159,7,2)</f>
        <v/>
      </c>
      <c r="S1159" s="3" t="inlineStr">
        <is>
          <t>G2G</t>
        </is>
      </c>
      <c r="T1159" s="3" t="inlineStr">
        <is>
          <t>P4</t>
        </is>
      </c>
      <c r="U1159" s="19" t="inlineStr">
        <is>
          <t>P JB Cold Soldering</t>
        </is>
      </c>
      <c r="V1159" s="19" t="inlineStr">
        <is>
          <t>Soldering</t>
        </is>
      </c>
      <c r="W1159" s="3" t="inlineStr">
        <is>
          <t>Repair</t>
        </is>
      </c>
      <c r="X1159" s="18" t="n">
        <v>46157</v>
      </c>
      <c r="Y1159" s="73">
        <f>IF(X1159="","",X1159-A1159)</f>
        <v/>
      </c>
      <c r="Z1159" s="18" t="n">
        <v>46157</v>
      </c>
      <c r="AA1159" s="15" t="n"/>
      <c r="AB1159" s="15" t="n"/>
      <c r="AF1159">
        <f>IF(AND($F1159="Closed",$X1159&gt;=DATE(2026,5,1),$X1159&lt;=DATE(2026,5,31)),"Closed in May","Other")</f>
        <v/>
      </c>
    </row>
    <row r="1160">
      <c r="A1160" s="37" t="n">
        <v>46143</v>
      </c>
      <c r="B1160" s="3" t="n">
        <v>2026</v>
      </c>
      <c r="C1160" s="26" t="inlineStr">
        <is>
          <t>Yanara Power</t>
        </is>
      </c>
      <c r="D1160" s="3" t="inlineStr">
        <is>
          <t>Utility and C&amp;I</t>
        </is>
      </c>
      <c r="E1160" s="3" t="n"/>
      <c r="F1160" s="3" t="inlineStr">
        <is>
          <t>Closed</t>
        </is>
      </c>
      <c r="G1160" s="9" t="inlineStr">
        <is>
          <t xml:space="preserve">Ashish Jindal </t>
        </is>
      </c>
      <c r="H1160" s="26" t="n">
        <v>9983975581</v>
      </c>
      <c r="I1160" s="38" t="inlineStr">
        <is>
          <t>PE01052601</t>
        </is>
      </c>
      <c r="J1160" s="26" t="inlineStr">
        <is>
          <t>Multiple Issues</t>
        </is>
      </c>
      <c r="K1160" s="39" t="inlineStr">
        <is>
          <t>Holi</t>
        </is>
      </c>
      <c r="L1160" s="39" t="inlineStr">
        <is>
          <t>Maharashtra</t>
        </is>
      </c>
      <c r="M1160" s="9" t="inlineStr">
        <is>
          <t>PS</t>
        </is>
      </c>
      <c r="N1160" s="3" t="inlineStr">
        <is>
          <t>Cold Soldering</t>
        </is>
      </c>
      <c r="O1160" s="39" t="n">
        <v>575</v>
      </c>
      <c r="P1160" s="9" t="inlineStr">
        <is>
          <t>NSMI24070201306</t>
        </is>
      </c>
      <c r="Q1160" s="53">
        <f>MID(P1160,5,2)</f>
        <v/>
      </c>
      <c r="R1160" s="53">
        <f>MID(P1160,7,2)</f>
        <v/>
      </c>
      <c r="S1160" s="3" t="inlineStr">
        <is>
          <t>G2G</t>
        </is>
      </c>
      <c r="T1160" s="3" t="inlineStr">
        <is>
          <t>P4</t>
        </is>
      </c>
      <c r="U1160" s="19" t="inlineStr">
        <is>
          <t>P JB Cold Soldering</t>
        </is>
      </c>
      <c r="V1160" s="19" t="inlineStr">
        <is>
          <t>Soldering</t>
        </is>
      </c>
      <c r="W1160" s="3" t="inlineStr">
        <is>
          <t>Repair</t>
        </is>
      </c>
      <c r="X1160" s="18" t="n">
        <v>46157</v>
      </c>
      <c r="Y1160" s="73">
        <f>IF(X1160="","",X1160-A1160)</f>
        <v/>
      </c>
      <c r="Z1160" s="18" t="n">
        <v>46157</v>
      </c>
      <c r="AA1160" s="15" t="n"/>
      <c r="AB1160" s="15" t="n"/>
      <c r="AF1160">
        <f>IF(AND($F1160="Closed",$X1160&gt;=DATE(2026,5,1),$X1160&lt;=DATE(2026,5,31)),"Closed in May","Other")</f>
        <v/>
      </c>
    </row>
    <row r="1161">
      <c r="A1161" s="37" t="n">
        <v>46143</v>
      </c>
      <c r="B1161" s="3" t="n">
        <v>2026</v>
      </c>
      <c r="C1161" s="26" t="inlineStr">
        <is>
          <t>Yanara Power</t>
        </is>
      </c>
      <c r="D1161" s="3" t="inlineStr">
        <is>
          <t>Utility and C&amp;I</t>
        </is>
      </c>
      <c r="E1161" s="3" t="n"/>
      <c r="F1161" s="3" t="inlineStr">
        <is>
          <t>Closed</t>
        </is>
      </c>
      <c r="G1161" s="9" t="inlineStr">
        <is>
          <t xml:space="preserve">Ashish Jindal </t>
        </is>
      </c>
      <c r="H1161" s="26" t="n">
        <v>9983975581</v>
      </c>
      <c r="I1161" s="38" t="inlineStr">
        <is>
          <t>PE01052601</t>
        </is>
      </c>
      <c r="J1161" s="26" t="inlineStr">
        <is>
          <t>Multiple Issues</t>
        </is>
      </c>
      <c r="K1161" s="39" t="inlineStr">
        <is>
          <t>Holi</t>
        </is>
      </c>
      <c r="L1161" s="39" t="inlineStr">
        <is>
          <t>Maharashtra</t>
        </is>
      </c>
      <c r="M1161" s="9" t="inlineStr">
        <is>
          <t>PS</t>
        </is>
      </c>
      <c r="N1161" s="3" t="inlineStr">
        <is>
          <t>Cold Soldering</t>
        </is>
      </c>
      <c r="O1161" s="39" t="n">
        <v>575</v>
      </c>
      <c r="P1161" s="9" t="inlineStr">
        <is>
          <t>NSMI24070184600</t>
        </is>
      </c>
      <c r="Q1161" s="53">
        <f>MID(P1161,5,2)</f>
        <v/>
      </c>
      <c r="R1161" s="53">
        <f>MID(P1161,7,2)</f>
        <v/>
      </c>
      <c r="S1161" s="3" t="inlineStr">
        <is>
          <t>G2G</t>
        </is>
      </c>
      <c r="T1161" s="3" t="inlineStr">
        <is>
          <t>P4</t>
        </is>
      </c>
      <c r="U1161" s="19" t="inlineStr">
        <is>
          <t>P JB Cold Soldering</t>
        </is>
      </c>
      <c r="V1161" s="19" t="inlineStr">
        <is>
          <t>Soldering</t>
        </is>
      </c>
      <c r="W1161" s="3" t="inlineStr">
        <is>
          <t>Repair</t>
        </is>
      </c>
      <c r="X1161" s="18" t="n">
        <v>46157</v>
      </c>
      <c r="Y1161" s="73">
        <f>IF(X1161="","",X1161-A1161)</f>
        <v/>
      </c>
      <c r="Z1161" s="18" t="n">
        <v>46157</v>
      </c>
      <c r="AA1161" s="15" t="n"/>
      <c r="AB1161" s="15" t="n"/>
      <c r="AF1161">
        <f>IF(AND($F1161="Closed",$X1161&gt;=DATE(2026,5,1),$X1161&lt;=DATE(2026,5,31)),"Closed in May","Other")</f>
        <v/>
      </c>
    </row>
    <row r="1162">
      <c r="A1162" s="37" t="n">
        <v>46143</v>
      </c>
      <c r="B1162" s="3" t="n">
        <v>2026</v>
      </c>
      <c r="C1162" s="26" t="inlineStr">
        <is>
          <t>Yanara Power</t>
        </is>
      </c>
      <c r="D1162" s="3" t="inlineStr">
        <is>
          <t>Utility and C&amp;I</t>
        </is>
      </c>
      <c r="E1162" s="3" t="n"/>
      <c r="F1162" s="3" t="inlineStr">
        <is>
          <t>Closed</t>
        </is>
      </c>
      <c r="G1162" s="9" t="inlineStr">
        <is>
          <t xml:space="preserve">Ashish Jindal </t>
        </is>
      </c>
      <c r="H1162" s="26" t="n">
        <v>9983975581</v>
      </c>
      <c r="I1162" s="38" t="inlineStr">
        <is>
          <t>PE01052601</t>
        </is>
      </c>
      <c r="J1162" s="26" t="inlineStr">
        <is>
          <t>Multiple Issues</t>
        </is>
      </c>
      <c r="K1162" s="39" t="inlineStr">
        <is>
          <t>Holi</t>
        </is>
      </c>
      <c r="L1162" s="39" t="inlineStr">
        <is>
          <t>Maharashtra</t>
        </is>
      </c>
      <c r="M1162" s="9" t="inlineStr">
        <is>
          <t>NS</t>
        </is>
      </c>
      <c r="N1162" s="3" t="inlineStr">
        <is>
          <t>Cold Soldering</t>
        </is>
      </c>
      <c r="O1162" s="39" t="n">
        <v>575</v>
      </c>
      <c r="P1162" s="9" t="inlineStr">
        <is>
          <t>NSMI24070184582</t>
        </is>
      </c>
      <c r="Q1162" s="53">
        <f>MID(P1162,5,2)</f>
        <v/>
      </c>
      <c r="R1162" s="53">
        <f>MID(P1162,7,2)</f>
        <v/>
      </c>
      <c r="S1162" s="3" t="inlineStr">
        <is>
          <t>G2G</t>
        </is>
      </c>
      <c r="T1162" s="3" t="inlineStr">
        <is>
          <t>P4</t>
        </is>
      </c>
      <c r="U1162" s="3" t="inlineStr">
        <is>
          <t>N JB Cold Soldering</t>
        </is>
      </c>
      <c r="V1162" s="3" t="inlineStr">
        <is>
          <t>Soldering</t>
        </is>
      </c>
      <c r="W1162" s="3" t="inlineStr">
        <is>
          <t>Repair</t>
        </is>
      </c>
      <c r="X1162" s="18" t="n">
        <v>46157</v>
      </c>
      <c r="Y1162" s="73">
        <f>IF(X1162="","",X1162-A1162)</f>
        <v/>
      </c>
      <c r="Z1162" s="18" t="n">
        <v>46157</v>
      </c>
      <c r="AA1162" s="15" t="n"/>
      <c r="AB1162" s="15" t="n"/>
      <c r="AF1162">
        <f>IF(AND($F1162="Closed",$X1162&gt;=DATE(2026,5,1),$X1162&lt;=DATE(2026,5,31)),"Closed in May","Other")</f>
        <v/>
      </c>
    </row>
    <row r="1163">
      <c r="A1163" s="37" t="n">
        <v>46143</v>
      </c>
      <c r="B1163" s="3" t="n">
        <v>2026</v>
      </c>
      <c r="C1163" s="26" t="inlineStr">
        <is>
          <t>Yanara Power</t>
        </is>
      </c>
      <c r="D1163" s="3" t="inlineStr">
        <is>
          <t>Utility and C&amp;I</t>
        </is>
      </c>
      <c r="E1163" s="3" t="n"/>
      <c r="F1163" s="3" t="inlineStr">
        <is>
          <t>Closed</t>
        </is>
      </c>
      <c r="G1163" s="9" t="inlineStr">
        <is>
          <t xml:space="preserve">Ashish Jindal </t>
        </is>
      </c>
      <c r="H1163" s="26" t="n">
        <v>9983975581</v>
      </c>
      <c r="I1163" s="38" t="inlineStr">
        <is>
          <t>PE01052601</t>
        </is>
      </c>
      <c r="J1163" s="26" t="inlineStr">
        <is>
          <t>Multiple Issues</t>
        </is>
      </c>
      <c r="K1163" s="39" t="inlineStr">
        <is>
          <t>Holi</t>
        </is>
      </c>
      <c r="L1163" s="39" t="inlineStr">
        <is>
          <t>Maharashtra</t>
        </is>
      </c>
      <c r="M1163" s="9" t="inlineStr">
        <is>
          <t>NS</t>
        </is>
      </c>
      <c r="N1163" s="3" t="inlineStr">
        <is>
          <t>Cold Soldering</t>
        </is>
      </c>
      <c r="O1163" s="39" t="n">
        <v>575</v>
      </c>
      <c r="P1163" s="9" t="inlineStr">
        <is>
          <t>NSMI24070193915</t>
        </is>
      </c>
      <c r="Q1163" s="53">
        <f>MID(P1163,5,2)</f>
        <v/>
      </c>
      <c r="R1163" s="53">
        <f>MID(P1163,7,2)</f>
        <v/>
      </c>
      <c r="S1163" s="3" t="inlineStr">
        <is>
          <t>G2G</t>
        </is>
      </c>
      <c r="T1163" s="3" t="inlineStr">
        <is>
          <t>P4</t>
        </is>
      </c>
      <c r="U1163" s="3" t="inlineStr">
        <is>
          <t>N JB Cold Soldering</t>
        </is>
      </c>
      <c r="V1163" s="3" t="inlineStr">
        <is>
          <t>Soldering</t>
        </is>
      </c>
      <c r="W1163" s="3" t="inlineStr">
        <is>
          <t>Repair</t>
        </is>
      </c>
      <c r="X1163" s="18" t="n">
        <v>46157</v>
      </c>
      <c r="Y1163" s="73">
        <f>IF(X1163="","",X1163-A1163)</f>
        <v/>
      </c>
      <c r="Z1163" s="18" t="n">
        <v>46157</v>
      </c>
      <c r="AA1163" s="15" t="n"/>
      <c r="AB1163" s="15" t="n"/>
      <c r="AF1163">
        <f>IF(AND($F1163="Closed",$X1163&gt;=DATE(2026,5,1),$X1163&lt;=DATE(2026,5,31)),"Closed in May","Other")</f>
        <v/>
      </c>
    </row>
    <row r="1164">
      <c r="A1164" s="37" t="n">
        <v>46143</v>
      </c>
      <c r="B1164" s="3" t="n">
        <v>2026</v>
      </c>
      <c r="C1164" s="26" t="inlineStr">
        <is>
          <t>Yanara Power</t>
        </is>
      </c>
      <c r="D1164" s="3" t="inlineStr">
        <is>
          <t>Utility and C&amp;I</t>
        </is>
      </c>
      <c r="E1164" s="3" t="n"/>
      <c r="F1164" s="3" t="inlineStr">
        <is>
          <t>Closed</t>
        </is>
      </c>
      <c r="G1164" s="9" t="inlineStr">
        <is>
          <t xml:space="preserve">Ashish Jindal </t>
        </is>
      </c>
      <c r="H1164" s="26" t="n">
        <v>9983975581</v>
      </c>
      <c r="I1164" s="38" t="inlineStr">
        <is>
          <t>PE01052601</t>
        </is>
      </c>
      <c r="J1164" s="26" t="inlineStr">
        <is>
          <t>Multiple Issues</t>
        </is>
      </c>
      <c r="K1164" s="39" t="inlineStr">
        <is>
          <t>Holi</t>
        </is>
      </c>
      <c r="L1164" s="39" t="inlineStr">
        <is>
          <t>Maharashtra</t>
        </is>
      </c>
      <c r="M1164" s="9" t="inlineStr">
        <is>
          <t>PS</t>
        </is>
      </c>
      <c r="N1164" s="3" t="inlineStr">
        <is>
          <t>Cold Soldering</t>
        </is>
      </c>
      <c r="O1164" s="39" t="n">
        <v>575</v>
      </c>
      <c r="P1164" s="9" t="inlineStr">
        <is>
          <t>NSMI24070215293</t>
        </is>
      </c>
      <c r="Q1164" s="53">
        <f>MID(P1164,5,2)</f>
        <v/>
      </c>
      <c r="R1164" s="53">
        <f>MID(P1164,7,2)</f>
        <v/>
      </c>
      <c r="S1164" s="3" t="inlineStr">
        <is>
          <t>G2G</t>
        </is>
      </c>
      <c r="T1164" s="3" t="inlineStr">
        <is>
          <t>P4</t>
        </is>
      </c>
      <c r="U1164" s="19" t="inlineStr">
        <is>
          <t>P JB Cold Soldering</t>
        </is>
      </c>
      <c r="V1164" s="19" t="inlineStr">
        <is>
          <t>Soldering</t>
        </is>
      </c>
      <c r="W1164" s="3" t="inlineStr">
        <is>
          <t>Repair</t>
        </is>
      </c>
      <c r="X1164" s="18" t="n">
        <v>46157</v>
      </c>
      <c r="Y1164" s="73">
        <f>IF(X1164="","",X1164-A1164)</f>
        <v/>
      </c>
      <c r="Z1164" s="18" t="n">
        <v>46157</v>
      </c>
      <c r="AA1164" s="15" t="n"/>
      <c r="AB1164" s="15" t="n"/>
      <c r="AF1164">
        <f>IF(AND($F1164="Closed",$X1164&gt;=DATE(2026,5,1),$X1164&lt;=DATE(2026,5,31)),"Closed in May","Other")</f>
        <v/>
      </c>
    </row>
    <row r="1165">
      <c r="A1165" s="37" t="n">
        <v>46143</v>
      </c>
      <c r="B1165" s="3" t="n">
        <v>2026</v>
      </c>
      <c r="C1165" s="26" t="inlineStr">
        <is>
          <t>Yanara Power</t>
        </is>
      </c>
      <c r="D1165" s="3" t="inlineStr">
        <is>
          <t>Utility and C&amp;I</t>
        </is>
      </c>
      <c r="E1165" s="3" t="n"/>
      <c r="F1165" s="3" t="inlineStr">
        <is>
          <t>Closed</t>
        </is>
      </c>
      <c r="G1165" s="9" t="inlineStr">
        <is>
          <t xml:space="preserve">Ashish Jindal </t>
        </is>
      </c>
      <c r="H1165" s="26" t="n">
        <v>9983975581</v>
      </c>
      <c r="I1165" s="38" t="inlineStr">
        <is>
          <t>PE01052601</t>
        </is>
      </c>
      <c r="J1165" s="26" t="inlineStr">
        <is>
          <t>Multiple Issues</t>
        </is>
      </c>
      <c r="K1165" s="39" t="inlineStr">
        <is>
          <t>Holi</t>
        </is>
      </c>
      <c r="L1165" s="39" t="inlineStr">
        <is>
          <t>Maharashtra</t>
        </is>
      </c>
      <c r="M1165" s="9" t="inlineStr">
        <is>
          <t>PNS</t>
        </is>
      </c>
      <c r="N1165" s="3" t="inlineStr">
        <is>
          <t>Cold Soldering</t>
        </is>
      </c>
      <c r="O1165" s="39" t="n">
        <v>575</v>
      </c>
      <c r="P1165" s="9" t="inlineStr">
        <is>
          <t>NSMI24070181202</t>
        </is>
      </c>
      <c r="Q1165" s="53">
        <f>MID(P1165,5,2)</f>
        <v/>
      </c>
      <c r="R1165" s="53">
        <f>MID(P1165,7,2)</f>
        <v/>
      </c>
      <c r="S1165" s="3" t="inlineStr">
        <is>
          <t>G2G</t>
        </is>
      </c>
      <c r="T1165" s="3" t="inlineStr">
        <is>
          <t>P4</t>
        </is>
      </c>
      <c r="U1165" s="3" t="inlineStr">
        <is>
          <t>P &amp; N JB Cold Soldering</t>
        </is>
      </c>
      <c r="V1165" s="3" t="inlineStr">
        <is>
          <t>Soldering</t>
        </is>
      </c>
      <c r="W1165" s="3" t="inlineStr">
        <is>
          <t>Repair</t>
        </is>
      </c>
      <c r="X1165" s="18" t="n">
        <v>46157</v>
      </c>
      <c r="Y1165" s="73">
        <f>IF(X1165="","",X1165-A1165)</f>
        <v/>
      </c>
      <c r="Z1165" s="18" t="n">
        <v>46157</v>
      </c>
      <c r="AA1165" s="15" t="n"/>
      <c r="AB1165" s="15" t="n"/>
      <c r="AF1165">
        <f>IF(AND($F1165="Closed",$X1165&gt;=DATE(2026,5,1),$X1165&lt;=DATE(2026,5,31)),"Closed in May","Other")</f>
        <v/>
      </c>
    </row>
    <row r="1166">
      <c r="A1166" s="37" t="n">
        <v>46143</v>
      </c>
      <c r="B1166" s="3" t="n">
        <v>2026</v>
      </c>
      <c r="C1166" s="26" t="inlineStr">
        <is>
          <t>Yanara Power</t>
        </is>
      </c>
      <c r="D1166" s="3" t="inlineStr">
        <is>
          <t>Utility and C&amp;I</t>
        </is>
      </c>
      <c r="E1166" s="3" t="n"/>
      <c r="F1166" s="3" t="inlineStr">
        <is>
          <t>Closed</t>
        </is>
      </c>
      <c r="G1166" s="9" t="inlineStr">
        <is>
          <t xml:space="preserve">Ashish Jindal </t>
        </is>
      </c>
      <c r="H1166" s="26" t="n">
        <v>9983975581</v>
      </c>
      <c r="I1166" s="38" t="inlineStr">
        <is>
          <t>PE01052601</t>
        </is>
      </c>
      <c r="J1166" s="26" t="inlineStr">
        <is>
          <t>Multiple Issues</t>
        </is>
      </c>
      <c r="K1166" s="39" t="inlineStr">
        <is>
          <t>Holi</t>
        </is>
      </c>
      <c r="L1166" s="39" t="inlineStr">
        <is>
          <t>Maharashtra</t>
        </is>
      </c>
      <c r="M1166" s="9" t="inlineStr">
        <is>
          <t>PS</t>
        </is>
      </c>
      <c r="N1166" s="3" t="inlineStr">
        <is>
          <t>Cold Soldering</t>
        </is>
      </c>
      <c r="O1166" s="39" t="n">
        <v>575</v>
      </c>
      <c r="P1166" s="9" t="inlineStr">
        <is>
          <t>NSMI24070180822</t>
        </is>
      </c>
      <c r="Q1166" s="53">
        <f>MID(P1166,5,2)</f>
        <v/>
      </c>
      <c r="R1166" s="53">
        <f>MID(P1166,7,2)</f>
        <v/>
      </c>
      <c r="S1166" s="3" t="inlineStr">
        <is>
          <t>G2G</t>
        </is>
      </c>
      <c r="T1166" s="3" t="inlineStr">
        <is>
          <t>P4</t>
        </is>
      </c>
      <c r="U1166" s="19" t="inlineStr">
        <is>
          <t>P JB Cold Soldering</t>
        </is>
      </c>
      <c r="V1166" s="19" t="inlineStr">
        <is>
          <t>Soldering</t>
        </is>
      </c>
      <c r="W1166" s="3" t="inlineStr">
        <is>
          <t>Repair</t>
        </is>
      </c>
      <c r="X1166" s="18" t="n">
        <v>46157</v>
      </c>
      <c r="Y1166" s="73">
        <f>IF(X1166="","",X1166-A1166)</f>
        <v/>
      </c>
      <c r="Z1166" s="18" t="n">
        <v>46157</v>
      </c>
      <c r="AA1166" s="15" t="n"/>
      <c r="AB1166" s="15" t="n"/>
      <c r="AF1166">
        <f>IF(AND($F1166="Closed",$X1166&gt;=DATE(2026,5,1),$X1166&lt;=DATE(2026,5,31)),"Closed in May","Other")</f>
        <v/>
      </c>
    </row>
    <row r="1167">
      <c r="A1167" s="37" t="n">
        <v>46143</v>
      </c>
      <c r="B1167" s="3" t="n">
        <v>2026</v>
      </c>
      <c r="C1167" s="26" t="inlineStr">
        <is>
          <t>Yanara Power</t>
        </is>
      </c>
      <c r="D1167" s="3" t="inlineStr">
        <is>
          <t>Utility and C&amp;I</t>
        </is>
      </c>
      <c r="E1167" s="3" t="n"/>
      <c r="F1167" s="3" t="inlineStr">
        <is>
          <t>Closed</t>
        </is>
      </c>
      <c r="G1167" s="9" t="inlineStr">
        <is>
          <t xml:space="preserve">Ashish Jindal </t>
        </is>
      </c>
      <c r="H1167" s="26" t="n">
        <v>9983975581</v>
      </c>
      <c r="I1167" s="38" t="inlineStr">
        <is>
          <t>PE01052601</t>
        </is>
      </c>
      <c r="J1167" s="26" t="inlineStr">
        <is>
          <t>Multiple Issues</t>
        </is>
      </c>
      <c r="K1167" s="39" t="inlineStr">
        <is>
          <t>Holi</t>
        </is>
      </c>
      <c r="L1167" s="39" t="inlineStr">
        <is>
          <t>Maharashtra</t>
        </is>
      </c>
      <c r="M1167" s="9" t="inlineStr">
        <is>
          <t>NS</t>
        </is>
      </c>
      <c r="N1167" s="3" t="inlineStr">
        <is>
          <t>Cold Soldering</t>
        </is>
      </c>
      <c r="O1167" s="39" t="n">
        <v>575</v>
      </c>
      <c r="P1167" s="9" t="inlineStr">
        <is>
          <t>NSMI24070195915</t>
        </is>
      </c>
      <c r="Q1167" s="53">
        <f>MID(P1167,5,2)</f>
        <v/>
      </c>
      <c r="R1167" s="53">
        <f>MID(P1167,7,2)</f>
        <v/>
      </c>
      <c r="S1167" s="3" t="inlineStr">
        <is>
          <t>G2G</t>
        </is>
      </c>
      <c r="T1167" s="3" t="inlineStr">
        <is>
          <t>P4</t>
        </is>
      </c>
      <c r="U1167" s="3" t="inlineStr">
        <is>
          <t>N JB Cold Soldering</t>
        </is>
      </c>
      <c r="V1167" s="3" t="inlineStr">
        <is>
          <t>Soldering</t>
        </is>
      </c>
      <c r="W1167" s="3" t="inlineStr">
        <is>
          <t>Repair</t>
        </is>
      </c>
      <c r="X1167" s="18" t="n">
        <v>46157</v>
      </c>
      <c r="Y1167" s="73">
        <f>IF(X1167="","",X1167-A1167)</f>
        <v/>
      </c>
      <c r="Z1167" s="18" t="n">
        <v>46157</v>
      </c>
      <c r="AA1167" s="15" t="n"/>
      <c r="AB1167" s="15" t="n"/>
      <c r="AF1167">
        <f>IF(AND($F1167="Closed",$X1167&gt;=DATE(2026,5,1),$X1167&lt;=DATE(2026,5,31)),"Closed in May","Other")</f>
        <v/>
      </c>
    </row>
    <row r="1168">
      <c r="A1168" s="37" t="n">
        <v>46143</v>
      </c>
      <c r="B1168" s="3" t="n">
        <v>2026</v>
      </c>
      <c r="C1168" s="26" t="inlineStr">
        <is>
          <t>Yanara Power</t>
        </is>
      </c>
      <c r="D1168" s="3" t="inlineStr">
        <is>
          <t>Utility and C&amp;I</t>
        </is>
      </c>
      <c r="E1168" s="3" t="n"/>
      <c r="F1168" s="3" t="inlineStr">
        <is>
          <t>Closed</t>
        </is>
      </c>
      <c r="G1168" s="9" t="inlineStr">
        <is>
          <t xml:space="preserve">Ashish Jindal </t>
        </is>
      </c>
      <c r="H1168" s="26" t="n">
        <v>9983975581</v>
      </c>
      <c r="I1168" s="38" t="inlineStr">
        <is>
          <t>PE01052601</t>
        </is>
      </c>
      <c r="J1168" s="26" t="inlineStr">
        <is>
          <t>Multiple Issues</t>
        </is>
      </c>
      <c r="K1168" s="39" t="inlineStr">
        <is>
          <t>Holi</t>
        </is>
      </c>
      <c r="L1168" s="39" t="inlineStr">
        <is>
          <t>Maharashtra</t>
        </is>
      </c>
      <c r="M1168" s="9" t="inlineStr">
        <is>
          <t>PS</t>
        </is>
      </c>
      <c r="N1168" s="3" t="inlineStr">
        <is>
          <t>Cold Soldering</t>
        </is>
      </c>
      <c r="O1168" s="39" t="n">
        <v>575</v>
      </c>
      <c r="P1168" s="9" t="inlineStr">
        <is>
          <t>NSMI24070201264</t>
        </is>
      </c>
      <c r="Q1168" s="53">
        <f>MID(P1168,5,2)</f>
        <v/>
      </c>
      <c r="R1168" s="53">
        <f>MID(P1168,7,2)</f>
        <v/>
      </c>
      <c r="S1168" s="3" t="inlineStr">
        <is>
          <t>G2G</t>
        </is>
      </c>
      <c r="T1168" s="3" t="inlineStr">
        <is>
          <t>P4</t>
        </is>
      </c>
      <c r="U1168" s="19" t="inlineStr">
        <is>
          <t>P JB Cold Soldering</t>
        </is>
      </c>
      <c r="V1168" s="19" t="inlineStr">
        <is>
          <t>Soldering</t>
        </is>
      </c>
      <c r="W1168" s="3" t="inlineStr">
        <is>
          <t>Repair</t>
        </is>
      </c>
      <c r="X1168" s="18" t="n">
        <v>46157</v>
      </c>
      <c r="Y1168" s="73">
        <f>IF(X1168="","",X1168-A1168)</f>
        <v/>
      </c>
      <c r="Z1168" s="18" t="n">
        <v>46157</v>
      </c>
      <c r="AA1168" s="15" t="n"/>
      <c r="AB1168" s="15" t="n"/>
      <c r="AF1168">
        <f>IF(AND($F1168="Closed",$X1168&gt;=DATE(2026,5,1),$X1168&lt;=DATE(2026,5,31)),"Closed in May","Other")</f>
        <v/>
      </c>
    </row>
    <row r="1169">
      <c r="A1169" s="37" t="n">
        <v>46143</v>
      </c>
      <c r="B1169" s="3" t="n">
        <v>2026</v>
      </c>
      <c r="C1169" s="26" t="inlineStr">
        <is>
          <t>Yanara Power</t>
        </is>
      </c>
      <c r="D1169" s="3" t="inlineStr">
        <is>
          <t>Utility and C&amp;I</t>
        </is>
      </c>
      <c r="E1169" s="3" t="n"/>
      <c r="F1169" s="3" t="inlineStr">
        <is>
          <t>Closed</t>
        </is>
      </c>
      <c r="G1169" s="9" t="inlineStr">
        <is>
          <t xml:space="preserve">Ashish Jindal </t>
        </is>
      </c>
      <c r="H1169" s="26" t="n">
        <v>9983975581</v>
      </c>
      <c r="I1169" s="38" t="inlineStr">
        <is>
          <t>PE01052601</t>
        </is>
      </c>
      <c r="J1169" s="26" t="inlineStr">
        <is>
          <t>Multiple Issues</t>
        </is>
      </c>
      <c r="K1169" s="39" t="inlineStr">
        <is>
          <t>Holi</t>
        </is>
      </c>
      <c r="L1169" s="39" t="inlineStr">
        <is>
          <t>Maharashtra</t>
        </is>
      </c>
      <c r="M1169" s="9" t="inlineStr">
        <is>
          <t>NS</t>
        </is>
      </c>
      <c r="N1169" s="3" t="inlineStr">
        <is>
          <t>Cold Soldering</t>
        </is>
      </c>
      <c r="O1169" s="39" t="n">
        <v>575</v>
      </c>
      <c r="P1169" s="9" t="inlineStr">
        <is>
          <t>NSMI24070179795</t>
        </is>
      </c>
      <c r="Q1169" s="53">
        <f>MID(P1169,5,2)</f>
        <v/>
      </c>
      <c r="R1169" s="53">
        <f>MID(P1169,7,2)</f>
        <v/>
      </c>
      <c r="S1169" s="3" t="inlineStr">
        <is>
          <t>G2G</t>
        </is>
      </c>
      <c r="T1169" s="3" t="inlineStr">
        <is>
          <t>P4</t>
        </is>
      </c>
      <c r="U1169" s="3" t="inlineStr">
        <is>
          <t>N JB Cold Soldering</t>
        </is>
      </c>
      <c r="V1169" s="3" t="inlineStr">
        <is>
          <t>Soldering</t>
        </is>
      </c>
      <c r="W1169" s="3" t="inlineStr">
        <is>
          <t>Repair</t>
        </is>
      </c>
      <c r="X1169" s="18" t="n">
        <v>46157</v>
      </c>
      <c r="Y1169" s="73">
        <f>IF(X1169="","",X1169-A1169)</f>
        <v/>
      </c>
      <c r="Z1169" s="18" t="n">
        <v>46157</v>
      </c>
      <c r="AA1169" s="15" t="n"/>
      <c r="AB1169" s="15" t="n"/>
      <c r="AF1169">
        <f>IF(AND($F1169="Closed",$X1169&gt;=DATE(2026,5,1),$X1169&lt;=DATE(2026,5,31)),"Closed in May","Other")</f>
        <v/>
      </c>
    </row>
    <row r="1170">
      <c r="A1170" s="37" t="n">
        <v>46143</v>
      </c>
      <c r="B1170" s="3" t="n">
        <v>2026</v>
      </c>
      <c r="C1170" s="26" t="inlineStr">
        <is>
          <t>Yanara Power</t>
        </is>
      </c>
      <c r="D1170" s="3" t="inlineStr">
        <is>
          <t>Utility and C&amp;I</t>
        </is>
      </c>
      <c r="E1170" s="3" t="n"/>
      <c r="F1170" s="3" t="inlineStr">
        <is>
          <t>Closed</t>
        </is>
      </c>
      <c r="G1170" s="9" t="inlineStr">
        <is>
          <t xml:space="preserve">Ashish Jindal </t>
        </is>
      </c>
      <c r="H1170" s="26" t="n">
        <v>9983975581</v>
      </c>
      <c r="I1170" s="38" t="inlineStr">
        <is>
          <t>PE01052601</t>
        </is>
      </c>
      <c r="J1170" s="26" t="inlineStr">
        <is>
          <t>Multiple Issues</t>
        </is>
      </c>
      <c r="K1170" s="39" t="inlineStr">
        <is>
          <t>Holi</t>
        </is>
      </c>
      <c r="L1170" s="39" t="inlineStr">
        <is>
          <t>Maharashtra</t>
        </is>
      </c>
      <c r="M1170" s="9" t="inlineStr">
        <is>
          <t>PS</t>
        </is>
      </c>
      <c r="N1170" s="3" t="inlineStr">
        <is>
          <t>Cold Soldering</t>
        </is>
      </c>
      <c r="O1170" s="39" t="n">
        <v>575</v>
      </c>
      <c r="P1170" s="9" t="inlineStr">
        <is>
          <t>NSMI24070180295</t>
        </is>
      </c>
      <c r="Q1170" s="53">
        <f>MID(P1170,5,2)</f>
        <v/>
      </c>
      <c r="R1170" s="53">
        <f>MID(P1170,7,2)</f>
        <v/>
      </c>
      <c r="S1170" s="3" t="inlineStr">
        <is>
          <t>G2G</t>
        </is>
      </c>
      <c r="T1170" s="3" t="inlineStr">
        <is>
          <t>P4</t>
        </is>
      </c>
      <c r="U1170" s="19" t="inlineStr">
        <is>
          <t>P JB Cold Soldering</t>
        </is>
      </c>
      <c r="V1170" s="19" t="inlineStr">
        <is>
          <t>Soldering</t>
        </is>
      </c>
      <c r="W1170" s="3" t="inlineStr">
        <is>
          <t>Repair</t>
        </is>
      </c>
      <c r="X1170" s="18" t="n">
        <v>46157</v>
      </c>
      <c r="Y1170" s="73">
        <f>IF(X1170="","",X1170-A1170)</f>
        <v/>
      </c>
      <c r="Z1170" s="18" t="n">
        <v>46157</v>
      </c>
      <c r="AA1170" s="15" t="n"/>
      <c r="AB1170" s="15" t="n"/>
      <c r="AF1170">
        <f>IF(AND($F1170="Closed",$X1170&gt;=DATE(2026,5,1),$X1170&lt;=DATE(2026,5,31)),"Closed in May","Other")</f>
        <v/>
      </c>
    </row>
    <row r="1171">
      <c r="A1171" s="37" t="n">
        <v>46143</v>
      </c>
      <c r="B1171" s="3" t="n">
        <v>2026</v>
      </c>
      <c r="C1171" s="26" t="inlineStr">
        <is>
          <t>Yanara Power</t>
        </is>
      </c>
      <c r="D1171" s="3" t="inlineStr">
        <is>
          <t>Utility and C&amp;I</t>
        </is>
      </c>
      <c r="E1171" s="3" t="n"/>
      <c r="F1171" s="3" t="inlineStr">
        <is>
          <t>Closed</t>
        </is>
      </c>
      <c r="G1171" s="9" t="inlineStr">
        <is>
          <t xml:space="preserve">Ashish Jindal </t>
        </is>
      </c>
      <c r="H1171" s="26" t="n">
        <v>9983975581</v>
      </c>
      <c r="I1171" s="38" t="inlineStr">
        <is>
          <t>PE01052601</t>
        </is>
      </c>
      <c r="J1171" s="26" t="inlineStr">
        <is>
          <t>Multiple Issues</t>
        </is>
      </c>
      <c r="K1171" s="39" t="inlineStr">
        <is>
          <t>Holi</t>
        </is>
      </c>
      <c r="L1171" s="39" t="inlineStr">
        <is>
          <t>Maharashtra</t>
        </is>
      </c>
      <c r="M1171" s="9" t="inlineStr">
        <is>
          <t>PS</t>
        </is>
      </c>
      <c r="N1171" s="3" t="inlineStr">
        <is>
          <t>Cold Soldering</t>
        </is>
      </c>
      <c r="O1171" s="39" t="n">
        <v>575</v>
      </c>
      <c r="P1171" s="9" t="inlineStr">
        <is>
          <t>NSMI24070180436</t>
        </is>
      </c>
      <c r="Q1171" s="53">
        <f>MID(P1171,5,2)</f>
        <v/>
      </c>
      <c r="R1171" s="53">
        <f>MID(P1171,7,2)</f>
        <v/>
      </c>
      <c r="S1171" s="3" t="inlineStr">
        <is>
          <t>G2G</t>
        </is>
      </c>
      <c r="T1171" s="3" t="inlineStr">
        <is>
          <t>P4</t>
        </is>
      </c>
      <c r="U1171" s="19" t="inlineStr">
        <is>
          <t>P JB Cold Soldering</t>
        </is>
      </c>
      <c r="V1171" s="19" t="inlineStr">
        <is>
          <t>Soldering</t>
        </is>
      </c>
      <c r="W1171" s="3" t="inlineStr">
        <is>
          <t>Repair</t>
        </is>
      </c>
      <c r="X1171" s="18" t="n">
        <v>46157</v>
      </c>
      <c r="Y1171" s="73">
        <f>IF(X1171="","",X1171-A1171)</f>
        <v/>
      </c>
      <c r="Z1171" s="18" t="n">
        <v>46157</v>
      </c>
      <c r="AA1171" s="15" t="n"/>
      <c r="AB1171" s="15" t="n"/>
      <c r="AF1171">
        <f>IF(AND($F1171="Closed",$X1171&gt;=DATE(2026,5,1),$X1171&lt;=DATE(2026,5,31)),"Closed in May","Other")</f>
        <v/>
      </c>
    </row>
    <row r="1172">
      <c r="A1172" s="37" t="n">
        <v>46143</v>
      </c>
      <c r="B1172" s="3" t="n">
        <v>2026</v>
      </c>
      <c r="C1172" s="26" t="inlineStr">
        <is>
          <t>Yanara Power</t>
        </is>
      </c>
      <c r="D1172" s="3" t="inlineStr">
        <is>
          <t>Utility and C&amp;I</t>
        </is>
      </c>
      <c r="E1172" s="3" t="n"/>
      <c r="F1172" s="3" t="inlineStr">
        <is>
          <t>Closed</t>
        </is>
      </c>
      <c r="G1172" s="9" t="inlineStr">
        <is>
          <t xml:space="preserve">Ashish Jindal </t>
        </is>
      </c>
      <c r="H1172" s="26" t="n">
        <v>9983975581</v>
      </c>
      <c r="I1172" s="38" t="inlineStr">
        <is>
          <t>PE01052601</t>
        </is>
      </c>
      <c r="J1172" s="26" t="inlineStr">
        <is>
          <t>Multiple Issues</t>
        </is>
      </c>
      <c r="K1172" s="39" t="inlineStr">
        <is>
          <t>Holi</t>
        </is>
      </c>
      <c r="L1172" s="39" t="inlineStr">
        <is>
          <t>Maharashtra</t>
        </is>
      </c>
      <c r="M1172" s="9" t="inlineStr">
        <is>
          <t>NS</t>
        </is>
      </c>
      <c r="N1172" s="3" t="inlineStr">
        <is>
          <t>Cold Soldering</t>
        </is>
      </c>
      <c r="O1172" s="39" t="n">
        <v>575</v>
      </c>
      <c r="P1172" s="9" t="inlineStr">
        <is>
          <t>NSMI24070179478</t>
        </is>
      </c>
      <c r="Q1172" s="53">
        <f>MID(P1172,5,2)</f>
        <v/>
      </c>
      <c r="R1172" s="53">
        <f>MID(P1172,7,2)</f>
        <v/>
      </c>
      <c r="S1172" s="3" t="inlineStr">
        <is>
          <t>G2G</t>
        </is>
      </c>
      <c r="T1172" s="3" t="inlineStr">
        <is>
          <t>P4</t>
        </is>
      </c>
      <c r="U1172" s="3" t="inlineStr">
        <is>
          <t>N JB Cold Soldering</t>
        </is>
      </c>
      <c r="V1172" s="3" t="inlineStr">
        <is>
          <t>Soldering</t>
        </is>
      </c>
      <c r="W1172" s="3" t="inlineStr">
        <is>
          <t>Repair</t>
        </is>
      </c>
      <c r="X1172" s="18" t="n">
        <v>46157</v>
      </c>
      <c r="Y1172" s="73">
        <f>IF(X1172="","",X1172-A1172)</f>
        <v/>
      </c>
      <c r="Z1172" s="18" t="n">
        <v>46157</v>
      </c>
      <c r="AA1172" s="15" t="n"/>
      <c r="AB1172" s="15" t="n"/>
      <c r="AF1172">
        <f>IF(AND($F1172="Closed",$X1172&gt;=DATE(2026,5,1),$X1172&lt;=DATE(2026,5,31)),"Closed in May","Other")</f>
        <v/>
      </c>
    </row>
    <row r="1173">
      <c r="A1173" s="37" t="n">
        <v>46143</v>
      </c>
      <c r="B1173" s="3" t="n">
        <v>2026</v>
      </c>
      <c r="C1173" s="26" t="inlineStr">
        <is>
          <t>Yanara Power</t>
        </is>
      </c>
      <c r="D1173" s="3" t="inlineStr">
        <is>
          <t>Utility and C&amp;I</t>
        </is>
      </c>
      <c r="E1173" s="3" t="n"/>
      <c r="F1173" s="3" t="inlineStr">
        <is>
          <t>Closed</t>
        </is>
      </c>
      <c r="G1173" s="9" t="inlineStr">
        <is>
          <t xml:space="preserve">Ashish Jindal </t>
        </is>
      </c>
      <c r="H1173" s="26" t="n">
        <v>9983975581</v>
      </c>
      <c r="I1173" s="38" t="inlineStr">
        <is>
          <t>PE01052601</t>
        </is>
      </c>
      <c r="J1173" s="26" t="inlineStr">
        <is>
          <t>Multiple Issues</t>
        </is>
      </c>
      <c r="K1173" s="39" t="inlineStr">
        <is>
          <t>Holi</t>
        </is>
      </c>
      <c r="L1173" s="39" t="inlineStr">
        <is>
          <t>Maharashtra</t>
        </is>
      </c>
      <c r="M1173" s="9" t="inlineStr">
        <is>
          <t>PS</t>
        </is>
      </c>
      <c r="N1173" s="3" t="inlineStr">
        <is>
          <t>Cold Soldering</t>
        </is>
      </c>
      <c r="O1173" s="39" t="n">
        <v>575</v>
      </c>
      <c r="P1173" s="9" t="inlineStr">
        <is>
          <t>NSMI24070165975</t>
        </is>
      </c>
      <c r="Q1173" s="53">
        <f>MID(P1173,5,2)</f>
        <v/>
      </c>
      <c r="R1173" s="53">
        <f>MID(P1173,7,2)</f>
        <v/>
      </c>
      <c r="S1173" s="3" t="inlineStr">
        <is>
          <t>G2G</t>
        </is>
      </c>
      <c r="T1173" s="3" t="inlineStr">
        <is>
          <t>P4</t>
        </is>
      </c>
      <c r="U1173" s="19" t="inlineStr">
        <is>
          <t>P JB Cold Soldering</t>
        </is>
      </c>
      <c r="V1173" s="19" t="inlineStr">
        <is>
          <t>Soldering</t>
        </is>
      </c>
      <c r="W1173" s="3" t="inlineStr">
        <is>
          <t>Repair</t>
        </is>
      </c>
      <c r="X1173" s="18" t="n">
        <v>46157</v>
      </c>
      <c r="Y1173" s="73">
        <f>IF(X1173="","",X1173-A1173)</f>
        <v/>
      </c>
      <c r="Z1173" s="18" t="n">
        <v>46157</v>
      </c>
      <c r="AA1173" s="15" t="n"/>
      <c r="AB1173" s="15" t="n"/>
      <c r="AF1173">
        <f>IF(AND($F1173="Closed",$X1173&gt;=DATE(2026,5,1),$X1173&lt;=DATE(2026,5,31)),"Closed in May","Other")</f>
        <v/>
      </c>
    </row>
    <row r="1174">
      <c r="A1174" s="37" t="n">
        <v>46143</v>
      </c>
      <c r="B1174" s="3" t="n">
        <v>2026</v>
      </c>
      <c r="C1174" s="26" t="inlineStr">
        <is>
          <t>Yanara Power</t>
        </is>
      </c>
      <c r="D1174" s="3" t="inlineStr">
        <is>
          <t>Utility and C&amp;I</t>
        </is>
      </c>
      <c r="E1174" s="3" t="n"/>
      <c r="F1174" s="3" t="inlineStr">
        <is>
          <t>Closed</t>
        </is>
      </c>
      <c r="G1174" s="9" t="inlineStr">
        <is>
          <t xml:space="preserve">Ashish Jindal </t>
        </is>
      </c>
      <c r="H1174" s="26" t="n">
        <v>9983975581</v>
      </c>
      <c r="I1174" s="38" t="inlineStr">
        <is>
          <t>PE01052601</t>
        </is>
      </c>
      <c r="J1174" s="26" t="inlineStr">
        <is>
          <t>Multiple Issues</t>
        </is>
      </c>
      <c r="K1174" s="39" t="inlineStr">
        <is>
          <t>Holi</t>
        </is>
      </c>
      <c r="L1174" s="39" t="inlineStr">
        <is>
          <t>Maharashtra</t>
        </is>
      </c>
      <c r="M1174" s="9" t="inlineStr">
        <is>
          <t>PS</t>
        </is>
      </c>
      <c r="N1174" s="3" t="inlineStr">
        <is>
          <t>Cold Soldering</t>
        </is>
      </c>
      <c r="O1174" s="39" t="n">
        <v>575</v>
      </c>
      <c r="P1174" s="9" t="inlineStr">
        <is>
          <t>NSMI24070165872</t>
        </is>
      </c>
      <c r="Q1174" s="53">
        <f>MID(P1174,5,2)</f>
        <v/>
      </c>
      <c r="R1174" s="53">
        <f>MID(P1174,7,2)</f>
        <v/>
      </c>
      <c r="S1174" s="3" t="inlineStr">
        <is>
          <t>G2G</t>
        </is>
      </c>
      <c r="T1174" s="3" t="inlineStr">
        <is>
          <t>P4</t>
        </is>
      </c>
      <c r="U1174" s="19" t="inlineStr">
        <is>
          <t>P JB Cold Soldering</t>
        </is>
      </c>
      <c r="V1174" s="19" t="inlineStr">
        <is>
          <t>Soldering</t>
        </is>
      </c>
      <c r="W1174" s="3" t="inlineStr">
        <is>
          <t>Repair</t>
        </is>
      </c>
      <c r="X1174" s="18" t="n">
        <v>46157</v>
      </c>
      <c r="Y1174" s="73">
        <f>IF(X1174="","",X1174-A1174)</f>
        <v/>
      </c>
      <c r="Z1174" s="18" t="n">
        <v>46157</v>
      </c>
      <c r="AA1174" s="15" t="n"/>
      <c r="AB1174" s="15" t="n"/>
      <c r="AF1174">
        <f>IF(AND($F1174="Closed",$X1174&gt;=DATE(2026,5,1),$X1174&lt;=DATE(2026,5,31)),"Closed in May","Other")</f>
        <v/>
      </c>
    </row>
    <row r="1175">
      <c r="A1175" s="6" t="n">
        <v>46107</v>
      </c>
      <c r="B1175" s="3" t="n">
        <v>2026</v>
      </c>
      <c r="C1175" s="3" t="inlineStr">
        <is>
          <t>Blupine Energy</t>
        </is>
      </c>
      <c r="D1175" s="3" t="inlineStr">
        <is>
          <t>Utility and C&amp;I</t>
        </is>
      </c>
      <c r="E1175" s="3" t="n"/>
      <c r="F1175" s="3" t="inlineStr">
        <is>
          <t>Closed</t>
        </is>
      </c>
      <c r="G1175" s="3" t="inlineStr">
        <is>
          <t>Chandrashekar Patidar</t>
        </is>
      </c>
      <c r="H1175" s="3" t="n">
        <v>7879764773</v>
      </c>
      <c r="I1175" s="11" t="inlineStr">
        <is>
          <t>PE26032601</t>
        </is>
      </c>
      <c r="J1175" s="3" t="inlineStr">
        <is>
          <t>Module Diode Failure</t>
        </is>
      </c>
      <c r="K1175" s="3" t="inlineStr">
        <is>
          <t>Sadla</t>
        </is>
      </c>
      <c r="L1175" s="3" t="inlineStr">
        <is>
          <t>Gujarat</t>
        </is>
      </c>
      <c r="M1175" s="9" t="inlineStr">
        <is>
          <t>PNS</t>
        </is>
      </c>
      <c r="N1175" s="3" t="inlineStr">
        <is>
          <t>Cold Soldering</t>
        </is>
      </c>
      <c r="O1175" s="3" t="n">
        <v>570</v>
      </c>
      <c r="P1175" s="9" t="inlineStr">
        <is>
          <t>NSMI24080341932</t>
        </is>
      </c>
      <c r="Q1175" s="53">
        <f>MID(P1175,5,2)</f>
        <v/>
      </c>
      <c r="R1175" s="53">
        <f>MID(P1175,7,2)</f>
        <v/>
      </c>
      <c r="S1175" s="3" t="inlineStr">
        <is>
          <t>G2G</t>
        </is>
      </c>
      <c r="T1175" s="3" t="inlineStr">
        <is>
          <t>P4</t>
        </is>
      </c>
      <c r="U1175" s="3" t="inlineStr">
        <is>
          <t>P &amp; N JB Cold Soldering &amp; Glass Breakage</t>
        </is>
      </c>
      <c r="V1175" s="3" t="inlineStr">
        <is>
          <t>Soldering</t>
        </is>
      </c>
      <c r="W1175" s="3" t="inlineStr">
        <is>
          <t>Repair</t>
        </is>
      </c>
      <c r="X1175" s="18" t="n">
        <v>46158</v>
      </c>
      <c r="Y1175" s="73">
        <f>IF(X1175="","",X1175-A1175)</f>
        <v/>
      </c>
      <c r="Z1175" s="18" t="n">
        <v>46158</v>
      </c>
      <c r="AA1175" s="15" t="n"/>
      <c r="AB1175" s="15" t="n"/>
      <c r="AF1175">
        <f>IF(AND($F1175="Closed",$X1175&gt;=DATE(2026,5,1),$X1175&lt;=DATE(2026,5,31)),"Closed in May","Other")</f>
        <v/>
      </c>
    </row>
    <row r="1176">
      <c r="A1176" s="6" t="n">
        <v>46107</v>
      </c>
      <c r="B1176" s="3" t="n">
        <v>2026</v>
      </c>
      <c r="C1176" s="3" t="inlineStr">
        <is>
          <t>Blupine Energy</t>
        </is>
      </c>
      <c r="D1176" s="3" t="inlineStr">
        <is>
          <t>Utility and C&amp;I</t>
        </is>
      </c>
      <c r="E1176" s="3" t="n"/>
      <c r="F1176" s="3" t="inlineStr">
        <is>
          <t>Closed</t>
        </is>
      </c>
      <c r="G1176" s="3" t="inlineStr">
        <is>
          <t>Chandrashekar Patidar</t>
        </is>
      </c>
      <c r="H1176" s="3" t="n">
        <v>7879764773</v>
      </c>
      <c r="I1176" s="11" t="inlineStr">
        <is>
          <t>PE26032601</t>
        </is>
      </c>
      <c r="J1176" s="3" t="inlineStr">
        <is>
          <t>Module Diode Failure</t>
        </is>
      </c>
      <c r="K1176" s="3" t="inlineStr">
        <is>
          <t>Sadla</t>
        </is>
      </c>
      <c r="L1176" s="3" t="inlineStr">
        <is>
          <t>Gujarat</t>
        </is>
      </c>
      <c r="M1176" s="9" t="inlineStr">
        <is>
          <t>NS</t>
        </is>
      </c>
      <c r="N1176" s="3" t="inlineStr">
        <is>
          <t>Cold Soldering</t>
        </is>
      </c>
      <c r="O1176" s="3" t="n">
        <v>570</v>
      </c>
      <c r="P1176" s="9" t="inlineStr">
        <is>
          <t>NSMI24060143748</t>
        </is>
      </c>
      <c r="Q1176" s="53">
        <f>MID(P1176,5,2)</f>
        <v/>
      </c>
      <c r="R1176" s="53">
        <f>MID(P1176,7,2)</f>
        <v/>
      </c>
      <c r="S1176" s="3" t="inlineStr">
        <is>
          <t>G2G</t>
        </is>
      </c>
      <c r="T1176" s="3" t="inlineStr">
        <is>
          <t>P4</t>
        </is>
      </c>
      <c r="U1176" s="3" t="inlineStr">
        <is>
          <t>N JB Cold Soldering</t>
        </is>
      </c>
      <c r="V1176" s="3" t="inlineStr">
        <is>
          <t>Soldering</t>
        </is>
      </c>
      <c r="W1176" s="3" t="inlineStr">
        <is>
          <t>Repair</t>
        </is>
      </c>
      <c r="X1176" s="18" t="n">
        <v>46158</v>
      </c>
      <c r="Y1176" s="73">
        <f>IF(X1176="","",X1176-A1176)</f>
        <v/>
      </c>
      <c r="Z1176" s="18" t="n">
        <v>46158</v>
      </c>
      <c r="AA1176" s="15" t="n"/>
      <c r="AB1176" s="15" t="n"/>
      <c r="AF1176">
        <f>IF(AND($F1176="Closed",$X1176&gt;=DATE(2026,5,1),$X1176&lt;=DATE(2026,5,31)),"Closed in May","Other")</f>
        <v/>
      </c>
    </row>
    <row r="1177">
      <c r="A1177" s="6" t="n">
        <v>46107</v>
      </c>
      <c r="B1177" s="3" t="n">
        <v>2026</v>
      </c>
      <c r="C1177" s="3" t="inlineStr">
        <is>
          <t>Blupine Energy</t>
        </is>
      </c>
      <c r="D1177" s="3" t="inlineStr">
        <is>
          <t>Utility and C&amp;I</t>
        </is>
      </c>
      <c r="E1177" s="3" t="n"/>
      <c r="F1177" s="3" t="inlineStr">
        <is>
          <t>Closed</t>
        </is>
      </c>
      <c r="G1177" s="3" t="inlineStr">
        <is>
          <t>Chandrashekar Patidar</t>
        </is>
      </c>
      <c r="H1177" s="3" t="n">
        <v>7879764773</v>
      </c>
      <c r="I1177" s="11" t="inlineStr">
        <is>
          <t>PE26032601</t>
        </is>
      </c>
      <c r="J1177" s="3" t="inlineStr">
        <is>
          <t>Module Diode Failure</t>
        </is>
      </c>
      <c r="K1177" s="3" t="inlineStr">
        <is>
          <t>Sadla</t>
        </is>
      </c>
      <c r="L1177" s="3" t="inlineStr">
        <is>
          <t>Gujarat</t>
        </is>
      </c>
      <c r="M1177" s="9" t="inlineStr">
        <is>
          <t>PS</t>
        </is>
      </c>
      <c r="N1177" s="3" t="inlineStr">
        <is>
          <t>Cold Soldering</t>
        </is>
      </c>
      <c r="O1177" s="3" t="n">
        <v>570</v>
      </c>
      <c r="P1177" s="9" t="inlineStr">
        <is>
          <t>NSMI24060144177</t>
        </is>
      </c>
      <c r="Q1177" s="53">
        <f>MID(P1177,5,2)</f>
        <v/>
      </c>
      <c r="R1177" s="53">
        <f>MID(P1177,7,2)</f>
        <v/>
      </c>
      <c r="S1177" s="3" t="inlineStr">
        <is>
          <t>G2G</t>
        </is>
      </c>
      <c r="T1177" s="3" t="inlineStr">
        <is>
          <t>P4</t>
        </is>
      </c>
      <c r="U1177" s="3" t="inlineStr">
        <is>
          <t>P JB Cold Soldering</t>
        </is>
      </c>
      <c r="V1177" s="3" t="inlineStr">
        <is>
          <t>Soldering</t>
        </is>
      </c>
      <c r="W1177" s="3" t="inlineStr">
        <is>
          <t>Repair</t>
        </is>
      </c>
      <c r="X1177" s="18" t="n">
        <v>46158</v>
      </c>
      <c r="Y1177" s="73">
        <f>IF(X1177="","",X1177-A1177)</f>
        <v/>
      </c>
      <c r="Z1177" s="18" t="n">
        <v>46158</v>
      </c>
      <c r="AA1177" s="15" t="n"/>
      <c r="AB1177" s="15" t="n"/>
      <c r="AF1177">
        <f>IF(AND($F1177="Closed",$X1177&gt;=DATE(2026,5,1),$X1177&lt;=DATE(2026,5,31)),"Closed in May","Other")</f>
        <v/>
      </c>
    </row>
    <row r="1178">
      <c r="A1178" s="6" t="n">
        <v>46107</v>
      </c>
      <c r="B1178" s="3" t="n">
        <v>2026</v>
      </c>
      <c r="C1178" s="3" t="inlineStr">
        <is>
          <t>Blupine Energy</t>
        </is>
      </c>
      <c r="D1178" s="3" t="inlineStr">
        <is>
          <t>Utility and C&amp;I</t>
        </is>
      </c>
      <c r="E1178" s="3" t="n"/>
      <c r="F1178" s="3" t="inlineStr">
        <is>
          <t>Closed</t>
        </is>
      </c>
      <c r="G1178" s="3" t="inlineStr">
        <is>
          <t>Chandrashekar Patidar</t>
        </is>
      </c>
      <c r="H1178" s="3" t="n">
        <v>7879764773</v>
      </c>
      <c r="I1178" s="11" t="inlineStr">
        <is>
          <t>PE26032601</t>
        </is>
      </c>
      <c r="J1178" s="3" t="inlineStr">
        <is>
          <t>Module Diode Failure</t>
        </is>
      </c>
      <c r="K1178" s="3" t="inlineStr">
        <is>
          <t>Sadla</t>
        </is>
      </c>
      <c r="L1178" s="3" t="inlineStr">
        <is>
          <t>Gujarat</t>
        </is>
      </c>
      <c r="M1178" s="9" t="inlineStr">
        <is>
          <t>PS</t>
        </is>
      </c>
      <c r="N1178" s="3" t="inlineStr">
        <is>
          <t>Cold Soldering</t>
        </is>
      </c>
      <c r="O1178" s="3" t="n">
        <v>570</v>
      </c>
      <c r="P1178" s="9" t="inlineStr">
        <is>
          <t>NSMI24060162318</t>
        </is>
      </c>
      <c r="Q1178" s="53">
        <f>MID(P1178,5,2)</f>
        <v/>
      </c>
      <c r="R1178" s="53">
        <f>MID(P1178,7,2)</f>
        <v/>
      </c>
      <c r="S1178" s="3" t="inlineStr">
        <is>
          <t>G2G</t>
        </is>
      </c>
      <c r="T1178" s="3" t="inlineStr">
        <is>
          <t>P4</t>
        </is>
      </c>
      <c r="U1178" s="3" t="inlineStr">
        <is>
          <t>P JB Cold Soldering</t>
        </is>
      </c>
      <c r="V1178" s="3" t="inlineStr">
        <is>
          <t>Soldering</t>
        </is>
      </c>
      <c r="W1178" s="3" t="inlineStr">
        <is>
          <t>Repair</t>
        </is>
      </c>
      <c r="X1178" s="18" t="n">
        <v>46158</v>
      </c>
      <c r="Y1178" s="73">
        <f>IF(X1178="","",X1178-A1178)</f>
        <v/>
      </c>
      <c r="Z1178" s="18" t="n">
        <v>46158</v>
      </c>
      <c r="AA1178" s="15" t="n"/>
      <c r="AB1178" s="15" t="n"/>
      <c r="AF1178">
        <f>IF(AND($F1178="Closed",$X1178&gt;=DATE(2026,5,1),$X1178&lt;=DATE(2026,5,31)),"Closed in May","Other")</f>
        <v/>
      </c>
    </row>
    <row r="1179">
      <c r="A1179" s="6" t="n">
        <v>46107</v>
      </c>
      <c r="B1179" s="3" t="n">
        <v>2026</v>
      </c>
      <c r="C1179" s="3" t="inlineStr">
        <is>
          <t>Blupine Energy</t>
        </is>
      </c>
      <c r="D1179" s="3" t="inlineStr">
        <is>
          <t>Utility and C&amp;I</t>
        </is>
      </c>
      <c r="E1179" s="3" t="n"/>
      <c r="F1179" s="3" t="inlineStr">
        <is>
          <t>Closed</t>
        </is>
      </c>
      <c r="G1179" s="3" t="inlineStr">
        <is>
          <t>Chandrashekar Patidar</t>
        </is>
      </c>
      <c r="H1179" s="3" t="n">
        <v>7879764773</v>
      </c>
      <c r="I1179" s="11" t="inlineStr">
        <is>
          <t>PE26032601</t>
        </is>
      </c>
      <c r="J1179" s="3" t="inlineStr">
        <is>
          <t>Module Diode Failure</t>
        </is>
      </c>
      <c r="K1179" s="3" t="inlineStr">
        <is>
          <t>Sadla</t>
        </is>
      </c>
      <c r="L1179" s="3" t="inlineStr">
        <is>
          <t>Gujarat</t>
        </is>
      </c>
      <c r="M1179" s="9" t="inlineStr">
        <is>
          <t>NS</t>
        </is>
      </c>
      <c r="N1179" s="3" t="inlineStr">
        <is>
          <t>Cold Soldering</t>
        </is>
      </c>
      <c r="O1179" s="3" t="n">
        <v>570</v>
      </c>
      <c r="P1179" s="9" t="inlineStr">
        <is>
          <t>NSMI24060163039</t>
        </is>
      </c>
      <c r="Q1179" s="53">
        <f>MID(P1179,5,2)</f>
        <v/>
      </c>
      <c r="R1179" s="53">
        <f>MID(P1179,7,2)</f>
        <v/>
      </c>
      <c r="S1179" s="3" t="inlineStr">
        <is>
          <t>G2G</t>
        </is>
      </c>
      <c r="T1179" s="3" t="inlineStr">
        <is>
          <t>P4</t>
        </is>
      </c>
      <c r="U1179" s="3" t="inlineStr">
        <is>
          <t>N JB Cold Soldering</t>
        </is>
      </c>
      <c r="V1179" s="3" t="inlineStr">
        <is>
          <t>Soldering</t>
        </is>
      </c>
      <c r="W1179" s="3" t="inlineStr">
        <is>
          <t>Repair</t>
        </is>
      </c>
      <c r="X1179" s="18" t="n">
        <v>46158</v>
      </c>
      <c r="Y1179" s="73">
        <f>IF(X1179="","",X1179-A1179)</f>
        <v/>
      </c>
      <c r="Z1179" s="18" t="n">
        <v>46158</v>
      </c>
      <c r="AA1179" s="15" t="n"/>
      <c r="AB1179" s="15" t="n"/>
      <c r="AF1179">
        <f>IF(AND($F1179="Closed",$X1179&gt;=DATE(2026,5,1),$X1179&lt;=DATE(2026,5,31)),"Closed in May","Other")</f>
        <v/>
      </c>
    </row>
    <row r="1180">
      <c r="A1180" s="6" t="n">
        <v>46107</v>
      </c>
      <c r="B1180" s="3" t="n">
        <v>2026</v>
      </c>
      <c r="C1180" s="3" t="inlineStr">
        <is>
          <t>Blupine Energy</t>
        </is>
      </c>
      <c r="D1180" s="3" t="inlineStr">
        <is>
          <t>Utility and C&amp;I</t>
        </is>
      </c>
      <c r="E1180" s="3" t="n"/>
      <c r="F1180" s="3" t="inlineStr">
        <is>
          <t>Closed</t>
        </is>
      </c>
      <c r="G1180" s="3" t="inlineStr">
        <is>
          <t>Chandrashekar Patidar</t>
        </is>
      </c>
      <c r="H1180" s="3" t="n">
        <v>7879764773</v>
      </c>
      <c r="I1180" s="11" t="inlineStr">
        <is>
          <t>PE26032601</t>
        </is>
      </c>
      <c r="J1180" s="3" t="inlineStr">
        <is>
          <t>Module Diode Failure</t>
        </is>
      </c>
      <c r="K1180" s="3" t="inlineStr">
        <is>
          <t>Sadla</t>
        </is>
      </c>
      <c r="L1180" s="3" t="inlineStr">
        <is>
          <t>Gujarat</t>
        </is>
      </c>
      <c r="M1180" s="9" t="inlineStr">
        <is>
          <t>NS</t>
        </is>
      </c>
      <c r="N1180" s="3" t="inlineStr">
        <is>
          <t>Cold Soldering</t>
        </is>
      </c>
      <c r="O1180" s="3" t="n">
        <v>570</v>
      </c>
      <c r="P1180" s="9" t="inlineStr">
        <is>
          <t>NSMI24060145838</t>
        </is>
      </c>
      <c r="Q1180" s="53">
        <f>MID(P1180,5,2)</f>
        <v/>
      </c>
      <c r="R1180" s="53">
        <f>MID(P1180,7,2)</f>
        <v/>
      </c>
      <c r="S1180" s="3" t="inlineStr">
        <is>
          <t>G2G</t>
        </is>
      </c>
      <c r="T1180" s="3" t="inlineStr">
        <is>
          <t>P4</t>
        </is>
      </c>
      <c r="U1180" s="3" t="inlineStr">
        <is>
          <t>N JB Cold Soldering</t>
        </is>
      </c>
      <c r="V1180" s="3" t="inlineStr">
        <is>
          <t>Soldering</t>
        </is>
      </c>
      <c r="W1180" s="3" t="inlineStr">
        <is>
          <t>Repair</t>
        </is>
      </c>
      <c r="X1180" s="18" t="n">
        <v>46158</v>
      </c>
      <c r="Y1180" s="73">
        <f>IF(X1180="","",X1180-A1180)</f>
        <v/>
      </c>
      <c r="Z1180" s="18" t="n">
        <v>46158</v>
      </c>
      <c r="AA1180" s="15" t="n"/>
      <c r="AB1180" s="15" t="n"/>
      <c r="AF1180">
        <f>IF(AND($F1180="Closed",$X1180&gt;=DATE(2026,5,1),$X1180&lt;=DATE(2026,5,31)),"Closed in May","Other")</f>
        <v/>
      </c>
    </row>
    <row r="1181">
      <c r="A1181" s="6" t="n">
        <v>46107</v>
      </c>
      <c r="B1181" s="3" t="n">
        <v>2026</v>
      </c>
      <c r="C1181" s="3" t="inlineStr">
        <is>
          <t>Blupine Energy</t>
        </is>
      </c>
      <c r="D1181" s="3" t="inlineStr">
        <is>
          <t>Utility and C&amp;I</t>
        </is>
      </c>
      <c r="E1181" s="3" t="n"/>
      <c r="F1181" s="3" t="inlineStr">
        <is>
          <t>Closed</t>
        </is>
      </c>
      <c r="G1181" s="3" t="inlineStr">
        <is>
          <t>Chandrashekar Patidar</t>
        </is>
      </c>
      <c r="H1181" s="3" t="n">
        <v>7879764773</v>
      </c>
      <c r="I1181" s="11" t="inlineStr">
        <is>
          <t>PE26032601</t>
        </is>
      </c>
      <c r="J1181" s="3" t="inlineStr">
        <is>
          <t>Module Diode Failure</t>
        </is>
      </c>
      <c r="K1181" s="3" t="inlineStr">
        <is>
          <t>Sadla</t>
        </is>
      </c>
      <c r="L1181" s="3" t="inlineStr">
        <is>
          <t>Gujarat</t>
        </is>
      </c>
      <c r="M1181" s="9" t="inlineStr">
        <is>
          <t>NS</t>
        </is>
      </c>
      <c r="N1181" s="3" t="inlineStr">
        <is>
          <t>Cold Soldering</t>
        </is>
      </c>
      <c r="O1181" s="3" t="n">
        <v>570</v>
      </c>
      <c r="P1181" s="9" t="inlineStr">
        <is>
          <t>NSMI24060151087</t>
        </is>
      </c>
      <c r="Q1181" s="53">
        <f>MID(P1181,5,2)</f>
        <v/>
      </c>
      <c r="R1181" s="53">
        <f>MID(P1181,7,2)</f>
        <v/>
      </c>
      <c r="S1181" s="3" t="inlineStr">
        <is>
          <t>G2G</t>
        </is>
      </c>
      <c r="T1181" s="3" t="inlineStr">
        <is>
          <t>P4</t>
        </is>
      </c>
      <c r="U1181" s="3" t="inlineStr">
        <is>
          <t>N JB Cold Soldering</t>
        </is>
      </c>
      <c r="V1181" s="3" t="inlineStr">
        <is>
          <t>Soldering</t>
        </is>
      </c>
      <c r="W1181" s="3" t="inlineStr">
        <is>
          <t>Repair</t>
        </is>
      </c>
      <c r="X1181" s="18" t="n">
        <v>46158</v>
      </c>
      <c r="Y1181" s="73">
        <f>IF(X1181="","",X1181-A1181)</f>
        <v/>
      </c>
      <c r="Z1181" s="18" t="n">
        <v>46158</v>
      </c>
      <c r="AA1181" s="15" t="n"/>
      <c r="AB1181" s="15" t="n"/>
      <c r="AF1181">
        <f>IF(AND($F1181="Closed",$X1181&gt;=DATE(2026,5,1),$X1181&lt;=DATE(2026,5,31)),"Closed in May","Other")</f>
        <v/>
      </c>
    </row>
    <row r="1182">
      <c r="A1182" s="6" t="n">
        <v>46107</v>
      </c>
      <c r="B1182" s="3" t="n">
        <v>2026</v>
      </c>
      <c r="C1182" s="3" t="inlineStr">
        <is>
          <t>Blupine Energy</t>
        </is>
      </c>
      <c r="D1182" s="3" t="inlineStr">
        <is>
          <t>Utility and C&amp;I</t>
        </is>
      </c>
      <c r="E1182" s="3" t="n"/>
      <c r="F1182" s="3" t="inlineStr">
        <is>
          <t>Closed</t>
        </is>
      </c>
      <c r="G1182" s="3" t="inlineStr">
        <is>
          <t>Chandrashekar Patidar</t>
        </is>
      </c>
      <c r="H1182" s="3" t="n">
        <v>7879764773</v>
      </c>
      <c r="I1182" s="11" t="inlineStr">
        <is>
          <t>PE26032601</t>
        </is>
      </c>
      <c r="J1182" s="3" t="inlineStr">
        <is>
          <t>Module Diode Failure</t>
        </is>
      </c>
      <c r="K1182" s="3" t="inlineStr">
        <is>
          <t>Sadla</t>
        </is>
      </c>
      <c r="L1182" s="3" t="inlineStr">
        <is>
          <t>Gujarat</t>
        </is>
      </c>
      <c r="M1182" s="9" t="inlineStr">
        <is>
          <t>NS</t>
        </is>
      </c>
      <c r="N1182" s="3" t="inlineStr">
        <is>
          <t>Cold Soldering</t>
        </is>
      </c>
      <c r="O1182" s="3" t="n">
        <v>570</v>
      </c>
      <c r="P1182" s="9" t="inlineStr">
        <is>
          <t>NSMI24060145983</t>
        </is>
      </c>
      <c r="Q1182" s="53">
        <f>MID(P1182,5,2)</f>
        <v/>
      </c>
      <c r="R1182" s="53">
        <f>MID(P1182,7,2)</f>
        <v/>
      </c>
      <c r="S1182" s="3" t="inlineStr">
        <is>
          <t>G2G</t>
        </is>
      </c>
      <c r="T1182" s="3" t="inlineStr">
        <is>
          <t>P4</t>
        </is>
      </c>
      <c r="U1182" s="3" t="inlineStr">
        <is>
          <t>N JB Cold Soldering &amp; Glass Breakage</t>
        </is>
      </c>
      <c r="V1182" s="3" t="inlineStr">
        <is>
          <t>Soldering</t>
        </is>
      </c>
      <c r="W1182" s="3" t="inlineStr">
        <is>
          <t>Repair</t>
        </is>
      </c>
      <c r="X1182" s="18" t="n">
        <v>46158</v>
      </c>
      <c r="Y1182" s="73">
        <f>IF(X1182="","",X1182-A1182)</f>
        <v/>
      </c>
      <c r="Z1182" s="18" t="n">
        <v>46158</v>
      </c>
      <c r="AA1182" s="15" t="n"/>
      <c r="AB1182" s="15" t="n"/>
      <c r="AF1182">
        <f>IF(AND($F1182="Closed",$X1182&gt;=DATE(2026,5,1),$X1182&lt;=DATE(2026,5,31)),"Closed in May","Other")</f>
        <v/>
      </c>
    </row>
    <row r="1183">
      <c r="A1183" s="6" t="n">
        <v>46107</v>
      </c>
      <c r="B1183" s="3" t="n">
        <v>2026</v>
      </c>
      <c r="C1183" s="3" t="inlineStr">
        <is>
          <t>Blupine Energy</t>
        </is>
      </c>
      <c r="D1183" s="3" t="inlineStr">
        <is>
          <t>Utility and C&amp;I</t>
        </is>
      </c>
      <c r="E1183" s="3" t="n"/>
      <c r="F1183" s="3" t="inlineStr">
        <is>
          <t>Closed</t>
        </is>
      </c>
      <c r="G1183" s="3" t="inlineStr">
        <is>
          <t>Chandrashekar Patidar</t>
        </is>
      </c>
      <c r="H1183" s="3" t="n">
        <v>7879764773</v>
      </c>
      <c r="I1183" s="11" t="inlineStr">
        <is>
          <t>PE26032601</t>
        </is>
      </c>
      <c r="J1183" s="3" t="inlineStr">
        <is>
          <t>Module Diode Failure</t>
        </is>
      </c>
      <c r="K1183" s="3" t="inlineStr">
        <is>
          <t>Sadla</t>
        </is>
      </c>
      <c r="L1183" s="3" t="inlineStr">
        <is>
          <t>Gujarat</t>
        </is>
      </c>
      <c r="M1183" s="9" t="inlineStr">
        <is>
          <t>PS</t>
        </is>
      </c>
      <c r="N1183" s="3" t="inlineStr">
        <is>
          <t>Cold Soldering</t>
        </is>
      </c>
      <c r="O1183" s="3" t="n">
        <v>570</v>
      </c>
      <c r="P1183" s="9" t="inlineStr">
        <is>
          <t>NSMI24060145754</t>
        </is>
      </c>
      <c r="Q1183" s="53">
        <f>MID(P1183,5,2)</f>
        <v/>
      </c>
      <c r="R1183" s="53">
        <f>MID(P1183,7,2)</f>
        <v/>
      </c>
      <c r="S1183" s="3" t="inlineStr">
        <is>
          <t>G2G</t>
        </is>
      </c>
      <c r="T1183" s="3" t="inlineStr">
        <is>
          <t>P4</t>
        </is>
      </c>
      <c r="U1183" s="3" t="inlineStr">
        <is>
          <t>P JB Cold Soldering</t>
        </is>
      </c>
      <c r="V1183" s="3" t="inlineStr">
        <is>
          <t>Soldering</t>
        </is>
      </c>
      <c r="W1183" s="3" t="inlineStr">
        <is>
          <t>Repair</t>
        </is>
      </c>
      <c r="X1183" s="18" t="n">
        <v>46158</v>
      </c>
      <c r="Y1183" s="73">
        <f>IF(X1183="","",X1183-A1183)</f>
        <v/>
      </c>
      <c r="Z1183" s="18" t="n">
        <v>46158</v>
      </c>
      <c r="AA1183" s="15" t="n"/>
      <c r="AB1183" s="15" t="n"/>
      <c r="AF1183">
        <f>IF(AND($F1183="Closed",$X1183&gt;=DATE(2026,5,1),$X1183&lt;=DATE(2026,5,31)),"Closed in May","Other")</f>
        <v/>
      </c>
    </row>
    <row r="1184">
      <c r="A1184" s="6" t="n">
        <v>46107</v>
      </c>
      <c r="B1184" s="3" t="n">
        <v>2026</v>
      </c>
      <c r="C1184" s="3" t="inlineStr">
        <is>
          <t>Blupine Energy</t>
        </is>
      </c>
      <c r="D1184" s="3" t="inlineStr">
        <is>
          <t>Utility and C&amp;I</t>
        </is>
      </c>
      <c r="E1184" s="3" t="n"/>
      <c r="F1184" s="3" t="inlineStr">
        <is>
          <t>Closed</t>
        </is>
      </c>
      <c r="G1184" s="3" t="inlineStr">
        <is>
          <t>Chandrashekar Patidar</t>
        </is>
      </c>
      <c r="H1184" s="3" t="n">
        <v>7879764773</v>
      </c>
      <c r="I1184" s="11" t="inlineStr">
        <is>
          <t>PE26032601</t>
        </is>
      </c>
      <c r="J1184" s="3" t="inlineStr">
        <is>
          <t>Module Diode Failure</t>
        </is>
      </c>
      <c r="K1184" s="3" t="inlineStr">
        <is>
          <t>Sadla</t>
        </is>
      </c>
      <c r="L1184" s="3" t="inlineStr">
        <is>
          <t>Gujarat</t>
        </is>
      </c>
      <c r="M1184" s="9" t="inlineStr">
        <is>
          <t>NS</t>
        </is>
      </c>
      <c r="N1184" s="3" t="inlineStr">
        <is>
          <t>Cold Soldering</t>
        </is>
      </c>
      <c r="O1184" s="3" t="n">
        <v>570</v>
      </c>
      <c r="P1184" s="9" t="inlineStr">
        <is>
          <t>NSMI24060156209</t>
        </is>
      </c>
      <c r="Q1184" s="53">
        <f>MID(P1184,5,2)</f>
        <v/>
      </c>
      <c r="R1184" s="53">
        <f>MID(P1184,7,2)</f>
        <v/>
      </c>
      <c r="S1184" s="3" t="inlineStr">
        <is>
          <t>G2G</t>
        </is>
      </c>
      <c r="T1184" s="3" t="inlineStr">
        <is>
          <t>P4</t>
        </is>
      </c>
      <c r="U1184" s="3" t="inlineStr">
        <is>
          <t>N JB Cold Soldering</t>
        </is>
      </c>
      <c r="V1184" s="3" t="inlineStr">
        <is>
          <t>Soldering</t>
        </is>
      </c>
      <c r="W1184" s="3" t="inlineStr">
        <is>
          <t>Repair</t>
        </is>
      </c>
      <c r="X1184" s="18" t="n">
        <v>46158</v>
      </c>
      <c r="Y1184" s="73">
        <f>IF(X1184="","",X1184-A1184)</f>
        <v/>
      </c>
      <c r="Z1184" s="18" t="n">
        <v>46158</v>
      </c>
      <c r="AA1184" s="15" t="n"/>
      <c r="AB1184" s="15" t="n"/>
      <c r="AF1184">
        <f>IF(AND($F1184="Closed",$X1184&gt;=DATE(2026,5,1),$X1184&lt;=DATE(2026,5,31)),"Closed in May","Other")</f>
        <v/>
      </c>
    </row>
    <row r="1185">
      <c r="A1185" s="6" t="n">
        <v>46107</v>
      </c>
      <c r="B1185" s="3" t="n">
        <v>2026</v>
      </c>
      <c r="C1185" s="3" t="inlineStr">
        <is>
          <t>Blupine Energy</t>
        </is>
      </c>
      <c r="D1185" s="3" t="inlineStr">
        <is>
          <t>Utility and C&amp;I</t>
        </is>
      </c>
      <c r="E1185" s="3" t="n"/>
      <c r="F1185" s="3" t="inlineStr">
        <is>
          <t>Closed</t>
        </is>
      </c>
      <c r="G1185" s="3" t="inlineStr">
        <is>
          <t>Chandrashekar Patidar</t>
        </is>
      </c>
      <c r="H1185" s="3" t="n">
        <v>7879764773</v>
      </c>
      <c r="I1185" s="11" t="inlineStr">
        <is>
          <t>PE26032601</t>
        </is>
      </c>
      <c r="J1185" s="3" t="inlineStr">
        <is>
          <t>Module Diode Failure</t>
        </is>
      </c>
      <c r="K1185" s="3" t="inlineStr">
        <is>
          <t>Sadla</t>
        </is>
      </c>
      <c r="L1185" s="3" t="inlineStr">
        <is>
          <t>Gujarat</t>
        </is>
      </c>
      <c r="M1185" s="9" t="inlineStr">
        <is>
          <t>PR</t>
        </is>
      </c>
      <c r="N1185" s="3" t="inlineStr">
        <is>
          <t>JB Issue</t>
        </is>
      </c>
      <c r="O1185" s="3" t="n">
        <v>570</v>
      </c>
      <c r="P1185" s="9" t="inlineStr">
        <is>
          <t>NSMI24060159804</t>
        </is>
      </c>
      <c r="Q1185" s="53">
        <f>MID(P1185,5,2)</f>
        <v/>
      </c>
      <c r="R1185" s="53">
        <f>MID(P1185,7,2)</f>
        <v/>
      </c>
      <c r="S1185" s="3" t="inlineStr">
        <is>
          <t>G2G</t>
        </is>
      </c>
      <c r="T1185" s="3" t="inlineStr">
        <is>
          <t>P4</t>
        </is>
      </c>
      <c r="U1185" s="3" t="inlineStr">
        <is>
          <t>P JB Issue</t>
        </is>
      </c>
      <c r="V1185" s="15" t="inlineStr">
        <is>
          <t>JB Changed</t>
        </is>
      </c>
      <c r="W1185" s="3" t="inlineStr">
        <is>
          <t>Repair</t>
        </is>
      </c>
      <c r="X1185" s="18" t="n">
        <v>46158</v>
      </c>
      <c r="Y1185" s="73">
        <f>IF(X1185="","",X1185-A1185)</f>
        <v/>
      </c>
      <c r="Z1185" s="18" t="n">
        <v>46158</v>
      </c>
      <c r="AA1185" s="15" t="n"/>
      <c r="AB1185" s="15" t="n"/>
      <c r="AF1185">
        <f>IF(AND($F1185="Closed",$X1185&gt;=DATE(2026,5,1),$X1185&lt;=DATE(2026,5,31)),"Closed in May","Other")</f>
        <v/>
      </c>
    </row>
    <row r="1186">
      <c r="A1186" s="6" t="n">
        <v>46107</v>
      </c>
      <c r="B1186" s="3" t="n">
        <v>2026</v>
      </c>
      <c r="C1186" s="3" t="inlineStr">
        <is>
          <t>Blupine Energy</t>
        </is>
      </c>
      <c r="D1186" s="3" t="inlineStr">
        <is>
          <t>Utility and C&amp;I</t>
        </is>
      </c>
      <c r="E1186" s="3" t="n"/>
      <c r="F1186" s="3" t="inlineStr">
        <is>
          <t>Closed</t>
        </is>
      </c>
      <c r="G1186" s="3" t="inlineStr">
        <is>
          <t>Chandrashekar Patidar</t>
        </is>
      </c>
      <c r="H1186" s="3" t="n">
        <v>7879764773</v>
      </c>
      <c r="I1186" s="11" t="inlineStr">
        <is>
          <t>PE26032601</t>
        </is>
      </c>
      <c r="J1186" s="3" t="inlineStr">
        <is>
          <t>Module Diode Failure</t>
        </is>
      </c>
      <c r="K1186" s="3" t="inlineStr">
        <is>
          <t>Sadla</t>
        </is>
      </c>
      <c r="L1186" s="3" t="inlineStr">
        <is>
          <t>Gujarat</t>
        </is>
      </c>
      <c r="M1186" s="9" t="inlineStr">
        <is>
          <t>NS</t>
        </is>
      </c>
      <c r="N1186" s="3" t="inlineStr">
        <is>
          <t>Cold Soldering</t>
        </is>
      </c>
      <c r="O1186" s="3" t="n">
        <v>570</v>
      </c>
      <c r="P1186" s="9" t="inlineStr">
        <is>
          <t>NSMI24060153744</t>
        </is>
      </c>
      <c r="Q1186" s="53">
        <f>MID(P1186,5,2)</f>
        <v/>
      </c>
      <c r="R1186" s="53">
        <f>MID(P1186,7,2)</f>
        <v/>
      </c>
      <c r="S1186" s="3" t="inlineStr">
        <is>
          <t>G2G</t>
        </is>
      </c>
      <c r="T1186" s="3" t="inlineStr">
        <is>
          <t>P4</t>
        </is>
      </c>
      <c r="U1186" s="3" t="inlineStr">
        <is>
          <t>N JB Cold Soldering</t>
        </is>
      </c>
      <c r="V1186" s="3" t="inlineStr">
        <is>
          <t>Soldering</t>
        </is>
      </c>
      <c r="W1186" s="3" t="inlineStr">
        <is>
          <t>Repair</t>
        </is>
      </c>
      <c r="X1186" s="18" t="n">
        <v>46158</v>
      </c>
      <c r="Y1186" s="73">
        <f>IF(X1186="","",X1186-A1186)</f>
        <v/>
      </c>
      <c r="Z1186" s="18" t="n">
        <v>46158</v>
      </c>
      <c r="AA1186" s="15" t="n"/>
      <c r="AB1186" s="15" t="n"/>
      <c r="AF1186">
        <f>IF(AND($F1186="Closed",$X1186&gt;=DATE(2026,5,1),$X1186&lt;=DATE(2026,5,31)),"Closed in May","Other")</f>
        <v/>
      </c>
    </row>
    <row r="1187">
      <c r="A1187" s="6" t="n">
        <v>46107</v>
      </c>
      <c r="B1187" s="3" t="n">
        <v>2026</v>
      </c>
      <c r="C1187" s="3" t="inlineStr">
        <is>
          <t>Blupine Energy</t>
        </is>
      </c>
      <c r="D1187" s="3" t="inlineStr">
        <is>
          <t>Utility and C&amp;I</t>
        </is>
      </c>
      <c r="E1187" s="3" t="n"/>
      <c r="F1187" s="3" t="inlineStr">
        <is>
          <t>Closed</t>
        </is>
      </c>
      <c r="G1187" s="3" t="inlineStr">
        <is>
          <t>Chandrashekar Patidar</t>
        </is>
      </c>
      <c r="H1187" s="3" t="n">
        <v>7879764773</v>
      </c>
      <c r="I1187" s="11" t="inlineStr">
        <is>
          <t>PE26032601</t>
        </is>
      </c>
      <c r="J1187" s="3" t="inlineStr">
        <is>
          <t>Module Diode Failure</t>
        </is>
      </c>
      <c r="K1187" s="3" t="inlineStr">
        <is>
          <t>Sadla</t>
        </is>
      </c>
      <c r="L1187" s="3" t="inlineStr">
        <is>
          <t>Gujarat</t>
        </is>
      </c>
      <c r="M1187" s="9" t="inlineStr">
        <is>
          <t>NS</t>
        </is>
      </c>
      <c r="N1187" s="3" t="inlineStr">
        <is>
          <t>Cold Soldering</t>
        </is>
      </c>
      <c r="O1187" s="3" t="n">
        <v>570</v>
      </c>
      <c r="P1187" s="9" t="inlineStr">
        <is>
          <t>NSMI24060159370</t>
        </is>
      </c>
      <c r="Q1187" s="53">
        <f>MID(P1187,5,2)</f>
        <v/>
      </c>
      <c r="R1187" s="53">
        <f>MID(P1187,7,2)</f>
        <v/>
      </c>
      <c r="S1187" s="3" t="inlineStr">
        <is>
          <t>G2G</t>
        </is>
      </c>
      <c r="T1187" s="3" t="inlineStr">
        <is>
          <t>P4</t>
        </is>
      </c>
      <c r="U1187" s="3" t="inlineStr">
        <is>
          <t>N JB Cold Soldering</t>
        </is>
      </c>
      <c r="V1187" s="3" t="inlineStr">
        <is>
          <t>Soldering</t>
        </is>
      </c>
      <c r="W1187" s="3" t="inlineStr">
        <is>
          <t>Repair</t>
        </is>
      </c>
      <c r="X1187" s="18" t="n">
        <v>46158</v>
      </c>
      <c r="Y1187" s="73">
        <f>IF(X1187="","",X1187-A1187)</f>
        <v/>
      </c>
      <c r="Z1187" s="18" t="n">
        <v>46158</v>
      </c>
      <c r="AA1187" s="15" t="n"/>
      <c r="AB1187" s="15" t="n"/>
      <c r="AF1187">
        <f>IF(AND($F1187="Closed",$X1187&gt;=DATE(2026,5,1),$X1187&lt;=DATE(2026,5,31)),"Closed in May","Other")</f>
        <v/>
      </c>
    </row>
    <row r="1188">
      <c r="A1188" s="6" t="n">
        <v>46107</v>
      </c>
      <c r="B1188" s="3" t="n">
        <v>2026</v>
      </c>
      <c r="C1188" s="3" t="inlineStr">
        <is>
          <t>Blupine Energy</t>
        </is>
      </c>
      <c r="D1188" s="3" t="inlineStr">
        <is>
          <t>Utility and C&amp;I</t>
        </is>
      </c>
      <c r="E1188" s="3" t="n"/>
      <c r="F1188" s="3" t="inlineStr">
        <is>
          <t>Closed</t>
        </is>
      </c>
      <c r="G1188" s="3" t="inlineStr">
        <is>
          <t>Chandrashekar Patidar</t>
        </is>
      </c>
      <c r="H1188" s="3" t="n">
        <v>7879764773</v>
      </c>
      <c r="I1188" s="11" t="inlineStr">
        <is>
          <t>PE26032601</t>
        </is>
      </c>
      <c r="J1188" s="3" t="inlineStr">
        <is>
          <t>Module Diode Failure</t>
        </is>
      </c>
      <c r="K1188" s="3" t="inlineStr">
        <is>
          <t>Sadla</t>
        </is>
      </c>
      <c r="L1188" s="3" t="inlineStr">
        <is>
          <t>Gujarat</t>
        </is>
      </c>
      <c r="M1188" s="9" t="inlineStr">
        <is>
          <t>NS</t>
        </is>
      </c>
      <c r="N1188" s="3" t="inlineStr">
        <is>
          <t>Cold Soldering</t>
        </is>
      </c>
      <c r="O1188" s="3" t="n">
        <v>570</v>
      </c>
      <c r="P1188" s="9" t="inlineStr">
        <is>
          <t>NSMI24060161072</t>
        </is>
      </c>
      <c r="Q1188" s="53">
        <f>MID(P1188,5,2)</f>
        <v/>
      </c>
      <c r="R1188" s="53">
        <f>MID(P1188,7,2)</f>
        <v/>
      </c>
      <c r="S1188" s="3" t="inlineStr">
        <is>
          <t>G2G</t>
        </is>
      </c>
      <c r="T1188" s="3" t="inlineStr">
        <is>
          <t>P4</t>
        </is>
      </c>
      <c r="U1188" s="3" t="inlineStr">
        <is>
          <t>N JB Cold Soldering</t>
        </is>
      </c>
      <c r="V1188" s="3" t="inlineStr">
        <is>
          <t>Soldering</t>
        </is>
      </c>
      <c r="W1188" s="3" t="inlineStr">
        <is>
          <t>Repair</t>
        </is>
      </c>
      <c r="X1188" s="18" t="n">
        <v>46158</v>
      </c>
      <c r="Y1188" s="73">
        <f>IF(X1188="","",X1188-A1188)</f>
        <v/>
      </c>
      <c r="Z1188" s="18" t="n">
        <v>46158</v>
      </c>
      <c r="AA1188" s="15" t="n"/>
      <c r="AB1188" s="15" t="n"/>
      <c r="AF1188">
        <f>IF(AND($F1188="Closed",$X1188&gt;=DATE(2026,5,1),$X1188&lt;=DATE(2026,5,31)),"Closed in May","Other")</f>
        <v/>
      </c>
    </row>
    <row r="1189">
      <c r="A1189" s="6" t="n">
        <v>46107</v>
      </c>
      <c r="B1189" s="3" t="n">
        <v>2026</v>
      </c>
      <c r="C1189" s="3" t="inlineStr">
        <is>
          <t>Blupine Energy</t>
        </is>
      </c>
      <c r="D1189" s="3" t="inlineStr">
        <is>
          <t>Utility and C&amp;I</t>
        </is>
      </c>
      <c r="E1189" s="3" t="n"/>
      <c r="F1189" s="3" t="inlineStr">
        <is>
          <t>Closed</t>
        </is>
      </c>
      <c r="G1189" s="3" t="inlineStr">
        <is>
          <t>Chandrashekar Patidar</t>
        </is>
      </c>
      <c r="H1189" s="3" t="n">
        <v>7879764773</v>
      </c>
      <c r="I1189" s="11" t="inlineStr">
        <is>
          <t>PE26032601</t>
        </is>
      </c>
      <c r="J1189" s="3" t="inlineStr">
        <is>
          <t>Module Diode Failure</t>
        </is>
      </c>
      <c r="K1189" s="3" t="inlineStr">
        <is>
          <t>Sadla</t>
        </is>
      </c>
      <c r="L1189" s="3" t="inlineStr">
        <is>
          <t>Gujarat</t>
        </is>
      </c>
      <c r="M1189" s="9" t="inlineStr">
        <is>
          <t>NS</t>
        </is>
      </c>
      <c r="N1189" s="3" t="inlineStr">
        <is>
          <t>Cold Soldering</t>
        </is>
      </c>
      <c r="O1189" s="3" t="n">
        <v>570</v>
      </c>
      <c r="P1189" s="9" t="inlineStr">
        <is>
          <t>NSMI24060160896</t>
        </is>
      </c>
      <c r="Q1189" s="53">
        <f>MID(P1189,5,2)</f>
        <v/>
      </c>
      <c r="R1189" s="53">
        <f>MID(P1189,7,2)</f>
        <v/>
      </c>
      <c r="S1189" s="3" t="inlineStr">
        <is>
          <t>G2G</t>
        </is>
      </c>
      <c r="T1189" s="3" t="inlineStr">
        <is>
          <t>P4</t>
        </is>
      </c>
      <c r="U1189" s="3" t="inlineStr">
        <is>
          <t>N JB Cold Soldering</t>
        </is>
      </c>
      <c r="V1189" s="3" t="inlineStr">
        <is>
          <t>Soldering</t>
        </is>
      </c>
      <c r="W1189" s="3" t="inlineStr">
        <is>
          <t>Repair</t>
        </is>
      </c>
      <c r="X1189" s="18" t="n">
        <v>46158</v>
      </c>
      <c r="Y1189" s="73">
        <f>IF(X1189="","",X1189-A1189)</f>
        <v/>
      </c>
      <c r="Z1189" s="18" t="n">
        <v>46158</v>
      </c>
      <c r="AA1189" s="15" t="n"/>
      <c r="AB1189" s="15" t="n"/>
      <c r="AF1189">
        <f>IF(AND($F1189="Closed",$X1189&gt;=DATE(2026,5,1),$X1189&lt;=DATE(2026,5,31)),"Closed in May","Other")</f>
        <v/>
      </c>
    </row>
    <row r="1190">
      <c r="A1190" s="6" t="n">
        <v>46107</v>
      </c>
      <c r="B1190" s="3" t="n">
        <v>2026</v>
      </c>
      <c r="C1190" s="3" t="inlineStr">
        <is>
          <t>Blupine Energy</t>
        </is>
      </c>
      <c r="D1190" s="3" t="inlineStr">
        <is>
          <t>Utility and C&amp;I</t>
        </is>
      </c>
      <c r="E1190" s="3" t="n"/>
      <c r="F1190" s="3" t="inlineStr">
        <is>
          <t>Closed</t>
        </is>
      </c>
      <c r="G1190" s="3" t="inlineStr">
        <is>
          <t>Chandrashekar Patidar</t>
        </is>
      </c>
      <c r="H1190" s="3" t="n">
        <v>7879764773</v>
      </c>
      <c r="I1190" s="11" t="inlineStr">
        <is>
          <t>PE26032601</t>
        </is>
      </c>
      <c r="J1190" s="3" t="inlineStr">
        <is>
          <t>Module Diode Failure</t>
        </is>
      </c>
      <c r="K1190" s="3" t="inlineStr">
        <is>
          <t>Sadla</t>
        </is>
      </c>
      <c r="L1190" s="3" t="inlineStr">
        <is>
          <t>Gujarat</t>
        </is>
      </c>
      <c r="M1190" s="9" t="inlineStr">
        <is>
          <t>NS</t>
        </is>
      </c>
      <c r="N1190" s="3" t="inlineStr">
        <is>
          <t>Cold Soldering</t>
        </is>
      </c>
      <c r="O1190" s="3" t="n">
        <v>570</v>
      </c>
      <c r="P1190" s="9" t="inlineStr">
        <is>
          <t>NSMI24060160877</t>
        </is>
      </c>
      <c r="Q1190" s="53">
        <f>MID(P1190,5,2)</f>
        <v/>
      </c>
      <c r="R1190" s="53">
        <f>MID(P1190,7,2)</f>
        <v/>
      </c>
      <c r="S1190" s="3" t="inlineStr">
        <is>
          <t>G2G</t>
        </is>
      </c>
      <c r="T1190" s="3" t="inlineStr">
        <is>
          <t>P4</t>
        </is>
      </c>
      <c r="U1190" s="3" t="inlineStr">
        <is>
          <t>N JB Cold Soldering</t>
        </is>
      </c>
      <c r="V1190" s="3" t="inlineStr">
        <is>
          <t>Soldering</t>
        </is>
      </c>
      <c r="W1190" s="3" t="inlineStr">
        <is>
          <t>Repair</t>
        </is>
      </c>
      <c r="X1190" s="18" t="n">
        <v>46158</v>
      </c>
      <c r="Y1190" s="73">
        <f>IF(X1190="","",X1190-A1190)</f>
        <v/>
      </c>
      <c r="Z1190" s="18" t="n">
        <v>46158</v>
      </c>
      <c r="AA1190" s="15" t="n"/>
      <c r="AB1190" s="15" t="n"/>
      <c r="AF1190">
        <f>IF(AND($F1190="Closed",$X1190&gt;=DATE(2026,5,1),$X1190&lt;=DATE(2026,5,31)),"Closed in May","Other")</f>
        <v/>
      </c>
    </row>
    <row r="1191">
      <c r="A1191" s="6" t="n">
        <v>46107</v>
      </c>
      <c r="B1191" s="3" t="n">
        <v>2026</v>
      </c>
      <c r="C1191" s="3" t="inlineStr">
        <is>
          <t>Blupine Energy</t>
        </is>
      </c>
      <c r="D1191" s="3" t="inlineStr">
        <is>
          <t>Utility and C&amp;I</t>
        </is>
      </c>
      <c r="E1191" s="3" t="n"/>
      <c r="F1191" s="3" t="inlineStr">
        <is>
          <t>Closed</t>
        </is>
      </c>
      <c r="G1191" s="3" t="inlineStr">
        <is>
          <t>Chandrashekar Patidar</t>
        </is>
      </c>
      <c r="H1191" s="3" t="n">
        <v>7879764773</v>
      </c>
      <c r="I1191" s="11" t="inlineStr">
        <is>
          <t>PE26032601</t>
        </is>
      </c>
      <c r="J1191" s="3" t="inlineStr">
        <is>
          <t>Module Diode Failure</t>
        </is>
      </c>
      <c r="K1191" s="3" t="inlineStr">
        <is>
          <t>Sadla</t>
        </is>
      </c>
      <c r="L1191" s="3" t="inlineStr">
        <is>
          <t>Gujarat</t>
        </is>
      </c>
      <c r="M1191" s="9" t="inlineStr">
        <is>
          <t>NS</t>
        </is>
      </c>
      <c r="N1191" s="3" t="inlineStr">
        <is>
          <t>Cold Soldering</t>
        </is>
      </c>
      <c r="O1191" s="3" t="n">
        <v>570</v>
      </c>
      <c r="P1191" s="9" t="inlineStr">
        <is>
          <t>NSMI24060160865</t>
        </is>
      </c>
      <c r="Q1191" s="53">
        <f>MID(P1191,5,2)</f>
        <v/>
      </c>
      <c r="R1191" s="53">
        <f>MID(P1191,7,2)</f>
        <v/>
      </c>
      <c r="S1191" s="3" t="inlineStr">
        <is>
          <t>G2G</t>
        </is>
      </c>
      <c r="T1191" s="3" t="inlineStr">
        <is>
          <t>P4</t>
        </is>
      </c>
      <c r="U1191" s="3" t="inlineStr">
        <is>
          <t>N JB Cold Soldering</t>
        </is>
      </c>
      <c r="V1191" s="3" t="inlineStr">
        <is>
          <t>Soldering</t>
        </is>
      </c>
      <c r="W1191" s="3" t="inlineStr">
        <is>
          <t>Repair</t>
        </is>
      </c>
      <c r="X1191" s="18" t="n">
        <v>46158</v>
      </c>
      <c r="Y1191" s="73">
        <f>IF(X1191="","",X1191-A1191)</f>
        <v/>
      </c>
      <c r="Z1191" s="18" t="n">
        <v>46158</v>
      </c>
      <c r="AA1191" s="15" t="n"/>
      <c r="AB1191" s="15" t="n"/>
      <c r="AF1191">
        <f>IF(AND($F1191="Closed",$X1191&gt;=DATE(2026,5,1),$X1191&lt;=DATE(2026,5,31)),"Closed in May","Other")</f>
        <v/>
      </c>
    </row>
    <row r="1192">
      <c r="A1192" s="6" t="n">
        <v>46107</v>
      </c>
      <c r="B1192" s="3" t="n">
        <v>2026</v>
      </c>
      <c r="C1192" s="3" t="inlineStr">
        <is>
          <t>Blupine Energy</t>
        </is>
      </c>
      <c r="D1192" s="3" t="inlineStr">
        <is>
          <t>Utility and C&amp;I</t>
        </is>
      </c>
      <c r="E1192" s="3" t="n"/>
      <c r="F1192" s="3" t="inlineStr">
        <is>
          <t>Closed</t>
        </is>
      </c>
      <c r="G1192" s="3" t="inlineStr">
        <is>
          <t>Chandrashekar Patidar</t>
        </is>
      </c>
      <c r="H1192" s="3" t="n">
        <v>7879764773</v>
      </c>
      <c r="I1192" s="11" t="inlineStr">
        <is>
          <t>PE26032601</t>
        </is>
      </c>
      <c r="J1192" s="3" t="inlineStr">
        <is>
          <t>Module Diode Failure</t>
        </is>
      </c>
      <c r="K1192" s="3" t="inlineStr">
        <is>
          <t>Sadla</t>
        </is>
      </c>
      <c r="L1192" s="3" t="inlineStr">
        <is>
          <t>Gujarat</t>
        </is>
      </c>
      <c r="M1192" s="9" t="inlineStr">
        <is>
          <t>PS</t>
        </is>
      </c>
      <c r="N1192" s="3" t="inlineStr">
        <is>
          <t>Cold Soldering</t>
        </is>
      </c>
      <c r="O1192" s="3" t="n">
        <v>570</v>
      </c>
      <c r="P1192" s="9" t="inlineStr">
        <is>
          <t>NSMI24060147105</t>
        </is>
      </c>
      <c r="Q1192" s="53">
        <f>MID(P1192,5,2)</f>
        <v/>
      </c>
      <c r="R1192" s="53">
        <f>MID(P1192,7,2)</f>
        <v/>
      </c>
      <c r="S1192" s="3" t="inlineStr">
        <is>
          <t>G2G</t>
        </is>
      </c>
      <c r="T1192" s="3" t="inlineStr">
        <is>
          <t>P4</t>
        </is>
      </c>
      <c r="U1192" s="3" t="inlineStr">
        <is>
          <t>P JB Cold Soldering</t>
        </is>
      </c>
      <c r="V1192" s="3" t="inlineStr">
        <is>
          <t>Soldering</t>
        </is>
      </c>
      <c r="W1192" s="3" t="inlineStr">
        <is>
          <t>Repair</t>
        </is>
      </c>
      <c r="X1192" s="18" t="n">
        <v>46158</v>
      </c>
      <c r="Y1192" s="73">
        <f>IF(X1192="","",X1192-A1192)</f>
        <v/>
      </c>
      <c r="Z1192" s="18" t="n">
        <v>46158</v>
      </c>
      <c r="AA1192" s="15" t="n"/>
      <c r="AB1192" s="15" t="n"/>
      <c r="AF1192">
        <f>IF(AND($F1192="Closed",$X1192&gt;=DATE(2026,5,1),$X1192&lt;=DATE(2026,5,31)),"Closed in May","Other")</f>
        <v/>
      </c>
    </row>
    <row r="1193">
      <c r="A1193" s="6" t="n">
        <v>46107</v>
      </c>
      <c r="B1193" s="3" t="n">
        <v>2026</v>
      </c>
      <c r="C1193" s="3" t="inlineStr">
        <is>
          <t>Blupine Energy</t>
        </is>
      </c>
      <c r="D1193" s="3" t="inlineStr">
        <is>
          <t>Utility and C&amp;I</t>
        </is>
      </c>
      <c r="E1193" s="3" t="n"/>
      <c r="F1193" s="3" t="inlineStr">
        <is>
          <t>Closed</t>
        </is>
      </c>
      <c r="G1193" s="3" t="inlineStr">
        <is>
          <t>Chandrashekar Patidar</t>
        </is>
      </c>
      <c r="H1193" s="3" t="n">
        <v>7879764773</v>
      </c>
      <c r="I1193" s="11" t="inlineStr">
        <is>
          <t>PE26032601</t>
        </is>
      </c>
      <c r="J1193" s="3" t="inlineStr">
        <is>
          <t>Module Diode Failure</t>
        </is>
      </c>
      <c r="K1193" s="3" t="inlineStr">
        <is>
          <t>Sadla</t>
        </is>
      </c>
      <c r="L1193" s="3" t="inlineStr">
        <is>
          <t>Gujarat</t>
        </is>
      </c>
      <c r="M1193" s="9" t="inlineStr">
        <is>
          <t>NS</t>
        </is>
      </c>
      <c r="N1193" s="3" t="inlineStr">
        <is>
          <t>Cold Soldering</t>
        </is>
      </c>
      <c r="O1193" s="3" t="n">
        <v>570</v>
      </c>
      <c r="P1193" s="9" t="inlineStr">
        <is>
          <t>NSMI24060147227</t>
        </is>
      </c>
      <c r="Q1193" s="53">
        <f>MID(P1193,5,2)</f>
        <v/>
      </c>
      <c r="R1193" s="53">
        <f>MID(P1193,7,2)</f>
        <v/>
      </c>
      <c r="S1193" s="3" t="inlineStr">
        <is>
          <t>G2G</t>
        </is>
      </c>
      <c r="T1193" s="3" t="inlineStr">
        <is>
          <t>P4</t>
        </is>
      </c>
      <c r="U1193" s="3" t="inlineStr">
        <is>
          <t>N JB Cold Soldering</t>
        </is>
      </c>
      <c r="V1193" s="3" t="inlineStr">
        <is>
          <t>Soldering</t>
        </is>
      </c>
      <c r="W1193" s="3" t="inlineStr">
        <is>
          <t>Repair</t>
        </is>
      </c>
      <c r="X1193" s="18" t="n">
        <v>46158</v>
      </c>
      <c r="Y1193" s="73">
        <f>IF(X1193="","",X1193-A1193)</f>
        <v/>
      </c>
      <c r="Z1193" s="18" t="n">
        <v>46158</v>
      </c>
      <c r="AA1193" s="15" t="n"/>
      <c r="AB1193" s="15" t="n"/>
      <c r="AF1193">
        <f>IF(AND($F1193="Closed",$X1193&gt;=DATE(2026,5,1),$X1193&lt;=DATE(2026,5,31)),"Closed in May","Other")</f>
        <v/>
      </c>
    </row>
    <row r="1194">
      <c r="A1194" s="6" t="n">
        <v>46107</v>
      </c>
      <c r="B1194" s="3" t="n">
        <v>2026</v>
      </c>
      <c r="C1194" s="3" t="inlineStr">
        <is>
          <t>Blupine Energy</t>
        </is>
      </c>
      <c r="D1194" s="3" t="inlineStr">
        <is>
          <t>Utility and C&amp;I</t>
        </is>
      </c>
      <c r="E1194" s="3" t="n"/>
      <c r="F1194" s="3" t="inlineStr">
        <is>
          <t>Closed</t>
        </is>
      </c>
      <c r="G1194" s="3" t="inlineStr">
        <is>
          <t>Chandrashekar Patidar</t>
        </is>
      </c>
      <c r="H1194" s="3" t="n">
        <v>7879764773</v>
      </c>
      <c r="I1194" s="11" t="inlineStr">
        <is>
          <t>PE26032601</t>
        </is>
      </c>
      <c r="J1194" s="3" t="inlineStr">
        <is>
          <t>Module Diode Failure</t>
        </is>
      </c>
      <c r="K1194" s="3" t="inlineStr">
        <is>
          <t>Sadla</t>
        </is>
      </c>
      <c r="L1194" s="3" t="inlineStr">
        <is>
          <t>Gujarat</t>
        </is>
      </c>
      <c r="M1194" s="9" t="inlineStr">
        <is>
          <t>NS</t>
        </is>
      </c>
      <c r="N1194" s="3" t="inlineStr">
        <is>
          <t>Cold Soldering</t>
        </is>
      </c>
      <c r="O1194" s="3" t="n">
        <v>570</v>
      </c>
      <c r="P1194" s="9" t="inlineStr">
        <is>
          <t>NSMI24060145941</t>
        </is>
      </c>
      <c r="Q1194" s="53">
        <f>MID(P1194,5,2)</f>
        <v/>
      </c>
      <c r="R1194" s="53">
        <f>MID(P1194,7,2)</f>
        <v/>
      </c>
      <c r="S1194" s="3" t="inlineStr">
        <is>
          <t>G2G</t>
        </is>
      </c>
      <c r="T1194" s="3" t="inlineStr">
        <is>
          <t>P4</t>
        </is>
      </c>
      <c r="U1194" s="3" t="inlineStr">
        <is>
          <t>N JB Cold Soldering</t>
        </is>
      </c>
      <c r="V1194" s="3" t="inlineStr">
        <is>
          <t>Soldering</t>
        </is>
      </c>
      <c r="W1194" s="3" t="inlineStr">
        <is>
          <t>Repair</t>
        </is>
      </c>
      <c r="X1194" s="18" t="n">
        <v>46158</v>
      </c>
      <c r="Y1194" s="73">
        <f>IF(X1194="","",X1194-A1194)</f>
        <v/>
      </c>
      <c r="Z1194" s="18" t="n">
        <v>46158</v>
      </c>
      <c r="AA1194" s="15" t="n"/>
      <c r="AB1194" s="15" t="n"/>
      <c r="AF1194">
        <f>IF(AND($F1194="Closed",$X1194&gt;=DATE(2026,5,1),$X1194&lt;=DATE(2026,5,31)),"Closed in May","Other")</f>
        <v/>
      </c>
    </row>
    <row r="1195">
      <c r="A1195" s="6" t="n">
        <v>46107</v>
      </c>
      <c r="B1195" s="3" t="n">
        <v>2026</v>
      </c>
      <c r="C1195" s="3" t="inlineStr">
        <is>
          <t>Blupine Energy</t>
        </is>
      </c>
      <c r="D1195" s="3" t="inlineStr">
        <is>
          <t>Utility and C&amp;I</t>
        </is>
      </c>
      <c r="E1195" s="3" t="n"/>
      <c r="F1195" s="3" t="inlineStr">
        <is>
          <t>Closed</t>
        </is>
      </c>
      <c r="G1195" s="3" t="inlineStr">
        <is>
          <t>Chandrashekar Patidar</t>
        </is>
      </c>
      <c r="H1195" s="3" t="n">
        <v>7879764773</v>
      </c>
      <c r="I1195" s="11" t="inlineStr">
        <is>
          <t>PE26032601</t>
        </is>
      </c>
      <c r="J1195" s="3" t="inlineStr">
        <is>
          <t>Module Diode Failure</t>
        </is>
      </c>
      <c r="K1195" s="3" t="inlineStr">
        <is>
          <t>Sadla</t>
        </is>
      </c>
      <c r="L1195" s="3" t="inlineStr">
        <is>
          <t>Gujarat</t>
        </is>
      </c>
      <c r="M1195" s="9" t="inlineStr">
        <is>
          <t>NS</t>
        </is>
      </c>
      <c r="N1195" s="3" t="inlineStr">
        <is>
          <t>Cold Soldering</t>
        </is>
      </c>
      <c r="O1195" s="3" t="n">
        <v>570</v>
      </c>
      <c r="P1195" s="9" t="inlineStr">
        <is>
          <t>NSMI24060160700</t>
        </is>
      </c>
      <c r="Q1195" s="53">
        <f>MID(P1195,5,2)</f>
        <v/>
      </c>
      <c r="R1195" s="53">
        <f>MID(P1195,7,2)</f>
        <v/>
      </c>
      <c r="S1195" s="3" t="inlineStr">
        <is>
          <t>G2G</t>
        </is>
      </c>
      <c r="T1195" s="3" t="inlineStr">
        <is>
          <t>P4</t>
        </is>
      </c>
      <c r="U1195" s="3" t="inlineStr">
        <is>
          <t>N JB Cold Soldering</t>
        </is>
      </c>
      <c r="V1195" s="3" t="inlineStr">
        <is>
          <t>Soldering</t>
        </is>
      </c>
      <c r="W1195" s="3" t="inlineStr">
        <is>
          <t>Repair</t>
        </is>
      </c>
      <c r="X1195" s="18" t="n">
        <v>46158</v>
      </c>
      <c r="Y1195" s="73">
        <f>IF(X1195="","",X1195-A1195)</f>
        <v/>
      </c>
      <c r="Z1195" s="18" t="n">
        <v>46158</v>
      </c>
      <c r="AA1195" s="15" t="n"/>
      <c r="AB1195" s="15" t="n"/>
      <c r="AF1195">
        <f>IF(AND($F1195="Closed",$X1195&gt;=DATE(2026,5,1),$X1195&lt;=DATE(2026,5,31)),"Closed in May","Other")</f>
        <v/>
      </c>
    </row>
    <row r="1196">
      <c r="A1196" s="6" t="n">
        <v>46107</v>
      </c>
      <c r="B1196" s="3" t="n">
        <v>2026</v>
      </c>
      <c r="C1196" s="3" t="inlineStr">
        <is>
          <t>Blupine Energy</t>
        </is>
      </c>
      <c r="D1196" s="3" t="inlineStr">
        <is>
          <t>Utility and C&amp;I</t>
        </is>
      </c>
      <c r="E1196" s="3" t="n"/>
      <c r="F1196" s="3" t="inlineStr">
        <is>
          <t>Closed</t>
        </is>
      </c>
      <c r="G1196" s="3" t="inlineStr">
        <is>
          <t>Chandrashekar Patidar</t>
        </is>
      </c>
      <c r="H1196" s="3" t="n">
        <v>7879764773</v>
      </c>
      <c r="I1196" s="11" t="inlineStr">
        <is>
          <t>PE26032601</t>
        </is>
      </c>
      <c r="J1196" s="3" t="inlineStr">
        <is>
          <t>Module Diode Failure</t>
        </is>
      </c>
      <c r="K1196" s="3" t="inlineStr">
        <is>
          <t>Sadla</t>
        </is>
      </c>
      <c r="L1196" s="3" t="inlineStr">
        <is>
          <t>Gujarat</t>
        </is>
      </c>
      <c r="M1196" s="9" t="inlineStr">
        <is>
          <t>NS</t>
        </is>
      </c>
      <c r="N1196" s="3" t="inlineStr">
        <is>
          <t>Cold Soldering</t>
        </is>
      </c>
      <c r="O1196" s="3" t="n">
        <v>570</v>
      </c>
      <c r="P1196" s="9" t="inlineStr">
        <is>
          <t>NSMI24060162581</t>
        </is>
      </c>
      <c r="Q1196" s="53">
        <f>MID(P1196,5,2)</f>
        <v/>
      </c>
      <c r="R1196" s="53">
        <f>MID(P1196,7,2)</f>
        <v/>
      </c>
      <c r="S1196" s="3" t="inlineStr">
        <is>
          <t>G2G</t>
        </is>
      </c>
      <c r="T1196" s="3" t="inlineStr">
        <is>
          <t>P4</t>
        </is>
      </c>
      <c r="U1196" s="3" t="inlineStr">
        <is>
          <t>N JB Cold Soldering</t>
        </is>
      </c>
      <c r="V1196" s="3" t="inlineStr">
        <is>
          <t>Soldering</t>
        </is>
      </c>
      <c r="W1196" s="3" t="inlineStr">
        <is>
          <t>Repair</t>
        </is>
      </c>
      <c r="X1196" s="18" t="n">
        <v>46158</v>
      </c>
      <c r="Y1196" s="73">
        <f>IF(X1196="","",X1196-A1196)</f>
        <v/>
      </c>
      <c r="Z1196" s="18" t="n">
        <v>46158</v>
      </c>
      <c r="AA1196" s="15" t="n"/>
      <c r="AB1196" s="15" t="n"/>
      <c r="AF1196">
        <f>IF(AND($F1196="Closed",$X1196&gt;=DATE(2026,5,1),$X1196&lt;=DATE(2026,5,31)),"Closed in May","Other")</f>
        <v/>
      </c>
    </row>
    <row r="1197">
      <c r="A1197" s="6" t="n">
        <v>46107</v>
      </c>
      <c r="B1197" s="3" t="n">
        <v>2026</v>
      </c>
      <c r="C1197" s="3" t="inlineStr">
        <is>
          <t>Blupine Energy</t>
        </is>
      </c>
      <c r="D1197" s="3" t="inlineStr">
        <is>
          <t>Utility and C&amp;I</t>
        </is>
      </c>
      <c r="E1197" s="3" t="n"/>
      <c r="F1197" s="3" t="inlineStr">
        <is>
          <t>Closed</t>
        </is>
      </c>
      <c r="G1197" s="3" t="inlineStr">
        <is>
          <t>Chandrashekar Patidar</t>
        </is>
      </c>
      <c r="H1197" s="3" t="n">
        <v>7879764773</v>
      </c>
      <c r="I1197" s="11" t="inlineStr">
        <is>
          <t>PE26032601</t>
        </is>
      </c>
      <c r="J1197" s="3" t="inlineStr">
        <is>
          <t>Module Diode Failure</t>
        </is>
      </c>
      <c r="K1197" s="3" t="inlineStr">
        <is>
          <t>Sadla</t>
        </is>
      </c>
      <c r="L1197" s="3" t="inlineStr">
        <is>
          <t>Gujarat</t>
        </is>
      </c>
      <c r="M1197" s="9" t="inlineStr">
        <is>
          <t>PS</t>
        </is>
      </c>
      <c r="N1197" s="3" t="inlineStr">
        <is>
          <t>Cold Soldering</t>
        </is>
      </c>
      <c r="O1197" s="3" t="n">
        <v>570</v>
      </c>
      <c r="P1197" s="9" t="inlineStr">
        <is>
          <t>NSMI24060144939</t>
        </is>
      </c>
      <c r="Q1197" s="53">
        <f>MID(P1197,5,2)</f>
        <v/>
      </c>
      <c r="R1197" s="53">
        <f>MID(P1197,7,2)</f>
        <v/>
      </c>
      <c r="S1197" s="3" t="inlineStr">
        <is>
          <t>G2G</t>
        </is>
      </c>
      <c r="T1197" s="3" t="inlineStr">
        <is>
          <t>P4</t>
        </is>
      </c>
      <c r="U1197" s="3" t="inlineStr">
        <is>
          <t>P JB Cold Soldering</t>
        </is>
      </c>
      <c r="V1197" s="3" t="inlineStr">
        <is>
          <t>Soldering</t>
        </is>
      </c>
      <c r="W1197" s="3" t="inlineStr">
        <is>
          <t>Repair</t>
        </is>
      </c>
      <c r="X1197" s="18" t="n">
        <v>46158</v>
      </c>
      <c r="Y1197" s="73">
        <f>IF(X1197="","",X1197-A1197)</f>
        <v/>
      </c>
      <c r="Z1197" s="18" t="n">
        <v>46158</v>
      </c>
      <c r="AA1197" s="15" t="n"/>
      <c r="AB1197" s="15" t="n"/>
      <c r="AF1197">
        <f>IF(AND($F1197="Closed",$X1197&gt;=DATE(2026,5,1),$X1197&lt;=DATE(2026,5,31)),"Closed in May","Other")</f>
        <v/>
      </c>
    </row>
    <row r="1198">
      <c r="A1198" s="6" t="n">
        <v>46107</v>
      </c>
      <c r="B1198" s="3" t="n">
        <v>2026</v>
      </c>
      <c r="C1198" s="3" t="inlineStr">
        <is>
          <t>Blupine Energy</t>
        </is>
      </c>
      <c r="D1198" s="3" t="inlineStr">
        <is>
          <t>Utility and C&amp;I</t>
        </is>
      </c>
      <c r="E1198" s="3" t="n"/>
      <c r="F1198" s="3" t="inlineStr">
        <is>
          <t>Closed</t>
        </is>
      </c>
      <c r="G1198" s="3" t="inlineStr">
        <is>
          <t>Chandrashekar Patidar</t>
        </is>
      </c>
      <c r="H1198" s="3" t="n">
        <v>7879764773</v>
      </c>
      <c r="I1198" s="11" t="inlineStr">
        <is>
          <t>PE26032601</t>
        </is>
      </c>
      <c r="J1198" s="3" t="inlineStr">
        <is>
          <t>Module Diode Failure</t>
        </is>
      </c>
      <c r="K1198" s="3" t="inlineStr">
        <is>
          <t>Sadla</t>
        </is>
      </c>
      <c r="L1198" s="3" t="inlineStr">
        <is>
          <t>Gujarat</t>
        </is>
      </c>
      <c r="M1198" s="9" t="inlineStr">
        <is>
          <t>PS</t>
        </is>
      </c>
      <c r="N1198" s="3" t="inlineStr">
        <is>
          <t>Cold Soldering</t>
        </is>
      </c>
      <c r="O1198" s="3" t="n">
        <v>570</v>
      </c>
      <c r="P1198" s="9" t="inlineStr">
        <is>
          <t>NSMI24060145050</t>
        </is>
      </c>
      <c r="Q1198" s="53">
        <f>MID(P1198,5,2)</f>
        <v/>
      </c>
      <c r="R1198" s="53">
        <f>MID(P1198,7,2)</f>
        <v/>
      </c>
      <c r="S1198" s="3" t="inlineStr">
        <is>
          <t>G2G</t>
        </is>
      </c>
      <c r="T1198" s="3" t="inlineStr">
        <is>
          <t>P4</t>
        </is>
      </c>
      <c r="U1198" s="3" t="inlineStr">
        <is>
          <t>P JB Cold Soldering</t>
        </is>
      </c>
      <c r="V1198" s="3" t="inlineStr">
        <is>
          <t>Soldering</t>
        </is>
      </c>
      <c r="W1198" s="3" t="inlineStr">
        <is>
          <t>Repair</t>
        </is>
      </c>
      <c r="X1198" s="18" t="n">
        <v>46158</v>
      </c>
      <c r="Y1198" s="73">
        <f>IF(X1198="","",X1198-A1198)</f>
        <v/>
      </c>
      <c r="Z1198" s="18" t="n">
        <v>46158</v>
      </c>
      <c r="AA1198" s="15" t="n"/>
      <c r="AB1198" s="15" t="n"/>
      <c r="AF1198">
        <f>IF(AND($F1198="Closed",$X1198&gt;=DATE(2026,5,1),$X1198&lt;=DATE(2026,5,31)),"Closed in May","Other")</f>
        <v/>
      </c>
    </row>
    <row r="1199">
      <c r="A1199" s="6" t="n">
        <v>46107</v>
      </c>
      <c r="B1199" s="3" t="n">
        <v>2026</v>
      </c>
      <c r="C1199" s="3" t="inlineStr">
        <is>
          <t>Blupine Energy</t>
        </is>
      </c>
      <c r="D1199" s="3" t="inlineStr">
        <is>
          <t>Utility and C&amp;I</t>
        </is>
      </c>
      <c r="E1199" s="3" t="n"/>
      <c r="F1199" s="3" t="inlineStr">
        <is>
          <t>Closed</t>
        </is>
      </c>
      <c r="G1199" s="3" t="inlineStr">
        <is>
          <t>Chandrashekar Patidar</t>
        </is>
      </c>
      <c r="H1199" s="3" t="n">
        <v>7879764773</v>
      </c>
      <c r="I1199" s="11" t="inlineStr">
        <is>
          <t>PE26032601</t>
        </is>
      </c>
      <c r="J1199" s="3" t="inlineStr">
        <is>
          <t>Module Diode Failure</t>
        </is>
      </c>
      <c r="K1199" s="3" t="inlineStr">
        <is>
          <t>Sadla</t>
        </is>
      </c>
      <c r="L1199" s="3" t="inlineStr">
        <is>
          <t>Gujarat</t>
        </is>
      </c>
      <c r="M1199" s="9" t="inlineStr">
        <is>
          <t>PS</t>
        </is>
      </c>
      <c r="N1199" s="3" t="inlineStr">
        <is>
          <t>Cold Soldering</t>
        </is>
      </c>
      <c r="O1199" s="3" t="n">
        <v>570</v>
      </c>
      <c r="P1199" s="9" t="inlineStr">
        <is>
          <t>NSMI24060145053</t>
        </is>
      </c>
      <c r="Q1199" s="53">
        <f>MID(P1199,5,2)</f>
        <v/>
      </c>
      <c r="R1199" s="53">
        <f>MID(P1199,7,2)</f>
        <v/>
      </c>
      <c r="S1199" s="3" t="inlineStr">
        <is>
          <t>G2G</t>
        </is>
      </c>
      <c r="T1199" s="3" t="inlineStr">
        <is>
          <t>P4</t>
        </is>
      </c>
      <c r="U1199" s="3" t="inlineStr">
        <is>
          <t>P JB Cold Soldering</t>
        </is>
      </c>
      <c r="V1199" s="3" t="inlineStr">
        <is>
          <t>Soldering</t>
        </is>
      </c>
      <c r="W1199" s="3" t="inlineStr">
        <is>
          <t>Repair</t>
        </is>
      </c>
      <c r="X1199" s="18" t="n">
        <v>46158</v>
      </c>
      <c r="Y1199" s="73">
        <f>IF(X1199="","",X1199-A1199)</f>
        <v/>
      </c>
      <c r="Z1199" s="18" t="n">
        <v>46158</v>
      </c>
      <c r="AA1199" s="15" t="n"/>
      <c r="AB1199" s="15" t="n"/>
      <c r="AF1199">
        <f>IF(AND($F1199="Closed",$X1199&gt;=DATE(2026,5,1),$X1199&lt;=DATE(2026,5,31)),"Closed in May","Other")</f>
        <v/>
      </c>
    </row>
    <row r="1200">
      <c r="A1200" s="6" t="n">
        <v>46107</v>
      </c>
      <c r="B1200" s="3" t="n">
        <v>2026</v>
      </c>
      <c r="C1200" s="3" t="inlineStr">
        <is>
          <t>Blupine Energy</t>
        </is>
      </c>
      <c r="D1200" s="3" t="inlineStr">
        <is>
          <t>Utility and C&amp;I</t>
        </is>
      </c>
      <c r="E1200" s="3" t="n"/>
      <c r="F1200" s="3" t="inlineStr">
        <is>
          <t>Closed</t>
        </is>
      </c>
      <c r="G1200" s="3" t="inlineStr">
        <is>
          <t>Chandrashekar Patidar</t>
        </is>
      </c>
      <c r="H1200" s="3" t="n">
        <v>7879764773</v>
      </c>
      <c r="I1200" s="11" t="inlineStr">
        <is>
          <t>PE26032601</t>
        </is>
      </c>
      <c r="J1200" s="3" t="inlineStr">
        <is>
          <t>Module Diode Failure</t>
        </is>
      </c>
      <c r="K1200" s="3" t="inlineStr">
        <is>
          <t>Sadla</t>
        </is>
      </c>
      <c r="L1200" s="3" t="inlineStr">
        <is>
          <t>Gujarat</t>
        </is>
      </c>
      <c r="M1200" s="9" t="inlineStr">
        <is>
          <t>PS</t>
        </is>
      </c>
      <c r="N1200" s="3" t="inlineStr">
        <is>
          <t>Cold Soldering</t>
        </is>
      </c>
      <c r="O1200" s="3" t="n">
        <v>570</v>
      </c>
      <c r="P1200" s="9" t="inlineStr">
        <is>
          <t>NSMI24060144448</t>
        </is>
      </c>
      <c r="Q1200" s="53">
        <f>MID(P1200,5,2)</f>
        <v/>
      </c>
      <c r="R1200" s="53">
        <f>MID(P1200,7,2)</f>
        <v/>
      </c>
      <c r="S1200" s="3" t="inlineStr">
        <is>
          <t>G2G</t>
        </is>
      </c>
      <c r="T1200" s="3" t="inlineStr">
        <is>
          <t>P4</t>
        </is>
      </c>
      <c r="U1200" s="3" t="inlineStr">
        <is>
          <t>P JB Cold Soldering</t>
        </is>
      </c>
      <c r="V1200" s="3" t="inlineStr">
        <is>
          <t>Soldering</t>
        </is>
      </c>
      <c r="W1200" s="3" t="inlineStr">
        <is>
          <t>Repair</t>
        </is>
      </c>
      <c r="X1200" s="18" t="n">
        <v>46158</v>
      </c>
      <c r="Y1200" s="73">
        <f>IF(X1200="","",X1200-A1200)</f>
        <v/>
      </c>
      <c r="Z1200" s="18" t="n">
        <v>46158</v>
      </c>
      <c r="AA1200" s="15" t="n"/>
      <c r="AB1200" s="15" t="n"/>
      <c r="AF1200">
        <f>IF(AND($F1200="Closed",$X1200&gt;=DATE(2026,5,1),$X1200&lt;=DATE(2026,5,31)),"Closed in May","Other")</f>
        <v/>
      </c>
    </row>
    <row r="1201">
      <c r="A1201" s="6" t="n">
        <v>46107</v>
      </c>
      <c r="B1201" s="3" t="n">
        <v>2026</v>
      </c>
      <c r="C1201" s="3" t="inlineStr">
        <is>
          <t>Blupine Energy</t>
        </is>
      </c>
      <c r="D1201" s="3" t="inlineStr">
        <is>
          <t>Utility and C&amp;I</t>
        </is>
      </c>
      <c r="E1201" s="3" t="n"/>
      <c r="F1201" s="3" t="inlineStr">
        <is>
          <t>Closed</t>
        </is>
      </c>
      <c r="G1201" s="3" t="inlineStr">
        <is>
          <t>Chandrashekar Patidar</t>
        </is>
      </c>
      <c r="H1201" s="3" t="n">
        <v>7879764773</v>
      </c>
      <c r="I1201" s="11" t="inlineStr">
        <is>
          <t>PE26032601</t>
        </is>
      </c>
      <c r="J1201" s="3" t="inlineStr">
        <is>
          <t>Module Diode Failure</t>
        </is>
      </c>
      <c r="K1201" s="3" t="inlineStr">
        <is>
          <t>Sadla</t>
        </is>
      </c>
      <c r="L1201" s="3" t="inlineStr">
        <is>
          <t>Gujarat</t>
        </is>
      </c>
      <c r="M1201" s="9" t="inlineStr">
        <is>
          <t>NS</t>
        </is>
      </c>
      <c r="N1201" s="3" t="inlineStr">
        <is>
          <t>Cold Soldering</t>
        </is>
      </c>
      <c r="O1201" s="3" t="n">
        <v>570</v>
      </c>
      <c r="P1201" s="9" t="inlineStr">
        <is>
          <t>NSMI24060163925</t>
        </is>
      </c>
      <c r="Q1201" s="53">
        <f>MID(P1201,5,2)</f>
        <v/>
      </c>
      <c r="R1201" s="53">
        <f>MID(P1201,7,2)</f>
        <v/>
      </c>
      <c r="S1201" s="3" t="inlineStr">
        <is>
          <t>G2G</t>
        </is>
      </c>
      <c r="T1201" s="3" t="inlineStr">
        <is>
          <t>P4</t>
        </is>
      </c>
      <c r="U1201" s="3" t="inlineStr">
        <is>
          <t>N JB Cold Soldering</t>
        </is>
      </c>
      <c r="V1201" s="3" t="inlineStr">
        <is>
          <t>Soldering</t>
        </is>
      </c>
      <c r="W1201" s="3" t="inlineStr">
        <is>
          <t>Repair</t>
        </is>
      </c>
      <c r="X1201" s="18" t="n">
        <v>46158</v>
      </c>
      <c r="Y1201" s="73">
        <f>IF(X1201="","",X1201-A1201)</f>
        <v/>
      </c>
      <c r="Z1201" s="18" t="n">
        <v>46158</v>
      </c>
      <c r="AA1201" s="15" t="n"/>
      <c r="AB1201" s="15" t="n"/>
      <c r="AF1201">
        <f>IF(AND($F1201="Closed",$X1201&gt;=DATE(2026,5,1),$X1201&lt;=DATE(2026,5,31)),"Closed in May","Other")</f>
        <v/>
      </c>
    </row>
    <row r="1202">
      <c r="A1202" s="6" t="n">
        <v>46107</v>
      </c>
      <c r="B1202" s="3" t="n">
        <v>2026</v>
      </c>
      <c r="C1202" s="3" t="inlineStr">
        <is>
          <t>Blupine Energy</t>
        </is>
      </c>
      <c r="D1202" s="3" t="inlineStr">
        <is>
          <t>Utility and C&amp;I</t>
        </is>
      </c>
      <c r="E1202" s="3" t="n"/>
      <c r="F1202" s="3" t="inlineStr">
        <is>
          <t>Closed</t>
        </is>
      </c>
      <c r="G1202" s="3" t="inlineStr">
        <is>
          <t>Chandrashekar Patidar</t>
        </is>
      </c>
      <c r="H1202" s="3" t="n">
        <v>7879764773</v>
      </c>
      <c r="I1202" s="11" t="inlineStr">
        <is>
          <t>PE26032601</t>
        </is>
      </c>
      <c r="J1202" s="3" t="inlineStr">
        <is>
          <t>Module Diode Failure</t>
        </is>
      </c>
      <c r="K1202" s="3" t="inlineStr">
        <is>
          <t>Sadla</t>
        </is>
      </c>
      <c r="L1202" s="3" t="inlineStr">
        <is>
          <t>Gujarat</t>
        </is>
      </c>
      <c r="M1202" s="9" t="inlineStr">
        <is>
          <t>PS</t>
        </is>
      </c>
      <c r="N1202" s="3" t="inlineStr">
        <is>
          <t>Cold Soldering</t>
        </is>
      </c>
      <c r="O1202" s="3" t="n">
        <v>570</v>
      </c>
      <c r="P1202" s="9" t="inlineStr">
        <is>
          <t>NSMI24060159470</t>
        </is>
      </c>
      <c r="Q1202" s="53">
        <f>MID(P1202,5,2)</f>
        <v/>
      </c>
      <c r="R1202" s="53">
        <f>MID(P1202,7,2)</f>
        <v/>
      </c>
      <c r="S1202" s="3" t="inlineStr">
        <is>
          <t>G2G</t>
        </is>
      </c>
      <c r="T1202" s="3" t="inlineStr">
        <is>
          <t>P4</t>
        </is>
      </c>
      <c r="U1202" s="3" t="inlineStr">
        <is>
          <t>P JB Cold Soldering</t>
        </is>
      </c>
      <c r="V1202" s="3" t="inlineStr">
        <is>
          <t>Soldering</t>
        </is>
      </c>
      <c r="W1202" s="3" t="inlineStr">
        <is>
          <t>Repair</t>
        </is>
      </c>
      <c r="X1202" s="18" t="n">
        <v>46158</v>
      </c>
      <c r="Y1202" s="73">
        <f>IF(X1202="","",X1202-A1202)</f>
        <v/>
      </c>
      <c r="Z1202" s="18" t="n">
        <v>46158</v>
      </c>
      <c r="AA1202" s="15" t="n"/>
      <c r="AB1202" s="15" t="n"/>
      <c r="AF1202">
        <f>IF(AND($F1202="Closed",$X1202&gt;=DATE(2026,5,1),$X1202&lt;=DATE(2026,5,31)),"Closed in May","Other")</f>
        <v/>
      </c>
    </row>
    <row r="1203">
      <c r="A1203" s="6" t="n">
        <v>46107</v>
      </c>
      <c r="B1203" s="3" t="n">
        <v>2026</v>
      </c>
      <c r="C1203" s="3" t="inlineStr">
        <is>
          <t>Blupine Energy</t>
        </is>
      </c>
      <c r="D1203" s="3" t="inlineStr">
        <is>
          <t>Utility and C&amp;I</t>
        </is>
      </c>
      <c r="E1203" s="3" t="n"/>
      <c r="F1203" s="3" t="inlineStr">
        <is>
          <t>Closed</t>
        </is>
      </c>
      <c r="G1203" s="3" t="inlineStr">
        <is>
          <t>Chandrashekar Patidar</t>
        </is>
      </c>
      <c r="H1203" s="3" t="n">
        <v>7879764773</v>
      </c>
      <c r="I1203" s="11" t="inlineStr">
        <is>
          <t>PE26032601</t>
        </is>
      </c>
      <c r="J1203" s="3" t="inlineStr">
        <is>
          <t>Module Diode Failure</t>
        </is>
      </c>
      <c r="K1203" s="3" t="inlineStr">
        <is>
          <t>Sadla</t>
        </is>
      </c>
      <c r="L1203" s="3" t="inlineStr">
        <is>
          <t>Gujarat</t>
        </is>
      </c>
      <c r="M1203" s="9" t="inlineStr">
        <is>
          <t>NS</t>
        </is>
      </c>
      <c r="N1203" s="3" t="inlineStr">
        <is>
          <t>Cold Soldering</t>
        </is>
      </c>
      <c r="O1203" s="3" t="n">
        <v>570</v>
      </c>
      <c r="P1203" s="9" t="inlineStr">
        <is>
          <t>NSMI24060153498</t>
        </is>
      </c>
      <c r="Q1203" s="53">
        <f>MID(P1203,5,2)</f>
        <v/>
      </c>
      <c r="R1203" s="53">
        <f>MID(P1203,7,2)</f>
        <v/>
      </c>
      <c r="S1203" s="3" t="inlineStr">
        <is>
          <t>G2G</t>
        </is>
      </c>
      <c r="T1203" s="3" t="inlineStr">
        <is>
          <t>P4</t>
        </is>
      </c>
      <c r="U1203" s="3" t="inlineStr">
        <is>
          <t>N JB Cold Soldering</t>
        </is>
      </c>
      <c r="V1203" s="3" t="inlineStr">
        <is>
          <t>Soldering</t>
        </is>
      </c>
      <c r="W1203" s="3" t="inlineStr">
        <is>
          <t>Repair</t>
        </is>
      </c>
      <c r="X1203" s="18" t="n">
        <v>46158</v>
      </c>
      <c r="Y1203" s="73">
        <f>IF(X1203="","",X1203-A1203)</f>
        <v/>
      </c>
      <c r="Z1203" s="18" t="n">
        <v>46158</v>
      </c>
      <c r="AA1203" s="15" t="n"/>
      <c r="AB1203" s="15" t="n"/>
      <c r="AF1203">
        <f>IF(AND($F1203="Closed",$X1203&gt;=DATE(2026,5,1),$X1203&lt;=DATE(2026,5,31)),"Closed in May","Other")</f>
        <v/>
      </c>
    </row>
    <row r="1204">
      <c r="A1204" s="6" t="n">
        <v>46107</v>
      </c>
      <c r="B1204" s="3" t="n">
        <v>2026</v>
      </c>
      <c r="C1204" s="3" t="inlineStr">
        <is>
          <t>Blupine Energy</t>
        </is>
      </c>
      <c r="D1204" s="3" t="inlineStr">
        <is>
          <t>Utility and C&amp;I</t>
        </is>
      </c>
      <c r="E1204" s="3" t="n"/>
      <c r="F1204" s="3" t="inlineStr">
        <is>
          <t>Closed</t>
        </is>
      </c>
      <c r="G1204" s="3" t="inlineStr">
        <is>
          <t>Chandrashekar Patidar</t>
        </is>
      </c>
      <c r="H1204" s="3" t="n">
        <v>7879764773</v>
      </c>
      <c r="I1204" s="11" t="inlineStr">
        <is>
          <t>PE26032601</t>
        </is>
      </c>
      <c r="J1204" s="3" t="inlineStr">
        <is>
          <t>Module Diode Failure</t>
        </is>
      </c>
      <c r="K1204" s="3" t="inlineStr">
        <is>
          <t>Sadla</t>
        </is>
      </c>
      <c r="L1204" s="3" t="inlineStr">
        <is>
          <t>Gujarat</t>
        </is>
      </c>
      <c r="M1204" s="9" t="inlineStr">
        <is>
          <t>PS</t>
        </is>
      </c>
      <c r="N1204" s="3" t="inlineStr">
        <is>
          <t>Cold Soldering</t>
        </is>
      </c>
      <c r="O1204" s="3" t="n">
        <v>570</v>
      </c>
      <c r="P1204" s="9" t="inlineStr">
        <is>
          <t>NSMI24060161541</t>
        </is>
      </c>
      <c r="Q1204" s="53">
        <f>MID(P1204,5,2)</f>
        <v/>
      </c>
      <c r="R1204" s="53">
        <f>MID(P1204,7,2)</f>
        <v/>
      </c>
      <c r="S1204" s="3" t="inlineStr">
        <is>
          <t>G2G</t>
        </is>
      </c>
      <c r="T1204" s="3" t="inlineStr">
        <is>
          <t>P4</t>
        </is>
      </c>
      <c r="U1204" s="3" t="inlineStr">
        <is>
          <t>P JB Cold Soldering</t>
        </is>
      </c>
      <c r="V1204" s="3" t="inlineStr">
        <is>
          <t>Soldering</t>
        </is>
      </c>
      <c r="W1204" s="3" t="inlineStr">
        <is>
          <t>Repair</t>
        </is>
      </c>
      <c r="X1204" s="18" t="n">
        <v>46158</v>
      </c>
      <c r="Y1204" s="73">
        <f>IF(X1204="","",X1204-A1204)</f>
        <v/>
      </c>
      <c r="Z1204" s="18" t="n">
        <v>46158</v>
      </c>
      <c r="AA1204" s="15" t="n"/>
      <c r="AB1204" s="15" t="n"/>
      <c r="AF1204">
        <f>IF(AND($F1204="Closed",$X1204&gt;=DATE(2026,5,1),$X1204&lt;=DATE(2026,5,31)),"Closed in May","Other")</f>
        <v/>
      </c>
    </row>
    <row r="1205">
      <c r="A1205" s="6" t="n">
        <v>46107</v>
      </c>
      <c r="B1205" s="3" t="n">
        <v>2026</v>
      </c>
      <c r="C1205" s="3" t="inlineStr">
        <is>
          <t>Blupine Energy</t>
        </is>
      </c>
      <c r="D1205" s="3" t="inlineStr">
        <is>
          <t>Utility and C&amp;I</t>
        </is>
      </c>
      <c r="E1205" s="3" t="n"/>
      <c r="F1205" s="3" t="inlineStr">
        <is>
          <t>Closed</t>
        </is>
      </c>
      <c r="G1205" s="3" t="inlineStr">
        <is>
          <t>Chandrashekar Patidar</t>
        </is>
      </c>
      <c r="H1205" s="3" t="n">
        <v>7879764773</v>
      </c>
      <c r="I1205" s="11" t="inlineStr">
        <is>
          <t>PE26032601</t>
        </is>
      </c>
      <c r="J1205" s="3" t="inlineStr">
        <is>
          <t>Module Diode Failure</t>
        </is>
      </c>
      <c r="K1205" s="3" t="inlineStr">
        <is>
          <t>Sadla</t>
        </is>
      </c>
      <c r="L1205" s="3" t="inlineStr">
        <is>
          <t>Gujarat</t>
        </is>
      </c>
      <c r="M1205" s="9" t="inlineStr">
        <is>
          <t>NS</t>
        </is>
      </c>
      <c r="N1205" s="3" t="inlineStr">
        <is>
          <t>Cold Soldering</t>
        </is>
      </c>
      <c r="O1205" s="3" t="n">
        <v>570</v>
      </c>
      <c r="P1205" s="9" t="inlineStr">
        <is>
          <t>NSMI24060161149</t>
        </is>
      </c>
      <c r="Q1205" s="53">
        <f>MID(P1205,5,2)</f>
        <v/>
      </c>
      <c r="R1205" s="53">
        <f>MID(P1205,7,2)</f>
        <v/>
      </c>
      <c r="S1205" s="3" t="inlineStr">
        <is>
          <t>G2G</t>
        </is>
      </c>
      <c r="T1205" s="3" t="inlineStr">
        <is>
          <t>P4</t>
        </is>
      </c>
      <c r="U1205" s="3" t="inlineStr">
        <is>
          <t>N JB Cold Soldering</t>
        </is>
      </c>
      <c r="V1205" s="3" t="inlineStr">
        <is>
          <t>Soldering</t>
        </is>
      </c>
      <c r="W1205" s="3" t="inlineStr">
        <is>
          <t>Repair</t>
        </is>
      </c>
      <c r="X1205" s="18" t="n">
        <v>46158</v>
      </c>
      <c r="Y1205" s="73">
        <f>IF(X1205="","",X1205-A1205)</f>
        <v/>
      </c>
      <c r="Z1205" s="18" t="n">
        <v>46158</v>
      </c>
      <c r="AA1205" s="15" t="n"/>
      <c r="AB1205" s="15" t="n"/>
      <c r="AF1205">
        <f>IF(AND($F1205="Closed",$X1205&gt;=DATE(2026,5,1),$X1205&lt;=DATE(2026,5,31)),"Closed in May","Other")</f>
        <v/>
      </c>
    </row>
    <row r="1206">
      <c r="A1206" s="6" t="n">
        <v>46107</v>
      </c>
      <c r="B1206" s="3" t="n">
        <v>2026</v>
      </c>
      <c r="C1206" s="3" t="inlineStr">
        <is>
          <t>Blupine Energy</t>
        </is>
      </c>
      <c r="D1206" s="3" t="inlineStr">
        <is>
          <t>Utility and C&amp;I</t>
        </is>
      </c>
      <c r="E1206" s="3" t="n"/>
      <c r="F1206" s="3" t="inlineStr">
        <is>
          <t>Closed</t>
        </is>
      </c>
      <c r="G1206" s="3" t="inlineStr">
        <is>
          <t>Chandrashekar Patidar</t>
        </is>
      </c>
      <c r="H1206" s="3" t="n">
        <v>7879764773</v>
      </c>
      <c r="I1206" s="11" t="inlineStr">
        <is>
          <t>PE26032601</t>
        </is>
      </c>
      <c r="J1206" s="3" t="inlineStr">
        <is>
          <t>Module Diode Failure</t>
        </is>
      </c>
      <c r="K1206" s="3" t="inlineStr">
        <is>
          <t>Sadla</t>
        </is>
      </c>
      <c r="L1206" s="3" t="inlineStr">
        <is>
          <t>Gujarat</t>
        </is>
      </c>
      <c r="M1206" s="9" t="inlineStr">
        <is>
          <t>NS</t>
        </is>
      </c>
      <c r="N1206" s="3" t="inlineStr">
        <is>
          <t>Cold Soldering</t>
        </is>
      </c>
      <c r="O1206" s="3" t="n">
        <v>570</v>
      </c>
      <c r="P1206" s="9" t="inlineStr">
        <is>
          <t>NSMI24060155947</t>
        </is>
      </c>
      <c r="Q1206" s="53">
        <f>MID(P1206,5,2)</f>
        <v/>
      </c>
      <c r="R1206" s="53">
        <f>MID(P1206,7,2)</f>
        <v/>
      </c>
      <c r="S1206" s="3" t="inlineStr">
        <is>
          <t>G2G</t>
        </is>
      </c>
      <c r="T1206" s="3" t="inlineStr">
        <is>
          <t>P4</t>
        </is>
      </c>
      <c r="U1206" s="3" t="inlineStr">
        <is>
          <t>N JB Cold Soldering</t>
        </is>
      </c>
      <c r="V1206" s="3" t="inlineStr">
        <is>
          <t>Soldering</t>
        </is>
      </c>
      <c r="W1206" s="3" t="inlineStr">
        <is>
          <t>Repair</t>
        </is>
      </c>
      <c r="X1206" s="18" t="n">
        <v>46158</v>
      </c>
      <c r="Y1206" s="73">
        <f>IF(X1206="","",X1206-A1206)</f>
        <v/>
      </c>
      <c r="Z1206" s="18" t="n">
        <v>46158</v>
      </c>
      <c r="AA1206" s="15" t="n"/>
      <c r="AB1206" s="15" t="n"/>
      <c r="AF1206">
        <f>IF(AND($F1206="Closed",$X1206&gt;=DATE(2026,5,1),$X1206&lt;=DATE(2026,5,31)),"Closed in May","Other")</f>
        <v/>
      </c>
    </row>
    <row r="1207">
      <c r="A1207" s="6" t="n">
        <v>46107</v>
      </c>
      <c r="B1207" s="3" t="n">
        <v>2026</v>
      </c>
      <c r="C1207" s="3" t="inlineStr">
        <is>
          <t>Blupine Energy</t>
        </is>
      </c>
      <c r="D1207" s="3" t="inlineStr">
        <is>
          <t>Utility and C&amp;I</t>
        </is>
      </c>
      <c r="E1207" s="3" t="n"/>
      <c r="F1207" s="3" t="inlineStr">
        <is>
          <t>Closed</t>
        </is>
      </c>
      <c r="G1207" s="3" t="inlineStr">
        <is>
          <t>Chandrashekar Patidar</t>
        </is>
      </c>
      <c r="H1207" s="3" t="n">
        <v>7879764773</v>
      </c>
      <c r="I1207" s="11" t="inlineStr">
        <is>
          <t>PE26032601</t>
        </is>
      </c>
      <c r="J1207" s="3" t="inlineStr">
        <is>
          <t>Module Diode Failure</t>
        </is>
      </c>
      <c r="K1207" s="3" t="inlineStr">
        <is>
          <t>Sadla</t>
        </is>
      </c>
      <c r="L1207" s="3" t="inlineStr">
        <is>
          <t>Gujarat</t>
        </is>
      </c>
      <c r="M1207" s="9" t="inlineStr">
        <is>
          <t>NS</t>
        </is>
      </c>
      <c r="N1207" s="3" t="inlineStr">
        <is>
          <t>Cold Soldering</t>
        </is>
      </c>
      <c r="O1207" s="3" t="n">
        <v>570</v>
      </c>
      <c r="P1207" s="9" t="inlineStr">
        <is>
          <t>NSMI24060155757</t>
        </is>
      </c>
      <c r="Q1207" s="53">
        <f>MID(P1207,5,2)</f>
        <v/>
      </c>
      <c r="R1207" s="53">
        <f>MID(P1207,7,2)</f>
        <v/>
      </c>
      <c r="S1207" s="3" t="inlineStr">
        <is>
          <t>G2G</t>
        </is>
      </c>
      <c r="T1207" s="3" t="inlineStr">
        <is>
          <t>P4</t>
        </is>
      </c>
      <c r="U1207" s="3" t="inlineStr">
        <is>
          <t>N JB Cold Soldering</t>
        </is>
      </c>
      <c r="V1207" s="3" t="inlineStr">
        <is>
          <t>Soldering</t>
        </is>
      </c>
      <c r="W1207" s="3" t="inlineStr">
        <is>
          <t>Repair</t>
        </is>
      </c>
      <c r="X1207" s="18" t="n">
        <v>46158</v>
      </c>
      <c r="Y1207" s="73">
        <f>IF(X1207="","",X1207-A1207)</f>
        <v/>
      </c>
      <c r="Z1207" s="18" t="n">
        <v>46158</v>
      </c>
      <c r="AA1207" s="15" t="n"/>
      <c r="AB1207" s="15" t="n"/>
      <c r="AF1207">
        <f>IF(AND($F1207="Closed",$X1207&gt;=DATE(2026,5,1),$X1207&lt;=DATE(2026,5,31)),"Closed in May","Other")</f>
        <v/>
      </c>
    </row>
    <row r="1208">
      <c r="A1208" s="6" t="n">
        <v>46107</v>
      </c>
      <c r="B1208" s="3" t="n">
        <v>2026</v>
      </c>
      <c r="C1208" s="3" t="inlineStr">
        <is>
          <t>Blupine Energy</t>
        </is>
      </c>
      <c r="D1208" s="3" t="inlineStr">
        <is>
          <t>Utility and C&amp;I</t>
        </is>
      </c>
      <c r="E1208" s="3" t="n"/>
      <c r="F1208" s="3" t="inlineStr">
        <is>
          <t>Closed</t>
        </is>
      </c>
      <c r="G1208" s="3" t="inlineStr">
        <is>
          <t>Chandrashekar Patidar</t>
        </is>
      </c>
      <c r="H1208" s="3" t="n">
        <v>7879764773</v>
      </c>
      <c r="I1208" s="11" t="inlineStr">
        <is>
          <t>PE26032601</t>
        </is>
      </c>
      <c r="J1208" s="3" t="inlineStr">
        <is>
          <t>Module Diode Failure</t>
        </is>
      </c>
      <c r="K1208" s="3" t="inlineStr">
        <is>
          <t>Sadla</t>
        </is>
      </c>
      <c r="L1208" s="3" t="inlineStr">
        <is>
          <t>Gujarat</t>
        </is>
      </c>
      <c r="M1208" s="9" t="inlineStr">
        <is>
          <t>NS</t>
        </is>
      </c>
      <c r="N1208" s="3" t="inlineStr">
        <is>
          <t>Cold Soldering</t>
        </is>
      </c>
      <c r="O1208" s="3" t="n">
        <v>570</v>
      </c>
      <c r="P1208" s="9" t="inlineStr">
        <is>
          <t>NSMI24060161566</t>
        </is>
      </c>
      <c r="Q1208" s="53">
        <f>MID(P1208,5,2)</f>
        <v/>
      </c>
      <c r="R1208" s="53">
        <f>MID(P1208,7,2)</f>
        <v/>
      </c>
      <c r="S1208" s="3" t="inlineStr">
        <is>
          <t>G2G</t>
        </is>
      </c>
      <c r="T1208" s="3" t="inlineStr">
        <is>
          <t>P4</t>
        </is>
      </c>
      <c r="U1208" s="3" t="inlineStr">
        <is>
          <t>N JB Cold Soldering</t>
        </is>
      </c>
      <c r="V1208" s="3" t="inlineStr">
        <is>
          <t>Soldering</t>
        </is>
      </c>
      <c r="W1208" s="3" t="inlineStr">
        <is>
          <t>Repair</t>
        </is>
      </c>
      <c r="X1208" s="18" t="n">
        <v>46158</v>
      </c>
      <c r="Y1208" s="73">
        <f>IF(X1208="","",X1208-A1208)</f>
        <v/>
      </c>
      <c r="Z1208" s="18" t="n">
        <v>46158</v>
      </c>
      <c r="AA1208" s="15" t="n"/>
      <c r="AB1208" s="15" t="n"/>
      <c r="AF1208">
        <f>IF(AND($F1208="Closed",$X1208&gt;=DATE(2026,5,1),$X1208&lt;=DATE(2026,5,31)),"Closed in May","Other")</f>
        <v/>
      </c>
    </row>
    <row r="1209">
      <c r="A1209" s="6" t="n">
        <v>46107</v>
      </c>
      <c r="B1209" s="3" t="n">
        <v>2026</v>
      </c>
      <c r="C1209" s="3" t="inlineStr">
        <is>
          <t>Blupine Energy</t>
        </is>
      </c>
      <c r="D1209" s="3" t="inlineStr">
        <is>
          <t>Utility and C&amp;I</t>
        </is>
      </c>
      <c r="E1209" s="3" t="n"/>
      <c r="F1209" s="3" t="inlineStr">
        <is>
          <t>Closed</t>
        </is>
      </c>
      <c r="G1209" s="3" t="inlineStr">
        <is>
          <t>Chandrashekar Patidar</t>
        </is>
      </c>
      <c r="H1209" s="3" t="n">
        <v>7879764773</v>
      </c>
      <c r="I1209" s="11" t="inlineStr">
        <is>
          <t>PE26032601</t>
        </is>
      </c>
      <c r="J1209" s="3" t="inlineStr">
        <is>
          <t>Module Diode Failure</t>
        </is>
      </c>
      <c r="K1209" s="3" t="inlineStr">
        <is>
          <t>Sadla</t>
        </is>
      </c>
      <c r="L1209" s="3" t="inlineStr">
        <is>
          <t>Gujarat</t>
        </is>
      </c>
      <c r="M1209" s="9" t="inlineStr">
        <is>
          <t>OK</t>
        </is>
      </c>
      <c r="N1209" s="3" t="inlineStr">
        <is>
          <t>No Issue</t>
        </is>
      </c>
      <c r="O1209" s="3" t="n">
        <v>570</v>
      </c>
      <c r="P1209" s="9" t="inlineStr">
        <is>
          <t>NSMI24060161000</t>
        </is>
      </c>
      <c r="Q1209" s="53">
        <f>MID(P1209,5,2)</f>
        <v/>
      </c>
      <c r="R1209" s="53">
        <f>MID(P1209,7,2)</f>
        <v/>
      </c>
      <c r="S1209" s="3" t="inlineStr">
        <is>
          <t>G2G</t>
        </is>
      </c>
      <c r="T1209" s="3" t="inlineStr">
        <is>
          <t>P4</t>
        </is>
      </c>
      <c r="U1209" s="19" t="inlineStr">
        <is>
          <t>No Issue Found</t>
        </is>
      </c>
      <c r="V1209" s="19" t="inlineStr">
        <is>
          <t>Found OK</t>
        </is>
      </c>
      <c r="W1209" s="3" t="inlineStr">
        <is>
          <t>Repair</t>
        </is>
      </c>
      <c r="X1209" s="18" t="n">
        <v>46158</v>
      </c>
      <c r="Y1209" s="73">
        <f>IF(X1209="","",X1209-A1209)</f>
        <v/>
      </c>
      <c r="Z1209" s="18" t="n">
        <v>46158</v>
      </c>
      <c r="AA1209" s="15" t="n"/>
      <c r="AB1209" s="15" t="n"/>
      <c r="AF1209">
        <f>IF(AND($F1209="Closed",$X1209&gt;=DATE(2026,5,1),$X1209&lt;=DATE(2026,5,31)),"Closed in May","Other")</f>
        <v/>
      </c>
    </row>
    <row r="1210">
      <c r="A1210" s="6" t="n">
        <v>46107</v>
      </c>
      <c r="B1210" s="3" t="n">
        <v>2026</v>
      </c>
      <c r="C1210" s="3" t="inlineStr">
        <is>
          <t>Blupine Energy</t>
        </is>
      </c>
      <c r="D1210" s="3" t="inlineStr">
        <is>
          <t>Utility and C&amp;I</t>
        </is>
      </c>
      <c r="E1210" s="3" t="n"/>
      <c r="F1210" s="3" t="inlineStr">
        <is>
          <t>Closed</t>
        </is>
      </c>
      <c r="G1210" s="3" t="inlineStr">
        <is>
          <t>Chandrashekar Patidar</t>
        </is>
      </c>
      <c r="H1210" s="3" t="n">
        <v>7879764773</v>
      </c>
      <c r="I1210" s="11" t="inlineStr">
        <is>
          <t>PE26032601</t>
        </is>
      </c>
      <c r="J1210" s="3" t="inlineStr">
        <is>
          <t>Module Diode Failure</t>
        </is>
      </c>
      <c r="K1210" s="3" t="inlineStr">
        <is>
          <t>Sadla</t>
        </is>
      </c>
      <c r="L1210" s="3" t="inlineStr">
        <is>
          <t>Gujarat</t>
        </is>
      </c>
      <c r="M1210" s="9" t="inlineStr">
        <is>
          <t>NS</t>
        </is>
      </c>
      <c r="N1210" s="3" t="inlineStr">
        <is>
          <t>Cold Soldering</t>
        </is>
      </c>
      <c r="O1210" s="3" t="n">
        <v>570</v>
      </c>
      <c r="P1210" s="9" t="inlineStr">
        <is>
          <t>NSMI24060165178</t>
        </is>
      </c>
      <c r="Q1210" s="53">
        <f>MID(P1210,5,2)</f>
        <v/>
      </c>
      <c r="R1210" s="53">
        <f>MID(P1210,7,2)</f>
        <v/>
      </c>
      <c r="S1210" s="3" t="inlineStr">
        <is>
          <t>G2G</t>
        </is>
      </c>
      <c r="T1210" s="3" t="inlineStr">
        <is>
          <t>P4</t>
        </is>
      </c>
      <c r="U1210" s="3" t="inlineStr">
        <is>
          <t>N JB Cold Soldering</t>
        </is>
      </c>
      <c r="V1210" s="3" t="inlineStr">
        <is>
          <t>Soldering</t>
        </is>
      </c>
      <c r="W1210" s="3" t="inlineStr">
        <is>
          <t>Repair</t>
        </is>
      </c>
      <c r="X1210" s="18" t="n">
        <v>46158</v>
      </c>
      <c r="Y1210" s="73">
        <f>IF(X1210="","",X1210-A1210)</f>
        <v/>
      </c>
      <c r="Z1210" s="18" t="n">
        <v>46158</v>
      </c>
      <c r="AA1210" s="15" t="n"/>
      <c r="AB1210" s="15" t="n"/>
      <c r="AF1210">
        <f>IF(AND($F1210="Closed",$X1210&gt;=DATE(2026,5,1),$X1210&lt;=DATE(2026,5,31)),"Closed in May","Other")</f>
        <v/>
      </c>
    </row>
    <row r="1211">
      <c r="A1211" s="6" t="n">
        <v>46107</v>
      </c>
      <c r="B1211" s="3" t="n">
        <v>2026</v>
      </c>
      <c r="C1211" s="3" t="inlineStr">
        <is>
          <t>Blupine Energy</t>
        </is>
      </c>
      <c r="D1211" s="3" t="inlineStr">
        <is>
          <t>Utility and C&amp;I</t>
        </is>
      </c>
      <c r="E1211" s="3" t="n"/>
      <c r="F1211" s="3" t="inlineStr">
        <is>
          <t>Closed</t>
        </is>
      </c>
      <c r="G1211" s="3" t="inlineStr">
        <is>
          <t>Chandrashekar Patidar</t>
        </is>
      </c>
      <c r="H1211" s="3" t="n">
        <v>7879764773</v>
      </c>
      <c r="I1211" s="11" t="inlineStr">
        <is>
          <t>PE26032601</t>
        </is>
      </c>
      <c r="J1211" s="3" t="inlineStr">
        <is>
          <t>Module Diode Failure</t>
        </is>
      </c>
      <c r="K1211" s="3" t="inlineStr">
        <is>
          <t>Sadla</t>
        </is>
      </c>
      <c r="L1211" s="3" t="inlineStr">
        <is>
          <t>Gujarat</t>
        </is>
      </c>
      <c r="M1211" s="9" t="inlineStr">
        <is>
          <t>NS</t>
        </is>
      </c>
      <c r="N1211" s="3" t="inlineStr">
        <is>
          <t>Cold Soldering</t>
        </is>
      </c>
      <c r="O1211" s="3" t="n">
        <v>570</v>
      </c>
      <c r="P1211" s="9" t="inlineStr">
        <is>
          <t>NSMI24060165131</t>
        </is>
      </c>
      <c r="Q1211" s="53">
        <f>MID(P1211,5,2)</f>
        <v/>
      </c>
      <c r="R1211" s="53">
        <f>MID(P1211,7,2)</f>
        <v/>
      </c>
      <c r="S1211" s="3" t="inlineStr">
        <is>
          <t>G2G</t>
        </is>
      </c>
      <c r="T1211" s="3" t="inlineStr">
        <is>
          <t>P4</t>
        </is>
      </c>
      <c r="U1211" s="3" t="inlineStr">
        <is>
          <t>N JB Cold Soldering</t>
        </is>
      </c>
      <c r="V1211" s="3" t="inlineStr">
        <is>
          <t>Soldering</t>
        </is>
      </c>
      <c r="W1211" s="3" t="inlineStr">
        <is>
          <t>Repair</t>
        </is>
      </c>
      <c r="X1211" s="18" t="n">
        <v>46158</v>
      </c>
      <c r="Y1211" s="73">
        <f>IF(X1211="","",X1211-A1211)</f>
        <v/>
      </c>
      <c r="Z1211" s="18" t="n">
        <v>46158</v>
      </c>
      <c r="AA1211" s="15" t="n"/>
      <c r="AB1211" s="15" t="n"/>
      <c r="AF1211">
        <f>IF(AND($F1211="Closed",$X1211&gt;=DATE(2026,5,1),$X1211&lt;=DATE(2026,5,31)),"Closed in May","Other")</f>
        <v/>
      </c>
    </row>
    <row r="1212">
      <c r="A1212" s="6" t="n">
        <v>46107</v>
      </c>
      <c r="B1212" s="3" t="n">
        <v>2026</v>
      </c>
      <c r="C1212" s="3" t="inlineStr">
        <is>
          <t>Blupine Energy</t>
        </is>
      </c>
      <c r="D1212" s="3" t="inlineStr">
        <is>
          <t>Utility and C&amp;I</t>
        </is>
      </c>
      <c r="E1212" s="3" t="n"/>
      <c r="F1212" s="3" t="inlineStr">
        <is>
          <t>Closed</t>
        </is>
      </c>
      <c r="G1212" s="3" t="inlineStr">
        <is>
          <t>Chandrashekar Patidar</t>
        </is>
      </c>
      <c r="H1212" s="3" t="n">
        <v>7879764773</v>
      </c>
      <c r="I1212" s="11" t="inlineStr">
        <is>
          <t>PE26032601</t>
        </is>
      </c>
      <c r="J1212" s="3" t="inlineStr">
        <is>
          <t>Module Diode Failure</t>
        </is>
      </c>
      <c r="K1212" s="3" t="inlineStr">
        <is>
          <t>Sadla</t>
        </is>
      </c>
      <c r="L1212" s="3" t="inlineStr">
        <is>
          <t>Gujarat</t>
        </is>
      </c>
      <c r="M1212" s="9" t="inlineStr">
        <is>
          <t>NS</t>
        </is>
      </c>
      <c r="N1212" s="3" t="inlineStr">
        <is>
          <t>Cold Soldering</t>
        </is>
      </c>
      <c r="O1212" s="3" t="n">
        <v>570</v>
      </c>
      <c r="P1212" s="9" t="inlineStr">
        <is>
          <t>NSMI24060159591</t>
        </is>
      </c>
      <c r="Q1212" s="53">
        <f>MID(P1212,5,2)</f>
        <v/>
      </c>
      <c r="R1212" s="53">
        <f>MID(P1212,7,2)</f>
        <v/>
      </c>
      <c r="S1212" s="3" t="inlineStr">
        <is>
          <t>G2G</t>
        </is>
      </c>
      <c r="T1212" s="3" t="inlineStr">
        <is>
          <t>P4</t>
        </is>
      </c>
      <c r="U1212" s="3" t="inlineStr">
        <is>
          <t>N JB Cold Soldering</t>
        </is>
      </c>
      <c r="V1212" s="3" t="inlineStr">
        <is>
          <t>Soldering</t>
        </is>
      </c>
      <c r="W1212" s="3" t="inlineStr">
        <is>
          <t>Repair</t>
        </is>
      </c>
      <c r="X1212" s="18" t="n">
        <v>46158</v>
      </c>
      <c r="Y1212" s="73">
        <f>IF(X1212="","",X1212-A1212)</f>
        <v/>
      </c>
      <c r="Z1212" s="18" t="n">
        <v>46158</v>
      </c>
      <c r="AA1212" s="15" t="n"/>
      <c r="AB1212" s="15" t="n"/>
      <c r="AF1212">
        <f>IF(AND($F1212="Closed",$X1212&gt;=DATE(2026,5,1),$X1212&lt;=DATE(2026,5,31)),"Closed in May","Other")</f>
        <v/>
      </c>
    </row>
    <row r="1213">
      <c r="A1213" s="6" t="n">
        <v>46107</v>
      </c>
      <c r="B1213" s="3" t="n">
        <v>2026</v>
      </c>
      <c r="C1213" s="3" t="inlineStr">
        <is>
          <t>Blupine Energy</t>
        </is>
      </c>
      <c r="D1213" s="3" t="inlineStr">
        <is>
          <t>Utility and C&amp;I</t>
        </is>
      </c>
      <c r="E1213" s="3" t="n"/>
      <c r="F1213" s="3" t="inlineStr">
        <is>
          <t>Closed</t>
        </is>
      </c>
      <c r="G1213" s="3" t="inlineStr">
        <is>
          <t>Chandrashekar Patidar</t>
        </is>
      </c>
      <c r="H1213" s="3" t="n">
        <v>7879764773</v>
      </c>
      <c r="I1213" s="11" t="inlineStr">
        <is>
          <t>PE26032601</t>
        </is>
      </c>
      <c r="J1213" s="3" t="inlineStr">
        <is>
          <t>Module Diode Failure</t>
        </is>
      </c>
      <c r="K1213" s="3" t="inlineStr">
        <is>
          <t>Sadla</t>
        </is>
      </c>
      <c r="L1213" s="3" t="inlineStr">
        <is>
          <t>Gujarat</t>
        </is>
      </c>
      <c r="M1213" s="9" t="inlineStr">
        <is>
          <t>NS</t>
        </is>
      </c>
      <c r="N1213" s="3" t="inlineStr">
        <is>
          <t>Cold Soldering</t>
        </is>
      </c>
      <c r="O1213" s="3" t="n">
        <v>570</v>
      </c>
      <c r="P1213" s="9" t="inlineStr">
        <is>
          <t>NSMI24060155613</t>
        </is>
      </c>
      <c r="Q1213" s="53">
        <f>MID(P1213,5,2)</f>
        <v/>
      </c>
      <c r="R1213" s="53">
        <f>MID(P1213,7,2)</f>
        <v/>
      </c>
      <c r="S1213" s="3" t="inlineStr">
        <is>
          <t>G2G</t>
        </is>
      </c>
      <c r="T1213" s="3" t="inlineStr">
        <is>
          <t>P4</t>
        </is>
      </c>
      <c r="U1213" s="3" t="inlineStr">
        <is>
          <t>N JB Cold Soldering</t>
        </is>
      </c>
      <c r="V1213" s="3" t="inlineStr">
        <is>
          <t>Soldering</t>
        </is>
      </c>
      <c r="W1213" s="3" t="inlineStr">
        <is>
          <t>Repair</t>
        </is>
      </c>
      <c r="X1213" s="18" t="n">
        <v>46158</v>
      </c>
      <c r="Y1213" s="73">
        <f>IF(X1213="","",X1213-A1213)</f>
        <v/>
      </c>
      <c r="Z1213" s="18" t="n">
        <v>46158</v>
      </c>
      <c r="AA1213" s="15" t="n"/>
      <c r="AB1213" s="15" t="n"/>
      <c r="AF1213">
        <f>IF(AND($F1213="Closed",$X1213&gt;=DATE(2026,5,1),$X1213&lt;=DATE(2026,5,31)),"Closed in May","Other")</f>
        <v/>
      </c>
    </row>
    <row r="1214">
      <c r="A1214" s="6" t="n">
        <v>46107</v>
      </c>
      <c r="B1214" s="3" t="n">
        <v>2026</v>
      </c>
      <c r="C1214" s="3" t="inlineStr">
        <is>
          <t>Blupine Energy</t>
        </is>
      </c>
      <c r="D1214" s="3" t="inlineStr">
        <is>
          <t>Utility and C&amp;I</t>
        </is>
      </c>
      <c r="E1214" s="3" t="n"/>
      <c r="F1214" s="3" t="inlineStr">
        <is>
          <t>Closed</t>
        </is>
      </c>
      <c r="G1214" s="3" t="inlineStr">
        <is>
          <t>Chandrashekar Patidar</t>
        </is>
      </c>
      <c r="H1214" s="3" t="n">
        <v>7879764773</v>
      </c>
      <c r="I1214" s="11" t="inlineStr">
        <is>
          <t>PE26032601</t>
        </is>
      </c>
      <c r="J1214" s="3" t="inlineStr">
        <is>
          <t>Module Diode Failure</t>
        </is>
      </c>
      <c r="K1214" s="3" t="inlineStr">
        <is>
          <t>Sadla</t>
        </is>
      </c>
      <c r="L1214" s="3" t="inlineStr">
        <is>
          <t>Gujarat</t>
        </is>
      </c>
      <c r="M1214" s="9" t="inlineStr">
        <is>
          <t>NS</t>
        </is>
      </c>
      <c r="N1214" s="3" t="inlineStr">
        <is>
          <t>Cold Soldering</t>
        </is>
      </c>
      <c r="O1214" s="3" t="n">
        <v>570</v>
      </c>
      <c r="P1214" s="9" t="inlineStr">
        <is>
          <t>NSMI24060160604</t>
        </is>
      </c>
      <c r="Q1214" s="53">
        <f>MID(P1214,5,2)</f>
        <v/>
      </c>
      <c r="R1214" s="53">
        <f>MID(P1214,7,2)</f>
        <v/>
      </c>
      <c r="S1214" s="3" t="inlineStr">
        <is>
          <t>G2G</t>
        </is>
      </c>
      <c r="T1214" s="3" t="inlineStr">
        <is>
          <t>P4</t>
        </is>
      </c>
      <c r="U1214" s="3" t="inlineStr">
        <is>
          <t>N JB Cold Soldering</t>
        </is>
      </c>
      <c r="V1214" s="3" t="inlineStr">
        <is>
          <t>Soldering</t>
        </is>
      </c>
      <c r="W1214" s="3" t="inlineStr">
        <is>
          <t>Repair</t>
        </is>
      </c>
      <c r="X1214" s="18" t="n">
        <v>46158</v>
      </c>
      <c r="Y1214" s="73">
        <f>IF(X1214="","",X1214-A1214)</f>
        <v/>
      </c>
      <c r="Z1214" s="18" t="n">
        <v>46158</v>
      </c>
      <c r="AA1214" s="15" t="n"/>
      <c r="AB1214" s="15" t="n"/>
      <c r="AF1214">
        <f>IF(AND($F1214="Closed",$X1214&gt;=DATE(2026,5,1),$X1214&lt;=DATE(2026,5,31)),"Closed in May","Other")</f>
        <v/>
      </c>
    </row>
    <row r="1215">
      <c r="A1215" s="6" t="n">
        <v>46107</v>
      </c>
      <c r="B1215" s="3" t="n">
        <v>2026</v>
      </c>
      <c r="C1215" s="3" t="inlineStr">
        <is>
          <t>Blupine Energy</t>
        </is>
      </c>
      <c r="D1215" s="3" t="inlineStr">
        <is>
          <t>Utility and C&amp;I</t>
        </is>
      </c>
      <c r="E1215" s="3" t="n"/>
      <c r="F1215" s="3" t="inlineStr">
        <is>
          <t>Closed</t>
        </is>
      </c>
      <c r="G1215" s="3" t="inlineStr">
        <is>
          <t>Chandrashekar Patidar</t>
        </is>
      </c>
      <c r="H1215" s="3" t="n">
        <v>7879764773</v>
      </c>
      <c r="I1215" s="11" t="inlineStr">
        <is>
          <t>PE26032601</t>
        </is>
      </c>
      <c r="J1215" s="3" t="inlineStr">
        <is>
          <t>Module Diode Failure</t>
        </is>
      </c>
      <c r="K1215" s="3" t="inlineStr">
        <is>
          <t>Sadla</t>
        </is>
      </c>
      <c r="L1215" s="3" t="inlineStr">
        <is>
          <t>Gujarat</t>
        </is>
      </c>
      <c r="M1215" s="9" t="inlineStr">
        <is>
          <t>NS</t>
        </is>
      </c>
      <c r="N1215" s="3" t="inlineStr">
        <is>
          <t>Cold Soldering</t>
        </is>
      </c>
      <c r="O1215" s="3" t="n">
        <v>570</v>
      </c>
      <c r="P1215" s="9" t="inlineStr">
        <is>
          <t>NSMI24070166446</t>
        </is>
      </c>
      <c r="Q1215" s="53">
        <f>MID(P1215,5,2)</f>
        <v/>
      </c>
      <c r="R1215" s="53">
        <f>MID(P1215,7,2)</f>
        <v/>
      </c>
      <c r="S1215" s="3" t="inlineStr">
        <is>
          <t>G2G</t>
        </is>
      </c>
      <c r="T1215" s="3" t="inlineStr">
        <is>
          <t>P4</t>
        </is>
      </c>
      <c r="U1215" s="3" t="inlineStr">
        <is>
          <t>N JB Cold Soldering</t>
        </is>
      </c>
      <c r="V1215" s="3" t="inlineStr">
        <is>
          <t>Soldering</t>
        </is>
      </c>
      <c r="W1215" s="3" t="inlineStr">
        <is>
          <t>Repair</t>
        </is>
      </c>
      <c r="X1215" s="18" t="n">
        <v>46158</v>
      </c>
      <c r="Y1215" s="73">
        <f>IF(X1215="","",X1215-A1215)</f>
        <v/>
      </c>
      <c r="Z1215" s="18" t="n">
        <v>46158</v>
      </c>
      <c r="AA1215" s="15" t="n"/>
      <c r="AB1215" s="15" t="n"/>
      <c r="AF1215">
        <f>IF(AND($F1215="Closed",$X1215&gt;=DATE(2026,5,1),$X1215&lt;=DATE(2026,5,31)),"Closed in May","Other")</f>
        <v/>
      </c>
    </row>
    <row r="1216">
      <c r="A1216" s="6" t="n">
        <v>46107</v>
      </c>
      <c r="B1216" s="3" t="n">
        <v>2026</v>
      </c>
      <c r="C1216" s="3" t="inlineStr">
        <is>
          <t>Blupine Energy</t>
        </is>
      </c>
      <c r="D1216" s="3" t="inlineStr">
        <is>
          <t>Utility and C&amp;I</t>
        </is>
      </c>
      <c r="E1216" s="3" t="n"/>
      <c r="F1216" s="3" t="inlineStr">
        <is>
          <t>Closed</t>
        </is>
      </c>
      <c r="G1216" s="3" t="inlineStr">
        <is>
          <t>Chandrashekar Patidar</t>
        </is>
      </c>
      <c r="H1216" s="3" t="n">
        <v>7879764773</v>
      </c>
      <c r="I1216" s="11" t="inlineStr">
        <is>
          <t>PE26032601</t>
        </is>
      </c>
      <c r="J1216" s="3" t="inlineStr">
        <is>
          <t>Module Diode Failure</t>
        </is>
      </c>
      <c r="K1216" s="3" t="inlineStr">
        <is>
          <t>Sadla</t>
        </is>
      </c>
      <c r="L1216" s="3" t="inlineStr">
        <is>
          <t>Gujarat</t>
        </is>
      </c>
      <c r="M1216" s="9" t="inlineStr">
        <is>
          <t>NS</t>
        </is>
      </c>
      <c r="N1216" s="3" t="inlineStr">
        <is>
          <t>Cold Soldering</t>
        </is>
      </c>
      <c r="O1216" s="3" t="n">
        <v>570</v>
      </c>
      <c r="P1216" s="9" t="inlineStr">
        <is>
          <t>NSMI24070166326</t>
        </is>
      </c>
      <c r="Q1216" s="53">
        <f>MID(P1216,5,2)</f>
        <v/>
      </c>
      <c r="R1216" s="53">
        <f>MID(P1216,7,2)</f>
        <v/>
      </c>
      <c r="S1216" s="3" t="inlineStr">
        <is>
          <t>G2G</t>
        </is>
      </c>
      <c r="T1216" s="3" t="inlineStr">
        <is>
          <t>P4</t>
        </is>
      </c>
      <c r="U1216" s="3" t="inlineStr">
        <is>
          <t>N JB Cold Soldering</t>
        </is>
      </c>
      <c r="V1216" s="3" t="inlineStr">
        <is>
          <t>Soldering</t>
        </is>
      </c>
      <c r="W1216" s="3" t="inlineStr">
        <is>
          <t>Repair</t>
        </is>
      </c>
      <c r="X1216" s="18" t="n">
        <v>46158</v>
      </c>
      <c r="Y1216" s="73">
        <f>IF(X1216="","",X1216-A1216)</f>
        <v/>
      </c>
      <c r="Z1216" s="18" t="n">
        <v>46158</v>
      </c>
      <c r="AA1216" s="15" t="n"/>
      <c r="AB1216" s="15" t="n"/>
      <c r="AF1216">
        <f>IF(AND($F1216="Closed",$X1216&gt;=DATE(2026,5,1),$X1216&lt;=DATE(2026,5,31)),"Closed in May","Other")</f>
        <v/>
      </c>
    </row>
    <row r="1217">
      <c r="A1217" s="6" t="n">
        <v>46107</v>
      </c>
      <c r="B1217" s="3" t="n">
        <v>2026</v>
      </c>
      <c r="C1217" s="3" t="inlineStr">
        <is>
          <t>Blupine Energy</t>
        </is>
      </c>
      <c r="D1217" s="3" t="inlineStr">
        <is>
          <t>Utility and C&amp;I</t>
        </is>
      </c>
      <c r="E1217" s="3" t="n"/>
      <c r="F1217" s="3" t="inlineStr">
        <is>
          <t>Closed</t>
        </is>
      </c>
      <c r="G1217" s="3" t="inlineStr">
        <is>
          <t>Chandrashekar Patidar</t>
        </is>
      </c>
      <c r="H1217" s="3" t="n">
        <v>7879764773</v>
      </c>
      <c r="I1217" s="11" t="inlineStr">
        <is>
          <t>PE26032601</t>
        </is>
      </c>
      <c r="J1217" s="3" t="inlineStr">
        <is>
          <t>Module Diode Failure</t>
        </is>
      </c>
      <c r="K1217" s="3" t="inlineStr">
        <is>
          <t>Sadla</t>
        </is>
      </c>
      <c r="L1217" s="3" t="inlineStr">
        <is>
          <t>Gujarat</t>
        </is>
      </c>
      <c r="M1217" s="9" t="inlineStr">
        <is>
          <t>NS</t>
        </is>
      </c>
      <c r="N1217" s="3" t="inlineStr">
        <is>
          <t>Cold Soldering</t>
        </is>
      </c>
      <c r="O1217" s="3" t="n">
        <v>570</v>
      </c>
      <c r="P1217" s="9" t="inlineStr">
        <is>
          <t>NSMI24060146409</t>
        </is>
      </c>
      <c r="Q1217" s="53">
        <f>MID(P1217,5,2)</f>
        <v/>
      </c>
      <c r="R1217" s="53">
        <f>MID(P1217,7,2)</f>
        <v/>
      </c>
      <c r="S1217" s="3" t="inlineStr">
        <is>
          <t>G2G</t>
        </is>
      </c>
      <c r="T1217" s="3" t="inlineStr">
        <is>
          <t>P4</t>
        </is>
      </c>
      <c r="U1217" s="3" t="inlineStr">
        <is>
          <t>N JB Cold Soldering</t>
        </is>
      </c>
      <c r="V1217" s="3" t="inlineStr">
        <is>
          <t>Soldering</t>
        </is>
      </c>
      <c r="W1217" s="3" t="inlineStr">
        <is>
          <t>Repair</t>
        </is>
      </c>
      <c r="X1217" s="18" t="n">
        <v>46158</v>
      </c>
      <c r="Y1217" s="73">
        <f>IF(X1217="","",X1217-A1217)</f>
        <v/>
      </c>
      <c r="Z1217" s="18" t="n">
        <v>46158</v>
      </c>
      <c r="AA1217" s="15" t="n"/>
      <c r="AB1217" s="15" t="n"/>
      <c r="AF1217">
        <f>IF(AND($F1217="Closed",$X1217&gt;=DATE(2026,5,1),$X1217&lt;=DATE(2026,5,31)),"Closed in May","Other")</f>
        <v/>
      </c>
    </row>
    <row r="1218">
      <c r="A1218" s="6" t="n">
        <v>46107</v>
      </c>
      <c r="B1218" s="3" t="n">
        <v>2026</v>
      </c>
      <c r="C1218" s="3" t="inlineStr">
        <is>
          <t>Blupine Energy</t>
        </is>
      </c>
      <c r="D1218" s="3" t="inlineStr">
        <is>
          <t>Utility and C&amp;I</t>
        </is>
      </c>
      <c r="E1218" s="3" t="n"/>
      <c r="F1218" s="3" t="inlineStr">
        <is>
          <t>Closed</t>
        </is>
      </c>
      <c r="G1218" s="3" t="inlineStr">
        <is>
          <t>Chandrashekar Patidar</t>
        </is>
      </c>
      <c r="H1218" s="3" t="n">
        <v>7879764773</v>
      </c>
      <c r="I1218" s="11" t="inlineStr">
        <is>
          <t>PE26032601</t>
        </is>
      </c>
      <c r="J1218" s="3" t="inlineStr">
        <is>
          <t>Module Diode Failure</t>
        </is>
      </c>
      <c r="K1218" s="3" t="inlineStr">
        <is>
          <t>Sadla</t>
        </is>
      </c>
      <c r="L1218" s="3" t="inlineStr">
        <is>
          <t>Gujarat</t>
        </is>
      </c>
      <c r="M1218" s="9" t="inlineStr">
        <is>
          <t>NS</t>
        </is>
      </c>
      <c r="N1218" s="3" t="inlineStr">
        <is>
          <t>Cold Soldering</t>
        </is>
      </c>
      <c r="O1218" s="3" t="n">
        <v>570</v>
      </c>
      <c r="P1218" s="9" t="inlineStr">
        <is>
          <t>NSMI24070167285</t>
        </is>
      </c>
      <c r="Q1218" s="53">
        <f>MID(P1218,5,2)</f>
        <v/>
      </c>
      <c r="R1218" s="53">
        <f>MID(P1218,7,2)</f>
        <v/>
      </c>
      <c r="S1218" s="3" t="inlineStr">
        <is>
          <t>G2G</t>
        </is>
      </c>
      <c r="T1218" s="3" t="inlineStr">
        <is>
          <t>P4</t>
        </is>
      </c>
      <c r="U1218" s="3" t="inlineStr">
        <is>
          <t>N JB Cold Soldering</t>
        </is>
      </c>
      <c r="V1218" s="3" t="inlineStr">
        <is>
          <t>Soldering</t>
        </is>
      </c>
      <c r="W1218" s="3" t="inlineStr">
        <is>
          <t>Repair</t>
        </is>
      </c>
      <c r="X1218" s="18" t="n">
        <v>46158</v>
      </c>
      <c r="Y1218" s="73">
        <f>IF(X1218="","",X1218-A1218)</f>
        <v/>
      </c>
      <c r="Z1218" s="18" t="n">
        <v>46158</v>
      </c>
      <c r="AA1218" s="15" t="n"/>
      <c r="AB1218" s="15" t="n"/>
      <c r="AF1218">
        <f>IF(AND($F1218="Closed",$X1218&gt;=DATE(2026,5,1),$X1218&lt;=DATE(2026,5,31)),"Closed in May","Other")</f>
        <v/>
      </c>
    </row>
    <row r="1219">
      <c r="A1219" s="6" t="n">
        <v>46107</v>
      </c>
      <c r="B1219" s="3" t="n">
        <v>2026</v>
      </c>
      <c r="C1219" s="3" t="inlineStr">
        <is>
          <t>Blupine Energy</t>
        </is>
      </c>
      <c r="D1219" s="3" t="inlineStr">
        <is>
          <t>Utility and C&amp;I</t>
        </is>
      </c>
      <c r="E1219" s="3" t="n"/>
      <c r="F1219" s="3" t="inlineStr">
        <is>
          <t>Closed</t>
        </is>
      </c>
      <c r="G1219" s="3" t="inlineStr">
        <is>
          <t>Chandrashekar Patidar</t>
        </is>
      </c>
      <c r="H1219" s="3" t="n">
        <v>7879764773</v>
      </c>
      <c r="I1219" s="11" t="inlineStr">
        <is>
          <t>PE26032601</t>
        </is>
      </c>
      <c r="J1219" s="3" t="inlineStr">
        <is>
          <t>Module Diode Failure</t>
        </is>
      </c>
      <c r="K1219" s="3" t="inlineStr">
        <is>
          <t>Sadla</t>
        </is>
      </c>
      <c r="L1219" s="3" t="inlineStr">
        <is>
          <t>Gujarat</t>
        </is>
      </c>
      <c r="M1219" s="9" t="inlineStr">
        <is>
          <t>NS</t>
        </is>
      </c>
      <c r="N1219" s="3" t="inlineStr">
        <is>
          <t>Cold Soldering</t>
        </is>
      </c>
      <c r="O1219" s="3" t="n">
        <v>570</v>
      </c>
      <c r="P1219" s="9" t="inlineStr">
        <is>
          <t>NSMI24070167321</t>
        </is>
      </c>
      <c r="Q1219" s="53">
        <f>MID(P1219,5,2)</f>
        <v/>
      </c>
      <c r="R1219" s="53">
        <f>MID(P1219,7,2)</f>
        <v/>
      </c>
      <c r="S1219" s="3" t="inlineStr">
        <is>
          <t>G2G</t>
        </is>
      </c>
      <c r="T1219" s="3" t="inlineStr">
        <is>
          <t>P4</t>
        </is>
      </c>
      <c r="U1219" s="3" t="inlineStr">
        <is>
          <t>N JB Cold Soldering</t>
        </is>
      </c>
      <c r="V1219" s="3" t="inlineStr">
        <is>
          <t>Soldering</t>
        </is>
      </c>
      <c r="W1219" s="3" t="inlineStr">
        <is>
          <t>Repair</t>
        </is>
      </c>
      <c r="X1219" s="18" t="n">
        <v>46158</v>
      </c>
      <c r="Y1219" s="73">
        <f>IF(X1219="","",X1219-A1219)</f>
        <v/>
      </c>
      <c r="Z1219" s="18" t="n">
        <v>46158</v>
      </c>
      <c r="AA1219" s="15" t="n"/>
      <c r="AB1219" s="15" t="n"/>
      <c r="AF1219">
        <f>IF(AND($F1219="Closed",$X1219&gt;=DATE(2026,5,1),$X1219&lt;=DATE(2026,5,31)),"Closed in May","Other")</f>
        <v/>
      </c>
    </row>
    <row r="1220">
      <c r="A1220" s="6" t="n">
        <v>46107</v>
      </c>
      <c r="B1220" s="3" t="n">
        <v>2026</v>
      </c>
      <c r="C1220" s="3" t="inlineStr">
        <is>
          <t>Blupine Energy</t>
        </is>
      </c>
      <c r="D1220" s="3" t="inlineStr">
        <is>
          <t>Utility and C&amp;I</t>
        </is>
      </c>
      <c r="E1220" s="3" t="n"/>
      <c r="F1220" s="3" t="inlineStr">
        <is>
          <t>Closed</t>
        </is>
      </c>
      <c r="G1220" s="3" t="inlineStr">
        <is>
          <t>Chandrashekar Patidar</t>
        </is>
      </c>
      <c r="H1220" s="3" t="n">
        <v>7879764773</v>
      </c>
      <c r="I1220" s="11" t="inlineStr">
        <is>
          <t>PE26032601</t>
        </is>
      </c>
      <c r="J1220" s="3" t="inlineStr">
        <is>
          <t>Module Diode Failure</t>
        </is>
      </c>
      <c r="K1220" s="3" t="inlineStr">
        <is>
          <t>Sadla</t>
        </is>
      </c>
      <c r="L1220" s="3" t="inlineStr">
        <is>
          <t>Gujarat</t>
        </is>
      </c>
      <c r="M1220" s="9" t="inlineStr">
        <is>
          <t>NS</t>
        </is>
      </c>
      <c r="N1220" s="3" t="inlineStr">
        <is>
          <t>Cold Soldering</t>
        </is>
      </c>
      <c r="O1220" s="3" t="n">
        <v>570</v>
      </c>
      <c r="P1220" s="9" t="inlineStr">
        <is>
          <t>NSMI24060162834</t>
        </is>
      </c>
      <c r="Q1220" s="53">
        <f>MID(P1220,5,2)</f>
        <v/>
      </c>
      <c r="R1220" s="53">
        <f>MID(P1220,7,2)</f>
        <v/>
      </c>
      <c r="S1220" s="3" t="inlineStr">
        <is>
          <t>G2G</t>
        </is>
      </c>
      <c r="T1220" s="3" t="inlineStr">
        <is>
          <t>P4</t>
        </is>
      </c>
      <c r="U1220" s="3" t="inlineStr">
        <is>
          <t>N JB Cold Soldering</t>
        </is>
      </c>
      <c r="V1220" s="3" t="inlineStr">
        <is>
          <t>Soldering</t>
        </is>
      </c>
      <c r="W1220" s="3" t="inlineStr">
        <is>
          <t>Repair</t>
        </is>
      </c>
      <c r="X1220" s="18" t="n">
        <v>46158</v>
      </c>
      <c r="Y1220" s="73">
        <f>IF(X1220="","",X1220-A1220)</f>
        <v/>
      </c>
      <c r="Z1220" s="18" t="n">
        <v>46158</v>
      </c>
      <c r="AA1220" s="15" t="n"/>
      <c r="AB1220" s="15" t="n"/>
      <c r="AF1220">
        <f>IF(AND($F1220="Closed",$X1220&gt;=DATE(2026,5,1),$X1220&lt;=DATE(2026,5,31)),"Closed in May","Other")</f>
        <v/>
      </c>
    </row>
    <row r="1221">
      <c r="A1221" s="6" t="n">
        <v>46107</v>
      </c>
      <c r="B1221" s="3" t="n">
        <v>2026</v>
      </c>
      <c r="C1221" s="3" t="inlineStr">
        <is>
          <t>Blupine Energy</t>
        </is>
      </c>
      <c r="D1221" s="3" t="inlineStr">
        <is>
          <t>Utility and C&amp;I</t>
        </is>
      </c>
      <c r="E1221" s="3" t="n"/>
      <c r="F1221" s="3" t="inlineStr">
        <is>
          <t>Closed</t>
        </is>
      </c>
      <c r="G1221" s="3" t="inlineStr">
        <is>
          <t>Chandrashekar Patidar</t>
        </is>
      </c>
      <c r="H1221" s="3" t="n">
        <v>7879764773</v>
      </c>
      <c r="I1221" s="11" t="inlineStr">
        <is>
          <t>PE26032601</t>
        </is>
      </c>
      <c r="J1221" s="3" t="inlineStr">
        <is>
          <t>Module Diode Failure</t>
        </is>
      </c>
      <c r="K1221" s="3" t="inlineStr">
        <is>
          <t>Sadla</t>
        </is>
      </c>
      <c r="L1221" s="3" t="inlineStr">
        <is>
          <t>Gujarat</t>
        </is>
      </c>
      <c r="M1221" s="9" t="inlineStr">
        <is>
          <t>NS</t>
        </is>
      </c>
      <c r="N1221" s="3" t="inlineStr">
        <is>
          <t>Cold Soldering</t>
        </is>
      </c>
      <c r="O1221" s="3" t="n">
        <v>570</v>
      </c>
      <c r="P1221" s="9" t="inlineStr">
        <is>
          <t>NSMI24060141787</t>
        </is>
      </c>
      <c r="Q1221" s="53">
        <f>MID(P1221,5,2)</f>
        <v/>
      </c>
      <c r="R1221" s="53">
        <f>MID(P1221,7,2)</f>
        <v/>
      </c>
      <c r="S1221" s="3" t="inlineStr">
        <is>
          <t>G2G</t>
        </is>
      </c>
      <c r="T1221" s="3" t="inlineStr">
        <is>
          <t>P4</t>
        </is>
      </c>
      <c r="U1221" s="3" t="inlineStr">
        <is>
          <t>N JB Cold Soldering</t>
        </is>
      </c>
      <c r="V1221" s="3" t="inlineStr">
        <is>
          <t>Soldering</t>
        </is>
      </c>
      <c r="W1221" s="3" t="inlineStr">
        <is>
          <t>Repair</t>
        </is>
      </c>
      <c r="X1221" s="18" t="n">
        <v>46158</v>
      </c>
      <c r="Y1221" s="73">
        <f>IF(X1221="","",X1221-A1221)</f>
        <v/>
      </c>
      <c r="Z1221" s="18" t="n">
        <v>46158</v>
      </c>
      <c r="AA1221" s="15" t="n"/>
      <c r="AB1221" s="15" t="n"/>
      <c r="AF1221">
        <f>IF(AND($F1221="Closed",$X1221&gt;=DATE(2026,5,1),$X1221&lt;=DATE(2026,5,31)),"Closed in May","Other")</f>
        <v/>
      </c>
    </row>
    <row r="1222">
      <c r="A1222" s="6" t="n">
        <v>46107</v>
      </c>
      <c r="B1222" s="3" t="n">
        <v>2026</v>
      </c>
      <c r="C1222" s="3" t="inlineStr">
        <is>
          <t>Blupine Energy</t>
        </is>
      </c>
      <c r="D1222" s="3" t="inlineStr">
        <is>
          <t>Utility and C&amp;I</t>
        </is>
      </c>
      <c r="E1222" s="3" t="n"/>
      <c r="F1222" s="3" t="inlineStr">
        <is>
          <t>Closed</t>
        </is>
      </c>
      <c r="G1222" s="3" t="inlineStr">
        <is>
          <t>Chandrashekar Patidar</t>
        </is>
      </c>
      <c r="H1222" s="3" t="n">
        <v>7879764773</v>
      </c>
      <c r="I1222" s="11" t="inlineStr">
        <is>
          <t>PE26032601</t>
        </is>
      </c>
      <c r="J1222" s="3" t="inlineStr">
        <is>
          <t>Module Diode Failure</t>
        </is>
      </c>
      <c r="K1222" s="3" t="inlineStr">
        <is>
          <t>Sadla</t>
        </is>
      </c>
      <c r="L1222" s="3" t="inlineStr">
        <is>
          <t>Gujarat</t>
        </is>
      </c>
      <c r="M1222" s="9" t="inlineStr">
        <is>
          <t>PS</t>
        </is>
      </c>
      <c r="N1222" s="3" t="inlineStr">
        <is>
          <t>Cold Soldering</t>
        </is>
      </c>
      <c r="O1222" s="3" t="n">
        <v>570</v>
      </c>
      <c r="P1222" s="9" t="inlineStr">
        <is>
          <t>NSMI24060145424</t>
        </is>
      </c>
      <c r="Q1222" s="53">
        <f>MID(P1222,5,2)</f>
        <v/>
      </c>
      <c r="R1222" s="53">
        <f>MID(P1222,7,2)</f>
        <v/>
      </c>
      <c r="S1222" s="3" t="inlineStr">
        <is>
          <t>G2G</t>
        </is>
      </c>
      <c r="T1222" s="3" t="inlineStr">
        <is>
          <t>P4</t>
        </is>
      </c>
      <c r="U1222" s="3" t="inlineStr">
        <is>
          <t>P JB Cold Soldering</t>
        </is>
      </c>
      <c r="V1222" s="3" t="inlineStr">
        <is>
          <t>Soldering</t>
        </is>
      </c>
      <c r="W1222" s="3" t="inlineStr">
        <is>
          <t>Repair</t>
        </is>
      </c>
      <c r="X1222" s="18" t="n">
        <v>46158</v>
      </c>
      <c r="Y1222" s="73">
        <f>IF(X1222="","",X1222-A1222)</f>
        <v/>
      </c>
      <c r="Z1222" s="18" t="n">
        <v>46158</v>
      </c>
      <c r="AA1222" s="15" t="n"/>
      <c r="AB1222" s="15" t="n"/>
      <c r="AF1222">
        <f>IF(AND($F1222="Closed",$X1222&gt;=DATE(2026,5,1),$X1222&lt;=DATE(2026,5,31)),"Closed in May","Other")</f>
        <v/>
      </c>
    </row>
    <row r="1223">
      <c r="A1223" s="6" t="n">
        <v>46107</v>
      </c>
      <c r="B1223" s="3" t="n">
        <v>2026</v>
      </c>
      <c r="C1223" s="3" t="inlineStr">
        <is>
          <t>Blupine Energy</t>
        </is>
      </c>
      <c r="D1223" s="3" t="inlineStr">
        <is>
          <t>Utility and C&amp;I</t>
        </is>
      </c>
      <c r="E1223" s="3" t="n"/>
      <c r="F1223" s="3" t="inlineStr">
        <is>
          <t>Closed</t>
        </is>
      </c>
      <c r="G1223" s="3" t="inlineStr">
        <is>
          <t>Chandrashekar Patidar</t>
        </is>
      </c>
      <c r="H1223" s="3" t="n">
        <v>7879764773</v>
      </c>
      <c r="I1223" s="11" t="inlineStr">
        <is>
          <t>PE26032601</t>
        </is>
      </c>
      <c r="J1223" s="3" t="inlineStr">
        <is>
          <t>Module Diode Failure</t>
        </is>
      </c>
      <c r="K1223" s="3" t="inlineStr">
        <is>
          <t>Sadla</t>
        </is>
      </c>
      <c r="L1223" s="3" t="inlineStr">
        <is>
          <t>Gujarat</t>
        </is>
      </c>
      <c r="M1223" s="9" t="inlineStr">
        <is>
          <t>PS</t>
        </is>
      </c>
      <c r="N1223" s="3" t="inlineStr">
        <is>
          <t>Cold Soldering</t>
        </is>
      </c>
      <c r="O1223" s="3" t="n">
        <v>570</v>
      </c>
      <c r="P1223" s="9" t="inlineStr">
        <is>
          <t>NSMI24060145416</t>
        </is>
      </c>
      <c r="Q1223" s="53">
        <f>MID(P1223,5,2)</f>
        <v/>
      </c>
      <c r="R1223" s="53">
        <f>MID(P1223,7,2)</f>
        <v/>
      </c>
      <c r="S1223" s="3" t="inlineStr">
        <is>
          <t>G2G</t>
        </is>
      </c>
      <c r="T1223" s="3" t="inlineStr">
        <is>
          <t>P4</t>
        </is>
      </c>
      <c r="U1223" s="3" t="inlineStr">
        <is>
          <t>P JB Cold Soldering</t>
        </is>
      </c>
      <c r="V1223" s="3" t="inlineStr">
        <is>
          <t>Soldering</t>
        </is>
      </c>
      <c r="W1223" s="3" t="inlineStr">
        <is>
          <t>Repair</t>
        </is>
      </c>
      <c r="X1223" s="18" t="n">
        <v>46158</v>
      </c>
      <c r="Y1223" s="73">
        <f>IF(X1223="","",X1223-A1223)</f>
        <v/>
      </c>
      <c r="Z1223" s="18" t="n">
        <v>46158</v>
      </c>
      <c r="AA1223" s="15" t="n"/>
      <c r="AB1223" s="15" t="n"/>
      <c r="AF1223">
        <f>IF(AND($F1223="Closed",$X1223&gt;=DATE(2026,5,1),$X1223&lt;=DATE(2026,5,31)),"Closed in May","Other")</f>
        <v/>
      </c>
    </row>
    <row r="1224">
      <c r="A1224" s="6" t="n">
        <v>46107</v>
      </c>
      <c r="B1224" s="3" t="n">
        <v>2026</v>
      </c>
      <c r="C1224" s="3" t="inlineStr">
        <is>
          <t>Blupine Energy</t>
        </is>
      </c>
      <c r="D1224" s="3" t="inlineStr">
        <is>
          <t>Utility and C&amp;I</t>
        </is>
      </c>
      <c r="E1224" s="3" t="n"/>
      <c r="F1224" s="3" t="inlineStr">
        <is>
          <t>Closed</t>
        </is>
      </c>
      <c r="G1224" s="3" t="inlineStr">
        <is>
          <t>Chandrashekar Patidar</t>
        </is>
      </c>
      <c r="H1224" s="3" t="n">
        <v>7879764773</v>
      </c>
      <c r="I1224" s="11" t="inlineStr">
        <is>
          <t>PE26032601</t>
        </is>
      </c>
      <c r="J1224" s="3" t="inlineStr">
        <is>
          <t>Module Diode Failure</t>
        </is>
      </c>
      <c r="K1224" s="3" t="inlineStr">
        <is>
          <t>Sadla</t>
        </is>
      </c>
      <c r="L1224" s="3" t="inlineStr">
        <is>
          <t>Gujarat</t>
        </is>
      </c>
      <c r="M1224" s="9" t="inlineStr">
        <is>
          <t>NS</t>
        </is>
      </c>
      <c r="N1224" s="3" t="inlineStr">
        <is>
          <t>Cold Soldering</t>
        </is>
      </c>
      <c r="O1224" s="3" t="n">
        <v>570</v>
      </c>
      <c r="P1224" s="9" t="inlineStr">
        <is>
          <t>NSMI24060141864</t>
        </is>
      </c>
      <c r="Q1224" s="53">
        <f>MID(P1224,5,2)</f>
        <v/>
      </c>
      <c r="R1224" s="53">
        <f>MID(P1224,7,2)</f>
        <v/>
      </c>
      <c r="S1224" s="3" t="inlineStr">
        <is>
          <t>G2G</t>
        </is>
      </c>
      <c r="T1224" s="3" t="inlineStr">
        <is>
          <t>P4</t>
        </is>
      </c>
      <c r="U1224" s="3" t="inlineStr">
        <is>
          <t>N JB Cold Soldering</t>
        </is>
      </c>
      <c r="V1224" s="3" t="inlineStr">
        <is>
          <t>Soldering</t>
        </is>
      </c>
      <c r="W1224" s="3" t="inlineStr">
        <is>
          <t>Repair</t>
        </is>
      </c>
      <c r="X1224" s="18" t="n">
        <v>46158</v>
      </c>
      <c r="Y1224" s="73">
        <f>IF(X1224="","",X1224-A1224)</f>
        <v/>
      </c>
      <c r="Z1224" s="18" t="n">
        <v>46158</v>
      </c>
      <c r="AA1224" s="15" t="n"/>
      <c r="AB1224" s="15" t="n"/>
      <c r="AF1224">
        <f>IF(AND($F1224="Closed",$X1224&gt;=DATE(2026,5,1),$X1224&lt;=DATE(2026,5,31)),"Closed in May","Other")</f>
        <v/>
      </c>
    </row>
    <row r="1225">
      <c r="A1225" s="6" t="n">
        <v>46107</v>
      </c>
      <c r="B1225" s="3" t="n">
        <v>2026</v>
      </c>
      <c r="C1225" s="3" t="inlineStr">
        <is>
          <t>Blupine Energy</t>
        </is>
      </c>
      <c r="D1225" s="3" t="inlineStr">
        <is>
          <t>Utility and C&amp;I</t>
        </is>
      </c>
      <c r="E1225" s="3" t="n"/>
      <c r="F1225" s="3" t="inlineStr">
        <is>
          <t>Closed</t>
        </is>
      </c>
      <c r="G1225" s="3" t="inlineStr">
        <is>
          <t>Chandrashekar Patidar</t>
        </is>
      </c>
      <c r="H1225" s="3" t="n">
        <v>7879764773</v>
      </c>
      <c r="I1225" s="11" t="inlineStr">
        <is>
          <t>PE26032601</t>
        </is>
      </c>
      <c r="J1225" s="3" t="inlineStr">
        <is>
          <t>Module Diode Failure</t>
        </is>
      </c>
      <c r="K1225" s="3" t="inlineStr">
        <is>
          <t>Sadla</t>
        </is>
      </c>
      <c r="L1225" s="3" t="inlineStr">
        <is>
          <t>Gujarat</t>
        </is>
      </c>
      <c r="M1225" s="9" t="inlineStr">
        <is>
          <t>NS</t>
        </is>
      </c>
      <c r="N1225" s="3" t="inlineStr">
        <is>
          <t>Cold Soldering</t>
        </is>
      </c>
      <c r="O1225" s="3" t="n">
        <v>570</v>
      </c>
      <c r="P1225" s="9" t="inlineStr">
        <is>
          <t>NSMI24060163161</t>
        </is>
      </c>
      <c r="Q1225" s="53">
        <f>MID(P1225,5,2)</f>
        <v/>
      </c>
      <c r="R1225" s="53">
        <f>MID(P1225,7,2)</f>
        <v/>
      </c>
      <c r="S1225" s="3" t="inlineStr">
        <is>
          <t>G2G</t>
        </is>
      </c>
      <c r="T1225" s="3" t="inlineStr">
        <is>
          <t>P4</t>
        </is>
      </c>
      <c r="U1225" s="3" t="inlineStr">
        <is>
          <t>N JB Cold Soldering</t>
        </is>
      </c>
      <c r="V1225" s="3" t="inlineStr">
        <is>
          <t>Soldering</t>
        </is>
      </c>
      <c r="W1225" s="3" t="inlineStr">
        <is>
          <t>Repair</t>
        </is>
      </c>
      <c r="X1225" s="18" t="n">
        <v>46158</v>
      </c>
      <c r="Y1225" s="73">
        <f>IF(X1225="","",X1225-A1225)</f>
        <v/>
      </c>
      <c r="Z1225" s="18" t="n">
        <v>46158</v>
      </c>
      <c r="AA1225" s="15" t="n"/>
      <c r="AB1225" s="15" t="n"/>
      <c r="AF1225">
        <f>IF(AND($F1225="Closed",$X1225&gt;=DATE(2026,5,1),$X1225&lt;=DATE(2026,5,31)),"Closed in May","Other")</f>
        <v/>
      </c>
    </row>
    <row r="1226">
      <c r="A1226" s="6" t="n">
        <v>46107</v>
      </c>
      <c r="B1226" s="3" t="n">
        <v>2026</v>
      </c>
      <c r="C1226" s="3" t="inlineStr">
        <is>
          <t>Blupine Energy</t>
        </is>
      </c>
      <c r="D1226" s="3" t="inlineStr">
        <is>
          <t>Utility and C&amp;I</t>
        </is>
      </c>
      <c r="E1226" s="3" t="n"/>
      <c r="F1226" s="3" t="inlineStr">
        <is>
          <t>Closed</t>
        </is>
      </c>
      <c r="G1226" s="3" t="inlineStr">
        <is>
          <t>Chandrashekar Patidar</t>
        </is>
      </c>
      <c r="H1226" s="3" t="n">
        <v>7879764773</v>
      </c>
      <c r="I1226" s="11" t="inlineStr">
        <is>
          <t>PE26032601</t>
        </is>
      </c>
      <c r="J1226" s="3" t="inlineStr">
        <is>
          <t>Module Diode Failure</t>
        </is>
      </c>
      <c r="K1226" s="3" t="inlineStr">
        <is>
          <t>Sadla</t>
        </is>
      </c>
      <c r="L1226" s="3" t="inlineStr">
        <is>
          <t>Gujarat</t>
        </is>
      </c>
      <c r="M1226" s="9" t="inlineStr">
        <is>
          <t>NS</t>
        </is>
      </c>
      <c r="N1226" s="3" t="inlineStr">
        <is>
          <t>Cold Soldering</t>
        </is>
      </c>
      <c r="O1226" s="3" t="n">
        <v>570</v>
      </c>
      <c r="P1226" s="9" t="inlineStr">
        <is>
          <t>NSMI24060158692</t>
        </is>
      </c>
      <c r="Q1226" s="53">
        <f>MID(P1226,5,2)</f>
        <v/>
      </c>
      <c r="R1226" s="53">
        <f>MID(P1226,7,2)</f>
        <v/>
      </c>
      <c r="S1226" s="3" t="inlineStr">
        <is>
          <t>G2G</t>
        </is>
      </c>
      <c r="T1226" s="3" t="inlineStr">
        <is>
          <t>P4</t>
        </is>
      </c>
      <c r="U1226" s="3" t="inlineStr">
        <is>
          <t>N JB Cold Soldering</t>
        </is>
      </c>
      <c r="V1226" s="3" t="inlineStr">
        <is>
          <t>Soldering</t>
        </is>
      </c>
      <c r="W1226" s="3" t="inlineStr">
        <is>
          <t>Repair</t>
        </is>
      </c>
      <c r="X1226" s="18" t="n">
        <v>46158</v>
      </c>
      <c r="Y1226" s="73">
        <f>IF(X1226="","",X1226-A1226)</f>
        <v/>
      </c>
      <c r="Z1226" s="18" t="n">
        <v>46158</v>
      </c>
      <c r="AA1226" s="15" t="n"/>
      <c r="AB1226" s="15" t="n"/>
      <c r="AF1226">
        <f>IF(AND($F1226="Closed",$X1226&gt;=DATE(2026,5,1),$X1226&lt;=DATE(2026,5,31)),"Closed in May","Other")</f>
        <v/>
      </c>
    </row>
    <row r="1227">
      <c r="A1227" s="6" t="n">
        <v>46107</v>
      </c>
      <c r="B1227" s="3" t="n">
        <v>2026</v>
      </c>
      <c r="C1227" s="3" t="inlineStr">
        <is>
          <t>Blupine Energy</t>
        </is>
      </c>
      <c r="D1227" s="3" t="inlineStr">
        <is>
          <t>Utility and C&amp;I</t>
        </is>
      </c>
      <c r="E1227" s="3" t="n"/>
      <c r="F1227" s="3" t="inlineStr">
        <is>
          <t>Closed</t>
        </is>
      </c>
      <c r="G1227" s="3" t="inlineStr">
        <is>
          <t>Chandrashekar Patidar</t>
        </is>
      </c>
      <c r="H1227" s="3" t="n">
        <v>7879764773</v>
      </c>
      <c r="I1227" s="11" t="inlineStr">
        <is>
          <t>PE26032601</t>
        </is>
      </c>
      <c r="J1227" s="3" t="inlineStr">
        <is>
          <t>Module Diode Failure</t>
        </is>
      </c>
      <c r="K1227" s="3" t="inlineStr">
        <is>
          <t>Sadla</t>
        </is>
      </c>
      <c r="L1227" s="3" t="inlineStr">
        <is>
          <t>Gujarat</t>
        </is>
      </c>
      <c r="M1227" s="9" t="inlineStr">
        <is>
          <t>NS</t>
        </is>
      </c>
      <c r="N1227" s="3" t="inlineStr">
        <is>
          <t>Cold Soldering</t>
        </is>
      </c>
      <c r="O1227" s="3" t="n">
        <v>570</v>
      </c>
      <c r="P1227" s="9" t="inlineStr">
        <is>
          <t>NSMI24060155608</t>
        </is>
      </c>
      <c r="Q1227" s="53">
        <f>MID(P1227,5,2)</f>
        <v/>
      </c>
      <c r="R1227" s="53">
        <f>MID(P1227,7,2)</f>
        <v/>
      </c>
      <c r="S1227" s="3" t="inlineStr">
        <is>
          <t>G2G</t>
        </is>
      </c>
      <c r="T1227" s="3" t="inlineStr">
        <is>
          <t>P4</t>
        </is>
      </c>
      <c r="U1227" s="3" t="inlineStr">
        <is>
          <t>N JB Cold Soldering</t>
        </is>
      </c>
      <c r="V1227" s="3" t="inlineStr">
        <is>
          <t>Soldering</t>
        </is>
      </c>
      <c r="W1227" s="3" t="inlineStr">
        <is>
          <t>Repair</t>
        </is>
      </c>
      <c r="X1227" s="18" t="n">
        <v>46158</v>
      </c>
      <c r="Y1227" s="73">
        <f>IF(X1227="","",X1227-A1227)</f>
        <v/>
      </c>
      <c r="Z1227" s="18" t="n">
        <v>46158</v>
      </c>
      <c r="AA1227" s="15" t="n"/>
      <c r="AB1227" s="15" t="n"/>
      <c r="AF1227">
        <f>IF(AND($F1227="Closed",$X1227&gt;=DATE(2026,5,1),$X1227&lt;=DATE(2026,5,31)),"Closed in May","Other")</f>
        <v/>
      </c>
    </row>
    <row r="1228">
      <c r="A1228" s="6" t="n">
        <v>46107</v>
      </c>
      <c r="B1228" s="3" t="n">
        <v>2026</v>
      </c>
      <c r="C1228" s="3" t="inlineStr">
        <is>
          <t>Blupine Energy</t>
        </is>
      </c>
      <c r="D1228" s="3" t="inlineStr">
        <is>
          <t>Utility and C&amp;I</t>
        </is>
      </c>
      <c r="E1228" s="3" t="n"/>
      <c r="F1228" s="3" t="inlineStr">
        <is>
          <t>Closed</t>
        </is>
      </c>
      <c r="G1228" s="3" t="inlineStr">
        <is>
          <t>Chandrashekar Patidar</t>
        </is>
      </c>
      <c r="H1228" s="3" t="n">
        <v>7879764773</v>
      </c>
      <c r="I1228" s="11" t="inlineStr">
        <is>
          <t>PE26032601</t>
        </is>
      </c>
      <c r="J1228" s="3" t="inlineStr">
        <is>
          <t>Module Diode Failure</t>
        </is>
      </c>
      <c r="K1228" s="3" t="inlineStr">
        <is>
          <t>Sadla</t>
        </is>
      </c>
      <c r="L1228" s="3" t="inlineStr">
        <is>
          <t>Gujarat</t>
        </is>
      </c>
      <c r="M1228" s="9" t="inlineStr">
        <is>
          <t>NS</t>
        </is>
      </c>
      <c r="N1228" s="3" t="inlineStr">
        <is>
          <t>Cold Soldering</t>
        </is>
      </c>
      <c r="O1228" s="3" t="n">
        <v>570</v>
      </c>
      <c r="P1228" s="9" t="inlineStr">
        <is>
          <t>NSMI24070167308</t>
        </is>
      </c>
      <c r="Q1228" s="53">
        <f>MID(P1228,5,2)</f>
        <v/>
      </c>
      <c r="R1228" s="53">
        <f>MID(P1228,7,2)</f>
        <v/>
      </c>
      <c r="S1228" s="3" t="inlineStr">
        <is>
          <t>G2G</t>
        </is>
      </c>
      <c r="T1228" s="3" t="inlineStr">
        <is>
          <t>P4</t>
        </is>
      </c>
      <c r="U1228" s="3" t="inlineStr">
        <is>
          <t>N JB Cold Soldering</t>
        </is>
      </c>
      <c r="V1228" s="3" t="inlineStr">
        <is>
          <t>Soldering</t>
        </is>
      </c>
      <c r="W1228" s="3" t="inlineStr">
        <is>
          <t>Repair</t>
        </is>
      </c>
      <c r="X1228" s="18" t="n">
        <v>46158</v>
      </c>
      <c r="Y1228" s="73">
        <f>IF(X1228="","",X1228-A1228)</f>
        <v/>
      </c>
      <c r="Z1228" s="18" t="n">
        <v>46158</v>
      </c>
      <c r="AA1228" s="15" t="n"/>
      <c r="AB1228" s="15" t="n"/>
      <c r="AF1228">
        <f>IF(AND($F1228="Closed",$X1228&gt;=DATE(2026,5,1),$X1228&lt;=DATE(2026,5,31)),"Closed in May","Other")</f>
        <v/>
      </c>
    </row>
    <row r="1229">
      <c r="A1229" s="6" t="n">
        <v>46107</v>
      </c>
      <c r="B1229" s="3" t="n">
        <v>2026</v>
      </c>
      <c r="C1229" s="3" t="inlineStr">
        <is>
          <t>Blupine Energy</t>
        </is>
      </c>
      <c r="D1229" s="3" t="inlineStr">
        <is>
          <t>Utility and C&amp;I</t>
        </is>
      </c>
      <c r="E1229" s="3" t="n"/>
      <c r="F1229" s="3" t="inlineStr">
        <is>
          <t>Closed</t>
        </is>
      </c>
      <c r="G1229" s="3" t="inlineStr">
        <is>
          <t>Chandrashekar Patidar</t>
        </is>
      </c>
      <c r="H1229" s="3" t="n">
        <v>7879764773</v>
      </c>
      <c r="I1229" s="11" t="inlineStr">
        <is>
          <t>PE26032601</t>
        </is>
      </c>
      <c r="J1229" s="3" t="inlineStr">
        <is>
          <t>Module Diode Failure</t>
        </is>
      </c>
      <c r="K1229" s="3" t="inlineStr">
        <is>
          <t>Sadla</t>
        </is>
      </c>
      <c r="L1229" s="3" t="inlineStr">
        <is>
          <t>Gujarat</t>
        </is>
      </c>
      <c r="M1229" s="9" t="inlineStr">
        <is>
          <t>PS</t>
        </is>
      </c>
      <c r="N1229" s="3" t="inlineStr">
        <is>
          <t>Cold Soldering</t>
        </is>
      </c>
      <c r="O1229" s="3" t="n">
        <v>570</v>
      </c>
      <c r="P1229" s="9" t="inlineStr">
        <is>
          <t>NSMI24060143953</t>
        </is>
      </c>
      <c r="Q1229" s="53">
        <f>MID(P1229,5,2)</f>
        <v/>
      </c>
      <c r="R1229" s="53">
        <f>MID(P1229,7,2)</f>
        <v/>
      </c>
      <c r="S1229" s="3" t="inlineStr">
        <is>
          <t>G2G</t>
        </is>
      </c>
      <c r="T1229" s="3" t="inlineStr">
        <is>
          <t>P4</t>
        </is>
      </c>
      <c r="U1229" s="3" t="inlineStr">
        <is>
          <t>P JB Cold Soldering</t>
        </is>
      </c>
      <c r="V1229" s="3" t="inlineStr">
        <is>
          <t>Soldering</t>
        </is>
      </c>
      <c r="W1229" s="3" t="inlineStr">
        <is>
          <t>Repair</t>
        </is>
      </c>
      <c r="X1229" s="18" t="n">
        <v>46158</v>
      </c>
      <c r="Y1229" s="73">
        <f>IF(X1229="","",X1229-A1229)</f>
        <v/>
      </c>
      <c r="Z1229" s="18" t="n">
        <v>46158</v>
      </c>
      <c r="AA1229" s="15" t="n"/>
      <c r="AB1229" s="15" t="n"/>
      <c r="AF1229">
        <f>IF(AND($F1229="Closed",$X1229&gt;=DATE(2026,5,1),$X1229&lt;=DATE(2026,5,31)),"Closed in May","Other")</f>
        <v/>
      </c>
    </row>
    <row r="1230">
      <c r="A1230" s="6" t="n">
        <v>46107</v>
      </c>
      <c r="B1230" s="3" t="n">
        <v>2026</v>
      </c>
      <c r="C1230" s="3" t="inlineStr">
        <is>
          <t>Blupine Energy</t>
        </is>
      </c>
      <c r="D1230" s="3" t="inlineStr">
        <is>
          <t>Utility and C&amp;I</t>
        </is>
      </c>
      <c r="E1230" s="3" t="n"/>
      <c r="F1230" s="3" t="inlineStr">
        <is>
          <t>Closed</t>
        </is>
      </c>
      <c r="G1230" s="3" t="inlineStr">
        <is>
          <t>Chandrashekar Patidar</t>
        </is>
      </c>
      <c r="H1230" s="3" t="n">
        <v>7879764773</v>
      </c>
      <c r="I1230" s="11" t="inlineStr">
        <is>
          <t>PE26032601</t>
        </is>
      </c>
      <c r="J1230" s="3" t="inlineStr">
        <is>
          <t>Module Diode Failure</t>
        </is>
      </c>
      <c r="K1230" s="3" t="inlineStr">
        <is>
          <t>Sadla</t>
        </is>
      </c>
      <c r="L1230" s="3" t="inlineStr">
        <is>
          <t>Gujarat</t>
        </is>
      </c>
      <c r="M1230" s="9" t="inlineStr">
        <is>
          <t>NS</t>
        </is>
      </c>
      <c r="N1230" s="3" t="inlineStr">
        <is>
          <t>Cold Soldering</t>
        </is>
      </c>
      <c r="O1230" s="3" t="n">
        <v>570</v>
      </c>
      <c r="P1230" s="9" t="inlineStr">
        <is>
          <t>NSMI24060158226</t>
        </is>
      </c>
      <c r="Q1230" s="53">
        <f>MID(P1230,5,2)</f>
        <v/>
      </c>
      <c r="R1230" s="53">
        <f>MID(P1230,7,2)</f>
        <v/>
      </c>
      <c r="S1230" s="3" t="inlineStr">
        <is>
          <t>G2G</t>
        </is>
      </c>
      <c r="T1230" s="3" t="inlineStr">
        <is>
          <t>P4</t>
        </is>
      </c>
      <c r="U1230" s="3" t="inlineStr">
        <is>
          <t>N JB Cold Soldering</t>
        </is>
      </c>
      <c r="V1230" s="3" t="inlineStr">
        <is>
          <t>Soldering</t>
        </is>
      </c>
      <c r="W1230" s="3" t="inlineStr">
        <is>
          <t>Repair</t>
        </is>
      </c>
      <c r="X1230" s="18" t="n">
        <v>46158</v>
      </c>
      <c r="Y1230" s="73">
        <f>IF(X1230="","",X1230-A1230)</f>
        <v/>
      </c>
      <c r="Z1230" s="18" t="n">
        <v>46158</v>
      </c>
      <c r="AA1230" s="15" t="n"/>
      <c r="AB1230" s="15" t="n"/>
      <c r="AF1230">
        <f>IF(AND($F1230="Closed",$X1230&gt;=DATE(2026,5,1),$X1230&lt;=DATE(2026,5,31)),"Closed in May","Other")</f>
        <v/>
      </c>
    </row>
    <row r="1231">
      <c r="A1231" s="6" t="n">
        <v>46107</v>
      </c>
      <c r="B1231" s="3" t="n">
        <v>2026</v>
      </c>
      <c r="C1231" s="3" t="inlineStr">
        <is>
          <t>Blupine Energy</t>
        </is>
      </c>
      <c r="D1231" s="3" t="inlineStr">
        <is>
          <t>Utility and C&amp;I</t>
        </is>
      </c>
      <c r="E1231" s="3" t="n"/>
      <c r="F1231" s="3" t="inlineStr">
        <is>
          <t>Closed</t>
        </is>
      </c>
      <c r="G1231" s="3" t="inlineStr">
        <is>
          <t>Chandrashekar Patidar</t>
        </is>
      </c>
      <c r="H1231" s="3" t="n">
        <v>7879764773</v>
      </c>
      <c r="I1231" s="11" t="inlineStr">
        <is>
          <t>PE26032601</t>
        </is>
      </c>
      <c r="J1231" s="3" t="inlineStr">
        <is>
          <t>Module Diode Failure</t>
        </is>
      </c>
      <c r="K1231" s="3" t="inlineStr">
        <is>
          <t>Sadla</t>
        </is>
      </c>
      <c r="L1231" s="3" t="inlineStr">
        <is>
          <t>Gujarat</t>
        </is>
      </c>
      <c r="M1231" s="9" t="inlineStr">
        <is>
          <t>PS</t>
        </is>
      </c>
      <c r="N1231" s="3" t="inlineStr">
        <is>
          <t>Cold Soldering</t>
        </is>
      </c>
      <c r="O1231" s="3" t="n">
        <v>570</v>
      </c>
      <c r="P1231" s="9" t="inlineStr">
        <is>
          <t>NSMI24060163641</t>
        </is>
      </c>
      <c r="Q1231" s="53">
        <f>MID(P1231,5,2)</f>
        <v/>
      </c>
      <c r="R1231" s="53">
        <f>MID(P1231,7,2)</f>
        <v/>
      </c>
      <c r="S1231" s="3" t="inlineStr">
        <is>
          <t>G2G</t>
        </is>
      </c>
      <c r="T1231" s="3" t="inlineStr">
        <is>
          <t>P4</t>
        </is>
      </c>
      <c r="U1231" s="3" t="inlineStr">
        <is>
          <t>P JB Cold Soldering</t>
        </is>
      </c>
      <c r="V1231" s="3" t="inlineStr">
        <is>
          <t>Soldering</t>
        </is>
      </c>
      <c r="W1231" s="3" t="inlineStr">
        <is>
          <t>Repair</t>
        </is>
      </c>
      <c r="X1231" s="18" t="n">
        <v>46158</v>
      </c>
      <c r="Y1231" s="73">
        <f>IF(X1231="","",X1231-A1231)</f>
        <v/>
      </c>
      <c r="Z1231" s="18" t="n">
        <v>46158</v>
      </c>
      <c r="AA1231" s="15" t="n"/>
      <c r="AB1231" s="15" t="n"/>
      <c r="AF1231">
        <f>IF(AND($F1231="Closed",$X1231&gt;=DATE(2026,5,1),$X1231&lt;=DATE(2026,5,31)),"Closed in May","Other")</f>
        <v/>
      </c>
    </row>
    <row r="1232">
      <c r="A1232" s="6" t="n">
        <v>46107</v>
      </c>
      <c r="B1232" s="3" t="n">
        <v>2026</v>
      </c>
      <c r="C1232" s="3" t="inlineStr">
        <is>
          <t>Blupine Energy</t>
        </is>
      </c>
      <c r="D1232" s="3" t="inlineStr">
        <is>
          <t>Utility and C&amp;I</t>
        </is>
      </c>
      <c r="E1232" s="3" t="n"/>
      <c r="F1232" s="3" t="inlineStr">
        <is>
          <t>Closed</t>
        </is>
      </c>
      <c r="G1232" s="3" t="inlineStr">
        <is>
          <t>Chandrashekar Patidar</t>
        </is>
      </c>
      <c r="H1232" s="3" t="n">
        <v>7879764773</v>
      </c>
      <c r="I1232" s="11" t="inlineStr">
        <is>
          <t>PE26032601</t>
        </is>
      </c>
      <c r="J1232" s="3" t="inlineStr">
        <is>
          <t>Module Diode Failure</t>
        </is>
      </c>
      <c r="K1232" s="3" t="inlineStr">
        <is>
          <t>Sadla</t>
        </is>
      </c>
      <c r="L1232" s="3" t="inlineStr">
        <is>
          <t>Gujarat</t>
        </is>
      </c>
      <c r="M1232" s="9" t="inlineStr">
        <is>
          <t>NS</t>
        </is>
      </c>
      <c r="N1232" s="3" t="inlineStr">
        <is>
          <t>Cold Soldering</t>
        </is>
      </c>
      <c r="O1232" s="3" t="n">
        <v>570</v>
      </c>
      <c r="P1232" s="9" t="inlineStr">
        <is>
          <t>NSMI24060151318</t>
        </is>
      </c>
      <c r="Q1232" s="53">
        <f>MID(P1232,5,2)</f>
        <v/>
      </c>
      <c r="R1232" s="53">
        <f>MID(P1232,7,2)</f>
        <v/>
      </c>
      <c r="S1232" s="3" t="inlineStr">
        <is>
          <t>G2G</t>
        </is>
      </c>
      <c r="T1232" s="3" t="inlineStr">
        <is>
          <t>P4</t>
        </is>
      </c>
      <c r="U1232" s="3" t="inlineStr">
        <is>
          <t>N JB Cold Soldering</t>
        </is>
      </c>
      <c r="V1232" s="3" t="inlineStr">
        <is>
          <t>Soldering</t>
        </is>
      </c>
      <c r="W1232" s="3" t="inlineStr">
        <is>
          <t>Repair</t>
        </is>
      </c>
      <c r="X1232" s="18" t="n">
        <v>46158</v>
      </c>
      <c r="Y1232" s="73">
        <f>IF(X1232="","",X1232-A1232)</f>
        <v/>
      </c>
      <c r="Z1232" s="18" t="n">
        <v>46158</v>
      </c>
      <c r="AA1232" s="15" t="n"/>
      <c r="AB1232" s="15" t="n"/>
      <c r="AF1232">
        <f>IF(AND($F1232="Closed",$X1232&gt;=DATE(2026,5,1),$X1232&lt;=DATE(2026,5,31)),"Closed in May","Other")</f>
        <v/>
      </c>
    </row>
    <row r="1233">
      <c r="A1233" s="6" t="n">
        <v>46107</v>
      </c>
      <c r="B1233" s="3" t="n">
        <v>2026</v>
      </c>
      <c r="C1233" s="3" t="inlineStr">
        <is>
          <t>Blupine Energy</t>
        </is>
      </c>
      <c r="D1233" s="3" t="inlineStr">
        <is>
          <t>Utility and C&amp;I</t>
        </is>
      </c>
      <c r="E1233" s="3" t="n"/>
      <c r="F1233" s="3" t="inlineStr">
        <is>
          <t>Closed</t>
        </is>
      </c>
      <c r="G1233" s="3" t="inlineStr">
        <is>
          <t>Chandrashekar Patidar</t>
        </is>
      </c>
      <c r="H1233" s="3" t="n">
        <v>7879764773</v>
      </c>
      <c r="I1233" s="11" t="inlineStr">
        <is>
          <t>PE26032601</t>
        </is>
      </c>
      <c r="J1233" s="3" t="inlineStr">
        <is>
          <t>Module Diode Failure</t>
        </is>
      </c>
      <c r="K1233" s="3" t="inlineStr">
        <is>
          <t>Sadla</t>
        </is>
      </c>
      <c r="L1233" s="3" t="inlineStr">
        <is>
          <t>Gujarat</t>
        </is>
      </c>
      <c r="M1233" s="9" t="inlineStr">
        <is>
          <t>NR</t>
        </is>
      </c>
      <c r="N1233" s="3" t="inlineStr">
        <is>
          <t>JB Issue</t>
        </is>
      </c>
      <c r="O1233" s="3" t="n">
        <v>570</v>
      </c>
      <c r="P1233" s="9" t="inlineStr">
        <is>
          <t>NSMI24060145700</t>
        </is>
      </c>
      <c r="Q1233" s="53">
        <f>MID(P1233,5,2)</f>
        <v/>
      </c>
      <c r="R1233" s="53">
        <f>MID(P1233,7,2)</f>
        <v/>
      </c>
      <c r="S1233" s="3" t="inlineStr">
        <is>
          <t>G2G</t>
        </is>
      </c>
      <c r="T1233" s="3" t="inlineStr">
        <is>
          <t>P4</t>
        </is>
      </c>
      <c r="U1233" s="3" t="inlineStr">
        <is>
          <t>N JB Issue</t>
        </is>
      </c>
      <c r="V1233" s="3" t="inlineStr">
        <is>
          <t>JB Changed</t>
        </is>
      </c>
      <c r="W1233" s="3" t="inlineStr">
        <is>
          <t>Repair</t>
        </is>
      </c>
      <c r="X1233" s="18" t="n">
        <v>46158</v>
      </c>
      <c r="Y1233" s="73">
        <f>IF(X1233="","",X1233-A1233)</f>
        <v/>
      </c>
      <c r="Z1233" s="18" t="n">
        <v>46158</v>
      </c>
      <c r="AA1233" s="15" t="n"/>
      <c r="AB1233" s="15" t="n"/>
      <c r="AF1233">
        <f>IF(AND($F1233="Closed",$X1233&gt;=DATE(2026,5,1),$X1233&lt;=DATE(2026,5,31)),"Closed in May","Other")</f>
        <v/>
      </c>
    </row>
    <row r="1234">
      <c r="A1234" s="6" t="n">
        <v>46107</v>
      </c>
      <c r="B1234" s="3" t="n">
        <v>2026</v>
      </c>
      <c r="C1234" s="3" t="inlineStr">
        <is>
          <t>Blupine Energy</t>
        </is>
      </c>
      <c r="D1234" s="3" t="inlineStr">
        <is>
          <t>Utility and C&amp;I</t>
        </is>
      </c>
      <c r="E1234" s="3" t="n"/>
      <c r="F1234" s="3" t="inlineStr">
        <is>
          <t>Closed</t>
        </is>
      </c>
      <c r="G1234" s="3" t="inlineStr">
        <is>
          <t>Chandrashekar Patidar</t>
        </is>
      </c>
      <c r="H1234" s="3" t="n">
        <v>7879764773</v>
      </c>
      <c r="I1234" s="11" t="inlineStr">
        <is>
          <t>PE26032601</t>
        </is>
      </c>
      <c r="J1234" s="3" t="inlineStr">
        <is>
          <t>Module Diode Failure</t>
        </is>
      </c>
      <c r="K1234" s="3" t="inlineStr">
        <is>
          <t>Sadla</t>
        </is>
      </c>
      <c r="L1234" s="3" t="inlineStr">
        <is>
          <t>Gujarat</t>
        </is>
      </c>
      <c r="M1234" s="9" t="inlineStr">
        <is>
          <t>NS</t>
        </is>
      </c>
      <c r="N1234" s="3" t="inlineStr">
        <is>
          <t>Cold Soldering</t>
        </is>
      </c>
      <c r="O1234" s="3" t="n">
        <v>570</v>
      </c>
      <c r="P1234" s="9" t="inlineStr">
        <is>
          <t>NSMI24060145036</t>
        </is>
      </c>
      <c r="Q1234" s="53">
        <f>MID(P1234,5,2)</f>
        <v/>
      </c>
      <c r="R1234" s="53">
        <f>MID(P1234,7,2)</f>
        <v/>
      </c>
      <c r="S1234" s="3" t="inlineStr">
        <is>
          <t>G2G</t>
        </is>
      </c>
      <c r="T1234" s="3" t="inlineStr">
        <is>
          <t>P4</t>
        </is>
      </c>
      <c r="U1234" s="3" t="inlineStr">
        <is>
          <t>N JB Cold Soldering</t>
        </is>
      </c>
      <c r="V1234" s="3" t="inlineStr">
        <is>
          <t>Soldering</t>
        </is>
      </c>
      <c r="W1234" s="3" t="inlineStr">
        <is>
          <t>Repair</t>
        </is>
      </c>
      <c r="X1234" s="18" t="n">
        <v>46158</v>
      </c>
      <c r="Y1234" s="73">
        <f>IF(X1234="","",X1234-A1234)</f>
        <v/>
      </c>
      <c r="Z1234" s="18" t="n">
        <v>46158</v>
      </c>
      <c r="AA1234" s="15" t="n"/>
      <c r="AB1234" s="15" t="n"/>
      <c r="AF1234">
        <f>IF(AND($F1234="Closed",$X1234&gt;=DATE(2026,5,1),$X1234&lt;=DATE(2026,5,31)),"Closed in May","Other")</f>
        <v/>
      </c>
    </row>
    <row r="1235">
      <c r="A1235" s="6" t="n">
        <v>46107</v>
      </c>
      <c r="B1235" s="3" t="n">
        <v>2026</v>
      </c>
      <c r="C1235" s="3" t="inlineStr">
        <is>
          <t>Blupine Energy</t>
        </is>
      </c>
      <c r="D1235" s="3" t="inlineStr">
        <is>
          <t>Utility and C&amp;I</t>
        </is>
      </c>
      <c r="E1235" s="3" t="n"/>
      <c r="F1235" s="3" t="inlineStr">
        <is>
          <t>Closed</t>
        </is>
      </c>
      <c r="G1235" s="3" t="inlineStr">
        <is>
          <t>Chandrashekar Patidar</t>
        </is>
      </c>
      <c r="H1235" s="3" t="n">
        <v>7879764773</v>
      </c>
      <c r="I1235" s="11" t="inlineStr">
        <is>
          <t>PE26032601</t>
        </is>
      </c>
      <c r="J1235" s="3" t="inlineStr">
        <is>
          <t>Module Diode Failure</t>
        </is>
      </c>
      <c r="K1235" s="3" t="inlineStr">
        <is>
          <t>Sadla</t>
        </is>
      </c>
      <c r="L1235" s="3" t="inlineStr">
        <is>
          <t>Gujarat</t>
        </is>
      </c>
      <c r="M1235" s="9" t="inlineStr">
        <is>
          <t>NS</t>
        </is>
      </c>
      <c r="N1235" s="3" t="inlineStr">
        <is>
          <t>Cold Soldering</t>
        </is>
      </c>
      <c r="O1235" s="3" t="n">
        <v>570</v>
      </c>
      <c r="P1235" s="9" t="inlineStr">
        <is>
          <t>NSMI24060145030</t>
        </is>
      </c>
      <c r="Q1235" s="53">
        <f>MID(P1235,5,2)</f>
        <v/>
      </c>
      <c r="R1235" s="53">
        <f>MID(P1235,7,2)</f>
        <v/>
      </c>
      <c r="S1235" s="3" t="inlineStr">
        <is>
          <t>G2G</t>
        </is>
      </c>
      <c r="T1235" s="3" t="inlineStr">
        <is>
          <t>P4</t>
        </is>
      </c>
      <c r="U1235" s="3" t="inlineStr">
        <is>
          <t>N JB Cold Soldering</t>
        </is>
      </c>
      <c r="V1235" s="3" t="inlineStr">
        <is>
          <t>Soldering</t>
        </is>
      </c>
      <c r="W1235" s="3" t="inlineStr">
        <is>
          <t>Repair</t>
        </is>
      </c>
      <c r="X1235" s="18" t="n">
        <v>46158</v>
      </c>
      <c r="Y1235" s="73">
        <f>IF(X1235="","",X1235-A1235)</f>
        <v/>
      </c>
      <c r="Z1235" s="18" t="n">
        <v>46158</v>
      </c>
      <c r="AA1235" s="15" t="n"/>
      <c r="AB1235" s="15" t="n"/>
      <c r="AF1235">
        <f>IF(AND($F1235="Closed",$X1235&gt;=DATE(2026,5,1),$X1235&lt;=DATE(2026,5,31)),"Closed in May","Other")</f>
        <v/>
      </c>
    </row>
    <row r="1236">
      <c r="A1236" s="6" t="n">
        <v>46107</v>
      </c>
      <c r="B1236" s="3" t="n">
        <v>2026</v>
      </c>
      <c r="C1236" s="3" t="inlineStr">
        <is>
          <t>Blupine Energy</t>
        </is>
      </c>
      <c r="D1236" s="3" t="inlineStr">
        <is>
          <t>Utility and C&amp;I</t>
        </is>
      </c>
      <c r="E1236" s="3" t="n"/>
      <c r="F1236" s="3" t="inlineStr">
        <is>
          <t>Closed</t>
        </is>
      </c>
      <c r="G1236" s="3" t="inlineStr">
        <is>
          <t>Chandrashekar Patidar</t>
        </is>
      </c>
      <c r="H1236" s="3" t="n">
        <v>7879764773</v>
      </c>
      <c r="I1236" s="11" t="inlineStr">
        <is>
          <t>PE26032601</t>
        </is>
      </c>
      <c r="J1236" s="3" t="inlineStr">
        <is>
          <t>Module Diode Failure</t>
        </is>
      </c>
      <c r="K1236" s="3" t="inlineStr">
        <is>
          <t>Sadla</t>
        </is>
      </c>
      <c r="L1236" s="3" t="inlineStr">
        <is>
          <t>Gujarat</t>
        </is>
      </c>
      <c r="M1236" s="9" t="inlineStr">
        <is>
          <t>NS</t>
        </is>
      </c>
      <c r="N1236" s="3" t="inlineStr">
        <is>
          <t>Cold Soldering</t>
        </is>
      </c>
      <c r="O1236" s="3" t="n">
        <v>570</v>
      </c>
      <c r="P1236" s="9" t="inlineStr">
        <is>
          <t>NSMI24060145121</t>
        </is>
      </c>
      <c r="Q1236" s="53">
        <f>MID(P1236,5,2)</f>
        <v/>
      </c>
      <c r="R1236" s="53">
        <f>MID(P1236,7,2)</f>
        <v/>
      </c>
      <c r="S1236" s="3" t="inlineStr">
        <is>
          <t>G2G</t>
        </is>
      </c>
      <c r="T1236" s="3" t="inlineStr">
        <is>
          <t>P4</t>
        </is>
      </c>
      <c r="U1236" s="3" t="inlineStr">
        <is>
          <t>N JB Cold Soldering</t>
        </is>
      </c>
      <c r="V1236" s="3" t="inlineStr">
        <is>
          <t>Soldering</t>
        </is>
      </c>
      <c r="W1236" s="3" t="inlineStr">
        <is>
          <t>Repair</t>
        </is>
      </c>
      <c r="X1236" s="18" t="n">
        <v>46158</v>
      </c>
      <c r="Y1236" s="73">
        <f>IF(X1236="","",X1236-A1236)</f>
        <v/>
      </c>
      <c r="Z1236" s="18" t="n">
        <v>46158</v>
      </c>
      <c r="AA1236" s="15" t="n"/>
      <c r="AB1236" s="15" t="n"/>
      <c r="AF1236">
        <f>IF(AND($F1236="Closed",$X1236&gt;=DATE(2026,5,1),$X1236&lt;=DATE(2026,5,31)),"Closed in May","Other")</f>
        <v/>
      </c>
    </row>
    <row r="1237">
      <c r="A1237" s="6" t="n">
        <v>46107</v>
      </c>
      <c r="B1237" s="3" t="n">
        <v>2026</v>
      </c>
      <c r="C1237" s="3" t="inlineStr">
        <is>
          <t>Blupine Energy</t>
        </is>
      </c>
      <c r="D1237" s="3" t="inlineStr">
        <is>
          <t>Utility and C&amp;I</t>
        </is>
      </c>
      <c r="E1237" s="3" t="n"/>
      <c r="F1237" s="3" t="inlineStr">
        <is>
          <t>Closed</t>
        </is>
      </c>
      <c r="G1237" s="3" t="inlineStr">
        <is>
          <t>Chandrashekar Patidar</t>
        </is>
      </c>
      <c r="H1237" s="3" t="n">
        <v>7879764773</v>
      </c>
      <c r="I1237" s="11" t="inlineStr">
        <is>
          <t>PE26032601</t>
        </is>
      </c>
      <c r="J1237" s="3" t="inlineStr">
        <is>
          <t>Module Diode Failure</t>
        </is>
      </c>
      <c r="K1237" s="3" t="inlineStr">
        <is>
          <t>Sadla</t>
        </is>
      </c>
      <c r="L1237" s="3" t="inlineStr">
        <is>
          <t>Gujarat</t>
        </is>
      </c>
      <c r="M1237" s="9" t="inlineStr">
        <is>
          <t>PS</t>
        </is>
      </c>
      <c r="N1237" s="3" t="inlineStr">
        <is>
          <t>Cold Soldering</t>
        </is>
      </c>
      <c r="O1237" s="3" t="n">
        <v>570</v>
      </c>
      <c r="P1237" s="9" t="inlineStr">
        <is>
          <t>NSMI24060143567</t>
        </is>
      </c>
      <c r="Q1237" s="53">
        <f>MID(P1237,5,2)</f>
        <v/>
      </c>
      <c r="R1237" s="53">
        <f>MID(P1237,7,2)</f>
        <v/>
      </c>
      <c r="S1237" s="3" t="inlineStr">
        <is>
          <t>G2G</t>
        </is>
      </c>
      <c r="T1237" s="3" t="inlineStr">
        <is>
          <t>P4</t>
        </is>
      </c>
      <c r="U1237" s="3" t="inlineStr">
        <is>
          <t>P JB Cold Soldering</t>
        </is>
      </c>
      <c r="V1237" s="3" t="inlineStr">
        <is>
          <t>Soldering</t>
        </is>
      </c>
      <c r="W1237" s="3" t="inlineStr">
        <is>
          <t>Repair</t>
        </is>
      </c>
      <c r="X1237" s="18" t="n">
        <v>46158</v>
      </c>
      <c r="Y1237" s="73">
        <f>IF(X1237="","",X1237-A1237)</f>
        <v/>
      </c>
      <c r="Z1237" s="18" t="n">
        <v>46158</v>
      </c>
      <c r="AA1237" s="15" t="n"/>
      <c r="AB1237" s="15" t="n"/>
      <c r="AF1237">
        <f>IF(AND($F1237="Closed",$X1237&gt;=DATE(2026,5,1),$X1237&lt;=DATE(2026,5,31)),"Closed in May","Other")</f>
        <v/>
      </c>
    </row>
    <row r="1238">
      <c r="A1238" s="6" t="n">
        <v>46107</v>
      </c>
      <c r="B1238" s="3" t="n">
        <v>2026</v>
      </c>
      <c r="C1238" s="3" t="inlineStr">
        <is>
          <t>Blupine Energy</t>
        </is>
      </c>
      <c r="D1238" s="3" t="inlineStr">
        <is>
          <t>Utility and C&amp;I</t>
        </is>
      </c>
      <c r="E1238" s="3" t="n"/>
      <c r="F1238" s="3" t="inlineStr">
        <is>
          <t>Closed</t>
        </is>
      </c>
      <c r="G1238" s="3" t="inlineStr">
        <is>
          <t>Chandrashekar Patidar</t>
        </is>
      </c>
      <c r="H1238" s="3" t="n">
        <v>7879764773</v>
      </c>
      <c r="I1238" s="11" t="inlineStr">
        <is>
          <t>PE26032601</t>
        </is>
      </c>
      <c r="J1238" s="3" t="inlineStr">
        <is>
          <t>Module Diode Failure</t>
        </is>
      </c>
      <c r="K1238" s="3" t="inlineStr">
        <is>
          <t>Sadla</t>
        </is>
      </c>
      <c r="L1238" s="3" t="inlineStr">
        <is>
          <t>Gujarat</t>
        </is>
      </c>
      <c r="M1238" s="9" t="inlineStr">
        <is>
          <t>PNS</t>
        </is>
      </c>
      <c r="N1238" s="3" t="inlineStr">
        <is>
          <t>Cold Soldering</t>
        </is>
      </c>
      <c r="O1238" s="3" t="n">
        <v>570</v>
      </c>
      <c r="P1238" s="9" t="inlineStr">
        <is>
          <t>NSMI24060145680</t>
        </is>
      </c>
      <c r="Q1238" s="53">
        <f>MID(P1238,5,2)</f>
        <v/>
      </c>
      <c r="R1238" s="53">
        <f>MID(P1238,7,2)</f>
        <v/>
      </c>
      <c r="S1238" s="3" t="inlineStr">
        <is>
          <t>G2G</t>
        </is>
      </c>
      <c r="T1238" s="3" t="inlineStr">
        <is>
          <t>P4</t>
        </is>
      </c>
      <c r="U1238" s="3" t="inlineStr">
        <is>
          <t>P &amp; N JB Cold Soldering</t>
        </is>
      </c>
      <c r="V1238" s="3" t="inlineStr">
        <is>
          <t>Soldering</t>
        </is>
      </c>
      <c r="W1238" s="3" t="inlineStr">
        <is>
          <t>Repair</t>
        </is>
      </c>
      <c r="X1238" s="18" t="n">
        <v>46158</v>
      </c>
      <c r="Y1238" s="73">
        <f>IF(X1238="","",X1238-A1238)</f>
        <v/>
      </c>
      <c r="Z1238" s="18" t="n">
        <v>46158</v>
      </c>
      <c r="AA1238" s="15" t="n"/>
      <c r="AB1238" s="15" t="n"/>
      <c r="AF1238">
        <f>IF(AND($F1238="Closed",$X1238&gt;=DATE(2026,5,1),$X1238&lt;=DATE(2026,5,31)),"Closed in May","Other")</f>
        <v/>
      </c>
    </row>
    <row r="1239">
      <c r="A1239" s="6" t="n">
        <v>46107</v>
      </c>
      <c r="B1239" s="3" t="n">
        <v>2026</v>
      </c>
      <c r="C1239" s="3" t="inlineStr">
        <is>
          <t>Blupine Energy</t>
        </is>
      </c>
      <c r="D1239" s="3" t="inlineStr">
        <is>
          <t>Utility and C&amp;I</t>
        </is>
      </c>
      <c r="E1239" s="3" t="n"/>
      <c r="F1239" s="3" t="inlineStr">
        <is>
          <t>Closed</t>
        </is>
      </c>
      <c r="G1239" s="3" t="inlineStr">
        <is>
          <t>Chandrashekar Patidar</t>
        </is>
      </c>
      <c r="H1239" s="3" t="n">
        <v>7879764773</v>
      </c>
      <c r="I1239" s="11" t="inlineStr">
        <is>
          <t>PE26032601</t>
        </is>
      </c>
      <c r="J1239" s="3" t="inlineStr">
        <is>
          <t>Module Diode Failure</t>
        </is>
      </c>
      <c r="K1239" s="3" t="inlineStr">
        <is>
          <t>Sadla</t>
        </is>
      </c>
      <c r="L1239" s="3" t="inlineStr">
        <is>
          <t>Gujarat</t>
        </is>
      </c>
      <c r="M1239" s="9" t="inlineStr">
        <is>
          <t>NS</t>
        </is>
      </c>
      <c r="N1239" s="3" t="inlineStr">
        <is>
          <t>Cold Soldering</t>
        </is>
      </c>
      <c r="O1239" s="3" t="n">
        <v>570</v>
      </c>
      <c r="P1239" s="9" t="inlineStr">
        <is>
          <t>NSMI24060153714</t>
        </is>
      </c>
      <c r="Q1239" s="53">
        <f>MID(P1239,5,2)</f>
        <v/>
      </c>
      <c r="R1239" s="53">
        <f>MID(P1239,7,2)</f>
        <v/>
      </c>
      <c r="S1239" s="3" t="inlineStr">
        <is>
          <t>G2G</t>
        </is>
      </c>
      <c r="T1239" s="3" t="inlineStr">
        <is>
          <t>P4</t>
        </is>
      </c>
      <c r="U1239" s="3" t="inlineStr">
        <is>
          <t>N JB Cold Soldering</t>
        </is>
      </c>
      <c r="V1239" s="3" t="inlineStr">
        <is>
          <t>Soldering</t>
        </is>
      </c>
      <c r="W1239" s="3" t="inlineStr">
        <is>
          <t>Repair</t>
        </is>
      </c>
      <c r="X1239" s="18" t="n">
        <v>46158</v>
      </c>
      <c r="Y1239" s="73">
        <f>IF(X1239="","",X1239-A1239)</f>
        <v/>
      </c>
      <c r="Z1239" s="18" t="n">
        <v>46158</v>
      </c>
      <c r="AA1239" s="15" t="n"/>
      <c r="AB1239" s="15" t="n"/>
      <c r="AF1239">
        <f>IF(AND($F1239="Closed",$X1239&gt;=DATE(2026,5,1),$X1239&lt;=DATE(2026,5,31)),"Closed in May","Other")</f>
        <v/>
      </c>
    </row>
    <row r="1240">
      <c r="A1240" s="6" t="n">
        <v>46107</v>
      </c>
      <c r="B1240" s="3" t="n">
        <v>2026</v>
      </c>
      <c r="C1240" s="3" t="inlineStr">
        <is>
          <t>Blupine Energy</t>
        </is>
      </c>
      <c r="D1240" s="3" t="inlineStr">
        <is>
          <t>Utility and C&amp;I</t>
        </is>
      </c>
      <c r="E1240" s="3" t="n"/>
      <c r="F1240" s="3" t="inlineStr">
        <is>
          <t>Closed</t>
        </is>
      </c>
      <c r="G1240" s="3" t="inlineStr">
        <is>
          <t>Chandrashekar Patidar</t>
        </is>
      </c>
      <c r="H1240" s="3" t="n">
        <v>7879764773</v>
      </c>
      <c r="I1240" s="11" t="inlineStr">
        <is>
          <t>PE26032601</t>
        </is>
      </c>
      <c r="J1240" s="3" t="inlineStr">
        <is>
          <t>Module Diode Failure</t>
        </is>
      </c>
      <c r="K1240" s="3" t="inlineStr">
        <is>
          <t>Sadla</t>
        </is>
      </c>
      <c r="L1240" s="3" t="inlineStr">
        <is>
          <t>Gujarat</t>
        </is>
      </c>
      <c r="M1240" s="9" t="inlineStr">
        <is>
          <t>NS</t>
        </is>
      </c>
      <c r="N1240" s="3" t="inlineStr">
        <is>
          <t>Cold Soldering</t>
        </is>
      </c>
      <c r="O1240" s="3" t="n">
        <v>570</v>
      </c>
      <c r="P1240" s="9" t="inlineStr">
        <is>
          <t>NSMI24060144785</t>
        </is>
      </c>
      <c r="Q1240" s="53">
        <f>MID(P1240,5,2)</f>
        <v/>
      </c>
      <c r="R1240" s="53">
        <f>MID(P1240,7,2)</f>
        <v/>
      </c>
      <c r="S1240" s="3" t="inlineStr">
        <is>
          <t>G2G</t>
        </is>
      </c>
      <c r="T1240" s="3" t="inlineStr">
        <is>
          <t>P4</t>
        </is>
      </c>
      <c r="U1240" s="3" t="inlineStr">
        <is>
          <t>N JB Cold Soldering</t>
        </is>
      </c>
      <c r="V1240" s="3" t="inlineStr">
        <is>
          <t>Soldering</t>
        </is>
      </c>
      <c r="W1240" s="3" t="inlineStr">
        <is>
          <t>Repair</t>
        </is>
      </c>
      <c r="X1240" s="18" t="n">
        <v>46158</v>
      </c>
      <c r="Y1240" s="73">
        <f>IF(X1240="","",X1240-A1240)</f>
        <v/>
      </c>
      <c r="Z1240" s="18" t="n">
        <v>46158</v>
      </c>
      <c r="AA1240" s="15" t="n"/>
      <c r="AB1240" s="15" t="n"/>
      <c r="AF1240">
        <f>IF(AND($F1240="Closed",$X1240&gt;=DATE(2026,5,1),$X1240&lt;=DATE(2026,5,31)),"Closed in May","Other")</f>
        <v/>
      </c>
    </row>
    <row r="1241">
      <c r="A1241" s="6" t="n">
        <v>46107</v>
      </c>
      <c r="B1241" s="3" t="n">
        <v>2026</v>
      </c>
      <c r="C1241" s="3" t="inlineStr">
        <is>
          <t>Blupine Energy</t>
        </is>
      </c>
      <c r="D1241" s="3" t="inlineStr">
        <is>
          <t>Utility and C&amp;I</t>
        </is>
      </c>
      <c r="E1241" s="3" t="n"/>
      <c r="F1241" s="3" t="inlineStr">
        <is>
          <t>Closed</t>
        </is>
      </c>
      <c r="G1241" s="3" t="inlineStr">
        <is>
          <t>Chandrashekar Patidar</t>
        </is>
      </c>
      <c r="H1241" s="3" t="n">
        <v>7879764773</v>
      </c>
      <c r="I1241" s="11" t="inlineStr">
        <is>
          <t>PE26032601</t>
        </is>
      </c>
      <c r="J1241" s="3" t="inlineStr">
        <is>
          <t>Module Diode Failure</t>
        </is>
      </c>
      <c r="K1241" s="3" t="inlineStr">
        <is>
          <t>Sadla</t>
        </is>
      </c>
      <c r="L1241" s="3" t="inlineStr">
        <is>
          <t>Gujarat</t>
        </is>
      </c>
      <c r="M1241" s="9" t="inlineStr">
        <is>
          <t>NS</t>
        </is>
      </c>
      <c r="N1241" s="3" t="inlineStr">
        <is>
          <t>Cold Soldering</t>
        </is>
      </c>
      <c r="O1241" s="3" t="n">
        <v>570</v>
      </c>
      <c r="P1241" s="9" t="inlineStr">
        <is>
          <t>NSMI24060147399</t>
        </is>
      </c>
      <c r="Q1241" s="53">
        <f>MID(P1241,5,2)</f>
        <v/>
      </c>
      <c r="R1241" s="53">
        <f>MID(P1241,7,2)</f>
        <v/>
      </c>
      <c r="S1241" s="3" t="inlineStr">
        <is>
          <t>G2G</t>
        </is>
      </c>
      <c r="T1241" s="3" t="inlineStr">
        <is>
          <t>P4</t>
        </is>
      </c>
      <c r="U1241" s="3" t="inlineStr">
        <is>
          <t>N JB Cold Soldering</t>
        </is>
      </c>
      <c r="V1241" s="3" t="inlineStr">
        <is>
          <t>Soldering</t>
        </is>
      </c>
      <c r="W1241" s="3" t="inlineStr">
        <is>
          <t>Repair</t>
        </is>
      </c>
      <c r="X1241" s="18" t="n">
        <v>46158</v>
      </c>
      <c r="Y1241" s="73">
        <f>IF(X1241="","",X1241-A1241)</f>
        <v/>
      </c>
      <c r="Z1241" s="18" t="n">
        <v>46158</v>
      </c>
      <c r="AA1241" s="15" t="n"/>
      <c r="AB1241" s="15" t="n"/>
      <c r="AF1241">
        <f>IF(AND($F1241="Closed",$X1241&gt;=DATE(2026,5,1),$X1241&lt;=DATE(2026,5,31)),"Closed in May","Other")</f>
        <v/>
      </c>
    </row>
    <row r="1242">
      <c r="A1242" s="6" t="n">
        <v>46107</v>
      </c>
      <c r="B1242" s="3" t="n">
        <v>2026</v>
      </c>
      <c r="C1242" s="3" t="inlineStr">
        <is>
          <t>Blupine Energy</t>
        </is>
      </c>
      <c r="D1242" s="3" t="inlineStr">
        <is>
          <t>Utility and C&amp;I</t>
        </is>
      </c>
      <c r="E1242" s="3" t="n"/>
      <c r="F1242" s="3" t="inlineStr">
        <is>
          <t>Closed</t>
        </is>
      </c>
      <c r="G1242" s="3" t="inlineStr">
        <is>
          <t>Chandrashekar Patidar</t>
        </is>
      </c>
      <c r="H1242" s="3" t="n">
        <v>7879764773</v>
      </c>
      <c r="I1242" s="11" t="inlineStr">
        <is>
          <t>PE26032601</t>
        </is>
      </c>
      <c r="J1242" s="3" t="inlineStr">
        <is>
          <t>Module Diode Failure</t>
        </is>
      </c>
      <c r="K1242" s="3" t="inlineStr">
        <is>
          <t>Sadla</t>
        </is>
      </c>
      <c r="L1242" s="3" t="inlineStr">
        <is>
          <t>Gujarat</t>
        </is>
      </c>
      <c r="M1242" s="9" t="inlineStr">
        <is>
          <t>NS</t>
        </is>
      </c>
      <c r="N1242" s="3" t="inlineStr">
        <is>
          <t>Cold Soldering</t>
        </is>
      </c>
      <c r="O1242" s="3" t="n">
        <v>570</v>
      </c>
      <c r="P1242" s="9" t="inlineStr">
        <is>
          <t>NSMI24060147389</t>
        </is>
      </c>
      <c r="Q1242" s="53">
        <f>MID(P1242,5,2)</f>
        <v/>
      </c>
      <c r="R1242" s="53">
        <f>MID(P1242,7,2)</f>
        <v/>
      </c>
      <c r="S1242" s="3" t="inlineStr">
        <is>
          <t>G2G</t>
        </is>
      </c>
      <c r="T1242" s="3" t="inlineStr">
        <is>
          <t>P4</t>
        </is>
      </c>
      <c r="U1242" s="3" t="inlineStr">
        <is>
          <t>N JB Cold Soldering</t>
        </is>
      </c>
      <c r="V1242" s="3" t="inlineStr">
        <is>
          <t>Soldering</t>
        </is>
      </c>
      <c r="W1242" s="3" t="inlineStr">
        <is>
          <t>Repair</t>
        </is>
      </c>
      <c r="X1242" s="18" t="n">
        <v>46158</v>
      </c>
      <c r="Y1242" s="73">
        <f>IF(X1242="","",X1242-A1242)</f>
        <v/>
      </c>
      <c r="Z1242" s="18" t="n">
        <v>46158</v>
      </c>
      <c r="AA1242" s="15" t="n"/>
      <c r="AB1242" s="15" t="n"/>
      <c r="AF1242">
        <f>IF(AND($F1242="Closed",$X1242&gt;=DATE(2026,5,1),$X1242&lt;=DATE(2026,5,31)),"Closed in May","Other")</f>
        <v/>
      </c>
    </row>
    <row r="1243">
      <c r="A1243" s="6" t="n">
        <v>46107</v>
      </c>
      <c r="B1243" s="3" t="n">
        <v>2026</v>
      </c>
      <c r="C1243" s="3" t="inlineStr">
        <is>
          <t>Blupine Energy</t>
        </is>
      </c>
      <c r="D1243" s="3" t="inlineStr">
        <is>
          <t>Utility and C&amp;I</t>
        </is>
      </c>
      <c r="E1243" s="3" t="n"/>
      <c r="F1243" s="3" t="inlineStr">
        <is>
          <t>Closed</t>
        </is>
      </c>
      <c r="G1243" s="3" t="inlineStr">
        <is>
          <t>Chandrashekar Patidar</t>
        </is>
      </c>
      <c r="H1243" s="3" t="n">
        <v>7879764773</v>
      </c>
      <c r="I1243" s="11" t="inlineStr">
        <is>
          <t>PE26032601</t>
        </is>
      </c>
      <c r="J1243" s="3" t="inlineStr">
        <is>
          <t>Module Diode Failure</t>
        </is>
      </c>
      <c r="K1243" s="3" t="inlineStr">
        <is>
          <t>Sadla</t>
        </is>
      </c>
      <c r="L1243" s="3" t="inlineStr">
        <is>
          <t>Gujarat</t>
        </is>
      </c>
      <c r="M1243" s="9" t="inlineStr">
        <is>
          <t>NS</t>
        </is>
      </c>
      <c r="N1243" s="3" t="inlineStr">
        <is>
          <t>Cold Soldering</t>
        </is>
      </c>
      <c r="O1243" s="3" t="n">
        <v>570</v>
      </c>
      <c r="P1243" s="9" t="inlineStr">
        <is>
          <t>NSMI24060159404</t>
        </is>
      </c>
      <c r="Q1243" s="53">
        <f>MID(P1243,5,2)</f>
        <v/>
      </c>
      <c r="R1243" s="53">
        <f>MID(P1243,7,2)</f>
        <v/>
      </c>
      <c r="S1243" s="3" t="inlineStr">
        <is>
          <t>G2G</t>
        </is>
      </c>
      <c r="T1243" s="3" t="inlineStr">
        <is>
          <t>P4</t>
        </is>
      </c>
      <c r="U1243" s="3" t="inlineStr">
        <is>
          <t>N JB Cold Soldering</t>
        </is>
      </c>
      <c r="V1243" s="3" t="inlineStr">
        <is>
          <t>Soldering</t>
        </is>
      </c>
      <c r="W1243" s="3" t="inlineStr">
        <is>
          <t>Repair</t>
        </is>
      </c>
      <c r="X1243" s="18" t="n">
        <v>46158</v>
      </c>
      <c r="Y1243" s="73">
        <f>IF(X1243="","",X1243-A1243)</f>
        <v/>
      </c>
      <c r="Z1243" s="18" t="n">
        <v>46158</v>
      </c>
      <c r="AA1243" s="15" t="n"/>
      <c r="AB1243" s="15" t="n"/>
      <c r="AF1243">
        <f>IF(AND($F1243="Closed",$X1243&gt;=DATE(2026,5,1),$X1243&lt;=DATE(2026,5,31)),"Closed in May","Other")</f>
        <v/>
      </c>
    </row>
    <row r="1244">
      <c r="A1244" s="6" t="n">
        <v>46107</v>
      </c>
      <c r="B1244" s="3" t="n">
        <v>2026</v>
      </c>
      <c r="C1244" s="3" t="inlineStr">
        <is>
          <t>Blupine Energy</t>
        </is>
      </c>
      <c r="D1244" s="3" t="inlineStr">
        <is>
          <t>Utility and C&amp;I</t>
        </is>
      </c>
      <c r="E1244" s="3" t="n"/>
      <c r="F1244" s="3" t="inlineStr">
        <is>
          <t>Closed</t>
        </is>
      </c>
      <c r="G1244" s="3" t="inlineStr">
        <is>
          <t>Chandrashekar Patidar</t>
        </is>
      </c>
      <c r="H1244" s="3" t="n">
        <v>7879764773</v>
      </c>
      <c r="I1244" s="11" t="inlineStr">
        <is>
          <t>PE26032601</t>
        </is>
      </c>
      <c r="J1244" s="3" t="inlineStr">
        <is>
          <t>Module Diode Failure</t>
        </is>
      </c>
      <c r="K1244" s="3" t="inlineStr">
        <is>
          <t>Sadla</t>
        </is>
      </c>
      <c r="L1244" s="3" t="inlineStr">
        <is>
          <t>Gujarat</t>
        </is>
      </c>
      <c r="M1244" s="9" t="inlineStr">
        <is>
          <t>NS</t>
        </is>
      </c>
      <c r="N1244" s="3" t="inlineStr">
        <is>
          <t>Cold Soldering</t>
        </is>
      </c>
      <c r="O1244" s="3" t="n">
        <v>570</v>
      </c>
      <c r="P1244" s="9" t="inlineStr">
        <is>
          <t>NSMI24060153941</t>
        </is>
      </c>
      <c r="Q1244" s="53">
        <f>MID(P1244,5,2)</f>
        <v/>
      </c>
      <c r="R1244" s="53">
        <f>MID(P1244,7,2)</f>
        <v/>
      </c>
      <c r="S1244" s="3" t="inlineStr">
        <is>
          <t>G2G</t>
        </is>
      </c>
      <c r="T1244" s="3" t="inlineStr">
        <is>
          <t>P4</t>
        </is>
      </c>
      <c r="U1244" s="3" t="inlineStr">
        <is>
          <t>N JB Cold Soldering</t>
        </is>
      </c>
      <c r="V1244" s="3" t="inlineStr">
        <is>
          <t>Soldering</t>
        </is>
      </c>
      <c r="W1244" s="3" t="inlineStr">
        <is>
          <t>Repair</t>
        </is>
      </c>
      <c r="X1244" s="18" t="n">
        <v>46158</v>
      </c>
      <c r="Y1244" s="73">
        <f>IF(X1244="","",X1244-A1244)</f>
        <v/>
      </c>
      <c r="Z1244" s="18" t="n">
        <v>46158</v>
      </c>
      <c r="AA1244" s="15" t="n"/>
      <c r="AB1244" s="15" t="n"/>
      <c r="AF1244">
        <f>IF(AND($F1244="Closed",$X1244&gt;=DATE(2026,5,1),$X1244&lt;=DATE(2026,5,31)),"Closed in May","Other")</f>
        <v/>
      </c>
    </row>
    <row r="1245">
      <c r="A1245" s="6" t="n">
        <v>46107</v>
      </c>
      <c r="B1245" s="3" t="n">
        <v>2026</v>
      </c>
      <c r="C1245" s="3" t="inlineStr">
        <is>
          <t>Blupine Energy</t>
        </is>
      </c>
      <c r="D1245" s="3" t="inlineStr">
        <is>
          <t>Utility and C&amp;I</t>
        </is>
      </c>
      <c r="E1245" s="3" t="n"/>
      <c r="F1245" s="3" t="inlineStr">
        <is>
          <t>Closed</t>
        </is>
      </c>
      <c r="G1245" s="3" t="inlineStr">
        <is>
          <t>Chandrashekar Patidar</t>
        </is>
      </c>
      <c r="H1245" s="3" t="n">
        <v>7879764773</v>
      </c>
      <c r="I1245" s="11" t="inlineStr">
        <is>
          <t>PE26032601</t>
        </is>
      </c>
      <c r="J1245" s="3" t="inlineStr">
        <is>
          <t>Module Diode Failure</t>
        </is>
      </c>
      <c r="K1245" s="3" t="inlineStr">
        <is>
          <t>Sadla</t>
        </is>
      </c>
      <c r="L1245" s="3" t="inlineStr">
        <is>
          <t>Gujarat</t>
        </is>
      </c>
      <c r="M1245" s="9" t="inlineStr">
        <is>
          <t>NS</t>
        </is>
      </c>
      <c r="N1245" s="3" t="inlineStr">
        <is>
          <t>Cold Soldering</t>
        </is>
      </c>
      <c r="O1245" s="3" t="n">
        <v>570</v>
      </c>
      <c r="P1245" s="9" t="inlineStr">
        <is>
          <t>NSMI24060142622</t>
        </is>
      </c>
      <c r="Q1245" s="53">
        <f>MID(P1245,5,2)</f>
        <v/>
      </c>
      <c r="R1245" s="53">
        <f>MID(P1245,7,2)</f>
        <v/>
      </c>
      <c r="S1245" s="3" t="inlineStr">
        <is>
          <t>G2G</t>
        </is>
      </c>
      <c r="T1245" s="3" t="inlineStr">
        <is>
          <t>P4</t>
        </is>
      </c>
      <c r="U1245" s="3" t="inlineStr">
        <is>
          <t>N JB Cold Soldering</t>
        </is>
      </c>
      <c r="V1245" s="3" t="inlineStr">
        <is>
          <t>Soldering</t>
        </is>
      </c>
      <c r="W1245" s="3" t="inlineStr">
        <is>
          <t>Repair</t>
        </is>
      </c>
      <c r="X1245" s="18" t="n">
        <v>46158</v>
      </c>
      <c r="Y1245" s="73">
        <f>IF(X1245="","",X1245-A1245)</f>
        <v/>
      </c>
      <c r="Z1245" s="18" t="n">
        <v>46158</v>
      </c>
      <c r="AA1245" s="15" t="n"/>
      <c r="AB1245" s="15" t="n"/>
      <c r="AF1245">
        <f>IF(AND($F1245="Closed",$X1245&gt;=DATE(2026,5,1),$X1245&lt;=DATE(2026,5,31)),"Closed in May","Other")</f>
        <v/>
      </c>
    </row>
    <row r="1246">
      <c r="A1246" s="6" t="n">
        <v>46107</v>
      </c>
      <c r="B1246" s="3" t="n">
        <v>2026</v>
      </c>
      <c r="C1246" s="3" t="inlineStr">
        <is>
          <t>Blupine Energy</t>
        </is>
      </c>
      <c r="D1246" s="3" t="inlineStr">
        <is>
          <t>Utility and C&amp;I</t>
        </is>
      </c>
      <c r="E1246" s="3" t="n"/>
      <c r="F1246" s="3" t="inlineStr">
        <is>
          <t>Closed</t>
        </is>
      </c>
      <c r="G1246" s="3" t="inlineStr">
        <is>
          <t>Chandrashekar Patidar</t>
        </is>
      </c>
      <c r="H1246" s="3" t="n">
        <v>7879764773</v>
      </c>
      <c r="I1246" s="11" t="inlineStr">
        <is>
          <t>PE26032601</t>
        </is>
      </c>
      <c r="J1246" s="3" t="inlineStr">
        <is>
          <t>Module Diode Failure</t>
        </is>
      </c>
      <c r="K1246" s="3" t="inlineStr">
        <is>
          <t>Sadla</t>
        </is>
      </c>
      <c r="L1246" s="3" t="inlineStr">
        <is>
          <t>Gujarat</t>
        </is>
      </c>
      <c r="M1246" s="9" t="inlineStr">
        <is>
          <t>NS</t>
        </is>
      </c>
      <c r="N1246" s="3" t="inlineStr">
        <is>
          <t>Cold Soldering</t>
        </is>
      </c>
      <c r="O1246" s="3" t="n">
        <v>570</v>
      </c>
      <c r="P1246" s="9" t="inlineStr">
        <is>
          <t>NSMI24060144883</t>
        </is>
      </c>
      <c r="Q1246" s="53">
        <f>MID(P1246,5,2)</f>
        <v/>
      </c>
      <c r="R1246" s="53">
        <f>MID(P1246,7,2)</f>
        <v/>
      </c>
      <c r="S1246" s="3" t="inlineStr">
        <is>
          <t>G2G</t>
        </is>
      </c>
      <c r="T1246" s="3" t="inlineStr">
        <is>
          <t>P4</t>
        </is>
      </c>
      <c r="U1246" s="3" t="inlineStr">
        <is>
          <t>N JB Cold Soldering</t>
        </is>
      </c>
      <c r="V1246" s="3" t="inlineStr">
        <is>
          <t>Soldering</t>
        </is>
      </c>
      <c r="W1246" s="3" t="inlineStr">
        <is>
          <t>Repair</t>
        </is>
      </c>
      <c r="X1246" s="18" t="n">
        <v>46158</v>
      </c>
      <c r="Y1246" s="73">
        <f>IF(X1246="","",X1246-A1246)</f>
        <v/>
      </c>
      <c r="Z1246" s="18" t="n">
        <v>46158</v>
      </c>
      <c r="AA1246" s="15" t="n"/>
      <c r="AB1246" s="15" t="n"/>
      <c r="AF1246">
        <f>IF(AND($F1246="Closed",$X1246&gt;=DATE(2026,5,1),$X1246&lt;=DATE(2026,5,31)),"Closed in May","Other")</f>
        <v/>
      </c>
    </row>
    <row r="1247">
      <c r="A1247" s="6" t="n">
        <v>46107</v>
      </c>
      <c r="B1247" s="3" t="n">
        <v>2026</v>
      </c>
      <c r="C1247" s="3" t="inlineStr">
        <is>
          <t>Blupine Energy</t>
        </is>
      </c>
      <c r="D1247" s="3" t="inlineStr">
        <is>
          <t>Utility and C&amp;I</t>
        </is>
      </c>
      <c r="E1247" s="3" t="n"/>
      <c r="F1247" s="3" t="inlineStr">
        <is>
          <t>Closed</t>
        </is>
      </c>
      <c r="G1247" s="3" t="inlineStr">
        <is>
          <t>Chandrashekar Patidar</t>
        </is>
      </c>
      <c r="H1247" s="3" t="n">
        <v>7879764773</v>
      </c>
      <c r="I1247" s="11" t="inlineStr">
        <is>
          <t>PE26032601</t>
        </is>
      </c>
      <c r="J1247" s="3" t="inlineStr">
        <is>
          <t>Module Diode Failure</t>
        </is>
      </c>
      <c r="K1247" s="3" t="inlineStr">
        <is>
          <t>Sadla</t>
        </is>
      </c>
      <c r="L1247" s="3" t="inlineStr">
        <is>
          <t>Gujarat</t>
        </is>
      </c>
      <c r="M1247" s="9" t="inlineStr">
        <is>
          <t>NS</t>
        </is>
      </c>
      <c r="N1247" s="3" t="inlineStr">
        <is>
          <t>Cold Soldering</t>
        </is>
      </c>
      <c r="O1247" s="3" t="n">
        <v>570</v>
      </c>
      <c r="P1247" s="9" t="inlineStr">
        <is>
          <t>NSMI24060144879</t>
        </is>
      </c>
      <c r="Q1247" s="53">
        <f>MID(P1247,5,2)</f>
        <v/>
      </c>
      <c r="R1247" s="53">
        <f>MID(P1247,7,2)</f>
        <v/>
      </c>
      <c r="S1247" s="3" t="inlineStr">
        <is>
          <t>G2G</t>
        </is>
      </c>
      <c r="T1247" s="3" t="inlineStr">
        <is>
          <t>P4</t>
        </is>
      </c>
      <c r="U1247" s="3" t="inlineStr">
        <is>
          <t>N JB Cold Soldering</t>
        </is>
      </c>
      <c r="V1247" s="3" t="inlineStr">
        <is>
          <t>Soldering</t>
        </is>
      </c>
      <c r="W1247" s="3" t="inlineStr">
        <is>
          <t>Repair</t>
        </is>
      </c>
      <c r="X1247" s="18" t="n">
        <v>46158</v>
      </c>
      <c r="Y1247" s="73">
        <f>IF(X1247="","",X1247-A1247)</f>
        <v/>
      </c>
      <c r="Z1247" s="18" t="n">
        <v>46158</v>
      </c>
      <c r="AA1247" s="15" t="n"/>
      <c r="AB1247" s="15" t="n"/>
      <c r="AF1247">
        <f>IF(AND($F1247="Closed",$X1247&gt;=DATE(2026,5,1),$X1247&lt;=DATE(2026,5,31)),"Closed in May","Other")</f>
        <v/>
      </c>
    </row>
    <row r="1248">
      <c r="A1248" s="6" t="n">
        <v>46107</v>
      </c>
      <c r="B1248" s="3" t="n">
        <v>2026</v>
      </c>
      <c r="C1248" s="3" t="inlineStr">
        <is>
          <t>Blupine Energy</t>
        </is>
      </c>
      <c r="D1248" s="3" t="inlineStr">
        <is>
          <t>Utility and C&amp;I</t>
        </is>
      </c>
      <c r="E1248" s="3" t="n"/>
      <c r="F1248" s="3" t="inlineStr">
        <is>
          <t>Closed</t>
        </is>
      </c>
      <c r="G1248" s="3" t="inlineStr">
        <is>
          <t>Chandrashekar Patidar</t>
        </is>
      </c>
      <c r="H1248" s="3" t="n">
        <v>7879764773</v>
      </c>
      <c r="I1248" s="11" t="inlineStr">
        <is>
          <t>PE26032601</t>
        </is>
      </c>
      <c r="J1248" s="3" t="inlineStr">
        <is>
          <t>Module Diode Failure</t>
        </is>
      </c>
      <c r="K1248" s="3" t="inlineStr">
        <is>
          <t>Sadla</t>
        </is>
      </c>
      <c r="L1248" s="3" t="inlineStr">
        <is>
          <t>Gujarat</t>
        </is>
      </c>
      <c r="M1248" s="9" t="inlineStr">
        <is>
          <t>NS</t>
        </is>
      </c>
      <c r="N1248" s="3" t="inlineStr">
        <is>
          <t>Cold Soldering</t>
        </is>
      </c>
      <c r="O1248" s="3" t="n">
        <v>570</v>
      </c>
      <c r="P1248" s="9" t="inlineStr">
        <is>
          <t>NSMI24060147248</t>
        </is>
      </c>
      <c r="Q1248" s="53">
        <f>MID(P1248,5,2)</f>
        <v/>
      </c>
      <c r="R1248" s="53">
        <f>MID(P1248,7,2)</f>
        <v/>
      </c>
      <c r="S1248" s="3" t="inlineStr">
        <is>
          <t>G2G</t>
        </is>
      </c>
      <c r="T1248" s="3" t="inlineStr">
        <is>
          <t>P4</t>
        </is>
      </c>
      <c r="U1248" s="3" t="inlineStr">
        <is>
          <t>N JB Cold Soldering</t>
        </is>
      </c>
      <c r="V1248" s="3" t="inlineStr">
        <is>
          <t>Soldering</t>
        </is>
      </c>
      <c r="W1248" s="3" t="inlineStr">
        <is>
          <t>Repair</t>
        </is>
      </c>
      <c r="X1248" s="18" t="n">
        <v>46158</v>
      </c>
      <c r="Y1248" s="73">
        <f>IF(X1248="","",X1248-A1248)</f>
        <v/>
      </c>
      <c r="Z1248" s="18" t="n">
        <v>46158</v>
      </c>
      <c r="AA1248" s="15" t="n"/>
      <c r="AB1248" s="15" t="n"/>
      <c r="AF1248">
        <f>IF(AND($F1248="Closed",$X1248&gt;=DATE(2026,5,1),$X1248&lt;=DATE(2026,5,31)),"Closed in May","Other")</f>
        <v/>
      </c>
    </row>
    <row r="1249">
      <c r="A1249" s="6" t="n">
        <v>46107</v>
      </c>
      <c r="B1249" s="3" t="n">
        <v>2026</v>
      </c>
      <c r="C1249" s="3" t="inlineStr">
        <is>
          <t>Blupine Energy</t>
        </is>
      </c>
      <c r="D1249" s="3" t="inlineStr">
        <is>
          <t>Utility and C&amp;I</t>
        </is>
      </c>
      <c r="E1249" s="3" t="n"/>
      <c r="F1249" s="3" t="inlineStr">
        <is>
          <t>Closed</t>
        </is>
      </c>
      <c r="G1249" s="3" t="inlineStr">
        <is>
          <t>Chandrashekar Patidar</t>
        </is>
      </c>
      <c r="H1249" s="3" t="n">
        <v>7879764773</v>
      </c>
      <c r="I1249" s="11" t="inlineStr">
        <is>
          <t>PE26032601</t>
        </is>
      </c>
      <c r="J1249" s="3" t="inlineStr">
        <is>
          <t>Module Diode Failure</t>
        </is>
      </c>
      <c r="K1249" s="3" t="inlineStr">
        <is>
          <t>Sadla</t>
        </is>
      </c>
      <c r="L1249" s="3" t="inlineStr">
        <is>
          <t>Gujarat</t>
        </is>
      </c>
      <c r="M1249" s="9" t="inlineStr">
        <is>
          <t>PS</t>
        </is>
      </c>
      <c r="N1249" s="3" t="inlineStr">
        <is>
          <t>Cold Soldering</t>
        </is>
      </c>
      <c r="O1249" s="3" t="n">
        <v>570</v>
      </c>
      <c r="P1249" s="9" t="inlineStr">
        <is>
          <t>NSMI24060144004</t>
        </is>
      </c>
      <c r="Q1249" s="53">
        <f>MID(P1249,5,2)</f>
        <v/>
      </c>
      <c r="R1249" s="53">
        <f>MID(P1249,7,2)</f>
        <v/>
      </c>
      <c r="S1249" s="3" t="inlineStr">
        <is>
          <t>G2G</t>
        </is>
      </c>
      <c r="T1249" s="3" t="inlineStr">
        <is>
          <t>P4</t>
        </is>
      </c>
      <c r="U1249" s="3" t="inlineStr">
        <is>
          <t>P JB Cold Soldering</t>
        </is>
      </c>
      <c r="V1249" s="3" t="inlineStr">
        <is>
          <t>Soldering</t>
        </is>
      </c>
      <c r="W1249" s="3" t="inlineStr">
        <is>
          <t>Repair</t>
        </is>
      </c>
      <c r="X1249" s="18" t="n">
        <v>46158</v>
      </c>
      <c r="Y1249" s="73">
        <f>IF(X1249="","",X1249-A1249)</f>
        <v/>
      </c>
      <c r="Z1249" s="18" t="n">
        <v>46158</v>
      </c>
      <c r="AA1249" s="15" t="n"/>
      <c r="AB1249" s="15" t="n"/>
      <c r="AF1249">
        <f>IF(AND($F1249="Closed",$X1249&gt;=DATE(2026,5,1),$X1249&lt;=DATE(2026,5,31)),"Closed in May","Other")</f>
        <v/>
      </c>
    </row>
    <row r="1250">
      <c r="A1250" s="6" t="n">
        <v>46107</v>
      </c>
      <c r="B1250" s="3" t="n">
        <v>2026</v>
      </c>
      <c r="C1250" s="3" t="inlineStr">
        <is>
          <t>Blupine Energy</t>
        </is>
      </c>
      <c r="D1250" s="3" t="inlineStr">
        <is>
          <t>Utility and C&amp;I</t>
        </is>
      </c>
      <c r="E1250" s="3" t="n"/>
      <c r="F1250" s="3" t="inlineStr">
        <is>
          <t>Closed</t>
        </is>
      </c>
      <c r="G1250" s="3" t="inlineStr">
        <is>
          <t>Chandrashekar Patidar</t>
        </is>
      </c>
      <c r="H1250" s="3" t="n">
        <v>7879764773</v>
      </c>
      <c r="I1250" s="11" t="inlineStr">
        <is>
          <t>PE26032601</t>
        </is>
      </c>
      <c r="J1250" s="3" t="inlineStr">
        <is>
          <t>Module Diode Failure</t>
        </is>
      </c>
      <c r="K1250" s="3" t="inlineStr">
        <is>
          <t>Sadla</t>
        </is>
      </c>
      <c r="L1250" s="3" t="inlineStr">
        <is>
          <t>Gujarat</t>
        </is>
      </c>
      <c r="M1250" s="9" t="inlineStr">
        <is>
          <t>NS</t>
        </is>
      </c>
      <c r="N1250" s="3" t="inlineStr">
        <is>
          <t>Cold Soldering</t>
        </is>
      </c>
      <c r="O1250" s="3" t="n">
        <v>570</v>
      </c>
      <c r="P1250" s="9" t="inlineStr">
        <is>
          <t>NSMI24060146803</t>
        </is>
      </c>
      <c r="Q1250" s="53">
        <f>MID(P1250,5,2)</f>
        <v/>
      </c>
      <c r="R1250" s="53">
        <f>MID(P1250,7,2)</f>
        <v/>
      </c>
      <c r="S1250" s="3" t="inlineStr">
        <is>
          <t>G2G</t>
        </is>
      </c>
      <c r="T1250" s="3" t="inlineStr">
        <is>
          <t>P4</t>
        </is>
      </c>
      <c r="U1250" s="3" t="inlineStr">
        <is>
          <t>N JB Cold Soldering</t>
        </is>
      </c>
      <c r="V1250" s="3" t="inlineStr">
        <is>
          <t>Soldering</t>
        </is>
      </c>
      <c r="W1250" s="3" t="inlineStr">
        <is>
          <t>Repair</t>
        </is>
      </c>
      <c r="X1250" s="18" t="n">
        <v>46158</v>
      </c>
      <c r="Y1250" s="73">
        <f>IF(X1250="","",X1250-A1250)</f>
        <v/>
      </c>
      <c r="Z1250" s="18" t="n">
        <v>46158</v>
      </c>
      <c r="AA1250" s="15" t="n"/>
      <c r="AB1250" s="15" t="n"/>
      <c r="AF1250">
        <f>IF(AND($F1250="Closed",$X1250&gt;=DATE(2026,5,1),$X1250&lt;=DATE(2026,5,31)),"Closed in May","Other")</f>
        <v/>
      </c>
    </row>
    <row r="1251">
      <c r="A1251" s="6" t="n">
        <v>46107</v>
      </c>
      <c r="B1251" s="3" t="n">
        <v>2026</v>
      </c>
      <c r="C1251" s="3" t="inlineStr">
        <is>
          <t>Blupine Energy</t>
        </is>
      </c>
      <c r="D1251" s="3" t="inlineStr">
        <is>
          <t>Utility and C&amp;I</t>
        </is>
      </c>
      <c r="E1251" s="3" t="n"/>
      <c r="F1251" s="3" t="inlineStr">
        <is>
          <t>Closed</t>
        </is>
      </c>
      <c r="G1251" s="3" t="inlineStr">
        <is>
          <t>Chandrashekar Patidar</t>
        </is>
      </c>
      <c r="H1251" s="3" t="n">
        <v>7879764773</v>
      </c>
      <c r="I1251" s="11" t="inlineStr">
        <is>
          <t>PE26032601</t>
        </is>
      </c>
      <c r="J1251" s="3" t="inlineStr">
        <is>
          <t>Module Diode Failure</t>
        </is>
      </c>
      <c r="K1251" s="3" t="inlineStr">
        <is>
          <t>Sadla</t>
        </is>
      </c>
      <c r="L1251" s="3" t="inlineStr">
        <is>
          <t>Gujarat</t>
        </is>
      </c>
      <c r="M1251" s="9" t="inlineStr">
        <is>
          <t>PS</t>
        </is>
      </c>
      <c r="N1251" s="3" t="inlineStr">
        <is>
          <t>Cold Soldering</t>
        </is>
      </c>
      <c r="O1251" s="3" t="n">
        <v>570</v>
      </c>
      <c r="P1251" s="9" t="inlineStr">
        <is>
          <t>NSMI24060157616</t>
        </is>
      </c>
      <c r="Q1251" s="53">
        <f>MID(P1251,5,2)</f>
        <v/>
      </c>
      <c r="R1251" s="53">
        <f>MID(P1251,7,2)</f>
        <v/>
      </c>
      <c r="S1251" s="3" t="inlineStr">
        <is>
          <t>G2G</t>
        </is>
      </c>
      <c r="T1251" s="3" t="inlineStr">
        <is>
          <t>P4</t>
        </is>
      </c>
      <c r="U1251" s="3" t="inlineStr">
        <is>
          <t>P JB Cold Soldering</t>
        </is>
      </c>
      <c r="V1251" s="3" t="inlineStr">
        <is>
          <t>Soldering</t>
        </is>
      </c>
      <c r="W1251" s="3" t="inlineStr">
        <is>
          <t>Repair</t>
        </is>
      </c>
      <c r="X1251" s="18" t="n">
        <v>46158</v>
      </c>
      <c r="Y1251" s="73">
        <f>IF(X1251="","",X1251-A1251)</f>
        <v/>
      </c>
      <c r="Z1251" s="18" t="n">
        <v>46158</v>
      </c>
      <c r="AA1251" s="15" t="n"/>
      <c r="AB1251" s="15" t="n"/>
      <c r="AF1251">
        <f>IF(AND($F1251="Closed",$X1251&gt;=DATE(2026,5,1),$X1251&lt;=DATE(2026,5,31)),"Closed in May","Other")</f>
        <v/>
      </c>
    </row>
    <row r="1252">
      <c r="A1252" s="6" t="n">
        <v>46107</v>
      </c>
      <c r="B1252" s="3" t="n">
        <v>2026</v>
      </c>
      <c r="C1252" s="3" t="inlineStr">
        <is>
          <t>Blupine Energy</t>
        </is>
      </c>
      <c r="D1252" s="3" t="inlineStr">
        <is>
          <t>Utility and C&amp;I</t>
        </is>
      </c>
      <c r="E1252" s="3" t="n"/>
      <c r="F1252" s="3" t="inlineStr">
        <is>
          <t>Closed</t>
        </is>
      </c>
      <c r="G1252" s="3" t="inlineStr">
        <is>
          <t>Chandrashekar Patidar</t>
        </is>
      </c>
      <c r="H1252" s="3" t="n">
        <v>7879764773</v>
      </c>
      <c r="I1252" s="11" t="inlineStr">
        <is>
          <t>PE26032601</t>
        </is>
      </c>
      <c r="J1252" s="3" t="inlineStr">
        <is>
          <t>Module Diode Failure</t>
        </is>
      </c>
      <c r="K1252" s="3" t="inlineStr">
        <is>
          <t>Sadla</t>
        </is>
      </c>
      <c r="L1252" s="3" t="inlineStr">
        <is>
          <t>Gujarat</t>
        </is>
      </c>
      <c r="M1252" s="9" t="inlineStr">
        <is>
          <t>PS</t>
        </is>
      </c>
      <c r="N1252" s="3" t="inlineStr">
        <is>
          <t>Cold Soldering</t>
        </is>
      </c>
      <c r="O1252" s="3" t="n">
        <v>570</v>
      </c>
      <c r="P1252" s="9" t="inlineStr">
        <is>
          <t>NSMI24060142924</t>
        </is>
      </c>
      <c r="Q1252" s="53">
        <f>MID(P1252,5,2)</f>
        <v/>
      </c>
      <c r="R1252" s="53">
        <f>MID(P1252,7,2)</f>
        <v/>
      </c>
      <c r="S1252" s="3" t="inlineStr">
        <is>
          <t>G2G</t>
        </is>
      </c>
      <c r="T1252" s="3" t="inlineStr">
        <is>
          <t>P4</t>
        </is>
      </c>
      <c r="U1252" s="3" t="inlineStr">
        <is>
          <t>P JB Cold Soldering</t>
        </is>
      </c>
      <c r="V1252" s="3" t="inlineStr">
        <is>
          <t>Soldering</t>
        </is>
      </c>
      <c r="W1252" s="3" t="inlineStr">
        <is>
          <t>Repair</t>
        </is>
      </c>
      <c r="X1252" s="18" t="n">
        <v>46158</v>
      </c>
      <c r="Y1252" s="73">
        <f>IF(X1252="","",X1252-A1252)</f>
        <v/>
      </c>
      <c r="Z1252" s="18" t="n">
        <v>46158</v>
      </c>
      <c r="AA1252" s="15" t="n"/>
      <c r="AB1252" s="15" t="n"/>
      <c r="AF1252">
        <f>IF(AND($F1252="Closed",$X1252&gt;=DATE(2026,5,1),$X1252&lt;=DATE(2026,5,31)),"Closed in May","Other")</f>
        <v/>
      </c>
    </row>
    <row r="1253">
      <c r="A1253" s="6" t="n">
        <v>46107</v>
      </c>
      <c r="B1253" s="3" t="n">
        <v>2026</v>
      </c>
      <c r="C1253" s="3" t="inlineStr">
        <is>
          <t>Blupine Energy</t>
        </is>
      </c>
      <c r="D1253" s="3" t="inlineStr">
        <is>
          <t>Utility and C&amp;I</t>
        </is>
      </c>
      <c r="E1253" s="3" t="n"/>
      <c r="F1253" s="3" t="inlineStr">
        <is>
          <t>Closed</t>
        </is>
      </c>
      <c r="G1253" s="3" t="inlineStr">
        <is>
          <t>Chandrashekar Patidar</t>
        </is>
      </c>
      <c r="H1253" s="3" t="n">
        <v>7879764773</v>
      </c>
      <c r="I1253" s="11" t="inlineStr">
        <is>
          <t>PE26032601</t>
        </is>
      </c>
      <c r="J1253" s="3" t="inlineStr">
        <is>
          <t>Module Diode Failure</t>
        </is>
      </c>
      <c r="K1253" s="3" t="inlineStr">
        <is>
          <t>Sadla</t>
        </is>
      </c>
      <c r="L1253" s="3" t="inlineStr">
        <is>
          <t>Gujarat</t>
        </is>
      </c>
      <c r="M1253" s="9" t="inlineStr">
        <is>
          <t>NS</t>
        </is>
      </c>
      <c r="N1253" s="3" t="inlineStr">
        <is>
          <t>Cold Soldering</t>
        </is>
      </c>
      <c r="O1253" s="3" t="n">
        <v>570</v>
      </c>
      <c r="P1253" s="9" t="inlineStr">
        <is>
          <t>NSMI24060158158</t>
        </is>
      </c>
      <c r="Q1253" s="53">
        <f>MID(P1253,5,2)</f>
        <v/>
      </c>
      <c r="R1253" s="53">
        <f>MID(P1253,7,2)</f>
        <v/>
      </c>
      <c r="S1253" s="3" t="inlineStr">
        <is>
          <t>G2G</t>
        </is>
      </c>
      <c r="T1253" s="3" t="inlineStr">
        <is>
          <t>P4</t>
        </is>
      </c>
      <c r="U1253" s="3" t="inlineStr">
        <is>
          <t>N JB Cold Soldering</t>
        </is>
      </c>
      <c r="V1253" s="3" t="inlineStr">
        <is>
          <t>Soldering</t>
        </is>
      </c>
      <c r="W1253" s="3" t="inlineStr">
        <is>
          <t>Repair</t>
        </is>
      </c>
      <c r="X1253" s="18" t="n">
        <v>46158</v>
      </c>
      <c r="Y1253" s="73">
        <f>IF(X1253="","",X1253-A1253)</f>
        <v/>
      </c>
      <c r="Z1253" s="18" t="n">
        <v>46158</v>
      </c>
      <c r="AA1253" s="15" t="n"/>
      <c r="AB1253" s="15" t="n"/>
      <c r="AF1253">
        <f>IF(AND($F1253="Closed",$X1253&gt;=DATE(2026,5,1),$X1253&lt;=DATE(2026,5,31)),"Closed in May","Other")</f>
        <v/>
      </c>
    </row>
    <row r="1254">
      <c r="A1254" s="6" t="n">
        <v>46107</v>
      </c>
      <c r="B1254" s="3" t="n">
        <v>2026</v>
      </c>
      <c r="C1254" s="3" t="inlineStr">
        <is>
          <t>Blupine Energy</t>
        </is>
      </c>
      <c r="D1254" s="3" t="inlineStr">
        <is>
          <t>Utility and C&amp;I</t>
        </is>
      </c>
      <c r="E1254" s="3" t="n"/>
      <c r="F1254" s="3" t="inlineStr">
        <is>
          <t>Closed</t>
        </is>
      </c>
      <c r="G1254" s="3" t="inlineStr">
        <is>
          <t>Chandrashekar Patidar</t>
        </is>
      </c>
      <c r="H1254" s="3" t="n">
        <v>7879764773</v>
      </c>
      <c r="I1254" s="11" t="inlineStr">
        <is>
          <t>PE26032601</t>
        </is>
      </c>
      <c r="J1254" s="3" t="inlineStr">
        <is>
          <t>Module Diode Failure</t>
        </is>
      </c>
      <c r="K1254" s="3" t="inlineStr">
        <is>
          <t>Sadla</t>
        </is>
      </c>
      <c r="L1254" s="3" t="inlineStr">
        <is>
          <t>Gujarat</t>
        </is>
      </c>
      <c r="M1254" s="9" t="inlineStr">
        <is>
          <t>PNS</t>
        </is>
      </c>
      <c r="N1254" s="3" t="inlineStr">
        <is>
          <t>Cold Soldering</t>
        </is>
      </c>
      <c r="O1254" s="3" t="n">
        <v>570</v>
      </c>
      <c r="P1254" s="9" t="inlineStr">
        <is>
          <t>NSMI24060142013</t>
        </is>
      </c>
      <c r="Q1254" s="53">
        <f>MID(P1254,5,2)</f>
        <v/>
      </c>
      <c r="R1254" s="53">
        <f>MID(P1254,7,2)</f>
        <v/>
      </c>
      <c r="S1254" s="3" t="inlineStr">
        <is>
          <t>G2G</t>
        </is>
      </c>
      <c r="T1254" s="3" t="inlineStr">
        <is>
          <t>P4</t>
        </is>
      </c>
      <c r="U1254" s="3" t="inlineStr">
        <is>
          <t>P &amp; N JB Cold Soldering</t>
        </is>
      </c>
      <c r="V1254" s="3" t="inlineStr">
        <is>
          <t>Soldering</t>
        </is>
      </c>
      <c r="W1254" s="3" t="inlineStr">
        <is>
          <t>Repair</t>
        </is>
      </c>
      <c r="X1254" s="18" t="n">
        <v>46158</v>
      </c>
      <c r="Y1254" s="73">
        <f>IF(X1254="","",X1254-A1254)</f>
        <v/>
      </c>
      <c r="Z1254" s="18" t="n">
        <v>46158</v>
      </c>
      <c r="AA1254" s="15" t="n"/>
      <c r="AB1254" s="15" t="n"/>
      <c r="AF1254">
        <f>IF(AND($F1254="Closed",$X1254&gt;=DATE(2026,5,1),$X1254&lt;=DATE(2026,5,31)),"Closed in May","Other")</f>
        <v/>
      </c>
    </row>
    <row r="1255">
      <c r="A1255" s="6" t="n">
        <v>46107</v>
      </c>
      <c r="B1255" s="3" t="n">
        <v>2026</v>
      </c>
      <c r="C1255" s="3" t="inlineStr">
        <is>
          <t>Blupine Energy</t>
        </is>
      </c>
      <c r="D1255" s="3" t="inlineStr">
        <is>
          <t>Utility and C&amp;I</t>
        </is>
      </c>
      <c r="E1255" s="3" t="n"/>
      <c r="F1255" s="3" t="inlineStr">
        <is>
          <t>Closed</t>
        </is>
      </c>
      <c r="G1255" s="3" t="inlineStr">
        <is>
          <t>Chandrashekar Patidar</t>
        </is>
      </c>
      <c r="H1255" s="3" t="n">
        <v>7879764773</v>
      </c>
      <c r="I1255" s="11" t="inlineStr">
        <is>
          <t>PE26032601</t>
        </is>
      </c>
      <c r="J1255" s="3" t="inlineStr">
        <is>
          <t>Module Diode Failure</t>
        </is>
      </c>
      <c r="K1255" s="3" t="inlineStr">
        <is>
          <t>Sadla</t>
        </is>
      </c>
      <c r="L1255" s="3" t="inlineStr">
        <is>
          <t>Gujarat</t>
        </is>
      </c>
      <c r="M1255" s="9" t="inlineStr">
        <is>
          <t>NS</t>
        </is>
      </c>
      <c r="N1255" s="3" t="inlineStr">
        <is>
          <t>Cold Soldering</t>
        </is>
      </c>
      <c r="O1255" s="3" t="n">
        <v>570</v>
      </c>
      <c r="P1255" s="9" t="inlineStr">
        <is>
          <t>NSMI24060157596</t>
        </is>
      </c>
      <c r="Q1255" s="53">
        <f>MID(P1255,5,2)</f>
        <v/>
      </c>
      <c r="R1255" s="53">
        <f>MID(P1255,7,2)</f>
        <v/>
      </c>
      <c r="S1255" s="3" t="inlineStr">
        <is>
          <t>G2G</t>
        </is>
      </c>
      <c r="T1255" s="3" t="inlineStr">
        <is>
          <t>P4</t>
        </is>
      </c>
      <c r="U1255" s="3" t="inlineStr">
        <is>
          <t>N JB Cold Soldering</t>
        </is>
      </c>
      <c r="V1255" s="3" t="inlineStr">
        <is>
          <t>Soldering</t>
        </is>
      </c>
      <c r="W1255" s="3" t="inlineStr">
        <is>
          <t>Repair</t>
        </is>
      </c>
      <c r="X1255" s="18" t="n">
        <v>46158</v>
      </c>
      <c r="Y1255" s="73">
        <f>IF(X1255="","",X1255-A1255)</f>
        <v/>
      </c>
      <c r="Z1255" s="18" t="n">
        <v>46158</v>
      </c>
      <c r="AA1255" s="15" t="n"/>
      <c r="AB1255" s="15" t="n"/>
      <c r="AF1255">
        <f>IF(AND($F1255="Closed",$X1255&gt;=DATE(2026,5,1),$X1255&lt;=DATE(2026,5,31)),"Closed in May","Other")</f>
        <v/>
      </c>
    </row>
    <row r="1256">
      <c r="A1256" s="6" t="n">
        <v>46107</v>
      </c>
      <c r="B1256" s="3" t="n">
        <v>2026</v>
      </c>
      <c r="C1256" s="3" t="inlineStr">
        <is>
          <t>Blupine Energy</t>
        </is>
      </c>
      <c r="D1256" s="3" t="inlineStr">
        <is>
          <t>Utility and C&amp;I</t>
        </is>
      </c>
      <c r="E1256" s="3" t="n"/>
      <c r="F1256" s="3" t="inlineStr">
        <is>
          <t>Closed</t>
        </is>
      </c>
      <c r="G1256" s="3" t="inlineStr">
        <is>
          <t>Chandrashekar Patidar</t>
        </is>
      </c>
      <c r="H1256" s="3" t="n">
        <v>7879764773</v>
      </c>
      <c r="I1256" s="11" t="inlineStr">
        <is>
          <t>PE26032601</t>
        </is>
      </c>
      <c r="J1256" s="3" t="inlineStr">
        <is>
          <t>Module Diode Failure</t>
        </is>
      </c>
      <c r="K1256" s="3" t="inlineStr">
        <is>
          <t>Sadla</t>
        </is>
      </c>
      <c r="L1256" s="3" t="inlineStr">
        <is>
          <t>Gujarat</t>
        </is>
      </c>
      <c r="M1256" s="9" t="inlineStr">
        <is>
          <t>NS</t>
        </is>
      </c>
      <c r="N1256" s="3" t="inlineStr">
        <is>
          <t>Cold Soldering</t>
        </is>
      </c>
      <c r="O1256" s="3" t="n">
        <v>570</v>
      </c>
      <c r="P1256" s="9" t="inlineStr">
        <is>
          <t>NSMI24060157598</t>
        </is>
      </c>
      <c r="Q1256" s="53">
        <f>MID(P1256,5,2)</f>
        <v/>
      </c>
      <c r="R1256" s="53">
        <f>MID(P1256,7,2)</f>
        <v/>
      </c>
      <c r="S1256" s="3" t="inlineStr">
        <is>
          <t>G2G</t>
        </is>
      </c>
      <c r="T1256" s="3" t="inlineStr">
        <is>
          <t>P4</t>
        </is>
      </c>
      <c r="U1256" s="3" t="inlineStr">
        <is>
          <t>N JB Cold Soldering</t>
        </is>
      </c>
      <c r="V1256" s="3" t="inlineStr">
        <is>
          <t>Soldering</t>
        </is>
      </c>
      <c r="W1256" s="3" t="inlineStr">
        <is>
          <t>Repair</t>
        </is>
      </c>
      <c r="X1256" s="18" t="n">
        <v>46158</v>
      </c>
      <c r="Y1256" s="73">
        <f>IF(X1256="","",X1256-A1256)</f>
        <v/>
      </c>
      <c r="Z1256" s="18" t="n">
        <v>46158</v>
      </c>
      <c r="AA1256" s="15" t="n"/>
      <c r="AB1256" s="15" t="n"/>
      <c r="AF1256">
        <f>IF(AND($F1256="Closed",$X1256&gt;=DATE(2026,5,1),$X1256&lt;=DATE(2026,5,31)),"Closed in May","Other")</f>
        <v/>
      </c>
    </row>
    <row r="1257">
      <c r="A1257" s="6" t="n">
        <v>46107</v>
      </c>
      <c r="B1257" s="3" t="n">
        <v>2026</v>
      </c>
      <c r="C1257" s="3" t="inlineStr">
        <is>
          <t>Blupine Energy</t>
        </is>
      </c>
      <c r="D1257" s="3" t="inlineStr">
        <is>
          <t>Utility and C&amp;I</t>
        </is>
      </c>
      <c r="E1257" s="3" t="n"/>
      <c r="F1257" s="3" t="inlineStr">
        <is>
          <t>Closed</t>
        </is>
      </c>
      <c r="G1257" s="3" t="inlineStr">
        <is>
          <t>Chandrashekar Patidar</t>
        </is>
      </c>
      <c r="H1257" s="3" t="n">
        <v>7879764773</v>
      </c>
      <c r="I1257" s="11" t="inlineStr">
        <is>
          <t>PE26032601</t>
        </is>
      </c>
      <c r="J1257" s="3" t="inlineStr">
        <is>
          <t>Module Diode Failure</t>
        </is>
      </c>
      <c r="K1257" s="3" t="inlineStr">
        <is>
          <t>Sadla</t>
        </is>
      </c>
      <c r="L1257" s="3" t="inlineStr">
        <is>
          <t>Gujarat</t>
        </is>
      </c>
      <c r="M1257" s="9" t="inlineStr">
        <is>
          <t>NS</t>
        </is>
      </c>
      <c r="N1257" s="3" t="inlineStr">
        <is>
          <t>Cold Soldering</t>
        </is>
      </c>
      <c r="O1257" s="3" t="n">
        <v>570</v>
      </c>
      <c r="P1257" s="9" t="inlineStr">
        <is>
          <t>NSMI24060157597</t>
        </is>
      </c>
      <c r="Q1257" s="53">
        <f>MID(P1257,5,2)</f>
        <v/>
      </c>
      <c r="R1257" s="53">
        <f>MID(P1257,7,2)</f>
        <v/>
      </c>
      <c r="S1257" s="3" t="inlineStr">
        <is>
          <t>G2G</t>
        </is>
      </c>
      <c r="T1257" s="3" t="inlineStr">
        <is>
          <t>P4</t>
        </is>
      </c>
      <c r="U1257" s="3" t="inlineStr">
        <is>
          <t>N JB Cold Soldering &amp; Cell Burn</t>
        </is>
      </c>
      <c r="V1257" s="3" t="inlineStr">
        <is>
          <t>Soldering</t>
        </is>
      </c>
      <c r="W1257" s="3" t="inlineStr">
        <is>
          <t>Repair</t>
        </is>
      </c>
      <c r="X1257" s="18" t="n">
        <v>46158</v>
      </c>
      <c r="Y1257" s="73">
        <f>IF(X1257="","",X1257-A1257)</f>
        <v/>
      </c>
      <c r="Z1257" s="18" t="n">
        <v>46158</v>
      </c>
      <c r="AA1257" s="15" t="n"/>
      <c r="AB1257" s="15" t="n"/>
      <c r="AF1257">
        <f>IF(AND($F1257="Closed",$X1257&gt;=DATE(2026,5,1),$X1257&lt;=DATE(2026,5,31)),"Closed in May","Other")</f>
        <v/>
      </c>
    </row>
    <row r="1258">
      <c r="A1258" s="6" t="n">
        <v>46107</v>
      </c>
      <c r="B1258" s="3" t="n">
        <v>2026</v>
      </c>
      <c r="C1258" s="3" t="inlineStr">
        <is>
          <t>Blupine Energy</t>
        </is>
      </c>
      <c r="D1258" s="3" t="inlineStr">
        <is>
          <t>Utility and C&amp;I</t>
        </is>
      </c>
      <c r="E1258" s="3" t="n"/>
      <c r="F1258" s="3" t="inlineStr">
        <is>
          <t>Closed</t>
        </is>
      </c>
      <c r="G1258" s="3" t="inlineStr">
        <is>
          <t>Chandrashekar Patidar</t>
        </is>
      </c>
      <c r="H1258" s="3" t="n">
        <v>7879764773</v>
      </c>
      <c r="I1258" s="11" t="inlineStr">
        <is>
          <t>PE26032601</t>
        </is>
      </c>
      <c r="J1258" s="3" t="inlineStr">
        <is>
          <t>Module Diode Failure</t>
        </is>
      </c>
      <c r="K1258" s="3" t="inlineStr">
        <is>
          <t>Sadla</t>
        </is>
      </c>
      <c r="L1258" s="3" t="inlineStr">
        <is>
          <t>Gujarat</t>
        </is>
      </c>
      <c r="M1258" s="9" t="inlineStr">
        <is>
          <t>NS</t>
        </is>
      </c>
      <c r="N1258" s="3" t="inlineStr">
        <is>
          <t>Cold Soldering</t>
        </is>
      </c>
      <c r="O1258" s="3" t="n">
        <v>570</v>
      </c>
      <c r="P1258" s="9" t="inlineStr">
        <is>
          <t>NSMI24060147325</t>
        </is>
      </c>
      <c r="Q1258" s="53">
        <f>MID(P1258,5,2)</f>
        <v/>
      </c>
      <c r="R1258" s="53">
        <f>MID(P1258,7,2)</f>
        <v/>
      </c>
      <c r="S1258" s="3" t="inlineStr">
        <is>
          <t>G2G</t>
        </is>
      </c>
      <c r="T1258" s="3" t="inlineStr">
        <is>
          <t>P4</t>
        </is>
      </c>
      <c r="U1258" s="3" t="inlineStr">
        <is>
          <t>N JB Cold Soldering</t>
        </is>
      </c>
      <c r="V1258" s="3" t="inlineStr">
        <is>
          <t>Soldering</t>
        </is>
      </c>
      <c r="W1258" s="3" t="inlineStr">
        <is>
          <t>Repair</t>
        </is>
      </c>
      <c r="X1258" s="18" t="n">
        <v>46158</v>
      </c>
      <c r="Y1258" s="73">
        <f>IF(X1258="","",X1258-A1258)</f>
        <v/>
      </c>
      <c r="Z1258" s="18" t="n">
        <v>46158</v>
      </c>
      <c r="AA1258" s="15" t="n"/>
      <c r="AB1258" s="15" t="n"/>
      <c r="AF1258">
        <f>IF(AND($F1258="Closed",$X1258&gt;=DATE(2026,5,1),$X1258&lt;=DATE(2026,5,31)),"Closed in May","Other")</f>
        <v/>
      </c>
    </row>
    <row r="1259">
      <c r="A1259" s="6" t="n">
        <v>46107</v>
      </c>
      <c r="B1259" s="3" t="n">
        <v>2026</v>
      </c>
      <c r="C1259" s="3" t="inlineStr">
        <is>
          <t>Blupine Energy</t>
        </is>
      </c>
      <c r="D1259" s="3" t="inlineStr">
        <is>
          <t>Utility and C&amp;I</t>
        </is>
      </c>
      <c r="E1259" s="3" t="n"/>
      <c r="F1259" s="3" t="inlineStr">
        <is>
          <t>Closed</t>
        </is>
      </c>
      <c r="G1259" s="3" t="inlineStr">
        <is>
          <t>Chandrashekar Patidar</t>
        </is>
      </c>
      <c r="H1259" s="3" t="n">
        <v>7879764773</v>
      </c>
      <c r="I1259" s="11" t="inlineStr">
        <is>
          <t>PE26032601</t>
        </is>
      </c>
      <c r="J1259" s="3" t="inlineStr">
        <is>
          <t>Module Diode Failure</t>
        </is>
      </c>
      <c r="K1259" s="3" t="inlineStr">
        <is>
          <t>Sadla</t>
        </is>
      </c>
      <c r="L1259" s="3" t="inlineStr">
        <is>
          <t>Gujarat</t>
        </is>
      </c>
      <c r="M1259" s="9" t="inlineStr">
        <is>
          <t>NS</t>
        </is>
      </c>
      <c r="N1259" s="3" t="inlineStr">
        <is>
          <t>Cold Soldering</t>
        </is>
      </c>
      <c r="O1259" s="3" t="n">
        <v>570</v>
      </c>
      <c r="P1259" s="9" t="inlineStr">
        <is>
          <t>NSMI24060147270</t>
        </is>
      </c>
      <c r="Q1259" s="53">
        <f>MID(P1259,5,2)</f>
        <v/>
      </c>
      <c r="R1259" s="53">
        <f>MID(P1259,7,2)</f>
        <v/>
      </c>
      <c r="S1259" s="3" t="inlineStr">
        <is>
          <t>G2G</t>
        </is>
      </c>
      <c r="T1259" s="3" t="inlineStr">
        <is>
          <t>P4</t>
        </is>
      </c>
      <c r="U1259" s="3" t="inlineStr">
        <is>
          <t>N JB Cold Soldering</t>
        </is>
      </c>
      <c r="V1259" s="3" t="inlineStr">
        <is>
          <t>Soldering</t>
        </is>
      </c>
      <c r="W1259" s="3" t="inlineStr">
        <is>
          <t>Repair</t>
        </is>
      </c>
      <c r="X1259" s="18" t="n">
        <v>46158</v>
      </c>
      <c r="Y1259" s="73">
        <f>IF(X1259="","",X1259-A1259)</f>
        <v/>
      </c>
      <c r="Z1259" s="18" t="n">
        <v>46158</v>
      </c>
      <c r="AA1259" s="15" t="n"/>
      <c r="AB1259" s="15" t="n"/>
      <c r="AF1259">
        <f>IF(AND($F1259="Closed",$X1259&gt;=DATE(2026,5,1),$X1259&lt;=DATE(2026,5,31)),"Closed in May","Other")</f>
        <v/>
      </c>
    </row>
    <row r="1260">
      <c r="A1260" s="6" t="n">
        <v>46107</v>
      </c>
      <c r="B1260" s="3" t="n">
        <v>2026</v>
      </c>
      <c r="C1260" s="3" t="inlineStr">
        <is>
          <t>Blupine Energy</t>
        </is>
      </c>
      <c r="D1260" s="3" t="inlineStr">
        <is>
          <t>Utility and C&amp;I</t>
        </is>
      </c>
      <c r="E1260" s="3" t="n"/>
      <c r="F1260" s="3" t="inlineStr">
        <is>
          <t>Closed</t>
        </is>
      </c>
      <c r="G1260" s="3" t="inlineStr">
        <is>
          <t>Chandrashekar Patidar</t>
        </is>
      </c>
      <c r="H1260" s="3" t="n">
        <v>7879764773</v>
      </c>
      <c r="I1260" s="11" t="inlineStr">
        <is>
          <t>PE26032601</t>
        </is>
      </c>
      <c r="J1260" s="3" t="inlineStr">
        <is>
          <t>Module Diode Failure</t>
        </is>
      </c>
      <c r="K1260" s="3" t="inlineStr">
        <is>
          <t>Sadla</t>
        </is>
      </c>
      <c r="L1260" s="3" t="inlineStr">
        <is>
          <t>Gujarat</t>
        </is>
      </c>
      <c r="M1260" s="9" t="inlineStr">
        <is>
          <t>NS</t>
        </is>
      </c>
      <c r="N1260" s="3" t="inlineStr">
        <is>
          <t>Cold Soldering</t>
        </is>
      </c>
      <c r="O1260" s="3" t="n">
        <v>570</v>
      </c>
      <c r="P1260" s="9" t="inlineStr">
        <is>
          <t>NSMI24060144748</t>
        </is>
      </c>
      <c r="Q1260" s="53">
        <f>MID(P1260,5,2)</f>
        <v/>
      </c>
      <c r="R1260" s="53">
        <f>MID(P1260,7,2)</f>
        <v/>
      </c>
      <c r="S1260" s="3" t="inlineStr">
        <is>
          <t>G2G</t>
        </is>
      </c>
      <c r="T1260" s="3" t="inlineStr">
        <is>
          <t>P4</t>
        </is>
      </c>
      <c r="U1260" s="3" t="inlineStr">
        <is>
          <t>N JB Cold Soldering</t>
        </is>
      </c>
      <c r="V1260" s="3" t="inlineStr">
        <is>
          <t>Soldering</t>
        </is>
      </c>
      <c r="W1260" s="3" t="inlineStr">
        <is>
          <t>Repair</t>
        </is>
      </c>
      <c r="X1260" s="18" t="n">
        <v>46158</v>
      </c>
      <c r="Y1260" s="73">
        <f>IF(X1260="","",X1260-A1260)</f>
        <v/>
      </c>
      <c r="Z1260" s="18" t="n">
        <v>46158</v>
      </c>
      <c r="AA1260" s="15" t="n"/>
      <c r="AB1260" s="15" t="n"/>
      <c r="AF1260">
        <f>IF(AND($F1260="Closed",$X1260&gt;=DATE(2026,5,1),$X1260&lt;=DATE(2026,5,31)),"Closed in May","Other")</f>
        <v/>
      </c>
    </row>
    <row r="1261">
      <c r="A1261" s="6" t="n">
        <v>46107</v>
      </c>
      <c r="B1261" s="3" t="n">
        <v>2026</v>
      </c>
      <c r="C1261" s="3" t="inlineStr">
        <is>
          <t>Blupine Energy</t>
        </is>
      </c>
      <c r="D1261" s="3" t="inlineStr">
        <is>
          <t>Utility and C&amp;I</t>
        </is>
      </c>
      <c r="E1261" s="3" t="n"/>
      <c r="F1261" s="3" t="inlineStr">
        <is>
          <t>Closed</t>
        </is>
      </c>
      <c r="G1261" s="3" t="inlineStr">
        <is>
          <t>Chandrashekar Patidar</t>
        </is>
      </c>
      <c r="H1261" s="3" t="n">
        <v>7879764773</v>
      </c>
      <c r="I1261" s="11" t="inlineStr">
        <is>
          <t>PE26032601</t>
        </is>
      </c>
      <c r="J1261" s="3" t="inlineStr">
        <is>
          <t>Module Diode Failure</t>
        </is>
      </c>
      <c r="K1261" s="3" t="inlineStr">
        <is>
          <t>Sadla</t>
        </is>
      </c>
      <c r="L1261" s="3" t="inlineStr">
        <is>
          <t>Gujarat</t>
        </is>
      </c>
      <c r="M1261" s="9" t="inlineStr">
        <is>
          <t>NS</t>
        </is>
      </c>
      <c r="N1261" s="3" t="inlineStr">
        <is>
          <t>Cold Soldering</t>
        </is>
      </c>
      <c r="O1261" s="3" t="n">
        <v>570</v>
      </c>
      <c r="P1261" s="9" t="inlineStr">
        <is>
          <t>NSMI24060144837</t>
        </is>
      </c>
      <c r="Q1261" s="53">
        <f>MID(P1261,5,2)</f>
        <v/>
      </c>
      <c r="R1261" s="53">
        <f>MID(P1261,7,2)</f>
        <v/>
      </c>
      <c r="S1261" s="3" t="inlineStr">
        <is>
          <t>G2G</t>
        </is>
      </c>
      <c r="T1261" s="3" t="inlineStr">
        <is>
          <t>P4</t>
        </is>
      </c>
      <c r="U1261" s="3" t="inlineStr">
        <is>
          <t>N JB Cold Soldering</t>
        </is>
      </c>
      <c r="V1261" s="3" t="inlineStr">
        <is>
          <t>Soldering</t>
        </is>
      </c>
      <c r="W1261" s="3" t="inlineStr">
        <is>
          <t>Repair</t>
        </is>
      </c>
      <c r="X1261" s="18" t="n">
        <v>46158</v>
      </c>
      <c r="Y1261" s="73">
        <f>IF(X1261="","",X1261-A1261)</f>
        <v/>
      </c>
      <c r="Z1261" s="18" t="n">
        <v>46158</v>
      </c>
      <c r="AA1261" s="15" t="n"/>
      <c r="AB1261" s="15" t="n"/>
      <c r="AF1261">
        <f>IF(AND($F1261="Closed",$X1261&gt;=DATE(2026,5,1),$X1261&lt;=DATE(2026,5,31)),"Closed in May","Other")</f>
        <v/>
      </c>
    </row>
    <row r="1262">
      <c r="A1262" s="6" t="n">
        <v>46107</v>
      </c>
      <c r="B1262" s="3" t="n">
        <v>2026</v>
      </c>
      <c r="C1262" s="3" t="inlineStr">
        <is>
          <t>Blupine Energy</t>
        </is>
      </c>
      <c r="D1262" s="3" t="inlineStr">
        <is>
          <t>Utility and C&amp;I</t>
        </is>
      </c>
      <c r="E1262" s="3" t="n"/>
      <c r="F1262" s="3" t="inlineStr">
        <is>
          <t>Closed</t>
        </is>
      </c>
      <c r="G1262" s="3" t="inlineStr">
        <is>
          <t>Chandrashekar Patidar</t>
        </is>
      </c>
      <c r="H1262" s="3" t="n">
        <v>7879764773</v>
      </c>
      <c r="I1262" s="11" t="inlineStr">
        <is>
          <t>PE26032601</t>
        </is>
      </c>
      <c r="J1262" s="3" t="inlineStr">
        <is>
          <t>Module Diode Failure</t>
        </is>
      </c>
      <c r="K1262" s="3" t="inlineStr">
        <is>
          <t>Sadla</t>
        </is>
      </c>
      <c r="L1262" s="3" t="inlineStr">
        <is>
          <t>Gujarat</t>
        </is>
      </c>
      <c r="M1262" s="9" t="inlineStr">
        <is>
          <t>NS</t>
        </is>
      </c>
      <c r="N1262" s="3" t="inlineStr">
        <is>
          <t>Cold Soldering</t>
        </is>
      </c>
      <c r="O1262" s="3" t="n">
        <v>570</v>
      </c>
      <c r="P1262" s="9" t="inlineStr">
        <is>
          <t>NSMI24060150937</t>
        </is>
      </c>
      <c r="Q1262" s="53">
        <f>MID(P1262,5,2)</f>
        <v/>
      </c>
      <c r="R1262" s="53">
        <f>MID(P1262,7,2)</f>
        <v/>
      </c>
      <c r="S1262" s="3" t="inlineStr">
        <is>
          <t>G2G</t>
        </is>
      </c>
      <c r="T1262" s="3" t="inlineStr">
        <is>
          <t>P4</t>
        </is>
      </c>
      <c r="U1262" s="3" t="inlineStr">
        <is>
          <t>N JB Cold Soldering</t>
        </is>
      </c>
      <c r="V1262" s="3" t="inlineStr">
        <is>
          <t>Soldering</t>
        </is>
      </c>
      <c r="W1262" s="3" t="inlineStr">
        <is>
          <t>Repair</t>
        </is>
      </c>
      <c r="X1262" s="18" t="n">
        <v>46159</v>
      </c>
      <c r="Y1262" s="73">
        <f>IF(X1262="","",X1262-A1262)</f>
        <v/>
      </c>
      <c r="Z1262" s="18" t="n">
        <v>46159</v>
      </c>
      <c r="AA1262" s="15" t="n"/>
      <c r="AB1262" s="15" t="n"/>
      <c r="AF1262">
        <f>IF(AND($F1262="Closed",$X1262&gt;=DATE(2026,5,1),$X1262&lt;=DATE(2026,5,31)),"Closed in May","Other")</f>
        <v/>
      </c>
    </row>
    <row r="1263">
      <c r="A1263" s="6" t="n">
        <v>46107</v>
      </c>
      <c r="B1263" s="3" t="n">
        <v>2026</v>
      </c>
      <c r="C1263" s="3" t="inlineStr">
        <is>
          <t>Blupine Energy</t>
        </is>
      </c>
      <c r="D1263" s="3" t="inlineStr">
        <is>
          <t>Utility and C&amp;I</t>
        </is>
      </c>
      <c r="E1263" s="3" t="n"/>
      <c r="F1263" s="3" t="inlineStr">
        <is>
          <t>Closed</t>
        </is>
      </c>
      <c r="G1263" s="3" t="inlineStr">
        <is>
          <t>Chandrashekar Patidar</t>
        </is>
      </c>
      <c r="H1263" s="3" t="n">
        <v>7879764773</v>
      </c>
      <c r="I1263" s="11" t="inlineStr">
        <is>
          <t>PE26032601</t>
        </is>
      </c>
      <c r="J1263" s="3" t="inlineStr">
        <is>
          <t>Module Diode Failure</t>
        </is>
      </c>
      <c r="K1263" s="3" t="inlineStr">
        <is>
          <t>Sadla</t>
        </is>
      </c>
      <c r="L1263" s="3" t="inlineStr">
        <is>
          <t>Gujarat</t>
        </is>
      </c>
      <c r="M1263" s="9" t="inlineStr">
        <is>
          <t>NS</t>
        </is>
      </c>
      <c r="N1263" s="3" t="inlineStr">
        <is>
          <t>Cold Soldering</t>
        </is>
      </c>
      <c r="O1263" s="3" t="n">
        <v>570</v>
      </c>
      <c r="P1263" s="9" t="inlineStr">
        <is>
          <t>NSMI24060156420</t>
        </is>
      </c>
      <c r="Q1263" s="53">
        <f>MID(P1263,5,2)</f>
        <v/>
      </c>
      <c r="R1263" s="53">
        <f>MID(P1263,7,2)</f>
        <v/>
      </c>
      <c r="S1263" s="3" t="inlineStr">
        <is>
          <t>G2G</t>
        </is>
      </c>
      <c r="T1263" s="3" t="inlineStr">
        <is>
          <t>P4</t>
        </is>
      </c>
      <c r="U1263" s="3" t="inlineStr">
        <is>
          <t>N JB Cold Soldering</t>
        </is>
      </c>
      <c r="V1263" s="3" t="inlineStr">
        <is>
          <t>Soldering</t>
        </is>
      </c>
      <c r="W1263" s="3" t="inlineStr">
        <is>
          <t>Repair</t>
        </is>
      </c>
      <c r="X1263" s="18" t="n">
        <v>46159</v>
      </c>
      <c r="Y1263" s="73">
        <f>IF(X1263="","",X1263-A1263)</f>
        <v/>
      </c>
      <c r="Z1263" s="18" t="n">
        <v>46159</v>
      </c>
      <c r="AA1263" s="15" t="n"/>
      <c r="AB1263" s="15" t="n"/>
      <c r="AF1263">
        <f>IF(AND($F1263="Closed",$X1263&gt;=DATE(2026,5,1),$X1263&lt;=DATE(2026,5,31)),"Closed in May","Other")</f>
        <v/>
      </c>
    </row>
    <row r="1264">
      <c r="A1264" s="6" t="n">
        <v>46107</v>
      </c>
      <c r="B1264" s="3" t="n">
        <v>2026</v>
      </c>
      <c r="C1264" s="3" t="inlineStr">
        <is>
          <t>Blupine Energy</t>
        </is>
      </c>
      <c r="D1264" s="3" t="inlineStr">
        <is>
          <t>Utility and C&amp;I</t>
        </is>
      </c>
      <c r="E1264" s="3" t="n"/>
      <c r="F1264" s="3" t="inlineStr">
        <is>
          <t>Closed</t>
        </is>
      </c>
      <c r="G1264" s="3" t="inlineStr">
        <is>
          <t>Chandrashekar Patidar</t>
        </is>
      </c>
      <c r="H1264" s="3" t="n">
        <v>7879764773</v>
      </c>
      <c r="I1264" s="11" t="inlineStr">
        <is>
          <t>PE26032601</t>
        </is>
      </c>
      <c r="J1264" s="3" t="inlineStr">
        <is>
          <t>Module Diode Failure</t>
        </is>
      </c>
      <c r="K1264" s="3" t="inlineStr">
        <is>
          <t>Sadla</t>
        </is>
      </c>
      <c r="L1264" s="3" t="inlineStr">
        <is>
          <t>Gujarat</t>
        </is>
      </c>
      <c r="M1264" s="9" t="inlineStr">
        <is>
          <t>NS</t>
        </is>
      </c>
      <c r="N1264" s="3" t="inlineStr">
        <is>
          <t>Cold Soldering</t>
        </is>
      </c>
      <c r="O1264" s="3" t="n">
        <v>570</v>
      </c>
      <c r="P1264" s="9" t="inlineStr">
        <is>
          <t>NSMI24060154622</t>
        </is>
      </c>
      <c r="Q1264" s="53">
        <f>MID(P1264,5,2)</f>
        <v/>
      </c>
      <c r="R1264" s="53">
        <f>MID(P1264,7,2)</f>
        <v/>
      </c>
      <c r="S1264" s="3" t="inlineStr">
        <is>
          <t>G2G</t>
        </is>
      </c>
      <c r="T1264" s="3" t="inlineStr">
        <is>
          <t>P4</t>
        </is>
      </c>
      <c r="U1264" s="3" t="inlineStr">
        <is>
          <t>N JB Cold Soldering</t>
        </is>
      </c>
      <c r="V1264" s="3" t="inlineStr">
        <is>
          <t>Soldering</t>
        </is>
      </c>
      <c r="W1264" s="3" t="inlineStr">
        <is>
          <t>Repair</t>
        </is>
      </c>
      <c r="X1264" s="18" t="n">
        <v>46159</v>
      </c>
      <c r="Y1264" s="73">
        <f>IF(X1264="","",X1264-A1264)</f>
        <v/>
      </c>
      <c r="Z1264" s="18" t="n">
        <v>46159</v>
      </c>
      <c r="AA1264" s="15" t="n"/>
      <c r="AB1264" s="15" t="n"/>
      <c r="AF1264">
        <f>IF(AND($F1264="Closed",$X1264&gt;=DATE(2026,5,1),$X1264&lt;=DATE(2026,5,31)),"Closed in May","Other")</f>
        <v/>
      </c>
    </row>
    <row r="1265">
      <c r="A1265" s="6" t="n">
        <v>46107</v>
      </c>
      <c r="B1265" s="3" t="n">
        <v>2026</v>
      </c>
      <c r="C1265" s="3" t="inlineStr">
        <is>
          <t>Blupine Energy</t>
        </is>
      </c>
      <c r="D1265" s="3" t="inlineStr">
        <is>
          <t>Utility and C&amp;I</t>
        </is>
      </c>
      <c r="E1265" s="3" t="n"/>
      <c r="F1265" s="3" t="inlineStr">
        <is>
          <t>Closed</t>
        </is>
      </c>
      <c r="G1265" s="3" t="inlineStr">
        <is>
          <t>Chandrashekar Patidar</t>
        </is>
      </c>
      <c r="H1265" s="3" t="n">
        <v>7879764773</v>
      </c>
      <c r="I1265" s="11" t="inlineStr">
        <is>
          <t>PE26032601</t>
        </is>
      </c>
      <c r="J1265" s="3" t="inlineStr">
        <is>
          <t>Module Diode Failure</t>
        </is>
      </c>
      <c r="K1265" s="3" t="inlineStr">
        <is>
          <t>Sadla</t>
        </is>
      </c>
      <c r="L1265" s="3" t="inlineStr">
        <is>
          <t>Gujarat</t>
        </is>
      </c>
      <c r="M1265" s="9" t="inlineStr">
        <is>
          <t>NS</t>
        </is>
      </c>
      <c r="N1265" s="3" t="inlineStr">
        <is>
          <t>Cold Soldering</t>
        </is>
      </c>
      <c r="O1265" s="3" t="n">
        <v>570</v>
      </c>
      <c r="P1265" s="9" t="inlineStr">
        <is>
          <t>NSMI24070166716</t>
        </is>
      </c>
      <c r="Q1265" s="53">
        <f>MID(P1265,5,2)</f>
        <v/>
      </c>
      <c r="R1265" s="53">
        <f>MID(P1265,7,2)</f>
        <v/>
      </c>
      <c r="S1265" s="3" t="inlineStr">
        <is>
          <t>G2G</t>
        </is>
      </c>
      <c r="T1265" s="3" t="inlineStr">
        <is>
          <t>P4</t>
        </is>
      </c>
      <c r="U1265" s="3" t="inlineStr">
        <is>
          <t>N JB Cold Soldering</t>
        </is>
      </c>
      <c r="V1265" s="3" t="inlineStr">
        <is>
          <t>Soldering</t>
        </is>
      </c>
      <c r="W1265" s="3" t="inlineStr">
        <is>
          <t>Repair</t>
        </is>
      </c>
      <c r="X1265" s="18" t="n">
        <v>46159</v>
      </c>
      <c r="Y1265" s="73">
        <f>IF(X1265="","",X1265-A1265)</f>
        <v/>
      </c>
      <c r="Z1265" s="18" t="n">
        <v>46159</v>
      </c>
      <c r="AA1265" s="15" t="n"/>
      <c r="AB1265" s="15" t="n"/>
      <c r="AF1265">
        <f>IF(AND($F1265="Closed",$X1265&gt;=DATE(2026,5,1),$X1265&lt;=DATE(2026,5,31)),"Closed in May","Other")</f>
        <v/>
      </c>
    </row>
    <row r="1266">
      <c r="A1266" s="6" t="n">
        <v>46107</v>
      </c>
      <c r="B1266" s="3" t="n">
        <v>2026</v>
      </c>
      <c r="C1266" s="3" t="inlineStr">
        <is>
          <t>Blupine Energy</t>
        </is>
      </c>
      <c r="D1266" s="3" t="inlineStr">
        <is>
          <t>Utility and C&amp;I</t>
        </is>
      </c>
      <c r="E1266" s="3" t="n"/>
      <c r="F1266" s="3" t="inlineStr">
        <is>
          <t>Closed</t>
        </is>
      </c>
      <c r="G1266" s="3" t="inlineStr">
        <is>
          <t>Chandrashekar Patidar</t>
        </is>
      </c>
      <c r="H1266" s="3" t="n">
        <v>7879764773</v>
      </c>
      <c r="I1266" s="11" t="inlineStr">
        <is>
          <t>PE26032601</t>
        </is>
      </c>
      <c r="J1266" s="3" t="inlineStr">
        <is>
          <t>Module Diode Failure</t>
        </is>
      </c>
      <c r="K1266" s="3" t="inlineStr">
        <is>
          <t>Sadla</t>
        </is>
      </c>
      <c r="L1266" s="3" t="inlineStr">
        <is>
          <t>Gujarat</t>
        </is>
      </c>
      <c r="M1266" s="9" t="inlineStr">
        <is>
          <t>NS</t>
        </is>
      </c>
      <c r="N1266" s="3" t="inlineStr">
        <is>
          <t>Cold Soldering</t>
        </is>
      </c>
      <c r="O1266" s="3" t="n">
        <v>570</v>
      </c>
      <c r="P1266" s="9" t="inlineStr">
        <is>
          <t>NSMI24060162801</t>
        </is>
      </c>
      <c r="Q1266" s="53">
        <f>MID(P1266,5,2)</f>
        <v/>
      </c>
      <c r="R1266" s="53">
        <f>MID(P1266,7,2)</f>
        <v/>
      </c>
      <c r="S1266" s="3" t="inlineStr">
        <is>
          <t>G2G</t>
        </is>
      </c>
      <c r="T1266" s="3" t="inlineStr">
        <is>
          <t>P4</t>
        </is>
      </c>
      <c r="U1266" s="3" t="inlineStr">
        <is>
          <t>N JB Cold Soldering</t>
        </is>
      </c>
      <c r="V1266" s="3" t="inlineStr">
        <is>
          <t>Soldering</t>
        </is>
      </c>
      <c r="W1266" s="3" t="inlineStr">
        <is>
          <t>Repair</t>
        </is>
      </c>
      <c r="X1266" s="18" t="n">
        <v>46159</v>
      </c>
      <c r="Y1266" s="73">
        <f>IF(X1266="","",X1266-A1266)</f>
        <v/>
      </c>
      <c r="Z1266" s="18" t="n">
        <v>46159</v>
      </c>
      <c r="AA1266" s="15" t="n"/>
      <c r="AB1266" s="15" t="n"/>
      <c r="AF1266">
        <f>IF(AND($F1266="Closed",$X1266&gt;=DATE(2026,5,1),$X1266&lt;=DATE(2026,5,31)),"Closed in May","Other")</f>
        <v/>
      </c>
    </row>
    <row r="1267">
      <c r="A1267" s="6" t="n">
        <v>46107</v>
      </c>
      <c r="B1267" s="3" t="n">
        <v>2026</v>
      </c>
      <c r="C1267" s="3" t="inlineStr">
        <is>
          <t>Blupine Energy</t>
        </is>
      </c>
      <c r="D1267" s="3" t="inlineStr">
        <is>
          <t>Utility and C&amp;I</t>
        </is>
      </c>
      <c r="E1267" s="3" t="n"/>
      <c r="F1267" s="3" t="inlineStr">
        <is>
          <t>Closed</t>
        </is>
      </c>
      <c r="G1267" s="3" t="inlineStr">
        <is>
          <t>Chandrashekar Patidar</t>
        </is>
      </c>
      <c r="H1267" s="3" t="n">
        <v>7879764773</v>
      </c>
      <c r="I1267" s="11" t="inlineStr">
        <is>
          <t>PE26032601</t>
        </is>
      </c>
      <c r="J1267" s="3" t="inlineStr">
        <is>
          <t>Module Diode Failure</t>
        </is>
      </c>
      <c r="K1267" s="3" t="inlineStr">
        <is>
          <t>Sadla</t>
        </is>
      </c>
      <c r="L1267" s="3" t="inlineStr">
        <is>
          <t>Gujarat</t>
        </is>
      </c>
      <c r="M1267" s="9" t="inlineStr">
        <is>
          <t>NS</t>
        </is>
      </c>
      <c r="N1267" s="3" t="inlineStr">
        <is>
          <t>Cold Soldering</t>
        </is>
      </c>
      <c r="O1267" s="3" t="n">
        <v>570</v>
      </c>
      <c r="P1267" s="9" t="inlineStr">
        <is>
          <t>NSMI24060157130</t>
        </is>
      </c>
      <c r="Q1267" s="53">
        <f>MID(P1267,5,2)</f>
        <v/>
      </c>
      <c r="R1267" s="53">
        <f>MID(P1267,7,2)</f>
        <v/>
      </c>
      <c r="S1267" s="3" t="inlineStr">
        <is>
          <t>G2G</t>
        </is>
      </c>
      <c r="T1267" s="3" t="inlineStr">
        <is>
          <t>P4</t>
        </is>
      </c>
      <c r="U1267" s="3" t="inlineStr">
        <is>
          <t>N JB Cold Soldering</t>
        </is>
      </c>
      <c r="V1267" s="3" t="inlineStr">
        <is>
          <t>Soldering</t>
        </is>
      </c>
      <c r="W1267" s="3" t="inlineStr">
        <is>
          <t>Repair</t>
        </is>
      </c>
      <c r="X1267" s="18" t="n">
        <v>46159</v>
      </c>
      <c r="Y1267" s="73">
        <f>IF(X1267="","",X1267-A1267)</f>
        <v/>
      </c>
      <c r="Z1267" s="18" t="n">
        <v>46159</v>
      </c>
      <c r="AA1267" s="15" t="n"/>
      <c r="AB1267" s="15" t="n"/>
      <c r="AF1267">
        <f>IF(AND($F1267="Closed",$X1267&gt;=DATE(2026,5,1),$X1267&lt;=DATE(2026,5,31)),"Closed in May","Other")</f>
        <v/>
      </c>
    </row>
    <row r="1268">
      <c r="A1268" s="6" t="n">
        <v>46107</v>
      </c>
      <c r="B1268" s="3" t="n">
        <v>2026</v>
      </c>
      <c r="C1268" s="3" t="inlineStr">
        <is>
          <t>Blupine Energy</t>
        </is>
      </c>
      <c r="D1268" s="3" t="inlineStr">
        <is>
          <t>Utility and C&amp;I</t>
        </is>
      </c>
      <c r="E1268" s="3" t="n"/>
      <c r="F1268" s="3" t="inlineStr">
        <is>
          <t>Closed</t>
        </is>
      </c>
      <c r="G1268" s="3" t="inlineStr">
        <is>
          <t>Chandrashekar Patidar</t>
        </is>
      </c>
      <c r="H1268" s="3" t="n">
        <v>7879764773</v>
      </c>
      <c r="I1268" s="11" t="inlineStr">
        <is>
          <t>PE26032601</t>
        </is>
      </c>
      <c r="J1268" s="3" t="inlineStr">
        <is>
          <t>Module Diode Failure</t>
        </is>
      </c>
      <c r="K1268" s="3" t="inlineStr">
        <is>
          <t>Sadla</t>
        </is>
      </c>
      <c r="L1268" s="3" t="inlineStr">
        <is>
          <t>Gujarat</t>
        </is>
      </c>
      <c r="M1268" s="9" t="inlineStr">
        <is>
          <t>NS</t>
        </is>
      </c>
      <c r="N1268" s="3" t="inlineStr">
        <is>
          <t>Cold Soldering</t>
        </is>
      </c>
      <c r="O1268" s="3" t="n">
        <v>570</v>
      </c>
      <c r="P1268" s="9" t="inlineStr">
        <is>
          <t>NSMI24060147286</t>
        </is>
      </c>
      <c r="Q1268" s="53">
        <f>MID(P1268,5,2)</f>
        <v/>
      </c>
      <c r="R1268" s="53">
        <f>MID(P1268,7,2)</f>
        <v/>
      </c>
      <c r="S1268" s="3" t="inlineStr">
        <is>
          <t>G2G</t>
        </is>
      </c>
      <c r="T1268" s="3" t="inlineStr">
        <is>
          <t>P4</t>
        </is>
      </c>
      <c r="U1268" s="3" t="inlineStr">
        <is>
          <t>N JB Cold Soldering</t>
        </is>
      </c>
      <c r="V1268" s="3" t="inlineStr">
        <is>
          <t>Soldering</t>
        </is>
      </c>
      <c r="W1268" s="3" t="inlineStr">
        <is>
          <t>Repair</t>
        </is>
      </c>
      <c r="X1268" s="18" t="n">
        <v>46159</v>
      </c>
      <c r="Y1268" s="73">
        <f>IF(X1268="","",X1268-A1268)</f>
        <v/>
      </c>
      <c r="Z1268" s="18" t="n">
        <v>46159</v>
      </c>
      <c r="AA1268" s="15" t="n"/>
      <c r="AB1268" s="15" t="n"/>
      <c r="AF1268">
        <f>IF(AND($F1268="Closed",$X1268&gt;=DATE(2026,5,1),$X1268&lt;=DATE(2026,5,31)),"Closed in May","Other")</f>
        <v/>
      </c>
    </row>
    <row r="1269">
      <c r="A1269" s="6" t="n">
        <v>46107</v>
      </c>
      <c r="B1269" s="3" t="n">
        <v>2026</v>
      </c>
      <c r="C1269" s="3" t="inlineStr">
        <is>
          <t>Blupine Energy</t>
        </is>
      </c>
      <c r="D1269" s="3" t="inlineStr">
        <is>
          <t>Utility and C&amp;I</t>
        </is>
      </c>
      <c r="E1269" s="3" t="n"/>
      <c r="F1269" s="3" t="inlineStr">
        <is>
          <t>Closed</t>
        </is>
      </c>
      <c r="G1269" s="3" t="inlineStr">
        <is>
          <t>Chandrashekar Patidar</t>
        </is>
      </c>
      <c r="H1269" s="3" t="n">
        <v>7879764773</v>
      </c>
      <c r="I1269" s="11" t="inlineStr">
        <is>
          <t>PE26032601</t>
        </is>
      </c>
      <c r="J1269" s="3" t="inlineStr">
        <is>
          <t>Module Diode Failure</t>
        </is>
      </c>
      <c r="K1269" s="3" t="inlineStr">
        <is>
          <t>Sadla</t>
        </is>
      </c>
      <c r="L1269" s="3" t="inlineStr">
        <is>
          <t>Gujarat</t>
        </is>
      </c>
      <c r="M1269" s="9" t="inlineStr">
        <is>
          <t>NS</t>
        </is>
      </c>
      <c r="N1269" s="3" t="inlineStr">
        <is>
          <t>Cold Soldering</t>
        </is>
      </c>
      <c r="O1269" s="3" t="n">
        <v>570</v>
      </c>
      <c r="P1269" s="9" t="inlineStr">
        <is>
          <t>NSMI24060146429</t>
        </is>
      </c>
      <c r="Q1269" s="53">
        <f>MID(P1269,5,2)</f>
        <v/>
      </c>
      <c r="R1269" s="53">
        <f>MID(P1269,7,2)</f>
        <v/>
      </c>
      <c r="S1269" s="3" t="inlineStr">
        <is>
          <t>G2G</t>
        </is>
      </c>
      <c r="T1269" s="3" t="inlineStr">
        <is>
          <t>P4</t>
        </is>
      </c>
      <c r="U1269" s="3" t="inlineStr">
        <is>
          <t>N JB Cold Soldering</t>
        </is>
      </c>
      <c r="V1269" s="3" t="inlineStr">
        <is>
          <t>Soldering</t>
        </is>
      </c>
      <c r="W1269" s="3" t="inlineStr">
        <is>
          <t>Repair</t>
        </is>
      </c>
      <c r="X1269" s="18" t="n">
        <v>46159</v>
      </c>
      <c r="Y1269" s="73">
        <f>IF(X1269="","",X1269-A1269)</f>
        <v/>
      </c>
      <c r="Z1269" s="18" t="n">
        <v>46159</v>
      </c>
      <c r="AA1269" s="15" t="n"/>
      <c r="AB1269" s="15" t="n"/>
      <c r="AF1269">
        <f>IF(AND($F1269="Closed",$X1269&gt;=DATE(2026,5,1),$X1269&lt;=DATE(2026,5,31)),"Closed in May","Other")</f>
        <v/>
      </c>
    </row>
    <row r="1270">
      <c r="A1270" s="6" t="n">
        <v>46107</v>
      </c>
      <c r="B1270" s="3" t="n">
        <v>2026</v>
      </c>
      <c r="C1270" s="3" t="inlineStr">
        <is>
          <t>Blupine Energy</t>
        </is>
      </c>
      <c r="D1270" s="3" t="inlineStr">
        <is>
          <t>Utility and C&amp;I</t>
        </is>
      </c>
      <c r="E1270" s="3" t="n"/>
      <c r="F1270" s="3" t="inlineStr">
        <is>
          <t>Closed</t>
        </is>
      </c>
      <c r="G1270" s="3" t="inlineStr">
        <is>
          <t>Chandrashekar Patidar</t>
        </is>
      </c>
      <c r="H1270" s="3" t="n">
        <v>7879764773</v>
      </c>
      <c r="I1270" s="11" t="inlineStr">
        <is>
          <t>PE26032601</t>
        </is>
      </c>
      <c r="J1270" s="3" t="inlineStr">
        <is>
          <t>Module Diode Failure</t>
        </is>
      </c>
      <c r="K1270" s="3" t="inlineStr">
        <is>
          <t>Sadla</t>
        </is>
      </c>
      <c r="L1270" s="3" t="inlineStr">
        <is>
          <t>Gujarat</t>
        </is>
      </c>
      <c r="M1270" s="9" t="inlineStr">
        <is>
          <t>NS</t>
        </is>
      </c>
      <c r="N1270" s="3" t="inlineStr">
        <is>
          <t>Cold Soldering</t>
        </is>
      </c>
      <c r="O1270" s="3" t="n">
        <v>570</v>
      </c>
      <c r="P1270" s="9" t="inlineStr">
        <is>
          <t>NSMI24070166341</t>
        </is>
      </c>
      <c r="Q1270" s="53">
        <f>MID(P1270,5,2)</f>
        <v/>
      </c>
      <c r="R1270" s="53">
        <f>MID(P1270,7,2)</f>
        <v/>
      </c>
      <c r="S1270" s="3" t="inlineStr">
        <is>
          <t>G2G</t>
        </is>
      </c>
      <c r="T1270" s="3" t="inlineStr">
        <is>
          <t>P4</t>
        </is>
      </c>
      <c r="U1270" s="3" t="inlineStr">
        <is>
          <t>N JB Cold Soldering</t>
        </is>
      </c>
      <c r="V1270" s="3" t="inlineStr">
        <is>
          <t>Soldering</t>
        </is>
      </c>
      <c r="W1270" s="3" t="inlineStr">
        <is>
          <t>Repair</t>
        </is>
      </c>
      <c r="X1270" s="18" t="n">
        <v>46159</v>
      </c>
      <c r="Y1270" s="73">
        <f>IF(X1270="","",X1270-A1270)</f>
        <v/>
      </c>
      <c r="Z1270" s="18" t="n">
        <v>46159</v>
      </c>
      <c r="AA1270" s="15" t="n"/>
      <c r="AB1270" s="15" t="n"/>
      <c r="AF1270">
        <f>IF(AND($F1270="Closed",$X1270&gt;=DATE(2026,5,1),$X1270&lt;=DATE(2026,5,31)),"Closed in May","Other")</f>
        <v/>
      </c>
    </row>
    <row r="1271">
      <c r="A1271" s="6" t="n">
        <v>46107</v>
      </c>
      <c r="B1271" s="3" t="n">
        <v>2026</v>
      </c>
      <c r="C1271" s="3" t="inlineStr">
        <is>
          <t>Blupine Energy</t>
        </is>
      </c>
      <c r="D1271" s="3" t="inlineStr">
        <is>
          <t>Utility and C&amp;I</t>
        </is>
      </c>
      <c r="E1271" s="3" t="n"/>
      <c r="F1271" s="3" t="inlineStr">
        <is>
          <t>Closed</t>
        </is>
      </c>
      <c r="G1271" s="3" t="inlineStr">
        <is>
          <t>Chandrashekar Patidar</t>
        </is>
      </c>
      <c r="H1271" s="3" t="n">
        <v>7879764773</v>
      </c>
      <c r="I1271" s="11" t="inlineStr">
        <is>
          <t>PE26032601</t>
        </is>
      </c>
      <c r="J1271" s="3" t="inlineStr">
        <is>
          <t>Module Diode Failure</t>
        </is>
      </c>
      <c r="K1271" s="3" t="inlineStr">
        <is>
          <t>Sadla</t>
        </is>
      </c>
      <c r="L1271" s="3" t="inlineStr">
        <is>
          <t>Gujarat</t>
        </is>
      </c>
      <c r="M1271" s="9" t="inlineStr">
        <is>
          <t>PS</t>
        </is>
      </c>
      <c r="N1271" s="3" t="inlineStr">
        <is>
          <t>Cold Soldering</t>
        </is>
      </c>
      <c r="O1271" s="3" t="n">
        <v>570</v>
      </c>
      <c r="P1271" s="9" t="inlineStr">
        <is>
          <t>NSMI24060158871</t>
        </is>
      </c>
      <c r="Q1271" s="53">
        <f>MID(P1271,5,2)</f>
        <v/>
      </c>
      <c r="R1271" s="53">
        <f>MID(P1271,7,2)</f>
        <v/>
      </c>
      <c r="S1271" s="3" t="inlineStr">
        <is>
          <t>G2G</t>
        </is>
      </c>
      <c r="T1271" s="3" t="inlineStr">
        <is>
          <t>P4</t>
        </is>
      </c>
      <c r="U1271" s="3" t="inlineStr">
        <is>
          <t>P JB Cold Soldering</t>
        </is>
      </c>
      <c r="V1271" s="3" t="inlineStr">
        <is>
          <t>Soldering</t>
        </is>
      </c>
      <c r="W1271" s="3" t="inlineStr">
        <is>
          <t>Repair</t>
        </is>
      </c>
      <c r="X1271" s="18" t="n">
        <v>46159</v>
      </c>
      <c r="Y1271" s="73">
        <f>IF(X1271="","",X1271-A1271)</f>
        <v/>
      </c>
      <c r="Z1271" s="18" t="n">
        <v>46159</v>
      </c>
      <c r="AA1271" s="15" t="n"/>
      <c r="AB1271" s="15" t="n"/>
      <c r="AF1271">
        <f>IF(AND($F1271="Closed",$X1271&gt;=DATE(2026,5,1),$X1271&lt;=DATE(2026,5,31)),"Closed in May","Other")</f>
        <v/>
      </c>
    </row>
    <row r="1272">
      <c r="A1272" s="6" t="n">
        <v>46107</v>
      </c>
      <c r="B1272" s="3" t="n">
        <v>2026</v>
      </c>
      <c r="C1272" s="3" t="inlineStr">
        <is>
          <t>Blupine Energy</t>
        </is>
      </c>
      <c r="D1272" s="3" t="inlineStr">
        <is>
          <t>Utility and C&amp;I</t>
        </is>
      </c>
      <c r="E1272" s="3" t="n"/>
      <c r="F1272" s="3" t="inlineStr">
        <is>
          <t>Closed</t>
        </is>
      </c>
      <c r="G1272" s="3" t="inlineStr">
        <is>
          <t>Chandrashekar Patidar</t>
        </is>
      </c>
      <c r="H1272" s="3" t="n">
        <v>7879764773</v>
      </c>
      <c r="I1272" s="11" t="inlineStr">
        <is>
          <t>PE26032601</t>
        </is>
      </c>
      <c r="J1272" s="3" t="inlineStr">
        <is>
          <t>Module Diode Failure</t>
        </is>
      </c>
      <c r="K1272" s="3" t="inlineStr">
        <is>
          <t>Sadla</t>
        </is>
      </c>
      <c r="L1272" s="3" t="inlineStr">
        <is>
          <t>Gujarat</t>
        </is>
      </c>
      <c r="M1272" s="9" t="inlineStr">
        <is>
          <t>NS</t>
        </is>
      </c>
      <c r="N1272" s="3" t="inlineStr">
        <is>
          <t>Cold Soldering</t>
        </is>
      </c>
      <c r="O1272" s="3" t="n">
        <v>570</v>
      </c>
      <c r="P1272" s="9" t="inlineStr">
        <is>
          <t>NSMI24060157985</t>
        </is>
      </c>
      <c r="Q1272" s="53">
        <f>MID(P1272,5,2)</f>
        <v/>
      </c>
      <c r="R1272" s="53">
        <f>MID(P1272,7,2)</f>
        <v/>
      </c>
      <c r="S1272" s="3" t="inlineStr">
        <is>
          <t>G2G</t>
        </is>
      </c>
      <c r="T1272" s="3" t="inlineStr">
        <is>
          <t>P4</t>
        </is>
      </c>
      <c r="U1272" s="3" t="inlineStr">
        <is>
          <t>N JB Cold Soldering</t>
        </is>
      </c>
      <c r="V1272" s="3" t="inlineStr">
        <is>
          <t>Soldering</t>
        </is>
      </c>
      <c r="W1272" s="3" t="inlineStr">
        <is>
          <t>Repair</t>
        </is>
      </c>
      <c r="X1272" s="18" t="n">
        <v>46159</v>
      </c>
      <c r="Y1272" s="73">
        <f>IF(X1272="","",X1272-A1272)</f>
        <v/>
      </c>
      <c r="Z1272" s="18" t="n">
        <v>46159</v>
      </c>
      <c r="AA1272" s="15" t="n"/>
      <c r="AB1272" s="15" t="n"/>
      <c r="AF1272">
        <f>IF(AND($F1272="Closed",$X1272&gt;=DATE(2026,5,1),$X1272&lt;=DATE(2026,5,31)),"Closed in May","Other")</f>
        <v/>
      </c>
    </row>
    <row r="1273">
      <c r="A1273" s="6" t="n">
        <v>46107</v>
      </c>
      <c r="B1273" s="3" t="n">
        <v>2026</v>
      </c>
      <c r="C1273" s="3" t="inlineStr">
        <is>
          <t>Blupine Energy</t>
        </is>
      </c>
      <c r="D1273" s="3" t="inlineStr">
        <is>
          <t>Utility and C&amp;I</t>
        </is>
      </c>
      <c r="E1273" s="3" t="n"/>
      <c r="F1273" s="3" t="inlineStr">
        <is>
          <t>Closed</t>
        </is>
      </c>
      <c r="G1273" s="3" t="inlineStr">
        <is>
          <t>Chandrashekar Patidar</t>
        </is>
      </c>
      <c r="H1273" s="3" t="n">
        <v>7879764773</v>
      </c>
      <c r="I1273" s="11" t="inlineStr">
        <is>
          <t>PE26032601</t>
        </is>
      </c>
      <c r="J1273" s="3" t="inlineStr">
        <is>
          <t>Module Diode Failure</t>
        </is>
      </c>
      <c r="K1273" s="3" t="inlineStr">
        <is>
          <t>Sadla</t>
        </is>
      </c>
      <c r="L1273" s="3" t="inlineStr">
        <is>
          <t>Gujarat</t>
        </is>
      </c>
      <c r="M1273" s="9" t="inlineStr">
        <is>
          <t>NS</t>
        </is>
      </c>
      <c r="N1273" s="3" t="inlineStr">
        <is>
          <t>Cold Soldering</t>
        </is>
      </c>
      <c r="O1273" s="3" t="n">
        <v>570</v>
      </c>
      <c r="P1273" s="9" t="inlineStr">
        <is>
          <t>NSMI24060160698</t>
        </is>
      </c>
      <c r="Q1273" s="53">
        <f>MID(P1273,5,2)</f>
        <v/>
      </c>
      <c r="R1273" s="53">
        <f>MID(P1273,7,2)</f>
        <v/>
      </c>
      <c r="S1273" s="3" t="inlineStr">
        <is>
          <t>G2G</t>
        </is>
      </c>
      <c r="T1273" s="3" t="inlineStr">
        <is>
          <t>P4</t>
        </is>
      </c>
      <c r="U1273" s="3" t="inlineStr">
        <is>
          <t>N JB Cold Soldering</t>
        </is>
      </c>
      <c r="V1273" s="3" t="inlineStr">
        <is>
          <t>Soldering</t>
        </is>
      </c>
      <c r="W1273" s="3" t="inlineStr">
        <is>
          <t>Repair</t>
        </is>
      </c>
      <c r="X1273" s="18" t="n">
        <v>46159</v>
      </c>
      <c r="Y1273" s="73">
        <f>IF(X1273="","",X1273-A1273)</f>
        <v/>
      </c>
      <c r="Z1273" s="18" t="n">
        <v>46159</v>
      </c>
      <c r="AA1273" s="15" t="n"/>
      <c r="AB1273" s="15" t="n"/>
      <c r="AF1273">
        <f>IF(AND($F1273="Closed",$X1273&gt;=DATE(2026,5,1),$X1273&lt;=DATE(2026,5,31)),"Closed in May","Other")</f>
        <v/>
      </c>
    </row>
    <row r="1274">
      <c r="A1274" s="6" t="n">
        <v>46107</v>
      </c>
      <c r="B1274" s="3" t="n">
        <v>2026</v>
      </c>
      <c r="C1274" s="3" t="inlineStr">
        <is>
          <t>Blupine Energy</t>
        </is>
      </c>
      <c r="D1274" s="3" t="inlineStr">
        <is>
          <t>Utility and C&amp;I</t>
        </is>
      </c>
      <c r="E1274" s="3" t="n"/>
      <c r="F1274" s="3" t="inlineStr">
        <is>
          <t>Closed</t>
        </is>
      </c>
      <c r="G1274" s="3" t="inlineStr">
        <is>
          <t>Chandrashekar Patidar</t>
        </is>
      </c>
      <c r="H1274" s="3" t="n">
        <v>7879764773</v>
      </c>
      <c r="I1274" s="11" t="inlineStr">
        <is>
          <t>PE26032601</t>
        </is>
      </c>
      <c r="J1274" s="3" t="inlineStr">
        <is>
          <t>Module Diode Failure</t>
        </is>
      </c>
      <c r="K1274" s="3" t="inlineStr">
        <is>
          <t>Sadla</t>
        </is>
      </c>
      <c r="L1274" s="3" t="inlineStr">
        <is>
          <t>Gujarat</t>
        </is>
      </c>
      <c r="M1274" s="9" t="inlineStr">
        <is>
          <t>PS</t>
        </is>
      </c>
      <c r="N1274" s="3" t="inlineStr">
        <is>
          <t>Cold Soldering</t>
        </is>
      </c>
      <c r="O1274" s="3" t="n">
        <v>570</v>
      </c>
      <c r="P1274" s="9" t="inlineStr">
        <is>
          <t>NSMI24060163431</t>
        </is>
      </c>
      <c r="Q1274" s="53">
        <f>MID(P1274,5,2)</f>
        <v/>
      </c>
      <c r="R1274" s="53">
        <f>MID(P1274,7,2)</f>
        <v/>
      </c>
      <c r="S1274" s="3" t="inlineStr">
        <is>
          <t>G2G</t>
        </is>
      </c>
      <c r="T1274" s="3" t="inlineStr">
        <is>
          <t>P4</t>
        </is>
      </c>
      <c r="U1274" s="3" t="inlineStr">
        <is>
          <t>P JB Cold Soldering</t>
        </is>
      </c>
      <c r="V1274" s="3" t="inlineStr">
        <is>
          <t>Soldering</t>
        </is>
      </c>
      <c r="W1274" s="3" t="inlineStr">
        <is>
          <t>Repair</t>
        </is>
      </c>
      <c r="X1274" s="18" t="n">
        <v>46159</v>
      </c>
      <c r="Y1274" s="73">
        <f>IF(X1274="","",X1274-A1274)</f>
        <v/>
      </c>
      <c r="Z1274" s="18" t="n">
        <v>46159</v>
      </c>
      <c r="AA1274" s="15" t="n"/>
      <c r="AB1274" s="15" t="n"/>
      <c r="AF1274">
        <f>IF(AND($F1274="Closed",$X1274&gt;=DATE(2026,5,1),$X1274&lt;=DATE(2026,5,31)),"Closed in May","Other")</f>
        <v/>
      </c>
    </row>
    <row r="1275">
      <c r="A1275" s="6" t="n">
        <v>46107</v>
      </c>
      <c r="B1275" s="3" t="n">
        <v>2026</v>
      </c>
      <c r="C1275" s="3" t="inlineStr">
        <is>
          <t>Blupine Energy</t>
        </is>
      </c>
      <c r="D1275" s="3" t="inlineStr">
        <is>
          <t>Utility and C&amp;I</t>
        </is>
      </c>
      <c r="E1275" s="3" t="n"/>
      <c r="F1275" s="3" t="inlineStr">
        <is>
          <t>Closed</t>
        </is>
      </c>
      <c r="G1275" s="3" t="inlineStr">
        <is>
          <t>Chandrashekar Patidar</t>
        </is>
      </c>
      <c r="H1275" s="3" t="n">
        <v>7879764773</v>
      </c>
      <c r="I1275" s="11" t="inlineStr">
        <is>
          <t>PE26032601</t>
        </is>
      </c>
      <c r="J1275" s="3" t="inlineStr">
        <is>
          <t>Module Diode Failure</t>
        </is>
      </c>
      <c r="K1275" s="3" t="inlineStr">
        <is>
          <t>Sadla</t>
        </is>
      </c>
      <c r="L1275" s="3" t="inlineStr">
        <is>
          <t>Gujarat</t>
        </is>
      </c>
      <c r="M1275" s="9" t="inlineStr">
        <is>
          <t>NS</t>
        </is>
      </c>
      <c r="N1275" s="3" t="inlineStr">
        <is>
          <t>Cold Soldering</t>
        </is>
      </c>
      <c r="O1275" s="3" t="n">
        <v>570</v>
      </c>
      <c r="P1275" s="9" t="inlineStr">
        <is>
          <t>NSMI24060165274</t>
        </is>
      </c>
      <c r="Q1275" s="53">
        <f>MID(P1275,5,2)</f>
        <v/>
      </c>
      <c r="R1275" s="53">
        <f>MID(P1275,7,2)</f>
        <v/>
      </c>
      <c r="S1275" s="3" t="inlineStr">
        <is>
          <t>G2G</t>
        </is>
      </c>
      <c r="T1275" s="3" t="inlineStr">
        <is>
          <t>P4</t>
        </is>
      </c>
      <c r="U1275" s="3" t="inlineStr">
        <is>
          <t>N JB Cold Soldering</t>
        </is>
      </c>
      <c r="V1275" s="3" t="inlineStr">
        <is>
          <t>Soldering</t>
        </is>
      </c>
      <c r="W1275" s="3" t="inlineStr">
        <is>
          <t>Repair</t>
        </is>
      </c>
      <c r="X1275" s="18" t="n">
        <v>46159</v>
      </c>
      <c r="Y1275" s="73">
        <f>IF(X1275="","",X1275-A1275)</f>
        <v/>
      </c>
      <c r="Z1275" s="18" t="n">
        <v>46159</v>
      </c>
      <c r="AA1275" s="15" t="n"/>
      <c r="AB1275" s="15" t="n"/>
      <c r="AF1275">
        <f>IF(AND($F1275="Closed",$X1275&gt;=DATE(2026,5,1),$X1275&lt;=DATE(2026,5,31)),"Closed in May","Other")</f>
        <v/>
      </c>
    </row>
    <row r="1276">
      <c r="A1276" s="6" t="n">
        <v>46107</v>
      </c>
      <c r="B1276" s="3" t="n">
        <v>2026</v>
      </c>
      <c r="C1276" s="3" t="inlineStr">
        <is>
          <t>Blupine Energy</t>
        </is>
      </c>
      <c r="D1276" s="3" t="inlineStr">
        <is>
          <t>Utility and C&amp;I</t>
        </is>
      </c>
      <c r="E1276" s="3" t="n"/>
      <c r="F1276" s="3" t="inlineStr">
        <is>
          <t>Closed</t>
        </is>
      </c>
      <c r="G1276" s="3" t="inlineStr">
        <is>
          <t>Chandrashekar Patidar</t>
        </is>
      </c>
      <c r="H1276" s="3" t="n">
        <v>7879764773</v>
      </c>
      <c r="I1276" s="11" t="inlineStr">
        <is>
          <t>PE26032601</t>
        </is>
      </c>
      <c r="J1276" s="3" t="inlineStr">
        <is>
          <t>Module Diode Failure</t>
        </is>
      </c>
      <c r="K1276" s="3" t="inlineStr">
        <is>
          <t>Sadla</t>
        </is>
      </c>
      <c r="L1276" s="3" t="inlineStr">
        <is>
          <t>Gujarat</t>
        </is>
      </c>
      <c r="M1276" s="9" t="inlineStr">
        <is>
          <t>NS</t>
        </is>
      </c>
      <c r="N1276" s="3" t="inlineStr">
        <is>
          <t>Cold Soldering</t>
        </is>
      </c>
      <c r="O1276" s="3" t="n">
        <v>570</v>
      </c>
      <c r="P1276" s="9" t="inlineStr">
        <is>
          <t>NSMI24060113164</t>
        </is>
      </c>
      <c r="Q1276" s="53">
        <f>MID(P1276,5,2)</f>
        <v/>
      </c>
      <c r="R1276" s="53">
        <f>MID(P1276,7,2)</f>
        <v/>
      </c>
      <c r="S1276" s="3" t="inlineStr">
        <is>
          <t>G2G</t>
        </is>
      </c>
      <c r="T1276" s="3" t="inlineStr">
        <is>
          <t>P4</t>
        </is>
      </c>
      <c r="U1276" s="3" t="inlineStr">
        <is>
          <t>N JB Cold Soldering</t>
        </is>
      </c>
      <c r="V1276" s="3" t="inlineStr">
        <is>
          <t>Soldering</t>
        </is>
      </c>
      <c r="W1276" s="3" t="inlineStr">
        <is>
          <t>Repair</t>
        </is>
      </c>
      <c r="X1276" s="18" t="n">
        <v>46159</v>
      </c>
      <c r="Y1276" s="73">
        <f>IF(X1276="","",X1276-A1276)</f>
        <v/>
      </c>
      <c r="Z1276" s="18" t="n">
        <v>46159</v>
      </c>
      <c r="AA1276" s="15" t="n"/>
      <c r="AB1276" s="15" t="n"/>
      <c r="AF1276">
        <f>IF(AND($F1276="Closed",$X1276&gt;=DATE(2026,5,1),$X1276&lt;=DATE(2026,5,31)),"Closed in May","Other")</f>
        <v/>
      </c>
    </row>
    <row r="1277">
      <c r="A1277" s="6" t="n">
        <v>46107</v>
      </c>
      <c r="B1277" s="3" t="n">
        <v>2026</v>
      </c>
      <c r="C1277" s="3" t="inlineStr">
        <is>
          <t>Blupine Energy</t>
        </is>
      </c>
      <c r="D1277" s="3" t="inlineStr">
        <is>
          <t>Utility and C&amp;I</t>
        </is>
      </c>
      <c r="E1277" s="3" t="n"/>
      <c r="F1277" s="3" t="inlineStr">
        <is>
          <t>Closed</t>
        </is>
      </c>
      <c r="G1277" s="3" t="inlineStr">
        <is>
          <t>Chandrashekar Patidar</t>
        </is>
      </c>
      <c r="H1277" s="3" t="n">
        <v>7879764773</v>
      </c>
      <c r="I1277" s="11" t="inlineStr">
        <is>
          <t>PE26032601</t>
        </is>
      </c>
      <c r="J1277" s="3" t="inlineStr">
        <is>
          <t>Module Diode Failure</t>
        </is>
      </c>
      <c r="K1277" s="3" t="inlineStr">
        <is>
          <t>Sadla</t>
        </is>
      </c>
      <c r="L1277" s="3" t="inlineStr">
        <is>
          <t>Gujarat</t>
        </is>
      </c>
      <c r="M1277" s="9" t="inlineStr">
        <is>
          <t>NS</t>
        </is>
      </c>
      <c r="N1277" s="3" t="inlineStr">
        <is>
          <t>Cold Soldering</t>
        </is>
      </c>
      <c r="O1277" s="3" t="n">
        <v>570</v>
      </c>
      <c r="P1277" s="9" t="inlineStr">
        <is>
          <t>NSMI24060113156</t>
        </is>
      </c>
      <c r="Q1277" s="53">
        <f>MID(P1277,5,2)</f>
        <v/>
      </c>
      <c r="R1277" s="53">
        <f>MID(P1277,7,2)</f>
        <v/>
      </c>
      <c r="S1277" s="3" t="inlineStr">
        <is>
          <t>G2G</t>
        </is>
      </c>
      <c r="T1277" s="3" t="inlineStr">
        <is>
          <t>P4</t>
        </is>
      </c>
      <c r="U1277" s="3" t="inlineStr">
        <is>
          <t>N JB Cold Soldering</t>
        </is>
      </c>
      <c r="V1277" s="3" t="inlineStr">
        <is>
          <t>Soldering</t>
        </is>
      </c>
      <c r="W1277" s="3" t="inlineStr">
        <is>
          <t>Repair</t>
        </is>
      </c>
      <c r="X1277" s="18" t="n">
        <v>46159</v>
      </c>
      <c r="Y1277" s="73">
        <f>IF(X1277="","",X1277-A1277)</f>
        <v/>
      </c>
      <c r="Z1277" s="18" t="n">
        <v>46159</v>
      </c>
      <c r="AA1277" s="15" t="n"/>
      <c r="AB1277" s="15" t="n"/>
      <c r="AF1277">
        <f>IF(AND($F1277="Closed",$X1277&gt;=DATE(2026,5,1),$X1277&lt;=DATE(2026,5,31)),"Closed in May","Other")</f>
        <v/>
      </c>
    </row>
    <row r="1278">
      <c r="A1278" s="6" t="n">
        <v>46107</v>
      </c>
      <c r="B1278" s="3" t="n">
        <v>2026</v>
      </c>
      <c r="C1278" s="3" t="inlineStr">
        <is>
          <t>Blupine Energy</t>
        </is>
      </c>
      <c r="D1278" s="3" t="inlineStr">
        <is>
          <t>Utility and C&amp;I</t>
        </is>
      </c>
      <c r="E1278" s="3" t="n"/>
      <c r="F1278" s="3" t="inlineStr">
        <is>
          <t>Closed</t>
        </is>
      </c>
      <c r="G1278" s="3" t="inlineStr">
        <is>
          <t>Chandrashekar Patidar</t>
        </is>
      </c>
      <c r="H1278" s="3" t="n">
        <v>7879764773</v>
      </c>
      <c r="I1278" s="11" t="inlineStr">
        <is>
          <t>PE26032601</t>
        </is>
      </c>
      <c r="J1278" s="3" t="inlineStr">
        <is>
          <t>Module Diode Failure</t>
        </is>
      </c>
      <c r="K1278" s="3" t="inlineStr">
        <is>
          <t>Sadla</t>
        </is>
      </c>
      <c r="L1278" s="3" t="inlineStr">
        <is>
          <t>Gujarat</t>
        </is>
      </c>
      <c r="M1278" s="9" t="inlineStr">
        <is>
          <t>NS</t>
        </is>
      </c>
      <c r="N1278" s="3" t="inlineStr">
        <is>
          <t>Cold Soldering</t>
        </is>
      </c>
      <c r="O1278" s="3" t="n">
        <v>570</v>
      </c>
      <c r="P1278" s="9" t="inlineStr">
        <is>
          <t>NSMI24050050433</t>
        </is>
      </c>
      <c r="Q1278" s="53">
        <f>MID(P1278,5,2)</f>
        <v/>
      </c>
      <c r="R1278" s="53">
        <f>MID(P1278,7,2)</f>
        <v/>
      </c>
      <c r="S1278" s="3" t="inlineStr">
        <is>
          <t>G2G</t>
        </is>
      </c>
      <c r="T1278" s="3" t="inlineStr">
        <is>
          <t>P4</t>
        </is>
      </c>
      <c r="U1278" s="3" t="inlineStr">
        <is>
          <t>N JB Cold Soldering</t>
        </is>
      </c>
      <c r="V1278" s="3" t="inlineStr">
        <is>
          <t>Soldering</t>
        </is>
      </c>
      <c r="W1278" s="3" t="inlineStr">
        <is>
          <t>Repair</t>
        </is>
      </c>
      <c r="X1278" s="18" t="n">
        <v>46159</v>
      </c>
      <c r="Y1278" s="73">
        <f>IF(X1278="","",X1278-A1278)</f>
        <v/>
      </c>
      <c r="Z1278" s="18" t="n">
        <v>46159</v>
      </c>
      <c r="AA1278" s="15" t="n"/>
      <c r="AB1278" s="15" t="n"/>
      <c r="AF1278">
        <f>IF(AND($F1278="Closed",$X1278&gt;=DATE(2026,5,1),$X1278&lt;=DATE(2026,5,31)),"Closed in May","Other")</f>
        <v/>
      </c>
    </row>
    <row r="1279">
      <c r="A1279" s="6" t="n">
        <v>46107</v>
      </c>
      <c r="B1279" s="3" t="n">
        <v>2026</v>
      </c>
      <c r="C1279" s="3" t="inlineStr">
        <is>
          <t>Blupine Energy</t>
        </is>
      </c>
      <c r="D1279" s="3" t="inlineStr">
        <is>
          <t>Utility and C&amp;I</t>
        </is>
      </c>
      <c r="E1279" s="3" t="n"/>
      <c r="F1279" s="3" t="inlineStr">
        <is>
          <t>Closed</t>
        </is>
      </c>
      <c r="G1279" s="3" t="inlineStr">
        <is>
          <t>Chandrashekar Patidar</t>
        </is>
      </c>
      <c r="H1279" s="3" t="n">
        <v>7879764773</v>
      </c>
      <c r="I1279" s="11" t="inlineStr">
        <is>
          <t>PE26032601</t>
        </is>
      </c>
      <c r="J1279" s="3" t="inlineStr">
        <is>
          <t>Module Diode Failure</t>
        </is>
      </c>
      <c r="K1279" s="3" t="inlineStr">
        <is>
          <t>Sadla</t>
        </is>
      </c>
      <c r="L1279" s="3" t="inlineStr">
        <is>
          <t>Gujarat</t>
        </is>
      </c>
      <c r="M1279" s="9" t="inlineStr">
        <is>
          <t>NS</t>
        </is>
      </c>
      <c r="N1279" s="3" t="inlineStr">
        <is>
          <t>Cold Soldering</t>
        </is>
      </c>
      <c r="O1279" s="3" t="n">
        <v>570</v>
      </c>
      <c r="P1279" s="9" t="inlineStr">
        <is>
          <t>NSMI24060102060</t>
        </is>
      </c>
      <c r="Q1279" s="53">
        <f>MID(P1279,5,2)</f>
        <v/>
      </c>
      <c r="R1279" s="53">
        <f>MID(P1279,7,2)</f>
        <v/>
      </c>
      <c r="S1279" s="3" t="inlineStr">
        <is>
          <t>G2G</t>
        </is>
      </c>
      <c r="T1279" s="3" t="inlineStr">
        <is>
          <t>P4</t>
        </is>
      </c>
      <c r="U1279" s="3" t="inlineStr">
        <is>
          <t>N JB Cold Soldering</t>
        </is>
      </c>
      <c r="V1279" s="3" t="inlineStr">
        <is>
          <t>Soldering</t>
        </is>
      </c>
      <c r="W1279" s="3" t="inlineStr">
        <is>
          <t>Repair</t>
        </is>
      </c>
      <c r="X1279" s="18" t="n">
        <v>46159</v>
      </c>
      <c r="Y1279" s="73">
        <f>IF(X1279="","",X1279-A1279)</f>
        <v/>
      </c>
      <c r="Z1279" s="18" t="n">
        <v>46159</v>
      </c>
      <c r="AA1279" s="15" t="n"/>
      <c r="AB1279" s="15" t="n"/>
      <c r="AF1279">
        <f>IF(AND($F1279="Closed",$X1279&gt;=DATE(2026,5,1),$X1279&lt;=DATE(2026,5,31)),"Closed in May","Other")</f>
        <v/>
      </c>
    </row>
    <row r="1280">
      <c r="A1280" s="6" t="n">
        <v>46107</v>
      </c>
      <c r="B1280" s="3" t="n">
        <v>2026</v>
      </c>
      <c r="C1280" s="3" t="inlineStr">
        <is>
          <t>Blupine Energy</t>
        </is>
      </c>
      <c r="D1280" s="3" t="inlineStr">
        <is>
          <t>Utility and C&amp;I</t>
        </is>
      </c>
      <c r="E1280" s="3" t="n"/>
      <c r="F1280" s="3" t="inlineStr">
        <is>
          <t>Closed</t>
        </is>
      </c>
      <c r="G1280" s="3" t="inlineStr">
        <is>
          <t>Chandrashekar Patidar</t>
        </is>
      </c>
      <c r="H1280" s="3" t="n">
        <v>7879764773</v>
      </c>
      <c r="I1280" s="11" t="inlineStr">
        <is>
          <t>PE26032601</t>
        </is>
      </c>
      <c r="J1280" s="3" t="inlineStr">
        <is>
          <t>Module Diode Failure</t>
        </is>
      </c>
      <c r="K1280" s="3" t="inlineStr">
        <is>
          <t>Sadla</t>
        </is>
      </c>
      <c r="L1280" s="3" t="inlineStr">
        <is>
          <t>Gujarat</t>
        </is>
      </c>
      <c r="M1280" s="9" t="inlineStr">
        <is>
          <t>PS</t>
        </is>
      </c>
      <c r="N1280" s="3" t="inlineStr">
        <is>
          <t>Cold Soldering</t>
        </is>
      </c>
      <c r="O1280" s="3" t="n">
        <v>570</v>
      </c>
      <c r="P1280" s="9" t="inlineStr">
        <is>
          <t>NSMI24060082867</t>
        </is>
      </c>
      <c r="Q1280" s="53">
        <f>MID(P1280,5,2)</f>
        <v/>
      </c>
      <c r="R1280" s="53">
        <f>MID(P1280,7,2)</f>
        <v/>
      </c>
      <c r="S1280" s="3" t="inlineStr">
        <is>
          <t>G2G</t>
        </is>
      </c>
      <c r="T1280" s="3" t="inlineStr">
        <is>
          <t>P4</t>
        </is>
      </c>
      <c r="U1280" s="3" t="inlineStr">
        <is>
          <t>P JB Cold Soldering</t>
        </is>
      </c>
      <c r="V1280" s="3" t="inlineStr">
        <is>
          <t>Soldering</t>
        </is>
      </c>
      <c r="W1280" s="3" t="inlineStr">
        <is>
          <t>Repair</t>
        </is>
      </c>
      <c r="X1280" s="18" t="n">
        <v>46159</v>
      </c>
      <c r="Y1280" s="73">
        <f>IF(X1280="","",X1280-A1280)</f>
        <v/>
      </c>
      <c r="Z1280" s="18" t="n">
        <v>46159</v>
      </c>
      <c r="AA1280" s="15" t="n"/>
      <c r="AB1280" s="15" t="n"/>
      <c r="AF1280">
        <f>IF(AND($F1280="Closed",$X1280&gt;=DATE(2026,5,1),$X1280&lt;=DATE(2026,5,31)),"Closed in May","Other")</f>
        <v/>
      </c>
    </row>
    <row r="1281">
      <c r="A1281" s="6" t="n">
        <v>46107</v>
      </c>
      <c r="B1281" s="3" t="n">
        <v>2026</v>
      </c>
      <c r="C1281" s="3" t="inlineStr">
        <is>
          <t>Blupine Energy</t>
        </is>
      </c>
      <c r="D1281" s="3" t="inlineStr">
        <is>
          <t>Utility and C&amp;I</t>
        </is>
      </c>
      <c r="E1281" s="3" t="n"/>
      <c r="F1281" s="3" t="inlineStr">
        <is>
          <t>Closed</t>
        </is>
      </c>
      <c r="G1281" s="3" t="inlineStr">
        <is>
          <t>Chandrashekar Patidar</t>
        </is>
      </c>
      <c r="H1281" s="3" t="n">
        <v>7879764773</v>
      </c>
      <c r="I1281" s="11" t="inlineStr">
        <is>
          <t>PE26032601</t>
        </is>
      </c>
      <c r="J1281" s="3" t="inlineStr">
        <is>
          <t>Module Diode Failure</t>
        </is>
      </c>
      <c r="K1281" s="3" t="inlineStr">
        <is>
          <t>Sadla</t>
        </is>
      </c>
      <c r="L1281" s="3" t="inlineStr">
        <is>
          <t>Gujarat</t>
        </is>
      </c>
      <c r="M1281" s="9" t="inlineStr">
        <is>
          <t>NS</t>
        </is>
      </c>
      <c r="N1281" s="3" t="inlineStr">
        <is>
          <t>Cold Soldering</t>
        </is>
      </c>
      <c r="O1281" s="3" t="n">
        <v>570</v>
      </c>
      <c r="P1281" s="9" t="inlineStr">
        <is>
          <t>NSMI24050064419</t>
        </is>
      </c>
      <c r="Q1281" s="53">
        <f>MID(P1281,5,2)</f>
        <v/>
      </c>
      <c r="R1281" s="53">
        <f>MID(P1281,7,2)</f>
        <v/>
      </c>
      <c r="S1281" s="3" t="inlineStr">
        <is>
          <t>G2G</t>
        </is>
      </c>
      <c r="T1281" s="3" t="inlineStr">
        <is>
          <t>P4</t>
        </is>
      </c>
      <c r="U1281" s="3" t="inlineStr">
        <is>
          <t>N JB Cold Soldering</t>
        </is>
      </c>
      <c r="V1281" s="3" t="inlineStr">
        <is>
          <t>Soldering</t>
        </is>
      </c>
      <c r="W1281" s="3" t="inlineStr">
        <is>
          <t>Repair</t>
        </is>
      </c>
      <c r="X1281" s="18" t="n">
        <v>46159</v>
      </c>
      <c r="Y1281" s="73">
        <f>IF(X1281="","",X1281-A1281)</f>
        <v/>
      </c>
      <c r="Z1281" s="18" t="n">
        <v>46159</v>
      </c>
      <c r="AA1281" s="15" t="n"/>
      <c r="AB1281" s="15" t="n"/>
      <c r="AF1281">
        <f>IF(AND($F1281="Closed",$X1281&gt;=DATE(2026,5,1),$X1281&lt;=DATE(2026,5,31)),"Closed in May","Other")</f>
        <v/>
      </c>
    </row>
    <row r="1282">
      <c r="A1282" s="6" t="n">
        <v>46107</v>
      </c>
      <c r="B1282" s="3" t="n">
        <v>2026</v>
      </c>
      <c r="C1282" s="3" t="inlineStr">
        <is>
          <t>Blupine Energy</t>
        </is>
      </c>
      <c r="D1282" s="3" t="inlineStr">
        <is>
          <t>Utility and C&amp;I</t>
        </is>
      </c>
      <c r="E1282" s="3" t="n"/>
      <c r="F1282" s="3" t="inlineStr">
        <is>
          <t>Closed</t>
        </is>
      </c>
      <c r="G1282" s="3" t="inlineStr">
        <is>
          <t>Chandrashekar Patidar</t>
        </is>
      </c>
      <c r="H1282" s="3" t="n">
        <v>7879764773</v>
      </c>
      <c r="I1282" s="11" t="inlineStr">
        <is>
          <t>PE26032601</t>
        </is>
      </c>
      <c r="J1282" s="3" t="inlineStr">
        <is>
          <t>Module Diode Failure</t>
        </is>
      </c>
      <c r="K1282" s="3" t="inlineStr">
        <is>
          <t>Sadla</t>
        </is>
      </c>
      <c r="L1282" s="3" t="inlineStr">
        <is>
          <t>Gujarat</t>
        </is>
      </c>
      <c r="M1282" s="9" t="inlineStr">
        <is>
          <t>PS</t>
        </is>
      </c>
      <c r="N1282" s="3" t="inlineStr">
        <is>
          <t>Cold Soldering</t>
        </is>
      </c>
      <c r="O1282" s="3" t="n">
        <v>570</v>
      </c>
      <c r="P1282" s="9" t="inlineStr">
        <is>
          <t>NSMI24060081983</t>
        </is>
      </c>
      <c r="Q1282" s="53">
        <f>MID(P1282,5,2)</f>
        <v/>
      </c>
      <c r="R1282" s="53">
        <f>MID(P1282,7,2)</f>
        <v/>
      </c>
      <c r="S1282" s="3" t="inlineStr">
        <is>
          <t>G2G</t>
        </is>
      </c>
      <c r="T1282" s="3" t="inlineStr">
        <is>
          <t>P4</t>
        </is>
      </c>
      <c r="U1282" s="3" t="inlineStr">
        <is>
          <t>P JB Cold Soldering</t>
        </is>
      </c>
      <c r="V1282" s="3" t="inlineStr">
        <is>
          <t>Soldering</t>
        </is>
      </c>
      <c r="W1282" s="3" t="inlineStr">
        <is>
          <t>Repair</t>
        </is>
      </c>
      <c r="X1282" s="18" t="n">
        <v>46159</v>
      </c>
      <c r="Y1282" s="73">
        <f>IF(X1282="","",X1282-A1282)</f>
        <v/>
      </c>
      <c r="Z1282" s="18" t="n">
        <v>46159</v>
      </c>
      <c r="AA1282" s="15" t="n"/>
      <c r="AB1282" s="15" t="n"/>
      <c r="AF1282">
        <f>IF(AND($F1282="Closed",$X1282&gt;=DATE(2026,5,1),$X1282&lt;=DATE(2026,5,31)),"Closed in May","Other")</f>
        <v/>
      </c>
    </row>
    <row r="1283">
      <c r="A1283" s="6" t="n">
        <v>46107</v>
      </c>
      <c r="B1283" s="3" t="n">
        <v>2026</v>
      </c>
      <c r="C1283" s="3" t="inlineStr">
        <is>
          <t>Blupine Energy</t>
        </is>
      </c>
      <c r="D1283" s="3" t="inlineStr">
        <is>
          <t>Utility and C&amp;I</t>
        </is>
      </c>
      <c r="E1283" s="3" t="n"/>
      <c r="F1283" s="3" t="inlineStr">
        <is>
          <t>Closed</t>
        </is>
      </c>
      <c r="G1283" s="3" t="inlineStr">
        <is>
          <t>Chandrashekar Patidar</t>
        </is>
      </c>
      <c r="H1283" s="3" t="n">
        <v>7879764773</v>
      </c>
      <c r="I1283" s="11" t="inlineStr">
        <is>
          <t>PE26032601</t>
        </is>
      </c>
      <c r="J1283" s="3" t="inlineStr">
        <is>
          <t>Module Diode Failure</t>
        </is>
      </c>
      <c r="K1283" s="3" t="inlineStr">
        <is>
          <t>Sadla</t>
        </is>
      </c>
      <c r="L1283" s="3" t="inlineStr">
        <is>
          <t>Gujarat</t>
        </is>
      </c>
      <c r="M1283" s="9" t="inlineStr">
        <is>
          <t>NS</t>
        </is>
      </c>
      <c r="N1283" s="3" t="inlineStr">
        <is>
          <t>Cold Soldering</t>
        </is>
      </c>
      <c r="O1283" s="3" t="n">
        <v>570</v>
      </c>
      <c r="P1283" s="9" t="inlineStr">
        <is>
          <t>NSMI24060121756</t>
        </is>
      </c>
      <c r="Q1283" s="53">
        <f>MID(P1283,5,2)</f>
        <v/>
      </c>
      <c r="R1283" s="53">
        <f>MID(P1283,7,2)</f>
        <v/>
      </c>
      <c r="S1283" s="3" t="inlineStr">
        <is>
          <t>G2G</t>
        </is>
      </c>
      <c r="T1283" s="3" t="inlineStr">
        <is>
          <t>P4</t>
        </is>
      </c>
      <c r="U1283" s="3" t="inlineStr">
        <is>
          <t>N JB Cold Soldering</t>
        </is>
      </c>
      <c r="V1283" s="3" t="inlineStr">
        <is>
          <t>Soldering</t>
        </is>
      </c>
      <c r="W1283" s="3" t="inlineStr">
        <is>
          <t>Repair</t>
        </is>
      </c>
      <c r="X1283" s="18" t="n">
        <v>46159</v>
      </c>
      <c r="Y1283" s="73">
        <f>IF(X1283="","",X1283-A1283)</f>
        <v/>
      </c>
      <c r="Z1283" s="18" t="n">
        <v>46159</v>
      </c>
      <c r="AA1283" s="15" t="n"/>
      <c r="AB1283" s="15" t="n"/>
      <c r="AF1283">
        <f>IF(AND($F1283="Closed",$X1283&gt;=DATE(2026,5,1),$X1283&lt;=DATE(2026,5,31)),"Closed in May","Other")</f>
        <v/>
      </c>
    </row>
    <row r="1284">
      <c r="A1284" s="6" t="n">
        <v>46107</v>
      </c>
      <c r="B1284" s="3" t="n">
        <v>2026</v>
      </c>
      <c r="C1284" s="3" t="inlineStr">
        <is>
          <t>Blupine Energy</t>
        </is>
      </c>
      <c r="D1284" s="3" t="inlineStr">
        <is>
          <t>Utility and C&amp;I</t>
        </is>
      </c>
      <c r="E1284" s="3" t="n"/>
      <c r="F1284" s="3" t="inlineStr">
        <is>
          <t>Closed</t>
        </is>
      </c>
      <c r="G1284" s="3" t="inlineStr">
        <is>
          <t>Chandrashekar Patidar</t>
        </is>
      </c>
      <c r="H1284" s="3" t="n">
        <v>7879764773</v>
      </c>
      <c r="I1284" s="11" t="inlineStr">
        <is>
          <t>PE26032601</t>
        </is>
      </c>
      <c r="J1284" s="3" t="inlineStr">
        <is>
          <t>Module Diode Failure</t>
        </is>
      </c>
      <c r="K1284" s="3" t="inlineStr">
        <is>
          <t>Sadla</t>
        </is>
      </c>
      <c r="L1284" s="3" t="inlineStr">
        <is>
          <t>Gujarat</t>
        </is>
      </c>
      <c r="M1284" s="9" t="inlineStr">
        <is>
          <t>NS</t>
        </is>
      </c>
      <c r="N1284" s="3" t="inlineStr">
        <is>
          <t>Cold Soldering</t>
        </is>
      </c>
      <c r="O1284" s="3" t="n">
        <v>570</v>
      </c>
      <c r="P1284" s="9" t="inlineStr">
        <is>
          <t>NSMI24060076121</t>
        </is>
      </c>
      <c r="Q1284" s="53">
        <f>MID(P1284,5,2)</f>
        <v/>
      </c>
      <c r="R1284" s="53">
        <f>MID(P1284,7,2)</f>
        <v/>
      </c>
      <c r="S1284" s="3" t="inlineStr">
        <is>
          <t>G2G</t>
        </is>
      </c>
      <c r="T1284" s="3" t="inlineStr">
        <is>
          <t>P4</t>
        </is>
      </c>
      <c r="U1284" s="3" t="inlineStr">
        <is>
          <t>N JB Cold Soldering</t>
        </is>
      </c>
      <c r="V1284" s="3" t="inlineStr">
        <is>
          <t>Soldering</t>
        </is>
      </c>
      <c r="W1284" s="3" t="inlineStr">
        <is>
          <t>Repair</t>
        </is>
      </c>
      <c r="X1284" s="18" t="n">
        <v>46159</v>
      </c>
      <c r="Y1284" s="73">
        <f>IF(X1284="","",X1284-A1284)</f>
        <v/>
      </c>
      <c r="Z1284" s="18" t="n">
        <v>46159</v>
      </c>
      <c r="AA1284" s="15" t="n"/>
      <c r="AB1284" s="15" t="n"/>
      <c r="AF1284">
        <f>IF(AND($F1284="Closed",$X1284&gt;=DATE(2026,5,1),$X1284&lt;=DATE(2026,5,31)),"Closed in May","Other")</f>
        <v/>
      </c>
    </row>
    <row r="1285">
      <c r="A1285" s="6" t="n">
        <v>46107</v>
      </c>
      <c r="B1285" s="3" t="n">
        <v>2026</v>
      </c>
      <c r="C1285" s="3" t="inlineStr">
        <is>
          <t>Blupine Energy</t>
        </is>
      </c>
      <c r="D1285" s="3" t="inlineStr">
        <is>
          <t>Utility and C&amp;I</t>
        </is>
      </c>
      <c r="E1285" s="3" t="n"/>
      <c r="F1285" s="3" t="inlineStr">
        <is>
          <t>Closed</t>
        </is>
      </c>
      <c r="G1285" s="3" t="inlineStr">
        <is>
          <t>Chandrashekar Patidar</t>
        </is>
      </c>
      <c r="H1285" s="3" t="n">
        <v>7879764773</v>
      </c>
      <c r="I1285" s="11" t="inlineStr">
        <is>
          <t>PE26032601</t>
        </is>
      </c>
      <c r="J1285" s="3" t="inlineStr">
        <is>
          <t>Module Diode Failure</t>
        </is>
      </c>
      <c r="K1285" s="3" t="inlineStr">
        <is>
          <t>Sadla</t>
        </is>
      </c>
      <c r="L1285" s="3" t="inlineStr">
        <is>
          <t>Gujarat</t>
        </is>
      </c>
      <c r="M1285" s="9" t="inlineStr">
        <is>
          <t>NS</t>
        </is>
      </c>
      <c r="N1285" s="3" t="inlineStr">
        <is>
          <t>Cold Soldering</t>
        </is>
      </c>
      <c r="O1285" s="3" t="n">
        <v>570</v>
      </c>
      <c r="P1285" s="9" t="inlineStr">
        <is>
          <t>NSMI24060076144</t>
        </is>
      </c>
      <c r="Q1285" s="53">
        <f>MID(P1285,5,2)</f>
        <v/>
      </c>
      <c r="R1285" s="53">
        <f>MID(P1285,7,2)</f>
        <v/>
      </c>
      <c r="S1285" s="3" t="inlineStr">
        <is>
          <t>G2G</t>
        </is>
      </c>
      <c r="T1285" s="3" t="inlineStr">
        <is>
          <t>P4</t>
        </is>
      </c>
      <c r="U1285" s="3" t="inlineStr">
        <is>
          <t>N JB Cold Soldering</t>
        </is>
      </c>
      <c r="V1285" s="3" t="inlineStr">
        <is>
          <t>Soldering</t>
        </is>
      </c>
      <c r="W1285" s="3" t="inlineStr">
        <is>
          <t>Repair</t>
        </is>
      </c>
      <c r="X1285" s="18" t="n">
        <v>46159</v>
      </c>
      <c r="Y1285" s="73">
        <f>IF(X1285="","",X1285-A1285)</f>
        <v/>
      </c>
      <c r="Z1285" s="18" t="n">
        <v>46159</v>
      </c>
      <c r="AA1285" s="15" t="n"/>
      <c r="AB1285" s="15" t="n"/>
      <c r="AF1285">
        <f>IF(AND($F1285="Closed",$X1285&gt;=DATE(2026,5,1),$X1285&lt;=DATE(2026,5,31)),"Closed in May","Other")</f>
        <v/>
      </c>
    </row>
    <row r="1286">
      <c r="A1286" s="6" t="n">
        <v>46107</v>
      </c>
      <c r="B1286" s="3" t="n">
        <v>2026</v>
      </c>
      <c r="C1286" s="3" t="inlineStr">
        <is>
          <t>Blupine Energy</t>
        </is>
      </c>
      <c r="D1286" s="3" t="inlineStr">
        <is>
          <t>Utility and C&amp;I</t>
        </is>
      </c>
      <c r="E1286" s="3" t="n"/>
      <c r="F1286" s="3" t="inlineStr">
        <is>
          <t>Closed</t>
        </is>
      </c>
      <c r="G1286" s="3" t="inlineStr">
        <is>
          <t>Chandrashekar Patidar</t>
        </is>
      </c>
      <c r="H1286" s="3" t="n">
        <v>7879764773</v>
      </c>
      <c r="I1286" s="11" t="inlineStr">
        <is>
          <t>PE26032601</t>
        </is>
      </c>
      <c r="J1286" s="3" t="inlineStr">
        <is>
          <t>Module Diode Failure</t>
        </is>
      </c>
      <c r="K1286" s="3" t="inlineStr">
        <is>
          <t>Sadla</t>
        </is>
      </c>
      <c r="L1286" s="3" t="inlineStr">
        <is>
          <t>Gujarat</t>
        </is>
      </c>
      <c r="M1286" s="9" t="inlineStr">
        <is>
          <t>NS</t>
        </is>
      </c>
      <c r="N1286" s="3" t="inlineStr">
        <is>
          <t>Cold Soldering</t>
        </is>
      </c>
      <c r="O1286" s="3" t="n">
        <v>570</v>
      </c>
      <c r="P1286" s="9" t="inlineStr">
        <is>
          <t>NSMI24050067238</t>
        </is>
      </c>
      <c r="Q1286" s="53">
        <f>MID(P1286,5,2)</f>
        <v/>
      </c>
      <c r="R1286" s="53">
        <f>MID(P1286,7,2)</f>
        <v/>
      </c>
      <c r="S1286" s="3" t="inlineStr">
        <is>
          <t>G2G</t>
        </is>
      </c>
      <c r="T1286" s="3" t="inlineStr">
        <is>
          <t>P4</t>
        </is>
      </c>
      <c r="U1286" s="3" t="inlineStr">
        <is>
          <t>N JB Cold Soldering</t>
        </is>
      </c>
      <c r="V1286" s="3" t="inlineStr">
        <is>
          <t>Soldering</t>
        </is>
      </c>
      <c r="W1286" s="3" t="inlineStr">
        <is>
          <t>Repair</t>
        </is>
      </c>
      <c r="X1286" s="18" t="n">
        <v>46159</v>
      </c>
      <c r="Y1286" s="73">
        <f>IF(X1286="","",X1286-A1286)</f>
        <v/>
      </c>
      <c r="Z1286" s="18" t="n">
        <v>46159</v>
      </c>
      <c r="AA1286" s="15" t="n"/>
      <c r="AB1286" s="15" t="n"/>
      <c r="AF1286">
        <f>IF(AND($F1286="Closed",$X1286&gt;=DATE(2026,5,1),$X1286&lt;=DATE(2026,5,31)),"Closed in May","Other")</f>
        <v/>
      </c>
    </row>
    <row r="1287">
      <c r="A1287" s="6" t="n">
        <v>46107</v>
      </c>
      <c r="B1287" s="3" t="n">
        <v>2026</v>
      </c>
      <c r="C1287" s="3" t="inlineStr">
        <is>
          <t>Blupine Energy</t>
        </is>
      </c>
      <c r="D1287" s="3" t="inlineStr">
        <is>
          <t>Utility and C&amp;I</t>
        </is>
      </c>
      <c r="E1287" s="3" t="n"/>
      <c r="F1287" s="3" t="inlineStr">
        <is>
          <t>Closed</t>
        </is>
      </c>
      <c r="G1287" s="3" t="inlineStr">
        <is>
          <t>Chandrashekar Patidar</t>
        </is>
      </c>
      <c r="H1287" s="3" t="n">
        <v>7879764773</v>
      </c>
      <c r="I1287" s="11" t="inlineStr">
        <is>
          <t>PE26032601</t>
        </is>
      </c>
      <c r="J1287" s="3" t="inlineStr">
        <is>
          <t>Module Diode Failure</t>
        </is>
      </c>
      <c r="K1287" s="3" t="inlineStr">
        <is>
          <t>Sadla</t>
        </is>
      </c>
      <c r="L1287" s="3" t="inlineStr">
        <is>
          <t>Gujarat</t>
        </is>
      </c>
      <c r="M1287" s="9" t="inlineStr">
        <is>
          <t>PS</t>
        </is>
      </c>
      <c r="N1287" s="3" t="inlineStr">
        <is>
          <t>Cold Soldering</t>
        </is>
      </c>
      <c r="O1287" s="3" t="n">
        <v>570</v>
      </c>
      <c r="P1287" s="9" t="inlineStr">
        <is>
          <t>NSMI24050067526</t>
        </is>
      </c>
      <c r="Q1287" s="53">
        <f>MID(P1287,5,2)</f>
        <v/>
      </c>
      <c r="R1287" s="53">
        <f>MID(P1287,7,2)</f>
        <v/>
      </c>
      <c r="S1287" s="3" t="inlineStr">
        <is>
          <t>G2G</t>
        </is>
      </c>
      <c r="T1287" s="3" t="inlineStr">
        <is>
          <t>P4</t>
        </is>
      </c>
      <c r="U1287" s="3" t="inlineStr">
        <is>
          <t>P JB Cold Soldering</t>
        </is>
      </c>
      <c r="V1287" s="3" t="inlineStr">
        <is>
          <t>Soldering</t>
        </is>
      </c>
      <c r="W1287" s="3" t="inlineStr">
        <is>
          <t>Repair</t>
        </is>
      </c>
      <c r="X1287" s="18" t="n">
        <v>46159</v>
      </c>
      <c r="Y1287" s="73">
        <f>IF(X1287="","",X1287-A1287)</f>
        <v/>
      </c>
      <c r="Z1287" s="18" t="n">
        <v>46159</v>
      </c>
      <c r="AA1287" s="15" t="n"/>
      <c r="AB1287" s="15" t="n"/>
      <c r="AF1287">
        <f>IF(AND($F1287="Closed",$X1287&gt;=DATE(2026,5,1),$X1287&lt;=DATE(2026,5,31)),"Closed in May","Other")</f>
        <v/>
      </c>
    </row>
    <row r="1288">
      <c r="A1288" s="6" t="n">
        <v>46107</v>
      </c>
      <c r="B1288" s="3" t="n">
        <v>2026</v>
      </c>
      <c r="C1288" s="3" t="inlineStr">
        <is>
          <t>Blupine Energy</t>
        </is>
      </c>
      <c r="D1288" s="3" t="inlineStr">
        <is>
          <t>Utility and C&amp;I</t>
        </is>
      </c>
      <c r="E1288" s="3" t="n"/>
      <c r="F1288" s="3" t="inlineStr">
        <is>
          <t>Closed</t>
        </is>
      </c>
      <c r="G1288" s="3" t="inlineStr">
        <is>
          <t>Chandrashekar Patidar</t>
        </is>
      </c>
      <c r="H1288" s="3" t="n">
        <v>7879764773</v>
      </c>
      <c r="I1288" s="11" t="inlineStr">
        <is>
          <t>PE26032601</t>
        </is>
      </c>
      <c r="J1288" s="3" t="inlineStr">
        <is>
          <t>Module Diode Failure</t>
        </is>
      </c>
      <c r="K1288" s="3" t="inlineStr">
        <is>
          <t>Sadla</t>
        </is>
      </c>
      <c r="L1288" s="3" t="inlineStr">
        <is>
          <t>Gujarat</t>
        </is>
      </c>
      <c r="M1288" s="9" t="inlineStr">
        <is>
          <t xml:space="preserve">Burning Module </t>
        </is>
      </c>
      <c r="N1288" s="3" t="inlineStr">
        <is>
          <t>Module Burn</t>
        </is>
      </c>
      <c r="O1288" s="3" t="n">
        <v>570</v>
      </c>
      <c r="P1288" s="9" t="inlineStr">
        <is>
          <t>NSMI24050067040</t>
        </is>
      </c>
      <c r="Q1288" s="53">
        <f>MID(P1288,5,2)</f>
        <v/>
      </c>
      <c r="R1288" s="53">
        <f>MID(P1288,7,2)</f>
        <v/>
      </c>
      <c r="S1288" s="3" t="inlineStr">
        <is>
          <t>G2G</t>
        </is>
      </c>
      <c r="T1288" s="3" t="inlineStr">
        <is>
          <t>P4</t>
        </is>
      </c>
      <c r="U1288" s="3" t="inlineStr">
        <is>
          <t>Module Burn</t>
        </is>
      </c>
      <c r="V1288" s="3" t="inlineStr">
        <is>
          <t>Inspection</t>
        </is>
      </c>
      <c r="W1288" s="3" t="inlineStr">
        <is>
          <t>WIP</t>
        </is>
      </c>
      <c r="X1288" s="18" t="n"/>
      <c r="Y1288" s="73">
        <f>IF(X1288="","",X1288-A1288)</f>
        <v/>
      </c>
      <c r="Z1288" s="18" t="n">
        <v>46159</v>
      </c>
      <c r="AA1288" s="15" t="n"/>
      <c r="AB1288" s="15" t="n"/>
      <c r="AF1288">
        <f>IF(AND($F1288="Closed",$X1288&gt;=DATE(2026,5,1),$X1288&lt;=DATE(2026,5,31)),"Closed in May","Other")</f>
        <v/>
      </c>
    </row>
    <row r="1289">
      <c r="A1289" s="6" t="n">
        <v>46107</v>
      </c>
      <c r="B1289" s="3" t="n">
        <v>2026</v>
      </c>
      <c r="C1289" s="3" t="inlineStr">
        <is>
          <t>Blupine Energy</t>
        </is>
      </c>
      <c r="D1289" s="3" t="inlineStr">
        <is>
          <t>Utility and C&amp;I</t>
        </is>
      </c>
      <c r="E1289" s="3" t="n"/>
      <c r="F1289" s="3" t="inlineStr">
        <is>
          <t>Closed</t>
        </is>
      </c>
      <c r="G1289" s="3" t="inlineStr">
        <is>
          <t>Chandrashekar Patidar</t>
        </is>
      </c>
      <c r="H1289" s="3" t="n">
        <v>7879764773</v>
      </c>
      <c r="I1289" s="11" t="inlineStr">
        <is>
          <t>PE26032601</t>
        </is>
      </c>
      <c r="J1289" s="3" t="inlineStr">
        <is>
          <t>Module Diode Failure</t>
        </is>
      </c>
      <c r="K1289" s="3" t="inlineStr">
        <is>
          <t>Sadla</t>
        </is>
      </c>
      <c r="L1289" s="3" t="inlineStr">
        <is>
          <t>Gujarat</t>
        </is>
      </c>
      <c r="M1289" s="9" t="inlineStr">
        <is>
          <t>NS</t>
        </is>
      </c>
      <c r="N1289" s="3" t="inlineStr">
        <is>
          <t>Cold Soldering</t>
        </is>
      </c>
      <c r="O1289" s="3" t="n">
        <v>570</v>
      </c>
      <c r="P1289" s="9" t="inlineStr">
        <is>
          <t>NSMI24060128859</t>
        </is>
      </c>
      <c r="Q1289" s="53">
        <f>MID(P1289,5,2)</f>
        <v/>
      </c>
      <c r="R1289" s="53">
        <f>MID(P1289,7,2)</f>
        <v/>
      </c>
      <c r="S1289" s="3" t="inlineStr">
        <is>
          <t>G2G</t>
        </is>
      </c>
      <c r="T1289" s="3" t="inlineStr">
        <is>
          <t>P4</t>
        </is>
      </c>
      <c r="U1289" s="3" t="inlineStr">
        <is>
          <t>N JB Cold Soldering</t>
        </is>
      </c>
      <c r="V1289" s="3" t="inlineStr">
        <is>
          <t>Soldering</t>
        </is>
      </c>
      <c r="W1289" s="3" t="inlineStr">
        <is>
          <t>Repair</t>
        </is>
      </c>
      <c r="X1289" s="18" t="n">
        <v>46159</v>
      </c>
      <c r="Y1289" s="73">
        <f>IF(X1289="","",X1289-A1289)</f>
        <v/>
      </c>
      <c r="Z1289" s="18" t="n">
        <v>46159</v>
      </c>
      <c r="AA1289" s="15" t="n"/>
      <c r="AB1289" s="15" t="n"/>
      <c r="AF1289">
        <f>IF(AND($F1289="Closed",$X1289&gt;=DATE(2026,5,1),$X1289&lt;=DATE(2026,5,31)),"Closed in May","Other")</f>
        <v/>
      </c>
    </row>
    <row r="1290">
      <c r="A1290" s="6" t="n">
        <v>46107</v>
      </c>
      <c r="B1290" s="3" t="n">
        <v>2026</v>
      </c>
      <c r="C1290" s="3" t="inlineStr">
        <is>
          <t>Blupine Energy</t>
        </is>
      </c>
      <c r="D1290" s="3" t="inlineStr">
        <is>
          <t>Utility and C&amp;I</t>
        </is>
      </c>
      <c r="E1290" s="3" t="n"/>
      <c r="F1290" s="3" t="inlineStr">
        <is>
          <t>Closed</t>
        </is>
      </c>
      <c r="G1290" s="3" t="inlineStr">
        <is>
          <t>Chandrashekar Patidar</t>
        </is>
      </c>
      <c r="H1290" s="3" t="n">
        <v>7879764773</v>
      </c>
      <c r="I1290" s="11" t="inlineStr">
        <is>
          <t>PE26032601</t>
        </is>
      </c>
      <c r="J1290" s="3" t="inlineStr">
        <is>
          <t>Module Diode Failure</t>
        </is>
      </c>
      <c r="K1290" s="3" t="inlineStr">
        <is>
          <t>Sadla</t>
        </is>
      </c>
      <c r="L1290" s="3" t="inlineStr">
        <is>
          <t>Gujarat</t>
        </is>
      </c>
      <c r="M1290" s="9" t="inlineStr">
        <is>
          <t>NS</t>
        </is>
      </c>
      <c r="N1290" s="3" t="inlineStr">
        <is>
          <t>Cold Soldering</t>
        </is>
      </c>
      <c r="O1290" s="3" t="n">
        <v>570</v>
      </c>
      <c r="P1290" s="9" t="inlineStr">
        <is>
          <t>NSMI24060128861</t>
        </is>
      </c>
      <c r="Q1290" s="53">
        <f>MID(P1290,5,2)</f>
        <v/>
      </c>
      <c r="R1290" s="53">
        <f>MID(P1290,7,2)</f>
        <v/>
      </c>
      <c r="S1290" s="3" t="inlineStr">
        <is>
          <t>G2G</t>
        </is>
      </c>
      <c r="T1290" s="3" t="inlineStr">
        <is>
          <t>P4</t>
        </is>
      </c>
      <c r="U1290" s="3" t="inlineStr">
        <is>
          <t>N JB Cold Soldering</t>
        </is>
      </c>
      <c r="V1290" s="3" t="inlineStr">
        <is>
          <t>Soldering</t>
        </is>
      </c>
      <c r="W1290" s="3" t="inlineStr">
        <is>
          <t>Repair</t>
        </is>
      </c>
      <c r="X1290" s="18" t="n">
        <v>46159</v>
      </c>
      <c r="Y1290" s="73">
        <f>IF(X1290="","",X1290-A1290)</f>
        <v/>
      </c>
      <c r="Z1290" s="18" t="n">
        <v>46159</v>
      </c>
      <c r="AA1290" s="15" t="n"/>
      <c r="AB1290" s="15" t="n"/>
      <c r="AF1290">
        <f>IF(AND($F1290="Closed",$X1290&gt;=DATE(2026,5,1),$X1290&lt;=DATE(2026,5,31)),"Closed in May","Other")</f>
        <v/>
      </c>
    </row>
    <row r="1291">
      <c r="A1291" s="6" t="n">
        <v>46107</v>
      </c>
      <c r="B1291" s="3" t="n">
        <v>2026</v>
      </c>
      <c r="C1291" s="3" t="inlineStr">
        <is>
          <t>Blupine Energy</t>
        </is>
      </c>
      <c r="D1291" s="3" t="inlineStr">
        <is>
          <t>Utility and C&amp;I</t>
        </is>
      </c>
      <c r="E1291" s="3" t="n"/>
      <c r="F1291" s="3" t="inlineStr">
        <is>
          <t>Closed</t>
        </is>
      </c>
      <c r="G1291" s="3" t="inlineStr">
        <is>
          <t>Chandrashekar Patidar</t>
        </is>
      </c>
      <c r="H1291" s="3" t="n">
        <v>7879764773</v>
      </c>
      <c r="I1291" s="11" t="inlineStr">
        <is>
          <t>PE26032601</t>
        </is>
      </c>
      <c r="J1291" s="3" t="inlineStr">
        <is>
          <t>Module Diode Failure</t>
        </is>
      </c>
      <c r="K1291" s="3" t="inlineStr">
        <is>
          <t>Sadla</t>
        </is>
      </c>
      <c r="L1291" s="3" t="inlineStr">
        <is>
          <t>Gujarat</t>
        </is>
      </c>
      <c r="M1291" s="9" t="inlineStr">
        <is>
          <t>PS</t>
        </is>
      </c>
      <c r="N1291" s="3" t="inlineStr">
        <is>
          <t>Cold Soldering</t>
        </is>
      </c>
      <c r="O1291" s="3" t="n">
        <v>570</v>
      </c>
      <c r="P1291" s="9" t="inlineStr">
        <is>
          <t>NSMI24060084871</t>
        </is>
      </c>
      <c r="Q1291" s="53">
        <f>MID(P1291,5,2)</f>
        <v/>
      </c>
      <c r="R1291" s="53">
        <f>MID(P1291,7,2)</f>
        <v/>
      </c>
      <c r="S1291" s="3" t="inlineStr">
        <is>
          <t>G2G</t>
        </is>
      </c>
      <c r="T1291" s="3" t="inlineStr">
        <is>
          <t>P4</t>
        </is>
      </c>
      <c r="U1291" s="3" t="inlineStr">
        <is>
          <t>P JB Cold Soldering</t>
        </is>
      </c>
      <c r="V1291" s="3" t="inlineStr">
        <is>
          <t>Soldering</t>
        </is>
      </c>
      <c r="W1291" s="3" t="inlineStr">
        <is>
          <t>Repair</t>
        </is>
      </c>
      <c r="X1291" s="18" t="n">
        <v>46159</v>
      </c>
      <c r="Y1291" s="73">
        <f>IF(X1291="","",X1291-A1291)</f>
        <v/>
      </c>
      <c r="Z1291" s="18" t="n">
        <v>46159</v>
      </c>
      <c r="AA1291" s="15" t="n"/>
      <c r="AB1291" s="15" t="n"/>
      <c r="AF1291">
        <f>IF(AND($F1291="Closed",$X1291&gt;=DATE(2026,5,1),$X1291&lt;=DATE(2026,5,31)),"Closed in May","Other")</f>
        <v/>
      </c>
    </row>
    <row r="1292">
      <c r="A1292" s="6" t="n">
        <v>46107</v>
      </c>
      <c r="B1292" s="3" t="n">
        <v>2026</v>
      </c>
      <c r="C1292" s="3" t="inlineStr">
        <is>
          <t>Blupine Energy</t>
        </is>
      </c>
      <c r="D1292" s="3" t="inlineStr">
        <is>
          <t>Utility and C&amp;I</t>
        </is>
      </c>
      <c r="E1292" s="3" t="n"/>
      <c r="F1292" s="3" t="inlineStr">
        <is>
          <t>Closed</t>
        </is>
      </c>
      <c r="G1292" s="3" t="inlineStr">
        <is>
          <t>Chandrashekar Patidar</t>
        </is>
      </c>
      <c r="H1292" s="3" t="n">
        <v>7879764773</v>
      </c>
      <c r="I1292" s="11" t="inlineStr">
        <is>
          <t>PE26032601</t>
        </is>
      </c>
      <c r="J1292" s="3" t="inlineStr">
        <is>
          <t>Module Diode Failure</t>
        </is>
      </c>
      <c r="K1292" s="3" t="inlineStr">
        <is>
          <t>Sadla</t>
        </is>
      </c>
      <c r="L1292" s="3" t="inlineStr">
        <is>
          <t>Gujarat</t>
        </is>
      </c>
      <c r="M1292" s="9" t="inlineStr">
        <is>
          <t>PS</t>
        </is>
      </c>
      <c r="N1292" s="3" t="inlineStr">
        <is>
          <t>Cold Soldering</t>
        </is>
      </c>
      <c r="O1292" s="3" t="n">
        <v>570</v>
      </c>
      <c r="P1292" s="9" t="inlineStr">
        <is>
          <t>NSMI24060084919</t>
        </is>
      </c>
      <c r="Q1292" s="53">
        <f>MID(P1292,5,2)</f>
        <v/>
      </c>
      <c r="R1292" s="53">
        <f>MID(P1292,7,2)</f>
        <v/>
      </c>
      <c r="S1292" s="3" t="inlineStr">
        <is>
          <t>G2G</t>
        </is>
      </c>
      <c r="T1292" s="3" t="inlineStr">
        <is>
          <t>P4</t>
        </is>
      </c>
      <c r="U1292" s="3" t="inlineStr">
        <is>
          <t>P JB Cold Soldering</t>
        </is>
      </c>
      <c r="V1292" s="3" t="inlineStr">
        <is>
          <t>Soldering</t>
        </is>
      </c>
      <c r="W1292" s="3" t="inlineStr">
        <is>
          <t>Repair</t>
        </is>
      </c>
      <c r="X1292" s="18" t="n">
        <v>46159</v>
      </c>
      <c r="Y1292" s="73">
        <f>IF(X1292="","",X1292-A1292)</f>
        <v/>
      </c>
      <c r="Z1292" s="18" t="n">
        <v>46159</v>
      </c>
      <c r="AA1292" s="15" t="n"/>
      <c r="AB1292" s="15" t="n"/>
      <c r="AF1292">
        <f>IF(AND($F1292="Closed",$X1292&gt;=DATE(2026,5,1),$X1292&lt;=DATE(2026,5,31)),"Closed in May","Other")</f>
        <v/>
      </c>
    </row>
    <row r="1293">
      <c r="A1293" s="6" t="n">
        <v>46107</v>
      </c>
      <c r="B1293" s="3" t="n">
        <v>2026</v>
      </c>
      <c r="C1293" s="3" t="inlineStr">
        <is>
          <t>Blupine Energy</t>
        </is>
      </c>
      <c r="D1293" s="3" t="inlineStr">
        <is>
          <t>Utility and C&amp;I</t>
        </is>
      </c>
      <c r="E1293" s="3" t="n"/>
      <c r="F1293" s="3" t="inlineStr">
        <is>
          <t>Closed</t>
        </is>
      </c>
      <c r="G1293" s="3" t="inlineStr">
        <is>
          <t>Chandrashekar Patidar</t>
        </is>
      </c>
      <c r="H1293" s="3" t="n">
        <v>7879764773</v>
      </c>
      <c r="I1293" s="11" t="inlineStr">
        <is>
          <t>PE26032601</t>
        </is>
      </c>
      <c r="J1293" s="3" t="inlineStr">
        <is>
          <t>Module Diode Failure</t>
        </is>
      </c>
      <c r="K1293" s="3" t="inlineStr">
        <is>
          <t>Sadla</t>
        </is>
      </c>
      <c r="L1293" s="3" t="inlineStr">
        <is>
          <t>Gujarat</t>
        </is>
      </c>
      <c r="M1293" s="9" t="inlineStr">
        <is>
          <t>NS</t>
        </is>
      </c>
      <c r="N1293" s="3" t="inlineStr">
        <is>
          <t>Cold Soldering</t>
        </is>
      </c>
      <c r="O1293" s="3" t="n">
        <v>570</v>
      </c>
      <c r="P1293" s="9" t="inlineStr">
        <is>
          <t>NSMI24060142648</t>
        </is>
      </c>
      <c r="Q1293" s="53">
        <f>MID(P1293,5,2)</f>
        <v/>
      </c>
      <c r="R1293" s="53">
        <f>MID(P1293,7,2)</f>
        <v/>
      </c>
      <c r="S1293" s="3" t="inlineStr">
        <is>
          <t>G2G</t>
        </is>
      </c>
      <c r="T1293" s="3" t="inlineStr">
        <is>
          <t>P4</t>
        </is>
      </c>
      <c r="U1293" s="3" t="inlineStr">
        <is>
          <t>N JB Cold Soldering</t>
        </is>
      </c>
      <c r="V1293" s="3" t="inlineStr">
        <is>
          <t>Soldering</t>
        </is>
      </c>
      <c r="W1293" s="3" t="inlineStr">
        <is>
          <t>Repair</t>
        </is>
      </c>
      <c r="X1293" s="18" t="n">
        <v>46159</v>
      </c>
      <c r="Y1293" s="73">
        <f>IF(X1293="","",X1293-A1293)</f>
        <v/>
      </c>
      <c r="Z1293" s="18" t="n">
        <v>46159</v>
      </c>
      <c r="AA1293" s="15" t="n"/>
      <c r="AB1293" s="15" t="n"/>
      <c r="AF1293">
        <f>IF(AND($F1293="Closed",$X1293&gt;=DATE(2026,5,1),$X1293&lt;=DATE(2026,5,31)),"Closed in May","Other")</f>
        <v/>
      </c>
    </row>
    <row r="1294">
      <c r="A1294" s="6" t="n">
        <v>46107</v>
      </c>
      <c r="B1294" s="3" t="n">
        <v>2026</v>
      </c>
      <c r="C1294" s="3" t="inlineStr">
        <is>
          <t>Blupine Energy</t>
        </is>
      </c>
      <c r="D1294" s="3" t="inlineStr">
        <is>
          <t>Utility and C&amp;I</t>
        </is>
      </c>
      <c r="E1294" s="3" t="n"/>
      <c r="F1294" s="3" t="inlineStr">
        <is>
          <t>Closed</t>
        </is>
      </c>
      <c r="G1294" s="3" t="inlineStr">
        <is>
          <t>Chandrashekar Patidar</t>
        </is>
      </c>
      <c r="H1294" s="3" t="n">
        <v>7879764773</v>
      </c>
      <c r="I1294" s="11" t="inlineStr">
        <is>
          <t>PE26032601</t>
        </is>
      </c>
      <c r="J1294" s="3" t="inlineStr">
        <is>
          <t>Module Diode Failure</t>
        </is>
      </c>
      <c r="K1294" s="3" t="inlineStr">
        <is>
          <t>Sadla</t>
        </is>
      </c>
      <c r="L1294" s="3" t="inlineStr">
        <is>
          <t>Gujarat</t>
        </is>
      </c>
      <c r="M1294" s="9" t="inlineStr">
        <is>
          <t>PS</t>
        </is>
      </c>
      <c r="N1294" s="3" t="inlineStr">
        <is>
          <t>Cold Soldering</t>
        </is>
      </c>
      <c r="O1294" s="3" t="n">
        <v>570</v>
      </c>
      <c r="P1294" s="9" t="inlineStr">
        <is>
          <t>NSMI24060142601</t>
        </is>
      </c>
      <c r="Q1294" s="53">
        <f>MID(P1294,5,2)</f>
        <v/>
      </c>
      <c r="R1294" s="53">
        <f>MID(P1294,7,2)</f>
        <v/>
      </c>
      <c r="S1294" s="3" t="inlineStr">
        <is>
          <t>G2G</t>
        </is>
      </c>
      <c r="T1294" s="3" t="inlineStr">
        <is>
          <t>P4</t>
        </is>
      </c>
      <c r="U1294" s="3" t="inlineStr">
        <is>
          <t>P JB Cold Soldering</t>
        </is>
      </c>
      <c r="V1294" s="3" t="inlineStr">
        <is>
          <t>Soldering</t>
        </is>
      </c>
      <c r="W1294" s="3" t="inlineStr">
        <is>
          <t>Repair</t>
        </is>
      </c>
      <c r="X1294" s="18" t="n">
        <v>46159</v>
      </c>
      <c r="Y1294" s="73">
        <f>IF(X1294="","",X1294-A1294)</f>
        <v/>
      </c>
      <c r="Z1294" s="18" t="n">
        <v>46159</v>
      </c>
      <c r="AA1294" s="15" t="n"/>
      <c r="AB1294" s="15" t="n"/>
      <c r="AF1294">
        <f>IF(AND($F1294="Closed",$X1294&gt;=DATE(2026,5,1),$X1294&lt;=DATE(2026,5,31)),"Closed in May","Other")</f>
        <v/>
      </c>
    </row>
    <row r="1295">
      <c r="A1295" s="6" t="n">
        <v>46107</v>
      </c>
      <c r="B1295" s="3" t="n">
        <v>2026</v>
      </c>
      <c r="C1295" s="3" t="inlineStr">
        <is>
          <t>Blupine Energy</t>
        </is>
      </c>
      <c r="D1295" s="3" t="inlineStr">
        <is>
          <t>Utility and C&amp;I</t>
        </is>
      </c>
      <c r="E1295" s="3" t="n"/>
      <c r="F1295" s="3" t="inlineStr">
        <is>
          <t>Closed</t>
        </is>
      </c>
      <c r="G1295" s="3" t="inlineStr">
        <is>
          <t>Chandrashekar Patidar</t>
        </is>
      </c>
      <c r="H1295" s="3" t="n">
        <v>7879764773</v>
      </c>
      <c r="I1295" s="11" t="inlineStr">
        <is>
          <t>PE26032601</t>
        </is>
      </c>
      <c r="J1295" s="3" t="inlineStr">
        <is>
          <t>Module Diode Failure</t>
        </is>
      </c>
      <c r="K1295" s="3" t="inlineStr">
        <is>
          <t>Sadla</t>
        </is>
      </c>
      <c r="L1295" s="3" t="inlineStr">
        <is>
          <t>Gujarat</t>
        </is>
      </c>
      <c r="M1295" s="9" t="inlineStr">
        <is>
          <t>PS</t>
        </is>
      </c>
      <c r="N1295" s="3" t="inlineStr">
        <is>
          <t>Cold Soldering</t>
        </is>
      </c>
      <c r="O1295" s="3" t="n">
        <v>570</v>
      </c>
      <c r="P1295" s="9" t="inlineStr">
        <is>
          <t>NSMI24060153587</t>
        </is>
      </c>
      <c r="Q1295" s="53">
        <f>MID(P1295,5,2)</f>
        <v/>
      </c>
      <c r="R1295" s="53">
        <f>MID(P1295,7,2)</f>
        <v/>
      </c>
      <c r="S1295" s="3" t="inlineStr">
        <is>
          <t>G2G</t>
        </is>
      </c>
      <c r="T1295" s="3" t="inlineStr">
        <is>
          <t>P4</t>
        </is>
      </c>
      <c r="U1295" s="3" t="inlineStr">
        <is>
          <t>P JB Cold Soldering</t>
        </is>
      </c>
      <c r="V1295" s="3" t="inlineStr">
        <is>
          <t>Soldering</t>
        </is>
      </c>
      <c r="W1295" s="3" t="inlineStr">
        <is>
          <t>Repair</t>
        </is>
      </c>
      <c r="X1295" s="18" t="n">
        <v>46159</v>
      </c>
      <c r="Y1295" s="73">
        <f>IF(X1295="","",X1295-A1295)</f>
        <v/>
      </c>
      <c r="Z1295" s="18" t="n">
        <v>46159</v>
      </c>
      <c r="AA1295" s="15" t="n"/>
      <c r="AB1295" s="15" t="n"/>
      <c r="AF1295">
        <f>IF(AND($F1295="Closed",$X1295&gt;=DATE(2026,5,1),$X1295&lt;=DATE(2026,5,31)),"Closed in May","Other")</f>
        <v/>
      </c>
    </row>
    <row r="1296">
      <c r="A1296" s="6" t="n">
        <v>46107</v>
      </c>
      <c r="B1296" s="3" t="n">
        <v>2026</v>
      </c>
      <c r="C1296" s="3" t="inlineStr">
        <is>
          <t>Blupine Energy</t>
        </is>
      </c>
      <c r="D1296" s="3" t="inlineStr">
        <is>
          <t>Utility and C&amp;I</t>
        </is>
      </c>
      <c r="E1296" s="3" t="n"/>
      <c r="F1296" s="3" t="inlineStr">
        <is>
          <t>Closed</t>
        </is>
      </c>
      <c r="G1296" s="3" t="inlineStr">
        <is>
          <t>Chandrashekar Patidar</t>
        </is>
      </c>
      <c r="H1296" s="3" t="n">
        <v>7879764773</v>
      </c>
      <c r="I1296" s="11" t="inlineStr">
        <is>
          <t>PE26032601</t>
        </is>
      </c>
      <c r="J1296" s="3" t="inlineStr">
        <is>
          <t>Module Diode Failure</t>
        </is>
      </c>
      <c r="K1296" s="3" t="inlineStr">
        <is>
          <t>Sadla</t>
        </is>
      </c>
      <c r="L1296" s="3" t="inlineStr">
        <is>
          <t>Gujarat</t>
        </is>
      </c>
      <c r="M1296" s="9" t="inlineStr">
        <is>
          <t>PS</t>
        </is>
      </c>
      <c r="N1296" s="3" t="inlineStr">
        <is>
          <t>Cold Soldering</t>
        </is>
      </c>
      <c r="O1296" s="3" t="n">
        <v>570</v>
      </c>
      <c r="P1296" s="9" t="inlineStr">
        <is>
          <t>NSMI24060142854</t>
        </is>
      </c>
      <c r="Q1296" s="53">
        <f>MID(P1296,5,2)</f>
        <v/>
      </c>
      <c r="R1296" s="53">
        <f>MID(P1296,7,2)</f>
        <v/>
      </c>
      <c r="S1296" s="3" t="inlineStr">
        <is>
          <t>G2G</t>
        </is>
      </c>
      <c r="T1296" s="3" t="inlineStr">
        <is>
          <t>P4</t>
        </is>
      </c>
      <c r="U1296" s="3" t="inlineStr">
        <is>
          <t>P JB Cold Soldering</t>
        </is>
      </c>
      <c r="V1296" s="3" t="inlineStr">
        <is>
          <t>Soldering</t>
        </is>
      </c>
      <c r="W1296" s="3" t="inlineStr">
        <is>
          <t>Repair</t>
        </is>
      </c>
      <c r="X1296" s="18" t="n">
        <v>46159</v>
      </c>
      <c r="Y1296" s="73">
        <f>IF(X1296="","",X1296-A1296)</f>
        <v/>
      </c>
      <c r="Z1296" s="18" t="n">
        <v>46159</v>
      </c>
      <c r="AA1296" s="15" t="n"/>
      <c r="AB1296" s="15" t="n"/>
      <c r="AF1296">
        <f>IF(AND($F1296="Closed",$X1296&gt;=DATE(2026,5,1),$X1296&lt;=DATE(2026,5,31)),"Closed in May","Other")</f>
        <v/>
      </c>
    </row>
    <row r="1297">
      <c r="A1297" s="6" t="n">
        <v>46107</v>
      </c>
      <c r="B1297" s="3" t="n">
        <v>2026</v>
      </c>
      <c r="C1297" s="3" t="inlineStr">
        <is>
          <t>Blupine Energy</t>
        </is>
      </c>
      <c r="D1297" s="3" t="inlineStr">
        <is>
          <t>Utility and C&amp;I</t>
        </is>
      </c>
      <c r="E1297" s="3" t="n"/>
      <c r="F1297" s="3" t="inlineStr">
        <is>
          <t>Closed</t>
        </is>
      </c>
      <c r="G1297" s="3" t="inlineStr">
        <is>
          <t>Chandrashekar Patidar</t>
        </is>
      </c>
      <c r="H1297" s="3" t="n">
        <v>7879764773</v>
      </c>
      <c r="I1297" s="11" t="inlineStr">
        <is>
          <t>PE26032601</t>
        </is>
      </c>
      <c r="J1297" s="3" t="inlineStr">
        <is>
          <t>Module Diode Failure</t>
        </is>
      </c>
      <c r="K1297" s="3" t="inlineStr">
        <is>
          <t>Sadla</t>
        </is>
      </c>
      <c r="L1297" s="3" t="inlineStr">
        <is>
          <t>Gujarat</t>
        </is>
      </c>
      <c r="M1297" s="9" t="inlineStr">
        <is>
          <t>NS</t>
        </is>
      </c>
      <c r="N1297" s="3" t="inlineStr">
        <is>
          <t>Cold Soldering</t>
        </is>
      </c>
      <c r="O1297" s="3" t="n">
        <v>570</v>
      </c>
      <c r="P1297" s="9" t="inlineStr">
        <is>
          <t>NSMI24060162809</t>
        </is>
      </c>
      <c r="Q1297" s="53">
        <f>MID(P1297,5,2)</f>
        <v/>
      </c>
      <c r="R1297" s="53">
        <f>MID(P1297,7,2)</f>
        <v/>
      </c>
      <c r="S1297" s="3" t="inlineStr">
        <is>
          <t>G2G</t>
        </is>
      </c>
      <c r="T1297" s="3" t="inlineStr">
        <is>
          <t>P4</t>
        </is>
      </c>
      <c r="U1297" s="3" t="inlineStr">
        <is>
          <t>N JB Cold Soldering</t>
        </is>
      </c>
      <c r="V1297" s="3" t="inlineStr">
        <is>
          <t>Soldering</t>
        </is>
      </c>
      <c r="W1297" s="3" t="inlineStr">
        <is>
          <t>Repair</t>
        </is>
      </c>
      <c r="X1297" s="18" t="n">
        <v>46159</v>
      </c>
      <c r="Y1297" s="73">
        <f>IF(X1297="","",X1297-A1297)</f>
        <v/>
      </c>
      <c r="Z1297" s="18" t="n">
        <v>46159</v>
      </c>
      <c r="AA1297" s="15" t="n"/>
      <c r="AB1297" s="15" t="n"/>
      <c r="AF1297">
        <f>IF(AND($F1297="Closed",$X1297&gt;=DATE(2026,5,1),$X1297&lt;=DATE(2026,5,31)),"Closed in May","Other")</f>
        <v/>
      </c>
    </row>
    <row r="1298">
      <c r="A1298" s="6" t="n">
        <v>46107</v>
      </c>
      <c r="B1298" s="3" t="n">
        <v>2026</v>
      </c>
      <c r="C1298" s="3" t="inlineStr">
        <is>
          <t>Blupine Energy</t>
        </is>
      </c>
      <c r="D1298" s="3" t="inlineStr">
        <is>
          <t>Utility and C&amp;I</t>
        </is>
      </c>
      <c r="E1298" s="3" t="n"/>
      <c r="F1298" s="3" t="inlineStr">
        <is>
          <t>Closed</t>
        </is>
      </c>
      <c r="G1298" s="3" t="inlineStr">
        <is>
          <t>Chandrashekar Patidar</t>
        </is>
      </c>
      <c r="H1298" s="3" t="n">
        <v>7879764773</v>
      </c>
      <c r="I1298" s="11" t="inlineStr">
        <is>
          <t>PE26032601</t>
        </is>
      </c>
      <c r="J1298" s="3" t="inlineStr">
        <is>
          <t>Module Diode Failure</t>
        </is>
      </c>
      <c r="K1298" s="3" t="inlineStr">
        <is>
          <t>Sadla</t>
        </is>
      </c>
      <c r="L1298" s="3" t="inlineStr">
        <is>
          <t>Gujarat</t>
        </is>
      </c>
      <c r="M1298" s="9" t="inlineStr">
        <is>
          <t>NS</t>
        </is>
      </c>
      <c r="N1298" s="3" t="inlineStr">
        <is>
          <t>Cold Soldering</t>
        </is>
      </c>
      <c r="O1298" s="3" t="n">
        <v>570</v>
      </c>
      <c r="P1298" s="9" t="inlineStr">
        <is>
          <t>NSMI24060160834</t>
        </is>
      </c>
      <c r="Q1298" s="53">
        <f>MID(P1298,5,2)</f>
        <v/>
      </c>
      <c r="R1298" s="53">
        <f>MID(P1298,7,2)</f>
        <v/>
      </c>
      <c r="S1298" s="3" t="inlineStr">
        <is>
          <t>G2G</t>
        </is>
      </c>
      <c r="T1298" s="3" t="inlineStr">
        <is>
          <t>P4</t>
        </is>
      </c>
      <c r="U1298" s="3" t="inlineStr">
        <is>
          <t>N JB Cold Soldering</t>
        </is>
      </c>
      <c r="V1298" s="3" t="inlineStr">
        <is>
          <t>Soldering</t>
        </is>
      </c>
      <c r="W1298" s="3" t="inlineStr">
        <is>
          <t>Repair</t>
        </is>
      </c>
      <c r="X1298" s="18" t="n">
        <v>46159</v>
      </c>
      <c r="Y1298" s="73">
        <f>IF(X1298="","",X1298-A1298)</f>
        <v/>
      </c>
      <c r="Z1298" s="18" t="n">
        <v>46159</v>
      </c>
      <c r="AA1298" s="15" t="n"/>
      <c r="AB1298" s="15" t="n"/>
      <c r="AF1298">
        <f>IF(AND($F1298="Closed",$X1298&gt;=DATE(2026,5,1),$X1298&lt;=DATE(2026,5,31)),"Closed in May","Other")</f>
        <v/>
      </c>
    </row>
    <row r="1299">
      <c r="A1299" s="6" t="n">
        <v>46107</v>
      </c>
      <c r="B1299" s="3" t="n">
        <v>2026</v>
      </c>
      <c r="C1299" s="3" t="inlineStr">
        <is>
          <t>Blupine Energy</t>
        </is>
      </c>
      <c r="D1299" s="3" t="inlineStr">
        <is>
          <t>Utility and C&amp;I</t>
        </is>
      </c>
      <c r="E1299" s="3" t="n"/>
      <c r="F1299" s="3" t="inlineStr">
        <is>
          <t>Closed</t>
        </is>
      </c>
      <c r="G1299" s="3" t="inlineStr">
        <is>
          <t>Chandrashekar Patidar</t>
        </is>
      </c>
      <c r="H1299" s="3" t="n">
        <v>7879764773</v>
      </c>
      <c r="I1299" s="11" t="inlineStr">
        <is>
          <t>PE26032601</t>
        </is>
      </c>
      <c r="J1299" s="3" t="inlineStr">
        <is>
          <t>Module Diode Failure</t>
        </is>
      </c>
      <c r="K1299" s="3" t="inlineStr">
        <is>
          <t>Sadla</t>
        </is>
      </c>
      <c r="L1299" s="3" t="inlineStr">
        <is>
          <t>Gujarat</t>
        </is>
      </c>
      <c r="M1299" s="9" t="inlineStr">
        <is>
          <t>PS</t>
        </is>
      </c>
      <c r="N1299" s="3" t="inlineStr">
        <is>
          <t>Cold Soldering</t>
        </is>
      </c>
      <c r="O1299" s="3" t="n">
        <v>570</v>
      </c>
      <c r="P1299" s="9" t="inlineStr">
        <is>
          <t>NSMI24060158965</t>
        </is>
      </c>
      <c r="Q1299" s="53">
        <f>MID(P1299,5,2)</f>
        <v/>
      </c>
      <c r="R1299" s="53">
        <f>MID(P1299,7,2)</f>
        <v/>
      </c>
      <c r="S1299" s="3" t="inlineStr">
        <is>
          <t>G2G</t>
        </is>
      </c>
      <c r="T1299" s="3" t="inlineStr">
        <is>
          <t>P4</t>
        </is>
      </c>
      <c r="U1299" s="3" t="inlineStr">
        <is>
          <t>P JB Cold Soldering</t>
        </is>
      </c>
      <c r="V1299" s="3" t="inlineStr">
        <is>
          <t>Soldering</t>
        </is>
      </c>
      <c r="W1299" s="3" t="inlineStr">
        <is>
          <t>Repair</t>
        </is>
      </c>
      <c r="X1299" s="18" t="n">
        <v>46159</v>
      </c>
      <c r="Y1299" s="73">
        <f>IF(X1299="","",X1299-A1299)</f>
        <v/>
      </c>
      <c r="Z1299" s="18" t="n">
        <v>46159</v>
      </c>
      <c r="AA1299" s="15" t="n"/>
      <c r="AB1299" s="15" t="n"/>
      <c r="AF1299">
        <f>IF(AND($F1299="Closed",$X1299&gt;=DATE(2026,5,1),$X1299&lt;=DATE(2026,5,31)),"Closed in May","Other")</f>
        <v/>
      </c>
    </row>
    <row r="1300">
      <c r="A1300" s="6" t="n">
        <v>46107</v>
      </c>
      <c r="B1300" s="3" t="n">
        <v>2026</v>
      </c>
      <c r="C1300" s="3" t="inlineStr">
        <is>
          <t>Blupine Energy</t>
        </is>
      </c>
      <c r="D1300" s="3" t="inlineStr">
        <is>
          <t>Utility and C&amp;I</t>
        </is>
      </c>
      <c r="E1300" s="3" t="n"/>
      <c r="F1300" s="3" t="inlineStr">
        <is>
          <t>Closed</t>
        </is>
      </c>
      <c r="G1300" s="3" t="inlineStr">
        <is>
          <t>Chandrashekar Patidar</t>
        </is>
      </c>
      <c r="H1300" s="3" t="n">
        <v>7879764773</v>
      </c>
      <c r="I1300" s="11" t="inlineStr">
        <is>
          <t>PE26032601</t>
        </is>
      </c>
      <c r="J1300" s="3" t="inlineStr">
        <is>
          <t>Module Diode Failure</t>
        </is>
      </c>
      <c r="K1300" s="3" t="inlineStr">
        <is>
          <t>Sadla</t>
        </is>
      </c>
      <c r="L1300" s="3" t="inlineStr">
        <is>
          <t>Gujarat</t>
        </is>
      </c>
      <c r="M1300" s="9" t="inlineStr">
        <is>
          <t>NS</t>
        </is>
      </c>
      <c r="N1300" s="3" t="inlineStr">
        <is>
          <t>Cold Soldering</t>
        </is>
      </c>
      <c r="O1300" s="3" t="n">
        <v>570</v>
      </c>
      <c r="P1300" s="9" t="inlineStr">
        <is>
          <t>NSMI24060158961</t>
        </is>
      </c>
      <c r="Q1300" s="53">
        <f>MID(P1300,5,2)</f>
        <v/>
      </c>
      <c r="R1300" s="53">
        <f>MID(P1300,7,2)</f>
        <v/>
      </c>
      <c r="S1300" s="3" t="inlineStr">
        <is>
          <t>G2G</t>
        </is>
      </c>
      <c r="T1300" s="3" t="inlineStr">
        <is>
          <t>P4</t>
        </is>
      </c>
      <c r="U1300" s="3" t="inlineStr">
        <is>
          <t>N JB Cold Soldering</t>
        </is>
      </c>
      <c r="V1300" s="3" t="inlineStr">
        <is>
          <t>Soldering</t>
        </is>
      </c>
      <c r="W1300" s="3" t="inlineStr">
        <is>
          <t>Repair</t>
        </is>
      </c>
      <c r="X1300" s="18" t="n">
        <v>46159</v>
      </c>
      <c r="Y1300" s="73">
        <f>IF(X1300="","",X1300-A1300)</f>
        <v/>
      </c>
      <c r="Z1300" s="18" t="n">
        <v>46159</v>
      </c>
      <c r="AA1300" s="15" t="n"/>
      <c r="AB1300" s="15" t="n"/>
      <c r="AF1300">
        <f>IF(AND($F1300="Closed",$X1300&gt;=DATE(2026,5,1),$X1300&lt;=DATE(2026,5,31)),"Closed in May","Other")</f>
        <v/>
      </c>
    </row>
    <row r="1301">
      <c r="A1301" s="6" t="n">
        <v>46107</v>
      </c>
      <c r="B1301" s="3" t="n">
        <v>2026</v>
      </c>
      <c r="C1301" s="3" t="inlineStr">
        <is>
          <t>Blupine Energy</t>
        </is>
      </c>
      <c r="D1301" s="3" t="inlineStr">
        <is>
          <t>Utility and C&amp;I</t>
        </is>
      </c>
      <c r="E1301" s="3" t="n"/>
      <c r="F1301" s="3" t="inlineStr">
        <is>
          <t>Closed</t>
        </is>
      </c>
      <c r="G1301" s="3" t="inlineStr">
        <is>
          <t>Chandrashekar Patidar</t>
        </is>
      </c>
      <c r="H1301" s="3" t="n">
        <v>7879764773</v>
      </c>
      <c r="I1301" s="11" t="inlineStr">
        <is>
          <t>PE26032601</t>
        </is>
      </c>
      <c r="J1301" s="3" t="inlineStr">
        <is>
          <t>Module Diode Failure</t>
        </is>
      </c>
      <c r="K1301" s="3" t="inlineStr">
        <is>
          <t>Sadla</t>
        </is>
      </c>
      <c r="L1301" s="3" t="inlineStr">
        <is>
          <t>Gujarat</t>
        </is>
      </c>
      <c r="M1301" s="9" t="inlineStr">
        <is>
          <t>PS</t>
        </is>
      </c>
      <c r="N1301" s="3" t="inlineStr">
        <is>
          <t>Cold Soldering</t>
        </is>
      </c>
      <c r="O1301" s="3" t="n">
        <v>570</v>
      </c>
      <c r="P1301" s="9" t="inlineStr">
        <is>
          <t>NSMI24060147364</t>
        </is>
      </c>
      <c r="Q1301" s="53">
        <f>MID(P1301,5,2)</f>
        <v/>
      </c>
      <c r="R1301" s="53">
        <f>MID(P1301,7,2)</f>
        <v/>
      </c>
      <c r="S1301" s="3" t="inlineStr">
        <is>
          <t>G2G</t>
        </is>
      </c>
      <c r="T1301" s="3" t="inlineStr">
        <is>
          <t>P4</t>
        </is>
      </c>
      <c r="U1301" s="3" t="inlineStr">
        <is>
          <t>P JB Cold Soldering</t>
        </is>
      </c>
      <c r="V1301" s="3" t="inlineStr">
        <is>
          <t>Soldering</t>
        </is>
      </c>
      <c r="W1301" s="3" t="inlineStr">
        <is>
          <t>Repair</t>
        </is>
      </c>
      <c r="X1301" s="18" t="n">
        <v>46159</v>
      </c>
      <c r="Y1301" s="73">
        <f>IF(X1301="","",X1301-A1301)</f>
        <v/>
      </c>
      <c r="Z1301" s="18" t="n">
        <v>46159</v>
      </c>
      <c r="AA1301" s="15" t="n"/>
      <c r="AB1301" s="15" t="n"/>
      <c r="AF1301">
        <f>IF(AND($F1301="Closed",$X1301&gt;=DATE(2026,5,1),$X1301&lt;=DATE(2026,5,31)),"Closed in May","Other")</f>
        <v/>
      </c>
    </row>
    <row r="1302">
      <c r="A1302" s="6" t="n">
        <v>46107</v>
      </c>
      <c r="B1302" s="3" t="n">
        <v>2026</v>
      </c>
      <c r="C1302" s="3" t="inlineStr">
        <is>
          <t>Blupine Energy</t>
        </is>
      </c>
      <c r="D1302" s="3" t="inlineStr">
        <is>
          <t>Utility and C&amp;I</t>
        </is>
      </c>
      <c r="E1302" s="3" t="n"/>
      <c r="F1302" s="3" t="inlineStr">
        <is>
          <t>Closed</t>
        </is>
      </c>
      <c r="G1302" s="3" t="inlineStr">
        <is>
          <t>Chandrashekar Patidar</t>
        </is>
      </c>
      <c r="H1302" s="3" t="n">
        <v>7879764773</v>
      </c>
      <c r="I1302" s="11" t="inlineStr">
        <is>
          <t>PE26032601</t>
        </is>
      </c>
      <c r="J1302" s="3" t="inlineStr">
        <is>
          <t>Module Diode Failure</t>
        </is>
      </c>
      <c r="K1302" s="3" t="inlineStr">
        <is>
          <t>Sadla</t>
        </is>
      </c>
      <c r="L1302" s="3" t="inlineStr">
        <is>
          <t>Gujarat</t>
        </is>
      </c>
      <c r="M1302" s="9" t="inlineStr">
        <is>
          <t>PS</t>
        </is>
      </c>
      <c r="N1302" s="3" t="inlineStr">
        <is>
          <t>Cold Soldering</t>
        </is>
      </c>
      <c r="O1302" s="3" t="n">
        <v>570</v>
      </c>
      <c r="P1302" s="9" t="inlineStr">
        <is>
          <t>NSMI24060145928</t>
        </is>
      </c>
      <c r="Q1302" s="53">
        <f>MID(P1302,5,2)</f>
        <v/>
      </c>
      <c r="R1302" s="53">
        <f>MID(P1302,7,2)</f>
        <v/>
      </c>
      <c r="S1302" s="3" t="inlineStr">
        <is>
          <t>G2G</t>
        </is>
      </c>
      <c r="T1302" s="3" t="inlineStr">
        <is>
          <t>P4</t>
        </is>
      </c>
      <c r="U1302" s="3" t="inlineStr">
        <is>
          <t>P JB Cold Soldering</t>
        </is>
      </c>
      <c r="V1302" s="3" t="inlineStr">
        <is>
          <t>Soldering</t>
        </is>
      </c>
      <c r="W1302" s="3" t="inlineStr">
        <is>
          <t>Repair</t>
        </is>
      </c>
      <c r="X1302" s="18" t="n">
        <v>46159</v>
      </c>
      <c r="Y1302" s="73">
        <f>IF(X1302="","",X1302-A1302)</f>
        <v/>
      </c>
      <c r="Z1302" s="18" t="n">
        <v>46159</v>
      </c>
      <c r="AA1302" s="15" t="n"/>
      <c r="AB1302" s="15" t="n"/>
      <c r="AF1302">
        <f>IF(AND($F1302="Closed",$X1302&gt;=DATE(2026,5,1),$X1302&lt;=DATE(2026,5,31)),"Closed in May","Other")</f>
        <v/>
      </c>
    </row>
    <row r="1303">
      <c r="A1303" s="6" t="n">
        <v>46107</v>
      </c>
      <c r="B1303" s="3" t="n">
        <v>2026</v>
      </c>
      <c r="C1303" s="3" t="inlineStr">
        <is>
          <t>Blupine Energy</t>
        </is>
      </c>
      <c r="D1303" s="3" t="inlineStr">
        <is>
          <t>Utility and C&amp;I</t>
        </is>
      </c>
      <c r="E1303" s="3" t="n"/>
      <c r="F1303" s="3" t="inlineStr">
        <is>
          <t>Closed</t>
        </is>
      </c>
      <c r="G1303" s="3" t="inlineStr">
        <is>
          <t>Chandrashekar Patidar</t>
        </is>
      </c>
      <c r="H1303" s="3" t="n">
        <v>7879764773</v>
      </c>
      <c r="I1303" s="11" t="inlineStr">
        <is>
          <t>PE26032601</t>
        </is>
      </c>
      <c r="J1303" s="3" t="inlineStr">
        <is>
          <t>Module Diode Failure</t>
        </is>
      </c>
      <c r="K1303" s="3" t="inlineStr">
        <is>
          <t>Sadla</t>
        </is>
      </c>
      <c r="L1303" s="3" t="inlineStr">
        <is>
          <t>Gujarat</t>
        </is>
      </c>
      <c r="M1303" s="9" t="inlineStr">
        <is>
          <t>NS</t>
        </is>
      </c>
      <c r="N1303" s="3" t="inlineStr">
        <is>
          <t>Cold Soldering</t>
        </is>
      </c>
      <c r="O1303" s="3" t="n">
        <v>570</v>
      </c>
      <c r="P1303" s="9" t="inlineStr">
        <is>
          <t>NSMI24060155166</t>
        </is>
      </c>
      <c r="Q1303" s="53">
        <f>MID(P1303,5,2)</f>
        <v/>
      </c>
      <c r="R1303" s="53">
        <f>MID(P1303,7,2)</f>
        <v/>
      </c>
      <c r="S1303" s="3" t="inlineStr">
        <is>
          <t>G2G</t>
        </is>
      </c>
      <c r="T1303" s="3" t="inlineStr">
        <is>
          <t>P4</t>
        </is>
      </c>
      <c r="U1303" s="3" t="inlineStr">
        <is>
          <t>N JB Cold Soldering</t>
        </is>
      </c>
      <c r="V1303" s="3" t="inlineStr">
        <is>
          <t>Soldering</t>
        </is>
      </c>
      <c r="W1303" s="3" t="inlineStr">
        <is>
          <t>Repair</t>
        </is>
      </c>
      <c r="X1303" s="18" t="n">
        <v>46159</v>
      </c>
      <c r="Y1303" s="73">
        <f>IF(X1303="","",X1303-A1303)</f>
        <v/>
      </c>
      <c r="Z1303" s="18" t="n">
        <v>46159</v>
      </c>
      <c r="AA1303" s="15" t="n"/>
      <c r="AB1303" s="15" t="n"/>
      <c r="AF1303">
        <f>IF(AND($F1303="Closed",$X1303&gt;=DATE(2026,5,1),$X1303&lt;=DATE(2026,5,31)),"Closed in May","Other")</f>
        <v/>
      </c>
    </row>
    <row r="1304">
      <c r="A1304" s="6" t="n">
        <v>46107</v>
      </c>
      <c r="B1304" s="3" t="n">
        <v>2026</v>
      </c>
      <c r="C1304" s="3" t="inlineStr">
        <is>
          <t>Blupine Energy</t>
        </is>
      </c>
      <c r="D1304" s="3" t="inlineStr">
        <is>
          <t>Utility and C&amp;I</t>
        </is>
      </c>
      <c r="E1304" s="3" t="n"/>
      <c r="F1304" s="3" t="inlineStr">
        <is>
          <t>Closed</t>
        </is>
      </c>
      <c r="G1304" s="3" t="inlineStr">
        <is>
          <t>Chandrashekar Patidar</t>
        </is>
      </c>
      <c r="H1304" s="3" t="n">
        <v>7879764773</v>
      </c>
      <c r="I1304" s="11" t="inlineStr">
        <is>
          <t>PE26032601</t>
        </is>
      </c>
      <c r="J1304" s="3" t="inlineStr">
        <is>
          <t>Module Diode Failure</t>
        </is>
      </c>
      <c r="K1304" s="3" t="inlineStr">
        <is>
          <t>Sadla</t>
        </is>
      </c>
      <c r="L1304" s="3" t="inlineStr">
        <is>
          <t>Gujarat</t>
        </is>
      </c>
      <c r="M1304" s="9" t="inlineStr">
        <is>
          <t>PS</t>
        </is>
      </c>
      <c r="N1304" s="3" t="inlineStr">
        <is>
          <t>Cold Soldering</t>
        </is>
      </c>
      <c r="O1304" s="3" t="n">
        <v>570</v>
      </c>
      <c r="P1304" s="9" t="inlineStr">
        <is>
          <t>NSMI24060101463</t>
        </is>
      </c>
      <c r="Q1304" s="53">
        <f>MID(P1304,5,2)</f>
        <v/>
      </c>
      <c r="R1304" s="53">
        <f>MID(P1304,7,2)</f>
        <v/>
      </c>
      <c r="S1304" s="3" t="inlineStr">
        <is>
          <t>G2G</t>
        </is>
      </c>
      <c r="T1304" s="3" t="inlineStr">
        <is>
          <t>P4</t>
        </is>
      </c>
      <c r="U1304" s="3" t="inlineStr">
        <is>
          <t>P JB Cold Soldering</t>
        </is>
      </c>
      <c r="V1304" s="3" t="inlineStr">
        <is>
          <t>Soldering</t>
        </is>
      </c>
      <c r="W1304" s="3" t="inlineStr">
        <is>
          <t>Repair</t>
        </is>
      </c>
      <c r="X1304" s="18" t="n">
        <v>46159</v>
      </c>
      <c r="Y1304" s="73">
        <f>IF(X1304="","",X1304-A1304)</f>
        <v/>
      </c>
      <c r="Z1304" s="18" t="n">
        <v>46159</v>
      </c>
      <c r="AA1304" s="15" t="n"/>
      <c r="AB1304" s="15" t="n"/>
      <c r="AF1304">
        <f>IF(AND($F1304="Closed",$X1304&gt;=DATE(2026,5,1),$X1304&lt;=DATE(2026,5,31)),"Closed in May","Other")</f>
        <v/>
      </c>
    </row>
    <row r="1305">
      <c r="A1305" s="6" t="n">
        <v>46107</v>
      </c>
      <c r="B1305" s="3" t="n">
        <v>2026</v>
      </c>
      <c r="C1305" s="3" t="inlineStr">
        <is>
          <t>Blupine Energy</t>
        </is>
      </c>
      <c r="D1305" s="3" t="inlineStr">
        <is>
          <t>Utility and C&amp;I</t>
        </is>
      </c>
      <c r="E1305" s="3" t="n"/>
      <c r="F1305" s="3" t="inlineStr">
        <is>
          <t>Closed</t>
        </is>
      </c>
      <c r="G1305" s="3" t="inlineStr">
        <is>
          <t>Chandrashekar Patidar</t>
        </is>
      </c>
      <c r="H1305" s="3" t="n">
        <v>7879764773</v>
      </c>
      <c r="I1305" s="11" t="inlineStr">
        <is>
          <t>PE26032601</t>
        </is>
      </c>
      <c r="J1305" s="3" t="inlineStr">
        <is>
          <t>Module Diode Failure</t>
        </is>
      </c>
      <c r="K1305" s="3" t="inlineStr">
        <is>
          <t>Sadla</t>
        </is>
      </c>
      <c r="L1305" s="3" t="inlineStr">
        <is>
          <t>Gujarat</t>
        </is>
      </c>
      <c r="M1305" s="9" t="inlineStr">
        <is>
          <t>NR</t>
        </is>
      </c>
      <c r="N1305" s="3" t="inlineStr">
        <is>
          <t>JB Issue</t>
        </is>
      </c>
      <c r="O1305" s="3" t="n">
        <v>570</v>
      </c>
      <c r="P1305" s="9" t="inlineStr">
        <is>
          <t>NSMI24060155976</t>
        </is>
      </c>
      <c r="Q1305" s="53">
        <f>MID(P1305,5,2)</f>
        <v/>
      </c>
      <c r="R1305" s="53">
        <f>MID(P1305,7,2)</f>
        <v/>
      </c>
      <c r="S1305" s="3" t="inlineStr">
        <is>
          <t>G2G</t>
        </is>
      </c>
      <c r="T1305" s="3" t="inlineStr">
        <is>
          <t>P4</t>
        </is>
      </c>
      <c r="U1305" s="3" t="inlineStr">
        <is>
          <t>N JB Issue</t>
        </is>
      </c>
      <c r="V1305" s="3" t="inlineStr">
        <is>
          <t>JB Changed</t>
        </is>
      </c>
      <c r="W1305" s="3" t="inlineStr">
        <is>
          <t>Repair</t>
        </is>
      </c>
      <c r="X1305" s="18" t="n">
        <v>46159</v>
      </c>
      <c r="Y1305" s="73">
        <f>IF(X1305="","",X1305-A1305)</f>
        <v/>
      </c>
      <c r="Z1305" s="18" t="n">
        <v>46159</v>
      </c>
      <c r="AA1305" s="15" t="n"/>
      <c r="AB1305" s="15" t="n"/>
      <c r="AF1305">
        <f>IF(AND($F1305="Closed",$X1305&gt;=DATE(2026,5,1),$X1305&lt;=DATE(2026,5,31)),"Closed in May","Other")</f>
        <v/>
      </c>
    </row>
    <row r="1306">
      <c r="A1306" s="6" t="n">
        <v>46107</v>
      </c>
      <c r="B1306" s="3" t="n">
        <v>2026</v>
      </c>
      <c r="C1306" s="3" t="inlineStr">
        <is>
          <t>Blupine Energy</t>
        </is>
      </c>
      <c r="D1306" s="3" t="inlineStr">
        <is>
          <t>Utility and C&amp;I</t>
        </is>
      </c>
      <c r="E1306" s="3" t="n"/>
      <c r="F1306" s="3" t="inlineStr">
        <is>
          <t>Closed</t>
        </is>
      </c>
      <c r="G1306" s="3" t="inlineStr">
        <is>
          <t>Chandrashekar Patidar</t>
        </is>
      </c>
      <c r="H1306" s="3" t="n">
        <v>7879764773</v>
      </c>
      <c r="I1306" s="11" t="inlineStr">
        <is>
          <t>PE26032601</t>
        </is>
      </c>
      <c r="J1306" s="3" t="inlineStr">
        <is>
          <t>Module Diode Failure</t>
        </is>
      </c>
      <c r="K1306" s="3" t="inlineStr">
        <is>
          <t>Sadla</t>
        </is>
      </c>
      <c r="L1306" s="3" t="inlineStr">
        <is>
          <t>Gujarat</t>
        </is>
      </c>
      <c r="M1306" s="9" t="inlineStr">
        <is>
          <t>NR</t>
        </is>
      </c>
      <c r="N1306" s="3" t="inlineStr">
        <is>
          <t>JB Issue</t>
        </is>
      </c>
      <c r="O1306" s="3" t="n">
        <v>570</v>
      </c>
      <c r="P1306" s="9" t="inlineStr">
        <is>
          <t>NSMI24050066714</t>
        </is>
      </c>
      <c r="Q1306" s="53">
        <f>MID(P1306,5,2)</f>
        <v/>
      </c>
      <c r="R1306" s="53">
        <f>MID(P1306,7,2)</f>
        <v/>
      </c>
      <c r="S1306" s="3" t="inlineStr">
        <is>
          <t>G2G</t>
        </is>
      </c>
      <c r="T1306" s="3" t="inlineStr">
        <is>
          <t>P4</t>
        </is>
      </c>
      <c r="U1306" s="3" t="inlineStr">
        <is>
          <t>N JB Issue</t>
        </is>
      </c>
      <c r="V1306" s="3" t="inlineStr">
        <is>
          <t>JB Changed</t>
        </is>
      </c>
      <c r="W1306" s="3" t="inlineStr">
        <is>
          <t>Repair</t>
        </is>
      </c>
      <c r="X1306" s="18" t="n">
        <v>46159</v>
      </c>
      <c r="Y1306" s="73">
        <f>IF(X1306="","",X1306-A1306)</f>
        <v/>
      </c>
      <c r="Z1306" s="18" t="n">
        <v>46159</v>
      </c>
      <c r="AA1306" s="15" t="n"/>
      <c r="AB1306" s="15" t="n"/>
      <c r="AF1306">
        <f>IF(AND($F1306="Closed",$X1306&gt;=DATE(2026,5,1),$X1306&lt;=DATE(2026,5,31)),"Closed in May","Other")</f>
        <v/>
      </c>
    </row>
    <row r="1307">
      <c r="A1307" s="6" t="n">
        <v>46107</v>
      </c>
      <c r="B1307" s="3" t="n">
        <v>2026</v>
      </c>
      <c r="C1307" s="3" t="inlineStr">
        <is>
          <t>Blupine Energy</t>
        </is>
      </c>
      <c r="D1307" s="3" t="inlineStr">
        <is>
          <t>Utility and C&amp;I</t>
        </is>
      </c>
      <c r="E1307" s="3" t="n"/>
      <c r="F1307" s="3" t="inlineStr">
        <is>
          <t>Closed</t>
        </is>
      </c>
      <c r="G1307" s="3" t="inlineStr">
        <is>
          <t>Chandrashekar Patidar</t>
        </is>
      </c>
      <c r="H1307" s="3" t="n">
        <v>7879764773</v>
      </c>
      <c r="I1307" s="11" t="inlineStr">
        <is>
          <t>PE26032601</t>
        </is>
      </c>
      <c r="J1307" s="3" t="inlineStr">
        <is>
          <t>Module Diode Failure</t>
        </is>
      </c>
      <c r="K1307" s="3" t="inlineStr">
        <is>
          <t>Sadla</t>
        </is>
      </c>
      <c r="L1307" s="3" t="inlineStr">
        <is>
          <t>Gujarat</t>
        </is>
      </c>
      <c r="M1307" s="9" t="inlineStr">
        <is>
          <t>NS</t>
        </is>
      </c>
      <c r="N1307" s="3" t="inlineStr">
        <is>
          <t>Cold Soldering</t>
        </is>
      </c>
      <c r="O1307" s="3" t="n">
        <v>570</v>
      </c>
      <c r="P1307" s="9" t="inlineStr">
        <is>
          <t>NSMI24050066053</t>
        </is>
      </c>
      <c r="Q1307" s="53">
        <f>MID(P1307,5,2)</f>
        <v/>
      </c>
      <c r="R1307" s="53">
        <f>MID(P1307,7,2)</f>
        <v/>
      </c>
      <c r="S1307" s="3" t="inlineStr">
        <is>
          <t>G2G</t>
        </is>
      </c>
      <c r="T1307" s="3" t="inlineStr">
        <is>
          <t>P4</t>
        </is>
      </c>
      <c r="U1307" s="3" t="inlineStr">
        <is>
          <t>N JB Cold Soldering</t>
        </is>
      </c>
      <c r="V1307" s="3" t="inlineStr">
        <is>
          <t>Soldering</t>
        </is>
      </c>
      <c r="W1307" s="3" t="inlineStr">
        <is>
          <t>Repair</t>
        </is>
      </c>
      <c r="X1307" s="18" t="n">
        <v>46159</v>
      </c>
      <c r="Y1307" s="73">
        <f>IF(X1307="","",X1307-A1307)</f>
        <v/>
      </c>
      <c r="Z1307" s="18" t="n">
        <v>46159</v>
      </c>
      <c r="AA1307" s="15" t="n"/>
      <c r="AB1307" s="15" t="n"/>
      <c r="AF1307">
        <f>IF(AND($F1307="Closed",$X1307&gt;=DATE(2026,5,1),$X1307&lt;=DATE(2026,5,31)),"Closed in May","Other")</f>
        <v/>
      </c>
    </row>
    <row r="1308">
      <c r="A1308" s="6" t="n">
        <v>46107</v>
      </c>
      <c r="B1308" s="3" t="n">
        <v>2026</v>
      </c>
      <c r="C1308" s="3" t="inlineStr">
        <is>
          <t>Blupine Energy</t>
        </is>
      </c>
      <c r="D1308" s="3" t="inlineStr">
        <is>
          <t>Utility and C&amp;I</t>
        </is>
      </c>
      <c r="E1308" s="3" t="n"/>
      <c r="F1308" s="3" t="inlineStr">
        <is>
          <t>Closed</t>
        </is>
      </c>
      <c r="G1308" s="3" t="inlineStr">
        <is>
          <t>Chandrashekar Patidar</t>
        </is>
      </c>
      <c r="H1308" s="3" t="n">
        <v>7879764773</v>
      </c>
      <c r="I1308" s="11" t="inlineStr">
        <is>
          <t>PE26032601</t>
        </is>
      </c>
      <c r="J1308" s="3" t="inlineStr">
        <is>
          <t>Module Diode Failure</t>
        </is>
      </c>
      <c r="K1308" s="3" t="inlineStr">
        <is>
          <t>Sadla</t>
        </is>
      </c>
      <c r="L1308" s="3" t="inlineStr">
        <is>
          <t>Gujarat</t>
        </is>
      </c>
      <c r="M1308" s="9" t="inlineStr">
        <is>
          <t>NS</t>
        </is>
      </c>
      <c r="N1308" s="3" t="inlineStr">
        <is>
          <t>Cold Soldering</t>
        </is>
      </c>
      <c r="O1308" s="3" t="n">
        <v>570</v>
      </c>
      <c r="P1308" s="9" t="inlineStr">
        <is>
          <t>NSMI24060074184</t>
        </is>
      </c>
      <c r="Q1308" s="53">
        <f>MID(P1308,5,2)</f>
        <v/>
      </c>
      <c r="R1308" s="53">
        <f>MID(P1308,7,2)</f>
        <v/>
      </c>
      <c r="S1308" s="3" t="inlineStr">
        <is>
          <t>G2G</t>
        </is>
      </c>
      <c r="T1308" s="3" t="inlineStr">
        <is>
          <t>P4</t>
        </is>
      </c>
      <c r="U1308" s="3" t="inlineStr">
        <is>
          <t>N JB Cold Soldering</t>
        </is>
      </c>
      <c r="V1308" s="3" t="inlineStr">
        <is>
          <t>Soldering</t>
        </is>
      </c>
      <c r="W1308" s="3" t="inlineStr">
        <is>
          <t>Repair</t>
        </is>
      </c>
      <c r="X1308" s="18" t="n">
        <v>46159</v>
      </c>
      <c r="Y1308" s="73">
        <f>IF(X1308="","",X1308-A1308)</f>
        <v/>
      </c>
      <c r="Z1308" s="18" t="n">
        <v>46159</v>
      </c>
      <c r="AA1308" s="15" t="n"/>
      <c r="AB1308" s="15" t="n"/>
      <c r="AF1308">
        <f>IF(AND($F1308="Closed",$X1308&gt;=DATE(2026,5,1),$X1308&lt;=DATE(2026,5,31)),"Closed in May","Other")</f>
        <v/>
      </c>
    </row>
    <row r="1309">
      <c r="A1309" s="6" t="n">
        <v>46107</v>
      </c>
      <c r="B1309" s="3" t="n">
        <v>2026</v>
      </c>
      <c r="C1309" s="3" t="inlineStr">
        <is>
          <t>Blupine Energy</t>
        </is>
      </c>
      <c r="D1309" s="3" t="inlineStr">
        <is>
          <t>Utility and C&amp;I</t>
        </is>
      </c>
      <c r="E1309" s="3" t="n"/>
      <c r="F1309" s="3" t="inlineStr">
        <is>
          <t>Closed</t>
        </is>
      </c>
      <c r="G1309" s="3" t="inlineStr">
        <is>
          <t>Chandrashekar Patidar</t>
        </is>
      </c>
      <c r="H1309" s="3" t="n">
        <v>7879764773</v>
      </c>
      <c r="I1309" s="11" t="inlineStr">
        <is>
          <t>PE26032601</t>
        </is>
      </c>
      <c r="J1309" s="3" t="inlineStr">
        <is>
          <t>Module Diode Failure</t>
        </is>
      </c>
      <c r="K1309" s="3" t="inlineStr">
        <is>
          <t>Sadla</t>
        </is>
      </c>
      <c r="L1309" s="3" t="inlineStr">
        <is>
          <t>Gujarat</t>
        </is>
      </c>
      <c r="M1309" s="9" t="inlineStr">
        <is>
          <t>NS</t>
        </is>
      </c>
      <c r="N1309" s="3" t="inlineStr">
        <is>
          <t>Cold Soldering</t>
        </is>
      </c>
      <c r="O1309" s="3" t="n">
        <v>570</v>
      </c>
      <c r="P1309" s="9" t="inlineStr">
        <is>
          <t>NSMI24060074241</t>
        </is>
      </c>
      <c r="Q1309" s="53">
        <f>MID(P1309,5,2)</f>
        <v/>
      </c>
      <c r="R1309" s="53">
        <f>MID(P1309,7,2)</f>
        <v/>
      </c>
      <c r="S1309" s="3" t="inlineStr">
        <is>
          <t>G2G</t>
        </is>
      </c>
      <c r="T1309" s="3" t="inlineStr">
        <is>
          <t>P4</t>
        </is>
      </c>
      <c r="U1309" s="3" t="inlineStr">
        <is>
          <t>N JB Cold Soldering</t>
        </is>
      </c>
      <c r="V1309" s="3" t="inlineStr">
        <is>
          <t>Soldering</t>
        </is>
      </c>
      <c r="W1309" s="3" t="inlineStr">
        <is>
          <t>Repair</t>
        </is>
      </c>
      <c r="X1309" s="18" t="n">
        <v>46159</v>
      </c>
      <c r="Y1309" s="73">
        <f>IF(X1309="","",X1309-A1309)</f>
        <v/>
      </c>
      <c r="Z1309" s="18" t="n">
        <v>46159</v>
      </c>
      <c r="AA1309" s="15" t="n"/>
      <c r="AB1309" s="15" t="n"/>
      <c r="AF1309">
        <f>IF(AND($F1309="Closed",$X1309&gt;=DATE(2026,5,1),$X1309&lt;=DATE(2026,5,31)),"Closed in May","Other")</f>
        <v/>
      </c>
    </row>
    <row r="1310">
      <c r="A1310" s="6" t="n">
        <v>46107</v>
      </c>
      <c r="B1310" s="3" t="n">
        <v>2026</v>
      </c>
      <c r="C1310" s="3" t="inlineStr">
        <is>
          <t>Blupine Energy</t>
        </is>
      </c>
      <c r="D1310" s="3" t="inlineStr">
        <is>
          <t>Utility and C&amp;I</t>
        </is>
      </c>
      <c r="E1310" s="3" t="n"/>
      <c r="F1310" s="3" t="inlineStr">
        <is>
          <t>Closed</t>
        </is>
      </c>
      <c r="G1310" s="3" t="inlineStr">
        <is>
          <t>Chandrashekar Patidar</t>
        </is>
      </c>
      <c r="H1310" s="3" t="n">
        <v>7879764773</v>
      </c>
      <c r="I1310" s="11" t="inlineStr">
        <is>
          <t>PE26032601</t>
        </is>
      </c>
      <c r="J1310" s="3" t="inlineStr">
        <is>
          <t>Module Diode Failure</t>
        </is>
      </c>
      <c r="K1310" s="3" t="inlineStr">
        <is>
          <t>Sadla</t>
        </is>
      </c>
      <c r="L1310" s="3" t="inlineStr">
        <is>
          <t>Gujarat</t>
        </is>
      </c>
      <c r="M1310" s="9" t="inlineStr">
        <is>
          <t>NS</t>
        </is>
      </c>
      <c r="N1310" s="3" t="inlineStr">
        <is>
          <t>Cold Soldering</t>
        </is>
      </c>
      <c r="O1310" s="3" t="n">
        <v>570</v>
      </c>
      <c r="P1310" s="9" t="inlineStr">
        <is>
          <t>NSMI24060074245</t>
        </is>
      </c>
      <c r="Q1310" s="53">
        <f>MID(P1310,5,2)</f>
        <v/>
      </c>
      <c r="R1310" s="53">
        <f>MID(P1310,7,2)</f>
        <v/>
      </c>
      <c r="S1310" s="3" t="inlineStr">
        <is>
          <t>G2G</t>
        </is>
      </c>
      <c r="T1310" s="3" t="inlineStr">
        <is>
          <t>P4</t>
        </is>
      </c>
      <c r="U1310" s="3" t="inlineStr">
        <is>
          <t>N JB Cold Soldering</t>
        </is>
      </c>
      <c r="V1310" s="3" t="inlineStr">
        <is>
          <t>Soldering</t>
        </is>
      </c>
      <c r="W1310" s="3" t="inlineStr">
        <is>
          <t>Repair</t>
        </is>
      </c>
      <c r="X1310" s="18" t="n">
        <v>46159</v>
      </c>
      <c r="Y1310" s="73">
        <f>IF(X1310="","",X1310-A1310)</f>
        <v/>
      </c>
      <c r="Z1310" s="18" t="n">
        <v>46159</v>
      </c>
      <c r="AA1310" s="15" t="n"/>
      <c r="AB1310" s="15" t="n"/>
      <c r="AF1310">
        <f>IF(AND($F1310="Closed",$X1310&gt;=DATE(2026,5,1),$X1310&lt;=DATE(2026,5,31)),"Closed in May","Other")</f>
        <v/>
      </c>
    </row>
    <row r="1311">
      <c r="A1311" s="6" t="n">
        <v>46107</v>
      </c>
      <c r="B1311" s="3" t="n">
        <v>2026</v>
      </c>
      <c r="C1311" s="3" t="inlineStr">
        <is>
          <t>Blupine Energy</t>
        </is>
      </c>
      <c r="D1311" s="3" t="inlineStr">
        <is>
          <t>Utility and C&amp;I</t>
        </is>
      </c>
      <c r="E1311" s="3" t="n"/>
      <c r="F1311" s="3" t="inlineStr">
        <is>
          <t>Closed</t>
        </is>
      </c>
      <c r="G1311" s="3" t="inlineStr">
        <is>
          <t>Chandrashekar Patidar</t>
        </is>
      </c>
      <c r="H1311" s="3" t="n">
        <v>7879764773</v>
      </c>
      <c r="I1311" s="11" t="inlineStr">
        <is>
          <t>PE26032601</t>
        </is>
      </c>
      <c r="J1311" s="3" t="inlineStr">
        <is>
          <t>Module Diode Failure</t>
        </is>
      </c>
      <c r="K1311" s="3" t="inlineStr">
        <is>
          <t>Sadla</t>
        </is>
      </c>
      <c r="L1311" s="3" t="inlineStr">
        <is>
          <t>Gujarat</t>
        </is>
      </c>
      <c r="M1311" s="9" t="inlineStr">
        <is>
          <t>NR</t>
        </is>
      </c>
      <c r="N1311" s="3" t="inlineStr">
        <is>
          <t>JB Issue</t>
        </is>
      </c>
      <c r="O1311" s="3" t="n">
        <v>570</v>
      </c>
      <c r="P1311" s="9" t="inlineStr">
        <is>
          <t>NSMI24050066780</t>
        </is>
      </c>
      <c r="Q1311" s="53">
        <f>MID(P1311,5,2)</f>
        <v/>
      </c>
      <c r="R1311" s="53">
        <f>MID(P1311,7,2)</f>
        <v/>
      </c>
      <c r="S1311" s="3" t="inlineStr">
        <is>
          <t>G2G</t>
        </is>
      </c>
      <c r="T1311" s="3" t="inlineStr">
        <is>
          <t>P4</t>
        </is>
      </c>
      <c r="U1311" s="3" t="inlineStr">
        <is>
          <t>N JB Issue</t>
        </is>
      </c>
      <c r="V1311" s="3" t="inlineStr">
        <is>
          <t>JB Changed</t>
        </is>
      </c>
      <c r="W1311" s="3" t="inlineStr">
        <is>
          <t>Repair</t>
        </is>
      </c>
      <c r="X1311" s="18" t="n">
        <v>46159</v>
      </c>
      <c r="Y1311" s="73">
        <f>IF(X1311="","",X1311-A1311)</f>
        <v/>
      </c>
      <c r="Z1311" s="18" t="n">
        <v>46159</v>
      </c>
      <c r="AA1311" s="15" t="n"/>
      <c r="AB1311" s="15" t="n"/>
      <c r="AF1311">
        <f>IF(AND($F1311="Closed",$X1311&gt;=DATE(2026,5,1),$X1311&lt;=DATE(2026,5,31)),"Closed in May","Other")</f>
        <v/>
      </c>
    </row>
    <row r="1312">
      <c r="A1312" s="6" t="n">
        <v>46107</v>
      </c>
      <c r="B1312" s="3" t="n">
        <v>2026</v>
      </c>
      <c r="C1312" s="3" t="inlineStr">
        <is>
          <t>Blupine Energy</t>
        </is>
      </c>
      <c r="D1312" s="3" t="inlineStr">
        <is>
          <t>Utility and C&amp;I</t>
        </is>
      </c>
      <c r="E1312" s="3" t="n"/>
      <c r="F1312" s="3" t="inlineStr">
        <is>
          <t>Closed</t>
        </is>
      </c>
      <c r="G1312" s="3" t="inlineStr">
        <is>
          <t>Chandrashekar Patidar</t>
        </is>
      </c>
      <c r="H1312" s="3" t="n">
        <v>7879764773</v>
      </c>
      <c r="I1312" s="11" t="inlineStr">
        <is>
          <t>PE26032601</t>
        </is>
      </c>
      <c r="J1312" s="3" t="inlineStr">
        <is>
          <t>Module Diode Failure</t>
        </is>
      </c>
      <c r="K1312" s="3" t="inlineStr">
        <is>
          <t>Sadla</t>
        </is>
      </c>
      <c r="L1312" s="3" t="inlineStr">
        <is>
          <t>Gujarat</t>
        </is>
      </c>
      <c r="M1312" s="9" t="inlineStr">
        <is>
          <t>PS</t>
        </is>
      </c>
      <c r="N1312" s="3" t="inlineStr">
        <is>
          <t>Cold Soldering</t>
        </is>
      </c>
      <c r="O1312" s="3" t="n">
        <v>570</v>
      </c>
      <c r="P1312" s="9" t="inlineStr">
        <is>
          <t>NSMI24060080441</t>
        </is>
      </c>
      <c r="Q1312" s="53">
        <f>MID(P1312,5,2)</f>
        <v/>
      </c>
      <c r="R1312" s="53">
        <f>MID(P1312,7,2)</f>
        <v/>
      </c>
      <c r="S1312" s="3" t="inlineStr">
        <is>
          <t>G2G</t>
        </is>
      </c>
      <c r="T1312" s="3" t="inlineStr">
        <is>
          <t>P4</t>
        </is>
      </c>
      <c r="U1312" s="3" t="inlineStr">
        <is>
          <t>P JB Cold Soldering</t>
        </is>
      </c>
      <c r="V1312" s="3" t="inlineStr">
        <is>
          <t>Soldering</t>
        </is>
      </c>
      <c r="W1312" s="3" t="inlineStr">
        <is>
          <t>Repair</t>
        </is>
      </c>
      <c r="X1312" s="18" t="n">
        <v>46159</v>
      </c>
      <c r="Y1312" s="73">
        <f>IF(X1312="","",X1312-A1312)</f>
        <v/>
      </c>
      <c r="Z1312" s="18" t="n">
        <v>46159</v>
      </c>
      <c r="AA1312" s="15" t="n"/>
      <c r="AB1312" s="15" t="n"/>
      <c r="AF1312">
        <f>IF(AND($F1312="Closed",$X1312&gt;=DATE(2026,5,1),$X1312&lt;=DATE(2026,5,31)),"Closed in May","Other")</f>
        <v/>
      </c>
    </row>
    <row r="1313">
      <c r="A1313" s="6" t="n">
        <v>46107</v>
      </c>
      <c r="B1313" s="3" t="n">
        <v>2026</v>
      </c>
      <c r="C1313" s="3" t="inlineStr">
        <is>
          <t>Blupine Energy</t>
        </is>
      </c>
      <c r="D1313" s="3" t="inlineStr">
        <is>
          <t>Utility and C&amp;I</t>
        </is>
      </c>
      <c r="E1313" s="3" t="n"/>
      <c r="F1313" s="3" t="inlineStr">
        <is>
          <t>Closed</t>
        </is>
      </c>
      <c r="G1313" s="3" t="inlineStr">
        <is>
          <t>Chandrashekar Patidar</t>
        </is>
      </c>
      <c r="H1313" s="3" t="n">
        <v>7879764773</v>
      </c>
      <c r="I1313" s="11" t="inlineStr">
        <is>
          <t>PE26032601</t>
        </is>
      </c>
      <c r="J1313" s="3" t="inlineStr">
        <is>
          <t>Module Diode Failure</t>
        </is>
      </c>
      <c r="K1313" s="3" t="inlineStr">
        <is>
          <t>Sadla</t>
        </is>
      </c>
      <c r="L1313" s="3" t="inlineStr">
        <is>
          <t>Gujarat</t>
        </is>
      </c>
      <c r="M1313" s="9" t="inlineStr">
        <is>
          <t>NS</t>
        </is>
      </c>
      <c r="N1313" s="3" t="inlineStr">
        <is>
          <t>Cold Soldering</t>
        </is>
      </c>
      <c r="O1313" s="3" t="n">
        <v>570</v>
      </c>
      <c r="P1313" s="9" t="inlineStr">
        <is>
          <t>NSMI24060080046</t>
        </is>
      </c>
      <c r="Q1313" s="53">
        <f>MID(P1313,5,2)</f>
        <v/>
      </c>
      <c r="R1313" s="53">
        <f>MID(P1313,7,2)</f>
        <v/>
      </c>
      <c r="S1313" s="3" t="inlineStr">
        <is>
          <t>G2G</t>
        </is>
      </c>
      <c r="T1313" s="3" t="inlineStr">
        <is>
          <t>P4</t>
        </is>
      </c>
      <c r="U1313" s="3" t="inlineStr">
        <is>
          <t>N JB Cold Soldering</t>
        </is>
      </c>
      <c r="V1313" s="3" t="inlineStr">
        <is>
          <t>Soldering</t>
        </is>
      </c>
      <c r="W1313" s="3" t="inlineStr">
        <is>
          <t>Repair</t>
        </is>
      </c>
      <c r="X1313" s="18" t="n">
        <v>46159</v>
      </c>
      <c r="Y1313" s="73">
        <f>IF(X1313="","",X1313-A1313)</f>
        <v/>
      </c>
      <c r="Z1313" s="18" t="n">
        <v>46159</v>
      </c>
      <c r="AA1313" s="15" t="n"/>
      <c r="AB1313" s="15" t="n"/>
      <c r="AF1313">
        <f>IF(AND($F1313="Closed",$X1313&gt;=DATE(2026,5,1),$X1313&lt;=DATE(2026,5,31)),"Closed in May","Other")</f>
        <v/>
      </c>
    </row>
    <row r="1314">
      <c r="A1314" s="6" t="n">
        <v>46107</v>
      </c>
      <c r="B1314" s="3" t="n">
        <v>2026</v>
      </c>
      <c r="C1314" s="3" t="inlineStr">
        <is>
          <t>Blupine Energy</t>
        </is>
      </c>
      <c r="D1314" s="3" t="inlineStr">
        <is>
          <t>Utility and C&amp;I</t>
        </is>
      </c>
      <c r="E1314" s="3" t="n"/>
      <c r="F1314" s="3" t="inlineStr">
        <is>
          <t>Closed</t>
        </is>
      </c>
      <c r="G1314" s="3" t="inlineStr">
        <is>
          <t>Chandrashekar Patidar</t>
        </is>
      </c>
      <c r="H1314" s="3" t="n">
        <v>7879764773</v>
      </c>
      <c r="I1314" s="11" t="inlineStr">
        <is>
          <t>PE26032601</t>
        </is>
      </c>
      <c r="J1314" s="3" t="inlineStr">
        <is>
          <t>Module Diode Failure</t>
        </is>
      </c>
      <c r="K1314" s="3" t="inlineStr">
        <is>
          <t>Sadla</t>
        </is>
      </c>
      <c r="L1314" s="3" t="inlineStr">
        <is>
          <t>Gujarat</t>
        </is>
      </c>
      <c r="M1314" s="9" t="inlineStr">
        <is>
          <t>NS</t>
        </is>
      </c>
      <c r="N1314" s="3" t="inlineStr">
        <is>
          <t>Cold Soldering</t>
        </is>
      </c>
      <c r="O1314" s="3" t="n">
        <v>570</v>
      </c>
      <c r="P1314" s="9" t="inlineStr">
        <is>
          <t>NSMI24060080114</t>
        </is>
      </c>
      <c r="Q1314" s="53">
        <f>MID(P1314,5,2)</f>
        <v/>
      </c>
      <c r="R1314" s="53">
        <f>MID(P1314,7,2)</f>
        <v/>
      </c>
      <c r="S1314" s="3" t="inlineStr">
        <is>
          <t>G2G</t>
        </is>
      </c>
      <c r="T1314" s="3" t="inlineStr">
        <is>
          <t>P4</t>
        </is>
      </c>
      <c r="U1314" s="3" t="inlineStr">
        <is>
          <t>N JB Cold Soldering</t>
        </is>
      </c>
      <c r="V1314" s="3" t="inlineStr">
        <is>
          <t>Soldering</t>
        </is>
      </c>
      <c r="W1314" s="3" t="inlineStr">
        <is>
          <t>Repair</t>
        </is>
      </c>
      <c r="X1314" s="18" t="n">
        <v>46159</v>
      </c>
      <c r="Y1314" s="73">
        <f>IF(X1314="","",X1314-A1314)</f>
        <v/>
      </c>
      <c r="Z1314" s="18" t="n">
        <v>46159</v>
      </c>
      <c r="AA1314" s="15" t="n"/>
      <c r="AB1314" s="15" t="n"/>
      <c r="AF1314">
        <f>IF(AND($F1314="Closed",$X1314&gt;=DATE(2026,5,1),$X1314&lt;=DATE(2026,5,31)),"Closed in May","Other")</f>
        <v/>
      </c>
    </row>
    <row r="1315">
      <c r="A1315" s="6" t="n">
        <v>46107</v>
      </c>
      <c r="B1315" s="3" t="n">
        <v>2026</v>
      </c>
      <c r="C1315" s="3" t="inlineStr">
        <is>
          <t>Blupine Energy</t>
        </is>
      </c>
      <c r="D1315" s="3" t="inlineStr">
        <is>
          <t>Utility and C&amp;I</t>
        </is>
      </c>
      <c r="E1315" s="3" t="n"/>
      <c r="F1315" s="3" t="inlineStr">
        <is>
          <t>Closed</t>
        </is>
      </c>
      <c r="G1315" s="3" t="inlineStr">
        <is>
          <t>Chandrashekar Patidar</t>
        </is>
      </c>
      <c r="H1315" s="3" t="n">
        <v>7879764773</v>
      </c>
      <c r="I1315" s="11" t="inlineStr">
        <is>
          <t>PE26032601</t>
        </is>
      </c>
      <c r="J1315" s="3" t="inlineStr">
        <is>
          <t>Module Diode Failure</t>
        </is>
      </c>
      <c r="K1315" s="3" t="inlineStr">
        <is>
          <t>Sadla</t>
        </is>
      </c>
      <c r="L1315" s="3" t="inlineStr">
        <is>
          <t>Gujarat</t>
        </is>
      </c>
      <c r="M1315" s="9" t="inlineStr">
        <is>
          <t>NS</t>
        </is>
      </c>
      <c r="N1315" s="3" t="inlineStr">
        <is>
          <t>Cold Soldering</t>
        </is>
      </c>
      <c r="O1315" s="3" t="n">
        <v>570</v>
      </c>
      <c r="P1315" s="9" t="inlineStr">
        <is>
          <t>NSMI24060080062</t>
        </is>
      </c>
      <c r="Q1315" s="53">
        <f>MID(P1315,5,2)</f>
        <v/>
      </c>
      <c r="R1315" s="53">
        <f>MID(P1315,7,2)</f>
        <v/>
      </c>
      <c r="S1315" s="3" t="inlineStr">
        <is>
          <t>G2G</t>
        </is>
      </c>
      <c r="T1315" s="3" t="inlineStr">
        <is>
          <t>P4</t>
        </is>
      </c>
      <c r="U1315" s="3" t="inlineStr">
        <is>
          <t>N JB Cold Soldering</t>
        </is>
      </c>
      <c r="V1315" s="3" t="inlineStr">
        <is>
          <t>Soldering</t>
        </is>
      </c>
      <c r="W1315" s="3" t="inlineStr">
        <is>
          <t>Repair</t>
        </is>
      </c>
      <c r="X1315" s="18" t="n">
        <v>46159</v>
      </c>
      <c r="Y1315" s="73">
        <f>IF(X1315="","",X1315-A1315)</f>
        <v/>
      </c>
      <c r="Z1315" s="18" t="n">
        <v>46159</v>
      </c>
      <c r="AA1315" s="15" t="n"/>
      <c r="AB1315" s="15" t="n"/>
      <c r="AF1315">
        <f>IF(AND($F1315="Closed",$X1315&gt;=DATE(2026,5,1),$X1315&lt;=DATE(2026,5,31)),"Closed in May","Other")</f>
        <v/>
      </c>
    </row>
    <row r="1316">
      <c r="A1316" s="6" t="n">
        <v>46107</v>
      </c>
      <c r="B1316" s="3" t="n">
        <v>2026</v>
      </c>
      <c r="C1316" s="3" t="inlineStr">
        <is>
          <t>Blupine Energy</t>
        </is>
      </c>
      <c r="D1316" s="3" t="inlineStr">
        <is>
          <t>Utility and C&amp;I</t>
        </is>
      </c>
      <c r="E1316" s="3" t="n"/>
      <c r="F1316" s="3" t="inlineStr">
        <is>
          <t>Closed</t>
        </is>
      </c>
      <c r="G1316" s="3" t="inlineStr">
        <is>
          <t>Chandrashekar Patidar</t>
        </is>
      </c>
      <c r="H1316" s="3" t="n">
        <v>7879764773</v>
      </c>
      <c r="I1316" s="11" t="inlineStr">
        <is>
          <t>PE26032601</t>
        </is>
      </c>
      <c r="J1316" s="3" t="inlineStr">
        <is>
          <t>Module Diode Failure</t>
        </is>
      </c>
      <c r="K1316" s="3" t="inlineStr">
        <is>
          <t>Sadla</t>
        </is>
      </c>
      <c r="L1316" s="3" t="inlineStr">
        <is>
          <t>Gujarat</t>
        </is>
      </c>
      <c r="M1316" s="9" t="inlineStr">
        <is>
          <t>NS</t>
        </is>
      </c>
      <c r="N1316" s="3" t="inlineStr">
        <is>
          <t>Cold Soldering</t>
        </is>
      </c>
      <c r="O1316" s="3" t="n">
        <v>570</v>
      </c>
      <c r="P1316" s="9" t="inlineStr">
        <is>
          <t>NSMI24060080053</t>
        </is>
      </c>
      <c r="Q1316" s="53">
        <f>MID(P1316,5,2)</f>
        <v/>
      </c>
      <c r="R1316" s="53">
        <f>MID(P1316,7,2)</f>
        <v/>
      </c>
      <c r="S1316" s="3" t="inlineStr">
        <is>
          <t>G2G</t>
        </is>
      </c>
      <c r="T1316" s="3" t="inlineStr">
        <is>
          <t>P4</t>
        </is>
      </c>
      <c r="U1316" s="3" t="inlineStr">
        <is>
          <t>N JB Cold Soldering</t>
        </is>
      </c>
      <c r="V1316" s="3" t="inlineStr">
        <is>
          <t>Soldering</t>
        </is>
      </c>
      <c r="W1316" s="3" t="inlineStr">
        <is>
          <t>Repair</t>
        </is>
      </c>
      <c r="X1316" s="18" t="n">
        <v>46159</v>
      </c>
      <c r="Y1316" s="73">
        <f>IF(X1316="","",X1316-A1316)</f>
        <v/>
      </c>
      <c r="Z1316" s="18" t="n">
        <v>46159</v>
      </c>
      <c r="AA1316" s="15" t="n"/>
      <c r="AB1316" s="15" t="n"/>
      <c r="AF1316">
        <f>IF(AND($F1316="Closed",$X1316&gt;=DATE(2026,5,1),$X1316&lt;=DATE(2026,5,31)),"Closed in May","Other")</f>
        <v/>
      </c>
    </row>
    <row r="1317">
      <c r="A1317" s="6" t="n">
        <v>46107</v>
      </c>
      <c r="B1317" s="3" t="n">
        <v>2026</v>
      </c>
      <c r="C1317" s="3" t="inlineStr">
        <is>
          <t>Blupine Energy</t>
        </is>
      </c>
      <c r="D1317" s="3" t="inlineStr">
        <is>
          <t>Utility and C&amp;I</t>
        </is>
      </c>
      <c r="E1317" s="3" t="n"/>
      <c r="F1317" s="3" t="inlineStr">
        <is>
          <t>Closed</t>
        </is>
      </c>
      <c r="G1317" s="3" t="inlineStr">
        <is>
          <t>Chandrashekar Patidar</t>
        </is>
      </c>
      <c r="H1317" s="3" t="n">
        <v>7879764773</v>
      </c>
      <c r="I1317" s="11" t="inlineStr">
        <is>
          <t>PE26032601</t>
        </is>
      </c>
      <c r="J1317" s="3" t="inlineStr">
        <is>
          <t>Module Diode Failure</t>
        </is>
      </c>
      <c r="K1317" s="3" t="inlineStr">
        <is>
          <t>Sadla</t>
        </is>
      </c>
      <c r="L1317" s="3" t="inlineStr">
        <is>
          <t>Gujarat</t>
        </is>
      </c>
      <c r="M1317" s="9" t="inlineStr">
        <is>
          <t>NS</t>
        </is>
      </c>
      <c r="N1317" s="3" t="inlineStr">
        <is>
          <t>Cold Soldering</t>
        </is>
      </c>
      <c r="O1317" s="3" t="n">
        <v>570</v>
      </c>
      <c r="P1317" s="9" t="inlineStr">
        <is>
          <t>NSMI24050065832</t>
        </is>
      </c>
      <c r="Q1317" s="53">
        <f>MID(P1317,5,2)</f>
        <v/>
      </c>
      <c r="R1317" s="53">
        <f>MID(P1317,7,2)</f>
        <v/>
      </c>
      <c r="S1317" s="3" t="inlineStr">
        <is>
          <t>G2G</t>
        </is>
      </c>
      <c r="T1317" s="3" t="inlineStr">
        <is>
          <t>P4</t>
        </is>
      </c>
      <c r="U1317" s="3" t="inlineStr">
        <is>
          <t>N JB Cold Soldering</t>
        </is>
      </c>
      <c r="V1317" s="3" t="inlineStr">
        <is>
          <t>Soldering</t>
        </is>
      </c>
      <c r="W1317" s="3" t="inlineStr">
        <is>
          <t>Repair</t>
        </is>
      </c>
      <c r="X1317" s="18" t="n">
        <v>46159</v>
      </c>
      <c r="Y1317" s="73">
        <f>IF(X1317="","",X1317-A1317)</f>
        <v/>
      </c>
      <c r="Z1317" s="18" t="n">
        <v>46159</v>
      </c>
      <c r="AA1317" s="15" t="n"/>
      <c r="AB1317" s="15" t="n"/>
      <c r="AF1317">
        <f>IF(AND($F1317="Closed",$X1317&gt;=DATE(2026,5,1),$X1317&lt;=DATE(2026,5,31)),"Closed in May","Other")</f>
        <v/>
      </c>
    </row>
    <row r="1318">
      <c r="A1318" s="6" t="n">
        <v>46107</v>
      </c>
      <c r="B1318" s="3" t="n">
        <v>2026</v>
      </c>
      <c r="C1318" s="3" t="inlineStr">
        <is>
          <t>Blupine Energy</t>
        </is>
      </c>
      <c r="D1318" s="3" t="inlineStr">
        <is>
          <t>Utility and C&amp;I</t>
        </is>
      </c>
      <c r="E1318" s="3" t="n"/>
      <c r="F1318" s="3" t="inlineStr">
        <is>
          <t>Closed</t>
        </is>
      </c>
      <c r="G1318" s="3" t="inlineStr">
        <is>
          <t>Chandrashekar Patidar</t>
        </is>
      </c>
      <c r="H1318" s="3" t="n">
        <v>7879764773</v>
      </c>
      <c r="I1318" s="11" t="inlineStr">
        <is>
          <t>PE26032601</t>
        </is>
      </c>
      <c r="J1318" s="3" t="inlineStr">
        <is>
          <t>Module Diode Failure</t>
        </is>
      </c>
      <c r="K1318" s="3" t="inlineStr">
        <is>
          <t>Sadla</t>
        </is>
      </c>
      <c r="L1318" s="3" t="inlineStr">
        <is>
          <t>Gujarat</t>
        </is>
      </c>
      <c r="M1318" s="9" t="inlineStr">
        <is>
          <t>PS</t>
        </is>
      </c>
      <c r="N1318" s="3" t="inlineStr">
        <is>
          <t>Cold Soldering</t>
        </is>
      </c>
      <c r="O1318" s="3" t="n">
        <v>570</v>
      </c>
      <c r="P1318" s="9" t="inlineStr">
        <is>
          <t>NSMI24060082671</t>
        </is>
      </c>
      <c r="Q1318" s="53">
        <f>MID(P1318,5,2)</f>
        <v/>
      </c>
      <c r="R1318" s="53">
        <f>MID(P1318,7,2)</f>
        <v/>
      </c>
      <c r="S1318" s="3" t="inlineStr">
        <is>
          <t>G2G</t>
        </is>
      </c>
      <c r="T1318" s="3" t="inlineStr">
        <is>
          <t>P4</t>
        </is>
      </c>
      <c r="U1318" s="3" t="inlineStr">
        <is>
          <t>P JB Cold Soldering</t>
        </is>
      </c>
      <c r="V1318" s="3" t="inlineStr">
        <is>
          <t>Soldering</t>
        </is>
      </c>
      <c r="W1318" s="3" t="inlineStr">
        <is>
          <t>Repair</t>
        </is>
      </c>
      <c r="X1318" s="18" t="n">
        <v>46159</v>
      </c>
      <c r="Y1318" s="73">
        <f>IF(X1318="","",X1318-A1318)</f>
        <v/>
      </c>
      <c r="Z1318" s="18" t="n">
        <v>46159</v>
      </c>
      <c r="AA1318" s="15" t="n"/>
      <c r="AB1318" s="15" t="n"/>
      <c r="AF1318">
        <f>IF(AND($F1318="Closed",$X1318&gt;=DATE(2026,5,1),$X1318&lt;=DATE(2026,5,31)),"Closed in May","Other")</f>
        <v/>
      </c>
    </row>
    <row r="1319">
      <c r="A1319" s="6" t="n">
        <v>46107</v>
      </c>
      <c r="B1319" s="3" t="n">
        <v>2026</v>
      </c>
      <c r="C1319" s="3" t="inlineStr">
        <is>
          <t>Blupine Energy</t>
        </is>
      </c>
      <c r="D1319" s="3" t="inlineStr">
        <is>
          <t>Utility and C&amp;I</t>
        </is>
      </c>
      <c r="E1319" s="3" t="n"/>
      <c r="F1319" s="3" t="inlineStr">
        <is>
          <t>Closed</t>
        </is>
      </c>
      <c r="G1319" s="3" t="inlineStr">
        <is>
          <t>Chandrashekar Patidar</t>
        </is>
      </c>
      <c r="H1319" s="3" t="n">
        <v>7879764773</v>
      </c>
      <c r="I1319" s="11" t="inlineStr">
        <is>
          <t>PE26032601</t>
        </is>
      </c>
      <c r="J1319" s="3" t="inlineStr">
        <is>
          <t>Module Diode Failure</t>
        </is>
      </c>
      <c r="K1319" s="3" t="inlineStr">
        <is>
          <t>Sadla</t>
        </is>
      </c>
      <c r="L1319" s="3" t="inlineStr">
        <is>
          <t>Gujarat</t>
        </is>
      </c>
      <c r="M1319" s="9" t="inlineStr">
        <is>
          <t>NS</t>
        </is>
      </c>
      <c r="N1319" s="3" t="inlineStr">
        <is>
          <t>Cold Soldering</t>
        </is>
      </c>
      <c r="O1319" s="3" t="n">
        <v>570</v>
      </c>
      <c r="P1319" s="9" t="inlineStr">
        <is>
          <t>NSMI24050064856</t>
        </is>
      </c>
      <c r="Q1319" s="53">
        <f>MID(P1319,5,2)</f>
        <v/>
      </c>
      <c r="R1319" s="53">
        <f>MID(P1319,7,2)</f>
        <v/>
      </c>
      <c r="S1319" s="3" t="inlineStr">
        <is>
          <t>G2G</t>
        </is>
      </c>
      <c r="T1319" s="3" t="inlineStr">
        <is>
          <t>P4</t>
        </is>
      </c>
      <c r="U1319" s="3" t="inlineStr">
        <is>
          <t>N JB Cold Soldering</t>
        </is>
      </c>
      <c r="V1319" s="3" t="inlineStr">
        <is>
          <t>Soldering</t>
        </is>
      </c>
      <c r="W1319" s="3" t="inlineStr">
        <is>
          <t>Repair</t>
        </is>
      </c>
      <c r="X1319" s="18" t="n">
        <v>46159</v>
      </c>
      <c r="Y1319" s="73">
        <f>IF(X1319="","",X1319-A1319)</f>
        <v/>
      </c>
      <c r="Z1319" s="18" t="n">
        <v>46159</v>
      </c>
      <c r="AA1319" s="15" t="n"/>
      <c r="AB1319" s="15" t="n"/>
      <c r="AF1319">
        <f>IF(AND($F1319="Closed",$X1319&gt;=DATE(2026,5,1),$X1319&lt;=DATE(2026,5,31)),"Closed in May","Other")</f>
        <v/>
      </c>
    </row>
    <row r="1320">
      <c r="A1320" s="6" t="n">
        <v>46107</v>
      </c>
      <c r="B1320" s="3" t="n">
        <v>2026</v>
      </c>
      <c r="C1320" s="3" t="inlineStr">
        <is>
          <t>Blupine Energy</t>
        </is>
      </c>
      <c r="D1320" s="3" t="inlineStr">
        <is>
          <t>Utility and C&amp;I</t>
        </is>
      </c>
      <c r="E1320" s="3" t="n"/>
      <c r="F1320" s="3" t="inlineStr">
        <is>
          <t>Closed</t>
        </is>
      </c>
      <c r="G1320" s="3" t="inlineStr">
        <is>
          <t>Chandrashekar Patidar</t>
        </is>
      </c>
      <c r="H1320" s="3" t="n">
        <v>7879764773</v>
      </c>
      <c r="I1320" s="11" t="inlineStr">
        <is>
          <t>PE26032601</t>
        </is>
      </c>
      <c r="J1320" s="3" t="inlineStr">
        <is>
          <t>Module Diode Failure</t>
        </is>
      </c>
      <c r="K1320" s="3" t="inlineStr">
        <is>
          <t>Sadla</t>
        </is>
      </c>
      <c r="L1320" s="3" t="inlineStr">
        <is>
          <t>Gujarat</t>
        </is>
      </c>
      <c r="M1320" s="9" t="inlineStr">
        <is>
          <t>NS</t>
        </is>
      </c>
      <c r="N1320" s="3" t="inlineStr">
        <is>
          <t>Cold Soldering</t>
        </is>
      </c>
      <c r="O1320" s="3" t="n">
        <v>570</v>
      </c>
      <c r="P1320" s="9" t="inlineStr">
        <is>
          <t>NSMI24050064481</t>
        </is>
      </c>
      <c r="Q1320" s="53">
        <f>MID(P1320,5,2)</f>
        <v/>
      </c>
      <c r="R1320" s="53">
        <f>MID(P1320,7,2)</f>
        <v/>
      </c>
      <c r="S1320" s="3" t="inlineStr">
        <is>
          <t>G2G</t>
        </is>
      </c>
      <c r="T1320" s="3" t="inlineStr">
        <is>
          <t>P4</t>
        </is>
      </c>
      <c r="U1320" s="3" t="inlineStr">
        <is>
          <t>N JB Cold Soldering</t>
        </is>
      </c>
      <c r="V1320" s="3" t="inlineStr">
        <is>
          <t>Soldering</t>
        </is>
      </c>
      <c r="W1320" s="3" t="inlineStr">
        <is>
          <t>Repair</t>
        </is>
      </c>
      <c r="X1320" s="18" t="n">
        <v>46159</v>
      </c>
      <c r="Y1320" s="73">
        <f>IF(X1320="","",X1320-A1320)</f>
        <v/>
      </c>
      <c r="Z1320" s="18" t="n">
        <v>46159</v>
      </c>
      <c r="AA1320" s="15" t="n"/>
      <c r="AB1320" s="15" t="n"/>
      <c r="AF1320">
        <f>IF(AND($F1320="Closed",$X1320&gt;=DATE(2026,5,1),$X1320&lt;=DATE(2026,5,31)),"Closed in May","Other")</f>
        <v/>
      </c>
    </row>
    <row r="1321">
      <c r="A1321" s="6" t="n">
        <v>46107</v>
      </c>
      <c r="B1321" s="3" t="n">
        <v>2026</v>
      </c>
      <c r="C1321" s="3" t="inlineStr">
        <is>
          <t>Blupine Energy</t>
        </is>
      </c>
      <c r="D1321" s="3" t="inlineStr">
        <is>
          <t>Utility and C&amp;I</t>
        </is>
      </c>
      <c r="E1321" s="3" t="n"/>
      <c r="F1321" s="3" t="inlineStr">
        <is>
          <t>Closed</t>
        </is>
      </c>
      <c r="G1321" s="3" t="inlineStr">
        <is>
          <t>Chandrashekar Patidar</t>
        </is>
      </c>
      <c r="H1321" s="3" t="n">
        <v>7879764773</v>
      </c>
      <c r="I1321" s="11" t="inlineStr">
        <is>
          <t>PE26032601</t>
        </is>
      </c>
      <c r="J1321" s="3" t="inlineStr">
        <is>
          <t>Module Diode Failure</t>
        </is>
      </c>
      <c r="K1321" s="3" t="inlineStr">
        <is>
          <t>Sadla</t>
        </is>
      </c>
      <c r="L1321" s="3" t="inlineStr">
        <is>
          <t>Gujarat</t>
        </is>
      </c>
      <c r="M1321" s="9" t="inlineStr">
        <is>
          <t>NR</t>
        </is>
      </c>
      <c r="N1321" s="3" t="inlineStr">
        <is>
          <t>JB Issue</t>
        </is>
      </c>
      <c r="O1321" s="3" t="n">
        <v>570</v>
      </c>
      <c r="P1321" s="9" t="inlineStr">
        <is>
          <t>NSMI24050065214</t>
        </is>
      </c>
      <c r="Q1321" s="53">
        <f>MID(P1321,5,2)</f>
        <v/>
      </c>
      <c r="R1321" s="53">
        <f>MID(P1321,7,2)</f>
        <v/>
      </c>
      <c r="S1321" s="3" t="inlineStr">
        <is>
          <t>G2G</t>
        </is>
      </c>
      <c r="T1321" s="3" t="inlineStr">
        <is>
          <t>P4</t>
        </is>
      </c>
      <c r="U1321" s="3" t="inlineStr">
        <is>
          <t>N JB Issue</t>
        </is>
      </c>
      <c r="V1321" s="3" t="inlineStr">
        <is>
          <t>JB Changed</t>
        </is>
      </c>
      <c r="W1321" s="3" t="inlineStr">
        <is>
          <t>Repair</t>
        </is>
      </c>
      <c r="X1321" s="18" t="n">
        <v>46159</v>
      </c>
      <c r="Y1321" s="73">
        <f>IF(X1321="","",X1321-A1321)</f>
        <v/>
      </c>
      <c r="Z1321" s="18" t="n">
        <v>46159</v>
      </c>
      <c r="AA1321" s="15" t="n"/>
      <c r="AB1321" s="15" t="n"/>
      <c r="AF1321">
        <f>IF(AND($F1321="Closed",$X1321&gt;=DATE(2026,5,1),$X1321&lt;=DATE(2026,5,31)),"Closed in May","Other")</f>
        <v/>
      </c>
    </row>
    <row r="1322">
      <c r="A1322" s="6" t="n">
        <v>46107</v>
      </c>
      <c r="B1322" s="3" t="n">
        <v>2026</v>
      </c>
      <c r="C1322" s="3" t="inlineStr">
        <is>
          <t>Blupine Energy</t>
        </is>
      </c>
      <c r="D1322" s="3" t="inlineStr">
        <is>
          <t>Utility and C&amp;I</t>
        </is>
      </c>
      <c r="E1322" s="3" t="n"/>
      <c r="F1322" s="3" t="inlineStr">
        <is>
          <t>Closed</t>
        </is>
      </c>
      <c r="G1322" s="3" t="inlineStr">
        <is>
          <t>Chandrashekar Patidar</t>
        </is>
      </c>
      <c r="H1322" s="3" t="n">
        <v>7879764773</v>
      </c>
      <c r="I1322" s="11" t="inlineStr">
        <is>
          <t>PE26032601</t>
        </is>
      </c>
      <c r="J1322" s="3" t="inlineStr">
        <is>
          <t>Module Diode Failure</t>
        </is>
      </c>
      <c r="K1322" s="3" t="inlineStr">
        <is>
          <t>Sadla</t>
        </is>
      </c>
      <c r="L1322" s="3" t="inlineStr">
        <is>
          <t>Gujarat</t>
        </is>
      </c>
      <c r="M1322" s="9" t="inlineStr">
        <is>
          <t>NS</t>
        </is>
      </c>
      <c r="N1322" s="3" t="inlineStr">
        <is>
          <t>Cold Soldering</t>
        </is>
      </c>
      <c r="O1322" s="3" t="n">
        <v>570</v>
      </c>
      <c r="P1322" s="9" t="inlineStr">
        <is>
          <t>NSMI24050064423</t>
        </is>
      </c>
      <c r="Q1322" s="53">
        <f>MID(P1322,5,2)</f>
        <v/>
      </c>
      <c r="R1322" s="53">
        <f>MID(P1322,7,2)</f>
        <v/>
      </c>
      <c r="S1322" s="3" t="inlineStr">
        <is>
          <t>G2G</t>
        </is>
      </c>
      <c r="T1322" s="3" t="inlineStr">
        <is>
          <t>P4</t>
        </is>
      </c>
      <c r="U1322" s="3" t="inlineStr">
        <is>
          <t>N JB Cold Soldering</t>
        </is>
      </c>
      <c r="V1322" s="3" t="inlineStr">
        <is>
          <t>Soldering</t>
        </is>
      </c>
      <c r="W1322" s="3" t="inlineStr">
        <is>
          <t>Repair</t>
        </is>
      </c>
      <c r="X1322" s="18" t="n">
        <v>46159</v>
      </c>
      <c r="Y1322" s="73">
        <f>IF(X1322="","",X1322-A1322)</f>
        <v/>
      </c>
      <c r="Z1322" s="18" t="n">
        <v>46159</v>
      </c>
      <c r="AA1322" s="15" t="n"/>
      <c r="AB1322" s="15" t="n"/>
      <c r="AF1322">
        <f>IF(AND($F1322="Closed",$X1322&gt;=DATE(2026,5,1),$X1322&lt;=DATE(2026,5,31)),"Closed in May","Other")</f>
        <v/>
      </c>
    </row>
    <row r="1323">
      <c r="A1323" s="6" t="n">
        <v>46107</v>
      </c>
      <c r="B1323" s="3" t="n">
        <v>2026</v>
      </c>
      <c r="C1323" s="3" t="inlineStr">
        <is>
          <t>Blupine Energy</t>
        </is>
      </c>
      <c r="D1323" s="3" t="inlineStr">
        <is>
          <t>Utility and C&amp;I</t>
        </is>
      </c>
      <c r="E1323" s="3" t="n"/>
      <c r="F1323" s="3" t="inlineStr">
        <is>
          <t>Closed</t>
        </is>
      </c>
      <c r="G1323" s="3" t="inlineStr">
        <is>
          <t>Chandrashekar Patidar</t>
        </is>
      </c>
      <c r="H1323" s="3" t="n">
        <v>7879764773</v>
      </c>
      <c r="I1323" s="11" t="inlineStr">
        <is>
          <t>PE26032601</t>
        </is>
      </c>
      <c r="J1323" s="3" t="inlineStr">
        <is>
          <t>Module Diode Failure</t>
        </is>
      </c>
      <c r="K1323" s="3" t="inlineStr">
        <is>
          <t>Sadla</t>
        </is>
      </c>
      <c r="L1323" s="3" t="inlineStr">
        <is>
          <t>Gujarat</t>
        </is>
      </c>
      <c r="M1323" s="9" t="inlineStr">
        <is>
          <t>PS</t>
        </is>
      </c>
      <c r="N1323" s="3" t="inlineStr">
        <is>
          <t>Cold Soldering</t>
        </is>
      </c>
      <c r="O1323" s="3" t="n">
        <v>570</v>
      </c>
      <c r="P1323" s="9" t="inlineStr">
        <is>
          <t>NSMI24050064266</t>
        </is>
      </c>
      <c r="Q1323" s="53">
        <f>MID(P1323,5,2)</f>
        <v/>
      </c>
      <c r="R1323" s="53">
        <f>MID(P1323,7,2)</f>
        <v/>
      </c>
      <c r="S1323" s="3" t="inlineStr">
        <is>
          <t>G2G</t>
        </is>
      </c>
      <c r="T1323" s="3" t="inlineStr">
        <is>
          <t>P4</t>
        </is>
      </c>
      <c r="U1323" s="3" t="inlineStr">
        <is>
          <t>P JB Cold Soldering</t>
        </is>
      </c>
      <c r="V1323" s="3" t="inlineStr">
        <is>
          <t>Soldering</t>
        </is>
      </c>
      <c r="W1323" s="3" t="inlineStr">
        <is>
          <t>Repair</t>
        </is>
      </c>
      <c r="X1323" s="18" t="n">
        <v>46159</v>
      </c>
      <c r="Y1323" s="73">
        <f>IF(X1323="","",X1323-A1323)</f>
        <v/>
      </c>
      <c r="Z1323" s="18" t="n">
        <v>46159</v>
      </c>
      <c r="AA1323" s="15" t="n"/>
      <c r="AB1323" s="15" t="n"/>
      <c r="AF1323">
        <f>IF(AND($F1323="Closed",$X1323&gt;=DATE(2026,5,1),$X1323&lt;=DATE(2026,5,31)),"Closed in May","Other")</f>
        <v/>
      </c>
    </row>
    <row r="1324">
      <c r="A1324" s="37" t="n">
        <v>46143</v>
      </c>
      <c r="B1324" s="3" t="n">
        <v>2026</v>
      </c>
      <c r="C1324" s="26" t="inlineStr">
        <is>
          <t>Yanara Power</t>
        </is>
      </c>
      <c r="D1324" s="3" t="inlineStr">
        <is>
          <t>Utility and C&amp;I</t>
        </is>
      </c>
      <c r="E1324" s="3" t="n"/>
      <c r="F1324" s="3" t="inlineStr">
        <is>
          <t>Closed</t>
        </is>
      </c>
      <c r="G1324" s="9" t="inlineStr">
        <is>
          <t xml:space="preserve">Ashish Jindal </t>
        </is>
      </c>
      <c r="H1324" s="26" t="n">
        <v>9983975581</v>
      </c>
      <c r="I1324" s="38" t="inlineStr">
        <is>
          <t>PE01052601</t>
        </is>
      </c>
      <c r="J1324" s="26" t="inlineStr">
        <is>
          <t>Multiple Issues</t>
        </is>
      </c>
      <c r="K1324" s="39" t="inlineStr">
        <is>
          <t>Holi</t>
        </is>
      </c>
      <c r="L1324" s="39" t="inlineStr">
        <is>
          <t>Maharashtra</t>
        </is>
      </c>
      <c r="M1324" s="9" t="inlineStr">
        <is>
          <t>PS</t>
        </is>
      </c>
      <c r="N1324" s="3" t="inlineStr">
        <is>
          <t>Cold Soldering</t>
        </is>
      </c>
      <c r="O1324" s="39" t="n">
        <v>575</v>
      </c>
      <c r="P1324" s="9" t="inlineStr">
        <is>
          <t>NSMI24070198637</t>
        </is>
      </c>
      <c r="Q1324" s="53">
        <f>MID(P1324,5,2)</f>
        <v/>
      </c>
      <c r="R1324" s="53">
        <f>MID(P1324,7,2)</f>
        <v/>
      </c>
      <c r="S1324" s="3" t="inlineStr">
        <is>
          <t>G2G</t>
        </is>
      </c>
      <c r="T1324" s="3" t="inlineStr">
        <is>
          <t>P4</t>
        </is>
      </c>
      <c r="U1324" s="19" t="inlineStr">
        <is>
          <t>P JB Cold Soldering</t>
        </is>
      </c>
      <c r="V1324" s="19" t="inlineStr">
        <is>
          <t>Soldering</t>
        </is>
      </c>
      <c r="W1324" s="3" t="inlineStr">
        <is>
          <t>Repair</t>
        </is>
      </c>
      <c r="X1324" s="18" t="n">
        <v>46158</v>
      </c>
      <c r="Y1324" s="73">
        <f>IF(X1324="","",X1324-A1324)</f>
        <v/>
      </c>
      <c r="Z1324" s="18" t="n">
        <v>46158</v>
      </c>
      <c r="AA1324" s="15" t="n"/>
      <c r="AB1324" s="15" t="n"/>
      <c r="AF1324">
        <f>IF(AND($F1324="Closed",$X1324&gt;=DATE(2026,5,1),$X1324&lt;=DATE(2026,5,31)),"Closed in May","Other")</f>
        <v/>
      </c>
    </row>
    <row r="1325">
      <c r="A1325" s="37" t="n">
        <v>46143</v>
      </c>
      <c r="B1325" s="3" t="n">
        <v>2026</v>
      </c>
      <c r="C1325" s="26" t="inlineStr">
        <is>
          <t>Yanara Power</t>
        </is>
      </c>
      <c r="D1325" s="3" t="inlineStr">
        <is>
          <t>Utility and C&amp;I</t>
        </is>
      </c>
      <c r="E1325" s="3" t="n"/>
      <c r="F1325" s="3" t="inlineStr">
        <is>
          <t>Closed</t>
        </is>
      </c>
      <c r="G1325" s="9" t="inlineStr">
        <is>
          <t xml:space="preserve">Ashish Jindal </t>
        </is>
      </c>
      <c r="H1325" s="26" t="n">
        <v>9983975581</v>
      </c>
      <c r="I1325" s="38" t="inlineStr">
        <is>
          <t>PE01052601</t>
        </is>
      </c>
      <c r="J1325" s="26" t="inlineStr">
        <is>
          <t>Multiple Issues</t>
        </is>
      </c>
      <c r="K1325" s="39" t="inlineStr">
        <is>
          <t>Holi</t>
        </is>
      </c>
      <c r="L1325" s="39" t="inlineStr">
        <is>
          <t>Maharashtra</t>
        </is>
      </c>
      <c r="M1325" s="9" t="inlineStr">
        <is>
          <t>PS</t>
        </is>
      </c>
      <c r="N1325" s="3" t="inlineStr">
        <is>
          <t>Cold Soldering</t>
        </is>
      </c>
      <c r="O1325" s="39" t="n">
        <v>575</v>
      </c>
      <c r="P1325" s="9" t="inlineStr">
        <is>
          <t>NSMI24070199647</t>
        </is>
      </c>
      <c r="Q1325" s="53">
        <f>MID(P1325,5,2)</f>
        <v/>
      </c>
      <c r="R1325" s="53">
        <f>MID(P1325,7,2)</f>
        <v/>
      </c>
      <c r="S1325" s="3" t="inlineStr">
        <is>
          <t>G2G</t>
        </is>
      </c>
      <c r="T1325" s="3" t="inlineStr">
        <is>
          <t>P4</t>
        </is>
      </c>
      <c r="U1325" s="19" t="inlineStr">
        <is>
          <t>P JB Cold Soldering</t>
        </is>
      </c>
      <c r="V1325" s="19" t="inlineStr">
        <is>
          <t>Soldering</t>
        </is>
      </c>
      <c r="W1325" s="3" t="inlineStr">
        <is>
          <t>Repair</t>
        </is>
      </c>
      <c r="X1325" s="18" t="n">
        <v>46158</v>
      </c>
      <c r="Y1325" s="73">
        <f>IF(X1325="","",X1325-A1325)</f>
        <v/>
      </c>
      <c r="Z1325" s="18" t="n">
        <v>46158</v>
      </c>
      <c r="AA1325" s="15" t="n"/>
      <c r="AB1325" s="15" t="n"/>
      <c r="AF1325">
        <f>IF(AND($F1325="Closed",$X1325&gt;=DATE(2026,5,1),$X1325&lt;=DATE(2026,5,31)),"Closed in May","Other")</f>
        <v/>
      </c>
    </row>
    <row r="1326">
      <c r="A1326" s="37" t="n">
        <v>46143</v>
      </c>
      <c r="B1326" s="3" t="n">
        <v>2026</v>
      </c>
      <c r="C1326" s="26" t="inlineStr">
        <is>
          <t>Yanara Power</t>
        </is>
      </c>
      <c r="D1326" s="3" t="inlineStr">
        <is>
          <t>Utility and C&amp;I</t>
        </is>
      </c>
      <c r="E1326" s="3" t="n"/>
      <c r="F1326" s="3" t="inlineStr">
        <is>
          <t>Closed</t>
        </is>
      </c>
      <c r="G1326" s="9" t="inlineStr">
        <is>
          <t xml:space="preserve">Ashish Jindal </t>
        </is>
      </c>
      <c r="H1326" s="26" t="n">
        <v>9983975581</v>
      </c>
      <c r="I1326" s="38" t="inlineStr">
        <is>
          <t>PE01052601</t>
        </is>
      </c>
      <c r="J1326" s="26" t="inlineStr">
        <is>
          <t>Multiple Issues</t>
        </is>
      </c>
      <c r="K1326" s="39" t="inlineStr">
        <is>
          <t>Holi</t>
        </is>
      </c>
      <c r="L1326" s="39" t="inlineStr">
        <is>
          <t>Maharashtra</t>
        </is>
      </c>
      <c r="M1326" s="9" t="inlineStr">
        <is>
          <t>PS</t>
        </is>
      </c>
      <c r="N1326" s="3" t="inlineStr">
        <is>
          <t>Cold Soldering</t>
        </is>
      </c>
      <c r="O1326" s="39" t="n">
        <v>575</v>
      </c>
      <c r="P1326" s="9" t="inlineStr">
        <is>
          <t>NSMI24070215300</t>
        </is>
      </c>
      <c r="Q1326" s="53">
        <f>MID(P1326,5,2)</f>
        <v/>
      </c>
      <c r="R1326" s="53">
        <f>MID(P1326,7,2)</f>
        <v/>
      </c>
      <c r="S1326" s="3" t="inlineStr">
        <is>
          <t>G2G</t>
        </is>
      </c>
      <c r="T1326" s="3" t="inlineStr">
        <is>
          <t>P4</t>
        </is>
      </c>
      <c r="U1326" s="19" t="inlineStr">
        <is>
          <t>P JB Cold Soldering</t>
        </is>
      </c>
      <c r="V1326" s="19" t="inlineStr">
        <is>
          <t>Soldering</t>
        </is>
      </c>
      <c r="W1326" s="3" t="inlineStr">
        <is>
          <t>Repair</t>
        </is>
      </c>
      <c r="X1326" s="18" t="n">
        <v>46158</v>
      </c>
      <c r="Y1326" s="73">
        <f>IF(X1326="","",X1326-A1326)</f>
        <v/>
      </c>
      <c r="Z1326" s="18" t="n">
        <v>46158</v>
      </c>
      <c r="AA1326" s="15" t="n"/>
      <c r="AB1326" s="15" t="n"/>
      <c r="AF1326">
        <f>IF(AND($F1326="Closed",$X1326&gt;=DATE(2026,5,1),$X1326&lt;=DATE(2026,5,31)),"Closed in May","Other")</f>
        <v/>
      </c>
    </row>
    <row r="1327">
      <c r="A1327" s="37" t="n">
        <v>46143</v>
      </c>
      <c r="B1327" s="3" t="n">
        <v>2026</v>
      </c>
      <c r="C1327" s="26" t="inlineStr">
        <is>
          <t>Yanara Power</t>
        </is>
      </c>
      <c r="D1327" s="3" t="inlineStr">
        <is>
          <t>Utility and C&amp;I</t>
        </is>
      </c>
      <c r="E1327" s="3" t="n"/>
      <c r="F1327" s="3" t="inlineStr">
        <is>
          <t>Closed</t>
        </is>
      </c>
      <c r="G1327" s="9" t="inlineStr">
        <is>
          <t xml:space="preserve">Ashish Jindal </t>
        </is>
      </c>
      <c r="H1327" s="26" t="n">
        <v>9983975581</v>
      </c>
      <c r="I1327" s="38" t="inlineStr">
        <is>
          <t>PE01052601</t>
        </is>
      </c>
      <c r="J1327" s="26" t="inlineStr">
        <is>
          <t>Multiple Issues</t>
        </is>
      </c>
      <c r="K1327" s="39" t="inlineStr">
        <is>
          <t>Holi</t>
        </is>
      </c>
      <c r="L1327" s="39" t="inlineStr">
        <is>
          <t>Maharashtra</t>
        </is>
      </c>
      <c r="M1327" s="9" t="inlineStr">
        <is>
          <t>NS</t>
        </is>
      </c>
      <c r="N1327" s="3" t="inlineStr">
        <is>
          <t>Cold Soldering</t>
        </is>
      </c>
      <c r="O1327" s="39" t="n">
        <v>575</v>
      </c>
      <c r="P1327" s="9" t="inlineStr">
        <is>
          <t>NSMI24070181207</t>
        </is>
      </c>
      <c r="Q1327" s="53">
        <f>MID(P1327,5,2)</f>
        <v/>
      </c>
      <c r="R1327" s="53">
        <f>MID(P1327,7,2)</f>
        <v/>
      </c>
      <c r="S1327" s="3" t="inlineStr">
        <is>
          <t>G2G</t>
        </is>
      </c>
      <c r="T1327" s="3" t="inlineStr">
        <is>
          <t>P4</t>
        </is>
      </c>
      <c r="U1327" s="3" t="inlineStr">
        <is>
          <t>N JB Cold Soldering</t>
        </is>
      </c>
      <c r="V1327" s="3" t="inlineStr">
        <is>
          <t>Soldering</t>
        </is>
      </c>
      <c r="W1327" s="3" t="inlineStr">
        <is>
          <t>Repair</t>
        </is>
      </c>
      <c r="X1327" s="18" t="n">
        <v>46158</v>
      </c>
      <c r="Y1327" s="73">
        <f>IF(X1327="","",X1327-A1327)</f>
        <v/>
      </c>
      <c r="Z1327" s="18" t="n">
        <v>46158</v>
      </c>
      <c r="AA1327" s="15" t="n"/>
      <c r="AB1327" s="15" t="n"/>
      <c r="AF1327">
        <f>IF(AND($F1327="Closed",$X1327&gt;=DATE(2026,5,1),$X1327&lt;=DATE(2026,5,31)),"Closed in May","Other")</f>
        <v/>
      </c>
    </row>
    <row r="1328">
      <c r="A1328" s="37" t="n">
        <v>46143</v>
      </c>
      <c r="B1328" s="3" t="n">
        <v>2026</v>
      </c>
      <c r="C1328" s="26" t="inlineStr">
        <is>
          <t>Yanara Power</t>
        </is>
      </c>
      <c r="D1328" s="3" t="inlineStr">
        <is>
          <t>Utility and C&amp;I</t>
        </is>
      </c>
      <c r="E1328" s="3" t="n"/>
      <c r="F1328" s="3" t="inlineStr">
        <is>
          <t>Closed</t>
        </is>
      </c>
      <c r="G1328" s="9" t="inlineStr">
        <is>
          <t xml:space="preserve">Ashish Jindal </t>
        </is>
      </c>
      <c r="H1328" s="26" t="n">
        <v>9983975581</v>
      </c>
      <c r="I1328" s="38" t="inlineStr">
        <is>
          <t>PE01052601</t>
        </is>
      </c>
      <c r="J1328" s="26" t="inlineStr">
        <is>
          <t>Multiple Issues</t>
        </is>
      </c>
      <c r="K1328" s="39" t="inlineStr">
        <is>
          <t>Holi</t>
        </is>
      </c>
      <c r="L1328" s="39" t="inlineStr">
        <is>
          <t>Maharashtra</t>
        </is>
      </c>
      <c r="M1328" s="9" t="inlineStr">
        <is>
          <t>PS</t>
        </is>
      </c>
      <c r="N1328" s="3" t="inlineStr">
        <is>
          <t>Cold Soldering</t>
        </is>
      </c>
      <c r="O1328" s="39" t="n">
        <v>575</v>
      </c>
      <c r="P1328" s="9" t="inlineStr">
        <is>
          <t>NSMI24070181248</t>
        </is>
      </c>
      <c r="Q1328" s="53">
        <f>MID(P1328,5,2)</f>
        <v/>
      </c>
      <c r="R1328" s="53">
        <f>MID(P1328,7,2)</f>
        <v/>
      </c>
      <c r="S1328" s="3" t="inlineStr">
        <is>
          <t>G2G</t>
        </is>
      </c>
      <c r="T1328" s="3" t="inlineStr">
        <is>
          <t>P4</t>
        </is>
      </c>
      <c r="U1328" s="19" t="inlineStr">
        <is>
          <t>P JB Cold Soldering</t>
        </is>
      </c>
      <c r="V1328" s="19" t="inlineStr">
        <is>
          <t>Soldering</t>
        </is>
      </c>
      <c r="W1328" s="3" t="inlineStr">
        <is>
          <t>Repair</t>
        </is>
      </c>
      <c r="X1328" s="18" t="n">
        <v>46158</v>
      </c>
      <c r="Y1328" s="73">
        <f>IF(X1328="","",X1328-A1328)</f>
        <v/>
      </c>
      <c r="Z1328" s="18" t="n">
        <v>46158</v>
      </c>
      <c r="AA1328" s="15" t="n"/>
      <c r="AB1328" s="15" t="n"/>
      <c r="AF1328">
        <f>IF(AND($F1328="Closed",$X1328&gt;=DATE(2026,5,1),$X1328&lt;=DATE(2026,5,31)),"Closed in May","Other")</f>
        <v/>
      </c>
    </row>
    <row r="1329">
      <c r="A1329" s="37" t="n">
        <v>46143</v>
      </c>
      <c r="B1329" s="3" t="n">
        <v>2026</v>
      </c>
      <c r="C1329" s="26" t="inlineStr">
        <is>
          <t>Yanara Power</t>
        </is>
      </c>
      <c r="D1329" s="3" t="inlineStr">
        <is>
          <t>Utility and C&amp;I</t>
        </is>
      </c>
      <c r="E1329" s="3" t="n"/>
      <c r="F1329" s="3" t="inlineStr">
        <is>
          <t>Closed</t>
        </is>
      </c>
      <c r="G1329" s="9" t="inlineStr">
        <is>
          <t xml:space="preserve">Ashish Jindal </t>
        </is>
      </c>
      <c r="H1329" s="26" t="n">
        <v>9983975581</v>
      </c>
      <c r="I1329" s="38" t="inlineStr">
        <is>
          <t>PE01052601</t>
        </is>
      </c>
      <c r="J1329" s="26" t="inlineStr">
        <is>
          <t>Multiple Issues</t>
        </is>
      </c>
      <c r="K1329" s="39" t="inlineStr">
        <is>
          <t>Holi</t>
        </is>
      </c>
      <c r="L1329" s="39" t="inlineStr">
        <is>
          <t>Maharashtra</t>
        </is>
      </c>
      <c r="M1329" s="9" t="inlineStr">
        <is>
          <t>PS</t>
        </is>
      </c>
      <c r="N1329" s="3" t="inlineStr">
        <is>
          <t>Cold Soldering</t>
        </is>
      </c>
      <c r="O1329" s="39" t="n">
        <v>575</v>
      </c>
      <c r="P1329" s="9" t="inlineStr">
        <is>
          <t>NSMI24070181120</t>
        </is>
      </c>
      <c r="Q1329" s="53">
        <f>MID(P1329,5,2)</f>
        <v/>
      </c>
      <c r="R1329" s="53">
        <f>MID(P1329,7,2)</f>
        <v/>
      </c>
      <c r="S1329" s="3" t="inlineStr">
        <is>
          <t>G2G</t>
        </is>
      </c>
      <c r="T1329" s="3" t="inlineStr">
        <is>
          <t>P4</t>
        </is>
      </c>
      <c r="U1329" s="19" t="inlineStr">
        <is>
          <t>P JB Cold Soldering</t>
        </is>
      </c>
      <c r="V1329" s="19" t="inlineStr">
        <is>
          <t>Soldering</t>
        </is>
      </c>
      <c r="W1329" s="3" t="inlineStr">
        <is>
          <t>Repair</t>
        </is>
      </c>
      <c r="X1329" s="18" t="n">
        <v>46158</v>
      </c>
      <c r="Y1329" s="73">
        <f>IF(X1329="","",X1329-A1329)</f>
        <v/>
      </c>
      <c r="Z1329" s="18" t="n">
        <v>46158</v>
      </c>
      <c r="AA1329" s="15" t="n"/>
      <c r="AB1329" s="15" t="n"/>
      <c r="AF1329">
        <f>IF(AND($F1329="Closed",$X1329&gt;=DATE(2026,5,1),$X1329&lt;=DATE(2026,5,31)),"Closed in May","Other")</f>
        <v/>
      </c>
    </row>
    <row r="1330">
      <c r="A1330" s="37" t="n">
        <v>46143</v>
      </c>
      <c r="B1330" s="3" t="n">
        <v>2026</v>
      </c>
      <c r="C1330" s="26" t="inlineStr">
        <is>
          <t>Yanara Power</t>
        </is>
      </c>
      <c r="D1330" s="3" t="inlineStr">
        <is>
          <t>Utility and C&amp;I</t>
        </is>
      </c>
      <c r="E1330" s="3" t="n"/>
      <c r="F1330" s="3" t="inlineStr">
        <is>
          <t>Closed</t>
        </is>
      </c>
      <c r="G1330" s="9" t="inlineStr">
        <is>
          <t xml:space="preserve">Ashish Jindal </t>
        </is>
      </c>
      <c r="H1330" s="26" t="n">
        <v>9983975581</v>
      </c>
      <c r="I1330" s="38" t="inlineStr">
        <is>
          <t>PE01052601</t>
        </is>
      </c>
      <c r="J1330" s="26" t="inlineStr">
        <is>
          <t>Multiple Issues</t>
        </is>
      </c>
      <c r="K1330" s="39" t="inlineStr">
        <is>
          <t>Holi</t>
        </is>
      </c>
      <c r="L1330" s="39" t="inlineStr">
        <is>
          <t>Maharashtra</t>
        </is>
      </c>
      <c r="M1330" s="9" t="inlineStr">
        <is>
          <t>PS</t>
        </is>
      </c>
      <c r="N1330" s="3" t="inlineStr">
        <is>
          <t>Cold Soldering</t>
        </is>
      </c>
      <c r="O1330" s="39" t="n">
        <v>575</v>
      </c>
      <c r="P1330" s="9" t="inlineStr">
        <is>
          <t>NSMI24070181179</t>
        </is>
      </c>
      <c r="Q1330" s="53">
        <f>MID(P1330,5,2)</f>
        <v/>
      </c>
      <c r="R1330" s="53">
        <f>MID(P1330,7,2)</f>
        <v/>
      </c>
      <c r="S1330" s="3" t="inlineStr">
        <is>
          <t>G2G</t>
        </is>
      </c>
      <c r="T1330" s="3" t="inlineStr">
        <is>
          <t>P4</t>
        </is>
      </c>
      <c r="U1330" s="19" t="inlineStr">
        <is>
          <t>P JB Cold Soldering</t>
        </is>
      </c>
      <c r="V1330" s="19" t="inlineStr">
        <is>
          <t>Soldering</t>
        </is>
      </c>
      <c r="W1330" s="3" t="inlineStr">
        <is>
          <t>Repair</t>
        </is>
      </c>
      <c r="X1330" s="18" t="n">
        <v>46158</v>
      </c>
      <c r="Y1330" s="73">
        <f>IF(X1330="","",X1330-A1330)</f>
        <v/>
      </c>
      <c r="Z1330" s="18" t="n">
        <v>46158</v>
      </c>
      <c r="AA1330" s="15" t="n"/>
      <c r="AB1330" s="15" t="n"/>
      <c r="AF1330">
        <f>IF(AND($F1330="Closed",$X1330&gt;=DATE(2026,5,1),$X1330&lt;=DATE(2026,5,31)),"Closed in May","Other")</f>
        <v/>
      </c>
    </row>
    <row r="1331">
      <c r="A1331" s="37" t="n">
        <v>46143</v>
      </c>
      <c r="B1331" s="3" t="n">
        <v>2026</v>
      </c>
      <c r="C1331" s="26" t="inlineStr">
        <is>
          <t>Yanara Power</t>
        </is>
      </c>
      <c r="D1331" s="3" t="inlineStr">
        <is>
          <t>Utility and C&amp;I</t>
        </is>
      </c>
      <c r="E1331" s="3" t="n"/>
      <c r="F1331" s="3" t="inlineStr">
        <is>
          <t>Closed</t>
        </is>
      </c>
      <c r="G1331" s="9" t="inlineStr">
        <is>
          <t xml:space="preserve">Ashish Jindal </t>
        </is>
      </c>
      <c r="H1331" s="26" t="n">
        <v>9983975581</v>
      </c>
      <c r="I1331" s="38" t="inlineStr">
        <is>
          <t>PE01052601</t>
        </is>
      </c>
      <c r="J1331" s="26" t="inlineStr">
        <is>
          <t>Multiple Issues</t>
        </is>
      </c>
      <c r="K1331" s="39" t="inlineStr">
        <is>
          <t>Holi</t>
        </is>
      </c>
      <c r="L1331" s="39" t="inlineStr">
        <is>
          <t>Maharashtra</t>
        </is>
      </c>
      <c r="M1331" s="9" t="inlineStr">
        <is>
          <t>NS</t>
        </is>
      </c>
      <c r="N1331" s="3" t="inlineStr">
        <is>
          <t>Cold Soldering</t>
        </is>
      </c>
      <c r="O1331" s="39" t="n">
        <v>575</v>
      </c>
      <c r="P1331" s="9" t="inlineStr">
        <is>
          <t>NSMI24070178940</t>
        </is>
      </c>
      <c r="Q1331" s="53">
        <f>MID(P1331,5,2)</f>
        <v/>
      </c>
      <c r="R1331" s="53">
        <f>MID(P1331,7,2)</f>
        <v/>
      </c>
      <c r="S1331" s="3" t="inlineStr">
        <is>
          <t>G2G</t>
        </is>
      </c>
      <c r="T1331" s="3" t="inlineStr">
        <is>
          <t>P4</t>
        </is>
      </c>
      <c r="U1331" s="3" t="inlineStr">
        <is>
          <t>N JB Cold Soldering</t>
        </is>
      </c>
      <c r="V1331" s="3" t="inlineStr">
        <is>
          <t>Soldering</t>
        </is>
      </c>
      <c r="W1331" s="3" t="inlineStr">
        <is>
          <t>Repair</t>
        </is>
      </c>
      <c r="X1331" s="18" t="n">
        <v>46158</v>
      </c>
      <c r="Y1331" s="73">
        <f>IF(X1331="","",X1331-A1331)</f>
        <v/>
      </c>
      <c r="Z1331" s="18" t="n">
        <v>46158</v>
      </c>
      <c r="AA1331" s="15" t="n"/>
      <c r="AB1331" s="15" t="n"/>
      <c r="AF1331">
        <f>IF(AND($F1331="Closed",$X1331&gt;=DATE(2026,5,1),$X1331&lt;=DATE(2026,5,31)),"Closed in May","Other")</f>
        <v/>
      </c>
    </row>
    <row r="1332">
      <c r="A1332" s="37" t="n">
        <v>46143</v>
      </c>
      <c r="B1332" s="3" t="n">
        <v>2026</v>
      </c>
      <c r="C1332" s="26" t="inlineStr">
        <is>
          <t>Yanara Power</t>
        </is>
      </c>
      <c r="D1332" s="3" t="inlineStr">
        <is>
          <t>Utility and C&amp;I</t>
        </is>
      </c>
      <c r="E1332" s="3" t="n"/>
      <c r="F1332" s="3" t="inlineStr">
        <is>
          <t>Closed</t>
        </is>
      </c>
      <c r="G1332" s="9" t="inlineStr">
        <is>
          <t xml:space="preserve">Ashish Jindal </t>
        </is>
      </c>
      <c r="H1332" s="26" t="n">
        <v>9983975581</v>
      </c>
      <c r="I1332" s="38" t="inlineStr">
        <is>
          <t>PE01052601</t>
        </is>
      </c>
      <c r="J1332" s="26" t="inlineStr">
        <is>
          <t>Multiple Issues</t>
        </is>
      </c>
      <c r="K1332" s="39" t="inlineStr">
        <is>
          <t>Holi</t>
        </is>
      </c>
      <c r="L1332" s="39" t="inlineStr">
        <is>
          <t>Maharashtra</t>
        </is>
      </c>
      <c r="M1332" s="9" t="inlineStr">
        <is>
          <t>PS</t>
        </is>
      </c>
      <c r="N1332" s="3" t="inlineStr">
        <is>
          <t>Cold Soldering</t>
        </is>
      </c>
      <c r="O1332" s="39" t="n">
        <v>575</v>
      </c>
      <c r="P1332" s="9" t="inlineStr">
        <is>
          <t>NSMI24070177153</t>
        </is>
      </c>
      <c r="Q1332" s="53">
        <f>MID(P1332,5,2)</f>
        <v/>
      </c>
      <c r="R1332" s="53">
        <f>MID(P1332,7,2)</f>
        <v/>
      </c>
      <c r="S1332" s="3" t="inlineStr">
        <is>
          <t>G2G</t>
        </is>
      </c>
      <c r="T1332" s="3" t="inlineStr">
        <is>
          <t>P4</t>
        </is>
      </c>
      <c r="U1332" s="19" t="inlineStr">
        <is>
          <t>P JB Cold Soldering</t>
        </is>
      </c>
      <c r="V1332" s="19" t="inlineStr">
        <is>
          <t>Soldering</t>
        </is>
      </c>
      <c r="W1332" s="3" t="inlineStr">
        <is>
          <t>Repair</t>
        </is>
      </c>
      <c r="X1332" s="18" t="n">
        <v>46158</v>
      </c>
      <c r="Y1332" s="73">
        <f>IF(X1332="","",X1332-A1332)</f>
        <v/>
      </c>
      <c r="Z1332" s="18" t="n">
        <v>46158</v>
      </c>
      <c r="AA1332" s="15" t="n"/>
      <c r="AB1332" s="15" t="n"/>
      <c r="AF1332">
        <f>IF(AND($F1332="Closed",$X1332&gt;=DATE(2026,5,1),$X1332&lt;=DATE(2026,5,31)),"Closed in May","Other")</f>
        <v/>
      </c>
    </row>
    <row r="1333">
      <c r="A1333" s="37" t="n">
        <v>46143</v>
      </c>
      <c r="B1333" s="3" t="n">
        <v>2026</v>
      </c>
      <c r="C1333" s="26" t="inlineStr">
        <is>
          <t>Yanara Power</t>
        </is>
      </c>
      <c r="D1333" s="3" t="inlineStr">
        <is>
          <t>Utility and C&amp;I</t>
        </is>
      </c>
      <c r="E1333" s="3" t="n"/>
      <c r="F1333" s="3" t="inlineStr">
        <is>
          <t>Closed</t>
        </is>
      </c>
      <c r="G1333" s="9" t="inlineStr">
        <is>
          <t xml:space="preserve">Ashish Jindal </t>
        </is>
      </c>
      <c r="H1333" s="26" t="n">
        <v>9983975581</v>
      </c>
      <c r="I1333" s="38" t="inlineStr">
        <is>
          <t>PE01052601</t>
        </is>
      </c>
      <c r="J1333" s="26" t="inlineStr">
        <is>
          <t>Multiple Issues</t>
        </is>
      </c>
      <c r="K1333" s="39" t="inlineStr">
        <is>
          <t>Holi</t>
        </is>
      </c>
      <c r="L1333" s="39" t="inlineStr">
        <is>
          <t>Maharashtra</t>
        </is>
      </c>
      <c r="M1333" s="9" t="inlineStr">
        <is>
          <t>PS</t>
        </is>
      </c>
      <c r="N1333" s="3" t="inlineStr">
        <is>
          <t>Cold Soldering</t>
        </is>
      </c>
      <c r="O1333" s="39" t="n">
        <v>575</v>
      </c>
      <c r="P1333" s="9" t="inlineStr">
        <is>
          <t>NSMI24070203874</t>
        </is>
      </c>
      <c r="Q1333" s="53">
        <f>MID(P1333,5,2)</f>
        <v/>
      </c>
      <c r="R1333" s="53">
        <f>MID(P1333,7,2)</f>
        <v/>
      </c>
      <c r="S1333" s="3" t="inlineStr">
        <is>
          <t>G2G</t>
        </is>
      </c>
      <c r="T1333" s="3" t="inlineStr">
        <is>
          <t>P4</t>
        </is>
      </c>
      <c r="U1333" s="19" t="inlineStr">
        <is>
          <t>P JB Cold Soldering</t>
        </is>
      </c>
      <c r="V1333" s="19" t="inlineStr">
        <is>
          <t>Soldering</t>
        </is>
      </c>
      <c r="W1333" s="3" t="inlineStr">
        <is>
          <t>Repair</t>
        </is>
      </c>
      <c r="X1333" s="18" t="n">
        <v>46158</v>
      </c>
      <c r="Y1333" s="73">
        <f>IF(X1333="","",X1333-A1333)</f>
        <v/>
      </c>
      <c r="Z1333" s="18" t="n">
        <v>46158</v>
      </c>
      <c r="AA1333" s="15" t="n"/>
      <c r="AB1333" s="15" t="n"/>
      <c r="AF1333">
        <f>IF(AND($F1333="Closed",$X1333&gt;=DATE(2026,5,1),$X1333&lt;=DATE(2026,5,31)),"Closed in May","Other")</f>
        <v/>
      </c>
    </row>
    <row r="1334">
      <c r="A1334" s="37" t="n">
        <v>46143</v>
      </c>
      <c r="B1334" s="3" t="n">
        <v>2026</v>
      </c>
      <c r="C1334" s="26" t="inlineStr">
        <is>
          <t>Yanara Power</t>
        </is>
      </c>
      <c r="D1334" s="3" t="inlineStr">
        <is>
          <t>Utility and C&amp;I</t>
        </is>
      </c>
      <c r="E1334" s="3" t="n"/>
      <c r="F1334" s="3" t="inlineStr">
        <is>
          <t>Closed</t>
        </is>
      </c>
      <c r="G1334" s="9" t="inlineStr">
        <is>
          <t xml:space="preserve">Ashish Jindal </t>
        </is>
      </c>
      <c r="H1334" s="26" t="n">
        <v>9983975581</v>
      </c>
      <c r="I1334" s="38" t="inlineStr">
        <is>
          <t>PE01052601</t>
        </is>
      </c>
      <c r="J1334" s="26" t="inlineStr">
        <is>
          <t>Multiple Issues</t>
        </is>
      </c>
      <c r="K1334" s="39" t="inlineStr">
        <is>
          <t>Holi</t>
        </is>
      </c>
      <c r="L1334" s="39" t="inlineStr">
        <is>
          <t>Maharashtra</t>
        </is>
      </c>
      <c r="M1334" s="9" t="inlineStr">
        <is>
          <t>PS</t>
        </is>
      </c>
      <c r="N1334" s="3" t="inlineStr">
        <is>
          <t>Cold Soldering</t>
        </is>
      </c>
      <c r="O1334" s="39" t="n">
        <v>575</v>
      </c>
      <c r="P1334" s="9" t="inlineStr">
        <is>
          <t>NSMI24070217808</t>
        </is>
      </c>
      <c r="Q1334" s="53">
        <f>MID(P1334,5,2)</f>
        <v/>
      </c>
      <c r="R1334" s="53">
        <f>MID(P1334,7,2)</f>
        <v/>
      </c>
      <c r="S1334" s="3" t="inlineStr">
        <is>
          <t>G2G</t>
        </is>
      </c>
      <c r="T1334" s="3" t="inlineStr">
        <is>
          <t>P4</t>
        </is>
      </c>
      <c r="U1334" s="19" t="inlineStr">
        <is>
          <t>P JB Cold Soldering</t>
        </is>
      </c>
      <c r="V1334" s="19" t="inlineStr">
        <is>
          <t>Soldering</t>
        </is>
      </c>
      <c r="W1334" s="3" t="inlineStr">
        <is>
          <t>Repair</t>
        </is>
      </c>
      <c r="X1334" s="18" t="n">
        <v>46158</v>
      </c>
      <c r="Y1334" s="73">
        <f>IF(X1334="","",X1334-A1334)</f>
        <v/>
      </c>
      <c r="Z1334" s="18" t="n">
        <v>46158</v>
      </c>
      <c r="AA1334" s="15" t="n"/>
      <c r="AB1334" s="15" t="n"/>
      <c r="AF1334">
        <f>IF(AND($F1334="Closed",$X1334&gt;=DATE(2026,5,1),$X1334&lt;=DATE(2026,5,31)),"Closed in May","Other")</f>
        <v/>
      </c>
    </row>
    <row r="1335">
      <c r="A1335" s="37" t="n">
        <v>46143</v>
      </c>
      <c r="B1335" s="3" t="n">
        <v>2026</v>
      </c>
      <c r="C1335" s="26" t="inlineStr">
        <is>
          <t>Yanara Power</t>
        </is>
      </c>
      <c r="D1335" s="3" t="inlineStr">
        <is>
          <t>Utility and C&amp;I</t>
        </is>
      </c>
      <c r="E1335" s="3" t="n"/>
      <c r="F1335" s="3" t="inlineStr">
        <is>
          <t>Closed</t>
        </is>
      </c>
      <c r="G1335" s="9" t="inlineStr">
        <is>
          <t xml:space="preserve">Ashish Jindal </t>
        </is>
      </c>
      <c r="H1335" s="26" t="n">
        <v>9983975581</v>
      </c>
      <c r="I1335" s="38" t="inlineStr">
        <is>
          <t>PE01052601</t>
        </is>
      </c>
      <c r="J1335" s="26" t="inlineStr">
        <is>
          <t>Multiple Issues</t>
        </is>
      </c>
      <c r="K1335" s="39" t="inlineStr">
        <is>
          <t>Holi</t>
        </is>
      </c>
      <c r="L1335" s="39" t="inlineStr">
        <is>
          <t>Maharashtra</t>
        </is>
      </c>
      <c r="M1335" s="9" t="inlineStr">
        <is>
          <t>PS</t>
        </is>
      </c>
      <c r="N1335" s="3" t="inlineStr">
        <is>
          <t>Cold Soldering</t>
        </is>
      </c>
      <c r="O1335" s="39" t="n">
        <v>575</v>
      </c>
      <c r="P1335" s="9" t="inlineStr">
        <is>
          <t>NSMI24070217810</t>
        </is>
      </c>
      <c r="Q1335" s="53">
        <f>MID(P1335,5,2)</f>
        <v/>
      </c>
      <c r="R1335" s="53">
        <f>MID(P1335,7,2)</f>
        <v/>
      </c>
      <c r="S1335" s="3" t="inlineStr">
        <is>
          <t>G2G</t>
        </is>
      </c>
      <c r="T1335" s="3" t="inlineStr">
        <is>
          <t>P4</t>
        </is>
      </c>
      <c r="U1335" s="19" t="inlineStr">
        <is>
          <t>P JB Cold Soldering</t>
        </is>
      </c>
      <c r="V1335" s="19" t="inlineStr">
        <is>
          <t>Soldering</t>
        </is>
      </c>
      <c r="W1335" s="3" t="inlineStr">
        <is>
          <t>Repair</t>
        </is>
      </c>
      <c r="X1335" s="18" t="n">
        <v>46158</v>
      </c>
      <c r="Y1335" s="73">
        <f>IF(X1335="","",X1335-A1335)</f>
        <v/>
      </c>
      <c r="Z1335" s="18" t="n">
        <v>46158</v>
      </c>
      <c r="AA1335" s="15" t="n"/>
      <c r="AB1335" s="15" t="n"/>
      <c r="AF1335">
        <f>IF(AND($F1335="Closed",$X1335&gt;=DATE(2026,5,1),$X1335&lt;=DATE(2026,5,31)),"Closed in May","Other")</f>
        <v/>
      </c>
    </row>
    <row r="1336">
      <c r="A1336" s="37" t="n">
        <v>46143</v>
      </c>
      <c r="B1336" s="3" t="n">
        <v>2026</v>
      </c>
      <c r="C1336" s="26" t="inlineStr">
        <is>
          <t>Yanara Power</t>
        </is>
      </c>
      <c r="D1336" s="3" t="inlineStr">
        <is>
          <t>Utility and C&amp;I</t>
        </is>
      </c>
      <c r="E1336" s="3" t="n"/>
      <c r="F1336" s="3" t="inlineStr">
        <is>
          <t>Closed</t>
        </is>
      </c>
      <c r="G1336" s="9" t="inlineStr">
        <is>
          <t xml:space="preserve">Ashish Jindal </t>
        </is>
      </c>
      <c r="H1336" s="26" t="n">
        <v>9983975581</v>
      </c>
      <c r="I1336" s="38" t="inlineStr">
        <is>
          <t>PE01052601</t>
        </is>
      </c>
      <c r="J1336" s="26" t="inlineStr">
        <is>
          <t>Multiple Issues</t>
        </is>
      </c>
      <c r="K1336" s="39" t="inlineStr">
        <is>
          <t>Holi</t>
        </is>
      </c>
      <c r="L1336" s="39" t="inlineStr">
        <is>
          <t>Maharashtra</t>
        </is>
      </c>
      <c r="M1336" s="9" t="inlineStr">
        <is>
          <t>PS</t>
        </is>
      </c>
      <c r="N1336" s="3" t="inlineStr">
        <is>
          <t>Cold Soldering</t>
        </is>
      </c>
      <c r="O1336" s="39" t="n">
        <v>575</v>
      </c>
      <c r="P1336" s="9" t="inlineStr">
        <is>
          <t>NSMI24070198414</t>
        </is>
      </c>
      <c r="Q1336" s="53">
        <f>MID(P1336,5,2)</f>
        <v/>
      </c>
      <c r="R1336" s="53">
        <f>MID(P1336,7,2)</f>
        <v/>
      </c>
      <c r="S1336" s="3" t="inlineStr">
        <is>
          <t>G2G</t>
        </is>
      </c>
      <c r="T1336" s="3" t="inlineStr">
        <is>
          <t>P4</t>
        </is>
      </c>
      <c r="U1336" s="19" t="inlineStr">
        <is>
          <t>P JB Cold Soldering</t>
        </is>
      </c>
      <c r="V1336" s="19" t="inlineStr">
        <is>
          <t>Soldering</t>
        </is>
      </c>
      <c r="W1336" s="3" t="inlineStr">
        <is>
          <t>Repair</t>
        </is>
      </c>
      <c r="X1336" s="18" t="n">
        <v>46158</v>
      </c>
      <c r="Y1336" s="73">
        <f>IF(X1336="","",X1336-A1336)</f>
        <v/>
      </c>
      <c r="Z1336" s="18" t="n">
        <v>46158</v>
      </c>
      <c r="AA1336" s="15" t="n"/>
      <c r="AB1336" s="15" t="n"/>
      <c r="AF1336">
        <f>IF(AND($F1336="Closed",$X1336&gt;=DATE(2026,5,1),$X1336&lt;=DATE(2026,5,31)),"Closed in May","Other")</f>
        <v/>
      </c>
    </row>
    <row r="1337">
      <c r="A1337" s="37" t="n">
        <v>46143</v>
      </c>
      <c r="B1337" s="3" t="n">
        <v>2026</v>
      </c>
      <c r="C1337" s="26" t="inlineStr">
        <is>
          <t>Yanara Power</t>
        </is>
      </c>
      <c r="D1337" s="3" t="inlineStr">
        <is>
          <t>Utility and C&amp;I</t>
        </is>
      </c>
      <c r="E1337" s="3" t="n"/>
      <c r="F1337" s="3" t="inlineStr">
        <is>
          <t>Closed</t>
        </is>
      </c>
      <c r="G1337" s="9" t="inlineStr">
        <is>
          <t xml:space="preserve">Ashish Jindal </t>
        </is>
      </c>
      <c r="H1337" s="26" t="n">
        <v>9983975581</v>
      </c>
      <c r="I1337" s="38" t="inlineStr">
        <is>
          <t>PE01052601</t>
        </is>
      </c>
      <c r="J1337" s="26" t="inlineStr">
        <is>
          <t>Multiple Issues</t>
        </is>
      </c>
      <c r="K1337" s="39" t="inlineStr">
        <is>
          <t>Holi</t>
        </is>
      </c>
      <c r="L1337" s="39" t="inlineStr">
        <is>
          <t>Maharashtra</t>
        </is>
      </c>
      <c r="M1337" s="9" t="inlineStr">
        <is>
          <t>NS</t>
        </is>
      </c>
      <c r="N1337" s="3" t="inlineStr">
        <is>
          <t>Cold Soldering</t>
        </is>
      </c>
      <c r="O1337" s="39" t="n">
        <v>575</v>
      </c>
      <c r="P1337" s="9" t="inlineStr">
        <is>
          <t>NSMI24070198509</t>
        </is>
      </c>
      <c r="Q1337" s="53">
        <f>MID(P1337,5,2)</f>
        <v/>
      </c>
      <c r="R1337" s="53">
        <f>MID(P1337,7,2)</f>
        <v/>
      </c>
      <c r="S1337" s="3" t="inlineStr">
        <is>
          <t>G2G</t>
        </is>
      </c>
      <c r="T1337" s="3" t="inlineStr">
        <is>
          <t>P4</t>
        </is>
      </c>
      <c r="U1337" s="3" t="inlineStr">
        <is>
          <t>N JB Cold Soldering</t>
        </is>
      </c>
      <c r="V1337" s="3" t="inlineStr">
        <is>
          <t>Soldering</t>
        </is>
      </c>
      <c r="W1337" s="3" t="inlineStr">
        <is>
          <t>Repair</t>
        </is>
      </c>
      <c r="X1337" s="18" t="n">
        <v>46158</v>
      </c>
      <c r="Y1337" s="73">
        <f>IF(X1337="","",X1337-A1337)</f>
        <v/>
      </c>
      <c r="Z1337" s="18" t="n">
        <v>46158</v>
      </c>
      <c r="AA1337" s="15" t="n"/>
      <c r="AB1337" s="15" t="n"/>
      <c r="AF1337">
        <f>IF(AND($F1337="Closed",$X1337&gt;=DATE(2026,5,1),$X1337&lt;=DATE(2026,5,31)),"Closed in May","Other")</f>
        <v/>
      </c>
    </row>
    <row r="1338">
      <c r="A1338" s="37" t="n">
        <v>46143</v>
      </c>
      <c r="B1338" s="3" t="n">
        <v>2026</v>
      </c>
      <c r="C1338" s="26" t="inlineStr">
        <is>
          <t>Yanara Power</t>
        </is>
      </c>
      <c r="D1338" s="3" t="inlineStr">
        <is>
          <t>Utility and C&amp;I</t>
        </is>
      </c>
      <c r="E1338" s="3" t="n"/>
      <c r="F1338" s="3" t="inlineStr">
        <is>
          <t>Closed</t>
        </is>
      </c>
      <c r="G1338" s="9" t="inlineStr">
        <is>
          <t xml:space="preserve">Ashish Jindal </t>
        </is>
      </c>
      <c r="H1338" s="26" t="n">
        <v>9983975581</v>
      </c>
      <c r="I1338" s="38" t="inlineStr">
        <is>
          <t>PE01052601</t>
        </is>
      </c>
      <c r="J1338" s="26" t="inlineStr">
        <is>
          <t>Multiple Issues</t>
        </is>
      </c>
      <c r="K1338" s="39" t="inlineStr">
        <is>
          <t>Holi</t>
        </is>
      </c>
      <c r="L1338" s="39" t="inlineStr">
        <is>
          <t>Maharashtra</t>
        </is>
      </c>
      <c r="M1338" s="9" t="inlineStr">
        <is>
          <t>NS</t>
        </is>
      </c>
      <c r="N1338" s="3" t="inlineStr">
        <is>
          <t>Cold Soldering</t>
        </is>
      </c>
      <c r="O1338" s="39" t="n">
        <v>575</v>
      </c>
      <c r="P1338" s="9" t="inlineStr">
        <is>
          <t>NSMI24070190781</t>
        </is>
      </c>
      <c r="Q1338" s="53">
        <f>MID(P1338,5,2)</f>
        <v/>
      </c>
      <c r="R1338" s="53">
        <f>MID(P1338,7,2)</f>
        <v/>
      </c>
      <c r="S1338" s="3" t="inlineStr">
        <is>
          <t>G2G</t>
        </is>
      </c>
      <c r="T1338" s="3" t="inlineStr">
        <is>
          <t>P4</t>
        </is>
      </c>
      <c r="U1338" s="3" t="inlineStr">
        <is>
          <t>N JB Cold Soldering</t>
        </is>
      </c>
      <c r="V1338" s="3" t="inlineStr">
        <is>
          <t>Soldering</t>
        </is>
      </c>
      <c r="W1338" s="3" t="inlineStr">
        <is>
          <t>Repair</t>
        </is>
      </c>
      <c r="X1338" s="18" t="n">
        <v>46158</v>
      </c>
      <c r="Y1338" s="73">
        <f>IF(X1338="","",X1338-A1338)</f>
        <v/>
      </c>
      <c r="Z1338" s="18" t="n">
        <v>46158</v>
      </c>
      <c r="AA1338" s="15" t="n"/>
      <c r="AB1338" s="15" t="n"/>
      <c r="AF1338">
        <f>IF(AND($F1338="Closed",$X1338&gt;=DATE(2026,5,1),$X1338&lt;=DATE(2026,5,31)),"Closed in May","Other")</f>
        <v/>
      </c>
    </row>
    <row r="1339">
      <c r="A1339" s="37" t="n">
        <v>46143</v>
      </c>
      <c r="B1339" s="3" t="n">
        <v>2026</v>
      </c>
      <c r="C1339" s="26" t="inlineStr">
        <is>
          <t>Yanara Power</t>
        </is>
      </c>
      <c r="D1339" s="3" t="inlineStr">
        <is>
          <t>Utility and C&amp;I</t>
        </is>
      </c>
      <c r="E1339" s="3" t="n"/>
      <c r="F1339" s="3" t="inlineStr">
        <is>
          <t>Closed</t>
        </is>
      </c>
      <c r="G1339" s="9" t="inlineStr">
        <is>
          <t xml:space="preserve">Ashish Jindal </t>
        </is>
      </c>
      <c r="H1339" s="26" t="n">
        <v>9983975581</v>
      </c>
      <c r="I1339" s="38" t="inlineStr">
        <is>
          <t>PE01052601</t>
        </is>
      </c>
      <c r="J1339" s="26" t="inlineStr">
        <is>
          <t>Multiple Issues</t>
        </is>
      </c>
      <c r="K1339" s="39" t="inlineStr">
        <is>
          <t>Holi</t>
        </is>
      </c>
      <c r="L1339" s="39" t="inlineStr">
        <is>
          <t>Maharashtra</t>
        </is>
      </c>
      <c r="M1339" s="9" t="inlineStr">
        <is>
          <t>NS</t>
        </is>
      </c>
      <c r="N1339" s="3" t="inlineStr">
        <is>
          <t>Cold Soldering</t>
        </is>
      </c>
      <c r="O1339" s="39" t="n">
        <v>575</v>
      </c>
      <c r="P1339" s="9" t="inlineStr">
        <is>
          <t>NSMI24070190666</t>
        </is>
      </c>
      <c r="Q1339" s="53">
        <f>MID(P1339,5,2)</f>
        <v/>
      </c>
      <c r="R1339" s="53">
        <f>MID(P1339,7,2)</f>
        <v/>
      </c>
      <c r="S1339" s="3" t="inlineStr">
        <is>
          <t>G2G</t>
        </is>
      </c>
      <c r="T1339" s="3" t="inlineStr">
        <is>
          <t>P4</t>
        </is>
      </c>
      <c r="U1339" s="3" t="inlineStr">
        <is>
          <t>N JB Cold Soldering</t>
        </is>
      </c>
      <c r="V1339" s="3" t="inlineStr">
        <is>
          <t>Soldering</t>
        </is>
      </c>
      <c r="W1339" s="3" t="inlineStr">
        <is>
          <t>Repair</t>
        </is>
      </c>
      <c r="X1339" s="18" t="n">
        <v>46158</v>
      </c>
      <c r="Y1339" s="73">
        <f>IF(X1339="","",X1339-A1339)</f>
        <v/>
      </c>
      <c r="Z1339" s="18" t="n">
        <v>46158</v>
      </c>
      <c r="AA1339" s="15" t="n"/>
      <c r="AB1339" s="15" t="n"/>
      <c r="AF1339">
        <f>IF(AND($F1339="Closed",$X1339&gt;=DATE(2026,5,1),$X1339&lt;=DATE(2026,5,31)),"Closed in May","Other")</f>
        <v/>
      </c>
    </row>
    <row r="1340">
      <c r="A1340" s="37" t="n">
        <v>46143</v>
      </c>
      <c r="B1340" s="3" t="n">
        <v>2026</v>
      </c>
      <c r="C1340" s="26" t="inlineStr">
        <is>
          <t>Yanara Power</t>
        </is>
      </c>
      <c r="D1340" s="3" t="inlineStr">
        <is>
          <t>Utility and C&amp;I</t>
        </is>
      </c>
      <c r="E1340" s="3" t="n"/>
      <c r="F1340" s="3" t="inlineStr">
        <is>
          <t>Closed</t>
        </is>
      </c>
      <c r="G1340" s="9" t="inlineStr">
        <is>
          <t xml:space="preserve">Ashish Jindal </t>
        </is>
      </c>
      <c r="H1340" s="26" t="n">
        <v>9983975581</v>
      </c>
      <c r="I1340" s="38" t="inlineStr">
        <is>
          <t>PE01052601</t>
        </is>
      </c>
      <c r="J1340" s="26" t="inlineStr">
        <is>
          <t>Multiple Issues</t>
        </is>
      </c>
      <c r="K1340" s="39" t="inlineStr">
        <is>
          <t>Holi</t>
        </is>
      </c>
      <c r="L1340" s="39" t="inlineStr">
        <is>
          <t>Maharashtra</t>
        </is>
      </c>
      <c r="M1340" s="9" t="inlineStr">
        <is>
          <t>PS</t>
        </is>
      </c>
      <c r="N1340" s="3" t="inlineStr">
        <is>
          <t>Cold Soldering</t>
        </is>
      </c>
      <c r="O1340" s="39" t="n">
        <v>575</v>
      </c>
      <c r="P1340" s="9" t="inlineStr">
        <is>
          <t>NSMI24070190760</t>
        </is>
      </c>
      <c r="Q1340" s="53">
        <f>MID(P1340,5,2)</f>
        <v/>
      </c>
      <c r="R1340" s="53">
        <f>MID(P1340,7,2)</f>
        <v/>
      </c>
      <c r="S1340" s="3" t="inlineStr">
        <is>
          <t>G2G</t>
        </is>
      </c>
      <c r="T1340" s="3" t="inlineStr">
        <is>
          <t>P4</t>
        </is>
      </c>
      <c r="U1340" s="19" t="inlineStr">
        <is>
          <t>P JB Cold Soldering</t>
        </is>
      </c>
      <c r="V1340" s="19" t="inlineStr">
        <is>
          <t>Soldering</t>
        </is>
      </c>
      <c r="W1340" s="3" t="inlineStr">
        <is>
          <t>Repair</t>
        </is>
      </c>
      <c r="X1340" s="18" t="n">
        <v>46158</v>
      </c>
      <c r="Y1340" s="73">
        <f>IF(X1340="","",X1340-A1340)</f>
        <v/>
      </c>
      <c r="Z1340" s="18" t="n">
        <v>46158</v>
      </c>
      <c r="AA1340" s="15" t="n"/>
      <c r="AB1340" s="15" t="n"/>
      <c r="AF1340">
        <f>IF(AND($F1340="Closed",$X1340&gt;=DATE(2026,5,1),$X1340&lt;=DATE(2026,5,31)),"Closed in May","Other")</f>
        <v/>
      </c>
    </row>
    <row r="1341">
      <c r="A1341" s="37" t="n">
        <v>46143</v>
      </c>
      <c r="B1341" s="3" t="n">
        <v>2026</v>
      </c>
      <c r="C1341" s="26" t="inlineStr">
        <is>
          <t>Yanara Power</t>
        </is>
      </c>
      <c r="D1341" s="3" t="inlineStr">
        <is>
          <t>Utility and C&amp;I</t>
        </is>
      </c>
      <c r="E1341" s="3" t="n"/>
      <c r="F1341" s="3" t="inlineStr">
        <is>
          <t>Closed</t>
        </is>
      </c>
      <c r="G1341" s="9" t="inlineStr">
        <is>
          <t xml:space="preserve">Ashish Jindal </t>
        </is>
      </c>
      <c r="H1341" s="26" t="n">
        <v>9983975581</v>
      </c>
      <c r="I1341" s="38" t="inlineStr">
        <is>
          <t>PE01052601</t>
        </is>
      </c>
      <c r="J1341" s="26" t="inlineStr">
        <is>
          <t>Multiple Issues</t>
        </is>
      </c>
      <c r="K1341" s="39" t="inlineStr">
        <is>
          <t>Holi</t>
        </is>
      </c>
      <c r="L1341" s="39" t="inlineStr">
        <is>
          <t>Maharashtra</t>
        </is>
      </c>
      <c r="M1341" s="9" t="inlineStr">
        <is>
          <t>PS</t>
        </is>
      </c>
      <c r="N1341" s="3" t="inlineStr">
        <is>
          <t>Cold Soldering</t>
        </is>
      </c>
      <c r="O1341" s="39" t="n">
        <v>575</v>
      </c>
      <c r="P1341" s="9" t="inlineStr">
        <is>
          <t>NSMI24070190852</t>
        </is>
      </c>
      <c r="Q1341" s="53">
        <f>MID(P1341,5,2)</f>
        <v/>
      </c>
      <c r="R1341" s="53">
        <f>MID(P1341,7,2)</f>
        <v/>
      </c>
      <c r="S1341" s="3" t="inlineStr">
        <is>
          <t>G2G</t>
        </is>
      </c>
      <c r="T1341" s="3" t="inlineStr">
        <is>
          <t>P4</t>
        </is>
      </c>
      <c r="U1341" s="19" t="inlineStr">
        <is>
          <t>P JB Cold Soldering</t>
        </is>
      </c>
      <c r="V1341" s="19" t="inlineStr">
        <is>
          <t>Soldering</t>
        </is>
      </c>
      <c r="W1341" s="3" t="inlineStr">
        <is>
          <t>Repair</t>
        </is>
      </c>
      <c r="X1341" s="18" t="n">
        <v>46158</v>
      </c>
      <c r="Y1341" s="73">
        <f>IF(X1341="","",X1341-A1341)</f>
        <v/>
      </c>
      <c r="Z1341" s="18" t="n">
        <v>46158</v>
      </c>
      <c r="AA1341" s="15" t="n"/>
      <c r="AB1341" s="15" t="n"/>
      <c r="AF1341">
        <f>IF(AND($F1341="Closed",$X1341&gt;=DATE(2026,5,1),$X1341&lt;=DATE(2026,5,31)),"Closed in May","Other")</f>
        <v/>
      </c>
    </row>
    <row r="1342">
      <c r="A1342" s="37" t="n">
        <v>46143</v>
      </c>
      <c r="B1342" s="3" t="n">
        <v>2026</v>
      </c>
      <c r="C1342" s="26" t="inlineStr">
        <is>
          <t>Yanara Power</t>
        </is>
      </c>
      <c r="D1342" s="3" t="inlineStr">
        <is>
          <t>Utility and C&amp;I</t>
        </is>
      </c>
      <c r="E1342" s="3" t="n"/>
      <c r="F1342" s="3" t="inlineStr">
        <is>
          <t>Closed</t>
        </is>
      </c>
      <c r="G1342" s="9" t="inlineStr">
        <is>
          <t xml:space="preserve">Ashish Jindal </t>
        </is>
      </c>
      <c r="H1342" s="26" t="n">
        <v>9983975581</v>
      </c>
      <c r="I1342" s="38" t="inlineStr">
        <is>
          <t>PE01052601</t>
        </is>
      </c>
      <c r="J1342" s="26" t="inlineStr">
        <is>
          <t>Multiple Issues</t>
        </is>
      </c>
      <c r="K1342" s="39" t="inlineStr">
        <is>
          <t>Holi</t>
        </is>
      </c>
      <c r="L1342" s="39" t="inlineStr">
        <is>
          <t>Maharashtra</t>
        </is>
      </c>
      <c r="M1342" s="9" t="inlineStr">
        <is>
          <t>PS</t>
        </is>
      </c>
      <c r="N1342" s="3" t="inlineStr">
        <is>
          <t>Cold Soldering</t>
        </is>
      </c>
      <c r="O1342" s="39" t="n">
        <v>575</v>
      </c>
      <c r="P1342" s="9" t="inlineStr">
        <is>
          <t>NSMI24070217899</t>
        </is>
      </c>
      <c r="Q1342" s="53">
        <f>MID(P1342,5,2)</f>
        <v/>
      </c>
      <c r="R1342" s="53">
        <f>MID(P1342,7,2)</f>
        <v/>
      </c>
      <c r="S1342" s="3" t="inlineStr">
        <is>
          <t>G2G</t>
        </is>
      </c>
      <c r="T1342" s="3" t="inlineStr">
        <is>
          <t>P4</t>
        </is>
      </c>
      <c r="U1342" s="19" t="inlineStr">
        <is>
          <t>P JB Cold Soldering</t>
        </is>
      </c>
      <c r="V1342" s="19" t="inlineStr">
        <is>
          <t>Soldering</t>
        </is>
      </c>
      <c r="W1342" s="3" t="inlineStr">
        <is>
          <t>Repair</t>
        </is>
      </c>
      <c r="X1342" s="18" t="n">
        <v>46158</v>
      </c>
      <c r="Y1342" s="73">
        <f>IF(X1342="","",X1342-A1342)</f>
        <v/>
      </c>
      <c r="Z1342" s="18" t="n">
        <v>46158</v>
      </c>
      <c r="AA1342" s="15" t="n"/>
      <c r="AB1342" s="15" t="n"/>
      <c r="AF1342">
        <f>IF(AND($F1342="Closed",$X1342&gt;=DATE(2026,5,1),$X1342&lt;=DATE(2026,5,31)),"Closed in May","Other")</f>
        <v/>
      </c>
    </row>
    <row r="1343">
      <c r="A1343" s="37" t="n">
        <v>46143</v>
      </c>
      <c r="B1343" s="3" t="n">
        <v>2026</v>
      </c>
      <c r="C1343" s="26" t="inlineStr">
        <is>
          <t>Yanara Power</t>
        </is>
      </c>
      <c r="D1343" s="3" t="inlineStr">
        <is>
          <t>Utility and C&amp;I</t>
        </is>
      </c>
      <c r="E1343" s="3" t="n"/>
      <c r="F1343" s="3" t="inlineStr">
        <is>
          <t>Closed</t>
        </is>
      </c>
      <c r="G1343" s="9" t="inlineStr">
        <is>
          <t xml:space="preserve">Ashish Jindal </t>
        </is>
      </c>
      <c r="H1343" s="26" t="n">
        <v>9983975581</v>
      </c>
      <c r="I1343" s="38" t="inlineStr">
        <is>
          <t>PE01052601</t>
        </is>
      </c>
      <c r="J1343" s="26" t="inlineStr">
        <is>
          <t>Multiple Issues</t>
        </is>
      </c>
      <c r="K1343" s="39" t="inlineStr">
        <is>
          <t>Holi</t>
        </is>
      </c>
      <c r="L1343" s="39" t="inlineStr">
        <is>
          <t>Maharashtra</t>
        </is>
      </c>
      <c r="M1343" s="9" t="inlineStr">
        <is>
          <t>PS</t>
        </is>
      </c>
      <c r="N1343" s="3" t="inlineStr">
        <is>
          <t>Cold Soldering</t>
        </is>
      </c>
      <c r="O1343" s="39" t="n">
        <v>575</v>
      </c>
      <c r="P1343" s="9" t="inlineStr">
        <is>
          <t>NSMI24070217507</t>
        </is>
      </c>
      <c r="Q1343" s="53">
        <f>MID(P1343,5,2)</f>
        <v/>
      </c>
      <c r="R1343" s="53">
        <f>MID(P1343,7,2)</f>
        <v/>
      </c>
      <c r="S1343" s="3" t="inlineStr">
        <is>
          <t>G2G</t>
        </is>
      </c>
      <c r="T1343" s="3" t="inlineStr">
        <is>
          <t>P4</t>
        </is>
      </c>
      <c r="U1343" s="19" t="inlineStr">
        <is>
          <t>P JB Cold Soldering</t>
        </is>
      </c>
      <c r="V1343" s="19" t="inlineStr">
        <is>
          <t>Soldering</t>
        </is>
      </c>
      <c r="W1343" s="3" t="inlineStr">
        <is>
          <t>Repair</t>
        </is>
      </c>
      <c r="X1343" s="18" t="n">
        <v>46158</v>
      </c>
      <c r="Y1343" s="73">
        <f>IF(X1343="","",X1343-A1343)</f>
        <v/>
      </c>
      <c r="Z1343" s="18" t="n">
        <v>46158</v>
      </c>
      <c r="AA1343" s="15" t="n"/>
      <c r="AB1343" s="15" t="n"/>
      <c r="AF1343">
        <f>IF(AND($F1343="Closed",$X1343&gt;=DATE(2026,5,1),$X1343&lt;=DATE(2026,5,31)),"Closed in May","Other")</f>
        <v/>
      </c>
    </row>
    <row r="1344">
      <c r="A1344" s="37" t="n">
        <v>46143</v>
      </c>
      <c r="B1344" s="3" t="n">
        <v>2026</v>
      </c>
      <c r="C1344" s="26" t="inlineStr">
        <is>
          <t>Yanara Power</t>
        </is>
      </c>
      <c r="D1344" s="3" t="inlineStr">
        <is>
          <t>Utility and C&amp;I</t>
        </is>
      </c>
      <c r="E1344" s="3" t="n"/>
      <c r="F1344" s="3" t="inlineStr">
        <is>
          <t>Closed</t>
        </is>
      </c>
      <c r="G1344" s="9" t="inlineStr">
        <is>
          <t xml:space="preserve">Ashish Jindal </t>
        </is>
      </c>
      <c r="H1344" s="26" t="n">
        <v>9983975581</v>
      </c>
      <c r="I1344" s="38" t="inlineStr">
        <is>
          <t>PE01052601</t>
        </is>
      </c>
      <c r="J1344" s="26" t="inlineStr">
        <is>
          <t>Multiple Issues</t>
        </is>
      </c>
      <c r="K1344" s="39" t="inlineStr">
        <is>
          <t>Holi</t>
        </is>
      </c>
      <c r="L1344" s="39" t="inlineStr">
        <is>
          <t>Maharashtra</t>
        </is>
      </c>
      <c r="M1344" s="9" t="inlineStr">
        <is>
          <t>PS</t>
        </is>
      </c>
      <c r="N1344" s="3" t="inlineStr">
        <is>
          <t>Cold Soldering</t>
        </is>
      </c>
      <c r="O1344" s="39" t="n">
        <v>575</v>
      </c>
      <c r="P1344" s="9" t="inlineStr">
        <is>
          <t>NSMI24070217885</t>
        </is>
      </c>
      <c r="Q1344" s="53">
        <f>MID(P1344,5,2)</f>
        <v/>
      </c>
      <c r="R1344" s="53">
        <f>MID(P1344,7,2)</f>
        <v/>
      </c>
      <c r="S1344" s="3" t="inlineStr">
        <is>
          <t>G2G</t>
        </is>
      </c>
      <c r="T1344" s="3" t="inlineStr">
        <is>
          <t>P4</t>
        </is>
      </c>
      <c r="U1344" s="19" t="inlineStr">
        <is>
          <t>P JB Cold Soldering</t>
        </is>
      </c>
      <c r="V1344" s="19" t="inlineStr">
        <is>
          <t>Soldering</t>
        </is>
      </c>
      <c r="W1344" s="3" t="inlineStr">
        <is>
          <t>Repair</t>
        </is>
      </c>
      <c r="X1344" s="18" t="n">
        <v>46158</v>
      </c>
      <c r="Y1344" s="73">
        <f>IF(X1344="","",X1344-A1344)</f>
        <v/>
      </c>
      <c r="Z1344" s="18" t="n">
        <v>46158</v>
      </c>
      <c r="AA1344" s="15" t="n"/>
      <c r="AB1344" s="15" t="n"/>
      <c r="AF1344">
        <f>IF(AND($F1344="Closed",$X1344&gt;=DATE(2026,5,1),$X1344&lt;=DATE(2026,5,31)),"Closed in May","Other")</f>
        <v/>
      </c>
    </row>
    <row r="1345">
      <c r="A1345" s="37" t="n">
        <v>46143</v>
      </c>
      <c r="B1345" s="3" t="n">
        <v>2026</v>
      </c>
      <c r="C1345" s="26" t="inlineStr">
        <is>
          <t>Yanara Power</t>
        </is>
      </c>
      <c r="D1345" s="3" t="inlineStr">
        <is>
          <t>Utility and C&amp;I</t>
        </is>
      </c>
      <c r="E1345" s="3" t="n"/>
      <c r="F1345" s="3" t="inlineStr">
        <is>
          <t>Closed</t>
        </is>
      </c>
      <c r="G1345" s="9" t="inlineStr">
        <is>
          <t xml:space="preserve">Ashish Jindal </t>
        </is>
      </c>
      <c r="H1345" s="26" t="n">
        <v>9983975581</v>
      </c>
      <c r="I1345" s="38" t="inlineStr">
        <is>
          <t>PE01052601</t>
        </is>
      </c>
      <c r="J1345" s="26" t="inlineStr">
        <is>
          <t>Multiple Issues</t>
        </is>
      </c>
      <c r="K1345" s="39" t="inlineStr">
        <is>
          <t>Holi</t>
        </is>
      </c>
      <c r="L1345" s="39" t="inlineStr">
        <is>
          <t>Maharashtra</t>
        </is>
      </c>
      <c r="M1345" s="9" t="inlineStr">
        <is>
          <t>NS</t>
        </is>
      </c>
      <c r="N1345" s="3" t="inlineStr">
        <is>
          <t>Cold Soldering</t>
        </is>
      </c>
      <c r="O1345" s="39" t="n">
        <v>575</v>
      </c>
      <c r="P1345" s="9" t="inlineStr">
        <is>
          <t>NSMI24070194989</t>
        </is>
      </c>
      <c r="Q1345" s="53">
        <f>MID(P1345,5,2)</f>
        <v/>
      </c>
      <c r="R1345" s="53">
        <f>MID(P1345,7,2)</f>
        <v/>
      </c>
      <c r="S1345" s="3" t="inlineStr">
        <is>
          <t>G2G</t>
        </is>
      </c>
      <c r="T1345" s="3" t="inlineStr">
        <is>
          <t>P4</t>
        </is>
      </c>
      <c r="U1345" s="3" t="inlineStr">
        <is>
          <t>N JB Cold Soldering</t>
        </is>
      </c>
      <c r="V1345" s="3" t="inlineStr">
        <is>
          <t>Soldering</t>
        </is>
      </c>
      <c r="W1345" s="3" t="inlineStr">
        <is>
          <t>Repair</t>
        </is>
      </c>
      <c r="X1345" s="18" t="n">
        <v>46158</v>
      </c>
      <c r="Y1345" s="73">
        <f>IF(X1345="","",X1345-A1345)</f>
        <v/>
      </c>
      <c r="Z1345" s="18" t="n">
        <v>46158</v>
      </c>
      <c r="AA1345" s="15" t="n"/>
      <c r="AB1345" s="15" t="n"/>
      <c r="AF1345">
        <f>IF(AND($F1345="Closed",$X1345&gt;=DATE(2026,5,1),$X1345&lt;=DATE(2026,5,31)),"Closed in May","Other")</f>
        <v/>
      </c>
    </row>
    <row r="1346">
      <c r="A1346" s="37" t="n">
        <v>46143</v>
      </c>
      <c r="B1346" s="3" t="n">
        <v>2026</v>
      </c>
      <c r="C1346" s="26" t="inlineStr">
        <is>
          <t>Yanara Power</t>
        </is>
      </c>
      <c r="D1346" s="3" t="inlineStr">
        <is>
          <t>Utility and C&amp;I</t>
        </is>
      </c>
      <c r="E1346" s="3" t="n"/>
      <c r="F1346" s="3" t="inlineStr">
        <is>
          <t>Closed</t>
        </is>
      </c>
      <c r="G1346" s="9" t="inlineStr">
        <is>
          <t xml:space="preserve">Ashish Jindal </t>
        </is>
      </c>
      <c r="H1346" s="26" t="n">
        <v>9983975581</v>
      </c>
      <c r="I1346" s="38" t="inlineStr">
        <is>
          <t>PE01052601</t>
        </is>
      </c>
      <c r="J1346" s="26" t="inlineStr">
        <is>
          <t>Multiple Issues</t>
        </is>
      </c>
      <c r="K1346" s="39" t="inlineStr">
        <is>
          <t>Holi</t>
        </is>
      </c>
      <c r="L1346" s="39" t="inlineStr">
        <is>
          <t>Maharashtra</t>
        </is>
      </c>
      <c r="M1346" s="9" t="inlineStr">
        <is>
          <t>PS</t>
        </is>
      </c>
      <c r="N1346" s="3" t="inlineStr">
        <is>
          <t>Cold Soldering</t>
        </is>
      </c>
      <c r="O1346" s="39" t="n">
        <v>575</v>
      </c>
      <c r="P1346" s="9" t="inlineStr">
        <is>
          <t>NSMI24070183517</t>
        </is>
      </c>
      <c r="Q1346" s="53">
        <f>MID(P1346,5,2)</f>
        <v/>
      </c>
      <c r="R1346" s="53">
        <f>MID(P1346,7,2)</f>
        <v/>
      </c>
      <c r="S1346" s="3" t="inlineStr">
        <is>
          <t>G2G</t>
        </is>
      </c>
      <c r="T1346" s="3" t="inlineStr">
        <is>
          <t>P4</t>
        </is>
      </c>
      <c r="U1346" s="19" t="inlineStr">
        <is>
          <t>P JB Cold Soldering</t>
        </is>
      </c>
      <c r="V1346" s="19" t="inlineStr">
        <is>
          <t>Soldering</t>
        </is>
      </c>
      <c r="W1346" s="3" t="inlineStr">
        <is>
          <t>Repair</t>
        </is>
      </c>
      <c r="X1346" s="18" t="n">
        <v>46158</v>
      </c>
      <c r="Y1346" s="73">
        <f>IF(X1346="","",X1346-A1346)</f>
        <v/>
      </c>
      <c r="Z1346" s="18" t="n">
        <v>46158</v>
      </c>
      <c r="AA1346" s="15" t="n"/>
      <c r="AB1346" s="15" t="n"/>
      <c r="AF1346">
        <f>IF(AND($F1346="Closed",$X1346&gt;=DATE(2026,5,1),$X1346&lt;=DATE(2026,5,31)),"Closed in May","Other")</f>
        <v/>
      </c>
    </row>
    <row r="1347">
      <c r="A1347" s="37" t="n">
        <v>46143</v>
      </c>
      <c r="B1347" s="3" t="n">
        <v>2026</v>
      </c>
      <c r="C1347" s="26" t="inlineStr">
        <is>
          <t>Yanara Power</t>
        </is>
      </c>
      <c r="D1347" s="3" t="inlineStr">
        <is>
          <t>Utility and C&amp;I</t>
        </is>
      </c>
      <c r="E1347" s="3" t="n"/>
      <c r="F1347" s="3" t="inlineStr">
        <is>
          <t>Closed</t>
        </is>
      </c>
      <c r="G1347" s="9" t="inlineStr">
        <is>
          <t xml:space="preserve">Ashish Jindal </t>
        </is>
      </c>
      <c r="H1347" s="26" t="n">
        <v>9983975581</v>
      </c>
      <c r="I1347" s="38" t="inlineStr">
        <is>
          <t>PE01052601</t>
        </is>
      </c>
      <c r="J1347" s="26" t="inlineStr">
        <is>
          <t>Multiple Issues</t>
        </is>
      </c>
      <c r="K1347" s="39" t="inlineStr">
        <is>
          <t>Holi</t>
        </is>
      </c>
      <c r="L1347" s="39" t="inlineStr">
        <is>
          <t>Maharashtra</t>
        </is>
      </c>
      <c r="M1347" s="9" t="inlineStr">
        <is>
          <t>OK</t>
        </is>
      </c>
      <c r="N1347" s="3" t="inlineStr">
        <is>
          <t>No Issue</t>
        </is>
      </c>
      <c r="O1347" s="39" t="n">
        <v>575</v>
      </c>
      <c r="P1347" s="9" t="inlineStr">
        <is>
          <t>NSMI24070197953</t>
        </is>
      </c>
      <c r="Q1347" s="53">
        <f>MID(P1347,5,2)</f>
        <v/>
      </c>
      <c r="R1347" s="53">
        <f>MID(P1347,7,2)</f>
        <v/>
      </c>
      <c r="S1347" s="3" t="inlineStr">
        <is>
          <t>G2G</t>
        </is>
      </c>
      <c r="T1347" s="3" t="inlineStr">
        <is>
          <t>P4</t>
        </is>
      </c>
      <c r="U1347" s="19" t="inlineStr">
        <is>
          <t>No Issue Found</t>
        </is>
      </c>
      <c r="V1347" s="19" t="inlineStr">
        <is>
          <t>Found OK</t>
        </is>
      </c>
      <c r="W1347" s="3" t="inlineStr">
        <is>
          <t>Repair</t>
        </is>
      </c>
      <c r="X1347" s="18" t="n">
        <v>46158</v>
      </c>
      <c r="Y1347" s="73">
        <f>IF(X1347="","",X1347-A1347)</f>
        <v/>
      </c>
      <c r="Z1347" s="18" t="n">
        <v>46158</v>
      </c>
      <c r="AA1347" s="15" t="n"/>
      <c r="AB1347" s="15" t="n"/>
      <c r="AF1347">
        <f>IF(AND($F1347="Closed",$X1347&gt;=DATE(2026,5,1),$X1347&lt;=DATE(2026,5,31)),"Closed in May","Other")</f>
        <v/>
      </c>
    </row>
    <row r="1348">
      <c r="A1348" s="37" t="n">
        <v>46143</v>
      </c>
      <c r="B1348" s="3" t="n">
        <v>2026</v>
      </c>
      <c r="C1348" s="26" t="inlineStr">
        <is>
          <t>Yanara Power</t>
        </is>
      </c>
      <c r="D1348" s="3" t="inlineStr">
        <is>
          <t>Utility and C&amp;I</t>
        </is>
      </c>
      <c r="E1348" s="3" t="n"/>
      <c r="F1348" s="3" t="inlineStr">
        <is>
          <t>Closed</t>
        </is>
      </c>
      <c r="G1348" s="9" t="inlineStr">
        <is>
          <t xml:space="preserve">Ashish Jindal </t>
        </is>
      </c>
      <c r="H1348" s="26" t="n">
        <v>9983975581</v>
      </c>
      <c r="I1348" s="38" t="inlineStr">
        <is>
          <t>PE01052601</t>
        </is>
      </c>
      <c r="J1348" s="26" t="inlineStr">
        <is>
          <t>Multiple Issues</t>
        </is>
      </c>
      <c r="K1348" s="39" t="inlineStr">
        <is>
          <t>Holi</t>
        </is>
      </c>
      <c r="L1348" s="39" t="inlineStr">
        <is>
          <t>Maharashtra</t>
        </is>
      </c>
      <c r="M1348" s="9" t="inlineStr">
        <is>
          <t>PS</t>
        </is>
      </c>
      <c r="N1348" s="3" t="inlineStr">
        <is>
          <t>Cold Soldering</t>
        </is>
      </c>
      <c r="O1348" s="39" t="n">
        <v>575</v>
      </c>
      <c r="P1348" s="9" t="inlineStr">
        <is>
          <t>NSMI24070216851</t>
        </is>
      </c>
      <c r="Q1348" s="53">
        <f>MID(P1348,5,2)</f>
        <v/>
      </c>
      <c r="R1348" s="53">
        <f>MID(P1348,7,2)</f>
        <v/>
      </c>
      <c r="S1348" s="3" t="inlineStr">
        <is>
          <t>G2G</t>
        </is>
      </c>
      <c r="T1348" s="3" t="inlineStr">
        <is>
          <t>P4</t>
        </is>
      </c>
      <c r="U1348" s="19" t="inlineStr">
        <is>
          <t>P JB Cold Soldering</t>
        </is>
      </c>
      <c r="V1348" s="19" t="inlineStr">
        <is>
          <t>Soldering</t>
        </is>
      </c>
      <c r="W1348" s="3" t="inlineStr">
        <is>
          <t>Repair</t>
        </is>
      </c>
      <c r="X1348" s="18" t="n">
        <v>46158</v>
      </c>
      <c r="Y1348" s="73">
        <f>IF(X1348="","",X1348-A1348)</f>
        <v/>
      </c>
      <c r="Z1348" s="18" t="n">
        <v>46158</v>
      </c>
      <c r="AA1348" s="15" t="n"/>
      <c r="AB1348" s="15" t="n"/>
      <c r="AF1348">
        <f>IF(AND($F1348="Closed",$X1348&gt;=DATE(2026,5,1),$X1348&lt;=DATE(2026,5,31)),"Closed in May","Other")</f>
        <v/>
      </c>
    </row>
    <row r="1349">
      <c r="A1349" s="37" t="n">
        <v>46143</v>
      </c>
      <c r="B1349" s="3" t="n">
        <v>2026</v>
      </c>
      <c r="C1349" s="26" t="inlineStr">
        <is>
          <t>Yanara Power</t>
        </is>
      </c>
      <c r="D1349" s="3" t="inlineStr">
        <is>
          <t>Utility and C&amp;I</t>
        </is>
      </c>
      <c r="E1349" s="3" t="n"/>
      <c r="F1349" s="3" t="inlineStr">
        <is>
          <t>Closed</t>
        </is>
      </c>
      <c r="G1349" s="9" t="inlineStr">
        <is>
          <t xml:space="preserve">Ashish Jindal </t>
        </is>
      </c>
      <c r="H1349" s="26" t="n">
        <v>9983975581</v>
      </c>
      <c r="I1349" s="38" t="inlineStr">
        <is>
          <t>PE01052601</t>
        </is>
      </c>
      <c r="J1349" s="26" t="inlineStr">
        <is>
          <t>Multiple Issues</t>
        </is>
      </c>
      <c r="K1349" s="39" t="inlineStr">
        <is>
          <t>Holi</t>
        </is>
      </c>
      <c r="L1349" s="39" t="inlineStr">
        <is>
          <t>Maharashtra</t>
        </is>
      </c>
      <c r="M1349" s="9" t="inlineStr">
        <is>
          <t>NS</t>
        </is>
      </c>
      <c r="N1349" s="3" t="inlineStr">
        <is>
          <t>Cold Soldering</t>
        </is>
      </c>
      <c r="O1349" s="39" t="n">
        <v>575</v>
      </c>
      <c r="P1349" s="9" t="inlineStr">
        <is>
          <t>NSMI24070197302</t>
        </is>
      </c>
      <c r="Q1349" s="53">
        <f>MID(P1349,5,2)</f>
        <v/>
      </c>
      <c r="R1349" s="53">
        <f>MID(P1349,7,2)</f>
        <v/>
      </c>
      <c r="S1349" s="3" t="inlineStr">
        <is>
          <t>G2G</t>
        </is>
      </c>
      <c r="T1349" s="3" t="inlineStr">
        <is>
          <t>P4</t>
        </is>
      </c>
      <c r="U1349" s="3" t="inlineStr">
        <is>
          <t>N JB Cold Soldering</t>
        </is>
      </c>
      <c r="V1349" s="3" t="inlineStr">
        <is>
          <t>Soldering</t>
        </is>
      </c>
      <c r="W1349" s="3" t="inlineStr">
        <is>
          <t>Repair</t>
        </is>
      </c>
      <c r="X1349" s="18" t="n">
        <v>46158</v>
      </c>
      <c r="Y1349" s="73">
        <f>IF(X1349="","",X1349-A1349)</f>
        <v/>
      </c>
      <c r="Z1349" s="18" t="n">
        <v>46158</v>
      </c>
      <c r="AA1349" s="15" t="n"/>
      <c r="AB1349" s="15" t="n"/>
      <c r="AF1349">
        <f>IF(AND($F1349="Closed",$X1349&gt;=DATE(2026,5,1),$X1349&lt;=DATE(2026,5,31)),"Closed in May","Other")</f>
        <v/>
      </c>
    </row>
    <row r="1350">
      <c r="A1350" s="37" t="n">
        <v>46143</v>
      </c>
      <c r="B1350" s="3" t="n">
        <v>2026</v>
      </c>
      <c r="C1350" s="26" t="inlineStr">
        <is>
          <t>Yanara Power</t>
        </is>
      </c>
      <c r="D1350" s="3" t="inlineStr">
        <is>
          <t>Utility and C&amp;I</t>
        </is>
      </c>
      <c r="E1350" s="3" t="n"/>
      <c r="F1350" s="3" t="inlineStr">
        <is>
          <t>Closed</t>
        </is>
      </c>
      <c r="G1350" s="9" t="inlineStr">
        <is>
          <t xml:space="preserve">Ashish Jindal </t>
        </is>
      </c>
      <c r="H1350" s="26" t="n">
        <v>9983975581</v>
      </c>
      <c r="I1350" s="38" t="inlineStr">
        <is>
          <t>PE01052601</t>
        </is>
      </c>
      <c r="J1350" s="26" t="inlineStr">
        <is>
          <t>Multiple Issues</t>
        </is>
      </c>
      <c r="K1350" s="39" t="inlineStr">
        <is>
          <t>Holi</t>
        </is>
      </c>
      <c r="L1350" s="39" t="inlineStr">
        <is>
          <t>Maharashtra</t>
        </is>
      </c>
      <c r="M1350" s="9" t="inlineStr">
        <is>
          <t>PS</t>
        </is>
      </c>
      <c r="N1350" s="3" t="inlineStr">
        <is>
          <t>Cold Soldering</t>
        </is>
      </c>
      <c r="O1350" s="39" t="n">
        <v>575</v>
      </c>
      <c r="P1350" s="9" t="inlineStr">
        <is>
          <t>NSMI24070197200</t>
        </is>
      </c>
      <c r="Q1350" s="53">
        <f>MID(P1350,5,2)</f>
        <v/>
      </c>
      <c r="R1350" s="53">
        <f>MID(P1350,7,2)</f>
        <v/>
      </c>
      <c r="S1350" s="3" t="inlineStr">
        <is>
          <t>G2G</t>
        </is>
      </c>
      <c r="T1350" s="3" t="inlineStr">
        <is>
          <t>P4</t>
        </is>
      </c>
      <c r="U1350" s="19" t="inlineStr">
        <is>
          <t>P JB Cold Soldering</t>
        </is>
      </c>
      <c r="V1350" s="19" t="inlineStr">
        <is>
          <t>Soldering</t>
        </is>
      </c>
      <c r="W1350" s="3" t="inlineStr">
        <is>
          <t>Repair</t>
        </is>
      </c>
      <c r="X1350" s="18" t="n">
        <v>46158</v>
      </c>
      <c r="Y1350" s="73">
        <f>IF(X1350="","",X1350-A1350)</f>
        <v/>
      </c>
      <c r="Z1350" s="18" t="n">
        <v>46158</v>
      </c>
      <c r="AA1350" s="15" t="n"/>
      <c r="AB1350" s="15" t="n"/>
      <c r="AF1350">
        <f>IF(AND($F1350="Closed",$X1350&gt;=DATE(2026,5,1),$X1350&lt;=DATE(2026,5,31)),"Closed in May","Other")</f>
        <v/>
      </c>
    </row>
    <row r="1351">
      <c r="A1351" s="37" t="n">
        <v>46143</v>
      </c>
      <c r="B1351" s="3" t="n">
        <v>2026</v>
      </c>
      <c r="C1351" s="26" t="inlineStr">
        <is>
          <t>Yanara Power</t>
        </is>
      </c>
      <c r="D1351" s="3" t="inlineStr">
        <is>
          <t>Utility and C&amp;I</t>
        </is>
      </c>
      <c r="E1351" s="3" t="n"/>
      <c r="F1351" s="3" t="inlineStr">
        <is>
          <t>Closed</t>
        </is>
      </c>
      <c r="G1351" s="9" t="inlineStr">
        <is>
          <t xml:space="preserve">Ashish Jindal </t>
        </is>
      </c>
      <c r="H1351" s="26" t="n">
        <v>9983975581</v>
      </c>
      <c r="I1351" s="38" t="inlineStr">
        <is>
          <t>PE01052601</t>
        </is>
      </c>
      <c r="J1351" s="26" t="inlineStr">
        <is>
          <t>Multiple Issues</t>
        </is>
      </c>
      <c r="K1351" s="39" t="inlineStr">
        <is>
          <t>Holi</t>
        </is>
      </c>
      <c r="L1351" s="39" t="inlineStr">
        <is>
          <t>Maharashtra</t>
        </is>
      </c>
      <c r="M1351" s="9" t="inlineStr">
        <is>
          <t>NS</t>
        </is>
      </c>
      <c r="N1351" s="3" t="inlineStr">
        <is>
          <t>Cold Soldering</t>
        </is>
      </c>
      <c r="O1351" s="39" t="n">
        <v>575</v>
      </c>
      <c r="P1351" s="9" t="inlineStr">
        <is>
          <t>NSMI24070196838</t>
        </is>
      </c>
      <c r="Q1351" s="53">
        <f>MID(P1351,5,2)</f>
        <v/>
      </c>
      <c r="R1351" s="53">
        <f>MID(P1351,7,2)</f>
        <v/>
      </c>
      <c r="S1351" s="3" t="inlineStr">
        <is>
          <t>G2G</t>
        </is>
      </c>
      <c r="T1351" s="3" t="inlineStr">
        <is>
          <t>P4</t>
        </is>
      </c>
      <c r="U1351" s="3" t="inlineStr">
        <is>
          <t>N JB Cold Soldering</t>
        </is>
      </c>
      <c r="V1351" s="3" t="inlineStr">
        <is>
          <t>Soldering</t>
        </is>
      </c>
      <c r="W1351" s="3" t="inlineStr">
        <is>
          <t>Repair</t>
        </is>
      </c>
      <c r="X1351" s="18" t="n">
        <v>46158</v>
      </c>
      <c r="Y1351" s="73">
        <f>IF(X1351="","",X1351-A1351)</f>
        <v/>
      </c>
      <c r="Z1351" s="18" t="n">
        <v>46158</v>
      </c>
      <c r="AA1351" s="15" t="n"/>
      <c r="AB1351" s="15" t="n"/>
      <c r="AF1351">
        <f>IF(AND($F1351="Closed",$X1351&gt;=DATE(2026,5,1),$X1351&lt;=DATE(2026,5,31)),"Closed in May","Other")</f>
        <v/>
      </c>
    </row>
    <row r="1352">
      <c r="A1352" s="37" t="n">
        <v>46143</v>
      </c>
      <c r="B1352" s="3" t="n">
        <v>2026</v>
      </c>
      <c r="C1352" s="26" t="inlineStr">
        <is>
          <t>Yanara Power</t>
        </is>
      </c>
      <c r="D1352" s="3" t="inlineStr">
        <is>
          <t>Utility and C&amp;I</t>
        </is>
      </c>
      <c r="E1352" s="3" t="n"/>
      <c r="F1352" s="3" t="inlineStr">
        <is>
          <t>Closed</t>
        </is>
      </c>
      <c r="G1352" s="9" t="inlineStr">
        <is>
          <t xml:space="preserve">Ashish Jindal </t>
        </is>
      </c>
      <c r="H1352" s="26" t="n">
        <v>9983975581</v>
      </c>
      <c r="I1352" s="38" t="inlineStr">
        <is>
          <t>PE01052601</t>
        </is>
      </c>
      <c r="J1352" s="26" t="inlineStr">
        <is>
          <t>Multiple Issues</t>
        </is>
      </c>
      <c r="K1352" s="39" t="inlineStr">
        <is>
          <t>Holi</t>
        </is>
      </c>
      <c r="L1352" s="39" t="inlineStr">
        <is>
          <t>Maharashtra</t>
        </is>
      </c>
      <c r="M1352" s="9" t="inlineStr">
        <is>
          <t>PNS</t>
        </is>
      </c>
      <c r="N1352" s="3" t="inlineStr">
        <is>
          <t>Cold Soldering</t>
        </is>
      </c>
      <c r="O1352" s="39" t="n">
        <v>575</v>
      </c>
      <c r="P1352" s="9" t="inlineStr">
        <is>
          <t>NSMI24070196116</t>
        </is>
      </c>
      <c r="Q1352" s="53">
        <f>MID(P1352,5,2)</f>
        <v/>
      </c>
      <c r="R1352" s="53">
        <f>MID(P1352,7,2)</f>
        <v/>
      </c>
      <c r="S1352" s="3" t="inlineStr">
        <is>
          <t>G2G</t>
        </is>
      </c>
      <c r="T1352" s="3" t="inlineStr">
        <is>
          <t>P4</t>
        </is>
      </c>
      <c r="U1352" s="3" t="inlineStr">
        <is>
          <t>P &amp; N JB Cold Soldering</t>
        </is>
      </c>
      <c r="V1352" s="3" t="inlineStr">
        <is>
          <t>Soldering</t>
        </is>
      </c>
      <c r="W1352" s="3" t="inlineStr">
        <is>
          <t>Repair</t>
        </is>
      </c>
      <c r="X1352" s="18" t="n">
        <v>46158</v>
      </c>
      <c r="Y1352" s="73">
        <f>IF(X1352="","",X1352-A1352)</f>
        <v/>
      </c>
      <c r="Z1352" s="18" t="n">
        <v>46158</v>
      </c>
      <c r="AA1352" s="15" t="n"/>
      <c r="AB1352" s="15" t="n"/>
      <c r="AF1352">
        <f>IF(AND($F1352="Closed",$X1352&gt;=DATE(2026,5,1),$X1352&lt;=DATE(2026,5,31)),"Closed in May","Other")</f>
        <v/>
      </c>
    </row>
    <row r="1353">
      <c r="A1353" s="37" t="n">
        <v>46143</v>
      </c>
      <c r="B1353" s="3" t="n">
        <v>2026</v>
      </c>
      <c r="C1353" s="26" t="inlineStr">
        <is>
          <t>Yanara Power</t>
        </is>
      </c>
      <c r="D1353" s="3" t="inlineStr">
        <is>
          <t>Utility and C&amp;I</t>
        </is>
      </c>
      <c r="E1353" s="3" t="n"/>
      <c r="F1353" s="3" t="inlineStr">
        <is>
          <t>Closed</t>
        </is>
      </c>
      <c r="G1353" s="9" t="inlineStr">
        <is>
          <t xml:space="preserve">Ashish Jindal </t>
        </is>
      </c>
      <c r="H1353" s="26" t="n">
        <v>9983975581</v>
      </c>
      <c r="I1353" s="38" t="inlineStr">
        <is>
          <t>PE01052601</t>
        </is>
      </c>
      <c r="J1353" s="26" t="inlineStr">
        <is>
          <t>Multiple Issues</t>
        </is>
      </c>
      <c r="K1353" s="39" t="inlineStr">
        <is>
          <t>Holi</t>
        </is>
      </c>
      <c r="L1353" s="39" t="inlineStr">
        <is>
          <t>Maharashtra</t>
        </is>
      </c>
      <c r="M1353" s="9" t="inlineStr">
        <is>
          <t>PS</t>
        </is>
      </c>
      <c r="N1353" s="3" t="inlineStr">
        <is>
          <t>Cold Soldering</t>
        </is>
      </c>
      <c r="O1353" s="39" t="n">
        <v>575</v>
      </c>
      <c r="P1353" s="9" t="inlineStr">
        <is>
          <t>NSMI24070196436</t>
        </is>
      </c>
      <c r="Q1353" s="53">
        <f>MID(P1353,5,2)</f>
        <v/>
      </c>
      <c r="R1353" s="53">
        <f>MID(P1353,7,2)</f>
        <v/>
      </c>
      <c r="S1353" s="3" t="inlineStr">
        <is>
          <t>G2G</t>
        </is>
      </c>
      <c r="T1353" s="3" t="inlineStr">
        <is>
          <t>P4</t>
        </is>
      </c>
      <c r="U1353" s="19" t="inlineStr">
        <is>
          <t>P JB Cold Soldering</t>
        </is>
      </c>
      <c r="V1353" s="19" t="inlineStr">
        <is>
          <t>Soldering</t>
        </is>
      </c>
      <c r="W1353" s="3" t="inlineStr">
        <is>
          <t>Repair</t>
        </is>
      </c>
      <c r="X1353" s="18" t="n">
        <v>46158</v>
      </c>
      <c r="Y1353" s="73">
        <f>IF(X1353="","",X1353-A1353)</f>
        <v/>
      </c>
      <c r="Z1353" s="18" t="n">
        <v>46158</v>
      </c>
      <c r="AA1353" s="15" t="n"/>
      <c r="AB1353" s="15" t="n"/>
      <c r="AF1353">
        <f>IF(AND($F1353="Closed",$X1353&gt;=DATE(2026,5,1),$X1353&lt;=DATE(2026,5,31)),"Closed in May","Other")</f>
        <v/>
      </c>
    </row>
    <row r="1354">
      <c r="A1354" s="37" t="n">
        <v>46143</v>
      </c>
      <c r="B1354" s="3" t="n">
        <v>2026</v>
      </c>
      <c r="C1354" s="26" t="inlineStr">
        <is>
          <t>Yanara Power</t>
        </is>
      </c>
      <c r="D1354" s="3" t="inlineStr">
        <is>
          <t>Utility and C&amp;I</t>
        </is>
      </c>
      <c r="E1354" s="3" t="n"/>
      <c r="F1354" s="3" t="inlineStr">
        <is>
          <t>Closed</t>
        </is>
      </c>
      <c r="G1354" s="9" t="inlineStr">
        <is>
          <t xml:space="preserve">Ashish Jindal </t>
        </is>
      </c>
      <c r="H1354" s="26" t="n">
        <v>9983975581</v>
      </c>
      <c r="I1354" s="38" t="inlineStr">
        <is>
          <t>PE01052601</t>
        </is>
      </c>
      <c r="J1354" s="26" t="inlineStr">
        <is>
          <t>Multiple Issues</t>
        </is>
      </c>
      <c r="K1354" s="39" t="inlineStr">
        <is>
          <t>Holi</t>
        </is>
      </c>
      <c r="L1354" s="39" t="inlineStr">
        <is>
          <t>Maharashtra</t>
        </is>
      </c>
      <c r="M1354" s="9" t="inlineStr">
        <is>
          <t>NS</t>
        </is>
      </c>
      <c r="N1354" s="3" t="inlineStr">
        <is>
          <t>Cold Soldering</t>
        </is>
      </c>
      <c r="O1354" s="39" t="n">
        <v>575</v>
      </c>
      <c r="P1354" s="9" t="inlineStr">
        <is>
          <t>NSMI24070197206</t>
        </is>
      </c>
      <c r="Q1354" s="53">
        <f>MID(P1354,5,2)</f>
        <v/>
      </c>
      <c r="R1354" s="53">
        <f>MID(P1354,7,2)</f>
        <v/>
      </c>
      <c r="S1354" s="3" t="inlineStr">
        <is>
          <t>G2G</t>
        </is>
      </c>
      <c r="T1354" s="3" t="inlineStr">
        <is>
          <t>P4</t>
        </is>
      </c>
      <c r="U1354" s="3" t="inlineStr">
        <is>
          <t>N JB Cold Soldering</t>
        </is>
      </c>
      <c r="V1354" s="3" t="inlineStr">
        <is>
          <t>Soldering</t>
        </is>
      </c>
      <c r="W1354" s="3" t="inlineStr">
        <is>
          <t>Repair</t>
        </is>
      </c>
      <c r="X1354" s="18" t="n">
        <v>46158</v>
      </c>
      <c r="Y1354" s="73">
        <f>IF(X1354="","",X1354-A1354)</f>
        <v/>
      </c>
      <c r="Z1354" s="18" t="n">
        <v>46158</v>
      </c>
      <c r="AA1354" s="15" t="n"/>
      <c r="AB1354" s="15" t="n"/>
      <c r="AF1354">
        <f>IF(AND($F1354="Closed",$X1354&gt;=DATE(2026,5,1),$X1354&lt;=DATE(2026,5,31)),"Closed in May","Other")</f>
        <v/>
      </c>
    </row>
    <row r="1355">
      <c r="A1355" s="37" t="n">
        <v>46143</v>
      </c>
      <c r="B1355" s="3" t="n">
        <v>2026</v>
      </c>
      <c r="C1355" s="26" t="inlineStr">
        <is>
          <t>Yanara Power</t>
        </is>
      </c>
      <c r="D1355" s="3" t="inlineStr">
        <is>
          <t>Utility and C&amp;I</t>
        </is>
      </c>
      <c r="E1355" s="3" t="n"/>
      <c r="F1355" s="3" t="inlineStr">
        <is>
          <t>Closed</t>
        </is>
      </c>
      <c r="G1355" s="9" t="inlineStr">
        <is>
          <t xml:space="preserve">Ashish Jindal </t>
        </is>
      </c>
      <c r="H1355" s="26" t="n">
        <v>9983975581</v>
      </c>
      <c r="I1355" s="38" t="inlineStr">
        <is>
          <t>PE01052601</t>
        </is>
      </c>
      <c r="J1355" s="26" t="inlineStr">
        <is>
          <t>Multiple Issues</t>
        </is>
      </c>
      <c r="K1355" s="39" t="inlineStr">
        <is>
          <t>Holi</t>
        </is>
      </c>
      <c r="L1355" s="39" t="inlineStr">
        <is>
          <t>Maharashtra</t>
        </is>
      </c>
      <c r="M1355" s="9" t="inlineStr">
        <is>
          <t>NS</t>
        </is>
      </c>
      <c r="N1355" s="3" t="inlineStr">
        <is>
          <t>Cold Soldering</t>
        </is>
      </c>
      <c r="O1355" s="39" t="n">
        <v>575</v>
      </c>
      <c r="P1355" s="9" t="inlineStr">
        <is>
          <t>NSMI24070197231</t>
        </is>
      </c>
      <c r="Q1355" s="53">
        <f>MID(P1355,5,2)</f>
        <v/>
      </c>
      <c r="R1355" s="53">
        <f>MID(P1355,7,2)</f>
        <v/>
      </c>
      <c r="S1355" s="3" t="inlineStr">
        <is>
          <t>G2G</t>
        </is>
      </c>
      <c r="T1355" s="3" t="inlineStr">
        <is>
          <t>P4</t>
        </is>
      </c>
      <c r="U1355" s="3" t="inlineStr">
        <is>
          <t>N JB Cold Soldering</t>
        </is>
      </c>
      <c r="V1355" s="3" t="inlineStr">
        <is>
          <t>Soldering</t>
        </is>
      </c>
      <c r="W1355" s="3" t="inlineStr">
        <is>
          <t>Repair</t>
        </is>
      </c>
      <c r="X1355" s="18" t="n">
        <v>46158</v>
      </c>
      <c r="Y1355" s="73">
        <f>IF(X1355="","",X1355-A1355)</f>
        <v/>
      </c>
      <c r="Z1355" s="18" t="n">
        <v>46158</v>
      </c>
      <c r="AA1355" s="15" t="n"/>
      <c r="AB1355" s="15" t="n"/>
      <c r="AF1355">
        <f>IF(AND($F1355="Closed",$X1355&gt;=DATE(2026,5,1),$X1355&lt;=DATE(2026,5,31)),"Closed in May","Other")</f>
        <v/>
      </c>
    </row>
    <row r="1356">
      <c r="A1356" s="37" t="n">
        <v>46143</v>
      </c>
      <c r="B1356" s="3" t="n">
        <v>2026</v>
      </c>
      <c r="C1356" s="26" t="inlineStr">
        <is>
          <t>Yanara Power</t>
        </is>
      </c>
      <c r="D1356" s="3" t="inlineStr">
        <is>
          <t>Utility and C&amp;I</t>
        </is>
      </c>
      <c r="E1356" s="3" t="n"/>
      <c r="F1356" s="3" t="inlineStr">
        <is>
          <t>Closed</t>
        </is>
      </c>
      <c r="G1356" s="9" t="inlineStr">
        <is>
          <t xml:space="preserve">Ashish Jindal </t>
        </is>
      </c>
      <c r="H1356" s="26" t="n">
        <v>9983975581</v>
      </c>
      <c r="I1356" s="38" t="inlineStr">
        <is>
          <t>PE01052601</t>
        </is>
      </c>
      <c r="J1356" s="26" t="inlineStr">
        <is>
          <t>Multiple Issues</t>
        </is>
      </c>
      <c r="K1356" s="39" t="inlineStr">
        <is>
          <t>Holi</t>
        </is>
      </c>
      <c r="L1356" s="39" t="inlineStr">
        <is>
          <t>Maharashtra</t>
        </is>
      </c>
      <c r="M1356" s="9" t="inlineStr">
        <is>
          <t>PS</t>
        </is>
      </c>
      <c r="N1356" s="3" t="inlineStr">
        <is>
          <t>Cold Soldering</t>
        </is>
      </c>
      <c r="O1356" s="39" t="n">
        <v>575</v>
      </c>
      <c r="P1356" s="9" t="inlineStr">
        <is>
          <t>NSMI24070197940</t>
        </is>
      </c>
      <c r="Q1356" s="53">
        <f>MID(P1356,5,2)</f>
        <v/>
      </c>
      <c r="R1356" s="53">
        <f>MID(P1356,7,2)</f>
        <v/>
      </c>
      <c r="S1356" s="3" t="inlineStr">
        <is>
          <t>G2G</t>
        </is>
      </c>
      <c r="T1356" s="3" t="inlineStr">
        <is>
          <t>P4</t>
        </is>
      </c>
      <c r="U1356" s="19" t="inlineStr">
        <is>
          <t>P JB Cold Soldering</t>
        </is>
      </c>
      <c r="V1356" s="19" t="inlineStr">
        <is>
          <t>Soldering</t>
        </is>
      </c>
      <c r="W1356" s="3" t="inlineStr">
        <is>
          <t>Repair</t>
        </is>
      </c>
      <c r="X1356" s="18" t="n">
        <v>46158</v>
      </c>
      <c r="Y1356" s="73">
        <f>IF(X1356="","",X1356-A1356)</f>
        <v/>
      </c>
      <c r="Z1356" s="18" t="n">
        <v>46158</v>
      </c>
      <c r="AA1356" s="15" t="n"/>
      <c r="AB1356" s="15" t="n"/>
      <c r="AF1356">
        <f>IF(AND($F1356="Closed",$X1356&gt;=DATE(2026,5,1),$X1356&lt;=DATE(2026,5,31)),"Closed in May","Other")</f>
        <v/>
      </c>
    </row>
    <row r="1357">
      <c r="A1357" s="37" t="n">
        <v>46143</v>
      </c>
      <c r="B1357" s="3" t="n">
        <v>2026</v>
      </c>
      <c r="C1357" s="26" t="inlineStr">
        <is>
          <t>Yanara Power</t>
        </is>
      </c>
      <c r="D1357" s="3" t="inlineStr">
        <is>
          <t>Utility and C&amp;I</t>
        </is>
      </c>
      <c r="E1357" s="3" t="n"/>
      <c r="F1357" s="3" t="inlineStr">
        <is>
          <t>Closed</t>
        </is>
      </c>
      <c r="G1357" s="9" t="inlineStr">
        <is>
          <t xml:space="preserve">Ashish Jindal </t>
        </is>
      </c>
      <c r="H1357" s="26" t="n">
        <v>9983975581</v>
      </c>
      <c r="I1357" s="38" t="inlineStr">
        <is>
          <t>PE01052601</t>
        </is>
      </c>
      <c r="J1357" s="26" t="inlineStr">
        <is>
          <t>Multiple Issues</t>
        </is>
      </c>
      <c r="K1357" s="39" t="inlineStr">
        <is>
          <t>Holi</t>
        </is>
      </c>
      <c r="L1357" s="39" t="inlineStr">
        <is>
          <t>Maharashtra</t>
        </is>
      </c>
      <c r="M1357" s="9" t="inlineStr">
        <is>
          <t>PS</t>
        </is>
      </c>
      <c r="N1357" s="3" t="inlineStr">
        <is>
          <t>Cold Soldering</t>
        </is>
      </c>
      <c r="O1357" s="39" t="n">
        <v>575</v>
      </c>
      <c r="P1357" s="9" t="inlineStr">
        <is>
          <t>NSMI24070196147</t>
        </is>
      </c>
      <c r="Q1357" s="53">
        <f>MID(P1357,5,2)</f>
        <v/>
      </c>
      <c r="R1357" s="53">
        <f>MID(P1357,7,2)</f>
        <v/>
      </c>
      <c r="S1357" s="3" t="inlineStr">
        <is>
          <t>G2G</t>
        </is>
      </c>
      <c r="T1357" s="3" t="inlineStr">
        <is>
          <t>P4</t>
        </is>
      </c>
      <c r="U1357" s="19" t="inlineStr">
        <is>
          <t>P JB Cold Soldering</t>
        </is>
      </c>
      <c r="V1357" s="19" t="inlineStr">
        <is>
          <t>Soldering</t>
        </is>
      </c>
      <c r="W1357" s="3" t="inlineStr">
        <is>
          <t>Repair</t>
        </is>
      </c>
      <c r="X1357" s="18" t="n">
        <v>46158</v>
      </c>
      <c r="Y1357" s="73">
        <f>IF(X1357="","",X1357-A1357)</f>
        <v/>
      </c>
      <c r="Z1357" s="18" t="n">
        <v>46158</v>
      </c>
      <c r="AA1357" s="15" t="n"/>
      <c r="AB1357" s="15" t="n"/>
      <c r="AF1357">
        <f>IF(AND($F1357="Closed",$X1357&gt;=DATE(2026,5,1),$X1357&lt;=DATE(2026,5,31)),"Closed in May","Other")</f>
        <v/>
      </c>
    </row>
    <row r="1358">
      <c r="A1358" s="37" t="n">
        <v>46143</v>
      </c>
      <c r="B1358" s="3" t="n">
        <v>2026</v>
      </c>
      <c r="C1358" s="26" t="inlineStr">
        <is>
          <t>Yanara Power</t>
        </is>
      </c>
      <c r="D1358" s="3" t="inlineStr">
        <is>
          <t>Utility and C&amp;I</t>
        </is>
      </c>
      <c r="E1358" s="3" t="n"/>
      <c r="F1358" s="3" t="inlineStr">
        <is>
          <t>Closed</t>
        </is>
      </c>
      <c r="G1358" s="9" t="inlineStr">
        <is>
          <t xml:space="preserve">Ashish Jindal </t>
        </is>
      </c>
      <c r="H1358" s="26" t="n">
        <v>9983975581</v>
      </c>
      <c r="I1358" s="38" t="inlineStr">
        <is>
          <t>PE01052601</t>
        </is>
      </c>
      <c r="J1358" s="26" t="inlineStr">
        <is>
          <t>Multiple Issues</t>
        </is>
      </c>
      <c r="K1358" s="39" t="inlineStr">
        <is>
          <t>Holi</t>
        </is>
      </c>
      <c r="L1358" s="39" t="inlineStr">
        <is>
          <t>Maharashtra</t>
        </is>
      </c>
      <c r="M1358" s="9" t="inlineStr">
        <is>
          <t>NS</t>
        </is>
      </c>
      <c r="N1358" s="3" t="inlineStr">
        <is>
          <t>Cold Soldering</t>
        </is>
      </c>
      <c r="O1358" s="39" t="n">
        <v>575</v>
      </c>
      <c r="P1358" s="9" t="inlineStr">
        <is>
          <t>NSMI24070185458</t>
        </is>
      </c>
      <c r="Q1358" s="53">
        <f>MID(P1358,5,2)</f>
        <v/>
      </c>
      <c r="R1358" s="53">
        <f>MID(P1358,7,2)</f>
        <v/>
      </c>
      <c r="S1358" s="3" t="inlineStr">
        <is>
          <t>G2G</t>
        </is>
      </c>
      <c r="T1358" s="3" t="inlineStr">
        <is>
          <t>P4</t>
        </is>
      </c>
      <c r="U1358" s="3" t="inlineStr">
        <is>
          <t>N JB Cold Soldering</t>
        </is>
      </c>
      <c r="V1358" s="3" t="inlineStr">
        <is>
          <t>Soldering</t>
        </is>
      </c>
      <c r="W1358" s="3" t="inlineStr">
        <is>
          <t>Repair</t>
        </is>
      </c>
      <c r="X1358" s="18" t="n">
        <v>46159</v>
      </c>
      <c r="Y1358" s="73">
        <f>IF(X1358="","",X1358-A1358)</f>
        <v/>
      </c>
      <c r="Z1358" s="18" t="n">
        <v>46159</v>
      </c>
      <c r="AA1358" s="15" t="n"/>
      <c r="AB1358" s="15" t="n"/>
      <c r="AF1358">
        <f>IF(AND($F1358="Closed",$X1358&gt;=DATE(2026,5,1),$X1358&lt;=DATE(2026,5,31)),"Closed in May","Other")</f>
        <v/>
      </c>
    </row>
    <row r="1359">
      <c r="A1359" s="37" t="n">
        <v>46143</v>
      </c>
      <c r="B1359" s="3" t="n">
        <v>2026</v>
      </c>
      <c r="C1359" s="26" t="inlineStr">
        <is>
          <t>Yanara Power</t>
        </is>
      </c>
      <c r="D1359" s="3" t="inlineStr">
        <is>
          <t>Utility and C&amp;I</t>
        </is>
      </c>
      <c r="E1359" s="3" t="n"/>
      <c r="F1359" s="3" t="inlineStr">
        <is>
          <t>Closed</t>
        </is>
      </c>
      <c r="G1359" s="9" t="inlineStr">
        <is>
          <t xml:space="preserve">Ashish Jindal </t>
        </is>
      </c>
      <c r="H1359" s="26" t="n">
        <v>9983975581</v>
      </c>
      <c r="I1359" s="38" t="inlineStr">
        <is>
          <t>PE01052601</t>
        </is>
      </c>
      <c r="J1359" s="26" t="inlineStr">
        <is>
          <t>Multiple Issues</t>
        </is>
      </c>
      <c r="K1359" s="39" t="inlineStr">
        <is>
          <t>Holi</t>
        </is>
      </c>
      <c r="L1359" s="39" t="inlineStr">
        <is>
          <t>Maharashtra</t>
        </is>
      </c>
      <c r="M1359" s="9" t="inlineStr">
        <is>
          <t>OK</t>
        </is>
      </c>
      <c r="N1359" s="3" t="inlineStr">
        <is>
          <t>No Issue</t>
        </is>
      </c>
      <c r="O1359" s="39" t="n">
        <v>575</v>
      </c>
      <c r="P1359" s="9" t="inlineStr">
        <is>
          <t>NSMI24070185733</t>
        </is>
      </c>
      <c r="Q1359" s="53">
        <f>MID(P1359,5,2)</f>
        <v/>
      </c>
      <c r="R1359" s="53">
        <f>MID(P1359,7,2)</f>
        <v/>
      </c>
      <c r="S1359" s="3" t="inlineStr">
        <is>
          <t>G2G</t>
        </is>
      </c>
      <c r="T1359" s="3" t="inlineStr">
        <is>
          <t>P4</t>
        </is>
      </c>
      <c r="U1359" s="19" t="inlineStr">
        <is>
          <t>No Issue Found</t>
        </is>
      </c>
      <c r="V1359" s="19" t="inlineStr">
        <is>
          <t>Found OK</t>
        </is>
      </c>
      <c r="W1359" s="3" t="inlineStr">
        <is>
          <t>Repair</t>
        </is>
      </c>
      <c r="X1359" s="18" t="n">
        <v>46159</v>
      </c>
      <c r="Y1359" s="73">
        <f>IF(X1359="","",X1359-A1359)</f>
        <v/>
      </c>
      <c r="Z1359" s="18" t="n">
        <v>46159</v>
      </c>
      <c r="AA1359" s="15" t="n"/>
      <c r="AB1359" s="15" t="n"/>
      <c r="AF1359">
        <f>IF(AND($F1359="Closed",$X1359&gt;=DATE(2026,5,1),$X1359&lt;=DATE(2026,5,31)),"Closed in May","Other")</f>
        <v/>
      </c>
    </row>
    <row r="1360">
      <c r="A1360" s="37" t="n">
        <v>46143</v>
      </c>
      <c r="B1360" s="3" t="n">
        <v>2026</v>
      </c>
      <c r="C1360" s="26" t="inlineStr">
        <is>
          <t>Yanara Power</t>
        </is>
      </c>
      <c r="D1360" s="3" t="inlineStr">
        <is>
          <t>Utility and C&amp;I</t>
        </is>
      </c>
      <c r="E1360" s="3" t="n"/>
      <c r="F1360" s="3" t="inlineStr">
        <is>
          <t>Closed</t>
        </is>
      </c>
      <c r="G1360" s="9" t="inlineStr">
        <is>
          <t xml:space="preserve">Ashish Jindal </t>
        </is>
      </c>
      <c r="H1360" s="26" t="n">
        <v>9983975581</v>
      </c>
      <c r="I1360" s="38" t="inlineStr">
        <is>
          <t>PE01052601</t>
        </is>
      </c>
      <c r="J1360" s="26" t="inlineStr">
        <is>
          <t>Multiple Issues</t>
        </is>
      </c>
      <c r="K1360" s="39" t="inlineStr">
        <is>
          <t>Holi</t>
        </is>
      </c>
      <c r="L1360" s="39" t="inlineStr">
        <is>
          <t>Maharashtra</t>
        </is>
      </c>
      <c r="M1360" s="9" t="inlineStr">
        <is>
          <t>NS</t>
        </is>
      </c>
      <c r="N1360" s="3" t="inlineStr">
        <is>
          <t>Cold Soldering</t>
        </is>
      </c>
      <c r="O1360" s="39" t="n">
        <v>575</v>
      </c>
      <c r="P1360" s="9" t="inlineStr">
        <is>
          <t>NSMI24070198585</t>
        </is>
      </c>
      <c r="Q1360" s="53">
        <f>MID(P1360,5,2)</f>
        <v/>
      </c>
      <c r="R1360" s="53">
        <f>MID(P1360,7,2)</f>
        <v/>
      </c>
      <c r="S1360" s="3" t="inlineStr">
        <is>
          <t>G2G</t>
        </is>
      </c>
      <c r="T1360" s="3" t="inlineStr">
        <is>
          <t>P4</t>
        </is>
      </c>
      <c r="U1360" s="3" t="inlineStr">
        <is>
          <t>N JB Cold Soldering</t>
        </is>
      </c>
      <c r="V1360" s="3" t="inlineStr">
        <is>
          <t>Soldering</t>
        </is>
      </c>
      <c r="W1360" s="3" t="inlineStr">
        <is>
          <t>Repair</t>
        </is>
      </c>
      <c r="X1360" s="18" t="n">
        <v>46159</v>
      </c>
      <c r="Y1360" s="73">
        <f>IF(X1360="","",X1360-A1360)</f>
        <v/>
      </c>
      <c r="Z1360" s="18" t="n">
        <v>46159</v>
      </c>
      <c r="AA1360" s="15" t="n"/>
      <c r="AB1360" s="15" t="n"/>
      <c r="AF1360">
        <f>IF(AND($F1360="Closed",$X1360&gt;=DATE(2026,5,1),$X1360&lt;=DATE(2026,5,31)),"Closed in May","Other")</f>
        <v/>
      </c>
    </row>
    <row r="1361">
      <c r="A1361" s="37" t="n">
        <v>46143</v>
      </c>
      <c r="B1361" s="3" t="n">
        <v>2026</v>
      </c>
      <c r="C1361" s="26" t="inlineStr">
        <is>
          <t>Yanara Power</t>
        </is>
      </c>
      <c r="D1361" s="3" t="inlineStr">
        <is>
          <t>Utility and C&amp;I</t>
        </is>
      </c>
      <c r="E1361" s="3" t="n"/>
      <c r="F1361" s="3" t="inlineStr">
        <is>
          <t>Closed</t>
        </is>
      </c>
      <c r="G1361" s="9" t="inlineStr">
        <is>
          <t xml:space="preserve">Ashish Jindal </t>
        </is>
      </c>
      <c r="H1361" s="26" t="n">
        <v>9983975581</v>
      </c>
      <c r="I1361" s="38" t="inlineStr">
        <is>
          <t>PE01052601</t>
        </is>
      </c>
      <c r="J1361" s="26" t="inlineStr">
        <is>
          <t>Multiple Issues</t>
        </is>
      </c>
      <c r="K1361" s="39" t="inlineStr">
        <is>
          <t>Holi</t>
        </is>
      </c>
      <c r="L1361" s="39" t="inlineStr">
        <is>
          <t>Maharashtra</t>
        </is>
      </c>
      <c r="M1361" s="9" t="inlineStr">
        <is>
          <t>PS</t>
        </is>
      </c>
      <c r="N1361" s="3" t="inlineStr">
        <is>
          <t>Cold Soldering</t>
        </is>
      </c>
      <c r="O1361" s="39" t="n">
        <v>575</v>
      </c>
      <c r="P1361" s="9" t="inlineStr">
        <is>
          <t>NSMI24070187468</t>
        </is>
      </c>
      <c r="Q1361" s="53">
        <f>MID(P1361,5,2)</f>
        <v/>
      </c>
      <c r="R1361" s="53">
        <f>MID(P1361,7,2)</f>
        <v/>
      </c>
      <c r="S1361" s="3" t="inlineStr">
        <is>
          <t>G2G</t>
        </is>
      </c>
      <c r="T1361" s="3" t="inlineStr">
        <is>
          <t>P4</t>
        </is>
      </c>
      <c r="U1361" s="19" t="inlineStr">
        <is>
          <t>P JB Cold Soldering</t>
        </is>
      </c>
      <c r="V1361" s="19" t="inlineStr">
        <is>
          <t>Soldering</t>
        </is>
      </c>
      <c r="W1361" s="3" t="inlineStr">
        <is>
          <t>Repair</t>
        </is>
      </c>
      <c r="X1361" s="18" t="n">
        <v>46159</v>
      </c>
      <c r="Y1361" s="73">
        <f>IF(X1361="","",X1361-A1361)</f>
        <v/>
      </c>
      <c r="Z1361" s="18" t="n">
        <v>46159</v>
      </c>
      <c r="AA1361" s="15" t="n"/>
      <c r="AB1361" s="15" t="n"/>
      <c r="AF1361">
        <f>IF(AND($F1361="Closed",$X1361&gt;=DATE(2026,5,1),$X1361&lt;=DATE(2026,5,31)),"Closed in May","Other")</f>
        <v/>
      </c>
    </row>
    <row r="1362">
      <c r="A1362" s="37" t="n">
        <v>46143</v>
      </c>
      <c r="B1362" s="3" t="n">
        <v>2026</v>
      </c>
      <c r="C1362" s="26" t="inlineStr">
        <is>
          <t>Yanara Power</t>
        </is>
      </c>
      <c r="D1362" s="3" t="inlineStr">
        <is>
          <t>Utility and C&amp;I</t>
        </is>
      </c>
      <c r="E1362" s="3" t="n"/>
      <c r="F1362" s="3" t="inlineStr">
        <is>
          <t>Closed</t>
        </is>
      </c>
      <c r="G1362" s="9" t="inlineStr">
        <is>
          <t xml:space="preserve">Ashish Jindal </t>
        </is>
      </c>
      <c r="H1362" s="26" t="n">
        <v>9983975581</v>
      </c>
      <c r="I1362" s="38" t="inlineStr">
        <is>
          <t>PE01052601</t>
        </is>
      </c>
      <c r="J1362" s="26" t="inlineStr">
        <is>
          <t>Multiple Issues</t>
        </is>
      </c>
      <c r="K1362" s="39" t="inlineStr">
        <is>
          <t>Holi</t>
        </is>
      </c>
      <c r="L1362" s="39" t="inlineStr">
        <is>
          <t>Maharashtra</t>
        </is>
      </c>
      <c r="M1362" s="9" t="inlineStr">
        <is>
          <t>PS</t>
        </is>
      </c>
      <c r="N1362" s="3" t="inlineStr">
        <is>
          <t>Cold Soldering</t>
        </is>
      </c>
      <c r="O1362" s="39" t="n">
        <v>575</v>
      </c>
      <c r="P1362" s="9" t="inlineStr">
        <is>
          <t>NSMI24070202258</t>
        </is>
      </c>
      <c r="Q1362" s="53">
        <f>MID(P1362,5,2)</f>
        <v/>
      </c>
      <c r="R1362" s="53">
        <f>MID(P1362,7,2)</f>
        <v/>
      </c>
      <c r="S1362" s="3" t="inlineStr">
        <is>
          <t>G2G</t>
        </is>
      </c>
      <c r="T1362" s="3" t="inlineStr">
        <is>
          <t>P4</t>
        </is>
      </c>
      <c r="U1362" s="19" t="inlineStr">
        <is>
          <t>P JB Cold Soldering</t>
        </is>
      </c>
      <c r="V1362" s="19" t="inlineStr">
        <is>
          <t>Soldering</t>
        </is>
      </c>
      <c r="W1362" s="3" t="inlineStr">
        <is>
          <t>Repair</t>
        </is>
      </c>
      <c r="X1362" s="18" t="n">
        <v>46159</v>
      </c>
      <c r="Y1362" s="73">
        <f>IF(X1362="","",X1362-A1362)</f>
        <v/>
      </c>
      <c r="Z1362" s="18" t="n">
        <v>46159</v>
      </c>
      <c r="AA1362" s="15" t="n"/>
      <c r="AB1362" s="15" t="n"/>
      <c r="AF1362">
        <f>IF(AND($F1362="Closed",$X1362&gt;=DATE(2026,5,1),$X1362&lt;=DATE(2026,5,31)),"Closed in May","Other")</f>
        <v/>
      </c>
    </row>
    <row r="1363">
      <c r="A1363" s="37" t="n">
        <v>46143</v>
      </c>
      <c r="B1363" s="3" t="n">
        <v>2026</v>
      </c>
      <c r="C1363" s="26" t="inlineStr">
        <is>
          <t>Yanara Power</t>
        </is>
      </c>
      <c r="D1363" s="3" t="inlineStr">
        <is>
          <t>Utility and C&amp;I</t>
        </is>
      </c>
      <c r="E1363" s="3" t="n"/>
      <c r="F1363" s="3" t="inlineStr">
        <is>
          <t>Closed</t>
        </is>
      </c>
      <c r="G1363" s="9" t="inlineStr">
        <is>
          <t xml:space="preserve">Ashish Jindal </t>
        </is>
      </c>
      <c r="H1363" s="26" t="n">
        <v>9983975581</v>
      </c>
      <c r="I1363" s="38" t="inlineStr">
        <is>
          <t>PE01052601</t>
        </is>
      </c>
      <c r="J1363" s="26" t="inlineStr">
        <is>
          <t>Multiple Issues</t>
        </is>
      </c>
      <c r="K1363" s="39" t="inlineStr">
        <is>
          <t>Holi</t>
        </is>
      </c>
      <c r="L1363" s="39" t="inlineStr">
        <is>
          <t>Maharashtra</t>
        </is>
      </c>
      <c r="M1363" s="9" t="inlineStr">
        <is>
          <t>PS</t>
        </is>
      </c>
      <c r="N1363" s="3" t="inlineStr">
        <is>
          <t>Cold Soldering</t>
        </is>
      </c>
      <c r="O1363" s="39" t="n">
        <v>575</v>
      </c>
      <c r="P1363" s="9" t="inlineStr">
        <is>
          <t>NSMI24070202555</t>
        </is>
      </c>
      <c r="Q1363" s="53">
        <f>MID(P1363,5,2)</f>
        <v/>
      </c>
      <c r="R1363" s="53">
        <f>MID(P1363,7,2)</f>
        <v/>
      </c>
      <c r="S1363" s="3" t="inlineStr">
        <is>
          <t>G2G</t>
        </is>
      </c>
      <c r="T1363" s="3" t="inlineStr">
        <is>
          <t>P4</t>
        </is>
      </c>
      <c r="U1363" s="19" t="inlineStr">
        <is>
          <t>P JB Cold Soldering</t>
        </is>
      </c>
      <c r="V1363" s="19" t="inlineStr">
        <is>
          <t>Soldering</t>
        </is>
      </c>
      <c r="W1363" s="3" t="inlineStr">
        <is>
          <t>Repair</t>
        </is>
      </c>
      <c r="X1363" s="18" t="n">
        <v>46159</v>
      </c>
      <c r="Y1363" s="73">
        <f>IF(X1363="","",X1363-A1363)</f>
        <v/>
      </c>
      <c r="Z1363" s="18" t="n">
        <v>46159</v>
      </c>
      <c r="AA1363" s="15" t="n"/>
      <c r="AB1363" s="15" t="n"/>
      <c r="AF1363">
        <f>IF(AND($F1363="Closed",$X1363&gt;=DATE(2026,5,1),$X1363&lt;=DATE(2026,5,31)),"Closed in May","Other")</f>
        <v/>
      </c>
    </row>
    <row r="1364">
      <c r="A1364" s="37" t="n">
        <v>46143</v>
      </c>
      <c r="B1364" s="3" t="n">
        <v>2026</v>
      </c>
      <c r="C1364" s="26" t="inlineStr">
        <is>
          <t>Yanara Power</t>
        </is>
      </c>
      <c r="D1364" s="3" t="inlineStr">
        <is>
          <t>Utility and C&amp;I</t>
        </is>
      </c>
      <c r="E1364" s="3" t="n"/>
      <c r="F1364" s="3" t="inlineStr">
        <is>
          <t>Closed</t>
        </is>
      </c>
      <c r="G1364" s="9" t="inlineStr">
        <is>
          <t xml:space="preserve">Ashish Jindal </t>
        </is>
      </c>
      <c r="H1364" s="26" t="n">
        <v>9983975581</v>
      </c>
      <c r="I1364" s="38" t="inlineStr">
        <is>
          <t>PE01052601</t>
        </is>
      </c>
      <c r="J1364" s="26" t="inlineStr">
        <is>
          <t>Multiple Issues</t>
        </is>
      </c>
      <c r="K1364" s="39" t="inlineStr">
        <is>
          <t>Holi</t>
        </is>
      </c>
      <c r="L1364" s="39" t="inlineStr">
        <is>
          <t>Maharashtra</t>
        </is>
      </c>
      <c r="M1364" s="9" t="inlineStr">
        <is>
          <t>PS</t>
        </is>
      </c>
      <c r="N1364" s="3" t="inlineStr">
        <is>
          <t>Cold Soldering</t>
        </is>
      </c>
      <c r="O1364" s="39" t="n">
        <v>575</v>
      </c>
      <c r="P1364" s="9" t="inlineStr">
        <is>
          <t>NSMI24070202591</t>
        </is>
      </c>
      <c r="Q1364" s="53">
        <f>MID(P1364,5,2)</f>
        <v/>
      </c>
      <c r="R1364" s="53">
        <f>MID(P1364,7,2)</f>
        <v/>
      </c>
      <c r="S1364" s="3" t="inlineStr">
        <is>
          <t>G2G</t>
        </is>
      </c>
      <c r="T1364" s="3" t="inlineStr">
        <is>
          <t>P4</t>
        </is>
      </c>
      <c r="U1364" s="19" t="inlineStr">
        <is>
          <t>P JB Cold Soldering</t>
        </is>
      </c>
      <c r="V1364" s="19" t="inlineStr">
        <is>
          <t>Soldering</t>
        </is>
      </c>
      <c r="W1364" s="3" t="inlineStr">
        <is>
          <t>Repair</t>
        </is>
      </c>
      <c r="X1364" s="18" t="n">
        <v>46159</v>
      </c>
      <c r="Y1364" s="73">
        <f>IF(X1364="","",X1364-A1364)</f>
        <v/>
      </c>
      <c r="Z1364" s="18" t="n">
        <v>46159</v>
      </c>
      <c r="AA1364" s="15" t="n"/>
      <c r="AB1364" s="15" t="n"/>
      <c r="AF1364">
        <f>IF(AND($F1364="Closed",$X1364&gt;=DATE(2026,5,1),$X1364&lt;=DATE(2026,5,31)),"Closed in May","Other")</f>
        <v/>
      </c>
    </row>
    <row r="1365">
      <c r="A1365" s="37" t="n">
        <v>46143</v>
      </c>
      <c r="B1365" s="3" t="n">
        <v>2026</v>
      </c>
      <c r="C1365" s="26" t="inlineStr">
        <is>
          <t>Yanara Power</t>
        </is>
      </c>
      <c r="D1365" s="3" t="inlineStr">
        <is>
          <t>Utility and C&amp;I</t>
        </is>
      </c>
      <c r="E1365" s="3" t="n"/>
      <c r="F1365" s="3" t="inlineStr">
        <is>
          <t>Closed</t>
        </is>
      </c>
      <c r="G1365" s="9" t="inlineStr">
        <is>
          <t xml:space="preserve">Ashish Jindal </t>
        </is>
      </c>
      <c r="H1365" s="26" t="n">
        <v>9983975581</v>
      </c>
      <c r="I1365" s="38" t="inlineStr">
        <is>
          <t>PE01052601</t>
        </is>
      </c>
      <c r="J1365" s="26" t="inlineStr">
        <is>
          <t>Multiple Issues</t>
        </is>
      </c>
      <c r="K1365" s="39" t="inlineStr">
        <is>
          <t>Holi</t>
        </is>
      </c>
      <c r="L1365" s="39" t="inlineStr">
        <is>
          <t>Maharashtra</t>
        </is>
      </c>
      <c r="M1365" s="9" t="inlineStr">
        <is>
          <t>PS</t>
        </is>
      </c>
      <c r="N1365" s="3" t="inlineStr">
        <is>
          <t>Cold Soldering</t>
        </is>
      </c>
      <c r="O1365" s="39" t="n">
        <v>575</v>
      </c>
      <c r="P1365" s="9" t="inlineStr">
        <is>
          <t>NSMI24070202404</t>
        </is>
      </c>
      <c r="Q1365" s="53">
        <f>MID(P1365,5,2)</f>
        <v/>
      </c>
      <c r="R1365" s="53">
        <f>MID(P1365,7,2)</f>
        <v/>
      </c>
      <c r="S1365" s="3" t="inlineStr">
        <is>
          <t>G2G</t>
        </is>
      </c>
      <c r="T1365" s="3" t="inlineStr">
        <is>
          <t>P4</t>
        </is>
      </c>
      <c r="U1365" s="19" t="inlineStr">
        <is>
          <t>P JB Cold Soldering</t>
        </is>
      </c>
      <c r="V1365" s="19" t="inlineStr">
        <is>
          <t>Soldering</t>
        </is>
      </c>
      <c r="W1365" s="3" t="inlineStr">
        <is>
          <t>Repair</t>
        </is>
      </c>
      <c r="X1365" s="18" t="n">
        <v>46159</v>
      </c>
      <c r="Y1365" s="73">
        <f>IF(X1365="","",X1365-A1365)</f>
        <v/>
      </c>
      <c r="Z1365" s="18" t="n">
        <v>46159</v>
      </c>
      <c r="AA1365" s="15" t="n"/>
      <c r="AB1365" s="15" t="n"/>
      <c r="AF1365">
        <f>IF(AND($F1365="Closed",$X1365&gt;=DATE(2026,5,1),$X1365&lt;=DATE(2026,5,31)),"Closed in May","Other")</f>
        <v/>
      </c>
    </row>
    <row r="1366">
      <c r="A1366" s="37" t="n">
        <v>46143</v>
      </c>
      <c r="B1366" s="3" t="n">
        <v>2026</v>
      </c>
      <c r="C1366" s="26" t="inlineStr">
        <is>
          <t>Yanara Power</t>
        </is>
      </c>
      <c r="D1366" s="3" t="inlineStr">
        <is>
          <t>Utility and C&amp;I</t>
        </is>
      </c>
      <c r="E1366" s="3" t="n"/>
      <c r="F1366" s="3" t="inlineStr">
        <is>
          <t>Closed</t>
        </is>
      </c>
      <c r="G1366" s="9" t="inlineStr">
        <is>
          <t xml:space="preserve">Ashish Jindal </t>
        </is>
      </c>
      <c r="H1366" s="26" t="n">
        <v>9983975581</v>
      </c>
      <c r="I1366" s="38" t="inlineStr">
        <is>
          <t>PE01052601</t>
        </is>
      </c>
      <c r="J1366" s="26" t="inlineStr">
        <is>
          <t>Multiple Issues</t>
        </is>
      </c>
      <c r="K1366" s="39" t="inlineStr">
        <is>
          <t>Holi</t>
        </is>
      </c>
      <c r="L1366" s="39" t="inlineStr">
        <is>
          <t>Maharashtra</t>
        </is>
      </c>
      <c r="M1366" s="9" t="inlineStr">
        <is>
          <t>PS</t>
        </is>
      </c>
      <c r="N1366" s="3" t="inlineStr">
        <is>
          <t>Cold Soldering</t>
        </is>
      </c>
      <c r="O1366" s="39" t="n">
        <v>575</v>
      </c>
      <c r="P1366" s="9" t="inlineStr">
        <is>
          <t>NSMI24070202520</t>
        </is>
      </c>
      <c r="Q1366" s="53">
        <f>MID(P1366,5,2)</f>
        <v/>
      </c>
      <c r="R1366" s="53">
        <f>MID(P1366,7,2)</f>
        <v/>
      </c>
      <c r="S1366" s="3" t="inlineStr">
        <is>
          <t>G2G</t>
        </is>
      </c>
      <c r="T1366" s="3" t="inlineStr">
        <is>
          <t>P4</t>
        </is>
      </c>
      <c r="U1366" s="19" t="inlineStr">
        <is>
          <t>P JB Cold Soldering</t>
        </is>
      </c>
      <c r="V1366" s="19" t="inlineStr">
        <is>
          <t>Soldering</t>
        </is>
      </c>
      <c r="W1366" s="3" t="inlineStr">
        <is>
          <t>Repair</t>
        </is>
      </c>
      <c r="X1366" s="18" t="n">
        <v>46159</v>
      </c>
      <c r="Y1366" s="73">
        <f>IF(X1366="","",X1366-A1366)</f>
        <v/>
      </c>
      <c r="Z1366" s="18" t="n">
        <v>46159</v>
      </c>
      <c r="AA1366" s="15" t="n"/>
      <c r="AB1366" s="15" t="n"/>
      <c r="AF1366">
        <f>IF(AND($F1366="Closed",$X1366&gt;=DATE(2026,5,1),$X1366&lt;=DATE(2026,5,31)),"Closed in May","Other")</f>
        <v/>
      </c>
    </row>
    <row r="1367">
      <c r="A1367" s="37" t="n">
        <v>46143</v>
      </c>
      <c r="B1367" s="3" t="n">
        <v>2026</v>
      </c>
      <c r="C1367" s="26" t="inlineStr">
        <is>
          <t>Yanara Power</t>
        </is>
      </c>
      <c r="D1367" s="3" t="inlineStr">
        <is>
          <t>Utility and C&amp;I</t>
        </is>
      </c>
      <c r="E1367" s="3" t="n"/>
      <c r="F1367" s="3" t="inlineStr">
        <is>
          <t>Closed</t>
        </is>
      </c>
      <c r="G1367" s="9" t="inlineStr">
        <is>
          <t xml:space="preserve">Ashish Jindal </t>
        </is>
      </c>
      <c r="H1367" s="26" t="n">
        <v>9983975581</v>
      </c>
      <c r="I1367" s="38" t="inlineStr">
        <is>
          <t>PE01052601</t>
        </is>
      </c>
      <c r="J1367" s="26" t="inlineStr">
        <is>
          <t>Multiple Issues</t>
        </is>
      </c>
      <c r="K1367" s="39" t="inlineStr">
        <is>
          <t>Holi</t>
        </is>
      </c>
      <c r="L1367" s="39" t="inlineStr">
        <is>
          <t>Maharashtra</t>
        </is>
      </c>
      <c r="M1367" s="9" t="inlineStr">
        <is>
          <t>NS</t>
        </is>
      </c>
      <c r="N1367" s="3" t="inlineStr">
        <is>
          <t>Cold Soldering</t>
        </is>
      </c>
      <c r="O1367" s="39" t="n">
        <v>575</v>
      </c>
      <c r="P1367" s="9" t="inlineStr">
        <is>
          <t>NSMI24070221134</t>
        </is>
      </c>
      <c r="Q1367" s="53">
        <f>MID(P1367,5,2)</f>
        <v/>
      </c>
      <c r="R1367" s="53">
        <f>MID(P1367,7,2)</f>
        <v/>
      </c>
      <c r="S1367" s="3" t="inlineStr">
        <is>
          <t>G2G</t>
        </is>
      </c>
      <c r="T1367" s="3" t="inlineStr">
        <is>
          <t>P4</t>
        </is>
      </c>
      <c r="U1367" s="3" t="inlineStr">
        <is>
          <t>N JB Cold Soldering</t>
        </is>
      </c>
      <c r="V1367" s="3" t="inlineStr">
        <is>
          <t>Soldering</t>
        </is>
      </c>
      <c r="W1367" s="3" t="inlineStr">
        <is>
          <t>Repair</t>
        </is>
      </c>
      <c r="X1367" s="18" t="n">
        <v>46159</v>
      </c>
      <c r="Y1367" s="73">
        <f>IF(X1367="","",X1367-A1367)</f>
        <v/>
      </c>
      <c r="Z1367" s="18" t="n">
        <v>46159</v>
      </c>
      <c r="AA1367" s="15" t="n"/>
      <c r="AB1367" s="15" t="n"/>
      <c r="AF1367">
        <f>IF(AND($F1367="Closed",$X1367&gt;=DATE(2026,5,1),$X1367&lt;=DATE(2026,5,31)),"Closed in May","Other")</f>
        <v/>
      </c>
    </row>
    <row r="1368">
      <c r="A1368" s="37" t="n">
        <v>46143</v>
      </c>
      <c r="B1368" s="3" t="n">
        <v>2026</v>
      </c>
      <c r="C1368" s="26" t="inlineStr">
        <is>
          <t>Yanara Power</t>
        </is>
      </c>
      <c r="D1368" s="3" t="inlineStr">
        <is>
          <t>Utility and C&amp;I</t>
        </is>
      </c>
      <c r="E1368" s="3" t="n"/>
      <c r="F1368" s="3" t="inlineStr">
        <is>
          <t>Closed</t>
        </is>
      </c>
      <c r="G1368" s="9" t="inlineStr">
        <is>
          <t xml:space="preserve">Ashish Jindal </t>
        </is>
      </c>
      <c r="H1368" s="26" t="n">
        <v>9983975581</v>
      </c>
      <c r="I1368" s="38" t="inlineStr">
        <is>
          <t>PE01052601</t>
        </is>
      </c>
      <c r="J1368" s="26" t="inlineStr">
        <is>
          <t>Multiple Issues</t>
        </is>
      </c>
      <c r="K1368" s="39" t="inlineStr">
        <is>
          <t>Holi</t>
        </is>
      </c>
      <c r="L1368" s="39" t="inlineStr">
        <is>
          <t>Maharashtra</t>
        </is>
      </c>
      <c r="M1368" s="9" t="inlineStr">
        <is>
          <t>PS</t>
        </is>
      </c>
      <c r="N1368" s="3" t="inlineStr">
        <is>
          <t>Cold Soldering</t>
        </is>
      </c>
      <c r="O1368" s="39" t="n">
        <v>575</v>
      </c>
      <c r="P1368" s="9" t="inlineStr">
        <is>
          <t>NSMI24070198553</t>
        </is>
      </c>
      <c r="Q1368" s="53">
        <f>MID(P1368,5,2)</f>
        <v/>
      </c>
      <c r="R1368" s="53">
        <f>MID(P1368,7,2)</f>
        <v/>
      </c>
      <c r="S1368" s="3" t="inlineStr">
        <is>
          <t>G2G</t>
        </is>
      </c>
      <c r="T1368" s="3" t="inlineStr">
        <is>
          <t>P4</t>
        </is>
      </c>
      <c r="U1368" s="19" t="inlineStr">
        <is>
          <t>P JB Cold Soldering</t>
        </is>
      </c>
      <c r="V1368" s="19" t="inlineStr">
        <is>
          <t>Soldering</t>
        </is>
      </c>
      <c r="W1368" s="3" t="inlineStr">
        <is>
          <t>Repair</t>
        </is>
      </c>
      <c r="X1368" s="18" t="n">
        <v>46159</v>
      </c>
      <c r="Y1368" s="73">
        <f>IF(X1368="","",X1368-A1368)</f>
        <v/>
      </c>
      <c r="Z1368" s="18" t="n">
        <v>46159</v>
      </c>
      <c r="AA1368" s="15" t="n"/>
      <c r="AB1368" s="15" t="n"/>
      <c r="AF1368">
        <f>IF(AND($F1368="Closed",$X1368&gt;=DATE(2026,5,1),$X1368&lt;=DATE(2026,5,31)),"Closed in May","Other")</f>
        <v/>
      </c>
    </row>
    <row r="1369">
      <c r="A1369" s="37" t="n">
        <v>46143</v>
      </c>
      <c r="B1369" s="3" t="n">
        <v>2026</v>
      </c>
      <c r="C1369" s="26" t="inlineStr">
        <is>
          <t>Yanara Power</t>
        </is>
      </c>
      <c r="D1369" s="3" t="inlineStr">
        <is>
          <t>Utility and C&amp;I</t>
        </is>
      </c>
      <c r="E1369" s="3" t="n"/>
      <c r="F1369" s="3" t="inlineStr">
        <is>
          <t>Closed</t>
        </is>
      </c>
      <c r="G1369" s="9" t="inlineStr">
        <is>
          <t xml:space="preserve">Ashish Jindal </t>
        </is>
      </c>
      <c r="H1369" s="26" t="n">
        <v>9983975581</v>
      </c>
      <c r="I1369" s="38" t="inlineStr">
        <is>
          <t>PE01052601</t>
        </is>
      </c>
      <c r="J1369" s="26" t="inlineStr">
        <is>
          <t>Multiple Issues</t>
        </is>
      </c>
      <c r="K1369" s="39" t="inlineStr">
        <is>
          <t>Holi</t>
        </is>
      </c>
      <c r="L1369" s="39" t="inlineStr">
        <is>
          <t>Maharashtra</t>
        </is>
      </c>
      <c r="M1369" s="9" t="inlineStr">
        <is>
          <t>PNS</t>
        </is>
      </c>
      <c r="N1369" s="3" t="inlineStr">
        <is>
          <t>Cold Soldering</t>
        </is>
      </c>
      <c r="O1369" s="39" t="n">
        <v>575</v>
      </c>
      <c r="P1369" s="9" t="inlineStr">
        <is>
          <t>NSMI24070198260</t>
        </is>
      </c>
      <c r="Q1369" s="53">
        <f>MID(P1369,5,2)</f>
        <v/>
      </c>
      <c r="R1369" s="53">
        <f>MID(P1369,7,2)</f>
        <v/>
      </c>
      <c r="S1369" s="3" t="inlineStr">
        <is>
          <t>G2G</t>
        </is>
      </c>
      <c r="T1369" s="3" t="inlineStr">
        <is>
          <t>P4</t>
        </is>
      </c>
      <c r="U1369" s="3" t="inlineStr">
        <is>
          <t>P &amp; N JB Cold Soldering</t>
        </is>
      </c>
      <c r="V1369" s="3" t="inlineStr">
        <is>
          <t>Soldering</t>
        </is>
      </c>
      <c r="W1369" s="3" t="inlineStr">
        <is>
          <t>Repair</t>
        </is>
      </c>
      <c r="X1369" s="18" t="n">
        <v>46159</v>
      </c>
      <c r="Y1369" s="73">
        <f>IF(X1369="","",X1369-A1369)</f>
        <v/>
      </c>
      <c r="Z1369" s="18" t="n">
        <v>46159</v>
      </c>
      <c r="AA1369" s="15" t="n"/>
      <c r="AB1369" s="15" t="n"/>
      <c r="AF1369">
        <f>IF(AND($F1369="Closed",$X1369&gt;=DATE(2026,5,1),$X1369&lt;=DATE(2026,5,31)),"Closed in May","Other")</f>
        <v/>
      </c>
    </row>
    <row r="1370">
      <c r="A1370" s="37" t="n">
        <v>46143</v>
      </c>
      <c r="B1370" s="3" t="n">
        <v>2026</v>
      </c>
      <c r="C1370" s="26" t="inlineStr">
        <is>
          <t>Yanara Power</t>
        </is>
      </c>
      <c r="D1370" s="3" t="inlineStr">
        <is>
          <t>Utility and C&amp;I</t>
        </is>
      </c>
      <c r="E1370" s="3" t="n"/>
      <c r="F1370" s="3" t="inlineStr">
        <is>
          <t>Closed</t>
        </is>
      </c>
      <c r="G1370" s="9" t="inlineStr">
        <is>
          <t xml:space="preserve">Ashish Jindal </t>
        </is>
      </c>
      <c r="H1370" s="26" t="n">
        <v>9983975581</v>
      </c>
      <c r="I1370" s="38" t="inlineStr">
        <is>
          <t>PE01052601</t>
        </is>
      </c>
      <c r="J1370" s="26" t="inlineStr">
        <is>
          <t>Multiple Issues</t>
        </is>
      </c>
      <c r="K1370" s="39" t="inlineStr">
        <is>
          <t>Holi</t>
        </is>
      </c>
      <c r="L1370" s="39" t="inlineStr">
        <is>
          <t>Maharashtra</t>
        </is>
      </c>
      <c r="M1370" s="9" t="inlineStr">
        <is>
          <t>PNS</t>
        </is>
      </c>
      <c r="N1370" s="3" t="inlineStr">
        <is>
          <t>Cold Soldering</t>
        </is>
      </c>
      <c r="O1370" s="39" t="n">
        <v>575</v>
      </c>
      <c r="P1370" s="9" t="inlineStr">
        <is>
          <t>NSMI24070198706</t>
        </is>
      </c>
      <c r="Q1370" s="53">
        <f>MID(P1370,5,2)</f>
        <v/>
      </c>
      <c r="R1370" s="53">
        <f>MID(P1370,7,2)</f>
        <v/>
      </c>
      <c r="S1370" s="3" t="inlineStr">
        <is>
          <t>G2G</t>
        </is>
      </c>
      <c r="T1370" s="3" t="inlineStr">
        <is>
          <t>P4</t>
        </is>
      </c>
      <c r="U1370" s="3" t="inlineStr">
        <is>
          <t>P &amp; N JB Cold Soldering</t>
        </is>
      </c>
      <c r="V1370" s="3" t="inlineStr">
        <is>
          <t>Soldering</t>
        </is>
      </c>
      <c r="W1370" s="3" t="inlineStr">
        <is>
          <t>Repair</t>
        </is>
      </c>
      <c r="X1370" s="18" t="n">
        <v>46159</v>
      </c>
      <c r="Y1370" s="73">
        <f>IF(X1370="","",X1370-A1370)</f>
        <v/>
      </c>
      <c r="Z1370" s="18" t="n">
        <v>46159</v>
      </c>
      <c r="AA1370" s="15" t="n"/>
      <c r="AB1370" s="15" t="n"/>
      <c r="AF1370">
        <f>IF(AND($F1370="Closed",$X1370&gt;=DATE(2026,5,1),$X1370&lt;=DATE(2026,5,31)),"Closed in May","Other")</f>
        <v/>
      </c>
    </row>
    <row r="1371">
      <c r="A1371" s="37" t="n">
        <v>46143</v>
      </c>
      <c r="B1371" s="3" t="n">
        <v>2026</v>
      </c>
      <c r="C1371" s="26" t="inlineStr">
        <is>
          <t>Yanara Power</t>
        </is>
      </c>
      <c r="D1371" s="3" t="inlineStr">
        <is>
          <t>Utility and C&amp;I</t>
        </is>
      </c>
      <c r="E1371" s="3" t="n"/>
      <c r="F1371" s="3" t="inlineStr">
        <is>
          <t>Closed</t>
        </is>
      </c>
      <c r="G1371" s="9" t="inlineStr">
        <is>
          <t xml:space="preserve">Ashish Jindal </t>
        </is>
      </c>
      <c r="H1371" s="26" t="n">
        <v>9983975581</v>
      </c>
      <c r="I1371" s="38" t="inlineStr">
        <is>
          <t>PE01052601</t>
        </is>
      </c>
      <c r="J1371" s="26" t="inlineStr">
        <is>
          <t>Multiple Issues</t>
        </is>
      </c>
      <c r="K1371" s="39" t="inlineStr">
        <is>
          <t>Holi</t>
        </is>
      </c>
      <c r="L1371" s="39" t="inlineStr">
        <is>
          <t>Maharashtra</t>
        </is>
      </c>
      <c r="M1371" s="9" t="inlineStr">
        <is>
          <t>NS</t>
        </is>
      </c>
      <c r="N1371" s="3" t="inlineStr">
        <is>
          <t>Cold Soldering</t>
        </is>
      </c>
      <c r="O1371" s="39" t="n">
        <v>575</v>
      </c>
      <c r="P1371" s="9" t="inlineStr">
        <is>
          <t>NSMI24070186131</t>
        </is>
      </c>
      <c r="Q1371" s="53">
        <f>MID(P1371,5,2)</f>
        <v/>
      </c>
      <c r="R1371" s="53">
        <f>MID(P1371,7,2)</f>
        <v/>
      </c>
      <c r="S1371" s="3" t="inlineStr">
        <is>
          <t>G2G</t>
        </is>
      </c>
      <c r="T1371" s="3" t="inlineStr">
        <is>
          <t>P4</t>
        </is>
      </c>
      <c r="U1371" s="3" t="inlineStr">
        <is>
          <t>N JB Cold Soldering</t>
        </is>
      </c>
      <c r="V1371" s="3" t="inlineStr">
        <is>
          <t>Soldering</t>
        </is>
      </c>
      <c r="W1371" s="3" t="inlineStr">
        <is>
          <t>Repair</t>
        </is>
      </c>
      <c r="X1371" s="18" t="n">
        <v>46159</v>
      </c>
      <c r="Y1371" s="73">
        <f>IF(X1371="","",X1371-A1371)</f>
        <v/>
      </c>
      <c r="Z1371" s="18" t="n">
        <v>46159</v>
      </c>
      <c r="AA1371" s="15" t="n"/>
      <c r="AB1371" s="15" t="n"/>
      <c r="AF1371">
        <f>IF(AND($F1371="Closed",$X1371&gt;=DATE(2026,5,1),$X1371&lt;=DATE(2026,5,31)),"Closed in May","Other")</f>
        <v/>
      </c>
    </row>
    <row r="1372">
      <c r="A1372" s="37" t="n">
        <v>46143</v>
      </c>
      <c r="B1372" s="3" t="n">
        <v>2026</v>
      </c>
      <c r="C1372" s="26" t="inlineStr">
        <is>
          <t>Yanara Power</t>
        </is>
      </c>
      <c r="D1372" s="3" t="inlineStr">
        <is>
          <t>Utility and C&amp;I</t>
        </is>
      </c>
      <c r="E1372" s="3" t="n"/>
      <c r="F1372" s="3" t="inlineStr">
        <is>
          <t>Closed</t>
        </is>
      </c>
      <c r="G1372" s="9" t="inlineStr">
        <is>
          <t xml:space="preserve">Ashish Jindal </t>
        </is>
      </c>
      <c r="H1372" s="26" t="n">
        <v>9983975581</v>
      </c>
      <c r="I1372" s="38" t="inlineStr">
        <is>
          <t>PE01052601</t>
        </is>
      </c>
      <c r="J1372" s="26" t="inlineStr">
        <is>
          <t>Multiple Issues</t>
        </is>
      </c>
      <c r="K1372" s="39" t="inlineStr">
        <is>
          <t>Holi</t>
        </is>
      </c>
      <c r="L1372" s="39" t="inlineStr">
        <is>
          <t>Maharashtra</t>
        </is>
      </c>
      <c r="M1372" s="9" t="inlineStr">
        <is>
          <t>NS</t>
        </is>
      </c>
      <c r="N1372" s="3" t="inlineStr">
        <is>
          <t>Cold Soldering</t>
        </is>
      </c>
      <c r="O1372" s="39" t="n">
        <v>575</v>
      </c>
      <c r="P1372" s="9" t="inlineStr">
        <is>
          <t>NSMI24070186135</t>
        </is>
      </c>
      <c r="Q1372" s="53">
        <f>MID(P1372,5,2)</f>
        <v/>
      </c>
      <c r="R1372" s="53">
        <f>MID(P1372,7,2)</f>
        <v/>
      </c>
      <c r="S1372" s="3" t="inlineStr">
        <is>
          <t>G2G</t>
        </is>
      </c>
      <c r="T1372" s="3" t="inlineStr">
        <is>
          <t>P4</t>
        </is>
      </c>
      <c r="U1372" s="3" t="inlineStr">
        <is>
          <t>N JB Cold Soldering</t>
        </is>
      </c>
      <c r="V1372" s="3" t="inlineStr">
        <is>
          <t>Soldering</t>
        </is>
      </c>
      <c r="W1372" s="3" t="inlineStr">
        <is>
          <t>Repair</t>
        </is>
      </c>
      <c r="X1372" s="18" t="n">
        <v>46159</v>
      </c>
      <c r="Y1372" s="73">
        <f>IF(X1372="","",X1372-A1372)</f>
        <v/>
      </c>
      <c r="Z1372" s="18" t="n">
        <v>46159</v>
      </c>
      <c r="AA1372" s="15" t="n"/>
      <c r="AB1372" s="15" t="n"/>
      <c r="AF1372">
        <f>IF(AND($F1372="Closed",$X1372&gt;=DATE(2026,5,1),$X1372&lt;=DATE(2026,5,31)),"Closed in May","Other")</f>
        <v/>
      </c>
    </row>
    <row r="1373">
      <c r="A1373" s="37" t="n">
        <v>46143</v>
      </c>
      <c r="B1373" s="3" t="n">
        <v>2026</v>
      </c>
      <c r="C1373" s="26" t="inlineStr">
        <is>
          <t>Yanara Power</t>
        </is>
      </c>
      <c r="D1373" s="3" t="inlineStr">
        <is>
          <t>Utility and C&amp;I</t>
        </is>
      </c>
      <c r="E1373" s="3" t="n"/>
      <c r="F1373" s="3" t="inlineStr">
        <is>
          <t>Closed</t>
        </is>
      </c>
      <c r="G1373" s="9" t="inlineStr">
        <is>
          <t xml:space="preserve">Ashish Jindal </t>
        </is>
      </c>
      <c r="H1373" s="26" t="n">
        <v>9983975581</v>
      </c>
      <c r="I1373" s="38" t="inlineStr">
        <is>
          <t>PE01052601</t>
        </is>
      </c>
      <c r="J1373" s="26" t="inlineStr">
        <is>
          <t>Multiple Issues</t>
        </is>
      </c>
      <c r="K1373" s="39" t="inlineStr">
        <is>
          <t>Holi</t>
        </is>
      </c>
      <c r="L1373" s="39" t="inlineStr">
        <is>
          <t>Maharashtra</t>
        </is>
      </c>
      <c r="M1373" s="9" t="inlineStr">
        <is>
          <t>PS</t>
        </is>
      </c>
      <c r="N1373" s="3" t="inlineStr">
        <is>
          <t>Cold Soldering</t>
        </is>
      </c>
      <c r="O1373" s="39" t="n">
        <v>575</v>
      </c>
      <c r="P1373" s="9" t="inlineStr">
        <is>
          <t>NSMI24070198890</t>
        </is>
      </c>
      <c r="Q1373" s="53">
        <f>MID(P1373,5,2)</f>
        <v/>
      </c>
      <c r="R1373" s="53">
        <f>MID(P1373,7,2)</f>
        <v/>
      </c>
      <c r="S1373" s="3" t="inlineStr">
        <is>
          <t>G2G</t>
        </is>
      </c>
      <c r="T1373" s="3" t="inlineStr">
        <is>
          <t>P4</t>
        </is>
      </c>
      <c r="U1373" s="19" t="inlineStr">
        <is>
          <t>P JB Cold Soldering</t>
        </is>
      </c>
      <c r="V1373" s="19" t="inlineStr">
        <is>
          <t>Soldering</t>
        </is>
      </c>
      <c r="W1373" s="3" t="inlineStr">
        <is>
          <t>Repair</t>
        </is>
      </c>
      <c r="X1373" s="18" t="n">
        <v>46159</v>
      </c>
      <c r="Y1373" s="73">
        <f>IF(X1373="","",X1373-A1373)</f>
        <v/>
      </c>
      <c r="Z1373" s="18" t="n">
        <v>46159</v>
      </c>
      <c r="AA1373" s="15" t="n"/>
      <c r="AB1373" s="15" t="n"/>
      <c r="AF1373">
        <f>IF(AND($F1373="Closed",$X1373&gt;=DATE(2026,5,1),$X1373&lt;=DATE(2026,5,31)),"Closed in May","Other")</f>
        <v/>
      </c>
    </row>
    <row r="1374">
      <c r="A1374" s="37" t="n">
        <v>46143</v>
      </c>
      <c r="B1374" s="3" t="n">
        <v>2026</v>
      </c>
      <c r="C1374" s="26" t="inlineStr">
        <is>
          <t>Yanara Power</t>
        </is>
      </c>
      <c r="D1374" s="3" t="inlineStr">
        <is>
          <t>Utility and C&amp;I</t>
        </is>
      </c>
      <c r="E1374" s="3" t="n"/>
      <c r="F1374" s="3" t="inlineStr">
        <is>
          <t>Closed</t>
        </is>
      </c>
      <c r="G1374" s="9" t="inlineStr">
        <is>
          <t xml:space="preserve">Ashish Jindal </t>
        </is>
      </c>
      <c r="H1374" s="26" t="n">
        <v>9983975581</v>
      </c>
      <c r="I1374" s="38" t="inlineStr">
        <is>
          <t>PE01052601</t>
        </is>
      </c>
      <c r="J1374" s="26" t="inlineStr">
        <is>
          <t>Multiple Issues</t>
        </is>
      </c>
      <c r="K1374" s="39" t="inlineStr">
        <is>
          <t>Holi</t>
        </is>
      </c>
      <c r="L1374" s="39" t="inlineStr">
        <is>
          <t>Maharashtra</t>
        </is>
      </c>
      <c r="M1374" s="9" t="inlineStr">
        <is>
          <t>PS</t>
        </is>
      </c>
      <c r="N1374" s="3" t="inlineStr">
        <is>
          <t>Cold Soldering</t>
        </is>
      </c>
      <c r="O1374" s="39" t="n">
        <v>575</v>
      </c>
      <c r="P1374" s="9" t="inlineStr">
        <is>
          <t>NSMI24070198853</t>
        </is>
      </c>
      <c r="Q1374" s="53">
        <f>MID(P1374,5,2)</f>
        <v/>
      </c>
      <c r="R1374" s="53">
        <f>MID(P1374,7,2)</f>
        <v/>
      </c>
      <c r="S1374" s="3" t="inlineStr">
        <is>
          <t>G2G</t>
        </is>
      </c>
      <c r="T1374" s="3" t="inlineStr">
        <is>
          <t>P4</t>
        </is>
      </c>
      <c r="U1374" s="19" t="inlineStr">
        <is>
          <t>P JB Cold Soldering</t>
        </is>
      </c>
      <c r="V1374" s="19" t="inlineStr">
        <is>
          <t>Soldering</t>
        </is>
      </c>
      <c r="W1374" s="3" t="inlineStr">
        <is>
          <t>Repair</t>
        </is>
      </c>
      <c r="X1374" s="18" t="n">
        <v>46159</v>
      </c>
      <c r="Y1374" s="73">
        <f>IF(X1374="","",X1374-A1374)</f>
        <v/>
      </c>
      <c r="Z1374" s="18" t="n">
        <v>46159</v>
      </c>
      <c r="AA1374" s="15" t="n"/>
      <c r="AB1374" s="15" t="n"/>
      <c r="AF1374">
        <f>IF(AND($F1374="Closed",$X1374&gt;=DATE(2026,5,1),$X1374&lt;=DATE(2026,5,31)),"Closed in May","Other")</f>
        <v/>
      </c>
    </row>
    <row r="1375">
      <c r="A1375" s="37" t="n">
        <v>46143</v>
      </c>
      <c r="B1375" s="3" t="n">
        <v>2026</v>
      </c>
      <c r="C1375" s="26" t="inlineStr">
        <is>
          <t>Yanara Power</t>
        </is>
      </c>
      <c r="D1375" s="3" t="inlineStr">
        <is>
          <t>Utility and C&amp;I</t>
        </is>
      </c>
      <c r="E1375" s="3" t="n"/>
      <c r="F1375" s="3" t="inlineStr">
        <is>
          <t>Closed</t>
        </is>
      </c>
      <c r="G1375" s="9" t="inlineStr">
        <is>
          <t xml:space="preserve">Ashish Jindal </t>
        </is>
      </c>
      <c r="H1375" s="26" t="n">
        <v>9983975581</v>
      </c>
      <c r="I1375" s="38" t="inlineStr">
        <is>
          <t>PE01052601</t>
        </is>
      </c>
      <c r="J1375" s="26" t="inlineStr">
        <is>
          <t>Multiple Issues</t>
        </is>
      </c>
      <c r="K1375" s="39" t="inlineStr">
        <is>
          <t>Holi</t>
        </is>
      </c>
      <c r="L1375" s="39" t="inlineStr">
        <is>
          <t>Maharashtra</t>
        </is>
      </c>
      <c r="M1375" s="9" t="inlineStr">
        <is>
          <t>PS</t>
        </is>
      </c>
      <c r="N1375" s="3" t="inlineStr">
        <is>
          <t>Cold Soldering</t>
        </is>
      </c>
      <c r="O1375" s="39" t="n">
        <v>575</v>
      </c>
      <c r="P1375" s="9" t="inlineStr">
        <is>
          <t>NSMI24070217262</t>
        </is>
      </c>
      <c r="Q1375" s="53">
        <f>MID(P1375,5,2)</f>
        <v/>
      </c>
      <c r="R1375" s="53">
        <f>MID(P1375,7,2)</f>
        <v/>
      </c>
      <c r="S1375" s="3" t="inlineStr">
        <is>
          <t>G2G</t>
        </is>
      </c>
      <c r="T1375" s="3" t="inlineStr">
        <is>
          <t>P4</t>
        </is>
      </c>
      <c r="U1375" s="19" t="inlineStr">
        <is>
          <t>P JB Cold Soldering</t>
        </is>
      </c>
      <c r="V1375" s="19" t="inlineStr">
        <is>
          <t>Soldering</t>
        </is>
      </c>
      <c r="W1375" s="3" t="inlineStr">
        <is>
          <t>Repair</t>
        </is>
      </c>
      <c r="X1375" s="18" t="n">
        <v>46159</v>
      </c>
      <c r="Y1375" s="73">
        <f>IF(X1375="","",X1375-A1375)</f>
        <v/>
      </c>
      <c r="Z1375" s="18" t="n">
        <v>46159</v>
      </c>
      <c r="AA1375" s="15" t="n"/>
      <c r="AB1375" s="15" t="n"/>
      <c r="AF1375">
        <f>IF(AND($F1375="Closed",$X1375&gt;=DATE(2026,5,1),$X1375&lt;=DATE(2026,5,31)),"Closed in May","Other")</f>
        <v/>
      </c>
    </row>
    <row r="1376">
      <c r="A1376" s="37" t="n">
        <v>46143</v>
      </c>
      <c r="B1376" s="3" t="n">
        <v>2026</v>
      </c>
      <c r="C1376" s="26" t="inlineStr">
        <is>
          <t>Yanara Power</t>
        </is>
      </c>
      <c r="D1376" s="3" t="inlineStr">
        <is>
          <t>Utility and C&amp;I</t>
        </is>
      </c>
      <c r="E1376" s="3" t="n"/>
      <c r="F1376" s="3" t="inlineStr">
        <is>
          <t>Closed</t>
        </is>
      </c>
      <c r="G1376" s="9" t="inlineStr">
        <is>
          <t xml:space="preserve">Ashish Jindal </t>
        </is>
      </c>
      <c r="H1376" s="26" t="n">
        <v>9983975581</v>
      </c>
      <c r="I1376" s="38" t="inlineStr">
        <is>
          <t>PE01052601</t>
        </is>
      </c>
      <c r="J1376" s="26" t="inlineStr">
        <is>
          <t>Multiple Issues</t>
        </is>
      </c>
      <c r="K1376" s="39" t="inlineStr">
        <is>
          <t>Holi</t>
        </is>
      </c>
      <c r="L1376" s="39" t="inlineStr">
        <is>
          <t>Maharashtra</t>
        </is>
      </c>
      <c r="M1376" s="9" t="inlineStr">
        <is>
          <t>NS</t>
        </is>
      </c>
      <c r="N1376" s="3" t="inlineStr">
        <is>
          <t>Cold Soldering</t>
        </is>
      </c>
      <c r="O1376" s="39" t="n">
        <v>575</v>
      </c>
      <c r="P1376" s="9" t="inlineStr">
        <is>
          <t>NSMI24070187806</t>
        </is>
      </c>
      <c r="Q1376" s="53">
        <f>MID(P1376,5,2)</f>
        <v/>
      </c>
      <c r="R1376" s="53">
        <f>MID(P1376,7,2)</f>
        <v/>
      </c>
      <c r="S1376" s="3" t="inlineStr">
        <is>
          <t>G2G</t>
        </is>
      </c>
      <c r="T1376" s="3" t="inlineStr">
        <is>
          <t>P4</t>
        </is>
      </c>
      <c r="U1376" s="3" t="inlineStr">
        <is>
          <t>N JB Cold Soldering</t>
        </is>
      </c>
      <c r="V1376" s="3" t="inlineStr">
        <is>
          <t>Soldering</t>
        </is>
      </c>
      <c r="W1376" s="3" t="inlineStr">
        <is>
          <t>Repair</t>
        </is>
      </c>
      <c r="X1376" s="18" t="n">
        <v>46159</v>
      </c>
      <c r="Y1376" s="73">
        <f>IF(X1376="","",X1376-A1376)</f>
        <v/>
      </c>
      <c r="Z1376" s="18" t="n">
        <v>46159</v>
      </c>
      <c r="AA1376" s="15" t="n"/>
      <c r="AB1376" s="15" t="n"/>
      <c r="AF1376">
        <f>IF(AND($F1376="Closed",$X1376&gt;=DATE(2026,5,1),$X1376&lt;=DATE(2026,5,31)),"Closed in May","Other")</f>
        <v/>
      </c>
    </row>
    <row r="1377">
      <c r="A1377" s="37" t="n">
        <v>46143</v>
      </c>
      <c r="B1377" s="3" t="n">
        <v>2026</v>
      </c>
      <c r="C1377" s="26" t="inlineStr">
        <is>
          <t>Yanara Power</t>
        </is>
      </c>
      <c r="D1377" s="3" t="inlineStr">
        <is>
          <t>Utility and C&amp;I</t>
        </is>
      </c>
      <c r="E1377" s="3" t="n"/>
      <c r="F1377" s="3" t="inlineStr">
        <is>
          <t>Closed</t>
        </is>
      </c>
      <c r="G1377" s="9" t="inlineStr">
        <is>
          <t xml:space="preserve">Ashish Jindal </t>
        </is>
      </c>
      <c r="H1377" s="26" t="n">
        <v>9983975581</v>
      </c>
      <c r="I1377" s="38" t="inlineStr">
        <is>
          <t>PE01052601</t>
        </is>
      </c>
      <c r="J1377" s="26" t="inlineStr">
        <is>
          <t>Multiple Issues</t>
        </is>
      </c>
      <c r="K1377" s="39" t="inlineStr">
        <is>
          <t>Holi</t>
        </is>
      </c>
      <c r="L1377" s="39" t="inlineStr">
        <is>
          <t>Maharashtra</t>
        </is>
      </c>
      <c r="M1377" s="9" t="inlineStr">
        <is>
          <t>PS</t>
        </is>
      </c>
      <c r="N1377" s="3" t="inlineStr">
        <is>
          <t>Cold Soldering</t>
        </is>
      </c>
      <c r="O1377" s="39" t="n">
        <v>575</v>
      </c>
      <c r="P1377" s="9" t="inlineStr">
        <is>
          <t>NSMI24070219038</t>
        </is>
      </c>
      <c r="Q1377" s="53">
        <f>MID(P1377,5,2)</f>
        <v/>
      </c>
      <c r="R1377" s="53">
        <f>MID(P1377,7,2)</f>
        <v/>
      </c>
      <c r="S1377" s="3" t="inlineStr">
        <is>
          <t>G2G</t>
        </is>
      </c>
      <c r="T1377" s="3" t="inlineStr">
        <is>
          <t>P4</t>
        </is>
      </c>
      <c r="U1377" s="19" t="inlineStr">
        <is>
          <t>P JB Cold Soldering</t>
        </is>
      </c>
      <c r="V1377" s="19" t="inlineStr">
        <is>
          <t>Soldering</t>
        </is>
      </c>
      <c r="W1377" s="3" t="inlineStr">
        <is>
          <t>Repair</t>
        </is>
      </c>
      <c r="X1377" s="18" t="n">
        <v>46159</v>
      </c>
      <c r="Y1377" s="73">
        <f>IF(X1377="","",X1377-A1377)</f>
        <v/>
      </c>
      <c r="Z1377" s="18" t="n">
        <v>46159</v>
      </c>
      <c r="AA1377" s="15" t="n"/>
      <c r="AB1377" s="15" t="n"/>
      <c r="AF1377">
        <f>IF(AND($F1377="Closed",$X1377&gt;=DATE(2026,5,1),$X1377&lt;=DATE(2026,5,31)),"Closed in May","Other")</f>
        <v/>
      </c>
    </row>
    <row r="1378">
      <c r="A1378" s="37" t="n">
        <v>46143</v>
      </c>
      <c r="B1378" s="3" t="n">
        <v>2026</v>
      </c>
      <c r="C1378" s="26" t="inlineStr">
        <is>
          <t>Yanara Power</t>
        </is>
      </c>
      <c r="D1378" s="3" t="inlineStr">
        <is>
          <t>Utility and C&amp;I</t>
        </is>
      </c>
      <c r="E1378" s="3" t="n"/>
      <c r="F1378" s="3" t="inlineStr">
        <is>
          <t>Closed</t>
        </is>
      </c>
      <c r="G1378" s="9" t="inlineStr">
        <is>
          <t xml:space="preserve">Ashish Jindal </t>
        </is>
      </c>
      <c r="H1378" s="26" t="n">
        <v>9983975581</v>
      </c>
      <c r="I1378" s="38" t="inlineStr">
        <is>
          <t>PE01052601</t>
        </is>
      </c>
      <c r="J1378" s="26" t="inlineStr">
        <is>
          <t>Multiple Issues</t>
        </is>
      </c>
      <c r="K1378" s="39" t="inlineStr">
        <is>
          <t>Holi</t>
        </is>
      </c>
      <c r="L1378" s="39" t="inlineStr">
        <is>
          <t>Maharashtra</t>
        </is>
      </c>
      <c r="M1378" s="9" t="inlineStr">
        <is>
          <t>NS</t>
        </is>
      </c>
      <c r="N1378" s="3" t="inlineStr">
        <is>
          <t>Cold Soldering</t>
        </is>
      </c>
      <c r="O1378" s="39" t="n">
        <v>575</v>
      </c>
      <c r="P1378" s="9" t="inlineStr">
        <is>
          <t>NSMI24070218456</t>
        </is>
      </c>
      <c r="Q1378" s="53">
        <f>MID(P1378,5,2)</f>
        <v/>
      </c>
      <c r="R1378" s="53">
        <f>MID(P1378,7,2)</f>
        <v/>
      </c>
      <c r="S1378" s="3" t="inlineStr">
        <is>
          <t>G2G</t>
        </is>
      </c>
      <c r="T1378" s="3" t="inlineStr">
        <is>
          <t>P4</t>
        </is>
      </c>
      <c r="U1378" s="3" t="inlineStr">
        <is>
          <t>N JB Cold Soldering</t>
        </is>
      </c>
      <c r="V1378" s="3" t="inlineStr">
        <is>
          <t>Soldering</t>
        </is>
      </c>
      <c r="W1378" s="3" t="inlineStr">
        <is>
          <t>Repair</t>
        </is>
      </c>
      <c r="X1378" s="18" t="n">
        <v>46159</v>
      </c>
      <c r="Y1378" s="73">
        <f>IF(X1378="","",X1378-A1378)</f>
        <v/>
      </c>
      <c r="Z1378" s="18" t="n">
        <v>46159</v>
      </c>
      <c r="AA1378" s="15" t="n"/>
      <c r="AB1378" s="15" t="n"/>
      <c r="AF1378">
        <f>IF(AND($F1378="Closed",$X1378&gt;=DATE(2026,5,1),$X1378&lt;=DATE(2026,5,31)),"Closed in May","Other")</f>
        <v/>
      </c>
    </row>
    <row r="1379">
      <c r="A1379" s="37" t="n">
        <v>46143</v>
      </c>
      <c r="B1379" s="3" t="n">
        <v>2026</v>
      </c>
      <c r="C1379" s="26" t="inlineStr">
        <is>
          <t>Yanara Power</t>
        </is>
      </c>
      <c r="D1379" s="3" t="inlineStr">
        <is>
          <t>Utility and C&amp;I</t>
        </is>
      </c>
      <c r="E1379" s="3" t="n"/>
      <c r="F1379" s="3" t="inlineStr">
        <is>
          <t>Closed</t>
        </is>
      </c>
      <c r="G1379" s="9" t="inlineStr">
        <is>
          <t xml:space="preserve">Ashish Jindal </t>
        </is>
      </c>
      <c r="H1379" s="26" t="n">
        <v>9983975581</v>
      </c>
      <c r="I1379" s="38" t="inlineStr">
        <is>
          <t>PE01052601</t>
        </is>
      </c>
      <c r="J1379" s="26" t="inlineStr">
        <is>
          <t>Multiple Issues</t>
        </is>
      </c>
      <c r="K1379" s="39" t="inlineStr">
        <is>
          <t>Holi</t>
        </is>
      </c>
      <c r="L1379" s="39" t="inlineStr">
        <is>
          <t>Maharashtra</t>
        </is>
      </c>
      <c r="M1379" s="9" t="inlineStr">
        <is>
          <t>PS</t>
        </is>
      </c>
      <c r="N1379" s="3" t="inlineStr">
        <is>
          <t>Cold Soldering</t>
        </is>
      </c>
      <c r="O1379" s="39" t="n">
        <v>575</v>
      </c>
      <c r="P1379" s="9" t="inlineStr">
        <is>
          <t>NSM124070197944</t>
        </is>
      </c>
      <c r="Q1379" s="53">
        <f>MID(P1379,5,2)</f>
        <v/>
      </c>
      <c r="R1379" s="53">
        <f>MID(P1379,7,2)</f>
        <v/>
      </c>
      <c r="S1379" s="3" t="inlineStr">
        <is>
          <t>G2G</t>
        </is>
      </c>
      <c r="T1379" s="3" t="inlineStr">
        <is>
          <t>P4</t>
        </is>
      </c>
      <c r="U1379" s="19" t="inlineStr">
        <is>
          <t>P JB Cold Soldering</t>
        </is>
      </c>
      <c r="V1379" s="19" t="inlineStr">
        <is>
          <t>Soldering</t>
        </is>
      </c>
      <c r="W1379" s="3" t="inlineStr">
        <is>
          <t>Repair</t>
        </is>
      </c>
      <c r="X1379" s="18" t="n">
        <v>46159</v>
      </c>
      <c r="Y1379" s="73">
        <f>IF(X1379="","",X1379-A1379)</f>
        <v/>
      </c>
      <c r="Z1379" s="18" t="n">
        <v>46159</v>
      </c>
      <c r="AA1379" s="15" t="n"/>
      <c r="AB1379" s="15" t="n"/>
      <c r="AF1379">
        <f>IF(AND($F1379="Closed",$X1379&gt;=DATE(2026,5,1),$X1379&lt;=DATE(2026,5,31)),"Closed in May","Other")</f>
        <v/>
      </c>
    </row>
    <row r="1380">
      <c r="A1380" s="37" t="n">
        <v>46143</v>
      </c>
      <c r="B1380" s="3" t="n">
        <v>2026</v>
      </c>
      <c r="C1380" s="26" t="inlineStr">
        <is>
          <t>Yanara Power</t>
        </is>
      </c>
      <c r="D1380" s="3" t="inlineStr">
        <is>
          <t>Utility and C&amp;I</t>
        </is>
      </c>
      <c r="E1380" s="3" t="n"/>
      <c r="F1380" s="3" t="inlineStr">
        <is>
          <t>Closed</t>
        </is>
      </c>
      <c r="G1380" s="9" t="inlineStr">
        <is>
          <t xml:space="preserve">Ashish Jindal </t>
        </is>
      </c>
      <c r="H1380" s="26" t="n">
        <v>9983975581</v>
      </c>
      <c r="I1380" s="38" t="inlineStr">
        <is>
          <t>PE01052601</t>
        </is>
      </c>
      <c r="J1380" s="26" t="inlineStr">
        <is>
          <t>Multiple Issues</t>
        </is>
      </c>
      <c r="K1380" s="39" t="inlineStr">
        <is>
          <t>Holi</t>
        </is>
      </c>
      <c r="L1380" s="39" t="inlineStr">
        <is>
          <t>Maharashtra</t>
        </is>
      </c>
      <c r="M1380" s="9" t="inlineStr">
        <is>
          <t>PNS</t>
        </is>
      </c>
      <c r="N1380" s="3" t="inlineStr">
        <is>
          <t>Cold Soldering</t>
        </is>
      </c>
      <c r="O1380" s="39" t="n">
        <v>575</v>
      </c>
      <c r="P1380" s="9" t="inlineStr">
        <is>
          <t>NSMI24070198234</t>
        </is>
      </c>
      <c r="Q1380" s="53">
        <f>MID(P1380,5,2)</f>
        <v/>
      </c>
      <c r="R1380" s="53">
        <f>MID(P1380,7,2)</f>
        <v/>
      </c>
      <c r="S1380" s="3" t="inlineStr">
        <is>
          <t>G2G</t>
        </is>
      </c>
      <c r="T1380" s="3" t="inlineStr">
        <is>
          <t>P4</t>
        </is>
      </c>
      <c r="U1380" s="3" t="inlineStr">
        <is>
          <t>P &amp; N JB Cold Soldering</t>
        </is>
      </c>
      <c r="V1380" s="3" t="inlineStr">
        <is>
          <t>Soldering</t>
        </is>
      </c>
      <c r="W1380" s="3" t="inlineStr">
        <is>
          <t>Repair</t>
        </is>
      </c>
      <c r="X1380" s="18" t="n">
        <v>46159</v>
      </c>
      <c r="Y1380" s="73">
        <f>IF(X1380="","",X1380-A1380)</f>
        <v/>
      </c>
      <c r="Z1380" s="18" t="n">
        <v>46159</v>
      </c>
      <c r="AA1380" s="15" t="n"/>
      <c r="AB1380" s="15" t="n"/>
      <c r="AF1380">
        <f>IF(AND($F1380="Closed",$X1380&gt;=DATE(2026,5,1),$X1380&lt;=DATE(2026,5,31)),"Closed in May","Other")</f>
        <v/>
      </c>
    </row>
    <row r="1381">
      <c r="A1381" s="37" t="n">
        <v>46143</v>
      </c>
      <c r="B1381" s="3" t="n">
        <v>2026</v>
      </c>
      <c r="C1381" s="26" t="inlineStr">
        <is>
          <t>Yanara Power</t>
        </is>
      </c>
      <c r="D1381" s="3" t="inlineStr">
        <is>
          <t>Utility and C&amp;I</t>
        </is>
      </c>
      <c r="E1381" s="3" t="n"/>
      <c r="F1381" s="3" t="inlineStr">
        <is>
          <t>Closed</t>
        </is>
      </c>
      <c r="G1381" s="9" t="inlineStr">
        <is>
          <t xml:space="preserve">Ashish Jindal </t>
        </is>
      </c>
      <c r="H1381" s="26" t="n">
        <v>9983975581</v>
      </c>
      <c r="I1381" s="38" t="inlineStr">
        <is>
          <t>PE01052601</t>
        </is>
      </c>
      <c r="J1381" s="26" t="inlineStr">
        <is>
          <t>Multiple Issues</t>
        </is>
      </c>
      <c r="K1381" s="39" t="inlineStr">
        <is>
          <t>Holi</t>
        </is>
      </c>
      <c r="L1381" s="39" t="inlineStr">
        <is>
          <t>Maharashtra</t>
        </is>
      </c>
      <c r="M1381" s="9" t="inlineStr">
        <is>
          <t>PS</t>
        </is>
      </c>
      <c r="N1381" s="3" t="inlineStr">
        <is>
          <t>Cold Soldering</t>
        </is>
      </c>
      <c r="O1381" s="39" t="n">
        <v>575</v>
      </c>
      <c r="P1381" s="9" t="inlineStr">
        <is>
          <t>NSMI24070198293</t>
        </is>
      </c>
      <c r="Q1381" s="53">
        <f>MID(P1381,5,2)</f>
        <v/>
      </c>
      <c r="R1381" s="53">
        <f>MID(P1381,7,2)</f>
        <v/>
      </c>
      <c r="S1381" s="3" t="inlineStr">
        <is>
          <t>G2G</t>
        </is>
      </c>
      <c r="T1381" s="3" t="inlineStr">
        <is>
          <t>P4</t>
        </is>
      </c>
      <c r="U1381" s="19" t="inlineStr">
        <is>
          <t>P JB Cold Soldering</t>
        </is>
      </c>
      <c r="V1381" s="19" t="inlineStr">
        <is>
          <t>Soldering</t>
        </is>
      </c>
      <c r="W1381" s="3" t="inlineStr">
        <is>
          <t>Repair</t>
        </is>
      </c>
      <c r="X1381" s="18" t="n">
        <v>46159</v>
      </c>
      <c r="Y1381" s="73">
        <f>IF(X1381="","",X1381-A1381)</f>
        <v/>
      </c>
      <c r="Z1381" s="18" t="n">
        <v>46159</v>
      </c>
      <c r="AA1381" s="15" t="n"/>
      <c r="AB1381" s="15" t="n"/>
      <c r="AF1381">
        <f>IF(AND($F1381="Closed",$X1381&gt;=DATE(2026,5,1),$X1381&lt;=DATE(2026,5,31)),"Closed in May","Other")</f>
        <v/>
      </c>
    </row>
    <row r="1382">
      <c r="A1382" s="37" t="n">
        <v>46143</v>
      </c>
      <c r="B1382" s="3" t="n">
        <v>2026</v>
      </c>
      <c r="C1382" s="26" t="inlineStr">
        <is>
          <t>Yanara Power</t>
        </is>
      </c>
      <c r="D1382" s="3" t="inlineStr">
        <is>
          <t>Utility and C&amp;I</t>
        </is>
      </c>
      <c r="E1382" s="3" t="n"/>
      <c r="F1382" s="3" t="inlineStr">
        <is>
          <t>Closed</t>
        </is>
      </c>
      <c r="G1382" s="9" t="inlineStr">
        <is>
          <t xml:space="preserve">Ashish Jindal </t>
        </is>
      </c>
      <c r="H1382" s="26" t="n">
        <v>9983975581</v>
      </c>
      <c r="I1382" s="38" t="inlineStr">
        <is>
          <t>PE01052601</t>
        </is>
      </c>
      <c r="J1382" s="26" t="inlineStr">
        <is>
          <t>Multiple Issues</t>
        </is>
      </c>
      <c r="K1382" s="39" t="inlineStr">
        <is>
          <t>Holi</t>
        </is>
      </c>
      <c r="L1382" s="39" t="inlineStr">
        <is>
          <t>Maharashtra</t>
        </is>
      </c>
      <c r="M1382" s="9" t="inlineStr">
        <is>
          <t>PS</t>
        </is>
      </c>
      <c r="N1382" s="3" t="inlineStr">
        <is>
          <t>Cold Soldering</t>
        </is>
      </c>
      <c r="O1382" s="39" t="n">
        <v>575</v>
      </c>
      <c r="P1382" s="9" t="inlineStr">
        <is>
          <t>NSMI24070198287</t>
        </is>
      </c>
      <c r="Q1382" s="53">
        <f>MID(P1382,5,2)</f>
        <v/>
      </c>
      <c r="R1382" s="53">
        <f>MID(P1382,7,2)</f>
        <v/>
      </c>
      <c r="S1382" s="3" t="inlineStr">
        <is>
          <t>G2G</t>
        </is>
      </c>
      <c r="T1382" s="3" t="inlineStr">
        <is>
          <t>P4</t>
        </is>
      </c>
      <c r="U1382" s="19" t="inlineStr">
        <is>
          <t>P JB Cold Soldering</t>
        </is>
      </c>
      <c r="V1382" s="19" t="inlineStr">
        <is>
          <t>Soldering</t>
        </is>
      </c>
      <c r="W1382" s="3" t="inlineStr">
        <is>
          <t>Repair</t>
        </is>
      </c>
      <c r="X1382" s="18" t="n">
        <v>46159</v>
      </c>
      <c r="Y1382" s="73">
        <f>IF(X1382="","",X1382-A1382)</f>
        <v/>
      </c>
      <c r="Z1382" s="18" t="n">
        <v>46159</v>
      </c>
      <c r="AA1382" s="15" t="n"/>
      <c r="AB1382" s="15" t="n"/>
      <c r="AF1382">
        <f>IF(AND($F1382="Closed",$X1382&gt;=DATE(2026,5,1),$X1382&lt;=DATE(2026,5,31)),"Closed in May","Other")</f>
        <v/>
      </c>
    </row>
    <row r="1383">
      <c r="A1383" s="37" t="n">
        <v>46143</v>
      </c>
      <c r="B1383" s="3" t="n">
        <v>2026</v>
      </c>
      <c r="C1383" s="26" t="inlineStr">
        <is>
          <t>Yanara Power</t>
        </is>
      </c>
      <c r="D1383" s="3" t="inlineStr">
        <is>
          <t>Utility and C&amp;I</t>
        </is>
      </c>
      <c r="E1383" s="3" t="n"/>
      <c r="F1383" s="3" t="inlineStr">
        <is>
          <t>Closed</t>
        </is>
      </c>
      <c r="G1383" s="9" t="inlineStr">
        <is>
          <t xml:space="preserve">Ashish Jindal </t>
        </is>
      </c>
      <c r="H1383" s="26" t="n">
        <v>9983975581</v>
      </c>
      <c r="I1383" s="38" t="inlineStr">
        <is>
          <t>PE01052601</t>
        </is>
      </c>
      <c r="J1383" s="26" t="inlineStr">
        <is>
          <t>Multiple Issues</t>
        </is>
      </c>
      <c r="K1383" s="39" t="inlineStr">
        <is>
          <t>Holi</t>
        </is>
      </c>
      <c r="L1383" s="39" t="inlineStr">
        <is>
          <t>Maharashtra</t>
        </is>
      </c>
      <c r="M1383" s="9" t="inlineStr">
        <is>
          <t>PNS</t>
        </is>
      </c>
      <c r="N1383" s="3" t="inlineStr">
        <is>
          <t>Cold Soldering</t>
        </is>
      </c>
      <c r="O1383" s="39" t="n">
        <v>575</v>
      </c>
      <c r="P1383" s="9" t="inlineStr">
        <is>
          <t>NSMI24070198295</t>
        </is>
      </c>
      <c r="Q1383" s="53">
        <f>MID(P1383,5,2)</f>
        <v/>
      </c>
      <c r="R1383" s="53">
        <f>MID(P1383,7,2)</f>
        <v/>
      </c>
      <c r="S1383" s="3" t="inlineStr">
        <is>
          <t>G2G</t>
        </is>
      </c>
      <c r="T1383" s="3" t="inlineStr">
        <is>
          <t>P4</t>
        </is>
      </c>
      <c r="U1383" s="3" t="inlineStr">
        <is>
          <t>P &amp; N JB Cold Soldering</t>
        </is>
      </c>
      <c r="V1383" s="3" t="inlineStr">
        <is>
          <t>Soldering</t>
        </is>
      </c>
      <c r="W1383" s="3" t="inlineStr">
        <is>
          <t>Repair</t>
        </is>
      </c>
      <c r="X1383" s="18" t="n">
        <v>46159</v>
      </c>
      <c r="Y1383" s="73">
        <f>IF(X1383="","",X1383-A1383)</f>
        <v/>
      </c>
      <c r="Z1383" s="18" t="n">
        <v>46159</v>
      </c>
      <c r="AA1383" s="15" t="n"/>
      <c r="AB1383" s="15" t="n"/>
      <c r="AF1383">
        <f>IF(AND($F1383="Closed",$X1383&gt;=DATE(2026,5,1),$X1383&lt;=DATE(2026,5,31)),"Closed in May","Other")</f>
        <v/>
      </c>
    </row>
    <row r="1384">
      <c r="A1384" s="37" t="n">
        <v>46143</v>
      </c>
      <c r="B1384" s="3" t="n">
        <v>2026</v>
      </c>
      <c r="C1384" s="26" t="inlineStr">
        <is>
          <t>Yanara Power</t>
        </is>
      </c>
      <c r="D1384" s="3" t="inlineStr">
        <is>
          <t>Utility and C&amp;I</t>
        </is>
      </c>
      <c r="E1384" s="3" t="n"/>
      <c r="F1384" s="3" t="inlineStr">
        <is>
          <t>Closed</t>
        </is>
      </c>
      <c r="G1384" s="9" t="inlineStr">
        <is>
          <t xml:space="preserve">Ashish Jindal </t>
        </is>
      </c>
      <c r="H1384" s="26" t="n">
        <v>9983975581</v>
      </c>
      <c r="I1384" s="38" t="inlineStr">
        <is>
          <t>PE01052601</t>
        </is>
      </c>
      <c r="J1384" s="26" t="inlineStr">
        <is>
          <t>Multiple Issues</t>
        </is>
      </c>
      <c r="K1384" s="39" t="inlineStr">
        <is>
          <t>Holi</t>
        </is>
      </c>
      <c r="L1384" s="39" t="inlineStr">
        <is>
          <t>Maharashtra</t>
        </is>
      </c>
      <c r="M1384" s="9" t="inlineStr">
        <is>
          <t>NS</t>
        </is>
      </c>
      <c r="N1384" s="3" t="inlineStr">
        <is>
          <t>Cold Soldering</t>
        </is>
      </c>
      <c r="O1384" s="39" t="n">
        <v>575</v>
      </c>
      <c r="P1384" s="9" t="inlineStr">
        <is>
          <t>NSMI24070204398</t>
        </is>
      </c>
      <c r="Q1384" s="53">
        <f>MID(P1384,5,2)</f>
        <v/>
      </c>
      <c r="R1384" s="53">
        <f>MID(P1384,7,2)</f>
        <v/>
      </c>
      <c r="S1384" s="3" t="inlineStr">
        <is>
          <t>G2G</t>
        </is>
      </c>
      <c r="T1384" s="3" t="inlineStr">
        <is>
          <t>P4</t>
        </is>
      </c>
      <c r="U1384" s="3" t="inlineStr">
        <is>
          <t>N JB Cold Soldering</t>
        </is>
      </c>
      <c r="V1384" s="3" t="inlineStr">
        <is>
          <t>Soldering</t>
        </is>
      </c>
      <c r="W1384" s="3" t="inlineStr">
        <is>
          <t>Repair</t>
        </is>
      </c>
      <c r="X1384" s="18" t="n">
        <v>46159</v>
      </c>
      <c r="Y1384" s="73">
        <f>IF(X1384="","",X1384-A1384)</f>
        <v/>
      </c>
      <c r="Z1384" s="18" t="n">
        <v>46159</v>
      </c>
      <c r="AA1384" s="15" t="n"/>
      <c r="AB1384" s="15" t="n"/>
      <c r="AF1384">
        <f>IF(AND($F1384="Closed",$X1384&gt;=DATE(2026,5,1),$X1384&lt;=DATE(2026,5,31)),"Closed in May","Other")</f>
        <v/>
      </c>
    </row>
    <row r="1385">
      <c r="A1385" s="37" t="n">
        <v>46143</v>
      </c>
      <c r="B1385" s="3" t="n">
        <v>2026</v>
      </c>
      <c r="C1385" s="26" t="inlineStr">
        <is>
          <t>Yanara Power</t>
        </is>
      </c>
      <c r="D1385" s="3" t="inlineStr">
        <is>
          <t>Utility and C&amp;I</t>
        </is>
      </c>
      <c r="E1385" s="3" t="n"/>
      <c r="F1385" s="3" t="inlineStr">
        <is>
          <t>Closed</t>
        </is>
      </c>
      <c r="G1385" s="9" t="inlineStr">
        <is>
          <t xml:space="preserve">Ashish Jindal </t>
        </is>
      </c>
      <c r="H1385" s="26" t="n">
        <v>9983975581</v>
      </c>
      <c r="I1385" s="38" t="inlineStr">
        <is>
          <t>PE01052601</t>
        </is>
      </c>
      <c r="J1385" s="26" t="inlineStr">
        <is>
          <t>Multiple Issues</t>
        </is>
      </c>
      <c r="K1385" s="39" t="inlineStr">
        <is>
          <t>Holi</t>
        </is>
      </c>
      <c r="L1385" s="39" t="inlineStr">
        <is>
          <t>Maharashtra</t>
        </is>
      </c>
      <c r="M1385" s="9" t="inlineStr">
        <is>
          <t>NS</t>
        </is>
      </c>
      <c r="N1385" s="3" t="inlineStr">
        <is>
          <t>Cold Soldering</t>
        </is>
      </c>
      <c r="O1385" s="39" t="n">
        <v>575</v>
      </c>
      <c r="P1385" s="9" t="inlineStr">
        <is>
          <t>NSMI24070198240</t>
        </is>
      </c>
      <c r="Q1385" s="53">
        <f>MID(P1385,5,2)</f>
        <v/>
      </c>
      <c r="R1385" s="53">
        <f>MID(P1385,7,2)</f>
        <v/>
      </c>
      <c r="S1385" s="3" t="inlineStr">
        <is>
          <t>G2G</t>
        </is>
      </c>
      <c r="T1385" s="3" t="inlineStr">
        <is>
          <t>P4</t>
        </is>
      </c>
      <c r="U1385" s="3" t="inlineStr">
        <is>
          <t>N JB Cold Soldering</t>
        </is>
      </c>
      <c r="V1385" s="3" t="inlineStr">
        <is>
          <t>Soldering</t>
        </is>
      </c>
      <c r="W1385" s="3" t="inlineStr">
        <is>
          <t>Repair</t>
        </is>
      </c>
      <c r="X1385" s="18" t="n">
        <v>46159</v>
      </c>
      <c r="Y1385" s="73">
        <f>IF(X1385="","",X1385-A1385)</f>
        <v/>
      </c>
      <c r="Z1385" s="18" t="n">
        <v>46159</v>
      </c>
      <c r="AA1385" s="15" t="n"/>
      <c r="AB1385" s="15" t="n"/>
      <c r="AF1385">
        <f>IF(AND($F1385="Closed",$X1385&gt;=DATE(2026,5,1),$X1385&lt;=DATE(2026,5,31)),"Closed in May","Other")</f>
        <v/>
      </c>
    </row>
    <row r="1386">
      <c r="A1386" s="37" t="n">
        <v>46143</v>
      </c>
      <c r="B1386" s="3" t="n">
        <v>2026</v>
      </c>
      <c r="C1386" s="26" t="inlineStr">
        <is>
          <t>Yanara Power</t>
        </is>
      </c>
      <c r="D1386" s="3" t="inlineStr">
        <is>
          <t>Utility and C&amp;I</t>
        </is>
      </c>
      <c r="E1386" s="3" t="n"/>
      <c r="F1386" s="3" t="inlineStr">
        <is>
          <t>Closed</t>
        </is>
      </c>
      <c r="G1386" s="9" t="inlineStr">
        <is>
          <t xml:space="preserve">Ashish Jindal </t>
        </is>
      </c>
      <c r="H1386" s="26" t="n">
        <v>9983975581</v>
      </c>
      <c r="I1386" s="38" t="inlineStr">
        <is>
          <t>PE01052601</t>
        </is>
      </c>
      <c r="J1386" s="26" t="inlineStr">
        <is>
          <t>Multiple Issues</t>
        </is>
      </c>
      <c r="K1386" s="39" t="inlineStr">
        <is>
          <t>Holi</t>
        </is>
      </c>
      <c r="L1386" s="39" t="inlineStr">
        <is>
          <t>Maharashtra</t>
        </is>
      </c>
      <c r="M1386" s="9" t="inlineStr">
        <is>
          <t>PS</t>
        </is>
      </c>
      <c r="N1386" s="3" t="inlineStr">
        <is>
          <t>Cold Soldering</t>
        </is>
      </c>
      <c r="O1386" s="39" t="n">
        <v>575</v>
      </c>
      <c r="P1386" s="9" t="inlineStr">
        <is>
          <t>NSMI24070198227</t>
        </is>
      </c>
      <c r="Q1386" s="53">
        <f>MID(P1386,5,2)</f>
        <v/>
      </c>
      <c r="R1386" s="53">
        <f>MID(P1386,7,2)</f>
        <v/>
      </c>
      <c r="S1386" s="3" t="inlineStr">
        <is>
          <t>G2G</t>
        </is>
      </c>
      <c r="T1386" s="3" t="inlineStr">
        <is>
          <t>P4</t>
        </is>
      </c>
      <c r="U1386" s="19" t="inlineStr">
        <is>
          <t>P JB Cold Soldering</t>
        </is>
      </c>
      <c r="V1386" s="19" t="inlineStr">
        <is>
          <t>Soldering</t>
        </is>
      </c>
      <c r="W1386" s="3" t="inlineStr">
        <is>
          <t>Repair</t>
        </is>
      </c>
      <c r="X1386" s="18" t="n">
        <v>46159</v>
      </c>
      <c r="Y1386" s="73">
        <f>IF(X1386="","",X1386-A1386)</f>
        <v/>
      </c>
      <c r="Z1386" s="18" t="n">
        <v>46159</v>
      </c>
      <c r="AA1386" s="15" t="n"/>
      <c r="AB1386" s="15" t="n"/>
      <c r="AF1386">
        <f>IF(AND($F1386="Closed",$X1386&gt;=DATE(2026,5,1),$X1386&lt;=DATE(2026,5,31)),"Closed in May","Other")</f>
        <v/>
      </c>
    </row>
    <row r="1387">
      <c r="A1387" s="37" t="n">
        <v>46143</v>
      </c>
      <c r="B1387" s="3" t="n">
        <v>2026</v>
      </c>
      <c r="C1387" s="26" t="inlineStr">
        <is>
          <t>Yanara Power</t>
        </is>
      </c>
      <c r="D1387" s="3" t="inlineStr">
        <is>
          <t>Utility and C&amp;I</t>
        </is>
      </c>
      <c r="E1387" s="3" t="n"/>
      <c r="F1387" s="3" t="inlineStr">
        <is>
          <t>Closed</t>
        </is>
      </c>
      <c r="G1387" s="9" t="inlineStr">
        <is>
          <t xml:space="preserve">Ashish Jindal </t>
        </is>
      </c>
      <c r="H1387" s="26" t="n">
        <v>9983975581</v>
      </c>
      <c r="I1387" s="38" t="inlineStr">
        <is>
          <t>PE01052601</t>
        </is>
      </c>
      <c r="J1387" s="26" t="inlineStr">
        <is>
          <t>Multiple Issues</t>
        </is>
      </c>
      <c r="K1387" s="39" t="inlineStr">
        <is>
          <t>Holi</t>
        </is>
      </c>
      <c r="L1387" s="39" t="inlineStr">
        <is>
          <t>Maharashtra</t>
        </is>
      </c>
      <c r="M1387" s="9" t="inlineStr">
        <is>
          <t>NR</t>
        </is>
      </c>
      <c r="N1387" s="3" t="inlineStr">
        <is>
          <t>JB Issue</t>
        </is>
      </c>
      <c r="O1387" s="39" t="n">
        <v>575</v>
      </c>
      <c r="P1387" s="9" t="inlineStr">
        <is>
          <t>NSMI24070199086</t>
        </is>
      </c>
      <c r="Q1387" s="53">
        <f>MID(P1387,5,2)</f>
        <v/>
      </c>
      <c r="R1387" s="53">
        <f>MID(P1387,7,2)</f>
        <v/>
      </c>
      <c r="S1387" s="3" t="inlineStr">
        <is>
          <t>G2G</t>
        </is>
      </c>
      <c r="T1387" s="3" t="inlineStr">
        <is>
          <t>P4</t>
        </is>
      </c>
      <c r="U1387" s="3" t="inlineStr">
        <is>
          <t>N JB Issue</t>
        </is>
      </c>
      <c r="V1387" s="3" t="inlineStr">
        <is>
          <t>JB Changed</t>
        </is>
      </c>
      <c r="W1387" s="3" t="inlineStr">
        <is>
          <t>Repair</t>
        </is>
      </c>
      <c r="X1387" s="18" t="n">
        <v>46159</v>
      </c>
      <c r="Y1387" s="73">
        <f>IF(X1387="","",X1387-A1387)</f>
        <v/>
      </c>
      <c r="Z1387" s="18" t="n">
        <v>46159</v>
      </c>
      <c r="AA1387" s="15" t="n"/>
      <c r="AB1387" s="15" t="n"/>
      <c r="AF1387">
        <f>IF(AND($F1387="Closed",$X1387&gt;=DATE(2026,5,1),$X1387&lt;=DATE(2026,5,31)),"Closed in May","Other")</f>
        <v/>
      </c>
    </row>
    <row r="1388">
      <c r="A1388" s="37" t="n">
        <v>46143</v>
      </c>
      <c r="B1388" s="3" t="n">
        <v>2026</v>
      </c>
      <c r="C1388" s="26" t="inlineStr">
        <is>
          <t>Yanara Power</t>
        </is>
      </c>
      <c r="D1388" s="3" t="inlineStr">
        <is>
          <t>Utility and C&amp;I</t>
        </is>
      </c>
      <c r="E1388" s="3" t="n"/>
      <c r="F1388" s="3" t="inlineStr">
        <is>
          <t>Closed</t>
        </is>
      </c>
      <c r="G1388" s="9" t="inlineStr">
        <is>
          <t xml:space="preserve">Ashish Jindal </t>
        </is>
      </c>
      <c r="H1388" s="26" t="n">
        <v>9983975581</v>
      </c>
      <c r="I1388" s="38" t="inlineStr">
        <is>
          <t>PE01052601</t>
        </is>
      </c>
      <c r="J1388" s="26" t="inlineStr">
        <is>
          <t>Multiple Issues</t>
        </is>
      </c>
      <c r="K1388" s="39" t="inlineStr">
        <is>
          <t>Holi</t>
        </is>
      </c>
      <c r="L1388" s="39" t="inlineStr">
        <is>
          <t>Maharashtra</t>
        </is>
      </c>
      <c r="M1388" s="9" t="inlineStr">
        <is>
          <t>PNS</t>
        </is>
      </c>
      <c r="N1388" s="3" t="inlineStr">
        <is>
          <t>Cold Soldering</t>
        </is>
      </c>
      <c r="O1388" s="39" t="n">
        <v>575</v>
      </c>
      <c r="P1388" s="9" t="inlineStr">
        <is>
          <t>NSMI24070218774</t>
        </is>
      </c>
      <c r="Q1388" s="53">
        <f>MID(P1388,5,2)</f>
        <v/>
      </c>
      <c r="R1388" s="53">
        <f>MID(P1388,7,2)</f>
        <v/>
      </c>
      <c r="S1388" s="3" t="inlineStr">
        <is>
          <t>G2G</t>
        </is>
      </c>
      <c r="T1388" s="3" t="inlineStr">
        <is>
          <t>P4</t>
        </is>
      </c>
      <c r="U1388" s="3" t="inlineStr">
        <is>
          <t>P &amp; N JB Cold Soldering</t>
        </is>
      </c>
      <c r="V1388" s="3" t="inlineStr">
        <is>
          <t>Soldering</t>
        </is>
      </c>
      <c r="W1388" s="3" t="inlineStr">
        <is>
          <t>Repair</t>
        </is>
      </c>
      <c r="X1388" s="18" t="n">
        <v>46159</v>
      </c>
      <c r="Y1388" s="73">
        <f>IF(X1388="","",X1388-A1388)</f>
        <v/>
      </c>
      <c r="Z1388" s="18" t="n">
        <v>46159</v>
      </c>
      <c r="AA1388" s="15" t="n"/>
      <c r="AB1388" s="15" t="n"/>
      <c r="AF1388">
        <f>IF(AND($F1388="Closed",$X1388&gt;=DATE(2026,5,1),$X1388&lt;=DATE(2026,5,31)),"Closed in May","Other")</f>
        <v/>
      </c>
    </row>
    <row r="1389">
      <c r="A1389" s="37" t="n">
        <v>46143</v>
      </c>
      <c r="B1389" s="3" t="n">
        <v>2026</v>
      </c>
      <c r="C1389" s="26" t="inlineStr">
        <is>
          <t>Yanara Power</t>
        </is>
      </c>
      <c r="D1389" s="3" t="inlineStr">
        <is>
          <t>Utility and C&amp;I</t>
        </is>
      </c>
      <c r="E1389" s="3" t="n"/>
      <c r="F1389" s="3" t="inlineStr">
        <is>
          <t>Closed</t>
        </is>
      </c>
      <c r="G1389" s="9" t="inlineStr">
        <is>
          <t xml:space="preserve">Ashish Jindal </t>
        </is>
      </c>
      <c r="H1389" s="26" t="n">
        <v>9983975581</v>
      </c>
      <c r="I1389" s="38" t="inlineStr">
        <is>
          <t>PE01052601</t>
        </is>
      </c>
      <c r="J1389" s="26" t="inlineStr">
        <is>
          <t>Multiple Issues</t>
        </is>
      </c>
      <c r="K1389" s="39" t="inlineStr">
        <is>
          <t>Holi</t>
        </is>
      </c>
      <c r="L1389" s="39" t="inlineStr">
        <is>
          <t>Maharashtra</t>
        </is>
      </c>
      <c r="M1389" s="9" t="inlineStr">
        <is>
          <t>PS</t>
        </is>
      </c>
      <c r="N1389" s="3" t="inlineStr">
        <is>
          <t>Cold Soldering</t>
        </is>
      </c>
      <c r="O1389" s="39" t="n">
        <v>575</v>
      </c>
      <c r="P1389" s="9" t="inlineStr">
        <is>
          <t>NSMI24070221880</t>
        </is>
      </c>
      <c r="Q1389" s="53">
        <f>MID(P1389,5,2)</f>
        <v/>
      </c>
      <c r="R1389" s="53">
        <f>MID(P1389,7,2)</f>
        <v/>
      </c>
      <c r="S1389" s="3" t="inlineStr">
        <is>
          <t>G2G</t>
        </is>
      </c>
      <c r="T1389" s="3" t="inlineStr">
        <is>
          <t>P4</t>
        </is>
      </c>
      <c r="U1389" s="19" t="inlineStr">
        <is>
          <t>P JB Cold Soldering</t>
        </is>
      </c>
      <c r="V1389" s="19" t="inlineStr">
        <is>
          <t>Soldering</t>
        </is>
      </c>
      <c r="W1389" s="3" t="inlineStr">
        <is>
          <t>Repair</t>
        </is>
      </c>
      <c r="X1389" s="18" t="n">
        <v>46159</v>
      </c>
      <c r="Y1389" s="73">
        <f>IF(X1389="","",X1389-A1389)</f>
        <v/>
      </c>
      <c r="Z1389" s="18" t="n">
        <v>46159</v>
      </c>
      <c r="AA1389" s="15" t="n"/>
      <c r="AB1389" s="15" t="n"/>
      <c r="AF1389">
        <f>IF(AND($F1389="Closed",$X1389&gt;=DATE(2026,5,1),$X1389&lt;=DATE(2026,5,31)),"Closed in May","Other")</f>
        <v/>
      </c>
    </row>
    <row r="1390">
      <c r="A1390" s="37" t="n">
        <v>46143</v>
      </c>
      <c r="B1390" s="3" t="n">
        <v>2026</v>
      </c>
      <c r="C1390" s="26" t="inlineStr">
        <is>
          <t>Yanara Power</t>
        </is>
      </c>
      <c r="D1390" s="3" t="inlineStr">
        <is>
          <t>Utility and C&amp;I</t>
        </is>
      </c>
      <c r="E1390" s="3" t="n"/>
      <c r="F1390" s="3" t="inlineStr">
        <is>
          <t>Closed</t>
        </is>
      </c>
      <c r="G1390" s="9" t="inlineStr">
        <is>
          <t xml:space="preserve">Ashish Jindal </t>
        </is>
      </c>
      <c r="H1390" s="26" t="n">
        <v>9983975581</v>
      </c>
      <c r="I1390" s="38" t="inlineStr">
        <is>
          <t>PE01052601</t>
        </is>
      </c>
      <c r="J1390" s="26" t="inlineStr">
        <is>
          <t>Multiple Issues</t>
        </is>
      </c>
      <c r="K1390" s="39" t="inlineStr">
        <is>
          <t>Holi</t>
        </is>
      </c>
      <c r="L1390" s="39" t="inlineStr">
        <is>
          <t>Maharashtra</t>
        </is>
      </c>
      <c r="M1390" s="9" t="inlineStr">
        <is>
          <t>PS</t>
        </is>
      </c>
      <c r="N1390" s="3" t="inlineStr">
        <is>
          <t>Cold Soldering</t>
        </is>
      </c>
      <c r="O1390" s="39" t="n">
        <v>575</v>
      </c>
      <c r="P1390" s="9" t="inlineStr">
        <is>
          <t>NSMI24070221361</t>
        </is>
      </c>
      <c r="Q1390" s="53">
        <f>MID(P1390,5,2)</f>
        <v/>
      </c>
      <c r="R1390" s="53">
        <f>MID(P1390,7,2)</f>
        <v/>
      </c>
      <c r="S1390" s="3" t="inlineStr">
        <is>
          <t>G2G</t>
        </is>
      </c>
      <c r="T1390" s="3" t="inlineStr">
        <is>
          <t>P4</t>
        </is>
      </c>
      <c r="U1390" s="19" t="inlineStr">
        <is>
          <t>P JB Cold Soldering</t>
        </is>
      </c>
      <c r="V1390" s="19" t="inlineStr">
        <is>
          <t>Soldering</t>
        </is>
      </c>
      <c r="W1390" s="3" t="inlineStr">
        <is>
          <t>Repair</t>
        </is>
      </c>
      <c r="X1390" s="18" t="n">
        <v>46159</v>
      </c>
      <c r="Y1390" s="73">
        <f>IF(X1390="","",X1390-A1390)</f>
        <v/>
      </c>
      <c r="Z1390" s="18" t="n">
        <v>46159</v>
      </c>
      <c r="AA1390" s="15" t="n"/>
      <c r="AB1390" s="15" t="n"/>
      <c r="AF1390">
        <f>IF(AND($F1390="Closed",$X1390&gt;=DATE(2026,5,1),$X1390&lt;=DATE(2026,5,31)),"Closed in May","Other")</f>
        <v/>
      </c>
    </row>
    <row r="1391">
      <c r="A1391" s="37" t="n">
        <v>46143</v>
      </c>
      <c r="B1391" s="3" t="n">
        <v>2026</v>
      </c>
      <c r="C1391" s="26" t="inlineStr">
        <is>
          <t>Yanara Power</t>
        </is>
      </c>
      <c r="D1391" s="3" t="inlineStr">
        <is>
          <t>Utility and C&amp;I</t>
        </is>
      </c>
      <c r="E1391" s="3" t="n"/>
      <c r="F1391" s="3" t="inlineStr">
        <is>
          <t>Closed</t>
        </is>
      </c>
      <c r="G1391" s="9" t="inlineStr">
        <is>
          <t xml:space="preserve">Ashish Jindal </t>
        </is>
      </c>
      <c r="H1391" s="26" t="n">
        <v>9983975581</v>
      </c>
      <c r="I1391" s="38" t="inlineStr">
        <is>
          <t>PE01052601</t>
        </is>
      </c>
      <c r="J1391" s="26" t="inlineStr">
        <is>
          <t>Multiple Issues</t>
        </is>
      </c>
      <c r="K1391" s="39" t="inlineStr">
        <is>
          <t>Holi</t>
        </is>
      </c>
      <c r="L1391" s="39" t="inlineStr">
        <is>
          <t>Maharashtra</t>
        </is>
      </c>
      <c r="M1391" s="9" t="inlineStr">
        <is>
          <t>AR</t>
        </is>
      </c>
      <c r="N1391" s="19" t="inlineStr">
        <is>
          <t>JB Issue</t>
        </is>
      </c>
      <c r="O1391" s="39" t="n">
        <v>575</v>
      </c>
      <c r="P1391" s="9" t="inlineStr">
        <is>
          <t>NSMI24070222485</t>
        </is>
      </c>
      <c r="Q1391" s="53">
        <f>MID(P1391,5,2)</f>
        <v/>
      </c>
      <c r="R1391" s="53">
        <f>MID(P1391,7,2)</f>
        <v/>
      </c>
      <c r="S1391" s="3" t="inlineStr">
        <is>
          <t>G2G</t>
        </is>
      </c>
      <c r="T1391" s="3" t="inlineStr">
        <is>
          <t>P4</t>
        </is>
      </c>
      <c r="U1391" s="19" t="inlineStr">
        <is>
          <t>All JB Issue</t>
        </is>
      </c>
      <c r="V1391" s="19" t="inlineStr">
        <is>
          <t>JB Changed</t>
        </is>
      </c>
      <c r="W1391" s="3" t="inlineStr">
        <is>
          <t>Repair</t>
        </is>
      </c>
      <c r="X1391" s="18" t="n">
        <v>46159</v>
      </c>
      <c r="Y1391" s="73">
        <f>IF(X1391="","",X1391-A1391)</f>
        <v/>
      </c>
      <c r="Z1391" s="18" t="n">
        <v>46159</v>
      </c>
      <c r="AA1391" s="15" t="n"/>
      <c r="AB1391" s="15" t="n"/>
      <c r="AF1391">
        <f>IF(AND($F1391="Closed",$X1391&gt;=DATE(2026,5,1),$X1391&lt;=DATE(2026,5,31)),"Closed in May","Other")</f>
        <v/>
      </c>
    </row>
    <row r="1392">
      <c r="A1392" s="37" t="n">
        <v>46143</v>
      </c>
      <c r="B1392" s="3" t="n">
        <v>2026</v>
      </c>
      <c r="C1392" s="26" t="inlineStr">
        <is>
          <t>Yanara Power</t>
        </is>
      </c>
      <c r="D1392" s="3" t="inlineStr">
        <is>
          <t>Utility and C&amp;I</t>
        </is>
      </c>
      <c r="E1392" s="3" t="n"/>
      <c r="F1392" s="3" t="inlineStr">
        <is>
          <t>Closed</t>
        </is>
      </c>
      <c r="G1392" s="9" t="inlineStr">
        <is>
          <t xml:space="preserve">Ashish Jindal </t>
        </is>
      </c>
      <c r="H1392" s="26" t="n">
        <v>9983975581</v>
      </c>
      <c r="I1392" s="38" t="inlineStr">
        <is>
          <t>PE01052601</t>
        </is>
      </c>
      <c r="J1392" s="26" t="inlineStr">
        <is>
          <t>Multiple Issues</t>
        </is>
      </c>
      <c r="K1392" s="39" t="inlineStr">
        <is>
          <t>Holi</t>
        </is>
      </c>
      <c r="L1392" s="39" t="inlineStr">
        <is>
          <t>Maharashtra</t>
        </is>
      </c>
      <c r="M1392" s="9" t="inlineStr">
        <is>
          <t>OK</t>
        </is>
      </c>
      <c r="N1392" s="3" t="inlineStr">
        <is>
          <t>No Issue</t>
        </is>
      </c>
      <c r="O1392" s="39" t="n">
        <v>575</v>
      </c>
      <c r="P1392" s="9" t="inlineStr">
        <is>
          <t>NSMI24070193575</t>
        </is>
      </c>
      <c r="Q1392" s="53">
        <f>MID(P1392,5,2)</f>
        <v/>
      </c>
      <c r="R1392" s="53">
        <f>MID(P1392,7,2)</f>
        <v/>
      </c>
      <c r="S1392" s="3" t="inlineStr">
        <is>
          <t>G2G</t>
        </is>
      </c>
      <c r="T1392" s="3" t="inlineStr">
        <is>
          <t>P4</t>
        </is>
      </c>
      <c r="U1392" s="19" t="inlineStr">
        <is>
          <t>No Issue Found</t>
        </is>
      </c>
      <c r="V1392" s="19" t="inlineStr">
        <is>
          <t>Found OK</t>
        </is>
      </c>
      <c r="W1392" s="3" t="inlineStr">
        <is>
          <t>Repair</t>
        </is>
      </c>
      <c r="X1392" s="18" t="n">
        <v>46159</v>
      </c>
      <c r="Y1392" s="73">
        <f>IF(X1392="","",X1392-A1392)</f>
        <v/>
      </c>
      <c r="Z1392" s="18" t="n">
        <v>46159</v>
      </c>
      <c r="AA1392" s="15" t="n"/>
      <c r="AB1392" s="15" t="n"/>
      <c r="AF1392">
        <f>IF(AND($F1392="Closed",$X1392&gt;=DATE(2026,5,1),$X1392&lt;=DATE(2026,5,31)),"Closed in May","Other")</f>
        <v/>
      </c>
    </row>
    <row r="1393">
      <c r="A1393" s="37" t="n">
        <v>46143</v>
      </c>
      <c r="B1393" s="3" t="n">
        <v>2026</v>
      </c>
      <c r="C1393" s="26" t="inlineStr">
        <is>
          <t>Yanara Power</t>
        </is>
      </c>
      <c r="D1393" s="3" t="inlineStr">
        <is>
          <t>Utility and C&amp;I</t>
        </is>
      </c>
      <c r="E1393" s="3" t="n"/>
      <c r="F1393" s="3" t="inlineStr">
        <is>
          <t>Closed</t>
        </is>
      </c>
      <c r="G1393" s="9" t="inlineStr">
        <is>
          <t xml:space="preserve">Ashish Jindal </t>
        </is>
      </c>
      <c r="H1393" s="26" t="n">
        <v>9983975581</v>
      </c>
      <c r="I1393" s="38" t="inlineStr">
        <is>
          <t>PE01052601</t>
        </is>
      </c>
      <c r="J1393" s="26" t="inlineStr">
        <is>
          <t>Multiple Issues</t>
        </is>
      </c>
      <c r="K1393" s="39" t="inlineStr">
        <is>
          <t>Holi</t>
        </is>
      </c>
      <c r="L1393" s="39" t="inlineStr">
        <is>
          <t>Maharashtra</t>
        </is>
      </c>
      <c r="M1393" s="9" t="inlineStr">
        <is>
          <t>NS</t>
        </is>
      </c>
      <c r="N1393" s="3" t="inlineStr">
        <is>
          <t>Cold Soldering</t>
        </is>
      </c>
      <c r="O1393" s="39" t="n">
        <v>575</v>
      </c>
      <c r="P1393" s="9" t="inlineStr">
        <is>
          <t>NSMI24070218909</t>
        </is>
      </c>
      <c r="Q1393" s="53">
        <f>MID(P1393,5,2)</f>
        <v/>
      </c>
      <c r="R1393" s="53">
        <f>MID(P1393,7,2)</f>
        <v/>
      </c>
      <c r="S1393" s="3" t="inlineStr">
        <is>
          <t>G2G</t>
        </is>
      </c>
      <c r="T1393" s="3" t="inlineStr">
        <is>
          <t>P4</t>
        </is>
      </c>
      <c r="U1393" s="3" t="inlineStr">
        <is>
          <t>N JB Cold Soldering</t>
        </is>
      </c>
      <c r="V1393" s="3" t="inlineStr">
        <is>
          <t>Soldering</t>
        </is>
      </c>
      <c r="W1393" s="3" t="inlineStr">
        <is>
          <t>Repair</t>
        </is>
      </c>
      <c r="X1393" s="18" t="n">
        <v>46159</v>
      </c>
      <c r="Y1393" s="73">
        <f>IF(X1393="","",X1393-A1393)</f>
        <v/>
      </c>
      <c r="Z1393" s="18" t="n">
        <v>46159</v>
      </c>
      <c r="AA1393" s="15" t="n"/>
      <c r="AB1393" s="15" t="n"/>
      <c r="AF1393">
        <f>IF(AND($F1393="Closed",$X1393&gt;=DATE(2026,5,1),$X1393&lt;=DATE(2026,5,31)),"Closed in May","Other")</f>
        <v/>
      </c>
    </row>
    <row r="1394">
      <c r="A1394" s="37" t="n">
        <v>46143</v>
      </c>
      <c r="B1394" s="3" t="n">
        <v>2026</v>
      </c>
      <c r="C1394" s="26" t="inlineStr">
        <is>
          <t>Yanara Power</t>
        </is>
      </c>
      <c r="D1394" s="3" t="inlineStr">
        <is>
          <t>Utility and C&amp;I</t>
        </is>
      </c>
      <c r="E1394" s="3" t="n"/>
      <c r="F1394" s="3" t="inlineStr">
        <is>
          <t>Closed</t>
        </is>
      </c>
      <c r="G1394" s="9" t="inlineStr">
        <is>
          <t xml:space="preserve">Ashish Jindal </t>
        </is>
      </c>
      <c r="H1394" s="26" t="n">
        <v>9983975581</v>
      </c>
      <c r="I1394" s="38" t="inlineStr">
        <is>
          <t>PE01052601</t>
        </is>
      </c>
      <c r="J1394" s="26" t="inlineStr">
        <is>
          <t>Multiple Issues</t>
        </is>
      </c>
      <c r="K1394" s="39" t="inlineStr">
        <is>
          <t>Holi</t>
        </is>
      </c>
      <c r="L1394" s="39" t="inlineStr">
        <is>
          <t>Maharashtra</t>
        </is>
      </c>
      <c r="M1394" s="9" t="inlineStr">
        <is>
          <t>PS</t>
        </is>
      </c>
      <c r="N1394" s="3" t="inlineStr">
        <is>
          <t>Cold Soldering</t>
        </is>
      </c>
      <c r="O1394" s="39" t="n">
        <v>575</v>
      </c>
      <c r="P1394" s="9" t="inlineStr">
        <is>
          <t>NSMI24070219383</t>
        </is>
      </c>
      <c r="Q1394" s="53">
        <f>MID(P1394,5,2)</f>
        <v/>
      </c>
      <c r="R1394" s="53">
        <f>MID(P1394,7,2)</f>
        <v/>
      </c>
      <c r="S1394" s="3" t="inlineStr">
        <is>
          <t>G2G</t>
        </is>
      </c>
      <c r="T1394" s="3" t="inlineStr">
        <is>
          <t>P4</t>
        </is>
      </c>
      <c r="U1394" s="19" t="inlineStr">
        <is>
          <t>P JB Cold Soldering</t>
        </is>
      </c>
      <c r="V1394" s="19" t="inlineStr">
        <is>
          <t>Soldering</t>
        </is>
      </c>
      <c r="W1394" s="3" t="inlineStr">
        <is>
          <t>Repair</t>
        </is>
      </c>
      <c r="X1394" s="18" t="n">
        <v>46159</v>
      </c>
      <c r="Y1394" s="73">
        <f>IF(X1394="","",X1394-A1394)</f>
        <v/>
      </c>
      <c r="Z1394" s="18" t="n">
        <v>46159</v>
      </c>
      <c r="AA1394" s="15" t="n"/>
      <c r="AB1394" s="15" t="n"/>
      <c r="AF1394">
        <f>IF(AND($F1394="Closed",$X1394&gt;=DATE(2026,5,1),$X1394&lt;=DATE(2026,5,31)),"Closed in May","Other")</f>
        <v/>
      </c>
    </row>
    <row r="1395">
      <c r="A1395" s="37" t="n">
        <v>46143</v>
      </c>
      <c r="B1395" s="3" t="n">
        <v>2026</v>
      </c>
      <c r="C1395" s="26" t="inlineStr">
        <is>
          <t>Yanara Power</t>
        </is>
      </c>
      <c r="D1395" s="3" t="inlineStr">
        <is>
          <t>Utility and C&amp;I</t>
        </is>
      </c>
      <c r="E1395" s="3" t="n"/>
      <c r="F1395" s="3" t="inlineStr">
        <is>
          <t>Closed</t>
        </is>
      </c>
      <c r="G1395" s="9" t="inlineStr">
        <is>
          <t xml:space="preserve">Ashish Jindal </t>
        </is>
      </c>
      <c r="H1395" s="26" t="n">
        <v>9983975581</v>
      </c>
      <c r="I1395" s="38" t="inlineStr">
        <is>
          <t>PE01052601</t>
        </is>
      </c>
      <c r="J1395" s="26" t="inlineStr">
        <is>
          <t>Multiple Issues</t>
        </is>
      </c>
      <c r="K1395" s="39" t="inlineStr">
        <is>
          <t>Holi</t>
        </is>
      </c>
      <c r="L1395" s="39" t="inlineStr">
        <is>
          <t>Maharashtra</t>
        </is>
      </c>
      <c r="M1395" s="9" t="inlineStr">
        <is>
          <t>PS</t>
        </is>
      </c>
      <c r="N1395" s="3" t="inlineStr">
        <is>
          <t>Cold Soldering</t>
        </is>
      </c>
      <c r="O1395" s="39" t="n">
        <v>575</v>
      </c>
      <c r="P1395" s="9" t="inlineStr">
        <is>
          <t>NSMI24070218931</t>
        </is>
      </c>
      <c r="Q1395" s="53">
        <f>MID(P1395,5,2)</f>
        <v/>
      </c>
      <c r="R1395" s="53">
        <f>MID(P1395,7,2)</f>
        <v/>
      </c>
      <c r="S1395" s="3" t="inlineStr">
        <is>
          <t>G2G</t>
        </is>
      </c>
      <c r="T1395" s="3" t="inlineStr">
        <is>
          <t>P4</t>
        </is>
      </c>
      <c r="U1395" s="19" t="inlineStr">
        <is>
          <t>P JB Cold Soldering</t>
        </is>
      </c>
      <c r="V1395" s="19" t="inlineStr">
        <is>
          <t>Soldering</t>
        </is>
      </c>
      <c r="W1395" s="3" t="inlineStr">
        <is>
          <t>Repair</t>
        </is>
      </c>
      <c r="X1395" s="18" t="n">
        <v>46159</v>
      </c>
      <c r="Y1395" s="73">
        <f>IF(X1395="","",X1395-A1395)</f>
        <v/>
      </c>
      <c r="Z1395" s="18" t="n">
        <v>46159</v>
      </c>
      <c r="AA1395" s="15" t="n"/>
      <c r="AB1395" s="15" t="n"/>
      <c r="AF1395">
        <f>IF(AND($F1395="Closed",$X1395&gt;=DATE(2026,5,1),$X1395&lt;=DATE(2026,5,31)),"Closed in May","Other")</f>
        <v/>
      </c>
    </row>
    <row r="1396">
      <c r="A1396" s="37" t="n">
        <v>46143</v>
      </c>
      <c r="B1396" s="3" t="n">
        <v>2026</v>
      </c>
      <c r="C1396" s="26" t="inlineStr">
        <is>
          <t>Yanara Power</t>
        </is>
      </c>
      <c r="D1396" s="3" t="inlineStr">
        <is>
          <t>Utility and C&amp;I</t>
        </is>
      </c>
      <c r="E1396" s="3" t="n"/>
      <c r="F1396" s="3" t="inlineStr">
        <is>
          <t>Closed</t>
        </is>
      </c>
      <c r="G1396" s="9" t="inlineStr">
        <is>
          <t xml:space="preserve">Ashish Jindal </t>
        </is>
      </c>
      <c r="H1396" s="26" t="n">
        <v>9983975581</v>
      </c>
      <c r="I1396" s="38" t="inlineStr">
        <is>
          <t>PE01052601</t>
        </is>
      </c>
      <c r="J1396" s="26" t="inlineStr">
        <is>
          <t>Multiple Issues</t>
        </is>
      </c>
      <c r="K1396" s="39" t="inlineStr">
        <is>
          <t>Holi</t>
        </is>
      </c>
      <c r="L1396" s="39" t="inlineStr">
        <is>
          <t>Maharashtra</t>
        </is>
      </c>
      <c r="M1396" s="9" t="inlineStr">
        <is>
          <t>PNS</t>
        </is>
      </c>
      <c r="N1396" s="3" t="inlineStr">
        <is>
          <t>Cold Soldering</t>
        </is>
      </c>
      <c r="O1396" s="39" t="n">
        <v>575</v>
      </c>
      <c r="P1396" s="9" t="inlineStr">
        <is>
          <t>NSMI24070216985</t>
        </is>
      </c>
      <c r="Q1396" s="53">
        <f>MID(P1396,5,2)</f>
        <v/>
      </c>
      <c r="R1396" s="53">
        <f>MID(P1396,7,2)</f>
        <v/>
      </c>
      <c r="S1396" s="3" t="inlineStr">
        <is>
          <t>G2G</t>
        </is>
      </c>
      <c r="T1396" s="3" t="inlineStr">
        <is>
          <t>P4</t>
        </is>
      </c>
      <c r="U1396" s="3" t="inlineStr">
        <is>
          <t>P &amp; N JB Cold Soldering</t>
        </is>
      </c>
      <c r="V1396" s="3" t="inlineStr">
        <is>
          <t>Soldering</t>
        </is>
      </c>
      <c r="W1396" s="3" t="inlineStr">
        <is>
          <t>Repair</t>
        </is>
      </c>
      <c r="X1396" s="18" t="n">
        <v>46159</v>
      </c>
      <c r="Y1396" s="73">
        <f>IF(X1396="","",X1396-A1396)</f>
        <v/>
      </c>
      <c r="Z1396" s="18" t="n">
        <v>46159</v>
      </c>
      <c r="AA1396" s="15" t="n"/>
      <c r="AB1396" s="15" t="n"/>
      <c r="AF1396">
        <f>IF(AND($F1396="Closed",$X1396&gt;=DATE(2026,5,1),$X1396&lt;=DATE(2026,5,31)),"Closed in May","Other")</f>
        <v/>
      </c>
    </row>
    <row r="1397">
      <c r="A1397" s="37" t="n">
        <v>46143</v>
      </c>
      <c r="B1397" s="3" t="n">
        <v>2026</v>
      </c>
      <c r="C1397" s="26" t="inlineStr">
        <is>
          <t>Yanara Power</t>
        </is>
      </c>
      <c r="D1397" s="3" t="inlineStr">
        <is>
          <t>Utility and C&amp;I</t>
        </is>
      </c>
      <c r="E1397" s="3" t="n"/>
      <c r="F1397" s="3" t="inlineStr">
        <is>
          <t>Closed</t>
        </is>
      </c>
      <c r="G1397" s="9" t="inlineStr">
        <is>
          <t xml:space="preserve">Ashish Jindal </t>
        </is>
      </c>
      <c r="H1397" s="26" t="n">
        <v>9983975581</v>
      </c>
      <c r="I1397" s="38" t="inlineStr">
        <is>
          <t>PE01052601</t>
        </is>
      </c>
      <c r="J1397" s="26" t="inlineStr">
        <is>
          <t>Multiple Issues</t>
        </is>
      </c>
      <c r="K1397" s="39" t="inlineStr">
        <is>
          <t>Holi</t>
        </is>
      </c>
      <c r="L1397" s="39" t="inlineStr">
        <is>
          <t>Maharashtra</t>
        </is>
      </c>
      <c r="M1397" s="9" t="inlineStr">
        <is>
          <t>PS</t>
        </is>
      </c>
      <c r="N1397" s="3" t="inlineStr">
        <is>
          <t>Cold Soldering</t>
        </is>
      </c>
      <c r="O1397" s="39" t="n">
        <v>575</v>
      </c>
      <c r="P1397" s="9" t="inlineStr">
        <is>
          <t>NSMI24070202347</t>
        </is>
      </c>
      <c r="Q1397" s="53">
        <f>MID(P1397,5,2)</f>
        <v/>
      </c>
      <c r="R1397" s="53">
        <f>MID(P1397,7,2)</f>
        <v/>
      </c>
      <c r="S1397" s="3" t="inlineStr">
        <is>
          <t>G2G</t>
        </is>
      </c>
      <c r="T1397" s="3" t="inlineStr">
        <is>
          <t>P4</t>
        </is>
      </c>
      <c r="U1397" s="19" t="inlineStr">
        <is>
          <t>P JB Cold Soldering</t>
        </is>
      </c>
      <c r="V1397" s="19" t="inlineStr">
        <is>
          <t>Soldering</t>
        </is>
      </c>
      <c r="W1397" s="3" t="inlineStr">
        <is>
          <t>Repair</t>
        </is>
      </c>
      <c r="X1397" s="18" t="n">
        <v>46159</v>
      </c>
      <c r="Y1397" s="73">
        <f>IF(X1397="","",X1397-A1397)</f>
        <v/>
      </c>
      <c r="Z1397" s="18" t="n">
        <v>46159</v>
      </c>
      <c r="AA1397" s="15" t="n"/>
      <c r="AB1397" s="15" t="n"/>
      <c r="AF1397">
        <f>IF(AND($F1397="Closed",$X1397&gt;=DATE(2026,5,1),$X1397&lt;=DATE(2026,5,31)),"Closed in May","Other")</f>
        <v/>
      </c>
    </row>
    <row r="1398">
      <c r="A1398" s="37" t="n">
        <v>46143</v>
      </c>
      <c r="B1398" s="3" t="n">
        <v>2026</v>
      </c>
      <c r="C1398" s="26" t="inlineStr">
        <is>
          <t>Yanara Power</t>
        </is>
      </c>
      <c r="D1398" s="3" t="inlineStr">
        <is>
          <t>Utility and C&amp;I</t>
        </is>
      </c>
      <c r="E1398" s="3" t="n"/>
      <c r="F1398" s="3" t="inlineStr">
        <is>
          <t>Closed</t>
        </is>
      </c>
      <c r="G1398" s="9" t="inlineStr">
        <is>
          <t xml:space="preserve">Ashish Jindal </t>
        </is>
      </c>
      <c r="H1398" s="26" t="n">
        <v>9983975581</v>
      </c>
      <c r="I1398" s="38" t="inlineStr">
        <is>
          <t>PE01052601</t>
        </is>
      </c>
      <c r="J1398" s="26" t="inlineStr">
        <is>
          <t>Multiple Issues</t>
        </is>
      </c>
      <c r="K1398" s="39" t="inlineStr">
        <is>
          <t>Holi</t>
        </is>
      </c>
      <c r="L1398" s="39" t="inlineStr">
        <is>
          <t>Maharashtra</t>
        </is>
      </c>
      <c r="M1398" s="9" t="inlineStr">
        <is>
          <t>AR</t>
        </is>
      </c>
      <c r="N1398" s="19" t="inlineStr">
        <is>
          <t>JB Issue</t>
        </is>
      </c>
      <c r="O1398" s="39" t="n">
        <v>575</v>
      </c>
      <c r="P1398" s="9" t="inlineStr">
        <is>
          <t>NSMI24070218673</t>
        </is>
      </c>
      <c r="Q1398" s="53">
        <f>MID(P1398,5,2)</f>
        <v/>
      </c>
      <c r="R1398" s="53">
        <f>MID(P1398,7,2)</f>
        <v/>
      </c>
      <c r="S1398" s="3" t="inlineStr">
        <is>
          <t>G2G</t>
        </is>
      </c>
      <c r="T1398" s="3" t="inlineStr">
        <is>
          <t>P4</t>
        </is>
      </c>
      <c r="U1398" s="19" t="inlineStr">
        <is>
          <t>All JB Issue</t>
        </is>
      </c>
      <c r="V1398" s="19" t="inlineStr">
        <is>
          <t>JB Changed</t>
        </is>
      </c>
      <c r="W1398" s="3" t="inlineStr">
        <is>
          <t>Repair</t>
        </is>
      </c>
      <c r="X1398" s="18" t="n">
        <v>46159</v>
      </c>
      <c r="Y1398" s="73">
        <f>IF(X1398="","",X1398-A1398)</f>
        <v/>
      </c>
      <c r="Z1398" s="18" t="n">
        <v>46159</v>
      </c>
      <c r="AA1398" s="15" t="n"/>
      <c r="AB1398" s="15" t="n"/>
      <c r="AF1398">
        <f>IF(AND($F1398="Closed",$X1398&gt;=DATE(2026,5,1),$X1398&lt;=DATE(2026,5,31)),"Closed in May","Other")</f>
        <v/>
      </c>
    </row>
    <row r="1399">
      <c r="A1399" s="37" t="n">
        <v>46158</v>
      </c>
      <c r="B1399" s="3" t="n">
        <v>2026</v>
      </c>
      <c r="C1399" s="26" t="inlineStr">
        <is>
          <t>Nabhas Constructions</t>
        </is>
      </c>
      <c r="D1399" s="26" t="inlineStr">
        <is>
          <t>Channel Sales</t>
        </is>
      </c>
      <c r="E1399" s="3" t="n"/>
      <c r="F1399" s="3" t="inlineStr">
        <is>
          <t>Closed</t>
        </is>
      </c>
      <c r="G1399" s="51" t="inlineStr">
        <is>
          <t xml:space="preserve">Akshay Ravi </t>
        </is>
      </c>
      <c r="H1399" s="51" t="n">
        <v>9819889031</v>
      </c>
      <c r="I1399" s="38" t="inlineStr">
        <is>
          <t>PE16052601</t>
        </is>
      </c>
      <c r="J1399" s="26" t="inlineStr">
        <is>
          <t>Manufacturing Defect</t>
        </is>
      </c>
      <c r="K1399" s="26" t="inlineStr">
        <is>
          <t>Kovvuru</t>
        </is>
      </c>
      <c r="L1399" s="26" t="inlineStr">
        <is>
          <t>Andhra Pradesh</t>
        </is>
      </c>
      <c r="M1399" s="9" t="inlineStr">
        <is>
          <t>No Visit</t>
        </is>
      </c>
      <c r="N1399" s="42" t="inlineStr">
        <is>
          <t>Transparent backsheet melt down</t>
        </is>
      </c>
      <c r="O1399" s="39" t="n">
        <v>540</v>
      </c>
      <c r="P1399" s="9" t="inlineStr">
        <is>
          <t>NSMP24112017399</t>
        </is>
      </c>
      <c r="Q1399" s="53">
        <f>MID(P1399,5,2)</f>
        <v/>
      </c>
      <c r="R1399" s="53">
        <f>MID(P1399,7,2)</f>
        <v/>
      </c>
      <c r="S1399" s="3" t="inlineStr">
        <is>
          <t>G2TB</t>
        </is>
      </c>
      <c r="T1399" s="3" t="inlineStr">
        <is>
          <t>P2</t>
        </is>
      </c>
      <c r="U1399" s="42" t="inlineStr">
        <is>
          <t>Improper ribbon/tab lead soldering</t>
        </is>
      </c>
      <c r="V1399" s="3" t="inlineStr">
        <is>
          <t>CN / Replacement</t>
        </is>
      </c>
      <c r="W1399" s="3" t="inlineStr">
        <is>
          <t>Replacement</t>
        </is>
      </c>
      <c r="X1399" s="18" t="n">
        <v>46158</v>
      </c>
      <c r="Y1399" s="73">
        <f>IF(X1399="","",X1399-A1399)</f>
        <v/>
      </c>
      <c r="Z1399" s="19" t="n"/>
      <c r="AA1399" s="19" t="n"/>
      <c r="AB1399" s="19" t="n"/>
      <c r="AF1399">
        <f>IF(AND($F1399="Closed",$X1399&gt;=DATE(2026,5,1),$X1399&lt;=DATE(2026,5,31)),"Closed in May","Other")</f>
        <v/>
      </c>
    </row>
    <row r="1400">
      <c r="A1400" s="6" t="n">
        <v>46107</v>
      </c>
      <c r="B1400" s="3" t="n">
        <v>2026</v>
      </c>
      <c r="C1400" s="3" t="inlineStr">
        <is>
          <t>Blupine Energy</t>
        </is>
      </c>
      <c r="D1400" s="3" t="inlineStr">
        <is>
          <t>Utility and C&amp;I</t>
        </is>
      </c>
      <c r="E1400" s="3" t="n"/>
      <c r="F1400" s="3" t="inlineStr">
        <is>
          <t>Closed</t>
        </is>
      </c>
      <c r="G1400" s="3" t="inlineStr">
        <is>
          <t>Chandrashekar Patidar</t>
        </is>
      </c>
      <c r="H1400" s="3" t="n">
        <v>7879764773</v>
      </c>
      <c r="I1400" s="11" t="inlineStr">
        <is>
          <t>PE26032601</t>
        </is>
      </c>
      <c r="J1400" s="3" t="inlineStr">
        <is>
          <t>Module Diode Failure</t>
        </is>
      </c>
      <c r="K1400" s="3" t="inlineStr">
        <is>
          <t>Sadla</t>
        </is>
      </c>
      <c r="L1400" s="3" t="inlineStr">
        <is>
          <t>Gujarat</t>
        </is>
      </c>
      <c r="M1400" s="9" t="inlineStr">
        <is>
          <t>PNS</t>
        </is>
      </c>
      <c r="N1400" s="3" t="inlineStr">
        <is>
          <t>Cold Soldering</t>
        </is>
      </c>
      <c r="O1400" s="3" t="n">
        <v>570</v>
      </c>
      <c r="P1400" s="9" t="inlineStr">
        <is>
          <t>NSMI24090346682</t>
        </is>
      </c>
      <c r="Q1400" s="54">
        <f>MID(P1400,5,2)</f>
        <v/>
      </c>
      <c r="R1400" s="53">
        <f>MID(P1400,7,2)</f>
        <v/>
      </c>
      <c r="S1400" s="3" t="inlineStr">
        <is>
          <t>G2G</t>
        </is>
      </c>
      <c r="T1400" s="3" t="inlineStr">
        <is>
          <t>P4</t>
        </is>
      </c>
      <c r="U1400" s="3" t="inlineStr">
        <is>
          <t>P &amp; N JB Cold Soldering</t>
        </is>
      </c>
      <c r="V1400" s="3" t="inlineStr">
        <is>
          <t>Soldering</t>
        </is>
      </c>
      <c r="W1400" s="3" t="inlineStr">
        <is>
          <t>Repair</t>
        </is>
      </c>
      <c r="X1400" s="18" t="n">
        <v>46160</v>
      </c>
      <c r="Y1400" s="73">
        <f>IF(X1400="","",X1400-A1400)</f>
        <v/>
      </c>
      <c r="Z1400" s="18" t="n">
        <v>46160</v>
      </c>
      <c r="AA1400" s="15" t="n"/>
      <c r="AB1400" s="15" t="n"/>
      <c r="AF1400">
        <f>IF(AND($F1400="Closed",$X1400&gt;=DATE(2026,5,1),$X1400&lt;=DATE(2026,5,31)),"Closed in May","Other")</f>
        <v/>
      </c>
    </row>
    <row r="1401">
      <c r="A1401" s="6" t="n">
        <v>46107</v>
      </c>
      <c r="B1401" s="3" t="n">
        <v>2026</v>
      </c>
      <c r="C1401" s="3" t="inlineStr">
        <is>
          <t>Blupine Energy</t>
        </is>
      </c>
      <c r="D1401" s="3" t="inlineStr">
        <is>
          <t>Utility and C&amp;I</t>
        </is>
      </c>
      <c r="E1401" s="3" t="n"/>
      <c r="F1401" s="3" t="inlineStr">
        <is>
          <t>Closed</t>
        </is>
      </c>
      <c r="G1401" s="3" t="inlineStr">
        <is>
          <t>Chandrashekar Patidar</t>
        </is>
      </c>
      <c r="H1401" s="3" t="n">
        <v>7879764773</v>
      </c>
      <c r="I1401" s="11" t="inlineStr">
        <is>
          <t>PE26032601</t>
        </is>
      </c>
      <c r="J1401" s="3" t="inlineStr">
        <is>
          <t>Module Diode Failure</t>
        </is>
      </c>
      <c r="K1401" s="3" t="inlineStr">
        <is>
          <t>Sadla</t>
        </is>
      </c>
      <c r="L1401" s="3" t="inlineStr">
        <is>
          <t>Gujarat</t>
        </is>
      </c>
      <c r="M1401" s="9" t="inlineStr">
        <is>
          <t>PS</t>
        </is>
      </c>
      <c r="N1401" s="3" t="inlineStr">
        <is>
          <t>Cold Soldering</t>
        </is>
      </c>
      <c r="O1401" s="3" t="n">
        <v>570</v>
      </c>
      <c r="P1401" s="9" t="inlineStr">
        <is>
          <t>NSMI24090350403</t>
        </is>
      </c>
      <c r="Q1401" s="54">
        <f>MID(P1401,5,2)</f>
        <v/>
      </c>
      <c r="R1401" s="53">
        <f>MID(P1401,7,2)</f>
        <v/>
      </c>
      <c r="S1401" s="3" t="inlineStr">
        <is>
          <t>G2G</t>
        </is>
      </c>
      <c r="T1401" s="3" t="inlineStr">
        <is>
          <t>P4</t>
        </is>
      </c>
      <c r="U1401" s="3" t="inlineStr">
        <is>
          <t>P JB Cold Soldering</t>
        </is>
      </c>
      <c r="V1401" s="3" t="inlineStr">
        <is>
          <t>Soldering</t>
        </is>
      </c>
      <c r="W1401" s="3" t="inlineStr">
        <is>
          <t>Repair</t>
        </is>
      </c>
      <c r="X1401" s="18" t="n">
        <v>46160</v>
      </c>
      <c r="Y1401" s="73">
        <f>IF(X1401="","",X1401-A1401)</f>
        <v/>
      </c>
      <c r="Z1401" s="18" t="n">
        <v>46160</v>
      </c>
      <c r="AA1401" s="15" t="n"/>
      <c r="AB1401" s="15" t="n"/>
      <c r="AF1401">
        <f>IF(AND($F1401="Closed",$X1401&gt;=DATE(2026,5,1),$X1401&lt;=DATE(2026,5,31)),"Closed in May","Other")</f>
        <v/>
      </c>
    </row>
    <row r="1402">
      <c r="A1402" s="6" t="n">
        <v>46107</v>
      </c>
      <c r="B1402" s="3" t="n">
        <v>2026</v>
      </c>
      <c r="C1402" s="3" t="inlineStr">
        <is>
          <t>Blupine Energy</t>
        </is>
      </c>
      <c r="D1402" s="3" t="inlineStr">
        <is>
          <t>Utility and C&amp;I</t>
        </is>
      </c>
      <c r="E1402" s="3" t="n"/>
      <c r="F1402" s="3" t="inlineStr">
        <is>
          <t>Closed</t>
        </is>
      </c>
      <c r="G1402" s="3" t="inlineStr">
        <is>
          <t>Chandrashekar Patidar</t>
        </is>
      </c>
      <c r="H1402" s="3" t="n">
        <v>7879764773</v>
      </c>
      <c r="I1402" s="11" t="inlineStr">
        <is>
          <t>PE26032601</t>
        </is>
      </c>
      <c r="J1402" s="3" t="inlineStr">
        <is>
          <t>Module Diode Failure</t>
        </is>
      </c>
      <c r="K1402" s="3" t="inlineStr">
        <is>
          <t>Sadla</t>
        </is>
      </c>
      <c r="L1402" s="3" t="inlineStr">
        <is>
          <t>Gujarat</t>
        </is>
      </c>
      <c r="M1402" s="9" t="inlineStr">
        <is>
          <t>PS</t>
        </is>
      </c>
      <c r="N1402" s="3" t="inlineStr">
        <is>
          <t>Cold Soldering</t>
        </is>
      </c>
      <c r="O1402" s="3" t="n">
        <v>570</v>
      </c>
      <c r="P1402" s="9" t="inlineStr">
        <is>
          <t>NSMI24090347255</t>
        </is>
      </c>
      <c r="Q1402" s="54">
        <f>MID(P1402,5,2)</f>
        <v/>
      </c>
      <c r="R1402" s="53">
        <f>MID(P1402,7,2)</f>
        <v/>
      </c>
      <c r="S1402" s="3" t="inlineStr">
        <is>
          <t>G2G</t>
        </is>
      </c>
      <c r="T1402" s="3" t="inlineStr">
        <is>
          <t>P4</t>
        </is>
      </c>
      <c r="U1402" s="3" t="inlineStr">
        <is>
          <t>P JB Cold Soldering</t>
        </is>
      </c>
      <c r="V1402" s="3" t="inlineStr">
        <is>
          <t>Soldering</t>
        </is>
      </c>
      <c r="W1402" s="3" t="inlineStr">
        <is>
          <t>Repair</t>
        </is>
      </c>
      <c r="X1402" s="18" t="n">
        <v>46160</v>
      </c>
      <c r="Y1402" s="73">
        <f>IF(X1402="","",X1402-A1402)</f>
        <v/>
      </c>
      <c r="Z1402" s="18" t="n">
        <v>46160</v>
      </c>
      <c r="AA1402" s="15" t="n"/>
      <c r="AB1402" s="15" t="n"/>
      <c r="AF1402">
        <f>IF(AND($F1402="Closed",$X1402&gt;=DATE(2026,5,1),$X1402&lt;=DATE(2026,5,31)),"Closed in May","Other")</f>
        <v/>
      </c>
    </row>
    <row r="1403">
      <c r="A1403" s="6" t="n">
        <v>46107</v>
      </c>
      <c r="B1403" s="3" t="n">
        <v>2026</v>
      </c>
      <c r="C1403" s="3" t="inlineStr">
        <is>
          <t>Blupine Energy</t>
        </is>
      </c>
      <c r="D1403" s="3" t="inlineStr">
        <is>
          <t>Utility and C&amp;I</t>
        </is>
      </c>
      <c r="E1403" s="3" t="n"/>
      <c r="F1403" s="3" t="inlineStr">
        <is>
          <t>Closed</t>
        </is>
      </c>
      <c r="G1403" s="3" t="inlineStr">
        <is>
          <t>Chandrashekar Patidar</t>
        </is>
      </c>
      <c r="H1403" s="3" t="n">
        <v>7879764773</v>
      </c>
      <c r="I1403" s="11" t="inlineStr">
        <is>
          <t>PE26032601</t>
        </is>
      </c>
      <c r="J1403" s="3" t="inlineStr">
        <is>
          <t>Module Diode Failure</t>
        </is>
      </c>
      <c r="K1403" s="3" t="inlineStr">
        <is>
          <t>Sadla</t>
        </is>
      </c>
      <c r="L1403" s="3" t="inlineStr">
        <is>
          <t>Gujarat</t>
        </is>
      </c>
      <c r="M1403" s="9" t="inlineStr">
        <is>
          <t>PS</t>
        </is>
      </c>
      <c r="N1403" s="3" t="inlineStr">
        <is>
          <t>Cold Soldering</t>
        </is>
      </c>
      <c r="O1403" s="3" t="n">
        <v>570</v>
      </c>
      <c r="P1403" s="9" t="inlineStr">
        <is>
          <t>NSMI24090354255</t>
        </is>
      </c>
      <c r="Q1403" s="54">
        <f>MID(P1403,5,2)</f>
        <v/>
      </c>
      <c r="R1403" s="53">
        <f>MID(P1403,7,2)</f>
        <v/>
      </c>
      <c r="S1403" s="3" t="inlineStr">
        <is>
          <t>G2G</t>
        </is>
      </c>
      <c r="T1403" s="3" t="inlineStr">
        <is>
          <t>P4</t>
        </is>
      </c>
      <c r="U1403" s="3" t="inlineStr">
        <is>
          <t>P JB Cold Soldering</t>
        </is>
      </c>
      <c r="V1403" s="3" t="inlineStr">
        <is>
          <t>Soldering</t>
        </is>
      </c>
      <c r="W1403" s="3" t="inlineStr">
        <is>
          <t>Repair</t>
        </is>
      </c>
      <c r="X1403" s="18" t="n">
        <v>46160</v>
      </c>
      <c r="Y1403" s="73">
        <f>IF(X1403="","",X1403-A1403)</f>
        <v/>
      </c>
      <c r="Z1403" s="18" t="n">
        <v>46160</v>
      </c>
      <c r="AA1403" s="15" t="n"/>
      <c r="AB1403" s="15" t="n"/>
      <c r="AF1403">
        <f>IF(AND($F1403="Closed",$X1403&gt;=DATE(2026,5,1),$X1403&lt;=DATE(2026,5,31)),"Closed in May","Other")</f>
        <v/>
      </c>
    </row>
    <row r="1404">
      <c r="A1404" s="6" t="n">
        <v>46107</v>
      </c>
      <c r="B1404" s="3" t="n">
        <v>2026</v>
      </c>
      <c r="C1404" s="3" t="inlineStr">
        <is>
          <t>Blupine Energy</t>
        </is>
      </c>
      <c r="D1404" s="3" t="inlineStr">
        <is>
          <t>Utility and C&amp;I</t>
        </is>
      </c>
      <c r="E1404" s="3" t="n"/>
      <c r="F1404" s="3" t="inlineStr">
        <is>
          <t>Closed</t>
        </is>
      </c>
      <c r="G1404" s="3" t="inlineStr">
        <is>
          <t>Chandrashekar Patidar</t>
        </is>
      </c>
      <c r="H1404" s="3" t="n">
        <v>7879764773</v>
      </c>
      <c r="I1404" s="11" t="inlineStr">
        <is>
          <t>PE26032601</t>
        </is>
      </c>
      <c r="J1404" s="3" t="inlineStr">
        <is>
          <t>Module Diode Failure</t>
        </is>
      </c>
      <c r="K1404" s="3" t="inlineStr">
        <is>
          <t>Sadla</t>
        </is>
      </c>
      <c r="L1404" s="3" t="inlineStr">
        <is>
          <t>Gujarat</t>
        </is>
      </c>
      <c r="M1404" s="9" t="inlineStr">
        <is>
          <t>PS</t>
        </is>
      </c>
      <c r="N1404" s="3" t="inlineStr">
        <is>
          <t>Cold Soldering</t>
        </is>
      </c>
      <c r="O1404" s="3" t="n">
        <v>570</v>
      </c>
      <c r="P1404" s="9" t="inlineStr">
        <is>
          <t>NSMI24080338432</t>
        </is>
      </c>
      <c r="Q1404" s="54">
        <f>MID(P1404,5,2)</f>
        <v/>
      </c>
      <c r="R1404" s="53">
        <f>MID(P1404,7,2)</f>
        <v/>
      </c>
      <c r="S1404" s="3" t="inlineStr">
        <is>
          <t>G2G</t>
        </is>
      </c>
      <c r="T1404" s="3" t="inlineStr">
        <is>
          <t>P4</t>
        </is>
      </c>
      <c r="U1404" s="3" t="inlineStr">
        <is>
          <t>P JB Cold Soldering</t>
        </is>
      </c>
      <c r="V1404" s="3" t="inlineStr">
        <is>
          <t>Soldering</t>
        </is>
      </c>
      <c r="W1404" s="3" t="inlineStr">
        <is>
          <t>Repair</t>
        </is>
      </c>
      <c r="X1404" s="18" t="n">
        <v>46160</v>
      </c>
      <c r="Y1404" s="73">
        <f>IF(X1404="","",X1404-A1404)</f>
        <v/>
      </c>
      <c r="Z1404" s="18" t="n">
        <v>46160</v>
      </c>
      <c r="AA1404" s="15" t="n"/>
      <c r="AB1404" s="15" t="n"/>
      <c r="AF1404">
        <f>IF(AND($F1404="Closed",$X1404&gt;=DATE(2026,5,1),$X1404&lt;=DATE(2026,5,31)),"Closed in May","Other")</f>
        <v/>
      </c>
    </row>
    <row r="1405">
      <c r="A1405" s="6" t="n">
        <v>46107</v>
      </c>
      <c r="B1405" s="3" t="n">
        <v>2026</v>
      </c>
      <c r="C1405" s="3" t="inlineStr">
        <is>
          <t>Blupine Energy</t>
        </is>
      </c>
      <c r="D1405" s="3" t="inlineStr">
        <is>
          <t>Utility and C&amp;I</t>
        </is>
      </c>
      <c r="E1405" s="3" t="n"/>
      <c r="F1405" s="3" t="inlineStr">
        <is>
          <t>Closed</t>
        </is>
      </c>
      <c r="G1405" s="3" t="inlineStr">
        <is>
          <t>Chandrashekar Patidar</t>
        </is>
      </c>
      <c r="H1405" s="3" t="n">
        <v>7879764773</v>
      </c>
      <c r="I1405" s="11" t="inlineStr">
        <is>
          <t>PE26032601</t>
        </is>
      </c>
      <c r="J1405" s="3" t="inlineStr">
        <is>
          <t>Module Diode Failure</t>
        </is>
      </c>
      <c r="K1405" s="3" t="inlineStr">
        <is>
          <t>Sadla</t>
        </is>
      </c>
      <c r="L1405" s="3" t="inlineStr">
        <is>
          <t>Gujarat</t>
        </is>
      </c>
      <c r="M1405" s="9" t="inlineStr">
        <is>
          <t>PS</t>
        </is>
      </c>
      <c r="N1405" s="3" t="inlineStr">
        <is>
          <t>Cold Soldering</t>
        </is>
      </c>
      <c r="O1405" s="3" t="n">
        <v>570</v>
      </c>
      <c r="P1405" s="9" t="inlineStr">
        <is>
          <t>NSMI24080345729</t>
        </is>
      </c>
      <c r="Q1405" s="54">
        <f>MID(P1405,5,2)</f>
        <v/>
      </c>
      <c r="R1405" s="53">
        <f>MID(P1405,7,2)</f>
        <v/>
      </c>
      <c r="S1405" s="3" t="inlineStr">
        <is>
          <t>G2G</t>
        </is>
      </c>
      <c r="T1405" s="3" t="inlineStr">
        <is>
          <t>P4</t>
        </is>
      </c>
      <c r="U1405" s="3" t="inlineStr">
        <is>
          <t>P JB Cold Soldering</t>
        </is>
      </c>
      <c r="V1405" s="3" t="inlineStr">
        <is>
          <t>Soldering</t>
        </is>
      </c>
      <c r="W1405" s="3" t="inlineStr">
        <is>
          <t>Repair</t>
        </is>
      </c>
      <c r="X1405" s="18" t="n">
        <v>46160</v>
      </c>
      <c r="Y1405" s="73">
        <f>IF(X1405="","",X1405-A1405)</f>
        <v/>
      </c>
      <c r="Z1405" s="18" t="n">
        <v>46160</v>
      </c>
      <c r="AA1405" s="15" t="n"/>
      <c r="AB1405" s="15" t="n"/>
      <c r="AF1405">
        <f>IF(AND($F1405="Closed",$X1405&gt;=DATE(2026,5,1),$X1405&lt;=DATE(2026,5,31)),"Closed in May","Other")</f>
        <v/>
      </c>
    </row>
    <row r="1406">
      <c r="A1406" s="6" t="n">
        <v>46107</v>
      </c>
      <c r="B1406" s="3" t="n">
        <v>2026</v>
      </c>
      <c r="C1406" s="3" t="inlineStr">
        <is>
          <t>Blupine Energy</t>
        </is>
      </c>
      <c r="D1406" s="3" t="inlineStr">
        <is>
          <t>Utility and C&amp;I</t>
        </is>
      </c>
      <c r="E1406" s="3" t="n"/>
      <c r="F1406" s="3" t="inlineStr">
        <is>
          <t>Closed</t>
        </is>
      </c>
      <c r="G1406" s="3" t="inlineStr">
        <is>
          <t>Chandrashekar Patidar</t>
        </is>
      </c>
      <c r="H1406" s="3" t="n">
        <v>7879764773</v>
      </c>
      <c r="I1406" s="11" t="inlineStr">
        <is>
          <t>PE26032601</t>
        </is>
      </c>
      <c r="J1406" s="3" t="inlineStr">
        <is>
          <t>Module Diode Failure</t>
        </is>
      </c>
      <c r="K1406" s="3" t="inlineStr">
        <is>
          <t>Sadla</t>
        </is>
      </c>
      <c r="L1406" s="3" t="inlineStr">
        <is>
          <t>Gujarat</t>
        </is>
      </c>
      <c r="M1406" s="9" t="inlineStr">
        <is>
          <t>PS</t>
        </is>
      </c>
      <c r="N1406" s="3" t="inlineStr">
        <is>
          <t>Cold Soldering</t>
        </is>
      </c>
      <c r="O1406" s="3" t="n">
        <v>570</v>
      </c>
      <c r="P1406" s="9" t="inlineStr">
        <is>
          <t>NSMI24080342485</t>
        </is>
      </c>
      <c r="Q1406" s="54">
        <f>MID(P1406,5,2)</f>
        <v/>
      </c>
      <c r="R1406" s="53">
        <f>MID(P1406,7,2)</f>
        <v/>
      </c>
      <c r="S1406" s="3" t="inlineStr">
        <is>
          <t>G2G</t>
        </is>
      </c>
      <c r="T1406" s="3" t="inlineStr">
        <is>
          <t>P4</t>
        </is>
      </c>
      <c r="U1406" s="3" t="inlineStr">
        <is>
          <t>P JB Cold Soldering &amp; Glass Breakage</t>
        </is>
      </c>
      <c r="V1406" s="3" t="inlineStr">
        <is>
          <t>Soldering</t>
        </is>
      </c>
      <c r="W1406" s="3" t="inlineStr">
        <is>
          <t>Repair</t>
        </is>
      </c>
      <c r="X1406" s="18" t="n">
        <v>46160</v>
      </c>
      <c r="Y1406" s="73">
        <f>IF(X1406="","",X1406-A1406)</f>
        <v/>
      </c>
      <c r="Z1406" s="18" t="n">
        <v>46160</v>
      </c>
      <c r="AA1406" s="15" t="n"/>
      <c r="AB1406" s="15" t="n"/>
      <c r="AF1406">
        <f>IF(AND($F1406="Closed",$X1406&gt;=DATE(2026,5,1),$X1406&lt;=DATE(2026,5,31)),"Closed in May","Other")</f>
        <v/>
      </c>
    </row>
    <row r="1407">
      <c r="A1407" s="6" t="n">
        <v>46107</v>
      </c>
      <c r="B1407" s="3" t="n">
        <v>2026</v>
      </c>
      <c r="C1407" s="3" t="inlineStr">
        <is>
          <t>Blupine Energy</t>
        </is>
      </c>
      <c r="D1407" s="3" t="inlineStr">
        <is>
          <t>Utility and C&amp;I</t>
        </is>
      </c>
      <c r="E1407" s="3" t="n"/>
      <c r="F1407" s="3" t="inlineStr">
        <is>
          <t>Closed</t>
        </is>
      </c>
      <c r="G1407" s="3" t="inlineStr">
        <is>
          <t>Chandrashekar Patidar</t>
        </is>
      </c>
      <c r="H1407" s="3" t="n">
        <v>7879764773</v>
      </c>
      <c r="I1407" s="11" t="inlineStr">
        <is>
          <t>PE26032601</t>
        </is>
      </c>
      <c r="J1407" s="3" t="inlineStr">
        <is>
          <t>Module Diode Failure</t>
        </is>
      </c>
      <c r="K1407" s="3" t="inlineStr">
        <is>
          <t>Sadla</t>
        </is>
      </c>
      <c r="L1407" s="3" t="inlineStr">
        <is>
          <t>Gujarat</t>
        </is>
      </c>
      <c r="M1407" s="9" t="inlineStr">
        <is>
          <t>PS</t>
        </is>
      </c>
      <c r="N1407" s="3" t="inlineStr">
        <is>
          <t>Cold Soldering</t>
        </is>
      </c>
      <c r="O1407" s="3" t="n">
        <v>570</v>
      </c>
      <c r="P1407" s="9" t="inlineStr">
        <is>
          <t>NSMI24090352971</t>
        </is>
      </c>
      <c r="Q1407" s="54">
        <f>MID(P1407,5,2)</f>
        <v/>
      </c>
      <c r="R1407" s="53">
        <f>MID(P1407,7,2)</f>
        <v/>
      </c>
      <c r="S1407" s="3" t="inlineStr">
        <is>
          <t>G2G</t>
        </is>
      </c>
      <c r="T1407" s="3" t="inlineStr">
        <is>
          <t>P4</t>
        </is>
      </c>
      <c r="U1407" s="3" t="inlineStr">
        <is>
          <t>P JB Cold Soldering</t>
        </is>
      </c>
      <c r="V1407" s="3" t="inlineStr">
        <is>
          <t>Soldering</t>
        </is>
      </c>
      <c r="W1407" s="3" t="inlineStr">
        <is>
          <t>Repair</t>
        </is>
      </c>
      <c r="X1407" s="18" t="n">
        <v>46160</v>
      </c>
      <c r="Y1407" s="73">
        <f>IF(X1407="","",X1407-A1407)</f>
        <v/>
      </c>
      <c r="Z1407" s="18" t="n">
        <v>46160</v>
      </c>
      <c r="AA1407" s="15" t="n"/>
      <c r="AB1407" s="15" t="n"/>
      <c r="AF1407">
        <f>IF(AND($F1407="Closed",$X1407&gt;=DATE(2026,5,1),$X1407&lt;=DATE(2026,5,31)),"Closed in May","Other")</f>
        <v/>
      </c>
    </row>
    <row r="1408">
      <c r="A1408" s="6" t="n">
        <v>46107</v>
      </c>
      <c r="B1408" s="3" t="n">
        <v>2026</v>
      </c>
      <c r="C1408" s="3" t="inlineStr">
        <is>
          <t>Blupine Energy</t>
        </is>
      </c>
      <c r="D1408" s="3" t="inlineStr">
        <is>
          <t>Utility and C&amp;I</t>
        </is>
      </c>
      <c r="E1408" s="3" t="n"/>
      <c r="F1408" s="3" t="inlineStr">
        <is>
          <t>Closed</t>
        </is>
      </c>
      <c r="G1408" s="3" t="inlineStr">
        <is>
          <t>Chandrashekar Patidar</t>
        </is>
      </c>
      <c r="H1408" s="3" t="n">
        <v>7879764773</v>
      </c>
      <c r="I1408" s="11" t="inlineStr">
        <is>
          <t>PE26032601</t>
        </is>
      </c>
      <c r="J1408" s="3" t="inlineStr">
        <is>
          <t>Module Diode Failure</t>
        </is>
      </c>
      <c r="K1408" s="3" t="inlineStr">
        <is>
          <t>Sadla</t>
        </is>
      </c>
      <c r="L1408" s="3" t="inlineStr">
        <is>
          <t>Gujarat</t>
        </is>
      </c>
      <c r="M1408" s="9" t="inlineStr">
        <is>
          <t>PS</t>
        </is>
      </c>
      <c r="N1408" s="3" t="inlineStr">
        <is>
          <t>Cold Soldering</t>
        </is>
      </c>
      <c r="O1408" s="3" t="n">
        <v>570</v>
      </c>
      <c r="P1408" s="9" t="inlineStr">
        <is>
          <t>NSMI24080334797</t>
        </is>
      </c>
      <c r="Q1408" s="54">
        <f>MID(P1408,5,2)</f>
        <v/>
      </c>
      <c r="R1408" s="53">
        <f>MID(P1408,7,2)</f>
        <v/>
      </c>
      <c r="S1408" s="3" t="inlineStr">
        <is>
          <t>G2G</t>
        </is>
      </c>
      <c r="T1408" s="3" t="inlineStr">
        <is>
          <t>P4</t>
        </is>
      </c>
      <c r="U1408" s="3" t="inlineStr">
        <is>
          <t>P JB Cold Soldering</t>
        </is>
      </c>
      <c r="V1408" s="3" t="inlineStr">
        <is>
          <t>Soldering</t>
        </is>
      </c>
      <c r="W1408" s="3" t="inlineStr">
        <is>
          <t>Repair</t>
        </is>
      </c>
      <c r="X1408" s="18" t="n">
        <v>46160</v>
      </c>
      <c r="Y1408" s="73">
        <f>IF(X1408="","",X1408-A1408)</f>
        <v/>
      </c>
      <c r="Z1408" s="18" t="n">
        <v>46160</v>
      </c>
      <c r="AA1408" s="15" t="n"/>
      <c r="AB1408" s="15" t="n"/>
      <c r="AF1408">
        <f>IF(AND($F1408="Closed",$X1408&gt;=DATE(2026,5,1),$X1408&lt;=DATE(2026,5,31)),"Closed in May","Other")</f>
        <v/>
      </c>
    </row>
    <row r="1409">
      <c r="A1409" s="6" t="n">
        <v>46107</v>
      </c>
      <c r="B1409" s="3" t="n">
        <v>2026</v>
      </c>
      <c r="C1409" s="3" t="inlineStr">
        <is>
          <t>Blupine Energy</t>
        </is>
      </c>
      <c r="D1409" s="3" t="inlineStr">
        <is>
          <t>Utility and C&amp;I</t>
        </is>
      </c>
      <c r="E1409" s="3" t="n"/>
      <c r="F1409" s="3" t="inlineStr">
        <is>
          <t>Closed</t>
        </is>
      </c>
      <c r="G1409" s="3" t="inlineStr">
        <is>
          <t>Chandrashekar Patidar</t>
        </is>
      </c>
      <c r="H1409" s="3" t="n">
        <v>7879764773</v>
      </c>
      <c r="I1409" s="11" t="inlineStr">
        <is>
          <t>PE26032601</t>
        </is>
      </c>
      <c r="J1409" s="3" t="inlineStr">
        <is>
          <t>Module Diode Failure</t>
        </is>
      </c>
      <c r="K1409" s="3" t="inlineStr">
        <is>
          <t>Sadla</t>
        </is>
      </c>
      <c r="L1409" s="3" t="inlineStr">
        <is>
          <t>Gujarat</t>
        </is>
      </c>
      <c r="M1409" s="9" t="inlineStr">
        <is>
          <t>PS</t>
        </is>
      </c>
      <c r="N1409" s="3" t="inlineStr">
        <is>
          <t>Cold Soldering</t>
        </is>
      </c>
      <c r="O1409" s="3" t="n">
        <v>570</v>
      </c>
      <c r="P1409" s="9" t="inlineStr">
        <is>
          <t>NSMI24080340318</t>
        </is>
      </c>
      <c r="Q1409" s="54">
        <f>MID(P1409,5,2)</f>
        <v/>
      </c>
      <c r="R1409" s="53">
        <f>MID(P1409,7,2)</f>
        <v/>
      </c>
      <c r="S1409" s="3" t="inlineStr">
        <is>
          <t>G2G</t>
        </is>
      </c>
      <c r="T1409" s="3" t="inlineStr">
        <is>
          <t>P4</t>
        </is>
      </c>
      <c r="U1409" s="3" t="inlineStr">
        <is>
          <t>P JB Cold Soldering</t>
        </is>
      </c>
      <c r="V1409" s="3" t="inlineStr">
        <is>
          <t>Soldering</t>
        </is>
      </c>
      <c r="W1409" s="3" t="inlineStr">
        <is>
          <t>Repair</t>
        </is>
      </c>
      <c r="X1409" s="18" t="n">
        <v>46160</v>
      </c>
      <c r="Y1409" s="73">
        <f>IF(X1409="","",X1409-A1409)</f>
        <v/>
      </c>
      <c r="Z1409" s="18" t="n">
        <v>46160</v>
      </c>
      <c r="AA1409" s="15" t="n"/>
      <c r="AB1409" s="15" t="n"/>
      <c r="AF1409">
        <f>IF(AND($F1409="Closed",$X1409&gt;=DATE(2026,5,1),$X1409&lt;=DATE(2026,5,31)),"Closed in May","Other")</f>
        <v/>
      </c>
    </row>
    <row r="1410">
      <c r="A1410" s="6" t="n">
        <v>46107</v>
      </c>
      <c r="B1410" s="3" t="n">
        <v>2026</v>
      </c>
      <c r="C1410" s="3" t="inlineStr">
        <is>
          <t>Blupine Energy</t>
        </is>
      </c>
      <c r="D1410" s="3" t="inlineStr">
        <is>
          <t>Utility and C&amp;I</t>
        </is>
      </c>
      <c r="E1410" s="3" t="n"/>
      <c r="F1410" s="3" t="inlineStr">
        <is>
          <t>Closed</t>
        </is>
      </c>
      <c r="G1410" s="3" t="inlineStr">
        <is>
          <t>Chandrashekar Patidar</t>
        </is>
      </c>
      <c r="H1410" s="3" t="n">
        <v>7879764773</v>
      </c>
      <c r="I1410" s="11" t="inlineStr">
        <is>
          <t>PE26032601</t>
        </is>
      </c>
      <c r="J1410" s="3" t="inlineStr">
        <is>
          <t>Module Diode Failure</t>
        </is>
      </c>
      <c r="K1410" s="3" t="inlineStr">
        <is>
          <t>Sadla</t>
        </is>
      </c>
      <c r="L1410" s="3" t="inlineStr">
        <is>
          <t>Gujarat</t>
        </is>
      </c>
      <c r="M1410" s="9" t="inlineStr">
        <is>
          <t>PS</t>
        </is>
      </c>
      <c r="N1410" s="3" t="inlineStr">
        <is>
          <t>Cold Soldering</t>
        </is>
      </c>
      <c r="O1410" s="3" t="n">
        <v>570</v>
      </c>
      <c r="P1410" s="9" t="inlineStr">
        <is>
          <t>NSMI24080336783</t>
        </is>
      </c>
      <c r="Q1410" s="54">
        <f>MID(P1410,5,2)</f>
        <v/>
      </c>
      <c r="R1410" s="53">
        <f>MID(P1410,7,2)</f>
        <v/>
      </c>
      <c r="S1410" s="3" t="inlineStr">
        <is>
          <t>G2G</t>
        </is>
      </c>
      <c r="T1410" s="3" t="inlineStr">
        <is>
          <t>P4</t>
        </is>
      </c>
      <c r="U1410" s="3" t="inlineStr">
        <is>
          <t>P JB Cold Soldering</t>
        </is>
      </c>
      <c r="V1410" s="3" t="inlineStr">
        <is>
          <t>Soldering</t>
        </is>
      </c>
      <c r="W1410" s="3" t="inlineStr">
        <is>
          <t>Repair</t>
        </is>
      </c>
      <c r="X1410" s="18" t="n">
        <v>46160</v>
      </c>
      <c r="Y1410" s="73">
        <f>IF(X1410="","",X1410-A1410)</f>
        <v/>
      </c>
      <c r="Z1410" s="18" t="n">
        <v>46160</v>
      </c>
      <c r="AA1410" s="15" t="n"/>
      <c r="AB1410" s="15" t="n"/>
      <c r="AF1410">
        <f>IF(AND($F1410="Closed",$X1410&gt;=DATE(2026,5,1),$X1410&lt;=DATE(2026,5,31)),"Closed in May","Other")</f>
        <v/>
      </c>
    </row>
    <row r="1411">
      <c r="A1411" s="6" t="n">
        <v>46107</v>
      </c>
      <c r="B1411" s="3" t="n">
        <v>2026</v>
      </c>
      <c r="C1411" s="3" t="inlineStr">
        <is>
          <t>Blupine Energy</t>
        </is>
      </c>
      <c r="D1411" s="3" t="inlineStr">
        <is>
          <t>Utility and C&amp;I</t>
        </is>
      </c>
      <c r="E1411" s="3" t="n"/>
      <c r="F1411" s="3" t="inlineStr">
        <is>
          <t>Closed</t>
        </is>
      </c>
      <c r="G1411" s="3" t="inlineStr">
        <is>
          <t>Chandrashekar Patidar</t>
        </is>
      </c>
      <c r="H1411" s="3" t="n">
        <v>7879764773</v>
      </c>
      <c r="I1411" s="11" t="inlineStr">
        <is>
          <t>PE26032601</t>
        </is>
      </c>
      <c r="J1411" s="3" t="inlineStr">
        <is>
          <t>Module Diode Failure</t>
        </is>
      </c>
      <c r="K1411" s="3" t="inlineStr">
        <is>
          <t>Sadla</t>
        </is>
      </c>
      <c r="L1411" s="3" t="inlineStr">
        <is>
          <t>Gujarat</t>
        </is>
      </c>
      <c r="M1411" s="9" t="inlineStr">
        <is>
          <t>PS</t>
        </is>
      </c>
      <c r="N1411" s="3" t="inlineStr">
        <is>
          <t>Cold Soldering</t>
        </is>
      </c>
      <c r="O1411" s="3" t="n">
        <v>570</v>
      </c>
      <c r="P1411" s="9" t="inlineStr">
        <is>
          <t>NSMI24080334720</t>
        </is>
      </c>
      <c r="Q1411" s="54">
        <f>MID(P1411,5,2)</f>
        <v/>
      </c>
      <c r="R1411" s="53">
        <f>MID(P1411,7,2)</f>
        <v/>
      </c>
      <c r="S1411" s="3" t="inlineStr">
        <is>
          <t>G2G</t>
        </is>
      </c>
      <c r="T1411" s="3" t="inlineStr">
        <is>
          <t>P4</t>
        </is>
      </c>
      <c r="U1411" s="3" t="inlineStr">
        <is>
          <t>P JB Cold Soldering</t>
        </is>
      </c>
      <c r="V1411" s="3" t="inlineStr">
        <is>
          <t>Soldering</t>
        </is>
      </c>
      <c r="W1411" s="3" t="inlineStr">
        <is>
          <t>Repair</t>
        </is>
      </c>
      <c r="X1411" s="18" t="n">
        <v>46160</v>
      </c>
      <c r="Y1411" s="73">
        <f>IF(X1411="","",X1411-A1411)</f>
        <v/>
      </c>
      <c r="Z1411" s="18" t="n">
        <v>46160</v>
      </c>
      <c r="AA1411" s="15" t="n"/>
      <c r="AB1411" s="15" t="n"/>
      <c r="AF1411">
        <f>IF(AND($F1411="Closed",$X1411&gt;=DATE(2026,5,1),$X1411&lt;=DATE(2026,5,31)),"Closed in May","Other")</f>
        <v/>
      </c>
    </row>
    <row r="1412">
      <c r="A1412" s="6" t="n">
        <v>46107</v>
      </c>
      <c r="B1412" s="3" t="n">
        <v>2026</v>
      </c>
      <c r="C1412" s="3" t="inlineStr">
        <is>
          <t>Blupine Energy</t>
        </is>
      </c>
      <c r="D1412" s="3" t="inlineStr">
        <is>
          <t>Utility and C&amp;I</t>
        </is>
      </c>
      <c r="E1412" s="3" t="n"/>
      <c r="F1412" s="3" t="inlineStr">
        <is>
          <t>Closed</t>
        </is>
      </c>
      <c r="G1412" s="3" t="inlineStr">
        <is>
          <t>Chandrashekar Patidar</t>
        </is>
      </c>
      <c r="H1412" s="3" t="n">
        <v>7879764773</v>
      </c>
      <c r="I1412" s="11" t="inlineStr">
        <is>
          <t>PE26032601</t>
        </is>
      </c>
      <c r="J1412" s="3" t="inlineStr">
        <is>
          <t>Module Diode Failure</t>
        </is>
      </c>
      <c r="K1412" s="3" t="inlineStr">
        <is>
          <t>Sadla</t>
        </is>
      </c>
      <c r="L1412" s="3" t="inlineStr">
        <is>
          <t>Gujarat</t>
        </is>
      </c>
      <c r="M1412" s="9" t="inlineStr">
        <is>
          <t>PS</t>
        </is>
      </c>
      <c r="N1412" s="3" t="inlineStr">
        <is>
          <t>Cold Soldering</t>
        </is>
      </c>
      <c r="O1412" s="3" t="n">
        <v>570</v>
      </c>
      <c r="P1412" s="9" t="inlineStr">
        <is>
          <t>NSMI24080340709</t>
        </is>
      </c>
      <c r="Q1412" s="54">
        <f>MID(P1412,5,2)</f>
        <v/>
      </c>
      <c r="R1412" s="53">
        <f>MID(P1412,7,2)</f>
        <v/>
      </c>
      <c r="S1412" s="3" t="inlineStr">
        <is>
          <t>G2G</t>
        </is>
      </c>
      <c r="T1412" s="3" t="inlineStr">
        <is>
          <t>P4</t>
        </is>
      </c>
      <c r="U1412" s="3" t="inlineStr">
        <is>
          <t>P JB Cold Soldering</t>
        </is>
      </c>
      <c r="V1412" s="3" t="inlineStr">
        <is>
          <t>Soldering</t>
        </is>
      </c>
      <c r="W1412" s="3" t="inlineStr">
        <is>
          <t>Repair</t>
        </is>
      </c>
      <c r="X1412" s="18" t="n">
        <v>46160</v>
      </c>
      <c r="Y1412" s="73">
        <f>IF(X1412="","",X1412-A1412)</f>
        <v/>
      </c>
      <c r="Z1412" s="18" t="n">
        <v>46160</v>
      </c>
      <c r="AA1412" s="15" t="n"/>
      <c r="AB1412" s="15" t="n"/>
      <c r="AF1412">
        <f>IF(AND($F1412="Closed",$X1412&gt;=DATE(2026,5,1),$X1412&lt;=DATE(2026,5,31)),"Closed in May","Other")</f>
        <v/>
      </c>
    </row>
    <row r="1413">
      <c r="A1413" s="6" t="n">
        <v>46107</v>
      </c>
      <c r="B1413" s="3" t="n">
        <v>2026</v>
      </c>
      <c r="C1413" s="3" t="inlineStr">
        <is>
          <t>Blupine Energy</t>
        </is>
      </c>
      <c r="D1413" s="3" t="inlineStr">
        <is>
          <t>Utility and C&amp;I</t>
        </is>
      </c>
      <c r="E1413" s="3" t="n"/>
      <c r="F1413" s="3" t="inlineStr">
        <is>
          <t>Closed</t>
        </is>
      </c>
      <c r="G1413" s="3" t="inlineStr">
        <is>
          <t>Chandrashekar Patidar</t>
        </is>
      </c>
      <c r="H1413" s="3" t="n">
        <v>7879764773</v>
      </c>
      <c r="I1413" s="11" t="inlineStr">
        <is>
          <t>PE26032601</t>
        </is>
      </c>
      <c r="J1413" s="3" t="inlineStr">
        <is>
          <t>Module Diode Failure</t>
        </is>
      </c>
      <c r="K1413" s="3" t="inlineStr">
        <is>
          <t>Sadla</t>
        </is>
      </c>
      <c r="L1413" s="3" t="inlineStr">
        <is>
          <t>Gujarat</t>
        </is>
      </c>
      <c r="M1413" s="9" t="inlineStr">
        <is>
          <t>NS</t>
        </is>
      </c>
      <c r="N1413" s="3" t="inlineStr">
        <is>
          <t>Cold Soldering</t>
        </is>
      </c>
      <c r="O1413" s="3" t="n">
        <v>570</v>
      </c>
      <c r="P1413" s="9" t="inlineStr">
        <is>
          <t>NSMI24080334400</t>
        </is>
      </c>
      <c r="Q1413" s="54">
        <f>MID(P1413,5,2)</f>
        <v/>
      </c>
      <c r="R1413" s="53">
        <f>MID(P1413,7,2)</f>
        <v/>
      </c>
      <c r="S1413" s="3" t="inlineStr">
        <is>
          <t>G2G</t>
        </is>
      </c>
      <c r="T1413" s="3" t="inlineStr">
        <is>
          <t>P4</t>
        </is>
      </c>
      <c r="U1413" s="3" t="inlineStr">
        <is>
          <t>N JB Cold Soldering</t>
        </is>
      </c>
      <c r="V1413" s="3" t="inlineStr">
        <is>
          <t>Soldering</t>
        </is>
      </c>
      <c r="W1413" s="3" t="inlineStr">
        <is>
          <t>Repair</t>
        </is>
      </c>
      <c r="X1413" s="18" t="n">
        <v>46160</v>
      </c>
      <c r="Y1413" s="73">
        <f>IF(X1413="","",X1413-A1413)</f>
        <v/>
      </c>
      <c r="Z1413" s="18" t="n">
        <v>46160</v>
      </c>
      <c r="AA1413" s="15" t="n"/>
      <c r="AB1413" s="15" t="n"/>
      <c r="AF1413">
        <f>IF(AND($F1413="Closed",$X1413&gt;=DATE(2026,5,1),$X1413&lt;=DATE(2026,5,31)),"Closed in May","Other")</f>
        <v/>
      </c>
    </row>
    <row r="1414">
      <c r="A1414" s="6" t="n">
        <v>46107</v>
      </c>
      <c r="B1414" s="3" t="n">
        <v>2026</v>
      </c>
      <c r="C1414" s="3" t="inlineStr">
        <is>
          <t>Blupine Energy</t>
        </is>
      </c>
      <c r="D1414" s="3" t="inlineStr">
        <is>
          <t>Utility and C&amp;I</t>
        </is>
      </c>
      <c r="E1414" s="3" t="n"/>
      <c r="F1414" s="3" t="inlineStr">
        <is>
          <t>Closed</t>
        </is>
      </c>
      <c r="G1414" s="3" t="inlineStr">
        <is>
          <t>Chandrashekar Patidar</t>
        </is>
      </c>
      <c r="H1414" s="3" t="n">
        <v>7879764773</v>
      </c>
      <c r="I1414" s="11" t="inlineStr">
        <is>
          <t>PE26032601</t>
        </is>
      </c>
      <c r="J1414" s="3" t="inlineStr">
        <is>
          <t>Module Diode Failure</t>
        </is>
      </c>
      <c r="K1414" s="3" t="inlineStr">
        <is>
          <t>Sadla</t>
        </is>
      </c>
      <c r="L1414" s="3" t="inlineStr">
        <is>
          <t>Gujarat</t>
        </is>
      </c>
      <c r="M1414" s="9" t="inlineStr">
        <is>
          <t>PS</t>
        </is>
      </c>
      <c r="N1414" s="3" t="inlineStr">
        <is>
          <t>Cold Soldering</t>
        </is>
      </c>
      <c r="O1414" s="3" t="n">
        <v>570</v>
      </c>
      <c r="P1414" s="9" t="inlineStr">
        <is>
          <t>NSMI24090350385</t>
        </is>
      </c>
      <c r="Q1414" s="54">
        <f>MID(P1414,5,2)</f>
        <v/>
      </c>
      <c r="R1414" s="53">
        <f>MID(P1414,7,2)</f>
        <v/>
      </c>
      <c r="S1414" s="3" t="inlineStr">
        <is>
          <t>G2G</t>
        </is>
      </c>
      <c r="T1414" s="3" t="inlineStr">
        <is>
          <t>P4</t>
        </is>
      </c>
      <c r="U1414" s="3" t="inlineStr">
        <is>
          <t>P JB Cold Soldering</t>
        </is>
      </c>
      <c r="V1414" s="3" t="inlineStr">
        <is>
          <t>Soldering</t>
        </is>
      </c>
      <c r="W1414" s="3" t="inlineStr">
        <is>
          <t>Repair</t>
        </is>
      </c>
      <c r="X1414" s="18" t="n">
        <v>46160</v>
      </c>
      <c r="Y1414" s="73">
        <f>IF(X1414="","",X1414-A1414)</f>
        <v/>
      </c>
      <c r="Z1414" s="18" t="n">
        <v>46160</v>
      </c>
      <c r="AA1414" s="15" t="n"/>
      <c r="AB1414" s="15" t="n"/>
      <c r="AF1414">
        <f>IF(AND($F1414="Closed",$X1414&gt;=DATE(2026,5,1),$X1414&lt;=DATE(2026,5,31)),"Closed in May","Other")</f>
        <v/>
      </c>
    </row>
    <row r="1415">
      <c r="A1415" s="6" t="n">
        <v>46107</v>
      </c>
      <c r="B1415" s="3" t="n">
        <v>2026</v>
      </c>
      <c r="C1415" s="3" t="inlineStr">
        <is>
          <t>Blupine Energy</t>
        </is>
      </c>
      <c r="D1415" s="3" t="inlineStr">
        <is>
          <t>Utility and C&amp;I</t>
        </is>
      </c>
      <c r="E1415" s="3" t="n"/>
      <c r="F1415" s="3" t="inlineStr">
        <is>
          <t>Closed</t>
        </is>
      </c>
      <c r="G1415" s="3" t="inlineStr">
        <is>
          <t>Chandrashekar Patidar</t>
        </is>
      </c>
      <c r="H1415" s="3" t="n">
        <v>7879764773</v>
      </c>
      <c r="I1415" s="11" t="inlineStr">
        <is>
          <t>PE26032601</t>
        </is>
      </c>
      <c r="J1415" s="3" t="inlineStr">
        <is>
          <t>Module Diode Failure</t>
        </is>
      </c>
      <c r="K1415" s="3" t="inlineStr">
        <is>
          <t>Sadla</t>
        </is>
      </c>
      <c r="L1415" s="3" t="inlineStr">
        <is>
          <t>Gujarat</t>
        </is>
      </c>
      <c r="M1415" s="9" t="inlineStr">
        <is>
          <t>PS</t>
        </is>
      </c>
      <c r="N1415" s="3" t="inlineStr">
        <is>
          <t>Cold Soldering</t>
        </is>
      </c>
      <c r="O1415" s="3" t="n">
        <v>570</v>
      </c>
      <c r="P1415" s="9" t="inlineStr">
        <is>
          <t>NSMI24080344553</t>
        </is>
      </c>
      <c r="Q1415" s="54">
        <f>MID(P1415,5,2)</f>
        <v/>
      </c>
      <c r="R1415" s="53">
        <f>MID(P1415,7,2)</f>
        <v/>
      </c>
      <c r="S1415" s="3" t="inlineStr">
        <is>
          <t>G2G</t>
        </is>
      </c>
      <c r="T1415" s="3" t="inlineStr">
        <is>
          <t>P4</t>
        </is>
      </c>
      <c r="U1415" s="3" t="inlineStr">
        <is>
          <t>P JB Cold Soldering</t>
        </is>
      </c>
      <c r="V1415" s="3" t="inlineStr">
        <is>
          <t>Soldering</t>
        </is>
      </c>
      <c r="W1415" s="3" t="inlineStr">
        <is>
          <t>Repair</t>
        </is>
      </c>
      <c r="X1415" s="18" t="n">
        <v>46160</v>
      </c>
      <c r="Y1415" s="73">
        <f>IF(X1415="","",X1415-A1415)</f>
        <v/>
      </c>
      <c r="Z1415" s="18" t="n">
        <v>46160</v>
      </c>
      <c r="AA1415" s="15" t="n"/>
      <c r="AB1415" s="15" t="n"/>
      <c r="AF1415">
        <f>IF(AND($F1415="Closed",$X1415&gt;=DATE(2026,5,1),$X1415&lt;=DATE(2026,5,31)),"Closed in May","Other")</f>
        <v/>
      </c>
    </row>
    <row r="1416">
      <c r="A1416" s="6" t="n">
        <v>46107</v>
      </c>
      <c r="B1416" s="3" t="n">
        <v>2026</v>
      </c>
      <c r="C1416" s="3" t="inlineStr">
        <is>
          <t>Blupine Energy</t>
        </is>
      </c>
      <c r="D1416" s="3" t="inlineStr">
        <is>
          <t>Utility and C&amp;I</t>
        </is>
      </c>
      <c r="E1416" s="3" t="n"/>
      <c r="F1416" s="3" t="inlineStr">
        <is>
          <t>Closed</t>
        </is>
      </c>
      <c r="G1416" s="3" t="inlineStr">
        <is>
          <t>Chandrashekar Patidar</t>
        </is>
      </c>
      <c r="H1416" s="3" t="n">
        <v>7879764773</v>
      </c>
      <c r="I1416" s="11" t="inlineStr">
        <is>
          <t>PE26032601</t>
        </is>
      </c>
      <c r="J1416" s="3" t="inlineStr">
        <is>
          <t>Module Diode Failure</t>
        </is>
      </c>
      <c r="K1416" s="3" t="inlineStr">
        <is>
          <t>Sadla</t>
        </is>
      </c>
      <c r="L1416" s="3" t="inlineStr">
        <is>
          <t>Gujarat</t>
        </is>
      </c>
      <c r="M1416" s="9" t="inlineStr">
        <is>
          <t>PS</t>
        </is>
      </c>
      <c r="N1416" s="3" t="inlineStr">
        <is>
          <t>Cold Soldering</t>
        </is>
      </c>
      <c r="O1416" s="3" t="n">
        <v>570</v>
      </c>
      <c r="P1416" s="9" t="inlineStr">
        <is>
          <t>NSMI24080336839</t>
        </is>
      </c>
      <c r="Q1416" s="54">
        <f>MID(P1416,5,2)</f>
        <v/>
      </c>
      <c r="R1416" s="53">
        <f>MID(P1416,7,2)</f>
        <v/>
      </c>
      <c r="S1416" s="3" t="inlineStr">
        <is>
          <t>G2G</t>
        </is>
      </c>
      <c r="T1416" s="3" t="inlineStr">
        <is>
          <t>P4</t>
        </is>
      </c>
      <c r="U1416" s="3" t="inlineStr">
        <is>
          <t>P JB Cold Soldering</t>
        </is>
      </c>
      <c r="V1416" s="3" t="inlineStr">
        <is>
          <t>Soldering</t>
        </is>
      </c>
      <c r="W1416" s="3" t="inlineStr">
        <is>
          <t>Repair</t>
        </is>
      </c>
      <c r="X1416" s="18" t="n">
        <v>46160</v>
      </c>
      <c r="Y1416" s="73">
        <f>IF(X1416="","",X1416-A1416)</f>
        <v/>
      </c>
      <c r="Z1416" s="18" t="n">
        <v>46160</v>
      </c>
      <c r="AA1416" s="15" t="n"/>
      <c r="AB1416" s="15" t="n"/>
      <c r="AF1416">
        <f>IF(AND($F1416="Closed",$X1416&gt;=DATE(2026,5,1),$X1416&lt;=DATE(2026,5,31)),"Closed in May","Other")</f>
        <v/>
      </c>
    </row>
    <row r="1417">
      <c r="A1417" s="6" t="n">
        <v>46107</v>
      </c>
      <c r="B1417" s="3" t="n">
        <v>2026</v>
      </c>
      <c r="C1417" s="3" t="inlineStr">
        <is>
          <t>Blupine Energy</t>
        </is>
      </c>
      <c r="D1417" s="3" t="inlineStr">
        <is>
          <t>Utility and C&amp;I</t>
        </is>
      </c>
      <c r="E1417" s="3" t="n"/>
      <c r="F1417" s="3" t="inlineStr">
        <is>
          <t>Closed</t>
        </is>
      </c>
      <c r="G1417" s="3" t="inlineStr">
        <is>
          <t>Chandrashekar Patidar</t>
        </is>
      </c>
      <c r="H1417" s="3" t="n">
        <v>7879764773</v>
      </c>
      <c r="I1417" s="11" t="inlineStr">
        <is>
          <t>PE26032601</t>
        </is>
      </c>
      <c r="J1417" s="3" t="inlineStr">
        <is>
          <t>Module Diode Failure</t>
        </is>
      </c>
      <c r="K1417" s="3" t="inlineStr">
        <is>
          <t>Sadla</t>
        </is>
      </c>
      <c r="L1417" s="3" t="inlineStr">
        <is>
          <t>Gujarat</t>
        </is>
      </c>
      <c r="M1417" s="9" t="inlineStr">
        <is>
          <t>PS</t>
        </is>
      </c>
      <c r="N1417" s="3" t="inlineStr">
        <is>
          <t>Cold Soldering</t>
        </is>
      </c>
      <c r="O1417" s="3" t="n">
        <v>570</v>
      </c>
      <c r="P1417" s="9" t="inlineStr">
        <is>
          <t>NSMI24090352327</t>
        </is>
      </c>
      <c r="Q1417" s="54">
        <f>MID(P1417,5,2)</f>
        <v/>
      </c>
      <c r="R1417" s="53">
        <f>MID(P1417,7,2)</f>
        <v/>
      </c>
      <c r="S1417" s="3" t="inlineStr">
        <is>
          <t>G2G</t>
        </is>
      </c>
      <c r="T1417" s="3" t="inlineStr">
        <is>
          <t>P4</t>
        </is>
      </c>
      <c r="U1417" s="3" t="inlineStr">
        <is>
          <t>P JB Cold Soldering</t>
        </is>
      </c>
      <c r="V1417" s="3" t="inlineStr">
        <is>
          <t>Soldering</t>
        </is>
      </c>
      <c r="W1417" s="3" t="inlineStr">
        <is>
          <t>Repair</t>
        </is>
      </c>
      <c r="X1417" s="18" t="n">
        <v>46160</v>
      </c>
      <c r="Y1417" s="73">
        <f>IF(X1417="","",X1417-A1417)</f>
        <v/>
      </c>
      <c r="Z1417" s="18" t="n">
        <v>46160</v>
      </c>
      <c r="AA1417" s="15" t="n"/>
      <c r="AB1417" s="15" t="n"/>
      <c r="AF1417">
        <f>IF(AND($F1417="Closed",$X1417&gt;=DATE(2026,5,1),$X1417&lt;=DATE(2026,5,31)),"Closed in May","Other")</f>
        <v/>
      </c>
    </row>
    <row r="1418">
      <c r="A1418" s="6" t="n">
        <v>46107</v>
      </c>
      <c r="B1418" s="3" t="n">
        <v>2026</v>
      </c>
      <c r="C1418" s="3" t="inlineStr">
        <is>
          <t>Blupine Energy</t>
        </is>
      </c>
      <c r="D1418" s="3" t="inlineStr">
        <is>
          <t>Utility and C&amp;I</t>
        </is>
      </c>
      <c r="E1418" s="3" t="n"/>
      <c r="F1418" s="3" t="inlineStr">
        <is>
          <t>Closed</t>
        </is>
      </c>
      <c r="G1418" s="3" t="inlineStr">
        <is>
          <t>Chandrashekar Patidar</t>
        </is>
      </c>
      <c r="H1418" s="3" t="n">
        <v>7879764773</v>
      </c>
      <c r="I1418" s="11" t="inlineStr">
        <is>
          <t>PE26032601</t>
        </is>
      </c>
      <c r="J1418" s="3" t="inlineStr">
        <is>
          <t>Module Diode Failure</t>
        </is>
      </c>
      <c r="K1418" s="3" t="inlineStr">
        <is>
          <t>Sadla</t>
        </is>
      </c>
      <c r="L1418" s="3" t="inlineStr">
        <is>
          <t>Gujarat</t>
        </is>
      </c>
      <c r="M1418" s="9" t="inlineStr">
        <is>
          <t>PS</t>
        </is>
      </c>
      <c r="N1418" s="3" t="inlineStr">
        <is>
          <t>Cold Soldering</t>
        </is>
      </c>
      <c r="O1418" s="3" t="n">
        <v>570</v>
      </c>
      <c r="P1418" s="9" t="inlineStr">
        <is>
          <t>NSMI24090352488</t>
        </is>
      </c>
      <c r="Q1418" s="54">
        <f>MID(P1418,5,2)</f>
        <v/>
      </c>
      <c r="R1418" s="53">
        <f>MID(P1418,7,2)</f>
        <v/>
      </c>
      <c r="S1418" s="3" t="inlineStr">
        <is>
          <t>G2G</t>
        </is>
      </c>
      <c r="T1418" s="3" t="inlineStr">
        <is>
          <t>P4</t>
        </is>
      </c>
      <c r="U1418" s="3" t="inlineStr">
        <is>
          <t>P JB Cold Soldering</t>
        </is>
      </c>
      <c r="V1418" s="3" t="inlineStr">
        <is>
          <t>Soldering</t>
        </is>
      </c>
      <c r="W1418" s="3" t="inlineStr">
        <is>
          <t>Repair</t>
        </is>
      </c>
      <c r="X1418" s="18" t="n">
        <v>46160</v>
      </c>
      <c r="Y1418" s="73">
        <f>IF(X1418="","",X1418-A1418)</f>
        <v/>
      </c>
      <c r="Z1418" s="18" t="n">
        <v>46160</v>
      </c>
      <c r="AA1418" s="15" t="n"/>
      <c r="AB1418" s="15" t="n"/>
      <c r="AF1418">
        <f>IF(AND($F1418="Closed",$X1418&gt;=DATE(2026,5,1),$X1418&lt;=DATE(2026,5,31)),"Closed in May","Other")</f>
        <v/>
      </c>
    </row>
    <row r="1419">
      <c r="A1419" s="6" t="n">
        <v>46107</v>
      </c>
      <c r="B1419" s="3" t="n">
        <v>2026</v>
      </c>
      <c r="C1419" s="3" t="inlineStr">
        <is>
          <t>Blupine Energy</t>
        </is>
      </c>
      <c r="D1419" s="3" t="inlineStr">
        <is>
          <t>Utility and C&amp;I</t>
        </is>
      </c>
      <c r="E1419" s="3" t="n"/>
      <c r="F1419" s="3" t="inlineStr">
        <is>
          <t>Closed</t>
        </is>
      </c>
      <c r="G1419" s="3" t="inlineStr">
        <is>
          <t>Chandrashekar Patidar</t>
        </is>
      </c>
      <c r="H1419" s="3" t="n">
        <v>7879764773</v>
      </c>
      <c r="I1419" s="11" t="inlineStr">
        <is>
          <t>PE26032601</t>
        </is>
      </c>
      <c r="J1419" s="3" t="inlineStr">
        <is>
          <t>Module Diode Failure</t>
        </is>
      </c>
      <c r="K1419" s="3" t="inlineStr">
        <is>
          <t>Sadla</t>
        </is>
      </c>
      <c r="L1419" s="3" t="inlineStr">
        <is>
          <t>Gujarat</t>
        </is>
      </c>
      <c r="M1419" s="9" t="inlineStr">
        <is>
          <t>PS</t>
        </is>
      </c>
      <c r="N1419" s="3" t="inlineStr">
        <is>
          <t>Cold Soldering</t>
        </is>
      </c>
      <c r="O1419" s="3" t="n">
        <v>570</v>
      </c>
      <c r="P1419" s="9" t="inlineStr">
        <is>
          <t>NSMI24080334745</t>
        </is>
      </c>
      <c r="Q1419" s="54">
        <f>MID(P1419,5,2)</f>
        <v/>
      </c>
      <c r="R1419" s="53">
        <f>MID(P1419,7,2)</f>
        <v/>
      </c>
      <c r="S1419" s="3" t="inlineStr">
        <is>
          <t>G2G</t>
        </is>
      </c>
      <c r="T1419" s="3" t="inlineStr">
        <is>
          <t>P4</t>
        </is>
      </c>
      <c r="U1419" s="3" t="inlineStr">
        <is>
          <t>P JB Cold Soldering</t>
        </is>
      </c>
      <c r="V1419" s="3" t="inlineStr">
        <is>
          <t>Soldering</t>
        </is>
      </c>
      <c r="W1419" s="3" t="inlineStr">
        <is>
          <t>Repair</t>
        </is>
      </c>
      <c r="X1419" s="18" t="n">
        <v>46160</v>
      </c>
      <c r="Y1419" s="73">
        <f>IF(X1419="","",X1419-A1419)</f>
        <v/>
      </c>
      <c r="Z1419" s="18" t="n">
        <v>46160</v>
      </c>
      <c r="AA1419" s="15" t="n"/>
      <c r="AB1419" s="15" t="n"/>
      <c r="AF1419">
        <f>IF(AND($F1419="Closed",$X1419&gt;=DATE(2026,5,1),$X1419&lt;=DATE(2026,5,31)),"Closed in May","Other")</f>
        <v/>
      </c>
    </row>
    <row r="1420">
      <c r="A1420" s="6" t="n">
        <v>46107</v>
      </c>
      <c r="B1420" s="3" t="n">
        <v>2026</v>
      </c>
      <c r="C1420" s="3" t="inlineStr">
        <is>
          <t>Blupine Energy</t>
        </is>
      </c>
      <c r="D1420" s="3" t="inlineStr">
        <is>
          <t>Utility and C&amp;I</t>
        </is>
      </c>
      <c r="E1420" s="3" t="n"/>
      <c r="F1420" s="3" t="inlineStr">
        <is>
          <t>Closed</t>
        </is>
      </c>
      <c r="G1420" s="3" t="inlineStr">
        <is>
          <t>Chandrashekar Patidar</t>
        </is>
      </c>
      <c r="H1420" s="3" t="n">
        <v>7879764773</v>
      </c>
      <c r="I1420" s="11" t="inlineStr">
        <is>
          <t>PE26032601</t>
        </is>
      </c>
      <c r="J1420" s="3" t="inlineStr">
        <is>
          <t>Module Diode Failure</t>
        </is>
      </c>
      <c r="K1420" s="3" t="inlineStr">
        <is>
          <t>Sadla</t>
        </is>
      </c>
      <c r="L1420" s="3" t="inlineStr">
        <is>
          <t>Gujarat</t>
        </is>
      </c>
      <c r="M1420" s="9" t="inlineStr">
        <is>
          <t>PS</t>
        </is>
      </c>
      <c r="N1420" s="3" t="inlineStr">
        <is>
          <t>Cold Soldering</t>
        </is>
      </c>
      <c r="O1420" s="3" t="n">
        <v>570</v>
      </c>
      <c r="P1420" s="9" t="inlineStr">
        <is>
          <t>NSMI24080342058</t>
        </is>
      </c>
      <c r="Q1420" s="54">
        <f>MID(P1420,5,2)</f>
        <v/>
      </c>
      <c r="R1420" s="53">
        <f>MID(P1420,7,2)</f>
        <v/>
      </c>
      <c r="S1420" s="3" t="inlineStr">
        <is>
          <t>G2G</t>
        </is>
      </c>
      <c r="T1420" s="3" t="inlineStr">
        <is>
          <t>P4</t>
        </is>
      </c>
      <c r="U1420" s="3" t="inlineStr">
        <is>
          <t>P JB Cold Soldering</t>
        </is>
      </c>
      <c r="V1420" s="3" t="inlineStr">
        <is>
          <t>Soldering</t>
        </is>
      </c>
      <c r="W1420" s="3" t="inlineStr">
        <is>
          <t>Repair</t>
        </is>
      </c>
      <c r="X1420" s="18" t="n">
        <v>46160</v>
      </c>
      <c r="Y1420" s="73">
        <f>IF(X1420="","",X1420-A1420)</f>
        <v/>
      </c>
      <c r="Z1420" s="18" t="n">
        <v>46160</v>
      </c>
      <c r="AA1420" s="15" t="n"/>
      <c r="AB1420" s="15" t="n"/>
      <c r="AF1420">
        <f>IF(AND($F1420="Closed",$X1420&gt;=DATE(2026,5,1),$X1420&lt;=DATE(2026,5,31)),"Closed in May","Other")</f>
        <v/>
      </c>
    </row>
    <row r="1421">
      <c r="A1421" s="6" t="n">
        <v>46107</v>
      </c>
      <c r="B1421" s="3" t="n">
        <v>2026</v>
      </c>
      <c r="C1421" s="3" t="inlineStr">
        <is>
          <t>Blupine Energy</t>
        </is>
      </c>
      <c r="D1421" s="3" t="inlineStr">
        <is>
          <t>Utility and C&amp;I</t>
        </is>
      </c>
      <c r="E1421" s="3" t="n"/>
      <c r="F1421" s="3" t="inlineStr">
        <is>
          <t>Closed</t>
        </is>
      </c>
      <c r="G1421" s="3" t="inlineStr">
        <is>
          <t>Chandrashekar Patidar</t>
        </is>
      </c>
      <c r="H1421" s="3" t="n">
        <v>7879764773</v>
      </c>
      <c r="I1421" s="11" t="inlineStr">
        <is>
          <t>PE26032601</t>
        </is>
      </c>
      <c r="J1421" s="3" t="inlineStr">
        <is>
          <t>Module Diode Failure</t>
        </is>
      </c>
      <c r="K1421" s="3" t="inlineStr">
        <is>
          <t>Sadla</t>
        </is>
      </c>
      <c r="L1421" s="3" t="inlineStr">
        <is>
          <t>Gujarat</t>
        </is>
      </c>
      <c r="M1421" s="9" t="inlineStr">
        <is>
          <t>PR</t>
        </is>
      </c>
      <c r="N1421" s="3" t="inlineStr">
        <is>
          <t>JB Issue</t>
        </is>
      </c>
      <c r="O1421" s="3" t="n">
        <v>570</v>
      </c>
      <c r="P1421" s="9" t="inlineStr">
        <is>
          <t>NSMI24080345335</t>
        </is>
      </c>
      <c r="Q1421" s="54">
        <f>MID(P1421,5,2)</f>
        <v/>
      </c>
      <c r="R1421" s="53">
        <f>MID(P1421,7,2)</f>
        <v/>
      </c>
      <c r="S1421" s="3" t="inlineStr">
        <is>
          <t>G2G</t>
        </is>
      </c>
      <c r="T1421" s="3" t="inlineStr">
        <is>
          <t>P4</t>
        </is>
      </c>
      <c r="U1421" s="3" t="inlineStr">
        <is>
          <t>P JB Issue</t>
        </is>
      </c>
      <c r="V1421" s="15" t="inlineStr">
        <is>
          <t>JB Changed</t>
        </is>
      </c>
      <c r="W1421" s="3" t="inlineStr">
        <is>
          <t>Repair</t>
        </is>
      </c>
      <c r="X1421" s="18" t="n">
        <v>46160</v>
      </c>
      <c r="Y1421" s="73">
        <f>IF(X1421="","",X1421-A1421)</f>
        <v/>
      </c>
      <c r="Z1421" s="18" t="n">
        <v>46160</v>
      </c>
      <c r="AA1421" s="15" t="n"/>
      <c r="AB1421" s="15" t="n"/>
      <c r="AF1421">
        <f>IF(AND($F1421="Closed",$X1421&gt;=DATE(2026,5,1),$X1421&lt;=DATE(2026,5,31)),"Closed in May","Other")</f>
        <v/>
      </c>
    </row>
    <row r="1422">
      <c r="A1422" s="6" t="n">
        <v>46107</v>
      </c>
      <c r="B1422" s="3" t="n">
        <v>2026</v>
      </c>
      <c r="C1422" s="3" t="inlineStr">
        <is>
          <t>Blupine Energy</t>
        </is>
      </c>
      <c r="D1422" s="3" t="inlineStr">
        <is>
          <t>Utility and C&amp;I</t>
        </is>
      </c>
      <c r="E1422" s="3" t="n"/>
      <c r="F1422" s="3" t="inlineStr">
        <is>
          <t>Closed</t>
        </is>
      </c>
      <c r="G1422" s="3" t="inlineStr">
        <is>
          <t>Chandrashekar Patidar</t>
        </is>
      </c>
      <c r="H1422" s="3" t="n">
        <v>7879764773</v>
      </c>
      <c r="I1422" s="11" t="inlineStr">
        <is>
          <t>PE26032601</t>
        </is>
      </c>
      <c r="J1422" s="3" t="inlineStr">
        <is>
          <t>Module Diode Failure</t>
        </is>
      </c>
      <c r="K1422" s="3" t="inlineStr">
        <is>
          <t>Sadla</t>
        </is>
      </c>
      <c r="L1422" s="3" t="inlineStr">
        <is>
          <t>Gujarat</t>
        </is>
      </c>
      <c r="M1422" s="9" t="inlineStr">
        <is>
          <t>AR</t>
        </is>
      </c>
      <c r="N1422" s="3" t="inlineStr">
        <is>
          <t>JB Issue</t>
        </is>
      </c>
      <c r="O1422" s="3" t="n">
        <v>570</v>
      </c>
      <c r="P1422" s="9" t="inlineStr">
        <is>
          <t>NSMI24080333042</t>
        </is>
      </c>
      <c r="Q1422" s="54">
        <f>MID(P1422,5,2)</f>
        <v/>
      </c>
      <c r="R1422" s="53">
        <f>MID(P1422,7,2)</f>
        <v/>
      </c>
      <c r="S1422" s="3" t="inlineStr">
        <is>
          <t>G2G</t>
        </is>
      </c>
      <c r="T1422" s="3" t="inlineStr">
        <is>
          <t>P4</t>
        </is>
      </c>
      <c r="U1422" s="3" t="inlineStr">
        <is>
          <t>All JB Issue &amp; Glass Breakage</t>
        </is>
      </c>
      <c r="V1422" s="15" t="inlineStr">
        <is>
          <t>JB Changed</t>
        </is>
      </c>
      <c r="W1422" s="3" t="inlineStr">
        <is>
          <t>Repair</t>
        </is>
      </c>
      <c r="X1422" s="18" t="n">
        <v>46160</v>
      </c>
      <c r="Y1422" s="73">
        <f>IF(X1422="","",X1422-A1422)</f>
        <v/>
      </c>
      <c r="Z1422" s="18" t="n">
        <v>46160</v>
      </c>
      <c r="AA1422" s="15" t="n"/>
      <c r="AB1422" s="15" t="n"/>
      <c r="AF1422">
        <f>IF(AND($F1422="Closed",$X1422&gt;=DATE(2026,5,1),$X1422&lt;=DATE(2026,5,31)),"Closed in May","Other")</f>
        <v/>
      </c>
    </row>
    <row r="1423">
      <c r="A1423" s="6" t="n">
        <v>46107</v>
      </c>
      <c r="B1423" s="3" t="n">
        <v>2026</v>
      </c>
      <c r="C1423" s="3" t="inlineStr">
        <is>
          <t>Blupine Energy</t>
        </is>
      </c>
      <c r="D1423" s="3" t="inlineStr">
        <is>
          <t>Utility and C&amp;I</t>
        </is>
      </c>
      <c r="E1423" s="3" t="n"/>
      <c r="F1423" s="3" t="inlineStr">
        <is>
          <t>Closed</t>
        </is>
      </c>
      <c r="G1423" s="3" t="inlineStr">
        <is>
          <t>Chandrashekar Patidar</t>
        </is>
      </c>
      <c r="H1423" s="3" t="n">
        <v>7879764773</v>
      </c>
      <c r="I1423" s="11" t="inlineStr">
        <is>
          <t>PE26032601</t>
        </is>
      </c>
      <c r="J1423" s="3" t="inlineStr">
        <is>
          <t>Module Diode Failure</t>
        </is>
      </c>
      <c r="K1423" s="3" t="inlineStr">
        <is>
          <t>Sadla</t>
        </is>
      </c>
      <c r="L1423" s="3" t="inlineStr">
        <is>
          <t>Gujarat</t>
        </is>
      </c>
      <c r="M1423" s="9" t="inlineStr">
        <is>
          <t>OK</t>
        </is>
      </c>
      <c r="N1423" s="3" t="inlineStr">
        <is>
          <t>No Issue</t>
        </is>
      </c>
      <c r="O1423" s="3" t="n">
        <v>570</v>
      </c>
      <c r="P1423" s="9" t="inlineStr">
        <is>
          <t>NSMI24090352273</t>
        </is>
      </c>
      <c r="Q1423" s="54">
        <f>MID(P1423,5,2)</f>
        <v/>
      </c>
      <c r="R1423" s="53">
        <f>MID(P1423,7,2)</f>
        <v/>
      </c>
      <c r="S1423" s="3" t="inlineStr">
        <is>
          <t>G2G</t>
        </is>
      </c>
      <c r="T1423" s="3" t="inlineStr">
        <is>
          <t>P4</t>
        </is>
      </c>
      <c r="U1423" s="19" t="inlineStr">
        <is>
          <t>No Issue Found</t>
        </is>
      </c>
      <c r="V1423" s="19" t="inlineStr">
        <is>
          <t>Found OK</t>
        </is>
      </c>
      <c r="W1423" s="3" t="inlineStr">
        <is>
          <t>Repair</t>
        </is>
      </c>
      <c r="X1423" s="18" t="n">
        <v>46160</v>
      </c>
      <c r="Y1423" s="73">
        <f>IF(X1423="","",X1423-A1423)</f>
        <v/>
      </c>
      <c r="Z1423" s="18" t="n">
        <v>46160</v>
      </c>
      <c r="AA1423" s="15" t="n"/>
      <c r="AB1423" s="15" t="n"/>
      <c r="AF1423">
        <f>IF(AND($F1423="Closed",$X1423&gt;=DATE(2026,5,1),$X1423&lt;=DATE(2026,5,31)),"Closed in May","Other")</f>
        <v/>
      </c>
    </row>
    <row r="1424">
      <c r="A1424" s="6" t="n">
        <v>46107</v>
      </c>
      <c r="B1424" s="3" t="n">
        <v>2026</v>
      </c>
      <c r="C1424" s="3" t="inlineStr">
        <is>
          <t>Blupine Energy</t>
        </is>
      </c>
      <c r="D1424" s="3" t="inlineStr">
        <is>
          <t>Utility and C&amp;I</t>
        </is>
      </c>
      <c r="E1424" s="3" t="n"/>
      <c r="F1424" s="3" t="inlineStr">
        <is>
          <t>Closed</t>
        </is>
      </c>
      <c r="G1424" s="3" t="inlineStr">
        <is>
          <t>Chandrashekar Patidar</t>
        </is>
      </c>
      <c r="H1424" s="3" t="n">
        <v>7879764773</v>
      </c>
      <c r="I1424" s="11" t="inlineStr">
        <is>
          <t>PE26032601</t>
        </is>
      </c>
      <c r="J1424" s="3" t="inlineStr">
        <is>
          <t>Module Diode Failure</t>
        </is>
      </c>
      <c r="K1424" s="3" t="inlineStr">
        <is>
          <t>Sadla</t>
        </is>
      </c>
      <c r="L1424" s="3" t="inlineStr">
        <is>
          <t>Gujarat</t>
        </is>
      </c>
      <c r="M1424" s="9" t="inlineStr">
        <is>
          <t>PS</t>
        </is>
      </c>
      <c r="N1424" s="3" t="inlineStr">
        <is>
          <t>Cold Soldering</t>
        </is>
      </c>
      <c r="O1424" s="3" t="n">
        <v>570</v>
      </c>
      <c r="P1424" s="9" t="inlineStr">
        <is>
          <t>NSMI24080339440</t>
        </is>
      </c>
      <c r="Q1424" s="54">
        <f>MID(P1424,5,2)</f>
        <v/>
      </c>
      <c r="R1424" s="53">
        <f>MID(P1424,7,2)</f>
        <v/>
      </c>
      <c r="S1424" s="3" t="inlineStr">
        <is>
          <t>G2G</t>
        </is>
      </c>
      <c r="T1424" s="3" t="inlineStr">
        <is>
          <t>P4</t>
        </is>
      </c>
      <c r="U1424" s="3" t="inlineStr">
        <is>
          <t>P JB Cold Soldering</t>
        </is>
      </c>
      <c r="V1424" s="3" t="inlineStr">
        <is>
          <t>Soldering</t>
        </is>
      </c>
      <c r="W1424" s="3" t="inlineStr">
        <is>
          <t>Repair</t>
        </is>
      </c>
      <c r="X1424" s="18" t="n">
        <v>46160</v>
      </c>
      <c r="Y1424" s="73">
        <f>IF(X1424="","",X1424-A1424)</f>
        <v/>
      </c>
      <c r="Z1424" s="18" t="n">
        <v>46160</v>
      </c>
      <c r="AA1424" s="15" t="n"/>
      <c r="AB1424" s="15" t="n"/>
      <c r="AF1424">
        <f>IF(AND($F1424="Closed",$X1424&gt;=DATE(2026,5,1),$X1424&lt;=DATE(2026,5,31)),"Closed in May","Other")</f>
        <v/>
      </c>
    </row>
    <row r="1425">
      <c r="A1425" s="6" t="n">
        <v>46107</v>
      </c>
      <c r="B1425" s="3" t="n">
        <v>2026</v>
      </c>
      <c r="C1425" s="3" t="inlineStr">
        <is>
          <t>Blupine Energy</t>
        </is>
      </c>
      <c r="D1425" s="3" t="inlineStr">
        <is>
          <t>Utility and C&amp;I</t>
        </is>
      </c>
      <c r="E1425" s="3" t="n"/>
      <c r="F1425" s="3" t="inlineStr">
        <is>
          <t>Closed</t>
        </is>
      </c>
      <c r="G1425" s="3" t="inlineStr">
        <is>
          <t>Chandrashekar Patidar</t>
        </is>
      </c>
      <c r="H1425" s="3" t="n">
        <v>7879764773</v>
      </c>
      <c r="I1425" s="11" t="inlineStr">
        <is>
          <t>PE26032601</t>
        </is>
      </c>
      <c r="J1425" s="3" t="inlineStr">
        <is>
          <t>Module Diode Failure</t>
        </is>
      </c>
      <c r="K1425" s="3" t="inlineStr">
        <is>
          <t>Sadla</t>
        </is>
      </c>
      <c r="L1425" s="3" t="inlineStr">
        <is>
          <t>Gujarat</t>
        </is>
      </c>
      <c r="M1425" s="9" t="inlineStr">
        <is>
          <t>PS</t>
        </is>
      </c>
      <c r="N1425" s="3" t="inlineStr">
        <is>
          <t>Cold Soldering</t>
        </is>
      </c>
      <c r="O1425" s="3" t="n">
        <v>570</v>
      </c>
      <c r="P1425" s="9" t="inlineStr">
        <is>
          <t>NSMI24080342112</t>
        </is>
      </c>
      <c r="Q1425" s="54">
        <f>MID(P1425,5,2)</f>
        <v/>
      </c>
      <c r="R1425" s="53">
        <f>MID(P1425,7,2)</f>
        <v/>
      </c>
      <c r="S1425" s="3" t="inlineStr">
        <is>
          <t>G2G</t>
        </is>
      </c>
      <c r="T1425" s="3" t="inlineStr">
        <is>
          <t>P4</t>
        </is>
      </c>
      <c r="U1425" s="3" t="inlineStr">
        <is>
          <t>P JB Cold Soldering</t>
        </is>
      </c>
      <c r="V1425" s="3" t="inlineStr">
        <is>
          <t>Soldering</t>
        </is>
      </c>
      <c r="W1425" s="3" t="inlineStr">
        <is>
          <t>Repair</t>
        </is>
      </c>
      <c r="X1425" s="18" t="n">
        <v>46160</v>
      </c>
      <c r="Y1425" s="73">
        <f>IF(X1425="","",X1425-A1425)</f>
        <v/>
      </c>
      <c r="Z1425" s="18" t="n">
        <v>46160</v>
      </c>
      <c r="AA1425" s="15" t="n"/>
      <c r="AB1425" s="15" t="n"/>
      <c r="AF1425">
        <f>IF(AND($F1425="Closed",$X1425&gt;=DATE(2026,5,1),$X1425&lt;=DATE(2026,5,31)),"Closed in May","Other")</f>
        <v/>
      </c>
    </row>
    <row r="1426">
      <c r="A1426" s="6" t="n">
        <v>46107</v>
      </c>
      <c r="B1426" s="3" t="n">
        <v>2026</v>
      </c>
      <c r="C1426" s="3" t="inlineStr">
        <is>
          <t>Blupine Energy</t>
        </is>
      </c>
      <c r="D1426" s="3" t="inlineStr">
        <is>
          <t>Utility and C&amp;I</t>
        </is>
      </c>
      <c r="E1426" s="3" t="n"/>
      <c r="F1426" s="3" t="inlineStr">
        <is>
          <t>Closed</t>
        </is>
      </c>
      <c r="G1426" s="3" t="inlineStr">
        <is>
          <t>Chandrashekar Patidar</t>
        </is>
      </c>
      <c r="H1426" s="3" t="n">
        <v>7879764773</v>
      </c>
      <c r="I1426" s="11" t="inlineStr">
        <is>
          <t>PE26032601</t>
        </is>
      </c>
      <c r="J1426" s="3" t="inlineStr">
        <is>
          <t>Module Diode Failure</t>
        </is>
      </c>
      <c r="K1426" s="3" t="inlineStr">
        <is>
          <t>Sadla</t>
        </is>
      </c>
      <c r="L1426" s="3" t="inlineStr">
        <is>
          <t>Gujarat</t>
        </is>
      </c>
      <c r="M1426" s="9" t="inlineStr">
        <is>
          <t>OK</t>
        </is>
      </c>
      <c r="N1426" s="3" t="inlineStr">
        <is>
          <t>No Issue</t>
        </is>
      </c>
      <c r="O1426" s="3" t="n">
        <v>570</v>
      </c>
      <c r="P1426" s="9" t="inlineStr">
        <is>
          <t>NSMI24080345209</t>
        </is>
      </c>
      <c r="Q1426" s="54">
        <f>MID(P1426,5,2)</f>
        <v/>
      </c>
      <c r="R1426" s="53">
        <f>MID(P1426,7,2)</f>
        <v/>
      </c>
      <c r="S1426" s="3" t="inlineStr">
        <is>
          <t>G2G</t>
        </is>
      </c>
      <c r="T1426" s="3" t="inlineStr">
        <is>
          <t>P4</t>
        </is>
      </c>
      <c r="U1426" s="19" t="inlineStr">
        <is>
          <t>No Issue Found</t>
        </is>
      </c>
      <c r="V1426" s="19" t="inlineStr">
        <is>
          <t>Found OK</t>
        </is>
      </c>
      <c r="W1426" s="3" t="inlineStr">
        <is>
          <t>Repair</t>
        </is>
      </c>
      <c r="X1426" s="18" t="n">
        <v>46160</v>
      </c>
      <c r="Y1426" s="73">
        <f>IF(X1426="","",X1426-A1426)</f>
        <v/>
      </c>
      <c r="Z1426" s="18" t="n">
        <v>46160</v>
      </c>
      <c r="AA1426" s="15" t="n"/>
      <c r="AB1426" s="15" t="n"/>
      <c r="AF1426">
        <f>IF(AND($F1426="Closed",$X1426&gt;=DATE(2026,5,1),$X1426&lt;=DATE(2026,5,31)),"Closed in May","Other")</f>
        <v/>
      </c>
    </row>
    <row r="1427">
      <c r="A1427" s="6" t="n">
        <v>46107</v>
      </c>
      <c r="B1427" s="3" t="n">
        <v>2026</v>
      </c>
      <c r="C1427" s="3" t="inlineStr">
        <is>
          <t>Blupine Energy</t>
        </is>
      </c>
      <c r="D1427" s="3" t="inlineStr">
        <is>
          <t>Utility and C&amp;I</t>
        </is>
      </c>
      <c r="E1427" s="3" t="n"/>
      <c r="F1427" s="3" t="inlineStr">
        <is>
          <t>Closed</t>
        </is>
      </c>
      <c r="G1427" s="3" t="inlineStr">
        <is>
          <t>Chandrashekar Patidar</t>
        </is>
      </c>
      <c r="H1427" s="3" t="n">
        <v>7879764773</v>
      </c>
      <c r="I1427" s="11" t="inlineStr">
        <is>
          <t>PE26032601</t>
        </is>
      </c>
      <c r="J1427" s="3" t="inlineStr">
        <is>
          <t>Module Diode Failure</t>
        </is>
      </c>
      <c r="K1427" s="3" t="inlineStr">
        <is>
          <t>Sadla</t>
        </is>
      </c>
      <c r="L1427" s="3" t="inlineStr">
        <is>
          <t>Gujarat</t>
        </is>
      </c>
      <c r="M1427" s="9" t="inlineStr">
        <is>
          <t>OK</t>
        </is>
      </c>
      <c r="N1427" s="3" t="inlineStr">
        <is>
          <t>No Issue</t>
        </is>
      </c>
      <c r="O1427" s="3" t="n">
        <v>570</v>
      </c>
      <c r="P1427" s="9" t="inlineStr">
        <is>
          <t>NSMI24080336766</t>
        </is>
      </c>
      <c r="Q1427" s="54">
        <f>MID(P1427,5,2)</f>
        <v/>
      </c>
      <c r="R1427" s="53">
        <f>MID(P1427,7,2)</f>
        <v/>
      </c>
      <c r="S1427" s="3" t="inlineStr">
        <is>
          <t>G2G</t>
        </is>
      </c>
      <c r="T1427" s="3" t="inlineStr">
        <is>
          <t>P4</t>
        </is>
      </c>
      <c r="U1427" s="19" t="inlineStr">
        <is>
          <t>No Issue Found</t>
        </is>
      </c>
      <c r="V1427" s="19" t="inlineStr">
        <is>
          <t>Found OK</t>
        </is>
      </c>
      <c r="W1427" s="3" t="inlineStr">
        <is>
          <t>Repair</t>
        </is>
      </c>
      <c r="X1427" s="18" t="n">
        <v>46160</v>
      </c>
      <c r="Y1427" s="73">
        <f>IF(X1427="","",X1427-A1427)</f>
        <v/>
      </c>
      <c r="Z1427" s="18" t="n">
        <v>46160</v>
      </c>
      <c r="AA1427" s="15" t="n"/>
      <c r="AB1427" s="15" t="n"/>
      <c r="AF1427">
        <f>IF(AND($F1427="Closed",$X1427&gt;=DATE(2026,5,1),$X1427&lt;=DATE(2026,5,31)),"Closed in May","Other")</f>
        <v/>
      </c>
    </row>
    <row r="1428">
      <c r="A1428" s="6" t="n">
        <v>46107</v>
      </c>
      <c r="B1428" s="3" t="n">
        <v>2026</v>
      </c>
      <c r="C1428" s="3" t="inlineStr">
        <is>
          <t>Blupine Energy</t>
        </is>
      </c>
      <c r="D1428" s="3" t="inlineStr">
        <is>
          <t>Utility and C&amp;I</t>
        </is>
      </c>
      <c r="E1428" s="3" t="n"/>
      <c r="F1428" s="3" t="inlineStr">
        <is>
          <t>Closed</t>
        </is>
      </c>
      <c r="G1428" s="3" t="inlineStr">
        <is>
          <t>Chandrashekar Patidar</t>
        </is>
      </c>
      <c r="H1428" s="3" t="n">
        <v>7879764773</v>
      </c>
      <c r="I1428" s="11" t="inlineStr">
        <is>
          <t>PE26032601</t>
        </is>
      </c>
      <c r="J1428" s="3" t="inlineStr">
        <is>
          <t>Module Diode Failure</t>
        </is>
      </c>
      <c r="K1428" s="3" t="inlineStr">
        <is>
          <t>Sadla</t>
        </is>
      </c>
      <c r="L1428" s="3" t="inlineStr">
        <is>
          <t>Gujarat</t>
        </is>
      </c>
      <c r="M1428" s="9" t="inlineStr">
        <is>
          <t>OK</t>
        </is>
      </c>
      <c r="N1428" s="3" t="inlineStr">
        <is>
          <t>No Issue</t>
        </is>
      </c>
      <c r="O1428" s="3" t="n">
        <v>570</v>
      </c>
      <c r="P1428" s="9" t="inlineStr">
        <is>
          <t>NSMI24080342865</t>
        </is>
      </c>
      <c r="Q1428" s="54">
        <f>MID(P1428,5,2)</f>
        <v/>
      </c>
      <c r="R1428" s="53">
        <f>MID(P1428,7,2)</f>
        <v/>
      </c>
      <c r="S1428" s="3" t="inlineStr">
        <is>
          <t>G2G</t>
        </is>
      </c>
      <c r="T1428" s="3" t="inlineStr">
        <is>
          <t>P4</t>
        </is>
      </c>
      <c r="U1428" s="19" t="inlineStr">
        <is>
          <t>No Issue Found</t>
        </is>
      </c>
      <c r="V1428" s="19" t="inlineStr">
        <is>
          <t>Found OK</t>
        </is>
      </c>
      <c r="W1428" s="3" t="inlineStr">
        <is>
          <t>Repair</t>
        </is>
      </c>
      <c r="X1428" s="18" t="n">
        <v>46160</v>
      </c>
      <c r="Y1428" s="73">
        <f>IF(X1428="","",X1428-A1428)</f>
        <v/>
      </c>
      <c r="Z1428" s="18" t="n">
        <v>46160</v>
      </c>
      <c r="AA1428" s="15" t="n"/>
      <c r="AB1428" s="15" t="n"/>
      <c r="AF1428">
        <f>IF(AND($F1428="Closed",$X1428&gt;=DATE(2026,5,1),$X1428&lt;=DATE(2026,5,31)),"Closed in May","Other")</f>
        <v/>
      </c>
    </row>
    <row r="1429">
      <c r="A1429" s="6" t="n">
        <v>46107</v>
      </c>
      <c r="B1429" s="3" t="n">
        <v>2026</v>
      </c>
      <c r="C1429" s="3" t="inlineStr">
        <is>
          <t>Blupine Energy</t>
        </is>
      </c>
      <c r="D1429" s="3" t="inlineStr">
        <is>
          <t>Utility and C&amp;I</t>
        </is>
      </c>
      <c r="E1429" s="3" t="n"/>
      <c r="F1429" s="3" t="inlineStr">
        <is>
          <t>Closed</t>
        </is>
      </c>
      <c r="G1429" s="3" t="inlineStr">
        <is>
          <t>Chandrashekar Patidar</t>
        </is>
      </c>
      <c r="H1429" s="3" t="n">
        <v>7879764773</v>
      </c>
      <c r="I1429" s="11" t="inlineStr">
        <is>
          <t>PE26032601</t>
        </is>
      </c>
      <c r="J1429" s="3" t="inlineStr">
        <is>
          <t>Module Diode Failure</t>
        </is>
      </c>
      <c r="K1429" s="3" t="inlineStr">
        <is>
          <t>Sadla</t>
        </is>
      </c>
      <c r="L1429" s="3" t="inlineStr">
        <is>
          <t>Gujarat</t>
        </is>
      </c>
      <c r="M1429" s="9" t="inlineStr">
        <is>
          <t>OK</t>
        </is>
      </c>
      <c r="N1429" s="3" t="inlineStr">
        <is>
          <t>No Issue</t>
        </is>
      </c>
      <c r="O1429" s="3" t="n">
        <v>570</v>
      </c>
      <c r="P1429" s="9" t="inlineStr">
        <is>
          <t>NSMI24080338815</t>
        </is>
      </c>
      <c r="Q1429" s="54">
        <f>MID(P1429,5,2)</f>
        <v/>
      </c>
      <c r="R1429" s="53">
        <f>MID(P1429,7,2)</f>
        <v/>
      </c>
      <c r="S1429" s="3" t="inlineStr">
        <is>
          <t>G2G</t>
        </is>
      </c>
      <c r="T1429" s="3" t="inlineStr">
        <is>
          <t>P4</t>
        </is>
      </c>
      <c r="U1429" s="19" t="inlineStr">
        <is>
          <t>No Issue Found</t>
        </is>
      </c>
      <c r="V1429" s="19" t="inlineStr">
        <is>
          <t>Found OK</t>
        </is>
      </c>
      <c r="W1429" s="3" t="inlineStr">
        <is>
          <t>Repair</t>
        </is>
      </c>
      <c r="X1429" s="18" t="n">
        <v>46160</v>
      </c>
      <c r="Y1429" s="73">
        <f>IF(X1429="","",X1429-A1429)</f>
        <v/>
      </c>
      <c r="Z1429" s="18" t="n">
        <v>46160</v>
      </c>
      <c r="AA1429" s="15" t="n"/>
      <c r="AB1429" s="15" t="n"/>
      <c r="AF1429">
        <f>IF(AND($F1429="Closed",$X1429&gt;=DATE(2026,5,1),$X1429&lt;=DATE(2026,5,31)),"Closed in May","Other")</f>
        <v/>
      </c>
    </row>
    <row r="1430">
      <c r="A1430" s="6" t="n">
        <v>46107</v>
      </c>
      <c r="B1430" s="3" t="n">
        <v>2026</v>
      </c>
      <c r="C1430" s="3" t="inlineStr">
        <is>
          <t>Blupine Energy</t>
        </is>
      </c>
      <c r="D1430" s="3" t="inlineStr">
        <is>
          <t>Utility and C&amp;I</t>
        </is>
      </c>
      <c r="E1430" s="3" t="n"/>
      <c r="F1430" s="3" t="inlineStr">
        <is>
          <t>Closed</t>
        </is>
      </c>
      <c r="G1430" s="3" t="inlineStr">
        <is>
          <t>Chandrashekar Patidar</t>
        </is>
      </c>
      <c r="H1430" s="3" t="n">
        <v>7879764773</v>
      </c>
      <c r="I1430" s="11" t="inlineStr">
        <is>
          <t>PE26032601</t>
        </is>
      </c>
      <c r="J1430" s="3" t="inlineStr">
        <is>
          <t>Module Diode Failure</t>
        </is>
      </c>
      <c r="K1430" s="3" t="inlineStr">
        <is>
          <t>Sadla</t>
        </is>
      </c>
      <c r="L1430" s="3" t="inlineStr">
        <is>
          <t>Gujarat</t>
        </is>
      </c>
      <c r="M1430" s="9" t="inlineStr">
        <is>
          <t>PS</t>
        </is>
      </c>
      <c r="N1430" s="3" t="inlineStr">
        <is>
          <t>Cold Soldering</t>
        </is>
      </c>
      <c r="O1430" s="3" t="n">
        <v>570</v>
      </c>
      <c r="P1430" s="9" t="inlineStr">
        <is>
          <t>NSMI24080338504</t>
        </is>
      </c>
      <c r="Q1430" s="54">
        <f>MID(P1430,5,2)</f>
        <v/>
      </c>
      <c r="R1430" s="53">
        <f>MID(P1430,7,2)</f>
        <v/>
      </c>
      <c r="S1430" s="3" t="inlineStr">
        <is>
          <t>G2G</t>
        </is>
      </c>
      <c r="T1430" s="3" t="inlineStr">
        <is>
          <t>P4</t>
        </is>
      </c>
      <c r="U1430" s="3" t="inlineStr">
        <is>
          <t>P JB Cold Soldering</t>
        </is>
      </c>
      <c r="V1430" s="3" t="inlineStr">
        <is>
          <t>Soldering</t>
        </is>
      </c>
      <c r="W1430" s="3" t="inlineStr">
        <is>
          <t>Repair</t>
        </is>
      </c>
      <c r="X1430" s="18" t="n">
        <v>46160</v>
      </c>
      <c r="Y1430" s="73">
        <f>IF(X1430="","",X1430-A1430)</f>
        <v/>
      </c>
      <c r="Z1430" s="18" t="n">
        <v>46160</v>
      </c>
      <c r="AA1430" s="15" t="n"/>
      <c r="AB1430" s="15" t="n"/>
      <c r="AF1430">
        <f>IF(AND($F1430="Closed",$X1430&gt;=DATE(2026,5,1),$X1430&lt;=DATE(2026,5,31)),"Closed in May","Other")</f>
        <v/>
      </c>
    </row>
    <row r="1431">
      <c r="A1431" s="37" t="n">
        <v>46143</v>
      </c>
      <c r="B1431" s="3" t="n">
        <v>2026</v>
      </c>
      <c r="C1431" s="26" t="inlineStr">
        <is>
          <t>Yanara Power</t>
        </is>
      </c>
      <c r="D1431" s="3" t="inlineStr">
        <is>
          <t>Utility and C&amp;I</t>
        </is>
      </c>
      <c r="E1431" s="3" t="n"/>
      <c r="F1431" s="3" t="inlineStr">
        <is>
          <t>Closed</t>
        </is>
      </c>
      <c r="G1431" s="9" t="inlineStr">
        <is>
          <t xml:space="preserve">Ashish Jindal </t>
        </is>
      </c>
      <c r="H1431" s="26" t="n">
        <v>9983975581</v>
      </c>
      <c r="I1431" s="38" t="inlineStr">
        <is>
          <t>PE01052601</t>
        </is>
      </c>
      <c r="J1431" s="26" t="inlineStr">
        <is>
          <t>Multiple Issues</t>
        </is>
      </c>
      <c r="K1431" s="39" t="inlineStr">
        <is>
          <t>Holi</t>
        </is>
      </c>
      <c r="L1431" s="39" t="inlineStr">
        <is>
          <t>Maharashtra</t>
        </is>
      </c>
      <c r="M1431" s="9" t="inlineStr">
        <is>
          <t>PS</t>
        </is>
      </c>
      <c r="N1431" s="3" t="inlineStr">
        <is>
          <t>Cold Soldering</t>
        </is>
      </c>
      <c r="O1431" s="39" t="n">
        <v>575</v>
      </c>
      <c r="P1431" s="46" t="inlineStr">
        <is>
          <t>NSMI24070218682</t>
        </is>
      </c>
      <c r="Q1431" s="53">
        <f>MID(P1431,5,2)</f>
        <v/>
      </c>
      <c r="R1431" s="53">
        <f>MID(P1431,7,2)</f>
        <v/>
      </c>
      <c r="S1431" s="3" t="inlineStr">
        <is>
          <t>G2G</t>
        </is>
      </c>
      <c r="T1431" s="3" t="inlineStr">
        <is>
          <t>P4</t>
        </is>
      </c>
      <c r="U1431" s="19" t="inlineStr">
        <is>
          <t>P JB Cold Soldering</t>
        </is>
      </c>
      <c r="V1431" s="19" t="inlineStr">
        <is>
          <t>Soldering</t>
        </is>
      </c>
      <c r="W1431" s="3" t="inlineStr">
        <is>
          <t>Repair</t>
        </is>
      </c>
      <c r="X1431" s="18" t="n">
        <v>46160</v>
      </c>
      <c r="Y1431" s="73">
        <f>IF(X1431="","",X1431-A1431)</f>
        <v/>
      </c>
      <c r="Z1431" s="18" t="n">
        <v>46160</v>
      </c>
      <c r="AA1431" s="15" t="n"/>
      <c r="AB1431" s="15" t="n"/>
      <c r="AF1431">
        <f>IF(AND($F1431="Closed",$X1431&gt;=DATE(2026,5,1),$X1431&lt;=DATE(2026,5,31)),"Closed in May","Other")</f>
        <v/>
      </c>
    </row>
    <row r="1432">
      <c r="A1432" s="37" t="n">
        <v>46143</v>
      </c>
      <c r="B1432" s="3" t="n">
        <v>2026</v>
      </c>
      <c r="C1432" s="26" t="inlineStr">
        <is>
          <t>Yanara Power</t>
        </is>
      </c>
      <c r="D1432" s="3" t="inlineStr">
        <is>
          <t>Utility and C&amp;I</t>
        </is>
      </c>
      <c r="E1432" s="3" t="n"/>
      <c r="F1432" s="3" t="inlineStr">
        <is>
          <t>Closed</t>
        </is>
      </c>
      <c r="G1432" s="9" t="inlineStr">
        <is>
          <t xml:space="preserve">Ashish Jindal </t>
        </is>
      </c>
      <c r="H1432" s="26" t="n">
        <v>9983975581</v>
      </c>
      <c r="I1432" s="38" t="inlineStr">
        <is>
          <t>PE01052601</t>
        </is>
      </c>
      <c r="J1432" s="26" t="inlineStr">
        <is>
          <t>Multiple Issues</t>
        </is>
      </c>
      <c r="K1432" s="39" t="inlineStr">
        <is>
          <t>Holi</t>
        </is>
      </c>
      <c r="L1432" s="39" t="inlineStr">
        <is>
          <t>Maharashtra</t>
        </is>
      </c>
      <c r="M1432" s="9" t="inlineStr">
        <is>
          <t>PS</t>
        </is>
      </c>
      <c r="N1432" s="3" t="inlineStr">
        <is>
          <t>Cold Soldering</t>
        </is>
      </c>
      <c r="O1432" s="39" t="n">
        <v>575</v>
      </c>
      <c r="P1432" s="46" t="inlineStr">
        <is>
          <t>NSMI24070188869</t>
        </is>
      </c>
      <c r="Q1432" s="53">
        <f>MID(P1432,5,2)</f>
        <v/>
      </c>
      <c r="R1432" s="53">
        <f>MID(P1432,7,2)</f>
        <v/>
      </c>
      <c r="S1432" s="3" t="inlineStr">
        <is>
          <t>G2G</t>
        </is>
      </c>
      <c r="T1432" s="3" t="inlineStr">
        <is>
          <t>P4</t>
        </is>
      </c>
      <c r="U1432" s="19" t="inlineStr">
        <is>
          <t>P JB Cold Soldering</t>
        </is>
      </c>
      <c r="V1432" s="19" t="inlineStr">
        <is>
          <t>Soldering</t>
        </is>
      </c>
      <c r="W1432" s="3" t="inlineStr">
        <is>
          <t>Repair</t>
        </is>
      </c>
      <c r="X1432" s="18" t="n">
        <v>46160</v>
      </c>
      <c r="Y1432" s="73">
        <f>IF(X1432="","",X1432-A1432)</f>
        <v/>
      </c>
      <c r="Z1432" s="18" t="n">
        <v>46160</v>
      </c>
      <c r="AA1432" s="15" t="n"/>
      <c r="AB1432" s="15" t="n"/>
      <c r="AF1432">
        <f>IF(AND($F1432="Closed",$X1432&gt;=DATE(2026,5,1),$X1432&lt;=DATE(2026,5,31)),"Closed in May","Other")</f>
        <v/>
      </c>
    </row>
    <row r="1433">
      <c r="A1433" s="37" t="n">
        <v>46143</v>
      </c>
      <c r="B1433" s="3" t="n">
        <v>2026</v>
      </c>
      <c r="C1433" s="26" t="inlineStr">
        <is>
          <t>Yanara Power</t>
        </is>
      </c>
      <c r="D1433" s="3" t="inlineStr">
        <is>
          <t>Utility and C&amp;I</t>
        </is>
      </c>
      <c r="E1433" s="3" t="n"/>
      <c r="F1433" s="3" t="inlineStr">
        <is>
          <t>Closed</t>
        </is>
      </c>
      <c r="G1433" s="9" t="inlineStr">
        <is>
          <t xml:space="preserve">Ashish Jindal </t>
        </is>
      </c>
      <c r="H1433" s="26" t="n">
        <v>9983975581</v>
      </c>
      <c r="I1433" s="38" t="inlineStr">
        <is>
          <t>PE01052601</t>
        </is>
      </c>
      <c r="J1433" s="26" t="inlineStr">
        <is>
          <t>Multiple Issues</t>
        </is>
      </c>
      <c r="K1433" s="39" t="inlineStr">
        <is>
          <t>Holi</t>
        </is>
      </c>
      <c r="L1433" s="39" t="inlineStr">
        <is>
          <t>Maharashtra</t>
        </is>
      </c>
      <c r="M1433" s="9" t="inlineStr">
        <is>
          <t>NS</t>
        </is>
      </c>
      <c r="N1433" s="3" t="inlineStr">
        <is>
          <t>Cold Soldering</t>
        </is>
      </c>
      <c r="O1433" s="39" t="n">
        <v>575</v>
      </c>
      <c r="P1433" s="46" t="inlineStr">
        <is>
          <t>NSMI24070218683</t>
        </is>
      </c>
      <c r="Q1433" s="53">
        <f>MID(P1433,5,2)</f>
        <v/>
      </c>
      <c r="R1433" s="53">
        <f>MID(P1433,7,2)</f>
        <v/>
      </c>
      <c r="S1433" s="3" t="inlineStr">
        <is>
          <t>G2G</t>
        </is>
      </c>
      <c r="T1433" s="3" t="inlineStr">
        <is>
          <t>P4</t>
        </is>
      </c>
      <c r="U1433" s="3" t="inlineStr">
        <is>
          <t>N JB Cold Soldering</t>
        </is>
      </c>
      <c r="V1433" s="3" t="inlineStr">
        <is>
          <t>Soldering</t>
        </is>
      </c>
      <c r="W1433" s="3" t="inlineStr">
        <is>
          <t>Repair</t>
        </is>
      </c>
      <c r="X1433" s="18" t="n">
        <v>46160</v>
      </c>
      <c r="Y1433" s="73">
        <f>IF(X1433="","",X1433-A1433)</f>
        <v/>
      </c>
      <c r="Z1433" s="18" t="n">
        <v>46160</v>
      </c>
      <c r="AA1433" s="15" t="n"/>
      <c r="AB1433" s="15" t="n"/>
      <c r="AF1433">
        <f>IF(AND($F1433="Closed",$X1433&gt;=DATE(2026,5,1),$X1433&lt;=DATE(2026,5,31)),"Closed in May","Other")</f>
        <v/>
      </c>
    </row>
    <row r="1434">
      <c r="A1434" s="37" t="n">
        <v>46143</v>
      </c>
      <c r="B1434" s="3" t="n">
        <v>2026</v>
      </c>
      <c r="C1434" s="26" t="inlineStr">
        <is>
          <t>Yanara Power</t>
        </is>
      </c>
      <c r="D1434" s="3" t="inlineStr">
        <is>
          <t>Utility and C&amp;I</t>
        </is>
      </c>
      <c r="E1434" s="3" t="n"/>
      <c r="F1434" s="3" t="inlineStr">
        <is>
          <t>Closed</t>
        </is>
      </c>
      <c r="G1434" s="9" t="inlineStr">
        <is>
          <t xml:space="preserve">Ashish Jindal </t>
        </is>
      </c>
      <c r="H1434" s="26" t="n">
        <v>9983975581</v>
      </c>
      <c r="I1434" s="38" t="inlineStr">
        <is>
          <t>PE01052601</t>
        </is>
      </c>
      <c r="J1434" s="26" t="inlineStr">
        <is>
          <t>Multiple Issues</t>
        </is>
      </c>
      <c r="K1434" s="39" t="inlineStr">
        <is>
          <t>Holi</t>
        </is>
      </c>
      <c r="L1434" s="39" t="inlineStr">
        <is>
          <t>Maharashtra</t>
        </is>
      </c>
      <c r="M1434" s="9" t="inlineStr">
        <is>
          <t>PS</t>
        </is>
      </c>
      <c r="N1434" s="3" t="inlineStr">
        <is>
          <t>Cold Soldering</t>
        </is>
      </c>
      <c r="O1434" s="39" t="n">
        <v>575</v>
      </c>
      <c r="P1434" s="46" t="inlineStr">
        <is>
          <t>NSMI24070176366</t>
        </is>
      </c>
      <c r="Q1434" s="53">
        <f>MID(P1434,5,2)</f>
        <v/>
      </c>
      <c r="R1434" s="53">
        <f>MID(P1434,7,2)</f>
        <v/>
      </c>
      <c r="S1434" s="3" t="inlineStr">
        <is>
          <t>G2G</t>
        </is>
      </c>
      <c r="T1434" s="3" t="inlineStr">
        <is>
          <t>P4</t>
        </is>
      </c>
      <c r="U1434" s="19" t="inlineStr">
        <is>
          <t>P JB Cold Soldering</t>
        </is>
      </c>
      <c r="V1434" s="19" t="inlineStr">
        <is>
          <t>Soldering</t>
        </is>
      </c>
      <c r="W1434" s="3" t="inlineStr">
        <is>
          <t>Repair</t>
        </is>
      </c>
      <c r="X1434" s="18" t="n">
        <v>46160</v>
      </c>
      <c r="Y1434" s="73">
        <f>IF(X1434="","",X1434-A1434)</f>
        <v/>
      </c>
      <c r="Z1434" s="18" t="n">
        <v>46160</v>
      </c>
      <c r="AA1434" s="15" t="n"/>
      <c r="AB1434" s="15" t="n"/>
      <c r="AF1434">
        <f>IF(AND($F1434="Closed",$X1434&gt;=DATE(2026,5,1),$X1434&lt;=DATE(2026,5,31)),"Closed in May","Other")</f>
        <v/>
      </c>
    </row>
    <row r="1435">
      <c r="A1435" s="37" t="n">
        <v>46143</v>
      </c>
      <c r="B1435" s="3" t="n">
        <v>2026</v>
      </c>
      <c r="C1435" s="26" t="inlineStr">
        <is>
          <t>Yanara Power</t>
        </is>
      </c>
      <c r="D1435" s="3" t="inlineStr">
        <is>
          <t>Utility and C&amp;I</t>
        </is>
      </c>
      <c r="E1435" s="3" t="n"/>
      <c r="F1435" s="3" t="inlineStr">
        <is>
          <t>Closed</t>
        </is>
      </c>
      <c r="G1435" s="9" t="inlineStr">
        <is>
          <t xml:space="preserve">Ashish Jindal </t>
        </is>
      </c>
      <c r="H1435" s="26" t="n">
        <v>9983975581</v>
      </c>
      <c r="I1435" s="38" t="inlineStr">
        <is>
          <t>PE01052601</t>
        </is>
      </c>
      <c r="J1435" s="26" t="inlineStr">
        <is>
          <t>Multiple Issues</t>
        </is>
      </c>
      <c r="K1435" s="39" t="inlineStr">
        <is>
          <t>Holi</t>
        </is>
      </c>
      <c r="L1435" s="39" t="inlineStr">
        <is>
          <t>Maharashtra</t>
        </is>
      </c>
      <c r="M1435" s="9" t="inlineStr">
        <is>
          <t>NS</t>
        </is>
      </c>
      <c r="N1435" s="3" t="inlineStr">
        <is>
          <t>Cold Soldering</t>
        </is>
      </c>
      <c r="O1435" s="39" t="n">
        <v>575</v>
      </c>
      <c r="P1435" s="46" t="inlineStr">
        <is>
          <t>NSMI24070202550</t>
        </is>
      </c>
      <c r="Q1435" s="53">
        <f>MID(P1435,5,2)</f>
        <v/>
      </c>
      <c r="R1435" s="53">
        <f>MID(P1435,7,2)</f>
        <v/>
      </c>
      <c r="S1435" s="3" t="inlineStr">
        <is>
          <t>G2G</t>
        </is>
      </c>
      <c r="T1435" s="3" t="inlineStr">
        <is>
          <t>P4</t>
        </is>
      </c>
      <c r="U1435" s="3" t="inlineStr">
        <is>
          <t>N JB Cold Soldering</t>
        </is>
      </c>
      <c r="V1435" s="3" t="inlineStr">
        <is>
          <t>Soldering</t>
        </is>
      </c>
      <c r="W1435" s="3" t="inlineStr">
        <is>
          <t>Repair</t>
        </is>
      </c>
      <c r="X1435" s="18" t="n">
        <v>46160</v>
      </c>
      <c r="Y1435" s="73">
        <f>IF(X1435="","",X1435-A1435)</f>
        <v/>
      </c>
      <c r="Z1435" s="18" t="n">
        <v>46160</v>
      </c>
      <c r="AA1435" s="15" t="n"/>
      <c r="AB1435" s="15" t="n"/>
      <c r="AF1435">
        <f>IF(AND($F1435="Closed",$X1435&gt;=DATE(2026,5,1),$X1435&lt;=DATE(2026,5,31)),"Closed in May","Other")</f>
        <v/>
      </c>
    </row>
    <row r="1436">
      <c r="A1436" s="37" t="n">
        <v>46143</v>
      </c>
      <c r="B1436" s="3" t="n">
        <v>2026</v>
      </c>
      <c r="C1436" s="26" t="inlineStr">
        <is>
          <t>Yanara Power</t>
        </is>
      </c>
      <c r="D1436" s="3" t="inlineStr">
        <is>
          <t>Utility and C&amp;I</t>
        </is>
      </c>
      <c r="E1436" s="3" t="n"/>
      <c r="F1436" s="3" t="inlineStr">
        <is>
          <t>Closed</t>
        </is>
      </c>
      <c r="G1436" s="9" t="inlineStr">
        <is>
          <t xml:space="preserve">Ashish Jindal </t>
        </is>
      </c>
      <c r="H1436" s="26" t="n">
        <v>9983975581</v>
      </c>
      <c r="I1436" s="38" t="inlineStr">
        <is>
          <t>PE01052601</t>
        </is>
      </c>
      <c r="J1436" s="26" t="inlineStr">
        <is>
          <t>Multiple Issues</t>
        </is>
      </c>
      <c r="K1436" s="39" t="inlineStr">
        <is>
          <t>Holi</t>
        </is>
      </c>
      <c r="L1436" s="39" t="inlineStr">
        <is>
          <t>Maharashtra</t>
        </is>
      </c>
      <c r="M1436" s="9" t="inlineStr">
        <is>
          <t>PS</t>
        </is>
      </c>
      <c r="N1436" s="3" t="inlineStr">
        <is>
          <t>Cold Soldering</t>
        </is>
      </c>
      <c r="O1436" s="39" t="n">
        <v>575</v>
      </c>
      <c r="P1436" s="46" t="inlineStr">
        <is>
          <t>NSMI24070194150</t>
        </is>
      </c>
      <c r="Q1436" s="53">
        <f>MID(P1436,5,2)</f>
        <v/>
      </c>
      <c r="R1436" s="53">
        <f>MID(P1436,7,2)</f>
        <v/>
      </c>
      <c r="S1436" s="3" t="inlineStr">
        <is>
          <t>G2G</t>
        </is>
      </c>
      <c r="T1436" s="3" t="inlineStr">
        <is>
          <t>P4</t>
        </is>
      </c>
      <c r="U1436" s="19" t="inlineStr">
        <is>
          <t>P JB Cold Soldering</t>
        </is>
      </c>
      <c r="V1436" s="19" t="inlineStr">
        <is>
          <t>Soldering</t>
        </is>
      </c>
      <c r="W1436" s="3" t="inlineStr">
        <is>
          <t>Repair</t>
        </is>
      </c>
      <c r="X1436" s="18" t="n">
        <v>46160</v>
      </c>
      <c r="Y1436" s="73">
        <f>IF(X1436="","",X1436-A1436)</f>
        <v/>
      </c>
      <c r="Z1436" s="18" t="n">
        <v>46160</v>
      </c>
      <c r="AA1436" s="15" t="n"/>
      <c r="AB1436" s="15" t="n"/>
      <c r="AF1436">
        <f>IF(AND($F1436="Closed",$X1436&gt;=DATE(2026,5,1),$X1436&lt;=DATE(2026,5,31)),"Closed in May","Other")</f>
        <v/>
      </c>
    </row>
    <row r="1437">
      <c r="A1437" s="37" t="n">
        <v>46143</v>
      </c>
      <c r="B1437" s="3" t="n">
        <v>2026</v>
      </c>
      <c r="C1437" s="26" t="inlineStr">
        <is>
          <t>Yanara Power</t>
        </is>
      </c>
      <c r="D1437" s="3" t="inlineStr">
        <is>
          <t>Utility and C&amp;I</t>
        </is>
      </c>
      <c r="E1437" s="3" t="n"/>
      <c r="F1437" s="3" t="inlineStr">
        <is>
          <t>Closed</t>
        </is>
      </c>
      <c r="G1437" s="9" t="inlineStr">
        <is>
          <t xml:space="preserve">Ashish Jindal </t>
        </is>
      </c>
      <c r="H1437" s="26" t="n">
        <v>9983975581</v>
      </c>
      <c r="I1437" s="38" t="inlineStr">
        <is>
          <t>PE01052601</t>
        </is>
      </c>
      <c r="J1437" s="26" t="inlineStr">
        <is>
          <t>Multiple Issues</t>
        </is>
      </c>
      <c r="K1437" s="39" t="inlineStr">
        <is>
          <t>Holi</t>
        </is>
      </c>
      <c r="L1437" s="39" t="inlineStr">
        <is>
          <t>Maharashtra</t>
        </is>
      </c>
      <c r="M1437" s="9" t="inlineStr">
        <is>
          <t>PS</t>
        </is>
      </c>
      <c r="N1437" s="3" t="inlineStr">
        <is>
          <t>Cold Soldering</t>
        </is>
      </c>
      <c r="O1437" s="39" t="n">
        <v>575</v>
      </c>
      <c r="P1437" s="46" t="inlineStr">
        <is>
          <t>NSMI24070195775</t>
        </is>
      </c>
      <c r="Q1437" s="53">
        <f>MID(P1437,5,2)</f>
        <v/>
      </c>
      <c r="R1437" s="53">
        <f>MID(P1437,7,2)</f>
        <v/>
      </c>
      <c r="S1437" s="3" t="inlineStr">
        <is>
          <t>G2G</t>
        </is>
      </c>
      <c r="T1437" s="3" t="inlineStr">
        <is>
          <t>P4</t>
        </is>
      </c>
      <c r="U1437" s="19" t="inlineStr">
        <is>
          <t>P JB Cold Soldering</t>
        </is>
      </c>
      <c r="V1437" s="19" t="inlineStr">
        <is>
          <t>Soldering</t>
        </is>
      </c>
      <c r="W1437" s="3" t="inlineStr">
        <is>
          <t>Repair</t>
        </is>
      </c>
      <c r="X1437" s="18" t="n">
        <v>46160</v>
      </c>
      <c r="Y1437" s="73">
        <f>IF(X1437="","",X1437-A1437)</f>
        <v/>
      </c>
      <c r="Z1437" s="18" t="n">
        <v>46160</v>
      </c>
      <c r="AA1437" s="15" t="n"/>
      <c r="AB1437" s="15" t="n"/>
      <c r="AF1437">
        <f>IF(AND($F1437="Closed",$X1437&gt;=DATE(2026,5,1),$X1437&lt;=DATE(2026,5,31)),"Closed in May","Other")</f>
        <v/>
      </c>
    </row>
    <row r="1438">
      <c r="A1438" s="37" t="n">
        <v>46143</v>
      </c>
      <c r="B1438" s="3" t="n">
        <v>2026</v>
      </c>
      <c r="C1438" s="26" t="inlineStr">
        <is>
          <t>Yanara Power</t>
        </is>
      </c>
      <c r="D1438" s="3" t="inlineStr">
        <is>
          <t>Utility and C&amp;I</t>
        </is>
      </c>
      <c r="E1438" s="3" t="n"/>
      <c r="F1438" s="3" t="inlineStr">
        <is>
          <t>Closed</t>
        </is>
      </c>
      <c r="G1438" s="9" t="inlineStr">
        <is>
          <t xml:space="preserve">Ashish Jindal </t>
        </is>
      </c>
      <c r="H1438" s="26" t="n">
        <v>9983975581</v>
      </c>
      <c r="I1438" s="38" t="inlineStr">
        <is>
          <t>PE01052601</t>
        </is>
      </c>
      <c r="J1438" s="26" t="inlineStr">
        <is>
          <t>Multiple Issues</t>
        </is>
      </c>
      <c r="K1438" s="39" t="inlineStr">
        <is>
          <t>Holi</t>
        </is>
      </c>
      <c r="L1438" s="39" t="inlineStr">
        <is>
          <t>Maharashtra</t>
        </is>
      </c>
      <c r="M1438" s="9" t="inlineStr">
        <is>
          <t>PS</t>
        </is>
      </c>
      <c r="N1438" s="3" t="inlineStr">
        <is>
          <t>Cold Soldering</t>
        </is>
      </c>
      <c r="O1438" s="39" t="n">
        <v>575</v>
      </c>
      <c r="P1438" s="46" t="inlineStr">
        <is>
          <t>NSMI24070192903</t>
        </is>
      </c>
      <c r="Q1438" s="53">
        <f>MID(P1438,5,2)</f>
        <v/>
      </c>
      <c r="R1438" s="53">
        <f>MID(P1438,7,2)</f>
        <v/>
      </c>
      <c r="S1438" s="3" t="inlineStr">
        <is>
          <t>G2G</t>
        </is>
      </c>
      <c r="T1438" s="3" t="inlineStr">
        <is>
          <t>P4</t>
        </is>
      </c>
      <c r="U1438" s="19" t="inlineStr">
        <is>
          <t>P JB Cold Soldering</t>
        </is>
      </c>
      <c r="V1438" s="19" t="inlineStr">
        <is>
          <t>Soldering</t>
        </is>
      </c>
      <c r="W1438" s="3" t="inlineStr">
        <is>
          <t>Repair</t>
        </is>
      </c>
      <c r="X1438" s="18" t="n">
        <v>46160</v>
      </c>
      <c r="Y1438" s="73">
        <f>IF(X1438="","",X1438-A1438)</f>
        <v/>
      </c>
      <c r="Z1438" s="18" t="n">
        <v>46160</v>
      </c>
      <c r="AA1438" s="15" t="n"/>
      <c r="AB1438" s="15" t="n"/>
      <c r="AF1438">
        <f>IF(AND($F1438="Closed",$X1438&gt;=DATE(2026,5,1),$X1438&lt;=DATE(2026,5,31)),"Closed in May","Other")</f>
        <v/>
      </c>
    </row>
    <row r="1439">
      <c r="A1439" s="37" t="n">
        <v>46143</v>
      </c>
      <c r="B1439" s="3" t="n">
        <v>2026</v>
      </c>
      <c r="C1439" s="26" t="inlineStr">
        <is>
          <t>Yanara Power</t>
        </is>
      </c>
      <c r="D1439" s="3" t="inlineStr">
        <is>
          <t>Utility and C&amp;I</t>
        </is>
      </c>
      <c r="E1439" s="3" t="n"/>
      <c r="F1439" s="3" t="inlineStr">
        <is>
          <t>Closed</t>
        </is>
      </c>
      <c r="G1439" s="9" t="inlineStr">
        <is>
          <t xml:space="preserve">Ashish Jindal </t>
        </is>
      </c>
      <c r="H1439" s="26" t="n">
        <v>9983975581</v>
      </c>
      <c r="I1439" s="38" t="inlineStr">
        <is>
          <t>PE01052601</t>
        </is>
      </c>
      <c r="J1439" s="26" t="inlineStr">
        <is>
          <t>Multiple Issues</t>
        </is>
      </c>
      <c r="K1439" s="39" t="inlineStr">
        <is>
          <t>Holi</t>
        </is>
      </c>
      <c r="L1439" s="39" t="inlineStr">
        <is>
          <t>Maharashtra</t>
        </is>
      </c>
      <c r="M1439" s="9" t="inlineStr">
        <is>
          <t>PNS</t>
        </is>
      </c>
      <c r="N1439" s="3" t="inlineStr">
        <is>
          <t>Cold Soldering</t>
        </is>
      </c>
      <c r="O1439" s="39" t="n">
        <v>575</v>
      </c>
      <c r="P1439" s="46" t="inlineStr">
        <is>
          <t>NSMI24070183637</t>
        </is>
      </c>
      <c r="Q1439" s="53">
        <f>MID(P1439,5,2)</f>
        <v/>
      </c>
      <c r="R1439" s="53">
        <f>MID(P1439,7,2)</f>
        <v/>
      </c>
      <c r="S1439" s="3" t="inlineStr">
        <is>
          <t>G2G</t>
        </is>
      </c>
      <c r="T1439" s="3" t="inlineStr">
        <is>
          <t>P4</t>
        </is>
      </c>
      <c r="U1439" s="3" t="inlineStr">
        <is>
          <t>P &amp; N JB Cold Soldering</t>
        </is>
      </c>
      <c r="V1439" s="3" t="inlineStr">
        <is>
          <t>Soldering</t>
        </is>
      </c>
      <c r="W1439" s="3" t="inlineStr">
        <is>
          <t>Repair</t>
        </is>
      </c>
      <c r="X1439" s="18" t="n">
        <v>46160</v>
      </c>
      <c r="Y1439" s="73">
        <f>IF(X1439="","",X1439-A1439)</f>
        <v/>
      </c>
      <c r="Z1439" s="18" t="n">
        <v>46160</v>
      </c>
      <c r="AA1439" s="15" t="n"/>
      <c r="AB1439" s="15" t="n"/>
      <c r="AF1439">
        <f>IF(AND($F1439="Closed",$X1439&gt;=DATE(2026,5,1),$X1439&lt;=DATE(2026,5,31)),"Closed in May","Other")</f>
        <v/>
      </c>
    </row>
    <row r="1440">
      <c r="A1440" s="37" t="n">
        <v>46143</v>
      </c>
      <c r="B1440" s="3" t="n">
        <v>2026</v>
      </c>
      <c r="C1440" s="26" t="inlineStr">
        <is>
          <t>Yanara Power</t>
        </is>
      </c>
      <c r="D1440" s="3" t="inlineStr">
        <is>
          <t>Utility and C&amp;I</t>
        </is>
      </c>
      <c r="E1440" s="3" t="n"/>
      <c r="F1440" s="3" t="inlineStr">
        <is>
          <t>Closed</t>
        </is>
      </c>
      <c r="G1440" s="9" t="inlineStr">
        <is>
          <t xml:space="preserve">Ashish Jindal </t>
        </is>
      </c>
      <c r="H1440" s="26" t="n">
        <v>9983975581</v>
      </c>
      <c r="I1440" s="38" t="inlineStr">
        <is>
          <t>PE01052601</t>
        </is>
      </c>
      <c r="J1440" s="26" t="inlineStr">
        <is>
          <t>Multiple Issues</t>
        </is>
      </c>
      <c r="K1440" s="39" t="inlineStr">
        <is>
          <t>Holi</t>
        </is>
      </c>
      <c r="L1440" s="39" t="inlineStr">
        <is>
          <t>Maharashtra</t>
        </is>
      </c>
      <c r="M1440" s="9" t="inlineStr">
        <is>
          <t>PS</t>
        </is>
      </c>
      <c r="N1440" s="3" t="inlineStr">
        <is>
          <t>Cold Soldering</t>
        </is>
      </c>
      <c r="O1440" s="39" t="n">
        <v>575</v>
      </c>
      <c r="P1440" s="46" t="inlineStr">
        <is>
          <t>NSMI24070183583</t>
        </is>
      </c>
      <c r="Q1440" s="53">
        <f>MID(P1440,5,2)</f>
        <v/>
      </c>
      <c r="R1440" s="53">
        <f>MID(P1440,7,2)</f>
        <v/>
      </c>
      <c r="S1440" s="3" t="inlineStr">
        <is>
          <t>G2G</t>
        </is>
      </c>
      <c r="T1440" s="3" t="inlineStr">
        <is>
          <t>P4</t>
        </is>
      </c>
      <c r="U1440" s="19" t="inlineStr">
        <is>
          <t>P JB Cold Soldering</t>
        </is>
      </c>
      <c r="V1440" s="19" t="inlineStr">
        <is>
          <t>Soldering</t>
        </is>
      </c>
      <c r="W1440" s="3" t="inlineStr">
        <is>
          <t>Repair</t>
        </is>
      </c>
      <c r="X1440" s="18" t="n">
        <v>46160</v>
      </c>
      <c r="Y1440" s="73">
        <f>IF(X1440="","",X1440-A1440)</f>
        <v/>
      </c>
      <c r="Z1440" s="18" t="n">
        <v>46160</v>
      </c>
      <c r="AA1440" s="15" t="n"/>
      <c r="AB1440" s="15" t="n"/>
      <c r="AF1440">
        <f>IF(AND($F1440="Closed",$X1440&gt;=DATE(2026,5,1),$X1440&lt;=DATE(2026,5,31)),"Closed in May","Other")</f>
        <v/>
      </c>
    </row>
    <row r="1441">
      <c r="A1441" s="37" t="n">
        <v>46143</v>
      </c>
      <c r="B1441" s="3" t="n">
        <v>2026</v>
      </c>
      <c r="C1441" s="26" t="inlineStr">
        <is>
          <t>Yanara Power</t>
        </is>
      </c>
      <c r="D1441" s="3" t="inlineStr">
        <is>
          <t>Utility and C&amp;I</t>
        </is>
      </c>
      <c r="E1441" s="3" t="n"/>
      <c r="F1441" s="3" t="inlineStr">
        <is>
          <t>Closed</t>
        </is>
      </c>
      <c r="G1441" s="9" t="inlineStr">
        <is>
          <t xml:space="preserve">Ashish Jindal </t>
        </is>
      </c>
      <c r="H1441" s="26" t="n">
        <v>9983975581</v>
      </c>
      <c r="I1441" s="38" t="inlineStr">
        <is>
          <t>PE01052601</t>
        </is>
      </c>
      <c r="J1441" s="26" t="inlineStr">
        <is>
          <t>Multiple Issues</t>
        </is>
      </c>
      <c r="K1441" s="39" t="inlineStr">
        <is>
          <t>Holi</t>
        </is>
      </c>
      <c r="L1441" s="39" t="inlineStr">
        <is>
          <t>Maharashtra</t>
        </is>
      </c>
      <c r="M1441" s="9" t="inlineStr">
        <is>
          <t>NS</t>
        </is>
      </c>
      <c r="N1441" s="3" t="inlineStr">
        <is>
          <t>Cold Soldering</t>
        </is>
      </c>
      <c r="O1441" s="39" t="n">
        <v>575</v>
      </c>
      <c r="P1441" s="46" t="inlineStr">
        <is>
          <t>NSMI24070181456</t>
        </is>
      </c>
      <c r="Q1441" s="53">
        <f>MID(P1441,5,2)</f>
        <v/>
      </c>
      <c r="R1441" s="53">
        <f>MID(P1441,7,2)</f>
        <v/>
      </c>
      <c r="S1441" s="3" t="inlineStr">
        <is>
          <t>G2G</t>
        </is>
      </c>
      <c r="T1441" s="3" t="inlineStr">
        <is>
          <t>P4</t>
        </is>
      </c>
      <c r="U1441" s="3" t="inlineStr">
        <is>
          <t>N JB Cold Soldering</t>
        </is>
      </c>
      <c r="V1441" s="3" t="inlineStr">
        <is>
          <t>Soldering</t>
        </is>
      </c>
      <c r="W1441" s="3" t="inlineStr">
        <is>
          <t>Repair</t>
        </is>
      </c>
      <c r="X1441" s="18" t="n">
        <v>46160</v>
      </c>
      <c r="Y1441" s="73">
        <f>IF(X1441="","",X1441-A1441)</f>
        <v/>
      </c>
      <c r="Z1441" s="18" t="n">
        <v>46160</v>
      </c>
      <c r="AA1441" s="15" t="n"/>
      <c r="AB1441" s="15" t="n"/>
      <c r="AF1441">
        <f>IF(AND($F1441="Closed",$X1441&gt;=DATE(2026,5,1),$X1441&lt;=DATE(2026,5,31)),"Closed in May","Other")</f>
        <v/>
      </c>
    </row>
    <row r="1442">
      <c r="A1442" s="37" t="n">
        <v>46143</v>
      </c>
      <c r="B1442" s="3" t="n">
        <v>2026</v>
      </c>
      <c r="C1442" s="26" t="inlineStr">
        <is>
          <t>Yanara Power</t>
        </is>
      </c>
      <c r="D1442" s="3" t="inlineStr">
        <is>
          <t>Utility and C&amp;I</t>
        </is>
      </c>
      <c r="E1442" s="3" t="n"/>
      <c r="F1442" s="3" t="inlineStr">
        <is>
          <t>Closed</t>
        </is>
      </c>
      <c r="G1442" s="9" t="inlineStr">
        <is>
          <t xml:space="preserve">Ashish Jindal </t>
        </is>
      </c>
      <c r="H1442" s="26" t="n">
        <v>9983975581</v>
      </c>
      <c r="I1442" s="38" t="inlineStr">
        <is>
          <t>PE01052601</t>
        </is>
      </c>
      <c r="J1442" s="26" t="inlineStr">
        <is>
          <t>Multiple Issues</t>
        </is>
      </c>
      <c r="K1442" s="39" t="inlineStr">
        <is>
          <t>Holi</t>
        </is>
      </c>
      <c r="L1442" s="39" t="inlineStr">
        <is>
          <t>Maharashtra</t>
        </is>
      </c>
      <c r="M1442" s="9" t="inlineStr">
        <is>
          <t>PS</t>
        </is>
      </c>
      <c r="N1442" s="3" t="inlineStr">
        <is>
          <t>Cold Soldering</t>
        </is>
      </c>
      <c r="O1442" s="39" t="n">
        <v>575</v>
      </c>
      <c r="P1442" s="46" t="inlineStr">
        <is>
          <t>NSMI24070183067</t>
        </is>
      </c>
      <c r="Q1442" s="53">
        <f>MID(P1442,5,2)</f>
        <v/>
      </c>
      <c r="R1442" s="53">
        <f>MID(P1442,7,2)</f>
        <v/>
      </c>
      <c r="S1442" s="3" t="inlineStr">
        <is>
          <t>G2G</t>
        </is>
      </c>
      <c r="T1442" s="3" t="inlineStr">
        <is>
          <t>P4</t>
        </is>
      </c>
      <c r="U1442" s="19" t="inlineStr">
        <is>
          <t>P JB Cold Soldering</t>
        </is>
      </c>
      <c r="V1442" s="19" t="inlineStr">
        <is>
          <t>Soldering</t>
        </is>
      </c>
      <c r="W1442" s="3" t="inlineStr">
        <is>
          <t>Repair</t>
        </is>
      </c>
      <c r="X1442" s="18" t="n">
        <v>46160</v>
      </c>
      <c r="Y1442" s="73">
        <f>IF(X1442="","",X1442-A1442)</f>
        <v/>
      </c>
      <c r="Z1442" s="18" t="n">
        <v>46160</v>
      </c>
      <c r="AA1442" s="15" t="n"/>
      <c r="AB1442" s="15" t="n"/>
      <c r="AF1442">
        <f>IF(AND($F1442="Closed",$X1442&gt;=DATE(2026,5,1),$X1442&lt;=DATE(2026,5,31)),"Closed in May","Other")</f>
        <v/>
      </c>
    </row>
    <row r="1443">
      <c r="A1443" s="37" t="n">
        <v>46143</v>
      </c>
      <c r="B1443" s="3" t="n">
        <v>2026</v>
      </c>
      <c r="C1443" s="26" t="inlineStr">
        <is>
          <t>Yanara Power</t>
        </is>
      </c>
      <c r="D1443" s="3" t="inlineStr">
        <is>
          <t>Utility and C&amp;I</t>
        </is>
      </c>
      <c r="E1443" s="3" t="n"/>
      <c r="F1443" s="3" t="inlineStr">
        <is>
          <t>Closed</t>
        </is>
      </c>
      <c r="G1443" s="9" t="inlineStr">
        <is>
          <t xml:space="preserve">Ashish Jindal </t>
        </is>
      </c>
      <c r="H1443" s="26" t="n">
        <v>9983975581</v>
      </c>
      <c r="I1443" s="38" t="inlineStr">
        <is>
          <t>PE01052601</t>
        </is>
      </c>
      <c r="J1443" s="26" t="inlineStr">
        <is>
          <t>Multiple Issues</t>
        </is>
      </c>
      <c r="K1443" s="39" t="inlineStr">
        <is>
          <t>Holi</t>
        </is>
      </c>
      <c r="L1443" s="39" t="inlineStr">
        <is>
          <t>Maharashtra</t>
        </is>
      </c>
      <c r="M1443" s="9" t="inlineStr">
        <is>
          <t>NS</t>
        </is>
      </c>
      <c r="N1443" s="3" t="inlineStr">
        <is>
          <t>Cold Soldering</t>
        </is>
      </c>
      <c r="O1443" s="39" t="n">
        <v>575</v>
      </c>
      <c r="P1443" s="46" t="inlineStr">
        <is>
          <t>NSMI24070181608</t>
        </is>
      </c>
      <c r="Q1443" s="53">
        <f>MID(P1443,5,2)</f>
        <v/>
      </c>
      <c r="R1443" s="53">
        <f>MID(P1443,7,2)</f>
        <v/>
      </c>
      <c r="S1443" s="3" t="inlineStr">
        <is>
          <t>G2G</t>
        </is>
      </c>
      <c r="T1443" s="3" t="inlineStr">
        <is>
          <t>P4</t>
        </is>
      </c>
      <c r="U1443" s="3" t="inlineStr">
        <is>
          <t>N JB Cold Soldering</t>
        </is>
      </c>
      <c r="V1443" s="3" t="inlineStr">
        <is>
          <t>Soldering</t>
        </is>
      </c>
      <c r="W1443" s="3" t="inlineStr">
        <is>
          <t>Repair</t>
        </is>
      </c>
      <c r="X1443" s="18" t="n">
        <v>46160</v>
      </c>
      <c r="Y1443" s="73">
        <f>IF(X1443="","",X1443-A1443)</f>
        <v/>
      </c>
      <c r="Z1443" s="18" t="n">
        <v>46160</v>
      </c>
      <c r="AA1443" s="15" t="n"/>
      <c r="AB1443" s="15" t="n"/>
      <c r="AF1443">
        <f>IF(AND($F1443="Closed",$X1443&gt;=DATE(2026,5,1),$X1443&lt;=DATE(2026,5,31)),"Closed in May","Other")</f>
        <v/>
      </c>
    </row>
    <row r="1444">
      <c r="A1444" s="37" t="n">
        <v>46143</v>
      </c>
      <c r="B1444" s="3" t="n">
        <v>2026</v>
      </c>
      <c r="C1444" s="26" t="inlineStr">
        <is>
          <t>Yanara Power</t>
        </is>
      </c>
      <c r="D1444" s="3" t="inlineStr">
        <is>
          <t>Utility and C&amp;I</t>
        </is>
      </c>
      <c r="E1444" s="3" t="n"/>
      <c r="F1444" s="3" t="inlineStr">
        <is>
          <t>Closed</t>
        </is>
      </c>
      <c r="G1444" s="9" t="inlineStr">
        <is>
          <t xml:space="preserve">Ashish Jindal </t>
        </is>
      </c>
      <c r="H1444" s="26" t="n">
        <v>9983975581</v>
      </c>
      <c r="I1444" s="38" t="inlineStr">
        <is>
          <t>PE01052601</t>
        </is>
      </c>
      <c r="J1444" s="26" t="inlineStr">
        <is>
          <t>Multiple Issues</t>
        </is>
      </c>
      <c r="K1444" s="39" t="inlineStr">
        <is>
          <t>Holi</t>
        </is>
      </c>
      <c r="L1444" s="39" t="inlineStr">
        <is>
          <t>Maharashtra</t>
        </is>
      </c>
      <c r="M1444" s="9" t="inlineStr">
        <is>
          <t>PS</t>
        </is>
      </c>
      <c r="N1444" s="3" t="inlineStr">
        <is>
          <t>Cold Soldering</t>
        </is>
      </c>
      <c r="O1444" s="39" t="n">
        <v>575</v>
      </c>
      <c r="P1444" s="46" t="inlineStr">
        <is>
          <t>NSMI24070181554</t>
        </is>
      </c>
      <c r="Q1444" s="53">
        <f>MID(P1444,5,2)</f>
        <v/>
      </c>
      <c r="R1444" s="53">
        <f>MID(P1444,7,2)</f>
        <v/>
      </c>
      <c r="S1444" s="3" t="inlineStr">
        <is>
          <t>G2G</t>
        </is>
      </c>
      <c r="T1444" s="3" t="inlineStr">
        <is>
          <t>P4</t>
        </is>
      </c>
      <c r="U1444" s="19" t="inlineStr">
        <is>
          <t>P JB Cold Soldering</t>
        </is>
      </c>
      <c r="V1444" s="19" t="inlineStr">
        <is>
          <t>Soldering</t>
        </is>
      </c>
      <c r="W1444" s="3" t="inlineStr">
        <is>
          <t>Repair</t>
        </is>
      </c>
      <c r="X1444" s="18" t="n">
        <v>46160</v>
      </c>
      <c r="Y1444" s="73">
        <f>IF(X1444="","",X1444-A1444)</f>
        <v/>
      </c>
      <c r="Z1444" s="18" t="n">
        <v>46160</v>
      </c>
      <c r="AA1444" s="15" t="n"/>
      <c r="AB1444" s="15" t="n"/>
      <c r="AF1444">
        <f>IF(AND($F1444="Closed",$X1444&gt;=DATE(2026,5,1),$X1444&lt;=DATE(2026,5,31)),"Closed in May","Other")</f>
        <v/>
      </c>
    </row>
    <row r="1445">
      <c r="A1445" s="37" t="n">
        <v>46143</v>
      </c>
      <c r="B1445" s="3" t="n">
        <v>2026</v>
      </c>
      <c r="C1445" s="26" t="inlineStr">
        <is>
          <t>Yanara Power</t>
        </is>
      </c>
      <c r="D1445" s="3" t="inlineStr">
        <is>
          <t>Utility and C&amp;I</t>
        </is>
      </c>
      <c r="E1445" s="3" t="n"/>
      <c r="F1445" s="3" t="inlineStr">
        <is>
          <t>Closed</t>
        </is>
      </c>
      <c r="G1445" s="9" t="inlineStr">
        <is>
          <t xml:space="preserve">Ashish Jindal </t>
        </is>
      </c>
      <c r="H1445" s="26" t="n">
        <v>9983975581</v>
      </c>
      <c r="I1445" s="38" t="inlineStr">
        <is>
          <t>PE01052601</t>
        </is>
      </c>
      <c r="J1445" s="26" t="inlineStr">
        <is>
          <t>Multiple Issues</t>
        </is>
      </c>
      <c r="K1445" s="39" t="inlineStr">
        <is>
          <t>Holi</t>
        </is>
      </c>
      <c r="L1445" s="39" t="inlineStr">
        <is>
          <t>Maharashtra</t>
        </is>
      </c>
      <c r="M1445" s="9" t="inlineStr">
        <is>
          <t>PS</t>
        </is>
      </c>
      <c r="N1445" s="3" t="inlineStr">
        <is>
          <t>Cold Soldering</t>
        </is>
      </c>
      <c r="O1445" s="39" t="n">
        <v>575</v>
      </c>
      <c r="P1445" s="46" t="inlineStr">
        <is>
          <t>NSMI24070216130</t>
        </is>
      </c>
      <c r="Q1445" s="53">
        <f>MID(P1445,5,2)</f>
        <v/>
      </c>
      <c r="R1445" s="53">
        <f>MID(P1445,7,2)</f>
        <v/>
      </c>
      <c r="S1445" s="3" t="inlineStr">
        <is>
          <t>G2G</t>
        </is>
      </c>
      <c r="T1445" s="3" t="inlineStr">
        <is>
          <t>P4</t>
        </is>
      </c>
      <c r="U1445" s="19" t="inlineStr">
        <is>
          <t>P JB Cold Soldering</t>
        </is>
      </c>
      <c r="V1445" s="19" t="inlineStr">
        <is>
          <t>Soldering</t>
        </is>
      </c>
      <c r="W1445" s="3" t="inlineStr">
        <is>
          <t>Repair</t>
        </is>
      </c>
      <c r="X1445" s="18" t="n">
        <v>46160</v>
      </c>
      <c r="Y1445" s="73">
        <f>IF(X1445="","",X1445-A1445)</f>
        <v/>
      </c>
      <c r="Z1445" s="18" t="n">
        <v>46160</v>
      </c>
      <c r="AA1445" s="15" t="n"/>
      <c r="AB1445" s="15" t="n"/>
      <c r="AF1445">
        <f>IF(AND($F1445="Closed",$X1445&gt;=DATE(2026,5,1),$X1445&lt;=DATE(2026,5,31)),"Closed in May","Other")</f>
        <v/>
      </c>
    </row>
    <row r="1446">
      <c r="A1446" s="37" t="n">
        <v>46143</v>
      </c>
      <c r="B1446" s="3" t="n">
        <v>2026</v>
      </c>
      <c r="C1446" s="26" t="inlineStr">
        <is>
          <t>Yanara Power</t>
        </is>
      </c>
      <c r="D1446" s="3" t="inlineStr">
        <is>
          <t>Utility and C&amp;I</t>
        </is>
      </c>
      <c r="E1446" s="3" t="n"/>
      <c r="F1446" s="3" t="inlineStr">
        <is>
          <t>Closed</t>
        </is>
      </c>
      <c r="G1446" s="9" t="inlineStr">
        <is>
          <t xml:space="preserve">Ashish Jindal </t>
        </is>
      </c>
      <c r="H1446" s="26" t="n">
        <v>9983975581</v>
      </c>
      <c r="I1446" s="38" t="inlineStr">
        <is>
          <t>PE01052601</t>
        </is>
      </c>
      <c r="J1446" s="26" t="inlineStr">
        <is>
          <t>Multiple Issues</t>
        </is>
      </c>
      <c r="K1446" s="39" t="inlineStr">
        <is>
          <t>Holi</t>
        </is>
      </c>
      <c r="L1446" s="39" t="inlineStr">
        <is>
          <t>Maharashtra</t>
        </is>
      </c>
      <c r="M1446" s="9" t="inlineStr">
        <is>
          <t>PNS</t>
        </is>
      </c>
      <c r="N1446" s="3" t="inlineStr">
        <is>
          <t>Cold Soldering</t>
        </is>
      </c>
      <c r="O1446" s="39" t="n">
        <v>575</v>
      </c>
      <c r="P1446" s="46" t="inlineStr">
        <is>
          <t>NSMI24070204753</t>
        </is>
      </c>
      <c r="Q1446" s="53">
        <f>MID(P1446,5,2)</f>
        <v/>
      </c>
      <c r="R1446" s="53">
        <f>MID(P1446,7,2)</f>
        <v/>
      </c>
      <c r="S1446" s="3" t="inlineStr">
        <is>
          <t>G2G</t>
        </is>
      </c>
      <c r="T1446" s="3" t="inlineStr">
        <is>
          <t>P4</t>
        </is>
      </c>
      <c r="U1446" s="3" t="inlineStr">
        <is>
          <t>P &amp; N JB Cold Soldering</t>
        </is>
      </c>
      <c r="V1446" s="3" t="inlineStr">
        <is>
          <t>Soldering</t>
        </is>
      </c>
      <c r="W1446" s="3" t="inlineStr">
        <is>
          <t>Repair</t>
        </is>
      </c>
      <c r="X1446" s="18" t="n">
        <v>46160</v>
      </c>
      <c r="Y1446" s="73">
        <f>IF(X1446="","",X1446-A1446)</f>
        <v/>
      </c>
      <c r="Z1446" s="18" t="n">
        <v>46160</v>
      </c>
      <c r="AA1446" s="15" t="n"/>
      <c r="AB1446" s="15" t="n"/>
      <c r="AF1446">
        <f>IF(AND($F1446="Closed",$X1446&gt;=DATE(2026,5,1),$X1446&lt;=DATE(2026,5,31)),"Closed in May","Other")</f>
        <v/>
      </c>
    </row>
    <row r="1447">
      <c r="A1447" s="37" t="n">
        <v>46143</v>
      </c>
      <c r="B1447" s="3" t="n">
        <v>2026</v>
      </c>
      <c r="C1447" s="26" t="inlineStr">
        <is>
          <t>Yanara Power</t>
        </is>
      </c>
      <c r="D1447" s="3" t="inlineStr">
        <is>
          <t>Utility and C&amp;I</t>
        </is>
      </c>
      <c r="E1447" s="3" t="n"/>
      <c r="F1447" s="3" t="inlineStr">
        <is>
          <t>Closed</t>
        </is>
      </c>
      <c r="G1447" s="9" t="inlineStr">
        <is>
          <t xml:space="preserve">Ashish Jindal </t>
        </is>
      </c>
      <c r="H1447" s="26" t="n">
        <v>9983975581</v>
      </c>
      <c r="I1447" s="38" t="inlineStr">
        <is>
          <t>PE01052601</t>
        </is>
      </c>
      <c r="J1447" s="26" t="inlineStr">
        <is>
          <t>Multiple Issues</t>
        </is>
      </c>
      <c r="K1447" s="39" t="inlineStr">
        <is>
          <t>Holi</t>
        </is>
      </c>
      <c r="L1447" s="39" t="inlineStr">
        <is>
          <t>Maharashtra</t>
        </is>
      </c>
      <c r="M1447" s="9" t="inlineStr">
        <is>
          <t>PS</t>
        </is>
      </c>
      <c r="N1447" s="3" t="inlineStr">
        <is>
          <t>Cold Soldering</t>
        </is>
      </c>
      <c r="O1447" s="39" t="n">
        <v>575</v>
      </c>
      <c r="P1447" s="46" t="inlineStr">
        <is>
          <t>NSMI24070182218</t>
        </is>
      </c>
      <c r="Q1447" s="53">
        <f>MID(P1447,5,2)</f>
        <v/>
      </c>
      <c r="R1447" s="53">
        <f>MID(P1447,7,2)</f>
        <v/>
      </c>
      <c r="S1447" s="3" t="inlineStr">
        <is>
          <t>G2G</t>
        </is>
      </c>
      <c r="T1447" s="3" t="inlineStr">
        <is>
          <t>P4</t>
        </is>
      </c>
      <c r="U1447" s="19" t="inlineStr">
        <is>
          <t>P JB Cold Soldering</t>
        </is>
      </c>
      <c r="V1447" s="19" t="inlineStr">
        <is>
          <t>Soldering</t>
        </is>
      </c>
      <c r="W1447" s="3" t="inlineStr">
        <is>
          <t>Repair</t>
        </is>
      </c>
      <c r="X1447" s="18" t="n">
        <v>46160</v>
      </c>
      <c r="Y1447" s="73">
        <f>IF(X1447="","",X1447-A1447)</f>
        <v/>
      </c>
      <c r="Z1447" s="18" t="n">
        <v>46160</v>
      </c>
      <c r="AA1447" s="15" t="n"/>
      <c r="AB1447" s="15" t="n"/>
      <c r="AF1447">
        <f>IF(AND($F1447="Closed",$X1447&gt;=DATE(2026,5,1),$X1447&lt;=DATE(2026,5,31)),"Closed in May","Other")</f>
        <v/>
      </c>
    </row>
    <row r="1448">
      <c r="A1448" s="37" t="n">
        <v>46143</v>
      </c>
      <c r="B1448" s="3" t="n">
        <v>2026</v>
      </c>
      <c r="C1448" s="26" t="inlineStr">
        <is>
          <t>Yanara Power</t>
        </is>
      </c>
      <c r="D1448" s="3" t="inlineStr">
        <is>
          <t>Utility and C&amp;I</t>
        </is>
      </c>
      <c r="E1448" s="3" t="n"/>
      <c r="F1448" s="3" t="inlineStr">
        <is>
          <t>Closed</t>
        </is>
      </c>
      <c r="G1448" s="9" t="inlineStr">
        <is>
          <t xml:space="preserve">Ashish Jindal </t>
        </is>
      </c>
      <c r="H1448" s="26" t="n">
        <v>9983975581</v>
      </c>
      <c r="I1448" s="38" t="inlineStr">
        <is>
          <t>PE01052601</t>
        </is>
      </c>
      <c r="J1448" s="26" t="inlineStr">
        <is>
          <t>Multiple Issues</t>
        </is>
      </c>
      <c r="K1448" s="39" t="inlineStr">
        <is>
          <t>Holi</t>
        </is>
      </c>
      <c r="L1448" s="39" t="inlineStr">
        <is>
          <t>Maharashtra</t>
        </is>
      </c>
      <c r="M1448" s="9" t="inlineStr">
        <is>
          <t>NS</t>
        </is>
      </c>
      <c r="N1448" s="3" t="inlineStr">
        <is>
          <t>Cold Soldering</t>
        </is>
      </c>
      <c r="O1448" s="39" t="n">
        <v>575</v>
      </c>
      <c r="P1448" s="46" t="inlineStr">
        <is>
          <t>NSMI24070182150</t>
        </is>
      </c>
      <c r="Q1448" s="53">
        <f>MID(P1448,5,2)</f>
        <v/>
      </c>
      <c r="R1448" s="53">
        <f>MID(P1448,7,2)</f>
        <v/>
      </c>
      <c r="S1448" s="3" t="inlineStr">
        <is>
          <t>G2G</t>
        </is>
      </c>
      <c r="T1448" s="3" t="inlineStr">
        <is>
          <t>P4</t>
        </is>
      </c>
      <c r="U1448" s="3" t="inlineStr">
        <is>
          <t>N JB Cold Soldering</t>
        </is>
      </c>
      <c r="V1448" s="3" t="inlineStr">
        <is>
          <t>Soldering</t>
        </is>
      </c>
      <c r="W1448" s="3" t="inlineStr">
        <is>
          <t>Repair</t>
        </is>
      </c>
      <c r="X1448" s="18" t="n">
        <v>46160</v>
      </c>
      <c r="Y1448" s="73">
        <f>IF(X1448="","",X1448-A1448)</f>
        <v/>
      </c>
      <c r="Z1448" s="18" t="n">
        <v>46160</v>
      </c>
      <c r="AA1448" s="15" t="n"/>
      <c r="AB1448" s="15" t="n"/>
      <c r="AF1448">
        <f>IF(AND($F1448="Closed",$X1448&gt;=DATE(2026,5,1),$X1448&lt;=DATE(2026,5,31)),"Closed in May","Other")</f>
        <v/>
      </c>
    </row>
    <row r="1449">
      <c r="A1449" s="37" t="n">
        <v>46143</v>
      </c>
      <c r="B1449" s="3" t="n">
        <v>2026</v>
      </c>
      <c r="C1449" s="26" t="inlineStr">
        <is>
          <t>Yanara Power</t>
        </is>
      </c>
      <c r="D1449" s="3" t="inlineStr">
        <is>
          <t>Utility and C&amp;I</t>
        </is>
      </c>
      <c r="E1449" s="3" t="n"/>
      <c r="F1449" s="3" t="inlineStr">
        <is>
          <t>Closed</t>
        </is>
      </c>
      <c r="G1449" s="9" t="inlineStr">
        <is>
          <t xml:space="preserve">Ashish Jindal </t>
        </is>
      </c>
      <c r="H1449" s="26" t="n">
        <v>9983975581</v>
      </c>
      <c r="I1449" s="38" t="inlineStr">
        <is>
          <t>PE01052601</t>
        </is>
      </c>
      <c r="J1449" s="26" t="inlineStr">
        <is>
          <t>Multiple Issues</t>
        </is>
      </c>
      <c r="K1449" s="39" t="inlineStr">
        <is>
          <t>Holi</t>
        </is>
      </c>
      <c r="L1449" s="39" t="inlineStr">
        <is>
          <t>Maharashtra</t>
        </is>
      </c>
      <c r="M1449" s="9" t="inlineStr">
        <is>
          <t>PNS</t>
        </is>
      </c>
      <c r="N1449" s="3" t="inlineStr">
        <is>
          <t>Cold Soldering</t>
        </is>
      </c>
      <c r="O1449" s="39" t="n">
        <v>575</v>
      </c>
      <c r="P1449" s="46" t="inlineStr">
        <is>
          <t>NSMI24070176366</t>
        </is>
      </c>
      <c r="Q1449" s="53">
        <f>MID(P1449,5,2)</f>
        <v/>
      </c>
      <c r="R1449" s="53">
        <f>MID(P1449,7,2)</f>
        <v/>
      </c>
      <c r="S1449" s="3" t="inlineStr">
        <is>
          <t>G2G</t>
        </is>
      </c>
      <c r="T1449" s="3" t="inlineStr">
        <is>
          <t>P4</t>
        </is>
      </c>
      <c r="U1449" s="3" t="inlineStr">
        <is>
          <t>P &amp; N JB Cold Soldering</t>
        </is>
      </c>
      <c r="V1449" s="3" t="inlineStr">
        <is>
          <t>Soldering</t>
        </is>
      </c>
      <c r="W1449" s="3" t="inlineStr">
        <is>
          <t>Repair</t>
        </is>
      </c>
      <c r="X1449" s="18" t="n">
        <v>46160</v>
      </c>
      <c r="Y1449" s="73">
        <f>IF(X1449="","",X1449-A1449)</f>
        <v/>
      </c>
      <c r="Z1449" s="18" t="n">
        <v>46160</v>
      </c>
      <c r="AA1449" s="15" t="n"/>
      <c r="AB1449" s="15" t="n"/>
      <c r="AF1449">
        <f>IF(AND($F1449="Closed",$X1449&gt;=DATE(2026,5,1),$X1449&lt;=DATE(2026,5,31)),"Closed in May","Other")</f>
        <v/>
      </c>
    </row>
    <row r="1450">
      <c r="A1450" s="37" t="n">
        <v>46143</v>
      </c>
      <c r="B1450" s="3" t="n">
        <v>2026</v>
      </c>
      <c r="C1450" s="26" t="inlineStr">
        <is>
          <t>Yanara Power</t>
        </is>
      </c>
      <c r="D1450" s="3" t="inlineStr">
        <is>
          <t>Utility and C&amp;I</t>
        </is>
      </c>
      <c r="E1450" s="3" t="n"/>
      <c r="F1450" s="3" t="inlineStr">
        <is>
          <t>Closed</t>
        </is>
      </c>
      <c r="G1450" s="9" t="inlineStr">
        <is>
          <t xml:space="preserve">Ashish Jindal </t>
        </is>
      </c>
      <c r="H1450" s="26" t="n">
        <v>9983975581</v>
      </c>
      <c r="I1450" s="38" t="inlineStr">
        <is>
          <t>PE01052601</t>
        </is>
      </c>
      <c r="J1450" s="26" t="inlineStr">
        <is>
          <t>Multiple Issues</t>
        </is>
      </c>
      <c r="K1450" s="39" t="inlineStr">
        <is>
          <t>Holi</t>
        </is>
      </c>
      <c r="L1450" s="39" t="inlineStr">
        <is>
          <t>Maharashtra</t>
        </is>
      </c>
      <c r="M1450" s="9" t="inlineStr">
        <is>
          <t>PS</t>
        </is>
      </c>
      <c r="N1450" s="3" t="inlineStr">
        <is>
          <t>Cold Soldering</t>
        </is>
      </c>
      <c r="O1450" s="39" t="n">
        <v>575</v>
      </c>
      <c r="P1450" s="46" t="inlineStr">
        <is>
          <t>NSMI24070175336</t>
        </is>
      </c>
      <c r="Q1450" s="53">
        <f>MID(P1450,5,2)</f>
        <v/>
      </c>
      <c r="R1450" s="53">
        <f>MID(P1450,7,2)</f>
        <v/>
      </c>
      <c r="S1450" s="3" t="inlineStr">
        <is>
          <t>G2G</t>
        </is>
      </c>
      <c r="T1450" s="3" t="inlineStr">
        <is>
          <t>P4</t>
        </is>
      </c>
      <c r="U1450" s="19" t="inlineStr">
        <is>
          <t>P JB Cold Soldering</t>
        </is>
      </c>
      <c r="V1450" s="19" t="inlineStr">
        <is>
          <t>Soldering</t>
        </is>
      </c>
      <c r="W1450" s="3" t="inlineStr">
        <is>
          <t>Repair</t>
        </is>
      </c>
      <c r="X1450" s="18" t="n">
        <v>46160</v>
      </c>
      <c r="Y1450" s="73">
        <f>IF(X1450="","",X1450-A1450)</f>
        <v/>
      </c>
      <c r="Z1450" s="18" t="n">
        <v>46160</v>
      </c>
      <c r="AA1450" s="15" t="n"/>
      <c r="AB1450" s="15" t="n"/>
      <c r="AF1450">
        <f>IF(AND($F1450="Closed",$X1450&gt;=DATE(2026,5,1),$X1450&lt;=DATE(2026,5,31)),"Closed in May","Other")</f>
        <v/>
      </c>
    </row>
    <row r="1451">
      <c r="A1451" s="37" t="n">
        <v>46143</v>
      </c>
      <c r="B1451" s="3" t="n">
        <v>2026</v>
      </c>
      <c r="C1451" s="26" t="inlineStr">
        <is>
          <t>Yanara Power</t>
        </is>
      </c>
      <c r="D1451" s="3" t="inlineStr">
        <is>
          <t>Utility and C&amp;I</t>
        </is>
      </c>
      <c r="E1451" s="3" t="n"/>
      <c r="F1451" s="3" t="inlineStr">
        <is>
          <t>Closed</t>
        </is>
      </c>
      <c r="G1451" s="9" t="inlineStr">
        <is>
          <t xml:space="preserve">Ashish Jindal </t>
        </is>
      </c>
      <c r="H1451" s="26" t="n">
        <v>9983975581</v>
      </c>
      <c r="I1451" s="38" t="inlineStr">
        <is>
          <t>PE01052601</t>
        </is>
      </c>
      <c r="J1451" s="26" t="inlineStr">
        <is>
          <t>Multiple Issues</t>
        </is>
      </c>
      <c r="K1451" s="39" t="inlineStr">
        <is>
          <t>Holi</t>
        </is>
      </c>
      <c r="L1451" s="39" t="inlineStr">
        <is>
          <t>Maharashtra</t>
        </is>
      </c>
      <c r="M1451" s="9" t="inlineStr">
        <is>
          <t>PS</t>
        </is>
      </c>
      <c r="N1451" s="3" t="inlineStr">
        <is>
          <t>Cold Soldering</t>
        </is>
      </c>
      <c r="O1451" s="39" t="n">
        <v>575</v>
      </c>
      <c r="P1451" s="46" t="inlineStr">
        <is>
          <t>NSMI24070203099</t>
        </is>
      </c>
      <c r="Q1451" s="53">
        <f>MID(P1451,5,2)</f>
        <v/>
      </c>
      <c r="R1451" s="53">
        <f>MID(P1451,7,2)</f>
        <v/>
      </c>
      <c r="S1451" s="3" t="inlineStr">
        <is>
          <t>G2G</t>
        </is>
      </c>
      <c r="T1451" s="3" t="inlineStr">
        <is>
          <t>P4</t>
        </is>
      </c>
      <c r="U1451" s="19" t="inlineStr">
        <is>
          <t>P JB Cold Soldering</t>
        </is>
      </c>
      <c r="V1451" s="19" t="inlineStr">
        <is>
          <t>Soldering</t>
        </is>
      </c>
      <c r="W1451" s="3" t="inlineStr">
        <is>
          <t>Repair</t>
        </is>
      </c>
      <c r="X1451" s="18" t="n">
        <v>46160</v>
      </c>
      <c r="Y1451" s="73">
        <f>IF(X1451="","",X1451-A1451)</f>
        <v/>
      </c>
      <c r="Z1451" s="18" t="n">
        <v>46160</v>
      </c>
      <c r="AA1451" s="15" t="n"/>
      <c r="AB1451" s="15" t="n"/>
      <c r="AF1451">
        <f>IF(AND($F1451="Closed",$X1451&gt;=DATE(2026,5,1),$X1451&lt;=DATE(2026,5,31)),"Closed in May","Other")</f>
        <v/>
      </c>
    </row>
    <row r="1452">
      <c r="A1452" s="37" t="n">
        <v>46143</v>
      </c>
      <c r="B1452" s="3" t="n">
        <v>2026</v>
      </c>
      <c r="C1452" s="26" t="inlineStr">
        <is>
          <t>Yanara Power</t>
        </is>
      </c>
      <c r="D1452" s="3" t="inlineStr">
        <is>
          <t>Utility and C&amp;I</t>
        </is>
      </c>
      <c r="E1452" s="3" t="n"/>
      <c r="F1452" s="3" t="inlineStr">
        <is>
          <t>Closed</t>
        </is>
      </c>
      <c r="G1452" s="9" t="inlineStr">
        <is>
          <t xml:space="preserve">Ashish Jindal </t>
        </is>
      </c>
      <c r="H1452" s="26" t="n">
        <v>9983975581</v>
      </c>
      <c r="I1452" s="38" t="inlineStr">
        <is>
          <t>PE01052601</t>
        </is>
      </c>
      <c r="J1452" s="26" t="inlineStr">
        <is>
          <t>Multiple Issues</t>
        </is>
      </c>
      <c r="K1452" s="39" t="inlineStr">
        <is>
          <t>Holi</t>
        </is>
      </c>
      <c r="L1452" s="39" t="inlineStr">
        <is>
          <t>Maharashtra</t>
        </is>
      </c>
      <c r="M1452" s="9" t="inlineStr">
        <is>
          <t>PS</t>
        </is>
      </c>
      <c r="N1452" s="3" t="inlineStr">
        <is>
          <t>Cold Soldering</t>
        </is>
      </c>
      <c r="O1452" s="39" t="n">
        <v>575</v>
      </c>
      <c r="P1452" s="46" t="inlineStr">
        <is>
          <t>NSMI24070220111</t>
        </is>
      </c>
      <c r="Q1452" s="53">
        <f>MID(P1452,5,2)</f>
        <v/>
      </c>
      <c r="R1452" s="53">
        <f>MID(P1452,7,2)</f>
        <v/>
      </c>
      <c r="S1452" s="3" t="inlineStr">
        <is>
          <t>G2G</t>
        </is>
      </c>
      <c r="T1452" s="3" t="inlineStr">
        <is>
          <t>P4</t>
        </is>
      </c>
      <c r="U1452" s="19" t="inlineStr">
        <is>
          <t>P JB Cold Soldering</t>
        </is>
      </c>
      <c r="V1452" s="19" t="inlineStr">
        <is>
          <t>Soldering</t>
        </is>
      </c>
      <c r="W1452" s="3" t="inlineStr">
        <is>
          <t>Repair</t>
        </is>
      </c>
      <c r="X1452" s="18" t="n">
        <v>46160</v>
      </c>
      <c r="Y1452" s="73">
        <f>IF(X1452="","",X1452-A1452)</f>
        <v/>
      </c>
      <c r="Z1452" s="18" t="n">
        <v>46160</v>
      </c>
      <c r="AA1452" s="15" t="n"/>
      <c r="AB1452" s="15" t="n"/>
      <c r="AF1452">
        <f>IF(AND($F1452="Closed",$X1452&gt;=DATE(2026,5,1),$X1452&lt;=DATE(2026,5,31)),"Closed in May","Other")</f>
        <v/>
      </c>
    </row>
    <row r="1453">
      <c r="A1453" s="37" t="n">
        <v>46143</v>
      </c>
      <c r="B1453" s="3" t="n">
        <v>2026</v>
      </c>
      <c r="C1453" s="26" t="inlineStr">
        <is>
          <t>Yanara Power</t>
        </is>
      </c>
      <c r="D1453" s="3" t="inlineStr">
        <is>
          <t>Utility and C&amp;I</t>
        </is>
      </c>
      <c r="E1453" s="3" t="n"/>
      <c r="F1453" s="3" t="inlineStr">
        <is>
          <t>Closed</t>
        </is>
      </c>
      <c r="G1453" s="9" t="inlineStr">
        <is>
          <t xml:space="preserve">Ashish Jindal </t>
        </is>
      </c>
      <c r="H1453" s="26" t="n">
        <v>9983975581</v>
      </c>
      <c r="I1453" s="38" t="inlineStr">
        <is>
          <t>PE01052601</t>
        </is>
      </c>
      <c r="J1453" s="26" t="inlineStr">
        <is>
          <t>Multiple Issues</t>
        </is>
      </c>
      <c r="K1453" s="39" t="inlineStr">
        <is>
          <t>Holi</t>
        </is>
      </c>
      <c r="L1453" s="39" t="inlineStr">
        <is>
          <t>Maharashtra</t>
        </is>
      </c>
      <c r="M1453" s="9" t="inlineStr">
        <is>
          <t>NS</t>
        </is>
      </c>
      <c r="N1453" s="3" t="inlineStr">
        <is>
          <t>Cold Soldering</t>
        </is>
      </c>
      <c r="O1453" s="39" t="n">
        <v>575</v>
      </c>
      <c r="P1453" s="46" t="inlineStr">
        <is>
          <t>NSMI24070193841</t>
        </is>
      </c>
      <c r="Q1453" s="53">
        <f>MID(P1453,5,2)</f>
        <v/>
      </c>
      <c r="R1453" s="53">
        <f>MID(P1453,7,2)</f>
        <v/>
      </c>
      <c r="S1453" s="3" t="inlineStr">
        <is>
          <t>G2G</t>
        </is>
      </c>
      <c r="T1453" s="3" t="inlineStr">
        <is>
          <t>P4</t>
        </is>
      </c>
      <c r="U1453" s="3" t="inlineStr">
        <is>
          <t>N JB Cold Soldering</t>
        </is>
      </c>
      <c r="V1453" s="3" t="inlineStr">
        <is>
          <t>Soldering</t>
        </is>
      </c>
      <c r="W1453" s="3" t="inlineStr">
        <is>
          <t>Repair</t>
        </is>
      </c>
      <c r="X1453" s="18" t="n">
        <v>46160</v>
      </c>
      <c r="Y1453" s="73">
        <f>IF(X1453="","",X1453-A1453)</f>
        <v/>
      </c>
      <c r="Z1453" s="18" t="n">
        <v>46160</v>
      </c>
      <c r="AA1453" s="15" t="n"/>
      <c r="AB1453" s="15" t="n"/>
      <c r="AF1453">
        <f>IF(AND($F1453="Closed",$X1453&gt;=DATE(2026,5,1),$X1453&lt;=DATE(2026,5,31)),"Closed in May","Other")</f>
        <v/>
      </c>
    </row>
    <row r="1454">
      <c r="A1454" s="37" t="n">
        <v>46143</v>
      </c>
      <c r="B1454" s="3" t="n">
        <v>2026</v>
      </c>
      <c r="C1454" s="26" t="inlineStr">
        <is>
          <t>Yanara Power</t>
        </is>
      </c>
      <c r="D1454" s="3" t="inlineStr">
        <is>
          <t>Utility and C&amp;I</t>
        </is>
      </c>
      <c r="E1454" s="3" t="n"/>
      <c r="F1454" s="3" t="inlineStr">
        <is>
          <t>Closed</t>
        </is>
      </c>
      <c r="G1454" s="9" t="inlineStr">
        <is>
          <t xml:space="preserve">Ashish Jindal </t>
        </is>
      </c>
      <c r="H1454" s="26" t="n">
        <v>9983975581</v>
      </c>
      <c r="I1454" s="38" t="inlineStr">
        <is>
          <t>PE01052601</t>
        </is>
      </c>
      <c r="J1454" s="26" t="inlineStr">
        <is>
          <t>Multiple Issues</t>
        </is>
      </c>
      <c r="K1454" s="39" t="inlineStr">
        <is>
          <t>Holi</t>
        </is>
      </c>
      <c r="L1454" s="39" t="inlineStr">
        <is>
          <t>Maharashtra</t>
        </is>
      </c>
      <c r="M1454" s="9" t="inlineStr">
        <is>
          <t>PNS</t>
        </is>
      </c>
      <c r="N1454" s="3" t="inlineStr">
        <is>
          <t>Cold Soldering</t>
        </is>
      </c>
      <c r="O1454" s="39" t="n">
        <v>575</v>
      </c>
      <c r="P1454" s="46" t="inlineStr">
        <is>
          <t>NSMI24070195926</t>
        </is>
      </c>
      <c r="Q1454" s="53">
        <f>MID(P1454,5,2)</f>
        <v/>
      </c>
      <c r="R1454" s="53">
        <f>MID(P1454,7,2)</f>
        <v/>
      </c>
      <c r="S1454" s="3" t="inlineStr">
        <is>
          <t>G2G</t>
        </is>
      </c>
      <c r="T1454" s="3" t="inlineStr">
        <is>
          <t>P4</t>
        </is>
      </c>
      <c r="U1454" s="3" t="inlineStr">
        <is>
          <t>P &amp; N JB Cold Soldering</t>
        </is>
      </c>
      <c r="V1454" s="3" t="inlineStr">
        <is>
          <t>Soldering</t>
        </is>
      </c>
      <c r="W1454" s="3" t="inlineStr">
        <is>
          <t>Repair</t>
        </is>
      </c>
      <c r="X1454" s="18" t="n">
        <v>46160</v>
      </c>
      <c r="Y1454" s="73">
        <f>IF(X1454="","",X1454-A1454)</f>
        <v/>
      </c>
      <c r="Z1454" s="18" t="n">
        <v>46160</v>
      </c>
      <c r="AA1454" s="15" t="n"/>
      <c r="AB1454" s="15" t="n"/>
      <c r="AF1454">
        <f>IF(AND($F1454="Closed",$X1454&gt;=DATE(2026,5,1),$X1454&lt;=DATE(2026,5,31)),"Closed in May","Other")</f>
        <v/>
      </c>
    </row>
    <row r="1455">
      <c r="A1455" s="37" t="n">
        <v>46143</v>
      </c>
      <c r="B1455" s="3" t="n">
        <v>2026</v>
      </c>
      <c r="C1455" s="26" t="inlineStr">
        <is>
          <t>Yanara Power</t>
        </is>
      </c>
      <c r="D1455" s="3" t="inlineStr">
        <is>
          <t>Utility and C&amp;I</t>
        </is>
      </c>
      <c r="E1455" s="3" t="n"/>
      <c r="F1455" s="3" t="inlineStr">
        <is>
          <t>Closed</t>
        </is>
      </c>
      <c r="G1455" s="9" t="inlineStr">
        <is>
          <t xml:space="preserve">Ashish Jindal </t>
        </is>
      </c>
      <c r="H1455" s="26" t="n">
        <v>9983975581</v>
      </c>
      <c r="I1455" s="38" t="inlineStr">
        <is>
          <t>PE01052601</t>
        </is>
      </c>
      <c r="J1455" s="26" t="inlineStr">
        <is>
          <t>Multiple Issues</t>
        </is>
      </c>
      <c r="K1455" s="39" t="inlineStr">
        <is>
          <t>Holi</t>
        </is>
      </c>
      <c r="L1455" s="39" t="inlineStr">
        <is>
          <t>Maharashtra</t>
        </is>
      </c>
      <c r="M1455" s="9" t="inlineStr">
        <is>
          <t>PS</t>
        </is>
      </c>
      <c r="N1455" s="3" t="inlineStr">
        <is>
          <t>Cold Soldering</t>
        </is>
      </c>
      <c r="O1455" s="39" t="n">
        <v>575</v>
      </c>
      <c r="P1455" s="46" t="inlineStr">
        <is>
          <t>NSMI24070183896</t>
        </is>
      </c>
      <c r="Q1455" s="53">
        <f>MID(P1455,5,2)</f>
        <v/>
      </c>
      <c r="R1455" s="53">
        <f>MID(P1455,7,2)</f>
        <v/>
      </c>
      <c r="S1455" s="3" t="inlineStr">
        <is>
          <t>G2G</t>
        </is>
      </c>
      <c r="T1455" s="3" t="inlineStr">
        <is>
          <t>P4</t>
        </is>
      </c>
      <c r="U1455" s="19" t="inlineStr">
        <is>
          <t>P JB Cold Soldering</t>
        </is>
      </c>
      <c r="V1455" s="19" t="inlineStr">
        <is>
          <t>Soldering</t>
        </is>
      </c>
      <c r="W1455" s="3" t="inlineStr">
        <is>
          <t>Repair</t>
        </is>
      </c>
      <c r="X1455" s="18" t="n">
        <v>46160</v>
      </c>
      <c r="Y1455" s="73">
        <f>IF(X1455="","",X1455-A1455)</f>
        <v/>
      </c>
      <c r="Z1455" s="18" t="n">
        <v>46160</v>
      </c>
      <c r="AA1455" s="15" t="n"/>
      <c r="AB1455" s="15" t="n"/>
      <c r="AF1455">
        <f>IF(AND($F1455="Closed",$X1455&gt;=DATE(2026,5,1),$X1455&lt;=DATE(2026,5,31)),"Closed in May","Other")</f>
        <v/>
      </c>
    </row>
    <row r="1456">
      <c r="A1456" s="37" t="n">
        <v>46143</v>
      </c>
      <c r="B1456" s="3" t="n">
        <v>2026</v>
      </c>
      <c r="C1456" s="26" t="inlineStr">
        <is>
          <t>Yanara Power</t>
        </is>
      </c>
      <c r="D1456" s="3" t="inlineStr">
        <is>
          <t>Utility and C&amp;I</t>
        </is>
      </c>
      <c r="E1456" s="3" t="n"/>
      <c r="F1456" s="3" t="inlineStr">
        <is>
          <t>Closed</t>
        </is>
      </c>
      <c r="G1456" s="9" t="inlineStr">
        <is>
          <t xml:space="preserve">Ashish Jindal </t>
        </is>
      </c>
      <c r="H1456" s="26" t="n">
        <v>9983975581</v>
      </c>
      <c r="I1456" s="38" t="inlineStr">
        <is>
          <t>PE01052601</t>
        </is>
      </c>
      <c r="J1456" s="26" t="inlineStr">
        <is>
          <t>Multiple Issues</t>
        </is>
      </c>
      <c r="K1456" s="39" t="inlineStr">
        <is>
          <t>Holi</t>
        </is>
      </c>
      <c r="L1456" s="39" t="inlineStr">
        <is>
          <t>Maharashtra</t>
        </is>
      </c>
      <c r="M1456" s="9" t="inlineStr">
        <is>
          <t>PS</t>
        </is>
      </c>
      <c r="N1456" s="3" t="inlineStr">
        <is>
          <t>Cold Soldering</t>
        </is>
      </c>
      <c r="O1456" s="39" t="n">
        <v>575</v>
      </c>
      <c r="P1456" s="46" t="inlineStr">
        <is>
          <t>NSMI24070182890</t>
        </is>
      </c>
      <c r="Q1456" s="53">
        <f>MID(P1456,5,2)</f>
        <v/>
      </c>
      <c r="R1456" s="53">
        <f>MID(P1456,7,2)</f>
        <v/>
      </c>
      <c r="S1456" s="3" t="inlineStr">
        <is>
          <t>G2G</t>
        </is>
      </c>
      <c r="T1456" s="3" t="inlineStr">
        <is>
          <t>P4</t>
        </is>
      </c>
      <c r="U1456" s="19" t="inlineStr">
        <is>
          <t>P JB Cold Soldering</t>
        </is>
      </c>
      <c r="V1456" s="19" t="inlineStr">
        <is>
          <t>Soldering</t>
        </is>
      </c>
      <c r="W1456" s="3" t="inlineStr">
        <is>
          <t>Repair</t>
        </is>
      </c>
      <c r="X1456" s="18" t="n">
        <v>46160</v>
      </c>
      <c r="Y1456" s="73">
        <f>IF(X1456="","",X1456-A1456)</f>
        <v/>
      </c>
      <c r="Z1456" s="18" t="n">
        <v>46160</v>
      </c>
      <c r="AA1456" s="15" t="n"/>
      <c r="AB1456" s="15" t="n"/>
      <c r="AF1456">
        <f>IF(AND($F1456="Closed",$X1456&gt;=DATE(2026,5,1),$X1456&lt;=DATE(2026,5,31)),"Closed in May","Other")</f>
        <v/>
      </c>
    </row>
    <row r="1457">
      <c r="A1457" s="37" t="n">
        <v>46143</v>
      </c>
      <c r="B1457" s="3" t="n">
        <v>2026</v>
      </c>
      <c r="C1457" s="26" t="inlineStr">
        <is>
          <t>Yanara Power</t>
        </is>
      </c>
      <c r="D1457" s="3" t="inlineStr">
        <is>
          <t>Utility and C&amp;I</t>
        </is>
      </c>
      <c r="E1457" s="3" t="n"/>
      <c r="F1457" s="3" t="inlineStr">
        <is>
          <t>Closed</t>
        </is>
      </c>
      <c r="G1457" s="9" t="inlineStr">
        <is>
          <t xml:space="preserve">Ashish Jindal </t>
        </is>
      </c>
      <c r="H1457" s="26" t="n">
        <v>9983975581</v>
      </c>
      <c r="I1457" s="38" t="inlineStr">
        <is>
          <t>PE01052601</t>
        </is>
      </c>
      <c r="J1457" s="26" t="inlineStr">
        <is>
          <t>Multiple Issues</t>
        </is>
      </c>
      <c r="K1457" s="39" t="inlineStr">
        <is>
          <t>Holi</t>
        </is>
      </c>
      <c r="L1457" s="39" t="inlineStr">
        <is>
          <t>Maharashtra</t>
        </is>
      </c>
      <c r="M1457" s="9" t="inlineStr">
        <is>
          <t>PS</t>
        </is>
      </c>
      <c r="N1457" s="3" t="inlineStr">
        <is>
          <t>Cold Soldering</t>
        </is>
      </c>
      <c r="O1457" s="39" t="n">
        <v>575</v>
      </c>
      <c r="P1457" s="46" t="inlineStr">
        <is>
          <t>NSMI24070176743</t>
        </is>
      </c>
      <c r="Q1457" s="53">
        <f>MID(P1457,5,2)</f>
        <v/>
      </c>
      <c r="R1457" s="53">
        <f>MID(P1457,7,2)</f>
        <v/>
      </c>
      <c r="S1457" s="3" t="inlineStr">
        <is>
          <t>G2G</t>
        </is>
      </c>
      <c r="T1457" s="3" t="inlineStr">
        <is>
          <t>P4</t>
        </is>
      </c>
      <c r="U1457" s="19" t="inlineStr">
        <is>
          <t>P JB Cold Soldering</t>
        </is>
      </c>
      <c r="V1457" s="19" t="inlineStr">
        <is>
          <t>Soldering</t>
        </is>
      </c>
      <c r="W1457" s="3" t="inlineStr">
        <is>
          <t>Repair</t>
        </is>
      </c>
      <c r="X1457" s="18" t="n">
        <v>46160</v>
      </c>
      <c r="Y1457" s="73">
        <f>IF(X1457="","",X1457-A1457)</f>
        <v/>
      </c>
      <c r="Z1457" s="18" t="n">
        <v>46160</v>
      </c>
      <c r="AA1457" s="15" t="n"/>
      <c r="AB1457" s="15" t="n"/>
      <c r="AF1457">
        <f>IF(AND($F1457="Closed",$X1457&gt;=DATE(2026,5,1),$X1457&lt;=DATE(2026,5,31)),"Closed in May","Other")</f>
        <v/>
      </c>
    </row>
    <row r="1458">
      <c r="A1458" s="37" t="n">
        <v>46143</v>
      </c>
      <c r="B1458" s="3" t="n">
        <v>2026</v>
      </c>
      <c r="C1458" s="26" t="inlineStr">
        <is>
          <t>Yanara Power</t>
        </is>
      </c>
      <c r="D1458" s="3" t="inlineStr">
        <is>
          <t>Utility and C&amp;I</t>
        </is>
      </c>
      <c r="E1458" s="3" t="n"/>
      <c r="F1458" s="3" t="inlineStr">
        <is>
          <t>Closed</t>
        </is>
      </c>
      <c r="G1458" s="9" t="inlineStr">
        <is>
          <t xml:space="preserve">Ashish Jindal </t>
        </is>
      </c>
      <c r="H1458" s="26" t="n">
        <v>9983975581</v>
      </c>
      <c r="I1458" s="38" t="inlineStr">
        <is>
          <t>PE01052601</t>
        </is>
      </c>
      <c r="J1458" s="26" t="inlineStr">
        <is>
          <t>Multiple Issues</t>
        </is>
      </c>
      <c r="K1458" s="39" t="inlineStr">
        <is>
          <t>Holi</t>
        </is>
      </c>
      <c r="L1458" s="39" t="inlineStr">
        <is>
          <t>Maharashtra</t>
        </is>
      </c>
      <c r="M1458" s="9" t="inlineStr">
        <is>
          <t>PS</t>
        </is>
      </c>
      <c r="N1458" s="3" t="inlineStr">
        <is>
          <t>Cold Soldering</t>
        </is>
      </c>
      <c r="O1458" s="39" t="n">
        <v>575</v>
      </c>
      <c r="P1458" s="46" t="inlineStr">
        <is>
          <t>NSMI24070203114</t>
        </is>
      </c>
      <c r="Q1458" s="53">
        <f>MID(P1458,5,2)</f>
        <v/>
      </c>
      <c r="R1458" s="53">
        <f>MID(P1458,7,2)</f>
        <v/>
      </c>
      <c r="S1458" s="3" t="inlineStr">
        <is>
          <t>G2G</t>
        </is>
      </c>
      <c r="T1458" s="3" t="inlineStr">
        <is>
          <t>P4</t>
        </is>
      </c>
      <c r="U1458" s="19" t="inlineStr">
        <is>
          <t>P JB Cold Soldering</t>
        </is>
      </c>
      <c r="V1458" s="19" t="inlineStr">
        <is>
          <t>Soldering</t>
        </is>
      </c>
      <c r="W1458" s="3" t="inlineStr">
        <is>
          <t>Repair</t>
        </is>
      </c>
      <c r="X1458" s="18" t="n">
        <v>46160</v>
      </c>
      <c r="Y1458" s="73">
        <f>IF(X1458="","",X1458-A1458)</f>
        <v/>
      </c>
      <c r="Z1458" s="18" t="n">
        <v>46160</v>
      </c>
      <c r="AA1458" s="15" t="n"/>
      <c r="AB1458" s="15" t="n"/>
      <c r="AF1458">
        <f>IF(AND($F1458="Closed",$X1458&gt;=DATE(2026,5,1),$X1458&lt;=DATE(2026,5,31)),"Closed in May","Other")</f>
        <v/>
      </c>
    </row>
    <row r="1459">
      <c r="A1459" s="37" t="n">
        <v>46143</v>
      </c>
      <c r="B1459" s="3" t="n">
        <v>2026</v>
      </c>
      <c r="C1459" s="26" t="inlineStr">
        <is>
          <t>Yanara Power</t>
        </is>
      </c>
      <c r="D1459" s="3" t="inlineStr">
        <is>
          <t>Utility and C&amp;I</t>
        </is>
      </c>
      <c r="E1459" s="3" t="n"/>
      <c r="F1459" s="3" t="inlineStr">
        <is>
          <t>Closed</t>
        </is>
      </c>
      <c r="G1459" s="9" t="inlineStr">
        <is>
          <t xml:space="preserve">Ashish Jindal </t>
        </is>
      </c>
      <c r="H1459" s="26" t="n">
        <v>9983975581</v>
      </c>
      <c r="I1459" s="38" t="inlineStr">
        <is>
          <t>PE01052601</t>
        </is>
      </c>
      <c r="J1459" s="26" t="inlineStr">
        <is>
          <t>Multiple Issues</t>
        </is>
      </c>
      <c r="K1459" s="39" t="inlineStr">
        <is>
          <t>Holi</t>
        </is>
      </c>
      <c r="L1459" s="39" t="inlineStr">
        <is>
          <t>Maharashtra</t>
        </is>
      </c>
      <c r="M1459" s="9" t="inlineStr">
        <is>
          <t>NS</t>
        </is>
      </c>
      <c r="N1459" s="3" t="inlineStr">
        <is>
          <t>Cold Soldering</t>
        </is>
      </c>
      <c r="O1459" s="39" t="n">
        <v>575</v>
      </c>
      <c r="P1459" s="46" t="inlineStr">
        <is>
          <t>NSMI24070202963</t>
        </is>
      </c>
      <c r="Q1459" s="53">
        <f>MID(P1459,5,2)</f>
        <v/>
      </c>
      <c r="R1459" s="53">
        <f>MID(P1459,7,2)</f>
        <v/>
      </c>
      <c r="S1459" s="3" t="inlineStr">
        <is>
          <t>G2G</t>
        </is>
      </c>
      <c r="T1459" s="3" t="inlineStr">
        <is>
          <t>P4</t>
        </is>
      </c>
      <c r="U1459" s="3" t="inlineStr">
        <is>
          <t>N JB Cold Soldering</t>
        </is>
      </c>
      <c r="V1459" s="3" t="inlineStr">
        <is>
          <t>Soldering</t>
        </is>
      </c>
      <c r="W1459" s="3" t="inlineStr">
        <is>
          <t>Repair</t>
        </is>
      </c>
      <c r="X1459" s="18" t="n">
        <v>46160</v>
      </c>
      <c r="Y1459" s="73">
        <f>IF(X1459="","",X1459-A1459)</f>
        <v/>
      </c>
      <c r="Z1459" s="18" t="n">
        <v>46160</v>
      </c>
      <c r="AA1459" s="15" t="n"/>
      <c r="AB1459" s="15" t="n"/>
      <c r="AF1459">
        <f>IF(AND($F1459="Closed",$X1459&gt;=DATE(2026,5,1),$X1459&lt;=DATE(2026,5,31)),"Closed in May","Other")</f>
        <v/>
      </c>
    </row>
    <row r="1460">
      <c r="A1460" s="37" t="n">
        <v>46143</v>
      </c>
      <c r="B1460" s="3" t="n">
        <v>2026</v>
      </c>
      <c r="C1460" s="26" t="inlineStr">
        <is>
          <t>Yanara Power</t>
        </is>
      </c>
      <c r="D1460" s="3" t="inlineStr">
        <is>
          <t>Utility and C&amp;I</t>
        </is>
      </c>
      <c r="E1460" s="3" t="n"/>
      <c r="F1460" s="3" t="inlineStr">
        <is>
          <t>Closed</t>
        </is>
      </c>
      <c r="G1460" s="9" t="inlineStr">
        <is>
          <t xml:space="preserve">Ashish Jindal </t>
        </is>
      </c>
      <c r="H1460" s="26" t="n">
        <v>9983975581</v>
      </c>
      <c r="I1460" s="38" t="inlineStr">
        <is>
          <t>PE01052601</t>
        </is>
      </c>
      <c r="J1460" s="26" t="inlineStr">
        <is>
          <t>Multiple Issues</t>
        </is>
      </c>
      <c r="K1460" s="39" t="inlineStr">
        <is>
          <t>Holi</t>
        </is>
      </c>
      <c r="L1460" s="39" t="inlineStr">
        <is>
          <t>Maharashtra</t>
        </is>
      </c>
      <c r="M1460" s="9" t="inlineStr">
        <is>
          <t>PS</t>
        </is>
      </c>
      <c r="N1460" s="3" t="inlineStr">
        <is>
          <t>Cold Soldering</t>
        </is>
      </c>
      <c r="O1460" s="39" t="n">
        <v>575</v>
      </c>
      <c r="P1460" s="46" t="inlineStr">
        <is>
          <t>NSMI24070198186</t>
        </is>
      </c>
      <c r="Q1460" s="53">
        <f>MID(P1460,5,2)</f>
        <v/>
      </c>
      <c r="R1460" s="53">
        <f>MID(P1460,7,2)</f>
        <v/>
      </c>
      <c r="S1460" s="3" t="inlineStr">
        <is>
          <t>G2G</t>
        </is>
      </c>
      <c r="T1460" s="3" t="inlineStr">
        <is>
          <t>P4</t>
        </is>
      </c>
      <c r="U1460" s="19" t="inlineStr">
        <is>
          <t>P JB Cold Soldering</t>
        </is>
      </c>
      <c r="V1460" s="19" t="inlineStr">
        <is>
          <t>Soldering</t>
        </is>
      </c>
      <c r="W1460" s="3" t="inlineStr">
        <is>
          <t>Repair</t>
        </is>
      </c>
      <c r="X1460" s="18" t="n">
        <v>46160</v>
      </c>
      <c r="Y1460" s="73">
        <f>IF(X1460="","",X1460-A1460)</f>
        <v/>
      </c>
      <c r="Z1460" s="18" t="n">
        <v>46160</v>
      </c>
      <c r="AA1460" s="15" t="n"/>
      <c r="AB1460" s="15" t="n"/>
      <c r="AF1460">
        <f>IF(AND($F1460="Closed",$X1460&gt;=DATE(2026,5,1),$X1460&lt;=DATE(2026,5,31)),"Closed in May","Other")</f>
        <v/>
      </c>
    </row>
    <row r="1461">
      <c r="A1461" s="37" t="n">
        <v>46143</v>
      </c>
      <c r="B1461" s="3" t="n">
        <v>2026</v>
      </c>
      <c r="C1461" s="26" t="inlineStr">
        <is>
          <t>Yanara Power</t>
        </is>
      </c>
      <c r="D1461" s="3" t="inlineStr">
        <is>
          <t>Utility and C&amp;I</t>
        </is>
      </c>
      <c r="E1461" s="3" t="n"/>
      <c r="F1461" s="3" t="inlineStr">
        <is>
          <t>Closed</t>
        </is>
      </c>
      <c r="G1461" s="9" t="inlineStr">
        <is>
          <t xml:space="preserve">Ashish Jindal </t>
        </is>
      </c>
      <c r="H1461" s="26" t="n">
        <v>9983975581</v>
      </c>
      <c r="I1461" s="38" t="inlineStr">
        <is>
          <t>PE01052601</t>
        </is>
      </c>
      <c r="J1461" s="26" t="inlineStr">
        <is>
          <t>Multiple Issues</t>
        </is>
      </c>
      <c r="K1461" s="39" t="inlineStr">
        <is>
          <t>Holi</t>
        </is>
      </c>
      <c r="L1461" s="39" t="inlineStr">
        <is>
          <t>Maharashtra</t>
        </is>
      </c>
      <c r="M1461" s="9" t="inlineStr">
        <is>
          <t>NS</t>
        </is>
      </c>
      <c r="N1461" s="3" t="inlineStr">
        <is>
          <t>Cold Soldering</t>
        </is>
      </c>
      <c r="O1461" s="39" t="n">
        <v>575</v>
      </c>
      <c r="P1461" s="46" t="inlineStr">
        <is>
          <t>NSMI24070198189</t>
        </is>
      </c>
      <c r="Q1461" s="53">
        <f>MID(P1461,5,2)</f>
        <v/>
      </c>
      <c r="R1461" s="53">
        <f>MID(P1461,7,2)</f>
        <v/>
      </c>
      <c r="S1461" s="3" t="inlineStr">
        <is>
          <t>G2G</t>
        </is>
      </c>
      <c r="T1461" s="3" t="inlineStr">
        <is>
          <t>P4</t>
        </is>
      </c>
      <c r="U1461" s="3" t="inlineStr">
        <is>
          <t>N JB Cold Soldering</t>
        </is>
      </c>
      <c r="V1461" s="3" t="inlineStr">
        <is>
          <t>Soldering</t>
        </is>
      </c>
      <c r="W1461" s="3" t="inlineStr">
        <is>
          <t>Repair</t>
        </is>
      </c>
      <c r="X1461" s="18" t="n">
        <v>46160</v>
      </c>
      <c r="Y1461" s="73">
        <f>IF(X1461="","",X1461-A1461)</f>
        <v/>
      </c>
      <c r="Z1461" s="18" t="n">
        <v>46160</v>
      </c>
      <c r="AA1461" s="15" t="n"/>
      <c r="AB1461" s="15" t="n"/>
      <c r="AF1461">
        <f>IF(AND($F1461="Closed",$X1461&gt;=DATE(2026,5,1),$X1461&lt;=DATE(2026,5,31)),"Closed in May","Other")</f>
        <v/>
      </c>
    </row>
    <row r="1462">
      <c r="A1462" s="37" t="n">
        <v>46143</v>
      </c>
      <c r="B1462" s="3" t="n">
        <v>2026</v>
      </c>
      <c r="C1462" s="26" t="inlineStr">
        <is>
          <t>Yanara Power</t>
        </is>
      </c>
      <c r="D1462" s="3" t="inlineStr">
        <is>
          <t>Utility and C&amp;I</t>
        </is>
      </c>
      <c r="E1462" s="3" t="n"/>
      <c r="F1462" s="3" t="inlineStr">
        <is>
          <t>Closed</t>
        </is>
      </c>
      <c r="G1462" s="9" t="inlineStr">
        <is>
          <t xml:space="preserve">Ashish Jindal </t>
        </is>
      </c>
      <c r="H1462" s="26" t="n">
        <v>9983975581</v>
      </c>
      <c r="I1462" s="38" t="inlineStr">
        <is>
          <t>PE01052601</t>
        </is>
      </c>
      <c r="J1462" s="26" t="inlineStr">
        <is>
          <t>Multiple Issues</t>
        </is>
      </c>
      <c r="K1462" s="39" t="inlineStr">
        <is>
          <t>Holi</t>
        </is>
      </c>
      <c r="L1462" s="39" t="inlineStr">
        <is>
          <t>Maharashtra</t>
        </is>
      </c>
      <c r="M1462" s="9" t="inlineStr">
        <is>
          <t>PS</t>
        </is>
      </c>
      <c r="N1462" s="3" t="inlineStr">
        <is>
          <t>Cold Soldering</t>
        </is>
      </c>
      <c r="O1462" s="39" t="n">
        <v>575</v>
      </c>
      <c r="P1462" s="46" t="inlineStr">
        <is>
          <t>NSMI24070198196</t>
        </is>
      </c>
      <c r="Q1462" s="53">
        <f>MID(P1462,5,2)</f>
        <v/>
      </c>
      <c r="R1462" s="53">
        <f>MID(P1462,7,2)</f>
        <v/>
      </c>
      <c r="S1462" s="3" t="inlineStr">
        <is>
          <t>G2G</t>
        </is>
      </c>
      <c r="T1462" s="3" t="inlineStr">
        <is>
          <t>P4</t>
        </is>
      </c>
      <c r="U1462" s="19" t="inlineStr">
        <is>
          <t>P JB Cold Soldering</t>
        </is>
      </c>
      <c r="V1462" s="19" t="inlineStr">
        <is>
          <t>Soldering</t>
        </is>
      </c>
      <c r="W1462" s="3" t="inlineStr">
        <is>
          <t>Repair</t>
        </is>
      </c>
      <c r="X1462" s="18" t="n">
        <v>46160</v>
      </c>
      <c r="Y1462" s="73">
        <f>IF(X1462="","",X1462-A1462)</f>
        <v/>
      </c>
      <c r="Z1462" s="18" t="n">
        <v>46160</v>
      </c>
      <c r="AA1462" s="15" t="n"/>
      <c r="AB1462" s="15" t="n"/>
      <c r="AF1462">
        <f>IF(AND($F1462="Closed",$X1462&gt;=DATE(2026,5,1),$X1462&lt;=DATE(2026,5,31)),"Closed in May","Other")</f>
        <v/>
      </c>
    </row>
    <row r="1463">
      <c r="A1463" s="37" t="n">
        <v>46143</v>
      </c>
      <c r="B1463" s="3" t="n">
        <v>2026</v>
      </c>
      <c r="C1463" s="26" t="inlineStr">
        <is>
          <t>Yanara Power</t>
        </is>
      </c>
      <c r="D1463" s="3" t="inlineStr">
        <is>
          <t>Utility and C&amp;I</t>
        </is>
      </c>
      <c r="E1463" s="3" t="n"/>
      <c r="F1463" s="3" t="inlineStr">
        <is>
          <t>Closed</t>
        </is>
      </c>
      <c r="G1463" s="9" t="inlineStr">
        <is>
          <t xml:space="preserve">Ashish Jindal </t>
        </is>
      </c>
      <c r="H1463" s="26" t="n">
        <v>9983975581</v>
      </c>
      <c r="I1463" s="38" t="inlineStr">
        <is>
          <t>PE01052601</t>
        </is>
      </c>
      <c r="J1463" s="26" t="inlineStr">
        <is>
          <t>Multiple Issues</t>
        </is>
      </c>
      <c r="K1463" s="39" t="inlineStr">
        <is>
          <t>Holi</t>
        </is>
      </c>
      <c r="L1463" s="39" t="inlineStr">
        <is>
          <t>Maharashtra</t>
        </is>
      </c>
      <c r="M1463" s="9" t="inlineStr">
        <is>
          <t>PS</t>
        </is>
      </c>
      <c r="N1463" s="3" t="inlineStr">
        <is>
          <t>Cold Soldering</t>
        </is>
      </c>
      <c r="O1463" s="39" t="n">
        <v>575</v>
      </c>
      <c r="P1463" s="46" t="inlineStr">
        <is>
          <t>NSMI24070198198</t>
        </is>
      </c>
      <c r="Q1463" s="53">
        <f>MID(P1463,5,2)</f>
        <v/>
      </c>
      <c r="R1463" s="53">
        <f>MID(P1463,7,2)</f>
        <v/>
      </c>
      <c r="S1463" s="3" t="inlineStr">
        <is>
          <t>G2G</t>
        </is>
      </c>
      <c r="T1463" s="3" t="inlineStr">
        <is>
          <t>P4</t>
        </is>
      </c>
      <c r="U1463" s="19" t="inlineStr">
        <is>
          <t>P JB Cold Soldering</t>
        </is>
      </c>
      <c r="V1463" s="19" t="inlineStr">
        <is>
          <t>Soldering</t>
        </is>
      </c>
      <c r="W1463" s="3" t="inlineStr">
        <is>
          <t>Repair</t>
        </is>
      </c>
      <c r="X1463" s="18" t="n">
        <v>46160</v>
      </c>
      <c r="Y1463" s="73">
        <f>IF(X1463="","",X1463-A1463)</f>
        <v/>
      </c>
      <c r="Z1463" s="18" t="n">
        <v>46160</v>
      </c>
      <c r="AA1463" s="15" t="n"/>
      <c r="AB1463" s="15" t="n"/>
      <c r="AF1463">
        <f>IF(AND($F1463="Closed",$X1463&gt;=DATE(2026,5,1),$X1463&lt;=DATE(2026,5,31)),"Closed in May","Other")</f>
        <v/>
      </c>
    </row>
    <row r="1464">
      <c r="A1464" s="37" t="n">
        <v>46143</v>
      </c>
      <c r="B1464" s="3" t="n">
        <v>2026</v>
      </c>
      <c r="C1464" s="26" t="inlineStr">
        <is>
          <t>Yanara Power</t>
        </is>
      </c>
      <c r="D1464" s="3" t="inlineStr">
        <is>
          <t>Utility and C&amp;I</t>
        </is>
      </c>
      <c r="E1464" s="3" t="n"/>
      <c r="F1464" s="3" t="inlineStr">
        <is>
          <t>Closed</t>
        </is>
      </c>
      <c r="G1464" s="9" t="inlineStr">
        <is>
          <t xml:space="preserve">Ashish Jindal </t>
        </is>
      </c>
      <c r="H1464" s="26" t="n">
        <v>9983975581</v>
      </c>
      <c r="I1464" s="38" t="inlineStr">
        <is>
          <t>PE01052601</t>
        </is>
      </c>
      <c r="J1464" s="26" t="inlineStr">
        <is>
          <t>Multiple Issues</t>
        </is>
      </c>
      <c r="K1464" s="39" t="inlineStr">
        <is>
          <t>Holi</t>
        </is>
      </c>
      <c r="L1464" s="39" t="inlineStr">
        <is>
          <t>Maharashtra</t>
        </is>
      </c>
      <c r="M1464" s="9" t="inlineStr">
        <is>
          <t>PS</t>
        </is>
      </c>
      <c r="N1464" s="3" t="inlineStr">
        <is>
          <t>Cold Soldering</t>
        </is>
      </c>
      <c r="O1464" s="39" t="n">
        <v>575</v>
      </c>
      <c r="P1464" s="46" t="inlineStr">
        <is>
          <t>NSMI24070198006</t>
        </is>
      </c>
      <c r="Q1464" s="53">
        <f>MID(P1464,5,2)</f>
        <v/>
      </c>
      <c r="R1464" s="53">
        <f>MID(P1464,7,2)</f>
        <v/>
      </c>
      <c r="S1464" s="3" t="inlineStr">
        <is>
          <t>G2G</t>
        </is>
      </c>
      <c r="T1464" s="3" t="inlineStr">
        <is>
          <t>P4</t>
        </is>
      </c>
      <c r="U1464" s="19" t="inlineStr">
        <is>
          <t>P JB Cold Soldering</t>
        </is>
      </c>
      <c r="V1464" s="19" t="inlineStr">
        <is>
          <t>Soldering</t>
        </is>
      </c>
      <c r="W1464" s="3" t="inlineStr">
        <is>
          <t>Repair</t>
        </is>
      </c>
      <c r="X1464" s="18" t="n">
        <v>46160</v>
      </c>
      <c r="Y1464" s="73">
        <f>IF(X1464="","",X1464-A1464)</f>
        <v/>
      </c>
      <c r="Z1464" s="18" t="n">
        <v>46160</v>
      </c>
      <c r="AA1464" s="15" t="n"/>
      <c r="AB1464" s="15" t="n"/>
      <c r="AF1464">
        <f>IF(AND($F1464="Closed",$X1464&gt;=DATE(2026,5,1),$X1464&lt;=DATE(2026,5,31)),"Closed in May","Other")</f>
        <v/>
      </c>
    </row>
    <row r="1465">
      <c r="A1465" s="37" t="n">
        <v>46143</v>
      </c>
      <c r="B1465" s="3" t="n">
        <v>2026</v>
      </c>
      <c r="C1465" s="26" t="inlineStr">
        <is>
          <t>Yanara Power</t>
        </is>
      </c>
      <c r="D1465" s="3" t="inlineStr">
        <is>
          <t>Utility and C&amp;I</t>
        </is>
      </c>
      <c r="E1465" s="3" t="n"/>
      <c r="F1465" s="3" t="inlineStr">
        <is>
          <t>Closed</t>
        </is>
      </c>
      <c r="G1465" s="9" t="inlineStr">
        <is>
          <t xml:space="preserve">Ashish Jindal </t>
        </is>
      </c>
      <c r="H1465" s="26" t="n">
        <v>9983975581</v>
      </c>
      <c r="I1465" s="38" t="inlineStr">
        <is>
          <t>PE01052601</t>
        </is>
      </c>
      <c r="J1465" s="26" t="inlineStr">
        <is>
          <t>Multiple Issues</t>
        </is>
      </c>
      <c r="K1465" s="39" t="inlineStr">
        <is>
          <t>Holi</t>
        </is>
      </c>
      <c r="L1465" s="39" t="inlineStr">
        <is>
          <t>Maharashtra</t>
        </is>
      </c>
      <c r="M1465" s="9" t="inlineStr">
        <is>
          <t>PNS</t>
        </is>
      </c>
      <c r="N1465" s="3" t="inlineStr">
        <is>
          <t>Cold Soldering</t>
        </is>
      </c>
      <c r="O1465" s="39" t="n">
        <v>575</v>
      </c>
      <c r="P1465" s="46" t="inlineStr">
        <is>
          <t>NSMI24070189865</t>
        </is>
      </c>
      <c r="Q1465" s="53">
        <f>MID(P1465,5,2)</f>
        <v/>
      </c>
      <c r="R1465" s="53">
        <f>MID(P1465,7,2)</f>
        <v/>
      </c>
      <c r="S1465" s="3" t="inlineStr">
        <is>
          <t>G2G</t>
        </is>
      </c>
      <c r="T1465" s="3" t="inlineStr">
        <is>
          <t>P4</t>
        </is>
      </c>
      <c r="U1465" s="3" t="inlineStr">
        <is>
          <t>P &amp; N JB Cold Soldering</t>
        </is>
      </c>
      <c r="V1465" s="3" t="inlineStr">
        <is>
          <t>Soldering</t>
        </is>
      </c>
      <c r="W1465" s="3" t="inlineStr">
        <is>
          <t>Repair</t>
        </is>
      </c>
      <c r="X1465" s="18" t="n">
        <v>46160</v>
      </c>
      <c r="Y1465" s="73">
        <f>IF(X1465="","",X1465-A1465)</f>
        <v/>
      </c>
      <c r="Z1465" s="18" t="n">
        <v>46160</v>
      </c>
      <c r="AA1465" s="15" t="n"/>
      <c r="AB1465" s="15" t="n"/>
      <c r="AF1465">
        <f>IF(AND($F1465="Closed",$X1465&gt;=DATE(2026,5,1),$X1465&lt;=DATE(2026,5,31)),"Closed in May","Other")</f>
        <v/>
      </c>
    </row>
    <row r="1466">
      <c r="A1466" s="37" t="n">
        <v>46143</v>
      </c>
      <c r="B1466" s="3" t="n">
        <v>2026</v>
      </c>
      <c r="C1466" s="26" t="inlineStr">
        <is>
          <t>Yanara Power</t>
        </is>
      </c>
      <c r="D1466" s="3" t="inlineStr">
        <is>
          <t>Utility and C&amp;I</t>
        </is>
      </c>
      <c r="E1466" s="3" t="n"/>
      <c r="F1466" s="3" t="inlineStr">
        <is>
          <t>Closed</t>
        </is>
      </c>
      <c r="G1466" s="9" t="inlineStr">
        <is>
          <t xml:space="preserve">Ashish Jindal </t>
        </is>
      </c>
      <c r="H1466" s="26" t="n">
        <v>9983975581</v>
      </c>
      <c r="I1466" s="38" t="inlineStr">
        <is>
          <t>PE01052601</t>
        </is>
      </c>
      <c r="J1466" s="26" t="inlineStr">
        <is>
          <t>Multiple Issues</t>
        </is>
      </c>
      <c r="K1466" s="39" t="inlineStr">
        <is>
          <t>Holi</t>
        </is>
      </c>
      <c r="L1466" s="39" t="inlineStr">
        <is>
          <t>Maharashtra</t>
        </is>
      </c>
      <c r="M1466" s="9" t="inlineStr">
        <is>
          <t>PS</t>
        </is>
      </c>
      <c r="N1466" s="3" t="inlineStr">
        <is>
          <t>Cold Soldering</t>
        </is>
      </c>
      <c r="O1466" s="39" t="n">
        <v>575</v>
      </c>
      <c r="P1466" s="46" t="inlineStr">
        <is>
          <t>NSMI24070183837</t>
        </is>
      </c>
      <c r="Q1466" s="53">
        <f>MID(P1466,5,2)</f>
        <v/>
      </c>
      <c r="R1466" s="53">
        <f>MID(P1466,7,2)</f>
        <v/>
      </c>
      <c r="S1466" s="3" t="inlineStr">
        <is>
          <t>G2G</t>
        </is>
      </c>
      <c r="T1466" s="3" t="inlineStr">
        <is>
          <t>P4</t>
        </is>
      </c>
      <c r="U1466" s="19" t="inlineStr">
        <is>
          <t>P JB Cold Soldering</t>
        </is>
      </c>
      <c r="V1466" s="19" t="inlineStr">
        <is>
          <t>Soldering</t>
        </is>
      </c>
      <c r="W1466" s="3" t="inlineStr">
        <is>
          <t>Repair</t>
        </is>
      </c>
      <c r="X1466" s="18" t="n">
        <v>46160</v>
      </c>
      <c r="Y1466" s="73">
        <f>IF(X1466="","",X1466-A1466)</f>
        <v/>
      </c>
      <c r="Z1466" s="18" t="n">
        <v>46160</v>
      </c>
      <c r="AA1466" s="15" t="n"/>
      <c r="AB1466" s="15" t="n"/>
      <c r="AF1466">
        <f>IF(AND($F1466="Closed",$X1466&gt;=DATE(2026,5,1),$X1466&lt;=DATE(2026,5,31)),"Closed in May","Other")</f>
        <v/>
      </c>
    </row>
    <row r="1467">
      <c r="A1467" s="37" t="n">
        <v>46143</v>
      </c>
      <c r="B1467" s="3" t="n">
        <v>2026</v>
      </c>
      <c r="C1467" s="26" t="inlineStr">
        <is>
          <t>Yanara Power</t>
        </is>
      </c>
      <c r="D1467" s="3" t="inlineStr">
        <is>
          <t>Utility and C&amp;I</t>
        </is>
      </c>
      <c r="E1467" s="3" t="n"/>
      <c r="F1467" s="3" t="inlineStr">
        <is>
          <t>Closed</t>
        </is>
      </c>
      <c r="G1467" s="9" t="inlineStr">
        <is>
          <t xml:space="preserve">Ashish Jindal </t>
        </is>
      </c>
      <c r="H1467" s="26" t="n">
        <v>9983975581</v>
      </c>
      <c r="I1467" s="38" t="inlineStr">
        <is>
          <t>PE01052601</t>
        </is>
      </c>
      <c r="J1467" s="26" t="inlineStr">
        <is>
          <t>Multiple Issues</t>
        </is>
      </c>
      <c r="K1467" s="39" t="inlineStr">
        <is>
          <t>Holi</t>
        </is>
      </c>
      <c r="L1467" s="39" t="inlineStr">
        <is>
          <t>Maharashtra</t>
        </is>
      </c>
      <c r="M1467" s="9" t="inlineStr">
        <is>
          <t>PS</t>
        </is>
      </c>
      <c r="N1467" s="3" t="inlineStr">
        <is>
          <t>Cold Soldering</t>
        </is>
      </c>
      <c r="O1467" s="39" t="n">
        <v>575</v>
      </c>
      <c r="P1467" s="46" t="inlineStr">
        <is>
          <t>NSMI24070183917</t>
        </is>
      </c>
      <c r="Q1467" s="53">
        <f>MID(P1467,5,2)</f>
        <v/>
      </c>
      <c r="R1467" s="53">
        <f>MID(P1467,7,2)</f>
        <v/>
      </c>
      <c r="S1467" s="3" t="inlineStr">
        <is>
          <t>G2G</t>
        </is>
      </c>
      <c r="T1467" s="3" t="inlineStr">
        <is>
          <t>P4</t>
        </is>
      </c>
      <c r="U1467" s="19" t="inlineStr">
        <is>
          <t>P JB Cold Soldering</t>
        </is>
      </c>
      <c r="V1467" s="19" t="inlineStr">
        <is>
          <t>Soldering</t>
        </is>
      </c>
      <c r="W1467" s="3" t="inlineStr">
        <is>
          <t>Repair</t>
        </is>
      </c>
      <c r="X1467" s="18" t="n">
        <v>46160</v>
      </c>
      <c r="Y1467" s="73">
        <f>IF(X1467="","",X1467-A1467)</f>
        <v/>
      </c>
      <c r="Z1467" s="18" t="n">
        <v>46160</v>
      </c>
      <c r="AA1467" s="15" t="n"/>
      <c r="AB1467" s="15" t="n"/>
      <c r="AF1467">
        <f>IF(AND($F1467="Closed",$X1467&gt;=DATE(2026,5,1),$X1467&lt;=DATE(2026,5,31)),"Closed in May","Other")</f>
        <v/>
      </c>
    </row>
    <row r="1468">
      <c r="A1468" s="37" t="n">
        <v>46143</v>
      </c>
      <c r="B1468" s="3" t="n">
        <v>2026</v>
      </c>
      <c r="C1468" s="26" t="inlineStr">
        <is>
          <t>Yanara Power</t>
        </is>
      </c>
      <c r="D1468" s="3" t="inlineStr">
        <is>
          <t>Utility and C&amp;I</t>
        </is>
      </c>
      <c r="E1468" s="3" t="n"/>
      <c r="F1468" s="3" t="inlineStr">
        <is>
          <t>Closed</t>
        </is>
      </c>
      <c r="G1468" s="9" t="inlineStr">
        <is>
          <t xml:space="preserve">Ashish Jindal </t>
        </is>
      </c>
      <c r="H1468" s="26" t="n">
        <v>9983975581</v>
      </c>
      <c r="I1468" s="38" t="inlineStr">
        <is>
          <t>PE01052601</t>
        </is>
      </c>
      <c r="J1468" s="26" t="inlineStr">
        <is>
          <t>Multiple Issues</t>
        </is>
      </c>
      <c r="K1468" s="39" t="inlineStr">
        <is>
          <t>Holi</t>
        </is>
      </c>
      <c r="L1468" s="39" t="inlineStr">
        <is>
          <t>Maharashtra</t>
        </is>
      </c>
      <c r="M1468" s="9" t="inlineStr">
        <is>
          <t>NS</t>
        </is>
      </c>
      <c r="N1468" s="3" t="inlineStr">
        <is>
          <t>Cold Soldering</t>
        </is>
      </c>
      <c r="O1468" s="39" t="n">
        <v>575</v>
      </c>
      <c r="P1468" s="46" t="inlineStr">
        <is>
          <t>NSMI24070177272</t>
        </is>
      </c>
      <c r="Q1468" s="53">
        <f>MID(P1468,5,2)</f>
        <v/>
      </c>
      <c r="R1468" s="53">
        <f>MID(P1468,7,2)</f>
        <v/>
      </c>
      <c r="S1468" s="3" t="inlineStr">
        <is>
          <t>G2G</t>
        </is>
      </c>
      <c r="T1468" s="3" t="inlineStr">
        <is>
          <t>P4</t>
        </is>
      </c>
      <c r="U1468" s="3" t="inlineStr">
        <is>
          <t>N JB Cold Soldering</t>
        </is>
      </c>
      <c r="V1468" s="3" t="inlineStr">
        <is>
          <t>Soldering</t>
        </is>
      </c>
      <c r="W1468" s="3" t="inlineStr">
        <is>
          <t>Repair</t>
        </is>
      </c>
      <c r="X1468" s="18" t="n">
        <v>46160</v>
      </c>
      <c r="Y1468" s="73">
        <f>IF(X1468="","",X1468-A1468)</f>
        <v/>
      </c>
      <c r="Z1468" s="18" t="n">
        <v>46160</v>
      </c>
      <c r="AA1468" s="15" t="n"/>
      <c r="AB1468" s="15" t="n"/>
      <c r="AF1468">
        <f>IF(AND($F1468="Closed",$X1468&gt;=DATE(2026,5,1),$X1468&lt;=DATE(2026,5,31)),"Closed in May","Other")</f>
        <v/>
      </c>
    </row>
    <row r="1469">
      <c r="A1469" s="37" t="n">
        <v>46143</v>
      </c>
      <c r="B1469" s="3" t="n">
        <v>2026</v>
      </c>
      <c r="C1469" s="26" t="inlineStr">
        <is>
          <t>Yanara Power</t>
        </is>
      </c>
      <c r="D1469" s="3" t="inlineStr">
        <is>
          <t>Utility and C&amp;I</t>
        </is>
      </c>
      <c r="E1469" s="3" t="n"/>
      <c r="F1469" s="3" t="inlineStr">
        <is>
          <t>Closed</t>
        </is>
      </c>
      <c r="G1469" s="9" t="inlineStr">
        <is>
          <t xml:space="preserve">Ashish Jindal </t>
        </is>
      </c>
      <c r="H1469" s="26" t="n">
        <v>9983975581</v>
      </c>
      <c r="I1469" s="38" t="inlineStr">
        <is>
          <t>PE01052601</t>
        </is>
      </c>
      <c r="J1469" s="26" t="inlineStr">
        <is>
          <t>Multiple Issues</t>
        </is>
      </c>
      <c r="K1469" s="39" t="inlineStr">
        <is>
          <t>Holi</t>
        </is>
      </c>
      <c r="L1469" s="39" t="inlineStr">
        <is>
          <t>Maharashtra</t>
        </is>
      </c>
      <c r="M1469" s="9" t="inlineStr">
        <is>
          <t>PS</t>
        </is>
      </c>
      <c r="N1469" s="3" t="inlineStr">
        <is>
          <t>Cold Soldering</t>
        </is>
      </c>
      <c r="O1469" s="39" t="n">
        <v>575</v>
      </c>
      <c r="P1469" s="46" t="inlineStr">
        <is>
          <t>NSMI24070198360</t>
        </is>
      </c>
      <c r="Q1469" s="53">
        <f>MID(P1469,5,2)</f>
        <v/>
      </c>
      <c r="R1469" s="53">
        <f>MID(P1469,7,2)</f>
        <v/>
      </c>
      <c r="S1469" s="3" t="inlineStr">
        <is>
          <t>G2G</t>
        </is>
      </c>
      <c r="T1469" s="3" t="inlineStr">
        <is>
          <t>P4</t>
        </is>
      </c>
      <c r="U1469" s="19" t="inlineStr">
        <is>
          <t>P JB Cold Soldering</t>
        </is>
      </c>
      <c r="V1469" s="19" t="inlineStr">
        <is>
          <t>Soldering</t>
        </is>
      </c>
      <c r="W1469" s="3" t="inlineStr">
        <is>
          <t>Repair</t>
        </is>
      </c>
      <c r="X1469" s="18" t="n">
        <v>46160</v>
      </c>
      <c r="Y1469" s="73">
        <f>IF(X1469="","",X1469-A1469)</f>
        <v/>
      </c>
      <c r="Z1469" s="18" t="n">
        <v>46160</v>
      </c>
      <c r="AA1469" s="15" t="n"/>
      <c r="AB1469" s="15" t="n"/>
      <c r="AF1469">
        <f>IF(AND($F1469="Closed",$X1469&gt;=DATE(2026,5,1),$X1469&lt;=DATE(2026,5,31)),"Closed in May","Other")</f>
        <v/>
      </c>
    </row>
    <row r="1470">
      <c r="A1470" s="37" t="n">
        <v>46143</v>
      </c>
      <c r="B1470" s="3" t="n">
        <v>2026</v>
      </c>
      <c r="C1470" s="26" t="inlineStr">
        <is>
          <t>Yanara Power</t>
        </is>
      </c>
      <c r="D1470" s="3" t="inlineStr">
        <is>
          <t>Utility and C&amp;I</t>
        </is>
      </c>
      <c r="E1470" s="3" t="n"/>
      <c r="F1470" s="3" t="inlineStr">
        <is>
          <t>Closed</t>
        </is>
      </c>
      <c r="G1470" s="9" t="inlineStr">
        <is>
          <t xml:space="preserve">Ashish Jindal </t>
        </is>
      </c>
      <c r="H1470" s="26" t="n">
        <v>9983975581</v>
      </c>
      <c r="I1470" s="38" t="inlineStr">
        <is>
          <t>PE01052601</t>
        </is>
      </c>
      <c r="J1470" s="26" t="inlineStr">
        <is>
          <t>Multiple Issues</t>
        </is>
      </c>
      <c r="K1470" s="39" t="inlineStr">
        <is>
          <t>Holi</t>
        </is>
      </c>
      <c r="L1470" s="39" t="inlineStr">
        <is>
          <t>Maharashtra</t>
        </is>
      </c>
      <c r="M1470" s="9" t="inlineStr">
        <is>
          <t>PS</t>
        </is>
      </c>
      <c r="N1470" s="3" t="inlineStr">
        <is>
          <t>Cold Soldering</t>
        </is>
      </c>
      <c r="O1470" s="39" t="n">
        <v>575</v>
      </c>
      <c r="P1470" s="46" t="inlineStr">
        <is>
          <t>NSMI24070193940</t>
        </is>
      </c>
      <c r="Q1470" s="53">
        <f>MID(P1470,5,2)</f>
        <v/>
      </c>
      <c r="R1470" s="53">
        <f>MID(P1470,7,2)</f>
        <v/>
      </c>
      <c r="S1470" s="3" t="inlineStr">
        <is>
          <t>G2G</t>
        </is>
      </c>
      <c r="T1470" s="3" t="inlineStr">
        <is>
          <t>P4</t>
        </is>
      </c>
      <c r="U1470" s="19" t="inlineStr">
        <is>
          <t>P JB Cold Soldering</t>
        </is>
      </c>
      <c r="V1470" s="19" t="inlineStr">
        <is>
          <t>Soldering</t>
        </is>
      </c>
      <c r="W1470" s="3" t="inlineStr">
        <is>
          <t>Repair</t>
        </is>
      </c>
      <c r="X1470" s="18" t="n">
        <v>46160</v>
      </c>
      <c r="Y1470" s="73">
        <f>IF(X1470="","",X1470-A1470)</f>
        <v/>
      </c>
      <c r="Z1470" s="18" t="n">
        <v>46160</v>
      </c>
      <c r="AA1470" s="15" t="n"/>
      <c r="AB1470" s="15" t="n"/>
      <c r="AF1470">
        <f>IF(AND($F1470="Closed",$X1470&gt;=DATE(2026,5,1),$X1470&lt;=DATE(2026,5,31)),"Closed in May","Other")</f>
        <v/>
      </c>
    </row>
    <row r="1471">
      <c r="A1471" s="37" t="n">
        <v>46143</v>
      </c>
      <c r="B1471" s="3" t="n">
        <v>2026</v>
      </c>
      <c r="C1471" s="26" t="inlineStr">
        <is>
          <t>Yanara Power</t>
        </is>
      </c>
      <c r="D1471" s="3" t="inlineStr">
        <is>
          <t>Utility and C&amp;I</t>
        </is>
      </c>
      <c r="E1471" s="3" t="n"/>
      <c r="F1471" s="3" t="inlineStr">
        <is>
          <t>Closed</t>
        </is>
      </c>
      <c r="G1471" s="9" t="inlineStr">
        <is>
          <t xml:space="preserve">Ashish Jindal </t>
        </is>
      </c>
      <c r="H1471" s="26" t="n">
        <v>9983975581</v>
      </c>
      <c r="I1471" s="38" t="inlineStr">
        <is>
          <t>PE01052601</t>
        </is>
      </c>
      <c r="J1471" s="26" t="inlineStr">
        <is>
          <t>Multiple Issues</t>
        </is>
      </c>
      <c r="K1471" s="39" t="inlineStr">
        <is>
          <t>Holi</t>
        </is>
      </c>
      <c r="L1471" s="39" t="inlineStr">
        <is>
          <t>Maharashtra</t>
        </is>
      </c>
      <c r="M1471" s="9" t="inlineStr">
        <is>
          <t>NS</t>
        </is>
      </c>
      <c r="N1471" s="3" t="inlineStr">
        <is>
          <t>Cold Soldering</t>
        </is>
      </c>
      <c r="O1471" s="39" t="n">
        <v>575</v>
      </c>
      <c r="P1471" s="46" t="inlineStr">
        <is>
          <t>NSMI24070193984</t>
        </is>
      </c>
      <c r="Q1471" s="53">
        <f>MID(P1471,5,2)</f>
        <v/>
      </c>
      <c r="R1471" s="53">
        <f>MID(P1471,7,2)</f>
        <v/>
      </c>
      <c r="S1471" s="3" t="inlineStr">
        <is>
          <t>G2G</t>
        </is>
      </c>
      <c r="T1471" s="3" t="inlineStr">
        <is>
          <t>P4</t>
        </is>
      </c>
      <c r="U1471" s="3" t="inlineStr">
        <is>
          <t>N JB Cold Soldering</t>
        </is>
      </c>
      <c r="V1471" s="3" t="inlineStr">
        <is>
          <t>Soldering</t>
        </is>
      </c>
      <c r="W1471" s="3" t="inlineStr">
        <is>
          <t>Repair</t>
        </is>
      </c>
      <c r="X1471" s="18" t="n">
        <v>46160</v>
      </c>
      <c r="Y1471" s="73">
        <f>IF(X1471="","",X1471-A1471)</f>
        <v/>
      </c>
      <c r="Z1471" s="18" t="n">
        <v>46160</v>
      </c>
      <c r="AA1471" s="15" t="n"/>
      <c r="AB1471" s="15" t="n"/>
      <c r="AF1471">
        <f>IF(AND($F1471="Closed",$X1471&gt;=DATE(2026,5,1),$X1471&lt;=DATE(2026,5,31)),"Closed in May","Other")</f>
        <v/>
      </c>
    </row>
    <row r="1472">
      <c r="A1472" s="37" t="n">
        <v>46143</v>
      </c>
      <c r="B1472" s="3" t="n">
        <v>2026</v>
      </c>
      <c r="C1472" s="26" t="inlineStr">
        <is>
          <t>Yanara Power</t>
        </is>
      </c>
      <c r="D1472" s="3" t="inlineStr">
        <is>
          <t>Utility and C&amp;I</t>
        </is>
      </c>
      <c r="E1472" s="3" t="n"/>
      <c r="F1472" s="3" t="inlineStr">
        <is>
          <t>Closed</t>
        </is>
      </c>
      <c r="G1472" s="9" t="inlineStr">
        <is>
          <t xml:space="preserve">Ashish Jindal </t>
        </is>
      </c>
      <c r="H1472" s="26" t="n">
        <v>9983975581</v>
      </c>
      <c r="I1472" s="38" t="inlineStr">
        <is>
          <t>PE01052601</t>
        </is>
      </c>
      <c r="J1472" s="26" t="inlineStr">
        <is>
          <t>Multiple Issues</t>
        </is>
      </c>
      <c r="K1472" s="39" t="inlineStr">
        <is>
          <t>Holi</t>
        </is>
      </c>
      <c r="L1472" s="39" t="inlineStr">
        <is>
          <t>Maharashtra</t>
        </is>
      </c>
      <c r="M1472" s="9" t="inlineStr">
        <is>
          <t>PS</t>
        </is>
      </c>
      <c r="N1472" s="3" t="inlineStr">
        <is>
          <t>Cold Soldering</t>
        </is>
      </c>
      <c r="O1472" s="39" t="n">
        <v>575</v>
      </c>
      <c r="P1472" s="46" t="inlineStr">
        <is>
          <t>NSMI24070197770</t>
        </is>
      </c>
      <c r="Q1472" s="53">
        <f>MID(P1472,5,2)</f>
        <v/>
      </c>
      <c r="R1472" s="53">
        <f>MID(P1472,7,2)</f>
        <v/>
      </c>
      <c r="S1472" s="3" t="inlineStr">
        <is>
          <t>G2G</t>
        </is>
      </c>
      <c r="T1472" s="3" t="inlineStr">
        <is>
          <t>P4</t>
        </is>
      </c>
      <c r="U1472" s="19" t="inlineStr">
        <is>
          <t>P JB Cold Soldering</t>
        </is>
      </c>
      <c r="V1472" s="19" t="inlineStr">
        <is>
          <t>Soldering</t>
        </is>
      </c>
      <c r="W1472" s="3" t="inlineStr">
        <is>
          <t>Repair</t>
        </is>
      </c>
      <c r="X1472" s="18" t="n">
        <v>46160</v>
      </c>
      <c r="Y1472" s="73">
        <f>IF(X1472="","",X1472-A1472)</f>
        <v/>
      </c>
      <c r="Z1472" s="18" t="n">
        <v>46160</v>
      </c>
      <c r="AA1472" s="15" t="n"/>
      <c r="AB1472" s="15" t="n"/>
      <c r="AF1472">
        <f>IF(AND($F1472="Closed",$X1472&gt;=DATE(2026,5,1),$X1472&lt;=DATE(2026,5,31)),"Closed in May","Other")</f>
        <v/>
      </c>
    </row>
    <row r="1473">
      <c r="A1473" s="37" t="n">
        <v>46143</v>
      </c>
      <c r="B1473" s="3" t="n">
        <v>2026</v>
      </c>
      <c r="C1473" s="26" t="inlineStr">
        <is>
          <t>Yanara Power</t>
        </is>
      </c>
      <c r="D1473" s="3" t="inlineStr">
        <is>
          <t>Utility and C&amp;I</t>
        </is>
      </c>
      <c r="E1473" s="3" t="n"/>
      <c r="F1473" s="3" t="inlineStr">
        <is>
          <t>Closed</t>
        </is>
      </c>
      <c r="G1473" s="9" t="inlineStr">
        <is>
          <t xml:space="preserve">Ashish Jindal </t>
        </is>
      </c>
      <c r="H1473" s="26" t="n">
        <v>9983975581</v>
      </c>
      <c r="I1473" s="38" t="inlineStr">
        <is>
          <t>PE01052601</t>
        </is>
      </c>
      <c r="J1473" s="26" t="inlineStr">
        <is>
          <t>Multiple Issues</t>
        </is>
      </c>
      <c r="K1473" s="39" t="inlineStr">
        <is>
          <t>Holi</t>
        </is>
      </c>
      <c r="L1473" s="39" t="inlineStr">
        <is>
          <t>Maharashtra</t>
        </is>
      </c>
      <c r="M1473" s="9" t="inlineStr">
        <is>
          <t>PS</t>
        </is>
      </c>
      <c r="N1473" s="3" t="inlineStr">
        <is>
          <t>Cold Soldering</t>
        </is>
      </c>
      <c r="O1473" s="39" t="n">
        <v>575</v>
      </c>
      <c r="P1473" s="46" t="inlineStr">
        <is>
          <t>NSMI24070197965</t>
        </is>
      </c>
      <c r="Q1473" s="53">
        <f>MID(P1473,5,2)</f>
        <v/>
      </c>
      <c r="R1473" s="53">
        <f>MID(P1473,7,2)</f>
        <v/>
      </c>
      <c r="S1473" s="3" t="inlineStr">
        <is>
          <t>G2G</t>
        </is>
      </c>
      <c r="T1473" s="3" t="inlineStr">
        <is>
          <t>P4</t>
        </is>
      </c>
      <c r="U1473" s="19" t="inlineStr">
        <is>
          <t>P JB Cold Soldering</t>
        </is>
      </c>
      <c r="V1473" s="19" t="inlineStr">
        <is>
          <t>Soldering</t>
        </is>
      </c>
      <c r="W1473" s="3" t="inlineStr">
        <is>
          <t>Repair</t>
        </is>
      </c>
      <c r="X1473" s="18" t="n">
        <v>46160</v>
      </c>
      <c r="Y1473" s="73">
        <f>IF(X1473="","",X1473-A1473)</f>
        <v/>
      </c>
      <c r="Z1473" s="18" t="n">
        <v>46160</v>
      </c>
      <c r="AA1473" s="15" t="n"/>
      <c r="AB1473" s="15" t="n"/>
      <c r="AF1473">
        <f>IF(AND($F1473="Closed",$X1473&gt;=DATE(2026,5,1),$X1473&lt;=DATE(2026,5,31)),"Closed in May","Other")</f>
        <v/>
      </c>
    </row>
    <row r="1474">
      <c r="A1474" s="37" t="n">
        <v>46143</v>
      </c>
      <c r="B1474" s="3" t="n">
        <v>2026</v>
      </c>
      <c r="C1474" s="26" t="inlineStr">
        <is>
          <t>Yanara Power</t>
        </is>
      </c>
      <c r="D1474" s="3" t="inlineStr">
        <is>
          <t>Utility and C&amp;I</t>
        </is>
      </c>
      <c r="E1474" s="3" t="n"/>
      <c r="F1474" s="3" t="inlineStr">
        <is>
          <t>Closed</t>
        </is>
      </c>
      <c r="G1474" s="9" t="inlineStr">
        <is>
          <t xml:space="preserve">Ashish Jindal </t>
        </is>
      </c>
      <c r="H1474" s="26" t="n">
        <v>9983975581</v>
      </c>
      <c r="I1474" s="38" t="inlineStr">
        <is>
          <t>PE01052601</t>
        </is>
      </c>
      <c r="J1474" s="26" t="inlineStr">
        <is>
          <t>Multiple Issues</t>
        </is>
      </c>
      <c r="K1474" s="39" t="inlineStr">
        <is>
          <t>Holi</t>
        </is>
      </c>
      <c r="L1474" s="39" t="inlineStr">
        <is>
          <t>Maharashtra</t>
        </is>
      </c>
      <c r="M1474" s="9" t="inlineStr">
        <is>
          <t>PS</t>
        </is>
      </c>
      <c r="N1474" s="3" t="inlineStr">
        <is>
          <t>Cold Soldering</t>
        </is>
      </c>
      <c r="O1474" s="39" t="n">
        <v>575</v>
      </c>
      <c r="P1474" s="46" t="inlineStr">
        <is>
          <t>NSMI24070179957</t>
        </is>
      </c>
      <c r="Q1474" s="53">
        <f>MID(P1474,5,2)</f>
        <v/>
      </c>
      <c r="R1474" s="53">
        <f>MID(P1474,7,2)</f>
        <v/>
      </c>
      <c r="S1474" s="3" t="inlineStr">
        <is>
          <t>G2G</t>
        </is>
      </c>
      <c r="T1474" s="3" t="inlineStr">
        <is>
          <t>P4</t>
        </is>
      </c>
      <c r="U1474" s="19" t="inlineStr">
        <is>
          <t>P JB Cold Soldering</t>
        </is>
      </c>
      <c r="V1474" s="19" t="inlineStr">
        <is>
          <t>Soldering</t>
        </is>
      </c>
      <c r="W1474" s="3" t="inlineStr">
        <is>
          <t>Repair</t>
        </is>
      </c>
      <c r="X1474" s="18" t="n">
        <v>46160</v>
      </c>
      <c r="Y1474" s="73">
        <f>IF(X1474="","",X1474-A1474)</f>
        <v/>
      </c>
      <c r="Z1474" s="18" t="n">
        <v>46160</v>
      </c>
      <c r="AA1474" s="15" t="n"/>
      <c r="AB1474" s="15" t="n"/>
      <c r="AF1474">
        <f>IF(AND($F1474="Closed",$X1474&gt;=DATE(2026,5,1),$X1474&lt;=DATE(2026,5,31)),"Closed in May","Other")</f>
        <v/>
      </c>
    </row>
    <row r="1475">
      <c r="A1475" s="37" t="n">
        <v>46143</v>
      </c>
      <c r="B1475" s="3" t="n">
        <v>2026</v>
      </c>
      <c r="C1475" s="26" t="inlineStr">
        <is>
          <t>Yanara Power</t>
        </is>
      </c>
      <c r="D1475" s="3" t="inlineStr">
        <is>
          <t>Utility and C&amp;I</t>
        </is>
      </c>
      <c r="E1475" s="3" t="n"/>
      <c r="F1475" s="3" t="inlineStr">
        <is>
          <t>Closed</t>
        </is>
      </c>
      <c r="G1475" s="9" t="inlineStr">
        <is>
          <t xml:space="preserve">Ashish Jindal </t>
        </is>
      </c>
      <c r="H1475" s="26" t="n">
        <v>9983975581</v>
      </c>
      <c r="I1475" s="38" t="inlineStr">
        <is>
          <t>PE01052601</t>
        </is>
      </c>
      <c r="J1475" s="26" t="inlineStr">
        <is>
          <t>Multiple Issues</t>
        </is>
      </c>
      <c r="K1475" s="39" t="inlineStr">
        <is>
          <t>Holi</t>
        </is>
      </c>
      <c r="L1475" s="39" t="inlineStr">
        <is>
          <t>Maharashtra</t>
        </is>
      </c>
      <c r="M1475" s="9" t="inlineStr">
        <is>
          <t>NS</t>
        </is>
      </c>
      <c r="N1475" s="3" t="inlineStr">
        <is>
          <t>Cold Soldering</t>
        </is>
      </c>
      <c r="O1475" s="39" t="n">
        <v>575</v>
      </c>
      <c r="P1475" s="46" t="inlineStr">
        <is>
          <t>NSMI24070181699</t>
        </is>
      </c>
      <c r="Q1475" s="53">
        <f>MID(P1475,5,2)</f>
        <v/>
      </c>
      <c r="R1475" s="53">
        <f>MID(P1475,7,2)</f>
        <v/>
      </c>
      <c r="S1475" s="3" t="inlineStr">
        <is>
          <t>G2G</t>
        </is>
      </c>
      <c r="T1475" s="3" t="inlineStr">
        <is>
          <t>P4</t>
        </is>
      </c>
      <c r="U1475" s="3" t="inlineStr">
        <is>
          <t>N JB Cold Soldering</t>
        </is>
      </c>
      <c r="V1475" s="3" t="inlineStr">
        <is>
          <t>Soldering</t>
        </is>
      </c>
      <c r="W1475" s="3" t="inlineStr">
        <is>
          <t>Repair</t>
        </is>
      </c>
      <c r="X1475" s="18" t="n">
        <v>46160</v>
      </c>
      <c r="Y1475" s="73">
        <f>IF(X1475="","",X1475-A1475)</f>
        <v/>
      </c>
      <c r="Z1475" s="18" t="n">
        <v>46160</v>
      </c>
      <c r="AA1475" s="15" t="n"/>
      <c r="AB1475" s="15" t="n"/>
      <c r="AF1475">
        <f>IF(AND($F1475="Closed",$X1475&gt;=DATE(2026,5,1),$X1475&lt;=DATE(2026,5,31)),"Closed in May","Other")</f>
        <v/>
      </c>
    </row>
    <row r="1476">
      <c r="A1476" s="37" t="n">
        <v>46143</v>
      </c>
      <c r="B1476" s="3" t="n">
        <v>2026</v>
      </c>
      <c r="C1476" s="26" t="inlineStr">
        <is>
          <t>Yanara Power</t>
        </is>
      </c>
      <c r="D1476" s="3" t="inlineStr">
        <is>
          <t>Utility and C&amp;I</t>
        </is>
      </c>
      <c r="E1476" s="3" t="n"/>
      <c r="F1476" s="3" t="inlineStr">
        <is>
          <t>Closed</t>
        </is>
      </c>
      <c r="G1476" s="9" t="inlineStr">
        <is>
          <t xml:space="preserve">Ashish Jindal </t>
        </is>
      </c>
      <c r="H1476" s="26" t="n">
        <v>9983975581</v>
      </c>
      <c r="I1476" s="38" t="inlineStr">
        <is>
          <t>PE01052601</t>
        </is>
      </c>
      <c r="J1476" s="26" t="inlineStr">
        <is>
          <t>Multiple Issues</t>
        </is>
      </c>
      <c r="K1476" s="39" t="inlineStr">
        <is>
          <t>Holi</t>
        </is>
      </c>
      <c r="L1476" s="39" t="inlineStr">
        <is>
          <t>Maharashtra</t>
        </is>
      </c>
      <c r="M1476" s="9" t="inlineStr">
        <is>
          <t>PS</t>
        </is>
      </c>
      <c r="N1476" s="3" t="inlineStr">
        <is>
          <t>Cold Soldering</t>
        </is>
      </c>
      <c r="O1476" s="39" t="n">
        <v>575</v>
      </c>
      <c r="P1476" s="46" t="inlineStr">
        <is>
          <t>NSMI24070179987</t>
        </is>
      </c>
      <c r="Q1476" s="53">
        <f>MID(P1476,5,2)</f>
        <v/>
      </c>
      <c r="R1476" s="53">
        <f>MID(P1476,7,2)</f>
        <v/>
      </c>
      <c r="S1476" s="3" t="inlineStr">
        <is>
          <t>G2G</t>
        </is>
      </c>
      <c r="T1476" s="3" t="inlineStr">
        <is>
          <t>P4</t>
        </is>
      </c>
      <c r="U1476" s="19" t="inlineStr">
        <is>
          <t>P JB Cold Soldering</t>
        </is>
      </c>
      <c r="V1476" s="19" t="inlineStr">
        <is>
          <t>Soldering</t>
        </is>
      </c>
      <c r="W1476" s="3" t="inlineStr">
        <is>
          <t>Repair</t>
        </is>
      </c>
      <c r="X1476" s="18" t="n">
        <v>46160</v>
      </c>
      <c r="Y1476" s="73">
        <f>IF(X1476="","",X1476-A1476)</f>
        <v/>
      </c>
      <c r="Z1476" s="18" t="n">
        <v>46160</v>
      </c>
      <c r="AA1476" s="15" t="n"/>
      <c r="AB1476" s="15" t="n"/>
      <c r="AF1476">
        <f>IF(AND($F1476="Closed",$X1476&gt;=DATE(2026,5,1),$X1476&lt;=DATE(2026,5,31)),"Closed in May","Other")</f>
        <v/>
      </c>
    </row>
    <row r="1477">
      <c r="A1477" s="37" t="n">
        <v>46143</v>
      </c>
      <c r="B1477" s="3" t="n">
        <v>2026</v>
      </c>
      <c r="C1477" s="26" t="inlineStr">
        <is>
          <t>Yanara Power</t>
        </is>
      </c>
      <c r="D1477" s="3" t="inlineStr">
        <is>
          <t>Utility and C&amp;I</t>
        </is>
      </c>
      <c r="E1477" s="3" t="n"/>
      <c r="F1477" s="3" t="inlineStr">
        <is>
          <t>Closed</t>
        </is>
      </c>
      <c r="G1477" s="9" t="inlineStr">
        <is>
          <t xml:space="preserve">Ashish Jindal </t>
        </is>
      </c>
      <c r="H1477" s="26" t="n">
        <v>9983975581</v>
      </c>
      <c r="I1477" s="38" t="inlineStr">
        <is>
          <t>PE01052601</t>
        </is>
      </c>
      <c r="J1477" s="26" t="inlineStr">
        <is>
          <t>Multiple Issues</t>
        </is>
      </c>
      <c r="K1477" s="39" t="inlineStr">
        <is>
          <t>Holi</t>
        </is>
      </c>
      <c r="L1477" s="39" t="inlineStr">
        <is>
          <t>Maharashtra</t>
        </is>
      </c>
      <c r="M1477" s="9" t="inlineStr">
        <is>
          <t>PS</t>
        </is>
      </c>
      <c r="N1477" s="3" t="inlineStr">
        <is>
          <t>Cold Soldering</t>
        </is>
      </c>
      <c r="O1477" s="39" t="n">
        <v>575</v>
      </c>
      <c r="P1477" s="46" t="inlineStr">
        <is>
          <t>NSMI24070183981</t>
        </is>
      </c>
      <c r="Q1477" s="53">
        <f>MID(P1477,5,2)</f>
        <v/>
      </c>
      <c r="R1477" s="53">
        <f>MID(P1477,7,2)</f>
        <v/>
      </c>
      <c r="S1477" s="3" t="inlineStr">
        <is>
          <t>G2G</t>
        </is>
      </c>
      <c r="T1477" s="3" t="inlineStr">
        <is>
          <t>P4</t>
        </is>
      </c>
      <c r="U1477" s="19" t="inlineStr">
        <is>
          <t>P JB Cold Soldering</t>
        </is>
      </c>
      <c r="V1477" s="19" t="inlineStr">
        <is>
          <t>Soldering</t>
        </is>
      </c>
      <c r="W1477" s="3" t="inlineStr">
        <is>
          <t>Repair</t>
        </is>
      </c>
      <c r="X1477" s="18" t="n">
        <v>46160</v>
      </c>
      <c r="Y1477" s="73">
        <f>IF(X1477="","",X1477-A1477)</f>
        <v/>
      </c>
      <c r="Z1477" s="18" t="n">
        <v>46160</v>
      </c>
      <c r="AA1477" s="15" t="n"/>
      <c r="AB1477" s="15" t="n"/>
      <c r="AF1477">
        <f>IF(AND($F1477="Closed",$X1477&gt;=DATE(2026,5,1),$X1477&lt;=DATE(2026,5,31)),"Closed in May","Other")</f>
        <v/>
      </c>
    </row>
    <row r="1478">
      <c r="A1478" s="37" t="n">
        <v>46143</v>
      </c>
      <c r="B1478" s="3" t="n">
        <v>2026</v>
      </c>
      <c r="C1478" s="26" t="inlineStr">
        <is>
          <t>Yanara Power</t>
        </is>
      </c>
      <c r="D1478" s="3" t="inlineStr">
        <is>
          <t>Utility and C&amp;I</t>
        </is>
      </c>
      <c r="E1478" s="3" t="n"/>
      <c r="F1478" s="3" t="inlineStr">
        <is>
          <t>Closed</t>
        </is>
      </c>
      <c r="G1478" s="9" t="inlineStr">
        <is>
          <t xml:space="preserve">Ashish Jindal </t>
        </is>
      </c>
      <c r="H1478" s="26" t="n">
        <v>9983975581</v>
      </c>
      <c r="I1478" s="38" t="inlineStr">
        <is>
          <t>PE01052601</t>
        </is>
      </c>
      <c r="J1478" s="26" t="inlineStr">
        <is>
          <t>Multiple Issues</t>
        </is>
      </c>
      <c r="K1478" s="39" t="inlineStr">
        <is>
          <t>Holi</t>
        </is>
      </c>
      <c r="L1478" s="39" t="inlineStr">
        <is>
          <t>Maharashtra</t>
        </is>
      </c>
      <c r="M1478" s="9" t="inlineStr">
        <is>
          <t>NS</t>
        </is>
      </c>
      <c r="N1478" s="3" t="inlineStr">
        <is>
          <t>Cold Soldering</t>
        </is>
      </c>
      <c r="O1478" s="39" t="n">
        <v>575</v>
      </c>
      <c r="P1478" s="46" t="inlineStr">
        <is>
          <t>NSMI24070183955</t>
        </is>
      </c>
      <c r="Q1478" s="53">
        <f>MID(P1478,5,2)</f>
        <v/>
      </c>
      <c r="R1478" s="53">
        <f>MID(P1478,7,2)</f>
        <v/>
      </c>
      <c r="S1478" s="3" t="inlineStr">
        <is>
          <t>G2G</t>
        </is>
      </c>
      <c r="T1478" s="3" t="inlineStr">
        <is>
          <t>P4</t>
        </is>
      </c>
      <c r="U1478" s="3" t="inlineStr">
        <is>
          <t>N JB Cold Soldering</t>
        </is>
      </c>
      <c r="V1478" s="3" t="inlineStr">
        <is>
          <t>Soldering</t>
        </is>
      </c>
      <c r="W1478" s="3" t="inlineStr">
        <is>
          <t>Repair</t>
        </is>
      </c>
      <c r="X1478" s="18" t="n">
        <v>46160</v>
      </c>
      <c r="Y1478" s="73">
        <f>IF(X1478="","",X1478-A1478)</f>
        <v/>
      </c>
      <c r="Z1478" s="18" t="n">
        <v>46160</v>
      </c>
      <c r="AA1478" s="15" t="n"/>
      <c r="AB1478" s="15" t="n"/>
      <c r="AF1478">
        <f>IF(AND($F1478="Closed",$X1478&gt;=DATE(2026,5,1),$X1478&lt;=DATE(2026,5,31)),"Closed in May","Other")</f>
        <v/>
      </c>
    </row>
    <row r="1479">
      <c r="A1479" s="37" t="n">
        <v>46143</v>
      </c>
      <c r="B1479" s="3" t="n">
        <v>2026</v>
      </c>
      <c r="C1479" s="26" t="inlineStr">
        <is>
          <t>Yanara Power</t>
        </is>
      </c>
      <c r="D1479" s="3" t="inlineStr">
        <is>
          <t>Utility and C&amp;I</t>
        </is>
      </c>
      <c r="E1479" s="3" t="n"/>
      <c r="F1479" s="3" t="inlineStr">
        <is>
          <t>Closed</t>
        </is>
      </c>
      <c r="G1479" s="9" t="inlineStr">
        <is>
          <t xml:space="preserve">Ashish Jindal </t>
        </is>
      </c>
      <c r="H1479" s="26" t="n">
        <v>9983975581</v>
      </c>
      <c r="I1479" s="38" t="inlineStr">
        <is>
          <t>PE01052601</t>
        </is>
      </c>
      <c r="J1479" s="26" t="inlineStr">
        <is>
          <t>Multiple Issues</t>
        </is>
      </c>
      <c r="K1479" s="39" t="inlineStr">
        <is>
          <t>Holi</t>
        </is>
      </c>
      <c r="L1479" s="39" t="inlineStr">
        <is>
          <t>Maharashtra</t>
        </is>
      </c>
      <c r="M1479" s="9" t="inlineStr">
        <is>
          <t>PS</t>
        </is>
      </c>
      <c r="N1479" s="3" t="inlineStr">
        <is>
          <t>Cold Soldering</t>
        </is>
      </c>
      <c r="O1479" s="39" t="n">
        <v>575</v>
      </c>
      <c r="P1479" s="46" t="inlineStr">
        <is>
          <t>NSMI24070182406</t>
        </is>
      </c>
      <c r="Q1479" s="53">
        <f>MID(P1479,5,2)</f>
        <v/>
      </c>
      <c r="R1479" s="53">
        <f>MID(P1479,7,2)</f>
        <v/>
      </c>
      <c r="S1479" s="3" t="inlineStr">
        <is>
          <t>G2G</t>
        </is>
      </c>
      <c r="T1479" s="3" t="inlineStr">
        <is>
          <t>P4</t>
        </is>
      </c>
      <c r="U1479" s="19" t="inlineStr">
        <is>
          <t>P JB Cold Soldering</t>
        </is>
      </c>
      <c r="V1479" s="19" t="inlineStr">
        <is>
          <t>Soldering</t>
        </is>
      </c>
      <c r="W1479" s="3" t="inlineStr">
        <is>
          <t>Repair</t>
        </is>
      </c>
      <c r="X1479" s="18" t="n">
        <v>46160</v>
      </c>
      <c r="Y1479" s="73">
        <f>IF(X1479="","",X1479-A1479)</f>
        <v/>
      </c>
      <c r="Z1479" s="18" t="n">
        <v>46160</v>
      </c>
      <c r="AA1479" s="15" t="n"/>
      <c r="AB1479" s="15" t="n"/>
      <c r="AF1479">
        <f>IF(AND($F1479="Closed",$X1479&gt;=DATE(2026,5,1),$X1479&lt;=DATE(2026,5,31)),"Closed in May","Other")</f>
        <v/>
      </c>
    </row>
    <row r="1480">
      <c r="A1480" s="37" t="n">
        <v>46143</v>
      </c>
      <c r="B1480" s="3" t="n">
        <v>2026</v>
      </c>
      <c r="C1480" s="26" t="inlineStr">
        <is>
          <t>Yanara Power</t>
        </is>
      </c>
      <c r="D1480" s="3" t="inlineStr">
        <is>
          <t>Utility and C&amp;I</t>
        </is>
      </c>
      <c r="E1480" s="3" t="n"/>
      <c r="F1480" s="3" t="inlineStr">
        <is>
          <t>Closed</t>
        </is>
      </c>
      <c r="G1480" s="9" t="inlineStr">
        <is>
          <t xml:space="preserve">Ashish Jindal </t>
        </is>
      </c>
      <c r="H1480" s="26" t="n">
        <v>9983975581</v>
      </c>
      <c r="I1480" s="38" t="inlineStr">
        <is>
          <t>PE01052601</t>
        </is>
      </c>
      <c r="J1480" s="26" t="inlineStr">
        <is>
          <t>Multiple Issues</t>
        </is>
      </c>
      <c r="K1480" s="39" t="inlineStr">
        <is>
          <t>Holi</t>
        </is>
      </c>
      <c r="L1480" s="39" t="inlineStr">
        <is>
          <t>Maharashtra</t>
        </is>
      </c>
      <c r="M1480" s="9" t="inlineStr">
        <is>
          <t>PS</t>
        </is>
      </c>
      <c r="N1480" s="3" t="inlineStr">
        <is>
          <t>Cold Soldering</t>
        </is>
      </c>
      <c r="O1480" s="39" t="n">
        <v>575</v>
      </c>
      <c r="P1480" s="46" t="inlineStr">
        <is>
          <t>NSMI24070182354</t>
        </is>
      </c>
      <c r="Q1480" s="53">
        <f>MID(P1480,5,2)</f>
        <v/>
      </c>
      <c r="R1480" s="53">
        <f>MID(P1480,7,2)</f>
        <v/>
      </c>
      <c r="S1480" s="3" t="inlineStr">
        <is>
          <t>G2G</t>
        </is>
      </c>
      <c r="T1480" s="3" t="inlineStr">
        <is>
          <t>P4</t>
        </is>
      </c>
      <c r="U1480" s="19" t="inlineStr">
        <is>
          <t>P JB Cold Soldering</t>
        </is>
      </c>
      <c r="V1480" s="19" t="inlineStr">
        <is>
          <t>Soldering</t>
        </is>
      </c>
      <c r="W1480" s="3" t="inlineStr">
        <is>
          <t>Repair</t>
        </is>
      </c>
      <c r="X1480" s="18" t="n">
        <v>46160</v>
      </c>
      <c r="Y1480" s="73">
        <f>IF(X1480="","",X1480-A1480)</f>
        <v/>
      </c>
      <c r="Z1480" s="18" t="n">
        <v>46160</v>
      </c>
      <c r="AA1480" s="15" t="n"/>
      <c r="AB1480" s="15" t="n"/>
      <c r="AF1480">
        <f>IF(AND($F1480="Closed",$X1480&gt;=DATE(2026,5,1),$X1480&lt;=DATE(2026,5,31)),"Closed in May","Other")</f>
        <v/>
      </c>
    </row>
    <row r="1481">
      <c r="A1481" s="37" t="n">
        <v>46143</v>
      </c>
      <c r="B1481" s="3" t="n">
        <v>2026</v>
      </c>
      <c r="C1481" s="26" t="inlineStr">
        <is>
          <t>Yanara Power</t>
        </is>
      </c>
      <c r="D1481" s="3" t="inlineStr">
        <is>
          <t>Utility and C&amp;I</t>
        </is>
      </c>
      <c r="E1481" s="3" t="n"/>
      <c r="F1481" s="3" t="inlineStr">
        <is>
          <t>Closed</t>
        </is>
      </c>
      <c r="G1481" s="9" t="inlineStr">
        <is>
          <t xml:space="preserve">Ashish Jindal </t>
        </is>
      </c>
      <c r="H1481" s="26" t="n">
        <v>9983975581</v>
      </c>
      <c r="I1481" s="38" t="inlineStr">
        <is>
          <t>PE01052601</t>
        </is>
      </c>
      <c r="J1481" s="26" t="inlineStr">
        <is>
          <t>Multiple Issues</t>
        </is>
      </c>
      <c r="K1481" s="39" t="inlineStr">
        <is>
          <t>Holi</t>
        </is>
      </c>
      <c r="L1481" s="39" t="inlineStr">
        <is>
          <t>Maharashtra</t>
        </is>
      </c>
      <c r="M1481" s="9" t="inlineStr">
        <is>
          <t>PS</t>
        </is>
      </c>
      <c r="N1481" s="3" t="inlineStr">
        <is>
          <t>Cold Soldering</t>
        </is>
      </c>
      <c r="O1481" s="39" t="n">
        <v>575</v>
      </c>
      <c r="P1481" s="46" t="inlineStr">
        <is>
          <t>NSMI24070179430</t>
        </is>
      </c>
      <c r="Q1481" s="53">
        <f>MID(P1481,5,2)</f>
        <v/>
      </c>
      <c r="R1481" s="53">
        <f>MID(P1481,7,2)</f>
        <v/>
      </c>
      <c r="S1481" s="3" t="inlineStr">
        <is>
          <t>G2G</t>
        </is>
      </c>
      <c r="T1481" s="3" t="inlineStr">
        <is>
          <t>P4</t>
        </is>
      </c>
      <c r="U1481" s="19" t="inlineStr">
        <is>
          <t>P JB Cold Soldering</t>
        </is>
      </c>
      <c r="V1481" s="19" t="inlineStr">
        <is>
          <t>Soldering</t>
        </is>
      </c>
      <c r="W1481" s="3" t="inlineStr">
        <is>
          <t>Repair</t>
        </is>
      </c>
      <c r="X1481" s="18" t="n">
        <v>46160</v>
      </c>
      <c r="Y1481" s="73">
        <f>IF(X1481="","",X1481-A1481)</f>
        <v/>
      </c>
      <c r="Z1481" s="18" t="n">
        <v>46160</v>
      </c>
      <c r="AA1481" s="15" t="n"/>
      <c r="AB1481" s="15" t="n"/>
      <c r="AF1481">
        <f>IF(AND($F1481="Closed",$X1481&gt;=DATE(2026,5,1),$X1481&lt;=DATE(2026,5,31)),"Closed in May","Other")</f>
        <v/>
      </c>
    </row>
    <row r="1482">
      <c r="A1482" s="37" t="n">
        <v>46143</v>
      </c>
      <c r="B1482" s="3" t="n">
        <v>2026</v>
      </c>
      <c r="C1482" s="26" t="inlineStr">
        <is>
          <t>Yanara Power</t>
        </is>
      </c>
      <c r="D1482" s="3" t="inlineStr">
        <is>
          <t>Utility and C&amp;I</t>
        </is>
      </c>
      <c r="E1482" s="3" t="n"/>
      <c r="F1482" s="3" t="inlineStr">
        <is>
          <t>Closed</t>
        </is>
      </c>
      <c r="G1482" s="9" t="inlineStr">
        <is>
          <t xml:space="preserve">Ashish Jindal </t>
        </is>
      </c>
      <c r="H1482" s="26" t="n">
        <v>9983975581</v>
      </c>
      <c r="I1482" s="38" t="inlineStr">
        <is>
          <t>PE01052601</t>
        </is>
      </c>
      <c r="J1482" s="26" t="inlineStr">
        <is>
          <t>Multiple Issues</t>
        </is>
      </c>
      <c r="K1482" s="39" t="inlineStr">
        <is>
          <t>Holi</t>
        </is>
      </c>
      <c r="L1482" s="39" t="inlineStr">
        <is>
          <t>Maharashtra</t>
        </is>
      </c>
      <c r="M1482" s="9" t="inlineStr">
        <is>
          <t>NS</t>
        </is>
      </c>
      <c r="N1482" s="3" t="inlineStr">
        <is>
          <t>Cold Soldering</t>
        </is>
      </c>
      <c r="O1482" s="39" t="n">
        <v>575</v>
      </c>
      <c r="P1482" s="46" t="inlineStr">
        <is>
          <t>NSMI24070179398</t>
        </is>
      </c>
      <c r="Q1482" s="53">
        <f>MID(P1482,5,2)</f>
        <v/>
      </c>
      <c r="R1482" s="53">
        <f>MID(P1482,7,2)</f>
        <v/>
      </c>
      <c r="S1482" s="3" t="inlineStr">
        <is>
          <t>G2G</t>
        </is>
      </c>
      <c r="T1482" s="3" t="inlineStr">
        <is>
          <t>P4</t>
        </is>
      </c>
      <c r="U1482" s="3" t="inlineStr">
        <is>
          <t>N JB Cold Soldering</t>
        </is>
      </c>
      <c r="V1482" s="3" t="inlineStr">
        <is>
          <t>Soldering</t>
        </is>
      </c>
      <c r="W1482" s="3" t="inlineStr">
        <is>
          <t>Repair</t>
        </is>
      </c>
      <c r="X1482" s="18" t="n">
        <v>46160</v>
      </c>
      <c r="Y1482" s="73">
        <f>IF(X1482="","",X1482-A1482)</f>
        <v/>
      </c>
      <c r="Z1482" s="18" t="n">
        <v>46160</v>
      </c>
      <c r="AA1482" s="15" t="n"/>
      <c r="AB1482" s="15" t="n"/>
      <c r="AF1482">
        <f>IF(AND($F1482="Closed",$X1482&gt;=DATE(2026,5,1),$X1482&lt;=DATE(2026,5,31)),"Closed in May","Other")</f>
        <v/>
      </c>
    </row>
    <row r="1483">
      <c r="A1483" s="37" t="n">
        <v>46143</v>
      </c>
      <c r="B1483" s="3" t="n">
        <v>2026</v>
      </c>
      <c r="C1483" s="26" t="inlineStr">
        <is>
          <t>Yanara Power</t>
        </is>
      </c>
      <c r="D1483" s="3" t="inlineStr">
        <is>
          <t>Utility and C&amp;I</t>
        </is>
      </c>
      <c r="E1483" s="3" t="n"/>
      <c r="F1483" s="3" t="inlineStr">
        <is>
          <t>Closed</t>
        </is>
      </c>
      <c r="G1483" s="9" t="inlineStr">
        <is>
          <t xml:space="preserve">Ashish Jindal </t>
        </is>
      </c>
      <c r="H1483" s="26" t="n">
        <v>9983975581</v>
      </c>
      <c r="I1483" s="38" t="inlineStr">
        <is>
          <t>PE01052601</t>
        </is>
      </c>
      <c r="J1483" s="26" t="inlineStr">
        <is>
          <t>Multiple Issues</t>
        </is>
      </c>
      <c r="K1483" s="39" t="inlineStr">
        <is>
          <t>Holi</t>
        </is>
      </c>
      <c r="L1483" s="39" t="inlineStr">
        <is>
          <t>Maharashtra</t>
        </is>
      </c>
      <c r="M1483" s="9" t="inlineStr">
        <is>
          <t>PS</t>
        </is>
      </c>
      <c r="N1483" s="3" t="inlineStr">
        <is>
          <t>Cold Soldering</t>
        </is>
      </c>
      <c r="O1483" s="39" t="n">
        <v>575</v>
      </c>
      <c r="P1483" s="46" t="inlineStr">
        <is>
          <t>NSMI24070189479</t>
        </is>
      </c>
      <c r="Q1483" s="53">
        <f>MID(P1483,5,2)</f>
        <v/>
      </c>
      <c r="R1483" s="53">
        <f>MID(P1483,7,2)</f>
        <v/>
      </c>
      <c r="S1483" s="3" t="inlineStr">
        <is>
          <t>G2G</t>
        </is>
      </c>
      <c r="T1483" s="3" t="inlineStr">
        <is>
          <t>P4</t>
        </is>
      </c>
      <c r="U1483" s="19" t="inlineStr">
        <is>
          <t>P JB Cold Soldering</t>
        </is>
      </c>
      <c r="V1483" s="19" t="inlineStr">
        <is>
          <t>Soldering</t>
        </is>
      </c>
      <c r="W1483" s="3" t="inlineStr">
        <is>
          <t>Repair</t>
        </is>
      </c>
      <c r="X1483" s="18" t="n">
        <v>46160</v>
      </c>
      <c r="Y1483" s="73">
        <f>IF(X1483="","",X1483-A1483)</f>
        <v/>
      </c>
      <c r="Z1483" s="18" t="n">
        <v>46160</v>
      </c>
      <c r="AA1483" s="15" t="n"/>
      <c r="AB1483" s="15" t="n"/>
      <c r="AF1483">
        <f>IF(AND($F1483="Closed",$X1483&gt;=DATE(2026,5,1),$X1483&lt;=DATE(2026,5,31)),"Closed in May","Other")</f>
        <v/>
      </c>
    </row>
    <row r="1484">
      <c r="A1484" s="37" t="n">
        <v>46143</v>
      </c>
      <c r="B1484" s="3" t="n">
        <v>2026</v>
      </c>
      <c r="C1484" s="26" t="inlineStr">
        <is>
          <t>Yanara Power</t>
        </is>
      </c>
      <c r="D1484" s="3" t="inlineStr">
        <is>
          <t>Utility and C&amp;I</t>
        </is>
      </c>
      <c r="E1484" s="3" t="n"/>
      <c r="F1484" s="3" t="inlineStr">
        <is>
          <t>Closed</t>
        </is>
      </c>
      <c r="G1484" s="9" t="inlineStr">
        <is>
          <t xml:space="preserve">Ashish Jindal </t>
        </is>
      </c>
      <c r="H1484" s="26" t="n">
        <v>9983975581</v>
      </c>
      <c r="I1484" s="38" t="inlineStr">
        <is>
          <t>PE01052601</t>
        </is>
      </c>
      <c r="J1484" s="26" t="inlineStr">
        <is>
          <t>Multiple Issues</t>
        </is>
      </c>
      <c r="K1484" s="39" t="inlineStr">
        <is>
          <t>Holi</t>
        </is>
      </c>
      <c r="L1484" s="39" t="inlineStr">
        <is>
          <t>Maharashtra</t>
        </is>
      </c>
      <c r="M1484" s="9" t="inlineStr">
        <is>
          <t>PS</t>
        </is>
      </c>
      <c r="N1484" s="3" t="inlineStr">
        <is>
          <t>Cold Soldering</t>
        </is>
      </c>
      <c r="O1484" s="39" t="n">
        <v>575</v>
      </c>
      <c r="P1484" s="46" t="inlineStr">
        <is>
          <t>NSMI24070182227</t>
        </is>
      </c>
      <c r="Q1484" s="53">
        <f>MID(P1484,5,2)</f>
        <v/>
      </c>
      <c r="R1484" s="53">
        <f>MID(P1484,7,2)</f>
        <v/>
      </c>
      <c r="S1484" s="3" t="inlineStr">
        <is>
          <t>G2G</t>
        </is>
      </c>
      <c r="T1484" s="3" t="inlineStr">
        <is>
          <t>P4</t>
        </is>
      </c>
      <c r="U1484" s="19" t="inlineStr">
        <is>
          <t>P JB Cold Soldering</t>
        </is>
      </c>
      <c r="V1484" s="19" t="inlineStr">
        <is>
          <t>Soldering</t>
        </is>
      </c>
      <c r="W1484" s="3" t="inlineStr">
        <is>
          <t>Repair</t>
        </is>
      </c>
      <c r="X1484" s="18" t="n">
        <v>46160</v>
      </c>
      <c r="Y1484" s="73">
        <f>IF(X1484="","",X1484-A1484)</f>
        <v/>
      </c>
      <c r="Z1484" s="18" t="n">
        <v>46160</v>
      </c>
      <c r="AA1484" s="15" t="n"/>
      <c r="AB1484" s="15" t="n"/>
      <c r="AF1484">
        <f>IF(AND($F1484="Closed",$X1484&gt;=DATE(2026,5,1),$X1484&lt;=DATE(2026,5,31)),"Closed in May","Other")</f>
        <v/>
      </c>
    </row>
    <row r="1485">
      <c r="A1485" s="37" t="n">
        <v>46143</v>
      </c>
      <c r="B1485" s="3" t="n">
        <v>2026</v>
      </c>
      <c r="C1485" s="26" t="inlineStr">
        <is>
          <t>Yanara Power</t>
        </is>
      </c>
      <c r="D1485" s="3" t="inlineStr">
        <is>
          <t>Utility and C&amp;I</t>
        </is>
      </c>
      <c r="E1485" s="3" t="n"/>
      <c r="F1485" s="3" t="inlineStr">
        <is>
          <t>Closed</t>
        </is>
      </c>
      <c r="G1485" s="9" t="inlineStr">
        <is>
          <t xml:space="preserve">Ashish Jindal </t>
        </is>
      </c>
      <c r="H1485" s="26" t="n">
        <v>9983975581</v>
      </c>
      <c r="I1485" s="38" t="inlineStr">
        <is>
          <t>PE01052601</t>
        </is>
      </c>
      <c r="J1485" s="26" t="inlineStr">
        <is>
          <t>Multiple Issues</t>
        </is>
      </c>
      <c r="K1485" s="39" t="inlineStr">
        <is>
          <t>Holi</t>
        </is>
      </c>
      <c r="L1485" s="39" t="inlineStr">
        <is>
          <t>Maharashtra</t>
        </is>
      </c>
      <c r="M1485" s="9" t="inlineStr">
        <is>
          <t>NS</t>
        </is>
      </c>
      <c r="N1485" s="3" t="inlineStr">
        <is>
          <t>Cold Soldering</t>
        </is>
      </c>
      <c r="O1485" s="39" t="n">
        <v>575</v>
      </c>
      <c r="P1485" s="46" t="inlineStr">
        <is>
          <t>NSMI24070183166</t>
        </is>
      </c>
      <c r="Q1485" s="53">
        <f>MID(P1485,5,2)</f>
        <v/>
      </c>
      <c r="R1485" s="53">
        <f>MID(P1485,7,2)</f>
        <v/>
      </c>
      <c r="S1485" s="3" t="inlineStr">
        <is>
          <t>G2G</t>
        </is>
      </c>
      <c r="T1485" s="3" t="inlineStr">
        <is>
          <t>P4</t>
        </is>
      </c>
      <c r="U1485" s="3" t="inlineStr">
        <is>
          <t>N JB Cold Soldering</t>
        </is>
      </c>
      <c r="V1485" s="3" t="inlineStr">
        <is>
          <t>Soldering</t>
        </is>
      </c>
      <c r="W1485" s="3" t="inlineStr">
        <is>
          <t>Repair</t>
        </is>
      </c>
      <c r="X1485" s="18" t="n">
        <v>46160</v>
      </c>
      <c r="Y1485" s="73">
        <f>IF(X1485="","",X1485-A1485)</f>
        <v/>
      </c>
      <c r="Z1485" s="18" t="n">
        <v>46160</v>
      </c>
      <c r="AA1485" s="15" t="n"/>
      <c r="AB1485" s="15" t="n"/>
      <c r="AF1485">
        <f>IF(AND($F1485="Closed",$X1485&gt;=DATE(2026,5,1),$X1485&lt;=DATE(2026,5,31)),"Closed in May","Other")</f>
        <v/>
      </c>
    </row>
    <row r="1486">
      <c r="A1486" s="37" t="n">
        <v>46143</v>
      </c>
      <c r="B1486" s="3" t="n">
        <v>2026</v>
      </c>
      <c r="C1486" s="26" t="inlineStr">
        <is>
          <t>Yanara Power</t>
        </is>
      </c>
      <c r="D1486" s="3" t="inlineStr">
        <is>
          <t>Utility and C&amp;I</t>
        </is>
      </c>
      <c r="E1486" s="3" t="n"/>
      <c r="F1486" s="3" t="inlineStr">
        <is>
          <t>Closed</t>
        </is>
      </c>
      <c r="G1486" s="9" t="inlineStr">
        <is>
          <t xml:space="preserve">Ashish Jindal </t>
        </is>
      </c>
      <c r="H1486" s="26" t="n">
        <v>9983975581</v>
      </c>
      <c r="I1486" s="38" t="inlineStr">
        <is>
          <t>PE01052601</t>
        </is>
      </c>
      <c r="J1486" s="26" t="inlineStr">
        <is>
          <t>Multiple Issues</t>
        </is>
      </c>
      <c r="K1486" s="39" t="inlineStr">
        <is>
          <t>Holi</t>
        </is>
      </c>
      <c r="L1486" s="39" t="inlineStr">
        <is>
          <t>Maharashtra</t>
        </is>
      </c>
      <c r="M1486" s="9" t="inlineStr">
        <is>
          <t>PS</t>
        </is>
      </c>
      <c r="N1486" s="3" t="inlineStr">
        <is>
          <t>Cold Soldering</t>
        </is>
      </c>
      <c r="O1486" s="39" t="n">
        <v>575</v>
      </c>
      <c r="P1486" s="46" t="inlineStr">
        <is>
          <t>NSMI24070196543</t>
        </is>
      </c>
      <c r="Q1486" s="53">
        <f>MID(P1486,5,2)</f>
        <v/>
      </c>
      <c r="R1486" s="53">
        <f>MID(P1486,7,2)</f>
        <v/>
      </c>
      <c r="S1486" s="3" t="inlineStr">
        <is>
          <t>G2G</t>
        </is>
      </c>
      <c r="T1486" s="3" t="inlineStr">
        <is>
          <t>P4</t>
        </is>
      </c>
      <c r="U1486" s="19" t="inlineStr">
        <is>
          <t>P JB Cold Soldering</t>
        </is>
      </c>
      <c r="V1486" s="19" t="inlineStr">
        <is>
          <t>Soldering</t>
        </is>
      </c>
      <c r="W1486" s="3" t="inlineStr">
        <is>
          <t>Repair</t>
        </is>
      </c>
      <c r="X1486" s="18" t="n">
        <v>46160</v>
      </c>
      <c r="Y1486" s="73">
        <f>IF(X1486="","",X1486-A1486)</f>
        <v/>
      </c>
      <c r="Z1486" s="18" t="n">
        <v>46160</v>
      </c>
      <c r="AA1486" s="15" t="n"/>
      <c r="AB1486" s="15" t="n"/>
      <c r="AF1486">
        <f>IF(AND($F1486="Closed",$X1486&gt;=DATE(2026,5,1),$X1486&lt;=DATE(2026,5,31)),"Closed in May","Other")</f>
        <v/>
      </c>
    </row>
    <row r="1487">
      <c r="A1487" s="37" t="n">
        <v>46143</v>
      </c>
      <c r="B1487" s="3" t="n">
        <v>2026</v>
      </c>
      <c r="C1487" s="26" t="inlineStr">
        <is>
          <t>Yanara Power</t>
        </is>
      </c>
      <c r="D1487" s="3" t="inlineStr">
        <is>
          <t>Utility and C&amp;I</t>
        </is>
      </c>
      <c r="E1487" s="3" t="n"/>
      <c r="F1487" s="3" t="inlineStr">
        <is>
          <t>Closed</t>
        </is>
      </c>
      <c r="G1487" s="9" t="inlineStr">
        <is>
          <t xml:space="preserve">Ashish Jindal </t>
        </is>
      </c>
      <c r="H1487" s="26" t="n">
        <v>9983975581</v>
      </c>
      <c r="I1487" s="38" t="inlineStr">
        <is>
          <t>PE01052601</t>
        </is>
      </c>
      <c r="J1487" s="26" t="inlineStr">
        <is>
          <t>Multiple Issues</t>
        </is>
      </c>
      <c r="K1487" s="39" t="inlineStr">
        <is>
          <t>Holi</t>
        </is>
      </c>
      <c r="L1487" s="39" t="inlineStr">
        <is>
          <t>Maharashtra</t>
        </is>
      </c>
      <c r="M1487" s="9" t="inlineStr">
        <is>
          <t>PNS</t>
        </is>
      </c>
      <c r="N1487" s="3" t="inlineStr">
        <is>
          <t>Cold Soldering</t>
        </is>
      </c>
      <c r="O1487" s="39" t="n">
        <v>575</v>
      </c>
      <c r="P1487" s="46" t="inlineStr">
        <is>
          <t>NSMI24070181484</t>
        </is>
      </c>
      <c r="Q1487" s="53">
        <f>MID(P1487,5,2)</f>
        <v/>
      </c>
      <c r="R1487" s="53">
        <f>MID(P1487,7,2)</f>
        <v/>
      </c>
      <c r="S1487" s="3" t="inlineStr">
        <is>
          <t>G2G</t>
        </is>
      </c>
      <c r="T1487" s="3" t="inlineStr">
        <is>
          <t>P4</t>
        </is>
      </c>
      <c r="U1487" s="3" t="inlineStr">
        <is>
          <t>P &amp; N JB Cold Soldering</t>
        </is>
      </c>
      <c r="V1487" s="3" t="inlineStr">
        <is>
          <t>Soldering</t>
        </is>
      </c>
      <c r="W1487" s="3" t="inlineStr">
        <is>
          <t>Repair</t>
        </is>
      </c>
      <c r="X1487" s="18" t="n">
        <v>46160</v>
      </c>
      <c r="Y1487" s="73">
        <f>IF(X1487="","",X1487-A1487)</f>
        <v/>
      </c>
      <c r="Z1487" s="18" t="n">
        <v>46160</v>
      </c>
      <c r="AA1487" s="15" t="n"/>
      <c r="AB1487" s="15" t="n"/>
      <c r="AF1487">
        <f>IF(AND($F1487="Closed",$X1487&gt;=DATE(2026,5,1),$X1487&lt;=DATE(2026,5,31)),"Closed in May","Other")</f>
        <v/>
      </c>
    </row>
    <row r="1488">
      <c r="A1488" s="37" t="n">
        <v>46143</v>
      </c>
      <c r="B1488" s="3" t="n">
        <v>2026</v>
      </c>
      <c r="C1488" s="26" t="inlineStr">
        <is>
          <t>Yanara Power</t>
        </is>
      </c>
      <c r="D1488" s="3" t="inlineStr">
        <is>
          <t>Utility and C&amp;I</t>
        </is>
      </c>
      <c r="E1488" s="3" t="n"/>
      <c r="F1488" s="3" t="inlineStr">
        <is>
          <t>Closed</t>
        </is>
      </c>
      <c r="G1488" s="9" t="inlineStr">
        <is>
          <t xml:space="preserve">Ashish Jindal </t>
        </is>
      </c>
      <c r="H1488" s="26" t="n">
        <v>9983975581</v>
      </c>
      <c r="I1488" s="38" t="inlineStr">
        <is>
          <t>PE01052601</t>
        </is>
      </c>
      <c r="J1488" s="26" t="inlineStr">
        <is>
          <t>Multiple Issues</t>
        </is>
      </c>
      <c r="K1488" s="39" t="inlineStr">
        <is>
          <t>Holi</t>
        </is>
      </c>
      <c r="L1488" s="39" t="inlineStr">
        <is>
          <t>Maharashtra</t>
        </is>
      </c>
      <c r="M1488" s="9" t="inlineStr">
        <is>
          <t>PS</t>
        </is>
      </c>
      <c r="N1488" s="3" t="inlineStr">
        <is>
          <t>Cold Soldering</t>
        </is>
      </c>
      <c r="O1488" s="39" t="n">
        <v>575</v>
      </c>
      <c r="P1488" s="46" t="inlineStr">
        <is>
          <t>NSMI24070183129</t>
        </is>
      </c>
      <c r="Q1488" s="53">
        <f>MID(P1488,5,2)</f>
        <v/>
      </c>
      <c r="R1488" s="53">
        <f>MID(P1488,7,2)</f>
        <v/>
      </c>
      <c r="S1488" s="3" t="inlineStr">
        <is>
          <t>G2G</t>
        </is>
      </c>
      <c r="T1488" s="3" t="inlineStr">
        <is>
          <t>P4</t>
        </is>
      </c>
      <c r="U1488" s="19" t="inlineStr">
        <is>
          <t>P JB Cold Soldering</t>
        </is>
      </c>
      <c r="V1488" s="19" t="inlineStr">
        <is>
          <t>Soldering</t>
        </is>
      </c>
      <c r="W1488" s="3" t="inlineStr">
        <is>
          <t>Repair</t>
        </is>
      </c>
      <c r="X1488" s="18" t="n">
        <v>46160</v>
      </c>
      <c r="Y1488" s="73">
        <f>IF(X1488="","",X1488-A1488)</f>
        <v/>
      </c>
      <c r="Z1488" s="18" t="n">
        <v>46160</v>
      </c>
      <c r="AA1488" s="15" t="n"/>
      <c r="AB1488" s="15" t="n"/>
      <c r="AF1488">
        <f>IF(AND($F1488="Closed",$X1488&gt;=DATE(2026,5,1),$X1488&lt;=DATE(2026,5,31)),"Closed in May","Other")</f>
        <v/>
      </c>
    </row>
    <row r="1489">
      <c r="A1489" s="37" t="n">
        <v>46143</v>
      </c>
      <c r="B1489" s="3" t="n">
        <v>2026</v>
      </c>
      <c r="C1489" s="26" t="inlineStr">
        <is>
          <t>Yanara Power</t>
        </is>
      </c>
      <c r="D1489" s="3" t="inlineStr">
        <is>
          <t>Utility and C&amp;I</t>
        </is>
      </c>
      <c r="E1489" s="3" t="n"/>
      <c r="F1489" s="3" t="inlineStr">
        <is>
          <t>Closed</t>
        </is>
      </c>
      <c r="G1489" s="9" t="inlineStr">
        <is>
          <t xml:space="preserve">Ashish Jindal </t>
        </is>
      </c>
      <c r="H1489" s="26" t="n">
        <v>9983975581</v>
      </c>
      <c r="I1489" s="38" t="inlineStr">
        <is>
          <t>PE01052601</t>
        </is>
      </c>
      <c r="J1489" s="26" t="inlineStr">
        <is>
          <t>Multiple Issues</t>
        </is>
      </c>
      <c r="K1489" s="39" t="inlineStr">
        <is>
          <t>Holi</t>
        </is>
      </c>
      <c r="L1489" s="39" t="inlineStr">
        <is>
          <t>Maharashtra</t>
        </is>
      </c>
      <c r="M1489" s="46" t="inlineStr">
        <is>
          <t>PS</t>
        </is>
      </c>
      <c r="N1489" s="3" t="inlineStr">
        <is>
          <t>Cold Soldering</t>
        </is>
      </c>
      <c r="O1489" s="39" t="n">
        <v>575</v>
      </c>
      <c r="P1489" s="46" t="inlineStr">
        <is>
          <t>NSMI24070179360</t>
        </is>
      </c>
      <c r="Q1489" s="53">
        <f>MID(P1489,5,2)</f>
        <v/>
      </c>
      <c r="R1489" s="53">
        <f>MID(P1489,7,2)</f>
        <v/>
      </c>
      <c r="S1489" s="3" t="inlineStr">
        <is>
          <t>G2G</t>
        </is>
      </c>
      <c r="T1489" s="3" t="inlineStr">
        <is>
          <t>P4</t>
        </is>
      </c>
      <c r="U1489" s="19" t="inlineStr">
        <is>
          <t>P JB Cold Soldering</t>
        </is>
      </c>
      <c r="V1489" s="19" t="inlineStr">
        <is>
          <t>Soldering</t>
        </is>
      </c>
      <c r="W1489" s="3" t="inlineStr">
        <is>
          <t>Repair</t>
        </is>
      </c>
      <c r="X1489" s="18" t="n">
        <v>46161</v>
      </c>
      <c r="Y1489" s="73">
        <f>IF(X1489="","",X1489-A1489)</f>
        <v/>
      </c>
      <c r="Z1489" s="18" t="n">
        <v>46161</v>
      </c>
      <c r="AA1489" s="15" t="n"/>
      <c r="AB1489" s="15" t="n"/>
      <c r="AF1489">
        <f>IF(AND($F1489="Closed",$X1489&gt;=DATE(2026,5,1),$X1489&lt;=DATE(2026,5,31)),"Closed in May","Other")</f>
        <v/>
      </c>
    </row>
    <row r="1490">
      <c r="A1490" s="37" t="n">
        <v>46143</v>
      </c>
      <c r="B1490" s="3" t="n">
        <v>2026</v>
      </c>
      <c r="C1490" s="26" t="inlineStr">
        <is>
          <t>Yanara Power</t>
        </is>
      </c>
      <c r="D1490" s="3" t="inlineStr">
        <is>
          <t>Utility and C&amp;I</t>
        </is>
      </c>
      <c r="E1490" s="3" t="n"/>
      <c r="F1490" s="3" t="inlineStr">
        <is>
          <t>Closed</t>
        </is>
      </c>
      <c r="G1490" s="9" t="inlineStr">
        <is>
          <t xml:space="preserve">Ashish Jindal </t>
        </is>
      </c>
      <c r="H1490" s="26" t="n">
        <v>9983975581</v>
      </c>
      <c r="I1490" s="38" t="inlineStr">
        <is>
          <t>PE01052601</t>
        </is>
      </c>
      <c r="J1490" s="26" t="inlineStr">
        <is>
          <t>Multiple Issues</t>
        </is>
      </c>
      <c r="K1490" s="39" t="inlineStr">
        <is>
          <t>Holi</t>
        </is>
      </c>
      <c r="L1490" s="39" t="inlineStr">
        <is>
          <t>Maharashtra</t>
        </is>
      </c>
      <c r="M1490" s="46" t="inlineStr">
        <is>
          <t>PS</t>
        </is>
      </c>
      <c r="N1490" s="3" t="inlineStr">
        <is>
          <t>Cold Soldering</t>
        </is>
      </c>
      <c r="O1490" s="39" t="n">
        <v>575</v>
      </c>
      <c r="P1490" s="46" t="inlineStr">
        <is>
          <t>NSMI24070181534</t>
        </is>
      </c>
      <c r="Q1490" s="53">
        <f>MID(P1490,5,2)</f>
        <v/>
      </c>
      <c r="R1490" s="53">
        <f>MID(P1490,7,2)</f>
        <v/>
      </c>
      <c r="S1490" s="3" t="inlineStr">
        <is>
          <t>G2G</t>
        </is>
      </c>
      <c r="T1490" s="3" t="inlineStr">
        <is>
          <t>P4</t>
        </is>
      </c>
      <c r="U1490" s="19" t="inlineStr">
        <is>
          <t>P JB Cold Soldering</t>
        </is>
      </c>
      <c r="V1490" s="19" t="inlineStr">
        <is>
          <t>Soldering</t>
        </is>
      </c>
      <c r="W1490" s="3" t="inlineStr">
        <is>
          <t>Repair</t>
        </is>
      </c>
      <c r="X1490" s="18" t="n">
        <v>46161</v>
      </c>
      <c r="Y1490" s="73">
        <f>IF(X1490="","",X1490-A1490)</f>
        <v/>
      </c>
      <c r="Z1490" s="18" t="n">
        <v>46161</v>
      </c>
      <c r="AA1490" s="15" t="n"/>
      <c r="AB1490" s="15" t="n"/>
      <c r="AF1490">
        <f>IF(AND($F1490="Closed",$X1490&gt;=DATE(2026,5,1),$X1490&lt;=DATE(2026,5,31)),"Closed in May","Other")</f>
        <v/>
      </c>
    </row>
    <row r="1491">
      <c r="A1491" s="37" t="n">
        <v>46143</v>
      </c>
      <c r="B1491" s="3" t="n">
        <v>2026</v>
      </c>
      <c r="C1491" s="26" t="inlineStr">
        <is>
          <t>Yanara Power</t>
        </is>
      </c>
      <c r="D1491" s="3" t="inlineStr">
        <is>
          <t>Utility and C&amp;I</t>
        </is>
      </c>
      <c r="E1491" s="3" t="n"/>
      <c r="F1491" s="3" t="inlineStr">
        <is>
          <t>Closed</t>
        </is>
      </c>
      <c r="G1491" s="9" t="inlineStr">
        <is>
          <t xml:space="preserve">Ashish Jindal </t>
        </is>
      </c>
      <c r="H1491" s="26" t="n">
        <v>9983975581</v>
      </c>
      <c r="I1491" s="38" t="inlineStr">
        <is>
          <t>PE01052601</t>
        </is>
      </c>
      <c r="J1491" s="26" t="inlineStr">
        <is>
          <t>Multiple Issues</t>
        </is>
      </c>
      <c r="K1491" s="39" t="inlineStr">
        <is>
          <t>Holi</t>
        </is>
      </c>
      <c r="L1491" s="39" t="inlineStr">
        <is>
          <t>Maharashtra</t>
        </is>
      </c>
      <c r="M1491" s="46" t="inlineStr">
        <is>
          <t>PS</t>
        </is>
      </c>
      <c r="N1491" s="3" t="inlineStr">
        <is>
          <t>Cold Soldering</t>
        </is>
      </c>
      <c r="O1491" s="39" t="n">
        <v>575</v>
      </c>
      <c r="P1491" s="46" t="inlineStr">
        <is>
          <t>NSMI24070190089</t>
        </is>
      </c>
      <c r="Q1491" s="53">
        <f>MID(P1491,5,2)</f>
        <v/>
      </c>
      <c r="R1491" s="53">
        <f>MID(P1491,7,2)</f>
        <v/>
      </c>
      <c r="S1491" s="3" t="inlineStr">
        <is>
          <t>G2G</t>
        </is>
      </c>
      <c r="T1491" s="3" t="inlineStr">
        <is>
          <t>P4</t>
        </is>
      </c>
      <c r="U1491" s="19" t="inlineStr">
        <is>
          <t>P JB Cold Soldering</t>
        </is>
      </c>
      <c r="V1491" s="19" t="inlineStr">
        <is>
          <t>Soldering</t>
        </is>
      </c>
      <c r="W1491" s="3" t="inlineStr">
        <is>
          <t>Repair</t>
        </is>
      </c>
      <c r="X1491" s="18" t="n">
        <v>46161</v>
      </c>
      <c r="Y1491" s="73">
        <f>IF(X1491="","",X1491-A1491)</f>
        <v/>
      </c>
      <c r="Z1491" s="18" t="n">
        <v>46161</v>
      </c>
      <c r="AA1491" s="15" t="n"/>
      <c r="AB1491" s="15" t="n"/>
      <c r="AF1491">
        <f>IF(AND($F1491="Closed",$X1491&gt;=DATE(2026,5,1),$X1491&lt;=DATE(2026,5,31)),"Closed in May","Other")</f>
        <v/>
      </c>
    </row>
    <row r="1492">
      <c r="A1492" s="37" t="n">
        <v>46143</v>
      </c>
      <c r="B1492" s="3" t="n">
        <v>2026</v>
      </c>
      <c r="C1492" s="26" t="inlineStr">
        <is>
          <t>Yanara Power</t>
        </is>
      </c>
      <c r="D1492" s="3" t="inlineStr">
        <is>
          <t>Utility and C&amp;I</t>
        </is>
      </c>
      <c r="E1492" s="3" t="n"/>
      <c r="F1492" s="3" t="inlineStr">
        <is>
          <t>Closed</t>
        </is>
      </c>
      <c r="G1492" s="9" t="inlineStr">
        <is>
          <t xml:space="preserve">Ashish Jindal </t>
        </is>
      </c>
      <c r="H1492" s="26" t="n">
        <v>9983975581</v>
      </c>
      <c r="I1492" s="38" t="inlineStr">
        <is>
          <t>PE01052601</t>
        </is>
      </c>
      <c r="J1492" s="26" t="inlineStr">
        <is>
          <t>Multiple Issues</t>
        </is>
      </c>
      <c r="K1492" s="39" t="inlineStr">
        <is>
          <t>Holi</t>
        </is>
      </c>
      <c r="L1492" s="39" t="inlineStr">
        <is>
          <t>Maharashtra</t>
        </is>
      </c>
      <c r="M1492" s="46" t="inlineStr">
        <is>
          <t>PS</t>
        </is>
      </c>
      <c r="N1492" s="3" t="inlineStr">
        <is>
          <t>Cold Soldering</t>
        </is>
      </c>
      <c r="O1492" s="39" t="n">
        <v>575</v>
      </c>
      <c r="P1492" s="46" t="inlineStr">
        <is>
          <t>NSMI24070183953</t>
        </is>
      </c>
      <c r="Q1492" s="53">
        <f>MID(P1492,5,2)</f>
        <v/>
      </c>
      <c r="R1492" s="53">
        <f>MID(P1492,7,2)</f>
        <v/>
      </c>
      <c r="S1492" s="3" t="inlineStr">
        <is>
          <t>G2G</t>
        </is>
      </c>
      <c r="T1492" s="3" t="inlineStr">
        <is>
          <t>P4</t>
        </is>
      </c>
      <c r="U1492" s="19" t="inlineStr">
        <is>
          <t>P JB Cold Soldering</t>
        </is>
      </c>
      <c r="V1492" s="19" t="inlineStr">
        <is>
          <t>Soldering</t>
        </is>
      </c>
      <c r="W1492" s="3" t="inlineStr">
        <is>
          <t>Repair</t>
        </is>
      </c>
      <c r="X1492" s="18" t="n">
        <v>46161</v>
      </c>
      <c r="Y1492" s="73">
        <f>IF(X1492="","",X1492-A1492)</f>
        <v/>
      </c>
      <c r="Z1492" s="18" t="n">
        <v>46161</v>
      </c>
      <c r="AA1492" s="15" t="n"/>
      <c r="AB1492" s="15" t="n"/>
      <c r="AF1492">
        <f>IF(AND($F1492="Closed",$X1492&gt;=DATE(2026,5,1),$X1492&lt;=DATE(2026,5,31)),"Closed in May","Other")</f>
        <v/>
      </c>
    </row>
    <row r="1493">
      <c r="A1493" s="37" t="n">
        <v>46143</v>
      </c>
      <c r="B1493" s="3" t="n">
        <v>2026</v>
      </c>
      <c r="C1493" s="26" t="inlineStr">
        <is>
          <t>Yanara Power</t>
        </is>
      </c>
      <c r="D1493" s="3" t="inlineStr">
        <is>
          <t>Utility and C&amp;I</t>
        </is>
      </c>
      <c r="E1493" s="3" t="n"/>
      <c r="F1493" s="3" t="inlineStr">
        <is>
          <t>Closed</t>
        </is>
      </c>
      <c r="G1493" s="9" t="inlineStr">
        <is>
          <t xml:space="preserve">Ashish Jindal </t>
        </is>
      </c>
      <c r="H1493" s="26" t="n">
        <v>9983975581</v>
      </c>
      <c r="I1493" s="38" t="inlineStr">
        <is>
          <t>PE01052601</t>
        </is>
      </c>
      <c r="J1493" s="26" t="inlineStr">
        <is>
          <t>Multiple Issues</t>
        </is>
      </c>
      <c r="K1493" s="39" t="inlineStr">
        <is>
          <t>Holi</t>
        </is>
      </c>
      <c r="L1493" s="39" t="inlineStr">
        <is>
          <t>Maharashtra</t>
        </is>
      </c>
      <c r="M1493" s="46" t="inlineStr">
        <is>
          <t>NS</t>
        </is>
      </c>
      <c r="N1493" s="3" t="inlineStr">
        <is>
          <t>Cold Soldering</t>
        </is>
      </c>
      <c r="O1493" s="39" t="n">
        <v>575</v>
      </c>
      <c r="P1493" s="46" t="inlineStr">
        <is>
          <t>NSMI24070182416</t>
        </is>
      </c>
      <c r="Q1493" s="53">
        <f>MID(P1493,5,2)</f>
        <v/>
      </c>
      <c r="R1493" s="53">
        <f>MID(P1493,7,2)</f>
        <v/>
      </c>
      <c r="S1493" s="3" t="inlineStr">
        <is>
          <t>G2G</t>
        </is>
      </c>
      <c r="T1493" s="3" t="inlineStr">
        <is>
          <t>P4</t>
        </is>
      </c>
      <c r="U1493" s="3" t="inlineStr">
        <is>
          <t>N JB Cold Soldering</t>
        </is>
      </c>
      <c r="V1493" s="3" t="inlineStr">
        <is>
          <t>Soldering</t>
        </is>
      </c>
      <c r="W1493" s="3" t="inlineStr">
        <is>
          <t>Repair</t>
        </is>
      </c>
      <c r="X1493" s="18" t="n">
        <v>46161</v>
      </c>
      <c r="Y1493" s="73">
        <f>IF(X1493="","",X1493-A1493)</f>
        <v/>
      </c>
      <c r="Z1493" s="18" t="n">
        <v>46161</v>
      </c>
      <c r="AA1493" s="15" t="n"/>
      <c r="AB1493" s="15" t="n"/>
      <c r="AF1493">
        <f>IF(AND($F1493="Closed",$X1493&gt;=DATE(2026,5,1),$X1493&lt;=DATE(2026,5,31)),"Closed in May","Other")</f>
        <v/>
      </c>
    </row>
    <row r="1494">
      <c r="A1494" s="37" t="n">
        <v>46143</v>
      </c>
      <c r="B1494" s="3" t="n">
        <v>2026</v>
      </c>
      <c r="C1494" s="26" t="inlineStr">
        <is>
          <t>Yanara Power</t>
        </is>
      </c>
      <c r="D1494" s="3" t="inlineStr">
        <is>
          <t>Utility and C&amp;I</t>
        </is>
      </c>
      <c r="E1494" s="3" t="n"/>
      <c r="F1494" s="3" t="inlineStr">
        <is>
          <t>Closed</t>
        </is>
      </c>
      <c r="G1494" s="9" t="inlineStr">
        <is>
          <t xml:space="preserve">Ashish Jindal </t>
        </is>
      </c>
      <c r="H1494" s="26" t="n">
        <v>9983975581</v>
      </c>
      <c r="I1494" s="38" t="inlineStr">
        <is>
          <t>PE01052601</t>
        </is>
      </c>
      <c r="J1494" s="26" t="inlineStr">
        <is>
          <t>Multiple Issues</t>
        </is>
      </c>
      <c r="K1494" s="39" t="inlineStr">
        <is>
          <t>Holi</t>
        </is>
      </c>
      <c r="L1494" s="39" t="inlineStr">
        <is>
          <t>Maharashtra</t>
        </is>
      </c>
      <c r="M1494" s="46" t="inlineStr">
        <is>
          <t>PS</t>
        </is>
      </c>
      <c r="N1494" s="3" t="inlineStr">
        <is>
          <t>Cold Soldering</t>
        </is>
      </c>
      <c r="O1494" s="39" t="n">
        <v>575</v>
      </c>
      <c r="P1494" s="46" t="inlineStr">
        <is>
          <t>NSMI24070182355</t>
        </is>
      </c>
      <c r="Q1494" s="53">
        <f>MID(P1494,5,2)</f>
        <v/>
      </c>
      <c r="R1494" s="53">
        <f>MID(P1494,7,2)</f>
        <v/>
      </c>
      <c r="S1494" s="3" t="inlineStr">
        <is>
          <t>G2G</t>
        </is>
      </c>
      <c r="T1494" s="3" t="inlineStr">
        <is>
          <t>P4</t>
        </is>
      </c>
      <c r="U1494" s="19" t="inlineStr">
        <is>
          <t>P JB Cold Soldering</t>
        </is>
      </c>
      <c r="V1494" s="19" t="inlineStr">
        <is>
          <t>Soldering</t>
        </is>
      </c>
      <c r="W1494" s="3" t="inlineStr">
        <is>
          <t>Repair</t>
        </is>
      </c>
      <c r="X1494" s="18" t="n">
        <v>46161</v>
      </c>
      <c r="Y1494" s="73">
        <f>IF(X1494="","",X1494-A1494)</f>
        <v/>
      </c>
      <c r="Z1494" s="18" t="n">
        <v>46161</v>
      </c>
      <c r="AA1494" s="15" t="n"/>
      <c r="AB1494" s="15" t="n"/>
      <c r="AF1494">
        <f>IF(AND($F1494="Closed",$X1494&gt;=DATE(2026,5,1),$X1494&lt;=DATE(2026,5,31)),"Closed in May","Other")</f>
        <v/>
      </c>
    </row>
    <row r="1495">
      <c r="A1495" s="37" t="n">
        <v>46143</v>
      </c>
      <c r="B1495" s="3" t="n">
        <v>2026</v>
      </c>
      <c r="C1495" s="26" t="inlineStr">
        <is>
          <t>Yanara Power</t>
        </is>
      </c>
      <c r="D1495" s="3" t="inlineStr">
        <is>
          <t>Utility and C&amp;I</t>
        </is>
      </c>
      <c r="E1495" s="3" t="n"/>
      <c r="F1495" s="3" t="inlineStr">
        <is>
          <t>Closed</t>
        </is>
      </c>
      <c r="G1495" s="9" t="inlineStr">
        <is>
          <t xml:space="preserve">Ashish Jindal </t>
        </is>
      </c>
      <c r="H1495" s="26" t="n">
        <v>9983975581</v>
      </c>
      <c r="I1495" s="38" t="inlineStr">
        <is>
          <t>PE01052601</t>
        </is>
      </c>
      <c r="J1495" s="26" t="inlineStr">
        <is>
          <t>Multiple Issues</t>
        </is>
      </c>
      <c r="K1495" s="39" t="inlineStr">
        <is>
          <t>Holi</t>
        </is>
      </c>
      <c r="L1495" s="39" t="inlineStr">
        <is>
          <t>Maharashtra</t>
        </is>
      </c>
      <c r="M1495" s="46" t="inlineStr">
        <is>
          <t>PS</t>
        </is>
      </c>
      <c r="N1495" s="3" t="inlineStr">
        <is>
          <t>Cold Soldering</t>
        </is>
      </c>
      <c r="O1495" s="39" t="n">
        <v>575</v>
      </c>
      <c r="P1495" s="46" t="inlineStr">
        <is>
          <t>NSMI24070177830</t>
        </is>
      </c>
      <c r="Q1495" s="53">
        <f>MID(P1495,5,2)</f>
        <v/>
      </c>
      <c r="R1495" s="53">
        <f>MID(P1495,7,2)</f>
        <v/>
      </c>
      <c r="S1495" s="3" t="inlineStr">
        <is>
          <t>G2G</t>
        </is>
      </c>
      <c r="T1495" s="3" t="inlineStr">
        <is>
          <t>P4</t>
        </is>
      </c>
      <c r="U1495" s="19" t="inlineStr">
        <is>
          <t>P JB Cold Soldering</t>
        </is>
      </c>
      <c r="V1495" s="19" t="inlineStr">
        <is>
          <t>Soldering</t>
        </is>
      </c>
      <c r="W1495" s="3" t="inlineStr">
        <is>
          <t>Repair</t>
        </is>
      </c>
      <c r="X1495" s="18" t="n">
        <v>46161</v>
      </c>
      <c r="Y1495" s="73">
        <f>IF(X1495="","",X1495-A1495)</f>
        <v/>
      </c>
      <c r="Z1495" s="18" t="n">
        <v>46161</v>
      </c>
      <c r="AA1495" s="15" t="n"/>
      <c r="AB1495" s="15" t="n"/>
      <c r="AF1495">
        <f>IF(AND($F1495="Closed",$X1495&gt;=DATE(2026,5,1),$X1495&lt;=DATE(2026,5,31)),"Closed in May","Other")</f>
        <v/>
      </c>
    </row>
    <row r="1496">
      <c r="A1496" s="37" t="n">
        <v>46143</v>
      </c>
      <c r="B1496" s="3" t="n">
        <v>2026</v>
      </c>
      <c r="C1496" s="26" t="inlineStr">
        <is>
          <t>Yanara Power</t>
        </is>
      </c>
      <c r="D1496" s="3" t="inlineStr">
        <is>
          <t>Utility and C&amp;I</t>
        </is>
      </c>
      <c r="E1496" s="3" t="n"/>
      <c r="F1496" s="3" t="inlineStr">
        <is>
          <t>Closed</t>
        </is>
      </c>
      <c r="G1496" s="9" t="inlineStr">
        <is>
          <t xml:space="preserve">Ashish Jindal </t>
        </is>
      </c>
      <c r="H1496" s="26" t="n">
        <v>9983975581</v>
      </c>
      <c r="I1496" s="38" t="inlineStr">
        <is>
          <t>PE01052601</t>
        </is>
      </c>
      <c r="J1496" s="26" t="inlineStr">
        <is>
          <t>Multiple Issues</t>
        </is>
      </c>
      <c r="K1496" s="39" t="inlineStr">
        <is>
          <t>Holi</t>
        </is>
      </c>
      <c r="L1496" s="39" t="inlineStr">
        <is>
          <t>Maharashtra</t>
        </is>
      </c>
      <c r="M1496" s="46" t="inlineStr">
        <is>
          <t>PS</t>
        </is>
      </c>
      <c r="N1496" s="3" t="inlineStr">
        <is>
          <t>Cold Soldering</t>
        </is>
      </c>
      <c r="O1496" s="39" t="n">
        <v>575</v>
      </c>
      <c r="P1496" s="46" t="inlineStr">
        <is>
          <t>NSMI24070177887</t>
        </is>
      </c>
      <c r="Q1496" s="53">
        <f>MID(P1496,5,2)</f>
        <v/>
      </c>
      <c r="R1496" s="53">
        <f>MID(P1496,7,2)</f>
        <v/>
      </c>
      <c r="S1496" s="3" t="inlineStr">
        <is>
          <t>G2G</t>
        </is>
      </c>
      <c r="T1496" s="3" t="inlineStr">
        <is>
          <t>P4</t>
        </is>
      </c>
      <c r="U1496" s="19" t="inlineStr">
        <is>
          <t>P JB Cold Soldering</t>
        </is>
      </c>
      <c r="V1496" s="19" t="inlineStr">
        <is>
          <t>Soldering</t>
        </is>
      </c>
      <c r="W1496" s="3" t="inlineStr">
        <is>
          <t>Repair</t>
        </is>
      </c>
      <c r="X1496" s="18" t="n">
        <v>46161</v>
      </c>
      <c r="Y1496" s="73">
        <f>IF(X1496="","",X1496-A1496)</f>
        <v/>
      </c>
      <c r="Z1496" s="18" t="n">
        <v>46161</v>
      </c>
      <c r="AA1496" s="15" t="n"/>
      <c r="AB1496" s="15" t="n"/>
      <c r="AF1496">
        <f>IF(AND($F1496="Closed",$X1496&gt;=DATE(2026,5,1),$X1496&lt;=DATE(2026,5,31)),"Closed in May","Other")</f>
        <v/>
      </c>
    </row>
    <row r="1497">
      <c r="A1497" s="37" t="n">
        <v>46143</v>
      </c>
      <c r="B1497" s="3" t="n">
        <v>2026</v>
      </c>
      <c r="C1497" s="26" t="inlineStr">
        <is>
          <t>Yanara Power</t>
        </is>
      </c>
      <c r="D1497" s="3" t="inlineStr">
        <is>
          <t>Utility and C&amp;I</t>
        </is>
      </c>
      <c r="E1497" s="3" t="n"/>
      <c r="F1497" s="3" t="inlineStr">
        <is>
          <t>Closed</t>
        </is>
      </c>
      <c r="G1497" s="9" t="inlineStr">
        <is>
          <t xml:space="preserve">Ashish Jindal </t>
        </is>
      </c>
      <c r="H1497" s="26" t="n">
        <v>9983975581</v>
      </c>
      <c r="I1497" s="38" t="inlineStr">
        <is>
          <t>PE01052601</t>
        </is>
      </c>
      <c r="J1497" s="26" t="inlineStr">
        <is>
          <t>Multiple Issues</t>
        </is>
      </c>
      <c r="K1497" s="39" t="inlineStr">
        <is>
          <t>Holi</t>
        </is>
      </c>
      <c r="L1497" s="39" t="inlineStr">
        <is>
          <t>Maharashtra</t>
        </is>
      </c>
      <c r="M1497" s="46" t="inlineStr">
        <is>
          <t>NS</t>
        </is>
      </c>
      <c r="N1497" s="3" t="inlineStr">
        <is>
          <t>Cold Soldering</t>
        </is>
      </c>
      <c r="O1497" s="39" t="n">
        <v>575</v>
      </c>
      <c r="P1497" s="46" t="inlineStr">
        <is>
          <t>NSMI24070177897</t>
        </is>
      </c>
      <c r="Q1497" s="53">
        <f>MID(P1497,5,2)</f>
        <v/>
      </c>
      <c r="R1497" s="53">
        <f>MID(P1497,7,2)</f>
        <v/>
      </c>
      <c r="S1497" s="3" t="inlineStr">
        <is>
          <t>G2G</t>
        </is>
      </c>
      <c r="T1497" s="3" t="inlineStr">
        <is>
          <t>P4</t>
        </is>
      </c>
      <c r="U1497" s="3" t="inlineStr">
        <is>
          <t>N JB Cold Soldering</t>
        </is>
      </c>
      <c r="V1497" s="3" t="inlineStr">
        <is>
          <t>Soldering</t>
        </is>
      </c>
      <c r="W1497" s="3" t="inlineStr">
        <is>
          <t>Repair</t>
        </is>
      </c>
      <c r="X1497" s="18" t="n">
        <v>46161</v>
      </c>
      <c r="Y1497" s="73">
        <f>IF(X1497="","",X1497-A1497)</f>
        <v/>
      </c>
      <c r="Z1497" s="18" t="n">
        <v>46161</v>
      </c>
      <c r="AA1497" s="15" t="n"/>
      <c r="AB1497" s="15" t="n"/>
      <c r="AF1497">
        <f>IF(AND($F1497="Closed",$X1497&gt;=DATE(2026,5,1),$X1497&lt;=DATE(2026,5,31)),"Closed in May","Other")</f>
        <v/>
      </c>
    </row>
    <row r="1498">
      <c r="A1498" s="37" t="n">
        <v>46143</v>
      </c>
      <c r="B1498" s="3" t="n">
        <v>2026</v>
      </c>
      <c r="C1498" s="26" t="inlineStr">
        <is>
          <t>Yanara Power</t>
        </is>
      </c>
      <c r="D1498" s="3" t="inlineStr">
        <is>
          <t>Utility and C&amp;I</t>
        </is>
      </c>
      <c r="E1498" s="3" t="n"/>
      <c r="F1498" s="3" t="inlineStr">
        <is>
          <t>Closed</t>
        </is>
      </c>
      <c r="G1498" s="9" t="inlineStr">
        <is>
          <t xml:space="preserve">Ashish Jindal </t>
        </is>
      </c>
      <c r="H1498" s="26" t="n">
        <v>9983975581</v>
      </c>
      <c r="I1498" s="38" t="inlineStr">
        <is>
          <t>PE01052601</t>
        </is>
      </c>
      <c r="J1498" s="26" t="inlineStr">
        <is>
          <t>Multiple Issues</t>
        </is>
      </c>
      <c r="K1498" s="39" t="inlineStr">
        <is>
          <t>Holi</t>
        </is>
      </c>
      <c r="L1498" s="39" t="inlineStr">
        <is>
          <t>Maharashtra</t>
        </is>
      </c>
      <c r="M1498" s="46" t="inlineStr">
        <is>
          <t>PS</t>
        </is>
      </c>
      <c r="N1498" s="3" t="inlineStr">
        <is>
          <t>Cold Soldering</t>
        </is>
      </c>
      <c r="O1498" s="39" t="n">
        <v>575</v>
      </c>
      <c r="P1498" s="46" t="inlineStr">
        <is>
          <t>NSMI24070177896</t>
        </is>
      </c>
      <c r="Q1498" s="53">
        <f>MID(P1498,5,2)</f>
        <v/>
      </c>
      <c r="R1498" s="53">
        <f>MID(P1498,7,2)</f>
        <v/>
      </c>
      <c r="S1498" s="3" t="inlineStr">
        <is>
          <t>G2G</t>
        </is>
      </c>
      <c r="T1498" s="3" t="inlineStr">
        <is>
          <t>P4</t>
        </is>
      </c>
      <c r="U1498" s="19" t="inlineStr">
        <is>
          <t>P JB Cold Soldering</t>
        </is>
      </c>
      <c r="V1498" s="19" t="inlineStr">
        <is>
          <t>Soldering</t>
        </is>
      </c>
      <c r="W1498" s="3" t="inlineStr">
        <is>
          <t>Repair</t>
        </is>
      </c>
      <c r="X1498" s="18" t="n">
        <v>46161</v>
      </c>
      <c r="Y1498" s="73">
        <f>IF(X1498="","",X1498-A1498)</f>
        <v/>
      </c>
      <c r="Z1498" s="18" t="n">
        <v>46161</v>
      </c>
      <c r="AA1498" s="15" t="n"/>
      <c r="AB1498" s="15" t="n"/>
      <c r="AF1498">
        <f>IF(AND($F1498="Closed",$X1498&gt;=DATE(2026,5,1),$X1498&lt;=DATE(2026,5,31)),"Closed in May","Other")</f>
        <v/>
      </c>
    </row>
    <row r="1499">
      <c r="A1499" s="37" t="n">
        <v>46143</v>
      </c>
      <c r="B1499" s="3" t="n">
        <v>2026</v>
      </c>
      <c r="C1499" s="26" t="inlineStr">
        <is>
          <t>Yanara Power</t>
        </is>
      </c>
      <c r="D1499" s="3" t="inlineStr">
        <is>
          <t>Utility and C&amp;I</t>
        </is>
      </c>
      <c r="E1499" s="3" t="n"/>
      <c r="F1499" s="3" t="inlineStr">
        <is>
          <t>Closed</t>
        </is>
      </c>
      <c r="G1499" s="9" t="inlineStr">
        <is>
          <t xml:space="preserve">Ashish Jindal </t>
        </is>
      </c>
      <c r="H1499" s="26" t="n">
        <v>9983975581</v>
      </c>
      <c r="I1499" s="38" t="inlineStr">
        <is>
          <t>PE01052601</t>
        </is>
      </c>
      <c r="J1499" s="26" t="inlineStr">
        <is>
          <t>Multiple Issues</t>
        </is>
      </c>
      <c r="K1499" s="39" t="inlineStr">
        <is>
          <t>Holi</t>
        </is>
      </c>
      <c r="L1499" s="39" t="inlineStr">
        <is>
          <t>Maharashtra</t>
        </is>
      </c>
      <c r="M1499" s="46" t="inlineStr">
        <is>
          <t>PS</t>
        </is>
      </c>
      <c r="N1499" s="3" t="inlineStr">
        <is>
          <t>Cold Soldering</t>
        </is>
      </c>
      <c r="O1499" s="39" t="n">
        <v>575</v>
      </c>
      <c r="P1499" s="46" t="inlineStr">
        <is>
          <t>NSMI24070177900</t>
        </is>
      </c>
      <c r="Q1499" s="53">
        <f>MID(P1499,5,2)</f>
        <v/>
      </c>
      <c r="R1499" s="53">
        <f>MID(P1499,7,2)</f>
        <v/>
      </c>
      <c r="S1499" s="3" t="inlineStr">
        <is>
          <t>G2G</t>
        </is>
      </c>
      <c r="T1499" s="3" t="inlineStr">
        <is>
          <t>P4</t>
        </is>
      </c>
      <c r="U1499" s="19" t="inlineStr">
        <is>
          <t>P JB Cold Soldering</t>
        </is>
      </c>
      <c r="V1499" s="19" t="inlineStr">
        <is>
          <t>Soldering</t>
        </is>
      </c>
      <c r="W1499" s="3" t="inlineStr">
        <is>
          <t>Repair</t>
        </is>
      </c>
      <c r="X1499" s="18" t="n">
        <v>46161</v>
      </c>
      <c r="Y1499" s="73">
        <f>IF(X1499="","",X1499-A1499)</f>
        <v/>
      </c>
      <c r="Z1499" s="18" t="n">
        <v>46161</v>
      </c>
      <c r="AA1499" s="15" t="n"/>
      <c r="AB1499" s="15" t="n"/>
      <c r="AF1499">
        <f>IF(AND($F1499="Closed",$X1499&gt;=DATE(2026,5,1),$X1499&lt;=DATE(2026,5,31)),"Closed in May","Other")</f>
        <v/>
      </c>
    </row>
    <row r="1500">
      <c r="A1500" s="37" t="n">
        <v>46143</v>
      </c>
      <c r="B1500" s="3" t="n">
        <v>2026</v>
      </c>
      <c r="C1500" s="26" t="inlineStr">
        <is>
          <t>Yanara Power</t>
        </is>
      </c>
      <c r="D1500" s="3" t="inlineStr">
        <is>
          <t>Utility and C&amp;I</t>
        </is>
      </c>
      <c r="E1500" s="3" t="n"/>
      <c r="F1500" s="3" t="inlineStr">
        <is>
          <t>Closed</t>
        </is>
      </c>
      <c r="G1500" s="9" t="inlineStr">
        <is>
          <t xml:space="preserve">Ashish Jindal </t>
        </is>
      </c>
      <c r="H1500" s="26" t="n">
        <v>9983975581</v>
      </c>
      <c r="I1500" s="38" t="inlineStr">
        <is>
          <t>PE01052601</t>
        </is>
      </c>
      <c r="J1500" s="26" t="inlineStr">
        <is>
          <t>Multiple Issues</t>
        </is>
      </c>
      <c r="K1500" s="39" t="inlineStr">
        <is>
          <t>Holi</t>
        </is>
      </c>
      <c r="L1500" s="39" t="inlineStr">
        <is>
          <t>Maharashtra</t>
        </is>
      </c>
      <c r="M1500" s="46" t="inlineStr">
        <is>
          <t>NR</t>
        </is>
      </c>
      <c r="N1500" s="3" t="inlineStr">
        <is>
          <t>JB Issue</t>
        </is>
      </c>
      <c r="O1500" s="39" t="n">
        <v>575</v>
      </c>
      <c r="P1500" s="46" t="inlineStr">
        <is>
          <t>NSMI24070219398</t>
        </is>
      </c>
      <c r="Q1500" s="53">
        <f>MID(P1500,5,2)</f>
        <v/>
      </c>
      <c r="R1500" s="53">
        <f>MID(P1500,7,2)</f>
        <v/>
      </c>
      <c r="S1500" s="3" t="inlineStr">
        <is>
          <t>G2G</t>
        </is>
      </c>
      <c r="T1500" s="3" t="inlineStr">
        <is>
          <t>P4</t>
        </is>
      </c>
      <c r="U1500" s="3" t="inlineStr">
        <is>
          <t>N JB Issue</t>
        </is>
      </c>
      <c r="V1500" s="3" t="inlineStr">
        <is>
          <t>JB Changed</t>
        </is>
      </c>
      <c r="W1500" s="3" t="inlineStr">
        <is>
          <t>Repair</t>
        </is>
      </c>
      <c r="X1500" s="18" t="n">
        <v>46161</v>
      </c>
      <c r="Y1500" s="73">
        <f>IF(X1500="","",X1500-A1500)</f>
        <v/>
      </c>
      <c r="Z1500" s="18" t="n">
        <v>46161</v>
      </c>
      <c r="AA1500" s="15" t="n"/>
      <c r="AB1500" s="15" t="n"/>
      <c r="AF1500">
        <f>IF(AND($F1500="Closed",$X1500&gt;=DATE(2026,5,1),$X1500&lt;=DATE(2026,5,31)),"Closed in May","Other")</f>
        <v/>
      </c>
    </row>
    <row r="1501">
      <c r="A1501" s="37" t="n">
        <v>46143</v>
      </c>
      <c r="B1501" s="3" t="n">
        <v>2026</v>
      </c>
      <c r="C1501" s="26" t="inlineStr">
        <is>
          <t>Yanara Power</t>
        </is>
      </c>
      <c r="D1501" s="3" t="inlineStr">
        <is>
          <t>Utility and C&amp;I</t>
        </is>
      </c>
      <c r="E1501" s="3" t="n"/>
      <c r="F1501" s="3" t="inlineStr">
        <is>
          <t>Closed</t>
        </is>
      </c>
      <c r="G1501" s="9" t="inlineStr">
        <is>
          <t xml:space="preserve">Ashish Jindal </t>
        </is>
      </c>
      <c r="H1501" s="26" t="n">
        <v>9983975581</v>
      </c>
      <c r="I1501" s="38" t="inlineStr">
        <is>
          <t>PE01052601</t>
        </is>
      </c>
      <c r="J1501" s="26" t="inlineStr">
        <is>
          <t>Multiple Issues</t>
        </is>
      </c>
      <c r="K1501" s="39" t="inlineStr">
        <is>
          <t>Holi</t>
        </is>
      </c>
      <c r="L1501" s="39" t="inlineStr">
        <is>
          <t>Maharashtra</t>
        </is>
      </c>
      <c r="M1501" s="46" t="inlineStr">
        <is>
          <t>PS</t>
        </is>
      </c>
      <c r="N1501" s="3" t="inlineStr">
        <is>
          <t>Cold Soldering</t>
        </is>
      </c>
      <c r="O1501" s="39" t="n">
        <v>575</v>
      </c>
      <c r="P1501" s="46" t="inlineStr">
        <is>
          <t>NSMI24070179116</t>
        </is>
      </c>
      <c r="Q1501" s="53">
        <f>MID(P1501,5,2)</f>
        <v/>
      </c>
      <c r="R1501" s="53">
        <f>MID(P1501,7,2)</f>
        <v/>
      </c>
      <c r="S1501" s="3" t="inlineStr">
        <is>
          <t>G2G</t>
        </is>
      </c>
      <c r="T1501" s="3" t="inlineStr">
        <is>
          <t>P4</t>
        </is>
      </c>
      <c r="U1501" s="19" t="inlineStr">
        <is>
          <t>P JB Cold Soldering</t>
        </is>
      </c>
      <c r="V1501" s="19" t="inlineStr">
        <is>
          <t>Soldering</t>
        </is>
      </c>
      <c r="W1501" s="3" t="inlineStr">
        <is>
          <t>Repair</t>
        </is>
      </c>
      <c r="X1501" s="18" t="n">
        <v>46161</v>
      </c>
      <c r="Y1501" s="73">
        <f>IF(X1501="","",X1501-A1501)</f>
        <v/>
      </c>
      <c r="Z1501" s="18" t="n">
        <v>46161</v>
      </c>
      <c r="AA1501" s="15" t="n"/>
      <c r="AB1501" s="15" t="n"/>
      <c r="AF1501">
        <f>IF(AND($F1501="Closed",$X1501&gt;=DATE(2026,5,1),$X1501&lt;=DATE(2026,5,31)),"Closed in May","Other")</f>
        <v/>
      </c>
    </row>
    <row r="1502">
      <c r="A1502" s="37" t="n">
        <v>46143</v>
      </c>
      <c r="B1502" s="3" t="n">
        <v>2026</v>
      </c>
      <c r="C1502" s="26" t="inlineStr">
        <is>
          <t>Yanara Power</t>
        </is>
      </c>
      <c r="D1502" s="3" t="inlineStr">
        <is>
          <t>Utility and C&amp;I</t>
        </is>
      </c>
      <c r="E1502" s="3" t="n"/>
      <c r="F1502" s="3" t="inlineStr">
        <is>
          <t>Closed</t>
        </is>
      </c>
      <c r="G1502" s="9" t="inlineStr">
        <is>
          <t xml:space="preserve">Ashish Jindal </t>
        </is>
      </c>
      <c r="H1502" s="26" t="n">
        <v>9983975581</v>
      </c>
      <c r="I1502" s="38" t="inlineStr">
        <is>
          <t>PE01052601</t>
        </is>
      </c>
      <c r="J1502" s="26" t="inlineStr">
        <is>
          <t>Multiple Issues</t>
        </is>
      </c>
      <c r="K1502" s="39" t="inlineStr">
        <is>
          <t>Holi</t>
        </is>
      </c>
      <c r="L1502" s="39" t="inlineStr">
        <is>
          <t>Maharashtra</t>
        </is>
      </c>
      <c r="M1502" s="46" t="inlineStr">
        <is>
          <t>NS</t>
        </is>
      </c>
      <c r="N1502" s="3" t="inlineStr">
        <is>
          <t>Cold Soldering</t>
        </is>
      </c>
      <c r="O1502" s="39" t="n">
        <v>575</v>
      </c>
      <c r="P1502" s="46" t="inlineStr">
        <is>
          <t>NSMI24070183061</t>
        </is>
      </c>
      <c r="Q1502" s="53">
        <f>MID(P1502,5,2)</f>
        <v/>
      </c>
      <c r="R1502" s="53">
        <f>MID(P1502,7,2)</f>
        <v/>
      </c>
      <c r="S1502" s="3" t="inlineStr">
        <is>
          <t>G2G</t>
        </is>
      </c>
      <c r="T1502" s="3" t="inlineStr">
        <is>
          <t>P4</t>
        </is>
      </c>
      <c r="U1502" s="3" t="inlineStr">
        <is>
          <t>N JB Cold Soldering</t>
        </is>
      </c>
      <c r="V1502" s="3" t="inlineStr">
        <is>
          <t>Soldering</t>
        </is>
      </c>
      <c r="W1502" s="3" t="inlineStr">
        <is>
          <t>Repair</t>
        </is>
      </c>
      <c r="X1502" s="18" t="n">
        <v>46161</v>
      </c>
      <c r="Y1502" s="73">
        <f>IF(X1502="","",X1502-A1502)</f>
        <v/>
      </c>
      <c r="Z1502" s="18" t="n">
        <v>46161</v>
      </c>
      <c r="AA1502" s="15" t="n"/>
      <c r="AB1502" s="15" t="n"/>
      <c r="AF1502">
        <f>IF(AND($F1502="Closed",$X1502&gt;=DATE(2026,5,1),$X1502&lt;=DATE(2026,5,31)),"Closed in May","Other")</f>
        <v/>
      </c>
    </row>
    <row r="1503">
      <c r="A1503" s="37" t="n">
        <v>46143</v>
      </c>
      <c r="B1503" s="3" t="n">
        <v>2026</v>
      </c>
      <c r="C1503" s="26" t="inlineStr">
        <is>
          <t>Yanara Power</t>
        </is>
      </c>
      <c r="D1503" s="3" t="inlineStr">
        <is>
          <t>Utility and C&amp;I</t>
        </is>
      </c>
      <c r="E1503" s="3" t="n"/>
      <c r="F1503" s="3" t="inlineStr">
        <is>
          <t>Closed</t>
        </is>
      </c>
      <c r="G1503" s="9" t="inlineStr">
        <is>
          <t xml:space="preserve">Ashish Jindal </t>
        </is>
      </c>
      <c r="H1503" s="26" t="n">
        <v>9983975581</v>
      </c>
      <c r="I1503" s="38" t="inlineStr">
        <is>
          <t>PE01052601</t>
        </is>
      </c>
      <c r="J1503" s="26" t="inlineStr">
        <is>
          <t>Multiple Issues</t>
        </is>
      </c>
      <c r="K1503" s="39" t="inlineStr">
        <is>
          <t>Holi</t>
        </is>
      </c>
      <c r="L1503" s="39" t="inlineStr">
        <is>
          <t>Maharashtra</t>
        </is>
      </c>
      <c r="M1503" s="46" t="inlineStr">
        <is>
          <t>PS</t>
        </is>
      </c>
      <c r="N1503" s="3" t="inlineStr">
        <is>
          <t>Cold Soldering</t>
        </is>
      </c>
      <c r="O1503" s="39" t="n">
        <v>575</v>
      </c>
      <c r="P1503" s="46" t="inlineStr">
        <is>
          <t>NSMI24070191112</t>
        </is>
      </c>
      <c r="Q1503" s="53">
        <f>MID(P1503,5,2)</f>
        <v/>
      </c>
      <c r="R1503" s="53">
        <f>MID(P1503,7,2)</f>
        <v/>
      </c>
      <c r="S1503" s="3" t="inlineStr">
        <is>
          <t>G2G</t>
        </is>
      </c>
      <c r="T1503" s="3" t="inlineStr">
        <is>
          <t>P4</t>
        </is>
      </c>
      <c r="U1503" s="19" t="inlineStr">
        <is>
          <t>P JB Cold Soldering</t>
        </is>
      </c>
      <c r="V1503" s="19" t="inlineStr">
        <is>
          <t>Soldering</t>
        </is>
      </c>
      <c r="W1503" s="3" t="inlineStr">
        <is>
          <t>Repair</t>
        </is>
      </c>
      <c r="X1503" s="18" t="n">
        <v>46161</v>
      </c>
      <c r="Y1503" s="73">
        <f>IF(X1503="","",X1503-A1503)</f>
        <v/>
      </c>
      <c r="Z1503" s="18" t="n">
        <v>46161</v>
      </c>
      <c r="AA1503" s="15" t="n"/>
      <c r="AB1503" s="15" t="n"/>
      <c r="AF1503">
        <f>IF(AND($F1503="Closed",$X1503&gt;=DATE(2026,5,1),$X1503&lt;=DATE(2026,5,31)),"Closed in May","Other")</f>
        <v/>
      </c>
    </row>
    <row r="1504">
      <c r="A1504" s="37" t="n">
        <v>46143</v>
      </c>
      <c r="B1504" s="3" t="n">
        <v>2026</v>
      </c>
      <c r="C1504" s="26" t="inlineStr">
        <is>
          <t>Yanara Power</t>
        </is>
      </c>
      <c r="D1504" s="3" t="inlineStr">
        <is>
          <t>Utility and C&amp;I</t>
        </is>
      </c>
      <c r="E1504" s="3" t="n"/>
      <c r="F1504" s="3" t="inlineStr">
        <is>
          <t>Closed</t>
        </is>
      </c>
      <c r="G1504" s="9" t="inlineStr">
        <is>
          <t xml:space="preserve">Ashish Jindal </t>
        </is>
      </c>
      <c r="H1504" s="26" t="n">
        <v>9983975581</v>
      </c>
      <c r="I1504" s="38" t="inlineStr">
        <is>
          <t>PE01052601</t>
        </is>
      </c>
      <c r="J1504" s="26" t="inlineStr">
        <is>
          <t>Multiple Issues</t>
        </is>
      </c>
      <c r="K1504" s="39" t="inlineStr">
        <is>
          <t>Holi</t>
        </is>
      </c>
      <c r="L1504" s="39" t="inlineStr">
        <is>
          <t>Maharashtra</t>
        </is>
      </c>
      <c r="M1504" s="46" t="inlineStr">
        <is>
          <t>PS</t>
        </is>
      </c>
      <c r="N1504" s="3" t="inlineStr">
        <is>
          <t>Cold Soldering</t>
        </is>
      </c>
      <c r="O1504" s="39" t="n">
        <v>575</v>
      </c>
      <c r="P1504" s="46" t="inlineStr">
        <is>
          <t>NSMI24070191116</t>
        </is>
      </c>
      <c r="Q1504" s="53">
        <f>MID(P1504,5,2)</f>
        <v/>
      </c>
      <c r="R1504" s="53">
        <f>MID(P1504,7,2)</f>
        <v/>
      </c>
      <c r="S1504" s="3" t="inlineStr">
        <is>
          <t>G2G</t>
        </is>
      </c>
      <c r="T1504" s="3" t="inlineStr">
        <is>
          <t>P4</t>
        </is>
      </c>
      <c r="U1504" s="19" t="inlineStr">
        <is>
          <t>P JB Cold Soldering</t>
        </is>
      </c>
      <c r="V1504" s="19" t="inlineStr">
        <is>
          <t>Soldering</t>
        </is>
      </c>
      <c r="W1504" s="3" t="inlineStr">
        <is>
          <t>Repair</t>
        </is>
      </c>
      <c r="X1504" s="18" t="n">
        <v>46161</v>
      </c>
      <c r="Y1504" s="73">
        <f>IF(X1504="","",X1504-A1504)</f>
        <v/>
      </c>
      <c r="Z1504" s="18" t="n">
        <v>46161</v>
      </c>
      <c r="AA1504" s="15" t="n"/>
      <c r="AB1504" s="15" t="n"/>
      <c r="AF1504">
        <f>IF(AND($F1504="Closed",$X1504&gt;=DATE(2026,5,1),$X1504&lt;=DATE(2026,5,31)),"Closed in May","Other")</f>
        <v/>
      </c>
    </row>
    <row r="1505">
      <c r="A1505" s="37" t="n">
        <v>46143</v>
      </c>
      <c r="B1505" s="3" t="n">
        <v>2026</v>
      </c>
      <c r="C1505" s="26" t="inlineStr">
        <is>
          <t>Yanara Power</t>
        </is>
      </c>
      <c r="D1505" s="3" t="inlineStr">
        <is>
          <t>Utility and C&amp;I</t>
        </is>
      </c>
      <c r="E1505" s="3" t="n"/>
      <c r="F1505" s="3" t="inlineStr">
        <is>
          <t>Closed</t>
        </is>
      </c>
      <c r="G1505" s="9" t="inlineStr">
        <is>
          <t xml:space="preserve">Ashish Jindal </t>
        </is>
      </c>
      <c r="H1505" s="26" t="n">
        <v>9983975581</v>
      </c>
      <c r="I1505" s="38" t="inlineStr">
        <is>
          <t>PE01052601</t>
        </is>
      </c>
      <c r="J1505" s="26" t="inlineStr">
        <is>
          <t>Multiple Issues</t>
        </is>
      </c>
      <c r="K1505" s="39" t="inlineStr">
        <is>
          <t>Holi</t>
        </is>
      </c>
      <c r="L1505" s="39" t="inlineStr">
        <is>
          <t>Maharashtra</t>
        </is>
      </c>
      <c r="M1505" s="46" t="inlineStr">
        <is>
          <t>PS</t>
        </is>
      </c>
      <c r="N1505" s="3" t="inlineStr">
        <is>
          <t>Cold Soldering</t>
        </is>
      </c>
      <c r="O1505" s="39" t="n">
        <v>575</v>
      </c>
      <c r="P1505" s="46" t="inlineStr">
        <is>
          <t>NSMI24070191126</t>
        </is>
      </c>
      <c r="Q1505" s="53">
        <f>MID(P1505,5,2)</f>
        <v/>
      </c>
      <c r="R1505" s="53">
        <f>MID(P1505,7,2)</f>
        <v/>
      </c>
      <c r="S1505" s="3" t="inlineStr">
        <is>
          <t>G2G</t>
        </is>
      </c>
      <c r="T1505" s="3" t="inlineStr">
        <is>
          <t>P4</t>
        </is>
      </c>
      <c r="U1505" s="19" t="inlineStr">
        <is>
          <t>P JB Cold Soldering</t>
        </is>
      </c>
      <c r="V1505" s="19" t="inlineStr">
        <is>
          <t>Soldering</t>
        </is>
      </c>
      <c r="W1505" s="3" t="inlineStr">
        <is>
          <t>Repair</t>
        </is>
      </c>
      <c r="X1505" s="18" t="n">
        <v>46161</v>
      </c>
      <c r="Y1505" s="73">
        <f>IF(X1505="","",X1505-A1505)</f>
        <v/>
      </c>
      <c r="Z1505" s="18" t="n">
        <v>46161</v>
      </c>
      <c r="AA1505" s="15" t="n"/>
      <c r="AB1505" s="15" t="n"/>
      <c r="AF1505">
        <f>IF(AND($F1505="Closed",$X1505&gt;=DATE(2026,5,1),$X1505&lt;=DATE(2026,5,31)),"Closed in May","Other")</f>
        <v/>
      </c>
    </row>
    <row r="1506">
      <c r="A1506" s="37" t="n">
        <v>46143</v>
      </c>
      <c r="B1506" s="3" t="n">
        <v>2026</v>
      </c>
      <c r="C1506" s="26" t="inlineStr">
        <is>
          <t>Yanara Power</t>
        </is>
      </c>
      <c r="D1506" s="3" t="inlineStr">
        <is>
          <t>Utility and C&amp;I</t>
        </is>
      </c>
      <c r="E1506" s="3" t="n"/>
      <c r="F1506" s="3" t="inlineStr">
        <is>
          <t>Closed</t>
        </is>
      </c>
      <c r="G1506" s="9" t="inlineStr">
        <is>
          <t xml:space="preserve">Ashish Jindal </t>
        </is>
      </c>
      <c r="H1506" s="26" t="n">
        <v>9983975581</v>
      </c>
      <c r="I1506" s="38" t="inlineStr">
        <is>
          <t>PE01052601</t>
        </is>
      </c>
      <c r="J1506" s="26" t="inlineStr">
        <is>
          <t>Multiple Issues</t>
        </is>
      </c>
      <c r="K1506" s="39" t="inlineStr">
        <is>
          <t>Holi</t>
        </is>
      </c>
      <c r="L1506" s="39" t="inlineStr">
        <is>
          <t>Maharashtra</t>
        </is>
      </c>
      <c r="M1506" s="46" t="inlineStr">
        <is>
          <t>NS</t>
        </is>
      </c>
      <c r="N1506" s="3" t="inlineStr">
        <is>
          <t>Cold Soldering</t>
        </is>
      </c>
      <c r="O1506" s="39" t="n">
        <v>575</v>
      </c>
      <c r="P1506" s="46" t="inlineStr">
        <is>
          <t>NSMI24070178777</t>
        </is>
      </c>
      <c r="Q1506" s="53">
        <f>MID(P1506,5,2)</f>
        <v/>
      </c>
      <c r="R1506" s="53">
        <f>MID(P1506,7,2)</f>
        <v/>
      </c>
      <c r="S1506" s="3" t="inlineStr">
        <is>
          <t>G2G</t>
        </is>
      </c>
      <c r="T1506" s="3" t="inlineStr">
        <is>
          <t>P4</t>
        </is>
      </c>
      <c r="U1506" s="3" t="inlineStr">
        <is>
          <t>N JB Cold Soldering</t>
        </is>
      </c>
      <c r="V1506" s="3" t="inlineStr">
        <is>
          <t>Soldering</t>
        </is>
      </c>
      <c r="W1506" s="3" t="inlineStr">
        <is>
          <t>Repair</t>
        </is>
      </c>
      <c r="X1506" s="18" t="n">
        <v>46161</v>
      </c>
      <c r="Y1506" s="73">
        <f>IF(X1506="","",X1506-A1506)</f>
        <v/>
      </c>
      <c r="Z1506" s="18" t="n">
        <v>46161</v>
      </c>
      <c r="AA1506" s="15" t="n"/>
      <c r="AB1506" s="15" t="n"/>
      <c r="AF1506">
        <f>IF(AND($F1506="Closed",$X1506&gt;=DATE(2026,5,1),$X1506&lt;=DATE(2026,5,31)),"Closed in May","Other")</f>
        <v/>
      </c>
    </row>
    <row r="1507">
      <c r="A1507" s="37" t="n">
        <v>46143</v>
      </c>
      <c r="B1507" s="3" t="n">
        <v>2026</v>
      </c>
      <c r="C1507" s="26" t="inlineStr">
        <is>
          <t>Yanara Power</t>
        </is>
      </c>
      <c r="D1507" s="3" t="inlineStr">
        <is>
          <t>Utility and C&amp;I</t>
        </is>
      </c>
      <c r="E1507" s="3" t="n"/>
      <c r="F1507" s="3" t="inlineStr">
        <is>
          <t>Closed</t>
        </is>
      </c>
      <c r="G1507" s="9" t="inlineStr">
        <is>
          <t xml:space="preserve">Ashish Jindal </t>
        </is>
      </c>
      <c r="H1507" s="26" t="n">
        <v>9983975581</v>
      </c>
      <c r="I1507" s="38" t="inlineStr">
        <is>
          <t>PE01052601</t>
        </is>
      </c>
      <c r="J1507" s="26" t="inlineStr">
        <is>
          <t>Multiple Issues</t>
        </is>
      </c>
      <c r="K1507" s="39" t="inlineStr">
        <is>
          <t>Holi</t>
        </is>
      </c>
      <c r="L1507" s="39" t="inlineStr">
        <is>
          <t>Maharashtra</t>
        </is>
      </c>
      <c r="M1507" s="46" t="inlineStr">
        <is>
          <t>PS</t>
        </is>
      </c>
      <c r="N1507" s="3" t="inlineStr">
        <is>
          <t>Cold Soldering</t>
        </is>
      </c>
      <c r="O1507" s="39" t="n">
        <v>575</v>
      </c>
      <c r="P1507" s="46" t="inlineStr">
        <is>
          <t>NSMI24070184889</t>
        </is>
      </c>
      <c r="Q1507" s="53">
        <f>MID(P1507,5,2)</f>
        <v/>
      </c>
      <c r="R1507" s="53">
        <f>MID(P1507,7,2)</f>
        <v/>
      </c>
      <c r="S1507" s="3" t="inlineStr">
        <is>
          <t>G2G</t>
        </is>
      </c>
      <c r="T1507" s="3" t="inlineStr">
        <is>
          <t>P4</t>
        </is>
      </c>
      <c r="U1507" s="19" t="inlineStr">
        <is>
          <t>P JB Cold Soldering</t>
        </is>
      </c>
      <c r="V1507" s="19" t="inlineStr">
        <is>
          <t>Soldering</t>
        </is>
      </c>
      <c r="W1507" s="3" t="inlineStr">
        <is>
          <t>Repair</t>
        </is>
      </c>
      <c r="X1507" s="18" t="n">
        <v>46161</v>
      </c>
      <c r="Y1507" s="73">
        <f>IF(X1507="","",X1507-A1507)</f>
        <v/>
      </c>
      <c r="Z1507" s="18" t="n">
        <v>46161</v>
      </c>
      <c r="AA1507" s="15" t="n"/>
      <c r="AB1507" s="15" t="n"/>
      <c r="AF1507">
        <f>IF(AND($F1507="Closed",$X1507&gt;=DATE(2026,5,1),$X1507&lt;=DATE(2026,5,31)),"Closed in May","Other")</f>
        <v/>
      </c>
    </row>
    <row r="1508">
      <c r="A1508" s="37" t="n">
        <v>46143</v>
      </c>
      <c r="B1508" s="3" t="n">
        <v>2026</v>
      </c>
      <c r="C1508" s="26" t="inlineStr">
        <is>
          <t>Yanara Power</t>
        </is>
      </c>
      <c r="D1508" s="3" t="inlineStr">
        <is>
          <t>Utility and C&amp;I</t>
        </is>
      </c>
      <c r="E1508" s="3" t="n"/>
      <c r="F1508" s="3" t="inlineStr">
        <is>
          <t>Closed</t>
        </is>
      </c>
      <c r="G1508" s="9" t="inlineStr">
        <is>
          <t xml:space="preserve">Ashish Jindal </t>
        </is>
      </c>
      <c r="H1508" s="26" t="n">
        <v>9983975581</v>
      </c>
      <c r="I1508" s="38" t="inlineStr">
        <is>
          <t>PE01052601</t>
        </is>
      </c>
      <c r="J1508" s="26" t="inlineStr">
        <is>
          <t>Multiple Issues</t>
        </is>
      </c>
      <c r="K1508" s="39" t="inlineStr">
        <is>
          <t>Holi</t>
        </is>
      </c>
      <c r="L1508" s="39" t="inlineStr">
        <is>
          <t>Maharashtra</t>
        </is>
      </c>
      <c r="M1508" s="46" t="inlineStr">
        <is>
          <t>PS</t>
        </is>
      </c>
      <c r="N1508" s="3" t="inlineStr">
        <is>
          <t>Cold Soldering</t>
        </is>
      </c>
      <c r="O1508" s="39" t="n">
        <v>575</v>
      </c>
      <c r="P1508" s="46" t="inlineStr">
        <is>
          <t>NSMI24070178778</t>
        </is>
      </c>
      <c r="Q1508" s="53">
        <f>MID(P1508,5,2)</f>
        <v/>
      </c>
      <c r="R1508" s="53">
        <f>MID(P1508,7,2)</f>
        <v/>
      </c>
      <c r="S1508" s="3" t="inlineStr">
        <is>
          <t>G2G</t>
        </is>
      </c>
      <c r="T1508" s="3" t="inlineStr">
        <is>
          <t>P4</t>
        </is>
      </c>
      <c r="U1508" s="19" t="inlineStr">
        <is>
          <t>P JB Cold Soldering</t>
        </is>
      </c>
      <c r="V1508" s="19" t="inlineStr">
        <is>
          <t>Soldering</t>
        </is>
      </c>
      <c r="W1508" s="3" t="inlineStr">
        <is>
          <t>Repair</t>
        </is>
      </c>
      <c r="X1508" s="18" t="n">
        <v>46161</v>
      </c>
      <c r="Y1508" s="73">
        <f>IF(X1508="","",X1508-A1508)</f>
        <v/>
      </c>
      <c r="Z1508" s="18" t="n">
        <v>46161</v>
      </c>
      <c r="AA1508" s="15" t="n"/>
      <c r="AB1508" s="15" t="n"/>
      <c r="AF1508">
        <f>IF(AND($F1508="Closed",$X1508&gt;=DATE(2026,5,1),$X1508&lt;=DATE(2026,5,31)),"Closed in May","Other")</f>
        <v/>
      </c>
    </row>
    <row r="1509">
      <c r="A1509" s="37" t="n">
        <v>46143</v>
      </c>
      <c r="B1509" s="3" t="n">
        <v>2026</v>
      </c>
      <c r="C1509" s="26" t="inlineStr">
        <is>
          <t>Yanara Power</t>
        </is>
      </c>
      <c r="D1509" s="3" t="inlineStr">
        <is>
          <t>Utility and C&amp;I</t>
        </is>
      </c>
      <c r="E1509" s="3" t="n"/>
      <c r="F1509" s="3" t="inlineStr">
        <is>
          <t>Closed</t>
        </is>
      </c>
      <c r="G1509" s="9" t="inlineStr">
        <is>
          <t xml:space="preserve">Ashish Jindal </t>
        </is>
      </c>
      <c r="H1509" s="26" t="n">
        <v>9983975581</v>
      </c>
      <c r="I1509" s="38" t="inlineStr">
        <is>
          <t>PE01052601</t>
        </is>
      </c>
      <c r="J1509" s="26" t="inlineStr">
        <is>
          <t>Multiple Issues</t>
        </is>
      </c>
      <c r="K1509" s="39" t="inlineStr">
        <is>
          <t>Holi</t>
        </is>
      </c>
      <c r="L1509" s="39" t="inlineStr">
        <is>
          <t>Maharashtra</t>
        </is>
      </c>
      <c r="M1509" s="46" t="inlineStr">
        <is>
          <t>PS</t>
        </is>
      </c>
      <c r="N1509" s="3" t="inlineStr">
        <is>
          <t>Cold Soldering</t>
        </is>
      </c>
      <c r="O1509" s="39" t="n">
        <v>575</v>
      </c>
      <c r="P1509" s="46" t="inlineStr">
        <is>
          <t>NSMI24070179495</t>
        </is>
      </c>
      <c r="Q1509" s="53">
        <f>MID(P1509,5,2)</f>
        <v/>
      </c>
      <c r="R1509" s="53">
        <f>MID(P1509,7,2)</f>
        <v/>
      </c>
      <c r="S1509" s="3" t="inlineStr">
        <is>
          <t>G2G</t>
        </is>
      </c>
      <c r="T1509" s="3" t="inlineStr">
        <is>
          <t>P4</t>
        </is>
      </c>
      <c r="U1509" s="19" t="inlineStr">
        <is>
          <t>P JB Cold Soldering</t>
        </is>
      </c>
      <c r="V1509" s="19" t="inlineStr">
        <is>
          <t>Soldering</t>
        </is>
      </c>
      <c r="W1509" s="3" t="inlineStr">
        <is>
          <t>Repair</t>
        </is>
      </c>
      <c r="X1509" s="18" t="n">
        <v>46161</v>
      </c>
      <c r="Y1509" s="73">
        <f>IF(X1509="","",X1509-A1509)</f>
        <v/>
      </c>
      <c r="Z1509" s="18" t="n">
        <v>46161</v>
      </c>
      <c r="AA1509" s="15" t="n"/>
      <c r="AB1509" s="15" t="n"/>
      <c r="AF1509">
        <f>IF(AND($F1509="Closed",$X1509&gt;=DATE(2026,5,1),$X1509&lt;=DATE(2026,5,31)),"Closed in May","Other")</f>
        <v/>
      </c>
    </row>
    <row r="1510">
      <c r="A1510" s="37" t="n">
        <v>46143</v>
      </c>
      <c r="B1510" s="3" t="n">
        <v>2026</v>
      </c>
      <c r="C1510" s="26" t="inlineStr">
        <is>
          <t>Yanara Power</t>
        </is>
      </c>
      <c r="D1510" s="3" t="inlineStr">
        <is>
          <t>Utility and C&amp;I</t>
        </is>
      </c>
      <c r="E1510" s="3" t="n"/>
      <c r="F1510" s="3" t="inlineStr">
        <is>
          <t>Closed</t>
        </is>
      </c>
      <c r="G1510" s="9" t="inlineStr">
        <is>
          <t xml:space="preserve">Ashish Jindal </t>
        </is>
      </c>
      <c r="H1510" s="26" t="n">
        <v>9983975581</v>
      </c>
      <c r="I1510" s="38" t="inlineStr">
        <is>
          <t>PE01052601</t>
        </is>
      </c>
      <c r="J1510" s="26" t="inlineStr">
        <is>
          <t>Multiple Issues</t>
        </is>
      </c>
      <c r="K1510" s="39" t="inlineStr">
        <is>
          <t>Holi</t>
        </is>
      </c>
      <c r="L1510" s="39" t="inlineStr">
        <is>
          <t>Maharashtra</t>
        </is>
      </c>
      <c r="M1510" s="46" t="inlineStr">
        <is>
          <t>PS</t>
        </is>
      </c>
      <c r="N1510" s="3" t="inlineStr">
        <is>
          <t>Cold Soldering</t>
        </is>
      </c>
      <c r="O1510" s="39" t="n">
        <v>575</v>
      </c>
      <c r="P1510" s="46" t="inlineStr">
        <is>
          <t>NSMI24070179492</t>
        </is>
      </c>
      <c r="Q1510" s="53">
        <f>MID(P1510,5,2)</f>
        <v/>
      </c>
      <c r="R1510" s="53">
        <f>MID(P1510,7,2)</f>
        <v/>
      </c>
      <c r="S1510" s="3" t="inlineStr">
        <is>
          <t>G2G</t>
        </is>
      </c>
      <c r="T1510" s="3" t="inlineStr">
        <is>
          <t>P4</t>
        </is>
      </c>
      <c r="U1510" s="19" t="inlineStr">
        <is>
          <t>P JB Cold Soldering</t>
        </is>
      </c>
      <c r="V1510" s="19" t="inlineStr">
        <is>
          <t>Soldering</t>
        </is>
      </c>
      <c r="W1510" s="3" t="inlineStr">
        <is>
          <t>Repair</t>
        </is>
      </c>
      <c r="X1510" s="18" t="n">
        <v>46161</v>
      </c>
      <c r="Y1510" s="73">
        <f>IF(X1510="","",X1510-A1510)</f>
        <v/>
      </c>
      <c r="Z1510" s="18" t="n">
        <v>46161</v>
      </c>
      <c r="AA1510" s="15" t="n"/>
      <c r="AB1510" s="15" t="n"/>
      <c r="AF1510">
        <f>IF(AND($F1510="Closed",$X1510&gt;=DATE(2026,5,1),$X1510&lt;=DATE(2026,5,31)),"Closed in May","Other")</f>
        <v/>
      </c>
    </row>
    <row r="1511">
      <c r="A1511" s="37" t="n">
        <v>46143</v>
      </c>
      <c r="B1511" s="3" t="n">
        <v>2026</v>
      </c>
      <c r="C1511" s="26" t="inlineStr">
        <is>
          <t>Yanara Power</t>
        </is>
      </c>
      <c r="D1511" s="3" t="inlineStr">
        <is>
          <t>Utility and C&amp;I</t>
        </is>
      </c>
      <c r="E1511" s="3" t="n"/>
      <c r="F1511" s="3" t="inlineStr">
        <is>
          <t>Closed</t>
        </is>
      </c>
      <c r="G1511" s="9" t="inlineStr">
        <is>
          <t xml:space="preserve">Ashish Jindal </t>
        </is>
      </c>
      <c r="H1511" s="26" t="n">
        <v>9983975581</v>
      </c>
      <c r="I1511" s="38" t="inlineStr">
        <is>
          <t>PE01052601</t>
        </is>
      </c>
      <c r="J1511" s="26" t="inlineStr">
        <is>
          <t>Multiple Issues</t>
        </is>
      </c>
      <c r="K1511" s="39" t="inlineStr">
        <is>
          <t>Holi</t>
        </is>
      </c>
      <c r="L1511" s="39" t="inlineStr">
        <is>
          <t>Maharashtra</t>
        </is>
      </c>
      <c r="M1511" s="46" t="inlineStr">
        <is>
          <t>NS</t>
        </is>
      </c>
      <c r="N1511" s="3" t="inlineStr">
        <is>
          <t>Cold Soldering</t>
        </is>
      </c>
      <c r="O1511" s="39" t="n">
        <v>575</v>
      </c>
      <c r="P1511" s="46" t="inlineStr">
        <is>
          <t>NSMI24070179526</t>
        </is>
      </c>
      <c r="Q1511" s="53">
        <f>MID(P1511,5,2)</f>
        <v/>
      </c>
      <c r="R1511" s="53">
        <f>MID(P1511,7,2)</f>
        <v/>
      </c>
      <c r="S1511" s="3" t="inlineStr">
        <is>
          <t>G2G</t>
        </is>
      </c>
      <c r="T1511" s="3" t="inlineStr">
        <is>
          <t>P4</t>
        </is>
      </c>
      <c r="U1511" s="3" t="inlineStr">
        <is>
          <t>N JB Cold Soldering</t>
        </is>
      </c>
      <c r="V1511" s="3" t="inlineStr">
        <is>
          <t>Soldering</t>
        </is>
      </c>
      <c r="W1511" s="3" t="inlineStr">
        <is>
          <t>Repair</t>
        </is>
      </c>
      <c r="X1511" s="18" t="n">
        <v>46161</v>
      </c>
      <c r="Y1511" s="73">
        <f>IF(X1511="","",X1511-A1511)</f>
        <v/>
      </c>
      <c r="Z1511" s="18" t="n">
        <v>46161</v>
      </c>
      <c r="AA1511" s="15" t="n"/>
      <c r="AB1511" s="15" t="n"/>
      <c r="AF1511">
        <f>IF(AND($F1511="Closed",$X1511&gt;=DATE(2026,5,1),$X1511&lt;=DATE(2026,5,31)),"Closed in May","Other")</f>
        <v/>
      </c>
    </row>
    <row r="1512">
      <c r="A1512" s="37" t="n">
        <v>46143</v>
      </c>
      <c r="B1512" s="3" t="n">
        <v>2026</v>
      </c>
      <c r="C1512" s="26" t="inlineStr">
        <is>
          <t>Yanara Power</t>
        </is>
      </c>
      <c r="D1512" s="3" t="inlineStr">
        <is>
          <t>Utility and C&amp;I</t>
        </is>
      </c>
      <c r="E1512" s="3" t="n"/>
      <c r="F1512" s="3" t="inlineStr">
        <is>
          <t>Closed</t>
        </is>
      </c>
      <c r="G1512" s="9" t="inlineStr">
        <is>
          <t xml:space="preserve">Ashish Jindal </t>
        </is>
      </c>
      <c r="H1512" s="26" t="n">
        <v>9983975581</v>
      </c>
      <c r="I1512" s="38" t="inlineStr">
        <is>
          <t>PE01052601</t>
        </is>
      </c>
      <c r="J1512" s="26" t="inlineStr">
        <is>
          <t>Multiple Issues</t>
        </is>
      </c>
      <c r="K1512" s="39" t="inlineStr">
        <is>
          <t>Holi</t>
        </is>
      </c>
      <c r="L1512" s="39" t="inlineStr">
        <is>
          <t>Maharashtra</t>
        </is>
      </c>
      <c r="M1512" s="46" t="inlineStr">
        <is>
          <t>PS</t>
        </is>
      </c>
      <c r="N1512" s="3" t="inlineStr">
        <is>
          <t>Cold Soldering</t>
        </is>
      </c>
      <c r="O1512" s="39" t="n">
        <v>575</v>
      </c>
      <c r="P1512" s="46" t="inlineStr">
        <is>
          <t>NSMI24070182500</t>
        </is>
      </c>
      <c r="Q1512" s="53">
        <f>MID(P1512,5,2)</f>
        <v/>
      </c>
      <c r="R1512" s="53">
        <f>MID(P1512,7,2)</f>
        <v/>
      </c>
      <c r="S1512" s="3" t="inlineStr">
        <is>
          <t>G2G</t>
        </is>
      </c>
      <c r="T1512" s="3" t="inlineStr">
        <is>
          <t>P4</t>
        </is>
      </c>
      <c r="U1512" s="19" t="inlineStr">
        <is>
          <t>P JB Cold Soldering</t>
        </is>
      </c>
      <c r="V1512" s="19" t="inlineStr">
        <is>
          <t>Soldering</t>
        </is>
      </c>
      <c r="W1512" s="3" t="inlineStr">
        <is>
          <t>Repair</t>
        </is>
      </c>
      <c r="X1512" s="18" t="n">
        <v>46161</v>
      </c>
      <c r="Y1512" s="73">
        <f>IF(X1512="","",X1512-A1512)</f>
        <v/>
      </c>
      <c r="Z1512" s="18" t="n">
        <v>46161</v>
      </c>
      <c r="AA1512" s="15" t="n"/>
      <c r="AB1512" s="15" t="n"/>
      <c r="AF1512">
        <f>IF(AND($F1512="Closed",$X1512&gt;=DATE(2026,5,1),$X1512&lt;=DATE(2026,5,31)),"Closed in May","Other")</f>
        <v/>
      </c>
    </row>
    <row r="1513">
      <c r="A1513" s="37" t="n">
        <v>46143</v>
      </c>
      <c r="B1513" s="3" t="n">
        <v>2026</v>
      </c>
      <c r="C1513" s="26" t="inlineStr">
        <is>
          <t>Yanara Power</t>
        </is>
      </c>
      <c r="D1513" s="3" t="inlineStr">
        <is>
          <t>Utility and C&amp;I</t>
        </is>
      </c>
      <c r="E1513" s="3" t="n"/>
      <c r="F1513" s="3" t="inlineStr">
        <is>
          <t>Closed</t>
        </is>
      </c>
      <c r="G1513" s="9" t="inlineStr">
        <is>
          <t xml:space="preserve">Ashish Jindal </t>
        </is>
      </c>
      <c r="H1513" s="26" t="n">
        <v>9983975581</v>
      </c>
      <c r="I1513" s="38" t="inlineStr">
        <is>
          <t>PE01052601</t>
        </is>
      </c>
      <c r="J1513" s="26" t="inlineStr">
        <is>
          <t>Multiple Issues</t>
        </is>
      </c>
      <c r="K1513" s="39" t="inlineStr">
        <is>
          <t>Holi</t>
        </is>
      </c>
      <c r="L1513" s="39" t="inlineStr">
        <is>
          <t>Maharashtra</t>
        </is>
      </c>
      <c r="M1513" s="46" t="inlineStr">
        <is>
          <t>PS</t>
        </is>
      </c>
      <c r="N1513" s="3" t="inlineStr">
        <is>
          <t>Cold Soldering</t>
        </is>
      </c>
      <c r="O1513" s="39" t="n">
        <v>575</v>
      </c>
      <c r="P1513" s="46" t="inlineStr">
        <is>
          <t>NSMI24070184058</t>
        </is>
      </c>
      <c r="Q1513" s="53">
        <f>MID(P1513,5,2)</f>
        <v/>
      </c>
      <c r="R1513" s="53">
        <f>MID(P1513,7,2)</f>
        <v/>
      </c>
      <c r="S1513" s="3" t="inlineStr">
        <is>
          <t>G2G</t>
        </is>
      </c>
      <c r="T1513" s="3" t="inlineStr">
        <is>
          <t>P4</t>
        </is>
      </c>
      <c r="U1513" s="19" t="inlineStr">
        <is>
          <t>P JB Cold Soldering</t>
        </is>
      </c>
      <c r="V1513" s="19" t="inlineStr">
        <is>
          <t>Soldering</t>
        </is>
      </c>
      <c r="W1513" s="3" t="inlineStr">
        <is>
          <t>Repair</t>
        </is>
      </c>
      <c r="X1513" s="18" t="n">
        <v>46161</v>
      </c>
      <c r="Y1513" s="73">
        <f>IF(X1513="","",X1513-A1513)</f>
        <v/>
      </c>
      <c r="Z1513" s="18" t="n">
        <v>46161</v>
      </c>
      <c r="AA1513" s="15" t="n"/>
      <c r="AB1513" s="15" t="n"/>
      <c r="AF1513">
        <f>IF(AND($F1513="Closed",$X1513&gt;=DATE(2026,5,1),$X1513&lt;=DATE(2026,5,31)),"Closed in May","Other")</f>
        <v/>
      </c>
    </row>
    <row r="1514">
      <c r="A1514" s="37" t="n">
        <v>46143</v>
      </c>
      <c r="B1514" s="3" t="n">
        <v>2026</v>
      </c>
      <c r="C1514" s="26" t="inlineStr">
        <is>
          <t>Yanara Power</t>
        </is>
      </c>
      <c r="D1514" s="3" t="inlineStr">
        <is>
          <t>Utility and C&amp;I</t>
        </is>
      </c>
      <c r="E1514" s="3" t="n"/>
      <c r="F1514" s="3" t="inlineStr">
        <is>
          <t>Closed</t>
        </is>
      </c>
      <c r="G1514" s="9" t="inlineStr">
        <is>
          <t xml:space="preserve">Ashish Jindal </t>
        </is>
      </c>
      <c r="H1514" s="26" t="n">
        <v>9983975581</v>
      </c>
      <c r="I1514" s="38" t="inlineStr">
        <is>
          <t>PE01052601</t>
        </is>
      </c>
      <c r="J1514" s="26" t="inlineStr">
        <is>
          <t>Multiple Issues</t>
        </is>
      </c>
      <c r="K1514" s="39" t="inlineStr">
        <is>
          <t>Holi</t>
        </is>
      </c>
      <c r="L1514" s="39" t="inlineStr">
        <is>
          <t>Maharashtra</t>
        </is>
      </c>
      <c r="M1514" s="46" t="inlineStr">
        <is>
          <t>PS</t>
        </is>
      </c>
      <c r="N1514" s="3" t="inlineStr">
        <is>
          <t>Cold Soldering</t>
        </is>
      </c>
      <c r="O1514" s="39" t="n">
        <v>575</v>
      </c>
      <c r="P1514" s="46" t="inlineStr">
        <is>
          <t>NSMI24070184011</t>
        </is>
      </c>
      <c r="Q1514" s="53">
        <f>MID(P1514,5,2)</f>
        <v/>
      </c>
      <c r="R1514" s="53">
        <f>MID(P1514,7,2)</f>
        <v/>
      </c>
      <c r="S1514" s="3" t="inlineStr">
        <is>
          <t>G2G</t>
        </is>
      </c>
      <c r="T1514" s="3" t="inlineStr">
        <is>
          <t>P4</t>
        </is>
      </c>
      <c r="U1514" s="19" t="inlineStr">
        <is>
          <t>P JB Cold Soldering</t>
        </is>
      </c>
      <c r="V1514" s="19" t="inlineStr">
        <is>
          <t>Soldering</t>
        </is>
      </c>
      <c r="W1514" s="3" t="inlineStr">
        <is>
          <t>Repair</t>
        </is>
      </c>
      <c r="X1514" s="18" t="n">
        <v>46161</v>
      </c>
      <c r="Y1514" s="73">
        <f>IF(X1514="","",X1514-A1514)</f>
        <v/>
      </c>
      <c r="Z1514" s="18" t="n">
        <v>46161</v>
      </c>
      <c r="AA1514" s="15" t="n"/>
      <c r="AB1514" s="15" t="n"/>
      <c r="AF1514">
        <f>IF(AND($F1514="Closed",$X1514&gt;=DATE(2026,5,1),$X1514&lt;=DATE(2026,5,31)),"Closed in May","Other")</f>
        <v/>
      </c>
    </row>
    <row r="1515">
      <c r="A1515" s="37" t="n">
        <v>46143</v>
      </c>
      <c r="B1515" s="3" t="n">
        <v>2026</v>
      </c>
      <c r="C1515" s="26" t="inlineStr">
        <is>
          <t>Yanara Power</t>
        </is>
      </c>
      <c r="D1515" s="3" t="inlineStr">
        <is>
          <t>Utility and C&amp;I</t>
        </is>
      </c>
      <c r="E1515" s="3" t="n"/>
      <c r="F1515" s="3" t="inlineStr">
        <is>
          <t>Closed</t>
        </is>
      </c>
      <c r="G1515" s="9" t="inlineStr">
        <is>
          <t xml:space="preserve">Ashish Jindal </t>
        </is>
      </c>
      <c r="H1515" s="26" t="n">
        <v>9983975581</v>
      </c>
      <c r="I1515" s="38" t="inlineStr">
        <is>
          <t>PE01052601</t>
        </is>
      </c>
      <c r="J1515" s="26" t="inlineStr">
        <is>
          <t>Multiple Issues</t>
        </is>
      </c>
      <c r="K1515" s="39" t="inlineStr">
        <is>
          <t>Holi</t>
        </is>
      </c>
      <c r="L1515" s="39" t="inlineStr">
        <is>
          <t>Maharashtra</t>
        </is>
      </c>
      <c r="M1515" s="46" t="inlineStr">
        <is>
          <t>PS</t>
        </is>
      </c>
      <c r="N1515" s="3" t="inlineStr">
        <is>
          <t>Cold Soldering</t>
        </is>
      </c>
      <c r="O1515" s="39" t="n">
        <v>575</v>
      </c>
      <c r="P1515" s="46" t="inlineStr">
        <is>
          <t>NSMI24070182667</t>
        </is>
      </c>
      <c r="Q1515" s="53">
        <f>MID(P1515,5,2)</f>
        <v/>
      </c>
      <c r="R1515" s="53">
        <f>MID(P1515,7,2)</f>
        <v/>
      </c>
      <c r="S1515" s="3" t="inlineStr">
        <is>
          <t>G2G</t>
        </is>
      </c>
      <c r="T1515" s="3" t="inlineStr">
        <is>
          <t>P4</t>
        </is>
      </c>
      <c r="U1515" s="19" t="inlineStr">
        <is>
          <t>P JB Cold Soldering</t>
        </is>
      </c>
      <c r="V1515" s="19" t="inlineStr">
        <is>
          <t>Soldering</t>
        </is>
      </c>
      <c r="W1515" s="3" t="inlineStr">
        <is>
          <t>Repair</t>
        </is>
      </c>
      <c r="X1515" s="18" t="n">
        <v>46161</v>
      </c>
      <c r="Y1515" s="73">
        <f>IF(X1515="","",X1515-A1515)</f>
        <v/>
      </c>
      <c r="Z1515" s="18" t="n">
        <v>46161</v>
      </c>
      <c r="AA1515" s="15" t="n"/>
      <c r="AB1515" s="15" t="n"/>
      <c r="AF1515">
        <f>IF(AND($F1515="Closed",$X1515&gt;=DATE(2026,5,1),$X1515&lt;=DATE(2026,5,31)),"Closed in May","Other")</f>
        <v/>
      </c>
    </row>
    <row r="1516">
      <c r="A1516" s="37" t="n">
        <v>46143</v>
      </c>
      <c r="B1516" s="3" t="n">
        <v>2026</v>
      </c>
      <c r="C1516" s="26" t="inlineStr">
        <is>
          <t>Yanara Power</t>
        </is>
      </c>
      <c r="D1516" s="3" t="inlineStr">
        <is>
          <t>Utility and C&amp;I</t>
        </is>
      </c>
      <c r="E1516" s="3" t="n"/>
      <c r="F1516" s="3" t="inlineStr">
        <is>
          <t>Closed</t>
        </is>
      </c>
      <c r="G1516" s="9" t="inlineStr">
        <is>
          <t xml:space="preserve">Ashish Jindal </t>
        </is>
      </c>
      <c r="H1516" s="26" t="n">
        <v>9983975581</v>
      </c>
      <c r="I1516" s="38" t="inlineStr">
        <is>
          <t>PE01052601</t>
        </is>
      </c>
      <c r="J1516" s="26" t="inlineStr">
        <is>
          <t>Multiple Issues</t>
        </is>
      </c>
      <c r="K1516" s="39" t="inlineStr">
        <is>
          <t>Holi</t>
        </is>
      </c>
      <c r="L1516" s="39" t="inlineStr">
        <is>
          <t>Maharashtra</t>
        </is>
      </c>
      <c r="M1516" s="46" t="inlineStr">
        <is>
          <t>PS</t>
        </is>
      </c>
      <c r="N1516" s="3" t="inlineStr">
        <is>
          <t>Cold Soldering</t>
        </is>
      </c>
      <c r="O1516" s="39" t="n">
        <v>575</v>
      </c>
      <c r="P1516" s="46" t="inlineStr">
        <is>
          <t>NSMI24070182687</t>
        </is>
      </c>
      <c r="Q1516" s="53">
        <f>MID(P1516,5,2)</f>
        <v/>
      </c>
      <c r="R1516" s="53">
        <f>MID(P1516,7,2)</f>
        <v/>
      </c>
      <c r="S1516" s="3" t="inlineStr">
        <is>
          <t>G2G</t>
        </is>
      </c>
      <c r="T1516" s="3" t="inlineStr">
        <is>
          <t>P4</t>
        </is>
      </c>
      <c r="U1516" s="19" t="inlineStr">
        <is>
          <t>P JB Cold Soldering</t>
        </is>
      </c>
      <c r="V1516" s="19" t="inlineStr">
        <is>
          <t>Soldering</t>
        </is>
      </c>
      <c r="W1516" s="3" t="inlineStr">
        <is>
          <t>Repair</t>
        </is>
      </c>
      <c r="X1516" s="18" t="n">
        <v>46161</v>
      </c>
      <c r="Y1516" s="73">
        <f>IF(X1516="","",X1516-A1516)</f>
        <v/>
      </c>
      <c r="Z1516" s="18" t="n">
        <v>46161</v>
      </c>
      <c r="AA1516" s="15" t="n"/>
      <c r="AB1516" s="15" t="n"/>
      <c r="AF1516">
        <f>IF(AND($F1516="Closed",$X1516&gt;=DATE(2026,5,1),$X1516&lt;=DATE(2026,5,31)),"Closed in May","Other")</f>
        <v/>
      </c>
    </row>
    <row r="1517">
      <c r="A1517" s="37" t="n">
        <v>46143</v>
      </c>
      <c r="B1517" s="3" t="n">
        <v>2026</v>
      </c>
      <c r="C1517" s="26" t="inlineStr">
        <is>
          <t>Yanara Power</t>
        </is>
      </c>
      <c r="D1517" s="3" t="inlineStr">
        <is>
          <t>Utility and C&amp;I</t>
        </is>
      </c>
      <c r="E1517" s="3" t="n"/>
      <c r="F1517" s="3" t="inlineStr">
        <is>
          <t>Closed</t>
        </is>
      </c>
      <c r="G1517" s="9" t="inlineStr">
        <is>
          <t xml:space="preserve">Ashish Jindal </t>
        </is>
      </c>
      <c r="H1517" s="26" t="n">
        <v>9983975581</v>
      </c>
      <c r="I1517" s="38" t="inlineStr">
        <is>
          <t>PE01052601</t>
        </is>
      </c>
      <c r="J1517" s="26" t="inlineStr">
        <is>
          <t>Multiple Issues</t>
        </is>
      </c>
      <c r="K1517" s="39" t="inlineStr">
        <is>
          <t>Holi</t>
        </is>
      </c>
      <c r="L1517" s="39" t="inlineStr">
        <is>
          <t>Maharashtra</t>
        </is>
      </c>
      <c r="M1517" s="46" t="inlineStr">
        <is>
          <t>PR</t>
        </is>
      </c>
      <c r="N1517" s="3" t="inlineStr">
        <is>
          <t>JB Issue</t>
        </is>
      </c>
      <c r="O1517" s="39" t="n">
        <v>575</v>
      </c>
      <c r="P1517" s="46" t="inlineStr">
        <is>
          <t>NSMI24070191124</t>
        </is>
      </c>
      <c r="Q1517" s="53">
        <f>MID(P1517,5,2)</f>
        <v/>
      </c>
      <c r="R1517" s="53">
        <f>MID(P1517,7,2)</f>
        <v/>
      </c>
      <c r="S1517" s="3" t="inlineStr">
        <is>
          <t>G2G</t>
        </is>
      </c>
      <c r="T1517" s="3" t="inlineStr">
        <is>
          <t>P4</t>
        </is>
      </c>
      <c r="U1517" s="3" t="inlineStr">
        <is>
          <t>P JB Issue</t>
        </is>
      </c>
      <c r="V1517" s="15" t="inlineStr">
        <is>
          <t>JB Changed</t>
        </is>
      </c>
      <c r="W1517" s="3" t="inlineStr">
        <is>
          <t>Repair</t>
        </is>
      </c>
      <c r="X1517" s="18" t="n">
        <v>46161</v>
      </c>
      <c r="Y1517" s="73">
        <f>IF(X1517="","",X1517-A1517)</f>
        <v/>
      </c>
      <c r="Z1517" s="18" t="n">
        <v>46161</v>
      </c>
      <c r="AA1517" s="15" t="n"/>
      <c r="AB1517" s="15" t="n"/>
      <c r="AF1517">
        <f>IF(AND($F1517="Closed",$X1517&gt;=DATE(2026,5,1),$X1517&lt;=DATE(2026,5,31)),"Closed in May","Other")</f>
        <v/>
      </c>
    </row>
    <row r="1518">
      <c r="A1518" s="37" t="n">
        <v>46143</v>
      </c>
      <c r="B1518" s="3" t="n">
        <v>2026</v>
      </c>
      <c r="C1518" s="26" t="inlineStr">
        <is>
          <t>Yanara Power</t>
        </is>
      </c>
      <c r="D1518" s="3" t="inlineStr">
        <is>
          <t>Utility and C&amp;I</t>
        </is>
      </c>
      <c r="E1518" s="3" t="n"/>
      <c r="F1518" s="3" t="inlineStr">
        <is>
          <t>Closed</t>
        </is>
      </c>
      <c r="G1518" s="9" t="inlineStr">
        <is>
          <t xml:space="preserve">Ashish Jindal </t>
        </is>
      </c>
      <c r="H1518" s="26" t="n">
        <v>9983975581</v>
      </c>
      <c r="I1518" s="38" t="inlineStr">
        <is>
          <t>PE01052601</t>
        </is>
      </c>
      <c r="J1518" s="26" t="inlineStr">
        <is>
          <t>Multiple Issues</t>
        </is>
      </c>
      <c r="K1518" s="39" t="inlineStr">
        <is>
          <t>Holi</t>
        </is>
      </c>
      <c r="L1518" s="39" t="inlineStr">
        <is>
          <t>Maharashtra</t>
        </is>
      </c>
      <c r="M1518" s="46" t="inlineStr">
        <is>
          <t>PS</t>
        </is>
      </c>
      <c r="N1518" s="3" t="inlineStr">
        <is>
          <t>Cold Soldering</t>
        </is>
      </c>
      <c r="O1518" s="39" t="n">
        <v>575</v>
      </c>
      <c r="P1518" s="46" t="inlineStr">
        <is>
          <t>NSMI24070181412</t>
        </is>
      </c>
      <c r="Q1518" s="53">
        <f>MID(P1518,5,2)</f>
        <v/>
      </c>
      <c r="R1518" s="53">
        <f>MID(P1518,7,2)</f>
        <v/>
      </c>
      <c r="S1518" s="3" t="inlineStr">
        <is>
          <t>G2G</t>
        </is>
      </c>
      <c r="T1518" s="3" t="inlineStr">
        <is>
          <t>P4</t>
        </is>
      </c>
      <c r="U1518" s="19" t="inlineStr">
        <is>
          <t>P JB Cold Soldering</t>
        </is>
      </c>
      <c r="V1518" s="19" t="inlineStr">
        <is>
          <t>Soldering</t>
        </is>
      </c>
      <c r="W1518" s="3" t="inlineStr">
        <is>
          <t>Repair</t>
        </is>
      </c>
      <c r="X1518" s="18" t="n">
        <v>46161</v>
      </c>
      <c r="Y1518" s="73">
        <f>IF(X1518="","",X1518-A1518)</f>
        <v/>
      </c>
      <c r="Z1518" s="18" t="n">
        <v>46161</v>
      </c>
      <c r="AA1518" s="15" t="n"/>
      <c r="AB1518" s="15" t="n"/>
      <c r="AF1518">
        <f>IF(AND($F1518="Closed",$X1518&gt;=DATE(2026,5,1),$X1518&lt;=DATE(2026,5,31)),"Closed in May","Other")</f>
        <v/>
      </c>
    </row>
    <row r="1519">
      <c r="A1519" s="37" t="n">
        <v>46143</v>
      </c>
      <c r="B1519" s="3" t="n">
        <v>2026</v>
      </c>
      <c r="C1519" s="26" t="inlineStr">
        <is>
          <t>Yanara Power</t>
        </is>
      </c>
      <c r="D1519" s="3" t="inlineStr">
        <is>
          <t>Utility and C&amp;I</t>
        </is>
      </c>
      <c r="E1519" s="3" t="n"/>
      <c r="F1519" s="3" t="inlineStr">
        <is>
          <t>Closed</t>
        </is>
      </c>
      <c r="G1519" s="9" t="inlineStr">
        <is>
          <t xml:space="preserve">Ashish Jindal </t>
        </is>
      </c>
      <c r="H1519" s="26" t="n">
        <v>9983975581</v>
      </c>
      <c r="I1519" s="38" t="inlineStr">
        <is>
          <t>PE01052601</t>
        </is>
      </c>
      <c r="J1519" s="26" t="inlineStr">
        <is>
          <t>Multiple Issues</t>
        </is>
      </c>
      <c r="K1519" s="39" t="inlineStr">
        <is>
          <t>Holi</t>
        </is>
      </c>
      <c r="L1519" s="39" t="inlineStr">
        <is>
          <t>Maharashtra</t>
        </is>
      </c>
      <c r="M1519" s="46" t="inlineStr">
        <is>
          <t>PS</t>
        </is>
      </c>
      <c r="N1519" s="3" t="inlineStr">
        <is>
          <t>Cold Soldering</t>
        </is>
      </c>
      <c r="O1519" s="39" t="n">
        <v>575</v>
      </c>
      <c r="P1519" s="46" t="inlineStr">
        <is>
          <t>NSMI24070184640</t>
        </is>
      </c>
      <c r="Q1519" s="53">
        <f>MID(P1519,5,2)</f>
        <v/>
      </c>
      <c r="R1519" s="53">
        <f>MID(P1519,7,2)</f>
        <v/>
      </c>
      <c r="S1519" s="3" t="inlineStr">
        <is>
          <t>G2G</t>
        </is>
      </c>
      <c r="T1519" s="3" t="inlineStr">
        <is>
          <t>P4</t>
        </is>
      </c>
      <c r="U1519" s="19" t="inlineStr">
        <is>
          <t>P JB Cold Soldering</t>
        </is>
      </c>
      <c r="V1519" s="19" t="inlineStr">
        <is>
          <t>Soldering</t>
        </is>
      </c>
      <c r="W1519" s="3" t="inlineStr">
        <is>
          <t>Repair</t>
        </is>
      </c>
      <c r="X1519" s="18" t="n">
        <v>46161</v>
      </c>
      <c r="Y1519" s="73">
        <f>IF(X1519="","",X1519-A1519)</f>
        <v/>
      </c>
      <c r="Z1519" s="18" t="n">
        <v>46161</v>
      </c>
      <c r="AA1519" s="15" t="n"/>
      <c r="AB1519" s="15" t="n"/>
      <c r="AF1519">
        <f>IF(AND($F1519="Closed",$X1519&gt;=DATE(2026,5,1),$X1519&lt;=DATE(2026,5,31)),"Closed in May","Other")</f>
        <v/>
      </c>
    </row>
    <row r="1520">
      <c r="A1520" s="37" t="n">
        <v>46143</v>
      </c>
      <c r="B1520" s="3" t="n">
        <v>2026</v>
      </c>
      <c r="C1520" s="26" t="inlineStr">
        <is>
          <t>Yanara Power</t>
        </is>
      </c>
      <c r="D1520" s="3" t="inlineStr">
        <is>
          <t>Utility and C&amp;I</t>
        </is>
      </c>
      <c r="E1520" s="3" t="n"/>
      <c r="F1520" s="3" t="inlineStr">
        <is>
          <t>Closed</t>
        </is>
      </c>
      <c r="G1520" s="9" t="inlineStr">
        <is>
          <t xml:space="preserve">Ashish Jindal </t>
        </is>
      </c>
      <c r="H1520" s="26" t="n">
        <v>9983975581</v>
      </c>
      <c r="I1520" s="38" t="inlineStr">
        <is>
          <t>PE01052601</t>
        </is>
      </c>
      <c r="J1520" s="26" t="inlineStr">
        <is>
          <t>Multiple Issues</t>
        </is>
      </c>
      <c r="K1520" s="39" t="inlineStr">
        <is>
          <t>Holi</t>
        </is>
      </c>
      <c r="L1520" s="39" t="inlineStr">
        <is>
          <t>Maharashtra</t>
        </is>
      </c>
      <c r="M1520" s="46" t="inlineStr">
        <is>
          <t>PS</t>
        </is>
      </c>
      <c r="N1520" s="3" t="inlineStr">
        <is>
          <t>Cold Soldering</t>
        </is>
      </c>
      <c r="O1520" s="39" t="n">
        <v>575</v>
      </c>
      <c r="P1520" s="46" t="inlineStr">
        <is>
          <t>NSMI24070182372</t>
        </is>
      </c>
      <c r="Q1520" s="53">
        <f>MID(P1520,5,2)</f>
        <v/>
      </c>
      <c r="R1520" s="53">
        <f>MID(P1520,7,2)</f>
        <v/>
      </c>
      <c r="S1520" s="3" t="inlineStr">
        <is>
          <t>G2G</t>
        </is>
      </c>
      <c r="T1520" s="3" t="inlineStr">
        <is>
          <t>P4</t>
        </is>
      </c>
      <c r="U1520" s="19" t="inlineStr">
        <is>
          <t>P JB Cold Soldering</t>
        </is>
      </c>
      <c r="V1520" s="19" t="inlineStr">
        <is>
          <t>Soldering</t>
        </is>
      </c>
      <c r="W1520" s="3" t="inlineStr">
        <is>
          <t>Repair</t>
        </is>
      </c>
      <c r="X1520" s="18" t="n">
        <v>46161</v>
      </c>
      <c r="Y1520" s="73">
        <f>IF(X1520="","",X1520-A1520)</f>
        <v/>
      </c>
      <c r="Z1520" s="18" t="n">
        <v>46161</v>
      </c>
      <c r="AA1520" s="15" t="n"/>
      <c r="AB1520" s="15" t="n"/>
      <c r="AF1520">
        <f>IF(AND($F1520="Closed",$X1520&gt;=DATE(2026,5,1),$X1520&lt;=DATE(2026,5,31)),"Closed in May","Other")</f>
        <v/>
      </c>
    </row>
    <row r="1521">
      <c r="A1521" s="37" t="n">
        <v>46143</v>
      </c>
      <c r="B1521" s="3" t="n">
        <v>2026</v>
      </c>
      <c r="C1521" s="26" t="inlineStr">
        <is>
          <t>Yanara Power</t>
        </is>
      </c>
      <c r="D1521" s="3" t="inlineStr">
        <is>
          <t>Utility and C&amp;I</t>
        </is>
      </c>
      <c r="E1521" s="3" t="n"/>
      <c r="F1521" s="3" t="inlineStr">
        <is>
          <t>Closed</t>
        </is>
      </c>
      <c r="G1521" s="9" t="inlineStr">
        <is>
          <t xml:space="preserve">Ashish Jindal </t>
        </is>
      </c>
      <c r="H1521" s="26" t="n">
        <v>9983975581</v>
      </c>
      <c r="I1521" s="38" t="inlineStr">
        <is>
          <t>PE01052601</t>
        </is>
      </c>
      <c r="J1521" s="26" t="inlineStr">
        <is>
          <t>Multiple Issues</t>
        </is>
      </c>
      <c r="K1521" s="39" t="inlineStr">
        <is>
          <t>Holi</t>
        </is>
      </c>
      <c r="L1521" s="39" t="inlineStr">
        <is>
          <t>Maharashtra</t>
        </is>
      </c>
      <c r="M1521" s="46" t="inlineStr">
        <is>
          <t>PS</t>
        </is>
      </c>
      <c r="N1521" s="3" t="inlineStr">
        <is>
          <t>Cold Soldering</t>
        </is>
      </c>
      <c r="O1521" s="39" t="n">
        <v>575</v>
      </c>
      <c r="P1521" s="46" t="inlineStr">
        <is>
          <t>NSMI24070176087</t>
        </is>
      </c>
      <c r="Q1521" s="53">
        <f>MID(P1521,5,2)</f>
        <v/>
      </c>
      <c r="R1521" s="53">
        <f>MID(P1521,7,2)</f>
        <v/>
      </c>
      <c r="S1521" s="3" t="inlineStr">
        <is>
          <t>G2G</t>
        </is>
      </c>
      <c r="T1521" s="3" t="inlineStr">
        <is>
          <t>P4</t>
        </is>
      </c>
      <c r="U1521" s="19" t="inlineStr">
        <is>
          <t>P JB Cold Soldering</t>
        </is>
      </c>
      <c r="V1521" s="19" t="inlineStr">
        <is>
          <t>Soldering</t>
        </is>
      </c>
      <c r="W1521" s="3" t="inlineStr">
        <is>
          <t>Repair</t>
        </is>
      </c>
      <c r="X1521" s="18" t="n">
        <v>46161</v>
      </c>
      <c r="Y1521" s="73">
        <f>IF(X1521="","",X1521-A1521)</f>
        <v/>
      </c>
      <c r="Z1521" s="18" t="n">
        <v>46161</v>
      </c>
      <c r="AA1521" s="15" t="n"/>
      <c r="AB1521" s="15" t="n"/>
      <c r="AF1521">
        <f>IF(AND($F1521="Closed",$X1521&gt;=DATE(2026,5,1),$X1521&lt;=DATE(2026,5,31)),"Closed in May","Other")</f>
        <v/>
      </c>
    </row>
    <row r="1522">
      <c r="A1522" s="37" t="n">
        <v>46143</v>
      </c>
      <c r="B1522" s="3" t="n">
        <v>2026</v>
      </c>
      <c r="C1522" s="26" t="inlineStr">
        <is>
          <t>Yanara Power</t>
        </is>
      </c>
      <c r="D1522" s="3" t="inlineStr">
        <is>
          <t>Utility and C&amp;I</t>
        </is>
      </c>
      <c r="E1522" s="3" t="n"/>
      <c r="F1522" s="3" t="inlineStr">
        <is>
          <t>Closed</t>
        </is>
      </c>
      <c r="G1522" s="9" t="inlineStr">
        <is>
          <t xml:space="preserve">Ashish Jindal </t>
        </is>
      </c>
      <c r="H1522" s="26" t="n">
        <v>9983975581</v>
      </c>
      <c r="I1522" s="38" t="inlineStr">
        <is>
          <t>PE01052601</t>
        </is>
      </c>
      <c r="J1522" s="26" t="inlineStr">
        <is>
          <t>Multiple Issues</t>
        </is>
      </c>
      <c r="K1522" s="39" t="inlineStr">
        <is>
          <t>Holi</t>
        </is>
      </c>
      <c r="L1522" s="39" t="inlineStr">
        <is>
          <t>Maharashtra</t>
        </is>
      </c>
      <c r="M1522" s="46" t="inlineStr">
        <is>
          <t>PS</t>
        </is>
      </c>
      <c r="N1522" s="3" t="inlineStr">
        <is>
          <t>Cold Soldering</t>
        </is>
      </c>
      <c r="O1522" s="39" t="n">
        <v>575</v>
      </c>
      <c r="P1522" s="46" t="inlineStr">
        <is>
          <t>NSMI24070181946</t>
        </is>
      </c>
      <c r="Q1522" s="53">
        <f>MID(P1522,5,2)</f>
        <v/>
      </c>
      <c r="R1522" s="53">
        <f>MID(P1522,7,2)</f>
        <v/>
      </c>
      <c r="S1522" s="3" t="inlineStr">
        <is>
          <t>G2G</t>
        </is>
      </c>
      <c r="T1522" s="3" t="inlineStr">
        <is>
          <t>P4</t>
        </is>
      </c>
      <c r="U1522" s="19" t="inlineStr">
        <is>
          <t>P JB Cold Soldering</t>
        </is>
      </c>
      <c r="V1522" s="19" t="inlineStr">
        <is>
          <t>Soldering</t>
        </is>
      </c>
      <c r="W1522" s="3" t="inlineStr">
        <is>
          <t>Repair</t>
        </is>
      </c>
      <c r="X1522" s="18" t="n">
        <v>46161</v>
      </c>
      <c r="Y1522" s="73">
        <f>IF(X1522="","",X1522-A1522)</f>
        <v/>
      </c>
      <c r="Z1522" s="18" t="n">
        <v>46161</v>
      </c>
      <c r="AA1522" s="15" t="n"/>
      <c r="AB1522" s="15" t="n"/>
      <c r="AF1522">
        <f>IF(AND($F1522="Closed",$X1522&gt;=DATE(2026,5,1),$X1522&lt;=DATE(2026,5,31)),"Closed in May","Other")</f>
        <v/>
      </c>
    </row>
    <row r="1523">
      <c r="A1523" s="37" t="n">
        <v>46143</v>
      </c>
      <c r="B1523" s="3" t="n">
        <v>2026</v>
      </c>
      <c r="C1523" s="26" t="inlineStr">
        <is>
          <t>Yanara Power</t>
        </is>
      </c>
      <c r="D1523" s="3" t="inlineStr">
        <is>
          <t>Utility and C&amp;I</t>
        </is>
      </c>
      <c r="E1523" s="3" t="n"/>
      <c r="F1523" s="3" t="inlineStr">
        <is>
          <t>Closed</t>
        </is>
      </c>
      <c r="G1523" s="9" t="inlineStr">
        <is>
          <t xml:space="preserve">Ashish Jindal </t>
        </is>
      </c>
      <c r="H1523" s="26" t="n">
        <v>9983975581</v>
      </c>
      <c r="I1523" s="38" t="inlineStr">
        <is>
          <t>PE01052601</t>
        </is>
      </c>
      <c r="J1523" s="26" t="inlineStr">
        <is>
          <t>Multiple Issues</t>
        </is>
      </c>
      <c r="K1523" s="39" t="inlineStr">
        <is>
          <t>Holi</t>
        </is>
      </c>
      <c r="L1523" s="39" t="inlineStr">
        <is>
          <t>Maharashtra</t>
        </is>
      </c>
      <c r="M1523" s="46" t="inlineStr">
        <is>
          <t>PS</t>
        </is>
      </c>
      <c r="N1523" s="3" t="inlineStr">
        <is>
          <t>Cold Soldering</t>
        </is>
      </c>
      <c r="O1523" s="39" t="n">
        <v>575</v>
      </c>
      <c r="P1523" s="46" t="inlineStr">
        <is>
          <t>NSMI24070182011</t>
        </is>
      </c>
      <c r="Q1523" s="53">
        <f>MID(P1523,5,2)</f>
        <v/>
      </c>
      <c r="R1523" s="53">
        <f>MID(P1523,7,2)</f>
        <v/>
      </c>
      <c r="S1523" s="3" t="inlineStr">
        <is>
          <t>G2G</t>
        </is>
      </c>
      <c r="T1523" s="3" t="inlineStr">
        <is>
          <t>P4</t>
        </is>
      </c>
      <c r="U1523" s="19" t="inlineStr">
        <is>
          <t>P JB Cold Soldering</t>
        </is>
      </c>
      <c r="V1523" s="19" t="inlineStr">
        <is>
          <t>Soldering</t>
        </is>
      </c>
      <c r="W1523" s="3" t="inlineStr">
        <is>
          <t>Repair</t>
        </is>
      </c>
      <c r="X1523" s="18" t="n">
        <v>46161</v>
      </c>
      <c r="Y1523" s="73">
        <f>IF(X1523="","",X1523-A1523)</f>
        <v/>
      </c>
      <c r="Z1523" s="18" t="n">
        <v>46161</v>
      </c>
      <c r="AA1523" s="15" t="n"/>
      <c r="AB1523" s="15" t="n"/>
      <c r="AF1523">
        <f>IF(AND($F1523="Closed",$X1523&gt;=DATE(2026,5,1),$X1523&lt;=DATE(2026,5,31)),"Closed in May","Other")</f>
        <v/>
      </c>
    </row>
    <row r="1524">
      <c r="A1524" s="37" t="n">
        <v>46143</v>
      </c>
      <c r="B1524" s="3" t="n">
        <v>2026</v>
      </c>
      <c r="C1524" s="26" t="inlineStr">
        <is>
          <t>Yanara Power</t>
        </is>
      </c>
      <c r="D1524" s="3" t="inlineStr">
        <is>
          <t>Utility and C&amp;I</t>
        </is>
      </c>
      <c r="E1524" s="3" t="n"/>
      <c r="F1524" s="3" t="inlineStr">
        <is>
          <t>Closed</t>
        </is>
      </c>
      <c r="G1524" s="9" t="inlineStr">
        <is>
          <t xml:space="preserve">Ashish Jindal </t>
        </is>
      </c>
      <c r="H1524" s="26" t="n">
        <v>9983975581</v>
      </c>
      <c r="I1524" s="38" t="inlineStr">
        <is>
          <t>PE01052601</t>
        </is>
      </c>
      <c r="J1524" s="26" t="inlineStr">
        <is>
          <t>Multiple Issues</t>
        </is>
      </c>
      <c r="K1524" s="39" t="inlineStr">
        <is>
          <t>Holi</t>
        </is>
      </c>
      <c r="L1524" s="39" t="inlineStr">
        <is>
          <t>Maharashtra</t>
        </is>
      </c>
      <c r="M1524" s="46" t="inlineStr">
        <is>
          <t>NS</t>
        </is>
      </c>
      <c r="N1524" s="3" t="inlineStr">
        <is>
          <t>Cold Soldering</t>
        </is>
      </c>
      <c r="O1524" s="39" t="n">
        <v>575</v>
      </c>
      <c r="P1524" s="46" t="inlineStr">
        <is>
          <t>NSMI24070182005</t>
        </is>
      </c>
      <c r="Q1524" s="53">
        <f>MID(P1524,5,2)</f>
        <v/>
      </c>
      <c r="R1524" s="53">
        <f>MID(P1524,7,2)</f>
        <v/>
      </c>
      <c r="S1524" s="3" t="inlineStr">
        <is>
          <t>G2G</t>
        </is>
      </c>
      <c r="T1524" s="3" t="inlineStr">
        <is>
          <t>P4</t>
        </is>
      </c>
      <c r="U1524" s="3" t="inlineStr">
        <is>
          <t>N JB Cold Soldering</t>
        </is>
      </c>
      <c r="V1524" s="3" t="inlineStr">
        <is>
          <t>Soldering</t>
        </is>
      </c>
      <c r="W1524" s="3" t="inlineStr">
        <is>
          <t>Repair</t>
        </is>
      </c>
      <c r="X1524" s="18" t="n">
        <v>46161</v>
      </c>
      <c r="Y1524" s="73">
        <f>IF(X1524="","",X1524-A1524)</f>
        <v/>
      </c>
      <c r="Z1524" s="18" t="n">
        <v>46161</v>
      </c>
      <c r="AA1524" s="15" t="n"/>
      <c r="AB1524" s="15" t="n"/>
      <c r="AF1524">
        <f>IF(AND($F1524="Closed",$X1524&gt;=DATE(2026,5,1),$X1524&lt;=DATE(2026,5,31)),"Closed in May","Other")</f>
        <v/>
      </c>
    </row>
    <row r="1525">
      <c r="A1525" s="37" t="n">
        <v>46143</v>
      </c>
      <c r="B1525" s="3" t="n">
        <v>2026</v>
      </c>
      <c r="C1525" s="26" t="inlineStr">
        <is>
          <t>Yanara Power</t>
        </is>
      </c>
      <c r="D1525" s="3" t="inlineStr">
        <is>
          <t>Utility and C&amp;I</t>
        </is>
      </c>
      <c r="E1525" s="3" t="n"/>
      <c r="F1525" s="3" t="inlineStr">
        <is>
          <t>Closed</t>
        </is>
      </c>
      <c r="G1525" s="9" t="inlineStr">
        <is>
          <t xml:space="preserve">Ashish Jindal </t>
        </is>
      </c>
      <c r="H1525" s="26" t="n">
        <v>9983975581</v>
      </c>
      <c r="I1525" s="38" t="inlineStr">
        <is>
          <t>PE01052601</t>
        </is>
      </c>
      <c r="J1525" s="26" t="inlineStr">
        <is>
          <t>Multiple Issues</t>
        </is>
      </c>
      <c r="K1525" s="39" t="inlineStr">
        <is>
          <t>Holi</t>
        </is>
      </c>
      <c r="L1525" s="39" t="inlineStr">
        <is>
          <t>Maharashtra</t>
        </is>
      </c>
      <c r="M1525" s="46" t="inlineStr">
        <is>
          <t>PS</t>
        </is>
      </c>
      <c r="N1525" s="3" t="inlineStr">
        <is>
          <t>Cold Soldering</t>
        </is>
      </c>
      <c r="O1525" s="39" t="n">
        <v>575</v>
      </c>
      <c r="P1525" s="46" t="inlineStr">
        <is>
          <t>NSMI24070181064</t>
        </is>
      </c>
      <c r="Q1525" s="53">
        <f>MID(P1525,5,2)</f>
        <v/>
      </c>
      <c r="R1525" s="53">
        <f>MID(P1525,7,2)</f>
        <v/>
      </c>
      <c r="S1525" s="3" t="inlineStr">
        <is>
          <t>G2G</t>
        </is>
      </c>
      <c r="T1525" s="3" t="inlineStr">
        <is>
          <t>P4</t>
        </is>
      </c>
      <c r="U1525" s="19" t="inlineStr">
        <is>
          <t>P JB Cold Soldering</t>
        </is>
      </c>
      <c r="V1525" s="19" t="inlineStr">
        <is>
          <t>Soldering</t>
        </is>
      </c>
      <c r="W1525" s="3" t="inlineStr">
        <is>
          <t>Repair</t>
        </is>
      </c>
      <c r="X1525" s="18" t="n">
        <v>46161</v>
      </c>
      <c r="Y1525" s="73">
        <f>IF(X1525="","",X1525-A1525)</f>
        <v/>
      </c>
      <c r="Z1525" s="18" t="n">
        <v>46161</v>
      </c>
      <c r="AA1525" s="15" t="n"/>
      <c r="AB1525" s="15" t="n"/>
      <c r="AF1525">
        <f>IF(AND($F1525="Closed",$X1525&gt;=DATE(2026,5,1),$X1525&lt;=DATE(2026,5,31)),"Closed in May","Other")</f>
        <v/>
      </c>
    </row>
    <row r="1526">
      <c r="A1526" s="37" t="n">
        <v>46143</v>
      </c>
      <c r="B1526" s="3" t="n">
        <v>2026</v>
      </c>
      <c r="C1526" s="26" t="inlineStr">
        <is>
          <t>Yanara Power</t>
        </is>
      </c>
      <c r="D1526" s="3" t="inlineStr">
        <is>
          <t>Utility and C&amp;I</t>
        </is>
      </c>
      <c r="E1526" s="3" t="n"/>
      <c r="F1526" s="3" t="inlineStr">
        <is>
          <t>Closed</t>
        </is>
      </c>
      <c r="G1526" s="9" t="inlineStr">
        <is>
          <t xml:space="preserve">Ashish Jindal </t>
        </is>
      </c>
      <c r="H1526" s="26" t="n">
        <v>9983975581</v>
      </c>
      <c r="I1526" s="38" t="inlineStr">
        <is>
          <t>PE01052601</t>
        </is>
      </c>
      <c r="J1526" s="26" t="inlineStr">
        <is>
          <t>Multiple Issues</t>
        </is>
      </c>
      <c r="K1526" s="39" t="inlineStr">
        <is>
          <t>Holi</t>
        </is>
      </c>
      <c r="L1526" s="39" t="inlineStr">
        <is>
          <t>Maharashtra</t>
        </is>
      </c>
      <c r="M1526" s="46" t="inlineStr">
        <is>
          <t>PS</t>
        </is>
      </c>
      <c r="N1526" s="3" t="inlineStr">
        <is>
          <t>Cold Soldering</t>
        </is>
      </c>
      <c r="O1526" s="39" t="n">
        <v>575</v>
      </c>
      <c r="P1526" s="46" t="inlineStr">
        <is>
          <t>NSMI24070184071</t>
        </is>
      </c>
      <c r="Q1526" s="53">
        <f>MID(P1526,5,2)</f>
        <v/>
      </c>
      <c r="R1526" s="53">
        <f>MID(P1526,7,2)</f>
        <v/>
      </c>
      <c r="S1526" s="3" t="inlineStr">
        <is>
          <t>G2G</t>
        </is>
      </c>
      <c r="T1526" s="3" t="inlineStr">
        <is>
          <t>P4</t>
        </is>
      </c>
      <c r="U1526" s="19" t="inlineStr">
        <is>
          <t>P JB Cold Soldering</t>
        </is>
      </c>
      <c r="V1526" s="19" t="inlineStr">
        <is>
          <t>Soldering</t>
        </is>
      </c>
      <c r="W1526" s="3" t="inlineStr">
        <is>
          <t>Repair</t>
        </is>
      </c>
      <c r="X1526" s="18" t="n">
        <v>46161</v>
      </c>
      <c r="Y1526" s="73">
        <f>IF(X1526="","",X1526-A1526)</f>
        <v/>
      </c>
      <c r="Z1526" s="18" t="n">
        <v>46161</v>
      </c>
      <c r="AA1526" s="15" t="n"/>
      <c r="AB1526" s="15" t="n"/>
      <c r="AF1526">
        <f>IF(AND($F1526="Closed",$X1526&gt;=DATE(2026,5,1),$X1526&lt;=DATE(2026,5,31)),"Closed in May","Other")</f>
        <v/>
      </c>
    </row>
    <row r="1527">
      <c r="A1527" s="37" t="n">
        <v>46143</v>
      </c>
      <c r="B1527" s="3" t="n">
        <v>2026</v>
      </c>
      <c r="C1527" s="26" t="inlineStr">
        <is>
          <t>Yanara Power</t>
        </is>
      </c>
      <c r="D1527" s="3" t="inlineStr">
        <is>
          <t>Utility and C&amp;I</t>
        </is>
      </c>
      <c r="E1527" s="3" t="n"/>
      <c r="F1527" s="3" t="inlineStr">
        <is>
          <t>Closed</t>
        </is>
      </c>
      <c r="G1527" s="9" t="inlineStr">
        <is>
          <t xml:space="preserve">Ashish Jindal </t>
        </is>
      </c>
      <c r="H1527" s="26" t="n">
        <v>9983975581</v>
      </c>
      <c r="I1527" s="38" t="inlineStr">
        <is>
          <t>PE01052601</t>
        </is>
      </c>
      <c r="J1527" s="26" t="inlineStr">
        <is>
          <t>Multiple Issues</t>
        </is>
      </c>
      <c r="K1527" s="39" t="inlineStr">
        <is>
          <t>Holi</t>
        </is>
      </c>
      <c r="L1527" s="39" t="inlineStr">
        <is>
          <t>Maharashtra</t>
        </is>
      </c>
      <c r="M1527" s="46" t="inlineStr">
        <is>
          <t>PS</t>
        </is>
      </c>
      <c r="N1527" s="3" t="inlineStr">
        <is>
          <t>Cold Soldering</t>
        </is>
      </c>
      <c r="O1527" s="39" t="n">
        <v>575</v>
      </c>
      <c r="P1527" s="46" t="inlineStr">
        <is>
          <t>NSMI24070180948</t>
        </is>
      </c>
      <c r="Q1527" s="53">
        <f>MID(P1527,5,2)</f>
        <v/>
      </c>
      <c r="R1527" s="53">
        <f>MID(P1527,7,2)</f>
        <v/>
      </c>
      <c r="S1527" s="3" t="inlineStr">
        <is>
          <t>G2G</t>
        </is>
      </c>
      <c r="T1527" s="3" t="inlineStr">
        <is>
          <t>P4</t>
        </is>
      </c>
      <c r="U1527" s="19" t="inlineStr">
        <is>
          <t>P JB Cold Soldering</t>
        </is>
      </c>
      <c r="V1527" s="19" t="inlineStr">
        <is>
          <t>Soldering</t>
        </is>
      </c>
      <c r="W1527" s="3" t="inlineStr">
        <is>
          <t>Repair</t>
        </is>
      </c>
      <c r="X1527" s="18" t="n">
        <v>46161</v>
      </c>
      <c r="Y1527" s="73">
        <f>IF(X1527="","",X1527-A1527)</f>
        <v/>
      </c>
      <c r="Z1527" s="18" t="n">
        <v>46161</v>
      </c>
      <c r="AA1527" s="15" t="n"/>
      <c r="AB1527" s="15" t="n"/>
      <c r="AF1527">
        <f>IF(AND($F1527="Closed",$X1527&gt;=DATE(2026,5,1),$X1527&lt;=DATE(2026,5,31)),"Closed in May","Other")</f>
        <v/>
      </c>
    </row>
    <row r="1528">
      <c r="A1528" s="37" t="n">
        <v>46143</v>
      </c>
      <c r="B1528" s="3" t="n">
        <v>2026</v>
      </c>
      <c r="C1528" s="26" t="inlineStr">
        <is>
          <t>Yanara Power</t>
        </is>
      </c>
      <c r="D1528" s="3" t="inlineStr">
        <is>
          <t>Utility and C&amp;I</t>
        </is>
      </c>
      <c r="E1528" s="3" t="n"/>
      <c r="F1528" s="3" t="inlineStr">
        <is>
          <t>Closed</t>
        </is>
      </c>
      <c r="G1528" s="9" t="inlineStr">
        <is>
          <t xml:space="preserve">Ashish Jindal </t>
        </is>
      </c>
      <c r="H1528" s="26" t="n">
        <v>9983975581</v>
      </c>
      <c r="I1528" s="38" t="inlineStr">
        <is>
          <t>PE01052601</t>
        </is>
      </c>
      <c r="J1528" s="26" t="inlineStr">
        <is>
          <t>Multiple Issues</t>
        </is>
      </c>
      <c r="K1528" s="39" t="inlineStr">
        <is>
          <t>Holi</t>
        </is>
      </c>
      <c r="L1528" s="39" t="inlineStr">
        <is>
          <t>Maharashtra</t>
        </is>
      </c>
      <c r="M1528" s="46" t="inlineStr">
        <is>
          <t>NS</t>
        </is>
      </c>
      <c r="N1528" s="3" t="inlineStr">
        <is>
          <t>Cold Soldering</t>
        </is>
      </c>
      <c r="O1528" s="39" t="n">
        <v>575</v>
      </c>
      <c r="P1528" s="46" t="inlineStr">
        <is>
          <t>NSMI24070181104</t>
        </is>
      </c>
      <c r="Q1528" s="53">
        <f>MID(P1528,5,2)</f>
        <v/>
      </c>
      <c r="R1528" s="53">
        <f>MID(P1528,7,2)</f>
        <v/>
      </c>
      <c r="S1528" s="3" t="inlineStr">
        <is>
          <t>G2G</t>
        </is>
      </c>
      <c r="T1528" s="3" t="inlineStr">
        <is>
          <t>P4</t>
        </is>
      </c>
      <c r="U1528" s="3" t="inlineStr">
        <is>
          <t>N JB Cold Soldering</t>
        </is>
      </c>
      <c r="V1528" s="3" t="inlineStr">
        <is>
          <t>Soldering</t>
        </is>
      </c>
      <c r="W1528" s="3" t="inlineStr">
        <is>
          <t>Repair</t>
        </is>
      </c>
      <c r="X1528" s="18" t="n">
        <v>46161</v>
      </c>
      <c r="Y1528" s="73">
        <f>IF(X1528="","",X1528-A1528)</f>
        <v/>
      </c>
      <c r="Z1528" s="18" t="n">
        <v>46161</v>
      </c>
      <c r="AA1528" s="15" t="n"/>
      <c r="AB1528" s="15" t="n"/>
      <c r="AF1528">
        <f>IF(AND($F1528="Closed",$X1528&gt;=DATE(2026,5,1),$X1528&lt;=DATE(2026,5,31)),"Closed in May","Other")</f>
        <v/>
      </c>
    </row>
    <row r="1529">
      <c r="A1529" s="37" t="n">
        <v>46143</v>
      </c>
      <c r="B1529" s="3" t="n">
        <v>2026</v>
      </c>
      <c r="C1529" s="26" t="inlineStr">
        <is>
          <t>Yanara Power</t>
        </is>
      </c>
      <c r="D1529" s="3" t="inlineStr">
        <is>
          <t>Utility and C&amp;I</t>
        </is>
      </c>
      <c r="E1529" s="3" t="n"/>
      <c r="F1529" s="3" t="inlineStr">
        <is>
          <t>Closed</t>
        </is>
      </c>
      <c r="G1529" s="9" t="inlineStr">
        <is>
          <t xml:space="preserve">Ashish Jindal </t>
        </is>
      </c>
      <c r="H1529" s="26" t="n">
        <v>9983975581</v>
      </c>
      <c r="I1529" s="38" t="inlineStr">
        <is>
          <t>PE01052601</t>
        </is>
      </c>
      <c r="J1529" s="26" t="inlineStr">
        <is>
          <t>Multiple Issues</t>
        </is>
      </c>
      <c r="K1529" s="39" t="inlineStr">
        <is>
          <t>Holi</t>
        </is>
      </c>
      <c r="L1529" s="39" t="inlineStr">
        <is>
          <t>Maharashtra</t>
        </is>
      </c>
      <c r="M1529" s="46" t="inlineStr">
        <is>
          <t>PS</t>
        </is>
      </c>
      <c r="N1529" s="3" t="inlineStr">
        <is>
          <t>Cold Soldering</t>
        </is>
      </c>
      <c r="O1529" s="39" t="n">
        <v>575</v>
      </c>
      <c r="P1529" s="46" t="inlineStr">
        <is>
          <t>NSMI24070181124</t>
        </is>
      </c>
      <c r="Q1529" s="53">
        <f>MID(P1529,5,2)</f>
        <v/>
      </c>
      <c r="R1529" s="53">
        <f>MID(P1529,7,2)</f>
        <v/>
      </c>
      <c r="S1529" s="3" t="inlineStr">
        <is>
          <t>G2G</t>
        </is>
      </c>
      <c r="T1529" s="3" t="inlineStr">
        <is>
          <t>P4</t>
        </is>
      </c>
      <c r="U1529" s="19" t="inlineStr">
        <is>
          <t>P JB Cold Soldering</t>
        </is>
      </c>
      <c r="V1529" s="19" t="inlineStr">
        <is>
          <t>Soldering</t>
        </is>
      </c>
      <c r="W1529" s="3" t="inlineStr">
        <is>
          <t>Repair</t>
        </is>
      </c>
      <c r="X1529" s="18" t="n">
        <v>46161</v>
      </c>
      <c r="Y1529" s="73">
        <f>IF(X1529="","",X1529-A1529)</f>
        <v/>
      </c>
      <c r="Z1529" s="18" t="n">
        <v>46161</v>
      </c>
      <c r="AA1529" s="15" t="n"/>
      <c r="AB1529" s="15" t="n"/>
      <c r="AF1529">
        <f>IF(AND($F1529="Closed",$X1529&gt;=DATE(2026,5,1),$X1529&lt;=DATE(2026,5,31)),"Closed in May","Other")</f>
        <v/>
      </c>
    </row>
    <row r="1530">
      <c r="A1530" s="37" t="n">
        <v>46143</v>
      </c>
      <c r="B1530" s="3" t="n">
        <v>2026</v>
      </c>
      <c r="C1530" s="26" t="inlineStr">
        <is>
          <t>Yanara Power</t>
        </is>
      </c>
      <c r="D1530" s="3" t="inlineStr">
        <is>
          <t>Utility and C&amp;I</t>
        </is>
      </c>
      <c r="E1530" s="3" t="n"/>
      <c r="F1530" s="3" t="inlineStr">
        <is>
          <t>Closed</t>
        </is>
      </c>
      <c r="G1530" s="9" t="inlineStr">
        <is>
          <t xml:space="preserve">Ashish Jindal </t>
        </is>
      </c>
      <c r="H1530" s="26" t="n">
        <v>9983975581</v>
      </c>
      <c r="I1530" s="38" t="inlineStr">
        <is>
          <t>PE01052601</t>
        </is>
      </c>
      <c r="J1530" s="26" t="inlineStr">
        <is>
          <t>Multiple Issues</t>
        </is>
      </c>
      <c r="K1530" s="39" t="inlineStr">
        <is>
          <t>Holi</t>
        </is>
      </c>
      <c r="L1530" s="39" t="inlineStr">
        <is>
          <t>Maharashtra</t>
        </is>
      </c>
      <c r="M1530" s="47" t="inlineStr">
        <is>
          <t>PS</t>
        </is>
      </c>
      <c r="N1530" s="3" t="inlineStr">
        <is>
          <t>Cold Soldering</t>
        </is>
      </c>
      <c r="O1530" s="39" t="n">
        <v>575</v>
      </c>
      <c r="P1530" s="47" t="inlineStr">
        <is>
          <t>NSMI24070181119</t>
        </is>
      </c>
      <c r="Q1530" s="53">
        <f>MID(P1530,5,2)</f>
        <v/>
      </c>
      <c r="R1530" s="53">
        <f>MID(P1530,7,2)</f>
        <v/>
      </c>
      <c r="S1530" s="3" t="inlineStr">
        <is>
          <t>G2G</t>
        </is>
      </c>
      <c r="T1530" s="3" t="inlineStr">
        <is>
          <t>P4</t>
        </is>
      </c>
      <c r="U1530" s="19" t="inlineStr">
        <is>
          <t>P JB Cold Soldering</t>
        </is>
      </c>
      <c r="V1530" s="19" t="inlineStr">
        <is>
          <t>Soldering</t>
        </is>
      </c>
      <c r="W1530" s="3" t="inlineStr">
        <is>
          <t>Repair</t>
        </is>
      </c>
      <c r="X1530" s="18" t="n">
        <v>46161</v>
      </c>
      <c r="Y1530" s="73">
        <f>IF(X1530="","",X1530-A1530)</f>
        <v/>
      </c>
      <c r="Z1530" s="18" t="n">
        <v>46161</v>
      </c>
      <c r="AA1530" s="15" t="n"/>
      <c r="AB1530" s="15" t="n"/>
      <c r="AF1530">
        <f>IF(AND($F1530="Closed",$X1530&gt;=DATE(2026,5,1),$X1530&lt;=DATE(2026,5,31)),"Closed in May","Other")</f>
        <v/>
      </c>
    </row>
    <row r="1531">
      <c r="A1531" s="37" t="n">
        <v>46162</v>
      </c>
      <c r="B1531" s="3" t="n">
        <v>2026</v>
      </c>
      <c r="C1531" s="26" t="inlineStr">
        <is>
          <t>Solar Square</t>
        </is>
      </c>
      <c r="D1531" s="26" t="inlineStr">
        <is>
          <t>OEM</t>
        </is>
      </c>
      <c r="E1531" s="3" t="n"/>
      <c r="F1531" s="3" t="inlineStr">
        <is>
          <t>Closed</t>
        </is>
      </c>
      <c r="G1531" s="39" t="inlineStr">
        <is>
          <t>Murali</t>
        </is>
      </c>
      <c r="H1531" s="39" t="n">
        <v>9703345015</v>
      </c>
      <c r="I1531" s="38" t="inlineStr">
        <is>
          <t>PE20052601</t>
        </is>
      </c>
      <c r="J1531" s="26" t="inlineStr">
        <is>
          <t>Backsheet dent</t>
        </is>
      </c>
      <c r="K1531" s="26" t="inlineStr">
        <is>
          <t>Pune</t>
        </is>
      </c>
      <c r="L1531" s="26" t="inlineStr">
        <is>
          <t>Maharashtra</t>
        </is>
      </c>
      <c r="M1531" s="9" t="inlineStr">
        <is>
          <t>No Visit</t>
        </is>
      </c>
      <c r="N1531" s="26" t="inlineStr">
        <is>
          <t>Aesthetic</t>
        </is>
      </c>
      <c r="O1531" s="39" t="n">
        <v>540</v>
      </c>
      <c r="P1531" s="8" t="inlineStr">
        <is>
          <t>NSMP25090818043</t>
        </is>
      </c>
      <c r="Q1531" s="53">
        <f>MID(P1531,5,2)</f>
        <v/>
      </c>
      <c r="R1531" s="53">
        <f>MID(P1531,7,2)</f>
        <v/>
      </c>
      <c r="S1531" s="3" t="inlineStr">
        <is>
          <t>G2TB</t>
        </is>
      </c>
      <c r="T1531" s="3" t="inlineStr">
        <is>
          <t>P2</t>
        </is>
      </c>
      <c r="U1531" s="19" t="inlineStr">
        <is>
          <t>Aesthetic Issue</t>
        </is>
      </c>
      <c r="V1531" s="3" t="inlineStr">
        <is>
          <t>Rejected</t>
        </is>
      </c>
      <c r="W1531" s="3" t="inlineStr">
        <is>
          <t>Rejected</t>
        </is>
      </c>
      <c r="X1531" s="18" t="n">
        <v>46162</v>
      </c>
      <c r="Y1531" s="73">
        <f>IF(X1531="","",X1531-A1531)</f>
        <v/>
      </c>
      <c r="Z1531" s="18" t="inlineStr">
        <is>
          <t>No Visit</t>
        </is>
      </c>
      <c r="AA1531" s="15" t="n"/>
      <c r="AB1531" s="15" t="n"/>
      <c r="AF1531">
        <f>IF(AND($F1531="Closed",$X1531&gt;=DATE(2026,5,1),$X1531&lt;=DATE(2026,5,31)),"Closed in May","Other")</f>
        <v/>
      </c>
    </row>
    <row r="1532">
      <c r="A1532" s="6" t="n">
        <v>46107</v>
      </c>
      <c r="B1532" s="3" t="n">
        <v>2026</v>
      </c>
      <c r="C1532" s="3" t="inlineStr">
        <is>
          <t>Blupine Energy</t>
        </is>
      </c>
      <c r="D1532" s="3" t="inlineStr">
        <is>
          <t>Utility and C&amp;I</t>
        </is>
      </c>
      <c r="E1532" s="3" t="n"/>
      <c r="F1532" s="3" t="inlineStr">
        <is>
          <t>Closed</t>
        </is>
      </c>
      <c r="G1532" s="3" t="inlineStr">
        <is>
          <t>Chandrashekar Patidar</t>
        </is>
      </c>
      <c r="H1532" s="3" t="n">
        <v>7879764773</v>
      </c>
      <c r="I1532" s="11" t="inlineStr">
        <is>
          <t>PE26032601</t>
        </is>
      </c>
      <c r="J1532" s="3" t="inlineStr">
        <is>
          <t>Module Diode Failure</t>
        </is>
      </c>
      <c r="K1532" s="3" t="inlineStr">
        <is>
          <t>Sadla</t>
        </is>
      </c>
      <c r="L1532" s="3" t="inlineStr">
        <is>
          <t>Gujarat</t>
        </is>
      </c>
      <c r="M1532" s="9" t="inlineStr">
        <is>
          <t>AR</t>
        </is>
      </c>
      <c r="N1532" s="3" t="inlineStr">
        <is>
          <t>JB Issue</t>
        </is>
      </c>
      <c r="O1532" s="3" t="n">
        <v>570</v>
      </c>
      <c r="P1532" s="9" t="inlineStr">
        <is>
          <t>NSMI24060156523</t>
        </is>
      </c>
      <c r="Q1532" s="54">
        <f>MID(P1532,5,2)</f>
        <v/>
      </c>
      <c r="R1532" s="53">
        <f>MID(P1532,7,2)</f>
        <v/>
      </c>
      <c r="S1532" s="3" t="inlineStr">
        <is>
          <t>G2G</t>
        </is>
      </c>
      <c r="T1532" s="3" t="inlineStr">
        <is>
          <t>P4</t>
        </is>
      </c>
      <c r="U1532" s="3" t="inlineStr">
        <is>
          <t>All JB Issue</t>
        </is>
      </c>
      <c r="V1532" s="15" t="inlineStr">
        <is>
          <t>JB Changed</t>
        </is>
      </c>
      <c r="W1532" s="3" t="inlineStr">
        <is>
          <t>Repair</t>
        </is>
      </c>
      <c r="X1532" s="18" t="n">
        <v>46162</v>
      </c>
      <c r="Y1532" s="73">
        <f>IF(X1532="","",X1532-A1532)</f>
        <v/>
      </c>
      <c r="Z1532" s="18" t="n">
        <v>46162</v>
      </c>
      <c r="AA1532" s="15" t="n"/>
      <c r="AB1532" s="15" t="n"/>
      <c r="AF1532">
        <f>IF(AND($F1532="Closed",$X1532&gt;=DATE(2026,5,1),$X1532&lt;=DATE(2026,5,31)),"Closed in May","Other")</f>
        <v/>
      </c>
    </row>
    <row r="1533">
      <c r="A1533" s="6" t="n">
        <v>46107</v>
      </c>
      <c r="B1533" s="3" t="n">
        <v>2026</v>
      </c>
      <c r="C1533" s="3" t="inlineStr">
        <is>
          <t>Blupine Energy</t>
        </is>
      </c>
      <c r="D1533" s="3" t="inlineStr">
        <is>
          <t>Utility and C&amp;I</t>
        </is>
      </c>
      <c r="E1533" s="3" t="n"/>
      <c r="F1533" s="3" t="inlineStr">
        <is>
          <t>Closed</t>
        </is>
      </c>
      <c r="G1533" s="3" t="inlineStr">
        <is>
          <t>Chandrashekar Patidar</t>
        </is>
      </c>
      <c r="H1533" s="3" t="n">
        <v>7879764773</v>
      </c>
      <c r="I1533" s="11" t="inlineStr">
        <is>
          <t>PE26032601</t>
        </is>
      </c>
      <c r="J1533" s="3" t="inlineStr">
        <is>
          <t>Module Diode Failure</t>
        </is>
      </c>
      <c r="K1533" s="3" t="inlineStr">
        <is>
          <t>Sadla</t>
        </is>
      </c>
      <c r="L1533" s="3" t="inlineStr">
        <is>
          <t>Gujarat</t>
        </is>
      </c>
      <c r="M1533" s="9" t="inlineStr">
        <is>
          <t>NS</t>
        </is>
      </c>
      <c r="N1533" s="3" t="inlineStr">
        <is>
          <t>Cold Soldering</t>
        </is>
      </c>
      <c r="O1533" s="3" t="n">
        <v>570</v>
      </c>
      <c r="P1533" s="9" t="inlineStr">
        <is>
          <t>NSMI24060124290</t>
        </is>
      </c>
      <c r="Q1533" s="54">
        <f>MID(P1533,5,2)</f>
        <v/>
      </c>
      <c r="R1533" s="53">
        <f>MID(P1533,7,2)</f>
        <v/>
      </c>
      <c r="S1533" s="3" t="inlineStr">
        <is>
          <t>G2G</t>
        </is>
      </c>
      <c r="T1533" s="3" t="inlineStr">
        <is>
          <t>P4</t>
        </is>
      </c>
      <c r="U1533" s="3" t="inlineStr">
        <is>
          <t>N JB Cold Soldering</t>
        </is>
      </c>
      <c r="V1533" s="3" t="inlineStr">
        <is>
          <t>Soldering</t>
        </is>
      </c>
      <c r="W1533" s="3" t="inlineStr">
        <is>
          <t>Repair</t>
        </is>
      </c>
      <c r="X1533" s="18" t="n">
        <v>46162</v>
      </c>
      <c r="Y1533" s="73">
        <f>IF(X1533="","",X1533-A1533)</f>
        <v/>
      </c>
      <c r="Z1533" s="18" t="n">
        <v>46162</v>
      </c>
      <c r="AA1533" s="15" t="n"/>
      <c r="AB1533" s="15" t="n"/>
      <c r="AF1533">
        <f>IF(AND($F1533="Closed",$X1533&gt;=DATE(2026,5,1),$X1533&lt;=DATE(2026,5,31)),"Closed in May","Other")</f>
        <v/>
      </c>
    </row>
    <row r="1534">
      <c r="A1534" s="6" t="n">
        <v>46107</v>
      </c>
      <c r="B1534" s="3" t="n">
        <v>2026</v>
      </c>
      <c r="C1534" s="3" t="inlineStr">
        <is>
          <t>Blupine Energy</t>
        </is>
      </c>
      <c r="D1534" s="3" t="inlineStr">
        <is>
          <t>Utility and C&amp;I</t>
        </is>
      </c>
      <c r="E1534" s="3" t="n"/>
      <c r="F1534" s="3" t="inlineStr">
        <is>
          <t>Closed</t>
        </is>
      </c>
      <c r="G1534" s="3" t="inlineStr">
        <is>
          <t>Chandrashekar Patidar</t>
        </is>
      </c>
      <c r="H1534" s="3" t="n">
        <v>7879764773</v>
      </c>
      <c r="I1534" s="11" t="inlineStr">
        <is>
          <t>PE26032601</t>
        </is>
      </c>
      <c r="J1534" s="3" t="inlineStr">
        <is>
          <t>Module Diode Failure</t>
        </is>
      </c>
      <c r="K1534" s="3" t="inlineStr">
        <is>
          <t>Sadla</t>
        </is>
      </c>
      <c r="L1534" s="3" t="inlineStr">
        <is>
          <t>Gujarat</t>
        </is>
      </c>
      <c r="M1534" s="9" t="inlineStr">
        <is>
          <t>NS</t>
        </is>
      </c>
      <c r="N1534" s="3" t="inlineStr">
        <is>
          <t>Cold Soldering</t>
        </is>
      </c>
      <c r="O1534" s="3" t="n">
        <v>570</v>
      </c>
      <c r="P1534" s="9" t="inlineStr">
        <is>
          <t>NSMI24060124118</t>
        </is>
      </c>
      <c r="Q1534" s="54">
        <f>MID(P1534,5,2)</f>
        <v/>
      </c>
      <c r="R1534" s="53">
        <f>MID(P1534,7,2)</f>
        <v/>
      </c>
      <c r="S1534" s="3" t="inlineStr">
        <is>
          <t>G2G</t>
        </is>
      </c>
      <c r="T1534" s="3" t="inlineStr">
        <is>
          <t>P4</t>
        </is>
      </c>
      <c r="U1534" s="3" t="inlineStr">
        <is>
          <t>N JB Cold Soldering</t>
        </is>
      </c>
      <c r="V1534" s="3" t="inlineStr">
        <is>
          <t>Soldering</t>
        </is>
      </c>
      <c r="W1534" s="3" t="inlineStr">
        <is>
          <t>Repair</t>
        </is>
      </c>
      <c r="X1534" s="18" t="n">
        <v>46162</v>
      </c>
      <c r="Y1534" s="73">
        <f>IF(X1534="","",X1534-A1534)</f>
        <v/>
      </c>
      <c r="Z1534" s="18" t="n">
        <v>46162</v>
      </c>
      <c r="AA1534" s="15" t="n"/>
      <c r="AB1534" s="15" t="n"/>
      <c r="AF1534">
        <f>IF(AND($F1534="Closed",$X1534&gt;=DATE(2026,5,1),$X1534&lt;=DATE(2026,5,31)),"Closed in May","Other")</f>
        <v/>
      </c>
    </row>
    <row r="1535">
      <c r="A1535" s="6" t="n">
        <v>46107</v>
      </c>
      <c r="B1535" s="3" t="n">
        <v>2026</v>
      </c>
      <c r="C1535" s="3" t="inlineStr">
        <is>
          <t>Blupine Energy</t>
        </is>
      </c>
      <c r="D1535" s="3" t="inlineStr">
        <is>
          <t>Utility and C&amp;I</t>
        </is>
      </c>
      <c r="E1535" s="3" t="n"/>
      <c r="F1535" s="3" t="inlineStr">
        <is>
          <t>Closed</t>
        </is>
      </c>
      <c r="G1535" s="3" t="inlineStr">
        <is>
          <t>Chandrashekar Patidar</t>
        </is>
      </c>
      <c r="H1535" s="3" t="n">
        <v>7879764773</v>
      </c>
      <c r="I1535" s="11" t="inlineStr">
        <is>
          <t>PE26032601</t>
        </is>
      </c>
      <c r="J1535" s="3" t="inlineStr">
        <is>
          <t>Module Diode Failure</t>
        </is>
      </c>
      <c r="K1535" s="3" t="inlineStr">
        <is>
          <t>Sadla</t>
        </is>
      </c>
      <c r="L1535" s="3" t="inlineStr">
        <is>
          <t>Gujarat</t>
        </is>
      </c>
      <c r="M1535" s="9" t="inlineStr">
        <is>
          <t>AR</t>
        </is>
      </c>
      <c r="N1535" s="3" t="inlineStr">
        <is>
          <t>JB Issue</t>
        </is>
      </c>
      <c r="O1535" s="3" t="n">
        <v>570</v>
      </c>
      <c r="P1535" s="9" t="inlineStr">
        <is>
          <t>NSMI24060156528</t>
        </is>
      </c>
      <c r="Q1535" s="54">
        <f>MID(P1535,5,2)</f>
        <v/>
      </c>
      <c r="R1535" s="53">
        <f>MID(P1535,7,2)</f>
        <v/>
      </c>
      <c r="S1535" s="3" t="inlineStr">
        <is>
          <t>G2G</t>
        </is>
      </c>
      <c r="T1535" s="3" t="inlineStr">
        <is>
          <t>P4</t>
        </is>
      </c>
      <c r="U1535" s="3" t="inlineStr">
        <is>
          <t>All JB Issue</t>
        </is>
      </c>
      <c r="V1535" s="15" t="inlineStr">
        <is>
          <t>JB Changed</t>
        </is>
      </c>
      <c r="W1535" s="3" t="inlineStr">
        <is>
          <t>Repair</t>
        </is>
      </c>
      <c r="X1535" s="18" t="n">
        <v>46162</v>
      </c>
      <c r="Y1535" s="73">
        <f>IF(X1535="","",X1535-A1535)</f>
        <v/>
      </c>
      <c r="Z1535" s="18" t="n">
        <v>46162</v>
      </c>
      <c r="AA1535" s="15" t="n"/>
      <c r="AB1535" s="15" t="n"/>
      <c r="AF1535">
        <f>IF(AND($F1535="Closed",$X1535&gt;=DATE(2026,5,1),$X1535&lt;=DATE(2026,5,31)),"Closed in May","Other")</f>
        <v/>
      </c>
    </row>
    <row r="1536">
      <c r="A1536" s="6" t="n">
        <v>46107</v>
      </c>
      <c r="B1536" s="3" t="n">
        <v>2026</v>
      </c>
      <c r="C1536" s="3" t="inlineStr">
        <is>
          <t>Blupine Energy</t>
        </is>
      </c>
      <c r="D1536" s="3" t="inlineStr">
        <is>
          <t>Utility and C&amp;I</t>
        </is>
      </c>
      <c r="E1536" s="3" t="n"/>
      <c r="F1536" s="3" t="inlineStr">
        <is>
          <t>Closed</t>
        </is>
      </c>
      <c r="G1536" s="3" t="inlineStr">
        <is>
          <t>Chandrashekar Patidar</t>
        </is>
      </c>
      <c r="H1536" s="3" t="n">
        <v>7879764773</v>
      </c>
      <c r="I1536" s="11" t="inlineStr">
        <is>
          <t>PE26032601</t>
        </is>
      </c>
      <c r="J1536" s="3" t="inlineStr">
        <is>
          <t>Module Diode Failure</t>
        </is>
      </c>
      <c r="K1536" s="3" t="inlineStr">
        <is>
          <t>Sadla</t>
        </is>
      </c>
      <c r="L1536" s="3" t="inlineStr">
        <is>
          <t>Gujarat</t>
        </is>
      </c>
      <c r="M1536" s="9" t="inlineStr">
        <is>
          <t>NS</t>
        </is>
      </c>
      <c r="N1536" s="3" t="inlineStr">
        <is>
          <t>Cold Soldering</t>
        </is>
      </c>
      <c r="O1536" s="3" t="n">
        <v>570</v>
      </c>
      <c r="P1536" s="9" t="inlineStr">
        <is>
          <t>NSMI24060126156</t>
        </is>
      </c>
      <c r="Q1536" s="54">
        <f>MID(P1536,5,2)</f>
        <v/>
      </c>
      <c r="R1536" s="53">
        <f>MID(P1536,7,2)</f>
        <v/>
      </c>
      <c r="S1536" s="3" t="inlineStr">
        <is>
          <t>G2G</t>
        </is>
      </c>
      <c r="T1536" s="3" t="inlineStr">
        <is>
          <t>P4</t>
        </is>
      </c>
      <c r="U1536" s="3" t="inlineStr">
        <is>
          <t>N JB Cold Soldering</t>
        </is>
      </c>
      <c r="V1536" s="3" t="inlineStr">
        <is>
          <t>Soldering</t>
        </is>
      </c>
      <c r="W1536" s="3" t="inlineStr">
        <is>
          <t>Repair</t>
        </is>
      </c>
      <c r="X1536" s="18" t="n">
        <v>46162</v>
      </c>
      <c r="Y1536" s="73">
        <f>IF(X1536="","",X1536-A1536)</f>
        <v/>
      </c>
      <c r="Z1536" s="18" t="n">
        <v>46162</v>
      </c>
      <c r="AA1536" s="15" t="n"/>
      <c r="AB1536" s="15" t="n"/>
      <c r="AF1536">
        <f>IF(AND($F1536="Closed",$X1536&gt;=DATE(2026,5,1),$X1536&lt;=DATE(2026,5,31)),"Closed in May","Other")</f>
        <v/>
      </c>
    </row>
    <row r="1537">
      <c r="A1537" s="6" t="n">
        <v>46107</v>
      </c>
      <c r="B1537" s="3" t="n">
        <v>2026</v>
      </c>
      <c r="C1537" s="3" t="inlineStr">
        <is>
          <t>Blupine Energy</t>
        </is>
      </c>
      <c r="D1537" s="3" t="inlineStr">
        <is>
          <t>Utility and C&amp;I</t>
        </is>
      </c>
      <c r="E1537" s="3" t="n"/>
      <c r="F1537" s="3" t="inlineStr">
        <is>
          <t>Closed</t>
        </is>
      </c>
      <c r="G1537" s="3" t="inlineStr">
        <is>
          <t>Chandrashekar Patidar</t>
        </is>
      </c>
      <c r="H1537" s="3" t="n">
        <v>7879764773</v>
      </c>
      <c r="I1537" s="11" t="inlineStr">
        <is>
          <t>PE26032601</t>
        </is>
      </c>
      <c r="J1537" s="3" t="inlineStr">
        <is>
          <t>Module Diode Failure</t>
        </is>
      </c>
      <c r="K1537" s="3" t="inlineStr">
        <is>
          <t>Sadla</t>
        </is>
      </c>
      <c r="L1537" s="3" t="inlineStr">
        <is>
          <t>Gujarat</t>
        </is>
      </c>
      <c r="M1537" s="9" t="inlineStr">
        <is>
          <t>NR</t>
        </is>
      </c>
      <c r="N1537" s="3" t="inlineStr">
        <is>
          <t>JB Issue</t>
        </is>
      </c>
      <c r="O1537" s="3" t="n">
        <v>570</v>
      </c>
      <c r="P1537" s="9" t="inlineStr">
        <is>
          <t>NSMI24060123067</t>
        </is>
      </c>
      <c r="Q1537" s="54">
        <f>MID(P1537,5,2)</f>
        <v/>
      </c>
      <c r="R1537" s="53">
        <f>MID(P1537,7,2)</f>
        <v/>
      </c>
      <c r="S1537" s="3" t="inlineStr">
        <is>
          <t>G2G</t>
        </is>
      </c>
      <c r="T1537" s="3" t="inlineStr">
        <is>
          <t>P4</t>
        </is>
      </c>
      <c r="U1537" s="3" t="inlineStr">
        <is>
          <t>N JB Issue</t>
        </is>
      </c>
      <c r="V1537" s="3" t="inlineStr">
        <is>
          <t>JB Changed</t>
        </is>
      </c>
      <c r="W1537" s="3" t="inlineStr">
        <is>
          <t>Repair</t>
        </is>
      </c>
      <c r="X1537" s="18" t="n">
        <v>46162</v>
      </c>
      <c r="Y1537" s="73">
        <f>IF(X1537="","",X1537-A1537)</f>
        <v/>
      </c>
      <c r="Z1537" s="18" t="n">
        <v>46162</v>
      </c>
      <c r="AA1537" s="15" t="n"/>
      <c r="AB1537" s="15" t="n"/>
      <c r="AF1537">
        <f>IF(AND($F1537="Closed",$X1537&gt;=DATE(2026,5,1),$X1537&lt;=DATE(2026,5,31)),"Closed in May","Other")</f>
        <v/>
      </c>
    </row>
    <row r="1538">
      <c r="A1538" s="6" t="n">
        <v>46107</v>
      </c>
      <c r="B1538" s="3" t="n">
        <v>2026</v>
      </c>
      <c r="C1538" s="3" t="inlineStr">
        <is>
          <t>Blupine Energy</t>
        </is>
      </c>
      <c r="D1538" s="3" t="inlineStr">
        <is>
          <t>Utility and C&amp;I</t>
        </is>
      </c>
      <c r="E1538" s="3" t="n"/>
      <c r="F1538" s="3" t="inlineStr">
        <is>
          <t>Closed</t>
        </is>
      </c>
      <c r="G1538" s="3" t="inlineStr">
        <is>
          <t>Chandrashekar Patidar</t>
        </is>
      </c>
      <c r="H1538" s="3" t="n">
        <v>7879764773</v>
      </c>
      <c r="I1538" s="11" t="inlineStr">
        <is>
          <t>PE26032601</t>
        </is>
      </c>
      <c r="J1538" s="3" t="inlineStr">
        <is>
          <t>Module Diode Failure</t>
        </is>
      </c>
      <c r="K1538" s="3" t="inlineStr">
        <is>
          <t>Sadla</t>
        </is>
      </c>
      <c r="L1538" s="3" t="inlineStr">
        <is>
          <t>Gujarat</t>
        </is>
      </c>
      <c r="M1538" s="9" t="inlineStr">
        <is>
          <t>PS</t>
        </is>
      </c>
      <c r="N1538" s="3" t="inlineStr">
        <is>
          <t>Cold Soldering</t>
        </is>
      </c>
      <c r="O1538" s="3" t="n">
        <v>570</v>
      </c>
      <c r="P1538" s="9" t="inlineStr">
        <is>
          <t>NSMI24060123436</t>
        </is>
      </c>
      <c r="Q1538" s="54">
        <f>MID(P1538,5,2)</f>
        <v/>
      </c>
      <c r="R1538" s="53">
        <f>MID(P1538,7,2)</f>
        <v/>
      </c>
      <c r="S1538" s="3" t="inlineStr">
        <is>
          <t>G2G</t>
        </is>
      </c>
      <c r="T1538" s="3" t="inlineStr">
        <is>
          <t>P4</t>
        </is>
      </c>
      <c r="U1538" s="3" t="inlineStr">
        <is>
          <t>P JB Cold Soldering</t>
        </is>
      </c>
      <c r="V1538" s="3" t="inlineStr">
        <is>
          <t>Soldering</t>
        </is>
      </c>
      <c r="W1538" s="3" t="inlineStr">
        <is>
          <t>Repair</t>
        </is>
      </c>
      <c r="X1538" s="18" t="n">
        <v>46162</v>
      </c>
      <c r="Y1538" s="73">
        <f>IF(X1538="","",X1538-A1538)</f>
        <v/>
      </c>
      <c r="Z1538" s="18" t="n">
        <v>46162</v>
      </c>
      <c r="AA1538" s="15" t="n"/>
      <c r="AB1538" s="15" t="n"/>
      <c r="AF1538">
        <f>IF(AND($F1538="Closed",$X1538&gt;=DATE(2026,5,1),$X1538&lt;=DATE(2026,5,31)),"Closed in May","Other")</f>
        <v/>
      </c>
    </row>
    <row r="1539">
      <c r="A1539" s="6" t="n">
        <v>46107</v>
      </c>
      <c r="B1539" s="3" t="n">
        <v>2026</v>
      </c>
      <c r="C1539" s="3" t="inlineStr">
        <is>
          <t>Blupine Energy</t>
        </is>
      </c>
      <c r="D1539" s="3" t="inlineStr">
        <is>
          <t>Utility and C&amp;I</t>
        </is>
      </c>
      <c r="E1539" s="3" t="n"/>
      <c r="F1539" s="3" t="inlineStr">
        <is>
          <t>Closed</t>
        </is>
      </c>
      <c r="G1539" s="3" t="inlineStr">
        <is>
          <t>Chandrashekar Patidar</t>
        </is>
      </c>
      <c r="H1539" s="3" t="n">
        <v>7879764773</v>
      </c>
      <c r="I1539" s="11" t="inlineStr">
        <is>
          <t>PE26032601</t>
        </is>
      </c>
      <c r="J1539" s="3" t="inlineStr">
        <is>
          <t>Module Diode Failure</t>
        </is>
      </c>
      <c r="K1539" s="3" t="inlineStr">
        <is>
          <t>Sadla</t>
        </is>
      </c>
      <c r="L1539" s="3" t="inlineStr">
        <is>
          <t>Gujarat</t>
        </is>
      </c>
      <c r="M1539" s="9" t="inlineStr">
        <is>
          <t>PMR</t>
        </is>
      </c>
      <c r="N1539" s="3" t="inlineStr">
        <is>
          <t>JB Issue</t>
        </is>
      </c>
      <c r="O1539" s="3" t="n">
        <v>570</v>
      </c>
      <c r="P1539" s="9" t="inlineStr">
        <is>
          <t>NSMI24060156428</t>
        </is>
      </c>
      <c r="Q1539" s="54">
        <f>MID(P1539,5,2)</f>
        <v/>
      </c>
      <c r="R1539" s="53">
        <f>MID(P1539,7,2)</f>
        <v/>
      </c>
      <c r="S1539" s="3" t="inlineStr">
        <is>
          <t>G2G</t>
        </is>
      </c>
      <c r="T1539" s="3" t="inlineStr">
        <is>
          <t>P4</t>
        </is>
      </c>
      <c r="U1539" s="3" t="inlineStr">
        <is>
          <t>P &amp; M JB Issue</t>
        </is>
      </c>
      <c r="V1539" s="15" t="inlineStr">
        <is>
          <t>JB Changed</t>
        </is>
      </c>
      <c r="W1539" s="3" t="inlineStr">
        <is>
          <t>Repair</t>
        </is>
      </c>
      <c r="X1539" s="18" t="n">
        <v>46162</v>
      </c>
      <c r="Y1539" s="73">
        <f>IF(X1539="","",X1539-A1539)</f>
        <v/>
      </c>
      <c r="Z1539" s="18" t="n">
        <v>46162</v>
      </c>
      <c r="AA1539" s="15" t="n"/>
      <c r="AB1539" s="15" t="n"/>
      <c r="AF1539">
        <f>IF(AND($F1539="Closed",$X1539&gt;=DATE(2026,5,1),$X1539&lt;=DATE(2026,5,31)),"Closed in May","Other")</f>
        <v/>
      </c>
    </row>
    <row r="1540">
      <c r="A1540" s="6" t="n">
        <v>46107</v>
      </c>
      <c r="B1540" s="3" t="n">
        <v>2026</v>
      </c>
      <c r="C1540" s="3" t="inlineStr">
        <is>
          <t>Blupine Energy</t>
        </is>
      </c>
      <c r="D1540" s="3" t="inlineStr">
        <is>
          <t>Utility and C&amp;I</t>
        </is>
      </c>
      <c r="E1540" s="3" t="n"/>
      <c r="F1540" s="3" t="inlineStr">
        <is>
          <t>Closed</t>
        </is>
      </c>
      <c r="G1540" s="3" t="inlineStr">
        <is>
          <t>Chandrashekar Patidar</t>
        </is>
      </c>
      <c r="H1540" s="3" t="n">
        <v>7879764773</v>
      </c>
      <c r="I1540" s="11" t="inlineStr">
        <is>
          <t>PE26032601</t>
        </is>
      </c>
      <c r="J1540" s="3" t="inlineStr">
        <is>
          <t>Module Diode Failure</t>
        </is>
      </c>
      <c r="K1540" s="3" t="inlineStr">
        <is>
          <t>Sadla</t>
        </is>
      </c>
      <c r="L1540" s="3" t="inlineStr">
        <is>
          <t>Gujarat</t>
        </is>
      </c>
      <c r="M1540" s="9" t="inlineStr">
        <is>
          <t>NS</t>
        </is>
      </c>
      <c r="N1540" s="3" t="inlineStr">
        <is>
          <t>Cold Soldering</t>
        </is>
      </c>
      <c r="O1540" s="3" t="n">
        <v>570</v>
      </c>
      <c r="P1540" s="9" t="inlineStr">
        <is>
          <t>NSMI24060124765</t>
        </is>
      </c>
      <c r="Q1540" s="54">
        <f>MID(P1540,5,2)</f>
        <v/>
      </c>
      <c r="R1540" s="53">
        <f>MID(P1540,7,2)</f>
        <v/>
      </c>
      <c r="S1540" s="3" t="inlineStr">
        <is>
          <t>G2G</t>
        </is>
      </c>
      <c r="T1540" s="3" t="inlineStr">
        <is>
          <t>P4</t>
        </is>
      </c>
      <c r="U1540" s="3" t="inlineStr">
        <is>
          <t>N JB Cold Soldering</t>
        </is>
      </c>
      <c r="V1540" s="3" t="inlineStr">
        <is>
          <t>Soldering</t>
        </is>
      </c>
      <c r="W1540" s="3" t="inlineStr">
        <is>
          <t>Repair</t>
        </is>
      </c>
      <c r="X1540" s="18" t="n">
        <v>46162</v>
      </c>
      <c r="Y1540" s="73">
        <f>IF(X1540="","",X1540-A1540)</f>
        <v/>
      </c>
      <c r="Z1540" s="18" t="n">
        <v>46162</v>
      </c>
      <c r="AA1540" s="15" t="n"/>
      <c r="AB1540" s="15" t="n"/>
      <c r="AF1540">
        <f>IF(AND($F1540="Closed",$X1540&gt;=DATE(2026,5,1),$X1540&lt;=DATE(2026,5,31)),"Closed in May","Other")</f>
        <v/>
      </c>
    </row>
    <row r="1541">
      <c r="A1541" s="6" t="n">
        <v>46107</v>
      </c>
      <c r="B1541" s="3" t="n">
        <v>2026</v>
      </c>
      <c r="C1541" s="3" t="inlineStr">
        <is>
          <t>Blupine Energy</t>
        </is>
      </c>
      <c r="D1541" s="3" t="inlineStr">
        <is>
          <t>Utility and C&amp;I</t>
        </is>
      </c>
      <c r="E1541" s="3" t="n"/>
      <c r="F1541" s="3" t="inlineStr">
        <is>
          <t>Closed</t>
        </is>
      </c>
      <c r="G1541" s="3" t="inlineStr">
        <is>
          <t>Chandrashekar Patidar</t>
        </is>
      </c>
      <c r="H1541" s="3" t="n">
        <v>7879764773</v>
      </c>
      <c r="I1541" s="11" t="inlineStr">
        <is>
          <t>PE26032601</t>
        </is>
      </c>
      <c r="J1541" s="3" t="inlineStr">
        <is>
          <t>Module Diode Failure</t>
        </is>
      </c>
      <c r="K1541" s="3" t="inlineStr">
        <is>
          <t>Sadla</t>
        </is>
      </c>
      <c r="L1541" s="3" t="inlineStr">
        <is>
          <t>Gujarat</t>
        </is>
      </c>
      <c r="M1541" s="9" t="inlineStr">
        <is>
          <t>NS</t>
        </is>
      </c>
      <c r="N1541" s="3" t="inlineStr">
        <is>
          <t>Cold Soldering</t>
        </is>
      </c>
      <c r="O1541" s="3" t="n">
        <v>570</v>
      </c>
      <c r="P1541" s="9" t="inlineStr">
        <is>
          <t>NSMI24060119905</t>
        </is>
      </c>
      <c r="Q1541" s="54">
        <f>MID(P1541,5,2)</f>
        <v/>
      </c>
      <c r="R1541" s="53">
        <f>MID(P1541,7,2)</f>
        <v/>
      </c>
      <c r="S1541" s="3" t="inlineStr">
        <is>
          <t>G2G</t>
        </is>
      </c>
      <c r="T1541" s="3" t="inlineStr">
        <is>
          <t>P4</t>
        </is>
      </c>
      <c r="U1541" s="3" t="inlineStr">
        <is>
          <t>N JB Cold Soldering</t>
        </is>
      </c>
      <c r="V1541" s="3" t="inlineStr">
        <is>
          <t>Soldering</t>
        </is>
      </c>
      <c r="W1541" s="3" t="inlineStr">
        <is>
          <t>Repair</t>
        </is>
      </c>
      <c r="X1541" s="18" t="n">
        <v>46162</v>
      </c>
      <c r="Y1541" s="73">
        <f>IF(X1541="","",X1541-A1541)</f>
        <v/>
      </c>
      <c r="Z1541" s="18" t="n">
        <v>46162</v>
      </c>
      <c r="AA1541" s="15" t="n"/>
      <c r="AB1541" s="15" t="n"/>
      <c r="AF1541">
        <f>IF(AND($F1541="Closed",$X1541&gt;=DATE(2026,5,1),$X1541&lt;=DATE(2026,5,31)),"Closed in May","Other")</f>
        <v/>
      </c>
    </row>
    <row r="1542">
      <c r="A1542" s="6" t="n">
        <v>46107</v>
      </c>
      <c r="B1542" s="3" t="n">
        <v>2026</v>
      </c>
      <c r="C1542" s="3" t="inlineStr">
        <is>
          <t>Blupine Energy</t>
        </is>
      </c>
      <c r="D1542" s="3" t="inlineStr">
        <is>
          <t>Utility and C&amp;I</t>
        </is>
      </c>
      <c r="E1542" s="3" t="n"/>
      <c r="F1542" s="3" t="inlineStr">
        <is>
          <t>Closed</t>
        </is>
      </c>
      <c r="G1542" s="3" t="inlineStr">
        <is>
          <t>Chandrashekar Patidar</t>
        </is>
      </c>
      <c r="H1542" s="3" t="n">
        <v>7879764773</v>
      </c>
      <c r="I1542" s="11" t="inlineStr">
        <is>
          <t>PE26032601</t>
        </is>
      </c>
      <c r="J1542" s="3" t="inlineStr">
        <is>
          <t>Module Diode Failure</t>
        </is>
      </c>
      <c r="K1542" s="3" t="inlineStr">
        <is>
          <t>Sadla</t>
        </is>
      </c>
      <c r="L1542" s="3" t="inlineStr">
        <is>
          <t>Gujarat</t>
        </is>
      </c>
      <c r="M1542" s="9" t="inlineStr">
        <is>
          <t>NS</t>
        </is>
      </c>
      <c r="N1542" s="3" t="inlineStr">
        <is>
          <t>Cold Soldering</t>
        </is>
      </c>
      <c r="O1542" s="3" t="n">
        <v>570</v>
      </c>
      <c r="P1542" s="9" t="inlineStr">
        <is>
          <t>NSMI24060137197</t>
        </is>
      </c>
      <c r="Q1542" s="54">
        <f>MID(P1542,5,2)</f>
        <v/>
      </c>
      <c r="R1542" s="53">
        <f>MID(P1542,7,2)</f>
        <v/>
      </c>
      <c r="S1542" s="3" t="inlineStr">
        <is>
          <t>G2G</t>
        </is>
      </c>
      <c r="T1542" s="3" t="inlineStr">
        <is>
          <t>P4</t>
        </is>
      </c>
      <c r="U1542" s="3" t="inlineStr">
        <is>
          <t>N JB Cold Soldering</t>
        </is>
      </c>
      <c r="V1542" s="3" t="inlineStr">
        <is>
          <t>Soldering</t>
        </is>
      </c>
      <c r="W1542" s="3" t="inlineStr">
        <is>
          <t>Repair</t>
        </is>
      </c>
      <c r="X1542" s="18" t="n">
        <v>46162</v>
      </c>
      <c r="Y1542" s="73">
        <f>IF(X1542="","",X1542-A1542)</f>
        <v/>
      </c>
      <c r="Z1542" s="18" t="n">
        <v>46162</v>
      </c>
      <c r="AA1542" s="15" t="n"/>
      <c r="AB1542" s="15" t="n"/>
      <c r="AF1542">
        <f>IF(AND($F1542="Closed",$X1542&gt;=DATE(2026,5,1),$X1542&lt;=DATE(2026,5,31)),"Closed in May","Other")</f>
        <v/>
      </c>
    </row>
    <row r="1543">
      <c r="A1543" s="6" t="n">
        <v>46107</v>
      </c>
      <c r="B1543" s="3" t="n">
        <v>2026</v>
      </c>
      <c r="C1543" s="3" t="inlineStr">
        <is>
          <t>Blupine Energy</t>
        </is>
      </c>
      <c r="D1543" s="3" t="inlineStr">
        <is>
          <t>Utility and C&amp;I</t>
        </is>
      </c>
      <c r="E1543" s="3" t="n"/>
      <c r="F1543" s="3" t="inlineStr">
        <is>
          <t>Closed</t>
        </is>
      </c>
      <c r="G1543" s="3" t="inlineStr">
        <is>
          <t>Chandrashekar Patidar</t>
        </is>
      </c>
      <c r="H1543" s="3" t="n">
        <v>7879764773</v>
      </c>
      <c r="I1543" s="11" t="inlineStr">
        <is>
          <t>PE26032601</t>
        </is>
      </c>
      <c r="J1543" s="3" t="inlineStr">
        <is>
          <t>Module Diode Failure</t>
        </is>
      </c>
      <c r="K1543" s="3" t="inlineStr">
        <is>
          <t>Sadla</t>
        </is>
      </c>
      <c r="L1543" s="3" t="inlineStr">
        <is>
          <t>Gujarat</t>
        </is>
      </c>
      <c r="M1543" s="9" t="inlineStr">
        <is>
          <t>NS</t>
        </is>
      </c>
      <c r="N1543" s="3" t="inlineStr">
        <is>
          <t>Cold Soldering</t>
        </is>
      </c>
      <c r="O1543" s="3" t="n">
        <v>570</v>
      </c>
      <c r="P1543" s="9" t="inlineStr">
        <is>
          <t>NSMI24050056186</t>
        </is>
      </c>
      <c r="Q1543" s="54">
        <f>MID(P1543,5,2)</f>
        <v/>
      </c>
      <c r="R1543" s="53">
        <f>MID(P1543,7,2)</f>
        <v/>
      </c>
      <c r="S1543" s="3" t="inlineStr">
        <is>
          <t>G2G</t>
        </is>
      </c>
      <c r="T1543" s="3" t="inlineStr">
        <is>
          <t>P4</t>
        </is>
      </c>
      <c r="U1543" s="3" t="inlineStr">
        <is>
          <t>N JB Cold Soldering</t>
        </is>
      </c>
      <c r="V1543" s="3" t="inlineStr">
        <is>
          <t>Soldering</t>
        </is>
      </c>
      <c r="W1543" s="3" t="inlineStr">
        <is>
          <t>Repair</t>
        </is>
      </c>
      <c r="X1543" s="18" t="n">
        <v>46162</v>
      </c>
      <c r="Y1543" s="73">
        <f>IF(X1543="","",X1543-A1543)</f>
        <v/>
      </c>
      <c r="Z1543" s="18" t="n">
        <v>46162</v>
      </c>
      <c r="AA1543" s="15" t="n"/>
      <c r="AB1543" s="15" t="n"/>
      <c r="AF1543">
        <f>IF(AND($F1543="Closed",$X1543&gt;=DATE(2026,5,1),$X1543&lt;=DATE(2026,5,31)),"Closed in May","Other")</f>
        <v/>
      </c>
    </row>
    <row r="1544">
      <c r="A1544" s="6" t="n">
        <v>46107</v>
      </c>
      <c r="B1544" s="3" t="n">
        <v>2026</v>
      </c>
      <c r="C1544" s="3" t="inlineStr">
        <is>
          <t>Blupine Energy</t>
        </is>
      </c>
      <c r="D1544" s="3" t="inlineStr">
        <is>
          <t>Utility and C&amp;I</t>
        </is>
      </c>
      <c r="E1544" s="3" t="n"/>
      <c r="F1544" s="3" t="inlineStr">
        <is>
          <t>Closed</t>
        </is>
      </c>
      <c r="G1544" s="3" t="inlineStr">
        <is>
          <t>Chandrashekar Patidar</t>
        </is>
      </c>
      <c r="H1544" s="3" t="n">
        <v>7879764773</v>
      </c>
      <c r="I1544" s="11" t="inlineStr">
        <is>
          <t>PE26032601</t>
        </is>
      </c>
      <c r="J1544" s="3" t="inlineStr">
        <is>
          <t>Module Diode Failure</t>
        </is>
      </c>
      <c r="K1544" s="3" t="inlineStr">
        <is>
          <t>Sadla</t>
        </is>
      </c>
      <c r="L1544" s="3" t="inlineStr">
        <is>
          <t>Gujarat</t>
        </is>
      </c>
      <c r="M1544" s="9" t="inlineStr">
        <is>
          <t>PMR</t>
        </is>
      </c>
      <c r="N1544" s="3" t="inlineStr">
        <is>
          <t>JB Issue</t>
        </is>
      </c>
      <c r="O1544" s="3" t="n">
        <v>570</v>
      </c>
      <c r="P1544" s="9" t="inlineStr">
        <is>
          <t>NSMI24060156501</t>
        </is>
      </c>
      <c r="Q1544" s="54">
        <f>MID(P1544,5,2)</f>
        <v/>
      </c>
      <c r="R1544" s="53">
        <f>MID(P1544,7,2)</f>
        <v/>
      </c>
      <c r="S1544" s="3" t="inlineStr">
        <is>
          <t>G2G</t>
        </is>
      </c>
      <c r="T1544" s="3" t="inlineStr">
        <is>
          <t>P4</t>
        </is>
      </c>
      <c r="U1544" s="3" t="inlineStr">
        <is>
          <t>P &amp; M JB Issue</t>
        </is>
      </c>
      <c r="V1544" s="15" t="inlineStr">
        <is>
          <t>JB Changed</t>
        </is>
      </c>
      <c r="W1544" s="3" t="inlineStr">
        <is>
          <t>Repair</t>
        </is>
      </c>
      <c r="X1544" s="18" t="n">
        <v>46162</v>
      </c>
      <c r="Y1544" s="73">
        <f>IF(X1544="","",X1544-A1544)</f>
        <v/>
      </c>
      <c r="Z1544" s="18" t="n">
        <v>46162</v>
      </c>
      <c r="AA1544" s="15" t="n"/>
      <c r="AB1544" s="15" t="n"/>
      <c r="AF1544">
        <f>IF(AND($F1544="Closed",$X1544&gt;=DATE(2026,5,1),$X1544&lt;=DATE(2026,5,31)),"Closed in May","Other")</f>
        <v/>
      </c>
    </row>
    <row r="1545">
      <c r="A1545" s="6" t="n">
        <v>46107</v>
      </c>
      <c r="B1545" s="3" t="n">
        <v>2026</v>
      </c>
      <c r="C1545" s="3" t="inlineStr">
        <is>
          <t>Blupine Energy</t>
        </is>
      </c>
      <c r="D1545" s="3" t="inlineStr">
        <is>
          <t>Utility and C&amp;I</t>
        </is>
      </c>
      <c r="E1545" s="3" t="n"/>
      <c r="F1545" s="3" t="inlineStr">
        <is>
          <t>Closed</t>
        </is>
      </c>
      <c r="G1545" s="3" t="inlineStr">
        <is>
          <t>Chandrashekar Patidar</t>
        </is>
      </c>
      <c r="H1545" s="3" t="n">
        <v>7879764773</v>
      </c>
      <c r="I1545" s="11" t="inlineStr">
        <is>
          <t>PE26032601</t>
        </is>
      </c>
      <c r="J1545" s="3" t="inlineStr">
        <is>
          <t>Module Diode Failure</t>
        </is>
      </c>
      <c r="K1545" s="3" t="inlineStr">
        <is>
          <t>Sadla</t>
        </is>
      </c>
      <c r="L1545" s="3" t="inlineStr">
        <is>
          <t>Gujarat</t>
        </is>
      </c>
      <c r="M1545" s="9" t="inlineStr">
        <is>
          <t>PS</t>
        </is>
      </c>
      <c r="N1545" s="3" t="inlineStr">
        <is>
          <t>Cold Soldering</t>
        </is>
      </c>
      <c r="O1545" s="3" t="n">
        <v>570</v>
      </c>
      <c r="P1545" s="9" t="inlineStr">
        <is>
          <t>NSMI24060077555</t>
        </is>
      </c>
      <c r="Q1545" s="54">
        <f>MID(P1545,5,2)</f>
        <v/>
      </c>
      <c r="R1545" s="53">
        <f>MID(P1545,7,2)</f>
        <v/>
      </c>
      <c r="S1545" s="3" t="inlineStr">
        <is>
          <t>G2G</t>
        </is>
      </c>
      <c r="T1545" s="3" t="inlineStr">
        <is>
          <t>P4</t>
        </is>
      </c>
      <c r="U1545" s="3" t="inlineStr">
        <is>
          <t>P JB Cold Soldering</t>
        </is>
      </c>
      <c r="V1545" s="3" t="inlineStr">
        <is>
          <t>Soldering</t>
        </is>
      </c>
      <c r="W1545" s="3" t="inlineStr">
        <is>
          <t>Repair</t>
        </is>
      </c>
      <c r="X1545" s="18" t="n">
        <v>46162</v>
      </c>
      <c r="Y1545" s="73">
        <f>IF(X1545="","",X1545-A1545)</f>
        <v/>
      </c>
      <c r="Z1545" s="18" t="n">
        <v>46162</v>
      </c>
      <c r="AA1545" s="15" t="n"/>
      <c r="AB1545" s="15" t="n"/>
      <c r="AF1545">
        <f>IF(AND($F1545="Closed",$X1545&gt;=DATE(2026,5,1),$X1545&lt;=DATE(2026,5,31)),"Closed in May","Other")</f>
        <v/>
      </c>
    </row>
    <row r="1546">
      <c r="A1546" s="6" t="n">
        <v>46107</v>
      </c>
      <c r="B1546" s="3" t="n">
        <v>2026</v>
      </c>
      <c r="C1546" s="3" t="inlineStr">
        <is>
          <t>Blupine Energy</t>
        </is>
      </c>
      <c r="D1546" s="3" t="inlineStr">
        <is>
          <t>Utility and C&amp;I</t>
        </is>
      </c>
      <c r="E1546" s="3" t="n"/>
      <c r="F1546" s="3" t="inlineStr">
        <is>
          <t>Closed</t>
        </is>
      </c>
      <c r="G1546" s="3" t="inlineStr">
        <is>
          <t>Chandrashekar Patidar</t>
        </is>
      </c>
      <c r="H1546" s="3" t="n">
        <v>7879764773</v>
      </c>
      <c r="I1546" s="11" t="inlineStr">
        <is>
          <t>PE26032601</t>
        </is>
      </c>
      <c r="J1546" s="3" t="inlineStr">
        <is>
          <t>Module Diode Failure</t>
        </is>
      </c>
      <c r="K1546" s="3" t="inlineStr">
        <is>
          <t>Sadla</t>
        </is>
      </c>
      <c r="L1546" s="3" t="inlineStr">
        <is>
          <t>Gujarat</t>
        </is>
      </c>
      <c r="M1546" s="9" t="inlineStr">
        <is>
          <t>PS</t>
        </is>
      </c>
      <c r="N1546" s="3" t="inlineStr">
        <is>
          <t>Cold Soldering</t>
        </is>
      </c>
      <c r="O1546" s="3" t="n">
        <v>570</v>
      </c>
      <c r="P1546" s="9" t="inlineStr">
        <is>
          <t>NSMI24050064545</t>
        </is>
      </c>
      <c r="Q1546" s="54">
        <f>MID(P1546,5,2)</f>
        <v/>
      </c>
      <c r="R1546" s="53">
        <f>MID(P1546,7,2)</f>
        <v/>
      </c>
      <c r="S1546" s="3" t="inlineStr">
        <is>
          <t>G2G</t>
        </is>
      </c>
      <c r="T1546" s="3" t="inlineStr">
        <is>
          <t>P4</t>
        </is>
      </c>
      <c r="U1546" s="3" t="inlineStr">
        <is>
          <t>P JB Cold Soldering</t>
        </is>
      </c>
      <c r="V1546" s="3" t="inlineStr">
        <is>
          <t>Soldering</t>
        </is>
      </c>
      <c r="W1546" s="3" t="inlineStr">
        <is>
          <t>Repair</t>
        </is>
      </c>
      <c r="X1546" s="18" t="n">
        <v>46162</v>
      </c>
      <c r="Y1546" s="73">
        <f>IF(X1546="","",X1546-A1546)</f>
        <v/>
      </c>
      <c r="Z1546" s="18" t="n">
        <v>46162</v>
      </c>
      <c r="AA1546" s="15" t="n"/>
      <c r="AB1546" s="15" t="n"/>
      <c r="AF1546">
        <f>IF(AND($F1546="Closed",$X1546&gt;=DATE(2026,5,1),$X1546&lt;=DATE(2026,5,31)),"Closed in May","Other")</f>
        <v/>
      </c>
    </row>
    <row r="1547">
      <c r="A1547" s="6" t="n">
        <v>46107</v>
      </c>
      <c r="B1547" s="3" t="n">
        <v>2026</v>
      </c>
      <c r="C1547" s="3" t="inlineStr">
        <is>
          <t>Blupine Energy</t>
        </is>
      </c>
      <c r="D1547" s="3" t="inlineStr">
        <is>
          <t>Utility and C&amp;I</t>
        </is>
      </c>
      <c r="E1547" s="3" t="n"/>
      <c r="F1547" s="3" t="inlineStr">
        <is>
          <t>Closed</t>
        </is>
      </c>
      <c r="G1547" s="3" t="inlineStr">
        <is>
          <t>Chandrashekar Patidar</t>
        </is>
      </c>
      <c r="H1547" s="3" t="n">
        <v>7879764773</v>
      </c>
      <c r="I1547" s="11" t="inlineStr">
        <is>
          <t>PE26032601</t>
        </is>
      </c>
      <c r="J1547" s="3" t="inlineStr">
        <is>
          <t>Module Diode Failure</t>
        </is>
      </c>
      <c r="K1547" s="3" t="inlineStr">
        <is>
          <t>Sadla</t>
        </is>
      </c>
      <c r="L1547" s="3" t="inlineStr">
        <is>
          <t>Gujarat</t>
        </is>
      </c>
      <c r="M1547" s="9" t="inlineStr">
        <is>
          <t>NR</t>
        </is>
      </c>
      <c r="N1547" s="3" t="inlineStr">
        <is>
          <t>JB Issue</t>
        </is>
      </c>
      <c r="O1547" s="3" t="n">
        <v>570</v>
      </c>
      <c r="P1547" s="9" t="inlineStr">
        <is>
          <t>NSMI24060163318</t>
        </is>
      </c>
      <c r="Q1547" s="54">
        <f>MID(P1547,5,2)</f>
        <v/>
      </c>
      <c r="R1547" s="53">
        <f>MID(P1547,7,2)</f>
        <v/>
      </c>
      <c r="S1547" s="3" t="inlineStr">
        <is>
          <t>G2G</t>
        </is>
      </c>
      <c r="T1547" s="3" t="inlineStr">
        <is>
          <t>P4</t>
        </is>
      </c>
      <c r="U1547" s="3" t="inlineStr">
        <is>
          <t>N JB Issue</t>
        </is>
      </c>
      <c r="V1547" s="3" t="inlineStr">
        <is>
          <t>JB Changed</t>
        </is>
      </c>
      <c r="W1547" s="3" t="inlineStr">
        <is>
          <t>Repair</t>
        </is>
      </c>
      <c r="X1547" s="18" t="n">
        <v>46162</v>
      </c>
      <c r="Y1547" s="73">
        <f>IF(X1547="","",X1547-A1547)</f>
        <v/>
      </c>
      <c r="Z1547" s="18" t="n">
        <v>46162</v>
      </c>
      <c r="AA1547" s="15" t="n"/>
      <c r="AB1547" s="15" t="n"/>
      <c r="AF1547">
        <f>IF(AND($F1547="Closed",$X1547&gt;=DATE(2026,5,1),$X1547&lt;=DATE(2026,5,31)),"Closed in May","Other")</f>
        <v/>
      </c>
    </row>
    <row r="1548">
      <c r="A1548" s="6" t="n">
        <v>46107</v>
      </c>
      <c r="B1548" s="3" t="n">
        <v>2026</v>
      </c>
      <c r="C1548" s="3" t="inlineStr">
        <is>
          <t>Blupine Energy</t>
        </is>
      </c>
      <c r="D1548" s="3" t="inlineStr">
        <is>
          <t>Utility and C&amp;I</t>
        </is>
      </c>
      <c r="E1548" s="3" t="n"/>
      <c r="F1548" s="3" t="inlineStr">
        <is>
          <t>Closed</t>
        </is>
      </c>
      <c r="G1548" s="3" t="inlineStr">
        <is>
          <t>Chandrashekar Patidar</t>
        </is>
      </c>
      <c r="H1548" s="3" t="n">
        <v>7879764773</v>
      </c>
      <c r="I1548" s="11" t="inlineStr">
        <is>
          <t>PE26032601</t>
        </is>
      </c>
      <c r="J1548" s="3" t="inlineStr">
        <is>
          <t>Module Diode Failure</t>
        </is>
      </c>
      <c r="K1548" s="3" t="inlineStr">
        <is>
          <t>Sadla</t>
        </is>
      </c>
      <c r="L1548" s="3" t="inlineStr">
        <is>
          <t>Gujarat</t>
        </is>
      </c>
      <c r="M1548" s="9" t="inlineStr">
        <is>
          <t>PS</t>
        </is>
      </c>
      <c r="N1548" s="3" t="inlineStr">
        <is>
          <t>Cold Soldering</t>
        </is>
      </c>
      <c r="O1548" s="3" t="n">
        <v>570</v>
      </c>
      <c r="P1548" s="9" t="inlineStr">
        <is>
          <t>NSMI24050064575</t>
        </is>
      </c>
      <c r="Q1548" s="54">
        <f>MID(P1548,5,2)</f>
        <v/>
      </c>
      <c r="R1548" s="53">
        <f>MID(P1548,7,2)</f>
        <v/>
      </c>
      <c r="S1548" s="3" t="inlineStr">
        <is>
          <t>G2G</t>
        </is>
      </c>
      <c r="T1548" s="3" t="inlineStr">
        <is>
          <t>P4</t>
        </is>
      </c>
      <c r="U1548" s="3" t="inlineStr">
        <is>
          <t>P JB Cold Soldering</t>
        </is>
      </c>
      <c r="V1548" s="3" t="inlineStr">
        <is>
          <t>Soldering</t>
        </is>
      </c>
      <c r="W1548" s="3" t="inlineStr">
        <is>
          <t>Repair</t>
        </is>
      </c>
      <c r="X1548" s="18" t="n">
        <v>46162</v>
      </c>
      <c r="Y1548" s="73">
        <f>IF(X1548="","",X1548-A1548)</f>
        <v/>
      </c>
      <c r="Z1548" s="18" t="n">
        <v>46162</v>
      </c>
      <c r="AA1548" s="15" t="n"/>
      <c r="AB1548" s="15" t="n"/>
      <c r="AF1548">
        <f>IF(AND($F1548="Closed",$X1548&gt;=DATE(2026,5,1),$X1548&lt;=DATE(2026,5,31)),"Closed in May","Other")</f>
        <v/>
      </c>
    </row>
    <row r="1549">
      <c r="A1549" s="6" t="n">
        <v>46107</v>
      </c>
      <c r="B1549" s="3" t="n">
        <v>2026</v>
      </c>
      <c r="C1549" s="3" t="inlineStr">
        <is>
          <t>Blupine Energy</t>
        </is>
      </c>
      <c r="D1549" s="3" t="inlineStr">
        <is>
          <t>Utility and C&amp;I</t>
        </is>
      </c>
      <c r="E1549" s="3" t="n"/>
      <c r="F1549" s="3" t="inlineStr">
        <is>
          <t>Closed</t>
        </is>
      </c>
      <c r="G1549" s="3" t="inlineStr">
        <is>
          <t>Chandrashekar Patidar</t>
        </is>
      </c>
      <c r="H1549" s="3" t="n">
        <v>7879764773</v>
      </c>
      <c r="I1549" s="11" t="inlineStr">
        <is>
          <t>PE26032601</t>
        </is>
      </c>
      <c r="J1549" s="3" t="inlineStr">
        <is>
          <t>Module Diode Failure</t>
        </is>
      </c>
      <c r="K1549" s="3" t="inlineStr">
        <is>
          <t>Sadla</t>
        </is>
      </c>
      <c r="L1549" s="3" t="inlineStr">
        <is>
          <t>Gujarat</t>
        </is>
      </c>
      <c r="M1549" s="9" t="inlineStr">
        <is>
          <t>PS</t>
        </is>
      </c>
      <c r="N1549" s="3" t="inlineStr">
        <is>
          <t>Cold Soldering</t>
        </is>
      </c>
      <c r="O1549" s="3" t="n">
        <v>570</v>
      </c>
      <c r="P1549" s="9" t="inlineStr">
        <is>
          <t>NSMI24060076801</t>
        </is>
      </c>
      <c r="Q1549" s="54">
        <f>MID(P1549,5,2)</f>
        <v/>
      </c>
      <c r="R1549" s="53">
        <f>MID(P1549,7,2)</f>
        <v/>
      </c>
      <c r="S1549" s="3" t="inlineStr">
        <is>
          <t>G2G</t>
        </is>
      </c>
      <c r="T1549" s="3" t="inlineStr">
        <is>
          <t>P4</t>
        </is>
      </c>
      <c r="U1549" s="3" t="inlineStr">
        <is>
          <t>P JB Cold Soldering</t>
        </is>
      </c>
      <c r="V1549" s="3" t="inlineStr">
        <is>
          <t>Soldering</t>
        </is>
      </c>
      <c r="W1549" s="3" t="inlineStr">
        <is>
          <t>Repair</t>
        </is>
      </c>
      <c r="X1549" s="18" t="n">
        <v>46162</v>
      </c>
      <c r="Y1549" s="73">
        <f>IF(X1549="","",X1549-A1549)</f>
        <v/>
      </c>
      <c r="Z1549" s="18" t="n">
        <v>46162</v>
      </c>
      <c r="AA1549" s="15" t="n"/>
      <c r="AB1549" s="15" t="n"/>
      <c r="AF1549">
        <f>IF(AND($F1549="Closed",$X1549&gt;=DATE(2026,5,1),$X1549&lt;=DATE(2026,5,31)),"Closed in May","Other")</f>
        <v/>
      </c>
    </row>
    <row r="1550">
      <c r="A1550" s="6" t="n">
        <v>46107</v>
      </c>
      <c r="B1550" s="3" t="n">
        <v>2026</v>
      </c>
      <c r="C1550" s="3" t="inlineStr">
        <is>
          <t>Blupine Energy</t>
        </is>
      </c>
      <c r="D1550" s="3" t="inlineStr">
        <is>
          <t>Utility and C&amp;I</t>
        </is>
      </c>
      <c r="E1550" s="3" t="n"/>
      <c r="F1550" s="3" t="inlineStr">
        <is>
          <t>Closed</t>
        </is>
      </c>
      <c r="G1550" s="3" t="inlineStr">
        <is>
          <t>Chandrashekar Patidar</t>
        </is>
      </c>
      <c r="H1550" s="3" t="n">
        <v>7879764773</v>
      </c>
      <c r="I1550" s="11" t="inlineStr">
        <is>
          <t>PE26032601</t>
        </is>
      </c>
      <c r="J1550" s="3" t="inlineStr">
        <is>
          <t>Module Diode Failure</t>
        </is>
      </c>
      <c r="K1550" s="3" t="inlineStr">
        <is>
          <t>Sadla</t>
        </is>
      </c>
      <c r="L1550" s="3" t="inlineStr">
        <is>
          <t>Gujarat</t>
        </is>
      </c>
      <c r="M1550" s="9" t="inlineStr">
        <is>
          <t>PS</t>
        </is>
      </c>
      <c r="N1550" s="3" t="inlineStr">
        <is>
          <t>Cold Soldering</t>
        </is>
      </c>
      <c r="O1550" s="3" t="n">
        <v>570</v>
      </c>
      <c r="P1550" s="9" t="inlineStr">
        <is>
          <t>NSMI24060076826</t>
        </is>
      </c>
      <c r="Q1550" s="54">
        <f>MID(P1550,5,2)</f>
        <v/>
      </c>
      <c r="R1550" s="53">
        <f>MID(P1550,7,2)</f>
        <v/>
      </c>
      <c r="S1550" s="3" t="inlineStr">
        <is>
          <t>G2G</t>
        </is>
      </c>
      <c r="T1550" s="3" t="inlineStr">
        <is>
          <t>P4</t>
        </is>
      </c>
      <c r="U1550" s="3" t="inlineStr">
        <is>
          <t>P JB Cold Soldering</t>
        </is>
      </c>
      <c r="V1550" s="3" t="inlineStr">
        <is>
          <t>Soldering</t>
        </is>
      </c>
      <c r="W1550" s="3" t="inlineStr">
        <is>
          <t>Repair</t>
        </is>
      </c>
      <c r="X1550" s="18" t="n">
        <v>46162</v>
      </c>
      <c r="Y1550" s="73">
        <f>IF(X1550="","",X1550-A1550)</f>
        <v/>
      </c>
      <c r="Z1550" s="18" t="n">
        <v>46162</v>
      </c>
      <c r="AA1550" s="15" t="n"/>
      <c r="AB1550" s="15" t="n"/>
      <c r="AF1550">
        <f>IF(AND($F1550="Closed",$X1550&gt;=DATE(2026,5,1),$X1550&lt;=DATE(2026,5,31)),"Closed in May","Other")</f>
        <v/>
      </c>
    </row>
    <row r="1551">
      <c r="A1551" s="6" t="n">
        <v>46107</v>
      </c>
      <c r="B1551" s="3" t="n">
        <v>2026</v>
      </c>
      <c r="C1551" s="3" t="inlineStr">
        <is>
          <t>Blupine Energy</t>
        </is>
      </c>
      <c r="D1551" s="3" t="inlineStr">
        <is>
          <t>Utility and C&amp;I</t>
        </is>
      </c>
      <c r="E1551" s="3" t="n"/>
      <c r="F1551" s="3" t="inlineStr">
        <is>
          <t>Closed</t>
        </is>
      </c>
      <c r="G1551" s="3" t="inlineStr">
        <is>
          <t>Chandrashekar Patidar</t>
        </is>
      </c>
      <c r="H1551" s="3" t="n">
        <v>7879764773</v>
      </c>
      <c r="I1551" s="11" t="inlineStr">
        <is>
          <t>PE26032601</t>
        </is>
      </c>
      <c r="J1551" s="3" t="inlineStr">
        <is>
          <t>Module Diode Failure</t>
        </is>
      </c>
      <c r="K1551" s="3" t="inlineStr">
        <is>
          <t>Sadla</t>
        </is>
      </c>
      <c r="L1551" s="3" t="inlineStr">
        <is>
          <t>Gujarat</t>
        </is>
      </c>
      <c r="M1551" s="9" t="inlineStr">
        <is>
          <t>PR</t>
        </is>
      </c>
      <c r="N1551" s="3" t="inlineStr">
        <is>
          <t>JB Issue</t>
        </is>
      </c>
      <c r="O1551" s="3" t="n">
        <v>570</v>
      </c>
      <c r="P1551" s="9" t="inlineStr">
        <is>
          <t>NSMI24060156467</t>
        </is>
      </c>
      <c r="Q1551" s="54">
        <f>MID(P1551,5,2)</f>
        <v/>
      </c>
      <c r="R1551" s="53">
        <f>MID(P1551,7,2)</f>
        <v/>
      </c>
      <c r="S1551" s="3" t="inlineStr">
        <is>
          <t>G2G</t>
        </is>
      </c>
      <c r="T1551" s="3" t="inlineStr">
        <is>
          <t>P4</t>
        </is>
      </c>
      <c r="U1551" s="3" t="inlineStr">
        <is>
          <t>P JB Issue</t>
        </is>
      </c>
      <c r="V1551" s="15" t="inlineStr">
        <is>
          <t>JB Changed</t>
        </is>
      </c>
      <c r="W1551" s="3" t="inlineStr">
        <is>
          <t>Repair</t>
        </is>
      </c>
      <c r="X1551" s="18" t="n">
        <v>46162</v>
      </c>
      <c r="Y1551" s="73">
        <f>IF(X1551="","",X1551-A1551)</f>
        <v/>
      </c>
      <c r="Z1551" s="18" t="n">
        <v>46162</v>
      </c>
      <c r="AA1551" s="15" t="n"/>
      <c r="AB1551" s="15" t="n"/>
      <c r="AF1551">
        <f>IF(AND($F1551="Closed",$X1551&gt;=DATE(2026,5,1),$X1551&lt;=DATE(2026,5,31)),"Closed in May","Other")</f>
        <v/>
      </c>
    </row>
    <row r="1552">
      <c r="A1552" s="6" t="n">
        <v>46107</v>
      </c>
      <c r="B1552" s="3" t="n">
        <v>2026</v>
      </c>
      <c r="C1552" s="3" t="inlineStr">
        <is>
          <t>Blupine Energy</t>
        </is>
      </c>
      <c r="D1552" s="3" t="inlineStr">
        <is>
          <t>Utility and C&amp;I</t>
        </is>
      </c>
      <c r="E1552" s="3" t="n"/>
      <c r="F1552" s="3" t="inlineStr">
        <is>
          <t>Closed</t>
        </is>
      </c>
      <c r="G1552" s="3" t="inlineStr">
        <is>
          <t>Chandrashekar Patidar</t>
        </is>
      </c>
      <c r="H1552" s="3" t="n">
        <v>7879764773</v>
      </c>
      <c r="I1552" s="11" t="inlineStr">
        <is>
          <t>PE26032601</t>
        </is>
      </c>
      <c r="J1552" s="3" t="inlineStr">
        <is>
          <t>Module Diode Failure</t>
        </is>
      </c>
      <c r="K1552" s="3" t="inlineStr">
        <is>
          <t>Sadla</t>
        </is>
      </c>
      <c r="L1552" s="3" t="inlineStr">
        <is>
          <t>Gujarat</t>
        </is>
      </c>
      <c r="M1552" s="9" t="inlineStr">
        <is>
          <t>PS</t>
        </is>
      </c>
      <c r="N1552" s="3" t="inlineStr">
        <is>
          <t>Cold Soldering</t>
        </is>
      </c>
      <c r="O1552" s="3" t="n">
        <v>570</v>
      </c>
      <c r="P1552" s="9" t="inlineStr">
        <is>
          <t>NSMI24060084986</t>
        </is>
      </c>
      <c r="Q1552" s="54">
        <f>MID(P1552,5,2)</f>
        <v/>
      </c>
      <c r="R1552" s="53">
        <f>MID(P1552,7,2)</f>
        <v/>
      </c>
      <c r="S1552" s="3" t="inlineStr">
        <is>
          <t>G2G</t>
        </is>
      </c>
      <c r="T1552" s="3" t="inlineStr">
        <is>
          <t>P4</t>
        </is>
      </c>
      <c r="U1552" s="3" t="inlineStr">
        <is>
          <t>P JB Cold Soldering</t>
        </is>
      </c>
      <c r="V1552" s="3" t="inlineStr">
        <is>
          <t>Soldering</t>
        </is>
      </c>
      <c r="W1552" s="3" t="inlineStr">
        <is>
          <t>Repair</t>
        </is>
      </c>
      <c r="X1552" s="18" t="n">
        <v>46162</v>
      </c>
      <c r="Y1552" s="73">
        <f>IF(X1552="","",X1552-A1552)</f>
        <v/>
      </c>
      <c r="Z1552" s="18" t="n">
        <v>46162</v>
      </c>
      <c r="AA1552" s="15" t="n"/>
      <c r="AB1552" s="15" t="n"/>
      <c r="AF1552">
        <f>IF(AND($F1552="Closed",$X1552&gt;=DATE(2026,5,1),$X1552&lt;=DATE(2026,5,31)),"Closed in May","Other")</f>
        <v/>
      </c>
    </row>
    <row r="1553">
      <c r="A1553" s="6" t="n">
        <v>46107</v>
      </c>
      <c r="B1553" s="3" t="n">
        <v>2026</v>
      </c>
      <c r="C1553" s="3" t="inlineStr">
        <is>
          <t>Blupine Energy</t>
        </is>
      </c>
      <c r="D1553" s="3" t="inlineStr">
        <is>
          <t>Utility and C&amp;I</t>
        </is>
      </c>
      <c r="E1553" s="3" t="n"/>
      <c r="F1553" s="3" t="inlineStr">
        <is>
          <t>Closed</t>
        </is>
      </c>
      <c r="G1553" s="3" t="inlineStr">
        <is>
          <t>Chandrashekar Patidar</t>
        </is>
      </c>
      <c r="H1553" s="3" t="n">
        <v>7879764773</v>
      </c>
      <c r="I1553" s="11" t="inlineStr">
        <is>
          <t>PE26032601</t>
        </is>
      </c>
      <c r="J1553" s="3" t="inlineStr">
        <is>
          <t>Module Diode Failure</t>
        </is>
      </c>
      <c r="K1553" s="3" t="inlineStr">
        <is>
          <t>Sadla</t>
        </is>
      </c>
      <c r="L1553" s="3" t="inlineStr">
        <is>
          <t>Gujarat</t>
        </is>
      </c>
      <c r="M1553" s="9" t="inlineStr">
        <is>
          <t>PS</t>
        </is>
      </c>
      <c r="N1553" s="3" t="inlineStr">
        <is>
          <t>Cold Soldering</t>
        </is>
      </c>
      <c r="O1553" s="3" t="n">
        <v>570</v>
      </c>
      <c r="P1553" s="9" t="inlineStr">
        <is>
          <t>NSMI24060084455</t>
        </is>
      </c>
      <c r="Q1553" s="54">
        <f>MID(P1553,5,2)</f>
        <v/>
      </c>
      <c r="R1553" s="53">
        <f>MID(P1553,7,2)</f>
        <v/>
      </c>
      <c r="S1553" s="3" t="inlineStr">
        <is>
          <t>G2G</t>
        </is>
      </c>
      <c r="T1553" s="3" t="inlineStr">
        <is>
          <t>P4</t>
        </is>
      </c>
      <c r="U1553" s="3" t="inlineStr">
        <is>
          <t>P JB Cold Soldering</t>
        </is>
      </c>
      <c r="V1553" s="3" t="inlineStr">
        <is>
          <t>Soldering</t>
        </is>
      </c>
      <c r="W1553" s="3" t="inlineStr">
        <is>
          <t>Repair</t>
        </is>
      </c>
      <c r="X1553" s="18" t="n">
        <v>46162</v>
      </c>
      <c r="Y1553" s="73">
        <f>IF(X1553="","",X1553-A1553)</f>
        <v/>
      </c>
      <c r="Z1553" s="18" t="n">
        <v>46162</v>
      </c>
      <c r="AA1553" s="15" t="n"/>
      <c r="AB1553" s="15" t="n"/>
      <c r="AF1553">
        <f>IF(AND($F1553="Closed",$X1553&gt;=DATE(2026,5,1),$X1553&lt;=DATE(2026,5,31)),"Closed in May","Other")</f>
        <v/>
      </c>
    </row>
    <row r="1554">
      <c r="A1554" s="6" t="n">
        <v>46107</v>
      </c>
      <c r="B1554" s="3" t="n">
        <v>2026</v>
      </c>
      <c r="C1554" s="3" t="inlineStr">
        <is>
          <t>Blupine Energy</t>
        </is>
      </c>
      <c r="D1554" s="3" t="inlineStr">
        <is>
          <t>Utility and C&amp;I</t>
        </is>
      </c>
      <c r="E1554" s="3" t="n"/>
      <c r="F1554" s="3" t="inlineStr">
        <is>
          <t>Closed</t>
        </is>
      </c>
      <c r="G1554" s="3" t="inlineStr">
        <is>
          <t>Chandrashekar Patidar</t>
        </is>
      </c>
      <c r="H1554" s="3" t="n">
        <v>7879764773</v>
      </c>
      <c r="I1554" s="11" t="inlineStr">
        <is>
          <t>PE26032601</t>
        </is>
      </c>
      <c r="J1554" s="3" t="inlineStr">
        <is>
          <t>Module Diode Failure</t>
        </is>
      </c>
      <c r="K1554" s="3" t="inlineStr">
        <is>
          <t>Sadla</t>
        </is>
      </c>
      <c r="L1554" s="3" t="inlineStr">
        <is>
          <t>Gujarat</t>
        </is>
      </c>
      <c r="M1554" s="9" t="inlineStr">
        <is>
          <t>NS</t>
        </is>
      </c>
      <c r="N1554" s="3" t="inlineStr">
        <is>
          <t>Cold Soldering</t>
        </is>
      </c>
      <c r="O1554" s="3" t="n">
        <v>570</v>
      </c>
      <c r="P1554" s="9" t="inlineStr">
        <is>
          <t>NSMI24060077053</t>
        </is>
      </c>
      <c r="Q1554" s="54">
        <f>MID(P1554,5,2)</f>
        <v/>
      </c>
      <c r="R1554" s="53">
        <f>MID(P1554,7,2)</f>
        <v/>
      </c>
      <c r="S1554" s="3" t="inlineStr">
        <is>
          <t>G2G</t>
        </is>
      </c>
      <c r="T1554" s="3" t="inlineStr">
        <is>
          <t>P4</t>
        </is>
      </c>
      <c r="U1554" s="3" t="inlineStr">
        <is>
          <t>N JB Cold Soldering</t>
        </is>
      </c>
      <c r="V1554" s="3" t="inlineStr">
        <is>
          <t>Soldering</t>
        </is>
      </c>
      <c r="W1554" s="3" t="inlineStr">
        <is>
          <t>Repair</t>
        </is>
      </c>
      <c r="X1554" s="18" t="n">
        <v>46162</v>
      </c>
      <c r="Y1554" s="73">
        <f>IF(X1554="","",X1554-A1554)</f>
        <v/>
      </c>
      <c r="Z1554" s="18" t="n">
        <v>46162</v>
      </c>
      <c r="AA1554" s="15" t="n"/>
      <c r="AB1554" s="15" t="n"/>
      <c r="AF1554">
        <f>IF(AND($F1554="Closed",$X1554&gt;=DATE(2026,5,1),$X1554&lt;=DATE(2026,5,31)),"Closed in May","Other")</f>
        <v/>
      </c>
    </row>
    <row r="1555">
      <c r="A1555" s="6" t="n">
        <v>46107</v>
      </c>
      <c r="B1555" s="3" t="n">
        <v>2026</v>
      </c>
      <c r="C1555" s="3" t="inlineStr">
        <is>
          <t>Blupine Energy</t>
        </is>
      </c>
      <c r="D1555" s="3" t="inlineStr">
        <is>
          <t>Utility and C&amp;I</t>
        </is>
      </c>
      <c r="E1555" s="3" t="n"/>
      <c r="F1555" s="3" t="inlineStr">
        <is>
          <t>Closed</t>
        </is>
      </c>
      <c r="G1555" s="3" t="inlineStr">
        <is>
          <t>Chandrashekar Patidar</t>
        </is>
      </c>
      <c r="H1555" s="3" t="n">
        <v>7879764773</v>
      </c>
      <c r="I1555" s="11" t="inlineStr">
        <is>
          <t>PE26032601</t>
        </is>
      </c>
      <c r="J1555" s="3" t="inlineStr">
        <is>
          <t>Module Diode Failure</t>
        </is>
      </c>
      <c r="K1555" s="3" t="inlineStr">
        <is>
          <t>Sadla</t>
        </is>
      </c>
      <c r="L1555" s="3" t="inlineStr">
        <is>
          <t>Gujarat</t>
        </is>
      </c>
      <c r="M1555" s="9" t="inlineStr">
        <is>
          <t>NS</t>
        </is>
      </c>
      <c r="N1555" s="3" t="inlineStr">
        <is>
          <t>Cold Soldering</t>
        </is>
      </c>
      <c r="O1555" s="3" t="n">
        <v>570</v>
      </c>
      <c r="P1555" s="9" t="inlineStr">
        <is>
          <t>NSMI24050056502</t>
        </is>
      </c>
      <c r="Q1555" s="54">
        <f>MID(P1555,5,2)</f>
        <v/>
      </c>
      <c r="R1555" s="53">
        <f>MID(P1555,7,2)</f>
        <v/>
      </c>
      <c r="S1555" s="3" t="inlineStr">
        <is>
          <t>G2G</t>
        </is>
      </c>
      <c r="T1555" s="3" t="inlineStr">
        <is>
          <t>P4</t>
        </is>
      </c>
      <c r="U1555" s="3" t="inlineStr">
        <is>
          <t>N JB Cold Soldering</t>
        </is>
      </c>
      <c r="V1555" s="3" t="inlineStr">
        <is>
          <t>Soldering</t>
        </is>
      </c>
      <c r="W1555" s="3" t="inlineStr">
        <is>
          <t>Repair</t>
        </is>
      </c>
      <c r="X1555" s="18" t="n">
        <v>46162</v>
      </c>
      <c r="Y1555" s="73">
        <f>IF(X1555="","",X1555-A1555)</f>
        <v/>
      </c>
      <c r="Z1555" s="18" t="n">
        <v>46162</v>
      </c>
      <c r="AA1555" s="15" t="n"/>
      <c r="AB1555" s="15" t="n"/>
      <c r="AF1555">
        <f>IF(AND($F1555="Closed",$X1555&gt;=DATE(2026,5,1),$X1555&lt;=DATE(2026,5,31)),"Closed in May","Other")</f>
        <v/>
      </c>
    </row>
    <row r="1556">
      <c r="A1556" s="6" t="n">
        <v>46107</v>
      </c>
      <c r="B1556" s="3" t="n">
        <v>2026</v>
      </c>
      <c r="C1556" s="3" t="inlineStr">
        <is>
          <t>Blupine Energy</t>
        </is>
      </c>
      <c r="D1556" s="3" t="inlineStr">
        <is>
          <t>Utility and C&amp;I</t>
        </is>
      </c>
      <c r="E1556" s="3" t="n"/>
      <c r="F1556" s="3" t="inlineStr">
        <is>
          <t>Closed</t>
        </is>
      </c>
      <c r="G1556" s="3" t="inlineStr">
        <is>
          <t>Chandrashekar Patidar</t>
        </is>
      </c>
      <c r="H1556" s="3" t="n">
        <v>7879764773</v>
      </c>
      <c r="I1556" s="11" t="inlineStr">
        <is>
          <t>PE26032601</t>
        </is>
      </c>
      <c r="J1556" s="3" t="inlineStr">
        <is>
          <t>Module Diode Failure</t>
        </is>
      </c>
      <c r="K1556" s="3" t="inlineStr">
        <is>
          <t>Sadla</t>
        </is>
      </c>
      <c r="L1556" s="3" t="inlineStr">
        <is>
          <t>Gujarat</t>
        </is>
      </c>
      <c r="M1556" s="9" t="inlineStr">
        <is>
          <t>NS</t>
        </is>
      </c>
      <c r="N1556" s="3" t="inlineStr">
        <is>
          <t>Cold Soldering</t>
        </is>
      </c>
      <c r="O1556" s="3" t="n">
        <v>570</v>
      </c>
      <c r="P1556" s="9" t="inlineStr">
        <is>
          <t>NSMI24060080384</t>
        </is>
      </c>
      <c r="Q1556" s="54">
        <f>MID(P1556,5,2)</f>
        <v/>
      </c>
      <c r="R1556" s="53">
        <f>MID(P1556,7,2)</f>
        <v/>
      </c>
      <c r="S1556" s="3" t="inlineStr">
        <is>
          <t>G2G</t>
        </is>
      </c>
      <c r="T1556" s="3" t="inlineStr">
        <is>
          <t>P4</t>
        </is>
      </c>
      <c r="U1556" s="3" t="inlineStr">
        <is>
          <t>N JB Cold Soldering</t>
        </is>
      </c>
      <c r="V1556" s="3" t="inlineStr">
        <is>
          <t>Soldering</t>
        </is>
      </c>
      <c r="W1556" s="3" t="inlineStr">
        <is>
          <t>Repair</t>
        </is>
      </c>
      <c r="X1556" s="18" t="n">
        <v>46162</v>
      </c>
      <c r="Y1556" s="73">
        <f>IF(X1556="","",X1556-A1556)</f>
        <v/>
      </c>
      <c r="Z1556" s="18" t="n">
        <v>46162</v>
      </c>
      <c r="AA1556" s="15" t="n"/>
      <c r="AB1556" s="15" t="n"/>
      <c r="AF1556">
        <f>IF(AND($F1556="Closed",$X1556&gt;=DATE(2026,5,1),$X1556&lt;=DATE(2026,5,31)),"Closed in May","Other")</f>
        <v/>
      </c>
    </row>
    <row r="1557">
      <c r="A1557" s="6" t="n">
        <v>46107</v>
      </c>
      <c r="B1557" s="3" t="n">
        <v>2026</v>
      </c>
      <c r="C1557" s="3" t="inlineStr">
        <is>
          <t>Blupine Energy</t>
        </is>
      </c>
      <c r="D1557" s="3" t="inlineStr">
        <is>
          <t>Utility and C&amp;I</t>
        </is>
      </c>
      <c r="E1557" s="3" t="n"/>
      <c r="F1557" s="3" t="inlineStr">
        <is>
          <t>Closed</t>
        </is>
      </c>
      <c r="G1557" s="3" t="inlineStr">
        <is>
          <t>Chandrashekar Patidar</t>
        </is>
      </c>
      <c r="H1557" s="3" t="n">
        <v>7879764773</v>
      </c>
      <c r="I1557" s="11" t="inlineStr">
        <is>
          <t>PE26032601</t>
        </is>
      </c>
      <c r="J1557" s="3" t="inlineStr">
        <is>
          <t>Module Diode Failure</t>
        </is>
      </c>
      <c r="K1557" s="3" t="inlineStr">
        <is>
          <t>Sadla</t>
        </is>
      </c>
      <c r="L1557" s="3" t="inlineStr">
        <is>
          <t>Gujarat</t>
        </is>
      </c>
      <c r="M1557" s="9" t="inlineStr">
        <is>
          <t>NR</t>
        </is>
      </c>
      <c r="N1557" s="3" t="inlineStr">
        <is>
          <t>JB Issue</t>
        </is>
      </c>
      <c r="O1557" s="3" t="n">
        <v>570</v>
      </c>
      <c r="P1557" s="9" t="inlineStr">
        <is>
          <t>NSMI24060163290</t>
        </is>
      </c>
      <c r="Q1557" s="54">
        <f>MID(P1557,5,2)</f>
        <v/>
      </c>
      <c r="R1557" s="53">
        <f>MID(P1557,7,2)</f>
        <v/>
      </c>
      <c r="S1557" s="3" t="inlineStr">
        <is>
          <t>G2G</t>
        </is>
      </c>
      <c r="T1557" s="3" t="inlineStr">
        <is>
          <t>P4</t>
        </is>
      </c>
      <c r="U1557" s="3" t="inlineStr">
        <is>
          <t>N JB Issue</t>
        </is>
      </c>
      <c r="V1557" s="3" t="inlineStr">
        <is>
          <t>JB Changed</t>
        </is>
      </c>
      <c r="W1557" s="3" t="inlineStr">
        <is>
          <t>Repair</t>
        </is>
      </c>
      <c r="X1557" s="18" t="n">
        <v>46162</v>
      </c>
      <c r="Y1557" s="73">
        <f>IF(X1557="","",X1557-A1557)</f>
        <v/>
      </c>
      <c r="Z1557" s="18" t="n">
        <v>46162</v>
      </c>
      <c r="AA1557" s="15" t="n"/>
      <c r="AB1557" s="15" t="n"/>
      <c r="AF1557">
        <f>IF(AND($F1557="Closed",$X1557&gt;=DATE(2026,5,1),$X1557&lt;=DATE(2026,5,31)),"Closed in May","Other")</f>
        <v/>
      </c>
    </row>
    <row r="1558">
      <c r="A1558" s="6" t="n">
        <v>46107</v>
      </c>
      <c r="B1558" s="3" t="n">
        <v>2026</v>
      </c>
      <c r="C1558" s="3" t="inlineStr">
        <is>
          <t>Blupine Energy</t>
        </is>
      </c>
      <c r="D1558" s="3" t="inlineStr">
        <is>
          <t>Utility and C&amp;I</t>
        </is>
      </c>
      <c r="E1558" s="3" t="n"/>
      <c r="F1558" s="3" t="inlineStr">
        <is>
          <t>Closed</t>
        </is>
      </c>
      <c r="G1558" s="3" t="inlineStr">
        <is>
          <t>Chandrashekar Patidar</t>
        </is>
      </c>
      <c r="H1558" s="3" t="n">
        <v>7879764773</v>
      </c>
      <c r="I1558" s="11" t="inlineStr">
        <is>
          <t>PE26032601</t>
        </is>
      </c>
      <c r="J1558" s="3" t="inlineStr">
        <is>
          <t>Module Diode Failure</t>
        </is>
      </c>
      <c r="K1558" s="3" t="inlineStr">
        <is>
          <t>Sadla</t>
        </is>
      </c>
      <c r="L1558" s="3" t="inlineStr">
        <is>
          <t>Gujarat</t>
        </is>
      </c>
      <c r="M1558" s="9" t="inlineStr">
        <is>
          <t>NS</t>
        </is>
      </c>
      <c r="N1558" s="3" t="inlineStr">
        <is>
          <t>Cold Soldering</t>
        </is>
      </c>
      <c r="O1558" s="3" t="n">
        <v>570</v>
      </c>
      <c r="P1558" s="9" t="inlineStr">
        <is>
          <t>NSMI24050053238</t>
        </is>
      </c>
      <c r="Q1558" s="54">
        <f>MID(P1558,5,2)</f>
        <v/>
      </c>
      <c r="R1558" s="53">
        <f>MID(P1558,7,2)</f>
        <v/>
      </c>
      <c r="S1558" s="3" t="inlineStr">
        <is>
          <t>G2G</t>
        </is>
      </c>
      <c r="T1558" s="3" t="inlineStr">
        <is>
          <t>P4</t>
        </is>
      </c>
      <c r="U1558" s="3" t="inlineStr">
        <is>
          <t>N JB Cold Soldering</t>
        </is>
      </c>
      <c r="V1558" s="3" t="inlineStr">
        <is>
          <t>Soldering</t>
        </is>
      </c>
      <c r="W1558" s="3" t="inlineStr">
        <is>
          <t>Repair</t>
        </is>
      </c>
      <c r="X1558" s="18" t="n">
        <v>46162</v>
      </c>
      <c r="Y1558" s="73">
        <f>IF(X1558="","",X1558-A1558)</f>
        <v/>
      </c>
      <c r="Z1558" s="18" t="n">
        <v>46162</v>
      </c>
      <c r="AA1558" s="15" t="n"/>
      <c r="AB1558" s="15" t="n"/>
      <c r="AF1558">
        <f>IF(AND($F1558="Closed",$X1558&gt;=DATE(2026,5,1),$X1558&lt;=DATE(2026,5,31)),"Closed in May","Other")</f>
        <v/>
      </c>
    </row>
    <row r="1559">
      <c r="A1559" s="6" t="n">
        <v>46107</v>
      </c>
      <c r="B1559" s="3" t="n">
        <v>2026</v>
      </c>
      <c r="C1559" s="3" t="inlineStr">
        <is>
          <t>Blupine Energy</t>
        </is>
      </c>
      <c r="D1559" s="3" t="inlineStr">
        <is>
          <t>Utility and C&amp;I</t>
        </is>
      </c>
      <c r="E1559" s="3" t="n"/>
      <c r="F1559" s="3" t="inlineStr">
        <is>
          <t>Closed</t>
        </is>
      </c>
      <c r="G1559" s="3" t="inlineStr">
        <is>
          <t>Chandrashekar Patidar</t>
        </is>
      </c>
      <c r="H1559" s="3" t="n">
        <v>7879764773</v>
      </c>
      <c r="I1559" s="11" t="inlineStr">
        <is>
          <t>PE26032601</t>
        </is>
      </c>
      <c r="J1559" s="3" t="inlineStr">
        <is>
          <t>Module Diode Failure</t>
        </is>
      </c>
      <c r="K1559" s="3" t="inlineStr">
        <is>
          <t>Sadla</t>
        </is>
      </c>
      <c r="L1559" s="3" t="inlineStr">
        <is>
          <t>Gujarat</t>
        </is>
      </c>
      <c r="M1559" s="9" t="inlineStr">
        <is>
          <t>PS</t>
        </is>
      </c>
      <c r="N1559" s="3" t="inlineStr">
        <is>
          <t>Cold Soldering</t>
        </is>
      </c>
      <c r="O1559" s="3" t="n">
        <v>570</v>
      </c>
      <c r="P1559" s="9" t="inlineStr">
        <is>
          <t>NSMI24060085576</t>
        </is>
      </c>
      <c r="Q1559" s="54">
        <f>MID(P1559,5,2)</f>
        <v/>
      </c>
      <c r="R1559" s="53">
        <f>MID(P1559,7,2)</f>
        <v/>
      </c>
      <c r="S1559" s="3" t="inlineStr">
        <is>
          <t>G2G</t>
        </is>
      </c>
      <c r="T1559" s="3" t="inlineStr">
        <is>
          <t>P4</t>
        </is>
      </c>
      <c r="U1559" s="3" t="inlineStr">
        <is>
          <t>P JB Cold Soldering</t>
        </is>
      </c>
      <c r="V1559" s="3" t="inlineStr">
        <is>
          <t>Soldering</t>
        </is>
      </c>
      <c r="W1559" s="3" t="inlineStr">
        <is>
          <t>Repair</t>
        </is>
      </c>
      <c r="X1559" s="18" t="n">
        <v>46162</v>
      </c>
      <c r="Y1559" s="73">
        <f>IF(X1559="","",X1559-A1559)</f>
        <v/>
      </c>
      <c r="Z1559" s="18" t="n">
        <v>46162</v>
      </c>
      <c r="AA1559" s="15" t="n"/>
      <c r="AB1559" s="15" t="n"/>
      <c r="AF1559">
        <f>IF(AND($F1559="Closed",$X1559&gt;=DATE(2026,5,1),$X1559&lt;=DATE(2026,5,31)),"Closed in May","Other")</f>
        <v/>
      </c>
    </row>
    <row r="1560">
      <c r="A1560" s="6" t="n">
        <v>46107</v>
      </c>
      <c r="B1560" s="3" t="n">
        <v>2026</v>
      </c>
      <c r="C1560" s="3" t="inlineStr">
        <is>
          <t>Blupine Energy</t>
        </is>
      </c>
      <c r="D1560" s="3" t="inlineStr">
        <is>
          <t>Utility and C&amp;I</t>
        </is>
      </c>
      <c r="E1560" s="3" t="n"/>
      <c r="F1560" s="3" t="inlineStr">
        <is>
          <t>Closed</t>
        </is>
      </c>
      <c r="G1560" s="3" t="inlineStr">
        <is>
          <t>Chandrashekar Patidar</t>
        </is>
      </c>
      <c r="H1560" s="3" t="n">
        <v>7879764773</v>
      </c>
      <c r="I1560" s="11" t="inlineStr">
        <is>
          <t>PE26032601</t>
        </is>
      </c>
      <c r="J1560" s="3" t="inlineStr">
        <is>
          <t>Module Diode Failure</t>
        </is>
      </c>
      <c r="K1560" s="3" t="inlineStr">
        <is>
          <t>Sadla</t>
        </is>
      </c>
      <c r="L1560" s="3" t="inlineStr">
        <is>
          <t>Gujarat</t>
        </is>
      </c>
      <c r="M1560" s="9" t="inlineStr">
        <is>
          <t>PS</t>
        </is>
      </c>
      <c r="N1560" s="3" t="inlineStr">
        <is>
          <t>Cold Soldering</t>
        </is>
      </c>
      <c r="O1560" s="3" t="n">
        <v>570</v>
      </c>
      <c r="P1560" s="9" t="inlineStr">
        <is>
          <t>NSMI24050060850</t>
        </is>
      </c>
      <c r="Q1560" s="54">
        <f>MID(P1560,5,2)</f>
        <v/>
      </c>
      <c r="R1560" s="53">
        <f>MID(P1560,7,2)</f>
        <v/>
      </c>
      <c r="S1560" s="3" t="inlineStr">
        <is>
          <t>G2G</t>
        </is>
      </c>
      <c r="T1560" s="3" t="inlineStr">
        <is>
          <t>P4</t>
        </is>
      </c>
      <c r="U1560" s="3" t="inlineStr">
        <is>
          <t>P JB Cold Soldering</t>
        </is>
      </c>
      <c r="V1560" s="3" t="inlineStr">
        <is>
          <t>Soldering</t>
        </is>
      </c>
      <c r="W1560" s="3" t="inlineStr">
        <is>
          <t>Repair</t>
        </is>
      </c>
      <c r="X1560" s="18" t="n">
        <v>46162</v>
      </c>
      <c r="Y1560" s="73">
        <f>IF(X1560="","",X1560-A1560)</f>
        <v/>
      </c>
      <c r="Z1560" s="18" t="n">
        <v>46162</v>
      </c>
      <c r="AA1560" s="15" t="n"/>
      <c r="AB1560" s="15" t="n"/>
      <c r="AF1560">
        <f>IF(AND($F1560="Closed",$X1560&gt;=DATE(2026,5,1),$X1560&lt;=DATE(2026,5,31)),"Closed in May","Other")</f>
        <v/>
      </c>
    </row>
    <row r="1561">
      <c r="A1561" s="6" t="n">
        <v>46107</v>
      </c>
      <c r="B1561" s="3" t="n">
        <v>2026</v>
      </c>
      <c r="C1561" s="3" t="inlineStr">
        <is>
          <t>Blupine Energy</t>
        </is>
      </c>
      <c r="D1561" s="3" t="inlineStr">
        <is>
          <t>Utility and C&amp;I</t>
        </is>
      </c>
      <c r="E1561" s="3" t="n"/>
      <c r="F1561" s="3" t="inlineStr">
        <is>
          <t>Closed</t>
        </is>
      </c>
      <c r="G1561" s="3" t="inlineStr">
        <is>
          <t>Chandrashekar Patidar</t>
        </is>
      </c>
      <c r="H1561" s="3" t="n">
        <v>7879764773</v>
      </c>
      <c r="I1561" s="11" t="inlineStr">
        <is>
          <t>PE26032601</t>
        </is>
      </c>
      <c r="J1561" s="3" t="inlineStr">
        <is>
          <t>Module Diode Failure</t>
        </is>
      </c>
      <c r="K1561" s="3" t="inlineStr">
        <is>
          <t>Sadla</t>
        </is>
      </c>
      <c r="L1561" s="3" t="inlineStr">
        <is>
          <t>Gujarat</t>
        </is>
      </c>
      <c r="M1561" s="9" t="inlineStr">
        <is>
          <t>NS</t>
        </is>
      </c>
      <c r="N1561" s="3" t="inlineStr">
        <is>
          <t>Cold Soldering</t>
        </is>
      </c>
      <c r="O1561" s="3" t="n">
        <v>570</v>
      </c>
      <c r="P1561" s="9" t="inlineStr">
        <is>
          <t>NSMI24060081580</t>
        </is>
      </c>
      <c r="Q1561" s="54">
        <f>MID(P1561,5,2)</f>
        <v/>
      </c>
      <c r="R1561" s="53">
        <f>MID(P1561,7,2)</f>
        <v/>
      </c>
      <c r="S1561" s="3" t="inlineStr">
        <is>
          <t>G2G</t>
        </is>
      </c>
      <c r="T1561" s="3" t="inlineStr">
        <is>
          <t>P4</t>
        </is>
      </c>
      <c r="U1561" s="3" t="inlineStr">
        <is>
          <t>N JB Cold Soldering</t>
        </is>
      </c>
      <c r="V1561" s="3" t="inlineStr">
        <is>
          <t>Soldering</t>
        </is>
      </c>
      <c r="W1561" s="3" t="inlineStr">
        <is>
          <t>Repair</t>
        </is>
      </c>
      <c r="X1561" s="18" t="n">
        <v>46162</v>
      </c>
      <c r="Y1561" s="73">
        <f>IF(X1561="","",X1561-A1561)</f>
        <v/>
      </c>
      <c r="Z1561" s="18" t="n">
        <v>46162</v>
      </c>
      <c r="AA1561" s="15" t="n"/>
      <c r="AB1561" s="15" t="n"/>
      <c r="AF1561">
        <f>IF(AND($F1561="Closed",$X1561&gt;=DATE(2026,5,1),$X1561&lt;=DATE(2026,5,31)),"Closed in May","Other")</f>
        <v/>
      </c>
    </row>
    <row r="1562">
      <c r="A1562" s="6" t="n">
        <v>46107</v>
      </c>
      <c r="B1562" s="3" t="n">
        <v>2026</v>
      </c>
      <c r="C1562" s="3" t="inlineStr">
        <is>
          <t>Blupine Energy</t>
        </is>
      </c>
      <c r="D1562" s="3" t="inlineStr">
        <is>
          <t>Utility and C&amp;I</t>
        </is>
      </c>
      <c r="E1562" s="3" t="n"/>
      <c r="F1562" s="3" t="inlineStr">
        <is>
          <t>Closed</t>
        </is>
      </c>
      <c r="G1562" s="3" t="inlineStr">
        <is>
          <t>Chandrashekar Patidar</t>
        </is>
      </c>
      <c r="H1562" s="3" t="n">
        <v>7879764773</v>
      </c>
      <c r="I1562" s="11" t="inlineStr">
        <is>
          <t>PE26032601</t>
        </is>
      </c>
      <c r="J1562" s="3" t="inlineStr">
        <is>
          <t>Module Diode Failure</t>
        </is>
      </c>
      <c r="K1562" s="3" t="inlineStr">
        <is>
          <t>Sadla</t>
        </is>
      </c>
      <c r="L1562" s="3" t="inlineStr">
        <is>
          <t>Gujarat</t>
        </is>
      </c>
      <c r="M1562" s="9" t="inlineStr">
        <is>
          <t>NR</t>
        </is>
      </c>
      <c r="N1562" s="3" t="inlineStr">
        <is>
          <t>JB Issue</t>
        </is>
      </c>
      <c r="O1562" s="3" t="n">
        <v>570</v>
      </c>
      <c r="P1562" s="9" t="inlineStr">
        <is>
          <t>NSMI24060081524</t>
        </is>
      </c>
      <c r="Q1562" s="54">
        <f>MID(P1562,5,2)</f>
        <v/>
      </c>
      <c r="R1562" s="53">
        <f>MID(P1562,7,2)</f>
        <v/>
      </c>
      <c r="S1562" s="3" t="inlineStr">
        <is>
          <t>G2G</t>
        </is>
      </c>
      <c r="T1562" s="3" t="inlineStr">
        <is>
          <t>P4</t>
        </is>
      </c>
      <c r="U1562" s="3" t="inlineStr">
        <is>
          <t>N JB Issue</t>
        </is>
      </c>
      <c r="V1562" s="3" t="inlineStr">
        <is>
          <t>JB Changed</t>
        </is>
      </c>
      <c r="W1562" s="3" t="inlineStr">
        <is>
          <t>Repair</t>
        </is>
      </c>
      <c r="X1562" s="18" t="n">
        <v>46162</v>
      </c>
      <c r="Y1562" s="73">
        <f>IF(X1562="","",X1562-A1562)</f>
        <v/>
      </c>
      <c r="Z1562" s="18" t="n">
        <v>46162</v>
      </c>
      <c r="AA1562" s="15" t="n"/>
      <c r="AB1562" s="15" t="n"/>
      <c r="AF1562">
        <f>IF(AND($F1562="Closed",$X1562&gt;=DATE(2026,5,1),$X1562&lt;=DATE(2026,5,31)),"Closed in May","Other")</f>
        <v/>
      </c>
    </row>
    <row r="1563">
      <c r="A1563" s="6" t="n">
        <v>46107</v>
      </c>
      <c r="B1563" s="3" t="n">
        <v>2026</v>
      </c>
      <c r="C1563" s="3" t="inlineStr">
        <is>
          <t>Blupine Energy</t>
        </is>
      </c>
      <c r="D1563" s="3" t="inlineStr">
        <is>
          <t>Utility and C&amp;I</t>
        </is>
      </c>
      <c r="E1563" s="3" t="n"/>
      <c r="F1563" s="3" t="inlineStr">
        <is>
          <t>Closed</t>
        </is>
      </c>
      <c r="G1563" s="3" t="inlineStr">
        <is>
          <t>Chandrashekar Patidar</t>
        </is>
      </c>
      <c r="H1563" s="3" t="n">
        <v>7879764773</v>
      </c>
      <c r="I1563" s="11" t="inlineStr">
        <is>
          <t>PE26032601</t>
        </is>
      </c>
      <c r="J1563" s="3" t="inlineStr">
        <is>
          <t>Module Diode Failure</t>
        </is>
      </c>
      <c r="K1563" s="3" t="inlineStr">
        <is>
          <t>Sadla</t>
        </is>
      </c>
      <c r="L1563" s="3" t="inlineStr">
        <is>
          <t>Gujarat</t>
        </is>
      </c>
      <c r="M1563" s="9" t="inlineStr">
        <is>
          <t>OK</t>
        </is>
      </c>
      <c r="N1563" s="3" t="inlineStr">
        <is>
          <t>No Issue</t>
        </is>
      </c>
      <c r="O1563" s="3" t="n">
        <v>570</v>
      </c>
      <c r="P1563" s="9" t="inlineStr">
        <is>
          <t>NSMI24060123852</t>
        </is>
      </c>
      <c r="Q1563" s="54">
        <f>MID(P1563,5,2)</f>
        <v/>
      </c>
      <c r="R1563" s="53">
        <f>MID(P1563,7,2)</f>
        <v/>
      </c>
      <c r="S1563" s="3" t="inlineStr">
        <is>
          <t>G2G</t>
        </is>
      </c>
      <c r="T1563" s="3" t="inlineStr">
        <is>
          <t>P4</t>
        </is>
      </c>
      <c r="U1563" s="19" t="inlineStr">
        <is>
          <t>No Issue Found &amp; Glass Breakage</t>
        </is>
      </c>
      <c r="V1563" s="19" t="inlineStr">
        <is>
          <t>Found OK</t>
        </is>
      </c>
      <c r="W1563" s="3" t="inlineStr">
        <is>
          <t>Repair</t>
        </is>
      </c>
      <c r="X1563" s="18" t="n">
        <v>46162</v>
      </c>
      <c r="Y1563" s="73">
        <f>IF(X1563="","",X1563-A1563)</f>
        <v/>
      </c>
      <c r="Z1563" s="18" t="n">
        <v>46162</v>
      </c>
      <c r="AA1563" s="15" t="n"/>
      <c r="AB1563" s="15" t="n"/>
      <c r="AF1563">
        <f>IF(AND($F1563="Closed",$X1563&gt;=DATE(2026,5,1),$X1563&lt;=DATE(2026,5,31)),"Closed in May","Other")</f>
        <v/>
      </c>
    </row>
    <row r="1564">
      <c r="A1564" s="6" t="n">
        <v>46107</v>
      </c>
      <c r="B1564" s="3" t="n">
        <v>2026</v>
      </c>
      <c r="C1564" s="3" t="inlineStr">
        <is>
          <t>Blupine Energy</t>
        </is>
      </c>
      <c r="D1564" s="3" t="inlineStr">
        <is>
          <t>Utility and C&amp;I</t>
        </is>
      </c>
      <c r="E1564" s="3" t="n"/>
      <c r="F1564" s="3" t="inlineStr">
        <is>
          <t>Closed</t>
        </is>
      </c>
      <c r="G1564" s="3" t="inlineStr">
        <is>
          <t>Chandrashekar Patidar</t>
        </is>
      </c>
      <c r="H1564" s="3" t="n">
        <v>7879764773</v>
      </c>
      <c r="I1564" s="11" t="inlineStr">
        <is>
          <t>PE26032601</t>
        </is>
      </c>
      <c r="J1564" s="3" t="inlineStr">
        <is>
          <t>Module Diode Failure</t>
        </is>
      </c>
      <c r="K1564" s="3" t="inlineStr">
        <is>
          <t>Sadla</t>
        </is>
      </c>
      <c r="L1564" s="3" t="inlineStr">
        <is>
          <t>Gujarat</t>
        </is>
      </c>
      <c r="M1564" s="9" t="inlineStr">
        <is>
          <t>NR</t>
        </is>
      </c>
      <c r="N1564" s="3" t="inlineStr">
        <is>
          <t>JB Issue</t>
        </is>
      </c>
      <c r="O1564" s="3" t="n">
        <v>570</v>
      </c>
      <c r="P1564" s="9" t="inlineStr">
        <is>
          <t>NSMI24060109399</t>
        </is>
      </c>
      <c r="Q1564" s="54">
        <f>MID(P1564,5,2)</f>
        <v/>
      </c>
      <c r="R1564" s="53">
        <f>MID(P1564,7,2)</f>
        <v/>
      </c>
      <c r="S1564" s="3" t="inlineStr">
        <is>
          <t>G2G</t>
        </is>
      </c>
      <c r="T1564" s="3" t="inlineStr">
        <is>
          <t>P4</t>
        </is>
      </c>
      <c r="U1564" s="3" t="inlineStr">
        <is>
          <t>N JB Issue</t>
        </is>
      </c>
      <c r="V1564" s="3" t="inlineStr">
        <is>
          <t>JB Changed</t>
        </is>
      </c>
      <c r="W1564" s="3" t="inlineStr">
        <is>
          <t>Repair</t>
        </is>
      </c>
      <c r="X1564" s="18" t="n">
        <v>46162</v>
      </c>
      <c r="Y1564" s="73">
        <f>IF(X1564="","",X1564-A1564)</f>
        <v/>
      </c>
      <c r="Z1564" s="18" t="n">
        <v>46162</v>
      </c>
      <c r="AA1564" s="15" t="n"/>
      <c r="AB1564" s="15" t="n"/>
      <c r="AF1564">
        <f>IF(AND($F1564="Closed",$X1564&gt;=DATE(2026,5,1),$X1564&lt;=DATE(2026,5,31)),"Closed in May","Other")</f>
        <v/>
      </c>
    </row>
    <row r="1565">
      <c r="A1565" s="6" t="n">
        <v>46107</v>
      </c>
      <c r="B1565" s="3" t="n">
        <v>2026</v>
      </c>
      <c r="C1565" s="3" t="inlineStr">
        <is>
          <t>Blupine Energy</t>
        </is>
      </c>
      <c r="D1565" s="3" t="inlineStr">
        <is>
          <t>Utility and C&amp;I</t>
        </is>
      </c>
      <c r="E1565" s="3" t="n"/>
      <c r="F1565" s="3" t="inlineStr">
        <is>
          <t>Closed</t>
        </is>
      </c>
      <c r="G1565" s="3" t="inlineStr">
        <is>
          <t>Chandrashekar Patidar</t>
        </is>
      </c>
      <c r="H1565" s="3" t="n">
        <v>7879764773</v>
      </c>
      <c r="I1565" s="11" t="inlineStr">
        <is>
          <t>PE26032601</t>
        </is>
      </c>
      <c r="J1565" s="3" t="inlineStr">
        <is>
          <t>Module Diode Failure</t>
        </is>
      </c>
      <c r="K1565" s="3" t="inlineStr">
        <is>
          <t>Sadla</t>
        </is>
      </c>
      <c r="L1565" s="3" t="inlineStr">
        <is>
          <t>Gujarat</t>
        </is>
      </c>
      <c r="M1565" s="9" t="inlineStr">
        <is>
          <t>PS</t>
        </is>
      </c>
      <c r="N1565" s="3" t="inlineStr">
        <is>
          <t>Cold Soldering</t>
        </is>
      </c>
      <c r="O1565" s="3" t="n">
        <v>570</v>
      </c>
      <c r="P1565" s="9" t="inlineStr">
        <is>
          <t>NSMI24060119302</t>
        </is>
      </c>
      <c r="Q1565" s="54">
        <f>MID(P1565,5,2)</f>
        <v/>
      </c>
      <c r="R1565" s="53">
        <f>MID(P1565,7,2)</f>
        <v/>
      </c>
      <c r="S1565" s="3" t="inlineStr">
        <is>
          <t>G2G</t>
        </is>
      </c>
      <c r="T1565" s="3" t="inlineStr">
        <is>
          <t>P4</t>
        </is>
      </c>
      <c r="U1565" s="3" t="inlineStr">
        <is>
          <t>P JB Cold Soldering</t>
        </is>
      </c>
      <c r="V1565" s="3" t="inlineStr">
        <is>
          <t>Soldering</t>
        </is>
      </c>
      <c r="W1565" s="3" t="inlineStr">
        <is>
          <t>Repair</t>
        </is>
      </c>
      <c r="X1565" s="18" t="n">
        <v>46162</v>
      </c>
      <c r="Y1565" s="73">
        <f>IF(X1565="","",X1565-A1565)</f>
        <v/>
      </c>
      <c r="Z1565" s="18" t="n">
        <v>46162</v>
      </c>
      <c r="AA1565" s="15" t="n"/>
      <c r="AB1565" s="15" t="n"/>
      <c r="AF1565">
        <f>IF(AND($F1565="Closed",$X1565&gt;=DATE(2026,5,1),$X1565&lt;=DATE(2026,5,31)),"Closed in May","Other")</f>
        <v/>
      </c>
    </row>
    <row r="1566">
      <c r="A1566" s="6" t="n">
        <v>46107</v>
      </c>
      <c r="B1566" s="3" t="n">
        <v>2026</v>
      </c>
      <c r="C1566" s="3" t="inlineStr">
        <is>
          <t>Blupine Energy</t>
        </is>
      </c>
      <c r="D1566" s="3" t="inlineStr">
        <is>
          <t>Utility and C&amp;I</t>
        </is>
      </c>
      <c r="E1566" s="3" t="n"/>
      <c r="F1566" s="3" t="inlineStr">
        <is>
          <t>Closed</t>
        </is>
      </c>
      <c r="G1566" s="3" t="inlineStr">
        <is>
          <t>Chandrashekar Patidar</t>
        </is>
      </c>
      <c r="H1566" s="3" t="n">
        <v>7879764773</v>
      </c>
      <c r="I1566" s="11" t="inlineStr">
        <is>
          <t>PE26032601</t>
        </is>
      </c>
      <c r="J1566" s="3" t="inlineStr">
        <is>
          <t>Module Diode Failure</t>
        </is>
      </c>
      <c r="K1566" s="3" t="inlineStr">
        <is>
          <t>Sadla</t>
        </is>
      </c>
      <c r="L1566" s="3" t="inlineStr">
        <is>
          <t>Gujarat</t>
        </is>
      </c>
      <c r="M1566" s="9" t="inlineStr">
        <is>
          <t>NS</t>
        </is>
      </c>
      <c r="N1566" s="3" t="inlineStr">
        <is>
          <t>Cold Soldering</t>
        </is>
      </c>
      <c r="O1566" s="3" t="n">
        <v>570</v>
      </c>
      <c r="P1566" s="9" t="inlineStr">
        <is>
          <t>NSMI24060118379</t>
        </is>
      </c>
      <c r="Q1566" s="54">
        <f>MID(P1566,5,2)</f>
        <v/>
      </c>
      <c r="R1566" s="53">
        <f>MID(P1566,7,2)</f>
        <v/>
      </c>
      <c r="S1566" s="3" t="inlineStr">
        <is>
          <t>G2G</t>
        </is>
      </c>
      <c r="T1566" s="3" t="inlineStr">
        <is>
          <t>P4</t>
        </is>
      </c>
      <c r="U1566" s="3" t="inlineStr">
        <is>
          <t>N JB Cold Soldering</t>
        </is>
      </c>
      <c r="V1566" s="3" t="inlineStr">
        <is>
          <t>Soldering</t>
        </is>
      </c>
      <c r="W1566" s="3" t="inlineStr">
        <is>
          <t>Repair</t>
        </is>
      </c>
      <c r="X1566" s="18" t="n">
        <v>46162</v>
      </c>
      <c r="Y1566" s="73">
        <f>IF(X1566="","",X1566-A1566)</f>
        <v/>
      </c>
      <c r="Z1566" s="18" t="n">
        <v>46162</v>
      </c>
      <c r="AA1566" s="15" t="n"/>
      <c r="AB1566" s="15" t="n"/>
      <c r="AF1566">
        <f>IF(AND($F1566="Closed",$X1566&gt;=DATE(2026,5,1),$X1566&lt;=DATE(2026,5,31)),"Closed in May","Other")</f>
        <v/>
      </c>
    </row>
    <row r="1567">
      <c r="A1567" s="6" t="n">
        <v>46107</v>
      </c>
      <c r="B1567" s="3" t="n">
        <v>2026</v>
      </c>
      <c r="C1567" s="3" t="inlineStr">
        <is>
          <t>Blupine Energy</t>
        </is>
      </c>
      <c r="D1567" s="3" t="inlineStr">
        <is>
          <t>Utility and C&amp;I</t>
        </is>
      </c>
      <c r="E1567" s="3" t="n"/>
      <c r="F1567" s="3" t="inlineStr">
        <is>
          <t>Closed</t>
        </is>
      </c>
      <c r="G1567" s="3" t="inlineStr">
        <is>
          <t>Chandrashekar Patidar</t>
        </is>
      </c>
      <c r="H1567" s="3" t="n">
        <v>7879764773</v>
      </c>
      <c r="I1567" s="11" t="inlineStr">
        <is>
          <t>PE26032601</t>
        </is>
      </c>
      <c r="J1567" s="3" t="inlineStr">
        <is>
          <t>Module Diode Failure</t>
        </is>
      </c>
      <c r="K1567" s="3" t="inlineStr">
        <is>
          <t>Sadla</t>
        </is>
      </c>
      <c r="L1567" s="3" t="inlineStr">
        <is>
          <t>Gujarat</t>
        </is>
      </c>
      <c r="M1567" s="9" t="inlineStr">
        <is>
          <t>NS</t>
        </is>
      </c>
      <c r="N1567" s="3" t="inlineStr">
        <is>
          <t>Cold Soldering</t>
        </is>
      </c>
      <c r="O1567" s="3" t="n">
        <v>570</v>
      </c>
      <c r="P1567" s="9" t="inlineStr">
        <is>
          <t>NSMI24060118348</t>
        </is>
      </c>
      <c r="Q1567" s="54">
        <f>MID(P1567,5,2)</f>
        <v/>
      </c>
      <c r="R1567" s="53">
        <f>MID(P1567,7,2)</f>
        <v/>
      </c>
      <c r="S1567" s="3" t="inlineStr">
        <is>
          <t>G2G</t>
        </is>
      </c>
      <c r="T1567" s="3" t="inlineStr">
        <is>
          <t>P4</t>
        </is>
      </c>
      <c r="U1567" s="3" t="inlineStr">
        <is>
          <t>N JB Cold Soldering</t>
        </is>
      </c>
      <c r="V1567" s="3" t="inlineStr">
        <is>
          <t>Soldering</t>
        </is>
      </c>
      <c r="W1567" s="3" t="inlineStr">
        <is>
          <t>Repair</t>
        </is>
      </c>
      <c r="X1567" s="18" t="n">
        <v>46162</v>
      </c>
      <c r="Y1567" s="73">
        <f>IF(X1567="","",X1567-A1567)</f>
        <v/>
      </c>
      <c r="Z1567" s="18" t="n">
        <v>46162</v>
      </c>
      <c r="AA1567" s="15" t="n"/>
      <c r="AB1567" s="15" t="n"/>
      <c r="AF1567">
        <f>IF(AND($F1567="Closed",$X1567&gt;=DATE(2026,5,1),$X1567&lt;=DATE(2026,5,31)),"Closed in May","Other")</f>
        <v/>
      </c>
    </row>
    <row r="1568">
      <c r="A1568" s="6" t="n">
        <v>46107</v>
      </c>
      <c r="B1568" s="3" t="n">
        <v>2026</v>
      </c>
      <c r="C1568" s="3" t="inlineStr">
        <is>
          <t>Blupine Energy</t>
        </is>
      </c>
      <c r="D1568" s="3" t="inlineStr">
        <is>
          <t>Utility and C&amp;I</t>
        </is>
      </c>
      <c r="E1568" s="3" t="n"/>
      <c r="F1568" s="3" t="inlineStr">
        <is>
          <t>Closed</t>
        </is>
      </c>
      <c r="G1568" s="3" t="inlineStr">
        <is>
          <t>Chandrashekar Patidar</t>
        </is>
      </c>
      <c r="H1568" s="3" t="n">
        <v>7879764773</v>
      </c>
      <c r="I1568" s="11" t="inlineStr">
        <is>
          <t>PE26032601</t>
        </is>
      </c>
      <c r="J1568" s="3" t="inlineStr">
        <is>
          <t>Module Diode Failure</t>
        </is>
      </c>
      <c r="K1568" s="3" t="inlineStr">
        <is>
          <t>Sadla</t>
        </is>
      </c>
      <c r="L1568" s="3" t="inlineStr">
        <is>
          <t>Gujarat</t>
        </is>
      </c>
      <c r="M1568" s="9" t="inlineStr">
        <is>
          <t>NS</t>
        </is>
      </c>
      <c r="N1568" s="3" t="inlineStr">
        <is>
          <t>Cold Soldering</t>
        </is>
      </c>
      <c r="O1568" s="3" t="n">
        <v>570</v>
      </c>
      <c r="P1568" s="9" t="inlineStr">
        <is>
          <t>NSMI24060118377</t>
        </is>
      </c>
      <c r="Q1568" s="54">
        <f>MID(P1568,5,2)</f>
        <v/>
      </c>
      <c r="R1568" s="53">
        <f>MID(P1568,7,2)</f>
        <v/>
      </c>
      <c r="S1568" s="3" t="inlineStr">
        <is>
          <t>G2G</t>
        </is>
      </c>
      <c r="T1568" s="3" t="inlineStr">
        <is>
          <t>P4</t>
        </is>
      </c>
      <c r="U1568" s="3" t="inlineStr">
        <is>
          <t>N JB Cold Soldering</t>
        </is>
      </c>
      <c r="V1568" s="3" t="inlineStr">
        <is>
          <t>Soldering</t>
        </is>
      </c>
      <c r="W1568" s="3" t="inlineStr">
        <is>
          <t>Repair</t>
        </is>
      </c>
      <c r="X1568" s="18" t="n">
        <v>46162</v>
      </c>
      <c r="Y1568" s="73">
        <f>IF(X1568="","",X1568-A1568)</f>
        <v/>
      </c>
      <c r="Z1568" s="18" t="n">
        <v>46162</v>
      </c>
      <c r="AA1568" s="15" t="n"/>
      <c r="AB1568" s="15" t="n"/>
      <c r="AF1568">
        <f>IF(AND($F1568="Closed",$X1568&gt;=DATE(2026,5,1),$X1568&lt;=DATE(2026,5,31)),"Closed in May","Other")</f>
        <v/>
      </c>
    </row>
    <row r="1569">
      <c r="A1569" s="6" t="n">
        <v>46107</v>
      </c>
      <c r="B1569" s="3" t="n">
        <v>2026</v>
      </c>
      <c r="C1569" s="3" t="inlineStr">
        <is>
          <t>Blupine Energy</t>
        </is>
      </c>
      <c r="D1569" s="3" t="inlineStr">
        <is>
          <t>Utility and C&amp;I</t>
        </is>
      </c>
      <c r="E1569" s="3" t="n"/>
      <c r="F1569" s="3" t="inlineStr">
        <is>
          <t>Closed</t>
        </is>
      </c>
      <c r="G1569" s="3" t="inlineStr">
        <is>
          <t>Chandrashekar Patidar</t>
        </is>
      </c>
      <c r="H1569" s="3" t="n">
        <v>7879764773</v>
      </c>
      <c r="I1569" s="11" t="inlineStr">
        <is>
          <t>PE26032601</t>
        </is>
      </c>
      <c r="J1569" s="3" t="inlineStr">
        <is>
          <t>Module Diode Failure</t>
        </is>
      </c>
      <c r="K1569" s="3" t="inlineStr">
        <is>
          <t>Sadla</t>
        </is>
      </c>
      <c r="L1569" s="3" t="inlineStr">
        <is>
          <t>Gujarat</t>
        </is>
      </c>
      <c r="M1569" s="9" t="inlineStr">
        <is>
          <t>NS</t>
        </is>
      </c>
      <c r="N1569" s="3" t="inlineStr">
        <is>
          <t>Cold Soldering</t>
        </is>
      </c>
      <c r="O1569" s="3" t="n">
        <v>570</v>
      </c>
      <c r="P1569" s="9" t="inlineStr">
        <is>
          <t>NSMI24060101255</t>
        </is>
      </c>
      <c r="Q1569" s="54">
        <f>MID(P1569,5,2)</f>
        <v/>
      </c>
      <c r="R1569" s="53">
        <f>MID(P1569,7,2)</f>
        <v/>
      </c>
      <c r="S1569" s="3" t="inlineStr">
        <is>
          <t>G2G</t>
        </is>
      </c>
      <c r="T1569" s="3" t="inlineStr">
        <is>
          <t>P4</t>
        </is>
      </c>
      <c r="U1569" s="3" t="inlineStr">
        <is>
          <t>N JB Cold Soldering</t>
        </is>
      </c>
      <c r="V1569" s="3" t="inlineStr">
        <is>
          <t>Soldering</t>
        </is>
      </c>
      <c r="W1569" s="3" t="inlineStr">
        <is>
          <t>Repair</t>
        </is>
      </c>
      <c r="X1569" s="18" t="n">
        <v>46162</v>
      </c>
      <c r="Y1569" s="73">
        <f>IF(X1569="","",X1569-A1569)</f>
        <v/>
      </c>
      <c r="Z1569" s="18" t="n">
        <v>46162</v>
      </c>
      <c r="AA1569" s="15" t="n"/>
      <c r="AB1569" s="15" t="n"/>
      <c r="AF1569">
        <f>IF(AND($F1569="Closed",$X1569&gt;=DATE(2026,5,1),$X1569&lt;=DATE(2026,5,31)),"Closed in May","Other")</f>
        <v/>
      </c>
    </row>
    <row r="1570">
      <c r="A1570" s="6" t="n">
        <v>46107</v>
      </c>
      <c r="B1570" s="3" t="n">
        <v>2026</v>
      </c>
      <c r="C1570" s="3" t="inlineStr">
        <is>
          <t>Blupine Energy</t>
        </is>
      </c>
      <c r="D1570" s="3" t="inlineStr">
        <is>
          <t>Utility and C&amp;I</t>
        </is>
      </c>
      <c r="E1570" s="3" t="n"/>
      <c r="F1570" s="3" t="inlineStr">
        <is>
          <t>Closed</t>
        </is>
      </c>
      <c r="G1570" s="3" t="inlineStr">
        <is>
          <t>Chandrashekar Patidar</t>
        </is>
      </c>
      <c r="H1570" s="3" t="n">
        <v>7879764773</v>
      </c>
      <c r="I1570" s="11" t="inlineStr">
        <is>
          <t>PE26032601</t>
        </is>
      </c>
      <c r="J1570" s="3" t="inlineStr">
        <is>
          <t>Module Diode Failure</t>
        </is>
      </c>
      <c r="K1570" s="3" t="inlineStr">
        <is>
          <t>Sadla</t>
        </is>
      </c>
      <c r="L1570" s="3" t="inlineStr">
        <is>
          <t>Gujarat</t>
        </is>
      </c>
      <c r="M1570" s="9" t="inlineStr">
        <is>
          <t>NS</t>
        </is>
      </c>
      <c r="N1570" s="3" t="inlineStr">
        <is>
          <t>Cold Soldering</t>
        </is>
      </c>
      <c r="O1570" s="3" t="n">
        <v>570</v>
      </c>
      <c r="P1570" s="9" t="inlineStr">
        <is>
          <t>NSMI24060105598</t>
        </is>
      </c>
      <c r="Q1570" s="54">
        <f>MID(P1570,5,2)</f>
        <v/>
      </c>
      <c r="R1570" s="53">
        <f>MID(P1570,7,2)</f>
        <v/>
      </c>
      <c r="S1570" s="3" t="inlineStr">
        <is>
          <t>G2G</t>
        </is>
      </c>
      <c r="T1570" s="3" t="inlineStr">
        <is>
          <t>P4</t>
        </is>
      </c>
      <c r="U1570" s="3" t="inlineStr">
        <is>
          <t>N JB Cold Soldering</t>
        </is>
      </c>
      <c r="V1570" s="3" t="inlineStr">
        <is>
          <t>Soldering</t>
        </is>
      </c>
      <c r="W1570" s="3" t="inlineStr">
        <is>
          <t>Repair</t>
        </is>
      </c>
      <c r="X1570" s="18" t="n">
        <v>46162</v>
      </c>
      <c r="Y1570" s="73">
        <f>IF(X1570="","",X1570-A1570)</f>
        <v/>
      </c>
      <c r="Z1570" s="18" t="n">
        <v>46162</v>
      </c>
      <c r="AA1570" s="15" t="n"/>
      <c r="AB1570" s="15" t="n"/>
      <c r="AF1570">
        <f>IF(AND($F1570="Closed",$X1570&gt;=DATE(2026,5,1),$X1570&lt;=DATE(2026,5,31)),"Closed in May","Other")</f>
        <v/>
      </c>
    </row>
    <row r="1571">
      <c r="A1571" s="6" t="n">
        <v>46107</v>
      </c>
      <c r="B1571" s="3" t="n">
        <v>2026</v>
      </c>
      <c r="C1571" s="3" t="inlineStr">
        <is>
          <t>Blupine Energy</t>
        </is>
      </c>
      <c r="D1571" s="3" t="inlineStr">
        <is>
          <t>Utility and C&amp;I</t>
        </is>
      </c>
      <c r="E1571" s="3" t="n"/>
      <c r="F1571" s="3" t="inlineStr">
        <is>
          <t>Closed</t>
        </is>
      </c>
      <c r="G1571" s="3" t="inlineStr">
        <is>
          <t>Chandrashekar Patidar</t>
        </is>
      </c>
      <c r="H1571" s="3" t="n">
        <v>7879764773</v>
      </c>
      <c r="I1571" s="11" t="inlineStr">
        <is>
          <t>PE26032601</t>
        </is>
      </c>
      <c r="J1571" s="3" t="inlineStr">
        <is>
          <t>Module Diode Failure</t>
        </is>
      </c>
      <c r="K1571" s="3" t="inlineStr">
        <is>
          <t>Sadla</t>
        </is>
      </c>
      <c r="L1571" s="3" t="inlineStr">
        <is>
          <t>Gujarat</t>
        </is>
      </c>
      <c r="M1571" s="9" t="inlineStr">
        <is>
          <t>NS</t>
        </is>
      </c>
      <c r="N1571" s="3" t="inlineStr">
        <is>
          <t>Cold Soldering</t>
        </is>
      </c>
      <c r="O1571" s="3" t="n">
        <v>570</v>
      </c>
      <c r="P1571" s="9" t="inlineStr">
        <is>
          <t>NSMI24060106708</t>
        </is>
      </c>
      <c r="Q1571" s="54">
        <f>MID(P1571,5,2)</f>
        <v/>
      </c>
      <c r="R1571" s="53">
        <f>MID(P1571,7,2)</f>
        <v/>
      </c>
      <c r="S1571" s="3" t="inlineStr">
        <is>
          <t>G2G</t>
        </is>
      </c>
      <c r="T1571" s="3" t="inlineStr">
        <is>
          <t>P4</t>
        </is>
      </c>
      <c r="U1571" s="3" t="inlineStr">
        <is>
          <t>N JB Cold Soldering</t>
        </is>
      </c>
      <c r="V1571" s="3" t="inlineStr">
        <is>
          <t>Soldering</t>
        </is>
      </c>
      <c r="W1571" s="3" t="inlineStr">
        <is>
          <t>Repair</t>
        </is>
      </c>
      <c r="X1571" s="18" t="n">
        <v>46162</v>
      </c>
      <c r="Y1571" s="73">
        <f>IF(X1571="","",X1571-A1571)</f>
        <v/>
      </c>
      <c r="Z1571" s="18" t="n">
        <v>46162</v>
      </c>
      <c r="AA1571" s="15" t="n"/>
      <c r="AB1571" s="15" t="n"/>
      <c r="AF1571">
        <f>IF(AND($F1571="Closed",$X1571&gt;=DATE(2026,5,1),$X1571&lt;=DATE(2026,5,31)),"Closed in May","Other")</f>
        <v/>
      </c>
    </row>
    <row r="1572">
      <c r="A1572" s="6" t="n">
        <v>46107</v>
      </c>
      <c r="B1572" s="3" t="n">
        <v>2026</v>
      </c>
      <c r="C1572" s="3" t="inlineStr">
        <is>
          <t>Blupine Energy</t>
        </is>
      </c>
      <c r="D1572" s="3" t="inlineStr">
        <is>
          <t>Utility and C&amp;I</t>
        </is>
      </c>
      <c r="E1572" s="3" t="n"/>
      <c r="F1572" s="3" t="inlineStr">
        <is>
          <t>Closed</t>
        </is>
      </c>
      <c r="G1572" s="3" t="inlineStr">
        <is>
          <t>Chandrashekar Patidar</t>
        </is>
      </c>
      <c r="H1572" s="3" t="n">
        <v>7879764773</v>
      </c>
      <c r="I1572" s="11" t="inlineStr">
        <is>
          <t>PE26032601</t>
        </is>
      </c>
      <c r="J1572" s="3" t="inlineStr">
        <is>
          <t>Module Diode Failure</t>
        </is>
      </c>
      <c r="K1572" s="3" t="inlineStr">
        <is>
          <t>Sadla</t>
        </is>
      </c>
      <c r="L1572" s="3" t="inlineStr">
        <is>
          <t>Gujarat</t>
        </is>
      </c>
      <c r="M1572" s="9" t="inlineStr">
        <is>
          <t>NS</t>
        </is>
      </c>
      <c r="N1572" s="3" t="inlineStr">
        <is>
          <t>Cold Soldering</t>
        </is>
      </c>
      <c r="O1572" s="3" t="n">
        <v>570</v>
      </c>
      <c r="P1572" s="9" t="inlineStr">
        <is>
          <t>NSMI24060106719</t>
        </is>
      </c>
      <c r="Q1572" s="54">
        <f>MID(P1572,5,2)</f>
        <v/>
      </c>
      <c r="R1572" s="53">
        <f>MID(P1572,7,2)</f>
        <v/>
      </c>
      <c r="S1572" s="3" t="inlineStr">
        <is>
          <t>G2G</t>
        </is>
      </c>
      <c r="T1572" s="3" t="inlineStr">
        <is>
          <t>P4</t>
        </is>
      </c>
      <c r="U1572" s="3" t="inlineStr">
        <is>
          <t>N JB Cold Soldering</t>
        </is>
      </c>
      <c r="V1572" s="3" t="inlineStr">
        <is>
          <t>Soldering</t>
        </is>
      </c>
      <c r="W1572" s="3" t="inlineStr">
        <is>
          <t>Repair</t>
        </is>
      </c>
      <c r="X1572" s="18" t="n">
        <v>46162</v>
      </c>
      <c r="Y1572" s="73">
        <f>IF(X1572="","",X1572-A1572)</f>
        <v/>
      </c>
      <c r="Z1572" s="18" t="n">
        <v>46162</v>
      </c>
      <c r="AA1572" s="15" t="n"/>
      <c r="AB1572" s="15" t="n"/>
      <c r="AF1572">
        <f>IF(AND($F1572="Closed",$X1572&gt;=DATE(2026,5,1),$X1572&lt;=DATE(2026,5,31)),"Closed in May","Other")</f>
        <v/>
      </c>
    </row>
    <row r="1573">
      <c r="A1573" s="6" t="n">
        <v>46107</v>
      </c>
      <c r="B1573" s="3" t="n">
        <v>2026</v>
      </c>
      <c r="C1573" s="3" t="inlineStr">
        <is>
          <t>Blupine Energy</t>
        </is>
      </c>
      <c r="D1573" s="3" t="inlineStr">
        <is>
          <t>Utility and C&amp;I</t>
        </is>
      </c>
      <c r="E1573" s="3" t="n"/>
      <c r="F1573" s="3" t="inlineStr">
        <is>
          <t>Closed</t>
        </is>
      </c>
      <c r="G1573" s="3" t="inlineStr">
        <is>
          <t>Chandrashekar Patidar</t>
        </is>
      </c>
      <c r="H1573" s="3" t="n">
        <v>7879764773</v>
      </c>
      <c r="I1573" s="11" t="inlineStr">
        <is>
          <t>PE26032601</t>
        </is>
      </c>
      <c r="J1573" s="3" t="inlineStr">
        <is>
          <t>Module Diode Failure</t>
        </is>
      </c>
      <c r="K1573" s="3" t="inlineStr">
        <is>
          <t>Sadla</t>
        </is>
      </c>
      <c r="L1573" s="3" t="inlineStr">
        <is>
          <t>Gujarat</t>
        </is>
      </c>
      <c r="M1573" s="9" t="inlineStr">
        <is>
          <t>PS</t>
        </is>
      </c>
      <c r="N1573" s="3" t="inlineStr">
        <is>
          <t>Cold Soldering</t>
        </is>
      </c>
      <c r="O1573" s="3" t="n">
        <v>570</v>
      </c>
      <c r="P1573" s="9" t="inlineStr">
        <is>
          <t>NSMI24060102519</t>
        </is>
      </c>
      <c r="Q1573" s="54">
        <f>MID(P1573,5,2)</f>
        <v/>
      </c>
      <c r="R1573" s="53">
        <f>MID(P1573,7,2)</f>
        <v/>
      </c>
      <c r="S1573" s="3" t="inlineStr">
        <is>
          <t>G2G</t>
        </is>
      </c>
      <c r="T1573" s="3" t="inlineStr">
        <is>
          <t>P4</t>
        </is>
      </c>
      <c r="U1573" s="3" t="inlineStr">
        <is>
          <t>P JB Cold Soldering</t>
        </is>
      </c>
      <c r="V1573" s="3" t="inlineStr">
        <is>
          <t>Soldering</t>
        </is>
      </c>
      <c r="W1573" s="3" t="inlineStr">
        <is>
          <t>Repair</t>
        </is>
      </c>
      <c r="X1573" s="18" t="n">
        <v>46162</v>
      </c>
      <c r="Y1573" s="73">
        <f>IF(X1573="","",X1573-A1573)</f>
        <v/>
      </c>
      <c r="Z1573" s="18" t="n">
        <v>46162</v>
      </c>
      <c r="AA1573" s="15" t="n"/>
      <c r="AB1573" s="15" t="n"/>
      <c r="AF1573">
        <f>IF(AND($F1573="Closed",$X1573&gt;=DATE(2026,5,1),$X1573&lt;=DATE(2026,5,31)),"Closed in May","Other")</f>
        <v/>
      </c>
    </row>
    <row r="1574">
      <c r="A1574" s="6" t="n">
        <v>46107</v>
      </c>
      <c r="B1574" s="3" t="n">
        <v>2026</v>
      </c>
      <c r="C1574" s="3" t="inlineStr">
        <is>
          <t>Blupine Energy</t>
        </is>
      </c>
      <c r="D1574" s="3" t="inlineStr">
        <is>
          <t>Utility and C&amp;I</t>
        </is>
      </c>
      <c r="E1574" s="3" t="n"/>
      <c r="F1574" s="3" t="inlineStr">
        <is>
          <t>Closed</t>
        </is>
      </c>
      <c r="G1574" s="3" t="inlineStr">
        <is>
          <t>Chandrashekar Patidar</t>
        </is>
      </c>
      <c r="H1574" s="3" t="n">
        <v>7879764773</v>
      </c>
      <c r="I1574" s="11" t="inlineStr">
        <is>
          <t>PE26032601</t>
        </is>
      </c>
      <c r="J1574" s="3" t="inlineStr">
        <is>
          <t>Module Diode Failure</t>
        </is>
      </c>
      <c r="K1574" s="3" t="inlineStr">
        <is>
          <t>Sadla</t>
        </is>
      </c>
      <c r="L1574" s="3" t="inlineStr">
        <is>
          <t>Gujarat</t>
        </is>
      </c>
      <c r="M1574" s="9" t="inlineStr">
        <is>
          <t>OK</t>
        </is>
      </c>
      <c r="N1574" s="3" t="inlineStr">
        <is>
          <t>No Issue</t>
        </is>
      </c>
      <c r="O1574" s="3" t="n">
        <v>570</v>
      </c>
      <c r="P1574" s="9" t="inlineStr">
        <is>
          <t>NSMI24060134579</t>
        </is>
      </c>
      <c r="Q1574" s="54">
        <f>MID(P1574,5,2)</f>
        <v/>
      </c>
      <c r="R1574" s="53">
        <f>MID(P1574,7,2)</f>
        <v/>
      </c>
      <c r="S1574" s="3" t="inlineStr">
        <is>
          <t>G2G</t>
        </is>
      </c>
      <c r="T1574" s="3" t="inlineStr">
        <is>
          <t>P4</t>
        </is>
      </c>
      <c r="U1574" s="19" t="inlineStr">
        <is>
          <t>No Issue Found</t>
        </is>
      </c>
      <c r="V1574" s="19" t="inlineStr">
        <is>
          <t>Found OK</t>
        </is>
      </c>
      <c r="W1574" s="3" t="inlineStr">
        <is>
          <t>Repair</t>
        </is>
      </c>
      <c r="X1574" s="18" t="n">
        <v>46162</v>
      </c>
      <c r="Y1574" s="73">
        <f>IF(X1574="","",X1574-A1574)</f>
        <v/>
      </c>
      <c r="Z1574" s="18" t="n">
        <v>46162</v>
      </c>
      <c r="AA1574" s="15" t="n"/>
      <c r="AB1574" s="15" t="n"/>
      <c r="AF1574">
        <f>IF(AND($F1574="Closed",$X1574&gt;=DATE(2026,5,1),$X1574&lt;=DATE(2026,5,31)),"Closed in May","Other")</f>
        <v/>
      </c>
    </row>
    <row r="1575">
      <c r="A1575" s="6" t="n">
        <v>46107</v>
      </c>
      <c r="B1575" s="3" t="n">
        <v>2026</v>
      </c>
      <c r="C1575" s="3" t="inlineStr">
        <is>
          <t>Blupine Energy</t>
        </is>
      </c>
      <c r="D1575" s="3" t="inlineStr">
        <is>
          <t>Utility and C&amp;I</t>
        </is>
      </c>
      <c r="E1575" s="3" t="n"/>
      <c r="F1575" s="3" t="inlineStr">
        <is>
          <t>Closed</t>
        </is>
      </c>
      <c r="G1575" s="3" t="inlineStr">
        <is>
          <t>Chandrashekar Patidar</t>
        </is>
      </c>
      <c r="H1575" s="3" t="n">
        <v>7879764773</v>
      </c>
      <c r="I1575" s="11" t="inlineStr">
        <is>
          <t>PE26032601</t>
        </is>
      </c>
      <c r="J1575" s="3" t="inlineStr">
        <is>
          <t>Module Diode Failure</t>
        </is>
      </c>
      <c r="K1575" s="3" t="inlineStr">
        <is>
          <t>Sadla</t>
        </is>
      </c>
      <c r="L1575" s="3" t="inlineStr">
        <is>
          <t>Gujarat</t>
        </is>
      </c>
      <c r="M1575" s="9" t="inlineStr">
        <is>
          <t>NS</t>
        </is>
      </c>
      <c r="N1575" s="3" t="inlineStr">
        <is>
          <t>Cold Soldering</t>
        </is>
      </c>
      <c r="O1575" s="3" t="n">
        <v>570</v>
      </c>
      <c r="P1575" s="9" t="inlineStr">
        <is>
          <t>NSMI24060113272</t>
        </is>
      </c>
      <c r="Q1575" s="54">
        <f>MID(P1575,5,2)</f>
        <v/>
      </c>
      <c r="R1575" s="53">
        <f>MID(P1575,7,2)</f>
        <v/>
      </c>
      <c r="S1575" s="3" t="inlineStr">
        <is>
          <t>G2G</t>
        </is>
      </c>
      <c r="T1575" s="3" t="inlineStr">
        <is>
          <t>P4</t>
        </is>
      </c>
      <c r="U1575" s="3" t="inlineStr">
        <is>
          <t>N JB Cold Soldering</t>
        </is>
      </c>
      <c r="V1575" s="3" t="inlineStr">
        <is>
          <t>Soldering</t>
        </is>
      </c>
      <c r="W1575" s="3" t="inlineStr">
        <is>
          <t>Repair</t>
        </is>
      </c>
      <c r="X1575" s="18" t="n">
        <v>46162</v>
      </c>
      <c r="Y1575" s="73">
        <f>IF(X1575="","",X1575-A1575)</f>
        <v/>
      </c>
      <c r="Z1575" s="18" t="n">
        <v>46162</v>
      </c>
      <c r="AA1575" s="15" t="n"/>
      <c r="AB1575" s="15" t="n"/>
      <c r="AF1575">
        <f>IF(AND($F1575="Closed",$X1575&gt;=DATE(2026,5,1),$X1575&lt;=DATE(2026,5,31)),"Closed in May","Other")</f>
        <v/>
      </c>
    </row>
    <row r="1576">
      <c r="A1576" s="6" t="n">
        <v>46107</v>
      </c>
      <c r="B1576" s="3" t="n">
        <v>2026</v>
      </c>
      <c r="C1576" s="3" t="inlineStr">
        <is>
          <t>Blupine Energy</t>
        </is>
      </c>
      <c r="D1576" s="3" t="inlineStr">
        <is>
          <t>Utility and C&amp;I</t>
        </is>
      </c>
      <c r="E1576" s="3" t="n"/>
      <c r="F1576" s="3" t="inlineStr">
        <is>
          <t>Closed</t>
        </is>
      </c>
      <c r="G1576" s="3" t="inlineStr">
        <is>
          <t>Chandrashekar Patidar</t>
        </is>
      </c>
      <c r="H1576" s="3" t="n">
        <v>7879764773</v>
      </c>
      <c r="I1576" s="11" t="inlineStr">
        <is>
          <t>PE26032601</t>
        </is>
      </c>
      <c r="J1576" s="3" t="inlineStr">
        <is>
          <t>Module Diode Failure</t>
        </is>
      </c>
      <c r="K1576" s="3" t="inlineStr">
        <is>
          <t>Sadla</t>
        </is>
      </c>
      <c r="L1576" s="3" t="inlineStr">
        <is>
          <t>Gujarat</t>
        </is>
      </c>
      <c r="M1576" s="9" t="inlineStr">
        <is>
          <t>PR</t>
        </is>
      </c>
      <c r="N1576" s="3" t="inlineStr">
        <is>
          <t>JB Issue</t>
        </is>
      </c>
      <c r="O1576" s="3" t="n">
        <v>570</v>
      </c>
      <c r="P1576" s="9" t="inlineStr">
        <is>
          <t>NSMI24060113429</t>
        </is>
      </c>
      <c r="Q1576" s="54">
        <f>MID(P1576,5,2)</f>
        <v/>
      </c>
      <c r="R1576" s="53">
        <f>MID(P1576,7,2)</f>
        <v/>
      </c>
      <c r="S1576" s="3" t="inlineStr">
        <is>
          <t>G2G</t>
        </is>
      </c>
      <c r="T1576" s="3" t="inlineStr">
        <is>
          <t>P4</t>
        </is>
      </c>
      <c r="U1576" s="3" t="inlineStr">
        <is>
          <t>P JB Issue</t>
        </is>
      </c>
      <c r="V1576" s="15" t="inlineStr">
        <is>
          <t>JB Changed</t>
        </is>
      </c>
      <c r="W1576" s="3" t="inlineStr">
        <is>
          <t>Repair</t>
        </is>
      </c>
      <c r="X1576" s="18" t="n">
        <v>46162</v>
      </c>
      <c r="Y1576" s="73">
        <f>IF(X1576="","",X1576-A1576)</f>
        <v/>
      </c>
      <c r="Z1576" s="18" t="n">
        <v>46162</v>
      </c>
      <c r="AA1576" s="15" t="n"/>
      <c r="AB1576" s="15" t="n"/>
      <c r="AF1576">
        <f>IF(AND($F1576="Closed",$X1576&gt;=DATE(2026,5,1),$X1576&lt;=DATE(2026,5,31)),"Closed in May","Other")</f>
        <v/>
      </c>
    </row>
    <row r="1577">
      <c r="A1577" s="6" t="n">
        <v>46107</v>
      </c>
      <c r="B1577" s="3" t="n">
        <v>2026</v>
      </c>
      <c r="C1577" s="3" t="inlineStr">
        <is>
          <t>Blupine Energy</t>
        </is>
      </c>
      <c r="D1577" s="3" t="inlineStr">
        <is>
          <t>Utility and C&amp;I</t>
        </is>
      </c>
      <c r="E1577" s="3" t="n"/>
      <c r="F1577" s="3" t="inlineStr">
        <is>
          <t>Closed</t>
        </is>
      </c>
      <c r="G1577" s="3" t="inlineStr">
        <is>
          <t>Chandrashekar Patidar</t>
        </is>
      </c>
      <c r="H1577" s="3" t="n">
        <v>7879764773</v>
      </c>
      <c r="I1577" s="11" t="inlineStr">
        <is>
          <t>PE26032601</t>
        </is>
      </c>
      <c r="J1577" s="3" t="inlineStr">
        <is>
          <t>Module Diode Failure</t>
        </is>
      </c>
      <c r="K1577" s="3" t="inlineStr">
        <is>
          <t>Sadla</t>
        </is>
      </c>
      <c r="L1577" s="3" t="inlineStr">
        <is>
          <t>Gujarat</t>
        </is>
      </c>
      <c r="M1577" s="9" t="inlineStr">
        <is>
          <t>PR</t>
        </is>
      </c>
      <c r="N1577" s="3" t="inlineStr">
        <is>
          <t>JB Issue</t>
        </is>
      </c>
      <c r="O1577" s="3" t="n">
        <v>570</v>
      </c>
      <c r="P1577" s="9" t="inlineStr">
        <is>
          <t>NSMI24050061573</t>
        </is>
      </c>
      <c r="Q1577" s="54">
        <f>MID(P1577,5,2)</f>
        <v/>
      </c>
      <c r="R1577" s="53">
        <f>MID(P1577,7,2)</f>
        <v/>
      </c>
      <c r="S1577" s="3" t="inlineStr">
        <is>
          <t>G2G</t>
        </is>
      </c>
      <c r="T1577" s="3" t="inlineStr">
        <is>
          <t>P4</t>
        </is>
      </c>
      <c r="U1577" s="3" t="inlineStr">
        <is>
          <t>P JB Issue</t>
        </is>
      </c>
      <c r="V1577" s="15" t="inlineStr">
        <is>
          <t>JB Changed</t>
        </is>
      </c>
      <c r="W1577" s="3" t="inlineStr">
        <is>
          <t>Repair</t>
        </is>
      </c>
      <c r="X1577" s="18" t="n">
        <v>46162</v>
      </c>
      <c r="Y1577" s="73">
        <f>IF(X1577="","",X1577-A1577)</f>
        <v/>
      </c>
      <c r="Z1577" s="18" t="n">
        <v>46162</v>
      </c>
      <c r="AA1577" s="15" t="n"/>
      <c r="AB1577" s="15" t="n"/>
      <c r="AF1577">
        <f>IF(AND($F1577="Closed",$X1577&gt;=DATE(2026,5,1),$X1577&lt;=DATE(2026,5,31)),"Closed in May","Other")</f>
        <v/>
      </c>
    </row>
    <row r="1578">
      <c r="A1578" s="6" t="n">
        <v>46107</v>
      </c>
      <c r="B1578" s="3" t="n">
        <v>2026</v>
      </c>
      <c r="C1578" s="3" t="inlineStr">
        <is>
          <t>Blupine Energy</t>
        </is>
      </c>
      <c r="D1578" s="3" t="inlineStr">
        <is>
          <t>Utility and C&amp;I</t>
        </is>
      </c>
      <c r="E1578" s="3" t="n"/>
      <c r="F1578" s="3" t="inlineStr">
        <is>
          <t>Closed</t>
        </is>
      </c>
      <c r="G1578" s="3" t="inlineStr">
        <is>
          <t>Chandrashekar Patidar</t>
        </is>
      </c>
      <c r="H1578" s="3" t="n">
        <v>7879764773</v>
      </c>
      <c r="I1578" s="11" t="inlineStr">
        <is>
          <t>PE26032601</t>
        </is>
      </c>
      <c r="J1578" s="3" t="inlineStr">
        <is>
          <t>Module Diode Failure</t>
        </is>
      </c>
      <c r="K1578" s="3" t="inlineStr">
        <is>
          <t>Sadla</t>
        </is>
      </c>
      <c r="L1578" s="3" t="inlineStr">
        <is>
          <t>Gujarat</t>
        </is>
      </c>
      <c r="M1578" s="9" t="inlineStr">
        <is>
          <t>NS</t>
        </is>
      </c>
      <c r="N1578" s="3" t="inlineStr">
        <is>
          <t>Cold Soldering</t>
        </is>
      </c>
      <c r="O1578" s="3" t="n">
        <v>570</v>
      </c>
      <c r="P1578" s="9" t="inlineStr">
        <is>
          <t>NSMI24060132410</t>
        </is>
      </c>
      <c r="Q1578" s="54">
        <f>MID(P1578,5,2)</f>
        <v/>
      </c>
      <c r="R1578" s="53">
        <f>MID(P1578,7,2)</f>
        <v/>
      </c>
      <c r="S1578" s="3" t="inlineStr">
        <is>
          <t>G2G</t>
        </is>
      </c>
      <c r="T1578" s="3" t="inlineStr">
        <is>
          <t>P4</t>
        </is>
      </c>
      <c r="U1578" s="3" t="inlineStr">
        <is>
          <t>N JB Cold Soldering</t>
        </is>
      </c>
      <c r="V1578" s="3" t="inlineStr">
        <is>
          <t>Soldering</t>
        </is>
      </c>
      <c r="W1578" s="3" t="inlineStr">
        <is>
          <t>Repair</t>
        </is>
      </c>
      <c r="X1578" s="18" t="n">
        <v>46162</v>
      </c>
      <c r="Y1578" s="73">
        <f>IF(X1578="","",X1578-A1578)</f>
        <v/>
      </c>
      <c r="Z1578" s="18" t="n">
        <v>46162</v>
      </c>
      <c r="AA1578" s="15" t="n"/>
      <c r="AB1578" s="15" t="n"/>
      <c r="AF1578">
        <f>IF(AND($F1578="Closed",$X1578&gt;=DATE(2026,5,1),$X1578&lt;=DATE(2026,5,31)),"Closed in May","Other")</f>
        <v/>
      </c>
    </row>
    <row r="1579">
      <c r="A1579" s="6" t="n">
        <v>46107</v>
      </c>
      <c r="B1579" s="3" t="n">
        <v>2026</v>
      </c>
      <c r="C1579" s="3" t="inlineStr">
        <is>
          <t>Blupine Energy</t>
        </is>
      </c>
      <c r="D1579" s="3" t="inlineStr">
        <is>
          <t>Utility and C&amp;I</t>
        </is>
      </c>
      <c r="E1579" s="3" t="n"/>
      <c r="F1579" s="3" t="inlineStr">
        <is>
          <t>Closed</t>
        </is>
      </c>
      <c r="G1579" s="3" t="inlineStr">
        <is>
          <t>Chandrashekar Patidar</t>
        </is>
      </c>
      <c r="H1579" s="3" t="n">
        <v>7879764773</v>
      </c>
      <c r="I1579" s="11" t="inlineStr">
        <is>
          <t>PE26032601</t>
        </is>
      </c>
      <c r="J1579" s="3" t="inlineStr">
        <is>
          <t>Module Diode Failure</t>
        </is>
      </c>
      <c r="K1579" s="3" t="inlineStr">
        <is>
          <t>Sadla</t>
        </is>
      </c>
      <c r="L1579" s="3" t="inlineStr">
        <is>
          <t>Gujarat</t>
        </is>
      </c>
      <c r="M1579" s="9" t="inlineStr">
        <is>
          <t>PS</t>
        </is>
      </c>
      <c r="N1579" s="3" t="inlineStr">
        <is>
          <t>Cold Soldering</t>
        </is>
      </c>
      <c r="O1579" s="3" t="n">
        <v>570</v>
      </c>
      <c r="P1579" s="9" t="inlineStr">
        <is>
          <t>NSMI24060124944</t>
        </is>
      </c>
      <c r="Q1579" s="54">
        <f>MID(P1579,5,2)</f>
        <v/>
      </c>
      <c r="R1579" s="53">
        <f>MID(P1579,7,2)</f>
        <v/>
      </c>
      <c r="S1579" s="3" t="inlineStr">
        <is>
          <t>G2G</t>
        </is>
      </c>
      <c r="T1579" s="3" t="inlineStr">
        <is>
          <t>P4</t>
        </is>
      </c>
      <c r="U1579" s="3" t="inlineStr">
        <is>
          <t>P JB Cold Soldering</t>
        </is>
      </c>
      <c r="V1579" s="3" t="inlineStr">
        <is>
          <t>Soldering</t>
        </is>
      </c>
      <c r="W1579" s="3" t="inlineStr">
        <is>
          <t>Repair</t>
        </is>
      </c>
      <c r="X1579" s="18" t="n">
        <v>46162</v>
      </c>
      <c r="Y1579" s="73">
        <f>IF(X1579="","",X1579-A1579)</f>
        <v/>
      </c>
      <c r="Z1579" s="18" t="n">
        <v>46162</v>
      </c>
      <c r="AA1579" s="15" t="n"/>
      <c r="AB1579" s="15" t="n"/>
      <c r="AF1579">
        <f>IF(AND($F1579="Closed",$X1579&gt;=DATE(2026,5,1),$X1579&lt;=DATE(2026,5,31)),"Closed in May","Other")</f>
        <v/>
      </c>
    </row>
    <row r="1580">
      <c r="A1580" s="6" t="n">
        <v>46107</v>
      </c>
      <c r="B1580" s="3" t="n">
        <v>2026</v>
      </c>
      <c r="C1580" s="3" t="inlineStr">
        <is>
          <t>Blupine Energy</t>
        </is>
      </c>
      <c r="D1580" s="3" t="inlineStr">
        <is>
          <t>Utility and C&amp;I</t>
        </is>
      </c>
      <c r="E1580" s="3" t="n"/>
      <c r="F1580" s="3" t="inlineStr">
        <is>
          <t>Closed</t>
        </is>
      </c>
      <c r="G1580" s="3" t="inlineStr">
        <is>
          <t>Chandrashekar Patidar</t>
        </is>
      </c>
      <c r="H1580" s="3" t="n">
        <v>7879764773</v>
      </c>
      <c r="I1580" s="11" t="inlineStr">
        <is>
          <t>PE26032601</t>
        </is>
      </c>
      <c r="J1580" s="3" t="inlineStr">
        <is>
          <t>Module Diode Failure</t>
        </is>
      </c>
      <c r="K1580" s="3" t="inlineStr">
        <is>
          <t>Sadla</t>
        </is>
      </c>
      <c r="L1580" s="3" t="inlineStr">
        <is>
          <t>Gujarat</t>
        </is>
      </c>
      <c r="M1580" s="9" t="inlineStr">
        <is>
          <t>OK</t>
        </is>
      </c>
      <c r="N1580" s="3" t="inlineStr">
        <is>
          <t>No Issue</t>
        </is>
      </c>
      <c r="O1580" s="3" t="n">
        <v>570</v>
      </c>
      <c r="P1580" s="9" t="inlineStr">
        <is>
          <t>NSMI24060134480</t>
        </is>
      </c>
      <c r="Q1580" s="54">
        <f>MID(P1580,5,2)</f>
        <v/>
      </c>
      <c r="R1580" s="53">
        <f>MID(P1580,7,2)</f>
        <v/>
      </c>
      <c r="S1580" s="3" t="inlineStr">
        <is>
          <t>G2G</t>
        </is>
      </c>
      <c r="T1580" s="3" t="inlineStr">
        <is>
          <t>P4</t>
        </is>
      </c>
      <c r="U1580" s="19" t="inlineStr">
        <is>
          <t>No Issue Found</t>
        </is>
      </c>
      <c r="V1580" s="19" t="inlineStr">
        <is>
          <t>Found OK</t>
        </is>
      </c>
      <c r="W1580" s="3" t="inlineStr">
        <is>
          <t>Repair</t>
        </is>
      </c>
      <c r="X1580" s="18" t="n">
        <v>46162</v>
      </c>
      <c r="Y1580" s="73">
        <f>IF(X1580="","",X1580-A1580)</f>
        <v/>
      </c>
      <c r="Z1580" s="18" t="n">
        <v>46162</v>
      </c>
      <c r="AA1580" s="15" t="n"/>
      <c r="AB1580" s="15" t="n"/>
      <c r="AF1580">
        <f>IF(AND($F1580="Closed",$X1580&gt;=DATE(2026,5,1),$X1580&lt;=DATE(2026,5,31)),"Closed in May","Other")</f>
        <v/>
      </c>
    </row>
    <row r="1581">
      <c r="A1581" s="6" t="n">
        <v>46107</v>
      </c>
      <c r="B1581" s="3" t="n">
        <v>2026</v>
      </c>
      <c r="C1581" s="3" t="inlineStr">
        <is>
          <t>Blupine Energy</t>
        </is>
      </c>
      <c r="D1581" s="3" t="inlineStr">
        <is>
          <t>Utility and C&amp;I</t>
        </is>
      </c>
      <c r="E1581" s="3" t="n"/>
      <c r="F1581" s="3" t="inlineStr">
        <is>
          <t>Closed</t>
        </is>
      </c>
      <c r="G1581" s="3" t="inlineStr">
        <is>
          <t>Chandrashekar Patidar</t>
        </is>
      </c>
      <c r="H1581" s="3" t="n">
        <v>7879764773</v>
      </c>
      <c r="I1581" s="11" t="inlineStr">
        <is>
          <t>PE26032601</t>
        </is>
      </c>
      <c r="J1581" s="3" t="inlineStr">
        <is>
          <t>Module Diode Failure</t>
        </is>
      </c>
      <c r="K1581" s="3" t="inlineStr">
        <is>
          <t>Sadla</t>
        </is>
      </c>
      <c r="L1581" s="3" t="inlineStr">
        <is>
          <t>Gujarat</t>
        </is>
      </c>
      <c r="M1581" s="9" t="inlineStr">
        <is>
          <t>NS</t>
        </is>
      </c>
      <c r="N1581" s="3" t="inlineStr">
        <is>
          <t>Cold Soldering</t>
        </is>
      </c>
      <c r="O1581" s="3" t="n">
        <v>570</v>
      </c>
      <c r="P1581" s="9" t="inlineStr">
        <is>
          <t>NSMI24060123051</t>
        </is>
      </c>
      <c r="Q1581" s="54">
        <f>MID(P1581,5,2)</f>
        <v/>
      </c>
      <c r="R1581" s="53">
        <f>MID(P1581,7,2)</f>
        <v/>
      </c>
      <c r="S1581" s="3" t="inlineStr">
        <is>
          <t>G2G</t>
        </is>
      </c>
      <c r="T1581" s="3" t="inlineStr">
        <is>
          <t>P4</t>
        </is>
      </c>
      <c r="U1581" s="3" t="inlineStr">
        <is>
          <t>N JB Cold Soldering</t>
        </is>
      </c>
      <c r="V1581" s="3" t="inlineStr">
        <is>
          <t>Soldering</t>
        </is>
      </c>
      <c r="W1581" s="3" t="inlineStr">
        <is>
          <t>Repair</t>
        </is>
      </c>
      <c r="X1581" s="18" t="n">
        <v>46162</v>
      </c>
      <c r="Y1581" s="73">
        <f>IF(X1581="","",X1581-A1581)</f>
        <v/>
      </c>
      <c r="Z1581" s="18" t="n">
        <v>46162</v>
      </c>
      <c r="AA1581" s="15" t="n"/>
      <c r="AB1581" s="15" t="n"/>
      <c r="AF1581">
        <f>IF(AND($F1581="Closed",$X1581&gt;=DATE(2026,5,1),$X1581&lt;=DATE(2026,5,31)),"Closed in May","Other")</f>
        <v/>
      </c>
    </row>
    <row r="1582">
      <c r="A1582" s="6" t="n">
        <v>46107</v>
      </c>
      <c r="B1582" s="3" t="n">
        <v>2026</v>
      </c>
      <c r="C1582" s="3" t="inlineStr">
        <is>
          <t>Blupine Energy</t>
        </is>
      </c>
      <c r="D1582" s="3" t="inlineStr">
        <is>
          <t>Utility and C&amp;I</t>
        </is>
      </c>
      <c r="E1582" s="3" t="n"/>
      <c r="F1582" s="3" t="inlineStr">
        <is>
          <t>Closed</t>
        </is>
      </c>
      <c r="G1582" s="3" t="inlineStr">
        <is>
          <t>Chandrashekar Patidar</t>
        </is>
      </c>
      <c r="H1582" s="3" t="n">
        <v>7879764773</v>
      </c>
      <c r="I1582" s="11" t="inlineStr">
        <is>
          <t>PE26032601</t>
        </is>
      </c>
      <c r="J1582" s="3" t="inlineStr">
        <is>
          <t>Module Diode Failure</t>
        </is>
      </c>
      <c r="K1582" s="3" t="inlineStr">
        <is>
          <t>Sadla</t>
        </is>
      </c>
      <c r="L1582" s="3" t="inlineStr">
        <is>
          <t>Gujarat</t>
        </is>
      </c>
      <c r="M1582" s="9" t="inlineStr">
        <is>
          <t>PS</t>
        </is>
      </c>
      <c r="N1582" s="3" t="inlineStr">
        <is>
          <t>Cold Soldering</t>
        </is>
      </c>
      <c r="O1582" s="3" t="n">
        <v>570</v>
      </c>
      <c r="P1582" s="9" t="inlineStr">
        <is>
          <t>NSMI24060127360</t>
        </is>
      </c>
      <c r="Q1582" s="54">
        <f>MID(P1582,5,2)</f>
        <v/>
      </c>
      <c r="R1582" s="53">
        <f>MID(P1582,7,2)</f>
        <v/>
      </c>
      <c r="S1582" s="3" t="inlineStr">
        <is>
          <t>G2G</t>
        </is>
      </c>
      <c r="T1582" s="3" t="inlineStr">
        <is>
          <t>P4</t>
        </is>
      </c>
      <c r="U1582" s="3" t="inlineStr">
        <is>
          <t>P JB Cold Soldering</t>
        </is>
      </c>
      <c r="V1582" s="3" t="inlineStr">
        <is>
          <t>Soldering</t>
        </is>
      </c>
      <c r="W1582" s="3" t="inlineStr">
        <is>
          <t>Repair</t>
        </is>
      </c>
      <c r="X1582" s="18" t="n">
        <v>46162</v>
      </c>
      <c r="Y1582" s="73">
        <f>IF(X1582="","",X1582-A1582)</f>
        <v/>
      </c>
      <c r="Z1582" s="18" t="n">
        <v>46162</v>
      </c>
      <c r="AA1582" s="15" t="n"/>
      <c r="AB1582" s="15" t="n"/>
      <c r="AF1582">
        <f>IF(AND($F1582="Closed",$X1582&gt;=DATE(2026,5,1),$X1582&lt;=DATE(2026,5,31)),"Closed in May","Other")</f>
        <v/>
      </c>
    </row>
    <row r="1583">
      <c r="A1583" s="6" t="n">
        <v>46107</v>
      </c>
      <c r="B1583" s="3" t="n">
        <v>2026</v>
      </c>
      <c r="C1583" s="3" t="inlineStr">
        <is>
          <t>Blupine Energy</t>
        </is>
      </c>
      <c r="D1583" s="3" t="inlineStr">
        <is>
          <t>Utility and C&amp;I</t>
        </is>
      </c>
      <c r="E1583" s="3" t="n"/>
      <c r="F1583" s="3" t="inlineStr">
        <is>
          <t>Closed</t>
        </is>
      </c>
      <c r="G1583" s="3" t="inlineStr">
        <is>
          <t>Chandrashekar Patidar</t>
        </is>
      </c>
      <c r="H1583" s="3" t="n">
        <v>7879764773</v>
      </c>
      <c r="I1583" s="11" t="inlineStr">
        <is>
          <t>PE26032601</t>
        </is>
      </c>
      <c r="J1583" s="3" t="inlineStr">
        <is>
          <t>Module Diode Failure</t>
        </is>
      </c>
      <c r="K1583" s="3" t="inlineStr">
        <is>
          <t>Sadla</t>
        </is>
      </c>
      <c r="L1583" s="3" t="inlineStr">
        <is>
          <t>Gujarat</t>
        </is>
      </c>
      <c r="M1583" s="9" t="inlineStr">
        <is>
          <t>PS</t>
        </is>
      </c>
      <c r="N1583" s="3" t="inlineStr">
        <is>
          <t>Cold Soldering</t>
        </is>
      </c>
      <c r="O1583" s="3" t="n">
        <v>570</v>
      </c>
      <c r="P1583" s="9" t="inlineStr">
        <is>
          <t>NSMI24060120467</t>
        </is>
      </c>
      <c r="Q1583" s="54">
        <f>MID(P1583,5,2)</f>
        <v/>
      </c>
      <c r="R1583" s="53">
        <f>MID(P1583,7,2)</f>
        <v/>
      </c>
      <c r="S1583" s="3" t="inlineStr">
        <is>
          <t>G2G</t>
        </is>
      </c>
      <c r="T1583" s="3" t="inlineStr">
        <is>
          <t>P4</t>
        </is>
      </c>
      <c r="U1583" s="3" t="inlineStr">
        <is>
          <t>P JB Cold Soldering</t>
        </is>
      </c>
      <c r="V1583" s="3" t="inlineStr">
        <is>
          <t>Soldering</t>
        </is>
      </c>
      <c r="W1583" s="3" t="inlineStr">
        <is>
          <t>Repair</t>
        </is>
      </c>
      <c r="X1583" s="18" t="n">
        <v>46162</v>
      </c>
      <c r="Y1583" s="73">
        <f>IF(X1583="","",X1583-A1583)</f>
        <v/>
      </c>
      <c r="Z1583" s="18" t="n">
        <v>46162</v>
      </c>
      <c r="AA1583" s="15" t="n"/>
      <c r="AB1583" s="15" t="n"/>
      <c r="AF1583">
        <f>IF(AND($F1583="Closed",$X1583&gt;=DATE(2026,5,1),$X1583&lt;=DATE(2026,5,31)),"Closed in May","Other")</f>
        <v/>
      </c>
    </row>
    <row r="1584">
      <c r="A1584" s="6" t="n">
        <v>46107</v>
      </c>
      <c r="B1584" s="3" t="n">
        <v>2026</v>
      </c>
      <c r="C1584" s="3" t="inlineStr">
        <is>
          <t>Blupine Energy</t>
        </is>
      </c>
      <c r="D1584" s="3" t="inlineStr">
        <is>
          <t>Utility and C&amp;I</t>
        </is>
      </c>
      <c r="E1584" s="3" t="n"/>
      <c r="F1584" s="3" t="inlineStr">
        <is>
          <t>Closed</t>
        </is>
      </c>
      <c r="G1584" s="3" t="inlineStr">
        <is>
          <t>Chandrashekar Patidar</t>
        </is>
      </c>
      <c r="H1584" s="3" t="n">
        <v>7879764773</v>
      </c>
      <c r="I1584" s="11" t="inlineStr">
        <is>
          <t>PE26032601</t>
        </is>
      </c>
      <c r="J1584" s="3" t="inlineStr">
        <is>
          <t>Module Diode Failure</t>
        </is>
      </c>
      <c r="K1584" s="3" t="inlineStr">
        <is>
          <t>Sadla</t>
        </is>
      </c>
      <c r="L1584" s="3" t="inlineStr">
        <is>
          <t>Gujarat</t>
        </is>
      </c>
      <c r="M1584" s="9" t="inlineStr">
        <is>
          <t>PR</t>
        </is>
      </c>
      <c r="N1584" s="3" t="inlineStr">
        <is>
          <t>JB Issue</t>
        </is>
      </c>
      <c r="O1584" s="3" t="n">
        <v>570</v>
      </c>
      <c r="P1584" s="9" t="inlineStr">
        <is>
          <t>NSMI24060104854</t>
        </is>
      </c>
      <c r="Q1584" s="54">
        <f>MID(P1584,5,2)</f>
        <v/>
      </c>
      <c r="R1584" s="53">
        <f>MID(P1584,7,2)</f>
        <v/>
      </c>
      <c r="S1584" s="3" t="inlineStr">
        <is>
          <t>G2G</t>
        </is>
      </c>
      <c r="T1584" s="3" t="inlineStr">
        <is>
          <t>P4</t>
        </is>
      </c>
      <c r="U1584" s="3" t="inlineStr">
        <is>
          <t>P JB Issue</t>
        </is>
      </c>
      <c r="V1584" s="15" t="inlineStr">
        <is>
          <t>JB Changed</t>
        </is>
      </c>
      <c r="W1584" s="3" t="inlineStr">
        <is>
          <t>Repair</t>
        </is>
      </c>
      <c r="X1584" s="18" t="n">
        <v>46162</v>
      </c>
      <c r="Y1584" s="73">
        <f>IF(X1584="","",X1584-A1584)</f>
        <v/>
      </c>
      <c r="Z1584" s="18" t="n">
        <v>46162</v>
      </c>
      <c r="AA1584" s="15" t="n"/>
      <c r="AB1584" s="15" t="n"/>
      <c r="AF1584">
        <f>IF(AND($F1584="Closed",$X1584&gt;=DATE(2026,5,1),$X1584&lt;=DATE(2026,5,31)),"Closed in May","Other")</f>
        <v/>
      </c>
    </row>
    <row r="1585">
      <c r="A1585" s="6" t="n">
        <v>46107</v>
      </c>
      <c r="B1585" s="3" t="n">
        <v>2026</v>
      </c>
      <c r="C1585" s="3" t="inlineStr">
        <is>
          <t>Blupine Energy</t>
        </is>
      </c>
      <c r="D1585" s="3" t="inlineStr">
        <is>
          <t>Utility and C&amp;I</t>
        </is>
      </c>
      <c r="E1585" s="3" t="n"/>
      <c r="F1585" s="3" t="inlineStr">
        <is>
          <t>Closed</t>
        </is>
      </c>
      <c r="G1585" s="3" t="inlineStr">
        <is>
          <t>Chandrashekar Patidar</t>
        </is>
      </c>
      <c r="H1585" s="3" t="n">
        <v>7879764773</v>
      </c>
      <c r="I1585" s="11" t="inlineStr">
        <is>
          <t>PE26032601</t>
        </is>
      </c>
      <c r="J1585" s="3" t="inlineStr">
        <is>
          <t>Module Diode Failure</t>
        </is>
      </c>
      <c r="K1585" s="3" t="inlineStr">
        <is>
          <t>Sadla</t>
        </is>
      </c>
      <c r="L1585" s="3" t="inlineStr">
        <is>
          <t>Gujarat</t>
        </is>
      </c>
      <c r="M1585" s="9" t="inlineStr">
        <is>
          <t>NS</t>
        </is>
      </c>
      <c r="N1585" s="3" t="inlineStr">
        <is>
          <t>Cold Soldering</t>
        </is>
      </c>
      <c r="O1585" s="3" t="n">
        <v>570</v>
      </c>
      <c r="P1585" s="9" t="inlineStr">
        <is>
          <t>NSMI24060132819</t>
        </is>
      </c>
      <c r="Q1585" s="54">
        <f>MID(P1585,5,2)</f>
        <v/>
      </c>
      <c r="R1585" s="53">
        <f>MID(P1585,7,2)</f>
        <v/>
      </c>
      <c r="S1585" s="3" t="inlineStr">
        <is>
          <t>G2G</t>
        </is>
      </c>
      <c r="T1585" s="3" t="inlineStr">
        <is>
          <t>P4</t>
        </is>
      </c>
      <c r="U1585" s="3" t="inlineStr">
        <is>
          <t>N JB Cold Soldering</t>
        </is>
      </c>
      <c r="V1585" s="3" t="inlineStr">
        <is>
          <t>Soldering</t>
        </is>
      </c>
      <c r="W1585" s="3" t="inlineStr">
        <is>
          <t>Repair</t>
        </is>
      </c>
      <c r="X1585" s="18" t="n">
        <v>46162</v>
      </c>
      <c r="Y1585" s="73">
        <f>IF(X1585="","",X1585-A1585)</f>
        <v/>
      </c>
      <c r="Z1585" s="18" t="n">
        <v>46162</v>
      </c>
      <c r="AA1585" s="15" t="n"/>
      <c r="AB1585" s="15" t="n"/>
      <c r="AF1585">
        <f>IF(AND($F1585="Closed",$X1585&gt;=DATE(2026,5,1),$X1585&lt;=DATE(2026,5,31)),"Closed in May","Other")</f>
        <v/>
      </c>
    </row>
    <row r="1586">
      <c r="A1586" s="6" t="n">
        <v>46107</v>
      </c>
      <c r="B1586" s="3" t="n">
        <v>2026</v>
      </c>
      <c r="C1586" s="3" t="inlineStr">
        <is>
          <t>Blupine Energy</t>
        </is>
      </c>
      <c r="D1586" s="3" t="inlineStr">
        <is>
          <t>Utility and C&amp;I</t>
        </is>
      </c>
      <c r="E1586" s="3" t="n"/>
      <c r="F1586" s="3" t="inlineStr">
        <is>
          <t>Closed</t>
        </is>
      </c>
      <c r="G1586" s="3" t="inlineStr">
        <is>
          <t>Chandrashekar Patidar</t>
        </is>
      </c>
      <c r="H1586" s="3" t="n">
        <v>7879764773</v>
      </c>
      <c r="I1586" s="11" t="inlineStr">
        <is>
          <t>PE26032601</t>
        </is>
      </c>
      <c r="J1586" s="3" t="inlineStr">
        <is>
          <t>Module Diode Failure</t>
        </is>
      </c>
      <c r="K1586" s="3" t="inlineStr">
        <is>
          <t>Sadla</t>
        </is>
      </c>
      <c r="L1586" s="3" t="inlineStr">
        <is>
          <t>Gujarat</t>
        </is>
      </c>
      <c r="M1586" s="9" t="inlineStr">
        <is>
          <t>NS</t>
        </is>
      </c>
      <c r="N1586" s="3" t="inlineStr">
        <is>
          <t>Cold Soldering</t>
        </is>
      </c>
      <c r="O1586" s="3" t="n">
        <v>570</v>
      </c>
      <c r="P1586" s="9" t="inlineStr">
        <is>
          <t>NSMI24050057169</t>
        </is>
      </c>
      <c r="Q1586" s="54">
        <f>MID(P1586,5,2)</f>
        <v/>
      </c>
      <c r="R1586" s="53">
        <f>MID(P1586,7,2)</f>
        <v/>
      </c>
      <c r="S1586" s="3" t="inlineStr">
        <is>
          <t>G2G</t>
        </is>
      </c>
      <c r="T1586" s="3" t="inlineStr">
        <is>
          <t>P4</t>
        </is>
      </c>
      <c r="U1586" s="3" t="inlineStr">
        <is>
          <t>N JB Cold Soldering</t>
        </is>
      </c>
      <c r="V1586" s="3" t="inlineStr">
        <is>
          <t>Soldering</t>
        </is>
      </c>
      <c r="W1586" s="3" t="inlineStr">
        <is>
          <t>Repair</t>
        </is>
      </c>
      <c r="X1586" s="18" t="n">
        <v>46162</v>
      </c>
      <c r="Y1586" s="73">
        <f>IF(X1586="","",X1586-A1586)</f>
        <v/>
      </c>
      <c r="Z1586" s="18" t="n">
        <v>46162</v>
      </c>
      <c r="AA1586" s="15" t="n"/>
      <c r="AB1586" s="15" t="n"/>
      <c r="AF1586">
        <f>IF(AND($F1586="Closed",$X1586&gt;=DATE(2026,5,1),$X1586&lt;=DATE(2026,5,31)),"Closed in May","Other")</f>
        <v/>
      </c>
    </row>
    <row r="1587">
      <c r="A1587" s="6" t="n">
        <v>46107</v>
      </c>
      <c r="B1587" s="3" t="n">
        <v>2026</v>
      </c>
      <c r="C1587" s="3" t="inlineStr">
        <is>
          <t>Blupine Energy</t>
        </is>
      </c>
      <c r="D1587" s="3" t="inlineStr">
        <is>
          <t>Utility and C&amp;I</t>
        </is>
      </c>
      <c r="E1587" s="3" t="n"/>
      <c r="F1587" s="3" t="inlineStr">
        <is>
          <t>Closed</t>
        </is>
      </c>
      <c r="G1587" s="3" t="inlineStr">
        <is>
          <t>Chandrashekar Patidar</t>
        </is>
      </c>
      <c r="H1587" s="3" t="n">
        <v>7879764773</v>
      </c>
      <c r="I1587" s="11" t="inlineStr">
        <is>
          <t>PE26032601</t>
        </is>
      </c>
      <c r="J1587" s="3" t="inlineStr">
        <is>
          <t>Module Diode Failure</t>
        </is>
      </c>
      <c r="K1587" s="3" t="inlineStr">
        <is>
          <t>Sadla</t>
        </is>
      </c>
      <c r="L1587" s="3" t="inlineStr">
        <is>
          <t>Gujarat</t>
        </is>
      </c>
      <c r="M1587" s="9" t="inlineStr">
        <is>
          <t>NS</t>
        </is>
      </c>
      <c r="N1587" s="3" t="inlineStr">
        <is>
          <t>Cold Soldering</t>
        </is>
      </c>
      <c r="O1587" s="3" t="n">
        <v>570</v>
      </c>
      <c r="P1587" s="9" t="inlineStr">
        <is>
          <t>NSMI24060108942</t>
        </is>
      </c>
      <c r="Q1587" s="54">
        <f>MID(P1587,5,2)</f>
        <v/>
      </c>
      <c r="R1587" s="53">
        <f>MID(P1587,7,2)</f>
        <v/>
      </c>
      <c r="S1587" s="3" t="inlineStr">
        <is>
          <t>G2G</t>
        </is>
      </c>
      <c r="T1587" s="3" t="inlineStr">
        <is>
          <t>P4</t>
        </is>
      </c>
      <c r="U1587" s="3" t="inlineStr">
        <is>
          <t>N JB Cold Soldering</t>
        </is>
      </c>
      <c r="V1587" s="3" t="inlineStr">
        <is>
          <t>Soldering</t>
        </is>
      </c>
      <c r="W1587" s="3" t="inlineStr">
        <is>
          <t>Repair</t>
        </is>
      </c>
      <c r="X1587" s="18" t="n">
        <v>46162</v>
      </c>
      <c r="Y1587" s="73">
        <f>IF(X1587="","",X1587-A1587)</f>
        <v/>
      </c>
      <c r="Z1587" s="18" t="n">
        <v>46162</v>
      </c>
      <c r="AA1587" s="15" t="n"/>
      <c r="AB1587" s="15" t="n"/>
      <c r="AF1587">
        <f>IF(AND($F1587="Closed",$X1587&gt;=DATE(2026,5,1),$X1587&lt;=DATE(2026,5,31)),"Closed in May","Other")</f>
        <v/>
      </c>
    </row>
    <row r="1588">
      <c r="A1588" s="6" t="n">
        <v>46107</v>
      </c>
      <c r="B1588" s="3" t="n">
        <v>2026</v>
      </c>
      <c r="C1588" s="3" t="inlineStr">
        <is>
          <t>Blupine Energy</t>
        </is>
      </c>
      <c r="D1588" s="3" t="inlineStr">
        <is>
          <t>Utility and C&amp;I</t>
        </is>
      </c>
      <c r="E1588" s="3" t="n"/>
      <c r="F1588" s="3" t="inlineStr">
        <is>
          <t>Closed</t>
        </is>
      </c>
      <c r="G1588" s="3" t="inlineStr">
        <is>
          <t>Chandrashekar Patidar</t>
        </is>
      </c>
      <c r="H1588" s="3" t="n">
        <v>7879764773</v>
      </c>
      <c r="I1588" s="11" t="inlineStr">
        <is>
          <t>PE26032601</t>
        </is>
      </c>
      <c r="J1588" s="3" t="inlineStr">
        <is>
          <t>Module Diode Failure</t>
        </is>
      </c>
      <c r="K1588" s="3" t="inlineStr">
        <is>
          <t>Sadla</t>
        </is>
      </c>
      <c r="L1588" s="3" t="inlineStr">
        <is>
          <t>Gujarat</t>
        </is>
      </c>
      <c r="M1588" s="9" t="inlineStr">
        <is>
          <t>NS</t>
        </is>
      </c>
      <c r="N1588" s="3" t="inlineStr">
        <is>
          <t>Cold Soldering</t>
        </is>
      </c>
      <c r="O1588" s="3" t="n">
        <v>570</v>
      </c>
      <c r="P1588" s="9" t="inlineStr">
        <is>
          <t>NSMI24060108286</t>
        </is>
      </c>
      <c r="Q1588" s="54">
        <f>MID(P1588,5,2)</f>
        <v/>
      </c>
      <c r="R1588" s="53">
        <f>MID(P1588,7,2)</f>
        <v/>
      </c>
      <c r="S1588" s="3" t="inlineStr">
        <is>
          <t>G2G</t>
        </is>
      </c>
      <c r="T1588" s="3" t="inlineStr">
        <is>
          <t>P4</t>
        </is>
      </c>
      <c r="U1588" s="3" t="inlineStr">
        <is>
          <t>N JB Cold Soldering</t>
        </is>
      </c>
      <c r="V1588" s="3" t="inlineStr">
        <is>
          <t>Soldering</t>
        </is>
      </c>
      <c r="W1588" s="3" t="inlineStr">
        <is>
          <t>Repair</t>
        </is>
      </c>
      <c r="X1588" s="18" t="n">
        <v>46162</v>
      </c>
      <c r="Y1588" s="73">
        <f>IF(X1588="","",X1588-A1588)</f>
        <v/>
      </c>
      <c r="Z1588" s="18" t="n">
        <v>46162</v>
      </c>
      <c r="AA1588" s="15" t="n"/>
      <c r="AB1588" s="15" t="n"/>
      <c r="AF1588">
        <f>IF(AND($F1588="Closed",$X1588&gt;=DATE(2026,5,1),$X1588&lt;=DATE(2026,5,31)),"Closed in May","Other")</f>
        <v/>
      </c>
    </row>
    <row r="1589">
      <c r="A1589" s="6" t="n">
        <v>46107</v>
      </c>
      <c r="B1589" s="3" t="n">
        <v>2026</v>
      </c>
      <c r="C1589" s="3" t="inlineStr">
        <is>
          <t>Blupine Energy</t>
        </is>
      </c>
      <c r="D1589" s="3" t="inlineStr">
        <is>
          <t>Utility and C&amp;I</t>
        </is>
      </c>
      <c r="E1589" s="3" t="n"/>
      <c r="F1589" s="3" t="inlineStr">
        <is>
          <t>Closed</t>
        </is>
      </c>
      <c r="G1589" s="3" t="inlineStr">
        <is>
          <t>Chandrashekar Patidar</t>
        </is>
      </c>
      <c r="H1589" s="3" t="n">
        <v>7879764773</v>
      </c>
      <c r="I1589" s="11" t="inlineStr">
        <is>
          <t>PE26032601</t>
        </is>
      </c>
      <c r="J1589" s="3" t="inlineStr">
        <is>
          <t>Module Diode Failure</t>
        </is>
      </c>
      <c r="K1589" s="3" t="inlineStr">
        <is>
          <t>Sadla</t>
        </is>
      </c>
      <c r="L1589" s="3" t="inlineStr">
        <is>
          <t>Gujarat</t>
        </is>
      </c>
      <c r="M1589" s="9" t="inlineStr">
        <is>
          <t>PS</t>
        </is>
      </c>
      <c r="N1589" s="3" t="inlineStr">
        <is>
          <t>Cold Soldering</t>
        </is>
      </c>
      <c r="O1589" s="3" t="n">
        <v>570</v>
      </c>
      <c r="P1589" s="9" t="inlineStr">
        <is>
          <t>NSMI24060104437</t>
        </is>
      </c>
      <c r="Q1589" s="54">
        <f>MID(P1589,5,2)</f>
        <v/>
      </c>
      <c r="R1589" s="53">
        <f>MID(P1589,7,2)</f>
        <v/>
      </c>
      <c r="S1589" s="3" t="inlineStr">
        <is>
          <t>G2G</t>
        </is>
      </c>
      <c r="T1589" s="3" t="inlineStr">
        <is>
          <t>P4</t>
        </is>
      </c>
      <c r="U1589" s="3" t="inlineStr">
        <is>
          <t>P JB Cold Soldering</t>
        </is>
      </c>
      <c r="V1589" s="3" t="inlineStr">
        <is>
          <t>Soldering</t>
        </is>
      </c>
      <c r="W1589" s="3" t="inlineStr">
        <is>
          <t>Repair</t>
        </is>
      </c>
      <c r="X1589" s="18" t="n">
        <v>46162</v>
      </c>
      <c r="Y1589" s="73">
        <f>IF(X1589="","",X1589-A1589)</f>
        <v/>
      </c>
      <c r="Z1589" s="18" t="n">
        <v>46162</v>
      </c>
      <c r="AA1589" s="15" t="n"/>
      <c r="AB1589" s="15" t="n"/>
      <c r="AF1589">
        <f>IF(AND($F1589="Closed",$X1589&gt;=DATE(2026,5,1),$X1589&lt;=DATE(2026,5,31)),"Closed in May","Other")</f>
        <v/>
      </c>
    </row>
    <row r="1590">
      <c r="A1590" s="6" t="n">
        <v>46107</v>
      </c>
      <c r="B1590" s="3" t="n">
        <v>2026</v>
      </c>
      <c r="C1590" s="3" t="inlineStr">
        <is>
          <t>Blupine Energy</t>
        </is>
      </c>
      <c r="D1590" s="3" t="inlineStr">
        <is>
          <t>Utility and C&amp;I</t>
        </is>
      </c>
      <c r="E1590" s="3" t="n"/>
      <c r="F1590" s="3" t="inlineStr">
        <is>
          <t>Closed</t>
        </is>
      </c>
      <c r="G1590" s="3" t="inlineStr">
        <is>
          <t>Chandrashekar Patidar</t>
        </is>
      </c>
      <c r="H1590" s="3" t="n">
        <v>7879764773</v>
      </c>
      <c r="I1590" s="11" t="inlineStr">
        <is>
          <t>PE26032601</t>
        </is>
      </c>
      <c r="J1590" s="3" t="inlineStr">
        <is>
          <t>Module Diode Failure</t>
        </is>
      </c>
      <c r="K1590" s="3" t="inlineStr">
        <is>
          <t>Sadla</t>
        </is>
      </c>
      <c r="L1590" s="3" t="inlineStr">
        <is>
          <t>Gujarat</t>
        </is>
      </c>
      <c r="M1590" s="9" t="inlineStr">
        <is>
          <t>NS</t>
        </is>
      </c>
      <c r="N1590" s="3" t="inlineStr">
        <is>
          <t>Cold Soldering</t>
        </is>
      </c>
      <c r="O1590" s="3" t="n">
        <v>570</v>
      </c>
      <c r="P1590" s="9" t="inlineStr">
        <is>
          <t>NSMI24060104422</t>
        </is>
      </c>
      <c r="Q1590" s="54">
        <f>MID(P1590,5,2)</f>
        <v/>
      </c>
      <c r="R1590" s="53">
        <f>MID(P1590,7,2)</f>
        <v/>
      </c>
      <c r="S1590" s="3" t="inlineStr">
        <is>
          <t>G2G</t>
        </is>
      </c>
      <c r="T1590" s="3" t="inlineStr">
        <is>
          <t>P4</t>
        </is>
      </c>
      <c r="U1590" s="3" t="inlineStr">
        <is>
          <t>N JB Cold Soldering</t>
        </is>
      </c>
      <c r="V1590" s="3" t="inlineStr">
        <is>
          <t>Soldering</t>
        </is>
      </c>
      <c r="W1590" s="3" t="inlineStr">
        <is>
          <t>Repair</t>
        </is>
      </c>
      <c r="X1590" s="18" t="n">
        <v>46162</v>
      </c>
      <c r="Y1590" s="73">
        <f>IF(X1590="","",X1590-A1590)</f>
        <v/>
      </c>
      <c r="Z1590" s="18" t="n">
        <v>46162</v>
      </c>
      <c r="AA1590" s="15" t="n"/>
      <c r="AB1590" s="15" t="n"/>
      <c r="AF1590">
        <f>IF(AND($F1590="Closed",$X1590&gt;=DATE(2026,5,1),$X1590&lt;=DATE(2026,5,31)),"Closed in May","Other")</f>
        <v/>
      </c>
    </row>
    <row r="1591">
      <c r="A1591" s="6" t="n">
        <v>46107</v>
      </c>
      <c r="B1591" s="3" t="n">
        <v>2026</v>
      </c>
      <c r="C1591" s="3" t="inlineStr">
        <is>
          <t>Blupine Energy</t>
        </is>
      </c>
      <c r="D1591" s="3" t="inlineStr">
        <is>
          <t>Utility and C&amp;I</t>
        </is>
      </c>
      <c r="E1591" s="3" t="n"/>
      <c r="F1591" s="3" t="inlineStr">
        <is>
          <t>Closed</t>
        </is>
      </c>
      <c r="G1591" s="3" t="inlineStr">
        <is>
          <t>Chandrashekar Patidar</t>
        </is>
      </c>
      <c r="H1591" s="3" t="n">
        <v>7879764773</v>
      </c>
      <c r="I1591" s="11" t="inlineStr">
        <is>
          <t>PE26032601</t>
        </is>
      </c>
      <c r="J1591" s="3" t="inlineStr">
        <is>
          <t>Module Diode Failure</t>
        </is>
      </c>
      <c r="K1591" s="3" t="inlineStr">
        <is>
          <t>Sadla</t>
        </is>
      </c>
      <c r="L1591" s="3" t="inlineStr">
        <is>
          <t>Gujarat</t>
        </is>
      </c>
      <c r="M1591" s="9" t="inlineStr">
        <is>
          <t>PS</t>
        </is>
      </c>
      <c r="N1591" s="3" t="inlineStr">
        <is>
          <t>Cold Soldering</t>
        </is>
      </c>
      <c r="O1591" s="3" t="n">
        <v>570</v>
      </c>
      <c r="P1591" s="9" t="inlineStr">
        <is>
          <t>NSMI24060105226</t>
        </is>
      </c>
      <c r="Q1591" s="54">
        <f>MID(P1591,5,2)</f>
        <v/>
      </c>
      <c r="R1591" s="53">
        <f>MID(P1591,7,2)</f>
        <v/>
      </c>
      <c r="S1591" s="3" t="inlineStr">
        <is>
          <t>G2G</t>
        </is>
      </c>
      <c r="T1591" s="3" t="inlineStr">
        <is>
          <t>P4</t>
        </is>
      </c>
      <c r="U1591" s="3" t="inlineStr">
        <is>
          <t>P JB Cold Soldering</t>
        </is>
      </c>
      <c r="V1591" s="3" t="inlineStr">
        <is>
          <t>Soldering</t>
        </is>
      </c>
      <c r="W1591" s="3" t="inlineStr">
        <is>
          <t>Repair</t>
        </is>
      </c>
      <c r="X1591" s="18" t="n">
        <v>46162</v>
      </c>
      <c r="Y1591" s="73">
        <f>IF(X1591="","",X1591-A1591)</f>
        <v/>
      </c>
      <c r="Z1591" s="18" t="n">
        <v>46162</v>
      </c>
      <c r="AA1591" s="15" t="n"/>
      <c r="AB1591" s="15" t="n"/>
      <c r="AF1591">
        <f>IF(AND($F1591="Closed",$X1591&gt;=DATE(2026,5,1),$X1591&lt;=DATE(2026,5,31)),"Closed in May","Other")</f>
        <v/>
      </c>
    </row>
    <row r="1592">
      <c r="A1592" s="6" t="n">
        <v>46107</v>
      </c>
      <c r="B1592" s="3" t="n">
        <v>2026</v>
      </c>
      <c r="C1592" s="3" t="inlineStr">
        <is>
          <t>Blupine Energy</t>
        </is>
      </c>
      <c r="D1592" s="3" t="inlineStr">
        <is>
          <t>Utility and C&amp;I</t>
        </is>
      </c>
      <c r="E1592" s="3" t="n"/>
      <c r="F1592" s="3" t="inlineStr">
        <is>
          <t>Closed</t>
        </is>
      </c>
      <c r="G1592" s="3" t="inlineStr">
        <is>
          <t>Chandrashekar Patidar</t>
        </is>
      </c>
      <c r="H1592" s="3" t="n">
        <v>7879764773</v>
      </c>
      <c r="I1592" s="11" t="inlineStr">
        <is>
          <t>PE26032601</t>
        </is>
      </c>
      <c r="J1592" s="3" t="inlineStr">
        <is>
          <t>Module Diode Failure</t>
        </is>
      </c>
      <c r="K1592" s="3" t="inlineStr">
        <is>
          <t>Sadla</t>
        </is>
      </c>
      <c r="L1592" s="3" t="inlineStr">
        <is>
          <t>Gujarat</t>
        </is>
      </c>
      <c r="M1592" s="9" t="inlineStr">
        <is>
          <t>PS</t>
        </is>
      </c>
      <c r="N1592" s="3" t="inlineStr">
        <is>
          <t>Cold Soldering</t>
        </is>
      </c>
      <c r="O1592" s="3" t="n">
        <v>570</v>
      </c>
      <c r="P1592" s="9" t="inlineStr">
        <is>
          <t>NSMI24060124962</t>
        </is>
      </c>
      <c r="Q1592" s="54">
        <f>MID(P1592,5,2)</f>
        <v/>
      </c>
      <c r="R1592" s="53">
        <f>MID(P1592,7,2)</f>
        <v/>
      </c>
      <c r="S1592" s="3" t="inlineStr">
        <is>
          <t>G2G</t>
        </is>
      </c>
      <c r="T1592" s="3" t="inlineStr">
        <is>
          <t>P4</t>
        </is>
      </c>
      <c r="U1592" s="3" t="inlineStr">
        <is>
          <t>P JB Cold Soldering</t>
        </is>
      </c>
      <c r="V1592" s="3" t="inlineStr">
        <is>
          <t>Soldering</t>
        </is>
      </c>
      <c r="W1592" s="3" t="inlineStr">
        <is>
          <t>Repair</t>
        </is>
      </c>
      <c r="X1592" s="18" t="n">
        <v>46162</v>
      </c>
      <c r="Y1592" s="73">
        <f>IF(X1592="","",X1592-A1592)</f>
        <v/>
      </c>
      <c r="Z1592" s="18" t="n">
        <v>46162</v>
      </c>
      <c r="AA1592" s="15" t="n"/>
      <c r="AB1592" s="15" t="n"/>
      <c r="AF1592">
        <f>IF(AND($F1592="Closed",$X1592&gt;=DATE(2026,5,1),$X1592&lt;=DATE(2026,5,31)),"Closed in May","Other")</f>
        <v/>
      </c>
    </row>
    <row r="1593">
      <c r="A1593" s="6" t="n">
        <v>46107</v>
      </c>
      <c r="B1593" s="3" t="n">
        <v>2026</v>
      </c>
      <c r="C1593" s="3" t="inlineStr">
        <is>
          <t>Blupine Energy</t>
        </is>
      </c>
      <c r="D1593" s="3" t="inlineStr">
        <is>
          <t>Utility and C&amp;I</t>
        </is>
      </c>
      <c r="E1593" s="3" t="n"/>
      <c r="F1593" s="3" t="inlineStr">
        <is>
          <t>Closed</t>
        </is>
      </c>
      <c r="G1593" s="3" t="inlineStr">
        <is>
          <t>Chandrashekar Patidar</t>
        </is>
      </c>
      <c r="H1593" s="3" t="n">
        <v>7879764773</v>
      </c>
      <c r="I1593" s="11" t="inlineStr">
        <is>
          <t>PE26032601</t>
        </is>
      </c>
      <c r="J1593" s="3" t="inlineStr">
        <is>
          <t>Module Diode Failure</t>
        </is>
      </c>
      <c r="K1593" s="3" t="inlineStr">
        <is>
          <t>Sadla</t>
        </is>
      </c>
      <c r="L1593" s="3" t="inlineStr">
        <is>
          <t>Gujarat</t>
        </is>
      </c>
      <c r="M1593" s="9" t="inlineStr">
        <is>
          <t>NS</t>
        </is>
      </c>
      <c r="N1593" s="3" t="inlineStr">
        <is>
          <t>Cold Soldering</t>
        </is>
      </c>
      <c r="O1593" s="3" t="n">
        <v>570</v>
      </c>
      <c r="P1593" s="9" t="inlineStr">
        <is>
          <t>NSMI24060123383</t>
        </is>
      </c>
      <c r="Q1593" s="54">
        <f>MID(P1593,5,2)</f>
        <v/>
      </c>
      <c r="R1593" s="53">
        <f>MID(P1593,7,2)</f>
        <v/>
      </c>
      <c r="S1593" s="3" t="inlineStr">
        <is>
          <t>G2G</t>
        </is>
      </c>
      <c r="T1593" s="3" t="inlineStr">
        <is>
          <t>P4</t>
        </is>
      </c>
      <c r="U1593" s="3" t="inlineStr">
        <is>
          <t>N JB Cold Soldering</t>
        </is>
      </c>
      <c r="V1593" s="3" t="inlineStr">
        <is>
          <t>Soldering</t>
        </is>
      </c>
      <c r="W1593" s="3" t="inlineStr">
        <is>
          <t>Repair</t>
        </is>
      </c>
      <c r="X1593" s="18" t="n">
        <v>46162</v>
      </c>
      <c r="Y1593" s="73">
        <f>IF(X1593="","",X1593-A1593)</f>
        <v/>
      </c>
      <c r="Z1593" s="18" t="n">
        <v>46162</v>
      </c>
      <c r="AA1593" s="15" t="n"/>
      <c r="AB1593" s="15" t="n"/>
      <c r="AF1593">
        <f>IF(AND($F1593="Closed",$X1593&gt;=DATE(2026,5,1),$X1593&lt;=DATE(2026,5,31)),"Closed in May","Other")</f>
        <v/>
      </c>
    </row>
    <row r="1594">
      <c r="A1594" s="6" t="n">
        <v>46107</v>
      </c>
      <c r="B1594" s="3" t="n">
        <v>2026</v>
      </c>
      <c r="C1594" s="3" t="inlineStr">
        <is>
          <t>Blupine Energy</t>
        </is>
      </c>
      <c r="D1594" s="3" t="inlineStr">
        <is>
          <t>Utility and C&amp;I</t>
        </is>
      </c>
      <c r="E1594" s="3" t="n"/>
      <c r="F1594" s="3" t="inlineStr">
        <is>
          <t>Closed</t>
        </is>
      </c>
      <c r="G1594" s="3" t="inlineStr">
        <is>
          <t>Chandrashekar Patidar</t>
        </is>
      </c>
      <c r="H1594" s="3" t="n">
        <v>7879764773</v>
      </c>
      <c r="I1594" s="11" t="inlineStr">
        <is>
          <t>PE26032601</t>
        </is>
      </c>
      <c r="J1594" s="3" t="inlineStr">
        <is>
          <t>Module Diode Failure</t>
        </is>
      </c>
      <c r="K1594" s="3" t="inlineStr">
        <is>
          <t>Sadla</t>
        </is>
      </c>
      <c r="L1594" s="3" t="inlineStr">
        <is>
          <t>Gujarat</t>
        </is>
      </c>
      <c r="M1594" s="9" t="inlineStr">
        <is>
          <t>NS</t>
        </is>
      </c>
      <c r="N1594" s="3" t="inlineStr">
        <is>
          <t>Cold Soldering</t>
        </is>
      </c>
      <c r="O1594" s="3" t="n">
        <v>570</v>
      </c>
      <c r="P1594" s="9" t="inlineStr">
        <is>
          <t>NSMI24060129156</t>
        </is>
      </c>
      <c r="Q1594" s="54">
        <f>MID(P1594,5,2)</f>
        <v/>
      </c>
      <c r="R1594" s="53">
        <f>MID(P1594,7,2)</f>
        <v/>
      </c>
      <c r="S1594" s="3" t="inlineStr">
        <is>
          <t>G2G</t>
        </is>
      </c>
      <c r="T1594" s="3" t="inlineStr">
        <is>
          <t>P4</t>
        </is>
      </c>
      <c r="U1594" s="3" t="inlineStr">
        <is>
          <t>N JB Cold Soldering</t>
        </is>
      </c>
      <c r="V1594" s="3" t="inlineStr">
        <is>
          <t>Soldering</t>
        </is>
      </c>
      <c r="W1594" s="3" t="inlineStr">
        <is>
          <t>Repair</t>
        </is>
      </c>
      <c r="X1594" s="18" t="n">
        <v>46162</v>
      </c>
      <c r="Y1594" s="73">
        <f>IF(X1594="","",X1594-A1594)</f>
        <v/>
      </c>
      <c r="Z1594" s="18" t="n">
        <v>46162</v>
      </c>
      <c r="AA1594" s="15" t="n"/>
      <c r="AB1594" s="15" t="n"/>
      <c r="AF1594">
        <f>IF(AND($F1594="Closed",$X1594&gt;=DATE(2026,5,1),$X1594&lt;=DATE(2026,5,31)),"Closed in May","Other")</f>
        <v/>
      </c>
    </row>
    <row r="1595">
      <c r="A1595" s="6" t="n">
        <v>46107</v>
      </c>
      <c r="B1595" s="3" t="n">
        <v>2026</v>
      </c>
      <c r="C1595" s="3" t="inlineStr">
        <is>
          <t>Blupine Energy</t>
        </is>
      </c>
      <c r="D1595" s="3" t="inlineStr">
        <is>
          <t>Utility and C&amp;I</t>
        </is>
      </c>
      <c r="E1595" s="3" t="n"/>
      <c r="F1595" s="3" t="inlineStr">
        <is>
          <t>Closed</t>
        </is>
      </c>
      <c r="G1595" s="3" t="inlineStr">
        <is>
          <t>Chandrashekar Patidar</t>
        </is>
      </c>
      <c r="H1595" s="3" t="n">
        <v>7879764773</v>
      </c>
      <c r="I1595" s="11" t="inlineStr">
        <is>
          <t>PE26032601</t>
        </is>
      </c>
      <c r="J1595" s="3" t="inlineStr">
        <is>
          <t>Module Diode Failure</t>
        </is>
      </c>
      <c r="K1595" s="3" t="inlineStr">
        <is>
          <t>Sadla</t>
        </is>
      </c>
      <c r="L1595" s="3" t="inlineStr">
        <is>
          <t>Gujarat</t>
        </is>
      </c>
      <c r="M1595" s="9" t="inlineStr">
        <is>
          <t>PS</t>
        </is>
      </c>
      <c r="N1595" s="3" t="inlineStr">
        <is>
          <t>Cold Soldering</t>
        </is>
      </c>
      <c r="O1595" s="3" t="n">
        <v>570</v>
      </c>
      <c r="P1595" s="9" t="inlineStr">
        <is>
          <t>NSMI24060085438</t>
        </is>
      </c>
      <c r="Q1595" s="54">
        <f>MID(P1595,5,2)</f>
        <v/>
      </c>
      <c r="R1595" s="53">
        <f>MID(P1595,7,2)</f>
        <v/>
      </c>
      <c r="S1595" s="3" t="inlineStr">
        <is>
          <t>G2G</t>
        </is>
      </c>
      <c r="T1595" s="3" t="inlineStr">
        <is>
          <t>P4</t>
        </is>
      </c>
      <c r="U1595" s="3" t="inlineStr">
        <is>
          <t>P JB Cold Soldering</t>
        </is>
      </c>
      <c r="V1595" s="3" t="inlineStr">
        <is>
          <t>Soldering</t>
        </is>
      </c>
      <c r="W1595" s="3" t="inlineStr">
        <is>
          <t>Repair</t>
        </is>
      </c>
      <c r="X1595" s="18" t="n">
        <v>46162</v>
      </c>
      <c r="Y1595" s="73">
        <f>IF(X1595="","",X1595-A1595)</f>
        <v/>
      </c>
      <c r="Z1595" s="18" t="n">
        <v>46162</v>
      </c>
      <c r="AA1595" s="15" t="n"/>
      <c r="AB1595" s="15" t="n"/>
      <c r="AF1595">
        <f>IF(AND($F1595="Closed",$X1595&gt;=DATE(2026,5,1),$X1595&lt;=DATE(2026,5,31)),"Closed in May","Other")</f>
        <v/>
      </c>
    </row>
    <row r="1596">
      <c r="A1596" s="6" t="n">
        <v>46107</v>
      </c>
      <c r="B1596" s="3" t="n">
        <v>2026</v>
      </c>
      <c r="C1596" s="3" t="inlineStr">
        <is>
          <t>Blupine Energy</t>
        </is>
      </c>
      <c r="D1596" s="3" t="inlineStr">
        <is>
          <t>Utility and C&amp;I</t>
        </is>
      </c>
      <c r="E1596" s="3" t="n"/>
      <c r="F1596" s="3" t="inlineStr">
        <is>
          <t>Closed</t>
        </is>
      </c>
      <c r="G1596" s="3" t="inlineStr">
        <is>
          <t>Chandrashekar Patidar</t>
        </is>
      </c>
      <c r="H1596" s="3" t="n">
        <v>7879764773</v>
      </c>
      <c r="I1596" s="11" t="inlineStr">
        <is>
          <t>PE26032601</t>
        </is>
      </c>
      <c r="J1596" s="3" t="inlineStr">
        <is>
          <t>Module Diode Failure</t>
        </is>
      </c>
      <c r="K1596" s="3" t="inlineStr">
        <is>
          <t>Sadla</t>
        </is>
      </c>
      <c r="L1596" s="3" t="inlineStr">
        <is>
          <t>Gujarat</t>
        </is>
      </c>
      <c r="M1596" s="9" t="inlineStr">
        <is>
          <t>NS</t>
        </is>
      </c>
      <c r="N1596" s="3" t="inlineStr">
        <is>
          <t>Cold Soldering</t>
        </is>
      </c>
      <c r="O1596" s="3" t="n">
        <v>570</v>
      </c>
      <c r="P1596" s="9" t="inlineStr">
        <is>
          <t>NSMI24050050465</t>
        </is>
      </c>
      <c r="Q1596" s="54">
        <f>MID(P1596,5,2)</f>
        <v/>
      </c>
      <c r="R1596" s="53">
        <f>MID(P1596,7,2)</f>
        <v/>
      </c>
      <c r="S1596" s="3" t="inlineStr">
        <is>
          <t>G2G</t>
        </is>
      </c>
      <c r="T1596" s="3" t="inlineStr">
        <is>
          <t>P4</t>
        </is>
      </c>
      <c r="U1596" s="3" t="inlineStr">
        <is>
          <t>N JB Cold Soldering</t>
        </is>
      </c>
      <c r="V1596" s="3" t="inlineStr">
        <is>
          <t>Soldering</t>
        </is>
      </c>
      <c r="W1596" s="3" t="inlineStr">
        <is>
          <t>Repair</t>
        </is>
      </c>
      <c r="X1596" s="18" t="n">
        <v>46162</v>
      </c>
      <c r="Y1596" s="73">
        <f>IF(X1596="","",X1596-A1596)</f>
        <v/>
      </c>
      <c r="Z1596" s="18" t="n">
        <v>46162</v>
      </c>
      <c r="AA1596" s="15" t="n"/>
      <c r="AB1596" s="15" t="n"/>
      <c r="AF1596">
        <f>IF(AND($F1596="Closed",$X1596&gt;=DATE(2026,5,1),$X1596&lt;=DATE(2026,5,31)),"Closed in May","Other")</f>
        <v/>
      </c>
    </row>
    <row r="1597">
      <c r="A1597" s="6" t="n">
        <v>46107</v>
      </c>
      <c r="B1597" s="3" t="n">
        <v>2026</v>
      </c>
      <c r="C1597" s="3" t="inlineStr">
        <is>
          <t>Blupine Energy</t>
        </is>
      </c>
      <c r="D1597" s="3" t="inlineStr">
        <is>
          <t>Utility and C&amp;I</t>
        </is>
      </c>
      <c r="E1597" s="3" t="n"/>
      <c r="F1597" s="3" t="inlineStr">
        <is>
          <t>Closed</t>
        </is>
      </c>
      <c r="G1597" s="3" t="inlineStr">
        <is>
          <t>Chandrashekar Patidar</t>
        </is>
      </c>
      <c r="H1597" s="3" t="n">
        <v>7879764773</v>
      </c>
      <c r="I1597" s="11" t="inlineStr">
        <is>
          <t>PE26032601</t>
        </is>
      </c>
      <c r="J1597" s="3" t="inlineStr">
        <is>
          <t>Module Diode Failure</t>
        </is>
      </c>
      <c r="K1597" s="3" t="inlineStr">
        <is>
          <t>Sadla</t>
        </is>
      </c>
      <c r="L1597" s="3" t="inlineStr">
        <is>
          <t>Gujarat</t>
        </is>
      </c>
      <c r="M1597" s="9" t="inlineStr">
        <is>
          <t>NR</t>
        </is>
      </c>
      <c r="N1597" s="3" t="inlineStr">
        <is>
          <t>JB Issue</t>
        </is>
      </c>
      <c r="O1597" s="3" t="n">
        <v>570</v>
      </c>
      <c r="P1597" s="9" t="inlineStr">
        <is>
          <t>NSMI24050062073</t>
        </is>
      </c>
      <c r="Q1597" s="54">
        <f>MID(P1597,5,2)</f>
        <v/>
      </c>
      <c r="R1597" s="53">
        <f>MID(P1597,7,2)</f>
        <v/>
      </c>
      <c r="S1597" s="3" t="inlineStr">
        <is>
          <t>G2G</t>
        </is>
      </c>
      <c r="T1597" s="3" t="inlineStr">
        <is>
          <t>P4</t>
        </is>
      </c>
      <c r="U1597" s="3" t="inlineStr">
        <is>
          <t>N JB Issue</t>
        </is>
      </c>
      <c r="V1597" s="3" t="inlineStr">
        <is>
          <t>JB Changed</t>
        </is>
      </c>
      <c r="W1597" s="3" t="inlineStr">
        <is>
          <t>Repair</t>
        </is>
      </c>
      <c r="X1597" s="18" t="n">
        <v>46162</v>
      </c>
      <c r="Y1597" s="73">
        <f>IF(X1597="","",X1597-A1597)</f>
        <v/>
      </c>
      <c r="Z1597" s="18" t="n">
        <v>46162</v>
      </c>
      <c r="AA1597" s="15" t="n"/>
      <c r="AB1597" s="15" t="n"/>
      <c r="AF1597">
        <f>IF(AND($F1597="Closed",$X1597&gt;=DATE(2026,5,1),$X1597&lt;=DATE(2026,5,31)),"Closed in May","Other")</f>
        <v/>
      </c>
    </row>
    <row r="1598">
      <c r="A1598" s="6" t="n">
        <v>46107</v>
      </c>
      <c r="B1598" s="3" t="n">
        <v>2026</v>
      </c>
      <c r="C1598" s="3" t="inlineStr">
        <is>
          <t>Blupine Energy</t>
        </is>
      </c>
      <c r="D1598" s="3" t="inlineStr">
        <is>
          <t>Utility and C&amp;I</t>
        </is>
      </c>
      <c r="E1598" s="3" t="n"/>
      <c r="F1598" s="3" t="inlineStr">
        <is>
          <t>Closed</t>
        </is>
      </c>
      <c r="G1598" s="3" t="inlineStr">
        <is>
          <t>Chandrashekar Patidar</t>
        </is>
      </c>
      <c r="H1598" s="3" t="n">
        <v>7879764773</v>
      </c>
      <c r="I1598" s="11" t="inlineStr">
        <is>
          <t>PE26032601</t>
        </is>
      </c>
      <c r="J1598" s="3" t="inlineStr">
        <is>
          <t>Module Diode Failure</t>
        </is>
      </c>
      <c r="K1598" s="3" t="inlineStr">
        <is>
          <t>Sadla</t>
        </is>
      </c>
      <c r="L1598" s="3" t="inlineStr">
        <is>
          <t>Gujarat</t>
        </is>
      </c>
      <c r="M1598" s="9" t="inlineStr">
        <is>
          <t>PNS</t>
        </is>
      </c>
      <c r="N1598" s="3" t="inlineStr">
        <is>
          <t>Cold Soldering</t>
        </is>
      </c>
      <c r="O1598" s="3" t="n">
        <v>570</v>
      </c>
      <c r="P1598" s="9" t="inlineStr">
        <is>
          <t>NSMI24060084083</t>
        </is>
      </c>
      <c r="Q1598" s="54">
        <f>MID(P1598,5,2)</f>
        <v/>
      </c>
      <c r="R1598" s="53">
        <f>MID(P1598,7,2)</f>
        <v/>
      </c>
      <c r="S1598" s="3" t="inlineStr">
        <is>
          <t>G2G</t>
        </is>
      </c>
      <c r="T1598" s="3" t="inlineStr">
        <is>
          <t>P4</t>
        </is>
      </c>
      <c r="U1598" s="3" t="inlineStr">
        <is>
          <t>P &amp; N JB Cold Soldering</t>
        </is>
      </c>
      <c r="V1598" s="3" t="inlineStr">
        <is>
          <t>Soldering</t>
        </is>
      </c>
      <c r="W1598" s="3" t="inlineStr">
        <is>
          <t>Repair</t>
        </is>
      </c>
      <c r="X1598" s="18" t="n">
        <v>46162</v>
      </c>
      <c r="Y1598" s="73">
        <f>IF(X1598="","",X1598-A1598)</f>
        <v/>
      </c>
      <c r="Z1598" s="18" t="n">
        <v>46162</v>
      </c>
      <c r="AA1598" s="15" t="n"/>
      <c r="AB1598" s="15" t="n"/>
      <c r="AF1598">
        <f>IF(AND($F1598="Closed",$X1598&gt;=DATE(2026,5,1),$X1598&lt;=DATE(2026,5,31)),"Closed in May","Other")</f>
        <v/>
      </c>
    </row>
    <row r="1599">
      <c r="A1599" s="6" t="n">
        <v>46107</v>
      </c>
      <c r="B1599" s="3" t="n">
        <v>2026</v>
      </c>
      <c r="C1599" s="3" t="inlineStr">
        <is>
          <t>Blupine Energy</t>
        </is>
      </c>
      <c r="D1599" s="3" t="inlineStr">
        <is>
          <t>Utility and C&amp;I</t>
        </is>
      </c>
      <c r="E1599" s="3" t="n"/>
      <c r="F1599" s="3" t="inlineStr">
        <is>
          <t>Closed</t>
        </is>
      </c>
      <c r="G1599" s="3" t="inlineStr">
        <is>
          <t>Chandrashekar Patidar</t>
        </is>
      </c>
      <c r="H1599" s="3" t="n">
        <v>7879764773</v>
      </c>
      <c r="I1599" s="11" t="inlineStr">
        <is>
          <t>PE26032601</t>
        </is>
      </c>
      <c r="J1599" s="3" t="inlineStr">
        <is>
          <t>Module Diode Failure</t>
        </is>
      </c>
      <c r="K1599" s="3" t="inlineStr">
        <is>
          <t>Sadla</t>
        </is>
      </c>
      <c r="L1599" s="3" t="inlineStr">
        <is>
          <t>Gujarat</t>
        </is>
      </c>
      <c r="M1599" s="9" t="inlineStr">
        <is>
          <t>NS</t>
        </is>
      </c>
      <c r="N1599" s="3" t="inlineStr">
        <is>
          <t>Cold Soldering</t>
        </is>
      </c>
      <c r="O1599" s="3" t="n">
        <v>570</v>
      </c>
      <c r="P1599" s="9" t="inlineStr">
        <is>
          <t>NSMI24060134552</t>
        </is>
      </c>
      <c r="Q1599" s="54">
        <f>MID(P1599,5,2)</f>
        <v/>
      </c>
      <c r="R1599" s="53">
        <f>MID(P1599,7,2)</f>
        <v/>
      </c>
      <c r="S1599" s="3" t="inlineStr">
        <is>
          <t>G2G</t>
        </is>
      </c>
      <c r="T1599" s="3" t="inlineStr">
        <is>
          <t>P4</t>
        </is>
      </c>
      <c r="U1599" s="3" t="inlineStr">
        <is>
          <t>N JB Cold Soldering</t>
        </is>
      </c>
      <c r="V1599" s="3" t="inlineStr">
        <is>
          <t>Soldering</t>
        </is>
      </c>
      <c r="W1599" s="3" t="inlineStr">
        <is>
          <t>Repair</t>
        </is>
      </c>
      <c r="X1599" s="18" t="n">
        <v>46162</v>
      </c>
      <c r="Y1599" s="73">
        <f>IF(X1599="","",X1599-A1599)</f>
        <v/>
      </c>
      <c r="Z1599" s="18" t="n">
        <v>46162</v>
      </c>
      <c r="AA1599" s="15" t="n"/>
      <c r="AB1599" s="15" t="n"/>
      <c r="AF1599">
        <f>IF(AND($F1599="Closed",$X1599&gt;=DATE(2026,5,1),$X1599&lt;=DATE(2026,5,31)),"Closed in May","Other")</f>
        <v/>
      </c>
    </row>
    <row r="1600">
      <c r="A1600" s="6" t="n">
        <v>46107</v>
      </c>
      <c r="B1600" s="3" t="n">
        <v>2026</v>
      </c>
      <c r="C1600" s="3" t="inlineStr">
        <is>
          <t>Blupine Energy</t>
        </is>
      </c>
      <c r="D1600" s="3" t="inlineStr">
        <is>
          <t>Utility and C&amp;I</t>
        </is>
      </c>
      <c r="E1600" s="3" t="n"/>
      <c r="F1600" s="3" t="inlineStr">
        <is>
          <t>Closed</t>
        </is>
      </c>
      <c r="G1600" s="3" t="inlineStr">
        <is>
          <t>Chandrashekar Patidar</t>
        </is>
      </c>
      <c r="H1600" s="3" t="n">
        <v>7879764773</v>
      </c>
      <c r="I1600" s="11" t="inlineStr">
        <is>
          <t>PE26032601</t>
        </is>
      </c>
      <c r="J1600" s="3" t="inlineStr">
        <is>
          <t>Module Diode Failure</t>
        </is>
      </c>
      <c r="K1600" s="3" t="inlineStr">
        <is>
          <t>Sadla</t>
        </is>
      </c>
      <c r="L1600" s="3" t="inlineStr">
        <is>
          <t>Gujarat</t>
        </is>
      </c>
      <c r="M1600" s="9" t="inlineStr">
        <is>
          <t>NS</t>
        </is>
      </c>
      <c r="N1600" s="3" t="inlineStr">
        <is>
          <t>Cold Soldering</t>
        </is>
      </c>
      <c r="O1600" s="3" t="n">
        <v>570</v>
      </c>
      <c r="P1600" s="9" t="inlineStr">
        <is>
          <t>NSMI24060134565</t>
        </is>
      </c>
      <c r="Q1600" s="54">
        <f>MID(P1600,5,2)</f>
        <v/>
      </c>
      <c r="R1600" s="53">
        <f>MID(P1600,7,2)</f>
        <v/>
      </c>
      <c r="S1600" s="3" t="inlineStr">
        <is>
          <t>G2G</t>
        </is>
      </c>
      <c r="T1600" s="3" t="inlineStr">
        <is>
          <t>P4</t>
        </is>
      </c>
      <c r="U1600" s="3" t="inlineStr">
        <is>
          <t>N JB Cold Soldering</t>
        </is>
      </c>
      <c r="V1600" s="3" t="inlineStr">
        <is>
          <t>Soldering</t>
        </is>
      </c>
      <c r="W1600" s="3" t="inlineStr">
        <is>
          <t>Repair</t>
        </is>
      </c>
      <c r="X1600" s="18" t="n">
        <v>46162</v>
      </c>
      <c r="Y1600" s="73">
        <f>IF(X1600="","",X1600-A1600)</f>
        <v/>
      </c>
      <c r="Z1600" s="18" t="n">
        <v>46162</v>
      </c>
      <c r="AA1600" s="15" t="n"/>
      <c r="AB1600" s="15" t="n"/>
      <c r="AF1600">
        <f>IF(AND($F1600="Closed",$X1600&gt;=DATE(2026,5,1),$X1600&lt;=DATE(2026,5,31)),"Closed in May","Other")</f>
        <v/>
      </c>
    </row>
    <row r="1601">
      <c r="A1601" s="6" t="n">
        <v>46107</v>
      </c>
      <c r="B1601" s="3" t="n">
        <v>2026</v>
      </c>
      <c r="C1601" s="3" t="inlineStr">
        <is>
          <t>Blupine Energy</t>
        </is>
      </c>
      <c r="D1601" s="3" t="inlineStr">
        <is>
          <t>Utility and C&amp;I</t>
        </is>
      </c>
      <c r="E1601" s="3" t="n"/>
      <c r="F1601" s="3" t="inlineStr">
        <is>
          <t>Closed</t>
        </is>
      </c>
      <c r="G1601" s="3" t="inlineStr">
        <is>
          <t>Chandrashekar Patidar</t>
        </is>
      </c>
      <c r="H1601" s="3" t="n">
        <v>7879764773</v>
      </c>
      <c r="I1601" s="11" t="inlineStr">
        <is>
          <t>PE26032601</t>
        </is>
      </c>
      <c r="J1601" s="3" t="inlineStr">
        <is>
          <t>Module Diode Failure</t>
        </is>
      </c>
      <c r="K1601" s="3" t="inlineStr">
        <is>
          <t>Sadla</t>
        </is>
      </c>
      <c r="L1601" s="3" t="inlineStr">
        <is>
          <t>Gujarat</t>
        </is>
      </c>
      <c r="M1601" s="9" t="inlineStr">
        <is>
          <t>PS</t>
        </is>
      </c>
      <c r="N1601" s="3" t="inlineStr">
        <is>
          <t>Cold Soldering</t>
        </is>
      </c>
      <c r="O1601" s="3" t="n">
        <v>570</v>
      </c>
      <c r="P1601" s="9" t="inlineStr">
        <is>
          <t>NSMI24060124143</t>
        </is>
      </c>
      <c r="Q1601" s="54">
        <f>MID(P1601,5,2)</f>
        <v/>
      </c>
      <c r="R1601" s="53">
        <f>MID(P1601,7,2)</f>
        <v/>
      </c>
      <c r="S1601" s="3" t="inlineStr">
        <is>
          <t>G2G</t>
        </is>
      </c>
      <c r="T1601" s="3" t="inlineStr">
        <is>
          <t>P4</t>
        </is>
      </c>
      <c r="U1601" s="3" t="inlineStr">
        <is>
          <t>P JB Cold Soldering</t>
        </is>
      </c>
      <c r="V1601" s="3" t="inlineStr">
        <is>
          <t>Soldering</t>
        </is>
      </c>
      <c r="W1601" s="3" t="inlineStr">
        <is>
          <t>Repair</t>
        </is>
      </c>
      <c r="X1601" s="18" t="n">
        <v>46162</v>
      </c>
      <c r="Y1601" s="73">
        <f>IF(X1601="","",X1601-A1601)</f>
        <v/>
      </c>
      <c r="Z1601" s="18" t="n">
        <v>46162</v>
      </c>
      <c r="AA1601" s="15" t="n"/>
      <c r="AB1601" s="15" t="n"/>
      <c r="AF1601">
        <f>IF(AND($F1601="Closed",$X1601&gt;=DATE(2026,5,1),$X1601&lt;=DATE(2026,5,31)),"Closed in May","Other")</f>
        <v/>
      </c>
    </row>
    <row r="1602">
      <c r="A1602" s="6" t="n">
        <v>46107</v>
      </c>
      <c r="B1602" s="3" t="n">
        <v>2026</v>
      </c>
      <c r="C1602" s="3" t="inlineStr">
        <is>
          <t>Blupine Energy</t>
        </is>
      </c>
      <c r="D1602" s="3" t="inlineStr">
        <is>
          <t>Utility and C&amp;I</t>
        </is>
      </c>
      <c r="E1602" s="3" t="n"/>
      <c r="F1602" s="3" t="inlineStr">
        <is>
          <t>Closed</t>
        </is>
      </c>
      <c r="G1602" s="3" t="inlineStr">
        <is>
          <t>Chandrashekar Patidar</t>
        </is>
      </c>
      <c r="H1602" s="3" t="n">
        <v>7879764773</v>
      </c>
      <c r="I1602" s="11" t="inlineStr">
        <is>
          <t>PE26032601</t>
        </is>
      </c>
      <c r="J1602" s="3" t="inlineStr">
        <is>
          <t>Module Diode Failure</t>
        </is>
      </c>
      <c r="K1602" s="3" t="inlineStr">
        <is>
          <t>Sadla</t>
        </is>
      </c>
      <c r="L1602" s="3" t="inlineStr">
        <is>
          <t>Gujarat</t>
        </is>
      </c>
      <c r="M1602" s="9" t="inlineStr">
        <is>
          <t>NS</t>
        </is>
      </c>
      <c r="N1602" s="3" t="inlineStr">
        <is>
          <t>Cold Soldering</t>
        </is>
      </c>
      <c r="O1602" s="3" t="n">
        <v>570</v>
      </c>
      <c r="P1602" s="9" t="inlineStr">
        <is>
          <t>NSMI24060136797</t>
        </is>
      </c>
      <c r="Q1602" s="54">
        <f>MID(P1602,5,2)</f>
        <v/>
      </c>
      <c r="R1602" s="53">
        <f>MID(P1602,7,2)</f>
        <v/>
      </c>
      <c r="S1602" s="3" t="inlineStr">
        <is>
          <t>G2G</t>
        </is>
      </c>
      <c r="T1602" s="3" t="inlineStr">
        <is>
          <t>P4</t>
        </is>
      </c>
      <c r="U1602" s="3" t="inlineStr">
        <is>
          <t>N JB Cold Soldering</t>
        </is>
      </c>
      <c r="V1602" s="3" t="inlineStr">
        <is>
          <t>Soldering</t>
        </is>
      </c>
      <c r="W1602" s="3" t="inlineStr">
        <is>
          <t>Repair</t>
        </is>
      </c>
      <c r="X1602" s="18" t="n">
        <v>46162</v>
      </c>
      <c r="Y1602" s="73">
        <f>IF(X1602="","",X1602-A1602)</f>
        <v/>
      </c>
      <c r="Z1602" s="18" t="n">
        <v>46162</v>
      </c>
      <c r="AA1602" s="15" t="n"/>
      <c r="AB1602" s="15" t="n"/>
      <c r="AF1602">
        <f>IF(AND($F1602="Closed",$X1602&gt;=DATE(2026,5,1),$X1602&lt;=DATE(2026,5,31)),"Closed in May","Other")</f>
        <v/>
      </c>
    </row>
    <row r="1603">
      <c r="A1603" s="6" t="n">
        <v>46107</v>
      </c>
      <c r="B1603" s="3" t="n">
        <v>2026</v>
      </c>
      <c r="C1603" s="3" t="inlineStr">
        <is>
          <t>Blupine Energy</t>
        </is>
      </c>
      <c r="D1603" s="3" t="inlineStr">
        <is>
          <t>Utility and C&amp;I</t>
        </is>
      </c>
      <c r="E1603" s="3" t="n"/>
      <c r="F1603" s="3" t="inlineStr">
        <is>
          <t>Closed</t>
        </is>
      </c>
      <c r="G1603" s="3" t="inlineStr">
        <is>
          <t>Chandrashekar Patidar</t>
        </is>
      </c>
      <c r="H1603" s="3" t="n">
        <v>7879764773</v>
      </c>
      <c r="I1603" s="11" t="inlineStr">
        <is>
          <t>PE26032601</t>
        </is>
      </c>
      <c r="J1603" s="3" t="inlineStr">
        <is>
          <t>Module Diode Failure</t>
        </is>
      </c>
      <c r="K1603" s="3" t="inlineStr">
        <is>
          <t>Sadla</t>
        </is>
      </c>
      <c r="L1603" s="3" t="inlineStr">
        <is>
          <t>Gujarat</t>
        </is>
      </c>
      <c r="M1603" s="9" t="inlineStr">
        <is>
          <t>NS</t>
        </is>
      </c>
      <c r="N1603" s="3" t="inlineStr">
        <is>
          <t>Cold Soldering</t>
        </is>
      </c>
      <c r="O1603" s="3" t="n">
        <v>570</v>
      </c>
      <c r="P1603" s="9" t="inlineStr">
        <is>
          <t>NSMI24060124174</t>
        </is>
      </c>
      <c r="Q1603" s="54">
        <f>MID(P1603,5,2)</f>
        <v/>
      </c>
      <c r="R1603" s="53">
        <f>MID(P1603,7,2)</f>
        <v/>
      </c>
      <c r="S1603" s="3" t="inlineStr">
        <is>
          <t>G2G</t>
        </is>
      </c>
      <c r="T1603" s="3" t="inlineStr">
        <is>
          <t>P4</t>
        </is>
      </c>
      <c r="U1603" s="3" t="inlineStr">
        <is>
          <t>N JB Cold Soldering</t>
        </is>
      </c>
      <c r="V1603" s="3" t="inlineStr">
        <is>
          <t>Soldering</t>
        </is>
      </c>
      <c r="W1603" s="3" t="inlineStr">
        <is>
          <t>Repair</t>
        </is>
      </c>
      <c r="X1603" s="18" t="n">
        <v>46162</v>
      </c>
      <c r="Y1603" s="73">
        <f>IF(X1603="","",X1603-A1603)</f>
        <v/>
      </c>
      <c r="Z1603" s="18" t="n">
        <v>46162</v>
      </c>
      <c r="AA1603" s="15" t="n"/>
      <c r="AB1603" s="15" t="n"/>
      <c r="AF1603">
        <f>IF(AND($F1603="Closed",$X1603&gt;=DATE(2026,5,1),$X1603&lt;=DATE(2026,5,31)),"Closed in May","Other")</f>
        <v/>
      </c>
    </row>
    <row r="1604">
      <c r="A1604" s="6" t="n">
        <v>46107</v>
      </c>
      <c r="B1604" s="3" t="n">
        <v>2026</v>
      </c>
      <c r="C1604" s="3" t="inlineStr">
        <is>
          <t>Blupine Energy</t>
        </is>
      </c>
      <c r="D1604" s="3" t="inlineStr">
        <is>
          <t>Utility and C&amp;I</t>
        </is>
      </c>
      <c r="E1604" s="3" t="n"/>
      <c r="F1604" s="3" t="inlineStr">
        <is>
          <t>Closed</t>
        </is>
      </c>
      <c r="G1604" s="3" t="inlineStr">
        <is>
          <t>Chandrashekar Patidar</t>
        </is>
      </c>
      <c r="H1604" s="3" t="n">
        <v>7879764773</v>
      </c>
      <c r="I1604" s="11" t="inlineStr">
        <is>
          <t>PE26032601</t>
        </is>
      </c>
      <c r="J1604" s="3" t="inlineStr">
        <is>
          <t>Module Diode Failure</t>
        </is>
      </c>
      <c r="K1604" s="3" t="inlineStr">
        <is>
          <t>Sadla</t>
        </is>
      </c>
      <c r="L1604" s="3" t="inlineStr">
        <is>
          <t>Gujarat</t>
        </is>
      </c>
      <c r="M1604" s="9" t="inlineStr">
        <is>
          <t>NS</t>
        </is>
      </c>
      <c r="N1604" s="3" t="inlineStr">
        <is>
          <t>Cold Soldering</t>
        </is>
      </c>
      <c r="O1604" s="3" t="n">
        <v>570</v>
      </c>
      <c r="P1604" s="9" t="inlineStr">
        <is>
          <t>NSMI24060123737</t>
        </is>
      </c>
      <c r="Q1604" s="54">
        <f>MID(P1604,5,2)</f>
        <v/>
      </c>
      <c r="R1604" s="53">
        <f>MID(P1604,7,2)</f>
        <v/>
      </c>
      <c r="S1604" s="3" t="inlineStr">
        <is>
          <t>G2G</t>
        </is>
      </c>
      <c r="T1604" s="3" t="inlineStr">
        <is>
          <t>P4</t>
        </is>
      </c>
      <c r="U1604" s="3" t="inlineStr">
        <is>
          <t>N JB Cold Soldering</t>
        </is>
      </c>
      <c r="V1604" s="3" t="inlineStr">
        <is>
          <t>Soldering</t>
        </is>
      </c>
      <c r="W1604" s="3" t="inlineStr">
        <is>
          <t>Repair</t>
        </is>
      </c>
      <c r="X1604" s="18" t="n">
        <v>46162</v>
      </c>
      <c r="Y1604" s="73">
        <f>IF(X1604="","",X1604-A1604)</f>
        <v/>
      </c>
      <c r="Z1604" s="18" t="n">
        <v>46162</v>
      </c>
      <c r="AA1604" s="15" t="n"/>
      <c r="AB1604" s="15" t="n"/>
      <c r="AF1604">
        <f>IF(AND($F1604="Closed",$X1604&gt;=DATE(2026,5,1),$X1604&lt;=DATE(2026,5,31)),"Closed in May","Other")</f>
        <v/>
      </c>
    </row>
    <row r="1605">
      <c r="A1605" s="6" t="n">
        <v>46107</v>
      </c>
      <c r="B1605" s="3" t="n">
        <v>2026</v>
      </c>
      <c r="C1605" s="3" t="inlineStr">
        <is>
          <t>Blupine Energy</t>
        </is>
      </c>
      <c r="D1605" s="3" t="inlineStr">
        <is>
          <t>Utility and C&amp;I</t>
        </is>
      </c>
      <c r="E1605" s="3" t="n"/>
      <c r="F1605" s="3" t="inlineStr">
        <is>
          <t>Closed</t>
        </is>
      </c>
      <c r="G1605" s="3" t="inlineStr">
        <is>
          <t>Chandrashekar Patidar</t>
        </is>
      </c>
      <c r="H1605" s="3" t="n">
        <v>7879764773</v>
      </c>
      <c r="I1605" s="11" t="inlineStr">
        <is>
          <t>PE26032601</t>
        </is>
      </c>
      <c r="J1605" s="3" t="inlineStr">
        <is>
          <t>Module Diode Failure</t>
        </is>
      </c>
      <c r="K1605" s="3" t="inlineStr">
        <is>
          <t>Sadla</t>
        </is>
      </c>
      <c r="L1605" s="3" t="inlineStr">
        <is>
          <t>Gujarat</t>
        </is>
      </c>
      <c r="M1605" s="9" t="inlineStr">
        <is>
          <t>NS</t>
        </is>
      </c>
      <c r="N1605" s="3" t="inlineStr">
        <is>
          <t>Cold Soldering</t>
        </is>
      </c>
      <c r="O1605" s="3" t="n">
        <v>570</v>
      </c>
      <c r="P1605" s="9" t="inlineStr">
        <is>
          <t>NSMI24060125782</t>
        </is>
      </c>
      <c r="Q1605" s="54">
        <f>MID(P1605,5,2)</f>
        <v/>
      </c>
      <c r="R1605" s="53">
        <f>MID(P1605,7,2)</f>
        <v/>
      </c>
      <c r="S1605" s="3" t="inlineStr">
        <is>
          <t>G2G</t>
        </is>
      </c>
      <c r="T1605" s="3" t="inlineStr">
        <is>
          <t>P4</t>
        </is>
      </c>
      <c r="U1605" s="3" t="inlineStr">
        <is>
          <t>N JB Cold Soldering</t>
        </is>
      </c>
      <c r="V1605" s="3" t="inlineStr">
        <is>
          <t>Soldering</t>
        </is>
      </c>
      <c r="W1605" s="3" t="inlineStr">
        <is>
          <t>Repair</t>
        </is>
      </c>
      <c r="X1605" s="18" t="n">
        <v>46162</v>
      </c>
      <c r="Y1605" s="73">
        <f>IF(X1605="","",X1605-A1605)</f>
        <v/>
      </c>
      <c r="Z1605" s="18" t="n">
        <v>46162</v>
      </c>
      <c r="AA1605" s="15" t="n"/>
      <c r="AB1605" s="15" t="n"/>
      <c r="AF1605">
        <f>IF(AND($F1605="Closed",$X1605&gt;=DATE(2026,5,1),$X1605&lt;=DATE(2026,5,31)),"Closed in May","Other")</f>
        <v/>
      </c>
    </row>
    <row r="1606">
      <c r="A1606" s="6" t="n">
        <v>46107</v>
      </c>
      <c r="B1606" s="3" t="n">
        <v>2026</v>
      </c>
      <c r="C1606" s="3" t="inlineStr">
        <is>
          <t>Blupine Energy</t>
        </is>
      </c>
      <c r="D1606" s="3" t="inlineStr">
        <is>
          <t>Utility and C&amp;I</t>
        </is>
      </c>
      <c r="E1606" s="3" t="n"/>
      <c r="F1606" s="3" t="inlineStr">
        <is>
          <t>Closed</t>
        </is>
      </c>
      <c r="G1606" s="3" t="inlineStr">
        <is>
          <t>Chandrashekar Patidar</t>
        </is>
      </c>
      <c r="H1606" s="3" t="n">
        <v>7879764773</v>
      </c>
      <c r="I1606" s="11" t="inlineStr">
        <is>
          <t>PE26032601</t>
        </is>
      </c>
      <c r="J1606" s="3" t="inlineStr">
        <is>
          <t>Module Diode Failure</t>
        </is>
      </c>
      <c r="K1606" s="3" t="inlineStr">
        <is>
          <t>Sadla</t>
        </is>
      </c>
      <c r="L1606" s="3" t="inlineStr">
        <is>
          <t>Gujarat</t>
        </is>
      </c>
      <c r="M1606" s="9" t="inlineStr">
        <is>
          <t>PNS</t>
        </is>
      </c>
      <c r="N1606" s="3" t="inlineStr">
        <is>
          <t>Cold Soldering</t>
        </is>
      </c>
      <c r="O1606" s="3" t="n">
        <v>570</v>
      </c>
      <c r="P1606" s="9" t="inlineStr">
        <is>
          <t>NSMI24060117734</t>
        </is>
      </c>
      <c r="Q1606" s="54">
        <f>MID(P1606,5,2)</f>
        <v/>
      </c>
      <c r="R1606" s="53">
        <f>MID(P1606,7,2)</f>
        <v/>
      </c>
      <c r="S1606" s="3" t="inlineStr">
        <is>
          <t>G2G</t>
        </is>
      </c>
      <c r="T1606" s="3" t="inlineStr">
        <is>
          <t>P4</t>
        </is>
      </c>
      <c r="U1606" s="3" t="inlineStr">
        <is>
          <t>P &amp; N JB Cold Soldering</t>
        </is>
      </c>
      <c r="V1606" s="3" t="inlineStr">
        <is>
          <t>Soldering</t>
        </is>
      </c>
      <c r="W1606" s="3" t="inlineStr">
        <is>
          <t>Repair</t>
        </is>
      </c>
      <c r="X1606" s="18" t="n">
        <v>46162</v>
      </c>
      <c r="Y1606" s="73">
        <f>IF(X1606="","",X1606-A1606)</f>
        <v/>
      </c>
      <c r="Z1606" s="18" t="n">
        <v>46162</v>
      </c>
      <c r="AA1606" s="15" t="n"/>
      <c r="AB1606" s="15" t="n"/>
      <c r="AF1606">
        <f>IF(AND($F1606="Closed",$X1606&gt;=DATE(2026,5,1),$X1606&lt;=DATE(2026,5,31)),"Closed in May","Other")</f>
        <v/>
      </c>
    </row>
    <row r="1607">
      <c r="A1607" s="6" t="n">
        <v>46107</v>
      </c>
      <c r="B1607" s="3" t="n">
        <v>2026</v>
      </c>
      <c r="C1607" s="3" t="inlineStr">
        <is>
          <t>Blupine Energy</t>
        </is>
      </c>
      <c r="D1607" s="3" t="inlineStr">
        <is>
          <t>Utility and C&amp;I</t>
        </is>
      </c>
      <c r="E1607" s="3" t="n"/>
      <c r="F1607" s="3" t="inlineStr">
        <is>
          <t>Closed</t>
        </is>
      </c>
      <c r="G1607" s="3" t="inlineStr">
        <is>
          <t>Chandrashekar Patidar</t>
        </is>
      </c>
      <c r="H1607" s="3" t="n">
        <v>7879764773</v>
      </c>
      <c r="I1607" s="11" t="inlineStr">
        <is>
          <t>PE26032601</t>
        </is>
      </c>
      <c r="J1607" s="3" t="inlineStr">
        <is>
          <t>Module Diode Failure</t>
        </is>
      </c>
      <c r="K1607" s="3" t="inlineStr">
        <is>
          <t>Sadla</t>
        </is>
      </c>
      <c r="L1607" s="3" t="inlineStr">
        <is>
          <t>Gujarat</t>
        </is>
      </c>
      <c r="M1607" s="9" t="inlineStr">
        <is>
          <t>NS</t>
        </is>
      </c>
      <c r="N1607" s="3" t="inlineStr">
        <is>
          <t>Cold Soldering</t>
        </is>
      </c>
      <c r="O1607" s="3" t="n">
        <v>570</v>
      </c>
      <c r="P1607" s="9" t="inlineStr">
        <is>
          <t>NSMI24050046833</t>
        </is>
      </c>
      <c r="Q1607" s="54">
        <f>MID(P1607,5,2)</f>
        <v/>
      </c>
      <c r="R1607" s="53">
        <f>MID(P1607,7,2)</f>
        <v/>
      </c>
      <c r="S1607" s="3" t="inlineStr">
        <is>
          <t>G2G</t>
        </is>
      </c>
      <c r="T1607" s="3" t="inlineStr">
        <is>
          <t>P4</t>
        </is>
      </c>
      <c r="U1607" s="3" t="inlineStr">
        <is>
          <t>N JB Cold Soldering</t>
        </is>
      </c>
      <c r="V1607" s="3" t="inlineStr">
        <is>
          <t>Soldering</t>
        </is>
      </c>
      <c r="W1607" s="3" t="inlineStr">
        <is>
          <t>Repair</t>
        </is>
      </c>
      <c r="X1607" s="18" t="n">
        <v>46162</v>
      </c>
      <c r="Y1607" s="73">
        <f>IF(X1607="","",X1607-A1607)</f>
        <v/>
      </c>
      <c r="Z1607" s="18" t="n">
        <v>46162</v>
      </c>
      <c r="AA1607" s="15" t="n"/>
      <c r="AB1607" s="15" t="n"/>
      <c r="AF1607">
        <f>IF(AND($F1607="Closed",$X1607&gt;=DATE(2026,5,1),$X1607&lt;=DATE(2026,5,31)),"Closed in May","Other")</f>
        <v/>
      </c>
    </row>
    <row r="1608">
      <c r="A1608" s="6" t="n">
        <v>46107</v>
      </c>
      <c r="B1608" s="3" t="n">
        <v>2026</v>
      </c>
      <c r="C1608" s="3" t="inlineStr">
        <is>
          <t>Blupine Energy</t>
        </is>
      </c>
      <c r="D1608" s="3" t="inlineStr">
        <is>
          <t>Utility and C&amp;I</t>
        </is>
      </c>
      <c r="E1608" s="3" t="n"/>
      <c r="F1608" s="3" t="inlineStr">
        <is>
          <t>Closed</t>
        </is>
      </c>
      <c r="G1608" s="3" t="inlineStr">
        <is>
          <t>Chandrashekar Patidar</t>
        </is>
      </c>
      <c r="H1608" s="3" t="n">
        <v>7879764773</v>
      </c>
      <c r="I1608" s="11" t="inlineStr">
        <is>
          <t>PE26032601</t>
        </is>
      </c>
      <c r="J1608" s="3" t="inlineStr">
        <is>
          <t>Module Diode Failure</t>
        </is>
      </c>
      <c r="K1608" s="3" t="inlineStr">
        <is>
          <t>Sadla</t>
        </is>
      </c>
      <c r="L1608" s="3" t="inlineStr">
        <is>
          <t>Gujarat</t>
        </is>
      </c>
      <c r="M1608" s="9" t="inlineStr">
        <is>
          <t>NS</t>
        </is>
      </c>
      <c r="N1608" s="3" t="inlineStr">
        <is>
          <t>Cold Soldering</t>
        </is>
      </c>
      <c r="O1608" s="3" t="n">
        <v>570</v>
      </c>
      <c r="P1608" s="9" t="inlineStr">
        <is>
          <t>NSMI24060076948</t>
        </is>
      </c>
      <c r="Q1608" s="54">
        <f>MID(P1608,5,2)</f>
        <v/>
      </c>
      <c r="R1608" s="53">
        <f>MID(P1608,7,2)</f>
        <v/>
      </c>
      <c r="S1608" s="3" t="inlineStr">
        <is>
          <t>G2G</t>
        </is>
      </c>
      <c r="T1608" s="3" t="inlineStr">
        <is>
          <t>P4</t>
        </is>
      </c>
      <c r="U1608" s="3" t="inlineStr">
        <is>
          <t>N JB Cold Soldering</t>
        </is>
      </c>
      <c r="V1608" s="3" t="inlineStr">
        <is>
          <t>Soldering</t>
        </is>
      </c>
      <c r="W1608" s="3" t="inlineStr">
        <is>
          <t>Repair</t>
        </is>
      </c>
      <c r="X1608" s="18" t="n">
        <v>46162</v>
      </c>
      <c r="Y1608" s="73">
        <f>IF(X1608="","",X1608-A1608)</f>
        <v/>
      </c>
      <c r="Z1608" s="18" t="n">
        <v>46162</v>
      </c>
      <c r="AA1608" s="15" t="n"/>
      <c r="AB1608" s="15" t="n"/>
      <c r="AF1608">
        <f>IF(AND($F1608="Closed",$X1608&gt;=DATE(2026,5,1),$X1608&lt;=DATE(2026,5,31)),"Closed in May","Other")</f>
        <v/>
      </c>
    </row>
    <row r="1609">
      <c r="A1609" s="6" t="n">
        <v>46107</v>
      </c>
      <c r="B1609" s="3" t="n">
        <v>2026</v>
      </c>
      <c r="C1609" s="3" t="inlineStr">
        <is>
          <t>Blupine Energy</t>
        </is>
      </c>
      <c r="D1609" s="3" t="inlineStr">
        <is>
          <t>Utility and C&amp;I</t>
        </is>
      </c>
      <c r="E1609" s="3" t="n"/>
      <c r="F1609" s="3" t="inlineStr">
        <is>
          <t>Closed</t>
        </is>
      </c>
      <c r="G1609" s="3" t="inlineStr">
        <is>
          <t>Chandrashekar Patidar</t>
        </is>
      </c>
      <c r="H1609" s="3" t="n">
        <v>7879764773</v>
      </c>
      <c r="I1609" s="11" t="inlineStr">
        <is>
          <t>PE26032601</t>
        </is>
      </c>
      <c r="J1609" s="3" t="inlineStr">
        <is>
          <t>Module Diode Failure</t>
        </is>
      </c>
      <c r="K1609" s="3" t="inlineStr">
        <is>
          <t>Sadla</t>
        </is>
      </c>
      <c r="L1609" s="3" t="inlineStr">
        <is>
          <t>Gujarat</t>
        </is>
      </c>
      <c r="M1609" s="9" t="inlineStr">
        <is>
          <t>NS</t>
        </is>
      </c>
      <c r="N1609" s="3" t="inlineStr">
        <is>
          <t>Cold Soldering</t>
        </is>
      </c>
      <c r="O1609" s="3" t="n">
        <v>570</v>
      </c>
      <c r="P1609" s="9" t="inlineStr">
        <is>
          <t>NSMI24060076932</t>
        </is>
      </c>
      <c r="Q1609" s="54">
        <f>MID(P1609,5,2)</f>
        <v/>
      </c>
      <c r="R1609" s="53">
        <f>MID(P1609,7,2)</f>
        <v/>
      </c>
      <c r="S1609" s="3" t="inlineStr">
        <is>
          <t>G2G</t>
        </is>
      </c>
      <c r="T1609" s="3" t="inlineStr">
        <is>
          <t>P4</t>
        </is>
      </c>
      <c r="U1609" s="3" t="inlineStr">
        <is>
          <t>N JB Cold Soldering</t>
        </is>
      </c>
      <c r="V1609" s="3" t="inlineStr">
        <is>
          <t>Soldering</t>
        </is>
      </c>
      <c r="W1609" s="3" t="inlineStr">
        <is>
          <t>Repair</t>
        </is>
      </c>
      <c r="X1609" s="18" t="n">
        <v>46162</v>
      </c>
      <c r="Y1609" s="73">
        <f>IF(X1609="","",X1609-A1609)</f>
        <v/>
      </c>
      <c r="Z1609" s="18" t="n">
        <v>46162</v>
      </c>
      <c r="AA1609" s="15" t="n"/>
      <c r="AB1609" s="15" t="n"/>
      <c r="AF1609">
        <f>IF(AND($F1609="Closed",$X1609&gt;=DATE(2026,5,1),$X1609&lt;=DATE(2026,5,31)),"Closed in May","Other")</f>
        <v/>
      </c>
    </row>
    <row r="1610">
      <c r="A1610" s="6" t="n">
        <v>46107</v>
      </c>
      <c r="B1610" s="3" t="n">
        <v>2026</v>
      </c>
      <c r="C1610" s="3" t="inlineStr">
        <is>
          <t>Blupine Energy</t>
        </is>
      </c>
      <c r="D1610" s="3" t="inlineStr">
        <is>
          <t>Utility and C&amp;I</t>
        </is>
      </c>
      <c r="E1610" s="3" t="n"/>
      <c r="F1610" s="3" t="inlineStr">
        <is>
          <t>Closed</t>
        </is>
      </c>
      <c r="G1610" s="3" t="inlineStr">
        <is>
          <t>Chandrashekar Patidar</t>
        </is>
      </c>
      <c r="H1610" s="3" t="n">
        <v>7879764773</v>
      </c>
      <c r="I1610" s="11" t="inlineStr">
        <is>
          <t>PE26032601</t>
        </is>
      </c>
      <c r="J1610" s="3" t="inlineStr">
        <is>
          <t>Module Diode Failure</t>
        </is>
      </c>
      <c r="K1610" s="3" t="inlineStr">
        <is>
          <t>Sadla</t>
        </is>
      </c>
      <c r="L1610" s="3" t="inlineStr">
        <is>
          <t>Gujarat</t>
        </is>
      </c>
      <c r="M1610" s="9" t="inlineStr">
        <is>
          <t>NS</t>
        </is>
      </c>
      <c r="N1610" s="3" t="inlineStr">
        <is>
          <t>Cold Soldering</t>
        </is>
      </c>
      <c r="O1610" s="3" t="n">
        <v>570</v>
      </c>
      <c r="P1610" s="9" t="inlineStr">
        <is>
          <t>NSMI24060121304</t>
        </is>
      </c>
      <c r="Q1610" s="54">
        <f>MID(P1610,5,2)</f>
        <v/>
      </c>
      <c r="R1610" s="53">
        <f>MID(P1610,7,2)</f>
        <v/>
      </c>
      <c r="S1610" s="3" t="inlineStr">
        <is>
          <t>G2G</t>
        </is>
      </c>
      <c r="T1610" s="3" t="inlineStr">
        <is>
          <t>P4</t>
        </is>
      </c>
      <c r="U1610" s="3" t="inlineStr">
        <is>
          <t>N JB Cold Soldering</t>
        </is>
      </c>
      <c r="V1610" s="3" t="inlineStr">
        <is>
          <t>Soldering</t>
        </is>
      </c>
      <c r="W1610" s="3" t="inlineStr">
        <is>
          <t>Repair</t>
        </is>
      </c>
      <c r="X1610" s="18" t="n">
        <v>46162</v>
      </c>
      <c r="Y1610" s="73">
        <f>IF(X1610="","",X1610-A1610)</f>
        <v/>
      </c>
      <c r="Z1610" s="18" t="n">
        <v>46162</v>
      </c>
      <c r="AA1610" s="15" t="n"/>
      <c r="AB1610" s="15" t="n"/>
      <c r="AF1610">
        <f>IF(AND($F1610="Closed",$X1610&gt;=DATE(2026,5,1),$X1610&lt;=DATE(2026,5,31)),"Closed in May","Other")</f>
        <v/>
      </c>
    </row>
    <row r="1611">
      <c r="A1611" s="6" t="n">
        <v>46107</v>
      </c>
      <c r="B1611" s="3" t="n">
        <v>2026</v>
      </c>
      <c r="C1611" s="3" t="inlineStr">
        <is>
          <t>Blupine Energy</t>
        </is>
      </c>
      <c r="D1611" s="3" t="inlineStr">
        <is>
          <t>Utility and C&amp;I</t>
        </is>
      </c>
      <c r="E1611" s="3" t="n"/>
      <c r="F1611" s="3" t="inlineStr">
        <is>
          <t>Closed</t>
        </is>
      </c>
      <c r="G1611" s="3" t="inlineStr">
        <is>
          <t>Chandrashekar Patidar</t>
        </is>
      </c>
      <c r="H1611" s="3" t="n">
        <v>7879764773</v>
      </c>
      <c r="I1611" s="11" t="inlineStr">
        <is>
          <t>PE26032601</t>
        </is>
      </c>
      <c r="J1611" s="3" t="inlineStr">
        <is>
          <t>Module Diode Failure</t>
        </is>
      </c>
      <c r="K1611" s="3" t="inlineStr">
        <is>
          <t>Sadla</t>
        </is>
      </c>
      <c r="L1611" s="3" t="inlineStr">
        <is>
          <t>Gujarat</t>
        </is>
      </c>
      <c r="M1611" s="9" t="inlineStr">
        <is>
          <t>NS</t>
        </is>
      </c>
      <c r="N1611" s="3" t="inlineStr">
        <is>
          <t>Cold Soldering</t>
        </is>
      </c>
      <c r="O1611" s="3" t="n">
        <v>570</v>
      </c>
      <c r="P1611" s="9" t="inlineStr">
        <is>
          <t>NSMI24060121305</t>
        </is>
      </c>
      <c r="Q1611" s="54">
        <f>MID(P1611,5,2)</f>
        <v/>
      </c>
      <c r="R1611" s="53">
        <f>MID(P1611,7,2)</f>
        <v/>
      </c>
      <c r="S1611" s="3" t="inlineStr">
        <is>
          <t>G2G</t>
        </is>
      </c>
      <c r="T1611" s="3" t="inlineStr">
        <is>
          <t>P4</t>
        </is>
      </c>
      <c r="U1611" s="3" t="inlineStr">
        <is>
          <t>N JB Cold Soldering</t>
        </is>
      </c>
      <c r="V1611" s="3" t="inlineStr">
        <is>
          <t>Soldering</t>
        </is>
      </c>
      <c r="W1611" s="3" t="inlineStr">
        <is>
          <t>Repair</t>
        </is>
      </c>
      <c r="X1611" s="18" t="n">
        <v>46162</v>
      </c>
      <c r="Y1611" s="73">
        <f>IF(X1611="","",X1611-A1611)</f>
        <v/>
      </c>
      <c r="Z1611" s="18" t="n">
        <v>46162</v>
      </c>
      <c r="AA1611" s="15" t="n"/>
      <c r="AB1611" s="15" t="n"/>
      <c r="AF1611">
        <f>IF(AND($F1611="Closed",$X1611&gt;=DATE(2026,5,1),$X1611&lt;=DATE(2026,5,31)),"Closed in May","Other")</f>
        <v/>
      </c>
    </row>
    <row r="1612">
      <c r="A1612" s="37" t="n">
        <v>46143</v>
      </c>
      <c r="B1612" s="3" t="n">
        <v>2026</v>
      </c>
      <c r="C1612" s="26" t="inlineStr">
        <is>
          <t>Yanara Power</t>
        </is>
      </c>
      <c r="D1612" s="3" t="inlineStr">
        <is>
          <t>Utility and C&amp;I</t>
        </is>
      </c>
      <c r="E1612" s="3" t="n"/>
      <c r="F1612" s="3" t="inlineStr">
        <is>
          <t>Closed</t>
        </is>
      </c>
      <c r="G1612" s="9" t="inlineStr">
        <is>
          <t xml:space="preserve">Ashish Jindal </t>
        </is>
      </c>
      <c r="H1612" s="26" t="n">
        <v>9983975581</v>
      </c>
      <c r="I1612" s="38" t="inlineStr">
        <is>
          <t>PE01052601</t>
        </is>
      </c>
      <c r="J1612" s="26" t="inlineStr">
        <is>
          <t>Multiple Issues</t>
        </is>
      </c>
      <c r="K1612" s="39" t="inlineStr">
        <is>
          <t>Holi</t>
        </is>
      </c>
      <c r="L1612" s="39" t="inlineStr">
        <is>
          <t>Maharashtra</t>
        </is>
      </c>
      <c r="M1612" s="46" t="inlineStr">
        <is>
          <t>PS</t>
        </is>
      </c>
      <c r="N1612" s="3" t="inlineStr">
        <is>
          <t>Cold Soldering</t>
        </is>
      </c>
      <c r="O1612" s="39" t="n">
        <v>575</v>
      </c>
      <c r="P1612" s="46" t="inlineStr">
        <is>
          <t>NSMI24070182018</t>
        </is>
      </c>
      <c r="Q1612" s="53">
        <f>MID(P1612,5,2)</f>
        <v/>
      </c>
      <c r="R1612" s="53">
        <f>MID(P1612,7,2)</f>
        <v/>
      </c>
      <c r="S1612" s="3" t="inlineStr">
        <is>
          <t>G2G</t>
        </is>
      </c>
      <c r="T1612" s="3" t="inlineStr">
        <is>
          <t>P4</t>
        </is>
      </c>
      <c r="U1612" s="19" t="inlineStr">
        <is>
          <t>P JB Cold Soldering</t>
        </is>
      </c>
      <c r="V1612" s="19" t="inlineStr">
        <is>
          <t>Soldering</t>
        </is>
      </c>
      <c r="W1612" s="3" t="inlineStr">
        <is>
          <t>Repair</t>
        </is>
      </c>
      <c r="X1612" s="18" t="n">
        <v>46162</v>
      </c>
      <c r="Y1612" s="73">
        <f>IF(X1612="","",X1612-A1612)</f>
        <v/>
      </c>
      <c r="Z1612" s="18" t="n">
        <v>46162</v>
      </c>
      <c r="AA1612" s="15" t="n"/>
      <c r="AB1612" s="15" t="n"/>
      <c r="AF1612">
        <f>IF(AND($F1612="Closed",$X1612&gt;=DATE(2026,5,1),$X1612&lt;=DATE(2026,5,31)),"Closed in May","Other")</f>
        <v/>
      </c>
    </row>
    <row r="1613">
      <c r="A1613" s="37" t="n">
        <v>46143</v>
      </c>
      <c r="B1613" s="3" t="n">
        <v>2026</v>
      </c>
      <c r="C1613" s="26" t="inlineStr">
        <is>
          <t>Yanara Power</t>
        </is>
      </c>
      <c r="D1613" s="3" t="inlineStr">
        <is>
          <t>Utility and C&amp;I</t>
        </is>
      </c>
      <c r="E1613" s="3" t="n"/>
      <c r="F1613" s="3" t="inlineStr">
        <is>
          <t>Closed</t>
        </is>
      </c>
      <c r="G1613" s="9" t="inlineStr">
        <is>
          <t xml:space="preserve">Ashish Jindal </t>
        </is>
      </c>
      <c r="H1613" s="26" t="n">
        <v>9983975581</v>
      </c>
      <c r="I1613" s="38" t="inlineStr">
        <is>
          <t>PE01052601</t>
        </is>
      </c>
      <c r="J1613" s="26" t="inlineStr">
        <is>
          <t>Multiple Issues</t>
        </is>
      </c>
      <c r="K1613" s="39" t="inlineStr">
        <is>
          <t>Holi</t>
        </is>
      </c>
      <c r="L1613" s="39" t="inlineStr">
        <is>
          <t>Maharashtra</t>
        </is>
      </c>
      <c r="M1613" s="46" t="inlineStr">
        <is>
          <t>PS</t>
        </is>
      </c>
      <c r="N1613" s="3" t="inlineStr">
        <is>
          <t>Cold Soldering</t>
        </is>
      </c>
      <c r="O1613" s="39" t="n">
        <v>575</v>
      </c>
      <c r="P1613" s="46" t="inlineStr">
        <is>
          <t>NSMI24070182022</t>
        </is>
      </c>
      <c r="Q1613" s="53">
        <f>MID(P1613,5,2)</f>
        <v/>
      </c>
      <c r="R1613" s="53">
        <f>MID(P1613,7,2)</f>
        <v/>
      </c>
      <c r="S1613" s="3" t="inlineStr">
        <is>
          <t>G2G</t>
        </is>
      </c>
      <c r="T1613" s="3" t="inlineStr">
        <is>
          <t>P4</t>
        </is>
      </c>
      <c r="U1613" s="19" t="inlineStr">
        <is>
          <t>P JB Cold Soldering</t>
        </is>
      </c>
      <c r="V1613" s="19" t="inlineStr">
        <is>
          <t>Soldering</t>
        </is>
      </c>
      <c r="W1613" s="3" t="inlineStr">
        <is>
          <t>Repair</t>
        </is>
      </c>
      <c r="X1613" s="18" t="n">
        <v>46162</v>
      </c>
      <c r="Y1613" s="73">
        <f>IF(X1613="","",X1613-A1613)</f>
        <v/>
      </c>
      <c r="Z1613" s="18" t="n">
        <v>46162</v>
      </c>
      <c r="AA1613" s="15" t="n"/>
      <c r="AB1613" s="15" t="n"/>
      <c r="AF1613">
        <f>IF(AND($F1613="Closed",$X1613&gt;=DATE(2026,5,1),$X1613&lt;=DATE(2026,5,31)),"Closed in May","Other")</f>
        <v/>
      </c>
    </row>
    <row r="1614">
      <c r="A1614" s="37" t="n">
        <v>46143</v>
      </c>
      <c r="B1614" s="3" t="n">
        <v>2026</v>
      </c>
      <c r="C1614" s="26" t="inlineStr">
        <is>
          <t>Yanara Power</t>
        </is>
      </c>
      <c r="D1614" s="3" t="inlineStr">
        <is>
          <t>Utility and C&amp;I</t>
        </is>
      </c>
      <c r="E1614" s="3" t="n"/>
      <c r="F1614" s="3" t="inlineStr">
        <is>
          <t>Closed</t>
        </is>
      </c>
      <c r="G1614" s="9" t="inlineStr">
        <is>
          <t xml:space="preserve">Ashish Jindal </t>
        </is>
      </c>
      <c r="H1614" s="26" t="n">
        <v>9983975581</v>
      </c>
      <c r="I1614" s="38" t="inlineStr">
        <is>
          <t>PE01052601</t>
        </is>
      </c>
      <c r="J1614" s="26" t="inlineStr">
        <is>
          <t>Multiple Issues</t>
        </is>
      </c>
      <c r="K1614" s="39" t="inlineStr">
        <is>
          <t>Holi</t>
        </is>
      </c>
      <c r="L1614" s="39" t="inlineStr">
        <is>
          <t>Maharashtra</t>
        </is>
      </c>
      <c r="M1614" s="46" t="inlineStr">
        <is>
          <t>NS</t>
        </is>
      </c>
      <c r="N1614" s="3" t="inlineStr">
        <is>
          <t>Cold Soldering</t>
        </is>
      </c>
      <c r="O1614" s="39" t="n">
        <v>575</v>
      </c>
      <c r="P1614" s="46" t="inlineStr">
        <is>
          <t>NSMI24070182020</t>
        </is>
      </c>
      <c r="Q1614" s="53">
        <f>MID(P1614,5,2)</f>
        <v/>
      </c>
      <c r="R1614" s="53">
        <f>MID(P1614,7,2)</f>
        <v/>
      </c>
      <c r="S1614" s="3" t="inlineStr">
        <is>
          <t>G2G</t>
        </is>
      </c>
      <c r="T1614" s="3" t="inlineStr">
        <is>
          <t>P4</t>
        </is>
      </c>
      <c r="U1614" s="3" t="inlineStr">
        <is>
          <t>N JB Cold Soldering</t>
        </is>
      </c>
      <c r="V1614" s="3" t="inlineStr">
        <is>
          <t>Soldering</t>
        </is>
      </c>
      <c r="W1614" s="3" t="inlineStr">
        <is>
          <t>Repair</t>
        </is>
      </c>
      <c r="X1614" s="18" t="n">
        <v>46162</v>
      </c>
      <c r="Y1614" s="73">
        <f>IF(X1614="","",X1614-A1614)</f>
        <v/>
      </c>
      <c r="Z1614" s="18" t="n">
        <v>46162</v>
      </c>
      <c r="AA1614" s="15" t="n"/>
      <c r="AB1614" s="15" t="n"/>
      <c r="AF1614">
        <f>IF(AND($F1614="Closed",$X1614&gt;=DATE(2026,5,1),$X1614&lt;=DATE(2026,5,31)),"Closed in May","Other")</f>
        <v/>
      </c>
    </row>
    <row r="1615">
      <c r="A1615" s="37" t="n">
        <v>46143</v>
      </c>
      <c r="B1615" s="3" t="n">
        <v>2026</v>
      </c>
      <c r="C1615" s="26" t="inlineStr">
        <is>
          <t>Yanara Power</t>
        </is>
      </c>
      <c r="D1615" s="3" t="inlineStr">
        <is>
          <t>Utility and C&amp;I</t>
        </is>
      </c>
      <c r="E1615" s="3" t="n"/>
      <c r="F1615" s="3" t="inlineStr">
        <is>
          <t>Closed</t>
        </is>
      </c>
      <c r="G1615" s="9" t="inlineStr">
        <is>
          <t xml:space="preserve">Ashish Jindal </t>
        </is>
      </c>
      <c r="H1615" s="26" t="n">
        <v>9983975581</v>
      </c>
      <c r="I1615" s="38" t="inlineStr">
        <is>
          <t>PE01052601</t>
        </is>
      </c>
      <c r="J1615" s="26" t="inlineStr">
        <is>
          <t>Multiple Issues</t>
        </is>
      </c>
      <c r="K1615" s="39" t="inlineStr">
        <is>
          <t>Holi</t>
        </is>
      </c>
      <c r="L1615" s="39" t="inlineStr">
        <is>
          <t>Maharashtra</t>
        </is>
      </c>
      <c r="M1615" s="46" t="inlineStr">
        <is>
          <t>PS</t>
        </is>
      </c>
      <c r="N1615" s="3" t="inlineStr">
        <is>
          <t>Cold Soldering</t>
        </is>
      </c>
      <c r="O1615" s="39" t="n">
        <v>575</v>
      </c>
      <c r="P1615" s="46" t="inlineStr">
        <is>
          <t>NSMI24070182017</t>
        </is>
      </c>
      <c r="Q1615" s="53">
        <f>MID(P1615,5,2)</f>
        <v/>
      </c>
      <c r="R1615" s="53">
        <f>MID(P1615,7,2)</f>
        <v/>
      </c>
      <c r="S1615" s="3" t="inlineStr">
        <is>
          <t>G2G</t>
        </is>
      </c>
      <c r="T1615" s="3" t="inlineStr">
        <is>
          <t>P4</t>
        </is>
      </c>
      <c r="U1615" s="19" t="inlineStr">
        <is>
          <t>P JB Cold Soldering</t>
        </is>
      </c>
      <c r="V1615" s="19" t="inlineStr">
        <is>
          <t>Soldering</t>
        </is>
      </c>
      <c r="W1615" s="3" t="inlineStr">
        <is>
          <t>Repair</t>
        </is>
      </c>
      <c r="X1615" s="18" t="n">
        <v>46162</v>
      </c>
      <c r="Y1615" s="73">
        <f>IF(X1615="","",X1615-A1615)</f>
        <v/>
      </c>
      <c r="Z1615" s="18" t="n">
        <v>46162</v>
      </c>
      <c r="AA1615" s="15" t="n"/>
      <c r="AB1615" s="15" t="n"/>
      <c r="AF1615">
        <f>IF(AND($F1615="Closed",$X1615&gt;=DATE(2026,5,1),$X1615&lt;=DATE(2026,5,31)),"Closed in May","Other")</f>
        <v/>
      </c>
    </row>
    <row r="1616">
      <c r="A1616" s="37" t="n">
        <v>46143</v>
      </c>
      <c r="B1616" s="3" t="n">
        <v>2026</v>
      </c>
      <c r="C1616" s="26" t="inlineStr">
        <is>
          <t>Yanara Power</t>
        </is>
      </c>
      <c r="D1616" s="3" t="inlineStr">
        <is>
          <t>Utility and C&amp;I</t>
        </is>
      </c>
      <c r="E1616" s="3" t="n"/>
      <c r="F1616" s="3" t="inlineStr">
        <is>
          <t>Closed</t>
        </is>
      </c>
      <c r="G1616" s="9" t="inlineStr">
        <is>
          <t xml:space="preserve">Ashish Jindal </t>
        </is>
      </c>
      <c r="H1616" s="26" t="n">
        <v>9983975581</v>
      </c>
      <c r="I1616" s="38" t="inlineStr">
        <is>
          <t>PE01052601</t>
        </is>
      </c>
      <c r="J1616" s="26" t="inlineStr">
        <is>
          <t>Multiple Issues</t>
        </is>
      </c>
      <c r="K1616" s="39" t="inlineStr">
        <is>
          <t>Holi</t>
        </is>
      </c>
      <c r="L1616" s="39" t="inlineStr">
        <is>
          <t>Maharashtra</t>
        </is>
      </c>
      <c r="M1616" s="46" t="inlineStr">
        <is>
          <t>PS</t>
        </is>
      </c>
      <c r="N1616" s="3" t="inlineStr">
        <is>
          <t>Cold Soldering</t>
        </is>
      </c>
      <c r="O1616" s="39" t="n">
        <v>575</v>
      </c>
      <c r="P1616" s="46" t="inlineStr">
        <is>
          <t>NSMI24070176069</t>
        </is>
      </c>
      <c r="Q1616" s="53">
        <f>MID(P1616,5,2)</f>
        <v/>
      </c>
      <c r="R1616" s="53">
        <f>MID(P1616,7,2)</f>
        <v/>
      </c>
      <c r="S1616" s="3" t="inlineStr">
        <is>
          <t>G2G</t>
        </is>
      </c>
      <c r="T1616" s="3" t="inlineStr">
        <is>
          <t>P4</t>
        </is>
      </c>
      <c r="U1616" s="19" t="inlineStr">
        <is>
          <t>P JB Cold Soldering</t>
        </is>
      </c>
      <c r="V1616" s="19" t="inlineStr">
        <is>
          <t>Soldering</t>
        </is>
      </c>
      <c r="W1616" s="3" t="inlineStr">
        <is>
          <t>Repair</t>
        </is>
      </c>
      <c r="X1616" s="18" t="n">
        <v>46162</v>
      </c>
      <c r="Y1616" s="73">
        <f>IF(X1616="","",X1616-A1616)</f>
        <v/>
      </c>
      <c r="Z1616" s="18" t="n">
        <v>46162</v>
      </c>
      <c r="AA1616" s="15" t="n"/>
      <c r="AB1616" s="15" t="n"/>
      <c r="AF1616">
        <f>IF(AND($F1616="Closed",$X1616&gt;=DATE(2026,5,1),$X1616&lt;=DATE(2026,5,31)),"Closed in May","Other")</f>
        <v/>
      </c>
    </row>
    <row r="1617">
      <c r="A1617" s="37" t="n">
        <v>46143</v>
      </c>
      <c r="B1617" s="3" t="n">
        <v>2026</v>
      </c>
      <c r="C1617" s="26" t="inlineStr">
        <is>
          <t>Yanara Power</t>
        </is>
      </c>
      <c r="D1617" s="3" t="inlineStr">
        <is>
          <t>Utility and C&amp;I</t>
        </is>
      </c>
      <c r="E1617" s="3" t="n"/>
      <c r="F1617" s="3" t="inlineStr">
        <is>
          <t>Closed</t>
        </is>
      </c>
      <c r="G1617" s="9" t="inlineStr">
        <is>
          <t xml:space="preserve">Ashish Jindal </t>
        </is>
      </c>
      <c r="H1617" s="26" t="n">
        <v>9983975581</v>
      </c>
      <c r="I1617" s="38" t="inlineStr">
        <is>
          <t>PE01052601</t>
        </is>
      </c>
      <c r="J1617" s="26" t="inlineStr">
        <is>
          <t>Multiple Issues</t>
        </is>
      </c>
      <c r="K1617" s="39" t="inlineStr">
        <is>
          <t>Holi</t>
        </is>
      </c>
      <c r="L1617" s="39" t="inlineStr">
        <is>
          <t>Maharashtra</t>
        </is>
      </c>
      <c r="M1617" s="46" t="inlineStr">
        <is>
          <t>PS</t>
        </is>
      </c>
      <c r="N1617" s="3" t="inlineStr">
        <is>
          <t>Cold Soldering</t>
        </is>
      </c>
      <c r="O1617" s="39" t="n">
        <v>575</v>
      </c>
      <c r="P1617" s="46" t="inlineStr">
        <is>
          <t>NSMI24070184624</t>
        </is>
      </c>
      <c r="Q1617" s="53">
        <f>MID(P1617,5,2)</f>
        <v/>
      </c>
      <c r="R1617" s="53">
        <f>MID(P1617,7,2)</f>
        <v/>
      </c>
      <c r="S1617" s="3" t="inlineStr">
        <is>
          <t>G2G</t>
        </is>
      </c>
      <c r="T1617" s="3" t="inlineStr">
        <is>
          <t>P4</t>
        </is>
      </c>
      <c r="U1617" s="19" t="inlineStr">
        <is>
          <t>P JB Cold Soldering</t>
        </is>
      </c>
      <c r="V1617" s="19" t="inlineStr">
        <is>
          <t>Soldering</t>
        </is>
      </c>
      <c r="W1617" s="3" t="inlineStr">
        <is>
          <t>Repair</t>
        </is>
      </c>
      <c r="X1617" s="18" t="n">
        <v>46162</v>
      </c>
      <c r="Y1617" s="73">
        <f>IF(X1617="","",X1617-A1617)</f>
        <v/>
      </c>
      <c r="Z1617" s="18" t="n">
        <v>46162</v>
      </c>
      <c r="AA1617" s="15" t="n"/>
      <c r="AB1617" s="15" t="n"/>
      <c r="AF1617">
        <f>IF(AND($F1617="Closed",$X1617&gt;=DATE(2026,5,1),$X1617&lt;=DATE(2026,5,31)),"Closed in May","Other")</f>
        <v/>
      </c>
    </row>
    <row r="1618">
      <c r="A1618" s="37" t="n">
        <v>46143</v>
      </c>
      <c r="B1618" s="3" t="n">
        <v>2026</v>
      </c>
      <c r="C1618" s="26" t="inlineStr">
        <is>
          <t>Yanara Power</t>
        </is>
      </c>
      <c r="D1618" s="3" t="inlineStr">
        <is>
          <t>Utility and C&amp;I</t>
        </is>
      </c>
      <c r="E1618" s="3" t="n"/>
      <c r="F1618" s="3" t="inlineStr">
        <is>
          <t>Closed</t>
        </is>
      </c>
      <c r="G1618" s="9" t="inlineStr">
        <is>
          <t xml:space="preserve">Ashish Jindal </t>
        </is>
      </c>
      <c r="H1618" s="26" t="n">
        <v>9983975581</v>
      </c>
      <c r="I1618" s="38" t="inlineStr">
        <is>
          <t>PE01052601</t>
        </is>
      </c>
      <c r="J1618" s="26" t="inlineStr">
        <is>
          <t>Multiple Issues</t>
        </is>
      </c>
      <c r="K1618" s="39" t="inlineStr">
        <is>
          <t>Holi</t>
        </is>
      </c>
      <c r="L1618" s="39" t="inlineStr">
        <is>
          <t>Maharashtra</t>
        </is>
      </c>
      <c r="M1618" s="46" t="inlineStr">
        <is>
          <t>PNS</t>
        </is>
      </c>
      <c r="N1618" s="3" t="inlineStr">
        <is>
          <t>Cold Soldering</t>
        </is>
      </c>
      <c r="O1618" s="39" t="n">
        <v>575</v>
      </c>
      <c r="P1618" s="46" t="inlineStr">
        <is>
          <t>NSMI24070184643</t>
        </is>
      </c>
      <c r="Q1618" s="53">
        <f>MID(P1618,5,2)</f>
        <v/>
      </c>
      <c r="R1618" s="53">
        <f>MID(P1618,7,2)</f>
        <v/>
      </c>
      <c r="S1618" s="3" t="inlineStr">
        <is>
          <t>G2G</t>
        </is>
      </c>
      <c r="T1618" s="3" t="inlineStr">
        <is>
          <t>P4</t>
        </is>
      </c>
      <c r="U1618" s="3" t="inlineStr">
        <is>
          <t>P &amp; N JB Cold Soldering</t>
        </is>
      </c>
      <c r="V1618" s="3" t="inlineStr">
        <is>
          <t>Soldering</t>
        </is>
      </c>
      <c r="W1618" s="3" t="inlineStr">
        <is>
          <t>Repair</t>
        </is>
      </c>
      <c r="X1618" s="18" t="n">
        <v>46162</v>
      </c>
      <c r="Y1618" s="73">
        <f>IF(X1618="","",X1618-A1618)</f>
        <v/>
      </c>
      <c r="Z1618" s="18" t="n">
        <v>46162</v>
      </c>
      <c r="AA1618" s="15" t="n"/>
      <c r="AB1618" s="15" t="n"/>
      <c r="AF1618">
        <f>IF(AND($F1618="Closed",$X1618&gt;=DATE(2026,5,1),$X1618&lt;=DATE(2026,5,31)),"Closed in May","Other")</f>
        <v/>
      </c>
    </row>
    <row r="1619">
      <c r="A1619" s="37" t="n">
        <v>46143</v>
      </c>
      <c r="B1619" s="3" t="n">
        <v>2026</v>
      </c>
      <c r="C1619" s="26" t="inlineStr">
        <is>
          <t>Yanara Power</t>
        </is>
      </c>
      <c r="D1619" s="3" t="inlineStr">
        <is>
          <t>Utility and C&amp;I</t>
        </is>
      </c>
      <c r="E1619" s="3" t="n"/>
      <c r="F1619" s="3" t="inlineStr">
        <is>
          <t>Closed</t>
        </is>
      </c>
      <c r="G1619" s="9" t="inlineStr">
        <is>
          <t xml:space="preserve">Ashish Jindal </t>
        </is>
      </c>
      <c r="H1619" s="26" t="n">
        <v>9983975581</v>
      </c>
      <c r="I1619" s="38" t="inlineStr">
        <is>
          <t>PE01052601</t>
        </is>
      </c>
      <c r="J1619" s="26" t="inlineStr">
        <is>
          <t>Multiple Issues</t>
        </is>
      </c>
      <c r="K1619" s="39" t="inlineStr">
        <is>
          <t>Holi</t>
        </is>
      </c>
      <c r="L1619" s="39" t="inlineStr">
        <is>
          <t>Maharashtra</t>
        </is>
      </c>
      <c r="M1619" s="46" t="inlineStr">
        <is>
          <t>PS</t>
        </is>
      </c>
      <c r="N1619" s="3" t="inlineStr">
        <is>
          <t>Cold Soldering</t>
        </is>
      </c>
      <c r="O1619" s="39" t="n">
        <v>575</v>
      </c>
      <c r="P1619" s="46" t="inlineStr">
        <is>
          <t>NSMI24070184616</t>
        </is>
      </c>
      <c r="Q1619" s="53">
        <f>MID(P1619,5,2)</f>
        <v/>
      </c>
      <c r="R1619" s="53">
        <f>MID(P1619,7,2)</f>
        <v/>
      </c>
      <c r="S1619" s="3" t="inlineStr">
        <is>
          <t>G2G</t>
        </is>
      </c>
      <c r="T1619" s="3" t="inlineStr">
        <is>
          <t>P4</t>
        </is>
      </c>
      <c r="U1619" s="19" t="inlineStr">
        <is>
          <t>P JB Cold Soldering</t>
        </is>
      </c>
      <c r="V1619" s="19" t="inlineStr">
        <is>
          <t>Soldering</t>
        </is>
      </c>
      <c r="W1619" s="3" t="inlineStr">
        <is>
          <t>Repair</t>
        </is>
      </c>
      <c r="X1619" s="18" t="n">
        <v>46162</v>
      </c>
      <c r="Y1619" s="73">
        <f>IF(X1619="","",X1619-A1619)</f>
        <v/>
      </c>
      <c r="Z1619" s="18" t="n">
        <v>46162</v>
      </c>
      <c r="AA1619" s="15" t="n"/>
      <c r="AB1619" s="15" t="n"/>
      <c r="AF1619">
        <f>IF(AND($F1619="Closed",$X1619&gt;=DATE(2026,5,1),$X1619&lt;=DATE(2026,5,31)),"Closed in May","Other")</f>
        <v/>
      </c>
    </row>
    <row r="1620">
      <c r="A1620" s="37" t="n">
        <v>46143</v>
      </c>
      <c r="B1620" s="3" t="n">
        <v>2026</v>
      </c>
      <c r="C1620" s="26" t="inlineStr">
        <is>
          <t>Yanara Power</t>
        </is>
      </c>
      <c r="D1620" s="3" t="inlineStr">
        <is>
          <t>Utility and C&amp;I</t>
        </is>
      </c>
      <c r="E1620" s="3" t="n"/>
      <c r="F1620" s="3" t="inlineStr">
        <is>
          <t>Closed</t>
        </is>
      </c>
      <c r="G1620" s="9" t="inlineStr">
        <is>
          <t xml:space="preserve">Ashish Jindal </t>
        </is>
      </c>
      <c r="H1620" s="26" t="n">
        <v>9983975581</v>
      </c>
      <c r="I1620" s="38" t="inlineStr">
        <is>
          <t>PE01052601</t>
        </is>
      </c>
      <c r="J1620" s="26" t="inlineStr">
        <is>
          <t>Multiple Issues</t>
        </is>
      </c>
      <c r="K1620" s="39" t="inlineStr">
        <is>
          <t>Holi</t>
        </is>
      </c>
      <c r="L1620" s="39" t="inlineStr">
        <is>
          <t>Maharashtra</t>
        </is>
      </c>
      <c r="M1620" s="46" t="inlineStr">
        <is>
          <t>PS</t>
        </is>
      </c>
      <c r="N1620" s="3" t="inlineStr">
        <is>
          <t>Cold Soldering</t>
        </is>
      </c>
      <c r="O1620" s="39" t="n">
        <v>575</v>
      </c>
      <c r="P1620" s="46" t="inlineStr">
        <is>
          <t>NSMI24070184584</t>
        </is>
      </c>
      <c r="Q1620" s="53">
        <f>MID(P1620,5,2)</f>
        <v/>
      </c>
      <c r="R1620" s="53">
        <f>MID(P1620,7,2)</f>
        <v/>
      </c>
      <c r="S1620" s="3" t="inlineStr">
        <is>
          <t>G2G</t>
        </is>
      </c>
      <c r="T1620" s="3" t="inlineStr">
        <is>
          <t>P4</t>
        </is>
      </c>
      <c r="U1620" s="19" t="inlineStr">
        <is>
          <t>P JB Cold Soldering</t>
        </is>
      </c>
      <c r="V1620" s="19" t="inlineStr">
        <is>
          <t>Soldering</t>
        </is>
      </c>
      <c r="W1620" s="3" t="inlineStr">
        <is>
          <t>Repair</t>
        </is>
      </c>
      <c r="X1620" s="18" t="n">
        <v>46162</v>
      </c>
      <c r="Y1620" s="73">
        <f>IF(X1620="","",X1620-A1620)</f>
        <v/>
      </c>
      <c r="Z1620" s="18" t="n">
        <v>46162</v>
      </c>
      <c r="AA1620" s="15" t="n"/>
      <c r="AB1620" s="15" t="n"/>
      <c r="AF1620">
        <f>IF(AND($F1620="Closed",$X1620&gt;=DATE(2026,5,1),$X1620&lt;=DATE(2026,5,31)),"Closed in May","Other")</f>
        <v/>
      </c>
    </row>
    <row r="1621">
      <c r="A1621" s="37" t="n">
        <v>46143</v>
      </c>
      <c r="B1621" s="3" t="n">
        <v>2026</v>
      </c>
      <c r="C1621" s="26" t="inlineStr">
        <is>
          <t>Yanara Power</t>
        </is>
      </c>
      <c r="D1621" s="3" t="inlineStr">
        <is>
          <t>Utility and C&amp;I</t>
        </is>
      </c>
      <c r="E1621" s="3" t="n"/>
      <c r="F1621" s="3" t="inlineStr">
        <is>
          <t>Closed</t>
        </is>
      </c>
      <c r="G1621" s="9" t="inlineStr">
        <is>
          <t xml:space="preserve">Ashish Jindal </t>
        </is>
      </c>
      <c r="H1621" s="26" t="n">
        <v>9983975581</v>
      </c>
      <c r="I1621" s="38" t="inlineStr">
        <is>
          <t>PE01052601</t>
        </is>
      </c>
      <c r="J1621" s="26" t="inlineStr">
        <is>
          <t>Multiple Issues</t>
        </is>
      </c>
      <c r="K1621" s="39" t="inlineStr">
        <is>
          <t>Holi</t>
        </is>
      </c>
      <c r="L1621" s="39" t="inlineStr">
        <is>
          <t>Maharashtra</t>
        </is>
      </c>
      <c r="M1621" s="46" t="inlineStr">
        <is>
          <t>PS</t>
        </is>
      </c>
      <c r="N1621" s="3" t="inlineStr">
        <is>
          <t>Cold Soldering</t>
        </is>
      </c>
      <c r="O1621" s="39" t="n">
        <v>575</v>
      </c>
      <c r="P1621" s="46" t="inlineStr">
        <is>
          <t>NSMI24070184579</t>
        </is>
      </c>
      <c r="Q1621" s="53">
        <f>MID(P1621,5,2)</f>
        <v/>
      </c>
      <c r="R1621" s="53">
        <f>MID(P1621,7,2)</f>
        <v/>
      </c>
      <c r="S1621" s="3" t="inlineStr">
        <is>
          <t>G2G</t>
        </is>
      </c>
      <c r="T1621" s="3" t="inlineStr">
        <is>
          <t>P4</t>
        </is>
      </c>
      <c r="U1621" s="19" t="inlineStr">
        <is>
          <t>P JB Cold Soldering</t>
        </is>
      </c>
      <c r="V1621" s="19" t="inlineStr">
        <is>
          <t>Soldering</t>
        </is>
      </c>
      <c r="W1621" s="3" t="inlineStr">
        <is>
          <t>Repair</t>
        </is>
      </c>
      <c r="X1621" s="18" t="n">
        <v>46162</v>
      </c>
      <c r="Y1621" s="73">
        <f>IF(X1621="","",X1621-A1621)</f>
        <v/>
      </c>
      <c r="Z1621" s="18" t="n">
        <v>46162</v>
      </c>
      <c r="AA1621" s="15" t="n"/>
      <c r="AB1621" s="15" t="n"/>
      <c r="AF1621">
        <f>IF(AND($F1621="Closed",$X1621&gt;=DATE(2026,5,1),$X1621&lt;=DATE(2026,5,31)),"Closed in May","Other")</f>
        <v/>
      </c>
    </row>
    <row r="1622">
      <c r="A1622" s="37" t="n">
        <v>46143</v>
      </c>
      <c r="B1622" s="3" t="n">
        <v>2026</v>
      </c>
      <c r="C1622" s="26" t="inlineStr">
        <is>
          <t>Yanara Power</t>
        </is>
      </c>
      <c r="D1622" s="3" t="inlineStr">
        <is>
          <t>Utility and C&amp;I</t>
        </is>
      </c>
      <c r="E1622" s="3" t="n"/>
      <c r="F1622" s="3" t="inlineStr">
        <is>
          <t>Closed</t>
        </is>
      </c>
      <c r="G1622" s="9" t="inlineStr">
        <is>
          <t xml:space="preserve">Ashish Jindal </t>
        </is>
      </c>
      <c r="H1622" s="26" t="n">
        <v>9983975581</v>
      </c>
      <c r="I1622" s="38" t="inlineStr">
        <is>
          <t>PE01052601</t>
        </is>
      </c>
      <c r="J1622" s="26" t="inlineStr">
        <is>
          <t>Multiple Issues</t>
        </is>
      </c>
      <c r="K1622" s="39" t="inlineStr">
        <is>
          <t>Holi</t>
        </is>
      </c>
      <c r="L1622" s="39" t="inlineStr">
        <is>
          <t>Maharashtra</t>
        </is>
      </c>
      <c r="M1622" s="46" t="inlineStr">
        <is>
          <t>PS</t>
        </is>
      </c>
      <c r="N1622" s="3" t="inlineStr">
        <is>
          <t>Cold Soldering</t>
        </is>
      </c>
      <c r="O1622" s="39" t="n">
        <v>575</v>
      </c>
      <c r="P1622" s="46" t="inlineStr">
        <is>
          <t>NSMI24070184580</t>
        </is>
      </c>
      <c r="Q1622" s="53">
        <f>MID(P1622,5,2)</f>
        <v/>
      </c>
      <c r="R1622" s="53">
        <f>MID(P1622,7,2)</f>
        <v/>
      </c>
      <c r="S1622" s="3" t="inlineStr">
        <is>
          <t>G2G</t>
        </is>
      </c>
      <c r="T1622" s="3" t="inlineStr">
        <is>
          <t>P4</t>
        </is>
      </c>
      <c r="U1622" s="19" t="inlineStr">
        <is>
          <t>P JB Cold Soldering</t>
        </is>
      </c>
      <c r="V1622" s="19" t="inlineStr">
        <is>
          <t>Soldering</t>
        </is>
      </c>
      <c r="W1622" s="3" t="inlineStr">
        <is>
          <t>Repair</t>
        </is>
      </c>
      <c r="X1622" s="18" t="n">
        <v>46162</v>
      </c>
      <c r="Y1622" s="73">
        <f>IF(X1622="","",X1622-A1622)</f>
        <v/>
      </c>
      <c r="Z1622" s="18" t="n">
        <v>46162</v>
      </c>
      <c r="AA1622" s="15" t="n"/>
      <c r="AB1622" s="15" t="n"/>
      <c r="AF1622">
        <f>IF(AND($F1622="Closed",$X1622&gt;=DATE(2026,5,1),$X1622&lt;=DATE(2026,5,31)),"Closed in May","Other")</f>
        <v/>
      </c>
    </row>
    <row r="1623">
      <c r="A1623" s="37" t="n">
        <v>46143</v>
      </c>
      <c r="B1623" s="3" t="n">
        <v>2026</v>
      </c>
      <c r="C1623" s="26" t="inlineStr">
        <is>
          <t>Yanara Power</t>
        </is>
      </c>
      <c r="D1623" s="3" t="inlineStr">
        <is>
          <t>Utility and C&amp;I</t>
        </is>
      </c>
      <c r="E1623" s="3" t="n"/>
      <c r="F1623" s="3" t="inlineStr">
        <is>
          <t>Closed</t>
        </is>
      </c>
      <c r="G1623" s="9" t="inlineStr">
        <is>
          <t xml:space="preserve">Ashish Jindal </t>
        </is>
      </c>
      <c r="H1623" s="26" t="n">
        <v>9983975581</v>
      </c>
      <c r="I1623" s="38" t="inlineStr">
        <is>
          <t>PE01052601</t>
        </is>
      </c>
      <c r="J1623" s="26" t="inlineStr">
        <is>
          <t>Multiple Issues</t>
        </is>
      </c>
      <c r="K1623" s="39" t="inlineStr">
        <is>
          <t>Holi</t>
        </is>
      </c>
      <c r="L1623" s="39" t="inlineStr">
        <is>
          <t>Maharashtra</t>
        </is>
      </c>
      <c r="M1623" s="46" t="inlineStr">
        <is>
          <t>PS</t>
        </is>
      </c>
      <c r="N1623" s="3" t="inlineStr">
        <is>
          <t>Cold Soldering</t>
        </is>
      </c>
      <c r="O1623" s="39" t="n">
        <v>575</v>
      </c>
      <c r="P1623" s="46" t="inlineStr">
        <is>
          <t>NSMI24070181448</t>
        </is>
      </c>
      <c r="Q1623" s="53">
        <f>MID(P1623,5,2)</f>
        <v/>
      </c>
      <c r="R1623" s="53">
        <f>MID(P1623,7,2)</f>
        <v/>
      </c>
      <c r="S1623" s="3" t="inlineStr">
        <is>
          <t>G2G</t>
        </is>
      </c>
      <c r="T1623" s="3" t="inlineStr">
        <is>
          <t>P4</t>
        </is>
      </c>
      <c r="U1623" s="19" t="inlineStr">
        <is>
          <t>P JB Cold Soldering</t>
        </is>
      </c>
      <c r="V1623" s="19" t="inlineStr">
        <is>
          <t>Soldering</t>
        </is>
      </c>
      <c r="W1623" s="3" t="inlineStr">
        <is>
          <t>Repair</t>
        </is>
      </c>
      <c r="X1623" s="18" t="n">
        <v>46162</v>
      </c>
      <c r="Y1623" s="73">
        <f>IF(X1623="","",X1623-A1623)</f>
        <v/>
      </c>
      <c r="Z1623" s="18" t="n">
        <v>46162</v>
      </c>
      <c r="AA1623" s="15" t="n"/>
      <c r="AB1623" s="15" t="n"/>
      <c r="AF1623">
        <f>IF(AND($F1623="Closed",$X1623&gt;=DATE(2026,5,1),$X1623&lt;=DATE(2026,5,31)),"Closed in May","Other")</f>
        <v/>
      </c>
    </row>
    <row r="1624">
      <c r="A1624" s="37" t="n">
        <v>46143</v>
      </c>
      <c r="B1624" s="3" t="n">
        <v>2026</v>
      </c>
      <c r="C1624" s="26" t="inlineStr">
        <is>
          <t>Yanara Power</t>
        </is>
      </c>
      <c r="D1624" s="3" t="inlineStr">
        <is>
          <t>Utility and C&amp;I</t>
        </is>
      </c>
      <c r="E1624" s="3" t="n"/>
      <c r="F1624" s="3" t="inlineStr">
        <is>
          <t>Closed</t>
        </is>
      </c>
      <c r="G1624" s="9" t="inlineStr">
        <is>
          <t xml:space="preserve">Ashish Jindal </t>
        </is>
      </c>
      <c r="H1624" s="26" t="n">
        <v>9983975581</v>
      </c>
      <c r="I1624" s="38" t="inlineStr">
        <is>
          <t>PE01052601</t>
        </is>
      </c>
      <c r="J1624" s="26" t="inlineStr">
        <is>
          <t>Multiple Issues</t>
        </is>
      </c>
      <c r="K1624" s="39" t="inlineStr">
        <is>
          <t>Holi</t>
        </is>
      </c>
      <c r="L1624" s="39" t="inlineStr">
        <is>
          <t>Maharashtra</t>
        </is>
      </c>
      <c r="M1624" s="46" t="inlineStr">
        <is>
          <t>PS</t>
        </is>
      </c>
      <c r="N1624" s="3" t="inlineStr">
        <is>
          <t>Cold Soldering</t>
        </is>
      </c>
      <c r="O1624" s="39" t="n">
        <v>575</v>
      </c>
      <c r="P1624" s="46" t="inlineStr">
        <is>
          <t>NSMI24070182175</t>
        </is>
      </c>
      <c r="Q1624" s="53">
        <f>MID(P1624,5,2)</f>
        <v/>
      </c>
      <c r="R1624" s="53">
        <f>MID(P1624,7,2)</f>
        <v/>
      </c>
      <c r="S1624" s="3" t="inlineStr">
        <is>
          <t>G2G</t>
        </is>
      </c>
      <c r="T1624" s="3" t="inlineStr">
        <is>
          <t>P4</t>
        </is>
      </c>
      <c r="U1624" s="19" t="inlineStr">
        <is>
          <t>P JB Cold Soldering</t>
        </is>
      </c>
      <c r="V1624" s="19" t="inlineStr">
        <is>
          <t>Soldering</t>
        </is>
      </c>
      <c r="W1624" s="3" t="inlineStr">
        <is>
          <t>Repair</t>
        </is>
      </c>
      <c r="X1624" s="18" t="n">
        <v>46162</v>
      </c>
      <c r="Y1624" s="73">
        <f>IF(X1624="","",X1624-A1624)</f>
        <v/>
      </c>
      <c r="Z1624" s="18" t="n">
        <v>46162</v>
      </c>
      <c r="AA1624" s="15" t="n"/>
      <c r="AB1624" s="15" t="n"/>
      <c r="AF1624">
        <f>IF(AND($F1624="Closed",$X1624&gt;=DATE(2026,5,1),$X1624&lt;=DATE(2026,5,31)),"Closed in May","Other")</f>
        <v/>
      </c>
    </row>
    <row r="1625">
      <c r="A1625" s="37" t="n">
        <v>46143</v>
      </c>
      <c r="B1625" s="3" t="n">
        <v>2026</v>
      </c>
      <c r="C1625" s="26" t="inlineStr">
        <is>
          <t>Yanara Power</t>
        </is>
      </c>
      <c r="D1625" s="3" t="inlineStr">
        <is>
          <t>Utility and C&amp;I</t>
        </is>
      </c>
      <c r="E1625" s="3" t="n"/>
      <c r="F1625" s="3" t="inlineStr">
        <is>
          <t>Closed</t>
        </is>
      </c>
      <c r="G1625" s="9" t="inlineStr">
        <is>
          <t xml:space="preserve">Ashish Jindal </t>
        </is>
      </c>
      <c r="H1625" s="26" t="n">
        <v>9983975581</v>
      </c>
      <c r="I1625" s="38" t="inlineStr">
        <is>
          <t>PE01052601</t>
        </is>
      </c>
      <c r="J1625" s="26" t="inlineStr">
        <is>
          <t>Multiple Issues</t>
        </is>
      </c>
      <c r="K1625" s="39" t="inlineStr">
        <is>
          <t>Holi</t>
        </is>
      </c>
      <c r="L1625" s="39" t="inlineStr">
        <is>
          <t>Maharashtra</t>
        </is>
      </c>
      <c r="M1625" s="46" t="inlineStr">
        <is>
          <t>NS</t>
        </is>
      </c>
      <c r="N1625" s="3" t="inlineStr">
        <is>
          <t>Cold Soldering</t>
        </is>
      </c>
      <c r="O1625" s="39" t="n">
        <v>575</v>
      </c>
      <c r="P1625" s="46" t="inlineStr">
        <is>
          <t>NSMI24070181936</t>
        </is>
      </c>
      <c r="Q1625" s="53">
        <f>MID(P1625,5,2)</f>
        <v/>
      </c>
      <c r="R1625" s="53">
        <f>MID(P1625,7,2)</f>
        <v/>
      </c>
      <c r="S1625" s="3" t="inlineStr">
        <is>
          <t>G2G</t>
        </is>
      </c>
      <c r="T1625" s="3" t="inlineStr">
        <is>
          <t>P4</t>
        </is>
      </c>
      <c r="U1625" s="3" t="inlineStr">
        <is>
          <t>N JB Cold Soldering</t>
        </is>
      </c>
      <c r="V1625" s="3" t="inlineStr">
        <is>
          <t>Soldering</t>
        </is>
      </c>
      <c r="W1625" s="3" t="inlineStr">
        <is>
          <t>Repair</t>
        </is>
      </c>
      <c r="X1625" s="18" t="n">
        <v>46162</v>
      </c>
      <c r="Y1625" s="73">
        <f>IF(X1625="","",X1625-A1625)</f>
        <v/>
      </c>
      <c r="Z1625" s="18" t="n">
        <v>46162</v>
      </c>
      <c r="AA1625" s="15" t="n"/>
      <c r="AB1625" s="15" t="n"/>
      <c r="AF1625">
        <f>IF(AND($F1625="Closed",$X1625&gt;=DATE(2026,5,1),$X1625&lt;=DATE(2026,5,31)),"Closed in May","Other")</f>
        <v/>
      </c>
    </row>
    <row r="1626">
      <c r="A1626" s="37" t="n">
        <v>46143</v>
      </c>
      <c r="B1626" s="3" t="n">
        <v>2026</v>
      </c>
      <c r="C1626" s="26" t="inlineStr">
        <is>
          <t>Yanara Power</t>
        </is>
      </c>
      <c r="D1626" s="3" t="inlineStr">
        <is>
          <t>Utility and C&amp;I</t>
        </is>
      </c>
      <c r="E1626" s="3" t="n"/>
      <c r="F1626" s="3" t="inlineStr">
        <is>
          <t>Closed</t>
        </is>
      </c>
      <c r="G1626" s="9" t="inlineStr">
        <is>
          <t xml:space="preserve">Ashish Jindal </t>
        </is>
      </c>
      <c r="H1626" s="26" t="n">
        <v>9983975581</v>
      </c>
      <c r="I1626" s="38" t="inlineStr">
        <is>
          <t>PE01052601</t>
        </is>
      </c>
      <c r="J1626" s="26" t="inlineStr">
        <is>
          <t>Multiple Issues</t>
        </is>
      </c>
      <c r="K1626" s="39" t="inlineStr">
        <is>
          <t>Holi</t>
        </is>
      </c>
      <c r="L1626" s="39" t="inlineStr">
        <is>
          <t>Maharashtra</t>
        </is>
      </c>
      <c r="M1626" s="46" t="inlineStr">
        <is>
          <t>PS</t>
        </is>
      </c>
      <c r="N1626" s="3" t="inlineStr">
        <is>
          <t>Cold Soldering</t>
        </is>
      </c>
      <c r="O1626" s="39" t="n">
        <v>575</v>
      </c>
      <c r="P1626" s="46" t="inlineStr">
        <is>
          <t>NSMI24070181056</t>
        </is>
      </c>
      <c r="Q1626" s="53">
        <f>MID(P1626,5,2)</f>
        <v/>
      </c>
      <c r="R1626" s="53">
        <f>MID(P1626,7,2)</f>
        <v/>
      </c>
      <c r="S1626" s="3" t="inlineStr">
        <is>
          <t>G2G</t>
        </is>
      </c>
      <c r="T1626" s="3" t="inlineStr">
        <is>
          <t>P4</t>
        </is>
      </c>
      <c r="U1626" s="19" t="inlineStr">
        <is>
          <t>P JB Cold Soldering</t>
        </is>
      </c>
      <c r="V1626" s="19" t="inlineStr">
        <is>
          <t>Soldering</t>
        </is>
      </c>
      <c r="W1626" s="3" t="inlineStr">
        <is>
          <t>Repair</t>
        </is>
      </c>
      <c r="X1626" s="18" t="n">
        <v>46162</v>
      </c>
      <c r="Y1626" s="73">
        <f>IF(X1626="","",X1626-A1626)</f>
        <v/>
      </c>
      <c r="Z1626" s="18" t="n">
        <v>46162</v>
      </c>
      <c r="AA1626" s="15" t="n"/>
      <c r="AB1626" s="15" t="n"/>
      <c r="AF1626">
        <f>IF(AND($F1626="Closed",$X1626&gt;=DATE(2026,5,1),$X1626&lt;=DATE(2026,5,31)),"Closed in May","Other")</f>
        <v/>
      </c>
    </row>
    <row r="1627">
      <c r="A1627" s="37" t="n">
        <v>46143</v>
      </c>
      <c r="B1627" s="3" t="n">
        <v>2026</v>
      </c>
      <c r="C1627" s="26" t="inlineStr">
        <is>
          <t>Yanara Power</t>
        </is>
      </c>
      <c r="D1627" s="3" t="inlineStr">
        <is>
          <t>Utility and C&amp;I</t>
        </is>
      </c>
      <c r="E1627" s="3" t="n"/>
      <c r="F1627" s="3" t="inlineStr">
        <is>
          <t>Closed</t>
        </is>
      </c>
      <c r="G1627" s="9" t="inlineStr">
        <is>
          <t xml:space="preserve">Ashish Jindal </t>
        </is>
      </c>
      <c r="H1627" s="26" t="n">
        <v>9983975581</v>
      </c>
      <c r="I1627" s="38" t="inlineStr">
        <is>
          <t>PE01052601</t>
        </is>
      </c>
      <c r="J1627" s="26" t="inlineStr">
        <is>
          <t>Multiple Issues</t>
        </is>
      </c>
      <c r="K1627" s="39" t="inlineStr">
        <is>
          <t>Holi</t>
        </is>
      </c>
      <c r="L1627" s="39" t="inlineStr">
        <is>
          <t>Maharashtra</t>
        </is>
      </c>
      <c r="M1627" s="46" t="inlineStr">
        <is>
          <t>PS</t>
        </is>
      </c>
      <c r="N1627" s="3" t="inlineStr">
        <is>
          <t>Cold Soldering</t>
        </is>
      </c>
      <c r="O1627" s="39" t="n">
        <v>575</v>
      </c>
      <c r="P1627" s="46" t="inlineStr">
        <is>
          <t>NSMI24070181058</t>
        </is>
      </c>
      <c r="Q1627" s="53">
        <f>MID(P1627,5,2)</f>
        <v/>
      </c>
      <c r="R1627" s="53">
        <f>MID(P1627,7,2)</f>
        <v/>
      </c>
      <c r="S1627" s="3" t="inlineStr">
        <is>
          <t>G2G</t>
        </is>
      </c>
      <c r="T1627" s="3" t="inlineStr">
        <is>
          <t>P4</t>
        </is>
      </c>
      <c r="U1627" s="19" t="inlineStr">
        <is>
          <t>P JB Cold Soldering</t>
        </is>
      </c>
      <c r="V1627" s="19" t="inlineStr">
        <is>
          <t>Soldering</t>
        </is>
      </c>
      <c r="W1627" s="3" t="inlineStr">
        <is>
          <t>Repair</t>
        </is>
      </c>
      <c r="X1627" s="18" t="n">
        <v>46162</v>
      </c>
      <c r="Y1627" s="73">
        <f>IF(X1627="","",X1627-A1627)</f>
        <v/>
      </c>
      <c r="Z1627" s="18" t="n">
        <v>46162</v>
      </c>
      <c r="AA1627" s="15" t="n"/>
      <c r="AB1627" s="15" t="n"/>
      <c r="AF1627">
        <f>IF(AND($F1627="Closed",$X1627&gt;=DATE(2026,5,1),$X1627&lt;=DATE(2026,5,31)),"Closed in May","Other")</f>
        <v/>
      </c>
    </row>
    <row r="1628">
      <c r="A1628" s="37" t="n">
        <v>46143</v>
      </c>
      <c r="B1628" s="3" t="n">
        <v>2026</v>
      </c>
      <c r="C1628" s="26" t="inlineStr">
        <is>
          <t>Yanara Power</t>
        </is>
      </c>
      <c r="D1628" s="3" t="inlineStr">
        <is>
          <t>Utility and C&amp;I</t>
        </is>
      </c>
      <c r="E1628" s="3" t="n"/>
      <c r="F1628" s="3" t="inlineStr">
        <is>
          <t>Closed</t>
        </is>
      </c>
      <c r="G1628" s="9" t="inlineStr">
        <is>
          <t xml:space="preserve">Ashish Jindal </t>
        </is>
      </c>
      <c r="H1628" s="26" t="n">
        <v>9983975581</v>
      </c>
      <c r="I1628" s="38" t="inlineStr">
        <is>
          <t>PE01052601</t>
        </is>
      </c>
      <c r="J1628" s="26" t="inlineStr">
        <is>
          <t>Multiple Issues</t>
        </is>
      </c>
      <c r="K1628" s="39" t="inlineStr">
        <is>
          <t>Holi</t>
        </is>
      </c>
      <c r="L1628" s="39" t="inlineStr">
        <is>
          <t>Maharashtra</t>
        </is>
      </c>
      <c r="M1628" s="46" t="inlineStr">
        <is>
          <t>PS</t>
        </is>
      </c>
      <c r="N1628" s="3" t="inlineStr">
        <is>
          <t>Cold Soldering</t>
        </is>
      </c>
      <c r="O1628" s="39" t="n">
        <v>575</v>
      </c>
      <c r="P1628" s="46" t="inlineStr">
        <is>
          <t>NSMI24070177474</t>
        </is>
      </c>
      <c r="Q1628" s="53">
        <f>MID(P1628,5,2)</f>
        <v/>
      </c>
      <c r="R1628" s="53">
        <f>MID(P1628,7,2)</f>
        <v/>
      </c>
      <c r="S1628" s="3" t="inlineStr">
        <is>
          <t>G2G</t>
        </is>
      </c>
      <c r="T1628" s="3" t="inlineStr">
        <is>
          <t>P4</t>
        </is>
      </c>
      <c r="U1628" s="19" t="inlineStr">
        <is>
          <t>P JB Cold Soldering</t>
        </is>
      </c>
      <c r="V1628" s="19" t="inlineStr">
        <is>
          <t>Soldering</t>
        </is>
      </c>
      <c r="W1628" s="3" t="inlineStr">
        <is>
          <t>Repair</t>
        </is>
      </c>
      <c r="X1628" s="18" t="n">
        <v>46162</v>
      </c>
      <c r="Y1628" s="73">
        <f>IF(X1628="","",X1628-A1628)</f>
        <v/>
      </c>
      <c r="Z1628" s="18" t="n">
        <v>46162</v>
      </c>
      <c r="AA1628" s="15" t="n"/>
      <c r="AB1628" s="15" t="n"/>
      <c r="AF1628">
        <f>IF(AND($F1628="Closed",$X1628&gt;=DATE(2026,5,1),$X1628&lt;=DATE(2026,5,31)),"Closed in May","Other")</f>
        <v/>
      </c>
    </row>
    <row r="1629">
      <c r="A1629" s="37" t="n">
        <v>46143</v>
      </c>
      <c r="B1629" s="3" t="n">
        <v>2026</v>
      </c>
      <c r="C1629" s="26" t="inlineStr">
        <is>
          <t>Yanara Power</t>
        </is>
      </c>
      <c r="D1629" s="3" t="inlineStr">
        <is>
          <t>Utility and C&amp;I</t>
        </is>
      </c>
      <c r="E1629" s="3" t="n"/>
      <c r="F1629" s="3" t="inlineStr">
        <is>
          <t>Closed</t>
        </is>
      </c>
      <c r="G1629" s="9" t="inlineStr">
        <is>
          <t xml:space="preserve">Ashish Jindal </t>
        </is>
      </c>
      <c r="H1629" s="26" t="n">
        <v>9983975581</v>
      </c>
      <c r="I1629" s="38" t="inlineStr">
        <is>
          <t>PE01052601</t>
        </is>
      </c>
      <c r="J1629" s="26" t="inlineStr">
        <is>
          <t>Multiple Issues</t>
        </is>
      </c>
      <c r="K1629" s="39" t="inlineStr">
        <is>
          <t>Holi</t>
        </is>
      </c>
      <c r="L1629" s="39" t="inlineStr">
        <is>
          <t>Maharashtra</t>
        </is>
      </c>
      <c r="M1629" s="46" t="inlineStr">
        <is>
          <t>PS</t>
        </is>
      </c>
      <c r="N1629" s="3" t="inlineStr">
        <is>
          <t>Cold Soldering</t>
        </is>
      </c>
      <c r="O1629" s="39" t="n">
        <v>575</v>
      </c>
      <c r="P1629" s="46" t="inlineStr">
        <is>
          <t>NSMI24070182813</t>
        </is>
      </c>
      <c r="Q1629" s="53">
        <f>MID(P1629,5,2)</f>
        <v/>
      </c>
      <c r="R1629" s="53">
        <f>MID(P1629,7,2)</f>
        <v/>
      </c>
      <c r="S1629" s="3" t="inlineStr">
        <is>
          <t>G2G</t>
        </is>
      </c>
      <c r="T1629" s="3" t="inlineStr">
        <is>
          <t>P4</t>
        </is>
      </c>
      <c r="U1629" s="19" t="inlineStr">
        <is>
          <t>P JB Cold Soldering</t>
        </is>
      </c>
      <c r="V1629" s="19" t="inlineStr">
        <is>
          <t>Soldering</t>
        </is>
      </c>
      <c r="W1629" s="3" t="inlineStr">
        <is>
          <t>Repair</t>
        </is>
      </c>
      <c r="X1629" s="18" t="n">
        <v>46162</v>
      </c>
      <c r="Y1629" s="73">
        <f>IF(X1629="","",X1629-A1629)</f>
        <v/>
      </c>
      <c r="Z1629" s="18" t="n">
        <v>46162</v>
      </c>
      <c r="AA1629" s="15" t="n"/>
      <c r="AB1629" s="15" t="n"/>
      <c r="AF1629">
        <f>IF(AND($F1629="Closed",$X1629&gt;=DATE(2026,5,1),$X1629&lt;=DATE(2026,5,31)),"Closed in May","Other")</f>
        <v/>
      </c>
    </row>
    <row r="1630">
      <c r="A1630" s="37" t="n">
        <v>46143</v>
      </c>
      <c r="B1630" s="3" t="n">
        <v>2026</v>
      </c>
      <c r="C1630" s="26" t="inlineStr">
        <is>
          <t>Yanara Power</t>
        </is>
      </c>
      <c r="D1630" s="3" t="inlineStr">
        <is>
          <t>Utility and C&amp;I</t>
        </is>
      </c>
      <c r="E1630" s="3" t="n"/>
      <c r="F1630" s="3" t="inlineStr">
        <is>
          <t>Closed</t>
        </is>
      </c>
      <c r="G1630" s="9" t="inlineStr">
        <is>
          <t xml:space="preserve">Ashish Jindal </t>
        </is>
      </c>
      <c r="H1630" s="26" t="n">
        <v>9983975581</v>
      </c>
      <c r="I1630" s="38" t="inlineStr">
        <is>
          <t>PE01052601</t>
        </is>
      </c>
      <c r="J1630" s="26" t="inlineStr">
        <is>
          <t>Multiple Issues</t>
        </is>
      </c>
      <c r="K1630" s="39" t="inlineStr">
        <is>
          <t>Holi</t>
        </is>
      </c>
      <c r="L1630" s="39" t="inlineStr">
        <is>
          <t>Maharashtra</t>
        </is>
      </c>
      <c r="M1630" s="46" t="inlineStr">
        <is>
          <t>PS</t>
        </is>
      </c>
      <c r="N1630" s="3" t="inlineStr">
        <is>
          <t>Cold Soldering</t>
        </is>
      </c>
      <c r="O1630" s="39" t="n">
        <v>575</v>
      </c>
      <c r="P1630" s="46" t="inlineStr">
        <is>
          <t>NSMI24070179282</t>
        </is>
      </c>
      <c r="Q1630" s="53">
        <f>MID(P1630,5,2)</f>
        <v/>
      </c>
      <c r="R1630" s="53">
        <f>MID(P1630,7,2)</f>
        <v/>
      </c>
      <c r="S1630" s="3" t="inlineStr">
        <is>
          <t>G2G</t>
        </is>
      </c>
      <c r="T1630" s="3" t="inlineStr">
        <is>
          <t>P4</t>
        </is>
      </c>
      <c r="U1630" s="19" t="inlineStr">
        <is>
          <t>P JB Cold Soldering</t>
        </is>
      </c>
      <c r="V1630" s="19" t="inlineStr">
        <is>
          <t>Soldering</t>
        </is>
      </c>
      <c r="W1630" s="3" t="inlineStr">
        <is>
          <t>Repair</t>
        </is>
      </c>
      <c r="X1630" s="18" t="n">
        <v>46162</v>
      </c>
      <c r="Y1630" s="73">
        <f>IF(X1630="","",X1630-A1630)</f>
        <v/>
      </c>
      <c r="Z1630" s="18" t="n">
        <v>46162</v>
      </c>
      <c r="AA1630" s="15" t="n"/>
      <c r="AB1630" s="15" t="n"/>
      <c r="AF1630">
        <f>IF(AND($F1630="Closed",$X1630&gt;=DATE(2026,5,1),$X1630&lt;=DATE(2026,5,31)),"Closed in May","Other")</f>
        <v/>
      </c>
    </row>
    <row r="1631">
      <c r="A1631" s="37" t="n">
        <v>46143</v>
      </c>
      <c r="B1631" s="3" t="n">
        <v>2026</v>
      </c>
      <c r="C1631" s="26" t="inlineStr">
        <is>
          <t>Yanara Power</t>
        </is>
      </c>
      <c r="D1631" s="3" t="inlineStr">
        <is>
          <t>Utility and C&amp;I</t>
        </is>
      </c>
      <c r="E1631" s="3" t="n"/>
      <c r="F1631" s="3" t="inlineStr">
        <is>
          <t>Closed</t>
        </is>
      </c>
      <c r="G1631" s="9" t="inlineStr">
        <is>
          <t xml:space="preserve">Ashish Jindal </t>
        </is>
      </c>
      <c r="H1631" s="26" t="n">
        <v>9983975581</v>
      </c>
      <c r="I1631" s="38" t="inlineStr">
        <is>
          <t>PE01052601</t>
        </is>
      </c>
      <c r="J1631" s="26" t="inlineStr">
        <is>
          <t>Multiple Issues</t>
        </is>
      </c>
      <c r="K1631" s="39" t="inlineStr">
        <is>
          <t>Holi</t>
        </is>
      </c>
      <c r="L1631" s="39" t="inlineStr">
        <is>
          <t>Maharashtra</t>
        </is>
      </c>
      <c r="M1631" s="46" t="inlineStr">
        <is>
          <t>PS</t>
        </is>
      </c>
      <c r="N1631" s="3" t="inlineStr">
        <is>
          <t>Cold Soldering</t>
        </is>
      </c>
      <c r="O1631" s="39" t="n">
        <v>575</v>
      </c>
      <c r="P1631" s="46" t="inlineStr">
        <is>
          <t>NSMI24070179261</t>
        </is>
      </c>
      <c r="Q1631" s="53">
        <f>MID(P1631,5,2)</f>
        <v/>
      </c>
      <c r="R1631" s="53">
        <f>MID(P1631,7,2)</f>
        <v/>
      </c>
      <c r="S1631" s="3" t="inlineStr">
        <is>
          <t>G2G</t>
        </is>
      </c>
      <c r="T1631" s="3" t="inlineStr">
        <is>
          <t>P4</t>
        </is>
      </c>
      <c r="U1631" s="19" t="inlineStr">
        <is>
          <t>P JB Cold Soldering</t>
        </is>
      </c>
      <c r="V1631" s="19" t="inlineStr">
        <is>
          <t>Soldering</t>
        </is>
      </c>
      <c r="W1631" s="3" t="inlineStr">
        <is>
          <t>Repair</t>
        </is>
      </c>
      <c r="X1631" s="18" t="n">
        <v>46162</v>
      </c>
      <c r="Y1631" s="73">
        <f>IF(X1631="","",X1631-A1631)</f>
        <v/>
      </c>
      <c r="Z1631" s="18" t="n">
        <v>46162</v>
      </c>
      <c r="AA1631" s="15" t="n"/>
      <c r="AB1631" s="15" t="n"/>
      <c r="AF1631">
        <f>IF(AND($F1631="Closed",$X1631&gt;=DATE(2026,5,1),$X1631&lt;=DATE(2026,5,31)),"Closed in May","Other")</f>
        <v/>
      </c>
    </row>
    <row r="1632">
      <c r="A1632" s="37" t="n">
        <v>46143</v>
      </c>
      <c r="B1632" s="3" t="n">
        <v>2026</v>
      </c>
      <c r="C1632" s="26" t="inlineStr">
        <is>
          <t>Yanara Power</t>
        </is>
      </c>
      <c r="D1632" s="3" t="inlineStr">
        <is>
          <t>Utility and C&amp;I</t>
        </is>
      </c>
      <c r="E1632" s="3" t="n"/>
      <c r="F1632" s="3" t="inlineStr">
        <is>
          <t>Closed</t>
        </is>
      </c>
      <c r="G1632" s="9" t="inlineStr">
        <is>
          <t xml:space="preserve">Ashish Jindal </t>
        </is>
      </c>
      <c r="H1632" s="26" t="n">
        <v>9983975581</v>
      </c>
      <c r="I1632" s="38" t="inlineStr">
        <is>
          <t>PE01052601</t>
        </is>
      </c>
      <c r="J1632" s="26" t="inlineStr">
        <is>
          <t>Multiple Issues</t>
        </is>
      </c>
      <c r="K1632" s="39" t="inlineStr">
        <is>
          <t>Holi</t>
        </is>
      </c>
      <c r="L1632" s="39" t="inlineStr">
        <is>
          <t>Maharashtra</t>
        </is>
      </c>
      <c r="M1632" s="46" t="inlineStr">
        <is>
          <t>PS</t>
        </is>
      </c>
      <c r="N1632" s="3" t="inlineStr">
        <is>
          <t>Cold Soldering</t>
        </is>
      </c>
      <c r="O1632" s="39" t="n">
        <v>575</v>
      </c>
      <c r="P1632" s="46" t="inlineStr">
        <is>
          <t>NSMI24070178789</t>
        </is>
      </c>
      <c r="Q1632" s="53">
        <f>MID(P1632,5,2)</f>
        <v/>
      </c>
      <c r="R1632" s="53">
        <f>MID(P1632,7,2)</f>
        <v/>
      </c>
      <c r="S1632" s="3" t="inlineStr">
        <is>
          <t>G2G</t>
        </is>
      </c>
      <c r="T1632" s="3" t="inlineStr">
        <is>
          <t>P4</t>
        </is>
      </c>
      <c r="U1632" s="19" t="inlineStr">
        <is>
          <t>P JB Cold Soldering</t>
        </is>
      </c>
      <c r="V1632" s="19" t="inlineStr">
        <is>
          <t>Soldering</t>
        </is>
      </c>
      <c r="W1632" s="3" t="inlineStr">
        <is>
          <t>Repair</t>
        </is>
      </c>
      <c r="X1632" s="18" t="n">
        <v>46162</v>
      </c>
      <c r="Y1632" s="73">
        <f>IF(X1632="","",X1632-A1632)</f>
        <v/>
      </c>
      <c r="Z1632" s="18" t="n">
        <v>46162</v>
      </c>
      <c r="AA1632" s="15" t="n"/>
      <c r="AB1632" s="15" t="n"/>
      <c r="AF1632">
        <f>IF(AND($F1632="Closed",$X1632&gt;=DATE(2026,5,1),$X1632&lt;=DATE(2026,5,31)),"Closed in May","Other")</f>
        <v/>
      </c>
    </row>
    <row r="1633">
      <c r="A1633" s="37" t="n">
        <v>46143</v>
      </c>
      <c r="B1633" s="3" t="n">
        <v>2026</v>
      </c>
      <c r="C1633" s="26" t="inlineStr">
        <is>
          <t>Yanara Power</t>
        </is>
      </c>
      <c r="D1633" s="3" t="inlineStr">
        <is>
          <t>Utility and C&amp;I</t>
        </is>
      </c>
      <c r="E1633" s="3" t="n"/>
      <c r="F1633" s="3" t="inlineStr">
        <is>
          <t>Closed</t>
        </is>
      </c>
      <c r="G1633" s="9" t="inlineStr">
        <is>
          <t xml:space="preserve">Ashish Jindal </t>
        </is>
      </c>
      <c r="H1633" s="26" t="n">
        <v>9983975581</v>
      </c>
      <c r="I1633" s="38" t="inlineStr">
        <is>
          <t>PE01052601</t>
        </is>
      </c>
      <c r="J1633" s="26" t="inlineStr">
        <is>
          <t>Multiple Issues</t>
        </is>
      </c>
      <c r="K1633" s="39" t="inlineStr">
        <is>
          <t>Holi</t>
        </is>
      </c>
      <c r="L1633" s="39" t="inlineStr">
        <is>
          <t>Maharashtra</t>
        </is>
      </c>
      <c r="M1633" s="46" t="inlineStr">
        <is>
          <t>PS</t>
        </is>
      </c>
      <c r="N1633" s="3" t="inlineStr">
        <is>
          <t>Cold Soldering</t>
        </is>
      </c>
      <c r="O1633" s="39" t="n">
        <v>575</v>
      </c>
      <c r="P1633" s="46" t="inlineStr">
        <is>
          <t>NSMI24070216982</t>
        </is>
      </c>
      <c r="Q1633" s="53">
        <f>MID(P1633,5,2)</f>
        <v/>
      </c>
      <c r="R1633" s="53">
        <f>MID(P1633,7,2)</f>
        <v/>
      </c>
      <c r="S1633" s="3" t="inlineStr">
        <is>
          <t>G2G</t>
        </is>
      </c>
      <c r="T1633" s="3" t="inlineStr">
        <is>
          <t>P4</t>
        </is>
      </c>
      <c r="U1633" s="19" t="inlineStr">
        <is>
          <t>P JB Cold Soldering</t>
        </is>
      </c>
      <c r="V1633" s="19" t="inlineStr">
        <is>
          <t>Soldering</t>
        </is>
      </c>
      <c r="W1633" s="3" t="inlineStr">
        <is>
          <t>Repair</t>
        </is>
      </c>
      <c r="X1633" s="18" t="n">
        <v>46162</v>
      </c>
      <c r="Y1633" s="73">
        <f>IF(X1633="","",X1633-A1633)</f>
        <v/>
      </c>
      <c r="Z1633" s="18" t="n">
        <v>46162</v>
      </c>
      <c r="AA1633" s="15" t="n"/>
      <c r="AB1633" s="15" t="n"/>
      <c r="AF1633">
        <f>IF(AND($F1633="Closed",$X1633&gt;=DATE(2026,5,1),$X1633&lt;=DATE(2026,5,31)),"Closed in May","Other")</f>
        <v/>
      </c>
    </row>
    <row r="1634">
      <c r="A1634" s="37" t="n">
        <v>46143</v>
      </c>
      <c r="B1634" s="3" t="n">
        <v>2026</v>
      </c>
      <c r="C1634" s="26" t="inlineStr">
        <is>
          <t>Yanara Power</t>
        </is>
      </c>
      <c r="D1634" s="3" t="inlineStr">
        <is>
          <t>Utility and C&amp;I</t>
        </is>
      </c>
      <c r="E1634" s="3" t="n"/>
      <c r="F1634" s="3" t="inlineStr">
        <is>
          <t>Closed</t>
        </is>
      </c>
      <c r="G1634" s="9" t="inlineStr">
        <is>
          <t xml:space="preserve">Ashish Jindal </t>
        </is>
      </c>
      <c r="H1634" s="26" t="n">
        <v>9983975581</v>
      </c>
      <c r="I1634" s="38" t="inlineStr">
        <is>
          <t>PE01052601</t>
        </is>
      </c>
      <c r="J1634" s="26" t="inlineStr">
        <is>
          <t>Multiple Issues</t>
        </is>
      </c>
      <c r="K1634" s="39" t="inlineStr">
        <is>
          <t>Holi</t>
        </is>
      </c>
      <c r="L1634" s="39" t="inlineStr">
        <is>
          <t>Maharashtra</t>
        </is>
      </c>
      <c r="M1634" s="46" t="inlineStr">
        <is>
          <t>PS</t>
        </is>
      </c>
      <c r="N1634" s="3" t="inlineStr">
        <is>
          <t>Cold Soldering</t>
        </is>
      </c>
      <c r="O1634" s="39" t="n">
        <v>575</v>
      </c>
      <c r="P1634" s="46" t="inlineStr">
        <is>
          <t>NSMI24070216964</t>
        </is>
      </c>
      <c r="Q1634" s="53">
        <f>MID(P1634,5,2)</f>
        <v/>
      </c>
      <c r="R1634" s="53">
        <f>MID(P1634,7,2)</f>
        <v/>
      </c>
      <c r="S1634" s="3" t="inlineStr">
        <is>
          <t>G2G</t>
        </is>
      </c>
      <c r="T1634" s="3" t="inlineStr">
        <is>
          <t>P4</t>
        </is>
      </c>
      <c r="U1634" s="19" t="inlineStr">
        <is>
          <t>P JB Cold Soldering</t>
        </is>
      </c>
      <c r="V1634" s="19" t="inlineStr">
        <is>
          <t>Soldering</t>
        </is>
      </c>
      <c r="W1634" s="3" t="inlineStr">
        <is>
          <t>Repair</t>
        </is>
      </c>
      <c r="X1634" s="18" t="n">
        <v>46162</v>
      </c>
      <c r="Y1634" s="73">
        <f>IF(X1634="","",X1634-A1634)</f>
        <v/>
      </c>
      <c r="Z1634" s="18" t="n">
        <v>46162</v>
      </c>
      <c r="AA1634" s="15" t="n"/>
      <c r="AB1634" s="15" t="n"/>
      <c r="AF1634">
        <f>IF(AND($F1634="Closed",$X1634&gt;=DATE(2026,5,1),$X1634&lt;=DATE(2026,5,31)),"Closed in May","Other")</f>
        <v/>
      </c>
    </row>
    <row r="1635">
      <c r="A1635" s="37" t="n">
        <v>46143</v>
      </c>
      <c r="B1635" s="3" t="n">
        <v>2026</v>
      </c>
      <c r="C1635" s="26" t="inlineStr">
        <is>
          <t>Yanara Power</t>
        </is>
      </c>
      <c r="D1635" s="3" t="inlineStr">
        <is>
          <t>Utility and C&amp;I</t>
        </is>
      </c>
      <c r="E1635" s="3" t="n"/>
      <c r="F1635" s="3" t="inlineStr">
        <is>
          <t>Closed</t>
        </is>
      </c>
      <c r="G1635" s="9" t="inlineStr">
        <is>
          <t xml:space="preserve">Ashish Jindal </t>
        </is>
      </c>
      <c r="H1635" s="26" t="n">
        <v>9983975581</v>
      </c>
      <c r="I1635" s="38" t="inlineStr">
        <is>
          <t>PE01052601</t>
        </is>
      </c>
      <c r="J1635" s="26" t="inlineStr">
        <is>
          <t>Multiple Issues</t>
        </is>
      </c>
      <c r="K1635" s="39" t="inlineStr">
        <is>
          <t>Holi</t>
        </is>
      </c>
      <c r="L1635" s="39" t="inlineStr">
        <is>
          <t>Maharashtra</t>
        </is>
      </c>
      <c r="M1635" s="46" t="inlineStr">
        <is>
          <t>PS</t>
        </is>
      </c>
      <c r="N1635" s="3" t="inlineStr">
        <is>
          <t>Cold Soldering</t>
        </is>
      </c>
      <c r="O1635" s="39" t="n">
        <v>575</v>
      </c>
      <c r="P1635" s="46" t="inlineStr">
        <is>
          <t>NSMI24070181869</t>
        </is>
      </c>
      <c r="Q1635" s="53">
        <f>MID(P1635,5,2)</f>
        <v/>
      </c>
      <c r="R1635" s="53">
        <f>MID(P1635,7,2)</f>
        <v/>
      </c>
      <c r="S1635" s="3" t="inlineStr">
        <is>
          <t>G2G</t>
        </is>
      </c>
      <c r="T1635" s="3" t="inlineStr">
        <is>
          <t>P4</t>
        </is>
      </c>
      <c r="U1635" s="19" t="inlineStr">
        <is>
          <t>P JB Cold Soldering</t>
        </is>
      </c>
      <c r="V1635" s="19" t="inlineStr">
        <is>
          <t>Soldering</t>
        </is>
      </c>
      <c r="W1635" s="3" t="inlineStr">
        <is>
          <t>Repair</t>
        </is>
      </c>
      <c r="X1635" s="18" t="n">
        <v>46162</v>
      </c>
      <c r="Y1635" s="73">
        <f>IF(X1635="","",X1635-A1635)</f>
        <v/>
      </c>
      <c r="Z1635" s="18" t="n">
        <v>46162</v>
      </c>
      <c r="AA1635" s="15" t="n"/>
      <c r="AB1635" s="15" t="n"/>
      <c r="AF1635">
        <f>IF(AND($F1635="Closed",$X1635&gt;=DATE(2026,5,1),$X1635&lt;=DATE(2026,5,31)),"Closed in May","Other")</f>
        <v/>
      </c>
    </row>
    <row r="1636">
      <c r="A1636" s="37" t="n">
        <v>46143</v>
      </c>
      <c r="B1636" s="3" t="n">
        <v>2026</v>
      </c>
      <c r="C1636" s="26" t="inlineStr">
        <is>
          <t>Yanara Power</t>
        </is>
      </c>
      <c r="D1636" s="3" t="inlineStr">
        <is>
          <t>Utility and C&amp;I</t>
        </is>
      </c>
      <c r="E1636" s="3" t="n"/>
      <c r="F1636" s="3" t="inlineStr">
        <is>
          <t>Closed</t>
        </is>
      </c>
      <c r="G1636" s="9" t="inlineStr">
        <is>
          <t xml:space="preserve">Ashish Jindal </t>
        </is>
      </c>
      <c r="H1636" s="26" t="n">
        <v>9983975581</v>
      </c>
      <c r="I1636" s="38" t="inlineStr">
        <is>
          <t>PE01052601</t>
        </is>
      </c>
      <c r="J1636" s="26" t="inlineStr">
        <is>
          <t>Multiple Issues</t>
        </is>
      </c>
      <c r="K1636" s="39" t="inlineStr">
        <is>
          <t>Holi</t>
        </is>
      </c>
      <c r="L1636" s="39" t="inlineStr">
        <is>
          <t>Maharashtra</t>
        </is>
      </c>
      <c r="M1636" s="46" t="inlineStr">
        <is>
          <t>PS</t>
        </is>
      </c>
      <c r="N1636" s="3" t="inlineStr">
        <is>
          <t>Cold Soldering</t>
        </is>
      </c>
      <c r="O1636" s="39" t="n">
        <v>575</v>
      </c>
      <c r="P1636" s="46" t="inlineStr">
        <is>
          <t>NSMI24070181835</t>
        </is>
      </c>
      <c r="Q1636" s="53">
        <f>MID(P1636,5,2)</f>
        <v/>
      </c>
      <c r="R1636" s="53">
        <f>MID(P1636,7,2)</f>
        <v/>
      </c>
      <c r="S1636" s="3" t="inlineStr">
        <is>
          <t>G2G</t>
        </is>
      </c>
      <c r="T1636" s="3" t="inlineStr">
        <is>
          <t>P4</t>
        </is>
      </c>
      <c r="U1636" s="19" t="inlineStr">
        <is>
          <t>P JB Cold Soldering</t>
        </is>
      </c>
      <c r="V1636" s="19" t="inlineStr">
        <is>
          <t>Soldering</t>
        </is>
      </c>
      <c r="W1636" s="3" t="inlineStr">
        <is>
          <t>Repair</t>
        </is>
      </c>
      <c r="X1636" s="18" t="n">
        <v>46162</v>
      </c>
      <c r="Y1636" s="73">
        <f>IF(X1636="","",X1636-A1636)</f>
        <v/>
      </c>
      <c r="Z1636" s="18" t="n">
        <v>46162</v>
      </c>
      <c r="AA1636" s="15" t="n"/>
      <c r="AB1636" s="15" t="n"/>
      <c r="AF1636">
        <f>IF(AND($F1636="Closed",$X1636&gt;=DATE(2026,5,1),$X1636&lt;=DATE(2026,5,31)),"Closed in May","Other")</f>
        <v/>
      </c>
    </row>
    <row r="1637">
      <c r="A1637" s="37" t="n">
        <v>46143</v>
      </c>
      <c r="B1637" s="3" t="n">
        <v>2026</v>
      </c>
      <c r="C1637" s="26" t="inlineStr">
        <is>
          <t>Yanara Power</t>
        </is>
      </c>
      <c r="D1637" s="3" t="inlineStr">
        <is>
          <t>Utility and C&amp;I</t>
        </is>
      </c>
      <c r="E1637" s="3" t="n"/>
      <c r="F1637" s="3" t="inlineStr">
        <is>
          <t>Closed</t>
        </is>
      </c>
      <c r="G1637" s="9" t="inlineStr">
        <is>
          <t xml:space="preserve">Ashish Jindal </t>
        </is>
      </c>
      <c r="H1637" s="26" t="n">
        <v>9983975581</v>
      </c>
      <c r="I1637" s="38" t="inlineStr">
        <is>
          <t>PE01052601</t>
        </is>
      </c>
      <c r="J1637" s="26" t="inlineStr">
        <is>
          <t>Multiple Issues</t>
        </is>
      </c>
      <c r="K1637" s="39" t="inlineStr">
        <is>
          <t>Holi</t>
        </is>
      </c>
      <c r="L1637" s="39" t="inlineStr">
        <is>
          <t>Maharashtra</t>
        </is>
      </c>
      <c r="M1637" s="46" t="inlineStr">
        <is>
          <t>NS</t>
        </is>
      </c>
      <c r="N1637" s="3" t="inlineStr">
        <is>
          <t>Cold Soldering</t>
        </is>
      </c>
      <c r="O1637" s="39" t="n">
        <v>575</v>
      </c>
      <c r="P1637" s="46" t="inlineStr">
        <is>
          <t>NSMI24070204142</t>
        </is>
      </c>
      <c r="Q1637" s="53">
        <f>MID(P1637,5,2)</f>
        <v/>
      </c>
      <c r="R1637" s="53">
        <f>MID(P1637,7,2)</f>
        <v/>
      </c>
      <c r="S1637" s="3" t="inlineStr">
        <is>
          <t>G2G</t>
        </is>
      </c>
      <c r="T1637" s="3" t="inlineStr">
        <is>
          <t>P4</t>
        </is>
      </c>
      <c r="U1637" s="3" t="inlineStr">
        <is>
          <t>N JB Cold Soldering</t>
        </is>
      </c>
      <c r="V1637" s="3" t="inlineStr">
        <is>
          <t>Soldering</t>
        </is>
      </c>
      <c r="W1637" s="3" t="inlineStr">
        <is>
          <t>Repair</t>
        </is>
      </c>
      <c r="X1637" s="18" t="n">
        <v>46162</v>
      </c>
      <c r="Y1637" s="73">
        <f>IF(X1637="","",X1637-A1637)</f>
        <v/>
      </c>
      <c r="Z1637" s="18" t="n">
        <v>46162</v>
      </c>
      <c r="AA1637" s="15" t="n"/>
      <c r="AB1637" s="15" t="n"/>
      <c r="AF1637">
        <f>IF(AND($F1637="Closed",$X1637&gt;=DATE(2026,5,1),$X1637&lt;=DATE(2026,5,31)),"Closed in May","Other")</f>
        <v/>
      </c>
    </row>
    <row r="1638">
      <c r="A1638" s="37" t="n">
        <v>46143</v>
      </c>
      <c r="B1638" s="3" t="n">
        <v>2026</v>
      </c>
      <c r="C1638" s="26" t="inlineStr">
        <is>
          <t>Yanara Power</t>
        </is>
      </c>
      <c r="D1638" s="3" t="inlineStr">
        <is>
          <t>Utility and C&amp;I</t>
        </is>
      </c>
      <c r="E1638" s="3" t="n"/>
      <c r="F1638" s="3" t="inlineStr">
        <is>
          <t>Closed</t>
        </is>
      </c>
      <c r="G1638" s="9" t="inlineStr">
        <is>
          <t xml:space="preserve">Ashish Jindal </t>
        </is>
      </c>
      <c r="H1638" s="26" t="n">
        <v>9983975581</v>
      </c>
      <c r="I1638" s="38" t="inlineStr">
        <is>
          <t>PE01052601</t>
        </is>
      </c>
      <c r="J1638" s="26" t="inlineStr">
        <is>
          <t>Multiple Issues</t>
        </is>
      </c>
      <c r="K1638" s="39" t="inlineStr">
        <is>
          <t>Holi</t>
        </is>
      </c>
      <c r="L1638" s="39" t="inlineStr">
        <is>
          <t>Maharashtra</t>
        </is>
      </c>
      <c r="M1638" s="46" t="inlineStr">
        <is>
          <t>PS</t>
        </is>
      </c>
      <c r="N1638" s="3" t="inlineStr">
        <is>
          <t>Cold Soldering</t>
        </is>
      </c>
      <c r="O1638" s="39" t="n">
        <v>575</v>
      </c>
      <c r="P1638" s="46" t="inlineStr">
        <is>
          <t>NSMI24070204130</t>
        </is>
      </c>
      <c r="Q1638" s="53">
        <f>MID(P1638,5,2)</f>
        <v/>
      </c>
      <c r="R1638" s="53">
        <f>MID(P1638,7,2)</f>
        <v/>
      </c>
      <c r="S1638" s="3" t="inlineStr">
        <is>
          <t>G2G</t>
        </is>
      </c>
      <c r="T1638" s="3" t="inlineStr">
        <is>
          <t>P4</t>
        </is>
      </c>
      <c r="U1638" s="19" t="inlineStr">
        <is>
          <t>P JB Cold Soldering</t>
        </is>
      </c>
      <c r="V1638" s="19" t="inlineStr">
        <is>
          <t>Soldering</t>
        </is>
      </c>
      <c r="W1638" s="3" t="inlineStr">
        <is>
          <t>Repair</t>
        </is>
      </c>
      <c r="X1638" s="18" t="n">
        <v>46162</v>
      </c>
      <c r="Y1638" s="73">
        <f>IF(X1638="","",X1638-A1638)</f>
        <v/>
      </c>
      <c r="Z1638" s="18" t="n">
        <v>46162</v>
      </c>
      <c r="AA1638" s="15" t="n"/>
      <c r="AB1638" s="15" t="n"/>
      <c r="AF1638">
        <f>IF(AND($F1638="Closed",$X1638&gt;=DATE(2026,5,1),$X1638&lt;=DATE(2026,5,31)),"Closed in May","Other")</f>
        <v/>
      </c>
    </row>
    <row r="1639">
      <c r="A1639" s="37" t="n">
        <v>46143</v>
      </c>
      <c r="B1639" s="3" t="n">
        <v>2026</v>
      </c>
      <c r="C1639" s="26" t="inlineStr">
        <is>
          <t>Yanara Power</t>
        </is>
      </c>
      <c r="D1639" s="3" t="inlineStr">
        <is>
          <t>Utility and C&amp;I</t>
        </is>
      </c>
      <c r="E1639" s="3" t="n"/>
      <c r="F1639" s="3" t="inlineStr">
        <is>
          <t>Closed</t>
        </is>
      </c>
      <c r="G1639" s="9" t="inlineStr">
        <is>
          <t xml:space="preserve">Ashish Jindal </t>
        </is>
      </c>
      <c r="H1639" s="26" t="n">
        <v>9983975581</v>
      </c>
      <c r="I1639" s="38" t="inlineStr">
        <is>
          <t>PE01052601</t>
        </is>
      </c>
      <c r="J1639" s="26" t="inlineStr">
        <is>
          <t>Multiple Issues</t>
        </is>
      </c>
      <c r="K1639" s="39" t="inlineStr">
        <is>
          <t>Holi</t>
        </is>
      </c>
      <c r="L1639" s="39" t="inlineStr">
        <is>
          <t>Maharashtra</t>
        </is>
      </c>
      <c r="M1639" s="46" t="inlineStr">
        <is>
          <t>PS</t>
        </is>
      </c>
      <c r="N1639" s="3" t="inlineStr">
        <is>
          <t>Cold Soldering</t>
        </is>
      </c>
      <c r="O1639" s="39" t="n">
        <v>575</v>
      </c>
      <c r="P1639" s="46" t="inlineStr">
        <is>
          <t>NSMI24070181818</t>
        </is>
      </c>
      <c r="Q1639" s="53">
        <f>MID(P1639,5,2)</f>
        <v/>
      </c>
      <c r="R1639" s="53">
        <f>MID(P1639,7,2)</f>
        <v/>
      </c>
      <c r="S1639" s="3" t="inlineStr">
        <is>
          <t>G2G</t>
        </is>
      </c>
      <c r="T1639" s="3" t="inlineStr">
        <is>
          <t>P4</t>
        </is>
      </c>
      <c r="U1639" s="19" t="inlineStr">
        <is>
          <t>P JB Cold Soldering</t>
        </is>
      </c>
      <c r="V1639" s="19" t="inlineStr">
        <is>
          <t>Soldering</t>
        </is>
      </c>
      <c r="W1639" s="3" t="inlineStr">
        <is>
          <t>Repair</t>
        </is>
      </c>
      <c r="X1639" s="18" t="n">
        <v>46162</v>
      </c>
      <c r="Y1639" s="73">
        <f>IF(X1639="","",X1639-A1639)</f>
        <v/>
      </c>
      <c r="Z1639" s="18" t="n">
        <v>46162</v>
      </c>
      <c r="AA1639" s="15" t="n"/>
      <c r="AB1639" s="15" t="n"/>
      <c r="AF1639">
        <f>IF(AND($F1639="Closed",$X1639&gt;=DATE(2026,5,1),$X1639&lt;=DATE(2026,5,31)),"Closed in May","Other")</f>
        <v/>
      </c>
    </row>
    <row r="1640">
      <c r="A1640" s="37" t="n">
        <v>46143</v>
      </c>
      <c r="B1640" s="3" t="n">
        <v>2026</v>
      </c>
      <c r="C1640" s="26" t="inlineStr">
        <is>
          <t>Yanara Power</t>
        </is>
      </c>
      <c r="D1640" s="3" t="inlineStr">
        <is>
          <t>Utility and C&amp;I</t>
        </is>
      </c>
      <c r="E1640" s="3" t="n"/>
      <c r="F1640" s="3" t="inlineStr">
        <is>
          <t>Closed</t>
        </is>
      </c>
      <c r="G1640" s="9" t="inlineStr">
        <is>
          <t xml:space="preserve">Ashish Jindal </t>
        </is>
      </c>
      <c r="H1640" s="26" t="n">
        <v>9983975581</v>
      </c>
      <c r="I1640" s="38" t="inlineStr">
        <is>
          <t>PE01052601</t>
        </is>
      </c>
      <c r="J1640" s="26" t="inlineStr">
        <is>
          <t>Multiple Issues</t>
        </is>
      </c>
      <c r="K1640" s="39" t="inlineStr">
        <is>
          <t>Holi</t>
        </is>
      </c>
      <c r="L1640" s="39" t="inlineStr">
        <is>
          <t>Maharashtra</t>
        </is>
      </c>
      <c r="M1640" s="46" t="inlineStr">
        <is>
          <t>PS</t>
        </is>
      </c>
      <c r="N1640" s="3" t="inlineStr">
        <is>
          <t>Cold Soldering</t>
        </is>
      </c>
      <c r="O1640" s="39" t="n">
        <v>575</v>
      </c>
      <c r="P1640" s="46" t="inlineStr">
        <is>
          <t>NSMI24070181832</t>
        </is>
      </c>
      <c r="Q1640" s="53">
        <f>MID(P1640,5,2)</f>
        <v/>
      </c>
      <c r="R1640" s="53">
        <f>MID(P1640,7,2)</f>
        <v/>
      </c>
      <c r="S1640" s="3" t="inlineStr">
        <is>
          <t>G2G</t>
        </is>
      </c>
      <c r="T1640" s="3" t="inlineStr">
        <is>
          <t>P4</t>
        </is>
      </c>
      <c r="U1640" s="19" t="inlineStr">
        <is>
          <t>P JB Cold Soldering</t>
        </is>
      </c>
      <c r="V1640" s="19" t="inlineStr">
        <is>
          <t>Soldering</t>
        </is>
      </c>
      <c r="W1640" s="3" t="inlineStr">
        <is>
          <t>Repair</t>
        </is>
      </c>
      <c r="X1640" s="18" t="n">
        <v>46162</v>
      </c>
      <c r="Y1640" s="73">
        <f>IF(X1640="","",X1640-A1640)</f>
        <v/>
      </c>
      <c r="Z1640" s="18" t="n">
        <v>46162</v>
      </c>
      <c r="AA1640" s="15" t="n"/>
      <c r="AB1640" s="15" t="n"/>
      <c r="AF1640">
        <f>IF(AND($F1640="Closed",$X1640&gt;=DATE(2026,5,1),$X1640&lt;=DATE(2026,5,31)),"Closed in May","Other")</f>
        <v/>
      </c>
    </row>
    <row r="1641">
      <c r="A1641" s="37" t="n">
        <v>46143</v>
      </c>
      <c r="B1641" s="3" t="n">
        <v>2026</v>
      </c>
      <c r="C1641" s="26" t="inlineStr">
        <is>
          <t>Yanara Power</t>
        </is>
      </c>
      <c r="D1641" s="3" t="inlineStr">
        <is>
          <t>Utility and C&amp;I</t>
        </is>
      </c>
      <c r="E1641" s="3" t="n"/>
      <c r="F1641" s="3" t="inlineStr">
        <is>
          <t>Closed</t>
        </is>
      </c>
      <c r="G1641" s="9" t="inlineStr">
        <is>
          <t xml:space="preserve">Ashish Jindal </t>
        </is>
      </c>
      <c r="H1641" s="26" t="n">
        <v>9983975581</v>
      </c>
      <c r="I1641" s="38" t="inlineStr">
        <is>
          <t>PE01052601</t>
        </is>
      </c>
      <c r="J1641" s="26" t="inlineStr">
        <is>
          <t>Multiple Issues</t>
        </is>
      </c>
      <c r="K1641" s="39" t="inlineStr">
        <is>
          <t>Holi</t>
        </is>
      </c>
      <c r="L1641" s="39" t="inlineStr">
        <is>
          <t>Maharashtra</t>
        </is>
      </c>
      <c r="M1641" s="46" t="inlineStr">
        <is>
          <t>PS</t>
        </is>
      </c>
      <c r="N1641" s="3" t="inlineStr">
        <is>
          <t>Cold Soldering</t>
        </is>
      </c>
      <c r="O1641" s="39" t="n">
        <v>575</v>
      </c>
      <c r="P1641" s="46" t="inlineStr">
        <is>
          <t>NSMI24070180536</t>
        </is>
      </c>
      <c r="Q1641" s="53">
        <f>MID(P1641,5,2)</f>
        <v/>
      </c>
      <c r="R1641" s="53">
        <f>MID(P1641,7,2)</f>
        <v/>
      </c>
      <c r="S1641" s="3" t="inlineStr">
        <is>
          <t>G2G</t>
        </is>
      </c>
      <c r="T1641" s="3" t="inlineStr">
        <is>
          <t>P4</t>
        </is>
      </c>
      <c r="U1641" s="19" t="inlineStr">
        <is>
          <t>P JB Cold Soldering</t>
        </is>
      </c>
      <c r="V1641" s="19" t="inlineStr">
        <is>
          <t>Soldering</t>
        </is>
      </c>
      <c r="W1641" s="3" t="inlineStr">
        <is>
          <t>Repair</t>
        </is>
      </c>
      <c r="X1641" s="18" t="n">
        <v>46162</v>
      </c>
      <c r="Y1641" s="73">
        <f>IF(X1641="","",X1641-A1641)</f>
        <v/>
      </c>
      <c r="Z1641" s="18" t="n">
        <v>46162</v>
      </c>
      <c r="AA1641" s="15" t="n"/>
      <c r="AB1641" s="15" t="n"/>
      <c r="AF1641">
        <f>IF(AND($F1641="Closed",$X1641&gt;=DATE(2026,5,1),$X1641&lt;=DATE(2026,5,31)),"Closed in May","Other")</f>
        <v/>
      </c>
    </row>
    <row r="1642">
      <c r="A1642" s="37" t="n">
        <v>46143</v>
      </c>
      <c r="B1642" s="3" t="n">
        <v>2026</v>
      </c>
      <c r="C1642" s="26" t="inlineStr">
        <is>
          <t>Yanara Power</t>
        </is>
      </c>
      <c r="D1642" s="3" t="inlineStr">
        <is>
          <t>Utility and C&amp;I</t>
        </is>
      </c>
      <c r="E1642" s="3" t="n"/>
      <c r="F1642" s="3" t="inlineStr">
        <is>
          <t>Closed</t>
        </is>
      </c>
      <c r="G1642" s="9" t="inlineStr">
        <is>
          <t xml:space="preserve">Ashish Jindal </t>
        </is>
      </c>
      <c r="H1642" s="26" t="n">
        <v>9983975581</v>
      </c>
      <c r="I1642" s="38" t="inlineStr">
        <is>
          <t>PE01052601</t>
        </is>
      </c>
      <c r="J1642" s="26" t="inlineStr">
        <is>
          <t>Multiple Issues</t>
        </is>
      </c>
      <c r="K1642" s="39" t="inlineStr">
        <is>
          <t>Holi</t>
        </is>
      </c>
      <c r="L1642" s="39" t="inlineStr">
        <is>
          <t>Maharashtra</t>
        </is>
      </c>
      <c r="M1642" s="46" t="inlineStr">
        <is>
          <t>PS</t>
        </is>
      </c>
      <c r="N1642" s="3" t="inlineStr">
        <is>
          <t>Cold Soldering</t>
        </is>
      </c>
      <c r="O1642" s="39" t="n">
        <v>575</v>
      </c>
      <c r="P1642" s="46" t="inlineStr">
        <is>
          <t>NSMI24070180610</t>
        </is>
      </c>
      <c r="Q1642" s="53">
        <f>MID(P1642,5,2)</f>
        <v/>
      </c>
      <c r="R1642" s="53">
        <f>MID(P1642,7,2)</f>
        <v/>
      </c>
      <c r="S1642" s="3" t="inlineStr">
        <is>
          <t>G2G</t>
        </is>
      </c>
      <c r="T1642" s="3" t="inlineStr">
        <is>
          <t>P4</t>
        </is>
      </c>
      <c r="U1642" s="19" t="inlineStr">
        <is>
          <t>P JB Cold Soldering</t>
        </is>
      </c>
      <c r="V1642" s="19" t="inlineStr">
        <is>
          <t>Soldering</t>
        </is>
      </c>
      <c r="W1642" s="3" t="inlineStr">
        <is>
          <t>Repair</t>
        </is>
      </c>
      <c r="X1642" s="18" t="n">
        <v>46162</v>
      </c>
      <c r="Y1642" s="73">
        <f>IF(X1642="","",X1642-A1642)</f>
        <v/>
      </c>
      <c r="Z1642" s="18" t="n">
        <v>46162</v>
      </c>
      <c r="AA1642" s="15" t="n"/>
      <c r="AB1642" s="15" t="n"/>
      <c r="AF1642">
        <f>IF(AND($F1642="Closed",$X1642&gt;=DATE(2026,5,1),$X1642&lt;=DATE(2026,5,31)),"Closed in May","Other")</f>
        <v/>
      </c>
    </row>
    <row r="1643">
      <c r="A1643" s="37" t="n">
        <v>46143</v>
      </c>
      <c r="B1643" s="3" t="n">
        <v>2026</v>
      </c>
      <c r="C1643" s="26" t="inlineStr">
        <is>
          <t>Yanara Power</t>
        </is>
      </c>
      <c r="D1643" s="3" t="inlineStr">
        <is>
          <t>Utility and C&amp;I</t>
        </is>
      </c>
      <c r="E1643" s="3" t="n"/>
      <c r="F1643" s="3" t="inlineStr">
        <is>
          <t>Closed</t>
        </is>
      </c>
      <c r="G1643" s="9" t="inlineStr">
        <is>
          <t xml:space="preserve">Ashish Jindal </t>
        </is>
      </c>
      <c r="H1643" s="26" t="n">
        <v>9983975581</v>
      </c>
      <c r="I1643" s="38" t="inlineStr">
        <is>
          <t>PE01052601</t>
        </is>
      </c>
      <c r="J1643" s="26" t="inlineStr">
        <is>
          <t>Multiple Issues</t>
        </is>
      </c>
      <c r="K1643" s="39" t="inlineStr">
        <is>
          <t>Holi</t>
        </is>
      </c>
      <c r="L1643" s="39" t="inlineStr">
        <is>
          <t>Maharashtra</t>
        </is>
      </c>
      <c r="M1643" s="46" t="inlineStr">
        <is>
          <t>PS</t>
        </is>
      </c>
      <c r="N1643" s="3" t="inlineStr">
        <is>
          <t>Cold Soldering</t>
        </is>
      </c>
      <c r="O1643" s="39" t="n">
        <v>575</v>
      </c>
      <c r="P1643" s="46" t="inlineStr">
        <is>
          <t>NSMI24070179186</t>
        </is>
      </c>
      <c r="Q1643" s="53">
        <f>MID(P1643,5,2)</f>
        <v/>
      </c>
      <c r="R1643" s="53">
        <f>MID(P1643,7,2)</f>
        <v/>
      </c>
      <c r="S1643" s="3" t="inlineStr">
        <is>
          <t>G2G</t>
        </is>
      </c>
      <c r="T1643" s="3" t="inlineStr">
        <is>
          <t>P4</t>
        </is>
      </c>
      <c r="U1643" s="19" t="inlineStr">
        <is>
          <t>P JB Cold Soldering</t>
        </is>
      </c>
      <c r="V1643" s="19" t="inlineStr">
        <is>
          <t>Soldering</t>
        </is>
      </c>
      <c r="W1643" s="3" t="inlineStr">
        <is>
          <t>Repair</t>
        </is>
      </c>
      <c r="X1643" s="18" t="n">
        <v>46162</v>
      </c>
      <c r="Y1643" s="73">
        <f>IF(X1643="","",X1643-A1643)</f>
        <v/>
      </c>
      <c r="Z1643" s="18" t="n">
        <v>46162</v>
      </c>
      <c r="AA1643" s="15" t="n"/>
      <c r="AB1643" s="15" t="n"/>
      <c r="AF1643">
        <f>IF(AND($F1643="Closed",$X1643&gt;=DATE(2026,5,1),$X1643&lt;=DATE(2026,5,31)),"Closed in May","Other")</f>
        <v/>
      </c>
    </row>
    <row r="1644">
      <c r="A1644" s="37" t="n">
        <v>46143</v>
      </c>
      <c r="B1644" s="3" t="n">
        <v>2026</v>
      </c>
      <c r="C1644" s="26" t="inlineStr">
        <is>
          <t>Yanara Power</t>
        </is>
      </c>
      <c r="D1644" s="3" t="inlineStr">
        <is>
          <t>Utility and C&amp;I</t>
        </is>
      </c>
      <c r="E1644" s="3" t="n"/>
      <c r="F1644" s="3" t="inlineStr">
        <is>
          <t>Closed</t>
        </is>
      </c>
      <c r="G1644" s="9" t="inlineStr">
        <is>
          <t xml:space="preserve">Ashish Jindal </t>
        </is>
      </c>
      <c r="H1644" s="26" t="n">
        <v>9983975581</v>
      </c>
      <c r="I1644" s="38" t="inlineStr">
        <is>
          <t>PE01052601</t>
        </is>
      </c>
      <c r="J1644" s="26" t="inlineStr">
        <is>
          <t>Multiple Issues</t>
        </is>
      </c>
      <c r="K1644" s="39" t="inlineStr">
        <is>
          <t>Holi</t>
        </is>
      </c>
      <c r="L1644" s="39" t="inlineStr">
        <is>
          <t>Maharashtra</t>
        </is>
      </c>
      <c r="M1644" s="46" t="inlineStr">
        <is>
          <t>PS</t>
        </is>
      </c>
      <c r="N1644" s="3" t="inlineStr">
        <is>
          <t>Cold Soldering</t>
        </is>
      </c>
      <c r="O1644" s="39" t="n">
        <v>575</v>
      </c>
      <c r="P1644" s="46" t="inlineStr">
        <is>
          <t>NSMI24070203569</t>
        </is>
      </c>
      <c r="Q1644" s="53">
        <f>MID(P1644,5,2)</f>
        <v/>
      </c>
      <c r="R1644" s="53">
        <f>MID(P1644,7,2)</f>
        <v/>
      </c>
      <c r="S1644" s="3" t="inlineStr">
        <is>
          <t>G2G</t>
        </is>
      </c>
      <c r="T1644" s="3" t="inlineStr">
        <is>
          <t>P4</t>
        </is>
      </c>
      <c r="U1644" s="19" t="inlineStr">
        <is>
          <t>P JB Cold Soldering</t>
        </is>
      </c>
      <c r="V1644" s="19" t="inlineStr">
        <is>
          <t>Soldering</t>
        </is>
      </c>
      <c r="W1644" s="3" t="inlineStr">
        <is>
          <t>Repair</t>
        </is>
      </c>
      <c r="X1644" s="18" t="n">
        <v>46162</v>
      </c>
      <c r="Y1644" s="73">
        <f>IF(X1644="","",X1644-A1644)</f>
        <v/>
      </c>
      <c r="Z1644" s="18" t="n">
        <v>46162</v>
      </c>
      <c r="AA1644" s="15" t="n"/>
      <c r="AB1644" s="15" t="n"/>
      <c r="AF1644">
        <f>IF(AND($F1644="Closed",$X1644&gt;=DATE(2026,5,1),$X1644&lt;=DATE(2026,5,31)),"Closed in May","Other")</f>
        <v/>
      </c>
    </row>
    <row r="1645">
      <c r="A1645" s="6" t="n">
        <v>46107</v>
      </c>
      <c r="B1645" s="3" t="n">
        <v>2026</v>
      </c>
      <c r="C1645" s="3" t="inlineStr">
        <is>
          <t>Blupine Energy</t>
        </is>
      </c>
      <c r="D1645" s="3" t="inlineStr">
        <is>
          <t>Utility and C&amp;I</t>
        </is>
      </c>
      <c r="E1645" s="3" t="n"/>
      <c r="F1645" s="3" t="inlineStr">
        <is>
          <t>Closed</t>
        </is>
      </c>
      <c r="G1645" s="3" t="inlineStr">
        <is>
          <t>Chandrashekar Patidar</t>
        </is>
      </c>
      <c r="H1645" s="3" t="n">
        <v>7879764773</v>
      </c>
      <c r="I1645" s="11" t="inlineStr">
        <is>
          <t>PE26032601</t>
        </is>
      </c>
      <c r="J1645" s="3" t="inlineStr">
        <is>
          <t>Module Diode Failure</t>
        </is>
      </c>
      <c r="K1645" s="3" t="inlineStr">
        <is>
          <t>Sadla</t>
        </is>
      </c>
      <c r="L1645" s="3" t="inlineStr">
        <is>
          <t>Gujarat</t>
        </is>
      </c>
      <c r="M1645" s="55" t="inlineStr">
        <is>
          <t>AS</t>
        </is>
      </c>
      <c r="N1645" s="3" t="inlineStr">
        <is>
          <t>Cold Soldering</t>
        </is>
      </c>
      <c r="O1645" s="3" t="n">
        <v>570</v>
      </c>
      <c r="P1645" s="55" t="inlineStr">
        <is>
          <t>NSMI24060075390</t>
        </is>
      </c>
      <c r="Q1645" s="54">
        <f>MID(P1645,5,2)</f>
        <v/>
      </c>
      <c r="R1645" s="53">
        <f>MID(P1645,7,2)</f>
        <v/>
      </c>
      <c r="S1645" s="3" t="inlineStr">
        <is>
          <t>G2G</t>
        </is>
      </c>
      <c r="T1645" s="3" t="inlineStr">
        <is>
          <t>P4</t>
        </is>
      </c>
      <c r="U1645" s="3" t="inlineStr">
        <is>
          <t>All JB Cold Soldering</t>
        </is>
      </c>
      <c r="V1645" s="3" t="inlineStr">
        <is>
          <t>Soldering</t>
        </is>
      </c>
      <c r="W1645" s="3" t="inlineStr">
        <is>
          <t>Repair</t>
        </is>
      </c>
      <c r="X1645" s="18" t="n">
        <v>46163</v>
      </c>
      <c r="Y1645" s="73">
        <f>IF(X1645="","",X1645-A1645)</f>
        <v/>
      </c>
      <c r="Z1645" s="18" t="n">
        <v>46163</v>
      </c>
      <c r="AA1645" s="15" t="n"/>
      <c r="AB1645" s="15" t="n"/>
      <c r="AF1645">
        <f>IF(AND($F1645="Closed",$X1645&gt;=DATE(2026,5,1),$X1645&lt;=DATE(2026,5,31)),"Closed in May","Other")</f>
        <v/>
      </c>
    </row>
    <row r="1646">
      <c r="A1646" s="6" t="n">
        <v>46107</v>
      </c>
      <c r="B1646" s="3" t="n">
        <v>2026</v>
      </c>
      <c r="C1646" s="3" t="inlineStr">
        <is>
          <t>Blupine Energy</t>
        </is>
      </c>
      <c r="D1646" s="3" t="inlineStr">
        <is>
          <t>Utility and C&amp;I</t>
        </is>
      </c>
      <c r="E1646" s="3" t="n"/>
      <c r="F1646" s="3" t="inlineStr">
        <is>
          <t>Closed</t>
        </is>
      </c>
      <c r="G1646" s="3" t="inlineStr">
        <is>
          <t>Chandrashekar Patidar</t>
        </is>
      </c>
      <c r="H1646" s="3" t="n">
        <v>7879764773</v>
      </c>
      <c r="I1646" s="11" t="inlineStr">
        <is>
          <t>PE26032601</t>
        </is>
      </c>
      <c r="J1646" s="3" t="inlineStr">
        <is>
          <t>Module Diode Failure</t>
        </is>
      </c>
      <c r="K1646" s="3" t="inlineStr">
        <is>
          <t>Sadla</t>
        </is>
      </c>
      <c r="L1646" s="3" t="inlineStr">
        <is>
          <t>Gujarat</t>
        </is>
      </c>
      <c r="M1646" s="55" t="inlineStr">
        <is>
          <t>PS</t>
        </is>
      </c>
      <c r="N1646" s="3" t="inlineStr">
        <is>
          <t>Cold Soldering</t>
        </is>
      </c>
      <c r="O1646" s="3" t="n">
        <v>570</v>
      </c>
      <c r="P1646" s="55" t="inlineStr">
        <is>
          <t>NSMI24060083989</t>
        </is>
      </c>
      <c r="Q1646" s="54">
        <f>MID(P1646,5,2)</f>
        <v/>
      </c>
      <c r="R1646" s="53">
        <f>MID(P1646,7,2)</f>
        <v/>
      </c>
      <c r="S1646" s="3" t="inlineStr">
        <is>
          <t>G2G</t>
        </is>
      </c>
      <c r="T1646" s="3" t="inlineStr">
        <is>
          <t>P4</t>
        </is>
      </c>
      <c r="U1646" s="3" t="inlineStr">
        <is>
          <t>P JB Cold Soldering</t>
        </is>
      </c>
      <c r="V1646" s="3" t="inlineStr">
        <is>
          <t>Soldering</t>
        </is>
      </c>
      <c r="W1646" s="3" t="inlineStr">
        <is>
          <t>Repair</t>
        </is>
      </c>
      <c r="X1646" s="18" t="n">
        <v>46163</v>
      </c>
      <c r="Y1646" s="73">
        <f>IF(X1646="","",X1646-A1646)</f>
        <v/>
      </c>
      <c r="Z1646" s="18" t="n">
        <v>46163</v>
      </c>
      <c r="AA1646" s="15" t="n"/>
      <c r="AB1646" s="15" t="n"/>
      <c r="AF1646">
        <f>IF(AND($F1646="Closed",$X1646&gt;=DATE(2026,5,1),$X1646&lt;=DATE(2026,5,31)),"Closed in May","Other")</f>
        <v/>
      </c>
    </row>
    <row r="1647">
      <c r="A1647" s="6" t="n">
        <v>46107</v>
      </c>
      <c r="B1647" s="3" t="n">
        <v>2026</v>
      </c>
      <c r="C1647" s="3" t="inlineStr">
        <is>
          <t>Blupine Energy</t>
        </is>
      </c>
      <c r="D1647" s="3" t="inlineStr">
        <is>
          <t>Utility and C&amp;I</t>
        </is>
      </c>
      <c r="E1647" s="3" t="n"/>
      <c r="F1647" s="3" t="inlineStr">
        <is>
          <t>Closed</t>
        </is>
      </c>
      <c r="G1647" s="3" t="inlineStr">
        <is>
          <t>Chandrashekar Patidar</t>
        </is>
      </c>
      <c r="H1647" s="3" t="n">
        <v>7879764773</v>
      </c>
      <c r="I1647" s="11" t="inlineStr">
        <is>
          <t>PE26032601</t>
        </is>
      </c>
      <c r="J1647" s="3" t="inlineStr">
        <is>
          <t>Module Diode Failure</t>
        </is>
      </c>
      <c r="K1647" s="3" t="inlineStr">
        <is>
          <t>Sadla</t>
        </is>
      </c>
      <c r="L1647" s="3" t="inlineStr">
        <is>
          <t>Gujarat</t>
        </is>
      </c>
      <c r="M1647" s="55" t="inlineStr">
        <is>
          <t>PS</t>
        </is>
      </c>
      <c r="N1647" s="3" t="inlineStr">
        <is>
          <t>Cold Soldering</t>
        </is>
      </c>
      <c r="O1647" s="3" t="n">
        <v>570</v>
      </c>
      <c r="P1647" s="55" t="inlineStr">
        <is>
          <t>NSMI24060076365</t>
        </is>
      </c>
      <c r="Q1647" s="54">
        <f>MID(P1647,5,2)</f>
        <v/>
      </c>
      <c r="R1647" s="53">
        <f>MID(P1647,7,2)</f>
        <v/>
      </c>
      <c r="S1647" s="3" t="inlineStr">
        <is>
          <t>G2G</t>
        </is>
      </c>
      <c r="T1647" s="3" t="inlineStr">
        <is>
          <t>P4</t>
        </is>
      </c>
      <c r="U1647" s="3" t="inlineStr">
        <is>
          <t>P JB Cold Soldering</t>
        </is>
      </c>
      <c r="V1647" s="3" t="inlineStr">
        <is>
          <t>Soldering</t>
        </is>
      </c>
      <c r="W1647" s="3" t="inlineStr">
        <is>
          <t>Repair</t>
        </is>
      </c>
      <c r="X1647" s="18" t="n">
        <v>46163</v>
      </c>
      <c r="Y1647" s="73">
        <f>IF(X1647="","",X1647-A1647)</f>
        <v/>
      </c>
      <c r="Z1647" s="18" t="n">
        <v>46163</v>
      </c>
      <c r="AA1647" s="15" t="n"/>
      <c r="AB1647" s="15" t="n"/>
      <c r="AF1647">
        <f>IF(AND($F1647="Closed",$X1647&gt;=DATE(2026,5,1),$X1647&lt;=DATE(2026,5,31)),"Closed in May","Other")</f>
        <v/>
      </c>
    </row>
    <row r="1648">
      <c r="A1648" s="6" t="n">
        <v>46107</v>
      </c>
      <c r="B1648" s="3" t="n">
        <v>2026</v>
      </c>
      <c r="C1648" s="3" t="inlineStr">
        <is>
          <t>Blupine Energy</t>
        </is>
      </c>
      <c r="D1648" s="3" t="inlineStr">
        <is>
          <t>Utility and C&amp;I</t>
        </is>
      </c>
      <c r="E1648" s="3" t="n"/>
      <c r="F1648" s="3" t="inlineStr">
        <is>
          <t>Closed</t>
        </is>
      </c>
      <c r="G1648" s="3" t="inlineStr">
        <is>
          <t>Chandrashekar Patidar</t>
        </is>
      </c>
      <c r="H1648" s="3" t="n">
        <v>7879764773</v>
      </c>
      <c r="I1648" s="11" t="inlineStr">
        <is>
          <t>PE26032601</t>
        </is>
      </c>
      <c r="J1648" s="3" t="inlineStr">
        <is>
          <t>Module Diode Failure</t>
        </is>
      </c>
      <c r="K1648" s="3" t="inlineStr">
        <is>
          <t>Sadla</t>
        </is>
      </c>
      <c r="L1648" s="3" t="inlineStr">
        <is>
          <t>Gujarat</t>
        </is>
      </c>
      <c r="M1648" s="55" t="inlineStr">
        <is>
          <t>NS</t>
        </is>
      </c>
      <c r="N1648" s="3" t="inlineStr">
        <is>
          <t>Cold Soldering</t>
        </is>
      </c>
      <c r="O1648" s="3" t="n">
        <v>570</v>
      </c>
      <c r="P1648" s="55" t="inlineStr">
        <is>
          <t>NSMI24050066112</t>
        </is>
      </c>
      <c r="Q1648" s="54">
        <f>MID(P1648,5,2)</f>
        <v/>
      </c>
      <c r="R1648" s="53">
        <f>MID(P1648,7,2)</f>
        <v/>
      </c>
      <c r="S1648" s="3" t="inlineStr">
        <is>
          <t>G2G</t>
        </is>
      </c>
      <c r="T1648" s="3" t="inlineStr">
        <is>
          <t>P4</t>
        </is>
      </c>
      <c r="U1648" s="3" t="inlineStr">
        <is>
          <t>N JB Cold Soldering</t>
        </is>
      </c>
      <c r="V1648" s="3" t="inlineStr">
        <is>
          <t>Soldering</t>
        </is>
      </c>
      <c r="W1648" s="3" t="inlineStr">
        <is>
          <t>Repair</t>
        </is>
      </c>
      <c r="X1648" s="18" t="n">
        <v>46163</v>
      </c>
      <c r="Y1648" s="73">
        <f>IF(X1648="","",X1648-A1648)</f>
        <v/>
      </c>
      <c r="Z1648" s="18" t="n">
        <v>46163</v>
      </c>
      <c r="AA1648" s="15" t="n"/>
      <c r="AB1648" s="15" t="n"/>
      <c r="AF1648">
        <f>IF(AND($F1648="Closed",$X1648&gt;=DATE(2026,5,1),$X1648&lt;=DATE(2026,5,31)),"Closed in May","Other")</f>
        <v/>
      </c>
    </row>
    <row r="1649">
      <c r="A1649" s="6" t="n">
        <v>46107</v>
      </c>
      <c r="B1649" s="3" t="n">
        <v>2026</v>
      </c>
      <c r="C1649" s="3" t="inlineStr">
        <is>
          <t>Blupine Energy</t>
        </is>
      </c>
      <c r="D1649" s="3" t="inlineStr">
        <is>
          <t>Utility and C&amp;I</t>
        </is>
      </c>
      <c r="E1649" s="3" t="n"/>
      <c r="F1649" s="3" t="inlineStr">
        <is>
          <t>Closed</t>
        </is>
      </c>
      <c r="G1649" s="3" t="inlineStr">
        <is>
          <t>Chandrashekar Patidar</t>
        </is>
      </c>
      <c r="H1649" s="3" t="n">
        <v>7879764773</v>
      </c>
      <c r="I1649" s="11" t="inlineStr">
        <is>
          <t>PE26032601</t>
        </is>
      </c>
      <c r="J1649" s="3" t="inlineStr">
        <is>
          <t>Module Diode Failure</t>
        </is>
      </c>
      <c r="K1649" s="3" t="inlineStr">
        <is>
          <t>Sadla</t>
        </is>
      </c>
      <c r="L1649" s="3" t="inlineStr">
        <is>
          <t>Gujarat</t>
        </is>
      </c>
      <c r="M1649" s="55" t="inlineStr">
        <is>
          <t>NS</t>
        </is>
      </c>
      <c r="N1649" s="3" t="inlineStr">
        <is>
          <t>Cold Soldering</t>
        </is>
      </c>
      <c r="O1649" s="3" t="n">
        <v>570</v>
      </c>
      <c r="P1649" s="55" t="inlineStr">
        <is>
          <t>NSMI24050066115</t>
        </is>
      </c>
      <c r="Q1649" s="54">
        <f>MID(P1649,5,2)</f>
        <v/>
      </c>
      <c r="R1649" s="53">
        <f>MID(P1649,7,2)</f>
        <v/>
      </c>
      <c r="S1649" s="3" t="inlineStr">
        <is>
          <t>G2G</t>
        </is>
      </c>
      <c r="T1649" s="3" t="inlineStr">
        <is>
          <t>P4</t>
        </is>
      </c>
      <c r="U1649" s="3" t="inlineStr">
        <is>
          <t>N JB Cold Soldering</t>
        </is>
      </c>
      <c r="V1649" s="3" t="inlineStr">
        <is>
          <t>Soldering</t>
        </is>
      </c>
      <c r="W1649" s="3" t="inlineStr">
        <is>
          <t>Repair</t>
        </is>
      </c>
      <c r="X1649" s="18" t="n">
        <v>46163</v>
      </c>
      <c r="Y1649" s="73">
        <f>IF(X1649="","",X1649-A1649)</f>
        <v/>
      </c>
      <c r="Z1649" s="18" t="n">
        <v>46163</v>
      </c>
      <c r="AA1649" s="15" t="n"/>
      <c r="AB1649" s="15" t="n"/>
      <c r="AF1649">
        <f>IF(AND($F1649="Closed",$X1649&gt;=DATE(2026,5,1),$X1649&lt;=DATE(2026,5,31)),"Closed in May","Other")</f>
        <v/>
      </c>
    </row>
    <row r="1650">
      <c r="A1650" s="6" t="n">
        <v>46107</v>
      </c>
      <c r="B1650" s="3" t="n">
        <v>2026</v>
      </c>
      <c r="C1650" s="3" t="inlineStr">
        <is>
          <t>Blupine Energy</t>
        </is>
      </c>
      <c r="D1650" s="3" t="inlineStr">
        <is>
          <t>Utility and C&amp;I</t>
        </is>
      </c>
      <c r="E1650" s="3" t="n"/>
      <c r="F1650" s="3" t="inlineStr">
        <is>
          <t>Closed</t>
        </is>
      </c>
      <c r="G1650" s="3" t="inlineStr">
        <is>
          <t>Chandrashekar Patidar</t>
        </is>
      </c>
      <c r="H1650" s="3" t="n">
        <v>7879764773</v>
      </c>
      <c r="I1650" s="11" t="inlineStr">
        <is>
          <t>PE26032601</t>
        </is>
      </c>
      <c r="J1650" s="3" t="inlineStr">
        <is>
          <t>Module Diode Failure</t>
        </is>
      </c>
      <c r="K1650" s="3" t="inlineStr">
        <is>
          <t>Sadla</t>
        </is>
      </c>
      <c r="L1650" s="3" t="inlineStr">
        <is>
          <t>Gujarat</t>
        </is>
      </c>
      <c r="M1650" s="55" t="inlineStr">
        <is>
          <t>NS</t>
        </is>
      </c>
      <c r="N1650" s="3" t="inlineStr">
        <is>
          <t>Cold Soldering</t>
        </is>
      </c>
      <c r="O1650" s="3" t="n">
        <v>570</v>
      </c>
      <c r="P1650" s="55" t="inlineStr">
        <is>
          <t>NSMI24050066147</t>
        </is>
      </c>
      <c r="Q1650" s="54">
        <f>MID(P1650,5,2)</f>
        <v/>
      </c>
      <c r="R1650" s="53">
        <f>MID(P1650,7,2)</f>
        <v/>
      </c>
      <c r="S1650" s="3" t="inlineStr">
        <is>
          <t>G2G</t>
        </is>
      </c>
      <c r="T1650" s="3" t="inlineStr">
        <is>
          <t>P4</t>
        </is>
      </c>
      <c r="U1650" s="3" t="inlineStr">
        <is>
          <t>N JB Cold Soldering</t>
        </is>
      </c>
      <c r="V1650" s="3" t="inlineStr">
        <is>
          <t>Soldering</t>
        </is>
      </c>
      <c r="W1650" s="3" t="inlineStr">
        <is>
          <t>Repair</t>
        </is>
      </c>
      <c r="X1650" s="18" t="n">
        <v>46163</v>
      </c>
      <c r="Y1650" s="73">
        <f>IF(X1650="","",X1650-A1650)</f>
        <v/>
      </c>
      <c r="Z1650" s="18" t="n">
        <v>46163</v>
      </c>
      <c r="AA1650" s="15" t="n"/>
      <c r="AB1650" s="15" t="n"/>
      <c r="AF1650">
        <f>IF(AND($F1650="Closed",$X1650&gt;=DATE(2026,5,1),$X1650&lt;=DATE(2026,5,31)),"Closed in May","Other")</f>
        <v/>
      </c>
    </row>
    <row r="1651">
      <c r="A1651" s="6" t="n">
        <v>46107</v>
      </c>
      <c r="B1651" s="3" t="n">
        <v>2026</v>
      </c>
      <c r="C1651" s="3" t="inlineStr">
        <is>
          <t>Blupine Energy</t>
        </is>
      </c>
      <c r="D1651" s="3" t="inlineStr">
        <is>
          <t>Utility and C&amp;I</t>
        </is>
      </c>
      <c r="E1651" s="3" t="n"/>
      <c r="F1651" s="3" t="inlineStr">
        <is>
          <t>Closed</t>
        </is>
      </c>
      <c r="G1651" s="3" t="inlineStr">
        <is>
          <t>Chandrashekar Patidar</t>
        </is>
      </c>
      <c r="H1651" s="3" t="n">
        <v>7879764773</v>
      </c>
      <c r="I1651" s="11" t="inlineStr">
        <is>
          <t>PE26032601</t>
        </is>
      </c>
      <c r="J1651" s="3" t="inlineStr">
        <is>
          <t>Module Diode Failure</t>
        </is>
      </c>
      <c r="K1651" s="3" t="inlineStr">
        <is>
          <t>Sadla</t>
        </is>
      </c>
      <c r="L1651" s="3" t="inlineStr">
        <is>
          <t>Gujarat</t>
        </is>
      </c>
      <c r="M1651" s="55" t="inlineStr">
        <is>
          <t>NS</t>
        </is>
      </c>
      <c r="N1651" s="3" t="inlineStr">
        <is>
          <t>Cold Soldering</t>
        </is>
      </c>
      <c r="O1651" s="3" t="n">
        <v>570</v>
      </c>
      <c r="P1651" s="55" t="inlineStr">
        <is>
          <t>NSMI24050065280</t>
        </is>
      </c>
      <c r="Q1651" s="54">
        <f>MID(P1651,5,2)</f>
        <v/>
      </c>
      <c r="R1651" s="53">
        <f>MID(P1651,7,2)</f>
        <v/>
      </c>
      <c r="S1651" s="3" t="inlineStr">
        <is>
          <t>G2G</t>
        </is>
      </c>
      <c r="T1651" s="3" t="inlineStr">
        <is>
          <t>P4</t>
        </is>
      </c>
      <c r="U1651" s="3" t="inlineStr">
        <is>
          <t>N JB Cold Soldering</t>
        </is>
      </c>
      <c r="V1651" s="3" t="inlineStr">
        <is>
          <t>Soldering</t>
        </is>
      </c>
      <c r="W1651" s="3" t="inlineStr">
        <is>
          <t>Repair</t>
        </is>
      </c>
      <c r="X1651" s="18" t="n">
        <v>46163</v>
      </c>
      <c r="Y1651" s="73">
        <f>IF(X1651="","",X1651-A1651)</f>
        <v/>
      </c>
      <c r="Z1651" s="18" t="n">
        <v>46163</v>
      </c>
      <c r="AA1651" s="15" t="n"/>
      <c r="AB1651" s="15" t="n"/>
      <c r="AF1651">
        <f>IF(AND($F1651="Closed",$X1651&gt;=DATE(2026,5,1),$X1651&lt;=DATE(2026,5,31)),"Closed in May","Other")</f>
        <v/>
      </c>
    </row>
    <row r="1652">
      <c r="A1652" s="6" t="n">
        <v>46107</v>
      </c>
      <c r="B1652" s="3" t="n">
        <v>2026</v>
      </c>
      <c r="C1652" s="3" t="inlineStr">
        <is>
          <t>Blupine Energy</t>
        </is>
      </c>
      <c r="D1652" s="3" t="inlineStr">
        <is>
          <t>Utility and C&amp;I</t>
        </is>
      </c>
      <c r="E1652" s="3" t="n"/>
      <c r="F1652" s="3" t="inlineStr">
        <is>
          <t>Closed</t>
        </is>
      </c>
      <c r="G1652" s="3" t="inlineStr">
        <is>
          <t>Chandrashekar Patidar</t>
        </is>
      </c>
      <c r="H1652" s="3" t="n">
        <v>7879764773</v>
      </c>
      <c r="I1652" s="11" t="inlineStr">
        <is>
          <t>PE26032601</t>
        </is>
      </c>
      <c r="J1652" s="3" t="inlineStr">
        <is>
          <t>Module Diode Failure</t>
        </is>
      </c>
      <c r="K1652" s="3" t="inlineStr">
        <is>
          <t>Sadla</t>
        </is>
      </c>
      <c r="L1652" s="3" t="inlineStr">
        <is>
          <t>Gujarat</t>
        </is>
      </c>
      <c r="M1652" s="55" t="inlineStr">
        <is>
          <t>NS</t>
        </is>
      </c>
      <c r="N1652" s="3" t="inlineStr">
        <is>
          <t>Cold Soldering</t>
        </is>
      </c>
      <c r="O1652" s="3" t="n">
        <v>570</v>
      </c>
      <c r="P1652" s="55" t="inlineStr">
        <is>
          <t>NSMI24050065109</t>
        </is>
      </c>
      <c r="Q1652" s="54">
        <f>MID(P1652,5,2)</f>
        <v/>
      </c>
      <c r="R1652" s="53">
        <f>MID(P1652,7,2)</f>
        <v/>
      </c>
      <c r="S1652" s="3" t="inlineStr">
        <is>
          <t>G2G</t>
        </is>
      </c>
      <c r="T1652" s="3" t="inlineStr">
        <is>
          <t>P4</t>
        </is>
      </c>
      <c r="U1652" s="3" t="inlineStr">
        <is>
          <t>N JB Cold Soldering</t>
        </is>
      </c>
      <c r="V1652" s="3" t="inlineStr">
        <is>
          <t>Soldering</t>
        </is>
      </c>
      <c r="W1652" s="3" t="inlineStr">
        <is>
          <t>Repair</t>
        </is>
      </c>
      <c r="X1652" s="18" t="n">
        <v>46163</v>
      </c>
      <c r="Y1652" s="73">
        <f>IF(X1652="","",X1652-A1652)</f>
        <v/>
      </c>
      <c r="Z1652" s="18" t="n">
        <v>46163</v>
      </c>
      <c r="AA1652" s="15" t="n"/>
      <c r="AB1652" s="15" t="n"/>
      <c r="AF1652">
        <f>IF(AND($F1652="Closed",$X1652&gt;=DATE(2026,5,1),$X1652&lt;=DATE(2026,5,31)),"Closed in May","Other")</f>
        <v/>
      </c>
    </row>
    <row r="1653">
      <c r="A1653" s="6" t="n">
        <v>46107</v>
      </c>
      <c r="B1653" s="3" t="n">
        <v>2026</v>
      </c>
      <c r="C1653" s="3" t="inlineStr">
        <is>
          <t>Blupine Energy</t>
        </is>
      </c>
      <c r="D1653" s="3" t="inlineStr">
        <is>
          <t>Utility and C&amp;I</t>
        </is>
      </c>
      <c r="E1653" s="3" t="n"/>
      <c r="F1653" s="3" t="inlineStr">
        <is>
          <t>Closed</t>
        </is>
      </c>
      <c r="G1653" s="3" t="inlineStr">
        <is>
          <t>Chandrashekar Patidar</t>
        </is>
      </c>
      <c r="H1653" s="3" t="n">
        <v>7879764773</v>
      </c>
      <c r="I1653" s="11" t="inlineStr">
        <is>
          <t>PE26032601</t>
        </is>
      </c>
      <c r="J1653" s="3" t="inlineStr">
        <is>
          <t>Module Diode Failure</t>
        </is>
      </c>
      <c r="K1653" s="3" t="inlineStr">
        <is>
          <t>Sadla</t>
        </is>
      </c>
      <c r="L1653" s="3" t="inlineStr">
        <is>
          <t>Gujarat</t>
        </is>
      </c>
      <c r="M1653" s="55" t="inlineStr">
        <is>
          <t>NS</t>
        </is>
      </c>
      <c r="N1653" s="3" t="inlineStr">
        <is>
          <t>Cold Soldering</t>
        </is>
      </c>
      <c r="O1653" s="3" t="n">
        <v>570</v>
      </c>
      <c r="P1653" s="55" t="inlineStr">
        <is>
          <t>NSMI24060081653</t>
        </is>
      </c>
      <c r="Q1653" s="54">
        <f>MID(P1653,5,2)</f>
        <v/>
      </c>
      <c r="R1653" s="53">
        <f>MID(P1653,7,2)</f>
        <v/>
      </c>
      <c r="S1653" s="3" t="inlineStr">
        <is>
          <t>G2G</t>
        </is>
      </c>
      <c r="T1653" s="3" t="inlineStr">
        <is>
          <t>P4</t>
        </is>
      </c>
      <c r="U1653" s="3" t="inlineStr">
        <is>
          <t>N JB Cold Soldering</t>
        </is>
      </c>
      <c r="V1653" s="3" t="inlineStr">
        <is>
          <t>Soldering</t>
        </is>
      </c>
      <c r="W1653" s="3" t="inlineStr">
        <is>
          <t>Repair</t>
        </is>
      </c>
      <c r="X1653" s="18" t="n">
        <v>46163</v>
      </c>
      <c r="Y1653" s="73">
        <f>IF(X1653="","",X1653-A1653)</f>
        <v/>
      </c>
      <c r="Z1653" s="18" t="n">
        <v>46163</v>
      </c>
      <c r="AA1653" s="15" t="n"/>
      <c r="AB1653" s="15" t="n"/>
      <c r="AF1653">
        <f>IF(AND($F1653="Closed",$X1653&gt;=DATE(2026,5,1),$X1653&lt;=DATE(2026,5,31)),"Closed in May","Other")</f>
        <v/>
      </c>
    </row>
    <row r="1654">
      <c r="A1654" s="6" t="n">
        <v>46107</v>
      </c>
      <c r="B1654" s="3" t="n">
        <v>2026</v>
      </c>
      <c r="C1654" s="3" t="inlineStr">
        <is>
          <t>Blupine Energy</t>
        </is>
      </c>
      <c r="D1654" s="3" t="inlineStr">
        <is>
          <t>Utility and C&amp;I</t>
        </is>
      </c>
      <c r="E1654" s="3" t="n"/>
      <c r="F1654" s="3" t="inlineStr">
        <is>
          <t>Closed</t>
        </is>
      </c>
      <c r="G1654" s="3" t="inlineStr">
        <is>
          <t>Chandrashekar Patidar</t>
        </is>
      </c>
      <c r="H1654" s="3" t="n">
        <v>7879764773</v>
      </c>
      <c r="I1654" s="11" t="inlineStr">
        <is>
          <t>PE26032601</t>
        </is>
      </c>
      <c r="J1654" s="3" t="inlineStr">
        <is>
          <t>Module Diode Failure</t>
        </is>
      </c>
      <c r="K1654" s="3" t="inlineStr">
        <is>
          <t>Sadla</t>
        </is>
      </c>
      <c r="L1654" s="3" t="inlineStr">
        <is>
          <t>Gujarat</t>
        </is>
      </c>
      <c r="M1654" s="55" t="inlineStr">
        <is>
          <t>PS</t>
        </is>
      </c>
      <c r="N1654" s="3" t="inlineStr">
        <is>
          <t>Cold Soldering</t>
        </is>
      </c>
      <c r="O1654" s="3" t="n">
        <v>570</v>
      </c>
      <c r="P1654" s="55" t="inlineStr">
        <is>
          <t>NSMI24060082890</t>
        </is>
      </c>
      <c r="Q1654" s="54">
        <f>MID(P1654,5,2)</f>
        <v/>
      </c>
      <c r="R1654" s="53">
        <f>MID(P1654,7,2)</f>
        <v/>
      </c>
      <c r="S1654" s="3" t="inlineStr">
        <is>
          <t>G2G</t>
        </is>
      </c>
      <c r="T1654" s="3" t="inlineStr">
        <is>
          <t>P4</t>
        </is>
      </c>
      <c r="U1654" s="3" t="inlineStr">
        <is>
          <t>P JB Cold Soldering</t>
        </is>
      </c>
      <c r="V1654" s="3" t="inlineStr">
        <is>
          <t>Soldering</t>
        </is>
      </c>
      <c r="W1654" s="3" t="inlineStr">
        <is>
          <t>Repair</t>
        </is>
      </c>
      <c r="X1654" s="18" t="n">
        <v>46163</v>
      </c>
      <c r="Y1654" s="73">
        <f>IF(X1654="","",X1654-A1654)</f>
        <v/>
      </c>
      <c r="Z1654" s="18" t="n">
        <v>46163</v>
      </c>
      <c r="AA1654" s="15" t="n"/>
      <c r="AB1654" s="15" t="n"/>
      <c r="AF1654">
        <f>IF(AND($F1654="Closed",$X1654&gt;=DATE(2026,5,1),$X1654&lt;=DATE(2026,5,31)),"Closed in May","Other")</f>
        <v/>
      </c>
    </row>
    <row r="1655">
      <c r="A1655" s="6" t="n">
        <v>46107</v>
      </c>
      <c r="B1655" s="3" t="n">
        <v>2026</v>
      </c>
      <c r="C1655" s="3" t="inlineStr">
        <is>
          <t>Blupine Energy</t>
        </is>
      </c>
      <c r="D1655" s="3" t="inlineStr">
        <is>
          <t>Utility and C&amp;I</t>
        </is>
      </c>
      <c r="E1655" s="3" t="n"/>
      <c r="F1655" s="3" t="inlineStr">
        <is>
          <t>Closed</t>
        </is>
      </c>
      <c r="G1655" s="3" t="inlineStr">
        <is>
          <t>Chandrashekar Patidar</t>
        </is>
      </c>
      <c r="H1655" s="3" t="n">
        <v>7879764773</v>
      </c>
      <c r="I1655" s="11" t="inlineStr">
        <is>
          <t>PE26032601</t>
        </is>
      </c>
      <c r="J1655" s="3" t="inlineStr">
        <is>
          <t>Module Diode Failure</t>
        </is>
      </c>
      <c r="K1655" s="3" t="inlineStr">
        <is>
          <t>Sadla</t>
        </is>
      </c>
      <c r="L1655" s="3" t="inlineStr">
        <is>
          <t>Gujarat</t>
        </is>
      </c>
      <c r="M1655" s="55" t="inlineStr">
        <is>
          <t>PR</t>
        </is>
      </c>
      <c r="N1655" s="3" t="inlineStr">
        <is>
          <t>JB Issue</t>
        </is>
      </c>
      <c r="O1655" s="3" t="n">
        <v>570</v>
      </c>
      <c r="P1655" s="55" t="inlineStr">
        <is>
          <t>NSMI24060082839</t>
        </is>
      </c>
      <c r="Q1655" s="54">
        <f>MID(P1655,5,2)</f>
        <v/>
      </c>
      <c r="R1655" s="53">
        <f>MID(P1655,7,2)</f>
        <v/>
      </c>
      <c r="S1655" s="3" t="inlineStr">
        <is>
          <t>G2G</t>
        </is>
      </c>
      <c r="T1655" s="3" t="inlineStr">
        <is>
          <t>P4</t>
        </is>
      </c>
      <c r="U1655" s="3" t="inlineStr">
        <is>
          <t>P JB Issue</t>
        </is>
      </c>
      <c r="V1655" s="15" t="inlineStr">
        <is>
          <t>JB Changed</t>
        </is>
      </c>
      <c r="W1655" s="3" t="inlineStr">
        <is>
          <t>Repair</t>
        </is>
      </c>
      <c r="X1655" s="18" t="n">
        <v>46163</v>
      </c>
      <c r="Y1655" s="73">
        <f>IF(X1655="","",X1655-A1655)</f>
        <v/>
      </c>
      <c r="Z1655" s="18" t="n">
        <v>46163</v>
      </c>
      <c r="AA1655" s="15" t="n"/>
      <c r="AB1655" s="15" t="n"/>
      <c r="AF1655">
        <f>IF(AND($F1655="Closed",$X1655&gt;=DATE(2026,5,1),$X1655&lt;=DATE(2026,5,31)),"Closed in May","Other")</f>
        <v/>
      </c>
    </row>
    <row r="1656">
      <c r="A1656" s="6" t="n">
        <v>46107</v>
      </c>
      <c r="B1656" s="3" t="n">
        <v>2026</v>
      </c>
      <c r="C1656" s="3" t="inlineStr">
        <is>
          <t>Blupine Energy</t>
        </is>
      </c>
      <c r="D1656" s="3" t="inlineStr">
        <is>
          <t>Utility and C&amp;I</t>
        </is>
      </c>
      <c r="E1656" s="3" t="n"/>
      <c r="F1656" s="3" t="inlineStr">
        <is>
          <t>Closed</t>
        </is>
      </c>
      <c r="G1656" s="3" t="inlineStr">
        <is>
          <t>Chandrashekar Patidar</t>
        </is>
      </c>
      <c r="H1656" s="3" t="n">
        <v>7879764773</v>
      </c>
      <c r="I1656" s="11" t="inlineStr">
        <is>
          <t>PE26032601</t>
        </is>
      </c>
      <c r="J1656" s="3" t="inlineStr">
        <is>
          <t>Module Diode Failure</t>
        </is>
      </c>
      <c r="K1656" s="3" t="inlineStr">
        <is>
          <t>Sadla</t>
        </is>
      </c>
      <c r="L1656" s="3" t="inlineStr">
        <is>
          <t>Gujarat</t>
        </is>
      </c>
      <c r="M1656" s="55" t="inlineStr">
        <is>
          <t>PS</t>
        </is>
      </c>
      <c r="N1656" s="3" t="inlineStr">
        <is>
          <t>Cold Soldering</t>
        </is>
      </c>
      <c r="O1656" s="3" t="n">
        <v>570</v>
      </c>
      <c r="P1656" s="55" t="inlineStr">
        <is>
          <t>NSMI24050050205</t>
        </is>
      </c>
      <c r="Q1656" s="54">
        <f>MID(P1656,5,2)</f>
        <v/>
      </c>
      <c r="R1656" s="53">
        <f>MID(P1656,7,2)</f>
        <v/>
      </c>
      <c r="S1656" s="3" t="inlineStr">
        <is>
          <t>G2G</t>
        </is>
      </c>
      <c r="T1656" s="3" t="inlineStr">
        <is>
          <t>P4</t>
        </is>
      </c>
      <c r="U1656" s="3" t="inlineStr">
        <is>
          <t>P JB Cold Soldering</t>
        </is>
      </c>
      <c r="V1656" s="3" t="inlineStr">
        <is>
          <t>Soldering</t>
        </is>
      </c>
      <c r="W1656" s="3" t="inlineStr">
        <is>
          <t>Repair</t>
        </is>
      </c>
      <c r="X1656" s="18" t="n">
        <v>46163</v>
      </c>
      <c r="Y1656" s="73">
        <f>IF(X1656="","",X1656-A1656)</f>
        <v/>
      </c>
      <c r="Z1656" s="18" t="n">
        <v>46163</v>
      </c>
      <c r="AA1656" s="15" t="n"/>
      <c r="AB1656" s="15" t="n"/>
      <c r="AF1656">
        <f>IF(AND($F1656="Closed",$X1656&gt;=DATE(2026,5,1),$X1656&lt;=DATE(2026,5,31)),"Closed in May","Other")</f>
        <v/>
      </c>
    </row>
    <row r="1657">
      <c r="A1657" s="6" t="n">
        <v>46107</v>
      </c>
      <c r="B1657" s="3" t="n">
        <v>2026</v>
      </c>
      <c r="C1657" s="3" t="inlineStr">
        <is>
          <t>Blupine Energy</t>
        </is>
      </c>
      <c r="D1657" s="3" t="inlineStr">
        <is>
          <t>Utility and C&amp;I</t>
        </is>
      </c>
      <c r="E1657" s="3" t="n"/>
      <c r="F1657" s="3" t="inlineStr">
        <is>
          <t>Closed</t>
        </is>
      </c>
      <c r="G1657" s="3" t="inlineStr">
        <is>
          <t>Chandrashekar Patidar</t>
        </is>
      </c>
      <c r="H1657" s="3" t="n">
        <v>7879764773</v>
      </c>
      <c r="I1657" s="11" t="inlineStr">
        <is>
          <t>PE26032601</t>
        </is>
      </c>
      <c r="J1657" s="3" t="inlineStr">
        <is>
          <t>Module Diode Failure</t>
        </is>
      </c>
      <c r="K1657" s="3" t="inlineStr">
        <is>
          <t>Sadla</t>
        </is>
      </c>
      <c r="L1657" s="3" t="inlineStr">
        <is>
          <t>Gujarat</t>
        </is>
      </c>
      <c r="M1657" s="55" t="inlineStr">
        <is>
          <t>PS</t>
        </is>
      </c>
      <c r="N1657" s="3" t="inlineStr">
        <is>
          <t>Cold Soldering</t>
        </is>
      </c>
      <c r="O1657" s="3" t="n">
        <v>570</v>
      </c>
      <c r="P1657" s="55" t="inlineStr">
        <is>
          <t>NSMI24060083220</t>
        </is>
      </c>
      <c r="Q1657" s="54">
        <f>MID(P1657,5,2)</f>
        <v/>
      </c>
      <c r="R1657" s="53">
        <f>MID(P1657,7,2)</f>
        <v/>
      </c>
      <c r="S1657" s="3" t="inlineStr">
        <is>
          <t>G2G</t>
        </is>
      </c>
      <c r="T1657" s="3" t="inlineStr">
        <is>
          <t>P4</t>
        </is>
      </c>
      <c r="U1657" s="3" t="inlineStr">
        <is>
          <t>P JB Cold Soldering</t>
        </is>
      </c>
      <c r="V1657" s="3" t="inlineStr">
        <is>
          <t>Soldering</t>
        </is>
      </c>
      <c r="W1657" s="3" t="inlineStr">
        <is>
          <t>Repair</t>
        </is>
      </c>
      <c r="X1657" s="18" t="n">
        <v>46163</v>
      </c>
      <c r="Y1657" s="73">
        <f>IF(X1657="","",X1657-A1657)</f>
        <v/>
      </c>
      <c r="Z1657" s="18" t="n">
        <v>46163</v>
      </c>
      <c r="AA1657" s="15" t="n"/>
      <c r="AB1657" s="15" t="n"/>
      <c r="AF1657">
        <f>IF(AND($F1657="Closed",$X1657&gt;=DATE(2026,5,1),$X1657&lt;=DATE(2026,5,31)),"Closed in May","Other")</f>
        <v/>
      </c>
    </row>
    <row r="1658">
      <c r="A1658" s="6" t="n">
        <v>46107</v>
      </c>
      <c r="B1658" s="3" t="n">
        <v>2026</v>
      </c>
      <c r="C1658" s="3" t="inlineStr">
        <is>
          <t>Blupine Energy</t>
        </is>
      </c>
      <c r="D1658" s="3" t="inlineStr">
        <is>
          <t>Utility and C&amp;I</t>
        </is>
      </c>
      <c r="E1658" s="3" t="n"/>
      <c r="F1658" s="3" t="inlineStr">
        <is>
          <t>Closed</t>
        </is>
      </c>
      <c r="G1658" s="3" t="inlineStr">
        <is>
          <t>Chandrashekar Patidar</t>
        </is>
      </c>
      <c r="H1658" s="3" t="n">
        <v>7879764773</v>
      </c>
      <c r="I1658" s="11" t="inlineStr">
        <is>
          <t>PE26032601</t>
        </is>
      </c>
      <c r="J1658" s="3" t="inlineStr">
        <is>
          <t>Module Diode Failure</t>
        </is>
      </c>
      <c r="K1658" s="3" t="inlineStr">
        <is>
          <t>Sadla</t>
        </is>
      </c>
      <c r="L1658" s="3" t="inlineStr">
        <is>
          <t>Gujarat</t>
        </is>
      </c>
      <c r="M1658" s="55" t="inlineStr">
        <is>
          <t>NR</t>
        </is>
      </c>
      <c r="N1658" s="3" t="inlineStr">
        <is>
          <t>JB Issue</t>
        </is>
      </c>
      <c r="O1658" s="3" t="n">
        <v>570</v>
      </c>
      <c r="P1658" s="55" t="inlineStr">
        <is>
          <t>NSMI24060085886</t>
        </is>
      </c>
      <c r="Q1658" s="54">
        <f>MID(P1658,5,2)</f>
        <v/>
      </c>
      <c r="R1658" s="53">
        <f>MID(P1658,7,2)</f>
        <v/>
      </c>
      <c r="S1658" s="3" t="inlineStr">
        <is>
          <t>G2G</t>
        </is>
      </c>
      <c r="T1658" s="3" t="inlineStr">
        <is>
          <t>P4</t>
        </is>
      </c>
      <c r="U1658" s="3" t="inlineStr">
        <is>
          <t>N JB Issue</t>
        </is>
      </c>
      <c r="V1658" s="3" t="inlineStr">
        <is>
          <t>JB Changed</t>
        </is>
      </c>
      <c r="W1658" s="3" t="inlineStr">
        <is>
          <t>Repair</t>
        </is>
      </c>
      <c r="X1658" s="18" t="n">
        <v>46163</v>
      </c>
      <c r="Y1658" s="73">
        <f>IF(X1658="","",X1658-A1658)</f>
        <v/>
      </c>
      <c r="Z1658" s="18" t="n">
        <v>46163</v>
      </c>
      <c r="AA1658" s="15" t="n"/>
      <c r="AB1658" s="15" t="n"/>
      <c r="AF1658">
        <f>IF(AND($F1658="Closed",$X1658&gt;=DATE(2026,5,1),$X1658&lt;=DATE(2026,5,31)),"Closed in May","Other")</f>
        <v/>
      </c>
    </row>
    <row r="1659">
      <c r="A1659" s="6" t="n">
        <v>46107</v>
      </c>
      <c r="B1659" s="3" t="n">
        <v>2026</v>
      </c>
      <c r="C1659" s="3" t="inlineStr">
        <is>
          <t>Blupine Energy</t>
        </is>
      </c>
      <c r="D1659" s="3" t="inlineStr">
        <is>
          <t>Utility and C&amp;I</t>
        </is>
      </c>
      <c r="E1659" s="3" t="n"/>
      <c r="F1659" s="3" t="inlineStr">
        <is>
          <t>Closed</t>
        </is>
      </c>
      <c r="G1659" s="3" t="inlineStr">
        <is>
          <t>Chandrashekar Patidar</t>
        </is>
      </c>
      <c r="H1659" s="3" t="n">
        <v>7879764773</v>
      </c>
      <c r="I1659" s="11" t="inlineStr">
        <is>
          <t>PE26032601</t>
        </is>
      </c>
      <c r="J1659" s="3" t="inlineStr">
        <is>
          <t>Module Diode Failure</t>
        </is>
      </c>
      <c r="K1659" s="3" t="inlineStr">
        <is>
          <t>Sadla</t>
        </is>
      </c>
      <c r="L1659" s="3" t="inlineStr">
        <is>
          <t>Gujarat</t>
        </is>
      </c>
      <c r="M1659" s="55" t="inlineStr">
        <is>
          <t>NS</t>
        </is>
      </c>
      <c r="N1659" s="3" t="inlineStr">
        <is>
          <t>Cold Soldering</t>
        </is>
      </c>
      <c r="O1659" s="3" t="n">
        <v>570</v>
      </c>
      <c r="P1659" s="55" t="inlineStr">
        <is>
          <t>NSMI24060089805</t>
        </is>
      </c>
      <c r="Q1659" s="54">
        <f>MID(P1659,5,2)</f>
        <v/>
      </c>
      <c r="R1659" s="53">
        <f>MID(P1659,7,2)</f>
        <v/>
      </c>
      <c r="S1659" s="3" t="inlineStr">
        <is>
          <t>G2G</t>
        </is>
      </c>
      <c r="T1659" s="3" t="inlineStr">
        <is>
          <t>P4</t>
        </is>
      </c>
      <c r="U1659" s="3" t="inlineStr">
        <is>
          <t>N JB Cold Soldering</t>
        </is>
      </c>
      <c r="V1659" s="3" t="inlineStr">
        <is>
          <t>Soldering</t>
        </is>
      </c>
      <c r="W1659" s="3" t="inlineStr">
        <is>
          <t>Repair</t>
        </is>
      </c>
      <c r="X1659" s="18" t="n">
        <v>46163</v>
      </c>
      <c r="Y1659" s="73">
        <f>IF(X1659="","",X1659-A1659)</f>
        <v/>
      </c>
      <c r="Z1659" s="18" t="n">
        <v>46163</v>
      </c>
      <c r="AA1659" s="15" t="n"/>
      <c r="AB1659" s="15" t="n"/>
      <c r="AF1659">
        <f>IF(AND($F1659="Closed",$X1659&gt;=DATE(2026,5,1),$X1659&lt;=DATE(2026,5,31)),"Closed in May","Other")</f>
        <v/>
      </c>
    </row>
    <row r="1660">
      <c r="A1660" s="6" t="n">
        <v>46107</v>
      </c>
      <c r="B1660" s="3" t="n">
        <v>2026</v>
      </c>
      <c r="C1660" s="3" t="inlineStr">
        <is>
          <t>Blupine Energy</t>
        </is>
      </c>
      <c r="D1660" s="3" t="inlineStr">
        <is>
          <t>Utility and C&amp;I</t>
        </is>
      </c>
      <c r="E1660" s="3" t="n"/>
      <c r="F1660" s="3" t="inlineStr">
        <is>
          <t>Closed</t>
        </is>
      </c>
      <c r="G1660" s="3" t="inlineStr">
        <is>
          <t>Chandrashekar Patidar</t>
        </is>
      </c>
      <c r="H1660" s="3" t="n">
        <v>7879764773</v>
      </c>
      <c r="I1660" s="11" t="inlineStr">
        <is>
          <t>PE26032601</t>
        </is>
      </c>
      <c r="J1660" s="3" t="inlineStr">
        <is>
          <t>Module Diode Failure</t>
        </is>
      </c>
      <c r="K1660" s="3" t="inlineStr">
        <is>
          <t>Sadla</t>
        </is>
      </c>
      <c r="L1660" s="3" t="inlineStr">
        <is>
          <t>Gujarat</t>
        </is>
      </c>
      <c r="M1660" s="55" t="inlineStr">
        <is>
          <t>PS</t>
        </is>
      </c>
      <c r="N1660" s="3" t="inlineStr">
        <is>
          <t>Cold Soldering</t>
        </is>
      </c>
      <c r="O1660" s="3" t="n">
        <v>570</v>
      </c>
      <c r="P1660" s="55" t="inlineStr">
        <is>
          <t>NSMI24060084095</t>
        </is>
      </c>
      <c r="Q1660" s="54">
        <f>MID(P1660,5,2)</f>
        <v/>
      </c>
      <c r="R1660" s="53">
        <f>MID(P1660,7,2)</f>
        <v/>
      </c>
      <c r="S1660" s="3" t="inlineStr">
        <is>
          <t>G2G</t>
        </is>
      </c>
      <c r="T1660" s="3" t="inlineStr">
        <is>
          <t>P4</t>
        </is>
      </c>
      <c r="U1660" s="3" t="inlineStr">
        <is>
          <t>P JB Cold Soldering</t>
        </is>
      </c>
      <c r="V1660" s="3" t="inlineStr">
        <is>
          <t>Soldering</t>
        </is>
      </c>
      <c r="W1660" s="3" t="inlineStr">
        <is>
          <t>Repair</t>
        </is>
      </c>
      <c r="X1660" s="18" t="n">
        <v>46163</v>
      </c>
      <c r="Y1660" s="73">
        <f>IF(X1660="","",X1660-A1660)</f>
        <v/>
      </c>
      <c r="Z1660" s="18" t="n">
        <v>46163</v>
      </c>
      <c r="AA1660" s="15" t="n"/>
      <c r="AB1660" s="15" t="n"/>
      <c r="AF1660">
        <f>IF(AND($F1660="Closed",$X1660&gt;=DATE(2026,5,1),$X1660&lt;=DATE(2026,5,31)),"Closed in May","Other")</f>
        <v/>
      </c>
    </row>
    <row r="1661">
      <c r="A1661" s="6" t="n">
        <v>46107</v>
      </c>
      <c r="B1661" s="3" t="n">
        <v>2026</v>
      </c>
      <c r="C1661" s="3" t="inlineStr">
        <is>
          <t>Blupine Energy</t>
        </is>
      </c>
      <c r="D1661" s="3" t="inlineStr">
        <is>
          <t>Utility and C&amp;I</t>
        </is>
      </c>
      <c r="E1661" s="3" t="n"/>
      <c r="F1661" s="3" t="inlineStr">
        <is>
          <t>Closed</t>
        </is>
      </c>
      <c r="G1661" s="3" t="inlineStr">
        <is>
          <t>Chandrashekar Patidar</t>
        </is>
      </c>
      <c r="H1661" s="3" t="n">
        <v>7879764773</v>
      </c>
      <c r="I1661" s="11" t="inlineStr">
        <is>
          <t>PE26032601</t>
        </is>
      </c>
      <c r="J1661" s="3" t="inlineStr">
        <is>
          <t>Module Diode Failure</t>
        </is>
      </c>
      <c r="K1661" s="3" t="inlineStr">
        <is>
          <t>Sadla</t>
        </is>
      </c>
      <c r="L1661" s="3" t="inlineStr">
        <is>
          <t>Gujarat</t>
        </is>
      </c>
      <c r="M1661" s="55" t="inlineStr">
        <is>
          <t>NR</t>
        </is>
      </c>
      <c r="N1661" s="3" t="inlineStr">
        <is>
          <t>JB Issue</t>
        </is>
      </c>
      <c r="O1661" s="3" t="n">
        <v>570</v>
      </c>
      <c r="P1661" s="55" t="inlineStr">
        <is>
          <t>NSMI24050066139</t>
        </is>
      </c>
      <c r="Q1661" s="54">
        <f>MID(P1661,5,2)</f>
        <v/>
      </c>
      <c r="R1661" s="53">
        <f>MID(P1661,7,2)</f>
        <v/>
      </c>
      <c r="S1661" s="3" t="inlineStr">
        <is>
          <t>G2G</t>
        </is>
      </c>
      <c r="T1661" s="3" t="inlineStr">
        <is>
          <t>P4</t>
        </is>
      </c>
      <c r="U1661" s="3" t="inlineStr">
        <is>
          <t>N JB Issue</t>
        </is>
      </c>
      <c r="V1661" s="3" t="inlineStr">
        <is>
          <t>JB Changed</t>
        </is>
      </c>
      <c r="W1661" s="3" t="inlineStr">
        <is>
          <t>Repair</t>
        </is>
      </c>
      <c r="X1661" s="18" t="n">
        <v>46163</v>
      </c>
      <c r="Y1661" s="73">
        <f>IF(X1661="","",X1661-A1661)</f>
        <v/>
      </c>
      <c r="Z1661" s="18" t="n">
        <v>46163</v>
      </c>
      <c r="AA1661" s="15" t="n"/>
      <c r="AB1661" s="15" t="n"/>
      <c r="AF1661">
        <f>IF(AND($F1661="Closed",$X1661&gt;=DATE(2026,5,1),$X1661&lt;=DATE(2026,5,31)),"Closed in May","Other")</f>
        <v/>
      </c>
    </row>
    <row r="1662">
      <c r="A1662" s="6" t="n">
        <v>46107</v>
      </c>
      <c r="B1662" s="3" t="n">
        <v>2026</v>
      </c>
      <c r="C1662" s="3" t="inlineStr">
        <is>
          <t>Blupine Energy</t>
        </is>
      </c>
      <c r="D1662" s="3" t="inlineStr">
        <is>
          <t>Utility and C&amp;I</t>
        </is>
      </c>
      <c r="E1662" s="3" t="n"/>
      <c r="F1662" s="3" t="inlineStr">
        <is>
          <t>Closed</t>
        </is>
      </c>
      <c r="G1662" s="3" t="inlineStr">
        <is>
          <t>Chandrashekar Patidar</t>
        </is>
      </c>
      <c r="H1662" s="3" t="n">
        <v>7879764773</v>
      </c>
      <c r="I1662" s="11" t="inlineStr">
        <is>
          <t>PE26032601</t>
        </is>
      </c>
      <c r="J1662" s="3" t="inlineStr">
        <is>
          <t>Module Diode Failure</t>
        </is>
      </c>
      <c r="K1662" s="3" t="inlineStr">
        <is>
          <t>Sadla</t>
        </is>
      </c>
      <c r="L1662" s="3" t="inlineStr">
        <is>
          <t>Gujarat</t>
        </is>
      </c>
      <c r="M1662" s="55" t="inlineStr">
        <is>
          <t>PS</t>
        </is>
      </c>
      <c r="N1662" s="3" t="inlineStr">
        <is>
          <t>Cold Soldering</t>
        </is>
      </c>
      <c r="O1662" s="3" t="n">
        <v>570</v>
      </c>
      <c r="P1662" s="55" t="inlineStr">
        <is>
          <t>NSMI24060082547</t>
        </is>
      </c>
      <c r="Q1662" s="54">
        <f>MID(P1662,5,2)</f>
        <v/>
      </c>
      <c r="R1662" s="53">
        <f>MID(P1662,7,2)</f>
        <v/>
      </c>
      <c r="S1662" s="3" t="inlineStr">
        <is>
          <t>G2G</t>
        </is>
      </c>
      <c r="T1662" s="3" t="inlineStr">
        <is>
          <t>P4</t>
        </is>
      </c>
      <c r="U1662" s="3" t="inlineStr">
        <is>
          <t>P JB Cold Soldering</t>
        </is>
      </c>
      <c r="V1662" s="3" t="inlineStr">
        <is>
          <t>Soldering</t>
        </is>
      </c>
      <c r="W1662" s="3" t="inlineStr">
        <is>
          <t>Repair</t>
        </is>
      </c>
      <c r="X1662" s="18" t="n">
        <v>46163</v>
      </c>
      <c r="Y1662" s="73">
        <f>IF(X1662="","",X1662-A1662)</f>
        <v/>
      </c>
      <c r="Z1662" s="18" t="n">
        <v>46163</v>
      </c>
      <c r="AA1662" s="15" t="n"/>
      <c r="AB1662" s="15" t="n"/>
      <c r="AF1662">
        <f>IF(AND($F1662="Closed",$X1662&gt;=DATE(2026,5,1),$X1662&lt;=DATE(2026,5,31)),"Closed in May","Other")</f>
        <v/>
      </c>
    </row>
    <row r="1663">
      <c r="A1663" s="6" t="n">
        <v>46107</v>
      </c>
      <c r="B1663" s="3" t="n">
        <v>2026</v>
      </c>
      <c r="C1663" s="3" t="inlineStr">
        <is>
          <t>Blupine Energy</t>
        </is>
      </c>
      <c r="D1663" s="3" t="inlineStr">
        <is>
          <t>Utility and C&amp;I</t>
        </is>
      </c>
      <c r="E1663" s="3" t="n"/>
      <c r="F1663" s="3" t="inlineStr">
        <is>
          <t>Closed</t>
        </is>
      </c>
      <c r="G1663" s="3" t="inlineStr">
        <is>
          <t>Chandrashekar Patidar</t>
        </is>
      </c>
      <c r="H1663" s="3" t="n">
        <v>7879764773</v>
      </c>
      <c r="I1663" s="11" t="inlineStr">
        <is>
          <t>PE26032601</t>
        </is>
      </c>
      <c r="J1663" s="3" t="inlineStr">
        <is>
          <t>Module Diode Failure</t>
        </is>
      </c>
      <c r="K1663" s="3" t="inlineStr">
        <is>
          <t>Sadla</t>
        </is>
      </c>
      <c r="L1663" s="3" t="inlineStr">
        <is>
          <t>Gujarat</t>
        </is>
      </c>
      <c r="M1663" s="55" t="inlineStr">
        <is>
          <t>PR</t>
        </is>
      </c>
      <c r="N1663" s="3" t="inlineStr">
        <is>
          <t>JB Issue</t>
        </is>
      </c>
      <c r="O1663" s="3" t="n">
        <v>570</v>
      </c>
      <c r="P1663" s="55" t="inlineStr">
        <is>
          <t>NSMI24050060035</t>
        </is>
      </c>
      <c r="Q1663" s="54">
        <f>MID(P1663,5,2)</f>
        <v/>
      </c>
      <c r="R1663" s="53">
        <f>MID(P1663,7,2)</f>
        <v/>
      </c>
      <c r="S1663" s="3" t="inlineStr">
        <is>
          <t>G2G</t>
        </is>
      </c>
      <c r="T1663" s="3" t="inlineStr">
        <is>
          <t>P4</t>
        </is>
      </c>
      <c r="U1663" s="3" t="inlineStr">
        <is>
          <t>P JB Issue</t>
        </is>
      </c>
      <c r="V1663" s="15" t="inlineStr">
        <is>
          <t>JB Changed</t>
        </is>
      </c>
      <c r="W1663" s="3" t="inlineStr">
        <is>
          <t>Repair</t>
        </is>
      </c>
      <c r="X1663" s="18" t="n">
        <v>46163</v>
      </c>
      <c r="Y1663" s="73">
        <f>IF(X1663="","",X1663-A1663)</f>
        <v/>
      </c>
      <c r="Z1663" s="18" t="n">
        <v>46163</v>
      </c>
      <c r="AA1663" s="15" t="n"/>
      <c r="AB1663" s="15" t="n"/>
      <c r="AF1663">
        <f>IF(AND($F1663="Closed",$X1663&gt;=DATE(2026,5,1),$X1663&lt;=DATE(2026,5,31)),"Closed in May","Other")</f>
        <v/>
      </c>
    </row>
    <row r="1664">
      <c r="A1664" s="6" t="n">
        <v>46107</v>
      </c>
      <c r="B1664" s="3" t="n">
        <v>2026</v>
      </c>
      <c r="C1664" s="3" t="inlineStr">
        <is>
          <t>Blupine Energy</t>
        </is>
      </c>
      <c r="D1664" s="3" t="inlineStr">
        <is>
          <t>Utility and C&amp;I</t>
        </is>
      </c>
      <c r="E1664" s="3" t="n"/>
      <c r="F1664" s="3" t="inlineStr">
        <is>
          <t>Closed</t>
        </is>
      </c>
      <c r="G1664" s="3" t="inlineStr">
        <is>
          <t>Chandrashekar Patidar</t>
        </is>
      </c>
      <c r="H1664" s="3" t="n">
        <v>7879764773</v>
      </c>
      <c r="I1664" s="11" t="inlineStr">
        <is>
          <t>PE26032601</t>
        </is>
      </c>
      <c r="J1664" s="3" t="inlineStr">
        <is>
          <t>Module Diode Failure</t>
        </is>
      </c>
      <c r="K1664" s="3" t="inlineStr">
        <is>
          <t>Sadla</t>
        </is>
      </c>
      <c r="L1664" s="3" t="inlineStr">
        <is>
          <t>Gujarat</t>
        </is>
      </c>
      <c r="M1664" s="55" t="inlineStr">
        <is>
          <t>PS</t>
        </is>
      </c>
      <c r="N1664" s="3" t="inlineStr">
        <is>
          <t>Cold Soldering</t>
        </is>
      </c>
      <c r="O1664" s="3" t="n">
        <v>570</v>
      </c>
      <c r="P1664" s="55" t="inlineStr">
        <is>
          <t>NSMI24060079718</t>
        </is>
      </c>
      <c r="Q1664" s="54">
        <f>MID(P1664,5,2)</f>
        <v/>
      </c>
      <c r="R1664" s="53">
        <f>MID(P1664,7,2)</f>
        <v/>
      </c>
      <c r="S1664" s="3" t="inlineStr">
        <is>
          <t>G2G</t>
        </is>
      </c>
      <c r="T1664" s="3" t="inlineStr">
        <is>
          <t>P4</t>
        </is>
      </c>
      <c r="U1664" s="3" t="inlineStr">
        <is>
          <t>P JB Cold Soldering</t>
        </is>
      </c>
      <c r="V1664" s="3" t="inlineStr">
        <is>
          <t>Soldering</t>
        </is>
      </c>
      <c r="W1664" s="3" t="inlineStr">
        <is>
          <t>Repair</t>
        </is>
      </c>
      <c r="X1664" s="18" t="n">
        <v>46163</v>
      </c>
      <c r="Y1664" s="73">
        <f>IF(X1664="","",X1664-A1664)</f>
        <v/>
      </c>
      <c r="Z1664" s="18" t="n">
        <v>46163</v>
      </c>
      <c r="AA1664" s="15" t="n"/>
      <c r="AB1664" s="15" t="n"/>
      <c r="AF1664">
        <f>IF(AND($F1664="Closed",$X1664&gt;=DATE(2026,5,1),$X1664&lt;=DATE(2026,5,31)),"Closed in May","Other")</f>
        <v/>
      </c>
    </row>
    <row r="1665">
      <c r="A1665" s="6" t="n">
        <v>46107</v>
      </c>
      <c r="B1665" s="3" t="n">
        <v>2026</v>
      </c>
      <c r="C1665" s="3" t="inlineStr">
        <is>
          <t>Blupine Energy</t>
        </is>
      </c>
      <c r="D1665" s="3" t="inlineStr">
        <is>
          <t>Utility and C&amp;I</t>
        </is>
      </c>
      <c r="E1665" s="3" t="n"/>
      <c r="F1665" s="3" t="inlineStr">
        <is>
          <t>Closed</t>
        </is>
      </c>
      <c r="G1665" s="3" t="inlineStr">
        <is>
          <t>Chandrashekar Patidar</t>
        </is>
      </c>
      <c r="H1665" s="3" t="n">
        <v>7879764773</v>
      </c>
      <c r="I1665" s="11" t="inlineStr">
        <is>
          <t>PE26032601</t>
        </is>
      </c>
      <c r="J1665" s="3" t="inlineStr">
        <is>
          <t>Module Diode Failure</t>
        </is>
      </c>
      <c r="K1665" s="3" t="inlineStr">
        <is>
          <t>Sadla</t>
        </is>
      </c>
      <c r="L1665" s="3" t="inlineStr">
        <is>
          <t>Gujarat</t>
        </is>
      </c>
      <c r="M1665" s="55" t="inlineStr">
        <is>
          <t>PS</t>
        </is>
      </c>
      <c r="N1665" s="3" t="inlineStr">
        <is>
          <t>Cold Soldering</t>
        </is>
      </c>
      <c r="O1665" s="3" t="n">
        <v>570</v>
      </c>
      <c r="P1665" s="55" t="inlineStr">
        <is>
          <t>NSMI24060076581</t>
        </is>
      </c>
      <c r="Q1665" s="54">
        <f>MID(P1665,5,2)</f>
        <v/>
      </c>
      <c r="R1665" s="53">
        <f>MID(P1665,7,2)</f>
        <v/>
      </c>
      <c r="S1665" s="3" t="inlineStr">
        <is>
          <t>G2G</t>
        </is>
      </c>
      <c r="T1665" s="3" t="inlineStr">
        <is>
          <t>P4</t>
        </is>
      </c>
      <c r="U1665" s="3" t="inlineStr">
        <is>
          <t>P JB Cold Soldering</t>
        </is>
      </c>
      <c r="V1665" s="3" t="inlineStr">
        <is>
          <t>Soldering</t>
        </is>
      </c>
      <c r="W1665" s="3" t="inlineStr">
        <is>
          <t>Repair</t>
        </is>
      </c>
      <c r="X1665" s="18" t="n">
        <v>46163</v>
      </c>
      <c r="Y1665" s="73">
        <f>IF(X1665="","",X1665-A1665)</f>
        <v/>
      </c>
      <c r="Z1665" s="18" t="n">
        <v>46163</v>
      </c>
      <c r="AA1665" s="15" t="n"/>
      <c r="AB1665" s="15" t="n"/>
      <c r="AF1665">
        <f>IF(AND($F1665="Closed",$X1665&gt;=DATE(2026,5,1),$X1665&lt;=DATE(2026,5,31)),"Closed in May","Other")</f>
        <v/>
      </c>
    </row>
    <row r="1666">
      <c r="A1666" s="6" t="n">
        <v>46107</v>
      </c>
      <c r="B1666" s="3" t="n">
        <v>2026</v>
      </c>
      <c r="C1666" s="3" t="inlineStr">
        <is>
          <t>Blupine Energy</t>
        </is>
      </c>
      <c r="D1666" s="3" t="inlineStr">
        <is>
          <t>Utility and C&amp;I</t>
        </is>
      </c>
      <c r="E1666" s="3" t="n"/>
      <c r="F1666" s="3" t="inlineStr">
        <is>
          <t>Closed</t>
        </is>
      </c>
      <c r="G1666" s="3" t="inlineStr">
        <is>
          <t>Chandrashekar Patidar</t>
        </is>
      </c>
      <c r="H1666" s="3" t="n">
        <v>7879764773</v>
      </c>
      <c r="I1666" s="11" t="inlineStr">
        <is>
          <t>PE26032601</t>
        </is>
      </c>
      <c r="J1666" s="3" t="inlineStr">
        <is>
          <t>Module Diode Failure</t>
        </is>
      </c>
      <c r="K1666" s="3" t="inlineStr">
        <is>
          <t>Sadla</t>
        </is>
      </c>
      <c r="L1666" s="3" t="inlineStr">
        <is>
          <t>Gujarat</t>
        </is>
      </c>
      <c r="M1666" s="55" t="inlineStr">
        <is>
          <t>PR</t>
        </is>
      </c>
      <c r="N1666" s="3" t="inlineStr">
        <is>
          <t>JB Issue</t>
        </is>
      </c>
      <c r="O1666" s="3" t="n">
        <v>570</v>
      </c>
      <c r="P1666" s="55" t="inlineStr">
        <is>
          <t>NSMI24050064437</t>
        </is>
      </c>
      <c r="Q1666" s="54">
        <f>MID(P1666,5,2)</f>
        <v/>
      </c>
      <c r="R1666" s="53">
        <f>MID(P1666,7,2)</f>
        <v/>
      </c>
      <c r="S1666" s="3" t="inlineStr">
        <is>
          <t>G2G</t>
        </is>
      </c>
      <c r="T1666" s="3" t="inlineStr">
        <is>
          <t>P4</t>
        </is>
      </c>
      <c r="U1666" s="3" t="inlineStr">
        <is>
          <t>P JB Issue</t>
        </is>
      </c>
      <c r="V1666" s="15" t="inlineStr">
        <is>
          <t>JB Changed</t>
        </is>
      </c>
      <c r="W1666" s="3" t="inlineStr">
        <is>
          <t>Repair</t>
        </is>
      </c>
      <c r="X1666" s="18" t="n">
        <v>46163</v>
      </c>
      <c r="Y1666" s="73">
        <f>IF(X1666="","",X1666-A1666)</f>
        <v/>
      </c>
      <c r="Z1666" s="18" t="n">
        <v>46163</v>
      </c>
      <c r="AA1666" s="15" t="n"/>
      <c r="AB1666" s="15" t="n"/>
      <c r="AF1666">
        <f>IF(AND($F1666="Closed",$X1666&gt;=DATE(2026,5,1),$X1666&lt;=DATE(2026,5,31)),"Closed in May","Other")</f>
        <v/>
      </c>
    </row>
    <row r="1667">
      <c r="A1667" s="6" t="n">
        <v>46107</v>
      </c>
      <c r="B1667" s="3" t="n">
        <v>2026</v>
      </c>
      <c r="C1667" s="3" t="inlineStr">
        <is>
          <t>Blupine Energy</t>
        </is>
      </c>
      <c r="D1667" s="3" t="inlineStr">
        <is>
          <t>Utility and C&amp;I</t>
        </is>
      </c>
      <c r="E1667" s="3" t="n"/>
      <c r="F1667" s="3" t="inlineStr">
        <is>
          <t>Closed</t>
        </is>
      </c>
      <c r="G1667" s="3" t="inlineStr">
        <is>
          <t>Chandrashekar Patidar</t>
        </is>
      </c>
      <c r="H1667" s="3" t="n">
        <v>7879764773</v>
      </c>
      <c r="I1667" s="11" t="inlineStr">
        <is>
          <t>PE26032601</t>
        </is>
      </c>
      <c r="J1667" s="3" t="inlineStr">
        <is>
          <t>Module Diode Failure</t>
        </is>
      </c>
      <c r="K1667" s="3" t="inlineStr">
        <is>
          <t>Sadla</t>
        </is>
      </c>
      <c r="L1667" s="3" t="inlineStr">
        <is>
          <t>Gujarat</t>
        </is>
      </c>
      <c r="M1667" s="55" t="inlineStr">
        <is>
          <t>NS</t>
        </is>
      </c>
      <c r="N1667" s="3" t="inlineStr">
        <is>
          <t>Cold Soldering</t>
        </is>
      </c>
      <c r="O1667" s="3" t="n">
        <v>570</v>
      </c>
      <c r="P1667" s="55" t="inlineStr">
        <is>
          <t>NSMI24050065677</t>
        </is>
      </c>
      <c r="Q1667" s="54">
        <f>MID(P1667,5,2)</f>
        <v/>
      </c>
      <c r="R1667" s="53">
        <f>MID(P1667,7,2)</f>
        <v/>
      </c>
      <c r="S1667" s="3" t="inlineStr">
        <is>
          <t>G2G</t>
        </is>
      </c>
      <c r="T1667" s="3" t="inlineStr">
        <is>
          <t>P4</t>
        </is>
      </c>
      <c r="U1667" s="3" t="inlineStr">
        <is>
          <t>N JB Cold Soldering</t>
        </is>
      </c>
      <c r="V1667" s="3" t="inlineStr">
        <is>
          <t>Soldering</t>
        </is>
      </c>
      <c r="W1667" s="3" t="inlineStr">
        <is>
          <t>Repair</t>
        </is>
      </c>
      <c r="X1667" s="18" t="n">
        <v>46163</v>
      </c>
      <c r="Y1667" s="73">
        <f>IF(X1667="","",X1667-A1667)</f>
        <v/>
      </c>
      <c r="Z1667" s="18" t="n">
        <v>46163</v>
      </c>
      <c r="AA1667" s="15" t="n"/>
      <c r="AB1667" s="15" t="n"/>
      <c r="AF1667">
        <f>IF(AND($F1667="Closed",$X1667&gt;=DATE(2026,5,1),$X1667&lt;=DATE(2026,5,31)),"Closed in May","Other")</f>
        <v/>
      </c>
    </row>
    <row r="1668">
      <c r="A1668" s="6" t="n">
        <v>46107</v>
      </c>
      <c r="B1668" s="3" t="n">
        <v>2026</v>
      </c>
      <c r="C1668" s="3" t="inlineStr">
        <is>
          <t>Blupine Energy</t>
        </is>
      </c>
      <c r="D1668" s="3" t="inlineStr">
        <is>
          <t>Utility and C&amp;I</t>
        </is>
      </c>
      <c r="E1668" s="3" t="n"/>
      <c r="F1668" s="3" t="inlineStr">
        <is>
          <t>Closed</t>
        </is>
      </c>
      <c r="G1668" s="3" t="inlineStr">
        <is>
          <t>Chandrashekar Patidar</t>
        </is>
      </c>
      <c r="H1668" s="3" t="n">
        <v>7879764773</v>
      </c>
      <c r="I1668" s="11" t="inlineStr">
        <is>
          <t>PE26032601</t>
        </is>
      </c>
      <c r="J1668" s="3" t="inlineStr">
        <is>
          <t>Module Diode Failure</t>
        </is>
      </c>
      <c r="K1668" s="3" t="inlineStr">
        <is>
          <t>Sadla</t>
        </is>
      </c>
      <c r="L1668" s="3" t="inlineStr">
        <is>
          <t>Gujarat</t>
        </is>
      </c>
      <c r="M1668" s="55" t="inlineStr">
        <is>
          <t>NS</t>
        </is>
      </c>
      <c r="N1668" s="3" t="inlineStr">
        <is>
          <t>Cold Soldering</t>
        </is>
      </c>
      <c r="O1668" s="3" t="n">
        <v>570</v>
      </c>
      <c r="P1668" s="55" t="inlineStr">
        <is>
          <t>NSMI24050065681</t>
        </is>
      </c>
      <c r="Q1668" s="54">
        <f>MID(P1668,5,2)</f>
        <v/>
      </c>
      <c r="R1668" s="53">
        <f>MID(P1668,7,2)</f>
        <v/>
      </c>
      <c r="S1668" s="3" t="inlineStr">
        <is>
          <t>G2G</t>
        </is>
      </c>
      <c r="T1668" s="3" t="inlineStr">
        <is>
          <t>P4</t>
        </is>
      </c>
      <c r="U1668" s="3" t="inlineStr">
        <is>
          <t>N JB Cold Soldering</t>
        </is>
      </c>
      <c r="V1668" s="3" t="inlineStr">
        <is>
          <t>Soldering</t>
        </is>
      </c>
      <c r="W1668" s="3" t="inlineStr">
        <is>
          <t>Repair</t>
        </is>
      </c>
      <c r="X1668" s="18" t="n">
        <v>46163</v>
      </c>
      <c r="Y1668" s="73">
        <f>IF(X1668="","",X1668-A1668)</f>
        <v/>
      </c>
      <c r="Z1668" s="18" t="n">
        <v>46163</v>
      </c>
      <c r="AA1668" s="15" t="n"/>
      <c r="AB1668" s="15" t="n"/>
      <c r="AF1668">
        <f>IF(AND($F1668="Closed",$X1668&gt;=DATE(2026,5,1),$X1668&lt;=DATE(2026,5,31)),"Closed in May","Other")</f>
        <v/>
      </c>
    </row>
    <row r="1669">
      <c r="A1669" s="6" t="n">
        <v>46107</v>
      </c>
      <c r="B1669" s="3" t="n">
        <v>2026</v>
      </c>
      <c r="C1669" s="3" t="inlineStr">
        <is>
          <t>Blupine Energy</t>
        </is>
      </c>
      <c r="D1669" s="3" t="inlineStr">
        <is>
          <t>Utility and C&amp;I</t>
        </is>
      </c>
      <c r="E1669" s="3" t="n"/>
      <c r="F1669" s="3" t="inlineStr">
        <is>
          <t>Closed</t>
        </is>
      </c>
      <c r="G1669" s="3" t="inlineStr">
        <is>
          <t>Chandrashekar Patidar</t>
        </is>
      </c>
      <c r="H1669" s="3" t="n">
        <v>7879764773</v>
      </c>
      <c r="I1669" s="11" t="inlineStr">
        <is>
          <t>PE26032601</t>
        </is>
      </c>
      <c r="J1669" s="3" t="inlineStr">
        <is>
          <t>Module Diode Failure</t>
        </is>
      </c>
      <c r="K1669" s="3" t="inlineStr">
        <is>
          <t>Sadla</t>
        </is>
      </c>
      <c r="L1669" s="3" t="inlineStr">
        <is>
          <t>Gujarat</t>
        </is>
      </c>
      <c r="M1669" s="55" t="inlineStr">
        <is>
          <t>NS</t>
        </is>
      </c>
      <c r="N1669" s="3" t="inlineStr">
        <is>
          <t>Cold Soldering</t>
        </is>
      </c>
      <c r="O1669" s="3" t="n">
        <v>570</v>
      </c>
      <c r="P1669" s="55" t="inlineStr">
        <is>
          <t>NSMI24050059054</t>
        </is>
      </c>
      <c r="Q1669" s="54">
        <f>MID(P1669,5,2)</f>
        <v/>
      </c>
      <c r="R1669" s="53">
        <f>MID(P1669,7,2)</f>
        <v/>
      </c>
      <c r="S1669" s="3" t="inlineStr">
        <is>
          <t>G2G</t>
        </is>
      </c>
      <c r="T1669" s="3" t="inlineStr">
        <is>
          <t>P4</t>
        </is>
      </c>
      <c r="U1669" s="3" t="inlineStr">
        <is>
          <t>N JB Cold Soldering</t>
        </is>
      </c>
      <c r="V1669" s="3" t="inlineStr">
        <is>
          <t>Soldering</t>
        </is>
      </c>
      <c r="W1669" s="3" t="inlineStr">
        <is>
          <t>Repair</t>
        </is>
      </c>
      <c r="X1669" s="18" t="n">
        <v>46163</v>
      </c>
      <c r="Y1669" s="73">
        <f>IF(X1669="","",X1669-A1669)</f>
        <v/>
      </c>
      <c r="Z1669" s="18" t="n">
        <v>46163</v>
      </c>
      <c r="AA1669" s="15" t="n"/>
      <c r="AB1669" s="15" t="n"/>
      <c r="AF1669">
        <f>IF(AND($F1669="Closed",$X1669&gt;=DATE(2026,5,1),$X1669&lt;=DATE(2026,5,31)),"Closed in May","Other")</f>
        <v/>
      </c>
    </row>
    <row r="1670">
      <c r="A1670" s="6" t="n">
        <v>46107</v>
      </c>
      <c r="B1670" s="3" t="n">
        <v>2026</v>
      </c>
      <c r="C1670" s="3" t="inlineStr">
        <is>
          <t>Blupine Energy</t>
        </is>
      </c>
      <c r="D1670" s="3" t="inlineStr">
        <is>
          <t>Utility and C&amp;I</t>
        </is>
      </c>
      <c r="E1670" s="3" t="n"/>
      <c r="F1670" s="3" t="inlineStr">
        <is>
          <t>Closed</t>
        </is>
      </c>
      <c r="G1670" s="3" t="inlineStr">
        <is>
          <t>Chandrashekar Patidar</t>
        </is>
      </c>
      <c r="H1670" s="3" t="n">
        <v>7879764773</v>
      </c>
      <c r="I1670" s="11" t="inlineStr">
        <is>
          <t>PE26032601</t>
        </is>
      </c>
      <c r="J1670" s="3" t="inlineStr">
        <is>
          <t>Module Diode Failure</t>
        </is>
      </c>
      <c r="K1670" s="3" t="inlineStr">
        <is>
          <t>Sadla</t>
        </is>
      </c>
      <c r="L1670" s="3" t="inlineStr">
        <is>
          <t>Gujarat</t>
        </is>
      </c>
      <c r="M1670" s="55" t="inlineStr">
        <is>
          <t>NS</t>
        </is>
      </c>
      <c r="N1670" s="3" t="inlineStr">
        <is>
          <t>Cold Soldering</t>
        </is>
      </c>
      <c r="O1670" s="3" t="n">
        <v>570</v>
      </c>
      <c r="P1670" s="55" t="inlineStr">
        <is>
          <t>NSMI24050059039</t>
        </is>
      </c>
      <c r="Q1670" s="54">
        <f>MID(P1670,5,2)</f>
        <v/>
      </c>
      <c r="R1670" s="53">
        <f>MID(P1670,7,2)</f>
        <v/>
      </c>
      <c r="S1670" s="3" t="inlineStr">
        <is>
          <t>G2G</t>
        </is>
      </c>
      <c r="T1670" s="3" t="inlineStr">
        <is>
          <t>P4</t>
        </is>
      </c>
      <c r="U1670" s="3" t="inlineStr">
        <is>
          <t>N JB Cold Soldering</t>
        </is>
      </c>
      <c r="V1670" s="3" t="inlineStr">
        <is>
          <t>Soldering</t>
        </is>
      </c>
      <c r="W1670" s="3" t="inlineStr">
        <is>
          <t>Repair</t>
        </is>
      </c>
      <c r="X1670" s="18" t="n">
        <v>46163</v>
      </c>
      <c r="Y1670" s="73">
        <f>IF(X1670="","",X1670-A1670)</f>
        <v/>
      </c>
      <c r="Z1670" s="18" t="n">
        <v>46163</v>
      </c>
      <c r="AA1670" s="15" t="n"/>
      <c r="AB1670" s="15" t="n"/>
      <c r="AF1670">
        <f>IF(AND($F1670="Closed",$X1670&gt;=DATE(2026,5,1),$X1670&lt;=DATE(2026,5,31)),"Closed in May","Other")</f>
        <v/>
      </c>
    </row>
    <row r="1671">
      <c r="A1671" s="6" t="n">
        <v>46107</v>
      </c>
      <c r="B1671" s="3" t="n">
        <v>2026</v>
      </c>
      <c r="C1671" s="3" t="inlineStr">
        <is>
          <t>Blupine Energy</t>
        </is>
      </c>
      <c r="D1671" s="3" t="inlineStr">
        <is>
          <t>Utility and C&amp;I</t>
        </is>
      </c>
      <c r="E1671" s="3" t="n"/>
      <c r="F1671" s="3" t="inlineStr">
        <is>
          <t>Closed</t>
        </is>
      </c>
      <c r="G1671" s="3" t="inlineStr">
        <is>
          <t>Chandrashekar Patidar</t>
        </is>
      </c>
      <c r="H1671" s="3" t="n">
        <v>7879764773</v>
      </c>
      <c r="I1671" s="11" t="inlineStr">
        <is>
          <t>PE26032601</t>
        </is>
      </c>
      <c r="J1671" s="3" t="inlineStr">
        <is>
          <t>Module Diode Failure</t>
        </is>
      </c>
      <c r="K1671" s="3" t="inlineStr">
        <is>
          <t>Sadla</t>
        </is>
      </c>
      <c r="L1671" s="3" t="inlineStr">
        <is>
          <t>Gujarat</t>
        </is>
      </c>
      <c r="M1671" s="55" t="inlineStr">
        <is>
          <t>NS</t>
        </is>
      </c>
      <c r="N1671" s="3" t="inlineStr">
        <is>
          <t>Cold Soldering</t>
        </is>
      </c>
      <c r="O1671" s="3" t="n">
        <v>570</v>
      </c>
      <c r="P1671" s="55" t="inlineStr">
        <is>
          <t>NSMI24050058994</t>
        </is>
      </c>
      <c r="Q1671" s="54">
        <f>MID(P1671,5,2)</f>
        <v/>
      </c>
      <c r="R1671" s="53">
        <f>MID(P1671,7,2)</f>
        <v/>
      </c>
      <c r="S1671" s="3" t="inlineStr">
        <is>
          <t>G2G</t>
        </is>
      </c>
      <c r="T1671" s="3" t="inlineStr">
        <is>
          <t>P4</t>
        </is>
      </c>
      <c r="U1671" s="3" t="inlineStr">
        <is>
          <t>N JB Cold Soldering</t>
        </is>
      </c>
      <c r="V1671" s="3" t="inlineStr">
        <is>
          <t>Soldering</t>
        </is>
      </c>
      <c r="W1671" s="3" t="inlineStr">
        <is>
          <t>Repair</t>
        </is>
      </c>
      <c r="X1671" s="18" t="n">
        <v>46163</v>
      </c>
      <c r="Y1671" s="73">
        <f>IF(X1671="","",X1671-A1671)</f>
        <v/>
      </c>
      <c r="Z1671" s="18" t="n">
        <v>46163</v>
      </c>
      <c r="AA1671" s="15" t="n"/>
      <c r="AB1671" s="15" t="n"/>
      <c r="AF1671">
        <f>IF(AND($F1671="Closed",$X1671&gt;=DATE(2026,5,1),$X1671&lt;=DATE(2026,5,31)),"Closed in May","Other")</f>
        <v/>
      </c>
    </row>
    <row r="1672">
      <c r="A1672" s="6" t="n">
        <v>46107</v>
      </c>
      <c r="B1672" s="3" t="n">
        <v>2026</v>
      </c>
      <c r="C1672" s="3" t="inlineStr">
        <is>
          <t>Blupine Energy</t>
        </is>
      </c>
      <c r="D1672" s="3" t="inlineStr">
        <is>
          <t>Utility and C&amp;I</t>
        </is>
      </c>
      <c r="E1672" s="3" t="n"/>
      <c r="F1672" s="3" t="inlineStr">
        <is>
          <t>Closed</t>
        </is>
      </c>
      <c r="G1672" s="3" t="inlineStr">
        <is>
          <t>Chandrashekar Patidar</t>
        </is>
      </c>
      <c r="H1672" s="3" t="n">
        <v>7879764773</v>
      </c>
      <c r="I1672" s="11" t="inlineStr">
        <is>
          <t>PE26032601</t>
        </is>
      </c>
      <c r="J1672" s="3" t="inlineStr">
        <is>
          <t>Module Diode Failure</t>
        </is>
      </c>
      <c r="K1672" s="3" t="inlineStr">
        <is>
          <t>Sadla</t>
        </is>
      </c>
      <c r="L1672" s="3" t="inlineStr">
        <is>
          <t>Gujarat</t>
        </is>
      </c>
      <c r="M1672" s="55" t="inlineStr">
        <is>
          <t>Ok</t>
        </is>
      </c>
      <c r="N1672" s="3" t="inlineStr">
        <is>
          <t>No Issue</t>
        </is>
      </c>
      <c r="O1672" s="3" t="n">
        <v>570</v>
      </c>
      <c r="P1672" s="55" t="inlineStr">
        <is>
          <t>NSM124090350385</t>
        </is>
      </c>
      <c r="Q1672" s="54">
        <f>MID(P1672,5,2)</f>
        <v/>
      </c>
      <c r="R1672" s="53">
        <f>MID(P1672,7,2)</f>
        <v/>
      </c>
      <c r="S1672" s="3" t="inlineStr">
        <is>
          <t>G2G</t>
        </is>
      </c>
      <c r="T1672" s="3" t="inlineStr">
        <is>
          <t>P4</t>
        </is>
      </c>
      <c r="U1672" s="19" t="inlineStr">
        <is>
          <t>No Issue Found</t>
        </is>
      </c>
      <c r="V1672" s="19" t="inlineStr">
        <is>
          <t>Found OK</t>
        </is>
      </c>
      <c r="W1672" s="3" t="inlineStr">
        <is>
          <t>Repair</t>
        </is>
      </c>
      <c r="X1672" s="18" t="n">
        <v>46163</v>
      </c>
      <c r="Y1672" s="73">
        <f>IF(X1672="","",X1672-A1672)</f>
        <v/>
      </c>
      <c r="Z1672" s="18" t="n">
        <v>46163</v>
      </c>
      <c r="AA1672" s="15" t="n"/>
      <c r="AB1672" s="15" t="n"/>
      <c r="AF1672">
        <f>IF(AND($F1672="Closed",$X1672&gt;=DATE(2026,5,1),$X1672&lt;=DATE(2026,5,31)),"Closed in May","Other")</f>
        <v/>
      </c>
    </row>
    <row r="1673">
      <c r="A1673" s="6" t="n">
        <v>46107</v>
      </c>
      <c r="B1673" s="3" t="n">
        <v>2026</v>
      </c>
      <c r="C1673" s="3" t="inlineStr">
        <is>
          <t>Blupine Energy</t>
        </is>
      </c>
      <c r="D1673" s="3" t="inlineStr">
        <is>
          <t>Utility and C&amp;I</t>
        </is>
      </c>
      <c r="E1673" s="3" t="n"/>
      <c r="F1673" s="3" t="inlineStr">
        <is>
          <t>Closed</t>
        </is>
      </c>
      <c r="G1673" s="3" t="inlineStr">
        <is>
          <t>Chandrashekar Patidar</t>
        </is>
      </c>
      <c r="H1673" s="3" t="n">
        <v>7879764773</v>
      </c>
      <c r="I1673" s="11" t="inlineStr">
        <is>
          <t>PE26032601</t>
        </is>
      </c>
      <c r="J1673" s="3" t="inlineStr">
        <is>
          <t>Module Diode Failure</t>
        </is>
      </c>
      <c r="K1673" s="3" t="inlineStr">
        <is>
          <t>Sadla</t>
        </is>
      </c>
      <c r="L1673" s="3" t="inlineStr">
        <is>
          <t>Gujarat</t>
        </is>
      </c>
      <c r="M1673" s="55" t="inlineStr">
        <is>
          <t>PNS</t>
        </is>
      </c>
      <c r="N1673" s="3" t="inlineStr">
        <is>
          <t>Cold Soldering</t>
        </is>
      </c>
      <c r="O1673" s="3" t="n">
        <v>570</v>
      </c>
      <c r="P1673" s="55" t="inlineStr">
        <is>
          <t>NSMI24080340876</t>
        </is>
      </c>
      <c r="Q1673" s="54">
        <f>MID(P1673,5,2)</f>
        <v/>
      </c>
      <c r="R1673" s="53">
        <f>MID(P1673,7,2)</f>
        <v/>
      </c>
      <c r="S1673" s="3" t="inlineStr">
        <is>
          <t>G2G</t>
        </is>
      </c>
      <c r="T1673" s="3" t="inlineStr">
        <is>
          <t>P4</t>
        </is>
      </c>
      <c r="U1673" s="3" t="inlineStr">
        <is>
          <t>P &amp; N JB Cold Soldering</t>
        </is>
      </c>
      <c r="V1673" s="3" t="inlineStr">
        <is>
          <t>Soldering</t>
        </is>
      </c>
      <c r="W1673" s="3" t="inlineStr">
        <is>
          <t>Repair</t>
        </is>
      </c>
      <c r="X1673" s="18" t="n">
        <v>46163</v>
      </c>
      <c r="Y1673" s="73">
        <f>IF(X1673="","",X1673-A1673)</f>
        <v/>
      </c>
      <c r="Z1673" s="18" t="n">
        <v>46163</v>
      </c>
      <c r="AA1673" s="15" t="n"/>
      <c r="AB1673" s="15" t="n"/>
      <c r="AF1673">
        <f>IF(AND($F1673="Closed",$X1673&gt;=DATE(2026,5,1),$X1673&lt;=DATE(2026,5,31)),"Closed in May","Other")</f>
        <v/>
      </c>
    </row>
    <row r="1674">
      <c r="A1674" s="6" t="n">
        <v>46107</v>
      </c>
      <c r="B1674" s="3" t="n">
        <v>2026</v>
      </c>
      <c r="C1674" s="3" t="inlineStr">
        <is>
          <t>Blupine Energy</t>
        </is>
      </c>
      <c r="D1674" s="3" t="inlineStr">
        <is>
          <t>Utility and C&amp;I</t>
        </is>
      </c>
      <c r="E1674" s="3" t="n"/>
      <c r="F1674" s="3" t="inlineStr">
        <is>
          <t>Closed</t>
        </is>
      </c>
      <c r="G1674" s="3" t="inlineStr">
        <is>
          <t>Chandrashekar Patidar</t>
        </is>
      </c>
      <c r="H1674" s="3" t="n">
        <v>7879764773</v>
      </c>
      <c r="I1674" s="11" t="inlineStr">
        <is>
          <t>PE26032601</t>
        </is>
      </c>
      <c r="J1674" s="3" t="inlineStr">
        <is>
          <t>Module Diode Failure</t>
        </is>
      </c>
      <c r="K1674" s="3" t="inlineStr">
        <is>
          <t>Sadla</t>
        </is>
      </c>
      <c r="L1674" s="3" t="inlineStr">
        <is>
          <t>Gujarat</t>
        </is>
      </c>
      <c r="M1674" s="55" t="inlineStr">
        <is>
          <t>PS</t>
        </is>
      </c>
      <c r="N1674" s="3" t="inlineStr">
        <is>
          <t>Cold Soldering</t>
        </is>
      </c>
      <c r="O1674" s="3" t="n">
        <v>570</v>
      </c>
      <c r="P1674" s="55" t="inlineStr">
        <is>
          <t>NSMI24090350237</t>
        </is>
      </c>
      <c r="Q1674" s="54">
        <f>MID(P1674,5,2)</f>
        <v/>
      </c>
      <c r="R1674" s="53">
        <f>MID(P1674,7,2)</f>
        <v/>
      </c>
      <c r="S1674" s="3" t="inlineStr">
        <is>
          <t>G2G</t>
        </is>
      </c>
      <c r="T1674" s="3" t="inlineStr">
        <is>
          <t>P4</t>
        </is>
      </c>
      <c r="U1674" s="3" t="inlineStr">
        <is>
          <t>P JB Cold Soldering</t>
        </is>
      </c>
      <c r="V1674" s="3" t="inlineStr">
        <is>
          <t>Soldering</t>
        </is>
      </c>
      <c r="W1674" s="3" t="inlineStr">
        <is>
          <t>Repair</t>
        </is>
      </c>
      <c r="X1674" s="18" t="n">
        <v>46163</v>
      </c>
      <c r="Y1674" s="73">
        <f>IF(X1674="","",X1674-A1674)</f>
        <v/>
      </c>
      <c r="Z1674" s="18" t="n">
        <v>46163</v>
      </c>
      <c r="AA1674" s="15" t="n"/>
      <c r="AB1674" s="15" t="n"/>
      <c r="AF1674">
        <f>IF(AND($F1674="Closed",$X1674&gt;=DATE(2026,5,1),$X1674&lt;=DATE(2026,5,31)),"Closed in May","Other")</f>
        <v/>
      </c>
    </row>
    <row r="1675">
      <c r="A1675" s="6" t="n">
        <v>46107</v>
      </c>
      <c r="B1675" s="3" t="n">
        <v>2026</v>
      </c>
      <c r="C1675" s="3" t="inlineStr">
        <is>
          <t>Blupine Energy</t>
        </is>
      </c>
      <c r="D1675" s="3" t="inlineStr">
        <is>
          <t>Utility and C&amp;I</t>
        </is>
      </c>
      <c r="E1675" s="3" t="n"/>
      <c r="F1675" s="3" t="inlineStr">
        <is>
          <t>Closed</t>
        </is>
      </c>
      <c r="G1675" s="3" t="inlineStr">
        <is>
          <t>Chandrashekar Patidar</t>
        </is>
      </c>
      <c r="H1675" s="3" t="n">
        <v>7879764773</v>
      </c>
      <c r="I1675" s="11" t="inlineStr">
        <is>
          <t>PE26032601</t>
        </is>
      </c>
      <c r="J1675" s="3" t="inlineStr">
        <is>
          <t>Module Diode Failure</t>
        </is>
      </c>
      <c r="K1675" s="3" t="inlineStr">
        <is>
          <t>Sadla</t>
        </is>
      </c>
      <c r="L1675" s="3" t="inlineStr">
        <is>
          <t>Gujarat</t>
        </is>
      </c>
      <c r="M1675" s="55" t="inlineStr">
        <is>
          <t>PS</t>
        </is>
      </c>
      <c r="N1675" s="3" t="inlineStr">
        <is>
          <t>Cold Soldering</t>
        </is>
      </c>
      <c r="O1675" s="3" t="n">
        <v>570</v>
      </c>
      <c r="P1675" s="55" t="inlineStr">
        <is>
          <t>NSMI24080342080</t>
        </is>
      </c>
      <c r="Q1675" s="54">
        <f>MID(P1675,5,2)</f>
        <v/>
      </c>
      <c r="R1675" s="53">
        <f>MID(P1675,7,2)</f>
        <v/>
      </c>
      <c r="S1675" s="3" t="inlineStr">
        <is>
          <t>G2G</t>
        </is>
      </c>
      <c r="T1675" s="3" t="inlineStr">
        <is>
          <t>P4</t>
        </is>
      </c>
      <c r="U1675" s="3" t="inlineStr">
        <is>
          <t>P JB Cold Soldering</t>
        </is>
      </c>
      <c r="V1675" s="3" t="inlineStr">
        <is>
          <t>Soldering</t>
        </is>
      </c>
      <c r="W1675" s="3" t="inlineStr">
        <is>
          <t>Repair</t>
        </is>
      </c>
      <c r="X1675" s="18" t="n">
        <v>46163</v>
      </c>
      <c r="Y1675" s="73">
        <f>IF(X1675="","",X1675-A1675)</f>
        <v/>
      </c>
      <c r="Z1675" s="18" t="n">
        <v>46163</v>
      </c>
      <c r="AA1675" s="15" t="n"/>
      <c r="AB1675" s="15" t="n"/>
      <c r="AF1675">
        <f>IF(AND($F1675="Closed",$X1675&gt;=DATE(2026,5,1),$X1675&lt;=DATE(2026,5,31)),"Closed in May","Other")</f>
        <v/>
      </c>
    </row>
    <row r="1676">
      <c r="A1676" s="6" t="n">
        <v>46107</v>
      </c>
      <c r="B1676" s="3" t="n">
        <v>2026</v>
      </c>
      <c r="C1676" s="3" t="inlineStr">
        <is>
          <t>Blupine Energy</t>
        </is>
      </c>
      <c r="D1676" s="3" t="inlineStr">
        <is>
          <t>Utility and C&amp;I</t>
        </is>
      </c>
      <c r="E1676" s="3" t="n"/>
      <c r="F1676" s="3" t="inlineStr">
        <is>
          <t>Closed</t>
        </is>
      </c>
      <c r="G1676" s="3" t="inlineStr">
        <is>
          <t>Chandrashekar Patidar</t>
        </is>
      </c>
      <c r="H1676" s="3" t="n">
        <v>7879764773</v>
      </c>
      <c r="I1676" s="11" t="inlineStr">
        <is>
          <t>PE26032601</t>
        </is>
      </c>
      <c r="J1676" s="3" t="inlineStr">
        <is>
          <t>Module Diode Failure</t>
        </is>
      </c>
      <c r="K1676" s="3" t="inlineStr">
        <is>
          <t>Sadla</t>
        </is>
      </c>
      <c r="L1676" s="3" t="inlineStr">
        <is>
          <t>Gujarat</t>
        </is>
      </c>
      <c r="M1676" s="55" t="inlineStr">
        <is>
          <t>PS</t>
        </is>
      </c>
      <c r="N1676" s="3" t="inlineStr">
        <is>
          <t>Cold Soldering</t>
        </is>
      </c>
      <c r="O1676" s="3" t="n">
        <v>570</v>
      </c>
      <c r="P1676" s="55" t="inlineStr">
        <is>
          <t>NSMI24080334141</t>
        </is>
      </c>
      <c r="Q1676" s="54">
        <f>MID(P1676,5,2)</f>
        <v/>
      </c>
      <c r="R1676" s="53">
        <f>MID(P1676,7,2)</f>
        <v/>
      </c>
      <c r="S1676" s="3" t="inlineStr">
        <is>
          <t>G2G</t>
        </is>
      </c>
      <c r="T1676" s="3" t="inlineStr">
        <is>
          <t>P4</t>
        </is>
      </c>
      <c r="U1676" s="3" t="inlineStr">
        <is>
          <t>P JB Cold Soldering</t>
        </is>
      </c>
      <c r="V1676" s="3" t="inlineStr">
        <is>
          <t>Soldering</t>
        </is>
      </c>
      <c r="W1676" s="3" t="inlineStr">
        <is>
          <t>Repair</t>
        </is>
      </c>
      <c r="X1676" s="18" t="n">
        <v>46163</v>
      </c>
      <c r="Y1676" s="73">
        <f>IF(X1676="","",X1676-A1676)</f>
        <v/>
      </c>
      <c r="Z1676" s="18" t="n">
        <v>46163</v>
      </c>
      <c r="AA1676" s="15" t="n"/>
      <c r="AB1676" s="15" t="n"/>
      <c r="AF1676">
        <f>IF(AND($F1676="Closed",$X1676&gt;=DATE(2026,5,1),$X1676&lt;=DATE(2026,5,31)),"Closed in May","Other")</f>
        <v/>
      </c>
    </row>
    <row r="1677">
      <c r="A1677" s="6" t="n">
        <v>46107</v>
      </c>
      <c r="B1677" s="3" t="n">
        <v>2026</v>
      </c>
      <c r="C1677" s="3" t="inlineStr">
        <is>
          <t>Blupine Energy</t>
        </is>
      </c>
      <c r="D1677" s="3" t="inlineStr">
        <is>
          <t>Utility and C&amp;I</t>
        </is>
      </c>
      <c r="E1677" s="3" t="n"/>
      <c r="F1677" s="3" t="inlineStr">
        <is>
          <t>Closed</t>
        </is>
      </c>
      <c r="G1677" s="3" t="inlineStr">
        <is>
          <t>Chandrashekar Patidar</t>
        </is>
      </c>
      <c r="H1677" s="3" t="n">
        <v>7879764773</v>
      </c>
      <c r="I1677" s="11" t="inlineStr">
        <is>
          <t>PE26032601</t>
        </is>
      </c>
      <c r="J1677" s="3" t="inlineStr">
        <is>
          <t>Module Diode Failure</t>
        </is>
      </c>
      <c r="K1677" s="3" t="inlineStr">
        <is>
          <t>Sadla</t>
        </is>
      </c>
      <c r="L1677" s="3" t="inlineStr">
        <is>
          <t>Gujarat</t>
        </is>
      </c>
      <c r="M1677" s="55" t="inlineStr">
        <is>
          <t>PS</t>
        </is>
      </c>
      <c r="N1677" s="3" t="inlineStr">
        <is>
          <t>Cold Soldering</t>
        </is>
      </c>
      <c r="O1677" s="3" t="n">
        <v>570</v>
      </c>
      <c r="P1677" s="55" t="inlineStr">
        <is>
          <t>NSMI24080339569</t>
        </is>
      </c>
      <c r="Q1677" s="54">
        <f>MID(P1677,5,2)</f>
        <v/>
      </c>
      <c r="R1677" s="53">
        <f>MID(P1677,7,2)</f>
        <v/>
      </c>
      <c r="S1677" s="3" t="inlineStr">
        <is>
          <t>G2G</t>
        </is>
      </c>
      <c r="T1677" s="3" t="inlineStr">
        <is>
          <t>P4</t>
        </is>
      </c>
      <c r="U1677" s="3" t="inlineStr">
        <is>
          <t>P JB Cold Soldering</t>
        </is>
      </c>
      <c r="V1677" s="3" t="inlineStr">
        <is>
          <t>Soldering</t>
        </is>
      </c>
      <c r="W1677" s="3" t="inlineStr">
        <is>
          <t>Repair</t>
        </is>
      </c>
      <c r="X1677" s="18" t="n">
        <v>46163</v>
      </c>
      <c r="Y1677" s="73">
        <f>IF(X1677="","",X1677-A1677)</f>
        <v/>
      </c>
      <c r="Z1677" s="18" t="n">
        <v>46163</v>
      </c>
      <c r="AA1677" s="15" t="n"/>
      <c r="AB1677" s="15" t="n"/>
      <c r="AF1677">
        <f>IF(AND($F1677="Closed",$X1677&gt;=DATE(2026,5,1),$X1677&lt;=DATE(2026,5,31)),"Closed in May","Other")</f>
        <v/>
      </c>
    </row>
    <row r="1678">
      <c r="A1678" s="6" t="n">
        <v>46107</v>
      </c>
      <c r="B1678" s="3" t="n">
        <v>2026</v>
      </c>
      <c r="C1678" s="3" t="inlineStr">
        <is>
          <t>Blupine Energy</t>
        </is>
      </c>
      <c r="D1678" s="3" t="inlineStr">
        <is>
          <t>Utility and C&amp;I</t>
        </is>
      </c>
      <c r="E1678" s="3" t="n"/>
      <c r="F1678" s="3" t="inlineStr">
        <is>
          <t>Closed</t>
        </is>
      </c>
      <c r="G1678" s="3" t="inlineStr">
        <is>
          <t>Chandrashekar Patidar</t>
        </is>
      </c>
      <c r="H1678" s="3" t="n">
        <v>7879764773</v>
      </c>
      <c r="I1678" s="11" t="inlineStr">
        <is>
          <t>PE26032601</t>
        </is>
      </c>
      <c r="J1678" s="3" t="inlineStr">
        <is>
          <t>Module Diode Failure</t>
        </is>
      </c>
      <c r="K1678" s="3" t="inlineStr">
        <is>
          <t>Sadla</t>
        </is>
      </c>
      <c r="L1678" s="3" t="inlineStr">
        <is>
          <t>Gujarat</t>
        </is>
      </c>
      <c r="M1678" s="55" t="inlineStr">
        <is>
          <t>PS</t>
        </is>
      </c>
      <c r="N1678" s="3" t="inlineStr">
        <is>
          <t>Cold Soldering</t>
        </is>
      </c>
      <c r="O1678" s="3" t="n">
        <v>570</v>
      </c>
      <c r="P1678" s="55" t="inlineStr">
        <is>
          <t>NSMI24080335973</t>
        </is>
      </c>
      <c r="Q1678" s="54">
        <f>MID(P1678,5,2)</f>
        <v/>
      </c>
      <c r="R1678" s="53">
        <f>MID(P1678,7,2)</f>
        <v/>
      </c>
      <c r="S1678" s="3" t="inlineStr">
        <is>
          <t>G2G</t>
        </is>
      </c>
      <c r="T1678" s="3" t="inlineStr">
        <is>
          <t>P4</t>
        </is>
      </c>
      <c r="U1678" s="3" t="inlineStr">
        <is>
          <t>P JB Cold Soldering</t>
        </is>
      </c>
      <c r="V1678" s="3" t="inlineStr">
        <is>
          <t>Soldering</t>
        </is>
      </c>
      <c r="W1678" s="3" t="inlineStr">
        <is>
          <t>Repair</t>
        </is>
      </c>
      <c r="X1678" s="18" t="n">
        <v>46163</v>
      </c>
      <c r="Y1678" s="73">
        <f>IF(X1678="","",X1678-A1678)</f>
        <v/>
      </c>
      <c r="Z1678" s="18" t="n">
        <v>46163</v>
      </c>
      <c r="AA1678" s="15" t="n"/>
      <c r="AB1678" s="15" t="n"/>
      <c r="AF1678">
        <f>IF(AND($F1678="Closed",$X1678&gt;=DATE(2026,5,1),$X1678&lt;=DATE(2026,5,31)),"Closed in May","Other")</f>
        <v/>
      </c>
    </row>
    <row r="1679">
      <c r="A1679" s="6" t="n">
        <v>46107</v>
      </c>
      <c r="B1679" s="3" t="n">
        <v>2026</v>
      </c>
      <c r="C1679" s="3" t="inlineStr">
        <is>
          <t>Blupine Energy</t>
        </is>
      </c>
      <c r="D1679" s="3" t="inlineStr">
        <is>
          <t>Utility and C&amp;I</t>
        </is>
      </c>
      <c r="E1679" s="3" t="n"/>
      <c r="F1679" s="3" t="inlineStr">
        <is>
          <t>Closed</t>
        </is>
      </c>
      <c r="G1679" s="3" t="inlineStr">
        <is>
          <t>Chandrashekar Patidar</t>
        </is>
      </c>
      <c r="H1679" s="3" t="n">
        <v>7879764773</v>
      </c>
      <c r="I1679" s="11" t="inlineStr">
        <is>
          <t>PE26032601</t>
        </is>
      </c>
      <c r="J1679" s="3" t="inlineStr">
        <is>
          <t>Module Diode Failure</t>
        </is>
      </c>
      <c r="K1679" s="3" t="inlineStr">
        <is>
          <t>Sadla</t>
        </is>
      </c>
      <c r="L1679" s="3" t="inlineStr">
        <is>
          <t>Gujarat</t>
        </is>
      </c>
      <c r="M1679" s="55" t="inlineStr">
        <is>
          <t>PR</t>
        </is>
      </c>
      <c r="N1679" s="3" t="inlineStr">
        <is>
          <t>JB Issue</t>
        </is>
      </c>
      <c r="O1679" s="3" t="n">
        <v>570</v>
      </c>
      <c r="P1679" s="55" t="inlineStr">
        <is>
          <t>NSMI24080336569</t>
        </is>
      </c>
      <c r="Q1679" s="54">
        <f>MID(P1679,5,2)</f>
        <v/>
      </c>
      <c r="R1679" s="53">
        <f>MID(P1679,7,2)</f>
        <v/>
      </c>
      <c r="S1679" s="3" t="inlineStr">
        <is>
          <t>G2G</t>
        </is>
      </c>
      <c r="T1679" s="3" t="inlineStr">
        <is>
          <t>P4</t>
        </is>
      </c>
      <c r="U1679" s="3" t="inlineStr">
        <is>
          <t>P JB Issue</t>
        </is>
      </c>
      <c r="V1679" s="15" t="inlineStr">
        <is>
          <t>JB Changed</t>
        </is>
      </c>
      <c r="W1679" s="3" t="inlineStr">
        <is>
          <t>Repair</t>
        </is>
      </c>
      <c r="X1679" s="18" t="n">
        <v>46163</v>
      </c>
      <c r="Y1679" s="73">
        <f>IF(X1679="","",X1679-A1679)</f>
        <v/>
      </c>
      <c r="Z1679" s="18" t="n">
        <v>46163</v>
      </c>
      <c r="AA1679" s="15" t="n"/>
      <c r="AB1679" s="15" t="n"/>
      <c r="AF1679">
        <f>IF(AND($F1679="Closed",$X1679&gt;=DATE(2026,5,1),$X1679&lt;=DATE(2026,5,31)),"Closed in May","Other")</f>
        <v/>
      </c>
    </row>
    <row r="1680">
      <c r="A1680" s="6" t="n">
        <v>46107</v>
      </c>
      <c r="B1680" s="3" t="n">
        <v>2026</v>
      </c>
      <c r="C1680" s="3" t="inlineStr">
        <is>
          <t>Blupine Energy</t>
        </is>
      </c>
      <c r="D1680" s="3" t="inlineStr">
        <is>
          <t>Utility and C&amp;I</t>
        </is>
      </c>
      <c r="E1680" s="3" t="n"/>
      <c r="F1680" s="3" t="inlineStr">
        <is>
          <t>Closed</t>
        </is>
      </c>
      <c r="G1680" s="3" t="inlineStr">
        <is>
          <t>Chandrashekar Patidar</t>
        </is>
      </c>
      <c r="H1680" s="3" t="n">
        <v>7879764773</v>
      </c>
      <c r="I1680" s="11" t="inlineStr">
        <is>
          <t>PE26032601</t>
        </is>
      </c>
      <c r="J1680" s="3" t="inlineStr">
        <is>
          <t>Module Diode Failure</t>
        </is>
      </c>
      <c r="K1680" s="3" t="inlineStr">
        <is>
          <t>Sadla</t>
        </is>
      </c>
      <c r="L1680" s="3" t="inlineStr">
        <is>
          <t>Gujarat</t>
        </is>
      </c>
      <c r="M1680" s="55" t="inlineStr">
        <is>
          <t>PS</t>
        </is>
      </c>
      <c r="N1680" s="3" t="inlineStr">
        <is>
          <t>Cold Soldering</t>
        </is>
      </c>
      <c r="O1680" s="3" t="n">
        <v>570</v>
      </c>
      <c r="P1680" s="55" t="inlineStr">
        <is>
          <t>NSMI24050061344</t>
        </is>
      </c>
      <c r="Q1680" s="54">
        <f>MID(P1680,5,2)</f>
        <v/>
      </c>
      <c r="R1680" s="53">
        <f>MID(P1680,7,2)</f>
        <v/>
      </c>
      <c r="S1680" s="3" t="inlineStr">
        <is>
          <t>G2G</t>
        </is>
      </c>
      <c r="T1680" s="3" t="inlineStr">
        <is>
          <t>P4</t>
        </is>
      </c>
      <c r="U1680" s="3" t="inlineStr">
        <is>
          <t>P JB Cold Soldering</t>
        </is>
      </c>
      <c r="V1680" s="3" t="inlineStr">
        <is>
          <t>Soldering</t>
        </is>
      </c>
      <c r="W1680" s="3" t="inlineStr">
        <is>
          <t>Repair</t>
        </is>
      </c>
      <c r="X1680" s="18" t="n">
        <v>46163</v>
      </c>
      <c r="Y1680" s="73">
        <f>IF(X1680="","",X1680-A1680)</f>
        <v/>
      </c>
      <c r="Z1680" s="18" t="n">
        <v>46163</v>
      </c>
      <c r="AA1680" s="15" t="n"/>
      <c r="AB1680" s="15" t="n"/>
      <c r="AF1680">
        <f>IF(AND($F1680="Closed",$X1680&gt;=DATE(2026,5,1),$X1680&lt;=DATE(2026,5,31)),"Closed in May","Other")</f>
        <v/>
      </c>
    </row>
    <row r="1681">
      <c r="A1681" s="6" t="n">
        <v>46107</v>
      </c>
      <c r="B1681" s="3" t="n">
        <v>2026</v>
      </c>
      <c r="C1681" s="3" t="inlineStr">
        <is>
          <t>Blupine Energy</t>
        </is>
      </c>
      <c r="D1681" s="3" t="inlineStr">
        <is>
          <t>Utility and C&amp;I</t>
        </is>
      </c>
      <c r="E1681" s="3" t="n"/>
      <c r="F1681" s="3" t="inlineStr">
        <is>
          <t>Closed</t>
        </is>
      </c>
      <c r="G1681" s="3" t="inlineStr">
        <is>
          <t>Chandrashekar Patidar</t>
        </is>
      </c>
      <c r="H1681" s="3" t="n">
        <v>7879764773</v>
      </c>
      <c r="I1681" s="11" t="inlineStr">
        <is>
          <t>PE26032601</t>
        </is>
      </c>
      <c r="J1681" s="3" t="inlineStr">
        <is>
          <t>Module Diode Failure</t>
        </is>
      </c>
      <c r="K1681" s="3" t="inlineStr">
        <is>
          <t>Sadla</t>
        </is>
      </c>
      <c r="L1681" s="3" t="inlineStr">
        <is>
          <t>Gujarat</t>
        </is>
      </c>
      <c r="M1681" s="55" t="inlineStr">
        <is>
          <t>NS</t>
        </is>
      </c>
      <c r="N1681" s="3" t="inlineStr">
        <is>
          <t>Cold Soldering</t>
        </is>
      </c>
      <c r="O1681" s="3" t="n">
        <v>570</v>
      </c>
      <c r="P1681" s="55" t="inlineStr">
        <is>
          <t>NSMI24050059057</t>
        </is>
      </c>
      <c r="Q1681" s="54">
        <f>MID(P1681,5,2)</f>
        <v/>
      </c>
      <c r="R1681" s="53">
        <f>MID(P1681,7,2)</f>
        <v/>
      </c>
      <c r="S1681" s="3" t="inlineStr">
        <is>
          <t>G2G</t>
        </is>
      </c>
      <c r="T1681" s="3" t="inlineStr">
        <is>
          <t>P4</t>
        </is>
      </c>
      <c r="U1681" s="3" t="inlineStr">
        <is>
          <t>N JB Cold Soldering</t>
        </is>
      </c>
      <c r="V1681" s="3" t="inlineStr">
        <is>
          <t>Soldering</t>
        </is>
      </c>
      <c r="W1681" s="3" t="inlineStr">
        <is>
          <t>Repair</t>
        </is>
      </c>
      <c r="X1681" s="18" t="n">
        <v>46163</v>
      </c>
      <c r="Y1681" s="73">
        <f>IF(X1681="","",X1681-A1681)</f>
        <v/>
      </c>
      <c r="Z1681" s="18" t="n">
        <v>46163</v>
      </c>
      <c r="AA1681" s="15" t="n"/>
      <c r="AB1681" s="15" t="n"/>
      <c r="AF1681">
        <f>IF(AND($F1681="Closed",$X1681&gt;=DATE(2026,5,1),$X1681&lt;=DATE(2026,5,31)),"Closed in May","Other")</f>
        <v/>
      </c>
    </row>
    <row r="1682">
      <c r="A1682" s="6" t="n">
        <v>46107</v>
      </c>
      <c r="B1682" s="3" t="n">
        <v>2026</v>
      </c>
      <c r="C1682" s="3" t="inlineStr">
        <is>
          <t>Blupine Energy</t>
        </is>
      </c>
      <c r="D1682" s="3" t="inlineStr">
        <is>
          <t>Utility and C&amp;I</t>
        </is>
      </c>
      <c r="E1682" s="3" t="n"/>
      <c r="F1682" s="3" t="inlineStr">
        <is>
          <t>Closed</t>
        </is>
      </c>
      <c r="G1682" s="3" t="inlineStr">
        <is>
          <t>Chandrashekar Patidar</t>
        </is>
      </c>
      <c r="H1682" s="3" t="n">
        <v>7879764773</v>
      </c>
      <c r="I1682" s="11" t="inlineStr">
        <is>
          <t>PE26032601</t>
        </is>
      </c>
      <c r="J1682" s="3" t="inlineStr">
        <is>
          <t>Module Diode Failure</t>
        </is>
      </c>
      <c r="K1682" s="3" t="inlineStr">
        <is>
          <t>Sadla</t>
        </is>
      </c>
      <c r="L1682" s="3" t="inlineStr">
        <is>
          <t>Gujarat</t>
        </is>
      </c>
      <c r="M1682" s="55" t="inlineStr">
        <is>
          <t>NS</t>
        </is>
      </c>
      <c r="N1682" s="3" t="inlineStr">
        <is>
          <t>Cold Soldering</t>
        </is>
      </c>
      <c r="O1682" s="3" t="n">
        <v>570</v>
      </c>
      <c r="P1682" s="55" t="inlineStr">
        <is>
          <t>NSMI24060078845</t>
        </is>
      </c>
      <c r="Q1682" s="54">
        <f>MID(P1682,5,2)</f>
        <v/>
      </c>
      <c r="R1682" s="53">
        <f>MID(P1682,7,2)</f>
        <v/>
      </c>
      <c r="S1682" s="3" t="inlineStr">
        <is>
          <t>G2G</t>
        </is>
      </c>
      <c r="T1682" s="3" t="inlineStr">
        <is>
          <t>P4</t>
        </is>
      </c>
      <c r="U1682" s="3" t="inlineStr">
        <is>
          <t>N JB Cold Soldering</t>
        </is>
      </c>
      <c r="V1682" s="3" t="inlineStr">
        <is>
          <t>Soldering</t>
        </is>
      </c>
      <c r="W1682" s="3" t="inlineStr">
        <is>
          <t>Repair</t>
        </is>
      </c>
      <c r="X1682" s="18" t="n">
        <v>46163</v>
      </c>
      <c r="Y1682" s="73">
        <f>IF(X1682="","",X1682-A1682)</f>
        <v/>
      </c>
      <c r="Z1682" s="18" t="n">
        <v>46163</v>
      </c>
      <c r="AA1682" s="15" t="n"/>
      <c r="AB1682" s="15" t="n"/>
      <c r="AF1682">
        <f>IF(AND($F1682="Closed",$X1682&gt;=DATE(2026,5,1),$X1682&lt;=DATE(2026,5,31)),"Closed in May","Other")</f>
        <v/>
      </c>
    </row>
    <row r="1683">
      <c r="A1683" s="6" t="n">
        <v>46107</v>
      </c>
      <c r="B1683" s="3" t="n">
        <v>2026</v>
      </c>
      <c r="C1683" s="3" t="inlineStr">
        <is>
          <t>Blupine Energy</t>
        </is>
      </c>
      <c r="D1683" s="3" t="inlineStr">
        <is>
          <t>Utility and C&amp;I</t>
        </is>
      </c>
      <c r="E1683" s="3" t="n"/>
      <c r="F1683" s="3" t="inlineStr">
        <is>
          <t>Closed</t>
        </is>
      </c>
      <c r="G1683" s="3" t="inlineStr">
        <is>
          <t>Chandrashekar Patidar</t>
        </is>
      </c>
      <c r="H1683" s="3" t="n">
        <v>7879764773</v>
      </c>
      <c r="I1683" s="11" t="inlineStr">
        <is>
          <t>PE26032601</t>
        </is>
      </c>
      <c r="J1683" s="3" t="inlineStr">
        <is>
          <t>Module Diode Failure</t>
        </is>
      </c>
      <c r="K1683" s="3" t="inlineStr">
        <is>
          <t>Sadla</t>
        </is>
      </c>
      <c r="L1683" s="3" t="inlineStr">
        <is>
          <t>Gujarat</t>
        </is>
      </c>
      <c r="M1683" s="55" t="inlineStr">
        <is>
          <t>PS</t>
        </is>
      </c>
      <c r="N1683" s="3" t="inlineStr">
        <is>
          <t>Cold Soldering</t>
        </is>
      </c>
      <c r="O1683" s="3" t="n">
        <v>570</v>
      </c>
      <c r="P1683" s="55" t="inlineStr">
        <is>
          <t>NSMI24060078802</t>
        </is>
      </c>
      <c r="Q1683" s="54">
        <f>MID(P1683,5,2)</f>
        <v/>
      </c>
      <c r="R1683" s="53">
        <f>MID(P1683,7,2)</f>
        <v/>
      </c>
      <c r="S1683" s="3" t="inlineStr">
        <is>
          <t>G2G</t>
        </is>
      </c>
      <c r="T1683" s="3" t="inlineStr">
        <is>
          <t>P4</t>
        </is>
      </c>
      <c r="U1683" s="3" t="inlineStr">
        <is>
          <t>P JB Cold Soldering</t>
        </is>
      </c>
      <c r="V1683" s="3" t="inlineStr">
        <is>
          <t>Soldering</t>
        </is>
      </c>
      <c r="W1683" s="3" t="inlineStr">
        <is>
          <t>Repair</t>
        </is>
      </c>
      <c r="X1683" s="18" t="n">
        <v>46163</v>
      </c>
      <c r="Y1683" s="73">
        <f>IF(X1683="","",X1683-A1683)</f>
        <v/>
      </c>
      <c r="Z1683" s="18" t="n">
        <v>46163</v>
      </c>
      <c r="AA1683" s="15" t="n"/>
      <c r="AB1683" s="15" t="n"/>
      <c r="AF1683">
        <f>IF(AND($F1683="Closed",$X1683&gt;=DATE(2026,5,1),$X1683&lt;=DATE(2026,5,31)),"Closed in May","Other")</f>
        <v/>
      </c>
    </row>
    <row r="1684">
      <c r="A1684" s="6" t="n">
        <v>46107</v>
      </c>
      <c r="B1684" s="3" t="n">
        <v>2026</v>
      </c>
      <c r="C1684" s="3" t="inlineStr">
        <is>
          <t>Blupine Energy</t>
        </is>
      </c>
      <c r="D1684" s="3" t="inlineStr">
        <is>
          <t>Utility and C&amp;I</t>
        </is>
      </c>
      <c r="E1684" s="3" t="n"/>
      <c r="F1684" s="3" t="inlineStr">
        <is>
          <t>Closed</t>
        </is>
      </c>
      <c r="G1684" s="3" t="inlineStr">
        <is>
          <t>Chandrashekar Patidar</t>
        </is>
      </c>
      <c r="H1684" s="3" t="n">
        <v>7879764773</v>
      </c>
      <c r="I1684" s="11" t="inlineStr">
        <is>
          <t>PE26032601</t>
        </is>
      </c>
      <c r="J1684" s="3" t="inlineStr">
        <is>
          <t>Module Diode Failure</t>
        </is>
      </c>
      <c r="K1684" s="3" t="inlineStr">
        <is>
          <t>Sadla</t>
        </is>
      </c>
      <c r="L1684" s="3" t="inlineStr">
        <is>
          <t>Gujarat</t>
        </is>
      </c>
      <c r="M1684" s="55" t="inlineStr">
        <is>
          <t>PS</t>
        </is>
      </c>
      <c r="N1684" s="3" t="inlineStr">
        <is>
          <t>Cold Soldering</t>
        </is>
      </c>
      <c r="O1684" s="3" t="n">
        <v>570</v>
      </c>
      <c r="P1684" s="55" t="inlineStr">
        <is>
          <t>NSMI24060078758</t>
        </is>
      </c>
      <c r="Q1684" s="54">
        <f>MID(P1684,5,2)</f>
        <v/>
      </c>
      <c r="R1684" s="53">
        <f>MID(P1684,7,2)</f>
        <v/>
      </c>
      <c r="S1684" s="3" t="inlineStr">
        <is>
          <t>G2G</t>
        </is>
      </c>
      <c r="T1684" s="3" t="inlineStr">
        <is>
          <t>P4</t>
        </is>
      </c>
      <c r="U1684" s="3" t="inlineStr">
        <is>
          <t>P JB Cold Soldering</t>
        </is>
      </c>
      <c r="V1684" s="3" t="inlineStr">
        <is>
          <t>Soldering</t>
        </is>
      </c>
      <c r="W1684" s="3" t="inlineStr">
        <is>
          <t>Repair</t>
        </is>
      </c>
      <c r="X1684" s="18" t="n">
        <v>46163</v>
      </c>
      <c r="Y1684" s="73">
        <f>IF(X1684="","",X1684-A1684)</f>
        <v/>
      </c>
      <c r="Z1684" s="18" t="n">
        <v>46163</v>
      </c>
      <c r="AA1684" s="15" t="n"/>
      <c r="AB1684" s="15" t="n"/>
      <c r="AF1684">
        <f>IF(AND($F1684="Closed",$X1684&gt;=DATE(2026,5,1),$X1684&lt;=DATE(2026,5,31)),"Closed in May","Other")</f>
        <v/>
      </c>
    </row>
    <row r="1685">
      <c r="A1685" s="6" t="n">
        <v>46107</v>
      </c>
      <c r="B1685" s="3" t="n">
        <v>2026</v>
      </c>
      <c r="C1685" s="3" t="inlineStr">
        <is>
          <t>Blupine Energy</t>
        </is>
      </c>
      <c r="D1685" s="3" t="inlineStr">
        <is>
          <t>Utility and C&amp;I</t>
        </is>
      </c>
      <c r="E1685" s="3" t="n"/>
      <c r="F1685" s="3" t="inlineStr">
        <is>
          <t>Closed</t>
        </is>
      </c>
      <c r="G1685" s="3" t="inlineStr">
        <is>
          <t>Chandrashekar Patidar</t>
        </is>
      </c>
      <c r="H1685" s="3" t="n">
        <v>7879764773</v>
      </c>
      <c r="I1685" s="11" t="inlineStr">
        <is>
          <t>PE26032601</t>
        </is>
      </c>
      <c r="J1685" s="3" t="inlineStr">
        <is>
          <t>Module Diode Failure</t>
        </is>
      </c>
      <c r="K1685" s="3" t="inlineStr">
        <is>
          <t>Sadla</t>
        </is>
      </c>
      <c r="L1685" s="3" t="inlineStr">
        <is>
          <t>Gujarat</t>
        </is>
      </c>
      <c r="M1685" s="55" t="inlineStr">
        <is>
          <t>PS</t>
        </is>
      </c>
      <c r="N1685" s="3" t="inlineStr">
        <is>
          <t>Cold Soldering</t>
        </is>
      </c>
      <c r="O1685" s="3" t="n">
        <v>570</v>
      </c>
      <c r="P1685" s="57" t="inlineStr">
        <is>
          <t>NSMI24060078735</t>
        </is>
      </c>
      <c r="Q1685" s="54">
        <f>MID(P1685,5,2)</f>
        <v/>
      </c>
      <c r="R1685" s="53">
        <f>MID(P1685,7,2)</f>
        <v/>
      </c>
      <c r="S1685" s="3" t="inlineStr">
        <is>
          <t>G2G</t>
        </is>
      </c>
      <c r="T1685" s="3" t="inlineStr">
        <is>
          <t>P4</t>
        </is>
      </c>
      <c r="U1685" s="3" t="inlineStr">
        <is>
          <t>P JB Cold Soldering</t>
        </is>
      </c>
      <c r="V1685" s="3" t="inlineStr">
        <is>
          <t>Soldering</t>
        </is>
      </c>
      <c r="W1685" s="3" t="inlineStr">
        <is>
          <t>Repair</t>
        </is>
      </c>
      <c r="X1685" s="18" t="n">
        <v>46163</v>
      </c>
      <c r="Y1685" s="73">
        <f>IF(X1685="","",X1685-A1685)</f>
        <v/>
      </c>
      <c r="Z1685" s="18" t="n">
        <v>46163</v>
      </c>
      <c r="AA1685" s="15" t="n"/>
      <c r="AB1685" s="15" t="n"/>
      <c r="AF1685">
        <f>IF(AND($F1685="Closed",$X1685&gt;=DATE(2026,5,1),$X1685&lt;=DATE(2026,5,31)),"Closed in May","Other")</f>
        <v/>
      </c>
    </row>
    <row r="1686">
      <c r="A1686" s="6" t="n">
        <v>46107</v>
      </c>
      <c r="B1686" s="3" t="n">
        <v>2026</v>
      </c>
      <c r="C1686" s="3" t="inlineStr">
        <is>
          <t>Blupine Energy</t>
        </is>
      </c>
      <c r="D1686" s="3" t="inlineStr">
        <is>
          <t>Utility and C&amp;I</t>
        </is>
      </c>
      <c r="E1686" s="3" t="n"/>
      <c r="F1686" s="3" t="inlineStr">
        <is>
          <t>Closed</t>
        </is>
      </c>
      <c r="G1686" s="3" t="inlineStr">
        <is>
          <t>Chandrashekar Patidar</t>
        </is>
      </c>
      <c r="H1686" s="3" t="n">
        <v>7879764773</v>
      </c>
      <c r="I1686" s="11" t="inlineStr">
        <is>
          <t>PE26032601</t>
        </is>
      </c>
      <c r="J1686" s="3" t="inlineStr">
        <is>
          <t>Module Diode Failure</t>
        </is>
      </c>
      <c r="K1686" s="3" t="inlineStr">
        <is>
          <t>Sadla</t>
        </is>
      </c>
      <c r="L1686" s="3" t="inlineStr">
        <is>
          <t>Gujarat</t>
        </is>
      </c>
      <c r="M1686" s="55" t="inlineStr">
        <is>
          <t>PS</t>
        </is>
      </c>
      <c r="N1686" s="3" t="inlineStr">
        <is>
          <t>Cold Soldering</t>
        </is>
      </c>
      <c r="O1686" s="3" t="n">
        <v>570</v>
      </c>
      <c r="P1686" s="9" t="inlineStr">
        <is>
          <t>NSMI24060078859</t>
        </is>
      </c>
      <c r="Q1686" s="54">
        <f>MID(P1686,5,2)</f>
        <v/>
      </c>
      <c r="R1686" s="53">
        <f>MID(P1686,7,2)</f>
        <v/>
      </c>
      <c r="S1686" s="3" t="inlineStr">
        <is>
          <t>G2G</t>
        </is>
      </c>
      <c r="T1686" s="3" t="inlineStr">
        <is>
          <t>P4</t>
        </is>
      </c>
      <c r="U1686" s="3" t="inlineStr">
        <is>
          <t>P JB Cold Soldering</t>
        </is>
      </c>
      <c r="V1686" s="3" t="inlineStr">
        <is>
          <t>Soldering</t>
        </is>
      </c>
      <c r="W1686" s="3" t="inlineStr">
        <is>
          <t>Repair</t>
        </is>
      </c>
      <c r="X1686" s="18" t="n">
        <v>46163</v>
      </c>
      <c r="Y1686" s="73">
        <f>IF(X1686="","",X1686-A1686)</f>
        <v/>
      </c>
      <c r="Z1686" s="18" t="n">
        <v>46163</v>
      </c>
      <c r="AA1686" s="15" t="n"/>
      <c r="AB1686" s="15" t="n"/>
      <c r="AF1686">
        <f>IF(AND($F1686="Closed",$X1686&gt;=DATE(2026,5,1),$X1686&lt;=DATE(2026,5,31)),"Closed in May","Other")</f>
        <v/>
      </c>
    </row>
    <row r="1687">
      <c r="A1687" s="37" t="n">
        <v>46143</v>
      </c>
      <c r="B1687" s="3" t="n">
        <v>2026</v>
      </c>
      <c r="C1687" s="26" t="inlineStr">
        <is>
          <t>Yanara Power</t>
        </is>
      </c>
      <c r="D1687" s="3" t="inlineStr">
        <is>
          <t>Utility and C&amp;I</t>
        </is>
      </c>
      <c r="E1687" s="3" t="n"/>
      <c r="F1687" s="3" t="inlineStr">
        <is>
          <t>Closed</t>
        </is>
      </c>
      <c r="G1687" s="9" t="inlineStr">
        <is>
          <t xml:space="preserve">Ashish Jindal </t>
        </is>
      </c>
      <c r="H1687" s="26" t="n">
        <v>9983975581</v>
      </c>
      <c r="I1687" s="38" t="inlineStr">
        <is>
          <t>PE01052601</t>
        </is>
      </c>
      <c r="J1687" s="26" t="inlineStr">
        <is>
          <t>Multiple Issues</t>
        </is>
      </c>
      <c r="K1687" s="39" t="inlineStr">
        <is>
          <t>Holi</t>
        </is>
      </c>
      <c r="L1687" s="39" t="inlineStr">
        <is>
          <t>Maharashtra</t>
        </is>
      </c>
      <c r="M1687" s="46" t="inlineStr">
        <is>
          <t>PS</t>
        </is>
      </c>
      <c r="N1687" s="3" t="inlineStr">
        <is>
          <t>Cold Soldering</t>
        </is>
      </c>
      <c r="O1687" s="56" t="n">
        <v>575</v>
      </c>
      <c r="P1687" s="9" t="inlineStr">
        <is>
          <t>NSMI24070181293</t>
        </is>
      </c>
      <c r="Q1687" s="54">
        <f>MID(P1687,5,2)</f>
        <v/>
      </c>
      <c r="R1687" s="53">
        <f>MID(P1687,7,2)</f>
        <v/>
      </c>
      <c r="S1687" s="3" t="inlineStr">
        <is>
          <t>G2G</t>
        </is>
      </c>
      <c r="T1687" s="3" t="inlineStr">
        <is>
          <t>P4</t>
        </is>
      </c>
      <c r="U1687" s="19" t="inlineStr">
        <is>
          <t>P JB Cold Soldering</t>
        </is>
      </c>
      <c r="V1687" s="19" t="inlineStr">
        <is>
          <t>Soldering</t>
        </is>
      </c>
      <c r="W1687" s="3" t="inlineStr">
        <is>
          <t>Repair</t>
        </is>
      </c>
      <c r="X1687" s="18" t="n">
        <v>46163</v>
      </c>
      <c r="Y1687" s="73">
        <f>IF(X1687="","",X1687-A1687)</f>
        <v/>
      </c>
      <c r="Z1687" s="18" t="n">
        <v>46163</v>
      </c>
      <c r="AA1687" s="15" t="n"/>
      <c r="AB1687" s="15" t="n"/>
      <c r="AF1687">
        <f>IF(AND($F1687="Closed",$X1687&gt;=DATE(2026,5,1),$X1687&lt;=DATE(2026,5,31)),"Closed in May","Other")</f>
        <v/>
      </c>
    </row>
    <row r="1688">
      <c r="A1688" s="37" t="n">
        <v>46143</v>
      </c>
      <c r="B1688" s="3" t="n">
        <v>2026</v>
      </c>
      <c r="C1688" s="26" t="inlineStr">
        <is>
          <t>Yanara Power</t>
        </is>
      </c>
      <c r="D1688" s="3" t="inlineStr">
        <is>
          <t>Utility and C&amp;I</t>
        </is>
      </c>
      <c r="E1688" s="3" t="n"/>
      <c r="F1688" s="3" t="inlineStr">
        <is>
          <t>Closed</t>
        </is>
      </c>
      <c r="G1688" s="9" t="inlineStr">
        <is>
          <t xml:space="preserve">Ashish Jindal </t>
        </is>
      </c>
      <c r="H1688" s="26" t="n">
        <v>9983975581</v>
      </c>
      <c r="I1688" s="38" t="inlineStr">
        <is>
          <t>PE01052601</t>
        </is>
      </c>
      <c r="J1688" s="26" t="inlineStr">
        <is>
          <t>Multiple Issues</t>
        </is>
      </c>
      <c r="K1688" s="39" t="inlineStr">
        <is>
          <t>Holi</t>
        </is>
      </c>
      <c r="L1688" s="39" t="inlineStr">
        <is>
          <t>Maharashtra</t>
        </is>
      </c>
      <c r="M1688" s="46" t="inlineStr">
        <is>
          <t>PS</t>
        </is>
      </c>
      <c r="N1688" s="3" t="inlineStr">
        <is>
          <t>Cold Soldering</t>
        </is>
      </c>
      <c r="O1688" s="56" t="n">
        <v>575</v>
      </c>
      <c r="P1688" s="9" t="inlineStr">
        <is>
          <t>NSMI24070180512</t>
        </is>
      </c>
      <c r="Q1688" s="54">
        <f>MID(P1688,5,2)</f>
        <v/>
      </c>
      <c r="R1688" s="53">
        <f>MID(P1688,7,2)</f>
        <v/>
      </c>
      <c r="S1688" s="3" t="inlineStr">
        <is>
          <t>G2G</t>
        </is>
      </c>
      <c r="T1688" s="3" t="inlineStr">
        <is>
          <t>P4</t>
        </is>
      </c>
      <c r="U1688" s="19" t="inlineStr">
        <is>
          <t>P JB Cold Soldering</t>
        </is>
      </c>
      <c r="V1688" s="19" t="inlineStr">
        <is>
          <t>Soldering</t>
        </is>
      </c>
      <c r="W1688" s="3" t="inlineStr">
        <is>
          <t>Repair</t>
        </is>
      </c>
      <c r="X1688" s="18" t="n">
        <v>46163</v>
      </c>
      <c r="Y1688" s="73">
        <f>IF(X1688="","",X1688-A1688)</f>
        <v/>
      </c>
      <c r="Z1688" s="18" t="n">
        <v>46163</v>
      </c>
      <c r="AA1688" s="15" t="n"/>
      <c r="AB1688" s="15" t="n"/>
      <c r="AF1688">
        <f>IF(AND($F1688="Closed",$X1688&gt;=DATE(2026,5,1),$X1688&lt;=DATE(2026,5,31)),"Closed in May","Other")</f>
        <v/>
      </c>
    </row>
    <row r="1689">
      <c r="A1689" s="37" t="n">
        <v>46143</v>
      </c>
      <c r="B1689" s="3" t="n">
        <v>2026</v>
      </c>
      <c r="C1689" s="26" t="inlineStr">
        <is>
          <t>Yanara Power</t>
        </is>
      </c>
      <c r="D1689" s="3" t="inlineStr">
        <is>
          <t>Utility and C&amp;I</t>
        </is>
      </c>
      <c r="E1689" s="3" t="n"/>
      <c r="F1689" s="3" t="inlineStr">
        <is>
          <t>Closed</t>
        </is>
      </c>
      <c r="G1689" s="9" t="inlineStr">
        <is>
          <t xml:space="preserve">Ashish Jindal </t>
        </is>
      </c>
      <c r="H1689" s="26" t="n">
        <v>9983975581</v>
      </c>
      <c r="I1689" s="38" t="inlineStr">
        <is>
          <t>PE01052601</t>
        </is>
      </c>
      <c r="J1689" s="26" t="inlineStr">
        <is>
          <t>Multiple Issues</t>
        </is>
      </c>
      <c r="K1689" s="39" t="inlineStr">
        <is>
          <t>Holi</t>
        </is>
      </c>
      <c r="L1689" s="39" t="inlineStr">
        <is>
          <t>Maharashtra</t>
        </is>
      </c>
      <c r="M1689" s="46" t="inlineStr">
        <is>
          <t>PS</t>
        </is>
      </c>
      <c r="N1689" s="3" t="inlineStr">
        <is>
          <t>Cold Soldering</t>
        </is>
      </c>
      <c r="O1689" s="56" t="n">
        <v>575</v>
      </c>
      <c r="P1689" s="9" t="inlineStr">
        <is>
          <t>NSMI24070181313</t>
        </is>
      </c>
      <c r="Q1689" s="54">
        <f>MID(P1689,5,2)</f>
        <v/>
      </c>
      <c r="R1689" s="53">
        <f>MID(P1689,7,2)</f>
        <v/>
      </c>
      <c r="S1689" s="3" t="inlineStr">
        <is>
          <t>G2G</t>
        </is>
      </c>
      <c r="T1689" s="3" t="inlineStr">
        <is>
          <t>P4</t>
        </is>
      </c>
      <c r="U1689" s="19" t="inlineStr">
        <is>
          <t>P JB Cold Soldering</t>
        </is>
      </c>
      <c r="V1689" s="19" t="inlineStr">
        <is>
          <t>Soldering</t>
        </is>
      </c>
      <c r="W1689" s="3" t="inlineStr">
        <is>
          <t>Repair</t>
        </is>
      </c>
      <c r="X1689" s="18" t="n">
        <v>46163</v>
      </c>
      <c r="Y1689" s="73">
        <f>IF(X1689="","",X1689-A1689)</f>
        <v/>
      </c>
      <c r="Z1689" s="18" t="n">
        <v>46163</v>
      </c>
      <c r="AA1689" s="15" t="n"/>
      <c r="AB1689" s="15" t="n"/>
      <c r="AF1689">
        <f>IF(AND($F1689="Closed",$X1689&gt;=DATE(2026,5,1),$X1689&lt;=DATE(2026,5,31)),"Closed in May","Other")</f>
        <v/>
      </c>
    </row>
    <row r="1690">
      <c r="A1690" s="37" t="n">
        <v>46143</v>
      </c>
      <c r="B1690" s="3" t="n">
        <v>2026</v>
      </c>
      <c r="C1690" s="26" t="inlineStr">
        <is>
          <t>Yanara Power</t>
        </is>
      </c>
      <c r="D1690" s="3" t="inlineStr">
        <is>
          <t>Utility and C&amp;I</t>
        </is>
      </c>
      <c r="E1690" s="3" t="n"/>
      <c r="F1690" s="3" t="inlineStr">
        <is>
          <t>Closed</t>
        </is>
      </c>
      <c r="G1690" s="9" t="inlineStr">
        <is>
          <t xml:space="preserve">Ashish Jindal </t>
        </is>
      </c>
      <c r="H1690" s="26" t="n">
        <v>9983975581</v>
      </c>
      <c r="I1690" s="38" t="inlineStr">
        <is>
          <t>PE01052601</t>
        </is>
      </c>
      <c r="J1690" s="26" t="inlineStr">
        <is>
          <t>Multiple Issues</t>
        </is>
      </c>
      <c r="K1690" s="39" t="inlineStr">
        <is>
          <t>Holi</t>
        </is>
      </c>
      <c r="L1690" s="39" t="inlineStr">
        <is>
          <t>Maharashtra</t>
        </is>
      </c>
      <c r="M1690" s="46" t="inlineStr">
        <is>
          <t>PS</t>
        </is>
      </c>
      <c r="N1690" s="3" t="inlineStr">
        <is>
          <t>Cold Soldering</t>
        </is>
      </c>
      <c r="O1690" s="56" t="n">
        <v>575</v>
      </c>
      <c r="P1690" s="9" t="inlineStr">
        <is>
          <t>NSMI24070184310</t>
        </is>
      </c>
      <c r="Q1690" s="54">
        <f>MID(P1690,5,2)</f>
        <v/>
      </c>
      <c r="R1690" s="53">
        <f>MID(P1690,7,2)</f>
        <v/>
      </c>
      <c r="S1690" s="3" t="inlineStr">
        <is>
          <t>G2G</t>
        </is>
      </c>
      <c r="T1690" s="3" t="inlineStr">
        <is>
          <t>P4</t>
        </is>
      </c>
      <c r="U1690" s="19" t="inlineStr">
        <is>
          <t>P JB Cold Soldering</t>
        </is>
      </c>
      <c r="V1690" s="19" t="inlineStr">
        <is>
          <t>Soldering</t>
        </is>
      </c>
      <c r="W1690" s="3" t="inlineStr">
        <is>
          <t>Repair</t>
        </is>
      </c>
      <c r="X1690" s="18" t="n">
        <v>46163</v>
      </c>
      <c r="Y1690" s="73">
        <f>IF(X1690="","",X1690-A1690)</f>
        <v/>
      </c>
      <c r="Z1690" s="18" t="n">
        <v>46163</v>
      </c>
      <c r="AA1690" s="15" t="n"/>
      <c r="AB1690" s="15" t="n"/>
      <c r="AF1690">
        <f>IF(AND($F1690="Closed",$X1690&gt;=DATE(2026,5,1),$X1690&lt;=DATE(2026,5,31)),"Closed in May","Other")</f>
        <v/>
      </c>
    </row>
    <row r="1691">
      <c r="A1691" s="37" t="n">
        <v>46143</v>
      </c>
      <c r="B1691" s="3" t="n">
        <v>2026</v>
      </c>
      <c r="C1691" s="26" t="inlineStr">
        <is>
          <t>Yanara Power</t>
        </is>
      </c>
      <c r="D1691" s="3" t="inlineStr">
        <is>
          <t>Utility and C&amp;I</t>
        </is>
      </c>
      <c r="E1691" s="3" t="n"/>
      <c r="F1691" s="3" t="inlineStr">
        <is>
          <t>Closed</t>
        </is>
      </c>
      <c r="G1691" s="9" t="inlineStr">
        <is>
          <t xml:space="preserve">Ashish Jindal </t>
        </is>
      </c>
      <c r="H1691" s="26" t="n">
        <v>9983975581</v>
      </c>
      <c r="I1691" s="38" t="inlineStr">
        <is>
          <t>PE01052601</t>
        </is>
      </c>
      <c r="J1691" s="26" t="inlineStr">
        <is>
          <t>Multiple Issues</t>
        </is>
      </c>
      <c r="K1691" s="39" t="inlineStr">
        <is>
          <t>Holi</t>
        </is>
      </c>
      <c r="L1691" s="39" t="inlineStr">
        <is>
          <t>Maharashtra</t>
        </is>
      </c>
      <c r="M1691" s="46" t="inlineStr">
        <is>
          <t>PS</t>
        </is>
      </c>
      <c r="N1691" s="3" t="inlineStr">
        <is>
          <t>Cold Soldering</t>
        </is>
      </c>
      <c r="O1691" s="56" t="n">
        <v>575</v>
      </c>
      <c r="P1691" s="9" t="inlineStr">
        <is>
          <t>NSMI24070183601</t>
        </is>
      </c>
      <c r="Q1691" s="54">
        <f>MID(P1691,5,2)</f>
        <v/>
      </c>
      <c r="R1691" s="53">
        <f>MID(P1691,7,2)</f>
        <v/>
      </c>
      <c r="S1691" s="3" t="inlineStr">
        <is>
          <t>G2G</t>
        </is>
      </c>
      <c r="T1691" s="3" t="inlineStr">
        <is>
          <t>P4</t>
        </is>
      </c>
      <c r="U1691" s="19" t="inlineStr">
        <is>
          <t>P JB Cold Soldering</t>
        </is>
      </c>
      <c r="V1691" s="19" t="inlineStr">
        <is>
          <t>Soldering</t>
        </is>
      </c>
      <c r="W1691" s="3" t="inlineStr">
        <is>
          <t>Repair</t>
        </is>
      </c>
      <c r="X1691" s="18" t="n">
        <v>46163</v>
      </c>
      <c r="Y1691" s="73">
        <f>IF(X1691="","",X1691-A1691)</f>
        <v/>
      </c>
      <c r="Z1691" s="18" t="n">
        <v>46163</v>
      </c>
      <c r="AA1691" s="15" t="n"/>
      <c r="AB1691" s="15" t="n"/>
      <c r="AF1691">
        <f>IF(AND($F1691="Closed",$X1691&gt;=DATE(2026,5,1),$X1691&lt;=DATE(2026,5,31)),"Closed in May","Other")</f>
        <v/>
      </c>
    </row>
    <row r="1692">
      <c r="A1692" s="37" t="n">
        <v>46143</v>
      </c>
      <c r="B1692" s="3" t="n">
        <v>2026</v>
      </c>
      <c r="C1692" s="26" t="inlineStr">
        <is>
          <t>Yanara Power</t>
        </is>
      </c>
      <c r="D1692" s="3" t="inlineStr">
        <is>
          <t>Utility and C&amp;I</t>
        </is>
      </c>
      <c r="E1692" s="3" t="n"/>
      <c r="F1692" s="3" t="inlineStr">
        <is>
          <t>Closed</t>
        </is>
      </c>
      <c r="G1692" s="9" t="inlineStr">
        <is>
          <t xml:space="preserve">Ashish Jindal </t>
        </is>
      </c>
      <c r="H1692" s="26" t="n">
        <v>9983975581</v>
      </c>
      <c r="I1692" s="38" t="inlineStr">
        <is>
          <t>PE01052601</t>
        </is>
      </c>
      <c r="J1692" s="26" t="inlineStr">
        <is>
          <t>Multiple Issues</t>
        </is>
      </c>
      <c r="K1692" s="39" t="inlineStr">
        <is>
          <t>Holi</t>
        </is>
      </c>
      <c r="L1692" s="39" t="inlineStr">
        <is>
          <t>Maharashtra</t>
        </is>
      </c>
      <c r="M1692" s="46" t="inlineStr">
        <is>
          <t>NS</t>
        </is>
      </c>
      <c r="N1692" s="3" t="inlineStr">
        <is>
          <t>Cold Soldering</t>
        </is>
      </c>
      <c r="O1692" s="56" t="n">
        <v>575</v>
      </c>
      <c r="P1692" s="9" t="inlineStr">
        <is>
          <t>NSMI24070183163</t>
        </is>
      </c>
      <c r="Q1692" s="54">
        <f>MID(P1692,5,2)</f>
        <v/>
      </c>
      <c r="R1692" s="53">
        <f>MID(P1692,7,2)</f>
        <v/>
      </c>
      <c r="S1692" s="3" t="inlineStr">
        <is>
          <t>G2G</t>
        </is>
      </c>
      <c r="T1692" s="3" t="inlineStr">
        <is>
          <t>P4</t>
        </is>
      </c>
      <c r="U1692" s="3" t="inlineStr">
        <is>
          <t>N JB Cold Soldering</t>
        </is>
      </c>
      <c r="V1692" s="3" t="inlineStr">
        <is>
          <t>Soldering</t>
        </is>
      </c>
      <c r="W1692" s="3" t="inlineStr">
        <is>
          <t>Repair</t>
        </is>
      </c>
      <c r="X1692" s="18" t="n">
        <v>46163</v>
      </c>
      <c r="Y1692" s="73">
        <f>IF(X1692="","",X1692-A1692)</f>
        <v/>
      </c>
      <c r="Z1692" s="18" t="n">
        <v>46163</v>
      </c>
      <c r="AA1692" s="15" t="n"/>
      <c r="AB1692" s="15" t="n"/>
      <c r="AF1692">
        <f>IF(AND($F1692="Closed",$X1692&gt;=DATE(2026,5,1),$X1692&lt;=DATE(2026,5,31)),"Closed in May","Other")</f>
        <v/>
      </c>
    </row>
    <row r="1693">
      <c r="A1693" s="37" t="n">
        <v>46143</v>
      </c>
      <c r="B1693" s="3" t="n">
        <v>2026</v>
      </c>
      <c r="C1693" s="26" t="inlineStr">
        <is>
          <t>Yanara Power</t>
        </is>
      </c>
      <c r="D1693" s="3" t="inlineStr">
        <is>
          <t>Utility and C&amp;I</t>
        </is>
      </c>
      <c r="E1693" s="3" t="n"/>
      <c r="F1693" s="3" t="inlineStr">
        <is>
          <t>Closed</t>
        </is>
      </c>
      <c r="G1693" s="9" t="inlineStr">
        <is>
          <t xml:space="preserve">Ashish Jindal </t>
        </is>
      </c>
      <c r="H1693" s="26" t="n">
        <v>9983975581</v>
      </c>
      <c r="I1693" s="38" t="inlineStr">
        <is>
          <t>PE01052601</t>
        </is>
      </c>
      <c r="J1693" s="26" t="inlineStr">
        <is>
          <t>Multiple Issues</t>
        </is>
      </c>
      <c r="K1693" s="39" t="inlineStr">
        <is>
          <t>Holi</t>
        </is>
      </c>
      <c r="L1693" s="39" t="inlineStr">
        <is>
          <t>Maharashtra</t>
        </is>
      </c>
      <c r="M1693" s="46" t="inlineStr">
        <is>
          <t>PS</t>
        </is>
      </c>
      <c r="N1693" s="3" t="inlineStr">
        <is>
          <t>Cold Soldering</t>
        </is>
      </c>
      <c r="O1693" s="56" t="n">
        <v>575</v>
      </c>
      <c r="P1693" s="9" t="inlineStr">
        <is>
          <t>NSMI24070182744</t>
        </is>
      </c>
      <c r="Q1693" s="54">
        <f>MID(P1693,5,2)</f>
        <v/>
      </c>
      <c r="R1693" s="53">
        <f>MID(P1693,7,2)</f>
        <v/>
      </c>
      <c r="S1693" s="3" t="inlineStr">
        <is>
          <t>G2G</t>
        </is>
      </c>
      <c r="T1693" s="3" t="inlineStr">
        <is>
          <t>P4</t>
        </is>
      </c>
      <c r="U1693" s="19" t="inlineStr">
        <is>
          <t>P JB Cold Soldering</t>
        </is>
      </c>
      <c r="V1693" s="19" t="inlineStr">
        <is>
          <t>Soldering</t>
        </is>
      </c>
      <c r="W1693" s="3" t="inlineStr">
        <is>
          <t>Repair</t>
        </is>
      </c>
      <c r="X1693" s="18" t="n">
        <v>46163</v>
      </c>
      <c r="Y1693" s="73">
        <f>IF(X1693="","",X1693-A1693)</f>
        <v/>
      </c>
      <c r="Z1693" s="18" t="n">
        <v>46163</v>
      </c>
      <c r="AA1693" s="15" t="n"/>
      <c r="AB1693" s="15" t="n"/>
      <c r="AF1693">
        <f>IF(AND($F1693="Closed",$X1693&gt;=DATE(2026,5,1),$X1693&lt;=DATE(2026,5,31)),"Closed in May","Other")</f>
        <v/>
      </c>
    </row>
    <row r="1694">
      <c r="A1694" s="37" t="n">
        <v>46143</v>
      </c>
      <c r="B1694" s="3" t="n">
        <v>2026</v>
      </c>
      <c r="C1694" s="26" t="inlineStr">
        <is>
          <t>Yanara Power</t>
        </is>
      </c>
      <c r="D1694" s="3" t="inlineStr">
        <is>
          <t>Utility and C&amp;I</t>
        </is>
      </c>
      <c r="E1694" s="3" t="n"/>
      <c r="F1694" s="3" t="inlineStr">
        <is>
          <t>Closed</t>
        </is>
      </c>
      <c r="G1694" s="9" t="inlineStr">
        <is>
          <t xml:space="preserve">Ashish Jindal </t>
        </is>
      </c>
      <c r="H1694" s="26" t="n">
        <v>9983975581</v>
      </c>
      <c r="I1694" s="38" t="inlineStr">
        <is>
          <t>PE01052601</t>
        </is>
      </c>
      <c r="J1694" s="26" t="inlineStr">
        <is>
          <t>Multiple Issues</t>
        </is>
      </c>
      <c r="K1694" s="39" t="inlineStr">
        <is>
          <t>Holi</t>
        </is>
      </c>
      <c r="L1694" s="39" t="inlineStr">
        <is>
          <t>Maharashtra</t>
        </is>
      </c>
      <c r="M1694" s="46" t="inlineStr">
        <is>
          <t>PS</t>
        </is>
      </c>
      <c r="N1694" s="3" t="inlineStr">
        <is>
          <t>Cold Soldering</t>
        </is>
      </c>
      <c r="O1694" s="56" t="n">
        <v>575</v>
      </c>
      <c r="P1694" s="9" t="inlineStr">
        <is>
          <t>NSMI24070182785</t>
        </is>
      </c>
      <c r="Q1694" s="54">
        <f>MID(P1694,5,2)</f>
        <v/>
      </c>
      <c r="R1694" s="53">
        <f>MID(P1694,7,2)</f>
        <v/>
      </c>
      <c r="S1694" s="3" t="inlineStr">
        <is>
          <t>G2G</t>
        </is>
      </c>
      <c r="T1694" s="3" t="inlineStr">
        <is>
          <t>P4</t>
        </is>
      </c>
      <c r="U1694" s="19" t="inlineStr">
        <is>
          <t>P JB Cold Soldering</t>
        </is>
      </c>
      <c r="V1694" s="19" t="inlineStr">
        <is>
          <t>Soldering</t>
        </is>
      </c>
      <c r="W1694" s="3" t="inlineStr">
        <is>
          <t>Repair</t>
        </is>
      </c>
      <c r="X1694" s="18" t="n">
        <v>46163</v>
      </c>
      <c r="Y1694" s="73">
        <f>IF(X1694="","",X1694-A1694)</f>
        <v/>
      </c>
      <c r="Z1694" s="18" t="n">
        <v>46163</v>
      </c>
      <c r="AA1694" s="15" t="n"/>
      <c r="AB1694" s="15" t="n"/>
      <c r="AF1694">
        <f>IF(AND($F1694="Closed",$X1694&gt;=DATE(2026,5,1),$X1694&lt;=DATE(2026,5,31)),"Closed in May","Other")</f>
        <v/>
      </c>
    </row>
    <row r="1695">
      <c r="A1695" s="37" t="n">
        <v>46143</v>
      </c>
      <c r="B1695" s="3" t="n">
        <v>2026</v>
      </c>
      <c r="C1695" s="26" t="inlineStr">
        <is>
          <t>Yanara Power</t>
        </is>
      </c>
      <c r="D1695" s="3" t="inlineStr">
        <is>
          <t>Utility and C&amp;I</t>
        </is>
      </c>
      <c r="E1695" s="3" t="n"/>
      <c r="F1695" s="3" t="inlineStr">
        <is>
          <t>Closed</t>
        </is>
      </c>
      <c r="G1695" s="9" t="inlineStr">
        <is>
          <t xml:space="preserve">Ashish Jindal </t>
        </is>
      </c>
      <c r="H1695" s="26" t="n">
        <v>9983975581</v>
      </c>
      <c r="I1695" s="38" t="inlineStr">
        <is>
          <t>PE01052601</t>
        </is>
      </c>
      <c r="J1695" s="26" t="inlineStr">
        <is>
          <t>Multiple Issues</t>
        </is>
      </c>
      <c r="K1695" s="39" t="inlineStr">
        <is>
          <t>Holi</t>
        </is>
      </c>
      <c r="L1695" s="39" t="inlineStr">
        <is>
          <t>Maharashtra</t>
        </is>
      </c>
      <c r="M1695" s="46" t="inlineStr">
        <is>
          <t>PS</t>
        </is>
      </c>
      <c r="N1695" s="3" t="inlineStr">
        <is>
          <t>Cold Soldering</t>
        </is>
      </c>
      <c r="O1695" s="56" t="n">
        <v>575</v>
      </c>
      <c r="P1695" s="9" t="inlineStr">
        <is>
          <t>NSMI24070181793</t>
        </is>
      </c>
      <c r="Q1695" s="54">
        <f>MID(P1695,5,2)</f>
        <v/>
      </c>
      <c r="R1695" s="53">
        <f>MID(P1695,7,2)</f>
        <v/>
      </c>
      <c r="S1695" s="3" t="inlineStr">
        <is>
          <t>G2G</t>
        </is>
      </c>
      <c r="T1695" s="3" t="inlineStr">
        <is>
          <t>P4</t>
        </is>
      </c>
      <c r="U1695" s="19" t="inlineStr">
        <is>
          <t>P JB Cold Soldering</t>
        </is>
      </c>
      <c r="V1695" s="19" t="inlineStr">
        <is>
          <t>Soldering</t>
        </is>
      </c>
      <c r="W1695" s="3" t="inlineStr">
        <is>
          <t>Repair</t>
        </is>
      </c>
      <c r="X1695" s="18" t="n">
        <v>46163</v>
      </c>
      <c r="Y1695" s="73">
        <f>IF(X1695="","",X1695-A1695)</f>
        <v/>
      </c>
      <c r="Z1695" s="18" t="n">
        <v>46163</v>
      </c>
      <c r="AA1695" s="15" t="n"/>
      <c r="AB1695" s="15" t="n"/>
      <c r="AF1695">
        <f>IF(AND($F1695="Closed",$X1695&gt;=DATE(2026,5,1),$X1695&lt;=DATE(2026,5,31)),"Closed in May","Other")</f>
        <v/>
      </c>
    </row>
    <row r="1696">
      <c r="A1696" s="37" t="n">
        <v>46143</v>
      </c>
      <c r="B1696" s="3" t="n">
        <v>2026</v>
      </c>
      <c r="C1696" s="26" t="inlineStr">
        <is>
          <t>Yanara Power</t>
        </is>
      </c>
      <c r="D1696" s="3" t="inlineStr">
        <is>
          <t>Utility and C&amp;I</t>
        </is>
      </c>
      <c r="E1696" s="3" t="n"/>
      <c r="F1696" s="3" t="inlineStr">
        <is>
          <t>Closed</t>
        </is>
      </c>
      <c r="G1696" s="9" t="inlineStr">
        <is>
          <t xml:space="preserve">Ashish Jindal </t>
        </is>
      </c>
      <c r="H1696" s="26" t="n">
        <v>9983975581</v>
      </c>
      <c r="I1696" s="38" t="inlineStr">
        <is>
          <t>PE01052601</t>
        </is>
      </c>
      <c r="J1696" s="26" t="inlineStr">
        <is>
          <t>Multiple Issues</t>
        </is>
      </c>
      <c r="K1696" s="39" t="inlineStr">
        <is>
          <t>Holi</t>
        </is>
      </c>
      <c r="L1696" s="39" t="inlineStr">
        <is>
          <t>Maharashtra</t>
        </is>
      </c>
      <c r="M1696" s="46" t="inlineStr">
        <is>
          <t>PS</t>
        </is>
      </c>
      <c r="N1696" s="3" t="inlineStr">
        <is>
          <t>Cold Soldering</t>
        </is>
      </c>
      <c r="O1696" s="56" t="n">
        <v>575</v>
      </c>
      <c r="P1696" s="9" t="inlineStr">
        <is>
          <t>NSMI24070178819</t>
        </is>
      </c>
      <c r="Q1696" s="54">
        <f>MID(P1696,5,2)</f>
        <v/>
      </c>
      <c r="R1696" s="53">
        <f>MID(P1696,7,2)</f>
        <v/>
      </c>
      <c r="S1696" s="3" t="inlineStr">
        <is>
          <t>G2G</t>
        </is>
      </c>
      <c r="T1696" s="3" t="inlineStr">
        <is>
          <t>P4</t>
        </is>
      </c>
      <c r="U1696" s="19" t="inlineStr">
        <is>
          <t>P JB Cold Soldering</t>
        </is>
      </c>
      <c r="V1696" s="19" t="inlineStr">
        <is>
          <t>Soldering</t>
        </is>
      </c>
      <c r="W1696" s="3" t="inlineStr">
        <is>
          <t>Repair</t>
        </is>
      </c>
      <c r="X1696" s="18" t="n">
        <v>46163</v>
      </c>
      <c r="Y1696" s="73">
        <f>IF(X1696="","",X1696-A1696)</f>
        <v/>
      </c>
      <c r="Z1696" s="18" t="n">
        <v>46163</v>
      </c>
      <c r="AA1696" s="15" t="n"/>
      <c r="AB1696" s="15" t="n"/>
      <c r="AF1696">
        <f>IF(AND($F1696="Closed",$X1696&gt;=DATE(2026,5,1),$X1696&lt;=DATE(2026,5,31)),"Closed in May","Other")</f>
        <v/>
      </c>
    </row>
    <row r="1697">
      <c r="A1697" s="37" t="n">
        <v>46143</v>
      </c>
      <c r="B1697" s="3" t="n">
        <v>2026</v>
      </c>
      <c r="C1697" s="26" t="inlineStr">
        <is>
          <t>Yanara Power</t>
        </is>
      </c>
      <c r="D1697" s="3" t="inlineStr">
        <is>
          <t>Utility and C&amp;I</t>
        </is>
      </c>
      <c r="E1697" s="3" t="n"/>
      <c r="F1697" s="3" t="inlineStr">
        <is>
          <t>Closed</t>
        </is>
      </c>
      <c r="G1697" s="9" t="inlineStr">
        <is>
          <t xml:space="preserve">Ashish Jindal </t>
        </is>
      </c>
      <c r="H1697" s="26" t="n">
        <v>9983975581</v>
      </c>
      <c r="I1697" s="38" t="inlineStr">
        <is>
          <t>PE01052601</t>
        </is>
      </c>
      <c r="J1697" s="26" t="inlineStr">
        <is>
          <t>Multiple Issues</t>
        </is>
      </c>
      <c r="K1697" s="39" t="inlineStr">
        <is>
          <t>Holi</t>
        </is>
      </c>
      <c r="L1697" s="39" t="inlineStr">
        <is>
          <t>Maharashtra</t>
        </is>
      </c>
      <c r="M1697" s="46" t="inlineStr">
        <is>
          <t>PS</t>
        </is>
      </c>
      <c r="N1697" s="3" t="inlineStr">
        <is>
          <t>Cold Soldering</t>
        </is>
      </c>
      <c r="O1697" s="56" t="n">
        <v>575</v>
      </c>
      <c r="P1697" s="9" t="inlineStr">
        <is>
          <t>NSMI24070179195</t>
        </is>
      </c>
      <c r="Q1697" s="54">
        <f>MID(P1697,5,2)</f>
        <v/>
      </c>
      <c r="R1697" s="53">
        <f>MID(P1697,7,2)</f>
        <v/>
      </c>
      <c r="S1697" s="3" t="inlineStr">
        <is>
          <t>G2G</t>
        </is>
      </c>
      <c r="T1697" s="3" t="inlineStr">
        <is>
          <t>P4</t>
        </is>
      </c>
      <c r="U1697" s="19" t="inlineStr">
        <is>
          <t>P JB Cold Soldering</t>
        </is>
      </c>
      <c r="V1697" s="19" t="inlineStr">
        <is>
          <t>Soldering</t>
        </is>
      </c>
      <c r="W1697" s="3" t="inlineStr">
        <is>
          <t>Repair</t>
        </is>
      </c>
      <c r="X1697" s="18" t="n">
        <v>46163</v>
      </c>
      <c r="Y1697" s="73">
        <f>IF(X1697="","",X1697-A1697)</f>
        <v/>
      </c>
      <c r="Z1697" s="18" t="n">
        <v>46163</v>
      </c>
      <c r="AA1697" s="15" t="n"/>
      <c r="AB1697" s="15" t="n"/>
      <c r="AF1697">
        <f>IF(AND($F1697="Closed",$X1697&gt;=DATE(2026,5,1),$X1697&lt;=DATE(2026,5,31)),"Closed in May","Other")</f>
        <v/>
      </c>
    </row>
    <row r="1698">
      <c r="A1698" s="37" t="n">
        <v>46143</v>
      </c>
      <c r="B1698" s="3" t="n">
        <v>2026</v>
      </c>
      <c r="C1698" s="26" t="inlineStr">
        <is>
          <t>Yanara Power</t>
        </is>
      </c>
      <c r="D1698" s="3" t="inlineStr">
        <is>
          <t>Utility and C&amp;I</t>
        </is>
      </c>
      <c r="E1698" s="3" t="n"/>
      <c r="F1698" s="3" t="inlineStr">
        <is>
          <t>Closed</t>
        </is>
      </c>
      <c r="G1698" s="9" t="inlineStr">
        <is>
          <t xml:space="preserve">Ashish Jindal </t>
        </is>
      </c>
      <c r="H1698" s="26" t="n">
        <v>9983975581</v>
      </c>
      <c r="I1698" s="38" t="inlineStr">
        <is>
          <t>PE01052601</t>
        </is>
      </c>
      <c r="J1698" s="26" t="inlineStr">
        <is>
          <t>Multiple Issues</t>
        </is>
      </c>
      <c r="K1698" s="39" t="inlineStr">
        <is>
          <t>Holi</t>
        </is>
      </c>
      <c r="L1698" s="39" t="inlineStr">
        <is>
          <t>Maharashtra</t>
        </is>
      </c>
      <c r="M1698" s="46" t="inlineStr">
        <is>
          <t>PS</t>
        </is>
      </c>
      <c r="N1698" s="3" t="inlineStr">
        <is>
          <t>Cold Soldering</t>
        </is>
      </c>
      <c r="O1698" s="56" t="n">
        <v>575</v>
      </c>
      <c r="P1698" s="9" t="inlineStr">
        <is>
          <t>NSMI24070216969</t>
        </is>
      </c>
      <c r="Q1698" s="54">
        <f>MID(P1698,5,2)</f>
        <v/>
      </c>
      <c r="R1698" s="53">
        <f>MID(P1698,7,2)</f>
        <v/>
      </c>
      <c r="S1698" s="3" t="inlineStr">
        <is>
          <t>G2G</t>
        </is>
      </c>
      <c r="T1698" s="3" t="inlineStr">
        <is>
          <t>P4</t>
        </is>
      </c>
      <c r="U1698" s="19" t="inlineStr">
        <is>
          <t>P JB Cold Soldering</t>
        </is>
      </c>
      <c r="V1698" s="19" t="inlineStr">
        <is>
          <t>Soldering</t>
        </is>
      </c>
      <c r="W1698" s="3" t="inlineStr">
        <is>
          <t>Repair</t>
        </is>
      </c>
      <c r="X1698" s="18" t="n">
        <v>46163</v>
      </c>
      <c r="Y1698" s="73">
        <f>IF(X1698="","",X1698-A1698)</f>
        <v/>
      </c>
      <c r="Z1698" s="18" t="n">
        <v>46163</v>
      </c>
      <c r="AA1698" s="15" t="n"/>
      <c r="AB1698" s="15" t="n"/>
      <c r="AF1698">
        <f>IF(AND($F1698="Closed",$X1698&gt;=DATE(2026,5,1),$X1698&lt;=DATE(2026,5,31)),"Closed in May","Other")</f>
        <v/>
      </c>
    </row>
    <row r="1699">
      <c r="A1699" s="37" t="n">
        <v>46143</v>
      </c>
      <c r="B1699" s="3" t="n">
        <v>2026</v>
      </c>
      <c r="C1699" s="26" t="inlineStr">
        <is>
          <t>Yanara Power</t>
        </is>
      </c>
      <c r="D1699" s="3" t="inlineStr">
        <is>
          <t>Utility and C&amp;I</t>
        </is>
      </c>
      <c r="E1699" s="3" t="n"/>
      <c r="F1699" s="3" t="inlineStr">
        <is>
          <t>Closed</t>
        </is>
      </c>
      <c r="G1699" s="9" t="inlineStr">
        <is>
          <t xml:space="preserve">Ashish Jindal </t>
        </is>
      </c>
      <c r="H1699" s="26" t="n">
        <v>9983975581</v>
      </c>
      <c r="I1699" s="38" t="inlineStr">
        <is>
          <t>PE01052601</t>
        </is>
      </c>
      <c r="J1699" s="26" t="inlineStr">
        <is>
          <t>Multiple Issues</t>
        </is>
      </c>
      <c r="K1699" s="39" t="inlineStr">
        <is>
          <t>Holi</t>
        </is>
      </c>
      <c r="L1699" s="39" t="inlineStr">
        <is>
          <t>Maharashtra</t>
        </is>
      </c>
      <c r="M1699" s="46" t="inlineStr">
        <is>
          <t>PS</t>
        </is>
      </c>
      <c r="N1699" s="3" t="inlineStr">
        <is>
          <t>Cold Soldering</t>
        </is>
      </c>
      <c r="O1699" s="56" t="n">
        <v>575</v>
      </c>
      <c r="P1699" s="9" t="inlineStr">
        <is>
          <t>NSMI24070216901</t>
        </is>
      </c>
      <c r="Q1699" s="54">
        <f>MID(P1699,5,2)</f>
        <v/>
      </c>
      <c r="R1699" s="53">
        <f>MID(P1699,7,2)</f>
        <v/>
      </c>
      <c r="S1699" s="3" t="inlineStr">
        <is>
          <t>G2G</t>
        </is>
      </c>
      <c r="T1699" s="3" t="inlineStr">
        <is>
          <t>P4</t>
        </is>
      </c>
      <c r="U1699" s="19" t="inlineStr">
        <is>
          <t>P JB Cold Soldering</t>
        </is>
      </c>
      <c r="V1699" s="19" t="inlineStr">
        <is>
          <t>Soldering</t>
        </is>
      </c>
      <c r="W1699" s="3" t="inlineStr">
        <is>
          <t>Repair</t>
        </is>
      </c>
      <c r="X1699" s="18" t="n">
        <v>46163</v>
      </c>
      <c r="Y1699" s="73">
        <f>IF(X1699="","",X1699-A1699)</f>
        <v/>
      </c>
      <c r="Z1699" s="18" t="n">
        <v>46163</v>
      </c>
      <c r="AA1699" s="15" t="n"/>
      <c r="AB1699" s="15" t="n"/>
      <c r="AF1699">
        <f>IF(AND($F1699="Closed",$X1699&gt;=DATE(2026,5,1),$X1699&lt;=DATE(2026,5,31)),"Closed in May","Other")</f>
        <v/>
      </c>
    </row>
    <row r="1700">
      <c r="A1700" s="37" t="n">
        <v>46143</v>
      </c>
      <c r="B1700" s="3" t="n">
        <v>2026</v>
      </c>
      <c r="C1700" s="26" t="inlineStr">
        <is>
          <t>Yanara Power</t>
        </is>
      </c>
      <c r="D1700" s="3" t="inlineStr">
        <is>
          <t>Utility and C&amp;I</t>
        </is>
      </c>
      <c r="E1700" s="3" t="n"/>
      <c r="F1700" s="3" t="inlineStr">
        <is>
          <t>Closed</t>
        </is>
      </c>
      <c r="G1700" s="9" t="inlineStr">
        <is>
          <t xml:space="preserve">Ashish Jindal </t>
        </is>
      </c>
      <c r="H1700" s="26" t="n">
        <v>9983975581</v>
      </c>
      <c r="I1700" s="38" t="inlineStr">
        <is>
          <t>PE01052601</t>
        </is>
      </c>
      <c r="J1700" s="26" t="inlineStr">
        <is>
          <t>Multiple Issues</t>
        </is>
      </c>
      <c r="K1700" s="39" t="inlineStr">
        <is>
          <t>Holi</t>
        </is>
      </c>
      <c r="L1700" s="39" t="inlineStr">
        <is>
          <t>Maharashtra</t>
        </is>
      </c>
      <c r="M1700" s="46" t="inlineStr">
        <is>
          <t>PNS</t>
        </is>
      </c>
      <c r="N1700" s="3" t="inlineStr">
        <is>
          <t>Cold Soldering</t>
        </is>
      </c>
      <c r="O1700" s="56" t="n">
        <v>575</v>
      </c>
      <c r="P1700" s="9" t="inlineStr">
        <is>
          <t>NSMI24070216924</t>
        </is>
      </c>
      <c r="Q1700" s="54">
        <f>MID(P1700,5,2)</f>
        <v/>
      </c>
      <c r="R1700" s="53">
        <f>MID(P1700,7,2)</f>
        <v/>
      </c>
      <c r="S1700" s="3" t="inlineStr">
        <is>
          <t>G2G</t>
        </is>
      </c>
      <c r="T1700" s="3" t="inlineStr">
        <is>
          <t>P4</t>
        </is>
      </c>
      <c r="U1700" s="3" t="inlineStr">
        <is>
          <t>P &amp; N JB Cold Soldering</t>
        </is>
      </c>
      <c r="V1700" s="3" t="inlineStr">
        <is>
          <t>Soldering</t>
        </is>
      </c>
      <c r="W1700" s="3" t="inlineStr">
        <is>
          <t>Repair</t>
        </is>
      </c>
      <c r="X1700" s="18" t="n">
        <v>46163</v>
      </c>
      <c r="Y1700" s="73">
        <f>IF(X1700="","",X1700-A1700)</f>
        <v/>
      </c>
      <c r="Z1700" s="18" t="n">
        <v>46163</v>
      </c>
      <c r="AA1700" s="15" t="n"/>
      <c r="AB1700" s="15" t="n"/>
      <c r="AF1700">
        <f>IF(AND($F1700="Closed",$X1700&gt;=DATE(2026,5,1),$X1700&lt;=DATE(2026,5,31)),"Closed in May","Other")</f>
        <v/>
      </c>
    </row>
    <row r="1701">
      <c r="A1701" s="37" t="n">
        <v>46143</v>
      </c>
      <c r="B1701" s="3" t="n">
        <v>2026</v>
      </c>
      <c r="C1701" s="26" t="inlineStr">
        <is>
          <t>Yanara Power</t>
        </is>
      </c>
      <c r="D1701" s="3" t="inlineStr">
        <is>
          <t>Utility and C&amp;I</t>
        </is>
      </c>
      <c r="E1701" s="3" t="n"/>
      <c r="F1701" s="3" t="inlineStr">
        <is>
          <t>Closed</t>
        </is>
      </c>
      <c r="G1701" s="9" t="inlineStr">
        <is>
          <t xml:space="preserve">Ashish Jindal </t>
        </is>
      </c>
      <c r="H1701" s="26" t="n">
        <v>9983975581</v>
      </c>
      <c r="I1701" s="38" t="inlineStr">
        <is>
          <t>PE01052601</t>
        </is>
      </c>
      <c r="J1701" s="26" t="inlineStr">
        <is>
          <t>Multiple Issues</t>
        </is>
      </c>
      <c r="K1701" s="39" t="inlineStr">
        <is>
          <t>Holi</t>
        </is>
      </c>
      <c r="L1701" s="39" t="inlineStr">
        <is>
          <t>Maharashtra</t>
        </is>
      </c>
      <c r="M1701" s="46" t="inlineStr">
        <is>
          <t>PS</t>
        </is>
      </c>
      <c r="N1701" s="3" t="inlineStr">
        <is>
          <t>Cold Soldering</t>
        </is>
      </c>
      <c r="O1701" s="56" t="n">
        <v>575</v>
      </c>
      <c r="P1701" s="9" t="inlineStr">
        <is>
          <t>NSMI24070216895</t>
        </is>
      </c>
      <c r="Q1701" s="54">
        <f>MID(P1701,5,2)</f>
        <v/>
      </c>
      <c r="R1701" s="53">
        <f>MID(P1701,7,2)</f>
        <v/>
      </c>
      <c r="S1701" s="3" t="inlineStr">
        <is>
          <t>G2G</t>
        </is>
      </c>
      <c r="T1701" s="3" t="inlineStr">
        <is>
          <t>P4</t>
        </is>
      </c>
      <c r="U1701" s="19" t="inlineStr">
        <is>
          <t>P JB Cold Soldering</t>
        </is>
      </c>
      <c r="V1701" s="19" t="inlineStr">
        <is>
          <t>Soldering</t>
        </is>
      </c>
      <c r="W1701" s="3" t="inlineStr">
        <is>
          <t>Repair</t>
        </is>
      </c>
      <c r="X1701" s="18" t="n">
        <v>46163</v>
      </c>
      <c r="Y1701" s="73">
        <f>IF(X1701="","",X1701-A1701)</f>
        <v/>
      </c>
      <c r="Z1701" s="18" t="n">
        <v>46163</v>
      </c>
      <c r="AA1701" s="15" t="n"/>
      <c r="AB1701" s="15" t="n"/>
      <c r="AF1701">
        <f>IF(AND($F1701="Closed",$X1701&gt;=DATE(2026,5,1),$X1701&lt;=DATE(2026,5,31)),"Closed in May","Other")</f>
        <v/>
      </c>
    </row>
    <row r="1702">
      <c r="A1702" s="37" t="n">
        <v>46143</v>
      </c>
      <c r="B1702" s="3" t="n">
        <v>2026</v>
      </c>
      <c r="C1702" s="26" t="inlineStr">
        <is>
          <t>Yanara Power</t>
        </is>
      </c>
      <c r="D1702" s="3" t="inlineStr">
        <is>
          <t>Utility and C&amp;I</t>
        </is>
      </c>
      <c r="E1702" s="3" t="n"/>
      <c r="F1702" s="3" t="inlineStr">
        <is>
          <t>Closed</t>
        </is>
      </c>
      <c r="G1702" s="9" t="inlineStr">
        <is>
          <t xml:space="preserve">Ashish Jindal </t>
        </is>
      </c>
      <c r="H1702" s="26" t="n">
        <v>9983975581</v>
      </c>
      <c r="I1702" s="38" t="inlineStr">
        <is>
          <t>PE01052601</t>
        </is>
      </c>
      <c r="J1702" s="26" t="inlineStr">
        <is>
          <t>Multiple Issues</t>
        </is>
      </c>
      <c r="K1702" s="39" t="inlineStr">
        <is>
          <t>Holi</t>
        </is>
      </c>
      <c r="L1702" s="39" t="inlineStr">
        <is>
          <t>Maharashtra</t>
        </is>
      </c>
      <c r="M1702" s="46" t="inlineStr">
        <is>
          <t>PNS</t>
        </is>
      </c>
      <c r="N1702" s="3" t="inlineStr">
        <is>
          <t>Cold Soldering</t>
        </is>
      </c>
      <c r="O1702" s="56" t="n">
        <v>575</v>
      </c>
      <c r="P1702" s="9" t="inlineStr">
        <is>
          <t>NSMI24070216899</t>
        </is>
      </c>
      <c r="Q1702" s="54">
        <f>MID(P1702,5,2)</f>
        <v/>
      </c>
      <c r="R1702" s="53">
        <f>MID(P1702,7,2)</f>
        <v/>
      </c>
      <c r="S1702" s="3" t="inlineStr">
        <is>
          <t>G2G</t>
        </is>
      </c>
      <c r="T1702" s="3" t="inlineStr">
        <is>
          <t>P4</t>
        </is>
      </c>
      <c r="U1702" s="3" t="inlineStr">
        <is>
          <t>P &amp; N JB Cold Soldering</t>
        </is>
      </c>
      <c r="V1702" s="3" t="inlineStr">
        <is>
          <t>Soldering</t>
        </is>
      </c>
      <c r="W1702" s="3" t="inlineStr">
        <is>
          <t>Repair</t>
        </is>
      </c>
      <c r="X1702" s="18" t="n">
        <v>46163</v>
      </c>
      <c r="Y1702" s="73">
        <f>IF(X1702="","",X1702-A1702)</f>
        <v/>
      </c>
      <c r="Z1702" s="18" t="n">
        <v>46163</v>
      </c>
      <c r="AA1702" s="15" t="n"/>
      <c r="AB1702" s="15" t="n"/>
      <c r="AF1702">
        <f>IF(AND($F1702="Closed",$X1702&gt;=DATE(2026,5,1),$X1702&lt;=DATE(2026,5,31)),"Closed in May","Other")</f>
        <v/>
      </c>
    </row>
    <row r="1703">
      <c r="A1703" s="37" t="n">
        <v>46143</v>
      </c>
      <c r="B1703" s="3" t="n">
        <v>2026</v>
      </c>
      <c r="C1703" s="26" t="inlineStr">
        <is>
          <t>Yanara Power</t>
        </is>
      </c>
      <c r="D1703" s="3" t="inlineStr">
        <is>
          <t>Utility and C&amp;I</t>
        </is>
      </c>
      <c r="E1703" s="3" t="n"/>
      <c r="F1703" s="3" t="inlineStr">
        <is>
          <t>Closed</t>
        </is>
      </c>
      <c r="G1703" s="9" t="inlineStr">
        <is>
          <t xml:space="preserve">Ashish Jindal </t>
        </is>
      </c>
      <c r="H1703" s="26" t="n">
        <v>9983975581</v>
      </c>
      <c r="I1703" s="38" t="inlineStr">
        <is>
          <t>PE01052601</t>
        </is>
      </c>
      <c r="J1703" s="26" t="inlineStr">
        <is>
          <t>Multiple Issues</t>
        </is>
      </c>
      <c r="K1703" s="39" t="inlineStr">
        <is>
          <t>Holi</t>
        </is>
      </c>
      <c r="L1703" s="39" t="inlineStr">
        <is>
          <t>Maharashtra</t>
        </is>
      </c>
      <c r="M1703" s="46" t="inlineStr">
        <is>
          <t>PS</t>
        </is>
      </c>
      <c r="N1703" s="3" t="inlineStr">
        <is>
          <t>Cold Soldering</t>
        </is>
      </c>
      <c r="O1703" s="56" t="n">
        <v>575</v>
      </c>
      <c r="P1703" s="9" t="inlineStr">
        <is>
          <t>NSMI24070216782</t>
        </is>
      </c>
      <c r="Q1703" s="54">
        <f>MID(P1703,5,2)</f>
        <v/>
      </c>
      <c r="R1703" s="53">
        <f>MID(P1703,7,2)</f>
        <v/>
      </c>
      <c r="S1703" s="3" t="inlineStr">
        <is>
          <t>G2G</t>
        </is>
      </c>
      <c r="T1703" s="3" t="inlineStr">
        <is>
          <t>P4</t>
        </is>
      </c>
      <c r="U1703" s="19" t="inlineStr">
        <is>
          <t>P JB Cold Soldering</t>
        </is>
      </c>
      <c r="V1703" s="19" t="inlineStr">
        <is>
          <t>Soldering</t>
        </is>
      </c>
      <c r="W1703" s="3" t="inlineStr">
        <is>
          <t>Repair</t>
        </is>
      </c>
      <c r="X1703" s="18" t="n">
        <v>46163</v>
      </c>
      <c r="Y1703" s="73">
        <f>IF(X1703="","",X1703-A1703)</f>
        <v/>
      </c>
      <c r="Z1703" s="18" t="n">
        <v>46163</v>
      </c>
      <c r="AA1703" s="15" t="n"/>
      <c r="AB1703" s="15" t="n"/>
      <c r="AF1703">
        <f>IF(AND($F1703="Closed",$X1703&gt;=DATE(2026,5,1),$X1703&lt;=DATE(2026,5,31)),"Closed in May","Other")</f>
        <v/>
      </c>
    </row>
    <row r="1704">
      <c r="A1704" s="37" t="n">
        <v>46143</v>
      </c>
      <c r="B1704" s="3" t="n">
        <v>2026</v>
      </c>
      <c r="C1704" s="26" t="inlineStr">
        <is>
          <t>Yanara Power</t>
        </is>
      </c>
      <c r="D1704" s="3" t="inlineStr">
        <is>
          <t>Utility and C&amp;I</t>
        </is>
      </c>
      <c r="E1704" s="3" t="n"/>
      <c r="F1704" s="3" t="inlineStr">
        <is>
          <t>Closed</t>
        </is>
      </c>
      <c r="G1704" s="9" t="inlineStr">
        <is>
          <t xml:space="preserve">Ashish Jindal </t>
        </is>
      </c>
      <c r="H1704" s="26" t="n">
        <v>9983975581</v>
      </c>
      <c r="I1704" s="38" t="inlineStr">
        <is>
          <t>PE01052601</t>
        </is>
      </c>
      <c r="J1704" s="26" t="inlineStr">
        <is>
          <t>Multiple Issues</t>
        </is>
      </c>
      <c r="K1704" s="39" t="inlineStr">
        <is>
          <t>Holi</t>
        </is>
      </c>
      <c r="L1704" s="39" t="inlineStr">
        <is>
          <t>Maharashtra</t>
        </is>
      </c>
      <c r="M1704" s="46" t="inlineStr">
        <is>
          <t>PS</t>
        </is>
      </c>
      <c r="N1704" s="3" t="inlineStr">
        <is>
          <t>Cold Soldering</t>
        </is>
      </c>
      <c r="O1704" s="56" t="n">
        <v>575</v>
      </c>
      <c r="P1704" s="9" t="inlineStr">
        <is>
          <t>NSMI24070181965</t>
        </is>
      </c>
      <c r="Q1704" s="54">
        <f>MID(P1704,5,2)</f>
        <v/>
      </c>
      <c r="R1704" s="53">
        <f>MID(P1704,7,2)</f>
        <v/>
      </c>
      <c r="S1704" s="3" t="inlineStr">
        <is>
          <t>G2G</t>
        </is>
      </c>
      <c r="T1704" s="3" t="inlineStr">
        <is>
          <t>P4</t>
        </is>
      </c>
      <c r="U1704" s="19" t="inlineStr">
        <is>
          <t>P JB Cold Soldering</t>
        </is>
      </c>
      <c r="V1704" s="19" t="inlineStr">
        <is>
          <t>Soldering</t>
        </is>
      </c>
      <c r="W1704" s="3" t="inlineStr">
        <is>
          <t>Repair</t>
        </is>
      </c>
      <c r="X1704" s="18" t="n">
        <v>46163</v>
      </c>
      <c r="Y1704" s="73">
        <f>IF(X1704="","",X1704-A1704)</f>
        <v/>
      </c>
      <c r="Z1704" s="18" t="n">
        <v>46163</v>
      </c>
      <c r="AA1704" s="15" t="n"/>
      <c r="AB1704" s="15" t="n"/>
      <c r="AF1704">
        <f>IF(AND($F1704="Closed",$X1704&gt;=DATE(2026,5,1),$X1704&lt;=DATE(2026,5,31)),"Closed in May","Other")</f>
        <v/>
      </c>
    </row>
    <row r="1705">
      <c r="A1705" s="37" t="n">
        <v>46143</v>
      </c>
      <c r="B1705" s="3" t="n">
        <v>2026</v>
      </c>
      <c r="C1705" s="26" t="inlineStr">
        <is>
          <t>Yanara Power</t>
        </is>
      </c>
      <c r="D1705" s="3" t="inlineStr">
        <is>
          <t>Utility and C&amp;I</t>
        </is>
      </c>
      <c r="E1705" s="3" t="n"/>
      <c r="F1705" s="3" t="inlineStr">
        <is>
          <t>Closed</t>
        </is>
      </c>
      <c r="G1705" s="9" t="inlineStr">
        <is>
          <t xml:space="preserve">Ashish Jindal </t>
        </is>
      </c>
      <c r="H1705" s="26" t="n">
        <v>9983975581</v>
      </c>
      <c r="I1705" s="38" t="inlineStr">
        <is>
          <t>PE01052601</t>
        </is>
      </c>
      <c r="J1705" s="26" t="inlineStr">
        <is>
          <t>Multiple Issues</t>
        </is>
      </c>
      <c r="K1705" s="39" t="inlineStr">
        <is>
          <t>Holi</t>
        </is>
      </c>
      <c r="L1705" s="39" t="inlineStr">
        <is>
          <t>Maharashtra</t>
        </is>
      </c>
      <c r="M1705" s="46" t="inlineStr">
        <is>
          <t>PS</t>
        </is>
      </c>
      <c r="N1705" s="3" t="inlineStr">
        <is>
          <t>Cold Soldering</t>
        </is>
      </c>
      <c r="O1705" s="56" t="n">
        <v>575</v>
      </c>
      <c r="P1705" s="9" t="inlineStr">
        <is>
          <t>NSMI24070182067</t>
        </is>
      </c>
      <c r="Q1705" s="54">
        <f>MID(P1705,5,2)</f>
        <v/>
      </c>
      <c r="R1705" s="53">
        <f>MID(P1705,7,2)</f>
        <v/>
      </c>
      <c r="S1705" s="3" t="inlineStr">
        <is>
          <t>G2G</t>
        </is>
      </c>
      <c r="T1705" s="3" t="inlineStr">
        <is>
          <t>P4</t>
        </is>
      </c>
      <c r="U1705" s="19" t="inlineStr">
        <is>
          <t>P JB Cold Soldering</t>
        </is>
      </c>
      <c r="V1705" s="19" t="inlineStr">
        <is>
          <t>Soldering</t>
        </is>
      </c>
      <c r="W1705" s="3" t="inlineStr">
        <is>
          <t>Repair</t>
        </is>
      </c>
      <c r="X1705" s="18" t="n">
        <v>46163</v>
      </c>
      <c r="Y1705" s="73">
        <f>IF(X1705="","",X1705-A1705)</f>
        <v/>
      </c>
      <c r="Z1705" s="18" t="n">
        <v>46163</v>
      </c>
      <c r="AA1705" s="15" t="n"/>
      <c r="AB1705" s="15" t="n"/>
      <c r="AF1705">
        <f>IF(AND($F1705="Closed",$X1705&gt;=DATE(2026,5,1),$X1705&lt;=DATE(2026,5,31)),"Closed in May","Other")</f>
        <v/>
      </c>
    </row>
    <row r="1706">
      <c r="A1706" s="37" t="n">
        <v>46143</v>
      </c>
      <c r="B1706" s="3" t="n">
        <v>2026</v>
      </c>
      <c r="C1706" s="26" t="inlineStr">
        <is>
          <t>Yanara Power</t>
        </is>
      </c>
      <c r="D1706" s="3" t="inlineStr">
        <is>
          <t>Utility and C&amp;I</t>
        </is>
      </c>
      <c r="E1706" s="3" t="n"/>
      <c r="F1706" s="3" t="inlineStr">
        <is>
          <t>Closed</t>
        </is>
      </c>
      <c r="G1706" s="9" t="inlineStr">
        <is>
          <t xml:space="preserve">Ashish Jindal </t>
        </is>
      </c>
      <c r="H1706" s="26" t="n">
        <v>9983975581</v>
      </c>
      <c r="I1706" s="38" t="inlineStr">
        <is>
          <t>PE01052601</t>
        </is>
      </c>
      <c r="J1706" s="26" t="inlineStr">
        <is>
          <t>Multiple Issues</t>
        </is>
      </c>
      <c r="K1706" s="39" t="inlineStr">
        <is>
          <t>Holi</t>
        </is>
      </c>
      <c r="L1706" s="39" t="inlineStr">
        <is>
          <t>Maharashtra</t>
        </is>
      </c>
      <c r="M1706" s="46" t="inlineStr">
        <is>
          <t>PS</t>
        </is>
      </c>
      <c r="N1706" s="3" t="inlineStr">
        <is>
          <t>Cold Soldering</t>
        </is>
      </c>
      <c r="O1706" s="56" t="n">
        <v>575</v>
      </c>
      <c r="P1706" s="9" t="inlineStr">
        <is>
          <t>NSMI24070182120</t>
        </is>
      </c>
      <c r="Q1706" s="54">
        <f>MID(P1706,5,2)</f>
        <v/>
      </c>
      <c r="R1706" s="53">
        <f>MID(P1706,7,2)</f>
        <v/>
      </c>
      <c r="S1706" s="3" t="inlineStr">
        <is>
          <t>G2G</t>
        </is>
      </c>
      <c r="T1706" s="3" t="inlineStr">
        <is>
          <t>P4</t>
        </is>
      </c>
      <c r="U1706" s="19" t="inlineStr">
        <is>
          <t>P JB Cold Soldering</t>
        </is>
      </c>
      <c r="V1706" s="19" t="inlineStr">
        <is>
          <t>Soldering</t>
        </is>
      </c>
      <c r="W1706" s="3" t="inlineStr">
        <is>
          <t>Repair</t>
        </is>
      </c>
      <c r="X1706" s="18" t="n">
        <v>46163</v>
      </c>
      <c r="Y1706" s="73">
        <f>IF(X1706="","",X1706-A1706)</f>
        <v/>
      </c>
      <c r="Z1706" s="18" t="n">
        <v>46163</v>
      </c>
      <c r="AA1706" s="15" t="n"/>
      <c r="AB1706" s="15" t="n"/>
      <c r="AF1706">
        <f>IF(AND($F1706="Closed",$X1706&gt;=DATE(2026,5,1),$X1706&lt;=DATE(2026,5,31)),"Closed in May","Other")</f>
        <v/>
      </c>
    </row>
    <row r="1707">
      <c r="A1707" s="37" t="n">
        <v>46143</v>
      </c>
      <c r="B1707" s="3" t="n">
        <v>2026</v>
      </c>
      <c r="C1707" s="26" t="inlineStr">
        <is>
          <t>Yanara Power</t>
        </is>
      </c>
      <c r="D1707" s="3" t="inlineStr">
        <is>
          <t>Utility and C&amp;I</t>
        </is>
      </c>
      <c r="E1707" s="3" t="n"/>
      <c r="F1707" s="3" t="inlineStr">
        <is>
          <t>Closed</t>
        </is>
      </c>
      <c r="G1707" s="9" t="inlineStr">
        <is>
          <t xml:space="preserve">Ashish Jindal </t>
        </is>
      </c>
      <c r="H1707" s="26" t="n">
        <v>9983975581</v>
      </c>
      <c r="I1707" s="38" t="inlineStr">
        <is>
          <t>PE01052601</t>
        </is>
      </c>
      <c r="J1707" s="26" t="inlineStr">
        <is>
          <t>Multiple Issues</t>
        </is>
      </c>
      <c r="K1707" s="39" t="inlineStr">
        <is>
          <t>Holi</t>
        </is>
      </c>
      <c r="L1707" s="39" t="inlineStr">
        <is>
          <t>Maharashtra</t>
        </is>
      </c>
      <c r="M1707" s="46" t="inlineStr">
        <is>
          <t>PS</t>
        </is>
      </c>
      <c r="N1707" s="3" t="inlineStr">
        <is>
          <t>Cold Soldering</t>
        </is>
      </c>
      <c r="O1707" s="56" t="n">
        <v>575</v>
      </c>
      <c r="P1707" s="9" t="inlineStr">
        <is>
          <t>NSMI24070181858</t>
        </is>
      </c>
      <c r="Q1707" s="54">
        <f>MID(P1707,5,2)</f>
        <v/>
      </c>
      <c r="R1707" s="53">
        <f>MID(P1707,7,2)</f>
        <v/>
      </c>
      <c r="S1707" s="3" t="inlineStr">
        <is>
          <t>G2G</t>
        </is>
      </c>
      <c r="T1707" s="3" t="inlineStr">
        <is>
          <t>P4</t>
        </is>
      </c>
      <c r="U1707" s="19" t="inlineStr">
        <is>
          <t>P JB Cold Soldering</t>
        </is>
      </c>
      <c r="V1707" s="19" t="inlineStr">
        <is>
          <t>Soldering</t>
        </is>
      </c>
      <c r="W1707" s="3" t="inlineStr">
        <is>
          <t>Repair</t>
        </is>
      </c>
      <c r="X1707" s="18" t="n">
        <v>46163</v>
      </c>
      <c r="Y1707" s="73">
        <f>IF(X1707="","",X1707-A1707)</f>
        <v/>
      </c>
      <c r="Z1707" s="18" t="n">
        <v>46163</v>
      </c>
      <c r="AA1707" s="15" t="n"/>
      <c r="AB1707" s="15" t="n"/>
      <c r="AF1707">
        <f>IF(AND($F1707="Closed",$X1707&gt;=DATE(2026,5,1),$X1707&lt;=DATE(2026,5,31)),"Closed in May","Other")</f>
        <v/>
      </c>
    </row>
    <row r="1708">
      <c r="A1708" s="37" t="n">
        <v>46143</v>
      </c>
      <c r="B1708" s="3" t="n">
        <v>2026</v>
      </c>
      <c r="C1708" s="26" t="inlineStr">
        <is>
          <t>Yanara Power</t>
        </is>
      </c>
      <c r="D1708" s="3" t="inlineStr">
        <is>
          <t>Utility and C&amp;I</t>
        </is>
      </c>
      <c r="E1708" s="3" t="n"/>
      <c r="F1708" s="3" t="inlineStr">
        <is>
          <t>Closed</t>
        </is>
      </c>
      <c r="G1708" s="9" t="inlineStr">
        <is>
          <t xml:space="preserve">Ashish Jindal </t>
        </is>
      </c>
      <c r="H1708" s="26" t="n">
        <v>9983975581</v>
      </c>
      <c r="I1708" s="38" t="inlineStr">
        <is>
          <t>PE01052601</t>
        </is>
      </c>
      <c r="J1708" s="26" t="inlineStr">
        <is>
          <t>Multiple Issues</t>
        </is>
      </c>
      <c r="K1708" s="39" t="inlineStr">
        <is>
          <t>Holi</t>
        </is>
      </c>
      <c r="L1708" s="39" t="inlineStr">
        <is>
          <t>Maharashtra</t>
        </is>
      </c>
      <c r="M1708" s="46" t="inlineStr">
        <is>
          <t>PS</t>
        </is>
      </c>
      <c r="N1708" s="3" t="inlineStr">
        <is>
          <t>Cold Soldering</t>
        </is>
      </c>
      <c r="O1708" s="56" t="n">
        <v>575</v>
      </c>
      <c r="P1708" s="9" t="inlineStr">
        <is>
          <t>NSMI24070181904</t>
        </is>
      </c>
      <c r="Q1708" s="54">
        <f>MID(P1708,5,2)</f>
        <v/>
      </c>
      <c r="R1708" s="53">
        <f>MID(P1708,7,2)</f>
        <v/>
      </c>
      <c r="S1708" s="3" t="inlineStr">
        <is>
          <t>G2G</t>
        </is>
      </c>
      <c r="T1708" s="3" t="inlineStr">
        <is>
          <t>P4</t>
        </is>
      </c>
      <c r="U1708" s="19" t="inlineStr">
        <is>
          <t>P JB Cold Soldering</t>
        </is>
      </c>
      <c r="V1708" s="19" t="inlineStr">
        <is>
          <t>Soldering</t>
        </is>
      </c>
      <c r="W1708" s="3" t="inlineStr">
        <is>
          <t>Repair</t>
        </is>
      </c>
      <c r="X1708" s="18" t="n">
        <v>46163</v>
      </c>
      <c r="Y1708" s="73">
        <f>IF(X1708="","",X1708-A1708)</f>
        <v/>
      </c>
      <c r="Z1708" s="18" t="n">
        <v>46163</v>
      </c>
      <c r="AA1708" s="15" t="n"/>
      <c r="AB1708" s="15" t="n"/>
      <c r="AF1708">
        <f>IF(AND($F1708="Closed",$X1708&gt;=DATE(2026,5,1),$X1708&lt;=DATE(2026,5,31)),"Closed in May","Other")</f>
        <v/>
      </c>
    </row>
    <row r="1709">
      <c r="A1709" s="37" t="n">
        <v>46143</v>
      </c>
      <c r="B1709" s="3" t="n">
        <v>2026</v>
      </c>
      <c r="C1709" s="26" t="inlineStr">
        <is>
          <t>Yanara Power</t>
        </is>
      </c>
      <c r="D1709" s="3" t="inlineStr">
        <is>
          <t>Utility and C&amp;I</t>
        </is>
      </c>
      <c r="E1709" s="3" t="n"/>
      <c r="F1709" s="3" t="inlineStr">
        <is>
          <t>Closed</t>
        </is>
      </c>
      <c r="G1709" s="9" t="inlineStr">
        <is>
          <t xml:space="preserve">Ashish Jindal </t>
        </is>
      </c>
      <c r="H1709" s="26" t="n">
        <v>9983975581</v>
      </c>
      <c r="I1709" s="38" t="inlineStr">
        <is>
          <t>PE01052601</t>
        </is>
      </c>
      <c r="J1709" s="26" t="inlineStr">
        <is>
          <t>Multiple Issues</t>
        </is>
      </c>
      <c r="K1709" s="39" t="inlineStr">
        <is>
          <t>Holi</t>
        </is>
      </c>
      <c r="L1709" s="39" t="inlineStr">
        <is>
          <t>Maharashtra</t>
        </is>
      </c>
      <c r="M1709" s="46" t="inlineStr">
        <is>
          <t>PS</t>
        </is>
      </c>
      <c r="N1709" s="3" t="inlineStr">
        <is>
          <t>Cold Soldering</t>
        </is>
      </c>
      <c r="O1709" s="56" t="n">
        <v>575</v>
      </c>
      <c r="P1709" s="9" t="inlineStr">
        <is>
          <t>NSMI24070180325</t>
        </is>
      </c>
      <c r="Q1709" s="54">
        <f>MID(P1709,5,2)</f>
        <v/>
      </c>
      <c r="R1709" s="53">
        <f>MID(P1709,7,2)</f>
        <v/>
      </c>
      <c r="S1709" s="3" t="inlineStr">
        <is>
          <t>G2G</t>
        </is>
      </c>
      <c r="T1709" s="3" t="inlineStr">
        <is>
          <t>P4</t>
        </is>
      </c>
      <c r="U1709" s="19" t="inlineStr">
        <is>
          <t>P JB Cold Soldering</t>
        </is>
      </c>
      <c r="V1709" s="19" t="inlineStr">
        <is>
          <t>Soldering</t>
        </is>
      </c>
      <c r="W1709" s="3" t="inlineStr">
        <is>
          <t>Repair</t>
        </is>
      </c>
      <c r="X1709" s="18" t="n">
        <v>46163</v>
      </c>
      <c r="Y1709" s="73">
        <f>IF(X1709="","",X1709-A1709)</f>
        <v/>
      </c>
      <c r="Z1709" s="18" t="n">
        <v>46163</v>
      </c>
      <c r="AA1709" s="15" t="n"/>
      <c r="AB1709" s="15" t="n"/>
      <c r="AF1709">
        <f>IF(AND($F1709="Closed",$X1709&gt;=DATE(2026,5,1),$X1709&lt;=DATE(2026,5,31)),"Closed in May","Other")</f>
        <v/>
      </c>
    </row>
    <row r="1710">
      <c r="A1710" s="37" t="n">
        <v>46143</v>
      </c>
      <c r="B1710" s="3" t="n">
        <v>2026</v>
      </c>
      <c r="C1710" s="26" t="inlineStr">
        <is>
          <t>Yanara Power</t>
        </is>
      </c>
      <c r="D1710" s="3" t="inlineStr">
        <is>
          <t>Utility and C&amp;I</t>
        </is>
      </c>
      <c r="E1710" s="3" t="n"/>
      <c r="F1710" s="3" t="inlineStr">
        <is>
          <t>Closed</t>
        </is>
      </c>
      <c r="G1710" s="9" t="inlineStr">
        <is>
          <t xml:space="preserve">Ashish Jindal </t>
        </is>
      </c>
      <c r="H1710" s="26" t="n">
        <v>9983975581</v>
      </c>
      <c r="I1710" s="38" t="inlineStr">
        <is>
          <t>PE01052601</t>
        </is>
      </c>
      <c r="J1710" s="26" t="inlineStr">
        <is>
          <t>Multiple Issues</t>
        </is>
      </c>
      <c r="K1710" s="39" t="inlineStr">
        <is>
          <t>Holi</t>
        </is>
      </c>
      <c r="L1710" s="39" t="inlineStr">
        <is>
          <t>Maharashtra</t>
        </is>
      </c>
      <c r="M1710" s="46" t="inlineStr">
        <is>
          <t>PS</t>
        </is>
      </c>
      <c r="N1710" s="3" t="inlineStr">
        <is>
          <t>Cold Soldering</t>
        </is>
      </c>
      <c r="O1710" s="56" t="n">
        <v>575</v>
      </c>
      <c r="P1710" s="9" t="inlineStr">
        <is>
          <t>NSMI24070181859</t>
        </is>
      </c>
      <c r="Q1710" s="54">
        <f>MID(P1710,5,2)</f>
        <v/>
      </c>
      <c r="R1710" s="53">
        <f>MID(P1710,7,2)</f>
        <v/>
      </c>
      <c r="S1710" s="3" t="inlineStr">
        <is>
          <t>G2G</t>
        </is>
      </c>
      <c r="T1710" s="3" t="inlineStr">
        <is>
          <t>P4</t>
        </is>
      </c>
      <c r="U1710" s="19" t="inlineStr">
        <is>
          <t>P JB Cold Soldering</t>
        </is>
      </c>
      <c r="V1710" s="19" t="inlineStr">
        <is>
          <t>Soldering</t>
        </is>
      </c>
      <c r="W1710" s="3" t="inlineStr">
        <is>
          <t>Repair</t>
        </is>
      </c>
      <c r="X1710" s="18" t="n">
        <v>46163</v>
      </c>
      <c r="Y1710" s="73">
        <f>IF(X1710="","",X1710-A1710)</f>
        <v/>
      </c>
      <c r="Z1710" s="18" t="n">
        <v>46163</v>
      </c>
      <c r="AA1710" s="15" t="n"/>
      <c r="AB1710" s="15" t="n"/>
      <c r="AF1710">
        <f>IF(AND($F1710="Closed",$X1710&gt;=DATE(2026,5,1),$X1710&lt;=DATE(2026,5,31)),"Closed in May","Other")</f>
        <v/>
      </c>
    </row>
    <row r="1711">
      <c r="A1711" s="37" t="n">
        <v>46143</v>
      </c>
      <c r="B1711" s="3" t="n">
        <v>2026</v>
      </c>
      <c r="C1711" s="26" t="inlineStr">
        <is>
          <t>Yanara Power</t>
        </is>
      </c>
      <c r="D1711" s="3" t="inlineStr">
        <is>
          <t>Utility and C&amp;I</t>
        </is>
      </c>
      <c r="E1711" s="3" t="n"/>
      <c r="F1711" s="3" t="inlineStr">
        <is>
          <t>Closed</t>
        </is>
      </c>
      <c r="G1711" s="9" t="inlineStr">
        <is>
          <t xml:space="preserve">Ashish Jindal </t>
        </is>
      </c>
      <c r="H1711" s="26" t="n">
        <v>9983975581</v>
      </c>
      <c r="I1711" s="38" t="inlineStr">
        <is>
          <t>PE01052601</t>
        </is>
      </c>
      <c r="J1711" s="26" t="inlineStr">
        <is>
          <t>Multiple Issues</t>
        </is>
      </c>
      <c r="K1711" s="39" t="inlineStr">
        <is>
          <t>Holi</t>
        </is>
      </c>
      <c r="L1711" s="39" t="inlineStr">
        <is>
          <t>Maharashtra</t>
        </is>
      </c>
      <c r="M1711" s="46" t="inlineStr">
        <is>
          <t>PS</t>
        </is>
      </c>
      <c r="N1711" s="3" t="inlineStr">
        <is>
          <t>Cold Soldering</t>
        </is>
      </c>
      <c r="O1711" s="56" t="n">
        <v>575</v>
      </c>
      <c r="P1711" s="9" t="inlineStr">
        <is>
          <t>NSMI24070182591</t>
        </is>
      </c>
      <c r="Q1711" s="54">
        <f>MID(P1711,5,2)</f>
        <v/>
      </c>
      <c r="R1711" s="53">
        <f>MID(P1711,7,2)</f>
        <v/>
      </c>
      <c r="S1711" s="3" t="inlineStr">
        <is>
          <t>G2G</t>
        </is>
      </c>
      <c r="T1711" s="3" t="inlineStr">
        <is>
          <t>P4</t>
        </is>
      </c>
      <c r="U1711" s="19" t="inlineStr">
        <is>
          <t>P JB Cold Soldering</t>
        </is>
      </c>
      <c r="V1711" s="19" t="inlineStr">
        <is>
          <t>Soldering</t>
        </is>
      </c>
      <c r="W1711" s="3" t="inlineStr">
        <is>
          <t>Repair</t>
        </is>
      </c>
      <c r="X1711" s="18" t="n">
        <v>46163</v>
      </c>
      <c r="Y1711" s="73">
        <f>IF(X1711="","",X1711-A1711)</f>
        <v/>
      </c>
      <c r="Z1711" s="18" t="n">
        <v>46163</v>
      </c>
      <c r="AA1711" s="15" t="n"/>
      <c r="AB1711" s="15" t="n"/>
      <c r="AF1711">
        <f>IF(AND($F1711="Closed",$X1711&gt;=DATE(2026,5,1),$X1711&lt;=DATE(2026,5,31)),"Closed in May","Other")</f>
        <v/>
      </c>
    </row>
    <row r="1712">
      <c r="A1712" s="37" t="n">
        <v>46143</v>
      </c>
      <c r="B1712" s="3" t="n">
        <v>2026</v>
      </c>
      <c r="C1712" s="26" t="inlineStr">
        <is>
          <t>Yanara Power</t>
        </is>
      </c>
      <c r="D1712" s="3" t="inlineStr">
        <is>
          <t>Utility and C&amp;I</t>
        </is>
      </c>
      <c r="E1712" s="3" t="n"/>
      <c r="F1712" s="3" t="inlineStr">
        <is>
          <t>Closed</t>
        </is>
      </c>
      <c r="G1712" s="9" t="inlineStr">
        <is>
          <t xml:space="preserve">Ashish Jindal </t>
        </is>
      </c>
      <c r="H1712" s="26" t="n">
        <v>9983975581</v>
      </c>
      <c r="I1712" s="38" t="inlineStr">
        <is>
          <t>PE01052601</t>
        </is>
      </c>
      <c r="J1712" s="26" t="inlineStr">
        <is>
          <t>Multiple Issues</t>
        </is>
      </c>
      <c r="K1712" s="39" t="inlineStr">
        <is>
          <t>Holi</t>
        </is>
      </c>
      <c r="L1712" s="39" t="inlineStr">
        <is>
          <t>Maharashtra</t>
        </is>
      </c>
      <c r="M1712" s="46" t="inlineStr">
        <is>
          <t>NS</t>
        </is>
      </c>
      <c r="N1712" s="3" t="inlineStr">
        <is>
          <t>Cold Soldering</t>
        </is>
      </c>
      <c r="O1712" s="56" t="n">
        <v>575</v>
      </c>
      <c r="P1712" s="9" t="inlineStr">
        <is>
          <t>NSMI24070183646</t>
        </is>
      </c>
      <c r="Q1712" s="54">
        <f>MID(P1712,5,2)</f>
        <v/>
      </c>
      <c r="R1712" s="53">
        <f>MID(P1712,7,2)</f>
        <v/>
      </c>
      <c r="S1712" s="3" t="inlineStr">
        <is>
          <t>G2G</t>
        </is>
      </c>
      <c r="T1712" s="3" t="inlineStr">
        <is>
          <t>P4</t>
        </is>
      </c>
      <c r="U1712" s="3" t="inlineStr">
        <is>
          <t>N JB Cold Soldering</t>
        </is>
      </c>
      <c r="V1712" s="3" t="inlineStr">
        <is>
          <t>Soldering</t>
        </is>
      </c>
      <c r="W1712" s="3" t="inlineStr">
        <is>
          <t>Repair</t>
        </is>
      </c>
      <c r="X1712" s="18" t="n">
        <v>46163</v>
      </c>
      <c r="Y1712" s="73">
        <f>IF(X1712="","",X1712-A1712)</f>
        <v/>
      </c>
      <c r="Z1712" s="18" t="n">
        <v>46163</v>
      </c>
      <c r="AA1712" s="15" t="n"/>
      <c r="AB1712" s="15" t="n"/>
      <c r="AF1712">
        <f>IF(AND($F1712="Closed",$X1712&gt;=DATE(2026,5,1),$X1712&lt;=DATE(2026,5,31)),"Closed in May","Other")</f>
        <v/>
      </c>
    </row>
    <row r="1713">
      <c r="A1713" s="37" t="n">
        <v>46143</v>
      </c>
      <c r="B1713" s="3" t="n">
        <v>2026</v>
      </c>
      <c r="C1713" s="26" t="inlineStr">
        <is>
          <t>Yanara Power</t>
        </is>
      </c>
      <c r="D1713" s="3" t="inlineStr">
        <is>
          <t>Utility and C&amp;I</t>
        </is>
      </c>
      <c r="E1713" s="3" t="n"/>
      <c r="F1713" s="3" t="inlineStr">
        <is>
          <t>Closed</t>
        </is>
      </c>
      <c r="G1713" s="9" t="inlineStr">
        <is>
          <t xml:space="preserve">Ashish Jindal </t>
        </is>
      </c>
      <c r="H1713" s="26" t="n">
        <v>9983975581</v>
      </c>
      <c r="I1713" s="38" t="inlineStr">
        <is>
          <t>PE01052601</t>
        </is>
      </c>
      <c r="J1713" s="26" t="inlineStr">
        <is>
          <t>Multiple Issues</t>
        </is>
      </c>
      <c r="K1713" s="39" t="inlineStr">
        <is>
          <t>Holi</t>
        </is>
      </c>
      <c r="L1713" s="39" t="inlineStr">
        <is>
          <t>Maharashtra</t>
        </is>
      </c>
      <c r="M1713" s="46" t="inlineStr">
        <is>
          <t>PS</t>
        </is>
      </c>
      <c r="N1713" s="3" t="inlineStr">
        <is>
          <t>Cold Soldering</t>
        </is>
      </c>
      <c r="O1713" s="56" t="n">
        <v>575</v>
      </c>
      <c r="P1713" s="9" t="inlineStr">
        <is>
          <t>NSMI24070177925</t>
        </is>
      </c>
      <c r="Q1713" s="54">
        <f>MID(P1713,5,2)</f>
        <v/>
      </c>
      <c r="R1713" s="53">
        <f>MID(P1713,7,2)</f>
        <v/>
      </c>
      <c r="S1713" s="3" t="inlineStr">
        <is>
          <t>G2G</t>
        </is>
      </c>
      <c r="T1713" s="3" t="inlineStr">
        <is>
          <t>P4</t>
        </is>
      </c>
      <c r="U1713" s="19" t="inlineStr">
        <is>
          <t>P JB Cold Soldering</t>
        </is>
      </c>
      <c r="V1713" s="19" t="inlineStr">
        <is>
          <t>Soldering</t>
        </is>
      </c>
      <c r="W1713" s="3" t="inlineStr">
        <is>
          <t>Repair</t>
        </is>
      </c>
      <c r="X1713" s="18" t="n">
        <v>46163</v>
      </c>
      <c r="Y1713" s="73">
        <f>IF(X1713="","",X1713-A1713)</f>
        <v/>
      </c>
      <c r="Z1713" s="18" t="n">
        <v>46163</v>
      </c>
      <c r="AA1713" s="15" t="n"/>
      <c r="AB1713" s="15" t="n"/>
      <c r="AF1713">
        <f>IF(AND($F1713="Closed",$X1713&gt;=DATE(2026,5,1),$X1713&lt;=DATE(2026,5,31)),"Closed in May","Other")</f>
        <v/>
      </c>
    </row>
    <row r="1714">
      <c r="A1714" s="37" t="n">
        <v>46143</v>
      </c>
      <c r="B1714" s="3" t="n">
        <v>2026</v>
      </c>
      <c r="C1714" s="26" t="inlineStr">
        <is>
          <t>Yanara Power</t>
        </is>
      </c>
      <c r="D1714" s="3" t="inlineStr">
        <is>
          <t>Utility and C&amp;I</t>
        </is>
      </c>
      <c r="E1714" s="3" t="n"/>
      <c r="F1714" s="3" t="inlineStr">
        <is>
          <t>Closed</t>
        </is>
      </c>
      <c r="G1714" s="9" t="inlineStr">
        <is>
          <t xml:space="preserve">Ashish Jindal </t>
        </is>
      </c>
      <c r="H1714" s="26" t="n">
        <v>9983975581</v>
      </c>
      <c r="I1714" s="38" t="inlineStr">
        <is>
          <t>PE01052601</t>
        </is>
      </c>
      <c r="J1714" s="26" t="inlineStr">
        <is>
          <t>Multiple Issues</t>
        </is>
      </c>
      <c r="K1714" s="39" t="inlineStr">
        <is>
          <t>Holi</t>
        </is>
      </c>
      <c r="L1714" s="39" t="inlineStr">
        <is>
          <t>Maharashtra</t>
        </is>
      </c>
      <c r="M1714" s="46" t="inlineStr">
        <is>
          <t>PS</t>
        </is>
      </c>
      <c r="N1714" s="3" t="inlineStr">
        <is>
          <t>Cold Soldering</t>
        </is>
      </c>
      <c r="O1714" s="56" t="n">
        <v>575</v>
      </c>
      <c r="P1714" s="9" t="inlineStr">
        <is>
          <t>NSMI24070181778</t>
        </is>
      </c>
      <c r="Q1714" s="54">
        <f>MID(P1714,5,2)</f>
        <v/>
      </c>
      <c r="R1714" s="53">
        <f>MID(P1714,7,2)</f>
        <v/>
      </c>
      <c r="S1714" s="3" t="inlineStr">
        <is>
          <t>G2G</t>
        </is>
      </c>
      <c r="T1714" s="3" t="inlineStr">
        <is>
          <t>P4</t>
        </is>
      </c>
      <c r="U1714" s="19" t="inlineStr">
        <is>
          <t>P JB Cold Soldering</t>
        </is>
      </c>
      <c r="V1714" s="19" t="inlineStr">
        <is>
          <t>Soldering</t>
        </is>
      </c>
      <c r="W1714" s="3" t="inlineStr">
        <is>
          <t>Repair</t>
        </is>
      </c>
      <c r="X1714" s="18" t="n">
        <v>46163</v>
      </c>
      <c r="Y1714" s="73">
        <f>IF(X1714="","",X1714-A1714)</f>
        <v/>
      </c>
      <c r="Z1714" s="18" t="n">
        <v>46163</v>
      </c>
      <c r="AA1714" s="15" t="n"/>
      <c r="AB1714" s="15" t="n"/>
      <c r="AF1714">
        <f>IF(AND($F1714="Closed",$X1714&gt;=DATE(2026,5,1),$X1714&lt;=DATE(2026,5,31)),"Closed in May","Other")</f>
        <v/>
      </c>
    </row>
    <row r="1715">
      <c r="A1715" s="37" t="n">
        <v>46143</v>
      </c>
      <c r="B1715" s="3" t="n">
        <v>2026</v>
      </c>
      <c r="C1715" s="26" t="inlineStr">
        <is>
          <t>Yanara Power</t>
        </is>
      </c>
      <c r="D1715" s="3" t="inlineStr">
        <is>
          <t>Utility and C&amp;I</t>
        </is>
      </c>
      <c r="E1715" s="3" t="n"/>
      <c r="F1715" s="3" t="inlineStr">
        <is>
          <t>Closed</t>
        </is>
      </c>
      <c r="G1715" s="9" t="inlineStr">
        <is>
          <t xml:space="preserve">Ashish Jindal </t>
        </is>
      </c>
      <c r="H1715" s="26" t="n">
        <v>9983975581</v>
      </c>
      <c r="I1715" s="38" t="inlineStr">
        <is>
          <t>PE01052601</t>
        </is>
      </c>
      <c r="J1715" s="26" t="inlineStr">
        <is>
          <t>Multiple Issues</t>
        </is>
      </c>
      <c r="K1715" s="39" t="inlineStr">
        <is>
          <t>Holi</t>
        </is>
      </c>
      <c r="L1715" s="39" t="inlineStr">
        <is>
          <t>Maharashtra</t>
        </is>
      </c>
      <c r="M1715" s="46" t="inlineStr">
        <is>
          <t>PS</t>
        </is>
      </c>
      <c r="N1715" s="3" t="inlineStr">
        <is>
          <t>Cold Soldering</t>
        </is>
      </c>
      <c r="O1715" s="56" t="n">
        <v>575</v>
      </c>
      <c r="P1715" s="9" t="inlineStr">
        <is>
          <t>NSMI24070181925</t>
        </is>
      </c>
      <c r="Q1715" s="54">
        <f>MID(P1715,5,2)</f>
        <v/>
      </c>
      <c r="R1715" s="53">
        <f>MID(P1715,7,2)</f>
        <v/>
      </c>
      <c r="S1715" s="3" t="inlineStr">
        <is>
          <t>G2G</t>
        </is>
      </c>
      <c r="T1715" s="3" t="inlineStr">
        <is>
          <t>P4</t>
        </is>
      </c>
      <c r="U1715" s="19" t="inlineStr">
        <is>
          <t>P JB Cold Soldering</t>
        </is>
      </c>
      <c r="V1715" s="19" t="inlineStr">
        <is>
          <t>Soldering</t>
        </is>
      </c>
      <c r="W1715" s="3" t="inlineStr">
        <is>
          <t>Repair</t>
        </is>
      </c>
      <c r="X1715" s="18" t="n">
        <v>46163</v>
      </c>
      <c r="Y1715" s="73">
        <f>IF(X1715="","",X1715-A1715)</f>
        <v/>
      </c>
      <c r="Z1715" s="18" t="n">
        <v>46163</v>
      </c>
      <c r="AA1715" s="15" t="n"/>
      <c r="AB1715" s="15" t="n"/>
      <c r="AF1715">
        <f>IF(AND($F1715="Closed",$X1715&gt;=DATE(2026,5,1),$X1715&lt;=DATE(2026,5,31)),"Closed in May","Other")</f>
        <v/>
      </c>
    </row>
    <row r="1716">
      <c r="A1716" s="37" t="n">
        <v>46143</v>
      </c>
      <c r="B1716" s="3" t="n">
        <v>2026</v>
      </c>
      <c r="C1716" s="26" t="inlineStr">
        <is>
          <t>Yanara Power</t>
        </is>
      </c>
      <c r="D1716" s="3" t="inlineStr">
        <is>
          <t>Utility and C&amp;I</t>
        </is>
      </c>
      <c r="E1716" s="3" t="n"/>
      <c r="F1716" s="3" t="inlineStr">
        <is>
          <t>Closed</t>
        </is>
      </c>
      <c r="G1716" s="9" t="inlineStr">
        <is>
          <t xml:space="preserve">Ashish Jindal </t>
        </is>
      </c>
      <c r="H1716" s="26" t="n">
        <v>9983975581</v>
      </c>
      <c r="I1716" s="38" t="inlineStr">
        <is>
          <t>PE01052601</t>
        </is>
      </c>
      <c r="J1716" s="26" t="inlineStr">
        <is>
          <t>Multiple Issues</t>
        </is>
      </c>
      <c r="K1716" s="39" t="inlineStr">
        <is>
          <t>Holi</t>
        </is>
      </c>
      <c r="L1716" s="39" t="inlineStr">
        <is>
          <t>Maharashtra</t>
        </is>
      </c>
      <c r="M1716" s="46" t="inlineStr">
        <is>
          <t>OK</t>
        </is>
      </c>
      <c r="N1716" s="3" t="inlineStr">
        <is>
          <t>No Issue</t>
        </is>
      </c>
      <c r="O1716" s="56" t="n">
        <v>575</v>
      </c>
      <c r="P1716" s="9" t="inlineStr">
        <is>
          <t>NSMI24070180850</t>
        </is>
      </c>
      <c r="Q1716" s="54">
        <f>MID(P1716,5,2)</f>
        <v/>
      </c>
      <c r="R1716" s="53">
        <f>MID(P1716,7,2)</f>
        <v/>
      </c>
      <c r="S1716" s="3" t="inlineStr">
        <is>
          <t>G2G</t>
        </is>
      </c>
      <c r="T1716" s="3" t="inlineStr">
        <is>
          <t>P4</t>
        </is>
      </c>
      <c r="U1716" s="19" t="inlineStr">
        <is>
          <t>No Issue Found</t>
        </is>
      </c>
      <c r="V1716" s="19" t="inlineStr">
        <is>
          <t>Found OK</t>
        </is>
      </c>
      <c r="W1716" s="3" t="inlineStr">
        <is>
          <t>Repair</t>
        </is>
      </c>
      <c r="X1716" s="18" t="n">
        <v>46163</v>
      </c>
      <c r="Y1716" s="73">
        <f>IF(X1716="","",X1716-A1716)</f>
        <v/>
      </c>
      <c r="Z1716" s="18" t="n">
        <v>46163</v>
      </c>
      <c r="AA1716" s="15" t="n"/>
      <c r="AB1716" s="15" t="n"/>
      <c r="AF1716">
        <f>IF(AND($F1716="Closed",$X1716&gt;=DATE(2026,5,1),$X1716&lt;=DATE(2026,5,31)),"Closed in May","Other")</f>
        <v/>
      </c>
    </row>
    <row r="1717">
      <c r="A1717" s="37" t="n">
        <v>46143</v>
      </c>
      <c r="B1717" s="3" t="n">
        <v>2026</v>
      </c>
      <c r="C1717" s="26" t="inlineStr">
        <is>
          <t>Yanara Power</t>
        </is>
      </c>
      <c r="D1717" s="3" t="inlineStr">
        <is>
          <t>Utility and C&amp;I</t>
        </is>
      </c>
      <c r="E1717" s="3" t="n"/>
      <c r="F1717" s="3" t="inlineStr">
        <is>
          <t>Closed</t>
        </is>
      </c>
      <c r="G1717" s="9" t="inlineStr">
        <is>
          <t xml:space="preserve">Ashish Jindal </t>
        </is>
      </c>
      <c r="H1717" s="26" t="n">
        <v>9983975581</v>
      </c>
      <c r="I1717" s="38" t="inlineStr">
        <is>
          <t>PE01052601</t>
        </is>
      </c>
      <c r="J1717" s="26" t="inlineStr">
        <is>
          <t>Multiple Issues</t>
        </is>
      </c>
      <c r="K1717" s="39" t="inlineStr">
        <is>
          <t>Holi</t>
        </is>
      </c>
      <c r="L1717" s="39" t="inlineStr">
        <is>
          <t>Maharashtra</t>
        </is>
      </c>
      <c r="M1717" s="46" t="inlineStr">
        <is>
          <t>OK</t>
        </is>
      </c>
      <c r="N1717" s="3" t="inlineStr">
        <is>
          <t>No Issue</t>
        </is>
      </c>
      <c r="O1717" s="56" t="n">
        <v>575</v>
      </c>
      <c r="P1717" s="9" t="inlineStr">
        <is>
          <t>NSMI24070184693</t>
        </is>
      </c>
      <c r="Q1717" s="54">
        <f>MID(P1717,5,2)</f>
        <v/>
      </c>
      <c r="R1717" s="53">
        <f>MID(P1717,7,2)</f>
        <v/>
      </c>
      <c r="S1717" s="3" t="inlineStr">
        <is>
          <t>G2G</t>
        </is>
      </c>
      <c r="T1717" s="3" t="inlineStr">
        <is>
          <t>P4</t>
        </is>
      </c>
      <c r="U1717" s="19" t="inlineStr">
        <is>
          <t>No Issue Found</t>
        </is>
      </c>
      <c r="V1717" s="19" t="inlineStr">
        <is>
          <t>Found OK</t>
        </is>
      </c>
      <c r="W1717" s="3" t="inlineStr">
        <is>
          <t>Repair</t>
        </is>
      </c>
      <c r="X1717" s="18" t="n">
        <v>46163</v>
      </c>
      <c r="Y1717" s="73">
        <f>IF(X1717="","",X1717-A1717)</f>
        <v/>
      </c>
      <c r="Z1717" s="18" t="n">
        <v>46163</v>
      </c>
      <c r="AA1717" s="15" t="n"/>
      <c r="AB1717" s="15" t="n"/>
      <c r="AF1717">
        <f>IF(AND($F1717="Closed",$X1717&gt;=DATE(2026,5,1),$X1717&lt;=DATE(2026,5,31)),"Closed in May","Other")</f>
        <v/>
      </c>
    </row>
    <row r="1718">
      <c r="A1718" s="37" t="n">
        <v>46143</v>
      </c>
      <c r="B1718" s="3" t="n">
        <v>2026</v>
      </c>
      <c r="C1718" s="26" t="inlineStr">
        <is>
          <t>Yanara Power</t>
        </is>
      </c>
      <c r="D1718" s="3" t="inlineStr">
        <is>
          <t>Utility and C&amp;I</t>
        </is>
      </c>
      <c r="E1718" s="3" t="n"/>
      <c r="F1718" s="3" t="inlineStr">
        <is>
          <t>Closed</t>
        </is>
      </c>
      <c r="G1718" s="9" t="inlineStr">
        <is>
          <t xml:space="preserve">Ashish Jindal </t>
        </is>
      </c>
      <c r="H1718" s="26" t="n">
        <v>9983975581</v>
      </c>
      <c r="I1718" s="38" t="inlineStr">
        <is>
          <t>PE01052601</t>
        </is>
      </c>
      <c r="J1718" s="26" t="inlineStr">
        <is>
          <t>Multiple Issues</t>
        </is>
      </c>
      <c r="K1718" s="39" t="inlineStr">
        <is>
          <t>Holi</t>
        </is>
      </c>
      <c r="L1718" s="39" t="inlineStr">
        <is>
          <t>Maharashtra</t>
        </is>
      </c>
      <c r="M1718" s="46" t="inlineStr">
        <is>
          <t>PS</t>
        </is>
      </c>
      <c r="N1718" s="3" t="inlineStr">
        <is>
          <t>Cold Soldering</t>
        </is>
      </c>
      <c r="O1718" s="56" t="n">
        <v>575</v>
      </c>
      <c r="P1718" s="9" t="inlineStr">
        <is>
          <t>NSMI24070176853</t>
        </is>
      </c>
      <c r="Q1718" s="54">
        <f>MID(P1718,5,2)</f>
        <v/>
      </c>
      <c r="R1718" s="53">
        <f>MID(P1718,7,2)</f>
        <v/>
      </c>
      <c r="S1718" s="3" t="inlineStr">
        <is>
          <t>G2G</t>
        </is>
      </c>
      <c r="T1718" s="3" t="inlineStr">
        <is>
          <t>P4</t>
        </is>
      </c>
      <c r="U1718" s="19" t="inlineStr">
        <is>
          <t>P JB Cold Soldering</t>
        </is>
      </c>
      <c r="V1718" s="19" t="inlineStr">
        <is>
          <t>Soldering</t>
        </is>
      </c>
      <c r="W1718" s="3" t="inlineStr">
        <is>
          <t>Repair</t>
        </is>
      </c>
      <c r="X1718" s="18" t="n">
        <v>46163</v>
      </c>
      <c r="Y1718" s="73">
        <f>IF(X1718="","",X1718-A1718)</f>
        <v/>
      </c>
      <c r="Z1718" s="18" t="n">
        <v>46163</v>
      </c>
      <c r="AA1718" s="15" t="n"/>
      <c r="AB1718" s="15" t="n"/>
      <c r="AF1718">
        <f>IF(AND($F1718="Closed",$X1718&gt;=DATE(2026,5,1),$X1718&lt;=DATE(2026,5,31)),"Closed in May","Other")</f>
        <v/>
      </c>
    </row>
    <row r="1719">
      <c r="A1719" s="37" t="n">
        <v>46143</v>
      </c>
      <c r="B1719" s="3" t="n">
        <v>2026</v>
      </c>
      <c r="C1719" s="26" t="inlineStr">
        <is>
          <t>Yanara Power</t>
        </is>
      </c>
      <c r="D1719" s="3" t="inlineStr">
        <is>
          <t>Utility and C&amp;I</t>
        </is>
      </c>
      <c r="E1719" s="3" t="n"/>
      <c r="F1719" s="3" t="inlineStr">
        <is>
          <t>Closed</t>
        </is>
      </c>
      <c r="G1719" s="9" t="inlineStr">
        <is>
          <t xml:space="preserve">Ashish Jindal </t>
        </is>
      </c>
      <c r="H1719" s="26" t="n">
        <v>9983975581</v>
      </c>
      <c r="I1719" s="38" t="inlineStr">
        <is>
          <t>PE01052601</t>
        </is>
      </c>
      <c r="J1719" s="26" t="inlineStr">
        <is>
          <t>Multiple Issues</t>
        </is>
      </c>
      <c r="K1719" s="39" t="inlineStr">
        <is>
          <t>Holi</t>
        </is>
      </c>
      <c r="L1719" s="39" t="inlineStr">
        <is>
          <t>Maharashtra</t>
        </is>
      </c>
      <c r="M1719" s="46" t="inlineStr">
        <is>
          <t>PS</t>
        </is>
      </c>
      <c r="N1719" s="3" t="inlineStr">
        <is>
          <t>Cold Soldering</t>
        </is>
      </c>
      <c r="O1719" s="56" t="n">
        <v>575</v>
      </c>
      <c r="P1719" s="9" t="inlineStr">
        <is>
          <t>NSMI24070176859</t>
        </is>
      </c>
      <c r="Q1719" s="54">
        <f>MID(P1719,5,2)</f>
        <v/>
      </c>
      <c r="R1719" s="53">
        <f>MID(P1719,7,2)</f>
        <v/>
      </c>
      <c r="S1719" s="3" t="inlineStr">
        <is>
          <t>G2G</t>
        </is>
      </c>
      <c r="T1719" s="3" t="inlineStr">
        <is>
          <t>P4</t>
        </is>
      </c>
      <c r="U1719" s="19" t="inlineStr">
        <is>
          <t>P JB Cold Soldering</t>
        </is>
      </c>
      <c r="V1719" s="19" t="inlineStr">
        <is>
          <t>Soldering</t>
        </is>
      </c>
      <c r="W1719" s="3" t="inlineStr">
        <is>
          <t>Repair</t>
        </is>
      </c>
      <c r="X1719" s="18" t="n">
        <v>46163</v>
      </c>
      <c r="Y1719" s="73">
        <f>IF(X1719="","",X1719-A1719)</f>
        <v/>
      </c>
      <c r="Z1719" s="18" t="n">
        <v>46163</v>
      </c>
      <c r="AA1719" s="15" t="n"/>
      <c r="AB1719" s="15" t="n"/>
      <c r="AF1719">
        <f>IF(AND($F1719="Closed",$X1719&gt;=DATE(2026,5,1),$X1719&lt;=DATE(2026,5,31)),"Closed in May","Other")</f>
        <v/>
      </c>
    </row>
    <row r="1720">
      <c r="A1720" s="37" t="n">
        <v>46143</v>
      </c>
      <c r="B1720" s="3" t="n">
        <v>2026</v>
      </c>
      <c r="C1720" s="26" t="inlineStr">
        <is>
          <t>Yanara Power</t>
        </is>
      </c>
      <c r="D1720" s="3" t="inlineStr">
        <is>
          <t>Utility and C&amp;I</t>
        </is>
      </c>
      <c r="E1720" s="3" t="n"/>
      <c r="F1720" s="3" t="inlineStr">
        <is>
          <t>Closed</t>
        </is>
      </c>
      <c r="G1720" s="9" t="inlineStr">
        <is>
          <t xml:space="preserve">Ashish Jindal </t>
        </is>
      </c>
      <c r="H1720" s="26" t="n">
        <v>9983975581</v>
      </c>
      <c r="I1720" s="38" t="inlineStr">
        <is>
          <t>PE01052601</t>
        </is>
      </c>
      <c r="J1720" s="26" t="inlineStr">
        <is>
          <t>Multiple Issues</t>
        </is>
      </c>
      <c r="K1720" s="39" t="inlineStr">
        <is>
          <t>Holi</t>
        </is>
      </c>
      <c r="L1720" s="39" t="inlineStr">
        <is>
          <t>Maharashtra</t>
        </is>
      </c>
      <c r="M1720" s="46" t="inlineStr">
        <is>
          <t>PS</t>
        </is>
      </c>
      <c r="N1720" s="3" t="inlineStr">
        <is>
          <t>Cold Soldering</t>
        </is>
      </c>
      <c r="O1720" s="56" t="n">
        <v>575</v>
      </c>
      <c r="P1720" s="9" t="inlineStr">
        <is>
          <t>NSMI24070181971</t>
        </is>
      </c>
      <c r="Q1720" s="54">
        <f>MID(P1720,5,2)</f>
        <v/>
      </c>
      <c r="R1720" s="53">
        <f>MID(P1720,7,2)</f>
        <v/>
      </c>
      <c r="S1720" s="3" t="inlineStr">
        <is>
          <t>G2G</t>
        </is>
      </c>
      <c r="T1720" s="3" t="inlineStr">
        <is>
          <t>P4</t>
        </is>
      </c>
      <c r="U1720" s="19" t="inlineStr">
        <is>
          <t>P JB Cold Soldering</t>
        </is>
      </c>
      <c r="V1720" s="19" t="inlineStr">
        <is>
          <t>Soldering</t>
        </is>
      </c>
      <c r="W1720" s="3" t="inlineStr">
        <is>
          <t>Repair</t>
        </is>
      </c>
      <c r="X1720" s="18" t="n">
        <v>46163</v>
      </c>
      <c r="Y1720" s="73">
        <f>IF(X1720="","",X1720-A1720)</f>
        <v/>
      </c>
      <c r="Z1720" s="18" t="n">
        <v>46163</v>
      </c>
      <c r="AA1720" s="15" t="n"/>
      <c r="AB1720" s="15" t="n"/>
      <c r="AF1720">
        <f>IF(AND($F1720="Closed",$X1720&gt;=DATE(2026,5,1),$X1720&lt;=DATE(2026,5,31)),"Closed in May","Other")</f>
        <v/>
      </c>
    </row>
    <row r="1721">
      <c r="A1721" s="37" t="n">
        <v>46143</v>
      </c>
      <c r="B1721" s="3" t="n">
        <v>2026</v>
      </c>
      <c r="C1721" s="26" t="inlineStr">
        <is>
          <t>Yanara Power</t>
        </is>
      </c>
      <c r="D1721" s="3" t="inlineStr">
        <is>
          <t>Utility and C&amp;I</t>
        </is>
      </c>
      <c r="E1721" s="3" t="n"/>
      <c r="F1721" s="3" t="inlineStr">
        <is>
          <t>Closed</t>
        </is>
      </c>
      <c r="G1721" s="9" t="inlineStr">
        <is>
          <t xml:space="preserve">Ashish Jindal </t>
        </is>
      </c>
      <c r="H1721" s="26" t="n">
        <v>9983975581</v>
      </c>
      <c r="I1721" s="38" t="inlineStr">
        <is>
          <t>PE01052601</t>
        </is>
      </c>
      <c r="J1721" s="26" t="inlineStr">
        <is>
          <t>Multiple Issues</t>
        </is>
      </c>
      <c r="K1721" s="39" t="inlineStr">
        <is>
          <t>Holi</t>
        </is>
      </c>
      <c r="L1721" s="39" t="inlineStr">
        <is>
          <t>Maharashtra</t>
        </is>
      </c>
      <c r="M1721" s="46" t="inlineStr">
        <is>
          <t>PS</t>
        </is>
      </c>
      <c r="N1721" s="3" t="inlineStr">
        <is>
          <t>Cold Soldering</t>
        </is>
      </c>
      <c r="O1721" s="56" t="n">
        <v>575</v>
      </c>
      <c r="P1721" s="9" t="inlineStr">
        <is>
          <t>NSMI24070182076</t>
        </is>
      </c>
      <c r="Q1721" s="54">
        <f>MID(P1721,5,2)</f>
        <v/>
      </c>
      <c r="R1721" s="53">
        <f>MID(P1721,7,2)</f>
        <v/>
      </c>
      <c r="S1721" s="3" t="inlineStr">
        <is>
          <t>G2G</t>
        </is>
      </c>
      <c r="T1721" s="3" t="inlineStr">
        <is>
          <t>P4</t>
        </is>
      </c>
      <c r="U1721" s="19" t="inlineStr">
        <is>
          <t>P JB Cold Soldering</t>
        </is>
      </c>
      <c r="V1721" s="19" t="inlineStr">
        <is>
          <t>Soldering</t>
        </is>
      </c>
      <c r="W1721" s="3" t="inlineStr">
        <is>
          <t>Repair</t>
        </is>
      </c>
      <c r="X1721" s="18" t="n">
        <v>46163</v>
      </c>
      <c r="Y1721" s="73">
        <f>IF(X1721="","",X1721-A1721)</f>
        <v/>
      </c>
      <c r="Z1721" s="18" t="n">
        <v>46163</v>
      </c>
      <c r="AA1721" s="15" t="n"/>
      <c r="AB1721" s="15" t="n"/>
      <c r="AF1721">
        <f>IF(AND($F1721="Closed",$X1721&gt;=DATE(2026,5,1),$X1721&lt;=DATE(2026,5,31)),"Closed in May","Other")</f>
        <v/>
      </c>
    </row>
    <row r="1722">
      <c r="A1722" s="37" t="n">
        <v>46143</v>
      </c>
      <c r="B1722" s="3" t="n">
        <v>2026</v>
      </c>
      <c r="C1722" s="26" t="inlineStr">
        <is>
          <t>Yanara Power</t>
        </is>
      </c>
      <c r="D1722" s="3" t="inlineStr">
        <is>
          <t>Utility and C&amp;I</t>
        </is>
      </c>
      <c r="E1722" s="3" t="n"/>
      <c r="F1722" s="3" t="inlineStr">
        <is>
          <t>Closed</t>
        </is>
      </c>
      <c r="G1722" s="9" t="inlineStr">
        <is>
          <t xml:space="preserve">Ashish Jindal </t>
        </is>
      </c>
      <c r="H1722" s="26" t="n">
        <v>9983975581</v>
      </c>
      <c r="I1722" s="38" t="inlineStr">
        <is>
          <t>PE01052601</t>
        </is>
      </c>
      <c r="J1722" s="26" t="inlineStr">
        <is>
          <t>Multiple Issues</t>
        </is>
      </c>
      <c r="K1722" s="39" t="inlineStr">
        <is>
          <t>Holi</t>
        </is>
      </c>
      <c r="L1722" s="39" t="inlineStr">
        <is>
          <t>Maharashtra</t>
        </is>
      </c>
      <c r="M1722" s="46" t="inlineStr">
        <is>
          <t>PS</t>
        </is>
      </c>
      <c r="N1722" s="3" t="inlineStr">
        <is>
          <t>Cold Soldering</t>
        </is>
      </c>
      <c r="O1722" s="56" t="n">
        <v>575</v>
      </c>
      <c r="P1722" s="9" t="inlineStr">
        <is>
          <t>NSMI24070181821</t>
        </is>
      </c>
      <c r="Q1722" s="54">
        <f>MID(P1722,5,2)</f>
        <v/>
      </c>
      <c r="R1722" s="53">
        <f>MID(P1722,7,2)</f>
        <v/>
      </c>
      <c r="S1722" s="3" t="inlineStr">
        <is>
          <t>G2G</t>
        </is>
      </c>
      <c r="T1722" s="3" t="inlineStr">
        <is>
          <t>P4</t>
        </is>
      </c>
      <c r="U1722" s="19" t="inlineStr">
        <is>
          <t>P JB Cold Soldering</t>
        </is>
      </c>
      <c r="V1722" s="19" t="inlineStr">
        <is>
          <t>Soldering</t>
        </is>
      </c>
      <c r="W1722" s="3" t="inlineStr">
        <is>
          <t>Repair</t>
        </is>
      </c>
      <c r="X1722" s="18" t="n">
        <v>46163</v>
      </c>
      <c r="Y1722" s="73">
        <f>IF(X1722="","",X1722-A1722)</f>
        <v/>
      </c>
      <c r="Z1722" s="18" t="n">
        <v>46163</v>
      </c>
      <c r="AA1722" s="15" t="n"/>
      <c r="AB1722" s="15" t="n"/>
      <c r="AF1722">
        <f>IF(AND($F1722="Closed",$X1722&gt;=DATE(2026,5,1),$X1722&lt;=DATE(2026,5,31)),"Closed in May","Other")</f>
        <v/>
      </c>
    </row>
    <row r="1723">
      <c r="A1723" s="37" t="n">
        <v>46143</v>
      </c>
      <c r="B1723" s="3" t="n">
        <v>2026</v>
      </c>
      <c r="C1723" s="26" t="inlineStr">
        <is>
          <t>Yanara Power</t>
        </is>
      </c>
      <c r="D1723" s="3" t="inlineStr">
        <is>
          <t>Utility and C&amp;I</t>
        </is>
      </c>
      <c r="E1723" s="3" t="n"/>
      <c r="F1723" s="3" t="inlineStr">
        <is>
          <t>Closed</t>
        </is>
      </c>
      <c r="G1723" s="9" t="inlineStr">
        <is>
          <t xml:space="preserve">Ashish Jindal </t>
        </is>
      </c>
      <c r="H1723" s="26" t="n">
        <v>9983975581</v>
      </c>
      <c r="I1723" s="38" t="inlineStr">
        <is>
          <t>PE01052601</t>
        </is>
      </c>
      <c r="J1723" s="26" t="inlineStr">
        <is>
          <t>Multiple Issues</t>
        </is>
      </c>
      <c r="K1723" s="39" t="inlineStr">
        <is>
          <t>Holi</t>
        </is>
      </c>
      <c r="L1723" s="39" t="inlineStr">
        <is>
          <t>Maharashtra</t>
        </is>
      </c>
      <c r="M1723" s="46" t="inlineStr">
        <is>
          <t>PS</t>
        </is>
      </c>
      <c r="N1723" s="3" t="inlineStr">
        <is>
          <t>Cold Soldering</t>
        </is>
      </c>
      <c r="O1723" s="56" t="n">
        <v>575</v>
      </c>
      <c r="P1723" s="9" t="inlineStr">
        <is>
          <t>NSMI24070182545</t>
        </is>
      </c>
      <c r="Q1723" s="54">
        <f>MID(P1723,5,2)</f>
        <v/>
      </c>
      <c r="R1723" s="53">
        <f>MID(P1723,7,2)</f>
        <v/>
      </c>
      <c r="S1723" s="3" t="inlineStr">
        <is>
          <t>G2G</t>
        </is>
      </c>
      <c r="T1723" s="3" t="inlineStr">
        <is>
          <t>P4</t>
        </is>
      </c>
      <c r="U1723" s="19" t="inlineStr">
        <is>
          <t>P JB Cold Soldering</t>
        </is>
      </c>
      <c r="V1723" s="19" t="inlineStr">
        <is>
          <t>Soldering</t>
        </is>
      </c>
      <c r="W1723" s="3" t="inlineStr">
        <is>
          <t>Repair</t>
        </is>
      </c>
      <c r="X1723" s="18" t="n">
        <v>46163</v>
      </c>
      <c r="Y1723" s="73">
        <f>IF(X1723="","",X1723-A1723)</f>
        <v/>
      </c>
      <c r="Z1723" s="18" t="n">
        <v>46163</v>
      </c>
      <c r="AA1723" s="15" t="n"/>
      <c r="AB1723" s="15" t="n"/>
      <c r="AF1723">
        <f>IF(AND($F1723="Closed",$X1723&gt;=DATE(2026,5,1),$X1723&lt;=DATE(2026,5,31)),"Closed in May","Other")</f>
        <v/>
      </c>
    </row>
    <row r="1724">
      <c r="A1724" s="37" t="n">
        <v>46143</v>
      </c>
      <c r="B1724" s="3" t="n">
        <v>2026</v>
      </c>
      <c r="C1724" s="26" t="inlineStr">
        <is>
          <t>Yanara Power</t>
        </is>
      </c>
      <c r="D1724" s="3" t="inlineStr">
        <is>
          <t>Utility and C&amp;I</t>
        </is>
      </c>
      <c r="E1724" s="3" t="n"/>
      <c r="F1724" s="3" t="inlineStr">
        <is>
          <t>Closed</t>
        </is>
      </c>
      <c r="G1724" s="9" t="inlineStr">
        <is>
          <t xml:space="preserve">Ashish Jindal </t>
        </is>
      </c>
      <c r="H1724" s="26" t="n">
        <v>9983975581</v>
      </c>
      <c r="I1724" s="38" t="inlineStr">
        <is>
          <t>PE01052601</t>
        </is>
      </c>
      <c r="J1724" s="26" t="inlineStr">
        <is>
          <t>Multiple Issues</t>
        </is>
      </c>
      <c r="K1724" s="39" t="inlineStr">
        <is>
          <t>Holi</t>
        </is>
      </c>
      <c r="L1724" s="39" t="inlineStr">
        <is>
          <t>Maharashtra</t>
        </is>
      </c>
      <c r="M1724" s="46" t="inlineStr">
        <is>
          <t>PS</t>
        </is>
      </c>
      <c r="N1724" s="3" t="inlineStr">
        <is>
          <t>Cold Soldering</t>
        </is>
      </c>
      <c r="O1724" s="56" t="n">
        <v>575</v>
      </c>
      <c r="P1724" s="9" t="inlineStr">
        <is>
          <t>NSMI24070180566</t>
        </is>
      </c>
      <c r="Q1724" s="54">
        <f>MID(P1724,5,2)</f>
        <v/>
      </c>
      <c r="R1724" s="53">
        <f>MID(P1724,7,2)</f>
        <v/>
      </c>
      <c r="S1724" s="3" t="inlineStr">
        <is>
          <t>G2G</t>
        </is>
      </c>
      <c r="T1724" s="3" t="inlineStr">
        <is>
          <t>P4</t>
        </is>
      </c>
      <c r="U1724" s="19" t="inlineStr">
        <is>
          <t>P JB Cold Soldering</t>
        </is>
      </c>
      <c r="V1724" s="19" t="inlineStr">
        <is>
          <t>Soldering</t>
        </is>
      </c>
      <c r="W1724" s="3" t="inlineStr">
        <is>
          <t>Repair</t>
        </is>
      </c>
      <c r="X1724" s="18" t="n">
        <v>46163</v>
      </c>
      <c r="Y1724" s="73">
        <f>IF(X1724="","",X1724-A1724)</f>
        <v/>
      </c>
      <c r="Z1724" s="18" t="n">
        <v>46163</v>
      </c>
      <c r="AA1724" s="15" t="n"/>
      <c r="AB1724" s="15" t="n"/>
      <c r="AF1724">
        <f>IF(AND($F1724="Closed",$X1724&gt;=DATE(2026,5,1),$X1724&lt;=DATE(2026,5,31)),"Closed in May","Other")</f>
        <v/>
      </c>
    </row>
    <row r="1725">
      <c r="A1725" s="37" t="n">
        <v>46143</v>
      </c>
      <c r="B1725" s="3" t="n">
        <v>2026</v>
      </c>
      <c r="C1725" s="26" t="inlineStr">
        <is>
          <t>Yanara Power</t>
        </is>
      </c>
      <c r="D1725" s="3" t="inlineStr">
        <is>
          <t>Utility and C&amp;I</t>
        </is>
      </c>
      <c r="E1725" s="3" t="n"/>
      <c r="F1725" s="3" t="inlineStr">
        <is>
          <t>Closed</t>
        </is>
      </c>
      <c r="G1725" s="9" t="inlineStr">
        <is>
          <t xml:space="preserve">Ashish Jindal </t>
        </is>
      </c>
      <c r="H1725" s="26" t="n">
        <v>9983975581</v>
      </c>
      <c r="I1725" s="38" t="inlineStr">
        <is>
          <t>PE01052601</t>
        </is>
      </c>
      <c r="J1725" s="26" t="inlineStr">
        <is>
          <t>Multiple Issues</t>
        </is>
      </c>
      <c r="K1725" s="39" t="inlineStr">
        <is>
          <t>Holi</t>
        </is>
      </c>
      <c r="L1725" s="39" t="inlineStr">
        <is>
          <t>Maharashtra</t>
        </is>
      </c>
      <c r="M1725" s="46" t="inlineStr">
        <is>
          <t>PS</t>
        </is>
      </c>
      <c r="N1725" s="3" t="inlineStr">
        <is>
          <t>Cold Soldering</t>
        </is>
      </c>
      <c r="O1725" s="56" t="n">
        <v>575</v>
      </c>
      <c r="P1725" s="9" t="inlineStr">
        <is>
          <t>NSMI24070182561</t>
        </is>
      </c>
      <c r="Q1725" s="54">
        <f>MID(P1725,5,2)</f>
        <v/>
      </c>
      <c r="R1725" s="53">
        <f>MID(P1725,7,2)</f>
        <v/>
      </c>
      <c r="S1725" s="3" t="inlineStr">
        <is>
          <t>G2G</t>
        </is>
      </c>
      <c r="T1725" s="3" t="inlineStr">
        <is>
          <t>P4</t>
        </is>
      </c>
      <c r="U1725" s="19" t="inlineStr">
        <is>
          <t>P JB Cold Soldering</t>
        </is>
      </c>
      <c r="V1725" s="19" t="inlineStr">
        <is>
          <t>Soldering</t>
        </is>
      </c>
      <c r="W1725" s="3" t="inlineStr">
        <is>
          <t>Repair</t>
        </is>
      </c>
      <c r="X1725" s="18" t="n">
        <v>46163</v>
      </c>
      <c r="Y1725" s="73">
        <f>IF(X1725="","",X1725-A1725)</f>
        <v/>
      </c>
      <c r="Z1725" s="18" t="n">
        <v>46163</v>
      </c>
      <c r="AA1725" s="15" t="n"/>
      <c r="AB1725" s="15" t="n"/>
      <c r="AF1725">
        <f>IF(AND($F1725="Closed",$X1725&gt;=DATE(2026,5,1),$X1725&lt;=DATE(2026,5,31)),"Closed in May","Other")</f>
        <v/>
      </c>
    </row>
    <row r="1726">
      <c r="A1726" s="37" t="n">
        <v>46143</v>
      </c>
      <c r="B1726" s="3" t="n">
        <v>2026</v>
      </c>
      <c r="C1726" s="26" t="inlineStr">
        <is>
          <t>Yanara Power</t>
        </is>
      </c>
      <c r="D1726" s="3" t="inlineStr">
        <is>
          <t>Utility and C&amp;I</t>
        </is>
      </c>
      <c r="E1726" s="3" t="n"/>
      <c r="F1726" s="3" t="inlineStr">
        <is>
          <t>Closed</t>
        </is>
      </c>
      <c r="G1726" s="9" t="inlineStr">
        <is>
          <t xml:space="preserve">Ashish Jindal </t>
        </is>
      </c>
      <c r="H1726" s="26" t="n">
        <v>9983975581</v>
      </c>
      <c r="I1726" s="38" t="inlineStr">
        <is>
          <t>PE01052601</t>
        </is>
      </c>
      <c r="J1726" s="26" t="inlineStr">
        <is>
          <t>Multiple Issues</t>
        </is>
      </c>
      <c r="K1726" s="39" t="inlineStr">
        <is>
          <t>Holi</t>
        </is>
      </c>
      <c r="L1726" s="39" t="inlineStr">
        <is>
          <t>Maharashtra</t>
        </is>
      </c>
      <c r="M1726" s="46" t="inlineStr">
        <is>
          <t>PS</t>
        </is>
      </c>
      <c r="N1726" s="3" t="inlineStr">
        <is>
          <t>Cold Soldering</t>
        </is>
      </c>
      <c r="O1726" s="56" t="n">
        <v>575</v>
      </c>
      <c r="P1726" s="9" t="inlineStr">
        <is>
          <t>NSMI24070184282</t>
        </is>
      </c>
      <c r="Q1726" s="54">
        <f>MID(P1726,5,2)</f>
        <v/>
      </c>
      <c r="R1726" s="53">
        <f>MID(P1726,7,2)</f>
        <v/>
      </c>
      <c r="S1726" s="3" t="inlineStr">
        <is>
          <t>G2G</t>
        </is>
      </c>
      <c r="T1726" s="3" t="inlineStr">
        <is>
          <t>P4</t>
        </is>
      </c>
      <c r="U1726" s="19" t="inlineStr">
        <is>
          <t>P JB Cold Soldering</t>
        </is>
      </c>
      <c r="V1726" s="19" t="inlineStr">
        <is>
          <t>Soldering</t>
        </is>
      </c>
      <c r="W1726" s="3" t="inlineStr">
        <is>
          <t>Repair</t>
        </is>
      </c>
      <c r="X1726" s="18" t="n">
        <v>46163</v>
      </c>
      <c r="Y1726" s="73">
        <f>IF(X1726="","",X1726-A1726)</f>
        <v/>
      </c>
      <c r="Z1726" s="18" t="n">
        <v>46163</v>
      </c>
      <c r="AA1726" s="15" t="n"/>
      <c r="AB1726" s="15" t="n"/>
      <c r="AF1726">
        <f>IF(AND($F1726="Closed",$X1726&gt;=DATE(2026,5,1),$X1726&lt;=DATE(2026,5,31)),"Closed in May","Other")</f>
        <v/>
      </c>
    </row>
    <row r="1727">
      <c r="A1727" s="37" t="n">
        <v>46143</v>
      </c>
      <c r="B1727" s="3" t="n">
        <v>2026</v>
      </c>
      <c r="C1727" s="26" t="inlineStr">
        <is>
          <t>Yanara Power</t>
        </is>
      </c>
      <c r="D1727" s="3" t="inlineStr">
        <is>
          <t>Utility and C&amp;I</t>
        </is>
      </c>
      <c r="E1727" s="3" t="n"/>
      <c r="F1727" s="3" t="inlineStr">
        <is>
          <t>Closed</t>
        </is>
      </c>
      <c r="G1727" s="9" t="inlineStr">
        <is>
          <t xml:space="preserve">Ashish Jindal </t>
        </is>
      </c>
      <c r="H1727" s="26" t="n">
        <v>9983975581</v>
      </c>
      <c r="I1727" s="38" t="inlineStr">
        <is>
          <t>PE01052601</t>
        </is>
      </c>
      <c r="J1727" s="26" t="inlineStr">
        <is>
          <t>Multiple Issues</t>
        </is>
      </c>
      <c r="K1727" s="39" t="inlineStr">
        <is>
          <t>Holi</t>
        </is>
      </c>
      <c r="L1727" s="39" t="inlineStr">
        <is>
          <t>Maharashtra</t>
        </is>
      </c>
      <c r="M1727" s="46" t="inlineStr">
        <is>
          <t>PR</t>
        </is>
      </c>
      <c r="N1727" s="3" t="inlineStr">
        <is>
          <t>JB Issue</t>
        </is>
      </c>
      <c r="O1727" s="56" t="n">
        <v>575</v>
      </c>
      <c r="P1727" s="9" t="inlineStr">
        <is>
          <t>NSMI24070181935</t>
        </is>
      </c>
      <c r="Q1727" s="54">
        <f>MID(P1727,5,2)</f>
        <v/>
      </c>
      <c r="R1727" s="53">
        <f>MID(P1727,7,2)</f>
        <v/>
      </c>
      <c r="S1727" s="3" t="inlineStr">
        <is>
          <t>G2G</t>
        </is>
      </c>
      <c r="T1727" s="3" t="inlineStr">
        <is>
          <t>P4</t>
        </is>
      </c>
      <c r="U1727" s="3" t="inlineStr">
        <is>
          <t>P JB Issue</t>
        </is>
      </c>
      <c r="V1727" s="15" t="inlineStr">
        <is>
          <t>JB Changed</t>
        </is>
      </c>
      <c r="W1727" s="3" t="inlineStr">
        <is>
          <t>Repair</t>
        </is>
      </c>
      <c r="X1727" s="18" t="n">
        <v>46163</v>
      </c>
      <c r="Y1727" s="73">
        <f>IF(X1727="","",X1727-A1727)</f>
        <v/>
      </c>
      <c r="Z1727" s="18" t="n">
        <v>46163</v>
      </c>
      <c r="AA1727" s="15" t="n"/>
      <c r="AB1727" s="15" t="n"/>
      <c r="AF1727">
        <f>IF(AND($F1727="Closed",$X1727&gt;=DATE(2026,5,1),$X1727&lt;=DATE(2026,5,31)),"Closed in May","Other")</f>
        <v/>
      </c>
    </row>
    <row r="1728">
      <c r="A1728" s="37" t="n">
        <v>46143</v>
      </c>
      <c r="B1728" s="3" t="n">
        <v>2026</v>
      </c>
      <c r="C1728" s="26" t="inlineStr">
        <is>
          <t>Yanara Power</t>
        </is>
      </c>
      <c r="D1728" s="3" t="inlineStr">
        <is>
          <t>Utility and C&amp;I</t>
        </is>
      </c>
      <c r="E1728" s="3" t="n"/>
      <c r="F1728" s="3" t="inlineStr">
        <is>
          <t>Closed</t>
        </is>
      </c>
      <c r="G1728" s="9" t="inlineStr">
        <is>
          <t xml:space="preserve">Ashish Jindal </t>
        </is>
      </c>
      <c r="H1728" s="26" t="n">
        <v>9983975581</v>
      </c>
      <c r="I1728" s="38" t="inlineStr">
        <is>
          <t>PE01052601</t>
        </is>
      </c>
      <c r="J1728" s="26" t="inlineStr">
        <is>
          <t>Multiple Issues</t>
        </is>
      </c>
      <c r="K1728" s="39" t="inlineStr">
        <is>
          <t>Holi</t>
        </is>
      </c>
      <c r="L1728" s="39" t="inlineStr">
        <is>
          <t>Maharashtra</t>
        </is>
      </c>
      <c r="M1728" s="46" t="inlineStr">
        <is>
          <t>PR</t>
        </is>
      </c>
      <c r="N1728" s="3" t="inlineStr">
        <is>
          <t>JB Issue</t>
        </is>
      </c>
      <c r="O1728" s="56" t="n">
        <v>575</v>
      </c>
      <c r="P1728" s="9" t="inlineStr">
        <is>
          <t>NSMI24070181794</t>
        </is>
      </c>
      <c r="Q1728" s="54">
        <f>MID(P1728,5,2)</f>
        <v/>
      </c>
      <c r="R1728" s="53">
        <f>MID(P1728,7,2)</f>
        <v/>
      </c>
      <c r="S1728" s="3" t="inlineStr">
        <is>
          <t>G2G</t>
        </is>
      </c>
      <c r="T1728" s="3" t="inlineStr">
        <is>
          <t>P4</t>
        </is>
      </c>
      <c r="U1728" s="3" t="inlineStr">
        <is>
          <t>P JB Issue</t>
        </is>
      </c>
      <c r="V1728" s="15" t="inlineStr">
        <is>
          <t>JB Changed</t>
        </is>
      </c>
      <c r="W1728" s="3" t="inlineStr">
        <is>
          <t>Repair</t>
        </is>
      </c>
      <c r="X1728" s="18" t="n">
        <v>46163</v>
      </c>
      <c r="Y1728" s="73">
        <f>IF(X1728="","",X1728-A1728)</f>
        <v/>
      </c>
      <c r="Z1728" s="18" t="n">
        <v>46163</v>
      </c>
      <c r="AA1728" s="15" t="n"/>
      <c r="AB1728" s="15" t="n"/>
      <c r="AF1728">
        <f>IF(AND($F1728="Closed",$X1728&gt;=DATE(2026,5,1),$X1728&lt;=DATE(2026,5,31)),"Closed in May","Other")</f>
        <v/>
      </c>
    </row>
    <row r="1729">
      <c r="A1729" s="37" t="n">
        <v>46143</v>
      </c>
      <c r="B1729" s="3" t="n">
        <v>2026</v>
      </c>
      <c r="C1729" s="26" t="inlineStr">
        <is>
          <t>Yanara Power</t>
        </is>
      </c>
      <c r="D1729" s="3" t="inlineStr">
        <is>
          <t>Utility and C&amp;I</t>
        </is>
      </c>
      <c r="E1729" s="3" t="n"/>
      <c r="F1729" s="3" t="inlineStr">
        <is>
          <t>Closed</t>
        </is>
      </c>
      <c r="G1729" s="9" t="inlineStr">
        <is>
          <t xml:space="preserve">Ashish Jindal </t>
        </is>
      </c>
      <c r="H1729" s="26" t="n">
        <v>9983975581</v>
      </c>
      <c r="I1729" s="38" t="inlineStr">
        <is>
          <t>PE01052601</t>
        </is>
      </c>
      <c r="J1729" s="26" t="inlineStr">
        <is>
          <t>Multiple Issues</t>
        </is>
      </c>
      <c r="K1729" s="39" t="inlineStr">
        <is>
          <t>Holi</t>
        </is>
      </c>
      <c r="L1729" s="39" t="inlineStr">
        <is>
          <t>Maharashtra</t>
        </is>
      </c>
      <c r="M1729" s="46" t="inlineStr">
        <is>
          <t>PS</t>
        </is>
      </c>
      <c r="N1729" s="3" t="inlineStr">
        <is>
          <t>Cold Soldering</t>
        </is>
      </c>
      <c r="O1729" s="56" t="n">
        <v>575</v>
      </c>
      <c r="P1729" s="9" t="inlineStr">
        <is>
          <t>NSMI24070176505</t>
        </is>
      </c>
      <c r="Q1729" s="54">
        <f>MID(P1729,5,2)</f>
        <v/>
      </c>
      <c r="R1729" s="53">
        <f>MID(P1729,7,2)</f>
        <v/>
      </c>
      <c r="S1729" s="3" t="inlineStr">
        <is>
          <t>G2G</t>
        </is>
      </c>
      <c r="T1729" s="3" t="inlineStr">
        <is>
          <t>P4</t>
        </is>
      </c>
      <c r="U1729" s="19" t="inlineStr">
        <is>
          <t>P JB Cold Soldering</t>
        </is>
      </c>
      <c r="V1729" s="19" t="inlineStr">
        <is>
          <t>Soldering</t>
        </is>
      </c>
      <c r="W1729" s="3" t="inlineStr">
        <is>
          <t>Repair</t>
        </is>
      </c>
      <c r="X1729" s="18" t="n">
        <v>46163</v>
      </c>
      <c r="Y1729" s="73">
        <f>IF(X1729="","",X1729-A1729)</f>
        <v/>
      </c>
      <c r="Z1729" s="18" t="n">
        <v>46163</v>
      </c>
      <c r="AA1729" s="15" t="n"/>
      <c r="AB1729" s="15" t="n"/>
      <c r="AF1729">
        <f>IF(AND($F1729="Closed",$X1729&gt;=DATE(2026,5,1),$X1729&lt;=DATE(2026,5,31)),"Closed in May","Other")</f>
        <v/>
      </c>
    </row>
    <row r="1730">
      <c r="A1730" s="37" t="n">
        <v>46143</v>
      </c>
      <c r="B1730" s="3" t="n">
        <v>2026</v>
      </c>
      <c r="C1730" s="26" t="inlineStr">
        <is>
          <t>Yanara Power</t>
        </is>
      </c>
      <c r="D1730" s="3" t="inlineStr">
        <is>
          <t>Utility and C&amp;I</t>
        </is>
      </c>
      <c r="E1730" s="3" t="n"/>
      <c r="F1730" s="3" t="inlineStr">
        <is>
          <t>Closed</t>
        </is>
      </c>
      <c r="G1730" s="9" t="inlineStr">
        <is>
          <t xml:space="preserve">Ashish Jindal </t>
        </is>
      </c>
      <c r="H1730" s="26" t="n">
        <v>9983975581</v>
      </c>
      <c r="I1730" s="38" t="inlineStr">
        <is>
          <t>PE01052601</t>
        </is>
      </c>
      <c r="J1730" s="26" t="inlineStr">
        <is>
          <t>Multiple Issues</t>
        </is>
      </c>
      <c r="K1730" s="39" t="inlineStr">
        <is>
          <t>Holi</t>
        </is>
      </c>
      <c r="L1730" s="39" t="inlineStr">
        <is>
          <t>Maharashtra</t>
        </is>
      </c>
      <c r="M1730" s="46" t="inlineStr">
        <is>
          <t>PS</t>
        </is>
      </c>
      <c r="N1730" s="3" t="inlineStr">
        <is>
          <t>Cold Soldering</t>
        </is>
      </c>
      <c r="O1730" s="56" t="n">
        <v>575</v>
      </c>
      <c r="P1730" s="9" t="inlineStr">
        <is>
          <t>NSMI24070183712</t>
        </is>
      </c>
      <c r="Q1730" s="54">
        <f>MID(P1730,5,2)</f>
        <v/>
      </c>
      <c r="R1730" s="53">
        <f>MID(P1730,7,2)</f>
        <v/>
      </c>
      <c r="S1730" s="3" t="inlineStr">
        <is>
          <t>G2G</t>
        </is>
      </c>
      <c r="T1730" s="3" t="inlineStr">
        <is>
          <t>P4</t>
        </is>
      </c>
      <c r="U1730" s="19" t="inlineStr">
        <is>
          <t>P JB Cold Soldering</t>
        </is>
      </c>
      <c r="V1730" s="19" t="inlineStr">
        <is>
          <t>Soldering</t>
        </is>
      </c>
      <c r="W1730" s="3" t="inlineStr">
        <is>
          <t>Repair</t>
        </is>
      </c>
      <c r="X1730" s="18" t="n">
        <v>46163</v>
      </c>
      <c r="Y1730" s="73">
        <f>IF(X1730="","",X1730-A1730)</f>
        <v/>
      </c>
      <c r="Z1730" s="18" t="n">
        <v>46163</v>
      </c>
      <c r="AA1730" s="15" t="n"/>
      <c r="AB1730" s="15" t="n"/>
      <c r="AF1730">
        <f>IF(AND($F1730="Closed",$X1730&gt;=DATE(2026,5,1),$X1730&lt;=DATE(2026,5,31)),"Closed in May","Other")</f>
        <v/>
      </c>
    </row>
    <row r="1731">
      <c r="A1731" s="37" t="n">
        <v>46143</v>
      </c>
      <c r="B1731" s="3" t="n">
        <v>2026</v>
      </c>
      <c r="C1731" s="26" t="inlineStr">
        <is>
          <t>Yanara Power</t>
        </is>
      </c>
      <c r="D1731" s="3" t="inlineStr">
        <is>
          <t>Utility and C&amp;I</t>
        </is>
      </c>
      <c r="E1731" s="3" t="n"/>
      <c r="F1731" s="3" t="inlineStr">
        <is>
          <t>Closed</t>
        </is>
      </c>
      <c r="G1731" s="9" t="inlineStr">
        <is>
          <t xml:space="preserve">Ashish Jindal </t>
        </is>
      </c>
      <c r="H1731" s="26" t="n">
        <v>9983975581</v>
      </c>
      <c r="I1731" s="38" t="inlineStr">
        <is>
          <t>PE01052601</t>
        </is>
      </c>
      <c r="J1731" s="26" t="inlineStr">
        <is>
          <t>Multiple Issues</t>
        </is>
      </c>
      <c r="K1731" s="39" t="inlineStr">
        <is>
          <t>Holi</t>
        </is>
      </c>
      <c r="L1731" s="39" t="inlineStr">
        <is>
          <t>Maharashtra</t>
        </is>
      </c>
      <c r="M1731" s="46" t="inlineStr">
        <is>
          <t>PS</t>
        </is>
      </c>
      <c r="N1731" s="3" t="inlineStr">
        <is>
          <t>Cold Soldering</t>
        </is>
      </c>
      <c r="O1731" s="56" t="n">
        <v>575</v>
      </c>
      <c r="P1731" s="9" t="inlineStr">
        <is>
          <t>NSMI24070177244</t>
        </is>
      </c>
      <c r="Q1731" s="54">
        <f>MID(P1731,5,2)</f>
        <v/>
      </c>
      <c r="R1731" s="53">
        <f>MID(P1731,7,2)</f>
        <v/>
      </c>
      <c r="S1731" s="3" t="inlineStr">
        <is>
          <t>G2G</t>
        </is>
      </c>
      <c r="T1731" s="3" t="inlineStr">
        <is>
          <t>P4</t>
        </is>
      </c>
      <c r="U1731" s="19" t="inlineStr">
        <is>
          <t>P JB Cold Soldering</t>
        </is>
      </c>
      <c r="V1731" s="19" t="inlineStr">
        <is>
          <t>Soldering</t>
        </is>
      </c>
      <c r="W1731" s="3" t="inlineStr">
        <is>
          <t>Repair</t>
        </is>
      </c>
      <c r="X1731" s="18" t="n">
        <v>46163</v>
      </c>
      <c r="Y1731" s="73">
        <f>IF(X1731="","",X1731-A1731)</f>
        <v/>
      </c>
      <c r="Z1731" s="18" t="n">
        <v>46163</v>
      </c>
      <c r="AA1731" s="15" t="n"/>
      <c r="AB1731" s="15" t="n"/>
      <c r="AF1731">
        <f>IF(AND($F1731="Closed",$X1731&gt;=DATE(2026,5,1),$X1731&lt;=DATE(2026,5,31)),"Closed in May","Other")</f>
        <v/>
      </c>
    </row>
    <row r="1732">
      <c r="A1732" s="37" t="n">
        <v>46143</v>
      </c>
      <c r="B1732" s="3" t="n">
        <v>2026</v>
      </c>
      <c r="C1732" s="26" t="inlineStr">
        <is>
          <t>Yanara Power</t>
        </is>
      </c>
      <c r="D1732" s="3" t="inlineStr">
        <is>
          <t>Utility and C&amp;I</t>
        </is>
      </c>
      <c r="E1732" s="3" t="n"/>
      <c r="F1732" s="3" t="inlineStr">
        <is>
          <t>Closed</t>
        </is>
      </c>
      <c r="G1732" s="9" t="inlineStr">
        <is>
          <t xml:space="preserve">Ashish Jindal </t>
        </is>
      </c>
      <c r="H1732" s="26" t="n">
        <v>9983975581</v>
      </c>
      <c r="I1732" s="38" t="inlineStr">
        <is>
          <t>PE01052601</t>
        </is>
      </c>
      <c r="J1732" s="26" t="inlineStr">
        <is>
          <t>Multiple Issues</t>
        </is>
      </c>
      <c r="K1732" s="39" t="inlineStr">
        <is>
          <t>Holi</t>
        </is>
      </c>
      <c r="L1732" s="39" t="inlineStr">
        <is>
          <t>Maharashtra</t>
        </is>
      </c>
      <c r="M1732" s="46" t="inlineStr">
        <is>
          <t>PNS</t>
        </is>
      </c>
      <c r="N1732" s="3" t="inlineStr">
        <is>
          <t>Cold Soldering</t>
        </is>
      </c>
      <c r="O1732" s="56" t="n">
        <v>575</v>
      </c>
      <c r="P1732" s="9" t="inlineStr">
        <is>
          <t>NSMI24070177774</t>
        </is>
      </c>
      <c r="Q1732" s="54">
        <f>MID(P1732,5,2)</f>
        <v/>
      </c>
      <c r="R1732" s="53">
        <f>MID(P1732,7,2)</f>
        <v/>
      </c>
      <c r="S1732" s="3" t="inlineStr">
        <is>
          <t>G2G</t>
        </is>
      </c>
      <c r="T1732" s="3" t="inlineStr">
        <is>
          <t>P4</t>
        </is>
      </c>
      <c r="U1732" s="3" t="inlineStr">
        <is>
          <t>P &amp; N JB Cold Soldering</t>
        </is>
      </c>
      <c r="V1732" s="3" t="inlineStr">
        <is>
          <t>Soldering</t>
        </is>
      </c>
      <c r="W1732" s="3" t="inlineStr">
        <is>
          <t>Repair</t>
        </is>
      </c>
      <c r="X1732" s="18" t="n">
        <v>46163</v>
      </c>
      <c r="Y1732" s="73">
        <f>IF(X1732="","",X1732-A1732)</f>
        <v/>
      </c>
      <c r="Z1732" s="18" t="n">
        <v>46163</v>
      </c>
      <c r="AA1732" s="15" t="n"/>
      <c r="AB1732" s="15" t="n"/>
      <c r="AF1732">
        <f>IF(AND($F1732="Closed",$X1732&gt;=DATE(2026,5,1),$X1732&lt;=DATE(2026,5,31)),"Closed in May","Other")</f>
        <v/>
      </c>
    </row>
    <row r="1733">
      <c r="A1733" s="37" t="n">
        <v>46143</v>
      </c>
      <c r="B1733" s="3" t="n">
        <v>2026</v>
      </c>
      <c r="C1733" s="26" t="inlineStr">
        <is>
          <t>Yanara Power</t>
        </is>
      </c>
      <c r="D1733" s="3" t="inlineStr">
        <is>
          <t>Utility and C&amp;I</t>
        </is>
      </c>
      <c r="E1733" s="3" t="n"/>
      <c r="F1733" s="3" t="inlineStr">
        <is>
          <t>Closed</t>
        </is>
      </c>
      <c r="G1733" s="9" t="inlineStr">
        <is>
          <t xml:space="preserve">Ashish Jindal </t>
        </is>
      </c>
      <c r="H1733" s="26" t="n">
        <v>9983975581</v>
      </c>
      <c r="I1733" s="38" t="inlineStr">
        <is>
          <t>PE01052601</t>
        </is>
      </c>
      <c r="J1733" s="26" t="inlineStr">
        <is>
          <t>Multiple Issues</t>
        </is>
      </c>
      <c r="K1733" s="39" t="inlineStr">
        <is>
          <t>Holi</t>
        </is>
      </c>
      <c r="L1733" s="39" t="inlineStr">
        <is>
          <t>Maharashtra</t>
        </is>
      </c>
      <c r="M1733" s="46" t="inlineStr">
        <is>
          <t>PS</t>
        </is>
      </c>
      <c r="N1733" s="3" t="inlineStr">
        <is>
          <t>Cold Soldering</t>
        </is>
      </c>
      <c r="O1733" s="56" t="n">
        <v>575</v>
      </c>
      <c r="P1733" s="9" t="inlineStr">
        <is>
          <t>NSMI24070182697</t>
        </is>
      </c>
      <c r="Q1733" s="54">
        <f>MID(P1733,5,2)</f>
        <v/>
      </c>
      <c r="R1733" s="53">
        <f>MID(P1733,7,2)</f>
        <v/>
      </c>
      <c r="S1733" s="3" t="inlineStr">
        <is>
          <t>G2G</t>
        </is>
      </c>
      <c r="T1733" s="3" t="inlineStr">
        <is>
          <t>P4</t>
        </is>
      </c>
      <c r="U1733" s="19" t="inlineStr">
        <is>
          <t>P JB Cold Soldering</t>
        </is>
      </c>
      <c r="V1733" s="19" t="inlineStr">
        <is>
          <t>Soldering</t>
        </is>
      </c>
      <c r="W1733" s="3" t="inlineStr">
        <is>
          <t>Repair</t>
        </is>
      </c>
      <c r="X1733" s="18" t="n">
        <v>46163</v>
      </c>
      <c r="Y1733" s="73">
        <f>IF(X1733="","",X1733-A1733)</f>
        <v/>
      </c>
      <c r="Z1733" s="18" t="n">
        <v>46163</v>
      </c>
      <c r="AA1733" s="15" t="n"/>
      <c r="AB1733" s="15" t="n"/>
      <c r="AF1733">
        <f>IF(AND($F1733="Closed",$X1733&gt;=DATE(2026,5,1),$X1733&lt;=DATE(2026,5,31)),"Closed in May","Other")</f>
        <v/>
      </c>
    </row>
    <row r="1734">
      <c r="A1734" s="37" t="n">
        <v>46143</v>
      </c>
      <c r="B1734" s="3" t="n">
        <v>2026</v>
      </c>
      <c r="C1734" s="26" t="inlineStr">
        <is>
          <t>Yanara Power</t>
        </is>
      </c>
      <c r="D1734" s="3" t="inlineStr">
        <is>
          <t>Utility and C&amp;I</t>
        </is>
      </c>
      <c r="E1734" s="3" t="n"/>
      <c r="F1734" s="3" t="inlineStr">
        <is>
          <t>Closed</t>
        </is>
      </c>
      <c r="G1734" s="9" t="inlineStr">
        <is>
          <t xml:space="preserve">Ashish Jindal </t>
        </is>
      </c>
      <c r="H1734" s="26" t="n">
        <v>9983975581</v>
      </c>
      <c r="I1734" s="38" t="inlineStr">
        <is>
          <t>PE01052601</t>
        </is>
      </c>
      <c r="J1734" s="26" t="inlineStr">
        <is>
          <t>Multiple Issues</t>
        </is>
      </c>
      <c r="K1734" s="39" t="inlineStr">
        <is>
          <t>Holi</t>
        </is>
      </c>
      <c r="L1734" s="39" t="inlineStr">
        <is>
          <t>Maharashtra</t>
        </is>
      </c>
      <c r="M1734" s="46" t="inlineStr">
        <is>
          <t>PS</t>
        </is>
      </c>
      <c r="N1734" s="3" t="inlineStr">
        <is>
          <t>Cold Soldering</t>
        </is>
      </c>
      <c r="O1734" s="56" t="n">
        <v>575</v>
      </c>
      <c r="P1734" s="9" t="inlineStr">
        <is>
          <t>NSMI24070219954</t>
        </is>
      </c>
      <c r="Q1734" s="54">
        <f>MID(P1734,5,2)</f>
        <v/>
      </c>
      <c r="R1734" s="53">
        <f>MID(P1734,7,2)</f>
        <v/>
      </c>
      <c r="S1734" s="3" t="inlineStr">
        <is>
          <t>G2G</t>
        </is>
      </c>
      <c r="T1734" s="3" t="inlineStr">
        <is>
          <t>P4</t>
        </is>
      </c>
      <c r="U1734" s="19" t="inlineStr">
        <is>
          <t>P JB Cold Soldering</t>
        </is>
      </c>
      <c r="V1734" s="19" t="inlineStr">
        <is>
          <t>Soldering</t>
        </is>
      </c>
      <c r="W1734" s="3" t="inlineStr">
        <is>
          <t>Repair</t>
        </is>
      </c>
      <c r="X1734" s="18" t="n">
        <v>46163</v>
      </c>
      <c r="Y1734" s="73">
        <f>IF(X1734="","",X1734-A1734)</f>
        <v/>
      </c>
      <c r="Z1734" s="18" t="n">
        <v>46163</v>
      </c>
      <c r="AA1734" s="15" t="n"/>
      <c r="AB1734" s="15" t="n"/>
      <c r="AF1734">
        <f>IF(AND($F1734="Closed",$X1734&gt;=DATE(2026,5,1),$X1734&lt;=DATE(2026,5,31)),"Closed in May","Other")</f>
        <v/>
      </c>
    </row>
    <row r="1735">
      <c r="A1735" s="37" t="n">
        <v>46143</v>
      </c>
      <c r="B1735" s="3" t="n">
        <v>2026</v>
      </c>
      <c r="C1735" s="26" t="inlineStr">
        <is>
          <t>Yanara Power</t>
        </is>
      </c>
      <c r="D1735" s="3" t="inlineStr">
        <is>
          <t>Utility and C&amp;I</t>
        </is>
      </c>
      <c r="E1735" s="3" t="n"/>
      <c r="F1735" s="3" t="inlineStr">
        <is>
          <t>Closed</t>
        </is>
      </c>
      <c r="G1735" s="9" t="inlineStr">
        <is>
          <t xml:space="preserve">Ashish Jindal </t>
        </is>
      </c>
      <c r="H1735" s="26" t="n">
        <v>9983975581</v>
      </c>
      <c r="I1735" s="38" t="inlineStr">
        <is>
          <t>PE01052601</t>
        </is>
      </c>
      <c r="J1735" s="26" t="inlineStr">
        <is>
          <t>Multiple Issues</t>
        </is>
      </c>
      <c r="K1735" s="39" t="inlineStr">
        <is>
          <t>Holi</t>
        </is>
      </c>
      <c r="L1735" s="39" t="inlineStr">
        <is>
          <t>Maharashtra</t>
        </is>
      </c>
      <c r="M1735" s="46" t="inlineStr">
        <is>
          <t>PS</t>
        </is>
      </c>
      <c r="N1735" s="3" t="inlineStr">
        <is>
          <t>Cold Soldering</t>
        </is>
      </c>
      <c r="O1735" s="56" t="n">
        <v>575</v>
      </c>
      <c r="P1735" s="9" t="inlineStr">
        <is>
          <t>NSMI24070176873</t>
        </is>
      </c>
      <c r="Q1735" s="54">
        <f>MID(P1735,5,2)</f>
        <v/>
      </c>
      <c r="R1735" s="53">
        <f>MID(P1735,7,2)</f>
        <v/>
      </c>
      <c r="S1735" s="3" t="inlineStr">
        <is>
          <t>G2G</t>
        </is>
      </c>
      <c r="T1735" s="3" t="inlineStr">
        <is>
          <t>P4</t>
        </is>
      </c>
      <c r="U1735" s="19" t="inlineStr">
        <is>
          <t>P JB Cold Soldering</t>
        </is>
      </c>
      <c r="V1735" s="19" t="inlineStr">
        <is>
          <t>Soldering</t>
        </is>
      </c>
      <c r="W1735" s="3" t="inlineStr">
        <is>
          <t>Repair</t>
        </is>
      </c>
      <c r="X1735" s="18" t="n">
        <v>46163</v>
      </c>
      <c r="Y1735" s="73">
        <f>IF(X1735="","",X1735-A1735)</f>
        <v/>
      </c>
      <c r="Z1735" s="18" t="n">
        <v>46163</v>
      </c>
      <c r="AA1735" s="15" t="n"/>
      <c r="AB1735" s="15" t="n"/>
      <c r="AF1735">
        <f>IF(AND($F1735="Closed",$X1735&gt;=DATE(2026,5,1),$X1735&lt;=DATE(2026,5,31)),"Closed in May","Other")</f>
        <v/>
      </c>
    </row>
    <row r="1736">
      <c r="A1736" s="37" t="n">
        <v>46143</v>
      </c>
      <c r="B1736" s="3" t="n">
        <v>2026</v>
      </c>
      <c r="C1736" s="26" t="inlineStr">
        <is>
          <t>Yanara Power</t>
        </is>
      </c>
      <c r="D1736" s="3" t="inlineStr">
        <is>
          <t>Utility and C&amp;I</t>
        </is>
      </c>
      <c r="E1736" s="3" t="n"/>
      <c r="F1736" s="3" t="inlineStr">
        <is>
          <t>Closed</t>
        </is>
      </c>
      <c r="G1736" s="9" t="inlineStr">
        <is>
          <t xml:space="preserve">Ashish Jindal </t>
        </is>
      </c>
      <c r="H1736" s="26" t="n">
        <v>9983975581</v>
      </c>
      <c r="I1736" s="38" t="inlineStr">
        <is>
          <t>PE01052601</t>
        </is>
      </c>
      <c r="J1736" s="26" t="inlineStr">
        <is>
          <t>Multiple Issues</t>
        </is>
      </c>
      <c r="K1736" s="39" t="inlineStr">
        <is>
          <t>Holi</t>
        </is>
      </c>
      <c r="L1736" s="39" t="inlineStr">
        <is>
          <t>Maharashtra</t>
        </is>
      </c>
      <c r="M1736" s="46" t="inlineStr">
        <is>
          <t>PS</t>
        </is>
      </c>
      <c r="N1736" s="3" t="inlineStr">
        <is>
          <t>Cold Soldering</t>
        </is>
      </c>
      <c r="O1736" s="56" t="n">
        <v>575</v>
      </c>
      <c r="P1736" s="9" t="inlineStr">
        <is>
          <t>NSMI24070176742</t>
        </is>
      </c>
      <c r="Q1736" s="54">
        <f>MID(P1736,5,2)</f>
        <v/>
      </c>
      <c r="R1736" s="53">
        <f>MID(P1736,7,2)</f>
        <v/>
      </c>
      <c r="S1736" s="3" t="inlineStr">
        <is>
          <t>G2G</t>
        </is>
      </c>
      <c r="T1736" s="3" t="inlineStr">
        <is>
          <t>P4</t>
        </is>
      </c>
      <c r="U1736" s="19" t="inlineStr">
        <is>
          <t>P JB Cold Soldering</t>
        </is>
      </c>
      <c r="V1736" s="19" t="inlineStr">
        <is>
          <t>Soldering</t>
        </is>
      </c>
      <c r="W1736" s="3" t="inlineStr">
        <is>
          <t>Repair</t>
        </is>
      </c>
      <c r="X1736" s="18" t="n">
        <v>46163</v>
      </c>
      <c r="Y1736" s="73">
        <f>IF(X1736="","",X1736-A1736)</f>
        <v/>
      </c>
      <c r="Z1736" s="18" t="n">
        <v>46163</v>
      </c>
      <c r="AA1736" s="15" t="n"/>
      <c r="AB1736" s="15" t="n"/>
      <c r="AF1736">
        <f>IF(AND($F1736="Closed",$X1736&gt;=DATE(2026,5,1),$X1736&lt;=DATE(2026,5,31)),"Closed in May","Other")</f>
        <v/>
      </c>
    </row>
    <row r="1737">
      <c r="A1737" s="37" t="n">
        <v>46143</v>
      </c>
      <c r="B1737" s="3" t="n">
        <v>2026</v>
      </c>
      <c r="C1737" s="26" t="inlineStr">
        <is>
          <t>Yanara Power</t>
        </is>
      </c>
      <c r="D1737" s="3" t="inlineStr">
        <is>
          <t>Utility and C&amp;I</t>
        </is>
      </c>
      <c r="E1737" s="3" t="n"/>
      <c r="F1737" s="3" t="inlineStr">
        <is>
          <t>Closed</t>
        </is>
      </c>
      <c r="G1737" s="9" t="inlineStr">
        <is>
          <t xml:space="preserve">Ashish Jindal </t>
        </is>
      </c>
      <c r="H1737" s="26" t="n">
        <v>9983975581</v>
      </c>
      <c r="I1737" s="38" t="inlineStr">
        <is>
          <t>PE01052601</t>
        </is>
      </c>
      <c r="J1737" s="26" t="inlineStr">
        <is>
          <t>Multiple Issues</t>
        </is>
      </c>
      <c r="K1737" s="39" t="inlineStr">
        <is>
          <t>Holi</t>
        </is>
      </c>
      <c r="L1737" s="39" t="inlineStr">
        <is>
          <t>Maharashtra</t>
        </is>
      </c>
      <c r="M1737" s="46" t="inlineStr">
        <is>
          <t>NS</t>
        </is>
      </c>
      <c r="N1737" s="3" t="inlineStr">
        <is>
          <t>Cold Soldering</t>
        </is>
      </c>
      <c r="O1737" s="56" t="n">
        <v>575</v>
      </c>
      <c r="P1737" s="9" t="inlineStr">
        <is>
          <t>NSMI24070179025</t>
        </is>
      </c>
      <c r="Q1737" s="54">
        <f>MID(P1737,5,2)</f>
        <v/>
      </c>
      <c r="R1737" s="53">
        <f>MID(P1737,7,2)</f>
        <v/>
      </c>
      <c r="S1737" s="3" t="inlineStr">
        <is>
          <t>G2G</t>
        </is>
      </c>
      <c r="T1737" s="3" t="inlineStr">
        <is>
          <t>P4</t>
        </is>
      </c>
      <c r="U1737" s="3" t="inlineStr">
        <is>
          <t>N JB Cold Soldering</t>
        </is>
      </c>
      <c r="V1737" s="3" t="inlineStr">
        <is>
          <t>Soldering</t>
        </is>
      </c>
      <c r="W1737" s="3" t="inlineStr">
        <is>
          <t>Repair</t>
        </is>
      </c>
      <c r="X1737" s="18" t="n">
        <v>46163</v>
      </c>
      <c r="Y1737" s="73">
        <f>IF(X1737="","",X1737-A1737)</f>
        <v/>
      </c>
      <c r="Z1737" s="18" t="n">
        <v>46163</v>
      </c>
      <c r="AA1737" s="15" t="n"/>
      <c r="AB1737" s="15" t="n"/>
      <c r="AF1737">
        <f>IF(AND($F1737="Closed",$X1737&gt;=DATE(2026,5,1),$X1737&lt;=DATE(2026,5,31)),"Closed in May","Other")</f>
        <v/>
      </c>
    </row>
    <row r="1738">
      <c r="A1738" s="37" t="n">
        <v>46143</v>
      </c>
      <c r="B1738" s="3" t="n">
        <v>2026</v>
      </c>
      <c r="C1738" s="26" t="inlineStr">
        <is>
          <t>Yanara Power</t>
        </is>
      </c>
      <c r="D1738" s="3" t="inlineStr">
        <is>
          <t>Utility and C&amp;I</t>
        </is>
      </c>
      <c r="E1738" s="3" t="n"/>
      <c r="F1738" s="3" t="inlineStr">
        <is>
          <t>Closed</t>
        </is>
      </c>
      <c r="G1738" s="9" t="inlineStr">
        <is>
          <t xml:space="preserve">Ashish Jindal </t>
        </is>
      </c>
      <c r="H1738" s="26" t="n">
        <v>9983975581</v>
      </c>
      <c r="I1738" s="38" t="inlineStr">
        <is>
          <t>PE01052601</t>
        </is>
      </c>
      <c r="J1738" s="26" t="inlineStr">
        <is>
          <t>Multiple Issues</t>
        </is>
      </c>
      <c r="K1738" s="39" t="inlineStr">
        <is>
          <t>Holi</t>
        </is>
      </c>
      <c r="L1738" s="39" t="inlineStr">
        <is>
          <t>Maharashtra</t>
        </is>
      </c>
      <c r="M1738" s="46" t="inlineStr">
        <is>
          <t>PS</t>
        </is>
      </c>
      <c r="N1738" s="3" t="inlineStr">
        <is>
          <t>Cold Soldering</t>
        </is>
      </c>
      <c r="O1738" s="56" t="n">
        <v>575</v>
      </c>
      <c r="P1738" s="9" t="inlineStr">
        <is>
          <t>NSMI24070180558</t>
        </is>
      </c>
      <c r="Q1738" s="54">
        <f>MID(P1738,5,2)</f>
        <v/>
      </c>
      <c r="R1738" s="53">
        <f>MID(P1738,7,2)</f>
        <v/>
      </c>
      <c r="S1738" s="3" t="inlineStr">
        <is>
          <t>G2G</t>
        </is>
      </c>
      <c r="T1738" s="3" t="inlineStr">
        <is>
          <t>P4</t>
        </is>
      </c>
      <c r="U1738" s="19" t="inlineStr">
        <is>
          <t>P JB Cold Soldering</t>
        </is>
      </c>
      <c r="V1738" s="19" t="inlineStr">
        <is>
          <t>Soldering</t>
        </is>
      </c>
      <c r="W1738" s="3" t="inlineStr">
        <is>
          <t>Repair</t>
        </is>
      </c>
      <c r="X1738" s="18" t="n">
        <v>46163</v>
      </c>
      <c r="Y1738" s="73">
        <f>IF(X1738="","",X1738-A1738)</f>
        <v/>
      </c>
      <c r="Z1738" s="18" t="n">
        <v>46163</v>
      </c>
      <c r="AA1738" s="15" t="n"/>
      <c r="AB1738" s="15" t="n"/>
      <c r="AF1738">
        <f>IF(AND($F1738="Closed",$X1738&gt;=DATE(2026,5,1),$X1738&lt;=DATE(2026,5,31)),"Closed in May","Other")</f>
        <v/>
      </c>
    </row>
    <row r="1739">
      <c r="A1739" s="37" t="n">
        <v>46143</v>
      </c>
      <c r="B1739" s="3" t="n">
        <v>2026</v>
      </c>
      <c r="C1739" s="26" t="inlineStr">
        <is>
          <t>Yanara Power</t>
        </is>
      </c>
      <c r="D1739" s="3" t="inlineStr">
        <is>
          <t>Utility and C&amp;I</t>
        </is>
      </c>
      <c r="E1739" s="3" t="n"/>
      <c r="F1739" s="3" t="inlineStr">
        <is>
          <t>Closed</t>
        </is>
      </c>
      <c r="G1739" s="9" t="inlineStr">
        <is>
          <t xml:space="preserve">Ashish Jindal </t>
        </is>
      </c>
      <c r="H1739" s="26" t="n">
        <v>9983975581</v>
      </c>
      <c r="I1739" s="38" t="inlineStr">
        <is>
          <t>PE01052601</t>
        </is>
      </c>
      <c r="J1739" s="26" t="inlineStr">
        <is>
          <t>Multiple Issues</t>
        </is>
      </c>
      <c r="K1739" s="39" t="inlineStr">
        <is>
          <t>Holi</t>
        </is>
      </c>
      <c r="L1739" s="39" t="inlineStr">
        <is>
          <t>Maharashtra</t>
        </is>
      </c>
      <c r="M1739" s="46" t="inlineStr">
        <is>
          <t>PS</t>
        </is>
      </c>
      <c r="N1739" s="3" t="inlineStr">
        <is>
          <t>Cold Soldering</t>
        </is>
      </c>
      <c r="O1739" s="56" t="n">
        <v>575</v>
      </c>
      <c r="P1739" s="9" t="inlineStr">
        <is>
          <t>NSMI24070176845</t>
        </is>
      </c>
      <c r="Q1739" s="54">
        <f>MID(P1739,5,2)</f>
        <v/>
      </c>
      <c r="R1739" s="53">
        <f>MID(P1739,7,2)</f>
        <v/>
      </c>
      <c r="S1739" s="3" t="inlineStr">
        <is>
          <t>G2G</t>
        </is>
      </c>
      <c r="T1739" s="3" t="inlineStr">
        <is>
          <t>P4</t>
        </is>
      </c>
      <c r="U1739" s="19" t="inlineStr">
        <is>
          <t>P JB Cold Soldering</t>
        </is>
      </c>
      <c r="V1739" s="19" t="inlineStr">
        <is>
          <t>Soldering</t>
        </is>
      </c>
      <c r="W1739" s="3" t="inlineStr">
        <is>
          <t>Repair</t>
        </is>
      </c>
      <c r="X1739" s="18" t="n">
        <v>46163</v>
      </c>
      <c r="Y1739" s="73">
        <f>IF(X1739="","",X1739-A1739)</f>
        <v/>
      </c>
      <c r="Z1739" s="18" t="n">
        <v>46163</v>
      </c>
      <c r="AA1739" s="15" t="n"/>
      <c r="AB1739" s="15" t="n"/>
      <c r="AF1739">
        <f>IF(AND($F1739="Closed",$X1739&gt;=DATE(2026,5,1),$X1739&lt;=DATE(2026,5,31)),"Closed in May","Other")</f>
        <v/>
      </c>
    </row>
    <row r="1740">
      <c r="A1740" s="37" t="n">
        <v>46143</v>
      </c>
      <c r="B1740" s="3" t="n">
        <v>2026</v>
      </c>
      <c r="C1740" s="26" t="inlineStr">
        <is>
          <t>Yanara Power</t>
        </is>
      </c>
      <c r="D1740" s="3" t="inlineStr">
        <is>
          <t>Utility and C&amp;I</t>
        </is>
      </c>
      <c r="E1740" s="3" t="n"/>
      <c r="F1740" s="3" t="inlineStr">
        <is>
          <t>Closed</t>
        </is>
      </c>
      <c r="G1740" s="9" t="inlineStr">
        <is>
          <t xml:space="preserve">Ashish Jindal </t>
        </is>
      </c>
      <c r="H1740" s="26" t="n">
        <v>9983975581</v>
      </c>
      <c r="I1740" s="38" t="inlineStr">
        <is>
          <t>PE01052601</t>
        </is>
      </c>
      <c r="J1740" s="26" t="inlineStr">
        <is>
          <t>Multiple Issues</t>
        </is>
      </c>
      <c r="K1740" s="39" t="inlineStr">
        <is>
          <t>Holi</t>
        </is>
      </c>
      <c r="L1740" s="39" t="inlineStr">
        <is>
          <t>Maharashtra</t>
        </is>
      </c>
      <c r="M1740" s="46" t="inlineStr">
        <is>
          <t>PS</t>
        </is>
      </c>
      <c r="N1740" s="3" t="inlineStr">
        <is>
          <t>Cold Soldering</t>
        </is>
      </c>
      <c r="O1740" s="56" t="n">
        <v>575</v>
      </c>
      <c r="P1740" s="9" t="inlineStr">
        <is>
          <t>NSMI24070180636</t>
        </is>
      </c>
      <c r="Q1740" s="54">
        <f>MID(P1740,5,2)</f>
        <v/>
      </c>
      <c r="R1740" s="53">
        <f>MID(P1740,7,2)</f>
        <v/>
      </c>
      <c r="S1740" s="3" t="inlineStr">
        <is>
          <t>G2G</t>
        </is>
      </c>
      <c r="T1740" s="3" t="inlineStr">
        <is>
          <t>P4</t>
        </is>
      </c>
      <c r="U1740" s="19" t="inlineStr">
        <is>
          <t>P JB Cold Soldering</t>
        </is>
      </c>
      <c r="V1740" s="19" t="inlineStr">
        <is>
          <t>Soldering</t>
        </is>
      </c>
      <c r="W1740" s="3" t="inlineStr">
        <is>
          <t>Repair</t>
        </is>
      </c>
      <c r="X1740" s="18" t="n">
        <v>46163</v>
      </c>
      <c r="Y1740" s="73">
        <f>IF(X1740="","",X1740-A1740)</f>
        <v/>
      </c>
      <c r="Z1740" s="18" t="n">
        <v>46163</v>
      </c>
      <c r="AA1740" s="15" t="n"/>
      <c r="AB1740" s="15" t="n"/>
      <c r="AF1740">
        <f>IF(AND($F1740="Closed",$X1740&gt;=DATE(2026,5,1),$X1740&lt;=DATE(2026,5,31)),"Closed in May","Other")</f>
        <v/>
      </c>
    </row>
    <row r="1741">
      <c r="A1741" s="37" t="n">
        <v>46143</v>
      </c>
      <c r="B1741" s="3" t="n">
        <v>2026</v>
      </c>
      <c r="C1741" s="26" t="inlineStr">
        <is>
          <t>Yanara Power</t>
        </is>
      </c>
      <c r="D1741" s="3" t="inlineStr">
        <is>
          <t>Utility and C&amp;I</t>
        </is>
      </c>
      <c r="E1741" s="3" t="n"/>
      <c r="F1741" s="3" t="inlineStr">
        <is>
          <t>Closed</t>
        </is>
      </c>
      <c r="G1741" s="9" t="inlineStr">
        <is>
          <t xml:space="preserve">Ashish Jindal </t>
        </is>
      </c>
      <c r="H1741" s="26" t="n">
        <v>9983975581</v>
      </c>
      <c r="I1741" s="38" t="inlineStr">
        <is>
          <t>PE01052601</t>
        </is>
      </c>
      <c r="J1741" s="26" t="inlineStr">
        <is>
          <t>Multiple Issues</t>
        </is>
      </c>
      <c r="K1741" s="39" t="inlineStr">
        <is>
          <t>Holi</t>
        </is>
      </c>
      <c r="L1741" s="39" t="inlineStr">
        <is>
          <t>Maharashtra</t>
        </is>
      </c>
      <c r="M1741" s="46" t="inlineStr">
        <is>
          <t>PS</t>
        </is>
      </c>
      <c r="N1741" s="3" t="inlineStr">
        <is>
          <t>Cold Soldering</t>
        </is>
      </c>
      <c r="O1741" s="56" t="n">
        <v>575</v>
      </c>
      <c r="P1741" s="9" t="inlineStr">
        <is>
          <t>NSMI24070217208</t>
        </is>
      </c>
      <c r="Q1741" s="54">
        <f>MID(P1741,5,2)</f>
        <v/>
      </c>
      <c r="R1741" s="53">
        <f>MID(P1741,7,2)</f>
        <v/>
      </c>
      <c r="S1741" s="3" t="inlineStr">
        <is>
          <t>G2G</t>
        </is>
      </c>
      <c r="T1741" s="3" t="inlineStr">
        <is>
          <t>P4</t>
        </is>
      </c>
      <c r="U1741" s="19" t="inlineStr">
        <is>
          <t>P JB Cold Soldering</t>
        </is>
      </c>
      <c r="V1741" s="19" t="inlineStr">
        <is>
          <t>Soldering</t>
        </is>
      </c>
      <c r="W1741" s="3" t="inlineStr">
        <is>
          <t>Repair</t>
        </is>
      </c>
      <c r="X1741" s="18" t="n">
        <v>46163</v>
      </c>
      <c r="Y1741" s="73">
        <f>IF(X1741="","",X1741-A1741)</f>
        <v/>
      </c>
      <c r="Z1741" s="18" t="n">
        <v>46163</v>
      </c>
      <c r="AA1741" s="15" t="n"/>
      <c r="AB1741" s="15" t="n"/>
      <c r="AF1741">
        <f>IF(AND($F1741="Closed",$X1741&gt;=DATE(2026,5,1),$X1741&lt;=DATE(2026,5,31)),"Closed in May","Other")</f>
        <v/>
      </c>
    </row>
    <row r="1742">
      <c r="A1742" s="37" t="n">
        <v>46143</v>
      </c>
      <c r="B1742" s="3" t="n">
        <v>2026</v>
      </c>
      <c r="C1742" s="26" t="inlineStr">
        <is>
          <t>Yanara Power</t>
        </is>
      </c>
      <c r="D1742" s="3" t="inlineStr">
        <is>
          <t>Utility and C&amp;I</t>
        </is>
      </c>
      <c r="E1742" s="3" t="n"/>
      <c r="F1742" s="3" t="inlineStr">
        <is>
          <t>Closed</t>
        </is>
      </c>
      <c r="G1742" s="9" t="inlineStr">
        <is>
          <t xml:space="preserve">Ashish Jindal </t>
        </is>
      </c>
      <c r="H1742" s="26" t="n">
        <v>9983975581</v>
      </c>
      <c r="I1742" s="38" t="inlineStr">
        <is>
          <t>PE01052601</t>
        </is>
      </c>
      <c r="J1742" s="26" t="inlineStr">
        <is>
          <t>Multiple Issues</t>
        </is>
      </c>
      <c r="K1742" s="39" t="inlineStr">
        <is>
          <t>Holi</t>
        </is>
      </c>
      <c r="L1742" s="39" t="inlineStr">
        <is>
          <t>Maharashtra</t>
        </is>
      </c>
      <c r="M1742" s="46" t="inlineStr">
        <is>
          <t>PS</t>
        </is>
      </c>
      <c r="N1742" s="3" t="inlineStr">
        <is>
          <t>Cold Soldering</t>
        </is>
      </c>
      <c r="O1742" s="56" t="n">
        <v>575</v>
      </c>
      <c r="P1742" s="9" t="inlineStr">
        <is>
          <t>NSMI24070179036</t>
        </is>
      </c>
      <c r="Q1742" s="54">
        <f>MID(P1742,5,2)</f>
        <v/>
      </c>
      <c r="R1742" s="53">
        <f>MID(P1742,7,2)</f>
        <v/>
      </c>
      <c r="S1742" s="3" t="inlineStr">
        <is>
          <t>G2G</t>
        </is>
      </c>
      <c r="T1742" s="3" t="inlineStr">
        <is>
          <t>P4</t>
        </is>
      </c>
      <c r="U1742" s="19" t="inlineStr">
        <is>
          <t>P JB Cold Soldering</t>
        </is>
      </c>
      <c r="V1742" s="19" t="inlineStr">
        <is>
          <t>Soldering</t>
        </is>
      </c>
      <c r="W1742" s="3" t="inlineStr">
        <is>
          <t>Repair</t>
        </is>
      </c>
      <c r="X1742" s="18" t="n">
        <v>46163</v>
      </c>
      <c r="Y1742" s="73">
        <f>IF(X1742="","",X1742-A1742)</f>
        <v/>
      </c>
      <c r="Z1742" s="18" t="n">
        <v>46163</v>
      </c>
      <c r="AA1742" s="15" t="n"/>
      <c r="AB1742" s="15" t="n"/>
      <c r="AF1742">
        <f>IF(AND($F1742="Closed",$X1742&gt;=DATE(2026,5,1),$X1742&lt;=DATE(2026,5,31)),"Closed in May","Other")</f>
        <v/>
      </c>
    </row>
    <row r="1743">
      <c r="A1743" s="37" t="n">
        <v>46143</v>
      </c>
      <c r="B1743" s="3" t="n">
        <v>2026</v>
      </c>
      <c r="C1743" s="26" t="inlineStr">
        <is>
          <t>Yanara Power</t>
        </is>
      </c>
      <c r="D1743" s="3" t="inlineStr">
        <is>
          <t>Utility and C&amp;I</t>
        </is>
      </c>
      <c r="E1743" s="3" t="n"/>
      <c r="F1743" s="3" t="inlineStr">
        <is>
          <t>Closed</t>
        </is>
      </c>
      <c r="G1743" s="9" t="inlineStr">
        <is>
          <t xml:space="preserve">Ashish Jindal </t>
        </is>
      </c>
      <c r="H1743" s="26" t="n">
        <v>9983975581</v>
      </c>
      <c r="I1743" s="38" t="inlineStr">
        <is>
          <t>PE01052601</t>
        </is>
      </c>
      <c r="J1743" s="26" t="inlineStr">
        <is>
          <t>Multiple Issues</t>
        </is>
      </c>
      <c r="K1743" s="39" t="inlineStr">
        <is>
          <t>Holi</t>
        </is>
      </c>
      <c r="L1743" s="39" t="inlineStr">
        <is>
          <t>Maharashtra</t>
        </is>
      </c>
      <c r="M1743" s="46" t="inlineStr">
        <is>
          <t>PS</t>
        </is>
      </c>
      <c r="N1743" s="3" t="inlineStr">
        <is>
          <t>Cold Soldering</t>
        </is>
      </c>
      <c r="O1743" s="56" t="n">
        <v>575</v>
      </c>
      <c r="P1743" s="9" t="inlineStr">
        <is>
          <t>NSMI24070181666</t>
        </is>
      </c>
      <c r="Q1743" s="54">
        <f>MID(P1743,5,2)</f>
        <v/>
      </c>
      <c r="R1743" s="53">
        <f>MID(P1743,7,2)</f>
        <v/>
      </c>
      <c r="S1743" s="3" t="inlineStr">
        <is>
          <t>G2G</t>
        </is>
      </c>
      <c r="T1743" s="3" t="inlineStr">
        <is>
          <t>P4</t>
        </is>
      </c>
      <c r="U1743" s="19" t="inlineStr">
        <is>
          <t>P JB Cold Soldering</t>
        </is>
      </c>
      <c r="V1743" s="19" t="inlineStr">
        <is>
          <t>Soldering</t>
        </is>
      </c>
      <c r="W1743" s="3" t="inlineStr">
        <is>
          <t>Repair</t>
        </is>
      </c>
      <c r="X1743" s="18" t="n">
        <v>46163</v>
      </c>
      <c r="Y1743" s="73">
        <f>IF(X1743="","",X1743-A1743)</f>
        <v/>
      </c>
      <c r="Z1743" s="18" t="n">
        <v>46163</v>
      </c>
      <c r="AA1743" s="15" t="n"/>
      <c r="AB1743" s="15" t="n"/>
      <c r="AF1743">
        <f>IF(AND($F1743="Closed",$X1743&gt;=DATE(2026,5,1),$X1743&lt;=DATE(2026,5,31)),"Closed in May","Other")</f>
        <v/>
      </c>
    </row>
    <row r="1744">
      <c r="A1744" s="37" t="n">
        <v>46143</v>
      </c>
      <c r="B1744" s="3" t="n">
        <v>2026</v>
      </c>
      <c r="C1744" s="26" t="inlineStr">
        <is>
          <t>Yanara Power</t>
        </is>
      </c>
      <c r="D1744" s="3" t="inlineStr">
        <is>
          <t>Utility and C&amp;I</t>
        </is>
      </c>
      <c r="E1744" s="3" t="n"/>
      <c r="F1744" s="3" t="inlineStr">
        <is>
          <t>Closed</t>
        </is>
      </c>
      <c r="G1744" s="9" t="inlineStr">
        <is>
          <t xml:space="preserve">Ashish Jindal </t>
        </is>
      </c>
      <c r="H1744" s="26" t="n">
        <v>9983975581</v>
      </c>
      <c r="I1744" s="38" t="inlineStr">
        <is>
          <t>PE01052601</t>
        </is>
      </c>
      <c r="J1744" s="26" t="inlineStr">
        <is>
          <t>Multiple Issues</t>
        </is>
      </c>
      <c r="K1744" s="39" t="inlineStr">
        <is>
          <t>Holi</t>
        </is>
      </c>
      <c r="L1744" s="39" t="inlineStr">
        <is>
          <t>Maharashtra</t>
        </is>
      </c>
      <c r="M1744" s="46" t="inlineStr">
        <is>
          <t>NS</t>
        </is>
      </c>
      <c r="N1744" s="3" t="inlineStr">
        <is>
          <t>Cold Soldering</t>
        </is>
      </c>
      <c r="O1744" s="56" t="n">
        <v>575</v>
      </c>
      <c r="P1744" s="9" t="inlineStr">
        <is>
          <t>NSMI24070181632</t>
        </is>
      </c>
      <c r="Q1744" s="54">
        <f>MID(P1744,5,2)</f>
        <v/>
      </c>
      <c r="R1744" s="53">
        <f>MID(P1744,7,2)</f>
        <v/>
      </c>
      <c r="S1744" s="3" t="inlineStr">
        <is>
          <t>G2G</t>
        </is>
      </c>
      <c r="T1744" s="3" t="inlineStr">
        <is>
          <t>P4</t>
        </is>
      </c>
      <c r="U1744" s="3" t="inlineStr">
        <is>
          <t>N JB Cold Soldering</t>
        </is>
      </c>
      <c r="V1744" s="3" t="inlineStr">
        <is>
          <t>Soldering</t>
        </is>
      </c>
      <c r="W1744" s="3" t="inlineStr">
        <is>
          <t>Repair</t>
        </is>
      </c>
      <c r="X1744" s="18" t="n">
        <v>46163</v>
      </c>
      <c r="Y1744" s="73">
        <f>IF(X1744="","",X1744-A1744)</f>
        <v/>
      </c>
      <c r="Z1744" s="18" t="n">
        <v>46163</v>
      </c>
      <c r="AA1744" s="15" t="n"/>
      <c r="AB1744" s="15" t="n"/>
      <c r="AF1744">
        <f>IF(AND($F1744="Closed",$X1744&gt;=DATE(2026,5,1),$X1744&lt;=DATE(2026,5,31)),"Closed in May","Other")</f>
        <v/>
      </c>
    </row>
    <row r="1745">
      <c r="A1745" s="37" t="n">
        <v>46143</v>
      </c>
      <c r="B1745" s="3" t="n">
        <v>2026</v>
      </c>
      <c r="C1745" s="26" t="inlineStr">
        <is>
          <t>Yanara Power</t>
        </is>
      </c>
      <c r="D1745" s="3" t="inlineStr">
        <is>
          <t>Utility and C&amp;I</t>
        </is>
      </c>
      <c r="E1745" s="3" t="n"/>
      <c r="F1745" s="3" t="inlineStr">
        <is>
          <t>Closed</t>
        </is>
      </c>
      <c r="G1745" s="9" t="inlineStr">
        <is>
          <t xml:space="preserve">Ashish Jindal </t>
        </is>
      </c>
      <c r="H1745" s="26" t="n">
        <v>9983975581</v>
      </c>
      <c r="I1745" s="38" t="inlineStr">
        <is>
          <t>PE01052601</t>
        </is>
      </c>
      <c r="J1745" s="26" t="inlineStr">
        <is>
          <t>Multiple Issues</t>
        </is>
      </c>
      <c r="K1745" s="39" t="inlineStr">
        <is>
          <t>Holi</t>
        </is>
      </c>
      <c r="L1745" s="39" t="inlineStr">
        <is>
          <t>Maharashtra</t>
        </is>
      </c>
      <c r="M1745" s="46" t="inlineStr">
        <is>
          <t>PS</t>
        </is>
      </c>
      <c r="N1745" s="3" t="inlineStr">
        <is>
          <t>Cold Soldering</t>
        </is>
      </c>
      <c r="O1745" s="56" t="n">
        <v>575</v>
      </c>
      <c r="P1745" s="9" t="inlineStr">
        <is>
          <t>NSMI24070181635</t>
        </is>
      </c>
      <c r="Q1745" s="54">
        <f>MID(P1745,5,2)</f>
        <v/>
      </c>
      <c r="R1745" s="53">
        <f>MID(P1745,7,2)</f>
        <v/>
      </c>
      <c r="S1745" s="3" t="inlineStr">
        <is>
          <t>G2G</t>
        </is>
      </c>
      <c r="T1745" s="3" t="inlineStr">
        <is>
          <t>P4</t>
        </is>
      </c>
      <c r="U1745" s="19" t="inlineStr">
        <is>
          <t>P JB Cold Soldering</t>
        </is>
      </c>
      <c r="V1745" s="19" t="inlineStr">
        <is>
          <t>Soldering</t>
        </is>
      </c>
      <c r="W1745" s="3" t="inlineStr">
        <is>
          <t>Repair</t>
        </is>
      </c>
      <c r="X1745" s="18" t="n">
        <v>46163</v>
      </c>
      <c r="Y1745" s="73">
        <f>IF(X1745="","",X1745-A1745)</f>
        <v/>
      </c>
      <c r="Z1745" s="18" t="n">
        <v>46163</v>
      </c>
      <c r="AA1745" s="15" t="n"/>
      <c r="AB1745" s="15" t="n"/>
      <c r="AF1745">
        <f>IF(AND($F1745="Closed",$X1745&gt;=DATE(2026,5,1),$X1745&lt;=DATE(2026,5,31)),"Closed in May","Other")</f>
        <v/>
      </c>
    </row>
    <row r="1746">
      <c r="A1746" s="37" t="n">
        <v>46143</v>
      </c>
      <c r="B1746" s="3" t="n">
        <v>2026</v>
      </c>
      <c r="C1746" s="26" t="inlineStr">
        <is>
          <t>Yanara Power</t>
        </is>
      </c>
      <c r="D1746" s="3" t="inlineStr">
        <is>
          <t>Utility and C&amp;I</t>
        </is>
      </c>
      <c r="E1746" s="3" t="n"/>
      <c r="F1746" s="3" t="inlineStr">
        <is>
          <t>Closed</t>
        </is>
      </c>
      <c r="G1746" s="9" t="inlineStr">
        <is>
          <t xml:space="preserve">Ashish Jindal </t>
        </is>
      </c>
      <c r="H1746" s="26" t="n">
        <v>9983975581</v>
      </c>
      <c r="I1746" s="38" t="inlineStr">
        <is>
          <t>PE01052601</t>
        </is>
      </c>
      <c r="J1746" s="26" t="inlineStr">
        <is>
          <t>Multiple Issues</t>
        </is>
      </c>
      <c r="K1746" s="39" t="inlineStr">
        <is>
          <t>Holi</t>
        </is>
      </c>
      <c r="L1746" s="39" t="inlineStr">
        <is>
          <t>Maharashtra</t>
        </is>
      </c>
      <c r="M1746" s="46" t="inlineStr">
        <is>
          <t>NS</t>
        </is>
      </c>
      <c r="N1746" s="3" t="inlineStr">
        <is>
          <t>Cold Soldering</t>
        </is>
      </c>
      <c r="O1746" s="56" t="n">
        <v>575</v>
      </c>
      <c r="P1746" s="9" t="inlineStr">
        <is>
          <t>NSMI24070179764</t>
        </is>
      </c>
      <c r="Q1746" s="54">
        <f>MID(P1746,5,2)</f>
        <v/>
      </c>
      <c r="R1746" s="53">
        <f>MID(P1746,7,2)</f>
        <v/>
      </c>
      <c r="S1746" s="3" t="inlineStr">
        <is>
          <t>G2G</t>
        </is>
      </c>
      <c r="T1746" s="3" t="inlineStr">
        <is>
          <t>P4</t>
        </is>
      </c>
      <c r="U1746" s="3" t="inlineStr">
        <is>
          <t>N JB Cold Soldering</t>
        </is>
      </c>
      <c r="V1746" s="3" t="inlineStr">
        <is>
          <t>Soldering</t>
        </is>
      </c>
      <c r="W1746" s="3" t="inlineStr">
        <is>
          <t>Repair</t>
        </is>
      </c>
      <c r="X1746" s="18" t="n">
        <v>46163</v>
      </c>
      <c r="Y1746" s="73">
        <f>IF(X1746="","",X1746-A1746)</f>
        <v/>
      </c>
      <c r="Z1746" s="18" t="n">
        <v>46163</v>
      </c>
      <c r="AA1746" s="15" t="n"/>
      <c r="AB1746" s="15" t="n"/>
      <c r="AF1746">
        <f>IF(AND($F1746="Closed",$X1746&gt;=DATE(2026,5,1),$X1746&lt;=DATE(2026,5,31)),"Closed in May","Other")</f>
        <v/>
      </c>
    </row>
    <row r="1747">
      <c r="A1747" s="37" t="n">
        <v>46143</v>
      </c>
      <c r="B1747" s="3" t="n">
        <v>2026</v>
      </c>
      <c r="C1747" s="26" t="inlineStr">
        <is>
          <t>Yanara Power</t>
        </is>
      </c>
      <c r="D1747" s="3" t="inlineStr">
        <is>
          <t>Utility and C&amp;I</t>
        </is>
      </c>
      <c r="E1747" s="3" t="n"/>
      <c r="F1747" s="3" t="inlineStr">
        <is>
          <t>Closed</t>
        </is>
      </c>
      <c r="G1747" s="9" t="inlineStr">
        <is>
          <t xml:space="preserve">Ashish Jindal </t>
        </is>
      </c>
      <c r="H1747" s="26" t="n">
        <v>9983975581</v>
      </c>
      <c r="I1747" s="38" t="inlineStr">
        <is>
          <t>PE01052601</t>
        </is>
      </c>
      <c r="J1747" s="26" t="inlineStr">
        <is>
          <t>Multiple Issues</t>
        </is>
      </c>
      <c r="K1747" s="39" t="inlineStr">
        <is>
          <t>Holi</t>
        </is>
      </c>
      <c r="L1747" s="39" t="inlineStr">
        <is>
          <t>Maharashtra</t>
        </is>
      </c>
      <c r="M1747" s="47" t="inlineStr">
        <is>
          <t>PS</t>
        </is>
      </c>
      <c r="N1747" s="3" t="inlineStr">
        <is>
          <t>Cold Soldering</t>
        </is>
      </c>
      <c r="O1747" s="56" t="n">
        <v>575</v>
      </c>
      <c r="P1747" s="9" t="inlineStr">
        <is>
          <t>NSMI24070184449</t>
        </is>
      </c>
      <c r="Q1747" s="54">
        <f>MID(P1747,5,2)</f>
        <v/>
      </c>
      <c r="R1747" s="53">
        <f>MID(P1747,7,2)</f>
        <v/>
      </c>
      <c r="S1747" s="3" t="inlineStr">
        <is>
          <t>G2G</t>
        </is>
      </c>
      <c r="T1747" s="3" t="inlineStr">
        <is>
          <t>P4</t>
        </is>
      </c>
      <c r="U1747" s="19" t="inlineStr">
        <is>
          <t>P JB Cold Soldering</t>
        </is>
      </c>
      <c r="V1747" s="19" t="inlineStr">
        <is>
          <t>Soldering</t>
        </is>
      </c>
      <c r="W1747" s="3" t="inlineStr">
        <is>
          <t>Repair</t>
        </is>
      </c>
      <c r="X1747" s="18" t="n">
        <v>46163</v>
      </c>
      <c r="Y1747" s="73">
        <f>IF(X1747="","",X1747-A1747)</f>
        <v/>
      </c>
      <c r="Z1747" s="18" t="n">
        <v>46163</v>
      </c>
      <c r="AA1747" s="15" t="n"/>
      <c r="AB1747" s="15" t="n"/>
      <c r="AF1747">
        <f>IF(AND($F1747="Closed",$X1747&gt;=DATE(2026,5,1),$X1747&lt;=DATE(2026,5,31)),"Closed in May","Other")</f>
        <v/>
      </c>
    </row>
    <row r="1748">
      <c r="A1748" s="37" t="n">
        <v>46143</v>
      </c>
      <c r="B1748" s="3" t="n">
        <v>2026</v>
      </c>
      <c r="C1748" s="26" t="inlineStr">
        <is>
          <t>Yanara Power</t>
        </is>
      </c>
      <c r="D1748" s="3" t="inlineStr">
        <is>
          <t>Utility and C&amp;I</t>
        </is>
      </c>
      <c r="E1748" s="3" t="n"/>
      <c r="F1748" s="3" t="inlineStr">
        <is>
          <t>Closed</t>
        </is>
      </c>
      <c r="G1748" s="9" t="inlineStr">
        <is>
          <t xml:space="preserve">Ashish Jindal </t>
        </is>
      </c>
      <c r="H1748" s="26" t="n">
        <v>9983975581</v>
      </c>
      <c r="I1748" s="38" t="inlineStr">
        <is>
          <t>PE01052601</t>
        </is>
      </c>
      <c r="J1748" s="26" t="inlineStr">
        <is>
          <t>Multiple Issues</t>
        </is>
      </c>
      <c r="K1748" s="39" t="inlineStr">
        <is>
          <t>Holi</t>
        </is>
      </c>
      <c r="L1748" s="39" t="inlineStr">
        <is>
          <t>Maharashtra</t>
        </is>
      </c>
      <c r="M1748" s="46" t="inlineStr">
        <is>
          <t>PS</t>
        </is>
      </c>
      <c r="N1748" s="3" t="inlineStr">
        <is>
          <t>Cold Soldering</t>
        </is>
      </c>
      <c r="O1748" s="56" t="n">
        <v>575</v>
      </c>
      <c r="P1748" s="9" t="inlineStr">
        <is>
          <t>NSMI24070181270</t>
        </is>
      </c>
      <c r="Q1748" s="54">
        <f>MID(P1748,5,2)</f>
        <v/>
      </c>
      <c r="R1748" s="53">
        <f>MID(P1748,7,2)</f>
        <v/>
      </c>
      <c r="S1748" s="3" t="inlineStr">
        <is>
          <t>G2G</t>
        </is>
      </c>
      <c r="T1748" s="3" t="inlineStr">
        <is>
          <t>P4</t>
        </is>
      </c>
      <c r="U1748" s="19" t="inlineStr">
        <is>
          <t>P JB Cold Soldering</t>
        </is>
      </c>
      <c r="V1748" s="19" t="inlineStr">
        <is>
          <t>Soldering</t>
        </is>
      </c>
      <c r="W1748" s="3" t="inlineStr">
        <is>
          <t>Repair</t>
        </is>
      </c>
      <c r="X1748" s="18" t="n">
        <v>46163</v>
      </c>
      <c r="Y1748" s="73">
        <f>IF(X1748="","",X1748-A1748)</f>
        <v/>
      </c>
      <c r="Z1748" s="18" t="n">
        <v>46163</v>
      </c>
      <c r="AA1748" s="15" t="n"/>
      <c r="AB1748" s="15" t="n"/>
      <c r="AF1748">
        <f>IF(AND($F1748="Closed",$X1748&gt;=DATE(2026,5,1),$X1748&lt;=DATE(2026,5,31)),"Closed in May","Other")</f>
        <v/>
      </c>
    </row>
    <row r="1749">
      <c r="A1749" s="37" t="n">
        <v>46143</v>
      </c>
      <c r="B1749" s="3" t="n">
        <v>2026</v>
      </c>
      <c r="C1749" s="26" t="inlineStr">
        <is>
          <t>Yanara Power</t>
        </is>
      </c>
      <c r="D1749" s="3" t="inlineStr">
        <is>
          <t>Utility and C&amp;I</t>
        </is>
      </c>
      <c r="E1749" s="3" t="n"/>
      <c r="F1749" s="3" t="inlineStr">
        <is>
          <t>Closed</t>
        </is>
      </c>
      <c r="G1749" s="9" t="inlineStr">
        <is>
          <t xml:space="preserve">Ashish Jindal </t>
        </is>
      </c>
      <c r="H1749" s="26" t="n">
        <v>9983975581</v>
      </c>
      <c r="I1749" s="38" t="inlineStr">
        <is>
          <t>PE01052601</t>
        </is>
      </c>
      <c r="J1749" s="26" t="inlineStr">
        <is>
          <t>Multiple Issues</t>
        </is>
      </c>
      <c r="K1749" s="39" t="inlineStr">
        <is>
          <t>Holi</t>
        </is>
      </c>
      <c r="L1749" s="39" t="inlineStr">
        <is>
          <t>Maharashtra</t>
        </is>
      </c>
      <c r="M1749" s="46" t="inlineStr">
        <is>
          <t>NS</t>
        </is>
      </c>
      <c r="N1749" s="3" t="inlineStr">
        <is>
          <t>Cold Soldering</t>
        </is>
      </c>
      <c r="O1749" s="56" t="n">
        <v>575</v>
      </c>
      <c r="P1749" s="9" t="inlineStr">
        <is>
          <t>NSMI24070180580</t>
        </is>
      </c>
      <c r="Q1749" s="54">
        <f>MID(P1749,5,2)</f>
        <v/>
      </c>
      <c r="R1749" s="53">
        <f>MID(P1749,7,2)</f>
        <v/>
      </c>
      <c r="S1749" s="3" t="inlineStr">
        <is>
          <t>G2G</t>
        </is>
      </c>
      <c r="T1749" s="3" t="inlineStr">
        <is>
          <t>P4</t>
        </is>
      </c>
      <c r="U1749" s="3" t="inlineStr">
        <is>
          <t>N JB Cold Soldering</t>
        </is>
      </c>
      <c r="V1749" s="3" t="inlineStr">
        <is>
          <t>Soldering</t>
        </is>
      </c>
      <c r="W1749" s="3" t="inlineStr">
        <is>
          <t>Repair</t>
        </is>
      </c>
      <c r="X1749" s="18" t="n">
        <v>46164</v>
      </c>
      <c r="Y1749" s="73">
        <f>IF(X1749="","",X1749-A1749)</f>
        <v/>
      </c>
      <c r="Z1749" s="18" t="n">
        <v>46164</v>
      </c>
      <c r="AA1749" s="15" t="n"/>
      <c r="AB1749" s="15" t="n"/>
      <c r="AF1749">
        <f>IF(AND($F1749="Closed",$X1749&gt;=DATE(2026,5,1),$X1749&lt;=DATE(2026,5,31)),"Closed in May","Other")</f>
        <v/>
      </c>
    </row>
    <row r="1750">
      <c r="A1750" s="37" t="n">
        <v>46143</v>
      </c>
      <c r="B1750" s="3" t="n">
        <v>2026</v>
      </c>
      <c r="C1750" s="26" t="inlineStr">
        <is>
          <t>Yanara Power</t>
        </is>
      </c>
      <c r="D1750" s="3" t="inlineStr">
        <is>
          <t>Utility and C&amp;I</t>
        </is>
      </c>
      <c r="E1750" s="3" t="n"/>
      <c r="F1750" s="3" t="inlineStr">
        <is>
          <t>Closed</t>
        </is>
      </c>
      <c r="G1750" s="9" t="inlineStr">
        <is>
          <t xml:space="preserve">Ashish Jindal </t>
        </is>
      </c>
      <c r="H1750" s="26" t="n">
        <v>9983975581</v>
      </c>
      <c r="I1750" s="38" t="inlineStr">
        <is>
          <t>PE01052601</t>
        </is>
      </c>
      <c r="J1750" s="26" t="inlineStr">
        <is>
          <t>Multiple Issues</t>
        </is>
      </c>
      <c r="K1750" s="39" t="inlineStr">
        <is>
          <t>Holi</t>
        </is>
      </c>
      <c r="L1750" s="39" t="inlineStr">
        <is>
          <t>Maharashtra</t>
        </is>
      </c>
      <c r="M1750" s="46" t="inlineStr">
        <is>
          <t>PNS</t>
        </is>
      </c>
      <c r="N1750" s="3" t="inlineStr">
        <is>
          <t>Cold Soldering</t>
        </is>
      </c>
      <c r="O1750" s="56" t="n">
        <v>575</v>
      </c>
      <c r="P1750" s="9" t="inlineStr">
        <is>
          <t>NSMI24070217230</t>
        </is>
      </c>
      <c r="Q1750" s="54">
        <f>MID(P1750,5,2)</f>
        <v/>
      </c>
      <c r="R1750" s="53">
        <f>MID(P1750,7,2)</f>
        <v/>
      </c>
      <c r="S1750" s="3" t="inlineStr">
        <is>
          <t>G2G</t>
        </is>
      </c>
      <c r="T1750" s="3" t="inlineStr">
        <is>
          <t>P4</t>
        </is>
      </c>
      <c r="U1750" s="3" t="inlineStr">
        <is>
          <t>P &amp; N JB Cold Soldering</t>
        </is>
      </c>
      <c r="V1750" s="3" t="inlineStr">
        <is>
          <t>Soldering</t>
        </is>
      </c>
      <c r="W1750" s="3" t="inlineStr">
        <is>
          <t>Repair</t>
        </is>
      </c>
      <c r="X1750" s="18" t="n">
        <v>46164</v>
      </c>
      <c r="Y1750" s="73">
        <f>IF(X1750="","",X1750-A1750)</f>
        <v/>
      </c>
      <c r="Z1750" s="18" t="n">
        <v>46164</v>
      </c>
      <c r="AA1750" s="15" t="n"/>
      <c r="AB1750" s="15" t="n"/>
      <c r="AF1750">
        <f>IF(AND($F1750="Closed",$X1750&gt;=DATE(2026,5,1),$X1750&lt;=DATE(2026,5,31)),"Closed in May","Other")</f>
        <v/>
      </c>
    </row>
    <row r="1751">
      <c r="A1751" s="37" t="n">
        <v>46143</v>
      </c>
      <c r="B1751" s="3" t="n">
        <v>2026</v>
      </c>
      <c r="C1751" s="26" t="inlineStr">
        <is>
          <t>Yanara Power</t>
        </is>
      </c>
      <c r="D1751" s="3" t="inlineStr">
        <is>
          <t>Utility and C&amp;I</t>
        </is>
      </c>
      <c r="E1751" s="3" t="n"/>
      <c r="F1751" s="3" t="inlineStr">
        <is>
          <t>Closed</t>
        </is>
      </c>
      <c r="G1751" s="9" t="inlineStr">
        <is>
          <t xml:space="preserve">Ashish Jindal </t>
        </is>
      </c>
      <c r="H1751" s="26" t="n">
        <v>9983975581</v>
      </c>
      <c r="I1751" s="38" t="inlineStr">
        <is>
          <t>PE01052601</t>
        </is>
      </c>
      <c r="J1751" s="26" t="inlineStr">
        <is>
          <t>Multiple Issues</t>
        </is>
      </c>
      <c r="K1751" s="39" t="inlineStr">
        <is>
          <t>Holi</t>
        </is>
      </c>
      <c r="L1751" s="39" t="inlineStr">
        <is>
          <t>Maharashtra</t>
        </is>
      </c>
      <c r="M1751" s="46" t="inlineStr">
        <is>
          <t>PS</t>
        </is>
      </c>
      <c r="N1751" s="3" t="inlineStr">
        <is>
          <t>Cold Soldering</t>
        </is>
      </c>
      <c r="O1751" s="56" t="n">
        <v>575</v>
      </c>
      <c r="P1751" s="9" t="inlineStr">
        <is>
          <t>NSMI24070179589</t>
        </is>
      </c>
      <c r="Q1751" s="54">
        <f>MID(P1751,5,2)</f>
        <v/>
      </c>
      <c r="R1751" s="53">
        <f>MID(P1751,7,2)</f>
        <v/>
      </c>
      <c r="S1751" s="3" t="inlineStr">
        <is>
          <t>G2G</t>
        </is>
      </c>
      <c r="T1751" s="3" t="inlineStr">
        <is>
          <t>P4</t>
        </is>
      </c>
      <c r="U1751" s="19" t="inlineStr">
        <is>
          <t>P JB Cold Soldering</t>
        </is>
      </c>
      <c r="V1751" s="19" t="inlineStr">
        <is>
          <t>Soldering</t>
        </is>
      </c>
      <c r="W1751" s="3" t="inlineStr">
        <is>
          <t>Repair</t>
        </is>
      </c>
      <c r="X1751" s="18" t="n">
        <v>46164</v>
      </c>
      <c r="Y1751" s="73">
        <f>IF(X1751="","",X1751-A1751)</f>
        <v/>
      </c>
      <c r="Z1751" s="18" t="n">
        <v>46164</v>
      </c>
      <c r="AA1751" s="15" t="n"/>
      <c r="AB1751" s="15" t="n"/>
      <c r="AF1751">
        <f>IF(AND($F1751="Closed",$X1751&gt;=DATE(2026,5,1),$X1751&lt;=DATE(2026,5,31)),"Closed in May","Other")</f>
        <v/>
      </c>
    </row>
    <row r="1752">
      <c r="A1752" s="37" t="n">
        <v>46143</v>
      </c>
      <c r="B1752" s="3" t="n">
        <v>2026</v>
      </c>
      <c r="C1752" s="26" t="inlineStr">
        <is>
          <t>Yanara Power</t>
        </is>
      </c>
      <c r="D1752" s="3" t="inlineStr">
        <is>
          <t>Utility and C&amp;I</t>
        </is>
      </c>
      <c r="E1752" s="3" t="n"/>
      <c r="F1752" s="3" t="inlineStr">
        <is>
          <t>Closed</t>
        </is>
      </c>
      <c r="G1752" s="9" t="inlineStr">
        <is>
          <t xml:space="preserve">Ashish Jindal </t>
        </is>
      </c>
      <c r="H1752" s="26" t="n">
        <v>9983975581</v>
      </c>
      <c r="I1752" s="38" t="inlineStr">
        <is>
          <t>PE01052601</t>
        </is>
      </c>
      <c r="J1752" s="26" t="inlineStr">
        <is>
          <t>Multiple Issues</t>
        </is>
      </c>
      <c r="K1752" s="39" t="inlineStr">
        <is>
          <t>Holi</t>
        </is>
      </c>
      <c r="L1752" s="39" t="inlineStr">
        <is>
          <t>Maharashtra</t>
        </is>
      </c>
      <c r="M1752" s="46" t="inlineStr">
        <is>
          <t>NS</t>
        </is>
      </c>
      <c r="N1752" s="3" t="inlineStr">
        <is>
          <t>Cold Soldering</t>
        </is>
      </c>
      <c r="O1752" s="56" t="n">
        <v>575</v>
      </c>
      <c r="P1752" s="9" t="inlineStr">
        <is>
          <t>NSMI24070195315</t>
        </is>
      </c>
      <c r="Q1752" s="54">
        <f>MID(P1752,5,2)</f>
        <v/>
      </c>
      <c r="R1752" s="53">
        <f>MID(P1752,7,2)</f>
        <v/>
      </c>
      <c r="S1752" s="3" t="inlineStr">
        <is>
          <t>G2G</t>
        </is>
      </c>
      <c r="T1752" s="3" t="inlineStr">
        <is>
          <t>P4</t>
        </is>
      </c>
      <c r="U1752" s="3" t="inlineStr">
        <is>
          <t>N JB Cold Soldering</t>
        </is>
      </c>
      <c r="V1752" s="3" t="inlineStr">
        <is>
          <t>Soldering</t>
        </is>
      </c>
      <c r="W1752" s="3" t="inlineStr">
        <is>
          <t>Repair</t>
        </is>
      </c>
      <c r="X1752" s="18" t="n">
        <v>46164</v>
      </c>
      <c r="Y1752" s="73">
        <f>IF(X1752="","",X1752-A1752)</f>
        <v/>
      </c>
      <c r="Z1752" s="18" t="n">
        <v>46164</v>
      </c>
      <c r="AA1752" s="15" t="n"/>
      <c r="AB1752" s="15" t="n"/>
      <c r="AF1752">
        <f>IF(AND($F1752="Closed",$X1752&gt;=DATE(2026,5,1),$X1752&lt;=DATE(2026,5,31)),"Closed in May","Other")</f>
        <v/>
      </c>
    </row>
    <row r="1753">
      <c r="A1753" s="37" t="n">
        <v>46143</v>
      </c>
      <c r="B1753" s="3" t="n">
        <v>2026</v>
      </c>
      <c r="C1753" s="26" t="inlineStr">
        <is>
          <t>Yanara Power</t>
        </is>
      </c>
      <c r="D1753" s="3" t="inlineStr">
        <is>
          <t>Utility and C&amp;I</t>
        </is>
      </c>
      <c r="E1753" s="3" t="n"/>
      <c r="F1753" s="3" t="inlineStr">
        <is>
          <t>Closed</t>
        </is>
      </c>
      <c r="G1753" s="9" t="inlineStr">
        <is>
          <t xml:space="preserve">Ashish Jindal </t>
        </is>
      </c>
      <c r="H1753" s="26" t="n">
        <v>9983975581</v>
      </c>
      <c r="I1753" s="38" t="inlineStr">
        <is>
          <t>PE01052601</t>
        </is>
      </c>
      <c r="J1753" s="26" t="inlineStr">
        <is>
          <t>Multiple Issues</t>
        </is>
      </c>
      <c r="K1753" s="39" t="inlineStr">
        <is>
          <t>Holi</t>
        </is>
      </c>
      <c r="L1753" s="39" t="inlineStr">
        <is>
          <t>Maharashtra</t>
        </is>
      </c>
      <c r="M1753" s="46" t="inlineStr">
        <is>
          <t>NS</t>
        </is>
      </c>
      <c r="N1753" s="3" t="inlineStr">
        <is>
          <t>Cold Soldering</t>
        </is>
      </c>
      <c r="O1753" s="56" t="n">
        <v>575</v>
      </c>
      <c r="P1753" s="9" t="inlineStr">
        <is>
          <t>NSMI24070195269</t>
        </is>
      </c>
      <c r="Q1753" s="54">
        <f>MID(P1753,5,2)</f>
        <v/>
      </c>
      <c r="R1753" s="53">
        <f>MID(P1753,7,2)</f>
        <v/>
      </c>
      <c r="S1753" s="3" t="inlineStr">
        <is>
          <t>G2G</t>
        </is>
      </c>
      <c r="T1753" s="3" t="inlineStr">
        <is>
          <t>P4</t>
        </is>
      </c>
      <c r="U1753" s="3" t="inlineStr">
        <is>
          <t>N JB Cold Soldering</t>
        </is>
      </c>
      <c r="V1753" s="3" t="inlineStr">
        <is>
          <t>Soldering</t>
        </is>
      </c>
      <c r="W1753" s="3" t="inlineStr">
        <is>
          <t>Repair</t>
        </is>
      </c>
      <c r="X1753" s="18" t="n">
        <v>46164</v>
      </c>
      <c r="Y1753" s="73">
        <f>IF(X1753="","",X1753-A1753)</f>
        <v/>
      </c>
      <c r="Z1753" s="18" t="n">
        <v>46164</v>
      </c>
      <c r="AA1753" s="15" t="n"/>
      <c r="AB1753" s="15" t="n"/>
      <c r="AF1753">
        <f>IF(AND($F1753="Closed",$X1753&gt;=DATE(2026,5,1),$X1753&lt;=DATE(2026,5,31)),"Closed in May","Other")</f>
        <v/>
      </c>
    </row>
    <row r="1754">
      <c r="A1754" s="37" t="n">
        <v>46143</v>
      </c>
      <c r="B1754" s="3" t="n">
        <v>2026</v>
      </c>
      <c r="C1754" s="26" t="inlineStr">
        <is>
          <t>Yanara Power</t>
        </is>
      </c>
      <c r="D1754" s="3" t="inlineStr">
        <is>
          <t>Utility and C&amp;I</t>
        </is>
      </c>
      <c r="E1754" s="3" t="n"/>
      <c r="F1754" s="3" t="inlineStr">
        <is>
          <t>Closed</t>
        </is>
      </c>
      <c r="G1754" s="9" t="inlineStr">
        <is>
          <t xml:space="preserve">Ashish Jindal </t>
        </is>
      </c>
      <c r="H1754" s="26" t="n">
        <v>9983975581</v>
      </c>
      <c r="I1754" s="38" t="inlineStr">
        <is>
          <t>PE01052601</t>
        </is>
      </c>
      <c r="J1754" s="26" t="inlineStr">
        <is>
          <t>Multiple Issues</t>
        </is>
      </c>
      <c r="K1754" s="39" t="inlineStr">
        <is>
          <t>Holi</t>
        </is>
      </c>
      <c r="L1754" s="39" t="inlineStr">
        <is>
          <t>Maharashtra</t>
        </is>
      </c>
      <c r="M1754" s="46" t="inlineStr">
        <is>
          <t>NS</t>
        </is>
      </c>
      <c r="N1754" s="3" t="inlineStr">
        <is>
          <t>Cold Soldering</t>
        </is>
      </c>
      <c r="O1754" s="56" t="n">
        <v>575</v>
      </c>
      <c r="P1754" s="9" t="inlineStr">
        <is>
          <t>NSMI24070195306</t>
        </is>
      </c>
      <c r="Q1754" s="54">
        <f>MID(P1754,5,2)</f>
        <v/>
      </c>
      <c r="R1754" s="53">
        <f>MID(P1754,7,2)</f>
        <v/>
      </c>
      <c r="S1754" s="3" t="inlineStr">
        <is>
          <t>G2G</t>
        </is>
      </c>
      <c r="T1754" s="3" t="inlineStr">
        <is>
          <t>P4</t>
        </is>
      </c>
      <c r="U1754" s="3" t="inlineStr">
        <is>
          <t>N JB Cold Soldering</t>
        </is>
      </c>
      <c r="V1754" s="3" t="inlineStr">
        <is>
          <t>Soldering</t>
        </is>
      </c>
      <c r="W1754" s="3" t="inlineStr">
        <is>
          <t>Repair</t>
        </is>
      </c>
      <c r="X1754" s="18" t="n">
        <v>46164</v>
      </c>
      <c r="Y1754" s="73">
        <f>IF(X1754="","",X1754-A1754)</f>
        <v/>
      </c>
      <c r="Z1754" s="18" t="n">
        <v>46164</v>
      </c>
      <c r="AA1754" s="15" t="n"/>
      <c r="AB1754" s="15" t="n"/>
      <c r="AF1754">
        <f>IF(AND($F1754="Closed",$X1754&gt;=DATE(2026,5,1),$X1754&lt;=DATE(2026,5,31)),"Closed in May","Other")</f>
        <v/>
      </c>
    </row>
    <row r="1755">
      <c r="A1755" s="37" t="n">
        <v>46143</v>
      </c>
      <c r="B1755" s="3" t="n">
        <v>2026</v>
      </c>
      <c r="C1755" s="26" t="inlineStr">
        <is>
          <t>Yanara Power</t>
        </is>
      </c>
      <c r="D1755" s="3" t="inlineStr">
        <is>
          <t>Utility and C&amp;I</t>
        </is>
      </c>
      <c r="E1755" s="3" t="n"/>
      <c r="F1755" s="3" t="inlineStr">
        <is>
          <t>Closed</t>
        </is>
      </c>
      <c r="G1755" s="9" t="inlineStr">
        <is>
          <t xml:space="preserve">Ashish Jindal </t>
        </is>
      </c>
      <c r="H1755" s="26" t="n">
        <v>9983975581</v>
      </c>
      <c r="I1755" s="38" t="inlineStr">
        <is>
          <t>PE01052601</t>
        </is>
      </c>
      <c r="J1755" s="26" t="inlineStr">
        <is>
          <t>Multiple Issues</t>
        </is>
      </c>
      <c r="K1755" s="39" t="inlineStr">
        <is>
          <t>Holi</t>
        </is>
      </c>
      <c r="L1755" s="39" t="inlineStr">
        <is>
          <t>Maharashtra</t>
        </is>
      </c>
      <c r="M1755" s="46" t="inlineStr">
        <is>
          <t>NS</t>
        </is>
      </c>
      <c r="N1755" s="3" t="inlineStr">
        <is>
          <t>Cold Soldering</t>
        </is>
      </c>
      <c r="O1755" s="56" t="n">
        <v>575</v>
      </c>
      <c r="P1755" s="9" t="inlineStr">
        <is>
          <t>NSMI24070218779</t>
        </is>
      </c>
      <c r="Q1755" s="54">
        <f>MID(P1755,5,2)</f>
        <v/>
      </c>
      <c r="R1755" s="53">
        <f>MID(P1755,7,2)</f>
        <v/>
      </c>
      <c r="S1755" s="3" t="inlineStr">
        <is>
          <t>G2G</t>
        </is>
      </c>
      <c r="T1755" s="3" t="inlineStr">
        <is>
          <t>P4</t>
        </is>
      </c>
      <c r="U1755" s="3" t="inlineStr">
        <is>
          <t>N JB Cold Soldering</t>
        </is>
      </c>
      <c r="V1755" s="3" t="inlineStr">
        <is>
          <t>Soldering</t>
        </is>
      </c>
      <c r="W1755" s="3" t="inlineStr">
        <is>
          <t>Repair</t>
        </is>
      </c>
      <c r="X1755" s="18" t="n">
        <v>46164</v>
      </c>
      <c r="Y1755" s="73">
        <f>IF(X1755="","",X1755-A1755)</f>
        <v/>
      </c>
      <c r="Z1755" s="18" t="n">
        <v>46164</v>
      </c>
      <c r="AA1755" s="15" t="n"/>
      <c r="AB1755" s="15" t="n"/>
      <c r="AF1755">
        <f>IF(AND($F1755="Closed",$X1755&gt;=DATE(2026,5,1),$X1755&lt;=DATE(2026,5,31)),"Closed in May","Other")</f>
        <v/>
      </c>
    </row>
    <row r="1756">
      <c r="A1756" s="37" t="n">
        <v>46143</v>
      </c>
      <c r="B1756" s="3" t="n">
        <v>2026</v>
      </c>
      <c r="C1756" s="26" t="inlineStr">
        <is>
          <t>Yanara Power</t>
        </is>
      </c>
      <c r="D1756" s="3" t="inlineStr">
        <is>
          <t>Utility and C&amp;I</t>
        </is>
      </c>
      <c r="E1756" s="3" t="n"/>
      <c r="F1756" s="3" t="inlineStr">
        <is>
          <t>Closed</t>
        </is>
      </c>
      <c r="G1756" s="9" t="inlineStr">
        <is>
          <t xml:space="preserve">Ashish Jindal </t>
        </is>
      </c>
      <c r="H1756" s="26" t="n">
        <v>9983975581</v>
      </c>
      <c r="I1756" s="38" t="inlineStr">
        <is>
          <t>PE01052601</t>
        </is>
      </c>
      <c r="J1756" s="26" t="inlineStr">
        <is>
          <t>Multiple Issues</t>
        </is>
      </c>
      <c r="K1756" s="39" t="inlineStr">
        <is>
          <t>Holi</t>
        </is>
      </c>
      <c r="L1756" s="39" t="inlineStr">
        <is>
          <t>Maharashtra</t>
        </is>
      </c>
      <c r="M1756" s="46" t="inlineStr">
        <is>
          <t>PS</t>
        </is>
      </c>
      <c r="N1756" s="3" t="inlineStr">
        <is>
          <t>Cold Soldering</t>
        </is>
      </c>
      <c r="O1756" s="56" t="n">
        <v>575</v>
      </c>
      <c r="P1756" s="9" t="inlineStr">
        <is>
          <t>NSMI24070218778</t>
        </is>
      </c>
      <c r="Q1756" s="54">
        <f>MID(P1756,5,2)</f>
        <v/>
      </c>
      <c r="R1756" s="53">
        <f>MID(P1756,7,2)</f>
        <v/>
      </c>
      <c r="S1756" s="3" t="inlineStr">
        <is>
          <t>G2G</t>
        </is>
      </c>
      <c r="T1756" s="3" t="inlineStr">
        <is>
          <t>P4</t>
        </is>
      </c>
      <c r="U1756" s="19" t="inlineStr">
        <is>
          <t>P JB Cold Soldering</t>
        </is>
      </c>
      <c r="V1756" s="19" t="inlineStr">
        <is>
          <t>Soldering</t>
        </is>
      </c>
      <c r="W1756" s="3" t="inlineStr">
        <is>
          <t>Repair</t>
        </is>
      </c>
      <c r="X1756" s="18" t="n">
        <v>46164</v>
      </c>
      <c r="Y1756" s="73">
        <f>IF(X1756="","",X1756-A1756)</f>
        <v/>
      </c>
      <c r="Z1756" s="18" t="n">
        <v>46164</v>
      </c>
      <c r="AA1756" s="15" t="n"/>
      <c r="AB1756" s="15" t="n"/>
      <c r="AF1756">
        <f>IF(AND($F1756="Closed",$X1756&gt;=DATE(2026,5,1),$X1756&lt;=DATE(2026,5,31)),"Closed in May","Other")</f>
        <v/>
      </c>
    </row>
    <row r="1757">
      <c r="A1757" s="37" t="n">
        <v>46143</v>
      </c>
      <c r="B1757" s="3" t="n">
        <v>2026</v>
      </c>
      <c r="C1757" s="26" t="inlineStr">
        <is>
          <t>Yanara Power</t>
        </is>
      </c>
      <c r="D1757" s="3" t="inlineStr">
        <is>
          <t>Utility and C&amp;I</t>
        </is>
      </c>
      <c r="E1757" s="3" t="n"/>
      <c r="F1757" s="3" t="inlineStr">
        <is>
          <t>Closed</t>
        </is>
      </c>
      <c r="G1757" s="9" t="inlineStr">
        <is>
          <t xml:space="preserve">Ashish Jindal </t>
        </is>
      </c>
      <c r="H1757" s="26" t="n">
        <v>9983975581</v>
      </c>
      <c r="I1757" s="38" t="inlineStr">
        <is>
          <t>PE01052601</t>
        </is>
      </c>
      <c r="J1757" s="26" t="inlineStr">
        <is>
          <t>Multiple Issues</t>
        </is>
      </c>
      <c r="K1757" s="39" t="inlineStr">
        <is>
          <t>Holi</t>
        </is>
      </c>
      <c r="L1757" s="39" t="inlineStr">
        <is>
          <t>Maharashtra</t>
        </is>
      </c>
      <c r="M1757" s="46" t="inlineStr">
        <is>
          <t>NS</t>
        </is>
      </c>
      <c r="N1757" s="3" t="inlineStr">
        <is>
          <t>Cold Soldering</t>
        </is>
      </c>
      <c r="O1757" s="56" t="n">
        <v>575</v>
      </c>
      <c r="P1757" s="9" t="inlineStr">
        <is>
          <t>NSMI24070218523</t>
        </is>
      </c>
      <c r="Q1757" s="54">
        <f>MID(P1757,5,2)</f>
        <v/>
      </c>
      <c r="R1757" s="53">
        <f>MID(P1757,7,2)</f>
        <v/>
      </c>
      <c r="S1757" s="3" t="inlineStr">
        <is>
          <t>G2G</t>
        </is>
      </c>
      <c r="T1757" s="3" t="inlineStr">
        <is>
          <t>P4</t>
        </is>
      </c>
      <c r="U1757" s="3" t="inlineStr">
        <is>
          <t>N JB Cold Soldering</t>
        </is>
      </c>
      <c r="V1757" s="3" t="inlineStr">
        <is>
          <t>Soldering</t>
        </is>
      </c>
      <c r="W1757" s="3" t="inlineStr">
        <is>
          <t>Repair</t>
        </is>
      </c>
      <c r="X1757" s="18" t="n">
        <v>46164</v>
      </c>
      <c r="Y1757" s="73">
        <f>IF(X1757="","",X1757-A1757)</f>
        <v/>
      </c>
      <c r="Z1757" s="18" t="n">
        <v>46164</v>
      </c>
      <c r="AA1757" s="15" t="n"/>
      <c r="AB1757" s="15" t="n"/>
      <c r="AF1757">
        <f>IF(AND($F1757="Closed",$X1757&gt;=DATE(2026,5,1),$X1757&lt;=DATE(2026,5,31)),"Closed in May","Other")</f>
        <v/>
      </c>
    </row>
    <row r="1758">
      <c r="A1758" s="37" t="n">
        <v>46143</v>
      </c>
      <c r="B1758" s="3" t="n">
        <v>2026</v>
      </c>
      <c r="C1758" s="26" t="inlineStr">
        <is>
          <t>Yanara Power</t>
        </is>
      </c>
      <c r="D1758" s="3" t="inlineStr">
        <is>
          <t>Utility and C&amp;I</t>
        </is>
      </c>
      <c r="E1758" s="3" t="n"/>
      <c r="F1758" s="3" t="inlineStr">
        <is>
          <t>Closed</t>
        </is>
      </c>
      <c r="G1758" s="9" t="inlineStr">
        <is>
          <t xml:space="preserve">Ashish Jindal </t>
        </is>
      </c>
      <c r="H1758" s="26" t="n">
        <v>9983975581</v>
      </c>
      <c r="I1758" s="38" t="inlineStr">
        <is>
          <t>PE01052601</t>
        </is>
      </c>
      <c r="J1758" s="26" t="inlineStr">
        <is>
          <t>Multiple Issues</t>
        </is>
      </c>
      <c r="K1758" s="39" t="inlineStr">
        <is>
          <t>Holi</t>
        </is>
      </c>
      <c r="L1758" s="39" t="inlineStr">
        <is>
          <t>Maharashtra</t>
        </is>
      </c>
      <c r="M1758" s="46" t="inlineStr">
        <is>
          <t>NS</t>
        </is>
      </c>
      <c r="N1758" s="3" t="inlineStr">
        <is>
          <t>Cold Soldering</t>
        </is>
      </c>
      <c r="O1758" s="56" t="n">
        <v>575</v>
      </c>
      <c r="P1758" s="9" t="inlineStr">
        <is>
          <t>NSMI24070198879</t>
        </is>
      </c>
      <c r="Q1758" s="54">
        <f>MID(P1758,5,2)</f>
        <v/>
      </c>
      <c r="R1758" s="53">
        <f>MID(P1758,7,2)</f>
        <v/>
      </c>
      <c r="S1758" s="3" t="inlineStr">
        <is>
          <t>G2G</t>
        </is>
      </c>
      <c r="T1758" s="3" t="inlineStr">
        <is>
          <t>P4</t>
        </is>
      </c>
      <c r="U1758" s="3" t="inlineStr">
        <is>
          <t>N JB Cold Soldering</t>
        </is>
      </c>
      <c r="V1758" s="3" t="inlineStr">
        <is>
          <t>Soldering</t>
        </is>
      </c>
      <c r="W1758" s="3" t="inlineStr">
        <is>
          <t>Repair</t>
        </is>
      </c>
      <c r="X1758" s="18" t="n">
        <v>46164</v>
      </c>
      <c r="Y1758" s="73">
        <f>IF(X1758="","",X1758-A1758)</f>
        <v/>
      </c>
      <c r="Z1758" s="18" t="n">
        <v>46164</v>
      </c>
      <c r="AA1758" s="15" t="n"/>
      <c r="AB1758" s="15" t="n"/>
      <c r="AF1758">
        <f>IF(AND($F1758="Closed",$X1758&gt;=DATE(2026,5,1),$X1758&lt;=DATE(2026,5,31)),"Closed in May","Other")</f>
        <v/>
      </c>
    </row>
    <row r="1759">
      <c r="A1759" s="37" t="n">
        <v>46143</v>
      </c>
      <c r="B1759" s="3" t="n">
        <v>2026</v>
      </c>
      <c r="C1759" s="26" t="inlineStr">
        <is>
          <t>Yanara Power</t>
        </is>
      </c>
      <c r="D1759" s="3" t="inlineStr">
        <is>
          <t>Utility and C&amp;I</t>
        </is>
      </c>
      <c r="E1759" s="3" t="n"/>
      <c r="F1759" s="3" t="inlineStr">
        <is>
          <t>Closed</t>
        </is>
      </c>
      <c r="G1759" s="9" t="inlineStr">
        <is>
          <t xml:space="preserve">Ashish Jindal </t>
        </is>
      </c>
      <c r="H1759" s="26" t="n">
        <v>9983975581</v>
      </c>
      <c r="I1759" s="38" t="inlineStr">
        <is>
          <t>PE01052601</t>
        </is>
      </c>
      <c r="J1759" s="26" t="inlineStr">
        <is>
          <t>Multiple Issues</t>
        </is>
      </c>
      <c r="K1759" s="39" t="inlineStr">
        <is>
          <t>Holi</t>
        </is>
      </c>
      <c r="L1759" s="39" t="inlineStr">
        <is>
          <t>Maharashtra</t>
        </is>
      </c>
      <c r="M1759" s="46" t="inlineStr">
        <is>
          <t>NS</t>
        </is>
      </c>
      <c r="N1759" s="3" t="inlineStr">
        <is>
          <t>Cold Soldering</t>
        </is>
      </c>
      <c r="O1759" s="56" t="n">
        <v>575</v>
      </c>
      <c r="P1759" s="9" t="inlineStr">
        <is>
          <t>NSMI24070198875</t>
        </is>
      </c>
      <c r="Q1759" s="54">
        <f>MID(P1759,5,2)</f>
        <v/>
      </c>
      <c r="R1759" s="53">
        <f>MID(P1759,7,2)</f>
        <v/>
      </c>
      <c r="S1759" s="3" t="inlineStr">
        <is>
          <t>G2G</t>
        </is>
      </c>
      <c r="T1759" s="3" t="inlineStr">
        <is>
          <t>P4</t>
        </is>
      </c>
      <c r="U1759" s="3" t="inlineStr">
        <is>
          <t>N JB Cold Soldering</t>
        </is>
      </c>
      <c r="V1759" s="3" t="inlineStr">
        <is>
          <t>Soldering</t>
        </is>
      </c>
      <c r="W1759" s="3" t="inlineStr">
        <is>
          <t>Repair</t>
        </is>
      </c>
      <c r="X1759" s="18" t="n">
        <v>46164</v>
      </c>
      <c r="Y1759" s="73">
        <f>IF(X1759="","",X1759-A1759)</f>
        <v/>
      </c>
      <c r="Z1759" s="18" t="n">
        <v>46164</v>
      </c>
      <c r="AA1759" s="15" t="n"/>
      <c r="AB1759" s="15" t="n"/>
      <c r="AF1759">
        <f>IF(AND($F1759="Closed",$X1759&gt;=DATE(2026,5,1),$X1759&lt;=DATE(2026,5,31)),"Closed in May","Other")</f>
        <v/>
      </c>
    </row>
    <row r="1760">
      <c r="A1760" s="37" t="n">
        <v>46143</v>
      </c>
      <c r="B1760" s="3" t="n">
        <v>2026</v>
      </c>
      <c r="C1760" s="26" t="inlineStr">
        <is>
          <t>Yanara Power</t>
        </is>
      </c>
      <c r="D1760" s="3" t="inlineStr">
        <is>
          <t>Utility and C&amp;I</t>
        </is>
      </c>
      <c r="E1760" s="3" t="n"/>
      <c r="F1760" s="3" t="inlineStr">
        <is>
          <t>Closed</t>
        </is>
      </c>
      <c r="G1760" s="9" t="inlineStr">
        <is>
          <t xml:space="preserve">Ashish Jindal </t>
        </is>
      </c>
      <c r="H1760" s="26" t="n">
        <v>9983975581</v>
      </c>
      <c r="I1760" s="38" t="inlineStr">
        <is>
          <t>PE01052601</t>
        </is>
      </c>
      <c r="J1760" s="26" t="inlineStr">
        <is>
          <t>Multiple Issues</t>
        </is>
      </c>
      <c r="K1760" s="39" t="inlineStr">
        <is>
          <t>Holi</t>
        </is>
      </c>
      <c r="L1760" s="39" t="inlineStr">
        <is>
          <t>Maharashtra</t>
        </is>
      </c>
      <c r="M1760" s="46" t="inlineStr">
        <is>
          <t>PS</t>
        </is>
      </c>
      <c r="N1760" s="3" t="inlineStr">
        <is>
          <t>Cold Soldering</t>
        </is>
      </c>
      <c r="O1760" s="56" t="n">
        <v>575</v>
      </c>
      <c r="P1760" s="9" t="inlineStr">
        <is>
          <t>NSMI24070199316</t>
        </is>
      </c>
      <c r="Q1760" s="54">
        <f>MID(P1760,5,2)</f>
        <v/>
      </c>
      <c r="R1760" s="53">
        <f>MID(P1760,7,2)</f>
        <v/>
      </c>
      <c r="S1760" s="3" t="inlineStr">
        <is>
          <t>G2G</t>
        </is>
      </c>
      <c r="T1760" s="3" t="inlineStr">
        <is>
          <t>P4</t>
        </is>
      </c>
      <c r="U1760" s="19" t="inlineStr">
        <is>
          <t>P JB Cold Soldering</t>
        </is>
      </c>
      <c r="V1760" s="19" t="inlineStr">
        <is>
          <t>Soldering</t>
        </is>
      </c>
      <c r="W1760" s="3" t="inlineStr">
        <is>
          <t>Repair</t>
        </is>
      </c>
      <c r="X1760" s="18" t="n">
        <v>46164</v>
      </c>
      <c r="Y1760" s="73">
        <f>IF(X1760="","",X1760-A1760)</f>
        <v/>
      </c>
      <c r="Z1760" s="18" t="n">
        <v>46164</v>
      </c>
      <c r="AA1760" s="15" t="n"/>
      <c r="AB1760" s="15" t="n"/>
      <c r="AF1760">
        <f>IF(AND($F1760="Closed",$X1760&gt;=DATE(2026,5,1),$X1760&lt;=DATE(2026,5,31)),"Closed in May","Other")</f>
        <v/>
      </c>
    </row>
    <row r="1761">
      <c r="A1761" s="37" t="n">
        <v>46143</v>
      </c>
      <c r="B1761" s="3" t="n">
        <v>2026</v>
      </c>
      <c r="C1761" s="26" t="inlineStr">
        <is>
          <t>Yanara Power</t>
        </is>
      </c>
      <c r="D1761" s="3" t="inlineStr">
        <is>
          <t>Utility and C&amp;I</t>
        </is>
      </c>
      <c r="E1761" s="3" t="n"/>
      <c r="F1761" s="3" t="inlineStr">
        <is>
          <t>Closed</t>
        </is>
      </c>
      <c r="G1761" s="9" t="inlineStr">
        <is>
          <t xml:space="preserve">Ashish Jindal </t>
        </is>
      </c>
      <c r="H1761" s="26" t="n">
        <v>9983975581</v>
      </c>
      <c r="I1761" s="38" t="inlineStr">
        <is>
          <t>PE01052601</t>
        </is>
      </c>
      <c r="J1761" s="26" t="inlineStr">
        <is>
          <t>Multiple Issues</t>
        </is>
      </c>
      <c r="K1761" s="39" t="inlineStr">
        <is>
          <t>Holi</t>
        </is>
      </c>
      <c r="L1761" s="39" t="inlineStr">
        <is>
          <t>Maharashtra</t>
        </is>
      </c>
      <c r="M1761" s="46" t="inlineStr">
        <is>
          <t>AR</t>
        </is>
      </c>
      <c r="N1761" s="3" t="inlineStr">
        <is>
          <t>JB Issue</t>
        </is>
      </c>
      <c r="O1761" s="56" t="n">
        <v>575</v>
      </c>
      <c r="P1761" s="9" t="inlineStr">
        <is>
          <t>NSMI24070235950</t>
        </is>
      </c>
      <c r="Q1761" s="54">
        <f>MID(P1761,5,2)</f>
        <v/>
      </c>
      <c r="R1761" s="53">
        <f>MID(P1761,7,2)</f>
        <v/>
      </c>
      <c r="S1761" s="3" t="inlineStr">
        <is>
          <t>G2G</t>
        </is>
      </c>
      <c r="T1761" s="3" t="inlineStr">
        <is>
          <t>P4</t>
        </is>
      </c>
      <c r="U1761" s="3" t="inlineStr">
        <is>
          <t>All JB Issue &amp; JB Reverse</t>
        </is>
      </c>
      <c r="V1761" s="15" t="inlineStr">
        <is>
          <t>JB Changed</t>
        </is>
      </c>
      <c r="W1761" s="3" t="inlineStr">
        <is>
          <t>Repair</t>
        </is>
      </c>
      <c r="X1761" s="18" t="n">
        <v>46164</v>
      </c>
      <c r="Y1761" s="73">
        <f>IF(X1761="","",X1761-A1761)</f>
        <v/>
      </c>
      <c r="Z1761" s="18" t="n">
        <v>46164</v>
      </c>
      <c r="AA1761" s="15" t="n"/>
      <c r="AB1761" s="15" t="n"/>
      <c r="AF1761">
        <f>IF(AND($F1761="Closed",$X1761&gt;=DATE(2026,5,1),$X1761&lt;=DATE(2026,5,31)),"Closed in May","Other")</f>
        <v/>
      </c>
    </row>
    <row r="1762">
      <c r="A1762" s="37" t="n">
        <v>46143</v>
      </c>
      <c r="B1762" s="3" t="n">
        <v>2026</v>
      </c>
      <c r="C1762" s="26" t="inlineStr">
        <is>
          <t>Yanara Power</t>
        </is>
      </c>
      <c r="D1762" s="3" t="inlineStr">
        <is>
          <t>Utility and C&amp;I</t>
        </is>
      </c>
      <c r="E1762" s="3" t="n"/>
      <c r="F1762" s="3" t="inlineStr">
        <is>
          <t>Closed</t>
        </is>
      </c>
      <c r="G1762" s="9" t="inlineStr">
        <is>
          <t xml:space="preserve">Ashish Jindal </t>
        </is>
      </c>
      <c r="H1762" s="26" t="n">
        <v>9983975581</v>
      </c>
      <c r="I1762" s="38" t="inlineStr">
        <is>
          <t>PE01052601</t>
        </is>
      </c>
      <c r="J1762" s="26" t="inlineStr">
        <is>
          <t>Multiple Issues</t>
        </is>
      </c>
      <c r="K1762" s="39" t="inlineStr">
        <is>
          <t>Holi</t>
        </is>
      </c>
      <c r="L1762" s="39" t="inlineStr">
        <is>
          <t>Maharashtra</t>
        </is>
      </c>
      <c r="M1762" s="46" t="inlineStr">
        <is>
          <t>NS</t>
        </is>
      </c>
      <c r="N1762" s="3" t="inlineStr">
        <is>
          <t>Cold Soldering</t>
        </is>
      </c>
      <c r="O1762" s="56" t="n">
        <v>575</v>
      </c>
      <c r="P1762" s="9" t="inlineStr">
        <is>
          <t>NSMI24070195298</t>
        </is>
      </c>
      <c r="Q1762" s="54">
        <f>MID(P1762,5,2)</f>
        <v/>
      </c>
      <c r="R1762" s="53">
        <f>MID(P1762,7,2)</f>
        <v/>
      </c>
      <c r="S1762" s="3" t="inlineStr">
        <is>
          <t>G2G</t>
        </is>
      </c>
      <c r="T1762" s="3" t="inlineStr">
        <is>
          <t>P4</t>
        </is>
      </c>
      <c r="U1762" s="3" t="inlineStr">
        <is>
          <t>N JB Cold Soldering</t>
        </is>
      </c>
      <c r="V1762" s="3" t="inlineStr">
        <is>
          <t>Soldering</t>
        </is>
      </c>
      <c r="W1762" s="3" t="inlineStr">
        <is>
          <t>Repair</t>
        </is>
      </c>
      <c r="X1762" s="18" t="n">
        <v>46164</v>
      </c>
      <c r="Y1762" s="73">
        <f>IF(X1762="","",X1762-A1762)</f>
        <v/>
      </c>
      <c r="Z1762" s="18" t="n">
        <v>46164</v>
      </c>
      <c r="AA1762" s="15" t="n"/>
      <c r="AB1762" s="15" t="n"/>
      <c r="AF1762">
        <f>IF(AND($F1762="Closed",$X1762&gt;=DATE(2026,5,1),$X1762&lt;=DATE(2026,5,31)),"Closed in May","Other")</f>
        <v/>
      </c>
    </row>
    <row r="1763">
      <c r="A1763" s="37" t="n">
        <v>46143</v>
      </c>
      <c r="B1763" s="3" t="n">
        <v>2026</v>
      </c>
      <c r="C1763" s="26" t="inlineStr">
        <is>
          <t>Yanara Power</t>
        </is>
      </c>
      <c r="D1763" s="3" t="inlineStr">
        <is>
          <t>Utility and C&amp;I</t>
        </is>
      </c>
      <c r="E1763" s="3" t="n"/>
      <c r="F1763" s="3" t="inlineStr">
        <is>
          <t>Closed</t>
        </is>
      </c>
      <c r="G1763" s="9" t="inlineStr">
        <is>
          <t xml:space="preserve">Ashish Jindal </t>
        </is>
      </c>
      <c r="H1763" s="26" t="n">
        <v>9983975581</v>
      </c>
      <c r="I1763" s="38" t="inlineStr">
        <is>
          <t>PE01052601</t>
        </is>
      </c>
      <c r="J1763" s="26" t="inlineStr">
        <is>
          <t>Multiple Issues</t>
        </is>
      </c>
      <c r="K1763" s="39" t="inlineStr">
        <is>
          <t>Holi</t>
        </is>
      </c>
      <c r="L1763" s="39" t="inlineStr">
        <is>
          <t>Maharashtra</t>
        </is>
      </c>
      <c r="M1763" s="46" t="inlineStr">
        <is>
          <t>NS</t>
        </is>
      </c>
      <c r="N1763" s="3" t="inlineStr">
        <is>
          <t>Cold Soldering</t>
        </is>
      </c>
      <c r="O1763" s="56" t="n">
        <v>575</v>
      </c>
      <c r="P1763" s="9" t="inlineStr">
        <is>
          <t>NSMI24070195179</t>
        </is>
      </c>
      <c r="Q1763" s="54">
        <f>MID(P1763,5,2)</f>
        <v/>
      </c>
      <c r="R1763" s="53">
        <f>MID(P1763,7,2)</f>
        <v/>
      </c>
      <c r="S1763" s="3" t="inlineStr">
        <is>
          <t>G2G</t>
        </is>
      </c>
      <c r="T1763" s="3" t="inlineStr">
        <is>
          <t>P4</t>
        </is>
      </c>
      <c r="U1763" s="3" t="inlineStr">
        <is>
          <t>N JB Cold Soldering</t>
        </is>
      </c>
      <c r="V1763" s="3" t="inlineStr">
        <is>
          <t>Soldering</t>
        </is>
      </c>
      <c r="W1763" s="3" t="inlineStr">
        <is>
          <t>Repair</t>
        </is>
      </c>
      <c r="X1763" s="18" t="n">
        <v>46164</v>
      </c>
      <c r="Y1763" s="73">
        <f>IF(X1763="","",X1763-A1763)</f>
        <v/>
      </c>
      <c r="Z1763" s="18" t="n">
        <v>46164</v>
      </c>
      <c r="AA1763" s="15" t="n"/>
      <c r="AB1763" s="15" t="n"/>
      <c r="AF1763">
        <f>IF(AND($F1763="Closed",$X1763&gt;=DATE(2026,5,1),$X1763&lt;=DATE(2026,5,31)),"Closed in May","Other")</f>
        <v/>
      </c>
    </row>
    <row r="1764">
      <c r="A1764" s="37" t="n">
        <v>46143</v>
      </c>
      <c r="B1764" s="3" t="n">
        <v>2026</v>
      </c>
      <c r="C1764" s="26" t="inlineStr">
        <is>
          <t>Yanara Power</t>
        </is>
      </c>
      <c r="D1764" s="3" t="inlineStr">
        <is>
          <t>Utility and C&amp;I</t>
        </is>
      </c>
      <c r="E1764" s="3" t="n"/>
      <c r="F1764" s="3" t="inlineStr">
        <is>
          <t>Closed</t>
        </is>
      </c>
      <c r="G1764" s="9" t="inlineStr">
        <is>
          <t xml:space="preserve">Ashish Jindal </t>
        </is>
      </c>
      <c r="H1764" s="26" t="n">
        <v>9983975581</v>
      </c>
      <c r="I1764" s="38" t="inlineStr">
        <is>
          <t>PE01052601</t>
        </is>
      </c>
      <c r="J1764" s="26" t="inlineStr">
        <is>
          <t>Multiple Issues</t>
        </is>
      </c>
      <c r="K1764" s="39" t="inlineStr">
        <is>
          <t>Holi</t>
        </is>
      </c>
      <c r="L1764" s="39" t="inlineStr">
        <is>
          <t>Maharashtra</t>
        </is>
      </c>
      <c r="M1764" s="46" t="inlineStr">
        <is>
          <t>NS</t>
        </is>
      </c>
      <c r="N1764" s="3" t="inlineStr">
        <is>
          <t>Cold Soldering</t>
        </is>
      </c>
      <c r="O1764" s="56" t="n">
        <v>575</v>
      </c>
      <c r="P1764" s="9" t="inlineStr">
        <is>
          <t>NSMI24070195351</t>
        </is>
      </c>
      <c r="Q1764" s="54">
        <f>MID(P1764,5,2)</f>
        <v/>
      </c>
      <c r="R1764" s="53">
        <f>MID(P1764,7,2)</f>
        <v/>
      </c>
      <c r="S1764" s="3" t="inlineStr">
        <is>
          <t>G2G</t>
        </is>
      </c>
      <c r="T1764" s="3" t="inlineStr">
        <is>
          <t>P4</t>
        </is>
      </c>
      <c r="U1764" s="3" t="inlineStr">
        <is>
          <t>N JB Cold Soldering</t>
        </is>
      </c>
      <c r="V1764" s="3" t="inlineStr">
        <is>
          <t>Soldering</t>
        </is>
      </c>
      <c r="W1764" s="3" t="inlineStr">
        <is>
          <t>Repair</t>
        </is>
      </c>
      <c r="X1764" s="18" t="n">
        <v>46164</v>
      </c>
      <c r="Y1764" s="73">
        <f>IF(X1764="","",X1764-A1764)</f>
        <v/>
      </c>
      <c r="Z1764" s="18" t="n">
        <v>46164</v>
      </c>
      <c r="AA1764" s="15" t="n"/>
      <c r="AB1764" s="15" t="n"/>
      <c r="AF1764">
        <f>IF(AND($F1764="Closed",$X1764&gt;=DATE(2026,5,1),$X1764&lt;=DATE(2026,5,31)),"Closed in May","Other")</f>
        <v/>
      </c>
    </row>
    <row r="1765">
      <c r="A1765" s="37" t="n">
        <v>46143</v>
      </c>
      <c r="B1765" s="3" t="n">
        <v>2026</v>
      </c>
      <c r="C1765" s="26" t="inlineStr">
        <is>
          <t>Yanara Power</t>
        </is>
      </c>
      <c r="D1765" s="3" t="inlineStr">
        <is>
          <t>Utility and C&amp;I</t>
        </is>
      </c>
      <c r="E1765" s="3" t="n"/>
      <c r="F1765" s="3" t="inlineStr">
        <is>
          <t>Closed</t>
        </is>
      </c>
      <c r="G1765" s="9" t="inlineStr">
        <is>
          <t xml:space="preserve">Ashish Jindal </t>
        </is>
      </c>
      <c r="H1765" s="26" t="n">
        <v>9983975581</v>
      </c>
      <c r="I1765" s="38" t="inlineStr">
        <is>
          <t>PE01052601</t>
        </is>
      </c>
      <c r="J1765" s="26" t="inlineStr">
        <is>
          <t>Multiple Issues</t>
        </is>
      </c>
      <c r="K1765" s="39" t="inlineStr">
        <is>
          <t>Holi</t>
        </is>
      </c>
      <c r="L1765" s="39" t="inlineStr">
        <is>
          <t>Maharashtra</t>
        </is>
      </c>
      <c r="M1765" s="46" t="inlineStr">
        <is>
          <t>PS</t>
        </is>
      </c>
      <c r="N1765" s="3" t="inlineStr">
        <is>
          <t>Cold Soldering</t>
        </is>
      </c>
      <c r="O1765" s="56" t="n">
        <v>575</v>
      </c>
      <c r="P1765" s="9" t="inlineStr">
        <is>
          <t>NSMI24070195307</t>
        </is>
      </c>
      <c r="Q1765" s="54">
        <f>MID(P1765,5,2)</f>
        <v/>
      </c>
      <c r="R1765" s="53">
        <f>MID(P1765,7,2)</f>
        <v/>
      </c>
      <c r="S1765" s="3" t="inlineStr">
        <is>
          <t>G2G</t>
        </is>
      </c>
      <c r="T1765" s="3" t="inlineStr">
        <is>
          <t>P4</t>
        </is>
      </c>
      <c r="U1765" s="19" t="inlineStr">
        <is>
          <t>P JB Cold Soldering</t>
        </is>
      </c>
      <c r="V1765" s="19" t="inlineStr">
        <is>
          <t>Soldering</t>
        </is>
      </c>
      <c r="W1765" s="3" t="inlineStr">
        <is>
          <t>Repair</t>
        </is>
      </c>
      <c r="X1765" s="18" t="n">
        <v>46164</v>
      </c>
      <c r="Y1765" s="73">
        <f>IF(X1765="","",X1765-A1765)</f>
        <v/>
      </c>
      <c r="Z1765" s="18" t="n">
        <v>46164</v>
      </c>
      <c r="AA1765" s="15" t="n"/>
      <c r="AB1765" s="15" t="n"/>
      <c r="AF1765">
        <f>IF(AND($F1765="Closed",$X1765&gt;=DATE(2026,5,1),$X1765&lt;=DATE(2026,5,31)),"Closed in May","Other")</f>
        <v/>
      </c>
    </row>
    <row r="1766">
      <c r="A1766" s="37" t="n">
        <v>46143</v>
      </c>
      <c r="B1766" s="3" t="n">
        <v>2026</v>
      </c>
      <c r="C1766" s="26" t="inlineStr">
        <is>
          <t>Yanara Power</t>
        </is>
      </c>
      <c r="D1766" s="3" t="inlineStr">
        <is>
          <t>Utility and C&amp;I</t>
        </is>
      </c>
      <c r="E1766" s="3" t="n"/>
      <c r="F1766" s="3" t="inlineStr">
        <is>
          <t>Closed</t>
        </is>
      </c>
      <c r="G1766" s="9" t="inlineStr">
        <is>
          <t xml:space="preserve">Ashish Jindal </t>
        </is>
      </c>
      <c r="H1766" s="26" t="n">
        <v>9983975581</v>
      </c>
      <c r="I1766" s="38" t="inlineStr">
        <is>
          <t>PE01052601</t>
        </is>
      </c>
      <c r="J1766" s="26" t="inlineStr">
        <is>
          <t>Multiple Issues</t>
        </is>
      </c>
      <c r="K1766" s="39" t="inlineStr">
        <is>
          <t>Holi</t>
        </is>
      </c>
      <c r="L1766" s="39" t="inlineStr">
        <is>
          <t>Maharashtra</t>
        </is>
      </c>
      <c r="M1766" s="46" t="inlineStr">
        <is>
          <t>NS</t>
        </is>
      </c>
      <c r="N1766" s="3" t="inlineStr">
        <is>
          <t>Cold Soldering</t>
        </is>
      </c>
      <c r="O1766" s="56" t="n">
        <v>575</v>
      </c>
      <c r="P1766" s="9" t="inlineStr">
        <is>
          <t>NSMI24070218782</t>
        </is>
      </c>
      <c r="Q1766" s="54">
        <f>MID(P1766,5,2)</f>
        <v/>
      </c>
      <c r="R1766" s="53">
        <f>MID(P1766,7,2)</f>
        <v/>
      </c>
      <c r="S1766" s="3" t="inlineStr">
        <is>
          <t>G2G</t>
        </is>
      </c>
      <c r="T1766" s="3" t="inlineStr">
        <is>
          <t>P4</t>
        </is>
      </c>
      <c r="U1766" s="3" t="inlineStr">
        <is>
          <t>N JB Cold Soldering</t>
        </is>
      </c>
      <c r="V1766" s="3" t="inlineStr">
        <is>
          <t>Soldering</t>
        </is>
      </c>
      <c r="W1766" s="3" t="inlineStr">
        <is>
          <t>Repair</t>
        </is>
      </c>
      <c r="X1766" s="18" t="n">
        <v>46164</v>
      </c>
      <c r="Y1766" s="73">
        <f>IF(X1766="","",X1766-A1766)</f>
        <v/>
      </c>
      <c r="Z1766" s="18" t="n">
        <v>46164</v>
      </c>
      <c r="AA1766" s="15" t="n"/>
      <c r="AB1766" s="15" t="n"/>
      <c r="AF1766">
        <f>IF(AND($F1766="Closed",$X1766&gt;=DATE(2026,5,1),$X1766&lt;=DATE(2026,5,31)),"Closed in May","Other")</f>
        <v/>
      </c>
    </row>
    <row r="1767">
      <c r="A1767" s="37" t="n">
        <v>46143</v>
      </c>
      <c r="B1767" s="3" t="n">
        <v>2026</v>
      </c>
      <c r="C1767" s="26" t="inlineStr">
        <is>
          <t>Yanara Power</t>
        </is>
      </c>
      <c r="D1767" s="3" t="inlineStr">
        <is>
          <t>Utility and C&amp;I</t>
        </is>
      </c>
      <c r="E1767" s="3" t="n"/>
      <c r="F1767" s="3" t="inlineStr">
        <is>
          <t>Closed</t>
        </is>
      </c>
      <c r="G1767" s="9" t="inlineStr">
        <is>
          <t xml:space="preserve">Ashish Jindal </t>
        </is>
      </c>
      <c r="H1767" s="26" t="n">
        <v>9983975581</v>
      </c>
      <c r="I1767" s="38" t="inlineStr">
        <is>
          <t>PE01052601</t>
        </is>
      </c>
      <c r="J1767" s="26" t="inlineStr">
        <is>
          <t>Multiple Issues</t>
        </is>
      </c>
      <c r="K1767" s="39" t="inlineStr">
        <is>
          <t>Holi</t>
        </is>
      </c>
      <c r="L1767" s="39" t="inlineStr">
        <is>
          <t>Maharashtra</t>
        </is>
      </c>
      <c r="M1767" s="46" t="inlineStr">
        <is>
          <t>PNS</t>
        </is>
      </c>
      <c r="N1767" s="3" t="inlineStr">
        <is>
          <t>Cold Soldering</t>
        </is>
      </c>
      <c r="O1767" s="56" t="n">
        <v>575</v>
      </c>
      <c r="P1767" s="9" t="inlineStr">
        <is>
          <t>NSMI24070218783</t>
        </is>
      </c>
      <c r="Q1767" s="54">
        <f>MID(P1767,5,2)</f>
        <v/>
      </c>
      <c r="R1767" s="53">
        <f>MID(P1767,7,2)</f>
        <v/>
      </c>
      <c r="S1767" s="3" t="inlineStr">
        <is>
          <t>G2G</t>
        </is>
      </c>
      <c r="T1767" s="3" t="inlineStr">
        <is>
          <t>P4</t>
        </is>
      </c>
      <c r="U1767" s="3" t="inlineStr">
        <is>
          <t>P &amp; N JB Cold Soldering</t>
        </is>
      </c>
      <c r="V1767" s="3" t="inlineStr">
        <is>
          <t>Soldering</t>
        </is>
      </c>
      <c r="W1767" s="3" t="inlineStr">
        <is>
          <t>Repair</t>
        </is>
      </c>
      <c r="X1767" s="18" t="n">
        <v>46164</v>
      </c>
      <c r="Y1767" s="73">
        <f>IF(X1767="","",X1767-A1767)</f>
        <v/>
      </c>
      <c r="Z1767" s="18" t="n">
        <v>46164</v>
      </c>
      <c r="AA1767" s="15" t="n"/>
      <c r="AB1767" s="15" t="n"/>
      <c r="AF1767">
        <f>IF(AND($F1767="Closed",$X1767&gt;=DATE(2026,5,1),$X1767&lt;=DATE(2026,5,31)),"Closed in May","Other")</f>
        <v/>
      </c>
    </row>
    <row r="1768">
      <c r="A1768" s="37" t="n">
        <v>46143</v>
      </c>
      <c r="B1768" s="3" t="n">
        <v>2026</v>
      </c>
      <c r="C1768" s="26" t="inlineStr">
        <is>
          <t>Yanara Power</t>
        </is>
      </c>
      <c r="D1768" s="3" t="inlineStr">
        <is>
          <t>Utility and C&amp;I</t>
        </is>
      </c>
      <c r="E1768" s="3" t="n"/>
      <c r="F1768" s="3" t="inlineStr">
        <is>
          <t>Closed</t>
        </is>
      </c>
      <c r="G1768" s="9" t="inlineStr">
        <is>
          <t xml:space="preserve">Ashish Jindal </t>
        </is>
      </c>
      <c r="H1768" s="26" t="n">
        <v>9983975581</v>
      </c>
      <c r="I1768" s="38" t="inlineStr">
        <is>
          <t>PE01052601</t>
        </is>
      </c>
      <c r="J1768" s="26" t="inlineStr">
        <is>
          <t>Multiple Issues</t>
        </is>
      </c>
      <c r="K1768" s="39" t="inlineStr">
        <is>
          <t>Holi</t>
        </is>
      </c>
      <c r="L1768" s="39" t="inlineStr">
        <is>
          <t>Maharashtra</t>
        </is>
      </c>
      <c r="M1768" s="46" t="inlineStr">
        <is>
          <t>PNS</t>
        </is>
      </c>
      <c r="N1768" s="3" t="inlineStr">
        <is>
          <t>Cold Soldering</t>
        </is>
      </c>
      <c r="O1768" s="56" t="n">
        <v>575</v>
      </c>
      <c r="P1768" s="9" t="inlineStr">
        <is>
          <t>NSMI24070218776</t>
        </is>
      </c>
      <c r="Q1768" s="54">
        <f>MID(P1768,5,2)</f>
        <v/>
      </c>
      <c r="R1768" s="53">
        <f>MID(P1768,7,2)</f>
        <v/>
      </c>
      <c r="S1768" s="3" t="inlineStr">
        <is>
          <t>G2G</t>
        </is>
      </c>
      <c r="T1768" s="3" t="inlineStr">
        <is>
          <t>P4</t>
        </is>
      </c>
      <c r="U1768" s="3" t="inlineStr">
        <is>
          <t>P &amp; N JB Cold Soldering</t>
        </is>
      </c>
      <c r="V1768" s="3" t="inlineStr">
        <is>
          <t>Soldering</t>
        </is>
      </c>
      <c r="W1768" s="3" t="inlineStr">
        <is>
          <t>Repair</t>
        </is>
      </c>
      <c r="X1768" s="18" t="n">
        <v>46164</v>
      </c>
      <c r="Y1768" s="73">
        <f>IF(X1768="","",X1768-A1768)</f>
        <v/>
      </c>
      <c r="Z1768" s="18" t="n">
        <v>46164</v>
      </c>
      <c r="AA1768" s="15" t="n"/>
      <c r="AB1768" s="15" t="n"/>
      <c r="AF1768">
        <f>IF(AND($F1768="Closed",$X1768&gt;=DATE(2026,5,1),$X1768&lt;=DATE(2026,5,31)),"Closed in May","Other")</f>
        <v/>
      </c>
    </row>
    <row r="1769">
      <c r="A1769" s="37" t="n">
        <v>46143</v>
      </c>
      <c r="B1769" s="3" t="n">
        <v>2026</v>
      </c>
      <c r="C1769" s="26" t="inlineStr">
        <is>
          <t>Yanara Power</t>
        </is>
      </c>
      <c r="D1769" s="3" t="inlineStr">
        <is>
          <t>Utility and C&amp;I</t>
        </is>
      </c>
      <c r="E1769" s="3" t="n"/>
      <c r="F1769" s="3" t="inlineStr">
        <is>
          <t>Closed</t>
        </is>
      </c>
      <c r="G1769" s="9" t="inlineStr">
        <is>
          <t xml:space="preserve">Ashish Jindal </t>
        </is>
      </c>
      <c r="H1769" s="26" t="n">
        <v>9983975581</v>
      </c>
      <c r="I1769" s="38" t="inlineStr">
        <is>
          <t>PE01052601</t>
        </is>
      </c>
      <c r="J1769" s="26" t="inlineStr">
        <is>
          <t>Multiple Issues</t>
        </is>
      </c>
      <c r="K1769" s="39" t="inlineStr">
        <is>
          <t>Holi</t>
        </is>
      </c>
      <c r="L1769" s="39" t="inlineStr">
        <is>
          <t>Maharashtra</t>
        </is>
      </c>
      <c r="M1769" s="46" t="inlineStr">
        <is>
          <t>NS</t>
        </is>
      </c>
      <c r="N1769" s="3" t="inlineStr">
        <is>
          <t>Cold Soldering</t>
        </is>
      </c>
      <c r="O1769" s="56" t="n">
        <v>575</v>
      </c>
      <c r="P1769" s="9" t="inlineStr">
        <is>
          <t>NSMI24070239223</t>
        </is>
      </c>
      <c r="Q1769" s="54">
        <f>MID(P1769,5,2)</f>
        <v/>
      </c>
      <c r="R1769" s="53">
        <f>MID(P1769,7,2)</f>
        <v/>
      </c>
      <c r="S1769" s="3" t="inlineStr">
        <is>
          <t>G2G</t>
        </is>
      </c>
      <c r="T1769" s="3" t="inlineStr">
        <is>
          <t>P4</t>
        </is>
      </c>
      <c r="U1769" s="3" t="inlineStr">
        <is>
          <t>N JB Cold Soldering</t>
        </is>
      </c>
      <c r="V1769" s="3" t="inlineStr">
        <is>
          <t>Soldering</t>
        </is>
      </c>
      <c r="W1769" s="3" t="inlineStr">
        <is>
          <t>Repair</t>
        </is>
      </c>
      <c r="X1769" s="18" t="n">
        <v>46164</v>
      </c>
      <c r="Y1769" s="73">
        <f>IF(X1769="","",X1769-A1769)</f>
        <v/>
      </c>
      <c r="Z1769" s="18" t="n">
        <v>46164</v>
      </c>
      <c r="AA1769" s="15" t="n"/>
      <c r="AB1769" s="15" t="n"/>
      <c r="AF1769">
        <f>IF(AND($F1769="Closed",$X1769&gt;=DATE(2026,5,1),$X1769&lt;=DATE(2026,5,31)),"Closed in May","Other")</f>
        <v/>
      </c>
    </row>
    <row r="1770">
      <c r="A1770" s="37" t="n">
        <v>46143</v>
      </c>
      <c r="B1770" s="3" t="n">
        <v>2026</v>
      </c>
      <c r="C1770" s="26" t="inlineStr">
        <is>
          <t>Yanara Power</t>
        </is>
      </c>
      <c r="D1770" s="3" t="inlineStr">
        <is>
          <t>Utility and C&amp;I</t>
        </is>
      </c>
      <c r="E1770" s="3" t="n"/>
      <c r="F1770" s="3" t="inlineStr">
        <is>
          <t>Closed</t>
        </is>
      </c>
      <c r="G1770" s="9" t="inlineStr">
        <is>
          <t xml:space="preserve">Ashish Jindal </t>
        </is>
      </c>
      <c r="H1770" s="26" t="n">
        <v>9983975581</v>
      </c>
      <c r="I1770" s="38" t="inlineStr">
        <is>
          <t>PE01052601</t>
        </is>
      </c>
      <c r="J1770" s="26" t="inlineStr">
        <is>
          <t>Multiple Issues</t>
        </is>
      </c>
      <c r="K1770" s="39" t="inlineStr">
        <is>
          <t>Holi</t>
        </is>
      </c>
      <c r="L1770" s="39" t="inlineStr">
        <is>
          <t>Maharashtra</t>
        </is>
      </c>
      <c r="M1770" s="46" t="inlineStr">
        <is>
          <t>NS</t>
        </is>
      </c>
      <c r="N1770" s="3" t="inlineStr">
        <is>
          <t>Cold Soldering</t>
        </is>
      </c>
      <c r="O1770" s="56" t="n">
        <v>575</v>
      </c>
      <c r="P1770" s="9" t="inlineStr">
        <is>
          <t>NSMI24070185067</t>
        </is>
      </c>
      <c r="Q1770" s="54">
        <f>MID(P1770,5,2)</f>
        <v/>
      </c>
      <c r="R1770" s="53">
        <f>MID(P1770,7,2)</f>
        <v/>
      </c>
      <c r="S1770" s="3" t="inlineStr">
        <is>
          <t>G2G</t>
        </is>
      </c>
      <c r="T1770" s="3" t="inlineStr">
        <is>
          <t>P4</t>
        </is>
      </c>
      <c r="U1770" s="3" t="inlineStr">
        <is>
          <t>N JB Cold Soldering</t>
        </is>
      </c>
      <c r="V1770" s="3" t="inlineStr">
        <is>
          <t>Soldering</t>
        </is>
      </c>
      <c r="W1770" s="3" t="inlineStr">
        <is>
          <t>Repair</t>
        </is>
      </c>
      <c r="X1770" s="18" t="n">
        <v>46164</v>
      </c>
      <c r="Y1770" s="73">
        <f>IF(X1770="","",X1770-A1770)</f>
        <v/>
      </c>
      <c r="Z1770" s="18" t="n">
        <v>46164</v>
      </c>
      <c r="AA1770" s="15" t="n"/>
      <c r="AB1770" s="15" t="n"/>
      <c r="AF1770">
        <f>IF(AND($F1770="Closed",$X1770&gt;=DATE(2026,5,1),$X1770&lt;=DATE(2026,5,31)),"Closed in May","Other")</f>
        <v/>
      </c>
    </row>
    <row r="1771">
      <c r="A1771" s="37" t="n">
        <v>46143</v>
      </c>
      <c r="B1771" s="3" t="n">
        <v>2026</v>
      </c>
      <c r="C1771" s="26" t="inlineStr">
        <is>
          <t>Yanara Power</t>
        </is>
      </c>
      <c r="D1771" s="3" t="inlineStr">
        <is>
          <t>Utility and C&amp;I</t>
        </is>
      </c>
      <c r="E1771" s="3" t="n"/>
      <c r="F1771" s="3" t="inlineStr">
        <is>
          <t>Closed</t>
        </is>
      </c>
      <c r="G1771" s="9" t="inlineStr">
        <is>
          <t xml:space="preserve">Ashish Jindal </t>
        </is>
      </c>
      <c r="H1771" s="26" t="n">
        <v>9983975581</v>
      </c>
      <c r="I1771" s="38" t="inlineStr">
        <is>
          <t>PE01052601</t>
        </is>
      </c>
      <c r="J1771" s="26" t="inlineStr">
        <is>
          <t>Multiple Issues</t>
        </is>
      </c>
      <c r="K1771" s="39" t="inlineStr">
        <is>
          <t>Holi</t>
        </is>
      </c>
      <c r="L1771" s="39" t="inlineStr">
        <is>
          <t>Maharashtra</t>
        </is>
      </c>
      <c r="M1771" s="46" t="inlineStr">
        <is>
          <t>NS</t>
        </is>
      </c>
      <c r="N1771" s="3" t="inlineStr">
        <is>
          <t>Cold Soldering</t>
        </is>
      </c>
      <c r="O1771" s="56" t="n">
        <v>575</v>
      </c>
      <c r="P1771" s="9" t="inlineStr">
        <is>
          <t>NSMI24070216872</t>
        </is>
      </c>
      <c r="Q1771" s="54">
        <f>MID(P1771,5,2)</f>
        <v/>
      </c>
      <c r="R1771" s="53">
        <f>MID(P1771,7,2)</f>
        <v/>
      </c>
      <c r="S1771" s="3" t="inlineStr">
        <is>
          <t>G2G</t>
        </is>
      </c>
      <c r="T1771" s="3" t="inlineStr">
        <is>
          <t>P4</t>
        </is>
      </c>
      <c r="U1771" s="3" t="inlineStr">
        <is>
          <t>N JB Cold Soldering</t>
        </is>
      </c>
      <c r="V1771" s="3" t="inlineStr">
        <is>
          <t>Soldering</t>
        </is>
      </c>
      <c r="W1771" s="3" t="inlineStr">
        <is>
          <t>Repair</t>
        </is>
      </c>
      <c r="X1771" s="18" t="n">
        <v>46164</v>
      </c>
      <c r="Y1771" s="73">
        <f>IF(X1771="","",X1771-A1771)</f>
        <v/>
      </c>
      <c r="Z1771" s="18" t="n">
        <v>46164</v>
      </c>
      <c r="AA1771" s="15" t="n"/>
      <c r="AB1771" s="15" t="n"/>
      <c r="AF1771">
        <f>IF(AND($F1771="Closed",$X1771&gt;=DATE(2026,5,1),$X1771&lt;=DATE(2026,5,31)),"Closed in May","Other")</f>
        <v/>
      </c>
    </row>
    <row r="1772">
      <c r="A1772" s="37" t="n">
        <v>46143</v>
      </c>
      <c r="B1772" s="3" t="n">
        <v>2026</v>
      </c>
      <c r="C1772" s="26" t="inlineStr">
        <is>
          <t>Yanara Power</t>
        </is>
      </c>
      <c r="D1772" s="3" t="inlineStr">
        <is>
          <t>Utility and C&amp;I</t>
        </is>
      </c>
      <c r="E1772" s="3" t="n"/>
      <c r="F1772" s="3" t="inlineStr">
        <is>
          <t>Closed</t>
        </is>
      </c>
      <c r="G1772" s="9" t="inlineStr">
        <is>
          <t xml:space="preserve">Ashish Jindal </t>
        </is>
      </c>
      <c r="H1772" s="26" t="n">
        <v>9983975581</v>
      </c>
      <c r="I1772" s="38" t="inlineStr">
        <is>
          <t>PE01052601</t>
        </is>
      </c>
      <c r="J1772" s="26" t="inlineStr">
        <is>
          <t>Multiple Issues</t>
        </is>
      </c>
      <c r="K1772" s="39" t="inlineStr">
        <is>
          <t>Holi</t>
        </is>
      </c>
      <c r="L1772" s="39" t="inlineStr">
        <is>
          <t>Maharashtra</t>
        </is>
      </c>
      <c r="M1772" s="46" t="inlineStr">
        <is>
          <t>NS</t>
        </is>
      </c>
      <c r="N1772" s="3" t="inlineStr">
        <is>
          <t>Cold Soldering</t>
        </is>
      </c>
      <c r="O1772" s="56" t="n">
        <v>575</v>
      </c>
      <c r="P1772" s="9" t="inlineStr">
        <is>
          <t>NSMI24070220155</t>
        </is>
      </c>
      <c r="Q1772" s="54">
        <f>MID(P1772,5,2)</f>
        <v/>
      </c>
      <c r="R1772" s="53">
        <f>MID(P1772,7,2)</f>
        <v/>
      </c>
      <c r="S1772" s="3" t="inlineStr">
        <is>
          <t>G2G</t>
        </is>
      </c>
      <c r="T1772" s="3" t="inlineStr">
        <is>
          <t>P4</t>
        </is>
      </c>
      <c r="U1772" s="3" t="inlineStr">
        <is>
          <t>N JB Cold Soldering</t>
        </is>
      </c>
      <c r="V1772" s="3" t="inlineStr">
        <is>
          <t>Soldering</t>
        </is>
      </c>
      <c r="W1772" s="3" t="inlineStr">
        <is>
          <t>Repair</t>
        </is>
      </c>
      <c r="X1772" s="18" t="n">
        <v>46164</v>
      </c>
      <c r="Y1772" s="73">
        <f>IF(X1772="","",X1772-A1772)</f>
        <v/>
      </c>
      <c r="Z1772" s="18" t="n">
        <v>46164</v>
      </c>
      <c r="AA1772" s="15" t="n"/>
      <c r="AB1772" s="15" t="n"/>
      <c r="AF1772">
        <f>IF(AND($F1772="Closed",$X1772&gt;=DATE(2026,5,1),$X1772&lt;=DATE(2026,5,31)),"Closed in May","Other")</f>
        <v/>
      </c>
    </row>
    <row r="1773">
      <c r="A1773" s="37" t="n">
        <v>46143</v>
      </c>
      <c r="B1773" s="3" t="n">
        <v>2026</v>
      </c>
      <c r="C1773" s="26" t="inlineStr">
        <is>
          <t>Yanara Power</t>
        </is>
      </c>
      <c r="D1773" s="3" t="inlineStr">
        <is>
          <t>Utility and C&amp;I</t>
        </is>
      </c>
      <c r="E1773" s="3" t="n"/>
      <c r="F1773" s="3" t="inlineStr">
        <is>
          <t>Closed</t>
        </is>
      </c>
      <c r="G1773" s="9" t="inlineStr">
        <is>
          <t xml:space="preserve">Ashish Jindal </t>
        </is>
      </c>
      <c r="H1773" s="26" t="n">
        <v>9983975581</v>
      </c>
      <c r="I1773" s="38" t="inlineStr">
        <is>
          <t>PE01052601</t>
        </is>
      </c>
      <c r="J1773" s="26" t="inlineStr">
        <is>
          <t>Multiple Issues</t>
        </is>
      </c>
      <c r="K1773" s="39" t="inlineStr">
        <is>
          <t>Holi</t>
        </is>
      </c>
      <c r="L1773" s="39" t="inlineStr">
        <is>
          <t>Maharashtra</t>
        </is>
      </c>
      <c r="M1773" s="46" t="inlineStr">
        <is>
          <t>NMS</t>
        </is>
      </c>
      <c r="N1773" s="3" t="inlineStr">
        <is>
          <t>Cold Soldering</t>
        </is>
      </c>
      <c r="O1773" s="56" t="n">
        <v>575</v>
      </c>
      <c r="P1773" s="9" t="inlineStr">
        <is>
          <t>NSMI24070223696</t>
        </is>
      </c>
      <c r="Q1773" s="54">
        <f>MID(P1773,5,2)</f>
        <v/>
      </c>
      <c r="R1773" s="53">
        <f>MID(P1773,7,2)</f>
        <v/>
      </c>
      <c r="S1773" s="3" t="inlineStr">
        <is>
          <t>G2G</t>
        </is>
      </c>
      <c r="T1773" s="3" t="inlineStr">
        <is>
          <t>P4</t>
        </is>
      </c>
      <c r="U1773" s="3" t="inlineStr">
        <is>
          <t>N &amp; M JB Cold Soldering</t>
        </is>
      </c>
      <c r="V1773" s="3" t="inlineStr">
        <is>
          <t>Soldering</t>
        </is>
      </c>
      <c r="W1773" s="3" t="inlineStr">
        <is>
          <t>Repair</t>
        </is>
      </c>
      <c r="X1773" s="18" t="n">
        <v>46164</v>
      </c>
      <c r="Y1773" s="73">
        <f>IF(X1773="","",X1773-A1773)</f>
        <v/>
      </c>
      <c r="Z1773" s="18" t="n">
        <v>46164</v>
      </c>
      <c r="AA1773" s="15" t="n"/>
      <c r="AB1773" s="15" t="n"/>
      <c r="AF1773">
        <f>IF(AND($F1773="Closed",$X1773&gt;=DATE(2026,5,1),$X1773&lt;=DATE(2026,5,31)),"Closed in May","Other")</f>
        <v/>
      </c>
    </row>
    <row r="1774">
      <c r="A1774" s="37" t="n">
        <v>46143</v>
      </c>
      <c r="B1774" s="3" t="n">
        <v>2026</v>
      </c>
      <c r="C1774" s="26" t="inlineStr">
        <is>
          <t>Yanara Power</t>
        </is>
      </c>
      <c r="D1774" s="3" t="inlineStr">
        <is>
          <t>Utility and C&amp;I</t>
        </is>
      </c>
      <c r="E1774" s="3" t="n"/>
      <c r="F1774" s="3" t="inlineStr">
        <is>
          <t>Closed</t>
        </is>
      </c>
      <c r="G1774" s="9" t="inlineStr">
        <is>
          <t xml:space="preserve">Ashish Jindal </t>
        </is>
      </c>
      <c r="H1774" s="26" t="n">
        <v>9983975581</v>
      </c>
      <c r="I1774" s="38" t="inlineStr">
        <is>
          <t>PE01052601</t>
        </is>
      </c>
      <c r="J1774" s="26" t="inlineStr">
        <is>
          <t>Multiple Issues</t>
        </is>
      </c>
      <c r="K1774" s="39" t="inlineStr">
        <is>
          <t>Holi</t>
        </is>
      </c>
      <c r="L1774" s="39" t="inlineStr">
        <is>
          <t>Maharashtra</t>
        </is>
      </c>
      <c r="M1774" s="46" t="inlineStr">
        <is>
          <t>NS</t>
        </is>
      </c>
      <c r="N1774" s="3" t="inlineStr">
        <is>
          <t>Cold Soldering</t>
        </is>
      </c>
      <c r="O1774" s="56" t="n">
        <v>575</v>
      </c>
      <c r="P1774" s="9" t="inlineStr">
        <is>
          <t>NSMI24070231559</t>
        </is>
      </c>
      <c r="Q1774" s="54">
        <f>MID(P1774,5,2)</f>
        <v/>
      </c>
      <c r="R1774" s="53">
        <f>MID(P1774,7,2)</f>
        <v/>
      </c>
      <c r="S1774" s="3" t="inlineStr">
        <is>
          <t>G2G</t>
        </is>
      </c>
      <c r="T1774" s="3" t="inlineStr">
        <is>
          <t>P4</t>
        </is>
      </c>
      <c r="U1774" s="3" t="inlineStr">
        <is>
          <t>N JB Cold Soldering</t>
        </is>
      </c>
      <c r="V1774" s="3" t="inlineStr">
        <is>
          <t>Soldering</t>
        </is>
      </c>
      <c r="W1774" s="3" t="inlineStr">
        <is>
          <t>Repair</t>
        </is>
      </c>
      <c r="X1774" s="18" t="n">
        <v>46164</v>
      </c>
      <c r="Y1774" s="73">
        <f>IF(X1774="","",X1774-A1774)</f>
        <v/>
      </c>
      <c r="Z1774" s="18" t="n">
        <v>46164</v>
      </c>
      <c r="AA1774" s="15" t="n"/>
      <c r="AB1774" s="15" t="n"/>
      <c r="AF1774">
        <f>IF(AND($F1774="Closed",$X1774&gt;=DATE(2026,5,1),$X1774&lt;=DATE(2026,5,31)),"Closed in May","Other")</f>
        <v/>
      </c>
    </row>
    <row r="1775">
      <c r="A1775" s="37" t="n">
        <v>46143</v>
      </c>
      <c r="B1775" s="3" t="n">
        <v>2026</v>
      </c>
      <c r="C1775" s="26" t="inlineStr">
        <is>
          <t>Yanara Power</t>
        </is>
      </c>
      <c r="D1775" s="3" t="inlineStr">
        <is>
          <t>Utility and C&amp;I</t>
        </is>
      </c>
      <c r="E1775" s="3" t="n"/>
      <c r="F1775" s="3" t="inlineStr">
        <is>
          <t>Closed</t>
        </is>
      </c>
      <c r="G1775" s="9" t="inlineStr">
        <is>
          <t xml:space="preserve">Ashish Jindal </t>
        </is>
      </c>
      <c r="H1775" s="26" t="n">
        <v>9983975581</v>
      </c>
      <c r="I1775" s="38" t="inlineStr">
        <is>
          <t>PE01052601</t>
        </is>
      </c>
      <c r="J1775" s="26" t="inlineStr">
        <is>
          <t>Multiple Issues</t>
        </is>
      </c>
      <c r="K1775" s="39" t="inlineStr">
        <is>
          <t>Holi</t>
        </is>
      </c>
      <c r="L1775" s="39" t="inlineStr">
        <is>
          <t>Maharashtra</t>
        </is>
      </c>
      <c r="M1775" s="46" t="inlineStr">
        <is>
          <t>PS</t>
        </is>
      </c>
      <c r="N1775" s="3" t="inlineStr">
        <is>
          <t>Cold Soldering</t>
        </is>
      </c>
      <c r="O1775" s="56" t="n">
        <v>575</v>
      </c>
      <c r="P1775" s="9" t="inlineStr">
        <is>
          <t>NSMI24070231571</t>
        </is>
      </c>
      <c r="Q1775" s="54">
        <f>MID(P1775,5,2)</f>
        <v/>
      </c>
      <c r="R1775" s="53">
        <f>MID(P1775,7,2)</f>
        <v/>
      </c>
      <c r="S1775" s="3" t="inlineStr">
        <is>
          <t>G2G</t>
        </is>
      </c>
      <c r="T1775" s="3" t="inlineStr">
        <is>
          <t>P4</t>
        </is>
      </c>
      <c r="U1775" s="19" t="inlineStr">
        <is>
          <t>P JB Cold Soldering</t>
        </is>
      </c>
      <c r="V1775" s="19" t="inlineStr">
        <is>
          <t>Soldering</t>
        </is>
      </c>
      <c r="W1775" s="3" t="inlineStr">
        <is>
          <t>Repair</t>
        </is>
      </c>
      <c r="X1775" s="18" t="n">
        <v>46164</v>
      </c>
      <c r="Y1775" s="73">
        <f>IF(X1775="","",X1775-A1775)</f>
        <v/>
      </c>
      <c r="Z1775" s="18" t="n">
        <v>46164</v>
      </c>
      <c r="AA1775" s="15" t="n"/>
      <c r="AB1775" s="15" t="n"/>
      <c r="AF1775">
        <f>IF(AND($F1775="Closed",$X1775&gt;=DATE(2026,5,1),$X1775&lt;=DATE(2026,5,31)),"Closed in May","Other")</f>
        <v/>
      </c>
    </row>
    <row r="1776">
      <c r="A1776" s="59" t="n">
        <v>46148</v>
      </c>
      <c r="B1776" s="3" t="n">
        <v>2026</v>
      </c>
      <c r="C1776" s="21" t="inlineStr">
        <is>
          <t>Continuum</t>
        </is>
      </c>
      <c r="D1776" s="3" t="inlineStr">
        <is>
          <t>Utility and C&amp;I</t>
        </is>
      </c>
      <c r="E1776" s="3" t="n"/>
      <c r="F1776" s="3" t="inlineStr">
        <is>
          <t>Closed</t>
        </is>
      </c>
      <c r="G1776" s="21" t="inlineStr">
        <is>
          <t>Amiya Ranjan Behera</t>
        </is>
      </c>
      <c r="H1776" s="21" t="n">
        <v>8917436223</v>
      </c>
      <c r="I1776" s="38" t="inlineStr">
        <is>
          <t>PE06052602</t>
        </is>
      </c>
      <c r="J1776" s="21" t="inlineStr">
        <is>
          <t>Diode Bypass Module Issue</t>
        </is>
      </c>
      <c r="K1776" s="21" t="inlineStr">
        <is>
          <t>Bhavnagar</t>
        </is>
      </c>
      <c r="L1776" s="21" t="inlineStr">
        <is>
          <t>Gujarat</t>
        </is>
      </c>
      <c r="M1776" s="9" t="inlineStr">
        <is>
          <t>PS</t>
        </is>
      </c>
      <c r="N1776" s="3" t="inlineStr">
        <is>
          <t>Cold Soldering</t>
        </is>
      </c>
      <c r="O1776" s="60" t="n">
        <v>540</v>
      </c>
      <c r="P1776" s="9" t="inlineStr">
        <is>
          <t>NSMP2304068738</t>
        </is>
      </c>
      <c r="Q1776" s="53">
        <f>MID(P1776,5,2)</f>
        <v/>
      </c>
      <c r="R1776" s="53">
        <f>MID(P1776,7,2)</f>
        <v/>
      </c>
      <c r="S1776" s="3" t="inlineStr">
        <is>
          <t>G2B</t>
        </is>
      </c>
      <c r="T1776" s="3" t="inlineStr">
        <is>
          <t>P2</t>
        </is>
      </c>
      <c r="U1776" s="3" t="inlineStr">
        <is>
          <t>P JB Cold Soldering</t>
        </is>
      </c>
      <c r="V1776" s="3" t="inlineStr">
        <is>
          <t>Soldering</t>
        </is>
      </c>
      <c r="W1776" s="3" t="inlineStr">
        <is>
          <t>Repair</t>
        </is>
      </c>
      <c r="X1776" s="18" t="n">
        <v>46165</v>
      </c>
      <c r="Y1776" s="73">
        <f>IF(X1776="","",X1776-A1776)</f>
        <v/>
      </c>
      <c r="Z1776" s="18" t="n">
        <v>46165</v>
      </c>
      <c r="AA1776" s="15" t="n"/>
      <c r="AB1776" s="15" t="n"/>
      <c r="AF1776">
        <f>IF(AND($F1776="Closed",$X1776&gt;=DATE(2026,5,1),$X1776&lt;=DATE(2026,5,31)),"Closed in May","Other")</f>
        <v/>
      </c>
    </row>
    <row r="1777">
      <c r="A1777" s="59" t="n">
        <v>46148</v>
      </c>
      <c r="B1777" s="3" t="n">
        <v>2026</v>
      </c>
      <c r="C1777" s="21" t="inlineStr">
        <is>
          <t>Continuum</t>
        </is>
      </c>
      <c r="D1777" s="3" t="inlineStr">
        <is>
          <t>Utility and C&amp;I</t>
        </is>
      </c>
      <c r="E1777" s="3" t="n"/>
      <c r="F1777" s="3" t="inlineStr">
        <is>
          <t>Closed</t>
        </is>
      </c>
      <c r="G1777" s="21" t="inlineStr">
        <is>
          <t>Amiya Ranjan Behera</t>
        </is>
      </c>
      <c r="H1777" s="21" t="n">
        <v>8917436223</v>
      </c>
      <c r="I1777" s="38" t="inlineStr">
        <is>
          <t>PE06052602</t>
        </is>
      </c>
      <c r="J1777" s="21" t="inlineStr">
        <is>
          <t>Diode Bypass Module Issue</t>
        </is>
      </c>
      <c r="K1777" s="21" t="inlineStr">
        <is>
          <t>Bhavnagar</t>
        </is>
      </c>
      <c r="L1777" s="21" t="inlineStr">
        <is>
          <t>Gujarat</t>
        </is>
      </c>
      <c r="M1777" s="9" t="inlineStr">
        <is>
          <t>PS</t>
        </is>
      </c>
      <c r="N1777" s="3" t="inlineStr">
        <is>
          <t>Cold Soldering</t>
        </is>
      </c>
      <c r="O1777" s="60" t="n">
        <v>540</v>
      </c>
      <c r="P1777" s="9" t="inlineStr">
        <is>
          <t>NSMP2304073522</t>
        </is>
      </c>
      <c r="Q1777" s="53">
        <f>MID(P1777,5,2)</f>
        <v/>
      </c>
      <c r="R1777" s="53">
        <f>MID(P1777,7,2)</f>
        <v/>
      </c>
      <c r="S1777" s="3" t="inlineStr">
        <is>
          <t>G2B</t>
        </is>
      </c>
      <c r="T1777" s="3" t="inlineStr">
        <is>
          <t>P2</t>
        </is>
      </c>
      <c r="U1777" s="3" t="inlineStr">
        <is>
          <t>P JB Cold Soldering</t>
        </is>
      </c>
      <c r="V1777" s="3" t="inlineStr">
        <is>
          <t>Soldering</t>
        </is>
      </c>
      <c r="W1777" s="3" t="inlineStr">
        <is>
          <t>Repair</t>
        </is>
      </c>
      <c r="X1777" s="18" t="n">
        <v>46165</v>
      </c>
      <c r="Y1777" s="73">
        <f>IF(X1777="","",X1777-A1777)</f>
        <v/>
      </c>
      <c r="Z1777" s="18" t="n">
        <v>46165</v>
      </c>
      <c r="AA1777" s="15" t="n"/>
      <c r="AB1777" s="15" t="n"/>
      <c r="AF1777">
        <f>IF(AND($F1777="Closed",$X1777&gt;=DATE(2026,5,1),$X1777&lt;=DATE(2026,5,31)),"Closed in May","Other")</f>
        <v/>
      </c>
    </row>
    <row r="1778">
      <c r="A1778" s="59" t="n">
        <v>46148</v>
      </c>
      <c r="B1778" s="3" t="n">
        <v>2026</v>
      </c>
      <c r="C1778" s="21" t="inlineStr">
        <is>
          <t>Continuum</t>
        </is>
      </c>
      <c r="D1778" s="3" t="inlineStr">
        <is>
          <t>Utility and C&amp;I</t>
        </is>
      </c>
      <c r="E1778" s="3" t="n"/>
      <c r="F1778" s="3" t="inlineStr">
        <is>
          <t>Closed</t>
        </is>
      </c>
      <c r="G1778" s="21" t="inlineStr">
        <is>
          <t>Amiya Ranjan Behera</t>
        </is>
      </c>
      <c r="H1778" s="21" t="n">
        <v>8917436223</v>
      </c>
      <c r="I1778" s="38" t="inlineStr">
        <is>
          <t>PE06052602</t>
        </is>
      </c>
      <c r="J1778" s="21" t="inlineStr">
        <is>
          <t>Diode Bypass Module Issue</t>
        </is>
      </c>
      <c r="K1778" s="21" t="inlineStr">
        <is>
          <t>Bhavnagar</t>
        </is>
      </c>
      <c r="L1778" s="21" t="inlineStr">
        <is>
          <t>Gujarat</t>
        </is>
      </c>
      <c r="M1778" s="9" t="inlineStr">
        <is>
          <t>PS</t>
        </is>
      </c>
      <c r="N1778" s="3" t="inlineStr">
        <is>
          <t>Cold Soldering</t>
        </is>
      </c>
      <c r="O1778" s="60" t="n">
        <v>540</v>
      </c>
      <c r="P1778" s="9" t="inlineStr">
        <is>
          <t>NSMP2305131692</t>
        </is>
      </c>
      <c r="Q1778" s="53">
        <f>MID(P1778,5,2)</f>
        <v/>
      </c>
      <c r="R1778" s="53">
        <f>MID(P1778,7,2)</f>
        <v/>
      </c>
      <c r="S1778" s="3" t="inlineStr">
        <is>
          <t>G2B</t>
        </is>
      </c>
      <c r="T1778" s="3" t="inlineStr">
        <is>
          <t>P2</t>
        </is>
      </c>
      <c r="U1778" s="3" t="inlineStr">
        <is>
          <t>P JB Cold Soldering</t>
        </is>
      </c>
      <c r="V1778" s="3" t="inlineStr">
        <is>
          <t>Soldering</t>
        </is>
      </c>
      <c r="W1778" s="3" t="inlineStr">
        <is>
          <t>Repair</t>
        </is>
      </c>
      <c r="X1778" s="18" t="n">
        <v>46165</v>
      </c>
      <c r="Y1778" s="73">
        <f>IF(X1778="","",X1778-A1778)</f>
        <v/>
      </c>
      <c r="Z1778" s="18" t="n">
        <v>46165</v>
      </c>
      <c r="AA1778" s="15" t="n"/>
      <c r="AB1778" s="15" t="n"/>
      <c r="AF1778">
        <f>IF(AND($F1778="Closed",$X1778&gt;=DATE(2026,5,1),$X1778&lt;=DATE(2026,5,31)),"Closed in May","Other")</f>
        <v/>
      </c>
    </row>
    <row r="1779">
      <c r="A1779" s="59" t="n">
        <v>46148</v>
      </c>
      <c r="B1779" s="3" t="n">
        <v>2026</v>
      </c>
      <c r="C1779" s="21" t="inlineStr">
        <is>
          <t>Continuum</t>
        </is>
      </c>
      <c r="D1779" s="3" t="inlineStr">
        <is>
          <t>Utility and C&amp;I</t>
        </is>
      </c>
      <c r="E1779" s="3" t="n"/>
      <c r="F1779" s="3" t="inlineStr">
        <is>
          <t>Closed</t>
        </is>
      </c>
      <c r="G1779" s="21" t="inlineStr">
        <is>
          <t>Amiya Ranjan Behera</t>
        </is>
      </c>
      <c r="H1779" s="21" t="n">
        <v>8917436223</v>
      </c>
      <c r="I1779" s="38" t="inlineStr">
        <is>
          <t>PE06052602</t>
        </is>
      </c>
      <c r="J1779" s="21" t="inlineStr">
        <is>
          <t>Diode Bypass Module Issue</t>
        </is>
      </c>
      <c r="K1779" s="21" t="inlineStr">
        <is>
          <t>Bhavnagar</t>
        </is>
      </c>
      <c r="L1779" s="21" t="inlineStr">
        <is>
          <t>Gujarat</t>
        </is>
      </c>
      <c r="M1779" s="9" t="inlineStr">
        <is>
          <t>PS</t>
        </is>
      </c>
      <c r="N1779" s="3" t="inlineStr">
        <is>
          <t>Cold Soldering</t>
        </is>
      </c>
      <c r="O1779" s="60" t="n">
        <v>540</v>
      </c>
      <c r="P1779" s="9" t="inlineStr">
        <is>
          <t>NSMP2304068691</t>
        </is>
      </c>
      <c r="Q1779" s="53">
        <f>MID(P1779,5,2)</f>
        <v/>
      </c>
      <c r="R1779" s="53">
        <f>MID(P1779,7,2)</f>
        <v/>
      </c>
      <c r="S1779" s="3" t="inlineStr">
        <is>
          <t>G2B</t>
        </is>
      </c>
      <c r="T1779" s="3" t="inlineStr">
        <is>
          <t>P2</t>
        </is>
      </c>
      <c r="U1779" s="3" t="inlineStr">
        <is>
          <t>P JB Cold Soldering</t>
        </is>
      </c>
      <c r="V1779" s="3" t="inlineStr">
        <is>
          <t>Soldering</t>
        </is>
      </c>
      <c r="W1779" s="3" t="inlineStr">
        <is>
          <t>Repair</t>
        </is>
      </c>
      <c r="X1779" s="18" t="n">
        <v>46165</v>
      </c>
      <c r="Y1779" s="73">
        <f>IF(X1779="","",X1779-A1779)</f>
        <v/>
      </c>
      <c r="Z1779" s="18" t="n">
        <v>46165</v>
      </c>
      <c r="AA1779" s="15" t="n"/>
      <c r="AB1779" s="15" t="n"/>
      <c r="AF1779">
        <f>IF(AND($F1779="Closed",$X1779&gt;=DATE(2026,5,1),$X1779&lt;=DATE(2026,5,31)),"Closed in May","Other")</f>
        <v/>
      </c>
    </row>
    <row r="1780">
      <c r="A1780" s="59" t="n">
        <v>46148</v>
      </c>
      <c r="B1780" s="3" t="n">
        <v>2026</v>
      </c>
      <c r="C1780" s="21" t="inlineStr">
        <is>
          <t>Continuum</t>
        </is>
      </c>
      <c r="D1780" s="3" t="inlineStr">
        <is>
          <t>Utility and C&amp;I</t>
        </is>
      </c>
      <c r="E1780" s="3" t="n"/>
      <c r="F1780" s="3" t="inlineStr">
        <is>
          <t>Closed</t>
        </is>
      </c>
      <c r="G1780" s="21" t="inlineStr">
        <is>
          <t>Amiya Ranjan Behera</t>
        </is>
      </c>
      <c r="H1780" s="21" t="n">
        <v>8917436223</v>
      </c>
      <c r="I1780" s="38" t="inlineStr">
        <is>
          <t>PE06052602</t>
        </is>
      </c>
      <c r="J1780" s="21" t="inlineStr">
        <is>
          <t>Diode Bypass Module Issue</t>
        </is>
      </c>
      <c r="K1780" s="21" t="inlineStr">
        <is>
          <t>Bhavnagar</t>
        </is>
      </c>
      <c r="L1780" s="21" t="inlineStr">
        <is>
          <t>Gujarat</t>
        </is>
      </c>
      <c r="M1780" s="9" t="inlineStr">
        <is>
          <t>PS</t>
        </is>
      </c>
      <c r="N1780" s="3" t="inlineStr">
        <is>
          <t>Cold Soldering</t>
        </is>
      </c>
      <c r="O1780" s="60" t="n">
        <v>540</v>
      </c>
      <c r="P1780" s="9" t="inlineStr">
        <is>
          <t>NSMP2304068722</t>
        </is>
      </c>
      <c r="Q1780" s="53">
        <f>MID(P1780,5,2)</f>
        <v/>
      </c>
      <c r="R1780" s="53">
        <f>MID(P1780,7,2)</f>
        <v/>
      </c>
      <c r="S1780" s="3" t="inlineStr">
        <is>
          <t>G2B</t>
        </is>
      </c>
      <c r="T1780" s="3" t="inlineStr">
        <is>
          <t>P2</t>
        </is>
      </c>
      <c r="U1780" s="3" t="inlineStr">
        <is>
          <t>P JB Cold Soldering</t>
        </is>
      </c>
      <c r="V1780" s="3" t="inlineStr">
        <is>
          <t>Soldering</t>
        </is>
      </c>
      <c r="W1780" s="3" t="inlineStr">
        <is>
          <t>Repair</t>
        </is>
      </c>
      <c r="X1780" s="18" t="n">
        <v>46165</v>
      </c>
      <c r="Y1780" s="73">
        <f>IF(X1780="","",X1780-A1780)</f>
        <v/>
      </c>
      <c r="Z1780" s="18" t="n">
        <v>46165</v>
      </c>
      <c r="AA1780" s="15" t="n"/>
      <c r="AB1780" s="15" t="n"/>
      <c r="AF1780">
        <f>IF(AND($F1780="Closed",$X1780&gt;=DATE(2026,5,1),$X1780&lt;=DATE(2026,5,31)),"Closed in May","Other")</f>
        <v/>
      </c>
    </row>
    <row r="1781">
      <c r="A1781" s="59" t="n">
        <v>46148</v>
      </c>
      <c r="B1781" s="3" t="n">
        <v>2026</v>
      </c>
      <c r="C1781" s="21" t="inlineStr">
        <is>
          <t>Continuum</t>
        </is>
      </c>
      <c r="D1781" s="3" t="inlineStr">
        <is>
          <t>Utility and C&amp;I</t>
        </is>
      </c>
      <c r="E1781" s="3" t="n"/>
      <c r="F1781" s="3" t="inlineStr">
        <is>
          <t>Closed</t>
        </is>
      </c>
      <c r="G1781" s="21" t="inlineStr">
        <is>
          <t>Amiya Ranjan Behera</t>
        </is>
      </c>
      <c r="H1781" s="21" t="n">
        <v>8917436223</v>
      </c>
      <c r="I1781" s="38" t="inlineStr">
        <is>
          <t>PE06052602</t>
        </is>
      </c>
      <c r="J1781" s="21" t="inlineStr">
        <is>
          <t>Diode Bypass Module Issue</t>
        </is>
      </c>
      <c r="K1781" s="21" t="inlineStr">
        <is>
          <t>Bhavnagar</t>
        </is>
      </c>
      <c r="L1781" s="21" t="inlineStr">
        <is>
          <t>Gujarat</t>
        </is>
      </c>
      <c r="M1781" s="9" t="inlineStr">
        <is>
          <t>PS</t>
        </is>
      </c>
      <c r="N1781" s="3" t="inlineStr">
        <is>
          <t>Cold Soldering</t>
        </is>
      </c>
      <c r="O1781" s="60" t="n">
        <v>540</v>
      </c>
      <c r="P1781" s="9" t="inlineStr">
        <is>
          <t>NSMP2304068684</t>
        </is>
      </c>
      <c r="Q1781" s="53">
        <f>MID(P1781,5,2)</f>
        <v/>
      </c>
      <c r="R1781" s="53">
        <f>MID(P1781,7,2)</f>
        <v/>
      </c>
      <c r="S1781" s="3" t="inlineStr">
        <is>
          <t>G2B</t>
        </is>
      </c>
      <c r="T1781" s="3" t="inlineStr">
        <is>
          <t>P2</t>
        </is>
      </c>
      <c r="U1781" s="3" t="inlineStr">
        <is>
          <t>P JB Cold Soldering</t>
        </is>
      </c>
      <c r="V1781" s="3" t="inlineStr">
        <is>
          <t>Soldering</t>
        </is>
      </c>
      <c r="W1781" s="3" t="inlineStr">
        <is>
          <t>Repair</t>
        </is>
      </c>
      <c r="X1781" s="18" t="n">
        <v>46165</v>
      </c>
      <c r="Y1781" s="73">
        <f>IF(X1781="","",X1781-A1781)</f>
        <v/>
      </c>
      <c r="Z1781" s="18" t="n">
        <v>46165</v>
      </c>
      <c r="AA1781" s="15" t="n"/>
      <c r="AB1781" s="15" t="n"/>
      <c r="AF1781">
        <f>IF(AND($F1781="Closed",$X1781&gt;=DATE(2026,5,1),$X1781&lt;=DATE(2026,5,31)),"Closed in May","Other")</f>
        <v/>
      </c>
    </row>
    <row r="1782">
      <c r="A1782" s="59" t="n">
        <v>46148</v>
      </c>
      <c r="B1782" s="3" t="n">
        <v>2026</v>
      </c>
      <c r="C1782" s="21" t="inlineStr">
        <is>
          <t>Continuum</t>
        </is>
      </c>
      <c r="D1782" s="3" t="inlineStr">
        <is>
          <t>Utility and C&amp;I</t>
        </is>
      </c>
      <c r="E1782" s="3" t="n"/>
      <c r="F1782" s="3" t="inlineStr">
        <is>
          <t>Closed</t>
        </is>
      </c>
      <c r="G1782" s="21" t="inlineStr">
        <is>
          <t>Amiya Ranjan Behera</t>
        </is>
      </c>
      <c r="H1782" s="21" t="n">
        <v>8917436223</v>
      </c>
      <c r="I1782" s="38" t="inlineStr">
        <is>
          <t>PE06052602</t>
        </is>
      </c>
      <c r="J1782" s="21" t="inlineStr">
        <is>
          <t>Diode Bypass Module Issue</t>
        </is>
      </c>
      <c r="K1782" s="21" t="inlineStr">
        <is>
          <t>Bhavnagar</t>
        </is>
      </c>
      <c r="L1782" s="21" t="inlineStr">
        <is>
          <t>Gujarat</t>
        </is>
      </c>
      <c r="M1782" s="9" t="inlineStr">
        <is>
          <t>PS</t>
        </is>
      </c>
      <c r="N1782" s="3" t="inlineStr">
        <is>
          <t>Cold Soldering</t>
        </is>
      </c>
      <c r="O1782" s="60" t="n">
        <v>540</v>
      </c>
      <c r="P1782" s="9" t="inlineStr">
        <is>
          <t>NSMP2304068772</t>
        </is>
      </c>
      <c r="Q1782" s="53">
        <f>MID(P1782,5,2)</f>
        <v/>
      </c>
      <c r="R1782" s="53">
        <f>MID(P1782,7,2)</f>
        <v/>
      </c>
      <c r="S1782" s="3" t="inlineStr">
        <is>
          <t>G2B</t>
        </is>
      </c>
      <c r="T1782" s="3" t="inlineStr">
        <is>
          <t>P2</t>
        </is>
      </c>
      <c r="U1782" s="3" t="inlineStr">
        <is>
          <t>P JB Cold Soldering</t>
        </is>
      </c>
      <c r="V1782" s="3" t="inlineStr">
        <is>
          <t>Soldering</t>
        </is>
      </c>
      <c r="W1782" s="3" t="inlineStr">
        <is>
          <t>Repair</t>
        </is>
      </c>
      <c r="X1782" s="18" t="n">
        <v>46165</v>
      </c>
      <c r="Y1782" s="73">
        <f>IF(X1782="","",X1782-A1782)</f>
        <v/>
      </c>
      <c r="Z1782" s="18" t="n">
        <v>46165</v>
      </c>
      <c r="AA1782" s="15" t="n"/>
      <c r="AB1782" s="15" t="n"/>
      <c r="AF1782">
        <f>IF(AND($F1782="Closed",$X1782&gt;=DATE(2026,5,1),$X1782&lt;=DATE(2026,5,31)),"Closed in May","Other")</f>
        <v/>
      </c>
    </row>
    <row r="1783">
      <c r="A1783" s="59" t="n">
        <v>46148</v>
      </c>
      <c r="B1783" s="3" t="n">
        <v>2026</v>
      </c>
      <c r="C1783" s="21" t="inlineStr">
        <is>
          <t>Continuum</t>
        </is>
      </c>
      <c r="D1783" s="3" t="inlineStr">
        <is>
          <t>Utility and C&amp;I</t>
        </is>
      </c>
      <c r="E1783" s="3" t="n"/>
      <c r="F1783" s="3" t="inlineStr">
        <is>
          <t>Closed</t>
        </is>
      </c>
      <c r="G1783" s="21" t="inlineStr">
        <is>
          <t>Amiya Ranjan Behera</t>
        </is>
      </c>
      <c r="H1783" s="21" t="n">
        <v>8917436223</v>
      </c>
      <c r="I1783" s="38" t="inlineStr">
        <is>
          <t>PE06052602</t>
        </is>
      </c>
      <c r="J1783" s="21" t="inlineStr">
        <is>
          <t>Diode Bypass Module Issue</t>
        </is>
      </c>
      <c r="K1783" s="21" t="inlineStr">
        <is>
          <t>Bhavnagar</t>
        </is>
      </c>
      <c r="L1783" s="21" t="inlineStr">
        <is>
          <t>Gujarat</t>
        </is>
      </c>
      <c r="M1783" s="9" t="inlineStr">
        <is>
          <t>PS</t>
        </is>
      </c>
      <c r="N1783" s="3" t="inlineStr">
        <is>
          <t>Cold Soldering</t>
        </is>
      </c>
      <c r="O1783" s="60" t="n">
        <v>540</v>
      </c>
      <c r="P1783" s="9" t="inlineStr">
        <is>
          <t>NSMP2304067267</t>
        </is>
      </c>
      <c r="Q1783" s="53">
        <f>MID(P1783,5,2)</f>
        <v/>
      </c>
      <c r="R1783" s="53">
        <f>MID(P1783,7,2)</f>
        <v/>
      </c>
      <c r="S1783" s="3" t="inlineStr">
        <is>
          <t>G2B</t>
        </is>
      </c>
      <c r="T1783" s="3" t="inlineStr">
        <is>
          <t>P2</t>
        </is>
      </c>
      <c r="U1783" s="3" t="inlineStr">
        <is>
          <t>P JB Cold Soldering</t>
        </is>
      </c>
      <c r="V1783" s="3" t="inlineStr">
        <is>
          <t>Soldering</t>
        </is>
      </c>
      <c r="W1783" s="3" t="inlineStr">
        <is>
          <t>Repair</t>
        </is>
      </c>
      <c r="X1783" s="18" t="n">
        <v>46165</v>
      </c>
      <c r="Y1783" s="73">
        <f>IF(X1783="","",X1783-A1783)</f>
        <v/>
      </c>
      <c r="Z1783" s="18" t="n">
        <v>46165</v>
      </c>
      <c r="AA1783" s="15" t="n"/>
      <c r="AB1783" s="15" t="n"/>
      <c r="AF1783">
        <f>IF(AND($F1783="Closed",$X1783&gt;=DATE(2026,5,1),$X1783&lt;=DATE(2026,5,31)),"Closed in May","Other")</f>
        <v/>
      </c>
    </row>
    <row r="1784">
      <c r="A1784" s="59" t="n">
        <v>46148</v>
      </c>
      <c r="B1784" s="3" t="n">
        <v>2026</v>
      </c>
      <c r="C1784" s="21" t="inlineStr">
        <is>
          <t>Continuum</t>
        </is>
      </c>
      <c r="D1784" s="3" t="inlineStr">
        <is>
          <t>Utility and C&amp;I</t>
        </is>
      </c>
      <c r="E1784" s="3" t="n"/>
      <c r="F1784" s="3" t="inlineStr">
        <is>
          <t>Closed</t>
        </is>
      </c>
      <c r="G1784" s="21" t="inlineStr">
        <is>
          <t>Amiya Ranjan Behera</t>
        </is>
      </c>
      <c r="H1784" s="21" t="n">
        <v>8917436223</v>
      </c>
      <c r="I1784" s="38" t="inlineStr">
        <is>
          <t>PE06052602</t>
        </is>
      </c>
      <c r="J1784" s="21" t="inlineStr">
        <is>
          <t>Diode Bypass Module Issue</t>
        </is>
      </c>
      <c r="K1784" s="21" t="inlineStr">
        <is>
          <t>Bhavnagar</t>
        </is>
      </c>
      <c r="L1784" s="21" t="inlineStr">
        <is>
          <t>Gujarat</t>
        </is>
      </c>
      <c r="M1784" s="9" t="inlineStr">
        <is>
          <t>PS</t>
        </is>
      </c>
      <c r="N1784" s="3" t="inlineStr">
        <is>
          <t>Cold Soldering</t>
        </is>
      </c>
      <c r="O1784" s="60" t="n">
        <v>540</v>
      </c>
      <c r="P1784" s="9" t="inlineStr">
        <is>
          <t>NSMP2304045764</t>
        </is>
      </c>
      <c r="Q1784" s="53">
        <f>MID(P1784,5,2)</f>
        <v/>
      </c>
      <c r="R1784" s="53">
        <f>MID(P1784,7,2)</f>
        <v/>
      </c>
      <c r="S1784" s="3" t="inlineStr">
        <is>
          <t>G2B</t>
        </is>
      </c>
      <c r="T1784" s="3" t="inlineStr">
        <is>
          <t>P2</t>
        </is>
      </c>
      <c r="U1784" s="3" t="inlineStr">
        <is>
          <t>P JB Cold Soldering</t>
        </is>
      </c>
      <c r="V1784" s="3" t="inlineStr">
        <is>
          <t>Soldering</t>
        </is>
      </c>
      <c r="W1784" s="3" t="inlineStr">
        <is>
          <t>Repair</t>
        </is>
      </c>
      <c r="X1784" s="18" t="n">
        <v>46165</v>
      </c>
      <c r="Y1784" s="73">
        <f>IF(X1784="","",X1784-A1784)</f>
        <v/>
      </c>
      <c r="Z1784" s="18" t="n">
        <v>46165</v>
      </c>
      <c r="AA1784" s="15" t="n"/>
      <c r="AB1784" s="15" t="n"/>
      <c r="AF1784">
        <f>IF(AND($F1784="Closed",$X1784&gt;=DATE(2026,5,1),$X1784&lt;=DATE(2026,5,31)),"Closed in May","Other")</f>
        <v/>
      </c>
    </row>
    <row r="1785">
      <c r="A1785" s="59" t="n">
        <v>46148</v>
      </c>
      <c r="B1785" s="3" t="n">
        <v>2026</v>
      </c>
      <c r="C1785" s="21" t="inlineStr">
        <is>
          <t>Continuum</t>
        </is>
      </c>
      <c r="D1785" s="3" t="inlineStr">
        <is>
          <t>Utility and C&amp;I</t>
        </is>
      </c>
      <c r="E1785" s="3" t="n"/>
      <c r="F1785" s="3" t="inlineStr">
        <is>
          <t>Closed</t>
        </is>
      </c>
      <c r="G1785" s="21" t="inlineStr">
        <is>
          <t>Amiya Ranjan Behera</t>
        </is>
      </c>
      <c r="H1785" s="21" t="n">
        <v>8917436223</v>
      </c>
      <c r="I1785" s="38" t="inlineStr">
        <is>
          <t>PE06052602</t>
        </is>
      </c>
      <c r="J1785" s="21" t="inlineStr">
        <is>
          <t>Diode Bypass Module Issue</t>
        </is>
      </c>
      <c r="K1785" s="21" t="inlineStr">
        <is>
          <t>Bhavnagar</t>
        </is>
      </c>
      <c r="L1785" s="21" t="inlineStr">
        <is>
          <t>Gujarat</t>
        </is>
      </c>
      <c r="M1785" s="9" t="inlineStr">
        <is>
          <t>PS</t>
        </is>
      </c>
      <c r="N1785" s="3" t="inlineStr">
        <is>
          <t>Cold Soldering</t>
        </is>
      </c>
      <c r="O1785" s="60" t="n">
        <v>540</v>
      </c>
      <c r="P1785" s="9" t="inlineStr">
        <is>
          <t>NSMP2304067248</t>
        </is>
      </c>
      <c r="Q1785" s="53">
        <f>MID(P1785,5,2)</f>
        <v/>
      </c>
      <c r="R1785" s="53">
        <f>MID(P1785,7,2)</f>
        <v/>
      </c>
      <c r="S1785" s="3" t="inlineStr">
        <is>
          <t>G2B</t>
        </is>
      </c>
      <c r="T1785" s="3" t="inlineStr">
        <is>
          <t>P2</t>
        </is>
      </c>
      <c r="U1785" s="3" t="inlineStr">
        <is>
          <t>P JB Cold Soldering</t>
        </is>
      </c>
      <c r="V1785" s="3" t="inlineStr">
        <is>
          <t>Soldering</t>
        </is>
      </c>
      <c r="W1785" s="3" t="inlineStr">
        <is>
          <t>Repair</t>
        </is>
      </c>
      <c r="X1785" s="18" t="n">
        <v>46165</v>
      </c>
      <c r="Y1785" s="73">
        <f>IF(X1785="","",X1785-A1785)</f>
        <v/>
      </c>
      <c r="Z1785" s="18" t="n">
        <v>46165</v>
      </c>
      <c r="AA1785" s="15" t="n"/>
      <c r="AB1785" s="15" t="n"/>
      <c r="AF1785">
        <f>IF(AND($F1785="Closed",$X1785&gt;=DATE(2026,5,1),$X1785&lt;=DATE(2026,5,31)),"Closed in May","Other")</f>
        <v/>
      </c>
    </row>
    <row r="1786">
      <c r="A1786" s="59" t="n">
        <v>46148</v>
      </c>
      <c r="B1786" s="3" t="n">
        <v>2026</v>
      </c>
      <c r="C1786" s="21" t="inlineStr">
        <is>
          <t>Continuum</t>
        </is>
      </c>
      <c r="D1786" s="3" t="inlineStr">
        <is>
          <t>Utility and C&amp;I</t>
        </is>
      </c>
      <c r="E1786" s="3" t="n"/>
      <c r="F1786" s="3" t="inlineStr">
        <is>
          <t>Closed</t>
        </is>
      </c>
      <c r="G1786" s="21" t="inlineStr">
        <is>
          <t>Amiya Ranjan Behera</t>
        </is>
      </c>
      <c r="H1786" s="21" t="n">
        <v>8917436223</v>
      </c>
      <c r="I1786" s="38" t="inlineStr">
        <is>
          <t>PE06052602</t>
        </is>
      </c>
      <c r="J1786" s="21" t="inlineStr">
        <is>
          <t>Diode Bypass Module Issue</t>
        </is>
      </c>
      <c r="K1786" s="21" t="inlineStr">
        <is>
          <t>Bhavnagar</t>
        </is>
      </c>
      <c r="L1786" s="21" t="inlineStr">
        <is>
          <t>Gujarat</t>
        </is>
      </c>
      <c r="M1786" s="9" t="inlineStr">
        <is>
          <t>Ok</t>
        </is>
      </c>
      <c r="N1786" s="3" t="inlineStr">
        <is>
          <t>No Issue</t>
        </is>
      </c>
      <c r="O1786" s="60" t="n">
        <v>540</v>
      </c>
      <c r="P1786" s="9" t="inlineStr">
        <is>
          <t>NSMP2304076911</t>
        </is>
      </c>
      <c r="Q1786" s="53">
        <f>MID(P1786,5,2)</f>
        <v/>
      </c>
      <c r="R1786" s="53">
        <f>MID(P1786,7,2)</f>
        <v/>
      </c>
      <c r="S1786" s="3" t="inlineStr">
        <is>
          <t>G2B</t>
        </is>
      </c>
      <c r="T1786" s="3" t="inlineStr">
        <is>
          <t>P2</t>
        </is>
      </c>
      <c r="U1786" s="19" t="inlineStr">
        <is>
          <t>No Issue Found</t>
        </is>
      </c>
      <c r="V1786" s="19" t="inlineStr">
        <is>
          <t>Found OK</t>
        </is>
      </c>
      <c r="W1786" s="3" t="inlineStr">
        <is>
          <t>Repair</t>
        </is>
      </c>
      <c r="X1786" s="18" t="n">
        <v>46165</v>
      </c>
      <c r="Y1786" s="73">
        <f>IF(X1786="","",X1786-A1786)</f>
        <v/>
      </c>
      <c r="Z1786" s="18" t="n">
        <v>46165</v>
      </c>
      <c r="AA1786" s="15" t="n"/>
      <c r="AB1786" s="15" t="n"/>
      <c r="AF1786">
        <f>IF(AND($F1786="Closed",$X1786&gt;=DATE(2026,5,1),$X1786&lt;=DATE(2026,5,31)),"Closed in May","Other")</f>
        <v/>
      </c>
    </row>
    <row r="1787">
      <c r="A1787" s="59" t="n">
        <v>46148</v>
      </c>
      <c r="B1787" s="3" t="n">
        <v>2026</v>
      </c>
      <c r="C1787" s="21" t="inlineStr">
        <is>
          <t>Continuum</t>
        </is>
      </c>
      <c r="D1787" s="3" t="inlineStr">
        <is>
          <t>Utility and C&amp;I</t>
        </is>
      </c>
      <c r="E1787" s="3" t="n"/>
      <c r="F1787" s="3" t="inlineStr">
        <is>
          <t>Closed</t>
        </is>
      </c>
      <c r="G1787" s="21" t="inlineStr">
        <is>
          <t>Amiya Ranjan Behera</t>
        </is>
      </c>
      <c r="H1787" s="21" t="n">
        <v>8917436223</v>
      </c>
      <c r="I1787" s="38" t="inlineStr">
        <is>
          <t>PE06052602</t>
        </is>
      </c>
      <c r="J1787" s="21" t="inlineStr">
        <is>
          <t>Diode Bypass Module Issue</t>
        </is>
      </c>
      <c r="K1787" s="21" t="inlineStr">
        <is>
          <t>Bhavnagar</t>
        </is>
      </c>
      <c r="L1787" s="21" t="inlineStr">
        <is>
          <t>Gujarat</t>
        </is>
      </c>
      <c r="M1787" s="9" t="inlineStr">
        <is>
          <t>PS</t>
        </is>
      </c>
      <c r="N1787" s="3" t="inlineStr">
        <is>
          <t>Cold Soldering</t>
        </is>
      </c>
      <c r="O1787" s="60" t="n">
        <v>540</v>
      </c>
      <c r="P1787" s="9" t="inlineStr">
        <is>
          <t>NSMP2304067273</t>
        </is>
      </c>
      <c r="Q1787" s="53">
        <f>MID(P1787,5,2)</f>
        <v/>
      </c>
      <c r="R1787" s="53">
        <f>MID(P1787,7,2)</f>
        <v/>
      </c>
      <c r="S1787" s="3" t="inlineStr">
        <is>
          <t>G2B</t>
        </is>
      </c>
      <c r="T1787" s="3" t="inlineStr">
        <is>
          <t>P2</t>
        </is>
      </c>
      <c r="U1787" s="3" t="inlineStr">
        <is>
          <t>P JB Cold Soldering</t>
        </is>
      </c>
      <c r="V1787" s="3" t="inlineStr">
        <is>
          <t>Soldering</t>
        </is>
      </c>
      <c r="W1787" s="3" t="inlineStr">
        <is>
          <t>Repair</t>
        </is>
      </c>
      <c r="X1787" s="18" t="n">
        <v>46165</v>
      </c>
      <c r="Y1787" s="73">
        <f>IF(X1787="","",X1787-A1787)</f>
        <v/>
      </c>
      <c r="Z1787" s="18" t="n">
        <v>46165</v>
      </c>
      <c r="AA1787" s="15" t="n"/>
      <c r="AB1787" s="15" t="n"/>
      <c r="AF1787">
        <f>IF(AND($F1787="Closed",$X1787&gt;=DATE(2026,5,1),$X1787&lt;=DATE(2026,5,31)),"Closed in May","Other")</f>
        <v/>
      </c>
    </row>
    <row r="1788">
      <c r="A1788" s="59" t="n">
        <v>46148</v>
      </c>
      <c r="B1788" s="3" t="n">
        <v>2026</v>
      </c>
      <c r="C1788" s="21" t="inlineStr">
        <is>
          <t>Continuum</t>
        </is>
      </c>
      <c r="D1788" s="3" t="inlineStr">
        <is>
          <t>Utility and C&amp;I</t>
        </is>
      </c>
      <c r="E1788" s="3" t="n"/>
      <c r="F1788" s="3" t="inlineStr">
        <is>
          <t>Closed</t>
        </is>
      </c>
      <c r="G1788" s="21" t="inlineStr">
        <is>
          <t>Amiya Ranjan Behera</t>
        </is>
      </c>
      <c r="H1788" s="21" t="n">
        <v>8917436223</v>
      </c>
      <c r="I1788" s="38" t="inlineStr">
        <is>
          <t>PE06052602</t>
        </is>
      </c>
      <c r="J1788" s="21" t="inlineStr">
        <is>
          <t>Diode Bypass Module Issue</t>
        </is>
      </c>
      <c r="K1788" s="21" t="inlineStr">
        <is>
          <t>Bhavnagar</t>
        </is>
      </c>
      <c r="L1788" s="21" t="inlineStr">
        <is>
          <t>Gujarat</t>
        </is>
      </c>
      <c r="M1788" s="9" t="inlineStr">
        <is>
          <t>PS</t>
        </is>
      </c>
      <c r="N1788" s="3" t="inlineStr">
        <is>
          <t>Cold Soldering</t>
        </is>
      </c>
      <c r="O1788" s="60" t="n">
        <v>540</v>
      </c>
      <c r="P1788" s="9" t="inlineStr">
        <is>
          <t>NSMP2304067271</t>
        </is>
      </c>
      <c r="Q1788" s="53">
        <f>MID(P1788,5,2)</f>
        <v/>
      </c>
      <c r="R1788" s="53">
        <f>MID(P1788,7,2)</f>
        <v/>
      </c>
      <c r="S1788" s="3" t="inlineStr">
        <is>
          <t>G2B</t>
        </is>
      </c>
      <c r="T1788" s="3" t="inlineStr">
        <is>
          <t>P2</t>
        </is>
      </c>
      <c r="U1788" s="3" t="inlineStr">
        <is>
          <t>P JB Cold Soldering</t>
        </is>
      </c>
      <c r="V1788" s="3" t="inlineStr">
        <is>
          <t>Soldering</t>
        </is>
      </c>
      <c r="W1788" s="3" t="inlineStr">
        <is>
          <t>Repair</t>
        </is>
      </c>
      <c r="X1788" s="18" t="n">
        <v>46165</v>
      </c>
      <c r="Y1788" s="73">
        <f>IF(X1788="","",X1788-A1788)</f>
        <v/>
      </c>
      <c r="Z1788" s="18" t="n">
        <v>46165</v>
      </c>
      <c r="AA1788" s="15" t="n"/>
      <c r="AB1788" s="15" t="n"/>
      <c r="AF1788">
        <f>IF(AND($F1788="Closed",$X1788&gt;=DATE(2026,5,1),$X1788&lt;=DATE(2026,5,31)),"Closed in May","Other")</f>
        <v/>
      </c>
    </row>
    <row r="1789">
      <c r="A1789" s="59" t="n">
        <v>46148</v>
      </c>
      <c r="B1789" s="3" t="n">
        <v>2026</v>
      </c>
      <c r="C1789" s="21" t="inlineStr">
        <is>
          <t>Continuum</t>
        </is>
      </c>
      <c r="D1789" s="3" t="inlineStr">
        <is>
          <t>Utility and C&amp;I</t>
        </is>
      </c>
      <c r="E1789" s="3" t="n"/>
      <c r="F1789" s="3" t="inlineStr">
        <is>
          <t>Closed</t>
        </is>
      </c>
      <c r="G1789" s="21" t="inlineStr">
        <is>
          <t>Amiya Ranjan Behera</t>
        </is>
      </c>
      <c r="H1789" s="21" t="n">
        <v>8917436223</v>
      </c>
      <c r="I1789" s="38" t="inlineStr">
        <is>
          <t>PE06052602</t>
        </is>
      </c>
      <c r="J1789" s="21" t="inlineStr">
        <is>
          <t>Diode Bypass Module Issue</t>
        </is>
      </c>
      <c r="K1789" s="21" t="inlineStr">
        <is>
          <t>Bhavnagar</t>
        </is>
      </c>
      <c r="L1789" s="21" t="inlineStr">
        <is>
          <t>Gujarat</t>
        </is>
      </c>
      <c r="M1789" s="9" t="inlineStr">
        <is>
          <t>PR</t>
        </is>
      </c>
      <c r="N1789" s="3" t="inlineStr">
        <is>
          <t>JB Issue</t>
        </is>
      </c>
      <c r="O1789" s="60" t="n">
        <v>540</v>
      </c>
      <c r="P1789" s="9" t="inlineStr">
        <is>
          <t>NSMP2304067293</t>
        </is>
      </c>
      <c r="Q1789" s="53">
        <f>MID(P1789,5,2)</f>
        <v/>
      </c>
      <c r="R1789" s="53">
        <f>MID(P1789,7,2)</f>
        <v/>
      </c>
      <c r="S1789" s="3" t="inlineStr">
        <is>
          <t>G2B</t>
        </is>
      </c>
      <c r="T1789" s="3" t="inlineStr">
        <is>
          <t>P2</t>
        </is>
      </c>
      <c r="U1789" s="3" t="inlineStr">
        <is>
          <t>P JB Issue</t>
        </is>
      </c>
      <c r="V1789" s="15" t="inlineStr">
        <is>
          <t>JB Changed</t>
        </is>
      </c>
      <c r="W1789" s="3" t="inlineStr">
        <is>
          <t>Repair</t>
        </is>
      </c>
      <c r="X1789" s="18" t="n">
        <v>46165</v>
      </c>
      <c r="Y1789" s="73">
        <f>IF(X1789="","",X1789-A1789)</f>
        <v/>
      </c>
      <c r="Z1789" s="18" t="n">
        <v>46165</v>
      </c>
      <c r="AA1789" s="15" t="n"/>
      <c r="AB1789" s="15" t="n"/>
      <c r="AF1789">
        <f>IF(AND($F1789="Closed",$X1789&gt;=DATE(2026,5,1),$X1789&lt;=DATE(2026,5,31)),"Closed in May","Other")</f>
        <v/>
      </c>
    </row>
    <row r="1790">
      <c r="A1790" s="59" t="n">
        <v>46148</v>
      </c>
      <c r="B1790" s="3" t="n">
        <v>2026</v>
      </c>
      <c r="C1790" s="21" t="inlineStr">
        <is>
          <t>Continuum</t>
        </is>
      </c>
      <c r="D1790" s="3" t="inlineStr">
        <is>
          <t>Utility and C&amp;I</t>
        </is>
      </c>
      <c r="E1790" s="3" t="n"/>
      <c r="F1790" s="3" t="inlineStr">
        <is>
          <t>Closed</t>
        </is>
      </c>
      <c r="G1790" s="21" t="inlineStr">
        <is>
          <t>Amiya Ranjan Behera</t>
        </is>
      </c>
      <c r="H1790" s="21" t="n">
        <v>8917436223</v>
      </c>
      <c r="I1790" s="38" t="inlineStr">
        <is>
          <t>PE06052602</t>
        </is>
      </c>
      <c r="J1790" s="21" t="inlineStr">
        <is>
          <t>Diode Bypass Module Issue</t>
        </is>
      </c>
      <c r="K1790" s="21" t="inlineStr">
        <is>
          <t>Bhavnagar</t>
        </is>
      </c>
      <c r="L1790" s="21" t="inlineStr">
        <is>
          <t>Gujarat</t>
        </is>
      </c>
      <c r="M1790" s="9" t="inlineStr">
        <is>
          <t>PS</t>
        </is>
      </c>
      <c r="N1790" s="3" t="inlineStr">
        <is>
          <t>Cold Soldering</t>
        </is>
      </c>
      <c r="O1790" s="60" t="n">
        <v>540</v>
      </c>
      <c r="P1790" s="9" t="inlineStr">
        <is>
          <t>NSMP2304067253</t>
        </is>
      </c>
      <c r="Q1790" s="53">
        <f>MID(P1790,5,2)</f>
        <v/>
      </c>
      <c r="R1790" s="53">
        <f>MID(P1790,7,2)</f>
        <v/>
      </c>
      <c r="S1790" s="3" t="inlineStr">
        <is>
          <t>G2B</t>
        </is>
      </c>
      <c r="T1790" s="3" t="inlineStr">
        <is>
          <t>P2</t>
        </is>
      </c>
      <c r="U1790" s="3" t="inlineStr">
        <is>
          <t>P JB Cold Soldering</t>
        </is>
      </c>
      <c r="V1790" s="3" t="inlineStr">
        <is>
          <t>Soldering</t>
        </is>
      </c>
      <c r="W1790" s="3" t="inlineStr">
        <is>
          <t>Repair</t>
        </is>
      </c>
      <c r="X1790" s="18" t="n">
        <v>46165</v>
      </c>
      <c r="Y1790" s="73">
        <f>IF(X1790="","",X1790-A1790)</f>
        <v/>
      </c>
      <c r="Z1790" s="18" t="n">
        <v>46165</v>
      </c>
      <c r="AA1790" s="15" t="n"/>
      <c r="AB1790" s="15" t="n"/>
      <c r="AF1790">
        <f>IF(AND($F1790="Closed",$X1790&gt;=DATE(2026,5,1),$X1790&lt;=DATE(2026,5,31)),"Closed in May","Other")</f>
        <v/>
      </c>
    </row>
    <row r="1791">
      <c r="A1791" s="59" t="n">
        <v>46148</v>
      </c>
      <c r="B1791" s="3" t="n">
        <v>2026</v>
      </c>
      <c r="C1791" s="21" t="inlineStr">
        <is>
          <t>Continuum</t>
        </is>
      </c>
      <c r="D1791" s="3" t="inlineStr">
        <is>
          <t>Utility and C&amp;I</t>
        </is>
      </c>
      <c r="E1791" s="3" t="n"/>
      <c r="F1791" s="3" t="inlineStr">
        <is>
          <t>Closed</t>
        </is>
      </c>
      <c r="G1791" s="21" t="inlineStr">
        <is>
          <t>Amiya Ranjan Behera</t>
        </is>
      </c>
      <c r="H1791" s="21" t="n">
        <v>8917436223</v>
      </c>
      <c r="I1791" s="38" t="inlineStr">
        <is>
          <t>PE06052602</t>
        </is>
      </c>
      <c r="J1791" s="21" t="inlineStr">
        <is>
          <t>Diode Bypass Module Issue</t>
        </is>
      </c>
      <c r="K1791" s="21" t="inlineStr">
        <is>
          <t>Bhavnagar</t>
        </is>
      </c>
      <c r="L1791" s="21" t="inlineStr">
        <is>
          <t>Gujarat</t>
        </is>
      </c>
      <c r="M1791" s="9" t="inlineStr">
        <is>
          <t>PS</t>
        </is>
      </c>
      <c r="N1791" s="3" t="inlineStr">
        <is>
          <t>Cold Soldering</t>
        </is>
      </c>
      <c r="O1791" s="60" t="n">
        <v>540</v>
      </c>
      <c r="P1791" s="9" t="inlineStr">
        <is>
          <t>NSMP2304067308</t>
        </is>
      </c>
      <c r="Q1791" s="53">
        <f>MID(P1791,5,2)</f>
        <v/>
      </c>
      <c r="R1791" s="53">
        <f>MID(P1791,7,2)</f>
        <v/>
      </c>
      <c r="S1791" s="3" t="inlineStr">
        <is>
          <t>G2B</t>
        </is>
      </c>
      <c r="T1791" s="3" t="inlineStr">
        <is>
          <t>P2</t>
        </is>
      </c>
      <c r="U1791" s="3" t="inlineStr">
        <is>
          <t>P JB Cold Soldering</t>
        </is>
      </c>
      <c r="V1791" s="3" t="inlineStr">
        <is>
          <t>Soldering</t>
        </is>
      </c>
      <c r="W1791" s="3" t="inlineStr">
        <is>
          <t>Repair</t>
        </is>
      </c>
      <c r="X1791" s="18" t="n">
        <v>46165</v>
      </c>
      <c r="Y1791" s="73">
        <f>IF(X1791="","",X1791-A1791)</f>
        <v/>
      </c>
      <c r="Z1791" s="18" t="n">
        <v>46165</v>
      </c>
      <c r="AA1791" s="15" t="n"/>
      <c r="AB1791" s="15" t="n"/>
      <c r="AF1791">
        <f>IF(AND($F1791="Closed",$X1791&gt;=DATE(2026,5,1),$X1791&lt;=DATE(2026,5,31)),"Closed in May","Other")</f>
        <v/>
      </c>
    </row>
    <row r="1792">
      <c r="A1792" s="59" t="n">
        <v>46148</v>
      </c>
      <c r="B1792" s="3" t="n">
        <v>2026</v>
      </c>
      <c r="C1792" s="21" t="inlineStr">
        <is>
          <t>Continuum</t>
        </is>
      </c>
      <c r="D1792" s="3" t="inlineStr">
        <is>
          <t>Utility and C&amp;I</t>
        </is>
      </c>
      <c r="E1792" s="3" t="n"/>
      <c r="F1792" s="3" t="inlineStr">
        <is>
          <t>Closed</t>
        </is>
      </c>
      <c r="G1792" s="21" t="inlineStr">
        <is>
          <t>Amiya Ranjan Behera</t>
        </is>
      </c>
      <c r="H1792" s="21" t="n">
        <v>8917436223</v>
      </c>
      <c r="I1792" s="38" t="inlineStr">
        <is>
          <t>PE06052602</t>
        </is>
      </c>
      <c r="J1792" s="21" t="inlineStr">
        <is>
          <t>Diode Bypass Module Issue</t>
        </is>
      </c>
      <c r="K1792" s="21" t="inlineStr">
        <is>
          <t>Bhavnagar</t>
        </is>
      </c>
      <c r="L1792" s="21" t="inlineStr">
        <is>
          <t>Gujarat</t>
        </is>
      </c>
      <c r="M1792" s="9" t="inlineStr">
        <is>
          <t>PS</t>
        </is>
      </c>
      <c r="N1792" s="3" t="inlineStr">
        <is>
          <t>Cold Soldering</t>
        </is>
      </c>
      <c r="O1792" s="60" t="n">
        <v>540</v>
      </c>
      <c r="P1792" s="9" t="inlineStr">
        <is>
          <t>NSMP2304067263</t>
        </is>
      </c>
      <c r="Q1792" s="53">
        <f>MID(P1792,5,2)</f>
        <v/>
      </c>
      <c r="R1792" s="53">
        <f>MID(P1792,7,2)</f>
        <v/>
      </c>
      <c r="S1792" s="3" t="inlineStr">
        <is>
          <t>G2B</t>
        </is>
      </c>
      <c r="T1792" s="3" t="inlineStr">
        <is>
          <t>P2</t>
        </is>
      </c>
      <c r="U1792" s="3" t="inlineStr">
        <is>
          <t>P JB Cold Soldering</t>
        </is>
      </c>
      <c r="V1792" s="3" t="inlineStr">
        <is>
          <t>Soldering</t>
        </is>
      </c>
      <c r="W1792" s="3" t="inlineStr">
        <is>
          <t>Repair</t>
        </is>
      </c>
      <c r="X1792" s="18" t="n">
        <v>46165</v>
      </c>
      <c r="Y1792" s="73">
        <f>IF(X1792="","",X1792-A1792)</f>
        <v/>
      </c>
      <c r="Z1792" s="18" t="n">
        <v>46165</v>
      </c>
      <c r="AA1792" s="15" t="n"/>
      <c r="AB1792" s="15" t="n"/>
      <c r="AF1792">
        <f>IF(AND($F1792="Closed",$X1792&gt;=DATE(2026,5,1),$X1792&lt;=DATE(2026,5,31)),"Closed in May","Other")</f>
        <v/>
      </c>
    </row>
    <row r="1793">
      <c r="A1793" s="59" t="n">
        <v>46148</v>
      </c>
      <c r="B1793" s="3" t="n">
        <v>2026</v>
      </c>
      <c r="C1793" s="21" t="inlineStr">
        <is>
          <t>Continuum</t>
        </is>
      </c>
      <c r="D1793" s="3" t="inlineStr">
        <is>
          <t>Utility and C&amp;I</t>
        </is>
      </c>
      <c r="E1793" s="3" t="n"/>
      <c r="F1793" s="3" t="inlineStr">
        <is>
          <t>Closed</t>
        </is>
      </c>
      <c r="G1793" s="21" t="inlineStr">
        <is>
          <t>Amiya Ranjan Behera</t>
        </is>
      </c>
      <c r="H1793" s="21" t="n">
        <v>8917436223</v>
      </c>
      <c r="I1793" s="38" t="inlineStr">
        <is>
          <t>PE06052602</t>
        </is>
      </c>
      <c r="J1793" s="21" t="inlineStr">
        <is>
          <t>Diode Bypass Module Issue</t>
        </is>
      </c>
      <c r="K1793" s="21" t="inlineStr">
        <is>
          <t>Bhavnagar</t>
        </is>
      </c>
      <c r="L1793" s="21" t="inlineStr">
        <is>
          <t>Gujarat</t>
        </is>
      </c>
      <c r="M1793" s="9" t="inlineStr">
        <is>
          <t>PS</t>
        </is>
      </c>
      <c r="N1793" s="3" t="inlineStr">
        <is>
          <t>Cold Soldering</t>
        </is>
      </c>
      <c r="O1793" s="60" t="n">
        <v>540</v>
      </c>
      <c r="P1793" s="9" t="inlineStr">
        <is>
          <t>NSMP2304067269</t>
        </is>
      </c>
      <c r="Q1793" s="53">
        <f>MID(P1793,5,2)</f>
        <v/>
      </c>
      <c r="R1793" s="53">
        <f>MID(P1793,7,2)</f>
        <v/>
      </c>
      <c r="S1793" s="3" t="inlineStr">
        <is>
          <t>G2B</t>
        </is>
      </c>
      <c r="T1793" s="3" t="inlineStr">
        <is>
          <t>P2</t>
        </is>
      </c>
      <c r="U1793" s="3" t="inlineStr">
        <is>
          <t>P JB Cold Soldering</t>
        </is>
      </c>
      <c r="V1793" s="3" t="inlineStr">
        <is>
          <t>Soldering</t>
        </is>
      </c>
      <c r="W1793" s="3" t="inlineStr">
        <is>
          <t>Repair</t>
        </is>
      </c>
      <c r="X1793" s="18" t="n">
        <v>46165</v>
      </c>
      <c r="Y1793" s="73">
        <f>IF(X1793="","",X1793-A1793)</f>
        <v/>
      </c>
      <c r="Z1793" s="18" t="n">
        <v>46165</v>
      </c>
      <c r="AA1793" s="15" t="n"/>
      <c r="AB1793" s="15" t="n"/>
      <c r="AF1793">
        <f>IF(AND($F1793="Closed",$X1793&gt;=DATE(2026,5,1),$X1793&lt;=DATE(2026,5,31)),"Closed in May","Other")</f>
        <v/>
      </c>
    </row>
    <row r="1794">
      <c r="A1794" s="59" t="n">
        <v>46148</v>
      </c>
      <c r="B1794" s="3" t="n">
        <v>2026</v>
      </c>
      <c r="C1794" s="21" t="inlineStr">
        <is>
          <t>Continuum</t>
        </is>
      </c>
      <c r="D1794" s="3" t="inlineStr">
        <is>
          <t>Utility and C&amp;I</t>
        </is>
      </c>
      <c r="E1794" s="3" t="n"/>
      <c r="F1794" s="3" t="inlineStr">
        <is>
          <t>Closed</t>
        </is>
      </c>
      <c r="G1794" s="21" t="inlineStr">
        <is>
          <t>Amiya Ranjan Behera</t>
        </is>
      </c>
      <c r="H1794" s="21" t="n">
        <v>8917436223</v>
      </c>
      <c r="I1794" s="38" t="inlineStr">
        <is>
          <t>PE06052602</t>
        </is>
      </c>
      <c r="J1794" s="21" t="inlineStr">
        <is>
          <t>Diode Bypass Module Issue</t>
        </is>
      </c>
      <c r="K1794" s="21" t="inlineStr">
        <is>
          <t>Bhavnagar</t>
        </is>
      </c>
      <c r="L1794" s="21" t="inlineStr">
        <is>
          <t>Gujarat</t>
        </is>
      </c>
      <c r="M1794" s="9" t="inlineStr">
        <is>
          <t>PS</t>
        </is>
      </c>
      <c r="N1794" s="3" t="inlineStr">
        <is>
          <t>Cold Soldering</t>
        </is>
      </c>
      <c r="O1794" s="60" t="n">
        <v>540</v>
      </c>
      <c r="P1794" s="9" t="inlineStr">
        <is>
          <t>NSMP2304045767</t>
        </is>
      </c>
      <c r="Q1794" s="53">
        <f>MID(P1794,5,2)</f>
        <v/>
      </c>
      <c r="R1794" s="53">
        <f>MID(P1794,7,2)</f>
        <v/>
      </c>
      <c r="S1794" s="3" t="inlineStr">
        <is>
          <t>G2B</t>
        </is>
      </c>
      <c r="T1794" s="3" t="inlineStr">
        <is>
          <t>P2</t>
        </is>
      </c>
      <c r="U1794" s="3" t="inlineStr">
        <is>
          <t>P JB Cold Soldering</t>
        </is>
      </c>
      <c r="V1794" s="3" t="inlineStr">
        <is>
          <t>Soldering</t>
        </is>
      </c>
      <c r="W1794" s="3" t="inlineStr">
        <is>
          <t>Repair</t>
        </is>
      </c>
      <c r="X1794" s="18" t="n">
        <v>46165</v>
      </c>
      <c r="Y1794" s="73">
        <f>IF(X1794="","",X1794-A1794)</f>
        <v/>
      </c>
      <c r="Z1794" s="18" t="n">
        <v>46165</v>
      </c>
      <c r="AA1794" s="15" t="n"/>
      <c r="AB1794" s="15" t="n"/>
      <c r="AF1794">
        <f>IF(AND($F1794="Closed",$X1794&gt;=DATE(2026,5,1),$X1794&lt;=DATE(2026,5,31)),"Closed in May","Other")</f>
        <v/>
      </c>
    </row>
    <row r="1795">
      <c r="A1795" s="59" t="n">
        <v>46148</v>
      </c>
      <c r="B1795" s="3" t="n">
        <v>2026</v>
      </c>
      <c r="C1795" s="21" t="inlineStr">
        <is>
          <t>Continuum</t>
        </is>
      </c>
      <c r="D1795" s="3" t="inlineStr">
        <is>
          <t>Utility and C&amp;I</t>
        </is>
      </c>
      <c r="E1795" s="3" t="n"/>
      <c r="F1795" s="3" t="inlineStr">
        <is>
          <t>Closed</t>
        </is>
      </c>
      <c r="G1795" s="21" t="inlineStr">
        <is>
          <t>Amiya Ranjan Behera</t>
        </is>
      </c>
      <c r="H1795" s="21" t="n">
        <v>8917436223</v>
      </c>
      <c r="I1795" s="38" t="inlineStr">
        <is>
          <t>PE06052602</t>
        </is>
      </c>
      <c r="J1795" s="21" t="inlineStr">
        <is>
          <t>Diode Bypass Module Issue</t>
        </is>
      </c>
      <c r="K1795" s="21" t="inlineStr">
        <is>
          <t>Bhavnagar</t>
        </is>
      </c>
      <c r="L1795" s="21" t="inlineStr">
        <is>
          <t>Gujarat</t>
        </is>
      </c>
      <c r="M1795" s="9" t="inlineStr">
        <is>
          <t>PR</t>
        </is>
      </c>
      <c r="N1795" s="3" t="inlineStr">
        <is>
          <t>JB Issue</t>
        </is>
      </c>
      <c r="O1795" s="60" t="n">
        <v>540</v>
      </c>
      <c r="P1795" s="9" t="inlineStr">
        <is>
          <t>NSMP2304077000</t>
        </is>
      </c>
      <c r="Q1795" s="53">
        <f>MID(P1795,5,2)</f>
        <v/>
      </c>
      <c r="R1795" s="53">
        <f>MID(P1795,7,2)</f>
        <v/>
      </c>
      <c r="S1795" s="3" t="inlineStr">
        <is>
          <t>G2B</t>
        </is>
      </c>
      <c r="T1795" s="3" t="inlineStr">
        <is>
          <t>P2</t>
        </is>
      </c>
      <c r="U1795" s="3" t="inlineStr">
        <is>
          <t>P JB Issue</t>
        </is>
      </c>
      <c r="V1795" s="15" t="inlineStr">
        <is>
          <t>JB Changed</t>
        </is>
      </c>
      <c r="W1795" s="3" t="inlineStr">
        <is>
          <t>Repair</t>
        </is>
      </c>
      <c r="X1795" s="18" t="n">
        <v>46165</v>
      </c>
      <c r="Y1795" s="73">
        <f>IF(X1795="","",X1795-A1795)</f>
        <v/>
      </c>
      <c r="Z1795" s="18" t="n">
        <v>46165</v>
      </c>
      <c r="AA1795" s="15" t="n"/>
      <c r="AB1795" s="15" t="n"/>
      <c r="AF1795">
        <f>IF(AND($F1795="Closed",$X1795&gt;=DATE(2026,5,1),$X1795&lt;=DATE(2026,5,31)),"Closed in May","Other")</f>
        <v/>
      </c>
    </row>
    <row r="1796">
      <c r="A1796" s="59" t="n">
        <v>46148</v>
      </c>
      <c r="B1796" s="3" t="n">
        <v>2026</v>
      </c>
      <c r="C1796" s="21" t="inlineStr">
        <is>
          <t>Continuum</t>
        </is>
      </c>
      <c r="D1796" s="3" t="inlineStr">
        <is>
          <t>Utility and C&amp;I</t>
        </is>
      </c>
      <c r="E1796" s="3" t="n"/>
      <c r="F1796" s="3" t="inlineStr">
        <is>
          <t>Closed</t>
        </is>
      </c>
      <c r="G1796" s="21" t="inlineStr">
        <is>
          <t>Amiya Ranjan Behera</t>
        </is>
      </c>
      <c r="H1796" s="21" t="n">
        <v>8917436223</v>
      </c>
      <c r="I1796" s="38" t="inlineStr">
        <is>
          <t>PE06052602</t>
        </is>
      </c>
      <c r="J1796" s="21" t="inlineStr">
        <is>
          <t>Diode Bypass Module Issue</t>
        </is>
      </c>
      <c r="K1796" s="21" t="inlineStr">
        <is>
          <t>Bhavnagar</t>
        </is>
      </c>
      <c r="L1796" s="21" t="inlineStr">
        <is>
          <t>Gujarat</t>
        </is>
      </c>
      <c r="M1796" s="9" t="inlineStr">
        <is>
          <t>AS</t>
        </is>
      </c>
      <c r="N1796" s="3" t="inlineStr">
        <is>
          <t>Cold Soldering</t>
        </is>
      </c>
      <c r="O1796" s="60" t="n">
        <v>540</v>
      </c>
      <c r="P1796" s="9" t="inlineStr">
        <is>
          <t>NSMP2304068647</t>
        </is>
      </c>
      <c r="Q1796" s="53">
        <f>MID(P1796,5,2)</f>
        <v/>
      </c>
      <c r="R1796" s="53">
        <f>MID(P1796,7,2)</f>
        <v/>
      </c>
      <c r="S1796" s="3" t="inlineStr">
        <is>
          <t>G2B</t>
        </is>
      </c>
      <c r="T1796" s="3" t="inlineStr">
        <is>
          <t>P2</t>
        </is>
      </c>
      <c r="U1796" s="3" t="inlineStr">
        <is>
          <t>All JB Cold Soldering</t>
        </is>
      </c>
      <c r="V1796" s="3" t="inlineStr">
        <is>
          <t>Soldering</t>
        </is>
      </c>
      <c r="W1796" s="3" t="inlineStr">
        <is>
          <t>Repair</t>
        </is>
      </c>
      <c r="X1796" s="18" t="n">
        <v>46165</v>
      </c>
      <c r="Y1796" s="73">
        <f>IF(X1796="","",X1796-A1796)</f>
        <v/>
      </c>
      <c r="Z1796" s="18" t="n">
        <v>46165</v>
      </c>
      <c r="AA1796" s="15" t="n"/>
      <c r="AB1796" s="15" t="n"/>
      <c r="AF1796">
        <f>IF(AND($F1796="Closed",$X1796&gt;=DATE(2026,5,1),$X1796&lt;=DATE(2026,5,31)),"Closed in May","Other")</f>
        <v/>
      </c>
    </row>
    <row r="1797">
      <c r="A1797" s="59" t="n">
        <v>46148</v>
      </c>
      <c r="B1797" s="3" t="n">
        <v>2026</v>
      </c>
      <c r="C1797" s="21" t="inlineStr">
        <is>
          <t>Continuum</t>
        </is>
      </c>
      <c r="D1797" s="3" t="inlineStr">
        <is>
          <t>Utility and C&amp;I</t>
        </is>
      </c>
      <c r="E1797" s="3" t="n"/>
      <c r="F1797" s="3" t="inlineStr">
        <is>
          <t>Closed</t>
        </is>
      </c>
      <c r="G1797" s="21" t="inlineStr">
        <is>
          <t>Amiya Ranjan Behera</t>
        </is>
      </c>
      <c r="H1797" s="21" t="n">
        <v>8917436223</v>
      </c>
      <c r="I1797" s="38" t="inlineStr">
        <is>
          <t>PE06052602</t>
        </is>
      </c>
      <c r="J1797" s="21" t="inlineStr">
        <is>
          <t>Diode Bypass Module Issue</t>
        </is>
      </c>
      <c r="K1797" s="21" t="inlineStr">
        <is>
          <t>Bhavnagar</t>
        </is>
      </c>
      <c r="L1797" s="21" t="inlineStr">
        <is>
          <t>Gujarat</t>
        </is>
      </c>
      <c r="M1797" s="9" t="inlineStr">
        <is>
          <t>PMS</t>
        </is>
      </c>
      <c r="N1797" s="3" t="inlineStr">
        <is>
          <t>Cold Soldering</t>
        </is>
      </c>
      <c r="O1797" s="60" t="n">
        <v>540</v>
      </c>
      <c r="P1797" s="9" t="inlineStr">
        <is>
          <t>NSMP2304068669</t>
        </is>
      </c>
      <c r="Q1797" s="53">
        <f>MID(P1797,5,2)</f>
        <v/>
      </c>
      <c r="R1797" s="53">
        <f>MID(P1797,7,2)</f>
        <v/>
      </c>
      <c r="S1797" s="3" t="inlineStr">
        <is>
          <t>G2B</t>
        </is>
      </c>
      <c r="T1797" s="3" t="inlineStr">
        <is>
          <t>P2</t>
        </is>
      </c>
      <c r="U1797" s="3" t="inlineStr">
        <is>
          <t>P &amp; M JB Cold Soldering</t>
        </is>
      </c>
      <c r="V1797" s="3" t="inlineStr">
        <is>
          <t>Soldering</t>
        </is>
      </c>
      <c r="W1797" s="3" t="inlineStr">
        <is>
          <t>Repair</t>
        </is>
      </c>
      <c r="X1797" s="18" t="n">
        <v>46165</v>
      </c>
      <c r="Y1797" s="73">
        <f>IF(X1797="","",X1797-A1797)</f>
        <v/>
      </c>
      <c r="Z1797" s="18" t="n">
        <v>46165</v>
      </c>
      <c r="AA1797" s="15" t="n"/>
      <c r="AB1797" s="15" t="n"/>
      <c r="AF1797">
        <f>IF(AND($F1797="Closed",$X1797&gt;=DATE(2026,5,1),$X1797&lt;=DATE(2026,5,31)),"Closed in May","Other")</f>
        <v/>
      </c>
    </row>
    <row r="1798">
      <c r="A1798" s="59" t="n">
        <v>46148</v>
      </c>
      <c r="B1798" s="3" t="n">
        <v>2026</v>
      </c>
      <c r="C1798" s="21" t="inlineStr">
        <is>
          <t>Continuum</t>
        </is>
      </c>
      <c r="D1798" s="3" t="inlineStr">
        <is>
          <t>Utility and C&amp;I</t>
        </is>
      </c>
      <c r="E1798" s="3" t="n"/>
      <c r="F1798" s="3" t="inlineStr">
        <is>
          <t>Closed</t>
        </is>
      </c>
      <c r="G1798" s="21" t="inlineStr">
        <is>
          <t>Amiya Ranjan Behera</t>
        </is>
      </c>
      <c r="H1798" s="21" t="n">
        <v>8917436223</v>
      </c>
      <c r="I1798" s="38" t="inlineStr">
        <is>
          <t>PE06052602</t>
        </is>
      </c>
      <c r="J1798" s="21" t="inlineStr">
        <is>
          <t>Diode Bypass Module Issue</t>
        </is>
      </c>
      <c r="K1798" s="21" t="inlineStr">
        <is>
          <t>Bhavnagar</t>
        </is>
      </c>
      <c r="L1798" s="21" t="inlineStr">
        <is>
          <t>Gujarat</t>
        </is>
      </c>
      <c r="M1798" s="9" t="inlineStr">
        <is>
          <t>PS</t>
        </is>
      </c>
      <c r="N1798" s="3" t="inlineStr">
        <is>
          <t>Cold Soldering</t>
        </is>
      </c>
      <c r="O1798" s="60" t="n">
        <v>540</v>
      </c>
      <c r="P1798" s="9" t="inlineStr">
        <is>
          <t>NSMP2304068673</t>
        </is>
      </c>
      <c r="Q1798" s="53">
        <f>MID(P1798,5,2)</f>
        <v/>
      </c>
      <c r="R1798" s="53">
        <f>MID(P1798,7,2)</f>
        <v/>
      </c>
      <c r="S1798" s="3" t="inlineStr">
        <is>
          <t>G2B</t>
        </is>
      </c>
      <c r="T1798" s="3" t="inlineStr">
        <is>
          <t>P2</t>
        </is>
      </c>
      <c r="U1798" s="3" t="inlineStr">
        <is>
          <t>P JB Cold Soldering</t>
        </is>
      </c>
      <c r="V1798" s="3" t="inlineStr">
        <is>
          <t>Soldering</t>
        </is>
      </c>
      <c r="W1798" s="3" t="inlineStr">
        <is>
          <t>Repair</t>
        </is>
      </c>
      <c r="X1798" s="18" t="n">
        <v>46165</v>
      </c>
      <c r="Y1798" s="73">
        <f>IF(X1798="","",X1798-A1798)</f>
        <v/>
      </c>
      <c r="Z1798" s="18" t="n">
        <v>46165</v>
      </c>
      <c r="AA1798" s="15" t="n"/>
      <c r="AB1798" s="15" t="n"/>
      <c r="AF1798">
        <f>IF(AND($F1798="Closed",$X1798&gt;=DATE(2026,5,1),$X1798&lt;=DATE(2026,5,31)),"Closed in May","Other")</f>
        <v/>
      </c>
    </row>
    <row r="1799">
      <c r="A1799" s="59" t="n">
        <v>46148</v>
      </c>
      <c r="B1799" s="3" t="n">
        <v>2026</v>
      </c>
      <c r="C1799" s="21" t="inlineStr">
        <is>
          <t>Continuum</t>
        </is>
      </c>
      <c r="D1799" s="3" t="inlineStr">
        <is>
          <t>Utility and C&amp;I</t>
        </is>
      </c>
      <c r="E1799" s="3" t="n"/>
      <c r="F1799" s="3" t="inlineStr">
        <is>
          <t>Closed</t>
        </is>
      </c>
      <c r="G1799" s="21" t="inlineStr">
        <is>
          <t>Amiya Ranjan Behera</t>
        </is>
      </c>
      <c r="H1799" s="21" t="n">
        <v>8917436223</v>
      </c>
      <c r="I1799" s="38" t="inlineStr">
        <is>
          <t>PE06052602</t>
        </is>
      </c>
      <c r="J1799" s="21" t="inlineStr">
        <is>
          <t>Diode Bypass Module Issue</t>
        </is>
      </c>
      <c r="K1799" s="21" t="inlineStr">
        <is>
          <t>Bhavnagar</t>
        </is>
      </c>
      <c r="L1799" s="21" t="inlineStr">
        <is>
          <t>Gujarat</t>
        </is>
      </c>
      <c r="M1799" s="9" t="inlineStr">
        <is>
          <t>PS</t>
        </is>
      </c>
      <c r="N1799" s="3" t="inlineStr">
        <is>
          <t>Cold Soldering</t>
        </is>
      </c>
      <c r="O1799" s="60" t="n">
        <v>540</v>
      </c>
      <c r="P1799" s="9" t="inlineStr">
        <is>
          <t>NSMP2304067321</t>
        </is>
      </c>
      <c r="Q1799" s="53">
        <f>MID(P1799,5,2)</f>
        <v/>
      </c>
      <c r="R1799" s="53">
        <f>MID(P1799,7,2)</f>
        <v/>
      </c>
      <c r="S1799" s="3" t="inlineStr">
        <is>
          <t>G2B</t>
        </is>
      </c>
      <c r="T1799" s="3" t="inlineStr">
        <is>
          <t>P2</t>
        </is>
      </c>
      <c r="U1799" s="3" t="inlineStr">
        <is>
          <t>P JB Cold Soldering</t>
        </is>
      </c>
      <c r="V1799" s="3" t="inlineStr">
        <is>
          <t>Soldering</t>
        </is>
      </c>
      <c r="W1799" s="3" t="inlineStr">
        <is>
          <t>Repair</t>
        </is>
      </c>
      <c r="X1799" s="18" t="n">
        <v>46165</v>
      </c>
      <c r="Y1799" s="73">
        <f>IF(X1799="","",X1799-A1799)</f>
        <v/>
      </c>
      <c r="Z1799" s="18" t="n">
        <v>46165</v>
      </c>
      <c r="AA1799" s="15" t="n"/>
      <c r="AB1799" s="15" t="n"/>
      <c r="AF1799">
        <f>IF(AND($F1799="Closed",$X1799&gt;=DATE(2026,5,1),$X1799&lt;=DATE(2026,5,31)),"Closed in May","Other")</f>
        <v/>
      </c>
    </row>
    <row r="1800">
      <c r="A1800" s="59" t="n">
        <v>46148</v>
      </c>
      <c r="B1800" s="3" t="n">
        <v>2026</v>
      </c>
      <c r="C1800" s="21" t="inlineStr">
        <is>
          <t>Continuum</t>
        </is>
      </c>
      <c r="D1800" s="3" t="inlineStr">
        <is>
          <t>Utility and C&amp;I</t>
        </is>
      </c>
      <c r="E1800" s="3" t="n"/>
      <c r="F1800" s="3" t="inlineStr">
        <is>
          <t>Closed</t>
        </is>
      </c>
      <c r="G1800" s="21" t="inlineStr">
        <is>
          <t>Amiya Ranjan Behera</t>
        </is>
      </c>
      <c r="H1800" s="21" t="n">
        <v>8917436223</v>
      </c>
      <c r="I1800" s="38" t="inlineStr">
        <is>
          <t>PE06052602</t>
        </is>
      </c>
      <c r="J1800" s="21" t="inlineStr">
        <is>
          <t>Diode Bypass Module Issue</t>
        </is>
      </c>
      <c r="K1800" s="21" t="inlineStr">
        <is>
          <t>Bhavnagar</t>
        </is>
      </c>
      <c r="L1800" s="21" t="inlineStr">
        <is>
          <t>Gujarat</t>
        </is>
      </c>
      <c r="M1800" s="9" t="inlineStr">
        <is>
          <t>PS</t>
        </is>
      </c>
      <c r="N1800" s="3" t="inlineStr">
        <is>
          <t>Cold Soldering</t>
        </is>
      </c>
      <c r="O1800" s="60" t="n">
        <v>540</v>
      </c>
      <c r="P1800" s="9" t="inlineStr">
        <is>
          <t>NSMP2304067265</t>
        </is>
      </c>
      <c r="Q1800" s="53">
        <f>MID(P1800,5,2)</f>
        <v/>
      </c>
      <c r="R1800" s="53">
        <f>MID(P1800,7,2)</f>
        <v/>
      </c>
      <c r="S1800" s="3" t="inlineStr">
        <is>
          <t>G2B</t>
        </is>
      </c>
      <c r="T1800" s="3" t="inlineStr">
        <is>
          <t>P2</t>
        </is>
      </c>
      <c r="U1800" s="3" t="inlineStr">
        <is>
          <t>P JB Cold Soldering</t>
        </is>
      </c>
      <c r="V1800" s="3" t="inlineStr">
        <is>
          <t>Soldering</t>
        </is>
      </c>
      <c r="W1800" s="3" t="inlineStr">
        <is>
          <t>Repair</t>
        </is>
      </c>
      <c r="X1800" s="18" t="n">
        <v>46165</v>
      </c>
      <c r="Y1800" s="73">
        <f>IF(X1800="","",X1800-A1800)</f>
        <v/>
      </c>
      <c r="Z1800" s="18" t="n">
        <v>46165</v>
      </c>
      <c r="AA1800" s="15" t="n"/>
      <c r="AB1800" s="15" t="n"/>
      <c r="AF1800">
        <f>IF(AND($F1800="Closed",$X1800&gt;=DATE(2026,5,1),$X1800&lt;=DATE(2026,5,31)),"Closed in May","Other")</f>
        <v/>
      </c>
    </row>
    <row r="1801">
      <c r="A1801" s="59" t="n">
        <v>46148</v>
      </c>
      <c r="B1801" s="3" t="n">
        <v>2026</v>
      </c>
      <c r="C1801" s="21" t="inlineStr">
        <is>
          <t>Continuum</t>
        </is>
      </c>
      <c r="D1801" s="3" t="inlineStr">
        <is>
          <t>Utility and C&amp;I</t>
        </is>
      </c>
      <c r="E1801" s="3" t="n"/>
      <c r="F1801" s="3" t="inlineStr">
        <is>
          <t>Closed</t>
        </is>
      </c>
      <c r="G1801" s="21" t="inlineStr">
        <is>
          <t>Amiya Ranjan Behera</t>
        </is>
      </c>
      <c r="H1801" s="21" t="n">
        <v>8917436223</v>
      </c>
      <c r="I1801" s="38" t="inlineStr">
        <is>
          <t>PE06052602</t>
        </is>
      </c>
      <c r="J1801" s="21" t="inlineStr">
        <is>
          <t>Diode Bypass Module Issue</t>
        </is>
      </c>
      <c r="K1801" s="21" t="inlineStr">
        <is>
          <t>Bhavnagar</t>
        </is>
      </c>
      <c r="L1801" s="21" t="inlineStr">
        <is>
          <t>Gujarat</t>
        </is>
      </c>
      <c r="M1801" s="9" t="inlineStr">
        <is>
          <t>PS</t>
        </is>
      </c>
      <c r="N1801" s="3" t="inlineStr">
        <is>
          <t>Cold Soldering</t>
        </is>
      </c>
      <c r="O1801" s="60" t="n">
        <v>540</v>
      </c>
      <c r="P1801" s="9" t="inlineStr">
        <is>
          <t>NSMP2304067277</t>
        </is>
      </c>
      <c r="Q1801" s="53">
        <f>MID(P1801,5,2)</f>
        <v/>
      </c>
      <c r="R1801" s="53">
        <f>MID(P1801,7,2)</f>
        <v/>
      </c>
      <c r="S1801" s="3" t="inlineStr">
        <is>
          <t>G2B</t>
        </is>
      </c>
      <c r="T1801" s="3" t="inlineStr">
        <is>
          <t>P2</t>
        </is>
      </c>
      <c r="U1801" s="3" t="inlineStr">
        <is>
          <t>P JB Cold Soldering</t>
        </is>
      </c>
      <c r="V1801" s="3" t="inlineStr">
        <is>
          <t>Soldering</t>
        </is>
      </c>
      <c r="W1801" s="3" t="inlineStr">
        <is>
          <t>Repair</t>
        </is>
      </c>
      <c r="X1801" s="18" t="n">
        <v>46165</v>
      </c>
      <c r="Y1801" s="73">
        <f>IF(X1801="","",X1801-A1801)</f>
        <v/>
      </c>
      <c r="Z1801" s="18" t="n">
        <v>46165</v>
      </c>
      <c r="AA1801" s="15" t="n"/>
      <c r="AB1801" s="15" t="n"/>
      <c r="AF1801">
        <f>IF(AND($F1801="Closed",$X1801&gt;=DATE(2026,5,1),$X1801&lt;=DATE(2026,5,31)),"Closed in May","Other")</f>
        <v/>
      </c>
    </row>
    <row r="1802">
      <c r="A1802" s="59" t="n">
        <v>46148</v>
      </c>
      <c r="B1802" s="3" t="n">
        <v>2026</v>
      </c>
      <c r="C1802" s="21" t="inlineStr">
        <is>
          <t>Continuum</t>
        </is>
      </c>
      <c r="D1802" s="3" t="inlineStr">
        <is>
          <t>Utility and C&amp;I</t>
        </is>
      </c>
      <c r="E1802" s="3" t="n"/>
      <c r="F1802" s="3" t="inlineStr">
        <is>
          <t>Closed</t>
        </is>
      </c>
      <c r="G1802" s="21" t="inlineStr">
        <is>
          <t>Amiya Ranjan Behera</t>
        </is>
      </c>
      <c r="H1802" s="21" t="n">
        <v>8917436223</v>
      </c>
      <c r="I1802" s="38" t="inlineStr">
        <is>
          <t>PE06052602</t>
        </is>
      </c>
      <c r="J1802" s="21" t="inlineStr">
        <is>
          <t>Diode Bypass Module Issue</t>
        </is>
      </c>
      <c r="K1802" s="21" t="inlineStr">
        <is>
          <t>Bhavnagar</t>
        </is>
      </c>
      <c r="L1802" s="21" t="inlineStr">
        <is>
          <t>Gujarat</t>
        </is>
      </c>
      <c r="M1802" s="9" t="inlineStr">
        <is>
          <t>PS</t>
        </is>
      </c>
      <c r="N1802" s="3" t="inlineStr">
        <is>
          <t>Cold Soldering</t>
        </is>
      </c>
      <c r="O1802" s="60" t="n">
        <v>540</v>
      </c>
      <c r="P1802" s="9" t="inlineStr">
        <is>
          <t>NSMP2304067261</t>
        </is>
      </c>
      <c r="Q1802" s="53">
        <f>MID(P1802,5,2)</f>
        <v/>
      </c>
      <c r="R1802" s="53">
        <f>MID(P1802,7,2)</f>
        <v/>
      </c>
      <c r="S1802" s="3" t="inlineStr">
        <is>
          <t>G2B</t>
        </is>
      </c>
      <c r="T1802" s="3" t="inlineStr">
        <is>
          <t>P2</t>
        </is>
      </c>
      <c r="U1802" s="3" t="inlineStr">
        <is>
          <t>P JB Cold Soldering</t>
        </is>
      </c>
      <c r="V1802" s="3" t="inlineStr">
        <is>
          <t>Soldering</t>
        </is>
      </c>
      <c r="W1802" s="3" t="inlineStr">
        <is>
          <t>Repair</t>
        </is>
      </c>
      <c r="X1802" s="18" t="n">
        <v>46165</v>
      </c>
      <c r="Y1802" s="73">
        <f>IF(X1802="","",X1802-A1802)</f>
        <v/>
      </c>
      <c r="Z1802" s="18" t="n">
        <v>46165</v>
      </c>
      <c r="AA1802" s="15" t="n"/>
      <c r="AB1802" s="15" t="n"/>
      <c r="AF1802">
        <f>IF(AND($F1802="Closed",$X1802&gt;=DATE(2026,5,1),$X1802&lt;=DATE(2026,5,31)),"Closed in May","Other")</f>
        <v/>
      </c>
    </row>
    <row r="1803">
      <c r="A1803" s="59" t="n">
        <v>46148</v>
      </c>
      <c r="B1803" s="3" t="n">
        <v>2026</v>
      </c>
      <c r="C1803" s="21" t="inlineStr">
        <is>
          <t>Continuum</t>
        </is>
      </c>
      <c r="D1803" s="3" t="inlineStr">
        <is>
          <t>Utility and C&amp;I</t>
        </is>
      </c>
      <c r="E1803" s="3" t="n"/>
      <c r="F1803" s="3" t="inlineStr">
        <is>
          <t>Closed</t>
        </is>
      </c>
      <c r="G1803" s="21" t="inlineStr">
        <is>
          <t>Amiya Ranjan Behera</t>
        </is>
      </c>
      <c r="H1803" s="21" t="n">
        <v>8917436223</v>
      </c>
      <c r="I1803" s="38" t="inlineStr">
        <is>
          <t>PE06052602</t>
        </is>
      </c>
      <c r="J1803" s="21" t="inlineStr">
        <is>
          <t>Diode Bypass Module Issue</t>
        </is>
      </c>
      <c r="K1803" s="21" t="inlineStr">
        <is>
          <t>Bhavnagar</t>
        </is>
      </c>
      <c r="L1803" s="21" t="inlineStr">
        <is>
          <t>Gujarat</t>
        </is>
      </c>
      <c r="M1803" s="9" t="inlineStr">
        <is>
          <t>PS</t>
        </is>
      </c>
      <c r="N1803" s="3" t="inlineStr">
        <is>
          <t>Cold Soldering</t>
        </is>
      </c>
      <c r="O1803" s="60" t="n">
        <v>540</v>
      </c>
      <c r="P1803" s="9" t="inlineStr">
        <is>
          <t>NSMP2304067217</t>
        </is>
      </c>
      <c r="Q1803" s="53">
        <f>MID(P1803,5,2)</f>
        <v/>
      </c>
      <c r="R1803" s="53">
        <f>MID(P1803,7,2)</f>
        <v/>
      </c>
      <c r="S1803" s="3" t="inlineStr">
        <is>
          <t>G2B</t>
        </is>
      </c>
      <c r="T1803" s="3" t="inlineStr">
        <is>
          <t>P2</t>
        </is>
      </c>
      <c r="U1803" s="3" t="inlineStr">
        <is>
          <t>P JB Cold Soldering</t>
        </is>
      </c>
      <c r="V1803" s="3" t="inlineStr">
        <is>
          <t>Soldering</t>
        </is>
      </c>
      <c r="W1803" s="3" t="inlineStr">
        <is>
          <t>Repair</t>
        </is>
      </c>
      <c r="X1803" s="18" t="n">
        <v>46165</v>
      </c>
      <c r="Y1803" s="73">
        <f>IF(X1803="","",X1803-A1803)</f>
        <v/>
      </c>
      <c r="Z1803" s="18" t="n">
        <v>46165</v>
      </c>
      <c r="AA1803" s="15" t="n"/>
      <c r="AB1803" s="15" t="n"/>
      <c r="AF1803">
        <f>IF(AND($F1803="Closed",$X1803&gt;=DATE(2026,5,1),$X1803&lt;=DATE(2026,5,31)),"Closed in May","Other")</f>
        <v/>
      </c>
    </row>
    <row r="1804">
      <c r="A1804" s="59" t="n">
        <v>46148</v>
      </c>
      <c r="B1804" s="3" t="n">
        <v>2026</v>
      </c>
      <c r="C1804" s="21" t="inlineStr">
        <is>
          <t>Continuum</t>
        </is>
      </c>
      <c r="D1804" s="3" t="inlineStr">
        <is>
          <t>Utility and C&amp;I</t>
        </is>
      </c>
      <c r="E1804" s="3" t="n"/>
      <c r="F1804" s="3" t="inlineStr">
        <is>
          <t>Closed</t>
        </is>
      </c>
      <c r="G1804" s="21" t="inlineStr">
        <is>
          <t>Amiya Ranjan Behera</t>
        </is>
      </c>
      <c r="H1804" s="21" t="n">
        <v>8917436223</v>
      </c>
      <c r="I1804" s="38" t="inlineStr">
        <is>
          <t>PE06052602</t>
        </is>
      </c>
      <c r="J1804" s="21" t="inlineStr">
        <is>
          <t>Diode Bypass Module Issue</t>
        </is>
      </c>
      <c r="K1804" s="21" t="inlineStr">
        <is>
          <t>Bhavnagar</t>
        </is>
      </c>
      <c r="L1804" s="21" t="inlineStr">
        <is>
          <t>Gujarat</t>
        </is>
      </c>
      <c r="M1804" s="9" t="inlineStr">
        <is>
          <t>PS</t>
        </is>
      </c>
      <c r="N1804" s="3" t="inlineStr">
        <is>
          <t>Cold Soldering</t>
        </is>
      </c>
      <c r="O1804" s="60" t="n">
        <v>540</v>
      </c>
      <c r="P1804" s="9" t="inlineStr">
        <is>
          <t>NSMP2304066749</t>
        </is>
      </c>
      <c r="Q1804" s="53">
        <f>MID(P1804,5,2)</f>
        <v/>
      </c>
      <c r="R1804" s="53">
        <f>MID(P1804,7,2)</f>
        <v/>
      </c>
      <c r="S1804" s="3" t="inlineStr">
        <is>
          <t>G2B</t>
        </is>
      </c>
      <c r="T1804" s="3" t="inlineStr">
        <is>
          <t>P2</t>
        </is>
      </c>
      <c r="U1804" s="3" t="inlineStr">
        <is>
          <t>P JB Cold Soldering</t>
        </is>
      </c>
      <c r="V1804" s="3" t="inlineStr">
        <is>
          <t>Soldering</t>
        </is>
      </c>
      <c r="W1804" s="3" t="inlineStr">
        <is>
          <t>Repair</t>
        </is>
      </c>
      <c r="X1804" s="18" t="n">
        <v>46165</v>
      </c>
      <c r="Y1804" s="73">
        <f>IF(X1804="","",X1804-A1804)</f>
        <v/>
      </c>
      <c r="Z1804" s="18" t="n">
        <v>46165</v>
      </c>
      <c r="AA1804" s="15" t="n"/>
      <c r="AB1804" s="15" t="n"/>
      <c r="AF1804">
        <f>IF(AND($F1804="Closed",$X1804&gt;=DATE(2026,5,1),$X1804&lt;=DATE(2026,5,31)),"Closed in May","Other")</f>
        <v/>
      </c>
    </row>
    <row r="1805">
      <c r="A1805" s="59" t="n">
        <v>46148</v>
      </c>
      <c r="B1805" s="3" t="n">
        <v>2026</v>
      </c>
      <c r="C1805" s="21" t="inlineStr">
        <is>
          <t>Continuum</t>
        </is>
      </c>
      <c r="D1805" s="3" t="inlineStr">
        <is>
          <t>Utility and C&amp;I</t>
        </is>
      </c>
      <c r="E1805" s="3" t="n"/>
      <c r="F1805" s="3" t="inlineStr">
        <is>
          <t>Closed</t>
        </is>
      </c>
      <c r="G1805" s="21" t="inlineStr">
        <is>
          <t>Amiya Ranjan Behera</t>
        </is>
      </c>
      <c r="H1805" s="21" t="n">
        <v>8917436223</v>
      </c>
      <c r="I1805" s="38" t="inlineStr">
        <is>
          <t>PE06052602</t>
        </is>
      </c>
      <c r="J1805" s="21" t="inlineStr">
        <is>
          <t>Diode Bypass Module Issue</t>
        </is>
      </c>
      <c r="K1805" s="21" t="inlineStr">
        <is>
          <t>Bhavnagar</t>
        </is>
      </c>
      <c r="L1805" s="21" t="inlineStr">
        <is>
          <t>Gujarat</t>
        </is>
      </c>
      <c r="M1805" s="9" t="inlineStr">
        <is>
          <t>PR</t>
        </is>
      </c>
      <c r="N1805" s="3" t="inlineStr">
        <is>
          <t>JB Issue</t>
        </is>
      </c>
      <c r="O1805" s="60" t="n">
        <v>540</v>
      </c>
      <c r="P1805" s="9" t="inlineStr">
        <is>
          <t>NSMP2304067331</t>
        </is>
      </c>
      <c r="Q1805" s="53">
        <f>MID(P1805,5,2)</f>
        <v/>
      </c>
      <c r="R1805" s="53">
        <f>MID(P1805,7,2)</f>
        <v/>
      </c>
      <c r="S1805" s="3" t="inlineStr">
        <is>
          <t>G2B</t>
        </is>
      </c>
      <c r="T1805" s="3" t="inlineStr">
        <is>
          <t>P2</t>
        </is>
      </c>
      <c r="U1805" s="3" t="inlineStr">
        <is>
          <t>P JB Issue</t>
        </is>
      </c>
      <c r="V1805" s="15" t="inlineStr">
        <is>
          <t>JB Changed</t>
        </is>
      </c>
      <c r="W1805" s="3" t="inlineStr">
        <is>
          <t>Repair</t>
        </is>
      </c>
      <c r="X1805" s="18" t="n">
        <v>46165</v>
      </c>
      <c r="Y1805" s="73">
        <f>IF(X1805="","",X1805-A1805)</f>
        <v/>
      </c>
      <c r="Z1805" s="18" t="n">
        <v>46165</v>
      </c>
      <c r="AA1805" s="15" t="n"/>
      <c r="AB1805" s="15" t="n"/>
      <c r="AF1805">
        <f>IF(AND($F1805="Closed",$X1805&gt;=DATE(2026,5,1),$X1805&lt;=DATE(2026,5,31)),"Closed in May","Other")</f>
        <v/>
      </c>
    </row>
    <row r="1806">
      <c r="A1806" s="59" t="n">
        <v>46148</v>
      </c>
      <c r="B1806" s="3" t="n">
        <v>2026</v>
      </c>
      <c r="C1806" s="21" t="inlineStr">
        <is>
          <t>Continuum</t>
        </is>
      </c>
      <c r="D1806" s="3" t="inlineStr">
        <is>
          <t>Utility and C&amp;I</t>
        </is>
      </c>
      <c r="E1806" s="3" t="n"/>
      <c r="F1806" s="3" t="inlineStr">
        <is>
          <t>Closed</t>
        </is>
      </c>
      <c r="G1806" s="21" t="inlineStr">
        <is>
          <t>Amiya Ranjan Behera</t>
        </is>
      </c>
      <c r="H1806" s="21" t="n">
        <v>8917436223</v>
      </c>
      <c r="I1806" s="38" t="inlineStr">
        <is>
          <t>PE06052602</t>
        </is>
      </c>
      <c r="J1806" s="21" t="inlineStr">
        <is>
          <t>Diode Bypass Module Issue</t>
        </is>
      </c>
      <c r="K1806" s="21" t="inlineStr">
        <is>
          <t>Bhavnagar</t>
        </is>
      </c>
      <c r="L1806" s="21" t="inlineStr">
        <is>
          <t>Gujarat</t>
        </is>
      </c>
      <c r="M1806" s="9" t="inlineStr">
        <is>
          <t>PS</t>
        </is>
      </c>
      <c r="N1806" s="3" t="inlineStr">
        <is>
          <t>Cold Soldering</t>
        </is>
      </c>
      <c r="O1806" s="60" t="n">
        <v>540</v>
      </c>
      <c r="P1806" s="9" t="inlineStr">
        <is>
          <t>NSMP2304067160</t>
        </is>
      </c>
      <c r="Q1806" s="53">
        <f>MID(P1806,5,2)</f>
        <v/>
      </c>
      <c r="R1806" s="53">
        <f>MID(P1806,7,2)</f>
        <v/>
      </c>
      <c r="S1806" s="3" t="inlineStr">
        <is>
          <t>G2B</t>
        </is>
      </c>
      <c r="T1806" s="3" t="inlineStr">
        <is>
          <t>P2</t>
        </is>
      </c>
      <c r="U1806" s="3" t="inlineStr">
        <is>
          <t>P JB Cold Soldering</t>
        </is>
      </c>
      <c r="V1806" s="3" t="inlineStr">
        <is>
          <t>Soldering</t>
        </is>
      </c>
      <c r="W1806" s="3" t="inlineStr">
        <is>
          <t>Repair</t>
        </is>
      </c>
      <c r="X1806" s="18" t="n">
        <v>46165</v>
      </c>
      <c r="Y1806" s="73">
        <f>IF(X1806="","",X1806-A1806)</f>
        <v/>
      </c>
      <c r="Z1806" s="18" t="n">
        <v>46165</v>
      </c>
      <c r="AA1806" s="15" t="n"/>
      <c r="AB1806" s="15" t="n"/>
      <c r="AF1806">
        <f>IF(AND($F1806="Closed",$X1806&gt;=DATE(2026,5,1),$X1806&lt;=DATE(2026,5,31)),"Closed in May","Other")</f>
        <v/>
      </c>
    </row>
    <row r="1807">
      <c r="A1807" s="59" t="n">
        <v>46148</v>
      </c>
      <c r="B1807" s="3" t="n">
        <v>2026</v>
      </c>
      <c r="C1807" s="21" t="inlineStr">
        <is>
          <t>Continuum</t>
        </is>
      </c>
      <c r="D1807" s="3" t="inlineStr">
        <is>
          <t>Utility and C&amp;I</t>
        </is>
      </c>
      <c r="E1807" s="3" t="n"/>
      <c r="F1807" s="3" t="inlineStr">
        <is>
          <t>Closed</t>
        </is>
      </c>
      <c r="G1807" s="21" t="inlineStr">
        <is>
          <t>Amiya Ranjan Behera</t>
        </is>
      </c>
      <c r="H1807" s="21" t="n">
        <v>8917436223</v>
      </c>
      <c r="I1807" s="38" t="inlineStr">
        <is>
          <t>PE06052602</t>
        </is>
      </c>
      <c r="J1807" s="21" t="inlineStr">
        <is>
          <t>Diode Bypass Module Issue</t>
        </is>
      </c>
      <c r="K1807" s="21" t="inlineStr">
        <is>
          <t>Bhavnagar</t>
        </is>
      </c>
      <c r="L1807" s="21" t="inlineStr">
        <is>
          <t>Gujarat</t>
        </is>
      </c>
      <c r="M1807" s="9" t="inlineStr">
        <is>
          <t>PS</t>
        </is>
      </c>
      <c r="N1807" s="3" t="inlineStr">
        <is>
          <t>Cold Soldering</t>
        </is>
      </c>
      <c r="O1807" s="60" t="n">
        <v>540</v>
      </c>
      <c r="P1807" s="9" t="inlineStr">
        <is>
          <t>NSMP2304067192</t>
        </is>
      </c>
      <c r="Q1807" s="53">
        <f>MID(P1807,5,2)</f>
        <v/>
      </c>
      <c r="R1807" s="53">
        <f>MID(P1807,7,2)</f>
        <v/>
      </c>
      <c r="S1807" s="3" t="inlineStr">
        <is>
          <t>G2B</t>
        </is>
      </c>
      <c r="T1807" s="3" t="inlineStr">
        <is>
          <t>P2</t>
        </is>
      </c>
      <c r="U1807" s="3" t="inlineStr">
        <is>
          <t>P JB Cold Soldering</t>
        </is>
      </c>
      <c r="V1807" s="3" t="inlineStr">
        <is>
          <t>Soldering</t>
        </is>
      </c>
      <c r="W1807" s="3" t="inlineStr">
        <is>
          <t>Repair</t>
        </is>
      </c>
      <c r="X1807" s="18" t="n">
        <v>46165</v>
      </c>
      <c r="Y1807" s="73">
        <f>IF(X1807="","",X1807-A1807)</f>
        <v/>
      </c>
      <c r="Z1807" s="18" t="n">
        <v>46165</v>
      </c>
      <c r="AA1807" s="15" t="n"/>
      <c r="AB1807" s="15" t="n"/>
      <c r="AF1807">
        <f>IF(AND($F1807="Closed",$X1807&gt;=DATE(2026,5,1),$X1807&lt;=DATE(2026,5,31)),"Closed in May","Other")</f>
        <v/>
      </c>
    </row>
    <row r="1808">
      <c r="A1808" s="59" t="n">
        <v>46148</v>
      </c>
      <c r="B1808" s="3" t="n">
        <v>2026</v>
      </c>
      <c r="C1808" s="21" t="inlineStr">
        <is>
          <t>Continuum</t>
        </is>
      </c>
      <c r="D1808" s="3" t="inlineStr">
        <is>
          <t>Utility and C&amp;I</t>
        </is>
      </c>
      <c r="E1808" s="3" t="n"/>
      <c r="F1808" s="3" t="inlineStr">
        <is>
          <t>Closed</t>
        </is>
      </c>
      <c r="G1808" s="21" t="inlineStr">
        <is>
          <t>Amiya Ranjan Behera</t>
        </is>
      </c>
      <c r="H1808" s="21" t="n">
        <v>8917436223</v>
      </c>
      <c r="I1808" s="38" t="inlineStr">
        <is>
          <t>PE06052602</t>
        </is>
      </c>
      <c r="J1808" s="21" t="inlineStr">
        <is>
          <t>Diode Bypass Module Issue</t>
        </is>
      </c>
      <c r="K1808" s="21" t="inlineStr">
        <is>
          <t>Bhavnagar</t>
        </is>
      </c>
      <c r="L1808" s="21" t="inlineStr">
        <is>
          <t>Gujarat</t>
        </is>
      </c>
      <c r="M1808" s="9" t="inlineStr">
        <is>
          <t>PS</t>
        </is>
      </c>
      <c r="N1808" s="3" t="inlineStr">
        <is>
          <t>Cold Soldering</t>
        </is>
      </c>
      <c r="O1808" s="60" t="n">
        <v>540</v>
      </c>
      <c r="P1808" s="9" t="inlineStr">
        <is>
          <t>NSMP2304068798</t>
        </is>
      </c>
      <c r="Q1808" s="53">
        <f>MID(P1808,5,2)</f>
        <v/>
      </c>
      <c r="R1808" s="53">
        <f>MID(P1808,7,2)</f>
        <v/>
      </c>
      <c r="S1808" s="3" t="inlineStr">
        <is>
          <t>G2B</t>
        </is>
      </c>
      <c r="T1808" s="3" t="inlineStr">
        <is>
          <t>P2</t>
        </is>
      </c>
      <c r="U1808" s="3" t="inlineStr">
        <is>
          <t>P JB Cold Soldering</t>
        </is>
      </c>
      <c r="V1808" s="3" t="inlineStr">
        <is>
          <t>Soldering</t>
        </is>
      </c>
      <c r="W1808" s="3" t="inlineStr">
        <is>
          <t>Repair</t>
        </is>
      </c>
      <c r="X1808" s="18" t="n">
        <v>46165</v>
      </c>
      <c r="Y1808" s="73">
        <f>IF(X1808="","",X1808-A1808)</f>
        <v/>
      </c>
      <c r="Z1808" s="18" t="n">
        <v>46165</v>
      </c>
      <c r="AA1808" s="15" t="n"/>
      <c r="AB1808" s="15" t="n"/>
      <c r="AF1808">
        <f>IF(AND($F1808="Closed",$X1808&gt;=DATE(2026,5,1),$X1808&lt;=DATE(2026,5,31)),"Closed in May","Other")</f>
        <v/>
      </c>
    </row>
    <row r="1809">
      <c r="A1809" s="59" t="n">
        <v>46148</v>
      </c>
      <c r="B1809" s="3" t="n">
        <v>2026</v>
      </c>
      <c r="C1809" s="21" t="inlineStr">
        <is>
          <t>Continuum</t>
        </is>
      </c>
      <c r="D1809" s="3" t="inlineStr">
        <is>
          <t>Utility and C&amp;I</t>
        </is>
      </c>
      <c r="E1809" s="3" t="n"/>
      <c r="F1809" s="3" t="inlineStr">
        <is>
          <t>Closed</t>
        </is>
      </c>
      <c r="G1809" s="21" t="inlineStr">
        <is>
          <t>Amiya Ranjan Behera</t>
        </is>
      </c>
      <c r="H1809" s="21" t="n">
        <v>8917436223</v>
      </c>
      <c r="I1809" s="38" t="inlineStr">
        <is>
          <t>PE06052602</t>
        </is>
      </c>
      <c r="J1809" s="21" t="inlineStr">
        <is>
          <t>Diode Bypass Module Issue</t>
        </is>
      </c>
      <c r="K1809" s="21" t="inlineStr">
        <is>
          <t>Bhavnagar</t>
        </is>
      </c>
      <c r="L1809" s="21" t="inlineStr">
        <is>
          <t>Gujarat</t>
        </is>
      </c>
      <c r="M1809" s="9" t="inlineStr">
        <is>
          <t>PS</t>
        </is>
      </c>
      <c r="N1809" s="3" t="inlineStr">
        <is>
          <t>Cold Soldering</t>
        </is>
      </c>
      <c r="O1809" s="60" t="n">
        <v>540</v>
      </c>
      <c r="P1809" s="9" t="inlineStr">
        <is>
          <t>NSMP2304067159</t>
        </is>
      </c>
      <c r="Q1809" s="53">
        <f>MID(P1809,5,2)</f>
        <v/>
      </c>
      <c r="R1809" s="53">
        <f>MID(P1809,7,2)</f>
        <v/>
      </c>
      <c r="S1809" s="3" t="inlineStr">
        <is>
          <t>G2B</t>
        </is>
      </c>
      <c r="T1809" s="3" t="inlineStr">
        <is>
          <t>P2</t>
        </is>
      </c>
      <c r="U1809" s="3" t="inlineStr">
        <is>
          <t>P JB Cold Soldering</t>
        </is>
      </c>
      <c r="V1809" s="3" t="inlineStr">
        <is>
          <t>Soldering</t>
        </is>
      </c>
      <c r="W1809" s="3" t="inlineStr">
        <is>
          <t>Repair</t>
        </is>
      </c>
      <c r="X1809" s="18" t="n">
        <v>46165</v>
      </c>
      <c r="Y1809" s="73">
        <f>IF(X1809="","",X1809-A1809)</f>
        <v/>
      </c>
      <c r="Z1809" s="18" t="n">
        <v>46165</v>
      </c>
      <c r="AA1809" s="15" t="n"/>
      <c r="AB1809" s="15" t="n"/>
      <c r="AF1809">
        <f>IF(AND($F1809="Closed",$X1809&gt;=DATE(2026,5,1),$X1809&lt;=DATE(2026,5,31)),"Closed in May","Other")</f>
        <v/>
      </c>
    </row>
    <row r="1810">
      <c r="A1810" s="59" t="n">
        <v>46148</v>
      </c>
      <c r="B1810" s="3" t="n">
        <v>2026</v>
      </c>
      <c r="C1810" s="21" t="inlineStr">
        <is>
          <t>Continuum</t>
        </is>
      </c>
      <c r="D1810" s="3" t="inlineStr">
        <is>
          <t>Utility and C&amp;I</t>
        </is>
      </c>
      <c r="E1810" s="3" t="n"/>
      <c r="F1810" s="3" t="inlineStr">
        <is>
          <t>Closed</t>
        </is>
      </c>
      <c r="G1810" s="21" t="inlineStr">
        <is>
          <t>Amiya Ranjan Behera</t>
        </is>
      </c>
      <c r="H1810" s="21" t="n">
        <v>8917436223</v>
      </c>
      <c r="I1810" s="38" t="inlineStr">
        <is>
          <t>PE06052602</t>
        </is>
      </c>
      <c r="J1810" s="21" t="inlineStr">
        <is>
          <t>Diode Bypass Module Issue</t>
        </is>
      </c>
      <c r="K1810" s="21" t="inlineStr">
        <is>
          <t>Bhavnagar</t>
        </is>
      </c>
      <c r="L1810" s="21" t="inlineStr">
        <is>
          <t>Gujarat</t>
        </is>
      </c>
      <c r="M1810" s="9" t="inlineStr">
        <is>
          <t>PS</t>
        </is>
      </c>
      <c r="N1810" s="3" t="inlineStr">
        <is>
          <t>Cold Soldering</t>
        </is>
      </c>
      <c r="O1810" s="60" t="n">
        <v>540</v>
      </c>
      <c r="P1810" s="9" t="inlineStr">
        <is>
          <t>NSMP2304067179</t>
        </is>
      </c>
      <c r="Q1810" s="53">
        <f>MID(P1810,5,2)</f>
        <v/>
      </c>
      <c r="R1810" s="53">
        <f>MID(P1810,7,2)</f>
        <v/>
      </c>
      <c r="S1810" s="3" t="inlineStr">
        <is>
          <t>G2B</t>
        </is>
      </c>
      <c r="T1810" s="3" t="inlineStr">
        <is>
          <t>P2</t>
        </is>
      </c>
      <c r="U1810" s="3" t="inlineStr">
        <is>
          <t>P JB Cold Soldering</t>
        </is>
      </c>
      <c r="V1810" s="3" t="inlineStr">
        <is>
          <t>Soldering</t>
        </is>
      </c>
      <c r="W1810" s="3" t="inlineStr">
        <is>
          <t>Repair</t>
        </is>
      </c>
      <c r="X1810" s="18" t="n">
        <v>46165</v>
      </c>
      <c r="Y1810" s="73">
        <f>IF(X1810="","",X1810-A1810)</f>
        <v/>
      </c>
      <c r="Z1810" s="18" t="n">
        <v>46165</v>
      </c>
      <c r="AA1810" s="15" t="n"/>
      <c r="AB1810" s="15" t="n"/>
      <c r="AF1810">
        <f>IF(AND($F1810="Closed",$X1810&gt;=DATE(2026,5,1),$X1810&lt;=DATE(2026,5,31)),"Closed in May","Other")</f>
        <v/>
      </c>
    </row>
    <row r="1811">
      <c r="A1811" s="59" t="n">
        <v>46148</v>
      </c>
      <c r="B1811" s="3" t="n">
        <v>2026</v>
      </c>
      <c r="C1811" s="21" t="inlineStr">
        <is>
          <t>Continuum</t>
        </is>
      </c>
      <c r="D1811" s="3" t="inlineStr">
        <is>
          <t>Utility and C&amp;I</t>
        </is>
      </c>
      <c r="E1811" s="3" t="n"/>
      <c r="F1811" s="3" t="inlineStr">
        <is>
          <t>Closed</t>
        </is>
      </c>
      <c r="G1811" s="21" t="inlineStr">
        <is>
          <t>Amiya Ranjan Behera</t>
        </is>
      </c>
      <c r="H1811" s="21" t="n">
        <v>8917436223</v>
      </c>
      <c r="I1811" s="38" t="inlineStr">
        <is>
          <t>PE06052602</t>
        </is>
      </c>
      <c r="J1811" s="21" t="inlineStr">
        <is>
          <t>Diode Bypass Module Issue</t>
        </is>
      </c>
      <c r="K1811" s="21" t="inlineStr">
        <is>
          <t>Bhavnagar</t>
        </is>
      </c>
      <c r="L1811" s="21" t="inlineStr">
        <is>
          <t>Gujarat</t>
        </is>
      </c>
      <c r="M1811" s="9" t="inlineStr">
        <is>
          <t>PS</t>
        </is>
      </c>
      <c r="N1811" s="3" t="inlineStr">
        <is>
          <t>Cold Soldering</t>
        </is>
      </c>
      <c r="O1811" s="60" t="n">
        <v>540</v>
      </c>
      <c r="P1811" s="9" t="inlineStr">
        <is>
          <t>NSMP2305133765</t>
        </is>
      </c>
      <c r="Q1811" s="53">
        <f>MID(P1811,5,2)</f>
        <v/>
      </c>
      <c r="R1811" s="53">
        <f>MID(P1811,7,2)</f>
        <v/>
      </c>
      <c r="S1811" s="3" t="inlineStr">
        <is>
          <t>G2B</t>
        </is>
      </c>
      <c r="T1811" s="3" t="inlineStr">
        <is>
          <t>P2</t>
        </is>
      </c>
      <c r="U1811" s="3" t="inlineStr">
        <is>
          <t>P JB Cold Soldering</t>
        </is>
      </c>
      <c r="V1811" s="3" t="inlineStr">
        <is>
          <t>Soldering</t>
        </is>
      </c>
      <c r="W1811" s="3" t="inlineStr">
        <is>
          <t>Repair</t>
        </is>
      </c>
      <c r="X1811" s="18" t="n">
        <v>46165</v>
      </c>
      <c r="Y1811" s="73">
        <f>IF(X1811="","",X1811-A1811)</f>
        <v/>
      </c>
      <c r="Z1811" s="18" t="n">
        <v>46165</v>
      </c>
      <c r="AA1811" s="15" t="n"/>
      <c r="AB1811" s="15" t="n"/>
      <c r="AF1811">
        <f>IF(AND($F1811="Closed",$X1811&gt;=DATE(2026,5,1),$X1811&lt;=DATE(2026,5,31)),"Closed in May","Other")</f>
        <v/>
      </c>
    </row>
    <row r="1812">
      <c r="A1812" s="59" t="n">
        <v>46148</v>
      </c>
      <c r="B1812" s="3" t="n">
        <v>2026</v>
      </c>
      <c r="C1812" s="21" t="inlineStr">
        <is>
          <t>Continuum</t>
        </is>
      </c>
      <c r="D1812" s="3" t="inlineStr">
        <is>
          <t>Utility and C&amp;I</t>
        </is>
      </c>
      <c r="E1812" s="3" t="n"/>
      <c r="F1812" s="3" t="inlineStr">
        <is>
          <t>Closed</t>
        </is>
      </c>
      <c r="G1812" s="21" t="inlineStr">
        <is>
          <t>Amiya Ranjan Behera</t>
        </is>
      </c>
      <c r="H1812" s="21" t="n">
        <v>8917436223</v>
      </c>
      <c r="I1812" s="38" t="inlineStr">
        <is>
          <t>PE06052602</t>
        </is>
      </c>
      <c r="J1812" s="21" t="inlineStr">
        <is>
          <t>Diode Bypass Module Issue</t>
        </is>
      </c>
      <c r="K1812" s="21" t="inlineStr">
        <is>
          <t>Bhavnagar</t>
        </is>
      </c>
      <c r="L1812" s="21" t="inlineStr">
        <is>
          <t>Gujarat</t>
        </is>
      </c>
      <c r="M1812" s="9" t="inlineStr">
        <is>
          <t>PS</t>
        </is>
      </c>
      <c r="N1812" s="3" t="inlineStr">
        <is>
          <t>Cold Soldering</t>
        </is>
      </c>
      <c r="O1812" s="60" t="n">
        <v>540</v>
      </c>
      <c r="P1812" s="9" t="inlineStr">
        <is>
          <t>NSMP2304068793</t>
        </is>
      </c>
      <c r="Q1812" s="53">
        <f>MID(P1812,5,2)</f>
        <v/>
      </c>
      <c r="R1812" s="53">
        <f>MID(P1812,7,2)</f>
        <v/>
      </c>
      <c r="S1812" s="3" t="inlineStr">
        <is>
          <t>G2B</t>
        </is>
      </c>
      <c r="T1812" s="3" t="inlineStr">
        <is>
          <t>P2</t>
        </is>
      </c>
      <c r="U1812" s="3" t="inlineStr">
        <is>
          <t>P JB Cold Soldering</t>
        </is>
      </c>
      <c r="V1812" s="3" t="inlineStr">
        <is>
          <t>Soldering</t>
        </is>
      </c>
      <c r="W1812" s="3" t="inlineStr">
        <is>
          <t>Repair</t>
        </is>
      </c>
      <c r="X1812" s="18" t="n">
        <v>46165</v>
      </c>
      <c r="Y1812" s="73">
        <f>IF(X1812="","",X1812-A1812)</f>
        <v/>
      </c>
      <c r="Z1812" s="18" t="n">
        <v>46165</v>
      </c>
      <c r="AA1812" s="15" t="n"/>
      <c r="AB1812" s="15" t="n"/>
      <c r="AF1812">
        <f>IF(AND($F1812="Closed",$X1812&gt;=DATE(2026,5,1),$X1812&lt;=DATE(2026,5,31)),"Closed in May","Other")</f>
        <v/>
      </c>
    </row>
    <row r="1813">
      <c r="A1813" s="59" t="n">
        <v>46148</v>
      </c>
      <c r="B1813" s="3" t="n">
        <v>2026</v>
      </c>
      <c r="C1813" s="21" t="inlineStr">
        <is>
          <t>Continuum</t>
        </is>
      </c>
      <c r="D1813" s="3" t="inlineStr">
        <is>
          <t>Utility and C&amp;I</t>
        </is>
      </c>
      <c r="E1813" s="3" t="n"/>
      <c r="F1813" s="3" t="inlineStr">
        <is>
          <t>Closed</t>
        </is>
      </c>
      <c r="G1813" s="21" t="inlineStr">
        <is>
          <t>Amiya Ranjan Behera</t>
        </is>
      </c>
      <c r="H1813" s="21" t="n">
        <v>8917436223</v>
      </c>
      <c r="I1813" s="38" t="inlineStr">
        <is>
          <t>PE06052602</t>
        </is>
      </c>
      <c r="J1813" s="21" t="inlineStr">
        <is>
          <t>Diode Bypass Module Issue</t>
        </is>
      </c>
      <c r="K1813" s="21" t="inlineStr">
        <is>
          <t>Bhavnagar</t>
        </is>
      </c>
      <c r="L1813" s="21" t="inlineStr">
        <is>
          <t>Gujarat</t>
        </is>
      </c>
      <c r="M1813" s="9" t="inlineStr">
        <is>
          <t>OK</t>
        </is>
      </c>
      <c r="N1813" s="3" t="inlineStr">
        <is>
          <t>No Issue</t>
        </is>
      </c>
      <c r="O1813" s="60" t="n">
        <v>540</v>
      </c>
      <c r="P1813" s="9" t="inlineStr">
        <is>
          <t>NSMP2304067127</t>
        </is>
      </c>
      <c r="Q1813" s="53">
        <f>MID(P1813,5,2)</f>
        <v/>
      </c>
      <c r="R1813" s="53">
        <f>MID(P1813,7,2)</f>
        <v/>
      </c>
      <c r="S1813" s="3" t="inlineStr">
        <is>
          <t>G2B</t>
        </is>
      </c>
      <c r="T1813" s="3" t="inlineStr">
        <is>
          <t>P2</t>
        </is>
      </c>
      <c r="U1813" s="19" t="inlineStr">
        <is>
          <t>No Issue Found</t>
        </is>
      </c>
      <c r="V1813" s="19" t="inlineStr">
        <is>
          <t>Found OK</t>
        </is>
      </c>
      <c r="W1813" s="3" t="inlineStr">
        <is>
          <t>Repair</t>
        </is>
      </c>
      <c r="X1813" s="18" t="n">
        <v>46165</v>
      </c>
      <c r="Y1813" s="73">
        <f>IF(X1813="","",X1813-A1813)</f>
        <v/>
      </c>
      <c r="Z1813" s="18" t="n">
        <v>46165</v>
      </c>
      <c r="AA1813" s="15" t="n"/>
      <c r="AB1813" s="15" t="n"/>
      <c r="AF1813">
        <f>IF(AND($F1813="Closed",$X1813&gt;=DATE(2026,5,1),$X1813&lt;=DATE(2026,5,31)),"Closed in May","Other")</f>
        <v/>
      </c>
    </row>
    <row r="1814">
      <c r="A1814" s="59" t="n">
        <v>46148</v>
      </c>
      <c r="B1814" s="3" t="n">
        <v>2026</v>
      </c>
      <c r="C1814" s="21" t="inlineStr">
        <is>
          <t>Continuum</t>
        </is>
      </c>
      <c r="D1814" s="3" t="inlineStr">
        <is>
          <t>Utility and C&amp;I</t>
        </is>
      </c>
      <c r="E1814" s="3" t="n"/>
      <c r="F1814" s="3" t="inlineStr">
        <is>
          <t>Closed</t>
        </is>
      </c>
      <c r="G1814" s="21" t="inlineStr">
        <is>
          <t>Amiya Ranjan Behera</t>
        </is>
      </c>
      <c r="H1814" s="21" t="n">
        <v>8917436223</v>
      </c>
      <c r="I1814" s="38" t="inlineStr">
        <is>
          <t>PE06052602</t>
        </is>
      </c>
      <c r="J1814" s="21" t="inlineStr">
        <is>
          <t>Diode Bypass Module Issue</t>
        </is>
      </c>
      <c r="K1814" s="21" t="inlineStr">
        <is>
          <t>Bhavnagar</t>
        </is>
      </c>
      <c r="L1814" s="21" t="inlineStr">
        <is>
          <t>Gujarat</t>
        </is>
      </c>
      <c r="M1814" s="9" t="inlineStr">
        <is>
          <t>PS</t>
        </is>
      </c>
      <c r="N1814" s="3" t="inlineStr">
        <is>
          <t>Cold Soldering</t>
        </is>
      </c>
      <c r="O1814" s="60" t="n">
        <v>540</v>
      </c>
      <c r="P1814" s="9" t="inlineStr">
        <is>
          <t>NSMP2304068789</t>
        </is>
      </c>
      <c r="Q1814" s="53">
        <f>MID(P1814,5,2)</f>
        <v/>
      </c>
      <c r="R1814" s="53">
        <f>MID(P1814,7,2)</f>
        <v/>
      </c>
      <c r="S1814" s="3" t="inlineStr">
        <is>
          <t>G2B</t>
        </is>
      </c>
      <c r="T1814" s="3" t="inlineStr">
        <is>
          <t>P2</t>
        </is>
      </c>
      <c r="U1814" s="3" t="inlineStr">
        <is>
          <t>P JB Cold Soldering</t>
        </is>
      </c>
      <c r="V1814" s="3" t="inlineStr">
        <is>
          <t>Soldering</t>
        </is>
      </c>
      <c r="W1814" s="3" t="inlineStr">
        <is>
          <t>Repair</t>
        </is>
      </c>
      <c r="X1814" s="18" t="n">
        <v>46165</v>
      </c>
      <c r="Y1814" s="73">
        <f>IF(X1814="","",X1814-A1814)</f>
        <v/>
      </c>
      <c r="Z1814" s="18" t="n">
        <v>46165</v>
      </c>
      <c r="AA1814" s="15" t="n"/>
      <c r="AB1814" s="15" t="n"/>
      <c r="AF1814">
        <f>IF(AND($F1814="Closed",$X1814&gt;=DATE(2026,5,1),$X1814&lt;=DATE(2026,5,31)),"Closed in May","Other")</f>
        <v/>
      </c>
    </row>
    <row r="1815">
      <c r="A1815" s="59" t="n">
        <v>46148</v>
      </c>
      <c r="B1815" s="3" t="n">
        <v>2026</v>
      </c>
      <c r="C1815" s="21" t="inlineStr">
        <is>
          <t>Continuum</t>
        </is>
      </c>
      <c r="D1815" s="3" t="inlineStr">
        <is>
          <t>Utility and C&amp;I</t>
        </is>
      </c>
      <c r="E1815" s="3" t="n"/>
      <c r="F1815" s="3" t="inlineStr">
        <is>
          <t>Closed</t>
        </is>
      </c>
      <c r="G1815" s="21" t="inlineStr">
        <is>
          <t>Amiya Ranjan Behera</t>
        </is>
      </c>
      <c r="H1815" s="21" t="n">
        <v>8917436223</v>
      </c>
      <c r="I1815" s="38" t="inlineStr">
        <is>
          <t>PE06052602</t>
        </is>
      </c>
      <c r="J1815" s="21" t="inlineStr">
        <is>
          <t>Diode Bypass Module Issue</t>
        </is>
      </c>
      <c r="K1815" s="21" t="inlineStr">
        <is>
          <t>Bhavnagar</t>
        </is>
      </c>
      <c r="L1815" s="21" t="inlineStr">
        <is>
          <t>Gujarat</t>
        </is>
      </c>
      <c r="M1815" s="9" t="inlineStr">
        <is>
          <t>PS</t>
        </is>
      </c>
      <c r="N1815" s="3" t="inlineStr">
        <is>
          <t>Cold Soldering</t>
        </is>
      </c>
      <c r="O1815" s="60" t="n">
        <v>540</v>
      </c>
      <c r="P1815" s="9" t="inlineStr">
        <is>
          <t>NSMP2305133792</t>
        </is>
      </c>
      <c r="Q1815" s="53">
        <f>MID(P1815,5,2)</f>
        <v/>
      </c>
      <c r="R1815" s="53">
        <f>MID(P1815,7,2)</f>
        <v/>
      </c>
      <c r="S1815" s="3" t="inlineStr">
        <is>
          <t>G2B</t>
        </is>
      </c>
      <c r="T1815" s="3" t="inlineStr">
        <is>
          <t>P2</t>
        </is>
      </c>
      <c r="U1815" s="3" t="inlineStr">
        <is>
          <t>P JB Cold Soldering</t>
        </is>
      </c>
      <c r="V1815" s="3" t="inlineStr">
        <is>
          <t>Soldering</t>
        </is>
      </c>
      <c r="W1815" s="3" t="inlineStr">
        <is>
          <t>Repair</t>
        </is>
      </c>
      <c r="X1815" s="18" t="n">
        <v>46165</v>
      </c>
      <c r="Y1815" s="73">
        <f>IF(X1815="","",X1815-A1815)</f>
        <v/>
      </c>
      <c r="Z1815" s="18" t="n">
        <v>46165</v>
      </c>
      <c r="AA1815" s="15" t="n"/>
      <c r="AB1815" s="15" t="n"/>
      <c r="AF1815">
        <f>IF(AND($F1815="Closed",$X1815&gt;=DATE(2026,5,1),$X1815&lt;=DATE(2026,5,31)),"Closed in May","Other")</f>
        <v/>
      </c>
    </row>
    <row r="1816">
      <c r="A1816" s="59" t="n">
        <v>46148</v>
      </c>
      <c r="B1816" s="3" t="n">
        <v>2026</v>
      </c>
      <c r="C1816" s="21" t="inlineStr">
        <is>
          <t>Continuum</t>
        </is>
      </c>
      <c r="D1816" s="3" t="inlineStr">
        <is>
          <t>Utility and C&amp;I</t>
        </is>
      </c>
      <c r="E1816" s="3" t="n"/>
      <c r="F1816" s="3" t="inlineStr">
        <is>
          <t>Closed</t>
        </is>
      </c>
      <c r="G1816" s="21" t="inlineStr">
        <is>
          <t>Amiya Ranjan Behera</t>
        </is>
      </c>
      <c r="H1816" s="21" t="n">
        <v>8917436223</v>
      </c>
      <c r="I1816" s="38" t="inlineStr">
        <is>
          <t>PE06052602</t>
        </is>
      </c>
      <c r="J1816" s="21" t="inlineStr">
        <is>
          <t>Diode Bypass Module Issue</t>
        </is>
      </c>
      <c r="K1816" s="21" t="inlineStr">
        <is>
          <t>Bhavnagar</t>
        </is>
      </c>
      <c r="L1816" s="21" t="inlineStr">
        <is>
          <t>Gujarat</t>
        </is>
      </c>
      <c r="M1816" s="9" t="inlineStr">
        <is>
          <t>PS</t>
        </is>
      </c>
      <c r="N1816" s="3" t="inlineStr">
        <is>
          <t>Cold Soldering</t>
        </is>
      </c>
      <c r="O1816" s="60" t="n">
        <v>540</v>
      </c>
      <c r="P1816" s="9" t="inlineStr">
        <is>
          <t>NSMP2305133781</t>
        </is>
      </c>
      <c r="Q1816" s="53">
        <f>MID(P1816,5,2)</f>
        <v/>
      </c>
      <c r="R1816" s="53">
        <f>MID(P1816,7,2)</f>
        <v/>
      </c>
      <c r="S1816" s="3" t="inlineStr">
        <is>
          <t>G2B</t>
        </is>
      </c>
      <c r="T1816" s="3" t="inlineStr">
        <is>
          <t>P2</t>
        </is>
      </c>
      <c r="U1816" s="3" t="inlineStr">
        <is>
          <t>P JB Cold Soldering</t>
        </is>
      </c>
      <c r="V1816" s="3" t="inlineStr">
        <is>
          <t>Soldering</t>
        </is>
      </c>
      <c r="W1816" s="3" t="inlineStr">
        <is>
          <t>Repair</t>
        </is>
      </c>
      <c r="X1816" s="18" t="n">
        <v>46165</v>
      </c>
      <c r="Y1816" s="73">
        <f>IF(X1816="","",X1816-A1816)</f>
        <v/>
      </c>
      <c r="Z1816" s="18" t="n">
        <v>46165</v>
      </c>
      <c r="AA1816" s="15" t="n"/>
      <c r="AB1816" s="15" t="n"/>
      <c r="AF1816">
        <f>IF(AND($F1816="Closed",$X1816&gt;=DATE(2026,5,1),$X1816&lt;=DATE(2026,5,31)),"Closed in May","Other")</f>
        <v/>
      </c>
    </row>
    <row r="1817">
      <c r="A1817" s="78" t="n">
        <v>46143</v>
      </c>
      <c r="B1817" s="73" t="n">
        <v>2026</v>
      </c>
      <c r="C1817" s="79" t="inlineStr">
        <is>
          <t>Yanara Power</t>
        </is>
      </c>
      <c r="D1817" s="73" t="inlineStr">
        <is>
          <t>Utility and C&amp;I</t>
        </is>
      </c>
      <c r="E1817" s="73" t="n"/>
      <c r="F1817" s="73" t="inlineStr">
        <is>
          <t>Closed</t>
        </is>
      </c>
      <c r="G1817" s="75" t="inlineStr">
        <is>
          <t xml:space="preserve">Ashish Jindal </t>
        </is>
      </c>
      <c r="H1817" s="79" t="n">
        <v>9983975581</v>
      </c>
      <c r="I1817" s="80" t="inlineStr">
        <is>
          <t>PE01052601</t>
        </is>
      </c>
      <c r="J1817" s="79" t="inlineStr">
        <is>
          <t>Multiple Issues</t>
        </is>
      </c>
      <c r="K1817" s="81" t="inlineStr">
        <is>
          <t>Holi</t>
        </is>
      </c>
      <c r="L1817" s="81" t="inlineStr">
        <is>
          <t>Maharashtra</t>
        </is>
      </c>
      <c r="M1817" s="69" t="inlineStr">
        <is>
          <t>PS</t>
        </is>
      </c>
      <c r="N1817" s="73" t="inlineStr">
        <is>
          <t>Cold Soldering</t>
        </is>
      </c>
      <c r="O1817" s="82" t="n">
        <v>575</v>
      </c>
      <c r="P1817" s="69" t="inlineStr">
        <is>
          <t>NSMI24070232547</t>
        </is>
      </c>
      <c r="Q1817" s="83">
        <f>MID(P1817,5,2)</f>
        <v/>
      </c>
      <c r="R1817" s="77">
        <f>MID(P1817,7,2)</f>
        <v/>
      </c>
      <c r="S1817" s="73" t="inlineStr">
        <is>
          <t>G2G</t>
        </is>
      </c>
      <c r="T1817" s="73" t="inlineStr">
        <is>
          <t>P4</t>
        </is>
      </c>
      <c r="U1817" s="84" t="inlineStr">
        <is>
          <t>P JB Cold Soldering</t>
        </is>
      </c>
      <c r="V1817" s="84" t="inlineStr">
        <is>
          <t>Soldering</t>
        </is>
      </c>
      <c r="W1817" s="73" t="inlineStr">
        <is>
          <t>Repair</t>
        </is>
      </c>
      <c r="X1817" s="85" t="n">
        <v>46165</v>
      </c>
      <c r="Y1817" s="73">
        <f>IF(X1817="","",X1817-A1817)</f>
        <v/>
      </c>
      <c r="Z1817" s="85" t="n">
        <v>46165</v>
      </c>
      <c r="AA1817" s="86" t="n"/>
      <c r="AB1817" s="86" t="n"/>
      <c r="AF1817">
        <f>IF(AND($F1817="Closed",$X1817&gt;=DATE(2026,5,1),$X1817&lt;=DATE(2026,5,31)),"Closed in May","Other")</f>
        <v/>
      </c>
    </row>
    <row r="1818">
      <c r="A1818" s="37" t="n">
        <v>46143</v>
      </c>
      <c r="B1818" s="3" t="n">
        <v>2026</v>
      </c>
      <c r="C1818" s="26" t="inlineStr">
        <is>
          <t>Yanara Power</t>
        </is>
      </c>
      <c r="D1818" s="3" t="inlineStr">
        <is>
          <t>Utility and C&amp;I</t>
        </is>
      </c>
      <c r="E1818" s="3" t="n"/>
      <c r="F1818" s="3" t="inlineStr">
        <is>
          <t>Closed</t>
        </is>
      </c>
      <c r="G1818" s="9" t="inlineStr">
        <is>
          <t xml:space="preserve">Ashish Jindal </t>
        </is>
      </c>
      <c r="H1818" s="26" t="n">
        <v>9983975581</v>
      </c>
      <c r="I1818" s="38" t="inlineStr">
        <is>
          <t>PE01052601</t>
        </is>
      </c>
      <c r="J1818" s="26" t="inlineStr">
        <is>
          <t>Multiple Issues</t>
        </is>
      </c>
      <c r="K1818" s="39" t="inlineStr">
        <is>
          <t>Holi</t>
        </is>
      </c>
      <c r="L1818" s="39" t="inlineStr">
        <is>
          <t>Maharashtra</t>
        </is>
      </c>
      <c r="M1818" s="46" t="inlineStr">
        <is>
          <t>PS</t>
        </is>
      </c>
      <c r="N1818" s="3" t="inlineStr">
        <is>
          <t>Cold Soldering</t>
        </is>
      </c>
      <c r="O1818" s="56" t="n">
        <v>575</v>
      </c>
      <c r="P1818" s="46" t="inlineStr">
        <is>
          <t>NSMI24070225221</t>
        </is>
      </c>
      <c r="Q1818" s="54">
        <f>MID(P1818,5,2)</f>
        <v/>
      </c>
      <c r="R1818" s="53">
        <f>MID(P1818,7,2)</f>
        <v/>
      </c>
      <c r="S1818" s="3" t="inlineStr">
        <is>
          <t>G2G</t>
        </is>
      </c>
      <c r="T1818" s="3" t="inlineStr">
        <is>
          <t>P4</t>
        </is>
      </c>
      <c r="U1818" s="19" t="inlineStr">
        <is>
          <t>P JB Cold Soldering</t>
        </is>
      </c>
      <c r="V1818" s="19" t="inlineStr">
        <is>
          <t>Soldering</t>
        </is>
      </c>
      <c r="W1818" s="3" t="inlineStr">
        <is>
          <t>Repair</t>
        </is>
      </c>
      <c r="X1818" s="18" t="n">
        <v>46165</v>
      </c>
      <c r="Y1818" s="73">
        <f>IF(X1818="","",X1818-A1818)</f>
        <v/>
      </c>
      <c r="Z1818" s="18" t="n">
        <v>46165</v>
      </c>
      <c r="AA1818" s="15" t="n"/>
      <c r="AB1818" s="15" t="n"/>
      <c r="AF1818">
        <f>IF(AND($F1818="Closed",$X1818&gt;=DATE(2026,5,1),$X1818&lt;=DATE(2026,5,31)),"Closed in May","Other")</f>
        <v/>
      </c>
    </row>
    <row r="1819">
      <c r="A1819" s="37" t="n">
        <v>46143</v>
      </c>
      <c r="B1819" s="3" t="n">
        <v>2026</v>
      </c>
      <c r="C1819" s="26" t="inlineStr">
        <is>
          <t>Yanara Power</t>
        </is>
      </c>
      <c r="D1819" s="3" t="inlineStr">
        <is>
          <t>Utility and C&amp;I</t>
        </is>
      </c>
      <c r="E1819" s="3" t="n"/>
      <c r="F1819" s="3" t="inlineStr">
        <is>
          <t>Closed</t>
        </is>
      </c>
      <c r="G1819" s="9" t="inlineStr">
        <is>
          <t xml:space="preserve">Ashish Jindal </t>
        </is>
      </c>
      <c r="H1819" s="26" t="n">
        <v>9983975581</v>
      </c>
      <c r="I1819" s="38" t="inlineStr">
        <is>
          <t>PE01052601</t>
        </is>
      </c>
      <c r="J1819" s="26" t="inlineStr">
        <is>
          <t>Multiple Issues</t>
        </is>
      </c>
      <c r="K1819" s="39" t="inlineStr">
        <is>
          <t>Holi</t>
        </is>
      </c>
      <c r="L1819" s="39" t="inlineStr">
        <is>
          <t>Maharashtra</t>
        </is>
      </c>
      <c r="M1819" s="46" t="inlineStr">
        <is>
          <t>PS</t>
        </is>
      </c>
      <c r="N1819" s="3" t="inlineStr">
        <is>
          <t>Cold Soldering</t>
        </is>
      </c>
      <c r="O1819" s="56" t="n">
        <v>575</v>
      </c>
      <c r="P1819" s="46" t="inlineStr">
        <is>
          <t>NSMI24070226820</t>
        </is>
      </c>
      <c r="Q1819" s="54">
        <f>MID(P1819,5,2)</f>
        <v/>
      </c>
      <c r="R1819" s="53">
        <f>MID(P1819,7,2)</f>
        <v/>
      </c>
      <c r="S1819" s="3" t="inlineStr">
        <is>
          <t>G2G</t>
        </is>
      </c>
      <c r="T1819" s="3" t="inlineStr">
        <is>
          <t>P4</t>
        </is>
      </c>
      <c r="U1819" s="19" t="inlineStr">
        <is>
          <t>P JB Cold Soldering</t>
        </is>
      </c>
      <c r="V1819" s="19" t="inlineStr">
        <is>
          <t>Soldering</t>
        </is>
      </c>
      <c r="W1819" s="3" t="inlineStr">
        <is>
          <t>Repair</t>
        </is>
      </c>
      <c r="X1819" s="18" t="n">
        <v>46165</v>
      </c>
      <c r="Y1819" s="73">
        <f>IF(X1819="","",X1819-A1819)</f>
        <v/>
      </c>
      <c r="Z1819" s="18" t="n">
        <v>46165</v>
      </c>
      <c r="AA1819" s="15" t="n"/>
      <c r="AB1819" s="15" t="n"/>
      <c r="AF1819">
        <f>IF(AND($F1819="Closed",$X1819&gt;=DATE(2026,5,1),$X1819&lt;=DATE(2026,5,31)),"Closed in May","Other")</f>
        <v/>
      </c>
    </row>
    <row r="1820">
      <c r="A1820" s="37" t="n">
        <v>46143</v>
      </c>
      <c r="B1820" s="3" t="n">
        <v>2026</v>
      </c>
      <c r="C1820" s="26" t="inlineStr">
        <is>
          <t>Yanara Power</t>
        </is>
      </c>
      <c r="D1820" s="3" t="inlineStr">
        <is>
          <t>Utility and C&amp;I</t>
        </is>
      </c>
      <c r="E1820" s="3" t="n"/>
      <c r="F1820" s="3" t="inlineStr">
        <is>
          <t>Closed</t>
        </is>
      </c>
      <c r="G1820" s="9" t="inlineStr">
        <is>
          <t xml:space="preserve">Ashish Jindal </t>
        </is>
      </c>
      <c r="H1820" s="26" t="n">
        <v>9983975581</v>
      </c>
      <c r="I1820" s="38" t="inlineStr">
        <is>
          <t>PE01052601</t>
        </is>
      </c>
      <c r="J1820" s="26" t="inlineStr">
        <is>
          <t>Multiple Issues</t>
        </is>
      </c>
      <c r="K1820" s="39" t="inlineStr">
        <is>
          <t>Holi</t>
        </is>
      </c>
      <c r="L1820" s="39" t="inlineStr">
        <is>
          <t>Maharashtra</t>
        </is>
      </c>
      <c r="M1820" s="46" t="inlineStr">
        <is>
          <t>NS</t>
        </is>
      </c>
      <c r="N1820" s="3" t="inlineStr">
        <is>
          <t>Cold Soldering</t>
        </is>
      </c>
      <c r="O1820" s="56" t="n">
        <v>575</v>
      </c>
      <c r="P1820" s="46" t="inlineStr">
        <is>
          <t>NSMI24070195623</t>
        </is>
      </c>
      <c r="Q1820" s="54">
        <f>MID(P1820,5,2)</f>
        <v/>
      </c>
      <c r="R1820" s="53">
        <f>MID(P1820,7,2)</f>
        <v/>
      </c>
      <c r="S1820" s="3" t="inlineStr">
        <is>
          <t>G2G</t>
        </is>
      </c>
      <c r="T1820" s="3" t="inlineStr">
        <is>
          <t>P4</t>
        </is>
      </c>
      <c r="U1820" s="3" t="inlineStr">
        <is>
          <t>N JB Cold Soldering</t>
        </is>
      </c>
      <c r="V1820" s="3" t="inlineStr">
        <is>
          <t>Soldering</t>
        </is>
      </c>
      <c r="W1820" s="3" t="inlineStr">
        <is>
          <t>Repair</t>
        </is>
      </c>
      <c r="X1820" s="18" t="n">
        <v>46165</v>
      </c>
      <c r="Y1820" s="73">
        <f>IF(X1820="","",X1820-A1820)</f>
        <v/>
      </c>
      <c r="Z1820" s="18" t="n">
        <v>46165</v>
      </c>
      <c r="AA1820" s="15" t="n"/>
      <c r="AB1820" s="15" t="n"/>
      <c r="AF1820">
        <f>IF(AND($F1820="Closed",$X1820&gt;=DATE(2026,5,1),$X1820&lt;=DATE(2026,5,31)),"Closed in May","Other")</f>
        <v/>
      </c>
    </row>
    <row r="1821">
      <c r="A1821" s="37" t="n">
        <v>46143</v>
      </c>
      <c r="B1821" s="3" t="n">
        <v>2026</v>
      </c>
      <c r="C1821" s="26" t="inlineStr">
        <is>
          <t>Yanara Power</t>
        </is>
      </c>
      <c r="D1821" s="3" t="inlineStr">
        <is>
          <t>Utility and C&amp;I</t>
        </is>
      </c>
      <c r="E1821" s="3" t="n"/>
      <c r="F1821" s="3" t="inlineStr">
        <is>
          <t>Closed</t>
        </is>
      </c>
      <c r="G1821" s="9" t="inlineStr">
        <is>
          <t xml:space="preserve">Ashish Jindal </t>
        </is>
      </c>
      <c r="H1821" s="26" t="n">
        <v>9983975581</v>
      </c>
      <c r="I1821" s="38" t="inlineStr">
        <is>
          <t>PE01052601</t>
        </is>
      </c>
      <c r="J1821" s="26" t="inlineStr">
        <is>
          <t>Multiple Issues</t>
        </is>
      </c>
      <c r="K1821" s="39" t="inlineStr">
        <is>
          <t>Holi</t>
        </is>
      </c>
      <c r="L1821" s="39" t="inlineStr">
        <is>
          <t>Maharashtra</t>
        </is>
      </c>
      <c r="M1821" s="46" t="inlineStr">
        <is>
          <t>PR</t>
        </is>
      </c>
      <c r="N1821" s="3" t="inlineStr">
        <is>
          <t>JB Issue</t>
        </is>
      </c>
      <c r="O1821" s="56" t="n">
        <v>575</v>
      </c>
      <c r="P1821" s="46" t="inlineStr">
        <is>
          <t>NSMI24070195335</t>
        </is>
      </c>
      <c r="Q1821" s="54">
        <f>MID(P1821,5,2)</f>
        <v/>
      </c>
      <c r="R1821" s="53">
        <f>MID(P1821,7,2)</f>
        <v/>
      </c>
      <c r="S1821" s="3" t="inlineStr">
        <is>
          <t>G2G</t>
        </is>
      </c>
      <c r="T1821" s="3" t="inlineStr">
        <is>
          <t>P4</t>
        </is>
      </c>
      <c r="U1821" s="3" t="inlineStr">
        <is>
          <t>P JB Issue</t>
        </is>
      </c>
      <c r="V1821" s="15" t="inlineStr">
        <is>
          <t>JB Changed</t>
        </is>
      </c>
      <c r="W1821" s="3" t="inlineStr">
        <is>
          <t>Repair</t>
        </is>
      </c>
      <c r="X1821" s="18" t="n">
        <v>46165</v>
      </c>
      <c r="Y1821" s="73">
        <f>IF(X1821="","",X1821-A1821)</f>
        <v/>
      </c>
      <c r="Z1821" s="18" t="n">
        <v>46165</v>
      </c>
      <c r="AA1821" s="15" t="n"/>
      <c r="AB1821" s="15" t="n"/>
      <c r="AF1821">
        <f>IF(AND($F1821="Closed",$X1821&gt;=DATE(2026,5,1),$X1821&lt;=DATE(2026,5,31)),"Closed in May","Other")</f>
        <v/>
      </c>
    </row>
    <row r="1822">
      <c r="A1822" s="37" t="n">
        <v>46143</v>
      </c>
      <c r="B1822" s="3" t="n">
        <v>2026</v>
      </c>
      <c r="C1822" s="26" t="inlineStr">
        <is>
          <t>Yanara Power</t>
        </is>
      </c>
      <c r="D1822" s="3" t="inlineStr">
        <is>
          <t>Utility and C&amp;I</t>
        </is>
      </c>
      <c r="E1822" s="3" t="n"/>
      <c r="F1822" s="3" t="inlineStr">
        <is>
          <t>Closed</t>
        </is>
      </c>
      <c r="G1822" s="9" t="inlineStr">
        <is>
          <t xml:space="preserve">Ashish Jindal </t>
        </is>
      </c>
      <c r="H1822" s="26" t="n">
        <v>9983975581</v>
      </c>
      <c r="I1822" s="38" t="inlineStr">
        <is>
          <t>PE01052601</t>
        </is>
      </c>
      <c r="J1822" s="26" t="inlineStr">
        <is>
          <t>Multiple Issues</t>
        </is>
      </c>
      <c r="K1822" s="39" t="inlineStr">
        <is>
          <t>Holi</t>
        </is>
      </c>
      <c r="L1822" s="39" t="inlineStr">
        <is>
          <t>Maharashtra</t>
        </is>
      </c>
      <c r="M1822" s="46" t="inlineStr">
        <is>
          <t>NS</t>
        </is>
      </c>
      <c r="N1822" s="3" t="inlineStr">
        <is>
          <t>Cold Soldering</t>
        </is>
      </c>
      <c r="O1822" s="56" t="n">
        <v>575</v>
      </c>
      <c r="P1822" s="46" t="inlineStr">
        <is>
          <t>NSMI24070195350</t>
        </is>
      </c>
      <c r="Q1822" s="54">
        <f>MID(P1822,5,2)</f>
        <v/>
      </c>
      <c r="R1822" s="53">
        <f>MID(P1822,7,2)</f>
        <v/>
      </c>
      <c r="S1822" s="3" t="inlineStr">
        <is>
          <t>G2G</t>
        </is>
      </c>
      <c r="T1822" s="3" t="inlineStr">
        <is>
          <t>P4</t>
        </is>
      </c>
      <c r="U1822" s="3" t="inlineStr">
        <is>
          <t>N JB Cold Soldering</t>
        </is>
      </c>
      <c r="V1822" s="3" t="inlineStr">
        <is>
          <t>Soldering</t>
        </is>
      </c>
      <c r="W1822" s="3" t="inlineStr">
        <is>
          <t>Repair</t>
        </is>
      </c>
      <c r="X1822" s="18" t="n">
        <v>46165</v>
      </c>
      <c r="Y1822" s="73">
        <f>IF(X1822="","",X1822-A1822)</f>
        <v/>
      </c>
      <c r="Z1822" s="18" t="n">
        <v>46165</v>
      </c>
      <c r="AA1822" s="15" t="n"/>
      <c r="AB1822" s="15" t="n"/>
      <c r="AF1822">
        <f>IF(AND($F1822="Closed",$X1822&gt;=DATE(2026,5,1),$X1822&lt;=DATE(2026,5,31)),"Closed in May","Other")</f>
        <v/>
      </c>
    </row>
    <row r="1823">
      <c r="A1823" s="37" t="n">
        <v>46143</v>
      </c>
      <c r="B1823" s="3" t="n">
        <v>2026</v>
      </c>
      <c r="C1823" s="26" t="inlineStr">
        <is>
          <t>Yanara Power</t>
        </is>
      </c>
      <c r="D1823" s="3" t="inlineStr">
        <is>
          <t>Utility and C&amp;I</t>
        </is>
      </c>
      <c r="E1823" s="3" t="n"/>
      <c r="F1823" s="3" t="inlineStr">
        <is>
          <t>Closed</t>
        </is>
      </c>
      <c r="G1823" s="9" t="inlineStr">
        <is>
          <t xml:space="preserve">Ashish Jindal </t>
        </is>
      </c>
      <c r="H1823" s="26" t="n">
        <v>9983975581</v>
      </c>
      <c r="I1823" s="38" t="inlineStr">
        <is>
          <t>PE01052601</t>
        </is>
      </c>
      <c r="J1823" s="26" t="inlineStr">
        <is>
          <t>Multiple Issues</t>
        </is>
      </c>
      <c r="K1823" s="39" t="inlineStr">
        <is>
          <t>Holi</t>
        </is>
      </c>
      <c r="L1823" s="39" t="inlineStr">
        <is>
          <t>Maharashtra</t>
        </is>
      </c>
      <c r="M1823" s="46" t="inlineStr">
        <is>
          <t>OK</t>
        </is>
      </c>
      <c r="N1823" s="3" t="inlineStr">
        <is>
          <t>No Issue</t>
        </is>
      </c>
      <c r="O1823" s="56" t="n">
        <v>575</v>
      </c>
      <c r="P1823" s="46" t="inlineStr">
        <is>
          <t>NSMI24070177955</t>
        </is>
      </c>
      <c r="Q1823" s="54">
        <f>MID(P1823,5,2)</f>
        <v/>
      </c>
      <c r="R1823" s="53">
        <f>MID(P1823,7,2)</f>
        <v/>
      </c>
      <c r="S1823" s="3" t="inlineStr">
        <is>
          <t>G2G</t>
        </is>
      </c>
      <c r="T1823" s="3" t="inlineStr">
        <is>
          <t>P4</t>
        </is>
      </c>
      <c r="U1823" s="19" t="inlineStr">
        <is>
          <t>No Issue Found</t>
        </is>
      </c>
      <c r="V1823" s="19" t="inlineStr">
        <is>
          <t>Found OK</t>
        </is>
      </c>
      <c r="W1823" s="3" t="inlineStr">
        <is>
          <t>Repair</t>
        </is>
      </c>
      <c r="X1823" s="18" t="n">
        <v>46165</v>
      </c>
      <c r="Y1823" s="73">
        <f>IF(X1823="","",X1823-A1823)</f>
        <v/>
      </c>
      <c r="Z1823" s="18" t="n">
        <v>46165</v>
      </c>
      <c r="AA1823" s="15" t="n"/>
      <c r="AB1823" s="15" t="n"/>
      <c r="AF1823">
        <f>IF(AND($F1823="Closed",$X1823&gt;=DATE(2026,5,1),$X1823&lt;=DATE(2026,5,31)),"Closed in May","Other")</f>
        <v/>
      </c>
    </row>
    <row r="1824">
      <c r="A1824" s="37" t="n">
        <v>46143</v>
      </c>
      <c r="B1824" s="3" t="n">
        <v>2026</v>
      </c>
      <c r="C1824" s="26" t="inlineStr">
        <is>
          <t>Yanara Power</t>
        </is>
      </c>
      <c r="D1824" s="3" t="inlineStr">
        <is>
          <t>Utility and C&amp;I</t>
        </is>
      </c>
      <c r="E1824" s="3" t="n"/>
      <c r="F1824" s="3" t="inlineStr">
        <is>
          <t>Closed</t>
        </is>
      </c>
      <c r="G1824" s="9" t="inlineStr">
        <is>
          <t xml:space="preserve">Ashish Jindal </t>
        </is>
      </c>
      <c r="H1824" s="26" t="n">
        <v>9983975581</v>
      </c>
      <c r="I1824" s="38" t="inlineStr">
        <is>
          <t>PE01052601</t>
        </is>
      </c>
      <c r="J1824" s="26" t="inlineStr">
        <is>
          <t>Multiple Issues</t>
        </is>
      </c>
      <c r="K1824" s="39" t="inlineStr">
        <is>
          <t>Holi</t>
        </is>
      </c>
      <c r="L1824" s="39" t="inlineStr">
        <is>
          <t>Maharashtra</t>
        </is>
      </c>
      <c r="M1824" s="46" t="inlineStr">
        <is>
          <t>PNS</t>
        </is>
      </c>
      <c r="N1824" s="3" t="inlineStr">
        <is>
          <t>Cold Soldering</t>
        </is>
      </c>
      <c r="O1824" s="56" t="n">
        <v>575</v>
      </c>
      <c r="P1824" s="46" t="inlineStr">
        <is>
          <t>NSMI24070204682</t>
        </is>
      </c>
      <c r="Q1824" s="54">
        <f>MID(P1824,5,2)</f>
        <v/>
      </c>
      <c r="R1824" s="53">
        <f>MID(P1824,7,2)</f>
        <v/>
      </c>
      <c r="S1824" s="3" t="inlineStr">
        <is>
          <t>G2G</t>
        </is>
      </c>
      <c r="T1824" s="3" t="inlineStr">
        <is>
          <t>P4</t>
        </is>
      </c>
      <c r="U1824" s="3" t="inlineStr">
        <is>
          <t>P &amp; N JB Cold Soldering</t>
        </is>
      </c>
      <c r="V1824" s="3" t="inlineStr">
        <is>
          <t>Soldering</t>
        </is>
      </c>
      <c r="W1824" s="3" t="inlineStr">
        <is>
          <t>Repair</t>
        </is>
      </c>
      <c r="X1824" s="18" t="n">
        <v>46165</v>
      </c>
      <c r="Y1824" s="73">
        <f>IF(X1824="","",X1824-A1824)</f>
        <v/>
      </c>
      <c r="Z1824" s="18" t="n">
        <v>46165</v>
      </c>
      <c r="AA1824" s="15" t="n"/>
      <c r="AB1824" s="15" t="n"/>
      <c r="AF1824">
        <f>IF(AND($F1824="Closed",$X1824&gt;=DATE(2026,5,1),$X1824&lt;=DATE(2026,5,31)),"Closed in May","Other")</f>
        <v/>
      </c>
    </row>
    <row r="1825">
      <c r="A1825" s="37" t="n">
        <v>46143</v>
      </c>
      <c r="B1825" s="3" t="n">
        <v>2026</v>
      </c>
      <c r="C1825" s="26" t="inlineStr">
        <is>
          <t>Yanara Power</t>
        </is>
      </c>
      <c r="D1825" s="3" t="inlineStr">
        <is>
          <t>Utility and C&amp;I</t>
        </is>
      </c>
      <c r="E1825" s="3" t="n"/>
      <c r="F1825" s="3" t="inlineStr">
        <is>
          <t>Closed</t>
        </is>
      </c>
      <c r="G1825" s="9" t="inlineStr">
        <is>
          <t xml:space="preserve">Ashish Jindal </t>
        </is>
      </c>
      <c r="H1825" s="26" t="n">
        <v>9983975581</v>
      </c>
      <c r="I1825" s="38" t="inlineStr">
        <is>
          <t>PE01052601</t>
        </is>
      </c>
      <c r="J1825" s="26" t="inlineStr">
        <is>
          <t>Multiple Issues</t>
        </is>
      </c>
      <c r="K1825" s="39" t="inlineStr">
        <is>
          <t>Holi</t>
        </is>
      </c>
      <c r="L1825" s="39" t="inlineStr">
        <is>
          <t>Maharashtra</t>
        </is>
      </c>
      <c r="M1825" s="46" t="inlineStr">
        <is>
          <t>PNS</t>
        </is>
      </c>
      <c r="N1825" s="3" t="inlineStr">
        <is>
          <t>Cold Soldering</t>
        </is>
      </c>
      <c r="O1825" s="56" t="n">
        <v>575</v>
      </c>
      <c r="P1825" s="46" t="inlineStr">
        <is>
          <t>NSMI24070204693</t>
        </is>
      </c>
      <c r="Q1825" s="54">
        <f>MID(P1825,5,2)</f>
        <v/>
      </c>
      <c r="R1825" s="53">
        <f>MID(P1825,7,2)</f>
        <v/>
      </c>
      <c r="S1825" s="3" t="inlineStr">
        <is>
          <t>G2G</t>
        </is>
      </c>
      <c r="T1825" s="3" t="inlineStr">
        <is>
          <t>P4</t>
        </is>
      </c>
      <c r="U1825" s="3" t="inlineStr">
        <is>
          <t>P &amp; N JB Cold Soldering</t>
        </is>
      </c>
      <c r="V1825" s="3" t="inlineStr">
        <is>
          <t>Soldering</t>
        </is>
      </c>
      <c r="W1825" s="3" t="inlineStr">
        <is>
          <t>Repair</t>
        </is>
      </c>
      <c r="X1825" s="18" t="n">
        <v>46165</v>
      </c>
      <c r="Y1825" s="73">
        <f>IF(X1825="","",X1825-A1825)</f>
        <v/>
      </c>
      <c r="Z1825" s="18" t="n">
        <v>46165</v>
      </c>
      <c r="AA1825" s="15" t="n"/>
      <c r="AB1825" s="15" t="n"/>
      <c r="AF1825">
        <f>IF(AND($F1825="Closed",$X1825&gt;=DATE(2026,5,1),$X1825&lt;=DATE(2026,5,31)),"Closed in May","Other")</f>
        <v/>
      </c>
    </row>
    <row r="1826">
      <c r="A1826" s="37" t="n">
        <v>46143</v>
      </c>
      <c r="B1826" s="3" t="n">
        <v>2026</v>
      </c>
      <c r="C1826" s="26" t="inlineStr">
        <is>
          <t>Yanara Power</t>
        </is>
      </c>
      <c r="D1826" s="3" t="inlineStr">
        <is>
          <t>Utility and C&amp;I</t>
        </is>
      </c>
      <c r="E1826" s="3" t="n"/>
      <c r="F1826" s="3" t="inlineStr">
        <is>
          <t>Closed</t>
        </is>
      </c>
      <c r="G1826" s="9" t="inlineStr">
        <is>
          <t xml:space="preserve">Ashish Jindal </t>
        </is>
      </c>
      <c r="H1826" s="26" t="n">
        <v>9983975581</v>
      </c>
      <c r="I1826" s="38" t="inlineStr">
        <is>
          <t>PE01052601</t>
        </is>
      </c>
      <c r="J1826" s="26" t="inlineStr">
        <is>
          <t>Multiple Issues</t>
        </is>
      </c>
      <c r="K1826" s="39" t="inlineStr">
        <is>
          <t>Holi</t>
        </is>
      </c>
      <c r="L1826" s="39" t="inlineStr">
        <is>
          <t>Maharashtra</t>
        </is>
      </c>
      <c r="M1826" s="46" t="inlineStr">
        <is>
          <t>PS</t>
        </is>
      </c>
      <c r="N1826" s="3" t="inlineStr">
        <is>
          <t>Cold Soldering</t>
        </is>
      </c>
      <c r="O1826" s="56" t="n">
        <v>575</v>
      </c>
      <c r="P1826" s="46" t="inlineStr">
        <is>
          <t>NSMI24070204690</t>
        </is>
      </c>
      <c r="Q1826" s="54">
        <f>MID(P1826,5,2)</f>
        <v/>
      </c>
      <c r="R1826" s="53">
        <f>MID(P1826,7,2)</f>
        <v/>
      </c>
      <c r="S1826" s="3" t="inlineStr">
        <is>
          <t>G2G</t>
        </is>
      </c>
      <c r="T1826" s="3" t="inlineStr">
        <is>
          <t>P4</t>
        </is>
      </c>
      <c r="U1826" s="19" t="inlineStr">
        <is>
          <t>P JB Cold Soldering</t>
        </is>
      </c>
      <c r="V1826" s="19" t="inlineStr">
        <is>
          <t>Soldering</t>
        </is>
      </c>
      <c r="W1826" s="3" t="inlineStr">
        <is>
          <t>Repair</t>
        </is>
      </c>
      <c r="X1826" s="18" t="n">
        <v>46165</v>
      </c>
      <c r="Y1826" s="73">
        <f>IF(X1826="","",X1826-A1826)</f>
        <v/>
      </c>
      <c r="Z1826" s="18" t="n">
        <v>46165</v>
      </c>
      <c r="AA1826" s="15" t="n"/>
      <c r="AB1826" s="15" t="n"/>
      <c r="AF1826">
        <f>IF(AND($F1826="Closed",$X1826&gt;=DATE(2026,5,1),$X1826&lt;=DATE(2026,5,31)),"Closed in May","Other")</f>
        <v/>
      </c>
    </row>
    <row r="1827">
      <c r="A1827" s="37" t="n">
        <v>46143</v>
      </c>
      <c r="B1827" s="3" t="n">
        <v>2026</v>
      </c>
      <c r="C1827" s="26" t="inlineStr">
        <is>
          <t>Yanara Power</t>
        </is>
      </c>
      <c r="D1827" s="3" t="inlineStr">
        <is>
          <t>Utility and C&amp;I</t>
        </is>
      </c>
      <c r="E1827" s="3" t="n"/>
      <c r="F1827" s="3" t="inlineStr">
        <is>
          <t>Closed</t>
        </is>
      </c>
      <c r="G1827" s="9" t="inlineStr">
        <is>
          <t xml:space="preserve">Ashish Jindal </t>
        </is>
      </c>
      <c r="H1827" s="26" t="n">
        <v>9983975581</v>
      </c>
      <c r="I1827" s="38" t="inlineStr">
        <is>
          <t>PE01052601</t>
        </is>
      </c>
      <c r="J1827" s="26" t="inlineStr">
        <is>
          <t>Multiple Issues</t>
        </is>
      </c>
      <c r="K1827" s="39" t="inlineStr">
        <is>
          <t>Holi</t>
        </is>
      </c>
      <c r="L1827" s="39" t="inlineStr">
        <is>
          <t>Maharashtra</t>
        </is>
      </c>
      <c r="M1827" s="46" t="inlineStr">
        <is>
          <t>OK</t>
        </is>
      </c>
      <c r="N1827" s="3" t="inlineStr">
        <is>
          <t>No Issue</t>
        </is>
      </c>
      <c r="O1827" s="56" t="n">
        <v>575</v>
      </c>
      <c r="P1827" s="46" t="inlineStr">
        <is>
          <t>NSMI24070177691</t>
        </is>
      </c>
      <c r="Q1827" s="54">
        <f>MID(P1827,5,2)</f>
        <v/>
      </c>
      <c r="R1827" s="53">
        <f>MID(P1827,7,2)</f>
        <v/>
      </c>
      <c r="S1827" s="3" t="inlineStr">
        <is>
          <t>G2G</t>
        </is>
      </c>
      <c r="T1827" s="3" t="inlineStr">
        <is>
          <t>P4</t>
        </is>
      </c>
      <c r="U1827" s="19" t="inlineStr">
        <is>
          <t>No Issue Found</t>
        </is>
      </c>
      <c r="V1827" s="19" t="inlineStr">
        <is>
          <t>Found OK</t>
        </is>
      </c>
      <c r="W1827" s="3" t="inlineStr">
        <is>
          <t>Repair</t>
        </is>
      </c>
      <c r="X1827" s="18" t="n">
        <v>46165</v>
      </c>
      <c r="Y1827" s="73">
        <f>IF(X1827="","",X1827-A1827)</f>
        <v/>
      </c>
      <c r="Z1827" s="18" t="n">
        <v>46165</v>
      </c>
      <c r="AA1827" s="15" t="n"/>
      <c r="AB1827" s="15" t="n"/>
      <c r="AF1827">
        <f>IF(AND($F1827="Closed",$X1827&gt;=DATE(2026,5,1),$X1827&lt;=DATE(2026,5,31)),"Closed in May","Other")</f>
        <v/>
      </c>
    </row>
    <row r="1828">
      <c r="A1828" s="37" t="n">
        <v>46143</v>
      </c>
      <c r="B1828" s="3" t="n">
        <v>2026</v>
      </c>
      <c r="C1828" s="26" t="inlineStr">
        <is>
          <t>Yanara Power</t>
        </is>
      </c>
      <c r="D1828" s="3" t="inlineStr">
        <is>
          <t>Utility and C&amp;I</t>
        </is>
      </c>
      <c r="E1828" s="3" t="n"/>
      <c r="F1828" s="3" t="inlineStr">
        <is>
          <t>Closed</t>
        </is>
      </c>
      <c r="G1828" s="9" t="inlineStr">
        <is>
          <t xml:space="preserve">Ashish Jindal </t>
        </is>
      </c>
      <c r="H1828" s="26" t="n">
        <v>9983975581</v>
      </c>
      <c r="I1828" s="38" t="inlineStr">
        <is>
          <t>PE01052601</t>
        </is>
      </c>
      <c r="J1828" s="26" t="inlineStr">
        <is>
          <t>Multiple Issues</t>
        </is>
      </c>
      <c r="K1828" s="39" t="inlineStr">
        <is>
          <t>Holi</t>
        </is>
      </c>
      <c r="L1828" s="39" t="inlineStr">
        <is>
          <t>Maharashtra</t>
        </is>
      </c>
      <c r="M1828" s="61" t="inlineStr">
        <is>
          <t>MR</t>
        </is>
      </c>
      <c r="N1828" s="19" t="inlineStr">
        <is>
          <t>JB Issue</t>
        </is>
      </c>
      <c r="O1828" s="56" t="n">
        <v>575</v>
      </c>
      <c r="P1828" s="46" t="inlineStr">
        <is>
          <t>NSMI24070226024</t>
        </is>
      </c>
      <c r="Q1828" s="54">
        <f>MID(P1828,5,2)</f>
        <v/>
      </c>
      <c r="R1828" s="53">
        <f>MID(P1828,7,2)</f>
        <v/>
      </c>
      <c r="S1828" s="3" t="inlineStr">
        <is>
          <t>G2G</t>
        </is>
      </c>
      <c r="T1828" s="3" t="inlineStr">
        <is>
          <t>P4</t>
        </is>
      </c>
      <c r="U1828" s="19" t="inlineStr">
        <is>
          <t>M JB Issue</t>
        </is>
      </c>
      <c r="V1828" s="19" t="inlineStr">
        <is>
          <t>JB Changed</t>
        </is>
      </c>
      <c r="W1828" s="3" t="inlineStr">
        <is>
          <t>Repair</t>
        </is>
      </c>
      <c r="X1828" s="18" t="n">
        <v>46165</v>
      </c>
      <c r="Y1828" s="73">
        <f>IF(X1828="","",X1828-A1828)</f>
        <v/>
      </c>
      <c r="Z1828" s="18" t="n">
        <v>46165</v>
      </c>
      <c r="AA1828" s="15" t="n"/>
      <c r="AB1828" s="15" t="n"/>
      <c r="AF1828">
        <f>IF(AND($F1828="Closed",$X1828&gt;=DATE(2026,5,1),$X1828&lt;=DATE(2026,5,31)),"Closed in May","Other")</f>
        <v/>
      </c>
    </row>
    <row r="1829">
      <c r="A1829" s="37" t="n">
        <v>46143</v>
      </c>
      <c r="B1829" s="3" t="n">
        <v>2026</v>
      </c>
      <c r="C1829" s="26" t="inlineStr">
        <is>
          <t>Yanara Power</t>
        </is>
      </c>
      <c r="D1829" s="3" t="inlineStr">
        <is>
          <t>Utility and C&amp;I</t>
        </is>
      </c>
      <c r="E1829" s="3" t="n"/>
      <c r="F1829" s="3" t="inlineStr">
        <is>
          <t>Closed</t>
        </is>
      </c>
      <c r="G1829" s="9" t="inlineStr">
        <is>
          <t xml:space="preserve">Ashish Jindal </t>
        </is>
      </c>
      <c r="H1829" s="26" t="n">
        <v>9983975581</v>
      </c>
      <c r="I1829" s="38" t="inlineStr">
        <is>
          <t>PE01052601</t>
        </is>
      </c>
      <c r="J1829" s="26" t="inlineStr">
        <is>
          <t>Multiple Issues</t>
        </is>
      </c>
      <c r="K1829" s="39" t="inlineStr">
        <is>
          <t>Holi</t>
        </is>
      </c>
      <c r="L1829" s="39" t="inlineStr">
        <is>
          <t>Maharashtra</t>
        </is>
      </c>
      <c r="M1829" s="46" t="inlineStr">
        <is>
          <t>PS</t>
        </is>
      </c>
      <c r="N1829" s="3" t="inlineStr">
        <is>
          <t>Cold Soldering</t>
        </is>
      </c>
      <c r="O1829" s="56" t="n">
        <v>575</v>
      </c>
      <c r="P1829" s="46" t="inlineStr">
        <is>
          <t>NSMI24070235955</t>
        </is>
      </c>
      <c r="Q1829" s="54">
        <f>MID(P1829,5,2)</f>
        <v/>
      </c>
      <c r="R1829" s="53">
        <f>MID(P1829,7,2)</f>
        <v/>
      </c>
      <c r="S1829" s="3" t="inlineStr">
        <is>
          <t>G2G</t>
        </is>
      </c>
      <c r="T1829" s="3" t="inlineStr">
        <is>
          <t>P4</t>
        </is>
      </c>
      <c r="U1829" s="19" t="inlineStr">
        <is>
          <t>P JB Cold Soldering</t>
        </is>
      </c>
      <c r="V1829" s="19" t="inlineStr">
        <is>
          <t>Soldering</t>
        </is>
      </c>
      <c r="W1829" s="3" t="inlineStr">
        <is>
          <t>Repair</t>
        </is>
      </c>
      <c r="X1829" s="18" t="n">
        <v>46165</v>
      </c>
      <c r="Y1829" s="73">
        <f>IF(X1829="","",X1829-A1829)</f>
        <v/>
      </c>
      <c r="Z1829" s="18" t="n">
        <v>46165</v>
      </c>
      <c r="AA1829" s="15" t="n"/>
      <c r="AB1829" s="15" t="n"/>
      <c r="AF1829">
        <f>IF(AND($F1829="Closed",$X1829&gt;=DATE(2026,5,1),$X1829&lt;=DATE(2026,5,31)),"Closed in May","Other")</f>
        <v/>
      </c>
    </row>
    <row r="1830">
      <c r="A1830" s="37" t="n">
        <v>46143</v>
      </c>
      <c r="B1830" s="3" t="n">
        <v>2026</v>
      </c>
      <c r="C1830" s="26" t="inlineStr">
        <is>
          <t>Yanara Power</t>
        </is>
      </c>
      <c r="D1830" s="3" t="inlineStr">
        <is>
          <t>Utility and C&amp;I</t>
        </is>
      </c>
      <c r="E1830" s="3" t="n"/>
      <c r="F1830" s="3" t="inlineStr">
        <is>
          <t>Closed</t>
        </is>
      </c>
      <c r="G1830" s="9" t="inlineStr">
        <is>
          <t xml:space="preserve">Ashish Jindal </t>
        </is>
      </c>
      <c r="H1830" s="26" t="n">
        <v>9983975581</v>
      </c>
      <c r="I1830" s="38" t="inlineStr">
        <is>
          <t>PE01052601</t>
        </is>
      </c>
      <c r="J1830" s="26" t="inlineStr">
        <is>
          <t>Multiple Issues</t>
        </is>
      </c>
      <c r="K1830" s="39" t="inlineStr">
        <is>
          <t>Holi</t>
        </is>
      </c>
      <c r="L1830" s="39" t="inlineStr">
        <is>
          <t>Maharashtra</t>
        </is>
      </c>
      <c r="M1830" s="46" t="inlineStr">
        <is>
          <t>NS</t>
        </is>
      </c>
      <c r="N1830" s="3" t="inlineStr">
        <is>
          <t>Cold Soldering</t>
        </is>
      </c>
      <c r="O1830" s="56" t="n">
        <v>575</v>
      </c>
      <c r="P1830" s="46" t="inlineStr">
        <is>
          <t>NSMI24070235893</t>
        </is>
      </c>
      <c r="Q1830" s="54">
        <f>MID(P1830,5,2)</f>
        <v/>
      </c>
      <c r="R1830" s="53">
        <f>MID(P1830,7,2)</f>
        <v/>
      </c>
      <c r="S1830" s="3" t="inlineStr">
        <is>
          <t>G2G</t>
        </is>
      </c>
      <c r="T1830" s="3" t="inlineStr">
        <is>
          <t>P4</t>
        </is>
      </c>
      <c r="U1830" s="3" t="inlineStr">
        <is>
          <t>N JB Cold Soldering</t>
        </is>
      </c>
      <c r="V1830" s="3" t="inlineStr">
        <is>
          <t>Soldering</t>
        </is>
      </c>
      <c r="W1830" s="3" t="inlineStr">
        <is>
          <t>Repair</t>
        </is>
      </c>
      <c r="X1830" s="18" t="n">
        <v>46165</v>
      </c>
      <c r="Y1830" s="73">
        <f>IF(X1830="","",X1830-A1830)</f>
        <v/>
      </c>
      <c r="Z1830" s="18" t="n">
        <v>46165</v>
      </c>
      <c r="AA1830" s="15" t="n"/>
      <c r="AB1830" s="15" t="n"/>
      <c r="AF1830">
        <f>IF(AND($F1830="Closed",$X1830&gt;=DATE(2026,5,1),$X1830&lt;=DATE(2026,5,31)),"Closed in May","Other")</f>
        <v/>
      </c>
    </row>
    <row r="1831">
      <c r="A1831" s="37" t="n">
        <v>46143</v>
      </c>
      <c r="B1831" s="3" t="n">
        <v>2026</v>
      </c>
      <c r="C1831" s="26" t="inlineStr">
        <is>
          <t>Yanara Power</t>
        </is>
      </c>
      <c r="D1831" s="3" t="inlineStr">
        <is>
          <t>Utility and C&amp;I</t>
        </is>
      </c>
      <c r="E1831" s="3" t="n"/>
      <c r="F1831" s="3" t="inlineStr">
        <is>
          <t>Closed</t>
        </is>
      </c>
      <c r="G1831" s="9" t="inlineStr">
        <is>
          <t xml:space="preserve">Ashish Jindal </t>
        </is>
      </c>
      <c r="H1831" s="26" t="n">
        <v>9983975581</v>
      </c>
      <c r="I1831" s="38" t="inlineStr">
        <is>
          <t>PE01052601</t>
        </is>
      </c>
      <c r="J1831" s="26" t="inlineStr">
        <is>
          <t>Multiple Issues</t>
        </is>
      </c>
      <c r="K1831" s="39" t="inlineStr">
        <is>
          <t>Holi</t>
        </is>
      </c>
      <c r="L1831" s="39" t="inlineStr">
        <is>
          <t>Maharashtra</t>
        </is>
      </c>
      <c r="M1831" s="46" t="inlineStr">
        <is>
          <t>PS</t>
        </is>
      </c>
      <c r="N1831" s="3" t="inlineStr">
        <is>
          <t>Cold Soldering</t>
        </is>
      </c>
      <c r="O1831" s="56" t="n">
        <v>575</v>
      </c>
      <c r="P1831" s="46" t="inlineStr">
        <is>
          <t>NSMI24070190382</t>
        </is>
      </c>
      <c r="Q1831" s="54">
        <f>MID(P1831,5,2)</f>
        <v/>
      </c>
      <c r="R1831" s="53">
        <f>MID(P1831,7,2)</f>
        <v/>
      </c>
      <c r="S1831" s="3" t="inlineStr">
        <is>
          <t>G2G</t>
        </is>
      </c>
      <c r="T1831" s="3" t="inlineStr">
        <is>
          <t>P4</t>
        </is>
      </c>
      <c r="U1831" s="19" t="inlineStr">
        <is>
          <t>P JB Cold Soldering</t>
        </is>
      </c>
      <c r="V1831" s="19" t="inlineStr">
        <is>
          <t>Soldering</t>
        </is>
      </c>
      <c r="W1831" s="3" t="inlineStr">
        <is>
          <t>Repair</t>
        </is>
      </c>
      <c r="X1831" s="18" t="n">
        <v>46165</v>
      </c>
      <c r="Y1831" s="73">
        <f>IF(X1831="","",X1831-A1831)</f>
        <v/>
      </c>
      <c r="Z1831" s="18" t="n">
        <v>46165</v>
      </c>
      <c r="AA1831" s="15" t="n"/>
      <c r="AB1831" s="15" t="n"/>
      <c r="AF1831">
        <f>IF(AND($F1831="Closed",$X1831&gt;=DATE(2026,5,1),$X1831&lt;=DATE(2026,5,31)),"Closed in May","Other")</f>
        <v/>
      </c>
    </row>
    <row r="1832">
      <c r="A1832" s="37" t="n">
        <v>46143</v>
      </c>
      <c r="B1832" s="3" t="n">
        <v>2026</v>
      </c>
      <c r="C1832" s="26" t="inlineStr">
        <is>
          <t>Yanara Power</t>
        </is>
      </c>
      <c r="D1832" s="3" t="inlineStr">
        <is>
          <t>Utility and C&amp;I</t>
        </is>
      </c>
      <c r="E1832" s="3" t="n"/>
      <c r="F1832" s="3" t="inlineStr">
        <is>
          <t>Closed</t>
        </is>
      </c>
      <c r="G1832" s="9" t="inlineStr">
        <is>
          <t xml:space="preserve">Ashish Jindal </t>
        </is>
      </c>
      <c r="H1832" s="26" t="n">
        <v>9983975581</v>
      </c>
      <c r="I1832" s="38" t="inlineStr">
        <is>
          <t>PE01052601</t>
        </is>
      </c>
      <c r="J1832" s="26" t="inlineStr">
        <is>
          <t>Multiple Issues</t>
        </is>
      </c>
      <c r="K1832" s="39" t="inlineStr">
        <is>
          <t>Holi</t>
        </is>
      </c>
      <c r="L1832" s="39" t="inlineStr">
        <is>
          <t>Maharashtra</t>
        </is>
      </c>
      <c r="M1832" s="46" t="inlineStr">
        <is>
          <t>OK</t>
        </is>
      </c>
      <c r="N1832" s="3" t="inlineStr">
        <is>
          <t>No Issue</t>
        </is>
      </c>
      <c r="O1832" s="56" t="n">
        <v>575</v>
      </c>
      <c r="P1832" s="46" t="inlineStr">
        <is>
          <t>NSMI24070177689</t>
        </is>
      </c>
      <c r="Q1832" s="54">
        <f>MID(P1832,5,2)</f>
        <v/>
      </c>
      <c r="R1832" s="53">
        <f>MID(P1832,7,2)</f>
        <v/>
      </c>
      <c r="S1832" s="3" t="inlineStr">
        <is>
          <t>G2G</t>
        </is>
      </c>
      <c r="T1832" s="3" t="inlineStr">
        <is>
          <t>P4</t>
        </is>
      </c>
      <c r="U1832" s="19" t="inlineStr">
        <is>
          <t>No Issue Found</t>
        </is>
      </c>
      <c r="V1832" s="19" t="inlineStr">
        <is>
          <t>Found OK</t>
        </is>
      </c>
      <c r="W1832" s="3" t="inlineStr">
        <is>
          <t>Repair</t>
        </is>
      </c>
      <c r="X1832" s="18" t="n">
        <v>46165</v>
      </c>
      <c r="Y1832" s="73">
        <f>IF(X1832="","",X1832-A1832)</f>
        <v/>
      </c>
      <c r="Z1832" s="18" t="n">
        <v>46165</v>
      </c>
      <c r="AA1832" s="15" t="n"/>
      <c r="AB1832" s="15" t="n"/>
      <c r="AF1832">
        <f>IF(AND($F1832="Closed",$X1832&gt;=DATE(2026,5,1),$X1832&lt;=DATE(2026,5,31)),"Closed in May","Other")</f>
        <v/>
      </c>
    </row>
    <row r="1833">
      <c r="A1833" s="37" t="n">
        <v>46143</v>
      </c>
      <c r="B1833" s="3" t="n">
        <v>2026</v>
      </c>
      <c r="C1833" s="26" t="inlineStr">
        <is>
          <t>Yanara Power</t>
        </is>
      </c>
      <c r="D1833" s="3" t="inlineStr">
        <is>
          <t>Utility and C&amp;I</t>
        </is>
      </c>
      <c r="E1833" s="3" t="n"/>
      <c r="F1833" s="3" t="inlineStr">
        <is>
          <t>Closed</t>
        </is>
      </c>
      <c r="G1833" s="9" t="inlineStr">
        <is>
          <t xml:space="preserve">Ashish Jindal </t>
        </is>
      </c>
      <c r="H1833" s="26" t="n">
        <v>9983975581</v>
      </c>
      <c r="I1833" s="38" t="inlineStr">
        <is>
          <t>PE01052601</t>
        </is>
      </c>
      <c r="J1833" s="26" t="inlineStr">
        <is>
          <t>Multiple Issues</t>
        </is>
      </c>
      <c r="K1833" s="39" t="inlineStr">
        <is>
          <t>Holi</t>
        </is>
      </c>
      <c r="L1833" s="39" t="inlineStr">
        <is>
          <t>Maharashtra</t>
        </is>
      </c>
      <c r="M1833" s="46" t="inlineStr">
        <is>
          <t>PS</t>
        </is>
      </c>
      <c r="N1833" s="3" t="inlineStr">
        <is>
          <t>Cold Soldering</t>
        </is>
      </c>
      <c r="O1833" s="56" t="n">
        <v>575</v>
      </c>
      <c r="P1833" s="46" t="inlineStr">
        <is>
          <t>NSMI24070242931</t>
        </is>
      </c>
      <c r="Q1833" s="54">
        <f>MID(P1833,5,2)</f>
        <v/>
      </c>
      <c r="R1833" s="53">
        <f>MID(P1833,7,2)</f>
        <v/>
      </c>
      <c r="S1833" s="3" t="inlineStr">
        <is>
          <t>G2G</t>
        </is>
      </c>
      <c r="T1833" s="3" t="inlineStr">
        <is>
          <t>P4</t>
        </is>
      </c>
      <c r="U1833" s="19" t="inlineStr">
        <is>
          <t>P JB Cold Soldering</t>
        </is>
      </c>
      <c r="V1833" s="19" t="inlineStr">
        <is>
          <t>Soldering</t>
        </is>
      </c>
      <c r="W1833" s="3" t="inlineStr">
        <is>
          <t>Repair</t>
        </is>
      </c>
      <c r="X1833" s="18" t="n">
        <v>46165</v>
      </c>
      <c r="Y1833" s="73">
        <f>IF(X1833="","",X1833-A1833)</f>
        <v/>
      </c>
      <c r="Z1833" s="18" t="n">
        <v>46165</v>
      </c>
      <c r="AA1833" s="15" t="n"/>
      <c r="AB1833" s="15" t="n"/>
      <c r="AF1833">
        <f>IF(AND($F1833="Closed",$X1833&gt;=DATE(2026,5,1),$X1833&lt;=DATE(2026,5,31)),"Closed in May","Other")</f>
        <v/>
      </c>
    </row>
    <row r="1834">
      <c r="A1834" s="37" t="n">
        <v>46143</v>
      </c>
      <c r="B1834" s="3" t="n">
        <v>2026</v>
      </c>
      <c r="C1834" s="26" t="inlineStr">
        <is>
          <t>Yanara Power</t>
        </is>
      </c>
      <c r="D1834" s="3" t="inlineStr">
        <is>
          <t>Utility and C&amp;I</t>
        </is>
      </c>
      <c r="E1834" s="3" t="n"/>
      <c r="F1834" s="3" t="inlineStr">
        <is>
          <t>Closed</t>
        </is>
      </c>
      <c r="G1834" s="9" t="inlineStr">
        <is>
          <t xml:space="preserve">Ashish Jindal </t>
        </is>
      </c>
      <c r="H1834" s="26" t="n">
        <v>9983975581</v>
      </c>
      <c r="I1834" s="38" t="inlineStr">
        <is>
          <t>PE01052601</t>
        </is>
      </c>
      <c r="J1834" s="26" t="inlineStr">
        <is>
          <t>Multiple Issues</t>
        </is>
      </c>
      <c r="K1834" s="39" t="inlineStr">
        <is>
          <t>Holi</t>
        </is>
      </c>
      <c r="L1834" s="39" t="inlineStr">
        <is>
          <t>Maharashtra</t>
        </is>
      </c>
      <c r="M1834" s="46" t="inlineStr">
        <is>
          <t>PS</t>
        </is>
      </c>
      <c r="N1834" s="3" t="inlineStr">
        <is>
          <t>Cold Soldering</t>
        </is>
      </c>
      <c r="O1834" s="56" t="n">
        <v>575</v>
      </c>
      <c r="P1834" s="46" t="inlineStr">
        <is>
          <t>NSMI24070239738</t>
        </is>
      </c>
      <c r="Q1834" s="54">
        <f>MID(P1834,5,2)</f>
        <v/>
      </c>
      <c r="R1834" s="53">
        <f>MID(P1834,7,2)</f>
        <v/>
      </c>
      <c r="S1834" s="3" t="inlineStr">
        <is>
          <t>G2G</t>
        </is>
      </c>
      <c r="T1834" s="3" t="inlineStr">
        <is>
          <t>P4</t>
        </is>
      </c>
      <c r="U1834" s="19" t="inlineStr">
        <is>
          <t>P JB Cold Soldering</t>
        </is>
      </c>
      <c r="V1834" s="19" t="inlineStr">
        <is>
          <t>Soldering</t>
        </is>
      </c>
      <c r="W1834" s="3" t="inlineStr">
        <is>
          <t>Repair</t>
        </is>
      </c>
      <c r="X1834" s="18" t="n">
        <v>46165</v>
      </c>
      <c r="Y1834" s="73">
        <f>IF(X1834="","",X1834-A1834)</f>
        <v/>
      </c>
      <c r="Z1834" s="18" t="n">
        <v>46165</v>
      </c>
      <c r="AA1834" s="15" t="n"/>
      <c r="AB1834" s="15" t="n"/>
      <c r="AF1834">
        <f>IF(AND($F1834="Closed",$X1834&gt;=DATE(2026,5,1),$X1834&lt;=DATE(2026,5,31)),"Closed in May","Other")</f>
        <v/>
      </c>
    </row>
    <row r="1835">
      <c r="A1835" s="37" t="n">
        <v>46143</v>
      </c>
      <c r="B1835" s="3" t="n">
        <v>2026</v>
      </c>
      <c r="C1835" s="26" t="inlineStr">
        <is>
          <t>Yanara Power</t>
        </is>
      </c>
      <c r="D1835" s="3" t="inlineStr">
        <is>
          <t>Utility and C&amp;I</t>
        </is>
      </c>
      <c r="E1835" s="3" t="n"/>
      <c r="F1835" s="3" t="inlineStr">
        <is>
          <t>Closed</t>
        </is>
      </c>
      <c r="G1835" s="9" t="inlineStr">
        <is>
          <t xml:space="preserve">Ashish Jindal </t>
        </is>
      </c>
      <c r="H1835" s="26" t="n">
        <v>9983975581</v>
      </c>
      <c r="I1835" s="38" t="inlineStr">
        <is>
          <t>PE01052601</t>
        </is>
      </c>
      <c r="J1835" s="26" t="inlineStr">
        <is>
          <t>Multiple Issues</t>
        </is>
      </c>
      <c r="K1835" s="39" t="inlineStr">
        <is>
          <t>Holi</t>
        </is>
      </c>
      <c r="L1835" s="39" t="inlineStr">
        <is>
          <t>Maharashtra</t>
        </is>
      </c>
      <c r="M1835" s="46" t="inlineStr">
        <is>
          <t>PS</t>
        </is>
      </c>
      <c r="N1835" s="3" t="inlineStr">
        <is>
          <t>Cold Soldering</t>
        </is>
      </c>
      <c r="O1835" s="56" t="n">
        <v>575</v>
      </c>
      <c r="P1835" s="46" t="inlineStr">
        <is>
          <t>NSMI24070183723</t>
        </is>
      </c>
      <c r="Q1835" s="54">
        <f>MID(P1835,5,2)</f>
        <v/>
      </c>
      <c r="R1835" s="53">
        <f>MID(P1835,7,2)</f>
        <v/>
      </c>
      <c r="S1835" s="3" t="inlineStr">
        <is>
          <t>G2G</t>
        </is>
      </c>
      <c r="T1835" s="3" t="inlineStr">
        <is>
          <t>P4</t>
        </is>
      </c>
      <c r="U1835" s="19" t="inlineStr">
        <is>
          <t>P JB Cold Soldering</t>
        </is>
      </c>
      <c r="V1835" s="19" t="inlineStr">
        <is>
          <t>Soldering</t>
        </is>
      </c>
      <c r="W1835" s="3" t="inlineStr">
        <is>
          <t>Repair</t>
        </is>
      </c>
      <c r="X1835" s="18" t="n">
        <v>46165</v>
      </c>
      <c r="Y1835" s="73">
        <f>IF(X1835="","",X1835-A1835)</f>
        <v/>
      </c>
      <c r="Z1835" s="18" t="n">
        <v>46165</v>
      </c>
      <c r="AA1835" s="15" t="n"/>
      <c r="AB1835" s="15" t="n"/>
      <c r="AF1835">
        <f>IF(AND($F1835="Closed",$X1835&gt;=DATE(2026,5,1),$X1835&lt;=DATE(2026,5,31)),"Closed in May","Other")</f>
        <v/>
      </c>
    </row>
    <row r="1836">
      <c r="A1836" s="37" t="n">
        <v>46143</v>
      </c>
      <c r="B1836" s="3" t="n">
        <v>2026</v>
      </c>
      <c r="C1836" s="26" t="inlineStr">
        <is>
          <t>Yanara Power</t>
        </is>
      </c>
      <c r="D1836" s="3" t="inlineStr">
        <is>
          <t>Utility and C&amp;I</t>
        </is>
      </c>
      <c r="E1836" s="3" t="n"/>
      <c r="F1836" s="3" t="inlineStr">
        <is>
          <t>Closed</t>
        </is>
      </c>
      <c r="G1836" s="9" t="inlineStr">
        <is>
          <t xml:space="preserve">Ashish Jindal </t>
        </is>
      </c>
      <c r="H1836" s="26" t="n">
        <v>9983975581</v>
      </c>
      <c r="I1836" s="38" t="inlineStr">
        <is>
          <t>PE01052601</t>
        </is>
      </c>
      <c r="J1836" s="26" t="inlineStr">
        <is>
          <t>Multiple Issues</t>
        </is>
      </c>
      <c r="K1836" s="39" t="inlineStr">
        <is>
          <t>Holi</t>
        </is>
      </c>
      <c r="L1836" s="39" t="inlineStr">
        <is>
          <t>Maharashtra</t>
        </is>
      </c>
      <c r="M1836" s="46" t="inlineStr">
        <is>
          <t>NS</t>
        </is>
      </c>
      <c r="N1836" s="3" t="inlineStr">
        <is>
          <t>Cold Soldering</t>
        </is>
      </c>
      <c r="O1836" s="56" t="n">
        <v>575</v>
      </c>
      <c r="P1836" s="46" t="inlineStr">
        <is>
          <t>NSMI24070239169</t>
        </is>
      </c>
      <c r="Q1836" s="54">
        <f>MID(P1836,5,2)</f>
        <v/>
      </c>
      <c r="R1836" s="53">
        <f>MID(P1836,7,2)</f>
        <v/>
      </c>
      <c r="S1836" s="3" t="inlineStr">
        <is>
          <t>G2G</t>
        </is>
      </c>
      <c r="T1836" s="3" t="inlineStr">
        <is>
          <t>P4</t>
        </is>
      </c>
      <c r="U1836" s="3" t="inlineStr">
        <is>
          <t>N JB Cold Soldering</t>
        </is>
      </c>
      <c r="V1836" s="3" t="inlineStr">
        <is>
          <t>Soldering</t>
        </is>
      </c>
      <c r="W1836" s="3" t="inlineStr">
        <is>
          <t>Repair</t>
        </is>
      </c>
      <c r="X1836" s="18" t="n">
        <v>46165</v>
      </c>
      <c r="Y1836" s="73">
        <f>IF(X1836="","",X1836-A1836)</f>
        <v/>
      </c>
      <c r="Z1836" s="18" t="n">
        <v>46165</v>
      </c>
      <c r="AA1836" s="15" t="n"/>
      <c r="AB1836" s="15" t="n"/>
      <c r="AF1836">
        <f>IF(AND($F1836="Closed",$X1836&gt;=DATE(2026,5,1),$X1836&lt;=DATE(2026,5,31)),"Closed in May","Other")</f>
        <v/>
      </c>
    </row>
    <row r="1837">
      <c r="A1837" s="37" t="n">
        <v>46143</v>
      </c>
      <c r="B1837" s="3" t="n">
        <v>2026</v>
      </c>
      <c r="C1837" s="26" t="inlineStr">
        <is>
          <t>Yanara Power</t>
        </is>
      </c>
      <c r="D1837" s="3" t="inlineStr">
        <is>
          <t>Utility and C&amp;I</t>
        </is>
      </c>
      <c r="E1837" s="3" t="n"/>
      <c r="F1837" s="3" t="inlineStr">
        <is>
          <t>Closed</t>
        </is>
      </c>
      <c r="G1837" s="9" t="inlineStr">
        <is>
          <t xml:space="preserve">Ashish Jindal </t>
        </is>
      </c>
      <c r="H1837" s="26" t="n">
        <v>9983975581</v>
      </c>
      <c r="I1837" s="38" t="inlineStr">
        <is>
          <t>PE01052601</t>
        </is>
      </c>
      <c r="J1837" s="26" t="inlineStr">
        <is>
          <t>Multiple Issues</t>
        </is>
      </c>
      <c r="K1837" s="39" t="inlineStr">
        <is>
          <t>Holi</t>
        </is>
      </c>
      <c r="L1837" s="39" t="inlineStr">
        <is>
          <t>Maharashtra</t>
        </is>
      </c>
      <c r="M1837" s="46" t="inlineStr">
        <is>
          <t>PS</t>
        </is>
      </c>
      <c r="N1837" s="3" t="inlineStr">
        <is>
          <t>Cold Soldering</t>
        </is>
      </c>
      <c r="O1837" s="56" t="n">
        <v>575</v>
      </c>
      <c r="P1837" s="46" t="inlineStr">
        <is>
          <t>NSMI24070232596</t>
        </is>
      </c>
      <c r="Q1837" s="54">
        <f>MID(P1837,5,2)</f>
        <v/>
      </c>
      <c r="R1837" s="53">
        <f>MID(P1837,7,2)</f>
        <v/>
      </c>
      <c r="S1837" s="3" t="inlineStr">
        <is>
          <t>G2G</t>
        </is>
      </c>
      <c r="T1837" s="3" t="inlineStr">
        <is>
          <t>P4</t>
        </is>
      </c>
      <c r="U1837" s="19" t="inlineStr">
        <is>
          <t>P JB Cold Soldering</t>
        </is>
      </c>
      <c r="V1837" s="19" t="inlineStr">
        <is>
          <t>Soldering</t>
        </is>
      </c>
      <c r="W1837" s="3" t="inlineStr">
        <is>
          <t>Repair</t>
        </is>
      </c>
      <c r="X1837" s="18" t="n">
        <v>46165</v>
      </c>
      <c r="Y1837" s="73">
        <f>IF(X1837="","",X1837-A1837)</f>
        <v/>
      </c>
      <c r="Z1837" s="18" t="n">
        <v>46165</v>
      </c>
      <c r="AA1837" s="15" t="n"/>
      <c r="AB1837" s="15" t="n"/>
      <c r="AF1837">
        <f>IF(AND($F1837="Closed",$X1837&gt;=DATE(2026,5,1),$X1837&lt;=DATE(2026,5,31)),"Closed in May","Other")</f>
        <v/>
      </c>
    </row>
    <row r="1838">
      <c r="A1838" s="37" t="n">
        <v>46143</v>
      </c>
      <c r="B1838" s="3" t="n">
        <v>2026</v>
      </c>
      <c r="C1838" s="26" t="inlineStr">
        <is>
          <t>Yanara Power</t>
        </is>
      </c>
      <c r="D1838" s="3" t="inlineStr">
        <is>
          <t>Utility and C&amp;I</t>
        </is>
      </c>
      <c r="E1838" s="3" t="n"/>
      <c r="F1838" s="3" t="inlineStr">
        <is>
          <t>Closed</t>
        </is>
      </c>
      <c r="G1838" s="9" t="inlineStr">
        <is>
          <t xml:space="preserve">Ashish Jindal </t>
        </is>
      </c>
      <c r="H1838" s="26" t="n">
        <v>9983975581</v>
      </c>
      <c r="I1838" s="38" t="inlineStr">
        <is>
          <t>PE01052601</t>
        </is>
      </c>
      <c r="J1838" s="26" t="inlineStr">
        <is>
          <t>Multiple Issues</t>
        </is>
      </c>
      <c r="K1838" s="39" t="inlineStr">
        <is>
          <t>Holi</t>
        </is>
      </c>
      <c r="L1838" s="39" t="inlineStr">
        <is>
          <t>Maharashtra</t>
        </is>
      </c>
      <c r="M1838" s="46" t="inlineStr">
        <is>
          <t>PS</t>
        </is>
      </c>
      <c r="N1838" s="3" t="inlineStr">
        <is>
          <t>Cold Soldering</t>
        </is>
      </c>
      <c r="O1838" s="56" t="n">
        <v>575</v>
      </c>
      <c r="P1838" s="46" t="inlineStr">
        <is>
          <t>NSMI24070178414</t>
        </is>
      </c>
      <c r="Q1838" s="54">
        <f>MID(P1838,5,2)</f>
        <v/>
      </c>
      <c r="R1838" s="53">
        <f>MID(P1838,7,2)</f>
        <v/>
      </c>
      <c r="S1838" s="3" t="inlineStr">
        <is>
          <t>G2G</t>
        </is>
      </c>
      <c r="T1838" s="3" t="inlineStr">
        <is>
          <t>P4</t>
        </is>
      </c>
      <c r="U1838" s="19" t="inlineStr">
        <is>
          <t>P JB Cold Soldering</t>
        </is>
      </c>
      <c r="V1838" s="19" t="inlineStr">
        <is>
          <t>Soldering</t>
        </is>
      </c>
      <c r="W1838" s="3" t="inlineStr">
        <is>
          <t>Repair</t>
        </is>
      </c>
      <c r="X1838" s="18" t="n">
        <v>46165</v>
      </c>
      <c r="Y1838" s="73">
        <f>IF(X1838="","",X1838-A1838)</f>
        <v/>
      </c>
      <c r="Z1838" s="18" t="n">
        <v>46165</v>
      </c>
      <c r="AA1838" s="15" t="n"/>
      <c r="AB1838" s="15" t="n"/>
      <c r="AF1838">
        <f>IF(AND($F1838="Closed",$X1838&gt;=DATE(2026,5,1),$X1838&lt;=DATE(2026,5,31)),"Closed in May","Other")</f>
        <v/>
      </c>
    </row>
    <row r="1839">
      <c r="A1839" s="37" t="n">
        <v>46143</v>
      </c>
      <c r="B1839" s="3" t="n">
        <v>2026</v>
      </c>
      <c r="C1839" s="26" t="inlineStr">
        <is>
          <t>Yanara Power</t>
        </is>
      </c>
      <c r="D1839" s="3" t="inlineStr">
        <is>
          <t>Utility and C&amp;I</t>
        </is>
      </c>
      <c r="E1839" s="3" t="n"/>
      <c r="F1839" s="3" t="inlineStr">
        <is>
          <t>Closed</t>
        </is>
      </c>
      <c r="G1839" s="9" t="inlineStr">
        <is>
          <t xml:space="preserve">Ashish Jindal </t>
        </is>
      </c>
      <c r="H1839" s="26" t="n">
        <v>9983975581</v>
      </c>
      <c r="I1839" s="38" t="inlineStr">
        <is>
          <t>PE01052601</t>
        </is>
      </c>
      <c r="J1839" s="26" t="inlineStr">
        <is>
          <t>Multiple Issues</t>
        </is>
      </c>
      <c r="K1839" s="39" t="inlineStr">
        <is>
          <t>Holi</t>
        </is>
      </c>
      <c r="L1839" s="39" t="inlineStr">
        <is>
          <t>Maharashtra</t>
        </is>
      </c>
      <c r="M1839" s="46" t="inlineStr">
        <is>
          <t>PS</t>
        </is>
      </c>
      <c r="N1839" s="3" t="inlineStr">
        <is>
          <t>Cold Soldering</t>
        </is>
      </c>
      <c r="O1839" s="56" t="n">
        <v>575</v>
      </c>
      <c r="P1839" s="46" t="inlineStr">
        <is>
          <t>NSMI24070179657</t>
        </is>
      </c>
      <c r="Q1839" s="54">
        <f>MID(P1839,5,2)</f>
        <v/>
      </c>
      <c r="R1839" s="53">
        <f>MID(P1839,7,2)</f>
        <v/>
      </c>
      <c r="S1839" s="3" t="inlineStr">
        <is>
          <t>G2G</t>
        </is>
      </c>
      <c r="T1839" s="3" t="inlineStr">
        <is>
          <t>P4</t>
        </is>
      </c>
      <c r="U1839" s="19" t="inlineStr">
        <is>
          <t>P JB Cold Soldering</t>
        </is>
      </c>
      <c r="V1839" s="19" t="inlineStr">
        <is>
          <t>Soldering</t>
        </is>
      </c>
      <c r="W1839" s="3" t="inlineStr">
        <is>
          <t>Repair</t>
        </is>
      </c>
      <c r="X1839" s="18" t="n">
        <v>46165</v>
      </c>
      <c r="Y1839" s="73">
        <f>IF(X1839="","",X1839-A1839)</f>
        <v/>
      </c>
      <c r="Z1839" s="18" t="n">
        <v>46165</v>
      </c>
      <c r="AA1839" s="15" t="n"/>
      <c r="AB1839" s="15" t="n"/>
      <c r="AF1839">
        <f>IF(AND($F1839="Closed",$X1839&gt;=DATE(2026,5,1),$X1839&lt;=DATE(2026,5,31)),"Closed in May","Other")</f>
        <v/>
      </c>
    </row>
    <row r="1840">
      <c r="A1840" s="37" t="n">
        <v>46143</v>
      </c>
      <c r="B1840" s="3" t="n">
        <v>2026</v>
      </c>
      <c r="C1840" s="26" t="inlineStr">
        <is>
          <t>Yanara Power</t>
        </is>
      </c>
      <c r="D1840" s="3" t="inlineStr">
        <is>
          <t>Utility and C&amp;I</t>
        </is>
      </c>
      <c r="E1840" s="3" t="n"/>
      <c r="F1840" s="3" t="inlineStr">
        <is>
          <t>Closed</t>
        </is>
      </c>
      <c r="G1840" s="9" t="inlineStr">
        <is>
          <t xml:space="preserve">Ashish Jindal </t>
        </is>
      </c>
      <c r="H1840" s="26" t="n">
        <v>9983975581</v>
      </c>
      <c r="I1840" s="38" t="inlineStr">
        <is>
          <t>PE01052601</t>
        </is>
      </c>
      <c r="J1840" s="26" t="inlineStr">
        <is>
          <t>Multiple Issues</t>
        </is>
      </c>
      <c r="K1840" s="39" t="inlineStr">
        <is>
          <t>Holi</t>
        </is>
      </c>
      <c r="L1840" s="39" t="inlineStr">
        <is>
          <t>Maharashtra</t>
        </is>
      </c>
      <c r="M1840" s="46" t="inlineStr">
        <is>
          <t>PS</t>
        </is>
      </c>
      <c r="N1840" s="3" t="inlineStr">
        <is>
          <t>Cold Soldering</t>
        </is>
      </c>
      <c r="O1840" s="56" t="n">
        <v>575</v>
      </c>
      <c r="P1840" s="46" t="inlineStr">
        <is>
          <t>NSMI24070180722</t>
        </is>
      </c>
      <c r="Q1840" s="54">
        <f>MID(P1840,5,2)</f>
        <v/>
      </c>
      <c r="R1840" s="53">
        <f>MID(P1840,7,2)</f>
        <v/>
      </c>
      <c r="S1840" s="3" t="inlineStr">
        <is>
          <t>G2G</t>
        </is>
      </c>
      <c r="T1840" s="3" t="inlineStr">
        <is>
          <t>P4</t>
        </is>
      </c>
      <c r="U1840" s="19" t="inlineStr">
        <is>
          <t>P JB Cold Soldering</t>
        </is>
      </c>
      <c r="V1840" s="19" t="inlineStr">
        <is>
          <t>Soldering</t>
        </is>
      </c>
      <c r="W1840" s="3" t="inlineStr">
        <is>
          <t>Repair</t>
        </is>
      </c>
      <c r="X1840" s="18" t="n">
        <v>46165</v>
      </c>
      <c r="Y1840" s="73">
        <f>IF(X1840="","",X1840-A1840)</f>
        <v/>
      </c>
      <c r="Z1840" s="18" t="n">
        <v>46165</v>
      </c>
      <c r="AA1840" s="15" t="n"/>
      <c r="AB1840" s="15" t="n"/>
      <c r="AF1840">
        <f>IF(AND($F1840="Closed",$X1840&gt;=DATE(2026,5,1),$X1840&lt;=DATE(2026,5,31)),"Closed in May","Other")</f>
        <v/>
      </c>
    </row>
    <row r="1841">
      <c r="A1841" s="37" t="n">
        <v>46143</v>
      </c>
      <c r="B1841" s="3" t="n">
        <v>2026</v>
      </c>
      <c r="C1841" s="26" t="inlineStr">
        <is>
          <t>Yanara Power</t>
        </is>
      </c>
      <c r="D1841" s="3" t="inlineStr">
        <is>
          <t>Utility and C&amp;I</t>
        </is>
      </c>
      <c r="E1841" s="3" t="n"/>
      <c r="F1841" s="3" t="inlineStr">
        <is>
          <t>Closed</t>
        </is>
      </c>
      <c r="G1841" s="9" t="inlineStr">
        <is>
          <t xml:space="preserve">Ashish Jindal </t>
        </is>
      </c>
      <c r="H1841" s="26" t="n">
        <v>9983975581</v>
      </c>
      <c r="I1841" s="38" t="inlineStr">
        <is>
          <t>PE01052601</t>
        </is>
      </c>
      <c r="J1841" s="26" t="inlineStr">
        <is>
          <t>Multiple Issues</t>
        </is>
      </c>
      <c r="K1841" s="39" t="inlineStr">
        <is>
          <t>Holi</t>
        </is>
      </c>
      <c r="L1841" s="39" t="inlineStr">
        <is>
          <t>Maharashtra</t>
        </is>
      </c>
      <c r="M1841" s="61" t="inlineStr">
        <is>
          <t>AS</t>
        </is>
      </c>
      <c r="N1841" s="19" t="inlineStr">
        <is>
          <t>Cold Soldering</t>
        </is>
      </c>
      <c r="O1841" s="56" t="n">
        <v>575</v>
      </c>
      <c r="P1841" s="46" t="inlineStr">
        <is>
          <t>NSMI24070179718</t>
        </is>
      </c>
      <c r="Q1841" s="54">
        <f>MID(P1841,5,2)</f>
        <v/>
      </c>
      <c r="R1841" s="53">
        <f>MID(P1841,7,2)</f>
        <v/>
      </c>
      <c r="S1841" s="3" t="inlineStr">
        <is>
          <t>G2G</t>
        </is>
      </c>
      <c r="T1841" s="3" t="inlineStr">
        <is>
          <t>P4</t>
        </is>
      </c>
      <c r="U1841" s="19" t="inlineStr">
        <is>
          <t>All JB Cold Soldering</t>
        </is>
      </c>
      <c r="V1841" s="19" t="inlineStr">
        <is>
          <t>Soldering</t>
        </is>
      </c>
      <c r="W1841" s="3" t="inlineStr">
        <is>
          <t>Repair</t>
        </is>
      </c>
      <c r="X1841" s="18" t="n">
        <v>46165</v>
      </c>
      <c r="Y1841" s="73">
        <f>IF(X1841="","",X1841-A1841)</f>
        <v/>
      </c>
      <c r="Z1841" s="18" t="n">
        <v>46165</v>
      </c>
      <c r="AA1841" s="15" t="n"/>
      <c r="AB1841" s="15" t="n"/>
      <c r="AF1841">
        <f>IF(AND($F1841="Closed",$X1841&gt;=DATE(2026,5,1),$X1841&lt;=DATE(2026,5,31)),"Closed in May","Other")</f>
        <v/>
      </c>
    </row>
    <row r="1842">
      <c r="A1842" s="37" t="n">
        <v>46143</v>
      </c>
      <c r="B1842" s="3" t="n">
        <v>2026</v>
      </c>
      <c r="C1842" s="26" t="inlineStr">
        <is>
          <t>Yanara Power</t>
        </is>
      </c>
      <c r="D1842" s="3" t="inlineStr">
        <is>
          <t>Utility and C&amp;I</t>
        </is>
      </c>
      <c r="E1842" s="3" t="n"/>
      <c r="F1842" s="3" t="inlineStr">
        <is>
          <t>Closed</t>
        </is>
      </c>
      <c r="G1842" s="9" t="inlineStr">
        <is>
          <t xml:space="preserve">Ashish Jindal </t>
        </is>
      </c>
      <c r="H1842" s="26" t="n">
        <v>9983975581</v>
      </c>
      <c r="I1842" s="38" t="inlineStr">
        <is>
          <t>PE01052601</t>
        </is>
      </c>
      <c r="J1842" s="26" t="inlineStr">
        <is>
          <t>Multiple Issues</t>
        </is>
      </c>
      <c r="K1842" s="39" t="inlineStr">
        <is>
          <t>Holi</t>
        </is>
      </c>
      <c r="L1842" s="39" t="inlineStr">
        <is>
          <t>Maharashtra</t>
        </is>
      </c>
      <c r="M1842" s="46" t="inlineStr">
        <is>
          <t>PS</t>
        </is>
      </c>
      <c r="N1842" s="3" t="inlineStr">
        <is>
          <t>Cold Soldering</t>
        </is>
      </c>
      <c r="O1842" s="56" t="n">
        <v>575</v>
      </c>
      <c r="P1842" s="46" t="inlineStr">
        <is>
          <t>NSMI24070178458</t>
        </is>
      </c>
      <c r="Q1842" s="54">
        <f>MID(P1842,5,2)</f>
        <v/>
      </c>
      <c r="R1842" s="53">
        <f>MID(P1842,7,2)</f>
        <v/>
      </c>
      <c r="S1842" s="3" t="inlineStr">
        <is>
          <t>G2G</t>
        </is>
      </c>
      <c r="T1842" s="3" t="inlineStr">
        <is>
          <t>P4</t>
        </is>
      </c>
      <c r="U1842" s="19" t="inlineStr">
        <is>
          <t>P JB Cold Soldering</t>
        </is>
      </c>
      <c r="V1842" s="19" t="inlineStr">
        <is>
          <t>Soldering</t>
        </is>
      </c>
      <c r="W1842" s="3" t="inlineStr">
        <is>
          <t>Repair</t>
        </is>
      </c>
      <c r="X1842" s="18" t="n">
        <v>46165</v>
      </c>
      <c r="Y1842" s="73">
        <f>IF(X1842="","",X1842-A1842)</f>
        <v/>
      </c>
      <c r="Z1842" s="18" t="n">
        <v>46165</v>
      </c>
      <c r="AA1842" s="15" t="n"/>
      <c r="AB1842" s="15" t="n"/>
      <c r="AF1842">
        <f>IF(AND($F1842="Closed",$X1842&gt;=DATE(2026,5,1),$X1842&lt;=DATE(2026,5,31)),"Closed in May","Other")</f>
        <v/>
      </c>
    </row>
    <row r="1843">
      <c r="A1843" s="37" t="n">
        <v>46143</v>
      </c>
      <c r="B1843" s="3" t="n">
        <v>2026</v>
      </c>
      <c r="C1843" s="26" t="inlineStr">
        <is>
          <t>Yanara Power</t>
        </is>
      </c>
      <c r="D1843" s="3" t="inlineStr">
        <is>
          <t>Utility and C&amp;I</t>
        </is>
      </c>
      <c r="E1843" s="3" t="n"/>
      <c r="F1843" s="3" t="inlineStr">
        <is>
          <t>Closed</t>
        </is>
      </c>
      <c r="G1843" s="9" t="inlineStr">
        <is>
          <t xml:space="preserve">Ashish Jindal </t>
        </is>
      </c>
      <c r="H1843" s="26" t="n">
        <v>9983975581</v>
      </c>
      <c r="I1843" s="38" t="inlineStr">
        <is>
          <t>PE01052601</t>
        </is>
      </c>
      <c r="J1843" s="26" t="inlineStr">
        <is>
          <t>Multiple Issues</t>
        </is>
      </c>
      <c r="K1843" s="39" t="inlineStr">
        <is>
          <t>Holi</t>
        </is>
      </c>
      <c r="L1843" s="39" t="inlineStr">
        <is>
          <t>Maharashtra</t>
        </is>
      </c>
      <c r="M1843" s="46" t="inlineStr">
        <is>
          <t>PS</t>
        </is>
      </c>
      <c r="N1843" s="3" t="inlineStr">
        <is>
          <t>Cold Soldering</t>
        </is>
      </c>
      <c r="O1843" s="56" t="n">
        <v>575</v>
      </c>
      <c r="P1843" s="46" t="inlineStr">
        <is>
          <t>NSMI24070182444</t>
        </is>
      </c>
      <c r="Q1843" s="54">
        <f>MID(P1843,5,2)</f>
        <v/>
      </c>
      <c r="R1843" s="53">
        <f>MID(P1843,7,2)</f>
        <v/>
      </c>
      <c r="S1843" s="3" t="inlineStr">
        <is>
          <t>G2G</t>
        </is>
      </c>
      <c r="T1843" s="3" t="inlineStr">
        <is>
          <t>P4</t>
        </is>
      </c>
      <c r="U1843" s="19" t="inlineStr">
        <is>
          <t>P JB Cold Soldering</t>
        </is>
      </c>
      <c r="V1843" s="19" t="inlineStr">
        <is>
          <t>Soldering</t>
        </is>
      </c>
      <c r="W1843" s="3" t="inlineStr">
        <is>
          <t>Repair</t>
        </is>
      </c>
      <c r="X1843" s="18" t="n">
        <v>46165</v>
      </c>
      <c r="Y1843" s="73">
        <f>IF(X1843="","",X1843-A1843)</f>
        <v/>
      </c>
      <c r="Z1843" s="18" t="n">
        <v>46165</v>
      </c>
      <c r="AA1843" s="15" t="n"/>
      <c r="AB1843" s="15" t="n"/>
      <c r="AF1843">
        <f>IF(AND($F1843="Closed",$X1843&gt;=DATE(2026,5,1),$X1843&lt;=DATE(2026,5,31)),"Closed in May","Other")</f>
        <v/>
      </c>
    </row>
    <row r="1844">
      <c r="A1844" s="37" t="n">
        <v>46143</v>
      </c>
      <c r="B1844" s="3" t="n">
        <v>2026</v>
      </c>
      <c r="C1844" s="26" t="inlineStr">
        <is>
          <t>Yanara Power</t>
        </is>
      </c>
      <c r="D1844" s="3" t="inlineStr">
        <is>
          <t>Utility and C&amp;I</t>
        </is>
      </c>
      <c r="E1844" s="3" t="n"/>
      <c r="F1844" s="3" t="inlineStr">
        <is>
          <t>Closed</t>
        </is>
      </c>
      <c r="G1844" s="9" t="inlineStr">
        <is>
          <t xml:space="preserve">Ashish Jindal </t>
        </is>
      </c>
      <c r="H1844" s="26" t="n">
        <v>9983975581</v>
      </c>
      <c r="I1844" s="38" t="inlineStr">
        <is>
          <t>PE01052601</t>
        </is>
      </c>
      <c r="J1844" s="26" t="inlineStr">
        <is>
          <t>Multiple Issues</t>
        </is>
      </c>
      <c r="K1844" s="39" t="inlineStr">
        <is>
          <t>Holi</t>
        </is>
      </c>
      <c r="L1844" s="39" t="inlineStr">
        <is>
          <t>Maharashtra</t>
        </is>
      </c>
      <c r="M1844" s="46" t="inlineStr">
        <is>
          <t>PS</t>
        </is>
      </c>
      <c r="N1844" s="3" t="inlineStr">
        <is>
          <t>Cold Soldering</t>
        </is>
      </c>
      <c r="O1844" s="56" t="n">
        <v>575</v>
      </c>
      <c r="P1844" s="46" t="inlineStr">
        <is>
          <t>NSMI24070182486</t>
        </is>
      </c>
      <c r="Q1844" s="54">
        <f>MID(P1844,5,2)</f>
        <v/>
      </c>
      <c r="R1844" s="53">
        <f>MID(P1844,7,2)</f>
        <v/>
      </c>
      <c r="S1844" s="3" t="inlineStr">
        <is>
          <t>G2G</t>
        </is>
      </c>
      <c r="T1844" s="3" t="inlineStr">
        <is>
          <t>P4</t>
        </is>
      </c>
      <c r="U1844" s="19" t="inlineStr">
        <is>
          <t>P JB Cold Soldering</t>
        </is>
      </c>
      <c r="V1844" s="19" t="inlineStr">
        <is>
          <t>Soldering</t>
        </is>
      </c>
      <c r="W1844" s="3" t="inlineStr">
        <is>
          <t>Repair</t>
        </is>
      </c>
      <c r="X1844" s="18" t="n">
        <v>46165</v>
      </c>
      <c r="Y1844" s="73">
        <f>IF(X1844="","",X1844-A1844)</f>
        <v/>
      </c>
      <c r="Z1844" s="18" t="n">
        <v>46165</v>
      </c>
      <c r="AA1844" s="15" t="n"/>
      <c r="AB1844" s="15" t="n"/>
      <c r="AF1844">
        <f>IF(AND($F1844="Closed",$X1844&gt;=DATE(2026,5,1),$X1844&lt;=DATE(2026,5,31)),"Closed in May","Other")</f>
        <v/>
      </c>
    </row>
    <row r="1845">
      <c r="A1845" s="37" t="n">
        <v>46143</v>
      </c>
      <c r="B1845" s="3" t="n">
        <v>2026</v>
      </c>
      <c r="C1845" s="26" t="inlineStr">
        <is>
          <t>Yanara Power</t>
        </is>
      </c>
      <c r="D1845" s="3" t="inlineStr">
        <is>
          <t>Utility and C&amp;I</t>
        </is>
      </c>
      <c r="E1845" s="3" t="n"/>
      <c r="F1845" s="3" t="inlineStr">
        <is>
          <t>Closed</t>
        </is>
      </c>
      <c r="G1845" s="9" t="inlineStr">
        <is>
          <t xml:space="preserve">Ashish Jindal </t>
        </is>
      </c>
      <c r="H1845" s="26" t="n">
        <v>9983975581</v>
      </c>
      <c r="I1845" s="38" t="inlineStr">
        <is>
          <t>PE01052601</t>
        </is>
      </c>
      <c r="J1845" s="26" t="inlineStr">
        <is>
          <t>Multiple Issues</t>
        </is>
      </c>
      <c r="K1845" s="39" t="inlineStr">
        <is>
          <t>Holi</t>
        </is>
      </c>
      <c r="L1845" s="39" t="inlineStr">
        <is>
          <t>Maharashtra</t>
        </is>
      </c>
      <c r="M1845" s="46" t="inlineStr">
        <is>
          <t>PS</t>
        </is>
      </c>
      <c r="N1845" s="3" t="inlineStr">
        <is>
          <t>Cold Soldering</t>
        </is>
      </c>
      <c r="O1845" s="56" t="n">
        <v>575</v>
      </c>
      <c r="P1845" s="46" t="inlineStr">
        <is>
          <t>NSMI24070178720</t>
        </is>
      </c>
      <c r="Q1845" s="54">
        <f>MID(P1845,5,2)</f>
        <v/>
      </c>
      <c r="R1845" s="53">
        <f>MID(P1845,7,2)</f>
        <v/>
      </c>
      <c r="S1845" s="3" t="inlineStr">
        <is>
          <t>G2G</t>
        </is>
      </c>
      <c r="T1845" s="3" t="inlineStr">
        <is>
          <t>P4</t>
        </is>
      </c>
      <c r="U1845" s="19" t="inlineStr">
        <is>
          <t>P JB Cold Soldering</t>
        </is>
      </c>
      <c r="V1845" s="19" t="inlineStr">
        <is>
          <t>Soldering</t>
        </is>
      </c>
      <c r="W1845" s="3" t="inlineStr">
        <is>
          <t>Repair</t>
        </is>
      </c>
      <c r="X1845" s="18" t="n">
        <v>46165</v>
      </c>
      <c r="Y1845" s="73">
        <f>IF(X1845="","",X1845-A1845)</f>
        <v/>
      </c>
      <c r="Z1845" s="18" t="n">
        <v>46165</v>
      </c>
      <c r="AA1845" s="15" t="n"/>
      <c r="AB1845" s="15" t="n"/>
      <c r="AF1845">
        <f>IF(AND($F1845="Closed",$X1845&gt;=DATE(2026,5,1),$X1845&lt;=DATE(2026,5,31)),"Closed in May","Other")</f>
        <v/>
      </c>
    </row>
    <row r="1846">
      <c r="A1846" s="37" t="n">
        <v>46143</v>
      </c>
      <c r="B1846" s="3" t="n">
        <v>2026</v>
      </c>
      <c r="C1846" s="26" t="inlineStr">
        <is>
          <t>Yanara Power</t>
        </is>
      </c>
      <c r="D1846" s="3" t="inlineStr">
        <is>
          <t>Utility and C&amp;I</t>
        </is>
      </c>
      <c r="E1846" s="3" t="n"/>
      <c r="F1846" s="3" t="inlineStr">
        <is>
          <t>Closed</t>
        </is>
      </c>
      <c r="G1846" s="9" t="inlineStr">
        <is>
          <t xml:space="preserve">Ashish Jindal </t>
        </is>
      </c>
      <c r="H1846" s="26" t="n">
        <v>9983975581</v>
      </c>
      <c r="I1846" s="38" t="inlineStr">
        <is>
          <t>PE01052601</t>
        </is>
      </c>
      <c r="J1846" s="26" t="inlineStr">
        <is>
          <t>Multiple Issues</t>
        </is>
      </c>
      <c r="K1846" s="39" t="inlineStr">
        <is>
          <t>Holi</t>
        </is>
      </c>
      <c r="L1846" s="39" t="inlineStr">
        <is>
          <t>Maharashtra</t>
        </is>
      </c>
      <c r="M1846" s="46" t="inlineStr">
        <is>
          <t>PS</t>
        </is>
      </c>
      <c r="N1846" s="3" t="inlineStr">
        <is>
          <t>Cold Soldering</t>
        </is>
      </c>
      <c r="O1846" s="56" t="n">
        <v>575</v>
      </c>
      <c r="P1846" s="46" t="inlineStr">
        <is>
          <t>NSMI24070179660</t>
        </is>
      </c>
      <c r="Q1846" s="54">
        <f>MID(P1846,5,2)</f>
        <v/>
      </c>
      <c r="R1846" s="53">
        <f>MID(P1846,7,2)</f>
        <v/>
      </c>
      <c r="S1846" s="3" t="inlineStr">
        <is>
          <t>G2G</t>
        </is>
      </c>
      <c r="T1846" s="3" t="inlineStr">
        <is>
          <t>P4</t>
        </is>
      </c>
      <c r="U1846" s="19" t="inlineStr">
        <is>
          <t>P JB Cold Soldering</t>
        </is>
      </c>
      <c r="V1846" s="19" t="inlineStr">
        <is>
          <t>Soldering</t>
        </is>
      </c>
      <c r="W1846" s="3" t="inlineStr">
        <is>
          <t>Repair</t>
        </is>
      </c>
      <c r="X1846" s="18" t="n">
        <v>46165</v>
      </c>
      <c r="Y1846" s="73">
        <f>IF(X1846="","",X1846-A1846)</f>
        <v/>
      </c>
      <c r="Z1846" s="18" t="n">
        <v>46165</v>
      </c>
      <c r="AA1846" s="15" t="n"/>
      <c r="AB1846" s="15" t="n"/>
      <c r="AF1846">
        <f>IF(AND($F1846="Closed",$X1846&gt;=DATE(2026,5,1),$X1846&lt;=DATE(2026,5,31)),"Closed in May","Other")</f>
        <v/>
      </c>
    </row>
    <row r="1847">
      <c r="A1847" s="37" t="n">
        <v>46143</v>
      </c>
      <c r="B1847" s="3" t="n">
        <v>2026</v>
      </c>
      <c r="C1847" s="26" t="inlineStr">
        <is>
          <t>Yanara Power</t>
        </is>
      </c>
      <c r="D1847" s="3" t="inlineStr">
        <is>
          <t>Utility and C&amp;I</t>
        </is>
      </c>
      <c r="E1847" s="3" t="n"/>
      <c r="F1847" s="3" t="inlineStr">
        <is>
          <t>Closed</t>
        </is>
      </c>
      <c r="G1847" s="9" t="inlineStr">
        <is>
          <t xml:space="preserve">Ashish Jindal </t>
        </is>
      </c>
      <c r="H1847" s="26" t="n">
        <v>9983975581</v>
      </c>
      <c r="I1847" s="38" t="inlineStr">
        <is>
          <t>PE01052601</t>
        </is>
      </c>
      <c r="J1847" s="26" t="inlineStr">
        <is>
          <t>Multiple Issues</t>
        </is>
      </c>
      <c r="K1847" s="39" t="inlineStr">
        <is>
          <t>Holi</t>
        </is>
      </c>
      <c r="L1847" s="39" t="inlineStr">
        <is>
          <t>Maharashtra</t>
        </is>
      </c>
      <c r="M1847" s="46" t="inlineStr">
        <is>
          <t>NS</t>
        </is>
      </c>
      <c r="N1847" s="3" t="inlineStr">
        <is>
          <t>Cold Soldering</t>
        </is>
      </c>
      <c r="O1847" s="56" t="n">
        <v>575</v>
      </c>
      <c r="P1847" s="46" t="inlineStr">
        <is>
          <t>NSMI24070179663</t>
        </is>
      </c>
      <c r="Q1847" s="54">
        <f>MID(P1847,5,2)</f>
        <v/>
      </c>
      <c r="R1847" s="53">
        <f>MID(P1847,7,2)</f>
        <v/>
      </c>
      <c r="S1847" s="3" t="inlineStr">
        <is>
          <t>G2G</t>
        </is>
      </c>
      <c r="T1847" s="3" t="inlineStr">
        <is>
          <t>P4</t>
        </is>
      </c>
      <c r="U1847" s="3" t="inlineStr">
        <is>
          <t>N JB Cold Soldering</t>
        </is>
      </c>
      <c r="V1847" s="3" t="inlineStr">
        <is>
          <t>Soldering</t>
        </is>
      </c>
      <c r="W1847" s="3" t="inlineStr">
        <is>
          <t>Repair</t>
        </is>
      </c>
      <c r="X1847" s="18" t="n">
        <v>46165</v>
      </c>
      <c r="Y1847" s="73">
        <f>IF(X1847="","",X1847-A1847)</f>
        <v/>
      </c>
      <c r="Z1847" s="18" t="n">
        <v>46165</v>
      </c>
      <c r="AA1847" s="15" t="n"/>
      <c r="AB1847" s="15" t="n"/>
      <c r="AF1847">
        <f>IF(AND($F1847="Closed",$X1847&gt;=DATE(2026,5,1),$X1847&lt;=DATE(2026,5,31)),"Closed in May","Other")</f>
        <v/>
      </c>
    </row>
    <row r="1848">
      <c r="A1848" s="37" t="n">
        <v>46143</v>
      </c>
      <c r="B1848" s="3" t="n">
        <v>2026</v>
      </c>
      <c r="C1848" s="26" t="inlineStr">
        <is>
          <t>Yanara Power</t>
        </is>
      </c>
      <c r="D1848" s="3" t="inlineStr">
        <is>
          <t>Utility and C&amp;I</t>
        </is>
      </c>
      <c r="E1848" s="3" t="n"/>
      <c r="F1848" s="3" t="inlineStr">
        <is>
          <t>Closed</t>
        </is>
      </c>
      <c r="G1848" s="9" t="inlineStr">
        <is>
          <t xml:space="preserve">Ashish Jindal </t>
        </is>
      </c>
      <c r="H1848" s="26" t="n">
        <v>9983975581</v>
      </c>
      <c r="I1848" s="38" t="inlineStr">
        <is>
          <t>PE01052601</t>
        </is>
      </c>
      <c r="J1848" s="26" t="inlineStr">
        <is>
          <t>Multiple Issues</t>
        </is>
      </c>
      <c r="K1848" s="39" t="inlineStr">
        <is>
          <t>Holi</t>
        </is>
      </c>
      <c r="L1848" s="39" t="inlineStr">
        <is>
          <t>Maharashtra</t>
        </is>
      </c>
      <c r="M1848" s="46" t="inlineStr">
        <is>
          <t>NS</t>
        </is>
      </c>
      <c r="N1848" s="3" t="inlineStr">
        <is>
          <t>Cold Soldering</t>
        </is>
      </c>
      <c r="O1848" s="56" t="n">
        <v>575</v>
      </c>
      <c r="P1848" s="46" t="inlineStr">
        <is>
          <t>NSMI24070198013</t>
        </is>
      </c>
      <c r="Q1848" s="54">
        <f>MID(P1848,5,2)</f>
        <v/>
      </c>
      <c r="R1848" s="53">
        <f>MID(P1848,7,2)</f>
        <v/>
      </c>
      <c r="S1848" s="3" t="inlineStr">
        <is>
          <t>G2G</t>
        </is>
      </c>
      <c r="T1848" s="3" t="inlineStr">
        <is>
          <t>P4</t>
        </is>
      </c>
      <c r="U1848" s="3" t="inlineStr">
        <is>
          <t>N JB Cold Soldering</t>
        </is>
      </c>
      <c r="V1848" s="3" t="inlineStr">
        <is>
          <t>Soldering</t>
        </is>
      </c>
      <c r="W1848" s="3" t="inlineStr">
        <is>
          <t>Repair</t>
        </is>
      </c>
      <c r="X1848" s="18" t="n">
        <v>46165</v>
      </c>
      <c r="Y1848" s="73">
        <f>IF(X1848="","",X1848-A1848)</f>
        <v/>
      </c>
      <c r="Z1848" s="18" t="n">
        <v>46165</v>
      </c>
      <c r="AA1848" s="15" t="n"/>
      <c r="AB1848" s="15" t="n"/>
      <c r="AF1848">
        <f>IF(AND($F1848="Closed",$X1848&gt;=DATE(2026,5,1),$X1848&lt;=DATE(2026,5,31)),"Closed in May","Other")</f>
        <v/>
      </c>
    </row>
    <row r="1849">
      <c r="A1849" s="37" t="n">
        <v>46143</v>
      </c>
      <c r="B1849" s="3" t="n">
        <v>2026</v>
      </c>
      <c r="C1849" s="26" t="inlineStr">
        <is>
          <t>Yanara Power</t>
        </is>
      </c>
      <c r="D1849" s="3" t="inlineStr">
        <is>
          <t>Utility and C&amp;I</t>
        </is>
      </c>
      <c r="E1849" s="3" t="n"/>
      <c r="F1849" s="3" t="inlineStr">
        <is>
          <t>Closed</t>
        </is>
      </c>
      <c r="G1849" s="9" t="inlineStr">
        <is>
          <t xml:space="preserve">Ashish Jindal </t>
        </is>
      </c>
      <c r="H1849" s="26" t="n">
        <v>9983975581</v>
      </c>
      <c r="I1849" s="38" t="inlineStr">
        <is>
          <t>PE01052601</t>
        </is>
      </c>
      <c r="J1849" s="26" t="inlineStr">
        <is>
          <t>Multiple Issues</t>
        </is>
      </c>
      <c r="K1849" s="39" t="inlineStr">
        <is>
          <t>Holi</t>
        </is>
      </c>
      <c r="L1849" s="39" t="inlineStr">
        <is>
          <t>Maharashtra</t>
        </is>
      </c>
      <c r="M1849" s="46" t="inlineStr">
        <is>
          <t>PS</t>
        </is>
      </c>
      <c r="N1849" s="3" t="inlineStr">
        <is>
          <t>Cold Soldering</t>
        </is>
      </c>
      <c r="O1849" s="56" t="n">
        <v>575</v>
      </c>
      <c r="P1849" s="46" t="inlineStr">
        <is>
          <t>NSMI24070177876</t>
        </is>
      </c>
      <c r="Q1849" s="54">
        <f>MID(P1849,5,2)</f>
        <v/>
      </c>
      <c r="R1849" s="53">
        <f>MID(P1849,7,2)</f>
        <v/>
      </c>
      <c r="S1849" s="3" t="inlineStr">
        <is>
          <t>G2G</t>
        </is>
      </c>
      <c r="T1849" s="3" t="inlineStr">
        <is>
          <t>P4</t>
        </is>
      </c>
      <c r="U1849" s="19" t="inlineStr">
        <is>
          <t>P JB Cold Soldering</t>
        </is>
      </c>
      <c r="V1849" s="19" t="inlineStr">
        <is>
          <t>Soldering</t>
        </is>
      </c>
      <c r="W1849" s="3" t="inlineStr">
        <is>
          <t>Repair</t>
        </is>
      </c>
      <c r="X1849" s="18" t="n">
        <v>46165</v>
      </c>
      <c r="Y1849" s="73">
        <f>IF(X1849="","",X1849-A1849)</f>
        <v/>
      </c>
      <c r="Z1849" s="18" t="n">
        <v>46165</v>
      </c>
      <c r="AA1849" s="15" t="n"/>
      <c r="AB1849" s="15" t="n"/>
      <c r="AF1849">
        <f>IF(AND($F1849="Closed",$X1849&gt;=DATE(2026,5,1),$X1849&lt;=DATE(2026,5,31)),"Closed in May","Other")</f>
        <v/>
      </c>
    </row>
    <row r="1850">
      <c r="A1850" s="37" t="n">
        <v>46143</v>
      </c>
      <c r="B1850" s="3" t="n">
        <v>2026</v>
      </c>
      <c r="C1850" s="26" t="inlineStr">
        <is>
          <t>Yanara Power</t>
        </is>
      </c>
      <c r="D1850" s="3" t="inlineStr">
        <is>
          <t>Utility and C&amp;I</t>
        </is>
      </c>
      <c r="E1850" s="3" t="n"/>
      <c r="F1850" s="3" t="inlineStr">
        <is>
          <t>Closed</t>
        </is>
      </c>
      <c r="G1850" s="9" t="inlineStr">
        <is>
          <t xml:space="preserve">Ashish Jindal </t>
        </is>
      </c>
      <c r="H1850" s="26" t="n">
        <v>9983975581</v>
      </c>
      <c r="I1850" s="38" t="inlineStr">
        <is>
          <t>PE01052601</t>
        </is>
      </c>
      <c r="J1850" s="26" t="inlineStr">
        <is>
          <t>Multiple Issues</t>
        </is>
      </c>
      <c r="K1850" s="39" t="inlineStr">
        <is>
          <t>Holi</t>
        </is>
      </c>
      <c r="L1850" s="39" t="inlineStr">
        <is>
          <t>Maharashtra</t>
        </is>
      </c>
      <c r="M1850" s="46" t="inlineStr">
        <is>
          <t>PS</t>
        </is>
      </c>
      <c r="N1850" s="3" t="inlineStr">
        <is>
          <t>Cold Soldering</t>
        </is>
      </c>
      <c r="O1850" s="56" t="n">
        <v>575</v>
      </c>
      <c r="P1850" s="46" t="inlineStr">
        <is>
          <t>NSMI24070180666</t>
        </is>
      </c>
      <c r="Q1850" s="54">
        <f>MID(P1850,5,2)</f>
        <v/>
      </c>
      <c r="R1850" s="53">
        <f>MID(P1850,7,2)</f>
        <v/>
      </c>
      <c r="S1850" s="3" t="inlineStr">
        <is>
          <t>G2G</t>
        </is>
      </c>
      <c r="T1850" s="3" t="inlineStr">
        <is>
          <t>P4</t>
        </is>
      </c>
      <c r="U1850" s="19" t="inlineStr">
        <is>
          <t>P JB Cold Soldering</t>
        </is>
      </c>
      <c r="V1850" s="19" t="inlineStr">
        <is>
          <t>Soldering</t>
        </is>
      </c>
      <c r="W1850" s="3" t="inlineStr">
        <is>
          <t>Repair</t>
        </is>
      </c>
      <c r="X1850" s="18" t="n">
        <v>46165</v>
      </c>
      <c r="Y1850" s="73">
        <f>IF(X1850="","",X1850-A1850)</f>
        <v/>
      </c>
      <c r="Z1850" s="18" t="n">
        <v>46165</v>
      </c>
      <c r="AA1850" s="15" t="n"/>
      <c r="AB1850" s="15" t="n"/>
      <c r="AF1850">
        <f>IF(AND($F1850="Closed",$X1850&gt;=DATE(2026,5,1),$X1850&lt;=DATE(2026,5,31)),"Closed in May","Other")</f>
        <v/>
      </c>
    </row>
    <row r="1851">
      <c r="A1851" s="37" t="n">
        <v>46143</v>
      </c>
      <c r="B1851" s="3" t="n">
        <v>2026</v>
      </c>
      <c r="C1851" s="26" t="inlineStr">
        <is>
          <t>Yanara Power</t>
        </is>
      </c>
      <c r="D1851" s="3" t="inlineStr">
        <is>
          <t>Utility and C&amp;I</t>
        </is>
      </c>
      <c r="E1851" s="3" t="n"/>
      <c r="F1851" s="3" t="inlineStr">
        <is>
          <t>Closed</t>
        </is>
      </c>
      <c r="G1851" s="9" t="inlineStr">
        <is>
          <t xml:space="preserve">Ashish Jindal </t>
        </is>
      </c>
      <c r="H1851" s="26" t="n">
        <v>9983975581</v>
      </c>
      <c r="I1851" s="38" t="inlineStr">
        <is>
          <t>PE01052601</t>
        </is>
      </c>
      <c r="J1851" s="26" t="inlineStr">
        <is>
          <t>Multiple Issues</t>
        </is>
      </c>
      <c r="K1851" s="39" t="inlineStr">
        <is>
          <t>Holi</t>
        </is>
      </c>
      <c r="L1851" s="39" t="inlineStr">
        <is>
          <t>Maharashtra</t>
        </is>
      </c>
      <c r="M1851" s="46" t="inlineStr">
        <is>
          <t>PS</t>
        </is>
      </c>
      <c r="N1851" s="3" t="inlineStr">
        <is>
          <t>Cold Soldering</t>
        </is>
      </c>
      <c r="O1851" s="56" t="n">
        <v>575</v>
      </c>
      <c r="P1851" s="46" t="inlineStr">
        <is>
          <t>NSMI24070179617</t>
        </is>
      </c>
      <c r="Q1851" s="54">
        <f>MID(P1851,5,2)</f>
        <v/>
      </c>
      <c r="R1851" s="53">
        <f>MID(P1851,7,2)</f>
        <v/>
      </c>
      <c r="S1851" s="3" t="inlineStr">
        <is>
          <t>G2G</t>
        </is>
      </c>
      <c r="T1851" s="3" t="inlineStr">
        <is>
          <t>P4</t>
        </is>
      </c>
      <c r="U1851" s="19" t="inlineStr">
        <is>
          <t>P JB Cold Soldering</t>
        </is>
      </c>
      <c r="V1851" s="19" t="inlineStr">
        <is>
          <t>Soldering</t>
        </is>
      </c>
      <c r="W1851" s="3" t="inlineStr">
        <is>
          <t>Repair</t>
        </is>
      </c>
      <c r="X1851" s="18" t="n">
        <v>46165</v>
      </c>
      <c r="Y1851" s="73">
        <f>IF(X1851="","",X1851-A1851)</f>
        <v/>
      </c>
      <c r="Z1851" s="18" t="n">
        <v>46165</v>
      </c>
      <c r="AA1851" s="15" t="n"/>
      <c r="AB1851" s="15" t="n"/>
      <c r="AF1851">
        <f>IF(AND($F1851="Closed",$X1851&gt;=DATE(2026,5,1),$X1851&lt;=DATE(2026,5,31)),"Closed in May","Other")</f>
        <v/>
      </c>
    </row>
    <row r="1852">
      <c r="A1852" s="37" t="n">
        <v>46143</v>
      </c>
      <c r="B1852" s="3" t="n">
        <v>2026</v>
      </c>
      <c r="C1852" s="26" t="inlineStr">
        <is>
          <t>Yanara Power</t>
        </is>
      </c>
      <c r="D1852" s="3" t="inlineStr">
        <is>
          <t>Utility and C&amp;I</t>
        </is>
      </c>
      <c r="E1852" s="3" t="n"/>
      <c r="F1852" s="3" t="inlineStr">
        <is>
          <t>Closed</t>
        </is>
      </c>
      <c r="G1852" s="9" t="inlineStr">
        <is>
          <t xml:space="preserve">Ashish Jindal </t>
        </is>
      </c>
      <c r="H1852" s="26" t="n">
        <v>9983975581</v>
      </c>
      <c r="I1852" s="38" t="inlineStr">
        <is>
          <t>PE01052601</t>
        </is>
      </c>
      <c r="J1852" s="26" t="inlineStr">
        <is>
          <t>Multiple Issues</t>
        </is>
      </c>
      <c r="K1852" s="39" t="inlineStr">
        <is>
          <t>Holi</t>
        </is>
      </c>
      <c r="L1852" s="39" t="inlineStr">
        <is>
          <t>Maharashtra</t>
        </is>
      </c>
      <c r="M1852" s="46" t="inlineStr">
        <is>
          <t>PS</t>
        </is>
      </c>
      <c r="N1852" s="3" t="inlineStr">
        <is>
          <t>Cold Soldering</t>
        </is>
      </c>
      <c r="O1852" s="56" t="n">
        <v>575</v>
      </c>
      <c r="P1852" s="46" t="inlineStr">
        <is>
          <t>NSMI24070198871</t>
        </is>
      </c>
      <c r="Q1852" s="54">
        <f>MID(P1852,5,2)</f>
        <v/>
      </c>
      <c r="R1852" s="53">
        <f>MID(P1852,7,2)</f>
        <v/>
      </c>
      <c r="S1852" s="3" t="inlineStr">
        <is>
          <t>G2G</t>
        </is>
      </c>
      <c r="T1852" s="3" t="inlineStr">
        <is>
          <t>P4</t>
        </is>
      </c>
      <c r="U1852" s="19" t="inlineStr">
        <is>
          <t>P JB Cold Soldering</t>
        </is>
      </c>
      <c r="V1852" s="19" t="inlineStr">
        <is>
          <t>Soldering</t>
        </is>
      </c>
      <c r="W1852" s="3" t="inlineStr">
        <is>
          <t>Repair</t>
        </is>
      </c>
      <c r="X1852" s="18" t="n">
        <v>46165</v>
      </c>
      <c r="Y1852" s="73">
        <f>IF(X1852="","",X1852-A1852)</f>
        <v/>
      </c>
      <c r="Z1852" s="18" t="n">
        <v>46165</v>
      </c>
      <c r="AA1852" s="15" t="n"/>
      <c r="AB1852" s="15" t="n"/>
      <c r="AF1852">
        <f>IF(AND($F1852="Closed",$X1852&gt;=DATE(2026,5,1),$X1852&lt;=DATE(2026,5,31)),"Closed in May","Other")</f>
        <v/>
      </c>
    </row>
    <row r="1853">
      <c r="A1853" s="37" t="n">
        <v>46143</v>
      </c>
      <c r="B1853" s="3" t="n">
        <v>2026</v>
      </c>
      <c r="C1853" s="26" t="inlineStr">
        <is>
          <t>Yanara Power</t>
        </is>
      </c>
      <c r="D1853" s="3" t="inlineStr">
        <is>
          <t>Utility and C&amp;I</t>
        </is>
      </c>
      <c r="E1853" s="3" t="n"/>
      <c r="F1853" s="3" t="inlineStr">
        <is>
          <t>Closed</t>
        </is>
      </c>
      <c r="G1853" s="9" t="inlineStr">
        <is>
          <t xml:space="preserve">Ashish Jindal </t>
        </is>
      </c>
      <c r="H1853" s="26" t="n">
        <v>9983975581</v>
      </c>
      <c r="I1853" s="38" t="inlineStr">
        <is>
          <t>PE01052601</t>
        </is>
      </c>
      <c r="J1853" s="26" t="inlineStr">
        <is>
          <t>Multiple Issues</t>
        </is>
      </c>
      <c r="K1853" s="39" t="inlineStr">
        <is>
          <t>Holi</t>
        </is>
      </c>
      <c r="L1853" s="39" t="inlineStr">
        <is>
          <t>Maharashtra</t>
        </is>
      </c>
      <c r="M1853" s="46" t="inlineStr">
        <is>
          <t>NS</t>
        </is>
      </c>
      <c r="N1853" s="3" t="inlineStr">
        <is>
          <t>Cold Soldering</t>
        </is>
      </c>
      <c r="O1853" s="56" t="n">
        <v>575</v>
      </c>
      <c r="P1853" s="46" t="inlineStr">
        <is>
          <t>NSMI24070198838</t>
        </is>
      </c>
      <c r="Q1853" s="54">
        <f>MID(P1853,5,2)</f>
        <v/>
      </c>
      <c r="R1853" s="53">
        <f>MID(P1853,7,2)</f>
        <v/>
      </c>
      <c r="S1853" s="3" t="inlineStr">
        <is>
          <t>G2G</t>
        </is>
      </c>
      <c r="T1853" s="3" t="inlineStr">
        <is>
          <t>P4</t>
        </is>
      </c>
      <c r="U1853" s="3" t="inlineStr">
        <is>
          <t>N JB Cold Soldering</t>
        </is>
      </c>
      <c r="V1853" s="3" t="inlineStr">
        <is>
          <t>Soldering</t>
        </is>
      </c>
      <c r="W1853" s="3" t="inlineStr">
        <is>
          <t>Repair</t>
        </is>
      </c>
      <c r="X1853" s="18" t="n">
        <v>46165</v>
      </c>
      <c r="Y1853" s="73">
        <f>IF(X1853="","",X1853-A1853)</f>
        <v/>
      </c>
      <c r="Z1853" s="18" t="n">
        <v>46165</v>
      </c>
      <c r="AA1853" s="15" t="n"/>
      <c r="AB1853" s="15" t="n"/>
      <c r="AF1853">
        <f>IF(AND($F1853="Closed",$X1853&gt;=DATE(2026,5,1),$X1853&lt;=DATE(2026,5,31)),"Closed in May","Other")</f>
        <v/>
      </c>
    </row>
    <row r="1854">
      <c r="A1854" s="37" t="n">
        <v>46143</v>
      </c>
      <c r="B1854" s="3" t="n">
        <v>2026</v>
      </c>
      <c r="C1854" s="26" t="inlineStr">
        <is>
          <t>Yanara Power</t>
        </is>
      </c>
      <c r="D1854" s="3" t="inlineStr">
        <is>
          <t>Utility and C&amp;I</t>
        </is>
      </c>
      <c r="E1854" s="3" t="n"/>
      <c r="F1854" s="3" t="inlineStr">
        <is>
          <t>Closed</t>
        </is>
      </c>
      <c r="G1854" s="9" t="inlineStr">
        <is>
          <t xml:space="preserve">Ashish Jindal </t>
        </is>
      </c>
      <c r="H1854" s="26" t="n">
        <v>9983975581</v>
      </c>
      <c r="I1854" s="38" t="inlineStr">
        <is>
          <t>PE01052601</t>
        </is>
      </c>
      <c r="J1854" s="26" t="inlineStr">
        <is>
          <t>Multiple Issues</t>
        </is>
      </c>
      <c r="K1854" s="39" t="inlineStr">
        <is>
          <t>Holi</t>
        </is>
      </c>
      <c r="L1854" s="39" t="inlineStr">
        <is>
          <t>Maharashtra</t>
        </is>
      </c>
      <c r="M1854" s="46" t="inlineStr">
        <is>
          <t>PS</t>
        </is>
      </c>
      <c r="N1854" s="3" t="inlineStr">
        <is>
          <t>Cold Soldering</t>
        </is>
      </c>
      <c r="O1854" s="56" t="n">
        <v>575</v>
      </c>
      <c r="P1854" s="46" t="inlineStr">
        <is>
          <t>NSMI24070214598</t>
        </is>
      </c>
      <c r="Q1854" s="54">
        <f>MID(P1854,5,2)</f>
        <v/>
      </c>
      <c r="R1854" s="53">
        <f>MID(P1854,7,2)</f>
        <v/>
      </c>
      <c r="S1854" s="3" t="inlineStr">
        <is>
          <t>G2G</t>
        </is>
      </c>
      <c r="T1854" s="3" t="inlineStr">
        <is>
          <t>P4</t>
        </is>
      </c>
      <c r="U1854" s="19" t="inlineStr">
        <is>
          <t>P JB Cold Soldering</t>
        </is>
      </c>
      <c r="V1854" s="19" t="inlineStr">
        <is>
          <t>Soldering</t>
        </is>
      </c>
      <c r="W1854" s="3" t="inlineStr">
        <is>
          <t>Repair</t>
        </is>
      </c>
      <c r="X1854" s="18" t="n">
        <v>46165</v>
      </c>
      <c r="Y1854" s="73">
        <f>IF(X1854="","",X1854-A1854)</f>
        <v/>
      </c>
      <c r="Z1854" s="18" t="n">
        <v>46165</v>
      </c>
      <c r="AA1854" s="15" t="n"/>
      <c r="AB1854" s="15" t="n"/>
      <c r="AF1854">
        <f>IF(AND($F1854="Closed",$X1854&gt;=DATE(2026,5,1),$X1854&lt;=DATE(2026,5,31)),"Closed in May","Other")</f>
        <v/>
      </c>
    </row>
    <row r="1855">
      <c r="A1855" s="37" t="n">
        <v>46143</v>
      </c>
      <c r="B1855" s="3" t="n">
        <v>2026</v>
      </c>
      <c r="C1855" s="26" t="inlineStr">
        <is>
          <t>Yanara Power</t>
        </is>
      </c>
      <c r="D1855" s="3" t="inlineStr">
        <is>
          <t>Utility and C&amp;I</t>
        </is>
      </c>
      <c r="E1855" s="3" t="n"/>
      <c r="F1855" s="3" t="inlineStr">
        <is>
          <t>Closed</t>
        </is>
      </c>
      <c r="G1855" s="9" t="inlineStr">
        <is>
          <t xml:space="preserve">Ashish Jindal </t>
        </is>
      </c>
      <c r="H1855" s="26" t="n">
        <v>9983975581</v>
      </c>
      <c r="I1855" s="38" t="inlineStr">
        <is>
          <t>PE01052601</t>
        </is>
      </c>
      <c r="J1855" s="26" t="inlineStr">
        <is>
          <t>Multiple Issues</t>
        </is>
      </c>
      <c r="K1855" s="39" t="inlineStr">
        <is>
          <t>Holi</t>
        </is>
      </c>
      <c r="L1855" s="39" t="inlineStr">
        <is>
          <t>Maharashtra</t>
        </is>
      </c>
      <c r="M1855" s="46" t="inlineStr">
        <is>
          <t>PNS</t>
        </is>
      </c>
      <c r="N1855" s="3" t="inlineStr">
        <is>
          <t>Cold Soldering</t>
        </is>
      </c>
      <c r="O1855" s="56" t="n">
        <v>575</v>
      </c>
      <c r="P1855" s="46" t="inlineStr">
        <is>
          <t>NSMI24070218613</t>
        </is>
      </c>
      <c r="Q1855" s="54">
        <f>MID(P1855,5,2)</f>
        <v/>
      </c>
      <c r="R1855" s="53">
        <f>MID(P1855,7,2)</f>
        <v/>
      </c>
      <c r="S1855" s="3" t="inlineStr">
        <is>
          <t>G2G</t>
        </is>
      </c>
      <c r="T1855" s="3" t="inlineStr">
        <is>
          <t>P4</t>
        </is>
      </c>
      <c r="U1855" s="3" t="inlineStr">
        <is>
          <t>P &amp; N JB Cold Soldering</t>
        </is>
      </c>
      <c r="V1855" s="3" t="inlineStr">
        <is>
          <t>Soldering</t>
        </is>
      </c>
      <c r="W1855" s="3" t="inlineStr">
        <is>
          <t>Repair</t>
        </is>
      </c>
      <c r="X1855" s="18" t="n">
        <v>46165</v>
      </c>
      <c r="Y1855" s="73">
        <f>IF(X1855="","",X1855-A1855)</f>
        <v/>
      </c>
      <c r="Z1855" s="18" t="n">
        <v>46165</v>
      </c>
      <c r="AA1855" s="15" t="n"/>
      <c r="AB1855" s="15" t="n"/>
      <c r="AF1855">
        <f>IF(AND($F1855="Closed",$X1855&gt;=DATE(2026,5,1),$X1855&lt;=DATE(2026,5,31)),"Closed in May","Other")</f>
        <v/>
      </c>
    </row>
    <row r="1856">
      <c r="A1856" s="37" t="n">
        <v>46143</v>
      </c>
      <c r="B1856" s="3" t="n">
        <v>2026</v>
      </c>
      <c r="C1856" s="26" t="inlineStr">
        <is>
          <t>Yanara Power</t>
        </is>
      </c>
      <c r="D1856" s="3" t="inlineStr">
        <is>
          <t>Utility and C&amp;I</t>
        </is>
      </c>
      <c r="E1856" s="3" t="n"/>
      <c r="F1856" s="3" t="inlineStr">
        <is>
          <t>Closed</t>
        </is>
      </c>
      <c r="G1856" s="9" t="inlineStr">
        <is>
          <t xml:space="preserve">Ashish Jindal </t>
        </is>
      </c>
      <c r="H1856" s="26" t="n">
        <v>9983975581</v>
      </c>
      <c r="I1856" s="38" t="inlineStr">
        <is>
          <t>PE01052601</t>
        </is>
      </c>
      <c r="J1856" s="26" t="inlineStr">
        <is>
          <t>Multiple Issues</t>
        </is>
      </c>
      <c r="K1856" s="39" t="inlineStr">
        <is>
          <t>Holi</t>
        </is>
      </c>
      <c r="L1856" s="39" t="inlineStr">
        <is>
          <t>Maharashtra</t>
        </is>
      </c>
      <c r="M1856" s="46" t="inlineStr">
        <is>
          <t>PS</t>
        </is>
      </c>
      <c r="N1856" s="3" t="inlineStr">
        <is>
          <t>Cold Soldering</t>
        </is>
      </c>
      <c r="O1856" s="56" t="n">
        <v>575</v>
      </c>
      <c r="P1856" s="46" t="inlineStr">
        <is>
          <t>NSM124070221203</t>
        </is>
      </c>
      <c r="Q1856" s="54">
        <f>MID(P1856,5,2)</f>
        <v/>
      </c>
      <c r="R1856" s="53">
        <f>MID(P1856,7,2)</f>
        <v/>
      </c>
      <c r="S1856" s="3" t="inlineStr">
        <is>
          <t>G2G</t>
        </is>
      </c>
      <c r="T1856" s="3" t="inlineStr">
        <is>
          <t>P4</t>
        </is>
      </c>
      <c r="U1856" s="19" t="inlineStr">
        <is>
          <t>P JB Cold Soldering</t>
        </is>
      </c>
      <c r="V1856" s="19" t="inlineStr">
        <is>
          <t>Soldering</t>
        </is>
      </c>
      <c r="W1856" s="3" t="inlineStr">
        <is>
          <t>Repair</t>
        </is>
      </c>
      <c r="X1856" s="18" t="n">
        <v>46165</v>
      </c>
      <c r="Y1856" s="73">
        <f>IF(X1856="","",X1856-A1856)</f>
        <v/>
      </c>
      <c r="Z1856" s="18" t="n">
        <v>46165</v>
      </c>
      <c r="AA1856" s="15" t="n"/>
      <c r="AB1856" s="15" t="n"/>
      <c r="AF1856">
        <f>IF(AND($F1856="Closed",$X1856&gt;=DATE(2026,5,1),$X1856&lt;=DATE(2026,5,31)),"Closed in May","Other")</f>
        <v/>
      </c>
    </row>
    <row r="1857">
      <c r="A1857" s="37" t="n">
        <v>46143</v>
      </c>
      <c r="B1857" s="3" t="n">
        <v>2026</v>
      </c>
      <c r="C1857" s="26" t="inlineStr">
        <is>
          <t>Yanara Power</t>
        </is>
      </c>
      <c r="D1857" s="3" t="inlineStr">
        <is>
          <t>Utility and C&amp;I</t>
        </is>
      </c>
      <c r="E1857" s="3" t="n"/>
      <c r="F1857" s="3" t="inlineStr">
        <is>
          <t>Closed</t>
        </is>
      </c>
      <c r="G1857" s="9" t="inlineStr">
        <is>
          <t xml:space="preserve">Ashish Jindal </t>
        </is>
      </c>
      <c r="H1857" s="26" t="n">
        <v>9983975581</v>
      </c>
      <c r="I1857" s="38" t="inlineStr">
        <is>
          <t>PE01052601</t>
        </is>
      </c>
      <c r="J1857" s="26" t="inlineStr">
        <is>
          <t>Multiple Issues</t>
        </is>
      </c>
      <c r="K1857" s="39" t="inlineStr">
        <is>
          <t>Holi</t>
        </is>
      </c>
      <c r="L1857" s="39" t="inlineStr">
        <is>
          <t>Maharashtra</t>
        </is>
      </c>
      <c r="M1857" s="46" t="inlineStr">
        <is>
          <t>PS</t>
        </is>
      </c>
      <c r="N1857" s="3" t="inlineStr">
        <is>
          <t>Cold Soldering</t>
        </is>
      </c>
      <c r="O1857" s="56" t="n">
        <v>575</v>
      </c>
      <c r="P1857" s="46" t="inlineStr">
        <is>
          <t>NSMI24070221197</t>
        </is>
      </c>
      <c r="Q1857" s="54">
        <f>MID(P1857,5,2)</f>
        <v/>
      </c>
      <c r="R1857" s="53">
        <f>MID(P1857,7,2)</f>
        <v/>
      </c>
      <c r="S1857" s="3" t="inlineStr">
        <is>
          <t>G2G</t>
        </is>
      </c>
      <c r="T1857" s="3" t="inlineStr">
        <is>
          <t>P4</t>
        </is>
      </c>
      <c r="U1857" s="19" t="inlineStr">
        <is>
          <t>P JB Cold Soldering</t>
        </is>
      </c>
      <c r="V1857" s="19" t="inlineStr">
        <is>
          <t>Soldering</t>
        </is>
      </c>
      <c r="W1857" s="3" t="inlineStr">
        <is>
          <t>Repair</t>
        </is>
      </c>
      <c r="X1857" s="18" t="n">
        <v>46165</v>
      </c>
      <c r="Y1857" s="73">
        <f>IF(X1857="","",X1857-A1857)</f>
        <v/>
      </c>
      <c r="Z1857" s="18" t="n">
        <v>46165</v>
      </c>
      <c r="AA1857" s="15" t="n"/>
      <c r="AB1857" s="15" t="n"/>
      <c r="AF1857">
        <f>IF(AND($F1857="Closed",$X1857&gt;=DATE(2026,5,1),$X1857&lt;=DATE(2026,5,31)),"Closed in May","Other")</f>
        <v/>
      </c>
    </row>
    <row r="1858">
      <c r="A1858" s="37" t="n">
        <v>46143</v>
      </c>
      <c r="B1858" s="3" t="n">
        <v>2026</v>
      </c>
      <c r="C1858" s="26" t="inlineStr">
        <is>
          <t>Yanara Power</t>
        </is>
      </c>
      <c r="D1858" s="3" t="inlineStr">
        <is>
          <t>Utility and C&amp;I</t>
        </is>
      </c>
      <c r="E1858" s="3" t="n"/>
      <c r="F1858" s="3" t="inlineStr">
        <is>
          <t>Closed</t>
        </is>
      </c>
      <c r="G1858" s="9" t="inlineStr">
        <is>
          <t xml:space="preserve">Ashish Jindal </t>
        </is>
      </c>
      <c r="H1858" s="26" t="n">
        <v>9983975581</v>
      </c>
      <c r="I1858" s="38" t="inlineStr">
        <is>
          <t>PE01052601</t>
        </is>
      </c>
      <c r="J1858" s="26" t="inlineStr">
        <is>
          <t>Multiple Issues</t>
        </is>
      </c>
      <c r="K1858" s="39" t="inlineStr">
        <is>
          <t>Holi</t>
        </is>
      </c>
      <c r="L1858" s="39" t="inlineStr">
        <is>
          <t>Maharashtra</t>
        </is>
      </c>
      <c r="M1858" s="46" t="inlineStr">
        <is>
          <t>PS</t>
        </is>
      </c>
      <c r="N1858" s="3" t="inlineStr">
        <is>
          <t>Cold Soldering</t>
        </is>
      </c>
      <c r="O1858" s="56" t="n">
        <v>575</v>
      </c>
      <c r="P1858" s="46" t="inlineStr">
        <is>
          <t>NSMI24070221172</t>
        </is>
      </c>
      <c r="Q1858" s="54">
        <f>MID(P1858,5,2)</f>
        <v/>
      </c>
      <c r="R1858" s="53">
        <f>MID(P1858,7,2)</f>
        <v/>
      </c>
      <c r="S1858" s="3" t="inlineStr">
        <is>
          <t>G2G</t>
        </is>
      </c>
      <c r="T1858" s="3" t="inlineStr">
        <is>
          <t>P4</t>
        </is>
      </c>
      <c r="U1858" s="19" t="inlineStr">
        <is>
          <t>P JB Cold Soldering</t>
        </is>
      </c>
      <c r="V1858" s="19" t="inlineStr">
        <is>
          <t>Soldering</t>
        </is>
      </c>
      <c r="W1858" s="3" t="inlineStr">
        <is>
          <t>Repair</t>
        </is>
      </c>
      <c r="X1858" s="18" t="n">
        <v>46165</v>
      </c>
      <c r="Y1858" s="73">
        <f>IF(X1858="","",X1858-A1858)</f>
        <v/>
      </c>
      <c r="Z1858" s="18" t="n">
        <v>46165</v>
      </c>
      <c r="AA1858" s="15" t="n"/>
      <c r="AB1858" s="15" t="n"/>
      <c r="AF1858">
        <f>IF(AND($F1858="Closed",$X1858&gt;=DATE(2026,5,1),$X1858&lt;=DATE(2026,5,31)),"Closed in May","Other")</f>
        <v/>
      </c>
    </row>
    <row r="1859">
      <c r="A1859" s="37" t="n">
        <v>46143</v>
      </c>
      <c r="B1859" s="3" t="n">
        <v>2026</v>
      </c>
      <c r="C1859" s="26" t="inlineStr">
        <is>
          <t>Yanara Power</t>
        </is>
      </c>
      <c r="D1859" s="3" t="inlineStr">
        <is>
          <t>Utility and C&amp;I</t>
        </is>
      </c>
      <c r="E1859" s="3" t="n"/>
      <c r="F1859" s="3" t="inlineStr">
        <is>
          <t>Closed</t>
        </is>
      </c>
      <c r="G1859" s="9" t="inlineStr">
        <is>
          <t xml:space="preserve">Ashish Jindal </t>
        </is>
      </c>
      <c r="H1859" s="26" t="n">
        <v>9983975581</v>
      </c>
      <c r="I1859" s="38" t="inlineStr">
        <is>
          <t>PE01052601</t>
        </is>
      </c>
      <c r="J1859" s="26" t="inlineStr">
        <is>
          <t>Multiple Issues</t>
        </is>
      </c>
      <c r="K1859" s="39" t="inlineStr">
        <is>
          <t>Holi</t>
        </is>
      </c>
      <c r="L1859" s="39" t="inlineStr">
        <is>
          <t>Maharashtra</t>
        </is>
      </c>
      <c r="M1859" s="46" t="inlineStr">
        <is>
          <t>NS</t>
        </is>
      </c>
      <c r="N1859" s="3" t="inlineStr">
        <is>
          <t>Cold Soldering</t>
        </is>
      </c>
      <c r="O1859" s="56" t="n">
        <v>575</v>
      </c>
      <c r="P1859" s="46" t="inlineStr">
        <is>
          <t>NSMI24070221171</t>
        </is>
      </c>
      <c r="Q1859" s="54">
        <f>MID(P1859,5,2)</f>
        <v/>
      </c>
      <c r="R1859" s="53">
        <f>MID(P1859,7,2)</f>
        <v/>
      </c>
      <c r="S1859" s="3" t="inlineStr">
        <is>
          <t>G2G</t>
        </is>
      </c>
      <c r="T1859" s="3" t="inlineStr">
        <is>
          <t>P4</t>
        </is>
      </c>
      <c r="U1859" s="3" t="inlineStr">
        <is>
          <t>N JB Cold Soldering</t>
        </is>
      </c>
      <c r="V1859" s="3" t="inlineStr">
        <is>
          <t>Soldering</t>
        </is>
      </c>
      <c r="W1859" s="3" t="inlineStr">
        <is>
          <t>Repair</t>
        </is>
      </c>
      <c r="X1859" s="18" t="n">
        <v>46165</v>
      </c>
      <c r="Y1859" s="73">
        <f>IF(X1859="","",X1859-A1859)</f>
        <v/>
      </c>
      <c r="Z1859" s="18" t="n">
        <v>46165</v>
      </c>
      <c r="AA1859" s="15" t="n"/>
      <c r="AB1859" s="15" t="n"/>
      <c r="AF1859">
        <f>IF(AND($F1859="Closed",$X1859&gt;=DATE(2026,5,1),$X1859&lt;=DATE(2026,5,31)),"Closed in May","Other")</f>
        <v/>
      </c>
    </row>
    <row r="1860">
      <c r="A1860" s="37" t="n">
        <v>46143</v>
      </c>
      <c r="B1860" s="3" t="n">
        <v>2026</v>
      </c>
      <c r="C1860" s="26" t="inlineStr">
        <is>
          <t>Yanara Power</t>
        </is>
      </c>
      <c r="D1860" s="3" t="inlineStr">
        <is>
          <t>Utility and C&amp;I</t>
        </is>
      </c>
      <c r="E1860" s="3" t="n"/>
      <c r="F1860" s="3" t="inlineStr">
        <is>
          <t>Closed</t>
        </is>
      </c>
      <c r="G1860" s="9" t="inlineStr">
        <is>
          <t xml:space="preserve">Ashish Jindal </t>
        </is>
      </c>
      <c r="H1860" s="26" t="n">
        <v>9983975581</v>
      </c>
      <c r="I1860" s="38" t="inlineStr">
        <is>
          <t>PE01052601</t>
        </is>
      </c>
      <c r="J1860" s="26" t="inlineStr">
        <is>
          <t>Multiple Issues</t>
        </is>
      </c>
      <c r="K1860" s="39" t="inlineStr">
        <is>
          <t>Holi</t>
        </is>
      </c>
      <c r="L1860" s="39" t="inlineStr">
        <is>
          <t>Maharashtra</t>
        </is>
      </c>
      <c r="M1860" s="46" t="inlineStr">
        <is>
          <t>PS</t>
        </is>
      </c>
      <c r="N1860" s="3" t="inlineStr">
        <is>
          <t>Cold Soldering</t>
        </is>
      </c>
      <c r="O1860" s="56" t="n">
        <v>575</v>
      </c>
      <c r="P1860" s="46" t="inlineStr">
        <is>
          <t>NSMI24070219523</t>
        </is>
      </c>
      <c r="Q1860" s="54">
        <f>MID(P1860,5,2)</f>
        <v/>
      </c>
      <c r="R1860" s="53">
        <f>MID(P1860,7,2)</f>
        <v/>
      </c>
      <c r="S1860" s="3" t="inlineStr">
        <is>
          <t>G2G</t>
        </is>
      </c>
      <c r="T1860" s="3" t="inlineStr">
        <is>
          <t>P4</t>
        </is>
      </c>
      <c r="U1860" s="19" t="inlineStr">
        <is>
          <t>P JB Cold Soldering</t>
        </is>
      </c>
      <c r="V1860" s="19" t="inlineStr">
        <is>
          <t>Soldering</t>
        </is>
      </c>
      <c r="W1860" s="3" t="inlineStr">
        <is>
          <t>Repair</t>
        </is>
      </c>
      <c r="X1860" s="18" t="n">
        <v>46165</v>
      </c>
      <c r="Y1860" s="73">
        <f>IF(X1860="","",X1860-A1860)</f>
        <v/>
      </c>
      <c r="Z1860" s="18" t="n">
        <v>46165</v>
      </c>
      <c r="AA1860" s="15" t="n"/>
      <c r="AB1860" s="15" t="n"/>
      <c r="AF1860">
        <f>IF(AND($F1860="Closed",$X1860&gt;=DATE(2026,5,1),$X1860&lt;=DATE(2026,5,31)),"Closed in May","Other")</f>
        <v/>
      </c>
    </row>
    <row r="1861">
      <c r="A1861" s="37" t="n">
        <v>46143</v>
      </c>
      <c r="B1861" s="3" t="n">
        <v>2026</v>
      </c>
      <c r="C1861" s="26" t="inlineStr">
        <is>
          <t>Yanara Power</t>
        </is>
      </c>
      <c r="D1861" s="3" t="inlineStr">
        <is>
          <t>Utility and C&amp;I</t>
        </is>
      </c>
      <c r="E1861" s="3" t="n"/>
      <c r="F1861" s="3" t="inlineStr">
        <is>
          <t>Closed</t>
        </is>
      </c>
      <c r="G1861" s="9" t="inlineStr">
        <is>
          <t xml:space="preserve">Ashish Jindal </t>
        </is>
      </c>
      <c r="H1861" s="26" t="n">
        <v>9983975581</v>
      </c>
      <c r="I1861" s="38" t="inlineStr">
        <is>
          <t>PE01052601</t>
        </is>
      </c>
      <c r="J1861" s="26" t="inlineStr">
        <is>
          <t>Multiple Issues</t>
        </is>
      </c>
      <c r="K1861" s="39" t="inlineStr">
        <is>
          <t>Holi</t>
        </is>
      </c>
      <c r="L1861" s="39" t="inlineStr">
        <is>
          <t>Maharashtra</t>
        </is>
      </c>
      <c r="M1861" s="46" t="inlineStr">
        <is>
          <t>PS</t>
        </is>
      </c>
      <c r="N1861" s="3" t="inlineStr">
        <is>
          <t>Cold Soldering</t>
        </is>
      </c>
      <c r="O1861" s="56" t="n">
        <v>575</v>
      </c>
      <c r="P1861" s="46" t="inlineStr">
        <is>
          <t>NSMI24070179190</t>
        </is>
      </c>
      <c r="Q1861" s="54">
        <f>MID(P1861,5,2)</f>
        <v/>
      </c>
      <c r="R1861" s="53">
        <f>MID(P1861,7,2)</f>
        <v/>
      </c>
      <c r="S1861" s="3" t="inlineStr">
        <is>
          <t>G2G</t>
        </is>
      </c>
      <c r="T1861" s="3" t="inlineStr">
        <is>
          <t>P4</t>
        </is>
      </c>
      <c r="U1861" s="19" t="inlineStr">
        <is>
          <t>P JB Cold Soldering</t>
        </is>
      </c>
      <c r="V1861" s="19" t="inlineStr">
        <is>
          <t>Soldering</t>
        </is>
      </c>
      <c r="W1861" s="3" t="inlineStr">
        <is>
          <t>Repair</t>
        </is>
      </c>
      <c r="X1861" s="18" t="n">
        <v>46165</v>
      </c>
      <c r="Y1861" s="73">
        <f>IF(X1861="","",X1861-A1861)</f>
        <v/>
      </c>
      <c r="Z1861" s="18" t="n">
        <v>46165</v>
      </c>
      <c r="AA1861" s="15" t="n"/>
      <c r="AB1861" s="15" t="n"/>
      <c r="AF1861">
        <f>IF(AND($F1861="Closed",$X1861&gt;=DATE(2026,5,1),$X1861&lt;=DATE(2026,5,31)),"Closed in May","Other")</f>
        <v/>
      </c>
    </row>
    <row r="1862">
      <c r="A1862" s="37" t="n">
        <v>46143</v>
      </c>
      <c r="B1862" s="3" t="n">
        <v>2026</v>
      </c>
      <c r="C1862" s="26" t="inlineStr">
        <is>
          <t>Yanara Power</t>
        </is>
      </c>
      <c r="D1862" s="3" t="inlineStr">
        <is>
          <t>Utility and C&amp;I</t>
        </is>
      </c>
      <c r="E1862" s="3" t="n"/>
      <c r="F1862" s="3" t="inlineStr">
        <is>
          <t>Closed</t>
        </is>
      </c>
      <c r="G1862" s="9" t="inlineStr">
        <is>
          <t xml:space="preserve">Ashish Jindal </t>
        </is>
      </c>
      <c r="H1862" s="26" t="n">
        <v>9983975581</v>
      </c>
      <c r="I1862" s="38" t="inlineStr">
        <is>
          <t>PE01052601</t>
        </is>
      </c>
      <c r="J1862" s="26" t="inlineStr">
        <is>
          <t>Multiple Issues</t>
        </is>
      </c>
      <c r="K1862" s="39" t="inlineStr">
        <is>
          <t>Holi</t>
        </is>
      </c>
      <c r="L1862" s="39" t="inlineStr">
        <is>
          <t>Maharashtra</t>
        </is>
      </c>
      <c r="M1862" s="46" t="inlineStr">
        <is>
          <t>NS</t>
        </is>
      </c>
      <c r="N1862" s="3" t="inlineStr">
        <is>
          <t>Cold Soldering</t>
        </is>
      </c>
      <c r="O1862" s="56" t="n">
        <v>575</v>
      </c>
      <c r="P1862" s="46" t="inlineStr">
        <is>
          <t>NSMI24070195543</t>
        </is>
      </c>
      <c r="Q1862" s="54">
        <f>MID(P1862,5,2)</f>
        <v/>
      </c>
      <c r="R1862" s="53">
        <f>MID(P1862,7,2)</f>
        <v/>
      </c>
      <c r="S1862" s="3" t="inlineStr">
        <is>
          <t>G2G</t>
        </is>
      </c>
      <c r="T1862" s="3" t="inlineStr">
        <is>
          <t>P4</t>
        </is>
      </c>
      <c r="U1862" s="3" t="inlineStr">
        <is>
          <t>N JB Cold Soldering</t>
        </is>
      </c>
      <c r="V1862" s="3" t="inlineStr">
        <is>
          <t>Soldering</t>
        </is>
      </c>
      <c r="W1862" s="3" t="inlineStr">
        <is>
          <t>Repair</t>
        </is>
      </c>
      <c r="X1862" s="18" t="n">
        <v>46165</v>
      </c>
      <c r="Y1862" s="73">
        <f>IF(X1862="","",X1862-A1862)</f>
        <v/>
      </c>
      <c r="Z1862" s="18" t="n">
        <v>46165</v>
      </c>
      <c r="AA1862" s="15" t="n"/>
      <c r="AB1862" s="15" t="n"/>
      <c r="AF1862">
        <f>IF(AND($F1862="Closed",$X1862&gt;=DATE(2026,5,1),$X1862&lt;=DATE(2026,5,31)),"Closed in May","Other")</f>
        <v/>
      </c>
    </row>
    <row r="1863">
      <c r="A1863" s="37" t="n">
        <v>46143</v>
      </c>
      <c r="B1863" s="3" t="n">
        <v>2026</v>
      </c>
      <c r="C1863" s="26" t="inlineStr">
        <is>
          <t>Yanara Power</t>
        </is>
      </c>
      <c r="D1863" s="3" t="inlineStr">
        <is>
          <t>Utility and C&amp;I</t>
        </is>
      </c>
      <c r="E1863" s="3" t="n"/>
      <c r="F1863" s="3" t="inlineStr">
        <is>
          <t>Closed</t>
        </is>
      </c>
      <c r="G1863" s="9" t="inlineStr">
        <is>
          <t xml:space="preserve">Ashish Jindal </t>
        </is>
      </c>
      <c r="H1863" s="26" t="n">
        <v>9983975581</v>
      </c>
      <c r="I1863" s="38" t="inlineStr">
        <is>
          <t>PE01052601</t>
        </is>
      </c>
      <c r="J1863" s="26" t="inlineStr">
        <is>
          <t>Multiple Issues</t>
        </is>
      </c>
      <c r="K1863" s="39" t="inlineStr">
        <is>
          <t>Holi</t>
        </is>
      </c>
      <c r="L1863" s="39" t="inlineStr">
        <is>
          <t>Maharashtra</t>
        </is>
      </c>
      <c r="M1863" s="46" t="inlineStr">
        <is>
          <t>NS</t>
        </is>
      </c>
      <c r="N1863" s="3" t="inlineStr">
        <is>
          <t>Cold Soldering</t>
        </is>
      </c>
      <c r="O1863" s="56" t="n">
        <v>575</v>
      </c>
      <c r="P1863" s="46" t="inlineStr">
        <is>
          <t>NSMI24070195570</t>
        </is>
      </c>
      <c r="Q1863" s="54">
        <f>MID(P1863,5,2)</f>
        <v/>
      </c>
      <c r="R1863" s="53">
        <f>MID(P1863,7,2)</f>
        <v/>
      </c>
      <c r="S1863" s="3" t="inlineStr">
        <is>
          <t>G2G</t>
        </is>
      </c>
      <c r="T1863" s="3" t="inlineStr">
        <is>
          <t>P4</t>
        </is>
      </c>
      <c r="U1863" s="3" t="inlineStr">
        <is>
          <t>N JB Cold Soldering</t>
        </is>
      </c>
      <c r="V1863" s="3" t="inlineStr">
        <is>
          <t>Soldering</t>
        </is>
      </c>
      <c r="W1863" s="3" t="inlineStr">
        <is>
          <t>Repair</t>
        </is>
      </c>
      <c r="X1863" s="18" t="n">
        <v>46165</v>
      </c>
      <c r="Y1863" s="73">
        <f>IF(X1863="","",X1863-A1863)</f>
        <v/>
      </c>
      <c r="Z1863" s="18" t="n">
        <v>46165</v>
      </c>
      <c r="AA1863" s="15" t="n"/>
      <c r="AB1863" s="15" t="n"/>
      <c r="AF1863">
        <f>IF(AND($F1863="Closed",$X1863&gt;=DATE(2026,5,1),$X1863&lt;=DATE(2026,5,31)),"Closed in May","Other")</f>
        <v/>
      </c>
    </row>
    <row r="1864">
      <c r="A1864" s="37" t="n">
        <v>46143</v>
      </c>
      <c r="B1864" s="3" t="n">
        <v>2026</v>
      </c>
      <c r="C1864" s="26" t="inlineStr">
        <is>
          <t>Yanara Power</t>
        </is>
      </c>
      <c r="D1864" s="3" t="inlineStr">
        <is>
          <t>Utility and C&amp;I</t>
        </is>
      </c>
      <c r="E1864" s="3" t="n"/>
      <c r="F1864" s="3" t="inlineStr">
        <is>
          <t>Closed</t>
        </is>
      </c>
      <c r="G1864" s="9" t="inlineStr">
        <is>
          <t xml:space="preserve">Ashish Jindal </t>
        </is>
      </c>
      <c r="H1864" s="26" t="n">
        <v>9983975581</v>
      </c>
      <c r="I1864" s="38" t="inlineStr">
        <is>
          <t>PE01052601</t>
        </is>
      </c>
      <c r="J1864" s="26" t="inlineStr">
        <is>
          <t>Multiple Issues</t>
        </is>
      </c>
      <c r="K1864" s="39" t="inlineStr">
        <is>
          <t>Holi</t>
        </is>
      </c>
      <c r="L1864" s="39" t="inlineStr">
        <is>
          <t>Maharashtra</t>
        </is>
      </c>
      <c r="M1864" s="46" t="inlineStr">
        <is>
          <t>AR</t>
        </is>
      </c>
      <c r="N1864" s="3" t="inlineStr">
        <is>
          <t>JB Issue</t>
        </is>
      </c>
      <c r="O1864" s="56" t="n">
        <v>575</v>
      </c>
      <c r="P1864" s="46" t="inlineStr">
        <is>
          <t>NSMI24070177513</t>
        </is>
      </c>
      <c r="Q1864" s="54">
        <f>MID(P1864,5,2)</f>
        <v/>
      </c>
      <c r="R1864" s="53">
        <f>MID(P1864,7,2)</f>
        <v/>
      </c>
      <c r="S1864" s="3" t="inlineStr">
        <is>
          <t>G2G</t>
        </is>
      </c>
      <c r="T1864" s="3" t="inlineStr">
        <is>
          <t>P4</t>
        </is>
      </c>
      <c r="U1864" s="3" t="inlineStr">
        <is>
          <t>All JB Issue &amp; JB Reverse</t>
        </is>
      </c>
      <c r="V1864" s="15" t="inlineStr">
        <is>
          <t>JB Changed</t>
        </is>
      </c>
      <c r="W1864" s="3" t="inlineStr">
        <is>
          <t>Repair</t>
        </is>
      </c>
      <c r="X1864" s="18" t="n">
        <v>46165</v>
      </c>
      <c r="Y1864" s="73">
        <f>IF(X1864="","",X1864-A1864)</f>
        <v/>
      </c>
      <c r="Z1864" s="18" t="n">
        <v>46165</v>
      </c>
      <c r="AA1864" s="15" t="n"/>
      <c r="AB1864" s="15" t="n"/>
      <c r="AF1864">
        <f>IF(AND($F1864="Closed",$X1864&gt;=DATE(2026,5,1),$X1864&lt;=DATE(2026,5,31)),"Closed in May","Other")</f>
        <v/>
      </c>
    </row>
    <row r="1865">
      <c r="A1865" s="37" t="n">
        <v>46143</v>
      </c>
      <c r="B1865" s="3" t="n">
        <v>2026</v>
      </c>
      <c r="C1865" s="26" t="inlineStr">
        <is>
          <t>Yanara Power</t>
        </is>
      </c>
      <c r="D1865" s="3" t="inlineStr">
        <is>
          <t>Utility and C&amp;I</t>
        </is>
      </c>
      <c r="E1865" s="3" t="n"/>
      <c r="F1865" s="3" t="inlineStr">
        <is>
          <t>Closed</t>
        </is>
      </c>
      <c r="G1865" s="9" t="inlineStr">
        <is>
          <t xml:space="preserve">Ashish Jindal </t>
        </is>
      </c>
      <c r="H1865" s="26" t="n">
        <v>9983975581</v>
      </c>
      <c r="I1865" s="38" t="inlineStr">
        <is>
          <t>PE01052601</t>
        </is>
      </c>
      <c r="J1865" s="26" t="inlineStr">
        <is>
          <t>Multiple Issues</t>
        </is>
      </c>
      <c r="K1865" s="39" t="inlineStr">
        <is>
          <t>Holi</t>
        </is>
      </c>
      <c r="L1865" s="39" t="inlineStr">
        <is>
          <t>Maharashtra</t>
        </is>
      </c>
      <c r="M1865" s="46" t="inlineStr">
        <is>
          <t>PS</t>
        </is>
      </c>
      <c r="N1865" s="3" t="inlineStr">
        <is>
          <t>Cold Soldering</t>
        </is>
      </c>
      <c r="O1865" s="56" t="n">
        <v>575</v>
      </c>
      <c r="P1865" s="46" t="inlineStr">
        <is>
          <t>NSMI24070177922</t>
        </is>
      </c>
      <c r="Q1865" s="54">
        <f>MID(P1865,5,2)</f>
        <v/>
      </c>
      <c r="R1865" s="53">
        <f>MID(P1865,7,2)</f>
        <v/>
      </c>
      <c r="S1865" s="3" t="inlineStr">
        <is>
          <t>G2G</t>
        </is>
      </c>
      <c r="T1865" s="3" t="inlineStr">
        <is>
          <t>P4</t>
        </is>
      </c>
      <c r="U1865" s="19" t="inlineStr">
        <is>
          <t>P JB Cold Soldering</t>
        </is>
      </c>
      <c r="V1865" s="19" t="inlineStr">
        <is>
          <t>Soldering</t>
        </is>
      </c>
      <c r="W1865" s="3" t="inlineStr">
        <is>
          <t>Repair</t>
        </is>
      </c>
      <c r="X1865" s="18" t="n">
        <v>46165</v>
      </c>
      <c r="Y1865" s="73">
        <f>IF(X1865="","",X1865-A1865)</f>
        <v/>
      </c>
      <c r="Z1865" s="18" t="n">
        <v>46165</v>
      </c>
      <c r="AA1865" s="15" t="n"/>
      <c r="AB1865" s="15" t="n"/>
      <c r="AF1865">
        <f>IF(AND($F1865="Closed",$X1865&gt;=DATE(2026,5,1),$X1865&lt;=DATE(2026,5,31)),"Closed in May","Other")</f>
        <v/>
      </c>
    </row>
    <row r="1866">
      <c r="A1866" s="37" t="n">
        <v>46143</v>
      </c>
      <c r="B1866" s="3" t="n">
        <v>2026</v>
      </c>
      <c r="C1866" s="26" t="inlineStr">
        <is>
          <t>Yanara Power</t>
        </is>
      </c>
      <c r="D1866" s="3" t="inlineStr">
        <is>
          <t>Utility and C&amp;I</t>
        </is>
      </c>
      <c r="E1866" s="3" t="n"/>
      <c r="F1866" s="3" t="inlineStr">
        <is>
          <t>Closed</t>
        </is>
      </c>
      <c r="G1866" s="9" t="inlineStr">
        <is>
          <t xml:space="preserve">Ashish Jindal </t>
        </is>
      </c>
      <c r="H1866" s="26" t="n">
        <v>9983975581</v>
      </c>
      <c r="I1866" s="38" t="inlineStr">
        <is>
          <t>PE01052601</t>
        </is>
      </c>
      <c r="J1866" s="26" t="inlineStr">
        <is>
          <t>Multiple Issues</t>
        </is>
      </c>
      <c r="K1866" s="39" t="inlineStr">
        <is>
          <t>Holi</t>
        </is>
      </c>
      <c r="L1866" s="39" t="inlineStr">
        <is>
          <t>Maharashtra</t>
        </is>
      </c>
      <c r="M1866" s="46" t="inlineStr">
        <is>
          <t>PS</t>
        </is>
      </c>
      <c r="N1866" s="3" t="inlineStr">
        <is>
          <t>Cold Soldering</t>
        </is>
      </c>
      <c r="O1866" s="56" t="n">
        <v>575</v>
      </c>
      <c r="P1866" s="46" t="inlineStr">
        <is>
          <t>NSMI24070177914</t>
        </is>
      </c>
      <c r="Q1866" s="54">
        <f>MID(P1866,5,2)</f>
        <v/>
      </c>
      <c r="R1866" s="53">
        <f>MID(P1866,7,2)</f>
        <v/>
      </c>
      <c r="S1866" s="3" t="inlineStr">
        <is>
          <t>G2G</t>
        </is>
      </c>
      <c r="T1866" s="3" t="inlineStr">
        <is>
          <t>P4</t>
        </is>
      </c>
      <c r="U1866" s="19" t="inlineStr">
        <is>
          <t>P JB Cold Soldering</t>
        </is>
      </c>
      <c r="V1866" s="19" t="inlineStr">
        <is>
          <t>Soldering</t>
        </is>
      </c>
      <c r="W1866" s="3" t="inlineStr">
        <is>
          <t>Repair</t>
        </is>
      </c>
      <c r="X1866" s="18" t="n">
        <v>46165</v>
      </c>
      <c r="Y1866" s="73">
        <f>IF(X1866="","",X1866-A1866)</f>
        <v/>
      </c>
      <c r="Z1866" s="18" t="n">
        <v>46165</v>
      </c>
      <c r="AA1866" s="15" t="n"/>
      <c r="AB1866" s="15" t="n"/>
      <c r="AF1866">
        <f>IF(AND($F1866="Closed",$X1866&gt;=DATE(2026,5,1),$X1866&lt;=DATE(2026,5,31)),"Closed in May","Other")</f>
        <v/>
      </c>
    </row>
    <row r="1867">
      <c r="A1867" s="37" t="n">
        <v>46143</v>
      </c>
      <c r="B1867" s="3" t="n">
        <v>2026</v>
      </c>
      <c r="C1867" s="26" t="inlineStr">
        <is>
          <t>Yanara Power</t>
        </is>
      </c>
      <c r="D1867" s="3" t="inlineStr">
        <is>
          <t>Utility and C&amp;I</t>
        </is>
      </c>
      <c r="E1867" s="3" t="n"/>
      <c r="F1867" s="3" t="inlineStr">
        <is>
          <t>Closed</t>
        </is>
      </c>
      <c r="G1867" s="9" t="inlineStr">
        <is>
          <t xml:space="preserve">Ashish Jindal </t>
        </is>
      </c>
      <c r="H1867" s="26" t="n">
        <v>9983975581</v>
      </c>
      <c r="I1867" s="38" t="inlineStr">
        <is>
          <t>PE01052601</t>
        </is>
      </c>
      <c r="J1867" s="26" t="inlineStr">
        <is>
          <t>Multiple Issues</t>
        </is>
      </c>
      <c r="K1867" s="39" t="inlineStr">
        <is>
          <t>Holi</t>
        </is>
      </c>
      <c r="L1867" s="39" t="inlineStr">
        <is>
          <t>Maharashtra</t>
        </is>
      </c>
      <c r="M1867" s="46" t="inlineStr">
        <is>
          <t>PS</t>
        </is>
      </c>
      <c r="N1867" s="3" t="inlineStr">
        <is>
          <t>Cold Soldering</t>
        </is>
      </c>
      <c r="O1867" s="56" t="n">
        <v>575</v>
      </c>
      <c r="P1867" s="46" t="inlineStr">
        <is>
          <t>NSMI24070177910</t>
        </is>
      </c>
      <c r="Q1867" s="54">
        <f>MID(P1867,5,2)</f>
        <v/>
      </c>
      <c r="R1867" s="53">
        <f>MID(P1867,7,2)</f>
        <v/>
      </c>
      <c r="S1867" s="3" t="inlineStr">
        <is>
          <t>G2G</t>
        </is>
      </c>
      <c r="T1867" s="3" t="inlineStr">
        <is>
          <t>P4</t>
        </is>
      </c>
      <c r="U1867" s="19" t="inlineStr">
        <is>
          <t>P JB Cold Soldering</t>
        </is>
      </c>
      <c r="V1867" s="19" t="inlineStr">
        <is>
          <t>Soldering</t>
        </is>
      </c>
      <c r="W1867" s="3" t="inlineStr">
        <is>
          <t>Repair</t>
        </is>
      </c>
      <c r="X1867" s="18" t="n">
        <v>46165</v>
      </c>
      <c r="Y1867" s="73">
        <f>IF(X1867="","",X1867-A1867)</f>
        <v/>
      </c>
      <c r="Z1867" s="18" t="n">
        <v>46165</v>
      </c>
      <c r="AA1867" s="15" t="n"/>
      <c r="AB1867" s="15" t="n"/>
      <c r="AF1867">
        <f>IF(AND($F1867="Closed",$X1867&gt;=DATE(2026,5,1),$X1867&lt;=DATE(2026,5,31)),"Closed in May","Other")</f>
        <v/>
      </c>
    </row>
    <row r="1868">
      <c r="A1868" s="37" t="n">
        <v>46143</v>
      </c>
      <c r="B1868" s="3" t="n">
        <v>2026</v>
      </c>
      <c r="C1868" s="26" t="inlineStr">
        <is>
          <t>Yanara Power</t>
        </is>
      </c>
      <c r="D1868" s="3" t="inlineStr">
        <is>
          <t>Utility and C&amp;I</t>
        </is>
      </c>
      <c r="E1868" s="3" t="n"/>
      <c r="F1868" s="3" t="inlineStr">
        <is>
          <t>Closed</t>
        </is>
      </c>
      <c r="G1868" s="9" t="inlineStr">
        <is>
          <t xml:space="preserve">Ashish Jindal </t>
        </is>
      </c>
      <c r="H1868" s="26" t="n">
        <v>9983975581</v>
      </c>
      <c r="I1868" s="38" t="inlineStr">
        <is>
          <t>PE01052601</t>
        </is>
      </c>
      <c r="J1868" s="26" t="inlineStr">
        <is>
          <t>Multiple Issues</t>
        </is>
      </c>
      <c r="K1868" s="39" t="inlineStr">
        <is>
          <t>Holi</t>
        </is>
      </c>
      <c r="L1868" s="39" t="inlineStr">
        <is>
          <t>Maharashtra</t>
        </is>
      </c>
      <c r="M1868" s="47" t="inlineStr">
        <is>
          <t>NS</t>
        </is>
      </c>
      <c r="N1868" s="3" t="inlineStr">
        <is>
          <t>Cold Soldering</t>
        </is>
      </c>
      <c r="O1868" s="56" t="n">
        <v>575</v>
      </c>
      <c r="P1868" s="47" t="inlineStr">
        <is>
          <t>NSMI24070198720</t>
        </is>
      </c>
      <c r="Q1868" s="54">
        <f>MID(P1868,5,2)</f>
        <v/>
      </c>
      <c r="R1868" s="53">
        <f>MID(P1868,7,2)</f>
        <v/>
      </c>
      <c r="S1868" s="3" t="inlineStr">
        <is>
          <t>G2G</t>
        </is>
      </c>
      <c r="T1868" s="3" t="inlineStr">
        <is>
          <t>P4</t>
        </is>
      </c>
      <c r="U1868" s="3" t="inlineStr">
        <is>
          <t>N JB Cold Soldering</t>
        </is>
      </c>
      <c r="V1868" s="3" t="inlineStr">
        <is>
          <t>Soldering</t>
        </is>
      </c>
      <c r="W1868" s="3" t="inlineStr">
        <is>
          <t>Repair</t>
        </is>
      </c>
      <c r="X1868" s="18" t="n">
        <v>46165</v>
      </c>
      <c r="Y1868" s="73">
        <f>IF(X1868="","",X1868-A1868)</f>
        <v/>
      </c>
      <c r="Z1868" s="18" t="n">
        <v>46165</v>
      </c>
      <c r="AA1868" s="15" t="n"/>
      <c r="AB1868" s="15" t="n"/>
      <c r="AF1868">
        <f>IF(AND($F1868="Closed",$X1868&gt;=DATE(2026,5,1),$X1868&lt;=DATE(2026,5,31)),"Closed in May","Other")</f>
        <v/>
      </c>
    </row>
    <row r="1869">
      <c r="A1869" s="37" t="n">
        <v>46143</v>
      </c>
      <c r="B1869" s="3" t="n">
        <v>2026</v>
      </c>
      <c r="C1869" s="26" t="inlineStr">
        <is>
          <t>Yanara Power</t>
        </is>
      </c>
      <c r="D1869" s="3" t="inlineStr">
        <is>
          <t>Utility and C&amp;I</t>
        </is>
      </c>
      <c r="E1869" s="3" t="n"/>
      <c r="F1869" s="3" t="inlineStr">
        <is>
          <t>Closed</t>
        </is>
      </c>
      <c r="G1869" s="9" t="inlineStr">
        <is>
          <t xml:space="preserve">Ashish Jindal </t>
        </is>
      </c>
      <c r="H1869" s="26" t="n">
        <v>9983975581</v>
      </c>
      <c r="I1869" s="38" t="inlineStr">
        <is>
          <t>PE01052601</t>
        </is>
      </c>
      <c r="J1869" s="26" t="inlineStr">
        <is>
          <t>Multiple Issues</t>
        </is>
      </c>
      <c r="K1869" s="39" t="inlineStr">
        <is>
          <t>Holi</t>
        </is>
      </c>
      <c r="L1869" s="39" t="inlineStr">
        <is>
          <t>Maharashtra</t>
        </is>
      </c>
      <c r="M1869" s="46" t="inlineStr">
        <is>
          <t>PS</t>
        </is>
      </c>
      <c r="N1869" s="3" t="inlineStr">
        <is>
          <t>Cold Soldering</t>
        </is>
      </c>
      <c r="O1869" s="56" t="n">
        <v>575</v>
      </c>
      <c r="P1869" s="46" t="inlineStr">
        <is>
          <t>NSMI24070185211</t>
        </is>
      </c>
      <c r="Q1869" s="54">
        <f>MID(P1869,5,2)</f>
        <v/>
      </c>
      <c r="R1869" s="53">
        <f>MID(P1869,7,2)</f>
        <v/>
      </c>
      <c r="S1869" s="3" t="inlineStr">
        <is>
          <t>G2G</t>
        </is>
      </c>
      <c r="T1869" s="3" t="inlineStr">
        <is>
          <t>P4</t>
        </is>
      </c>
      <c r="U1869" s="19" t="inlineStr">
        <is>
          <t>P JB Cold Soldering</t>
        </is>
      </c>
      <c r="V1869" s="19" t="inlineStr">
        <is>
          <t>Soldering</t>
        </is>
      </c>
      <c r="W1869" s="3" t="inlineStr">
        <is>
          <t>Repair</t>
        </is>
      </c>
      <c r="X1869" s="18" t="n">
        <v>46166</v>
      </c>
      <c r="Y1869" s="73">
        <f>IF(X1869="","",X1869-A1869)</f>
        <v/>
      </c>
      <c r="Z1869" s="18" t="n">
        <v>46166</v>
      </c>
      <c r="AA1869" s="15" t="n"/>
      <c r="AB1869" s="15" t="n"/>
      <c r="AF1869">
        <f>IF(AND($F1869="Closed",$X1869&gt;=DATE(2026,5,1),$X1869&lt;=DATE(2026,5,31)),"Closed in May","Other")</f>
        <v/>
      </c>
    </row>
    <row r="1870">
      <c r="A1870" s="37" t="n">
        <v>46143</v>
      </c>
      <c r="B1870" s="3" t="n">
        <v>2026</v>
      </c>
      <c r="C1870" s="26" t="inlineStr">
        <is>
          <t>Yanara Power</t>
        </is>
      </c>
      <c r="D1870" s="3" t="inlineStr">
        <is>
          <t>Utility and C&amp;I</t>
        </is>
      </c>
      <c r="E1870" s="3" t="n"/>
      <c r="F1870" s="3" t="inlineStr">
        <is>
          <t>Closed</t>
        </is>
      </c>
      <c r="G1870" s="9" t="inlineStr">
        <is>
          <t xml:space="preserve">Ashish Jindal </t>
        </is>
      </c>
      <c r="H1870" s="26" t="n">
        <v>9983975581</v>
      </c>
      <c r="I1870" s="38" t="inlineStr">
        <is>
          <t>PE01052601</t>
        </is>
      </c>
      <c r="J1870" s="26" t="inlineStr">
        <is>
          <t>Multiple Issues</t>
        </is>
      </c>
      <c r="K1870" s="39" t="inlineStr">
        <is>
          <t>Holi</t>
        </is>
      </c>
      <c r="L1870" s="39" t="inlineStr">
        <is>
          <t>Maharashtra</t>
        </is>
      </c>
      <c r="M1870" s="46" t="inlineStr">
        <is>
          <t>PS</t>
        </is>
      </c>
      <c r="N1870" s="3" t="inlineStr">
        <is>
          <t>Cold Soldering</t>
        </is>
      </c>
      <c r="O1870" s="56" t="n">
        <v>575</v>
      </c>
      <c r="P1870" s="46" t="inlineStr">
        <is>
          <t>NSMI24070195362</t>
        </is>
      </c>
      <c r="Q1870" s="54">
        <f>MID(P1870,5,2)</f>
        <v/>
      </c>
      <c r="R1870" s="53">
        <f>MID(P1870,7,2)</f>
        <v/>
      </c>
      <c r="S1870" s="3" t="inlineStr">
        <is>
          <t>G2G</t>
        </is>
      </c>
      <c r="T1870" s="3" t="inlineStr">
        <is>
          <t>P4</t>
        </is>
      </c>
      <c r="U1870" s="19" t="inlineStr">
        <is>
          <t>P JB Cold Soldering</t>
        </is>
      </c>
      <c r="V1870" s="19" t="inlineStr">
        <is>
          <t>Soldering</t>
        </is>
      </c>
      <c r="W1870" s="3" t="inlineStr">
        <is>
          <t>Repair</t>
        </is>
      </c>
      <c r="X1870" s="18" t="n">
        <v>46166</v>
      </c>
      <c r="Y1870" s="73">
        <f>IF(X1870="","",X1870-A1870)</f>
        <v/>
      </c>
      <c r="Z1870" s="18" t="n">
        <v>46166</v>
      </c>
      <c r="AA1870" s="15" t="n"/>
      <c r="AB1870" s="15" t="n"/>
      <c r="AF1870">
        <f>IF(AND($F1870="Closed",$X1870&gt;=DATE(2026,5,1),$X1870&lt;=DATE(2026,5,31)),"Closed in May","Other")</f>
        <v/>
      </c>
    </row>
    <row r="1871">
      <c r="A1871" s="37" t="n">
        <v>46143</v>
      </c>
      <c r="B1871" s="3" t="n">
        <v>2026</v>
      </c>
      <c r="C1871" s="26" t="inlineStr">
        <is>
          <t>Yanara Power</t>
        </is>
      </c>
      <c r="D1871" s="3" t="inlineStr">
        <is>
          <t>Utility and C&amp;I</t>
        </is>
      </c>
      <c r="E1871" s="3" t="n"/>
      <c r="F1871" s="3" t="inlineStr">
        <is>
          <t>Closed</t>
        </is>
      </c>
      <c r="G1871" s="9" t="inlineStr">
        <is>
          <t xml:space="preserve">Ashish Jindal </t>
        </is>
      </c>
      <c r="H1871" s="26" t="n">
        <v>9983975581</v>
      </c>
      <c r="I1871" s="38" t="inlineStr">
        <is>
          <t>PE01052601</t>
        </is>
      </c>
      <c r="J1871" s="26" t="inlineStr">
        <is>
          <t>Multiple Issues</t>
        </is>
      </c>
      <c r="K1871" s="39" t="inlineStr">
        <is>
          <t>Holi</t>
        </is>
      </c>
      <c r="L1871" s="39" t="inlineStr">
        <is>
          <t>Maharashtra</t>
        </is>
      </c>
      <c r="M1871" s="46" t="inlineStr">
        <is>
          <t>PS</t>
        </is>
      </c>
      <c r="N1871" s="3" t="inlineStr">
        <is>
          <t>Cold Soldering</t>
        </is>
      </c>
      <c r="O1871" s="56" t="n">
        <v>575</v>
      </c>
      <c r="P1871" s="46" t="inlineStr">
        <is>
          <t>NSMI24070195478</t>
        </is>
      </c>
      <c r="Q1871" s="54">
        <f>MID(P1871,5,2)</f>
        <v/>
      </c>
      <c r="R1871" s="53">
        <f>MID(P1871,7,2)</f>
        <v/>
      </c>
      <c r="S1871" s="3" t="inlineStr">
        <is>
          <t>G2G</t>
        </is>
      </c>
      <c r="T1871" s="3" t="inlineStr">
        <is>
          <t>P4</t>
        </is>
      </c>
      <c r="U1871" s="19" t="inlineStr">
        <is>
          <t>P JB Cold Soldering</t>
        </is>
      </c>
      <c r="V1871" s="19" t="inlineStr">
        <is>
          <t>Soldering</t>
        </is>
      </c>
      <c r="W1871" s="3" t="inlineStr">
        <is>
          <t>Repair</t>
        </is>
      </c>
      <c r="X1871" s="18" t="n">
        <v>46166</v>
      </c>
      <c r="Y1871" s="73">
        <f>IF(X1871="","",X1871-A1871)</f>
        <v/>
      </c>
      <c r="Z1871" s="18" t="n">
        <v>46166</v>
      </c>
      <c r="AA1871" s="15" t="n"/>
      <c r="AB1871" s="15" t="n"/>
      <c r="AF1871">
        <f>IF(AND($F1871="Closed",$X1871&gt;=DATE(2026,5,1),$X1871&lt;=DATE(2026,5,31)),"Closed in May","Other")</f>
        <v/>
      </c>
    </row>
    <row r="1872">
      <c r="A1872" s="37" t="n">
        <v>46143</v>
      </c>
      <c r="B1872" s="3" t="n">
        <v>2026</v>
      </c>
      <c r="C1872" s="26" t="inlineStr">
        <is>
          <t>Yanara Power</t>
        </is>
      </c>
      <c r="D1872" s="3" t="inlineStr">
        <is>
          <t>Utility and C&amp;I</t>
        </is>
      </c>
      <c r="E1872" s="3" t="n"/>
      <c r="F1872" s="3" t="inlineStr">
        <is>
          <t>Closed</t>
        </is>
      </c>
      <c r="G1872" s="9" t="inlineStr">
        <is>
          <t xml:space="preserve">Ashish Jindal </t>
        </is>
      </c>
      <c r="H1872" s="26" t="n">
        <v>9983975581</v>
      </c>
      <c r="I1872" s="38" t="inlineStr">
        <is>
          <t>PE01052601</t>
        </is>
      </c>
      <c r="J1872" s="26" t="inlineStr">
        <is>
          <t>Multiple Issues</t>
        </is>
      </c>
      <c r="K1872" s="39" t="inlineStr">
        <is>
          <t>Holi</t>
        </is>
      </c>
      <c r="L1872" s="39" t="inlineStr">
        <is>
          <t>Maharashtra</t>
        </is>
      </c>
      <c r="M1872" s="46" t="inlineStr">
        <is>
          <t>NS</t>
        </is>
      </c>
      <c r="N1872" s="3" t="inlineStr">
        <is>
          <t>Cold Soldering</t>
        </is>
      </c>
      <c r="O1872" s="56" t="n">
        <v>575</v>
      </c>
      <c r="P1872" s="46" t="inlineStr">
        <is>
          <t>NSMI24070216640</t>
        </is>
      </c>
      <c r="Q1872" s="54">
        <f>MID(P1872,5,2)</f>
        <v/>
      </c>
      <c r="R1872" s="53">
        <f>MID(P1872,7,2)</f>
        <v/>
      </c>
      <c r="S1872" s="3" t="inlineStr">
        <is>
          <t>G2G</t>
        </is>
      </c>
      <c r="T1872" s="3" t="inlineStr">
        <is>
          <t>P4</t>
        </is>
      </c>
      <c r="U1872" s="3" t="inlineStr">
        <is>
          <t>N JB Cold Soldering</t>
        </is>
      </c>
      <c r="V1872" s="3" t="inlineStr">
        <is>
          <t>Soldering</t>
        </is>
      </c>
      <c r="W1872" s="3" t="inlineStr">
        <is>
          <t>Repair</t>
        </is>
      </c>
      <c r="X1872" s="18" t="n">
        <v>46166</v>
      </c>
      <c r="Y1872" s="73">
        <f>IF(X1872="","",X1872-A1872)</f>
        <v/>
      </c>
      <c r="Z1872" s="18" t="n">
        <v>46166</v>
      </c>
      <c r="AA1872" s="15" t="n"/>
      <c r="AB1872" s="15" t="n"/>
      <c r="AF1872">
        <f>IF(AND($F1872="Closed",$X1872&gt;=DATE(2026,5,1),$X1872&lt;=DATE(2026,5,31)),"Closed in May","Other")</f>
        <v/>
      </c>
    </row>
    <row r="1873">
      <c r="A1873" s="37" t="n">
        <v>46143</v>
      </c>
      <c r="B1873" s="3" t="n">
        <v>2026</v>
      </c>
      <c r="C1873" s="26" t="inlineStr">
        <is>
          <t>Yanara Power</t>
        </is>
      </c>
      <c r="D1873" s="3" t="inlineStr">
        <is>
          <t>Utility and C&amp;I</t>
        </is>
      </c>
      <c r="E1873" s="3" t="n"/>
      <c r="F1873" s="3" t="inlineStr">
        <is>
          <t>Closed</t>
        </is>
      </c>
      <c r="G1873" s="9" t="inlineStr">
        <is>
          <t xml:space="preserve">Ashish Jindal </t>
        </is>
      </c>
      <c r="H1873" s="26" t="n">
        <v>9983975581</v>
      </c>
      <c r="I1873" s="38" t="inlineStr">
        <is>
          <t>PE01052601</t>
        </is>
      </c>
      <c r="J1873" s="26" t="inlineStr">
        <is>
          <t>Multiple Issues</t>
        </is>
      </c>
      <c r="K1873" s="39" t="inlineStr">
        <is>
          <t>Holi</t>
        </is>
      </c>
      <c r="L1873" s="39" t="inlineStr">
        <is>
          <t>Maharashtra</t>
        </is>
      </c>
      <c r="M1873" s="46" t="inlineStr">
        <is>
          <t>PS</t>
        </is>
      </c>
      <c r="N1873" s="3" t="inlineStr">
        <is>
          <t>Cold Soldering</t>
        </is>
      </c>
      <c r="O1873" s="56" t="n">
        <v>575</v>
      </c>
      <c r="P1873" s="46" t="inlineStr">
        <is>
          <t>NSMI24070177857</t>
        </is>
      </c>
      <c r="Q1873" s="54">
        <f>MID(P1873,5,2)</f>
        <v/>
      </c>
      <c r="R1873" s="53">
        <f>MID(P1873,7,2)</f>
        <v/>
      </c>
      <c r="S1873" s="3" t="inlineStr">
        <is>
          <t>G2G</t>
        </is>
      </c>
      <c r="T1873" s="3" t="inlineStr">
        <is>
          <t>P4</t>
        </is>
      </c>
      <c r="U1873" s="19" t="inlineStr">
        <is>
          <t>P JB Cold Soldering</t>
        </is>
      </c>
      <c r="V1873" s="19" t="inlineStr">
        <is>
          <t>Soldering</t>
        </is>
      </c>
      <c r="W1873" s="3" t="inlineStr">
        <is>
          <t>Repair</t>
        </is>
      </c>
      <c r="X1873" s="18" t="n">
        <v>46166</v>
      </c>
      <c r="Y1873" s="73">
        <f>IF(X1873="","",X1873-A1873)</f>
        <v/>
      </c>
      <c r="Z1873" s="18" t="n">
        <v>46166</v>
      </c>
      <c r="AA1873" s="15" t="n"/>
      <c r="AB1873" s="15" t="n"/>
      <c r="AF1873">
        <f>IF(AND($F1873="Closed",$X1873&gt;=DATE(2026,5,1),$X1873&lt;=DATE(2026,5,31)),"Closed in May","Other")</f>
        <v/>
      </c>
    </row>
    <row r="1874">
      <c r="A1874" s="37" t="n">
        <v>46143</v>
      </c>
      <c r="B1874" s="3" t="n">
        <v>2026</v>
      </c>
      <c r="C1874" s="26" t="inlineStr">
        <is>
          <t>Yanara Power</t>
        </is>
      </c>
      <c r="D1874" s="3" t="inlineStr">
        <is>
          <t>Utility and C&amp;I</t>
        </is>
      </c>
      <c r="E1874" s="3" t="n"/>
      <c r="F1874" s="3" t="inlineStr">
        <is>
          <t>Closed</t>
        </is>
      </c>
      <c r="G1874" s="9" t="inlineStr">
        <is>
          <t xml:space="preserve">Ashish Jindal </t>
        </is>
      </c>
      <c r="H1874" s="26" t="n">
        <v>9983975581</v>
      </c>
      <c r="I1874" s="38" t="inlineStr">
        <is>
          <t>PE01052601</t>
        </is>
      </c>
      <c r="J1874" s="26" t="inlineStr">
        <is>
          <t>Multiple Issues</t>
        </is>
      </c>
      <c r="K1874" s="39" t="inlineStr">
        <is>
          <t>Holi</t>
        </is>
      </c>
      <c r="L1874" s="39" t="inlineStr">
        <is>
          <t>Maharashtra</t>
        </is>
      </c>
      <c r="M1874" s="46" t="inlineStr">
        <is>
          <t>NS</t>
        </is>
      </c>
      <c r="N1874" s="3" t="inlineStr">
        <is>
          <t>Cold Soldering</t>
        </is>
      </c>
      <c r="O1874" s="56" t="n">
        <v>575</v>
      </c>
      <c r="P1874" s="46" t="inlineStr">
        <is>
          <t>NSMI24070177282</t>
        </is>
      </c>
      <c r="Q1874" s="54">
        <f>MID(P1874,5,2)</f>
        <v/>
      </c>
      <c r="R1874" s="53">
        <f>MID(P1874,7,2)</f>
        <v/>
      </c>
      <c r="S1874" s="3" t="inlineStr">
        <is>
          <t>G2G</t>
        </is>
      </c>
      <c r="T1874" s="3" t="inlineStr">
        <is>
          <t>P4</t>
        </is>
      </c>
      <c r="U1874" s="3" t="inlineStr">
        <is>
          <t>N JB Cold Soldering</t>
        </is>
      </c>
      <c r="V1874" s="3" t="inlineStr">
        <is>
          <t>Soldering</t>
        </is>
      </c>
      <c r="W1874" s="3" t="inlineStr">
        <is>
          <t>Repair</t>
        </is>
      </c>
      <c r="X1874" s="18" t="n">
        <v>46166</v>
      </c>
      <c r="Y1874" s="73">
        <f>IF(X1874="","",X1874-A1874)</f>
        <v/>
      </c>
      <c r="Z1874" s="18" t="n">
        <v>46166</v>
      </c>
      <c r="AA1874" s="15" t="n"/>
      <c r="AB1874" s="15" t="n"/>
      <c r="AF1874">
        <f>IF(AND($F1874="Closed",$X1874&gt;=DATE(2026,5,1),$X1874&lt;=DATE(2026,5,31)),"Closed in May","Other")</f>
        <v/>
      </c>
    </row>
    <row r="1875">
      <c r="A1875" s="37" t="n">
        <v>46143</v>
      </c>
      <c r="B1875" s="3" t="n">
        <v>2026</v>
      </c>
      <c r="C1875" s="26" t="inlineStr">
        <is>
          <t>Yanara Power</t>
        </is>
      </c>
      <c r="D1875" s="3" t="inlineStr">
        <is>
          <t>Utility and C&amp;I</t>
        </is>
      </c>
      <c r="E1875" s="3" t="n"/>
      <c r="F1875" s="3" t="inlineStr">
        <is>
          <t>Closed</t>
        </is>
      </c>
      <c r="G1875" s="9" t="inlineStr">
        <is>
          <t xml:space="preserve">Ashish Jindal </t>
        </is>
      </c>
      <c r="H1875" s="26" t="n">
        <v>9983975581</v>
      </c>
      <c r="I1875" s="38" t="inlineStr">
        <is>
          <t>PE01052601</t>
        </is>
      </c>
      <c r="J1875" s="26" t="inlineStr">
        <is>
          <t>Multiple Issues</t>
        </is>
      </c>
      <c r="K1875" s="39" t="inlineStr">
        <is>
          <t>Holi</t>
        </is>
      </c>
      <c r="L1875" s="39" t="inlineStr">
        <is>
          <t>Maharashtra</t>
        </is>
      </c>
      <c r="M1875" s="46" t="inlineStr">
        <is>
          <t>PS</t>
        </is>
      </c>
      <c r="N1875" s="3" t="inlineStr">
        <is>
          <t>Cold Soldering</t>
        </is>
      </c>
      <c r="O1875" s="56" t="n">
        <v>575</v>
      </c>
      <c r="P1875" s="46" t="inlineStr">
        <is>
          <t>NSMI24070181609</t>
        </is>
      </c>
      <c r="Q1875" s="54">
        <f>MID(P1875,5,2)</f>
        <v/>
      </c>
      <c r="R1875" s="53">
        <f>MID(P1875,7,2)</f>
        <v/>
      </c>
      <c r="S1875" s="3" t="inlineStr">
        <is>
          <t>G2G</t>
        </is>
      </c>
      <c r="T1875" s="3" t="inlineStr">
        <is>
          <t>P4</t>
        </is>
      </c>
      <c r="U1875" s="19" t="inlineStr">
        <is>
          <t>P JB Cold Soldering</t>
        </is>
      </c>
      <c r="V1875" s="19" t="inlineStr">
        <is>
          <t>Soldering</t>
        </is>
      </c>
      <c r="W1875" s="3" t="inlineStr">
        <is>
          <t>Repair</t>
        </is>
      </c>
      <c r="X1875" s="18" t="n">
        <v>46166</v>
      </c>
      <c r="Y1875" s="73">
        <f>IF(X1875="","",X1875-A1875)</f>
        <v/>
      </c>
      <c r="Z1875" s="18" t="n">
        <v>46166</v>
      </c>
      <c r="AA1875" s="15" t="n"/>
      <c r="AB1875" s="15" t="n"/>
      <c r="AF1875">
        <f>IF(AND($F1875="Closed",$X1875&gt;=DATE(2026,5,1),$X1875&lt;=DATE(2026,5,31)),"Closed in May","Other")</f>
        <v/>
      </c>
    </row>
    <row r="1876">
      <c r="A1876" s="37" t="n">
        <v>46143</v>
      </c>
      <c r="B1876" s="3" t="n">
        <v>2026</v>
      </c>
      <c r="C1876" s="26" t="inlineStr">
        <is>
          <t>Yanara Power</t>
        </is>
      </c>
      <c r="D1876" s="3" t="inlineStr">
        <is>
          <t>Utility and C&amp;I</t>
        </is>
      </c>
      <c r="E1876" s="3" t="n"/>
      <c r="F1876" s="3" t="inlineStr">
        <is>
          <t>Closed</t>
        </is>
      </c>
      <c r="G1876" s="9" t="inlineStr">
        <is>
          <t xml:space="preserve">Ashish Jindal </t>
        </is>
      </c>
      <c r="H1876" s="26" t="n">
        <v>9983975581</v>
      </c>
      <c r="I1876" s="38" t="inlineStr">
        <is>
          <t>PE01052601</t>
        </is>
      </c>
      <c r="J1876" s="26" t="inlineStr">
        <is>
          <t>Multiple Issues</t>
        </is>
      </c>
      <c r="K1876" s="39" t="inlineStr">
        <is>
          <t>Holi</t>
        </is>
      </c>
      <c r="L1876" s="39" t="inlineStr">
        <is>
          <t>Maharashtra</t>
        </is>
      </c>
      <c r="M1876" s="46" t="inlineStr">
        <is>
          <t>PS</t>
        </is>
      </c>
      <c r="N1876" s="3" t="inlineStr">
        <is>
          <t>Cold Soldering</t>
        </is>
      </c>
      <c r="O1876" s="56" t="n">
        <v>575</v>
      </c>
      <c r="P1876" s="46" t="inlineStr">
        <is>
          <t>NSMI24070181571</t>
        </is>
      </c>
      <c r="Q1876" s="54">
        <f>MID(P1876,5,2)</f>
        <v/>
      </c>
      <c r="R1876" s="53">
        <f>MID(P1876,7,2)</f>
        <v/>
      </c>
      <c r="S1876" s="3" t="inlineStr">
        <is>
          <t>G2G</t>
        </is>
      </c>
      <c r="T1876" s="3" t="inlineStr">
        <is>
          <t>P4</t>
        </is>
      </c>
      <c r="U1876" s="19" t="inlineStr">
        <is>
          <t>P JB Cold Soldering</t>
        </is>
      </c>
      <c r="V1876" s="19" t="inlineStr">
        <is>
          <t>Soldering</t>
        </is>
      </c>
      <c r="W1876" s="3" t="inlineStr">
        <is>
          <t>Repair</t>
        </is>
      </c>
      <c r="X1876" s="18" t="n">
        <v>46166</v>
      </c>
      <c r="Y1876" s="73">
        <f>IF(X1876="","",X1876-A1876)</f>
        <v/>
      </c>
      <c r="Z1876" s="18" t="n">
        <v>46166</v>
      </c>
      <c r="AA1876" s="15" t="n"/>
      <c r="AB1876" s="15" t="n"/>
      <c r="AF1876">
        <f>IF(AND($F1876="Closed",$X1876&gt;=DATE(2026,5,1),$X1876&lt;=DATE(2026,5,31)),"Closed in May","Other")</f>
        <v/>
      </c>
    </row>
    <row r="1877">
      <c r="A1877" s="37" t="n">
        <v>46143</v>
      </c>
      <c r="B1877" s="3" t="n">
        <v>2026</v>
      </c>
      <c r="C1877" s="26" t="inlineStr">
        <is>
          <t>Yanara Power</t>
        </is>
      </c>
      <c r="D1877" s="3" t="inlineStr">
        <is>
          <t>Utility and C&amp;I</t>
        </is>
      </c>
      <c r="E1877" s="3" t="n"/>
      <c r="F1877" s="3" t="inlineStr">
        <is>
          <t>Closed</t>
        </is>
      </c>
      <c r="G1877" s="9" t="inlineStr">
        <is>
          <t xml:space="preserve">Ashish Jindal </t>
        </is>
      </c>
      <c r="H1877" s="26" t="n">
        <v>9983975581</v>
      </c>
      <c r="I1877" s="38" t="inlineStr">
        <is>
          <t>PE01052601</t>
        </is>
      </c>
      <c r="J1877" s="26" t="inlineStr">
        <is>
          <t>Multiple Issues</t>
        </is>
      </c>
      <c r="K1877" s="39" t="inlineStr">
        <is>
          <t>Holi</t>
        </is>
      </c>
      <c r="L1877" s="39" t="inlineStr">
        <is>
          <t>Maharashtra</t>
        </is>
      </c>
      <c r="M1877" s="46" t="inlineStr">
        <is>
          <t>PS</t>
        </is>
      </c>
      <c r="N1877" s="3" t="inlineStr">
        <is>
          <t>Cold Soldering</t>
        </is>
      </c>
      <c r="O1877" s="56" t="n">
        <v>575</v>
      </c>
      <c r="P1877" s="46" t="inlineStr">
        <is>
          <t>NSMI24070177639</t>
        </is>
      </c>
      <c r="Q1877" s="54">
        <f>MID(P1877,5,2)</f>
        <v/>
      </c>
      <c r="R1877" s="53">
        <f>MID(P1877,7,2)</f>
        <v/>
      </c>
      <c r="S1877" s="3" t="inlineStr">
        <is>
          <t>G2G</t>
        </is>
      </c>
      <c r="T1877" s="3" t="inlineStr">
        <is>
          <t>P4</t>
        </is>
      </c>
      <c r="U1877" s="19" t="inlineStr">
        <is>
          <t>P JB Cold Soldering</t>
        </is>
      </c>
      <c r="V1877" s="19" t="inlineStr">
        <is>
          <t>Soldering</t>
        </is>
      </c>
      <c r="W1877" s="3" t="inlineStr">
        <is>
          <t>Repair</t>
        </is>
      </c>
      <c r="X1877" s="18" t="n">
        <v>46166</v>
      </c>
      <c r="Y1877" s="73">
        <f>IF(X1877="","",X1877-A1877)</f>
        <v/>
      </c>
      <c r="Z1877" s="18" t="n">
        <v>46166</v>
      </c>
      <c r="AA1877" s="15" t="n"/>
      <c r="AB1877" s="15" t="n"/>
      <c r="AF1877">
        <f>IF(AND($F1877="Closed",$X1877&gt;=DATE(2026,5,1),$X1877&lt;=DATE(2026,5,31)),"Closed in May","Other")</f>
        <v/>
      </c>
    </row>
    <row r="1878">
      <c r="A1878" s="37" t="n">
        <v>46143</v>
      </c>
      <c r="B1878" s="3" t="n">
        <v>2026</v>
      </c>
      <c r="C1878" s="26" t="inlineStr">
        <is>
          <t>Yanara Power</t>
        </is>
      </c>
      <c r="D1878" s="3" t="inlineStr">
        <is>
          <t>Utility and C&amp;I</t>
        </is>
      </c>
      <c r="E1878" s="3" t="n"/>
      <c r="F1878" s="3" t="inlineStr">
        <is>
          <t>Closed</t>
        </is>
      </c>
      <c r="G1878" s="9" t="inlineStr">
        <is>
          <t xml:space="preserve">Ashish Jindal </t>
        </is>
      </c>
      <c r="H1878" s="26" t="n">
        <v>9983975581</v>
      </c>
      <c r="I1878" s="38" t="inlineStr">
        <is>
          <t>PE01052601</t>
        </is>
      </c>
      <c r="J1878" s="26" t="inlineStr">
        <is>
          <t>Multiple Issues</t>
        </is>
      </c>
      <c r="K1878" s="39" t="inlineStr">
        <is>
          <t>Holi</t>
        </is>
      </c>
      <c r="L1878" s="39" t="inlineStr">
        <is>
          <t>Maharashtra</t>
        </is>
      </c>
      <c r="M1878" s="46" t="inlineStr">
        <is>
          <t>PS</t>
        </is>
      </c>
      <c r="N1878" s="3" t="inlineStr">
        <is>
          <t>Cold Soldering</t>
        </is>
      </c>
      <c r="O1878" s="56" t="n">
        <v>575</v>
      </c>
      <c r="P1878" s="46" t="inlineStr">
        <is>
          <t>NSMI24070179084</t>
        </is>
      </c>
      <c r="Q1878" s="54">
        <f>MID(P1878,5,2)</f>
        <v/>
      </c>
      <c r="R1878" s="53">
        <f>MID(P1878,7,2)</f>
        <v/>
      </c>
      <c r="S1878" s="3" t="inlineStr">
        <is>
          <t>G2G</t>
        </is>
      </c>
      <c r="T1878" s="3" t="inlineStr">
        <is>
          <t>P4</t>
        </is>
      </c>
      <c r="U1878" s="19" t="inlineStr">
        <is>
          <t>P JB Cold Soldering</t>
        </is>
      </c>
      <c r="V1878" s="19" t="inlineStr">
        <is>
          <t>Soldering</t>
        </is>
      </c>
      <c r="W1878" s="3" t="inlineStr">
        <is>
          <t>Repair</t>
        </is>
      </c>
      <c r="X1878" s="18" t="n">
        <v>46166</v>
      </c>
      <c r="Y1878" s="73">
        <f>IF(X1878="","",X1878-A1878)</f>
        <v/>
      </c>
      <c r="Z1878" s="18" t="n">
        <v>46166</v>
      </c>
      <c r="AA1878" s="15" t="n"/>
      <c r="AB1878" s="15" t="n"/>
      <c r="AF1878">
        <f>IF(AND($F1878="Closed",$X1878&gt;=DATE(2026,5,1),$X1878&lt;=DATE(2026,5,31)),"Closed in May","Other")</f>
        <v/>
      </c>
    </row>
    <row r="1879">
      <c r="A1879" s="37" t="n">
        <v>46143</v>
      </c>
      <c r="B1879" s="3" t="n">
        <v>2026</v>
      </c>
      <c r="C1879" s="26" t="inlineStr">
        <is>
          <t>Yanara Power</t>
        </is>
      </c>
      <c r="D1879" s="3" t="inlineStr">
        <is>
          <t>Utility and C&amp;I</t>
        </is>
      </c>
      <c r="E1879" s="3" t="n"/>
      <c r="F1879" s="3" t="inlineStr">
        <is>
          <t>Closed</t>
        </is>
      </c>
      <c r="G1879" s="9" t="inlineStr">
        <is>
          <t xml:space="preserve">Ashish Jindal </t>
        </is>
      </c>
      <c r="H1879" s="26" t="n">
        <v>9983975581</v>
      </c>
      <c r="I1879" s="38" t="inlineStr">
        <is>
          <t>PE01052601</t>
        </is>
      </c>
      <c r="J1879" s="26" t="inlineStr">
        <is>
          <t>Multiple Issues</t>
        </is>
      </c>
      <c r="K1879" s="39" t="inlineStr">
        <is>
          <t>Holi</t>
        </is>
      </c>
      <c r="L1879" s="39" t="inlineStr">
        <is>
          <t>Maharashtra</t>
        </is>
      </c>
      <c r="M1879" s="46" t="inlineStr">
        <is>
          <t>NS</t>
        </is>
      </c>
      <c r="N1879" s="3" t="inlineStr">
        <is>
          <t>Cold Soldering</t>
        </is>
      </c>
      <c r="O1879" s="56" t="n">
        <v>575</v>
      </c>
      <c r="P1879" s="46" t="inlineStr">
        <is>
          <t>NSMI24070195279</t>
        </is>
      </c>
      <c r="Q1879" s="54">
        <f>MID(P1879,5,2)</f>
        <v/>
      </c>
      <c r="R1879" s="53">
        <f>MID(P1879,7,2)</f>
        <v/>
      </c>
      <c r="S1879" s="3" t="inlineStr">
        <is>
          <t>G2G</t>
        </is>
      </c>
      <c r="T1879" s="3" t="inlineStr">
        <is>
          <t>P4</t>
        </is>
      </c>
      <c r="U1879" s="3" t="inlineStr">
        <is>
          <t>N JB Cold Soldering</t>
        </is>
      </c>
      <c r="V1879" s="3" t="inlineStr">
        <is>
          <t>Soldering</t>
        </is>
      </c>
      <c r="W1879" s="3" t="inlineStr">
        <is>
          <t>Repair</t>
        </is>
      </c>
      <c r="X1879" s="18" t="n">
        <v>46166</v>
      </c>
      <c r="Y1879" s="73">
        <f>IF(X1879="","",X1879-A1879)</f>
        <v/>
      </c>
      <c r="Z1879" s="18" t="n">
        <v>46166</v>
      </c>
      <c r="AA1879" s="15" t="n"/>
      <c r="AB1879" s="15" t="n"/>
      <c r="AF1879">
        <f>IF(AND($F1879="Closed",$X1879&gt;=DATE(2026,5,1),$X1879&lt;=DATE(2026,5,31)),"Closed in May","Other")</f>
        <v/>
      </c>
    </row>
    <row r="1880">
      <c r="A1880" s="37" t="n">
        <v>46143</v>
      </c>
      <c r="B1880" s="3" t="n">
        <v>2026</v>
      </c>
      <c r="C1880" s="26" t="inlineStr">
        <is>
          <t>Yanara Power</t>
        </is>
      </c>
      <c r="D1880" s="3" t="inlineStr">
        <is>
          <t>Utility and C&amp;I</t>
        </is>
      </c>
      <c r="E1880" s="3" t="n"/>
      <c r="F1880" s="3" t="inlineStr">
        <is>
          <t>Closed</t>
        </is>
      </c>
      <c r="G1880" s="9" t="inlineStr">
        <is>
          <t xml:space="preserve">Ashish Jindal </t>
        </is>
      </c>
      <c r="H1880" s="26" t="n">
        <v>9983975581</v>
      </c>
      <c r="I1880" s="38" t="inlineStr">
        <is>
          <t>PE01052601</t>
        </is>
      </c>
      <c r="J1880" s="26" t="inlineStr">
        <is>
          <t>Multiple Issues</t>
        </is>
      </c>
      <c r="K1880" s="39" t="inlineStr">
        <is>
          <t>Holi</t>
        </is>
      </c>
      <c r="L1880" s="39" t="inlineStr">
        <is>
          <t>Maharashtra</t>
        </is>
      </c>
      <c r="M1880" s="46" t="inlineStr">
        <is>
          <t>OK</t>
        </is>
      </c>
      <c r="N1880" s="3" t="inlineStr">
        <is>
          <t>No Issue</t>
        </is>
      </c>
      <c r="O1880" s="56" t="n">
        <v>575</v>
      </c>
      <c r="P1880" s="46" t="inlineStr">
        <is>
          <t>NSMI24070222270</t>
        </is>
      </c>
      <c r="Q1880" s="54">
        <f>MID(P1880,5,2)</f>
        <v/>
      </c>
      <c r="R1880" s="53">
        <f>MID(P1880,7,2)</f>
        <v/>
      </c>
      <c r="S1880" s="3" t="inlineStr">
        <is>
          <t>G2G</t>
        </is>
      </c>
      <c r="T1880" s="3" t="inlineStr">
        <is>
          <t>P4</t>
        </is>
      </c>
      <c r="U1880" s="19" t="inlineStr">
        <is>
          <t>No Issue Found</t>
        </is>
      </c>
      <c r="V1880" s="19" t="inlineStr">
        <is>
          <t>Found OK</t>
        </is>
      </c>
      <c r="W1880" s="3" t="inlineStr">
        <is>
          <t>Repair</t>
        </is>
      </c>
      <c r="X1880" s="18" t="n">
        <v>46166</v>
      </c>
      <c r="Y1880" s="73">
        <f>IF(X1880="","",X1880-A1880)</f>
        <v/>
      </c>
      <c r="Z1880" s="18" t="n">
        <v>46166</v>
      </c>
      <c r="AA1880" s="15" t="n"/>
      <c r="AB1880" s="15" t="n"/>
      <c r="AF1880">
        <f>IF(AND($F1880="Closed",$X1880&gt;=DATE(2026,5,1),$X1880&lt;=DATE(2026,5,31)),"Closed in May","Other")</f>
        <v/>
      </c>
    </row>
    <row r="1881">
      <c r="A1881" s="37" t="n">
        <v>46143</v>
      </c>
      <c r="B1881" s="3" t="n">
        <v>2026</v>
      </c>
      <c r="C1881" s="26" t="inlineStr">
        <is>
          <t>Yanara Power</t>
        </is>
      </c>
      <c r="D1881" s="3" t="inlineStr">
        <is>
          <t>Utility and C&amp;I</t>
        </is>
      </c>
      <c r="E1881" s="3" t="n"/>
      <c r="F1881" s="3" t="inlineStr">
        <is>
          <t>Closed</t>
        </is>
      </c>
      <c r="G1881" s="9" t="inlineStr">
        <is>
          <t xml:space="preserve">Ashish Jindal </t>
        </is>
      </c>
      <c r="H1881" s="26" t="n">
        <v>9983975581</v>
      </c>
      <c r="I1881" s="38" t="inlineStr">
        <is>
          <t>PE01052601</t>
        </is>
      </c>
      <c r="J1881" s="26" t="inlineStr">
        <is>
          <t>Multiple Issues</t>
        </is>
      </c>
      <c r="K1881" s="39" t="inlineStr">
        <is>
          <t>Holi</t>
        </is>
      </c>
      <c r="L1881" s="39" t="inlineStr">
        <is>
          <t>Maharashtra</t>
        </is>
      </c>
      <c r="M1881" s="46" t="inlineStr">
        <is>
          <t>PS</t>
        </is>
      </c>
      <c r="N1881" s="3" t="inlineStr">
        <is>
          <t>Cold Soldering</t>
        </is>
      </c>
      <c r="O1881" s="56" t="n">
        <v>575</v>
      </c>
      <c r="P1881" s="46" t="inlineStr">
        <is>
          <t>NSMI24070195525</t>
        </is>
      </c>
      <c r="Q1881" s="54">
        <f>MID(P1881,5,2)</f>
        <v/>
      </c>
      <c r="R1881" s="53">
        <f>MID(P1881,7,2)</f>
        <v/>
      </c>
      <c r="S1881" s="3" t="inlineStr">
        <is>
          <t>G2G</t>
        </is>
      </c>
      <c r="T1881" s="3" t="inlineStr">
        <is>
          <t>P4</t>
        </is>
      </c>
      <c r="U1881" s="19" t="inlineStr">
        <is>
          <t>P JB Cold Soldering</t>
        </is>
      </c>
      <c r="V1881" s="19" t="inlineStr">
        <is>
          <t>Soldering</t>
        </is>
      </c>
      <c r="W1881" s="3" t="inlineStr">
        <is>
          <t>Repair</t>
        </is>
      </c>
      <c r="X1881" s="18" t="n">
        <v>46166</v>
      </c>
      <c r="Y1881" s="73">
        <f>IF(X1881="","",X1881-A1881)</f>
        <v/>
      </c>
      <c r="Z1881" s="18" t="n">
        <v>46166</v>
      </c>
      <c r="AA1881" s="15" t="n"/>
      <c r="AB1881" s="15" t="n"/>
      <c r="AF1881">
        <f>IF(AND($F1881="Closed",$X1881&gt;=DATE(2026,5,1),$X1881&lt;=DATE(2026,5,31)),"Closed in May","Other")</f>
        <v/>
      </c>
    </row>
    <row r="1882">
      <c r="A1882" s="37" t="n">
        <v>46143</v>
      </c>
      <c r="B1882" s="3" t="n">
        <v>2026</v>
      </c>
      <c r="C1882" s="26" t="inlineStr">
        <is>
          <t>Yanara Power</t>
        </is>
      </c>
      <c r="D1882" s="3" t="inlineStr">
        <is>
          <t>Utility and C&amp;I</t>
        </is>
      </c>
      <c r="E1882" s="3" t="n"/>
      <c r="F1882" s="3" t="inlineStr">
        <is>
          <t>Closed</t>
        </is>
      </c>
      <c r="G1882" s="9" t="inlineStr">
        <is>
          <t xml:space="preserve">Ashish Jindal </t>
        </is>
      </c>
      <c r="H1882" s="26" t="n">
        <v>9983975581</v>
      </c>
      <c r="I1882" s="38" t="inlineStr">
        <is>
          <t>PE01052601</t>
        </is>
      </c>
      <c r="J1882" s="26" t="inlineStr">
        <is>
          <t>Multiple Issues</t>
        </is>
      </c>
      <c r="K1882" s="39" t="inlineStr">
        <is>
          <t>Holi</t>
        </is>
      </c>
      <c r="L1882" s="39" t="inlineStr">
        <is>
          <t>Maharashtra</t>
        </is>
      </c>
      <c r="M1882" s="46" t="inlineStr">
        <is>
          <t>PS</t>
        </is>
      </c>
      <c r="N1882" s="3" t="inlineStr">
        <is>
          <t>Cold Soldering</t>
        </is>
      </c>
      <c r="O1882" s="56" t="n">
        <v>575</v>
      </c>
      <c r="P1882" s="46" t="inlineStr">
        <is>
          <t>NSMI24070183184</t>
        </is>
      </c>
      <c r="Q1882" s="54">
        <f>MID(P1882,5,2)</f>
        <v/>
      </c>
      <c r="R1882" s="53">
        <f>MID(P1882,7,2)</f>
        <v/>
      </c>
      <c r="S1882" s="3" t="inlineStr">
        <is>
          <t>G2G</t>
        </is>
      </c>
      <c r="T1882" s="3" t="inlineStr">
        <is>
          <t>P4</t>
        </is>
      </c>
      <c r="U1882" s="19" t="inlineStr">
        <is>
          <t>P JB Cold Soldering</t>
        </is>
      </c>
      <c r="V1882" s="19" t="inlineStr">
        <is>
          <t>Soldering</t>
        </is>
      </c>
      <c r="W1882" s="3" t="inlineStr">
        <is>
          <t>Repair</t>
        </is>
      </c>
      <c r="X1882" s="18" t="n">
        <v>46166</v>
      </c>
      <c r="Y1882" s="73">
        <f>IF(X1882="","",X1882-A1882)</f>
        <v/>
      </c>
      <c r="Z1882" s="18" t="n">
        <v>46166</v>
      </c>
      <c r="AA1882" s="15" t="n"/>
      <c r="AB1882" s="15" t="n"/>
      <c r="AF1882">
        <f>IF(AND($F1882="Closed",$X1882&gt;=DATE(2026,5,1),$X1882&lt;=DATE(2026,5,31)),"Closed in May","Other")</f>
        <v/>
      </c>
    </row>
    <row r="1883">
      <c r="A1883" s="37" t="n">
        <v>46143</v>
      </c>
      <c r="B1883" s="3" t="n">
        <v>2026</v>
      </c>
      <c r="C1883" s="26" t="inlineStr">
        <is>
          <t>Yanara Power</t>
        </is>
      </c>
      <c r="D1883" s="3" t="inlineStr">
        <is>
          <t>Utility and C&amp;I</t>
        </is>
      </c>
      <c r="E1883" s="3" t="n"/>
      <c r="F1883" s="3" t="inlineStr">
        <is>
          <t>Closed</t>
        </is>
      </c>
      <c r="G1883" s="9" t="inlineStr">
        <is>
          <t xml:space="preserve">Ashish Jindal </t>
        </is>
      </c>
      <c r="H1883" s="26" t="n">
        <v>9983975581</v>
      </c>
      <c r="I1883" s="38" t="inlineStr">
        <is>
          <t>PE01052601</t>
        </is>
      </c>
      <c r="J1883" s="26" t="inlineStr">
        <is>
          <t>Multiple Issues</t>
        </is>
      </c>
      <c r="K1883" s="39" t="inlineStr">
        <is>
          <t>Holi</t>
        </is>
      </c>
      <c r="L1883" s="39" t="inlineStr">
        <is>
          <t>Maharashtra</t>
        </is>
      </c>
      <c r="M1883" s="46" t="inlineStr">
        <is>
          <t>PS</t>
        </is>
      </c>
      <c r="N1883" s="3" t="inlineStr">
        <is>
          <t>Cold Soldering</t>
        </is>
      </c>
      <c r="O1883" s="56" t="n">
        <v>575</v>
      </c>
      <c r="P1883" s="46" t="inlineStr">
        <is>
          <t>NSMI24070216963</t>
        </is>
      </c>
      <c r="Q1883" s="54">
        <f>MID(P1883,5,2)</f>
        <v/>
      </c>
      <c r="R1883" s="53">
        <f>MID(P1883,7,2)</f>
        <v/>
      </c>
      <c r="S1883" s="3" t="inlineStr">
        <is>
          <t>G2G</t>
        </is>
      </c>
      <c r="T1883" s="3" t="inlineStr">
        <is>
          <t>P4</t>
        </is>
      </c>
      <c r="U1883" s="19" t="inlineStr">
        <is>
          <t>P JB Cold Soldering</t>
        </is>
      </c>
      <c r="V1883" s="19" t="inlineStr">
        <is>
          <t>Soldering</t>
        </is>
      </c>
      <c r="W1883" s="3" t="inlineStr">
        <is>
          <t>Repair</t>
        </is>
      </c>
      <c r="X1883" s="18" t="n">
        <v>46166</v>
      </c>
      <c r="Y1883" s="73">
        <f>IF(X1883="","",X1883-A1883)</f>
        <v/>
      </c>
      <c r="Z1883" s="18" t="n">
        <v>46166</v>
      </c>
      <c r="AA1883" s="15" t="n"/>
      <c r="AB1883" s="15" t="n"/>
      <c r="AF1883">
        <f>IF(AND($F1883="Closed",$X1883&gt;=DATE(2026,5,1),$X1883&lt;=DATE(2026,5,31)),"Closed in May","Other")</f>
        <v/>
      </c>
    </row>
    <row r="1884">
      <c r="A1884" s="37" t="n">
        <v>46143</v>
      </c>
      <c r="B1884" s="3" t="n">
        <v>2026</v>
      </c>
      <c r="C1884" s="26" t="inlineStr">
        <is>
          <t>Yanara Power</t>
        </is>
      </c>
      <c r="D1884" s="3" t="inlineStr">
        <is>
          <t>Utility and C&amp;I</t>
        </is>
      </c>
      <c r="E1884" s="3" t="n"/>
      <c r="F1884" s="3" t="inlineStr">
        <is>
          <t>Closed</t>
        </is>
      </c>
      <c r="G1884" s="9" t="inlineStr">
        <is>
          <t xml:space="preserve">Ashish Jindal </t>
        </is>
      </c>
      <c r="H1884" s="26" t="n">
        <v>9983975581</v>
      </c>
      <c r="I1884" s="38" t="inlineStr">
        <is>
          <t>PE01052601</t>
        </is>
      </c>
      <c r="J1884" s="26" t="inlineStr">
        <is>
          <t>Multiple Issues</t>
        </is>
      </c>
      <c r="K1884" s="39" t="inlineStr">
        <is>
          <t>Holi</t>
        </is>
      </c>
      <c r="L1884" s="39" t="inlineStr">
        <is>
          <t>Maharashtra</t>
        </is>
      </c>
      <c r="M1884" s="46" t="inlineStr">
        <is>
          <t>NS</t>
        </is>
      </c>
      <c r="N1884" s="3" t="inlineStr">
        <is>
          <t>Cold Soldering</t>
        </is>
      </c>
      <c r="O1884" s="56" t="n">
        <v>575</v>
      </c>
      <c r="P1884" s="46" t="inlineStr">
        <is>
          <t>NSMI24070216435</t>
        </is>
      </c>
      <c r="Q1884" s="54">
        <f>MID(P1884,5,2)</f>
        <v/>
      </c>
      <c r="R1884" s="53">
        <f>MID(P1884,7,2)</f>
        <v/>
      </c>
      <c r="S1884" s="3" t="inlineStr">
        <is>
          <t>G2G</t>
        </is>
      </c>
      <c r="T1884" s="3" t="inlineStr">
        <is>
          <t>P4</t>
        </is>
      </c>
      <c r="U1884" s="3" t="inlineStr">
        <is>
          <t>N JB Cold Soldering</t>
        </is>
      </c>
      <c r="V1884" s="3" t="inlineStr">
        <is>
          <t>Soldering</t>
        </is>
      </c>
      <c r="W1884" s="3" t="inlineStr">
        <is>
          <t>Repair</t>
        </is>
      </c>
      <c r="X1884" s="18" t="n">
        <v>46166</v>
      </c>
      <c r="Y1884" s="73">
        <f>IF(X1884="","",X1884-A1884)</f>
        <v/>
      </c>
      <c r="Z1884" s="18" t="n">
        <v>46166</v>
      </c>
      <c r="AA1884" s="15" t="n"/>
      <c r="AB1884" s="15" t="n"/>
      <c r="AF1884">
        <f>IF(AND($F1884="Closed",$X1884&gt;=DATE(2026,5,1),$X1884&lt;=DATE(2026,5,31)),"Closed in May","Other")</f>
        <v/>
      </c>
    </row>
    <row r="1885">
      <c r="A1885" s="37" t="n">
        <v>46143</v>
      </c>
      <c r="B1885" s="3" t="n">
        <v>2026</v>
      </c>
      <c r="C1885" s="26" t="inlineStr">
        <is>
          <t>Yanara Power</t>
        </is>
      </c>
      <c r="D1885" s="3" t="inlineStr">
        <is>
          <t>Utility and C&amp;I</t>
        </is>
      </c>
      <c r="E1885" s="3" t="n"/>
      <c r="F1885" s="3" t="inlineStr">
        <is>
          <t>Closed</t>
        </is>
      </c>
      <c r="G1885" s="9" t="inlineStr">
        <is>
          <t xml:space="preserve">Ashish Jindal </t>
        </is>
      </c>
      <c r="H1885" s="26" t="n">
        <v>9983975581</v>
      </c>
      <c r="I1885" s="38" t="inlineStr">
        <is>
          <t>PE01052601</t>
        </is>
      </c>
      <c r="J1885" s="26" t="inlineStr">
        <is>
          <t>Multiple Issues</t>
        </is>
      </c>
      <c r="K1885" s="39" t="inlineStr">
        <is>
          <t>Holi</t>
        </is>
      </c>
      <c r="L1885" s="39" t="inlineStr">
        <is>
          <t>Maharashtra</t>
        </is>
      </c>
      <c r="M1885" s="46" t="inlineStr">
        <is>
          <t>PS</t>
        </is>
      </c>
      <c r="N1885" s="3" t="inlineStr">
        <is>
          <t>Cold Soldering</t>
        </is>
      </c>
      <c r="O1885" s="56" t="n">
        <v>575</v>
      </c>
      <c r="P1885" s="46" t="inlineStr">
        <is>
          <t>NSMI24070224017</t>
        </is>
      </c>
      <c r="Q1885" s="54">
        <f>MID(P1885,5,2)</f>
        <v/>
      </c>
      <c r="R1885" s="53">
        <f>MID(P1885,7,2)</f>
        <v/>
      </c>
      <c r="S1885" s="3" t="inlineStr">
        <is>
          <t>G2G</t>
        </is>
      </c>
      <c r="T1885" s="3" t="inlineStr">
        <is>
          <t>P4</t>
        </is>
      </c>
      <c r="U1885" s="19" t="inlineStr">
        <is>
          <t>P JB Cold Soldering</t>
        </is>
      </c>
      <c r="V1885" s="19" t="inlineStr">
        <is>
          <t>Soldering</t>
        </is>
      </c>
      <c r="W1885" s="3" t="inlineStr">
        <is>
          <t>Repair</t>
        </is>
      </c>
      <c r="X1885" s="18" t="n">
        <v>46166</v>
      </c>
      <c r="Y1885" s="73">
        <f>IF(X1885="","",X1885-A1885)</f>
        <v/>
      </c>
      <c r="Z1885" s="18" t="n">
        <v>46166</v>
      </c>
      <c r="AA1885" s="15" t="n"/>
      <c r="AB1885" s="15" t="n"/>
      <c r="AF1885">
        <f>IF(AND($F1885="Closed",$X1885&gt;=DATE(2026,5,1),$X1885&lt;=DATE(2026,5,31)),"Closed in May","Other")</f>
        <v/>
      </c>
    </row>
    <row r="1886">
      <c r="A1886" s="37" t="n">
        <v>46143</v>
      </c>
      <c r="B1886" s="3" t="n">
        <v>2026</v>
      </c>
      <c r="C1886" s="26" t="inlineStr">
        <is>
          <t>Yanara Power</t>
        </is>
      </c>
      <c r="D1886" s="3" t="inlineStr">
        <is>
          <t>Utility and C&amp;I</t>
        </is>
      </c>
      <c r="E1886" s="3" t="n"/>
      <c r="F1886" s="3" t="inlineStr">
        <is>
          <t>Closed</t>
        </is>
      </c>
      <c r="G1886" s="9" t="inlineStr">
        <is>
          <t xml:space="preserve">Ashish Jindal </t>
        </is>
      </c>
      <c r="H1886" s="26" t="n">
        <v>9983975581</v>
      </c>
      <c r="I1886" s="38" t="inlineStr">
        <is>
          <t>PE01052601</t>
        </is>
      </c>
      <c r="J1886" s="26" t="inlineStr">
        <is>
          <t>Multiple Issues</t>
        </is>
      </c>
      <c r="K1886" s="39" t="inlineStr">
        <is>
          <t>Holi</t>
        </is>
      </c>
      <c r="L1886" s="39" t="inlineStr">
        <is>
          <t>Maharashtra</t>
        </is>
      </c>
      <c r="M1886" s="46" t="inlineStr">
        <is>
          <t>PNS</t>
        </is>
      </c>
      <c r="N1886" s="3" t="inlineStr">
        <is>
          <t>Cold Soldering</t>
        </is>
      </c>
      <c r="O1886" s="56" t="n">
        <v>575</v>
      </c>
      <c r="P1886" s="46" t="inlineStr">
        <is>
          <t>NSMI24070219190</t>
        </is>
      </c>
      <c r="Q1886" s="54">
        <f>MID(P1886,5,2)</f>
        <v/>
      </c>
      <c r="R1886" s="53">
        <f>MID(P1886,7,2)</f>
        <v/>
      </c>
      <c r="S1886" s="3" t="inlineStr">
        <is>
          <t>G2G</t>
        </is>
      </c>
      <c r="T1886" s="3" t="inlineStr">
        <is>
          <t>P4</t>
        </is>
      </c>
      <c r="U1886" s="3" t="inlineStr">
        <is>
          <t>P &amp; N JB Cold Soldering</t>
        </is>
      </c>
      <c r="V1886" s="3" t="inlineStr">
        <is>
          <t>Soldering</t>
        </is>
      </c>
      <c r="W1886" s="3" t="inlineStr">
        <is>
          <t>Repair</t>
        </is>
      </c>
      <c r="X1886" s="18" t="n">
        <v>46166</v>
      </c>
      <c r="Y1886" s="73">
        <f>IF(X1886="","",X1886-A1886)</f>
        <v/>
      </c>
      <c r="Z1886" s="18" t="n">
        <v>46166</v>
      </c>
      <c r="AA1886" s="15" t="n"/>
      <c r="AB1886" s="15" t="n"/>
      <c r="AF1886">
        <f>IF(AND($F1886="Closed",$X1886&gt;=DATE(2026,5,1),$X1886&lt;=DATE(2026,5,31)),"Closed in May","Other")</f>
        <v/>
      </c>
    </row>
    <row r="1887">
      <c r="A1887" s="37" t="n">
        <v>46143</v>
      </c>
      <c r="B1887" s="3" t="n">
        <v>2026</v>
      </c>
      <c r="C1887" s="26" t="inlineStr">
        <is>
          <t>Yanara Power</t>
        </is>
      </c>
      <c r="D1887" s="3" t="inlineStr">
        <is>
          <t>Utility and C&amp;I</t>
        </is>
      </c>
      <c r="E1887" s="3" t="n"/>
      <c r="F1887" s="3" t="inlineStr">
        <is>
          <t>Closed</t>
        </is>
      </c>
      <c r="G1887" s="9" t="inlineStr">
        <is>
          <t xml:space="preserve">Ashish Jindal </t>
        </is>
      </c>
      <c r="H1887" s="26" t="n">
        <v>9983975581</v>
      </c>
      <c r="I1887" s="38" t="inlineStr">
        <is>
          <t>PE01052601</t>
        </is>
      </c>
      <c r="J1887" s="26" t="inlineStr">
        <is>
          <t>Multiple Issues</t>
        </is>
      </c>
      <c r="K1887" s="39" t="inlineStr">
        <is>
          <t>Holi</t>
        </is>
      </c>
      <c r="L1887" s="39" t="inlineStr">
        <is>
          <t>Maharashtra</t>
        </is>
      </c>
      <c r="M1887" s="46" t="inlineStr">
        <is>
          <t>NS</t>
        </is>
      </c>
      <c r="N1887" s="3" t="inlineStr">
        <is>
          <t>Cold Soldering</t>
        </is>
      </c>
      <c r="O1887" s="56" t="n">
        <v>575</v>
      </c>
      <c r="P1887" s="46" t="inlineStr">
        <is>
          <t>NSMI24070216955</t>
        </is>
      </c>
      <c r="Q1887" s="54">
        <f>MID(P1887,5,2)</f>
        <v/>
      </c>
      <c r="R1887" s="53">
        <f>MID(P1887,7,2)</f>
        <v/>
      </c>
      <c r="S1887" s="3" t="inlineStr">
        <is>
          <t>G2G</t>
        </is>
      </c>
      <c r="T1887" s="3" t="inlineStr">
        <is>
          <t>P4</t>
        </is>
      </c>
      <c r="U1887" s="3" t="inlineStr">
        <is>
          <t>N JB Cold Soldering</t>
        </is>
      </c>
      <c r="V1887" s="3" t="inlineStr">
        <is>
          <t>Soldering</t>
        </is>
      </c>
      <c r="W1887" s="3" t="inlineStr">
        <is>
          <t>Repair</t>
        </is>
      </c>
      <c r="X1887" s="18" t="n">
        <v>46166</v>
      </c>
      <c r="Y1887" s="73">
        <f>IF(X1887="","",X1887-A1887)</f>
        <v/>
      </c>
      <c r="Z1887" s="18" t="n">
        <v>46166</v>
      </c>
      <c r="AA1887" s="15" t="n"/>
      <c r="AB1887" s="15" t="n"/>
      <c r="AF1887">
        <f>IF(AND($F1887="Closed",$X1887&gt;=DATE(2026,5,1),$X1887&lt;=DATE(2026,5,31)),"Closed in May","Other")</f>
        <v/>
      </c>
    </row>
    <row r="1888">
      <c r="A1888" s="37" t="n">
        <v>46143</v>
      </c>
      <c r="B1888" s="3" t="n">
        <v>2026</v>
      </c>
      <c r="C1888" s="26" t="inlineStr">
        <is>
          <t>Yanara Power</t>
        </is>
      </c>
      <c r="D1888" s="3" t="inlineStr">
        <is>
          <t>Utility and C&amp;I</t>
        </is>
      </c>
      <c r="E1888" s="3" t="n"/>
      <c r="F1888" s="3" t="inlineStr">
        <is>
          <t>Closed</t>
        </is>
      </c>
      <c r="G1888" s="9" t="inlineStr">
        <is>
          <t xml:space="preserve">Ashish Jindal </t>
        </is>
      </c>
      <c r="H1888" s="26" t="n">
        <v>9983975581</v>
      </c>
      <c r="I1888" s="38" t="inlineStr">
        <is>
          <t>PE01052601</t>
        </is>
      </c>
      <c r="J1888" s="26" t="inlineStr">
        <is>
          <t>Multiple Issues</t>
        </is>
      </c>
      <c r="K1888" s="39" t="inlineStr">
        <is>
          <t>Holi</t>
        </is>
      </c>
      <c r="L1888" s="39" t="inlineStr">
        <is>
          <t>Maharashtra</t>
        </is>
      </c>
      <c r="M1888" s="46" t="inlineStr">
        <is>
          <t>PNS</t>
        </is>
      </c>
      <c r="N1888" s="3" t="inlineStr">
        <is>
          <t>Cold Soldering</t>
        </is>
      </c>
      <c r="O1888" s="56" t="n">
        <v>575</v>
      </c>
      <c r="P1888" s="46" t="inlineStr">
        <is>
          <t>NSMI24070216622</t>
        </is>
      </c>
      <c r="Q1888" s="54">
        <f>MID(P1888,5,2)</f>
        <v/>
      </c>
      <c r="R1888" s="53">
        <f>MID(P1888,7,2)</f>
        <v/>
      </c>
      <c r="S1888" s="3" t="inlineStr">
        <is>
          <t>G2G</t>
        </is>
      </c>
      <c r="T1888" s="3" t="inlineStr">
        <is>
          <t>P4</t>
        </is>
      </c>
      <c r="U1888" s="3" t="inlineStr">
        <is>
          <t>P &amp; N JB Cold Soldering</t>
        </is>
      </c>
      <c r="V1888" s="3" t="inlineStr">
        <is>
          <t>Soldering</t>
        </is>
      </c>
      <c r="W1888" s="3" t="inlineStr">
        <is>
          <t>Repair</t>
        </is>
      </c>
      <c r="X1888" s="18" t="n">
        <v>46166</v>
      </c>
      <c r="Y1888" s="73">
        <f>IF(X1888="","",X1888-A1888)</f>
        <v/>
      </c>
      <c r="Z1888" s="18" t="n">
        <v>46166</v>
      </c>
      <c r="AA1888" s="15" t="n"/>
      <c r="AB1888" s="15" t="n"/>
      <c r="AF1888">
        <f>IF(AND($F1888="Closed",$X1888&gt;=DATE(2026,5,1),$X1888&lt;=DATE(2026,5,31)),"Closed in May","Other")</f>
        <v/>
      </c>
    </row>
    <row r="1889">
      <c r="A1889" s="37" t="n">
        <v>46143</v>
      </c>
      <c r="B1889" s="3" t="n">
        <v>2026</v>
      </c>
      <c r="C1889" s="26" t="inlineStr">
        <is>
          <t>Yanara Power</t>
        </is>
      </c>
      <c r="D1889" s="3" t="inlineStr">
        <is>
          <t>Utility and C&amp;I</t>
        </is>
      </c>
      <c r="E1889" s="3" t="n"/>
      <c r="F1889" s="3" t="inlineStr">
        <is>
          <t>Closed</t>
        </is>
      </c>
      <c r="G1889" s="9" t="inlineStr">
        <is>
          <t xml:space="preserve">Ashish Jindal </t>
        </is>
      </c>
      <c r="H1889" s="26" t="n">
        <v>9983975581</v>
      </c>
      <c r="I1889" s="38" t="inlineStr">
        <is>
          <t>PE01052601</t>
        </is>
      </c>
      <c r="J1889" s="26" t="inlineStr">
        <is>
          <t>Multiple Issues</t>
        </is>
      </c>
      <c r="K1889" s="39" t="inlineStr">
        <is>
          <t>Holi</t>
        </is>
      </c>
      <c r="L1889" s="39" t="inlineStr">
        <is>
          <t>Maharashtra</t>
        </is>
      </c>
      <c r="M1889" s="46" t="inlineStr">
        <is>
          <t>PS</t>
        </is>
      </c>
      <c r="N1889" s="3" t="inlineStr">
        <is>
          <t>Cold Soldering</t>
        </is>
      </c>
      <c r="O1889" s="56" t="n">
        <v>575</v>
      </c>
      <c r="P1889" s="46" t="inlineStr">
        <is>
          <t>NSMI24070216630</t>
        </is>
      </c>
      <c r="Q1889" s="54">
        <f>MID(P1889,5,2)</f>
        <v/>
      </c>
      <c r="R1889" s="53">
        <f>MID(P1889,7,2)</f>
        <v/>
      </c>
      <c r="S1889" s="3" t="inlineStr">
        <is>
          <t>G2G</t>
        </is>
      </c>
      <c r="T1889" s="3" t="inlineStr">
        <is>
          <t>P4</t>
        </is>
      </c>
      <c r="U1889" s="19" t="inlineStr">
        <is>
          <t>P JB Cold Soldering</t>
        </is>
      </c>
      <c r="V1889" s="19" t="inlineStr">
        <is>
          <t>Soldering</t>
        </is>
      </c>
      <c r="W1889" s="3" t="inlineStr">
        <is>
          <t>Repair</t>
        </is>
      </c>
      <c r="X1889" s="18" t="n">
        <v>46166</v>
      </c>
      <c r="Y1889" s="73">
        <f>IF(X1889="","",X1889-A1889)</f>
        <v/>
      </c>
      <c r="Z1889" s="18" t="n">
        <v>46166</v>
      </c>
      <c r="AA1889" s="15" t="n"/>
      <c r="AB1889" s="15" t="n"/>
      <c r="AF1889">
        <f>IF(AND($F1889="Closed",$X1889&gt;=DATE(2026,5,1),$X1889&lt;=DATE(2026,5,31)),"Closed in May","Other")</f>
        <v/>
      </c>
    </row>
    <row r="1890">
      <c r="A1890" s="37" t="n">
        <v>46143</v>
      </c>
      <c r="B1890" s="3" t="n">
        <v>2026</v>
      </c>
      <c r="C1890" s="26" t="inlineStr">
        <is>
          <t>Yanara Power</t>
        </is>
      </c>
      <c r="D1890" s="3" t="inlineStr">
        <is>
          <t>Utility and C&amp;I</t>
        </is>
      </c>
      <c r="E1890" s="3" t="n"/>
      <c r="F1890" s="3" t="inlineStr">
        <is>
          <t>Closed</t>
        </is>
      </c>
      <c r="G1890" s="9" t="inlineStr">
        <is>
          <t xml:space="preserve">Ashish Jindal </t>
        </is>
      </c>
      <c r="H1890" s="26" t="n">
        <v>9983975581</v>
      </c>
      <c r="I1890" s="38" t="inlineStr">
        <is>
          <t>PE01052601</t>
        </is>
      </c>
      <c r="J1890" s="26" t="inlineStr">
        <is>
          <t>Multiple Issues</t>
        </is>
      </c>
      <c r="K1890" s="39" t="inlineStr">
        <is>
          <t>Holi</t>
        </is>
      </c>
      <c r="L1890" s="39" t="inlineStr">
        <is>
          <t>Maharashtra</t>
        </is>
      </c>
      <c r="M1890" s="46" t="inlineStr">
        <is>
          <t>PS</t>
        </is>
      </c>
      <c r="N1890" s="3" t="inlineStr">
        <is>
          <t>Cold Soldering</t>
        </is>
      </c>
      <c r="O1890" s="56" t="n">
        <v>575</v>
      </c>
      <c r="P1890" s="46" t="inlineStr">
        <is>
          <t>NSMI24070217656</t>
        </is>
      </c>
      <c r="Q1890" s="54">
        <f>MID(P1890,5,2)</f>
        <v/>
      </c>
      <c r="R1890" s="53">
        <f>MID(P1890,7,2)</f>
        <v/>
      </c>
      <c r="S1890" s="3" t="inlineStr">
        <is>
          <t>G2G</t>
        </is>
      </c>
      <c r="T1890" s="3" t="inlineStr">
        <is>
          <t>P4</t>
        </is>
      </c>
      <c r="U1890" s="19" t="inlineStr">
        <is>
          <t>P JB Cold Soldering</t>
        </is>
      </c>
      <c r="V1890" s="19" t="inlineStr">
        <is>
          <t>Soldering</t>
        </is>
      </c>
      <c r="W1890" s="3" t="inlineStr">
        <is>
          <t>Repair</t>
        </is>
      </c>
      <c r="X1890" s="18" t="n">
        <v>46166</v>
      </c>
      <c r="Y1890" s="73">
        <f>IF(X1890="","",X1890-A1890)</f>
        <v/>
      </c>
      <c r="Z1890" s="18" t="n">
        <v>46166</v>
      </c>
      <c r="AA1890" s="15" t="n"/>
      <c r="AB1890" s="15" t="n"/>
      <c r="AF1890">
        <f>IF(AND($F1890="Closed",$X1890&gt;=DATE(2026,5,1),$X1890&lt;=DATE(2026,5,31)),"Closed in May","Other")</f>
        <v/>
      </c>
    </row>
    <row r="1891">
      <c r="A1891" s="37" t="n">
        <v>46143</v>
      </c>
      <c r="B1891" s="3" t="n">
        <v>2026</v>
      </c>
      <c r="C1891" s="26" t="inlineStr">
        <is>
          <t>Yanara Power</t>
        </is>
      </c>
      <c r="D1891" s="3" t="inlineStr">
        <is>
          <t>Utility and C&amp;I</t>
        </is>
      </c>
      <c r="E1891" s="3" t="n"/>
      <c r="F1891" s="3" t="inlineStr">
        <is>
          <t>Closed</t>
        </is>
      </c>
      <c r="G1891" s="9" t="inlineStr">
        <is>
          <t xml:space="preserve">Ashish Jindal </t>
        </is>
      </c>
      <c r="H1891" s="26" t="n">
        <v>9983975581</v>
      </c>
      <c r="I1891" s="38" t="inlineStr">
        <is>
          <t>PE01052601</t>
        </is>
      </c>
      <c r="J1891" s="26" t="inlineStr">
        <is>
          <t>Multiple Issues</t>
        </is>
      </c>
      <c r="K1891" s="39" t="inlineStr">
        <is>
          <t>Holi</t>
        </is>
      </c>
      <c r="L1891" s="39" t="inlineStr">
        <is>
          <t>Maharashtra</t>
        </is>
      </c>
      <c r="M1891" s="46" t="inlineStr">
        <is>
          <t>PS</t>
        </is>
      </c>
      <c r="N1891" s="3" t="inlineStr">
        <is>
          <t>Cold Soldering</t>
        </is>
      </c>
      <c r="O1891" s="56" t="n">
        <v>575</v>
      </c>
      <c r="P1891" s="46" t="inlineStr">
        <is>
          <t>NSMI24070182029</t>
        </is>
      </c>
      <c r="Q1891" s="54">
        <f>MID(P1891,5,2)</f>
        <v/>
      </c>
      <c r="R1891" s="53">
        <f>MID(P1891,7,2)</f>
        <v/>
      </c>
      <c r="S1891" s="3" t="inlineStr">
        <is>
          <t>G2G</t>
        </is>
      </c>
      <c r="T1891" s="3" t="inlineStr">
        <is>
          <t>P4</t>
        </is>
      </c>
      <c r="U1891" s="19" t="inlineStr">
        <is>
          <t>P JB Cold Soldering</t>
        </is>
      </c>
      <c r="V1891" s="19" t="inlineStr">
        <is>
          <t>Soldering</t>
        </is>
      </c>
      <c r="W1891" s="3" t="inlineStr">
        <is>
          <t>Repair</t>
        </is>
      </c>
      <c r="X1891" s="18" t="n">
        <v>46166</v>
      </c>
      <c r="Y1891" s="73">
        <f>IF(X1891="","",X1891-A1891)</f>
        <v/>
      </c>
      <c r="Z1891" s="18" t="n">
        <v>46166</v>
      </c>
      <c r="AA1891" s="15" t="n"/>
      <c r="AB1891" s="15" t="n"/>
      <c r="AF1891">
        <f>IF(AND($F1891="Closed",$X1891&gt;=DATE(2026,5,1),$X1891&lt;=DATE(2026,5,31)),"Closed in May","Other")</f>
        <v/>
      </c>
    </row>
    <row r="1892">
      <c r="A1892" s="37" t="n">
        <v>46143</v>
      </c>
      <c r="B1892" s="3" t="n">
        <v>2026</v>
      </c>
      <c r="C1892" s="26" t="inlineStr">
        <is>
          <t>Yanara Power</t>
        </is>
      </c>
      <c r="D1892" s="3" t="inlineStr">
        <is>
          <t>Utility and C&amp;I</t>
        </is>
      </c>
      <c r="E1892" s="3" t="n"/>
      <c r="F1892" s="3" t="inlineStr">
        <is>
          <t>Closed</t>
        </is>
      </c>
      <c r="G1892" s="9" t="inlineStr">
        <is>
          <t xml:space="preserve">Ashish Jindal </t>
        </is>
      </c>
      <c r="H1892" s="26" t="n">
        <v>9983975581</v>
      </c>
      <c r="I1892" s="38" t="inlineStr">
        <is>
          <t>PE01052601</t>
        </is>
      </c>
      <c r="J1892" s="26" t="inlineStr">
        <is>
          <t>Multiple Issues</t>
        </is>
      </c>
      <c r="K1892" s="39" t="inlineStr">
        <is>
          <t>Holi</t>
        </is>
      </c>
      <c r="L1892" s="39" t="inlineStr">
        <is>
          <t>Maharashtra</t>
        </is>
      </c>
      <c r="M1892" s="46" t="inlineStr">
        <is>
          <t>NS</t>
        </is>
      </c>
      <c r="N1892" s="3" t="inlineStr">
        <is>
          <t>Cold Soldering</t>
        </is>
      </c>
      <c r="O1892" s="56" t="n">
        <v>575</v>
      </c>
      <c r="P1892" s="46" t="inlineStr">
        <is>
          <t>NSMI24070176803</t>
        </is>
      </c>
      <c r="Q1892" s="54">
        <f>MID(P1892,5,2)</f>
        <v/>
      </c>
      <c r="R1892" s="53">
        <f>MID(P1892,7,2)</f>
        <v/>
      </c>
      <c r="S1892" s="3" t="inlineStr">
        <is>
          <t>G2G</t>
        </is>
      </c>
      <c r="T1892" s="3" t="inlineStr">
        <is>
          <t>P4</t>
        </is>
      </c>
      <c r="U1892" s="3" t="inlineStr">
        <is>
          <t>N JB Cold Soldering</t>
        </is>
      </c>
      <c r="V1892" s="3" t="inlineStr">
        <is>
          <t>Soldering</t>
        </is>
      </c>
      <c r="W1892" s="3" t="inlineStr">
        <is>
          <t>Repair</t>
        </is>
      </c>
      <c r="X1892" s="18" t="n">
        <v>46166</v>
      </c>
      <c r="Y1892" s="73">
        <f>IF(X1892="","",X1892-A1892)</f>
        <v/>
      </c>
      <c r="Z1892" s="18" t="n">
        <v>46166</v>
      </c>
      <c r="AA1892" s="15" t="n"/>
      <c r="AB1892" s="15" t="n"/>
      <c r="AF1892">
        <f>IF(AND($F1892="Closed",$X1892&gt;=DATE(2026,5,1),$X1892&lt;=DATE(2026,5,31)),"Closed in May","Other")</f>
        <v/>
      </c>
    </row>
    <row r="1893">
      <c r="A1893" s="37" t="n">
        <v>46143</v>
      </c>
      <c r="B1893" s="3" t="n">
        <v>2026</v>
      </c>
      <c r="C1893" s="26" t="inlineStr">
        <is>
          <t>Yanara Power</t>
        </is>
      </c>
      <c r="D1893" s="3" t="inlineStr">
        <is>
          <t>Utility and C&amp;I</t>
        </is>
      </c>
      <c r="E1893" s="3" t="n"/>
      <c r="F1893" s="3" t="inlineStr">
        <is>
          <t>Closed</t>
        </is>
      </c>
      <c r="G1893" s="9" t="inlineStr">
        <is>
          <t xml:space="preserve">Ashish Jindal </t>
        </is>
      </c>
      <c r="H1893" s="26" t="n">
        <v>9983975581</v>
      </c>
      <c r="I1893" s="38" t="inlineStr">
        <is>
          <t>PE01052601</t>
        </is>
      </c>
      <c r="J1893" s="26" t="inlineStr">
        <is>
          <t>Multiple Issues</t>
        </is>
      </c>
      <c r="K1893" s="39" t="inlineStr">
        <is>
          <t>Holi</t>
        </is>
      </c>
      <c r="L1893" s="39" t="inlineStr">
        <is>
          <t>Maharashtra</t>
        </is>
      </c>
      <c r="M1893" s="46" t="inlineStr">
        <is>
          <t>PS</t>
        </is>
      </c>
      <c r="N1893" s="3" t="inlineStr">
        <is>
          <t>Cold Soldering</t>
        </is>
      </c>
      <c r="O1893" s="56" t="n">
        <v>575</v>
      </c>
      <c r="P1893" s="46" t="inlineStr">
        <is>
          <t>NSMI24070182133</t>
        </is>
      </c>
      <c r="Q1893" s="54">
        <f>MID(P1893,5,2)</f>
        <v/>
      </c>
      <c r="R1893" s="53">
        <f>MID(P1893,7,2)</f>
        <v/>
      </c>
      <c r="S1893" s="3" t="inlineStr">
        <is>
          <t>G2G</t>
        </is>
      </c>
      <c r="T1893" s="3" t="inlineStr">
        <is>
          <t>P4</t>
        </is>
      </c>
      <c r="U1893" s="19" t="inlineStr">
        <is>
          <t>P JB Cold Soldering</t>
        </is>
      </c>
      <c r="V1893" s="19" t="inlineStr">
        <is>
          <t>Soldering</t>
        </is>
      </c>
      <c r="W1893" s="3" t="inlineStr">
        <is>
          <t>Repair</t>
        </is>
      </c>
      <c r="X1893" s="18" t="n">
        <v>46166</v>
      </c>
      <c r="Y1893" s="73">
        <f>IF(X1893="","",X1893-A1893)</f>
        <v/>
      </c>
      <c r="Z1893" s="18" t="n">
        <v>46166</v>
      </c>
      <c r="AA1893" s="15" t="n"/>
      <c r="AB1893" s="15" t="n"/>
      <c r="AF1893">
        <f>IF(AND($F1893="Closed",$X1893&gt;=DATE(2026,5,1),$X1893&lt;=DATE(2026,5,31)),"Closed in May","Other")</f>
        <v/>
      </c>
    </row>
    <row r="1894">
      <c r="A1894" s="37" t="n">
        <v>46143</v>
      </c>
      <c r="B1894" s="3" t="n">
        <v>2026</v>
      </c>
      <c r="C1894" s="26" t="inlineStr">
        <is>
          <t>Yanara Power</t>
        </is>
      </c>
      <c r="D1894" s="3" t="inlineStr">
        <is>
          <t>Utility and C&amp;I</t>
        </is>
      </c>
      <c r="E1894" s="3" t="n"/>
      <c r="F1894" s="3" t="inlineStr">
        <is>
          <t>Closed</t>
        </is>
      </c>
      <c r="G1894" s="9" t="inlineStr">
        <is>
          <t xml:space="preserve">Ashish Jindal </t>
        </is>
      </c>
      <c r="H1894" s="26" t="n">
        <v>9983975581</v>
      </c>
      <c r="I1894" s="38" t="inlineStr">
        <is>
          <t>PE01052601</t>
        </is>
      </c>
      <c r="J1894" s="26" t="inlineStr">
        <is>
          <t>Multiple Issues</t>
        </is>
      </c>
      <c r="K1894" s="39" t="inlineStr">
        <is>
          <t>Holi</t>
        </is>
      </c>
      <c r="L1894" s="39" t="inlineStr">
        <is>
          <t>Maharashtra</t>
        </is>
      </c>
      <c r="M1894" s="46" t="inlineStr">
        <is>
          <t>NS</t>
        </is>
      </c>
      <c r="N1894" s="3" t="inlineStr">
        <is>
          <t>Cold Soldering</t>
        </is>
      </c>
      <c r="O1894" s="56" t="n">
        <v>575</v>
      </c>
      <c r="P1894" s="46" t="inlineStr">
        <is>
          <t>NSMI24070182047</t>
        </is>
      </c>
      <c r="Q1894" s="54">
        <f>MID(P1894,5,2)</f>
        <v/>
      </c>
      <c r="R1894" s="53">
        <f>MID(P1894,7,2)</f>
        <v/>
      </c>
      <c r="S1894" s="3" t="inlineStr">
        <is>
          <t>G2G</t>
        </is>
      </c>
      <c r="T1894" s="3" t="inlineStr">
        <is>
          <t>P4</t>
        </is>
      </c>
      <c r="U1894" s="3" t="inlineStr">
        <is>
          <t>N JB Cold Soldering</t>
        </is>
      </c>
      <c r="V1894" s="3" t="inlineStr">
        <is>
          <t>Soldering</t>
        </is>
      </c>
      <c r="W1894" s="3" t="inlineStr">
        <is>
          <t>Repair</t>
        </is>
      </c>
      <c r="X1894" s="18" t="n">
        <v>46166</v>
      </c>
      <c r="Y1894" s="73">
        <f>IF(X1894="","",X1894-A1894)</f>
        <v/>
      </c>
      <c r="Z1894" s="18" t="n">
        <v>46166</v>
      </c>
      <c r="AA1894" s="15" t="n"/>
      <c r="AB1894" s="15" t="n"/>
      <c r="AF1894">
        <f>IF(AND($F1894="Closed",$X1894&gt;=DATE(2026,5,1),$X1894&lt;=DATE(2026,5,31)),"Closed in May","Other")</f>
        <v/>
      </c>
    </row>
    <row r="1895">
      <c r="A1895" s="37" t="n">
        <v>46143</v>
      </c>
      <c r="B1895" s="3" t="n">
        <v>2026</v>
      </c>
      <c r="C1895" s="26" t="inlineStr">
        <is>
          <t>Yanara Power</t>
        </is>
      </c>
      <c r="D1895" s="3" t="inlineStr">
        <is>
          <t>Utility and C&amp;I</t>
        </is>
      </c>
      <c r="E1895" s="3" t="n"/>
      <c r="F1895" s="3" t="inlineStr">
        <is>
          <t>Closed</t>
        </is>
      </c>
      <c r="G1895" s="9" t="inlineStr">
        <is>
          <t xml:space="preserve">Ashish Jindal </t>
        </is>
      </c>
      <c r="H1895" s="26" t="n">
        <v>9983975581</v>
      </c>
      <c r="I1895" s="38" t="inlineStr">
        <is>
          <t>PE01052601</t>
        </is>
      </c>
      <c r="J1895" s="26" t="inlineStr">
        <is>
          <t>Multiple Issues</t>
        </is>
      </c>
      <c r="K1895" s="39" t="inlineStr">
        <is>
          <t>Holi</t>
        </is>
      </c>
      <c r="L1895" s="39" t="inlineStr">
        <is>
          <t>Maharashtra</t>
        </is>
      </c>
      <c r="M1895" s="46" t="inlineStr">
        <is>
          <t>PS</t>
        </is>
      </c>
      <c r="N1895" s="3" t="inlineStr">
        <is>
          <t>Cold Soldering</t>
        </is>
      </c>
      <c r="O1895" s="56" t="n">
        <v>575</v>
      </c>
      <c r="P1895" s="46" t="inlineStr">
        <is>
          <t>NSMI24070176783</t>
        </is>
      </c>
      <c r="Q1895" s="54">
        <f>MID(P1895,5,2)</f>
        <v/>
      </c>
      <c r="R1895" s="53">
        <f>MID(P1895,7,2)</f>
        <v/>
      </c>
      <c r="S1895" s="3" t="inlineStr">
        <is>
          <t>G2G</t>
        </is>
      </c>
      <c r="T1895" s="3" t="inlineStr">
        <is>
          <t>P4</t>
        </is>
      </c>
      <c r="U1895" s="19" t="inlineStr">
        <is>
          <t>P JB Cold Soldering</t>
        </is>
      </c>
      <c r="V1895" s="19" t="inlineStr">
        <is>
          <t>Soldering</t>
        </is>
      </c>
      <c r="W1895" s="3" t="inlineStr">
        <is>
          <t>Repair</t>
        </is>
      </c>
      <c r="X1895" s="18" t="n">
        <v>46166</v>
      </c>
      <c r="Y1895" s="73">
        <f>IF(X1895="","",X1895-A1895)</f>
        <v/>
      </c>
      <c r="Z1895" s="18" t="n">
        <v>46166</v>
      </c>
      <c r="AA1895" s="15" t="n"/>
      <c r="AB1895" s="15" t="n"/>
      <c r="AF1895">
        <f>IF(AND($F1895="Closed",$X1895&gt;=DATE(2026,5,1),$X1895&lt;=DATE(2026,5,31)),"Closed in May","Other")</f>
        <v/>
      </c>
    </row>
    <row r="1896">
      <c r="A1896" s="37" t="n">
        <v>46143</v>
      </c>
      <c r="B1896" s="3" t="n">
        <v>2026</v>
      </c>
      <c r="C1896" s="26" t="inlineStr">
        <is>
          <t>Yanara Power</t>
        </is>
      </c>
      <c r="D1896" s="3" t="inlineStr">
        <is>
          <t>Utility and C&amp;I</t>
        </is>
      </c>
      <c r="E1896" s="3" t="n"/>
      <c r="F1896" s="3" t="inlineStr">
        <is>
          <t>Closed</t>
        </is>
      </c>
      <c r="G1896" s="9" t="inlineStr">
        <is>
          <t xml:space="preserve">Ashish Jindal </t>
        </is>
      </c>
      <c r="H1896" s="26" t="n">
        <v>9983975581</v>
      </c>
      <c r="I1896" s="38" t="inlineStr">
        <is>
          <t>PE01052601</t>
        </is>
      </c>
      <c r="J1896" s="26" t="inlineStr">
        <is>
          <t>Multiple Issues</t>
        </is>
      </c>
      <c r="K1896" s="39" t="inlineStr">
        <is>
          <t>Holi</t>
        </is>
      </c>
      <c r="L1896" s="39" t="inlineStr">
        <is>
          <t>Maharashtra</t>
        </is>
      </c>
      <c r="M1896" s="46" t="inlineStr">
        <is>
          <t>PS</t>
        </is>
      </c>
      <c r="N1896" s="3" t="inlineStr">
        <is>
          <t>Cold Soldering</t>
        </is>
      </c>
      <c r="O1896" s="56" t="n">
        <v>575</v>
      </c>
      <c r="P1896" s="46" t="inlineStr">
        <is>
          <t>NSMI24070176861</t>
        </is>
      </c>
      <c r="Q1896" s="54">
        <f>MID(P1896,5,2)</f>
        <v/>
      </c>
      <c r="R1896" s="53">
        <f>MID(P1896,7,2)</f>
        <v/>
      </c>
      <c r="S1896" s="3" t="inlineStr">
        <is>
          <t>G2G</t>
        </is>
      </c>
      <c r="T1896" s="3" t="inlineStr">
        <is>
          <t>P4</t>
        </is>
      </c>
      <c r="U1896" s="19" t="inlineStr">
        <is>
          <t>P JB Cold Soldering</t>
        </is>
      </c>
      <c r="V1896" s="19" t="inlineStr">
        <is>
          <t>Soldering</t>
        </is>
      </c>
      <c r="W1896" s="3" t="inlineStr">
        <is>
          <t>Repair</t>
        </is>
      </c>
      <c r="X1896" s="18" t="n">
        <v>46166</v>
      </c>
      <c r="Y1896" s="73">
        <f>IF(X1896="","",X1896-A1896)</f>
        <v/>
      </c>
      <c r="Z1896" s="18" t="n">
        <v>46166</v>
      </c>
      <c r="AA1896" s="15" t="n"/>
      <c r="AB1896" s="15" t="n"/>
      <c r="AF1896">
        <f>IF(AND($F1896="Closed",$X1896&gt;=DATE(2026,5,1),$X1896&lt;=DATE(2026,5,31)),"Closed in May","Other")</f>
        <v/>
      </c>
    </row>
    <row r="1897">
      <c r="A1897" s="37" t="n">
        <v>46143</v>
      </c>
      <c r="B1897" s="3" t="n">
        <v>2026</v>
      </c>
      <c r="C1897" s="26" t="inlineStr">
        <is>
          <t>Yanara Power</t>
        </is>
      </c>
      <c r="D1897" s="3" t="inlineStr">
        <is>
          <t>Utility and C&amp;I</t>
        </is>
      </c>
      <c r="E1897" s="3" t="n"/>
      <c r="F1897" s="3" t="inlineStr">
        <is>
          <t>Closed</t>
        </is>
      </c>
      <c r="G1897" s="9" t="inlineStr">
        <is>
          <t xml:space="preserve">Ashish Jindal </t>
        </is>
      </c>
      <c r="H1897" s="26" t="n">
        <v>9983975581</v>
      </c>
      <c r="I1897" s="38" t="inlineStr">
        <is>
          <t>PE01052601</t>
        </is>
      </c>
      <c r="J1897" s="26" t="inlineStr">
        <is>
          <t>Multiple Issues</t>
        </is>
      </c>
      <c r="K1897" s="39" t="inlineStr">
        <is>
          <t>Holi</t>
        </is>
      </c>
      <c r="L1897" s="39" t="inlineStr">
        <is>
          <t>Maharashtra</t>
        </is>
      </c>
      <c r="M1897" s="46" t="inlineStr">
        <is>
          <t>PS</t>
        </is>
      </c>
      <c r="N1897" s="3" t="inlineStr">
        <is>
          <t>Cold Soldering</t>
        </is>
      </c>
      <c r="O1897" s="56" t="n">
        <v>575</v>
      </c>
      <c r="P1897" s="46" t="inlineStr">
        <is>
          <t>NSMI24070198528</t>
        </is>
      </c>
      <c r="Q1897" s="54">
        <f>MID(P1897,5,2)</f>
        <v/>
      </c>
      <c r="R1897" s="53">
        <f>MID(P1897,7,2)</f>
        <v/>
      </c>
      <c r="S1897" s="3" t="inlineStr">
        <is>
          <t>G2G</t>
        </is>
      </c>
      <c r="T1897" s="3" t="inlineStr">
        <is>
          <t>P4</t>
        </is>
      </c>
      <c r="U1897" s="19" t="inlineStr">
        <is>
          <t>P JB Cold Soldering</t>
        </is>
      </c>
      <c r="V1897" s="19" t="inlineStr">
        <is>
          <t>Soldering</t>
        </is>
      </c>
      <c r="W1897" s="3" t="inlineStr">
        <is>
          <t>Repair</t>
        </is>
      </c>
      <c r="X1897" s="18" t="n">
        <v>46166</v>
      </c>
      <c r="Y1897" s="73">
        <f>IF(X1897="","",X1897-A1897)</f>
        <v/>
      </c>
      <c r="Z1897" s="18" t="n">
        <v>46166</v>
      </c>
      <c r="AA1897" s="15" t="n"/>
      <c r="AB1897" s="15" t="n"/>
      <c r="AF1897">
        <f>IF(AND($F1897="Closed",$X1897&gt;=DATE(2026,5,1),$X1897&lt;=DATE(2026,5,31)),"Closed in May","Other")</f>
        <v/>
      </c>
    </row>
    <row r="1898">
      <c r="A1898" s="37" t="n">
        <v>46143</v>
      </c>
      <c r="B1898" s="3" t="n">
        <v>2026</v>
      </c>
      <c r="C1898" s="26" t="inlineStr">
        <is>
          <t>Yanara Power</t>
        </is>
      </c>
      <c r="D1898" s="3" t="inlineStr">
        <is>
          <t>Utility and C&amp;I</t>
        </is>
      </c>
      <c r="E1898" s="3" t="n"/>
      <c r="F1898" s="3" t="inlineStr">
        <is>
          <t>Closed</t>
        </is>
      </c>
      <c r="G1898" s="9" t="inlineStr">
        <is>
          <t xml:space="preserve">Ashish Jindal </t>
        </is>
      </c>
      <c r="H1898" s="26" t="n">
        <v>9983975581</v>
      </c>
      <c r="I1898" s="38" t="inlineStr">
        <is>
          <t>PE01052601</t>
        </is>
      </c>
      <c r="J1898" s="26" t="inlineStr">
        <is>
          <t>Multiple Issues</t>
        </is>
      </c>
      <c r="K1898" s="39" t="inlineStr">
        <is>
          <t>Holi</t>
        </is>
      </c>
      <c r="L1898" s="39" t="inlineStr">
        <is>
          <t>Maharashtra</t>
        </is>
      </c>
      <c r="M1898" s="46" t="inlineStr">
        <is>
          <t>OK</t>
        </is>
      </c>
      <c r="N1898" s="3" t="inlineStr">
        <is>
          <t>No Issue</t>
        </is>
      </c>
      <c r="O1898" s="56" t="n">
        <v>575</v>
      </c>
      <c r="P1898" s="46" t="inlineStr">
        <is>
          <t>NSMI24070179370</t>
        </is>
      </c>
      <c r="Q1898" s="54">
        <f>MID(P1898,5,2)</f>
        <v/>
      </c>
      <c r="R1898" s="53">
        <f>MID(P1898,7,2)</f>
        <v/>
      </c>
      <c r="S1898" s="3" t="inlineStr">
        <is>
          <t>G2G</t>
        </is>
      </c>
      <c r="T1898" s="3" t="inlineStr">
        <is>
          <t>P4</t>
        </is>
      </c>
      <c r="U1898" s="19" t="inlineStr">
        <is>
          <t>No Issue Found</t>
        </is>
      </c>
      <c r="V1898" s="19" t="inlineStr">
        <is>
          <t>Found OK</t>
        </is>
      </c>
      <c r="W1898" s="3" t="inlineStr">
        <is>
          <t>Repair</t>
        </is>
      </c>
      <c r="X1898" s="18" t="n">
        <v>46166</v>
      </c>
      <c r="Y1898" s="73">
        <f>IF(X1898="","",X1898-A1898)</f>
        <v/>
      </c>
      <c r="Z1898" s="18" t="n">
        <v>46166</v>
      </c>
      <c r="AA1898" s="15" t="n"/>
      <c r="AB1898" s="15" t="n"/>
      <c r="AF1898">
        <f>IF(AND($F1898="Closed",$X1898&gt;=DATE(2026,5,1),$X1898&lt;=DATE(2026,5,31)),"Closed in May","Other")</f>
        <v/>
      </c>
    </row>
    <row r="1899">
      <c r="A1899" s="37" t="n">
        <v>46143</v>
      </c>
      <c r="B1899" s="3" t="n">
        <v>2026</v>
      </c>
      <c r="C1899" s="26" t="inlineStr">
        <is>
          <t>Yanara Power</t>
        </is>
      </c>
      <c r="D1899" s="3" t="inlineStr">
        <is>
          <t>Utility and C&amp;I</t>
        </is>
      </c>
      <c r="E1899" s="3" t="n"/>
      <c r="F1899" s="3" t="inlineStr">
        <is>
          <t>Closed</t>
        </is>
      </c>
      <c r="G1899" s="9" t="inlineStr">
        <is>
          <t xml:space="preserve">Ashish Jindal </t>
        </is>
      </c>
      <c r="H1899" s="26" t="n">
        <v>9983975581</v>
      </c>
      <c r="I1899" s="38" t="inlineStr">
        <is>
          <t>PE01052601</t>
        </is>
      </c>
      <c r="J1899" s="26" t="inlineStr">
        <is>
          <t>Multiple Issues</t>
        </is>
      </c>
      <c r="K1899" s="39" t="inlineStr">
        <is>
          <t>Holi</t>
        </is>
      </c>
      <c r="L1899" s="39" t="inlineStr">
        <is>
          <t>Maharashtra</t>
        </is>
      </c>
      <c r="M1899" s="46" t="inlineStr">
        <is>
          <t>NS</t>
        </is>
      </c>
      <c r="N1899" s="3" t="inlineStr">
        <is>
          <t>Cold Soldering</t>
        </is>
      </c>
      <c r="O1899" s="56" t="n">
        <v>575</v>
      </c>
      <c r="P1899" s="46" t="inlineStr">
        <is>
          <t>NSMI24070219183</t>
        </is>
      </c>
      <c r="Q1899" s="54">
        <f>MID(P1899,5,2)</f>
        <v/>
      </c>
      <c r="R1899" s="53">
        <f>MID(P1899,7,2)</f>
        <v/>
      </c>
      <c r="S1899" s="3" t="inlineStr">
        <is>
          <t>G2G</t>
        </is>
      </c>
      <c r="T1899" s="3" t="inlineStr">
        <is>
          <t>P4</t>
        </is>
      </c>
      <c r="U1899" s="3" t="inlineStr">
        <is>
          <t>N JB Cold Soldering</t>
        </is>
      </c>
      <c r="V1899" s="3" t="inlineStr">
        <is>
          <t>Soldering</t>
        </is>
      </c>
      <c r="W1899" s="3" t="inlineStr">
        <is>
          <t>Repair</t>
        </is>
      </c>
      <c r="X1899" s="18" t="n">
        <v>46166</v>
      </c>
      <c r="Y1899" s="73">
        <f>IF(X1899="","",X1899-A1899)</f>
        <v/>
      </c>
      <c r="Z1899" s="18" t="n">
        <v>46166</v>
      </c>
      <c r="AA1899" s="15" t="n"/>
      <c r="AB1899" s="15" t="n"/>
      <c r="AF1899">
        <f>IF(AND($F1899="Closed",$X1899&gt;=DATE(2026,5,1),$X1899&lt;=DATE(2026,5,31)),"Closed in May","Other")</f>
        <v/>
      </c>
    </row>
    <row r="1900">
      <c r="A1900" s="37" t="n">
        <v>46143</v>
      </c>
      <c r="B1900" s="3" t="n">
        <v>2026</v>
      </c>
      <c r="C1900" s="26" t="inlineStr">
        <is>
          <t>Yanara Power</t>
        </is>
      </c>
      <c r="D1900" s="3" t="inlineStr">
        <is>
          <t>Utility and C&amp;I</t>
        </is>
      </c>
      <c r="E1900" s="3" t="n"/>
      <c r="F1900" s="3" t="inlineStr">
        <is>
          <t>Closed</t>
        </is>
      </c>
      <c r="G1900" s="9" t="inlineStr">
        <is>
          <t xml:space="preserve">Ashish Jindal </t>
        </is>
      </c>
      <c r="H1900" s="26" t="n">
        <v>9983975581</v>
      </c>
      <c r="I1900" s="38" t="inlineStr">
        <is>
          <t>PE01052601</t>
        </is>
      </c>
      <c r="J1900" s="26" t="inlineStr">
        <is>
          <t>Multiple Issues</t>
        </is>
      </c>
      <c r="K1900" s="39" t="inlineStr">
        <is>
          <t>Holi</t>
        </is>
      </c>
      <c r="L1900" s="39" t="inlineStr">
        <is>
          <t>Maharashtra</t>
        </is>
      </c>
      <c r="M1900" s="46" t="inlineStr">
        <is>
          <t>PS</t>
        </is>
      </c>
      <c r="N1900" s="3" t="inlineStr">
        <is>
          <t>Cold Soldering</t>
        </is>
      </c>
      <c r="O1900" s="56" t="n">
        <v>575</v>
      </c>
      <c r="P1900" s="46" t="inlineStr">
        <is>
          <t>NSMI24070217259</t>
        </is>
      </c>
      <c r="Q1900" s="54">
        <f>MID(P1900,5,2)</f>
        <v/>
      </c>
      <c r="R1900" s="53">
        <f>MID(P1900,7,2)</f>
        <v/>
      </c>
      <c r="S1900" s="3" t="inlineStr">
        <is>
          <t>G2G</t>
        </is>
      </c>
      <c r="T1900" s="3" t="inlineStr">
        <is>
          <t>P4</t>
        </is>
      </c>
      <c r="U1900" s="19" t="inlineStr">
        <is>
          <t>P JB Cold Soldering</t>
        </is>
      </c>
      <c r="V1900" s="19" t="inlineStr">
        <is>
          <t>Soldering</t>
        </is>
      </c>
      <c r="W1900" s="3" t="inlineStr">
        <is>
          <t>Repair</t>
        </is>
      </c>
      <c r="X1900" s="18" t="n">
        <v>46166</v>
      </c>
      <c r="Y1900" s="73">
        <f>IF(X1900="","",X1900-A1900)</f>
        <v/>
      </c>
      <c r="Z1900" s="18" t="n">
        <v>46166</v>
      </c>
      <c r="AA1900" s="15" t="n"/>
      <c r="AB1900" s="15" t="n"/>
      <c r="AF1900">
        <f>IF(AND($F1900="Closed",$X1900&gt;=DATE(2026,5,1),$X1900&lt;=DATE(2026,5,31)),"Closed in May","Other")</f>
        <v/>
      </c>
    </row>
    <row r="1901">
      <c r="A1901" s="37" t="n">
        <v>46143</v>
      </c>
      <c r="B1901" s="3" t="n">
        <v>2026</v>
      </c>
      <c r="C1901" s="26" t="inlineStr">
        <is>
          <t>Yanara Power</t>
        </is>
      </c>
      <c r="D1901" s="3" t="inlineStr">
        <is>
          <t>Utility and C&amp;I</t>
        </is>
      </c>
      <c r="E1901" s="3" t="n"/>
      <c r="F1901" s="3" t="inlineStr">
        <is>
          <t>Closed</t>
        </is>
      </c>
      <c r="G1901" s="9" t="inlineStr">
        <is>
          <t xml:space="preserve">Ashish Jindal </t>
        </is>
      </c>
      <c r="H1901" s="26" t="n">
        <v>9983975581</v>
      </c>
      <c r="I1901" s="38" t="inlineStr">
        <is>
          <t>PE01052601</t>
        </is>
      </c>
      <c r="J1901" s="26" t="inlineStr">
        <is>
          <t>Multiple Issues</t>
        </is>
      </c>
      <c r="K1901" s="39" t="inlineStr">
        <is>
          <t>Holi</t>
        </is>
      </c>
      <c r="L1901" s="39" t="inlineStr">
        <is>
          <t>Maharashtra</t>
        </is>
      </c>
      <c r="M1901" s="46" t="inlineStr">
        <is>
          <t>PS</t>
        </is>
      </c>
      <c r="N1901" s="3" t="inlineStr">
        <is>
          <t>Cold Soldering</t>
        </is>
      </c>
      <c r="O1901" s="56" t="n">
        <v>575</v>
      </c>
      <c r="P1901" s="46" t="inlineStr">
        <is>
          <t>NSMI24070217312</t>
        </is>
      </c>
      <c r="Q1901" s="54">
        <f>MID(P1901,5,2)</f>
        <v/>
      </c>
      <c r="R1901" s="53">
        <f>MID(P1901,7,2)</f>
        <v/>
      </c>
      <c r="S1901" s="3" t="inlineStr">
        <is>
          <t>G2G</t>
        </is>
      </c>
      <c r="T1901" s="3" t="inlineStr">
        <is>
          <t>P4</t>
        </is>
      </c>
      <c r="U1901" s="19" t="inlineStr">
        <is>
          <t>P JB Cold Soldering</t>
        </is>
      </c>
      <c r="V1901" s="19" t="inlineStr">
        <is>
          <t>Soldering</t>
        </is>
      </c>
      <c r="W1901" s="3" t="inlineStr">
        <is>
          <t>Repair</t>
        </is>
      </c>
      <c r="X1901" s="18" t="n">
        <v>46166</v>
      </c>
      <c r="Y1901" s="73">
        <f>IF(X1901="","",X1901-A1901)</f>
        <v/>
      </c>
      <c r="Z1901" s="18" t="n">
        <v>46166</v>
      </c>
      <c r="AA1901" s="15" t="n"/>
      <c r="AB1901" s="15" t="n"/>
      <c r="AF1901">
        <f>IF(AND($F1901="Closed",$X1901&gt;=DATE(2026,5,1),$X1901&lt;=DATE(2026,5,31)),"Closed in May","Other")</f>
        <v/>
      </c>
    </row>
    <row r="1902">
      <c r="A1902" s="37" t="n">
        <v>46143</v>
      </c>
      <c r="B1902" s="3" t="n">
        <v>2026</v>
      </c>
      <c r="C1902" s="26" t="inlineStr">
        <is>
          <t>Yanara Power</t>
        </is>
      </c>
      <c r="D1902" s="3" t="inlineStr">
        <is>
          <t>Utility and C&amp;I</t>
        </is>
      </c>
      <c r="E1902" s="3" t="n"/>
      <c r="F1902" s="3" t="inlineStr">
        <is>
          <t>Closed</t>
        </is>
      </c>
      <c r="G1902" s="9" t="inlineStr">
        <is>
          <t xml:space="preserve">Ashish Jindal </t>
        </is>
      </c>
      <c r="H1902" s="26" t="n">
        <v>9983975581</v>
      </c>
      <c r="I1902" s="38" t="inlineStr">
        <is>
          <t>PE01052601</t>
        </is>
      </c>
      <c r="J1902" s="26" t="inlineStr">
        <is>
          <t>Multiple Issues</t>
        </is>
      </c>
      <c r="K1902" s="39" t="inlineStr">
        <is>
          <t>Holi</t>
        </is>
      </c>
      <c r="L1902" s="39" t="inlineStr">
        <is>
          <t>Maharashtra</t>
        </is>
      </c>
      <c r="M1902" s="46" t="inlineStr">
        <is>
          <t>NS</t>
        </is>
      </c>
      <c r="N1902" s="3" t="inlineStr">
        <is>
          <t>Cold Soldering</t>
        </is>
      </c>
      <c r="O1902" s="56" t="n">
        <v>575</v>
      </c>
      <c r="P1902" s="46" t="inlineStr">
        <is>
          <t>NSMI24070216849</t>
        </is>
      </c>
      <c r="Q1902" s="54">
        <f>MID(P1902,5,2)</f>
        <v/>
      </c>
      <c r="R1902" s="53">
        <f>MID(P1902,7,2)</f>
        <v/>
      </c>
      <c r="S1902" s="3" t="inlineStr">
        <is>
          <t>G2G</t>
        </is>
      </c>
      <c r="T1902" s="3" t="inlineStr">
        <is>
          <t>P4</t>
        </is>
      </c>
      <c r="U1902" s="3" t="inlineStr">
        <is>
          <t>N JB Cold Soldering</t>
        </is>
      </c>
      <c r="V1902" s="3" t="inlineStr">
        <is>
          <t>Soldering</t>
        </is>
      </c>
      <c r="W1902" s="3" t="inlineStr">
        <is>
          <t>Repair</t>
        </is>
      </c>
      <c r="X1902" s="18" t="n">
        <v>46166</v>
      </c>
      <c r="Y1902" s="73">
        <f>IF(X1902="","",X1902-A1902)</f>
        <v/>
      </c>
      <c r="Z1902" s="18" t="n">
        <v>46166</v>
      </c>
      <c r="AA1902" s="15" t="n"/>
      <c r="AB1902" s="15" t="n"/>
      <c r="AF1902">
        <f>IF(AND($F1902="Closed",$X1902&gt;=DATE(2026,5,1),$X1902&lt;=DATE(2026,5,31)),"Closed in May","Other")</f>
        <v/>
      </c>
    </row>
    <row r="1903">
      <c r="A1903" s="37" t="n">
        <v>46143</v>
      </c>
      <c r="B1903" s="3" t="n">
        <v>2026</v>
      </c>
      <c r="C1903" s="26" t="inlineStr">
        <is>
          <t>Yanara Power</t>
        </is>
      </c>
      <c r="D1903" s="3" t="inlineStr">
        <is>
          <t>Utility and C&amp;I</t>
        </is>
      </c>
      <c r="E1903" s="3" t="n"/>
      <c r="F1903" s="3" t="inlineStr">
        <is>
          <t>Closed</t>
        </is>
      </c>
      <c r="G1903" s="9" t="inlineStr">
        <is>
          <t xml:space="preserve">Ashish Jindal </t>
        </is>
      </c>
      <c r="H1903" s="26" t="n">
        <v>9983975581</v>
      </c>
      <c r="I1903" s="38" t="inlineStr">
        <is>
          <t>PE01052601</t>
        </is>
      </c>
      <c r="J1903" s="26" t="inlineStr">
        <is>
          <t>Multiple Issues</t>
        </is>
      </c>
      <c r="K1903" s="39" t="inlineStr">
        <is>
          <t>Holi</t>
        </is>
      </c>
      <c r="L1903" s="39" t="inlineStr">
        <is>
          <t>Maharashtra</t>
        </is>
      </c>
      <c r="M1903" s="46" t="inlineStr">
        <is>
          <t>PR</t>
        </is>
      </c>
      <c r="N1903" s="3" t="inlineStr">
        <is>
          <t>JB Issue</t>
        </is>
      </c>
      <c r="O1903" s="56" t="n">
        <v>575</v>
      </c>
      <c r="P1903" s="46" t="inlineStr">
        <is>
          <t>NSMI24070217143</t>
        </is>
      </c>
      <c r="Q1903" s="54">
        <f>MID(P1903,5,2)</f>
        <v/>
      </c>
      <c r="R1903" s="53">
        <f>MID(P1903,7,2)</f>
        <v/>
      </c>
      <c r="S1903" s="3" t="inlineStr">
        <is>
          <t>G2G</t>
        </is>
      </c>
      <c r="T1903" s="3" t="inlineStr">
        <is>
          <t>P4</t>
        </is>
      </c>
      <c r="U1903" s="3" t="inlineStr">
        <is>
          <t>P JB Issue</t>
        </is>
      </c>
      <c r="V1903" s="15" t="inlineStr">
        <is>
          <t>JB Changed</t>
        </is>
      </c>
      <c r="W1903" s="3" t="inlineStr">
        <is>
          <t>Repair</t>
        </is>
      </c>
      <c r="X1903" s="18" t="n">
        <v>46166</v>
      </c>
      <c r="Y1903" s="73">
        <f>IF(X1903="","",X1903-A1903)</f>
        <v/>
      </c>
      <c r="Z1903" s="18" t="n">
        <v>46166</v>
      </c>
      <c r="AA1903" s="15" t="n"/>
      <c r="AB1903" s="15" t="n"/>
      <c r="AF1903">
        <f>IF(AND($F1903="Closed",$X1903&gt;=DATE(2026,5,1),$X1903&lt;=DATE(2026,5,31)),"Closed in May","Other")</f>
        <v/>
      </c>
    </row>
    <row r="1904">
      <c r="A1904" s="37" t="n">
        <v>46143</v>
      </c>
      <c r="B1904" s="3" t="n">
        <v>2026</v>
      </c>
      <c r="C1904" s="26" t="inlineStr">
        <is>
          <t>Yanara Power</t>
        </is>
      </c>
      <c r="D1904" s="3" t="inlineStr">
        <is>
          <t>Utility and C&amp;I</t>
        </is>
      </c>
      <c r="E1904" s="3" t="n"/>
      <c r="F1904" s="3" t="inlineStr">
        <is>
          <t>Closed</t>
        </is>
      </c>
      <c r="G1904" s="9" t="inlineStr">
        <is>
          <t xml:space="preserve">Ashish Jindal </t>
        </is>
      </c>
      <c r="H1904" s="26" t="n">
        <v>9983975581</v>
      </c>
      <c r="I1904" s="38" t="inlineStr">
        <is>
          <t>PE01052601</t>
        </is>
      </c>
      <c r="J1904" s="26" t="inlineStr">
        <is>
          <t>Multiple Issues</t>
        </is>
      </c>
      <c r="K1904" s="39" t="inlineStr">
        <is>
          <t>Holi</t>
        </is>
      </c>
      <c r="L1904" s="39" t="inlineStr">
        <is>
          <t>Maharashtra</t>
        </is>
      </c>
      <c r="M1904" s="46" t="inlineStr">
        <is>
          <t>PS</t>
        </is>
      </c>
      <c r="N1904" s="3" t="inlineStr">
        <is>
          <t>Cold Soldering</t>
        </is>
      </c>
      <c r="O1904" s="56" t="n">
        <v>575</v>
      </c>
      <c r="P1904" s="46" t="inlineStr">
        <is>
          <t>NSMI24070216191</t>
        </is>
      </c>
      <c r="Q1904" s="54">
        <f>MID(P1904,5,2)</f>
        <v/>
      </c>
      <c r="R1904" s="53">
        <f>MID(P1904,7,2)</f>
        <v/>
      </c>
      <c r="S1904" s="3" t="inlineStr">
        <is>
          <t>G2G</t>
        </is>
      </c>
      <c r="T1904" s="3" t="inlineStr">
        <is>
          <t>P4</t>
        </is>
      </c>
      <c r="U1904" s="19" t="inlineStr">
        <is>
          <t>P JB Cold Soldering</t>
        </is>
      </c>
      <c r="V1904" s="19" t="inlineStr">
        <is>
          <t>Soldering</t>
        </is>
      </c>
      <c r="W1904" s="3" t="inlineStr">
        <is>
          <t>Repair</t>
        </is>
      </c>
      <c r="X1904" s="18" t="n">
        <v>46166</v>
      </c>
      <c r="Y1904" s="73">
        <f>IF(X1904="","",X1904-A1904)</f>
        <v/>
      </c>
      <c r="Z1904" s="18" t="n">
        <v>46166</v>
      </c>
      <c r="AA1904" s="15" t="n"/>
      <c r="AB1904" s="15" t="n"/>
      <c r="AF1904">
        <f>IF(AND($F1904="Closed",$X1904&gt;=DATE(2026,5,1),$X1904&lt;=DATE(2026,5,31)),"Closed in May","Other")</f>
        <v/>
      </c>
    </row>
    <row r="1905">
      <c r="A1905" s="37" t="n">
        <v>46143</v>
      </c>
      <c r="B1905" s="3" t="n">
        <v>2026</v>
      </c>
      <c r="C1905" s="26" t="inlineStr">
        <is>
          <t>Yanara Power</t>
        </is>
      </c>
      <c r="D1905" s="3" t="inlineStr">
        <is>
          <t>Utility and C&amp;I</t>
        </is>
      </c>
      <c r="E1905" s="3" t="n"/>
      <c r="F1905" s="3" t="inlineStr">
        <is>
          <t>Closed</t>
        </is>
      </c>
      <c r="G1905" s="9" t="inlineStr">
        <is>
          <t xml:space="preserve">Ashish Jindal </t>
        </is>
      </c>
      <c r="H1905" s="26" t="n">
        <v>9983975581</v>
      </c>
      <c r="I1905" s="38" t="inlineStr">
        <is>
          <t>PE01052601</t>
        </is>
      </c>
      <c r="J1905" s="26" t="inlineStr">
        <is>
          <t>Multiple Issues</t>
        </is>
      </c>
      <c r="K1905" s="39" t="inlineStr">
        <is>
          <t>Holi</t>
        </is>
      </c>
      <c r="L1905" s="39" t="inlineStr">
        <is>
          <t>Maharashtra</t>
        </is>
      </c>
      <c r="M1905" s="46" t="inlineStr">
        <is>
          <t>NS</t>
        </is>
      </c>
      <c r="N1905" s="3" t="inlineStr">
        <is>
          <t>Cold Soldering</t>
        </is>
      </c>
      <c r="O1905" s="56" t="n">
        <v>575</v>
      </c>
      <c r="P1905" s="46" t="inlineStr">
        <is>
          <t>NSMI24070221934</t>
        </is>
      </c>
      <c r="Q1905" s="54">
        <f>MID(P1905,5,2)</f>
        <v/>
      </c>
      <c r="R1905" s="53">
        <f>MID(P1905,7,2)</f>
        <v/>
      </c>
      <c r="S1905" s="3" t="inlineStr">
        <is>
          <t>G2G</t>
        </is>
      </c>
      <c r="T1905" s="3" t="inlineStr">
        <is>
          <t>P4</t>
        </is>
      </c>
      <c r="U1905" s="3" t="inlineStr">
        <is>
          <t>N JB Cold Soldering</t>
        </is>
      </c>
      <c r="V1905" s="3" t="inlineStr">
        <is>
          <t>Soldering</t>
        </is>
      </c>
      <c r="W1905" s="3" t="inlineStr">
        <is>
          <t>Repair</t>
        </is>
      </c>
      <c r="X1905" s="18" t="n">
        <v>46166</v>
      </c>
      <c r="Y1905" s="73">
        <f>IF(X1905="","",X1905-A1905)</f>
        <v/>
      </c>
      <c r="Z1905" s="18" t="n">
        <v>46166</v>
      </c>
      <c r="AA1905" s="15" t="n"/>
      <c r="AB1905" s="15" t="n"/>
      <c r="AF1905">
        <f>IF(AND($F1905="Closed",$X1905&gt;=DATE(2026,5,1),$X1905&lt;=DATE(2026,5,31)),"Closed in May","Other")</f>
        <v/>
      </c>
    </row>
    <row r="1906">
      <c r="A1906" s="37" t="n">
        <v>46143</v>
      </c>
      <c r="B1906" s="3" t="n">
        <v>2026</v>
      </c>
      <c r="C1906" s="26" t="inlineStr">
        <is>
          <t>Yanara Power</t>
        </is>
      </c>
      <c r="D1906" s="3" t="inlineStr">
        <is>
          <t>Utility and C&amp;I</t>
        </is>
      </c>
      <c r="E1906" s="3" t="n"/>
      <c r="F1906" s="3" t="inlineStr">
        <is>
          <t>Closed</t>
        </is>
      </c>
      <c r="G1906" s="9" t="inlineStr">
        <is>
          <t xml:space="preserve">Ashish Jindal </t>
        </is>
      </c>
      <c r="H1906" s="26" t="n">
        <v>9983975581</v>
      </c>
      <c r="I1906" s="38" t="inlineStr">
        <is>
          <t>PE01052601</t>
        </is>
      </c>
      <c r="J1906" s="26" t="inlineStr">
        <is>
          <t>Multiple Issues</t>
        </is>
      </c>
      <c r="K1906" s="39" t="inlineStr">
        <is>
          <t>Holi</t>
        </is>
      </c>
      <c r="L1906" s="39" t="inlineStr">
        <is>
          <t>Maharashtra</t>
        </is>
      </c>
      <c r="M1906" s="46" t="inlineStr">
        <is>
          <t>NS</t>
        </is>
      </c>
      <c r="N1906" s="3" t="inlineStr">
        <is>
          <t>Cold Soldering</t>
        </is>
      </c>
      <c r="O1906" s="56" t="n">
        <v>575</v>
      </c>
      <c r="P1906" s="46" t="inlineStr">
        <is>
          <t>NSMI24070219732</t>
        </is>
      </c>
      <c r="Q1906" s="54">
        <f>MID(P1906,5,2)</f>
        <v/>
      </c>
      <c r="R1906" s="53">
        <f>MID(P1906,7,2)</f>
        <v/>
      </c>
      <c r="S1906" s="3" t="inlineStr">
        <is>
          <t>G2G</t>
        </is>
      </c>
      <c r="T1906" s="3" t="inlineStr">
        <is>
          <t>P4</t>
        </is>
      </c>
      <c r="U1906" s="3" t="inlineStr">
        <is>
          <t>N JB Cold Soldering</t>
        </is>
      </c>
      <c r="V1906" s="3" t="inlineStr">
        <is>
          <t>Soldering</t>
        </is>
      </c>
      <c r="W1906" s="3" t="inlineStr">
        <is>
          <t>Repair</t>
        </is>
      </c>
      <c r="X1906" s="18" t="n">
        <v>46166</v>
      </c>
      <c r="Y1906" s="73">
        <f>IF(X1906="","",X1906-A1906)</f>
        <v/>
      </c>
      <c r="Z1906" s="18" t="n">
        <v>46166</v>
      </c>
      <c r="AA1906" s="15" t="n"/>
      <c r="AB1906" s="15" t="n"/>
      <c r="AF1906">
        <f>IF(AND($F1906="Closed",$X1906&gt;=DATE(2026,5,1),$X1906&lt;=DATE(2026,5,31)),"Closed in May","Other")</f>
        <v/>
      </c>
    </row>
    <row r="1907">
      <c r="A1907" s="37" t="n">
        <v>46143</v>
      </c>
      <c r="B1907" s="3" t="n">
        <v>2026</v>
      </c>
      <c r="C1907" s="26" t="inlineStr">
        <is>
          <t>Yanara Power</t>
        </is>
      </c>
      <c r="D1907" s="3" t="inlineStr">
        <is>
          <t>Utility and C&amp;I</t>
        </is>
      </c>
      <c r="E1907" s="3" t="n"/>
      <c r="F1907" s="3" t="inlineStr">
        <is>
          <t>Closed</t>
        </is>
      </c>
      <c r="G1907" s="9" t="inlineStr">
        <is>
          <t xml:space="preserve">Ashish Jindal </t>
        </is>
      </c>
      <c r="H1907" s="26" t="n">
        <v>9983975581</v>
      </c>
      <c r="I1907" s="38" t="inlineStr">
        <is>
          <t>PE01052601</t>
        </is>
      </c>
      <c r="J1907" s="26" t="inlineStr">
        <is>
          <t>Multiple Issues</t>
        </is>
      </c>
      <c r="K1907" s="39" t="inlineStr">
        <is>
          <t>Holi</t>
        </is>
      </c>
      <c r="L1907" s="39" t="inlineStr">
        <is>
          <t>Maharashtra</t>
        </is>
      </c>
      <c r="M1907" s="46" t="inlineStr">
        <is>
          <t>PS</t>
        </is>
      </c>
      <c r="N1907" s="3" t="inlineStr">
        <is>
          <t>Cold Soldering</t>
        </is>
      </c>
      <c r="O1907" s="56" t="n">
        <v>575</v>
      </c>
      <c r="P1907" s="46" t="inlineStr">
        <is>
          <t>NSMI24070185064</t>
        </is>
      </c>
      <c r="Q1907" s="54">
        <f>MID(P1907,5,2)</f>
        <v/>
      </c>
      <c r="R1907" s="53">
        <f>MID(P1907,7,2)</f>
        <v/>
      </c>
      <c r="S1907" s="3" t="inlineStr">
        <is>
          <t>G2G</t>
        </is>
      </c>
      <c r="T1907" s="3" t="inlineStr">
        <is>
          <t>P4</t>
        </is>
      </c>
      <c r="U1907" s="19" t="inlineStr">
        <is>
          <t>P JB Cold Soldering</t>
        </is>
      </c>
      <c r="V1907" s="19" t="inlineStr">
        <is>
          <t>Soldering</t>
        </is>
      </c>
      <c r="W1907" s="3" t="inlineStr">
        <is>
          <t>Repair</t>
        </is>
      </c>
      <c r="X1907" s="18" t="n">
        <v>46166</v>
      </c>
      <c r="Y1907" s="73">
        <f>IF(X1907="","",X1907-A1907)</f>
        <v/>
      </c>
      <c r="Z1907" s="18" t="n">
        <v>46166</v>
      </c>
      <c r="AA1907" s="15" t="n"/>
      <c r="AB1907" s="15" t="n"/>
      <c r="AF1907">
        <f>IF(AND($F1907="Closed",$X1907&gt;=DATE(2026,5,1),$X1907&lt;=DATE(2026,5,31)),"Closed in May","Other")</f>
        <v/>
      </c>
    </row>
    <row r="1908">
      <c r="A1908" s="37" t="n">
        <v>46143</v>
      </c>
      <c r="B1908" s="3" t="n">
        <v>2026</v>
      </c>
      <c r="C1908" s="26" t="inlineStr">
        <is>
          <t>Yanara Power</t>
        </is>
      </c>
      <c r="D1908" s="3" t="inlineStr">
        <is>
          <t>Utility and C&amp;I</t>
        </is>
      </c>
      <c r="E1908" s="3" t="n"/>
      <c r="F1908" s="3" t="inlineStr">
        <is>
          <t>Closed</t>
        </is>
      </c>
      <c r="G1908" s="9" t="inlineStr">
        <is>
          <t xml:space="preserve">Ashish Jindal </t>
        </is>
      </c>
      <c r="H1908" s="26" t="n">
        <v>9983975581</v>
      </c>
      <c r="I1908" s="38" t="inlineStr">
        <is>
          <t>PE01052601</t>
        </is>
      </c>
      <c r="J1908" s="26" t="inlineStr">
        <is>
          <t>Multiple Issues</t>
        </is>
      </c>
      <c r="K1908" s="39" t="inlineStr">
        <is>
          <t>Holi</t>
        </is>
      </c>
      <c r="L1908" s="39" t="inlineStr">
        <is>
          <t>Maharashtra</t>
        </is>
      </c>
      <c r="M1908" s="46" t="inlineStr">
        <is>
          <t>OK</t>
        </is>
      </c>
      <c r="N1908" s="3" t="inlineStr">
        <is>
          <t>No Issue</t>
        </is>
      </c>
      <c r="O1908" s="56" t="n">
        <v>575</v>
      </c>
      <c r="P1908" s="46" t="inlineStr">
        <is>
          <t>NSMI24070222196</t>
        </is>
      </c>
      <c r="Q1908" s="54">
        <f>MID(P1908,5,2)</f>
        <v/>
      </c>
      <c r="R1908" s="53">
        <f>MID(P1908,7,2)</f>
        <v/>
      </c>
      <c r="S1908" s="3" t="inlineStr">
        <is>
          <t>G2G</t>
        </is>
      </c>
      <c r="T1908" s="3" t="inlineStr">
        <is>
          <t>P4</t>
        </is>
      </c>
      <c r="U1908" s="19" t="inlineStr">
        <is>
          <t>No Issue Found</t>
        </is>
      </c>
      <c r="V1908" s="19" t="inlineStr">
        <is>
          <t>Found OK</t>
        </is>
      </c>
      <c r="W1908" s="3" t="inlineStr">
        <is>
          <t>Repair</t>
        </is>
      </c>
      <c r="X1908" s="18" t="n">
        <v>46166</v>
      </c>
      <c r="Y1908" s="73">
        <f>IF(X1908="","",X1908-A1908)</f>
        <v/>
      </c>
      <c r="Z1908" s="18" t="n">
        <v>46166</v>
      </c>
      <c r="AA1908" s="15" t="n"/>
      <c r="AB1908" s="15" t="n"/>
      <c r="AF1908">
        <f>IF(AND($F1908="Closed",$X1908&gt;=DATE(2026,5,1),$X1908&lt;=DATE(2026,5,31)),"Closed in May","Other")</f>
        <v/>
      </c>
    </row>
    <row r="1909">
      <c r="A1909" s="37" t="n">
        <v>46143</v>
      </c>
      <c r="B1909" s="3" t="n">
        <v>2026</v>
      </c>
      <c r="C1909" s="26" t="inlineStr">
        <is>
          <t>Yanara Power</t>
        </is>
      </c>
      <c r="D1909" s="3" t="inlineStr">
        <is>
          <t>Utility and C&amp;I</t>
        </is>
      </c>
      <c r="E1909" s="3" t="n"/>
      <c r="F1909" s="3" t="inlineStr">
        <is>
          <t>Closed</t>
        </is>
      </c>
      <c r="G1909" s="9" t="inlineStr">
        <is>
          <t xml:space="preserve">Ashish Jindal </t>
        </is>
      </c>
      <c r="H1909" s="26" t="n">
        <v>9983975581</v>
      </c>
      <c r="I1909" s="38" t="inlineStr">
        <is>
          <t>PE01052601</t>
        </is>
      </c>
      <c r="J1909" s="26" t="inlineStr">
        <is>
          <t>Multiple Issues</t>
        </is>
      </c>
      <c r="K1909" s="39" t="inlineStr">
        <is>
          <t>Holi</t>
        </is>
      </c>
      <c r="L1909" s="39" t="inlineStr">
        <is>
          <t>Maharashtra</t>
        </is>
      </c>
      <c r="M1909" s="46" t="inlineStr">
        <is>
          <t>NS</t>
        </is>
      </c>
      <c r="N1909" s="3" t="inlineStr">
        <is>
          <t>Cold Soldering</t>
        </is>
      </c>
      <c r="O1909" s="56" t="n">
        <v>575</v>
      </c>
      <c r="P1909" s="46" t="inlineStr">
        <is>
          <t>NSMI24070215153</t>
        </is>
      </c>
      <c r="Q1909" s="54">
        <f>MID(P1909,5,2)</f>
        <v/>
      </c>
      <c r="R1909" s="53">
        <f>MID(P1909,7,2)</f>
        <v/>
      </c>
      <c r="S1909" s="3" t="inlineStr">
        <is>
          <t>G2G</t>
        </is>
      </c>
      <c r="T1909" s="3" t="inlineStr">
        <is>
          <t>P4</t>
        </is>
      </c>
      <c r="U1909" s="3" t="inlineStr">
        <is>
          <t>N JB Cold Soldering</t>
        </is>
      </c>
      <c r="V1909" s="3" t="inlineStr">
        <is>
          <t>Soldering</t>
        </is>
      </c>
      <c r="W1909" s="3" t="inlineStr">
        <is>
          <t>Repair</t>
        </is>
      </c>
      <c r="X1909" s="18" t="n">
        <v>46166</v>
      </c>
      <c r="Y1909" s="73">
        <f>IF(X1909="","",X1909-A1909)</f>
        <v/>
      </c>
      <c r="Z1909" s="18" t="n">
        <v>46166</v>
      </c>
      <c r="AA1909" s="15" t="n"/>
      <c r="AB1909" s="15" t="n"/>
      <c r="AF1909">
        <f>IF(AND($F1909="Closed",$X1909&gt;=DATE(2026,5,1),$X1909&lt;=DATE(2026,5,31)),"Closed in May","Other")</f>
        <v/>
      </c>
    </row>
    <row r="1910">
      <c r="A1910" s="37" t="n">
        <v>46143</v>
      </c>
      <c r="B1910" s="3" t="n">
        <v>2026</v>
      </c>
      <c r="C1910" s="26" t="inlineStr">
        <is>
          <t>Yanara Power</t>
        </is>
      </c>
      <c r="D1910" s="3" t="inlineStr">
        <is>
          <t>Utility and C&amp;I</t>
        </is>
      </c>
      <c r="E1910" s="3" t="n"/>
      <c r="F1910" s="3" t="inlineStr">
        <is>
          <t>Closed</t>
        </is>
      </c>
      <c r="G1910" s="9" t="inlineStr">
        <is>
          <t xml:space="preserve">Ashish Jindal </t>
        </is>
      </c>
      <c r="H1910" s="26" t="n">
        <v>9983975581</v>
      </c>
      <c r="I1910" s="38" t="inlineStr">
        <is>
          <t>PE01052601</t>
        </is>
      </c>
      <c r="J1910" s="26" t="inlineStr">
        <is>
          <t>Multiple Issues</t>
        </is>
      </c>
      <c r="K1910" s="39" t="inlineStr">
        <is>
          <t>Holi</t>
        </is>
      </c>
      <c r="L1910" s="39" t="inlineStr">
        <is>
          <t>Maharashtra</t>
        </is>
      </c>
      <c r="M1910" s="46" t="inlineStr">
        <is>
          <t>PS</t>
        </is>
      </c>
      <c r="N1910" s="3" t="inlineStr">
        <is>
          <t>Cold Soldering</t>
        </is>
      </c>
      <c r="O1910" s="56" t="n">
        <v>575</v>
      </c>
      <c r="P1910" s="46" t="inlineStr">
        <is>
          <t>NSMI24070221168</t>
        </is>
      </c>
      <c r="Q1910" s="54">
        <f>MID(P1910,5,2)</f>
        <v/>
      </c>
      <c r="R1910" s="53">
        <f>MID(P1910,7,2)</f>
        <v/>
      </c>
      <c r="S1910" s="3" t="inlineStr">
        <is>
          <t>G2G</t>
        </is>
      </c>
      <c r="T1910" s="3" t="inlineStr">
        <is>
          <t>P4</t>
        </is>
      </c>
      <c r="U1910" s="19" t="inlineStr">
        <is>
          <t>P JB Cold Soldering</t>
        </is>
      </c>
      <c r="V1910" s="19" t="inlineStr">
        <is>
          <t>Soldering</t>
        </is>
      </c>
      <c r="W1910" s="3" t="inlineStr">
        <is>
          <t>Repair</t>
        </is>
      </c>
      <c r="X1910" s="18" t="n">
        <v>46166</v>
      </c>
      <c r="Y1910" s="73">
        <f>IF(X1910="","",X1910-A1910)</f>
        <v/>
      </c>
      <c r="Z1910" s="18" t="n">
        <v>46166</v>
      </c>
      <c r="AA1910" s="15" t="n"/>
      <c r="AB1910" s="15" t="n"/>
      <c r="AF1910">
        <f>IF(AND($F1910="Closed",$X1910&gt;=DATE(2026,5,1),$X1910&lt;=DATE(2026,5,31)),"Closed in May","Other")</f>
        <v/>
      </c>
    </row>
    <row r="1911">
      <c r="A1911" s="37" t="n">
        <v>46143</v>
      </c>
      <c r="B1911" s="3" t="n">
        <v>2026</v>
      </c>
      <c r="C1911" s="26" t="inlineStr">
        <is>
          <t>Yanara Power</t>
        </is>
      </c>
      <c r="D1911" s="3" t="inlineStr">
        <is>
          <t>Utility and C&amp;I</t>
        </is>
      </c>
      <c r="E1911" s="3" t="n"/>
      <c r="F1911" s="3" t="inlineStr">
        <is>
          <t>Closed</t>
        </is>
      </c>
      <c r="G1911" s="9" t="inlineStr">
        <is>
          <t xml:space="preserve">Ashish Jindal </t>
        </is>
      </c>
      <c r="H1911" s="26" t="n">
        <v>9983975581</v>
      </c>
      <c r="I1911" s="38" t="inlineStr">
        <is>
          <t>PE01052601</t>
        </is>
      </c>
      <c r="J1911" s="26" t="inlineStr">
        <is>
          <t>Multiple Issues</t>
        </is>
      </c>
      <c r="K1911" s="39" t="inlineStr">
        <is>
          <t>Holi</t>
        </is>
      </c>
      <c r="L1911" s="39" t="inlineStr">
        <is>
          <t>Maharashtra</t>
        </is>
      </c>
      <c r="M1911" s="46" t="inlineStr">
        <is>
          <t>NS</t>
        </is>
      </c>
      <c r="N1911" s="3" t="inlineStr">
        <is>
          <t>Cold Soldering</t>
        </is>
      </c>
      <c r="O1911" s="56" t="n">
        <v>575</v>
      </c>
      <c r="P1911" s="46" t="inlineStr">
        <is>
          <t>NSMI24070204360</t>
        </is>
      </c>
      <c r="Q1911" s="54">
        <f>MID(P1911,5,2)</f>
        <v/>
      </c>
      <c r="R1911" s="53">
        <f>MID(P1911,7,2)</f>
        <v/>
      </c>
      <c r="S1911" s="3" t="inlineStr">
        <is>
          <t>G2G</t>
        </is>
      </c>
      <c r="T1911" s="3" t="inlineStr">
        <is>
          <t>P4</t>
        </is>
      </c>
      <c r="U1911" s="3" t="inlineStr">
        <is>
          <t>N JB Cold Soldering</t>
        </is>
      </c>
      <c r="V1911" s="3" t="inlineStr">
        <is>
          <t>Soldering</t>
        </is>
      </c>
      <c r="W1911" s="3" t="inlineStr">
        <is>
          <t>Repair</t>
        </is>
      </c>
      <c r="X1911" s="18" t="n">
        <v>46166</v>
      </c>
      <c r="Y1911" s="73">
        <f>IF(X1911="","",X1911-A1911)</f>
        <v/>
      </c>
      <c r="Z1911" s="18" t="n">
        <v>46166</v>
      </c>
      <c r="AA1911" s="15" t="n"/>
      <c r="AB1911" s="15" t="n"/>
      <c r="AF1911">
        <f>IF(AND($F1911="Closed",$X1911&gt;=DATE(2026,5,1),$X1911&lt;=DATE(2026,5,31)),"Closed in May","Other")</f>
        <v/>
      </c>
    </row>
    <row r="1912">
      <c r="A1912" s="37" t="n">
        <v>46143</v>
      </c>
      <c r="B1912" s="3" t="n">
        <v>2026</v>
      </c>
      <c r="C1912" s="26" t="inlineStr">
        <is>
          <t>Yanara Power</t>
        </is>
      </c>
      <c r="D1912" s="3" t="inlineStr">
        <is>
          <t>Utility and C&amp;I</t>
        </is>
      </c>
      <c r="E1912" s="3" t="n"/>
      <c r="F1912" s="3" t="inlineStr">
        <is>
          <t>Closed</t>
        </is>
      </c>
      <c r="G1912" s="9" t="inlineStr">
        <is>
          <t xml:space="preserve">Ashish Jindal </t>
        </is>
      </c>
      <c r="H1912" s="26" t="n">
        <v>9983975581</v>
      </c>
      <c r="I1912" s="38" t="inlineStr">
        <is>
          <t>PE01052601</t>
        </is>
      </c>
      <c r="J1912" s="26" t="inlineStr">
        <is>
          <t>Multiple Issues</t>
        </is>
      </c>
      <c r="K1912" s="39" t="inlineStr">
        <is>
          <t>Holi</t>
        </is>
      </c>
      <c r="L1912" s="39" t="inlineStr">
        <is>
          <t>Maharashtra</t>
        </is>
      </c>
      <c r="M1912" s="46" t="inlineStr">
        <is>
          <t>NS</t>
        </is>
      </c>
      <c r="N1912" s="3" t="inlineStr">
        <is>
          <t>Cold Soldering</t>
        </is>
      </c>
      <c r="O1912" s="56" t="n">
        <v>575</v>
      </c>
      <c r="P1912" s="46" t="inlineStr">
        <is>
          <t>NSMI24070216569</t>
        </is>
      </c>
      <c r="Q1912" s="54">
        <f>MID(P1912,5,2)</f>
        <v/>
      </c>
      <c r="R1912" s="53">
        <f>MID(P1912,7,2)</f>
        <v/>
      </c>
      <c r="S1912" s="3" t="inlineStr">
        <is>
          <t>G2G</t>
        </is>
      </c>
      <c r="T1912" s="3" t="inlineStr">
        <is>
          <t>P4</t>
        </is>
      </c>
      <c r="U1912" s="3" t="inlineStr">
        <is>
          <t>N JB Cold Soldering</t>
        </is>
      </c>
      <c r="V1912" s="3" t="inlineStr">
        <is>
          <t>Soldering</t>
        </is>
      </c>
      <c r="W1912" s="3" t="inlineStr">
        <is>
          <t>Repair</t>
        </is>
      </c>
      <c r="X1912" s="18" t="n">
        <v>46166</v>
      </c>
      <c r="Y1912" s="73">
        <f>IF(X1912="","",X1912-A1912)</f>
        <v/>
      </c>
      <c r="Z1912" s="18" t="n">
        <v>46166</v>
      </c>
      <c r="AA1912" s="15" t="n"/>
      <c r="AB1912" s="15" t="n"/>
      <c r="AF1912">
        <f>IF(AND($F1912="Closed",$X1912&gt;=DATE(2026,5,1),$X1912&lt;=DATE(2026,5,31)),"Closed in May","Other")</f>
        <v/>
      </c>
    </row>
    <row r="1913">
      <c r="A1913" s="37" t="n">
        <v>46143</v>
      </c>
      <c r="B1913" s="3" t="n">
        <v>2026</v>
      </c>
      <c r="C1913" s="26" t="inlineStr">
        <is>
          <t>Yanara Power</t>
        </is>
      </c>
      <c r="D1913" s="3" t="inlineStr">
        <is>
          <t>Utility and C&amp;I</t>
        </is>
      </c>
      <c r="E1913" s="3" t="n"/>
      <c r="F1913" s="3" t="inlineStr">
        <is>
          <t>Closed</t>
        </is>
      </c>
      <c r="G1913" s="9" t="inlineStr">
        <is>
          <t xml:space="preserve">Ashish Jindal </t>
        </is>
      </c>
      <c r="H1913" s="26" t="n">
        <v>9983975581</v>
      </c>
      <c r="I1913" s="38" t="inlineStr">
        <is>
          <t>PE01052601</t>
        </is>
      </c>
      <c r="J1913" s="26" t="inlineStr">
        <is>
          <t>Multiple Issues</t>
        </is>
      </c>
      <c r="K1913" s="39" t="inlineStr">
        <is>
          <t>Holi</t>
        </is>
      </c>
      <c r="L1913" s="39" t="inlineStr">
        <is>
          <t>Maharashtra</t>
        </is>
      </c>
      <c r="M1913" s="46" t="inlineStr">
        <is>
          <t>PS</t>
        </is>
      </c>
      <c r="N1913" s="3" t="inlineStr">
        <is>
          <t>Cold Soldering</t>
        </is>
      </c>
      <c r="O1913" s="56" t="n">
        <v>575</v>
      </c>
      <c r="P1913" s="46" t="inlineStr">
        <is>
          <t>NSMI24070216563</t>
        </is>
      </c>
      <c r="Q1913" s="54">
        <f>MID(P1913,5,2)</f>
        <v/>
      </c>
      <c r="R1913" s="53">
        <f>MID(P1913,7,2)</f>
        <v/>
      </c>
      <c r="S1913" s="3" t="inlineStr">
        <is>
          <t>G2G</t>
        </is>
      </c>
      <c r="T1913" s="3" t="inlineStr">
        <is>
          <t>P4</t>
        </is>
      </c>
      <c r="U1913" s="19" t="inlineStr">
        <is>
          <t>P JB Cold Soldering</t>
        </is>
      </c>
      <c r="V1913" s="19" t="inlineStr">
        <is>
          <t>Soldering</t>
        </is>
      </c>
      <c r="W1913" s="3" t="inlineStr">
        <is>
          <t>Repair</t>
        </is>
      </c>
      <c r="X1913" s="18" t="n">
        <v>46166</v>
      </c>
      <c r="Y1913" s="73">
        <f>IF(X1913="","",X1913-A1913)</f>
        <v/>
      </c>
      <c r="Z1913" s="18" t="n">
        <v>46166</v>
      </c>
      <c r="AA1913" s="15" t="n"/>
      <c r="AB1913" s="15" t="n"/>
      <c r="AF1913">
        <f>IF(AND($F1913="Closed",$X1913&gt;=DATE(2026,5,1),$X1913&lt;=DATE(2026,5,31)),"Closed in May","Other")</f>
        <v/>
      </c>
    </row>
    <row r="1914">
      <c r="A1914" s="37" t="n">
        <v>46143</v>
      </c>
      <c r="B1914" s="3" t="n">
        <v>2026</v>
      </c>
      <c r="C1914" s="26" t="inlineStr">
        <is>
          <t>Yanara Power</t>
        </is>
      </c>
      <c r="D1914" s="3" t="inlineStr">
        <is>
          <t>Utility and C&amp;I</t>
        </is>
      </c>
      <c r="E1914" s="3" t="n"/>
      <c r="F1914" s="3" t="inlineStr">
        <is>
          <t>Closed</t>
        </is>
      </c>
      <c r="G1914" s="9" t="inlineStr">
        <is>
          <t xml:space="preserve">Ashish Jindal </t>
        </is>
      </c>
      <c r="H1914" s="26" t="n">
        <v>9983975581</v>
      </c>
      <c r="I1914" s="38" t="inlineStr">
        <is>
          <t>PE01052601</t>
        </is>
      </c>
      <c r="J1914" s="26" t="inlineStr">
        <is>
          <t>Multiple Issues</t>
        </is>
      </c>
      <c r="K1914" s="39" t="inlineStr">
        <is>
          <t>Holi</t>
        </is>
      </c>
      <c r="L1914" s="39" t="inlineStr">
        <is>
          <t>Maharashtra</t>
        </is>
      </c>
      <c r="M1914" s="46" t="inlineStr">
        <is>
          <t>NS</t>
        </is>
      </c>
      <c r="N1914" s="3" t="inlineStr">
        <is>
          <t>Cold Soldering</t>
        </is>
      </c>
      <c r="O1914" s="56" t="n">
        <v>575</v>
      </c>
      <c r="P1914" s="46" t="inlineStr">
        <is>
          <t>NSMI24070195711</t>
        </is>
      </c>
      <c r="Q1914" s="54">
        <f>MID(P1914,5,2)</f>
        <v/>
      </c>
      <c r="R1914" s="53">
        <f>MID(P1914,7,2)</f>
        <v/>
      </c>
      <c r="S1914" s="3" t="inlineStr">
        <is>
          <t>G2G</t>
        </is>
      </c>
      <c r="T1914" s="3" t="inlineStr">
        <is>
          <t>P4</t>
        </is>
      </c>
      <c r="U1914" s="3" t="inlineStr">
        <is>
          <t>N JB Cold Soldering</t>
        </is>
      </c>
      <c r="V1914" s="3" t="inlineStr">
        <is>
          <t>Soldering</t>
        </is>
      </c>
      <c r="W1914" s="3" t="inlineStr">
        <is>
          <t>Repair</t>
        </is>
      </c>
      <c r="X1914" s="18" t="n">
        <v>46166</v>
      </c>
      <c r="Y1914" s="73">
        <f>IF(X1914="","",X1914-A1914)</f>
        <v/>
      </c>
      <c r="Z1914" s="18" t="n">
        <v>46166</v>
      </c>
      <c r="AA1914" s="15" t="n"/>
      <c r="AB1914" s="15" t="n"/>
      <c r="AF1914">
        <f>IF(AND($F1914="Closed",$X1914&gt;=DATE(2026,5,1),$X1914&lt;=DATE(2026,5,31)),"Closed in May","Other")</f>
        <v/>
      </c>
    </row>
    <row r="1915">
      <c r="A1915" s="37" t="n">
        <v>46143</v>
      </c>
      <c r="B1915" s="3" t="n">
        <v>2026</v>
      </c>
      <c r="C1915" s="26" t="inlineStr">
        <is>
          <t>Yanara Power</t>
        </is>
      </c>
      <c r="D1915" s="3" t="inlineStr">
        <is>
          <t>Utility and C&amp;I</t>
        </is>
      </c>
      <c r="E1915" s="3" t="n"/>
      <c r="F1915" s="3" t="inlineStr">
        <is>
          <t>Closed</t>
        </is>
      </c>
      <c r="G1915" s="9" t="inlineStr">
        <is>
          <t xml:space="preserve">Ashish Jindal </t>
        </is>
      </c>
      <c r="H1915" s="26" t="n">
        <v>9983975581</v>
      </c>
      <c r="I1915" s="38" t="inlineStr">
        <is>
          <t>PE01052601</t>
        </is>
      </c>
      <c r="J1915" s="26" t="inlineStr">
        <is>
          <t>Multiple Issues</t>
        </is>
      </c>
      <c r="K1915" s="39" t="inlineStr">
        <is>
          <t>Holi</t>
        </is>
      </c>
      <c r="L1915" s="39" t="inlineStr">
        <is>
          <t>Maharashtra</t>
        </is>
      </c>
      <c r="M1915" s="46" t="inlineStr">
        <is>
          <t>NS</t>
        </is>
      </c>
      <c r="N1915" s="3" t="inlineStr">
        <is>
          <t>Cold Soldering</t>
        </is>
      </c>
      <c r="O1915" s="56" t="n">
        <v>575</v>
      </c>
      <c r="P1915" s="46" t="inlineStr">
        <is>
          <t>NSMI24070195553</t>
        </is>
      </c>
      <c r="Q1915" s="54">
        <f>MID(P1915,5,2)</f>
        <v/>
      </c>
      <c r="R1915" s="53">
        <f>MID(P1915,7,2)</f>
        <v/>
      </c>
      <c r="S1915" s="3" t="inlineStr">
        <is>
          <t>G2G</t>
        </is>
      </c>
      <c r="T1915" s="3" t="inlineStr">
        <is>
          <t>P4</t>
        </is>
      </c>
      <c r="U1915" s="3" t="inlineStr">
        <is>
          <t>N JB Cold Soldering</t>
        </is>
      </c>
      <c r="V1915" s="3" t="inlineStr">
        <is>
          <t>Soldering</t>
        </is>
      </c>
      <c r="W1915" s="3" t="inlineStr">
        <is>
          <t>Repair</t>
        </is>
      </c>
      <c r="X1915" s="18" t="n">
        <v>46166</v>
      </c>
      <c r="Y1915" s="73">
        <f>IF(X1915="","",X1915-A1915)</f>
        <v/>
      </c>
      <c r="Z1915" s="18" t="n">
        <v>46166</v>
      </c>
      <c r="AA1915" s="15" t="n"/>
      <c r="AB1915" s="15" t="n"/>
      <c r="AF1915">
        <f>IF(AND($F1915="Closed",$X1915&gt;=DATE(2026,5,1),$X1915&lt;=DATE(2026,5,31)),"Closed in May","Other")</f>
        <v/>
      </c>
    </row>
    <row r="1916">
      <c r="A1916" s="37" t="n">
        <v>46143</v>
      </c>
      <c r="B1916" s="3" t="n">
        <v>2026</v>
      </c>
      <c r="C1916" s="26" t="inlineStr">
        <is>
          <t>Yanara Power</t>
        </is>
      </c>
      <c r="D1916" s="3" t="inlineStr">
        <is>
          <t>Utility and C&amp;I</t>
        </is>
      </c>
      <c r="E1916" s="3" t="n"/>
      <c r="F1916" s="3" t="inlineStr">
        <is>
          <t>Closed</t>
        </is>
      </c>
      <c r="G1916" s="9" t="inlineStr">
        <is>
          <t xml:space="preserve">Ashish Jindal </t>
        </is>
      </c>
      <c r="H1916" s="26" t="n">
        <v>9983975581</v>
      </c>
      <c r="I1916" s="38" t="inlineStr">
        <is>
          <t>PE01052601</t>
        </is>
      </c>
      <c r="J1916" s="26" t="inlineStr">
        <is>
          <t>Multiple Issues</t>
        </is>
      </c>
      <c r="K1916" s="39" t="inlineStr">
        <is>
          <t>Holi</t>
        </is>
      </c>
      <c r="L1916" s="39" t="inlineStr">
        <is>
          <t>Maharashtra</t>
        </is>
      </c>
      <c r="M1916" s="46" t="inlineStr">
        <is>
          <t>PS</t>
        </is>
      </c>
      <c r="N1916" s="3" t="inlineStr">
        <is>
          <t>Cold Soldering</t>
        </is>
      </c>
      <c r="O1916" s="56" t="n">
        <v>575</v>
      </c>
      <c r="P1916" s="46" t="inlineStr">
        <is>
          <t>NSMI24070201445</t>
        </is>
      </c>
      <c r="Q1916" s="54">
        <f>MID(P1916,5,2)</f>
        <v/>
      </c>
      <c r="R1916" s="53">
        <f>MID(P1916,7,2)</f>
        <v/>
      </c>
      <c r="S1916" s="3" t="inlineStr">
        <is>
          <t>G2G</t>
        </is>
      </c>
      <c r="T1916" s="3" t="inlineStr">
        <is>
          <t>P4</t>
        </is>
      </c>
      <c r="U1916" s="19" t="inlineStr">
        <is>
          <t>P JB Cold Soldering</t>
        </is>
      </c>
      <c r="V1916" s="19" t="inlineStr">
        <is>
          <t>Soldering</t>
        </is>
      </c>
      <c r="W1916" s="3" t="inlineStr">
        <is>
          <t>Repair</t>
        </is>
      </c>
      <c r="X1916" s="18" t="n">
        <v>46166</v>
      </c>
      <c r="Y1916" s="73">
        <f>IF(X1916="","",X1916-A1916)</f>
        <v/>
      </c>
      <c r="Z1916" s="18" t="n">
        <v>46166</v>
      </c>
      <c r="AA1916" s="15" t="n"/>
      <c r="AB1916" s="15" t="n"/>
      <c r="AF1916">
        <f>IF(AND($F1916="Closed",$X1916&gt;=DATE(2026,5,1),$X1916&lt;=DATE(2026,5,31)),"Closed in May","Other")</f>
        <v/>
      </c>
    </row>
    <row r="1917">
      <c r="A1917" s="37" t="n">
        <v>46143</v>
      </c>
      <c r="B1917" s="3" t="n">
        <v>2026</v>
      </c>
      <c r="C1917" s="26" t="inlineStr">
        <is>
          <t>Yanara Power</t>
        </is>
      </c>
      <c r="D1917" s="3" t="inlineStr">
        <is>
          <t>Utility and C&amp;I</t>
        </is>
      </c>
      <c r="E1917" s="3" t="n"/>
      <c r="F1917" s="3" t="inlineStr">
        <is>
          <t>Closed</t>
        </is>
      </c>
      <c r="G1917" s="9" t="inlineStr">
        <is>
          <t xml:space="preserve">Ashish Jindal </t>
        </is>
      </c>
      <c r="H1917" s="26" t="n">
        <v>9983975581</v>
      </c>
      <c r="I1917" s="38" t="inlineStr">
        <is>
          <t>PE01052601</t>
        </is>
      </c>
      <c r="J1917" s="26" t="inlineStr">
        <is>
          <t>Multiple Issues</t>
        </is>
      </c>
      <c r="K1917" s="39" t="inlineStr">
        <is>
          <t>Holi</t>
        </is>
      </c>
      <c r="L1917" s="39" t="inlineStr">
        <is>
          <t>Maharashtra</t>
        </is>
      </c>
      <c r="M1917" s="46" t="inlineStr">
        <is>
          <t>NS</t>
        </is>
      </c>
      <c r="N1917" s="3" t="inlineStr">
        <is>
          <t>Cold Soldering</t>
        </is>
      </c>
      <c r="O1917" s="56" t="n">
        <v>575</v>
      </c>
      <c r="P1917" s="46" t="inlineStr">
        <is>
          <t>NSMI24070195719</t>
        </is>
      </c>
      <c r="Q1917" s="54">
        <f>MID(P1917,5,2)</f>
        <v/>
      </c>
      <c r="R1917" s="53">
        <f>MID(P1917,7,2)</f>
        <v/>
      </c>
      <c r="S1917" s="3" t="inlineStr">
        <is>
          <t>G2G</t>
        </is>
      </c>
      <c r="T1917" s="3" t="inlineStr">
        <is>
          <t>P4</t>
        </is>
      </c>
      <c r="U1917" s="3" t="inlineStr">
        <is>
          <t>N JB Cold Soldering</t>
        </is>
      </c>
      <c r="V1917" s="3" t="inlineStr">
        <is>
          <t>Soldering</t>
        </is>
      </c>
      <c r="W1917" s="3" t="inlineStr">
        <is>
          <t>Repair</t>
        </is>
      </c>
      <c r="X1917" s="18" t="n">
        <v>46166</v>
      </c>
      <c r="Y1917" s="73">
        <f>IF(X1917="","",X1917-A1917)</f>
        <v/>
      </c>
      <c r="Z1917" s="18" t="n">
        <v>46166</v>
      </c>
      <c r="AA1917" s="15" t="n"/>
      <c r="AB1917" s="15" t="n"/>
      <c r="AF1917">
        <f>IF(AND($F1917="Closed",$X1917&gt;=DATE(2026,5,1),$X1917&lt;=DATE(2026,5,31)),"Closed in May","Other")</f>
        <v/>
      </c>
    </row>
    <row r="1918">
      <c r="A1918" s="37" t="n">
        <v>46143</v>
      </c>
      <c r="B1918" s="3" t="n">
        <v>2026</v>
      </c>
      <c r="C1918" s="26" t="inlineStr">
        <is>
          <t>Yanara Power</t>
        </is>
      </c>
      <c r="D1918" s="3" t="inlineStr">
        <is>
          <t>Utility and C&amp;I</t>
        </is>
      </c>
      <c r="E1918" s="3" t="n"/>
      <c r="F1918" s="3" t="inlineStr">
        <is>
          <t>Closed</t>
        </is>
      </c>
      <c r="G1918" s="9" t="inlineStr">
        <is>
          <t xml:space="preserve">Ashish Jindal </t>
        </is>
      </c>
      <c r="H1918" s="26" t="n">
        <v>9983975581</v>
      </c>
      <c r="I1918" s="38" t="inlineStr">
        <is>
          <t>PE01052601</t>
        </is>
      </c>
      <c r="J1918" s="26" t="inlineStr">
        <is>
          <t>Multiple Issues</t>
        </is>
      </c>
      <c r="K1918" s="39" t="inlineStr">
        <is>
          <t>Holi</t>
        </is>
      </c>
      <c r="L1918" s="39" t="inlineStr">
        <is>
          <t>Maharashtra</t>
        </is>
      </c>
      <c r="M1918" s="46" t="inlineStr">
        <is>
          <t>PS</t>
        </is>
      </c>
      <c r="N1918" s="3" t="inlineStr">
        <is>
          <t>Cold Soldering</t>
        </is>
      </c>
      <c r="O1918" s="56" t="n">
        <v>575</v>
      </c>
      <c r="P1918" s="46" t="inlineStr">
        <is>
          <t>NSMI24070214703</t>
        </is>
      </c>
      <c r="Q1918" s="54">
        <f>MID(P1918,5,2)</f>
        <v/>
      </c>
      <c r="R1918" s="53">
        <f>MID(P1918,7,2)</f>
        <v/>
      </c>
      <c r="S1918" s="3" t="inlineStr">
        <is>
          <t>G2G</t>
        </is>
      </c>
      <c r="T1918" s="3" t="inlineStr">
        <is>
          <t>P4</t>
        </is>
      </c>
      <c r="U1918" s="19" t="inlineStr">
        <is>
          <t>P JB Cold Soldering</t>
        </is>
      </c>
      <c r="V1918" s="19" t="inlineStr">
        <is>
          <t>Soldering</t>
        </is>
      </c>
      <c r="W1918" s="3" t="inlineStr">
        <is>
          <t>Repair</t>
        </is>
      </c>
      <c r="X1918" s="18" t="n">
        <v>46166</v>
      </c>
      <c r="Y1918" s="73">
        <f>IF(X1918="","",X1918-A1918)</f>
        <v/>
      </c>
      <c r="Z1918" s="18" t="n">
        <v>46166</v>
      </c>
      <c r="AA1918" s="15" t="n"/>
      <c r="AB1918" s="15" t="n"/>
      <c r="AF1918">
        <f>IF(AND($F1918="Closed",$X1918&gt;=DATE(2026,5,1),$X1918&lt;=DATE(2026,5,31)),"Closed in May","Other")</f>
        <v/>
      </c>
    </row>
    <row r="1919">
      <c r="A1919" s="37" t="n">
        <v>46143</v>
      </c>
      <c r="B1919" s="3" t="n">
        <v>2026</v>
      </c>
      <c r="C1919" s="26" t="inlineStr">
        <is>
          <t>Yanara Power</t>
        </is>
      </c>
      <c r="D1919" s="3" t="inlineStr">
        <is>
          <t>Utility and C&amp;I</t>
        </is>
      </c>
      <c r="E1919" s="3" t="n"/>
      <c r="F1919" s="3" t="inlineStr">
        <is>
          <t>Closed</t>
        </is>
      </c>
      <c r="G1919" s="9" t="inlineStr">
        <is>
          <t xml:space="preserve">Ashish Jindal </t>
        </is>
      </c>
      <c r="H1919" s="26" t="n">
        <v>9983975581</v>
      </c>
      <c r="I1919" s="38" t="inlineStr">
        <is>
          <t>PE01052601</t>
        </is>
      </c>
      <c r="J1919" s="26" t="inlineStr">
        <is>
          <t>Multiple Issues</t>
        </is>
      </c>
      <c r="K1919" s="39" t="inlineStr">
        <is>
          <t>Holi</t>
        </is>
      </c>
      <c r="L1919" s="39" t="inlineStr">
        <is>
          <t>Maharashtra</t>
        </is>
      </c>
      <c r="M1919" s="46" t="inlineStr">
        <is>
          <t>PS</t>
        </is>
      </c>
      <c r="N1919" s="3" t="inlineStr">
        <is>
          <t>Cold Soldering</t>
        </is>
      </c>
      <c r="O1919" s="56" t="n">
        <v>575</v>
      </c>
      <c r="P1919" s="46" t="inlineStr">
        <is>
          <t>NSMI24070217880</t>
        </is>
      </c>
      <c r="Q1919" s="54">
        <f>MID(P1919,5,2)</f>
        <v/>
      </c>
      <c r="R1919" s="53">
        <f>MID(P1919,7,2)</f>
        <v/>
      </c>
      <c r="S1919" s="3" t="inlineStr">
        <is>
          <t>G2G</t>
        </is>
      </c>
      <c r="T1919" s="3" t="inlineStr">
        <is>
          <t>P4</t>
        </is>
      </c>
      <c r="U1919" s="19" t="inlineStr">
        <is>
          <t>P JB Cold Soldering</t>
        </is>
      </c>
      <c r="V1919" s="19" t="inlineStr">
        <is>
          <t>Soldering</t>
        </is>
      </c>
      <c r="W1919" s="3" t="inlineStr">
        <is>
          <t>Repair</t>
        </is>
      </c>
      <c r="X1919" s="18" t="n">
        <v>46166</v>
      </c>
      <c r="Y1919" s="73">
        <f>IF(X1919="","",X1919-A1919)</f>
        <v/>
      </c>
      <c r="Z1919" s="18" t="n">
        <v>46166</v>
      </c>
      <c r="AA1919" s="15" t="n"/>
      <c r="AB1919" s="15" t="n"/>
      <c r="AF1919">
        <f>IF(AND($F1919="Closed",$X1919&gt;=DATE(2026,5,1),$X1919&lt;=DATE(2026,5,31)),"Closed in May","Other")</f>
        <v/>
      </c>
    </row>
    <row r="1920">
      <c r="A1920" s="37" t="n">
        <v>46143</v>
      </c>
      <c r="B1920" s="3" t="n">
        <v>2026</v>
      </c>
      <c r="C1920" s="26" t="inlineStr">
        <is>
          <t>Yanara Power</t>
        </is>
      </c>
      <c r="D1920" s="3" t="inlineStr">
        <is>
          <t>Utility and C&amp;I</t>
        </is>
      </c>
      <c r="E1920" s="3" t="n"/>
      <c r="F1920" s="3" t="inlineStr">
        <is>
          <t>Closed</t>
        </is>
      </c>
      <c r="G1920" s="9" t="inlineStr">
        <is>
          <t xml:space="preserve">Ashish Jindal </t>
        </is>
      </c>
      <c r="H1920" s="26" t="n">
        <v>9983975581</v>
      </c>
      <c r="I1920" s="38" t="inlineStr">
        <is>
          <t>PE01052601</t>
        </is>
      </c>
      <c r="J1920" s="26" t="inlineStr">
        <is>
          <t>Multiple Issues</t>
        </is>
      </c>
      <c r="K1920" s="39" t="inlineStr">
        <is>
          <t>Holi</t>
        </is>
      </c>
      <c r="L1920" s="39" t="inlineStr">
        <is>
          <t>Maharashtra</t>
        </is>
      </c>
      <c r="M1920" s="46" t="inlineStr">
        <is>
          <t>PS</t>
        </is>
      </c>
      <c r="N1920" s="3" t="inlineStr">
        <is>
          <t>Cold Soldering</t>
        </is>
      </c>
      <c r="O1920" s="56" t="n">
        <v>575</v>
      </c>
      <c r="P1920" s="46" t="inlineStr">
        <is>
          <t>NSMI24070217693</t>
        </is>
      </c>
      <c r="Q1920" s="54">
        <f>MID(P1920,5,2)</f>
        <v/>
      </c>
      <c r="R1920" s="53">
        <f>MID(P1920,7,2)</f>
        <v/>
      </c>
      <c r="S1920" s="3" t="inlineStr">
        <is>
          <t>G2G</t>
        </is>
      </c>
      <c r="T1920" s="3" t="inlineStr">
        <is>
          <t>P4</t>
        </is>
      </c>
      <c r="U1920" s="19" t="inlineStr">
        <is>
          <t>P JB Cold Soldering</t>
        </is>
      </c>
      <c r="V1920" s="19" t="inlineStr">
        <is>
          <t>Soldering</t>
        </is>
      </c>
      <c r="W1920" s="3" t="inlineStr">
        <is>
          <t>Repair</t>
        </is>
      </c>
      <c r="X1920" s="18" t="n">
        <v>46166</v>
      </c>
      <c r="Y1920" s="73">
        <f>IF(X1920="","",X1920-A1920)</f>
        <v/>
      </c>
      <c r="Z1920" s="18" t="n">
        <v>46166</v>
      </c>
      <c r="AA1920" s="15" t="n"/>
      <c r="AB1920" s="15" t="n"/>
      <c r="AF1920">
        <f>IF(AND($F1920="Closed",$X1920&gt;=DATE(2026,5,1),$X1920&lt;=DATE(2026,5,31)),"Closed in May","Other")</f>
        <v/>
      </c>
    </row>
    <row r="1921">
      <c r="A1921" s="37" t="n">
        <v>46143</v>
      </c>
      <c r="B1921" s="3" t="n">
        <v>2026</v>
      </c>
      <c r="C1921" s="26" t="inlineStr">
        <is>
          <t>Yanara Power</t>
        </is>
      </c>
      <c r="D1921" s="3" t="inlineStr">
        <is>
          <t>Utility and C&amp;I</t>
        </is>
      </c>
      <c r="E1921" s="3" t="n"/>
      <c r="F1921" s="3" t="inlineStr">
        <is>
          <t>Closed</t>
        </is>
      </c>
      <c r="G1921" s="9" t="inlineStr">
        <is>
          <t xml:space="preserve">Ashish Jindal </t>
        </is>
      </c>
      <c r="H1921" s="26" t="n">
        <v>9983975581</v>
      </c>
      <c r="I1921" s="38" t="inlineStr">
        <is>
          <t>PE01052601</t>
        </is>
      </c>
      <c r="J1921" s="26" t="inlineStr">
        <is>
          <t>Multiple Issues</t>
        </is>
      </c>
      <c r="K1921" s="39" t="inlineStr">
        <is>
          <t>Holi</t>
        </is>
      </c>
      <c r="L1921" s="39" t="inlineStr">
        <is>
          <t>Maharashtra</t>
        </is>
      </c>
      <c r="M1921" s="46" t="inlineStr">
        <is>
          <t>NS</t>
        </is>
      </c>
      <c r="N1921" s="3" t="inlineStr">
        <is>
          <t>Cold Soldering</t>
        </is>
      </c>
      <c r="O1921" s="56" t="n">
        <v>575</v>
      </c>
      <c r="P1921" s="46" t="inlineStr">
        <is>
          <t>NSMI24070221322</t>
        </is>
      </c>
      <c r="Q1921" s="54">
        <f>MID(P1921,5,2)</f>
        <v/>
      </c>
      <c r="R1921" s="53">
        <f>MID(P1921,7,2)</f>
        <v/>
      </c>
      <c r="S1921" s="3" t="inlineStr">
        <is>
          <t>G2G</t>
        </is>
      </c>
      <c r="T1921" s="3" t="inlineStr">
        <is>
          <t>P4</t>
        </is>
      </c>
      <c r="U1921" s="3" t="inlineStr">
        <is>
          <t>N JB Cold Soldering</t>
        </is>
      </c>
      <c r="V1921" s="3" t="inlineStr">
        <is>
          <t>Soldering</t>
        </is>
      </c>
      <c r="W1921" s="3" t="inlineStr">
        <is>
          <t>Repair</t>
        </is>
      </c>
      <c r="X1921" s="18" t="n">
        <v>46166</v>
      </c>
      <c r="Y1921" s="73">
        <f>IF(X1921="","",X1921-A1921)</f>
        <v/>
      </c>
      <c r="Z1921" s="18" t="n">
        <v>46166</v>
      </c>
      <c r="AA1921" s="15" t="n"/>
      <c r="AB1921" s="15" t="n"/>
      <c r="AF1921">
        <f>IF(AND($F1921="Closed",$X1921&gt;=DATE(2026,5,1),$X1921&lt;=DATE(2026,5,31)),"Closed in May","Other")</f>
        <v/>
      </c>
    </row>
    <row r="1922">
      <c r="A1922" s="37" t="n">
        <v>46143</v>
      </c>
      <c r="B1922" s="3" t="n">
        <v>2026</v>
      </c>
      <c r="C1922" s="26" t="inlineStr">
        <is>
          <t>Yanara Power</t>
        </is>
      </c>
      <c r="D1922" s="3" t="inlineStr">
        <is>
          <t>Utility and C&amp;I</t>
        </is>
      </c>
      <c r="E1922" s="3" t="n"/>
      <c r="F1922" s="3" t="inlineStr">
        <is>
          <t>Closed</t>
        </is>
      </c>
      <c r="G1922" s="9" t="inlineStr">
        <is>
          <t xml:space="preserve">Ashish Jindal </t>
        </is>
      </c>
      <c r="H1922" s="26" t="n">
        <v>9983975581</v>
      </c>
      <c r="I1922" s="38" t="inlineStr">
        <is>
          <t>PE01052601</t>
        </is>
      </c>
      <c r="J1922" s="26" t="inlineStr">
        <is>
          <t>Multiple Issues</t>
        </is>
      </c>
      <c r="K1922" s="39" t="inlineStr">
        <is>
          <t>Holi</t>
        </is>
      </c>
      <c r="L1922" s="39" t="inlineStr">
        <is>
          <t>Maharashtra</t>
        </is>
      </c>
      <c r="M1922" s="46" t="inlineStr">
        <is>
          <t>NS</t>
        </is>
      </c>
      <c r="N1922" s="3" t="inlineStr">
        <is>
          <t>Cold Soldering</t>
        </is>
      </c>
      <c r="O1922" s="56" t="n">
        <v>575</v>
      </c>
      <c r="P1922" s="46" t="inlineStr">
        <is>
          <t>NSMI24070221377</t>
        </is>
      </c>
      <c r="Q1922" s="54">
        <f>MID(P1922,5,2)</f>
        <v/>
      </c>
      <c r="R1922" s="53">
        <f>MID(P1922,7,2)</f>
        <v/>
      </c>
      <c r="S1922" s="3" t="inlineStr">
        <is>
          <t>G2G</t>
        </is>
      </c>
      <c r="T1922" s="3" t="inlineStr">
        <is>
          <t>P4</t>
        </is>
      </c>
      <c r="U1922" s="3" t="inlineStr">
        <is>
          <t>N JB Cold Soldering</t>
        </is>
      </c>
      <c r="V1922" s="3" t="inlineStr">
        <is>
          <t>Soldering</t>
        </is>
      </c>
      <c r="W1922" s="3" t="inlineStr">
        <is>
          <t>Repair</t>
        </is>
      </c>
      <c r="X1922" s="18" t="n">
        <v>46166</v>
      </c>
      <c r="Y1922" s="73">
        <f>IF(X1922="","",X1922-A1922)</f>
        <v/>
      </c>
      <c r="Z1922" s="18" t="n">
        <v>46166</v>
      </c>
      <c r="AA1922" s="15" t="n"/>
      <c r="AB1922" s="15" t="n"/>
      <c r="AF1922">
        <f>IF(AND($F1922="Closed",$X1922&gt;=DATE(2026,5,1),$X1922&lt;=DATE(2026,5,31)),"Closed in May","Other")</f>
        <v/>
      </c>
    </row>
    <row r="1923">
      <c r="A1923" s="37" t="n">
        <v>46143</v>
      </c>
      <c r="B1923" s="3" t="n">
        <v>2026</v>
      </c>
      <c r="C1923" s="26" t="inlineStr">
        <is>
          <t>Yanara Power</t>
        </is>
      </c>
      <c r="D1923" s="3" t="inlineStr">
        <is>
          <t>Utility and C&amp;I</t>
        </is>
      </c>
      <c r="E1923" s="3" t="n"/>
      <c r="F1923" s="3" t="inlineStr">
        <is>
          <t>Closed</t>
        </is>
      </c>
      <c r="G1923" s="9" t="inlineStr">
        <is>
          <t xml:space="preserve">Ashish Jindal </t>
        </is>
      </c>
      <c r="H1923" s="26" t="n">
        <v>9983975581</v>
      </c>
      <c r="I1923" s="38" t="inlineStr">
        <is>
          <t>PE01052601</t>
        </is>
      </c>
      <c r="J1923" s="26" t="inlineStr">
        <is>
          <t>Multiple Issues</t>
        </is>
      </c>
      <c r="K1923" s="39" t="inlineStr">
        <is>
          <t>Holi</t>
        </is>
      </c>
      <c r="L1923" s="39" t="inlineStr">
        <is>
          <t>Maharashtra</t>
        </is>
      </c>
      <c r="M1923" s="46" t="inlineStr">
        <is>
          <t>OK</t>
        </is>
      </c>
      <c r="N1923" s="3" t="inlineStr">
        <is>
          <t>No Issue</t>
        </is>
      </c>
      <c r="O1923" s="56" t="n">
        <v>575</v>
      </c>
      <c r="P1923" s="46" t="inlineStr">
        <is>
          <t>NSMI24070222223</t>
        </is>
      </c>
      <c r="Q1923" s="54">
        <f>MID(P1923,5,2)</f>
        <v/>
      </c>
      <c r="R1923" s="53">
        <f>MID(P1923,7,2)</f>
        <v/>
      </c>
      <c r="S1923" s="3" t="inlineStr">
        <is>
          <t>G2G</t>
        </is>
      </c>
      <c r="T1923" s="3" t="inlineStr">
        <is>
          <t>P4</t>
        </is>
      </c>
      <c r="U1923" s="19" t="inlineStr">
        <is>
          <t>No Issue Found</t>
        </is>
      </c>
      <c r="V1923" s="19" t="inlineStr">
        <is>
          <t>Found OK</t>
        </is>
      </c>
      <c r="W1923" s="3" t="inlineStr">
        <is>
          <t>Repair</t>
        </is>
      </c>
      <c r="X1923" s="18" t="n">
        <v>46166</v>
      </c>
      <c r="Y1923" s="73">
        <f>IF(X1923="","",X1923-A1923)</f>
        <v/>
      </c>
      <c r="Z1923" s="18" t="n">
        <v>46166</v>
      </c>
      <c r="AA1923" s="15" t="n"/>
      <c r="AB1923" s="15" t="n"/>
      <c r="AF1923">
        <f>IF(AND($F1923="Closed",$X1923&gt;=DATE(2026,5,1),$X1923&lt;=DATE(2026,5,31)),"Closed in May","Other")</f>
        <v/>
      </c>
    </row>
    <row r="1924">
      <c r="A1924" s="37" t="n">
        <v>46143</v>
      </c>
      <c r="B1924" s="3" t="n">
        <v>2026</v>
      </c>
      <c r="C1924" s="26" t="inlineStr">
        <is>
          <t>Yanara Power</t>
        </is>
      </c>
      <c r="D1924" s="3" t="inlineStr">
        <is>
          <t>Utility and C&amp;I</t>
        </is>
      </c>
      <c r="E1924" s="3" t="n"/>
      <c r="F1924" s="3" t="inlineStr">
        <is>
          <t>Closed</t>
        </is>
      </c>
      <c r="G1924" s="9" t="inlineStr">
        <is>
          <t xml:space="preserve">Ashish Jindal </t>
        </is>
      </c>
      <c r="H1924" s="26" t="n">
        <v>9983975581</v>
      </c>
      <c r="I1924" s="38" t="inlineStr">
        <is>
          <t>PE01052601</t>
        </is>
      </c>
      <c r="J1924" s="26" t="inlineStr">
        <is>
          <t>Multiple Issues</t>
        </is>
      </c>
      <c r="K1924" s="39" t="inlineStr">
        <is>
          <t>Holi</t>
        </is>
      </c>
      <c r="L1924" s="39" t="inlineStr">
        <is>
          <t>Maharashtra</t>
        </is>
      </c>
      <c r="M1924" s="46" t="inlineStr">
        <is>
          <t>NS</t>
        </is>
      </c>
      <c r="N1924" s="3" t="inlineStr">
        <is>
          <t>Cold Soldering</t>
        </is>
      </c>
      <c r="O1924" s="56" t="n">
        <v>575</v>
      </c>
      <c r="P1924" s="46" t="inlineStr">
        <is>
          <t>NSMI24070176406</t>
        </is>
      </c>
      <c r="Q1924" s="54">
        <f>MID(P1924,5,2)</f>
        <v/>
      </c>
      <c r="R1924" s="53">
        <f>MID(P1924,7,2)</f>
        <v/>
      </c>
      <c r="S1924" s="3" t="inlineStr">
        <is>
          <t>G2G</t>
        </is>
      </c>
      <c r="T1924" s="3" t="inlineStr">
        <is>
          <t>P4</t>
        </is>
      </c>
      <c r="U1924" s="3" t="inlineStr">
        <is>
          <t>N JB Cold Soldering</t>
        </is>
      </c>
      <c r="V1924" s="3" t="inlineStr">
        <is>
          <t>Soldering</t>
        </is>
      </c>
      <c r="W1924" s="3" t="inlineStr">
        <is>
          <t>Repair</t>
        </is>
      </c>
      <c r="X1924" s="18" t="n">
        <v>46166</v>
      </c>
      <c r="Y1924" s="73">
        <f>IF(X1924="","",X1924-A1924)</f>
        <v/>
      </c>
      <c r="Z1924" s="18" t="n">
        <v>46166</v>
      </c>
      <c r="AA1924" s="15" t="n"/>
      <c r="AB1924" s="15" t="n"/>
      <c r="AF1924">
        <f>IF(AND($F1924="Closed",$X1924&gt;=DATE(2026,5,1),$X1924&lt;=DATE(2026,5,31)),"Closed in May","Other")</f>
        <v/>
      </c>
    </row>
    <row r="1925">
      <c r="A1925" s="37" t="n">
        <v>46143</v>
      </c>
      <c r="B1925" s="3" t="n">
        <v>2026</v>
      </c>
      <c r="C1925" s="26" t="inlineStr">
        <is>
          <t>Yanara Power</t>
        </is>
      </c>
      <c r="D1925" s="3" t="inlineStr">
        <is>
          <t>Utility and C&amp;I</t>
        </is>
      </c>
      <c r="E1925" s="3" t="n"/>
      <c r="F1925" s="3" t="inlineStr">
        <is>
          <t>Closed</t>
        </is>
      </c>
      <c r="G1925" s="9" t="inlineStr">
        <is>
          <t xml:space="preserve">Ashish Jindal </t>
        </is>
      </c>
      <c r="H1925" s="26" t="n">
        <v>9983975581</v>
      </c>
      <c r="I1925" s="38" t="inlineStr">
        <is>
          <t>PE01052601</t>
        </is>
      </c>
      <c r="J1925" s="26" t="inlineStr">
        <is>
          <t>Multiple Issues</t>
        </is>
      </c>
      <c r="K1925" s="39" t="inlineStr">
        <is>
          <t>Holi</t>
        </is>
      </c>
      <c r="L1925" s="39" t="inlineStr">
        <is>
          <t>Maharashtra</t>
        </is>
      </c>
      <c r="M1925" s="46" t="inlineStr">
        <is>
          <t>PS</t>
        </is>
      </c>
      <c r="N1925" s="3" t="inlineStr">
        <is>
          <t>Cold Soldering</t>
        </is>
      </c>
      <c r="O1925" s="56" t="n">
        <v>575</v>
      </c>
      <c r="P1925" s="46" t="inlineStr">
        <is>
          <t>NSMI24070176657</t>
        </is>
      </c>
      <c r="Q1925" s="54">
        <f>MID(P1925,5,2)</f>
        <v/>
      </c>
      <c r="R1925" s="53">
        <f>MID(P1925,7,2)</f>
        <v/>
      </c>
      <c r="S1925" s="3" t="inlineStr">
        <is>
          <t>G2G</t>
        </is>
      </c>
      <c r="T1925" s="3" t="inlineStr">
        <is>
          <t>P4</t>
        </is>
      </c>
      <c r="U1925" s="19" t="inlineStr">
        <is>
          <t>P JB Cold Soldering</t>
        </is>
      </c>
      <c r="V1925" s="19" t="inlineStr">
        <is>
          <t>Soldering</t>
        </is>
      </c>
      <c r="W1925" s="3" t="inlineStr">
        <is>
          <t>Repair</t>
        </is>
      </c>
      <c r="X1925" s="18" t="n">
        <v>46166</v>
      </c>
      <c r="Y1925" s="73">
        <f>IF(X1925="","",X1925-A1925)</f>
        <v/>
      </c>
      <c r="Z1925" s="18" t="n">
        <v>46166</v>
      </c>
      <c r="AA1925" s="15" t="n"/>
      <c r="AB1925" s="15" t="n"/>
      <c r="AF1925">
        <f>IF(AND($F1925="Closed",$X1925&gt;=DATE(2026,5,1),$X1925&lt;=DATE(2026,5,31)),"Closed in May","Other")</f>
        <v/>
      </c>
    </row>
    <row r="1926">
      <c r="A1926" s="37" t="n">
        <v>46143</v>
      </c>
      <c r="B1926" s="3" t="n">
        <v>2026</v>
      </c>
      <c r="C1926" s="26" t="inlineStr">
        <is>
          <t>Yanara Power</t>
        </is>
      </c>
      <c r="D1926" s="3" t="inlineStr">
        <is>
          <t>Utility and C&amp;I</t>
        </is>
      </c>
      <c r="E1926" s="3" t="n"/>
      <c r="F1926" s="3" t="inlineStr">
        <is>
          <t>Closed</t>
        </is>
      </c>
      <c r="G1926" s="9" t="inlineStr">
        <is>
          <t xml:space="preserve">Ashish Jindal </t>
        </is>
      </c>
      <c r="H1926" s="26" t="n">
        <v>9983975581</v>
      </c>
      <c r="I1926" s="38" t="inlineStr">
        <is>
          <t>PE01052601</t>
        </is>
      </c>
      <c r="J1926" s="26" t="inlineStr">
        <is>
          <t>Multiple Issues</t>
        </is>
      </c>
      <c r="K1926" s="39" t="inlineStr">
        <is>
          <t>Holi</t>
        </is>
      </c>
      <c r="L1926" s="39" t="inlineStr">
        <is>
          <t>Maharashtra</t>
        </is>
      </c>
      <c r="M1926" s="46" t="inlineStr">
        <is>
          <t>NS</t>
        </is>
      </c>
      <c r="N1926" s="3" t="inlineStr">
        <is>
          <t>Cold Soldering</t>
        </is>
      </c>
      <c r="O1926" s="56" t="n">
        <v>575</v>
      </c>
      <c r="P1926" s="46" t="inlineStr">
        <is>
          <t>NSMI24070178201</t>
        </is>
      </c>
      <c r="Q1926" s="54">
        <f>MID(P1926,5,2)</f>
        <v/>
      </c>
      <c r="R1926" s="53">
        <f>MID(P1926,7,2)</f>
        <v/>
      </c>
      <c r="S1926" s="3" t="inlineStr">
        <is>
          <t>G2G</t>
        </is>
      </c>
      <c r="T1926" s="3" t="inlineStr">
        <is>
          <t>P4</t>
        </is>
      </c>
      <c r="U1926" s="3" t="inlineStr">
        <is>
          <t>N JB Cold Soldering</t>
        </is>
      </c>
      <c r="V1926" s="3" t="inlineStr">
        <is>
          <t>Soldering</t>
        </is>
      </c>
      <c r="W1926" s="3" t="inlineStr">
        <is>
          <t>Repair</t>
        </is>
      </c>
      <c r="X1926" s="18" t="n">
        <v>46166</v>
      </c>
      <c r="Y1926" s="73">
        <f>IF(X1926="","",X1926-A1926)</f>
        <v/>
      </c>
      <c r="Z1926" s="18" t="n">
        <v>46166</v>
      </c>
      <c r="AA1926" s="15" t="n"/>
      <c r="AB1926" s="15" t="n"/>
      <c r="AF1926">
        <f>IF(AND($F1926="Closed",$X1926&gt;=DATE(2026,5,1),$X1926&lt;=DATE(2026,5,31)),"Closed in May","Other")</f>
        <v/>
      </c>
    </row>
    <row r="1927">
      <c r="A1927" s="37" t="n">
        <v>46143</v>
      </c>
      <c r="B1927" s="3" t="n">
        <v>2026</v>
      </c>
      <c r="C1927" s="26" t="inlineStr">
        <is>
          <t>Yanara Power</t>
        </is>
      </c>
      <c r="D1927" s="3" t="inlineStr">
        <is>
          <t>Utility and C&amp;I</t>
        </is>
      </c>
      <c r="E1927" s="3" t="n"/>
      <c r="F1927" s="3" t="inlineStr">
        <is>
          <t>Closed</t>
        </is>
      </c>
      <c r="G1927" s="9" t="inlineStr">
        <is>
          <t xml:space="preserve">Ashish Jindal </t>
        </is>
      </c>
      <c r="H1927" s="26" t="n">
        <v>9983975581</v>
      </c>
      <c r="I1927" s="38" t="inlineStr">
        <is>
          <t>PE01052601</t>
        </is>
      </c>
      <c r="J1927" s="26" t="inlineStr">
        <is>
          <t>Multiple Issues</t>
        </is>
      </c>
      <c r="K1927" s="39" t="inlineStr">
        <is>
          <t>Holi</t>
        </is>
      </c>
      <c r="L1927" s="39" t="inlineStr">
        <is>
          <t>Maharashtra</t>
        </is>
      </c>
      <c r="M1927" s="46" t="inlineStr">
        <is>
          <t>PS</t>
        </is>
      </c>
      <c r="N1927" s="3" t="inlineStr">
        <is>
          <t>Cold Soldering</t>
        </is>
      </c>
      <c r="O1927" s="56" t="n">
        <v>575</v>
      </c>
      <c r="P1927" s="46" t="inlineStr">
        <is>
          <t>NSMI24070180018</t>
        </is>
      </c>
      <c r="Q1927" s="54">
        <f>MID(P1927,5,2)</f>
        <v/>
      </c>
      <c r="R1927" s="53">
        <f>MID(P1927,7,2)</f>
        <v/>
      </c>
      <c r="S1927" s="3" t="inlineStr">
        <is>
          <t>G2G</t>
        </is>
      </c>
      <c r="T1927" s="3" t="inlineStr">
        <is>
          <t>P4</t>
        </is>
      </c>
      <c r="U1927" s="19" t="inlineStr">
        <is>
          <t>P JB Cold Soldering</t>
        </is>
      </c>
      <c r="V1927" s="19" t="inlineStr">
        <is>
          <t>Soldering</t>
        </is>
      </c>
      <c r="W1927" s="3" t="inlineStr">
        <is>
          <t>Repair</t>
        </is>
      </c>
      <c r="X1927" s="18" t="n">
        <v>46166</v>
      </c>
      <c r="Y1927" s="73">
        <f>IF(X1927="","",X1927-A1927)</f>
        <v/>
      </c>
      <c r="Z1927" s="18" t="n">
        <v>46166</v>
      </c>
      <c r="AA1927" s="15" t="n"/>
      <c r="AB1927" s="15" t="n"/>
      <c r="AF1927">
        <f>IF(AND($F1927="Closed",$X1927&gt;=DATE(2026,5,1),$X1927&lt;=DATE(2026,5,31)),"Closed in May","Other")</f>
        <v/>
      </c>
    </row>
    <row r="1928">
      <c r="A1928" s="37" t="n">
        <v>46143</v>
      </c>
      <c r="B1928" s="3" t="n">
        <v>2026</v>
      </c>
      <c r="C1928" s="26" t="inlineStr">
        <is>
          <t>Yanara Power</t>
        </is>
      </c>
      <c r="D1928" s="3" t="inlineStr">
        <is>
          <t>Utility and C&amp;I</t>
        </is>
      </c>
      <c r="E1928" s="3" t="n"/>
      <c r="F1928" s="3" t="inlineStr">
        <is>
          <t>Closed</t>
        </is>
      </c>
      <c r="G1928" s="9" t="inlineStr">
        <is>
          <t xml:space="preserve">Ashish Jindal </t>
        </is>
      </c>
      <c r="H1928" s="26" t="n">
        <v>9983975581</v>
      </c>
      <c r="I1928" s="38" t="inlineStr">
        <is>
          <t>PE01052601</t>
        </is>
      </c>
      <c r="J1928" s="26" t="inlineStr">
        <is>
          <t>Multiple Issues</t>
        </is>
      </c>
      <c r="K1928" s="39" t="inlineStr">
        <is>
          <t>Holi</t>
        </is>
      </c>
      <c r="L1928" s="39" t="inlineStr">
        <is>
          <t>Maharashtra</t>
        </is>
      </c>
      <c r="M1928" s="46" t="inlineStr">
        <is>
          <t>NS</t>
        </is>
      </c>
      <c r="N1928" s="3" t="inlineStr">
        <is>
          <t>Cold Soldering</t>
        </is>
      </c>
      <c r="O1928" s="56" t="n">
        <v>575</v>
      </c>
      <c r="P1928" s="46" t="inlineStr">
        <is>
          <t>NSMI24070178229</t>
        </is>
      </c>
      <c r="Q1928" s="54">
        <f>MID(P1928,5,2)</f>
        <v/>
      </c>
      <c r="R1928" s="53">
        <f>MID(P1928,7,2)</f>
        <v/>
      </c>
      <c r="S1928" s="3" t="inlineStr">
        <is>
          <t>G2G</t>
        </is>
      </c>
      <c r="T1928" s="3" t="inlineStr">
        <is>
          <t>P4</t>
        </is>
      </c>
      <c r="U1928" s="3" t="inlineStr">
        <is>
          <t>N JB Cold Soldering</t>
        </is>
      </c>
      <c r="V1928" s="3" t="inlineStr">
        <is>
          <t>Soldering</t>
        </is>
      </c>
      <c r="W1928" s="3" t="inlineStr">
        <is>
          <t>Repair</t>
        </is>
      </c>
      <c r="X1928" s="18" t="n">
        <v>46166</v>
      </c>
      <c r="Y1928" s="73">
        <f>IF(X1928="","",X1928-A1928)</f>
        <v/>
      </c>
      <c r="Z1928" s="18" t="n">
        <v>46166</v>
      </c>
      <c r="AA1928" s="15" t="n"/>
      <c r="AB1928" s="15" t="n"/>
      <c r="AF1928">
        <f>IF(AND($F1928="Closed",$X1928&gt;=DATE(2026,5,1),$X1928&lt;=DATE(2026,5,31)),"Closed in May","Other")</f>
        <v/>
      </c>
    </row>
    <row r="1929">
      <c r="A1929" s="37" t="n">
        <v>46143</v>
      </c>
      <c r="B1929" s="3" t="n">
        <v>2026</v>
      </c>
      <c r="C1929" s="26" t="inlineStr">
        <is>
          <t>Yanara Power</t>
        </is>
      </c>
      <c r="D1929" s="3" t="inlineStr">
        <is>
          <t>Utility and C&amp;I</t>
        </is>
      </c>
      <c r="E1929" s="3" t="n"/>
      <c r="F1929" s="3" t="inlineStr">
        <is>
          <t>Closed</t>
        </is>
      </c>
      <c r="G1929" s="9" t="inlineStr">
        <is>
          <t xml:space="preserve">Ashish Jindal </t>
        </is>
      </c>
      <c r="H1929" s="26" t="n">
        <v>9983975581</v>
      </c>
      <c r="I1929" s="38" t="inlineStr">
        <is>
          <t>PE01052601</t>
        </is>
      </c>
      <c r="J1929" s="26" t="inlineStr">
        <is>
          <t>Multiple Issues</t>
        </is>
      </c>
      <c r="K1929" s="39" t="inlineStr">
        <is>
          <t>Holi</t>
        </is>
      </c>
      <c r="L1929" s="39" t="inlineStr">
        <is>
          <t>Maharashtra</t>
        </is>
      </c>
      <c r="M1929" s="46" t="inlineStr">
        <is>
          <t>PS</t>
        </is>
      </c>
      <c r="N1929" s="3" t="inlineStr">
        <is>
          <t>Cold Soldering</t>
        </is>
      </c>
      <c r="O1929" s="56" t="n">
        <v>575</v>
      </c>
      <c r="P1929" s="46" t="inlineStr">
        <is>
          <t>NSMI24070180003</t>
        </is>
      </c>
      <c r="Q1929" s="54">
        <f>MID(P1929,5,2)</f>
        <v/>
      </c>
      <c r="R1929" s="53">
        <f>MID(P1929,7,2)</f>
        <v/>
      </c>
      <c r="S1929" s="3" t="inlineStr">
        <is>
          <t>G2G</t>
        </is>
      </c>
      <c r="T1929" s="3" t="inlineStr">
        <is>
          <t>P4</t>
        </is>
      </c>
      <c r="U1929" s="19" t="inlineStr">
        <is>
          <t>P JB Cold Soldering</t>
        </is>
      </c>
      <c r="V1929" s="19" t="inlineStr">
        <is>
          <t>Soldering</t>
        </is>
      </c>
      <c r="W1929" s="3" t="inlineStr">
        <is>
          <t>Repair</t>
        </is>
      </c>
      <c r="X1929" s="18" t="n">
        <v>46166</v>
      </c>
      <c r="Y1929" s="73">
        <f>IF(X1929="","",X1929-A1929)</f>
        <v/>
      </c>
      <c r="Z1929" s="18" t="n">
        <v>46166</v>
      </c>
      <c r="AA1929" s="15" t="n"/>
      <c r="AB1929" s="15" t="n"/>
      <c r="AF1929">
        <f>IF(AND($F1929="Closed",$X1929&gt;=DATE(2026,5,1),$X1929&lt;=DATE(2026,5,31)),"Closed in May","Other")</f>
        <v/>
      </c>
    </row>
    <row r="1930">
      <c r="A1930" s="37" t="n">
        <v>46143</v>
      </c>
      <c r="B1930" s="3" t="n">
        <v>2026</v>
      </c>
      <c r="C1930" s="26" t="inlineStr">
        <is>
          <t>Yanara Power</t>
        </is>
      </c>
      <c r="D1930" s="3" t="inlineStr">
        <is>
          <t>Utility and C&amp;I</t>
        </is>
      </c>
      <c r="E1930" s="3" t="n"/>
      <c r="F1930" s="3" t="inlineStr">
        <is>
          <t>Closed</t>
        </is>
      </c>
      <c r="G1930" s="9" t="inlineStr">
        <is>
          <t xml:space="preserve">Ashish Jindal </t>
        </is>
      </c>
      <c r="H1930" s="26" t="n">
        <v>9983975581</v>
      </c>
      <c r="I1930" s="38" t="inlineStr">
        <is>
          <t>PE01052601</t>
        </is>
      </c>
      <c r="J1930" s="26" t="inlineStr">
        <is>
          <t>Multiple Issues</t>
        </is>
      </c>
      <c r="K1930" s="39" t="inlineStr">
        <is>
          <t>Holi</t>
        </is>
      </c>
      <c r="L1930" s="39" t="inlineStr">
        <is>
          <t>Maharashtra</t>
        </is>
      </c>
      <c r="M1930" s="46" t="inlineStr">
        <is>
          <t>NS</t>
        </is>
      </c>
      <c r="N1930" s="3" t="inlineStr">
        <is>
          <t>Cold Soldering</t>
        </is>
      </c>
      <c r="O1930" s="56" t="n">
        <v>575</v>
      </c>
      <c r="P1930" s="46" t="inlineStr">
        <is>
          <t>NSMI24070180036</t>
        </is>
      </c>
      <c r="Q1930" s="54">
        <f>MID(P1930,5,2)</f>
        <v/>
      </c>
      <c r="R1930" s="53">
        <f>MID(P1930,7,2)</f>
        <v/>
      </c>
      <c r="S1930" s="3" t="inlineStr">
        <is>
          <t>G2G</t>
        </is>
      </c>
      <c r="T1930" s="3" t="inlineStr">
        <is>
          <t>P4</t>
        </is>
      </c>
      <c r="U1930" s="3" t="inlineStr">
        <is>
          <t>N JB Cold Soldering</t>
        </is>
      </c>
      <c r="V1930" s="3" t="inlineStr">
        <is>
          <t>Soldering</t>
        </is>
      </c>
      <c r="W1930" s="3" t="inlineStr">
        <is>
          <t>Repair</t>
        </is>
      </c>
      <c r="X1930" s="18" t="n">
        <v>46166</v>
      </c>
      <c r="Y1930" s="73">
        <f>IF(X1930="","",X1930-A1930)</f>
        <v/>
      </c>
      <c r="Z1930" s="18" t="n">
        <v>46166</v>
      </c>
      <c r="AA1930" s="15" t="n"/>
      <c r="AB1930" s="15" t="n"/>
      <c r="AF1930">
        <f>IF(AND($F1930="Closed",$X1930&gt;=DATE(2026,5,1),$X1930&lt;=DATE(2026,5,31)),"Closed in May","Other")</f>
        <v/>
      </c>
    </row>
    <row r="1931">
      <c r="A1931" s="37" t="n">
        <v>46143</v>
      </c>
      <c r="B1931" s="3" t="n">
        <v>2026</v>
      </c>
      <c r="C1931" s="26" t="inlineStr">
        <is>
          <t>Yanara Power</t>
        </is>
      </c>
      <c r="D1931" s="3" t="inlineStr">
        <is>
          <t>Utility and C&amp;I</t>
        </is>
      </c>
      <c r="E1931" s="3" t="n"/>
      <c r="F1931" s="3" t="inlineStr">
        <is>
          <t>Closed</t>
        </is>
      </c>
      <c r="G1931" s="9" t="inlineStr">
        <is>
          <t xml:space="preserve">Ashish Jindal </t>
        </is>
      </c>
      <c r="H1931" s="26" t="n">
        <v>9983975581</v>
      </c>
      <c r="I1931" s="38" t="inlineStr">
        <is>
          <t>PE01052601</t>
        </is>
      </c>
      <c r="J1931" s="26" t="inlineStr">
        <is>
          <t>Multiple Issues</t>
        </is>
      </c>
      <c r="K1931" s="39" t="inlineStr">
        <is>
          <t>Holi</t>
        </is>
      </c>
      <c r="L1931" s="39" t="inlineStr">
        <is>
          <t>Maharashtra</t>
        </is>
      </c>
      <c r="M1931" s="46" t="inlineStr">
        <is>
          <t>NS</t>
        </is>
      </c>
      <c r="N1931" s="3" t="inlineStr">
        <is>
          <t>Cold Soldering</t>
        </is>
      </c>
      <c r="O1931" s="56" t="n">
        <v>575</v>
      </c>
      <c r="P1931" s="46" t="inlineStr">
        <is>
          <t>NSMI24070177128</t>
        </is>
      </c>
      <c r="Q1931" s="54">
        <f>MID(P1931,5,2)</f>
        <v/>
      </c>
      <c r="R1931" s="53">
        <f>MID(P1931,7,2)</f>
        <v/>
      </c>
      <c r="S1931" s="3" t="inlineStr">
        <is>
          <t>G2G</t>
        </is>
      </c>
      <c r="T1931" s="3" t="inlineStr">
        <is>
          <t>P4</t>
        </is>
      </c>
      <c r="U1931" s="3" t="inlineStr">
        <is>
          <t>N JB Cold Soldering</t>
        </is>
      </c>
      <c r="V1931" s="3" t="inlineStr">
        <is>
          <t>Soldering</t>
        </is>
      </c>
      <c r="W1931" s="3" t="inlineStr">
        <is>
          <t>Repair</t>
        </is>
      </c>
      <c r="X1931" s="18" t="n">
        <v>46166</v>
      </c>
      <c r="Y1931" s="73">
        <f>IF(X1931="","",X1931-A1931)</f>
        <v/>
      </c>
      <c r="Z1931" s="18" t="n">
        <v>46166</v>
      </c>
      <c r="AA1931" s="15" t="n"/>
      <c r="AB1931" s="15" t="n"/>
      <c r="AF1931">
        <f>IF(AND($F1931="Closed",$X1931&gt;=DATE(2026,5,1),$X1931&lt;=DATE(2026,5,31)),"Closed in May","Other")</f>
        <v/>
      </c>
    </row>
    <row r="1932">
      <c r="A1932" s="37" t="n">
        <v>46143</v>
      </c>
      <c r="B1932" s="3" t="n">
        <v>2026</v>
      </c>
      <c r="C1932" s="26" t="inlineStr">
        <is>
          <t>Yanara Power</t>
        </is>
      </c>
      <c r="D1932" s="3" t="inlineStr">
        <is>
          <t>Utility and C&amp;I</t>
        </is>
      </c>
      <c r="E1932" s="3" t="n"/>
      <c r="F1932" s="3" t="inlineStr">
        <is>
          <t>Closed</t>
        </is>
      </c>
      <c r="G1932" s="9" t="inlineStr">
        <is>
          <t xml:space="preserve">Ashish Jindal </t>
        </is>
      </c>
      <c r="H1932" s="26" t="n">
        <v>9983975581</v>
      </c>
      <c r="I1932" s="38" t="inlineStr">
        <is>
          <t>PE01052601</t>
        </is>
      </c>
      <c r="J1932" s="26" t="inlineStr">
        <is>
          <t>Multiple Issues</t>
        </is>
      </c>
      <c r="K1932" s="39" t="inlineStr">
        <is>
          <t>Holi</t>
        </is>
      </c>
      <c r="L1932" s="39" t="inlineStr">
        <is>
          <t>Maharashtra</t>
        </is>
      </c>
      <c r="M1932" s="46" t="inlineStr">
        <is>
          <t>PS</t>
        </is>
      </c>
      <c r="N1932" s="3" t="inlineStr">
        <is>
          <t>Cold Soldering</t>
        </is>
      </c>
      <c r="O1932" s="56" t="n">
        <v>575</v>
      </c>
      <c r="P1932" s="46" t="inlineStr">
        <is>
          <t>NSMI24070180934</t>
        </is>
      </c>
      <c r="Q1932" s="54">
        <f>MID(P1932,5,2)</f>
        <v/>
      </c>
      <c r="R1932" s="53">
        <f>MID(P1932,7,2)</f>
        <v/>
      </c>
      <c r="S1932" s="3" t="inlineStr">
        <is>
          <t>G2G</t>
        </is>
      </c>
      <c r="T1932" s="3" t="inlineStr">
        <is>
          <t>P4</t>
        </is>
      </c>
      <c r="U1932" s="19" t="inlineStr">
        <is>
          <t>P JB Cold Soldering</t>
        </is>
      </c>
      <c r="V1932" s="19" t="inlineStr">
        <is>
          <t>Soldering</t>
        </is>
      </c>
      <c r="W1932" s="3" t="inlineStr">
        <is>
          <t>Repair</t>
        </is>
      </c>
      <c r="X1932" s="18" t="n">
        <v>46166</v>
      </c>
      <c r="Y1932" s="73">
        <f>IF(X1932="","",X1932-A1932)</f>
        <v/>
      </c>
      <c r="Z1932" s="18" t="n">
        <v>46166</v>
      </c>
      <c r="AA1932" s="15" t="n"/>
      <c r="AB1932" s="15" t="n"/>
      <c r="AF1932">
        <f>IF(AND($F1932="Closed",$X1932&gt;=DATE(2026,5,1),$X1932&lt;=DATE(2026,5,31)),"Closed in May","Other")</f>
        <v/>
      </c>
    </row>
    <row r="1933">
      <c r="A1933" s="59" t="n">
        <v>46148</v>
      </c>
      <c r="B1933" s="3" t="n">
        <v>2026</v>
      </c>
      <c r="C1933" s="21" t="inlineStr">
        <is>
          <t>Continuum</t>
        </is>
      </c>
      <c r="D1933" s="3" t="inlineStr">
        <is>
          <t>Utility and C&amp;I</t>
        </is>
      </c>
      <c r="E1933" s="3" t="n"/>
      <c r="F1933" s="3" t="inlineStr">
        <is>
          <t>Closed</t>
        </is>
      </c>
      <c r="G1933" s="21" t="inlineStr">
        <is>
          <t>Amiya Ranjan Behera</t>
        </is>
      </c>
      <c r="H1933" s="21" t="n">
        <v>8917436223</v>
      </c>
      <c r="I1933" s="38" t="inlineStr">
        <is>
          <t>PE06052602</t>
        </is>
      </c>
      <c r="J1933" s="21" t="inlineStr">
        <is>
          <t>Diode Bypass Module Issue</t>
        </is>
      </c>
      <c r="K1933" s="21" t="inlineStr">
        <is>
          <t>Bhavnagar</t>
        </is>
      </c>
      <c r="L1933" s="21" t="inlineStr">
        <is>
          <t>Gujarat</t>
        </is>
      </c>
      <c r="M1933" s="9" t="inlineStr">
        <is>
          <t>PS</t>
        </is>
      </c>
      <c r="N1933" s="3" t="inlineStr">
        <is>
          <t>Cold Soldering</t>
        </is>
      </c>
      <c r="O1933" s="60" t="n">
        <v>540</v>
      </c>
      <c r="P1933" s="9" t="inlineStr">
        <is>
          <t>NSMP2304068775</t>
        </is>
      </c>
      <c r="Q1933" s="53">
        <f>MID(P1933,5,2)</f>
        <v/>
      </c>
      <c r="R1933" s="53">
        <f>MID(P1933,7,2)</f>
        <v/>
      </c>
      <c r="S1933" s="3" t="inlineStr">
        <is>
          <t>G2B</t>
        </is>
      </c>
      <c r="T1933" s="3" t="inlineStr">
        <is>
          <t>P2</t>
        </is>
      </c>
      <c r="U1933" s="3" t="inlineStr">
        <is>
          <t>P JB Cold Soldering</t>
        </is>
      </c>
      <c r="V1933" s="3" t="inlineStr">
        <is>
          <t>Soldering</t>
        </is>
      </c>
      <c r="W1933" s="3" t="inlineStr">
        <is>
          <t>Repair</t>
        </is>
      </c>
      <c r="X1933" s="18" t="n">
        <v>46167</v>
      </c>
      <c r="Y1933" s="73">
        <f>IF(X1933="","",X1933-A1933)</f>
        <v/>
      </c>
      <c r="Z1933" s="18" t="n">
        <v>46167</v>
      </c>
      <c r="AA1933" s="15" t="n"/>
      <c r="AB1933" s="15" t="n"/>
      <c r="AF1933">
        <f>IF(AND($F1933="Closed",$X1933&gt;=DATE(2026,5,1),$X1933&lt;=DATE(2026,5,31)),"Closed in May","Other")</f>
        <v/>
      </c>
    </row>
    <row r="1934">
      <c r="A1934" s="59" t="n">
        <v>46148</v>
      </c>
      <c r="B1934" s="3" t="n">
        <v>2026</v>
      </c>
      <c r="C1934" s="21" t="inlineStr">
        <is>
          <t>Continuum</t>
        </is>
      </c>
      <c r="D1934" s="3" t="inlineStr">
        <is>
          <t>Utility and C&amp;I</t>
        </is>
      </c>
      <c r="E1934" s="3" t="n"/>
      <c r="F1934" s="3" t="inlineStr">
        <is>
          <t>Closed</t>
        </is>
      </c>
      <c r="G1934" s="21" t="inlineStr">
        <is>
          <t>Amiya Ranjan Behera</t>
        </is>
      </c>
      <c r="H1934" s="21" t="n">
        <v>8917436223</v>
      </c>
      <c r="I1934" s="38" t="inlineStr">
        <is>
          <t>PE06052602</t>
        </is>
      </c>
      <c r="J1934" s="21" t="inlineStr">
        <is>
          <t>Diode Bypass Module Issue</t>
        </is>
      </c>
      <c r="K1934" s="21" t="inlineStr">
        <is>
          <t>Bhavnagar</t>
        </is>
      </c>
      <c r="L1934" s="21" t="inlineStr">
        <is>
          <t>Gujarat</t>
        </is>
      </c>
      <c r="M1934" s="9" t="inlineStr">
        <is>
          <t>PS</t>
        </is>
      </c>
      <c r="N1934" s="3" t="inlineStr">
        <is>
          <t>Cold Soldering</t>
        </is>
      </c>
      <c r="O1934" s="60" t="n">
        <v>540</v>
      </c>
      <c r="P1934" s="9" t="inlineStr">
        <is>
          <t>NSMP2304068803</t>
        </is>
      </c>
      <c r="Q1934" s="53">
        <f>MID(P1934,5,2)</f>
        <v/>
      </c>
      <c r="R1934" s="53">
        <f>MID(P1934,7,2)</f>
        <v/>
      </c>
      <c r="S1934" s="3" t="inlineStr">
        <is>
          <t>G2B</t>
        </is>
      </c>
      <c r="T1934" s="3" t="inlineStr">
        <is>
          <t>P2</t>
        </is>
      </c>
      <c r="U1934" s="3" t="inlineStr">
        <is>
          <t>P JB Cold Soldering</t>
        </is>
      </c>
      <c r="V1934" s="3" t="inlineStr">
        <is>
          <t>Soldering</t>
        </is>
      </c>
      <c r="W1934" s="3" t="inlineStr">
        <is>
          <t>Repair</t>
        </is>
      </c>
      <c r="X1934" s="18" t="n">
        <v>46167</v>
      </c>
      <c r="Y1934" s="73">
        <f>IF(X1934="","",X1934-A1934)</f>
        <v/>
      </c>
      <c r="Z1934" s="18" t="n">
        <v>46167</v>
      </c>
      <c r="AA1934" s="15" t="n"/>
      <c r="AB1934" s="15" t="n"/>
      <c r="AF1934">
        <f>IF(AND($F1934="Closed",$X1934&gt;=DATE(2026,5,1),$X1934&lt;=DATE(2026,5,31)),"Closed in May","Other")</f>
        <v/>
      </c>
    </row>
    <row r="1935">
      <c r="A1935" s="59" t="n">
        <v>46148</v>
      </c>
      <c r="B1935" s="3" t="n">
        <v>2026</v>
      </c>
      <c r="C1935" s="21" t="inlineStr">
        <is>
          <t>Continuum</t>
        </is>
      </c>
      <c r="D1935" s="3" t="inlineStr">
        <is>
          <t>Utility and C&amp;I</t>
        </is>
      </c>
      <c r="E1935" s="3" t="n"/>
      <c r="F1935" s="3" t="inlineStr">
        <is>
          <t>Closed</t>
        </is>
      </c>
      <c r="G1935" s="21" t="inlineStr">
        <is>
          <t>Amiya Ranjan Behera</t>
        </is>
      </c>
      <c r="H1935" s="21" t="n">
        <v>8917436223</v>
      </c>
      <c r="I1935" s="38" t="inlineStr">
        <is>
          <t>PE06052602</t>
        </is>
      </c>
      <c r="J1935" s="21" t="inlineStr">
        <is>
          <t>Diode Bypass Module Issue</t>
        </is>
      </c>
      <c r="K1935" s="21" t="inlineStr">
        <is>
          <t>Bhavnagar</t>
        </is>
      </c>
      <c r="L1935" s="21" t="inlineStr">
        <is>
          <t>Gujarat</t>
        </is>
      </c>
      <c r="M1935" s="9" t="inlineStr">
        <is>
          <t>PS</t>
        </is>
      </c>
      <c r="N1935" s="3" t="inlineStr">
        <is>
          <t>Cold Soldering</t>
        </is>
      </c>
      <c r="O1935" s="60" t="n">
        <v>540</v>
      </c>
      <c r="P1935" s="9" t="inlineStr">
        <is>
          <t>NSMP2304070591</t>
        </is>
      </c>
      <c r="Q1935" s="53">
        <f>MID(P1935,5,2)</f>
        <v/>
      </c>
      <c r="R1935" s="53">
        <f>MID(P1935,7,2)</f>
        <v/>
      </c>
      <c r="S1935" s="3" t="inlineStr">
        <is>
          <t>G2B</t>
        </is>
      </c>
      <c r="T1935" s="3" t="inlineStr">
        <is>
          <t>P2</t>
        </is>
      </c>
      <c r="U1935" s="3" t="inlineStr">
        <is>
          <t>P JB Cold Soldering</t>
        </is>
      </c>
      <c r="V1935" s="3" t="inlineStr">
        <is>
          <t>Soldering</t>
        </is>
      </c>
      <c r="W1935" s="3" t="inlineStr">
        <is>
          <t>Repair</t>
        </is>
      </c>
      <c r="X1935" s="18" t="n">
        <v>46167</v>
      </c>
      <c r="Y1935" s="73">
        <f>IF(X1935="","",X1935-A1935)</f>
        <v/>
      </c>
      <c r="Z1935" s="18" t="n">
        <v>46167</v>
      </c>
      <c r="AA1935" s="15" t="n"/>
      <c r="AB1935" s="15" t="n"/>
      <c r="AF1935">
        <f>IF(AND($F1935="Closed",$X1935&gt;=DATE(2026,5,1),$X1935&lt;=DATE(2026,5,31)),"Closed in May","Other")</f>
        <v/>
      </c>
    </row>
    <row r="1936">
      <c r="A1936" s="59" t="n">
        <v>46148</v>
      </c>
      <c r="B1936" s="3" t="n">
        <v>2026</v>
      </c>
      <c r="C1936" s="21" t="inlineStr">
        <is>
          <t>Continuum</t>
        </is>
      </c>
      <c r="D1936" s="3" t="inlineStr">
        <is>
          <t>Utility and C&amp;I</t>
        </is>
      </c>
      <c r="E1936" s="3" t="n"/>
      <c r="F1936" s="3" t="inlineStr">
        <is>
          <t>Closed</t>
        </is>
      </c>
      <c r="G1936" s="21" t="inlineStr">
        <is>
          <t>Amiya Ranjan Behera</t>
        </is>
      </c>
      <c r="H1936" s="21" t="n">
        <v>8917436223</v>
      </c>
      <c r="I1936" s="38" t="inlineStr">
        <is>
          <t>PE06052602</t>
        </is>
      </c>
      <c r="J1936" s="21" t="inlineStr">
        <is>
          <t>Diode Bypass Module Issue</t>
        </is>
      </c>
      <c r="K1936" s="21" t="inlineStr">
        <is>
          <t>Bhavnagar</t>
        </is>
      </c>
      <c r="L1936" s="21" t="inlineStr">
        <is>
          <t>Gujarat</t>
        </is>
      </c>
      <c r="M1936" s="9" t="inlineStr">
        <is>
          <t>PR</t>
        </is>
      </c>
      <c r="N1936" s="3" t="inlineStr">
        <is>
          <t>JB Issue</t>
        </is>
      </c>
      <c r="O1936" s="60" t="n">
        <v>540</v>
      </c>
      <c r="P1936" s="9" t="inlineStr">
        <is>
          <t>NSMP2304068980</t>
        </is>
      </c>
      <c r="Q1936" s="53">
        <f>MID(P1936,5,2)</f>
        <v/>
      </c>
      <c r="R1936" s="53">
        <f>MID(P1936,7,2)</f>
        <v/>
      </c>
      <c r="S1936" s="3" t="inlineStr">
        <is>
          <t>G2B</t>
        </is>
      </c>
      <c r="T1936" s="3" t="inlineStr">
        <is>
          <t>P2</t>
        </is>
      </c>
      <c r="U1936" s="3" t="inlineStr">
        <is>
          <t>P JB Issue</t>
        </is>
      </c>
      <c r="V1936" s="15" t="inlineStr">
        <is>
          <t>JB Changed</t>
        </is>
      </c>
      <c r="W1936" s="3" t="inlineStr">
        <is>
          <t>Repair</t>
        </is>
      </c>
      <c r="X1936" s="18" t="n">
        <v>46167</v>
      </c>
      <c r="Y1936" s="73">
        <f>IF(X1936="","",X1936-A1936)</f>
        <v/>
      </c>
      <c r="Z1936" s="18" t="n">
        <v>46167</v>
      </c>
      <c r="AA1936" s="15" t="n"/>
      <c r="AB1936" s="15" t="n"/>
      <c r="AF1936">
        <f>IF(AND($F1936="Closed",$X1936&gt;=DATE(2026,5,1),$X1936&lt;=DATE(2026,5,31)),"Closed in May","Other")</f>
        <v/>
      </c>
    </row>
    <row r="1937">
      <c r="A1937" s="59" t="n">
        <v>46148</v>
      </c>
      <c r="B1937" s="3" t="n">
        <v>2026</v>
      </c>
      <c r="C1937" s="21" t="inlineStr">
        <is>
          <t>Continuum</t>
        </is>
      </c>
      <c r="D1937" s="3" t="inlineStr">
        <is>
          <t>Utility and C&amp;I</t>
        </is>
      </c>
      <c r="E1937" s="3" t="n"/>
      <c r="F1937" s="3" t="inlineStr">
        <is>
          <t>Closed</t>
        </is>
      </c>
      <c r="G1937" s="21" t="inlineStr">
        <is>
          <t>Amiya Ranjan Behera</t>
        </is>
      </c>
      <c r="H1937" s="21" t="n">
        <v>8917436223</v>
      </c>
      <c r="I1937" s="38" t="inlineStr">
        <is>
          <t>PE06052602</t>
        </is>
      </c>
      <c r="J1937" s="21" t="inlineStr">
        <is>
          <t>Diode Bypass Module Issue</t>
        </is>
      </c>
      <c r="K1937" s="21" t="inlineStr">
        <is>
          <t>Bhavnagar</t>
        </is>
      </c>
      <c r="L1937" s="21" t="inlineStr">
        <is>
          <t>Gujarat</t>
        </is>
      </c>
      <c r="M1937" s="9" t="inlineStr">
        <is>
          <t>PS</t>
        </is>
      </c>
      <c r="N1937" s="3" t="inlineStr">
        <is>
          <t>Cold Soldering</t>
        </is>
      </c>
      <c r="O1937" s="60" t="n">
        <v>540</v>
      </c>
      <c r="P1937" s="9" t="inlineStr">
        <is>
          <t>NSMP2304070627</t>
        </is>
      </c>
      <c r="Q1937" s="53">
        <f>MID(P1937,5,2)</f>
        <v/>
      </c>
      <c r="R1937" s="53">
        <f>MID(P1937,7,2)</f>
        <v/>
      </c>
      <c r="S1937" s="3" t="inlineStr">
        <is>
          <t>G2B</t>
        </is>
      </c>
      <c r="T1937" s="3" t="inlineStr">
        <is>
          <t>P2</t>
        </is>
      </c>
      <c r="U1937" s="3" t="inlineStr">
        <is>
          <t>P JB Cold Soldering</t>
        </is>
      </c>
      <c r="V1937" s="3" t="inlineStr">
        <is>
          <t>Soldering</t>
        </is>
      </c>
      <c r="W1937" s="3" t="inlineStr">
        <is>
          <t>Repair</t>
        </is>
      </c>
      <c r="X1937" s="18" t="n">
        <v>46167</v>
      </c>
      <c r="Y1937" s="73">
        <f>IF(X1937="","",X1937-A1937)</f>
        <v/>
      </c>
      <c r="Z1937" s="18" t="n">
        <v>46167</v>
      </c>
      <c r="AA1937" s="15" t="n"/>
      <c r="AB1937" s="15" t="n"/>
      <c r="AF1937">
        <f>IF(AND($F1937="Closed",$X1937&gt;=DATE(2026,5,1),$X1937&lt;=DATE(2026,5,31)),"Closed in May","Other")</f>
        <v/>
      </c>
    </row>
    <row r="1938">
      <c r="A1938" s="59" t="n">
        <v>46148</v>
      </c>
      <c r="B1938" s="3" t="n">
        <v>2026</v>
      </c>
      <c r="C1938" s="21" t="inlineStr">
        <is>
          <t>Continuum</t>
        </is>
      </c>
      <c r="D1938" s="3" t="inlineStr">
        <is>
          <t>Utility and C&amp;I</t>
        </is>
      </c>
      <c r="E1938" s="3" t="n"/>
      <c r="F1938" s="3" t="inlineStr">
        <is>
          <t>Closed</t>
        </is>
      </c>
      <c r="G1938" s="21" t="inlineStr">
        <is>
          <t>Amiya Ranjan Behera</t>
        </is>
      </c>
      <c r="H1938" s="21" t="n">
        <v>8917436223</v>
      </c>
      <c r="I1938" s="38" t="inlineStr">
        <is>
          <t>PE06052602</t>
        </is>
      </c>
      <c r="J1938" s="21" t="inlineStr">
        <is>
          <t>Diode Bypass Module Issue</t>
        </is>
      </c>
      <c r="K1938" s="21" t="inlineStr">
        <is>
          <t>Bhavnagar</t>
        </is>
      </c>
      <c r="L1938" s="21" t="inlineStr">
        <is>
          <t>Gujarat</t>
        </is>
      </c>
      <c r="M1938" s="9" t="inlineStr">
        <is>
          <t>PR</t>
        </is>
      </c>
      <c r="N1938" s="3" t="inlineStr">
        <is>
          <t>JB Issue</t>
        </is>
      </c>
      <c r="O1938" s="60" t="n">
        <v>540</v>
      </c>
      <c r="P1938" s="9" t="inlineStr">
        <is>
          <t>NSMP2304070654</t>
        </is>
      </c>
      <c r="Q1938" s="53">
        <f>MID(P1938,5,2)</f>
        <v/>
      </c>
      <c r="R1938" s="53">
        <f>MID(P1938,7,2)</f>
        <v/>
      </c>
      <c r="S1938" s="3" t="inlineStr">
        <is>
          <t>G2B</t>
        </is>
      </c>
      <c r="T1938" s="3" t="inlineStr">
        <is>
          <t>P2</t>
        </is>
      </c>
      <c r="U1938" s="3" t="inlineStr">
        <is>
          <t>P JB Issue</t>
        </is>
      </c>
      <c r="V1938" s="15" t="inlineStr">
        <is>
          <t>JB Changed</t>
        </is>
      </c>
      <c r="W1938" s="3" t="inlineStr">
        <is>
          <t>Repair</t>
        </is>
      </c>
      <c r="X1938" s="18" t="n">
        <v>46167</v>
      </c>
      <c r="Y1938" s="73">
        <f>IF(X1938="","",X1938-A1938)</f>
        <v/>
      </c>
      <c r="Z1938" s="18" t="n">
        <v>46167</v>
      </c>
      <c r="AA1938" s="15" t="n"/>
      <c r="AB1938" s="15" t="n"/>
      <c r="AF1938">
        <f>IF(AND($F1938="Closed",$X1938&gt;=DATE(2026,5,1),$X1938&lt;=DATE(2026,5,31)),"Closed in May","Other")</f>
        <v/>
      </c>
    </row>
    <row r="1939">
      <c r="A1939" s="59" t="n">
        <v>46148</v>
      </c>
      <c r="B1939" s="3" t="n">
        <v>2026</v>
      </c>
      <c r="C1939" s="21" t="inlineStr">
        <is>
          <t>Continuum</t>
        </is>
      </c>
      <c r="D1939" s="3" t="inlineStr">
        <is>
          <t>Utility and C&amp;I</t>
        </is>
      </c>
      <c r="E1939" s="3" t="n"/>
      <c r="F1939" s="3" t="inlineStr">
        <is>
          <t>Closed</t>
        </is>
      </c>
      <c r="G1939" s="21" t="inlineStr">
        <is>
          <t>Amiya Ranjan Behera</t>
        </is>
      </c>
      <c r="H1939" s="21" t="n">
        <v>8917436223</v>
      </c>
      <c r="I1939" s="38" t="inlineStr">
        <is>
          <t>PE06052602</t>
        </is>
      </c>
      <c r="J1939" s="21" t="inlineStr">
        <is>
          <t>Diode Bypass Module Issue</t>
        </is>
      </c>
      <c r="K1939" s="21" t="inlineStr">
        <is>
          <t>Bhavnagar</t>
        </is>
      </c>
      <c r="L1939" s="21" t="inlineStr">
        <is>
          <t>Gujarat</t>
        </is>
      </c>
      <c r="M1939" s="9" t="inlineStr">
        <is>
          <t>PS</t>
        </is>
      </c>
      <c r="N1939" s="3" t="inlineStr">
        <is>
          <t>Cold Soldering</t>
        </is>
      </c>
      <c r="O1939" s="60" t="n">
        <v>540</v>
      </c>
      <c r="P1939" s="9" t="inlineStr">
        <is>
          <t>NSMP2304068638</t>
        </is>
      </c>
      <c r="Q1939" s="53">
        <f>MID(P1939,5,2)</f>
        <v/>
      </c>
      <c r="R1939" s="53">
        <f>MID(P1939,7,2)</f>
        <v/>
      </c>
      <c r="S1939" s="3" t="inlineStr">
        <is>
          <t>G2B</t>
        </is>
      </c>
      <c r="T1939" s="3" t="inlineStr">
        <is>
          <t>P2</t>
        </is>
      </c>
      <c r="U1939" s="3" t="inlineStr">
        <is>
          <t>P JB Cold Soldering</t>
        </is>
      </c>
      <c r="V1939" s="3" t="inlineStr">
        <is>
          <t>Soldering</t>
        </is>
      </c>
      <c r="W1939" s="3" t="inlineStr">
        <is>
          <t>Repair</t>
        </is>
      </c>
      <c r="X1939" s="18" t="n">
        <v>46167</v>
      </c>
      <c r="Y1939" s="73">
        <f>IF(X1939="","",X1939-A1939)</f>
        <v/>
      </c>
      <c r="Z1939" s="18" t="n">
        <v>46167</v>
      </c>
      <c r="AA1939" s="15" t="n"/>
      <c r="AB1939" s="15" t="n"/>
      <c r="AF1939">
        <f>IF(AND($F1939="Closed",$X1939&gt;=DATE(2026,5,1),$X1939&lt;=DATE(2026,5,31)),"Closed in May","Other")</f>
        <v/>
      </c>
    </row>
    <row r="1940">
      <c r="A1940" s="59" t="n">
        <v>46148</v>
      </c>
      <c r="B1940" s="3" t="n">
        <v>2026</v>
      </c>
      <c r="C1940" s="21" t="inlineStr">
        <is>
          <t>Continuum</t>
        </is>
      </c>
      <c r="D1940" s="3" t="inlineStr">
        <is>
          <t>Utility and C&amp;I</t>
        </is>
      </c>
      <c r="E1940" s="3" t="n"/>
      <c r="F1940" s="3" t="inlineStr">
        <is>
          <t>Closed</t>
        </is>
      </c>
      <c r="G1940" s="21" t="inlineStr">
        <is>
          <t>Amiya Ranjan Behera</t>
        </is>
      </c>
      <c r="H1940" s="21" t="n">
        <v>8917436223</v>
      </c>
      <c r="I1940" s="38" t="inlineStr">
        <is>
          <t>PE06052602</t>
        </is>
      </c>
      <c r="J1940" s="21" t="inlineStr">
        <is>
          <t>Diode Bypass Module Issue</t>
        </is>
      </c>
      <c r="K1940" s="21" t="inlineStr">
        <is>
          <t>Bhavnagar</t>
        </is>
      </c>
      <c r="L1940" s="21" t="inlineStr">
        <is>
          <t>Gujarat</t>
        </is>
      </c>
      <c r="M1940" s="9" t="inlineStr">
        <is>
          <t>PS</t>
        </is>
      </c>
      <c r="N1940" s="3" t="inlineStr">
        <is>
          <t>Cold Soldering</t>
        </is>
      </c>
      <c r="O1940" s="60" t="n">
        <v>540</v>
      </c>
      <c r="P1940" s="9" t="inlineStr">
        <is>
          <t>NSMP2304068623</t>
        </is>
      </c>
      <c r="Q1940" s="53">
        <f>MID(P1940,5,2)</f>
        <v/>
      </c>
      <c r="R1940" s="53">
        <f>MID(P1940,7,2)</f>
        <v/>
      </c>
      <c r="S1940" s="3" t="inlineStr">
        <is>
          <t>G2B</t>
        </is>
      </c>
      <c r="T1940" s="3" t="inlineStr">
        <is>
          <t>P2</t>
        </is>
      </c>
      <c r="U1940" s="3" t="inlineStr">
        <is>
          <t>P JB Cold Soldering</t>
        </is>
      </c>
      <c r="V1940" s="3" t="inlineStr">
        <is>
          <t>Soldering</t>
        </is>
      </c>
      <c r="W1940" s="3" t="inlineStr">
        <is>
          <t>Repair</t>
        </is>
      </c>
      <c r="X1940" s="18" t="n">
        <v>46167</v>
      </c>
      <c r="Y1940" s="73">
        <f>IF(X1940="","",X1940-A1940)</f>
        <v/>
      </c>
      <c r="Z1940" s="18" t="n">
        <v>46167</v>
      </c>
      <c r="AA1940" s="15" t="n"/>
      <c r="AB1940" s="15" t="n"/>
      <c r="AF1940">
        <f>IF(AND($F1940="Closed",$X1940&gt;=DATE(2026,5,1),$X1940&lt;=DATE(2026,5,31)),"Closed in May","Other")</f>
        <v/>
      </c>
    </row>
    <row r="1941">
      <c r="A1941" s="59" t="n">
        <v>46148</v>
      </c>
      <c r="B1941" s="3" t="n">
        <v>2026</v>
      </c>
      <c r="C1941" s="21" t="inlineStr">
        <is>
          <t>Continuum</t>
        </is>
      </c>
      <c r="D1941" s="3" t="inlineStr">
        <is>
          <t>Utility and C&amp;I</t>
        </is>
      </c>
      <c r="E1941" s="3" t="n"/>
      <c r="F1941" s="3" t="inlineStr">
        <is>
          <t>Closed</t>
        </is>
      </c>
      <c r="G1941" s="21" t="inlineStr">
        <is>
          <t>Amiya Ranjan Behera</t>
        </is>
      </c>
      <c r="H1941" s="21" t="n">
        <v>8917436223</v>
      </c>
      <c r="I1941" s="38" t="inlineStr">
        <is>
          <t>PE06052602</t>
        </is>
      </c>
      <c r="J1941" s="21" t="inlineStr">
        <is>
          <t>Diode Bypass Module Issue</t>
        </is>
      </c>
      <c r="K1941" s="21" t="inlineStr">
        <is>
          <t>Bhavnagar</t>
        </is>
      </c>
      <c r="L1941" s="21" t="inlineStr">
        <is>
          <t>Gujarat</t>
        </is>
      </c>
      <c r="M1941" s="9" t="inlineStr">
        <is>
          <t>PS</t>
        </is>
      </c>
      <c r="N1941" s="3" t="inlineStr">
        <is>
          <t>Cold Soldering</t>
        </is>
      </c>
      <c r="O1941" s="60" t="n">
        <v>540</v>
      </c>
      <c r="P1941" s="9" t="inlineStr">
        <is>
          <t>NSMP2304068658</t>
        </is>
      </c>
      <c r="Q1941" s="53">
        <f>MID(P1941,5,2)</f>
        <v/>
      </c>
      <c r="R1941" s="53">
        <f>MID(P1941,7,2)</f>
        <v/>
      </c>
      <c r="S1941" s="3" t="inlineStr">
        <is>
          <t>G2B</t>
        </is>
      </c>
      <c r="T1941" s="3" t="inlineStr">
        <is>
          <t>P2</t>
        </is>
      </c>
      <c r="U1941" s="3" t="inlineStr">
        <is>
          <t>P JB Cold Soldering</t>
        </is>
      </c>
      <c r="V1941" s="3" t="inlineStr">
        <is>
          <t>Soldering</t>
        </is>
      </c>
      <c r="W1941" s="3" t="inlineStr">
        <is>
          <t>Repair</t>
        </is>
      </c>
      <c r="X1941" s="18" t="n">
        <v>46167</v>
      </c>
      <c r="Y1941" s="73">
        <f>IF(X1941="","",X1941-A1941)</f>
        <v/>
      </c>
      <c r="Z1941" s="18" t="n">
        <v>46167</v>
      </c>
      <c r="AA1941" s="15" t="n"/>
      <c r="AB1941" s="15" t="n"/>
      <c r="AF1941">
        <f>IF(AND($F1941="Closed",$X1941&gt;=DATE(2026,5,1),$X1941&lt;=DATE(2026,5,31)),"Closed in May","Other")</f>
        <v/>
      </c>
    </row>
    <row r="1942">
      <c r="A1942" s="59" t="n">
        <v>46148</v>
      </c>
      <c r="B1942" s="3" t="n">
        <v>2026</v>
      </c>
      <c r="C1942" s="21" t="inlineStr">
        <is>
          <t>Continuum</t>
        </is>
      </c>
      <c r="D1942" s="3" t="inlineStr">
        <is>
          <t>Utility and C&amp;I</t>
        </is>
      </c>
      <c r="E1942" s="3" t="n"/>
      <c r="F1942" s="3" t="inlineStr">
        <is>
          <t>Closed</t>
        </is>
      </c>
      <c r="G1942" s="21" t="inlineStr">
        <is>
          <t>Amiya Ranjan Behera</t>
        </is>
      </c>
      <c r="H1942" s="21" t="n">
        <v>8917436223</v>
      </c>
      <c r="I1942" s="38" t="inlineStr">
        <is>
          <t>PE06052602</t>
        </is>
      </c>
      <c r="J1942" s="21" t="inlineStr">
        <is>
          <t>Diode Bypass Module Issue</t>
        </is>
      </c>
      <c r="K1942" s="21" t="inlineStr">
        <is>
          <t>Bhavnagar</t>
        </is>
      </c>
      <c r="L1942" s="21" t="inlineStr">
        <is>
          <t>Gujarat</t>
        </is>
      </c>
      <c r="M1942" s="9" t="inlineStr">
        <is>
          <t>PS</t>
        </is>
      </c>
      <c r="N1942" s="3" t="inlineStr">
        <is>
          <t>Cold Soldering</t>
        </is>
      </c>
      <c r="O1942" s="60" t="n">
        <v>540</v>
      </c>
      <c r="P1942" s="9" t="inlineStr">
        <is>
          <t>NSMP2304068670</t>
        </is>
      </c>
      <c r="Q1942" s="53">
        <f>MID(P1942,5,2)</f>
        <v/>
      </c>
      <c r="R1942" s="53">
        <f>MID(P1942,7,2)</f>
        <v/>
      </c>
      <c r="S1942" s="3" t="inlineStr">
        <is>
          <t>G2B</t>
        </is>
      </c>
      <c r="T1942" s="3" t="inlineStr">
        <is>
          <t>P2</t>
        </is>
      </c>
      <c r="U1942" s="3" t="inlineStr">
        <is>
          <t>P JB Cold Soldering</t>
        </is>
      </c>
      <c r="V1942" s="3" t="inlineStr">
        <is>
          <t>Soldering</t>
        </is>
      </c>
      <c r="W1942" s="3" t="inlineStr">
        <is>
          <t>Repair</t>
        </is>
      </c>
      <c r="X1942" s="18" t="n">
        <v>46167</v>
      </c>
      <c r="Y1942" s="73">
        <f>IF(X1942="","",X1942-A1942)</f>
        <v/>
      </c>
      <c r="Z1942" s="18" t="n">
        <v>46167</v>
      </c>
      <c r="AA1942" s="15" t="n"/>
      <c r="AB1942" s="15" t="n"/>
      <c r="AF1942">
        <f>IF(AND($F1942="Closed",$X1942&gt;=DATE(2026,5,1),$X1942&lt;=DATE(2026,5,31)),"Closed in May","Other")</f>
        <v/>
      </c>
    </row>
    <row r="1943">
      <c r="A1943" s="59" t="n">
        <v>46148</v>
      </c>
      <c r="B1943" s="3" t="n">
        <v>2026</v>
      </c>
      <c r="C1943" s="21" t="inlineStr">
        <is>
          <t>Continuum</t>
        </is>
      </c>
      <c r="D1943" s="3" t="inlineStr">
        <is>
          <t>Utility and C&amp;I</t>
        </is>
      </c>
      <c r="E1943" s="3" t="n"/>
      <c r="F1943" s="3" t="inlineStr">
        <is>
          <t>Closed</t>
        </is>
      </c>
      <c r="G1943" s="21" t="inlineStr">
        <is>
          <t>Amiya Ranjan Behera</t>
        </is>
      </c>
      <c r="H1943" s="21" t="n">
        <v>8917436223</v>
      </c>
      <c r="I1943" s="38" t="inlineStr">
        <is>
          <t>PE06052602</t>
        </is>
      </c>
      <c r="J1943" s="21" t="inlineStr">
        <is>
          <t>Diode Bypass Module Issue</t>
        </is>
      </c>
      <c r="K1943" s="21" t="inlineStr">
        <is>
          <t>Bhavnagar</t>
        </is>
      </c>
      <c r="L1943" s="21" t="inlineStr">
        <is>
          <t>Gujarat</t>
        </is>
      </c>
      <c r="M1943" s="9" t="inlineStr">
        <is>
          <t>PNS</t>
        </is>
      </c>
      <c r="N1943" s="3" t="inlineStr">
        <is>
          <t>Cold Soldering</t>
        </is>
      </c>
      <c r="O1943" s="60" t="n">
        <v>540</v>
      </c>
      <c r="P1943" s="9" t="inlineStr">
        <is>
          <t>NSMP2304076121</t>
        </is>
      </c>
      <c r="Q1943" s="53">
        <f>MID(P1943,5,2)</f>
        <v/>
      </c>
      <c r="R1943" s="53">
        <f>MID(P1943,7,2)</f>
        <v/>
      </c>
      <c r="S1943" s="3" t="inlineStr">
        <is>
          <t>G2B</t>
        </is>
      </c>
      <c r="T1943" s="3" t="inlineStr">
        <is>
          <t>P2</t>
        </is>
      </c>
      <c r="U1943" s="3" t="inlineStr">
        <is>
          <t>P &amp; N JB Cold Soldering</t>
        </is>
      </c>
      <c r="V1943" s="3" t="inlineStr">
        <is>
          <t>Soldering</t>
        </is>
      </c>
      <c r="W1943" s="3" t="inlineStr">
        <is>
          <t>Repair</t>
        </is>
      </c>
      <c r="X1943" s="18" t="n">
        <v>46167</v>
      </c>
      <c r="Y1943" s="73">
        <f>IF(X1943="","",X1943-A1943)</f>
        <v/>
      </c>
      <c r="Z1943" s="18" t="n">
        <v>46167</v>
      </c>
      <c r="AA1943" s="15" t="n"/>
      <c r="AB1943" s="15" t="n"/>
      <c r="AF1943">
        <f>IF(AND($F1943="Closed",$X1943&gt;=DATE(2026,5,1),$X1943&lt;=DATE(2026,5,31)),"Closed in May","Other")</f>
        <v/>
      </c>
    </row>
    <row r="1944">
      <c r="A1944" s="59" t="n">
        <v>46148</v>
      </c>
      <c r="B1944" s="3" t="n">
        <v>2026</v>
      </c>
      <c r="C1944" s="21" t="inlineStr">
        <is>
          <t>Continuum</t>
        </is>
      </c>
      <c r="D1944" s="3" t="inlineStr">
        <is>
          <t>Utility and C&amp;I</t>
        </is>
      </c>
      <c r="E1944" s="3" t="n"/>
      <c r="F1944" s="3" t="inlineStr">
        <is>
          <t>Closed</t>
        </is>
      </c>
      <c r="G1944" s="21" t="inlineStr">
        <is>
          <t>Amiya Ranjan Behera</t>
        </is>
      </c>
      <c r="H1944" s="21" t="n">
        <v>8917436223</v>
      </c>
      <c r="I1944" s="38" t="inlineStr">
        <is>
          <t>PE06052602</t>
        </is>
      </c>
      <c r="J1944" s="21" t="inlineStr">
        <is>
          <t>Diode Bypass Module Issue</t>
        </is>
      </c>
      <c r="K1944" s="21" t="inlineStr">
        <is>
          <t>Bhavnagar</t>
        </is>
      </c>
      <c r="L1944" s="21" t="inlineStr">
        <is>
          <t>Gujarat</t>
        </is>
      </c>
      <c r="M1944" s="9" t="inlineStr">
        <is>
          <t>PS</t>
        </is>
      </c>
      <c r="N1944" s="3" t="inlineStr">
        <is>
          <t>Cold Soldering</t>
        </is>
      </c>
      <c r="O1944" s="60" t="n">
        <v>540</v>
      </c>
      <c r="P1944" s="9" t="inlineStr">
        <is>
          <t>NSMP2305192727</t>
        </is>
      </c>
      <c r="Q1944" s="53">
        <f>MID(P1944,5,2)</f>
        <v/>
      </c>
      <c r="R1944" s="53">
        <f>MID(P1944,7,2)</f>
        <v/>
      </c>
      <c r="S1944" s="3" t="inlineStr">
        <is>
          <t>G2B</t>
        </is>
      </c>
      <c r="T1944" s="3" t="inlineStr">
        <is>
          <t>P2</t>
        </is>
      </c>
      <c r="U1944" s="3" t="inlineStr">
        <is>
          <t>P JB Cold Soldering</t>
        </is>
      </c>
      <c r="V1944" s="3" t="inlineStr">
        <is>
          <t>Soldering</t>
        </is>
      </c>
      <c r="W1944" s="3" t="inlineStr">
        <is>
          <t>Repair</t>
        </is>
      </c>
      <c r="X1944" s="18" t="n">
        <v>46167</v>
      </c>
      <c r="Y1944" s="73">
        <f>IF(X1944="","",X1944-A1944)</f>
        <v/>
      </c>
      <c r="Z1944" s="18" t="n">
        <v>46167</v>
      </c>
      <c r="AA1944" s="15" t="n"/>
      <c r="AB1944" s="15" t="n"/>
      <c r="AF1944">
        <f>IF(AND($F1944="Closed",$X1944&gt;=DATE(2026,5,1),$X1944&lt;=DATE(2026,5,31)),"Closed in May","Other")</f>
        <v/>
      </c>
    </row>
    <row r="1945">
      <c r="A1945" s="59" t="n">
        <v>46148</v>
      </c>
      <c r="B1945" s="3" t="n">
        <v>2026</v>
      </c>
      <c r="C1945" s="21" t="inlineStr">
        <is>
          <t>Continuum</t>
        </is>
      </c>
      <c r="D1945" s="3" t="inlineStr">
        <is>
          <t>Utility and C&amp;I</t>
        </is>
      </c>
      <c r="E1945" s="3" t="n"/>
      <c r="F1945" s="3" t="inlineStr">
        <is>
          <t>Closed</t>
        </is>
      </c>
      <c r="G1945" s="21" t="inlineStr">
        <is>
          <t>Amiya Ranjan Behera</t>
        </is>
      </c>
      <c r="H1945" s="21" t="n">
        <v>8917436223</v>
      </c>
      <c r="I1945" s="38" t="inlineStr">
        <is>
          <t>PE06052602</t>
        </is>
      </c>
      <c r="J1945" s="21" t="inlineStr">
        <is>
          <t>Diode Bypass Module Issue</t>
        </is>
      </c>
      <c r="K1945" s="21" t="inlineStr">
        <is>
          <t>Bhavnagar</t>
        </is>
      </c>
      <c r="L1945" s="21" t="inlineStr">
        <is>
          <t>Gujarat</t>
        </is>
      </c>
      <c r="M1945" s="9" t="inlineStr">
        <is>
          <t>PR</t>
        </is>
      </c>
      <c r="N1945" s="3" t="inlineStr">
        <is>
          <t>JB Issue</t>
        </is>
      </c>
      <c r="O1945" s="60" t="n">
        <v>540</v>
      </c>
      <c r="P1945" s="9" t="inlineStr">
        <is>
          <t>NSMP2304053961</t>
        </is>
      </c>
      <c r="Q1945" s="53">
        <f>MID(P1945,5,2)</f>
        <v/>
      </c>
      <c r="R1945" s="53">
        <f>MID(P1945,7,2)</f>
        <v/>
      </c>
      <c r="S1945" s="3" t="inlineStr">
        <is>
          <t>G2B</t>
        </is>
      </c>
      <c r="T1945" s="3" t="inlineStr">
        <is>
          <t>P2</t>
        </is>
      </c>
      <c r="U1945" s="3" t="inlineStr">
        <is>
          <t>P JB Issue</t>
        </is>
      </c>
      <c r="V1945" s="15" t="inlineStr">
        <is>
          <t>JB Changed</t>
        </is>
      </c>
      <c r="W1945" s="3" t="inlineStr">
        <is>
          <t>Repair</t>
        </is>
      </c>
      <c r="X1945" s="18" t="n">
        <v>46167</v>
      </c>
      <c r="Y1945" s="73">
        <f>IF(X1945="","",X1945-A1945)</f>
        <v/>
      </c>
      <c r="Z1945" s="18" t="n">
        <v>46167</v>
      </c>
      <c r="AA1945" s="15" t="n"/>
      <c r="AB1945" s="15" t="n"/>
      <c r="AF1945">
        <f>IF(AND($F1945="Closed",$X1945&gt;=DATE(2026,5,1),$X1945&lt;=DATE(2026,5,31)),"Closed in May","Other")</f>
        <v/>
      </c>
    </row>
    <row r="1946">
      <c r="A1946" s="59" t="n">
        <v>46148</v>
      </c>
      <c r="B1946" s="3" t="n">
        <v>2026</v>
      </c>
      <c r="C1946" s="21" t="inlineStr">
        <is>
          <t>Continuum</t>
        </is>
      </c>
      <c r="D1946" s="3" t="inlineStr">
        <is>
          <t>Utility and C&amp;I</t>
        </is>
      </c>
      <c r="E1946" s="3" t="n"/>
      <c r="F1946" s="3" t="inlineStr">
        <is>
          <t>Closed</t>
        </is>
      </c>
      <c r="G1946" s="21" t="inlineStr">
        <is>
          <t>Amiya Ranjan Behera</t>
        </is>
      </c>
      <c r="H1946" s="21" t="n">
        <v>8917436223</v>
      </c>
      <c r="I1946" s="38" t="inlineStr">
        <is>
          <t>PE06052602</t>
        </is>
      </c>
      <c r="J1946" s="21" t="inlineStr">
        <is>
          <t>Diode Bypass Module Issue</t>
        </is>
      </c>
      <c r="K1946" s="21" t="inlineStr">
        <is>
          <t>Bhavnagar</t>
        </is>
      </c>
      <c r="L1946" s="21" t="inlineStr">
        <is>
          <t>Gujarat</t>
        </is>
      </c>
      <c r="M1946" s="9" t="inlineStr">
        <is>
          <t>PS</t>
        </is>
      </c>
      <c r="N1946" s="3" t="inlineStr">
        <is>
          <t>Cold Soldering</t>
        </is>
      </c>
      <c r="O1946" s="60" t="n">
        <v>540</v>
      </c>
      <c r="P1946" s="9" t="inlineStr">
        <is>
          <t>NSMP2305202393</t>
        </is>
      </c>
      <c r="Q1946" s="53">
        <f>MID(P1946,5,2)</f>
        <v/>
      </c>
      <c r="R1946" s="53">
        <f>MID(P1946,7,2)</f>
        <v/>
      </c>
      <c r="S1946" s="3" t="inlineStr">
        <is>
          <t>G2B</t>
        </is>
      </c>
      <c r="T1946" s="3" t="inlineStr">
        <is>
          <t>P2</t>
        </is>
      </c>
      <c r="U1946" s="3" t="inlineStr">
        <is>
          <t>P JB Cold Soldering</t>
        </is>
      </c>
      <c r="V1946" s="3" t="inlineStr">
        <is>
          <t>Soldering</t>
        </is>
      </c>
      <c r="W1946" s="3" t="inlineStr">
        <is>
          <t>Repair</t>
        </is>
      </c>
      <c r="X1946" s="18" t="n">
        <v>46167</v>
      </c>
      <c r="Y1946" s="73">
        <f>IF(X1946="","",X1946-A1946)</f>
        <v/>
      </c>
      <c r="Z1946" s="18" t="n">
        <v>46167</v>
      </c>
      <c r="AA1946" s="15" t="n"/>
      <c r="AB1946" s="15" t="n"/>
      <c r="AF1946">
        <f>IF(AND($F1946="Closed",$X1946&gt;=DATE(2026,5,1),$X1946&lt;=DATE(2026,5,31)),"Closed in May","Other")</f>
        <v/>
      </c>
    </row>
    <row r="1947">
      <c r="A1947" s="59" t="n">
        <v>46148</v>
      </c>
      <c r="B1947" s="3" t="n">
        <v>2026</v>
      </c>
      <c r="C1947" s="21" t="inlineStr">
        <is>
          <t>Continuum</t>
        </is>
      </c>
      <c r="D1947" s="3" t="inlineStr">
        <is>
          <t>Utility and C&amp;I</t>
        </is>
      </c>
      <c r="E1947" s="3" t="n"/>
      <c r="F1947" s="3" t="inlineStr">
        <is>
          <t>Closed</t>
        </is>
      </c>
      <c r="G1947" s="21" t="inlineStr">
        <is>
          <t>Amiya Ranjan Behera</t>
        </is>
      </c>
      <c r="H1947" s="21" t="n">
        <v>8917436223</v>
      </c>
      <c r="I1947" s="38" t="inlineStr">
        <is>
          <t>PE06052602</t>
        </is>
      </c>
      <c r="J1947" s="21" t="inlineStr">
        <is>
          <t>Diode Bypass Module Issue</t>
        </is>
      </c>
      <c r="K1947" s="21" t="inlineStr">
        <is>
          <t>Bhavnagar</t>
        </is>
      </c>
      <c r="L1947" s="21" t="inlineStr">
        <is>
          <t>Gujarat</t>
        </is>
      </c>
      <c r="M1947" s="9" t="inlineStr">
        <is>
          <t>NS</t>
        </is>
      </c>
      <c r="N1947" s="26" t="inlineStr">
        <is>
          <t>Cold Soldering</t>
        </is>
      </c>
      <c r="O1947" s="60" t="n">
        <v>540</v>
      </c>
      <c r="P1947" s="9" t="inlineStr">
        <is>
          <t>NSMP2304044040</t>
        </is>
      </c>
      <c r="Q1947" s="53">
        <f>MID(P1947,5,2)</f>
        <v/>
      </c>
      <c r="R1947" s="53">
        <f>MID(P1947,7,2)</f>
        <v/>
      </c>
      <c r="S1947" s="3" t="inlineStr">
        <is>
          <t>G2B</t>
        </is>
      </c>
      <c r="T1947" s="3" t="inlineStr">
        <is>
          <t>P2</t>
        </is>
      </c>
      <c r="U1947" s="19" t="inlineStr">
        <is>
          <t>N JB Cold Soldering</t>
        </is>
      </c>
      <c r="V1947" s="19" t="inlineStr">
        <is>
          <t>Soldering</t>
        </is>
      </c>
      <c r="W1947" s="3" t="inlineStr">
        <is>
          <t>Repair</t>
        </is>
      </c>
      <c r="X1947" s="18" t="n">
        <v>46167</v>
      </c>
      <c r="Y1947" s="73">
        <f>IF(X1947="","",X1947-A1947)</f>
        <v/>
      </c>
      <c r="Z1947" s="18" t="n">
        <v>46167</v>
      </c>
      <c r="AA1947" s="15" t="n"/>
      <c r="AB1947" s="15" t="n"/>
      <c r="AF1947">
        <f>IF(AND($F1947="Closed",$X1947&gt;=DATE(2026,5,1),$X1947&lt;=DATE(2026,5,31)),"Closed in May","Other")</f>
        <v/>
      </c>
    </row>
    <row r="1948">
      <c r="A1948" s="59" t="n">
        <v>46148</v>
      </c>
      <c r="B1948" s="3" t="n">
        <v>2026</v>
      </c>
      <c r="C1948" s="21" t="inlineStr">
        <is>
          <t>Continuum</t>
        </is>
      </c>
      <c r="D1948" s="3" t="inlineStr">
        <is>
          <t>Utility and C&amp;I</t>
        </is>
      </c>
      <c r="E1948" s="3" t="n"/>
      <c r="F1948" s="3" t="inlineStr">
        <is>
          <t>Closed</t>
        </is>
      </c>
      <c r="G1948" s="21" t="inlineStr">
        <is>
          <t>Amiya Ranjan Behera</t>
        </is>
      </c>
      <c r="H1948" s="21" t="n">
        <v>8917436223</v>
      </c>
      <c r="I1948" s="38" t="inlineStr">
        <is>
          <t>PE06052602</t>
        </is>
      </c>
      <c r="J1948" s="21" t="inlineStr">
        <is>
          <t>Diode Bypass Module Issue</t>
        </is>
      </c>
      <c r="K1948" s="21" t="inlineStr">
        <is>
          <t>Bhavnagar</t>
        </is>
      </c>
      <c r="L1948" s="21" t="inlineStr">
        <is>
          <t>Gujarat</t>
        </is>
      </c>
      <c r="M1948" s="9" t="inlineStr">
        <is>
          <t>NS</t>
        </is>
      </c>
      <c r="N1948" s="26" t="inlineStr">
        <is>
          <t>Cold Soldering</t>
        </is>
      </c>
      <c r="O1948" s="60" t="n">
        <v>540</v>
      </c>
      <c r="P1948" s="9" t="inlineStr">
        <is>
          <t>NSMP2304044126</t>
        </is>
      </c>
      <c r="Q1948" s="53">
        <f>MID(P1948,5,2)</f>
        <v/>
      </c>
      <c r="R1948" s="53">
        <f>MID(P1948,7,2)</f>
        <v/>
      </c>
      <c r="S1948" s="3" t="inlineStr">
        <is>
          <t>G2B</t>
        </is>
      </c>
      <c r="T1948" s="3" t="inlineStr">
        <is>
          <t>P2</t>
        </is>
      </c>
      <c r="U1948" s="19" t="inlineStr">
        <is>
          <t>N JB Cold Soldering</t>
        </is>
      </c>
      <c r="V1948" s="19" t="inlineStr">
        <is>
          <t>Soldering</t>
        </is>
      </c>
      <c r="W1948" s="3" t="inlineStr">
        <is>
          <t>Repair</t>
        </is>
      </c>
      <c r="X1948" s="18" t="n">
        <v>46167</v>
      </c>
      <c r="Y1948" s="73">
        <f>IF(X1948="","",X1948-A1948)</f>
        <v/>
      </c>
      <c r="Z1948" s="18" t="n">
        <v>46167</v>
      </c>
      <c r="AA1948" s="15" t="n"/>
      <c r="AB1948" s="15" t="n"/>
      <c r="AF1948">
        <f>IF(AND($F1948="Closed",$X1948&gt;=DATE(2026,5,1),$X1948&lt;=DATE(2026,5,31)),"Closed in May","Other")</f>
        <v/>
      </c>
    </row>
    <row r="1949">
      <c r="A1949" s="59" t="n">
        <v>46148</v>
      </c>
      <c r="B1949" s="3" t="n">
        <v>2026</v>
      </c>
      <c r="C1949" s="21" t="inlineStr">
        <is>
          <t>Continuum</t>
        </is>
      </c>
      <c r="D1949" s="3" t="inlineStr">
        <is>
          <t>Utility and C&amp;I</t>
        </is>
      </c>
      <c r="E1949" s="3" t="n"/>
      <c r="F1949" s="3" t="inlineStr">
        <is>
          <t>Closed</t>
        </is>
      </c>
      <c r="G1949" s="21" t="inlineStr">
        <is>
          <t>Amiya Ranjan Behera</t>
        </is>
      </c>
      <c r="H1949" s="21" t="n">
        <v>8917436223</v>
      </c>
      <c r="I1949" s="38" t="inlineStr">
        <is>
          <t>PE06052602</t>
        </is>
      </c>
      <c r="J1949" s="21" t="inlineStr">
        <is>
          <t>Diode Bypass Module Issue</t>
        </is>
      </c>
      <c r="K1949" s="21" t="inlineStr">
        <is>
          <t>Bhavnagar</t>
        </is>
      </c>
      <c r="L1949" s="21" t="inlineStr">
        <is>
          <t>Gujarat</t>
        </is>
      </c>
      <c r="M1949" s="9" t="inlineStr">
        <is>
          <t>PS</t>
        </is>
      </c>
      <c r="N1949" s="3" t="inlineStr">
        <is>
          <t>Cold Soldering</t>
        </is>
      </c>
      <c r="O1949" s="60" t="n">
        <v>540</v>
      </c>
      <c r="P1949" s="9" t="inlineStr">
        <is>
          <t>NSMP2305189461</t>
        </is>
      </c>
      <c r="Q1949" s="53">
        <f>MID(P1949,5,2)</f>
        <v/>
      </c>
      <c r="R1949" s="53">
        <f>MID(P1949,7,2)</f>
        <v/>
      </c>
      <c r="S1949" s="3" t="inlineStr">
        <is>
          <t>G2B</t>
        </is>
      </c>
      <c r="T1949" s="3" t="inlineStr">
        <is>
          <t>P2</t>
        </is>
      </c>
      <c r="U1949" s="3" t="inlineStr">
        <is>
          <t>P JB Cold Soldering</t>
        </is>
      </c>
      <c r="V1949" s="3" t="inlineStr">
        <is>
          <t>Soldering</t>
        </is>
      </c>
      <c r="W1949" s="3" t="inlineStr">
        <is>
          <t>Repair</t>
        </is>
      </c>
      <c r="X1949" s="18" t="n">
        <v>46167</v>
      </c>
      <c r="Y1949" s="73">
        <f>IF(X1949="","",X1949-A1949)</f>
        <v/>
      </c>
      <c r="Z1949" s="18" t="n">
        <v>46167</v>
      </c>
      <c r="AA1949" s="15" t="n"/>
      <c r="AB1949" s="15" t="n"/>
      <c r="AF1949">
        <f>IF(AND($F1949="Closed",$X1949&gt;=DATE(2026,5,1),$X1949&lt;=DATE(2026,5,31)),"Closed in May","Other")</f>
        <v/>
      </c>
    </row>
    <row r="1950">
      <c r="A1950" s="59" t="n">
        <v>46148</v>
      </c>
      <c r="B1950" s="3" t="n">
        <v>2026</v>
      </c>
      <c r="C1950" s="21" t="inlineStr">
        <is>
          <t>Continuum</t>
        </is>
      </c>
      <c r="D1950" s="3" t="inlineStr">
        <is>
          <t>Utility and C&amp;I</t>
        </is>
      </c>
      <c r="E1950" s="3" t="n"/>
      <c r="F1950" s="3" t="inlineStr">
        <is>
          <t>Closed</t>
        </is>
      </c>
      <c r="G1950" s="21" t="inlineStr">
        <is>
          <t>Amiya Ranjan Behera</t>
        </is>
      </c>
      <c r="H1950" s="21" t="n">
        <v>8917436223</v>
      </c>
      <c r="I1950" s="38" t="inlineStr">
        <is>
          <t>PE06052602</t>
        </is>
      </c>
      <c r="J1950" s="21" t="inlineStr">
        <is>
          <t>Diode Bypass Module Issue</t>
        </is>
      </c>
      <c r="K1950" s="21" t="inlineStr">
        <is>
          <t>Bhavnagar</t>
        </is>
      </c>
      <c r="L1950" s="21" t="inlineStr">
        <is>
          <t>Gujarat</t>
        </is>
      </c>
      <c r="M1950" s="9" t="inlineStr">
        <is>
          <t>PS</t>
        </is>
      </c>
      <c r="N1950" s="3" t="inlineStr">
        <is>
          <t>Cold Soldering</t>
        </is>
      </c>
      <c r="O1950" s="60" t="n">
        <v>540</v>
      </c>
      <c r="P1950" s="9" t="inlineStr">
        <is>
          <t>NSMP2305192793</t>
        </is>
      </c>
      <c r="Q1950" s="53">
        <f>MID(P1950,5,2)</f>
        <v/>
      </c>
      <c r="R1950" s="53">
        <f>MID(P1950,7,2)</f>
        <v/>
      </c>
      <c r="S1950" s="3" t="inlineStr">
        <is>
          <t>G2B</t>
        </is>
      </c>
      <c r="T1950" s="3" t="inlineStr">
        <is>
          <t>P2</t>
        </is>
      </c>
      <c r="U1950" s="3" t="inlineStr">
        <is>
          <t>P JB Cold Soldering</t>
        </is>
      </c>
      <c r="V1950" s="3" t="inlineStr">
        <is>
          <t>Soldering</t>
        </is>
      </c>
      <c r="W1950" s="3" t="inlineStr">
        <is>
          <t>Repair</t>
        </is>
      </c>
      <c r="X1950" s="18" t="n">
        <v>46167</v>
      </c>
      <c r="Y1950" s="73">
        <f>IF(X1950="","",X1950-A1950)</f>
        <v/>
      </c>
      <c r="Z1950" s="18" t="n">
        <v>46167</v>
      </c>
      <c r="AA1950" s="15" t="n"/>
      <c r="AB1950" s="15" t="n"/>
      <c r="AF1950">
        <f>IF(AND($F1950="Closed",$X1950&gt;=DATE(2026,5,1),$X1950&lt;=DATE(2026,5,31)),"Closed in May","Other")</f>
        <v/>
      </c>
    </row>
    <row r="1951">
      <c r="A1951" s="59" t="n">
        <v>46148</v>
      </c>
      <c r="B1951" s="3" t="n">
        <v>2026</v>
      </c>
      <c r="C1951" s="21" t="inlineStr">
        <is>
          <t>Continuum</t>
        </is>
      </c>
      <c r="D1951" s="3" t="inlineStr">
        <is>
          <t>Utility and C&amp;I</t>
        </is>
      </c>
      <c r="E1951" s="3" t="n"/>
      <c r="F1951" s="3" t="inlineStr">
        <is>
          <t>Closed</t>
        </is>
      </c>
      <c r="G1951" s="21" t="inlineStr">
        <is>
          <t>Amiya Ranjan Behera</t>
        </is>
      </c>
      <c r="H1951" s="21" t="n">
        <v>8917436223</v>
      </c>
      <c r="I1951" s="38" t="inlineStr">
        <is>
          <t>PE06052602</t>
        </is>
      </c>
      <c r="J1951" s="21" t="inlineStr">
        <is>
          <t>Diode Bypass Module Issue</t>
        </is>
      </c>
      <c r="K1951" s="21" t="inlineStr">
        <is>
          <t>Bhavnagar</t>
        </is>
      </c>
      <c r="L1951" s="21" t="inlineStr">
        <is>
          <t>Gujarat</t>
        </is>
      </c>
      <c r="M1951" s="9" t="inlineStr">
        <is>
          <t>PS</t>
        </is>
      </c>
      <c r="N1951" s="3" t="inlineStr">
        <is>
          <t>Cold Soldering</t>
        </is>
      </c>
      <c r="O1951" s="60" t="n">
        <v>540</v>
      </c>
      <c r="P1951" s="9" t="inlineStr">
        <is>
          <t>NSMP2305188543</t>
        </is>
      </c>
      <c r="Q1951" s="53">
        <f>MID(P1951,5,2)</f>
        <v/>
      </c>
      <c r="R1951" s="53">
        <f>MID(P1951,7,2)</f>
        <v/>
      </c>
      <c r="S1951" s="3" t="inlineStr">
        <is>
          <t>G2B</t>
        </is>
      </c>
      <c r="T1951" s="3" t="inlineStr">
        <is>
          <t>P2</t>
        </is>
      </c>
      <c r="U1951" s="3" t="inlineStr">
        <is>
          <t>P JB Cold Soldering</t>
        </is>
      </c>
      <c r="V1951" s="3" t="inlineStr">
        <is>
          <t>Soldering</t>
        </is>
      </c>
      <c r="W1951" s="3" t="inlineStr">
        <is>
          <t>Repair</t>
        </is>
      </c>
      <c r="X1951" s="18" t="n">
        <v>46167</v>
      </c>
      <c r="Y1951" s="73">
        <f>IF(X1951="","",X1951-A1951)</f>
        <v/>
      </c>
      <c r="Z1951" s="18" t="n">
        <v>46167</v>
      </c>
      <c r="AA1951" s="15" t="n"/>
      <c r="AB1951" s="15" t="n"/>
      <c r="AF1951">
        <f>IF(AND($F1951="Closed",$X1951&gt;=DATE(2026,5,1),$X1951&lt;=DATE(2026,5,31)),"Closed in May","Other")</f>
        <v/>
      </c>
    </row>
    <row r="1952">
      <c r="A1952" s="59" t="n">
        <v>46148</v>
      </c>
      <c r="B1952" s="3" t="n">
        <v>2026</v>
      </c>
      <c r="C1952" s="21" t="inlineStr">
        <is>
          <t>Continuum</t>
        </is>
      </c>
      <c r="D1952" s="3" t="inlineStr">
        <is>
          <t>Utility and C&amp;I</t>
        </is>
      </c>
      <c r="E1952" s="3" t="n"/>
      <c r="F1952" s="3" t="inlineStr">
        <is>
          <t>Closed</t>
        </is>
      </c>
      <c r="G1952" s="21" t="inlineStr">
        <is>
          <t>Amiya Ranjan Behera</t>
        </is>
      </c>
      <c r="H1952" s="21" t="n">
        <v>8917436223</v>
      </c>
      <c r="I1952" s="38" t="inlineStr">
        <is>
          <t>PE06052602</t>
        </is>
      </c>
      <c r="J1952" s="21" t="inlineStr">
        <is>
          <t>Diode Bypass Module Issue</t>
        </is>
      </c>
      <c r="K1952" s="21" t="inlineStr">
        <is>
          <t>Bhavnagar</t>
        </is>
      </c>
      <c r="L1952" s="21" t="inlineStr">
        <is>
          <t>Gujarat</t>
        </is>
      </c>
      <c r="M1952" s="9" t="inlineStr">
        <is>
          <t>PS</t>
        </is>
      </c>
      <c r="N1952" s="3" t="inlineStr">
        <is>
          <t>Cold Soldering</t>
        </is>
      </c>
      <c r="O1952" s="60" t="n">
        <v>540</v>
      </c>
      <c r="P1952" s="9" t="inlineStr">
        <is>
          <t>NSMP2305192772</t>
        </is>
      </c>
      <c r="Q1952" s="53">
        <f>MID(P1952,5,2)</f>
        <v/>
      </c>
      <c r="R1952" s="53">
        <f>MID(P1952,7,2)</f>
        <v/>
      </c>
      <c r="S1952" s="3" t="inlineStr">
        <is>
          <t>G2B</t>
        </is>
      </c>
      <c r="T1952" s="3" t="inlineStr">
        <is>
          <t>P2</t>
        </is>
      </c>
      <c r="U1952" s="3" t="inlineStr">
        <is>
          <t>P JB Cold Soldering</t>
        </is>
      </c>
      <c r="V1952" s="3" t="inlineStr">
        <is>
          <t>Soldering</t>
        </is>
      </c>
      <c r="W1952" s="3" t="inlineStr">
        <is>
          <t>Repair</t>
        </is>
      </c>
      <c r="X1952" s="18" t="n">
        <v>46167</v>
      </c>
      <c r="Y1952" s="73">
        <f>IF(X1952="","",X1952-A1952)</f>
        <v/>
      </c>
      <c r="Z1952" s="18" t="n">
        <v>46167</v>
      </c>
      <c r="AA1952" s="15" t="n"/>
      <c r="AB1952" s="15" t="n"/>
      <c r="AF1952">
        <f>IF(AND($F1952="Closed",$X1952&gt;=DATE(2026,5,1),$X1952&lt;=DATE(2026,5,31)),"Closed in May","Other")</f>
        <v/>
      </c>
    </row>
    <row r="1953">
      <c r="A1953" s="59" t="n">
        <v>46148</v>
      </c>
      <c r="B1953" s="3" t="n">
        <v>2026</v>
      </c>
      <c r="C1953" s="21" t="inlineStr">
        <is>
          <t>Continuum</t>
        </is>
      </c>
      <c r="D1953" s="3" t="inlineStr">
        <is>
          <t>Utility and C&amp;I</t>
        </is>
      </c>
      <c r="E1953" s="3" t="n"/>
      <c r="F1953" s="3" t="inlineStr">
        <is>
          <t>Closed</t>
        </is>
      </c>
      <c r="G1953" s="21" t="inlineStr">
        <is>
          <t>Amiya Ranjan Behera</t>
        </is>
      </c>
      <c r="H1953" s="21" t="n">
        <v>8917436223</v>
      </c>
      <c r="I1953" s="38" t="inlineStr">
        <is>
          <t>PE06052602</t>
        </is>
      </c>
      <c r="J1953" s="21" t="inlineStr">
        <is>
          <t>Diode Bypass Module Issue</t>
        </is>
      </c>
      <c r="K1953" s="21" t="inlineStr">
        <is>
          <t>Bhavnagar</t>
        </is>
      </c>
      <c r="L1953" s="21" t="inlineStr">
        <is>
          <t>Gujarat</t>
        </is>
      </c>
      <c r="M1953" s="9" t="inlineStr">
        <is>
          <t>PR</t>
        </is>
      </c>
      <c r="N1953" s="3" t="inlineStr">
        <is>
          <t>JB Issue</t>
        </is>
      </c>
      <c r="O1953" s="60" t="n">
        <v>540</v>
      </c>
      <c r="P1953" s="9" t="inlineStr">
        <is>
          <t>NSMP2305192799</t>
        </is>
      </c>
      <c r="Q1953" s="53">
        <f>MID(P1953,5,2)</f>
        <v/>
      </c>
      <c r="R1953" s="53">
        <f>MID(P1953,7,2)</f>
        <v/>
      </c>
      <c r="S1953" s="3" t="inlineStr">
        <is>
          <t>G2B</t>
        </is>
      </c>
      <c r="T1953" s="3" t="inlineStr">
        <is>
          <t>P2</t>
        </is>
      </c>
      <c r="U1953" s="3" t="inlineStr">
        <is>
          <t>P JB Issue</t>
        </is>
      </c>
      <c r="V1953" s="15" t="inlineStr">
        <is>
          <t>JB Changed</t>
        </is>
      </c>
      <c r="W1953" s="3" t="inlineStr">
        <is>
          <t>Repair</t>
        </is>
      </c>
      <c r="X1953" s="18" t="n">
        <v>46167</v>
      </c>
      <c r="Y1953" s="73">
        <f>IF(X1953="","",X1953-A1953)</f>
        <v/>
      </c>
      <c r="Z1953" s="18" t="n">
        <v>46167</v>
      </c>
      <c r="AA1953" s="15" t="n"/>
      <c r="AB1953" s="15" t="n"/>
      <c r="AF1953">
        <f>IF(AND($F1953="Closed",$X1953&gt;=DATE(2026,5,1),$X1953&lt;=DATE(2026,5,31)),"Closed in May","Other")</f>
        <v/>
      </c>
    </row>
    <row r="1954">
      <c r="A1954" s="59" t="n">
        <v>46148</v>
      </c>
      <c r="B1954" s="3" t="n">
        <v>2026</v>
      </c>
      <c r="C1954" s="21" t="inlineStr">
        <is>
          <t>Continuum</t>
        </is>
      </c>
      <c r="D1954" s="3" t="inlineStr">
        <is>
          <t>Utility and C&amp;I</t>
        </is>
      </c>
      <c r="E1954" s="3" t="n"/>
      <c r="F1954" s="3" t="inlineStr">
        <is>
          <t>Closed</t>
        </is>
      </c>
      <c r="G1954" s="21" t="inlineStr">
        <is>
          <t>Amiya Ranjan Behera</t>
        </is>
      </c>
      <c r="H1954" s="21" t="n">
        <v>8917436223</v>
      </c>
      <c r="I1954" s="38" t="inlineStr">
        <is>
          <t>PE06052602</t>
        </is>
      </c>
      <c r="J1954" s="21" t="inlineStr">
        <is>
          <t>Diode Bypass Module Issue</t>
        </is>
      </c>
      <c r="K1954" s="21" t="inlineStr">
        <is>
          <t>Bhavnagar</t>
        </is>
      </c>
      <c r="L1954" s="21" t="inlineStr">
        <is>
          <t>Gujarat</t>
        </is>
      </c>
      <c r="M1954" s="9" t="inlineStr">
        <is>
          <t>PS</t>
        </is>
      </c>
      <c r="N1954" s="3" t="inlineStr">
        <is>
          <t>Cold Soldering</t>
        </is>
      </c>
      <c r="O1954" s="60" t="n">
        <v>540</v>
      </c>
      <c r="P1954" s="9" t="inlineStr">
        <is>
          <t>NSMP2305189514</t>
        </is>
      </c>
      <c r="Q1954" s="53">
        <f>MID(P1954,5,2)</f>
        <v/>
      </c>
      <c r="R1954" s="53">
        <f>MID(P1954,7,2)</f>
        <v/>
      </c>
      <c r="S1954" s="3" t="inlineStr">
        <is>
          <t>G2B</t>
        </is>
      </c>
      <c r="T1954" s="3" t="inlineStr">
        <is>
          <t>P2</t>
        </is>
      </c>
      <c r="U1954" s="3" t="inlineStr">
        <is>
          <t>P JB Cold Soldering</t>
        </is>
      </c>
      <c r="V1954" s="3" t="inlineStr">
        <is>
          <t>Soldering</t>
        </is>
      </c>
      <c r="W1954" s="3" t="inlineStr">
        <is>
          <t>Repair</t>
        </is>
      </c>
      <c r="X1954" s="18" t="n">
        <v>46167</v>
      </c>
      <c r="Y1954" s="73">
        <f>IF(X1954="","",X1954-A1954)</f>
        <v/>
      </c>
      <c r="Z1954" s="18" t="n">
        <v>46167</v>
      </c>
      <c r="AA1954" s="15" t="n"/>
      <c r="AB1954" s="15" t="n"/>
      <c r="AF1954">
        <f>IF(AND($F1954="Closed",$X1954&gt;=DATE(2026,5,1),$X1954&lt;=DATE(2026,5,31)),"Closed in May","Other")</f>
        <v/>
      </c>
    </row>
    <row r="1955">
      <c r="A1955" s="59" t="n">
        <v>46148</v>
      </c>
      <c r="B1955" s="3" t="n">
        <v>2026</v>
      </c>
      <c r="C1955" s="21" t="inlineStr">
        <is>
          <t>Continuum</t>
        </is>
      </c>
      <c r="D1955" s="3" t="inlineStr">
        <is>
          <t>Utility and C&amp;I</t>
        </is>
      </c>
      <c r="E1955" s="3" t="n"/>
      <c r="F1955" s="3" t="inlineStr">
        <is>
          <t>Closed</t>
        </is>
      </c>
      <c r="G1955" s="21" t="inlineStr">
        <is>
          <t>Amiya Ranjan Behera</t>
        </is>
      </c>
      <c r="H1955" s="21" t="n">
        <v>8917436223</v>
      </c>
      <c r="I1955" s="38" t="inlineStr">
        <is>
          <t>PE06052602</t>
        </is>
      </c>
      <c r="J1955" s="21" t="inlineStr">
        <is>
          <t>Diode Bypass Module Issue</t>
        </is>
      </c>
      <c r="K1955" s="21" t="inlineStr">
        <is>
          <t>Bhavnagar</t>
        </is>
      </c>
      <c r="L1955" s="21" t="inlineStr">
        <is>
          <t>Gujarat</t>
        </is>
      </c>
      <c r="M1955" s="9" t="inlineStr">
        <is>
          <t>PS</t>
        </is>
      </c>
      <c r="N1955" s="3" t="inlineStr">
        <is>
          <t>Cold Soldering</t>
        </is>
      </c>
      <c r="O1955" s="60" t="n">
        <v>540</v>
      </c>
      <c r="P1955" s="9" t="inlineStr">
        <is>
          <t>NSMP2305189523</t>
        </is>
      </c>
      <c r="Q1955" s="53">
        <f>MID(P1955,5,2)</f>
        <v/>
      </c>
      <c r="R1955" s="53">
        <f>MID(P1955,7,2)</f>
        <v/>
      </c>
      <c r="S1955" s="3" t="inlineStr">
        <is>
          <t>G2B</t>
        </is>
      </c>
      <c r="T1955" s="3" t="inlineStr">
        <is>
          <t>P2</t>
        </is>
      </c>
      <c r="U1955" s="3" t="inlineStr">
        <is>
          <t>P JB Cold Soldering</t>
        </is>
      </c>
      <c r="V1955" s="3" t="inlineStr">
        <is>
          <t>Soldering</t>
        </is>
      </c>
      <c r="W1955" s="3" t="inlineStr">
        <is>
          <t>Repair</t>
        </is>
      </c>
      <c r="X1955" s="18" t="n">
        <v>46167</v>
      </c>
      <c r="Y1955" s="73">
        <f>IF(X1955="","",X1955-A1955)</f>
        <v/>
      </c>
      <c r="Z1955" s="18" t="n">
        <v>46167</v>
      </c>
      <c r="AA1955" s="15" t="n"/>
      <c r="AB1955" s="15" t="n"/>
      <c r="AF1955">
        <f>IF(AND($F1955="Closed",$X1955&gt;=DATE(2026,5,1),$X1955&lt;=DATE(2026,5,31)),"Closed in May","Other")</f>
        <v/>
      </c>
    </row>
    <row r="1956">
      <c r="A1956" s="59" t="n">
        <v>46148</v>
      </c>
      <c r="B1956" s="3" t="n">
        <v>2026</v>
      </c>
      <c r="C1956" s="21" t="inlineStr">
        <is>
          <t>Continuum</t>
        </is>
      </c>
      <c r="D1956" s="3" t="inlineStr">
        <is>
          <t>Utility and C&amp;I</t>
        </is>
      </c>
      <c r="E1956" s="3" t="n"/>
      <c r="F1956" s="3" t="inlineStr">
        <is>
          <t>Closed</t>
        </is>
      </c>
      <c r="G1956" s="21" t="inlineStr">
        <is>
          <t>Amiya Ranjan Behera</t>
        </is>
      </c>
      <c r="H1956" s="21" t="n">
        <v>8917436223</v>
      </c>
      <c r="I1956" s="38" t="inlineStr">
        <is>
          <t>PE06052602</t>
        </is>
      </c>
      <c r="J1956" s="21" t="inlineStr">
        <is>
          <t>Diode Bypass Module Issue</t>
        </is>
      </c>
      <c r="K1956" s="21" t="inlineStr">
        <is>
          <t>Bhavnagar</t>
        </is>
      </c>
      <c r="L1956" s="21" t="inlineStr">
        <is>
          <t>Gujarat</t>
        </is>
      </c>
      <c r="M1956" s="9" t="inlineStr">
        <is>
          <t>PS</t>
        </is>
      </c>
      <c r="N1956" s="3" t="inlineStr">
        <is>
          <t>Cold Soldering</t>
        </is>
      </c>
      <c r="O1956" s="60" t="n">
        <v>540</v>
      </c>
      <c r="P1956" s="9" t="inlineStr">
        <is>
          <t>NSMP2305189397</t>
        </is>
      </c>
      <c r="Q1956" s="53">
        <f>MID(P1956,5,2)</f>
        <v/>
      </c>
      <c r="R1956" s="53">
        <f>MID(P1956,7,2)</f>
        <v/>
      </c>
      <c r="S1956" s="3" t="inlineStr">
        <is>
          <t>G2B</t>
        </is>
      </c>
      <c r="T1956" s="3" t="inlineStr">
        <is>
          <t>P2</t>
        </is>
      </c>
      <c r="U1956" s="3" t="inlineStr">
        <is>
          <t>P JB Cold Soldering</t>
        </is>
      </c>
      <c r="V1956" s="3" t="inlineStr">
        <is>
          <t>Soldering</t>
        </is>
      </c>
      <c r="W1956" s="3" t="inlineStr">
        <is>
          <t>Repair</t>
        </is>
      </c>
      <c r="X1956" s="18" t="n">
        <v>46167</v>
      </c>
      <c r="Y1956" s="73">
        <f>IF(X1956="","",X1956-A1956)</f>
        <v/>
      </c>
      <c r="Z1956" s="18" t="n">
        <v>46167</v>
      </c>
      <c r="AA1956" s="15" t="n"/>
      <c r="AB1956" s="15" t="n"/>
      <c r="AF1956">
        <f>IF(AND($F1956="Closed",$X1956&gt;=DATE(2026,5,1),$X1956&lt;=DATE(2026,5,31)),"Closed in May","Other")</f>
        <v/>
      </c>
    </row>
    <row r="1957">
      <c r="A1957" s="59" t="n">
        <v>46148</v>
      </c>
      <c r="B1957" s="3" t="n">
        <v>2026</v>
      </c>
      <c r="C1957" s="21" t="inlineStr">
        <is>
          <t>Continuum</t>
        </is>
      </c>
      <c r="D1957" s="3" t="inlineStr">
        <is>
          <t>Utility and C&amp;I</t>
        </is>
      </c>
      <c r="E1957" s="3" t="n"/>
      <c r="F1957" s="3" t="inlineStr">
        <is>
          <t>Closed</t>
        </is>
      </c>
      <c r="G1957" s="21" t="inlineStr">
        <is>
          <t>Amiya Ranjan Behera</t>
        </is>
      </c>
      <c r="H1957" s="21" t="n">
        <v>8917436223</v>
      </c>
      <c r="I1957" s="38" t="inlineStr">
        <is>
          <t>PE06052602</t>
        </is>
      </c>
      <c r="J1957" s="21" t="inlineStr">
        <is>
          <t>Diode Bypass Module Issue</t>
        </is>
      </c>
      <c r="K1957" s="21" t="inlineStr">
        <is>
          <t>Bhavnagar</t>
        </is>
      </c>
      <c r="L1957" s="21" t="inlineStr">
        <is>
          <t>Gujarat</t>
        </is>
      </c>
      <c r="M1957" s="9" t="inlineStr">
        <is>
          <t>PS</t>
        </is>
      </c>
      <c r="N1957" s="3" t="inlineStr">
        <is>
          <t>Cold Soldering</t>
        </is>
      </c>
      <c r="O1957" s="60" t="n">
        <v>540</v>
      </c>
      <c r="P1957" s="9" t="inlineStr">
        <is>
          <t>NSMP2304067342</t>
        </is>
      </c>
      <c r="Q1957" s="53">
        <f>MID(P1957,5,2)</f>
        <v/>
      </c>
      <c r="R1957" s="53">
        <f>MID(P1957,7,2)</f>
        <v/>
      </c>
      <c r="S1957" s="3" t="inlineStr">
        <is>
          <t>G2B</t>
        </is>
      </c>
      <c r="T1957" s="3" t="inlineStr">
        <is>
          <t>P2</t>
        </is>
      </c>
      <c r="U1957" s="3" t="inlineStr">
        <is>
          <t>P JB Cold Soldering</t>
        </is>
      </c>
      <c r="V1957" s="3" t="inlineStr">
        <is>
          <t>Soldering</t>
        </is>
      </c>
      <c r="W1957" s="3" t="inlineStr">
        <is>
          <t>Repair</t>
        </is>
      </c>
      <c r="X1957" s="18" t="n">
        <v>46167</v>
      </c>
      <c r="Y1957" s="73">
        <f>IF(X1957="","",X1957-A1957)</f>
        <v/>
      </c>
      <c r="Z1957" s="18" t="n">
        <v>46167</v>
      </c>
      <c r="AA1957" s="15" t="n"/>
      <c r="AB1957" s="15" t="n"/>
      <c r="AF1957">
        <f>IF(AND($F1957="Closed",$X1957&gt;=DATE(2026,5,1),$X1957&lt;=DATE(2026,5,31)),"Closed in May","Other")</f>
        <v/>
      </c>
    </row>
    <row r="1958">
      <c r="A1958" s="59" t="n">
        <v>46148</v>
      </c>
      <c r="B1958" s="3" t="n">
        <v>2026</v>
      </c>
      <c r="C1958" s="21" t="inlineStr">
        <is>
          <t>Continuum</t>
        </is>
      </c>
      <c r="D1958" s="3" t="inlineStr">
        <is>
          <t>Utility and C&amp;I</t>
        </is>
      </c>
      <c r="E1958" s="3" t="n"/>
      <c r="F1958" s="3" t="inlineStr">
        <is>
          <t>Closed</t>
        </is>
      </c>
      <c r="G1958" s="21" t="inlineStr">
        <is>
          <t>Amiya Ranjan Behera</t>
        </is>
      </c>
      <c r="H1958" s="21" t="n">
        <v>8917436223</v>
      </c>
      <c r="I1958" s="38" t="inlineStr">
        <is>
          <t>PE06052602</t>
        </is>
      </c>
      <c r="J1958" s="21" t="inlineStr">
        <is>
          <t>Diode Bypass Module Issue</t>
        </is>
      </c>
      <c r="K1958" s="21" t="inlineStr">
        <is>
          <t>Bhavnagar</t>
        </is>
      </c>
      <c r="L1958" s="21" t="inlineStr">
        <is>
          <t>Gujarat</t>
        </is>
      </c>
      <c r="M1958" s="9" t="inlineStr">
        <is>
          <t>PS</t>
        </is>
      </c>
      <c r="N1958" s="3" t="inlineStr">
        <is>
          <t>Cold Soldering</t>
        </is>
      </c>
      <c r="O1958" s="60" t="n">
        <v>540</v>
      </c>
      <c r="P1958" s="9" t="inlineStr">
        <is>
          <t>NSMP2304067352</t>
        </is>
      </c>
      <c r="Q1958" s="53">
        <f>MID(P1958,5,2)</f>
        <v/>
      </c>
      <c r="R1958" s="53">
        <f>MID(P1958,7,2)</f>
        <v/>
      </c>
      <c r="S1958" s="3" t="inlineStr">
        <is>
          <t>G2B</t>
        </is>
      </c>
      <c r="T1958" s="3" t="inlineStr">
        <is>
          <t>P2</t>
        </is>
      </c>
      <c r="U1958" s="3" t="inlineStr">
        <is>
          <t>P JB Cold Soldering</t>
        </is>
      </c>
      <c r="V1958" s="3" t="inlineStr">
        <is>
          <t>Soldering</t>
        </is>
      </c>
      <c r="W1958" s="3" t="inlineStr">
        <is>
          <t>Repair</t>
        </is>
      </c>
      <c r="X1958" s="18" t="n">
        <v>46167</v>
      </c>
      <c r="Y1958" s="73">
        <f>IF(X1958="","",X1958-A1958)</f>
        <v/>
      </c>
      <c r="Z1958" s="18" t="n">
        <v>46167</v>
      </c>
      <c r="AA1958" s="15" t="n"/>
      <c r="AB1958" s="15" t="n"/>
      <c r="AF1958">
        <f>IF(AND($F1958="Closed",$X1958&gt;=DATE(2026,5,1),$X1958&lt;=DATE(2026,5,31)),"Closed in May","Other")</f>
        <v/>
      </c>
    </row>
    <row r="1959">
      <c r="A1959" s="59" t="n">
        <v>46148</v>
      </c>
      <c r="B1959" s="3" t="n">
        <v>2026</v>
      </c>
      <c r="C1959" s="21" t="inlineStr">
        <is>
          <t>Continuum</t>
        </is>
      </c>
      <c r="D1959" s="3" t="inlineStr">
        <is>
          <t>Utility and C&amp;I</t>
        </is>
      </c>
      <c r="E1959" s="3" t="n"/>
      <c r="F1959" s="3" t="inlineStr">
        <is>
          <t>Closed</t>
        </is>
      </c>
      <c r="G1959" s="21" t="inlineStr">
        <is>
          <t>Amiya Ranjan Behera</t>
        </is>
      </c>
      <c r="H1959" s="21" t="n">
        <v>8917436223</v>
      </c>
      <c r="I1959" s="38" t="inlineStr">
        <is>
          <t>PE06052602</t>
        </is>
      </c>
      <c r="J1959" s="21" t="inlineStr">
        <is>
          <t>Diode Bypass Module Issue</t>
        </is>
      </c>
      <c r="K1959" s="21" t="inlineStr">
        <is>
          <t>Bhavnagar</t>
        </is>
      </c>
      <c r="L1959" s="21" t="inlineStr">
        <is>
          <t>Gujarat</t>
        </is>
      </c>
      <c r="M1959" s="9" t="inlineStr">
        <is>
          <t>PS</t>
        </is>
      </c>
      <c r="N1959" s="3" t="inlineStr">
        <is>
          <t>Cold Soldering</t>
        </is>
      </c>
      <c r="O1959" s="60" t="n">
        <v>540</v>
      </c>
      <c r="P1959" s="9" t="inlineStr">
        <is>
          <t>NSMP2305189579</t>
        </is>
      </c>
      <c r="Q1959" s="53">
        <f>MID(P1959,5,2)</f>
        <v/>
      </c>
      <c r="R1959" s="53">
        <f>MID(P1959,7,2)</f>
        <v/>
      </c>
      <c r="S1959" s="3" t="inlineStr">
        <is>
          <t>G2B</t>
        </is>
      </c>
      <c r="T1959" s="3" t="inlineStr">
        <is>
          <t>P2</t>
        </is>
      </c>
      <c r="U1959" s="3" t="inlineStr">
        <is>
          <t>P JB Cold Soldering</t>
        </is>
      </c>
      <c r="V1959" s="3" t="inlineStr">
        <is>
          <t>Soldering</t>
        </is>
      </c>
      <c r="W1959" s="3" t="inlineStr">
        <is>
          <t>Repair</t>
        </is>
      </c>
      <c r="X1959" s="18" t="n">
        <v>46167</v>
      </c>
      <c r="Y1959" s="73">
        <f>IF(X1959="","",X1959-A1959)</f>
        <v/>
      </c>
      <c r="Z1959" s="18" t="n">
        <v>46167</v>
      </c>
      <c r="AA1959" s="15" t="n"/>
      <c r="AB1959" s="15" t="n"/>
      <c r="AF1959">
        <f>IF(AND($F1959="Closed",$X1959&gt;=DATE(2026,5,1),$X1959&lt;=DATE(2026,5,31)),"Closed in May","Other")</f>
        <v/>
      </c>
    </row>
    <row r="1960">
      <c r="A1960" s="59" t="n">
        <v>46148</v>
      </c>
      <c r="B1960" s="3" t="n">
        <v>2026</v>
      </c>
      <c r="C1960" s="21" t="inlineStr">
        <is>
          <t>Continuum</t>
        </is>
      </c>
      <c r="D1960" s="3" t="inlineStr">
        <is>
          <t>Utility and C&amp;I</t>
        </is>
      </c>
      <c r="E1960" s="3" t="n"/>
      <c r="F1960" s="3" t="inlineStr">
        <is>
          <t>Closed</t>
        </is>
      </c>
      <c r="G1960" s="21" t="inlineStr">
        <is>
          <t>Amiya Ranjan Behera</t>
        </is>
      </c>
      <c r="H1960" s="21" t="n">
        <v>8917436223</v>
      </c>
      <c r="I1960" s="38" t="inlineStr">
        <is>
          <t>PE06052602</t>
        </is>
      </c>
      <c r="J1960" s="21" t="inlineStr">
        <is>
          <t>Diode Bypass Module Issue</t>
        </is>
      </c>
      <c r="K1960" s="21" t="inlineStr">
        <is>
          <t>Bhavnagar</t>
        </is>
      </c>
      <c r="L1960" s="21" t="inlineStr">
        <is>
          <t>Gujarat</t>
        </is>
      </c>
      <c r="M1960" s="9" t="inlineStr">
        <is>
          <t>PS</t>
        </is>
      </c>
      <c r="N1960" s="3" t="inlineStr">
        <is>
          <t>Cold Soldering</t>
        </is>
      </c>
      <c r="O1960" s="60" t="n">
        <v>540</v>
      </c>
      <c r="P1960" s="9" t="inlineStr">
        <is>
          <t>NSMP2305189661</t>
        </is>
      </c>
      <c r="Q1960" s="53">
        <f>MID(P1960,5,2)</f>
        <v/>
      </c>
      <c r="R1960" s="53">
        <f>MID(P1960,7,2)</f>
        <v/>
      </c>
      <c r="S1960" s="3" t="inlineStr">
        <is>
          <t>G2B</t>
        </is>
      </c>
      <c r="T1960" s="3" t="inlineStr">
        <is>
          <t>P2</t>
        </is>
      </c>
      <c r="U1960" s="3" t="inlineStr">
        <is>
          <t>P JB Cold Soldering</t>
        </is>
      </c>
      <c r="V1960" s="3" t="inlineStr">
        <is>
          <t>Soldering</t>
        </is>
      </c>
      <c r="W1960" s="3" t="inlineStr">
        <is>
          <t>Repair</t>
        </is>
      </c>
      <c r="X1960" s="18" t="n">
        <v>46167</v>
      </c>
      <c r="Y1960" s="73">
        <f>IF(X1960="","",X1960-A1960)</f>
        <v/>
      </c>
      <c r="Z1960" s="18" t="n">
        <v>46167</v>
      </c>
      <c r="AA1960" s="15" t="n"/>
      <c r="AB1960" s="15" t="n"/>
      <c r="AF1960">
        <f>IF(AND($F1960="Closed",$X1960&gt;=DATE(2026,5,1),$X1960&lt;=DATE(2026,5,31)),"Closed in May","Other")</f>
        <v/>
      </c>
    </row>
    <row r="1961">
      <c r="A1961" s="59" t="n">
        <v>46148</v>
      </c>
      <c r="B1961" s="3" t="n">
        <v>2026</v>
      </c>
      <c r="C1961" s="21" t="inlineStr">
        <is>
          <t>Continuum</t>
        </is>
      </c>
      <c r="D1961" s="3" t="inlineStr">
        <is>
          <t>Utility and C&amp;I</t>
        </is>
      </c>
      <c r="E1961" s="3" t="n"/>
      <c r="F1961" s="3" t="inlineStr">
        <is>
          <t>Closed</t>
        </is>
      </c>
      <c r="G1961" s="21" t="inlineStr">
        <is>
          <t>Amiya Ranjan Behera</t>
        </is>
      </c>
      <c r="H1961" s="21" t="n">
        <v>8917436223</v>
      </c>
      <c r="I1961" s="38" t="inlineStr">
        <is>
          <t>PE06052602</t>
        </is>
      </c>
      <c r="J1961" s="21" t="inlineStr">
        <is>
          <t>Diode Bypass Module Issue</t>
        </is>
      </c>
      <c r="K1961" s="21" t="inlineStr">
        <is>
          <t>Bhavnagar</t>
        </is>
      </c>
      <c r="L1961" s="21" t="inlineStr">
        <is>
          <t>Gujarat</t>
        </is>
      </c>
      <c r="M1961" s="9" t="inlineStr">
        <is>
          <t>PS</t>
        </is>
      </c>
      <c r="N1961" s="3" t="inlineStr">
        <is>
          <t>Cold Soldering</t>
        </is>
      </c>
      <c r="O1961" s="60" t="n">
        <v>540</v>
      </c>
      <c r="P1961" s="9" t="inlineStr">
        <is>
          <t>NSMP2305189447</t>
        </is>
      </c>
      <c r="Q1961" s="53">
        <f>MID(P1961,5,2)</f>
        <v/>
      </c>
      <c r="R1961" s="53">
        <f>MID(P1961,7,2)</f>
        <v/>
      </c>
      <c r="S1961" s="3" t="inlineStr">
        <is>
          <t>G2B</t>
        </is>
      </c>
      <c r="T1961" s="3" t="inlineStr">
        <is>
          <t>P2</t>
        </is>
      </c>
      <c r="U1961" s="3" t="inlineStr">
        <is>
          <t>P JB Cold Soldering</t>
        </is>
      </c>
      <c r="V1961" s="3" t="inlineStr">
        <is>
          <t>Soldering</t>
        </is>
      </c>
      <c r="W1961" s="3" t="inlineStr">
        <is>
          <t>Repair</t>
        </is>
      </c>
      <c r="X1961" s="18" t="n">
        <v>46167</v>
      </c>
      <c r="Y1961" s="73">
        <f>IF(X1961="","",X1961-A1961)</f>
        <v/>
      </c>
      <c r="Z1961" s="18" t="n">
        <v>46167</v>
      </c>
      <c r="AA1961" s="15" t="n"/>
      <c r="AB1961" s="15" t="n"/>
      <c r="AF1961">
        <f>IF(AND($F1961="Closed",$X1961&gt;=DATE(2026,5,1),$X1961&lt;=DATE(2026,5,31)),"Closed in May","Other")</f>
        <v/>
      </c>
    </row>
    <row r="1962">
      <c r="A1962" s="59" t="n">
        <v>46148</v>
      </c>
      <c r="B1962" s="3" t="n">
        <v>2026</v>
      </c>
      <c r="C1962" s="21" t="inlineStr">
        <is>
          <t>Continuum</t>
        </is>
      </c>
      <c r="D1962" s="3" t="inlineStr">
        <is>
          <t>Utility and C&amp;I</t>
        </is>
      </c>
      <c r="E1962" s="3" t="n"/>
      <c r="F1962" s="3" t="inlineStr">
        <is>
          <t>Closed</t>
        </is>
      </c>
      <c r="G1962" s="21" t="inlineStr">
        <is>
          <t>Amiya Ranjan Behera</t>
        </is>
      </c>
      <c r="H1962" s="21" t="n">
        <v>8917436223</v>
      </c>
      <c r="I1962" s="38" t="inlineStr">
        <is>
          <t>PE06052602</t>
        </is>
      </c>
      <c r="J1962" s="21" t="inlineStr">
        <is>
          <t>Diode Bypass Module Issue</t>
        </is>
      </c>
      <c r="K1962" s="21" t="inlineStr">
        <is>
          <t>Bhavnagar</t>
        </is>
      </c>
      <c r="L1962" s="21" t="inlineStr">
        <is>
          <t>Gujarat</t>
        </is>
      </c>
      <c r="M1962" s="9" t="inlineStr">
        <is>
          <t>PS</t>
        </is>
      </c>
      <c r="N1962" s="3" t="inlineStr">
        <is>
          <t>Cold Soldering</t>
        </is>
      </c>
      <c r="O1962" s="60" t="n">
        <v>540</v>
      </c>
      <c r="P1962" s="9" t="inlineStr">
        <is>
          <t>NSMP2305189740</t>
        </is>
      </c>
      <c r="Q1962" s="53">
        <f>MID(P1962,5,2)</f>
        <v/>
      </c>
      <c r="R1962" s="53">
        <f>MID(P1962,7,2)</f>
        <v/>
      </c>
      <c r="S1962" s="3" t="inlineStr">
        <is>
          <t>G2B</t>
        </is>
      </c>
      <c r="T1962" s="3" t="inlineStr">
        <is>
          <t>P2</t>
        </is>
      </c>
      <c r="U1962" s="3" t="inlineStr">
        <is>
          <t>P JB Cold Soldering</t>
        </is>
      </c>
      <c r="V1962" s="3" t="inlineStr">
        <is>
          <t>Soldering</t>
        </is>
      </c>
      <c r="W1962" s="3" t="inlineStr">
        <is>
          <t>Repair</t>
        </is>
      </c>
      <c r="X1962" s="18" t="n">
        <v>46167</v>
      </c>
      <c r="Y1962" s="73">
        <f>IF(X1962="","",X1962-A1962)</f>
        <v/>
      </c>
      <c r="Z1962" s="18" t="n">
        <v>46167</v>
      </c>
      <c r="AA1962" s="15" t="n"/>
      <c r="AB1962" s="15" t="n"/>
      <c r="AF1962">
        <f>IF(AND($F1962="Closed",$X1962&gt;=DATE(2026,5,1),$X1962&lt;=DATE(2026,5,31)),"Closed in May","Other")</f>
        <v/>
      </c>
    </row>
    <row r="1963">
      <c r="A1963" s="59" t="n">
        <v>46148</v>
      </c>
      <c r="B1963" s="3" t="n">
        <v>2026</v>
      </c>
      <c r="C1963" s="21" t="inlineStr">
        <is>
          <t>Continuum</t>
        </is>
      </c>
      <c r="D1963" s="3" t="inlineStr">
        <is>
          <t>Utility and C&amp;I</t>
        </is>
      </c>
      <c r="E1963" s="3" t="n"/>
      <c r="F1963" s="3" t="inlineStr">
        <is>
          <t>Closed</t>
        </is>
      </c>
      <c r="G1963" s="21" t="inlineStr">
        <is>
          <t>Amiya Ranjan Behera</t>
        </is>
      </c>
      <c r="H1963" s="21" t="n">
        <v>8917436223</v>
      </c>
      <c r="I1963" s="38" t="inlineStr">
        <is>
          <t>PE06052602</t>
        </is>
      </c>
      <c r="J1963" s="21" t="inlineStr">
        <is>
          <t>Diode Bypass Module Issue</t>
        </is>
      </c>
      <c r="K1963" s="21" t="inlineStr">
        <is>
          <t>Bhavnagar</t>
        </is>
      </c>
      <c r="L1963" s="21" t="inlineStr">
        <is>
          <t>Gujarat</t>
        </is>
      </c>
      <c r="M1963" s="9" t="inlineStr">
        <is>
          <t>PS</t>
        </is>
      </c>
      <c r="N1963" s="3" t="inlineStr">
        <is>
          <t>Cold Soldering</t>
        </is>
      </c>
      <c r="O1963" s="60" t="n">
        <v>540</v>
      </c>
      <c r="P1963" s="9" t="inlineStr">
        <is>
          <t>NSMP2305189666</t>
        </is>
      </c>
      <c r="Q1963" s="53">
        <f>MID(P1963,5,2)</f>
        <v/>
      </c>
      <c r="R1963" s="53">
        <f>MID(P1963,7,2)</f>
        <v/>
      </c>
      <c r="S1963" s="3" t="inlineStr">
        <is>
          <t>G2B</t>
        </is>
      </c>
      <c r="T1963" s="3" t="inlineStr">
        <is>
          <t>P2</t>
        </is>
      </c>
      <c r="U1963" s="3" t="inlineStr">
        <is>
          <t>P JB Cold Soldering</t>
        </is>
      </c>
      <c r="V1963" s="3" t="inlineStr">
        <is>
          <t>Soldering</t>
        </is>
      </c>
      <c r="W1963" s="3" t="inlineStr">
        <is>
          <t>Repair</t>
        </is>
      </c>
      <c r="X1963" s="18" t="n">
        <v>46167</v>
      </c>
      <c r="Y1963" s="73">
        <f>IF(X1963="","",X1963-A1963)</f>
        <v/>
      </c>
      <c r="Z1963" s="18" t="n">
        <v>46167</v>
      </c>
      <c r="AA1963" s="15" t="n"/>
      <c r="AB1963" s="15" t="n"/>
      <c r="AF1963">
        <f>IF(AND($F1963="Closed",$X1963&gt;=DATE(2026,5,1),$X1963&lt;=DATE(2026,5,31)),"Closed in May","Other")</f>
        <v/>
      </c>
    </row>
    <row r="1964">
      <c r="A1964" s="59" t="n">
        <v>46148</v>
      </c>
      <c r="B1964" s="3" t="n">
        <v>2026</v>
      </c>
      <c r="C1964" s="21" t="inlineStr">
        <is>
          <t>Continuum</t>
        </is>
      </c>
      <c r="D1964" s="3" t="inlineStr">
        <is>
          <t>Utility and C&amp;I</t>
        </is>
      </c>
      <c r="E1964" s="3" t="n"/>
      <c r="F1964" s="3" t="inlineStr">
        <is>
          <t>Closed</t>
        </is>
      </c>
      <c r="G1964" s="21" t="inlineStr">
        <is>
          <t>Amiya Ranjan Behera</t>
        </is>
      </c>
      <c r="H1964" s="21" t="n">
        <v>8917436223</v>
      </c>
      <c r="I1964" s="38" t="inlineStr">
        <is>
          <t>PE06052602</t>
        </is>
      </c>
      <c r="J1964" s="21" t="inlineStr">
        <is>
          <t>Diode Bypass Module Issue</t>
        </is>
      </c>
      <c r="K1964" s="21" t="inlineStr">
        <is>
          <t>Bhavnagar</t>
        </is>
      </c>
      <c r="L1964" s="21" t="inlineStr">
        <is>
          <t>Gujarat</t>
        </is>
      </c>
      <c r="M1964" s="9" t="inlineStr">
        <is>
          <t>PR</t>
        </is>
      </c>
      <c r="N1964" s="3" t="inlineStr">
        <is>
          <t>JB Issue</t>
        </is>
      </c>
      <c r="O1964" s="60" t="n">
        <v>540</v>
      </c>
      <c r="P1964" s="9" t="inlineStr">
        <is>
          <t>NSMP2304069265</t>
        </is>
      </c>
      <c r="Q1964" s="53">
        <f>MID(P1964,5,2)</f>
        <v/>
      </c>
      <c r="R1964" s="53">
        <f>MID(P1964,7,2)</f>
        <v/>
      </c>
      <c r="S1964" s="3" t="inlineStr">
        <is>
          <t>G2B</t>
        </is>
      </c>
      <c r="T1964" s="3" t="inlineStr">
        <is>
          <t>P2</t>
        </is>
      </c>
      <c r="U1964" s="3" t="inlineStr">
        <is>
          <t>P JB Issue</t>
        </is>
      </c>
      <c r="V1964" s="15" t="inlineStr">
        <is>
          <t>JB Changed</t>
        </is>
      </c>
      <c r="W1964" s="3" t="inlineStr">
        <is>
          <t>Repair</t>
        </is>
      </c>
      <c r="X1964" s="18" t="n">
        <v>46167</v>
      </c>
      <c r="Y1964" s="73">
        <f>IF(X1964="","",X1964-A1964)</f>
        <v/>
      </c>
      <c r="Z1964" s="18" t="n">
        <v>46167</v>
      </c>
      <c r="AA1964" s="15" t="n"/>
      <c r="AB1964" s="15" t="n"/>
      <c r="AF1964">
        <f>IF(AND($F1964="Closed",$X1964&gt;=DATE(2026,5,1),$X1964&lt;=DATE(2026,5,31)),"Closed in May","Other")</f>
        <v/>
      </c>
    </row>
    <row r="1965">
      <c r="A1965" s="59" t="n">
        <v>46148</v>
      </c>
      <c r="B1965" s="3" t="n">
        <v>2026</v>
      </c>
      <c r="C1965" s="21" t="inlineStr">
        <is>
          <t>Continuum</t>
        </is>
      </c>
      <c r="D1965" s="3" t="inlineStr">
        <is>
          <t>Utility and C&amp;I</t>
        </is>
      </c>
      <c r="E1965" s="3" t="n"/>
      <c r="F1965" s="3" t="inlineStr">
        <is>
          <t>Closed</t>
        </is>
      </c>
      <c r="G1965" s="21" t="inlineStr">
        <is>
          <t>Amiya Ranjan Behera</t>
        </is>
      </c>
      <c r="H1965" s="21" t="n">
        <v>8917436223</v>
      </c>
      <c r="I1965" s="38" t="inlineStr">
        <is>
          <t>PE06052602</t>
        </is>
      </c>
      <c r="J1965" s="21" t="inlineStr">
        <is>
          <t>Diode Bypass Module Issue</t>
        </is>
      </c>
      <c r="K1965" s="21" t="inlineStr">
        <is>
          <t>Bhavnagar</t>
        </is>
      </c>
      <c r="L1965" s="21" t="inlineStr">
        <is>
          <t>Gujarat</t>
        </is>
      </c>
      <c r="M1965" s="9" t="inlineStr">
        <is>
          <t>PS</t>
        </is>
      </c>
      <c r="N1965" s="3" t="inlineStr">
        <is>
          <t>Cold Soldering</t>
        </is>
      </c>
      <c r="O1965" s="60" t="n">
        <v>540</v>
      </c>
      <c r="P1965" s="9" t="inlineStr">
        <is>
          <t>NSMP2304043418</t>
        </is>
      </c>
      <c r="Q1965" s="53">
        <f>MID(P1965,5,2)</f>
        <v/>
      </c>
      <c r="R1965" s="53">
        <f>MID(P1965,7,2)</f>
        <v/>
      </c>
      <c r="S1965" s="3" t="inlineStr">
        <is>
          <t>G2B</t>
        </is>
      </c>
      <c r="T1965" s="3" t="inlineStr">
        <is>
          <t>P2</t>
        </is>
      </c>
      <c r="U1965" s="3" t="inlineStr">
        <is>
          <t>P JB Cold Soldering</t>
        </is>
      </c>
      <c r="V1965" s="3" t="inlineStr">
        <is>
          <t>Soldering</t>
        </is>
      </c>
      <c r="W1965" s="3" t="inlineStr">
        <is>
          <t>Repair</t>
        </is>
      </c>
      <c r="X1965" s="18" t="n">
        <v>46167</v>
      </c>
      <c r="Y1965" s="73">
        <f>IF(X1965="","",X1965-A1965)</f>
        <v/>
      </c>
      <c r="Z1965" s="18" t="n">
        <v>46167</v>
      </c>
      <c r="AA1965" s="15" t="n"/>
      <c r="AB1965" s="15" t="n"/>
      <c r="AF1965">
        <f>IF(AND($F1965="Closed",$X1965&gt;=DATE(2026,5,1),$X1965&lt;=DATE(2026,5,31)),"Closed in May","Other")</f>
        <v/>
      </c>
    </row>
    <row r="1966">
      <c r="A1966" s="59" t="n">
        <v>46148</v>
      </c>
      <c r="B1966" s="3" t="n">
        <v>2026</v>
      </c>
      <c r="C1966" s="21" t="inlineStr">
        <is>
          <t>Continuum</t>
        </is>
      </c>
      <c r="D1966" s="3" t="inlineStr">
        <is>
          <t>Utility and C&amp;I</t>
        </is>
      </c>
      <c r="E1966" s="3" t="n"/>
      <c r="F1966" s="3" t="inlineStr">
        <is>
          <t>Closed</t>
        </is>
      </c>
      <c r="G1966" s="21" t="inlineStr">
        <is>
          <t>Amiya Ranjan Behera</t>
        </is>
      </c>
      <c r="H1966" s="21" t="n">
        <v>8917436223</v>
      </c>
      <c r="I1966" s="38" t="inlineStr">
        <is>
          <t>PE06052602</t>
        </is>
      </c>
      <c r="J1966" s="21" t="inlineStr">
        <is>
          <t>Diode Bypass Module Issue</t>
        </is>
      </c>
      <c r="K1966" s="21" t="inlineStr">
        <is>
          <t>Bhavnagar</t>
        </is>
      </c>
      <c r="L1966" s="21" t="inlineStr">
        <is>
          <t>Gujarat</t>
        </is>
      </c>
      <c r="M1966" s="9" t="inlineStr">
        <is>
          <t>PR</t>
        </is>
      </c>
      <c r="N1966" s="3" t="inlineStr">
        <is>
          <t>JB Issue</t>
        </is>
      </c>
      <c r="O1966" s="60" t="n">
        <v>540</v>
      </c>
      <c r="P1966" s="9" t="inlineStr">
        <is>
          <t>NSMP2305189613</t>
        </is>
      </c>
      <c r="Q1966" s="53">
        <f>MID(P1966,5,2)</f>
        <v/>
      </c>
      <c r="R1966" s="53">
        <f>MID(P1966,7,2)</f>
        <v/>
      </c>
      <c r="S1966" s="3" t="inlineStr">
        <is>
          <t>G2B</t>
        </is>
      </c>
      <c r="T1966" s="3" t="inlineStr">
        <is>
          <t>P2</t>
        </is>
      </c>
      <c r="U1966" s="3" t="inlineStr">
        <is>
          <t>P JB Issue</t>
        </is>
      </c>
      <c r="V1966" s="15" t="inlineStr">
        <is>
          <t>JB Changed</t>
        </is>
      </c>
      <c r="W1966" s="3" t="inlineStr">
        <is>
          <t>Repair</t>
        </is>
      </c>
      <c r="X1966" s="18" t="n">
        <v>46167</v>
      </c>
      <c r="Y1966" s="73">
        <f>IF(X1966="","",X1966-A1966)</f>
        <v/>
      </c>
      <c r="Z1966" s="18" t="n">
        <v>46167</v>
      </c>
      <c r="AA1966" s="15" t="n"/>
      <c r="AB1966" s="15" t="n"/>
      <c r="AF1966">
        <f>IF(AND($F1966="Closed",$X1966&gt;=DATE(2026,5,1),$X1966&lt;=DATE(2026,5,31)),"Closed in May","Other")</f>
        <v/>
      </c>
    </row>
    <row r="1967">
      <c r="A1967" s="59" t="n">
        <v>46148</v>
      </c>
      <c r="B1967" s="3" t="n">
        <v>2026</v>
      </c>
      <c r="C1967" s="21" t="inlineStr">
        <is>
          <t>Continuum</t>
        </is>
      </c>
      <c r="D1967" s="3" t="inlineStr">
        <is>
          <t>Utility and C&amp;I</t>
        </is>
      </c>
      <c r="E1967" s="3" t="n"/>
      <c r="F1967" s="3" t="inlineStr">
        <is>
          <t>Closed</t>
        </is>
      </c>
      <c r="G1967" s="21" t="inlineStr">
        <is>
          <t>Amiya Ranjan Behera</t>
        </is>
      </c>
      <c r="H1967" s="21" t="n">
        <v>8917436223</v>
      </c>
      <c r="I1967" s="38" t="inlineStr">
        <is>
          <t>PE06052602</t>
        </is>
      </c>
      <c r="J1967" s="21" t="inlineStr">
        <is>
          <t>Diode Bypass Module Issue</t>
        </is>
      </c>
      <c r="K1967" s="21" t="inlineStr">
        <is>
          <t>Bhavnagar</t>
        </is>
      </c>
      <c r="L1967" s="21" t="inlineStr">
        <is>
          <t>Gujarat</t>
        </is>
      </c>
      <c r="M1967" s="9" t="inlineStr">
        <is>
          <t>PS</t>
        </is>
      </c>
      <c r="N1967" s="3" t="inlineStr">
        <is>
          <t>Cold Soldering</t>
        </is>
      </c>
      <c r="O1967" s="60" t="n">
        <v>540</v>
      </c>
      <c r="P1967" s="9" t="inlineStr">
        <is>
          <t>NSMP2305189549</t>
        </is>
      </c>
      <c r="Q1967" s="53">
        <f>MID(P1967,5,2)</f>
        <v/>
      </c>
      <c r="R1967" s="53">
        <f>MID(P1967,7,2)</f>
        <v/>
      </c>
      <c r="S1967" s="3" t="inlineStr">
        <is>
          <t>G2B</t>
        </is>
      </c>
      <c r="T1967" s="3" t="inlineStr">
        <is>
          <t>P2</t>
        </is>
      </c>
      <c r="U1967" s="3" t="inlineStr">
        <is>
          <t>P JB Cold Soldering</t>
        </is>
      </c>
      <c r="V1967" s="3" t="inlineStr">
        <is>
          <t>Soldering</t>
        </is>
      </c>
      <c r="W1967" s="3" t="inlineStr">
        <is>
          <t>Repair</t>
        </is>
      </c>
      <c r="X1967" s="18" t="n">
        <v>46167</v>
      </c>
      <c r="Y1967" s="73">
        <f>IF(X1967="","",X1967-A1967)</f>
        <v/>
      </c>
      <c r="Z1967" s="18" t="n">
        <v>46167</v>
      </c>
      <c r="AA1967" s="15" t="n"/>
      <c r="AB1967" s="15" t="n"/>
      <c r="AF1967">
        <f>IF(AND($F1967="Closed",$X1967&gt;=DATE(2026,5,1),$X1967&lt;=DATE(2026,5,31)),"Closed in May","Other")</f>
        <v/>
      </c>
    </row>
    <row r="1968">
      <c r="A1968" s="59" t="n">
        <v>46148</v>
      </c>
      <c r="B1968" s="3" t="n">
        <v>2026</v>
      </c>
      <c r="C1968" s="21" t="inlineStr">
        <is>
          <t>Continuum</t>
        </is>
      </c>
      <c r="D1968" s="3" t="inlineStr">
        <is>
          <t>Utility and C&amp;I</t>
        </is>
      </c>
      <c r="E1968" s="3" t="n"/>
      <c r="F1968" s="3" t="inlineStr">
        <is>
          <t>Closed</t>
        </is>
      </c>
      <c r="G1968" s="21" t="inlineStr">
        <is>
          <t>Amiya Ranjan Behera</t>
        </is>
      </c>
      <c r="H1968" s="21" t="n">
        <v>8917436223</v>
      </c>
      <c r="I1968" s="38" t="inlineStr">
        <is>
          <t>PE06052602</t>
        </is>
      </c>
      <c r="J1968" s="21" t="inlineStr">
        <is>
          <t>Diode Bypass Module Issue</t>
        </is>
      </c>
      <c r="K1968" s="21" t="inlineStr">
        <is>
          <t>Bhavnagar</t>
        </is>
      </c>
      <c r="L1968" s="21" t="inlineStr">
        <is>
          <t>Gujarat</t>
        </is>
      </c>
      <c r="M1968" s="9" t="inlineStr">
        <is>
          <t>PR</t>
        </is>
      </c>
      <c r="N1968" s="3" t="inlineStr">
        <is>
          <t>JB Issue</t>
        </is>
      </c>
      <c r="O1968" s="60" t="n">
        <v>540</v>
      </c>
      <c r="P1968" s="9" t="inlineStr">
        <is>
          <t>NSMP2305189547</t>
        </is>
      </c>
      <c r="Q1968" s="53">
        <f>MID(P1968,5,2)</f>
        <v/>
      </c>
      <c r="R1968" s="53">
        <f>MID(P1968,7,2)</f>
        <v/>
      </c>
      <c r="S1968" s="3" t="inlineStr">
        <is>
          <t>G2B</t>
        </is>
      </c>
      <c r="T1968" s="3" t="inlineStr">
        <is>
          <t>P2</t>
        </is>
      </c>
      <c r="U1968" s="3" t="inlineStr">
        <is>
          <t>P JB Issue</t>
        </is>
      </c>
      <c r="V1968" s="15" t="inlineStr">
        <is>
          <t>JB Changed</t>
        </is>
      </c>
      <c r="W1968" s="3" t="inlineStr">
        <is>
          <t>Repair</t>
        </is>
      </c>
      <c r="X1968" s="18" t="n">
        <v>46167</v>
      </c>
      <c r="Y1968" s="73">
        <f>IF(X1968="","",X1968-A1968)</f>
        <v/>
      </c>
      <c r="Z1968" s="18" t="n">
        <v>46167</v>
      </c>
      <c r="AA1968" s="15" t="n"/>
      <c r="AB1968" s="15" t="n"/>
      <c r="AF1968">
        <f>IF(AND($F1968="Closed",$X1968&gt;=DATE(2026,5,1),$X1968&lt;=DATE(2026,5,31)),"Closed in May","Other")</f>
        <v/>
      </c>
    </row>
    <row r="1969">
      <c r="A1969" s="59" t="n">
        <v>46148</v>
      </c>
      <c r="B1969" s="3" t="n">
        <v>2026</v>
      </c>
      <c r="C1969" s="21" t="inlineStr">
        <is>
          <t>Continuum</t>
        </is>
      </c>
      <c r="D1969" s="3" t="inlineStr">
        <is>
          <t>Utility and C&amp;I</t>
        </is>
      </c>
      <c r="E1969" s="3" t="n"/>
      <c r="F1969" s="3" t="inlineStr">
        <is>
          <t>Closed</t>
        </is>
      </c>
      <c r="G1969" s="21" t="inlineStr">
        <is>
          <t>Amiya Ranjan Behera</t>
        </is>
      </c>
      <c r="H1969" s="21" t="n">
        <v>8917436223</v>
      </c>
      <c r="I1969" s="38" t="inlineStr">
        <is>
          <t>PE06052602</t>
        </is>
      </c>
      <c r="J1969" s="21" t="inlineStr">
        <is>
          <t>Diode Bypass Module Issue</t>
        </is>
      </c>
      <c r="K1969" s="21" t="inlineStr">
        <is>
          <t>Bhavnagar</t>
        </is>
      </c>
      <c r="L1969" s="21" t="inlineStr">
        <is>
          <t>Gujarat</t>
        </is>
      </c>
      <c r="M1969" s="9" t="inlineStr">
        <is>
          <t>PS</t>
        </is>
      </c>
      <c r="N1969" s="3" t="inlineStr">
        <is>
          <t>Cold Soldering</t>
        </is>
      </c>
      <c r="O1969" s="60" t="n">
        <v>540</v>
      </c>
      <c r="P1969" s="9" t="inlineStr">
        <is>
          <t>NSMP2305189475</t>
        </is>
      </c>
      <c r="Q1969" s="53">
        <f>MID(P1969,5,2)</f>
        <v/>
      </c>
      <c r="R1969" s="53">
        <f>MID(P1969,7,2)</f>
        <v/>
      </c>
      <c r="S1969" s="3" t="inlineStr">
        <is>
          <t>G2B</t>
        </is>
      </c>
      <c r="T1969" s="3" t="inlineStr">
        <is>
          <t>P2</t>
        </is>
      </c>
      <c r="U1969" s="3" t="inlineStr">
        <is>
          <t>P JB Cold Soldering</t>
        </is>
      </c>
      <c r="V1969" s="3" t="inlineStr">
        <is>
          <t>Soldering</t>
        </is>
      </c>
      <c r="W1969" s="3" t="inlineStr">
        <is>
          <t>Repair</t>
        </is>
      </c>
      <c r="X1969" s="18" t="n">
        <v>46167</v>
      </c>
      <c r="Y1969" s="73">
        <f>IF(X1969="","",X1969-A1969)</f>
        <v/>
      </c>
      <c r="Z1969" s="18" t="n">
        <v>46167</v>
      </c>
      <c r="AA1969" s="15" t="n"/>
      <c r="AB1969" s="15" t="n"/>
      <c r="AF1969">
        <f>IF(AND($F1969="Closed",$X1969&gt;=DATE(2026,5,1),$X1969&lt;=DATE(2026,5,31)),"Closed in May","Other")</f>
        <v/>
      </c>
    </row>
    <row r="1970">
      <c r="A1970" s="59" t="n">
        <v>46148</v>
      </c>
      <c r="B1970" s="3" t="n">
        <v>2026</v>
      </c>
      <c r="C1970" s="21" t="inlineStr">
        <is>
          <t>Continuum</t>
        </is>
      </c>
      <c r="D1970" s="3" t="inlineStr">
        <is>
          <t>Utility and C&amp;I</t>
        </is>
      </c>
      <c r="E1970" s="3" t="n"/>
      <c r="F1970" s="3" t="inlineStr">
        <is>
          <t>Closed</t>
        </is>
      </c>
      <c r="G1970" s="21" t="inlineStr">
        <is>
          <t>Amiya Ranjan Behera</t>
        </is>
      </c>
      <c r="H1970" s="21" t="n">
        <v>8917436223</v>
      </c>
      <c r="I1970" s="38" t="inlineStr">
        <is>
          <t>PE06052602</t>
        </is>
      </c>
      <c r="J1970" s="21" t="inlineStr">
        <is>
          <t>Diode Bypass Module Issue</t>
        </is>
      </c>
      <c r="K1970" s="21" t="inlineStr">
        <is>
          <t>Bhavnagar</t>
        </is>
      </c>
      <c r="L1970" s="21" t="inlineStr">
        <is>
          <t>Gujarat</t>
        </is>
      </c>
      <c r="M1970" s="9" t="inlineStr">
        <is>
          <t>NS</t>
        </is>
      </c>
      <c r="N1970" s="26" t="inlineStr">
        <is>
          <t>Cold Soldering</t>
        </is>
      </c>
      <c r="O1970" s="60" t="n">
        <v>540</v>
      </c>
      <c r="P1970" s="9" t="inlineStr">
        <is>
          <t>NSMP2304043855</t>
        </is>
      </c>
      <c r="Q1970" s="53">
        <f>MID(P1970,5,2)</f>
        <v/>
      </c>
      <c r="R1970" s="53">
        <f>MID(P1970,7,2)</f>
        <v/>
      </c>
      <c r="S1970" s="3" t="inlineStr">
        <is>
          <t>G2B</t>
        </is>
      </c>
      <c r="T1970" s="3" t="inlineStr">
        <is>
          <t>P2</t>
        </is>
      </c>
      <c r="U1970" s="19" t="inlineStr">
        <is>
          <t>N JB Cold Soldering</t>
        </is>
      </c>
      <c r="V1970" s="19" t="inlineStr">
        <is>
          <t>Soldering</t>
        </is>
      </c>
      <c r="W1970" s="3" t="inlineStr">
        <is>
          <t>Repair</t>
        </is>
      </c>
      <c r="X1970" s="18" t="n">
        <v>46167</v>
      </c>
      <c r="Y1970" s="73">
        <f>IF(X1970="","",X1970-A1970)</f>
        <v/>
      </c>
      <c r="Z1970" s="18" t="n">
        <v>46167</v>
      </c>
      <c r="AA1970" s="15" t="n"/>
      <c r="AB1970" s="15" t="n"/>
      <c r="AF1970">
        <f>IF(AND($F1970="Closed",$X1970&gt;=DATE(2026,5,1),$X1970&lt;=DATE(2026,5,31)),"Closed in May","Other")</f>
        <v/>
      </c>
    </row>
    <row r="1971">
      <c r="A1971" s="59" t="n">
        <v>46148</v>
      </c>
      <c r="B1971" s="3" t="n">
        <v>2026</v>
      </c>
      <c r="C1971" s="21" t="inlineStr">
        <is>
          <t>Continuum</t>
        </is>
      </c>
      <c r="D1971" s="3" t="inlineStr">
        <is>
          <t>Utility and C&amp;I</t>
        </is>
      </c>
      <c r="E1971" s="3" t="n"/>
      <c r="F1971" s="3" t="inlineStr">
        <is>
          <t>Closed</t>
        </is>
      </c>
      <c r="G1971" s="21" t="inlineStr">
        <is>
          <t>Amiya Ranjan Behera</t>
        </is>
      </c>
      <c r="H1971" s="21" t="n">
        <v>8917436223</v>
      </c>
      <c r="I1971" s="38" t="inlineStr">
        <is>
          <t>PE06052602</t>
        </is>
      </c>
      <c r="J1971" s="21" t="inlineStr">
        <is>
          <t>Diode Bypass Module Issue</t>
        </is>
      </c>
      <c r="K1971" s="21" t="inlineStr">
        <is>
          <t>Bhavnagar</t>
        </is>
      </c>
      <c r="L1971" s="21" t="inlineStr">
        <is>
          <t>Gujarat</t>
        </is>
      </c>
      <c r="M1971" s="9" t="inlineStr">
        <is>
          <t>PR</t>
        </is>
      </c>
      <c r="N1971" s="3" t="inlineStr">
        <is>
          <t>JB Issue</t>
        </is>
      </c>
      <c r="O1971" s="60" t="n">
        <v>540</v>
      </c>
      <c r="P1971" s="9" t="inlineStr">
        <is>
          <t>NSMP2304068806</t>
        </is>
      </c>
      <c r="Q1971" s="53">
        <f>MID(P1971,5,2)</f>
        <v/>
      </c>
      <c r="R1971" s="53">
        <f>MID(P1971,7,2)</f>
        <v/>
      </c>
      <c r="S1971" s="3" t="inlineStr">
        <is>
          <t>G2B</t>
        </is>
      </c>
      <c r="T1971" s="3" t="inlineStr">
        <is>
          <t>P2</t>
        </is>
      </c>
      <c r="U1971" s="3" t="inlineStr">
        <is>
          <t>P JB Issue</t>
        </is>
      </c>
      <c r="V1971" s="15" t="inlineStr">
        <is>
          <t>JB Changed</t>
        </is>
      </c>
      <c r="W1971" s="3" t="inlineStr">
        <is>
          <t>Repair</t>
        </is>
      </c>
      <c r="X1971" s="18" t="n">
        <v>46167</v>
      </c>
      <c r="Y1971" s="73">
        <f>IF(X1971="","",X1971-A1971)</f>
        <v/>
      </c>
      <c r="Z1971" s="18" t="n">
        <v>46167</v>
      </c>
      <c r="AA1971" s="15" t="n"/>
      <c r="AB1971" s="15" t="n"/>
      <c r="AF1971">
        <f>IF(AND($F1971="Closed",$X1971&gt;=DATE(2026,5,1),$X1971&lt;=DATE(2026,5,31)),"Closed in May","Other")</f>
        <v/>
      </c>
    </row>
    <row r="1972">
      <c r="A1972" s="59" t="n">
        <v>46148</v>
      </c>
      <c r="B1972" s="3" t="n">
        <v>2026</v>
      </c>
      <c r="C1972" s="21" t="inlineStr">
        <is>
          <t>Continuum</t>
        </is>
      </c>
      <c r="D1972" s="3" t="inlineStr">
        <is>
          <t>Utility and C&amp;I</t>
        </is>
      </c>
      <c r="E1972" s="3" t="n"/>
      <c r="F1972" s="3" t="inlineStr">
        <is>
          <t>Closed</t>
        </is>
      </c>
      <c r="G1972" s="21" t="inlineStr">
        <is>
          <t>Amiya Ranjan Behera</t>
        </is>
      </c>
      <c r="H1972" s="21" t="n">
        <v>8917436223</v>
      </c>
      <c r="I1972" s="38" t="inlineStr">
        <is>
          <t>PE06052602</t>
        </is>
      </c>
      <c r="J1972" s="21" t="inlineStr">
        <is>
          <t>Diode Bypass Module Issue</t>
        </is>
      </c>
      <c r="K1972" s="21" t="inlineStr">
        <is>
          <t>Bhavnagar</t>
        </is>
      </c>
      <c r="L1972" s="21" t="inlineStr">
        <is>
          <t>Gujarat</t>
        </is>
      </c>
      <c r="M1972" s="9" t="inlineStr">
        <is>
          <t>PS</t>
        </is>
      </c>
      <c r="N1972" s="3" t="inlineStr">
        <is>
          <t>Cold Soldering</t>
        </is>
      </c>
      <c r="O1972" s="60" t="n">
        <v>540</v>
      </c>
      <c r="P1972" s="9" t="inlineStr">
        <is>
          <t>NSMP2305191166</t>
        </is>
      </c>
      <c r="Q1972" s="53">
        <f>MID(P1972,5,2)</f>
        <v/>
      </c>
      <c r="R1972" s="53">
        <f>MID(P1972,7,2)</f>
        <v/>
      </c>
      <c r="S1972" s="3" t="inlineStr">
        <is>
          <t>G2B</t>
        </is>
      </c>
      <c r="T1972" s="3" t="inlineStr">
        <is>
          <t>P2</t>
        </is>
      </c>
      <c r="U1972" s="3" t="inlineStr">
        <is>
          <t>P JB Cold Soldering</t>
        </is>
      </c>
      <c r="V1972" s="3" t="inlineStr">
        <is>
          <t>Soldering</t>
        </is>
      </c>
      <c r="W1972" s="3" t="inlineStr">
        <is>
          <t>Repair</t>
        </is>
      </c>
      <c r="X1972" s="18" t="n">
        <v>46167</v>
      </c>
      <c r="Y1972" s="73">
        <f>IF(X1972="","",X1972-A1972)</f>
        <v/>
      </c>
      <c r="Z1972" s="18" t="n">
        <v>46167</v>
      </c>
      <c r="AA1972" s="15" t="n"/>
      <c r="AB1972" s="15" t="n"/>
      <c r="AF1972">
        <f>IF(AND($F1972="Closed",$X1972&gt;=DATE(2026,5,1),$X1972&lt;=DATE(2026,5,31)),"Closed in May","Other")</f>
        <v/>
      </c>
    </row>
    <row r="1973">
      <c r="A1973" s="59" t="n">
        <v>46148</v>
      </c>
      <c r="B1973" s="3" t="n">
        <v>2026</v>
      </c>
      <c r="C1973" s="21" t="inlineStr">
        <is>
          <t>Continuum</t>
        </is>
      </c>
      <c r="D1973" s="3" t="inlineStr">
        <is>
          <t>Utility and C&amp;I</t>
        </is>
      </c>
      <c r="E1973" s="3" t="n"/>
      <c r="F1973" s="3" t="inlineStr">
        <is>
          <t>Closed</t>
        </is>
      </c>
      <c r="G1973" s="21" t="inlineStr">
        <is>
          <t>Amiya Ranjan Behera</t>
        </is>
      </c>
      <c r="H1973" s="21" t="n">
        <v>8917436223</v>
      </c>
      <c r="I1973" s="38" t="inlineStr">
        <is>
          <t>PE06052602</t>
        </is>
      </c>
      <c r="J1973" s="21" t="inlineStr">
        <is>
          <t>Diode Bypass Module Issue</t>
        </is>
      </c>
      <c r="K1973" s="21" t="inlineStr">
        <is>
          <t>Bhavnagar</t>
        </is>
      </c>
      <c r="L1973" s="21" t="inlineStr">
        <is>
          <t>Gujarat</t>
        </is>
      </c>
      <c r="M1973" s="9" t="inlineStr">
        <is>
          <t>PS</t>
        </is>
      </c>
      <c r="N1973" s="3" t="inlineStr">
        <is>
          <t>Cold Soldering</t>
        </is>
      </c>
      <c r="O1973" s="60" t="n">
        <v>540</v>
      </c>
      <c r="P1973" s="9" t="inlineStr">
        <is>
          <t>NSMP2304075079</t>
        </is>
      </c>
      <c r="Q1973" s="53">
        <f>MID(P1973,5,2)</f>
        <v/>
      </c>
      <c r="R1973" s="53">
        <f>MID(P1973,7,2)</f>
        <v/>
      </c>
      <c r="S1973" s="3" t="inlineStr">
        <is>
          <t>G2B</t>
        </is>
      </c>
      <c r="T1973" s="3" t="inlineStr">
        <is>
          <t>P2</t>
        </is>
      </c>
      <c r="U1973" s="3" t="inlineStr">
        <is>
          <t>P JB Cold Soldering</t>
        </is>
      </c>
      <c r="V1973" s="3" t="inlineStr">
        <is>
          <t>Soldering</t>
        </is>
      </c>
      <c r="W1973" s="3" t="inlineStr">
        <is>
          <t>Repair</t>
        </is>
      </c>
      <c r="X1973" s="18" t="n">
        <v>46167</v>
      </c>
      <c r="Y1973" s="73">
        <f>IF(X1973="","",X1973-A1973)</f>
        <v/>
      </c>
      <c r="Z1973" s="18" t="n">
        <v>46167</v>
      </c>
      <c r="AA1973" s="15" t="n"/>
      <c r="AB1973" s="15" t="n"/>
      <c r="AF1973">
        <f>IF(AND($F1973="Closed",$X1973&gt;=DATE(2026,5,1),$X1973&lt;=DATE(2026,5,31)),"Closed in May","Other")</f>
        <v/>
      </c>
    </row>
    <row r="1974">
      <c r="A1974" s="59" t="n">
        <v>46148</v>
      </c>
      <c r="B1974" s="3" t="n">
        <v>2026</v>
      </c>
      <c r="C1974" s="21" t="inlineStr">
        <is>
          <t>Continuum</t>
        </is>
      </c>
      <c r="D1974" s="3" t="inlineStr">
        <is>
          <t>Utility and C&amp;I</t>
        </is>
      </c>
      <c r="E1974" s="3" t="n"/>
      <c r="F1974" s="3" t="inlineStr">
        <is>
          <t>Closed</t>
        </is>
      </c>
      <c r="G1974" s="21" t="inlineStr">
        <is>
          <t>Amiya Ranjan Behera</t>
        </is>
      </c>
      <c r="H1974" s="21" t="n">
        <v>8917436223</v>
      </c>
      <c r="I1974" s="38" t="inlineStr">
        <is>
          <t>PE06052602</t>
        </is>
      </c>
      <c r="J1974" s="21" t="inlineStr">
        <is>
          <t>Diode Bypass Module Issue</t>
        </is>
      </c>
      <c r="K1974" s="21" t="inlineStr">
        <is>
          <t>Bhavnagar</t>
        </is>
      </c>
      <c r="L1974" s="21" t="inlineStr">
        <is>
          <t>Gujarat</t>
        </is>
      </c>
      <c r="M1974" s="9" t="inlineStr">
        <is>
          <t>PS</t>
        </is>
      </c>
      <c r="N1974" s="3" t="inlineStr">
        <is>
          <t>Cold Soldering</t>
        </is>
      </c>
      <c r="O1974" s="60" t="n">
        <v>540</v>
      </c>
      <c r="P1974" s="9" t="inlineStr">
        <is>
          <t>NSMP2305191596</t>
        </is>
      </c>
      <c r="Q1974" s="53">
        <f>MID(P1974,5,2)</f>
        <v/>
      </c>
      <c r="R1974" s="53">
        <f>MID(P1974,7,2)</f>
        <v/>
      </c>
      <c r="S1974" s="3" t="inlineStr">
        <is>
          <t>G2B</t>
        </is>
      </c>
      <c r="T1974" s="3" t="inlineStr">
        <is>
          <t>P2</t>
        </is>
      </c>
      <c r="U1974" s="3" t="inlineStr">
        <is>
          <t>P JB Cold Soldering</t>
        </is>
      </c>
      <c r="V1974" s="3" t="inlineStr">
        <is>
          <t>Soldering</t>
        </is>
      </c>
      <c r="W1974" s="3" t="inlineStr">
        <is>
          <t>Repair</t>
        </is>
      </c>
      <c r="X1974" s="18" t="n">
        <v>46167</v>
      </c>
      <c r="Y1974" s="73">
        <f>IF(X1974="","",X1974-A1974)</f>
        <v/>
      </c>
      <c r="Z1974" s="18" t="n">
        <v>46167</v>
      </c>
      <c r="AA1974" s="15" t="n"/>
      <c r="AB1974" s="15" t="n"/>
      <c r="AF1974">
        <f>IF(AND($F1974="Closed",$X1974&gt;=DATE(2026,5,1),$X1974&lt;=DATE(2026,5,31)),"Closed in May","Other")</f>
        <v/>
      </c>
    </row>
    <row r="1975">
      <c r="A1975" s="59" t="n">
        <v>46148</v>
      </c>
      <c r="B1975" s="3" t="n">
        <v>2026</v>
      </c>
      <c r="C1975" s="21" t="inlineStr">
        <is>
          <t>Continuum</t>
        </is>
      </c>
      <c r="D1975" s="3" t="inlineStr">
        <is>
          <t>Utility and C&amp;I</t>
        </is>
      </c>
      <c r="E1975" s="3" t="n"/>
      <c r="F1975" s="3" t="inlineStr">
        <is>
          <t>Closed</t>
        </is>
      </c>
      <c r="G1975" s="21" t="inlineStr">
        <is>
          <t>Amiya Ranjan Behera</t>
        </is>
      </c>
      <c r="H1975" s="21" t="n">
        <v>8917436223</v>
      </c>
      <c r="I1975" s="38" t="inlineStr">
        <is>
          <t>PE06052602</t>
        </is>
      </c>
      <c r="J1975" s="21" t="inlineStr">
        <is>
          <t>Diode Bypass Module Issue</t>
        </is>
      </c>
      <c r="K1975" s="21" t="inlineStr">
        <is>
          <t>Bhavnagar</t>
        </is>
      </c>
      <c r="L1975" s="21" t="inlineStr">
        <is>
          <t>Gujarat</t>
        </is>
      </c>
      <c r="M1975" s="9" t="inlineStr">
        <is>
          <t>PS</t>
        </is>
      </c>
      <c r="N1975" s="3" t="inlineStr">
        <is>
          <t>Cold Soldering</t>
        </is>
      </c>
      <c r="O1975" s="60" t="n">
        <v>540</v>
      </c>
      <c r="P1975" s="9" t="inlineStr">
        <is>
          <t>NSMP2305191561</t>
        </is>
      </c>
      <c r="Q1975" s="53">
        <f>MID(P1975,5,2)</f>
        <v/>
      </c>
      <c r="R1975" s="53">
        <f>MID(P1975,7,2)</f>
        <v/>
      </c>
      <c r="S1975" s="3" t="inlineStr">
        <is>
          <t>G2B</t>
        </is>
      </c>
      <c r="T1975" s="3" t="inlineStr">
        <is>
          <t>P2</t>
        </is>
      </c>
      <c r="U1975" s="3" t="inlineStr">
        <is>
          <t>P JB Cold Soldering</t>
        </is>
      </c>
      <c r="V1975" s="3" t="inlineStr">
        <is>
          <t>Soldering</t>
        </is>
      </c>
      <c r="W1975" s="3" t="inlineStr">
        <is>
          <t>Repair</t>
        </is>
      </c>
      <c r="X1975" s="18" t="n">
        <v>46167</v>
      </c>
      <c r="Y1975" s="73">
        <f>IF(X1975="","",X1975-A1975)</f>
        <v/>
      </c>
      <c r="Z1975" s="18" t="n">
        <v>46167</v>
      </c>
      <c r="AA1975" s="15" t="n"/>
      <c r="AB1975" s="15" t="n"/>
      <c r="AF1975">
        <f>IF(AND($F1975="Closed",$X1975&gt;=DATE(2026,5,1),$X1975&lt;=DATE(2026,5,31)),"Closed in May","Other")</f>
        <v/>
      </c>
    </row>
    <row r="1976">
      <c r="A1976" s="59" t="n">
        <v>46148</v>
      </c>
      <c r="B1976" s="3" t="n">
        <v>2026</v>
      </c>
      <c r="C1976" s="21" t="inlineStr">
        <is>
          <t>Continuum</t>
        </is>
      </c>
      <c r="D1976" s="3" t="inlineStr">
        <is>
          <t>Utility and C&amp;I</t>
        </is>
      </c>
      <c r="E1976" s="3" t="n"/>
      <c r="F1976" s="3" t="inlineStr">
        <is>
          <t>Closed</t>
        </is>
      </c>
      <c r="G1976" s="21" t="inlineStr">
        <is>
          <t>Amiya Ranjan Behera</t>
        </is>
      </c>
      <c r="H1976" s="21" t="n">
        <v>8917436223</v>
      </c>
      <c r="I1976" s="38" t="inlineStr">
        <is>
          <t>PE06052602</t>
        </is>
      </c>
      <c r="J1976" s="21" t="inlineStr">
        <is>
          <t>Diode Bypass Module Issue</t>
        </is>
      </c>
      <c r="K1976" s="21" t="inlineStr">
        <is>
          <t>Bhavnagar</t>
        </is>
      </c>
      <c r="L1976" s="21" t="inlineStr">
        <is>
          <t>Gujarat</t>
        </is>
      </c>
      <c r="M1976" s="9" t="inlineStr">
        <is>
          <t>PS</t>
        </is>
      </c>
      <c r="N1976" s="3" t="inlineStr">
        <is>
          <t>Cold Soldering</t>
        </is>
      </c>
      <c r="O1976" s="60" t="n">
        <v>540</v>
      </c>
      <c r="P1976" s="9" t="inlineStr">
        <is>
          <t>NSMP2305191021</t>
        </is>
      </c>
      <c r="Q1976" s="53">
        <f>MID(P1976,5,2)</f>
        <v/>
      </c>
      <c r="R1976" s="53">
        <f>MID(P1976,7,2)</f>
        <v/>
      </c>
      <c r="S1976" s="3" t="inlineStr">
        <is>
          <t>G2B</t>
        </is>
      </c>
      <c r="T1976" s="3" t="inlineStr">
        <is>
          <t>P2</t>
        </is>
      </c>
      <c r="U1976" s="3" t="inlineStr">
        <is>
          <t>P JB Cold Soldering</t>
        </is>
      </c>
      <c r="V1976" s="3" t="inlineStr">
        <is>
          <t>Soldering</t>
        </is>
      </c>
      <c r="W1976" s="3" t="inlineStr">
        <is>
          <t>Repair</t>
        </is>
      </c>
      <c r="X1976" s="18" t="n">
        <v>46167</v>
      </c>
      <c r="Y1976" s="73">
        <f>IF(X1976="","",X1976-A1976)</f>
        <v/>
      </c>
      <c r="Z1976" s="18" t="n">
        <v>46167</v>
      </c>
      <c r="AA1976" s="15" t="n"/>
      <c r="AB1976" s="15" t="n"/>
      <c r="AF1976">
        <f>IF(AND($F1976="Closed",$X1976&gt;=DATE(2026,5,1),$X1976&lt;=DATE(2026,5,31)),"Closed in May","Other")</f>
        <v/>
      </c>
    </row>
    <row r="1977">
      <c r="A1977" s="59" t="n">
        <v>46148</v>
      </c>
      <c r="B1977" s="3" t="n">
        <v>2026</v>
      </c>
      <c r="C1977" s="21" t="inlineStr">
        <is>
          <t>Continuum</t>
        </is>
      </c>
      <c r="D1977" s="3" t="inlineStr">
        <is>
          <t>Utility and C&amp;I</t>
        </is>
      </c>
      <c r="E1977" s="3" t="n"/>
      <c r="F1977" s="3" t="inlineStr">
        <is>
          <t>Closed</t>
        </is>
      </c>
      <c r="G1977" s="21" t="inlineStr">
        <is>
          <t>Amiya Ranjan Behera</t>
        </is>
      </c>
      <c r="H1977" s="21" t="n">
        <v>8917436223</v>
      </c>
      <c r="I1977" s="38" t="inlineStr">
        <is>
          <t>PE06052602</t>
        </is>
      </c>
      <c r="J1977" s="21" t="inlineStr">
        <is>
          <t>Diode Bypass Module Issue</t>
        </is>
      </c>
      <c r="K1977" s="21" t="inlineStr">
        <is>
          <t>Bhavnagar</t>
        </is>
      </c>
      <c r="L1977" s="21" t="inlineStr">
        <is>
          <t>Gujarat</t>
        </is>
      </c>
      <c r="M1977" s="9" t="inlineStr">
        <is>
          <t>PS</t>
        </is>
      </c>
      <c r="N1977" s="3" t="inlineStr">
        <is>
          <t>Cold Soldering</t>
        </is>
      </c>
      <c r="O1977" s="60" t="n">
        <v>540</v>
      </c>
      <c r="P1977" s="9" t="inlineStr">
        <is>
          <t>NSMP2305191142</t>
        </is>
      </c>
      <c r="Q1977" s="53">
        <f>MID(P1977,5,2)</f>
        <v/>
      </c>
      <c r="R1977" s="53">
        <f>MID(P1977,7,2)</f>
        <v/>
      </c>
      <c r="S1977" s="3" t="inlineStr">
        <is>
          <t>G2B</t>
        </is>
      </c>
      <c r="T1977" s="3" t="inlineStr">
        <is>
          <t>P2</t>
        </is>
      </c>
      <c r="U1977" s="3" t="inlineStr">
        <is>
          <t>P JB Cold Soldering</t>
        </is>
      </c>
      <c r="V1977" s="3" t="inlineStr">
        <is>
          <t>Soldering</t>
        </is>
      </c>
      <c r="W1977" s="3" t="inlineStr">
        <is>
          <t>Repair</t>
        </is>
      </c>
      <c r="X1977" s="18" t="n">
        <v>46167</v>
      </c>
      <c r="Y1977" s="73">
        <f>IF(X1977="","",X1977-A1977)</f>
        <v/>
      </c>
      <c r="Z1977" s="18" t="n">
        <v>46167</v>
      </c>
      <c r="AA1977" s="15" t="n"/>
      <c r="AB1977" s="15" t="n"/>
      <c r="AF1977">
        <f>IF(AND($F1977="Closed",$X1977&gt;=DATE(2026,5,1),$X1977&lt;=DATE(2026,5,31)),"Closed in May","Other")</f>
        <v/>
      </c>
    </row>
    <row r="1978">
      <c r="A1978" s="59" t="n">
        <v>46148</v>
      </c>
      <c r="B1978" s="3" t="n">
        <v>2026</v>
      </c>
      <c r="C1978" s="21" t="inlineStr">
        <is>
          <t>Continuum</t>
        </is>
      </c>
      <c r="D1978" s="3" t="inlineStr">
        <is>
          <t>Utility and C&amp;I</t>
        </is>
      </c>
      <c r="E1978" s="3" t="n"/>
      <c r="F1978" s="3" t="inlineStr">
        <is>
          <t>Closed</t>
        </is>
      </c>
      <c r="G1978" s="21" t="inlineStr">
        <is>
          <t>Amiya Ranjan Behera</t>
        </is>
      </c>
      <c r="H1978" s="21" t="n">
        <v>8917436223</v>
      </c>
      <c r="I1978" s="38" t="inlineStr">
        <is>
          <t>PE06052602</t>
        </is>
      </c>
      <c r="J1978" s="21" t="inlineStr">
        <is>
          <t>Diode Bypass Module Issue</t>
        </is>
      </c>
      <c r="K1978" s="21" t="inlineStr">
        <is>
          <t>Bhavnagar</t>
        </is>
      </c>
      <c r="L1978" s="21" t="inlineStr">
        <is>
          <t>Gujarat</t>
        </is>
      </c>
      <c r="M1978" s="9" t="inlineStr">
        <is>
          <t>PS</t>
        </is>
      </c>
      <c r="N1978" s="3" t="inlineStr">
        <is>
          <t>Cold Soldering</t>
        </is>
      </c>
      <c r="O1978" s="60" t="n">
        <v>540</v>
      </c>
      <c r="P1978" s="9" t="inlineStr">
        <is>
          <t>NSMP2305191632</t>
        </is>
      </c>
      <c r="Q1978" s="53">
        <f>MID(P1978,5,2)</f>
        <v/>
      </c>
      <c r="R1978" s="53">
        <f>MID(P1978,7,2)</f>
        <v/>
      </c>
      <c r="S1978" s="3" t="inlineStr">
        <is>
          <t>G2B</t>
        </is>
      </c>
      <c r="T1978" s="3" t="inlineStr">
        <is>
          <t>P2</t>
        </is>
      </c>
      <c r="U1978" s="3" t="inlineStr">
        <is>
          <t>P JB Cold Soldering</t>
        </is>
      </c>
      <c r="V1978" s="3" t="inlineStr">
        <is>
          <t>Soldering</t>
        </is>
      </c>
      <c r="W1978" s="3" t="inlineStr">
        <is>
          <t>Repair</t>
        </is>
      </c>
      <c r="X1978" s="18" t="n">
        <v>46167</v>
      </c>
      <c r="Y1978" s="73">
        <f>IF(X1978="","",X1978-A1978)</f>
        <v/>
      </c>
      <c r="Z1978" s="18" t="n">
        <v>46167</v>
      </c>
      <c r="AA1978" s="15" t="n"/>
      <c r="AB1978" s="15" t="n"/>
      <c r="AF1978">
        <f>IF(AND($F1978="Closed",$X1978&gt;=DATE(2026,5,1),$X1978&lt;=DATE(2026,5,31)),"Closed in May","Other")</f>
        <v/>
      </c>
    </row>
    <row r="1979">
      <c r="A1979" s="59" t="n">
        <v>46148</v>
      </c>
      <c r="B1979" s="3" t="n">
        <v>2026</v>
      </c>
      <c r="C1979" s="21" t="inlineStr">
        <is>
          <t>Continuum</t>
        </is>
      </c>
      <c r="D1979" s="3" t="inlineStr">
        <is>
          <t>Utility and C&amp;I</t>
        </is>
      </c>
      <c r="E1979" s="3" t="n"/>
      <c r="F1979" s="3" t="inlineStr">
        <is>
          <t>Closed</t>
        </is>
      </c>
      <c r="G1979" s="21" t="inlineStr">
        <is>
          <t>Amiya Ranjan Behera</t>
        </is>
      </c>
      <c r="H1979" s="21" t="n">
        <v>8917436223</v>
      </c>
      <c r="I1979" s="38" t="inlineStr">
        <is>
          <t>PE06052602</t>
        </is>
      </c>
      <c r="J1979" s="21" t="inlineStr">
        <is>
          <t>Diode Bypass Module Issue</t>
        </is>
      </c>
      <c r="K1979" s="21" t="inlineStr">
        <is>
          <t>Bhavnagar</t>
        </is>
      </c>
      <c r="L1979" s="21" t="inlineStr">
        <is>
          <t>Gujarat</t>
        </is>
      </c>
      <c r="M1979" s="9" t="inlineStr">
        <is>
          <t>PS</t>
        </is>
      </c>
      <c r="N1979" s="3" t="inlineStr">
        <is>
          <t>Cold Soldering</t>
        </is>
      </c>
      <c r="O1979" s="60" t="n">
        <v>540</v>
      </c>
      <c r="P1979" s="9" t="inlineStr">
        <is>
          <t>NSMP2305190420</t>
        </is>
      </c>
      <c r="Q1979" s="53">
        <f>MID(P1979,5,2)</f>
        <v/>
      </c>
      <c r="R1979" s="53">
        <f>MID(P1979,7,2)</f>
        <v/>
      </c>
      <c r="S1979" s="3" t="inlineStr">
        <is>
          <t>G2B</t>
        </is>
      </c>
      <c r="T1979" s="3" t="inlineStr">
        <is>
          <t>P2</t>
        </is>
      </c>
      <c r="U1979" s="3" t="inlineStr">
        <is>
          <t>P JB Cold Soldering</t>
        </is>
      </c>
      <c r="V1979" s="3" t="inlineStr">
        <is>
          <t>Soldering</t>
        </is>
      </c>
      <c r="W1979" s="3" t="inlineStr">
        <is>
          <t>Repair</t>
        </is>
      </c>
      <c r="X1979" s="18" t="n">
        <v>46167</v>
      </c>
      <c r="Y1979" s="73">
        <f>IF(X1979="","",X1979-A1979)</f>
        <v/>
      </c>
      <c r="Z1979" s="18" t="n">
        <v>46167</v>
      </c>
      <c r="AA1979" s="15" t="n"/>
      <c r="AB1979" s="15" t="n"/>
      <c r="AF1979">
        <f>IF(AND($F1979="Closed",$X1979&gt;=DATE(2026,5,1),$X1979&lt;=DATE(2026,5,31)),"Closed in May","Other")</f>
        <v/>
      </c>
    </row>
    <row r="1980">
      <c r="A1980" s="59" t="n">
        <v>46148</v>
      </c>
      <c r="B1980" s="3" t="n">
        <v>2026</v>
      </c>
      <c r="C1980" s="21" t="inlineStr">
        <is>
          <t>Continuum</t>
        </is>
      </c>
      <c r="D1980" s="3" t="inlineStr">
        <is>
          <t>Utility and C&amp;I</t>
        </is>
      </c>
      <c r="E1980" s="3" t="n"/>
      <c r="F1980" s="3" t="inlineStr">
        <is>
          <t>Closed</t>
        </is>
      </c>
      <c r="G1980" s="21" t="inlineStr">
        <is>
          <t>Amiya Ranjan Behera</t>
        </is>
      </c>
      <c r="H1980" s="21" t="n">
        <v>8917436223</v>
      </c>
      <c r="I1980" s="38" t="inlineStr">
        <is>
          <t>PE06052602</t>
        </is>
      </c>
      <c r="J1980" s="21" t="inlineStr">
        <is>
          <t>Diode Bypass Module Issue</t>
        </is>
      </c>
      <c r="K1980" s="21" t="inlineStr">
        <is>
          <t>Bhavnagar</t>
        </is>
      </c>
      <c r="L1980" s="21" t="inlineStr">
        <is>
          <t>Gujarat</t>
        </is>
      </c>
      <c r="M1980" s="9" t="inlineStr">
        <is>
          <t>PS</t>
        </is>
      </c>
      <c r="N1980" s="3" t="inlineStr">
        <is>
          <t>Cold Soldering</t>
        </is>
      </c>
      <c r="O1980" s="60" t="n">
        <v>540</v>
      </c>
      <c r="P1980" s="9" t="inlineStr">
        <is>
          <t>NSMP2305191600</t>
        </is>
      </c>
      <c r="Q1980" s="53">
        <f>MID(P1980,5,2)</f>
        <v/>
      </c>
      <c r="R1980" s="53">
        <f>MID(P1980,7,2)</f>
        <v/>
      </c>
      <c r="S1980" s="3" t="inlineStr">
        <is>
          <t>G2B</t>
        </is>
      </c>
      <c r="T1980" s="3" t="inlineStr">
        <is>
          <t>P2</t>
        </is>
      </c>
      <c r="U1980" s="3" t="inlineStr">
        <is>
          <t>P JB Cold Soldering</t>
        </is>
      </c>
      <c r="V1980" s="3" t="inlineStr">
        <is>
          <t>Soldering</t>
        </is>
      </c>
      <c r="W1980" s="3" t="inlineStr">
        <is>
          <t>Repair</t>
        </is>
      </c>
      <c r="X1980" s="18" t="n">
        <v>46167</v>
      </c>
      <c r="Y1980" s="73">
        <f>IF(X1980="","",X1980-A1980)</f>
        <v/>
      </c>
      <c r="Z1980" s="18" t="n">
        <v>46167</v>
      </c>
      <c r="AA1980" s="15" t="n"/>
      <c r="AB1980" s="15" t="n"/>
      <c r="AF1980">
        <f>IF(AND($F1980="Closed",$X1980&gt;=DATE(2026,5,1),$X1980&lt;=DATE(2026,5,31)),"Closed in May","Other")</f>
        <v/>
      </c>
    </row>
    <row r="1981">
      <c r="A1981" s="59" t="n">
        <v>46148</v>
      </c>
      <c r="B1981" s="3" t="n">
        <v>2026</v>
      </c>
      <c r="C1981" s="21" t="inlineStr">
        <is>
          <t>Continuum</t>
        </is>
      </c>
      <c r="D1981" s="3" t="inlineStr">
        <is>
          <t>Utility and C&amp;I</t>
        </is>
      </c>
      <c r="E1981" s="3" t="n"/>
      <c r="F1981" s="3" t="inlineStr">
        <is>
          <t>Closed</t>
        </is>
      </c>
      <c r="G1981" s="21" t="inlineStr">
        <is>
          <t>Amiya Ranjan Behera</t>
        </is>
      </c>
      <c r="H1981" s="21" t="n">
        <v>8917436223</v>
      </c>
      <c r="I1981" s="38" t="inlineStr">
        <is>
          <t>PE06052602</t>
        </is>
      </c>
      <c r="J1981" s="21" t="inlineStr">
        <is>
          <t>Diode Bypass Module Issue</t>
        </is>
      </c>
      <c r="K1981" s="21" t="inlineStr">
        <is>
          <t>Bhavnagar</t>
        </is>
      </c>
      <c r="L1981" s="21" t="inlineStr">
        <is>
          <t>Gujarat</t>
        </is>
      </c>
      <c r="M1981" s="9" t="inlineStr">
        <is>
          <t>PS</t>
        </is>
      </c>
      <c r="N1981" s="3" t="inlineStr">
        <is>
          <t>Cold Soldering</t>
        </is>
      </c>
      <c r="O1981" s="60" t="n">
        <v>540</v>
      </c>
      <c r="P1981" s="9" t="inlineStr">
        <is>
          <t>NSMP2305190389</t>
        </is>
      </c>
      <c r="Q1981" s="53">
        <f>MID(P1981,5,2)</f>
        <v/>
      </c>
      <c r="R1981" s="53">
        <f>MID(P1981,7,2)</f>
        <v/>
      </c>
      <c r="S1981" s="3" t="inlineStr">
        <is>
          <t>G2B</t>
        </is>
      </c>
      <c r="T1981" s="3" t="inlineStr">
        <is>
          <t>P2</t>
        </is>
      </c>
      <c r="U1981" s="3" t="inlineStr">
        <is>
          <t>P JB Cold Soldering</t>
        </is>
      </c>
      <c r="V1981" s="3" t="inlineStr">
        <is>
          <t>Soldering</t>
        </is>
      </c>
      <c r="W1981" s="3" t="inlineStr">
        <is>
          <t>Repair</t>
        </is>
      </c>
      <c r="X1981" s="18" t="n">
        <v>46167</v>
      </c>
      <c r="Y1981" s="73">
        <f>IF(X1981="","",X1981-A1981)</f>
        <v/>
      </c>
      <c r="Z1981" s="18" t="n">
        <v>46167</v>
      </c>
      <c r="AA1981" s="15" t="n"/>
      <c r="AB1981" s="15" t="n"/>
      <c r="AF1981">
        <f>IF(AND($F1981="Closed",$X1981&gt;=DATE(2026,5,1),$X1981&lt;=DATE(2026,5,31)),"Closed in May","Other")</f>
        <v/>
      </c>
    </row>
    <row r="1982">
      <c r="A1982" s="59" t="n">
        <v>46148</v>
      </c>
      <c r="B1982" s="3" t="n">
        <v>2026</v>
      </c>
      <c r="C1982" s="21" t="inlineStr">
        <is>
          <t>Continuum</t>
        </is>
      </c>
      <c r="D1982" s="3" t="inlineStr">
        <is>
          <t>Utility and C&amp;I</t>
        </is>
      </c>
      <c r="E1982" s="3" t="n"/>
      <c r="F1982" s="3" t="inlineStr">
        <is>
          <t>Closed</t>
        </is>
      </c>
      <c r="G1982" s="21" t="inlineStr">
        <is>
          <t>Amiya Ranjan Behera</t>
        </is>
      </c>
      <c r="H1982" s="21" t="n">
        <v>8917436223</v>
      </c>
      <c r="I1982" s="38" t="inlineStr">
        <is>
          <t>PE06052602</t>
        </is>
      </c>
      <c r="J1982" s="21" t="inlineStr">
        <is>
          <t>Diode Bypass Module Issue</t>
        </is>
      </c>
      <c r="K1982" s="21" t="inlineStr">
        <is>
          <t>Bhavnagar</t>
        </is>
      </c>
      <c r="L1982" s="21" t="inlineStr">
        <is>
          <t>Gujarat</t>
        </is>
      </c>
      <c r="M1982" s="9" t="inlineStr">
        <is>
          <t>PS</t>
        </is>
      </c>
      <c r="N1982" s="3" t="inlineStr">
        <is>
          <t>Cold Soldering</t>
        </is>
      </c>
      <c r="O1982" s="60" t="n">
        <v>540</v>
      </c>
      <c r="P1982" s="9" t="inlineStr">
        <is>
          <t>NSMP2304039178</t>
        </is>
      </c>
      <c r="Q1982" s="53">
        <f>MID(P1982,5,2)</f>
        <v/>
      </c>
      <c r="R1982" s="53">
        <f>MID(P1982,7,2)</f>
        <v/>
      </c>
      <c r="S1982" s="3" t="inlineStr">
        <is>
          <t>G2B</t>
        </is>
      </c>
      <c r="T1982" s="3" t="inlineStr">
        <is>
          <t>P2</t>
        </is>
      </c>
      <c r="U1982" s="3" t="inlineStr">
        <is>
          <t>P JB Cold Soldering</t>
        </is>
      </c>
      <c r="V1982" s="3" t="inlineStr">
        <is>
          <t>Soldering</t>
        </is>
      </c>
      <c r="W1982" s="3" t="inlineStr">
        <is>
          <t>Repair</t>
        </is>
      </c>
      <c r="X1982" s="18" t="n">
        <v>46167</v>
      </c>
      <c r="Y1982" s="73">
        <f>IF(X1982="","",X1982-A1982)</f>
        <v/>
      </c>
      <c r="Z1982" s="18" t="n">
        <v>46167</v>
      </c>
      <c r="AA1982" s="15" t="n"/>
      <c r="AB1982" s="15" t="n"/>
      <c r="AF1982">
        <f>IF(AND($F1982="Closed",$X1982&gt;=DATE(2026,5,1),$X1982&lt;=DATE(2026,5,31)),"Closed in May","Other")</f>
        <v/>
      </c>
    </row>
    <row r="1983">
      <c r="A1983" s="59" t="n">
        <v>46148</v>
      </c>
      <c r="B1983" s="3" t="n">
        <v>2026</v>
      </c>
      <c r="C1983" s="21" t="inlineStr">
        <is>
          <t>Continuum</t>
        </is>
      </c>
      <c r="D1983" s="3" t="inlineStr">
        <is>
          <t>Utility and C&amp;I</t>
        </is>
      </c>
      <c r="E1983" s="3" t="n"/>
      <c r="F1983" s="3" t="inlineStr">
        <is>
          <t>Closed</t>
        </is>
      </c>
      <c r="G1983" s="21" t="inlineStr">
        <is>
          <t>Amiya Ranjan Behera</t>
        </is>
      </c>
      <c r="H1983" s="21" t="n">
        <v>8917436223</v>
      </c>
      <c r="I1983" s="38" t="inlineStr">
        <is>
          <t>PE06052602</t>
        </is>
      </c>
      <c r="J1983" s="21" t="inlineStr">
        <is>
          <t>Diode Bypass Module Issue</t>
        </is>
      </c>
      <c r="K1983" s="21" t="inlineStr">
        <is>
          <t>Bhavnagar</t>
        </is>
      </c>
      <c r="L1983" s="21" t="inlineStr">
        <is>
          <t>Gujarat</t>
        </is>
      </c>
      <c r="M1983" s="9" t="inlineStr">
        <is>
          <t>PS</t>
        </is>
      </c>
      <c r="N1983" s="3" t="inlineStr">
        <is>
          <t>Cold Soldering</t>
        </is>
      </c>
      <c r="O1983" s="60" t="n">
        <v>540</v>
      </c>
      <c r="P1983" s="9" t="inlineStr">
        <is>
          <t>NSMP2304039174</t>
        </is>
      </c>
      <c r="Q1983" s="53">
        <f>MID(P1983,5,2)</f>
        <v/>
      </c>
      <c r="R1983" s="53">
        <f>MID(P1983,7,2)</f>
        <v/>
      </c>
      <c r="S1983" s="3" t="inlineStr">
        <is>
          <t>G2B</t>
        </is>
      </c>
      <c r="T1983" s="3" t="inlineStr">
        <is>
          <t>P2</t>
        </is>
      </c>
      <c r="U1983" s="3" t="inlineStr">
        <is>
          <t>P JB Cold Soldering</t>
        </is>
      </c>
      <c r="V1983" s="3" t="inlineStr">
        <is>
          <t>Soldering</t>
        </is>
      </c>
      <c r="W1983" s="3" t="inlineStr">
        <is>
          <t>Repair</t>
        </is>
      </c>
      <c r="X1983" s="18" t="n">
        <v>46167</v>
      </c>
      <c r="Y1983" s="73">
        <f>IF(X1983="","",X1983-A1983)</f>
        <v/>
      </c>
      <c r="Z1983" s="18" t="n">
        <v>46167</v>
      </c>
      <c r="AA1983" s="15" t="n"/>
      <c r="AB1983" s="15" t="n"/>
      <c r="AF1983">
        <f>IF(AND($F1983="Closed",$X1983&gt;=DATE(2026,5,1),$X1983&lt;=DATE(2026,5,31)),"Closed in May","Other")</f>
        <v/>
      </c>
    </row>
    <row r="1984">
      <c r="A1984" s="59" t="n">
        <v>46148</v>
      </c>
      <c r="B1984" s="3" t="n">
        <v>2026</v>
      </c>
      <c r="C1984" s="21" t="inlineStr">
        <is>
          <t>Continuum</t>
        </is>
      </c>
      <c r="D1984" s="3" t="inlineStr">
        <is>
          <t>Utility and C&amp;I</t>
        </is>
      </c>
      <c r="E1984" s="3" t="n"/>
      <c r="F1984" s="3" t="inlineStr">
        <is>
          <t>Closed</t>
        </is>
      </c>
      <c r="G1984" s="21" t="inlineStr">
        <is>
          <t>Amiya Ranjan Behera</t>
        </is>
      </c>
      <c r="H1984" s="21" t="n">
        <v>8917436223</v>
      </c>
      <c r="I1984" s="38" t="inlineStr">
        <is>
          <t>PE06052602</t>
        </is>
      </c>
      <c r="J1984" s="21" t="inlineStr">
        <is>
          <t>Diode Bypass Module Issue</t>
        </is>
      </c>
      <c r="K1984" s="21" t="inlineStr">
        <is>
          <t>Bhavnagar</t>
        </is>
      </c>
      <c r="L1984" s="21" t="inlineStr">
        <is>
          <t>Gujarat</t>
        </is>
      </c>
      <c r="M1984" s="9" t="inlineStr">
        <is>
          <t>PS</t>
        </is>
      </c>
      <c r="N1984" s="3" t="inlineStr">
        <is>
          <t>Cold Soldering</t>
        </is>
      </c>
      <c r="O1984" s="60" t="n">
        <v>540</v>
      </c>
      <c r="P1984" s="9" t="inlineStr">
        <is>
          <t>NSMP2304036762</t>
        </is>
      </c>
      <c r="Q1984" s="53">
        <f>MID(P1984,5,2)</f>
        <v/>
      </c>
      <c r="R1984" s="53">
        <f>MID(P1984,7,2)</f>
        <v/>
      </c>
      <c r="S1984" s="3" t="inlineStr">
        <is>
          <t>G2B</t>
        </is>
      </c>
      <c r="T1984" s="3" t="inlineStr">
        <is>
          <t>P2</t>
        </is>
      </c>
      <c r="U1984" s="3" t="inlineStr">
        <is>
          <t>P JB Cold Soldering</t>
        </is>
      </c>
      <c r="V1984" s="3" t="inlineStr">
        <is>
          <t>Soldering</t>
        </is>
      </c>
      <c r="W1984" s="3" t="inlineStr">
        <is>
          <t>Repair</t>
        </is>
      </c>
      <c r="X1984" s="18" t="n">
        <v>46167</v>
      </c>
      <c r="Y1984" s="73">
        <f>IF(X1984="","",X1984-A1984)</f>
        <v/>
      </c>
      <c r="Z1984" s="18" t="n">
        <v>46167</v>
      </c>
      <c r="AA1984" s="15" t="n"/>
      <c r="AB1984" s="15" t="n"/>
      <c r="AF1984">
        <f>IF(AND($F1984="Closed",$X1984&gt;=DATE(2026,5,1),$X1984&lt;=DATE(2026,5,31)),"Closed in May","Other")</f>
        <v/>
      </c>
    </row>
    <row r="1985">
      <c r="A1985" s="59" t="n">
        <v>46148</v>
      </c>
      <c r="B1985" s="3" t="n">
        <v>2026</v>
      </c>
      <c r="C1985" s="21" t="inlineStr">
        <is>
          <t>Continuum</t>
        </is>
      </c>
      <c r="D1985" s="3" t="inlineStr">
        <is>
          <t>Utility and C&amp;I</t>
        </is>
      </c>
      <c r="E1985" s="3" t="n"/>
      <c r="F1985" s="3" t="inlineStr">
        <is>
          <t>Closed</t>
        </is>
      </c>
      <c r="G1985" s="21" t="inlineStr">
        <is>
          <t>Amiya Ranjan Behera</t>
        </is>
      </c>
      <c r="H1985" s="21" t="n">
        <v>8917436223</v>
      </c>
      <c r="I1985" s="38" t="inlineStr">
        <is>
          <t>PE06052602</t>
        </is>
      </c>
      <c r="J1985" s="21" t="inlineStr">
        <is>
          <t>Diode Bypass Module Issue</t>
        </is>
      </c>
      <c r="K1985" s="21" t="inlineStr">
        <is>
          <t>Bhavnagar</t>
        </is>
      </c>
      <c r="L1985" s="21" t="inlineStr">
        <is>
          <t>Gujarat</t>
        </is>
      </c>
      <c r="M1985" s="9" t="inlineStr">
        <is>
          <t>PS</t>
        </is>
      </c>
      <c r="N1985" s="3" t="inlineStr">
        <is>
          <t>Cold Soldering</t>
        </is>
      </c>
      <c r="O1985" s="60" t="n">
        <v>540</v>
      </c>
      <c r="P1985" s="9" t="inlineStr">
        <is>
          <t>NSMP2304068445</t>
        </is>
      </c>
      <c r="Q1985" s="53">
        <f>MID(P1985,5,2)</f>
        <v/>
      </c>
      <c r="R1985" s="53">
        <f>MID(P1985,7,2)</f>
        <v/>
      </c>
      <c r="S1985" s="3" t="inlineStr">
        <is>
          <t>G2B</t>
        </is>
      </c>
      <c r="T1985" s="3" t="inlineStr">
        <is>
          <t>P2</t>
        </is>
      </c>
      <c r="U1985" s="3" t="inlineStr">
        <is>
          <t>P JB Cold Soldering</t>
        </is>
      </c>
      <c r="V1985" s="3" t="inlineStr">
        <is>
          <t>Soldering</t>
        </is>
      </c>
      <c r="W1985" s="3" t="inlineStr">
        <is>
          <t>Repair</t>
        </is>
      </c>
      <c r="X1985" s="18" t="n">
        <v>46167</v>
      </c>
      <c r="Y1985" s="73">
        <f>IF(X1985="","",X1985-A1985)</f>
        <v/>
      </c>
      <c r="Z1985" s="18" t="n">
        <v>46167</v>
      </c>
      <c r="AA1985" s="15" t="n"/>
      <c r="AB1985" s="15" t="n"/>
      <c r="AF1985">
        <f>IF(AND($F1985="Closed",$X1985&gt;=DATE(2026,5,1),$X1985&lt;=DATE(2026,5,31)),"Closed in May","Other")</f>
        <v/>
      </c>
    </row>
    <row r="1986">
      <c r="A1986" s="59" t="n">
        <v>46148</v>
      </c>
      <c r="B1986" s="3" t="n">
        <v>2026</v>
      </c>
      <c r="C1986" s="21" t="inlineStr">
        <is>
          <t>Continuum</t>
        </is>
      </c>
      <c r="D1986" s="3" t="inlineStr">
        <is>
          <t>Utility and C&amp;I</t>
        </is>
      </c>
      <c r="E1986" s="3" t="n"/>
      <c r="F1986" s="3" t="inlineStr">
        <is>
          <t>Closed</t>
        </is>
      </c>
      <c r="G1986" s="21" t="inlineStr">
        <is>
          <t>Amiya Ranjan Behera</t>
        </is>
      </c>
      <c r="H1986" s="21" t="n">
        <v>8917436223</v>
      </c>
      <c r="I1986" s="38" t="inlineStr">
        <is>
          <t>PE06052602</t>
        </is>
      </c>
      <c r="J1986" s="21" t="inlineStr">
        <is>
          <t>Diode Bypass Module Issue</t>
        </is>
      </c>
      <c r="K1986" s="21" t="inlineStr">
        <is>
          <t>Bhavnagar</t>
        </is>
      </c>
      <c r="L1986" s="21" t="inlineStr">
        <is>
          <t>Gujarat</t>
        </is>
      </c>
      <c r="M1986" s="9" t="inlineStr">
        <is>
          <t>PR</t>
        </is>
      </c>
      <c r="N1986" s="3" t="inlineStr">
        <is>
          <t>JB Issue</t>
        </is>
      </c>
      <c r="O1986" s="60" t="n">
        <v>540</v>
      </c>
      <c r="P1986" s="9" t="inlineStr">
        <is>
          <t>NSMP2304077394</t>
        </is>
      </c>
      <c r="Q1986" s="53">
        <f>MID(P1986,5,2)</f>
        <v/>
      </c>
      <c r="R1986" s="53">
        <f>MID(P1986,7,2)</f>
        <v/>
      </c>
      <c r="S1986" s="3" t="inlineStr">
        <is>
          <t>G2B</t>
        </is>
      </c>
      <c r="T1986" s="3" t="inlineStr">
        <is>
          <t>P2</t>
        </is>
      </c>
      <c r="U1986" s="3" t="inlineStr">
        <is>
          <t>P JB Issue</t>
        </is>
      </c>
      <c r="V1986" s="15" t="inlineStr">
        <is>
          <t>JB Changed</t>
        </is>
      </c>
      <c r="W1986" s="3" t="inlineStr">
        <is>
          <t>Repair</t>
        </is>
      </c>
      <c r="X1986" s="18" t="n">
        <v>46167</v>
      </c>
      <c r="Y1986" s="73">
        <f>IF(X1986="","",X1986-A1986)</f>
        <v/>
      </c>
      <c r="Z1986" s="18" t="n">
        <v>46167</v>
      </c>
      <c r="AA1986" s="15" t="n"/>
      <c r="AB1986" s="15" t="n"/>
      <c r="AF1986">
        <f>IF(AND($F1986="Closed",$X1986&gt;=DATE(2026,5,1),$X1986&lt;=DATE(2026,5,31)),"Closed in May","Other")</f>
        <v/>
      </c>
    </row>
    <row r="1987">
      <c r="A1987" s="59" t="n">
        <v>46148</v>
      </c>
      <c r="B1987" s="3" t="n">
        <v>2026</v>
      </c>
      <c r="C1987" s="21" t="inlineStr">
        <is>
          <t>Continuum</t>
        </is>
      </c>
      <c r="D1987" s="3" t="inlineStr">
        <is>
          <t>Utility and C&amp;I</t>
        </is>
      </c>
      <c r="E1987" s="3" t="n"/>
      <c r="F1987" s="3" t="inlineStr">
        <is>
          <t>Closed</t>
        </is>
      </c>
      <c r="G1987" s="21" t="inlineStr">
        <is>
          <t>Amiya Ranjan Behera</t>
        </is>
      </c>
      <c r="H1987" s="21" t="n">
        <v>8917436223</v>
      </c>
      <c r="I1987" s="38" t="inlineStr">
        <is>
          <t>PE06052602</t>
        </is>
      </c>
      <c r="J1987" s="21" t="inlineStr">
        <is>
          <t>Diode Bypass Module Issue</t>
        </is>
      </c>
      <c r="K1987" s="21" t="inlineStr">
        <is>
          <t>Bhavnagar</t>
        </is>
      </c>
      <c r="L1987" s="21" t="inlineStr">
        <is>
          <t>Gujarat</t>
        </is>
      </c>
      <c r="M1987" s="9" t="inlineStr">
        <is>
          <t>PR</t>
        </is>
      </c>
      <c r="N1987" s="3" t="inlineStr">
        <is>
          <t>JB Issue</t>
        </is>
      </c>
      <c r="O1987" s="60" t="n">
        <v>540</v>
      </c>
      <c r="P1987" s="9" t="inlineStr">
        <is>
          <t>NSMP2304067347</t>
        </is>
      </c>
      <c r="Q1987" s="53">
        <f>MID(P1987,5,2)</f>
        <v/>
      </c>
      <c r="R1987" s="53">
        <f>MID(P1987,7,2)</f>
        <v/>
      </c>
      <c r="S1987" s="3" t="inlineStr">
        <is>
          <t>G2B</t>
        </is>
      </c>
      <c r="T1987" s="3" t="inlineStr">
        <is>
          <t>P2</t>
        </is>
      </c>
      <c r="U1987" s="3" t="inlineStr">
        <is>
          <t>P JB Issue</t>
        </is>
      </c>
      <c r="V1987" s="15" t="inlineStr">
        <is>
          <t>JB Changed</t>
        </is>
      </c>
      <c r="W1987" s="3" t="inlineStr">
        <is>
          <t>Repair</t>
        </is>
      </c>
      <c r="X1987" s="18" t="n">
        <v>46167</v>
      </c>
      <c r="Y1987" s="73">
        <f>IF(X1987="","",X1987-A1987)</f>
        <v/>
      </c>
      <c r="Z1987" s="18" t="n">
        <v>46167</v>
      </c>
      <c r="AA1987" s="15" t="n"/>
      <c r="AB1987" s="15" t="n"/>
      <c r="AF1987">
        <f>IF(AND($F1987="Closed",$X1987&gt;=DATE(2026,5,1),$X1987&lt;=DATE(2026,5,31)),"Closed in May","Other")</f>
        <v/>
      </c>
    </row>
    <row r="1988">
      <c r="A1988" s="59" t="n">
        <v>46148</v>
      </c>
      <c r="B1988" s="3" t="n">
        <v>2026</v>
      </c>
      <c r="C1988" s="21" t="inlineStr">
        <is>
          <t>Continuum</t>
        </is>
      </c>
      <c r="D1988" s="3" t="inlineStr">
        <is>
          <t>Utility and C&amp;I</t>
        </is>
      </c>
      <c r="E1988" s="3" t="n"/>
      <c r="F1988" s="3" t="inlineStr">
        <is>
          <t>Closed</t>
        </is>
      </c>
      <c r="G1988" s="21" t="inlineStr">
        <is>
          <t>Amiya Ranjan Behera</t>
        </is>
      </c>
      <c r="H1988" s="21" t="n">
        <v>8917436223</v>
      </c>
      <c r="I1988" s="38" t="inlineStr">
        <is>
          <t>PE06052602</t>
        </is>
      </c>
      <c r="J1988" s="21" t="inlineStr">
        <is>
          <t>Diode Bypass Module Issue</t>
        </is>
      </c>
      <c r="K1988" s="21" t="inlineStr">
        <is>
          <t>Bhavnagar</t>
        </is>
      </c>
      <c r="L1988" s="21" t="inlineStr">
        <is>
          <t>Gujarat</t>
        </is>
      </c>
      <c r="M1988" s="9" t="inlineStr">
        <is>
          <t>PS</t>
        </is>
      </c>
      <c r="N1988" s="3" t="inlineStr">
        <is>
          <t>Cold Soldering</t>
        </is>
      </c>
      <c r="O1988" s="60" t="n">
        <v>540</v>
      </c>
      <c r="P1988" s="9" t="inlineStr">
        <is>
          <t>NSMP2304037250</t>
        </is>
      </c>
      <c r="Q1988" s="53">
        <f>MID(P1988,5,2)</f>
        <v/>
      </c>
      <c r="R1988" s="53">
        <f>MID(P1988,7,2)</f>
        <v/>
      </c>
      <c r="S1988" s="3" t="inlineStr">
        <is>
          <t>G2B</t>
        </is>
      </c>
      <c r="T1988" s="3" t="inlineStr">
        <is>
          <t>P2</t>
        </is>
      </c>
      <c r="U1988" s="3" t="inlineStr">
        <is>
          <t>P JB Cold Soldering</t>
        </is>
      </c>
      <c r="V1988" s="3" t="inlineStr">
        <is>
          <t>Soldering</t>
        </is>
      </c>
      <c r="W1988" s="3" t="inlineStr">
        <is>
          <t>Repair</t>
        </is>
      </c>
      <c r="X1988" s="18" t="n">
        <v>46167</v>
      </c>
      <c r="Y1988" s="73">
        <f>IF(X1988="","",X1988-A1988)</f>
        <v/>
      </c>
      <c r="Z1988" s="18" t="n">
        <v>46167</v>
      </c>
      <c r="AA1988" s="15" t="n"/>
      <c r="AB1988" s="15" t="n"/>
      <c r="AF1988">
        <f>IF(AND($F1988="Closed",$X1988&gt;=DATE(2026,5,1),$X1988&lt;=DATE(2026,5,31)),"Closed in May","Other")</f>
        <v/>
      </c>
    </row>
    <row r="1989">
      <c r="A1989" s="59" t="n">
        <v>46148</v>
      </c>
      <c r="B1989" s="3" t="n">
        <v>2026</v>
      </c>
      <c r="C1989" s="21" t="inlineStr">
        <is>
          <t>Continuum</t>
        </is>
      </c>
      <c r="D1989" s="3" t="inlineStr">
        <is>
          <t>Utility and C&amp;I</t>
        </is>
      </c>
      <c r="E1989" s="3" t="n"/>
      <c r="F1989" s="3" t="inlineStr">
        <is>
          <t>Closed</t>
        </is>
      </c>
      <c r="G1989" s="21" t="inlineStr">
        <is>
          <t>Amiya Ranjan Behera</t>
        </is>
      </c>
      <c r="H1989" s="21" t="n">
        <v>8917436223</v>
      </c>
      <c r="I1989" s="38" t="inlineStr">
        <is>
          <t>PE06052602</t>
        </is>
      </c>
      <c r="J1989" s="21" t="inlineStr">
        <is>
          <t>Diode Bypass Module Issue</t>
        </is>
      </c>
      <c r="K1989" s="21" t="inlineStr">
        <is>
          <t>Bhavnagar</t>
        </is>
      </c>
      <c r="L1989" s="21" t="inlineStr">
        <is>
          <t>Gujarat</t>
        </is>
      </c>
      <c r="M1989" s="9" t="inlineStr">
        <is>
          <t>PS</t>
        </is>
      </c>
      <c r="N1989" s="3" t="inlineStr">
        <is>
          <t>Cold Soldering</t>
        </is>
      </c>
      <c r="O1989" s="60" t="n">
        <v>540</v>
      </c>
      <c r="P1989" s="9" t="inlineStr">
        <is>
          <t>NSMP2305192568</t>
        </is>
      </c>
      <c r="Q1989" s="53">
        <f>MID(P1989,5,2)</f>
        <v/>
      </c>
      <c r="R1989" s="53">
        <f>MID(P1989,7,2)</f>
        <v/>
      </c>
      <c r="S1989" s="3" t="inlineStr">
        <is>
          <t>G2B</t>
        </is>
      </c>
      <c r="T1989" s="3" t="inlineStr">
        <is>
          <t>P2</t>
        </is>
      </c>
      <c r="U1989" s="3" t="inlineStr">
        <is>
          <t>P JB Cold Soldering</t>
        </is>
      </c>
      <c r="V1989" s="3" t="inlineStr">
        <is>
          <t>Soldering</t>
        </is>
      </c>
      <c r="W1989" s="3" t="inlineStr">
        <is>
          <t>Repair</t>
        </is>
      </c>
      <c r="X1989" s="18" t="n">
        <v>46167</v>
      </c>
      <c r="Y1989" s="73">
        <f>IF(X1989="","",X1989-A1989)</f>
        <v/>
      </c>
      <c r="Z1989" s="18" t="n">
        <v>46167</v>
      </c>
      <c r="AA1989" s="15" t="n"/>
      <c r="AB1989" s="15" t="n"/>
      <c r="AF1989">
        <f>IF(AND($F1989="Closed",$X1989&gt;=DATE(2026,5,1),$X1989&lt;=DATE(2026,5,31)),"Closed in May","Other")</f>
        <v/>
      </c>
    </row>
    <row r="1990">
      <c r="A1990" s="59" t="n">
        <v>46148</v>
      </c>
      <c r="B1990" s="3" t="n">
        <v>2026</v>
      </c>
      <c r="C1990" s="21" t="inlineStr">
        <is>
          <t>Continuum</t>
        </is>
      </c>
      <c r="D1990" s="3" t="inlineStr">
        <is>
          <t>Utility and C&amp;I</t>
        </is>
      </c>
      <c r="E1990" s="3" t="n"/>
      <c r="F1990" s="3" t="inlineStr">
        <is>
          <t>Closed</t>
        </is>
      </c>
      <c r="G1990" s="21" t="inlineStr">
        <is>
          <t>Amiya Ranjan Behera</t>
        </is>
      </c>
      <c r="H1990" s="21" t="n">
        <v>8917436223</v>
      </c>
      <c r="I1990" s="38" t="inlineStr">
        <is>
          <t>PE06052602</t>
        </is>
      </c>
      <c r="J1990" s="21" t="inlineStr">
        <is>
          <t>Diode Bypass Module Issue</t>
        </is>
      </c>
      <c r="K1990" s="21" t="inlineStr">
        <is>
          <t>Bhavnagar</t>
        </is>
      </c>
      <c r="L1990" s="21" t="inlineStr">
        <is>
          <t>Gujarat</t>
        </is>
      </c>
      <c r="M1990" s="9" t="inlineStr">
        <is>
          <t>PS</t>
        </is>
      </c>
      <c r="N1990" s="3" t="inlineStr">
        <is>
          <t>Cold Soldering</t>
        </is>
      </c>
      <c r="O1990" s="60" t="n">
        <v>540</v>
      </c>
      <c r="P1990" s="9" t="inlineStr">
        <is>
          <t>NSMP2305191573</t>
        </is>
      </c>
      <c r="Q1990" s="53">
        <f>MID(P1990,5,2)</f>
        <v/>
      </c>
      <c r="R1990" s="53">
        <f>MID(P1990,7,2)</f>
        <v/>
      </c>
      <c r="S1990" s="3" t="inlineStr">
        <is>
          <t>G2B</t>
        </is>
      </c>
      <c r="T1990" s="3" t="inlineStr">
        <is>
          <t>P2</t>
        </is>
      </c>
      <c r="U1990" s="3" t="inlineStr">
        <is>
          <t>P JB Cold Soldering</t>
        </is>
      </c>
      <c r="V1990" s="3" t="inlineStr">
        <is>
          <t>Soldering</t>
        </is>
      </c>
      <c r="W1990" s="3" t="inlineStr">
        <is>
          <t>Repair</t>
        </is>
      </c>
      <c r="X1990" s="18" t="n">
        <v>46167</v>
      </c>
      <c r="Y1990" s="73">
        <f>IF(X1990="","",X1990-A1990)</f>
        <v/>
      </c>
      <c r="Z1990" s="18" t="n">
        <v>46167</v>
      </c>
      <c r="AA1990" s="15" t="n"/>
      <c r="AB1990" s="15" t="n"/>
      <c r="AF1990">
        <f>IF(AND($F1990="Closed",$X1990&gt;=DATE(2026,5,1),$X1990&lt;=DATE(2026,5,31)),"Closed in May","Other")</f>
        <v/>
      </c>
    </row>
    <row r="1991">
      <c r="A1991" s="59" t="n">
        <v>46148</v>
      </c>
      <c r="B1991" s="3" t="n">
        <v>2026</v>
      </c>
      <c r="C1991" s="21" t="inlineStr">
        <is>
          <t>Continuum</t>
        </is>
      </c>
      <c r="D1991" s="3" t="inlineStr">
        <is>
          <t>Utility and C&amp;I</t>
        </is>
      </c>
      <c r="E1991" s="3" t="n"/>
      <c r="F1991" s="3" t="inlineStr">
        <is>
          <t>Closed</t>
        </is>
      </c>
      <c r="G1991" s="21" t="inlineStr">
        <is>
          <t>Amiya Ranjan Behera</t>
        </is>
      </c>
      <c r="H1991" s="21" t="n">
        <v>8917436223</v>
      </c>
      <c r="I1991" s="38" t="inlineStr">
        <is>
          <t>PE06052602</t>
        </is>
      </c>
      <c r="J1991" s="21" t="inlineStr">
        <is>
          <t>Diode Bypass Module Issue</t>
        </is>
      </c>
      <c r="K1991" s="21" t="inlineStr">
        <is>
          <t>Bhavnagar</t>
        </is>
      </c>
      <c r="L1991" s="21" t="inlineStr">
        <is>
          <t>Gujarat</t>
        </is>
      </c>
      <c r="M1991" s="9" t="inlineStr">
        <is>
          <t>PR</t>
        </is>
      </c>
      <c r="N1991" s="3" t="inlineStr">
        <is>
          <t>JB Issue</t>
        </is>
      </c>
      <c r="O1991" s="60" t="n">
        <v>540</v>
      </c>
      <c r="P1991" s="9" t="inlineStr">
        <is>
          <t>NSMP2304068895</t>
        </is>
      </c>
      <c r="Q1991" s="53">
        <f>MID(P1991,5,2)</f>
        <v/>
      </c>
      <c r="R1991" s="53">
        <f>MID(P1991,7,2)</f>
        <v/>
      </c>
      <c r="S1991" s="3" t="inlineStr">
        <is>
          <t>G2B</t>
        </is>
      </c>
      <c r="T1991" s="3" t="inlineStr">
        <is>
          <t>P2</t>
        </is>
      </c>
      <c r="U1991" s="3" t="inlineStr">
        <is>
          <t>P JB Issue</t>
        </is>
      </c>
      <c r="V1991" s="15" t="inlineStr">
        <is>
          <t>JB Changed</t>
        </is>
      </c>
      <c r="W1991" s="3" t="inlineStr">
        <is>
          <t>Repair</t>
        </is>
      </c>
      <c r="X1991" s="18" t="n">
        <v>46167</v>
      </c>
      <c r="Y1991" s="73">
        <f>IF(X1991="","",X1991-A1991)</f>
        <v/>
      </c>
      <c r="Z1991" s="18" t="n">
        <v>46167</v>
      </c>
      <c r="AA1991" s="15" t="n"/>
      <c r="AB1991" s="15" t="n"/>
      <c r="AF1991">
        <f>IF(AND($F1991="Closed",$X1991&gt;=DATE(2026,5,1),$X1991&lt;=DATE(2026,5,31)),"Closed in May","Other")</f>
        <v/>
      </c>
    </row>
    <row r="1992">
      <c r="A1992" s="59" t="n">
        <v>46148</v>
      </c>
      <c r="B1992" s="3" t="n">
        <v>2026</v>
      </c>
      <c r="C1992" s="21" t="inlineStr">
        <is>
          <t>Continuum</t>
        </is>
      </c>
      <c r="D1992" s="3" t="inlineStr">
        <is>
          <t>Utility and C&amp;I</t>
        </is>
      </c>
      <c r="E1992" s="3" t="n"/>
      <c r="F1992" s="3" t="inlineStr">
        <is>
          <t>Closed</t>
        </is>
      </c>
      <c r="G1992" s="21" t="inlineStr">
        <is>
          <t>Amiya Ranjan Behera</t>
        </is>
      </c>
      <c r="H1992" s="21" t="n">
        <v>8917436223</v>
      </c>
      <c r="I1992" s="38" t="inlineStr">
        <is>
          <t>PE06052602</t>
        </is>
      </c>
      <c r="J1992" s="21" t="inlineStr">
        <is>
          <t>Diode Bypass Module Issue</t>
        </is>
      </c>
      <c r="K1992" s="21" t="inlineStr">
        <is>
          <t>Bhavnagar</t>
        </is>
      </c>
      <c r="L1992" s="21" t="inlineStr">
        <is>
          <t>Gujarat</t>
        </is>
      </c>
      <c r="M1992" s="9" t="inlineStr">
        <is>
          <t>OK</t>
        </is>
      </c>
      <c r="N1992" s="3" t="inlineStr">
        <is>
          <t>No Issue</t>
        </is>
      </c>
      <c r="O1992" s="60" t="n">
        <v>540</v>
      </c>
      <c r="P1992" s="9" t="inlineStr">
        <is>
          <t>NSMP2304070161</t>
        </is>
      </c>
      <c r="Q1992" s="53">
        <f>MID(P1992,5,2)</f>
        <v/>
      </c>
      <c r="R1992" s="53">
        <f>MID(P1992,7,2)</f>
        <v/>
      </c>
      <c r="S1992" s="3" t="inlineStr">
        <is>
          <t>G2B</t>
        </is>
      </c>
      <c r="T1992" s="3" t="inlineStr">
        <is>
          <t>P2</t>
        </is>
      </c>
      <c r="U1992" s="19" t="inlineStr">
        <is>
          <t>No Issue Found</t>
        </is>
      </c>
      <c r="V1992" s="19" t="inlineStr">
        <is>
          <t>Found OK</t>
        </is>
      </c>
      <c r="W1992" s="3" t="inlineStr">
        <is>
          <t>Repair</t>
        </is>
      </c>
      <c r="X1992" s="18" t="n">
        <v>46167</v>
      </c>
      <c r="Y1992" s="73">
        <f>IF(X1992="","",X1992-A1992)</f>
        <v/>
      </c>
      <c r="Z1992" s="18" t="n">
        <v>46167</v>
      </c>
      <c r="AA1992" s="15" t="n"/>
      <c r="AB1992" s="15" t="n"/>
      <c r="AF1992">
        <f>IF(AND($F1992="Closed",$X1992&gt;=DATE(2026,5,1),$X1992&lt;=DATE(2026,5,31)),"Closed in May","Other")</f>
        <v/>
      </c>
    </row>
    <row r="1993">
      <c r="A1993" s="59" t="n">
        <v>46148</v>
      </c>
      <c r="B1993" s="3" t="n">
        <v>2026</v>
      </c>
      <c r="C1993" s="21" t="inlineStr">
        <is>
          <t>Continuum</t>
        </is>
      </c>
      <c r="D1993" s="3" t="inlineStr">
        <is>
          <t>Utility and C&amp;I</t>
        </is>
      </c>
      <c r="E1993" s="3" t="n"/>
      <c r="F1993" s="3" t="inlineStr">
        <is>
          <t>Closed</t>
        </is>
      </c>
      <c r="G1993" s="21" t="inlineStr">
        <is>
          <t>Amiya Ranjan Behera</t>
        </is>
      </c>
      <c r="H1993" s="21" t="n">
        <v>8917436223</v>
      </c>
      <c r="I1993" s="38" t="inlineStr">
        <is>
          <t>PE06052602</t>
        </is>
      </c>
      <c r="J1993" s="21" t="inlineStr">
        <is>
          <t>Diode Bypass Module Issue</t>
        </is>
      </c>
      <c r="K1993" s="21" t="inlineStr">
        <is>
          <t>Bhavnagar</t>
        </is>
      </c>
      <c r="L1993" s="21" t="inlineStr">
        <is>
          <t>Gujarat</t>
        </is>
      </c>
      <c r="M1993" s="9" t="inlineStr">
        <is>
          <t>NS</t>
        </is>
      </c>
      <c r="N1993" s="26" t="inlineStr">
        <is>
          <t>Cold Soldering</t>
        </is>
      </c>
      <c r="O1993" s="60" t="n">
        <v>540</v>
      </c>
      <c r="P1993" s="9" t="inlineStr">
        <is>
          <t>NSMP2304068765</t>
        </is>
      </c>
      <c r="Q1993" s="53">
        <f>MID(P1993,5,2)</f>
        <v/>
      </c>
      <c r="R1993" s="53">
        <f>MID(P1993,7,2)</f>
        <v/>
      </c>
      <c r="S1993" s="3" t="inlineStr">
        <is>
          <t>G2B</t>
        </is>
      </c>
      <c r="T1993" s="3" t="inlineStr">
        <is>
          <t>P2</t>
        </is>
      </c>
      <c r="U1993" s="19" t="inlineStr">
        <is>
          <t>N JB Cold Soldering</t>
        </is>
      </c>
      <c r="V1993" s="19" t="inlineStr">
        <is>
          <t>Soldering</t>
        </is>
      </c>
      <c r="W1993" s="3" t="inlineStr">
        <is>
          <t>Repair</t>
        </is>
      </c>
      <c r="X1993" s="18" t="n">
        <v>46167</v>
      </c>
      <c r="Y1993" s="73">
        <f>IF(X1993="","",X1993-A1993)</f>
        <v/>
      </c>
      <c r="Z1993" s="18" t="n">
        <v>46167</v>
      </c>
      <c r="AA1993" s="15" t="n"/>
      <c r="AB1993" s="15" t="n"/>
      <c r="AF1993">
        <f>IF(AND($F1993="Closed",$X1993&gt;=DATE(2026,5,1),$X1993&lt;=DATE(2026,5,31)),"Closed in May","Other")</f>
        <v/>
      </c>
    </row>
    <row r="1994">
      <c r="A1994" s="59" t="n">
        <v>46148</v>
      </c>
      <c r="B1994" s="3" t="n">
        <v>2026</v>
      </c>
      <c r="C1994" s="21" t="inlineStr">
        <is>
          <t>Continuum</t>
        </is>
      </c>
      <c r="D1994" s="3" t="inlineStr">
        <is>
          <t>Utility and C&amp;I</t>
        </is>
      </c>
      <c r="E1994" s="3" t="n"/>
      <c r="F1994" s="3" t="inlineStr">
        <is>
          <t>Closed</t>
        </is>
      </c>
      <c r="G1994" s="21" t="inlineStr">
        <is>
          <t>Amiya Ranjan Behera</t>
        </is>
      </c>
      <c r="H1994" s="21" t="n">
        <v>8917436223</v>
      </c>
      <c r="I1994" s="38" t="inlineStr">
        <is>
          <t>PE06052602</t>
        </is>
      </c>
      <c r="J1994" s="21" t="inlineStr">
        <is>
          <t>Diode Bypass Module Issue</t>
        </is>
      </c>
      <c r="K1994" s="21" t="inlineStr">
        <is>
          <t>Bhavnagar</t>
        </is>
      </c>
      <c r="L1994" s="21" t="inlineStr">
        <is>
          <t>Gujarat</t>
        </is>
      </c>
      <c r="M1994" s="9" t="inlineStr">
        <is>
          <t>PS</t>
        </is>
      </c>
      <c r="N1994" s="3" t="inlineStr">
        <is>
          <t>Cold Soldering</t>
        </is>
      </c>
      <c r="O1994" s="60" t="n">
        <v>540</v>
      </c>
      <c r="P1994" s="9" t="inlineStr">
        <is>
          <t>NSMP2304068804</t>
        </is>
      </c>
      <c r="Q1994" s="53">
        <f>MID(P1994,5,2)</f>
        <v/>
      </c>
      <c r="R1994" s="53">
        <f>MID(P1994,7,2)</f>
        <v/>
      </c>
      <c r="S1994" s="3" t="inlineStr">
        <is>
          <t>G2B</t>
        </is>
      </c>
      <c r="T1994" s="3" t="inlineStr">
        <is>
          <t>P2</t>
        </is>
      </c>
      <c r="U1994" s="3" t="inlineStr">
        <is>
          <t>P JB Cold Soldering</t>
        </is>
      </c>
      <c r="V1994" s="3" t="inlineStr">
        <is>
          <t>Soldering</t>
        </is>
      </c>
      <c r="W1994" s="3" t="inlineStr">
        <is>
          <t>Repair</t>
        </is>
      </c>
      <c r="X1994" s="18" t="n">
        <v>46167</v>
      </c>
      <c r="Y1994" s="73">
        <f>IF(X1994="","",X1994-A1994)</f>
        <v/>
      </c>
      <c r="Z1994" s="18" t="n">
        <v>46167</v>
      </c>
      <c r="AA1994" s="15" t="n"/>
      <c r="AB1994" s="15" t="n"/>
      <c r="AF1994">
        <f>IF(AND($F1994="Closed",$X1994&gt;=DATE(2026,5,1),$X1994&lt;=DATE(2026,5,31)),"Closed in May","Other")</f>
        <v/>
      </c>
    </row>
    <row r="1995">
      <c r="A1995" s="59" t="n">
        <v>46148</v>
      </c>
      <c r="B1995" s="3" t="n">
        <v>2026</v>
      </c>
      <c r="C1995" s="21" t="inlineStr">
        <is>
          <t>Continuum</t>
        </is>
      </c>
      <c r="D1995" s="3" t="inlineStr">
        <is>
          <t>Utility and C&amp;I</t>
        </is>
      </c>
      <c r="E1995" s="3" t="n"/>
      <c r="F1995" s="3" t="inlineStr">
        <is>
          <t>Closed</t>
        </is>
      </c>
      <c r="G1995" s="21" t="inlineStr">
        <is>
          <t>Amiya Ranjan Behera</t>
        </is>
      </c>
      <c r="H1995" s="21" t="n">
        <v>8917436223</v>
      </c>
      <c r="I1995" s="38" t="inlineStr">
        <is>
          <t>PE06052602</t>
        </is>
      </c>
      <c r="J1995" s="21" t="inlineStr">
        <is>
          <t>Diode Bypass Module Issue</t>
        </is>
      </c>
      <c r="K1995" s="21" t="inlineStr">
        <is>
          <t>Bhavnagar</t>
        </is>
      </c>
      <c r="L1995" s="21" t="inlineStr">
        <is>
          <t>Gujarat</t>
        </is>
      </c>
      <c r="M1995" s="9" t="inlineStr">
        <is>
          <t>PS</t>
        </is>
      </c>
      <c r="N1995" s="3" t="inlineStr">
        <is>
          <t>Cold Soldering</t>
        </is>
      </c>
      <c r="O1995" s="60" t="n">
        <v>540</v>
      </c>
      <c r="P1995" s="9" t="inlineStr">
        <is>
          <t>NSMP2305132285</t>
        </is>
      </c>
      <c r="Q1995" s="53">
        <f>MID(P1995,5,2)</f>
        <v/>
      </c>
      <c r="R1995" s="53">
        <f>MID(P1995,7,2)</f>
        <v/>
      </c>
      <c r="S1995" s="3" t="inlineStr">
        <is>
          <t>G2B</t>
        </is>
      </c>
      <c r="T1995" s="3" t="inlineStr">
        <is>
          <t>P2</t>
        </is>
      </c>
      <c r="U1995" s="3" t="inlineStr">
        <is>
          <t>P JB Cold Soldering</t>
        </is>
      </c>
      <c r="V1995" s="3" t="inlineStr">
        <is>
          <t>Soldering</t>
        </is>
      </c>
      <c r="W1995" s="3" t="inlineStr">
        <is>
          <t>Repair</t>
        </is>
      </c>
      <c r="X1995" s="18" t="n">
        <v>46167</v>
      </c>
      <c r="Y1995" s="73">
        <f>IF(X1995="","",X1995-A1995)</f>
        <v/>
      </c>
      <c r="Z1995" s="18" t="n">
        <v>46167</v>
      </c>
      <c r="AA1995" s="15" t="n"/>
      <c r="AB1995" s="15" t="n"/>
      <c r="AF1995">
        <f>IF(AND($F1995="Closed",$X1995&gt;=DATE(2026,5,1),$X1995&lt;=DATE(2026,5,31)),"Closed in May","Other")</f>
        <v/>
      </c>
    </row>
    <row r="1996">
      <c r="A1996" s="59" t="n">
        <v>46148</v>
      </c>
      <c r="B1996" s="3" t="n">
        <v>2026</v>
      </c>
      <c r="C1996" s="21" t="inlineStr">
        <is>
          <t>Continuum</t>
        </is>
      </c>
      <c r="D1996" s="3" t="inlineStr">
        <is>
          <t>Utility and C&amp;I</t>
        </is>
      </c>
      <c r="E1996" s="3" t="n"/>
      <c r="F1996" s="3" t="inlineStr">
        <is>
          <t>Closed</t>
        </is>
      </c>
      <c r="G1996" s="21" t="inlineStr">
        <is>
          <t>Amiya Ranjan Behera</t>
        </is>
      </c>
      <c r="H1996" s="21" t="n">
        <v>8917436223</v>
      </c>
      <c r="I1996" s="38" t="inlineStr">
        <is>
          <t>PE06052602</t>
        </is>
      </c>
      <c r="J1996" s="21" t="inlineStr">
        <is>
          <t>Diode Bypass Module Issue</t>
        </is>
      </c>
      <c r="K1996" s="21" t="inlineStr">
        <is>
          <t>Bhavnagar</t>
        </is>
      </c>
      <c r="L1996" s="21" t="inlineStr">
        <is>
          <t>Gujarat</t>
        </is>
      </c>
      <c r="M1996" s="9" t="inlineStr">
        <is>
          <t>PS</t>
        </is>
      </c>
      <c r="N1996" s="3" t="inlineStr">
        <is>
          <t>Cold Soldering</t>
        </is>
      </c>
      <c r="O1996" s="60" t="n">
        <v>540</v>
      </c>
      <c r="P1996" s="9" t="inlineStr">
        <is>
          <t>NSMP2305132286</t>
        </is>
      </c>
      <c r="Q1996" s="53">
        <f>MID(P1996,5,2)</f>
        <v/>
      </c>
      <c r="R1996" s="53">
        <f>MID(P1996,7,2)</f>
        <v/>
      </c>
      <c r="S1996" s="3" t="inlineStr">
        <is>
          <t>G2B</t>
        </is>
      </c>
      <c r="T1996" s="3" t="inlineStr">
        <is>
          <t>P2</t>
        </is>
      </c>
      <c r="U1996" s="3" t="inlineStr">
        <is>
          <t>P JB Cold Soldering</t>
        </is>
      </c>
      <c r="V1996" s="3" t="inlineStr">
        <is>
          <t>Soldering</t>
        </is>
      </c>
      <c r="W1996" s="3" t="inlineStr">
        <is>
          <t>Repair</t>
        </is>
      </c>
      <c r="X1996" s="18" t="n">
        <v>46167</v>
      </c>
      <c r="Y1996" s="73">
        <f>IF(X1996="","",X1996-A1996)</f>
        <v/>
      </c>
      <c r="Z1996" s="18" t="n">
        <v>46167</v>
      </c>
      <c r="AA1996" s="15" t="n"/>
      <c r="AB1996" s="15" t="n"/>
      <c r="AF1996">
        <f>IF(AND($F1996="Closed",$X1996&gt;=DATE(2026,5,1),$X1996&lt;=DATE(2026,5,31)),"Closed in May","Other")</f>
        <v/>
      </c>
    </row>
    <row r="1997">
      <c r="A1997" s="59" t="n">
        <v>46148</v>
      </c>
      <c r="B1997" s="3" t="n">
        <v>2026</v>
      </c>
      <c r="C1997" s="21" t="inlineStr">
        <is>
          <t>Continuum</t>
        </is>
      </c>
      <c r="D1997" s="3" t="inlineStr">
        <is>
          <t>Utility and C&amp;I</t>
        </is>
      </c>
      <c r="E1997" s="3" t="n"/>
      <c r="F1997" s="3" t="inlineStr">
        <is>
          <t>Closed</t>
        </is>
      </c>
      <c r="G1997" s="21" t="inlineStr">
        <is>
          <t>Amiya Ranjan Behera</t>
        </is>
      </c>
      <c r="H1997" s="21" t="n">
        <v>8917436223</v>
      </c>
      <c r="I1997" s="38" t="inlineStr">
        <is>
          <t>PE06052602</t>
        </is>
      </c>
      <c r="J1997" s="21" t="inlineStr">
        <is>
          <t>Diode Bypass Module Issue</t>
        </is>
      </c>
      <c r="K1997" s="21" t="inlineStr">
        <is>
          <t>Bhavnagar</t>
        </is>
      </c>
      <c r="L1997" s="21" t="inlineStr">
        <is>
          <t>Gujarat</t>
        </is>
      </c>
      <c r="M1997" s="9" t="inlineStr">
        <is>
          <t>PR</t>
        </is>
      </c>
      <c r="N1997" s="3" t="inlineStr">
        <is>
          <t>JB Issue</t>
        </is>
      </c>
      <c r="O1997" s="60" t="n">
        <v>540</v>
      </c>
      <c r="P1997" s="9" t="inlineStr">
        <is>
          <t>NSMP2305129556</t>
        </is>
      </c>
      <c r="Q1997" s="53">
        <f>MID(P1997,5,2)</f>
        <v/>
      </c>
      <c r="R1997" s="53">
        <f>MID(P1997,7,2)</f>
        <v/>
      </c>
      <c r="S1997" s="3" t="inlineStr">
        <is>
          <t>G2B</t>
        </is>
      </c>
      <c r="T1997" s="3" t="inlineStr">
        <is>
          <t>P2</t>
        </is>
      </c>
      <c r="U1997" s="3" t="inlineStr">
        <is>
          <t>P JB Issue</t>
        </is>
      </c>
      <c r="V1997" s="15" t="inlineStr">
        <is>
          <t>JB Changed</t>
        </is>
      </c>
      <c r="W1997" s="3" t="inlineStr">
        <is>
          <t>Repair</t>
        </is>
      </c>
      <c r="X1997" s="18" t="n">
        <v>46167</v>
      </c>
      <c r="Y1997" s="73">
        <f>IF(X1997="","",X1997-A1997)</f>
        <v/>
      </c>
      <c r="Z1997" s="18" t="n">
        <v>46167</v>
      </c>
      <c r="AA1997" s="15" t="n"/>
      <c r="AB1997" s="15" t="n"/>
      <c r="AF1997">
        <f>IF(AND($F1997="Closed",$X1997&gt;=DATE(2026,5,1),$X1997&lt;=DATE(2026,5,31)),"Closed in May","Other")</f>
        <v/>
      </c>
    </row>
    <row r="1998">
      <c r="A1998" s="59" t="n">
        <v>46148</v>
      </c>
      <c r="B1998" s="3" t="n">
        <v>2026</v>
      </c>
      <c r="C1998" s="21" t="inlineStr">
        <is>
          <t>Continuum</t>
        </is>
      </c>
      <c r="D1998" s="3" t="inlineStr">
        <is>
          <t>Utility and C&amp;I</t>
        </is>
      </c>
      <c r="E1998" s="3" t="n"/>
      <c r="F1998" s="3" t="inlineStr">
        <is>
          <t>Closed</t>
        </is>
      </c>
      <c r="G1998" s="21" t="inlineStr">
        <is>
          <t>Amiya Ranjan Behera</t>
        </is>
      </c>
      <c r="H1998" s="21" t="n">
        <v>8917436223</v>
      </c>
      <c r="I1998" s="38" t="inlineStr">
        <is>
          <t>PE06052602</t>
        </is>
      </c>
      <c r="J1998" s="21" t="inlineStr">
        <is>
          <t>Diode Bypass Module Issue</t>
        </is>
      </c>
      <c r="K1998" s="21" t="inlineStr">
        <is>
          <t>Bhavnagar</t>
        </is>
      </c>
      <c r="L1998" s="21" t="inlineStr">
        <is>
          <t>Gujarat</t>
        </is>
      </c>
      <c r="M1998" s="9" t="inlineStr">
        <is>
          <t>OK</t>
        </is>
      </c>
      <c r="N1998" s="3" t="inlineStr">
        <is>
          <t>No Issue</t>
        </is>
      </c>
      <c r="O1998" s="60" t="n">
        <v>540</v>
      </c>
      <c r="P1998" s="9" t="inlineStr">
        <is>
          <t>NSMP2305125817</t>
        </is>
      </c>
      <c r="Q1998" s="53">
        <f>MID(P1998,5,2)</f>
        <v/>
      </c>
      <c r="R1998" s="53">
        <f>MID(P1998,7,2)</f>
        <v/>
      </c>
      <c r="S1998" s="3" t="inlineStr">
        <is>
          <t>G2B</t>
        </is>
      </c>
      <c r="T1998" s="3" t="inlineStr">
        <is>
          <t>P2</t>
        </is>
      </c>
      <c r="U1998" s="19" t="inlineStr">
        <is>
          <t>No Issue Found</t>
        </is>
      </c>
      <c r="V1998" s="19" t="inlineStr">
        <is>
          <t>Found OK</t>
        </is>
      </c>
      <c r="W1998" s="3" t="inlineStr">
        <is>
          <t>Repair</t>
        </is>
      </c>
      <c r="X1998" s="18" t="n">
        <v>46167</v>
      </c>
      <c r="Y1998" s="73">
        <f>IF(X1998="","",X1998-A1998)</f>
        <v/>
      </c>
      <c r="Z1998" s="18" t="n">
        <v>46167</v>
      </c>
      <c r="AA1998" s="15" t="n"/>
      <c r="AB1998" s="15" t="n"/>
      <c r="AF1998">
        <f>IF(AND($F1998="Closed",$X1998&gt;=DATE(2026,5,1),$X1998&lt;=DATE(2026,5,31)),"Closed in May","Other")</f>
        <v/>
      </c>
    </row>
    <row r="1999">
      <c r="A1999" s="59" t="n">
        <v>46148</v>
      </c>
      <c r="B1999" s="3" t="n">
        <v>2026</v>
      </c>
      <c r="C1999" s="21" t="inlineStr">
        <is>
          <t>Continuum</t>
        </is>
      </c>
      <c r="D1999" s="3" t="inlineStr">
        <is>
          <t>Utility and C&amp;I</t>
        </is>
      </c>
      <c r="E1999" s="3" t="n"/>
      <c r="F1999" s="3" t="inlineStr">
        <is>
          <t>Closed</t>
        </is>
      </c>
      <c r="G1999" s="21" t="inlineStr">
        <is>
          <t>Amiya Ranjan Behera</t>
        </is>
      </c>
      <c r="H1999" s="21" t="n">
        <v>8917436223</v>
      </c>
      <c r="I1999" s="38" t="inlineStr">
        <is>
          <t>PE06052602</t>
        </is>
      </c>
      <c r="J1999" s="21" t="inlineStr">
        <is>
          <t>Diode Bypass Module Issue</t>
        </is>
      </c>
      <c r="K1999" s="21" t="inlineStr">
        <is>
          <t>Bhavnagar</t>
        </is>
      </c>
      <c r="L1999" s="21" t="inlineStr">
        <is>
          <t>Gujarat</t>
        </is>
      </c>
      <c r="M1999" s="9" t="inlineStr">
        <is>
          <t>OK</t>
        </is>
      </c>
      <c r="N1999" s="3" t="inlineStr">
        <is>
          <t>No Issue</t>
        </is>
      </c>
      <c r="O1999" s="60" t="n">
        <v>540</v>
      </c>
      <c r="P1999" s="9" t="inlineStr">
        <is>
          <t>NSMP2305125830</t>
        </is>
      </c>
      <c r="Q1999" s="53">
        <f>MID(P1999,5,2)</f>
        <v/>
      </c>
      <c r="R1999" s="53">
        <f>MID(P1999,7,2)</f>
        <v/>
      </c>
      <c r="S1999" s="3" t="inlineStr">
        <is>
          <t>G2B</t>
        </is>
      </c>
      <c r="T1999" s="3" t="inlineStr">
        <is>
          <t>P2</t>
        </is>
      </c>
      <c r="U1999" s="19" t="inlineStr">
        <is>
          <t>No Issue Found</t>
        </is>
      </c>
      <c r="V1999" s="19" t="inlineStr">
        <is>
          <t>Found OK</t>
        </is>
      </c>
      <c r="W1999" s="3" t="inlineStr">
        <is>
          <t>Repair</t>
        </is>
      </c>
      <c r="X1999" s="18" t="n">
        <v>46167</v>
      </c>
      <c r="Y1999" s="73">
        <f>IF(X1999="","",X1999-A1999)</f>
        <v/>
      </c>
      <c r="Z1999" s="18" t="n">
        <v>46167</v>
      </c>
      <c r="AA1999" s="15" t="n"/>
      <c r="AB1999" s="15" t="n"/>
      <c r="AF1999">
        <f>IF(AND($F1999="Closed",$X1999&gt;=DATE(2026,5,1),$X1999&lt;=DATE(2026,5,31)),"Closed in May","Other")</f>
        <v/>
      </c>
    </row>
    <row r="2000">
      <c r="A2000" s="59" t="n">
        <v>46148</v>
      </c>
      <c r="B2000" s="3" t="n">
        <v>2026</v>
      </c>
      <c r="C2000" s="21" t="inlineStr">
        <is>
          <t>Continuum</t>
        </is>
      </c>
      <c r="D2000" s="3" t="inlineStr">
        <is>
          <t>Utility and C&amp;I</t>
        </is>
      </c>
      <c r="E2000" s="3" t="n"/>
      <c r="F2000" s="3" t="inlineStr">
        <is>
          <t>Closed</t>
        </is>
      </c>
      <c r="G2000" s="21" t="inlineStr">
        <is>
          <t>Amiya Ranjan Behera</t>
        </is>
      </c>
      <c r="H2000" s="21" t="n">
        <v>8917436223</v>
      </c>
      <c r="I2000" s="38" t="inlineStr">
        <is>
          <t>PE06052602</t>
        </is>
      </c>
      <c r="J2000" s="21" t="inlineStr">
        <is>
          <t>Diode Bypass Module Issue</t>
        </is>
      </c>
      <c r="K2000" s="21" t="inlineStr">
        <is>
          <t>Bhavnagar</t>
        </is>
      </c>
      <c r="L2000" s="21" t="inlineStr">
        <is>
          <t>Gujarat</t>
        </is>
      </c>
      <c r="M2000" s="9" t="inlineStr">
        <is>
          <t>PS</t>
        </is>
      </c>
      <c r="N2000" s="3" t="inlineStr">
        <is>
          <t>Cold Soldering</t>
        </is>
      </c>
      <c r="O2000" s="60" t="n">
        <v>540</v>
      </c>
      <c r="P2000" s="9" t="inlineStr">
        <is>
          <t>NSMP2305123020</t>
        </is>
      </c>
      <c r="Q2000" s="53">
        <f>MID(P2000,5,2)</f>
        <v/>
      </c>
      <c r="R2000" s="53">
        <f>MID(P2000,7,2)</f>
        <v/>
      </c>
      <c r="S2000" s="3" t="inlineStr">
        <is>
          <t>G2B</t>
        </is>
      </c>
      <c r="T2000" s="3" t="inlineStr">
        <is>
          <t>P2</t>
        </is>
      </c>
      <c r="U2000" s="3" t="inlineStr">
        <is>
          <t>P JB Cold Soldering</t>
        </is>
      </c>
      <c r="V2000" s="3" t="inlineStr">
        <is>
          <t>Soldering</t>
        </is>
      </c>
      <c r="W2000" s="3" t="inlineStr">
        <is>
          <t>Repair</t>
        </is>
      </c>
      <c r="X2000" s="18" t="n">
        <v>46167</v>
      </c>
      <c r="Y2000" s="73">
        <f>IF(X2000="","",X2000-A2000)</f>
        <v/>
      </c>
      <c r="Z2000" s="18" t="n">
        <v>46167</v>
      </c>
      <c r="AA2000" s="15" t="n"/>
      <c r="AB2000" s="15" t="n"/>
      <c r="AF2000">
        <f>IF(AND($F2000="Closed",$X2000&gt;=DATE(2026,5,1),$X2000&lt;=DATE(2026,5,31)),"Closed in May","Other")</f>
        <v/>
      </c>
    </row>
    <row r="2001">
      <c r="A2001" s="59" t="n">
        <v>46148</v>
      </c>
      <c r="B2001" s="3" t="n">
        <v>2026</v>
      </c>
      <c r="C2001" s="21" t="inlineStr">
        <is>
          <t>Continuum</t>
        </is>
      </c>
      <c r="D2001" s="3" t="inlineStr">
        <is>
          <t>Utility and C&amp;I</t>
        </is>
      </c>
      <c r="E2001" s="3" t="n"/>
      <c r="F2001" s="3" t="inlineStr">
        <is>
          <t>Closed</t>
        </is>
      </c>
      <c r="G2001" s="21" t="inlineStr">
        <is>
          <t>Amiya Ranjan Behera</t>
        </is>
      </c>
      <c r="H2001" s="21" t="n">
        <v>8917436223</v>
      </c>
      <c r="I2001" s="38" t="inlineStr">
        <is>
          <t>PE06052602</t>
        </is>
      </c>
      <c r="J2001" s="21" t="inlineStr">
        <is>
          <t>Diode Bypass Module Issue</t>
        </is>
      </c>
      <c r="K2001" s="21" t="inlineStr">
        <is>
          <t>Bhavnagar</t>
        </is>
      </c>
      <c r="L2001" s="21" t="inlineStr">
        <is>
          <t>Gujarat</t>
        </is>
      </c>
      <c r="M2001" s="9" t="inlineStr">
        <is>
          <t>PR</t>
        </is>
      </c>
      <c r="N2001" s="3" t="inlineStr">
        <is>
          <t>JB Issue</t>
        </is>
      </c>
      <c r="O2001" s="60" t="n">
        <v>540</v>
      </c>
      <c r="P2001" s="9" t="inlineStr">
        <is>
          <t>NSMP2305126809</t>
        </is>
      </c>
      <c r="Q2001" s="53">
        <f>MID(P2001,5,2)</f>
        <v/>
      </c>
      <c r="R2001" s="53">
        <f>MID(P2001,7,2)</f>
        <v/>
      </c>
      <c r="S2001" s="3" t="inlineStr">
        <is>
          <t>G2B</t>
        </is>
      </c>
      <c r="T2001" s="3" t="inlineStr">
        <is>
          <t>P2</t>
        </is>
      </c>
      <c r="U2001" s="3" t="inlineStr">
        <is>
          <t>P JB Issue</t>
        </is>
      </c>
      <c r="V2001" s="15" t="inlineStr">
        <is>
          <t>JB Changed</t>
        </is>
      </c>
      <c r="W2001" s="3" t="inlineStr">
        <is>
          <t>Repair</t>
        </is>
      </c>
      <c r="X2001" s="18" t="n">
        <v>46167</v>
      </c>
      <c r="Y2001" s="73">
        <f>IF(X2001="","",X2001-A2001)</f>
        <v/>
      </c>
      <c r="Z2001" s="18" t="n">
        <v>46167</v>
      </c>
      <c r="AA2001" s="15" t="n"/>
      <c r="AB2001" s="15" t="n"/>
      <c r="AF2001">
        <f>IF(AND($F2001="Closed",$X2001&gt;=DATE(2026,5,1),$X2001&lt;=DATE(2026,5,31)),"Closed in May","Other")</f>
        <v/>
      </c>
    </row>
    <row r="2002">
      <c r="A2002" s="59" t="n">
        <v>46148</v>
      </c>
      <c r="B2002" s="3" t="n">
        <v>2026</v>
      </c>
      <c r="C2002" s="21" t="inlineStr">
        <is>
          <t>Continuum</t>
        </is>
      </c>
      <c r="D2002" s="3" t="inlineStr">
        <is>
          <t>Utility and C&amp;I</t>
        </is>
      </c>
      <c r="E2002" s="3" t="n"/>
      <c r="F2002" s="3" t="inlineStr">
        <is>
          <t>Closed</t>
        </is>
      </c>
      <c r="G2002" s="21" t="inlineStr">
        <is>
          <t>Amiya Ranjan Behera</t>
        </is>
      </c>
      <c r="H2002" s="21" t="n">
        <v>8917436223</v>
      </c>
      <c r="I2002" s="38" t="inlineStr">
        <is>
          <t>PE06052602</t>
        </is>
      </c>
      <c r="J2002" s="21" t="inlineStr">
        <is>
          <t>Diode Bypass Module Issue</t>
        </is>
      </c>
      <c r="K2002" s="21" t="inlineStr">
        <is>
          <t>Bhavnagar</t>
        </is>
      </c>
      <c r="L2002" s="21" t="inlineStr">
        <is>
          <t>Gujarat</t>
        </is>
      </c>
      <c r="M2002" s="9" t="inlineStr">
        <is>
          <t>NR</t>
        </is>
      </c>
      <c r="N2002" s="26" t="inlineStr">
        <is>
          <t>JB Issue</t>
        </is>
      </c>
      <c r="O2002" s="60" t="n">
        <v>540</v>
      </c>
      <c r="P2002" s="9" t="inlineStr">
        <is>
          <t>NSMP2305121449</t>
        </is>
      </c>
      <c r="Q2002" s="53">
        <f>MID(P2002,5,2)</f>
        <v/>
      </c>
      <c r="R2002" s="53">
        <f>MID(P2002,7,2)</f>
        <v/>
      </c>
      <c r="S2002" s="3" t="inlineStr">
        <is>
          <t>G2B</t>
        </is>
      </c>
      <c r="T2002" s="3" t="inlineStr">
        <is>
          <t>P2</t>
        </is>
      </c>
      <c r="U2002" s="19" t="inlineStr">
        <is>
          <t>N JB Issue</t>
        </is>
      </c>
      <c r="V2002" s="19" t="inlineStr">
        <is>
          <t>JB Changed</t>
        </is>
      </c>
      <c r="W2002" s="3" t="inlineStr">
        <is>
          <t>Repair</t>
        </is>
      </c>
      <c r="X2002" s="18" t="n">
        <v>46167</v>
      </c>
      <c r="Y2002" s="73">
        <f>IF(X2002="","",X2002-A2002)</f>
        <v/>
      </c>
      <c r="Z2002" s="18" t="n">
        <v>46167</v>
      </c>
      <c r="AA2002" s="15" t="n"/>
      <c r="AB2002" s="15" t="n"/>
      <c r="AF2002">
        <f>IF(AND($F2002="Closed",$X2002&gt;=DATE(2026,5,1),$X2002&lt;=DATE(2026,5,31)),"Closed in May","Other")</f>
        <v/>
      </c>
    </row>
    <row r="2003">
      <c r="A2003" s="59" t="n">
        <v>46148</v>
      </c>
      <c r="B2003" s="3" t="n">
        <v>2026</v>
      </c>
      <c r="C2003" s="21" t="inlineStr">
        <is>
          <t>Continuum</t>
        </is>
      </c>
      <c r="D2003" s="3" t="inlineStr">
        <is>
          <t>Utility and C&amp;I</t>
        </is>
      </c>
      <c r="E2003" s="3" t="n"/>
      <c r="F2003" s="3" t="inlineStr">
        <is>
          <t>Closed</t>
        </is>
      </c>
      <c r="G2003" s="21" t="inlineStr">
        <is>
          <t>Amiya Ranjan Behera</t>
        </is>
      </c>
      <c r="H2003" s="21" t="n">
        <v>8917436223</v>
      </c>
      <c r="I2003" s="38" t="inlineStr">
        <is>
          <t>PE06052602</t>
        </is>
      </c>
      <c r="J2003" s="21" t="inlineStr">
        <is>
          <t>Diode Bypass Module Issue</t>
        </is>
      </c>
      <c r="K2003" s="21" t="inlineStr">
        <is>
          <t>Bhavnagar</t>
        </is>
      </c>
      <c r="L2003" s="21" t="inlineStr">
        <is>
          <t>Gujarat</t>
        </is>
      </c>
      <c r="M2003" s="9" t="inlineStr">
        <is>
          <t>NS</t>
        </is>
      </c>
      <c r="N2003" s="26" t="inlineStr">
        <is>
          <t>Cold Soldering</t>
        </is>
      </c>
      <c r="O2003" s="60" t="n">
        <v>540</v>
      </c>
      <c r="P2003" s="9" t="inlineStr">
        <is>
          <t>NSMP2305126633</t>
        </is>
      </c>
      <c r="Q2003" s="53">
        <f>MID(P2003,5,2)</f>
        <v/>
      </c>
      <c r="R2003" s="53">
        <f>MID(P2003,7,2)</f>
        <v/>
      </c>
      <c r="S2003" s="3" t="inlineStr">
        <is>
          <t>G2B</t>
        </is>
      </c>
      <c r="T2003" s="3" t="inlineStr">
        <is>
          <t>P2</t>
        </is>
      </c>
      <c r="U2003" s="19" t="inlineStr">
        <is>
          <t>N JB Cold Soldering</t>
        </is>
      </c>
      <c r="V2003" s="19" t="inlineStr">
        <is>
          <t>Soldering</t>
        </is>
      </c>
      <c r="W2003" s="3" t="inlineStr">
        <is>
          <t>Repair</t>
        </is>
      </c>
      <c r="X2003" s="18" t="n">
        <v>46167</v>
      </c>
      <c r="Y2003" s="73">
        <f>IF(X2003="","",X2003-A2003)</f>
        <v/>
      </c>
      <c r="Z2003" s="18" t="n">
        <v>46167</v>
      </c>
      <c r="AA2003" s="15" t="n"/>
      <c r="AB2003" s="15" t="n"/>
      <c r="AF2003">
        <f>IF(AND($F2003="Closed",$X2003&gt;=DATE(2026,5,1),$X2003&lt;=DATE(2026,5,31)),"Closed in May","Other")</f>
        <v/>
      </c>
    </row>
    <row r="2004">
      <c r="A2004" s="59" t="n">
        <v>46148</v>
      </c>
      <c r="B2004" s="3" t="n">
        <v>2026</v>
      </c>
      <c r="C2004" s="21" t="inlineStr">
        <is>
          <t>Continuum</t>
        </is>
      </c>
      <c r="D2004" s="3" t="inlineStr">
        <is>
          <t>Utility and C&amp;I</t>
        </is>
      </c>
      <c r="E2004" s="3" t="n"/>
      <c r="F2004" s="3" t="inlineStr">
        <is>
          <t>Closed</t>
        </is>
      </c>
      <c r="G2004" s="21" t="inlineStr">
        <is>
          <t>Amiya Ranjan Behera</t>
        </is>
      </c>
      <c r="H2004" s="21" t="n">
        <v>8917436223</v>
      </c>
      <c r="I2004" s="38" t="inlineStr">
        <is>
          <t>PE06052602</t>
        </is>
      </c>
      <c r="J2004" s="21" t="inlineStr">
        <is>
          <t>Diode Bypass Module Issue</t>
        </is>
      </c>
      <c r="K2004" s="21" t="inlineStr">
        <is>
          <t>Bhavnagar</t>
        </is>
      </c>
      <c r="L2004" s="21" t="inlineStr">
        <is>
          <t>Gujarat</t>
        </is>
      </c>
      <c r="M2004" s="9" t="inlineStr">
        <is>
          <t>PS</t>
        </is>
      </c>
      <c r="N2004" s="3" t="inlineStr">
        <is>
          <t>Cold Soldering</t>
        </is>
      </c>
      <c r="O2004" s="60" t="n">
        <v>540</v>
      </c>
      <c r="P2004" s="9" t="inlineStr">
        <is>
          <t>NSMP2305130368</t>
        </is>
      </c>
      <c r="Q2004" s="53">
        <f>MID(P2004,5,2)</f>
        <v/>
      </c>
      <c r="R2004" s="53">
        <f>MID(P2004,7,2)</f>
        <v/>
      </c>
      <c r="S2004" s="3" t="inlineStr">
        <is>
          <t>G2B</t>
        </is>
      </c>
      <c r="T2004" s="3" t="inlineStr">
        <is>
          <t>P2</t>
        </is>
      </c>
      <c r="U2004" s="3" t="inlineStr">
        <is>
          <t>P JB Cold Soldering</t>
        </is>
      </c>
      <c r="V2004" s="3" t="inlineStr">
        <is>
          <t>Soldering</t>
        </is>
      </c>
      <c r="W2004" s="3" t="inlineStr">
        <is>
          <t>Repair</t>
        </is>
      </c>
      <c r="X2004" s="18" t="n">
        <v>46167</v>
      </c>
      <c r="Y2004" s="73">
        <f>IF(X2004="","",X2004-A2004)</f>
        <v/>
      </c>
      <c r="Z2004" s="18" t="n">
        <v>46167</v>
      </c>
      <c r="AA2004" s="15" t="n"/>
      <c r="AB2004" s="15" t="n"/>
      <c r="AF2004">
        <f>IF(AND($F2004="Closed",$X2004&gt;=DATE(2026,5,1),$X2004&lt;=DATE(2026,5,31)),"Closed in May","Other")</f>
        <v/>
      </c>
    </row>
    <row r="2005">
      <c r="A2005" s="59" t="n">
        <v>46148</v>
      </c>
      <c r="B2005" s="3" t="n">
        <v>2026</v>
      </c>
      <c r="C2005" s="21" t="inlineStr">
        <is>
          <t>Continuum</t>
        </is>
      </c>
      <c r="D2005" s="3" t="inlineStr">
        <is>
          <t>Utility and C&amp;I</t>
        </is>
      </c>
      <c r="E2005" s="3" t="n"/>
      <c r="F2005" s="3" t="inlineStr">
        <is>
          <t>Closed</t>
        </is>
      </c>
      <c r="G2005" s="21" t="inlineStr">
        <is>
          <t>Amiya Ranjan Behera</t>
        </is>
      </c>
      <c r="H2005" s="21" t="n">
        <v>8917436223</v>
      </c>
      <c r="I2005" s="38" t="inlineStr">
        <is>
          <t>PE06052602</t>
        </is>
      </c>
      <c r="J2005" s="21" t="inlineStr">
        <is>
          <t>Diode Bypass Module Issue</t>
        </is>
      </c>
      <c r="K2005" s="21" t="inlineStr">
        <is>
          <t>Bhavnagar</t>
        </is>
      </c>
      <c r="L2005" s="21" t="inlineStr">
        <is>
          <t>Gujarat</t>
        </is>
      </c>
      <c r="M2005" s="9" t="inlineStr">
        <is>
          <t>PS</t>
        </is>
      </c>
      <c r="N2005" s="3" t="inlineStr">
        <is>
          <t>Cold Soldering</t>
        </is>
      </c>
      <c r="O2005" s="60" t="n">
        <v>540</v>
      </c>
      <c r="P2005" s="9" t="inlineStr">
        <is>
          <t>NSMP2305130333</t>
        </is>
      </c>
      <c r="Q2005" s="53">
        <f>MID(P2005,5,2)</f>
        <v/>
      </c>
      <c r="R2005" s="53">
        <f>MID(P2005,7,2)</f>
        <v/>
      </c>
      <c r="S2005" s="3" t="inlineStr">
        <is>
          <t>G2B</t>
        </is>
      </c>
      <c r="T2005" s="3" t="inlineStr">
        <is>
          <t>P2</t>
        </is>
      </c>
      <c r="U2005" s="3" t="inlineStr">
        <is>
          <t>P JB Cold Soldering</t>
        </is>
      </c>
      <c r="V2005" s="3" t="inlineStr">
        <is>
          <t>Soldering</t>
        </is>
      </c>
      <c r="W2005" s="3" t="inlineStr">
        <is>
          <t>Repair</t>
        </is>
      </c>
      <c r="X2005" s="18" t="n">
        <v>46167</v>
      </c>
      <c r="Y2005" s="73">
        <f>IF(X2005="","",X2005-A2005)</f>
        <v/>
      </c>
      <c r="Z2005" s="18" t="n">
        <v>46167</v>
      </c>
      <c r="AA2005" s="15" t="n"/>
      <c r="AB2005" s="15" t="n"/>
      <c r="AF2005">
        <f>IF(AND($F2005="Closed",$X2005&gt;=DATE(2026,5,1),$X2005&lt;=DATE(2026,5,31)),"Closed in May","Other")</f>
        <v/>
      </c>
    </row>
    <row r="2006">
      <c r="A2006" s="59" t="n">
        <v>46148</v>
      </c>
      <c r="B2006" s="3" t="n">
        <v>2026</v>
      </c>
      <c r="C2006" s="21" t="inlineStr">
        <is>
          <t>Continuum</t>
        </is>
      </c>
      <c r="D2006" s="3" t="inlineStr">
        <is>
          <t>Utility and C&amp;I</t>
        </is>
      </c>
      <c r="E2006" s="3" t="n"/>
      <c r="F2006" s="3" t="inlineStr">
        <is>
          <t>Closed</t>
        </is>
      </c>
      <c r="G2006" s="21" t="inlineStr">
        <is>
          <t>Amiya Ranjan Behera</t>
        </is>
      </c>
      <c r="H2006" s="21" t="n">
        <v>8917436223</v>
      </c>
      <c r="I2006" s="38" t="inlineStr">
        <is>
          <t>PE06052602</t>
        </is>
      </c>
      <c r="J2006" s="21" t="inlineStr">
        <is>
          <t>Diode Bypass Module Issue</t>
        </is>
      </c>
      <c r="K2006" s="21" t="inlineStr">
        <is>
          <t>Bhavnagar</t>
        </is>
      </c>
      <c r="L2006" s="21" t="inlineStr">
        <is>
          <t>Gujarat</t>
        </is>
      </c>
      <c r="M2006" s="9" t="inlineStr">
        <is>
          <t>PR</t>
        </is>
      </c>
      <c r="N2006" s="3" t="inlineStr">
        <is>
          <t>JB Issue</t>
        </is>
      </c>
      <c r="O2006" s="60" t="n">
        <v>540</v>
      </c>
      <c r="P2006" s="9" t="inlineStr">
        <is>
          <t>NSMP2305130073</t>
        </is>
      </c>
      <c r="Q2006" s="53">
        <f>MID(P2006,5,2)</f>
        <v/>
      </c>
      <c r="R2006" s="53">
        <f>MID(P2006,7,2)</f>
        <v/>
      </c>
      <c r="S2006" s="3" t="inlineStr">
        <is>
          <t>G2B</t>
        </is>
      </c>
      <c r="T2006" s="3" t="inlineStr">
        <is>
          <t>P2</t>
        </is>
      </c>
      <c r="U2006" s="3" t="inlineStr">
        <is>
          <t>P JB Issue</t>
        </is>
      </c>
      <c r="V2006" s="15" t="inlineStr">
        <is>
          <t>JB Changed</t>
        </is>
      </c>
      <c r="W2006" s="3" t="inlineStr">
        <is>
          <t>Repair</t>
        </is>
      </c>
      <c r="X2006" s="18" t="n">
        <v>46167</v>
      </c>
      <c r="Y2006" s="73">
        <f>IF(X2006="","",X2006-A2006)</f>
        <v/>
      </c>
      <c r="Z2006" s="18" t="n">
        <v>46167</v>
      </c>
      <c r="AA2006" s="15" t="n"/>
      <c r="AB2006" s="15" t="n"/>
      <c r="AF2006">
        <f>IF(AND($F2006="Closed",$X2006&gt;=DATE(2026,5,1),$X2006&lt;=DATE(2026,5,31)),"Closed in May","Other")</f>
        <v/>
      </c>
    </row>
    <row r="2007">
      <c r="A2007" s="59" t="n">
        <v>46148</v>
      </c>
      <c r="B2007" s="3" t="n">
        <v>2026</v>
      </c>
      <c r="C2007" s="21" t="inlineStr">
        <is>
          <t>Continuum</t>
        </is>
      </c>
      <c r="D2007" s="3" t="inlineStr">
        <is>
          <t>Utility and C&amp;I</t>
        </is>
      </c>
      <c r="E2007" s="3" t="n"/>
      <c r="F2007" s="3" t="inlineStr">
        <is>
          <t>Closed</t>
        </is>
      </c>
      <c r="G2007" s="21" t="inlineStr">
        <is>
          <t>Amiya Ranjan Behera</t>
        </is>
      </c>
      <c r="H2007" s="21" t="n">
        <v>8917436223</v>
      </c>
      <c r="I2007" s="38" t="inlineStr">
        <is>
          <t>PE06052602</t>
        </is>
      </c>
      <c r="J2007" s="21" t="inlineStr">
        <is>
          <t>Diode Bypass Module Issue</t>
        </is>
      </c>
      <c r="K2007" s="21" t="inlineStr">
        <is>
          <t>Bhavnagar</t>
        </is>
      </c>
      <c r="L2007" s="21" t="inlineStr">
        <is>
          <t>Gujarat</t>
        </is>
      </c>
      <c r="M2007" s="9" t="inlineStr">
        <is>
          <t>PS</t>
        </is>
      </c>
      <c r="N2007" s="3" t="inlineStr">
        <is>
          <t>Cold Soldering</t>
        </is>
      </c>
      <c r="O2007" s="60" t="n">
        <v>540</v>
      </c>
      <c r="P2007" s="9" t="inlineStr">
        <is>
          <t>NSMP2305130271</t>
        </is>
      </c>
      <c r="Q2007" s="53">
        <f>MID(P2007,5,2)</f>
        <v/>
      </c>
      <c r="R2007" s="53">
        <f>MID(P2007,7,2)</f>
        <v/>
      </c>
      <c r="S2007" s="3" t="inlineStr">
        <is>
          <t>G2B</t>
        </is>
      </c>
      <c r="T2007" s="3" t="inlineStr">
        <is>
          <t>P2</t>
        </is>
      </c>
      <c r="U2007" s="3" t="inlineStr">
        <is>
          <t>P JB Cold Soldering</t>
        </is>
      </c>
      <c r="V2007" s="3" t="inlineStr">
        <is>
          <t>Soldering</t>
        </is>
      </c>
      <c r="W2007" s="3" t="inlineStr">
        <is>
          <t>Repair</t>
        </is>
      </c>
      <c r="X2007" s="18" t="n">
        <v>46167</v>
      </c>
      <c r="Y2007" s="73">
        <f>IF(X2007="","",X2007-A2007)</f>
        <v/>
      </c>
      <c r="Z2007" s="18" t="n">
        <v>46167</v>
      </c>
      <c r="AA2007" s="15" t="n"/>
      <c r="AB2007" s="15" t="n"/>
      <c r="AF2007">
        <f>IF(AND($F2007="Closed",$X2007&gt;=DATE(2026,5,1),$X2007&lt;=DATE(2026,5,31)),"Closed in May","Other")</f>
        <v/>
      </c>
    </row>
    <row r="2008">
      <c r="A2008" s="59" t="n">
        <v>46148</v>
      </c>
      <c r="B2008" s="3" t="n">
        <v>2026</v>
      </c>
      <c r="C2008" s="21" t="inlineStr">
        <is>
          <t>Continuum</t>
        </is>
      </c>
      <c r="D2008" s="3" t="inlineStr">
        <is>
          <t>Utility and C&amp;I</t>
        </is>
      </c>
      <c r="E2008" s="3" t="n"/>
      <c r="F2008" s="3" t="inlineStr">
        <is>
          <t>Closed</t>
        </is>
      </c>
      <c r="G2008" s="21" t="inlineStr">
        <is>
          <t>Amiya Ranjan Behera</t>
        </is>
      </c>
      <c r="H2008" s="21" t="n">
        <v>8917436223</v>
      </c>
      <c r="I2008" s="38" t="inlineStr">
        <is>
          <t>PE06052602</t>
        </is>
      </c>
      <c r="J2008" s="21" t="inlineStr">
        <is>
          <t>Diode Bypass Module Issue</t>
        </is>
      </c>
      <c r="K2008" s="21" t="inlineStr">
        <is>
          <t>Bhavnagar</t>
        </is>
      </c>
      <c r="L2008" s="21" t="inlineStr">
        <is>
          <t>Gujarat</t>
        </is>
      </c>
      <c r="M2008" s="9" t="inlineStr">
        <is>
          <t>NS</t>
        </is>
      </c>
      <c r="N2008" s="26" t="inlineStr">
        <is>
          <t>Cold Soldering</t>
        </is>
      </c>
      <c r="O2008" s="60" t="n">
        <v>540</v>
      </c>
      <c r="P2008" s="9" t="inlineStr">
        <is>
          <t>NSMP2305123075</t>
        </is>
      </c>
      <c r="Q2008" s="53">
        <f>MID(P2008,5,2)</f>
        <v/>
      </c>
      <c r="R2008" s="53">
        <f>MID(P2008,7,2)</f>
        <v/>
      </c>
      <c r="S2008" s="3" t="inlineStr">
        <is>
          <t>G2B</t>
        </is>
      </c>
      <c r="T2008" s="3" t="inlineStr">
        <is>
          <t>P2</t>
        </is>
      </c>
      <c r="U2008" s="19" t="inlineStr">
        <is>
          <t>N JB Cold Soldering</t>
        </is>
      </c>
      <c r="V2008" s="19" t="inlineStr">
        <is>
          <t>Soldering</t>
        </is>
      </c>
      <c r="W2008" s="3" t="inlineStr">
        <is>
          <t>Repair</t>
        </is>
      </c>
      <c r="X2008" s="18" t="n">
        <v>46167</v>
      </c>
      <c r="Y2008" s="73">
        <f>IF(X2008="","",X2008-A2008)</f>
        <v/>
      </c>
      <c r="Z2008" s="18" t="n">
        <v>46167</v>
      </c>
      <c r="AA2008" s="15" t="n"/>
      <c r="AB2008" s="15" t="n"/>
      <c r="AF2008">
        <f>IF(AND($F2008="Closed",$X2008&gt;=DATE(2026,5,1),$X2008&lt;=DATE(2026,5,31)),"Closed in May","Other")</f>
        <v/>
      </c>
    </row>
    <row r="2009">
      <c r="A2009" s="59" t="n">
        <v>46148</v>
      </c>
      <c r="B2009" s="3" t="n">
        <v>2026</v>
      </c>
      <c r="C2009" s="21" t="inlineStr">
        <is>
          <t>Continuum</t>
        </is>
      </c>
      <c r="D2009" s="3" t="inlineStr">
        <is>
          <t>Utility and C&amp;I</t>
        </is>
      </c>
      <c r="E2009" s="3" t="n"/>
      <c r="F2009" s="3" t="inlineStr">
        <is>
          <t>Closed</t>
        </is>
      </c>
      <c r="G2009" s="21" t="inlineStr">
        <is>
          <t>Amiya Ranjan Behera</t>
        </is>
      </c>
      <c r="H2009" s="21" t="n">
        <v>8917436223</v>
      </c>
      <c r="I2009" s="38" t="inlineStr">
        <is>
          <t>PE06052602</t>
        </is>
      </c>
      <c r="J2009" s="21" t="inlineStr">
        <is>
          <t>Diode Bypass Module Issue</t>
        </is>
      </c>
      <c r="K2009" s="21" t="inlineStr">
        <is>
          <t>Bhavnagar</t>
        </is>
      </c>
      <c r="L2009" s="21" t="inlineStr">
        <is>
          <t>Gujarat</t>
        </is>
      </c>
      <c r="M2009" s="9" t="inlineStr">
        <is>
          <t>PS</t>
        </is>
      </c>
      <c r="N2009" s="3" t="inlineStr">
        <is>
          <t>Cold Soldering</t>
        </is>
      </c>
      <c r="O2009" s="60" t="n">
        <v>540</v>
      </c>
      <c r="P2009" s="9" t="inlineStr">
        <is>
          <t>NSMP2305123057</t>
        </is>
      </c>
      <c r="Q2009" s="53">
        <f>MID(P2009,5,2)</f>
        <v/>
      </c>
      <c r="R2009" s="53">
        <f>MID(P2009,7,2)</f>
        <v/>
      </c>
      <c r="S2009" s="3" t="inlineStr">
        <is>
          <t>G2B</t>
        </is>
      </c>
      <c r="T2009" s="3" t="inlineStr">
        <is>
          <t>P2</t>
        </is>
      </c>
      <c r="U2009" s="3" t="inlineStr">
        <is>
          <t>P JB Cold Soldering</t>
        </is>
      </c>
      <c r="V2009" s="3" t="inlineStr">
        <is>
          <t>Soldering</t>
        </is>
      </c>
      <c r="W2009" s="3" t="inlineStr">
        <is>
          <t>Repair</t>
        </is>
      </c>
      <c r="X2009" s="18" t="n">
        <v>46167</v>
      </c>
      <c r="Y2009" s="73">
        <f>IF(X2009="","",X2009-A2009)</f>
        <v/>
      </c>
      <c r="Z2009" s="18" t="n">
        <v>46167</v>
      </c>
      <c r="AA2009" s="15" t="n"/>
      <c r="AB2009" s="15" t="n"/>
      <c r="AF2009">
        <f>IF(AND($F2009="Closed",$X2009&gt;=DATE(2026,5,1),$X2009&lt;=DATE(2026,5,31)),"Closed in May","Other")</f>
        <v/>
      </c>
    </row>
    <row r="2010">
      <c r="A2010" s="59" t="n">
        <v>46148</v>
      </c>
      <c r="B2010" s="3" t="n">
        <v>2026</v>
      </c>
      <c r="C2010" s="21" t="inlineStr">
        <is>
          <t>Continuum</t>
        </is>
      </c>
      <c r="D2010" s="3" t="inlineStr">
        <is>
          <t>Utility and C&amp;I</t>
        </is>
      </c>
      <c r="E2010" s="3" t="n"/>
      <c r="F2010" s="3" t="inlineStr">
        <is>
          <t>Closed</t>
        </is>
      </c>
      <c r="G2010" s="21" t="inlineStr">
        <is>
          <t>Amiya Ranjan Behera</t>
        </is>
      </c>
      <c r="H2010" s="21" t="n">
        <v>8917436223</v>
      </c>
      <c r="I2010" s="38" t="inlineStr">
        <is>
          <t>PE06052602</t>
        </is>
      </c>
      <c r="J2010" s="21" t="inlineStr">
        <is>
          <t>Diode Bypass Module Issue</t>
        </is>
      </c>
      <c r="K2010" s="21" t="inlineStr">
        <is>
          <t>Bhavnagar</t>
        </is>
      </c>
      <c r="L2010" s="21" t="inlineStr">
        <is>
          <t>Gujarat</t>
        </is>
      </c>
      <c r="M2010" s="9" t="inlineStr">
        <is>
          <t>OK</t>
        </is>
      </c>
      <c r="N2010" s="3" t="inlineStr">
        <is>
          <t>No Issue</t>
        </is>
      </c>
      <c r="O2010" s="60" t="n">
        <v>540</v>
      </c>
      <c r="P2010" s="9" t="inlineStr">
        <is>
          <t>NSMP2305130668</t>
        </is>
      </c>
      <c r="Q2010" s="53">
        <f>MID(P2010,5,2)</f>
        <v/>
      </c>
      <c r="R2010" s="53">
        <f>MID(P2010,7,2)</f>
        <v/>
      </c>
      <c r="S2010" s="3" t="inlineStr">
        <is>
          <t>G2B</t>
        </is>
      </c>
      <c r="T2010" s="3" t="inlineStr">
        <is>
          <t>P2</t>
        </is>
      </c>
      <c r="U2010" s="19" t="inlineStr">
        <is>
          <t>No Issue Found</t>
        </is>
      </c>
      <c r="V2010" s="19" t="inlineStr">
        <is>
          <t>Found OK</t>
        </is>
      </c>
      <c r="W2010" s="3" t="inlineStr">
        <is>
          <t>Repair</t>
        </is>
      </c>
      <c r="X2010" s="18" t="n">
        <v>46167</v>
      </c>
      <c r="Y2010" s="73">
        <f>IF(X2010="","",X2010-A2010)</f>
        <v/>
      </c>
      <c r="Z2010" s="18" t="n">
        <v>46167</v>
      </c>
      <c r="AA2010" s="15" t="n"/>
      <c r="AB2010" s="15" t="n"/>
      <c r="AF2010">
        <f>IF(AND($F2010="Closed",$X2010&gt;=DATE(2026,5,1),$X2010&lt;=DATE(2026,5,31)),"Closed in May","Other")</f>
        <v/>
      </c>
    </row>
    <row r="2011">
      <c r="A2011" s="87" t="n">
        <v>46165</v>
      </c>
      <c r="B2011" s="73" t="n">
        <v>2026</v>
      </c>
      <c r="C2011" s="88" t="inlineStr">
        <is>
          <t>Panasonic</t>
        </is>
      </c>
      <c r="D2011" s="88" t="inlineStr">
        <is>
          <t>OEM</t>
        </is>
      </c>
      <c r="E2011" s="73" t="n"/>
      <c r="F2011" s="73" t="inlineStr">
        <is>
          <t>Closed</t>
        </is>
      </c>
      <c r="G2011" s="88" t="inlineStr">
        <is>
          <t>Chirag Tare</t>
        </is>
      </c>
      <c r="H2011" s="88" t="n">
        <v>7719846027</v>
      </c>
      <c r="I2011" s="89" t="inlineStr">
        <is>
          <t>PE23052601</t>
        </is>
      </c>
      <c r="J2011" s="88" t="inlineStr">
        <is>
          <t>Low generation</t>
        </is>
      </c>
      <c r="K2011" s="88" t="inlineStr">
        <is>
          <t>Kochi</t>
        </is>
      </c>
      <c r="L2011" s="88" t="inlineStr">
        <is>
          <t>Kerala</t>
        </is>
      </c>
      <c r="M2011" s="90" t="inlineStr">
        <is>
          <t>PS</t>
        </is>
      </c>
      <c r="N2011" s="79" t="inlineStr">
        <is>
          <t>Cold Soldering</t>
        </is>
      </c>
      <c r="O2011" s="91" t="n">
        <v>450</v>
      </c>
      <c r="P2011" s="92" t="inlineStr">
        <is>
          <t>NSMP2205013074</t>
        </is>
      </c>
      <c r="Q2011" s="83">
        <f>MID(P2011,5,2)</f>
        <v/>
      </c>
      <c r="R2011" s="77">
        <f>MID(P2011,7,2)</f>
        <v/>
      </c>
      <c r="S2011" s="73" t="inlineStr">
        <is>
          <t>G2B</t>
        </is>
      </c>
      <c r="T2011" s="73" t="inlineStr">
        <is>
          <t>P2</t>
        </is>
      </c>
      <c r="U2011" s="73" t="inlineStr">
        <is>
          <t>P JB Cold Soldering</t>
        </is>
      </c>
      <c r="V2011" s="73" t="inlineStr">
        <is>
          <t>Soldering</t>
        </is>
      </c>
      <c r="W2011" s="73" t="inlineStr">
        <is>
          <t>Repair</t>
        </is>
      </c>
      <c r="X2011" s="85" t="n">
        <v>46167</v>
      </c>
      <c r="Y2011" s="73">
        <f>IF(X2011="","",X2011-A2011)</f>
        <v/>
      </c>
      <c r="Z2011" s="85" t="n">
        <v>46167</v>
      </c>
      <c r="AA2011" s="86" t="n"/>
      <c r="AB2011" s="86" t="n"/>
      <c r="AF2011">
        <f>IF(AND($F2011="Closed",$X2011&gt;=DATE(2026,5,1),$X2011&lt;=DATE(2026,5,31)),"Closed in May","Other")</f>
        <v/>
      </c>
    </row>
    <row r="2012">
      <c r="A2012" s="59" t="n">
        <v>46165</v>
      </c>
      <c r="B2012" s="3" t="n">
        <v>2026</v>
      </c>
      <c r="C2012" s="21" t="inlineStr">
        <is>
          <t>Panasonic</t>
        </is>
      </c>
      <c r="D2012" s="21" t="inlineStr">
        <is>
          <t>OEM</t>
        </is>
      </c>
      <c r="E2012" s="3" t="n"/>
      <c r="F2012" s="3" t="inlineStr">
        <is>
          <t>Closed</t>
        </is>
      </c>
      <c r="G2012" s="21" t="inlineStr">
        <is>
          <t>Chirag Tare</t>
        </is>
      </c>
      <c r="H2012" s="21" t="n">
        <v>7719846027</v>
      </c>
      <c r="I2012" s="63" t="inlineStr">
        <is>
          <t>PE23052601</t>
        </is>
      </c>
      <c r="J2012" s="21" t="inlineStr">
        <is>
          <t>Low generation</t>
        </is>
      </c>
      <c r="K2012" s="21" t="inlineStr">
        <is>
          <t>Kochi</t>
        </is>
      </c>
      <c r="L2012" s="21" t="inlineStr">
        <is>
          <t>Kerala</t>
        </is>
      </c>
      <c r="M2012" s="66" t="inlineStr">
        <is>
          <t>OK</t>
        </is>
      </c>
      <c r="N2012" s="3" t="inlineStr">
        <is>
          <t>No Issue</t>
        </is>
      </c>
      <c r="O2012" s="60" t="n">
        <v>450</v>
      </c>
      <c r="P2012" s="65" t="inlineStr">
        <is>
          <t>NSMP2205013060</t>
        </is>
      </c>
      <c r="Q2012" s="54">
        <f>MID(P2012,5,2)</f>
        <v/>
      </c>
      <c r="R2012" s="53">
        <f>MID(P2012,7,2)</f>
        <v/>
      </c>
      <c r="S2012" s="3" t="inlineStr">
        <is>
          <t>G2B</t>
        </is>
      </c>
      <c r="T2012" s="3" t="inlineStr">
        <is>
          <t>P2</t>
        </is>
      </c>
      <c r="U2012" s="19" t="inlineStr">
        <is>
          <t>No Issue Found</t>
        </is>
      </c>
      <c r="V2012" s="19" t="inlineStr">
        <is>
          <t>Found OK</t>
        </is>
      </c>
      <c r="W2012" s="3" t="inlineStr">
        <is>
          <t>Repair</t>
        </is>
      </c>
      <c r="X2012" s="18" t="n">
        <v>46167</v>
      </c>
      <c r="Y2012" s="73">
        <f>IF(X2012="","",X2012-A2012)</f>
        <v/>
      </c>
      <c r="Z2012" s="18" t="n">
        <v>46167</v>
      </c>
      <c r="AA2012" s="15" t="n"/>
      <c r="AB2012" s="15" t="n"/>
      <c r="AF2012">
        <f>IF(AND($F2012="Closed",$X2012&gt;=DATE(2026,5,1),$X2012&lt;=DATE(2026,5,31)),"Closed in May","Other")</f>
        <v/>
      </c>
    </row>
    <row r="2013">
      <c r="A2013" s="59" t="n">
        <v>46165</v>
      </c>
      <c r="B2013" s="3" t="n">
        <v>2026</v>
      </c>
      <c r="C2013" s="21" t="inlineStr">
        <is>
          <t>Panasonic</t>
        </is>
      </c>
      <c r="D2013" s="21" t="inlineStr">
        <is>
          <t>OEM</t>
        </is>
      </c>
      <c r="E2013" s="3" t="n"/>
      <c r="F2013" s="3" t="inlineStr">
        <is>
          <t>Closed</t>
        </is>
      </c>
      <c r="G2013" s="21" t="inlineStr">
        <is>
          <t>Chirag Tare</t>
        </is>
      </c>
      <c r="H2013" s="21" t="n">
        <v>7719846027</v>
      </c>
      <c r="I2013" s="63" t="inlineStr">
        <is>
          <t>PE23052601</t>
        </is>
      </c>
      <c r="J2013" s="21" t="inlineStr">
        <is>
          <t>Low generation</t>
        </is>
      </c>
      <c r="K2013" s="21" t="inlineStr">
        <is>
          <t>Kochi</t>
        </is>
      </c>
      <c r="L2013" s="21" t="inlineStr">
        <is>
          <t>Kerala</t>
        </is>
      </c>
      <c r="M2013" s="66" t="inlineStr">
        <is>
          <t>OK</t>
        </is>
      </c>
      <c r="N2013" s="3" t="inlineStr">
        <is>
          <t>No Issue</t>
        </is>
      </c>
      <c r="O2013" s="60" t="n">
        <v>450</v>
      </c>
      <c r="P2013" s="65" t="inlineStr">
        <is>
          <t>NSMP2205012969</t>
        </is>
      </c>
      <c r="Q2013" s="54">
        <f>MID(P2013,5,2)</f>
        <v/>
      </c>
      <c r="R2013" s="53">
        <f>MID(P2013,7,2)</f>
        <v/>
      </c>
      <c r="S2013" s="3" t="inlineStr">
        <is>
          <t>G2B</t>
        </is>
      </c>
      <c r="T2013" s="3" t="inlineStr">
        <is>
          <t>P2</t>
        </is>
      </c>
      <c r="U2013" s="19" t="inlineStr">
        <is>
          <t>No Issue Found</t>
        </is>
      </c>
      <c r="V2013" s="19" t="inlineStr">
        <is>
          <t>Found OK</t>
        </is>
      </c>
      <c r="W2013" s="3" t="inlineStr">
        <is>
          <t>Repair</t>
        </is>
      </c>
      <c r="X2013" s="18" t="n">
        <v>46167</v>
      </c>
      <c r="Y2013" s="73">
        <f>IF(X2013="","",X2013-A2013)</f>
        <v/>
      </c>
      <c r="Z2013" s="18" t="n">
        <v>46167</v>
      </c>
      <c r="AA2013" s="15" t="n"/>
      <c r="AB2013" s="15" t="n"/>
      <c r="AF2013">
        <f>IF(AND($F2013="Closed",$X2013&gt;=DATE(2026,5,1),$X2013&lt;=DATE(2026,5,31)),"Closed in May","Other")</f>
        <v/>
      </c>
    </row>
    <row r="2014">
      <c r="A2014" s="59" t="n">
        <v>46165</v>
      </c>
      <c r="B2014" s="3" t="n">
        <v>2026</v>
      </c>
      <c r="C2014" s="21" t="inlineStr">
        <is>
          <t>Panasonic</t>
        </is>
      </c>
      <c r="D2014" s="21" t="inlineStr">
        <is>
          <t>OEM</t>
        </is>
      </c>
      <c r="E2014" s="3" t="n"/>
      <c r="F2014" s="3" t="inlineStr">
        <is>
          <t>Closed</t>
        </is>
      </c>
      <c r="G2014" s="21" t="inlineStr">
        <is>
          <t>Chirag Tare</t>
        </is>
      </c>
      <c r="H2014" s="21" t="n">
        <v>7719846027</v>
      </c>
      <c r="I2014" s="63" t="inlineStr">
        <is>
          <t>PE23052601</t>
        </is>
      </c>
      <c r="J2014" s="21" t="inlineStr">
        <is>
          <t>Low generation</t>
        </is>
      </c>
      <c r="K2014" s="21" t="inlineStr">
        <is>
          <t>Kochi</t>
        </is>
      </c>
      <c r="L2014" s="21" t="inlineStr">
        <is>
          <t>Kerala</t>
        </is>
      </c>
      <c r="M2014" s="66" t="inlineStr">
        <is>
          <t>NS</t>
        </is>
      </c>
      <c r="N2014" s="26" t="inlineStr">
        <is>
          <t>Cold Soldering</t>
        </is>
      </c>
      <c r="O2014" s="60" t="n">
        <v>450</v>
      </c>
      <c r="P2014" s="65" t="inlineStr">
        <is>
          <t>NSMP2205013078</t>
        </is>
      </c>
      <c r="Q2014" s="54">
        <f>MID(P2014,5,2)</f>
        <v/>
      </c>
      <c r="R2014" s="53">
        <f>MID(P2014,7,2)</f>
        <v/>
      </c>
      <c r="S2014" s="3" t="inlineStr">
        <is>
          <t>G2B</t>
        </is>
      </c>
      <c r="T2014" s="3" t="inlineStr">
        <is>
          <t>P2</t>
        </is>
      </c>
      <c r="U2014" s="19" t="inlineStr">
        <is>
          <t>N JB Cold Soldering</t>
        </is>
      </c>
      <c r="V2014" s="3" t="inlineStr">
        <is>
          <t>Soldering</t>
        </is>
      </c>
      <c r="W2014" s="3" t="inlineStr">
        <is>
          <t>Repair</t>
        </is>
      </c>
      <c r="X2014" s="18" t="n">
        <v>46167</v>
      </c>
      <c r="Y2014" s="73">
        <f>IF(X2014="","",X2014-A2014)</f>
        <v/>
      </c>
      <c r="Z2014" s="18" t="n">
        <v>46167</v>
      </c>
      <c r="AA2014" s="15" t="n"/>
      <c r="AB2014" s="15" t="n"/>
      <c r="AF2014">
        <f>IF(AND($F2014="Closed",$X2014&gt;=DATE(2026,5,1),$X2014&lt;=DATE(2026,5,31)),"Closed in May","Other")</f>
        <v/>
      </c>
    </row>
    <row r="2015">
      <c r="A2015" s="59" t="n">
        <v>46165</v>
      </c>
      <c r="B2015" s="3" t="n">
        <v>2026</v>
      </c>
      <c r="C2015" s="21" t="inlineStr">
        <is>
          <t>Panasonic</t>
        </is>
      </c>
      <c r="D2015" s="21" t="inlineStr">
        <is>
          <t>OEM</t>
        </is>
      </c>
      <c r="E2015" s="3" t="n"/>
      <c r="F2015" s="3" t="inlineStr">
        <is>
          <t>Closed</t>
        </is>
      </c>
      <c r="G2015" s="21" t="inlineStr">
        <is>
          <t>Chirag Tare</t>
        </is>
      </c>
      <c r="H2015" s="21" t="n">
        <v>7719846027</v>
      </c>
      <c r="I2015" s="63" t="inlineStr">
        <is>
          <t>PE23052601</t>
        </is>
      </c>
      <c r="J2015" s="21" t="inlineStr">
        <is>
          <t>Low generation</t>
        </is>
      </c>
      <c r="K2015" s="21" t="inlineStr">
        <is>
          <t>Kochi</t>
        </is>
      </c>
      <c r="L2015" s="21" t="inlineStr">
        <is>
          <t>Kerala</t>
        </is>
      </c>
      <c r="M2015" s="68" t="inlineStr">
        <is>
          <t>OK</t>
        </is>
      </c>
      <c r="N2015" s="3" t="inlineStr">
        <is>
          <t>No Issue</t>
        </is>
      </c>
      <c r="O2015" s="60" t="n">
        <v>450</v>
      </c>
      <c r="P2015" s="65" t="inlineStr">
        <is>
          <t>NSMP2205013081</t>
        </is>
      </c>
      <c r="Q2015" s="54">
        <f>MID(P2015,5,2)</f>
        <v/>
      </c>
      <c r="R2015" s="53">
        <f>MID(P2015,7,2)</f>
        <v/>
      </c>
      <c r="S2015" s="3" t="inlineStr">
        <is>
          <t>G2B</t>
        </is>
      </c>
      <c r="T2015" s="3" t="inlineStr">
        <is>
          <t>P2</t>
        </is>
      </c>
      <c r="U2015" s="19" t="inlineStr">
        <is>
          <t>No Issue Found</t>
        </is>
      </c>
      <c r="V2015" s="19" t="inlineStr">
        <is>
          <t>Found OK</t>
        </is>
      </c>
      <c r="W2015" s="3" t="inlineStr">
        <is>
          <t>Repair</t>
        </is>
      </c>
      <c r="X2015" s="18" t="n">
        <v>46167</v>
      </c>
      <c r="Y2015" s="73">
        <f>IF(X2015="","",X2015-A2015)</f>
        <v/>
      </c>
      <c r="Z2015" s="18" t="n">
        <v>46167</v>
      </c>
      <c r="AA2015" s="15" t="n"/>
      <c r="AB2015" s="15" t="n"/>
      <c r="AF2015">
        <f>IF(AND($F2015="Closed",$X2015&gt;=DATE(2026,5,1),$X2015&lt;=DATE(2026,5,31)),"Closed in May","Other")</f>
        <v/>
      </c>
    </row>
    <row r="2016">
      <c r="A2016" s="37" t="n">
        <v>46143</v>
      </c>
      <c r="B2016" s="3" t="n">
        <v>2026</v>
      </c>
      <c r="C2016" s="26" t="inlineStr">
        <is>
          <t>Yanara Power</t>
        </is>
      </c>
      <c r="D2016" s="3" t="inlineStr">
        <is>
          <t>Utility and C&amp;I</t>
        </is>
      </c>
      <c r="E2016" s="3" t="n"/>
      <c r="F2016" s="3" t="inlineStr">
        <is>
          <t>Closed</t>
        </is>
      </c>
      <c r="G2016" s="9" t="inlineStr">
        <is>
          <t xml:space="preserve">Ashish Jindal </t>
        </is>
      </c>
      <c r="H2016" s="26" t="n">
        <v>9983975581</v>
      </c>
      <c r="I2016" s="38" t="inlineStr">
        <is>
          <t>PE01052601</t>
        </is>
      </c>
      <c r="J2016" s="26" t="inlineStr">
        <is>
          <t>Multiple Issues</t>
        </is>
      </c>
      <c r="K2016" s="39" t="inlineStr">
        <is>
          <t>Holi</t>
        </is>
      </c>
      <c r="L2016" s="39" t="inlineStr">
        <is>
          <t>Maharashtra</t>
        </is>
      </c>
      <c r="M2016" s="46" t="inlineStr">
        <is>
          <t>PS</t>
        </is>
      </c>
      <c r="N2016" s="3" t="inlineStr">
        <is>
          <t>Cold Soldering</t>
        </is>
      </c>
      <c r="O2016" s="56" t="n">
        <v>575</v>
      </c>
      <c r="P2016" s="67" t="inlineStr">
        <is>
          <t>NSMI24070178161</t>
        </is>
      </c>
      <c r="Q2016" s="54">
        <f>MID(P2016,5,2)</f>
        <v/>
      </c>
      <c r="R2016" s="53">
        <f>MID(P2016,7,2)</f>
        <v/>
      </c>
      <c r="S2016" s="3" t="inlineStr">
        <is>
          <t>G2G</t>
        </is>
      </c>
      <c r="T2016" s="3" t="inlineStr">
        <is>
          <t>P4</t>
        </is>
      </c>
      <c r="U2016" s="19" t="inlineStr">
        <is>
          <t>P JB Cold Soldering</t>
        </is>
      </c>
      <c r="V2016" s="19" t="inlineStr">
        <is>
          <t>Soldering</t>
        </is>
      </c>
      <c r="W2016" s="3" t="inlineStr">
        <is>
          <t>Repair</t>
        </is>
      </c>
      <c r="X2016" s="18" t="n">
        <v>46167</v>
      </c>
      <c r="Y2016" s="73">
        <f>IF(X2016="","",X2016-A2016)</f>
        <v/>
      </c>
      <c r="Z2016" s="18" t="n">
        <v>46167</v>
      </c>
      <c r="AA2016" s="15" t="n"/>
      <c r="AB2016" s="15" t="n"/>
      <c r="AF2016">
        <f>IF(AND($F2016="Closed",$X2016&gt;=DATE(2026,5,1),$X2016&lt;=DATE(2026,5,31)),"Closed in May","Other")</f>
        <v/>
      </c>
    </row>
    <row r="2017">
      <c r="A2017" s="37" t="n">
        <v>46143</v>
      </c>
      <c r="B2017" s="3" t="n">
        <v>2026</v>
      </c>
      <c r="C2017" s="26" t="inlineStr">
        <is>
          <t>Yanara Power</t>
        </is>
      </c>
      <c r="D2017" s="3" t="inlineStr">
        <is>
          <t>Utility and C&amp;I</t>
        </is>
      </c>
      <c r="E2017" s="3" t="n"/>
      <c r="F2017" s="3" t="inlineStr">
        <is>
          <t>Closed</t>
        </is>
      </c>
      <c r="G2017" s="9" t="inlineStr">
        <is>
          <t xml:space="preserve">Ashish Jindal </t>
        </is>
      </c>
      <c r="H2017" s="26" t="n">
        <v>9983975581</v>
      </c>
      <c r="I2017" s="38" t="inlineStr">
        <is>
          <t>PE01052601</t>
        </is>
      </c>
      <c r="J2017" s="26" t="inlineStr">
        <is>
          <t>Multiple Issues</t>
        </is>
      </c>
      <c r="K2017" s="39" t="inlineStr">
        <is>
          <t>Holi</t>
        </is>
      </c>
      <c r="L2017" s="39" t="inlineStr">
        <is>
          <t>Maharashtra</t>
        </is>
      </c>
      <c r="M2017" s="46" t="inlineStr">
        <is>
          <t>PS</t>
        </is>
      </c>
      <c r="N2017" s="3" t="inlineStr">
        <is>
          <t>Cold Soldering</t>
        </is>
      </c>
      <c r="O2017" s="56" t="n">
        <v>575</v>
      </c>
      <c r="P2017" s="67" t="inlineStr">
        <is>
          <t>NSMI24070176543</t>
        </is>
      </c>
      <c r="Q2017" s="54">
        <f>MID(P2017,5,2)</f>
        <v/>
      </c>
      <c r="R2017" s="53">
        <f>MID(P2017,7,2)</f>
        <v/>
      </c>
      <c r="S2017" s="3" t="inlineStr">
        <is>
          <t>G2G</t>
        </is>
      </c>
      <c r="T2017" s="3" t="inlineStr">
        <is>
          <t>P4</t>
        </is>
      </c>
      <c r="U2017" s="19" t="inlineStr">
        <is>
          <t>P JB Cold Soldering</t>
        </is>
      </c>
      <c r="V2017" s="19" t="inlineStr">
        <is>
          <t>Soldering</t>
        </is>
      </c>
      <c r="W2017" s="3" t="inlineStr">
        <is>
          <t>Repair</t>
        </is>
      </c>
      <c r="X2017" s="18" t="n">
        <v>46167</v>
      </c>
      <c r="Y2017" s="73">
        <f>IF(X2017="","",X2017-A2017)</f>
        <v/>
      </c>
      <c r="Z2017" s="18" t="n">
        <v>46167</v>
      </c>
      <c r="AA2017" s="15" t="n"/>
      <c r="AB2017" s="15" t="n"/>
      <c r="AF2017">
        <f>IF(AND($F2017="Closed",$X2017&gt;=DATE(2026,5,1),$X2017&lt;=DATE(2026,5,31)),"Closed in May","Other")</f>
        <v/>
      </c>
    </row>
    <row r="2018">
      <c r="A2018" s="37" t="n">
        <v>46143</v>
      </c>
      <c r="B2018" s="3" t="n">
        <v>2026</v>
      </c>
      <c r="C2018" s="26" t="inlineStr">
        <is>
          <t>Yanara Power</t>
        </is>
      </c>
      <c r="D2018" s="3" t="inlineStr">
        <is>
          <t>Utility and C&amp;I</t>
        </is>
      </c>
      <c r="E2018" s="3" t="n"/>
      <c r="F2018" s="3" t="inlineStr">
        <is>
          <t>Closed</t>
        </is>
      </c>
      <c r="G2018" s="9" t="inlineStr">
        <is>
          <t xml:space="preserve">Ashish Jindal </t>
        </is>
      </c>
      <c r="H2018" s="26" t="n">
        <v>9983975581</v>
      </c>
      <c r="I2018" s="38" t="inlineStr">
        <is>
          <t>PE01052601</t>
        </is>
      </c>
      <c r="J2018" s="26" t="inlineStr">
        <is>
          <t>Multiple Issues</t>
        </is>
      </c>
      <c r="K2018" s="39" t="inlineStr">
        <is>
          <t>Holi</t>
        </is>
      </c>
      <c r="L2018" s="39" t="inlineStr">
        <is>
          <t>Maharashtra</t>
        </is>
      </c>
      <c r="M2018" s="46" t="inlineStr">
        <is>
          <t>NS</t>
        </is>
      </c>
      <c r="N2018" s="3" t="inlineStr">
        <is>
          <t>Cold Soldering</t>
        </is>
      </c>
      <c r="O2018" s="56" t="n">
        <v>575</v>
      </c>
      <c r="P2018" s="67" t="inlineStr">
        <is>
          <t>NSMI24070221362</t>
        </is>
      </c>
      <c r="Q2018" s="54">
        <f>MID(P2018,5,2)</f>
        <v/>
      </c>
      <c r="R2018" s="53">
        <f>MID(P2018,7,2)</f>
        <v/>
      </c>
      <c r="S2018" s="3" t="inlineStr">
        <is>
          <t>G2G</t>
        </is>
      </c>
      <c r="T2018" s="3" t="inlineStr">
        <is>
          <t>P4</t>
        </is>
      </c>
      <c r="U2018" s="3" t="inlineStr">
        <is>
          <t>N JB Cold Soldering</t>
        </is>
      </c>
      <c r="V2018" s="3" t="inlineStr">
        <is>
          <t>Soldering</t>
        </is>
      </c>
      <c r="W2018" s="3" t="inlineStr">
        <is>
          <t>Repair</t>
        </is>
      </c>
      <c r="X2018" s="18" t="n">
        <v>46167</v>
      </c>
      <c r="Y2018" s="73">
        <f>IF(X2018="","",X2018-A2018)</f>
        <v/>
      </c>
      <c r="Z2018" s="18" t="n">
        <v>46167</v>
      </c>
      <c r="AA2018" s="15" t="n"/>
      <c r="AB2018" s="15" t="n"/>
      <c r="AF2018">
        <f>IF(AND($F2018="Closed",$X2018&gt;=DATE(2026,5,1),$X2018&lt;=DATE(2026,5,31)),"Closed in May","Other")</f>
        <v/>
      </c>
    </row>
    <row r="2019">
      <c r="A2019" s="37" t="n">
        <v>46143</v>
      </c>
      <c r="B2019" s="3" t="n">
        <v>2026</v>
      </c>
      <c r="C2019" s="26" t="inlineStr">
        <is>
          <t>Yanara Power</t>
        </is>
      </c>
      <c r="D2019" s="3" t="inlineStr">
        <is>
          <t>Utility and C&amp;I</t>
        </is>
      </c>
      <c r="E2019" s="3" t="n"/>
      <c r="F2019" s="3" t="inlineStr">
        <is>
          <t>Closed</t>
        </is>
      </c>
      <c r="G2019" s="9" t="inlineStr">
        <is>
          <t xml:space="preserve">Ashish Jindal </t>
        </is>
      </c>
      <c r="H2019" s="26" t="n">
        <v>9983975581</v>
      </c>
      <c r="I2019" s="38" t="inlineStr">
        <is>
          <t>PE01052601</t>
        </is>
      </c>
      <c r="J2019" s="26" t="inlineStr">
        <is>
          <t>Multiple Issues</t>
        </is>
      </c>
      <c r="K2019" s="39" t="inlineStr">
        <is>
          <t>Holi</t>
        </is>
      </c>
      <c r="L2019" s="39" t="inlineStr">
        <is>
          <t>Maharashtra</t>
        </is>
      </c>
      <c r="M2019" s="46" t="inlineStr">
        <is>
          <t>PS</t>
        </is>
      </c>
      <c r="N2019" s="3" t="inlineStr">
        <is>
          <t>Cold Soldering</t>
        </is>
      </c>
      <c r="O2019" s="56" t="n">
        <v>575</v>
      </c>
      <c r="P2019" s="67" t="inlineStr">
        <is>
          <t>NSMI24070221320</t>
        </is>
      </c>
      <c r="Q2019" s="54">
        <f>MID(P2019,5,2)</f>
        <v/>
      </c>
      <c r="R2019" s="53">
        <f>MID(P2019,7,2)</f>
        <v/>
      </c>
      <c r="S2019" s="3" t="inlineStr">
        <is>
          <t>G2G</t>
        </is>
      </c>
      <c r="T2019" s="3" t="inlineStr">
        <is>
          <t>P4</t>
        </is>
      </c>
      <c r="U2019" s="19" t="inlineStr">
        <is>
          <t>P JB Cold Soldering</t>
        </is>
      </c>
      <c r="V2019" s="19" t="inlineStr">
        <is>
          <t>Soldering</t>
        </is>
      </c>
      <c r="W2019" s="3" t="inlineStr">
        <is>
          <t>Repair</t>
        </is>
      </c>
      <c r="X2019" s="18" t="n">
        <v>46167</v>
      </c>
      <c r="Y2019" s="73">
        <f>IF(X2019="","",X2019-A2019)</f>
        <v/>
      </c>
      <c r="Z2019" s="18" t="n">
        <v>46167</v>
      </c>
      <c r="AA2019" s="15" t="n"/>
      <c r="AB2019" s="15" t="n"/>
      <c r="AF2019">
        <f>IF(AND($F2019="Closed",$X2019&gt;=DATE(2026,5,1),$X2019&lt;=DATE(2026,5,31)),"Closed in May","Other")</f>
        <v/>
      </c>
    </row>
    <row r="2020">
      <c r="A2020" s="37" t="n">
        <v>46143</v>
      </c>
      <c r="B2020" s="3" t="n">
        <v>2026</v>
      </c>
      <c r="C2020" s="26" t="inlineStr">
        <is>
          <t>Yanara Power</t>
        </is>
      </c>
      <c r="D2020" s="3" t="inlineStr">
        <is>
          <t>Utility and C&amp;I</t>
        </is>
      </c>
      <c r="E2020" s="3" t="n"/>
      <c r="F2020" s="3" t="inlineStr">
        <is>
          <t>Closed</t>
        </is>
      </c>
      <c r="G2020" s="9" t="inlineStr">
        <is>
          <t xml:space="preserve">Ashish Jindal </t>
        </is>
      </c>
      <c r="H2020" s="26" t="n">
        <v>9983975581</v>
      </c>
      <c r="I2020" s="38" t="inlineStr">
        <is>
          <t>PE01052601</t>
        </is>
      </c>
      <c r="J2020" s="26" t="inlineStr">
        <is>
          <t>Multiple Issues</t>
        </is>
      </c>
      <c r="K2020" s="39" t="inlineStr">
        <is>
          <t>Holi</t>
        </is>
      </c>
      <c r="L2020" s="39" t="inlineStr">
        <is>
          <t>Maharashtra</t>
        </is>
      </c>
      <c r="M2020" s="46" t="inlineStr">
        <is>
          <t>PS</t>
        </is>
      </c>
      <c r="N2020" s="3" t="inlineStr">
        <is>
          <t>Cold Soldering</t>
        </is>
      </c>
      <c r="O2020" s="56" t="n">
        <v>575</v>
      </c>
      <c r="P2020" s="67" t="inlineStr">
        <is>
          <t>NSMI24070221326</t>
        </is>
      </c>
      <c r="Q2020" s="54">
        <f>MID(P2020,5,2)</f>
        <v/>
      </c>
      <c r="R2020" s="53">
        <f>MID(P2020,7,2)</f>
        <v/>
      </c>
      <c r="S2020" s="3" t="inlineStr">
        <is>
          <t>G2G</t>
        </is>
      </c>
      <c r="T2020" s="3" t="inlineStr">
        <is>
          <t>P4</t>
        </is>
      </c>
      <c r="U2020" s="19" t="inlineStr">
        <is>
          <t>P JB Cold Soldering</t>
        </is>
      </c>
      <c r="V2020" s="19" t="inlineStr">
        <is>
          <t>Soldering</t>
        </is>
      </c>
      <c r="W2020" s="3" t="inlineStr">
        <is>
          <t>Repair</t>
        </is>
      </c>
      <c r="X2020" s="18" t="n">
        <v>46167</v>
      </c>
      <c r="Y2020" s="73">
        <f>IF(X2020="","",X2020-A2020)</f>
        <v/>
      </c>
      <c r="Z2020" s="18" t="n">
        <v>46167</v>
      </c>
      <c r="AA2020" s="15" t="n"/>
      <c r="AB2020" s="15" t="n"/>
      <c r="AF2020">
        <f>IF(AND($F2020="Closed",$X2020&gt;=DATE(2026,5,1),$X2020&lt;=DATE(2026,5,31)),"Closed in May","Other")</f>
        <v/>
      </c>
    </row>
    <row r="2021">
      <c r="A2021" s="37" t="n">
        <v>46143</v>
      </c>
      <c r="B2021" s="3" t="n">
        <v>2026</v>
      </c>
      <c r="C2021" s="26" t="inlineStr">
        <is>
          <t>Yanara Power</t>
        </is>
      </c>
      <c r="D2021" s="3" t="inlineStr">
        <is>
          <t>Utility and C&amp;I</t>
        </is>
      </c>
      <c r="E2021" s="3" t="n"/>
      <c r="F2021" s="3" t="inlineStr">
        <is>
          <t>Closed</t>
        </is>
      </c>
      <c r="G2021" s="9" t="inlineStr">
        <is>
          <t xml:space="preserve">Ashish Jindal </t>
        </is>
      </c>
      <c r="H2021" s="26" t="n">
        <v>9983975581</v>
      </c>
      <c r="I2021" s="38" t="inlineStr">
        <is>
          <t>PE01052601</t>
        </is>
      </c>
      <c r="J2021" s="26" t="inlineStr">
        <is>
          <t>Multiple Issues</t>
        </is>
      </c>
      <c r="K2021" s="39" t="inlineStr">
        <is>
          <t>Holi</t>
        </is>
      </c>
      <c r="L2021" s="39" t="inlineStr">
        <is>
          <t>Maharashtra</t>
        </is>
      </c>
      <c r="M2021" s="46" t="inlineStr">
        <is>
          <t>PNS</t>
        </is>
      </c>
      <c r="N2021" s="3" t="inlineStr">
        <is>
          <t>Cold Soldering</t>
        </is>
      </c>
      <c r="O2021" s="56" t="n">
        <v>575</v>
      </c>
      <c r="P2021" s="67" t="inlineStr">
        <is>
          <t>NSMI24070216578</t>
        </is>
      </c>
      <c r="Q2021" s="54">
        <f>MID(P2021,5,2)</f>
        <v/>
      </c>
      <c r="R2021" s="53">
        <f>MID(P2021,7,2)</f>
        <v/>
      </c>
      <c r="S2021" s="3" t="inlineStr">
        <is>
          <t>G2G</t>
        </is>
      </c>
      <c r="T2021" s="3" t="inlineStr">
        <is>
          <t>P4</t>
        </is>
      </c>
      <c r="U2021" s="3" t="inlineStr">
        <is>
          <t>P &amp; N JB Cold Soldering</t>
        </is>
      </c>
      <c r="V2021" s="3" t="inlineStr">
        <is>
          <t>Soldering</t>
        </is>
      </c>
      <c r="W2021" s="3" t="inlineStr">
        <is>
          <t>Repair</t>
        </is>
      </c>
      <c r="X2021" s="18" t="n">
        <v>46167</v>
      </c>
      <c r="Y2021" s="73">
        <f>IF(X2021="","",X2021-A2021)</f>
        <v/>
      </c>
      <c r="Z2021" s="18" t="n">
        <v>46167</v>
      </c>
      <c r="AA2021" s="15" t="n"/>
      <c r="AB2021" s="15" t="n"/>
      <c r="AF2021">
        <f>IF(AND($F2021="Closed",$X2021&gt;=DATE(2026,5,1),$X2021&lt;=DATE(2026,5,31)),"Closed in May","Other")</f>
        <v/>
      </c>
    </row>
    <row r="2022">
      <c r="A2022" s="37" t="n">
        <v>46143</v>
      </c>
      <c r="B2022" s="3" t="n">
        <v>2026</v>
      </c>
      <c r="C2022" s="26" t="inlineStr">
        <is>
          <t>Yanara Power</t>
        </is>
      </c>
      <c r="D2022" s="3" t="inlineStr">
        <is>
          <t>Utility and C&amp;I</t>
        </is>
      </c>
      <c r="E2022" s="3" t="n"/>
      <c r="F2022" s="3" t="inlineStr">
        <is>
          <t>Closed</t>
        </is>
      </c>
      <c r="G2022" s="9" t="inlineStr">
        <is>
          <t xml:space="preserve">Ashish Jindal </t>
        </is>
      </c>
      <c r="H2022" s="26" t="n">
        <v>9983975581</v>
      </c>
      <c r="I2022" s="38" t="inlineStr">
        <is>
          <t>PE01052601</t>
        </is>
      </c>
      <c r="J2022" s="26" t="inlineStr">
        <is>
          <t>Multiple Issues</t>
        </is>
      </c>
      <c r="K2022" s="39" t="inlineStr">
        <is>
          <t>Holi</t>
        </is>
      </c>
      <c r="L2022" s="39" t="inlineStr">
        <is>
          <t>Maharashtra</t>
        </is>
      </c>
      <c r="M2022" s="46" t="inlineStr">
        <is>
          <t>NS</t>
        </is>
      </c>
      <c r="N2022" s="3" t="inlineStr">
        <is>
          <t>Cold Soldering</t>
        </is>
      </c>
      <c r="O2022" s="56" t="n">
        <v>575</v>
      </c>
      <c r="P2022" s="67" t="inlineStr">
        <is>
          <t>NSMI24070216312</t>
        </is>
      </c>
      <c r="Q2022" s="54">
        <f>MID(P2022,5,2)</f>
        <v/>
      </c>
      <c r="R2022" s="53">
        <f>MID(P2022,7,2)</f>
        <v/>
      </c>
      <c r="S2022" s="3" t="inlineStr">
        <is>
          <t>G2G</t>
        </is>
      </c>
      <c r="T2022" s="3" t="inlineStr">
        <is>
          <t>P4</t>
        </is>
      </c>
      <c r="U2022" s="3" t="inlineStr">
        <is>
          <t>N JB Cold Soldering</t>
        </is>
      </c>
      <c r="V2022" s="3" t="inlineStr">
        <is>
          <t>Soldering</t>
        </is>
      </c>
      <c r="W2022" s="3" t="inlineStr">
        <is>
          <t>Repair</t>
        </is>
      </c>
      <c r="X2022" s="18" t="n">
        <v>46167</v>
      </c>
      <c r="Y2022" s="73">
        <f>IF(X2022="","",X2022-A2022)</f>
        <v/>
      </c>
      <c r="Z2022" s="18" t="n">
        <v>46167</v>
      </c>
      <c r="AA2022" s="15" t="n"/>
      <c r="AB2022" s="15" t="n"/>
      <c r="AF2022">
        <f>IF(AND($F2022="Closed",$X2022&gt;=DATE(2026,5,1),$X2022&lt;=DATE(2026,5,31)),"Closed in May","Other")</f>
        <v/>
      </c>
    </row>
    <row r="2023">
      <c r="A2023" s="37" t="n">
        <v>46143</v>
      </c>
      <c r="B2023" s="3" t="n">
        <v>2026</v>
      </c>
      <c r="C2023" s="26" t="inlineStr">
        <is>
          <t>Yanara Power</t>
        </is>
      </c>
      <c r="D2023" s="3" t="inlineStr">
        <is>
          <t>Utility and C&amp;I</t>
        </is>
      </c>
      <c r="E2023" s="3" t="n"/>
      <c r="F2023" s="3" t="inlineStr">
        <is>
          <t>Closed</t>
        </is>
      </c>
      <c r="G2023" s="9" t="inlineStr">
        <is>
          <t xml:space="preserve">Ashish Jindal </t>
        </is>
      </c>
      <c r="H2023" s="26" t="n">
        <v>9983975581</v>
      </c>
      <c r="I2023" s="38" t="inlineStr">
        <is>
          <t>PE01052601</t>
        </is>
      </c>
      <c r="J2023" s="26" t="inlineStr">
        <is>
          <t>Multiple Issues</t>
        </is>
      </c>
      <c r="K2023" s="39" t="inlineStr">
        <is>
          <t>Holi</t>
        </is>
      </c>
      <c r="L2023" s="39" t="inlineStr">
        <is>
          <t>Maharashtra</t>
        </is>
      </c>
      <c r="M2023" s="46" t="inlineStr">
        <is>
          <t>PS</t>
        </is>
      </c>
      <c r="N2023" s="3" t="inlineStr">
        <is>
          <t>Cold Soldering</t>
        </is>
      </c>
      <c r="O2023" s="56" t="n">
        <v>575</v>
      </c>
      <c r="P2023" s="67" t="inlineStr">
        <is>
          <t>NSMI24070216384</t>
        </is>
      </c>
      <c r="Q2023" s="54">
        <f>MID(P2023,5,2)</f>
        <v/>
      </c>
      <c r="R2023" s="53">
        <f>MID(P2023,7,2)</f>
        <v/>
      </c>
      <c r="S2023" s="3" t="inlineStr">
        <is>
          <t>G2G</t>
        </is>
      </c>
      <c r="T2023" s="3" t="inlineStr">
        <is>
          <t>P4</t>
        </is>
      </c>
      <c r="U2023" s="19" t="inlineStr">
        <is>
          <t>P JB Cold Soldering</t>
        </is>
      </c>
      <c r="V2023" s="19" t="inlineStr">
        <is>
          <t>Soldering</t>
        </is>
      </c>
      <c r="W2023" s="3" t="inlineStr">
        <is>
          <t>Repair</t>
        </is>
      </c>
      <c r="X2023" s="18" t="n">
        <v>46167</v>
      </c>
      <c r="Y2023" s="73">
        <f>IF(X2023="","",X2023-A2023)</f>
        <v/>
      </c>
      <c r="Z2023" s="18" t="n">
        <v>46167</v>
      </c>
      <c r="AA2023" s="15" t="n"/>
      <c r="AB2023" s="15" t="n"/>
      <c r="AF2023">
        <f>IF(AND($F2023="Closed",$X2023&gt;=DATE(2026,5,1),$X2023&lt;=DATE(2026,5,31)),"Closed in May","Other")</f>
        <v/>
      </c>
    </row>
    <row r="2024">
      <c r="A2024" s="37" t="n">
        <v>46143</v>
      </c>
      <c r="B2024" s="3" t="n">
        <v>2026</v>
      </c>
      <c r="C2024" s="26" t="inlineStr">
        <is>
          <t>Yanara Power</t>
        </is>
      </c>
      <c r="D2024" s="3" t="inlineStr">
        <is>
          <t>Utility and C&amp;I</t>
        </is>
      </c>
      <c r="E2024" s="3" t="n"/>
      <c r="F2024" s="3" t="inlineStr">
        <is>
          <t>Closed</t>
        </is>
      </c>
      <c r="G2024" s="9" t="inlineStr">
        <is>
          <t xml:space="preserve">Ashish Jindal </t>
        </is>
      </c>
      <c r="H2024" s="26" t="n">
        <v>9983975581</v>
      </c>
      <c r="I2024" s="38" t="inlineStr">
        <is>
          <t>PE01052601</t>
        </is>
      </c>
      <c r="J2024" s="26" t="inlineStr">
        <is>
          <t>Multiple Issues</t>
        </is>
      </c>
      <c r="K2024" s="39" t="inlineStr">
        <is>
          <t>Holi</t>
        </is>
      </c>
      <c r="L2024" s="39" t="inlineStr">
        <is>
          <t>Maharashtra</t>
        </is>
      </c>
      <c r="M2024" s="46" t="inlineStr">
        <is>
          <t>PS</t>
        </is>
      </c>
      <c r="N2024" s="3" t="inlineStr">
        <is>
          <t>Cold Soldering</t>
        </is>
      </c>
      <c r="O2024" s="56" t="n">
        <v>575</v>
      </c>
      <c r="P2024" s="67" t="inlineStr">
        <is>
          <t>NSMI24070216682</t>
        </is>
      </c>
      <c r="Q2024" s="54">
        <f>MID(P2024,5,2)</f>
        <v/>
      </c>
      <c r="R2024" s="53">
        <f>MID(P2024,7,2)</f>
        <v/>
      </c>
      <c r="S2024" s="3" t="inlineStr">
        <is>
          <t>G2G</t>
        </is>
      </c>
      <c r="T2024" s="3" t="inlineStr">
        <is>
          <t>P4</t>
        </is>
      </c>
      <c r="U2024" s="19" t="inlineStr">
        <is>
          <t>P JB Cold Soldering</t>
        </is>
      </c>
      <c r="V2024" s="19" t="inlineStr">
        <is>
          <t>Soldering</t>
        </is>
      </c>
      <c r="W2024" s="3" t="inlineStr">
        <is>
          <t>Repair</t>
        </is>
      </c>
      <c r="X2024" s="18" t="n">
        <v>46167</v>
      </c>
      <c r="Y2024" s="73">
        <f>IF(X2024="","",X2024-A2024)</f>
        <v/>
      </c>
      <c r="Z2024" s="18" t="n">
        <v>46167</v>
      </c>
      <c r="AA2024" s="15" t="n"/>
      <c r="AB2024" s="15" t="n"/>
      <c r="AF2024">
        <f>IF(AND($F2024="Closed",$X2024&gt;=DATE(2026,5,1),$X2024&lt;=DATE(2026,5,31)),"Closed in May","Other")</f>
        <v/>
      </c>
    </row>
    <row r="2025">
      <c r="A2025" s="37" t="n">
        <v>46143</v>
      </c>
      <c r="B2025" s="3" t="n">
        <v>2026</v>
      </c>
      <c r="C2025" s="26" t="inlineStr">
        <is>
          <t>Yanara Power</t>
        </is>
      </c>
      <c r="D2025" s="3" t="inlineStr">
        <is>
          <t>Utility and C&amp;I</t>
        </is>
      </c>
      <c r="E2025" s="3" t="n"/>
      <c r="F2025" s="3" t="inlineStr">
        <is>
          <t>Closed</t>
        </is>
      </c>
      <c r="G2025" s="9" t="inlineStr">
        <is>
          <t xml:space="preserve">Ashish Jindal </t>
        </is>
      </c>
      <c r="H2025" s="26" t="n">
        <v>9983975581</v>
      </c>
      <c r="I2025" s="38" t="inlineStr">
        <is>
          <t>PE01052601</t>
        </is>
      </c>
      <c r="J2025" s="26" t="inlineStr">
        <is>
          <t>Multiple Issues</t>
        </is>
      </c>
      <c r="K2025" s="39" t="inlineStr">
        <is>
          <t>Holi</t>
        </is>
      </c>
      <c r="L2025" s="39" t="inlineStr">
        <is>
          <t>Maharashtra</t>
        </is>
      </c>
      <c r="M2025" s="46" t="inlineStr">
        <is>
          <t>PS</t>
        </is>
      </c>
      <c r="N2025" s="3" t="inlineStr">
        <is>
          <t>Cold Soldering</t>
        </is>
      </c>
      <c r="O2025" s="56" t="n">
        <v>575</v>
      </c>
      <c r="P2025" s="67" t="inlineStr">
        <is>
          <t>NSMI24070221329</t>
        </is>
      </c>
      <c r="Q2025" s="54">
        <f>MID(P2025,5,2)</f>
        <v/>
      </c>
      <c r="R2025" s="53">
        <f>MID(P2025,7,2)</f>
        <v/>
      </c>
      <c r="S2025" s="3" t="inlineStr">
        <is>
          <t>G2G</t>
        </is>
      </c>
      <c r="T2025" s="3" t="inlineStr">
        <is>
          <t>P4</t>
        </is>
      </c>
      <c r="U2025" s="19" t="inlineStr">
        <is>
          <t>P JB Cold Soldering</t>
        </is>
      </c>
      <c r="V2025" s="19" t="inlineStr">
        <is>
          <t>Soldering</t>
        </is>
      </c>
      <c r="W2025" s="3" t="inlineStr">
        <is>
          <t>Repair</t>
        </is>
      </c>
      <c r="X2025" s="18" t="n">
        <v>46167</v>
      </c>
      <c r="Y2025" s="73">
        <f>IF(X2025="","",X2025-A2025)</f>
        <v/>
      </c>
      <c r="Z2025" s="18" t="n">
        <v>46167</v>
      </c>
      <c r="AA2025" s="15" t="n"/>
      <c r="AB2025" s="15" t="n"/>
      <c r="AF2025">
        <f>IF(AND($F2025="Closed",$X2025&gt;=DATE(2026,5,1),$X2025&lt;=DATE(2026,5,31)),"Closed in May","Other")</f>
        <v/>
      </c>
    </row>
    <row r="2026">
      <c r="A2026" s="37" t="n">
        <v>46143</v>
      </c>
      <c r="B2026" s="3" t="n">
        <v>2026</v>
      </c>
      <c r="C2026" s="26" t="inlineStr">
        <is>
          <t>Yanara Power</t>
        </is>
      </c>
      <c r="D2026" s="3" t="inlineStr">
        <is>
          <t>Utility and C&amp;I</t>
        </is>
      </c>
      <c r="E2026" s="3" t="n"/>
      <c r="F2026" s="3" t="inlineStr">
        <is>
          <t>Closed</t>
        </is>
      </c>
      <c r="G2026" s="9" t="inlineStr">
        <is>
          <t xml:space="preserve">Ashish Jindal </t>
        </is>
      </c>
      <c r="H2026" s="26" t="n">
        <v>9983975581</v>
      </c>
      <c r="I2026" s="38" t="inlineStr">
        <is>
          <t>PE01052601</t>
        </is>
      </c>
      <c r="J2026" s="26" t="inlineStr">
        <is>
          <t>Multiple Issues</t>
        </is>
      </c>
      <c r="K2026" s="39" t="inlineStr">
        <is>
          <t>Holi</t>
        </is>
      </c>
      <c r="L2026" s="39" t="inlineStr">
        <is>
          <t>Maharashtra</t>
        </is>
      </c>
      <c r="M2026" s="46" t="inlineStr">
        <is>
          <t>PS</t>
        </is>
      </c>
      <c r="N2026" s="3" t="inlineStr">
        <is>
          <t>Cold Soldering</t>
        </is>
      </c>
      <c r="O2026" s="56" t="n">
        <v>575</v>
      </c>
      <c r="P2026" s="67" t="inlineStr">
        <is>
          <t>NSMI24070165390</t>
        </is>
      </c>
      <c r="Q2026" s="54">
        <f>MID(P2026,5,2)</f>
        <v/>
      </c>
      <c r="R2026" s="53">
        <f>MID(P2026,7,2)</f>
        <v/>
      </c>
      <c r="S2026" s="3" t="inlineStr">
        <is>
          <t>G2G</t>
        </is>
      </c>
      <c r="T2026" s="3" t="inlineStr">
        <is>
          <t>P4</t>
        </is>
      </c>
      <c r="U2026" s="19" t="inlineStr">
        <is>
          <t>P JB Cold Soldering</t>
        </is>
      </c>
      <c r="V2026" s="19" t="inlineStr">
        <is>
          <t>Soldering</t>
        </is>
      </c>
      <c r="W2026" s="3" t="inlineStr">
        <is>
          <t>Repair</t>
        </is>
      </c>
      <c r="X2026" s="18" t="n">
        <v>46167</v>
      </c>
      <c r="Y2026" s="73">
        <f>IF(X2026="","",X2026-A2026)</f>
        <v/>
      </c>
      <c r="Z2026" s="18" t="n">
        <v>46167</v>
      </c>
      <c r="AA2026" s="15" t="n"/>
      <c r="AB2026" s="15" t="n"/>
      <c r="AF2026">
        <f>IF(AND($F2026="Closed",$X2026&gt;=DATE(2026,5,1),$X2026&lt;=DATE(2026,5,31)),"Closed in May","Other")</f>
        <v/>
      </c>
    </row>
    <row r="2027">
      <c r="A2027" s="37" t="n">
        <v>46143</v>
      </c>
      <c r="B2027" s="3" t="n">
        <v>2026</v>
      </c>
      <c r="C2027" s="26" t="inlineStr">
        <is>
          <t>Yanara Power</t>
        </is>
      </c>
      <c r="D2027" s="3" t="inlineStr">
        <is>
          <t>Utility and C&amp;I</t>
        </is>
      </c>
      <c r="E2027" s="3" t="n"/>
      <c r="F2027" s="3" t="inlineStr">
        <is>
          <t>Closed</t>
        </is>
      </c>
      <c r="G2027" s="9" t="inlineStr">
        <is>
          <t xml:space="preserve">Ashish Jindal </t>
        </is>
      </c>
      <c r="H2027" s="26" t="n">
        <v>9983975581</v>
      </c>
      <c r="I2027" s="38" t="inlineStr">
        <is>
          <t>PE01052601</t>
        </is>
      </c>
      <c r="J2027" s="26" t="inlineStr">
        <is>
          <t>Multiple Issues</t>
        </is>
      </c>
      <c r="K2027" s="39" t="inlineStr">
        <is>
          <t>Holi</t>
        </is>
      </c>
      <c r="L2027" s="39" t="inlineStr">
        <is>
          <t>Maharashtra</t>
        </is>
      </c>
      <c r="M2027" s="46" t="inlineStr">
        <is>
          <t>PS</t>
        </is>
      </c>
      <c r="N2027" s="3" t="inlineStr">
        <is>
          <t>Cold Soldering</t>
        </is>
      </c>
      <c r="O2027" s="56" t="n">
        <v>575</v>
      </c>
      <c r="P2027" s="67" t="inlineStr">
        <is>
          <t>NSMI24070165394</t>
        </is>
      </c>
      <c r="Q2027" s="54">
        <f>MID(P2027,5,2)</f>
        <v/>
      </c>
      <c r="R2027" s="53">
        <f>MID(P2027,7,2)</f>
        <v/>
      </c>
      <c r="S2027" s="3" t="inlineStr">
        <is>
          <t>G2G</t>
        </is>
      </c>
      <c r="T2027" s="3" t="inlineStr">
        <is>
          <t>P4</t>
        </is>
      </c>
      <c r="U2027" s="19" t="inlineStr">
        <is>
          <t>P JB Cold Soldering</t>
        </is>
      </c>
      <c r="V2027" s="19" t="inlineStr">
        <is>
          <t>Soldering</t>
        </is>
      </c>
      <c r="W2027" s="3" t="inlineStr">
        <is>
          <t>Repair</t>
        </is>
      </c>
      <c r="X2027" s="18" t="n">
        <v>46167</v>
      </c>
      <c r="Y2027" s="73">
        <f>IF(X2027="","",X2027-A2027)</f>
        <v/>
      </c>
      <c r="Z2027" s="18" t="n">
        <v>46167</v>
      </c>
      <c r="AA2027" s="15" t="n"/>
      <c r="AB2027" s="15" t="n"/>
      <c r="AF2027">
        <f>IF(AND($F2027="Closed",$X2027&gt;=DATE(2026,5,1),$X2027&lt;=DATE(2026,5,31)),"Closed in May","Other")</f>
        <v/>
      </c>
    </row>
    <row r="2028">
      <c r="A2028" s="37" t="n">
        <v>46143</v>
      </c>
      <c r="B2028" s="3" t="n">
        <v>2026</v>
      </c>
      <c r="C2028" s="26" t="inlineStr">
        <is>
          <t>Yanara Power</t>
        </is>
      </c>
      <c r="D2028" s="3" t="inlineStr">
        <is>
          <t>Utility and C&amp;I</t>
        </is>
      </c>
      <c r="E2028" s="3" t="n"/>
      <c r="F2028" s="3" t="inlineStr">
        <is>
          <t>Closed</t>
        </is>
      </c>
      <c r="G2028" s="9" t="inlineStr">
        <is>
          <t xml:space="preserve">Ashish Jindal </t>
        </is>
      </c>
      <c r="H2028" s="26" t="n">
        <v>9983975581</v>
      </c>
      <c r="I2028" s="38" t="inlineStr">
        <is>
          <t>PE01052601</t>
        </is>
      </c>
      <c r="J2028" s="26" t="inlineStr">
        <is>
          <t>Multiple Issues</t>
        </is>
      </c>
      <c r="K2028" s="39" t="inlineStr">
        <is>
          <t>Holi</t>
        </is>
      </c>
      <c r="L2028" s="39" t="inlineStr">
        <is>
          <t>Maharashtra</t>
        </is>
      </c>
      <c r="M2028" s="46" t="inlineStr">
        <is>
          <t>NS</t>
        </is>
      </c>
      <c r="N2028" s="3" t="inlineStr">
        <is>
          <t>Cold Soldering</t>
        </is>
      </c>
      <c r="O2028" s="56" t="n">
        <v>575</v>
      </c>
      <c r="P2028" s="67" t="inlineStr">
        <is>
          <t>NSMI24070218590</t>
        </is>
      </c>
      <c r="Q2028" s="54">
        <f>MID(P2028,5,2)</f>
        <v/>
      </c>
      <c r="R2028" s="53">
        <f>MID(P2028,7,2)</f>
        <v/>
      </c>
      <c r="S2028" s="3" t="inlineStr">
        <is>
          <t>G2G</t>
        </is>
      </c>
      <c r="T2028" s="3" t="inlineStr">
        <is>
          <t>P4</t>
        </is>
      </c>
      <c r="U2028" s="3" t="inlineStr">
        <is>
          <t>N JB Cold Soldering</t>
        </is>
      </c>
      <c r="V2028" s="3" t="inlineStr">
        <is>
          <t>Soldering</t>
        </is>
      </c>
      <c r="W2028" s="3" t="inlineStr">
        <is>
          <t>Repair</t>
        </is>
      </c>
      <c r="X2028" s="18" t="n">
        <v>46167</v>
      </c>
      <c r="Y2028" s="73">
        <f>IF(X2028="","",X2028-A2028)</f>
        <v/>
      </c>
      <c r="Z2028" s="18" t="n">
        <v>46167</v>
      </c>
      <c r="AA2028" s="15" t="n"/>
      <c r="AB2028" s="15" t="n"/>
      <c r="AF2028">
        <f>IF(AND($F2028="Closed",$X2028&gt;=DATE(2026,5,1),$X2028&lt;=DATE(2026,5,31)),"Closed in May","Other")</f>
        <v/>
      </c>
    </row>
    <row r="2029">
      <c r="A2029" s="37" t="n">
        <v>46143</v>
      </c>
      <c r="B2029" s="3" t="n">
        <v>2026</v>
      </c>
      <c r="C2029" s="26" t="inlineStr">
        <is>
          <t>Yanara Power</t>
        </is>
      </c>
      <c r="D2029" s="3" t="inlineStr">
        <is>
          <t>Utility and C&amp;I</t>
        </is>
      </c>
      <c r="E2029" s="3" t="n"/>
      <c r="F2029" s="3" t="inlineStr">
        <is>
          <t>Closed</t>
        </is>
      </c>
      <c r="G2029" s="9" t="inlineStr">
        <is>
          <t xml:space="preserve">Ashish Jindal </t>
        </is>
      </c>
      <c r="H2029" s="26" t="n">
        <v>9983975581</v>
      </c>
      <c r="I2029" s="38" t="inlineStr">
        <is>
          <t>PE01052601</t>
        </is>
      </c>
      <c r="J2029" s="26" t="inlineStr">
        <is>
          <t>Multiple Issues</t>
        </is>
      </c>
      <c r="K2029" s="39" t="inlineStr">
        <is>
          <t>Holi</t>
        </is>
      </c>
      <c r="L2029" s="39" t="inlineStr">
        <is>
          <t>Maharashtra</t>
        </is>
      </c>
      <c r="M2029" s="46" t="inlineStr">
        <is>
          <t>PS</t>
        </is>
      </c>
      <c r="N2029" s="3" t="inlineStr">
        <is>
          <t>Cold Soldering</t>
        </is>
      </c>
      <c r="O2029" s="56" t="n">
        <v>575</v>
      </c>
      <c r="P2029" s="67" t="inlineStr">
        <is>
          <t>NSMI24070233033</t>
        </is>
      </c>
      <c r="Q2029" s="54">
        <f>MID(P2029,5,2)</f>
        <v/>
      </c>
      <c r="R2029" s="53">
        <f>MID(P2029,7,2)</f>
        <v/>
      </c>
      <c r="S2029" s="3" t="inlineStr">
        <is>
          <t>G2G</t>
        </is>
      </c>
      <c r="T2029" s="3" t="inlineStr">
        <is>
          <t>P4</t>
        </is>
      </c>
      <c r="U2029" s="19" t="inlineStr">
        <is>
          <t>P JB Cold Soldering</t>
        </is>
      </c>
      <c r="V2029" s="19" t="inlineStr">
        <is>
          <t>Soldering</t>
        </is>
      </c>
      <c r="W2029" s="3" t="inlineStr">
        <is>
          <t>Repair</t>
        </is>
      </c>
      <c r="X2029" s="18" t="n">
        <v>46167</v>
      </c>
      <c r="Y2029" s="73">
        <f>IF(X2029="","",X2029-A2029)</f>
        <v/>
      </c>
      <c r="Z2029" s="18" t="n">
        <v>46167</v>
      </c>
      <c r="AA2029" s="15" t="n"/>
      <c r="AB2029" s="15" t="n"/>
      <c r="AF2029">
        <f>IF(AND($F2029="Closed",$X2029&gt;=DATE(2026,5,1),$X2029&lt;=DATE(2026,5,31)),"Closed in May","Other")</f>
        <v/>
      </c>
    </row>
    <row r="2030">
      <c r="A2030" s="37" t="n">
        <v>46143</v>
      </c>
      <c r="B2030" s="3" t="n">
        <v>2026</v>
      </c>
      <c r="C2030" s="26" t="inlineStr">
        <is>
          <t>Yanara Power</t>
        </is>
      </c>
      <c r="D2030" s="3" t="inlineStr">
        <is>
          <t>Utility and C&amp;I</t>
        </is>
      </c>
      <c r="E2030" s="3" t="n"/>
      <c r="F2030" s="3" t="inlineStr">
        <is>
          <t>Closed</t>
        </is>
      </c>
      <c r="G2030" s="9" t="inlineStr">
        <is>
          <t xml:space="preserve">Ashish Jindal </t>
        </is>
      </c>
      <c r="H2030" s="26" t="n">
        <v>9983975581</v>
      </c>
      <c r="I2030" s="38" t="inlineStr">
        <is>
          <t>PE01052601</t>
        </is>
      </c>
      <c r="J2030" s="26" t="inlineStr">
        <is>
          <t>Multiple Issues</t>
        </is>
      </c>
      <c r="K2030" s="39" t="inlineStr">
        <is>
          <t>Holi</t>
        </is>
      </c>
      <c r="L2030" s="39" t="inlineStr">
        <is>
          <t>Maharashtra</t>
        </is>
      </c>
      <c r="M2030" s="46" t="inlineStr">
        <is>
          <t>NS</t>
        </is>
      </c>
      <c r="N2030" s="3" t="inlineStr">
        <is>
          <t>Cold Soldering</t>
        </is>
      </c>
      <c r="O2030" s="56" t="n">
        <v>575</v>
      </c>
      <c r="P2030" s="67" t="inlineStr">
        <is>
          <t>NSMI24070217024</t>
        </is>
      </c>
      <c r="Q2030" s="54">
        <f>MID(P2030,5,2)</f>
        <v/>
      </c>
      <c r="R2030" s="53">
        <f>MID(P2030,7,2)</f>
        <v/>
      </c>
      <c r="S2030" s="3" t="inlineStr">
        <is>
          <t>G2G</t>
        </is>
      </c>
      <c r="T2030" s="3" t="inlineStr">
        <is>
          <t>P4</t>
        </is>
      </c>
      <c r="U2030" s="3" t="inlineStr">
        <is>
          <t>N JB Cold Soldering</t>
        </is>
      </c>
      <c r="V2030" s="3" t="inlineStr">
        <is>
          <t>Soldering</t>
        </is>
      </c>
      <c r="W2030" s="3" t="inlineStr">
        <is>
          <t>Repair</t>
        </is>
      </c>
      <c r="X2030" s="18" t="n">
        <v>46167</v>
      </c>
      <c r="Y2030" s="73">
        <f>IF(X2030="","",X2030-A2030)</f>
        <v/>
      </c>
      <c r="Z2030" s="18" t="n">
        <v>46167</v>
      </c>
      <c r="AA2030" s="15" t="n"/>
      <c r="AB2030" s="15" t="n"/>
      <c r="AF2030">
        <f>IF(AND($F2030="Closed",$X2030&gt;=DATE(2026,5,1),$X2030&lt;=DATE(2026,5,31)),"Closed in May","Other")</f>
        <v/>
      </c>
    </row>
    <row r="2031">
      <c r="A2031" s="37" t="n">
        <v>46143</v>
      </c>
      <c r="B2031" s="3" t="n">
        <v>2026</v>
      </c>
      <c r="C2031" s="26" t="inlineStr">
        <is>
          <t>Yanara Power</t>
        </is>
      </c>
      <c r="D2031" s="3" t="inlineStr">
        <is>
          <t>Utility and C&amp;I</t>
        </is>
      </c>
      <c r="E2031" s="3" t="n"/>
      <c r="F2031" s="3" t="inlineStr">
        <is>
          <t>Closed</t>
        </is>
      </c>
      <c r="G2031" s="9" t="inlineStr">
        <is>
          <t xml:space="preserve">Ashish Jindal </t>
        </is>
      </c>
      <c r="H2031" s="26" t="n">
        <v>9983975581</v>
      </c>
      <c r="I2031" s="38" t="inlineStr">
        <is>
          <t>PE01052601</t>
        </is>
      </c>
      <c r="J2031" s="26" t="inlineStr">
        <is>
          <t>Multiple Issues</t>
        </is>
      </c>
      <c r="K2031" s="39" t="inlineStr">
        <is>
          <t>Holi</t>
        </is>
      </c>
      <c r="L2031" s="39" t="inlineStr">
        <is>
          <t>Maharashtra</t>
        </is>
      </c>
      <c r="M2031" s="46" t="inlineStr">
        <is>
          <t>PNS</t>
        </is>
      </c>
      <c r="N2031" s="3" t="inlineStr">
        <is>
          <t>Cold Soldering</t>
        </is>
      </c>
      <c r="O2031" s="56" t="n">
        <v>575</v>
      </c>
      <c r="P2031" s="67" t="inlineStr">
        <is>
          <t>NSMI24070165377</t>
        </is>
      </c>
      <c r="Q2031" s="54">
        <f>MID(P2031,5,2)</f>
        <v/>
      </c>
      <c r="R2031" s="53">
        <f>MID(P2031,7,2)</f>
        <v/>
      </c>
      <c r="S2031" s="3" t="inlineStr">
        <is>
          <t>G2G</t>
        </is>
      </c>
      <c r="T2031" s="3" t="inlineStr">
        <is>
          <t>P4</t>
        </is>
      </c>
      <c r="U2031" s="3" t="inlineStr">
        <is>
          <t>P &amp; N JB Cold Soldering</t>
        </is>
      </c>
      <c r="V2031" s="3" t="inlineStr">
        <is>
          <t>Soldering</t>
        </is>
      </c>
      <c r="W2031" s="3" t="inlineStr">
        <is>
          <t>Repair</t>
        </is>
      </c>
      <c r="X2031" s="18" t="n">
        <v>46167</v>
      </c>
      <c r="Y2031" s="73">
        <f>IF(X2031="","",X2031-A2031)</f>
        <v/>
      </c>
      <c r="Z2031" s="18" t="n">
        <v>46167</v>
      </c>
      <c r="AA2031" s="15" t="n"/>
      <c r="AB2031" s="15" t="n"/>
      <c r="AF2031">
        <f>IF(AND($F2031="Closed",$X2031&gt;=DATE(2026,5,1),$X2031&lt;=DATE(2026,5,31)),"Closed in May","Other")</f>
        <v/>
      </c>
    </row>
    <row r="2032">
      <c r="A2032" s="37" t="n">
        <v>46143</v>
      </c>
      <c r="B2032" s="3" t="n">
        <v>2026</v>
      </c>
      <c r="C2032" s="26" t="inlineStr">
        <is>
          <t>Yanara Power</t>
        </is>
      </c>
      <c r="D2032" s="3" t="inlineStr">
        <is>
          <t>Utility and C&amp;I</t>
        </is>
      </c>
      <c r="E2032" s="3" t="n"/>
      <c r="F2032" s="3" t="inlineStr">
        <is>
          <t>Closed</t>
        </is>
      </c>
      <c r="G2032" s="9" t="inlineStr">
        <is>
          <t xml:space="preserve">Ashish Jindal </t>
        </is>
      </c>
      <c r="H2032" s="26" t="n">
        <v>9983975581</v>
      </c>
      <c r="I2032" s="38" t="inlineStr">
        <is>
          <t>PE01052601</t>
        </is>
      </c>
      <c r="J2032" s="26" t="inlineStr">
        <is>
          <t>Multiple Issues</t>
        </is>
      </c>
      <c r="K2032" s="39" t="inlineStr">
        <is>
          <t>Holi</t>
        </is>
      </c>
      <c r="L2032" s="39" t="inlineStr">
        <is>
          <t>Maharashtra</t>
        </is>
      </c>
      <c r="M2032" s="46" t="inlineStr">
        <is>
          <t>PS</t>
        </is>
      </c>
      <c r="N2032" s="3" t="inlineStr">
        <is>
          <t>Cold Soldering</t>
        </is>
      </c>
      <c r="O2032" s="56" t="n">
        <v>575</v>
      </c>
      <c r="P2032" s="67" t="inlineStr">
        <is>
          <t>NSMI24070221841</t>
        </is>
      </c>
      <c r="Q2032" s="54">
        <f>MID(P2032,5,2)</f>
        <v/>
      </c>
      <c r="R2032" s="53">
        <f>MID(P2032,7,2)</f>
        <v/>
      </c>
      <c r="S2032" s="3" t="inlineStr">
        <is>
          <t>G2G</t>
        </is>
      </c>
      <c r="T2032" s="3" t="inlineStr">
        <is>
          <t>P4</t>
        </is>
      </c>
      <c r="U2032" s="19" t="inlineStr">
        <is>
          <t>P JB Cold Soldering</t>
        </is>
      </c>
      <c r="V2032" s="19" t="inlineStr">
        <is>
          <t>Soldering</t>
        </is>
      </c>
      <c r="W2032" s="3" t="inlineStr">
        <is>
          <t>Repair</t>
        </is>
      </c>
      <c r="X2032" s="18" t="n">
        <v>46167</v>
      </c>
      <c r="Y2032" s="73">
        <f>IF(X2032="","",X2032-A2032)</f>
        <v/>
      </c>
      <c r="Z2032" s="18" t="n">
        <v>46167</v>
      </c>
      <c r="AA2032" s="15" t="n"/>
      <c r="AB2032" s="15" t="n"/>
      <c r="AF2032">
        <f>IF(AND($F2032="Closed",$X2032&gt;=DATE(2026,5,1),$X2032&lt;=DATE(2026,5,31)),"Closed in May","Other")</f>
        <v/>
      </c>
    </row>
    <row r="2033">
      <c r="A2033" s="37" t="n">
        <v>46143</v>
      </c>
      <c r="B2033" s="3" t="n">
        <v>2026</v>
      </c>
      <c r="C2033" s="26" t="inlineStr">
        <is>
          <t>Yanara Power</t>
        </is>
      </c>
      <c r="D2033" s="3" t="inlineStr">
        <is>
          <t>Utility and C&amp;I</t>
        </is>
      </c>
      <c r="E2033" s="3" t="n"/>
      <c r="F2033" s="3" t="inlineStr">
        <is>
          <t>Closed</t>
        </is>
      </c>
      <c r="G2033" s="9" t="inlineStr">
        <is>
          <t xml:space="preserve">Ashish Jindal </t>
        </is>
      </c>
      <c r="H2033" s="26" t="n">
        <v>9983975581</v>
      </c>
      <c r="I2033" s="38" t="inlineStr">
        <is>
          <t>PE01052601</t>
        </is>
      </c>
      <c r="J2033" s="26" t="inlineStr">
        <is>
          <t>Multiple Issues</t>
        </is>
      </c>
      <c r="K2033" s="39" t="inlineStr">
        <is>
          <t>Holi</t>
        </is>
      </c>
      <c r="L2033" s="39" t="inlineStr">
        <is>
          <t>Maharashtra</t>
        </is>
      </c>
      <c r="M2033" s="46" t="inlineStr">
        <is>
          <t>NS</t>
        </is>
      </c>
      <c r="N2033" s="3" t="inlineStr">
        <is>
          <t>Cold Soldering</t>
        </is>
      </c>
      <c r="O2033" s="56" t="n">
        <v>575</v>
      </c>
      <c r="P2033" s="67" t="inlineStr">
        <is>
          <t>NSMI24070204168</t>
        </is>
      </c>
      <c r="Q2033" s="54">
        <f>MID(P2033,5,2)</f>
        <v/>
      </c>
      <c r="R2033" s="53">
        <f>MID(P2033,7,2)</f>
        <v/>
      </c>
      <c r="S2033" s="3" t="inlineStr">
        <is>
          <t>G2G</t>
        </is>
      </c>
      <c r="T2033" s="3" t="inlineStr">
        <is>
          <t>P4</t>
        </is>
      </c>
      <c r="U2033" s="3" t="inlineStr">
        <is>
          <t>N JB Cold Soldering</t>
        </is>
      </c>
      <c r="V2033" s="3" t="inlineStr">
        <is>
          <t>Soldering</t>
        </is>
      </c>
      <c r="W2033" s="3" t="inlineStr">
        <is>
          <t>Repair</t>
        </is>
      </c>
      <c r="X2033" s="18" t="n">
        <v>46167</v>
      </c>
      <c r="Y2033" s="73">
        <f>IF(X2033="","",X2033-A2033)</f>
        <v/>
      </c>
      <c r="Z2033" s="18" t="n">
        <v>46167</v>
      </c>
      <c r="AA2033" s="15" t="n"/>
      <c r="AB2033" s="15" t="n"/>
      <c r="AF2033">
        <f>IF(AND($F2033="Closed",$X2033&gt;=DATE(2026,5,1),$X2033&lt;=DATE(2026,5,31)),"Closed in May","Other")</f>
        <v/>
      </c>
    </row>
    <row r="2034">
      <c r="A2034" s="37" t="n">
        <v>46143</v>
      </c>
      <c r="B2034" s="3" t="n">
        <v>2026</v>
      </c>
      <c r="C2034" s="26" t="inlineStr">
        <is>
          <t>Yanara Power</t>
        </is>
      </c>
      <c r="D2034" s="3" t="inlineStr">
        <is>
          <t>Utility and C&amp;I</t>
        </is>
      </c>
      <c r="E2034" s="3" t="n"/>
      <c r="F2034" s="3" t="inlineStr">
        <is>
          <t>Closed</t>
        </is>
      </c>
      <c r="G2034" s="9" t="inlineStr">
        <is>
          <t xml:space="preserve">Ashish Jindal </t>
        </is>
      </c>
      <c r="H2034" s="26" t="n">
        <v>9983975581</v>
      </c>
      <c r="I2034" s="38" t="inlineStr">
        <is>
          <t>PE01052601</t>
        </is>
      </c>
      <c r="J2034" s="26" t="inlineStr">
        <is>
          <t>Multiple Issues</t>
        </is>
      </c>
      <c r="K2034" s="39" t="inlineStr">
        <is>
          <t>Holi</t>
        </is>
      </c>
      <c r="L2034" s="39" t="inlineStr">
        <is>
          <t>Maharashtra</t>
        </is>
      </c>
      <c r="M2034" s="46" t="inlineStr">
        <is>
          <t>PS</t>
        </is>
      </c>
      <c r="N2034" s="3" t="inlineStr">
        <is>
          <t>Cold Soldering</t>
        </is>
      </c>
      <c r="O2034" s="56" t="n">
        <v>575</v>
      </c>
      <c r="P2034" s="67" t="inlineStr">
        <is>
          <t>NSMI24070204140</t>
        </is>
      </c>
      <c r="Q2034" s="54">
        <f>MID(P2034,5,2)</f>
        <v/>
      </c>
      <c r="R2034" s="53">
        <f>MID(P2034,7,2)</f>
        <v/>
      </c>
      <c r="S2034" s="3" t="inlineStr">
        <is>
          <t>G2G</t>
        </is>
      </c>
      <c r="T2034" s="3" t="inlineStr">
        <is>
          <t>P4</t>
        </is>
      </c>
      <c r="U2034" s="19" t="inlineStr">
        <is>
          <t>P JB Cold Soldering</t>
        </is>
      </c>
      <c r="V2034" s="19" t="inlineStr">
        <is>
          <t>Soldering</t>
        </is>
      </c>
      <c r="W2034" s="3" t="inlineStr">
        <is>
          <t>Repair</t>
        </is>
      </c>
      <c r="X2034" s="18" t="n">
        <v>46167</v>
      </c>
      <c r="Y2034" s="73">
        <f>IF(X2034="","",X2034-A2034)</f>
        <v/>
      </c>
      <c r="Z2034" s="18" t="n">
        <v>46167</v>
      </c>
      <c r="AA2034" s="15" t="n"/>
      <c r="AB2034" s="15" t="n"/>
      <c r="AF2034">
        <f>IF(AND($F2034="Closed",$X2034&gt;=DATE(2026,5,1),$X2034&lt;=DATE(2026,5,31)),"Closed in May","Other")</f>
        <v/>
      </c>
    </row>
    <row r="2035">
      <c r="A2035" s="37" t="n">
        <v>46143</v>
      </c>
      <c r="B2035" s="3" t="n">
        <v>2026</v>
      </c>
      <c r="C2035" s="26" t="inlineStr">
        <is>
          <t>Yanara Power</t>
        </is>
      </c>
      <c r="D2035" s="3" t="inlineStr">
        <is>
          <t>Utility and C&amp;I</t>
        </is>
      </c>
      <c r="E2035" s="3" t="n"/>
      <c r="F2035" s="3" t="inlineStr">
        <is>
          <t>Closed</t>
        </is>
      </c>
      <c r="G2035" s="9" t="inlineStr">
        <is>
          <t xml:space="preserve">Ashish Jindal </t>
        </is>
      </c>
      <c r="H2035" s="26" t="n">
        <v>9983975581</v>
      </c>
      <c r="I2035" s="38" t="inlineStr">
        <is>
          <t>PE01052601</t>
        </is>
      </c>
      <c r="J2035" s="26" t="inlineStr">
        <is>
          <t>Multiple Issues</t>
        </is>
      </c>
      <c r="K2035" s="39" t="inlineStr">
        <is>
          <t>Holi</t>
        </is>
      </c>
      <c r="L2035" s="39" t="inlineStr">
        <is>
          <t>Maharashtra</t>
        </is>
      </c>
      <c r="M2035" s="46" t="inlineStr">
        <is>
          <t>PNS</t>
        </is>
      </c>
      <c r="N2035" s="3" t="inlineStr">
        <is>
          <t>Cold Soldering</t>
        </is>
      </c>
      <c r="O2035" s="56" t="n">
        <v>575</v>
      </c>
      <c r="P2035" s="67" t="inlineStr">
        <is>
          <t>NSMI24070216726</t>
        </is>
      </c>
      <c r="Q2035" s="54">
        <f>MID(P2035,5,2)</f>
        <v/>
      </c>
      <c r="R2035" s="53">
        <f>MID(P2035,7,2)</f>
        <v/>
      </c>
      <c r="S2035" s="3" t="inlineStr">
        <is>
          <t>G2G</t>
        </is>
      </c>
      <c r="T2035" s="3" t="inlineStr">
        <is>
          <t>P4</t>
        </is>
      </c>
      <c r="U2035" s="3" t="inlineStr">
        <is>
          <t>P &amp; N JB Cold Soldering</t>
        </is>
      </c>
      <c r="V2035" s="3" t="inlineStr">
        <is>
          <t>Soldering</t>
        </is>
      </c>
      <c r="W2035" s="3" t="inlineStr">
        <is>
          <t>Repair</t>
        </is>
      </c>
      <c r="X2035" s="18" t="n">
        <v>46167</v>
      </c>
      <c r="Y2035" s="73">
        <f>IF(X2035="","",X2035-A2035)</f>
        <v/>
      </c>
      <c r="Z2035" s="18" t="n">
        <v>46167</v>
      </c>
      <c r="AA2035" s="15" t="n"/>
      <c r="AB2035" s="15" t="n"/>
      <c r="AF2035">
        <f>IF(AND($F2035="Closed",$X2035&gt;=DATE(2026,5,1),$X2035&lt;=DATE(2026,5,31)),"Closed in May","Other")</f>
        <v/>
      </c>
    </row>
    <row r="2036">
      <c r="A2036" s="37" t="n">
        <v>46143</v>
      </c>
      <c r="B2036" s="3" t="n">
        <v>2026</v>
      </c>
      <c r="C2036" s="26" t="inlineStr">
        <is>
          <t>Yanara Power</t>
        </is>
      </c>
      <c r="D2036" s="3" t="inlineStr">
        <is>
          <t>Utility and C&amp;I</t>
        </is>
      </c>
      <c r="E2036" s="3" t="n"/>
      <c r="F2036" s="3" t="inlineStr">
        <is>
          <t>Closed</t>
        </is>
      </c>
      <c r="G2036" s="9" t="inlineStr">
        <is>
          <t xml:space="preserve">Ashish Jindal </t>
        </is>
      </c>
      <c r="H2036" s="26" t="n">
        <v>9983975581</v>
      </c>
      <c r="I2036" s="38" t="inlineStr">
        <is>
          <t>PE01052601</t>
        </is>
      </c>
      <c r="J2036" s="26" t="inlineStr">
        <is>
          <t>Multiple Issues</t>
        </is>
      </c>
      <c r="K2036" s="39" t="inlineStr">
        <is>
          <t>Holi</t>
        </is>
      </c>
      <c r="L2036" s="39" t="inlineStr">
        <is>
          <t>Maharashtra</t>
        </is>
      </c>
      <c r="M2036" s="46" t="inlineStr">
        <is>
          <t>PS</t>
        </is>
      </c>
      <c r="N2036" s="3" t="inlineStr">
        <is>
          <t>Cold Soldering</t>
        </is>
      </c>
      <c r="O2036" s="56" t="n">
        <v>575</v>
      </c>
      <c r="P2036" s="67" t="inlineStr">
        <is>
          <t>NSMI24070203541</t>
        </is>
      </c>
      <c r="Q2036" s="54">
        <f>MID(P2036,5,2)</f>
        <v/>
      </c>
      <c r="R2036" s="53">
        <f>MID(P2036,7,2)</f>
        <v/>
      </c>
      <c r="S2036" s="3" t="inlineStr">
        <is>
          <t>G2G</t>
        </is>
      </c>
      <c r="T2036" s="3" t="inlineStr">
        <is>
          <t>P4</t>
        </is>
      </c>
      <c r="U2036" s="19" t="inlineStr">
        <is>
          <t>P JB Cold Soldering</t>
        </is>
      </c>
      <c r="V2036" s="19" t="inlineStr">
        <is>
          <t>Soldering</t>
        </is>
      </c>
      <c r="W2036" s="3" t="inlineStr">
        <is>
          <t>Repair</t>
        </is>
      </c>
      <c r="X2036" s="18" t="n">
        <v>46167</v>
      </c>
      <c r="Y2036" s="73">
        <f>IF(X2036="","",X2036-A2036)</f>
        <v/>
      </c>
      <c r="Z2036" s="18" t="n">
        <v>46167</v>
      </c>
      <c r="AA2036" s="15" t="n"/>
      <c r="AB2036" s="15" t="n"/>
      <c r="AF2036">
        <f>IF(AND($F2036="Closed",$X2036&gt;=DATE(2026,5,1),$X2036&lt;=DATE(2026,5,31)),"Closed in May","Other")</f>
        <v/>
      </c>
    </row>
    <row r="2037">
      <c r="A2037" s="37" t="n">
        <v>46143</v>
      </c>
      <c r="B2037" s="3" t="n">
        <v>2026</v>
      </c>
      <c r="C2037" s="26" t="inlineStr">
        <is>
          <t>Yanara Power</t>
        </is>
      </c>
      <c r="D2037" s="3" t="inlineStr">
        <is>
          <t>Utility and C&amp;I</t>
        </is>
      </c>
      <c r="E2037" s="3" t="n"/>
      <c r="F2037" s="3" t="inlineStr">
        <is>
          <t>Closed</t>
        </is>
      </c>
      <c r="G2037" s="9" t="inlineStr">
        <is>
          <t xml:space="preserve">Ashish Jindal </t>
        </is>
      </c>
      <c r="H2037" s="26" t="n">
        <v>9983975581</v>
      </c>
      <c r="I2037" s="38" t="inlineStr">
        <is>
          <t>PE01052601</t>
        </is>
      </c>
      <c r="J2037" s="26" t="inlineStr">
        <is>
          <t>Multiple Issues</t>
        </is>
      </c>
      <c r="K2037" s="39" t="inlineStr">
        <is>
          <t>Holi</t>
        </is>
      </c>
      <c r="L2037" s="39" t="inlineStr">
        <is>
          <t>Maharashtra</t>
        </is>
      </c>
      <c r="M2037" s="46" t="inlineStr">
        <is>
          <t>PS</t>
        </is>
      </c>
      <c r="N2037" s="3" t="inlineStr">
        <is>
          <t>Cold Soldering</t>
        </is>
      </c>
      <c r="O2037" s="56" t="n">
        <v>575</v>
      </c>
      <c r="P2037" s="67" t="inlineStr">
        <is>
          <t>NSMI24070194849</t>
        </is>
      </c>
      <c r="Q2037" s="54">
        <f>MID(P2037,5,2)</f>
        <v/>
      </c>
      <c r="R2037" s="53">
        <f>MID(P2037,7,2)</f>
        <v/>
      </c>
      <c r="S2037" s="3" t="inlineStr">
        <is>
          <t>G2G</t>
        </is>
      </c>
      <c r="T2037" s="3" t="inlineStr">
        <is>
          <t>P4</t>
        </is>
      </c>
      <c r="U2037" s="19" t="inlineStr">
        <is>
          <t>P JB Cold Soldering</t>
        </is>
      </c>
      <c r="V2037" s="19" t="inlineStr">
        <is>
          <t>Soldering</t>
        </is>
      </c>
      <c r="W2037" s="3" t="inlineStr">
        <is>
          <t>Repair</t>
        </is>
      </c>
      <c r="X2037" s="18" t="n">
        <v>46167</v>
      </c>
      <c r="Y2037" s="73">
        <f>IF(X2037="","",X2037-A2037)</f>
        <v/>
      </c>
      <c r="Z2037" s="18" t="n">
        <v>46167</v>
      </c>
      <c r="AA2037" s="15" t="n"/>
      <c r="AB2037" s="15" t="n"/>
      <c r="AF2037">
        <f>IF(AND($F2037="Closed",$X2037&gt;=DATE(2026,5,1),$X2037&lt;=DATE(2026,5,31)),"Closed in May","Other")</f>
        <v/>
      </c>
    </row>
    <row r="2038">
      <c r="A2038" s="37" t="n">
        <v>46143</v>
      </c>
      <c r="B2038" s="3" t="n">
        <v>2026</v>
      </c>
      <c r="C2038" s="26" t="inlineStr">
        <is>
          <t>Yanara Power</t>
        </is>
      </c>
      <c r="D2038" s="3" t="inlineStr">
        <is>
          <t>Utility and C&amp;I</t>
        </is>
      </c>
      <c r="E2038" s="3" t="n"/>
      <c r="F2038" s="3" t="inlineStr">
        <is>
          <t>Closed</t>
        </is>
      </c>
      <c r="G2038" s="9" t="inlineStr">
        <is>
          <t xml:space="preserve">Ashish Jindal </t>
        </is>
      </c>
      <c r="H2038" s="26" t="n">
        <v>9983975581</v>
      </c>
      <c r="I2038" s="38" t="inlineStr">
        <is>
          <t>PE01052601</t>
        </is>
      </c>
      <c r="J2038" s="26" t="inlineStr">
        <is>
          <t>Multiple Issues</t>
        </is>
      </c>
      <c r="K2038" s="39" t="inlineStr">
        <is>
          <t>Holi</t>
        </is>
      </c>
      <c r="L2038" s="39" t="inlineStr">
        <is>
          <t>Maharashtra</t>
        </is>
      </c>
      <c r="M2038" s="47" t="inlineStr">
        <is>
          <t>PS</t>
        </is>
      </c>
      <c r="N2038" s="3" t="inlineStr">
        <is>
          <t>Cold Soldering</t>
        </is>
      </c>
      <c r="O2038" s="56" t="n">
        <v>575</v>
      </c>
      <c r="P2038" s="67" t="inlineStr">
        <is>
          <t>NSMI24070216771</t>
        </is>
      </c>
      <c r="Q2038" s="54">
        <f>MID(P2038,5,2)</f>
        <v/>
      </c>
      <c r="R2038" s="53">
        <f>MID(P2038,7,2)</f>
        <v/>
      </c>
      <c r="S2038" s="3" t="inlineStr">
        <is>
          <t>G2G</t>
        </is>
      </c>
      <c r="T2038" s="3" t="inlineStr">
        <is>
          <t>P4</t>
        </is>
      </c>
      <c r="U2038" s="19" t="inlineStr">
        <is>
          <t>P JB Cold Soldering</t>
        </is>
      </c>
      <c r="V2038" s="19" t="inlineStr">
        <is>
          <t>Soldering</t>
        </is>
      </c>
      <c r="W2038" s="3" t="inlineStr">
        <is>
          <t>Repair</t>
        </is>
      </c>
      <c r="X2038" s="18" t="n">
        <v>46167</v>
      </c>
      <c r="Y2038" s="73">
        <f>IF(X2038="","",X2038-A2038)</f>
        <v/>
      </c>
      <c r="Z2038" s="18" t="n">
        <v>46167</v>
      </c>
      <c r="AA2038" s="15" t="n"/>
      <c r="AB2038" s="15" t="n"/>
      <c r="AF2038">
        <f>IF(AND($F2038="Closed",$X2038&gt;=DATE(2026,5,1),$X2038&lt;=DATE(2026,5,31)),"Closed in May","Other")</f>
        <v/>
      </c>
    </row>
    <row r="2039">
      <c r="A2039" s="37" t="n">
        <v>46143</v>
      </c>
      <c r="B2039" s="3" t="n">
        <v>2026</v>
      </c>
      <c r="C2039" s="26" t="inlineStr">
        <is>
          <t>Yanara Power</t>
        </is>
      </c>
      <c r="D2039" s="3" t="inlineStr">
        <is>
          <t>Utility and C&amp;I</t>
        </is>
      </c>
      <c r="E2039" s="3" t="n"/>
      <c r="F2039" s="3" t="inlineStr">
        <is>
          <t>Closed</t>
        </is>
      </c>
      <c r="G2039" s="9" t="inlineStr">
        <is>
          <t xml:space="preserve">Ashish Jindal </t>
        </is>
      </c>
      <c r="H2039" s="26" t="n">
        <v>9983975581</v>
      </c>
      <c r="I2039" s="38" t="inlineStr">
        <is>
          <t>PE01052601</t>
        </is>
      </c>
      <c r="J2039" s="26" t="inlineStr">
        <is>
          <t>Multiple Issues</t>
        </is>
      </c>
      <c r="K2039" s="39" t="inlineStr">
        <is>
          <t>Holi</t>
        </is>
      </c>
      <c r="L2039" s="39" t="inlineStr">
        <is>
          <t>Maharashtra</t>
        </is>
      </c>
      <c r="M2039" s="70" t="inlineStr">
        <is>
          <t>BUSBAR OPEN</t>
        </is>
      </c>
      <c r="N2039" s="19" t="inlineStr">
        <is>
          <t>String Busbar Open</t>
        </is>
      </c>
      <c r="O2039" s="56" t="n">
        <v>575</v>
      </c>
      <c r="P2039" s="67" t="inlineStr">
        <is>
          <t>NSMI24070203906</t>
        </is>
      </c>
      <c r="Q2039" s="54">
        <f>MID(P2039,5,2)</f>
        <v/>
      </c>
      <c r="R2039" s="53">
        <f>MID(P2039,7,2)</f>
        <v/>
      </c>
      <c r="S2039" s="3" t="inlineStr">
        <is>
          <t>G2G</t>
        </is>
      </c>
      <c r="T2039" s="3" t="inlineStr">
        <is>
          <t>P4</t>
        </is>
      </c>
      <c r="U2039" s="19" t="inlineStr">
        <is>
          <t>String Busbar Open</t>
        </is>
      </c>
      <c r="V2039" s="15" t="inlineStr">
        <is>
          <t>Inspection</t>
        </is>
      </c>
      <c r="W2039" s="15" t="inlineStr">
        <is>
          <t>WIP</t>
        </is>
      </c>
      <c r="X2039" s="18" t="n"/>
      <c r="Y2039" s="73">
        <f>IF(X2039="","",X2039-A2039)</f>
        <v/>
      </c>
      <c r="Z2039" s="18" t="n">
        <v>46167</v>
      </c>
      <c r="AA2039" s="15" t="n"/>
      <c r="AB2039" s="15" t="n"/>
      <c r="AF2039">
        <f>IF(AND($F2039="Closed",$X2039&gt;=DATE(2026,5,1),$X2039&lt;=DATE(2026,5,31)),"Closed in May","Other")</f>
        <v/>
      </c>
    </row>
    <row r="2040">
      <c r="A2040" s="37" t="n">
        <v>46143</v>
      </c>
      <c r="B2040" s="3" t="n">
        <v>2026</v>
      </c>
      <c r="C2040" s="26" t="inlineStr">
        <is>
          <t>Yanara Power</t>
        </is>
      </c>
      <c r="D2040" s="3" t="inlineStr">
        <is>
          <t>Utility and C&amp;I</t>
        </is>
      </c>
      <c r="E2040" s="3" t="n"/>
      <c r="F2040" s="3" t="inlineStr">
        <is>
          <t>Closed</t>
        </is>
      </c>
      <c r="G2040" s="9" t="inlineStr">
        <is>
          <t xml:space="preserve">Ashish Jindal </t>
        </is>
      </c>
      <c r="H2040" s="26" t="n">
        <v>9983975581</v>
      </c>
      <c r="I2040" s="38" t="inlineStr">
        <is>
          <t>PE01052601</t>
        </is>
      </c>
      <c r="J2040" s="26" t="inlineStr">
        <is>
          <t>Multiple Issues</t>
        </is>
      </c>
      <c r="K2040" s="39" t="inlineStr">
        <is>
          <t>Holi</t>
        </is>
      </c>
      <c r="L2040" s="39" t="inlineStr">
        <is>
          <t>Maharashtra</t>
        </is>
      </c>
      <c r="M2040" s="69" t="inlineStr">
        <is>
          <t>NS</t>
        </is>
      </c>
      <c r="N2040" s="3" t="inlineStr">
        <is>
          <t>Cold Soldering</t>
        </is>
      </c>
      <c r="O2040" s="56" t="n">
        <v>575</v>
      </c>
      <c r="P2040" s="67" t="inlineStr">
        <is>
          <t>NSMI24070189634</t>
        </is>
      </c>
      <c r="Q2040" s="54">
        <f>MID(P2040,5,2)</f>
        <v/>
      </c>
      <c r="R2040" s="53">
        <f>MID(P2040,7,2)</f>
        <v/>
      </c>
      <c r="S2040" s="3" t="inlineStr">
        <is>
          <t>G2G</t>
        </is>
      </c>
      <c r="T2040" s="3" t="inlineStr">
        <is>
          <t>P4</t>
        </is>
      </c>
      <c r="U2040" s="3" t="inlineStr">
        <is>
          <t>N JB Cold Soldering</t>
        </is>
      </c>
      <c r="V2040" s="3" t="inlineStr">
        <is>
          <t>Soldering</t>
        </is>
      </c>
      <c r="W2040" s="3" t="inlineStr">
        <is>
          <t>Repair</t>
        </is>
      </c>
      <c r="X2040" s="18" t="n">
        <v>46167</v>
      </c>
      <c r="Y2040" s="73">
        <f>IF(X2040="","",X2040-A2040)</f>
        <v/>
      </c>
      <c r="Z2040" s="18" t="n">
        <v>46167</v>
      </c>
      <c r="AA2040" s="15" t="n"/>
      <c r="AB2040" s="15" t="n"/>
      <c r="AF2040">
        <f>IF(AND($F2040="Closed",$X2040&gt;=DATE(2026,5,1),$X2040&lt;=DATE(2026,5,31)),"Closed in May","Other")</f>
        <v/>
      </c>
    </row>
    <row r="2041">
      <c r="A2041" s="37" t="n">
        <v>46143</v>
      </c>
      <c r="B2041" s="3" t="n">
        <v>2026</v>
      </c>
      <c r="C2041" s="26" t="inlineStr">
        <is>
          <t>Yanara Power</t>
        </is>
      </c>
      <c r="D2041" s="3" t="inlineStr">
        <is>
          <t>Utility and C&amp;I</t>
        </is>
      </c>
      <c r="E2041" s="3" t="n"/>
      <c r="F2041" s="3" t="inlineStr">
        <is>
          <t>Closed</t>
        </is>
      </c>
      <c r="G2041" s="9" t="inlineStr">
        <is>
          <t xml:space="preserve">Ashish Jindal </t>
        </is>
      </c>
      <c r="H2041" s="26" t="n">
        <v>9983975581</v>
      </c>
      <c r="I2041" s="38" t="inlineStr">
        <is>
          <t>PE01052601</t>
        </is>
      </c>
      <c r="J2041" s="26" t="inlineStr">
        <is>
          <t>Multiple Issues</t>
        </is>
      </c>
      <c r="K2041" s="39" t="inlineStr">
        <is>
          <t>Holi</t>
        </is>
      </c>
      <c r="L2041" s="39" t="inlineStr">
        <is>
          <t>Maharashtra</t>
        </is>
      </c>
      <c r="M2041" s="46" t="inlineStr">
        <is>
          <t>PS</t>
        </is>
      </c>
      <c r="N2041" s="3" t="inlineStr">
        <is>
          <t>Cold Soldering</t>
        </is>
      </c>
      <c r="O2041" s="56" t="n">
        <v>575</v>
      </c>
      <c r="P2041" s="67" t="inlineStr">
        <is>
          <t>NSMI24070178173</t>
        </is>
      </c>
      <c r="Q2041" s="54">
        <f>MID(P2041,5,2)</f>
        <v/>
      </c>
      <c r="R2041" s="53">
        <f>MID(P2041,7,2)</f>
        <v/>
      </c>
      <c r="S2041" s="3" t="inlineStr">
        <is>
          <t>G2G</t>
        </is>
      </c>
      <c r="T2041" s="3" t="inlineStr">
        <is>
          <t>P4</t>
        </is>
      </c>
      <c r="U2041" s="19" t="inlineStr">
        <is>
          <t>P JB Cold Soldering</t>
        </is>
      </c>
      <c r="V2041" s="19" t="inlineStr">
        <is>
          <t>Soldering</t>
        </is>
      </c>
      <c r="W2041" s="3" t="inlineStr">
        <is>
          <t>Repair</t>
        </is>
      </c>
      <c r="X2041" s="18" t="n">
        <v>46167</v>
      </c>
      <c r="Y2041" s="73">
        <f>IF(X2041="","",X2041-A2041)</f>
        <v/>
      </c>
      <c r="Z2041" s="18" t="n">
        <v>46167</v>
      </c>
      <c r="AA2041" s="15" t="n"/>
      <c r="AB2041" s="15" t="n"/>
      <c r="AF2041">
        <f>IF(AND($F2041="Closed",$X2041&gt;=DATE(2026,5,1),$X2041&lt;=DATE(2026,5,31)),"Closed in May","Other")</f>
        <v/>
      </c>
    </row>
    <row r="2042">
      <c r="A2042" s="37" t="n">
        <v>46143</v>
      </c>
      <c r="B2042" s="3" t="n">
        <v>2026</v>
      </c>
      <c r="C2042" s="26" t="inlineStr">
        <is>
          <t>Yanara Power</t>
        </is>
      </c>
      <c r="D2042" s="3" t="inlineStr">
        <is>
          <t>Utility and C&amp;I</t>
        </is>
      </c>
      <c r="E2042" s="3" t="n"/>
      <c r="F2042" s="3" t="inlineStr">
        <is>
          <t>Closed</t>
        </is>
      </c>
      <c r="G2042" s="9" t="inlineStr">
        <is>
          <t xml:space="preserve">Ashish Jindal </t>
        </is>
      </c>
      <c r="H2042" s="26" t="n">
        <v>9983975581</v>
      </c>
      <c r="I2042" s="38" t="inlineStr">
        <is>
          <t>PE01052601</t>
        </is>
      </c>
      <c r="J2042" s="26" t="inlineStr">
        <is>
          <t>Multiple Issues</t>
        </is>
      </c>
      <c r="K2042" s="39" t="inlineStr">
        <is>
          <t>Holi</t>
        </is>
      </c>
      <c r="L2042" s="39" t="inlineStr">
        <is>
          <t>Maharashtra</t>
        </is>
      </c>
      <c r="M2042" s="46" t="inlineStr">
        <is>
          <t>NS</t>
        </is>
      </c>
      <c r="N2042" s="3" t="inlineStr">
        <is>
          <t>Cold Soldering</t>
        </is>
      </c>
      <c r="O2042" s="56" t="n">
        <v>575</v>
      </c>
      <c r="P2042" s="67" t="inlineStr">
        <is>
          <t>NSMI24070189681</t>
        </is>
      </c>
      <c r="Q2042" s="54">
        <f>MID(P2042,5,2)</f>
        <v/>
      </c>
      <c r="R2042" s="53">
        <f>MID(P2042,7,2)</f>
        <v/>
      </c>
      <c r="S2042" s="3" t="inlineStr">
        <is>
          <t>G2G</t>
        </is>
      </c>
      <c r="T2042" s="3" t="inlineStr">
        <is>
          <t>P4</t>
        </is>
      </c>
      <c r="U2042" s="3" t="inlineStr">
        <is>
          <t>N JB Cold Soldering</t>
        </is>
      </c>
      <c r="V2042" s="3" t="inlineStr">
        <is>
          <t>Soldering</t>
        </is>
      </c>
      <c r="W2042" s="3" t="inlineStr">
        <is>
          <t>Repair</t>
        </is>
      </c>
      <c r="X2042" s="18" t="n">
        <v>46167</v>
      </c>
      <c r="Y2042" s="73">
        <f>IF(X2042="","",X2042-A2042)</f>
        <v/>
      </c>
      <c r="Z2042" s="18" t="n">
        <v>46167</v>
      </c>
      <c r="AA2042" s="15" t="n"/>
      <c r="AB2042" s="15" t="n"/>
      <c r="AF2042">
        <f>IF(AND($F2042="Closed",$X2042&gt;=DATE(2026,5,1),$X2042&lt;=DATE(2026,5,31)),"Closed in May","Other")</f>
        <v/>
      </c>
    </row>
    <row r="2043">
      <c r="A2043" s="37" t="n">
        <v>46143</v>
      </c>
      <c r="B2043" s="3" t="n">
        <v>2026</v>
      </c>
      <c r="C2043" s="26" t="inlineStr">
        <is>
          <t>Yanara Power</t>
        </is>
      </c>
      <c r="D2043" s="3" t="inlineStr">
        <is>
          <t>Utility and C&amp;I</t>
        </is>
      </c>
      <c r="E2043" s="3" t="n"/>
      <c r="F2043" s="3" t="inlineStr">
        <is>
          <t>Closed</t>
        </is>
      </c>
      <c r="G2043" s="9" t="inlineStr">
        <is>
          <t xml:space="preserve">Ashish Jindal </t>
        </is>
      </c>
      <c r="H2043" s="26" t="n">
        <v>9983975581</v>
      </c>
      <c r="I2043" s="38" t="inlineStr">
        <is>
          <t>PE01052601</t>
        </is>
      </c>
      <c r="J2043" s="26" t="inlineStr">
        <is>
          <t>Multiple Issues</t>
        </is>
      </c>
      <c r="K2043" s="39" t="inlineStr">
        <is>
          <t>Holi</t>
        </is>
      </c>
      <c r="L2043" s="39" t="inlineStr">
        <is>
          <t>Maharashtra</t>
        </is>
      </c>
      <c r="M2043" s="46" t="inlineStr">
        <is>
          <t>PS</t>
        </is>
      </c>
      <c r="N2043" s="3" t="inlineStr">
        <is>
          <t>Cold Soldering</t>
        </is>
      </c>
      <c r="O2043" s="56" t="n">
        <v>575</v>
      </c>
      <c r="P2043" s="67" t="inlineStr">
        <is>
          <t>NSMI24070195413</t>
        </is>
      </c>
      <c r="Q2043" s="54">
        <f>MID(P2043,5,2)</f>
        <v/>
      </c>
      <c r="R2043" s="53">
        <f>MID(P2043,7,2)</f>
        <v/>
      </c>
      <c r="S2043" s="3" t="inlineStr">
        <is>
          <t>G2G</t>
        </is>
      </c>
      <c r="T2043" s="3" t="inlineStr">
        <is>
          <t>P4</t>
        </is>
      </c>
      <c r="U2043" s="19" t="inlineStr">
        <is>
          <t>P JB Cold Soldering</t>
        </is>
      </c>
      <c r="V2043" s="19" t="inlineStr">
        <is>
          <t>Soldering</t>
        </is>
      </c>
      <c r="W2043" s="3" t="inlineStr">
        <is>
          <t>Repair</t>
        </is>
      </c>
      <c r="X2043" s="18" t="n">
        <v>46167</v>
      </c>
      <c r="Y2043" s="73">
        <f>IF(X2043="","",X2043-A2043)</f>
        <v/>
      </c>
      <c r="Z2043" s="18" t="n">
        <v>46167</v>
      </c>
      <c r="AA2043" s="15" t="n"/>
      <c r="AB2043" s="15" t="n"/>
      <c r="AF2043">
        <f>IF(AND($F2043="Closed",$X2043&gt;=DATE(2026,5,1),$X2043&lt;=DATE(2026,5,31)),"Closed in May","Other")</f>
        <v/>
      </c>
    </row>
    <row r="2044">
      <c r="A2044" s="37" t="n">
        <v>46143</v>
      </c>
      <c r="B2044" s="3" t="n">
        <v>2026</v>
      </c>
      <c r="C2044" s="26" t="inlineStr">
        <is>
          <t>Yanara Power</t>
        </is>
      </c>
      <c r="D2044" s="3" t="inlineStr">
        <is>
          <t>Utility and C&amp;I</t>
        </is>
      </c>
      <c r="E2044" s="3" t="n"/>
      <c r="F2044" s="3" t="inlineStr">
        <is>
          <t>Closed</t>
        </is>
      </c>
      <c r="G2044" s="9" t="inlineStr">
        <is>
          <t xml:space="preserve">Ashish Jindal </t>
        </is>
      </c>
      <c r="H2044" s="26" t="n">
        <v>9983975581</v>
      </c>
      <c r="I2044" s="38" t="inlineStr">
        <is>
          <t>PE01052601</t>
        </is>
      </c>
      <c r="J2044" s="26" t="inlineStr">
        <is>
          <t>Multiple Issues</t>
        </is>
      </c>
      <c r="K2044" s="39" t="inlineStr">
        <is>
          <t>Holi</t>
        </is>
      </c>
      <c r="L2044" s="39" t="inlineStr">
        <is>
          <t>Maharashtra</t>
        </is>
      </c>
      <c r="M2044" s="46" t="inlineStr">
        <is>
          <t>PS</t>
        </is>
      </c>
      <c r="N2044" s="3" t="inlineStr">
        <is>
          <t>Cold Soldering</t>
        </is>
      </c>
      <c r="O2044" s="56" t="n">
        <v>575</v>
      </c>
      <c r="P2044" s="67" t="inlineStr">
        <is>
          <t>NSMI24070216486</t>
        </is>
      </c>
      <c r="Q2044" s="54">
        <f>MID(P2044,5,2)</f>
        <v/>
      </c>
      <c r="R2044" s="53">
        <f>MID(P2044,7,2)</f>
        <v/>
      </c>
      <c r="S2044" s="3" t="inlineStr">
        <is>
          <t>G2G</t>
        </is>
      </c>
      <c r="T2044" s="3" t="inlineStr">
        <is>
          <t>P4</t>
        </is>
      </c>
      <c r="U2044" s="19" t="inlineStr">
        <is>
          <t>P JB Cold Soldering</t>
        </is>
      </c>
      <c r="V2044" s="19" t="inlineStr">
        <is>
          <t>Soldering</t>
        </is>
      </c>
      <c r="W2044" s="3" t="inlineStr">
        <is>
          <t>Repair</t>
        </is>
      </c>
      <c r="X2044" s="18" t="n">
        <v>46167</v>
      </c>
      <c r="Y2044" s="73">
        <f>IF(X2044="","",X2044-A2044)</f>
        <v/>
      </c>
      <c r="Z2044" s="18" t="n">
        <v>46167</v>
      </c>
      <c r="AA2044" s="15" t="n"/>
      <c r="AB2044" s="15" t="n"/>
      <c r="AF2044">
        <f>IF(AND($F2044="Closed",$X2044&gt;=DATE(2026,5,1),$X2044&lt;=DATE(2026,5,31)),"Closed in May","Other")</f>
        <v/>
      </c>
    </row>
    <row r="2045">
      <c r="A2045" s="37" t="n">
        <v>46143</v>
      </c>
      <c r="B2045" s="3" t="n">
        <v>2026</v>
      </c>
      <c r="C2045" s="26" t="inlineStr">
        <is>
          <t>Yanara Power</t>
        </is>
      </c>
      <c r="D2045" s="3" t="inlineStr">
        <is>
          <t>Utility and C&amp;I</t>
        </is>
      </c>
      <c r="E2045" s="3" t="n"/>
      <c r="F2045" s="3" t="inlineStr">
        <is>
          <t>Closed</t>
        </is>
      </c>
      <c r="G2045" s="9" t="inlineStr">
        <is>
          <t xml:space="preserve">Ashish Jindal </t>
        </is>
      </c>
      <c r="H2045" s="26" t="n">
        <v>9983975581</v>
      </c>
      <c r="I2045" s="38" t="inlineStr">
        <is>
          <t>PE01052601</t>
        </is>
      </c>
      <c r="J2045" s="26" t="inlineStr">
        <is>
          <t>Multiple Issues</t>
        </is>
      </c>
      <c r="K2045" s="39" t="inlineStr">
        <is>
          <t>Holi</t>
        </is>
      </c>
      <c r="L2045" s="39" t="inlineStr">
        <is>
          <t>Maharashtra</t>
        </is>
      </c>
      <c r="M2045" s="46" t="inlineStr">
        <is>
          <t>PS</t>
        </is>
      </c>
      <c r="N2045" s="3" t="inlineStr">
        <is>
          <t>Cold Soldering</t>
        </is>
      </c>
      <c r="O2045" s="56" t="n">
        <v>575</v>
      </c>
      <c r="P2045" s="67" t="inlineStr">
        <is>
          <t>NSMI24070177569</t>
        </is>
      </c>
      <c r="Q2045" s="54">
        <f>MID(P2045,5,2)</f>
        <v/>
      </c>
      <c r="R2045" s="53">
        <f>MID(P2045,7,2)</f>
        <v/>
      </c>
      <c r="S2045" s="3" t="inlineStr">
        <is>
          <t>G2G</t>
        </is>
      </c>
      <c r="T2045" s="3" t="inlineStr">
        <is>
          <t>P4</t>
        </is>
      </c>
      <c r="U2045" s="19" t="inlineStr">
        <is>
          <t>P JB Cold Soldering</t>
        </is>
      </c>
      <c r="V2045" s="19" t="inlineStr">
        <is>
          <t>Soldering</t>
        </is>
      </c>
      <c r="W2045" s="3" t="inlineStr">
        <is>
          <t>Repair</t>
        </is>
      </c>
      <c r="X2045" s="18" t="n">
        <v>46167</v>
      </c>
      <c r="Y2045" s="73">
        <f>IF(X2045="","",X2045-A2045)</f>
        <v/>
      </c>
      <c r="Z2045" s="18" t="n">
        <v>46167</v>
      </c>
      <c r="AA2045" s="15" t="n"/>
      <c r="AB2045" s="15" t="n"/>
      <c r="AF2045">
        <f>IF(AND($F2045="Closed",$X2045&gt;=DATE(2026,5,1),$X2045&lt;=DATE(2026,5,31)),"Closed in May","Other")</f>
        <v/>
      </c>
    </row>
    <row r="2046">
      <c r="A2046" s="37" t="n">
        <v>46143</v>
      </c>
      <c r="B2046" s="3" t="n">
        <v>2026</v>
      </c>
      <c r="C2046" s="26" t="inlineStr">
        <is>
          <t>Yanara Power</t>
        </is>
      </c>
      <c r="D2046" s="3" t="inlineStr">
        <is>
          <t>Utility and C&amp;I</t>
        </is>
      </c>
      <c r="E2046" s="3" t="n"/>
      <c r="F2046" s="3" t="inlineStr">
        <is>
          <t>Closed</t>
        </is>
      </c>
      <c r="G2046" s="9" t="inlineStr">
        <is>
          <t xml:space="preserve">Ashish Jindal </t>
        </is>
      </c>
      <c r="H2046" s="26" t="n">
        <v>9983975581</v>
      </c>
      <c r="I2046" s="38" t="inlineStr">
        <is>
          <t>PE01052601</t>
        </is>
      </c>
      <c r="J2046" s="26" t="inlineStr">
        <is>
          <t>Multiple Issues</t>
        </is>
      </c>
      <c r="K2046" s="39" t="inlineStr">
        <is>
          <t>Holi</t>
        </is>
      </c>
      <c r="L2046" s="39" t="inlineStr">
        <is>
          <t>Maharashtra</t>
        </is>
      </c>
      <c r="M2046" s="46" t="inlineStr">
        <is>
          <t>NS</t>
        </is>
      </c>
      <c r="N2046" s="3" t="inlineStr">
        <is>
          <t>Cold Soldering</t>
        </is>
      </c>
      <c r="O2046" s="56" t="n">
        <v>575</v>
      </c>
      <c r="P2046" s="67" t="inlineStr">
        <is>
          <t>NSMI24070216686</t>
        </is>
      </c>
      <c r="Q2046" s="54">
        <f>MID(P2046,5,2)</f>
        <v/>
      </c>
      <c r="R2046" s="53">
        <f>MID(P2046,7,2)</f>
        <v/>
      </c>
      <c r="S2046" s="3" t="inlineStr">
        <is>
          <t>G2G</t>
        </is>
      </c>
      <c r="T2046" s="3" t="inlineStr">
        <is>
          <t>P4</t>
        </is>
      </c>
      <c r="U2046" s="3" t="inlineStr">
        <is>
          <t>N JB Cold Soldering</t>
        </is>
      </c>
      <c r="V2046" s="3" t="inlineStr">
        <is>
          <t>Soldering</t>
        </is>
      </c>
      <c r="W2046" s="3" t="inlineStr">
        <is>
          <t>Repair</t>
        </is>
      </c>
      <c r="X2046" s="18" t="n">
        <v>46167</v>
      </c>
      <c r="Y2046" s="73">
        <f>IF(X2046="","",X2046-A2046)</f>
        <v/>
      </c>
      <c r="Z2046" s="18" t="n">
        <v>46167</v>
      </c>
      <c r="AA2046" s="15" t="n"/>
      <c r="AB2046" s="15" t="n"/>
      <c r="AF2046">
        <f>IF(AND($F2046="Closed",$X2046&gt;=DATE(2026,5,1),$X2046&lt;=DATE(2026,5,31)),"Closed in May","Other")</f>
        <v/>
      </c>
    </row>
    <row r="2047">
      <c r="A2047" s="37" t="n">
        <v>46143</v>
      </c>
      <c r="B2047" s="3" t="n">
        <v>2026</v>
      </c>
      <c r="C2047" s="26" t="inlineStr">
        <is>
          <t>Yanara Power</t>
        </is>
      </c>
      <c r="D2047" s="3" t="inlineStr">
        <is>
          <t>Utility and C&amp;I</t>
        </is>
      </c>
      <c r="E2047" s="3" t="n"/>
      <c r="F2047" s="3" t="inlineStr">
        <is>
          <t>Closed</t>
        </is>
      </c>
      <c r="G2047" s="9" t="inlineStr">
        <is>
          <t xml:space="preserve">Ashish Jindal </t>
        </is>
      </c>
      <c r="H2047" s="26" t="n">
        <v>9983975581</v>
      </c>
      <c r="I2047" s="38" t="inlineStr">
        <is>
          <t>PE01052601</t>
        </is>
      </c>
      <c r="J2047" s="26" t="inlineStr">
        <is>
          <t>Multiple Issues</t>
        </is>
      </c>
      <c r="K2047" s="39" t="inlineStr">
        <is>
          <t>Holi</t>
        </is>
      </c>
      <c r="L2047" s="39" t="inlineStr">
        <is>
          <t>Maharashtra</t>
        </is>
      </c>
      <c r="M2047" s="46" t="inlineStr">
        <is>
          <t>PS</t>
        </is>
      </c>
      <c r="N2047" s="3" t="inlineStr">
        <is>
          <t>Cold Soldering</t>
        </is>
      </c>
      <c r="O2047" s="56" t="n">
        <v>575</v>
      </c>
      <c r="P2047" s="67" t="inlineStr">
        <is>
          <t>NSMI24070216685</t>
        </is>
      </c>
      <c r="Q2047" s="54">
        <f>MID(P2047,5,2)</f>
        <v/>
      </c>
      <c r="R2047" s="53">
        <f>MID(P2047,7,2)</f>
        <v/>
      </c>
      <c r="S2047" s="3" t="inlineStr">
        <is>
          <t>G2G</t>
        </is>
      </c>
      <c r="T2047" s="3" t="inlineStr">
        <is>
          <t>P4</t>
        </is>
      </c>
      <c r="U2047" s="19" t="inlineStr">
        <is>
          <t>P JB Cold Soldering</t>
        </is>
      </c>
      <c r="V2047" s="19" t="inlineStr">
        <is>
          <t>Soldering</t>
        </is>
      </c>
      <c r="W2047" s="3" t="inlineStr">
        <is>
          <t>Repair</t>
        </is>
      </c>
      <c r="X2047" s="18" t="n">
        <v>46167</v>
      </c>
      <c r="Y2047" s="73">
        <f>IF(X2047="","",X2047-A2047)</f>
        <v/>
      </c>
      <c r="Z2047" s="18" t="n">
        <v>46167</v>
      </c>
      <c r="AA2047" s="15" t="n"/>
      <c r="AB2047" s="15" t="n"/>
      <c r="AF2047">
        <f>IF(AND($F2047="Closed",$X2047&gt;=DATE(2026,5,1),$X2047&lt;=DATE(2026,5,31)),"Closed in May","Other")</f>
        <v/>
      </c>
    </row>
    <row r="2048">
      <c r="A2048" s="37" t="n">
        <v>46143</v>
      </c>
      <c r="B2048" s="3" t="n">
        <v>2026</v>
      </c>
      <c r="C2048" s="26" t="inlineStr">
        <is>
          <t>Yanara Power</t>
        </is>
      </c>
      <c r="D2048" s="3" t="inlineStr">
        <is>
          <t>Utility and C&amp;I</t>
        </is>
      </c>
      <c r="E2048" s="3" t="n"/>
      <c r="F2048" s="3" t="inlineStr">
        <is>
          <t>Closed</t>
        </is>
      </c>
      <c r="G2048" s="9" t="inlineStr">
        <is>
          <t xml:space="preserve">Ashish Jindal </t>
        </is>
      </c>
      <c r="H2048" s="26" t="n">
        <v>9983975581</v>
      </c>
      <c r="I2048" s="38" t="inlineStr">
        <is>
          <t>PE01052601</t>
        </is>
      </c>
      <c r="J2048" s="26" t="inlineStr">
        <is>
          <t>Multiple Issues</t>
        </is>
      </c>
      <c r="K2048" s="39" t="inlineStr">
        <is>
          <t>Holi</t>
        </is>
      </c>
      <c r="L2048" s="39" t="inlineStr">
        <is>
          <t>Maharashtra</t>
        </is>
      </c>
      <c r="M2048" s="46" t="inlineStr">
        <is>
          <t>PS</t>
        </is>
      </c>
      <c r="N2048" s="3" t="inlineStr">
        <is>
          <t>Cold Soldering</t>
        </is>
      </c>
      <c r="O2048" s="56" t="n">
        <v>575</v>
      </c>
      <c r="P2048" s="67" t="inlineStr">
        <is>
          <t>NSMI24070216450</t>
        </is>
      </c>
      <c r="Q2048" s="54">
        <f>MID(P2048,5,2)</f>
        <v/>
      </c>
      <c r="R2048" s="53">
        <f>MID(P2048,7,2)</f>
        <v/>
      </c>
      <c r="S2048" s="3" t="inlineStr">
        <is>
          <t>G2G</t>
        </is>
      </c>
      <c r="T2048" s="3" t="inlineStr">
        <is>
          <t>P4</t>
        </is>
      </c>
      <c r="U2048" s="19" t="inlineStr">
        <is>
          <t>P JB Cold Soldering</t>
        </is>
      </c>
      <c r="V2048" s="19" t="inlineStr">
        <is>
          <t>Soldering</t>
        </is>
      </c>
      <c r="W2048" s="3" t="inlineStr">
        <is>
          <t>Repair</t>
        </is>
      </c>
      <c r="X2048" s="18" t="n">
        <v>46167</v>
      </c>
      <c r="Y2048" s="73">
        <f>IF(X2048="","",X2048-A2048)</f>
        <v/>
      </c>
      <c r="Z2048" s="18" t="n">
        <v>46167</v>
      </c>
      <c r="AA2048" s="15" t="n"/>
      <c r="AB2048" s="15" t="n"/>
      <c r="AF2048">
        <f>IF(AND($F2048="Closed",$X2048&gt;=DATE(2026,5,1),$X2048&lt;=DATE(2026,5,31)),"Closed in May","Other")</f>
        <v/>
      </c>
    </row>
    <row r="2049">
      <c r="A2049" s="37" t="n">
        <v>46143</v>
      </c>
      <c r="B2049" s="3" t="n">
        <v>2026</v>
      </c>
      <c r="C2049" s="26" t="inlineStr">
        <is>
          <t>Yanara Power</t>
        </is>
      </c>
      <c r="D2049" s="3" t="inlineStr">
        <is>
          <t>Utility and C&amp;I</t>
        </is>
      </c>
      <c r="E2049" s="3" t="n"/>
      <c r="F2049" s="3" t="inlineStr">
        <is>
          <t>Closed</t>
        </is>
      </c>
      <c r="G2049" s="9" t="inlineStr">
        <is>
          <t xml:space="preserve">Ashish Jindal </t>
        </is>
      </c>
      <c r="H2049" s="26" t="n">
        <v>9983975581</v>
      </c>
      <c r="I2049" s="38" t="inlineStr">
        <is>
          <t>PE01052601</t>
        </is>
      </c>
      <c r="J2049" s="26" t="inlineStr">
        <is>
          <t>Multiple Issues</t>
        </is>
      </c>
      <c r="K2049" s="39" t="inlineStr">
        <is>
          <t>Holi</t>
        </is>
      </c>
      <c r="L2049" s="39" t="inlineStr">
        <is>
          <t>Maharashtra</t>
        </is>
      </c>
      <c r="M2049" s="46" t="inlineStr">
        <is>
          <t>PS</t>
        </is>
      </c>
      <c r="N2049" s="3" t="inlineStr">
        <is>
          <t>Cold Soldering</t>
        </is>
      </c>
      <c r="O2049" s="56" t="n">
        <v>575</v>
      </c>
      <c r="P2049" s="67" t="inlineStr">
        <is>
          <t>NSMI24070184180</t>
        </is>
      </c>
      <c r="Q2049" s="54">
        <f>MID(P2049,5,2)</f>
        <v/>
      </c>
      <c r="R2049" s="53">
        <f>MID(P2049,7,2)</f>
        <v/>
      </c>
      <c r="S2049" s="3" t="inlineStr">
        <is>
          <t>G2G</t>
        </is>
      </c>
      <c r="T2049" s="3" t="inlineStr">
        <is>
          <t>P4</t>
        </is>
      </c>
      <c r="U2049" s="19" t="inlineStr">
        <is>
          <t>P JB Cold Soldering</t>
        </is>
      </c>
      <c r="V2049" s="19" t="inlineStr">
        <is>
          <t>Soldering</t>
        </is>
      </c>
      <c r="W2049" s="3" t="inlineStr">
        <is>
          <t>Repair</t>
        </is>
      </c>
      <c r="X2049" s="18" t="n">
        <v>46167</v>
      </c>
      <c r="Y2049" s="73">
        <f>IF(X2049="","",X2049-A2049)</f>
        <v/>
      </c>
      <c r="Z2049" s="18" t="n">
        <v>46167</v>
      </c>
      <c r="AA2049" s="15" t="n"/>
      <c r="AB2049" s="15" t="n"/>
      <c r="AF2049">
        <f>IF(AND($F2049="Closed",$X2049&gt;=DATE(2026,5,1),$X2049&lt;=DATE(2026,5,31)),"Closed in May","Other")</f>
        <v/>
      </c>
    </row>
    <row r="2050">
      <c r="A2050" s="37" t="n">
        <v>46143</v>
      </c>
      <c r="B2050" s="3" t="n">
        <v>2026</v>
      </c>
      <c r="C2050" s="26" t="inlineStr">
        <is>
          <t>Yanara Power</t>
        </is>
      </c>
      <c r="D2050" s="3" t="inlineStr">
        <is>
          <t>Utility and C&amp;I</t>
        </is>
      </c>
      <c r="E2050" s="3" t="n"/>
      <c r="F2050" s="3" t="inlineStr">
        <is>
          <t>Closed</t>
        </is>
      </c>
      <c r="G2050" s="9" t="inlineStr">
        <is>
          <t xml:space="preserve">Ashish Jindal </t>
        </is>
      </c>
      <c r="H2050" s="26" t="n">
        <v>9983975581</v>
      </c>
      <c r="I2050" s="38" t="inlineStr">
        <is>
          <t>PE01052601</t>
        </is>
      </c>
      <c r="J2050" s="26" t="inlineStr">
        <is>
          <t>Multiple Issues</t>
        </is>
      </c>
      <c r="K2050" s="39" t="inlineStr">
        <is>
          <t>Holi</t>
        </is>
      </c>
      <c r="L2050" s="39" t="inlineStr">
        <is>
          <t>Maharashtra</t>
        </is>
      </c>
      <c r="M2050" s="46" t="inlineStr">
        <is>
          <t>PS</t>
        </is>
      </c>
      <c r="N2050" s="3" t="inlineStr">
        <is>
          <t>Cold Soldering</t>
        </is>
      </c>
      <c r="O2050" s="56" t="n">
        <v>575</v>
      </c>
      <c r="P2050" s="67" t="inlineStr">
        <is>
          <t>NSMI24070189812</t>
        </is>
      </c>
      <c r="Q2050" s="54">
        <f>MID(P2050,5,2)</f>
        <v/>
      </c>
      <c r="R2050" s="53">
        <f>MID(P2050,7,2)</f>
        <v/>
      </c>
      <c r="S2050" s="3" t="inlineStr">
        <is>
          <t>G2G</t>
        </is>
      </c>
      <c r="T2050" s="3" t="inlineStr">
        <is>
          <t>P4</t>
        </is>
      </c>
      <c r="U2050" s="19" t="inlineStr">
        <is>
          <t>P JB Cold Soldering</t>
        </is>
      </c>
      <c r="V2050" s="19" t="inlineStr">
        <is>
          <t>Soldering</t>
        </is>
      </c>
      <c r="W2050" s="3" t="inlineStr">
        <is>
          <t>Repair</t>
        </is>
      </c>
      <c r="X2050" s="18" t="n">
        <v>46167</v>
      </c>
      <c r="Y2050" s="73">
        <f>IF(X2050="","",X2050-A2050)</f>
        <v/>
      </c>
      <c r="Z2050" s="18" t="n">
        <v>46167</v>
      </c>
      <c r="AA2050" s="15" t="n"/>
      <c r="AB2050" s="15" t="n"/>
      <c r="AF2050">
        <f>IF(AND($F2050="Closed",$X2050&gt;=DATE(2026,5,1),$X2050&lt;=DATE(2026,5,31)),"Closed in May","Other")</f>
        <v/>
      </c>
    </row>
    <row r="2051">
      <c r="A2051" s="37" t="n">
        <v>46143</v>
      </c>
      <c r="B2051" s="3" t="n">
        <v>2026</v>
      </c>
      <c r="C2051" s="26" t="inlineStr">
        <is>
          <t>Yanara Power</t>
        </is>
      </c>
      <c r="D2051" s="3" t="inlineStr">
        <is>
          <t>Utility and C&amp;I</t>
        </is>
      </c>
      <c r="E2051" s="3" t="n"/>
      <c r="F2051" s="3" t="inlineStr">
        <is>
          <t>Closed</t>
        </is>
      </c>
      <c r="G2051" s="9" t="inlineStr">
        <is>
          <t xml:space="preserve">Ashish Jindal </t>
        </is>
      </c>
      <c r="H2051" s="26" t="n">
        <v>9983975581</v>
      </c>
      <c r="I2051" s="38" t="inlineStr">
        <is>
          <t>PE01052601</t>
        </is>
      </c>
      <c r="J2051" s="26" t="inlineStr">
        <is>
          <t>Multiple Issues</t>
        </is>
      </c>
      <c r="K2051" s="39" t="inlineStr">
        <is>
          <t>Holi</t>
        </is>
      </c>
      <c r="L2051" s="39" t="inlineStr">
        <is>
          <t>Maharashtra</t>
        </is>
      </c>
      <c r="M2051" s="46" t="inlineStr">
        <is>
          <t>NS</t>
        </is>
      </c>
      <c r="N2051" s="3" t="inlineStr">
        <is>
          <t>Cold Soldering</t>
        </is>
      </c>
      <c r="O2051" s="56" t="n">
        <v>575</v>
      </c>
      <c r="P2051" s="67" t="inlineStr">
        <is>
          <t>NSMI24070189863</t>
        </is>
      </c>
      <c r="Q2051" s="54">
        <f>MID(P2051,5,2)</f>
        <v/>
      </c>
      <c r="R2051" s="53">
        <f>MID(P2051,7,2)</f>
        <v/>
      </c>
      <c r="S2051" s="3" t="inlineStr">
        <is>
          <t>G2G</t>
        </is>
      </c>
      <c r="T2051" s="3" t="inlineStr">
        <is>
          <t>P4</t>
        </is>
      </c>
      <c r="U2051" s="3" t="inlineStr">
        <is>
          <t>N JB Cold Soldering</t>
        </is>
      </c>
      <c r="V2051" s="3" t="inlineStr">
        <is>
          <t>Soldering</t>
        </is>
      </c>
      <c r="W2051" s="3" t="inlineStr">
        <is>
          <t>Repair</t>
        </is>
      </c>
      <c r="X2051" s="18" t="n">
        <v>46167</v>
      </c>
      <c r="Y2051" s="73">
        <f>IF(X2051="","",X2051-A2051)</f>
        <v/>
      </c>
      <c r="Z2051" s="18" t="n">
        <v>46167</v>
      </c>
      <c r="AA2051" s="15" t="n"/>
      <c r="AB2051" s="15" t="n"/>
      <c r="AF2051">
        <f>IF(AND($F2051="Closed",$X2051&gt;=DATE(2026,5,1),$X2051&lt;=DATE(2026,5,31)),"Closed in May","Other")</f>
        <v/>
      </c>
    </row>
    <row r="2052">
      <c r="A2052" s="37" t="n">
        <v>46143</v>
      </c>
      <c r="B2052" s="3" t="n">
        <v>2026</v>
      </c>
      <c r="C2052" s="26" t="inlineStr">
        <is>
          <t>Yanara Power</t>
        </is>
      </c>
      <c r="D2052" s="3" t="inlineStr">
        <is>
          <t>Utility and C&amp;I</t>
        </is>
      </c>
      <c r="E2052" s="3" t="n"/>
      <c r="F2052" s="3" t="inlineStr">
        <is>
          <t>Closed</t>
        </is>
      </c>
      <c r="G2052" s="9" t="inlineStr">
        <is>
          <t xml:space="preserve">Ashish Jindal </t>
        </is>
      </c>
      <c r="H2052" s="26" t="n">
        <v>9983975581</v>
      </c>
      <c r="I2052" s="38" t="inlineStr">
        <is>
          <t>PE01052601</t>
        </is>
      </c>
      <c r="J2052" s="26" t="inlineStr">
        <is>
          <t>Multiple Issues</t>
        </is>
      </c>
      <c r="K2052" s="39" t="inlineStr">
        <is>
          <t>Holi</t>
        </is>
      </c>
      <c r="L2052" s="39" t="inlineStr">
        <is>
          <t>Maharashtra</t>
        </is>
      </c>
      <c r="M2052" s="46" t="inlineStr">
        <is>
          <t>PS</t>
        </is>
      </c>
      <c r="N2052" s="3" t="inlineStr">
        <is>
          <t>Cold Soldering</t>
        </is>
      </c>
      <c r="O2052" s="56" t="n">
        <v>575</v>
      </c>
      <c r="P2052" s="67" t="inlineStr">
        <is>
          <t>NSMI24070179169</t>
        </is>
      </c>
      <c r="Q2052" s="54">
        <f>MID(P2052,5,2)</f>
        <v/>
      </c>
      <c r="R2052" s="53">
        <f>MID(P2052,7,2)</f>
        <v/>
      </c>
      <c r="S2052" s="3" t="inlineStr">
        <is>
          <t>G2G</t>
        </is>
      </c>
      <c r="T2052" s="3" t="inlineStr">
        <is>
          <t>P4</t>
        </is>
      </c>
      <c r="U2052" s="19" t="inlineStr">
        <is>
          <t>P JB Cold Soldering</t>
        </is>
      </c>
      <c r="V2052" s="19" t="inlineStr">
        <is>
          <t>Soldering</t>
        </is>
      </c>
      <c r="W2052" s="3" t="inlineStr">
        <is>
          <t>Repair</t>
        </is>
      </c>
      <c r="X2052" s="18" t="n">
        <v>46167</v>
      </c>
      <c r="Y2052" s="73">
        <f>IF(X2052="","",X2052-A2052)</f>
        <v/>
      </c>
      <c r="Z2052" s="18" t="n">
        <v>46167</v>
      </c>
      <c r="AA2052" s="15" t="n"/>
      <c r="AB2052" s="15" t="n"/>
      <c r="AF2052">
        <f>IF(AND($F2052="Closed",$X2052&gt;=DATE(2026,5,1),$X2052&lt;=DATE(2026,5,31)),"Closed in May","Other")</f>
        <v/>
      </c>
    </row>
    <row r="2053">
      <c r="A2053" s="37" t="n">
        <v>46143</v>
      </c>
      <c r="B2053" s="3" t="n">
        <v>2026</v>
      </c>
      <c r="C2053" s="26" t="inlineStr">
        <is>
          <t>Yanara Power</t>
        </is>
      </c>
      <c r="D2053" s="3" t="inlineStr">
        <is>
          <t>Utility and C&amp;I</t>
        </is>
      </c>
      <c r="E2053" s="3" t="n"/>
      <c r="F2053" s="3" t="inlineStr">
        <is>
          <t>Closed</t>
        </is>
      </c>
      <c r="G2053" s="9" t="inlineStr">
        <is>
          <t xml:space="preserve">Ashish Jindal </t>
        </is>
      </c>
      <c r="H2053" s="26" t="n">
        <v>9983975581</v>
      </c>
      <c r="I2053" s="38" t="inlineStr">
        <is>
          <t>PE01052601</t>
        </is>
      </c>
      <c r="J2053" s="26" t="inlineStr">
        <is>
          <t>Multiple Issues</t>
        </is>
      </c>
      <c r="K2053" s="39" t="inlineStr">
        <is>
          <t>Holi</t>
        </is>
      </c>
      <c r="L2053" s="39" t="inlineStr">
        <is>
          <t>Maharashtra</t>
        </is>
      </c>
      <c r="M2053" s="46" t="inlineStr">
        <is>
          <t>NS</t>
        </is>
      </c>
      <c r="N2053" s="3" t="inlineStr">
        <is>
          <t>Cold Soldering</t>
        </is>
      </c>
      <c r="O2053" s="56" t="n">
        <v>575</v>
      </c>
      <c r="P2053" s="67" t="inlineStr">
        <is>
          <t>NSMI24070177014</t>
        </is>
      </c>
      <c r="Q2053" s="54">
        <f>MID(P2053,5,2)</f>
        <v/>
      </c>
      <c r="R2053" s="53">
        <f>MID(P2053,7,2)</f>
        <v/>
      </c>
      <c r="S2053" s="3" t="inlineStr">
        <is>
          <t>G2G</t>
        </is>
      </c>
      <c r="T2053" s="3" t="inlineStr">
        <is>
          <t>P4</t>
        </is>
      </c>
      <c r="U2053" s="3" t="inlineStr">
        <is>
          <t>N JB Cold Soldering</t>
        </is>
      </c>
      <c r="V2053" s="3" t="inlineStr">
        <is>
          <t>Soldering</t>
        </is>
      </c>
      <c r="W2053" s="3" t="inlineStr">
        <is>
          <t>Repair</t>
        </is>
      </c>
      <c r="X2053" s="18" t="n">
        <v>46167</v>
      </c>
      <c r="Y2053" s="73">
        <f>IF(X2053="","",X2053-A2053)</f>
        <v/>
      </c>
      <c r="Z2053" s="18" t="n">
        <v>46167</v>
      </c>
      <c r="AA2053" s="15" t="n"/>
      <c r="AB2053" s="15" t="n"/>
      <c r="AF2053">
        <f>IF(AND($F2053="Closed",$X2053&gt;=DATE(2026,5,1),$X2053&lt;=DATE(2026,5,31)),"Closed in May","Other")</f>
        <v/>
      </c>
    </row>
    <row r="2054">
      <c r="A2054" s="37" t="n">
        <v>46143</v>
      </c>
      <c r="B2054" s="3" t="n">
        <v>2026</v>
      </c>
      <c r="C2054" s="26" t="inlineStr">
        <is>
          <t>Yanara Power</t>
        </is>
      </c>
      <c r="D2054" s="3" t="inlineStr">
        <is>
          <t>Utility and C&amp;I</t>
        </is>
      </c>
      <c r="E2054" s="3" t="n"/>
      <c r="F2054" s="3" t="inlineStr">
        <is>
          <t>Closed</t>
        </is>
      </c>
      <c r="G2054" s="9" t="inlineStr">
        <is>
          <t xml:space="preserve">Ashish Jindal </t>
        </is>
      </c>
      <c r="H2054" s="26" t="n">
        <v>9983975581</v>
      </c>
      <c r="I2054" s="38" t="inlineStr">
        <is>
          <t>PE01052601</t>
        </is>
      </c>
      <c r="J2054" s="26" t="inlineStr">
        <is>
          <t>Multiple Issues</t>
        </is>
      </c>
      <c r="K2054" s="39" t="inlineStr">
        <is>
          <t>Holi</t>
        </is>
      </c>
      <c r="L2054" s="39" t="inlineStr">
        <is>
          <t>Maharashtra</t>
        </is>
      </c>
      <c r="M2054" s="46" t="inlineStr">
        <is>
          <t>PS</t>
        </is>
      </c>
      <c r="N2054" s="3" t="inlineStr">
        <is>
          <t>Cold Soldering</t>
        </is>
      </c>
      <c r="O2054" s="56" t="n">
        <v>575</v>
      </c>
      <c r="P2054" s="67" t="inlineStr">
        <is>
          <t>NSMI24070177030</t>
        </is>
      </c>
      <c r="Q2054" s="54">
        <f>MID(P2054,5,2)</f>
        <v/>
      </c>
      <c r="R2054" s="53">
        <f>MID(P2054,7,2)</f>
        <v/>
      </c>
      <c r="S2054" s="3" t="inlineStr">
        <is>
          <t>G2G</t>
        </is>
      </c>
      <c r="T2054" s="3" t="inlineStr">
        <is>
          <t>P4</t>
        </is>
      </c>
      <c r="U2054" s="19" t="inlineStr">
        <is>
          <t>P JB Cold Soldering</t>
        </is>
      </c>
      <c r="V2054" s="19" t="inlineStr">
        <is>
          <t>Soldering</t>
        </is>
      </c>
      <c r="W2054" s="3" t="inlineStr">
        <is>
          <t>Repair</t>
        </is>
      </c>
      <c r="X2054" s="18" t="n">
        <v>46167</v>
      </c>
      <c r="Y2054" s="73">
        <f>IF(X2054="","",X2054-A2054)</f>
        <v/>
      </c>
      <c r="Z2054" s="18" t="n">
        <v>46167</v>
      </c>
      <c r="AA2054" s="15" t="n"/>
      <c r="AB2054" s="15" t="n"/>
      <c r="AF2054">
        <f>IF(AND($F2054="Closed",$X2054&gt;=DATE(2026,5,1),$X2054&lt;=DATE(2026,5,31)),"Closed in May","Other")</f>
        <v/>
      </c>
    </row>
    <row r="2055">
      <c r="A2055" s="37" t="n">
        <v>46143</v>
      </c>
      <c r="B2055" s="3" t="n">
        <v>2026</v>
      </c>
      <c r="C2055" s="26" t="inlineStr">
        <is>
          <t>Yanara Power</t>
        </is>
      </c>
      <c r="D2055" s="3" t="inlineStr">
        <is>
          <t>Utility and C&amp;I</t>
        </is>
      </c>
      <c r="E2055" s="3" t="n"/>
      <c r="F2055" s="3" t="inlineStr">
        <is>
          <t>Closed</t>
        </is>
      </c>
      <c r="G2055" s="9" t="inlineStr">
        <is>
          <t xml:space="preserve">Ashish Jindal </t>
        </is>
      </c>
      <c r="H2055" s="26" t="n">
        <v>9983975581</v>
      </c>
      <c r="I2055" s="38" t="inlineStr">
        <is>
          <t>PE01052601</t>
        </is>
      </c>
      <c r="J2055" s="26" t="inlineStr">
        <is>
          <t>Multiple Issues</t>
        </is>
      </c>
      <c r="K2055" s="39" t="inlineStr">
        <is>
          <t>Holi</t>
        </is>
      </c>
      <c r="L2055" s="39" t="inlineStr">
        <is>
          <t>Maharashtra</t>
        </is>
      </c>
      <c r="M2055" s="46" t="inlineStr">
        <is>
          <t>PS</t>
        </is>
      </c>
      <c r="N2055" s="3" t="inlineStr">
        <is>
          <t>Cold Soldering</t>
        </is>
      </c>
      <c r="O2055" s="56" t="n">
        <v>575</v>
      </c>
      <c r="P2055" s="67" t="inlineStr">
        <is>
          <t>NSMI24070190138</t>
        </is>
      </c>
      <c r="Q2055" s="54">
        <f>MID(P2055,5,2)</f>
        <v/>
      </c>
      <c r="R2055" s="53">
        <f>MID(P2055,7,2)</f>
        <v/>
      </c>
      <c r="S2055" s="3" t="inlineStr">
        <is>
          <t>G2G</t>
        </is>
      </c>
      <c r="T2055" s="3" t="inlineStr">
        <is>
          <t>P4</t>
        </is>
      </c>
      <c r="U2055" s="19" t="inlineStr">
        <is>
          <t>P JB Cold Soldering</t>
        </is>
      </c>
      <c r="V2055" s="19" t="inlineStr">
        <is>
          <t>Soldering</t>
        </is>
      </c>
      <c r="W2055" s="3" t="inlineStr">
        <is>
          <t>Repair</t>
        </is>
      </c>
      <c r="X2055" s="18" t="n">
        <v>46167</v>
      </c>
      <c r="Y2055" s="73">
        <f>IF(X2055="","",X2055-A2055)</f>
        <v/>
      </c>
      <c r="Z2055" s="18" t="n">
        <v>46167</v>
      </c>
      <c r="AA2055" s="15" t="n"/>
      <c r="AB2055" s="15" t="n"/>
      <c r="AF2055">
        <f>IF(AND($F2055="Closed",$X2055&gt;=DATE(2026,5,1),$X2055&lt;=DATE(2026,5,31)),"Closed in May","Other")</f>
        <v/>
      </c>
    </row>
    <row r="2056">
      <c r="A2056" s="37" t="n">
        <v>46143</v>
      </c>
      <c r="B2056" s="3" t="n">
        <v>2026</v>
      </c>
      <c r="C2056" s="26" t="inlineStr">
        <is>
          <t>Yanara Power</t>
        </is>
      </c>
      <c r="D2056" s="3" t="inlineStr">
        <is>
          <t>Utility and C&amp;I</t>
        </is>
      </c>
      <c r="E2056" s="3" t="n"/>
      <c r="F2056" s="3" t="inlineStr">
        <is>
          <t>Closed</t>
        </is>
      </c>
      <c r="G2056" s="9" t="inlineStr">
        <is>
          <t xml:space="preserve">Ashish Jindal </t>
        </is>
      </c>
      <c r="H2056" s="26" t="n">
        <v>9983975581</v>
      </c>
      <c r="I2056" s="38" t="inlineStr">
        <is>
          <t>PE01052601</t>
        </is>
      </c>
      <c r="J2056" s="26" t="inlineStr">
        <is>
          <t>Multiple Issues</t>
        </is>
      </c>
      <c r="K2056" s="39" t="inlineStr">
        <is>
          <t>Holi</t>
        </is>
      </c>
      <c r="L2056" s="39" t="inlineStr">
        <is>
          <t>Maharashtra</t>
        </is>
      </c>
      <c r="M2056" s="46" t="inlineStr">
        <is>
          <t>PS</t>
        </is>
      </c>
      <c r="N2056" s="3" t="inlineStr">
        <is>
          <t>Cold Soldering</t>
        </is>
      </c>
      <c r="O2056" s="56" t="n">
        <v>575</v>
      </c>
      <c r="P2056" s="67" t="inlineStr">
        <is>
          <t>NSMI24070196870</t>
        </is>
      </c>
      <c r="Q2056" s="54">
        <f>MID(P2056,5,2)</f>
        <v/>
      </c>
      <c r="R2056" s="53">
        <f>MID(P2056,7,2)</f>
        <v/>
      </c>
      <c r="S2056" s="3" t="inlineStr">
        <is>
          <t>G2G</t>
        </is>
      </c>
      <c r="T2056" s="3" t="inlineStr">
        <is>
          <t>P4</t>
        </is>
      </c>
      <c r="U2056" s="19" t="inlineStr">
        <is>
          <t>P JB Cold Soldering</t>
        </is>
      </c>
      <c r="V2056" s="19" t="inlineStr">
        <is>
          <t>Soldering</t>
        </is>
      </c>
      <c r="W2056" s="3" t="inlineStr">
        <is>
          <t>Repair</t>
        </is>
      </c>
      <c r="X2056" s="18" t="n">
        <v>46167</v>
      </c>
      <c r="Y2056" s="73">
        <f>IF(X2056="","",X2056-A2056)</f>
        <v/>
      </c>
      <c r="Z2056" s="18" t="n">
        <v>46167</v>
      </c>
      <c r="AA2056" s="15" t="n"/>
      <c r="AB2056" s="15" t="n"/>
      <c r="AF2056">
        <f>IF(AND($F2056="Closed",$X2056&gt;=DATE(2026,5,1),$X2056&lt;=DATE(2026,5,31)),"Closed in May","Other")</f>
        <v/>
      </c>
    </row>
    <row r="2057">
      <c r="A2057" s="37" t="n">
        <v>46143</v>
      </c>
      <c r="B2057" s="3" t="n">
        <v>2026</v>
      </c>
      <c r="C2057" s="26" t="inlineStr">
        <is>
          <t>Yanara Power</t>
        </is>
      </c>
      <c r="D2057" s="3" t="inlineStr">
        <is>
          <t>Utility and C&amp;I</t>
        </is>
      </c>
      <c r="E2057" s="3" t="n"/>
      <c r="F2057" s="3" t="inlineStr">
        <is>
          <t>Closed</t>
        </is>
      </c>
      <c r="G2057" s="9" t="inlineStr">
        <is>
          <t xml:space="preserve">Ashish Jindal </t>
        </is>
      </c>
      <c r="H2057" s="26" t="n">
        <v>9983975581</v>
      </c>
      <c r="I2057" s="38" t="inlineStr">
        <is>
          <t>PE01052601</t>
        </is>
      </c>
      <c r="J2057" s="26" t="inlineStr">
        <is>
          <t>Multiple Issues</t>
        </is>
      </c>
      <c r="K2057" s="39" t="inlineStr">
        <is>
          <t>Holi</t>
        </is>
      </c>
      <c r="L2057" s="39" t="inlineStr">
        <is>
          <t>Maharashtra</t>
        </is>
      </c>
      <c r="M2057" s="46" t="inlineStr">
        <is>
          <t>PS</t>
        </is>
      </c>
      <c r="N2057" s="3" t="inlineStr">
        <is>
          <t>Cold Soldering</t>
        </is>
      </c>
      <c r="O2057" s="56" t="n">
        <v>575</v>
      </c>
      <c r="P2057" s="67" t="inlineStr">
        <is>
          <t>NSMI24070197199</t>
        </is>
      </c>
      <c r="Q2057" s="54">
        <f>MID(P2057,5,2)</f>
        <v/>
      </c>
      <c r="R2057" s="53">
        <f>MID(P2057,7,2)</f>
        <v/>
      </c>
      <c r="S2057" s="3" t="inlineStr">
        <is>
          <t>G2G</t>
        </is>
      </c>
      <c r="T2057" s="3" t="inlineStr">
        <is>
          <t>P4</t>
        </is>
      </c>
      <c r="U2057" s="19" t="inlineStr">
        <is>
          <t>P JB Cold Soldering</t>
        </is>
      </c>
      <c r="V2057" s="19" t="inlineStr">
        <is>
          <t>Soldering</t>
        </is>
      </c>
      <c r="W2057" s="3" t="inlineStr">
        <is>
          <t>Repair</t>
        </is>
      </c>
      <c r="X2057" s="18" t="n">
        <v>46167</v>
      </c>
      <c r="Y2057" s="73">
        <f>IF(X2057="","",X2057-A2057)</f>
        <v/>
      </c>
      <c r="Z2057" s="18" t="n">
        <v>46167</v>
      </c>
      <c r="AA2057" s="15" t="n"/>
      <c r="AB2057" s="15" t="n"/>
      <c r="AF2057">
        <f>IF(AND($F2057="Closed",$X2057&gt;=DATE(2026,5,1),$X2057&lt;=DATE(2026,5,31)),"Closed in May","Other")</f>
        <v/>
      </c>
    </row>
    <row r="2058">
      <c r="A2058" s="37" t="n">
        <v>46143</v>
      </c>
      <c r="B2058" s="3" t="n">
        <v>2026</v>
      </c>
      <c r="C2058" s="26" t="inlineStr">
        <is>
          <t>Yanara Power</t>
        </is>
      </c>
      <c r="D2058" s="3" t="inlineStr">
        <is>
          <t>Utility and C&amp;I</t>
        </is>
      </c>
      <c r="E2058" s="3" t="n"/>
      <c r="F2058" s="3" t="inlineStr">
        <is>
          <t>Closed</t>
        </is>
      </c>
      <c r="G2058" s="9" t="inlineStr">
        <is>
          <t xml:space="preserve">Ashish Jindal </t>
        </is>
      </c>
      <c r="H2058" s="26" t="n">
        <v>9983975581</v>
      </c>
      <c r="I2058" s="38" t="inlineStr">
        <is>
          <t>PE01052601</t>
        </is>
      </c>
      <c r="J2058" s="26" t="inlineStr">
        <is>
          <t>Multiple Issues</t>
        </is>
      </c>
      <c r="K2058" s="39" t="inlineStr">
        <is>
          <t>Holi</t>
        </is>
      </c>
      <c r="L2058" s="39" t="inlineStr">
        <is>
          <t>Maharashtra</t>
        </is>
      </c>
      <c r="M2058" s="46" t="inlineStr">
        <is>
          <t>PS</t>
        </is>
      </c>
      <c r="N2058" s="3" t="inlineStr">
        <is>
          <t>Cold Soldering</t>
        </is>
      </c>
      <c r="O2058" s="56" t="n">
        <v>575</v>
      </c>
      <c r="P2058" s="67" t="inlineStr">
        <is>
          <t>NSMI24070196890</t>
        </is>
      </c>
      <c r="Q2058" s="54">
        <f>MID(P2058,5,2)</f>
        <v/>
      </c>
      <c r="R2058" s="53">
        <f>MID(P2058,7,2)</f>
        <v/>
      </c>
      <c r="S2058" s="3" t="inlineStr">
        <is>
          <t>G2G</t>
        </is>
      </c>
      <c r="T2058" s="3" t="inlineStr">
        <is>
          <t>P4</t>
        </is>
      </c>
      <c r="U2058" s="19" t="inlineStr">
        <is>
          <t>P JB Cold Soldering</t>
        </is>
      </c>
      <c r="V2058" s="19" t="inlineStr">
        <is>
          <t>Soldering</t>
        </is>
      </c>
      <c r="W2058" s="3" t="inlineStr">
        <is>
          <t>Repair</t>
        </is>
      </c>
      <c r="X2058" s="18" t="n">
        <v>46167</v>
      </c>
      <c r="Y2058" s="73">
        <f>IF(X2058="","",X2058-A2058)</f>
        <v/>
      </c>
      <c r="Z2058" s="18" t="n">
        <v>46167</v>
      </c>
      <c r="AA2058" s="15" t="n"/>
      <c r="AB2058" s="15" t="n"/>
      <c r="AF2058">
        <f>IF(AND($F2058="Closed",$X2058&gt;=DATE(2026,5,1),$X2058&lt;=DATE(2026,5,31)),"Closed in May","Other")</f>
        <v/>
      </c>
    </row>
    <row r="2059">
      <c r="A2059" s="37" t="n">
        <v>46143</v>
      </c>
      <c r="B2059" s="3" t="n">
        <v>2026</v>
      </c>
      <c r="C2059" s="26" t="inlineStr">
        <is>
          <t>Yanara Power</t>
        </is>
      </c>
      <c r="D2059" s="3" t="inlineStr">
        <is>
          <t>Utility and C&amp;I</t>
        </is>
      </c>
      <c r="E2059" s="3" t="n"/>
      <c r="F2059" s="3" t="inlineStr">
        <is>
          <t>Closed</t>
        </is>
      </c>
      <c r="G2059" s="9" t="inlineStr">
        <is>
          <t xml:space="preserve">Ashish Jindal </t>
        </is>
      </c>
      <c r="H2059" s="26" t="n">
        <v>9983975581</v>
      </c>
      <c r="I2059" s="38" t="inlineStr">
        <is>
          <t>PE01052601</t>
        </is>
      </c>
      <c r="J2059" s="26" t="inlineStr">
        <is>
          <t>Multiple Issues</t>
        </is>
      </c>
      <c r="K2059" s="39" t="inlineStr">
        <is>
          <t>Holi</t>
        </is>
      </c>
      <c r="L2059" s="39" t="inlineStr">
        <is>
          <t>Maharashtra</t>
        </is>
      </c>
      <c r="M2059" s="46" t="inlineStr">
        <is>
          <t>PS</t>
        </is>
      </c>
      <c r="N2059" s="3" t="inlineStr">
        <is>
          <t>Cold Soldering</t>
        </is>
      </c>
      <c r="O2059" s="56" t="n">
        <v>575</v>
      </c>
      <c r="P2059" s="67" t="inlineStr">
        <is>
          <t>NSMI24070197174</t>
        </is>
      </c>
      <c r="Q2059" s="54">
        <f>MID(P2059,5,2)</f>
        <v/>
      </c>
      <c r="R2059" s="53">
        <f>MID(P2059,7,2)</f>
        <v/>
      </c>
      <c r="S2059" s="3" t="inlineStr">
        <is>
          <t>G2G</t>
        </is>
      </c>
      <c r="T2059" s="3" t="inlineStr">
        <is>
          <t>P4</t>
        </is>
      </c>
      <c r="U2059" s="19" t="inlineStr">
        <is>
          <t>P JB Cold Soldering</t>
        </is>
      </c>
      <c r="V2059" s="19" t="inlineStr">
        <is>
          <t>Soldering</t>
        </is>
      </c>
      <c r="W2059" s="3" t="inlineStr">
        <is>
          <t>Repair</t>
        </is>
      </c>
      <c r="X2059" s="18" t="n">
        <v>46167</v>
      </c>
      <c r="Y2059" s="73">
        <f>IF(X2059="","",X2059-A2059)</f>
        <v/>
      </c>
      <c r="Z2059" s="18" t="n">
        <v>46167</v>
      </c>
      <c r="AA2059" s="15" t="n"/>
      <c r="AB2059" s="15" t="n"/>
      <c r="AF2059">
        <f>IF(AND($F2059="Closed",$X2059&gt;=DATE(2026,5,1),$X2059&lt;=DATE(2026,5,31)),"Closed in May","Other")</f>
        <v/>
      </c>
    </row>
    <row r="2060">
      <c r="A2060" s="37" t="n">
        <v>46143</v>
      </c>
      <c r="B2060" s="3" t="n">
        <v>2026</v>
      </c>
      <c r="C2060" s="26" t="inlineStr">
        <is>
          <t>Yanara Power</t>
        </is>
      </c>
      <c r="D2060" s="3" t="inlineStr">
        <is>
          <t>Utility and C&amp;I</t>
        </is>
      </c>
      <c r="E2060" s="3" t="n"/>
      <c r="F2060" s="3" t="inlineStr">
        <is>
          <t>Closed</t>
        </is>
      </c>
      <c r="G2060" s="9" t="inlineStr">
        <is>
          <t xml:space="preserve">Ashish Jindal </t>
        </is>
      </c>
      <c r="H2060" s="26" t="n">
        <v>9983975581</v>
      </c>
      <c r="I2060" s="38" t="inlineStr">
        <is>
          <t>PE01052601</t>
        </is>
      </c>
      <c r="J2060" s="26" t="inlineStr">
        <is>
          <t>Multiple Issues</t>
        </is>
      </c>
      <c r="K2060" s="39" t="inlineStr">
        <is>
          <t>Holi</t>
        </is>
      </c>
      <c r="L2060" s="39" t="inlineStr">
        <is>
          <t>Maharashtra</t>
        </is>
      </c>
      <c r="M2060" s="46" t="inlineStr">
        <is>
          <t>PS</t>
        </is>
      </c>
      <c r="N2060" s="3" t="inlineStr">
        <is>
          <t>Cold Soldering</t>
        </is>
      </c>
      <c r="O2060" s="56" t="n">
        <v>575</v>
      </c>
      <c r="P2060" s="67" t="inlineStr">
        <is>
          <t>NSMI24070184387</t>
        </is>
      </c>
      <c r="Q2060" s="54">
        <f>MID(P2060,5,2)</f>
        <v/>
      </c>
      <c r="R2060" s="53">
        <f>MID(P2060,7,2)</f>
        <v/>
      </c>
      <c r="S2060" s="3" t="inlineStr">
        <is>
          <t>G2G</t>
        </is>
      </c>
      <c r="T2060" s="3" t="inlineStr">
        <is>
          <t>P4</t>
        </is>
      </c>
      <c r="U2060" s="19" t="inlineStr">
        <is>
          <t>P JB Cold Soldering</t>
        </is>
      </c>
      <c r="V2060" s="19" t="inlineStr">
        <is>
          <t>Soldering</t>
        </is>
      </c>
      <c r="W2060" s="3" t="inlineStr">
        <is>
          <t>Repair</t>
        </is>
      </c>
      <c r="X2060" s="18" t="n">
        <v>46167</v>
      </c>
      <c r="Y2060" s="73">
        <f>IF(X2060="","",X2060-A2060)</f>
        <v/>
      </c>
      <c r="Z2060" s="18" t="n">
        <v>46167</v>
      </c>
      <c r="AA2060" s="15" t="n"/>
      <c r="AB2060" s="15" t="n"/>
      <c r="AF2060">
        <f>IF(AND($F2060="Closed",$X2060&gt;=DATE(2026,5,1),$X2060&lt;=DATE(2026,5,31)),"Closed in May","Other")</f>
        <v/>
      </c>
    </row>
    <row r="2061">
      <c r="A2061" s="37" t="n">
        <v>46143</v>
      </c>
      <c r="B2061" s="3" t="n">
        <v>2026</v>
      </c>
      <c r="C2061" s="26" t="inlineStr">
        <is>
          <t>Yanara Power</t>
        </is>
      </c>
      <c r="D2061" s="3" t="inlineStr">
        <is>
          <t>Utility and C&amp;I</t>
        </is>
      </c>
      <c r="E2061" s="3" t="n"/>
      <c r="F2061" s="3" t="inlineStr">
        <is>
          <t>Closed</t>
        </is>
      </c>
      <c r="G2061" s="9" t="inlineStr">
        <is>
          <t xml:space="preserve">Ashish Jindal </t>
        </is>
      </c>
      <c r="H2061" s="26" t="n">
        <v>9983975581</v>
      </c>
      <c r="I2061" s="38" t="inlineStr">
        <is>
          <t>PE01052601</t>
        </is>
      </c>
      <c r="J2061" s="26" t="inlineStr">
        <is>
          <t>Multiple Issues</t>
        </is>
      </c>
      <c r="K2061" s="39" t="inlineStr">
        <is>
          <t>Holi</t>
        </is>
      </c>
      <c r="L2061" s="39" t="inlineStr">
        <is>
          <t>Maharashtra</t>
        </is>
      </c>
      <c r="M2061" s="46" t="inlineStr">
        <is>
          <t>NS</t>
        </is>
      </c>
      <c r="N2061" s="3" t="inlineStr">
        <is>
          <t>Cold Soldering</t>
        </is>
      </c>
      <c r="O2061" s="56" t="n">
        <v>575</v>
      </c>
      <c r="P2061" s="67" t="inlineStr">
        <is>
          <t>NSMI24070180891</t>
        </is>
      </c>
      <c r="Q2061" s="54">
        <f>MID(P2061,5,2)</f>
        <v/>
      </c>
      <c r="R2061" s="53">
        <f>MID(P2061,7,2)</f>
        <v/>
      </c>
      <c r="S2061" s="3" t="inlineStr">
        <is>
          <t>G2G</t>
        </is>
      </c>
      <c r="T2061" s="3" t="inlineStr">
        <is>
          <t>P4</t>
        </is>
      </c>
      <c r="U2061" s="3" t="inlineStr">
        <is>
          <t>N JB Cold Soldering</t>
        </is>
      </c>
      <c r="V2061" s="3" t="inlineStr">
        <is>
          <t>Soldering</t>
        </is>
      </c>
      <c r="W2061" s="3" t="inlineStr">
        <is>
          <t>Repair</t>
        </is>
      </c>
      <c r="X2061" s="18" t="n">
        <v>46167</v>
      </c>
      <c r="Y2061" s="73">
        <f>IF(X2061="","",X2061-A2061)</f>
        <v/>
      </c>
      <c r="Z2061" s="18" t="n">
        <v>46167</v>
      </c>
      <c r="AA2061" s="15" t="n"/>
      <c r="AB2061" s="15" t="n"/>
      <c r="AF2061">
        <f>IF(AND($F2061="Closed",$X2061&gt;=DATE(2026,5,1),$X2061&lt;=DATE(2026,5,31)),"Closed in May","Other")</f>
        <v/>
      </c>
    </row>
    <row r="2062">
      <c r="A2062" s="37" t="n">
        <v>46143</v>
      </c>
      <c r="B2062" s="3" t="n">
        <v>2026</v>
      </c>
      <c r="C2062" s="26" t="inlineStr">
        <is>
          <t>Yanara Power</t>
        </is>
      </c>
      <c r="D2062" s="3" t="inlineStr">
        <is>
          <t>Utility and C&amp;I</t>
        </is>
      </c>
      <c r="E2062" s="3" t="n"/>
      <c r="F2062" s="3" t="inlineStr">
        <is>
          <t>Closed</t>
        </is>
      </c>
      <c r="G2062" s="9" t="inlineStr">
        <is>
          <t xml:space="preserve">Ashish Jindal </t>
        </is>
      </c>
      <c r="H2062" s="26" t="n">
        <v>9983975581</v>
      </c>
      <c r="I2062" s="38" t="inlineStr">
        <is>
          <t>PE01052601</t>
        </is>
      </c>
      <c r="J2062" s="26" t="inlineStr">
        <is>
          <t>Multiple Issues</t>
        </is>
      </c>
      <c r="K2062" s="39" t="inlineStr">
        <is>
          <t>Holi</t>
        </is>
      </c>
      <c r="L2062" s="39" t="inlineStr">
        <is>
          <t>Maharashtra</t>
        </is>
      </c>
      <c r="M2062" s="46" t="inlineStr">
        <is>
          <t>PS</t>
        </is>
      </c>
      <c r="N2062" s="3" t="inlineStr">
        <is>
          <t>Cold Soldering</t>
        </is>
      </c>
      <c r="O2062" s="56" t="n">
        <v>575</v>
      </c>
      <c r="P2062" s="67" t="inlineStr">
        <is>
          <t>NSMI24070201392</t>
        </is>
      </c>
      <c r="Q2062" s="54">
        <f>MID(P2062,5,2)</f>
        <v/>
      </c>
      <c r="R2062" s="53">
        <f>MID(P2062,7,2)</f>
        <v/>
      </c>
      <c r="S2062" s="3" t="inlineStr">
        <is>
          <t>G2G</t>
        </is>
      </c>
      <c r="T2062" s="3" t="inlineStr">
        <is>
          <t>P4</t>
        </is>
      </c>
      <c r="U2062" s="19" t="inlineStr">
        <is>
          <t>P JB Cold Soldering</t>
        </is>
      </c>
      <c r="V2062" s="19" t="inlineStr">
        <is>
          <t>Soldering</t>
        </is>
      </c>
      <c r="W2062" s="3" t="inlineStr">
        <is>
          <t>Repair</t>
        </is>
      </c>
      <c r="X2062" s="18" t="n">
        <v>46167</v>
      </c>
      <c r="Y2062" s="73">
        <f>IF(X2062="","",X2062-A2062)</f>
        <v/>
      </c>
      <c r="Z2062" s="18" t="n">
        <v>46167</v>
      </c>
      <c r="AA2062" s="15" t="n"/>
      <c r="AB2062" s="15" t="n"/>
      <c r="AF2062">
        <f>IF(AND($F2062="Closed",$X2062&gt;=DATE(2026,5,1),$X2062&lt;=DATE(2026,5,31)),"Closed in May","Other")</f>
        <v/>
      </c>
    </row>
    <row r="2063">
      <c r="A2063" s="37" t="n">
        <v>46143</v>
      </c>
      <c r="B2063" s="3" t="n">
        <v>2026</v>
      </c>
      <c r="C2063" s="26" t="inlineStr">
        <is>
          <t>Yanara Power</t>
        </is>
      </c>
      <c r="D2063" s="3" t="inlineStr">
        <is>
          <t>Utility and C&amp;I</t>
        </is>
      </c>
      <c r="E2063" s="3" t="n"/>
      <c r="F2063" s="3" t="inlineStr">
        <is>
          <t>Closed</t>
        </is>
      </c>
      <c r="G2063" s="9" t="inlineStr">
        <is>
          <t xml:space="preserve">Ashish Jindal </t>
        </is>
      </c>
      <c r="H2063" s="26" t="n">
        <v>9983975581</v>
      </c>
      <c r="I2063" s="38" t="inlineStr">
        <is>
          <t>PE01052601</t>
        </is>
      </c>
      <c r="J2063" s="26" t="inlineStr">
        <is>
          <t>Multiple Issues</t>
        </is>
      </c>
      <c r="K2063" s="39" t="inlineStr">
        <is>
          <t>Holi</t>
        </is>
      </c>
      <c r="L2063" s="39" t="inlineStr">
        <is>
          <t>Maharashtra</t>
        </is>
      </c>
      <c r="M2063" s="46" t="inlineStr">
        <is>
          <t>NS</t>
        </is>
      </c>
      <c r="N2063" s="3" t="inlineStr">
        <is>
          <t>Cold Soldering</t>
        </is>
      </c>
      <c r="O2063" s="56" t="n">
        <v>575</v>
      </c>
      <c r="P2063" s="67" t="inlineStr">
        <is>
          <t>NSMI24070177760</t>
        </is>
      </c>
      <c r="Q2063" s="54">
        <f>MID(P2063,5,2)</f>
        <v/>
      </c>
      <c r="R2063" s="53">
        <f>MID(P2063,7,2)</f>
        <v/>
      </c>
      <c r="S2063" s="3" t="inlineStr">
        <is>
          <t>G2G</t>
        </is>
      </c>
      <c r="T2063" s="3" t="inlineStr">
        <is>
          <t>P4</t>
        </is>
      </c>
      <c r="U2063" s="3" t="inlineStr">
        <is>
          <t>N JB Cold Soldering</t>
        </is>
      </c>
      <c r="V2063" s="3" t="inlineStr">
        <is>
          <t>Soldering</t>
        </is>
      </c>
      <c r="W2063" s="3" t="inlineStr">
        <is>
          <t>Repair</t>
        </is>
      </c>
      <c r="X2063" s="18" t="n">
        <v>46167</v>
      </c>
      <c r="Y2063" s="73">
        <f>IF(X2063="","",X2063-A2063)</f>
        <v/>
      </c>
      <c r="Z2063" s="18" t="n">
        <v>46167</v>
      </c>
      <c r="AA2063" s="15" t="n"/>
      <c r="AB2063" s="15" t="n"/>
      <c r="AF2063">
        <f>IF(AND($F2063="Closed",$X2063&gt;=DATE(2026,5,1),$X2063&lt;=DATE(2026,5,31)),"Closed in May","Other")</f>
        <v/>
      </c>
    </row>
    <row r="2064">
      <c r="A2064" s="37" t="n">
        <v>46143</v>
      </c>
      <c r="B2064" s="3" t="n">
        <v>2026</v>
      </c>
      <c r="C2064" s="26" t="inlineStr">
        <is>
          <t>Yanara Power</t>
        </is>
      </c>
      <c r="D2064" s="3" t="inlineStr">
        <is>
          <t>Utility and C&amp;I</t>
        </is>
      </c>
      <c r="E2064" s="3" t="n"/>
      <c r="F2064" s="3" t="inlineStr">
        <is>
          <t>Closed</t>
        </is>
      </c>
      <c r="G2064" s="9" t="inlineStr">
        <is>
          <t xml:space="preserve">Ashish Jindal </t>
        </is>
      </c>
      <c r="H2064" s="26" t="n">
        <v>9983975581</v>
      </c>
      <c r="I2064" s="38" t="inlineStr">
        <is>
          <t>PE01052601</t>
        </is>
      </c>
      <c r="J2064" s="26" t="inlineStr">
        <is>
          <t>Multiple Issues</t>
        </is>
      </c>
      <c r="K2064" s="39" t="inlineStr">
        <is>
          <t>Holi</t>
        </is>
      </c>
      <c r="L2064" s="39" t="inlineStr">
        <is>
          <t>Maharashtra</t>
        </is>
      </c>
      <c r="M2064" s="46" t="inlineStr">
        <is>
          <t>PS</t>
        </is>
      </c>
      <c r="N2064" s="3" t="inlineStr">
        <is>
          <t>Cold Soldering</t>
        </is>
      </c>
      <c r="O2064" s="56" t="n">
        <v>575</v>
      </c>
      <c r="P2064" s="67" t="inlineStr">
        <is>
          <t>NSMI24070176802</t>
        </is>
      </c>
      <c r="Q2064" s="54">
        <f>MID(P2064,5,2)</f>
        <v/>
      </c>
      <c r="R2064" s="53">
        <f>MID(P2064,7,2)</f>
        <v/>
      </c>
      <c r="S2064" s="3" t="inlineStr">
        <is>
          <t>G2G</t>
        </is>
      </c>
      <c r="T2064" s="3" t="inlineStr">
        <is>
          <t>P4</t>
        </is>
      </c>
      <c r="U2064" s="19" t="inlineStr">
        <is>
          <t>P JB Cold Soldering</t>
        </is>
      </c>
      <c r="V2064" s="19" t="inlineStr">
        <is>
          <t>Soldering</t>
        </is>
      </c>
      <c r="W2064" s="3" t="inlineStr">
        <is>
          <t>Repair</t>
        </is>
      </c>
      <c r="X2064" s="18" t="n">
        <v>46167</v>
      </c>
      <c r="Y2064" s="73">
        <f>IF(X2064="","",X2064-A2064)</f>
        <v/>
      </c>
      <c r="Z2064" s="18" t="n">
        <v>46167</v>
      </c>
      <c r="AA2064" s="15" t="n"/>
      <c r="AB2064" s="15" t="n"/>
      <c r="AF2064">
        <f>IF(AND($F2064="Closed",$X2064&gt;=DATE(2026,5,1),$X2064&lt;=DATE(2026,5,31)),"Closed in May","Other")</f>
        <v/>
      </c>
    </row>
    <row r="2065">
      <c r="A2065" s="37" t="n">
        <v>46143</v>
      </c>
      <c r="B2065" s="3" t="n">
        <v>2026</v>
      </c>
      <c r="C2065" s="26" t="inlineStr">
        <is>
          <t>Yanara Power</t>
        </is>
      </c>
      <c r="D2065" s="3" t="inlineStr">
        <is>
          <t>Utility and C&amp;I</t>
        </is>
      </c>
      <c r="E2065" s="3" t="n"/>
      <c r="F2065" s="3" t="inlineStr">
        <is>
          <t>Closed</t>
        </is>
      </c>
      <c r="G2065" s="9" t="inlineStr">
        <is>
          <t xml:space="preserve">Ashish Jindal </t>
        </is>
      </c>
      <c r="H2065" s="26" t="n">
        <v>9983975581</v>
      </c>
      <c r="I2065" s="38" t="inlineStr">
        <is>
          <t>PE01052601</t>
        </is>
      </c>
      <c r="J2065" s="26" t="inlineStr">
        <is>
          <t>Multiple Issues</t>
        </is>
      </c>
      <c r="K2065" s="39" t="inlineStr">
        <is>
          <t>Holi</t>
        </is>
      </c>
      <c r="L2065" s="39" t="inlineStr">
        <is>
          <t>Maharashtra</t>
        </is>
      </c>
      <c r="M2065" s="46" t="inlineStr">
        <is>
          <t>PS</t>
        </is>
      </c>
      <c r="N2065" s="3" t="inlineStr">
        <is>
          <t>Cold Soldering</t>
        </is>
      </c>
      <c r="O2065" s="56" t="n">
        <v>575</v>
      </c>
      <c r="P2065" s="67" t="inlineStr">
        <is>
          <t>NSMI24070182299</t>
        </is>
      </c>
      <c r="Q2065" s="54">
        <f>MID(P2065,5,2)</f>
        <v/>
      </c>
      <c r="R2065" s="53">
        <f>MID(P2065,7,2)</f>
        <v/>
      </c>
      <c r="S2065" s="3" t="inlineStr">
        <is>
          <t>G2G</t>
        </is>
      </c>
      <c r="T2065" s="3" t="inlineStr">
        <is>
          <t>P4</t>
        </is>
      </c>
      <c r="U2065" s="19" t="inlineStr">
        <is>
          <t>P JB Cold Soldering</t>
        </is>
      </c>
      <c r="V2065" s="19" t="inlineStr">
        <is>
          <t>Soldering</t>
        </is>
      </c>
      <c r="W2065" s="3" t="inlineStr">
        <is>
          <t>Repair</t>
        </is>
      </c>
      <c r="X2065" s="18" t="n">
        <v>46167</v>
      </c>
      <c r="Y2065" s="73">
        <f>IF(X2065="","",X2065-A2065)</f>
        <v/>
      </c>
      <c r="Z2065" s="18" t="n">
        <v>46167</v>
      </c>
      <c r="AA2065" s="15" t="n"/>
      <c r="AB2065" s="15" t="n"/>
      <c r="AF2065">
        <f>IF(AND($F2065="Closed",$X2065&gt;=DATE(2026,5,1),$X2065&lt;=DATE(2026,5,31)),"Closed in May","Other")</f>
        <v/>
      </c>
    </row>
    <row r="2066">
      <c r="A2066" s="37" t="n">
        <v>46143</v>
      </c>
      <c r="B2066" s="3" t="n">
        <v>2026</v>
      </c>
      <c r="C2066" s="26" t="inlineStr">
        <is>
          <t>Yanara Power</t>
        </is>
      </c>
      <c r="D2066" s="3" t="inlineStr">
        <is>
          <t>Utility and C&amp;I</t>
        </is>
      </c>
      <c r="E2066" s="3" t="n"/>
      <c r="F2066" s="3" t="inlineStr">
        <is>
          <t>Closed</t>
        </is>
      </c>
      <c r="G2066" s="9" t="inlineStr">
        <is>
          <t xml:space="preserve">Ashish Jindal </t>
        </is>
      </c>
      <c r="H2066" s="26" t="n">
        <v>9983975581</v>
      </c>
      <c r="I2066" s="38" t="inlineStr">
        <is>
          <t>PE01052601</t>
        </is>
      </c>
      <c r="J2066" s="26" t="inlineStr">
        <is>
          <t>Multiple Issues</t>
        </is>
      </c>
      <c r="K2066" s="39" t="inlineStr">
        <is>
          <t>Holi</t>
        </is>
      </c>
      <c r="L2066" s="39" t="inlineStr">
        <is>
          <t>Maharashtra</t>
        </is>
      </c>
      <c r="M2066" s="46" t="inlineStr">
        <is>
          <t>NS</t>
        </is>
      </c>
      <c r="N2066" s="3" t="inlineStr">
        <is>
          <t>Cold Soldering</t>
        </is>
      </c>
      <c r="O2066" s="56" t="n">
        <v>575</v>
      </c>
      <c r="P2066" s="67" t="inlineStr">
        <is>
          <t>NSMI24070178065</t>
        </is>
      </c>
      <c r="Q2066" s="54">
        <f>MID(P2066,5,2)</f>
        <v/>
      </c>
      <c r="R2066" s="53">
        <f>MID(P2066,7,2)</f>
        <v/>
      </c>
      <c r="S2066" s="3" t="inlineStr">
        <is>
          <t>G2G</t>
        </is>
      </c>
      <c r="T2066" s="3" t="inlineStr">
        <is>
          <t>P4</t>
        </is>
      </c>
      <c r="U2066" s="3" t="inlineStr">
        <is>
          <t>N JB Cold Soldering</t>
        </is>
      </c>
      <c r="V2066" s="3" t="inlineStr">
        <is>
          <t>Soldering</t>
        </is>
      </c>
      <c r="W2066" s="3" t="inlineStr">
        <is>
          <t>Repair</t>
        </is>
      </c>
      <c r="X2066" s="18" t="n">
        <v>46167</v>
      </c>
      <c r="Y2066" s="73">
        <f>IF(X2066="","",X2066-A2066)</f>
        <v/>
      </c>
      <c r="Z2066" s="18" t="n">
        <v>46167</v>
      </c>
      <c r="AA2066" s="15" t="n"/>
      <c r="AB2066" s="15" t="n"/>
      <c r="AF2066">
        <f>IF(AND($F2066="Closed",$X2066&gt;=DATE(2026,5,1),$X2066&lt;=DATE(2026,5,31)),"Closed in May","Other")</f>
        <v/>
      </c>
    </row>
    <row r="2067">
      <c r="A2067" s="37" t="n">
        <v>46143</v>
      </c>
      <c r="B2067" s="3" t="n">
        <v>2026</v>
      </c>
      <c r="C2067" s="26" t="inlineStr">
        <is>
          <t>Yanara Power</t>
        </is>
      </c>
      <c r="D2067" s="3" t="inlineStr">
        <is>
          <t>Utility and C&amp;I</t>
        </is>
      </c>
      <c r="E2067" s="3" t="n"/>
      <c r="F2067" s="3" t="inlineStr">
        <is>
          <t>Closed</t>
        </is>
      </c>
      <c r="G2067" s="9" t="inlineStr">
        <is>
          <t xml:space="preserve">Ashish Jindal </t>
        </is>
      </c>
      <c r="H2067" s="26" t="n">
        <v>9983975581</v>
      </c>
      <c r="I2067" s="38" t="inlineStr">
        <is>
          <t>PE01052601</t>
        </is>
      </c>
      <c r="J2067" s="26" t="inlineStr">
        <is>
          <t>Multiple Issues</t>
        </is>
      </c>
      <c r="K2067" s="39" t="inlineStr">
        <is>
          <t>Holi</t>
        </is>
      </c>
      <c r="L2067" s="39" t="inlineStr">
        <is>
          <t>Maharashtra</t>
        </is>
      </c>
      <c r="M2067" s="46" t="inlineStr">
        <is>
          <t>PS</t>
        </is>
      </c>
      <c r="N2067" s="3" t="inlineStr">
        <is>
          <t>Cold Soldering</t>
        </is>
      </c>
      <c r="O2067" s="56" t="n">
        <v>575</v>
      </c>
      <c r="P2067" s="67" t="inlineStr">
        <is>
          <t>NSMI24070182220</t>
        </is>
      </c>
      <c r="Q2067" s="54">
        <f>MID(P2067,5,2)</f>
        <v/>
      </c>
      <c r="R2067" s="53">
        <f>MID(P2067,7,2)</f>
        <v/>
      </c>
      <c r="S2067" s="3" t="inlineStr">
        <is>
          <t>G2G</t>
        </is>
      </c>
      <c r="T2067" s="3" t="inlineStr">
        <is>
          <t>P4</t>
        </is>
      </c>
      <c r="U2067" s="19" t="inlineStr">
        <is>
          <t>P JB Cold Soldering</t>
        </is>
      </c>
      <c r="V2067" s="19" t="inlineStr">
        <is>
          <t>Soldering</t>
        </is>
      </c>
      <c r="W2067" s="3" t="inlineStr">
        <is>
          <t>Repair</t>
        </is>
      </c>
      <c r="X2067" s="18" t="n">
        <v>46167</v>
      </c>
      <c r="Y2067" s="73">
        <f>IF(X2067="","",X2067-A2067)</f>
        <v/>
      </c>
      <c r="Z2067" s="18" t="n">
        <v>46167</v>
      </c>
      <c r="AA2067" s="15" t="n"/>
      <c r="AB2067" s="15" t="n"/>
      <c r="AF2067">
        <f>IF(AND($F2067="Closed",$X2067&gt;=DATE(2026,5,1),$X2067&lt;=DATE(2026,5,31)),"Closed in May","Other")</f>
        <v/>
      </c>
    </row>
    <row r="2068">
      <c r="A2068" s="37" t="n">
        <v>46143</v>
      </c>
      <c r="B2068" s="3" t="n">
        <v>2026</v>
      </c>
      <c r="C2068" s="26" t="inlineStr">
        <is>
          <t>Yanara Power</t>
        </is>
      </c>
      <c r="D2068" s="3" t="inlineStr">
        <is>
          <t>Utility and C&amp;I</t>
        </is>
      </c>
      <c r="E2068" s="3" t="n"/>
      <c r="F2068" s="3" t="inlineStr">
        <is>
          <t>Closed</t>
        </is>
      </c>
      <c r="G2068" s="9" t="inlineStr">
        <is>
          <t xml:space="preserve">Ashish Jindal </t>
        </is>
      </c>
      <c r="H2068" s="26" t="n">
        <v>9983975581</v>
      </c>
      <c r="I2068" s="38" t="inlineStr">
        <is>
          <t>PE01052601</t>
        </is>
      </c>
      <c r="J2068" s="26" t="inlineStr">
        <is>
          <t>Multiple Issues</t>
        </is>
      </c>
      <c r="K2068" s="39" t="inlineStr">
        <is>
          <t>Holi</t>
        </is>
      </c>
      <c r="L2068" s="39" t="inlineStr">
        <is>
          <t>Maharashtra</t>
        </is>
      </c>
      <c r="M2068" s="46" t="inlineStr">
        <is>
          <t>PS</t>
        </is>
      </c>
      <c r="N2068" s="3" t="inlineStr">
        <is>
          <t>Cold Soldering</t>
        </is>
      </c>
      <c r="O2068" s="56" t="n">
        <v>575</v>
      </c>
      <c r="P2068" s="67" t="inlineStr">
        <is>
          <t>NSMI24070182333</t>
        </is>
      </c>
      <c r="Q2068" s="54">
        <f>MID(P2068,5,2)</f>
        <v/>
      </c>
      <c r="R2068" s="53">
        <f>MID(P2068,7,2)</f>
        <v/>
      </c>
      <c r="S2068" s="3" t="inlineStr">
        <is>
          <t>G2G</t>
        </is>
      </c>
      <c r="T2068" s="3" t="inlineStr">
        <is>
          <t>P4</t>
        </is>
      </c>
      <c r="U2068" s="19" t="inlineStr">
        <is>
          <t>P JB Cold Soldering</t>
        </is>
      </c>
      <c r="V2068" s="19" t="inlineStr">
        <is>
          <t>Soldering</t>
        </is>
      </c>
      <c r="W2068" s="3" t="inlineStr">
        <is>
          <t>Repair</t>
        </is>
      </c>
      <c r="X2068" s="18" t="n">
        <v>46167</v>
      </c>
      <c r="Y2068" s="73">
        <f>IF(X2068="","",X2068-A2068)</f>
        <v/>
      </c>
      <c r="Z2068" s="18" t="n">
        <v>46167</v>
      </c>
      <c r="AA2068" s="15" t="n"/>
      <c r="AB2068" s="15" t="n"/>
      <c r="AF2068">
        <f>IF(AND($F2068="Closed",$X2068&gt;=DATE(2026,5,1),$X2068&lt;=DATE(2026,5,31)),"Closed in May","Other")</f>
        <v/>
      </c>
    </row>
    <row r="2069">
      <c r="A2069" s="37" t="n">
        <v>46143</v>
      </c>
      <c r="B2069" s="3" t="n">
        <v>2026</v>
      </c>
      <c r="C2069" s="26" t="inlineStr">
        <is>
          <t>Yanara Power</t>
        </is>
      </c>
      <c r="D2069" s="3" t="inlineStr">
        <is>
          <t>Utility and C&amp;I</t>
        </is>
      </c>
      <c r="E2069" s="3" t="n"/>
      <c r="F2069" s="3" t="inlineStr">
        <is>
          <t>Closed</t>
        </is>
      </c>
      <c r="G2069" s="9" t="inlineStr">
        <is>
          <t xml:space="preserve">Ashish Jindal </t>
        </is>
      </c>
      <c r="H2069" s="26" t="n">
        <v>9983975581</v>
      </c>
      <c r="I2069" s="38" t="inlineStr">
        <is>
          <t>PE01052601</t>
        </is>
      </c>
      <c r="J2069" s="26" t="inlineStr">
        <is>
          <t>Multiple Issues</t>
        </is>
      </c>
      <c r="K2069" s="39" t="inlineStr">
        <is>
          <t>Holi</t>
        </is>
      </c>
      <c r="L2069" s="39" t="inlineStr">
        <is>
          <t>Maharashtra</t>
        </is>
      </c>
      <c r="M2069" s="46" t="inlineStr">
        <is>
          <t>PS</t>
        </is>
      </c>
      <c r="N2069" s="3" t="inlineStr">
        <is>
          <t>Cold Soldering</t>
        </is>
      </c>
      <c r="O2069" s="56" t="n">
        <v>575</v>
      </c>
      <c r="P2069" s="67" t="inlineStr">
        <is>
          <t>NSMI24070223537</t>
        </is>
      </c>
      <c r="Q2069" s="54">
        <f>MID(P2069,5,2)</f>
        <v/>
      </c>
      <c r="R2069" s="53">
        <f>MID(P2069,7,2)</f>
        <v/>
      </c>
      <c r="S2069" s="3" t="inlineStr">
        <is>
          <t>G2G</t>
        </is>
      </c>
      <c r="T2069" s="3" t="inlineStr">
        <is>
          <t>P4</t>
        </is>
      </c>
      <c r="U2069" s="19" t="inlineStr">
        <is>
          <t>P JB Cold Soldering</t>
        </is>
      </c>
      <c r="V2069" s="19" t="inlineStr">
        <is>
          <t>Soldering</t>
        </is>
      </c>
      <c r="W2069" s="3" t="inlineStr">
        <is>
          <t>Repair</t>
        </is>
      </c>
      <c r="X2069" s="18" t="n">
        <v>46167</v>
      </c>
      <c r="Y2069" s="73">
        <f>IF(X2069="","",X2069-A2069)</f>
        <v/>
      </c>
      <c r="Z2069" s="18" t="n">
        <v>46167</v>
      </c>
      <c r="AA2069" s="15" t="n"/>
      <c r="AB2069" s="15" t="n"/>
      <c r="AF2069">
        <f>IF(AND($F2069="Closed",$X2069&gt;=DATE(2026,5,1),$X2069&lt;=DATE(2026,5,31)),"Closed in May","Other")</f>
        <v/>
      </c>
    </row>
    <row r="2070">
      <c r="A2070" s="37" t="n">
        <v>46143</v>
      </c>
      <c r="B2070" s="3" t="n">
        <v>2026</v>
      </c>
      <c r="C2070" s="26" t="inlineStr">
        <is>
          <t>Yanara Power</t>
        </is>
      </c>
      <c r="D2070" s="3" t="inlineStr">
        <is>
          <t>Utility and C&amp;I</t>
        </is>
      </c>
      <c r="E2070" s="3" t="n"/>
      <c r="F2070" s="3" t="inlineStr">
        <is>
          <t>Closed</t>
        </is>
      </c>
      <c r="G2070" s="9" t="inlineStr">
        <is>
          <t xml:space="preserve">Ashish Jindal </t>
        </is>
      </c>
      <c r="H2070" s="26" t="n">
        <v>9983975581</v>
      </c>
      <c r="I2070" s="38" t="inlineStr">
        <is>
          <t>PE01052601</t>
        </is>
      </c>
      <c r="J2070" s="26" t="inlineStr">
        <is>
          <t>Multiple Issues</t>
        </is>
      </c>
      <c r="K2070" s="39" t="inlineStr">
        <is>
          <t>Holi</t>
        </is>
      </c>
      <c r="L2070" s="39" t="inlineStr">
        <is>
          <t>Maharashtra</t>
        </is>
      </c>
      <c r="M2070" s="46" t="inlineStr">
        <is>
          <t>NS</t>
        </is>
      </c>
      <c r="N2070" s="3" t="inlineStr">
        <is>
          <t>Cold Soldering</t>
        </is>
      </c>
      <c r="O2070" s="56" t="n">
        <v>575</v>
      </c>
      <c r="P2070" s="67" t="inlineStr">
        <is>
          <t>NSMI24070216346</t>
        </is>
      </c>
      <c r="Q2070" s="54">
        <f>MID(P2070,5,2)</f>
        <v/>
      </c>
      <c r="R2070" s="53">
        <f>MID(P2070,7,2)</f>
        <v/>
      </c>
      <c r="S2070" s="3" t="inlineStr">
        <is>
          <t>G2G</t>
        </is>
      </c>
      <c r="T2070" s="3" t="inlineStr">
        <is>
          <t>P4</t>
        </is>
      </c>
      <c r="U2070" s="3" t="inlineStr">
        <is>
          <t>N JB Cold Soldering</t>
        </is>
      </c>
      <c r="V2070" s="3" t="inlineStr">
        <is>
          <t>Soldering</t>
        </is>
      </c>
      <c r="W2070" s="3" t="inlineStr">
        <is>
          <t>Repair</t>
        </is>
      </c>
      <c r="X2070" s="18" t="n">
        <v>46167</v>
      </c>
      <c r="Y2070" s="73">
        <f>IF(X2070="","",X2070-A2070)</f>
        <v/>
      </c>
      <c r="Z2070" s="18" t="n">
        <v>46167</v>
      </c>
      <c r="AA2070" s="15" t="n"/>
      <c r="AB2070" s="15" t="n"/>
      <c r="AF2070">
        <f>IF(AND($F2070="Closed",$X2070&gt;=DATE(2026,5,1),$X2070&lt;=DATE(2026,5,31)),"Closed in May","Other")</f>
        <v/>
      </c>
    </row>
    <row r="2071">
      <c r="A2071" s="37" t="n">
        <v>46143</v>
      </c>
      <c r="B2071" s="3" t="n">
        <v>2026</v>
      </c>
      <c r="C2071" s="26" t="inlineStr">
        <is>
          <t>Yanara Power</t>
        </is>
      </c>
      <c r="D2071" s="3" t="inlineStr">
        <is>
          <t>Utility and C&amp;I</t>
        </is>
      </c>
      <c r="E2071" s="3" t="n"/>
      <c r="F2071" s="3" t="inlineStr">
        <is>
          <t>Closed</t>
        </is>
      </c>
      <c r="G2071" s="9" t="inlineStr">
        <is>
          <t xml:space="preserve">Ashish Jindal </t>
        </is>
      </c>
      <c r="H2071" s="26" t="n">
        <v>9983975581</v>
      </c>
      <c r="I2071" s="38" t="inlineStr">
        <is>
          <t>PE01052601</t>
        </is>
      </c>
      <c r="J2071" s="26" t="inlineStr">
        <is>
          <t>Multiple Issues</t>
        </is>
      </c>
      <c r="K2071" s="39" t="inlineStr">
        <is>
          <t>Holi</t>
        </is>
      </c>
      <c r="L2071" s="39" t="inlineStr">
        <is>
          <t>Maharashtra</t>
        </is>
      </c>
      <c r="M2071" s="46" t="inlineStr">
        <is>
          <t>PS</t>
        </is>
      </c>
      <c r="N2071" s="3" t="inlineStr">
        <is>
          <t>Cold Soldering</t>
        </is>
      </c>
      <c r="O2071" s="56" t="n">
        <v>575</v>
      </c>
      <c r="P2071" s="67" t="inlineStr">
        <is>
          <t>NSMI24070223671</t>
        </is>
      </c>
      <c r="Q2071" s="54">
        <f>MID(P2071,5,2)</f>
        <v/>
      </c>
      <c r="R2071" s="53">
        <f>MID(P2071,7,2)</f>
        <v/>
      </c>
      <c r="S2071" s="3" t="inlineStr">
        <is>
          <t>G2G</t>
        </is>
      </c>
      <c r="T2071" s="3" t="inlineStr">
        <is>
          <t>P4</t>
        </is>
      </c>
      <c r="U2071" s="19" t="inlineStr">
        <is>
          <t>P JB Cold Soldering</t>
        </is>
      </c>
      <c r="V2071" s="19" t="inlineStr">
        <is>
          <t>Soldering</t>
        </is>
      </c>
      <c r="W2071" s="3" t="inlineStr">
        <is>
          <t>Repair</t>
        </is>
      </c>
      <c r="X2071" s="18" t="n">
        <v>46167</v>
      </c>
      <c r="Y2071" s="73">
        <f>IF(X2071="","",X2071-A2071)</f>
        <v/>
      </c>
      <c r="Z2071" s="18" t="n">
        <v>46167</v>
      </c>
      <c r="AA2071" s="15" t="n"/>
      <c r="AB2071" s="15" t="n"/>
      <c r="AF2071">
        <f>IF(AND($F2071="Closed",$X2071&gt;=DATE(2026,5,1),$X2071&lt;=DATE(2026,5,31)),"Closed in May","Other")</f>
        <v/>
      </c>
    </row>
    <row r="2072">
      <c r="A2072" s="37" t="n">
        <v>46143</v>
      </c>
      <c r="B2072" s="3" t="n">
        <v>2026</v>
      </c>
      <c r="C2072" s="26" t="inlineStr">
        <is>
          <t>Yanara Power</t>
        </is>
      </c>
      <c r="D2072" s="3" t="inlineStr">
        <is>
          <t>Utility and C&amp;I</t>
        </is>
      </c>
      <c r="E2072" s="3" t="n"/>
      <c r="F2072" s="3" t="inlineStr">
        <is>
          <t>Closed</t>
        </is>
      </c>
      <c r="G2072" s="9" t="inlineStr">
        <is>
          <t xml:space="preserve">Ashish Jindal </t>
        </is>
      </c>
      <c r="H2072" s="26" t="n">
        <v>9983975581</v>
      </c>
      <c r="I2072" s="38" t="inlineStr">
        <is>
          <t>PE01052601</t>
        </is>
      </c>
      <c r="J2072" s="26" t="inlineStr">
        <is>
          <t>Multiple Issues</t>
        </is>
      </c>
      <c r="K2072" s="39" t="inlineStr">
        <is>
          <t>Holi</t>
        </is>
      </c>
      <c r="L2072" s="39" t="inlineStr">
        <is>
          <t>Maharashtra</t>
        </is>
      </c>
      <c r="M2072" s="46" t="inlineStr">
        <is>
          <t>PS</t>
        </is>
      </c>
      <c r="N2072" s="3" t="inlineStr">
        <is>
          <t>Cold Soldering</t>
        </is>
      </c>
      <c r="O2072" s="56" t="n">
        <v>575</v>
      </c>
      <c r="P2072" s="71" t="inlineStr">
        <is>
          <t>NSMI24070219169</t>
        </is>
      </c>
      <c r="Q2072" s="54">
        <f>MID(P2072,5,2)</f>
        <v/>
      </c>
      <c r="R2072" s="53">
        <f>MID(P2072,7,2)</f>
        <v/>
      </c>
      <c r="S2072" s="3" t="inlineStr">
        <is>
          <t>G2G</t>
        </is>
      </c>
      <c r="T2072" s="3" t="inlineStr">
        <is>
          <t>P4</t>
        </is>
      </c>
      <c r="U2072" s="19" t="inlineStr">
        <is>
          <t>P JB Cold Soldering</t>
        </is>
      </c>
      <c r="V2072" s="19" t="inlineStr">
        <is>
          <t>Soldering</t>
        </is>
      </c>
      <c r="W2072" s="3" t="inlineStr">
        <is>
          <t>Repair</t>
        </is>
      </c>
      <c r="X2072" s="18" t="n">
        <v>46167</v>
      </c>
      <c r="Y2072" s="73">
        <f>IF(X2072="","",X2072-A2072)</f>
        <v/>
      </c>
      <c r="Z2072" s="18" t="n">
        <v>46167</v>
      </c>
      <c r="AA2072" s="15" t="n"/>
      <c r="AB2072" s="15" t="n"/>
      <c r="AF2072">
        <f>IF(AND($F2072="Closed",$X2072&gt;=DATE(2026,5,1),$X2072&lt;=DATE(2026,5,31)),"Closed in May","Other")</f>
        <v/>
      </c>
    </row>
    <row r="2073">
      <c r="A2073" s="59" t="n">
        <v>46148</v>
      </c>
      <c r="B2073" s="3" t="n">
        <v>2026</v>
      </c>
      <c r="C2073" s="60" t="inlineStr">
        <is>
          <t>Sunrise Technologies</t>
        </is>
      </c>
      <c r="D2073" s="21" t="inlineStr">
        <is>
          <t>Channel Sales</t>
        </is>
      </c>
      <c r="E2073" s="3" t="n"/>
      <c r="F2073" s="3" t="inlineStr">
        <is>
          <t>Closed</t>
        </is>
      </c>
      <c r="G2073" s="21" t="inlineStr">
        <is>
          <t>MURALI NARAYANA RAO KURAPATI</t>
        </is>
      </c>
      <c r="H2073" s="21" t="n">
        <v>9820541899</v>
      </c>
      <c r="I2073" s="22" t="inlineStr">
        <is>
          <t>PE06052603</t>
        </is>
      </c>
      <c r="J2073" s="58" t="inlineStr">
        <is>
          <t>Manufacturing Defect</t>
        </is>
      </c>
      <c r="K2073" s="21" t="inlineStr">
        <is>
          <t>Hyderabad</t>
        </is>
      </c>
      <c r="L2073" s="21" t="inlineStr">
        <is>
          <t>Telangana</t>
        </is>
      </c>
      <c r="M2073" s="9" t="inlineStr">
        <is>
          <t>No Visit</t>
        </is>
      </c>
      <c r="N2073" s="9" t="inlineStr">
        <is>
          <t>Tab lead Burn</t>
        </is>
      </c>
      <c r="O2073" s="60" t="n">
        <v>545</v>
      </c>
      <c r="P2073" s="8" t="inlineStr">
        <is>
          <t>NSMP2310749075</t>
        </is>
      </c>
      <c r="Q2073" s="54">
        <f>MID(P2073,5,2)</f>
        <v/>
      </c>
      <c r="R2073" s="53">
        <f>MID(P2073,7,2)</f>
        <v/>
      </c>
      <c r="S2073" s="3" t="inlineStr">
        <is>
          <t>G2B</t>
        </is>
      </c>
      <c r="T2073" s="3" t="inlineStr">
        <is>
          <t>P2</t>
        </is>
      </c>
      <c r="U2073" s="26" t="inlineStr">
        <is>
          <t>Tab lead Burn</t>
        </is>
      </c>
      <c r="V2073" s="3" t="inlineStr">
        <is>
          <t>CN</t>
        </is>
      </c>
      <c r="W2073" s="3" t="inlineStr">
        <is>
          <t>Replacement</t>
        </is>
      </c>
      <c r="X2073" s="18" t="n">
        <v>46168</v>
      </c>
      <c r="Y2073" s="73">
        <f>IF(X2073="","",X2073-A2073)</f>
        <v/>
      </c>
      <c r="Z2073" s="18" t="inlineStr">
        <is>
          <t>No Visit</t>
        </is>
      </c>
      <c r="AA2073" s="15" t="n"/>
      <c r="AB2073" s="15" t="n"/>
      <c r="AF2073">
        <f>IF(AND($F2073="Closed",$X2073&gt;=DATE(2026,5,1),$X2073&lt;=DATE(2026,5,31)),"Closed in May","Other")</f>
        <v/>
      </c>
    </row>
    <row r="2074">
      <c r="A2074" s="59" t="n">
        <v>46148</v>
      </c>
      <c r="B2074" s="3" t="n">
        <v>2026</v>
      </c>
      <c r="C2074" s="21" t="inlineStr">
        <is>
          <t>Continuum</t>
        </is>
      </c>
      <c r="D2074" s="3" t="inlineStr">
        <is>
          <t>Utility and C&amp;I</t>
        </is>
      </c>
      <c r="E2074" s="3" t="n"/>
      <c r="F2074" s="3" t="inlineStr">
        <is>
          <t>Closed</t>
        </is>
      </c>
      <c r="G2074" s="21" t="inlineStr">
        <is>
          <t>Amiya Ranjan Behera</t>
        </is>
      </c>
      <c r="H2074" s="21" t="n">
        <v>8917436223</v>
      </c>
      <c r="I2074" s="38" t="inlineStr">
        <is>
          <t>PE06052602</t>
        </is>
      </c>
      <c r="J2074" s="21" t="inlineStr">
        <is>
          <t>Diode Bypass Module Issue</t>
        </is>
      </c>
      <c r="K2074" s="21" t="inlineStr">
        <is>
          <t>Bhavnagar</t>
        </is>
      </c>
      <c r="L2074" s="21" t="inlineStr">
        <is>
          <t>Gujarat</t>
        </is>
      </c>
      <c r="M2074" s="9" t="inlineStr">
        <is>
          <t>PS</t>
        </is>
      </c>
      <c r="N2074" s="3" t="inlineStr">
        <is>
          <t>Cold Soldering</t>
        </is>
      </c>
      <c r="O2074" s="62" t="n">
        <v>540</v>
      </c>
      <c r="P2074" s="9" t="inlineStr">
        <is>
          <t>NSMP2305190629</t>
        </is>
      </c>
      <c r="Q2074" s="53">
        <f>MID(P2074,5,2)</f>
        <v/>
      </c>
      <c r="R2074" s="53">
        <f>MID(P2074,7,2)</f>
        <v/>
      </c>
      <c r="S2074" s="3" t="inlineStr">
        <is>
          <t>G2B</t>
        </is>
      </c>
      <c r="T2074" s="3" t="inlineStr">
        <is>
          <t>P2</t>
        </is>
      </c>
      <c r="U2074" s="3" t="inlineStr">
        <is>
          <t>P JB Cold Soldering</t>
        </is>
      </c>
      <c r="V2074" s="3" t="inlineStr">
        <is>
          <t>Soldering</t>
        </is>
      </c>
      <c r="W2074" s="3" t="inlineStr">
        <is>
          <t>Repair</t>
        </is>
      </c>
      <c r="X2074" s="18" t="n">
        <v>46168</v>
      </c>
      <c r="Y2074" s="73">
        <f>IF(X2074="","",X2074-A2074)</f>
        <v/>
      </c>
      <c r="Z2074" s="18" t="n">
        <v>46168</v>
      </c>
      <c r="AA2074" s="15" t="n"/>
      <c r="AB2074" s="15" t="n"/>
      <c r="AF2074">
        <f>IF(AND($F2074="Closed",$X2074&gt;=DATE(2026,5,1),$X2074&lt;=DATE(2026,5,31)),"Closed in May","Other")</f>
        <v/>
      </c>
    </row>
    <row r="2075">
      <c r="A2075" s="59" t="n">
        <v>46148</v>
      </c>
      <c r="B2075" s="3" t="n">
        <v>2026</v>
      </c>
      <c r="C2075" s="21" t="inlineStr">
        <is>
          <t>Continuum</t>
        </is>
      </c>
      <c r="D2075" s="3" t="inlineStr">
        <is>
          <t>Utility and C&amp;I</t>
        </is>
      </c>
      <c r="E2075" s="3" t="n"/>
      <c r="F2075" s="3" t="inlineStr">
        <is>
          <t>Closed</t>
        </is>
      </c>
      <c r="G2075" s="21" t="inlineStr">
        <is>
          <t>Amiya Ranjan Behera</t>
        </is>
      </c>
      <c r="H2075" s="21" t="n">
        <v>8917436223</v>
      </c>
      <c r="I2075" s="38" t="inlineStr">
        <is>
          <t>PE06052602</t>
        </is>
      </c>
      <c r="J2075" s="21" t="inlineStr">
        <is>
          <t>Diode Bypass Module Issue</t>
        </is>
      </c>
      <c r="K2075" s="21" t="inlineStr">
        <is>
          <t>Bhavnagar</t>
        </is>
      </c>
      <c r="L2075" s="21" t="inlineStr">
        <is>
          <t>Gujarat</t>
        </is>
      </c>
      <c r="M2075" s="9" t="inlineStr">
        <is>
          <t>PS</t>
        </is>
      </c>
      <c r="N2075" s="3" t="inlineStr">
        <is>
          <t>Cold Soldering</t>
        </is>
      </c>
      <c r="O2075" s="62" t="n">
        <v>540</v>
      </c>
      <c r="P2075" s="9" t="inlineStr">
        <is>
          <t>NSMP2305190627</t>
        </is>
      </c>
      <c r="Q2075" s="53">
        <f>MID(P2075,5,2)</f>
        <v/>
      </c>
      <c r="R2075" s="53">
        <f>MID(P2075,7,2)</f>
        <v/>
      </c>
      <c r="S2075" s="3" t="inlineStr">
        <is>
          <t>G2B</t>
        </is>
      </c>
      <c r="T2075" s="3" t="inlineStr">
        <is>
          <t>P2</t>
        </is>
      </c>
      <c r="U2075" s="3" t="inlineStr">
        <is>
          <t>P JB Cold Soldering</t>
        </is>
      </c>
      <c r="V2075" s="3" t="inlineStr">
        <is>
          <t>Soldering</t>
        </is>
      </c>
      <c r="W2075" s="3" t="inlineStr">
        <is>
          <t>Repair</t>
        </is>
      </c>
      <c r="X2075" s="18" t="n">
        <v>46168</v>
      </c>
      <c r="Y2075" s="73">
        <f>IF(X2075="","",X2075-A2075)</f>
        <v/>
      </c>
      <c r="Z2075" s="18" t="n">
        <v>46168</v>
      </c>
      <c r="AA2075" s="15" t="n"/>
      <c r="AB2075" s="15" t="n"/>
      <c r="AF2075">
        <f>IF(AND($F2075="Closed",$X2075&gt;=DATE(2026,5,1),$X2075&lt;=DATE(2026,5,31)),"Closed in May","Other")</f>
        <v/>
      </c>
    </row>
    <row r="2076">
      <c r="A2076" s="59" t="n">
        <v>46148</v>
      </c>
      <c r="B2076" s="3" t="n">
        <v>2026</v>
      </c>
      <c r="C2076" s="21" t="inlineStr">
        <is>
          <t>Continuum</t>
        </is>
      </c>
      <c r="D2076" s="3" t="inlineStr">
        <is>
          <t>Utility and C&amp;I</t>
        </is>
      </c>
      <c r="E2076" s="3" t="n"/>
      <c r="F2076" s="3" t="inlineStr">
        <is>
          <t>Closed</t>
        </is>
      </c>
      <c r="G2076" s="21" t="inlineStr">
        <is>
          <t>Amiya Ranjan Behera</t>
        </is>
      </c>
      <c r="H2076" s="21" t="n">
        <v>8917436223</v>
      </c>
      <c r="I2076" s="38" t="inlineStr">
        <is>
          <t>PE06052602</t>
        </is>
      </c>
      <c r="J2076" s="21" t="inlineStr">
        <is>
          <t>Diode Bypass Module Issue</t>
        </is>
      </c>
      <c r="K2076" s="21" t="inlineStr">
        <is>
          <t>Bhavnagar</t>
        </is>
      </c>
      <c r="L2076" s="21" t="inlineStr">
        <is>
          <t>Gujarat</t>
        </is>
      </c>
      <c r="M2076" s="9" t="inlineStr">
        <is>
          <t>NS</t>
        </is>
      </c>
      <c r="N2076" s="26" t="inlineStr">
        <is>
          <t>Cold Soldering</t>
        </is>
      </c>
      <c r="O2076" s="62" t="n">
        <v>540</v>
      </c>
      <c r="P2076" s="9" t="inlineStr">
        <is>
          <t>NSMP2304076101</t>
        </is>
      </c>
      <c r="Q2076" s="53">
        <f>MID(P2076,5,2)</f>
        <v/>
      </c>
      <c r="R2076" s="53">
        <f>MID(P2076,7,2)</f>
        <v/>
      </c>
      <c r="S2076" s="3" t="inlineStr">
        <is>
          <t>G2B</t>
        </is>
      </c>
      <c r="T2076" s="3" t="inlineStr">
        <is>
          <t>P2</t>
        </is>
      </c>
      <c r="U2076" s="19" t="inlineStr">
        <is>
          <t>N JB Cold Soldering</t>
        </is>
      </c>
      <c r="V2076" s="19" t="inlineStr">
        <is>
          <t>Soldering</t>
        </is>
      </c>
      <c r="W2076" s="3" t="inlineStr">
        <is>
          <t>Repair</t>
        </is>
      </c>
      <c r="X2076" s="18" t="n">
        <v>46168</v>
      </c>
      <c r="Y2076" s="73">
        <f>IF(X2076="","",X2076-A2076)</f>
        <v/>
      </c>
      <c r="Z2076" s="18" t="n">
        <v>46168</v>
      </c>
      <c r="AA2076" s="15" t="n"/>
      <c r="AB2076" s="15" t="n"/>
      <c r="AF2076">
        <f>IF(AND($F2076="Closed",$X2076&gt;=DATE(2026,5,1),$X2076&lt;=DATE(2026,5,31)),"Closed in May","Other")</f>
        <v/>
      </c>
    </row>
    <row r="2077">
      <c r="A2077" s="59" t="n">
        <v>46148</v>
      </c>
      <c r="B2077" s="3" t="n">
        <v>2026</v>
      </c>
      <c r="C2077" s="21" t="inlineStr">
        <is>
          <t>Continuum</t>
        </is>
      </c>
      <c r="D2077" s="3" t="inlineStr">
        <is>
          <t>Utility and C&amp;I</t>
        </is>
      </c>
      <c r="E2077" s="3" t="n"/>
      <c r="F2077" s="3" t="inlineStr">
        <is>
          <t>Closed</t>
        </is>
      </c>
      <c r="G2077" s="21" t="inlineStr">
        <is>
          <t>Amiya Ranjan Behera</t>
        </is>
      </c>
      <c r="H2077" s="21" t="n">
        <v>8917436223</v>
      </c>
      <c r="I2077" s="38" t="inlineStr">
        <is>
          <t>PE06052602</t>
        </is>
      </c>
      <c r="J2077" s="21" t="inlineStr">
        <is>
          <t>Diode Bypass Module Issue</t>
        </is>
      </c>
      <c r="K2077" s="21" t="inlineStr">
        <is>
          <t>Bhavnagar</t>
        </is>
      </c>
      <c r="L2077" s="21" t="inlineStr">
        <is>
          <t>Gujarat</t>
        </is>
      </c>
      <c r="M2077" s="9" t="inlineStr">
        <is>
          <t>PS</t>
        </is>
      </c>
      <c r="N2077" s="3" t="inlineStr">
        <is>
          <t>Cold Soldering</t>
        </is>
      </c>
      <c r="O2077" s="62" t="n">
        <v>540</v>
      </c>
      <c r="P2077" s="9" t="inlineStr">
        <is>
          <t>NSMP2305189129</t>
        </is>
      </c>
      <c r="Q2077" s="53">
        <f>MID(P2077,5,2)</f>
        <v/>
      </c>
      <c r="R2077" s="53">
        <f>MID(P2077,7,2)</f>
        <v/>
      </c>
      <c r="S2077" s="3" t="inlineStr">
        <is>
          <t>G2B</t>
        </is>
      </c>
      <c r="T2077" s="3" t="inlineStr">
        <is>
          <t>P2</t>
        </is>
      </c>
      <c r="U2077" s="3" t="inlineStr">
        <is>
          <t>P JB Cold Soldering</t>
        </is>
      </c>
      <c r="V2077" s="3" t="inlineStr">
        <is>
          <t>Soldering</t>
        </is>
      </c>
      <c r="W2077" s="3" t="inlineStr">
        <is>
          <t>Repair</t>
        </is>
      </c>
      <c r="X2077" s="18" t="n">
        <v>46168</v>
      </c>
      <c r="Y2077" s="73">
        <f>IF(X2077="","",X2077-A2077)</f>
        <v/>
      </c>
      <c r="Z2077" s="18" t="n">
        <v>46168</v>
      </c>
      <c r="AA2077" s="15" t="n"/>
      <c r="AB2077" s="15" t="n"/>
      <c r="AF2077">
        <f>IF(AND($F2077="Closed",$X2077&gt;=DATE(2026,5,1),$X2077&lt;=DATE(2026,5,31)),"Closed in May","Other")</f>
        <v/>
      </c>
    </row>
    <row r="2078">
      <c r="A2078" s="59" t="n">
        <v>46148</v>
      </c>
      <c r="B2078" s="3" t="n">
        <v>2026</v>
      </c>
      <c r="C2078" s="21" t="inlineStr">
        <is>
          <t>Continuum</t>
        </is>
      </c>
      <c r="D2078" s="3" t="inlineStr">
        <is>
          <t>Utility and C&amp;I</t>
        </is>
      </c>
      <c r="E2078" s="3" t="n"/>
      <c r="F2078" s="3" t="inlineStr">
        <is>
          <t>Closed</t>
        </is>
      </c>
      <c r="G2078" s="21" t="inlineStr">
        <is>
          <t>Amiya Ranjan Behera</t>
        </is>
      </c>
      <c r="H2078" s="21" t="n">
        <v>8917436223</v>
      </c>
      <c r="I2078" s="38" t="inlineStr">
        <is>
          <t>PE06052602</t>
        </is>
      </c>
      <c r="J2078" s="21" t="inlineStr">
        <is>
          <t>Diode Bypass Module Issue</t>
        </is>
      </c>
      <c r="K2078" s="21" t="inlineStr">
        <is>
          <t>Bhavnagar</t>
        </is>
      </c>
      <c r="L2078" s="21" t="inlineStr">
        <is>
          <t>Gujarat</t>
        </is>
      </c>
      <c r="M2078" s="9" t="inlineStr">
        <is>
          <t>PS</t>
        </is>
      </c>
      <c r="N2078" s="3" t="inlineStr">
        <is>
          <t>Cold Soldering</t>
        </is>
      </c>
      <c r="O2078" s="62" t="n">
        <v>540</v>
      </c>
      <c r="P2078" s="9" t="inlineStr">
        <is>
          <t>NSMP2305190610</t>
        </is>
      </c>
      <c r="Q2078" s="53">
        <f>MID(P2078,5,2)</f>
        <v/>
      </c>
      <c r="R2078" s="53">
        <f>MID(P2078,7,2)</f>
        <v/>
      </c>
      <c r="S2078" s="3" t="inlineStr">
        <is>
          <t>G2B</t>
        </is>
      </c>
      <c r="T2078" s="3" t="inlineStr">
        <is>
          <t>P2</t>
        </is>
      </c>
      <c r="U2078" s="3" t="inlineStr">
        <is>
          <t>P JB Cold Soldering</t>
        </is>
      </c>
      <c r="V2078" s="3" t="inlineStr">
        <is>
          <t>Soldering</t>
        </is>
      </c>
      <c r="W2078" s="3" t="inlineStr">
        <is>
          <t>Repair</t>
        </is>
      </c>
      <c r="X2078" s="18" t="n">
        <v>46168</v>
      </c>
      <c r="Y2078" s="73">
        <f>IF(X2078="","",X2078-A2078)</f>
        <v/>
      </c>
      <c r="Z2078" s="18" t="n">
        <v>46168</v>
      </c>
      <c r="AA2078" s="15" t="n"/>
      <c r="AB2078" s="15" t="n"/>
      <c r="AF2078">
        <f>IF(AND($F2078="Closed",$X2078&gt;=DATE(2026,5,1),$X2078&lt;=DATE(2026,5,31)),"Closed in May","Other")</f>
        <v/>
      </c>
    </row>
    <row r="2079">
      <c r="A2079" s="59" t="n">
        <v>46148</v>
      </c>
      <c r="B2079" s="3" t="n">
        <v>2026</v>
      </c>
      <c r="C2079" s="21" t="inlineStr">
        <is>
          <t>Continuum</t>
        </is>
      </c>
      <c r="D2079" s="3" t="inlineStr">
        <is>
          <t>Utility and C&amp;I</t>
        </is>
      </c>
      <c r="E2079" s="3" t="n"/>
      <c r="F2079" s="3" t="inlineStr">
        <is>
          <t>Closed</t>
        </is>
      </c>
      <c r="G2079" s="21" t="inlineStr">
        <is>
          <t>Amiya Ranjan Behera</t>
        </is>
      </c>
      <c r="H2079" s="21" t="n">
        <v>8917436223</v>
      </c>
      <c r="I2079" s="38" t="inlineStr">
        <is>
          <t>PE06052602</t>
        </is>
      </c>
      <c r="J2079" s="21" t="inlineStr">
        <is>
          <t>Diode Bypass Module Issue</t>
        </is>
      </c>
      <c r="K2079" s="21" t="inlineStr">
        <is>
          <t>Bhavnagar</t>
        </is>
      </c>
      <c r="L2079" s="21" t="inlineStr">
        <is>
          <t>Gujarat</t>
        </is>
      </c>
      <c r="M2079" s="9" t="inlineStr">
        <is>
          <t>PS</t>
        </is>
      </c>
      <c r="N2079" s="3" t="inlineStr">
        <is>
          <t>Cold Soldering</t>
        </is>
      </c>
      <c r="O2079" s="62" t="n">
        <v>540</v>
      </c>
      <c r="P2079" s="9" t="inlineStr">
        <is>
          <t>NSMP2305190628</t>
        </is>
      </c>
      <c r="Q2079" s="53">
        <f>MID(P2079,5,2)</f>
        <v/>
      </c>
      <c r="R2079" s="53">
        <f>MID(P2079,7,2)</f>
        <v/>
      </c>
      <c r="S2079" s="3" t="inlineStr">
        <is>
          <t>G2B</t>
        </is>
      </c>
      <c r="T2079" s="3" t="inlineStr">
        <is>
          <t>P2</t>
        </is>
      </c>
      <c r="U2079" s="3" t="inlineStr">
        <is>
          <t>P JB Cold Soldering</t>
        </is>
      </c>
      <c r="V2079" s="3" t="inlineStr">
        <is>
          <t>Soldering</t>
        </is>
      </c>
      <c r="W2079" s="3" t="inlineStr">
        <is>
          <t>Repair</t>
        </is>
      </c>
      <c r="X2079" s="18" t="n">
        <v>46168</v>
      </c>
      <c r="Y2079" s="73">
        <f>IF(X2079="","",X2079-A2079)</f>
        <v/>
      </c>
      <c r="Z2079" s="18" t="n">
        <v>46168</v>
      </c>
      <c r="AA2079" s="15" t="n"/>
      <c r="AB2079" s="15" t="n"/>
      <c r="AF2079">
        <f>IF(AND($F2079="Closed",$X2079&gt;=DATE(2026,5,1),$X2079&lt;=DATE(2026,5,31)),"Closed in May","Other")</f>
        <v/>
      </c>
    </row>
    <row r="2080">
      <c r="A2080" s="59" t="n">
        <v>46148</v>
      </c>
      <c r="B2080" s="3" t="n">
        <v>2026</v>
      </c>
      <c r="C2080" s="21" t="inlineStr">
        <is>
          <t>Continuum</t>
        </is>
      </c>
      <c r="D2080" s="3" t="inlineStr">
        <is>
          <t>Utility and C&amp;I</t>
        </is>
      </c>
      <c r="E2080" s="3" t="n"/>
      <c r="F2080" s="3" t="inlineStr">
        <is>
          <t>Closed</t>
        </is>
      </c>
      <c r="G2080" s="21" t="inlineStr">
        <is>
          <t>Amiya Ranjan Behera</t>
        </is>
      </c>
      <c r="H2080" s="21" t="n">
        <v>8917436223</v>
      </c>
      <c r="I2080" s="38" t="inlineStr">
        <is>
          <t>PE06052602</t>
        </is>
      </c>
      <c r="J2080" s="21" t="inlineStr">
        <is>
          <t>Diode Bypass Module Issue</t>
        </is>
      </c>
      <c r="K2080" s="21" t="inlineStr">
        <is>
          <t>Bhavnagar</t>
        </is>
      </c>
      <c r="L2080" s="21" t="inlineStr">
        <is>
          <t>Gujarat</t>
        </is>
      </c>
      <c r="M2080" s="9" t="inlineStr">
        <is>
          <t>PS</t>
        </is>
      </c>
      <c r="N2080" s="3" t="inlineStr">
        <is>
          <t>Cold Soldering</t>
        </is>
      </c>
      <c r="O2080" s="62" t="n">
        <v>540</v>
      </c>
      <c r="P2080" s="9" t="inlineStr">
        <is>
          <t>NSMP2305130303</t>
        </is>
      </c>
      <c r="Q2080" s="53">
        <f>MID(P2080,5,2)</f>
        <v/>
      </c>
      <c r="R2080" s="53">
        <f>MID(P2080,7,2)</f>
        <v/>
      </c>
      <c r="S2080" s="3" t="inlineStr">
        <is>
          <t>G2B</t>
        </is>
      </c>
      <c r="T2080" s="3" t="inlineStr">
        <is>
          <t>P2</t>
        </is>
      </c>
      <c r="U2080" s="3" t="inlineStr">
        <is>
          <t>P JB Cold Soldering</t>
        </is>
      </c>
      <c r="V2080" s="3" t="inlineStr">
        <is>
          <t>Soldering</t>
        </is>
      </c>
      <c r="W2080" s="3" t="inlineStr">
        <is>
          <t>Repair</t>
        </is>
      </c>
      <c r="X2080" s="18" t="n">
        <v>46168</v>
      </c>
      <c r="Y2080" s="73">
        <f>IF(X2080="","",X2080-A2080)</f>
        <v/>
      </c>
      <c r="Z2080" s="18" t="n">
        <v>46168</v>
      </c>
      <c r="AA2080" s="15" t="n"/>
      <c r="AB2080" s="15" t="n"/>
      <c r="AF2080">
        <f>IF(AND($F2080="Closed",$X2080&gt;=DATE(2026,5,1),$X2080&lt;=DATE(2026,5,31)),"Closed in May","Other")</f>
        <v/>
      </c>
    </row>
    <row r="2081">
      <c r="A2081" s="59" t="n">
        <v>46148</v>
      </c>
      <c r="B2081" s="3" t="n">
        <v>2026</v>
      </c>
      <c r="C2081" s="21" t="inlineStr">
        <is>
          <t>Continuum</t>
        </is>
      </c>
      <c r="D2081" s="3" t="inlineStr">
        <is>
          <t>Utility and C&amp;I</t>
        </is>
      </c>
      <c r="E2081" s="3" t="n"/>
      <c r="F2081" s="3" t="inlineStr">
        <is>
          <t>Closed</t>
        </is>
      </c>
      <c r="G2081" s="21" t="inlineStr">
        <is>
          <t>Amiya Ranjan Behera</t>
        </is>
      </c>
      <c r="H2081" s="21" t="n">
        <v>8917436223</v>
      </c>
      <c r="I2081" s="38" t="inlineStr">
        <is>
          <t>PE06052602</t>
        </is>
      </c>
      <c r="J2081" s="21" t="inlineStr">
        <is>
          <t>Diode Bypass Module Issue</t>
        </is>
      </c>
      <c r="K2081" s="21" t="inlineStr">
        <is>
          <t>Bhavnagar</t>
        </is>
      </c>
      <c r="L2081" s="21" t="inlineStr">
        <is>
          <t>Gujarat</t>
        </is>
      </c>
      <c r="M2081" s="9" t="inlineStr">
        <is>
          <t>NS</t>
        </is>
      </c>
      <c r="N2081" s="26" t="inlineStr">
        <is>
          <t>Cold Soldering</t>
        </is>
      </c>
      <c r="O2081" s="62" t="n">
        <v>540</v>
      </c>
      <c r="P2081" s="9" t="inlineStr">
        <is>
          <t>NSMP2305129939</t>
        </is>
      </c>
      <c r="Q2081" s="53">
        <f>MID(P2081,5,2)</f>
        <v/>
      </c>
      <c r="R2081" s="53">
        <f>MID(P2081,7,2)</f>
        <v/>
      </c>
      <c r="S2081" s="3" t="inlineStr">
        <is>
          <t>G2B</t>
        </is>
      </c>
      <c r="T2081" s="3" t="inlineStr">
        <is>
          <t>P2</t>
        </is>
      </c>
      <c r="U2081" s="19" t="inlineStr">
        <is>
          <t>N JB Cold Soldering</t>
        </is>
      </c>
      <c r="V2081" s="19" t="inlineStr">
        <is>
          <t>Soldering</t>
        </is>
      </c>
      <c r="W2081" s="3" t="inlineStr">
        <is>
          <t>Repair</t>
        </is>
      </c>
      <c r="X2081" s="18" t="n">
        <v>46168</v>
      </c>
      <c r="Y2081" s="73">
        <f>IF(X2081="","",X2081-A2081)</f>
        <v/>
      </c>
      <c r="Z2081" s="18" t="n">
        <v>46168</v>
      </c>
      <c r="AA2081" s="15" t="n"/>
      <c r="AB2081" s="15" t="n"/>
      <c r="AF2081">
        <f>IF(AND($F2081="Closed",$X2081&gt;=DATE(2026,5,1),$X2081&lt;=DATE(2026,5,31)),"Closed in May","Other")</f>
        <v/>
      </c>
    </row>
    <row r="2082">
      <c r="A2082" s="59" t="n">
        <v>46148</v>
      </c>
      <c r="B2082" s="3" t="n">
        <v>2026</v>
      </c>
      <c r="C2082" s="21" t="inlineStr">
        <is>
          <t>Continuum</t>
        </is>
      </c>
      <c r="D2082" s="3" t="inlineStr">
        <is>
          <t>Utility and C&amp;I</t>
        </is>
      </c>
      <c r="E2082" s="3" t="n"/>
      <c r="F2082" s="3" t="inlineStr">
        <is>
          <t>Closed</t>
        </is>
      </c>
      <c r="G2082" s="21" t="inlineStr">
        <is>
          <t>Amiya Ranjan Behera</t>
        </is>
      </c>
      <c r="H2082" s="21" t="n">
        <v>8917436223</v>
      </c>
      <c r="I2082" s="38" t="inlineStr">
        <is>
          <t>PE06052602</t>
        </is>
      </c>
      <c r="J2082" s="21" t="inlineStr">
        <is>
          <t>Diode Bypass Module Issue</t>
        </is>
      </c>
      <c r="K2082" s="21" t="inlineStr">
        <is>
          <t>Bhavnagar</t>
        </is>
      </c>
      <c r="L2082" s="21" t="inlineStr">
        <is>
          <t>Gujarat</t>
        </is>
      </c>
      <c r="M2082" s="9" t="inlineStr">
        <is>
          <t>NS</t>
        </is>
      </c>
      <c r="N2082" s="26" t="inlineStr">
        <is>
          <t>Cold Soldering</t>
        </is>
      </c>
      <c r="O2082" s="62" t="n">
        <v>540</v>
      </c>
      <c r="P2082" s="9" t="inlineStr">
        <is>
          <t>NSMP2305175999</t>
        </is>
      </c>
      <c r="Q2082" s="53">
        <f>MID(P2082,5,2)</f>
        <v/>
      </c>
      <c r="R2082" s="53">
        <f>MID(P2082,7,2)</f>
        <v/>
      </c>
      <c r="S2082" s="3" t="inlineStr">
        <is>
          <t>G2B</t>
        </is>
      </c>
      <c r="T2082" s="3" t="inlineStr">
        <is>
          <t>P2</t>
        </is>
      </c>
      <c r="U2082" s="19" t="inlineStr">
        <is>
          <t>N JB Cold Soldering</t>
        </is>
      </c>
      <c r="V2082" s="19" t="inlineStr">
        <is>
          <t>Soldering</t>
        </is>
      </c>
      <c r="W2082" s="3" t="inlineStr">
        <is>
          <t>Repair</t>
        </is>
      </c>
      <c r="X2082" s="18" t="n">
        <v>46168</v>
      </c>
      <c r="Y2082" s="73">
        <f>IF(X2082="","",X2082-A2082)</f>
        <v/>
      </c>
      <c r="Z2082" s="18" t="n">
        <v>46168</v>
      </c>
      <c r="AA2082" s="15" t="n"/>
      <c r="AB2082" s="15" t="n"/>
      <c r="AF2082">
        <f>IF(AND($F2082="Closed",$X2082&gt;=DATE(2026,5,1),$X2082&lt;=DATE(2026,5,31)),"Closed in May","Other")</f>
        <v/>
      </c>
    </row>
    <row r="2083">
      <c r="A2083" s="59" t="n">
        <v>46148</v>
      </c>
      <c r="B2083" s="3" t="n">
        <v>2026</v>
      </c>
      <c r="C2083" s="21" t="inlineStr">
        <is>
          <t>Continuum</t>
        </is>
      </c>
      <c r="D2083" s="3" t="inlineStr">
        <is>
          <t>Utility and C&amp;I</t>
        </is>
      </c>
      <c r="E2083" s="3" t="n"/>
      <c r="F2083" s="3" t="inlineStr">
        <is>
          <t>Closed</t>
        </is>
      </c>
      <c r="G2083" s="21" t="inlineStr">
        <is>
          <t>Amiya Ranjan Behera</t>
        </is>
      </c>
      <c r="H2083" s="21" t="n">
        <v>8917436223</v>
      </c>
      <c r="I2083" s="38" t="inlineStr">
        <is>
          <t>PE06052602</t>
        </is>
      </c>
      <c r="J2083" s="21" t="inlineStr">
        <is>
          <t>Diode Bypass Module Issue</t>
        </is>
      </c>
      <c r="K2083" s="21" t="inlineStr">
        <is>
          <t>Bhavnagar</t>
        </is>
      </c>
      <c r="L2083" s="21" t="inlineStr">
        <is>
          <t>Gujarat</t>
        </is>
      </c>
      <c r="M2083" s="9" t="inlineStr">
        <is>
          <t>NS</t>
        </is>
      </c>
      <c r="N2083" s="26" t="inlineStr">
        <is>
          <t>Cold Soldering</t>
        </is>
      </c>
      <c r="O2083" s="62" t="n">
        <v>540</v>
      </c>
      <c r="P2083" s="9" t="inlineStr">
        <is>
          <t>NSMP2305130051</t>
        </is>
      </c>
      <c r="Q2083" s="53">
        <f>MID(P2083,5,2)</f>
        <v/>
      </c>
      <c r="R2083" s="53">
        <f>MID(P2083,7,2)</f>
        <v/>
      </c>
      <c r="S2083" s="3" t="inlineStr">
        <is>
          <t>G2B</t>
        </is>
      </c>
      <c r="T2083" s="3" t="inlineStr">
        <is>
          <t>P2</t>
        </is>
      </c>
      <c r="U2083" s="19" t="inlineStr">
        <is>
          <t>N JB Cold Soldering</t>
        </is>
      </c>
      <c r="V2083" s="19" t="inlineStr">
        <is>
          <t>Soldering</t>
        </is>
      </c>
      <c r="W2083" s="3" t="inlineStr">
        <is>
          <t>Repair</t>
        </is>
      </c>
      <c r="X2083" s="18" t="n">
        <v>46168</v>
      </c>
      <c r="Y2083" s="73">
        <f>IF(X2083="","",X2083-A2083)</f>
        <v/>
      </c>
      <c r="Z2083" s="18" t="n">
        <v>46168</v>
      </c>
      <c r="AA2083" s="15" t="n"/>
      <c r="AB2083" s="15" t="n"/>
      <c r="AF2083">
        <f>IF(AND($F2083="Closed",$X2083&gt;=DATE(2026,5,1),$X2083&lt;=DATE(2026,5,31)),"Closed in May","Other")</f>
        <v/>
      </c>
    </row>
    <row r="2084">
      <c r="A2084" s="59" t="n">
        <v>46148</v>
      </c>
      <c r="B2084" s="3" t="n">
        <v>2026</v>
      </c>
      <c r="C2084" s="21" t="inlineStr">
        <is>
          <t>Continuum</t>
        </is>
      </c>
      <c r="D2084" s="3" t="inlineStr">
        <is>
          <t>Utility and C&amp;I</t>
        </is>
      </c>
      <c r="E2084" s="3" t="n"/>
      <c r="F2084" s="3" t="inlineStr">
        <is>
          <t>Closed</t>
        </is>
      </c>
      <c r="G2084" s="21" t="inlineStr">
        <is>
          <t>Amiya Ranjan Behera</t>
        </is>
      </c>
      <c r="H2084" s="21" t="n">
        <v>8917436223</v>
      </c>
      <c r="I2084" s="38" t="inlineStr">
        <is>
          <t>PE06052602</t>
        </is>
      </c>
      <c r="J2084" s="21" t="inlineStr">
        <is>
          <t>Diode Bypass Module Issue</t>
        </is>
      </c>
      <c r="K2084" s="21" t="inlineStr">
        <is>
          <t>Bhavnagar</t>
        </is>
      </c>
      <c r="L2084" s="21" t="inlineStr">
        <is>
          <t>Gujarat</t>
        </is>
      </c>
      <c r="M2084" s="9" t="inlineStr">
        <is>
          <t>PS</t>
        </is>
      </c>
      <c r="N2084" s="3" t="inlineStr">
        <is>
          <t>Cold Soldering</t>
        </is>
      </c>
      <c r="O2084" s="62" t="n">
        <v>540</v>
      </c>
      <c r="P2084" s="9" t="inlineStr">
        <is>
          <t>NSMP2305130060</t>
        </is>
      </c>
      <c r="Q2084" s="53">
        <f>MID(P2084,5,2)</f>
        <v/>
      </c>
      <c r="R2084" s="53">
        <f>MID(P2084,7,2)</f>
        <v/>
      </c>
      <c r="S2084" s="3" t="inlineStr">
        <is>
          <t>G2B</t>
        </is>
      </c>
      <c r="T2084" s="3" t="inlineStr">
        <is>
          <t>P2</t>
        </is>
      </c>
      <c r="U2084" s="3" t="inlineStr">
        <is>
          <t>P JB Cold Soldering</t>
        </is>
      </c>
      <c r="V2084" s="3" t="inlineStr">
        <is>
          <t>Soldering</t>
        </is>
      </c>
      <c r="W2084" s="3" t="inlineStr">
        <is>
          <t>Repair</t>
        </is>
      </c>
      <c r="X2084" s="18" t="n">
        <v>46168</v>
      </c>
      <c r="Y2084" s="73">
        <f>IF(X2084="","",X2084-A2084)</f>
        <v/>
      </c>
      <c r="Z2084" s="18" t="n">
        <v>46168</v>
      </c>
      <c r="AA2084" s="15" t="n"/>
      <c r="AB2084" s="15" t="n"/>
      <c r="AF2084">
        <f>IF(AND($F2084="Closed",$X2084&gt;=DATE(2026,5,1),$X2084&lt;=DATE(2026,5,31)),"Closed in May","Other")</f>
        <v/>
      </c>
    </row>
    <row r="2085">
      <c r="A2085" s="59" t="n">
        <v>46148</v>
      </c>
      <c r="B2085" s="3" t="n">
        <v>2026</v>
      </c>
      <c r="C2085" s="21" t="inlineStr">
        <is>
          <t>Continuum</t>
        </is>
      </c>
      <c r="D2085" s="3" t="inlineStr">
        <is>
          <t>Utility and C&amp;I</t>
        </is>
      </c>
      <c r="E2085" s="3" t="n"/>
      <c r="F2085" s="3" t="inlineStr">
        <is>
          <t>Closed</t>
        </is>
      </c>
      <c r="G2085" s="21" t="inlineStr">
        <is>
          <t>Amiya Ranjan Behera</t>
        </is>
      </c>
      <c r="H2085" s="21" t="n">
        <v>8917436223</v>
      </c>
      <c r="I2085" s="38" t="inlineStr">
        <is>
          <t>PE06052602</t>
        </is>
      </c>
      <c r="J2085" s="21" t="inlineStr">
        <is>
          <t>Diode Bypass Module Issue</t>
        </is>
      </c>
      <c r="K2085" s="21" t="inlineStr">
        <is>
          <t>Bhavnagar</t>
        </is>
      </c>
      <c r="L2085" s="21" t="inlineStr">
        <is>
          <t>Gujarat</t>
        </is>
      </c>
      <c r="M2085" s="9" t="inlineStr">
        <is>
          <t>PS</t>
        </is>
      </c>
      <c r="N2085" s="3" t="inlineStr">
        <is>
          <t>Cold Soldering</t>
        </is>
      </c>
      <c r="O2085" s="62" t="n">
        <v>540</v>
      </c>
      <c r="P2085" s="9" t="inlineStr">
        <is>
          <t>NSMP2305131046</t>
        </is>
      </c>
      <c r="Q2085" s="53">
        <f>MID(P2085,5,2)</f>
        <v/>
      </c>
      <c r="R2085" s="53">
        <f>MID(P2085,7,2)</f>
        <v/>
      </c>
      <c r="S2085" s="3" t="inlineStr">
        <is>
          <t>G2B</t>
        </is>
      </c>
      <c r="T2085" s="3" t="inlineStr">
        <is>
          <t>P2</t>
        </is>
      </c>
      <c r="U2085" s="3" t="inlineStr">
        <is>
          <t>P JB Cold Soldering</t>
        </is>
      </c>
      <c r="V2085" s="3" t="inlineStr">
        <is>
          <t>Soldering</t>
        </is>
      </c>
      <c r="W2085" s="3" t="inlineStr">
        <is>
          <t>Repair</t>
        </is>
      </c>
      <c r="X2085" s="18" t="n">
        <v>46168</v>
      </c>
      <c r="Y2085" s="73">
        <f>IF(X2085="","",X2085-A2085)</f>
        <v/>
      </c>
      <c r="Z2085" s="18" t="n">
        <v>46168</v>
      </c>
      <c r="AA2085" s="15" t="n"/>
      <c r="AB2085" s="15" t="n"/>
      <c r="AF2085">
        <f>IF(AND($F2085="Closed",$X2085&gt;=DATE(2026,5,1),$X2085&lt;=DATE(2026,5,31)),"Closed in May","Other")</f>
        <v/>
      </c>
    </row>
    <row r="2086">
      <c r="A2086" s="59" t="n">
        <v>46148</v>
      </c>
      <c r="B2086" s="3" t="n">
        <v>2026</v>
      </c>
      <c r="C2086" s="21" t="inlineStr">
        <is>
          <t>Continuum</t>
        </is>
      </c>
      <c r="D2086" s="3" t="inlineStr">
        <is>
          <t>Utility and C&amp;I</t>
        </is>
      </c>
      <c r="E2086" s="3" t="n"/>
      <c r="F2086" s="3" t="inlineStr">
        <is>
          <t>Closed</t>
        </is>
      </c>
      <c r="G2086" s="21" t="inlineStr">
        <is>
          <t>Amiya Ranjan Behera</t>
        </is>
      </c>
      <c r="H2086" s="21" t="n">
        <v>8917436223</v>
      </c>
      <c r="I2086" s="38" t="inlineStr">
        <is>
          <t>PE06052602</t>
        </is>
      </c>
      <c r="J2086" s="21" t="inlineStr">
        <is>
          <t>Diode Bypass Module Issue</t>
        </is>
      </c>
      <c r="K2086" s="21" t="inlineStr">
        <is>
          <t>Bhavnagar</t>
        </is>
      </c>
      <c r="L2086" s="21" t="inlineStr">
        <is>
          <t>Gujarat</t>
        </is>
      </c>
      <c r="M2086" s="9" t="inlineStr">
        <is>
          <t>PS</t>
        </is>
      </c>
      <c r="N2086" s="3" t="inlineStr">
        <is>
          <t>Cold Soldering</t>
        </is>
      </c>
      <c r="O2086" s="62" t="n">
        <v>540</v>
      </c>
      <c r="P2086" s="9" t="inlineStr">
        <is>
          <t>NSMP2305131079</t>
        </is>
      </c>
      <c r="Q2086" s="53">
        <f>MID(P2086,5,2)</f>
        <v/>
      </c>
      <c r="R2086" s="53">
        <f>MID(P2086,7,2)</f>
        <v/>
      </c>
      <c r="S2086" s="3" t="inlineStr">
        <is>
          <t>G2B</t>
        </is>
      </c>
      <c r="T2086" s="3" t="inlineStr">
        <is>
          <t>P2</t>
        </is>
      </c>
      <c r="U2086" s="3" t="inlineStr">
        <is>
          <t>P JB Cold Soldering</t>
        </is>
      </c>
      <c r="V2086" s="3" t="inlineStr">
        <is>
          <t>Soldering</t>
        </is>
      </c>
      <c r="W2086" s="3" t="inlineStr">
        <is>
          <t>Repair</t>
        </is>
      </c>
      <c r="X2086" s="18" t="n">
        <v>46168</v>
      </c>
      <c r="Y2086" s="73">
        <f>IF(X2086="","",X2086-A2086)</f>
        <v/>
      </c>
      <c r="Z2086" s="18" t="n">
        <v>46168</v>
      </c>
      <c r="AA2086" s="15" t="n"/>
      <c r="AB2086" s="15" t="n"/>
      <c r="AF2086">
        <f>IF(AND($F2086="Closed",$X2086&gt;=DATE(2026,5,1),$X2086&lt;=DATE(2026,5,31)),"Closed in May","Other")</f>
        <v/>
      </c>
    </row>
    <row r="2087">
      <c r="A2087" s="59" t="n">
        <v>46148</v>
      </c>
      <c r="B2087" s="3" t="n">
        <v>2026</v>
      </c>
      <c r="C2087" s="21" t="inlineStr">
        <is>
          <t>Continuum</t>
        </is>
      </c>
      <c r="D2087" s="3" t="inlineStr">
        <is>
          <t>Utility and C&amp;I</t>
        </is>
      </c>
      <c r="E2087" s="3" t="n"/>
      <c r="F2087" s="3" t="inlineStr">
        <is>
          <t>Closed</t>
        </is>
      </c>
      <c r="G2087" s="21" t="inlineStr">
        <is>
          <t>Amiya Ranjan Behera</t>
        </is>
      </c>
      <c r="H2087" s="21" t="n">
        <v>8917436223</v>
      </c>
      <c r="I2087" s="38" t="inlineStr">
        <is>
          <t>PE06052602</t>
        </is>
      </c>
      <c r="J2087" s="21" t="inlineStr">
        <is>
          <t>Diode Bypass Module Issue</t>
        </is>
      </c>
      <c r="K2087" s="21" t="inlineStr">
        <is>
          <t>Bhavnagar</t>
        </is>
      </c>
      <c r="L2087" s="21" t="inlineStr">
        <is>
          <t>Gujarat</t>
        </is>
      </c>
      <c r="M2087" s="9" t="inlineStr">
        <is>
          <t>PS</t>
        </is>
      </c>
      <c r="N2087" s="3" t="inlineStr">
        <is>
          <t>Cold Soldering</t>
        </is>
      </c>
      <c r="O2087" s="62" t="n">
        <v>540</v>
      </c>
      <c r="P2087" s="9" t="inlineStr">
        <is>
          <t>NSMP2305131068</t>
        </is>
      </c>
      <c r="Q2087" s="53">
        <f>MID(P2087,5,2)</f>
        <v/>
      </c>
      <c r="R2087" s="53">
        <f>MID(P2087,7,2)</f>
        <v/>
      </c>
      <c r="S2087" s="3" t="inlineStr">
        <is>
          <t>G2B</t>
        </is>
      </c>
      <c r="T2087" s="3" t="inlineStr">
        <is>
          <t>P2</t>
        </is>
      </c>
      <c r="U2087" s="3" t="inlineStr">
        <is>
          <t>P JB Cold Soldering</t>
        </is>
      </c>
      <c r="V2087" s="3" t="inlineStr">
        <is>
          <t>Soldering</t>
        </is>
      </c>
      <c r="W2087" s="3" t="inlineStr">
        <is>
          <t>Repair</t>
        </is>
      </c>
      <c r="X2087" s="18" t="n">
        <v>46168</v>
      </c>
      <c r="Y2087" s="73">
        <f>IF(X2087="","",X2087-A2087)</f>
        <v/>
      </c>
      <c r="Z2087" s="18" t="n">
        <v>46168</v>
      </c>
      <c r="AA2087" s="15" t="n"/>
      <c r="AB2087" s="15" t="n"/>
      <c r="AF2087">
        <f>IF(AND($F2087="Closed",$X2087&gt;=DATE(2026,5,1),$X2087&lt;=DATE(2026,5,31)),"Closed in May","Other")</f>
        <v/>
      </c>
    </row>
    <row r="2088">
      <c r="A2088" s="59" t="n">
        <v>46148</v>
      </c>
      <c r="B2088" s="3" t="n">
        <v>2026</v>
      </c>
      <c r="C2088" s="21" t="inlineStr">
        <is>
          <t>Continuum</t>
        </is>
      </c>
      <c r="D2088" s="3" t="inlineStr">
        <is>
          <t>Utility and C&amp;I</t>
        </is>
      </c>
      <c r="E2088" s="3" t="n"/>
      <c r="F2088" s="3" t="inlineStr">
        <is>
          <t>Closed</t>
        </is>
      </c>
      <c r="G2088" s="21" t="inlineStr">
        <is>
          <t>Amiya Ranjan Behera</t>
        </is>
      </c>
      <c r="H2088" s="21" t="n">
        <v>8917436223</v>
      </c>
      <c r="I2088" s="38" t="inlineStr">
        <is>
          <t>PE06052602</t>
        </is>
      </c>
      <c r="J2088" s="21" t="inlineStr">
        <is>
          <t>Diode Bypass Module Issue</t>
        </is>
      </c>
      <c r="K2088" s="21" t="inlineStr">
        <is>
          <t>Bhavnagar</t>
        </is>
      </c>
      <c r="L2088" s="21" t="inlineStr">
        <is>
          <t>Gujarat</t>
        </is>
      </c>
      <c r="M2088" s="9" t="inlineStr">
        <is>
          <t>PS</t>
        </is>
      </c>
      <c r="N2088" s="3" t="inlineStr">
        <is>
          <t>Cold Soldering</t>
        </is>
      </c>
      <c r="O2088" s="62" t="n">
        <v>540</v>
      </c>
      <c r="P2088" s="9" t="inlineStr">
        <is>
          <t>NSMP2305131106</t>
        </is>
      </c>
      <c r="Q2088" s="53">
        <f>MID(P2088,5,2)</f>
        <v/>
      </c>
      <c r="R2088" s="53">
        <f>MID(P2088,7,2)</f>
        <v/>
      </c>
      <c r="S2088" s="3" t="inlineStr">
        <is>
          <t>G2B</t>
        </is>
      </c>
      <c r="T2088" s="3" t="inlineStr">
        <is>
          <t>P2</t>
        </is>
      </c>
      <c r="U2088" s="3" t="inlineStr">
        <is>
          <t>P JB Cold Soldering</t>
        </is>
      </c>
      <c r="V2088" s="3" t="inlineStr">
        <is>
          <t>Soldering</t>
        </is>
      </c>
      <c r="W2088" s="3" t="inlineStr">
        <is>
          <t>Repair</t>
        </is>
      </c>
      <c r="X2088" s="18" t="n">
        <v>46168</v>
      </c>
      <c r="Y2088" s="73">
        <f>IF(X2088="","",X2088-A2088)</f>
        <v/>
      </c>
      <c r="Z2088" s="18" t="n">
        <v>46168</v>
      </c>
      <c r="AA2088" s="15" t="n"/>
      <c r="AB2088" s="15" t="n"/>
      <c r="AF2088">
        <f>IF(AND($F2088="Closed",$X2088&gt;=DATE(2026,5,1),$X2088&lt;=DATE(2026,5,31)),"Closed in May","Other")</f>
        <v/>
      </c>
    </row>
    <row r="2089">
      <c r="A2089" s="59" t="n">
        <v>46148</v>
      </c>
      <c r="B2089" s="3" t="n">
        <v>2026</v>
      </c>
      <c r="C2089" s="21" t="inlineStr">
        <is>
          <t>Continuum</t>
        </is>
      </c>
      <c r="D2089" s="3" t="inlineStr">
        <is>
          <t>Utility and C&amp;I</t>
        </is>
      </c>
      <c r="E2089" s="3" t="n"/>
      <c r="F2089" s="3" t="inlineStr">
        <is>
          <t>Closed</t>
        </is>
      </c>
      <c r="G2089" s="21" t="inlineStr">
        <is>
          <t>Amiya Ranjan Behera</t>
        </is>
      </c>
      <c r="H2089" s="21" t="n">
        <v>8917436223</v>
      </c>
      <c r="I2089" s="38" t="inlineStr">
        <is>
          <t>PE06052602</t>
        </is>
      </c>
      <c r="J2089" s="21" t="inlineStr">
        <is>
          <t>Diode Bypass Module Issue</t>
        </is>
      </c>
      <c r="K2089" s="21" t="inlineStr">
        <is>
          <t>Bhavnagar</t>
        </is>
      </c>
      <c r="L2089" s="21" t="inlineStr">
        <is>
          <t>Gujarat</t>
        </is>
      </c>
      <c r="M2089" s="9" t="inlineStr">
        <is>
          <t>PS</t>
        </is>
      </c>
      <c r="N2089" s="3" t="inlineStr">
        <is>
          <t>Cold Soldering</t>
        </is>
      </c>
      <c r="O2089" s="62" t="n">
        <v>540</v>
      </c>
      <c r="P2089" s="9" t="inlineStr">
        <is>
          <t>NSMP2305131129</t>
        </is>
      </c>
      <c r="Q2089" s="53">
        <f>MID(P2089,5,2)</f>
        <v/>
      </c>
      <c r="R2089" s="53">
        <f>MID(P2089,7,2)</f>
        <v/>
      </c>
      <c r="S2089" s="3" t="inlineStr">
        <is>
          <t>G2B</t>
        </is>
      </c>
      <c r="T2089" s="3" t="inlineStr">
        <is>
          <t>P2</t>
        </is>
      </c>
      <c r="U2089" s="3" t="inlineStr">
        <is>
          <t>P JB Cold Soldering</t>
        </is>
      </c>
      <c r="V2089" s="3" t="inlineStr">
        <is>
          <t>Soldering</t>
        </is>
      </c>
      <c r="W2089" s="3" t="inlineStr">
        <is>
          <t>Repair</t>
        </is>
      </c>
      <c r="X2089" s="18" t="n">
        <v>46168</v>
      </c>
      <c r="Y2089" s="73">
        <f>IF(X2089="","",X2089-A2089)</f>
        <v/>
      </c>
      <c r="Z2089" s="18" t="n">
        <v>46168</v>
      </c>
      <c r="AA2089" s="15" t="n"/>
      <c r="AB2089" s="15" t="n"/>
      <c r="AF2089">
        <f>IF(AND($F2089="Closed",$X2089&gt;=DATE(2026,5,1),$X2089&lt;=DATE(2026,5,31)),"Closed in May","Other")</f>
        <v/>
      </c>
    </row>
    <row r="2090">
      <c r="A2090" s="59" t="n">
        <v>46148</v>
      </c>
      <c r="B2090" s="3" t="n">
        <v>2026</v>
      </c>
      <c r="C2090" s="21" t="inlineStr">
        <is>
          <t>Continuum</t>
        </is>
      </c>
      <c r="D2090" s="3" t="inlineStr">
        <is>
          <t>Utility and C&amp;I</t>
        </is>
      </c>
      <c r="E2090" s="3" t="n"/>
      <c r="F2090" s="3" t="inlineStr">
        <is>
          <t>Closed</t>
        </is>
      </c>
      <c r="G2090" s="21" t="inlineStr">
        <is>
          <t>Amiya Ranjan Behera</t>
        </is>
      </c>
      <c r="H2090" s="21" t="n">
        <v>8917436223</v>
      </c>
      <c r="I2090" s="38" t="inlineStr">
        <is>
          <t>PE06052602</t>
        </is>
      </c>
      <c r="J2090" s="21" t="inlineStr">
        <is>
          <t>Diode Bypass Module Issue</t>
        </is>
      </c>
      <c r="K2090" s="21" t="inlineStr">
        <is>
          <t>Bhavnagar</t>
        </is>
      </c>
      <c r="L2090" s="21" t="inlineStr">
        <is>
          <t>Gujarat</t>
        </is>
      </c>
      <c r="M2090" s="9" t="inlineStr">
        <is>
          <t>PS</t>
        </is>
      </c>
      <c r="N2090" s="3" t="inlineStr">
        <is>
          <t>Cold Soldering</t>
        </is>
      </c>
      <c r="O2090" s="62" t="n">
        <v>540</v>
      </c>
      <c r="P2090" s="9" t="inlineStr">
        <is>
          <t>NSMP2305130572</t>
        </is>
      </c>
      <c r="Q2090" s="53">
        <f>MID(P2090,5,2)</f>
        <v/>
      </c>
      <c r="R2090" s="53">
        <f>MID(P2090,7,2)</f>
        <v/>
      </c>
      <c r="S2090" s="3" t="inlineStr">
        <is>
          <t>G2B</t>
        </is>
      </c>
      <c r="T2090" s="3" t="inlineStr">
        <is>
          <t>P2</t>
        </is>
      </c>
      <c r="U2090" s="3" t="inlineStr">
        <is>
          <t>P JB Cold Soldering</t>
        </is>
      </c>
      <c r="V2090" s="3" t="inlineStr">
        <is>
          <t>Soldering</t>
        </is>
      </c>
      <c r="W2090" s="3" t="inlineStr">
        <is>
          <t>Repair</t>
        </is>
      </c>
      <c r="X2090" s="18" t="n">
        <v>46168</v>
      </c>
      <c r="Y2090" s="73">
        <f>IF(X2090="","",X2090-A2090)</f>
        <v/>
      </c>
      <c r="Z2090" s="18" t="n">
        <v>46168</v>
      </c>
      <c r="AA2090" s="15" t="n"/>
      <c r="AB2090" s="15" t="n"/>
      <c r="AF2090">
        <f>IF(AND($F2090="Closed",$X2090&gt;=DATE(2026,5,1),$X2090&lt;=DATE(2026,5,31)),"Closed in May","Other")</f>
        <v/>
      </c>
    </row>
    <row r="2091">
      <c r="A2091" s="59" t="n">
        <v>46148</v>
      </c>
      <c r="B2091" s="3" t="n">
        <v>2026</v>
      </c>
      <c r="C2091" s="21" t="inlineStr">
        <is>
          <t>Continuum</t>
        </is>
      </c>
      <c r="D2091" s="3" t="inlineStr">
        <is>
          <t>Utility and C&amp;I</t>
        </is>
      </c>
      <c r="E2091" s="3" t="n"/>
      <c r="F2091" s="3" t="inlineStr">
        <is>
          <t>Closed</t>
        </is>
      </c>
      <c r="G2091" s="21" t="inlineStr">
        <is>
          <t>Amiya Ranjan Behera</t>
        </is>
      </c>
      <c r="H2091" s="21" t="n">
        <v>8917436223</v>
      </c>
      <c r="I2091" s="38" t="inlineStr">
        <is>
          <t>PE06052602</t>
        </is>
      </c>
      <c r="J2091" s="21" t="inlineStr">
        <is>
          <t>Diode Bypass Module Issue</t>
        </is>
      </c>
      <c r="K2091" s="21" t="inlineStr">
        <is>
          <t>Bhavnagar</t>
        </is>
      </c>
      <c r="L2091" s="21" t="inlineStr">
        <is>
          <t>Gujarat</t>
        </is>
      </c>
      <c r="M2091" s="9" t="inlineStr">
        <is>
          <t>PS</t>
        </is>
      </c>
      <c r="N2091" s="3" t="inlineStr">
        <is>
          <t>Cold Soldering</t>
        </is>
      </c>
      <c r="O2091" s="62" t="n">
        <v>540</v>
      </c>
      <c r="P2091" s="9" t="inlineStr">
        <is>
          <t>NSMP2305130584</t>
        </is>
      </c>
      <c r="Q2091" s="53">
        <f>MID(P2091,5,2)</f>
        <v/>
      </c>
      <c r="R2091" s="53">
        <f>MID(P2091,7,2)</f>
        <v/>
      </c>
      <c r="S2091" s="3" t="inlineStr">
        <is>
          <t>G2B</t>
        </is>
      </c>
      <c r="T2091" s="3" t="inlineStr">
        <is>
          <t>P2</t>
        </is>
      </c>
      <c r="U2091" s="3" t="inlineStr">
        <is>
          <t>P JB Cold Soldering</t>
        </is>
      </c>
      <c r="V2091" s="3" t="inlineStr">
        <is>
          <t>Soldering</t>
        </is>
      </c>
      <c r="W2091" s="3" t="inlineStr">
        <is>
          <t>Repair</t>
        </is>
      </c>
      <c r="X2091" s="18" t="n">
        <v>46168</v>
      </c>
      <c r="Y2091" s="73">
        <f>IF(X2091="","",X2091-A2091)</f>
        <v/>
      </c>
      <c r="Z2091" s="18" t="n">
        <v>46168</v>
      </c>
      <c r="AA2091" s="15" t="n"/>
      <c r="AB2091" s="15" t="n"/>
      <c r="AF2091">
        <f>IF(AND($F2091="Closed",$X2091&gt;=DATE(2026,5,1),$X2091&lt;=DATE(2026,5,31)),"Closed in May","Other")</f>
        <v/>
      </c>
    </row>
    <row r="2092">
      <c r="A2092" s="59" t="n">
        <v>46148</v>
      </c>
      <c r="B2092" s="3" t="n">
        <v>2026</v>
      </c>
      <c r="C2092" s="21" t="inlineStr">
        <is>
          <t>Continuum</t>
        </is>
      </c>
      <c r="D2092" s="3" t="inlineStr">
        <is>
          <t>Utility and C&amp;I</t>
        </is>
      </c>
      <c r="E2092" s="3" t="n"/>
      <c r="F2092" s="3" t="inlineStr">
        <is>
          <t>Closed</t>
        </is>
      </c>
      <c r="G2092" s="21" t="inlineStr">
        <is>
          <t>Amiya Ranjan Behera</t>
        </is>
      </c>
      <c r="H2092" s="21" t="n">
        <v>8917436223</v>
      </c>
      <c r="I2092" s="38" t="inlineStr">
        <is>
          <t>PE06052602</t>
        </is>
      </c>
      <c r="J2092" s="21" t="inlineStr">
        <is>
          <t>Diode Bypass Module Issue</t>
        </is>
      </c>
      <c r="K2092" s="21" t="inlineStr">
        <is>
          <t>Bhavnagar</t>
        </is>
      </c>
      <c r="L2092" s="21" t="inlineStr">
        <is>
          <t>Gujarat</t>
        </is>
      </c>
      <c r="M2092" s="9" t="inlineStr">
        <is>
          <t>PS</t>
        </is>
      </c>
      <c r="N2092" s="3" t="inlineStr">
        <is>
          <t>Cold Soldering</t>
        </is>
      </c>
      <c r="O2092" s="62" t="n">
        <v>540</v>
      </c>
      <c r="P2092" s="9" t="inlineStr">
        <is>
          <t>NSMP2305134255</t>
        </is>
      </c>
      <c r="Q2092" s="53">
        <f>MID(P2092,5,2)</f>
        <v/>
      </c>
      <c r="R2092" s="53">
        <f>MID(P2092,7,2)</f>
        <v/>
      </c>
      <c r="S2092" s="3" t="inlineStr">
        <is>
          <t>G2B</t>
        </is>
      </c>
      <c r="T2092" s="3" t="inlineStr">
        <is>
          <t>P2</t>
        </is>
      </c>
      <c r="U2092" s="3" t="inlineStr">
        <is>
          <t>P JB Cold Soldering</t>
        </is>
      </c>
      <c r="V2092" s="3" t="inlineStr">
        <is>
          <t>Soldering</t>
        </is>
      </c>
      <c r="W2092" s="3" t="inlineStr">
        <is>
          <t>Repair</t>
        </is>
      </c>
      <c r="X2092" s="18" t="n">
        <v>46168</v>
      </c>
      <c r="Y2092" s="73">
        <f>IF(X2092="","",X2092-A2092)</f>
        <v/>
      </c>
      <c r="Z2092" s="18" t="n">
        <v>46168</v>
      </c>
      <c r="AA2092" s="15" t="n"/>
      <c r="AB2092" s="15" t="n"/>
      <c r="AF2092">
        <f>IF(AND($F2092="Closed",$X2092&gt;=DATE(2026,5,1),$X2092&lt;=DATE(2026,5,31)),"Closed in May","Other")</f>
        <v/>
      </c>
    </row>
    <row r="2093">
      <c r="A2093" s="59" t="n">
        <v>46148</v>
      </c>
      <c r="B2093" s="3" t="n">
        <v>2026</v>
      </c>
      <c r="C2093" s="21" t="inlineStr">
        <is>
          <t>Continuum</t>
        </is>
      </c>
      <c r="D2093" s="3" t="inlineStr">
        <is>
          <t>Utility and C&amp;I</t>
        </is>
      </c>
      <c r="E2093" s="3" t="n"/>
      <c r="F2093" s="3" t="inlineStr">
        <is>
          <t>Closed</t>
        </is>
      </c>
      <c r="G2093" s="21" t="inlineStr">
        <is>
          <t>Amiya Ranjan Behera</t>
        </is>
      </c>
      <c r="H2093" s="21" t="n">
        <v>8917436223</v>
      </c>
      <c r="I2093" s="38" t="inlineStr">
        <is>
          <t>PE06052602</t>
        </is>
      </c>
      <c r="J2093" s="21" t="inlineStr">
        <is>
          <t>Diode Bypass Module Issue</t>
        </is>
      </c>
      <c r="K2093" s="21" t="inlineStr">
        <is>
          <t>Bhavnagar</t>
        </is>
      </c>
      <c r="L2093" s="21" t="inlineStr">
        <is>
          <t>Gujarat</t>
        </is>
      </c>
      <c r="M2093" s="9" t="inlineStr">
        <is>
          <t>PR</t>
        </is>
      </c>
      <c r="N2093" s="3" t="inlineStr">
        <is>
          <t>JB Issue</t>
        </is>
      </c>
      <c r="O2093" s="62" t="n">
        <v>540</v>
      </c>
      <c r="P2093" s="9" t="inlineStr">
        <is>
          <t>NSMP2305128865</t>
        </is>
      </c>
      <c r="Q2093" s="53">
        <f>MID(P2093,5,2)</f>
        <v/>
      </c>
      <c r="R2093" s="53">
        <f>MID(P2093,7,2)</f>
        <v/>
      </c>
      <c r="S2093" s="3" t="inlineStr">
        <is>
          <t>G2B</t>
        </is>
      </c>
      <c r="T2093" s="3" t="inlineStr">
        <is>
          <t>P2</t>
        </is>
      </c>
      <c r="U2093" s="3" t="inlineStr">
        <is>
          <t>P JB Issue</t>
        </is>
      </c>
      <c r="V2093" s="15" t="inlineStr">
        <is>
          <t>JB Changed</t>
        </is>
      </c>
      <c r="W2093" s="3" t="inlineStr">
        <is>
          <t>Repair</t>
        </is>
      </c>
      <c r="X2093" s="18" t="n">
        <v>46168</v>
      </c>
      <c r="Y2093" s="73">
        <f>IF(X2093="","",X2093-A2093)</f>
        <v/>
      </c>
      <c r="Z2093" s="18" t="n">
        <v>46168</v>
      </c>
      <c r="AA2093" s="15" t="n"/>
      <c r="AB2093" s="15" t="n"/>
      <c r="AF2093">
        <f>IF(AND($F2093="Closed",$X2093&gt;=DATE(2026,5,1),$X2093&lt;=DATE(2026,5,31)),"Closed in May","Other")</f>
        <v/>
      </c>
    </row>
    <row r="2094">
      <c r="A2094" s="59" t="n">
        <v>46148</v>
      </c>
      <c r="B2094" s="3" t="n">
        <v>2026</v>
      </c>
      <c r="C2094" s="21" t="inlineStr">
        <is>
          <t>Continuum</t>
        </is>
      </c>
      <c r="D2094" s="3" t="inlineStr">
        <is>
          <t>Utility and C&amp;I</t>
        </is>
      </c>
      <c r="E2094" s="3" t="n"/>
      <c r="F2094" s="3" t="inlineStr">
        <is>
          <t>Closed</t>
        </is>
      </c>
      <c r="G2094" s="21" t="inlineStr">
        <is>
          <t>Amiya Ranjan Behera</t>
        </is>
      </c>
      <c r="H2094" s="21" t="n">
        <v>8917436223</v>
      </c>
      <c r="I2094" s="38" t="inlineStr">
        <is>
          <t>PE06052602</t>
        </is>
      </c>
      <c r="J2094" s="21" t="inlineStr">
        <is>
          <t>Diode Bypass Module Issue</t>
        </is>
      </c>
      <c r="K2094" s="21" t="inlineStr">
        <is>
          <t>Bhavnagar</t>
        </is>
      </c>
      <c r="L2094" s="21" t="inlineStr">
        <is>
          <t>Gujarat</t>
        </is>
      </c>
      <c r="M2094" s="9" t="inlineStr">
        <is>
          <t>PS</t>
        </is>
      </c>
      <c r="N2094" s="3" t="inlineStr">
        <is>
          <t>Cold Soldering</t>
        </is>
      </c>
      <c r="O2094" s="62" t="n">
        <v>540</v>
      </c>
      <c r="P2094" s="9" t="inlineStr">
        <is>
          <t>NSMP2305129650</t>
        </is>
      </c>
      <c r="Q2094" s="53">
        <f>MID(P2094,5,2)</f>
        <v/>
      </c>
      <c r="R2094" s="53">
        <f>MID(P2094,7,2)</f>
        <v/>
      </c>
      <c r="S2094" s="3" t="inlineStr">
        <is>
          <t>G2B</t>
        </is>
      </c>
      <c r="T2094" s="3" t="inlineStr">
        <is>
          <t>P2</t>
        </is>
      </c>
      <c r="U2094" s="3" t="inlineStr">
        <is>
          <t>P JB Cold Soldering</t>
        </is>
      </c>
      <c r="V2094" s="3" t="inlineStr">
        <is>
          <t>Soldering</t>
        </is>
      </c>
      <c r="W2094" s="3" t="inlineStr">
        <is>
          <t>Repair</t>
        </is>
      </c>
      <c r="X2094" s="18" t="n">
        <v>46168</v>
      </c>
      <c r="Y2094" s="73">
        <f>IF(X2094="","",X2094-A2094)</f>
        <v/>
      </c>
      <c r="Z2094" s="18" t="n">
        <v>46168</v>
      </c>
      <c r="AA2094" s="15" t="n"/>
      <c r="AB2094" s="15" t="n"/>
      <c r="AF2094">
        <f>IF(AND($F2094="Closed",$X2094&gt;=DATE(2026,5,1),$X2094&lt;=DATE(2026,5,31)),"Closed in May","Other")</f>
        <v/>
      </c>
    </row>
    <row r="2095">
      <c r="A2095" s="59" t="n">
        <v>46148</v>
      </c>
      <c r="B2095" s="3" t="n">
        <v>2026</v>
      </c>
      <c r="C2095" s="21" t="inlineStr">
        <is>
          <t>Continuum</t>
        </is>
      </c>
      <c r="D2095" s="3" t="inlineStr">
        <is>
          <t>Utility and C&amp;I</t>
        </is>
      </c>
      <c r="E2095" s="3" t="n"/>
      <c r="F2095" s="3" t="inlineStr">
        <is>
          <t>Closed</t>
        </is>
      </c>
      <c r="G2095" s="21" t="inlineStr">
        <is>
          <t>Amiya Ranjan Behera</t>
        </is>
      </c>
      <c r="H2095" s="21" t="n">
        <v>8917436223</v>
      </c>
      <c r="I2095" s="38" t="inlineStr">
        <is>
          <t>PE06052602</t>
        </is>
      </c>
      <c r="J2095" s="21" t="inlineStr">
        <is>
          <t>Diode Bypass Module Issue</t>
        </is>
      </c>
      <c r="K2095" s="21" t="inlineStr">
        <is>
          <t>Bhavnagar</t>
        </is>
      </c>
      <c r="L2095" s="21" t="inlineStr">
        <is>
          <t>Gujarat</t>
        </is>
      </c>
      <c r="M2095" s="9" t="inlineStr">
        <is>
          <t>PS</t>
        </is>
      </c>
      <c r="N2095" s="3" t="inlineStr">
        <is>
          <t>Cold Soldering</t>
        </is>
      </c>
      <c r="O2095" s="62" t="n">
        <v>540</v>
      </c>
      <c r="P2095" s="9" t="inlineStr">
        <is>
          <t>NSMP2305128834</t>
        </is>
      </c>
      <c r="Q2095" s="53">
        <f>MID(P2095,5,2)</f>
        <v/>
      </c>
      <c r="R2095" s="53">
        <f>MID(P2095,7,2)</f>
        <v/>
      </c>
      <c r="S2095" s="3" t="inlineStr">
        <is>
          <t>G2B</t>
        </is>
      </c>
      <c r="T2095" s="3" t="inlineStr">
        <is>
          <t>P2</t>
        </is>
      </c>
      <c r="U2095" s="3" t="inlineStr">
        <is>
          <t>P JB Cold Soldering</t>
        </is>
      </c>
      <c r="V2095" s="3" t="inlineStr">
        <is>
          <t>Soldering</t>
        </is>
      </c>
      <c r="W2095" s="3" t="inlineStr">
        <is>
          <t>Repair</t>
        </is>
      </c>
      <c r="X2095" s="18" t="n">
        <v>46168</v>
      </c>
      <c r="Y2095" s="73">
        <f>IF(X2095="","",X2095-A2095)</f>
        <v/>
      </c>
      <c r="Z2095" s="18" t="n">
        <v>46168</v>
      </c>
      <c r="AA2095" s="15" t="n"/>
      <c r="AB2095" s="15" t="n"/>
      <c r="AF2095">
        <f>IF(AND($F2095="Closed",$X2095&gt;=DATE(2026,5,1),$X2095&lt;=DATE(2026,5,31)),"Closed in May","Other")</f>
        <v/>
      </c>
    </row>
    <row r="2096">
      <c r="A2096" s="59" t="n">
        <v>46148</v>
      </c>
      <c r="B2096" s="3" t="n">
        <v>2026</v>
      </c>
      <c r="C2096" s="21" t="inlineStr">
        <is>
          <t>Continuum</t>
        </is>
      </c>
      <c r="D2096" s="3" t="inlineStr">
        <is>
          <t>Utility and C&amp;I</t>
        </is>
      </c>
      <c r="E2096" s="3" t="n"/>
      <c r="F2096" s="3" t="inlineStr">
        <is>
          <t>Closed</t>
        </is>
      </c>
      <c r="G2096" s="21" t="inlineStr">
        <is>
          <t>Amiya Ranjan Behera</t>
        </is>
      </c>
      <c r="H2096" s="21" t="n">
        <v>8917436223</v>
      </c>
      <c r="I2096" s="38" t="inlineStr">
        <is>
          <t>PE06052602</t>
        </is>
      </c>
      <c r="J2096" s="21" t="inlineStr">
        <is>
          <t>Diode Bypass Module Issue</t>
        </is>
      </c>
      <c r="K2096" s="21" t="inlineStr">
        <is>
          <t>Bhavnagar</t>
        </is>
      </c>
      <c r="L2096" s="21" t="inlineStr">
        <is>
          <t>Gujarat</t>
        </is>
      </c>
      <c r="M2096" s="9" t="inlineStr">
        <is>
          <t>PNR</t>
        </is>
      </c>
      <c r="N2096" s="19" t="inlineStr">
        <is>
          <t>JB Issue</t>
        </is>
      </c>
      <c r="O2096" s="62" t="n">
        <v>540</v>
      </c>
      <c r="P2096" s="9" t="inlineStr">
        <is>
          <t>NSMP2305129490</t>
        </is>
      </c>
      <c r="Q2096" s="53">
        <f>MID(P2096,5,2)</f>
        <v/>
      </c>
      <c r="R2096" s="53">
        <f>MID(P2096,7,2)</f>
        <v/>
      </c>
      <c r="S2096" s="3" t="inlineStr">
        <is>
          <t>G2B</t>
        </is>
      </c>
      <c r="T2096" s="3" t="inlineStr">
        <is>
          <t>P2</t>
        </is>
      </c>
      <c r="U2096" s="19" t="inlineStr">
        <is>
          <t>P &amp; N JB Issue</t>
        </is>
      </c>
      <c r="V2096" s="19" t="inlineStr">
        <is>
          <t>JB Changed</t>
        </is>
      </c>
      <c r="W2096" s="3" t="inlineStr">
        <is>
          <t>Repair</t>
        </is>
      </c>
      <c r="X2096" s="18" t="n">
        <v>46168</v>
      </c>
      <c r="Y2096" s="73">
        <f>IF(X2096="","",X2096-A2096)</f>
        <v/>
      </c>
      <c r="Z2096" s="18" t="n">
        <v>46168</v>
      </c>
      <c r="AA2096" s="15" t="n"/>
      <c r="AB2096" s="15" t="n"/>
      <c r="AF2096">
        <f>IF(AND($F2096="Closed",$X2096&gt;=DATE(2026,5,1),$X2096&lt;=DATE(2026,5,31)),"Closed in May","Other")</f>
        <v/>
      </c>
    </row>
    <row r="2097">
      <c r="A2097" s="59" t="n">
        <v>46148</v>
      </c>
      <c r="B2097" s="3" t="n">
        <v>2026</v>
      </c>
      <c r="C2097" s="21" t="inlineStr">
        <is>
          <t>Continuum</t>
        </is>
      </c>
      <c r="D2097" s="3" t="inlineStr">
        <is>
          <t>Utility and C&amp;I</t>
        </is>
      </c>
      <c r="E2097" s="3" t="n"/>
      <c r="F2097" s="3" t="inlineStr">
        <is>
          <t>Closed</t>
        </is>
      </c>
      <c r="G2097" s="21" t="inlineStr">
        <is>
          <t>Amiya Ranjan Behera</t>
        </is>
      </c>
      <c r="H2097" s="21" t="n">
        <v>8917436223</v>
      </c>
      <c r="I2097" s="38" t="inlineStr">
        <is>
          <t>PE06052602</t>
        </is>
      </c>
      <c r="J2097" s="21" t="inlineStr">
        <is>
          <t>Diode Bypass Module Issue</t>
        </is>
      </c>
      <c r="K2097" s="21" t="inlineStr">
        <is>
          <t>Bhavnagar</t>
        </is>
      </c>
      <c r="L2097" s="21" t="inlineStr">
        <is>
          <t>Gujarat</t>
        </is>
      </c>
      <c r="M2097" s="9" t="inlineStr">
        <is>
          <t>PR</t>
        </is>
      </c>
      <c r="N2097" s="3" t="inlineStr">
        <is>
          <t>JB Issue</t>
        </is>
      </c>
      <c r="O2097" s="62" t="n">
        <v>540</v>
      </c>
      <c r="P2097" s="9" t="inlineStr">
        <is>
          <t>NSMP2305129624</t>
        </is>
      </c>
      <c r="Q2097" s="53">
        <f>MID(P2097,5,2)</f>
        <v/>
      </c>
      <c r="R2097" s="53">
        <f>MID(P2097,7,2)</f>
        <v/>
      </c>
      <c r="S2097" s="3" t="inlineStr">
        <is>
          <t>G2B</t>
        </is>
      </c>
      <c r="T2097" s="3" t="inlineStr">
        <is>
          <t>P2</t>
        </is>
      </c>
      <c r="U2097" s="3" t="inlineStr">
        <is>
          <t>P JB Issue</t>
        </is>
      </c>
      <c r="V2097" s="15" t="inlineStr">
        <is>
          <t>JB Changed</t>
        </is>
      </c>
      <c r="W2097" s="3" t="inlineStr">
        <is>
          <t>Repair</t>
        </is>
      </c>
      <c r="X2097" s="18" t="n">
        <v>46168</v>
      </c>
      <c r="Y2097" s="73">
        <f>IF(X2097="","",X2097-A2097)</f>
        <v/>
      </c>
      <c r="Z2097" s="18" t="n">
        <v>46168</v>
      </c>
      <c r="AA2097" s="15" t="n"/>
      <c r="AB2097" s="15" t="n"/>
      <c r="AF2097">
        <f>IF(AND($F2097="Closed",$X2097&gt;=DATE(2026,5,1),$X2097&lt;=DATE(2026,5,31)),"Closed in May","Other")</f>
        <v/>
      </c>
    </row>
    <row r="2098">
      <c r="A2098" s="59" t="n">
        <v>46148</v>
      </c>
      <c r="B2098" s="3" t="n">
        <v>2026</v>
      </c>
      <c r="C2098" s="21" t="inlineStr">
        <is>
          <t>Continuum</t>
        </is>
      </c>
      <c r="D2098" s="3" t="inlineStr">
        <is>
          <t>Utility and C&amp;I</t>
        </is>
      </c>
      <c r="E2098" s="3" t="n"/>
      <c r="F2098" s="3" t="inlineStr">
        <is>
          <t>Closed</t>
        </is>
      </c>
      <c r="G2098" s="21" t="inlineStr">
        <is>
          <t>Amiya Ranjan Behera</t>
        </is>
      </c>
      <c r="H2098" s="21" t="n">
        <v>8917436223</v>
      </c>
      <c r="I2098" s="38" t="inlineStr">
        <is>
          <t>PE06052602</t>
        </is>
      </c>
      <c r="J2098" s="21" t="inlineStr">
        <is>
          <t>Diode Bypass Module Issue</t>
        </is>
      </c>
      <c r="K2098" s="21" t="inlineStr">
        <is>
          <t>Bhavnagar</t>
        </is>
      </c>
      <c r="L2098" s="21" t="inlineStr">
        <is>
          <t>Gujarat</t>
        </is>
      </c>
      <c r="M2098" s="9" t="inlineStr">
        <is>
          <t>NR</t>
        </is>
      </c>
      <c r="N2098" s="26" t="inlineStr">
        <is>
          <t>JB Issue</t>
        </is>
      </c>
      <c r="O2098" s="62" t="n">
        <v>540</v>
      </c>
      <c r="P2098" s="9" t="inlineStr">
        <is>
          <t>NSMP2305121845</t>
        </is>
      </c>
      <c r="Q2098" s="53">
        <f>MID(P2098,5,2)</f>
        <v/>
      </c>
      <c r="R2098" s="53">
        <f>MID(P2098,7,2)</f>
        <v/>
      </c>
      <c r="S2098" s="3" t="inlineStr">
        <is>
          <t>G2B</t>
        </is>
      </c>
      <c r="T2098" s="3" t="inlineStr">
        <is>
          <t>P2</t>
        </is>
      </c>
      <c r="U2098" s="19" t="inlineStr">
        <is>
          <t>N JB Issue</t>
        </is>
      </c>
      <c r="V2098" s="19" t="inlineStr">
        <is>
          <t>JB Changed</t>
        </is>
      </c>
      <c r="W2098" s="3" t="inlineStr">
        <is>
          <t>Repair</t>
        </is>
      </c>
      <c r="X2098" s="18" t="n">
        <v>46168</v>
      </c>
      <c r="Y2098" s="73">
        <f>IF(X2098="","",X2098-A2098)</f>
        <v/>
      </c>
      <c r="Z2098" s="18" t="n">
        <v>46168</v>
      </c>
      <c r="AA2098" s="15" t="n"/>
      <c r="AB2098" s="15" t="n"/>
      <c r="AF2098">
        <f>IF(AND($F2098="Closed",$X2098&gt;=DATE(2026,5,1),$X2098&lt;=DATE(2026,5,31)),"Closed in May","Other")</f>
        <v/>
      </c>
    </row>
    <row r="2099">
      <c r="A2099" s="59" t="n">
        <v>46148</v>
      </c>
      <c r="B2099" s="3" t="n">
        <v>2026</v>
      </c>
      <c r="C2099" s="21" t="inlineStr">
        <is>
          <t>Continuum</t>
        </is>
      </c>
      <c r="D2099" s="3" t="inlineStr">
        <is>
          <t>Utility and C&amp;I</t>
        </is>
      </c>
      <c r="E2099" s="3" t="n"/>
      <c r="F2099" s="3" t="inlineStr">
        <is>
          <t>Closed</t>
        </is>
      </c>
      <c r="G2099" s="21" t="inlineStr">
        <is>
          <t>Amiya Ranjan Behera</t>
        </is>
      </c>
      <c r="H2099" s="21" t="n">
        <v>8917436223</v>
      </c>
      <c r="I2099" s="38" t="inlineStr">
        <is>
          <t>PE06052602</t>
        </is>
      </c>
      <c r="J2099" s="21" t="inlineStr">
        <is>
          <t>Diode Bypass Module Issue</t>
        </is>
      </c>
      <c r="K2099" s="21" t="inlineStr">
        <is>
          <t>Bhavnagar</t>
        </is>
      </c>
      <c r="L2099" s="21" t="inlineStr">
        <is>
          <t>Gujarat</t>
        </is>
      </c>
      <c r="M2099" s="9" t="inlineStr">
        <is>
          <t>PS</t>
        </is>
      </c>
      <c r="N2099" s="3" t="inlineStr">
        <is>
          <t>Cold Soldering</t>
        </is>
      </c>
      <c r="O2099" s="62" t="n">
        <v>540</v>
      </c>
      <c r="P2099" s="9" t="inlineStr">
        <is>
          <t>NSMP2305131077</t>
        </is>
      </c>
      <c r="Q2099" s="53">
        <f>MID(P2099,5,2)</f>
        <v/>
      </c>
      <c r="R2099" s="53">
        <f>MID(P2099,7,2)</f>
        <v/>
      </c>
      <c r="S2099" s="3" t="inlineStr">
        <is>
          <t>G2B</t>
        </is>
      </c>
      <c r="T2099" s="3" t="inlineStr">
        <is>
          <t>P2</t>
        </is>
      </c>
      <c r="U2099" s="3" t="inlineStr">
        <is>
          <t>P JB Cold Soldering</t>
        </is>
      </c>
      <c r="V2099" s="3" t="inlineStr">
        <is>
          <t>Soldering</t>
        </is>
      </c>
      <c r="W2099" s="3" t="inlineStr">
        <is>
          <t>Repair</t>
        </is>
      </c>
      <c r="X2099" s="18" t="n">
        <v>46168</v>
      </c>
      <c r="Y2099" s="73">
        <f>IF(X2099="","",X2099-A2099)</f>
        <v/>
      </c>
      <c r="Z2099" s="18" t="n">
        <v>46168</v>
      </c>
      <c r="AA2099" s="15" t="n"/>
      <c r="AB2099" s="15" t="n"/>
      <c r="AF2099">
        <f>IF(AND($F2099="Closed",$X2099&gt;=DATE(2026,5,1),$X2099&lt;=DATE(2026,5,31)),"Closed in May","Other")</f>
        <v/>
      </c>
    </row>
    <row r="2100">
      <c r="A2100" s="59" t="n">
        <v>46148</v>
      </c>
      <c r="B2100" s="3" t="n">
        <v>2026</v>
      </c>
      <c r="C2100" s="21" t="inlineStr">
        <is>
          <t>Continuum</t>
        </is>
      </c>
      <c r="D2100" s="3" t="inlineStr">
        <is>
          <t>Utility and C&amp;I</t>
        </is>
      </c>
      <c r="E2100" s="3" t="n"/>
      <c r="F2100" s="3" t="inlineStr">
        <is>
          <t>Closed</t>
        </is>
      </c>
      <c r="G2100" s="21" t="inlineStr">
        <is>
          <t>Amiya Ranjan Behera</t>
        </is>
      </c>
      <c r="H2100" s="21" t="n">
        <v>8917436223</v>
      </c>
      <c r="I2100" s="38" t="inlineStr">
        <is>
          <t>PE06052602</t>
        </is>
      </c>
      <c r="J2100" s="21" t="inlineStr">
        <is>
          <t>Diode Bypass Module Issue</t>
        </is>
      </c>
      <c r="K2100" s="21" t="inlineStr">
        <is>
          <t>Bhavnagar</t>
        </is>
      </c>
      <c r="L2100" s="21" t="inlineStr">
        <is>
          <t>Gujarat</t>
        </is>
      </c>
      <c r="M2100" s="9" t="inlineStr">
        <is>
          <t>PS</t>
        </is>
      </c>
      <c r="N2100" s="3" t="inlineStr">
        <is>
          <t>Cold Soldering</t>
        </is>
      </c>
      <c r="O2100" s="62" t="n">
        <v>540</v>
      </c>
      <c r="P2100" s="9" t="inlineStr">
        <is>
          <t>NSMP2305130123</t>
        </is>
      </c>
      <c r="Q2100" s="53">
        <f>MID(P2100,5,2)</f>
        <v/>
      </c>
      <c r="R2100" s="53">
        <f>MID(P2100,7,2)</f>
        <v/>
      </c>
      <c r="S2100" s="3" t="inlineStr">
        <is>
          <t>G2B</t>
        </is>
      </c>
      <c r="T2100" s="3" t="inlineStr">
        <is>
          <t>P2</t>
        </is>
      </c>
      <c r="U2100" s="3" t="inlineStr">
        <is>
          <t>P JB Cold Soldering</t>
        </is>
      </c>
      <c r="V2100" s="3" t="inlineStr">
        <is>
          <t>Soldering</t>
        </is>
      </c>
      <c r="W2100" s="3" t="inlineStr">
        <is>
          <t>Repair</t>
        </is>
      </c>
      <c r="X2100" s="18" t="n">
        <v>46168</v>
      </c>
      <c r="Y2100" s="73">
        <f>IF(X2100="","",X2100-A2100)</f>
        <v/>
      </c>
      <c r="Z2100" s="18" t="n">
        <v>46168</v>
      </c>
      <c r="AA2100" s="15" t="n"/>
      <c r="AB2100" s="15" t="n"/>
      <c r="AF2100">
        <f>IF(AND($F2100="Closed",$X2100&gt;=DATE(2026,5,1),$X2100&lt;=DATE(2026,5,31)),"Closed in May","Other")</f>
        <v/>
      </c>
    </row>
    <row r="2101">
      <c r="A2101" s="59" t="n">
        <v>46148</v>
      </c>
      <c r="B2101" s="3" t="n">
        <v>2026</v>
      </c>
      <c r="C2101" s="21" t="inlineStr">
        <is>
          <t>Continuum</t>
        </is>
      </c>
      <c r="D2101" s="3" t="inlineStr">
        <is>
          <t>Utility and C&amp;I</t>
        </is>
      </c>
      <c r="E2101" s="3" t="n"/>
      <c r="F2101" s="3" t="inlineStr">
        <is>
          <t>Closed</t>
        </is>
      </c>
      <c r="G2101" s="21" t="inlineStr">
        <is>
          <t>Amiya Ranjan Behera</t>
        </is>
      </c>
      <c r="H2101" s="21" t="n">
        <v>8917436223</v>
      </c>
      <c r="I2101" s="38" t="inlineStr">
        <is>
          <t>PE06052602</t>
        </is>
      </c>
      <c r="J2101" s="21" t="inlineStr">
        <is>
          <t>Diode Bypass Module Issue</t>
        </is>
      </c>
      <c r="K2101" s="21" t="inlineStr">
        <is>
          <t>Bhavnagar</t>
        </is>
      </c>
      <c r="L2101" s="21" t="inlineStr">
        <is>
          <t>Gujarat</t>
        </is>
      </c>
      <c r="M2101" s="9" t="inlineStr">
        <is>
          <t>PS</t>
        </is>
      </c>
      <c r="N2101" s="3" t="inlineStr">
        <is>
          <t>Cold Soldering</t>
        </is>
      </c>
      <c r="O2101" s="62" t="n">
        <v>540</v>
      </c>
      <c r="P2101" s="9" t="inlineStr">
        <is>
          <t>NSMP2305129899</t>
        </is>
      </c>
      <c r="Q2101" s="53">
        <f>MID(P2101,5,2)</f>
        <v/>
      </c>
      <c r="R2101" s="53">
        <f>MID(P2101,7,2)</f>
        <v/>
      </c>
      <c r="S2101" s="3" t="inlineStr">
        <is>
          <t>G2B</t>
        </is>
      </c>
      <c r="T2101" s="3" t="inlineStr">
        <is>
          <t>P2</t>
        </is>
      </c>
      <c r="U2101" s="3" t="inlineStr">
        <is>
          <t>P JB Cold Soldering</t>
        </is>
      </c>
      <c r="V2101" s="3" t="inlineStr">
        <is>
          <t>Soldering</t>
        </is>
      </c>
      <c r="W2101" s="3" t="inlineStr">
        <is>
          <t>Repair</t>
        </is>
      </c>
      <c r="X2101" s="18" t="n">
        <v>46168</v>
      </c>
      <c r="Y2101" s="73">
        <f>IF(X2101="","",X2101-A2101)</f>
        <v/>
      </c>
      <c r="Z2101" s="18" t="n">
        <v>46168</v>
      </c>
      <c r="AA2101" s="15" t="n"/>
      <c r="AB2101" s="15" t="n"/>
      <c r="AF2101">
        <f>IF(AND($F2101="Closed",$X2101&gt;=DATE(2026,5,1),$X2101&lt;=DATE(2026,5,31)),"Closed in May","Other")</f>
        <v/>
      </c>
    </row>
    <row r="2102">
      <c r="A2102" s="93" t="n">
        <v>46162</v>
      </c>
      <c r="B2102" s="3" t="n">
        <v>2026</v>
      </c>
      <c r="C2102" s="21" t="inlineStr">
        <is>
          <t>True Sun Trading Company</t>
        </is>
      </c>
      <c r="D2102" s="3" t="inlineStr">
        <is>
          <t>Channel Sales</t>
        </is>
      </c>
      <c r="E2102" s="3" t="n"/>
      <c r="F2102" s="3" t="inlineStr">
        <is>
          <t>Closed</t>
        </is>
      </c>
      <c r="G2102" s="21" t="inlineStr">
        <is>
          <t>Sarath Ananda</t>
        </is>
      </c>
      <c r="H2102" s="21" t="n">
        <v>8848944464</v>
      </c>
      <c r="I2102" s="38" t="inlineStr">
        <is>
          <t>PE20052603</t>
        </is>
      </c>
      <c r="J2102" s="26" t="inlineStr">
        <is>
          <t>Low generation</t>
        </is>
      </c>
      <c r="K2102" s="21" t="inlineStr">
        <is>
          <t>TRIVANDRUM</t>
        </is>
      </c>
      <c r="L2102" s="21" t="inlineStr">
        <is>
          <t>Kerala</t>
        </is>
      </c>
      <c r="M2102" s="9" t="inlineStr">
        <is>
          <t>PS</t>
        </is>
      </c>
      <c r="N2102" s="3" t="inlineStr">
        <is>
          <t>Cold Soldering</t>
        </is>
      </c>
      <c r="O2102" s="62" t="n">
        <v>545</v>
      </c>
      <c r="P2102" s="8" t="inlineStr">
        <is>
          <t>NSMP2211206434</t>
        </is>
      </c>
      <c r="Q2102" s="53">
        <f>MID(P2102,5,2)</f>
        <v/>
      </c>
      <c r="R2102" s="53">
        <f>MID(P2102,7,2)</f>
        <v/>
      </c>
      <c r="S2102" s="3" t="inlineStr">
        <is>
          <t>G2B</t>
        </is>
      </c>
      <c r="T2102" s="3" t="inlineStr">
        <is>
          <t>P2</t>
        </is>
      </c>
      <c r="U2102" s="3" t="inlineStr">
        <is>
          <t>P JB Cold Soldering</t>
        </is>
      </c>
      <c r="V2102" s="3" t="inlineStr">
        <is>
          <t>Soldering</t>
        </is>
      </c>
      <c r="W2102" s="3" t="inlineStr">
        <is>
          <t>Repair</t>
        </is>
      </c>
      <c r="X2102" s="18" t="n">
        <v>46168</v>
      </c>
      <c r="Y2102" s="73">
        <f>IF(X2102="","",X2102-A2102)</f>
        <v/>
      </c>
      <c r="Z2102" s="18" t="n">
        <v>46168</v>
      </c>
      <c r="AA2102" s="15" t="n"/>
      <c r="AB2102" s="15" t="n"/>
      <c r="AF2102">
        <f>IF(AND($F2102="Closed",$X2102&gt;=DATE(2026,5,1),$X2102&lt;=DATE(2026,5,31)),"Closed in May","Other")</f>
        <v/>
      </c>
    </row>
    <row r="2103">
      <c r="A2103" s="59" t="n">
        <v>46149</v>
      </c>
      <c r="B2103" s="3" t="n">
        <v>2026</v>
      </c>
      <c r="C2103" s="21" t="inlineStr">
        <is>
          <t>True Sun Trading Company</t>
        </is>
      </c>
      <c r="D2103" s="3" t="inlineStr">
        <is>
          <t>Channel Sales</t>
        </is>
      </c>
      <c r="E2103" s="3" t="n"/>
      <c r="F2103" s="3" t="inlineStr">
        <is>
          <t>Closed</t>
        </is>
      </c>
      <c r="G2103" s="21" t="inlineStr">
        <is>
          <t>Sarath Ananda</t>
        </is>
      </c>
      <c r="H2103" s="21" t="n">
        <v>8848944464</v>
      </c>
      <c r="I2103" s="22" t="inlineStr">
        <is>
          <t>PE07052602</t>
        </is>
      </c>
      <c r="J2103" s="21" t="inlineStr">
        <is>
          <t>Low VOC</t>
        </is>
      </c>
      <c r="K2103" s="21" t="inlineStr">
        <is>
          <t xml:space="preserve">Thiruvalla </t>
        </is>
      </c>
      <c r="L2103" s="21" t="inlineStr">
        <is>
          <t>Kerala</t>
        </is>
      </c>
      <c r="M2103" s="9" t="inlineStr">
        <is>
          <t>PS</t>
        </is>
      </c>
      <c r="N2103" s="3" t="inlineStr">
        <is>
          <t>Cold Soldering</t>
        </is>
      </c>
      <c r="O2103" s="62" t="n">
        <v>515</v>
      </c>
      <c r="P2103" s="8" t="inlineStr">
        <is>
          <t>NSMP2303564668</t>
        </is>
      </c>
      <c r="Q2103" s="53">
        <f>MID(P2103,5,2)</f>
        <v/>
      </c>
      <c r="R2103" s="53">
        <f>MID(P2103,7,2)</f>
        <v/>
      </c>
      <c r="S2103" s="3" t="inlineStr">
        <is>
          <t>G2B</t>
        </is>
      </c>
      <c r="T2103" s="3" t="inlineStr">
        <is>
          <t>P2</t>
        </is>
      </c>
      <c r="U2103" s="3" t="inlineStr">
        <is>
          <t>P JB Cold Soldering</t>
        </is>
      </c>
      <c r="V2103" s="3" t="inlineStr">
        <is>
          <t>Soldering</t>
        </is>
      </c>
      <c r="W2103" s="3" t="inlineStr">
        <is>
          <t>Repair</t>
        </is>
      </c>
      <c r="X2103" s="18" t="n">
        <v>46168</v>
      </c>
      <c r="Y2103" s="73">
        <f>IF(X2103="","",X2103-A2103)</f>
        <v/>
      </c>
      <c r="Z2103" s="18" t="n">
        <v>46168</v>
      </c>
      <c r="AA2103" s="15" t="n"/>
      <c r="AB2103" s="15" t="n"/>
      <c r="AF2103">
        <f>IF(AND($F2103="Closed",$X2103&gt;=DATE(2026,5,1),$X2103&lt;=DATE(2026,5,31)),"Closed in May","Other")</f>
        <v/>
      </c>
    </row>
    <row r="2104">
      <c r="A2104" s="37" t="n">
        <v>46143</v>
      </c>
      <c r="B2104" s="3" t="n">
        <v>2026</v>
      </c>
      <c r="C2104" s="26" t="inlineStr">
        <is>
          <t>Yanara Power</t>
        </is>
      </c>
      <c r="D2104" s="3" t="inlineStr">
        <is>
          <t>Utility and C&amp;I</t>
        </is>
      </c>
      <c r="E2104" s="3" t="n"/>
      <c r="F2104" s="3" t="inlineStr">
        <is>
          <t>Closed</t>
        </is>
      </c>
      <c r="G2104" s="9" t="inlineStr">
        <is>
          <t xml:space="preserve">Ashish Jindal </t>
        </is>
      </c>
      <c r="H2104" s="26" t="n">
        <v>9983975581</v>
      </c>
      <c r="I2104" s="38" t="inlineStr">
        <is>
          <t>PE01052601</t>
        </is>
      </c>
      <c r="J2104" s="26" t="inlineStr">
        <is>
          <t>Multiple Issues</t>
        </is>
      </c>
      <c r="K2104" s="39" t="inlineStr">
        <is>
          <t>Holi</t>
        </is>
      </c>
      <c r="L2104" s="39" t="inlineStr">
        <is>
          <t>Maharashtra</t>
        </is>
      </c>
      <c r="M2104" s="46" t="inlineStr">
        <is>
          <t>PS</t>
        </is>
      </c>
      <c r="N2104" s="3" t="inlineStr">
        <is>
          <t>Cold Soldering</t>
        </is>
      </c>
      <c r="O2104" s="56" t="n">
        <v>575</v>
      </c>
      <c r="P2104" s="46" t="inlineStr">
        <is>
          <t>NSMI24070191193</t>
        </is>
      </c>
      <c r="Q2104" s="54">
        <f>MID(P2104,5,2)</f>
        <v/>
      </c>
      <c r="R2104" s="53">
        <f>MID(P2104,7,2)</f>
        <v/>
      </c>
      <c r="S2104" s="3" t="inlineStr">
        <is>
          <t>G2G</t>
        </is>
      </c>
      <c r="T2104" s="3" t="inlineStr">
        <is>
          <t>P4</t>
        </is>
      </c>
      <c r="U2104" s="19" t="inlineStr">
        <is>
          <t>P JB Cold Soldering</t>
        </is>
      </c>
      <c r="V2104" s="19" t="inlineStr">
        <is>
          <t>Soldering</t>
        </is>
      </c>
      <c r="W2104" s="3" t="inlineStr">
        <is>
          <t>Repair</t>
        </is>
      </c>
      <c r="X2104" s="18" t="n">
        <v>46168</v>
      </c>
      <c r="Y2104" s="73">
        <f>IF(X2104="","",X2104-A2104)</f>
        <v/>
      </c>
      <c r="Z2104" s="18" t="n">
        <v>46168</v>
      </c>
      <c r="AA2104" s="15" t="n"/>
      <c r="AB2104" s="15" t="n"/>
      <c r="AF2104">
        <f>IF(AND($F2104="Closed",$X2104&gt;=DATE(2026,5,1),$X2104&lt;=DATE(2026,5,31)),"Closed in May","Other")</f>
        <v/>
      </c>
    </row>
    <row r="2105">
      <c r="A2105" s="37" t="n">
        <v>46143</v>
      </c>
      <c r="B2105" s="3" t="n">
        <v>2026</v>
      </c>
      <c r="C2105" s="26" t="inlineStr">
        <is>
          <t>Yanara Power</t>
        </is>
      </c>
      <c r="D2105" s="3" t="inlineStr">
        <is>
          <t>Utility and C&amp;I</t>
        </is>
      </c>
      <c r="E2105" s="3" t="n"/>
      <c r="F2105" s="3" t="inlineStr">
        <is>
          <t>Closed</t>
        </is>
      </c>
      <c r="G2105" s="9" t="inlineStr">
        <is>
          <t xml:space="preserve">Ashish Jindal </t>
        </is>
      </c>
      <c r="H2105" s="26" t="n">
        <v>9983975581</v>
      </c>
      <c r="I2105" s="38" t="inlineStr">
        <is>
          <t>PE01052601</t>
        </is>
      </c>
      <c r="J2105" s="26" t="inlineStr">
        <is>
          <t>Multiple Issues</t>
        </is>
      </c>
      <c r="K2105" s="39" t="inlineStr">
        <is>
          <t>Holi</t>
        </is>
      </c>
      <c r="L2105" s="39" t="inlineStr">
        <is>
          <t>Maharashtra</t>
        </is>
      </c>
      <c r="M2105" s="46" t="inlineStr">
        <is>
          <t>NS</t>
        </is>
      </c>
      <c r="N2105" s="3" t="inlineStr">
        <is>
          <t>Cold Soldering</t>
        </is>
      </c>
      <c r="O2105" s="56" t="n">
        <v>575</v>
      </c>
      <c r="P2105" s="46" t="inlineStr">
        <is>
          <t>NSMI24070218849</t>
        </is>
      </c>
      <c r="Q2105" s="54">
        <f>MID(P2105,5,2)</f>
        <v/>
      </c>
      <c r="R2105" s="53">
        <f>MID(P2105,7,2)</f>
        <v/>
      </c>
      <c r="S2105" s="3" t="inlineStr">
        <is>
          <t>G2G</t>
        </is>
      </c>
      <c r="T2105" s="3" t="inlineStr">
        <is>
          <t>P4</t>
        </is>
      </c>
      <c r="U2105" s="3" t="inlineStr">
        <is>
          <t>N JB Cold Soldering</t>
        </is>
      </c>
      <c r="V2105" s="3" t="inlineStr">
        <is>
          <t>Soldering</t>
        </is>
      </c>
      <c r="W2105" s="3" t="inlineStr">
        <is>
          <t>Repair</t>
        </is>
      </c>
      <c r="X2105" s="18" t="n">
        <v>46168</v>
      </c>
      <c r="Y2105" s="73">
        <f>IF(X2105="","",X2105-A2105)</f>
        <v/>
      </c>
      <c r="Z2105" s="18" t="n">
        <v>46168</v>
      </c>
      <c r="AA2105" s="15" t="n"/>
      <c r="AB2105" s="15" t="n"/>
      <c r="AF2105">
        <f>IF(AND($F2105="Closed",$X2105&gt;=DATE(2026,5,1),$X2105&lt;=DATE(2026,5,31)),"Closed in May","Other")</f>
        <v/>
      </c>
    </row>
    <row r="2106">
      <c r="A2106" s="37" t="n">
        <v>46143</v>
      </c>
      <c r="B2106" s="3" t="n">
        <v>2026</v>
      </c>
      <c r="C2106" s="26" t="inlineStr">
        <is>
          <t>Yanara Power</t>
        </is>
      </c>
      <c r="D2106" s="3" t="inlineStr">
        <is>
          <t>Utility and C&amp;I</t>
        </is>
      </c>
      <c r="E2106" s="3" t="n"/>
      <c r="F2106" s="3" t="inlineStr">
        <is>
          <t>Closed</t>
        </is>
      </c>
      <c r="G2106" s="9" t="inlineStr">
        <is>
          <t xml:space="preserve">Ashish Jindal </t>
        </is>
      </c>
      <c r="H2106" s="26" t="n">
        <v>9983975581</v>
      </c>
      <c r="I2106" s="38" t="inlineStr">
        <is>
          <t>PE01052601</t>
        </is>
      </c>
      <c r="J2106" s="26" t="inlineStr">
        <is>
          <t>Multiple Issues</t>
        </is>
      </c>
      <c r="K2106" s="39" t="inlineStr">
        <is>
          <t>Holi</t>
        </is>
      </c>
      <c r="L2106" s="39" t="inlineStr">
        <is>
          <t>Maharashtra</t>
        </is>
      </c>
      <c r="M2106" s="46" t="inlineStr">
        <is>
          <t>PS</t>
        </is>
      </c>
      <c r="N2106" s="3" t="inlineStr">
        <is>
          <t>Cold Soldering</t>
        </is>
      </c>
      <c r="O2106" s="56" t="n">
        <v>575</v>
      </c>
      <c r="P2106" s="46" t="inlineStr">
        <is>
          <t>NSMI24070218802</t>
        </is>
      </c>
      <c r="Q2106" s="54">
        <f>MID(P2106,5,2)</f>
        <v/>
      </c>
      <c r="R2106" s="53">
        <f>MID(P2106,7,2)</f>
        <v/>
      </c>
      <c r="S2106" s="3" t="inlineStr">
        <is>
          <t>G2G</t>
        </is>
      </c>
      <c r="T2106" s="3" t="inlineStr">
        <is>
          <t>P4</t>
        </is>
      </c>
      <c r="U2106" s="19" t="inlineStr">
        <is>
          <t>P JB Cold Soldering</t>
        </is>
      </c>
      <c r="V2106" s="19" t="inlineStr">
        <is>
          <t>Soldering</t>
        </is>
      </c>
      <c r="W2106" s="3" t="inlineStr">
        <is>
          <t>Repair</t>
        </is>
      </c>
      <c r="X2106" s="18" t="n">
        <v>46168</v>
      </c>
      <c r="Y2106" s="73">
        <f>IF(X2106="","",X2106-A2106)</f>
        <v/>
      </c>
      <c r="Z2106" s="18" t="n">
        <v>46168</v>
      </c>
      <c r="AA2106" s="15" t="n"/>
      <c r="AB2106" s="15" t="n"/>
      <c r="AF2106">
        <f>IF(AND($F2106="Closed",$X2106&gt;=DATE(2026,5,1),$X2106&lt;=DATE(2026,5,31)),"Closed in May","Other")</f>
        <v/>
      </c>
    </row>
    <row r="2107">
      <c r="A2107" s="37" t="n">
        <v>46143</v>
      </c>
      <c r="B2107" s="3" t="n">
        <v>2026</v>
      </c>
      <c r="C2107" s="26" t="inlineStr">
        <is>
          <t>Yanara Power</t>
        </is>
      </c>
      <c r="D2107" s="3" t="inlineStr">
        <is>
          <t>Utility and C&amp;I</t>
        </is>
      </c>
      <c r="E2107" s="3" t="n"/>
      <c r="F2107" s="3" t="inlineStr">
        <is>
          <t>Closed</t>
        </is>
      </c>
      <c r="G2107" s="9" t="inlineStr">
        <is>
          <t xml:space="preserve">Ashish Jindal </t>
        </is>
      </c>
      <c r="H2107" s="26" t="n">
        <v>9983975581</v>
      </c>
      <c r="I2107" s="38" t="inlineStr">
        <is>
          <t>PE01052601</t>
        </is>
      </c>
      <c r="J2107" s="26" t="inlineStr">
        <is>
          <t>Multiple Issues</t>
        </is>
      </c>
      <c r="K2107" s="39" t="inlineStr">
        <is>
          <t>Holi</t>
        </is>
      </c>
      <c r="L2107" s="39" t="inlineStr">
        <is>
          <t>Maharashtra</t>
        </is>
      </c>
      <c r="M2107" s="46" t="inlineStr">
        <is>
          <t>PS</t>
        </is>
      </c>
      <c r="N2107" s="3" t="inlineStr">
        <is>
          <t>Cold Soldering</t>
        </is>
      </c>
      <c r="O2107" s="56" t="n">
        <v>575</v>
      </c>
      <c r="P2107" s="46" t="inlineStr">
        <is>
          <t>NSMI24070216434</t>
        </is>
      </c>
      <c r="Q2107" s="54">
        <f>MID(P2107,5,2)</f>
        <v/>
      </c>
      <c r="R2107" s="53">
        <f>MID(P2107,7,2)</f>
        <v/>
      </c>
      <c r="S2107" s="3" t="inlineStr">
        <is>
          <t>G2G</t>
        </is>
      </c>
      <c r="T2107" s="3" t="inlineStr">
        <is>
          <t>P4</t>
        </is>
      </c>
      <c r="U2107" s="19" t="inlineStr">
        <is>
          <t>P JB Cold Soldering</t>
        </is>
      </c>
      <c r="V2107" s="19" t="inlineStr">
        <is>
          <t>Soldering</t>
        </is>
      </c>
      <c r="W2107" s="3" t="inlineStr">
        <is>
          <t>Repair</t>
        </is>
      </c>
      <c r="X2107" s="18" t="n">
        <v>46168</v>
      </c>
      <c r="Y2107" s="73">
        <f>IF(X2107="","",X2107-A2107)</f>
        <v/>
      </c>
      <c r="Z2107" s="18" t="n">
        <v>46168</v>
      </c>
      <c r="AA2107" s="15" t="n"/>
      <c r="AB2107" s="15" t="n"/>
      <c r="AF2107">
        <f>IF(AND($F2107="Closed",$X2107&gt;=DATE(2026,5,1),$X2107&lt;=DATE(2026,5,31)),"Closed in May","Other")</f>
        <v/>
      </c>
    </row>
    <row r="2108">
      <c r="A2108" s="37" t="n">
        <v>46143</v>
      </c>
      <c r="B2108" s="3" t="n">
        <v>2026</v>
      </c>
      <c r="C2108" s="26" t="inlineStr">
        <is>
          <t>Yanara Power</t>
        </is>
      </c>
      <c r="D2108" s="3" t="inlineStr">
        <is>
          <t>Utility and C&amp;I</t>
        </is>
      </c>
      <c r="E2108" s="3" t="n"/>
      <c r="F2108" s="3" t="inlineStr">
        <is>
          <t>Closed</t>
        </is>
      </c>
      <c r="G2108" s="9" t="inlineStr">
        <is>
          <t xml:space="preserve">Ashish Jindal </t>
        </is>
      </c>
      <c r="H2108" s="26" t="n">
        <v>9983975581</v>
      </c>
      <c r="I2108" s="38" t="inlineStr">
        <is>
          <t>PE01052601</t>
        </is>
      </c>
      <c r="J2108" s="26" t="inlineStr">
        <is>
          <t>Multiple Issues</t>
        </is>
      </c>
      <c r="K2108" s="39" t="inlineStr">
        <is>
          <t>Holi</t>
        </is>
      </c>
      <c r="L2108" s="39" t="inlineStr">
        <is>
          <t>Maharashtra</t>
        </is>
      </c>
      <c r="M2108" s="46" t="inlineStr">
        <is>
          <t>PNS</t>
        </is>
      </c>
      <c r="N2108" s="3" t="inlineStr">
        <is>
          <t>Cold Soldering</t>
        </is>
      </c>
      <c r="O2108" s="56" t="n">
        <v>575</v>
      </c>
      <c r="P2108" s="46" t="inlineStr">
        <is>
          <t>NSMI24070216718</t>
        </is>
      </c>
      <c r="Q2108" s="54">
        <f>MID(P2108,5,2)</f>
        <v/>
      </c>
      <c r="R2108" s="53">
        <f>MID(P2108,7,2)</f>
        <v/>
      </c>
      <c r="S2108" s="3" t="inlineStr">
        <is>
          <t>G2G</t>
        </is>
      </c>
      <c r="T2108" s="3" t="inlineStr">
        <is>
          <t>P4</t>
        </is>
      </c>
      <c r="U2108" s="3" t="inlineStr">
        <is>
          <t>P &amp; N JB Cold Soldering</t>
        </is>
      </c>
      <c r="V2108" s="3" t="inlineStr">
        <is>
          <t>Soldering</t>
        </is>
      </c>
      <c r="W2108" s="3" t="inlineStr">
        <is>
          <t>Repair</t>
        </is>
      </c>
      <c r="X2108" s="18" t="n">
        <v>46168</v>
      </c>
      <c r="Y2108" s="73">
        <f>IF(X2108="","",X2108-A2108)</f>
        <v/>
      </c>
      <c r="Z2108" s="18" t="n">
        <v>46168</v>
      </c>
      <c r="AA2108" s="15" t="n"/>
      <c r="AB2108" s="15" t="n"/>
      <c r="AF2108">
        <f>IF(AND($F2108="Closed",$X2108&gt;=DATE(2026,5,1),$X2108&lt;=DATE(2026,5,31)),"Closed in May","Other")</f>
        <v/>
      </c>
    </row>
    <row r="2109">
      <c r="A2109" s="37" t="n">
        <v>46143</v>
      </c>
      <c r="B2109" s="3" t="n">
        <v>2026</v>
      </c>
      <c r="C2109" s="26" t="inlineStr">
        <is>
          <t>Yanara Power</t>
        </is>
      </c>
      <c r="D2109" s="3" t="inlineStr">
        <is>
          <t>Utility and C&amp;I</t>
        </is>
      </c>
      <c r="E2109" s="3" t="n"/>
      <c r="F2109" s="3" t="inlineStr">
        <is>
          <t>Closed</t>
        </is>
      </c>
      <c r="G2109" s="9" t="inlineStr">
        <is>
          <t xml:space="preserve">Ashish Jindal </t>
        </is>
      </c>
      <c r="H2109" s="26" t="n">
        <v>9983975581</v>
      </c>
      <c r="I2109" s="38" t="inlineStr">
        <is>
          <t>PE01052601</t>
        </is>
      </c>
      <c r="J2109" s="26" t="inlineStr">
        <is>
          <t>Multiple Issues</t>
        </is>
      </c>
      <c r="K2109" s="39" t="inlineStr">
        <is>
          <t>Holi</t>
        </is>
      </c>
      <c r="L2109" s="39" t="inlineStr">
        <is>
          <t>Maharashtra</t>
        </is>
      </c>
      <c r="M2109" s="46" t="inlineStr">
        <is>
          <t>PS</t>
        </is>
      </c>
      <c r="N2109" s="3" t="inlineStr">
        <is>
          <t>Cold Soldering</t>
        </is>
      </c>
      <c r="O2109" s="56" t="n">
        <v>575</v>
      </c>
      <c r="P2109" s="46" t="inlineStr">
        <is>
          <t>NSMI24070216306</t>
        </is>
      </c>
      <c r="Q2109" s="54">
        <f>MID(P2109,5,2)</f>
        <v/>
      </c>
      <c r="R2109" s="53">
        <f>MID(P2109,7,2)</f>
        <v/>
      </c>
      <c r="S2109" s="3" t="inlineStr">
        <is>
          <t>G2G</t>
        </is>
      </c>
      <c r="T2109" s="3" t="inlineStr">
        <is>
          <t>P4</t>
        </is>
      </c>
      <c r="U2109" s="19" t="inlineStr">
        <is>
          <t>P JB Cold Soldering</t>
        </is>
      </c>
      <c r="V2109" s="19" t="inlineStr">
        <is>
          <t>Soldering</t>
        </is>
      </c>
      <c r="W2109" s="3" t="inlineStr">
        <is>
          <t>Repair</t>
        </is>
      </c>
      <c r="X2109" s="18" t="n">
        <v>46168</v>
      </c>
      <c r="Y2109" s="73">
        <f>IF(X2109="","",X2109-A2109)</f>
        <v/>
      </c>
      <c r="Z2109" s="18" t="n">
        <v>46168</v>
      </c>
      <c r="AA2109" s="15" t="n"/>
      <c r="AB2109" s="15" t="n"/>
      <c r="AF2109">
        <f>IF(AND($F2109="Closed",$X2109&gt;=DATE(2026,5,1),$X2109&lt;=DATE(2026,5,31)),"Closed in May","Other")</f>
        <v/>
      </c>
    </row>
    <row r="2110">
      <c r="A2110" s="37" t="n">
        <v>46143</v>
      </c>
      <c r="B2110" s="3" t="n">
        <v>2026</v>
      </c>
      <c r="C2110" s="26" t="inlineStr">
        <is>
          <t>Yanara Power</t>
        </is>
      </c>
      <c r="D2110" s="3" t="inlineStr">
        <is>
          <t>Utility and C&amp;I</t>
        </is>
      </c>
      <c r="E2110" s="3" t="n"/>
      <c r="F2110" s="3" t="inlineStr">
        <is>
          <t>Closed</t>
        </is>
      </c>
      <c r="G2110" s="9" t="inlineStr">
        <is>
          <t xml:space="preserve">Ashish Jindal </t>
        </is>
      </c>
      <c r="H2110" s="26" t="n">
        <v>9983975581</v>
      </c>
      <c r="I2110" s="38" t="inlineStr">
        <is>
          <t>PE01052601</t>
        </is>
      </c>
      <c r="J2110" s="26" t="inlineStr">
        <is>
          <t>Multiple Issues</t>
        </is>
      </c>
      <c r="K2110" s="39" t="inlineStr">
        <is>
          <t>Holi</t>
        </is>
      </c>
      <c r="L2110" s="39" t="inlineStr">
        <is>
          <t>Maharashtra</t>
        </is>
      </c>
      <c r="M2110" s="46" t="inlineStr">
        <is>
          <t>PS</t>
        </is>
      </c>
      <c r="N2110" s="3" t="inlineStr">
        <is>
          <t>Cold Soldering</t>
        </is>
      </c>
      <c r="O2110" s="56" t="n">
        <v>575</v>
      </c>
      <c r="P2110" s="46" t="inlineStr">
        <is>
          <t>NSMI24070182274</t>
        </is>
      </c>
      <c r="Q2110" s="54">
        <f>MID(P2110,5,2)</f>
        <v/>
      </c>
      <c r="R2110" s="53">
        <f>MID(P2110,7,2)</f>
        <v/>
      </c>
      <c r="S2110" s="3" t="inlineStr">
        <is>
          <t>G2G</t>
        </is>
      </c>
      <c r="T2110" s="3" t="inlineStr">
        <is>
          <t>P4</t>
        </is>
      </c>
      <c r="U2110" s="19" t="inlineStr">
        <is>
          <t>P JB Cold Soldering</t>
        </is>
      </c>
      <c r="V2110" s="19" t="inlineStr">
        <is>
          <t>Soldering</t>
        </is>
      </c>
      <c r="W2110" s="3" t="inlineStr">
        <is>
          <t>Repair</t>
        </is>
      </c>
      <c r="X2110" s="18" t="n">
        <v>46168</v>
      </c>
      <c r="Y2110" s="73">
        <f>IF(X2110="","",X2110-A2110)</f>
        <v/>
      </c>
      <c r="Z2110" s="18" t="n">
        <v>46168</v>
      </c>
      <c r="AA2110" s="15" t="n"/>
      <c r="AB2110" s="15" t="n"/>
      <c r="AF2110">
        <f>IF(AND($F2110="Closed",$X2110&gt;=DATE(2026,5,1),$X2110&lt;=DATE(2026,5,31)),"Closed in May","Other")</f>
        <v/>
      </c>
    </row>
    <row r="2111">
      <c r="A2111" s="37" t="n">
        <v>46143</v>
      </c>
      <c r="B2111" s="3" t="n">
        <v>2026</v>
      </c>
      <c r="C2111" s="26" t="inlineStr">
        <is>
          <t>Yanara Power</t>
        </is>
      </c>
      <c r="D2111" s="3" t="inlineStr">
        <is>
          <t>Utility and C&amp;I</t>
        </is>
      </c>
      <c r="E2111" s="3" t="n"/>
      <c r="F2111" s="3" t="inlineStr">
        <is>
          <t>Closed</t>
        </is>
      </c>
      <c r="G2111" s="9" t="inlineStr">
        <is>
          <t xml:space="preserve">Ashish Jindal </t>
        </is>
      </c>
      <c r="H2111" s="26" t="n">
        <v>9983975581</v>
      </c>
      <c r="I2111" s="38" t="inlineStr">
        <is>
          <t>PE01052601</t>
        </is>
      </c>
      <c r="J2111" s="26" t="inlineStr">
        <is>
          <t>Multiple Issues</t>
        </is>
      </c>
      <c r="K2111" s="39" t="inlineStr">
        <is>
          <t>Holi</t>
        </is>
      </c>
      <c r="L2111" s="39" t="inlineStr">
        <is>
          <t>Maharashtra</t>
        </is>
      </c>
      <c r="M2111" s="46" t="inlineStr">
        <is>
          <t>PS</t>
        </is>
      </c>
      <c r="N2111" s="3" t="inlineStr">
        <is>
          <t>Cold Soldering</t>
        </is>
      </c>
      <c r="O2111" s="56" t="n">
        <v>575</v>
      </c>
      <c r="P2111" s="46" t="inlineStr">
        <is>
          <t>NSMI24070176762</t>
        </is>
      </c>
      <c r="Q2111" s="54">
        <f>MID(P2111,5,2)</f>
        <v/>
      </c>
      <c r="R2111" s="53">
        <f>MID(P2111,7,2)</f>
        <v/>
      </c>
      <c r="S2111" s="3" t="inlineStr">
        <is>
          <t>G2G</t>
        </is>
      </c>
      <c r="T2111" s="3" t="inlineStr">
        <is>
          <t>P4</t>
        </is>
      </c>
      <c r="U2111" s="19" t="inlineStr">
        <is>
          <t>P JB Cold Soldering</t>
        </is>
      </c>
      <c r="V2111" s="19" t="inlineStr">
        <is>
          <t>Soldering</t>
        </is>
      </c>
      <c r="W2111" s="3" t="inlineStr">
        <is>
          <t>Repair</t>
        </is>
      </c>
      <c r="X2111" s="18" t="n">
        <v>46168</v>
      </c>
      <c r="Y2111" s="73">
        <f>IF(X2111="","",X2111-A2111)</f>
        <v/>
      </c>
      <c r="Z2111" s="18" t="n">
        <v>46168</v>
      </c>
      <c r="AA2111" s="15" t="n"/>
      <c r="AB2111" s="15" t="n"/>
      <c r="AF2111">
        <f>IF(AND($F2111="Closed",$X2111&gt;=DATE(2026,5,1),$X2111&lt;=DATE(2026,5,31)),"Closed in May","Other")</f>
        <v/>
      </c>
    </row>
    <row r="2112">
      <c r="A2112" s="37" t="n">
        <v>46143</v>
      </c>
      <c r="B2112" s="3" t="n">
        <v>2026</v>
      </c>
      <c r="C2112" s="26" t="inlineStr">
        <is>
          <t>Yanara Power</t>
        </is>
      </c>
      <c r="D2112" s="3" t="inlineStr">
        <is>
          <t>Utility and C&amp;I</t>
        </is>
      </c>
      <c r="E2112" s="3" t="n"/>
      <c r="F2112" s="3" t="inlineStr">
        <is>
          <t>Closed</t>
        </is>
      </c>
      <c r="G2112" s="9" t="inlineStr">
        <is>
          <t xml:space="preserve">Ashish Jindal </t>
        </is>
      </c>
      <c r="H2112" s="26" t="n">
        <v>9983975581</v>
      </c>
      <c r="I2112" s="38" t="inlineStr">
        <is>
          <t>PE01052601</t>
        </is>
      </c>
      <c r="J2112" s="26" t="inlineStr">
        <is>
          <t>Multiple Issues</t>
        </is>
      </c>
      <c r="K2112" s="39" t="inlineStr">
        <is>
          <t>Holi</t>
        </is>
      </c>
      <c r="L2112" s="39" t="inlineStr">
        <is>
          <t>Maharashtra</t>
        </is>
      </c>
      <c r="M2112" s="46" t="inlineStr">
        <is>
          <t>NS</t>
        </is>
      </c>
      <c r="N2112" s="3" t="inlineStr">
        <is>
          <t>Cold Soldering</t>
        </is>
      </c>
      <c r="O2112" s="56" t="n">
        <v>575</v>
      </c>
      <c r="P2112" s="46" t="inlineStr">
        <is>
          <t>NSMI24070181740</t>
        </is>
      </c>
      <c r="Q2112" s="54">
        <f>MID(P2112,5,2)</f>
        <v/>
      </c>
      <c r="R2112" s="53">
        <f>MID(P2112,7,2)</f>
        <v/>
      </c>
      <c r="S2112" s="3" t="inlineStr">
        <is>
          <t>G2G</t>
        </is>
      </c>
      <c r="T2112" s="3" t="inlineStr">
        <is>
          <t>P4</t>
        </is>
      </c>
      <c r="U2112" s="3" t="inlineStr">
        <is>
          <t>N JB Cold Soldering</t>
        </is>
      </c>
      <c r="V2112" s="3" t="inlineStr">
        <is>
          <t>Soldering</t>
        </is>
      </c>
      <c r="W2112" s="3" t="inlineStr">
        <is>
          <t>Repair</t>
        </is>
      </c>
      <c r="X2112" s="18" t="n">
        <v>46168</v>
      </c>
      <c r="Y2112" s="73">
        <f>IF(X2112="","",X2112-A2112)</f>
        <v/>
      </c>
      <c r="Z2112" s="18" t="n">
        <v>46168</v>
      </c>
      <c r="AA2112" s="15" t="n"/>
      <c r="AB2112" s="15" t="n"/>
      <c r="AF2112">
        <f>IF(AND($F2112="Closed",$X2112&gt;=DATE(2026,5,1),$X2112&lt;=DATE(2026,5,31)),"Closed in May","Other")</f>
        <v/>
      </c>
    </row>
    <row r="2113">
      <c r="A2113" s="37" t="n">
        <v>46143</v>
      </c>
      <c r="B2113" s="3" t="n">
        <v>2026</v>
      </c>
      <c r="C2113" s="26" t="inlineStr">
        <is>
          <t>Yanara Power</t>
        </is>
      </c>
      <c r="D2113" s="3" t="inlineStr">
        <is>
          <t>Utility and C&amp;I</t>
        </is>
      </c>
      <c r="E2113" s="3" t="n"/>
      <c r="F2113" s="3" t="inlineStr">
        <is>
          <t>Closed</t>
        </is>
      </c>
      <c r="G2113" s="9" t="inlineStr">
        <is>
          <t xml:space="preserve">Ashish Jindal </t>
        </is>
      </c>
      <c r="H2113" s="26" t="n">
        <v>9983975581</v>
      </c>
      <c r="I2113" s="38" t="inlineStr">
        <is>
          <t>PE01052601</t>
        </is>
      </c>
      <c r="J2113" s="26" t="inlineStr">
        <is>
          <t>Multiple Issues</t>
        </is>
      </c>
      <c r="K2113" s="39" t="inlineStr">
        <is>
          <t>Holi</t>
        </is>
      </c>
      <c r="L2113" s="39" t="inlineStr">
        <is>
          <t>Maharashtra</t>
        </is>
      </c>
      <c r="M2113" s="46" t="inlineStr">
        <is>
          <t>PS</t>
        </is>
      </c>
      <c r="N2113" s="3" t="inlineStr">
        <is>
          <t>Cold Soldering</t>
        </is>
      </c>
      <c r="O2113" s="56" t="n">
        <v>575</v>
      </c>
      <c r="P2113" s="46" t="inlineStr">
        <is>
          <t>NSMI24070181761</t>
        </is>
      </c>
      <c r="Q2113" s="54">
        <f>MID(P2113,5,2)</f>
        <v/>
      </c>
      <c r="R2113" s="53">
        <f>MID(P2113,7,2)</f>
        <v/>
      </c>
      <c r="S2113" s="3" t="inlineStr">
        <is>
          <t>G2G</t>
        </is>
      </c>
      <c r="T2113" s="3" t="inlineStr">
        <is>
          <t>P4</t>
        </is>
      </c>
      <c r="U2113" s="19" t="inlineStr">
        <is>
          <t>P JB Cold Soldering</t>
        </is>
      </c>
      <c r="V2113" s="19" t="inlineStr">
        <is>
          <t>Soldering</t>
        </is>
      </c>
      <c r="W2113" s="3" t="inlineStr">
        <is>
          <t>Repair</t>
        </is>
      </c>
      <c r="X2113" s="18" t="n">
        <v>46168</v>
      </c>
      <c r="Y2113" s="73">
        <f>IF(X2113="","",X2113-A2113)</f>
        <v/>
      </c>
      <c r="Z2113" s="18" t="n">
        <v>46168</v>
      </c>
      <c r="AA2113" s="15" t="n"/>
      <c r="AB2113" s="15" t="n"/>
      <c r="AF2113">
        <f>IF(AND($F2113="Closed",$X2113&gt;=DATE(2026,5,1),$X2113&lt;=DATE(2026,5,31)),"Closed in May","Other")</f>
        <v/>
      </c>
    </row>
    <row r="2114">
      <c r="A2114" s="37" t="n">
        <v>46143</v>
      </c>
      <c r="B2114" s="3" t="n">
        <v>2026</v>
      </c>
      <c r="C2114" s="26" t="inlineStr">
        <is>
          <t>Yanara Power</t>
        </is>
      </c>
      <c r="D2114" s="3" t="inlineStr">
        <is>
          <t>Utility and C&amp;I</t>
        </is>
      </c>
      <c r="E2114" s="3" t="n"/>
      <c r="F2114" s="3" t="inlineStr">
        <is>
          <t>Closed</t>
        </is>
      </c>
      <c r="G2114" s="9" t="inlineStr">
        <is>
          <t xml:space="preserve">Ashish Jindal </t>
        </is>
      </c>
      <c r="H2114" s="26" t="n">
        <v>9983975581</v>
      </c>
      <c r="I2114" s="38" t="inlineStr">
        <is>
          <t>PE01052601</t>
        </is>
      </c>
      <c r="J2114" s="26" t="inlineStr">
        <is>
          <t>Multiple Issues</t>
        </is>
      </c>
      <c r="K2114" s="39" t="inlineStr">
        <is>
          <t>Holi</t>
        </is>
      </c>
      <c r="L2114" s="39" t="inlineStr">
        <is>
          <t>Maharashtra</t>
        </is>
      </c>
      <c r="M2114" s="46" t="inlineStr">
        <is>
          <t>PS</t>
        </is>
      </c>
      <c r="N2114" s="3" t="inlineStr">
        <is>
          <t>Cold Soldering</t>
        </is>
      </c>
      <c r="O2114" s="56" t="n">
        <v>575</v>
      </c>
      <c r="P2114" s="46" t="inlineStr">
        <is>
          <t>NSMI24070181680</t>
        </is>
      </c>
      <c r="Q2114" s="54">
        <f>MID(P2114,5,2)</f>
        <v/>
      </c>
      <c r="R2114" s="53">
        <f>MID(P2114,7,2)</f>
        <v/>
      </c>
      <c r="S2114" s="3" t="inlineStr">
        <is>
          <t>G2G</t>
        </is>
      </c>
      <c r="T2114" s="3" t="inlineStr">
        <is>
          <t>P4</t>
        </is>
      </c>
      <c r="U2114" s="19" t="inlineStr">
        <is>
          <t>P JB Cold Soldering</t>
        </is>
      </c>
      <c r="V2114" s="19" t="inlineStr">
        <is>
          <t>Soldering</t>
        </is>
      </c>
      <c r="W2114" s="3" t="inlineStr">
        <is>
          <t>Repair</t>
        </is>
      </c>
      <c r="X2114" s="18" t="n">
        <v>46168</v>
      </c>
      <c r="Y2114" s="73">
        <f>IF(X2114="","",X2114-A2114)</f>
        <v/>
      </c>
      <c r="Z2114" s="18" t="n">
        <v>46168</v>
      </c>
      <c r="AA2114" s="15" t="n"/>
      <c r="AB2114" s="15" t="n"/>
      <c r="AF2114">
        <f>IF(AND($F2114="Closed",$X2114&gt;=DATE(2026,5,1),$X2114&lt;=DATE(2026,5,31)),"Closed in May","Other")</f>
        <v/>
      </c>
    </row>
    <row r="2115">
      <c r="A2115" s="37" t="n">
        <v>46143</v>
      </c>
      <c r="B2115" s="3" t="n">
        <v>2026</v>
      </c>
      <c r="C2115" s="26" t="inlineStr">
        <is>
          <t>Yanara Power</t>
        </is>
      </c>
      <c r="D2115" s="3" t="inlineStr">
        <is>
          <t>Utility and C&amp;I</t>
        </is>
      </c>
      <c r="E2115" s="3" t="n"/>
      <c r="F2115" s="3" t="inlineStr">
        <is>
          <t>Closed</t>
        </is>
      </c>
      <c r="G2115" s="9" t="inlineStr">
        <is>
          <t xml:space="preserve">Ashish Jindal </t>
        </is>
      </c>
      <c r="H2115" s="26" t="n">
        <v>9983975581</v>
      </c>
      <c r="I2115" s="38" t="inlineStr">
        <is>
          <t>PE01052601</t>
        </is>
      </c>
      <c r="J2115" s="26" t="inlineStr">
        <is>
          <t>Multiple Issues</t>
        </is>
      </c>
      <c r="K2115" s="39" t="inlineStr">
        <is>
          <t>Holi</t>
        </is>
      </c>
      <c r="L2115" s="39" t="inlineStr">
        <is>
          <t>Maharashtra</t>
        </is>
      </c>
      <c r="M2115" s="46" t="inlineStr">
        <is>
          <t>PS</t>
        </is>
      </c>
      <c r="N2115" s="3" t="inlineStr">
        <is>
          <t>Cold Soldering</t>
        </is>
      </c>
      <c r="O2115" s="56" t="n">
        <v>575</v>
      </c>
      <c r="P2115" s="46" t="inlineStr">
        <is>
          <t>NSMI24070181976</t>
        </is>
      </c>
      <c r="Q2115" s="54">
        <f>MID(P2115,5,2)</f>
        <v/>
      </c>
      <c r="R2115" s="53">
        <f>MID(P2115,7,2)</f>
        <v/>
      </c>
      <c r="S2115" s="3" t="inlineStr">
        <is>
          <t>G2G</t>
        </is>
      </c>
      <c r="T2115" s="3" t="inlineStr">
        <is>
          <t>P4</t>
        </is>
      </c>
      <c r="U2115" s="19" t="inlineStr">
        <is>
          <t>P JB Cold Soldering</t>
        </is>
      </c>
      <c r="V2115" s="19" t="inlineStr">
        <is>
          <t>Soldering</t>
        </is>
      </c>
      <c r="W2115" s="3" t="inlineStr">
        <is>
          <t>Repair</t>
        </is>
      </c>
      <c r="X2115" s="18" t="n">
        <v>46168</v>
      </c>
      <c r="Y2115" s="73">
        <f>IF(X2115="","",X2115-A2115)</f>
        <v/>
      </c>
      <c r="Z2115" s="18" t="n">
        <v>46168</v>
      </c>
      <c r="AA2115" s="15" t="n"/>
      <c r="AB2115" s="15" t="n"/>
      <c r="AF2115">
        <f>IF(AND($F2115="Closed",$X2115&gt;=DATE(2026,5,1),$X2115&lt;=DATE(2026,5,31)),"Closed in May","Other")</f>
        <v/>
      </c>
    </row>
    <row r="2116">
      <c r="A2116" s="37" t="n">
        <v>46143</v>
      </c>
      <c r="B2116" s="3" t="n">
        <v>2026</v>
      </c>
      <c r="C2116" s="26" t="inlineStr">
        <is>
          <t>Yanara Power</t>
        </is>
      </c>
      <c r="D2116" s="3" t="inlineStr">
        <is>
          <t>Utility and C&amp;I</t>
        </is>
      </c>
      <c r="E2116" s="3" t="n"/>
      <c r="F2116" s="3" t="inlineStr">
        <is>
          <t>Closed</t>
        </is>
      </c>
      <c r="G2116" s="9" t="inlineStr">
        <is>
          <t xml:space="preserve">Ashish Jindal </t>
        </is>
      </c>
      <c r="H2116" s="26" t="n">
        <v>9983975581</v>
      </c>
      <c r="I2116" s="38" t="inlineStr">
        <is>
          <t>PE01052601</t>
        </is>
      </c>
      <c r="J2116" s="26" t="inlineStr">
        <is>
          <t>Multiple Issues</t>
        </is>
      </c>
      <c r="K2116" s="39" t="inlineStr">
        <is>
          <t>Holi</t>
        </is>
      </c>
      <c r="L2116" s="39" t="inlineStr">
        <is>
          <t>Maharashtra</t>
        </is>
      </c>
      <c r="M2116" s="46" t="inlineStr">
        <is>
          <t>NS</t>
        </is>
      </c>
      <c r="N2116" s="3" t="inlineStr">
        <is>
          <t>Cold Soldering</t>
        </is>
      </c>
      <c r="O2116" s="56" t="n">
        <v>575</v>
      </c>
      <c r="P2116" s="46" t="inlineStr">
        <is>
          <t>NSMI24070181723</t>
        </is>
      </c>
      <c r="Q2116" s="54">
        <f>MID(P2116,5,2)</f>
        <v/>
      </c>
      <c r="R2116" s="53">
        <f>MID(P2116,7,2)</f>
        <v/>
      </c>
      <c r="S2116" s="3" t="inlineStr">
        <is>
          <t>G2G</t>
        </is>
      </c>
      <c r="T2116" s="3" t="inlineStr">
        <is>
          <t>P4</t>
        </is>
      </c>
      <c r="U2116" s="3" t="inlineStr">
        <is>
          <t>N JB Cold Soldering</t>
        </is>
      </c>
      <c r="V2116" s="3" t="inlineStr">
        <is>
          <t>Soldering</t>
        </is>
      </c>
      <c r="W2116" s="3" t="inlineStr">
        <is>
          <t>Repair</t>
        </is>
      </c>
      <c r="X2116" s="18" t="n">
        <v>46168</v>
      </c>
      <c r="Y2116" s="73">
        <f>IF(X2116="","",X2116-A2116)</f>
        <v/>
      </c>
      <c r="Z2116" s="18" t="n">
        <v>46168</v>
      </c>
      <c r="AA2116" s="15" t="n"/>
      <c r="AB2116" s="15" t="n"/>
      <c r="AF2116">
        <f>IF(AND($F2116="Closed",$X2116&gt;=DATE(2026,5,1),$X2116&lt;=DATE(2026,5,31)),"Closed in May","Other")</f>
        <v/>
      </c>
    </row>
    <row r="2117">
      <c r="A2117" s="37" t="n">
        <v>46143</v>
      </c>
      <c r="B2117" s="3" t="n">
        <v>2026</v>
      </c>
      <c r="C2117" s="26" t="inlineStr">
        <is>
          <t>Yanara Power</t>
        </is>
      </c>
      <c r="D2117" s="3" t="inlineStr">
        <is>
          <t>Utility and C&amp;I</t>
        </is>
      </c>
      <c r="E2117" s="3" t="n"/>
      <c r="F2117" s="3" t="inlineStr">
        <is>
          <t>Closed</t>
        </is>
      </c>
      <c r="G2117" s="9" t="inlineStr">
        <is>
          <t xml:space="preserve">Ashish Jindal </t>
        </is>
      </c>
      <c r="H2117" s="26" t="n">
        <v>9983975581</v>
      </c>
      <c r="I2117" s="38" t="inlineStr">
        <is>
          <t>PE01052601</t>
        </is>
      </c>
      <c r="J2117" s="26" t="inlineStr">
        <is>
          <t>Multiple Issues</t>
        </is>
      </c>
      <c r="K2117" s="39" t="inlineStr">
        <is>
          <t>Holi</t>
        </is>
      </c>
      <c r="L2117" s="39" t="inlineStr">
        <is>
          <t>Maharashtra</t>
        </is>
      </c>
      <c r="M2117" s="46" t="inlineStr">
        <is>
          <t>PS</t>
        </is>
      </c>
      <c r="N2117" s="3" t="inlineStr">
        <is>
          <t>Cold Soldering</t>
        </is>
      </c>
      <c r="O2117" s="56" t="n">
        <v>575</v>
      </c>
      <c r="P2117" s="46" t="inlineStr">
        <is>
          <t>NSMI24070187820</t>
        </is>
      </c>
      <c r="Q2117" s="54">
        <f>MID(P2117,5,2)</f>
        <v/>
      </c>
      <c r="R2117" s="53">
        <f>MID(P2117,7,2)</f>
        <v/>
      </c>
      <c r="S2117" s="3" t="inlineStr">
        <is>
          <t>G2G</t>
        </is>
      </c>
      <c r="T2117" s="3" t="inlineStr">
        <is>
          <t>P4</t>
        </is>
      </c>
      <c r="U2117" s="19" t="inlineStr">
        <is>
          <t>P JB Cold Soldering</t>
        </is>
      </c>
      <c r="V2117" s="19" t="inlineStr">
        <is>
          <t>Soldering</t>
        </is>
      </c>
      <c r="W2117" s="3" t="inlineStr">
        <is>
          <t>Repair</t>
        </is>
      </c>
      <c r="X2117" s="18" t="n">
        <v>46168</v>
      </c>
      <c r="Y2117" s="73">
        <f>IF(X2117="","",X2117-A2117)</f>
        <v/>
      </c>
      <c r="Z2117" s="18" t="n">
        <v>46168</v>
      </c>
      <c r="AA2117" s="15" t="n"/>
      <c r="AB2117" s="15" t="n"/>
      <c r="AF2117">
        <f>IF(AND($F2117="Closed",$X2117&gt;=DATE(2026,5,1),$X2117&lt;=DATE(2026,5,31)),"Closed in May","Other")</f>
        <v/>
      </c>
    </row>
    <row r="2118">
      <c r="A2118" s="37" t="n">
        <v>46143</v>
      </c>
      <c r="B2118" s="3" t="n">
        <v>2026</v>
      </c>
      <c r="C2118" s="26" t="inlineStr">
        <is>
          <t>Yanara Power</t>
        </is>
      </c>
      <c r="D2118" s="3" t="inlineStr">
        <is>
          <t>Utility and C&amp;I</t>
        </is>
      </c>
      <c r="E2118" s="3" t="n"/>
      <c r="F2118" s="3" t="inlineStr">
        <is>
          <t>Closed</t>
        </is>
      </c>
      <c r="G2118" s="9" t="inlineStr">
        <is>
          <t xml:space="preserve">Ashish Jindal </t>
        </is>
      </c>
      <c r="H2118" s="26" t="n">
        <v>9983975581</v>
      </c>
      <c r="I2118" s="38" t="inlineStr">
        <is>
          <t>PE01052601</t>
        </is>
      </c>
      <c r="J2118" s="26" t="inlineStr">
        <is>
          <t>Multiple Issues</t>
        </is>
      </c>
      <c r="K2118" s="39" t="inlineStr">
        <is>
          <t>Holi</t>
        </is>
      </c>
      <c r="L2118" s="39" t="inlineStr">
        <is>
          <t>Maharashtra</t>
        </is>
      </c>
      <c r="M2118" s="46" t="inlineStr">
        <is>
          <t>PS</t>
        </is>
      </c>
      <c r="N2118" s="3" t="inlineStr">
        <is>
          <t>Cold Soldering</t>
        </is>
      </c>
      <c r="O2118" s="56" t="n">
        <v>575</v>
      </c>
      <c r="P2118" s="46" t="inlineStr">
        <is>
          <t>NSMI24070187768</t>
        </is>
      </c>
      <c r="Q2118" s="54">
        <f>MID(P2118,5,2)</f>
        <v/>
      </c>
      <c r="R2118" s="53">
        <f>MID(P2118,7,2)</f>
        <v/>
      </c>
      <c r="S2118" s="3" t="inlineStr">
        <is>
          <t>G2G</t>
        </is>
      </c>
      <c r="T2118" s="3" t="inlineStr">
        <is>
          <t>P4</t>
        </is>
      </c>
      <c r="U2118" s="19" t="inlineStr">
        <is>
          <t>P JB Cold Soldering</t>
        </is>
      </c>
      <c r="V2118" s="19" t="inlineStr">
        <is>
          <t>Soldering</t>
        </is>
      </c>
      <c r="W2118" s="3" t="inlineStr">
        <is>
          <t>Repair</t>
        </is>
      </c>
      <c r="X2118" s="18" t="n">
        <v>46168</v>
      </c>
      <c r="Y2118" s="73">
        <f>IF(X2118="","",X2118-A2118)</f>
        <v/>
      </c>
      <c r="Z2118" s="18" t="n">
        <v>46168</v>
      </c>
      <c r="AA2118" s="15" t="n"/>
      <c r="AB2118" s="15" t="n"/>
      <c r="AF2118">
        <f>IF(AND($F2118="Closed",$X2118&gt;=DATE(2026,5,1),$X2118&lt;=DATE(2026,5,31)),"Closed in May","Other")</f>
        <v/>
      </c>
    </row>
    <row r="2119">
      <c r="A2119" s="37" t="n">
        <v>46143</v>
      </c>
      <c r="B2119" s="3" t="n">
        <v>2026</v>
      </c>
      <c r="C2119" s="26" t="inlineStr">
        <is>
          <t>Yanara Power</t>
        </is>
      </c>
      <c r="D2119" s="3" t="inlineStr">
        <is>
          <t>Utility and C&amp;I</t>
        </is>
      </c>
      <c r="E2119" s="3" t="n"/>
      <c r="F2119" s="3" t="inlineStr">
        <is>
          <t>Closed</t>
        </is>
      </c>
      <c r="G2119" s="9" t="inlineStr">
        <is>
          <t xml:space="preserve">Ashish Jindal </t>
        </is>
      </c>
      <c r="H2119" s="26" t="n">
        <v>9983975581</v>
      </c>
      <c r="I2119" s="38" t="inlineStr">
        <is>
          <t>PE01052601</t>
        </is>
      </c>
      <c r="J2119" s="26" t="inlineStr">
        <is>
          <t>Multiple Issues</t>
        </is>
      </c>
      <c r="K2119" s="39" t="inlineStr">
        <is>
          <t>Holi</t>
        </is>
      </c>
      <c r="L2119" s="39" t="inlineStr">
        <is>
          <t>Maharashtra</t>
        </is>
      </c>
      <c r="M2119" s="46" t="inlineStr">
        <is>
          <t>PS</t>
        </is>
      </c>
      <c r="N2119" s="3" t="inlineStr">
        <is>
          <t>Cold Soldering</t>
        </is>
      </c>
      <c r="O2119" s="56" t="n">
        <v>575</v>
      </c>
      <c r="P2119" s="46" t="inlineStr">
        <is>
          <t>NSMI24070181353</t>
        </is>
      </c>
      <c r="Q2119" s="54">
        <f>MID(P2119,5,2)</f>
        <v/>
      </c>
      <c r="R2119" s="53">
        <f>MID(P2119,7,2)</f>
        <v/>
      </c>
      <c r="S2119" s="3" t="inlineStr">
        <is>
          <t>G2G</t>
        </is>
      </c>
      <c r="T2119" s="3" t="inlineStr">
        <is>
          <t>P4</t>
        </is>
      </c>
      <c r="U2119" s="19" t="inlineStr">
        <is>
          <t>P JB Cold Soldering</t>
        </is>
      </c>
      <c r="V2119" s="19" t="inlineStr">
        <is>
          <t>Soldering</t>
        </is>
      </c>
      <c r="W2119" s="3" t="inlineStr">
        <is>
          <t>Repair</t>
        </is>
      </c>
      <c r="X2119" s="18" t="n">
        <v>46168</v>
      </c>
      <c r="Y2119" s="73">
        <f>IF(X2119="","",X2119-A2119)</f>
        <v/>
      </c>
      <c r="Z2119" s="18" t="n">
        <v>46168</v>
      </c>
      <c r="AA2119" s="15" t="n"/>
      <c r="AB2119" s="15" t="n"/>
      <c r="AF2119">
        <f>IF(AND($F2119="Closed",$X2119&gt;=DATE(2026,5,1),$X2119&lt;=DATE(2026,5,31)),"Closed in May","Other")</f>
        <v/>
      </c>
    </row>
    <row r="2120">
      <c r="A2120" s="37" t="n">
        <v>46143</v>
      </c>
      <c r="B2120" s="3" t="n">
        <v>2026</v>
      </c>
      <c r="C2120" s="26" t="inlineStr">
        <is>
          <t>Yanara Power</t>
        </is>
      </c>
      <c r="D2120" s="3" t="inlineStr">
        <is>
          <t>Utility and C&amp;I</t>
        </is>
      </c>
      <c r="E2120" s="3" t="n"/>
      <c r="F2120" s="3" t="inlineStr">
        <is>
          <t>Closed</t>
        </is>
      </c>
      <c r="G2120" s="9" t="inlineStr">
        <is>
          <t xml:space="preserve">Ashish Jindal </t>
        </is>
      </c>
      <c r="H2120" s="26" t="n">
        <v>9983975581</v>
      </c>
      <c r="I2120" s="38" t="inlineStr">
        <is>
          <t>PE01052601</t>
        </is>
      </c>
      <c r="J2120" s="26" t="inlineStr">
        <is>
          <t>Multiple Issues</t>
        </is>
      </c>
      <c r="K2120" s="39" t="inlineStr">
        <is>
          <t>Holi</t>
        </is>
      </c>
      <c r="L2120" s="39" t="inlineStr">
        <is>
          <t>Maharashtra</t>
        </is>
      </c>
      <c r="M2120" s="46" t="inlineStr">
        <is>
          <t>PS</t>
        </is>
      </c>
      <c r="N2120" s="3" t="inlineStr">
        <is>
          <t>Cold Soldering</t>
        </is>
      </c>
      <c r="O2120" s="56" t="n">
        <v>575</v>
      </c>
      <c r="P2120" s="46" t="inlineStr">
        <is>
          <t>NSMI24070181334</t>
        </is>
      </c>
      <c r="Q2120" s="54">
        <f>MID(P2120,5,2)</f>
        <v/>
      </c>
      <c r="R2120" s="53">
        <f>MID(P2120,7,2)</f>
        <v/>
      </c>
      <c r="S2120" s="3" t="inlineStr">
        <is>
          <t>G2G</t>
        </is>
      </c>
      <c r="T2120" s="3" t="inlineStr">
        <is>
          <t>P4</t>
        </is>
      </c>
      <c r="U2120" s="19" t="inlineStr">
        <is>
          <t>P JB Cold Soldering</t>
        </is>
      </c>
      <c r="V2120" s="19" t="inlineStr">
        <is>
          <t>Soldering</t>
        </is>
      </c>
      <c r="W2120" s="3" t="inlineStr">
        <is>
          <t>Repair</t>
        </is>
      </c>
      <c r="X2120" s="18" t="n">
        <v>46168</v>
      </c>
      <c r="Y2120" s="73">
        <f>IF(X2120="","",X2120-A2120)</f>
        <v/>
      </c>
      <c r="Z2120" s="18" t="n">
        <v>46168</v>
      </c>
      <c r="AA2120" s="15" t="n"/>
      <c r="AB2120" s="15" t="n"/>
      <c r="AF2120">
        <f>IF(AND($F2120="Closed",$X2120&gt;=DATE(2026,5,1),$X2120&lt;=DATE(2026,5,31)),"Closed in May","Other")</f>
        <v/>
      </c>
    </row>
    <row r="2121">
      <c r="A2121" s="37" t="n">
        <v>46143</v>
      </c>
      <c r="B2121" s="3" t="n">
        <v>2026</v>
      </c>
      <c r="C2121" s="26" t="inlineStr">
        <is>
          <t>Yanara Power</t>
        </is>
      </c>
      <c r="D2121" s="3" t="inlineStr">
        <is>
          <t>Utility and C&amp;I</t>
        </is>
      </c>
      <c r="E2121" s="3" t="n"/>
      <c r="F2121" s="3" t="inlineStr">
        <is>
          <t>Closed</t>
        </is>
      </c>
      <c r="G2121" s="9" t="inlineStr">
        <is>
          <t xml:space="preserve">Ashish Jindal </t>
        </is>
      </c>
      <c r="H2121" s="26" t="n">
        <v>9983975581</v>
      </c>
      <c r="I2121" s="38" t="inlineStr">
        <is>
          <t>PE01052601</t>
        </is>
      </c>
      <c r="J2121" s="26" t="inlineStr">
        <is>
          <t>Multiple Issues</t>
        </is>
      </c>
      <c r="K2121" s="39" t="inlineStr">
        <is>
          <t>Holi</t>
        </is>
      </c>
      <c r="L2121" s="39" t="inlineStr">
        <is>
          <t>Maharashtra</t>
        </is>
      </c>
      <c r="M2121" s="46" t="inlineStr">
        <is>
          <t>NS</t>
        </is>
      </c>
      <c r="N2121" s="3" t="inlineStr">
        <is>
          <t>Cold Soldering</t>
        </is>
      </c>
      <c r="O2121" s="56" t="n">
        <v>575</v>
      </c>
      <c r="P2121" s="46" t="inlineStr">
        <is>
          <t>NSMI24070179481</t>
        </is>
      </c>
      <c r="Q2121" s="54">
        <f>MID(P2121,5,2)</f>
        <v/>
      </c>
      <c r="R2121" s="53">
        <f>MID(P2121,7,2)</f>
        <v/>
      </c>
      <c r="S2121" s="3" t="inlineStr">
        <is>
          <t>G2G</t>
        </is>
      </c>
      <c r="T2121" s="3" t="inlineStr">
        <is>
          <t>P4</t>
        </is>
      </c>
      <c r="U2121" s="3" t="inlineStr">
        <is>
          <t>N JB Cold Soldering</t>
        </is>
      </c>
      <c r="V2121" s="3" t="inlineStr">
        <is>
          <t>Soldering</t>
        </is>
      </c>
      <c r="W2121" s="3" t="inlineStr">
        <is>
          <t>Repair</t>
        </is>
      </c>
      <c r="X2121" s="18" t="n">
        <v>46168</v>
      </c>
      <c r="Y2121" s="73">
        <f>IF(X2121="","",X2121-A2121)</f>
        <v/>
      </c>
      <c r="Z2121" s="18" t="n">
        <v>46168</v>
      </c>
      <c r="AA2121" s="15" t="n"/>
      <c r="AB2121" s="15" t="n"/>
      <c r="AF2121">
        <f>IF(AND($F2121="Closed",$X2121&gt;=DATE(2026,5,1),$X2121&lt;=DATE(2026,5,31)),"Closed in May","Other")</f>
        <v/>
      </c>
    </row>
    <row r="2122">
      <c r="A2122" s="37" t="n">
        <v>46143</v>
      </c>
      <c r="B2122" s="3" t="n">
        <v>2026</v>
      </c>
      <c r="C2122" s="26" t="inlineStr">
        <is>
          <t>Yanara Power</t>
        </is>
      </c>
      <c r="D2122" s="3" t="inlineStr">
        <is>
          <t>Utility and C&amp;I</t>
        </is>
      </c>
      <c r="E2122" s="3" t="n"/>
      <c r="F2122" s="3" t="inlineStr">
        <is>
          <t>Closed</t>
        </is>
      </c>
      <c r="G2122" s="9" t="inlineStr">
        <is>
          <t xml:space="preserve">Ashish Jindal </t>
        </is>
      </c>
      <c r="H2122" s="26" t="n">
        <v>9983975581</v>
      </c>
      <c r="I2122" s="38" t="inlineStr">
        <is>
          <t>PE01052601</t>
        </is>
      </c>
      <c r="J2122" s="26" t="inlineStr">
        <is>
          <t>Multiple Issues</t>
        </is>
      </c>
      <c r="K2122" s="39" t="inlineStr">
        <is>
          <t>Holi</t>
        </is>
      </c>
      <c r="L2122" s="39" t="inlineStr">
        <is>
          <t>Maharashtra</t>
        </is>
      </c>
      <c r="M2122" s="46" t="inlineStr">
        <is>
          <t>NS</t>
        </is>
      </c>
      <c r="N2122" s="3" t="inlineStr">
        <is>
          <t>Cold Soldering</t>
        </is>
      </c>
      <c r="O2122" s="56" t="n">
        <v>575</v>
      </c>
      <c r="P2122" s="46" t="inlineStr">
        <is>
          <t>NSMI24070182108</t>
        </is>
      </c>
      <c r="Q2122" s="54">
        <f>MID(P2122,5,2)</f>
        <v/>
      </c>
      <c r="R2122" s="53">
        <f>MID(P2122,7,2)</f>
        <v/>
      </c>
      <c r="S2122" s="3" t="inlineStr">
        <is>
          <t>G2G</t>
        </is>
      </c>
      <c r="T2122" s="3" t="inlineStr">
        <is>
          <t>P4</t>
        </is>
      </c>
      <c r="U2122" s="3" t="inlineStr">
        <is>
          <t>N JB Cold Soldering</t>
        </is>
      </c>
      <c r="V2122" s="3" t="inlineStr">
        <is>
          <t>Soldering</t>
        </is>
      </c>
      <c r="W2122" s="3" t="inlineStr">
        <is>
          <t>Repair</t>
        </is>
      </c>
      <c r="X2122" s="18" t="n">
        <v>46168</v>
      </c>
      <c r="Y2122" s="73">
        <f>IF(X2122="","",X2122-A2122)</f>
        <v/>
      </c>
      <c r="Z2122" s="18" t="n">
        <v>46168</v>
      </c>
      <c r="AA2122" s="15" t="n"/>
      <c r="AB2122" s="15" t="n"/>
      <c r="AF2122">
        <f>IF(AND($F2122="Closed",$X2122&gt;=DATE(2026,5,1),$X2122&lt;=DATE(2026,5,31)),"Closed in May","Other")</f>
        <v/>
      </c>
    </row>
    <row r="2123">
      <c r="A2123" s="37" t="n">
        <v>46143</v>
      </c>
      <c r="B2123" s="3" t="n">
        <v>2026</v>
      </c>
      <c r="C2123" s="26" t="inlineStr">
        <is>
          <t>Yanara Power</t>
        </is>
      </c>
      <c r="D2123" s="3" t="inlineStr">
        <is>
          <t>Utility and C&amp;I</t>
        </is>
      </c>
      <c r="E2123" s="3" t="n"/>
      <c r="F2123" s="3" t="inlineStr">
        <is>
          <t>Closed</t>
        </is>
      </c>
      <c r="G2123" s="9" t="inlineStr">
        <is>
          <t xml:space="preserve">Ashish Jindal </t>
        </is>
      </c>
      <c r="H2123" s="26" t="n">
        <v>9983975581</v>
      </c>
      <c r="I2123" s="38" t="inlineStr">
        <is>
          <t>PE01052601</t>
        </is>
      </c>
      <c r="J2123" s="26" t="inlineStr">
        <is>
          <t>Multiple Issues</t>
        </is>
      </c>
      <c r="K2123" s="39" t="inlineStr">
        <is>
          <t>Holi</t>
        </is>
      </c>
      <c r="L2123" s="39" t="inlineStr">
        <is>
          <t>Maharashtra</t>
        </is>
      </c>
      <c r="M2123" s="46" t="inlineStr">
        <is>
          <t>NS</t>
        </is>
      </c>
      <c r="N2123" s="3" t="inlineStr">
        <is>
          <t>Cold Soldering</t>
        </is>
      </c>
      <c r="O2123" s="56" t="n">
        <v>575</v>
      </c>
      <c r="P2123" s="46" t="inlineStr">
        <is>
          <t>NSMI24070182170</t>
        </is>
      </c>
      <c r="Q2123" s="54">
        <f>MID(P2123,5,2)</f>
        <v/>
      </c>
      <c r="R2123" s="53">
        <f>MID(P2123,7,2)</f>
        <v/>
      </c>
      <c r="S2123" s="3" t="inlineStr">
        <is>
          <t>G2G</t>
        </is>
      </c>
      <c r="T2123" s="3" t="inlineStr">
        <is>
          <t>P4</t>
        </is>
      </c>
      <c r="U2123" s="3" t="inlineStr">
        <is>
          <t>N JB Cold Soldering</t>
        </is>
      </c>
      <c r="V2123" s="3" t="inlineStr">
        <is>
          <t>Soldering</t>
        </is>
      </c>
      <c r="W2123" s="3" t="inlineStr">
        <is>
          <t>Repair</t>
        </is>
      </c>
      <c r="X2123" s="18" t="n">
        <v>46168</v>
      </c>
      <c r="Y2123" s="73">
        <f>IF(X2123="","",X2123-A2123)</f>
        <v/>
      </c>
      <c r="Z2123" s="18" t="n">
        <v>46168</v>
      </c>
      <c r="AA2123" s="15" t="n"/>
      <c r="AB2123" s="15" t="n"/>
      <c r="AF2123">
        <f>IF(AND($F2123="Closed",$X2123&gt;=DATE(2026,5,1),$X2123&lt;=DATE(2026,5,31)),"Closed in May","Other")</f>
        <v/>
      </c>
    </row>
    <row r="2124">
      <c r="A2124" s="37" t="n">
        <v>46143</v>
      </c>
      <c r="B2124" s="3" t="n">
        <v>2026</v>
      </c>
      <c r="C2124" s="26" t="inlineStr">
        <is>
          <t>Yanara Power</t>
        </is>
      </c>
      <c r="D2124" s="3" t="inlineStr">
        <is>
          <t>Utility and C&amp;I</t>
        </is>
      </c>
      <c r="E2124" s="3" t="n"/>
      <c r="F2124" s="3" t="inlineStr">
        <is>
          <t>Closed</t>
        </is>
      </c>
      <c r="G2124" s="9" t="inlineStr">
        <is>
          <t xml:space="preserve">Ashish Jindal </t>
        </is>
      </c>
      <c r="H2124" s="26" t="n">
        <v>9983975581</v>
      </c>
      <c r="I2124" s="38" t="inlineStr">
        <is>
          <t>PE01052601</t>
        </is>
      </c>
      <c r="J2124" s="26" t="inlineStr">
        <is>
          <t>Multiple Issues</t>
        </is>
      </c>
      <c r="K2124" s="39" t="inlineStr">
        <is>
          <t>Holi</t>
        </is>
      </c>
      <c r="L2124" s="39" t="inlineStr">
        <is>
          <t>Maharashtra</t>
        </is>
      </c>
      <c r="M2124" s="46" t="inlineStr">
        <is>
          <t>NS</t>
        </is>
      </c>
      <c r="N2124" s="3" t="inlineStr">
        <is>
          <t>Cold Soldering</t>
        </is>
      </c>
      <c r="O2124" s="56" t="n">
        <v>575</v>
      </c>
      <c r="P2124" s="46" t="inlineStr">
        <is>
          <t>NSMI24070199052</t>
        </is>
      </c>
      <c r="Q2124" s="54">
        <f>MID(P2124,5,2)</f>
        <v/>
      </c>
      <c r="R2124" s="53">
        <f>MID(P2124,7,2)</f>
        <v/>
      </c>
      <c r="S2124" s="3" t="inlineStr">
        <is>
          <t>G2G</t>
        </is>
      </c>
      <c r="T2124" s="3" t="inlineStr">
        <is>
          <t>P4</t>
        </is>
      </c>
      <c r="U2124" s="3" t="inlineStr">
        <is>
          <t>N JB Cold Soldering</t>
        </is>
      </c>
      <c r="V2124" s="3" t="inlineStr">
        <is>
          <t>Soldering</t>
        </is>
      </c>
      <c r="W2124" s="3" t="inlineStr">
        <is>
          <t>Repair</t>
        </is>
      </c>
      <c r="X2124" s="18" t="n">
        <v>46168</v>
      </c>
      <c r="Y2124" s="73">
        <f>IF(X2124="","",X2124-A2124)</f>
        <v/>
      </c>
      <c r="Z2124" s="18" t="n">
        <v>46168</v>
      </c>
      <c r="AA2124" s="15" t="n"/>
      <c r="AB2124" s="15" t="n"/>
      <c r="AF2124">
        <f>IF(AND($F2124="Closed",$X2124&gt;=DATE(2026,5,1),$X2124&lt;=DATE(2026,5,31)),"Closed in May","Other")</f>
        <v/>
      </c>
    </row>
    <row r="2125">
      <c r="A2125" s="37" t="n">
        <v>46143</v>
      </c>
      <c r="B2125" s="3" t="n">
        <v>2026</v>
      </c>
      <c r="C2125" s="26" t="inlineStr">
        <is>
          <t>Yanara Power</t>
        </is>
      </c>
      <c r="D2125" s="3" t="inlineStr">
        <is>
          <t>Utility and C&amp;I</t>
        </is>
      </c>
      <c r="E2125" s="3" t="n"/>
      <c r="F2125" s="3" t="inlineStr">
        <is>
          <t>Closed</t>
        </is>
      </c>
      <c r="G2125" s="9" t="inlineStr">
        <is>
          <t xml:space="preserve">Ashish Jindal </t>
        </is>
      </c>
      <c r="H2125" s="26" t="n">
        <v>9983975581</v>
      </c>
      <c r="I2125" s="38" t="inlineStr">
        <is>
          <t>PE01052601</t>
        </is>
      </c>
      <c r="J2125" s="26" t="inlineStr">
        <is>
          <t>Multiple Issues</t>
        </is>
      </c>
      <c r="K2125" s="39" t="inlineStr">
        <is>
          <t>Holi</t>
        </is>
      </c>
      <c r="L2125" s="39" t="inlineStr">
        <is>
          <t>Maharashtra</t>
        </is>
      </c>
      <c r="M2125" s="46" t="inlineStr">
        <is>
          <t>PS</t>
        </is>
      </c>
      <c r="N2125" s="3" t="inlineStr">
        <is>
          <t>Cold Soldering</t>
        </is>
      </c>
      <c r="O2125" s="56" t="n">
        <v>575</v>
      </c>
      <c r="P2125" s="46" t="inlineStr">
        <is>
          <t>NSMI24070199051</t>
        </is>
      </c>
      <c r="Q2125" s="54">
        <f>MID(P2125,5,2)</f>
        <v/>
      </c>
      <c r="R2125" s="53">
        <f>MID(P2125,7,2)</f>
        <v/>
      </c>
      <c r="S2125" s="3" t="inlineStr">
        <is>
          <t>G2G</t>
        </is>
      </c>
      <c r="T2125" s="3" t="inlineStr">
        <is>
          <t>P4</t>
        </is>
      </c>
      <c r="U2125" s="19" t="inlineStr">
        <is>
          <t>P JB Cold Soldering</t>
        </is>
      </c>
      <c r="V2125" s="19" t="inlineStr">
        <is>
          <t>Soldering</t>
        </is>
      </c>
      <c r="W2125" s="3" t="inlineStr">
        <is>
          <t>Repair</t>
        </is>
      </c>
      <c r="X2125" s="18" t="n">
        <v>46168</v>
      </c>
      <c r="Y2125" s="73">
        <f>IF(X2125="","",X2125-A2125)</f>
        <v/>
      </c>
      <c r="Z2125" s="18" t="n">
        <v>46168</v>
      </c>
      <c r="AA2125" s="15" t="n"/>
      <c r="AB2125" s="15" t="n"/>
      <c r="AF2125">
        <f>IF(AND($F2125="Closed",$X2125&gt;=DATE(2026,5,1),$X2125&lt;=DATE(2026,5,31)),"Closed in May","Other")</f>
        <v/>
      </c>
    </row>
    <row r="2126">
      <c r="A2126" s="37" t="n">
        <v>46143</v>
      </c>
      <c r="B2126" s="3" t="n">
        <v>2026</v>
      </c>
      <c r="C2126" s="26" t="inlineStr">
        <is>
          <t>Yanara Power</t>
        </is>
      </c>
      <c r="D2126" s="3" t="inlineStr">
        <is>
          <t>Utility and C&amp;I</t>
        </is>
      </c>
      <c r="E2126" s="3" t="n"/>
      <c r="F2126" s="3" t="inlineStr">
        <is>
          <t>Closed</t>
        </is>
      </c>
      <c r="G2126" s="9" t="inlineStr">
        <is>
          <t xml:space="preserve">Ashish Jindal </t>
        </is>
      </c>
      <c r="H2126" s="26" t="n">
        <v>9983975581</v>
      </c>
      <c r="I2126" s="38" t="inlineStr">
        <is>
          <t>PE01052601</t>
        </is>
      </c>
      <c r="J2126" s="26" t="inlineStr">
        <is>
          <t>Multiple Issues</t>
        </is>
      </c>
      <c r="K2126" s="39" t="inlineStr">
        <is>
          <t>Holi</t>
        </is>
      </c>
      <c r="L2126" s="39" t="inlineStr">
        <is>
          <t>Maharashtra</t>
        </is>
      </c>
      <c r="M2126" s="46" t="inlineStr">
        <is>
          <t>PS</t>
        </is>
      </c>
      <c r="N2126" s="3" t="inlineStr">
        <is>
          <t>Cold Soldering</t>
        </is>
      </c>
      <c r="O2126" s="56" t="n">
        <v>575</v>
      </c>
      <c r="P2126" s="46" t="inlineStr">
        <is>
          <t>NSMI24070202612</t>
        </is>
      </c>
      <c r="Q2126" s="54">
        <f>MID(P2126,5,2)</f>
        <v/>
      </c>
      <c r="R2126" s="53">
        <f>MID(P2126,7,2)</f>
        <v/>
      </c>
      <c r="S2126" s="3" t="inlineStr">
        <is>
          <t>G2G</t>
        </is>
      </c>
      <c r="T2126" s="3" t="inlineStr">
        <is>
          <t>P4</t>
        </is>
      </c>
      <c r="U2126" s="19" t="inlineStr">
        <is>
          <t>P JB Cold Soldering</t>
        </is>
      </c>
      <c r="V2126" s="19" t="inlineStr">
        <is>
          <t>Soldering</t>
        </is>
      </c>
      <c r="W2126" s="3" t="inlineStr">
        <is>
          <t>Repair</t>
        </is>
      </c>
      <c r="X2126" s="18" t="n">
        <v>46168</v>
      </c>
      <c r="Y2126" s="73">
        <f>IF(X2126="","",X2126-A2126)</f>
        <v/>
      </c>
      <c r="Z2126" s="18" t="n">
        <v>46168</v>
      </c>
      <c r="AA2126" s="15" t="n"/>
      <c r="AB2126" s="15" t="n"/>
      <c r="AF2126">
        <f>IF(AND($F2126="Closed",$X2126&gt;=DATE(2026,5,1),$X2126&lt;=DATE(2026,5,31)),"Closed in May","Other")</f>
        <v/>
      </c>
    </row>
    <row r="2127">
      <c r="A2127" s="37" t="n">
        <v>46143</v>
      </c>
      <c r="B2127" s="3" t="n">
        <v>2026</v>
      </c>
      <c r="C2127" s="26" t="inlineStr">
        <is>
          <t>Yanara Power</t>
        </is>
      </c>
      <c r="D2127" s="3" t="inlineStr">
        <is>
          <t>Utility and C&amp;I</t>
        </is>
      </c>
      <c r="E2127" s="3" t="n"/>
      <c r="F2127" s="3" t="inlineStr">
        <is>
          <t>Closed</t>
        </is>
      </c>
      <c r="G2127" s="9" t="inlineStr">
        <is>
          <t xml:space="preserve">Ashish Jindal </t>
        </is>
      </c>
      <c r="H2127" s="26" t="n">
        <v>9983975581</v>
      </c>
      <c r="I2127" s="38" t="inlineStr">
        <is>
          <t>PE01052601</t>
        </is>
      </c>
      <c r="J2127" s="26" t="inlineStr">
        <is>
          <t>Multiple Issues</t>
        </is>
      </c>
      <c r="K2127" s="39" t="inlineStr">
        <is>
          <t>Holi</t>
        </is>
      </c>
      <c r="L2127" s="39" t="inlineStr">
        <is>
          <t>Maharashtra</t>
        </is>
      </c>
      <c r="M2127" s="46" t="inlineStr">
        <is>
          <t>PS</t>
        </is>
      </c>
      <c r="N2127" s="3" t="inlineStr">
        <is>
          <t>Cold Soldering</t>
        </is>
      </c>
      <c r="O2127" s="56" t="n">
        <v>575</v>
      </c>
      <c r="P2127" s="46" t="inlineStr">
        <is>
          <t>NSMI24070179673</t>
        </is>
      </c>
      <c r="Q2127" s="54">
        <f>MID(P2127,5,2)</f>
        <v/>
      </c>
      <c r="R2127" s="53">
        <f>MID(P2127,7,2)</f>
        <v/>
      </c>
      <c r="S2127" s="3" t="inlineStr">
        <is>
          <t>G2G</t>
        </is>
      </c>
      <c r="T2127" s="3" t="inlineStr">
        <is>
          <t>P4</t>
        </is>
      </c>
      <c r="U2127" s="19" t="inlineStr">
        <is>
          <t>P JB Cold Soldering</t>
        </is>
      </c>
      <c r="V2127" s="19" t="inlineStr">
        <is>
          <t>Soldering</t>
        </is>
      </c>
      <c r="W2127" s="3" t="inlineStr">
        <is>
          <t>Repair</t>
        </is>
      </c>
      <c r="X2127" s="18" t="n">
        <v>46168</v>
      </c>
      <c r="Y2127" s="73">
        <f>IF(X2127="","",X2127-A2127)</f>
        <v/>
      </c>
      <c r="Z2127" s="18" t="n">
        <v>46168</v>
      </c>
      <c r="AA2127" s="15" t="n"/>
      <c r="AB2127" s="15" t="n"/>
      <c r="AF2127">
        <f>IF(AND($F2127="Closed",$X2127&gt;=DATE(2026,5,1),$X2127&lt;=DATE(2026,5,31)),"Closed in May","Other")</f>
        <v/>
      </c>
    </row>
    <row r="2128">
      <c r="A2128" s="37" t="n">
        <v>46143</v>
      </c>
      <c r="B2128" s="3" t="n">
        <v>2026</v>
      </c>
      <c r="C2128" s="26" t="inlineStr">
        <is>
          <t>Yanara Power</t>
        </is>
      </c>
      <c r="D2128" s="3" t="inlineStr">
        <is>
          <t>Utility and C&amp;I</t>
        </is>
      </c>
      <c r="E2128" s="3" t="n"/>
      <c r="F2128" s="3" t="inlineStr">
        <is>
          <t>Closed</t>
        </is>
      </c>
      <c r="G2128" s="9" t="inlineStr">
        <is>
          <t xml:space="preserve">Ashish Jindal </t>
        </is>
      </c>
      <c r="H2128" s="26" t="n">
        <v>9983975581</v>
      </c>
      <c r="I2128" s="38" t="inlineStr">
        <is>
          <t>PE01052601</t>
        </is>
      </c>
      <c r="J2128" s="26" t="inlineStr">
        <is>
          <t>Multiple Issues</t>
        </is>
      </c>
      <c r="K2128" s="39" t="inlineStr">
        <is>
          <t>Holi</t>
        </is>
      </c>
      <c r="L2128" s="39" t="inlineStr">
        <is>
          <t>Maharashtra</t>
        </is>
      </c>
      <c r="M2128" s="46" t="inlineStr">
        <is>
          <t>PS</t>
        </is>
      </c>
      <c r="N2128" s="3" t="inlineStr">
        <is>
          <t>Cold Soldering</t>
        </is>
      </c>
      <c r="O2128" s="56" t="n">
        <v>575</v>
      </c>
      <c r="P2128" s="46" t="inlineStr">
        <is>
          <t>NSMI24070218041</t>
        </is>
      </c>
      <c r="Q2128" s="54">
        <f>MID(P2128,5,2)</f>
        <v/>
      </c>
      <c r="R2128" s="53">
        <f>MID(P2128,7,2)</f>
        <v/>
      </c>
      <c r="S2128" s="3" t="inlineStr">
        <is>
          <t>G2G</t>
        </is>
      </c>
      <c r="T2128" s="3" t="inlineStr">
        <is>
          <t>P4</t>
        </is>
      </c>
      <c r="U2128" s="19" t="inlineStr">
        <is>
          <t>P JB Cold Soldering</t>
        </is>
      </c>
      <c r="V2128" s="19" t="inlineStr">
        <is>
          <t>Soldering</t>
        </is>
      </c>
      <c r="W2128" s="3" t="inlineStr">
        <is>
          <t>Repair</t>
        </is>
      </c>
      <c r="X2128" s="18" t="n">
        <v>46168</v>
      </c>
      <c r="Y2128" s="73">
        <f>IF(X2128="","",X2128-A2128)</f>
        <v/>
      </c>
      <c r="Z2128" s="18" t="n">
        <v>46168</v>
      </c>
      <c r="AA2128" s="15" t="n"/>
      <c r="AB2128" s="15" t="n"/>
      <c r="AF2128">
        <f>IF(AND($F2128="Closed",$X2128&gt;=DATE(2026,5,1),$X2128&lt;=DATE(2026,5,31)),"Closed in May","Other")</f>
        <v/>
      </c>
    </row>
    <row r="2129">
      <c r="A2129" s="37" t="n">
        <v>46143</v>
      </c>
      <c r="B2129" s="3" t="n">
        <v>2026</v>
      </c>
      <c r="C2129" s="26" t="inlineStr">
        <is>
          <t>Yanara Power</t>
        </is>
      </c>
      <c r="D2129" s="3" t="inlineStr">
        <is>
          <t>Utility and C&amp;I</t>
        </is>
      </c>
      <c r="E2129" s="3" t="n"/>
      <c r="F2129" s="3" t="inlineStr">
        <is>
          <t>Closed</t>
        </is>
      </c>
      <c r="G2129" s="9" t="inlineStr">
        <is>
          <t xml:space="preserve">Ashish Jindal </t>
        </is>
      </c>
      <c r="H2129" s="26" t="n">
        <v>9983975581</v>
      </c>
      <c r="I2129" s="38" t="inlineStr">
        <is>
          <t>PE01052601</t>
        </is>
      </c>
      <c r="J2129" s="26" t="inlineStr">
        <is>
          <t>Multiple Issues</t>
        </is>
      </c>
      <c r="K2129" s="39" t="inlineStr">
        <is>
          <t>Holi</t>
        </is>
      </c>
      <c r="L2129" s="39" t="inlineStr">
        <is>
          <t>Maharashtra</t>
        </is>
      </c>
      <c r="M2129" s="46" t="inlineStr">
        <is>
          <t>NS</t>
        </is>
      </c>
      <c r="N2129" s="3" t="inlineStr">
        <is>
          <t>Cold Soldering</t>
        </is>
      </c>
      <c r="O2129" s="56" t="n">
        <v>575</v>
      </c>
      <c r="P2129" s="46" t="inlineStr">
        <is>
          <t>NSMI24070178274</t>
        </is>
      </c>
      <c r="Q2129" s="54">
        <f>MID(P2129,5,2)</f>
        <v/>
      </c>
      <c r="R2129" s="53">
        <f>MID(P2129,7,2)</f>
        <v/>
      </c>
      <c r="S2129" s="3" t="inlineStr">
        <is>
          <t>G2G</t>
        </is>
      </c>
      <c r="T2129" s="3" t="inlineStr">
        <is>
          <t>P4</t>
        </is>
      </c>
      <c r="U2129" s="3" t="inlineStr">
        <is>
          <t>N JB Cold Soldering</t>
        </is>
      </c>
      <c r="V2129" s="3" t="inlineStr">
        <is>
          <t>Soldering</t>
        </is>
      </c>
      <c r="W2129" s="3" t="inlineStr">
        <is>
          <t>Repair</t>
        </is>
      </c>
      <c r="X2129" s="18" t="n">
        <v>46168</v>
      </c>
      <c r="Y2129" s="73">
        <f>IF(X2129="","",X2129-A2129)</f>
        <v/>
      </c>
      <c r="Z2129" s="18" t="n">
        <v>46168</v>
      </c>
      <c r="AA2129" s="15" t="n"/>
      <c r="AB2129" s="15" t="n"/>
      <c r="AF2129">
        <f>IF(AND($F2129="Closed",$X2129&gt;=DATE(2026,5,1),$X2129&lt;=DATE(2026,5,31)),"Closed in May","Other")</f>
        <v/>
      </c>
    </row>
    <row r="2130">
      <c r="A2130" s="37" t="n">
        <v>46143</v>
      </c>
      <c r="B2130" s="3" t="n">
        <v>2026</v>
      </c>
      <c r="C2130" s="26" t="inlineStr">
        <is>
          <t>Yanara Power</t>
        </is>
      </c>
      <c r="D2130" s="3" t="inlineStr">
        <is>
          <t>Utility and C&amp;I</t>
        </is>
      </c>
      <c r="E2130" s="3" t="n"/>
      <c r="F2130" s="3" t="inlineStr">
        <is>
          <t>Closed</t>
        </is>
      </c>
      <c r="G2130" s="9" t="inlineStr">
        <is>
          <t xml:space="preserve">Ashish Jindal </t>
        </is>
      </c>
      <c r="H2130" s="26" t="n">
        <v>9983975581</v>
      </c>
      <c r="I2130" s="38" t="inlineStr">
        <is>
          <t>PE01052601</t>
        </is>
      </c>
      <c r="J2130" s="26" t="inlineStr">
        <is>
          <t>Multiple Issues</t>
        </is>
      </c>
      <c r="K2130" s="39" t="inlineStr">
        <is>
          <t>Holi</t>
        </is>
      </c>
      <c r="L2130" s="39" t="inlineStr">
        <is>
          <t>Maharashtra</t>
        </is>
      </c>
      <c r="M2130" s="46" t="inlineStr">
        <is>
          <t>PS</t>
        </is>
      </c>
      <c r="N2130" s="3" t="inlineStr">
        <is>
          <t>Cold Soldering</t>
        </is>
      </c>
      <c r="O2130" s="56" t="n">
        <v>575</v>
      </c>
      <c r="P2130" s="46" t="inlineStr">
        <is>
          <t>NSMI24070178043</t>
        </is>
      </c>
      <c r="Q2130" s="54">
        <f>MID(P2130,5,2)</f>
        <v/>
      </c>
      <c r="R2130" s="53">
        <f>MID(P2130,7,2)</f>
        <v/>
      </c>
      <c r="S2130" s="3" t="inlineStr">
        <is>
          <t>G2G</t>
        </is>
      </c>
      <c r="T2130" s="3" t="inlineStr">
        <is>
          <t>P4</t>
        </is>
      </c>
      <c r="U2130" s="19" t="inlineStr">
        <is>
          <t>P JB Cold Soldering</t>
        </is>
      </c>
      <c r="V2130" s="19" t="inlineStr">
        <is>
          <t>Soldering</t>
        </is>
      </c>
      <c r="W2130" s="3" t="inlineStr">
        <is>
          <t>Repair</t>
        </is>
      </c>
      <c r="X2130" s="18" t="n">
        <v>46168</v>
      </c>
      <c r="Y2130" s="73">
        <f>IF(X2130="","",X2130-A2130)</f>
        <v/>
      </c>
      <c r="Z2130" s="18" t="n">
        <v>46168</v>
      </c>
      <c r="AA2130" s="15" t="n"/>
      <c r="AB2130" s="15" t="n"/>
      <c r="AF2130">
        <f>IF(AND($F2130="Closed",$X2130&gt;=DATE(2026,5,1),$X2130&lt;=DATE(2026,5,31)),"Closed in May","Other")</f>
        <v/>
      </c>
    </row>
    <row r="2131">
      <c r="A2131" s="37" t="n">
        <v>46143</v>
      </c>
      <c r="B2131" s="3" t="n">
        <v>2026</v>
      </c>
      <c r="C2131" s="26" t="inlineStr">
        <is>
          <t>Yanara Power</t>
        </is>
      </c>
      <c r="D2131" s="3" t="inlineStr">
        <is>
          <t>Utility and C&amp;I</t>
        </is>
      </c>
      <c r="E2131" s="3" t="n"/>
      <c r="F2131" s="3" t="inlineStr">
        <is>
          <t>Closed</t>
        </is>
      </c>
      <c r="G2131" s="9" t="inlineStr">
        <is>
          <t xml:space="preserve">Ashish Jindal </t>
        </is>
      </c>
      <c r="H2131" s="26" t="n">
        <v>9983975581</v>
      </c>
      <c r="I2131" s="38" t="inlineStr">
        <is>
          <t>PE01052601</t>
        </is>
      </c>
      <c r="J2131" s="26" t="inlineStr">
        <is>
          <t>Multiple Issues</t>
        </is>
      </c>
      <c r="K2131" s="39" t="inlineStr">
        <is>
          <t>Holi</t>
        </is>
      </c>
      <c r="L2131" s="39" t="inlineStr">
        <is>
          <t>Maharashtra</t>
        </is>
      </c>
      <c r="M2131" s="46" t="inlineStr">
        <is>
          <t>PS</t>
        </is>
      </c>
      <c r="N2131" s="3" t="inlineStr">
        <is>
          <t>Cold Soldering</t>
        </is>
      </c>
      <c r="O2131" s="56" t="n">
        <v>575</v>
      </c>
      <c r="P2131" s="46" t="inlineStr">
        <is>
          <t>NSMI24070204606</t>
        </is>
      </c>
      <c r="Q2131" s="54">
        <f>MID(P2131,5,2)</f>
        <v/>
      </c>
      <c r="R2131" s="53">
        <f>MID(P2131,7,2)</f>
        <v/>
      </c>
      <c r="S2131" s="3" t="inlineStr">
        <is>
          <t>G2G</t>
        </is>
      </c>
      <c r="T2131" s="3" t="inlineStr">
        <is>
          <t>P4</t>
        </is>
      </c>
      <c r="U2131" s="19" t="inlineStr">
        <is>
          <t>P JB Cold Soldering</t>
        </is>
      </c>
      <c r="V2131" s="19" t="inlineStr">
        <is>
          <t>Soldering</t>
        </is>
      </c>
      <c r="W2131" s="3" t="inlineStr">
        <is>
          <t>Repair</t>
        </is>
      </c>
      <c r="X2131" s="18" t="n">
        <v>46168</v>
      </c>
      <c r="Y2131" s="73">
        <f>IF(X2131="","",X2131-A2131)</f>
        <v/>
      </c>
      <c r="Z2131" s="18" t="n">
        <v>46168</v>
      </c>
      <c r="AA2131" s="15" t="n"/>
      <c r="AB2131" s="15" t="n"/>
      <c r="AF2131">
        <f>IF(AND($F2131="Closed",$X2131&gt;=DATE(2026,5,1),$X2131&lt;=DATE(2026,5,31)),"Closed in May","Other")</f>
        <v/>
      </c>
    </row>
    <row r="2132">
      <c r="A2132" s="37" t="n">
        <v>46143</v>
      </c>
      <c r="B2132" s="3" t="n">
        <v>2026</v>
      </c>
      <c r="C2132" s="26" t="inlineStr">
        <is>
          <t>Yanara Power</t>
        </is>
      </c>
      <c r="D2132" s="3" t="inlineStr">
        <is>
          <t>Utility and C&amp;I</t>
        </is>
      </c>
      <c r="E2132" s="3" t="n"/>
      <c r="F2132" s="3" t="inlineStr">
        <is>
          <t>Closed</t>
        </is>
      </c>
      <c r="G2132" s="9" t="inlineStr">
        <is>
          <t xml:space="preserve">Ashish Jindal </t>
        </is>
      </c>
      <c r="H2132" s="26" t="n">
        <v>9983975581</v>
      </c>
      <c r="I2132" s="38" t="inlineStr">
        <is>
          <t>PE01052601</t>
        </is>
      </c>
      <c r="J2132" s="26" t="inlineStr">
        <is>
          <t>Multiple Issues</t>
        </is>
      </c>
      <c r="K2132" s="39" t="inlineStr">
        <is>
          <t>Holi</t>
        </is>
      </c>
      <c r="L2132" s="39" t="inlineStr">
        <is>
          <t>Maharashtra</t>
        </is>
      </c>
      <c r="M2132" s="46" t="inlineStr">
        <is>
          <t>PNS</t>
        </is>
      </c>
      <c r="N2132" s="3" t="inlineStr">
        <is>
          <t>Cold Soldering</t>
        </is>
      </c>
      <c r="O2132" s="56" t="n">
        <v>575</v>
      </c>
      <c r="P2132" s="46" t="inlineStr">
        <is>
          <t>NSMI24070204600</t>
        </is>
      </c>
      <c r="Q2132" s="54">
        <f>MID(P2132,5,2)</f>
        <v/>
      </c>
      <c r="R2132" s="53">
        <f>MID(P2132,7,2)</f>
        <v/>
      </c>
      <c r="S2132" s="3" t="inlineStr">
        <is>
          <t>G2G</t>
        </is>
      </c>
      <c r="T2132" s="3" t="inlineStr">
        <is>
          <t>P4</t>
        </is>
      </c>
      <c r="U2132" s="3" t="inlineStr">
        <is>
          <t>P &amp; N JB Cold Soldering</t>
        </is>
      </c>
      <c r="V2132" s="3" t="inlineStr">
        <is>
          <t>Soldering</t>
        </is>
      </c>
      <c r="W2132" s="3" t="inlineStr">
        <is>
          <t>Repair</t>
        </is>
      </c>
      <c r="X2132" s="18" t="n">
        <v>46168</v>
      </c>
      <c r="Y2132" s="73">
        <f>IF(X2132="","",X2132-A2132)</f>
        <v/>
      </c>
      <c r="Z2132" s="18" t="n">
        <v>46168</v>
      </c>
      <c r="AA2132" s="15" t="n"/>
      <c r="AB2132" s="15" t="n"/>
      <c r="AF2132">
        <f>IF(AND($F2132="Closed",$X2132&gt;=DATE(2026,5,1),$X2132&lt;=DATE(2026,5,31)),"Closed in May","Other")</f>
        <v/>
      </c>
    </row>
    <row r="2133">
      <c r="A2133" s="37" t="n">
        <v>46143</v>
      </c>
      <c r="B2133" s="3" t="n">
        <v>2026</v>
      </c>
      <c r="C2133" s="26" t="inlineStr">
        <is>
          <t>Yanara Power</t>
        </is>
      </c>
      <c r="D2133" s="3" t="inlineStr">
        <is>
          <t>Utility and C&amp;I</t>
        </is>
      </c>
      <c r="E2133" s="3" t="n"/>
      <c r="F2133" s="3" t="inlineStr">
        <is>
          <t>Closed</t>
        </is>
      </c>
      <c r="G2133" s="9" t="inlineStr">
        <is>
          <t xml:space="preserve">Ashish Jindal </t>
        </is>
      </c>
      <c r="H2133" s="26" t="n">
        <v>9983975581</v>
      </c>
      <c r="I2133" s="38" t="inlineStr">
        <is>
          <t>PE01052601</t>
        </is>
      </c>
      <c r="J2133" s="26" t="inlineStr">
        <is>
          <t>Multiple Issues</t>
        </is>
      </c>
      <c r="K2133" s="39" t="inlineStr">
        <is>
          <t>Holi</t>
        </is>
      </c>
      <c r="L2133" s="39" t="inlineStr">
        <is>
          <t>Maharashtra</t>
        </is>
      </c>
      <c r="M2133" s="46" t="inlineStr">
        <is>
          <t>NS</t>
        </is>
      </c>
      <c r="N2133" s="3" t="inlineStr">
        <is>
          <t>Cold Soldering</t>
        </is>
      </c>
      <c r="O2133" s="56" t="n">
        <v>575</v>
      </c>
      <c r="P2133" s="46" t="inlineStr">
        <is>
          <t>NSMI24070175815</t>
        </is>
      </c>
      <c r="Q2133" s="54">
        <f>MID(P2133,5,2)</f>
        <v/>
      </c>
      <c r="R2133" s="53">
        <f>MID(P2133,7,2)</f>
        <v/>
      </c>
      <c r="S2133" s="3" t="inlineStr">
        <is>
          <t>G2G</t>
        </is>
      </c>
      <c r="T2133" s="3" t="inlineStr">
        <is>
          <t>P4</t>
        </is>
      </c>
      <c r="U2133" s="3" t="inlineStr">
        <is>
          <t>N JB Cold Soldering</t>
        </is>
      </c>
      <c r="V2133" s="3" t="inlineStr">
        <is>
          <t>Soldering</t>
        </is>
      </c>
      <c r="W2133" s="3" t="inlineStr">
        <is>
          <t>Repair</t>
        </is>
      </c>
      <c r="X2133" s="18" t="n">
        <v>46168</v>
      </c>
      <c r="Y2133" s="73">
        <f>IF(X2133="","",X2133-A2133)</f>
        <v/>
      </c>
      <c r="Z2133" s="18" t="n">
        <v>46168</v>
      </c>
      <c r="AA2133" s="15" t="n"/>
      <c r="AB2133" s="15" t="n"/>
      <c r="AF2133">
        <f>IF(AND($F2133="Closed",$X2133&gt;=DATE(2026,5,1),$X2133&lt;=DATE(2026,5,31)),"Closed in May","Other")</f>
        <v/>
      </c>
    </row>
    <row r="2134">
      <c r="A2134" s="37" t="n">
        <v>46143</v>
      </c>
      <c r="B2134" s="3" t="n">
        <v>2026</v>
      </c>
      <c r="C2134" s="26" t="inlineStr">
        <is>
          <t>Yanara Power</t>
        </is>
      </c>
      <c r="D2134" s="3" t="inlineStr">
        <is>
          <t>Utility and C&amp;I</t>
        </is>
      </c>
      <c r="E2134" s="3" t="n"/>
      <c r="F2134" s="3" t="inlineStr">
        <is>
          <t>Closed</t>
        </is>
      </c>
      <c r="G2134" s="9" t="inlineStr">
        <is>
          <t xml:space="preserve">Ashish Jindal </t>
        </is>
      </c>
      <c r="H2134" s="26" t="n">
        <v>9983975581</v>
      </c>
      <c r="I2134" s="38" t="inlineStr">
        <is>
          <t>PE01052601</t>
        </is>
      </c>
      <c r="J2134" s="26" t="inlineStr">
        <is>
          <t>Multiple Issues</t>
        </is>
      </c>
      <c r="K2134" s="39" t="inlineStr">
        <is>
          <t>Holi</t>
        </is>
      </c>
      <c r="L2134" s="39" t="inlineStr">
        <is>
          <t>Maharashtra</t>
        </is>
      </c>
      <c r="M2134" s="46" t="inlineStr">
        <is>
          <t>PS</t>
        </is>
      </c>
      <c r="N2134" s="3" t="inlineStr">
        <is>
          <t>Cold Soldering</t>
        </is>
      </c>
      <c r="O2134" s="56" t="n">
        <v>575</v>
      </c>
      <c r="P2134" s="46" t="inlineStr">
        <is>
          <t>NSMI24070178194</t>
        </is>
      </c>
      <c r="Q2134" s="54">
        <f>MID(P2134,5,2)</f>
        <v/>
      </c>
      <c r="R2134" s="53">
        <f>MID(P2134,7,2)</f>
        <v/>
      </c>
      <c r="S2134" s="3" t="inlineStr">
        <is>
          <t>G2G</t>
        </is>
      </c>
      <c r="T2134" s="3" t="inlineStr">
        <is>
          <t>P4</t>
        </is>
      </c>
      <c r="U2134" s="19" t="inlineStr">
        <is>
          <t>P JB Cold Soldering</t>
        </is>
      </c>
      <c r="V2134" s="19" t="inlineStr">
        <is>
          <t>Soldering</t>
        </is>
      </c>
      <c r="W2134" s="3" t="inlineStr">
        <is>
          <t>Repair</t>
        </is>
      </c>
      <c r="X2134" s="18" t="n">
        <v>46168</v>
      </c>
      <c r="Y2134" s="73">
        <f>IF(X2134="","",X2134-A2134)</f>
        <v/>
      </c>
      <c r="Z2134" s="18" t="n">
        <v>46168</v>
      </c>
      <c r="AA2134" s="15" t="n"/>
      <c r="AB2134" s="15" t="n"/>
      <c r="AF2134">
        <f>IF(AND($F2134="Closed",$X2134&gt;=DATE(2026,5,1),$X2134&lt;=DATE(2026,5,31)),"Closed in May","Other")</f>
        <v/>
      </c>
    </row>
    <row r="2135">
      <c r="A2135" s="37" t="n">
        <v>46143</v>
      </c>
      <c r="B2135" s="3" t="n">
        <v>2026</v>
      </c>
      <c r="C2135" s="26" t="inlineStr">
        <is>
          <t>Yanara Power</t>
        </is>
      </c>
      <c r="D2135" s="3" t="inlineStr">
        <is>
          <t>Utility and C&amp;I</t>
        </is>
      </c>
      <c r="E2135" s="3" t="n"/>
      <c r="F2135" s="3" t="inlineStr">
        <is>
          <t>Closed</t>
        </is>
      </c>
      <c r="G2135" s="9" t="inlineStr">
        <is>
          <t xml:space="preserve">Ashish Jindal </t>
        </is>
      </c>
      <c r="H2135" s="26" t="n">
        <v>9983975581</v>
      </c>
      <c r="I2135" s="38" t="inlineStr">
        <is>
          <t>PE01052601</t>
        </is>
      </c>
      <c r="J2135" s="26" t="inlineStr">
        <is>
          <t>Multiple Issues</t>
        </is>
      </c>
      <c r="K2135" s="39" t="inlineStr">
        <is>
          <t>Holi</t>
        </is>
      </c>
      <c r="L2135" s="39" t="inlineStr">
        <is>
          <t>Maharashtra</t>
        </is>
      </c>
      <c r="M2135" s="46" t="inlineStr">
        <is>
          <t>PS</t>
        </is>
      </c>
      <c r="N2135" s="3" t="inlineStr">
        <is>
          <t>Cold Soldering</t>
        </is>
      </c>
      <c r="O2135" s="56" t="n">
        <v>575</v>
      </c>
      <c r="P2135" s="46" t="inlineStr">
        <is>
          <t>NSMI24070176572</t>
        </is>
      </c>
      <c r="Q2135" s="54">
        <f>MID(P2135,5,2)</f>
        <v/>
      </c>
      <c r="R2135" s="53">
        <f>MID(P2135,7,2)</f>
        <v/>
      </c>
      <c r="S2135" s="3" t="inlineStr">
        <is>
          <t>G2G</t>
        </is>
      </c>
      <c r="T2135" s="3" t="inlineStr">
        <is>
          <t>P4</t>
        </is>
      </c>
      <c r="U2135" s="19" t="inlineStr">
        <is>
          <t>P JB Cold Soldering</t>
        </is>
      </c>
      <c r="V2135" s="19" t="inlineStr">
        <is>
          <t>Soldering</t>
        </is>
      </c>
      <c r="W2135" s="3" t="inlineStr">
        <is>
          <t>Repair</t>
        </is>
      </c>
      <c r="X2135" s="18" t="n">
        <v>46168</v>
      </c>
      <c r="Y2135" s="73">
        <f>IF(X2135="","",X2135-A2135)</f>
        <v/>
      </c>
      <c r="Z2135" s="18" t="n">
        <v>46168</v>
      </c>
      <c r="AA2135" s="15" t="n"/>
      <c r="AB2135" s="15" t="n"/>
      <c r="AF2135">
        <f>IF(AND($F2135="Closed",$X2135&gt;=DATE(2026,5,1),$X2135&lt;=DATE(2026,5,31)),"Closed in May","Other")</f>
        <v/>
      </c>
    </row>
    <row r="2136">
      <c r="A2136" s="37" t="n">
        <v>46143</v>
      </c>
      <c r="B2136" s="3" t="n">
        <v>2026</v>
      </c>
      <c r="C2136" s="26" t="inlineStr">
        <is>
          <t>Yanara Power</t>
        </is>
      </c>
      <c r="D2136" s="3" t="inlineStr">
        <is>
          <t>Utility and C&amp;I</t>
        </is>
      </c>
      <c r="E2136" s="3" t="n"/>
      <c r="F2136" s="3" t="inlineStr">
        <is>
          <t>Closed</t>
        </is>
      </c>
      <c r="G2136" s="9" t="inlineStr">
        <is>
          <t xml:space="preserve">Ashish Jindal </t>
        </is>
      </c>
      <c r="H2136" s="26" t="n">
        <v>9983975581</v>
      </c>
      <c r="I2136" s="38" t="inlineStr">
        <is>
          <t>PE01052601</t>
        </is>
      </c>
      <c r="J2136" s="26" t="inlineStr">
        <is>
          <t>Multiple Issues</t>
        </is>
      </c>
      <c r="K2136" s="39" t="inlineStr">
        <is>
          <t>Holi</t>
        </is>
      </c>
      <c r="L2136" s="39" t="inlineStr">
        <is>
          <t>Maharashtra</t>
        </is>
      </c>
      <c r="M2136" s="46" t="inlineStr">
        <is>
          <t>NS</t>
        </is>
      </c>
      <c r="N2136" s="3" t="inlineStr">
        <is>
          <t>Cold Soldering</t>
        </is>
      </c>
      <c r="O2136" s="56" t="n">
        <v>575</v>
      </c>
      <c r="P2136" s="46" t="inlineStr">
        <is>
          <t>NSMI24070176698</t>
        </is>
      </c>
      <c r="Q2136" s="54">
        <f>MID(P2136,5,2)</f>
        <v/>
      </c>
      <c r="R2136" s="53">
        <f>MID(P2136,7,2)</f>
        <v/>
      </c>
      <c r="S2136" s="3" t="inlineStr">
        <is>
          <t>G2G</t>
        </is>
      </c>
      <c r="T2136" s="3" t="inlineStr">
        <is>
          <t>P4</t>
        </is>
      </c>
      <c r="U2136" s="3" t="inlineStr">
        <is>
          <t>N JB Cold Soldering</t>
        </is>
      </c>
      <c r="V2136" s="3" t="inlineStr">
        <is>
          <t>Soldering</t>
        </is>
      </c>
      <c r="W2136" s="3" t="inlineStr">
        <is>
          <t>Repair</t>
        </is>
      </c>
      <c r="X2136" s="18" t="n">
        <v>46168</v>
      </c>
      <c r="Y2136" s="73">
        <f>IF(X2136="","",X2136-A2136)</f>
        <v/>
      </c>
      <c r="Z2136" s="18" t="n">
        <v>46168</v>
      </c>
      <c r="AA2136" s="15" t="n"/>
      <c r="AB2136" s="15" t="n"/>
      <c r="AF2136">
        <f>IF(AND($F2136="Closed",$X2136&gt;=DATE(2026,5,1),$X2136&lt;=DATE(2026,5,31)),"Closed in May","Other")</f>
        <v/>
      </c>
    </row>
    <row r="2137">
      <c r="A2137" s="37" t="n">
        <v>46143</v>
      </c>
      <c r="B2137" s="3" t="n">
        <v>2026</v>
      </c>
      <c r="C2137" s="26" t="inlineStr">
        <is>
          <t>Yanara Power</t>
        </is>
      </c>
      <c r="D2137" s="3" t="inlineStr">
        <is>
          <t>Utility and C&amp;I</t>
        </is>
      </c>
      <c r="E2137" s="3" t="n"/>
      <c r="F2137" s="3" t="inlineStr">
        <is>
          <t>Closed</t>
        </is>
      </c>
      <c r="G2137" s="9" t="inlineStr">
        <is>
          <t xml:space="preserve">Ashish Jindal </t>
        </is>
      </c>
      <c r="H2137" s="26" t="n">
        <v>9983975581</v>
      </c>
      <c r="I2137" s="38" t="inlineStr">
        <is>
          <t>PE01052601</t>
        </is>
      </c>
      <c r="J2137" s="26" t="inlineStr">
        <is>
          <t>Multiple Issues</t>
        </is>
      </c>
      <c r="K2137" s="39" t="inlineStr">
        <is>
          <t>Holi</t>
        </is>
      </c>
      <c r="L2137" s="39" t="inlineStr">
        <is>
          <t>Maharashtra</t>
        </is>
      </c>
      <c r="M2137" s="46" t="inlineStr">
        <is>
          <t>NS</t>
        </is>
      </c>
      <c r="N2137" s="3" t="inlineStr">
        <is>
          <t>Cold Soldering</t>
        </is>
      </c>
      <c r="O2137" s="56" t="n">
        <v>575</v>
      </c>
      <c r="P2137" s="46" t="inlineStr">
        <is>
          <t>NSMI24070176688</t>
        </is>
      </c>
      <c r="Q2137" s="54">
        <f>MID(P2137,5,2)</f>
        <v/>
      </c>
      <c r="R2137" s="53">
        <f>MID(P2137,7,2)</f>
        <v/>
      </c>
      <c r="S2137" s="3" t="inlineStr">
        <is>
          <t>G2G</t>
        </is>
      </c>
      <c r="T2137" s="3" t="inlineStr">
        <is>
          <t>P4</t>
        </is>
      </c>
      <c r="U2137" s="3" t="inlineStr">
        <is>
          <t>N JB Cold Soldering</t>
        </is>
      </c>
      <c r="V2137" s="3" t="inlineStr">
        <is>
          <t>Soldering</t>
        </is>
      </c>
      <c r="W2137" s="3" t="inlineStr">
        <is>
          <t>Repair</t>
        </is>
      </c>
      <c r="X2137" s="18" t="n">
        <v>46168</v>
      </c>
      <c r="Y2137" s="73">
        <f>IF(X2137="","",X2137-A2137)</f>
        <v/>
      </c>
      <c r="Z2137" s="18" t="n">
        <v>46168</v>
      </c>
      <c r="AA2137" s="15" t="n"/>
      <c r="AB2137" s="15" t="n"/>
      <c r="AF2137">
        <f>IF(AND($F2137="Closed",$X2137&gt;=DATE(2026,5,1),$X2137&lt;=DATE(2026,5,31)),"Closed in May","Other")</f>
        <v/>
      </c>
    </row>
    <row r="2138">
      <c r="A2138" s="37" t="n">
        <v>46143</v>
      </c>
      <c r="B2138" s="3" t="n">
        <v>2026</v>
      </c>
      <c r="C2138" s="26" t="inlineStr">
        <is>
          <t>Yanara Power</t>
        </is>
      </c>
      <c r="D2138" s="3" t="inlineStr">
        <is>
          <t>Utility and C&amp;I</t>
        </is>
      </c>
      <c r="E2138" s="3" t="n"/>
      <c r="F2138" s="3" t="inlineStr">
        <is>
          <t>Closed</t>
        </is>
      </c>
      <c r="G2138" s="9" t="inlineStr">
        <is>
          <t xml:space="preserve">Ashish Jindal </t>
        </is>
      </c>
      <c r="H2138" s="26" t="n">
        <v>9983975581</v>
      </c>
      <c r="I2138" s="38" t="inlineStr">
        <is>
          <t>PE01052601</t>
        </is>
      </c>
      <c r="J2138" s="26" t="inlineStr">
        <is>
          <t>Multiple Issues</t>
        </is>
      </c>
      <c r="K2138" s="39" t="inlineStr">
        <is>
          <t>Holi</t>
        </is>
      </c>
      <c r="L2138" s="39" t="inlineStr">
        <is>
          <t>Maharashtra</t>
        </is>
      </c>
      <c r="M2138" s="46" t="inlineStr">
        <is>
          <t>NS</t>
        </is>
      </c>
      <c r="N2138" s="3" t="inlineStr">
        <is>
          <t>Cold Soldering</t>
        </is>
      </c>
      <c r="O2138" s="56" t="n">
        <v>575</v>
      </c>
      <c r="P2138" s="46" t="inlineStr">
        <is>
          <t>NSMI24070176661</t>
        </is>
      </c>
      <c r="Q2138" s="54">
        <f>MID(P2138,5,2)</f>
        <v/>
      </c>
      <c r="R2138" s="53">
        <f>MID(P2138,7,2)</f>
        <v/>
      </c>
      <c r="S2138" s="3" t="inlineStr">
        <is>
          <t>G2G</t>
        </is>
      </c>
      <c r="T2138" s="3" t="inlineStr">
        <is>
          <t>P4</t>
        </is>
      </c>
      <c r="U2138" s="3" t="inlineStr">
        <is>
          <t>N JB Cold Soldering</t>
        </is>
      </c>
      <c r="V2138" s="3" t="inlineStr">
        <is>
          <t>Soldering</t>
        </is>
      </c>
      <c r="W2138" s="3" t="inlineStr">
        <is>
          <t>Repair</t>
        </is>
      </c>
      <c r="X2138" s="18" t="n">
        <v>46168</v>
      </c>
      <c r="Y2138" s="73">
        <f>IF(X2138="","",X2138-A2138)</f>
        <v/>
      </c>
      <c r="Z2138" s="18" t="n">
        <v>46168</v>
      </c>
      <c r="AA2138" s="15" t="n"/>
      <c r="AB2138" s="15" t="n"/>
      <c r="AF2138">
        <f>IF(AND($F2138="Closed",$X2138&gt;=DATE(2026,5,1),$X2138&lt;=DATE(2026,5,31)),"Closed in May","Other")</f>
        <v/>
      </c>
    </row>
    <row r="2139">
      <c r="A2139" s="37" t="n">
        <v>46143</v>
      </c>
      <c r="B2139" s="3" t="n">
        <v>2026</v>
      </c>
      <c r="C2139" s="26" t="inlineStr">
        <is>
          <t>Yanara Power</t>
        </is>
      </c>
      <c r="D2139" s="3" t="inlineStr">
        <is>
          <t>Utility and C&amp;I</t>
        </is>
      </c>
      <c r="E2139" s="3" t="n"/>
      <c r="F2139" s="3" t="inlineStr">
        <is>
          <t>Closed</t>
        </is>
      </c>
      <c r="G2139" s="9" t="inlineStr">
        <is>
          <t xml:space="preserve">Ashish Jindal </t>
        </is>
      </c>
      <c r="H2139" s="26" t="n">
        <v>9983975581</v>
      </c>
      <c r="I2139" s="38" t="inlineStr">
        <is>
          <t>PE01052601</t>
        </is>
      </c>
      <c r="J2139" s="26" t="inlineStr">
        <is>
          <t>Multiple Issues</t>
        </is>
      </c>
      <c r="K2139" s="39" t="inlineStr">
        <is>
          <t>Holi</t>
        </is>
      </c>
      <c r="L2139" s="39" t="inlineStr">
        <is>
          <t>Maharashtra</t>
        </is>
      </c>
      <c r="M2139" s="46" t="inlineStr">
        <is>
          <t>NS</t>
        </is>
      </c>
      <c r="N2139" s="3" t="inlineStr">
        <is>
          <t>Cold Soldering</t>
        </is>
      </c>
      <c r="O2139" s="56" t="n">
        <v>575</v>
      </c>
      <c r="P2139" s="46" t="inlineStr">
        <is>
          <t>NSMI24070176986</t>
        </is>
      </c>
      <c r="Q2139" s="54">
        <f>MID(P2139,5,2)</f>
        <v/>
      </c>
      <c r="R2139" s="53">
        <f>MID(P2139,7,2)</f>
        <v/>
      </c>
      <c r="S2139" s="3" t="inlineStr">
        <is>
          <t>G2G</t>
        </is>
      </c>
      <c r="T2139" s="3" t="inlineStr">
        <is>
          <t>P4</t>
        </is>
      </c>
      <c r="U2139" s="3" t="inlineStr">
        <is>
          <t>N JB Cold Soldering</t>
        </is>
      </c>
      <c r="V2139" s="3" t="inlineStr">
        <is>
          <t>Soldering</t>
        </is>
      </c>
      <c r="W2139" s="3" t="inlineStr">
        <is>
          <t>Repair</t>
        </is>
      </c>
      <c r="X2139" s="18" t="n">
        <v>46168</v>
      </c>
      <c r="Y2139" s="73">
        <f>IF(X2139="","",X2139-A2139)</f>
        <v/>
      </c>
      <c r="Z2139" s="18" t="n">
        <v>46168</v>
      </c>
      <c r="AA2139" s="15" t="n"/>
      <c r="AB2139" s="15" t="n"/>
      <c r="AF2139">
        <f>IF(AND($F2139="Closed",$X2139&gt;=DATE(2026,5,1),$X2139&lt;=DATE(2026,5,31)),"Closed in May","Other")</f>
        <v/>
      </c>
    </row>
    <row r="2140">
      <c r="A2140" s="37" t="n">
        <v>46143</v>
      </c>
      <c r="B2140" s="3" t="n">
        <v>2026</v>
      </c>
      <c r="C2140" s="26" t="inlineStr">
        <is>
          <t>Yanara Power</t>
        </is>
      </c>
      <c r="D2140" s="3" t="inlineStr">
        <is>
          <t>Utility and C&amp;I</t>
        </is>
      </c>
      <c r="E2140" s="3" t="n"/>
      <c r="F2140" s="3" t="inlineStr">
        <is>
          <t>Closed</t>
        </is>
      </c>
      <c r="G2140" s="9" t="inlineStr">
        <is>
          <t xml:space="preserve">Ashish Jindal </t>
        </is>
      </c>
      <c r="H2140" s="26" t="n">
        <v>9983975581</v>
      </c>
      <c r="I2140" s="38" t="inlineStr">
        <is>
          <t>PE01052601</t>
        </is>
      </c>
      <c r="J2140" s="26" t="inlineStr">
        <is>
          <t>Multiple Issues</t>
        </is>
      </c>
      <c r="K2140" s="39" t="inlineStr">
        <is>
          <t>Holi</t>
        </is>
      </c>
      <c r="L2140" s="39" t="inlineStr">
        <is>
          <t>Maharashtra</t>
        </is>
      </c>
      <c r="M2140" s="46" t="inlineStr">
        <is>
          <t>PS</t>
        </is>
      </c>
      <c r="N2140" s="3" t="inlineStr">
        <is>
          <t>Cold Soldering</t>
        </is>
      </c>
      <c r="O2140" s="56" t="n">
        <v>575</v>
      </c>
      <c r="P2140" s="46" t="inlineStr">
        <is>
          <t>NSMI24070190112</t>
        </is>
      </c>
      <c r="Q2140" s="54">
        <f>MID(P2140,5,2)</f>
        <v/>
      </c>
      <c r="R2140" s="53">
        <f>MID(P2140,7,2)</f>
        <v/>
      </c>
      <c r="S2140" s="3" t="inlineStr">
        <is>
          <t>G2G</t>
        </is>
      </c>
      <c r="T2140" s="3" t="inlineStr">
        <is>
          <t>P4</t>
        </is>
      </c>
      <c r="U2140" s="19" t="inlineStr">
        <is>
          <t>P JB Cold Soldering</t>
        </is>
      </c>
      <c r="V2140" s="19" t="inlineStr">
        <is>
          <t>Soldering</t>
        </is>
      </c>
      <c r="W2140" s="3" t="inlineStr">
        <is>
          <t>Repair</t>
        </is>
      </c>
      <c r="X2140" s="18" t="n">
        <v>46168</v>
      </c>
      <c r="Y2140" s="73">
        <f>IF(X2140="","",X2140-A2140)</f>
        <v/>
      </c>
      <c r="Z2140" s="18" t="n">
        <v>46168</v>
      </c>
      <c r="AA2140" s="15" t="n"/>
      <c r="AB2140" s="15" t="n"/>
      <c r="AF2140">
        <f>IF(AND($F2140="Closed",$X2140&gt;=DATE(2026,5,1),$X2140&lt;=DATE(2026,5,31)),"Closed in May","Other")</f>
        <v/>
      </c>
    </row>
    <row r="2141">
      <c r="A2141" s="37" t="n">
        <v>46143</v>
      </c>
      <c r="B2141" s="3" t="n">
        <v>2026</v>
      </c>
      <c r="C2141" s="26" t="inlineStr">
        <is>
          <t>Yanara Power</t>
        </is>
      </c>
      <c r="D2141" s="3" t="inlineStr">
        <is>
          <t>Utility and C&amp;I</t>
        </is>
      </c>
      <c r="E2141" s="3" t="n"/>
      <c r="F2141" s="3" t="inlineStr">
        <is>
          <t>Closed</t>
        </is>
      </c>
      <c r="G2141" s="9" t="inlineStr">
        <is>
          <t xml:space="preserve">Ashish Jindal </t>
        </is>
      </c>
      <c r="H2141" s="26" t="n">
        <v>9983975581</v>
      </c>
      <c r="I2141" s="38" t="inlineStr">
        <is>
          <t>PE01052601</t>
        </is>
      </c>
      <c r="J2141" s="26" t="inlineStr">
        <is>
          <t>Multiple Issues</t>
        </is>
      </c>
      <c r="K2141" s="39" t="inlineStr">
        <is>
          <t>Holi</t>
        </is>
      </c>
      <c r="L2141" s="39" t="inlineStr">
        <is>
          <t>Maharashtra</t>
        </is>
      </c>
      <c r="M2141" s="46" t="inlineStr">
        <is>
          <t>PS</t>
        </is>
      </c>
      <c r="N2141" s="3" t="inlineStr">
        <is>
          <t>Cold Soldering</t>
        </is>
      </c>
      <c r="O2141" s="56" t="n">
        <v>575</v>
      </c>
      <c r="P2141" s="46" t="inlineStr">
        <is>
          <t>NSMI24070190146</t>
        </is>
      </c>
      <c r="Q2141" s="54">
        <f>MID(P2141,5,2)</f>
        <v/>
      </c>
      <c r="R2141" s="53">
        <f>MID(P2141,7,2)</f>
        <v/>
      </c>
      <c r="S2141" s="3" t="inlineStr">
        <is>
          <t>G2G</t>
        </is>
      </c>
      <c r="T2141" s="3" t="inlineStr">
        <is>
          <t>P4</t>
        </is>
      </c>
      <c r="U2141" s="19" t="inlineStr">
        <is>
          <t>P JB Cold Soldering</t>
        </is>
      </c>
      <c r="V2141" s="19" t="inlineStr">
        <is>
          <t>Soldering</t>
        </is>
      </c>
      <c r="W2141" s="3" t="inlineStr">
        <is>
          <t>Repair</t>
        </is>
      </c>
      <c r="X2141" s="18" t="n">
        <v>46168</v>
      </c>
      <c r="Y2141" s="73">
        <f>IF(X2141="","",X2141-A2141)</f>
        <v/>
      </c>
      <c r="Z2141" s="18" t="n">
        <v>46168</v>
      </c>
      <c r="AA2141" s="15" t="n"/>
      <c r="AB2141" s="15" t="n"/>
      <c r="AF2141">
        <f>IF(AND($F2141="Closed",$X2141&gt;=DATE(2026,5,1),$X2141&lt;=DATE(2026,5,31)),"Closed in May","Other")</f>
        <v/>
      </c>
    </row>
    <row r="2142">
      <c r="A2142" s="37" t="n">
        <v>46143</v>
      </c>
      <c r="B2142" s="3" t="n">
        <v>2026</v>
      </c>
      <c r="C2142" s="26" t="inlineStr">
        <is>
          <t>Yanara Power</t>
        </is>
      </c>
      <c r="D2142" s="3" t="inlineStr">
        <is>
          <t>Utility and C&amp;I</t>
        </is>
      </c>
      <c r="E2142" s="3" t="n"/>
      <c r="F2142" s="3" t="inlineStr">
        <is>
          <t>Closed</t>
        </is>
      </c>
      <c r="G2142" s="9" t="inlineStr">
        <is>
          <t xml:space="preserve">Ashish Jindal </t>
        </is>
      </c>
      <c r="H2142" s="26" t="n">
        <v>9983975581</v>
      </c>
      <c r="I2142" s="38" t="inlineStr">
        <is>
          <t>PE01052601</t>
        </is>
      </c>
      <c r="J2142" s="26" t="inlineStr">
        <is>
          <t>Multiple Issues</t>
        </is>
      </c>
      <c r="K2142" s="39" t="inlineStr">
        <is>
          <t>Holi</t>
        </is>
      </c>
      <c r="L2142" s="39" t="inlineStr">
        <is>
          <t>Maharashtra</t>
        </is>
      </c>
      <c r="M2142" s="46" t="inlineStr">
        <is>
          <t>PS</t>
        </is>
      </c>
      <c r="N2142" s="3" t="inlineStr">
        <is>
          <t>Cold Soldering</t>
        </is>
      </c>
      <c r="O2142" s="56" t="n">
        <v>575</v>
      </c>
      <c r="P2142" s="46" t="inlineStr">
        <is>
          <t>NSMI24070189904</t>
        </is>
      </c>
      <c r="Q2142" s="54">
        <f>MID(P2142,5,2)</f>
        <v/>
      </c>
      <c r="R2142" s="53">
        <f>MID(P2142,7,2)</f>
        <v/>
      </c>
      <c r="S2142" s="3" t="inlineStr">
        <is>
          <t>G2G</t>
        </is>
      </c>
      <c r="T2142" s="3" t="inlineStr">
        <is>
          <t>P4</t>
        </is>
      </c>
      <c r="U2142" s="19" t="inlineStr">
        <is>
          <t>P JB Cold Soldering</t>
        </is>
      </c>
      <c r="V2142" s="19" t="inlineStr">
        <is>
          <t>Soldering</t>
        </is>
      </c>
      <c r="W2142" s="3" t="inlineStr">
        <is>
          <t>Repair</t>
        </is>
      </c>
      <c r="X2142" s="18" t="n">
        <v>46168</v>
      </c>
      <c r="Y2142" s="73">
        <f>IF(X2142="","",X2142-A2142)</f>
        <v/>
      </c>
      <c r="Z2142" s="18" t="n">
        <v>46168</v>
      </c>
      <c r="AA2142" s="15" t="n"/>
      <c r="AB2142" s="15" t="n"/>
      <c r="AF2142">
        <f>IF(AND($F2142="Closed",$X2142&gt;=DATE(2026,5,1),$X2142&lt;=DATE(2026,5,31)),"Closed in May","Other")</f>
        <v/>
      </c>
    </row>
    <row r="2143">
      <c r="A2143" s="37" t="n">
        <v>46143</v>
      </c>
      <c r="B2143" s="3" t="n">
        <v>2026</v>
      </c>
      <c r="C2143" s="26" t="inlineStr">
        <is>
          <t>Yanara Power</t>
        </is>
      </c>
      <c r="D2143" s="3" t="inlineStr">
        <is>
          <t>Utility and C&amp;I</t>
        </is>
      </c>
      <c r="E2143" s="3" t="n"/>
      <c r="F2143" s="3" t="inlineStr">
        <is>
          <t>Closed</t>
        </is>
      </c>
      <c r="G2143" s="9" t="inlineStr">
        <is>
          <t xml:space="preserve">Ashish Jindal </t>
        </is>
      </c>
      <c r="H2143" s="26" t="n">
        <v>9983975581</v>
      </c>
      <c r="I2143" s="38" t="inlineStr">
        <is>
          <t>PE01052601</t>
        </is>
      </c>
      <c r="J2143" s="26" t="inlineStr">
        <is>
          <t>Multiple Issues</t>
        </is>
      </c>
      <c r="K2143" s="39" t="inlineStr">
        <is>
          <t>Holi</t>
        </is>
      </c>
      <c r="L2143" s="39" t="inlineStr">
        <is>
          <t>Maharashtra</t>
        </is>
      </c>
      <c r="M2143" s="46" t="inlineStr">
        <is>
          <t>PS</t>
        </is>
      </c>
      <c r="N2143" s="3" t="inlineStr">
        <is>
          <t>Cold Soldering</t>
        </is>
      </c>
      <c r="O2143" s="56" t="n">
        <v>575</v>
      </c>
      <c r="P2143" s="46" t="inlineStr">
        <is>
          <t>NSMI24070189872</t>
        </is>
      </c>
      <c r="Q2143" s="54">
        <f>MID(P2143,5,2)</f>
        <v/>
      </c>
      <c r="R2143" s="53">
        <f>MID(P2143,7,2)</f>
        <v/>
      </c>
      <c r="S2143" s="3" t="inlineStr">
        <is>
          <t>G2G</t>
        </is>
      </c>
      <c r="T2143" s="3" t="inlineStr">
        <is>
          <t>P4</t>
        </is>
      </c>
      <c r="U2143" s="19" t="inlineStr">
        <is>
          <t>P JB Cold Soldering</t>
        </is>
      </c>
      <c r="V2143" s="19" t="inlineStr">
        <is>
          <t>Soldering</t>
        </is>
      </c>
      <c r="W2143" s="3" t="inlineStr">
        <is>
          <t>Repair</t>
        </is>
      </c>
      <c r="X2143" s="18" t="n">
        <v>46168</v>
      </c>
      <c r="Y2143" s="73">
        <f>IF(X2143="","",X2143-A2143)</f>
        <v/>
      </c>
      <c r="Z2143" s="18" t="n">
        <v>46168</v>
      </c>
      <c r="AA2143" s="15" t="n"/>
      <c r="AB2143" s="15" t="n"/>
      <c r="AF2143">
        <f>IF(AND($F2143="Closed",$X2143&gt;=DATE(2026,5,1),$X2143&lt;=DATE(2026,5,31)),"Closed in May","Other")</f>
        <v/>
      </c>
    </row>
    <row r="2144">
      <c r="A2144" s="37" t="n">
        <v>46143</v>
      </c>
      <c r="B2144" s="3" t="n">
        <v>2026</v>
      </c>
      <c r="C2144" s="26" t="inlineStr">
        <is>
          <t>Yanara Power</t>
        </is>
      </c>
      <c r="D2144" s="3" t="inlineStr">
        <is>
          <t>Utility and C&amp;I</t>
        </is>
      </c>
      <c r="E2144" s="3" t="n"/>
      <c r="F2144" s="3" t="inlineStr">
        <is>
          <t>Closed</t>
        </is>
      </c>
      <c r="G2144" s="9" t="inlineStr">
        <is>
          <t xml:space="preserve">Ashish Jindal </t>
        </is>
      </c>
      <c r="H2144" s="26" t="n">
        <v>9983975581</v>
      </c>
      <c r="I2144" s="38" t="inlineStr">
        <is>
          <t>PE01052601</t>
        </is>
      </c>
      <c r="J2144" s="26" t="inlineStr">
        <is>
          <t>Multiple Issues</t>
        </is>
      </c>
      <c r="K2144" s="39" t="inlineStr">
        <is>
          <t>Holi</t>
        </is>
      </c>
      <c r="L2144" s="39" t="inlineStr">
        <is>
          <t>Maharashtra</t>
        </is>
      </c>
      <c r="M2144" s="46" t="inlineStr">
        <is>
          <t>PS</t>
        </is>
      </c>
      <c r="N2144" s="3" t="inlineStr">
        <is>
          <t>Cold Soldering</t>
        </is>
      </c>
      <c r="O2144" s="56" t="n">
        <v>575</v>
      </c>
      <c r="P2144" s="46" t="inlineStr">
        <is>
          <t>NSMI24070197198</t>
        </is>
      </c>
      <c r="Q2144" s="54">
        <f>MID(P2144,5,2)</f>
        <v/>
      </c>
      <c r="R2144" s="53">
        <f>MID(P2144,7,2)</f>
        <v/>
      </c>
      <c r="S2144" s="3" t="inlineStr">
        <is>
          <t>G2G</t>
        </is>
      </c>
      <c r="T2144" s="3" t="inlineStr">
        <is>
          <t>P4</t>
        </is>
      </c>
      <c r="U2144" s="19" t="inlineStr">
        <is>
          <t>P JB Cold Soldering</t>
        </is>
      </c>
      <c r="V2144" s="19" t="inlineStr">
        <is>
          <t>Soldering</t>
        </is>
      </c>
      <c r="W2144" s="3" t="inlineStr">
        <is>
          <t>Repair</t>
        </is>
      </c>
      <c r="X2144" s="18" t="n">
        <v>46168</v>
      </c>
      <c r="Y2144" s="73">
        <f>IF(X2144="","",X2144-A2144)</f>
        <v/>
      </c>
      <c r="Z2144" s="18" t="n">
        <v>46168</v>
      </c>
      <c r="AA2144" s="15" t="n"/>
      <c r="AB2144" s="15" t="n"/>
      <c r="AF2144">
        <f>IF(AND($F2144="Closed",$X2144&gt;=DATE(2026,5,1),$X2144&lt;=DATE(2026,5,31)),"Closed in May","Other")</f>
        <v/>
      </c>
    </row>
    <row r="2145">
      <c r="A2145" s="37" t="n">
        <v>46143</v>
      </c>
      <c r="B2145" s="3" t="n">
        <v>2026</v>
      </c>
      <c r="C2145" s="26" t="inlineStr">
        <is>
          <t>Yanara Power</t>
        </is>
      </c>
      <c r="D2145" s="3" t="inlineStr">
        <is>
          <t>Utility and C&amp;I</t>
        </is>
      </c>
      <c r="E2145" s="3" t="n"/>
      <c r="F2145" s="3" t="inlineStr">
        <is>
          <t>Closed</t>
        </is>
      </c>
      <c r="G2145" s="9" t="inlineStr">
        <is>
          <t xml:space="preserve">Ashish Jindal </t>
        </is>
      </c>
      <c r="H2145" s="26" t="n">
        <v>9983975581</v>
      </c>
      <c r="I2145" s="38" t="inlineStr">
        <is>
          <t>PE01052601</t>
        </is>
      </c>
      <c r="J2145" s="26" t="inlineStr">
        <is>
          <t>Multiple Issues</t>
        </is>
      </c>
      <c r="K2145" s="39" t="inlineStr">
        <is>
          <t>Holi</t>
        </is>
      </c>
      <c r="L2145" s="39" t="inlineStr">
        <is>
          <t>Maharashtra</t>
        </is>
      </c>
      <c r="M2145" s="46" t="inlineStr">
        <is>
          <t>PS</t>
        </is>
      </c>
      <c r="N2145" s="3" t="inlineStr">
        <is>
          <t>Cold Soldering</t>
        </is>
      </c>
      <c r="O2145" s="56" t="n">
        <v>575</v>
      </c>
      <c r="P2145" s="46" t="inlineStr">
        <is>
          <t>NSMI24070180187</t>
        </is>
      </c>
      <c r="Q2145" s="54">
        <f>MID(P2145,5,2)</f>
        <v/>
      </c>
      <c r="R2145" s="53">
        <f>MID(P2145,7,2)</f>
        <v/>
      </c>
      <c r="S2145" s="3" t="inlineStr">
        <is>
          <t>G2G</t>
        </is>
      </c>
      <c r="T2145" s="3" t="inlineStr">
        <is>
          <t>P4</t>
        </is>
      </c>
      <c r="U2145" s="19" t="inlineStr">
        <is>
          <t>P JB Cold Soldering</t>
        </is>
      </c>
      <c r="V2145" s="19" t="inlineStr">
        <is>
          <t>Soldering</t>
        </is>
      </c>
      <c r="W2145" s="3" t="inlineStr">
        <is>
          <t>Repair</t>
        </is>
      </c>
      <c r="X2145" s="18" t="n">
        <v>46168</v>
      </c>
      <c r="Y2145" s="73">
        <f>IF(X2145="","",X2145-A2145)</f>
        <v/>
      </c>
      <c r="Z2145" s="18" t="n">
        <v>46168</v>
      </c>
      <c r="AA2145" s="15" t="n"/>
      <c r="AB2145" s="15" t="n"/>
      <c r="AF2145">
        <f>IF(AND($F2145="Closed",$X2145&gt;=DATE(2026,5,1),$X2145&lt;=DATE(2026,5,31)),"Closed in May","Other")</f>
        <v/>
      </c>
    </row>
    <row r="2146">
      <c r="A2146" s="37" t="n">
        <v>46143</v>
      </c>
      <c r="B2146" s="3" t="n">
        <v>2026</v>
      </c>
      <c r="C2146" s="26" t="inlineStr">
        <is>
          <t>Yanara Power</t>
        </is>
      </c>
      <c r="D2146" s="3" t="inlineStr">
        <is>
          <t>Utility and C&amp;I</t>
        </is>
      </c>
      <c r="E2146" s="3" t="n"/>
      <c r="F2146" s="3" t="inlineStr">
        <is>
          <t>Closed</t>
        </is>
      </c>
      <c r="G2146" s="9" t="inlineStr">
        <is>
          <t xml:space="preserve">Ashish Jindal </t>
        </is>
      </c>
      <c r="H2146" s="26" t="n">
        <v>9983975581</v>
      </c>
      <c r="I2146" s="38" t="inlineStr">
        <is>
          <t>PE01052601</t>
        </is>
      </c>
      <c r="J2146" s="26" t="inlineStr">
        <is>
          <t>Multiple Issues</t>
        </is>
      </c>
      <c r="K2146" s="39" t="inlineStr">
        <is>
          <t>Holi</t>
        </is>
      </c>
      <c r="L2146" s="39" t="inlineStr">
        <is>
          <t>Maharashtra</t>
        </is>
      </c>
      <c r="M2146" s="46" t="inlineStr">
        <is>
          <t>PS</t>
        </is>
      </c>
      <c r="N2146" s="3" t="inlineStr">
        <is>
          <t>Cold Soldering</t>
        </is>
      </c>
      <c r="O2146" s="56" t="n">
        <v>575</v>
      </c>
      <c r="P2146" s="46" t="inlineStr">
        <is>
          <t>NSMI24070180244</t>
        </is>
      </c>
      <c r="Q2146" s="54">
        <f>MID(P2146,5,2)</f>
        <v/>
      </c>
      <c r="R2146" s="53">
        <f>MID(P2146,7,2)</f>
        <v/>
      </c>
      <c r="S2146" s="3" t="inlineStr">
        <is>
          <t>G2G</t>
        </is>
      </c>
      <c r="T2146" s="3" t="inlineStr">
        <is>
          <t>P4</t>
        </is>
      </c>
      <c r="U2146" s="19" t="inlineStr">
        <is>
          <t>P JB Cold Soldering</t>
        </is>
      </c>
      <c r="V2146" s="19" t="inlineStr">
        <is>
          <t>Soldering</t>
        </is>
      </c>
      <c r="W2146" s="3" t="inlineStr">
        <is>
          <t>Repair</t>
        </is>
      </c>
      <c r="X2146" s="18" t="n">
        <v>46168</v>
      </c>
      <c r="Y2146" s="73">
        <f>IF(X2146="","",X2146-A2146)</f>
        <v/>
      </c>
      <c r="Z2146" s="18" t="n">
        <v>46168</v>
      </c>
      <c r="AA2146" s="15" t="n"/>
      <c r="AB2146" s="15" t="n"/>
      <c r="AF2146">
        <f>IF(AND($F2146="Closed",$X2146&gt;=DATE(2026,5,1),$X2146&lt;=DATE(2026,5,31)),"Closed in May","Other")</f>
        <v/>
      </c>
    </row>
    <row r="2147">
      <c r="A2147" s="37" t="n">
        <v>46143</v>
      </c>
      <c r="B2147" s="3" t="n">
        <v>2026</v>
      </c>
      <c r="C2147" s="26" t="inlineStr">
        <is>
          <t>Yanara Power</t>
        </is>
      </c>
      <c r="D2147" s="3" t="inlineStr">
        <is>
          <t>Utility and C&amp;I</t>
        </is>
      </c>
      <c r="E2147" s="3" t="n"/>
      <c r="F2147" s="3" t="inlineStr">
        <is>
          <t>Closed</t>
        </is>
      </c>
      <c r="G2147" s="9" t="inlineStr">
        <is>
          <t xml:space="preserve">Ashish Jindal </t>
        </is>
      </c>
      <c r="H2147" s="26" t="n">
        <v>9983975581</v>
      </c>
      <c r="I2147" s="38" t="inlineStr">
        <is>
          <t>PE01052601</t>
        </is>
      </c>
      <c r="J2147" s="26" t="inlineStr">
        <is>
          <t>Multiple Issues</t>
        </is>
      </c>
      <c r="K2147" s="39" t="inlineStr">
        <is>
          <t>Holi</t>
        </is>
      </c>
      <c r="L2147" s="39" t="inlineStr">
        <is>
          <t>Maharashtra</t>
        </is>
      </c>
      <c r="M2147" s="46" t="inlineStr">
        <is>
          <t>PS</t>
        </is>
      </c>
      <c r="N2147" s="3" t="inlineStr">
        <is>
          <t>Cold Soldering</t>
        </is>
      </c>
      <c r="O2147" s="56" t="n">
        <v>575</v>
      </c>
      <c r="P2147" s="46" t="inlineStr">
        <is>
          <t>NSMI24070180268</t>
        </is>
      </c>
      <c r="Q2147" s="54">
        <f>MID(P2147,5,2)</f>
        <v/>
      </c>
      <c r="R2147" s="53">
        <f>MID(P2147,7,2)</f>
        <v/>
      </c>
      <c r="S2147" s="3" t="inlineStr">
        <is>
          <t>G2G</t>
        </is>
      </c>
      <c r="T2147" s="3" t="inlineStr">
        <is>
          <t>P4</t>
        </is>
      </c>
      <c r="U2147" s="19" t="inlineStr">
        <is>
          <t>P JB Cold Soldering</t>
        </is>
      </c>
      <c r="V2147" s="19" t="inlineStr">
        <is>
          <t>Soldering</t>
        </is>
      </c>
      <c r="W2147" s="3" t="inlineStr">
        <is>
          <t>Repair</t>
        </is>
      </c>
      <c r="X2147" s="18" t="n">
        <v>46168</v>
      </c>
      <c r="Y2147" s="73">
        <f>IF(X2147="","",X2147-A2147)</f>
        <v/>
      </c>
      <c r="Z2147" s="18" t="n">
        <v>46168</v>
      </c>
      <c r="AA2147" s="15" t="n"/>
      <c r="AB2147" s="15" t="n"/>
      <c r="AF2147">
        <f>IF(AND($F2147="Closed",$X2147&gt;=DATE(2026,5,1),$X2147&lt;=DATE(2026,5,31)),"Closed in May","Other")</f>
        <v/>
      </c>
    </row>
    <row r="2148">
      <c r="A2148" s="37" t="n">
        <v>46143</v>
      </c>
      <c r="B2148" s="3" t="n">
        <v>2026</v>
      </c>
      <c r="C2148" s="26" t="inlineStr">
        <is>
          <t>Yanara Power</t>
        </is>
      </c>
      <c r="D2148" s="3" t="inlineStr">
        <is>
          <t>Utility and C&amp;I</t>
        </is>
      </c>
      <c r="E2148" s="3" t="n"/>
      <c r="F2148" s="3" t="inlineStr">
        <is>
          <t>Closed</t>
        </is>
      </c>
      <c r="G2148" s="9" t="inlineStr">
        <is>
          <t xml:space="preserve">Ashish Jindal </t>
        </is>
      </c>
      <c r="H2148" s="26" t="n">
        <v>9983975581</v>
      </c>
      <c r="I2148" s="38" t="inlineStr">
        <is>
          <t>PE01052601</t>
        </is>
      </c>
      <c r="J2148" s="26" t="inlineStr">
        <is>
          <t>Multiple Issues</t>
        </is>
      </c>
      <c r="K2148" s="39" t="inlineStr">
        <is>
          <t>Holi</t>
        </is>
      </c>
      <c r="L2148" s="39" t="inlineStr">
        <is>
          <t>Maharashtra</t>
        </is>
      </c>
      <c r="M2148" s="46" t="inlineStr">
        <is>
          <t>PS</t>
        </is>
      </c>
      <c r="N2148" s="3" t="inlineStr">
        <is>
          <t>Cold Soldering</t>
        </is>
      </c>
      <c r="O2148" s="56" t="n">
        <v>575</v>
      </c>
      <c r="P2148" s="46" t="inlineStr">
        <is>
          <t>NSMI24070180239</t>
        </is>
      </c>
      <c r="Q2148" s="54">
        <f>MID(P2148,5,2)</f>
        <v/>
      </c>
      <c r="R2148" s="53">
        <f>MID(P2148,7,2)</f>
        <v/>
      </c>
      <c r="S2148" s="3" t="inlineStr">
        <is>
          <t>G2G</t>
        </is>
      </c>
      <c r="T2148" s="3" t="inlineStr">
        <is>
          <t>P4</t>
        </is>
      </c>
      <c r="U2148" s="19" t="inlineStr">
        <is>
          <t>P JB Cold Soldering</t>
        </is>
      </c>
      <c r="V2148" s="19" t="inlineStr">
        <is>
          <t>Soldering</t>
        </is>
      </c>
      <c r="W2148" s="3" t="inlineStr">
        <is>
          <t>Repair</t>
        </is>
      </c>
      <c r="X2148" s="18" t="n">
        <v>46168</v>
      </c>
      <c r="Y2148" s="73">
        <f>IF(X2148="","",X2148-A2148)</f>
        <v/>
      </c>
      <c r="Z2148" s="18" t="n">
        <v>46168</v>
      </c>
      <c r="AA2148" s="15" t="n"/>
      <c r="AB2148" s="15" t="n"/>
      <c r="AF2148">
        <f>IF(AND($F2148="Closed",$X2148&gt;=DATE(2026,5,1),$X2148&lt;=DATE(2026,5,31)),"Closed in May","Other")</f>
        <v/>
      </c>
    </row>
    <row r="2149">
      <c r="A2149" s="37" t="n">
        <v>46143</v>
      </c>
      <c r="B2149" s="3" t="n">
        <v>2026</v>
      </c>
      <c r="C2149" s="26" t="inlineStr">
        <is>
          <t>Yanara Power</t>
        </is>
      </c>
      <c r="D2149" s="3" t="inlineStr">
        <is>
          <t>Utility and C&amp;I</t>
        </is>
      </c>
      <c r="E2149" s="3" t="n"/>
      <c r="F2149" s="3" t="inlineStr">
        <is>
          <t>Closed</t>
        </is>
      </c>
      <c r="G2149" s="9" t="inlineStr">
        <is>
          <t xml:space="preserve">Ashish Jindal </t>
        </is>
      </c>
      <c r="H2149" s="26" t="n">
        <v>9983975581</v>
      </c>
      <c r="I2149" s="38" t="inlineStr">
        <is>
          <t>PE01052601</t>
        </is>
      </c>
      <c r="J2149" s="26" t="inlineStr">
        <is>
          <t>Multiple Issues</t>
        </is>
      </c>
      <c r="K2149" s="39" t="inlineStr">
        <is>
          <t>Holi</t>
        </is>
      </c>
      <c r="L2149" s="39" t="inlineStr">
        <is>
          <t>Maharashtra</t>
        </is>
      </c>
      <c r="M2149" s="46" t="inlineStr">
        <is>
          <t>PS</t>
        </is>
      </c>
      <c r="N2149" s="3" t="inlineStr">
        <is>
          <t>Cold Soldering</t>
        </is>
      </c>
      <c r="O2149" s="56" t="n">
        <v>575</v>
      </c>
      <c r="P2149" s="46" t="inlineStr">
        <is>
          <t>NSMI24070178212</t>
        </is>
      </c>
      <c r="Q2149" s="54">
        <f>MID(P2149,5,2)</f>
        <v/>
      </c>
      <c r="R2149" s="53">
        <f>MID(P2149,7,2)</f>
        <v/>
      </c>
      <c r="S2149" s="3" t="inlineStr">
        <is>
          <t>G2G</t>
        </is>
      </c>
      <c r="T2149" s="3" t="inlineStr">
        <is>
          <t>P4</t>
        </is>
      </c>
      <c r="U2149" s="19" t="inlineStr">
        <is>
          <t>P JB Cold Soldering</t>
        </is>
      </c>
      <c r="V2149" s="19" t="inlineStr">
        <is>
          <t>Soldering</t>
        </is>
      </c>
      <c r="W2149" s="3" t="inlineStr">
        <is>
          <t>Repair</t>
        </is>
      </c>
      <c r="X2149" s="18" t="n">
        <v>46168</v>
      </c>
      <c r="Y2149" s="73">
        <f>IF(X2149="","",X2149-A2149)</f>
        <v/>
      </c>
      <c r="Z2149" s="18" t="n">
        <v>46168</v>
      </c>
      <c r="AA2149" s="15" t="n"/>
      <c r="AB2149" s="15" t="n"/>
      <c r="AF2149">
        <f>IF(AND($F2149="Closed",$X2149&gt;=DATE(2026,5,1),$X2149&lt;=DATE(2026,5,31)),"Closed in May","Other")</f>
        <v/>
      </c>
    </row>
    <row r="2150">
      <c r="A2150" s="37" t="n">
        <v>46143</v>
      </c>
      <c r="B2150" s="3" t="n">
        <v>2026</v>
      </c>
      <c r="C2150" s="26" t="inlineStr">
        <is>
          <t>Yanara Power</t>
        </is>
      </c>
      <c r="D2150" s="3" t="inlineStr">
        <is>
          <t>Utility and C&amp;I</t>
        </is>
      </c>
      <c r="E2150" s="3" t="n"/>
      <c r="F2150" s="3" t="inlineStr">
        <is>
          <t>Closed</t>
        </is>
      </c>
      <c r="G2150" s="9" t="inlineStr">
        <is>
          <t xml:space="preserve">Ashish Jindal </t>
        </is>
      </c>
      <c r="H2150" s="26" t="n">
        <v>9983975581</v>
      </c>
      <c r="I2150" s="38" t="inlineStr">
        <is>
          <t>PE01052601</t>
        </is>
      </c>
      <c r="J2150" s="26" t="inlineStr">
        <is>
          <t>Multiple Issues</t>
        </is>
      </c>
      <c r="K2150" s="39" t="inlineStr">
        <is>
          <t>Holi</t>
        </is>
      </c>
      <c r="L2150" s="39" t="inlineStr">
        <is>
          <t>Maharashtra</t>
        </is>
      </c>
      <c r="M2150" s="46" t="inlineStr">
        <is>
          <t>NS</t>
        </is>
      </c>
      <c r="N2150" s="3" t="inlineStr">
        <is>
          <t>Cold Soldering</t>
        </is>
      </c>
      <c r="O2150" s="56" t="n">
        <v>575</v>
      </c>
      <c r="P2150" s="46" t="inlineStr">
        <is>
          <t>NSMI24070188335</t>
        </is>
      </c>
      <c r="Q2150" s="54">
        <f>MID(P2150,5,2)</f>
        <v/>
      </c>
      <c r="R2150" s="53">
        <f>MID(P2150,7,2)</f>
        <v/>
      </c>
      <c r="S2150" s="3" t="inlineStr">
        <is>
          <t>G2G</t>
        </is>
      </c>
      <c r="T2150" s="3" t="inlineStr">
        <is>
          <t>P4</t>
        </is>
      </c>
      <c r="U2150" s="3" t="inlineStr">
        <is>
          <t>N JB Cold Soldering</t>
        </is>
      </c>
      <c r="V2150" s="3" t="inlineStr">
        <is>
          <t>Soldering</t>
        </is>
      </c>
      <c r="W2150" s="3" t="inlineStr">
        <is>
          <t>Repair</t>
        </is>
      </c>
      <c r="X2150" s="18" t="n">
        <v>46168</v>
      </c>
      <c r="Y2150" s="73">
        <f>IF(X2150="","",X2150-A2150)</f>
        <v/>
      </c>
      <c r="Z2150" s="18" t="n">
        <v>46168</v>
      </c>
      <c r="AA2150" s="15" t="n"/>
      <c r="AB2150" s="15" t="n"/>
      <c r="AF2150">
        <f>IF(AND($F2150="Closed",$X2150&gt;=DATE(2026,5,1),$X2150&lt;=DATE(2026,5,31)),"Closed in May","Other")</f>
        <v/>
      </c>
    </row>
    <row r="2151">
      <c r="A2151" s="37" t="n">
        <v>46143</v>
      </c>
      <c r="B2151" s="3" t="n">
        <v>2026</v>
      </c>
      <c r="C2151" s="26" t="inlineStr">
        <is>
          <t>Yanara Power</t>
        </is>
      </c>
      <c r="D2151" s="3" t="inlineStr">
        <is>
          <t>Utility and C&amp;I</t>
        </is>
      </c>
      <c r="E2151" s="3" t="n"/>
      <c r="F2151" s="3" t="inlineStr">
        <is>
          <t>Closed</t>
        </is>
      </c>
      <c r="G2151" s="9" t="inlineStr">
        <is>
          <t xml:space="preserve">Ashish Jindal </t>
        </is>
      </c>
      <c r="H2151" s="26" t="n">
        <v>9983975581</v>
      </c>
      <c r="I2151" s="38" t="inlineStr">
        <is>
          <t>PE01052601</t>
        </is>
      </c>
      <c r="J2151" s="26" t="inlineStr">
        <is>
          <t>Multiple Issues</t>
        </is>
      </c>
      <c r="K2151" s="39" t="inlineStr">
        <is>
          <t>Holi</t>
        </is>
      </c>
      <c r="L2151" s="39" t="inlineStr">
        <is>
          <t>Maharashtra</t>
        </is>
      </c>
      <c r="M2151" s="46" t="inlineStr">
        <is>
          <t>PS</t>
        </is>
      </c>
      <c r="N2151" s="3" t="inlineStr">
        <is>
          <t>Cold Soldering</t>
        </is>
      </c>
      <c r="O2151" s="56" t="n">
        <v>575</v>
      </c>
      <c r="P2151" s="46" t="inlineStr">
        <is>
          <t>NSMI24070200707</t>
        </is>
      </c>
      <c r="Q2151" s="54">
        <f>MID(P2151,5,2)</f>
        <v/>
      </c>
      <c r="R2151" s="53">
        <f>MID(P2151,7,2)</f>
        <v/>
      </c>
      <c r="S2151" s="3" t="inlineStr">
        <is>
          <t>G2G</t>
        </is>
      </c>
      <c r="T2151" s="3" t="inlineStr">
        <is>
          <t>P4</t>
        </is>
      </c>
      <c r="U2151" s="19" t="inlineStr">
        <is>
          <t>P JB Cold Soldering</t>
        </is>
      </c>
      <c r="V2151" s="19" t="inlineStr">
        <is>
          <t>Soldering</t>
        </is>
      </c>
      <c r="W2151" s="3" t="inlineStr">
        <is>
          <t>Repair</t>
        </is>
      </c>
      <c r="X2151" s="18" t="n">
        <v>46168</v>
      </c>
      <c r="Y2151" s="73">
        <f>IF(X2151="","",X2151-A2151)</f>
        <v/>
      </c>
      <c r="Z2151" s="18" t="n">
        <v>46168</v>
      </c>
      <c r="AA2151" s="15" t="n"/>
      <c r="AB2151" s="15" t="n"/>
      <c r="AF2151">
        <f>IF(AND($F2151="Closed",$X2151&gt;=DATE(2026,5,1),$X2151&lt;=DATE(2026,5,31)),"Closed in May","Other")</f>
        <v/>
      </c>
    </row>
    <row r="2152">
      <c r="A2152" s="37" t="n">
        <v>46143</v>
      </c>
      <c r="B2152" s="3" t="n">
        <v>2026</v>
      </c>
      <c r="C2152" s="26" t="inlineStr">
        <is>
          <t>Yanara Power</t>
        </is>
      </c>
      <c r="D2152" s="3" t="inlineStr">
        <is>
          <t>Utility and C&amp;I</t>
        </is>
      </c>
      <c r="E2152" s="3" t="n"/>
      <c r="F2152" s="3" t="inlineStr">
        <is>
          <t>Closed</t>
        </is>
      </c>
      <c r="G2152" s="9" t="inlineStr">
        <is>
          <t xml:space="preserve">Ashish Jindal </t>
        </is>
      </c>
      <c r="H2152" s="26" t="n">
        <v>9983975581</v>
      </c>
      <c r="I2152" s="38" t="inlineStr">
        <is>
          <t>PE01052601</t>
        </is>
      </c>
      <c r="J2152" s="26" t="inlineStr">
        <is>
          <t>Multiple Issues</t>
        </is>
      </c>
      <c r="K2152" s="39" t="inlineStr">
        <is>
          <t>Holi</t>
        </is>
      </c>
      <c r="L2152" s="39" t="inlineStr">
        <is>
          <t>Maharashtra</t>
        </is>
      </c>
      <c r="M2152" s="46" t="inlineStr">
        <is>
          <t>PS</t>
        </is>
      </c>
      <c r="N2152" s="3" t="inlineStr">
        <is>
          <t>Cold Soldering</t>
        </is>
      </c>
      <c r="O2152" s="56" t="n">
        <v>575</v>
      </c>
      <c r="P2152" s="46" t="inlineStr">
        <is>
          <t>NSMI24070201075</t>
        </is>
      </c>
      <c r="Q2152" s="54">
        <f>MID(P2152,5,2)</f>
        <v/>
      </c>
      <c r="R2152" s="53">
        <f>MID(P2152,7,2)</f>
        <v/>
      </c>
      <c r="S2152" s="3" t="inlineStr">
        <is>
          <t>G2G</t>
        </is>
      </c>
      <c r="T2152" s="3" t="inlineStr">
        <is>
          <t>P4</t>
        </is>
      </c>
      <c r="U2152" s="19" t="inlineStr">
        <is>
          <t>P JB Cold Soldering</t>
        </is>
      </c>
      <c r="V2152" s="19" t="inlineStr">
        <is>
          <t>Soldering</t>
        </is>
      </c>
      <c r="W2152" s="3" t="inlineStr">
        <is>
          <t>Repair</t>
        </is>
      </c>
      <c r="X2152" s="18" t="n">
        <v>46168</v>
      </c>
      <c r="Y2152" s="73">
        <f>IF(X2152="","",X2152-A2152)</f>
        <v/>
      </c>
      <c r="Z2152" s="18" t="n">
        <v>46168</v>
      </c>
      <c r="AA2152" s="15" t="n"/>
      <c r="AB2152" s="15" t="n"/>
      <c r="AF2152">
        <f>IF(AND($F2152="Closed",$X2152&gt;=DATE(2026,5,1),$X2152&lt;=DATE(2026,5,31)),"Closed in May","Other")</f>
        <v/>
      </c>
    </row>
    <row r="2153">
      <c r="A2153" s="37" t="n">
        <v>46143</v>
      </c>
      <c r="B2153" s="3" t="n">
        <v>2026</v>
      </c>
      <c r="C2153" s="26" t="inlineStr">
        <is>
          <t>Yanara Power</t>
        </is>
      </c>
      <c r="D2153" s="3" t="inlineStr">
        <is>
          <t>Utility and C&amp;I</t>
        </is>
      </c>
      <c r="E2153" s="3" t="n"/>
      <c r="F2153" s="3" t="inlineStr">
        <is>
          <t>Closed</t>
        </is>
      </c>
      <c r="G2153" s="9" t="inlineStr">
        <is>
          <t xml:space="preserve">Ashish Jindal </t>
        </is>
      </c>
      <c r="H2153" s="26" t="n">
        <v>9983975581</v>
      </c>
      <c r="I2153" s="38" t="inlineStr">
        <is>
          <t>PE01052601</t>
        </is>
      </c>
      <c r="J2153" s="26" t="inlineStr">
        <is>
          <t>Multiple Issues</t>
        </is>
      </c>
      <c r="K2153" s="39" t="inlineStr">
        <is>
          <t>Holi</t>
        </is>
      </c>
      <c r="L2153" s="39" t="inlineStr">
        <is>
          <t>Maharashtra</t>
        </is>
      </c>
      <c r="M2153" s="46" t="inlineStr">
        <is>
          <t>PS</t>
        </is>
      </c>
      <c r="N2153" s="3" t="inlineStr">
        <is>
          <t>Cold Soldering</t>
        </is>
      </c>
      <c r="O2153" s="56" t="n">
        <v>575</v>
      </c>
      <c r="P2153" s="46" t="inlineStr">
        <is>
          <t>NSMI24070201077</t>
        </is>
      </c>
      <c r="Q2153" s="54">
        <f>MID(P2153,5,2)</f>
        <v/>
      </c>
      <c r="R2153" s="53">
        <f>MID(P2153,7,2)</f>
        <v/>
      </c>
      <c r="S2153" s="3" t="inlineStr">
        <is>
          <t>G2G</t>
        </is>
      </c>
      <c r="T2153" s="3" t="inlineStr">
        <is>
          <t>P4</t>
        </is>
      </c>
      <c r="U2153" s="19" t="inlineStr">
        <is>
          <t>P JB Cold Soldering</t>
        </is>
      </c>
      <c r="V2153" s="19" t="inlineStr">
        <is>
          <t>Soldering</t>
        </is>
      </c>
      <c r="W2153" s="3" t="inlineStr">
        <is>
          <t>Repair</t>
        </is>
      </c>
      <c r="X2153" s="18" t="n">
        <v>46168</v>
      </c>
      <c r="Y2153" s="73">
        <f>IF(X2153="","",X2153-A2153)</f>
        <v/>
      </c>
      <c r="Z2153" s="18" t="n">
        <v>46168</v>
      </c>
      <c r="AA2153" s="15" t="n"/>
      <c r="AB2153" s="15" t="n"/>
      <c r="AF2153">
        <f>IF(AND($F2153="Closed",$X2153&gt;=DATE(2026,5,1),$X2153&lt;=DATE(2026,5,31)),"Closed in May","Other")</f>
        <v/>
      </c>
    </row>
    <row r="2154">
      <c r="A2154" s="37" t="n">
        <v>46143</v>
      </c>
      <c r="B2154" s="3" t="n">
        <v>2026</v>
      </c>
      <c r="C2154" s="26" t="inlineStr">
        <is>
          <t>Yanara Power</t>
        </is>
      </c>
      <c r="D2154" s="3" t="inlineStr">
        <is>
          <t>Utility and C&amp;I</t>
        </is>
      </c>
      <c r="E2154" s="3" t="n"/>
      <c r="F2154" s="3" t="inlineStr">
        <is>
          <t>Closed</t>
        </is>
      </c>
      <c r="G2154" s="9" t="inlineStr">
        <is>
          <t xml:space="preserve">Ashish Jindal </t>
        </is>
      </c>
      <c r="H2154" s="26" t="n">
        <v>9983975581</v>
      </c>
      <c r="I2154" s="38" t="inlineStr">
        <is>
          <t>PE01052601</t>
        </is>
      </c>
      <c r="J2154" s="26" t="inlineStr">
        <is>
          <t>Multiple Issues</t>
        </is>
      </c>
      <c r="K2154" s="39" t="inlineStr">
        <is>
          <t>Holi</t>
        </is>
      </c>
      <c r="L2154" s="39" t="inlineStr">
        <is>
          <t>Maharashtra</t>
        </is>
      </c>
      <c r="M2154" s="46" t="inlineStr">
        <is>
          <t>PS</t>
        </is>
      </c>
      <c r="N2154" s="3" t="inlineStr">
        <is>
          <t>Cold Soldering</t>
        </is>
      </c>
      <c r="O2154" s="56" t="n">
        <v>575</v>
      </c>
      <c r="P2154" s="46" t="inlineStr">
        <is>
          <t>NSMI24070181027</t>
        </is>
      </c>
      <c r="Q2154" s="54">
        <f>MID(P2154,5,2)</f>
        <v/>
      </c>
      <c r="R2154" s="53">
        <f>MID(P2154,7,2)</f>
        <v/>
      </c>
      <c r="S2154" s="3" t="inlineStr">
        <is>
          <t>G2G</t>
        </is>
      </c>
      <c r="T2154" s="3" t="inlineStr">
        <is>
          <t>P4</t>
        </is>
      </c>
      <c r="U2154" s="19" t="inlineStr">
        <is>
          <t>P JB Cold Soldering</t>
        </is>
      </c>
      <c r="V2154" s="19" t="inlineStr">
        <is>
          <t>Soldering</t>
        </is>
      </c>
      <c r="W2154" s="3" t="inlineStr">
        <is>
          <t>Repair</t>
        </is>
      </c>
      <c r="X2154" s="18" t="n">
        <v>46168</v>
      </c>
      <c r="Y2154" s="73">
        <f>IF(X2154="","",X2154-A2154)</f>
        <v/>
      </c>
      <c r="Z2154" s="18" t="n">
        <v>46168</v>
      </c>
      <c r="AA2154" s="15" t="n"/>
      <c r="AB2154" s="15" t="n"/>
      <c r="AF2154">
        <f>IF(AND($F2154="Closed",$X2154&gt;=DATE(2026,5,1),$X2154&lt;=DATE(2026,5,31)),"Closed in May","Other")</f>
        <v/>
      </c>
    </row>
    <row r="2155">
      <c r="A2155" s="37" t="n">
        <v>46143</v>
      </c>
      <c r="B2155" s="3" t="n">
        <v>2026</v>
      </c>
      <c r="C2155" s="26" t="inlineStr">
        <is>
          <t>Yanara Power</t>
        </is>
      </c>
      <c r="D2155" s="3" t="inlineStr">
        <is>
          <t>Utility and C&amp;I</t>
        </is>
      </c>
      <c r="E2155" s="3" t="n"/>
      <c r="F2155" s="3" t="inlineStr">
        <is>
          <t>Closed</t>
        </is>
      </c>
      <c r="G2155" s="9" t="inlineStr">
        <is>
          <t xml:space="preserve">Ashish Jindal </t>
        </is>
      </c>
      <c r="H2155" s="26" t="n">
        <v>9983975581</v>
      </c>
      <c r="I2155" s="38" t="inlineStr">
        <is>
          <t>PE01052601</t>
        </is>
      </c>
      <c r="J2155" s="26" t="inlineStr">
        <is>
          <t>Multiple Issues</t>
        </is>
      </c>
      <c r="K2155" s="39" t="inlineStr">
        <is>
          <t>Holi</t>
        </is>
      </c>
      <c r="L2155" s="39" t="inlineStr">
        <is>
          <t>Maharashtra</t>
        </is>
      </c>
      <c r="M2155" s="46" t="inlineStr">
        <is>
          <t>NR</t>
        </is>
      </c>
      <c r="N2155" s="3" t="inlineStr">
        <is>
          <t>JB Issue</t>
        </is>
      </c>
      <c r="O2155" s="56" t="n">
        <v>575</v>
      </c>
      <c r="P2155" s="46" t="inlineStr">
        <is>
          <t>NSMI24070176970</t>
        </is>
      </c>
      <c r="Q2155" s="54">
        <f>MID(P2155,5,2)</f>
        <v/>
      </c>
      <c r="R2155" s="53">
        <f>MID(P2155,7,2)</f>
        <v/>
      </c>
      <c r="S2155" s="3" t="inlineStr">
        <is>
          <t>G2G</t>
        </is>
      </c>
      <c r="T2155" s="3" t="inlineStr">
        <is>
          <t>P4</t>
        </is>
      </c>
      <c r="U2155" s="3" t="inlineStr">
        <is>
          <t>N JB Issue</t>
        </is>
      </c>
      <c r="V2155" s="3" t="inlineStr">
        <is>
          <t>JB Changed</t>
        </is>
      </c>
      <c r="W2155" s="3" t="inlineStr">
        <is>
          <t>Repair</t>
        </is>
      </c>
      <c r="X2155" s="18" t="n">
        <v>46168</v>
      </c>
      <c r="Y2155" s="73">
        <f>IF(X2155="","",X2155-A2155)</f>
        <v/>
      </c>
      <c r="Z2155" s="18" t="n">
        <v>46168</v>
      </c>
      <c r="AA2155" s="15" t="n"/>
      <c r="AB2155" s="15" t="n"/>
      <c r="AF2155">
        <f>IF(AND($F2155="Closed",$X2155&gt;=DATE(2026,5,1),$X2155&lt;=DATE(2026,5,31)),"Closed in May","Other")</f>
        <v/>
      </c>
    </row>
    <row r="2156">
      <c r="A2156" s="37" t="n">
        <v>46143</v>
      </c>
      <c r="B2156" s="3" t="n">
        <v>2026</v>
      </c>
      <c r="C2156" s="26" t="inlineStr">
        <is>
          <t>Yanara Power</t>
        </is>
      </c>
      <c r="D2156" s="3" t="inlineStr">
        <is>
          <t>Utility and C&amp;I</t>
        </is>
      </c>
      <c r="E2156" s="3" t="n"/>
      <c r="F2156" s="3" t="inlineStr">
        <is>
          <t>Closed</t>
        </is>
      </c>
      <c r="G2156" s="9" t="inlineStr">
        <is>
          <t xml:space="preserve">Ashish Jindal </t>
        </is>
      </c>
      <c r="H2156" s="26" t="n">
        <v>9983975581</v>
      </c>
      <c r="I2156" s="38" t="inlineStr">
        <is>
          <t>PE01052601</t>
        </is>
      </c>
      <c r="J2156" s="26" t="inlineStr">
        <is>
          <t>Multiple Issues</t>
        </is>
      </c>
      <c r="K2156" s="39" t="inlineStr">
        <is>
          <t>Holi</t>
        </is>
      </c>
      <c r="L2156" s="39" t="inlineStr">
        <is>
          <t>Maharashtra</t>
        </is>
      </c>
      <c r="M2156" s="46" t="inlineStr">
        <is>
          <t>NS</t>
        </is>
      </c>
      <c r="N2156" s="3" t="inlineStr">
        <is>
          <t>Cold Soldering</t>
        </is>
      </c>
      <c r="O2156" s="56" t="n">
        <v>575</v>
      </c>
      <c r="P2156" s="46" t="inlineStr">
        <is>
          <t>NSMI24070176452</t>
        </is>
      </c>
      <c r="Q2156" s="54">
        <f>MID(P2156,5,2)</f>
        <v/>
      </c>
      <c r="R2156" s="53">
        <f>MID(P2156,7,2)</f>
        <v/>
      </c>
      <c r="S2156" s="3" t="inlineStr">
        <is>
          <t>G2G</t>
        </is>
      </c>
      <c r="T2156" s="3" t="inlineStr">
        <is>
          <t>P4</t>
        </is>
      </c>
      <c r="U2156" s="3" t="inlineStr">
        <is>
          <t>N JB Cold Soldering</t>
        </is>
      </c>
      <c r="V2156" s="3" t="inlineStr">
        <is>
          <t>Soldering</t>
        </is>
      </c>
      <c r="W2156" s="3" t="inlineStr">
        <is>
          <t>Repair</t>
        </is>
      </c>
      <c r="X2156" s="18" t="n">
        <v>46168</v>
      </c>
      <c r="Y2156" s="73">
        <f>IF(X2156="","",X2156-A2156)</f>
        <v/>
      </c>
      <c r="Z2156" s="18" t="n">
        <v>46168</v>
      </c>
      <c r="AA2156" s="15" t="n"/>
      <c r="AB2156" s="15" t="n"/>
      <c r="AF2156">
        <f>IF(AND($F2156="Closed",$X2156&gt;=DATE(2026,5,1),$X2156&lt;=DATE(2026,5,31)),"Closed in May","Other")</f>
        <v/>
      </c>
    </row>
    <row r="2157">
      <c r="A2157" s="37" t="n">
        <v>46143</v>
      </c>
      <c r="B2157" s="3" t="n">
        <v>2026</v>
      </c>
      <c r="C2157" s="26" t="inlineStr">
        <is>
          <t>Yanara Power</t>
        </is>
      </c>
      <c r="D2157" s="3" t="inlineStr">
        <is>
          <t>Utility and C&amp;I</t>
        </is>
      </c>
      <c r="E2157" s="3" t="n"/>
      <c r="F2157" s="3" t="inlineStr">
        <is>
          <t>Closed</t>
        </is>
      </c>
      <c r="G2157" s="9" t="inlineStr">
        <is>
          <t xml:space="preserve">Ashish Jindal </t>
        </is>
      </c>
      <c r="H2157" s="26" t="n">
        <v>9983975581</v>
      </c>
      <c r="I2157" s="38" t="inlineStr">
        <is>
          <t>PE01052601</t>
        </is>
      </c>
      <c r="J2157" s="26" t="inlineStr">
        <is>
          <t>Multiple Issues</t>
        </is>
      </c>
      <c r="K2157" s="39" t="inlineStr">
        <is>
          <t>Holi</t>
        </is>
      </c>
      <c r="L2157" s="39" t="inlineStr">
        <is>
          <t>Maharashtra</t>
        </is>
      </c>
      <c r="M2157" s="46" t="inlineStr">
        <is>
          <t>PS</t>
        </is>
      </c>
      <c r="N2157" s="3" t="inlineStr">
        <is>
          <t>Cold Soldering</t>
        </is>
      </c>
      <c r="O2157" s="56" t="n">
        <v>575</v>
      </c>
      <c r="P2157" s="46" t="inlineStr">
        <is>
          <t>NSMI24070191183</t>
        </is>
      </c>
      <c r="Q2157" s="54">
        <f>MID(P2157,5,2)</f>
        <v/>
      </c>
      <c r="R2157" s="53">
        <f>MID(P2157,7,2)</f>
        <v/>
      </c>
      <c r="S2157" s="3" t="inlineStr">
        <is>
          <t>G2G</t>
        </is>
      </c>
      <c r="T2157" s="3" t="inlineStr">
        <is>
          <t>P4</t>
        </is>
      </c>
      <c r="U2157" s="19" t="inlineStr">
        <is>
          <t>P JB Cold Soldering</t>
        </is>
      </c>
      <c r="V2157" s="19" t="inlineStr">
        <is>
          <t>Soldering</t>
        </is>
      </c>
      <c r="W2157" s="3" t="inlineStr">
        <is>
          <t>Repair</t>
        </is>
      </c>
      <c r="X2157" s="18" t="n">
        <v>46168</v>
      </c>
      <c r="Y2157" s="73">
        <f>IF(X2157="","",X2157-A2157)</f>
        <v/>
      </c>
      <c r="Z2157" s="18" t="n">
        <v>46168</v>
      </c>
      <c r="AA2157" s="15" t="n"/>
      <c r="AB2157" s="15" t="n"/>
      <c r="AF2157">
        <f>IF(AND($F2157="Closed",$X2157&gt;=DATE(2026,5,1),$X2157&lt;=DATE(2026,5,31)),"Closed in May","Other")</f>
        <v/>
      </c>
    </row>
    <row r="2158">
      <c r="A2158" s="37" t="n">
        <v>46143</v>
      </c>
      <c r="B2158" s="3" t="n">
        <v>2026</v>
      </c>
      <c r="C2158" s="26" t="inlineStr">
        <is>
          <t>Yanara Power</t>
        </is>
      </c>
      <c r="D2158" s="3" t="inlineStr">
        <is>
          <t>Utility and C&amp;I</t>
        </is>
      </c>
      <c r="E2158" s="3" t="n"/>
      <c r="F2158" s="3" t="inlineStr">
        <is>
          <t>Closed</t>
        </is>
      </c>
      <c r="G2158" s="9" t="inlineStr">
        <is>
          <t xml:space="preserve">Ashish Jindal </t>
        </is>
      </c>
      <c r="H2158" s="26" t="n">
        <v>9983975581</v>
      </c>
      <c r="I2158" s="38" t="inlineStr">
        <is>
          <t>PE01052601</t>
        </is>
      </c>
      <c r="J2158" s="26" t="inlineStr">
        <is>
          <t>Multiple Issues</t>
        </is>
      </c>
      <c r="K2158" s="39" t="inlineStr">
        <is>
          <t>Holi</t>
        </is>
      </c>
      <c r="L2158" s="39" t="inlineStr">
        <is>
          <t>Maharashtra</t>
        </is>
      </c>
      <c r="M2158" s="46" t="inlineStr">
        <is>
          <t>PR</t>
        </is>
      </c>
      <c r="N2158" s="3" t="inlineStr">
        <is>
          <t>JB Issue</t>
        </is>
      </c>
      <c r="O2158" s="56" t="n">
        <v>575</v>
      </c>
      <c r="P2158" s="47" t="inlineStr">
        <is>
          <t>NSMI24070201669</t>
        </is>
      </c>
      <c r="Q2158" s="54">
        <f>MID(P2158,5,2)</f>
        <v/>
      </c>
      <c r="R2158" s="53">
        <f>MID(P2158,7,2)</f>
        <v/>
      </c>
      <c r="S2158" s="3" t="inlineStr">
        <is>
          <t>G2G</t>
        </is>
      </c>
      <c r="T2158" s="3" t="inlineStr">
        <is>
          <t>P4</t>
        </is>
      </c>
      <c r="U2158" s="3" t="inlineStr">
        <is>
          <t>P JB Issue</t>
        </is>
      </c>
      <c r="V2158" s="15" t="inlineStr">
        <is>
          <t>JB Changed</t>
        </is>
      </c>
      <c r="W2158" s="3" t="inlineStr">
        <is>
          <t>Repair</t>
        </is>
      </c>
      <c r="X2158" s="18" t="n">
        <v>46168</v>
      </c>
      <c r="Y2158" s="73">
        <f>IF(X2158="","",X2158-A2158)</f>
        <v/>
      </c>
      <c r="Z2158" s="18" t="n">
        <v>46168</v>
      </c>
      <c r="AA2158" s="15" t="n"/>
      <c r="AB2158" s="15" t="n"/>
      <c r="AF2158">
        <f>IF(AND($F2158="Closed",$X2158&gt;=DATE(2026,5,1),$X2158&lt;=DATE(2026,5,31)),"Closed in May","Other")</f>
        <v/>
      </c>
    </row>
    <row r="2159">
      <c r="A2159" s="37" t="n">
        <v>46143</v>
      </c>
      <c r="B2159" s="3" t="n">
        <v>2026</v>
      </c>
      <c r="C2159" s="26" t="inlineStr">
        <is>
          <t>Yanara Power</t>
        </is>
      </c>
      <c r="D2159" s="3" t="inlineStr">
        <is>
          <t>Utility and C&amp;I</t>
        </is>
      </c>
      <c r="E2159" s="3" t="n"/>
      <c r="F2159" s="3" t="inlineStr">
        <is>
          <t>Closed</t>
        </is>
      </c>
      <c r="G2159" s="9" t="inlineStr">
        <is>
          <t xml:space="preserve">Ashish Jindal </t>
        </is>
      </c>
      <c r="H2159" s="26" t="n">
        <v>9983975581</v>
      </c>
      <c r="I2159" s="38" t="inlineStr">
        <is>
          <t>PE01052601</t>
        </is>
      </c>
      <c r="J2159" s="26" t="inlineStr">
        <is>
          <t>Multiple Issues</t>
        </is>
      </c>
      <c r="K2159" s="39" t="inlineStr">
        <is>
          <t>Holi</t>
        </is>
      </c>
      <c r="L2159" s="39" t="inlineStr">
        <is>
          <t>Maharashtra</t>
        </is>
      </c>
      <c r="M2159" s="46" t="inlineStr">
        <is>
          <t>PS</t>
        </is>
      </c>
      <c r="N2159" s="3" t="inlineStr">
        <is>
          <t>Cold Soldering</t>
        </is>
      </c>
      <c r="O2159" s="56" t="n">
        <v>575</v>
      </c>
      <c r="P2159" s="46" t="inlineStr">
        <is>
          <t>NSMI24070215116</t>
        </is>
      </c>
      <c r="Q2159" s="54">
        <f>MID(P2159,5,2)</f>
        <v/>
      </c>
      <c r="R2159" s="53">
        <f>MID(P2159,7,2)</f>
        <v/>
      </c>
      <c r="S2159" s="3" t="inlineStr">
        <is>
          <t>G2G</t>
        </is>
      </c>
      <c r="T2159" s="3" t="inlineStr">
        <is>
          <t>P4</t>
        </is>
      </c>
      <c r="U2159" s="19" t="inlineStr">
        <is>
          <t>P JB Cold Soldering</t>
        </is>
      </c>
      <c r="V2159" s="19" t="inlineStr">
        <is>
          <t>Soldering</t>
        </is>
      </c>
      <c r="W2159" s="3" t="inlineStr">
        <is>
          <t>Repair</t>
        </is>
      </c>
      <c r="X2159" s="18" t="n">
        <v>46169</v>
      </c>
      <c r="Y2159" s="73">
        <f>IF(X2159="","",X2159-A2159)</f>
        <v/>
      </c>
      <c r="Z2159" s="18" t="n">
        <v>46169</v>
      </c>
      <c r="AA2159" s="15" t="n"/>
      <c r="AB2159" s="15" t="n"/>
      <c r="AF2159">
        <f>IF(AND($F2159="Closed",$X2159&gt;=DATE(2026,5,1),$X2159&lt;=DATE(2026,5,31)),"Closed in May","Other")</f>
        <v/>
      </c>
    </row>
    <row r="2160">
      <c r="A2160" s="37" t="n">
        <v>46143</v>
      </c>
      <c r="B2160" s="3" t="n">
        <v>2026</v>
      </c>
      <c r="C2160" s="26" t="inlineStr">
        <is>
          <t>Yanara Power</t>
        </is>
      </c>
      <c r="D2160" s="3" t="inlineStr">
        <is>
          <t>Utility and C&amp;I</t>
        </is>
      </c>
      <c r="E2160" s="3" t="n"/>
      <c r="F2160" s="3" t="inlineStr">
        <is>
          <t>Closed</t>
        </is>
      </c>
      <c r="G2160" s="9" t="inlineStr">
        <is>
          <t xml:space="preserve">Ashish Jindal </t>
        </is>
      </c>
      <c r="H2160" s="26" t="n">
        <v>9983975581</v>
      </c>
      <c r="I2160" s="38" t="inlineStr">
        <is>
          <t>PE01052601</t>
        </is>
      </c>
      <c r="J2160" s="26" t="inlineStr">
        <is>
          <t>Multiple Issues</t>
        </is>
      </c>
      <c r="K2160" s="39" t="inlineStr">
        <is>
          <t>Holi</t>
        </is>
      </c>
      <c r="L2160" s="39" t="inlineStr">
        <is>
          <t>Maharashtra</t>
        </is>
      </c>
      <c r="M2160" s="46" t="inlineStr">
        <is>
          <t>PNS</t>
        </is>
      </c>
      <c r="N2160" s="3" t="inlineStr">
        <is>
          <t>Cold Soldering</t>
        </is>
      </c>
      <c r="O2160" s="56" t="n">
        <v>575</v>
      </c>
      <c r="P2160" s="46" t="inlineStr">
        <is>
          <t>NSMI24070176600</t>
        </is>
      </c>
      <c r="Q2160" s="54">
        <f>MID(P2160,5,2)</f>
        <v/>
      </c>
      <c r="R2160" s="53">
        <f>MID(P2160,7,2)</f>
        <v/>
      </c>
      <c r="S2160" s="3" t="inlineStr">
        <is>
          <t>G2G</t>
        </is>
      </c>
      <c r="T2160" s="3" t="inlineStr">
        <is>
          <t>P4</t>
        </is>
      </c>
      <c r="U2160" s="3" t="inlineStr">
        <is>
          <t>P &amp; N JB Cold Soldering</t>
        </is>
      </c>
      <c r="V2160" s="3" t="inlineStr">
        <is>
          <t>Soldering</t>
        </is>
      </c>
      <c r="W2160" s="3" t="inlineStr">
        <is>
          <t>Repair</t>
        </is>
      </c>
      <c r="X2160" s="18" t="n">
        <v>46169</v>
      </c>
      <c r="Y2160" s="73">
        <f>IF(X2160="","",X2160-A2160)</f>
        <v/>
      </c>
      <c r="Z2160" s="18" t="n">
        <v>46169</v>
      </c>
      <c r="AA2160" s="15" t="n"/>
      <c r="AB2160" s="15" t="n"/>
      <c r="AF2160">
        <f>IF(AND($F2160="Closed",$X2160&gt;=DATE(2026,5,1),$X2160&lt;=DATE(2026,5,31)),"Closed in May","Other")</f>
        <v/>
      </c>
    </row>
    <row r="2161">
      <c r="A2161" s="37" t="n">
        <v>46143</v>
      </c>
      <c r="B2161" s="3" t="n">
        <v>2026</v>
      </c>
      <c r="C2161" s="26" t="inlineStr">
        <is>
          <t>Yanara Power</t>
        </is>
      </c>
      <c r="D2161" s="3" t="inlineStr">
        <is>
          <t>Utility and C&amp;I</t>
        </is>
      </c>
      <c r="E2161" s="3" t="n"/>
      <c r="F2161" s="3" t="inlineStr">
        <is>
          <t>Closed</t>
        </is>
      </c>
      <c r="G2161" s="9" t="inlineStr">
        <is>
          <t xml:space="preserve">Ashish Jindal </t>
        </is>
      </c>
      <c r="H2161" s="26" t="n">
        <v>9983975581</v>
      </c>
      <c r="I2161" s="38" t="inlineStr">
        <is>
          <t>PE01052601</t>
        </is>
      </c>
      <c r="J2161" s="26" t="inlineStr">
        <is>
          <t>Multiple Issues</t>
        </is>
      </c>
      <c r="K2161" s="39" t="inlineStr">
        <is>
          <t>Holi</t>
        </is>
      </c>
      <c r="L2161" s="39" t="inlineStr">
        <is>
          <t>Maharashtra</t>
        </is>
      </c>
      <c r="M2161" s="46" t="inlineStr">
        <is>
          <t>PS</t>
        </is>
      </c>
      <c r="N2161" s="3" t="inlineStr">
        <is>
          <t>Cold Soldering</t>
        </is>
      </c>
      <c r="O2161" s="56" t="n">
        <v>575</v>
      </c>
      <c r="P2161" s="46" t="inlineStr">
        <is>
          <t>NSMI24070176870</t>
        </is>
      </c>
      <c r="Q2161" s="54">
        <f>MID(P2161,5,2)</f>
        <v/>
      </c>
      <c r="R2161" s="53">
        <f>MID(P2161,7,2)</f>
        <v/>
      </c>
      <c r="S2161" s="3" t="inlineStr">
        <is>
          <t>G2G</t>
        </is>
      </c>
      <c r="T2161" s="3" t="inlineStr">
        <is>
          <t>P4</t>
        </is>
      </c>
      <c r="U2161" s="19" t="inlineStr">
        <is>
          <t>P JB Cold Soldering</t>
        </is>
      </c>
      <c r="V2161" s="19" t="inlineStr">
        <is>
          <t>Soldering</t>
        </is>
      </c>
      <c r="W2161" s="3" t="inlineStr">
        <is>
          <t>Repair</t>
        </is>
      </c>
      <c r="X2161" s="18" t="n">
        <v>46169</v>
      </c>
      <c r="Y2161" s="73">
        <f>IF(X2161="","",X2161-A2161)</f>
        <v/>
      </c>
      <c r="Z2161" s="18" t="n">
        <v>46169</v>
      </c>
      <c r="AA2161" s="15" t="n"/>
      <c r="AB2161" s="15" t="n"/>
      <c r="AF2161">
        <f>IF(AND($F2161="Closed",$X2161&gt;=DATE(2026,5,1),$X2161&lt;=DATE(2026,5,31)),"Closed in May","Other")</f>
        <v/>
      </c>
    </row>
    <row r="2162">
      <c r="A2162" s="37" t="n">
        <v>46143</v>
      </c>
      <c r="B2162" s="3" t="n">
        <v>2026</v>
      </c>
      <c r="C2162" s="26" t="inlineStr">
        <is>
          <t>Yanara Power</t>
        </is>
      </c>
      <c r="D2162" s="3" t="inlineStr">
        <is>
          <t>Utility and C&amp;I</t>
        </is>
      </c>
      <c r="E2162" s="3" t="n"/>
      <c r="F2162" s="3" t="inlineStr">
        <is>
          <t>Closed</t>
        </is>
      </c>
      <c r="G2162" s="9" t="inlineStr">
        <is>
          <t xml:space="preserve">Ashish Jindal </t>
        </is>
      </c>
      <c r="H2162" s="26" t="n">
        <v>9983975581</v>
      </c>
      <c r="I2162" s="38" t="inlineStr">
        <is>
          <t>PE01052601</t>
        </is>
      </c>
      <c r="J2162" s="26" t="inlineStr">
        <is>
          <t>Multiple Issues</t>
        </is>
      </c>
      <c r="K2162" s="39" t="inlineStr">
        <is>
          <t>Holi</t>
        </is>
      </c>
      <c r="L2162" s="39" t="inlineStr">
        <is>
          <t>Maharashtra</t>
        </is>
      </c>
      <c r="M2162" s="46" t="inlineStr">
        <is>
          <t>PS</t>
        </is>
      </c>
      <c r="N2162" s="3" t="inlineStr">
        <is>
          <t>Cold Soldering</t>
        </is>
      </c>
      <c r="O2162" s="56" t="n">
        <v>575</v>
      </c>
      <c r="P2162" s="46" t="inlineStr">
        <is>
          <t>NSMI24070176239</t>
        </is>
      </c>
      <c r="Q2162" s="54">
        <f>MID(P2162,5,2)</f>
        <v/>
      </c>
      <c r="R2162" s="53">
        <f>MID(P2162,7,2)</f>
        <v/>
      </c>
      <c r="S2162" s="3" t="inlineStr">
        <is>
          <t>G2G</t>
        </is>
      </c>
      <c r="T2162" s="3" t="inlineStr">
        <is>
          <t>P4</t>
        </is>
      </c>
      <c r="U2162" s="19" t="inlineStr">
        <is>
          <t>P JB Cold Soldering</t>
        </is>
      </c>
      <c r="V2162" s="19" t="inlineStr">
        <is>
          <t>Soldering</t>
        </is>
      </c>
      <c r="W2162" s="3" t="inlineStr">
        <is>
          <t>Repair</t>
        </is>
      </c>
      <c r="X2162" s="18" t="n">
        <v>46169</v>
      </c>
      <c r="Y2162" s="73">
        <f>IF(X2162="","",X2162-A2162)</f>
        <v/>
      </c>
      <c r="Z2162" s="18" t="n">
        <v>46169</v>
      </c>
      <c r="AA2162" s="15" t="n"/>
      <c r="AB2162" s="15" t="n"/>
      <c r="AF2162">
        <f>IF(AND($F2162="Closed",$X2162&gt;=DATE(2026,5,1),$X2162&lt;=DATE(2026,5,31)),"Closed in May","Other")</f>
        <v/>
      </c>
    </row>
    <row r="2163">
      <c r="A2163" s="37" t="n">
        <v>46143</v>
      </c>
      <c r="B2163" s="3" t="n">
        <v>2026</v>
      </c>
      <c r="C2163" s="26" t="inlineStr">
        <is>
          <t>Yanara Power</t>
        </is>
      </c>
      <c r="D2163" s="3" t="inlineStr">
        <is>
          <t>Utility and C&amp;I</t>
        </is>
      </c>
      <c r="E2163" s="3" t="n"/>
      <c r="F2163" s="3" t="inlineStr">
        <is>
          <t>Closed</t>
        </is>
      </c>
      <c r="G2163" s="9" t="inlineStr">
        <is>
          <t xml:space="preserve">Ashish Jindal </t>
        </is>
      </c>
      <c r="H2163" s="26" t="n">
        <v>9983975581</v>
      </c>
      <c r="I2163" s="38" t="inlineStr">
        <is>
          <t>PE01052601</t>
        </is>
      </c>
      <c r="J2163" s="26" t="inlineStr">
        <is>
          <t>Multiple Issues</t>
        </is>
      </c>
      <c r="K2163" s="39" t="inlineStr">
        <is>
          <t>Holi</t>
        </is>
      </c>
      <c r="L2163" s="39" t="inlineStr">
        <is>
          <t>Maharashtra</t>
        </is>
      </c>
      <c r="M2163" s="46" t="inlineStr">
        <is>
          <t>NS</t>
        </is>
      </c>
      <c r="N2163" s="3" t="inlineStr">
        <is>
          <t>Cold Soldering</t>
        </is>
      </c>
      <c r="O2163" s="56" t="n">
        <v>575</v>
      </c>
      <c r="P2163" s="46" t="inlineStr">
        <is>
          <t>NSMI24070176280</t>
        </is>
      </c>
      <c r="Q2163" s="54">
        <f>MID(P2163,5,2)</f>
        <v/>
      </c>
      <c r="R2163" s="53">
        <f>MID(P2163,7,2)</f>
        <v/>
      </c>
      <c r="S2163" s="3" t="inlineStr">
        <is>
          <t>G2G</t>
        </is>
      </c>
      <c r="T2163" s="3" t="inlineStr">
        <is>
          <t>P4</t>
        </is>
      </c>
      <c r="U2163" s="3" t="inlineStr">
        <is>
          <t>N JB Cold Soldering</t>
        </is>
      </c>
      <c r="V2163" s="3" t="inlineStr">
        <is>
          <t>Soldering</t>
        </is>
      </c>
      <c r="W2163" s="3" t="inlineStr">
        <is>
          <t>Repair</t>
        </is>
      </c>
      <c r="X2163" s="18" t="n">
        <v>46169</v>
      </c>
      <c r="Y2163" s="73">
        <f>IF(X2163="","",X2163-A2163)</f>
        <v/>
      </c>
      <c r="Z2163" s="18" t="n">
        <v>46169</v>
      </c>
      <c r="AA2163" s="15" t="n"/>
      <c r="AB2163" s="15" t="n"/>
      <c r="AF2163">
        <f>IF(AND($F2163="Closed",$X2163&gt;=DATE(2026,5,1),$X2163&lt;=DATE(2026,5,31)),"Closed in May","Other")</f>
        <v/>
      </c>
    </row>
    <row r="2164">
      <c r="A2164" s="37" t="n">
        <v>46143</v>
      </c>
      <c r="B2164" s="3" t="n">
        <v>2026</v>
      </c>
      <c r="C2164" s="26" t="inlineStr">
        <is>
          <t>Yanara Power</t>
        </is>
      </c>
      <c r="D2164" s="3" t="inlineStr">
        <is>
          <t>Utility and C&amp;I</t>
        </is>
      </c>
      <c r="E2164" s="3" t="n"/>
      <c r="F2164" s="3" t="inlineStr">
        <is>
          <t>Closed</t>
        </is>
      </c>
      <c r="G2164" s="9" t="inlineStr">
        <is>
          <t xml:space="preserve">Ashish Jindal </t>
        </is>
      </c>
      <c r="H2164" s="26" t="n">
        <v>9983975581</v>
      </c>
      <c r="I2164" s="38" t="inlineStr">
        <is>
          <t>PE01052601</t>
        </is>
      </c>
      <c r="J2164" s="26" t="inlineStr">
        <is>
          <t>Multiple Issues</t>
        </is>
      </c>
      <c r="K2164" s="39" t="inlineStr">
        <is>
          <t>Holi</t>
        </is>
      </c>
      <c r="L2164" s="39" t="inlineStr">
        <is>
          <t>Maharashtra</t>
        </is>
      </c>
      <c r="M2164" s="46" t="inlineStr">
        <is>
          <t>NS</t>
        </is>
      </c>
      <c r="N2164" s="3" t="inlineStr">
        <is>
          <t>Cold Soldering</t>
        </is>
      </c>
      <c r="O2164" s="56" t="n">
        <v>575</v>
      </c>
      <c r="P2164" s="46" t="inlineStr">
        <is>
          <t>NSMI24070188454</t>
        </is>
      </c>
      <c r="Q2164" s="54">
        <f>MID(P2164,5,2)</f>
        <v/>
      </c>
      <c r="R2164" s="53">
        <f>MID(P2164,7,2)</f>
        <v/>
      </c>
      <c r="S2164" s="3" t="inlineStr">
        <is>
          <t>G2G</t>
        </is>
      </c>
      <c r="T2164" s="3" t="inlineStr">
        <is>
          <t>P4</t>
        </is>
      </c>
      <c r="U2164" s="3" t="inlineStr">
        <is>
          <t>N JB Cold Soldering</t>
        </is>
      </c>
      <c r="V2164" s="3" t="inlineStr">
        <is>
          <t>Soldering</t>
        </is>
      </c>
      <c r="W2164" s="3" t="inlineStr">
        <is>
          <t>Repair</t>
        </is>
      </c>
      <c r="X2164" s="18" t="n">
        <v>46169</v>
      </c>
      <c r="Y2164" s="73">
        <f>IF(X2164="","",X2164-A2164)</f>
        <v/>
      </c>
      <c r="Z2164" s="18" t="n">
        <v>46169</v>
      </c>
      <c r="AA2164" s="15" t="n"/>
      <c r="AB2164" s="15" t="n"/>
      <c r="AF2164">
        <f>IF(AND($F2164="Closed",$X2164&gt;=DATE(2026,5,1),$X2164&lt;=DATE(2026,5,31)),"Closed in May","Other")</f>
        <v/>
      </c>
    </row>
    <row r="2165">
      <c r="A2165" s="37" t="n">
        <v>46143</v>
      </c>
      <c r="B2165" s="3" t="n">
        <v>2026</v>
      </c>
      <c r="C2165" s="26" t="inlineStr">
        <is>
          <t>Yanara Power</t>
        </is>
      </c>
      <c r="D2165" s="3" t="inlineStr">
        <is>
          <t>Utility and C&amp;I</t>
        </is>
      </c>
      <c r="E2165" s="3" t="n"/>
      <c r="F2165" s="3" t="inlineStr">
        <is>
          <t>Closed</t>
        </is>
      </c>
      <c r="G2165" s="9" t="inlineStr">
        <is>
          <t xml:space="preserve">Ashish Jindal </t>
        </is>
      </c>
      <c r="H2165" s="26" t="n">
        <v>9983975581</v>
      </c>
      <c r="I2165" s="38" t="inlineStr">
        <is>
          <t>PE01052601</t>
        </is>
      </c>
      <c r="J2165" s="26" t="inlineStr">
        <is>
          <t>Multiple Issues</t>
        </is>
      </c>
      <c r="K2165" s="39" t="inlineStr">
        <is>
          <t>Holi</t>
        </is>
      </c>
      <c r="L2165" s="39" t="inlineStr">
        <is>
          <t>Maharashtra</t>
        </is>
      </c>
      <c r="M2165" s="46" t="inlineStr">
        <is>
          <t>PS</t>
        </is>
      </c>
      <c r="N2165" s="3" t="inlineStr">
        <is>
          <t>Cold Soldering</t>
        </is>
      </c>
      <c r="O2165" s="56" t="n">
        <v>575</v>
      </c>
      <c r="P2165" s="46" t="inlineStr">
        <is>
          <t>NSMI24070176305</t>
        </is>
      </c>
      <c r="Q2165" s="54">
        <f>MID(P2165,5,2)</f>
        <v/>
      </c>
      <c r="R2165" s="53">
        <f>MID(P2165,7,2)</f>
        <v/>
      </c>
      <c r="S2165" s="3" t="inlineStr">
        <is>
          <t>G2G</t>
        </is>
      </c>
      <c r="T2165" s="3" t="inlineStr">
        <is>
          <t>P4</t>
        </is>
      </c>
      <c r="U2165" s="19" t="inlineStr">
        <is>
          <t>P JB Cold Soldering</t>
        </is>
      </c>
      <c r="V2165" s="19" t="inlineStr">
        <is>
          <t>Soldering</t>
        </is>
      </c>
      <c r="W2165" s="3" t="inlineStr">
        <is>
          <t>Repair</t>
        </is>
      </c>
      <c r="X2165" s="18" t="n">
        <v>46169</v>
      </c>
      <c r="Y2165" s="73">
        <f>IF(X2165="","",X2165-A2165)</f>
        <v/>
      </c>
      <c r="Z2165" s="18" t="n">
        <v>46169</v>
      </c>
      <c r="AA2165" s="15" t="n"/>
      <c r="AB2165" s="15" t="n"/>
      <c r="AF2165">
        <f>IF(AND($F2165="Closed",$X2165&gt;=DATE(2026,5,1),$X2165&lt;=DATE(2026,5,31)),"Closed in May","Other")</f>
        <v/>
      </c>
    </row>
    <row r="2166">
      <c r="A2166" s="37" t="n">
        <v>46143</v>
      </c>
      <c r="B2166" s="3" t="n">
        <v>2026</v>
      </c>
      <c r="C2166" s="26" t="inlineStr">
        <is>
          <t>Yanara Power</t>
        </is>
      </c>
      <c r="D2166" s="3" t="inlineStr">
        <is>
          <t>Utility and C&amp;I</t>
        </is>
      </c>
      <c r="E2166" s="3" t="n"/>
      <c r="F2166" s="3" t="inlineStr">
        <is>
          <t>Closed</t>
        </is>
      </c>
      <c r="G2166" s="9" t="inlineStr">
        <is>
          <t xml:space="preserve">Ashish Jindal </t>
        </is>
      </c>
      <c r="H2166" s="26" t="n">
        <v>9983975581</v>
      </c>
      <c r="I2166" s="38" t="inlineStr">
        <is>
          <t>PE01052601</t>
        </is>
      </c>
      <c r="J2166" s="26" t="inlineStr">
        <is>
          <t>Multiple Issues</t>
        </is>
      </c>
      <c r="K2166" s="39" t="inlineStr">
        <is>
          <t>Holi</t>
        </is>
      </c>
      <c r="L2166" s="39" t="inlineStr">
        <is>
          <t>Maharashtra</t>
        </is>
      </c>
      <c r="M2166" s="46" t="inlineStr">
        <is>
          <t>PS</t>
        </is>
      </c>
      <c r="N2166" s="3" t="inlineStr">
        <is>
          <t>Cold Soldering</t>
        </is>
      </c>
      <c r="O2166" s="56" t="n">
        <v>575</v>
      </c>
      <c r="P2166" s="46" t="inlineStr">
        <is>
          <t>NSMI24070176870</t>
        </is>
      </c>
      <c r="Q2166" s="54">
        <f>MID(P2166,5,2)</f>
        <v/>
      </c>
      <c r="R2166" s="53">
        <f>MID(P2166,7,2)</f>
        <v/>
      </c>
      <c r="S2166" s="3" t="inlineStr">
        <is>
          <t>G2G</t>
        </is>
      </c>
      <c r="T2166" s="3" t="inlineStr">
        <is>
          <t>P4</t>
        </is>
      </c>
      <c r="U2166" s="19" t="inlineStr">
        <is>
          <t>P JB Cold Soldering</t>
        </is>
      </c>
      <c r="V2166" s="19" t="inlineStr">
        <is>
          <t>Soldering</t>
        </is>
      </c>
      <c r="W2166" s="3" t="inlineStr">
        <is>
          <t>Repair</t>
        </is>
      </c>
      <c r="X2166" s="18" t="n">
        <v>46169</v>
      </c>
      <c r="Y2166" s="73">
        <f>IF(X2166="","",X2166-A2166)</f>
        <v/>
      </c>
      <c r="Z2166" s="18" t="n">
        <v>46169</v>
      </c>
      <c r="AA2166" s="15" t="n"/>
      <c r="AB2166" s="15" t="n"/>
      <c r="AF2166">
        <f>IF(AND($F2166="Closed",$X2166&gt;=DATE(2026,5,1),$X2166&lt;=DATE(2026,5,31)),"Closed in May","Other")</f>
        <v/>
      </c>
    </row>
    <row r="2167">
      <c r="A2167" s="37" t="n">
        <v>46143</v>
      </c>
      <c r="B2167" s="3" t="n">
        <v>2026</v>
      </c>
      <c r="C2167" s="26" t="inlineStr">
        <is>
          <t>Yanara Power</t>
        </is>
      </c>
      <c r="D2167" s="3" t="inlineStr">
        <is>
          <t>Utility and C&amp;I</t>
        </is>
      </c>
      <c r="E2167" s="3" t="n"/>
      <c r="F2167" s="3" t="inlineStr">
        <is>
          <t>Closed</t>
        </is>
      </c>
      <c r="G2167" s="9" t="inlineStr">
        <is>
          <t xml:space="preserve">Ashish Jindal </t>
        </is>
      </c>
      <c r="H2167" s="26" t="n">
        <v>9983975581</v>
      </c>
      <c r="I2167" s="38" t="inlineStr">
        <is>
          <t>PE01052601</t>
        </is>
      </c>
      <c r="J2167" s="26" t="inlineStr">
        <is>
          <t>Multiple Issues</t>
        </is>
      </c>
      <c r="K2167" s="39" t="inlineStr">
        <is>
          <t>Holi</t>
        </is>
      </c>
      <c r="L2167" s="39" t="inlineStr">
        <is>
          <t>Maharashtra</t>
        </is>
      </c>
      <c r="M2167" s="46" t="inlineStr">
        <is>
          <t>PS</t>
        </is>
      </c>
      <c r="N2167" s="3" t="inlineStr">
        <is>
          <t>Cold Soldering</t>
        </is>
      </c>
      <c r="O2167" s="56" t="n">
        <v>575</v>
      </c>
      <c r="P2167" s="46" t="inlineStr">
        <is>
          <t>NSMI24070176311</t>
        </is>
      </c>
      <c r="Q2167" s="54">
        <f>MID(P2167,5,2)</f>
        <v/>
      </c>
      <c r="R2167" s="53">
        <f>MID(P2167,7,2)</f>
        <v/>
      </c>
      <c r="S2167" s="3" t="inlineStr">
        <is>
          <t>G2G</t>
        </is>
      </c>
      <c r="T2167" s="3" t="inlineStr">
        <is>
          <t>P4</t>
        </is>
      </c>
      <c r="U2167" s="19" t="inlineStr">
        <is>
          <t>P JB Cold Soldering</t>
        </is>
      </c>
      <c r="V2167" s="19" t="inlineStr">
        <is>
          <t>Soldering</t>
        </is>
      </c>
      <c r="W2167" s="3" t="inlineStr">
        <is>
          <t>Repair</t>
        </is>
      </c>
      <c r="X2167" s="18" t="n">
        <v>46169</v>
      </c>
      <c r="Y2167" s="73">
        <f>IF(X2167="","",X2167-A2167)</f>
        <v/>
      </c>
      <c r="Z2167" s="18" t="n">
        <v>46169</v>
      </c>
      <c r="AA2167" s="15" t="n"/>
      <c r="AB2167" s="15" t="n"/>
      <c r="AF2167">
        <f>IF(AND($F2167="Closed",$X2167&gt;=DATE(2026,5,1),$X2167&lt;=DATE(2026,5,31)),"Closed in May","Other")</f>
        <v/>
      </c>
    </row>
    <row r="2168">
      <c r="A2168" s="37" t="n">
        <v>46143</v>
      </c>
      <c r="B2168" s="3" t="n">
        <v>2026</v>
      </c>
      <c r="C2168" s="26" t="inlineStr">
        <is>
          <t>Yanara Power</t>
        </is>
      </c>
      <c r="D2168" s="3" t="inlineStr">
        <is>
          <t>Utility and C&amp;I</t>
        </is>
      </c>
      <c r="E2168" s="3" t="n"/>
      <c r="F2168" s="3" t="inlineStr">
        <is>
          <t>Closed</t>
        </is>
      </c>
      <c r="G2168" s="9" t="inlineStr">
        <is>
          <t xml:space="preserve">Ashish Jindal </t>
        </is>
      </c>
      <c r="H2168" s="26" t="n">
        <v>9983975581</v>
      </c>
      <c r="I2168" s="38" t="inlineStr">
        <is>
          <t>PE01052601</t>
        </is>
      </c>
      <c r="J2168" s="26" t="inlineStr">
        <is>
          <t>Multiple Issues</t>
        </is>
      </c>
      <c r="K2168" s="39" t="inlineStr">
        <is>
          <t>Holi</t>
        </is>
      </c>
      <c r="L2168" s="39" t="inlineStr">
        <is>
          <t>Maharashtra</t>
        </is>
      </c>
      <c r="M2168" s="46" t="inlineStr">
        <is>
          <t>NS</t>
        </is>
      </c>
      <c r="N2168" s="3" t="inlineStr">
        <is>
          <t>Cold Soldering</t>
        </is>
      </c>
      <c r="O2168" s="56" t="n">
        <v>575</v>
      </c>
      <c r="P2168" s="46" t="inlineStr">
        <is>
          <t>NSMI24070176308</t>
        </is>
      </c>
      <c r="Q2168" s="54">
        <f>MID(P2168,5,2)</f>
        <v/>
      </c>
      <c r="R2168" s="53">
        <f>MID(P2168,7,2)</f>
        <v/>
      </c>
      <c r="S2168" s="3" t="inlineStr">
        <is>
          <t>G2G</t>
        </is>
      </c>
      <c r="T2168" s="3" t="inlineStr">
        <is>
          <t>P4</t>
        </is>
      </c>
      <c r="U2168" s="3" t="inlineStr">
        <is>
          <t>N JB Cold Soldering</t>
        </is>
      </c>
      <c r="V2168" s="3" t="inlineStr">
        <is>
          <t>Soldering</t>
        </is>
      </c>
      <c r="W2168" s="3" t="inlineStr">
        <is>
          <t>Repair</t>
        </is>
      </c>
      <c r="X2168" s="18" t="n">
        <v>46169</v>
      </c>
      <c r="Y2168" s="73">
        <f>IF(X2168="","",X2168-A2168)</f>
        <v/>
      </c>
      <c r="Z2168" s="18" t="n">
        <v>46169</v>
      </c>
      <c r="AA2168" s="15" t="n"/>
      <c r="AB2168" s="15" t="n"/>
      <c r="AF2168">
        <f>IF(AND($F2168="Closed",$X2168&gt;=DATE(2026,5,1),$X2168&lt;=DATE(2026,5,31)),"Closed in May","Other")</f>
        <v/>
      </c>
    </row>
    <row r="2169">
      <c r="A2169" s="37" t="n">
        <v>46143</v>
      </c>
      <c r="B2169" s="3" t="n">
        <v>2026</v>
      </c>
      <c r="C2169" s="26" t="inlineStr">
        <is>
          <t>Yanara Power</t>
        </is>
      </c>
      <c r="D2169" s="3" t="inlineStr">
        <is>
          <t>Utility and C&amp;I</t>
        </is>
      </c>
      <c r="E2169" s="3" t="n"/>
      <c r="F2169" s="3" t="inlineStr">
        <is>
          <t>Closed</t>
        </is>
      </c>
      <c r="G2169" s="9" t="inlineStr">
        <is>
          <t xml:space="preserve">Ashish Jindal </t>
        </is>
      </c>
      <c r="H2169" s="26" t="n">
        <v>9983975581</v>
      </c>
      <c r="I2169" s="38" t="inlineStr">
        <is>
          <t>PE01052601</t>
        </is>
      </c>
      <c r="J2169" s="26" t="inlineStr">
        <is>
          <t>Multiple Issues</t>
        </is>
      </c>
      <c r="K2169" s="39" t="inlineStr">
        <is>
          <t>Holi</t>
        </is>
      </c>
      <c r="L2169" s="39" t="inlineStr">
        <is>
          <t>Maharashtra</t>
        </is>
      </c>
      <c r="M2169" s="46" t="inlineStr">
        <is>
          <t>NS</t>
        </is>
      </c>
      <c r="N2169" s="3" t="inlineStr">
        <is>
          <t>Cold Soldering</t>
        </is>
      </c>
      <c r="O2169" s="56" t="n">
        <v>575</v>
      </c>
      <c r="P2169" s="46" t="inlineStr">
        <is>
          <t>NSMI24070219644</t>
        </is>
      </c>
      <c r="Q2169" s="54">
        <f>MID(P2169,5,2)</f>
        <v/>
      </c>
      <c r="R2169" s="53">
        <f>MID(P2169,7,2)</f>
        <v/>
      </c>
      <c r="S2169" s="3" t="inlineStr">
        <is>
          <t>G2G</t>
        </is>
      </c>
      <c r="T2169" s="3" t="inlineStr">
        <is>
          <t>P4</t>
        </is>
      </c>
      <c r="U2169" s="3" t="inlineStr">
        <is>
          <t>N JB Cold Soldering</t>
        </is>
      </c>
      <c r="V2169" s="3" t="inlineStr">
        <is>
          <t>Soldering</t>
        </is>
      </c>
      <c r="W2169" s="3" t="inlineStr">
        <is>
          <t>Repair</t>
        </is>
      </c>
      <c r="X2169" s="18" t="n">
        <v>46169</v>
      </c>
      <c r="Y2169" s="73">
        <f>IF(X2169="","",X2169-A2169)</f>
        <v/>
      </c>
      <c r="Z2169" s="18" t="n">
        <v>46169</v>
      </c>
      <c r="AA2169" s="15" t="n"/>
      <c r="AB2169" s="15" t="n"/>
      <c r="AF2169">
        <f>IF(AND($F2169="Closed",$X2169&gt;=DATE(2026,5,1),$X2169&lt;=DATE(2026,5,31)),"Closed in May","Other")</f>
        <v/>
      </c>
    </row>
    <row r="2170">
      <c r="A2170" s="37" t="n">
        <v>46143</v>
      </c>
      <c r="B2170" s="3" t="n">
        <v>2026</v>
      </c>
      <c r="C2170" s="26" t="inlineStr">
        <is>
          <t>Yanara Power</t>
        </is>
      </c>
      <c r="D2170" s="3" t="inlineStr">
        <is>
          <t>Utility and C&amp;I</t>
        </is>
      </c>
      <c r="E2170" s="3" t="n"/>
      <c r="F2170" s="3" t="inlineStr">
        <is>
          <t>Closed</t>
        </is>
      </c>
      <c r="G2170" s="9" t="inlineStr">
        <is>
          <t xml:space="preserve">Ashish Jindal </t>
        </is>
      </c>
      <c r="H2170" s="26" t="n">
        <v>9983975581</v>
      </c>
      <c r="I2170" s="38" t="inlineStr">
        <is>
          <t>PE01052601</t>
        </is>
      </c>
      <c r="J2170" s="26" t="inlineStr">
        <is>
          <t>Multiple Issues</t>
        </is>
      </c>
      <c r="K2170" s="39" t="inlineStr">
        <is>
          <t>Holi</t>
        </is>
      </c>
      <c r="L2170" s="39" t="inlineStr">
        <is>
          <t>Maharashtra</t>
        </is>
      </c>
      <c r="M2170" s="46" t="inlineStr">
        <is>
          <t>PS</t>
        </is>
      </c>
      <c r="N2170" s="3" t="inlineStr">
        <is>
          <t>Cold Soldering</t>
        </is>
      </c>
      <c r="O2170" s="56" t="n">
        <v>575</v>
      </c>
      <c r="P2170" s="46" t="inlineStr">
        <is>
          <t>NSMI24070166018</t>
        </is>
      </c>
      <c r="Q2170" s="54">
        <f>MID(P2170,5,2)</f>
        <v/>
      </c>
      <c r="R2170" s="53">
        <f>MID(P2170,7,2)</f>
        <v/>
      </c>
      <c r="S2170" s="3" t="inlineStr">
        <is>
          <t>G2G</t>
        </is>
      </c>
      <c r="T2170" s="3" t="inlineStr">
        <is>
          <t>P4</t>
        </is>
      </c>
      <c r="U2170" s="19" t="inlineStr">
        <is>
          <t>P JB Cold Soldering</t>
        </is>
      </c>
      <c r="V2170" s="19" t="inlineStr">
        <is>
          <t>Soldering</t>
        </is>
      </c>
      <c r="W2170" s="3" t="inlineStr">
        <is>
          <t>Repair</t>
        </is>
      </c>
      <c r="X2170" s="18" t="n">
        <v>46169</v>
      </c>
      <c r="Y2170" s="73">
        <f>IF(X2170="","",X2170-A2170)</f>
        <v/>
      </c>
      <c r="Z2170" s="18" t="n">
        <v>46169</v>
      </c>
      <c r="AA2170" s="15" t="n"/>
      <c r="AB2170" s="15" t="n"/>
      <c r="AF2170">
        <f>IF(AND($F2170="Closed",$X2170&gt;=DATE(2026,5,1),$X2170&lt;=DATE(2026,5,31)),"Closed in May","Other")</f>
        <v/>
      </c>
    </row>
    <row r="2171">
      <c r="A2171" s="37" t="n">
        <v>46143</v>
      </c>
      <c r="B2171" s="3" t="n">
        <v>2026</v>
      </c>
      <c r="C2171" s="26" t="inlineStr">
        <is>
          <t>Yanara Power</t>
        </is>
      </c>
      <c r="D2171" s="3" t="inlineStr">
        <is>
          <t>Utility and C&amp;I</t>
        </is>
      </c>
      <c r="E2171" s="3" t="n"/>
      <c r="F2171" s="3" t="inlineStr">
        <is>
          <t>Closed</t>
        </is>
      </c>
      <c r="G2171" s="9" t="inlineStr">
        <is>
          <t xml:space="preserve">Ashish Jindal </t>
        </is>
      </c>
      <c r="H2171" s="26" t="n">
        <v>9983975581</v>
      </c>
      <c r="I2171" s="38" t="inlineStr">
        <is>
          <t>PE01052601</t>
        </is>
      </c>
      <c r="J2171" s="26" t="inlineStr">
        <is>
          <t>Multiple Issues</t>
        </is>
      </c>
      <c r="K2171" s="39" t="inlineStr">
        <is>
          <t>Holi</t>
        </is>
      </c>
      <c r="L2171" s="39" t="inlineStr">
        <is>
          <t>Maharashtra</t>
        </is>
      </c>
      <c r="M2171" s="46" t="inlineStr">
        <is>
          <t>NS</t>
        </is>
      </c>
      <c r="N2171" s="3" t="inlineStr">
        <is>
          <t>Cold Soldering</t>
        </is>
      </c>
      <c r="O2171" s="56" t="n">
        <v>575</v>
      </c>
      <c r="P2171" s="46" t="inlineStr">
        <is>
          <t>NSMI24070203181</t>
        </is>
      </c>
      <c r="Q2171" s="54">
        <f>MID(P2171,5,2)</f>
        <v/>
      </c>
      <c r="R2171" s="53">
        <f>MID(P2171,7,2)</f>
        <v/>
      </c>
      <c r="S2171" s="3" t="inlineStr">
        <is>
          <t>G2G</t>
        </is>
      </c>
      <c r="T2171" s="3" t="inlineStr">
        <is>
          <t>P4</t>
        </is>
      </c>
      <c r="U2171" s="3" t="inlineStr">
        <is>
          <t>N JB Cold Soldering</t>
        </is>
      </c>
      <c r="V2171" s="3" t="inlineStr">
        <is>
          <t>Soldering</t>
        </is>
      </c>
      <c r="W2171" s="3" t="inlineStr">
        <is>
          <t>Repair</t>
        </is>
      </c>
      <c r="X2171" s="18" t="n">
        <v>46169</v>
      </c>
      <c r="Y2171" s="73">
        <f>IF(X2171="","",X2171-A2171)</f>
        <v/>
      </c>
      <c r="Z2171" s="18" t="n">
        <v>46169</v>
      </c>
      <c r="AA2171" s="15" t="n"/>
      <c r="AB2171" s="15" t="n"/>
      <c r="AF2171">
        <f>IF(AND($F2171="Closed",$X2171&gt;=DATE(2026,5,1),$X2171&lt;=DATE(2026,5,31)),"Closed in May","Other")</f>
        <v/>
      </c>
    </row>
    <row r="2172">
      <c r="A2172" s="37" t="n">
        <v>46143</v>
      </c>
      <c r="B2172" s="3" t="n">
        <v>2026</v>
      </c>
      <c r="C2172" s="26" t="inlineStr">
        <is>
          <t>Yanara Power</t>
        </is>
      </c>
      <c r="D2172" s="3" t="inlineStr">
        <is>
          <t>Utility and C&amp;I</t>
        </is>
      </c>
      <c r="E2172" s="3" t="n"/>
      <c r="F2172" s="3" t="inlineStr">
        <is>
          <t>Closed</t>
        </is>
      </c>
      <c r="G2172" s="9" t="inlineStr">
        <is>
          <t xml:space="preserve">Ashish Jindal </t>
        </is>
      </c>
      <c r="H2172" s="26" t="n">
        <v>9983975581</v>
      </c>
      <c r="I2172" s="38" t="inlineStr">
        <is>
          <t>PE01052601</t>
        </is>
      </c>
      <c r="J2172" s="26" t="inlineStr">
        <is>
          <t>Multiple Issues</t>
        </is>
      </c>
      <c r="K2172" s="39" t="inlineStr">
        <is>
          <t>Holi</t>
        </is>
      </c>
      <c r="L2172" s="39" t="inlineStr">
        <is>
          <t>Maharashtra</t>
        </is>
      </c>
      <c r="M2172" s="46" t="inlineStr">
        <is>
          <t>PS</t>
        </is>
      </c>
      <c r="N2172" s="3" t="inlineStr">
        <is>
          <t>Cold Soldering</t>
        </is>
      </c>
      <c r="O2172" s="56" t="n">
        <v>575</v>
      </c>
      <c r="P2172" s="46" t="inlineStr">
        <is>
          <t>NSMI24070197531</t>
        </is>
      </c>
      <c r="Q2172" s="54">
        <f>MID(P2172,5,2)</f>
        <v/>
      </c>
      <c r="R2172" s="53">
        <f>MID(P2172,7,2)</f>
        <v/>
      </c>
      <c r="S2172" s="3" t="inlineStr">
        <is>
          <t>G2G</t>
        </is>
      </c>
      <c r="T2172" s="3" t="inlineStr">
        <is>
          <t>P4</t>
        </is>
      </c>
      <c r="U2172" s="19" t="inlineStr">
        <is>
          <t>P JB Cold Soldering</t>
        </is>
      </c>
      <c r="V2172" s="19" t="inlineStr">
        <is>
          <t>Soldering</t>
        </is>
      </c>
      <c r="W2172" s="3" t="inlineStr">
        <is>
          <t>Repair</t>
        </is>
      </c>
      <c r="X2172" s="18" t="n">
        <v>46169</v>
      </c>
      <c r="Y2172" s="73">
        <f>IF(X2172="","",X2172-A2172)</f>
        <v/>
      </c>
      <c r="Z2172" s="18" t="n">
        <v>46169</v>
      </c>
      <c r="AA2172" s="15" t="n"/>
      <c r="AB2172" s="15" t="n"/>
      <c r="AF2172">
        <f>IF(AND($F2172="Closed",$X2172&gt;=DATE(2026,5,1),$X2172&lt;=DATE(2026,5,31)),"Closed in May","Other")</f>
        <v/>
      </c>
    </row>
    <row r="2173">
      <c r="A2173" s="37" t="n">
        <v>46143</v>
      </c>
      <c r="B2173" s="3" t="n">
        <v>2026</v>
      </c>
      <c r="C2173" s="26" t="inlineStr">
        <is>
          <t>Yanara Power</t>
        </is>
      </c>
      <c r="D2173" s="3" t="inlineStr">
        <is>
          <t>Utility and C&amp;I</t>
        </is>
      </c>
      <c r="E2173" s="3" t="n"/>
      <c r="F2173" s="3" t="inlineStr">
        <is>
          <t>Closed</t>
        </is>
      </c>
      <c r="G2173" s="9" t="inlineStr">
        <is>
          <t xml:space="preserve">Ashish Jindal </t>
        </is>
      </c>
      <c r="H2173" s="26" t="n">
        <v>9983975581</v>
      </c>
      <c r="I2173" s="38" t="inlineStr">
        <is>
          <t>PE01052601</t>
        </is>
      </c>
      <c r="J2173" s="26" t="inlineStr">
        <is>
          <t>Multiple Issues</t>
        </is>
      </c>
      <c r="K2173" s="39" t="inlineStr">
        <is>
          <t>Holi</t>
        </is>
      </c>
      <c r="L2173" s="39" t="inlineStr">
        <is>
          <t>Maharashtra</t>
        </is>
      </c>
      <c r="M2173" s="46" t="inlineStr">
        <is>
          <t>PS</t>
        </is>
      </c>
      <c r="N2173" s="3" t="inlineStr">
        <is>
          <t>Cold Soldering</t>
        </is>
      </c>
      <c r="O2173" s="56" t="n">
        <v>575</v>
      </c>
      <c r="P2173" s="46" t="inlineStr">
        <is>
          <t>NSMI24070197506</t>
        </is>
      </c>
      <c r="Q2173" s="54">
        <f>MID(P2173,5,2)</f>
        <v/>
      </c>
      <c r="R2173" s="53">
        <f>MID(P2173,7,2)</f>
        <v/>
      </c>
      <c r="S2173" s="3" t="inlineStr">
        <is>
          <t>G2G</t>
        </is>
      </c>
      <c r="T2173" s="3" t="inlineStr">
        <is>
          <t>P4</t>
        </is>
      </c>
      <c r="U2173" s="19" t="inlineStr">
        <is>
          <t>P JB Cold Soldering</t>
        </is>
      </c>
      <c r="V2173" s="19" t="inlineStr">
        <is>
          <t>Soldering</t>
        </is>
      </c>
      <c r="W2173" s="3" t="inlineStr">
        <is>
          <t>Repair</t>
        </is>
      </c>
      <c r="X2173" s="18" t="n">
        <v>46169</v>
      </c>
      <c r="Y2173" s="73">
        <f>IF(X2173="","",X2173-A2173)</f>
        <v/>
      </c>
      <c r="Z2173" s="18" t="n">
        <v>46169</v>
      </c>
      <c r="AA2173" s="15" t="n"/>
      <c r="AB2173" s="15" t="n"/>
      <c r="AF2173">
        <f>IF(AND($F2173="Closed",$X2173&gt;=DATE(2026,5,1),$X2173&lt;=DATE(2026,5,31)),"Closed in May","Other")</f>
        <v/>
      </c>
    </row>
    <row r="2174">
      <c r="A2174" s="37" t="n">
        <v>46143</v>
      </c>
      <c r="B2174" s="3" t="n">
        <v>2026</v>
      </c>
      <c r="C2174" s="26" t="inlineStr">
        <is>
          <t>Yanara Power</t>
        </is>
      </c>
      <c r="D2174" s="3" t="inlineStr">
        <is>
          <t>Utility and C&amp;I</t>
        </is>
      </c>
      <c r="E2174" s="3" t="n"/>
      <c r="F2174" s="3" t="inlineStr">
        <is>
          <t>Closed</t>
        </is>
      </c>
      <c r="G2174" s="9" t="inlineStr">
        <is>
          <t xml:space="preserve">Ashish Jindal </t>
        </is>
      </c>
      <c r="H2174" s="26" t="n">
        <v>9983975581</v>
      </c>
      <c r="I2174" s="38" t="inlineStr">
        <is>
          <t>PE01052601</t>
        </is>
      </c>
      <c r="J2174" s="26" t="inlineStr">
        <is>
          <t>Multiple Issues</t>
        </is>
      </c>
      <c r="K2174" s="39" t="inlineStr">
        <is>
          <t>Holi</t>
        </is>
      </c>
      <c r="L2174" s="39" t="inlineStr">
        <is>
          <t>Maharashtra</t>
        </is>
      </c>
      <c r="M2174" s="46" t="inlineStr">
        <is>
          <t>PS</t>
        </is>
      </c>
      <c r="N2174" s="3" t="inlineStr">
        <is>
          <t>Cold Soldering</t>
        </is>
      </c>
      <c r="O2174" s="56" t="n">
        <v>575</v>
      </c>
      <c r="P2174" s="46" t="inlineStr">
        <is>
          <t>NSMI24070197301</t>
        </is>
      </c>
      <c r="Q2174" s="54">
        <f>MID(P2174,5,2)</f>
        <v/>
      </c>
      <c r="R2174" s="53">
        <f>MID(P2174,7,2)</f>
        <v/>
      </c>
      <c r="S2174" s="3" t="inlineStr">
        <is>
          <t>G2G</t>
        </is>
      </c>
      <c r="T2174" s="3" t="inlineStr">
        <is>
          <t>P4</t>
        </is>
      </c>
      <c r="U2174" s="19" t="inlineStr">
        <is>
          <t>P JB Cold Soldering</t>
        </is>
      </c>
      <c r="V2174" s="19" t="inlineStr">
        <is>
          <t>Soldering</t>
        </is>
      </c>
      <c r="W2174" s="3" t="inlineStr">
        <is>
          <t>Repair</t>
        </is>
      </c>
      <c r="X2174" s="18" t="n">
        <v>46169</v>
      </c>
      <c r="Y2174" s="73">
        <f>IF(X2174="","",X2174-A2174)</f>
        <v/>
      </c>
      <c r="Z2174" s="18" t="n">
        <v>46169</v>
      </c>
      <c r="AA2174" s="15" t="n"/>
      <c r="AB2174" s="15" t="n"/>
      <c r="AF2174">
        <f>IF(AND($F2174="Closed",$X2174&gt;=DATE(2026,5,1),$X2174&lt;=DATE(2026,5,31)),"Closed in May","Other")</f>
        <v/>
      </c>
    </row>
    <row r="2175">
      <c r="A2175" s="37" t="n">
        <v>46143</v>
      </c>
      <c r="B2175" s="3" t="n">
        <v>2026</v>
      </c>
      <c r="C2175" s="26" t="inlineStr">
        <is>
          <t>Yanara Power</t>
        </is>
      </c>
      <c r="D2175" s="3" t="inlineStr">
        <is>
          <t>Utility and C&amp;I</t>
        </is>
      </c>
      <c r="E2175" s="3" t="n"/>
      <c r="F2175" s="3" t="inlineStr">
        <is>
          <t>Closed</t>
        </is>
      </c>
      <c r="G2175" s="9" t="inlineStr">
        <is>
          <t xml:space="preserve">Ashish Jindal </t>
        </is>
      </c>
      <c r="H2175" s="26" t="n">
        <v>9983975581</v>
      </c>
      <c r="I2175" s="38" t="inlineStr">
        <is>
          <t>PE01052601</t>
        </is>
      </c>
      <c r="J2175" s="26" t="inlineStr">
        <is>
          <t>Multiple Issues</t>
        </is>
      </c>
      <c r="K2175" s="39" t="inlineStr">
        <is>
          <t>Holi</t>
        </is>
      </c>
      <c r="L2175" s="39" t="inlineStr">
        <is>
          <t>Maharashtra</t>
        </is>
      </c>
      <c r="M2175" s="46" t="inlineStr">
        <is>
          <t>NS</t>
        </is>
      </c>
      <c r="N2175" s="3" t="inlineStr">
        <is>
          <t>Cold Soldering</t>
        </is>
      </c>
      <c r="O2175" s="56" t="n">
        <v>575</v>
      </c>
      <c r="P2175" s="46" t="inlineStr">
        <is>
          <t>NSMI24070195480</t>
        </is>
      </c>
      <c r="Q2175" s="54">
        <f>MID(P2175,5,2)</f>
        <v/>
      </c>
      <c r="R2175" s="53">
        <f>MID(P2175,7,2)</f>
        <v/>
      </c>
      <c r="S2175" s="3" t="inlineStr">
        <is>
          <t>G2G</t>
        </is>
      </c>
      <c r="T2175" s="3" t="inlineStr">
        <is>
          <t>P4</t>
        </is>
      </c>
      <c r="U2175" s="3" t="inlineStr">
        <is>
          <t>N JB Cold Soldering</t>
        </is>
      </c>
      <c r="V2175" s="3" t="inlineStr">
        <is>
          <t>Soldering</t>
        </is>
      </c>
      <c r="W2175" s="3" t="inlineStr">
        <is>
          <t>Repair</t>
        </is>
      </c>
      <c r="X2175" s="18" t="n">
        <v>46169</v>
      </c>
      <c r="Y2175" s="73">
        <f>IF(X2175="","",X2175-A2175)</f>
        <v/>
      </c>
      <c r="Z2175" s="18" t="n">
        <v>46169</v>
      </c>
      <c r="AA2175" s="15" t="n"/>
      <c r="AB2175" s="15" t="n"/>
      <c r="AF2175">
        <f>IF(AND($F2175="Closed",$X2175&gt;=DATE(2026,5,1),$X2175&lt;=DATE(2026,5,31)),"Closed in May","Other")</f>
        <v/>
      </c>
    </row>
    <row r="2176">
      <c r="A2176" s="37" t="n">
        <v>46143</v>
      </c>
      <c r="B2176" s="3" t="n">
        <v>2026</v>
      </c>
      <c r="C2176" s="26" t="inlineStr">
        <is>
          <t>Yanara Power</t>
        </is>
      </c>
      <c r="D2176" s="3" t="inlineStr">
        <is>
          <t>Utility and C&amp;I</t>
        </is>
      </c>
      <c r="E2176" s="3" t="n"/>
      <c r="F2176" s="3" t="inlineStr">
        <is>
          <t>Closed</t>
        </is>
      </c>
      <c r="G2176" s="9" t="inlineStr">
        <is>
          <t xml:space="preserve">Ashish Jindal </t>
        </is>
      </c>
      <c r="H2176" s="26" t="n">
        <v>9983975581</v>
      </c>
      <c r="I2176" s="38" t="inlineStr">
        <is>
          <t>PE01052601</t>
        </is>
      </c>
      <c r="J2176" s="26" t="inlineStr">
        <is>
          <t>Multiple Issues</t>
        </is>
      </c>
      <c r="K2176" s="39" t="inlineStr">
        <is>
          <t>Holi</t>
        </is>
      </c>
      <c r="L2176" s="39" t="inlineStr">
        <is>
          <t>Maharashtra</t>
        </is>
      </c>
      <c r="M2176" s="46" t="inlineStr">
        <is>
          <t>NS</t>
        </is>
      </c>
      <c r="N2176" s="3" t="inlineStr">
        <is>
          <t>Cold Soldering</t>
        </is>
      </c>
      <c r="O2176" s="56" t="n">
        <v>575</v>
      </c>
      <c r="P2176" s="46" t="inlineStr">
        <is>
          <t>NSMI24070195546</t>
        </is>
      </c>
      <c r="Q2176" s="54">
        <f>MID(P2176,5,2)</f>
        <v/>
      </c>
      <c r="R2176" s="53">
        <f>MID(P2176,7,2)</f>
        <v/>
      </c>
      <c r="S2176" s="3" t="inlineStr">
        <is>
          <t>G2G</t>
        </is>
      </c>
      <c r="T2176" s="3" t="inlineStr">
        <is>
          <t>P4</t>
        </is>
      </c>
      <c r="U2176" s="3" t="inlineStr">
        <is>
          <t>N JB Cold Soldering</t>
        </is>
      </c>
      <c r="V2176" s="3" t="inlineStr">
        <is>
          <t>Soldering</t>
        </is>
      </c>
      <c r="W2176" s="3" t="inlineStr">
        <is>
          <t>Repair</t>
        </is>
      </c>
      <c r="X2176" s="18" t="n">
        <v>46169</v>
      </c>
      <c r="Y2176" s="73">
        <f>IF(X2176="","",X2176-A2176)</f>
        <v/>
      </c>
      <c r="Z2176" s="18" t="n">
        <v>46169</v>
      </c>
      <c r="AA2176" s="15" t="n"/>
      <c r="AB2176" s="15" t="n"/>
      <c r="AF2176">
        <f>IF(AND($F2176="Closed",$X2176&gt;=DATE(2026,5,1),$X2176&lt;=DATE(2026,5,31)),"Closed in May","Other")</f>
        <v/>
      </c>
    </row>
    <row r="2177">
      <c r="A2177" s="37" t="n">
        <v>46143</v>
      </c>
      <c r="B2177" s="3" t="n">
        <v>2026</v>
      </c>
      <c r="C2177" s="26" t="inlineStr">
        <is>
          <t>Yanara Power</t>
        </is>
      </c>
      <c r="D2177" s="3" t="inlineStr">
        <is>
          <t>Utility and C&amp;I</t>
        </is>
      </c>
      <c r="E2177" s="3" t="n"/>
      <c r="F2177" s="3" t="inlineStr">
        <is>
          <t>Closed</t>
        </is>
      </c>
      <c r="G2177" s="9" t="inlineStr">
        <is>
          <t xml:space="preserve">Ashish Jindal </t>
        </is>
      </c>
      <c r="H2177" s="26" t="n">
        <v>9983975581</v>
      </c>
      <c r="I2177" s="38" t="inlineStr">
        <is>
          <t>PE01052601</t>
        </is>
      </c>
      <c r="J2177" s="26" t="inlineStr">
        <is>
          <t>Multiple Issues</t>
        </is>
      </c>
      <c r="K2177" s="39" t="inlineStr">
        <is>
          <t>Holi</t>
        </is>
      </c>
      <c r="L2177" s="39" t="inlineStr">
        <is>
          <t>Maharashtra</t>
        </is>
      </c>
      <c r="M2177" s="46" t="inlineStr">
        <is>
          <t>NS</t>
        </is>
      </c>
      <c r="N2177" s="3" t="inlineStr">
        <is>
          <t>Cold Soldering</t>
        </is>
      </c>
      <c r="O2177" s="56" t="n">
        <v>575</v>
      </c>
      <c r="P2177" s="46" t="inlineStr">
        <is>
          <t>NSMI24070195488</t>
        </is>
      </c>
      <c r="Q2177" s="54">
        <f>MID(P2177,5,2)</f>
        <v/>
      </c>
      <c r="R2177" s="53">
        <f>MID(P2177,7,2)</f>
        <v/>
      </c>
      <c r="S2177" s="3" t="inlineStr">
        <is>
          <t>G2G</t>
        </is>
      </c>
      <c r="T2177" s="3" t="inlineStr">
        <is>
          <t>P4</t>
        </is>
      </c>
      <c r="U2177" s="3" t="inlineStr">
        <is>
          <t>N JB Cold Soldering</t>
        </is>
      </c>
      <c r="V2177" s="3" t="inlineStr">
        <is>
          <t>Soldering</t>
        </is>
      </c>
      <c r="W2177" s="3" t="inlineStr">
        <is>
          <t>Repair</t>
        </is>
      </c>
      <c r="X2177" s="18" t="n">
        <v>46169</v>
      </c>
      <c r="Y2177" s="73">
        <f>IF(X2177="","",X2177-A2177)</f>
        <v/>
      </c>
      <c r="Z2177" s="18" t="n">
        <v>46169</v>
      </c>
      <c r="AA2177" s="15" t="n"/>
      <c r="AB2177" s="15" t="n"/>
      <c r="AF2177">
        <f>IF(AND($F2177="Closed",$X2177&gt;=DATE(2026,5,1),$X2177&lt;=DATE(2026,5,31)),"Closed in May","Other")</f>
        <v/>
      </c>
    </row>
    <row r="2178">
      <c r="A2178" s="37" t="n">
        <v>46143</v>
      </c>
      <c r="B2178" s="3" t="n">
        <v>2026</v>
      </c>
      <c r="C2178" s="26" t="inlineStr">
        <is>
          <t>Yanara Power</t>
        </is>
      </c>
      <c r="D2178" s="3" t="inlineStr">
        <is>
          <t>Utility and C&amp;I</t>
        </is>
      </c>
      <c r="E2178" s="3" t="n"/>
      <c r="F2178" s="3" t="inlineStr">
        <is>
          <t>Closed</t>
        </is>
      </c>
      <c r="G2178" s="9" t="inlineStr">
        <is>
          <t xml:space="preserve">Ashish Jindal </t>
        </is>
      </c>
      <c r="H2178" s="26" t="n">
        <v>9983975581</v>
      </c>
      <c r="I2178" s="38" t="inlineStr">
        <is>
          <t>PE01052601</t>
        </is>
      </c>
      <c r="J2178" s="26" t="inlineStr">
        <is>
          <t>Multiple Issues</t>
        </is>
      </c>
      <c r="K2178" s="39" t="inlineStr">
        <is>
          <t>Holi</t>
        </is>
      </c>
      <c r="L2178" s="39" t="inlineStr">
        <is>
          <t>Maharashtra</t>
        </is>
      </c>
      <c r="M2178" s="46" t="inlineStr">
        <is>
          <t>NS</t>
        </is>
      </c>
      <c r="N2178" s="3" t="inlineStr">
        <is>
          <t>Cold Soldering</t>
        </is>
      </c>
      <c r="O2178" s="56" t="n">
        <v>575</v>
      </c>
      <c r="P2178" s="46" t="inlineStr">
        <is>
          <t>NSMI24070202714</t>
        </is>
      </c>
      <c r="Q2178" s="54">
        <f>MID(P2178,5,2)</f>
        <v/>
      </c>
      <c r="R2178" s="53">
        <f>MID(P2178,7,2)</f>
        <v/>
      </c>
      <c r="S2178" s="3" t="inlineStr">
        <is>
          <t>G2G</t>
        </is>
      </c>
      <c r="T2178" s="3" t="inlineStr">
        <is>
          <t>P4</t>
        </is>
      </c>
      <c r="U2178" s="3" t="inlineStr">
        <is>
          <t>N JB Cold Soldering</t>
        </is>
      </c>
      <c r="V2178" s="3" t="inlineStr">
        <is>
          <t>Soldering</t>
        </is>
      </c>
      <c r="W2178" s="3" t="inlineStr">
        <is>
          <t>Repair</t>
        </is>
      </c>
      <c r="X2178" s="18" t="n">
        <v>46169</v>
      </c>
      <c r="Y2178" s="73">
        <f>IF(X2178="","",X2178-A2178)</f>
        <v/>
      </c>
      <c r="Z2178" s="18" t="n">
        <v>46169</v>
      </c>
      <c r="AA2178" s="15" t="n"/>
      <c r="AB2178" s="15" t="n"/>
      <c r="AF2178">
        <f>IF(AND($F2178="Closed",$X2178&gt;=DATE(2026,5,1),$X2178&lt;=DATE(2026,5,31)),"Closed in May","Other")</f>
        <v/>
      </c>
    </row>
    <row r="2179">
      <c r="A2179" s="37" t="n">
        <v>46143</v>
      </c>
      <c r="B2179" s="3" t="n">
        <v>2026</v>
      </c>
      <c r="C2179" s="26" t="inlineStr">
        <is>
          <t>Yanara Power</t>
        </is>
      </c>
      <c r="D2179" s="3" t="inlineStr">
        <is>
          <t>Utility and C&amp;I</t>
        </is>
      </c>
      <c r="E2179" s="3" t="n"/>
      <c r="F2179" s="3" t="inlineStr">
        <is>
          <t>Closed</t>
        </is>
      </c>
      <c r="G2179" s="9" t="inlineStr">
        <is>
          <t xml:space="preserve">Ashish Jindal </t>
        </is>
      </c>
      <c r="H2179" s="26" t="n">
        <v>9983975581</v>
      </c>
      <c r="I2179" s="38" t="inlineStr">
        <is>
          <t>PE01052601</t>
        </is>
      </c>
      <c r="J2179" s="26" t="inlineStr">
        <is>
          <t>Multiple Issues</t>
        </is>
      </c>
      <c r="K2179" s="39" t="inlineStr">
        <is>
          <t>Holi</t>
        </is>
      </c>
      <c r="L2179" s="39" t="inlineStr">
        <is>
          <t>Maharashtra</t>
        </is>
      </c>
      <c r="M2179" s="46" t="inlineStr">
        <is>
          <t>PS</t>
        </is>
      </c>
      <c r="N2179" s="3" t="inlineStr">
        <is>
          <t>Cold Soldering</t>
        </is>
      </c>
      <c r="O2179" s="56" t="n">
        <v>575</v>
      </c>
      <c r="P2179" s="46" t="inlineStr">
        <is>
          <t>NSMI24070176257</t>
        </is>
      </c>
      <c r="Q2179" s="54">
        <f>MID(P2179,5,2)</f>
        <v/>
      </c>
      <c r="R2179" s="53">
        <f>MID(P2179,7,2)</f>
        <v/>
      </c>
      <c r="S2179" s="3" t="inlineStr">
        <is>
          <t>G2G</t>
        </is>
      </c>
      <c r="T2179" s="3" t="inlineStr">
        <is>
          <t>P4</t>
        </is>
      </c>
      <c r="U2179" s="19" t="inlineStr">
        <is>
          <t>P JB Cold Soldering</t>
        </is>
      </c>
      <c r="V2179" s="19" t="inlineStr">
        <is>
          <t>Soldering</t>
        </is>
      </c>
      <c r="W2179" s="3" t="inlineStr">
        <is>
          <t>Repair</t>
        </is>
      </c>
      <c r="X2179" s="18" t="n">
        <v>46169</v>
      </c>
      <c r="Y2179" s="73">
        <f>IF(X2179="","",X2179-A2179)</f>
        <v/>
      </c>
      <c r="Z2179" s="18" t="n">
        <v>46169</v>
      </c>
      <c r="AA2179" s="15" t="n"/>
      <c r="AB2179" s="15" t="n"/>
      <c r="AF2179">
        <f>IF(AND($F2179="Closed",$X2179&gt;=DATE(2026,5,1),$X2179&lt;=DATE(2026,5,31)),"Closed in May","Other")</f>
        <v/>
      </c>
    </row>
    <row r="2180">
      <c r="A2180" s="37" t="n">
        <v>46143</v>
      </c>
      <c r="B2180" s="3" t="n">
        <v>2026</v>
      </c>
      <c r="C2180" s="26" t="inlineStr">
        <is>
          <t>Yanara Power</t>
        </is>
      </c>
      <c r="D2180" s="3" t="inlineStr">
        <is>
          <t>Utility and C&amp;I</t>
        </is>
      </c>
      <c r="E2180" s="3" t="n"/>
      <c r="F2180" s="3" t="inlineStr">
        <is>
          <t>Closed</t>
        </is>
      </c>
      <c r="G2180" s="9" t="inlineStr">
        <is>
          <t xml:space="preserve">Ashish Jindal </t>
        </is>
      </c>
      <c r="H2180" s="26" t="n">
        <v>9983975581</v>
      </c>
      <c r="I2180" s="38" t="inlineStr">
        <is>
          <t>PE01052601</t>
        </is>
      </c>
      <c r="J2180" s="26" t="inlineStr">
        <is>
          <t>Multiple Issues</t>
        </is>
      </c>
      <c r="K2180" s="39" t="inlineStr">
        <is>
          <t>Holi</t>
        </is>
      </c>
      <c r="L2180" s="39" t="inlineStr">
        <is>
          <t>Maharashtra</t>
        </is>
      </c>
      <c r="M2180" s="46" t="inlineStr">
        <is>
          <t>PS</t>
        </is>
      </c>
      <c r="N2180" s="3" t="inlineStr">
        <is>
          <t>Cold Soldering</t>
        </is>
      </c>
      <c r="O2180" s="56" t="n">
        <v>575</v>
      </c>
      <c r="P2180" s="46" t="inlineStr">
        <is>
          <t>NSMI24070185635</t>
        </is>
      </c>
      <c r="Q2180" s="54">
        <f>MID(P2180,5,2)</f>
        <v/>
      </c>
      <c r="R2180" s="53">
        <f>MID(P2180,7,2)</f>
        <v/>
      </c>
      <c r="S2180" s="3" t="inlineStr">
        <is>
          <t>G2G</t>
        </is>
      </c>
      <c r="T2180" s="3" t="inlineStr">
        <is>
          <t>P4</t>
        </is>
      </c>
      <c r="U2180" s="19" t="inlineStr">
        <is>
          <t>P JB Cold Soldering</t>
        </is>
      </c>
      <c r="V2180" s="19" t="inlineStr">
        <is>
          <t>Soldering</t>
        </is>
      </c>
      <c r="W2180" s="3" t="inlineStr">
        <is>
          <t>Repair</t>
        </is>
      </c>
      <c r="X2180" s="18" t="n">
        <v>46169</v>
      </c>
      <c r="Y2180" s="73">
        <f>IF(X2180="","",X2180-A2180)</f>
        <v/>
      </c>
      <c r="Z2180" s="18" t="n">
        <v>46169</v>
      </c>
      <c r="AA2180" s="15" t="n"/>
      <c r="AB2180" s="15" t="n"/>
      <c r="AF2180">
        <f>IF(AND($F2180="Closed",$X2180&gt;=DATE(2026,5,1),$X2180&lt;=DATE(2026,5,31)),"Closed in May","Other")</f>
        <v/>
      </c>
    </row>
    <row r="2181">
      <c r="A2181" s="37" t="n">
        <v>46143</v>
      </c>
      <c r="B2181" s="3" t="n">
        <v>2026</v>
      </c>
      <c r="C2181" s="26" t="inlineStr">
        <is>
          <t>Yanara Power</t>
        </is>
      </c>
      <c r="D2181" s="3" t="inlineStr">
        <is>
          <t>Utility and C&amp;I</t>
        </is>
      </c>
      <c r="E2181" s="3" t="n"/>
      <c r="F2181" s="3" t="inlineStr">
        <is>
          <t>Closed</t>
        </is>
      </c>
      <c r="G2181" s="9" t="inlineStr">
        <is>
          <t xml:space="preserve">Ashish Jindal </t>
        </is>
      </c>
      <c r="H2181" s="26" t="n">
        <v>9983975581</v>
      </c>
      <c r="I2181" s="38" t="inlineStr">
        <is>
          <t>PE01052601</t>
        </is>
      </c>
      <c r="J2181" s="26" t="inlineStr">
        <is>
          <t>Multiple Issues</t>
        </is>
      </c>
      <c r="K2181" s="39" t="inlineStr">
        <is>
          <t>Holi</t>
        </is>
      </c>
      <c r="L2181" s="39" t="inlineStr">
        <is>
          <t>Maharashtra</t>
        </is>
      </c>
      <c r="M2181" s="46" t="inlineStr">
        <is>
          <t>PS</t>
        </is>
      </c>
      <c r="N2181" s="3" t="inlineStr">
        <is>
          <t>Cold Soldering</t>
        </is>
      </c>
      <c r="O2181" s="56" t="n">
        <v>575</v>
      </c>
      <c r="P2181" s="46" t="inlineStr">
        <is>
          <t>NSMI24070202059</t>
        </is>
      </c>
      <c r="Q2181" s="54">
        <f>MID(P2181,5,2)</f>
        <v/>
      </c>
      <c r="R2181" s="53">
        <f>MID(P2181,7,2)</f>
        <v/>
      </c>
      <c r="S2181" s="3" t="inlineStr">
        <is>
          <t>G2G</t>
        </is>
      </c>
      <c r="T2181" s="3" t="inlineStr">
        <is>
          <t>P4</t>
        </is>
      </c>
      <c r="U2181" s="19" t="inlineStr">
        <is>
          <t>P JB Cold Soldering</t>
        </is>
      </c>
      <c r="V2181" s="19" t="inlineStr">
        <is>
          <t>Soldering</t>
        </is>
      </c>
      <c r="W2181" s="3" t="inlineStr">
        <is>
          <t>Repair</t>
        </is>
      </c>
      <c r="X2181" s="18" t="n">
        <v>46169</v>
      </c>
      <c r="Y2181" s="73">
        <f>IF(X2181="","",X2181-A2181)</f>
        <v/>
      </c>
      <c r="Z2181" s="18" t="n">
        <v>46169</v>
      </c>
      <c r="AA2181" s="15" t="n"/>
      <c r="AB2181" s="15" t="n"/>
      <c r="AF2181">
        <f>IF(AND($F2181="Closed",$X2181&gt;=DATE(2026,5,1),$X2181&lt;=DATE(2026,5,31)),"Closed in May","Other")</f>
        <v/>
      </c>
    </row>
    <row r="2182">
      <c r="A2182" s="37" t="n">
        <v>46143</v>
      </c>
      <c r="B2182" s="3" t="n">
        <v>2026</v>
      </c>
      <c r="C2182" s="26" t="inlineStr">
        <is>
          <t>Yanara Power</t>
        </is>
      </c>
      <c r="D2182" s="3" t="inlineStr">
        <is>
          <t>Utility and C&amp;I</t>
        </is>
      </c>
      <c r="E2182" s="3" t="n"/>
      <c r="F2182" s="3" t="inlineStr">
        <is>
          <t>Closed</t>
        </is>
      </c>
      <c r="G2182" s="9" t="inlineStr">
        <is>
          <t xml:space="preserve">Ashish Jindal </t>
        </is>
      </c>
      <c r="H2182" s="26" t="n">
        <v>9983975581</v>
      </c>
      <c r="I2182" s="38" t="inlineStr">
        <is>
          <t>PE01052601</t>
        </is>
      </c>
      <c r="J2182" s="26" t="inlineStr">
        <is>
          <t>Multiple Issues</t>
        </is>
      </c>
      <c r="K2182" s="39" t="inlineStr">
        <is>
          <t>Holi</t>
        </is>
      </c>
      <c r="L2182" s="39" t="inlineStr">
        <is>
          <t>Maharashtra</t>
        </is>
      </c>
      <c r="M2182" s="46" t="inlineStr">
        <is>
          <t>NS</t>
        </is>
      </c>
      <c r="N2182" s="3" t="inlineStr">
        <is>
          <t>Cold Soldering</t>
        </is>
      </c>
      <c r="O2182" s="56" t="n">
        <v>575</v>
      </c>
      <c r="P2182" s="46" t="inlineStr">
        <is>
          <t>NSMI24070197781</t>
        </is>
      </c>
      <c r="Q2182" s="54">
        <f>MID(P2182,5,2)</f>
        <v/>
      </c>
      <c r="R2182" s="53">
        <f>MID(P2182,7,2)</f>
        <v/>
      </c>
      <c r="S2182" s="3" t="inlineStr">
        <is>
          <t>G2G</t>
        </is>
      </c>
      <c r="T2182" s="3" t="inlineStr">
        <is>
          <t>P4</t>
        </is>
      </c>
      <c r="U2182" s="3" t="inlineStr">
        <is>
          <t>N JB Cold Soldering</t>
        </is>
      </c>
      <c r="V2182" s="3" t="inlineStr">
        <is>
          <t>Soldering</t>
        </is>
      </c>
      <c r="W2182" s="3" t="inlineStr">
        <is>
          <t>Repair</t>
        </is>
      </c>
      <c r="X2182" s="18" t="n">
        <v>46169</v>
      </c>
      <c r="Y2182" s="73">
        <f>IF(X2182="","",X2182-A2182)</f>
        <v/>
      </c>
      <c r="Z2182" s="18" t="n">
        <v>46169</v>
      </c>
      <c r="AA2182" s="15" t="n"/>
      <c r="AB2182" s="15" t="n"/>
      <c r="AF2182">
        <f>IF(AND($F2182="Closed",$X2182&gt;=DATE(2026,5,1),$X2182&lt;=DATE(2026,5,31)),"Closed in May","Other")</f>
        <v/>
      </c>
    </row>
    <row r="2183">
      <c r="A2183" s="59" t="n">
        <v>46148</v>
      </c>
      <c r="B2183" s="3" t="n">
        <v>2026</v>
      </c>
      <c r="C2183" s="21" t="inlineStr">
        <is>
          <t>Continuum</t>
        </is>
      </c>
      <c r="D2183" s="3" t="inlineStr">
        <is>
          <t>Utility and C&amp;I</t>
        </is>
      </c>
      <c r="E2183" s="3" t="n"/>
      <c r="F2183" s="3" t="inlineStr">
        <is>
          <t>Closed</t>
        </is>
      </c>
      <c r="G2183" s="21" t="inlineStr">
        <is>
          <t>Amiya Ranjan Behera</t>
        </is>
      </c>
      <c r="H2183" s="21" t="n">
        <v>8917436223</v>
      </c>
      <c r="I2183" s="38" t="inlineStr">
        <is>
          <t>PE06052602</t>
        </is>
      </c>
      <c r="J2183" s="21" t="inlineStr">
        <is>
          <t>Diode Bypass Module Issue</t>
        </is>
      </c>
      <c r="K2183" s="21" t="inlineStr">
        <is>
          <t>Bhavnagar</t>
        </is>
      </c>
      <c r="L2183" s="21" t="inlineStr">
        <is>
          <t>Gujarat</t>
        </is>
      </c>
      <c r="M2183" s="9" t="inlineStr">
        <is>
          <t>OK</t>
        </is>
      </c>
      <c r="N2183" s="3" t="inlineStr">
        <is>
          <t>No Issue</t>
        </is>
      </c>
      <c r="O2183" s="62" t="n">
        <v>540</v>
      </c>
      <c r="P2183" s="9" t="inlineStr">
        <is>
          <t>NSMP2305171743</t>
        </is>
      </c>
      <c r="Q2183" s="53">
        <f>MID(P2183,5,2)</f>
        <v/>
      </c>
      <c r="R2183" s="53">
        <f>MID(P2183,7,2)</f>
        <v/>
      </c>
      <c r="S2183" s="3" t="inlineStr">
        <is>
          <t>G2B</t>
        </is>
      </c>
      <c r="T2183" s="3" t="inlineStr">
        <is>
          <t>P2</t>
        </is>
      </c>
      <c r="U2183" s="19" t="inlineStr">
        <is>
          <t>No Issue Found</t>
        </is>
      </c>
      <c r="V2183" s="19" t="inlineStr">
        <is>
          <t>Found OK</t>
        </is>
      </c>
      <c r="W2183" s="3" t="inlineStr">
        <is>
          <t>Repair</t>
        </is>
      </c>
      <c r="X2183" s="18" t="n">
        <v>46169</v>
      </c>
      <c r="Y2183" s="73">
        <f>IF(X2183="","",X2183-A2183)</f>
        <v/>
      </c>
      <c r="Z2183" s="18" t="n">
        <v>46169</v>
      </c>
      <c r="AA2183" s="15" t="n"/>
      <c r="AB2183" s="15" t="n"/>
      <c r="AF2183">
        <f>IF(AND($F2183="Closed",$X2183&gt;=DATE(2026,5,1),$X2183&lt;=DATE(2026,5,31)),"Closed in May","Other")</f>
        <v/>
      </c>
    </row>
    <row r="2184">
      <c r="A2184" s="59" t="n">
        <v>46148</v>
      </c>
      <c r="B2184" s="3" t="n">
        <v>2026</v>
      </c>
      <c r="C2184" s="21" t="inlineStr">
        <is>
          <t>Continuum</t>
        </is>
      </c>
      <c r="D2184" s="3" t="inlineStr">
        <is>
          <t>Utility and C&amp;I</t>
        </is>
      </c>
      <c r="E2184" s="3" t="n"/>
      <c r="F2184" s="3" t="inlineStr">
        <is>
          <t>Closed</t>
        </is>
      </c>
      <c r="G2184" s="21" t="inlineStr">
        <is>
          <t>Amiya Ranjan Behera</t>
        </is>
      </c>
      <c r="H2184" s="21" t="n">
        <v>8917436223</v>
      </c>
      <c r="I2184" s="38" t="inlineStr">
        <is>
          <t>PE06052602</t>
        </is>
      </c>
      <c r="J2184" s="21" t="inlineStr">
        <is>
          <t>Diode Bypass Module Issue</t>
        </is>
      </c>
      <c r="K2184" s="21" t="inlineStr">
        <is>
          <t>Bhavnagar</t>
        </is>
      </c>
      <c r="L2184" s="21" t="inlineStr">
        <is>
          <t>Gujarat</t>
        </is>
      </c>
      <c r="M2184" s="9" t="inlineStr">
        <is>
          <t>NR</t>
        </is>
      </c>
      <c r="N2184" s="26" t="inlineStr">
        <is>
          <t>JB Issue</t>
        </is>
      </c>
      <c r="O2184" s="62" t="n">
        <v>540</v>
      </c>
      <c r="P2184" s="9" t="inlineStr">
        <is>
          <t>NSMP2305130637</t>
        </is>
      </c>
      <c r="Q2184" s="53">
        <f>MID(P2184,5,2)</f>
        <v/>
      </c>
      <c r="R2184" s="53">
        <f>MID(P2184,7,2)</f>
        <v/>
      </c>
      <c r="S2184" s="3" t="inlineStr">
        <is>
          <t>G2B</t>
        </is>
      </c>
      <c r="T2184" s="3" t="inlineStr">
        <is>
          <t>P2</t>
        </is>
      </c>
      <c r="U2184" s="19" t="inlineStr">
        <is>
          <t>N JB Issue</t>
        </is>
      </c>
      <c r="V2184" s="19" t="inlineStr">
        <is>
          <t>JB Changed</t>
        </is>
      </c>
      <c r="W2184" s="3" t="inlineStr">
        <is>
          <t>Repair</t>
        </is>
      </c>
      <c r="X2184" s="18" t="n">
        <v>46169</v>
      </c>
      <c r="Y2184" s="73">
        <f>IF(X2184="","",X2184-A2184)</f>
        <v/>
      </c>
      <c r="Z2184" s="18" t="n">
        <v>46169</v>
      </c>
      <c r="AA2184" s="15" t="n"/>
      <c r="AB2184" s="15" t="n"/>
      <c r="AF2184">
        <f>IF(AND($F2184="Closed",$X2184&gt;=DATE(2026,5,1),$X2184&lt;=DATE(2026,5,31)),"Closed in May","Other")</f>
        <v/>
      </c>
    </row>
    <row r="2185">
      <c r="A2185" s="59" t="n">
        <v>46148</v>
      </c>
      <c r="B2185" s="3" t="n">
        <v>2026</v>
      </c>
      <c r="C2185" s="21" t="inlineStr">
        <is>
          <t>Continuum</t>
        </is>
      </c>
      <c r="D2185" s="3" t="inlineStr">
        <is>
          <t>Utility and C&amp;I</t>
        </is>
      </c>
      <c r="E2185" s="3" t="n"/>
      <c r="F2185" s="3" t="inlineStr">
        <is>
          <t>Closed</t>
        </is>
      </c>
      <c r="G2185" s="21" t="inlineStr">
        <is>
          <t>Amiya Ranjan Behera</t>
        </is>
      </c>
      <c r="H2185" s="21" t="n">
        <v>8917436223</v>
      </c>
      <c r="I2185" s="38" t="inlineStr">
        <is>
          <t>PE06052602</t>
        </is>
      </c>
      <c r="J2185" s="21" t="inlineStr">
        <is>
          <t>Diode Bypass Module Issue</t>
        </is>
      </c>
      <c r="K2185" s="21" t="inlineStr">
        <is>
          <t>Bhavnagar</t>
        </is>
      </c>
      <c r="L2185" s="21" t="inlineStr">
        <is>
          <t>Gujarat</t>
        </is>
      </c>
      <c r="M2185" s="9" t="inlineStr">
        <is>
          <t>AR</t>
        </is>
      </c>
      <c r="N2185" s="26" t="inlineStr">
        <is>
          <t>JB Issue</t>
        </is>
      </c>
      <c r="O2185" s="62" t="n">
        <v>540</v>
      </c>
      <c r="P2185" s="9" t="inlineStr">
        <is>
          <t>NSMP2305131810</t>
        </is>
      </c>
      <c r="Q2185" s="53">
        <f>MID(P2185,5,2)</f>
        <v/>
      </c>
      <c r="R2185" s="53">
        <f>MID(P2185,7,2)</f>
        <v/>
      </c>
      <c r="S2185" s="3" t="inlineStr">
        <is>
          <t>G2B</t>
        </is>
      </c>
      <c r="T2185" s="3" t="inlineStr">
        <is>
          <t>P2</t>
        </is>
      </c>
      <c r="U2185" s="19" t="inlineStr">
        <is>
          <t>All JB Issue</t>
        </is>
      </c>
      <c r="V2185" s="19" t="inlineStr">
        <is>
          <t>JB Changed</t>
        </is>
      </c>
      <c r="W2185" s="3" t="inlineStr">
        <is>
          <t>Repair</t>
        </is>
      </c>
      <c r="X2185" s="18" t="n">
        <v>46169</v>
      </c>
      <c r="Y2185" s="73">
        <f>IF(X2185="","",X2185-A2185)</f>
        <v/>
      </c>
      <c r="Z2185" s="18" t="n">
        <v>46169</v>
      </c>
      <c r="AA2185" s="15" t="n"/>
      <c r="AB2185" s="15" t="n"/>
      <c r="AF2185">
        <f>IF(AND($F2185="Closed",$X2185&gt;=DATE(2026,5,1),$X2185&lt;=DATE(2026,5,31)),"Closed in May","Other")</f>
        <v/>
      </c>
    </row>
    <row r="2186">
      <c r="A2186" s="59" t="n">
        <v>46148</v>
      </c>
      <c r="B2186" s="3" t="n">
        <v>2026</v>
      </c>
      <c r="C2186" s="21" t="inlineStr">
        <is>
          <t>Continuum</t>
        </is>
      </c>
      <c r="D2186" s="3" t="inlineStr">
        <is>
          <t>Utility and C&amp;I</t>
        </is>
      </c>
      <c r="E2186" s="3" t="n"/>
      <c r="F2186" s="3" t="inlineStr">
        <is>
          <t>Closed</t>
        </is>
      </c>
      <c r="G2186" s="21" t="inlineStr">
        <is>
          <t>Amiya Ranjan Behera</t>
        </is>
      </c>
      <c r="H2186" s="21" t="n">
        <v>8917436223</v>
      </c>
      <c r="I2186" s="38" t="inlineStr">
        <is>
          <t>PE06052602</t>
        </is>
      </c>
      <c r="J2186" s="21" t="inlineStr">
        <is>
          <t>Diode Bypass Module Issue</t>
        </is>
      </c>
      <c r="K2186" s="21" t="inlineStr">
        <is>
          <t>Bhavnagar</t>
        </is>
      </c>
      <c r="L2186" s="21" t="inlineStr">
        <is>
          <t>Gujarat</t>
        </is>
      </c>
      <c r="M2186" s="9" t="inlineStr">
        <is>
          <t>PS</t>
        </is>
      </c>
      <c r="N2186" s="3" t="inlineStr">
        <is>
          <t>Cold Soldering</t>
        </is>
      </c>
      <c r="O2186" s="62" t="n">
        <v>540</v>
      </c>
      <c r="P2186" s="9" t="inlineStr">
        <is>
          <t>NSMP2305130313</t>
        </is>
      </c>
      <c r="Q2186" s="53">
        <f>MID(P2186,5,2)</f>
        <v/>
      </c>
      <c r="R2186" s="53">
        <f>MID(P2186,7,2)</f>
        <v/>
      </c>
      <c r="S2186" s="3" t="inlineStr">
        <is>
          <t>G2B</t>
        </is>
      </c>
      <c r="T2186" s="3" t="inlineStr">
        <is>
          <t>P2</t>
        </is>
      </c>
      <c r="U2186" s="3" t="inlineStr">
        <is>
          <t>P JB Cold Soldering</t>
        </is>
      </c>
      <c r="V2186" s="3" t="inlineStr">
        <is>
          <t>Soldering</t>
        </is>
      </c>
      <c r="W2186" s="3" t="inlineStr">
        <is>
          <t>Repair</t>
        </is>
      </c>
      <c r="X2186" s="18" t="n">
        <v>46169</v>
      </c>
      <c r="Y2186" s="73">
        <f>IF(X2186="","",X2186-A2186)</f>
        <v/>
      </c>
      <c r="Z2186" s="18" t="n">
        <v>46169</v>
      </c>
      <c r="AA2186" s="15" t="n"/>
      <c r="AB2186" s="15" t="n"/>
      <c r="AF2186">
        <f>IF(AND($F2186="Closed",$X2186&gt;=DATE(2026,5,1),$X2186&lt;=DATE(2026,5,31)),"Closed in May","Other")</f>
        <v/>
      </c>
    </row>
    <row r="2187">
      <c r="A2187" s="59" t="n">
        <v>46148</v>
      </c>
      <c r="B2187" s="3" t="n">
        <v>2026</v>
      </c>
      <c r="C2187" s="21" t="inlineStr">
        <is>
          <t>Continuum</t>
        </is>
      </c>
      <c r="D2187" s="3" t="inlineStr">
        <is>
          <t>Utility and C&amp;I</t>
        </is>
      </c>
      <c r="E2187" s="3" t="n"/>
      <c r="F2187" s="3" t="inlineStr">
        <is>
          <t>Closed</t>
        </is>
      </c>
      <c r="G2187" s="21" t="inlineStr">
        <is>
          <t>Amiya Ranjan Behera</t>
        </is>
      </c>
      <c r="H2187" s="21" t="n">
        <v>8917436223</v>
      </c>
      <c r="I2187" s="38" t="inlineStr">
        <is>
          <t>PE06052602</t>
        </is>
      </c>
      <c r="J2187" s="21" t="inlineStr">
        <is>
          <t>Diode Bypass Module Issue</t>
        </is>
      </c>
      <c r="K2187" s="21" t="inlineStr">
        <is>
          <t>Bhavnagar</t>
        </is>
      </c>
      <c r="L2187" s="21" t="inlineStr">
        <is>
          <t>Gujarat</t>
        </is>
      </c>
      <c r="M2187" s="9" t="inlineStr">
        <is>
          <t>OK</t>
        </is>
      </c>
      <c r="N2187" s="3" t="inlineStr">
        <is>
          <t>No Issue</t>
        </is>
      </c>
      <c r="O2187" s="62" t="n">
        <v>540</v>
      </c>
      <c r="P2187" s="9" t="inlineStr">
        <is>
          <t>NSMP2305134746</t>
        </is>
      </c>
      <c r="Q2187" s="53">
        <f>MID(P2187,5,2)</f>
        <v/>
      </c>
      <c r="R2187" s="53">
        <f>MID(P2187,7,2)</f>
        <v/>
      </c>
      <c r="S2187" s="3" t="inlineStr">
        <is>
          <t>G2B</t>
        </is>
      </c>
      <c r="T2187" s="3" t="inlineStr">
        <is>
          <t>P2</t>
        </is>
      </c>
      <c r="U2187" s="19" t="inlineStr">
        <is>
          <t>No Issue Found</t>
        </is>
      </c>
      <c r="V2187" s="19" t="inlineStr">
        <is>
          <t>Found OK</t>
        </is>
      </c>
      <c r="W2187" s="3" t="inlineStr">
        <is>
          <t>Repair</t>
        </is>
      </c>
      <c r="X2187" s="18" t="n">
        <v>46169</v>
      </c>
      <c r="Y2187" s="73">
        <f>IF(X2187="","",X2187-A2187)</f>
        <v/>
      </c>
      <c r="Z2187" s="18" t="n">
        <v>46169</v>
      </c>
      <c r="AA2187" s="15" t="n"/>
      <c r="AB2187" s="15" t="n"/>
      <c r="AF2187">
        <f>IF(AND($F2187="Closed",$X2187&gt;=DATE(2026,5,1),$X2187&lt;=DATE(2026,5,31)),"Closed in May","Other")</f>
        <v/>
      </c>
    </row>
    <row r="2188">
      <c r="A2188" s="59" t="n">
        <v>46148</v>
      </c>
      <c r="B2188" s="3" t="n">
        <v>2026</v>
      </c>
      <c r="C2188" s="21" t="inlineStr">
        <is>
          <t>Continuum</t>
        </is>
      </c>
      <c r="D2188" s="3" t="inlineStr">
        <is>
          <t>Utility and C&amp;I</t>
        </is>
      </c>
      <c r="E2188" s="3" t="n"/>
      <c r="F2188" s="3" t="inlineStr">
        <is>
          <t>Closed</t>
        </is>
      </c>
      <c r="G2188" s="21" t="inlineStr">
        <is>
          <t>Amiya Ranjan Behera</t>
        </is>
      </c>
      <c r="H2188" s="21" t="n">
        <v>8917436223</v>
      </c>
      <c r="I2188" s="38" t="inlineStr">
        <is>
          <t>PE06052602</t>
        </is>
      </c>
      <c r="J2188" s="21" t="inlineStr">
        <is>
          <t>Diode Bypass Module Issue</t>
        </is>
      </c>
      <c r="K2188" s="21" t="inlineStr">
        <is>
          <t>Bhavnagar</t>
        </is>
      </c>
      <c r="L2188" s="21" t="inlineStr">
        <is>
          <t>Gujarat</t>
        </is>
      </c>
      <c r="M2188" s="9" t="inlineStr">
        <is>
          <t>PS</t>
        </is>
      </c>
      <c r="N2188" s="3" t="inlineStr">
        <is>
          <t>Cold Soldering</t>
        </is>
      </c>
      <c r="O2188" s="62" t="n">
        <v>540</v>
      </c>
      <c r="P2188" s="9" t="inlineStr">
        <is>
          <t>NSMP2305133403</t>
        </is>
      </c>
      <c r="Q2188" s="53">
        <f>MID(P2188,5,2)</f>
        <v/>
      </c>
      <c r="R2188" s="53">
        <f>MID(P2188,7,2)</f>
        <v/>
      </c>
      <c r="S2188" s="3" t="inlineStr">
        <is>
          <t>G2B</t>
        </is>
      </c>
      <c r="T2188" s="3" t="inlineStr">
        <is>
          <t>P2</t>
        </is>
      </c>
      <c r="U2188" s="3" t="inlineStr">
        <is>
          <t>P JB Cold Soldering</t>
        </is>
      </c>
      <c r="V2188" s="3" t="inlineStr">
        <is>
          <t>Soldering</t>
        </is>
      </c>
      <c r="W2188" s="3" t="inlineStr">
        <is>
          <t>Repair</t>
        </is>
      </c>
      <c r="X2188" s="18" t="n">
        <v>46169</v>
      </c>
      <c r="Y2188" s="73">
        <f>IF(X2188="","",X2188-A2188)</f>
        <v/>
      </c>
      <c r="Z2188" s="18" t="n">
        <v>46169</v>
      </c>
      <c r="AA2188" s="15" t="n"/>
      <c r="AB2188" s="15" t="n"/>
      <c r="AF2188">
        <f>IF(AND($F2188="Closed",$X2188&gt;=DATE(2026,5,1),$X2188&lt;=DATE(2026,5,31)),"Closed in May","Other")</f>
        <v/>
      </c>
    </row>
    <row r="2189">
      <c r="A2189" s="59" t="n">
        <v>46148</v>
      </c>
      <c r="B2189" s="3" t="n">
        <v>2026</v>
      </c>
      <c r="C2189" s="21" t="inlineStr">
        <is>
          <t>Continuum</t>
        </is>
      </c>
      <c r="D2189" s="3" t="inlineStr">
        <is>
          <t>Utility and C&amp;I</t>
        </is>
      </c>
      <c r="E2189" s="3" t="n"/>
      <c r="F2189" s="3" t="inlineStr">
        <is>
          <t>Closed</t>
        </is>
      </c>
      <c r="G2189" s="21" t="inlineStr">
        <is>
          <t>Amiya Ranjan Behera</t>
        </is>
      </c>
      <c r="H2189" s="21" t="n">
        <v>8917436223</v>
      </c>
      <c r="I2189" s="38" t="inlineStr">
        <is>
          <t>PE06052602</t>
        </is>
      </c>
      <c r="J2189" s="21" t="inlineStr">
        <is>
          <t>Diode Bypass Module Issue</t>
        </is>
      </c>
      <c r="K2189" s="21" t="inlineStr">
        <is>
          <t>Bhavnagar</t>
        </is>
      </c>
      <c r="L2189" s="21" t="inlineStr">
        <is>
          <t>Gujarat</t>
        </is>
      </c>
      <c r="M2189" s="9" t="inlineStr">
        <is>
          <t>PS</t>
        </is>
      </c>
      <c r="N2189" s="3" t="inlineStr">
        <is>
          <t>Cold Soldering</t>
        </is>
      </c>
      <c r="O2189" s="62" t="n">
        <v>540</v>
      </c>
      <c r="P2189" s="9" t="inlineStr">
        <is>
          <t>NSMP2305134837</t>
        </is>
      </c>
      <c r="Q2189" s="53">
        <f>MID(P2189,5,2)</f>
        <v/>
      </c>
      <c r="R2189" s="53">
        <f>MID(P2189,7,2)</f>
        <v/>
      </c>
      <c r="S2189" s="3" t="inlineStr">
        <is>
          <t>G2B</t>
        </is>
      </c>
      <c r="T2189" s="3" t="inlineStr">
        <is>
          <t>P2</t>
        </is>
      </c>
      <c r="U2189" s="3" t="inlineStr">
        <is>
          <t>P JB Cold Soldering</t>
        </is>
      </c>
      <c r="V2189" s="3" t="inlineStr">
        <is>
          <t>Soldering</t>
        </is>
      </c>
      <c r="W2189" s="3" t="inlineStr">
        <is>
          <t>Repair</t>
        </is>
      </c>
      <c r="X2189" s="18" t="n">
        <v>46169</v>
      </c>
      <c r="Y2189" s="73">
        <f>IF(X2189="","",X2189-A2189)</f>
        <v/>
      </c>
      <c r="Z2189" s="18" t="n">
        <v>46169</v>
      </c>
      <c r="AA2189" s="15" t="n"/>
      <c r="AB2189" s="15" t="n"/>
      <c r="AF2189">
        <f>IF(AND($F2189="Closed",$X2189&gt;=DATE(2026,5,1),$X2189&lt;=DATE(2026,5,31)),"Closed in May","Other")</f>
        <v/>
      </c>
    </row>
    <row r="2190">
      <c r="A2190" s="59" t="n">
        <v>46148</v>
      </c>
      <c r="B2190" s="3" t="n">
        <v>2026</v>
      </c>
      <c r="C2190" s="21" t="inlineStr">
        <is>
          <t>Continuum</t>
        </is>
      </c>
      <c r="D2190" s="3" t="inlineStr">
        <is>
          <t>Utility and C&amp;I</t>
        </is>
      </c>
      <c r="E2190" s="3" t="n"/>
      <c r="F2190" s="3" t="inlineStr">
        <is>
          <t>Closed</t>
        </is>
      </c>
      <c r="G2190" s="21" t="inlineStr">
        <is>
          <t>Amiya Ranjan Behera</t>
        </is>
      </c>
      <c r="H2190" s="21" t="n">
        <v>8917436223</v>
      </c>
      <c r="I2190" s="38" t="inlineStr">
        <is>
          <t>PE06052602</t>
        </is>
      </c>
      <c r="J2190" s="21" t="inlineStr">
        <is>
          <t>Diode Bypass Module Issue</t>
        </is>
      </c>
      <c r="K2190" s="21" t="inlineStr">
        <is>
          <t>Bhavnagar</t>
        </is>
      </c>
      <c r="L2190" s="21" t="inlineStr">
        <is>
          <t>Gujarat</t>
        </is>
      </c>
      <c r="M2190" s="9" t="inlineStr">
        <is>
          <t>PS</t>
        </is>
      </c>
      <c r="N2190" s="3" t="inlineStr">
        <is>
          <t>Cold Soldering</t>
        </is>
      </c>
      <c r="O2190" s="62" t="n">
        <v>540</v>
      </c>
      <c r="P2190" s="9" t="inlineStr">
        <is>
          <t>NSMP2305130586</t>
        </is>
      </c>
      <c r="Q2190" s="53">
        <f>MID(P2190,5,2)</f>
        <v/>
      </c>
      <c r="R2190" s="53">
        <f>MID(P2190,7,2)</f>
        <v/>
      </c>
      <c r="S2190" s="3" t="inlineStr">
        <is>
          <t>G2B</t>
        </is>
      </c>
      <c r="T2190" s="3" t="inlineStr">
        <is>
          <t>P2</t>
        </is>
      </c>
      <c r="U2190" s="3" t="inlineStr">
        <is>
          <t>P JB Cold Soldering</t>
        </is>
      </c>
      <c r="V2190" s="3" t="inlineStr">
        <is>
          <t>Soldering</t>
        </is>
      </c>
      <c r="W2190" s="3" t="inlineStr">
        <is>
          <t>Repair</t>
        </is>
      </c>
      <c r="X2190" s="18" t="n">
        <v>46169</v>
      </c>
      <c r="Y2190" s="73">
        <f>IF(X2190="","",X2190-A2190)</f>
        <v/>
      </c>
      <c r="Z2190" s="18" t="n">
        <v>46169</v>
      </c>
      <c r="AA2190" s="15" t="n"/>
      <c r="AB2190" s="15" t="n"/>
      <c r="AF2190">
        <f>IF(AND($F2190="Closed",$X2190&gt;=DATE(2026,5,1),$X2190&lt;=DATE(2026,5,31)),"Closed in May","Other")</f>
        <v/>
      </c>
    </row>
    <row r="2191">
      <c r="A2191" s="59" t="n">
        <v>46148</v>
      </c>
      <c r="B2191" s="3" t="n">
        <v>2026</v>
      </c>
      <c r="C2191" s="21" t="inlineStr">
        <is>
          <t>Continuum</t>
        </is>
      </c>
      <c r="D2191" s="3" t="inlineStr">
        <is>
          <t>Utility and C&amp;I</t>
        </is>
      </c>
      <c r="E2191" s="3" t="n"/>
      <c r="F2191" s="3" t="inlineStr">
        <is>
          <t>Closed</t>
        </is>
      </c>
      <c r="G2191" s="21" t="inlineStr">
        <is>
          <t>Amiya Ranjan Behera</t>
        </is>
      </c>
      <c r="H2191" s="21" t="n">
        <v>8917436223</v>
      </c>
      <c r="I2191" s="38" t="inlineStr">
        <is>
          <t>PE06052602</t>
        </is>
      </c>
      <c r="J2191" s="21" t="inlineStr">
        <is>
          <t>Diode Bypass Module Issue</t>
        </is>
      </c>
      <c r="K2191" s="21" t="inlineStr">
        <is>
          <t>Bhavnagar</t>
        </is>
      </c>
      <c r="L2191" s="21" t="inlineStr">
        <is>
          <t>Gujarat</t>
        </is>
      </c>
      <c r="M2191" s="9" t="inlineStr">
        <is>
          <t>PS</t>
        </is>
      </c>
      <c r="N2191" s="3" t="inlineStr">
        <is>
          <t>Cold Soldering</t>
        </is>
      </c>
      <c r="O2191" s="62" t="n">
        <v>540</v>
      </c>
      <c r="P2191" s="9" t="inlineStr">
        <is>
          <t>NSMP2305133453</t>
        </is>
      </c>
      <c r="Q2191" s="53">
        <f>MID(P2191,5,2)</f>
        <v/>
      </c>
      <c r="R2191" s="53">
        <f>MID(P2191,7,2)</f>
        <v/>
      </c>
      <c r="S2191" s="3" t="inlineStr">
        <is>
          <t>G2B</t>
        </is>
      </c>
      <c r="T2191" s="3" t="inlineStr">
        <is>
          <t>P2</t>
        </is>
      </c>
      <c r="U2191" s="3" t="inlineStr">
        <is>
          <t>P JB Cold Soldering</t>
        </is>
      </c>
      <c r="V2191" s="3" t="inlineStr">
        <is>
          <t>Soldering</t>
        </is>
      </c>
      <c r="W2191" s="3" t="inlineStr">
        <is>
          <t>Repair</t>
        </is>
      </c>
      <c r="X2191" s="18" t="n">
        <v>46169</v>
      </c>
      <c r="Y2191" s="73">
        <f>IF(X2191="","",X2191-A2191)</f>
        <v/>
      </c>
      <c r="Z2191" s="18" t="n">
        <v>46169</v>
      </c>
      <c r="AA2191" s="15" t="n"/>
      <c r="AB2191" s="15" t="n"/>
      <c r="AF2191">
        <f>IF(AND($F2191="Closed",$X2191&gt;=DATE(2026,5,1),$X2191&lt;=DATE(2026,5,31)),"Closed in May","Other")</f>
        <v/>
      </c>
    </row>
    <row r="2192">
      <c r="A2192" s="59" t="n">
        <v>46148</v>
      </c>
      <c r="B2192" s="3" t="n">
        <v>2026</v>
      </c>
      <c r="C2192" s="21" t="inlineStr">
        <is>
          <t>Continuum</t>
        </is>
      </c>
      <c r="D2192" s="3" t="inlineStr">
        <is>
          <t>Utility and C&amp;I</t>
        </is>
      </c>
      <c r="E2192" s="3" t="n"/>
      <c r="F2192" s="3" t="inlineStr">
        <is>
          <t>Closed</t>
        </is>
      </c>
      <c r="G2192" s="21" t="inlineStr">
        <is>
          <t>Amiya Ranjan Behera</t>
        </is>
      </c>
      <c r="H2192" s="21" t="n">
        <v>8917436223</v>
      </c>
      <c r="I2192" s="38" t="inlineStr">
        <is>
          <t>PE06052602</t>
        </is>
      </c>
      <c r="J2192" s="21" t="inlineStr">
        <is>
          <t>Diode Bypass Module Issue</t>
        </is>
      </c>
      <c r="K2192" s="21" t="inlineStr">
        <is>
          <t>Bhavnagar</t>
        </is>
      </c>
      <c r="L2192" s="21" t="inlineStr">
        <is>
          <t>Gujarat</t>
        </is>
      </c>
      <c r="M2192" s="9" t="inlineStr">
        <is>
          <t>PS</t>
        </is>
      </c>
      <c r="N2192" s="3" t="inlineStr">
        <is>
          <t>Cold Soldering</t>
        </is>
      </c>
      <c r="O2192" s="62" t="n">
        <v>540</v>
      </c>
      <c r="P2192" s="9" t="inlineStr">
        <is>
          <t>NSMP2305173529</t>
        </is>
      </c>
      <c r="Q2192" s="53">
        <f>MID(P2192,5,2)</f>
        <v/>
      </c>
      <c r="R2192" s="53">
        <f>MID(P2192,7,2)</f>
        <v/>
      </c>
      <c r="S2192" s="3" t="inlineStr">
        <is>
          <t>G2B</t>
        </is>
      </c>
      <c r="T2192" s="3" t="inlineStr">
        <is>
          <t>P2</t>
        </is>
      </c>
      <c r="U2192" s="3" t="inlineStr">
        <is>
          <t>P JB Cold Soldering</t>
        </is>
      </c>
      <c r="V2192" s="3" t="inlineStr">
        <is>
          <t>Soldering</t>
        </is>
      </c>
      <c r="W2192" s="3" t="inlineStr">
        <is>
          <t>Repair</t>
        </is>
      </c>
      <c r="X2192" s="18" t="n">
        <v>46169</v>
      </c>
      <c r="Y2192" s="73">
        <f>IF(X2192="","",X2192-A2192)</f>
        <v/>
      </c>
      <c r="Z2192" s="18" t="n">
        <v>46169</v>
      </c>
      <c r="AA2192" s="15" t="n"/>
      <c r="AB2192" s="15" t="n"/>
      <c r="AF2192">
        <f>IF(AND($F2192="Closed",$X2192&gt;=DATE(2026,5,1),$X2192&lt;=DATE(2026,5,31)),"Closed in May","Other")</f>
        <v/>
      </c>
    </row>
    <row r="2193">
      <c r="A2193" s="59" t="n">
        <v>46148</v>
      </c>
      <c r="B2193" s="3" t="n">
        <v>2026</v>
      </c>
      <c r="C2193" s="21" t="inlineStr">
        <is>
          <t>Continuum</t>
        </is>
      </c>
      <c r="D2193" s="3" t="inlineStr">
        <is>
          <t>Utility and C&amp;I</t>
        </is>
      </c>
      <c r="E2193" s="3" t="n"/>
      <c r="F2193" s="3" t="inlineStr">
        <is>
          <t>Closed</t>
        </is>
      </c>
      <c r="G2193" s="21" t="inlineStr">
        <is>
          <t>Amiya Ranjan Behera</t>
        </is>
      </c>
      <c r="H2193" s="21" t="n">
        <v>8917436223</v>
      </c>
      <c r="I2193" s="38" t="inlineStr">
        <is>
          <t>PE06052602</t>
        </is>
      </c>
      <c r="J2193" s="21" t="inlineStr">
        <is>
          <t>Diode Bypass Module Issue</t>
        </is>
      </c>
      <c r="K2193" s="21" t="inlineStr">
        <is>
          <t>Bhavnagar</t>
        </is>
      </c>
      <c r="L2193" s="21" t="inlineStr">
        <is>
          <t>Gujarat</t>
        </is>
      </c>
      <c r="M2193" s="9" t="inlineStr">
        <is>
          <t>PS</t>
        </is>
      </c>
      <c r="N2193" s="3" t="inlineStr">
        <is>
          <t>Cold Soldering</t>
        </is>
      </c>
      <c r="O2193" s="62" t="n">
        <v>540</v>
      </c>
      <c r="P2193" s="9" t="inlineStr">
        <is>
          <t>NSMP2305133467</t>
        </is>
      </c>
      <c r="Q2193" s="53">
        <f>MID(P2193,5,2)</f>
        <v/>
      </c>
      <c r="R2193" s="53">
        <f>MID(P2193,7,2)</f>
        <v/>
      </c>
      <c r="S2193" s="3" t="inlineStr">
        <is>
          <t>G2B</t>
        </is>
      </c>
      <c r="T2193" s="3" t="inlineStr">
        <is>
          <t>P2</t>
        </is>
      </c>
      <c r="U2193" s="3" t="inlineStr">
        <is>
          <t>P JB Cold Soldering</t>
        </is>
      </c>
      <c r="V2193" s="3" t="inlineStr">
        <is>
          <t>Soldering</t>
        </is>
      </c>
      <c r="W2193" s="3" t="inlineStr">
        <is>
          <t>Repair</t>
        </is>
      </c>
      <c r="X2193" s="18" t="n">
        <v>46169</v>
      </c>
      <c r="Y2193" s="73">
        <f>IF(X2193="","",X2193-A2193)</f>
        <v/>
      </c>
      <c r="Z2193" s="18" t="n">
        <v>46169</v>
      </c>
      <c r="AA2193" s="15" t="n"/>
      <c r="AB2193" s="15" t="n"/>
      <c r="AF2193">
        <f>IF(AND($F2193="Closed",$X2193&gt;=DATE(2026,5,1),$X2193&lt;=DATE(2026,5,31)),"Closed in May","Other")</f>
        <v/>
      </c>
    </row>
    <row r="2194">
      <c r="A2194" s="59" t="n">
        <v>46148</v>
      </c>
      <c r="B2194" s="3" t="n">
        <v>2026</v>
      </c>
      <c r="C2194" s="21" t="inlineStr">
        <is>
          <t>Continuum</t>
        </is>
      </c>
      <c r="D2194" s="3" t="inlineStr">
        <is>
          <t>Utility and C&amp;I</t>
        </is>
      </c>
      <c r="E2194" s="3" t="n"/>
      <c r="F2194" s="3" t="inlineStr">
        <is>
          <t>Closed</t>
        </is>
      </c>
      <c r="G2194" s="21" t="inlineStr">
        <is>
          <t>Amiya Ranjan Behera</t>
        </is>
      </c>
      <c r="H2194" s="21" t="n">
        <v>8917436223</v>
      </c>
      <c r="I2194" s="38" t="inlineStr">
        <is>
          <t>PE06052602</t>
        </is>
      </c>
      <c r="J2194" s="21" t="inlineStr">
        <is>
          <t>Diode Bypass Module Issue</t>
        </is>
      </c>
      <c r="K2194" s="21" t="inlineStr">
        <is>
          <t>Bhavnagar</t>
        </is>
      </c>
      <c r="L2194" s="21" t="inlineStr">
        <is>
          <t>Gujarat</t>
        </is>
      </c>
      <c r="M2194" s="9" t="inlineStr">
        <is>
          <t>PS</t>
        </is>
      </c>
      <c r="N2194" s="3" t="inlineStr">
        <is>
          <t>Cold Soldering</t>
        </is>
      </c>
      <c r="O2194" s="62" t="n">
        <v>540</v>
      </c>
      <c r="P2194" s="9" t="inlineStr">
        <is>
          <t>NSMP2305188627</t>
        </is>
      </c>
      <c r="Q2194" s="53">
        <f>MID(P2194,5,2)</f>
        <v/>
      </c>
      <c r="R2194" s="53">
        <f>MID(P2194,7,2)</f>
        <v/>
      </c>
      <c r="S2194" s="3" t="inlineStr">
        <is>
          <t>G2B</t>
        </is>
      </c>
      <c r="T2194" s="3" t="inlineStr">
        <is>
          <t>P2</t>
        </is>
      </c>
      <c r="U2194" s="3" t="inlineStr">
        <is>
          <t>P JB Cold Soldering</t>
        </is>
      </c>
      <c r="V2194" s="3" t="inlineStr">
        <is>
          <t>Soldering</t>
        </is>
      </c>
      <c r="W2194" s="3" t="inlineStr">
        <is>
          <t>Repair</t>
        </is>
      </c>
      <c r="X2194" s="18" t="n">
        <v>46169</v>
      </c>
      <c r="Y2194" s="73">
        <f>IF(X2194="","",X2194-A2194)</f>
        <v/>
      </c>
      <c r="Z2194" s="18" t="n">
        <v>46169</v>
      </c>
      <c r="AA2194" s="15" t="n"/>
      <c r="AB2194" s="15" t="n"/>
      <c r="AF2194">
        <f>IF(AND($F2194="Closed",$X2194&gt;=DATE(2026,5,1),$X2194&lt;=DATE(2026,5,31)),"Closed in May","Other")</f>
        <v/>
      </c>
    </row>
    <row r="2195">
      <c r="A2195" s="59" t="n">
        <v>46148</v>
      </c>
      <c r="B2195" s="3" t="n">
        <v>2026</v>
      </c>
      <c r="C2195" s="21" t="inlineStr">
        <is>
          <t>Continuum</t>
        </is>
      </c>
      <c r="D2195" s="3" t="inlineStr">
        <is>
          <t>Utility and C&amp;I</t>
        </is>
      </c>
      <c r="E2195" s="3" t="n"/>
      <c r="F2195" s="3" t="inlineStr">
        <is>
          <t>Closed</t>
        </is>
      </c>
      <c r="G2195" s="21" t="inlineStr">
        <is>
          <t>Amiya Ranjan Behera</t>
        </is>
      </c>
      <c r="H2195" s="21" t="n">
        <v>8917436223</v>
      </c>
      <c r="I2195" s="38" t="inlineStr">
        <is>
          <t>PE06052602</t>
        </is>
      </c>
      <c r="J2195" s="21" t="inlineStr">
        <is>
          <t>Diode Bypass Module Issue</t>
        </is>
      </c>
      <c r="K2195" s="21" t="inlineStr">
        <is>
          <t>Bhavnagar</t>
        </is>
      </c>
      <c r="L2195" s="21" t="inlineStr">
        <is>
          <t>Gujarat</t>
        </is>
      </c>
      <c r="M2195" s="9" t="inlineStr">
        <is>
          <t>NS</t>
        </is>
      </c>
      <c r="N2195" s="26" t="inlineStr">
        <is>
          <t>Cold Soldering</t>
        </is>
      </c>
      <c r="O2195" s="62" t="n">
        <v>540</v>
      </c>
      <c r="P2195" s="9" t="inlineStr">
        <is>
          <t>NSMP2305126822</t>
        </is>
      </c>
      <c r="Q2195" s="53">
        <f>MID(P2195,5,2)</f>
        <v/>
      </c>
      <c r="R2195" s="53">
        <f>MID(P2195,7,2)</f>
        <v/>
      </c>
      <c r="S2195" s="3" t="inlineStr">
        <is>
          <t>G2B</t>
        </is>
      </c>
      <c r="T2195" s="3" t="inlineStr">
        <is>
          <t>P2</t>
        </is>
      </c>
      <c r="U2195" s="19" t="inlineStr">
        <is>
          <t>N JB Cold Soldering</t>
        </is>
      </c>
      <c r="V2195" s="19" t="inlineStr">
        <is>
          <t>Soldering</t>
        </is>
      </c>
      <c r="W2195" s="3" t="inlineStr">
        <is>
          <t>Repair</t>
        </is>
      </c>
      <c r="X2195" s="18" t="n">
        <v>46169</v>
      </c>
      <c r="Y2195" s="73">
        <f>IF(X2195="","",X2195-A2195)</f>
        <v/>
      </c>
      <c r="Z2195" s="18" t="n">
        <v>46169</v>
      </c>
      <c r="AA2195" s="15" t="n"/>
      <c r="AB2195" s="15" t="n"/>
      <c r="AF2195">
        <f>IF(AND($F2195="Closed",$X2195&gt;=DATE(2026,5,1),$X2195&lt;=DATE(2026,5,31)),"Closed in May","Other")</f>
        <v/>
      </c>
    </row>
    <row r="2196">
      <c r="A2196" s="59" t="n">
        <v>46148</v>
      </c>
      <c r="B2196" s="3" t="n">
        <v>2026</v>
      </c>
      <c r="C2196" s="21" t="inlineStr">
        <is>
          <t>Continuum</t>
        </is>
      </c>
      <c r="D2196" s="3" t="inlineStr">
        <is>
          <t>Utility and C&amp;I</t>
        </is>
      </c>
      <c r="E2196" s="3" t="n"/>
      <c r="F2196" s="3" t="inlineStr">
        <is>
          <t>Closed</t>
        </is>
      </c>
      <c r="G2196" s="21" t="inlineStr">
        <is>
          <t>Amiya Ranjan Behera</t>
        </is>
      </c>
      <c r="H2196" s="21" t="n">
        <v>8917436223</v>
      </c>
      <c r="I2196" s="38" t="inlineStr">
        <is>
          <t>PE06052602</t>
        </is>
      </c>
      <c r="J2196" s="21" t="inlineStr">
        <is>
          <t>Diode Bypass Module Issue</t>
        </is>
      </c>
      <c r="K2196" s="21" t="inlineStr">
        <is>
          <t>Bhavnagar</t>
        </is>
      </c>
      <c r="L2196" s="21" t="inlineStr">
        <is>
          <t>Gujarat</t>
        </is>
      </c>
      <c r="M2196" s="9" t="inlineStr">
        <is>
          <t>PR</t>
        </is>
      </c>
      <c r="N2196" s="3" t="inlineStr">
        <is>
          <t>JB Issue</t>
        </is>
      </c>
      <c r="O2196" s="62" t="n">
        <v>540</v>
      </c>
      <c r="P2196" s="9" t="inlineStr">
        <is>
          <t>NSMP2305131059</t>
        </is>
      </c>
      <c r="Q2196" s="53">
        <f>MID(P2196,5,2)</f>
        <v/>
      </c>
      <c r="R2196" s="53">
        <f>MID(P2196,7,2)</f>
        <v/>
      </c>
      <c r="S2196" s="3" t="inlineStr">
        <is>
          <t>G2B</t>
        </is>
      </c>
      <c r="T2196" s="3" t="inlineStr">
        <is>
          <t>P2</t>
        </is>
      </c>
      <c r="U2196" s="3" t="inlineStr">
        <is>
          <t>P JB Issue</t>
        </is>
      </c>
      <c r="V2196" s="15" t="inlineStr">
        <is>
          <t>JB Changed</t>
        </is>
      </c>
      <c r="W2196" s="3" t="inlineStr">
        <is>
          <t>Repair</t>
        </is>
      </c>
      <c r="X2196" s="18" t="n">
        <v>46169</v>
      </c>
      <c r="Y2196" s="73">
        <f>IF(X2196="","",X2196-A2196)</f>
        <v/>
      </c>
      <c r="Z2196" s="18" t="n">
        <v>46169</v>
      </c>
      <c r="AA2196" s="15" t="n"/>
      <c r="AB2196" s="15" t="n"/>
      <c r="AF2196">
        <f>IF(AND($F2196="Closed",$X2196&gt;=DATE(2026,5,1),$X2196&lt;=DATE(2026,5,31)),"Closed in May","Other")</f>
        <v/>
      </c>
    </row>
    <row r="2197">
      <c r="A2197" s="59" t="n">
        <v>46148</v>
      </c>
      <c r="B2197" s="3" t="n">
        <v>2026</v>
      </c>
      <c r="C2197" s="21" t="inlineStr">
        <is>
          <t>Continuum</t>
        </is>
      </c>
      <c r="D2197" s="3" t="inlineStr">
        <is>
          <t>Utility and C&amp;I</t>
        </is>
      </c>
      <c r="E2197" s="3" t="n"/>
      <c r="F2197" s="3" t="inlineStr">
        <is>
          <t>Closed</t>
        </is>
      </c>
      <c r="G2197" s="21" t="inlineStr">
        <is>
          <t>Amiya Ranjan Behera</t>
        </is>
      </c>
      <c r="H2197" s="21" t="n">
        <v>8917436223</v>
      </c>
      <c r="I2197" s="38" t="inlineStr">
        <is>
          <t>PE06052602</t>
        </is>
      </c>
      <c r="J2197" s="21" t="inlineStr">
        <is>
          <t>Diode Bypass Module Issue</t>
        </is>
      </c>
      <c r="K2197" s="21" t="inlineStr">
        <is>
          <t>Bhavnagar</t>
        </is>
      </c>
      <c r="L2197" s="21" t="inlineStr">
        <is>
          <t>Gujarat</t>
        </is>
      </c>
      <c r="M2197" s="9" t="inlineStr">
        <is>
          <t>PS</t>
        </is>
      </c>
      <c r="N2197" s="3" t="inlineStr">
        <is>
          <t>Cold Soldering</t>
        </is>
      </c>
      <c r="O2197" s="62" t="n">
        <v>540</v>
      </c>
      <c r="P2197" s="9" t="inlineStr">
        <is>
          <t>NSMP2305128546</t>
        </is>
      </c>
      <c r="Q2197" s="53">
        <f>MID(P2197,5,2)</f>
        <v/>
      </c>
      <c r="R2197" s="53">
        <f>MID(P2197,7,2)</f>
        <v/>
      </c>
      <c r="S2197" s="3" t="inlineStr">
        <is>
          <t>G2B</t>
        </is>
      </c>
      <c r="T2197" s="3" t="inlineStr">
        <is>
          <t>P2</t>
        </is>
      </c>
      <c r="U2197" s="3" t="inlineStr">
        <is>
          <t>P JB Cold Soldering</t>
        </is>
      </c>
      <c r="V2197" s="3" t="inlineStr">
        <is>
          <t>Soldering</t>
        </is>
      </c>
      <c r="W2197" s="3" t="inlineStr">
        <is>
          <t>Repair</t>
        </is>
      </c>
      <c r="X2197" s="18" t="n">
        <v>46169</v>
      </c>
      <c r="Y2197" s="73">
        <f>IF(X2197="","",X2197-A2197)</f>
        <v/>
      </c>
      <c r="Z2197" s="18" t="n">
        <v>46169</v>
      </c>
      <c r="AA2197" s="15" t="n"/>
      <c r="AB2197" s="15" t="n"/>
      <c r="AF2197">
        <f>IF(AND($F2197="Closed",$X2197&gt;=DATE(2026,5,1),$X2197&lt;=DATE(2026,5,31)),"Closed in May","Other")</f>
        <v/>
      </c>
    </row>
    <row r="2198">
      <c r="A2198" s="59" t="n">
        <v>46148</v>
      </c>
      <c r="B2198" s="3" t="n">
        <v>2026</v>
      </c>
      <c r="C2198" s="21" t="inlineStr">
        <is>
          <t>Continuum</t>
        </is>
      </c>
      <c r="D2198" s="3" t="inlineStr">
        <is>
          <t>Utility and C&amp;I</t>
        </is>
      </c>
      <c r="E2198" s="3" t="n"/>
      <c r="F2198" s="3" t="inlineStr">
        <is>
          <t>Closed</t>
        </is>
      </c>
      <c r="G2198" s="21" t="inlineStr">
        <is>
          <t>Amiya Ranjan Behera</t>
        </is>
      </c>
      <c r="H2198" s="21" t="n">
        <v>8917436223</v>
      </c>
      <c r="I2198" s="38" t="inlineStr">
        <is>
          <t>PE06052602</t>
        </is>
      </c>
      <c r="J2198" s="21" t="inlineStr">
        <is>
          <t>Diode Bypass Module Issue</t>
        </is>
      </c>
      <c r="K2198" s="21" t="inlineStr">
        <is>
          <t>Bhavnagar</t>
        </is>
      </c>
      <c r="L2198" s="21" t="inlineStr">
        <is>
          <t>Gujarat</t>
        </is>
      </c>
      <c r="M2198" s="9" t="inlineStr">
        <is>
          <t>PS</t>
        </is>
      </c>
      <c r="N2198" s="3" t="inlineStr">
        <is>
          <t>Cold Soldering</t>
        </is>
      </c>
      <c r="O2198" s="62" t="n">
        <v>540</v>
      </c>
      <c r="P2198" s="9" t="inlineStr">
        <is>
          <t>NSMP2305129889</t>
        </is>
      </c>
      <c r="Q2198" s="53">
        <f>MID(P2198,5,2)</f>
        <v/>
      </c>
      <c r="R2198" s="53">
        <f>MID(P2198,7,2)</f>
        <v/>
      </c>
      <c r="S2198" s="3" t="inlineStr">
        <is>
          <t>G2B</t>
        </is>
      </c>
      <c r="T2198" s="3" t="inlineStr">
        <is>
          <t>P2</t>
        </is>
      </c>
      <c r="U2198" s="3" t="inlineStr">
        <is>
          <t>P JB Cold Soldering</t>
        </is>
      </c>
      <c r="V2198" s="3" t="inlineStr">
        <is>
          <t>Soldering</t>
        </is>
      </c>
      <c r="W2198" s="3" t="inlineStr">
        <is>
          <t>Repair</t>
        </is>
      </c>
      <c r="X2198" s="18" t="n">
        <v>46169</v>
      </c>
      <c r="Y2198" s="73">
        <f>IF(X2198="","",X2198-A2198)</f>
        <v/>
      </c>
      <c r="Z2198" s="18" t="n">
        <v>46169</v>
      </c>
      <c r="AA2198" s="15" t="n"/>
      <c r="AB2198" s="15" t="n"/>
      <c r="AF2198">
        <f>IF(AND($F2198="Closed",$X2198&gt;=DATE(2026,5,1),$X2198&lt;=DATE(2026,5,31)),"Closed in May","Other")</f>
        <v/>
      </c>
    </row>
    <row r="2199">
      <c r="A2199" s="59" t="n">
        <v>46148</v>
      </c>
      <c r="B2199" s="3" t="n">
        <v>2026</v>
      </c>
      <c r="C2199" s="21" t="inlineStr">
        <is>
          <t>Continuum</t>
        </is>
      </c>
      <c r="D2199" s="3" t="inlineStr">
        <is>
          <t>Utility and C&amp;I</t>
        </is>
      </c>
      <c r="E2199" s="3" t="n"/>
      <c r="F2199" s="3" t="inlineStr">
        <is>
          <t>Closed</t>
        </is>
      </c>
      <c r="G2199" s="21" t="inlineStr">
        <is>
          <t>Amiya Ranjan Behera</t>
        </is>
      </c>
      <c r="H2199" s="21" t="n">
        <v>8917436223</v>
      </c>
      <c r="I2199" s="38" t="inlineStr">
        <is>
          <t>PE06052602</t>
        </is>
      </c>
      <c r="J2199" s="21" t="inlineStr">
        <is>
          <t>Diode Bypass Module Issue</t>
        </is>
      </c>
      <c r="K2199" s="21" t="inlineStr">
        <is>
          <t>Bhavnagar</t>
        </is>
      </c>
      <c r="L2199" s="21" t="inlineStr">
        <is>
          <t>Gujarat</t>
        </is>
      </c>
      <c r="M2199" s="9" t="inlineStr">
        <is>
          <t>PNS</t>
        </is>
      </c>
      <c r="N2199" s="3" t="inlineStr">
        <is>
          <t>Cold Soldering</t>
        </is>
      </c>
      <c r="O2199" s="62" t="n">
        <v>540</v>
      </c>
      <c r="P2199" s="9" t="inlineStr">
        <is>
          <t>NSMP2305129986</t>
        </is>
      </c>
      <c r="Q2199" s="53">
        <f>MID(P2199,5,2)</f>
        <v/>
      </c>
      <c r="R2199" s="53">
        <f>MID(P2199,7,2)</f>
        <v/>
      </c>
      <c r="S2199" s="3" t="inlineStr">
        <is>
          <t>G2B</t>
        </is>
      </c>
      <c r="T2199" s="3" t="inlineStr">
        <is>
          <t>P2</t>
        </is>
      </c>
      <c r="U2199" s="3" t="inlineStr">
        <is>
          <t>P &amp; N JB Cold Soldering</t>
        </is>
      </c>
      <c r="V2199" s="3" t="inlineStr">
        <is>
          <t>Soldering</t>
        </is>
      </c>
      <c r="W2199" s="3" t="inlineStr">
        <is>
          <t>Repair</t>
        </is>
      </c>
      <c r="X2199" s="18" t="n">
        <v>46169</v>
      </c>
      <c r="Y2199" s="73">
        <f>IF(X2199="","",X2199-A2199)</f>
        <v/>
      </c>
      <c r="Z2199" s="18" t="n">
        <v>46169</v>
      </c>
      <c r="AA2199" s="15" t="n"/>
      <c r="AB2199" s="15" t="n"/>
      <c r="AF2199">
        <f>IF(AND($F2199="Closed",$X2199&gt;=DATE(2026,5,1),$X2199&lt;=DATE(2026,5,31)),"Closed in May","Other")</f>
        <v/>
      </c>
    </row>
    <row r="2200">
      <c r="A2200" s="59" t="n">
        <v>46148</v>
      </c>
      <c r="B2200" s="3" t="n">
        <v>2026</v>
      </c>
      <c r="C2200" s="21" t="inlineStr">
        <is>
          <t>Continuum</t>
        </is>
      </c>
      <c r="D2200" s="3" t="inlineStr">
        <is>
          <t>Utility and C&amp;I</t>
        </is>
      </c>
      <c r="E2200" s="3" t="n"/>
      <c r="F2200" s="3" t="inlineStr">
        <is>
          <t>Closed</t>
        </is>
      </c>
      <c r="G2200" s="21" t="inlineStr">
        <is>
          <t>Amiya Ranjan Behera</t>
        </is>
      </c>
      <c r="H2200" s="21" t="n">
        <v>8917436223</v>
      </c>
      <c r="I2200" s="38" t="inlineStr">
        <is>
          <t>PE06052602</t>
        </is>
      </c>
      <c r="J2200" s="21" t="inlineStr">
        <is>
          <t>Diode Bypass Module Issue</t>
        </is>
      </c>
      <c r="K2200" s="21" t="inlineStr">
        <is>
          <t>Bhavnagar</t>
        </is>
      </c>
      <c r="L2200" s="21" t="inlineStr">
        <is>
          <t>Gujarat</t>
        </is>
      </c>
      <c r="M2200" s="9" t="inlineStr">
        <is>
          <t>PS</t>
        </is>
      </c>
      <c r="N2200" s="3" t="inlineStr">
        <is>
          <t>Cold Soldering</t>
        </is>
      </c>
      <c r="O2200" s="62" t="n">
        <v>540</v>
      </c>
      <c r="P2200" s="9" t="inlineStr">
        <is>
          <t>NSMP2305129978</t>
        </is>
      </c>
      <c r="Q2200" s="53">
        <f>MID(P2200,5,2)</f>
        <v/>
      </c>
      <c r="R2200" s="53">
        <f>MID(P2200,7,2)</f>
        <v/>
      </c>
      <c r="S2200" s="3" t="inlineStr">
        <is>
          <t>G2B</t>
        </is>
      </c>
      <c r="T2200" s="3" t="inlineStr">
        <is>
          <t>P2</t>
        </is>
      </c>
      <c r="U2200" s="3" t="inlineStr">
        <is>
          <t>P JB Cold Soldering</t>
        </is>
      </c>
      <c r="V2200" s="3" t="inlineStr">
        <is>
          <t>Soldering</t>
        </is>
      </c>
      <c r="W2200" s="3" t="inlineStr">
        <is>
          <t>Repair</t>
        </is>
      </c>
      <c r="X2200" s="18" t="n">
        <v>46169</v>
      </c>
      <c r="Y2200" s="73">
        <f>IF(X2200="","",X2200-A2200)</f>
        <v/>
      </c>
      <c r="Z2200" s="18" t="n">
        <v>46169</v>
      </c>
      <c r="AA2200" s="15" t="n"/>
      <c r="AB2200" s="15" t="n"/>
      <c r="AF2200">
        <f>IF(AND($F2200="Closed",$X2200&gt;=DATE(2026,5,1),$X2200&lt;=DATE(2026,5,31)),"Closed in May","Other")</f>
        <v/>
      </c>
    </row>
    <row r="2201">
      <c r="A2201" s="59" t="n">
        <v>46148</v>
      </c>
      <c r="B2201" s="3" t="n">
        <v>2026</v>
      </c>
      <c r="C2201" s="21" t="inlineStr">
        <is>
          <t>Continuum</t>
        </is>
      </c>
      <c r="D2201" s="3" t="inlineStr">
        <is>
          <t>Utility and C&amp;I</t>
        </is>
      </c>
      <c r="E2201" s="3" t="n"/>
      <c r="F2201" s="3" t="inlineStr">
        <is>
          <t>Closed</t>
        </is>
      </c>
      <c r="G2201" s="21" t="inlineStr">
        <is>
          <t>Amiya Ranjan Behera</t>
        </is>
      </c>
      <c r="H2201" s="21" t="n">
        <v>8917436223</v>
      </c>
      <c r="I2201" s="38" t="inlineStr">
        <is>
          <t>PE06052602</t>
        </is>
      </c>
      <c r="J2201" s="21" t="inlineStr">
        <is>
          <t>Diode Bypass Module Issue</t>
        </is>
      </c>
      <c r="K2201" s="21" t="inlineStr">
        <is>
          <t>Bhavnagar</t>
        </is>
      </c>
      <c r="L2201" s="21" t="inlineStr">
        <is>
          <t>Gujarat</t>
        </is>
      </c>
      <c r="M2201" s="9" t="inlineStr">
        <is>
          <t>PR</t>
        </is>
      </c>
      <c r="N2201" s="3" t="inlineStr">
        <is>
          <t>JB Issue</t>
        </is>
      </c>
      <c r="O2201" s="62" t="n">
        <v>540</v>
      </c>
      <c r="P2201" s="9" t="inlineStr">
        <is>
          <t>NSMP2305126597</t>
        </is>
      </c>
      <c r="Q2201" s="53">
        <f>MID(P2201,5,2)</f>
        <v/>
      </c>
      <c r="R2201" s="53">
        <f>MID(P2201,7,2)</f>
        <v/>
      </c>
      <c r="S2201" s="3" t="inlineStr">
        <is>
          <t>G2B</t>
        </is>
      </c>
      <c r="T2201" s="3" t="inlineStr">
        <is>
          <t>P2</t>
        </is>
      </c>
      <c r="U2201" s="3" t="inlineStr">
        <is>
          <t>P JB Issue</t>
        </is>
      </c>
      <c r="V2201" s="15" t="inlineStr">
        <is>
          <t>JB Changed</t>
        </is>
      </c>
      <c r="W2201" s="3" t="inlineStr">
        <is>
          <t>Repair</t>
        </is>
      </c>
      <c r="X2201" s="18" t="n">
        <v>46169</v>
      </c>
      <c r="Y2201" s="73">
        <f>IF(X2201="","",X2201-A2201)</f>
        <v/>
      </c>
      <c r="Z2201" s="18" t="n">
        <v>46169</v>
      </c>
      <c r="AA2201" s="15" t="n"/>
      <c r="AB2201" s="15" t="n"/>
      <c r="AF2201">
        <f>IF(AND($F2201="Closed",$X2201&gt;=DATE(2026,5,1),$X2201&lt;=DATE(2026,5,31)),"Closed in May","Other")</f>
        <v/>
      </c>
    </row>
    <row r="2202">
      <c r="A2202" s="59" t="n">
        <v>46148</v>
      </c>
      <c r="B2202" s="3" t="n">
        <v>2026</v>
      </c>
      <c r="C2202" s="21" t="inlineStr">
        <is>
          <t>Continuum</t>
        </is>
      </c>
      <c r="D2202" s="3" t="inlineStr">
        <is>
          <t>Utility and C&amp;I</t>
        </is>
      </c>
      <c r="E2202" s="3" t="n"/>
      <c r="F2202" s="3" t="inlineStr">
        <is>
          <t>Closed</t>
        </is>
      </c>
      <c r="G2202" s="21" t="inlineStr">
        <is>
          <t>Amiya Ranjan Behera</t>
        </is>
      </c>
      <c r="H2202" s="21" t="n">
        <v>8917436223</v>
      </c>
      <c r="I2202" s="38" t="inlineStr">
        <is>
          <t>PE06052602</t>
        </is>
      </c>
      <c r="J2202" s="21" t="inlineStr">
        <is>
          <t>Diode Bypass Module Issue</t>
        </is>
      </c>
      <c r="K2202" s="21" t="inlineStr">
        <is>
          <t>Bhavnagar</t>
        </is>
      </c>
      <c r="L2202" s="21" t="inlineStr">
        <is>
          <t>Gujarat</t>
        </is>
      </c>
      <c r="M2202" s="9" t="inlineStr">
        <is>
          <t>PR</t>
        </is>
      </c>
      <c r="N2202" s="3" t="inlineStr">
        <is>
          <t>JB Issue</t>
        </is>
      </c>
      <c r="O2202" s="62" t="n">
        <v>540</v>
      </c>
      <c r="P2202" s="9" t="inlineStr">
        <is>
          <t>NSMP2305134827</t>
        </is>
      </c>
      <c r="Q2202" s="53">
        <f>MID(P2202,5,2)</f>
        <v/>
      </c>
      <c r="R2202" s="53">
        <f>MID(P2202,7,2)</f>
        <v/>
      </c>
      <c r="S2202" s="3" t="inlineStr">
        <is>
          <t>G2B</t>
        </is>
      </c>
      <c r="T2202" s="3" t="inlineStr">
        <is>
          <t>P2</t>
        </is>
      </c>
      <c r="U2202" s="3" t="inlineStr">
        <is>
          <t>P JB Issue</t>
        </is>
      </c>
      <c r="V2202" s="15" t="inlineStr">
        <is>
          <t>JB Changed</t>
        </is>
      </c>
      <c r="W2202" s="3" t="inlineStr">
        <is>
          <t>Repair</t>
        </is>
      </c>
      <c r="X2202" s="18" t="n">
        <v>46169</v>
      </c>
      <c r="Y2202" s="73">
        <f>IF(X2202="","",X2202-A2202)</f>
        <v/>
      </c>
      <c r="Z2202" s="18" t="n">
        <v>46169</v>
      </c>
      <c r="AA2202" s="15" t="n"/>
      <c r="AB2202" s="15" t="n"/>
      <c r="AF2202">
        <f>IF(AND($F2202="Closed",$X2202&gt;=DATE(2026,5,1),$X2202&lt;=DATE(2026,5,31)),"Closed in May","Other")</f>
        <v/>
      </c>
    </row>
    <row r="2203">
      <c r="A2203" s="59" t="n">
        <v>46148</v>
      </c>
      <c r="B2203" s="3" t="n">
        <v>2026</v>
      </c>
      <c r="C2203" s="21" t="inlineStr">
        <is>
          <t>Continuum</t>
        </is>
      </c>
      <c r="D2203" s="3" t="inlineStr">
        <is>
          <t>Utility and C&amp;I</t>
        </is>
      </c>
      <c r="E2203" s="3" t="n"/>
      <c r="F2203" s="3" t="inlineStr">
        <is>
          <t>Closed</t>
        </is>
      </c>
      <c r="G2203" s="21" t="inlineStr">
        <is>
          <t>Amiya Ranjan Behera</t>
        </is>
      </c>
      <c r="H2203" s="21" t="n">
        <v>8917436223</v>
      </c>
      <c r="I2203" s="38" t="inlineStr">
        <is>
          <t>PE06052602</t>
        </is>
      </c>
      <c r="J2203" s="21" t="inlineStr">
        <is>
          <t>Diode Bypass Module Issue</t>
        </is>
      </c>
      <c r="K2203" s="21" t="inlineStr">
        <is>
          <t>Bhavnagar</t>
        </is>
      </c>
      <c r="L2203" s="21" t="inlineStr">
        <is>
          <t>Gujarat</t>
        </is>
      </c>
      <c r="M2203" s="9" t="inlineStr">
        <is>
          <t>PS</t>
        </is>
      </c>
      <c r="N2203" s="3" t="inlineStr">
        <is>
          <t>Cold Soldering</t>
        </is>
      </c>
      <c r="O2203" s="62" t="n">
        <v>540</v>
      </c>
      <c r="P2203" s="9" t="inlineStr">
        <is>
          <t>NSMP2305134751</t>
        </is>
      </c>
      <c r="Q2203" s="53">
        <f>MID(P2203,5,2)</f>
        <v/>
      </c>
      <c r="R2203" s="53">
        <f>MID(P2203,7,2)</f>
        <v/>
      </c>
      <c r="S2203" s="3" t="inlineStr">
        <is>
          <t>G2B</t>
        </is>
      </c>
      <c r="T2203" s="3" t="inlineStr">
        <is>
          <t>P2</t>
        </is>
      </c>
      <c r="U2203" s="3" t="inlineStr">
        <is>
          <t>P JB Cold Soldering</t>
        </is>
      </c>
      <c r="V2203" s="3" t="inlineStr">
        <is>
          <t>Soldering</t>
        </is>
      </c>
      <c r="W2203" s="3" t="inlineStr">
        <is>
          <t>Repair</t>
        </is>
      </c>
      <c r="X2203" s="18" t="n">
        <v>46169</v>
      </c>
      <c r="Y2203" s="73">
        <f>IF(X2203="","",X2203-A2203)</f>
        <v/>
      </c>
      <c r="Z2203" s="18" t="n">
        <v>46169</v>
      </c>
      <c r="AA2203" s="15" t="n"/>
      <c r="AB2203" s="15" t="n"/>
      <c r="AF2203">
        <f>IF(AND($F2203="Closed",$X2203&gt;=DATE(2026,5,1),$X2203&lt;=DATE(2026,5,31)),"Closed in May","Other")</f>
        <v/>
      </c>
    </row>
    <row r="2204">
      <c r="A2204" s="59" t="n">
        <v>46148</v>
      </c>
      <c r="B2204" s="3" t="n">
        <v>2026</v>
      </c>
      <c r="C2204" s="21" t="inlineStr">
        <is>
          <t>Continuum</t>
        </is>
      </c>
      <c r="D2204" s="3" t="inlineStr">
        <is>
          <t>Utility and C&amp;I</t>
        </is>
      </c>
      <c r="E2204" s="3" t="n"/>
      <c r="F2204" s="3" t="inlineStr">
        <is>
          <t>Closed</t>
        </is>
      </c>
      <c r="G2204" s="21" t="inlineStr">
        <is>
          <t>Amiya Ranjan Behera</t>
        </is>
      </c>
      <c r="H2204" s="21" t="n">
        <v>8917436223</v>
      </c>
      <c r="I2204" s="38" t="inlineStr">
        <is>
          <t>PE06052602</t>
        </is>
      </c>
      <c r="J2204" s="21" t="inlineStr">
        <is>
          <t>Diode Bypass Module Issue</t>
        </is>
      </c>
      <c r="K2204" s="21" t="inlineStr">
        <is>
          <t>Bhavnagar</t>
        </is>
      </c>
      <c r="L2204" s="21" t="inlineStr">
        <is>
          <t>Gujarat</t>
        </is>
      </c>
      <c r="M2204" s="9" t="inlineStr">
        <is>
          <t>PS</t>
        </is>
      </c>
      <c r="N2204" s="3" t="inlineStr">
        <is>
          <t>Cold Soldering</t>
        </is>
      </c>
      <c r="O2204" s="62" t="n">
        <v>540</v>
      </c>
      <c r="P2204" s="9" t="inlineStr">
        <is>
          <t>NSMP2305134744</t>
        </is>
      </c>
      <c r="Q2204" s="53">
        <f>MID(P2204,5,2)</f>
        <v/>
      </c>
      <c r="R2204" s="53">
        <f>MID(P2204,7,2)</f>
        <v/>
      </c>
      <c r="S2204" s="3" t="inlineStr">
        <is>
          <t>G2B</t>
        </is>
      </c>
      <c r="T2204" s="3" t="inlineStr">
        <is>
          <t>P2</t>
        </is>
      </c>
      <c r="U2204" s="3" t="inlineStr">
        <is>
          <t>P JB Cold Soldering</t>
        </is>
      </c>
      <c r="V2204" s="3" t="inlineStr">
        <is>
          <t>Soldering</t>
        </is>
      </c>
      <c r="W2204" s="3" t="inlineStr">
        <is>
          <t>Repair</t>
        </is>
      </c>
      <c r="X2204" s="18" t="n">
        <v>46169</v>
      </c>
      <c r="Y2204" s="73">
        <f>IF(X2204="","",X2204-A2204)</f>
        <v/>
      </c>
      <c r="Z2204" s="18" t="n">
        <v>46169</v>
      </c>
      <c r="AA2204" s="15" t="n"/>
      <c r="AB2204" s="15" t="n"/>
      <c r="AF2204">
        <f>IF(AND($F2204="Closed",$X2204&gt;=DATE(2026,5,1),$X2204&lt;=DATE(2026,5,31)),"Closed in May","Other")</f>
        <v/>
      </c>
    </row>
    <row r="2205">
      <c r="A2205" s="59" t="n">
        <v>46148</v>
      </c>
      <c r="B2205" s="3" t="n">
        <v>2026</v>
      </c>
      <c r="C2205" s="21" t="inlineStr">
        <is>
          <t>Continuum</t>
        </is>
      </c>
      <c r="D2205" s="3" t="inlineStr">
        <is>
          <t>Utility and C&amp;I</t>
        </is>
      </c>
      <c r="E2205" s="3" t="n"/>
      <c r="F2205" s="3" t="inlineStr">
        <is>
          <t>Closed</t>
        </is>
      </c>
      <c r="G2205" s="21" t="inlineStr">
        <is>
          <t>Amiya Ranjan Behera</t>
        </is>
      </c>
      <c r="H2205" s="21" t="n">
        <v>8917436223</v>
      </c>
      <c r="I2205" s="38" t="inlineStr">
        <is>
          <t>PE06052602</t>
        </is>
      </c>
      <c r="J2205" s="21" t="inlineStr">
        <is>
          <t>Diode Bypass Module Issue</t>
        </is>
      </c>
      <c r="K2205" s="21" t="inlineStr">
        <is>
          <t>Bhavnagar</t>
        </is>
      </c>
      <c r="L2205" s="21" t="inlineStr">
        <is>
          <t>Gujarat</t>
        </is>
      </c>
      <c r="M2205" s="9" t="inlineStr">
        <is>
          <t>NS</t>
        </is>
      </c>
      <c r="N2205" s="26" t="inlineStr">
        <is>
          <t>Cold Soldering</t>
        </is>
      </c>
      <c r="O2205" s="62" t="n">
        <v>540</v>
      </c>
      <c r="P2205" s="9" t="inlineStr">
        <is>
          <t>NSMP2305198528</t>
        </is>
      </c>
      <c r="Q2205" s="53">
        <f>MID(P2205,5,2)</f>
        <v/>
      </c>
      <c r="R2205" s="53">
        <f>MID(P2205,7,2)</f>
        <v/>
      </c>
      <c r="S2205" s="3" t="inlineStr">
        <is>
          <t>G2B</t>
        </is>
      </c>
      <c r="T2205" s="3" t="inlineStr">
        <is>
          <t>P2</t>
        </is>
      </c>
      <c r="U2205" s="19" t="inlineStr">
        <is>
          <t>N JB Cold Soldering</t>
        </is>
      </c>
      <c r="V2205" s="19" t="inlineStr">
        <is>
          <t>Soldering</t>
        </is>
      </c>
      <c r="W2205" s="3" t="inlineStr">
        <is>
          <t>Repair</t>
        </is>
      </c>
      <c r="X2205" s="18" t="n">
        <v>46169</v>
      </c>
      <c r="Y2205" s="73">
        <f>IF(X2205="","",X2205-A2205)</f>
        <v/>
      </c>
      <c r="Z2205" s="18" t="n">
        <v>46169</v>
      </c>
      <c r="AA2205" s="15" t="n"/>
      <c r="AB2205" s="15" t="n"/>
      <c r="AF2205">
        <f>IF(AND($F2205="Closed",$X2205&gt;=DATE(2026,5,1),$X2205&lt;=DATE(2026,5,31)),"Closed in May","Other")</f>
        <v/>
      </c>
    </row>
    <row r="2206">
      <c r="A2206" s="59" t="n">
        <v>46148</v>
      </c>
      <c r="B2206" s="3" t="n">
        <v>2026</v>
      </c>
      <c r="C2206" s="21" t="inlineStr">
        <is>
          <t>Continuum</t>
        </is>
      </c>
      <c r="D2206" s="3" t="inlineStr">
        <is>
          <t>Utility and C&amp;I</t>
        </is>
      </c>
      <c r="E2206" s="3" t="n"/>
      <c r="F2206" s="3" t="inlineStr">
        <is>
          <t>Closed</t>
        </is>
      </c>
      <c r="G2206" s="21" t="inlineStr">
        <is>
          <t>Amiya Ranjan Behera</t>
        </is>
      </c>
      <c r="H2206" s="21" t="n">
        <v>8917436223</v>
      </c>
      <c r="I2206" s="38" t="inlineStr">
        <is>
          <t>PE06052602</t>
        </is>
      </c>
      <c r="J2206" s="21" t="inlineStr">
        <is>
          <t>Diode Bypass Module Issue</t>
        </is>
      </c>
      <c r="K2206" s="21" t="inlineStr">
        <is>
          <t>Bhavnagar</t>
        </is>
      </c>
      <c r="L2206" s="21" t="inlineStr">
        <is>
          <t>Gujarat</t>
        </is>
      </c>
      <c r="M2206" s="9" t="inlineStr">
        <is>
          <t>PR</t>
        </is>
      </c>
      <c r="N2206" s="3" t="inlineStr">
        <is>
          <t>JB Issue</t>
        </is>
      </c>
      <c r="O2206" s="62" t="n">
        <v>540</v>
      </c>
      <c r="P2206" s="9" t="inlineStr">
        <is>
          <t>NSMP2305132343</t>
        </is>
      </c>
      <c r="Q2206" s="53">
        <f>MID(P2206,5,2)</f>
        <v/>
      </c>
      <c r="R2206" s="53">
        <f>MID(P2206,7,2)</f>
        <v/>
      </c>
      <c r="S2206" s="3" t="inlineStr">
        <is>
          <t>G2B</t>
        </is>
      </c>
      <c r="T2206" s="3" t="inlineStr">
        <is>
          <t>P2</t>
        </is>
      </c>
      <c r="U2206" s="3" t="inlineStr">
        <is>
          <t>P JB Issue</t>
        </is>
      </c>
      <c r="V2206" s="15" t="inlineStr">
        <is>
          <t>JB Changed</t>
        </is>
      </c>
      <c r="W2206" s="3" t="inlineStr">
        <is>
          <t>Repair</t>
        </is>
      </c>
      <c r="X2206" s="18" t="n">
        <v>46169</v>
      </c>
      <c r="Y2206" s="73">
        <f>IF(X2206="","",X2206-A2206)</f>
        <v/>
      </c>
      <c r="Z2206" s="18" t="n">
        <v>46169</v>
      </c>
      <c r="AA2206" s="15" t="n"/>
      <c r="AB2206" s="15" t="n"/>
      <c r="AF2206">
        <f>IF(AND($F2206="Closed",$X2206&gt;=DATE(2026,5,1),$X2206&lt;=DATE(2026,5,31)),"Closed in May","Other")</f>
        <v/>
      </c>
    </row>
    <row r="2207">
      <c r="A2207" s="59" t="n">
        <v>46148</v>
      </c>
      <c r="B2207" s="3" t="n">
        <v>2026</v>
      </c>
      <c r="C2207" s="21" t="inlineStr">
        <is>
          <t>Continuum</t>
        </is>
      </c>
      <c r="D2207" s="3" t="inlineStr">
        <is>
          <t>Utility and C&amp;I</t>
        </is>
      </c>
      <c r="E2207" s="3" t="n"/>
      <c r="F2207" s="3" t="inlineStr">
        <is>
          <t>Closed</t>
        </is>
      </c>
      <c r="G2207" s="21" t="inlineStr">
        <is>
          <t>Amiya Ranjan Behera</t>
        </is>
      </c>
      <c r="H2207" s="21" t="n">
        <v>8917436223</v>
      </c>
      <c r="I2207" s="38" t="inlineStr">
        <is>
          <t>PE06052602</t>
        </is>
      </c>
      <c r="J2207" s="21" t="inlineStr">
        <is>
          <t>Diode Bypass Module Issue</t>
        </is>
      </c>
      <c r="K2207" s="21" t="inlineStr">
        <is>
          <t>Bhavnagar</t>
        </is>
      </c>
      <c r="L2207" s="21" t="inlineStr">
        <is>
          <t>Gujarat</t>
        </is>
      </c>
      <c r="M2207" s="9" t="inlineStr">
        <is>
          <t>PS</t>
        </is>
      </c>
      <c r="N2207" s="3" t="inlineStr">
        <is>
          <t>Cold Soldering</t>
        </is>
      </c>
      <c r="O2207" s="62" t="n">
        <v>540</v>
      </c>
      <c r="P2207" s="9" t="inlineStr">
        <is>
          <t>NSMP2305132228</t>
        </is>
      </c>
      <c r="Q2207" s="53">
        <f>MID(P2207,5,2)</f>
        <v/>
      </c>
      <c r="R2207" s="53">
        <f>MID(P2207,7,2)</f>
        <v/>
      </c>
      <c r="S2207" s="3" t="inlineStr">
        <is>
          <t>G2B</t>
        </is>
      </c>
      <c r="T2207" s="3" t="inlineStr">
        <is>
          <t>P2</t>
        </is>
      </c>
      <c r="U2207" s="3" t="inlineStr">
        <is>
          <t>P JB Cold Soldering</t>
        </is>
      </c>
      <c r="V2207" s="3" t="inlineStr">
        <is>
          <t>Soldering</t>
        </is>
      </c>
      <c r="W2207" s="3" t="inlineStr">
        <is>
          <t>Repair</t>
        </is>
      </c>
      <c r="X2207" s="18" t="n">
        <v>46169</v>
      </c>
      <c r="Y2207" s="73">
        <f>IF(X2207="","",X2207-A2207)</f>
        <v/>
      </c>
      <c r="Z2207" s="18" t="n">
        <v>46169</v>
      </c>
      <c r="AA2207" s="15" t="n"/>
      <c r="AB2207" s="15" t="n"/>
      <c r="AF2207">
        <f>IF(AND($F2207="Closed",$X2207&gt;=DATE(2026,5,1),$X2207&lt;=DATE(2026,5,31)),"Closed in May","Other")</f>
        <v/>
      </c>
    </row>
    <row r="2208">
      <c r="A2208" s="59" t="n">
        <v>46148</v>
      </c>
      <c r="B2208" s="3" t="n">
        <v>2026</v>
      </c>
      <c r="C2208" s="21" t="inlineStr">
        <is>
          <t>Continuum</t>
        </is>
      </c>
      <c r="D2208" s="3" t="inlineStr">
        <is>
          <t>Utility and C&amp;I</t>
        </is>
      </c>
      <c r="E2208" s="3" t="n"/>
      <c r="F2208" s="3" t="inlineStr">
        <is>
          <t>Closed</t>
        </is>
      </c>
      <c r="G2208" s="21" t="inlineStr">
        <is>
          <t>Amiya Ranjan Behera</t>
        </is>
      </c>
      <c r="H2208" s="21" t="n">
        <v>8917436223</v>
      </c>
      <c r="I2208" s="38" t="inlineStr">
        <is>
          <t>PE06052602</t>
        </is>
      </c>
      <c r="J2208" s="21" t="inlineStr">
        <is>
          <t>Diode Bypass Module Issue</t>
        </is>
      </c>
      <c r="K2208" s="21" t="inlineStr">
        <is>
          <t>Bhavnagar</t>
        </is>
      </c>
      <c r="L2208" s="21" t="inlineStr">
        <is>
          <t>Gujarat</t>
        </is>
      </c>
      <c r="M2208" s="9" t="inlineStr">
        <is>
          <t>NS</t>
        </is>
      </c>
      <c r="N2208" s="26" t="inlineStr">
        <is>
          <t>Cold Soldering</t>
        </is>
      </c>
      <c r="O2208" s="62" t="n">
        <v>540</v>
      </c>
      <c r="P2208" s="9" t="inlineStr">
        <is>
          <t>NSMP2304044081</t>
        </is>
      </c>
      <c r="Q2208" s="53">
        <f>MID(P2208,5,2)</f>
        <v/>
      </c>
      <c r="R2208" s="53">
        <f>MID(P2208,7,2)</f>
        <v/>
      </c>
      <c r="S2208" s="3" t="inlineStr">
        <is>
          <t>G2B</t>
        </is>
      </c>
      <c r="T2208" s="3" t="inlineStr">
        <is>
          <t>P2</t>
        </is>
      </c>
      <c r="U2208" s="19" t="inlineStr">
        <is>
          <t>N JB Cold Soldering</t>
        </is>
      </c>
      <c r="V2208" s="19" t="inlineStr">
        <is>
          <t>Soldering</t>
        </is>
      </c>
      <c r="W2208" s="3" t="inlineStr">
        <is>
          <t>Repair</t>
        </is>
      </c>
      <c r="X2208" s="18" t="n">
        <v>46169</v>
      </c>
      <c r="Y2208" s="73">
        <f>IF(X2208="","",X2208-A2208)</f>
        <v/>
      </c>
      <c r="Z2208" s="18" t="n">
        <v>46169</v>
      </c>
      <c r="AA2208" s="15" t="n"/>
      <c r="AB2208" s="15" t="n"/>
      <c r="AF2208">
        <f>IF(AND($F2208="Closed",$X2208&gt;=DATE(2026,5,1),$X2208&lt;=DATE(2026,5,31)),"Closed in May","Other")</f>
        <v/>
      </c>
    </row>
    <row r="2209">
      <c r="A2209" s="59" t="n">
        <v>46148</v>
      </c>
      <c r="B2209" s="3" t="n">
        <v>2026</v>
      </c>
      <c r="C2209" s="21" t="inlineStr">
        <is>
          <t>Continuum</t>
        </is>
      </c>
      <c r="D2209" s="3" t="inlineStr">
        <is>
          <t>Utility and C&amp;I</t>
        </is>
      </c>
      <c r="E2209" s="3" t="n"/>
      <c r="F2209" s="3" t="inlineStr">
        <is>
          <t>Closed</t>
        </is>
      </c>
      <c r="G2209" s="21" t="inlineStr">
        <is>
          <t>Amiya Ranjan Behera</t>
        </is>
      </c>
      <c r="H2209" s="21" t="n">
        <v>8917436223</v>
      </c>
      <c r="I2209" s="38" t="inlineStr">
        <is>
          <t>PE06052602</t>
        </is>
      </c>
      <c r="J2209" s="21" t="inlineStr">
        <is>
          <t>Diode Bypass Module Issue</t>
        </is>
      </c>
      <c r="K2209" s="21" t="inlineStr">
        <is>
          <t>Bhavnagar</t>
        </is>
      </c>
      <c r="L2209" s="21" t="inlineStr">
        <is>
          <t>Gujarat</t>
        </is>
      </c>
      <c r="M2209" s="9" t="inlineStr">
        <is>
          <t>PS</t>
        </is>
      </c>
      <c r="N2209" s="3" t="inlineStr">
        <is>
          <t>Cold Soldering</t>
        </is>
      </c>
      <c r="O2209" s="62" t="n">
        <v>540</v>
      </c>
      <c r="P2209" s="9" t="inlineStr">
        <is>
          <t>NSMP2305134789</t>
        </is>
      </c>
      <c r="Q2209" s="53">
        <f>MID(P2209,5,2)</f>
        <v/>
      </c>
      <c r="R2209" s="53">
        <f>MID(P2209,7,2)</f>
        <v/>
      </c>
      <c r="S2209" s="3" t="inlineStr">
        <is>
          <t>G2B</t>
        </is>
      </c>
      <c r="T2209" s="3" t="inlineStr">
        <is>
          <t>P2</t>
        </is>
      </c>
      <c r="U2209" s="3" t="inlineStr">
        <is>
          <t>P JB Cold Soldering</t>
        </is>
      </c>
      <c r="V2209" s="3" t="inlineStr">
        <is>
          <t>Soldering</t>
        </is>
      </c>
      <c r="W2209" s="3" t="inlineStr">
        <is>
          <t>Repair</t>
        </is>
      </c>
      <c r="X2209" s="18" t="n">
        <v>46169</v>
      </c>
      <c r="Y2209" s="73">
        <f>IF(X2209="","",X2209-A2209)</f>
        <v/>
      </c>
      <c r="Z2209" s="18" t="n">
        <v>46169</v>
      </c>
      <c r="AA2209" s="15" t="n"/>
      <c r="AB2209" s="15" t="n"/>
      <c r="AF2209">
        <f>IF(AND($F2209="Closed",$X2209&gt;=DATE(2026,5,1),$X2209&lt;=DATE(2026,5,31)),"Closed in May","Other")</f>
        <v/>
      </c>
    </row>
    <row r="2210">
      <c r="A2210" s="59" t="n">
        <v>46148</v>
      </c>
      <c r="B2210" s="3" t="n">
        <v>2026</v>
      </c>
      <c r="C2210" s="21" t="inlineStr">
        <is>
          <t>Continuum</t>
        </is>
      </c>
      <c r="D2210" s="3" t="inlineStr">
        <is>
          <t>Utility and C&amp;I</t>
        </is>
      </c>
      <c r="E2210" s="3" t="n"/>
      <c r="F2210" s="3" t="inlineStr">
        <is>
          <t>Closed</t>
        </is>
      </c>
      <c r="G2210" s="21" t="inlineStr">
        <is>
          <t>Amiya Ranjan Behera</t>
        </is>
      </c>
      <c r="H2210" s="21" t="n">
        <v>8917436223</v>
      </c>
      <c r="I2210" s="38" t="inlineStr">
        <is>
          <t>PE06052602</t>
        </is>
      </c>
      <c r="J2210" s="21" t="inlineStr">
        <is>
          <t>Diode Bypass Module Issue</t>
        </is>
      </c>
      <c r="K2210" s="21" t="inlineStr">
        <is>
          <t>Bhavnagar</t>
        </is>
      </c>
      <c r="L2210" s="21" t="inlineStr">
        <is>
          <t>Gujarat</t>
        </is>
      </c>
      <c r="M2210" s="9" t="inlineStr">
        <is>
          <t>PS</t>
        </is>
      </c>
      <c r="N2210" s="3" t="inlineStr">
        <is>
          <t>Cold Soldering</t>
        </is>
      </c>
      <c r="O2210" s="62" t="n">
        <v>540</v>
      </c>
      <c r="P2210" s="9" t="inlineStr">
        <is>
          <t>NSMP2305189565</t>
        </is>
      </c>
      <c r="Q2210" s="53">
        <f>MID(P2210,5,2)</f>
        <v/>
      </c>
      <c r="R2210" s="53">
        <f>MID(P2210,7,2)</f>
        <v/>
      </c>
      <c r="S2210" s="3" t="inlineStr">
        <is>
          <t>G2B</t>
        </is>
      </c>
      <c r="T2210" s="3" t="inlineStr">
        <is>
          <t>P2</t>
        </is>
      </c>
      <c r="U2210" s="3" t="inlineStr">
        <is>
          <t>P JB Cold Soldering</t>
        </is>
      </c>
      <c r="V2210" s="3" t="inlineStr">
        <is>
          <t>Soldering</t>
        </is>
      </c>
      <c r="W2210" s="3" t="inlineStr">
        <is>
          <t>Repair</t>
        </is>
      </c>
      <c r="X2210" s="18" t="n">
        <v>46169</v>
      </c>
      <c r="Y2210" s="73">
        <f>IF(X2210="","",X2210-A2210)</f>
        <v/>
      </c>
      <c r="Z2210" s="18" t="n">
        <v>46169</v>
      </c>
      <c r="AA2210" s="15" t="n"/>
      <c r="AB2210" s="15" t="n"/>
      <c r="AF2210">
        <f>IF(AND($F2210="Closed",$X2210&gt;=DATE(2026,5,1),$X2210&lt;=DATE(2026,5,31)),"Closed in May","Other")</f>
        <v/>
      </c>
    </row>
    <row r="2211">
      <c r="A2211" s="59" t="n">
        <v>46148</v>
      </c>
      <c r="B2211" s="3" t="n">
        <v>2026</v>
      </c>
      <c r="C2211" s="21" t="inlineStr">
        <is>
          <t>Continuum</t>
        </is>
      </c>
      <c r="D2211" s="3" t="inlineStr">
        <is>
          <t>Utility and C&amp;I</t>
        </is>
      </c>
      <c r="E2211" s="3" t="n"/>
      <c r="F2211" s="3" t="inlineStr">
        <is>
          <t>Closed</t>
        </is>
      </c>
      <c r="G2211" s="21" t="inlineStr">
        <is>
          <t>Amiya Ranjan Behera</t>
        </is>
      </c>
      <c r="H2211" s="21" t="n">
        <v>8917436223</v>
      </c>
      <c r="I2211" s="38" t="inlineStr">
        <is>
          <t>PE06052602</t>
        </is>
      </c>
      <c r="J2211" s="21" t="inlineStr">
        <is>
          <t>Diode Bypass Module Issue</t>
        </is>
      </c>
      <c r="K2211" s="21" t="inlineStr">
        <is>
          <t>Bhavnagar</t>
        </is>
      </c>
      <c r="L2211" s="21" t="inlineStr">
        <is>
          <t>Gujarat</t>
        </is>
      </c>
      <c r="M2211" s="9" t="inlineStr">
        <is>
          <t>PS</t>
        </is>
      </c>
      <c r="N2211" s="3" t="inlineStr">
        <is>
          <t>Cold Soldering</t>
        </is>
      </c>
      <c r="O2211" s="62" t="n">
        <v>540</v>
      </c>
      <c r="P2211" s="9" t="inlineStr">
        <is>
          <t>NSMP2305189550</t>
        </is>
      </c>
      <c r="Q2211" s="53">
        <f>MID(P2211,5,2)</f>
        <v/>
      </c>
      <c r="R2211" s="53">
        <f>MID(P2211,7,2)</f>
        <v/>
      </c>
      <c r="S2211" s="3" t="inlineStr">
        <is>
          <t>G2B</t>
        </is>
      </c>
      <c r="T2211" s="3" t="inlineStr">
        <is>
          <t>P2</t>
        </is>
      </c>
      <c r="U2211" s="3" t="inlineStr">
        <is>
          <t>P JB Cold Soldering</t>
        </is>
      </c>
      <c r="V2211" s="3" t="inlineStr">
        <is>
          <t>Soldering</t>
        </is>
      </c>
      <c r="W2211" s="3" t="inlineStr">
        <is>
          <t>Repair</t>
        </is>
      </c>
      <c r="X2211" s="18" t="n">
        <v>46169</v>
      </c>
      <c r="Y2211" s="73">
        <f>IF(X2211="","",X2211-A2211)</f>
        <v/>
      </c>
      <c r="Z2211" s="18" t="n">
        <v>46169</v>
      </c>
      <c r="AA2211" s="15" t="n"/>
      <c r="AB2211" s="15" t="n"/>
      <c r="AF2211">
        <f>IF(AND($F2211="Closed",$X2211&gt;=DATE(2026,5,1),$X2211&lt;=DATE(2026,5,31)),"Closed in May","Other")</f>
        <v/>
      </c>
    </row>
    <row r="2212">
      <c r="A2212" s="59" t="n">
        <v>46148</v>
      </c>
      <c r="B2212" s="3" t="n">
        <v>2026</v>
      </c>
      <c r="C2212" s="21" t="inlineStr">
        <is>
          <t>Continuum</t>
        </is>
      </c>
      <c r="D2212" s="3" t="inlineStr">
        <is>
          <t>Utility and C&amp;I</t>
        </is>
      </c>
      <c r="E2212" s="3" t="n"/>
      <c r="F2212" s="3" t="inlineStr">
        <is>
          <t>Closed</t>
        </is>
      </c>
      <c r="G2212" s="21" t="inlineStr">
        <is>
          <t>Amiya Ranjan Behera</t>
        </is>
      </c>
      <c r="H2212" s="21" t="n">
        <v>8917436223</v>
      </c>
      <c r="I2212" s="38" t="inlineStr">
        <is>
          <t>PE06052602</t>
        </is>
      </c>
      <c r="J2212" s="21" t="inlineStr">
        <is>
          <t>Diode Bypass Module Issue</t>
        </is>
      </c>
      <c r="K2212" s="21" t="inlineStr">
        <is>
          <t>Bhavnagar</t>
        </is>
      </c>
      <c r="L2212" s="21" t="inlineStr">
        <is>
          <t>Gujarat</t>
        </is>
      </c>
      <c r="M2212" s="9" t="inlineStr">
        <is>
          <t>PS</t>
        </is>
      </c>
      <c r="N2212" s="3" t="inlineStr">
        <is>
          <t>Cold Soldering</t>
        </is>
      </c>
      <c r="O2212" s="62" t="n">
        <v>540</v>
      </c>
      <c r="P2212" s="9" t="inlineStr">
        <is>
          <t>NSMP2305189570</t>
        </is>
      </c>
      <c r="Q2212" s="53">
        <f>MID(P2212,5,2)</f>
        <v/>
      </c>
      <c r="R2212" s="53">
        <f>MID(P2212,7,2)</f>
        <v/>
      </c>
      <c r="S2212" s="3" t="inlineStr">
        <is>
          <t>G2B</t>
        </is>
      </c>
      <c r="T2212" s="3" t="inlineStr">
        <is>
          <t>P2</t>
        </is>
      </c>
      <c r="U2212" s="3" t="inlineStr">
        <is>
          <t>P JB Cold Soldering</t>
        </is>
      </c>
      <c r="V2212" s="3" t="inlineStr">
        <is>
          <t>Soldering</t>
        </is>
      </c>
      <c r="W2212" s="3" t="inlineStr">
        <is>
          <t>Repair</t>
        </is>
      </c>
      <c r="X2212" s="18" t="n">
        <v>46169</v>
      </c>
      <c r="Y2212" s="73">
        <f>IF(X2212="","",X2212-A2212)</f>
        <v/>
      </c>
      <c r="Z2212" s="18" t="n">
        <v>46169</v>
      </c>
      <c r="AA2212" s="15" t="n"/>
      <c r="AB2212" s="15" t="n"/>
      <c r="AF2212">
        <f>IF(AND($F2212="Closed",$X2212&gt;=DATE(2026,5,1),$X2212&lt;=DATE(2026,5,31)),"Closed in May","Other")</f>
        <v/>
      </c>
    </row>
    <row r="2213">
      <c r="A2213" s="59" t="n">
        <v>46148</v>
      </c>
      <c r="B2213" s="3" t="n">
        <v>2026</v>
      </c>
      <c r="C2213" s="21" t="inlineStr">
        <is>
          <t>Continuum</t>
        </is>
      </c>
      <c r="D2213" s="3" t="inlineStr">
        <is>
          <t>Utility and C&amp;I</t>
        </is>
      </c>
      <c r="E2213" s="3" t="n"/>
      <c r="F2213" s="3" t="inlineStr">
        <is>
          <t>Closed</t>
        </is>
      </c>
      <c r="G2213" s="21" t="inlineStr">
        <is>
          <t>Amiya Ranjan Behera</t>
        </is>
      </c>
      <c r="H2213" s="21" t="n">
        <v>8917436223</v>
      </c>
      <c r="I2213" s="38" t="inlineStr">
        <is>
          <t>PE06052602</t>
        </is>
      </c>
      <c r="J2213" s="21" t="inlineStr">
        <is>
          <t>Diode Bypass Module Issue</t>
        </is>
      </c>
      <c r="K2213" s="21" t="inlineStr">
        <is>
          <t>Bhavnagar</t>
        </is>
      </c>
      <c r="L2213" s="21" t="inlineStr">
        <is>
          <t>Gujarat</t>
        </is>
      </c>
      <c r="M2213" s="9" t="inlineStr">
        <is>
          <t>NR</t>
        </is>
      </c>
      <c r="N2213" s="26" t="inlineStr">
        <is>
          <t>JB Issue</t>
        </is>
      </c>
      <c r="O2213" s="62" t="n">
        <v>540</v>
      </c>
      <c r="P2213" s="9" t="inlineStr">
        <is>
          <t>NSMP2305171714</t>
        </is>
      </c>
      <c r="Q2213" s="53">
        <f>MID(P2213,5,2)</f>
        <v/>
      </c>
      <c r="R2213" s="53">
        <f>MID(P2213,7,2)</f>
        <v/>
      </c>
      <c r="S2213" s="3" t="inlineStr">
        <is>
          <t>G2B</t>
        </is>
      </c>
      <c r="T2213" s="3" t="inlineStr">
        <is>
          <t>P2</t>
        </is>
      </c>
      <c r="U2213" s="19" t="inlineStr">
        <is>
          <t>N JB Issue</t>
        </is>
      </c>
      <c r="V2213" s="19" t="inlineStr">
        <is>
          <t>JB Changed</t>
        </is>
      </c>
      <c r="W2213" s="3" t="inlineStr">
        <is>
          <t>Repair</t>
        </is>
      </c>
      <c r="X2213" s="18" t="n">
        <v>46169</v>
      </c>
      <c r="Y2213" s="73">
        <f>IF(X2213="","",X2213-A2213)</f>
        <v/>
      </c>
      <c r="Z2213" s="18" t="n">
        <v>46169</v>
      </c>
      <c r="AA2213" s="15" t="n"/>
      <c r="AB2213" s="15" t="n"/>
      <c r="AF2213">
        <f>IF(AND($F2213="Closed",$X2213&gt;=DATE(2026,5,1),$X2213&lt;=DATE(2026,5,31)),"Closed in May","Other")</f>
        <v/>
      </c>
    </row>
    <row r="2214">
      <c r="A2214" s="59" t="n">
        <v>46148</v>
      </c>
      <c r="B2214" s="3" t="n">
        <v>2026</v>
      </c>
      <c r="C2214" s="21" t="inlineStr">
        <is>
          <t>Continuum</t>
        </is>
      </c>
      <c r="D2214" s="3" t="inlineStr">
        <is>
          <t>Utility and C&amp;I</t>
        </is>
      </c>
      <c r="E2214" s="3" t="n"/>
      <c r="F2214" s="3" t="inlineStr">
        <is>
          <t>Closed</t>
        </is>
      </c>
      <c r="G2214" s="21" t="inlineStr">
        <is>
          <t>Amiya Ranjan Behera</t>
        </is>
      </c>
      <c r="H2214" s="21" t="n">
        <v>8917436223</v>
      </c>
      <c r="I2214" s="38" t="inlineStr">
        <is>
          <t>PE06052602</t>
        </is>
      </c>
      <c r="J2214" s="21" t="inlineStr">
        <is>
          <t>Diode Bypass Module Issue</t>
        </is>
      </c>
      <c r="K2214" s="21" t="inlineStr">
        <is>
          <t>Bhavnagar</t>
        </is>
      </c>
      <c r="L2214" s="21" t="inlineStr">
        <is>
          <t>Gujarat</t>
        </is>
      </c>
      <c r="M2214" s="9" t="inlineStr">
        <is>
          <t>PS</t>
        </is>
      </c>
      <c r="N2214" s="3" t="inlineStr">
        <is>
          <t>Cold Soldering</t>
        </is>
      </c>
      <c r="O2214" s="62" t="n">
        <v>540</v>
      </c>
      <c r="P2214" s="9" t="inlineStr">
        <is>
          <t>NSMP2305189423</t>
        </is>
      </c>
      <c r="Q2214" s="53">
        <f>MID(P2214,5,2)</f>
        <v/>
      </c>
      <c r="R2214" s="53">
        <f>MID(P2214,7,2)</f>
        <v/>
      </c>
      <c r="S2214" s="3" t="inlineStr">
        <is>
          <t>G2B</t>
        </is>
      </c>
      <c r="T2214" s="3" t="inlineStr">
        <is>
          <t>P2</t>
        </is>
      </c>
      <c r="U2214" s="3" t="inlineStr">
        <is>
          <t>P JB Cold Soldering</t>
        </is>
      </c>
      <c r="V2214" s="3" t="inlineStr">
        <is>
          <t>Soldering</t>
        </is>
      </c>
      <c r="W2214" s="3" t="inlineStr">
        <is>
          <t>Repair</t>
        </is>
      </c>
      <c r="X2214" s="18" t="n">
        <v>46169</v>
      </c>
      <c r="Y2214" s="73">
        <f>IF(X2214="","",X2214-A2214)</f>
        <v/>
      </c>
      <c r="Z2214" s="18" t="n">
        <v>46169</v>
      </c>
      <c r="AA2214" s="15" t="n"/>
      <c r="AB2214" s="15" t="n"/>
      <c r="AF2214">
        <f>IF(AND($F2214="Closed",$X2214&gt;=DATE(2026,5,1),$X2214&lt;=DATE(2026,5,31)),"Closed in May","Other")</f>
        <v/>
      </c>
    </row>
    <row r="2215">
      <c r="A2215" s="59" t="n">
        <v>46148</v>
      </c>
      <c r="B2215" s="3" t="n">
        <v>2026</v>
      </c>
      <c r="C2215" s="21" t="inlineStr">
        <is>
          <t>Continuum</t>
        </is>
      </c>
      <c r="D2215" s="3" t="inlineStr">
        <is>
          <t>Utility and C&amp;I</t>
        </is>
      </c>
      <c r="E2215" s="3" t="n"/>
      <c r="F2215" s="3" t="inlineStr">
        <is>
          <t>Closed</t>
        </is>
      </c>
      <c r="G2215" s="21" t="inlineStr">
        <is>
          <t>Amiya Ranjan Behera</t>
        </is>
      </c>
      <c r="H2215" s="21" t="n">
        <v>8917436223</v>
      </c>
      <c r="I2215" s="38" t="inlineStr">
        <is>
          <t>PE06052602</t>
        </is>
      </c>
      <c r="J2215" s="21" t="inlineStr">
        <is>
          <t>Diode Bypass Module Issue</t>
        </is>
      </c>
      <c r="K2215" s="21" t="inlineStr">
        <is>
          <t>Bhavnagar</t>
        </is>
      </c>
      <c r="L2215" s="21" t="inlineStr">
        <is>
          <t>Gujarat</t>
        </is>
      </c>
      <c r="M2215" s="9" t="inlineStr">
        <is>
          <t>PS</t>
        </is>
      </c>
      <c r="N2215" s="3" t="inlineStr">
        <is>
          <t>Cold Soldering</t>
        </is>
      </c>
      <c r="O2215" s="62" t="n">
        <v>540</v>
      </c>
      <c r="P2215" s="9" t="inlineStr">
        <is>
          <t>NSMP2305132137</t>
        </is>
      </c>
      <c r="Q2215" s="53">
        <f>MID(P2215,5,2)</f>
        <v/>
      </c>
      <c r="R2215" s="53">
        <f>MID(P2215,7,2)</f>
        <v/>
      </c>
      <c r="S2215" s="3" t="inlineStr">
        <is>
          <t>G2B</t>
        </is>
      </c>
      <c r="T2215" s="3" t="inlineStr">
        <is>
          <t>P2</t>
        </is>
      </c>
      <c r="U2215" s="3" t="inlineStr">
        <is>
          <t>P JB Cold Soldering</t>
        </is>
      </c>
      <c r="V2215" s="3" t="inlineStr">
        <is>
          <t>Soldering</t>
        </is>
      </c>
      <c r="W2215" s="3" t="inlineStr">
        <is>
          <t>Repair</t>
        </is>
      </c>
      <c r="X2215" s="18" t="n">
        <v>46169</v>
      </c>
      <c r="Y2215" s="73">
        <f>IF(X2215="","",X2215-A2215)</f>
        <v/>
      </c>
      <c r="Z2215" s="18" t="n">
        <v>46169</v>
      </c>
      <c r="AA2215" s="15" t="n"/>
      <c r="AB2215" s="15" t="n"/>
      <c r="AF2215">
        <f>IF(AND($F2215="Closed",$X2215&gt;=DATE(2026,5,1),$X2215&lt;=DATE(2026,5,31)),"Closed in May","Other")</f>
        <v/>
      </c>
    </row>
    <row r="2216">
      <c r="A2216" s="59" t="n">
        <v>46148</v>
      </c>
      <c r="B2216" s="3" t="n">
        <v>2026</v>
      </c>
      <c r="C2216" s="21" t="inlineStr">
        <is>
          <t>Continuum</t>
        </is>
      </c>
      <c r="D2216" s="3" t="inlineStr">
        <is>
          <t>Utility and C&amp;I</t>
        </is>
      </c>
      <c r="E2216" s="3" t="n"/>
      <c r="F2216" s="3" t="inlineStr">
        <is>
          <t>Closed</t>
        </is>
      </c>
      <c r="G2216" s="21" t="inlineStr">
        <is>
          <t>Amiya Ranjan Behera</t>
        </is>
      </c>
      <c r="H2216" s="21" t="n">
        <v>8917436223</v>
      </c>
      <c r="I2216" s="38" t="inlineStr">
        <is>
          <t>PE06052602</t>
        </is>
      </c>
      <c r="J2216" s="21" t="inlineStr">
        <is>
          <t>Diode Bypass Module Issue</t>
        </is>
      </c>
      <c r="K2216" s="21" t="inlineStr">
        <is>
          <t>Bhavnagar</t>
        </is>
      </c>
      <c r="L2216" s="21" t="inlineStr">
        <is>
          <t>Gujarat</t>
        </is>
      </c>
      <c r="M2216" s="9" t="inlineStr">
        <is>
          <t>PS</t>
        </is>
      </c>
      <c r="N2216" s="3" t="inlineStr">
        <is>
          <t>Cold Soldering</t>
        </is>
      </c>
      <c r="O2216" s="62" t="n">
        <v>540</v>
      </c>
      <c r="P2216" s="9" t="inlineStr">
        <is>
          <t>NSMP2305189564</t>
        </is>
      </c>
      <c r="Q2216" s="53">
        <f>MID(P2216,5,2)</f>
        <v/>
      </c>
      <c r="R2216" s="53">
        <f>MID(P2216,7,2)</f>
        <v/>
      </c>
      <c r="S2216" s="3" t="inlineStr">
        <is>
          <t>G2B</t>
        </is>
      </c>
      <c r="T2216" s="3" t="inlineStr">
        <is>
          <t>P2</t>
        </is>
      </c>
      <c r="U2216" s="3" t="inlineStr">
        <is>
          <t>P JB Cold Soldering</t>
        </is>
      </c>
      <c r="V2216" s="3" t="inlineStr">
        <is>
          <t>Soldering</t>
        </is>
      </c>
      <c r="W2216" s="3" t="inlineStr">
        <is>
          <t>Repair</t>
        </is>
      </c>
      <c r="X2216" s="18" t="n">
        <v>46169</v>
      </c>
      <c r="Y2216" s="73">
        <f>IF(X2216="","",X2216-A2216)</f>
        <v/>
      </c>
      <c r="Z2216" s="18" t="n">
        <v>46169</v>
      </c>
      <c r="AA2216" s="15" t="n"/>
      <c r="AB2216" s="15" t="n"/>
      <c r="AF2216">
        <f>IF(AND($F2216="Closed",$X2216&gt;=DATE(2026,5,1),$X2216&lt;=DATE(2026,5,31)),"Closed in May","Other")</f>
        <v/>
      </c>
    </row>
    <row r="2217">
      <c r="A2217" s="59" t="n">
        <v>46148</v>
      </c>
      <c r="B2217" s="3" t="n">
        <v>2026</v>
      </c>
      <c r="C2217" s="21" t="inlineStr">
        <is>
          <t>Continuum</t>
        </is>
      </c>
      <c r="D2217" s="3" t="inlineStr">
        <is>
          <t>Utility and C&amp;I</t>
        </is>
      </c>
      <c r="E2217" s="3" t="n"/>
      <c r="F2217" s="3" t="inlineStr">
        <is>
          <t>Closed</t>
        </is>
      </c>
      <c r="G2217" s="21" t="inlineStr">
        <is>
          <t>Amiya Ranjan Behera</t>
        </is>
      </c>
      <c r="H2217" s="21" t="n">
        <v>8917436223</v>
      </c>
      <c r="I2217" s="38" t="inlineStr">
        <is>
          <t>PE06052602</t>
        </is>
      </c>
      <c r="J2217" s="21" t="inlineStr">
        <is>
          <t>Diode Bypass Module Issue</t>
        </is>
      </c>
      <c r="K2217" s="21" t="inlineStr">
        <is>
          <t>Bhavnagar</t>
        </is>
      </c>
      <c r="L2217" s="21" t="inlineStr">
        <is>
          <t>Gujarat</t>
        </is>
      </c>
      <c r="M2217" s="9" t="inlineStr">
        <is>
          <t>PS</t>
        </is>
      </c>
      <c r="N2217" s="3" t="inlineStr">
        <is>
          <t>Cold Soldering</t>
        </is>
      </c>
      <c r="O2217" s="62" t="n">
        <v>540</v>
      </c>
      <c r="P2217" s="9" t="inlineStr">
        <is>
          <t>NSMP2305132208</t>
        </is>
      </c>
      <c r="Q2217" s="53">
        <f>MID(P2217,5,2)</f>
        <v/>
      </c>
      <c r="R2217" s="53">
        <f>MID(P2217,7,2)</f>
        <v/>
      </c>
      <c r="S2217" s="3" t="inlineStr">
        <is>
          <t>G2B</t>
        </is>
      </c>
      <c r="T2217" s="3" t="inlineStr">
        <is>
          <t>P2</t>
        </is>
      </c>
      <c r="U2217" s="3" t="inlineStr">
        <is>
          <t>P JB Cold Soldering</t>
        </is>
      </c>
      <c r="V2217" s="3" t="inlineStr">
        <is>
          <t>Soldering</t>
        </is>
      </c>
      <c r="W2217" s="3" t="inlineStr">
        <is>
          <t>Repair</t>
        </is>
      </c>
      <c r="X2217" s="18" t="n">
        <v>46169</v>
      </c>
      <c r="Y2217" s="73">
        <f>IF(X2217="","",X2217-A2217)</f>
        <v/>
      </c>
      <c r="Z2217" s="18" t="n">
        <v>46169</v>
      </c>
      <c r="AA2217" s="15" t="n"/>
      <c r="AB2217" s="15" t="n"/>
      <c r="AF2217">
        <f>IF(AND($F2217="Closed",$X2217&gt;=DATE(2026,5,1),$X2217&lt;=DATE(2026,5,31)),"Closed in May","Other")</f>
        <v/>
      </c>
    </row>
    <row r="2218">
      <c r="A2218" s="59" t="n">
        <v>46148</v>
      </c>
      <c r="B2218" s="3" t="n">
        <v>2026</v>
      </c>
      <c r="C2218" s="21" t="inlineStr">
        <is>
          <t>Continuum</t>
        </is>
      </c>
      <c r="D2218" s="3" t="inlineStr">
        <is>
          <t>Utility and C&amp;I</t>
        </is>
      </c>
      <c r="E2218" s="3" t="n"/>
      <c r="F2218" s="3" t="inlineStr">
        <is>
          <t>Closed</t>
        </is>
      </c>
      <c r="G2218" s="21" t="inlineStr">
        <is>
          <t>Amiya Ranjan Behera</t>
        </is>
      </c>
      <c r="H2218" s="21" t="n">
        <v>8917436223</v>
      </c>
      <c r="I2218" s="38" t="inlineStr">
        <is>
          <t>PE06052602</t>
        </is>
      </c>
      <c r="J2218" s="21" t="inlineStr">
        <is>
          <t>Diode Bypass Module Issue</t>
        </is>
      </c>
      <c r="K2218" s="21" t="inlineStr">
        <is>
          <t>Bhavnagar</t>
        </is>
      </c>
      <c r="L2218" s="21" t="inlineStr">
        <is>
          <t>Gujarat</t>
        </is>
      </c>
      <c r="M2218" s="9" t="inlineStr">
        <is>
          <t>PS</t>
        </is>
      </c>
      <c r="N2218" s="3" t="inlineStr">
        <is>
          <t>Cold Soldering</t>
        </is>
      </c>
      <c r="O2218" s="62" t="n">
        <v>540</v>
      </c>
      <c r="P2218" s="9" t="inlineStr">
        <is>
          <t>NSMP2305132210</t>
        </is>
      </c>
      <c r="Q2218" s="53">
        <f>MID(P2218,5,2)</f>
        <v/>
      </c>
      <c r="R2218" s="53">
        <f>MID(P2218,7,2)</f>
        <v/>
      </c>
      <c r="S2218" s="3" t="inlineStr">
        <is>
          <t>G2B</t>
        </is>
      </c>
      <c r="T2218" s="3" t="inlineStr">
        <is>
          <t>P2</t>
        </is>
      </c>
      <c r="U2218" s="3" t="inlineStr">
        <is>
          <t>P JB Cold Soldering</t>
        </is>
      </c>
      <c r="V2218" s="3" t="inlineStr">
        <is>
          <t>Soldering</t>
        </is>
      </c>
      <c r="W2218" s="3" t="inlineStr">
        <is>
          <t>Repair</t>
        </is>
      </c>
      <c r="X2218" s="18" t="n">
        <v>46169</v>
      </c>
      <c r="Y2218" s="73">
        <f>IF(X2218="","",X2218-A2218)</f>
        <v/>
      </c>
      <c r="Z2218" s="18" t="n">
        <v>46169</v>
      </c>
      <c r="AA2218" s="15" t="n"/>
      <c r="AB2218" s="15" t="n"/>
      <c r="AF2218">
        <f>IF(AND($F2218="Closed",$X2218&gt;=DATE(2026,5,1),$X2218&lt;=DATE(2026,5,31)),"Closed in May","Other")</f>
        <v/>
      </c>
    </row>
    <row r="2219">
      <c r="A2219" s="59" t="n">
        <v>46148</v>
      </c>
      <c r="B2219" s="3" t="n">
        <v>2026</v>
      </c>
      <c r="C2219" s="21" t="inlineStr">
        <is>
          <t>Continuum</t>
        </is>
      </c>
      <c r="D2219" s="3" t="inlineStr">
        <is>
          <t>Utility and C&amp;I</t>
        </is>
      </c>
      <c r="E2219" s="3" t="n"/>
      <c r="F2219" s="3" t="inlineStr">
        <is>
          <t>Closed</t>
        </is>
      </c>
      <c r="G2219" s="21" t="inlineStr">
        <is>
          <t>Amiya Ranjan Behera</t>
        </is>
      </c>
      <c r="H2219" s="21" t="n">
        <v>8917436223</v>
      </c>
      <c r="I2219" s="38" t="inlineStr">
        <is>
          <t>PE06052602</t>
        </is>
      </c>
      <c r="J2219" s="21" t="inlineStr">
        <is>
          <t>Diode Bypass Module Issue</t>
        </is>
      </c>
      <c r="K2219" s="21" t="inlineStr">
        <is>
          <t>Bhavnagar</t>
        </is>
      </c>
      <c r="L2219" s="21" t="inlineStr">
        <is>
          <t>Gujarat</t>
        </is>
      </c>
      <c r="M2219" s="9" t="inlineStr">
        <is>
          <t>PS</t>
        </is>
      </c>
      <c r="N2219" s="3" t="inlineStr">
        <is>
          <t>Cold Soldering</t>
        </is>
      </c>
      <c r="O2219" s="62" t="n">
        <v>540</v>
      </c>
      <c r="P2219" s="9" t="inlineStr">
        <is>
          <t>NSMP2305132204</t>
        </is>
      </c>
      <c r="Q2219" s="53">
        <f>MID(P2219,5,2)</f>
        <v/>
      </c>
      <c r="R2219" s="53">
        <f>MID(P2219,7,2)</f>
        <v/>
      </c>
      <c r="S2219" s="3" t="inlineStr">
        <is>
          <t>G2B</t>
        </is>
      </c>
      <c r="T2219" s="3" t="inlineStr">
        <is>
          <t>P2</t>
        </is>
      </c>
      <c r="U2219" s="3" t="inlineStr">
        <is>
          <t>P JB Cold Soldering</t>
        </is>
      </c>
      <c r="V2219" s="3" t="inlineStr">
        <is>
          <t>Soldering</t>
        </is>
      </c>
      <c r="W2219" s="3" t="inlineStr">
        <is>
          <t>Repair</t>
        </is>
      </c>
      <c r="X2219" s="18" t="n">
        <v>46169</v>
      </c>
      <c r="Y2219" s="73">
        <f>IF(X2219="","",X2219-A2219)</f>
        <v/>
      </c>
      <c r="Z2219" s="18" t="n">
        <v>46169</v>
      </c>
      <c r="AA2219" s="15" t="n"/>
      <c r="AB2219" s="15" t="n"/>
      <c r="AF2219">
        <f>IF(AND($F2219="Closed",$X2219&gt;=DATE(2026,5,1),$X2219&lt;=DATE(2026,5,31)),"Closed in May","Other")</f>
        <v/>
      </c>
    </row>
    <row r="2220">
      <c r="A2220" s="59" t="n">
        <v>46148</v>
      </c>
      <c r="B2220" s="3" t="n">
        <v>2026</v>
      </c>
      <c r="C2220" s="21" t="inlineStr">
        <is>
          <t>Continuum</t>
        </is>
      </c>
      <c r="D2220" s="3" t="inlineStr">
        <is>
          <t>Utility and C&amp;I</t>
        </is>
      </c>
      <c r="E2220" s="3" t="n"/>
      <c r="F2220" s="3" t="inlineStr">
        <is>
          <t>Closed</t>
        </is>
      </c>
      <c r="G2220" s="21" t="inlineStr">
        <is>
          <t>Amiya Ranjan Behera</t>
        </is>
      </c>
      <c r="H2220" s="21" t="n">
        <v>8917436223</v>
      </c>
      <c r="I2220" s="38" t="inlineStr">
        <is>
          <t>PE06052602</t>
        </is>
      </c>
      <c r="J2220" s="21" t="inlineStr">
        <is>
          <t>Diode Bypass Module Issue</t>
        </is>
      </c>
      <c r="K2220" s="21" t="inlineStr">
        <is>
          <t>Bhavnagar</t>
        </is>
      </c>
      <c r="L2220" s="21" t="inlineStr">
        <is>
          <t>Gujarat</t>
        </is>
      </c>
      <c r="M2220" s="9" t="inlineStr">
        <is>
          <t>PS</t>
        </is>
      </c>
      <c r="N2220" s="3" t="inlineStr">
        <is>
          <t>Cold Soldering</t>
        </is>
      </c>
      <c r="O2220" s="62" t="n">
        <v>540</v>
      </c>
      <c r="P2220" s="9" t="inlineStr">
        <is>
          <t>NSMP2305132199</t>
        </is>
      </c>
      <c r="Q2220" s="53">
        <f>MID(P2220,5,2)</f>
        <v/>
      </c>
      <c r="R2220" s="53">
        <f>MID(P2220,7,2)</f>
        <v/>
      </c>
      <c r="S2220" s="3" t="inlineStr">
        <is>
          <t>G2B</t>
        </is>
      </c>
      <c r="T2220" s="3" t="inlineStr">
        <is>
          <t>P2</t>
        </is>
      </c>
      <c r="U2220" s="3" t="inlineStr">
        <is>
          <t>P JB Cold Soldering</t>
        </is>
      </c>
      <c r="V2220" s="3" t="inlineStr">
        <is>
          <t>Soldering</t>
        </is>
      </c>
      <c r="W2220" s="3" t="inlineStr">
        <is>
          <t>Repair</t>
        </is>
      </c>
      <c r="X2220" s="18" t="n">
        <v>46169</v>
      </c>
      <c r="Y2220" s="73">
        <f>IF(X2220="","",X2220-A2220)</f>
        <v/>
      </c>
      <c r="Z2220" s="18" t="n">
        <v>46169</v>
      </c>
      <c r="AA2220" s="15" t="n"/>
      <c r="AB2220" s="15" t="n"/>
      <c r="AF2220">
        <f>IF(AND($F2220="Closed",$X2220&gt;=DATE(2026,5,1),$X2220&lt;=DATE(2026,5,31)),"Closed in May","Other")</f>
        <v/>
      </c>
    </row>
    <row r="2221">
      <c r="A2221" s="59" t="n">
        <v>46148</v>
      </c>
      <c r="B2221" s="3" t="n">
        <v>2026</v>
      </c>
      <c r="C2221" s="21" t="inlineStr">
        <is>
          <t>Continuum</t>
        </is>
      </c>
      <c r="D2221" s="3" t="inlineStr">
        <is>
          <t>Utility and C&amp;I</t>
        </is>
      </c>
      <c r="E2221" s="3" t="n"/>
      <c r="F2221" s="3" t="inlineStr">
        <is>
          <t>Closed</t>
        </is>
      </c>
      <c r="G2221" s="21" t="inlineStr">
        <is>
          <t>Amiya Ranjan Behera</t>
        </is>
      </c>
      <c r="H2221" s="21" t="n">
        <v>8917436223</v>
      </c>
      <c r="I2221" s="38" t="inlineStr">
        <is>
          <t>PE06052602</t>
        </is>
      </c>
      <c r="J2221" s="21" t="inlineStr">
        <is>
          <t>Diode Bypass Module Issue</t>
        </is>
      </c>
      <c r="K2221" s="21" t="inlineStr">
        <is>
          <t>Bhavnagar</t>
        </is>
      </c>
      <c r="L2221" s="21" t="inlineStr">
        <is>
          <t>Gujarat</t>
        </is>
      </c>
      <c r="M2221" s="9" t="inlineStr">
        <is>
          <t>PS</t>
        </is>
      </c>
      <c r="N2221" s="3" t="inlineStr">
        <is>
          <t>Cold Soldering</t>
        </is>
      </c>
      <c r="O2221" s="62" t="n">
        <v>540</v>
      </c>
      <c r="P2221" s="9" t="inlineStr">
        <is>
          <t>NSMP2305189480</t>
        </is>
      </c>
      <c r="Q2221" s="53">
        <f>MID(P2221,5,2)</f>
        <v/>
      </c>
      <c r="R2221" s="53">
        <f>MID(P2221,7,2)</f>
        <v/>
      </c>
      <c r="S2221" s="3" t="inlineStr">
        <is>
          <t>G2B</t>
        </is>
      </c>
      <c r="T2221" s="3" t="inlineStr">
        <is>
          <t>P2</t>
        </is>
      </c>
      <c r="U2221" s="3" t="inlineStr">
        <is>
          <t>P JB Cold Soldering</t>
        </is>
      </c>
      <c r="V2221" s="3" t="inlineStr">
        <is>
          <t>Soldering</t>
        </is>
      </c>
      <c r="W2221" s="3" t="inlineStr">
        <is>
          <t>Repair</t>
        </is>
      </c>
      <c r="X2221" s="18" t="n">
        <v>46169</v>
      </c>
      <c r="Y2221" s="73">
        <f>IF(X2221="","",X2221-A2221)</f>
        <v/>
      </c>
      <c r="Z2221" s="18" t="n">
        <v>46169</v>
      </c>
      <c r="AA2221" s="15" t="n"/>
      <c r="AB2221" s="15" t="n"/>
      <c r="AF2221">
        <f>IF(AND($F2221="Closed",$X2221&gt;=DATE(2026,5,1),$X2221&lt;=DATE(2026,5,31)),"Closed in May","Other")</f>
        <v/>
      </c>
    </row>
    <row r="2222">
      <c r="A2222" s="59" t="n">
        <v>46148</v>
      </c>
      <c r="B2222" s="3" t="n">
        <v>2026</v>
      </c>
      <c r="C2222" s="21" t="inlineStr">
        <is>
          <t>Continuum</t>
        </is>
      </c>
      <c r="D2222" s="3" t="inlineStr">
        <is>
          <t>Utility and C&amp;I</t>
        </is>
      </c>
      <c r="E2222" s="3" t="n"/>
      <c r="F2222" s="3" t="inlineStr">
        <is>
          <t>Closed</t>
        </is>
      </c>
      <c r="G2222" s="21" t="inlineStr">
        <is>
          <t>Amiya Ranjan Behera</t>
        </is>
      </c>
      <c r="H2222" s="21" t="n">
        <v>8917436223</v>
      </c>
      <c r="I2222" s="38" t="inlineStr">
        <is>
          <t>PE06052602</t>
        </is>
      </c>
      <c r="J2222" s="21" t="inlineStr">
        <is>
          <t>Diode Bypass Module Issue</t>
        </is>
      </c>
      <c r="K2222" s="21" t="inlineStr">
        <is>
          <t>Bhavnagar</t>
        </is>
      </c>
      <c r="L2222" s="21" t="inlineStr">
        <is>
          <t>Gujarat</t>
        </is>
      </c>
      <c r="M2222" s="9" t="inlineStr">
        <is>
          <t>PS</t>
        </is>
      </c>
      <c r="N2222" s="3" t="inlineStr">
        <is>
          <t>Cold Soldering</t>
        </is>
      </c>
      <c r="O2222" s="62" t="n">
        <v>540</v>
      </c>
      <c r="P2222" s="9" t="inlineStr">
        <is>
          <t>NSMP2305132147</t>
        </is>
      </c>
      <c r="Q2222" s="53">
        <f>MID(P2222,5,2)</f>
        <v/>
      </c>
      <c r="R2222" s="53">
        <f>MID(P2222,7,2)</f>
        <v/>
      </c>
      <c r="S2222" s="3" t="inlineStr">
        <is>
          <t>G2B</t>
        </is>
      </c>
      <c r="T2222" s="3" t="inlineStr">
        <is>
          <t>P2</t>
        </is>
      </c>
      <c r="U2222" s="3" t="inlineStr">
        <is>
          <t>P JB Cold Soldering</t>
        </is>
      </c>
      <c r="V2222" s="3" t="inlineStr">
        <is>
          <t>Soldering</t>
        </is>
      </c>
      <c r="W2222" s="3" t="inlineStr">
        <is>
          <t>Repair</t>
        </is>
      </c>
      <c r="X2222" s="18" t="n">
        <v>46169</v>
      </c>
      <c r="Y2222" s="73">
        <f>IF(X2222="","",X2222-A2222)</f>
        <v/>
      </c>
      <c r="Z2222" s="18" t="n">
        <v>46169</v>
      </c>
      <c r="AA2222" s="15" t="n"/>
      <c r="AB2222" s="15" t="n"/>
      <c r="AF2222">
        <f>IF(AND($F2222="Closed",$X2222&gt;=DATE(2026,5,1),$X2222&lt;=DATE(2026,5,31)),"Closed in May","Other")</f>
        <v/>
      </c>
    </row>
    <row r="2223">
      <c r="A2223" s="59" t="n">
        <v>46148</v>
      </c>
      <c r="B2223" s="3" t="n">
        <v>2026</v>
      </c>
      <c r="C2223" s="21" t="inlineStr">
        <is>
          <t>Continuum</t>
        </is>
      </c>
      <c r="D2223" s="3" t="inlineStr">
        <is>
          <t>Utility and C&amp;I</t>
        </is>
      </c>
      <c r="E2223" s="3" t="n"/>
      <c r="F2223" s="3" t="inlineStr">
        <is>
          <t>Closed</t>
        </is>
      </c>
      <c r="G2223" s="21" t="inlineStr">
        <is>
          <t>Amiya Ranjan Behera</t>
        </is>
      </c>
      <c r="H2223" s="21" t="n">
        <v>8917436223</v>
      </c>
      <c r="I2223" s="38" t="inlineStr">
        <is>
          <t>PE06052602</t>
        </is>
      </c>
      <c r="J2223" s="21" t="inlineStr">
        <is>
          <t>Diode Bypass Module Issue</t>
        </is>
      </c>
      <c r="K2223" s="21" t="inlineStr">
        <is>
          <t>Bhavnagar</t>
        </is>
      </c>
      <c r="L2223" s="21" t="inlineStr">
        <is>
          <t>Gujarat</t>
        </is>
      </c>
      <c r="M2223" s="9" t="inlineStr">
        <is>
          <t>PS</t>
        </is>
      </c>
      <c r="N2223" s="3" t="inlineStr">
        <is>
          <t>Cold Soldering</t>
        </is>
      </c>
      <c r="O2223" s="62" t="n">
        <v>540</v>
      </c>
      <c r="P2223" s="9" t="inlineStr">
        <is>
          <t>NSMP2305189551</t>
        </is>
      </c>
      <c r="Q2223" s="53">
        <f>MID(P2223,5,2)</f>
        <v/>
      </c>
      <c r="R2223" s="53">
        <f>MID(P2223,7,2)</f>
        <v/>
      </c>
      <c r="S2223" s="3" t="inlineStr">
        <is>
          <t>G2B</t>
        </is>
      </c>
      <c r="T2223" s="3" t="inlineStr">
        <is>
          <t>P2</t>
        </is>
      </c>
      <c r="U2223" s="3" t="inlineStr">
        <is>
          <t>P JB Cold Soldering</t>
        </is>
      </c>
      <c r="V2223" s="3" t="inlineStr">
        <is>
          <t>Soldering</t>
        </is>
      </c>
      <c r="W2223" s="3" t="inlineStr">
        <is>
          <t>Repair</t>
        </is>
      </c>
      <c r="X2223" s="18" t="n">
        <v>46169</v>
      </c>
      <c r="Y2223" s="73">
        <f>IF(X2223="","",X2223-A2223)</f>
        <v/>
      </c>
      <c r="Z2223" s="18" t="n">
        <v>46169</v>
      </c>
      <c r="AA2223" s="15" t="n"/>
      <c r="AB2223" s="15" t="n"/>
      <c r="AF2223">
        <f>IF(AND($F2223="Closed",$X2223&gt;=DATE(2026,5,1),$X2223&lt;=DATE(2026,5,31)),"Closed in May","Other")</f>
        <v/>
      </c>
    </row>
    <row r="2224">
      <c r="A2224" s="59" t="n">
        <v>46148</v>
      </c>
      <c r="B2224" s="3" t="n">
        <v>2026</v>
      </c>
      <c r="C2224" s="21" t="inlineStr">
        <is>
          <t>Continuum</t>
        </is>
      </c>
      <c r="D2224" s="3" t="inlineStr">
        <is>
          <t>Utility and C&amp;I</t>
        </is>
      </c>
      <c r="E2224" s="3" t="n"/>
      <c r="F2224" s="3" t="inlineStr">
        <is>
          <t>Closed</t>
        </is>
      </c>
      <c r="G2224" s="21" t="inlineStr">
        <is>
          <t>Amiya Ranjan Behera</t>
        </is>
      </c>
      <c r="H2224" s="21" t="n">
        <v>8917436223</v>
      </c>
      <c r="I2224" s="38" t="inlineStr">
        <is>
          <t>PE06052602</t>
        </is>
      </c>
      <c r="J2224" s="21" t="inlineStr">
        <is>
          <t>Diode Bypass Module Issue</t>
        </is>
      </c>
      <c r="K2224" s="21" t="inlineStr">
        <is>
          <t>Bhavnagar</t>
        </is>
      </c>
      <c r="L2224" s="21" t="inlineStr">
        <is>
          <t>Gujarat</t>
        </is>
      </c>
      <c r="M2224" s="9" t="inlineStr">
        <is>
          <t>PS</t>
        </is>
      </c>
      <c r="N2224" s="3" t="inlineStr">
        <is>
          <t>Cold Soldering</t>
        </is>
      </c>
      <c r="O2224" s="62" t="n">
        <v>540</v>
      </c>
      <c r="P2224" s="9" t="inlineStr">
        <is>
          <t>NSMP2305189534</t>
        </is>
      </c>
      <c r="Q2224" s="53">
        <f>MID(P2224,5,2)</f>
        <v/>
      </c>
      <c r="R2224" s="53">
        <f>MID(P2224,7,2)</f>
        <v/>
      </c>
      <c r="S2224" s="3" t="inlineStr">
        <is>
          <t>G2B</t>
        </is>
      </c>
      <c r="T2224" s="3" t="inlineStr">
        <is>
          <t>P2</t>
        </is>
      </c>
      <c r="U2224" s="3" t="inlineStr">
        <is>
          <t>P JB Cold Soldering</t>
        </is>
      </c>
      <c r="V2224" s="3" t="inlineStr">
        <is>
          <t>Soldering</t>
        </is>
      </c>
      <c r="W2224" s="3" t="inlineStr">
        <is>
          <t>Repair</t>
        </is>
      </c>
      <c r="X2224" s="18" t="n">
        <v>46169</v>
      </c>
      <c r="Y2224" s="73">
        <f>IF(X2224="","",X2224-A2224)</f>
        <v/>
      </c>
      <c r="Z2224" s="18" t="n">
        <v>46169</v>
      </c>
      <c r="AA2224" s="15" t="n"/>
      <c r="AB2224" s="15" t="n"/>
      <c r="AF2224">
        <f>IF(AND($F2224="Closed",$X2224&gt;=DATE(2026,5,1),$X2224&lt;=DATE(2026,5,31)),"Closed in May","Other")</f>
        <v/>
      </c>
    </row>
    <row r="2225">
      <c r="A2225" s="59" t="n">
        <v>46148</v>
      </c>
      <c r="B2225" s="3" t="n">
        <v>2026</v>
      </c>
      <c r="C2225" s="21" t="inlineStr">
        <is>
          <t>Continuum</t>
        </is>
      </c>
      <c r="D2225" s="3" t="inlineStr">
        <is>
          <t>Utility and C&amp;I</t>
        </is>
      </c>
      <c r="E2225" s="3" t="n"/>
      <c r="F2225" s="3" t="inlineStr">
        <is>
          <t>Closed</t>
        </is>
      </c>
      <c r="G2225" s="21" t="inlineStr">
        <is>
          <t>Amiya Ranjan Behera</t>
        </is>
      </c>
      <c r="H2225" s="21" t="n">
        <v>8917436223</v>
      </c>
      <c r="I2225" s="38" t="inlineStr">
        <is>
          <t>PE06052602</t>
        </is>
      </c>
      <c r="J2225" s="21" t="inlineStr">
        <is>
          <t>Diode Bypass Module Issue</t>
        </is>
      </c>
      <c r="K2225" s="21" t="inlineStr">
        <is>
          <t>Bhavnagar</t>
        </is>
      </c>
      <c r="L2225" s="21" t="inlineStr">
        <is>
          <t>Gujarat</t>
        </is>
      </c>
      <c r="M2225" s="9" t="inlineStr">
        <is>
          <t>PS</t>
        </is>
      </c>
      <c r="N2225" s="3" t="inlineStr">
        <is>
          <t>Cold Soldering</t>
        </is>
      </c>
      <c r="O2225" s="62" t="n">
        <v>540</v>
      </c>
      <c r="P2225" s="9" t="inlineStr">
        <is>
          <t>NSMP2305189591</t>
        </is>
      </c>
      <c r="Q2225" s="53">
        <f>MID(P2225,5,2)</f>
        <v/>
      </c>
      <c r="R2225" s="53">
        <f>MID(P2225,7,2)</f>
        <v/>
      </c>
      <c r="S2225" s="3" t="inlineStr">
        <is>
          <t>G2B</t>
        </is>
      </c>
      <c r="T2225" s="3" t="inlineStr">
        <is>
          <t>P2</t>
        </is>
      </c>
      <c r="U2225" s="3" t="inlineStr">
        <is>
          <t>P JB Cold Soldering</t>
        </is>
      </c>
      <c r="V2225" s="3" t="inlineStr">
        <is>
          <t>Soldering</t>
        </is>
      </c>
      <c r="W2225" s="3" t="inlineStr">
        <is>
          <t>Repair</t>
        </is>
      </c>
      <c r="X2225" s="18" t="n">
        <v>46169</v>
      </c>
      <c r="Y2225" s="73">
        <f>IF(X2225="","",X2225-A2225)</f>
        <v/>
      </c>
      <c r="Z2225" s="18" t="n">
        <v>46169</v>
      </c>
      <c r="AA2225" s="15" t="n"/>
      <c r="AB2225" s="15" t="n"/>
      <c r="AF2225">
        <f>IF(AND($F2225="Closed",$X2225&gt;=DATE(2026,5,1),$X2225&lt;=DATE(2026,5,31)),"Closed in May","Other")</f>
        <v/>
      </c>
    </row>
    <row r="2226">
      <c r="A2226" s="59" t="n">
        <v>46148</v>
      </c>
      <c r="B2226" s="3" t="n">
        <v>2026</v>
      </c>
      <c r="C2226" s="21" t="inlineStr">
        <is>
          <t>Continuum</t>
        </is>
      </c>
      <c r="D2226" s="3" t="inlineStr">
        <is>
          <t>Utility and C&amp;I</t>
        </is>
      </c>
      <c r="E2226" s="3" t="n"/>
      <c r="F2226" s="3" t="inlineStr">
        <is>
          <t>Closed</t>
        </is>
      </c>
      <c r="G2226" s="21" t="inlineStr">
        <is>
          <t>Amiya Ranjan Behera</t>
        </is>
      </c>
      <c r="H2226" s="21" t="n">
        <v>8917436223</v>
      </c>
      <c r="I2226" s="38" t="inlineStr">
        <is>
          <t>PE06052602</t>
        </is>
      </c>
      <c r="J2226" s="21" t="inlineStr">
        <is>
          <t>Diode Bypass Module Issue</t>
        </is>
      </c>
      <c r="K2226" s="21" t="inlineStr">
        <is>
          <t>Bhavnagar</t>
        </is>
      </c>
      <c r="L2226" s="21" t="inlineStr">
        <is>
          <t>Gujarat</t>
        </is>
      </c>
      <c r="M2226" s="9" t="inlineStr">
        <is>
          <t>PS</t>
        </is>
      </c>
      <c r="N2226" s="3" t="inlineStr">
        <is>
          <t>Cold Soldering</t>
        </is>
      </c>
      <c r="O2226" s="62" t="n">
        <v>540</v>
      </c>
      <c r="P2226" s="9" t="inlineStr">
        <is>
          <t>NSMP2305189594</t>
        </is>
      </c>
      <c r="Q2226" s="53">
        <f>MID(P2226,5,2)</f>
        <v/>
      </c>
      <c r="R2226" s="53">
        <f>MID(P2226,7,2)</f>
        <v/>
      </c>
      <c r="S2226" s="3" t="inlineStr">
        <is>
          <t>G2B</t>
        </is>
      </c>
      <c r="T2226" s="3" t="inlineStr">
        <is>
          <t>P2</t>
        </is>
      </c>
      <c r="U2226" s="3" t="inlineStr">
        <is>
          <t>P JB Cold Soldering</t>
        </is>
      </c>
      <c r="V2226" s="3" t="inlineStr">
        <is>
          <t>Soldering</t>
        </is>
      </c>
      <c r="W2226" s="3" t="inlineStr">
        <is>
          <t>Repair</t>
        </is>
      </c>
      <c r="X2226" s="18" t="n">
        <v>46169</v>
      </c>
      <c r="Y2226" s="73">
        <f>IF(X2226="","",X2226-A2226)</f>
        <v/>
      </c>
      <c r="Z2226" s="18" t="n">
        <v>46169</v>
      </c>
      <c r="AA2226" s="15" t="n"/>
      <c r="AB2226" s="15" t="n"/>
      <c r="AF2226">
        <f>IF(AND($F2226="Closed",$X2226&gt;=DATE(2026,5,1),$X2226&lt;=DATE(2026,5,31)),"Closed in May","Other")</f>
        <v/>
      </c>
    </row>
    <row r="2227">
      <c r="A2227" s="59" t="n">
        <v>46148</v>
      </c>
      <c r="B2227" s="3" t="n">
        <v>2026</v>
      </c>
      <c r="C2227" s="21" t="inlineStr">
        <is>
          <t>Continuum</t>
        </is>
      </c>
      <c r="D2227" s="3" t="inlineStr">
        <is>
          <t>Utility and C&amp;I</t>
        </is>
      </c>
      <c r="E2227" s="3" t="n"/>
      <c r="F2227" s="3" t="inlineStr">
        <is>
          <t>Closed</t>
        </is>
      </c>
      <c r="G2227" s="21" t="inlineStr">
        <is>
          <t>Amiya Ranjan Behera</t>
        </is>
      </c>
      <c r="H2227" s="21" t="n">
        <v>8917436223</v>
      </c>
      <c r="I2227" s="38" t="inlineStr">
        <is>
          <t>PE06052602</t>
        </is>
      </c>
      <c r="J2227" s="21" t="inlineStr">
        <is>
          <t>Diode Bypass Module Issue</t>
        </is>
      </c>
      <c r="K2227" s="21" t="inlineStr">
        <is>
          <t>Bhavnagar</t>
        </is>
      </c>
      <c r="L2227" s="21" t="inlineStr">
        <is>
          <t>Gujarat</t>
        </is>
      </c>
      <c r="M2227" s="9" t="inlineStr">
        <is>
          <t>PS</t>
        </is>
      </c>
      <c r="N2227" s="3" t="inlineStr">
        <is>
          <t>Cold Soldering</t>
        </is>
      </c>
      <c r="O2227" s="62" t="n">
        <v>540</v>
      </c>
      <c r="P2227" s="9" t="inlineStr">
        <is>
          <t>NSMP2305129993</t>
        </is>
      </c>
      <c r="Q2227" s="53">
        <f>MID(P2227,5,2)</f>
        <v/>
      </c>
      <c r="R2227" s="53">
        <f>MID(P2227,7,2)</f>
        <v/>
      </c>
      <c r="S2227" s="3" t="inlineStr">
        <is>
          <t>G2B</t>
        </is>
      </c>
      <c r="T2227" s="3" t="inlineStr">
        <is>
          <t>P2</t>
        </is>
      </c>
      <c r="U2227" s="3" t="inlineStr">
        <is>
          <t>P JB Cold Soldering</t>
        </is>
      </c>
      <c r="V2227" s="3" t="inlineStr">
        <is>
          <t>Soldering</t>
        </is>
      </c>
      <c r="W2227" s="3" t="inlineStr">
        <is>
          <t>Repair</t>
        </is>
      </c>
      <c r="X2227" s="18" t="n">
        <v>46169</v>
      </c>
      <c r="Y2227" s="73">
        <f>IF(X2227="","",X2227-A2227)</f>
        <v/>
      </c>
      <c r="Z2227" s="18" t="n">
        <v>46169</v>
      </c>
      <c r="AA2227" s="15" t="n"/>
      <c r="AB2227" s="15" t="n"/>
      <c r="AF2227">
        <f>IF(AND($F2227="Closed",$X2227&gt;=DATE(2026,5,1),$X2227&lt;=DATE(2026,5,31)),"Closed in May","Other")</f>
        <v/>
      </c>
    </row>
    <row r="2228">
      <c r="A2228" s="59" t="n">
        <v>46148</v>
      </c>
      <c r="B2228" s="3" t="n">
        <v>2026</v>
      </c>
      <c r="C2228" s="21" t="inlineStr">
        <is>
          <t>Continuum</t>
        </is>
      </c>
      <c r="D2228" s="3" t="inlineStr">
        <is>
          <t>Utility and C&amp;I</t>
        </is>
      </c>
      <c r="E2228" s="3" t="n"/>
      <c r="F2228" s="3" t="inlineStr">
        <is>
          <t>Closed</t>
        </is>
      </c>
      <c r="G2228" s="21" t="inlineStr">
        <is>
          <t>Amiya Ranjan Behera</t>
        </is>
      </c>
      <c r="H2228" s="21" t="n">
        <v>8917436223</v>
      </c>
      <c r="I2228" s="38" t="inlineStr">
        <is>
          <t>PE06052602</t>
        </is>
      </c>
      <c r="J2228" s="21" t="inlineStr">
        <is>
          <t>Diode Bypass Module Issue</t>
        </is>
      </c>
      <c r="K2228" s="21" t="inlineStr">
        <is>
          <t>Bhavnagar</t>
        </is>
      </c>
      <c r="L2228" s="21" t="inlineStr">
        <is>
          <t>Gujarat</t>
        </is>
      </c>
      <c r="M2228" s="9" t="inlineStr">
        <is>
          <t>PS</t>
        </is>
      </c>
      <c r="N2228" s="3" t="inlineStr">
        <is>
          <t>Cold Soldering</t>
        </is>
      </c>
      <c r="O2228" s="62" t="n">
        <v>540</v>
      </c>
      <c r="P2228" s="9" t="inlineStr">
        <is>
          <t>NSMP2305129944</t>
        </is>
      </c>
      <c r="Q2228" s="53">
        <f>MID(P2228,5,2)</f>
        <v/>
      </c>
      <c r="R2228" s="53">
        <f>MID(P2228,7,2)</f>
        <v/>
      </c>
      <c r="S2228" s="3" t="inlineStr">
        <is>
          <t>G2B</t>
        </is>
      </c>
      <c r="T2228" s="3" t="inlineStr">
        <is>
          <t>P2</t>
        </is>
      </c>
      <c r="U2228" s="3" t="inlineStr">
        <is>
          <t>P JB Cold Soldering</t>
        </is>
      </c>
      <c r="V2228" s="3" t="inlineStr">
        <is>
          <t>Soldering</t>
        </is>
      </c>
      <c r="W2228" s="3" t="inlineStr">
        <is>
          <t>Repair</t>
        </is>
      </c>
      <c r="X2228" s="18" t="n">
        <v>46169</v>
      </c>
      <c r="Y2228" s="73">
        <f>IF(X2228="","",X2228-A2228)</f>
        <v/>
      </c>
      <c r="Z2228" s="18" t="n">
        <v>46169</v>
      </c>
      <c r="AA2228" s="15" t="n"/>
      <c r="AB2228" s="15" t="n"/>
      <c r="AF2228">
        <f>IF(AND($F2228="Closed",$X2228&gt;=DATE(2026,5,1),$X2228&lt;=DATE(2026,5,31)),"Closed in May","Other")</f>
        <v/>
      </c>
    </row>
    <row r="2229">
      <c r="A2229" s="59" t="n">
        <v>46148</v>
      </c>
      <c r="B2229" s="3" t="n">
        <v>2026</v>
      </c>
      <c r="C2229" s="21" t="inlineStr">
        <is>
          <t>Continuum</t>
        </is>
      </c>
      <c r="D2229" s="3" t="inlineStr">
        <is>
          <t>Utility and C&amp;I</t>
        </is>
      </c>
      <c r="E2229" s="3" t="n"/>
      <c r="F2229" s="3" t="inlineStr">
        <is>
          <t>Closed</t>
        </is>
      </c>
      <c r="G2229" s="21" t="inlineStr">
        <is>
          <t>Amiya Ranjan Behera</t>
        </is>
      </c>
      <c r="H2229" s="21" t="n">
        <v>8917436223</v>
      </c>
      <c r="I2229" s="38" t="inlineStr">
        <is>
          <t>PE06052602</t>
        </is>
      </c>
      <c r="J2229" s="21" t="inlineStr">
        <is>
          <t>Diode Bypass Module Issue</t>
        </is>
      </c>
      <c r="K2229" s="21" t="inlineStr">
        <is>
          <t>Bhavnagar</t>
        </is>
      </c>
      <c r="L2229" s="21" t="inlineStr">
        <is>
          <t>Gujarat</t>
        </is>
      </c>
      <c r="M2229" s="9" t="inlineStr">
        <is>
          <t>PR</t>
        </is>
      </c>
      <c r="N2229" s="3" t="inlineStr">
        <is>
          <t>JB Issue</t>
        </is>
      </c>
      <c r="O2229" s="62" t="n">
        <v>540</v>
      </c>
      <c r="P2229" s="9" t="inlineStr">
        <is>
          <t>NSMP2305129890</t>
        </is>
      </c>
      <c r="Q2229" s="53">
        <f>MID(P2229,5,2)</f>
        <v/>
      </c>
      <c r="R2229" s="53">
        <f>MID(P2229,7,2)</f>
        <v/>
      </c>
      <c r="S2229" s="3" t="inlineStr">
        <is>
          <t>G2B</t>
        </is>
      </c>
      <c r="T2229" s="3" t="inlineStr">
        <is>
          <t>P2</t>
        </is>
      </c>
      <c r="U2229" s="3" t="inlineStr">
        <is>
          <t>P JB Issue</t>
        </is>
      </c>
      <c r="V2229" s="15" t="inlineStr">
        <is>
          <t>JB Changed</t>
        </is>
      </c>
      <c r="W2229" s="3" t="inlineStr">
        <is>
          <t>Repair</t>
        </is>
      </c>
      <c r="X2229" s="18" t="n">
        <v>46169</v>
      </c>
      <c r="Y2229" s="73">
        <f>IF(X2229="","",X2229-A2229)</f>
        <v/>
      </c>
      <c r="Z2229" s="18" t="n">
        <v>46169</v>
      </c>
      <c r="AA2229" s="15" t="n"/>
      <c r="AB2229" s="15" t="n"/>
      <c r="AF2229">
        <f>IF(AND($F2229="Closed",$X2229&gt;=DATE(2026,5,1),$X2229&lt;=DATE(2026,5,31)),"Closed in May","Other")</f>
        <v/>
      </c>
    </row>
    <row r="2230">
      <c r="A2230" s="59" t="n">
        <v>46148</v>
      </c>
      <c r="B2230" s="3" t="n">
        <v>2026</v>
      </c>
      <c r="C2230" s="21" t="inlineStr">
        <is>
          <t>Continuum</t>
        </is>
      </c>
      <c r="D2230" s="3" t="inlineStr">
        <is>
          <t>Utility and C&amp;I</t>
        </is>
      </c>
      <c r="E2230" s="3" t="n"/>
      <c r="F2230" s="3" t="inlineStr">
        <is>
          <t>Closed</t>
        </is>
      </c>
      <c r="G2230" s="21" t="inlineStr">
        <is>
          <t>Amiya Ranjan Behera</t>
        </is>
      </c>
      <c r="H2230" s="21" t="n">
        <v>8917436223</v>
      </c>
      <c r="I2230" s="38" t="inlineStr">
        <is>
          <t>PE06052602</t>
        </is>
      </c>
      <c r="J2230" s="21" t="inlineStr">
        <is>
          <t>Diode Bypass Module Issue</t>
        </is>
      </c>
      <c r="K2230" s="21" t="inlineStr">
        <is>
          <t>Bhavnagar</t>
        </is>
      </c>
      <c r="L2230" s="21" t="inlineStr">
        <is>
          <t>Gujarat</t>
        </is>
      </c>
      <c r="M2230" s="9" t="inlineStr">
        <is>
          <t>PNR</t>
        </is>
      </c>
      <c r="N2230" s="19" t="inlineStr">
        <is>
          <t>JB Issue</t>
        </is>
      </c>
      <c r="O2230" s="62" t="n">
        <v>540</v>
      </c>
      <c r="P2230" s="9" t="inlineStr">
        <is>
          <t>NSMP2305126703</t>
        </is>
      </c>
      <c r="Q2230" s="53">
        <f>MID(P2230,5,2)</f>
        <v/>
      </c>
      <c r="R2230" s="53">
        <f>MID(P2230,7,2)</f>
        <v/>
      </c>
      <c r="S2230" s="3" t="inlineStr">
        <is>
          <t>G2B</t>
        </is>
      </c>
      <c r="T2230" s="3" t="inlineStr">
        <is>
          <t>P2</t>
        </is>
      </c>
      <c r="U2230" s="19" t="inlineStr">
        <is>
          <t>P &amp; N JB Issue</t>
        </is>
      </c>
      <c r="V2230" s="19" t="inlineStr">
        <is>
          <t>JB Changed</t>
        </is>
      </c>
      <c r="W2230" s="3" t="inlineStr">
        <is>
          <t>Repair</t>
        </is>
      </c>
      <c r="X2230" s="18" t="n">
        <v>46169</v>
      </c>
      <c r="Y2230" s="73">
        <f>IF(X2230="","",X2230-A2230)</f>
        <v/>
      </c>
      <c r="Z2230" s="18" t="n">
        <v>46169</v>
      </c>
      <c r="AA2230" s="15" t="n"/>
      <c r="AB2230" s="15" t="n"/>
      <c r="AF2230">
        <f>IF(AND($F2230="Closed",$X2230&gt;=DATE(2026,5,1),$X2230&lt;=DATE(2026,5,31)),"Closed in May","Other")</f>
        <v/>
      </c>
    </row>
    <row r="2231">
      <c r="A2231" s="59" t="n">
        <v>46148</v>
      </c>
      <c r="B2231" s="3" t="n">
        <v>2026</v>
      </c>
      <c r="C2231" s="21" t="inlineStr">
        <is>
          <t>Continuum</t>
        </is>
      </c>
      <c r="D2231" s="3" t="inlineStr">
        <is>
          <t>Utility and C&amp;I</t>
        </is>
      </c>
      <c r="E2231" s="3" t="n"/>
      <c r="F2231" s="3" t="inlineStr">
        <is>
          <t>Closed</t>
        </is>
      </c>
      <c r="G2231" s="21" t="inlineStr">
        <is>
          <t>Amiya Ranjan Behera</t>
        </is>
      </c>
      <c r="H2231" s="21" t="n">
        <v>8917436223</v>
      </c>
      <c r="I2231" s="38" t="inlineStr">
        <is>
          <t>PE06052602</t>
        </is>
      </c>
      <c r="J2231" s="21" t="inlineStr">
        <is>
          <t>Diode Bypass Module Issue</t>
        </is>
      </c>
      <c r="K2231" s="21" t="inlineStr">
        <is>
          <t>Bhavnagar</t>
        </is>
      </c>
      <c r="L2231" s="21" t="inlineStr">
        <is>
          <t>Gujarat</t>
        </is>
      </c>
      <c r="M2231" s="9" t="inlineStr">
        <is>
          <t>OK</t>
        </is>
      </c>
      <c r="N2231" s="3" t="inlineStr">
        <is>
          <t>No Issue</t>
        </is>
      </c>
      <c r="O2231" s="62" t="n">
        <v>540</v>
      </c>
      <c r="P2231" s="9" t="inlineStr">
        <is>
          <t>NSMP2305123358</t>
        </is>
      </c>
      <c r="Q2231" s="53">
        <f>MID(P2231,5,2)</f>
        <v/>
      </c>
      <c r="R2231" s="53">
        <f>MID(P2231,7,2)</f>
        <v/>
      </c>
      <c r="S2231" s="3" t="inlineStr">
        <is>
          <t>G2B</t>
        </is>
      </c>
      <c r="T2231" s="3" t="inlineStr">
        <is>
          <t>P2</t>
        </is>
      </c>
      <c r="U2231" s="19" t="inlineStr">
        <is>
          <t>No Issue Found</t>
        </is>
      </c>
      <c r="V2231" s="19" t="inlineStr">
        <is>
          <t>Found OK</t>
        </is>
      </c>
      <c r="W2231" s="3" t="inlineStr">
        <is>
          <t>Repair</t>
        </is>
      </c>
      <c r="X2231" s="18" t="n">
        <v>46169</v>
      </c>
      <c r="Y2231" s="73">
        <f>IF(X2231="","",X2231-A2231)</f>
        <v/>
      </c>
      <c r="Z2231" s="18" t="n">
        <v>46169</v>
      </c>
      <c r="AA2231" s="15" t="n"/>
      <c r="AB2231" s="15" t="n"/>
      <c r="AF2231">
        <f>IF(AND($F2231="Closed",$X2231&gt;=DATE(2026,5,1),$X2231&lt;=DATE(2026,5,31)),"Closed in May","Other")</f>
        <v/>
      </c>
    </row>
    <row r="2232">
      <c r="A2232" s="59" t="n">
        <v>46148</v>
      </c>
      <c r="B2232" s="3" t="n">
        <v>2026</v>
      </c>
      <c r="C2232" s="21" t="inlineStr">
        <is>
          <t>Continuum</t>
        </is>
      </c>
      <c r="D2232" s="3" t="inlineStr">
        <is>
          <t>Utility and C&amp;I</t>
        </is>
      </c>
      <c r="E2232" s="3" t="n"/>
      <c r="F2232" s="3" t="inlineStr">
        <is>
          <t>Closed</t>
        </is>
      </c>
      <c r="G2232" s="21" t="inlineStr">
        <is>
          <t>Amiya Ranjan Behera</t>
        </is>
      </c>
      <c r="H2232" s="21" t="n">
        <v>8917436223</v>
      </c>
      <c r="I2232" s="38" t="inlineStr">
        <is>
          <t>PE06052602</t>
        </is>
      </c>
      <c r="J2232" s="21" t="inlineStr">
        <is>
          <t>Diode Bypass Module Issue</t>
        </is>
      </c>
      <c r="K2232" s="21" t="inlineStr">
        <is>
          <t>Bhavnagar</t>
        </is>
      </c>
      <c r="L2232" s="21" t="inlineStr">
        <is>
          <t>Gujarat</t>
        </is>
      </c>
      <c r="M2232" s="9" t="inlineStr">
        <is>
          <t>OK</t>
        </is>
      </c>
      <c r="N2232" s="3" t="inlineStr">
        <is>
          <t>No Issue</t>
        </is>
      </c>
      <c r="O2232" s="62" t="n">
        <v>540</v>
      </c>
      <c r="P2232" s="9" t="inlineStr">
        <is>
          <t>NSMP2305123414</t>
        </is>
      </c>
      <c r="Q2232" s="53">
        <f>MID(P2232,5,2)</f>
        <v/>
      </c>
      <c r="R2232" s="53">
        <f>MID(P2232,7,2)</f>
        <v/>
      </c>
      <c r="S2232" s="3" t="inlineStr">
        <is>
          <t>G2B</t>
        </is>
      </c>
      <c r="T2232" s="3" t="inlineStr">
        <is>
          <t>P2</t>
        </is>
      </c>
      <c r="U2232" s="19" t="inlineStr">
        <is>
          <t>No Issue Found</t>
        </is>
      </c>
      <c r="V2232" s="19" t="inlineStr">
        <is>
          <t>Found OK</t>
        </is>
      </c>
      <c r="W2232" s="3" t="inlineStr">
        <is>
          <t>Repair</t>
        </is>
      </c>
      <c r="X2232" s="18" t="n">
        <v>46169</v>
      </c>
      <c r="Y2232" s="73">
        <f>IF(X2232="","",X2232-A2232)</f>
        <v/>
      </c>
      <c r="Z2232" s="18" t="n">
        <v>46169</v>
      </c>
      <c r="AA2232" s="15" t="n"/>
      <c r="AB2232" s="15" t="n"/>
      <c r="AF2232">
        <f>IF(AND($F2232="Closed",$X2232&gt;=DATE(2026,5,1),$X2232&lt;=DATE(2026,5,31)),"Closed in May","Other")</f>
        <v/>
      </c>
    </row>
    <row r="2233">
      <c r="A2233" s="59" t="n">
        <v>46148</v>
      </c>
      <c r="B2233" s="3" t="n">
        <v>2026</v>
      </c>
      <c r="C2233" s="21" t="inlineStr">
        <is>
          <t>Continuum</t>
        </is>
      </c>
      <c r="D2233" s="3" t="inlineStr">
        <is>
          <t>Utility and C&amp;I</t>
        </is>
      </c>
      <c r="E2233" s="3" t="n"/>
      <c r="F2233" s="3" t="inlineStr">
        <is>
          <t>Closed</t>
        </is>
      </c>
      <c r="G2233" s="21" t="inlineStr">
        <is>
          <t>Amiya Ranjan Behera</t>
        </is>
      </c>
      <c r="H2233" s="21" t="n">
        <v>8917436223</v>
      </c>
      <c r="I2233" s="38" t="inlineStr">
        <is>
          <t>PE06052602</t>
        </is>
      </c>
      <c r="J2233" s="21" t="inlineStr">
        <is>
          <t>Diode Bypass Module Issue</t>
        </is>
      </c>
      <c r="K2233" s="21" t="inlineStr">
        <is>
          <t>Bhavnagar</t>
        </is>
      </c>
      <c r="L2233" s="21" t="inlineStr">
        <is>
          <t>Gujarat</t>
        </is>
      </c>
      <c r="M2233" s="9" t="inlineStr">
        <is>
          <t>OK</t>
        </is>
      </c>
      <c r="N2233" s="3" t="inlineStr">
        <is>
          <t>No Issue</t>
        </is>
      </c>
      <c r="O2233" s="62" t="n">
        <v>540</v>
      </c>
      <c r="P2233" s="9" t="inlineStr">
        <is>
          <t>NSMP2305123402</t>
        </is>
      </c>
      <c r="Q2233" s="53">
        <f>MID(P2233,5,2)</f>
        <v/>
      </c>
      <c r="R2233" s="53">
        <f>MID(P2233,7,2)</f>
        <v/>
      </c>
      <c r="S2233" s="3" t="inlineStr">
        <is>
          <t>G2B</t>
        </is>
      </c>
      <c r="T2233" s="3" t="inlineStr">
        <is>
          <t>P2</t>
        </is>
      </c>
      <c r="U2233" s="19" t="inlineStr">
        <is>
          <t>No Issue Found</t>
        </is>
      </c>
      <c r="V2233" s="19" t="inlineStr">
        <is>
          <t>Found OK</t>
        </is>
      </c>
      <c r="W2233" s="3" t="inlineStr">
        <is>
          <t>Repair</t>
        </is>
      </c>
      <c r="X2233" s="18" t="n">
        <v>46169</v>
      </c>
      <c r="Y2233" s="73">
        <f>IF(X2233="","",X2233-A2233)</f>
        <v/>
      </c>
      <c r="Z2233" s="18" t="n">
        <v>46169</v>
      </c>
      <c r="AA2233" s="15" t="n"/>
      <c r="AB2233" s="15" t="n"/>
      <c r="AF2233">
        <f>IF(AND($F2233="Closed",$X2233&gt;=DATE(2026,5,1),$X2233&lt;=DATE(2026,5,31)),"Closed in May","Other")</f>
        <v/>
      </c>
    </row>
    <row r="2234">
      <c r="A2234" s="59" t="n">
        <v>46148</v>
      </c>
      <c r="B2234" s="3" t="n">
        <v>2026</v>
      </c>
      <c r="C2234" s="21" t="inlineStr">
        <is>
          <t>Continuum</t>
        </is>
      </c>
      <c r="D2234" s="3" t="inlineStr">
        <is>
          <t>Utility and C&amp;I</t>
        </is>
      </c>
      <c r="E2234" s="3" t="n"/>
      <c r="F2234" s="3" t="inlineStr">
        <is>
          <t>Closed</t>
        </is>
      </c>
      <c r="G2234" s="21" t="inlineStr">
        <is>
          <t>Amiya Ranjan Behera</t>
        </is>
      </c>
      <c r="H2234" s="21" t="n">
        <v>8917436223</v>
      </c>
      <c r="I2234" s="38" t="inlineStr">
        <is>
          <t>PE06052602</t>
        </is>
      </c>
      <c r="J2234" s="21" t="inlineStr">
        <is>
          <t>Diode Bypass Module Issue</t>
        </is>
      </c>
      <c r="K2234" s="21" t="inlineStr">
        <is>
          <t>Bhavnagar</t>
        </is>
      </c>
      <c r="L2234" s="21" t="inlineStr">
        <is>
          <t>Gujarat</t>
        </is>
      </c>
      <c r="M2234" s="9" t="inlineStr">
        <is>
          <t>PS</t>
        </is>
      </c>
      <c r="N2234" s="3" t="inlineStr">
        <is>
          <t>Cold Soldering</t>
        </is>
      </c>
      <c r="O2234" s="62" t="n">
        <v>540</v>
      </c>
      <c r="P2234" s="9" t="inlineStr">
        <is>
          <t>NSMP2305129382</t>
        </is>
      </c>
      <c r="Q2234" s="53">
        <f>MID(P2234,5,2)</f>
        <v/>
      </c>
      <c r="R2234" s="53">
        <f>MID(P2234,7,2)</f>
        <v/>
      </c>
      <c r="S2234" s="3" t="inlineStr">
        <is>
          <t>G2B</t>
        </is>
      </c>
      <c r="T2234" s="3" t="inlineStr">
        <is>
          <t>P2</t>
        </is>
      </c>
      <c r="U2234" s="3" t="inlineStr">
        <is>
          <t>P JB Cold Soldering</t>
        </is>
      </c>
      <c r="V2234" s="3" t="inlineStr">
        <is>
          <t>Soldering</t>
        </is>
      </c>
      <c r="W2234" s="3" t="inlineStr">
        <is>
          <t>Repair</t>
        </is>
      </c>
      <c r="X2234" s="18" t="n">
        <v>46169</v>
      </c>
      <c r="Y2234" s="73">
        <f>IF(X2234="","",X2234-A2234)</f>
        <v/>
      </c>
      <c r="Z2234" s="18" t="n">
        <v>46169</v>
      </c>
      <c r="AA2234" s="15" t="n"/>
      <c r="AB2234" s="15" t="n"/>
      <c r="AF2234">
        <f>IF(AND($F2234="Closed",$X2234&gt;=DATE(2026,5,1),$X2234&lt;=DATE(2026,5,31)),"Closed in May","Other")</f>
        <v/>
      </c>
    </row>
    <row r="2235">
      <c r="A2235" s="59" t="n">
        <v>46148</v>
      </c>
      <c r="B2235" s="3" t="n">
        <v>2026</v>
      </c>
      <c r="C2235" s="21" t="inlineStr">
        <is>
          <t>Continuum</t>
        </is>
      </c>
      <c r="D2235" s="3" t="inlineStr">
        <is>
          <t>Utility and C&amp;I</t>
        </is>
      </c>
      <c r="E2235" s="3" t="n"/>
      <c r="F2235" s="3" t="inlineStr">
        <is>
          <t>Closed</t>
        </is>
      </c>
      <c r="G2235" s="21" t="inlineStr">
        <is>
          <t>Amiya Ranjan Behera</t>
        </is>
      </c>
      <c r="H2235" s="21" t="n">
        <v>8917436223</v>
      </c>
      <c r="I2235" s="38" t="inlineStr">
        <is>
          <t>PE06052602</t>
        </is>
      </c>
      <c r="J2235" s="21" t="inlineStr">
        <is>
          <t>Diode Bypass Module Issue</t>
        </is>
      </c>
      <c r="K2235" s="21" t="inlineStr">
        <is>
          <t>Bhavnagar</t>
        </is>
      </c>
      <c r="L2235" s="21" t="inlineStr">
        <is>
          <t>Gujarat</t>
        </is>
      </c>
      <c r="M2235" s="9" t="inlineStr">
        <is>
          <t>PS</t>
        </is>
      </c>
      <c r="N2235" s="3" t="inlineStr">
        <is>
          <t>Cold Soldering</t>
        </is>
      </c>
      <c r="O2235" s="62" t="n">
        <v>540</v>
      </c>
      <c r="P2235" s="9" t="inlineStr">
        <is>
          <t>NSMP2305129413</t>
        </is>
      </c>
      <c r="Q2235" s="53">
        <f>MID(P2235,5,2)</f>
        <v/>
      </c>
      <c r="R2235" s="53">
        <f>MID(P2235,7,2)</f>
        <v/>
      </c>
      <c r="S2235" s="3" t="inlineStr">
        <is>
          <t>G2B</t>
        </is>
      </c>
      <c r="T2235" s="3" t="inlineStr">
        <is>
          <t>P2</t>
        </is>
      </c>
      <c r="U2235" s="3" t="inlineStr">
        <is>
          <t>P JB Cold Soldering</t>
        </is>
      </c>
      <c r="V2235" s="3" t="inlineStr">
        <is>
          <t>Soldering</t>
        </is>
      </c>
      <c r="W2235" s="3" t="inlineStr">
        <is>
          <t>Repair</t>
        </is>
      </c>
      <c r="X2235" s="18" t="n">
        <v>46169</v>
      </c>
      <c r="Y2235" s="73">
        <f>IF(X2235="","",X2235-A2235)</f>
        <v/>
      </c>
      <c r="Z2235" s="18" t="n">
        <v>46169</v>
      </c>
      <c r="AA2235" s="15" t="n"/>
      <c r="AB2235" s="15" t="n"/>
      <c r="AF2235">
        <f>IF(AND($F2235="Closed",$X2235&gt;=DATE(2026,5,1),$X2235&lt;=DATE(2026,5,31)),"Closed in May","Other")</f>
        <v/>
      </c>
    </row>
    <row r="2236">
      <c r="A2236" s="59" t="n">
        <v>46148</v>
      </c>
      <c r="B2236" s="3" t="n">
        <v>2026</v>
      </c>
      <c r="C2236" s="21" t="inlineStr">
        <is>
          <t>Continuum</t>
        </is>
      </c>
      <c r="D2236" s="3" t="inlineStr">
        <is>
          <t>Utility and C&amp;I</t>
        </is>
      </c>
      <c r="E2236" s="3" t="n"/>
      <c r="F2236" s="3" t="inlineStr">
        <is>
          <t>Closed</t>
        </is>
      </c>
      <c r="G2236" s="21" t="inlineStr">
        <is>
          <t>Amiya Ranjan Behera</t>
        </is>
      </c>
      <c r="H2236" s="21" t="n">
        <v>8917436223</v>
      </c>
      <c r="I2236" s="38" t="inlineStr">
        <is>
          <t>PE06052602</t>
        </is>
      </c>
      <c r="J2236" s="21" t="inlineStr">
        <is>
          <t>Diode Bypass Module Issue</t>
        </is>
      </c>
      <c r="K2236" s="21" t="inlineStr">
        <is>
          <t>Bhavnagar</t>
        </is>
      </c>
      <c r="L2236" s="21" t="inlineStr">
        <is>
          <t>Gujarat</t>
        </is>
      </c>
      <c r="M2236" s="9" t="inlineStr">
        <is>
          <t>PS</t>
        </is>
      </c>
      <c r="N2236" s="3" t="inlineStr">
        <is>
          <t>Cold Soldering</t>
        </is>
      </c>
      <c r="O2236" s="62" t="n">
        <v>540</v>
      </c>
      <c r="P2236" s="9" t="inlineStr">
        <is>
          <t>NSMP2305130381</t>
        </is>
      </c>
      <c r="Q2236" s="53">
        <f>MID(P2236,5,2)</f>
        <v/>
      </c>
      <c r="R2236" s="53">
        <f>MID(P2236,7,2)</f>
        <v/>
      </c>
      <c r="S2236" s="3" t="inlineStr">
        <is>
          <t>G2B</t>
        </is>
      </c>
      <c r="T2236" s="3" t="inlineStr">
        <is>
          <t>P2</t>
        </is>
      </c>
      <c r="U2236" s="3" t="inlineStr">
        <is>
          <t>P JB Cold Soldering</t>
        </is>
      </c>
      <c r="V2236" s="3" t="inlineStr">
        <is>
          <t>Soldering</t>
        </is>
      </c>
      <c r="W2236" s="3" t="inlineStr">
        <is>
          <t>Repair</t>
        </is>
      </c>
      <c r="X2236" s="18" t="n">
        <v>46169</v>
      </c>
      <c r="Y2236" s="73">
        <f>IF(X2236="","",X2236-A2236)</f>
        <v/>
      </c>
      <c r="Z2236" s="18" t="n">
        <v>46169</v>
      </c>
      <c r="AA2236" s="15" t="n"/>
      <c r="AB2236" s="15" t="n"/>
      <c r="AF2236">
        <f>IF(AND($F2236="Closed",$X2236&gt;=DATE(2026,5,1),$X2236&lt;=DATE(2026,5,31)),"Closed in May","Other")</f>
        <v/>
      </c>
    </row>
    <row r="2237">
      <c r="A2237" s="59" t="n">
        <v>46148</v>
      </c>
      <c r="B2237" s="3" t="n">
        <v>2026</v>
      </c>
      <c r="C2237" s="21" t="inlineStr">
        <is>
          <t>Continuum</t>
        </is>
      </c>
      <c r="D2237" s="3" t="inlineStr">
        <is>
          <t>Utility and C&amp;I</t>
        </is>
      </c>
      <c r="E2237" s="3" t="n"/>
      <c r="F2237" s="3" t="inlineStr">
        <is>
          <t>Closed</t>
        </is>
      </c>
      <c r="G2237" s="21" t="inlineStr">
        <is>
          <t>Amiya Ranjan Behera</t>
        </is>
      </c>
      <c r="H2237" s="21" t="n">
        <v>8917436223</v>
      </c>
      <c r="I2237" s="38" t="inlineStr">
        <is>
          <t>PE06052602</t>
        </is>
      </c>
      <c r="J2237" s="21" t="inlineStr">
        <is>
          <t>Diode Bypass Module Issue</t>
        </is>
      </c>
      <c r="K2237" s="21" t="inlineStr">
        <is>
          <t>Bhavnagar</t>
        </is>
      </c>
      <c r="L2237" s="21" t="inlineStr">
        <is>
          <t>Gujarat</t>
        </is>
      </c>
      <c r="M2237" s="9" t="inlineStr">
        <is>
          <t>PR</t>
        </is>
      </c>
      <c r="N2237" s="3" t="inlineStr">
        <is>
          <t>JB Issue</t>
        </is>
      </c>
      <c r="O2237" s="62" t="n">
        <v>540</v>
      </c>
      <c r="P2237" s="9" t="inlineStr">
        <is>
          <t>NSMP2305130335</t>
        </is>
      </c>
      <c r="Q2237" s="53">
        <f>MID(P2237,5,2)</f>
        <v/>
      </c>
      <c r="R2237" s="53">
        <f>MID(P2237,7,2)</f>
        <v/>
      </c>
      <c r="S2237" s="3" t="inlineStr">
        <is>
          <t>G2B</t>
        </is>
      </c>
      <c r="T2237" s="3" t="inlineStr">
        <is>
          <t>P2</t>
        </is>
      </c>
      <c r="U2237" s="3" t="inlineStr">
        <is>
          <t>P JB Issue</t>
        </is>
      </c>
      <c r="V2237" s="15" t="inlineStr">
        <is>
          <t>JB Changed</t>
        </is>
      </c>
      <c r="W2237" s="3" t="inlineStr">
        <is>
          <t>Repair</t>
        </is>
      </c>
      <c r="X2237" s="18" t="n">
        <v>46169</v>
      </c>
      <c r="Y2237" s="73">
        <f>IF(X2237="","",X2237-A2237)</f>
        <v/>
      </c>
      <c r="Z2237" s="18" t="n">
        <v>46169</v>
      </c>
      <c r="AA2237" s="15" t="n"/>
      <c r="AB2237" s="15" t="n"/>
      <c r="AF2237">
        <f>IF(AND($F2237="Closed",$X2237&gt;=DATE(2026,5,1),$X2237&lt;=DATE(2026,5,31)),"Closed in May","Other")</f>
        <v/>
      </c>
    </row>
    <row r="2238">
      <c r="A2238" s="59" t="n">
        <v>46148</v>
      </c>
      <c r="B2238" s="3" t="n">
        <v>2026</v>
      </c>
      <c r="C2238" s="21" t="inlineStr">
        <is>
          <t>Continuum</t>
        </is>
      </c>
      <c r="D2238" s="3" t="inlineStr">
        <is>
          <t>Utility and C&amp;I</t>
        </is>
      </c>
      <c r="E2238" s="3" t="n"/>
      <c r="F2238" s="3" t="inlineStr">
        <is>
          <t>Closed</t>
        </is>
      </c>
      <c r="G2238" s="21" t="inlineStr">
        <is>
          <t>Amiya Ranjan Behera</t>
        </is>
      </c>
      <c r="H2238" s="21" t="n">
        <v>8917436223</v>
      </c>
      <c r="I2238" s="38" t="inlineStr">
        <is>
          <t>PE06052602</t>
        </is>
      </c>
      <c r="J2238" s="21" t="inlineStr">
        <is>
          <t>Diode Bypass Module Issue</t>
        </is>
      </c>
      <c r="K2238" s="21" t="inlineStr">
        <is>
          <t>Bhavnagar</t>
        </is>
      </c>
      <c r="L2238" s="21" t="inlineStr">
        <is>
          <t>Gujarat</t>
        </is>
      </c>
      <c r="M2238" s="9" t="inlineStr">
        <is>
          <t>PS</t>
        </is>
      </c>
      <c r="N2238" s="3" t="inlineStr">
        <is>
          <t>Cold Soldering</t>
        </is>
      </c>
      <c r="O2238" s="62" t="n">
        <v>540</v>
      </c>
      <c r="P2238" s="9" t="inlineStr">
        <is>
          <t>NSMP2305130365</t>
        </is>
      </c>
      <c r="Q2238" s="53">
        <f>MID(P2238,5,2)</f>
        <v/>
      </c>
      <c r="R2238" s="53">
        <f>MID(P2238,7,2)</f>
        <v/>
      </c>
      <c r="S2238" s="3" t="inlineStr">
        <is>
          <t>G2B</t>
        </is>
      </c>
      <c r="T2238" s="3" t="inlineStr">
        <is>
          <t>P2</t>
        </is>
      </c>
      <c r="U2238" s="3" t="inlineStr">
        <is>
          <t>P JB Cold Soldering</t>
        </is>
      </c>
      <c r="V2238" s="3" t="inlineStr">
        <is>
          <t>Soldering</t>
        </is>
      </c>
      <c r="W2238" s="3" t="inlineStr">
        <is>
          <t>Repair</t>
        </is>
      </c>
      <c r="X2238" s="18" t="n">
        <v>46169</v>
      </c>
      <c r="Y2238" s="73">
        <f>IF(X2238="","",X2238-A2238)</f>
        <v/>
      </c>
      <c r="Z2238" s="18" t="n">
        <v>46169</v>
      </c>
      <c r="AA2238" s="15" t="n"/>
      <c r="AB2238" s="15" t="n"/>
      <c r="AF2238">
        <f>IF(AND($F2238="Closed",$X2238&gt;=DATE(2026,5,1),$X2238&lt;=DATE(2026,5,31)),"Closed in May","Other")</f>
        <v/>
      </c>
    </row>
    <row r="2239">
      <c r="A2239" s="59" t="n">
        <v>46148</v>
      </c>
      <c r="B2239" s="3" t="n">
        <v>2026</v>
      </c>
      <c r="C2239" s="21" t="inlineStr">
        <is>
          <t>Continuum</t>
        </is>
      </c>
      <c r="D2239" s="3" t="inlineStr">
        <is>
          <t>Utility and C&amp;I</t>
        </is>
      </c>
      <c r="E2239" s="3" t="n"/>
      <c r="F2239" s="3" t="inlineStr">
        <is>
          <t>Closed</t>
        </is>
      </c>
      <c r="G2239" s="21" t="inlineStr">
        <is>
          <t>Amiya Ranjan Behera</t>
        </is>
      </c>
      <c r="H2239" s="21" t="n">
        <v>8917436223</v>
      </c>
      <c r="I2239" s="38" t="inlineStr">
        <is>
          <t>PE06052602</t>
        </is>
      </c>
      <c r="J2239" s="21" t="inlineStr">
        <is>
          <t>Diode Bypass Module Issue</t>
        </is>
      </c>
      <c r="K2239" s="21" t="inlineStr">
        <is>
          <t>Bhavnagar</t>
        </is>
      </c>
      <c r="L2239" s="21" t="inlineStr">
        <is>
          <t>Gujarat</t>
        </is>
      </c>
      <c r="M2239" s="9" t="inlineStr">
        <is>
          <t>PS</t>
        </is>
      </c>
      <c r="N2239" s="3" t="inlineStr">
        <is>
          <t>Cold Soldering</t>
        </is>
      </c>
      <c r="O2239" s="62" t="n">
        <v>540</v>
      </c>
      <c r="P2239" s="9" t="inlineStr">
        <is>
          <t>NSMP2305129680</t>
        </is>
      </c>
      <c r="Q2239" s="53">
        <f>MID(P2239,5,2)</f>
        <v/>
      </c>
      <c r="R2239" s="53">
        <f>MID(P2239,7,2)</f>
        <v/>
      </c>
      <c r="S2239" s="3" t="inlineStr">
        <is>
          <t>G2B</t>
        </is>
      </c>
      <c r="T2239" s="3" t="inlineStr">
        <is>
          <t>P2</t>
        </is>
      </c>
      <c r="U2239" s="3" t="inlineStr">
        <is>
          <t>P JB Cold Soldering</t>
        </is>
      </c>
      <c r="V2239" s="3" t="inlineStr">
        <is>
          <t>Soldering</t>
        </is>
      </c>
      <c r="W2239" s="3" t="inlineStr">
        <is>
          <t>Repair</t>
        </is>
      </c>
      <c r="X2239" s="18" t="n">
        <v>46169</v>
      </c>
      <c r="Y2239" s="73">
        <f>IF(X2239="","",X2239-A2239)</f>
        <v/>
      </c>
      <c r="Z2239" s="18" t="n">
        <v>46169</v>
      </c>
      <c r="AA2239" s="15" t="n"/>
      <c r="AB2239" s="15" t="n"/>
      <c r="AF2239">
        <f>IF(AND($F2239="Closed",$X2239&gt;=DATE(2026,5,1),$X2239&lt;=DATE(2026,5,31)),"Closed in May","Other")</f>
        <v/>
      </c>
    </row>
    <row r="2240">
      <c r="A2240" s="59" t="n">
        <v>46148</v>
      </c>
      <c r="B2240" s="3" t="n">
        <v>2026</v>
      </c>
      <c r="C2240" s="21" t="inlineStr">
        <is>
          <t>Continuum</t>
        </is>
      </c>
      <c r="D2240" s="3" t="inlineStr">
        <is>
          <t>Utility and C&amp;I</t>
        </is>
      </c>
      <c r="E2240" s="3" t="n"/>
      <c r="F2240" s="3" t="inlineStr">
        <is>
          <t>Closed</t>
        </is>
      </c>
      <c r="G2240" s="21" t="inlineStr">
        <is>
          <t>Amiya Ranjan Behera</t>
        </is>
      </c>
      <c r="H2240" s="21" t="n">
        <v>8917436223</v>
      </c>
      <c r="I2240" s="38" t="inlineStr">
        <is>
          <t>PE06052602</t>
        </is>
      </c>
      <c r="J2240" s="21" t="inlineStr">
        <is>
          <t>Diode Bypass Module Issue</t>
        </is>
      </c>
      <c r="K2240" s="21" t="inlineStr">
        <is>
          <t>Bhavnagar</t>
        </is>
      </c>
      <c r="L2240" s="21" t="inlineStr">
        <is>
          <t>Gujarat</t>
        </is>
      </c>
      <c r="M2240" s="9" t="inlineStr">
        <is>
          <t>PS</t>
        </is>
      </c>
      <c r="N2240" s="3" t="inlineStr">
        <is>
          <t>Cold Soldering</t>
        </is>
      </c>
      <c r="O2240" s="62" t="n">
        <v>540</v>
      </c>
      <c r="P2240" s="9" t="inlineStr">
        <is>
          <t>NSMP2305189620</t>
        </is>
      </c>
      <c r="Q2240" s="53">
        <f>MID(P2240,5,2)</f>
        <v/>
      </c>
      <c r="R2240" s="53">
        <f>MID(P2240,7,2)</f>
        <v/>
      </c>
      <c r="S2240" s="3" t="inlineStr">
        <is>
          <t>G2B</t>
        </is>
      </c>
      <c r="T2240" s="3" t="inlineStr">
        <is>
          <t>P2</t>
        </is>
      </c>
      <c r="U2240" s="3" t="inlineStr">
        <is>
          <t>P JB Cold Soldering</t>
        </is>
      </c>
      <c r="V2240" s="3" t="inlineStr">
        <is>
          <t>Soldering</t>
        </is>
      </c>
      <c r="W2240" s="3" t="inlineStr">
        <is>
          <t>Repair</t>
        </is>
      </c>
      <c r="X2240" s="18" t="n">
        <v>46169</v>
      </c>
      <c r="Y2240" s="73">
        <f>IF(X2240="","",X2240-A2240)</f>
        <v/>
      </c>
      <c r="Z2240" s="18" t="n">
        <v>46169</v>
      </c>
      <c r="AA2240" s="15" t="n"/>
      <c r="AB2240" s="15" t="n"/>
      <c r="AF2240">
        <f>IF(AND($F2240="Closed",$X2240&gt;=DATE(2026,5,1),$X2240&lt;=DATE(2026,5,31)),"Closed in May","Other")</f>
        <v/>
      </c>
    </row>
    <row r="2241">
      <c r="A2241" s="59" t="n">
        <v>46148</v>
      </c>
      <c r="B2241" s="3" t="n">
        <v>2026</v>
      </c>
      <c r="C2241" s="21" t="inlineStr">
        <is>
          <t>Continuum</t>
        </is>
      </c>
      <c r="D2241" s="3" t="inlineStr">
        <is>
          <t>Utility and C&amp;I</t>
        </is>
      </c>
      <c r="E2241" s="3" t="n"/>
      <c r="F2241" s="3" t="inlineStr">
        <is>
          <t>Closed</t>
        </is>
      </c>
      <c r="G2241" s="21" t="inlineStr">
        <is>
          <t>Amiya Ranjan Behera</t>
        </is>
      </c>
      <c r="H2241" s="21" t="n">
        <v>8917436223</v>
      </c>
      <c r="I2241" s="38" t="inlineStr">
        <is>
          <t>PE06052602</t>
        </is>
      </c>
      <c r="J2241" s="21" t="inlineStr">
        <is>
          <t>Diode Bypass Module Issue</t>
        </is>
      </c>
      <c r="K2241" s="21" t="inlineStr">
        <is>
          <t>Bhavnagar</t>
        </is>
      </c>
      <c r="L2241" s="21" t="inlineStr">
        <is>
          <t>Gujarat</t>
        </is>
      </c>
      <c r="M2241" s="9" t="inlineStr">
        <is>
          <t>PS</t>
        </is>
      </c>
      <c r="N2241" s="3" t="inlineStr">
        <is>
          <t>Cold Soldering</t>
        </is>
      </c>
      <c r="O2241" s="62" t="n">
        <v>540</v>
      </c>
      <c r="P2241" s="9" t="inlineStr">
        <is>
          <t>NSMP2305189607</t>
        </is>
      </c>
      <c r="Q2241" s="53">
        <f>MID(P2241,5,2)</f>
        <v/>
      </c>
      <c r="R2241" s="53">
        <f>MID(P2241,7,2)</f>
        <v/>
      </c>
      <c r="S2241" s="3" t="inlineStr">
        <is>
          <t>G2B</t>
        </is>
      </c>
      <c r="T2241" s="3" t="inlineStr">
        <is>
          <t>P2</t>
        </is>
      </c>
      <c r="U2241" s="3" t="inlineStr">
        <is>
          <t>P JB Cold Soldering</t>
        </is>
      </c>
      <c r="V2241" s="3" t="inlineStr">
        <is>
          <t>Soldering</t>
        </is>
      </c>
      <c r="W2241" s="3" t="inlineStr">
        <is>
          <t>Repair</t>
        </is>
      </c>
      <c r="X2241" s="18" t="n">
        <v>46169</v>
      </c>
      <c r="Y2241" s="73">
        <f>IF(X2241="","",X2241-A2241)</f>
        <v/>
      </c>
      <c r="Z2241" s="18" t="n">
        <v>46169</v>
      </c>
      <c r="AA2241" s="15" t="n"/>
      <c r="AB2241" s="15" t="n"/>
      <c r="AF2241">
        <f>IF(AND($F2241="Closed",$X2241&gt;=DATE(2026,5,1),$X2241&lt;=DATE(2026,5,31)),"Closed in May","Other")</f>
        <v/>
      </c>
    </row>
    <row r="2242">
      <c r="A2242" s="59" t="n">
        <v>46148</v>
      </c>
      <c r="B2242" s="3" t="n">
        <v>2026</v>
      </c>
      <c r="C2242" s="21" t="inlineStr">
        <is>
          <t>Continuum</t>
        </is>
      </c>
      <c r="D2242" s="3" t="inlineStr">
        <is>
          <t>Utility and C&amp;I</t>
        </is>
      </c>
      <c r="E2242" s="3" t="n"/>
      <c r="F2242" s="3" t="inlineStr">
        <is>
          <t>Closed</t>
        </is>
      </c>
      <c r="G2242" s="21" t="inlineStr">
        <is>
          <t>Amiya Ranjan Behera</t>
        </is>
      </c>
      <c r="H2242" s="21" t="n">
        <v>8917436223</v>
      </c>
      <c r="I2242" s="38" t="inlineStr">
        <is>
          <t>PE06052602</t>
        </is>
      </c>
      <c r="J2242" s="21" t="inlineStr">
        <is>
          <t>Diode Bypass Module Issue</t>
        </is>
      </c>
      <c r="K2242" s="21" t="inlineStr">
        <is>
          <t>Bhavnagar</t>
        </is>
      </c>
      <c r="L2242" s="21" t="inlineStr">
        <is>
          <t>Gujarat</t>
        </is>
      </c>
      <c r="M2242" s="9" t="inlineStr">
        <is>
          <t>PS</t>
        </is>
      </c>
      <c r="N2242" s="3" t="inlineStr">
        <is>
          <t>Cold Soldering</t>
        </is>
      </c>
      <c r="O2242" s="62" t="n">
        <v>540</v>
      </c>
      <c r="P2242" s="9" t="inlineStr">
        <is>
          <t>NSMP2305189622</t>
        </is>
      </c>
      <c r="Q2242" s="53">
        <f>MID(P2242,5,2)</f>
        <v/>
      </c>
      <c r="R2242" s="53">
        <f>MID(P2242,7,2)</f>
        <v/>
      </c>
      <c r="S2242" s="3" t="inlineStr">
        <is>
          <t>G2B</t>
        </is>
      </c>
      <c r="T2242" s="3" t="inlineStr">
        <is>
          <t>P2</t>
        </is>
      </c>
      <c r="U2242" s="3" t="inlineStr">
        <is>
          <t>P JB Cold Soldering</t>
        </is>
      </c>
      <c r="V2242" s="3" t="inlineStr">
        <is>
          <t>Soldering</t>
        </is>
      </c>
      <c r="W2242" s="3" t="inlineStr">
        <is>
          <t>Repair</t>
        </is>
      </c>
      <c r="X2242" s="18" t="n">
        <v>46169</v>
      </c>
      <c r="Y2242" s="73">
        <f>IF(X2242="","",X2242-A2242)</f>
        <v/>
      </c>
      <c r="Z2242" s="18" t="n">
        <v>46169</v>
      </c>
      <c r="AA2242" s="15" t="n"/>
      <c r="AB2242" s="15" t="n"/>
      <c r="AF2242">
        <f>IF(AND($F2242="Closed",$X2242&gt;=DATE(2026,5,1),$X2242&lt;=DATE(2026,5,31)),"Closed in May","Other")</f>
        <v/>
      </c>
    </row>
    <row r="2243">
      <c r="A2243" s="59" t="n">
        <v>46148</v>
      </c>
      <c r="B2243" s="3" t="n">
        <v>2026</v>
      </c>
      <c r="C2243" s="21" t="inlineStr">
        <is>
          <t>Continuum</t>
        </is>
      </c>
      <c r="D2243" s="3" t="inlineStr">
        <is>
          <t>Utility and C&amp;I</t>
        </is>
      </c>
      <c r="E2243" s="3" t="n"/>
      <c r="F2243" s="3" t="inlineStr">
        <is>
          <t>Closed</t>
        </is>
      </c>
      <c r="G2243" s="21" t="inlineStr">
        <is>
          <t>Amiya Ranjan Behera</t>
        </is>
      </c>
      <c r="H2243" s="21" t="n">
        <v>8917436223</v>
      </c>
      <c r="I2243" s="38" t="inlineStr">
        <is>
          <t>PE06052602</t>
        </is>
      </c>
      <c r="J2243" s="21" t="inlineStr">
        <is>
          <t>Diode Bypass Module Issue</t>
        </is>
      </c>
      <c r="K2243" s="21" t="inlineStr">
        <is>
          <t>Bhavnagar</t>
        </is>
      </c>
      <c r="L2243" s="21" t="inlineStr">
        <is>
          <t>Gujarat</t>
        </is>
      </c>
      <c r="M2243" s="9" t="inlineStr">
        <is>
          <t>PS</t>
        </is>
      </c>
      <c r="N2243" s="3" t="inlineStr">
        <is>
          <t>Cold Soldering</t>
        </is>
      </c>
      <c r="O2243" s="62" t="n">
        <v>540</v>
      </c>
      <c r="P2243" s="9" t="inlineStr">
        <is>
          <t>NSMP2305131595</t>
        </is>
      </c>
      <c r="Q2243" s="53">
        <f>MID(P2243,5,2)</f>
        <v/>
      </c>
      <c r="R2243" s="53">
        <f>MID(P2243,7,2)</f>
        <v/>
      </c>
      <c r="S2243" s="3" t="inlineStr">
        <is>
          <t>G2B</t>
        </is>
      </c>
      <c r="T2243" s="3" t="inlineStr">
        <is>
          <t>P2</t>
        </is>
      </c>
      <c r="U2243" s="3" t="inlineStr">
        <is>
          <t>P JB Cold Soldering</t>
        </is>
      </c>
      <c r="V2243" s="3" t="inlineStr">
        <is>
          <t>Soldering</t>
        </is>
      </c>
      <c r="W2243" s="3" t="inlineStr">
        <is>
          <t>Repair</t>
        </is>
      </c>
      <c r="X2243" s="18" t="n">
        <v>46169</v>
      </c>
      <c r="Y2243" s="73">
        <f>IF(X2243="","",X2243-A2243)</f>
        <v/>
      </c>
      <c r="Z2243" s="18" t="n">
        <v>46169</v>
      </c>
      <c r="AA2243" s="15" t="n"/>
      <c r="AB2243" s="15" t="n"/>
      <c r="AF2243">
        <f>IF(AND($F2243="Closed",$X2243&gt;=DATE(2026,5,1),$X2243&lt;=DATE(2026,5,31)),"Closed in May","Other")</f>
        <v/>
      </c>
    </row>
    <row r="2244">
      <c r="A2244" s="59" t="n">
        <v>46148</v>
      </c>
      <c r="B2244" s="3" t="n">
        <v>2026</v>
      </c>
      <c r="C2244" s="21" t="inlineStr">
        <is>
          <t>Continuum</t>
        </is>
      </c>
      <c r="D2244" s="3" t="inlineStr">
        <is>
          <t>Utility and C&amp;I</t>
        </is>
      </c>
      <c r="E2244" s="3" t="n"/>
      <c r="F2244" s="3" t="inlineStr">
        <is>
          <t>Closed</t>
        </is>
      </c>
      <c r="G2244" s="21" t="inlineStr">
        <is>
          <t>Amiya Ranjan Behera</t>
        </is>
      </c>
      <c r="H2244" s="21" t="n">
        <v>8917436223</v>
      </c>
      <c r="I2244" s="38" t="inlineStr">
        <is>
          <t>PE06052602</t>
        </is>
      </c>
      <c r="J2244" s="21" t="inlineStr">
        <is>
          <t>Diode Bypass Module Issue</t>
        </is>
      </c>
      <c r="K2244" s="21" t="inlineStr">
        <is>
          <t>Bhavnagar</t>
        </is>
      </c>
      <c r="L2244" s="21" t="inlineStr">
        <is>
          <t>Gujarat</t>
        </is>
      </c>
      <c r="M2244" s="9" t="inlineStr">
        <is>
          <t>PS</t>
        </is>
      </c>
      <c r="N2244" s="3" t="inlineStr">
        <is>
          <t>Cold Soldering</t>
        </is>
      </c>
      <c r="O2244" s="62" t="n">
        <v>540</v>
      </c>
      <c r="P2244" s="9" t="inlineStr">
        <is>
          <t>NSMP2305131603</t>
        </is>
      </c>
      <c r="Q2244" s="53">
        <f>MID(P2244,5,2)</f>
        <v/>
      </c>
      <c r="R2244" s="53">
        <f>MID(P2244,7,2)</f>
        <v/>
      </c>
      <c r="S2244" s="3" t="inlineStr">
        <is>
          <t>G2B</t>
        </is>
      </c>
      <c r="T2244" s="3" t="inlineStr">
        <is>
          <t>P2</t>
        </is>
      </c>
      <c r="U2244" s="3" t="inlineStr">
        <is>
          <t>P JB Cold Soldering</t>
        </is>
      </c>
      <c r="V2244" s="3" t="inlineStr">
        <is>
          <t>Soldering</t>
        </is>
      </c>
      <c r="W2244" s="3" t="inlineStr">
        <is>
          <t>Repair</t>
        </is>
      </c>
      <c r="X2244" s="18" t="n">
        <v>46169</v>
      </c>
      <c r="Y2244" s="73">
        <f>IF(X2244="","",X2244-A2244)</f>
        <v/>
      </c>
      <c r="Z2244" s="18" t="n">
        <v>46169</v>
      </c>
      <c r="AA2244" s="15" t="n"/>
      <c r="AB2244" s="15" t="n"/>
      <c r="AF2244">
        <f>IF(AND($F2244="Closed",$X2244&gt;=DATE(2026,5,1),$X2244&lt;=DATE(2026,5,31)),"Closed in May","Other")</f>
        <v/>
      </c>
    </row>
    <row r="2245">
      <c r="A2245" s="59" t="n">
        <v>46148</v>
      </c>
      <c r="B2245" s="3" t="n">
        <v>2026</v>
      </c>
      <c r="C2245" s="21" t="inlineStr">
        <is>
          <t>Continuum</t>
        </is>
      </c>
      <c r="D2245" s="3" t="inlineStr">
        <is>
          <t>Utility and C&amp;I</t>
        </is>
      </c>
      <c r="E2245" s="3" t="n"/>
      <c r="F2245" s="3" t="inlineStr">
        <is>
          <t>Closed</t>
        </is>
      </c>
      <c r="G2245" s="21" t="inlineStr">
        <is>
          <t>Amiya Ranjan Behera</t>
        </is>
      </c>
      <c r="H2245" s="21" t="n">
        <v>8917436223</v>
      </c>
      <c r="I2245" s="38" t="inlineStr">
        <is>
          <t>PE06052602</t>
        </is>
      </c>
      <c r="J2245" s="21" t="inlineStr">
        <is>
          <t>Diode Bypass Module Issue</t>
        </is>
      </c>
      <c r="K2245" s="21" t="inlineStr">
        <is>
          <t>Bhavnagar</t>
        </is>
      </c>
      <c r="L2245" s="21" t="inlineStr">
        <is>
          <t>Gujarat</t>
        </is>
      </c>
      <c r="M2245" s="9" t="inlineStr">
        <is>
          <t>PS</t>
        </is>
      </c>
      <c r="N2245" s="3" t="inlineStr">
        <is>
          <t>Cold Soldering</t>
        </is>
      </c>
      <c r="O2245" s="62" t="n">
        <v>540</v>
      </c>
      <c r="P2245" s="9" t="inlineStr">
        <is>
          <t>NSMP2305134569</t>
        </is>
      </c>
      <c r="Q2245" s="53">
        <f>MID(P2245,5,2)</f>
        <v/>
      </c>
      <c r="R2245" s="53">
        <f>MID(P2245,7,2)</f>
        <v/>
      </c>
      <c r="S2245" s="3" t="inlineStr">
        <is>
          <t>G2B</t>
        </is>
      </c>
      <c r="T2245" s="3" t="inlineStr">
        <is>
          <t>P2</t>
        </is>
      </c>
      <c r="U2245" s="3" t="inlineStr">
        <is>
          <t>P JB Cold Soldering</t>
        </is>
      </c>
      <c r="V2245" s="3" t="inlineStr">
        <is>
          <t>Soldering</t>
        </is>
      </c>
      <c r="W2245" s="3" t="inlineStr">
        <is>
          <t>Repair</t>
        </is>
      </c>
      <c r="X2245" s="18" t="n">
        <v>46169</v>
      </c>
      <c r="Y2245" s="73">
        <f>IF(X2245="","",X2245-A2245)</f>
        <v/>
      </c>
      <c r="Z2245" s="18" t="n">
        <v>46169</v>
      </c>
      <c r="AA2245" s="15" t="n"/>
      <c r="AB2245" s="15" t="n"/>
      <c r="AF2245">
        <f>IF(AND($F2245="Closed",$X2245&gt;=DATE(2026,5,1),$X2245&lt;=DATE(2026,5,31)),"Closed in May","Other")</f>
        <v/>
      </c>
    </row>
    <row r="2246">
      <c r="A2246" s="59" t="n">
        <v>46148</v>
      </c>
      <c r="B2246" s="3" t="n">
        <v>2026</v>
      </c>
      <c r="C2246" s="21" t="inlineStr">
        <is>
          <t>Continuum</t>
        </is>
      </c>
      <c r="D2246" s="3" t="inlineStr">
        <is>
          <t>Utility and C&amp;I</t>
        </is>
      </c>
      <c r="E2246" s="3" t="n"/>
      <c r="F2246" s="3" t="inlineStr">
        <is>
          <t>Closed</t>
        </is>
      </c>
      <c r="G2246" s="21" t="inlineStr">
        <is>
          <t>Amiya Ranjan Behera</t>
        </is>
      </c>
      <c r="H2246" s="21" t="n">
        <v>8917436223</v>
      </c>
      <c r="I2246" s="38" t="inlineStr">
        <is>
          <t>PE06052602</t>
        </is>
      </c>
      <c r="J2246" s="21" t="inlineStr">
        <is>
          <t>Diode Bypass Module Issue</t>
        </is>
      </c>
      <c r="K2246" s="21" t="inlineStr">
        <is>
          <t>Bhavnagar</t>
        </is>
      </c>
      <c r="L2246" s="21" t="inlineStr">
        <is>
          <t>Gujarat</t>
        </is>
      </c>
      <c r="M2246" s="9" t="inlineStr">
        <is>
          <t>PS</t>
        </is>
      </c>
      <c r="N2246" s="3" t="inlineStr">
        <is>
          <t>Cold Soldering</t>
        </is>
      </c>
      <c r="O2246" s="62" t="n">
        <v>540</v>
      </c>
      <c r="P2246" s="9" t="inlineStr">
        <is>
          <t>NSMP2305129374</t>
        </is>
      </c>
      <c r="Q2246" s="53">
        <f>MID(P2246,5,2)</f>
        <v/>
      </c>
      <c r="R2246" s="53">
        <f>MID(P2246,7,2)</f>
        <v/>
      </c>
      <c r="S2246" s="3" t="inlineStr">
        <is>
          <t>G2B</t>
        </is>
      </c>
      <c r="T2246" s="3" t="inlineStr">
        <is>
          <t>P2</t>
        </is>
      </c>
      <c r="U2246" s="3" t="inlineStr">
        <is>
          <t>P JB Cold Soldering</t>
        </is>
      </c>
      <c r="V2246" s="3" t="inlineStr">
        <is>
          <t>Soldering</t>
        </is>
      </c>
      <c r="W2246" s="3" t="inlineStr">
        <is>
          <t>Repair</t>
        </is>
      </c>
      <c r="X2246" s="18" t="n">
        <v>46169</v>
      </c>
      <c r="Y2246" s="73">
        <f>IF(X2246="","",X2246-A2246)</f>
        <v/>
      </c>
      <c r="Z2246" s="18" t="n">
        <v>46169</v>
      </c>
      <c r="AA2246" s="15" t="n"/>
      <c r="AB2246" s="15" t="n"/>
      <c r="AF2246">
        <f>IF(AND($F2246="Closed",$X2246&gt;=DATE(2026,5,1),$X2246&lt;=DATE(2026,5,31)),"Closed in May","Other")</f>
        <v/>
      </c>
    </row>
    <row r="2247">
      <c r="A2247" s="59" t="n">
        <v>46148</v>
      </c>
      <c r="B2247" s="3" t="n">
        <v>2026</v>
      </c>
      <c r="C2247" s="21" t="inlineStr">
        <is>
          <t>Continuum</t>
        </is>
      </c>
      <c r="D2247" s="3" t="inlineStr">
        <is>
          <t>Utility and C&amp;I</t>
        </is>
      </c>
      <c r="E2247" s="3" t="n"/>
      <c r="F2247" s="3" t="inlineStr">
        <is>
          <t>Closed</t>
        </is>
      </c>
      <c r="G2247" s="21" t="inlineStr">
        <is>
          <t>Amiya Ranjan Behera</t>
        </is>
      </c>
      <c r="H2247" s="21" t="n">
        <v>8917436223</v>
      </c>
      <c r="I2247" s="38" t="inlineStr">
        <is>
          <t>PE06052602</t>
        </is>
      </c>
      <c r="J2247" s="21" t="inlineStr">
        <is>
          <t>Diode Bypass Module Issue</t>
        </is>
      </c>
      <c r="K2247" s="21" t="inlineStr">
        <is>
          <t>Bhavnagar</t>
        </is>
      </c>
      <c r="L2247" s="21" t="inlineStr">
        <is>
          <t>Gujarat</t>
        </is>
      </c>
      <c r="M2247" s="9" t="inlineStr">
        <is>
          <t>PS</t>
        </is>
      </c>
      <c r="N2247" s="3" t="inlineStr">
        <is>
          <t>Cold Soldering</t>
        </is>
      </c>
      <c r="O2247" s="62" t="n">
        <v>540</v>
      </c>
      <c r="P2247" s="9" t="inlineStr">
        <is>
          <t>NSMP2305134754</t>
        </is>
      </c>
      <c r="Q2247" s="53">
        <f>MID(P2247,5,2)</f>
        <v/>
      </c>
      <c r="R2247" s="53">
        <f>MID(P2247,7,2)</f>
        <v/>
      </c>
      <c r="S2247" s="3" t="inlineStr">
        <is>
          <t>G2B</t>
        </is>
      </c>
      <c r="T2247" s="3" t="inlineStr">
        <is>
          <t>P2</t>
        </is>
      </c>
      <c r="U2247" s="3" t="inlineStr">
        <is>
          <t>P JB Cold Soldering</t>
        </is>
      </c>
      <c r="V2247" s="3" t="inlineStr">
        <is>
          <t>Soldering</t>
        </is>
      </c>
      <c r="W2247" s="3" t="inlineStr">
        <is>
          <t>Repair</t>
        </is>
      </c>
      <c r="X2247" s="18" t="n">
        <v>46169</v>
      </c>
      <c r="Y2247" s="73">
        <f>IF(X2247="","",X2247-A2247)</f>
        <v/>
      </c>
      <c r="Z2247" s="18" t="n">
        <v>46169</v>
      </c>
      <c r="AA2247" s="15" t="n"/>
      <c r="AB2247" s="15" t="n"/>
      <c r="AF2247">
        <f>IF(AND($F2247="Closed",$X2247&gt;=DATE(2026,5,1),$X2247&lt;=DATE(2026,5,31)),"Closed in May","Other")</f>
        <v/>
      </c>
    </row>
    <row r="2248">
      <c r="A2248" s="59" t="n">
        <v>46148</v>
      </c>
      <c r="B2248" s="3" t="n">
        <v>2026</v>
      </c>
      <c r="C2248" s="21" t="inlineStr">
        <is>
          <t>Continuum</t>
        </is>
      </c>
      <c r="D2248" s="3" t="inlineStr">
        <is>
          <t>Utility and C&amp;I</t>
        </is>
      </c>
      <c r="E2248" s="3" t="n"/>
      <c r="F2248" s="3" t="inlineStr">
        <is>
          <t>Closed</t>
        </is>
      </c>
      <c r="G2248" s="21" t="inlineStr">
        <is>
          <t>Amiya Ranjan Behera</t>
        </is>
      </c>
      <c r="H2248" s="21" t="n">
        <v>8917436223</v>
      </c>
      <c r="I2248" s="38" t="inlineStr">
        <is>
          <t>PE06052602</t>
        </is>
      </c>
      <c r="J2248" s="21" t="inlineStr">
        <is>
          <t>Diode Bypass Module Issue</t>
        </is>
      </c>
      <c r="K2248" s="21" t="inlineStr">
        <is>
          <t>Bhavnagar</t>
        </is>
      </c>
      <c r="L2248" s="21" t="inlineStr">
        <is>
          <t>Gujarat</t>
        </is>
      </c>
      <c r="M2248" s="9" t="inlineStr">
        <is>
          <t>PR</t>
        </is>
      </c>
      <c r="N2248" s="3" t="inlineStr">
        <is>
          <t>JB Issue</t>
        </is>
      </c>
      <c r="O2248" s="62" t="n">
        <v>540</v>
      </c>
      <c r="P2248" s="9" t="inlineStr">
        <is>
          <t>NSMP2305134787</t>
        </is>
      </c>
      <c r="Q2248" s="53">
        <f>MID(P2248,5,2)</f>
        <v/>
      </c>
      <c r="R2248" s="53">
        <f>MID(P2248,7,2)</f>
        <v/>
      </c>
      <c r="S2248" s="3" t="inlineStr">
        <is>
          <t>G2B</t>
        </is>
      </c>
      <c r="T2248" s="3" t="inlineStr">
        <is>
          <t>P2</t>
        </is>
      </c>
      <c r="U2248" s="3" t="inlineStr">
        <is>
          <t>P JB Issue</t>
        </is>
      </c>
      <c r="V2248" s="15" t="inlineStr">
        <is>
          <t>JB Changed</t>
        </is>
      </c>
      <c r="W2248" s="3" t="inlineStr">
        <is>
          <t>Repair</t>
        </is>
      </c>
      <c r="X2248" s="18" t="n">
        <v>46169</v>
      </c>
      <c r="Y2248" s="73">
        <f>IF(X2248="","",X2248-A2248)</f>
        <v/>
      </c>
      <c r="Z2248" s="18" t="n">
        <v>46169</v>
      </c>
      <c r="AA2248" s="15" t="n"/>
      <c r="AB2248" s="15" t="n"/>
      <c r="AF2248">
        <f>IF(AND($F2248="Closed",$X2248&gt;=DATE(2026,5,1),$X2248&lt;=DATE(2026,5,31)),"Closed in May","Other")</f>
        <v/>
      </c>
    </row>
    <row r="2249">
      <c r="A2249" s="59" t="n">
        <v>46148</v>
      </c>
      <c r="B2249" s="3" t="n">
        <v>2026</v>
      </c>
      <c r="C2249" s="21" t="inlineStr">
        <is>
          <t>Continuum</t>
        </is>
      </c>
      <c r="D2249" s="3" t="inlineStr">
        <is>
          <t>Utility and C&amp;I</t>
        </is>
      </c>
      <c r="E2249" s="3" t="n"/>
      <c r="F2249" s="3" t="inlineStr">
        <is>
          <t>Closed</t>
        </is>
      </c>
      <c r="G2249" s="21" t="inlineStr">
        <is>
          <t>Amiya Ranjan Behera</t>
        </is>
      </c>
      <c r="H2249" s="21" t="n">
        <v>8917436223</v>
      </c>
      <c r="I2249" s="38" t="inlineStr">
        <is>
          <t>PE06052602</t>
        </is>
      </c>
      <c r="J2249" s="21" t="inlineStr">
        <is>
          <t>Diode Bypass Module Issue</t>
        </is>
      </c>
      <c r="K2249" s="21" t="inlineStr">
        <is>
          <t>Bhavnagar</t>
        </is>
      </c>
      <c r="L2249" s="21" t="inlineStr">
        <is>
          <t>Gujarat</t>
        </is>
      </c>
      <c r="M2249" s="9" t="inlineStr">
        <is>
          <t>PR</t>
        </is>
      </c>
      <c r="N2249" s="3" t="inlineStr">
        <is>
          <t>JB Issue</t>
        </is>
      </c>
      <c r="O2249" s="62" t="n">
        <v>540</v>
      </c>
      <c r="P2249" s="9" t="inlineStr">
        <is>
          <t>NSMP2305192363</t>
        </is>
      </c>
      <c r="Q2249" s="53">
        <f>MID(P2249,5,2)</f>
        <v/>
      </c>
      <c r="R2249" s="53">
        <f>MID(P2249,7,2)</f>
        <v/>
      </c>
      <c r="S2249" s="3" t="inlineStr">
        <is>
          <t>G2B</t>
        </is>
      </c>
      <c r="T2249" s="3" t="inlineStr">
        <is>
          <t>P2</t>
        </is>
      </c>
      <c r="U2249" s="3" t="inlineStr">
        <is>
          <t>P JB Issue</t>
        </is>
      </c>
      <c r="V2249" s="15" t="inlineStr">
        <is>
          <t>JB Changed</t>
        </is>
      </c>
      <c r="W2249" s="3" t="inlineStr">
        <is>
          <t>Repair</t>
        </is>
      </c>
      <c r="X2249" s="18" t="n">
        <v>46169</v>
      </c>
      <c r="Y2249" s="73">
        <f>IF(X2249="","",X2249-A2249)</f>
        <v/>
      </c>
      <c r="Z2249" s="18" t="n">
        <v>46169</v>
      </c>
      <c r="AA2249" s="15" t="n"/>
      <c r="AB2249" s="15" t="n"/>
      <c r="AF2249">
        <f>IF(AND($F2249="Closed",$X2249&gt;=DATE(2026,5,1),$X2249&lt;=DATE(2026,5,31)),"Closed in May","Other")</f>
        <v/>
      </c>
    </row>
    <row r="2250">
      <c r="A2250" s="59" t="n">
        <v>46148</v>
      </c>
      <c r="B2250" s="3" t="n">
        <v>2026</v>
      </c>
      <c r="C2250" s="21" t="inlineStr">
        <is>
          <t>Continuum</t>
        </is>
      </c>
      <c r="D2250" s="3" t="inlineStr">
        <is>
          <t>Utility and C&amp;I</t>
        </is>
      </c>
      <c r="E2250" s="3" t="n"/>
      <c r="F2250" s="3" t="inlineStr">
        <is>
          <t>Closed</t>
        </is>
      </c>
      <c r="G2250" s="21" t="inlineStr">
        <is>
          <t>Amiya Ranjan Behera</t>
        </is>
      </c>
      <c r="H2250" s="21" t="n">
        <v>8917436223</v>
      </c>
      <c r="I2250" s="38" t="inlineStr">
        <is>
          <t>PE06052602</t>
        </is>
      </c>
      <c r="J2250" s="21" t="inlineStr">
        <is>
          <t>Diode Bypass Module Issue</t>
        </is>
      </c>
      <c r="K2250" s="21" t="inlineStr">
        <is>
          <t>Bhavnagar</t>
        </is>
      </c>
      <c r="L2250" s="21" t="inlineStr">
        <is>
          <t>Gujarat</t>
        </is>
      </c>
      <c r="M2250" s="9" t="inlineStr">
        <is>
          <t>PS</t>
        </is>
      </c>
      <c r="N2250" s="3" t="inlineStr">
        <is>
          <t>Cold Soldering</t>
        </is>
      </c>
      <c r="O2250" s="62" t="n">
        <v>540</v>
      </c>
      <c r="P2250" s="9" t="inlineStr">
        <is>
          <t>NSMP2305134831</t>
        </is>
      </c>
      <c r="Q2250" s="53">
        <f>MID(P2250,5,2)</f>
        <v/>
      </c>
      <c r="R2250" s="53">
        <f>MID(P2250,7,2)</f>
        <v/>
      </c>
      <c r="S2250" s="3" t="inlineStr">
        <is>
          <t>G2B</t>
        </is>
      </c>
      <c r="T2250" s="3" t="inlineStr">
        <is>
          <t>P2</t>
        </is>
      </c>
      <c r="U2250" s="3" t="inlineStr">
        <is>
          <t>P JB Cold Soldering</t>
        </is>
      </c>
      <c r="V2250" s="3" t="inlineStr">
        <is>
          <t>Soldering</t>
        </is>
      </c>
      <c r="W2250" s="3" t="inlineStr">
        <is>
          <t>Repair</t>
        </is>
      </c>
      <c r="X2250" s="18" t="n">
        <v>46169</v>
      </c>
      <c r="Y2250" s="73">
        <f>IF(X2250="","",X2250-A2250)</f>
        <v/>
      </c>
      <c r="Z2250" s="18" t="n">
        <v>46169</v>
      </c>
      <c r="AA2250" s="15" t="n"/>
      <c r="AB2250" s="15" t="n"/>
      <c r="AF2250">
        <f>IF(AND($F2250="Closed",$X2250&gt;=DATE(2026,5,1),$X2250&lt;=DATE(2026,5,31)),"Closed in May","Other")</f>
        <v/>
      </c>
    </row>
    <row r="2251">
      <c r="A2251" s="59" t="n">
        <v>46148</v>
      </c>
      <c r="B2251" s="3" t="n">
        <v>2026</v>
      </c>
      <c r="C2251" s="21" t="inlineStr">
        <is>
          <t>Continuum</t>
        </is>
      </c>
      <c r="D2251" s="3" t="inlineStr">
        <is>
          <t>Utility and C&amp;I</t>
        </is>
      </c>
      <c r="E2251" s="3" t="n"/>
      <c r="F2251" s="3" t="inlineStr">
        <is>
          <t>Closed</t>
        </is>
      </c>
      <c r="G2251" s="21" t="inlineStr">
        <is>
          <t>Amiya Ranjan Behera</t>
        </is>
      </c>
      <c r="H2251" s="21" t="n">
        <v>8917436223</v>
      </c>
      <c r="I2251" s="38" t="inlineStr">
        <is>
          <t>PE06052602</t>
        </is>
      </c>
      <c r="J2251" s="21" t="inlineStr">
        <is>
          <t>Diode Bypass Module Issue</t>
        </is>
      </c>
      <c r="K2251" s="21" t="inlineStr">
        <is>
          <t>Bhavnagar</t>
        </is>
      </c>
      <c r="L2251" s="21" t="inlineStr">
        <is>
          <t>Gujarat</t>
        </is>
      </c>
      <c r="M2251" s="9" t="inlineStr">
        <is>
          <t>PS</t>
        </is>
      </c>
      <c r="N2251" s="3" t="inlineStr">
        <is>
          <t>Cold Soldering</t>
        </is>
      </c>
      <c r="O2251" s="62" t="n">
        <v>540</v>
      </c>
      <c r="P2251" s="9" t="inlineStr">
        <is>
          <t>NSMP2305130102</t>
        </is>
      </c>
      <c r="Q2251" s="53">
        <f>MID(P2251,5,2)</f>
        <v/>
      </c>
      <c r="R2251" s="53">
        <f>MID(P2251,7,2)</f>
        <v/>
      </c>
      <c r="S2251" s="3" t="inlineStr">
        <is>
          <t>G2B</t>
        </is>
      </c>
      <c r="T2251" s="3" t="inlineStr">
        <is>
          <t>P2</t>
        </is>
      </c>
      <c r="U2251" s="3" t="inlineStr">
        <is>
          <t>P JB Cold Soldering</t>
        </is>
      </c>
      <c r="V2251" s="3" t="inlineStr">
        <is>
          <t>Soldering</t>
        </is>
      </c>
      <c r="W2251" s="3" t="inlineStr">
        <is>
          <t>Repair</t>
        </is>
      </c>
      <c r="X2251" s="18" t="n">
        <v>46169</v>
      </c>
      <c r="Y2251" s="73">
        <f>IF(X2251="","",X2251-A2251)</f>
        <v/>
      </c>
      <c r="Z2251" s="18" t="n">
        <v>46169</v>
      </c>
      <c r="AA2251" s="15" t="n"/>
      <c r="AB2251" s="15" t="n"/>
      <c r="AF2251">
        <f>IF(AND($F2251="Closed",$X2251&gt;=DATE(2026,5,1),$X2251&lt;=DATE(2026,5,31)),"Closed in May","Other")</f>
        <v/>
      </c>
    </row>
    <row r="2252">
      <c r="A2252" s="59" t="n">
        <v>46148</v>
      </c>
      <c r="B2252" s="3" t="n">
        <v>2026</v>
      </c>
      <c r="C2252" s="21" t="inlineStr">
        <is>
          <t>Continuum</t>
        </is>
      </c>
      <c r="D2252" s="3" t="inlineStr">
        <is>
          <t>Utility and C&amp;I</t>
        </is>
      </c>
      <c r="E2252" s="3" t="n"/>
      <c r="F2252" s="3" t="inlineStr">
        <is>
          <t>Closed</t>
        </is>
      </c>
      <c r="G2252" s="21" t="inlineStr">
        <is>
          <t>Amiya Ranjan Behera</t>
        </is>
      </c>
      <c r="H2252" s="21" t="n">
        <v>8917436223</v>
      </c>
      <c r="I2252" s="38" t="inlineStr">
        <is>
          <t>PE06052602</t>
        </is>
      </c>
      <c r="J2252" s="21" t="inlineStr">
        <is>
          <t>Diode Bypass Module Issue</t>
        </is>
      </c>
      <c r="K2252" s="21" t="inlineStr">
        <is>
          <t>Bhavnagar</t>
        </is>
      </c>
      <c r="L2252" s="21" t="inlineStr">
        <is>
          <t>Gujarat</t>
        </is>
      </c>
      <c r="M2252" s="9" t="inlineStr">
        <is>
          <t>PNS</t>
        </is>
      </c>
      <c r="N2252" s="3" t="inlineStr">
        <is>
          <t>Cold Soldering</t>
        </is>
      </c>
      <c r="O2252" s="62" t="n">
        <v>540</v>
      </c>
      <c r="P2252" s="9" t="inlineStr">
        <is>
          <t>NSMP2305130059</t>
        </is>
      </c>
      <c r="Q2252" s="53">
        <f>MID(P2252,5,2)</f>
        <v/>
      </c>
      <c r="R2252" s="53">
        <f>MID(P2252,7,2)</f>
        <v/>
      </c>
      <c r="S2252" s="3" t="inlineStr">
        <is>
          <t>G2B</t>
        </is>
      </c>
      <c r="T2252" s="3" t="inlineStr">
        <is>
          <t>P2</t>
        </is>
      </c>
      <c r="U2252" s="3" t="inlineStr">
        <is>
          <t>P &amp; N JB Cold Soldering</t>
        </is>
      </c>
      <c r="V2252" s="3" t="inlineStr">
        <is>
          <t>Soldering</t>
        </is>
      </c>
      <c r="W2252" s="3" t="inlineStr">
        <is>
          <t>Repair</t>
        </is>
      </c>
      <c r="X2252" s="18" t="n">
        <v>46169</v>
      </c>
      <c r="Y2252" s="73">
        <f>IF(X2252="","",X2252-A2252)</f>
        <v/>
      </c>
      <c r="Z2252" s="18" t="n">
        <v>46169</v>
      </c>
      <c r="AA2252" s="15" t="n"/>
      <c r="AB2252" s="15" t="n"/>
      <c r="AF2252">
        <f>IF(AND($F2252="Closed",$X2252&gt;=DATE(2026,5,1),$X2252&lt;=DATE(2026,5,31)),"Closed in May","Other")</f>
        <v/>
      </c>
    </row>
    <row r="2253">
      <c r="A2253" s="59" t="n">
        <v>46148</v>
      </c>
      <c r="B2253" s="3" t="n">
        <v>2026</v>
      </c>
      <c r="C2253" s="21" t="inlineStr">
        <is>
          <t>Continuum</t>
        </is>
      </c>
      <c r="D2253" s="3" t="inlineStr">
        <is>
          <t>Utility and C&amp;I</t>
        </is>
      </c>
      <c r="E2253" s="3" t="n"/>
      <c r="F2253" s="3" t="inlineStr">
        <is>
          <t>Closed</t>
        </is>
      </c>
      <c r="G2253" s="21" t="inlineStr">
        <is>
          <t>Amiya Ranjan Behera</t>
        </is>
      </c>
      <c r="H2253" s="21" t="n">
        <v>8917436223</v>
      </c>
      <c r="I2253" s="38" t="inlineStr">
        <is>
          <t>PE06052602</t>
        </is>
      </c>
      <c r="J2253" s="21" t="inlineStr">
        <is>
          <t>Diode Bypass Module Issue</t>
        </is>
      </c>
      <c r="K2253" s="21" t="inlineStr">
        <is>
          <t>Bhavnagar</t>
        </is>
      </c>
      <c r="L2253" s="21" t="inlineStr">
        <is>
          <t>Gujarat</t>
        </is>
      </c>
      <c r="M2253" s="9" t="inlineStr">
        <is>
          <t>NS</t>
        </is>
      </c>
      <c r="N2253" s="26" t="inlineStr">
        <is>
          <t>Cold Soldering</t>
        </is>
      </c>
      <c r="O2253" s="62" t="n">
        <v>540</v>
      </c>
      <c r="P2253" s="9" t="inlineStr">
        <is>
          <t>NSMP2305130061</t>
        </is>
      </c>
      <c r="Q2253" s="53">
        <f>MID(P2253,5,2)</f>
        <v/>
      </c>
      <c r="R2253" s="53">
        <f>MID(P2253,7,2)</f>
        <v/>
      </c>
      <c r="S2253" s="3" t="inlineStr">
        <is>
          <t>G2B</t>
        </is>
      </c>
      <c r="T2253" s="3" t="inlineStr">
        <is>
          <t>P2</t>
        </is>
      </c>
      <c r="U2253" s="19" t="inlineStr">
        <is>
          <t>N JB Cold Soldering</t>
        </is>
      </c>
      <c r="V2253" s="19" t="inlineStr">
        <is>
          <t>Soldering</t>
        </is>
      </c>
      <c r="W2253" s="3" t="inlineStr">
        <is>
          <t>Repair</t>
        </is>
      </c>
      <c r="X2253" s="18" t="n">
        <v>46169</v>
      </c>
      <c r="Y2253" s="73">
        <f>IF(X2253="","",X2253-A2253)</f>
        <v/>
      </c>
      <c r="Z2253" s="18" t="n">
        <v>46169</v>
      </c>
      <c r="AA2253" s="15" t="n"/>
      <c r="AB2253" s="15" t="n"/>
      <c r="AF2253">
        <f>IF(AND($F2253="Closed",$X2253&gt;=DATE(2026,5,1),$X2253&lt;=DATE(2026,5,31)),"Closed in May","Other")</f>
        <v/>
      </c>
    </row>
    <row r="2254">
      <c r="A2254" s="59" t="n">
        <v>46148</v>
      </c>
      <c r="B2254" s="3" t="n">
        <v>2026</v>
      </c>
      <c r="C2254" s="21" t="inlineStr">
        <is>
          <t>Continuum</t>
        </is>
      </c>
      <c r="D2254" s="3" t="inlineStr">
        <is>
          <t>Utility and C&amp;I</t>
        </is>
      </c>
      <c r="E2254" s="3" t="n"/>
      <c r="F2254" s="3" t="inlineStr">
        <is>
          <t>Closed</t>
        </is>
      </c>
      <c r="G2254" s="21" t="inlineStr">
        <is>
          <t>Amiya Ranjan Behera</t>
        </is>
      </c>
      <c r="H2254" s="21" t="n">
        <v>8917436223</v>
      </c>
      <c r="I2254" s="38" t="inlineStr">
        <is>
          <t>PE06052602</t>
        </is>
      </c>
      <c r="J2254" s="21" t="inlineStr">
        <is>
          <t>Diode Bypass Module Issue</t>
        </is>
      </c>
      <c r="K2254" s="21" t="inlineStr">
        <is>
          <t>Bhavnagar</t>
        </is>
      </c>
      <c r="L2254" s="21" t="inlineStr">
        <is>
          <t>Gujarat</t>
        </is>
      </c>
      <c r="M2254" s="9" t="inlineStr">
        <is>
          <t>PS</t>
        </is>
      </c>
      <c r="N2254" s="3" t="inlineStr">
        <is>
          <t>Cold Soldering</t>
        </is>
      </c>
      <c r="O2254" s="62" t="n">
        <v>540</v>
      </c>
      <c r="P2254" s="9" t="inlineStr">
        <is>
          <t>NSMP2305134570</t>
        </is>
      </c>
      <c r="Q2254" s="53">
        <f>MID(P2254,5,2)</f>
        <v/>
      </c>
      <c r="R2254" s="53">
        <f>MID(P2254,7,2)</f>
        <v/>
      </c>
      <c r="S2254" s="3" t="inlineStr">
        <is>
          <t>G2B</t>
        </is>
      </c>
      <c r="T2254" s="3" t="inlineStr">
        <is>
          <t>P2</t>
        </is>
      </c>
      <c r="U2254" s="3" t="inlineStr">
        <is>
          <t>P JB Cold Soldering</t>
        </is>
      </c>
      <c r="V2254" s="3" t="inlineStr">
        <is>
          <t>Soldering</t>
        </is>
      </c>
      <c r="W2254" s="3" t="inlineStr">
        <is>
          <t>Repair</t>
        </is>
      </c>
      <c r="X2254" s="18" t="n">
        <v>46169</v>
      </c>
      <c r="Y2254" s="73">
        <f>IF(X2254="","",X2254-A2254)</f>
        <v/>
      </c>
      <c r="Z2254" s="18" t="n">
        <v>46169</v>
      </c>
      <c r="AA2254" s="15" t="n"/>
      <c r="AB2254" s="15" t="n"/>
      <c r="AF2254">
        <f>IF(AND($F2254="Closed",$X2254&gt;=DATE(2026,5,1),$X2254&lt;=DATE(2026,5,31)),"Closed in May","Other")</f>
        <v/>
      </c>
    </row>
    <row r="2255">
      <c r="A2255" s="59" t="n">
        <v>46148</v>
      </c>
      <c r="B2255" s="3" t="n">
        <v>2026</v>
      </c>
      <c r="C2255" s="21" t="inlineStr">
        <is>
          <t>Continuum</t>
        </is>
      </c>
      <c r="D2255" s="3" t="inlineStr">
        <is>
          <t>Utility and C&amp;I</t>
        </is>
      </c>
      <c r="E2255" s="3" t="n"/>
      <c r="F2255" s="3" t="inlineStr">
        <is>
          <t>Closed</t>
        </is>
      </c>
      <c r="G2255" s="21" t="inlineStr">
        <is>
          <t>Amiya Ranjan Behera</t>
        </is>
      </c>
      <c r="H2255" s="21" t="n">
        <v>8917436223</v>
      </c>
      <c r="I2255" s="38" t="inlineStr">
        <is>
          <t>PE06052602</t>
        </is>
      </c>
      <c r="J2255" s="21" t="inlineStr">
        <is>
          <t>Diode Bypass Module Issue</t>
        </is>
      </c>
      <c r="K2255" s="21" t="inlineStr">
        <is>
          <t>Bhavnagar</t>
        </is>
      </c>
      <c r="L2255" s="21" t="inlineStr">
        <is>
          <t>Gujarat</t>
        </is>
      </c>
      <c r="M2255" s="9" t="inlineStr">
        <is>
          <t>PS</t>
        </is>
      </c>
      <c r="N2255" s="3" t="inlineStr">
        <is>
          <t>Cold Soldering</t>
        </is>
      </c>
      <c r="O2255" s="62" t="n">
        <v>540</v>
      </c>
      <c r="P2255" s="9" t="inlineStr">
        <is>
          <t>NSMP2305134757</t>
        </is>
      </c>
      <c r="Q2255" s="53">
        <f>MID(P2255,5,2)</f>
        <v/>
      </c>
      <c r="R2255" s="53">
        <f>MID(P2255,7,2)</f>
        <v/>
      </c>
      <c r="S2255" s="3" t="inlineStr">
        <is>
          <t>G2B</t>
        </is>
      </c>
      <c r="T2255" s="3" t="inlineStr">
        <is>
          <t>P2</t>
        </is>
      </c>
      <c r="U2255" s="3" t="inlineStr">
        <is>
          <t>P JB Cold Soldering</t>
        </is>
      </c>
      <c r="V2255" s="3" t="inlineStr">
        <is>
          <t>Soldering</t>
        </is>
      </c>
      <c r="W2255" s="3" t="inlineStr">
        <is>
          <t>Repair</t>
        </is>
      </c>
      <c r="X2255" s="18" t="n">
        <v>46169</v>
      </c>
      <c r="Y2255" s="73">
        <f>IF(X2255="","",X2255-A2255)</f>
        <v/>
      </c>
      <c r="Z2255" s="18" t="n">
        <v>46169</v>
      </c>
      <c r="AA2255" s="15" t="n"/>
      <c r="AB2255" s="15" t="n"/>
      <c r="AF2255">
        <f>IF(AND($F2255="Closed",$X2255&gt;=DATE(2026,5,1),$X2255&lt;=DATE(2026,5,31)),"Closed in May","Other")</f>
        <v/>
      </c>
    </row>
    <row r="2256">
      <c r="A2256" s="59" t="n">
        <v>46148</v>
      </c>
      <c r="B2256" s="3" t="n">
        <v>2026</v>
      </c>
      <c r="C2256" s="21" t="inlineStr">
        <is>
          <t>Continuum</t>
        </is>
      </c>
      <c r="D2256" s="3" t="inlineStr">
        <is>
          <t>Utility and C&amp;I</t>
        </is>
      </c>
      <c r="E2256" s="3" t="n"/>
      <c r="F2256" s="3" t="inlineStr">
        <is>
          <t>Closed</t>
        </is>
      </c>
      <c r="G2256" s="21" t="inlineStr">
        <is>
          <t>Amiya Ranjan Behera</t>
        </is>
      </c>
      <c r="H2256" s="21" t="n">
        <v>8917436223</v>
      </c>
      <c r="I2256" s="38" t="inlineStr">
        <is>
          <t>PE06052602</t>
        </is>
      </c>
      <c r="J2256" s="21" t="inlineStr">
        <is>
          <t>Diode Bypass Module Issue</t>
        </is>
      </c>
      <c r="K2256" s="21" t="inlineStr">
        <is>
          <t>Bhavnagar</t>
        </is>
      </c>
      <c r="L2256" s="21" t="inlineStr">
        <is>
          <t>Gujarat</t>
        </is>
      </c>
      <c r="M2256" s="9" t="inlineStr">
        <is>
          <t>PS</t>
        </is>
      </c>
      <c r="N2256" s="3" t="inlineStr">
        <is>
          <t>Cold Soldering</t>
        </is>
      </c>
      <c r="O2256" s="62" t="n">
        <v>540</v>
      </c>
      <c r="P2256" s="9" t="inlineStr">
        <is>
          <t>NSMP2305129581</t>
        </is>
      </c>
      <c r="Q2256" s="53">
        <f>MID(P2256,5,2)</f>
        <v/>
      </c>
      <c r="R2256" s="53">
        <f>MID(P2256,7,2)</f>
        <v/>
      </c>
      <c r="S2256" s="3" t="inlineStr">
        <is>
          <t>G2B</t>
        </is>
      </c>
      <c r="T2256" s="3" t="inlineStr">
        <is>
          <t>P2</t>
        </is>
      </c>
      <c r="U2256" s="3" t="inlineStr">
        <is>
          <t>P JB Cold Soldering</t>
        </is>
      </c>
      <c r="V2256" s="3" t="inlineStr">
        <is>
          <t>Soldering</t>
        </is>
      </c>
      <c r="W2256" s="3" t="inlineStr">
        <is>
          <t>Repair</t>
        </is>
      </c>
      <c r="X2256" s="18" t="n">
        <v>46169</v>
      </c>
      <c r="Y2256" s="73">
        <f>IF(X2256="","",X2256-A2256)</f>
        <v/>
      </c>
      <c r="Z2256" s="18" t="n">
        <v>46169</v>
      </c>
      <c r="AA2256" s="15" t="n"/>
      <c r="AB2256" s="15" t="n"/>
      <c r="AF2256">
        <f>IF(AND($F2256="Closed",$X2256&gt;=DATE(2026,5,1),$X2256&lt;=DATE(2026,5,31)),"Closed in May","Other")</f>
        <v/>
      </c>
    </row>
    <row r="2257">
      <c r="A2257" s="59" t="n">
        <v>46148</v>
      </c>
      <c r="B2257" s="3" t="n">
        <v>2026</v>
      </c>
      <c r="C2257" s="21" t="inlineStr">
        <is>
          <t>Continuum</t>
        </is>
      </c>
      <c r="D2257" s="3" t="inlineStr">
        <is>
          <t>Utility and C&amp;I</t>
        </is>
      </c>
      <c r="E2257" s="3" t="n"/>
      <c r="F2257" s="3" t="inlineStr">
        <is>
          <t>Closed</t>
        </is>
      </c>
      <c r="G2257" s="21" t="inlineStr">
        <is>
          <t>Amiya Ranjan Behera</t>
        </is>
      </c>
      <c r="H2257" s="21" t="n">
        <v>8917436223</v>
      </c>
      <c r="I2257" s="38" t="inlineStr">
        <is>
          <t>PE06052602</t>
        </is>
      </c>
      <c r="J2257" s="21" t="inlineStr">
        <is>
          <t>Diode Bypass Module Issue</t>
        </is>
      </c>
      <c r="K2257" s="21" t="inlineStr">
        <is>
          <t>Bhavnagar</t>
        </is>
      </c>
      <c r="L2257" s="21" t="inlineStr">
        <is>
          <t>Gujarat</t>
        </is>
      </c>
      <c r="M2257" s="9" t="inlineStr">
        <is>
          <t>PS</t>
        </is>
      </c>
      <c r="N2257" s="3" t="inlineStr">
        <is>
          <t>Cold Soldering</t>
        </is>
      </c>
      <c r="O2257" s="62" t="n">
        <v>540</v>
      </c>
      <c r="P2257" s="9" t="inlineStr">
        <is>
          <t>NSMP2305129495</t>
        </is>
      </c>
      <c r="Q2257" s="53">
        <f>MID(P2257,5,2)</f>
        <v/>
      </c>
      <c r="R2257" s="53">
        <f>MID(P2257,7,2)</f>
        <v/>
      </c>
      <c r="S2257" s="3" t="inlineStr">
        <is>
          <t>G2B</t>
        </is>
      </c>
      <c r="T2257" s="3" t="inlineStr">
        <is>
          <t>P2</t>
        </is>
      </c>
      <c r="U2257" s="3" t="inlineStr">
        <is>
          <t>P JB Cold Soldering</t>
        </is>
      </c>
      <c r="V2257" s="3" t="inlineStr">
        <is>
          <t>Soldering</t>
        </is>
      </c>
      <c r="W2257" s="3" t="inlineStr">
        <is>
          <t>Repair</t>
        </is>
      </c>
      <c r="X2257" s="18" t="n">
        <v>46169</v>
      </c>
      <c r="Y2257" s="73">
        <f>IF(X2257="","",X2257-A2257)</f>
        <v/>
      </c>
      <c r="Z2257" s="18" t="n">
        <v>46169</v>
      </c>
      <c r="AA2257" s="15" t="n"/>
      <c r="AB2257" s="15" t="n"/>
      <c r="AF2257">
        <f>IF(AND($F2257="Closed",$X2257&gt;=DATE(2026,5,1),$X2257&lt;=DATE(2026,5,31)),"Closed in May","Other")</f>
        <v/>
      </c>
    </row>
    <row r="2258">
      <c r="A2258" s="59" t="n">
        <v>46148</v>
      </c>
      <c r="B2258" s="3" t="n">
        <v>2026</v>
      </c>
      <c r="C2258" s="21" t="inlineStr">
        <is>
          <t>Continuum</t>
        </is>
      </c>
      <c r="D2258" s="3" t="inlineStr">
        <is>
          <t>Utility and C&amp;I</t>
        </is>
      </c>
      <c r="E2258" s="3" t="n"/>
      <c r="F2258" s="3" t="inlineStr">
        <is>
          <t>Closed</t>
        </is>
      </c>
      <c r="G2258" s="21" t="inlineStr">
        <is>
          <t>Amiya Ranjan Behera</t>
        </is>
      </c>
      <c r="H2258" s="21" t="n">
        <v>8917436223</v>
      </c>
      <c r="I2258" s="38" t="inlineStr">
        <is>
          <t>PE06052602</t>
        </is>
      </c>
      <c r="J2258" s="21" t="inlineStr">
        <is>
          <t>Diode Bypass Module Issue</t>
        </is>
      </c>
      <c r="K2258" s="21" t="inlineStr">
        <is>
          <t>Bhavnagar</t>
        </is>
      </c>
      <c r="L2258" s="21" t="inlineStr">
        <is>
          <t>Gujarat</t>
        </is>
      </c>
      <c r="M2258" s="9" t="inlineStr">
        <is>
          <t>PS</t>
        </is>
      </c>
      <c r="N2258" s="3" t="inlineStr">
        <is>
          <t>Cold Soldering</t>
        </is>
      </c>
      <c r="O2258" s="62" t="n">
        <v>540</v>
      </c>
      <c r="P2258" s="9" t="inlineStr">
        <is>
          <t>NSMP2305129325</t>
        </is>
      </c>
      <c r="Q2258" s="53">
        <f>MID(P2258,5,2)</f>
        <v/>
      </c>
      <c r="R2258" s="53">
        <f>MID(P2258,7,2)</f>
        <v/>
      </c>
      <c r="S2258" s="3" t="inlineStr">
        <is>
          <t>G2B</t>
        </is>
      </c>
      <c r="T2258" s="3" t="inlineStr">
        <is>
          <t>P2</t>
        </is>
      </c>
      <c r="U2258" s="3" t="inlineStr">
        <is>
          <t>P JB Cold Soldering</t>
        </is>
      </c>
      <c r="V2258" s="3" t="inlineStr">
        <is>
          <t>Soldering</t>
        </is>
      </c>
      <c r="W2258" s="3" t="inlineStr">
        <is>
          <t>Repair</t>
        </is>
      </c>
      <c r="X2258" s="18" t="n">
        <v>46169</v>
      </c>
      <c r="Y2258" s="73">
        <f>IF(X2258="","",X2258-A2258)</f>
        <v/>
      </c>
      <c r="Z2258" s="18" t="n">
        <v>46169</v>
      </c>
      <c r="AA2258" s="15" t="n"/>
      <c r="AB2258" s="15" t="n"/>
      <c r="AF2258">
        <f>IF(AND($F2258="Closed",$X2258&gt;=DATE(2026,5,1),$X2258&lt;=DATE(2026,5,31)),"Closed in May","Other")</f>
        <v/>
      </c>
    </row>
    <row r="2259">
      <c r="A2259" s="59" t="n">
        <v>46148</v>
      </c>
      <c r="B2259" s="3" t="n">
        <v>2026</v>
      </c>
      <c r="C2259" s="21" t="inlineStr">
        <is>
          <t>Continuum</t>
        </is>
      </c>
      <c r="D2259" s="3" t="inlineStr">
        <is>
          <t>Utility and C&amp;I</t>
        </is>
      </c>
      <c r="E2259" s="3" t="n"/>
      <c r="F2259" s="3" t="inlineStr">
        <is>
          <t>Closed</t>
        </is>
      </c>
      <c r="G2259" s="21" t="inlineStr">
        <is>
          <t>Amiya Ranjan Behera</t>
        </is>
      </c>
      <c r="H2259" s="21" t="n">
        <v>8917436223</v>
      </c>
      <c r="I2259" s="38" t="inlineStr">
        <is>
          <t>PE06052602</t>
        </is>
      </c>
      <c r="J2259" s="21" t="inlineStr">
        <is>
          <t>Diode Bypass Module Issue</t>
        </is>
      </c>
      <c r="K2259" s="21" t="inlineStr">
        <is>
          <t>Bhavnagar</t>
        </is>
      </c>
      <c r="L2259" s="21" t="inlineStr">
        <is>
          <t>Gujarat</t>
        </is>
      </c>
      <c r="M2259" s="9" t="inlineStr">
        <is>
          <t>OK</t>
        </is>
      </c>
      <c r="N2259" s="3" t="inlineStr">
        <is>
          <t>No Issue</t>
        </is>
      </c>
      <c r="O2259" s="62" t="n">
        <v>540</v>
      </c>
      <c r="P2259" s="9" t="inlineStr">
        <is>
          <t>NSMP2305171356</t>
        </is>
      </c>
      <c r="Q2259" s="53">
        <f>MID(P2259,5,2)</f>
        <v/>
      </c>
      <c r="R2259" s="53">
        <f>MID(P2259,7,2)</f>
        <v/>
      </c>
      <c r="S2259" s="3" t="inlineStr">
        <is>
          <t>G2B</t>
        </is>
      </c>
      <c r="T2259" s="3" t="inlineStr">
        <is>
          <t>P2</t>
        </is>
      </c>
      <c r="U2259" s="19" t="inlineStr">
        <is>
          <t>No Issue Found</t>
        </is>
      </c>
      <c r="V2259" s="19" t="inlineStr">
        <is>
          <t>Found OK</t>
        </is>
      </c>
      <c r="W2259" s="3" t="inlineStr">
        <is>
          <t>Repair</t>
        </is>
      </c>
      <c r="X2259" s="18" t="n">
        <v>46169</v>
      </c>
      <c r="Y2259" s="73">
        <f>IF(X2259="","",X2259-A2259)</f>
        <v/>
      </c>
      <c r="Z2259" s="18" t="n">
        <v>46169</v>
      </c>
      <c r="AA2259" s="15" t="n"/>
      <c r="AB2259" s="15" t="n"/>
      <c r="AF2259">
        <f>IF(AND($F2259="Closed",$X2259&gt;=DATE(2026,5,1),$X2259&lt;=DATE(2026,5,31)),"Closed in May","Other")</f>
        <v/>
      </c>
    </row>
    <row r="2260">
      <c r="A2260" s="59" t="n">
        <v>46148</v>
      </c>
      <c r="B2260" s="3" t="n">
        <v>2026</v>
      </c>
      <c r="C2260" s="21" t="inlineStr">
        <is>
          <t>Continuum</t>
        </is>
      </c>
      <c r="D2260" s="3" t="inlineStr">
        <is>
          <t>Utility and C&amp;I</t>
        </is>
      </c>
      <c r="E2260" s="3" t="n"/>
      <c r="F2260" s="3" t="inlineStr">
        <is>
          <t>Closed</t>
        </is>
      </c>
      <c r="G2260" s="21" t="inlineStr">
        <is>
          <t>Amiya Ranjan Behera</t>
        </is>
      </c>
      <c r="H2260" s="21" t="n">
        <v>8917436223</v>
      </c>
      <c r="I2260" s="38" t="inlineStr">
        <is>
          <t>PE06052602</t>
        </is>
      </c>
      <c r="J2260" s="21" t="inlineStr">
        <is>
          <t>Diode Bypass Module Issue</t>
        </is>
      </c>
      <c r="K2260" s="21" t="inlineStr">
        <is>
          <t>Bhavnagar</t>
        </is>
      </c>
      <c r="L2260" s="21" t="inlineStr">
        <is>
          <t>Gujarat</t>
        </is>
      </c>
      <c r="M2260" s="9" t="inlineStr">
        <is>
          <t>PS</t>
        </is>
      </c>
      <c r="N2260" s="3" t="inlineStr">
        <is>
          <t>Cold Soldering</t>
        </is>
      </c>
      <c r="O2260" s="62" t="n">
        <v>540</v>
      </c>
      <c r="P2260" s="9" t="inlineStr">
        <is>
          <t>NSMP2305130330</t>
        </is>
      </c>
      <c r="Q2260" s="53">
        <f>MID(P2260,5,2)</f>
        <v/>
      </c>
      <c r="R2260" s="53">
        <f>MID(P2260,7,2)</f>
        <v/>
      </c>
      <c r="S2260" s="3" t="inlineStr">
        <is>
          <t>G2B</t>
        </is>
      </c>
      <c r="T2260" s="3" t="inlineStr">
        <is>
          <t>P2</t>
        </is>
      </c>
      <c r="U2260" s="3" t="inlineStr">
        <is>
          <t>P JB Cold Soldering</t>
        </is>
      </c>
      <c r="V2260" s="3" t="inlineStr">
        <is>
          <t>Soldering</t>
        </is>
      </c>
      <c r="W2260" s="3" t="inlineStr">
        <is>
          <t>Repair</t>
        </is>
      </c>
      <c r="X2260" s="18" t="n">
        <v>46169</v>
      </c>
      <c r="Y2260" s="73">
        <f>IF(X2260="","",X2260-A2260)</f>
        <v/>
      </c>
      <c r="Z2260" s="18" t="n">
        <v>46169</v>
      </c>
      <c r="AA2260" s="15" t="n"/>
      <c r="AB2260" s="15" t="n"/>
      <c r="AF2260">
        <f>IF(AND($F2260="Closed",$X2260&gt;=DATE(2026,5,1),$X2260&lt;=DATE(2026,5,31)),"Closed in May","Other")</f>
        <v/>
      </c>
    </row>
    <row r="2261">
      <c r="A2261" s="59" t="n">
        <v>46148</v>
      </c>
      <c r="B2261" s="3" t="n">
        <v>2026</v>
      </c>
      <c r="C2261" s="21" t="inlineStr">
        <is>
          <t>Continuum</t>
        </is>
      </c>
      <c r="D2261" s="3" t="inlineStr">
        <is>
          <t>Utility and C&amp;I</t>
        </is>
      </c>
      <c r="E2261" s="3" t="n"/>
      <c r="F2261" s="3" t="inlineStr">
        <is>
          <t>Closed</t>
        </is>
      </c>
      <c r="G2261" s="21" t="inlineStr">
        <is>
          <t>Amiya Ranjan Behera</t>
        </is>
      </c>
      <c r="H2261" s="21" t="n">
        <v>8917436223</v>
      </c>
      <c r="I2261" s="38" t="inlineStr">
        <is>
          <t>PE06052602</t>
        </is>
      </c>
      <c r="J2261" s="21" t="inlineStr">
        <is>
          <t>Diode Bypass Module Issue</t>
        </is>
      </c>
      <c r="K2261" s="21" t="inlineStr">
        <is>
          <t>Bhavnagar</t>
        </is>
      </c>
      <c r="L2261" s="21" t="inlineStr">
        <is>
          <t>Gujarat</t>
        </is>
      </c>
      <c r="M2261" s="9" t="inlineStr">
        <is>
          <t>NR</t>
        </is>
      </c>
      <c r="N2261" s="26" t="inlineStr">
        <is>
          <t>JB Issue</t>
        </is>
      </c>
      <c r="O2261" s="62" t="n">
        <v>540</v>
      </c>
      <c r="P2261" s="9" t="inlineStr">
        <is>
          <t>NSMP2305126438</t>
        </is>
      </c>
      <c r="Q2261" s="53">
        <f>MID(P2261,5,2)</f>
        <v/>
      </c>
      <c r="R2261" s="53">
        <f>MID(P2261,7,2)</f>
        <v/>
      </c>
      <c r="S2261" s="3" t="inlineStr">
        <is>
          <t>G2B</t>
        </is>
      </c>
      <c r="T2261" s="3" t="inlineStr">
        <is>
          <t>P2</t>
        </is>
      </c>
      <c r="U2261" s="19" t="inlineStr">
        <is>
          <t>N JB Issue</t>
        </is>
      </c>
      <c r="V2261" s="19" t="inlineStr">
        <is>
          <t>JB Changed</t>
        </is>
      </c>
      <c r="W2261" s="3" t="inlineStr">
        <is>
          <t>Repair</t>
        </is>
      </c>
      <c r="X2261" s="18" t="n">
        <v>46169</v>
      </c>
      <c r="Y2261" s="73">
        <f>IF(X2261="","",X2261-A2261)</f>
        <v/>
      </c>
      <c r="Z2261" s="18" t="n">
        <v>46169</v>
      </c>
      <c r="AA2261" s="15" t="n"/>
      <c r="AB2261" s="15" t="n"/>
      <c r="AF2261">
        <f>IF(AND($F2261="Closed",$X2261&gt;=DATE(2026,5,1),$X2261&lt;=DATE(2026,5,31)),"Closed in May","Other")</f>
        <v/>
      </c>
    </row>
    <row r="2262">
      <c r="A2262" s="59" t="n">
        <v>46148</v>
      </c>
      <c r="B2262" s="3" t="n">
        <v>2026</v>
      </c>
      <c r="C2262" s="21" t="inlineStr">
        <is>
          <t>Continuum</t>
        </is>
      </c>
      <c r="D2262" s="3" t="inlineStr">
        <is>
          <t>Utility and C&amp;I</t>
        </is>
      </c>
      <c r="E2262" s="3" t="n"/>
      <c r="F2262" s="3" t="inlineStr">
        <is>
          <t>Closed</t>
        </is>
      </c>
      <c r="G2262" s="21" t="inlineStr">
        <is>
          <t>Amiya Ranjan Behera</t>
        </is>
      </c>
      <c r="H2262" s="21" t="n">
        <v>8917436223</v>
      </c>
      <c r="I2262" s="38" t="inlineStr">
        <is>
          <t>PE06052602</t>
        </is>
      </c>
      <c r="J2262" s="21" t="inlineStr">
        <is>
          <t>Diode Bypass Module Issue</t>
        </is>
      </c>
      <c r="K2262" s="21" t="inlineStr">
        <is>
          <t>Bhavnagar</t>
        </is>
      </c>
      <c r="L2262" s="21" t="inlineStr">
        <is>
          <t>Gujarat</t>
        </is>
      </c>
      <c r="M2262" s="9" t="inlineStr">
        <is>
          <t>PS</t>
        </is>
      </c>
      <c r="N2262" s="3" t="inlineStr">
        <is>
          <t>Cold Soldering</t>
        </is>
      </c>
      <c r="O2262" s="62" t="n">
        <v>540</v>
      </c>
      <c r="P2262" s="9" t="inlineStr">
        <is>
          <t>NSMP2305130722</t>
        </is>
      </c>
      <c r="Q2262" s="53">
        <f>MID(P2262,5,2)</f>
        <v/>
      </c>
      <c r="R2262" s="53">
        <f>MID(P2262,7,2)</f>
        <v/>
      </c>
      <c r="S2262" s="3" t="inlineStr">
        <is>
          <t>G2B</t>
        </is>
      </c>
      <c r="T2262" s="3" t="inlineStr">
        <is>
          <t>P2</t>
        </is>
      </c>
      <c r="U2262" s="3" t="inlineStr">
        <is>
          <t>P JB Cold Soldering</t>
        </is>
      </c>
      <c r="V2262" s="3" t="inlineStr">
        <is>
          <t>Soldering</t>
        </is>
      </c>
      <c r="W2262" s="3" t="inlineStr">
        <is>
          <t>Repair</t>
        </is>
      </c>
      <c r="X2262" s="18" t="n">
        <v>46169</v>
      </c>
      <c r="Y2262" s="73">
        <f>IF(X2262="","",X2262-A2262)</f>
        <v/>
      </c>
      <c r="Z2262" s="18" t="n">
        <v>46169</v>
      </c>
      <c r="AA2262" s="15" t="n"/>
      <c r="AB2262" s="15" t="n"/>
      <c r="AF2262">
        <f>IF(AND($F2262="Closed",$X2262&gt;=DATE(2026,5,1),$X2262&lt;=DATE(2026,5,31)),"Closed in May","Other")</f>
        <v/>
      </c>
    </row>
    <row r="2263">
      <c r="A2263" s="59" t="n">
        <v>46148</v>
      </c>
      <c r="B2263" s="3" t="n">
        <v>2026</v>
      </c>
      <c r="C2263" s="21" t="inlineStr">
        <is>
          <t>Continuum</t>
        </is>
      </c>
      <c r="D2263" s="3" t="inlineStr">
        <is>
          <t>Utility and C&amp;I</t>
        </is>
      </c>
      <c r="E2263" s="3" t="n"/>
      <c r="F2263" s="3" t="inlineStr">
        <is>
          <t>Closed</t>
        </is>
      </c>
      <c r="G2263" s="21" t="inlineStr">
        <is>
          <t>Amiya Ranjan Behera</t>
        </is>
      </c>
      <c r="H2263" s="21" t="n">
        <v>8917436223</v>
      </c>
      <c r="I2263" s="38" t="inlineStr">
        <is>
          <t>PE06052602</t>
        </is>
      </c>
      <c r="J2263" s="21" t="inlineStr">
        <is>
          <t>Diode Bypass Module Issue</t>
        </is>
      </c>
      <c r="K2263" s="21" t="inlineStr">
        <is>
          <t>Bhavnagar</t>
        </is>
      </c>
      <c r="L2263" s="21" t="inlineStr">
        <is>
          <t>Gujarat</t>
        </is>
      </c>
      <c r="M2263" s="9" t="inlineStr">
        <is>
          <t>PR</t>
        </is>
      </c>
      <c r="N2263" s="3" t="inlineStr">
        <is>
          <t>JB Issue</t>
        </is>
      </c>
      <c r="O2263" s="62" t="n">
        <v>540</v>
      </c>
      <c r="P2263" s="9" t="inlineStr">
        <is>
          <t>NSMP2305129574</t>
        </is>
      </c>
      <c r="Q2263" s="53">
        <f>MID(P2263,5,2)</f>
        <v/>
      </c>
      <c r="R2263" s="53">
        <f>MID(P2263,7,2)</f>
        <v/>
      </c>
      <c r="S2263" s="3" t="inlineStr">
        <is>
          <t>G2B</t>
        </is>
      </c>
      <c r="T2263" s="3" t="inlineStr">
        <is>
          <t>P2</t>
        </is>
      </c>
      <c r="U2263" s="3" t="inlineStr">
        <is>
          <t>P JB Issue</t>
        </is>
      </c>
      <c r="V2263" s="15" t="inlineStr">
        <is>
          <t>JB Changed</t>
        </is>
      </c>
      <c r="W2263" s="3" t="inlineStr">
        <is>
          <t>Repair</t>
        </is>
      </c>
      <c r="X2263" s="18" t="n">
        <v>46169</v>
      </c>
      <c r="Y2263" s="73">
        <f>IF(X2263="","",X2263-A2263)</f>
        <v/>
      </c>
      <c r="Z2263" s="18" t="n">
        <v>46169</v>
      </c>
      <c r="AA2263" s="15" t="n"/>
      <c r="AB2263" s="15" t="n"/>
      <c r="AF2263">
        <f>IF(AND($F2263="Closed",$X2263&gt;=DATE(2026,5,1),$X2263&lt;=DATE(2026,5,31)),"Closed in May","Other")</f>
        <v/>
      </c>
    </row>
    <row r="2264">
      <c r="A2264" s="59" t="n">
        <v>46148</v>
      </c>
      <c r="B2264" s="3" t="n">
        <v>2026</v>
      </c>
      <c r="C2264" s="21" t="inlineStr">
        <is>
          <t>Continuum</t>
        </is>
      </c>
      <c r="D2264" s="3" t="inlineStr">
        <is>
          <t>Utility and C&amp;I</t>
        </is>
      </c>
      <c r="E2264" s="3" t="n"/>
      <c r="F2264" s="3" t="inlineStr">
        <is>
          <t>Closed</t>
        </is>
      </c>
      <c r="G2264" s="21" t="inlineStr">
        <is>
          <t>Amiya Ranjan Behera</t>
        </is>
      </c>
      <c r="H2264" s="21" t="n">
        <v>8917436223</v>
      </c>
      <c r="I2264" s="38" t="inlineStr">
        <is>
          <t>PE06052602</t>
        </is>
      </c>
      <c r="J2264" s="21" t="inlineStr">
        <is>
          <t>Diode Bypass Module Issue</t>
        </is>
      </c>
      <c r="K2264" s="21" t="inlineStr">
        <is>
          <t>Bhavnagar</t>
        </is>
      </c>
      <c r="L2264" s="21" t="inlineStr">
        <is>
          <t>Gujarat</t>
        </is>
      </c>
      <c r="M2264" s="9" t="inlineStr">
        <is>
          <t>PS</t>
        </is>
      </c>
      <c r="N2264" s="3" t="inlineStr">
        <is>
          <t>Cold Soldering</t>
        </is>
      </c>
      <c r="O2264" s="62" t="n">
        <v>540</v>
      </c>
      <c r="P2264" s="9" t="inlineStr">
        <is>
          <t>NSMP2305129570</t>
        </is>
      </c>
      <c r="Q2264" s="53">
        <f>MID(P2264,5,2)</f>
        <v/>
      </c>
      <c r="R2264" s="53">
        <f>MID(P2264,7,2)</f>
        <v/>
      </c>
      <c r="S2264" s="3" t="inlineStr">
        <is>
          <t>G2B</t>
        </is>
      </c>
      <c r="T2264" s="3" t="inlineStr">
        <is>
          <t>P2</t>
        </is>
      </c>
      <c r="U2264" s="3" t="inlineStr">
        <is>
          <t>P JB Cold Soldering</t>
        </is>
      </c>
      <c r="V2264" s="3" t="inlineStr">
        <is>
          <t>Soldering</t>
        </is>
      </c>
      <c r="W2264" s="3" t="inlineStr">
        <is>
          <t>Repair</t>
        </is>
      </c>
      <c r="X2264" s="18" t="n">
        <v>46169</v>
      </c>
      <c r="Y2264" s="73">
        <f>IF(X2264="","",X2264-A2264)</f>
        <v/>
      </c>
      <c r="Z2264" s="18" t="n">
        <v>46169</v>
      </c>
      <c r="AA2264" s="15" t="n"/>
      <c r="AB2264" s="15" t="n"/>
      <c r="AF2264">
        <f>IF(AND($F2264="Closed",$X2264&gt;=DATE(2026,5,1),$X2264&lt;=DATE(2026,5,31)),"Closed in May","Other")</f>
        <v/>
      </c>
    </row>
    <row r="2265">
      <c r="A2265" s="59" t="n">
        <v>46148</v>
      </c>
      <c r="B2265" s="3" t="n">
        <v>2026</v>
      </c>
      <c r="C2265" s="21" t="inlineStr">
        <is>
          <t>Continuum</t>
        </is>
      </c>
      <c r="D2265" s="3" t="inlineStr">
        <is>
          <t>Utility and C&amp;I</t>
        </is>
      </c>
      <c r="E2265" s="3" t="n"/>
      <c r="F2265" s="3" t="inlineStr">
        <is>
          <t>Closed</t>
        </is>
      </c>
      <c r="G2265" s="21" t="inlineStr">
        <is>
          <t>Amiya Ranjan Behera</t>
        </is>
      </c>
      <c r="H2265" s="21" t="n">
        <v>8917436223</v>
      </c>
      <c r="I2265" s="38" t="inlineStr">
        <is>
          <t>PE06052602</t>
        </is>
      </c>
      <c r="J2265" s="21" t="inlineStr">
        <is>
          <t>Diode Bypass Module Issue</t>
        </is>
      </c>
      <c r="K2265" s="21" t="inlineStr">
        <is>
          <t>Bhavnagar</t>
        </is>
      </c>
      <c r="L2265" s="21" t="inlineStr">
        <is>
          <t>Gujarat</t>
        </is>
      </c>
      <c r="M2265" s="9" t="inlineStr">
        <is>
          <t>PR</t>
        </is>
      </c>
      <c r="N2265" s="3" t="inlineStr">
        <is>
          <t>JB Issue</t>
        </is>
      </c>
      <c r="O2265" s="62" t="n">
        <v>540</v>
      </c>
      <c r="P2265" s="9" t="inlineStr">
        <is>
          <t>NSMP2305129879</t>
        </is>
      </c>
      <c r="Q2265" s="53">
        <f>MID(P2265,5,2)</f>
        <v/>
      </c>
      <c r="R2265" s="53">
        <f>MID(P2265,7,2)</f>
        <v/>
      </c>
      <c r="S2265" s="3" t="inlineStr">
        <is>
          <t>G2B</t>
        </is>
      </c>
      <c r="T2265" s="3" t="inlineStr">
        <is>
          <t>P2</t>
        </is>
      </c>
      <c r="U2265" s="3" t="inlineStr">
        <is>
          <t>P JB Issue</t>
        </is>
      </c>
      <c r="V2265" s="15" t="inlineStr">
        <is>
          <t>JB Changed</t>
        </is>
      </c>
      <c r="W2265" s="3" t="inlineStr">
        <is>
          <t>Repair</t>
        </is>
      </c>
      <c r="X2265" s="18" t="n">
        <v>46169</v>
      </c>
      <c r="Y2265" s="73">
        <f>IF(X2265="","",X2265-A2265)</f>
        <v/>
      </c>
      <c r="Z2265" s="18" t="n">
        <v>46169</v>
      </c>
      <c r="AA2265" s="15" t="n"/>
      <c r="AB2265" s="15" t="n"/>
      <c r="AF2265">
        <f>IF(AND($F2265="Closed",$X2265&gt;=DATE(2026,5,1),$X2265&lt;=DATE(2026,5,31)),"Closed in May","Other")</f>
        <v/>
      </c>
    </row>
    <row r="2266">
      <c r="A2266" s="59" t="n">
        <v>46148</v>
      </c>
      <c r="B2266" s="3" t="n">
        <v>2026</v>
      </c>
      <c r="C2266" s="21" t="inlineStr">
        <is>
          <t>Continuum</t>
        </is>
      </c>
      <c r="D2266" s="3" t="inlineStr">
        <is>
          <t>Utility and C&amp;I</t>
        </is>
      </c>
      <c r="E2266" s="3" t="n"/>
      <c r="F2266" s="3" t="inlineStr">
        <is>
          <t>Closed</t>
        </is>
      </c>
      <c r="G2266" s="21" t="inlineStr">
        <is>
          <t>Amiya Ranjan Behera</t>
        </is>
      </c>
      <c r="H2266" s="21" t="n">
        <v>8917436223</v>
      </c>
      <c r="I2266" s="38" t="inlineStr">
        <is>
          <t>PE06052602</t>
        </is>
      </c>
      <c r="J2266" s="21" t="inlineStr">
        <is>
          <t>Diode Bypass Module Issue</t>
        </is>
      </c>
      <c r="K2266" s="21" t="inlineStr">
        <is>
          <t>Bhavnagar</t>
        </is>
      </c>
      <c r="L2266" s="21" t="inlineStr">
        <is>
          <t>Gujarat</t>
        </is>
      </c>
      <c r="M2266" s="9" t="inlineStr">
        <is>
          <t>PNS</t>
        </is>
      </c>
      <c r="N2266" s="3" t="inlineStr">
        <is>
          <t>Cold Soldering</t>
        </is>
      </c>
      <c r="O2266" s="62" t="n">
        <v>540</v>
      </c>
      <c r="P2266" s="9" t="inlineStr">
        <is>
          <t>NSMP2305129429</t>
        </is>
      </c>
      <c r="Q2266" s="53">
        <f>MID(P2266,5,2)</f>
        <v/>
      </c>
      <c r="R2266" s="53">
        <f>MID(P2266,7,2)</f>
        <v/>
      </c>
      <c r="S2266" s="3" t="inlineStr">
        <is>
          <t>G2B</t>
        </is>
      </c>
      <c r="T2266" s="3" t="inlineStr">
        <is>
          <t>P2</t>
        </is>
      </c>
      <c r="U2266" s="3" t="inlineStr">
        <is>
          <t>P &amp; N JB Cold Soldering</t>
        </is>
      </c>
      <c r="V2266" s="3" t="inlineStr">
        <is>
          <t>Soldering</t>
        </is>
      </c>
      <c r="W2266" s="3" t="inlineStr">
        <is>
          <t>Repair</t>
        </is>
      </c>
      <c r="X2266" s="18" t="n">
        <v>46169</v>
      </c>
      <c r="Y2266" s="73">
        <f>IF(X2266="","",X2266-A2266)</f>
        <v/>
      </c>
      <c r="Z2266" s="18" t="n">
        <v>46169</v>
      </c>
      <c r="AA2266" s="15" t="n"/>
      <c r="AB2266" s="15" t="n"/>
      <c r="AF2266">
        <f>IF(AND($F2266="Closed",$X2266&gt;=DATE(2026,5,1),$X2266&lt;=DATE(2026,5,31)),"Closed in May","Other")</f>
        <v/>
      </c>
    </row>
    <row r="2267">
      <c r="A2267" s="59" t="n">
        <v>46148</v>
      </c>
      <c r="B2267" s="3" t="n">
        <v>2026</v>
      </c>
      <c r="C2267" s="21" t="inlineStr">
        <is>
          <t>Continuum</t>
        </is>
      </c>
      <c r="D2267" s="3" t="inlineStr">
        <is>
          <t>Utility and C&amp;I</t>
        </is>
      </c>
      <c r="E2267" s="3" t="n"/>
      <c r="F2267" s="3" t="inlineStr">
        <is>
          <t>Closed</t>
        </is>
      </c>
      <c r="G2267" s="21" t="inlineStr">
        <is>
          <t>Amiya Ranjan Behera</t>
        </is>
      </c>
      <c r="H2267" s="21" t="n">
        <v>8917436223</v>
      </c>
      <c r="I2267" s="38" t="inlineStr">
        <is>
          <t>PE06052602</t>
        </is>
      </c>
      <c r="J2267" s="21" t="inlineStr">
        <is>
          <t>Diode Bypass Module Issue</t>
        </is>
      </c>
      <c r="K2267" s="21" t="inlineStr">
        <is>
          <t>Bhavnagar</t>
        </is>
      </c>
      <c r="L2267" s="21" t="inlineStr">
        <is>
          <t>Gujarat</t>
        </is>
      </c>
      <c r="M2267" s="9" t="inlineStr">
        <is>
          <t>NS</t>
        </is>
      </c>
      <c r="N2267" s="26" t="inlineStr">
        <is>
          <t>Cold Soldering</t>
        </is>
      </c>
      <c r="O2267" s="62" t="n">
        <v>540</v>
      </c>
      <c r="P2267" s="9" t="inlineStr">
        <is>
          <t>NSMP2305130064</t>
        </is>
      </c>
      <c r="Q2267" s="53">
        <f>MID(P2267,5,2)</f>
        <v/>
      </c>
      <c r="R2267" s="53">
        <f>MID(P2267,7,2)</f>
        <v/>
      </c>
      <c r="S2267" s="3" t="inlineStr">
        <is>
          <t>G2B</t>
        </is>
      </c>
      <c r="T2267" s="3" t="inlineStr">
        <is>
          <t>P2</t>
        </is>
      </c>
      <c r="U2267" s="19" t="inlineStr">
        <is>
          <t>N JB Cold Soldering</t>
        </is>
      </c>
      <c r="V2267" s="19" t="inlineStr">
        <is>
          <t>Soldering</t>
        </is>
      </c>
      <c r="W2267" s="3" t="inlineStr">
        <is>
          <t>Repair</t>
        </is>
      </c>
      <c r="X2267" s="18" t="n">
        <v>46169</v>
      </c>
      <c r="Y2267" s="73">
        <f>IF(X2267="","",X2267-A2267)</f>
        <v/>
      </c>
      <c r="Z2267" s="18" t="n">
        <v>46169</v>
      </c>
      <c r="AA2267" s="15" t="n"/>
      <c r="AB2267" s="15" t="n"/>
      <c r="AF2267">
        <f>IF(AND($F2267="Closed",$X2267&gt;=DATE(2026,5,1),$X2267&lt;=DATE(2026,5,31)),"Closed in May","Other")</f>
        <v/>
      </c>
    </row>
    <row r="2268">
      <c r="A2268" s="59" t="n">
        <v>46148</v>
      </c>
      <c r="B2268" s="3" t="n">
        <v>2026</v>
      </c>
      <c r="C2268" s="21" t="inlineStr">
        <is>
          <t>Continuum</t>
        </is>
      </c>
      <c r="D2268" s="3" t="inlineStr">
        <is>
          <t>Utility and C&amp;I</t>
        </is>
      </c>
      <c r="E2268" s="3" t="n"/>
      <c r="F2268" s="3" t="inlineStr">
        <is>
          <t>Closed</t>
        </is>
      </c>
      <c r="G2268" s="21" t="inlineStr">
        <is>
          <t>Amiya Ranjan Behera</t>
        </is>
      </c>
      <c r="H2268" s="21" t="n">
        <v>8917436223</v>
      </c>
      <c r="I2268" s="38" t="inlineStr">
        <is>
          <t>PE06052602</t>
        </is>
      </c>
      <c r="J2268" s="21" t="inlineStr">
        <is>
          <t>Diode Bypass Module Issue</t>
        </is>
      </c>
      <c r="K2268" s="21" t="inlineStr">
        <is>
          <t>Bhavnagar</t>
        </is>
      </c>
      <c r="L2268" s="21" t="inlineStr">
        <is>
          <t>Gujarat</t>
        </is>
      </c>
      <c r="M2268" s="9" t="inlineStr">
        <is>
          <t>PS</t>
        </is>
      </c>
      <c r="N2268" s="3" t="inlineStr">
        <is>
          <t>Cold Soldering</t>
        </is>
      </c>
      <c r="O2268" s="62" t="n">
        <v>540</v>
      </c>
      <c r="P2268" s="9" t="inlineStr">
        <is>
          <t>NSMP2305131518</t>
        </is>
      </c>
      <c r="Q2268" s="53">
        <f>MID(P2268,5,2)</f>
        <v/>
      </c>
      <c r="R2268" s="53">
        <f>MID(P2268,7,2)</f>
        <v/>
      </c>
      <c r="S2268" s="3" t="inlineStr">
        <is>
          <t>G2B</t>
        </is>
      </c>
      <c r="T2268" s="3" t="inlineStr">
        <is>
          <t>P2</t>
        </is>
      </c>
      <c r="U2268" s="3" t="inlineStr">
        <is>
          <t>P JB Cold Soldering</t>
        </is>
      </c>
      <c r="V2268" s="3" t="inlineStr">
        <is>
          <t>Soldering</t>
        </is>
      </c>
      <c r="W2268" s="3" t="inlineStr">
        <is>
          <t>Repair</t>
        </is>
      </c>
      <c r="X2268" s="18" t="n">
        <v>46169</v>
      </c>
      <c r="Y2268" s="73">
        <f>IF(X2268="","",X2268-A2268)</f>
        <v/>
      </c>
      <c r="Z2268" s="18" t="n">
        <v>46169</v>
      </c>
      <c r="AA2268" s="15" t="n"/>
      <c r="AB2268" s="15" t="n"/>
      <c r="AF2268">
        <f>IF(AND($F2268="Closed",$X2268&gt;=DATE(2026,5,1),$X2268&lt;=DATE(2026,5,31)),"Closed in May","Other")</f>
        <v/>
      </c>
    </row>
    <row r="2269">
      <c r="A2269" s="93" t="n">
        <v>46109</v>
      </c>
      <c r="B2269" s="3" t="n">
        <v>2026</v>
      </c>
      <c r="C2269" s="21" t="inlineStr">
        <is>
          <t>True Sun Trading Company</t>
        </is>
      </c>
      <c r="D2269" s="3" t="inlineStr">
        <is>
          <t>Channel Sales</t>
        </is>
      </c>
      <c r="E2269" s="3" t="n"/>
      <c r="F2269" s="3" t="inlineStr">
        <is>
          <t>Closed</t>
        </is>
      </c>
      <c r="G2269" s="21" t="inlineStr">
        <is>
          <t>Joel Jacob</t>
        </is>
      </c>
      <c r="H2269" s="21" t="n">
        <v>7902222180</v>
      </c>
      <c r="I2269" s="22" t="inlineStr">
        <is>
          <t>PE28032601</t>
        </is>
      </c>
      <c r="J2269" s="21" t="inlineStr">
        <is>
          <t>Low VOC</t>
        </is>
      </c>
      <c r="K2269" s="21" t="inlineStr">
        <is>
          <t>Pattoor</t>
        </is>
      </c>
      <c r="L2269" s="21" t="inlineStr">
        <is>
          <t>Kerala</t>
        </is>
      </c>
      <c r="M2269" s="9" t="inlineStr">
        <is>
          <t>PS</t>
        </is>
      </c>
      <c r="N2269" s="3" t="inlineStr">
        <is>
          <t>No Issue</t>
        </is>
      </c>
      <c r="O2269" s="60" t="n">
        <v>515</v>
      </c>
      <c r="P2269" s="94" t="inlineStr">
        <is>
          <t>NSMP2303564675</t>
        </is>
      </c>
      <c r="Q2269" s="53">
        <f>MID(P2269,5,2)</f>
        <v/>
      </c>
      <c r="R2269" s="53">
        <f>MID(P2269,7,2)</f>
        <v/>
      </c>
      <c r="S2269" s="3" t="inlineStr">
        <is>
          <t>G2B</t>
        </is>
      </c>
      <c r="T2269" s="3" t="inlineStr">
        <is>
          <t>P2</t>
        </is>
      </c>
      <c r="U2269" s="3" t="inlineStr">
        <is>
          <t>No Issue Found</t>
        </is>
      </c>
      <c r="V2269" s="3" t="inlineStr">
        <is>
          <t>Found OK</t>
        </is>
      </c>
      <c r="W2269" s="3" t="inlineStr">
        <is>
          <t>Repair</t>
        </is>
      </c>
      <c r="X2269" s="18" t="n">
        <v>46169</v>
      </c>
      <c r="Y2269" s="73">
        <f>IF(X2269="","",X2269-A2269)</f>
        <v/>
      </c>
      <c r="Z2269" s="18" t="n">
        <v>46169</v>
      </c>
      <c r="AA2269" s="15" t="n"/>
      <c r="AB2269" s="15" t="n"/>
      <c r="AF2269">
        <f>IF(AND($F2269="Closed",$X2269&gt;=DATE(2026,5,1),$X2269&lt;=DATE(2026,5,31)),"Closed in May","Other")</f>
        <v/>
      </c>
    </row>
    <row r="2270">
      <c r="A2270" s="59" t="n">
        <v>46167</v>
      </c>
      <c r="B2270" s="3" t="n">
        <v>2026</v>
      </c>
      <c r="C2270" s="21" t="inlineStr">
        <is>
          <t>True Sun Trading Company</t>
        </is>
      </c>
      <c r="D2270" s="3" t="inlineStr">
        <is>
          <t>Channel Sales</t>
        </is>
      </c>
      <c r="E2270" s="3" t="n"/>
      <c r="F2270" s="3" t="inlineStr">
        <is>
          <t>Closed</t>
        </is>
      </c>
      <c r="G2270" s="21" t="inlineStr">
        <is>
          <t>Joel Jacob</t>
        </is>
      </c>
      <c r="H2270" s="21" t="n">
        <v>7902222180</v>
      </c>
      <c r="I2270" s="22" t="inlineStr">
        <is>
          <t>PE25052601</t>
        </is>
      </c>
      <c r="J2270" s="21" t="inlineStr">
        <is>
          <t>Low generation</t>
        </is>
      </c>
      <c r="K2270" s="21" t="inlineStr">
        <is>
          <t>Chandanappally PTA</t>
        </is>
      </c>
      <c r="L2270" s="21" t="inlineStr">
        <is>
          <t>Kerala</t>
        </is>
      </c>
      <c r="M2270" s="9" t="inlineStr">
        <is>
          <t>PS</t>
        </is>
      </c>
      <c r="N2270" s="3" t="inlineStr">
        <is>
          <t>Cold Soldering</t>
        </is>
      </c>
      <c r="O2270" s="60" t="n">
        <v>515</v>
      </c>
      <c r="P2270" s="8" t="inlineStr">
        <is>
          <t>NSMP2303561185</t>
        </is>
      </c>
      <c r="Q2270" s="53">
        <f>MID(P2270,5,2)</f>
        <v/>
      </c>
      <c r="R2270" s="53">
        <f>MID(P2270,7,2)</f>
        <v/>
      </c>
      <c r="S2270" s="3" t="inlineStr">
        <is>
          <t>G2B</t>
        </is>
      </c>
      <c r="T2270" s="3" t="inlineStr">
        <is>
          <t>P2</t>
        </is>
      </c>
      <c r="U2270" s="3" t="inlineStr">
        <is>
          <t>P JB Cold Soldering</t>
        </is>
      </c>
      <c r="V2270" s="3" t="inlineStr">
        <is>
          <t>Soldering</t>
        </is>
      </c>
      <c r="W2270" s="3" t="inlineStr">
        <is>
          <t>Repair</t>
        </is>
      </c>
      <c r="X2270" s="18" t="n">
        <v>46169</v>
      </c>
      <c r="Y2270" s="73">
        <f>IF(X2270="","",X2270-A2270)</f>
        <v/>
      </c>
      <c r="Z2270" s="18" t="n">
        <v>46169</v>
      </c>
      <c r="AA2270" s="15" t="n"/>
      <c r="AB2270" s="15" t="n"/>
      <c r="AF2270">
        <f>IF(AND($F2270="Closed",$X2270&gt;=DATE(2026,5,1),$X2270&lt;=DATE(2026,5,31)),"Closed in May","Other")</f>
        <v/>
      </c>
    </row>
    <row r="2271">
      <c r="A2271" s="59" t="n">
        <v>46148</v>
      </c>
      <c r="B2271" s="3" t="n">
        <v>2026</v>
      </c>
      <c r="C2271" s="21" t="inlineStr">
        <is>
          <t>Continuum</t>
        </is>
      </c>
      <c r="D2271" s="3" t="inlineStr">
        <is>
          <t>Utility and C&amp;I</t>
        </is>
      </c>
      <c r="E2271" s="3" t="n"/>
      <c r="F2271" s="3" t="inlineStr">
        <is>
          <t>Closed</t>
        </is>
      </c>
      <c r="G2271" s="21" t="inlineStr">
        <is>
          <t>Amiya Ranjan Behera</t>
        </is>
      </c>
      <c r="H2271" s="21" t="n">
        <v>8917436223</v>
      </c>
      <c r="I2271" s="38" t="inlineStr">
        <is>
          <t>PE06052602</t>
        </is>
      </c>
      <c r="J2271" s="21" t="inlineStr">
        <is>
          <t>Diode Bypass Module Issue</t>
        </is>
      </c>
      <c r="K2271" s="21" t="inlineStr">
        <is>
          <t>Bhavnagar</t>
        </is>
      </c>
      <c r="L2271" s="21" t="inlineStr">
        <is>
          <t>Gujarat</t>
        </is>
      </c>
      <c r="M2271" s="95" t="inlineStr">
        <is>
          <t>PR</t>
        </is>
      </c>
      <c r="N2271" s="3" t="inlineStr">
        <is>
          <t>JB Issue</t>
        </is>
      </c>
      <c r="O2271" s="62" t="n">
        <v>540</v>
      </c>
      <c r="P2271" s="9" t="inlineStr">
        <is>
          <t>NSMP2305124517</t>
        </is>
      </c>
      <c r="Q2271" s="53">
        <f>MID(P2271,5,2)</f>
        <v/>
      </c>
      <c r="R2271" s="53">
        <f>MID(P2271,7,2)</f>
        <v/>
      </c>
      <c r="S2271" s="3" t="inlineStr">
        <is>
          <t>G2B</t>
        </is>
      </c>
      <c r="T2271" s="3" t="inlineStr">
        <is>
          <t>P2</t>
        </is>
      </c>
      <c r="U2271" s="3" t="inlineStr">
        <is>
          <t>P JB Issue</t>
        </is>
      </c>
      <c r="V2271" s="15" t="inlineStr">
        <is>
          <t>JB Changed</t>
        </is>
      </c>
      <c r="W2271" s="3" t="inlineStr">
        <is>
          <t>Repair</t>
        </is>
      </c>
      <c r="X2271" s="18" t="n">
        <v>46170</v>
      </c>
      <c r="Y2271" s="73">
        <f>IF(X2271="","",X2271-A2271)</f>
        <v/>
      </c>
      <c r="Z2271" s="18" t="n">
        <v>46170</v>
      </c>
      <c r="AA2271" s="15" t="n"/>
      <c r="AB2271" s="15" t="n"/>
      <c r="AF2271">
        <f>IF(AND($F2271="Closed",$X2271&gt;=DATE(2026,5,1),$X2271&lt;=DATE(2026,5,31)),"Closed in May","Other")</f>
        <v/>
      </c>
    </row>
    <row r="2272">
      <c r="A2272" s="59" t="n">
        <v>46148</v>
      </c>
      <c r="B2272" s="3" t="n">
        <v>2026</v>
      </c>
      <c r="C2272" s="21" t="inlineStr">
        <is>
          <t>Continuum</t>
        </is>
      </c>
      <c r="D2272" s="3" t="inlineStr">
        <is>
          <t>Utility and C&amp;I</t>
        </is>
      </c>
      <c r="E2272" s="3" t="n"/>
      <c r="F2272" s="3" t="inlineStr">
        <is>
          <t>Closed</t>
        </is>
      </c>
      <c r="G2272" s="21" t="inlineStr">
        <is>
          <t>Amiya Ranjan Behera</t>
        </is>
      </c>
      <c r="H2272" s="21" t="n">
        <v>8917436223</v>
      </c>
      <c r="I2272" s="38" t="inlineStr">
        <is>
          <t>PE06052602</t>
        </is>
      </c>
      <c r="J2272" s="21" t="inlineStr">
        <is>
          <t>Diode Bypass Module Issue</t>
        </is>
      </c>
      <c r="K2272" s="21" t="inlineStr">
        <is>
          <t>Bhavnagar</t>
        </is>
      </c>
      <c r="L2272" s="21" t="inlineStr">
        <is>
          <t>Gujarat</t>
        </is>
      </c>
      <c r="M2272" s="96" t="inlineStr">
        <is>
          <t>PS</t>
        </is>
      </c>
      <c r="N2272" s="3" t="inlineStr">
        <is>
          <t>Cold Soldering</t>
        </is>
      </c>
      <c r="O2272" s="62" t="n">
        <v>540</v>
      </c>
      <c r="P2272" s="9" t="inlineStr">
        <is>
          <t>NSMP2304070813</t>
        </is>
      </c>
      <c r="Q2272" s="53">
        <f>MID(P2272,5,2)</f>
        <v/>
      </c>
      <c r="R2272" s="53">
        <f>MID(P2272,7,2)</f>
        <v/>
      </c>
      <c r="S2272" s="3" t="inlineStr">
        <is>
          <t>G2B</t>
        </is>
      </c>
      <c r="T2272" s="3" t="inlineStr">
        <is>
          <t>P2</t>
        </is>
      </c>
      <c r="U2272" s="3" t="inlineStr">
        <is>
          <t>P JB Cold Soldering</t>
        </is>
      </c>
      <c r="V2272" s="3" t="inlineStr">
        <is>
          <t>Soldering</t>
        </is>
      </c>
      <c r="W2272" s="3" t="inlineStr">
        <is>
          <t>Repair</t>
        </is>
      </c>
      <c r="X2272" s="18" t="n">
        <v>46170</v>
      </c>
      <c r="Y2272" s="73">
        <f>IF(X2272="","",X2272-A2272)</f>
        <v/>
      </c>
      <c r="Z2272" s="18" t="n">
        <v>46170</v>
      </c>
      <c r="AA2272" s="15" t="n"/>
      <c r="AB2272" s="15" t="n"/>
      <c r="AF2272">
        <f>IF(AND($F2272="Closed",$X2272&gt;=DATE(2026,5,1),$X2272&lt;=DATE(2026,5,31)),"Closed in May","Other")</f>
        <v/>
      </c>
    </row>
    <row r="2273">
      <c r="A2273" s="59" t="n">
        <v>46148</v>
      </c>
      <c r="B2273" s="3" t="n">
        <v>2026</v>
      </c>
      <c r="C2273" s="21" t="inlineStr">
        <is>
          <t>Continuum</t>
        </is>
      </c>
      <c r="D2273" s="3" t="inlineStr">
        <is>
          <t>Utility and C&amp;I</t>
        </is>
      </c>
      <c r="E2273" s="3" t="n"/>
      <c r="F2273" s="3" t="inlineStr">
        <is>
          <t>Closed</t>
        </is>
      </c>
      <c r="G2273" s="21" t="inlineStr">
        <is>
          <t>Amiya Ranjan Behera</t>
        </is>
      </c>
      <c r="H2273" s="21" t="n">
        <v>8917436223</v>
      </c>
      <c r="I2273" s="38" t="inlineStr">
        <is>
          <t>PE06052602</t>
        </is>
      </c>
      <c r="J2273" s="21" t="inlineStr">
        <is>
          <t>Diode Bypass Module Issue</t>
        </is>
      </c>
      <c r="K2273" s="21" t="inlineStr">
        <is>
          <t>Bhavnagar</t>
        </is>
      </c>
      <c r="L2273" s="21" t="inlineStr">
        <is>
          <t>Gujarat</t>
        </is>
      </c>
      <c r="M2273" s="96" t="inlineStr">
        <is>
          <t>PS</t>
        </is>
      </c>
      <c r="N2273" s="3" t="inlineStr">
        <is>
          <t>Cold Soldering</t>
        </is>
      </c>
      <c r="O2273" s="62" t="n">
        <v>540</v>
      </c>
      <c r="P2273" s="9" t="inlineStr">
        <is>
          <t>NSMP2304071755</t>
        </is>
      </c>
      <c r="Q2273" s="53">
        <f>MID(P2273,5,2)</f>
        <v/>
      </c>
      <c r="R2273" s="53">
        <f>MID(P2273,7,2)</f>
        <v/>
      </c>
      <c r="S2273" s="3" t="inlineStr">
        <is>
          <t>G2B</t>
        </is>
      </c>
      <c r="T2273" s="3" t="inlineStr">
        <is>
          <t>P2</t>
        </is>
      </c>
      <c r="U2273" s="3" t="inlineStr">
        <is>
          <t>P JB Cold Soldering</t>
        </is>
      </c>
      <c r="V2273" s="3" t="inlineStr">
        <is>
          <t>Soldering</t>
        </is>
      </c>
      <c r="W2273" s="3" t="inlineStr">
        <is>
          <t>Repair</t>
        </is>
      </c>
      <c r="X2273" s="18" t="n">
        <v>46170</v>
      </c>
      <c r="Y2273" s="73">
        <f>IF(X2273="","",X2273-A2273)</f>
        <v/>
      </c>
      <c r="Z2273" s="18" t="n">
        <v>46170</v>
      </c>
      <c r="AA2273" s="15" t="n"/>
      <c r="AB2273" s="15" t="n"/>
      <c r="AF2273">
        <f>IF(AND($F2273="Closed",$X2273&gt;=DATE(2026,5,1),$X2273&lt;=DATE(2026,5,31)),"Closed in May","Other")</f>
        <v/>
      </c>
    </row>
    <row r="2274">
      <c r="A2274" s="59" t="n">
        <v>46148</v>
      </c>
      <c r="B2274" s="3" t="n">
        <v>2026</v>
      </c>
      <c r="C2274" s="21" t="inlineStr">
        <is>
          <t>Continuum</t>
        </is>
      </c>
      <c r="D2274" s="3" t="inlineStr">
        <is>
          <t>Utility and C&amp;I</t>
        </is>
      </c>
      <c r="E2274" s="3" t="n"/>
      <c r="F2274" s="3" t="inlineStr">
        <is>
          <t>Closed</t>
        </is>
      </c>
      <c r="G2274" s="21" t="inlineStr">
        <is>
          <t>Amiya Ranjan Behera</t>
        </is>
      </c>
      <c r="H2274" s="21" t="n">
        <v>8917436223</v>
      </c>
      <c r="I2274" s="38" t="inlineStr">
        <is>
          <t>PE06052602</t>
        </is>
      </c>
      <c r="J2274" s="21" t="inlineStr">
        <is>
          <t>Diode Bypass Module Issue</t>
        </is>
      </c>
      <c r="K2274" s="21" t="inlineStr">
        <is>
          <t>Bhavnagar</t>
        </is>
      </c>
      <c r="L2274" s="21" t="inlineStr">
        <is>
          <t>Gujarat</t>
        </is>
      </c>
      <c r="M2274" s="96" t="inlineStr">
        <is>
          <t>PS</t>
        </is>
      </c>
      <c r="N2274" s="3" t="inlineStr">
        <is>
          <t>Cold Soldering</t>
        </is>
      </c>
      <c r="O2274" s="62" t="n">
        <v>540</v>
      </c>
      <c r="P2274" s="9" t="inlineStr">
        <is>
          <t>NSMP2304071495</t>
        </is>
      </c>
      <c r="Q2274" s="53">
        <f>MID(P2274,5,2)</f>
        <v/>
      </c>
      <c r="R2274" s="53">
        <f>MID(P2274,7,2)</f>
        <v/>
      </c>
      <c r="S2274" s="3" t="inlineStr">
        <is>
          <t>G2B</t>
        </is>
      </c>
      <c r="T2274" s="3" t="inlineStr">
        <is>
          <t>P2</t>
        </is>
      </c>
      <c r="U2274" s="3" t="inlineStr">
        <is>
          <t>P JB Cold Soldering</t>
        </is>
      </c>
      <c r="V2274" s="3" t="inlineStr">
        <is>
          <t>Soldering</t>
        </is>
      </c>
      <c r="W2274" s="3" t="inlineStr">
        <is>
          <t>Repair</t>
        </is>
      </c>
      <c r="X2274" s="18" t="n">
        <v>46170</v>
      </c>
      <c r="Y2274" s="73">
        <f>IF(X2274="","",X2274-A2274)</f>
        <v/>
      </c>
      <c r="Z2274" s="18" t="n">
        <v>46170</v>
      </c>
      <c r="AA2274" s="15" t="n"/>
      <c r="AB2274" s="15" t="n"/>
      <c r="AF2274">
        <f>IF(AND($F2274="Closed",$X2274&gt;=DATE(2026,5,1),$X2274&lt;=DATE(2026,5,31)),"Closed in May","Other")</f>
        <v/>
      </c>
    </row>
    <row r="2275">
      <c r="A2275" s="59" t="n">
        <v>46148</v>
      </c>
      <c r="B2275" s="3" t="n">
        <v>2026</v>
      </c>
      <c r="C2275" s="21" t="inlineStr">
        <is>
          <t>Continuum</t>
        </is>
      </c>
      <c r="D2275" s="3" t="inlineStr">
        <is>
          <t>Utility and C&amp;I</t>
        </is>
      </c>
      <c r="E2275" s="3" t="n"/>
      <c r="F2275" s="3" t="inlineStr">
        <is>
          <t>Closed</t>
        </is>
      </c>
      <c r="G2275" s="21" t="inlineStr">
        <is>
          <t>Amiya Ranjan Behera</t>
        </is>
      </c>
      <c r="H2275" s="21" t="n">
        <v>8917436223</v>
      </c>
      <c r="I2275" s="38" t="inlineStr">
        <is>
          <t>PE06052602</t>
        </is>
      </c>
      <c r="J2275" s="21" t="inlineStr">
        <is>
          <t>Diode Bypass Module Issue</t>
        </is>
      </c>
      <c r="K2275" s="21" t="inlineStr">
        <is>
          <t>Bhavnagar</t>
        </is>
      </c>
      <c r="L2275" s="21" t="inlineStr">
        <is>
          <t>Gujarat</t>
        </is>
      </c>
      <c r="M2275" s="96" t="inlineStr">
        <is>
          <t>PS</t>
        </is>
      </c>
      <c r="N2275" s="3" t="inlineStr">
        <is>
          <t>Cold Soldering</t>
        </is>
      </c>
      <c r="O2275" s="62" t="n">
        <v>540</v>
      </c>
      <c r="P2275" s="9" t="inlineStr">
        <is>
          <t>NSMP2304071705</t>
        </is>
      </c>
      <c r="Q2275" s="53">
        <f>MID(P2275,5,2)</f>
        <v/>
      </c>
      <c r="R2275" s="53">
        <f>MID(P2275,7,2)</f>
        <v/>
      </c>
      <c r="S2275" s="3" t="inlineStr">
        <is>
          <t>G2B</t>
        </is>
      </c>
      <c r="T2275" s="3" t="inlineStr">
        <is>
          <t>P2</t>
        </is>
      </c>
      <c r="U2275" s="3" t="inlineStr">
        <is>
          <t>P JB Cold Soldering</t>
        </is>
      </c>
      <c r="V2275" s="3" t="inlineStr">
        <is>
          <t>Soldering</t>
        </is>
      </c>
      <c r="W2275" s="3" t="inlineStr">
        <is>
          <t>Repair</t>
        </is>
      </c>
      <c r="X2275" s="18" t="n">
        <v>46170</v>
      </c>
      <c r="Y2275" s="73">
        <f>IF(X2275="","",X2275-A2275)</f>
        <v/>
      </c>
      <c r="Z2275" s="18" t="n">
        <v>46170</v>
      </c>
      <c r="AA2275" s="15" t="n"/>
      <c r="AB2275" s="15" t="n"/>
      <c r="AF2275">
        <f>IF(AND($F2275="Closed",$X2275&gt;=DATE(2026,5,1),$X2275&lt;=DATE(2026,5,31)),"Closed in May","Other")</f>
        <v/>
      </c>
    </row>
    <row r="2276">
      <c r="A2276" s="59" t="n">
        <v>46148</v>
      </c>
      <c r="B2276" s="3" t="n">
        <v>2026</v>
      </c>
      <c r="C2276" s="21" t="inlineStr">
        <is>
          <t>Continuum</t>
        </is>
      </c>
      <c r="D2276" s="3" t="inlineStr">
        <is>
          <t>Utility and C&amp;I</t>
        </is>
      </c>
      <c r="E2276" s="3" t="n"/>
      <c r="F2276" s="3" t="inlineStr">
        <is>
          <t>Closed</t>
        </is>
      </c>
      <c r="G2276" s="21" t="inlineStr">
        <is>
          <t>Amiya Ranjan Behera</t>
        </is>
      </c>
      <c r="H2276" s="21" t="n">
        <v>8917436223</v>
      </c>
      <c r="I2276" s="38" t="inlineStr">
        <is>
          <t>PE06052602</t>
        </is>
      </c>
      <c r="J2276" s="21" t="inlineStr">
        <is>
          <t>Diode Bypass Module Issue</t>
        </is>
      </c>
      <c r="K2276" s="21" t="inlineStr">
        <is>
          <t>Bhavnagar</t>
        </is>
      </c>
      <c r="L2276" s="21" t="inlineStr">
        <is>
          <t>Gujarat</t>
        </is>
      </c>
      <c r="M2276" s="96" t="inlineStr">
        <is>
          <t>PS</t>
        </is>
      </c>
      <c r="N2276" s="3" t="inlineStr">
        <is>
          <t>Cold Soldering</t>
        </is>
      </c>
      <c r="O2276" s="62" t="n">
        <v>540</v>
      </c>
      <c r="P2276" s="9" t="inlineStr">
        <is>
          <t>NSMP2304071717</t>
        </is>
      </c>
      <c r="Q2276" s="53">
        <f>MID(P2276,5,2)</f>
        <v/>
      </c>
      <c r="R2276" s="53">
        <f>MID(P2276,7,2)</f>
        <v/>
      </c>
      <c r="S2276" s="3" t="inlineStr">
        <is>
          <t>G2B</t>
        </is>
      </c>
      <c r="T2276" s="3" t="inlineStr">
        <is>
          <t>P2</t>
        </is>
      </c>
      <c r="U2276" s="3" t="inlineStr">
        <is>
          <t>P JB Cold Soldering</t>
        </is>
      </c>
      <c r="V2276" s="3" t="inlineStr">
        <is>
          <t>Soldering</t>
        </is>
      </c>
      <c r="W2276" s="3" t="inlineStr">
        <is>
          <t>Repair</t>
        </is>
      </c>
      <c r="X2276" s="18" t="n">
        <v>46170</v>
      </c>
      <c r="Y2276" s="73">
        <f>IF(X2276="","",X2276-A2276)</f>
        <v/>
      </c>
      <c r="Z2276" s="18" t="n">
        <v>46170</v>
      </c>
      <c r="AA2276" s="15" t="n"/>
      <c r="AB2276" s="15" t="n"/>
      <c r="AF2276">
        <f>IF(AND($F2276="Closed",$X2276&gt;=DATE(2026,5,1),$X2276&lt;=DATE(2026,5,31)),"Closed in May","Other")</f>
        <v/>
      </c>
    </row>
    <row r="2277">
      <c r="A2277" s="59" t="n">
        <v>46148</v>
      </c>
      <c r="B2277" s="3" t="n">
        <v>2026</v>
      </c>
      <c r="C2277" s="21" t="inlineStr">
        <is>
          <t>Continuum</t>
        </is>
      </c>
      <c r="D2277" s="3" t="inlineStr">
        <is>
          <t>Utility and C&amp;I</t>
        </is>
      </c>
      <c r="E2277" s="3" t="n"/>
      <c r="F2277" s="3" t="inlineStr">
        <is>
          <t>Closed</t>
        </is>
      </c>
      <c r="G2277" s="21" t="inlineStr">
        <is>
          <t>Amiya Ranjan Behera</t>
        </is>
      </c>
      <c r="H2277" s="21" t="n">
        <v>8917436223</v>
      </c>
      <c r="I2277" s="38" t="inlineStr">
        <is>
          <t>PE06052602</t>
        </is>
      </c>
      <c r="J2277" s="21" t="inlineStr">
        <is>
          <t>Diode Bypass Module Issue</t>
        </is>
      </c>
      <c r="K2277" s="21" t="inlineStr">
        <is>
          <t>Bhavnagar</t>
        </is>
      </c>
      <c r="L2277" s="21" t="inlineStr">
        <is>
          <t>Gujarat</t>
        </is>
      </c>
      <c r="M2277" s="96" t="inlineStr">
        <is>
          <t>PS</t>
        </is>
      </c>
      <c r="N2277" s="3" t="inlineStr">
        <is>
          <t>Cold Soldering</t>
        </is>
      </c>
      <c r="O2277" s="62" t="n">
        <v>540</v>
      </c>
      <c r="P2277" s="9" t="inlineStr">
        <is>
          <t>NSMP2304071743</t>
        </is>
      </c>
      <c r="Q2277" s="53">
        <f>MID(P2277,5,2)</f>
        <v/>
      </c>
      <c r="R2277" s="53">
        <f>MID(P2277,7,2)</f>
        <v/>
      </c>
      <c r="S2277" s="3" t="inlineStr">
        <is>
          <t>G2B</t>
        </is>
      </c>
      <c r="T2277" s="3" t="inlineStr">
        <is>
          <t>P2</t>
        </is>
      </c>
      <c r="U2277" s="3" t="inlineStr">
        <is>
          <t>P JB Cold Soldering</t>
        </is>
      </c>
      <c r="V2277" s="3" t="inlineStr">
        <is>
          <t>Soldering</t>
        </is>
      </c>
      <c r="W2277" s="3" t="inlineStr">
        <is>
          <t>Repair</t>
        </is>
      </c>
      <c r="X2277" s="18" t="n">
        <v>46170</v>
      </c>
      <c r="Y2277" s="73">
        <f>IF(X2277="","",X2277-A2277)</f>
        <v/>
      </c>
      <c r="Z2277" s="18" t="n">
        <v>46170</v>
      </c>
      <c r="AA2277" s="15" t="n"/>
      <c r="AB2277" s="15" t="n"/>
      <c r="AF2277">
        <f>IF(AND($F2277="Closed",$X2277&gt;=DATE(2026,5,1),$X2277&lt;=DATE(2026,5,31)),"Closed in May","Other")</f>
        <v/>
      </c>
    </row>
    <row r="2278">
      <c r="A2278" s="59" t="n">
        <v>46148</v>
      </c>
      <c r="B2278" s="3" t="n">
        <v>2026</v>
      </c>
      <c r="C2278" s="21" t="inlineStr">
        <is>
          <t>Continuum</t>
        </is>
      </c>
      <c r="D2278" s="3" t="inlineStr">
        <is>
          <t>Utility and C&amp;I</t>
        </is>
      </c>
      <c r="E2278" s="3" t="n"/>
      <c r="F2278" s="3" t="inlineStr">
        <is>
          <t>Closed</t>
        </is>
      </c>
      <c r="G2278" s="21" t="inlineStr">
        <is>
          <t>Amiya Ranjan Behera</t>
        </is>
      </c>
      <c r="H2278" s="21" t="n">
        <v>8917436223</v>
      </c>
      <c r="I2278" s="38" t="inlineStr">
        <is>
          <t>PE06052602</t>
        </is>
      </c>
      <c r="J2278" s="21" t="inlineStr">
        <is>
          <t>Diode Bypass Module Issue</t>
        </is>
      </c>
      <c r="K2278" s="21" t="inlineStr">
        <is>
          <t>Bhavnagar</t>
        </is>
      </c>
      <c r="L2278" s="21" t="inlineStr">
        <is>
          <t>Gujarat</t>
        </is>
      </c>
      <c r="M2278" s="96" t="inlineStr">
        <is>
          <t>OK</t>
        </is>
      </c>
      <c r="N2278" s="3" t="inlineStr">
        <is>
          <t>No Issue</t>
        </is>
      </c>
      <c r="O2278" s="62" t="n">
        <v>540</v>
      </c>
      <c r="P2278" s="9" t="inlineStr">
        <is>
          <t>NSMP2304075171</t>
        </is>
      </c>
      <c r="Q2278" s="53">
        <f>MID(P2278,5,2)</f>
        <v/>
      </c>
      <c r="R2278" s="53">
        <f>MID(P2278,7,2)</f>
        <v/>
      </c>
      <c r="S2278" s="3" t="inlineStr">
        <is>
          <t>G2B</t>
        </is>
      </c>
      <c r="T2278" s="3" t="inlineStr">
        <is>
          <t>P2</t>
        </is>
      </c>
      <c r="U2278" s="19" t="inlineStr">
        <is>
          <t>No Issue Found</t>
        </is>
      </c>
      <c r="V2278" s="19" t="inlineStr">
        <is>
          <t>Found OK</t>
        </is>
      </c>
      <c r="W2278" s="3" t="inlineStr">
        <is>
          <t>Repair</t>
        </is>
      </c>
      <c r="X2278" s="18" t="n">
        <v>46170</v>
      </c>
      <c r="Y2278" s="73">
        <f>IF(X2278="","",X2278-A2278)</f>
        <v/>
      </c>
      <c r="Z2278" s="18" t="n">
        <v>46170</v>
      </c>
      <c r="AA2278" s="15" t="n"/>
      <c r="AB2278" s="15" t="n"/>
      <c r="AF2278">
        <f>IF(AND($F2278="Closed",$X2278&gt;=DATE(2026,5,1),$X2278&lt;=DATE(2026,5,31)),"Closed in May","Other")</f>
        <v/>
      </c>
    </row>
    <row r="2279">
      <c r="A2279" s="59" t="n">
        <v>46148</v>
      </c>
      <c r="B2279" s="3" t="n">
        <v>2026</v>
      </c>
      <c r="C2279" s="21" t="inlineStr">
        <is>
          <t>Continuum</t>
        </is>
      </c>
      <c r="D2279" s="3" t="inlineStr">
        <is>
          <t>Utility and C&amp;I</t>
        </is>
      </c>
      <c r="E2279" s="3" t="n"/>
      <c r="F2279" s="3" t="inlineStr">
        <is>
          <t>Closed</t>
        </is>
      </c>
      <c r="G2279" s="21" t="inlineStr">
        <is>
          <t>Amiya Ranjan Behera</t>
        </is>
      </c>
      <c r="H2279" s="21" t="n">
        <v>8917436223</v>
      </c>
      <c r="I2279" s="38" t="inlineStr">
        <is>
          <t>PE06052602</t>
        </is>
      </c>
      <c r="J2279" s="21" t="inlineStr">
        <is>
          <t>Diode Bypass Module Issue</t>
        </is>
      </c>
      <c r="K2279" s="21" t="inlineStr">
        <is>
          <t>Bhavnagar</t>
        </is>
      </c>
      <c r="L2279" s="21" t="inlineStr">
        <is>
          <t>Gujarat</t>
        </is>
      </c>
      <c r="M2279" s="96" t="inlineStr">
        <is>
          <t>PS</t>
        </is>
      </c>
      <c r="N2279" s="3" t="inlineStr">
        <is>
          <t>Cold Soldering</t>
        </is>
      </c>
      <c r="O2279" s="62" t="n">
        <v>540</v>
      </c>
      <c r="P2279" s="9" t="inlineStr">
        <is>
          <t>NSMP2304075172</t>
        </is>
      </c>
      <c r="Q2279" s="53">
        <f>MID(P2279,5,2)</f>
        <v/>
      </c>
      <c r="R2279" s="53">
        <f>MID(P2279,7,2)</f>
        <v/>
      </c>
      <c r="S2279" s="3" t="inlineStr">
        <is>
          <t>G2B</t>
        </is>
      </c>
      <c r="T2279" s="3" t="inlineStr">
        <is>
          <t>P2</t>
        </is>
      </c>
      <c r="U2279" s="3" t="inlineStr">
        <is>
          <t>P JB Cold Soldering</t>
        </is>
      </c>
      <c r="V2279" s="3" t="inlineStr">
        <is>
          <t>Soldering</t>
        </is>
      </c>
      <c r="W2279" s="3" t="inlineStr">
        <is>
          <t>Repair</t>
        </is>
      </c>
      <c r="X2279" s="18" t="n">
        <v>46170</v>
      </c>
      <c r="Y2279" s="73">
        <f>IF(X2279="","",X2279-A2279)</f>
        <v/>
      </c>
      <c r="Z2279" s="18" t="n">
        <v>46170</v>
      </c>
      <c r="AA2279" s="15" t="n"/>
      <c r="AB2279" s="15" t="n"/>
      <c r="AF2279">
        <f>IF(AND($F2279="Closed",$X2279&gt;=DATE(2026,5,1),$X2279&lt;=DATE(2026,5,31)),"Closed in May","Other")</f>
        <v/>
      </c>
    </row>
    <row r="2280">
      <c r="A2280" s="59" t="n">
        <v>46148</v>
      </c>
      <c r="B2280" s="3" t="n">
        <v>2026</v>
      </c>
      <c r="C2280" s="21" t="inlineStr">
        <is>
          <t>Continuum</t>
        </is>
      </c>
      <c r="D2280" s="3" t="inlineStr">
        <is>
          <t>Utility and C&amp;I</t>
        </is>
      </c>
      <c r="E2280" s="3" t="n"/>
      <c r="F2280" s="3" t="inlineStr">
        <is>
          <t>Closed</t>
        </is>
      </c>
      <c r="G2280" s="21" t="inlineStr">
        <is>
          <t>Amiya Ranjan Behera</t>
        </is>
      </c>
      <c r="H2280" s="21" t="n">
        <v>8917436223</v>
      </c>
      <c r="I2280" s="38" t="inlineStr">
        <is>
          <t>PE06052602</t>
        </is>
      </c>
      <c r="J2280" s="21" t="inlineStr">
        <is>
          <t>Diode Bypass Module Issue</t>
        </is>
      </c>
      <c r="K2280" s="21" t="inlineStr">
        <is>
          <t>Bhavnagar</t>
        </is>
      </c>
      <c r="L2280" s="21" t="inlineStr">
        <is>
          <t>Gujarat</t>
        </is>
      </c>
      <c r="M2280" s="96" t="inlineStr">
        <is>
          <t>PS</t>
        </is>
      </c>
      <c r="N2280" s="3" t="inlineStr">
        <is>
          <t>Cold Soldering</t>
        </is>
      </c>
      <c r="O2280" s="62" t="n">
        <v>540</v>
      </c>
      <c r="P2280" s="9" t="inlineStr">
        <is>
          <t>NSMP2304077492</t>
        </is>
      </c>
      <c r="Q2280" s="53">
        <f>MID(P2280,5,2)</f>
        <v/>
      </c>
      <c r="R2280" s="53">
        <f>MID(P2280,7,2)</f>
        <v/>
      </c>
      <c r="S2280" s="3" t="inlineStr">
        <is>
          <t>G2B</t>
        </is>
      </c>
      <c r="T2280" s="3" t="inlineStr">
        <is>
          <t>P2</t>
        </is>
      </c>
      <c r="U2280" s="3" t="inlineStr">
        <is>
          <t>P JB Cold Soldering</t>
        </is>
      </c>
      <c r="V2280" s="3" t="inlineStr">
        <is>
          <t>Soldering</t>
        </is>
      </c>
      <c r="W2280" s="3" t="inlineStr">
        <is>
          <t>Repair</t>
        </is>
      </c>
      <c r="X2280" s="18" t="n">
        <v>46170</v>
      </c>
      <c r="Y2280" s="73">
        <f>IF(X2280="","",X2280-A2280)</f>
        <v/>
      </c>
      <c r="Z2280" s="18" t="n">
        <v>46170</v>
      </c>
      <c r="AA2280" s="15" t="n"/>
      <c r="AB2280" s="15" t="n"/>
      <c r="AF2280">
        <f>IF(AND($F2280="Closed",$X2280&gt;=DATE(2026,5,1),$X2280&lt;=DATE(2026,5,31)),"Closed in May","Other")</f>
        <v/>
      </c>
    </row>
    <row r="2281">
      <c r="A2281" s="59" t="n">
        <v>46148</v>
      </c>
      <c r="B2281" s="3" t="n">
        <v>2026</v>
      </c>
      <c r="C2281" s="21" t="inlineStr">
        <is>
          <t>Continuum</t>
        </is>
      </c>
      <c r="D2281" s="3" t="inlineStr">
        <is>
          <t>Utility and C&amp;I</t>
        </is>
      </c>
      <c r="E2281" s="3" t="n"/>
      <c r="F2281" s="3" t="inlineStr">
        <is>
          <t>Closed</t>
        </is>
      </c>
      <c r="G2281" s="21" t="inlineStr">
        <is>
          <t>Amiya Ranjan Behera</t>
        </is>
      </c>
      <c r="H2281" s="21" t="n">
        <v>8917436223</v>
      </c>
      <c r="I2281" s="38" t="inlineStr">
        <is>
          <t>PE06052602</t>
        </is>
      </c>
      <c r="J2281" s="21" t="inlineStr">
        <is>
          <t>Diode Bypass Module Issue</t>
        </is>
      </c>
      <c r="K2281" s="21" t="inlineStr">
        <is>
          <t>Bhavnagar</t>
        </is>
      </c>
      <c r="L2281" s="21" t="inlineStr">
        <is>
          <t>Gujarat</t>
        </is>
      </c>
      <c r="M2281" s="96" t="inlineStr">
        <is>
          <t>PR</t>
        </is>
      </c>
      <c r="N2281" s="3" t="inlineStr">
        <is>
          <t>JB Issue</t>
        </is>
      </c>
      <c r="O2281" s="62" t="n">
        <v>540</v>
      </c>
      <c r="P2281" s="9" t="inlineStr">
        <is>
          <t>NSMP2304076375</t>
        </is>
      </c>
      <c r="Q2281" s="53">
        <f>MID(P2281,5,2)</f>
        <v/>
      </c>
      <c r="R2281" s="53">
        <f>MID(P2281,7,2)</f>
        <v/>
      </c>
      <c r="S2281" s="3" t="inlineStr">
        <is>
          <t>G2B</t>
        </is>
      </c>
      <c r="T2281" s="3" t="inlineStr">
        <is>
          <t>P2</t>
        </is>
      </c>
      <c r="U2281" s="3" t="inlineStr">
        <is>
          <t>P JB Issue</t>
        </is>
      </c>
      <c r="V2281" s="15" t="inlineStr">
        <is>
          <t>JB Changed</t>
        </is>
      </c>
      <c r="W2281" s="3" t="inlineStr">
        <is>
          <t>Repair</t>
        </is>
      </c>
      <c r="X2281" s="18" t="n">
        <v>46170</v>
      </c>
      <c r="Y2281" s="73">
        <f>IF(X2281="","",X2281-A2281)</f>
        <v/>
      </c>
      <c r="Z2281" s="18" t="n">
        <v>46170</v>
      </c>
      <c r="AA2281" s="15" t="n"/>
      <c r="AB2281" s="15" t="n"/>
      <c r="AF2281">
        <f>IF(AND($F2281="Closed",$X2281&gt;=DATE(2026,5,1),$X2281&lt;=DATE(2026,5,31)),"Closed in May","Other")</f>
        <v/>
      </c>
    </row>
    <row r="2282">
      <c r="A2282" s="59" t="n">
        <v>46148</v>
      </c>
      <c r="B2282" s="3" t="n">
        <v>2026</v>
      </c>
      <c r="C2282" s="21" t="inlineStr">
        <is>
          <t>Continuum</t>
        </is>
      </c>
      <c r="D2282" s="3" t="inlineStr">
        <is>
          <t>Utility and C&amp;I</t>
        </is>
      </c>
      <c r="E2282" s="3" t="n"/>
      <c r="F2282" s="3" t="inlineStr">
        <is>
          <t>Closed</t>
        </is>
      </c>
      <c r="G2282" s="21" t="inlineStr">
        <is>
          <t>Amiya Ranjan Behera</t>
        </is>
      </c>
      <c r="H2282" s="21" t="n">
        <v>8917436223</v>
      </c>
      <c r="I2282" s="38" t="inlineStr">
        <is>
          <t>PE06052602</t>
        </is>
      </c>
      <c r="J2282" s="21" t="inlineStr">
        <is>
          <t>Diode Bypass Module Issue</t>
        </is>
      </c>
      <c r="K2282" s="21" t="inlineStr">
        <is>
          <t>Bhavnagar</t>
        </is>
      </c>
      <c r="L2282" s="21" t="inlineStr">
        <is>
          <t>Gujarat</t>
        </is>
      </c>
      <c r="M2282" s="96" t="inlineStr">
        <is>
          <t>PR</t>
        </is>
      </c>
      <c r="N2282" s="3" t="inlineStr">
        <is>
          <t>JB Issue</t>
        </is>
      </c>
      <c r="O2282" s="62" t="n">
        <v>540</v>
      </c>
      <c r="P2282" s="9" t="inlineStr">
        <is>
          <t>NSMP2304075304</t>
        </is>
      </c>
      <c r="Q2282" s="53">
        <f>MID(P2282,5,2)</f>
        <v/>
      </c>
      <c r="R2282" s="53">
        <f>MID(P2282,7,2)</f>
        <v/>
      </c>
      <c r="S2282" s="3" t="inlineStr">
        <is>
          <t>G2B</t>
        </is>
      </c>
      <c r="T2282" s="3" t="inlineStr">
        <is>
          <t>P2</t>
        </is>
      </c>
      <c r="U2282" s="3" t="inlineStr">
        <is>
          <t>P JB Issue</t>
        </is>
      </c>
      <c r="V2282" s="15" t="inlineStr">
        <is>
          <t>JB Changed</t>
        </is>
      </c>
      <c r="W2282" s="3" t="inlineStr">
        <is>
          <t>Repair</t>
        </is>
      </c>
      <c r="X2282" s="18" t="n">
        <v>46170</v>
      </c>
      <c r="Y2282" s="73">
        <f>IF(X2282="","",X2282-A2282)</f>
        <v/>
      </c>
      <c r="Z2282" s="18" t="n">
        <v>46170</v>
      </c>
      <c r="AA2282" s="15" t="n"/>
      <c r="AB2282" s="15" t="n"/>
      <c r="AF2282">
        <f>IF(AND($F2282="Closed",$X2282&gt;=DATE(2026,5,1),$X2282&lt;=DATE(2026,5,31)),"Closed in May","Other")</f>
        <v/>
      </c>
    </row>
    <row r="2283">
      <c r="A2283" s="59" t="n">
        <v>46148</v>
      </c>
      <c r="B2283" s="3" t="n">
        <v>2026</v>
      </c>
      <c r="C2283" s="21" t="inlineStr">
        <is>
          <t>Continuum</t>
        </is>
      </c>
      <c r="D2283" s="3" t="inlineStr">
        <is>
          <t>Utility and C&amp;I</t>
        </is>
      </c>
      <c r="E2283" s="3" t="n"/>
      <c r="F2283" s="3" t="inlineStr">
        <is>
          <t>Closed</t>
        </is>
      </c>
      <c r="G2283" s="21" t="inlineStr">
        <is>
          <t>Amiya Ranjan Behera</t>
        </is>
      </c>
      <c r="H2283" s="21" t="n">
        <v>8917436223</v>
      </c>
      <c r="I2283" s="38" t="inlineStr">
        <is>
          <t>PE06052602</t>
        </is>
      </c>
      <c r="J2283" s="21" t="inlineStr">
        <is>
          <t>Diode Bypass Module Issue</t>
        </is>
      </c>
      <c r="K2283" s="21" t="inlineStr">
        <is>
          <t>Bhavnagar</t>
        </is>
      </c>
      <c r="L2283" s="21" t="inlineStr">
        <is>
          <t>Gujarat</t>
        </is>
      </c>
      <c r="M2283" s="96" t="inlineStr">
        <is>
          <t>PR</t>
        </is>
      </c>
      <c r="N2283" s="3" t="inlineStr">
        <is>
          <t>JB Issue</t>
        </is>
      </c>
      <c r="O2283" s="62" t="n">
        <v>540</v>
      </c>
      <c r="P2283" s="9" t="inlineStr">
        <is>
          <t>NSMP2304077494</t>
        </is>
      </c>
      <c r="Q2283" s="53">
        <f>MID(P2283,5,2)</f>
        <v/>
      </c>
      <c r="R2283" s="53">
        <f>MID(P2283,7,2)</f>
        <v/>
      </c>
      <c r="S2283" s="3" t="inlineStr">
        <is>
          <t>G2B</t>
        </is>
      </c>
      <c r="T2283" s="3" t="inlineStr">
        <is>
          <t>P2</t>
        </is>
      </c>
      <c r="U2283" s="3" t="inlineStr">
        <is>
          <t>P JB Issue</t>
        </is>
      </c>
      <c r="V2283" s="15" t="inlineStr">
        <is>
          <t>JB Changed</t>
        </is>
      </c>
      <c r="W2283" s="3" t="inlineStr">
        <is>
          <t>Repair</t>
        </is>
      </c>
      <c r="X2283" s="18" t="n">
        <v>46170</v>
      </c>
      <c r="Y2283" s="73">
        <f>IF(X2283="","",X2283-A2283)</f>
        <v/>
      </c>
      <c r="Z2283" s="18" t="n">
        <v>46170</v>
      </c>
      <c r="AA2283" s="15" t="n"/>
      <c r="AB2283" s="15" t="n"/>
      <c r="AF2283">
        <f>IF(AND($F2283="Closed",$X2283&gt;=DATE(2026,5,1),$X2283&lt;=DATE(2026,5,31)),"Closed in May","Other")</f>
        <v/>
      </c>
    </row>
    <row r="2284">
      <c r="A2284" s="59" t="n">
        <v>46148</v>
      </c>
      <c r="B2284" s="3" t="n">
        <v>2026</v>
      </c>
      <c r="C2284" s="21" t="inlineStr">
        <is>
          <t>Continuum</t>
        </is>
      </c>
      <c r="D2284" s="3" t="inlineStr">
        <is>
          <t>Utility and C&amp;I</t>
        </is>
      </c>
      <c r="E2284" s="3" t="n"/>
      <c r="F2284" s="3" t="inlineStr">
        <is>
          <t>Closed</t>
        </is>
      </c>
      <c r="G2284" s="21" t="inlineStr">
        <is>
          <t>Amiya Ranjan Behera</t>
        </is>
      </c>
      <c r="H2284" s="21" t="n">
        <v>8917436223</v>
      </c>
      <c r="I2284" s="38" t="inlineStr">
        <is>
          <t>PE06052602</t>
        </is>
      </c>
      <c r="J2284" s="21" t="inlineStr">
        <is>
          <t>Diode Bypass Module Issue</t>
        </is>
      </c>
      <c r="K2284" s="21" t="inlineStr">
        <is>
          <t>Bhavnagar</t>
        </is>
      </c>
      <c r="L2284" s="21" t="inlineStr">
        <is>
          <t>Gujarat</t>
        </is>
      </c>
      <c r="M2284" s="96" t="inlineStr">
        <is>
          <t>OK</t>
        </is>
      </c>
      <c r="N2284" s="3" t="inlineStr">
        <is>
          <t>No Issue</t>
        </is>
      </c>
      <c r="O2284" s="62" t="n">
        <v>540</v>
      </c>
      <c r="P2284" s="9" t="inlineStr">
        <is>
          <t>NSMP2304065859</t>
        </is>
      </c>
      <c r="Q2284" s="53">
        <f>MID(P2284,5,2)</f>
        <v/>
      </c>
      <c r="R2284" s="53">
        <f>MID(P2284,7,2)</f>
        <v/>
      </c>
      <c r="S2284" s="3" t="inlineStr">
        <is>
          <t>G2B</t>
        </is>
      </c>
      <c r="T2284" s="3" t="inlineStr">
        <is>
          <t>P2</t>
        </is>
      </c>
      <c r="U2284" s="19" t="inlineStr">
        <is>
          <t>No Issue Found</t>
        </is>
      </c>
      <c r="V2284" s="19" t="inlineStr">
        <is>
          <t>Found OK</t>
        </is>
      </c>
      <c r="W2284" s="3" t="inlineStr">
        <is>
          <t>Repair</t>
        </is>
      </c>
      <c r="X2284" s="18" t="n">
        <v>46170</v>
      </c>
      <c r="Y2284" s="73">
        <f>IF(X2284="","",X2284-A2284)</f>
        <v/>
      </c>
      <c r="Z2284" s="18" t="n">
        <v>46170</v>
      </c>
      <c r="AA2284" s="15" t="n"/>
      <c r="AB2284" s="15" t="n"/>
      <c r="AF2284">
        <f>IF(AND($F2284="Closed",$X2284&gt;=DATE(2026,5,1),$X2284&lt;=DATE(2026,5,31)),"Closed in May","Other")</f>
        <v/>
      </c>
    </row>
    <row r="2285">
      <c r="A2285" s="59" t="n">
        <v>46148</v>
      </c>
      <c r="B2285" s="3" t="n">
        <v>2026</v>
      </c>
      <c r="C2285" s="21" t="inlineStr">
        <is>
          <t>Continuum</t>
        </is>
      </c>
      <c r="D2285" s="3" t="inlineStr">
        <is>
          <t>Utility and C&amp;I</t>
        </is>
      </c>
      <c r="E2285" s="3" t="n"/>
      <c r="F2285" s="3" t="inlineStr">
        <is>
          <t>Closed</t>
        </is>
      </c>
      <c r="G2285" s="21" t="inlineStr">
        <is>
          <t>Amiya Ranjan Behera</t>
        </is>
      </c>
      <c r="H2285" s="21" t="n">
        <v>8917436223</v>
      </c>
      <c r="I2285" s="38" t="inlineStr">
        <is>
          <t>PE06052602</t>
        </is>
      </c>
      <c r="J2285" s="21" t="inlineStr">
        <is>
          <t>Diode Bypass Module Issue</t>
        </is>
      </c>
      <c r="K2285" s="21" t="inlineStr">
        <is>
          <t>Bhavnagar</t>
        </is>
      </c>
      <c r="L2285" s="21" t="inlineStr">
        <is>
          <t>Gujarat</t>
        </is>
      </c>
      <c r="M2285" s="96" t="inlineStr">
        <is>
          <t>PR</t>
        </is>
      </c>
      <c r="N2285" s="3" t="inlineStr">
        <is>
          <t>JB Issue</t>
        </is>
      </c>
      <c r="O2285" s="62" t="n">
        <v>540</v>
      </c>
      <c r="P2285" s="9" t="inlineStr">
        <is>
          <t>NSMP2305124643</t>
        </is>
      </c>
      <c r="Q2285" s="53">
        <f>MID(P2285,5,2)</f>
        <v/>
      </c>
      <c r="R2285" s="53">
        <f>MID(P2285,7,2)</f>
        <v/>
      </c>
      <c r="S2285" s="3" t="inlineStr">
        <is>
          <t>G2B</t>
        </is>
      </c>
      <c r="T2285" s="3" t="inlineStr">
        <is>
          <t>P2</t>
        </is>
      </c>
      <c r="U2285" s="3" t="inlineStr">
        <is>
          <t>P JB Issue</t>
        </is>
      </c>
      <c r="V2285" s="15" t="inlineStr">
        <is>
          <t>JB Changed</t>
        </is>
      </c>
      <c r="W2285" s="3" t="inlineStr">
        <is>
          <t>Repair</t>
        </is>
      </c>
      <c r="X2285" s="18" t="n">
        <v>46170</v>
      </c>
      <c r="Y2285" s="73">
        <f>IF(X2285="","",X2285-A2285)</f>
        <v/>
      </c>
      <c r="Z2285" s="18" t="n">
        <v>46170</v>
      </c>
      <c r="AA2285" s="15" t="n"/>
      <c r="AB2285" s="15" t="n"/>
      <c r="AF2285">
        <f>IF(AND($F2285="Closed",$X2285&gt;=DATE(2026,5,1),$X2285&lt;=DATE(2026,5,31)),"Closed in May","Other")</f>
        <v/>
      </c>
    </row>
    <row r="2286">
      <c r="A2286" s="59" t="n">
        <v>46148</v>
      </c>
      <c r="B2286" s="3" t="n">
        <v>2026</v>
      </c>
      <c r="C2286" s="21" t="inlineStr">
        <is>
          <t>Continuum</t>
        </is>
      </c>
      <c r="D2286" s="3" t="inlineStr">
        <is>
          <t>Utility and C&amp;I</t>
        </is>
      </c>
      <c r="E2286" s="3" t="n"/>
      <c r="F2286" s="3" t="inlineStr">
        <is>
          <t>Closed</t>
        </is>
      </c>
      <c r="G2286" s="21" t="inlineStr">
        <is>
          <t>Amiya Ranjan Behera</t>
        </is>
      </c>
      <c r="H2286" s="21" t="n">
        <v>8917436223</v>
      </c>
      <c r="I2286" s="38" t="inlineStr">
        <is>
          <t>PE06052602</t>
        </is>
      </c>
      <c r="J2286" s="21" t="inlineStr">
        <is>
          <t>Diode Bypass Module Issue</t>
        </is>
      </c>
      <c r="K2286" s="21" t="inlineStr">
        <is>
          <t>Bhavnagar</t>
        </is>
      </c>
      <c r="L2286" s="21" t="inlineStr">
        <is>
          <t>Gujarat</t>
        </is>
      </c>
      <c r="M2286" s="96" t="inlineStr">
        <is>
          <t>PR</t>
        </is>
      </c>
      <c r="N2286" s="3" t="inlineStr">
        <is>
          <t>JB Issue</t>
        </is>
      </c>
      <c r="O2286" s="62" t="n">
        <v>540</v>
      </c>
      <c r="P2286" s="9" t="inlineStr">
        <is>
          <t>NSMP2305124579</t>
        </is>
      </c>
      <c r="Q2286" s="53">
        <f>MID(P2286,5,2)</f>
        <v/>
      </c>
      <c r="R2286" s="53">
        <f>MID(P2286,7,2)</f>
        <v/>
      </c>
      <c r="S2286" s="3" t="inlineStr">
        <is>
          <t>G2B</t>
        </is>
      </c>
      <c r="T2286" s="3" t="inlineStr">
        <is>
          <t>P2</t>
        </is>
      </c>
      <c r="U2286" s="3" t="inlineStr">
        <is>
          <t>P JB Issue</t>
        </is>
      </c>
      <c r="V2286" s="15" t="inlineStr">
        <is>
          <t>JB Changed</t>
        </is>
      </c>
      <c r="W2286" s="3" t="inlineStr">
        <is>
          <t>Repair</t>
        </is>
      </c>
      <c r="X2286" s="18" t="n">
        <v>46170</v>
      </c>
      <c r="Y2286" s="73">
        <f>IF(X2286="","",X2286-A2286)</f>
        <v/>
      </c>
      <c r="Z2286" s="18" t="n">
        <v>46170</v>
      </c>
      <c r="AA2286" s="15" t="n"/>
      <c r="AB2286" s="15" t="n"/>
      <c r="AF2286">
        <f>IF(AND($F2286="Closed",$X2286&gt;=DATE(2026,5,1),$X2286&lt;=DATE(2026,5,31)),"Closed in May","Other")</f>
        <v/>
      </c>
    </row>
    <row r="2287">
      <c r="A2287" s="59" t="n">
        <v>46148</v>
      </c>
      <c r="B2287" s="3" t="n">
        <v>2026</v>
      </c>
      <c r="C2287" s="21" t="inlineStr">
        <is>
          <t>Continuum</t>
        </is>
      </c>
      <c r="D2287" s="3" t="inlineStr">
        <is>
          <t>Utility and C&amp;I</t>
        </is>
      </c>
      <c r="E2287" s="3" t="n"/>
      <c r="F2287" s="3" t="inlineStr">
        <is>
          <t>Closed</t>
        </is>
      </c>
      <c r="G2287" s="21" t="inlineStr">
        <is>
          <t>Amiya Ranjan Behera</t>
        </is>
      </c>
      <c r="H2287" s="21" t="n">
        <v>8917436223</v>
      </c>
      <c r="I2287" s="38" t="inlineStr">
        <is>
          <t>PE06052602</t>
        </is>
      </c>
      <c r="J2287" s="21" t="inlineStr">
        <is>
          <t>Diode Bypass Module Issue</t>
        </is>
      </c>
      <c r="K2287" s="21" t="inlineStr">
        <is>
          <t>Bhavnagar</t>
        </is>
      </c>
      <c r="L2287" s="21" t="inlineStr">
        <is>
          <t>Gujarat</t>
        </is>
      </c>
      <c r="M2287" s="96" t="inlineStr">
        <is>
          <t>PS</t>
        </is>
      </c>
      <c r="N2287" s="3" t="inlineStr">
        <is>
          <t>Cold Soldering</t>
        </is>
      </c>
      <c r="O2287" s="62" t="n">
        <v>540</v>
      </c>
      <c r="P2287" s="9" t="inlineStr">
        <is>
          <t>NSMP2305124607</t>
        </is>
      </c>
      <c r="Q2287" s="53">
        <f>MID(P2287,5,2)</f>
        <v/>
      </c>
      <c r="R2287" s="53">
        <f>MID(P2287,7,2)</f>
        <v/>
      </c>
      <c r="S2287" s="3" t="inlineStr">
        <is>
          <t>G2B</t>
        </is>
      </c>
      <c r="T2287" s="3" t="inlineStr">
        <is>
          <t>P2</t>
        </is>
      </c>
      <c r="U2287" s="3" t="inlineStr">
        <is>
          <t>P JB Cold Soldering</t>
        </is>
      </c>
      <c r="V2287" s="3" t="inlineStr">
        <is>
          <t>Soldering</t>
        </is>
      </c>
      <c r="W2287" s="3" t="inlineStr">
        <is>
          <t>Repair</t>
        </is>
      </c>
      <c r="X2287" s="18" t="n">
        <v>46170</v>
      </c>
      <c r="Y2287" s="73">
        <f>IF(X2287="","",X2287-A2287)</f>
        <v/>
      </c>
      <c r="Z2287" s="18" t="n">
        <v>46170</v>
      </c>
      <c r="AA2287" s="15" t="n"/>
      <c r="AB2287" s="15" t="n"/>
      <c r="AF2287">
        <f>IF(AND($F2287="Closed",$X2287&gt;=DATE(2026,5,1),$X2287&lt;=DATE(2026,5,31)),"Closed in May","Other")</f>
        <v/>
      </c>
    </row>
    <row r="2288">
      <c r="A2288" s="59" t="n">
        <v>46148</v>
      </c>
      <c r="B2288" s="3" t="n">
        <v>2026</v>
      </c>
      <c r="C2288" s="21" t="inlineStr">
        <is>
          <t>Continuum</t>
        </is>
      </c>
      <c r="D2288" s="3" t="inlineStr">
        <is>
          <t>Utility and C&amp;I</t>
        </is>
      </c>
      <c r="E2288" s="3" t="n"/>
      <c r="F2288" s="3" t="inlineStr">
        <is>
          <t>Closed</t>
        </is>
      </c>
      <c r="G2288" s="21" t="inlineStr">
        <is>
          <t>Amiya Ranjan Behera</t>
        </is>
      </c>
      <c r="H2288" s="21" t="n">
        <v>8917436223</v>
      </c>
      <c r="I2288" s="38" t="inlineStr">
        <is>
          <t>PE06052602</t>
        </is>
      </c>
      <c r="J2288" s="21" t="inlineStr">
        <is>
          <t>Diode Bypass Module Issue</t>
        </is>
      </c>
      <c r="K2288" s="21" t="inlineStr">
        <is>
          <t>Bhavnagar</t>
        </is>
      </c>
      <c r="L2288" s="21" t="inlineStr">
        <is>
          <t>Gujarat</t>
        </is>
      </c>
      <c r="M2288" s="96" t="inlineStr">
        <is>
          <t>PS</t>
        </is>
      </c>
      <c r="N2288" s="3" t="inlineStr">
        <is>
          <t>Cold Soldering</t>
        </is>
      </c>
      <c r="O2288" s="62" t="n">
        <v>540</v>
      </c>
      <c r="P2288" s="9" t="inlineStr">
        <is>
          <t>NSMP2305124620</t>
        </is>
      </c>
      <c r="Q2288" s="53">
        <f>MID(P2288,5,2)</f>
        <v/>
      </c>
      <c r="R2288" s="53">
        <f>MID(P2288,7,2)</f>
        <v/>
      </c>
      <c r="S2288" s="3" t="inlineStr">
        <is>
          <t>G2B</t>
        </is>
      </c>
      <c r="T2288" s="3" t="inlineStr">
        <is>
          <t>P2</t>
        </is>
      </c>
      <c r="U2288" s="3" t="inlineStr">
        <is>
          <t>P JB Cold Soldering</t>
        </is>
      </c>
      <c r="V2288" s="3" t="inlineStr">
        <is>
          <t>Soldering</t>
        </is>
      </c>
      <c r="W2288" s="3" t="inlineStr">
        <is>
          <t>Repair</t>
        </is>
      </c>
      <c r="X2288" s="18" t="n">
        <v>46170</v>
      </c>
      <c r="Y2288" s="73">
        <f>IF(X2288="","",X2288-A2288)</f>
        <v/>
      </c>
      <c r="Z2288" s="18" t="n">
        <v>46170</v>
      </c>
      <c r="AA2288" s="15" t="n"/>
      <c r="AB2288" s="15" t="n"/>
      <c r="AF2288">
        <f>IF(AND($F2288="Closed",$X2288&gt;=DATE(2026,5,1),$X2288&lt;=DATE(2026,5,31)),"Closed in May","Other")</f>
        <v/>
      </c>
    </row>
    <row r="2289">
      <c r="A2289" s="59" t="n">
        <v>46148</v>
      </c>
      <c r="B2289" s="3" t="n">
        <v>2026</v>
      </c>
      <c r="C2289" s="21" t="inlineStr">
        <is>
          <t>Continuum</t>
        </is>
      </c>
      <c r="D2289" s="3" t="inlineStr">
        <is>
          <t>Utility and C&amp;I</t>
        </is>
      </c>
      <c r="E2289" s="3" t="n"/>
      <c r="F2289" s="3" t="inlineStr">
        <is>
          <t>Closed</t>
        </is>
      </c>
      <c r="G2289" s="21" t="inlineStr">
        <is>
          <t>Amiya Ranjan Behera</t>
        </is>
      </c>
      <c r="H2289" s="21" t="n">
        <v>8917436223</v>
      </c>
      <c r="I2289" s="38" t="inlineStr">
        <is>
          <t>PE06052602</t>
        </is>
      </c>
      <c r="J2289" s="21" t="inlineStr">
        <is>
          <t>Diode Bypass Module Issue</t>
        </is>
      </c>
      <c r="K2289" s="21" t="inlineStr">
        <is>
          <t>Bhavnagar</t>
        </is>
      </c>
      <c r="L2289" s="21" t="inlineStr">
        <is>
          <t>Gujarat</t>
        </is>
      </c>
      <c r="M2289" s="96" t="inlineStr">
        <is>
          <t>NR</t>
        </is>
      </c>
      <c r="N2289" s="26" t="inlineStr">
        <is>
          <t>JB Issue</t>
        </is>
      </c>
      <c r="O2289" s="62" t="n">
        <v>540</v>
      </c>
      <c r="P2289" s="9" t="inlineStr">
        <is>
          <t>NSMP2304063520</t>
        </is>
      </c>
      <c r="Q2289" s="53">
        <f>MID(P2289,5,2)</f>
        <v/>
      </c>
      <c r="R2289" s="53">
        <f>MID(P2289,7,2)</f>
        <v/>
      </c>
      <c r="S2289" s="3" t="inlineStr">
        <is>
          <t>G2B</t>
        </is>
      </c>
      <c r="T2289" s="3" t="inlineStr">
        <is>
          <t>P2</t>
        </is>
      </c>
      <c r="U2289" s="19" t="inlineStr">
        <is>
          <t>N JB Issue</t>
        </is>
      </c>
      <c r="V2289" s="19" t="inlineStr">
        <is>
          <t>JB Changed</t>
        </is>
      </c>
      <c r="W2289" s="3" t="inlineStr">
        <is>
          <t>Repair</t>
        </is>
      </c>
      <c r="X2289" s="18" t="n">
        <v>46170</v>
      </c>
      <c r="Y2289" s="73">
        <f>IF(X2289="","",X2289-A2289)</f>
        <v/>
      </c>
      <c r="Z2289" s="18" t="n">
        <v>46170</v>
      </c>
      <c r="AA2289" s="15" t="n"/>
      <c r="AB2289" s="15" t="n"/>
      <c r="AF2289">
        <f>IF(AND($F2289="Closed",$X2289&gt;=DATE(2026,5,1),$X2289&lt;=DATE(2026,5,31)),"Closed in May","Other")</f>
        <v/>
      </c>
    </row>
    <row r="2290">
      <c r="A2290" s="59" t="n">
        <v>46148</v>
      </c>
      <c r="B2290" s="3" t="n">
        <v>2026</v>
      </c>
      <c r="C2290" s="21" t="inlineStr">
        <is>
          <t>Continuum</t>
        </is>
      </c>
      <c r="D2290" s="3" t="inlineStr">
        <is>
          <t>Utility and C&amp;I</t>
        </is>
      </c>
      <c r="E2290" s="3" t="n"/>
      <c r="F2290" s="3" t="inlineStr">
        <is>
          <t>Closed</t>
        </is>
      </c>
      <c r="G2290" s="21" t="inlineStr">
        <is>
          <t>Amiya Ranjan Behera</t>
        </is>
      </c>
      <c r="H2290" s="21" t="n">
        <v>8917436223</v>
      </c>
      <c r="I2290" s="38" t="inlineStr">
        <is>
          <t>PE06052602</t>
        </is>
      </c>
      <c r="J2290" s="21" t="inlineStr">
        <is>
          <t>Diode Bypass Module Issue</t>
        </is>
      </c>
      <c r="K2290" s="21" t="inlineStr">
        <is>
          <t>Bhavnagar</t>
        </is>
      </c>
      <c r="L2290" s="21" t="inlineStr">
        <is>
          <t>Gujarat</t>
        </is>
      </c>
      <c r="M2290" s="96" t="inlineStr">
        <is>
          <t>PS</t>
        </is>
      </c>
      <c r="N2290" s="3" t="inlineStr">
        <is>
          <t>Cold Soldering</t>
        </is>
      </c>
      <c r="O2290" s="62" t="n">
        <v>540</v>
      </c>
      <c r="P2290" s="9" t="inlineStr">
        <is>
          <t>NSMP2304066752</t>
        </is>
      </c>
      <c r="Q2290" s="53">
        <f>MID(P2290,5,2)</f>
        <v/>
      </c>
      <c r="R2290" s="53">
        <f>MID(P2290,7,2)</f>
        <v/>
      </c>
      <c r="S2290" s="3" t="inlineStr">
        <is>
          <t>G2B</t>
        </is>
      </c>
      <c r="T2290" s="3" t="inlineStr">
        <is>
          <t>P2</t>
        </is>
      </c>
      <c r="U2290" s="3" t="inlineStr">
        <is>
          <t>P JB Cold Soldering</t>
        </is>
      </c>
      <c r="V2290" s="3" t="inlineStr">
        <is>
          <t>Soldering</t>
        </is>
      </c>
      <c r="W2290" s="3" t="inlineStr">
        <is>
          <t>Repair</t>
        </is>
      </c>
      <c r="X2290" s="18" t="n">
        <v>46170</v>
      </c>
      <c r="Y2290" s="73">
        <f>IF(X2290="","",X2290-A2290)</f>
        <v/>
      </c>
      <c r="Z2290" s="18" t="n">
        <v>46170</v>
      </c>
      <c r="AA2290" s="15" t="n"/>
      <c r="AB2290" s="15" t="n"/>
      <c r="AF2290">
        <f>IF(AND($F2290="Closed",$X2290&gt;=DATE(2026,5,1),$X2290&lt;=DATE(2026,5,31)),"Closed in May","Other")</f>
        <v/>
      </c>
    </row>
    <row r="2291">
      <c r="A2291" s="59" t="n">
        <v>46148</v>
      </c>
      <c r="B2291" s="3" t="n">
        <v>2026</v>
      </c>
      <c r="C2291" s="21" t="inlineStr">
        <is>
          <t>Continuum</t>
        </is>
      </c>
      <c r="D2291" s="3" t="inlineStr">
        <is>
          <t>Utility and C&amp;I</t>
        </is>
      </c>
      <c r="E2291" s="3" t="n"/>
      <c r="F2291" s="3" t="inlineStr">
        <is>
          <t>Closed</t>
        </is>
      </c>
      <c r="G2291" s="21" t="inlineStr">
        <is>
          <t>Amiya Ranjan Behera</t>
        </is>
      </c>
      <c r="H2291" s="21" t="n">
        <v>8917436223</v>
      </c>
      <c r="I2291" s="38" t="inlineStr">
        <is>
          <t>PE06052602</t>
        </is>
      </c>
      <c r="J2291" s="21" t="inlineStr">
        <is>
          <t>Diode Bypass Module Issue</t>
        </is>
      </c>
      <c r="K2291" s="21" t="inlineStr">
        <is>
          <t>Bhavnagar</t>
        </is>
      </c>
      <c r="L2291" s="21" t="inlineStr">
        <is>
          <t>Gujarat</t>
        </is>
      </c>
      <c r="M2291" s="96" t="inlineStr">
        <is>
          <t>PS</t>
        </is>
      </c>
      <c r="N2291" s="3" t="inlineStr">
        <is>
          <t>Cold Soldering</t>
        </is>
      </c>
      <c r="O2291" s="62" t="n">
        <v>540</v>
      </c>
      <c r="P2291" s="9" t="inlineStr">
        <is>
          <t>NSMP2304067106</t>
        </is>
      </c>
      <c r="Q2291" s="53">
        <f>MID(P2291,5,2)</f>
        <v/>
      </c>
      <c r="R2291" s="53">
        <f>MID(P2291,7,2)</f>
        <v/>
      </c>
      <c r="S2291" s="3" t="inlineStr">
        <is>
          <t>G2B</t>
        </is>
      </c>
      <c r="T2291" s="3" t="inlineStr">
        <is>
          <t>P2</t>
        </is>
      </c>
      <c r="U2291" s="3" t="inlineStr">
        <is>
          <t>P JB Cold Soldering</t>
        </is>
      </c>
      <c r="V2291" s="3" t="inlineStr">
        <is>
          <t>Soldering</t>
        </is>
      </c>
      <c r="W2291" s="3" t="inlineStr">
        <is>
          <t>Repair</t>
        </is>
      </c>
      <c r="X2291" s="18" t="n">
        <v>46170</v>
      </c>
      <c r="Y2291" s="73">
        <f>IF(X2291="","",X2291-A2291)</f>
        <v/>
      </c>
      <c r="Z2291" s="18" t="n">
        <v>46170</v>
      </c>
      <c r="AA2291" s="15" t="n"/>
      <c r="AB2291" s="15" t="n"/>
      <c r="AF2291">
        <f>IF(AND($F2291="Closed",$X2291&gt;=DATE(2026,5,1),$X2291&lt;=DATE(2026,5,31)),"Closed in May","Other")</f>
        <v/>
      </c>
    </row>
    <row r="2292">
      <c r="A2292" s="59" t="n">
        <v>46148</v>
      </c>
      <c r="B2292" s="3" t="n">
        <v>2026</v>
      </c>
      <c r="C2292" s="21" t="inlineStr">
        <is>
          <t>Continuum</t>
        </is>
      </c>
      <c r="D2292" s="3" t="inlineStr">
        <is>
          <t>Utility and C&amp;I</t>
        </is>
      </c>
      <c r="E2292" s="3" t="n"/>
      <c r="F2292" s="3" t="inlineStr">
        <is>
          <t>Closed</t>
        </is>
      </c>
      <c r="G2292" s="21" t="inlineStr">
        <is>
          <t>Amiya Ranjan Behera</t>
        </is>
      </c>
      <c r="H2292" s="21" t="n">
        <v>8917436223</v>
      </c>
      <c r="I2292" s="38" t="inlineStr">
        <is>
          <t>PE06052602</t>
        </is>
      </c>
      <c r="J2292" s="21" t="inlineStr">
        <is>
          <t>Diode Bypass Module Issue</t>
        </is>
      </c>
      <c r="K2292" s="21" t="inlineStr">
        <is>
          <t>Bhavnagar</t>
        </is>
      </c>
      <c r="L2292" s="21" t="inlineStr">
        <is>
          <t>Gujarat</t>
        </is>
      </c>
      <c r="M2292" s="96" t="inlineStr">
        <is>
          <t>PR</t>
        </is>
      </c>
      <c r="N2292" s="3" t="inlineStr">
        <is>
          <t>JB Issue</t>
        </is>
      </c>
      <c r="O2292" s="62" t="n">
        <v>540</v>
      </c>
      <c r="P2292" s="9" t="inlineStr">
        <is>
          <t>NSMP2304067148</t>
        </is>
      </c>
      <c r="Q2292" s="53">
        <f>MID(P2292,5,2)</f>
        <v/>
      </c>
      <c r="R2292" s="53">
        <f>MID(P2292,7,2)</f>
        <v/>
      </c>
      <c r="S2292" s="3" t="inlineStr">
        <is>
          <t>G2B</t>
        </is>
      </c>
      <c r="T2292" s="3" t="inlineStr">
        <is>
          <t>P2</t>
        </is>
      </c>
      <c r="U2292" s="3" t="inlineStr">
        <is>
          <t>P JB Issue</t>
        </is>
      </c>
      <c r="V2292" s="15" t="inlineStr">
        <is>
          <t>JB Changed</t>
        </is>
      </c>
      <c r="W2292" s="3" t="inlineStr">
        <is>
          <t>Repair</t>
        </is>
      </c>
      <c r="X2292" s="18" t="n">
        <v>46170</v>
      </c>
      <c r="Y2292" s="73">
        <f>IF(X2292="","",X2292-A2292)</f>
        <v/>
      </c>
      <c r="Z2292" s="18" t="n">
        <v>46170</v>
      </c>
      <c r="AA2292" s="15" t="n"/>
      <c r="AB2292" s="15" t="n"/>
      <c r="AF2292">
        <f>IF(AND($F2292="Closed",$X2292&gt;=DATE(2026,5,1),$X2292&lt;=DATE(2026,5,31)),"Closed in May","Other")</f>
        <v/>
      </c>
    </row>
    <row r="2293">
      <c r="A2293" s="59" t="n">
        <v>46148</v>
      </c>
      <c r="B2293" s="3" t="n">
        <v>2026</v>
      </c>
      <c r="C2293" s="21" t="inlineStr">
        <is>
          <t>Continuum</t>
        </is>
      </c>
      <c r="D2293" s="3" t="inlineStr">
        <is>
          <t>Utility and C&amp;I</t>
        </is>
      </c>
      <c r="E2293" s="3" t="n"/>
      <c r="F2293" s="3" t="inlineStr">
        <is>
          <t>Closed</t>
        </is>
      </c>
      <c r="G2293" s="21" t="inlineStr">
        <is>
          <t>Amiya Ranjan Behera</t>
        </is>
      </c>
      <c r="H2293" s="21" t="n">
        <v>8917436223</v>
      </c>
      <c r="I2293" s="38" t="inlineStr">
        <is>
          <t>PE06052602</t>
        </is>
      </c>
      <c r="J2293" s="21" t="inlineStr">
        <is>
          <t>Diode Bypass Module Issue</t>
        </is>
      </c>
      <c r="K2293" s="21" t="inlineStr">
        <is>
          <t>Bhavnagar</t>
        </is>
      </c>
      <c r="L2293" s="21" t="inlineStr">
        <is>
          <t>Gujarat</t>
        </is>
      </c>
      <c r="M2293" s="96" t="inlineStr">
        <is>
          <t>PS</t>
        </is>
      </c>
      <c r="N2293" s="3" t="inlineStr">
        <is>
          <t>Cold Soldering</t>
        </is>
      </c>
      <c r="O2293" s="62" t="n">
        <v>540</v>
      </c>
      <c r="P2293" s="9" t="inlineStr">
        <is>
          <t>NSMP2304067194</t>
        </is>
      </c>
      <c r="Q2293" s="53">
        <f>MID(P2293,5,2)</f>
        <v/>
      </c>
      <c r="R2293" s="53">
        <f>MID(P2293,7,2)</f>
        <v/>
      </c>
      <c r="S2293" s="3" t="inlineStr">
        <is>
          <t>G2B</t>
        </is>
      </c>
      <c r="T2293" s="3" t="inlineStr">
        <is>
          <t>P2</t>
        </is>
      </c>
      <c r="U2293" s="3" t="inlineStr">
        <is>
          <t>P JB Cold Soldering</t>
        </is>
      </c>
      <c r="V2293" s="3" t="inlineStr">
        <is>
          <t>Soldering</t>
        </is>
      </c>
      <c r="W2293" s="3" t="inlineStr">
        <is>
          <t>Repair</t>
        </is>
      </c>
      <c r="X2293" s="18" t="n">
        <v>46170</v>
      </c>
      <c r="Y2293" s="73">
        <f>IF(X2293="","",X2293-A2293)</f>
        <v/>
      </c>
      <c r="Z2293" s="18" t="n">
        <v>46170</v>
      </c>
      <c r="AA2293" s="15" t="n"/>
      <c r="AB2293" s="15" t="n"/>
      <c r="AF2293">
        <f>IF(AND($F2293="Closed",$X2293&gt;=DATE(2026,5,1),$X2293&lt;=DATE(2026,5,31)),"Closed in May","Other")</f>
        <v/>
      </c>
    </row>
    <row r="2294">
      <c r="A2294" s="59" t="n">
        <v>46148</v>
      </c>
      <c r="B2294" s="3" t="n">
        <v>2026</v>
      </c>
      <c r="C2294" s="21" t="inlineStr">
        <is>
          <t>Continuum</t>
        </is>
      </c>
      <c r="D2294" s="3" t="inlineStr">
        <is>
          <t>Utility and C&amp;I</t>
        </is>
      </c>
      <c r="E2294" s="3" t="n"/>
      <c r="F2294" s="3" t="inlineStr">
        <is>
          <t>Closed</t>
        </is>
      </c>
      <c r="G2294" s="21" t="inlineStr">
        <is>
          <t>Amiya Ranjan Behera</t>
        </is>
      </c>
      <c r="H2294" s="21" t="n">
        <v>8917436223</v>
      </c>
      <c r="I2294" s="38" t="inlineStr">
        <is>
          <t>PE06052602</t>
        </is>
      </c>
      <c r="J2294" s="21" t="inlineStr">
        <is>
          <t>Diode Bypass Module Issue</t>
        </is>
      </c>
      <c r="K2294" s="21" t="inlineStr">
        <is>
          <t>Bhavnagar</t>
        </is>
      </c>
      <c r="L2294" s="21" t="inlineStr">
        <is>
          <t>Gujarat</t>
        </is>
      </c>
      <c r="M2294" s="96" t="inlineStr">
        <is>
          <t>PS</t>
        </is>
      </c>
      <c r="N2294" s="3" t="inlineStr">
        <is>
          <t>Cold Soldering</t>
        </is>
      </c>
      <c r="O2294" s="62" t="n">
        <v>540</v>
      </c>
      <c r="P2294" s="9" t="inlineStr">
        <is>
          <t>NSMP2304067201</t>
        </is>
      </c>
      <c r="Q2294" s="53">
        <f>MID(P2294,5,2)</f>
        <v/>
      </c>
      <c r="R2294" s="53">
        <f>MID(P2294,7,2)</f>
        <v/>
      </c>
      <c r="S2294" s="3" t="inlineStr">
        <is>
          <t>G2B</t>
        </is>
      </c>
      <c r="T2294" s="3" t="inlineStr">
        <is>
          <t>P2</t>
        </is>
      </c>
      <c r="U2294" s="3" t="inlineStr">
        <is>
          <t>P JB Cold Soldering</t>
        </is>
      </c>
      <c r="V2294" s="3" t="inlineStr">
        <is>
          <t>Soldering</t>
        </is>
      </c>
      <c r="W2294" s="3" t="inlineStr">
        <is>
          <t>Repair</t>
        </is>
      </c>
      <c r="X2294" s="18" t="n">
        <v>46170</v>
      </c>
      <c r="Y2294" s="73">
        <f>IF(X2294="","",X2294-A2294)</f>
        <v/>
      </c>
      <c r="Z2294" s="18" t="n">
        <v>46170</v>
      </c>
      <c r="AA2294" s="15" t="n"/>
      <c r="AB2294" s="15" t="n"/>
      <c r="AF2294">
        <f>IF(AND($F2294="Closed",$X2294&gt;=DATE(2026,5,1),$X2294&lt;=DATE(2026,5,31)),"Closed in May","Other")</f>
        <v/>
      </c>
    </row>
    <row r="2295">
      <c r="A2295" s="59" t="n">
        <v>46148</v>
      </c>
      <c r="B2295" s="3" t="n">
        <v>2026</v>
      </c>
      <c r="C2295" s="21" t="inlineStr">
        <is>
          <t>Continuum</t>
        </is>
      </c>
      <c r="D2295" s="3" t="inlineStr">
        <is>
          <t>Utility and C&amp;I</t>
        </is>
      </c>
      <c r="E2295" s="3" t="n"/>
      <c r="F2295" s="3" t="inlineStr">
        <is>
          <t>Closed</t>
        </is>
      </c>
      <c r="G2295" s="21" t="inlineStr">
        <is>
          <t>Amiya Ranjan Behera</t>
        </is>
      </c>
      <c r="H2295" s="21" t="n">
        <v>8917436223</v>
      </c>
      <c r="I2295" s="38" t="inlineStr">
        <is>
          <t>PE06052602</t>
        </is>
      </c>
      <c r="J2295" s="21" t="inlineStr">
        <is>
          <t>Diode Bypass Module Issue</t>
        </is>
      </c>
      <c r="K2295" s="21" t="inlineStr">
        <is>
          <t>Bhavnagar</t>
        </is>
      </c>
      <c r="L2295" s="21" t="inlineStr">
        <is>
          <t>Gujarat</t>
        </is>
      </c>
      <c r="M2295" s="96" t="inlineStr">
        <is>
          <t>PR</t>
        </is>
      </c>
      <c r="N2295" s="3" t="inlineStr">
        <is>
          <t>JB Issue</t>
        </is>
      </c>
      <c r="O2295" s="62" t="n">
        <v>540</v>
      </c>
      <c r="P2295" s="9" t="inlineStr">
        <is>
          <t>NSMP2304067226</t>
        </is>
      </c>
      <c r="Q2295" s="53">
        <f>MID(P2295,5,2)</f>
        <v/>
      </c>
      <c r="R2295" s="53">
        <f>MID(P2295,7,2)</f>
        <v/>
      </c>
      <c r="S2295" s="3" t="inlineStr">
        <is>
          <t>G2B</t>
        </is>
      </c>
      <c r="T2295" s="3" t="inlineStr">
        <is>
          <t>P2</t>
        </is>
      </c>
      <c r="U2295" s="3" t="inlineStr">
        <is>
          <t>P JB Issue</t>
        </is>
      </c>
      <c r="V2295" s="15" t="inlineStr">
        <is>
          <t>JB Changed</t>
        </is>
      </c>
      <c r="W2295" s="3" t="inlineStr">
        <is>
          <t>Repair</t>
        </is>
      </c>
      <c r="X2295" s="18" t="n">
        <v>46170</v>
      </c>
      <c r="Y2295" s="73">
        <f>IF(X2295="","",X2295-A2295)</f>
        <v/>
      </c>
      <c r="Z2295" s="18" t="n">
        <v>46170</v>
      </c>
      <c r="AA2295" s="15" t="n"/>
      <c r="AB2295" s="15" t="n"/>
      <c r="AF2295">
        <f>IF(AND($F2295="Closed",$X2295&gt;=DATE(2026,5,1),$X2295&lt;=DATE(2026,5,31)),"Closed in May","Other")</f>
        <v/>
      </c>
    </row>
    <row r="2296">
      <c r="A2296" s="59" t="n">
        <v>46148</v>
      </c>
      <c r="B2296" s="3" t="n">
        <v>2026</v>
      </c>
      <c r="C2296" s="21" t="inlineStr">
        <is>
          <t>Continuum</t>
        </is>
      </c>
      <c r="D2296" s="3" t="inlineStr">
        <is>
          <t>Utility and C&amp;I</t>
        </is>
      </c>
      <c r="E2296" s="3" t="n"/>
      <c r="F2296" s="3" t="inlineStr">
        <is>
          <t>Closed</t>
        </is>
      </c>
      <c r="G2296" s="21" t="inlineStr">
        <is>
          <t>Amiya Ranjan Behera</t>
        </is>
      </c>
      <c r="H2296" s="21" t="n">
        <v>8917436223</v>
      </c>
      <c r="I2296" s="38" t="inlineStr">
        <is>
          <t>PE06052602</t>
        </is>
      </c>
      <c r="J2296" s="21" t="inlineStr">
        <is>
          <t>Diode Bypass Module Issue</t>
        </is>
      </c>
      <c r="K2296" s="21" t="inlineStr">
        <is>
          <t>Bhavnagar</t>
        </is>
      </c>
      <c r="L2296" s="21" t="inlineStr">
        <is>
          <t>Gujarat</t>
        </is>
      </c>
      <c r="M2296" s="96" t="inlineStr">
        <is>
          <t>OK</t>
        </is>
      </c>
      <c r="N2296" s="3" t="inlineStr">
        <is>
          <t>No Issue</t>
        </is>
      </c>
      <c r="O2296" s="62" t="n">
        <v>540</v>
      </c>
      <c r="P2296" s="9" t="inlineStr">
        <is>
          <t>NSMP2305129354</t>
        </is>
      </c>
      <c r="Q2296" s="53">
        <f>MID(P2296,5,2)</f>
        <v/>
      </c>
      <c r="R2296" s="53">
        <f>MID(P2296,7,2)</f>
        <v/>
      </c>
      <c r="S2296" s="3" t="inlineStr">
        <is>
          <t>G2B</t>
        </is>
      </c>
      <c r="T2296" s="3" t="inlineStr">
        <is>
          <t>P2</t>
        </is>
      </c>
      <c r="U2296" s="19" t="inlineStr">
        <is>
          <t>No Issue Found</t>
        </is>
      </c>
      <c r="V2296" s="19" t="inlineStr">
        <is>
          <t>Found OK</t>
        </is>
      </c>
      <c r="W2296" s="3" t="inlineStr">
        <is>
          <t>Repair</t>
        </is>
      </c>
      <c r="X2296" s="18" t="n">
        <v>46170</v>
      </c>
      <c r="Y2296" s="73">
        <f>IF(X2296="","",X2296-A2296)</f>
        <v/>
      </c>
      <c r="Z2296" s="18" t="n">
        <v>46170</v>
      </c>
      <c r="AA2296" s="15" t="n"/>
      <c r="AB2296" s="15" t="n"/>
      <c r="AF2296">
        <f>IF(AND($F2296="Closed",$X2296&gt;=DATE(2026,5,1),$X2296&lt;=DATE(2026,5,31)),"Closed in May","Other")</f>
        <v/>
      </c>
    </row>
    <row r="2297">
      <c r="A2297" s="59" t="n">
        <v>46148</v>
      </c>
      <c r="B2297" s="3" t="n">
        <v>2026</v>
      </c>
      <c r="C2297" s="21" t="inlineStr">
        <is>
          <t>Continuum</t>
        </is>
      </c>
      <c r="D2297" s="3" t="inlineStr">
        <is>
          <t>Utility and C&amp;I</t>
        </is>
      </c>
      <c r="E2297" s="3" t="n"/>
      <c r="F2297" s="3" t="inlineStr">
        <is>
          <t>Closed</t>
        </is>
      </c>
      <c r="G2297" s="21" t="inlineStr">
        <is>
          <t>Amiya Ranjan Behera</t>
        </is>
      </c>
      <c r="H2297" s="21" t="n">
        <v>8917436223</v>
      </c>
      <c r="I2297" s="38" t="inlineStr">
        <is>
          <t>PE06052602</t>
        </is>
      </c>
      <c r="J2297" s="21" t="inlineStr">
        <is>
          <t>Diode Bypass Module Issue</t>
        </is>
      </c>
      <c r="K2297" s="21" t="inlineStr">
        <is>
          <t>Bhavnagar</t>
        </is>
      </c>
      <c r="L2297" s="21" t="inlineStr">
        <is>
          <t>Gujarat</t>
        </is>
      </c>
      <c r="M2297" s="96" t="inlineStr">
        <is>
          <t>PS</t>
        </is>
      </c>
      <c r="N2297" s="3" t="inlineStr">
        <is>
          <t>Cold Soldering</t>
        </is>
      </c>
      <c r="O2297" s="62" t="n">
        <v>540</v>
      </c>
      <c r="P2297" s="9" t="inlineStr">
        <is>
          <t>NSMP2304071752</t>
        </is>
      </c>
      <c r="Q2297" s="53">
        <f>MID(P2297,5,2)</f>
        <v/>
      </c>
      <c r="R2297" s="53">
        <f>MID(P2297,7,2)</f>
        <v/>
      </c>
      <c r="S2297" s="3" t="inlineStr">
        <is>
          <t>G2B</t>
        </is>
      </c>
      <c r="T2297" s="3" t="inlineStr">
        <is>
          <t>P2</t>
        </is>
      </c>
      <c r="U2297" s="3" t="inlineStr">
        <is>
          <t>P JB Cold Soldering</t>
        </is>
      </c>
      <c r="V2297" s="3" t="inlineStr">
        <is>
          <t>Soldering</t>
        </is>
      </c>
      <c r="W2297" s="3" t="inlineStr">
        <is>
          <t>Repair</t>
        </is>
      </c>
      <c r="X2297" s="18" t="n">
        <v>46170</v>
      </c>
      <c r="Y2297" s="73">
        <f>IF(X2297="","",X2297-A2297)</f>
        <v/>
      </c>
      <c r="Z2297" s="18" t="n">
        <v>46170</v>
      </c>
      <c r="AA2297" s="15" t="n"/>
      <c r="AB2297" s="15" t="n"/>
      <c r="AF2297">
        <f>IF(AND($F2297="Closed",$X2297&gt;=DATE(2026,5,1),$X2297&lt;=DATE(2026,5,31)),"Closed in May","Other")</f>
        <v/>
      </c>
    </row>
    <row r="2298">
      <c r="A2298" s="59" t="n">
        <v>46148</v>
      </c>
      <c r="B2298" s="3" t="n">
        <v>2026</v>
      </c>
      <c r="C2298" s="21" t="inlineStr">
        <is>
          <t>Continuum</t>
        </is>
      </c>
      <c r="D2298" s="3" t="inlineStr">
        <is>
          <t>Utility and C&amp;I</t>
        </is>
      </c>
      <c r="E2298" s="3" t="n"/>
      <c r="F2298" s="3" t="inlineStr">
        <is>
          <t>Closed</t>
        </is>
      </c>
      <c r="G2298" s="21" t="inlineStr">
        <is>
          <t>Amiya Ranjan Behera</t>
        </is>
      </c>
      <c r="H2298" s="21" t="n">
        <v>8917436223</v>
      </c>
      <c r="I2298" s="38" t="inlineStr">
        <is>
          <t>PE06052602</t>
        </is>
      </c>
      <c r="J2298" s="21" t="inlineStr">
        <is>
          <t>Diode Bypass Module Issue</t>
        </is>
      </c>
      <c r="K2298" s="21" t="inlineStr">
        <is>
          <t>Bhavnagar</t>
        </is>
      </c>
      <c r="L2298" s="21" t="inlineStr">
        <is>
          <t>Gujarat</t>
        </is>
      </c>
      <c r="M2298" s="96" t="inlineStr">
        <is>
          <t>PS</t>
        </is>
      </c>
      <c r="N2298" s="3" t="inlineStr">
        <is>
          <t>Cold Soldering</t>
        </is>
      </c>
      <c r="O2298" s="62" t="n">
        <v>540</v>
      </c>
      <c r="P2298" s="9" t="inlineStr">
        <is>
          <t>NSMP2304071756</t>
        </is>
      </c>
      <c r="Q2298" s="53">
        <f>MID(P2298,5,2)</f>
        <v/>
      </c>
      <c r="R2298" s="53">
        <f>MID(P2298,7,2)</f>
        <v/>
      </c>
      <c r="S2298" s="3" t="inlineStr">
        <is>
          <t>G2B</t>
        </is>
      </c>
      <c r="T2298" s="3" t="inlineStr">
        <is>
          <t>P2</t>
        </is>
      </c>
      <c r="U2298" s="3" t="inlineStr">
        <is>
          <t>P JB Cold Soldering</t>
        </is>
      </c>
      <c r="V2298" s="3" t="inlineStr">
        <is>
          <t>Soldering</t>
        </is>
      </c>
      <c r="W2298" s="3" t="inlineStr">
        <is>
          <t>Repair</t>
        </is>
      </c>
      <c r="X2298" s="18" t="n">
        <v>46170</v>
      </c>
      <c r="Y2298" s="73">
        <f>IF(X2298="","",X2298-A2298)</f>
        <v/>
      </c>
      <c r="Z2298" s="18" t="n">
        <v>46170</v>
      </c>
      <c r="AA2298" s="15" t="n"/>
      <c r="AB2298" s="15" t="n"/>
      <c r="AF2298">
        <f>IF(AND($F2298="Closed",$X2298&gt;=DATE(2026,5,1),$X2298&lt;=DATE(2026,5,31)),"Closed in May","Other")</f>
        <v/>
      </c>
    </row>
    <row r="2299">
      <c r="A2299" s="59" t="n">
        <v>46148</v>
      </c>
      <c r="B2299" s="3" t="n">
        <v>2026</v>
      </c>
      <c r="C2299" s="21" t="inlineStr">
        <is>
          <t>Continuum</t>
        </is>
      </c>
      <c r="D2299" s="3" t="inlineStr">
        <is>
          <t>Utility and C&amp;I</t>
        </is>
      </c>
      <c r="E2299" s="3" t="n"/>
      <c r="F2299" s="3" t="inlineStr">
        <is>
          <t>Closed</t>
        </is>
      </c>
      <c r="G2299" s="21" t="inlineStr">
        <is>
          <t>Amiya Ranjan Behera</t>
        </is>
      </c>
      <c r="H2299" s="21" t="n">
        <v>8917436223</v>
      </c>
      <c r="I2299" s="38" t="inlineStr">
        <is>
          <t>PE06052602</t>
        </is>
      </c>
      <c r="J2299" s="21" t="inlineStr">
        <is>
          <t>Diode Bypass Module Issue</t>
        </is>
      </c>
      <c r="K2299" s="21" t="inlineStr">
        <is>
          <t>Bhavnagar</t>
        </is>
      </c>
      <c r="L2299" s="21" t="inlineStr">
        <is>
          <t>Gujarat</t>
        </is>
      </c>
      <c r="M2299" s="96" t="inlineStr">
        <is>
          <t>NS</t>
        </is>
      </c>
      <c r="N2299" s="26" t="inlineStr">
        <is>
          <t>Cold Soldering</t>
        </is>
      </c>
      <c r="O2299" s="62" t="n">
        <v>540</v>
      </c>
      <c r="P2299" s="9" t="inlineStr">
        <is>
          <t>NSMP2305126817</t>
        </is>
      </c>
      <c r="Q2299" s="53">
        <f>MID(P2299,5,2)</f>
        <v/>
      </c>
      <c r="R2299" s="53">
        <f>MID(P2299,7,2)</f>
        <v/>
      </c>
      <c r="S2299" s="3" t="inlineStr">
        <is>
          <t>G2B</t>
        </is>
      </c>
      <c r="T2299" s="3" t="inlineStr">
        <is>
          <t>P2</t>
        </is>
      </c>
      <c r="U2299" s="19" t="inlineStr">
        <is>
          <t>N JB Cold Soldering</t>
        </is>
      </c>
      <c r="V2299" s="19" t="inlineStr">
        <is>
          <t>Soldering</t>
        </is>
      </c>
      <c r="W2299" s="3" t="inlineStr">
        <is>
          <t>Repair</t>
        </is>
      </c>
      <c r="X2299" s="18" t="n">
        <v>46170</v>
      </c>
      <c r="Y2299" s="73">
        <f>IF(X2299="","",X2299-A2299)</f>
        <v/>
      </c>
      <c r="Z2299" s="18" t="n">
        <v>46170</v>
      </c>
      <c r="AA2299" s="15" t="n"/>
      <c r="AB2299" s="15" t="n"/>
      <c r="AF2299">
        <f>IF(AND($F2299="Closed",$X2299&gt;=DATE(2026,5,1),$X2299&lt;=DATE(2026,5,31)),"Closed in May","Other")</f>
        <v/>
      </c>
    </row>
    <row r="2300">
      <c r="A2300" s="59" t="n">
        <v>46148</v>
      </c>
      <c r="B2300" s="3" t="n">
        <v>2026</v>
      </c>
      <c r="C2300" s="21" t="inlineStr">
        <is>
          <t>Continuum</t>
        </is>
      </c>
      <c r="D2300" s="3" t="inlineStr">
        <is>
          <t>Utility and C&amp;I</t>
        </is>
      </c>
      <c r="E2300" s="3" t="n"/>
      <c r="F2300" s="3" t="inlineStr">
        <is>
          <t>Closed</t>
        </is>
      </c>
      <c r="G2300" s="21" t="inlineStr">
        <is>
          <t>Amiya Ranjan Behera</t>
        </is>
      </c>
      <c r="H2300" s="21" t="n">
        <v>8917436223</v>
      </c>
      <c r="I2300" s="38" t="inlineStr">
        <is>
          <t>PE06052602</t>
        </is>
      </c>
      <c r="J2300" s="21" t="inlineStr">
        <is>
          <t>Diode Bypass Module Issue</t>
        </is>
      </c>
      <c r="K2300" s="21" t="inlineStr">
        <is>
          <t>Bhavnagar</t>
        </is>
      </c>
      <c r="L2300" s="21" t="inlineStr">
        <is>
          <t>Gujarat</t>
        </is>
      </c>
      <c r="M2300" s="96" t="inlineStr">
        <is>
          <t>PS</t>
        </is>
      </c>
      <c r="N2300" s="3" t="inlineStr">
        <is>
          <t>Cold Soldering</t>
        </is>
      </c>
      <c r="O2300" s="62" t="n">
        <v>540</v>
      </c>
      <c r="P2300" s="9" t="inlineStr">
        <is>
          <t>NSMP2305131202</t>
        </is>
      </c>
      <c r="Q2300" s="53">
        <f>MID(P2300,5,2)</f>
        <v/>
      </c>
      <c r="R2300" s="53">
        <f>MID(P2300,7,2)</f>
        <v/>
      </c>
      <c r="S2300" s="3" t="inlineStr">
        <is>
          <t>G2B</t>
        </is>
      </c>
      <c r="T2300" s="3" t="inlineStr">
        <is>
          <t>P2</t>
        </is>
      </c>
      <c r="U2300" s="3" t="inlineStr">
        <is>
          <t>P JB Cold Soldering</t>
        </is>
      </c>
      <c r="V2300" s="3" t="inlineStr">
        <is>
          <t>Soldering</t>
        </is>
      </c>
      <c r="W2300" s="3" t="inlineStr">
        <is>
          <t>Repair</t>
        </is>
      </c>
      <c r="X2300" s="18" t="n">
        <v>46170</v>
      </c>
      <c r="Y2300" s="73">
        <f>IF(X2300="","",X2300-A2300)</f>
        <v/>
      </c>
      <c r="Z2300" s="18" t="n">
        <v>46170</v>
      </c>
      <c r="AA2300" s="15" t="n"/>
      <c r="AB2300" s="15" t="n"/>
      <c r="AF2300">
        <f>IF(AND($F2300="Closed",$X2300&gt;=DATE(2026,5,1),$X2300&lt;=DATE(2026,5,31)),"Closed in May","Other")</f>
        <v/>
      </c>
    </row>
    <row r="2301">
      <c r="A2301" s="59" t="n">
        <v>46148</v>
      </c>
      <c r="B2301" s="3" t="n">
        <v>2026</v>
      </c>
      <c r="C2301" s="21" t="inlineStr">
        <is>
          <t>Continuum</t>
        </is>
      </c>
      <c r="D2301" s="3" t="inlineStr">
        <is>
          <t>Utility and C&amp;I</t>
        </is>
      </c>
      <c r="E2301" s="3" t="n"/>
      <c r="F2301" s="3" t="inlineStr">
        <is>
          <t>Closed</t>
        </is>
      </c>
      <c r="G2301" s="21" t="inlineStr">
        <is>
          <t>Amiya Ranjan Behera</t>
        </is>
      </c>
      <c r="H2301" s="21" t="n">
        <v>8917436223</v>
      </c>
      <c r="I2301" s="38" t="inlineStr">
        <is>
          <t>PE06052602</t>
        </is>
      </c>
      <c r="J2301" s="21" t="inlineStr">
        <is>
          <t>Diode Bypass Module Issue</t>
        </is>
      </c>
      <c r="K2301" s="21" t="inlineStr">
        <is>
          <t>Bhavnagar</t>
        </is>
      </c>
      <c r="L2301" s="21" t="inlineStr">
        <is>
          <t>Gujarat</t>
        </is>
      </c>
      <c r="M2301" s="96" t="inlineStr">
        <is>
          <t>PS</t>
        </is>
      </c>
      <c r="N2301" s="3" t="inlineStr">
        <is>
          <t>Cold Soldering</t>
        </is>
      </c>
      <c r="O2301" s="62" t="n">
        <v>540</v>
      </c>
      <c r="P2301" s="9" t="inlineStr">
        <is>
          <t>NSMP2305131158</t>
        </is>
      </c>
      <c r="Q2301" s="53">
        <f>MID(P2301,5,2)</f>
        <v/>
      </c>
      <c r="R2301" s="53">
        <f>MID(P2301,7,2)</f>
        <v/>
      </c>
      <c r="S2301" s="3" t="inlineStr">
        <is>
          <t>G2B</t>
        </is>
      </c>
      <c r="T2301" s="3" t="inlineStr">
        <is>
          <t>P2</t>
        </is>
      </c>
      <c r="U2301" s="3" t="inlineStr">
        <is>
          <t>P JB Cold Soldering</t>
        </is>
      </c>
      <c r="V2301" s="3" t="inlineStr">
        <is>
          <t>Soldering</t>
        </is>
      </c>
      <c r="W2301" s="3" t="inlineStr">
        <is>
          <t>Repair</t>
        </is>
      </c>
      <c r="X2301" s="18" t="n">
        <v>46170</v>
      </c>
      <c r="Y2301" s="73">
        <f>IF(X2301="","",X2301-A2301)</f>
        <v/>
      </c>
      <c r="Z2301" s="18" t="n">
        <v>46170</v>
      </c>
      <c r="AA2301" s="15" t="n"/>
      <c r="AB2301" s="15" t="n"/>
      <c r="AF2301">
        <f>IF(AND($F2301="Closed",$X2301&gt;=DATE(2026,5,1),$X2301&lt;=DATE(2026,5,31)),"Closed in May","Other")</f>
        <v/>
      </c>
    </row>
    <row r="2302">
      <c r="A2302" s="59" t="n">
        <v>46148</v>
      </c>
      <c r="B2302" s="3" t="n">
        <v>2026</v>
      </c>
      <c r="C2302" s="21" t="inlineStr">
        <is>
          <t>Continuum</t>
        </is>
      </c>
      <c r="D2302" s="3" t="inlineStr">
        <is>
          <t>Utility and C&amp;I</t>
        </is>
      </c>
      <c r="E2302" s="3" t="n"/>
      <c r="F2302" s="3" t="inlineStr">
        <is>
          <t>Closed</t>
        </is>
      </c>
      <c r="G2302" s="21" t="inlineStr">
        <is>
          <t>Amiya Ranjan Behera</t>
        </is>
      </c>
      <c r="H2302" s="21" t="n">
        <v>8917436223</v>
      </c>
      <c r="I2302" s="38" t="inlineStr">
        <is>
          <t>PE06052602</t>
        </is>
      </c>
      <c r="J2302" s="21" t="inlineStr">
        <is>
          <t>Diode Bypass Module Issue</t>
        </is>
      </c>
      <c r="K2302" s="21" t="inlineStr">
        <is>
          <t>Bhavnagar</t>
        </is>
      </c>
      <c r="L2302" s="21" t="inlineStr">
        <is>
          <t>Gujarat</t>
        </is>
      </c>
      <c r="M2302" s="96" t="inlineStr">
        <is>
          <t>PS</t>
        </is>
      </c>
      <c r="N2302" s="3" t="inlineStr">
        <is>
          <t>Cold Soldering</t>
        </is>
      </c>
      <c r="O2302" s="62" t="n">
        <v>540</v>
      </c>
      <c r="P2302" s="9" t="inlineStr">
        <is>
          <t>NSMP2305129306</t>
        </is>
      </c>
      <c r="Q2302" s="53">
        <f>MID(P2302,5,2)</f>
        <v/>
      </c>
      <c r="R2302" s="53">
        <f>MID(P2302,7,2)</f>
        <v/>
      </c>
      <c r="S2302" s="3" t="inlineStr">
        <is>
          <t>G2B</t>
        </is>
      </c>
      <c r="T2302" s="3" t="inlineStr">
        <is>
          <t>P2</t>
        </is>
      </c>
      <c r="U2302" s="3" t="inlineStr">
        <is>
          <t>P JB Cold Soldering</t>
        </is>
      </c>
      <c r="V2302" s="3" t="inlineStr">
        <is>
          <t>Soldering</t>
        </is>
      </c>
      <c r="W2302" s="3" t="inlineStr">
        <is>
          <t>Repair</t>
        </is>
      </c>
      <c r="X2302" s="18" t="n">
        <v>46170</v>
      </c>
      <c r="Y2302" s="73">
        <f>IF(X2302="","",X2302-A2302)</f>
        <v/>
      </c>
      <c r="Z2302" s="18" t="n">
        <v>46170</v>
      </c>
      <c r="AA2302" s="15" t="n"/>
      <c r="AB2302" s="15" t="n"/>
      <c r="AF2302">
        <f>IF(AND($F2302="Closed",$X2302&gt;=DATE(2026,5,1),$X2302&lt;=DATE(2026,5,31)),"Closed in May","Other")</f>
        <v/>
      </c>
    </row>
    <row r="2303">
      <c r="A2303" s="59" t="n">
        <v>46148</v>
      </c>
      <c r="B2303" s="3" t="n">
        <v>2026</v>
      </c>
      <c r="C2303" s="21" t="inlineStr">
        <is>
          <t>Continuum</t>
        </is>
      </c>
      <c r="D2303" s="3" t="inlineStr">
        <is>
          <t>Utility and C&amp;I</t>
        </is>
      </c>
      <c r="E2303" s="3" t="n"/>
      <c r="F2303" s="3" t="inlineStr">
        <is>
          <t>Closed</t>
        </is>
      </c>
      <c r="G2303" s="21" t="inlineStr">
        <is>
          <t>Amiya Ranjan Behera</t>
        </is>
      </c>
      <c r="H2303" s="21" t="n">
        <v>8917436223</v>
      </c>
      <c r="I2303" s="38" t="inlineStr">
        <is>
          <t>PE06052602</t>
        </is>
      </c>
      <c r="J2303" s="21" t="inlineStr">
        <is>
          <t>Diode Bypass Module Issue</t>
        </is>
      </c>
      <c r="K2303" s="21" t="inlineStr">
        <is>
          <t>Bhavnagar</t>
        </is>
      </c>
      <c r="L2303" s="21" t="inlineStr">
        <is>
          <t>Gujarat</t>
        </is>
      </c>
      <c r="M2303" s="96" t="inlineStr">
        <is>
          <t>PS</t>
        </is>
      </c>
      <c r="N2303" s="3" t="inlineStr">
        <is>
          <t>Cold Soldering</t>
        </is>
      </c>
      <c r="O2303" s="62" t="n">
        <v>540</v>
      </c>
      <c r="P2303" s="9" t="inlineStr">
        <is>
          <t>NSMP2305130937</t>
        </is>
      </c>
      <c r="Q2303" s="53">
        <f>MID(P2303,5,2)</f>
        <v/>
      </c>
      <c r="R2303" s="53">
        <f>MID(P2303,7,2)</f>
        <v/>
      </c>
      <c r="S2303" s="3" t="inlineStr">
        <is>
          <t>G2B</t>
        </is>
      </c>
      <c r="T2303" s="3" t="inlineStr">
        <is>
          <t>P2</t>
        </is>
      </c>
      <c r="U2303" s="3" t="inlineStr">
        <is>
          <t>P JB Cold Soldering</t>
        </is>
      </c>
      <c r="V2303" s="3" t="inlineStr">
        <is>
          <t>Soldering</t>
        </is>
      </c>
      <c r="W2303" s="3" t="inlineStr">
        <is>
          <t>Repair</t>
        </is>
      </c>
      <c r="X2303" s="18" t="n">
        <v>46170</v>
      </c>
      <c r="Y2303" s="73">
        <f>IF(X2303="","",X2303-A2303)</f>
        <v/>
      </c>
      <c r="Z2303" s="18" t="n">
        <v>46170</v>
      </c>
      <c r="AA2303" s="15" t="n"/>
      <c r="AB2303" s="15" t="n"/>
      <c r="AF2303">
        <f>IF(AND($F2303="Closed",$X2303&gt;=DATE(2026,5,1),$X2303&lt;=DATE(2026,5,31)),"Closed in May","Other")</f>
        <v/>
      </c>
    </row>
    <row r="2304">
      <c r="A2304" s="59" t="n">
        <v>46148</v>
      </c>
      <c r="B2304" s="3" t="n">
        <v>2026</v>
      </c>
      <c r="C2304" s="21" t="inlineStr">
        <is>
          <t>Continuum</t>
        </is>
      </c>
      <c r="D2304" s="3" t="inlineStr">
        <is>
          <t>Utility and C&amp;I</t>
        </is>
      </c>
      <c r="E2304" s="3" t="n"/>
      <c r="F2304" s="3" t="inlineStr">
        <is>
          <t>Closed</t>
        </is>
      </c>
      <c r="G2304" s="21" t="inlineStr">
        <is>
          <t>Amiya Ranjan Behera</t>
        </is>
      </c>
      <c r="H2304" s="21" t="n">
        <v>8917436223</v>
      </c>
      <c r="I2304" s="38" t="inlineStr">
        <is>
          <t>PE06052602</t>
        </is>
      </c>
      <c r="J2304" s="21" t="inlineStr">
        <is>
          <t>Diode Bypass Module Issue</t>
        </is>
      </c>
      <c r="K2304" s="21" t="inlineStr">
        <is>
          <t>Bhavnagar</t>
        </is>
      </c>
      <c r="L2304" s="21" t="inlineStr">
        <is>
          <t>Gujarat</t>
        </is>
      </c>
      <c r="M2304" s="96" t="inlineStr">
        <is>
          <t>PS</t>
        </is>
      </c>
      <c r="N2304" s="3" t="inlineStr">
        <is>
          <t>Cold Soldering</t>
        </is>
      </c>
      <c r="O2304" s="62" t="n">
        <v>540</v>
      </c>
      <c r="P2304" s="9" t="inlineStr">
        <is>
          <t>NSMP2305129284</t>
        </is>
      </c>
      <c r="Q2304" s="53">
        <f>MID(P2304,5,2)</f>
        <v/>
      </c>
      <c r="R2304" s="53">
        <f>MID(P2304,7,2)</f>
        <v/>
      </c>
      <c r="S2304" s="3" t="inlineStr">
        <is>
          <t>G2B</t>
        </is>
      </c>
      <c r="T2304" s="3" t="inlineStr">
        <is>
          <t>P2</t>
        </is>
      </c>
      <c r="U2304" s="3" t="inlineStr">
        <is>
          <t>P JB Cold Soldering</t>
        </is>
      </c>
      <c r="V2304" s="3" t="inlineStr">
        <is>
          <t>Soldering</t>
        </is>
      </c>
      <c r="W2304" s="3" t="inlineStr">
        <is>
          <t>Repair</t>
        </is>
      </c>
      <c r="X2304" s="18" t="n">
        <v>46170</v>
      </c>
      <c r="Y2304" s="73">
        <f>IF(X2304="","",X2304-A2304)</f>
        <v/>
      </c>
      <c r="Z2304" s="18" t="n">
        <v>46170</v>
      </c>
      <c r="AA2304" s="15" t="n"/>
      <c r="AB2304" s="15" t="n"/>
      <c r="AF2304">
        <f>IF(AND($F2304="Closed",$X2304&gt;=DATE(2026,5,1),$X2304&lt;=DATE(2026,5,31)),"Closed in May","Other")</f>
        <v/>
      </c>
    </row>
    <row r="2305">
      <c r="A2305" s="59" t="n">
        <v>46148</v>
      </c>
      <c r="B2305" s="3" t="n">
        <v>2026</v>
      </c>
      <c r="C2305" s="21" t="inlineStr">
        <is>
          <t>Continuum</t>
        </is>
      </c>
      <c r="D2305" s="3" t="inlineStr">
        <is>
          <t>Utility and C&amp;I</t>
        </is>
      </c>
      <c r="E2305" s="3" t="n"/>
      <c r="F2305" s="3" t="inlineStr">
        <is>
          <t>Closed</t>
        </is>
      </c>
      <c r="G2305" s="21" t="inlineStr">
        <is>
          <t>Amiya Ranjan Behera</t>
        </is>
      </c>
      <c r="H2305" s="21" t="n">
        <v>8917436223</v>
      </c>
      <c r="I2305" s="38" t="inlineStr">
        <is>
          <t>PE06052602</t>
        </is>
      </c>
      <c r="J2305" s="21" t="inlineStr">
        <is>
          <t>Diode Bypass Module Issue</t>
        </is>
      </c>
      <c r="K2305" s="21" t="inlineStr">
        <is>
          <t>Bhavnagar</t>
        </is>
      </c>
      <c r="L2305" s="21" t="inlineStr">
        <is>
          <t>Gujarat</t>
        </is>
      </c>
      <c r="M2305" s="96" t="inlineStr">
        <is>
          <t>PS</t>
        </is>
      </c>
      <c r="N2305" s="3" t="inlineStr">
        <is>
          <t>Cold Soldering</t>
        </is>
      </c>
      <c r="O2305" s="62" t="n">
        <v>540</v>
      </c>
      <c r="P2305" s="9" t="inlineStr">
        <is>
          <t>NSMP2305129252</t>
        </is>
      </c>
      <c r="Q2305" s="53">
        <f>MID(P2305,5,2)</f>
        <v/>
      </c>
      <c r="R2305" s="53">
        <f>MID(P2305,7,2)</f>
        <v/>
      </c>
      <c r="S2305" s="3" t="inlineStr">
        <is>
          <t>G2B</t>
        </is>
      </c>
      <c r="T2305" s="3" t="inlineStr">
        <is>
          <t>P2</t>
        </is>
      </c>
      <c r="U2305" s="3" t="inlineStr">
        <is>
          <t>P JB Cold Soldering</t>
        </is>
      </c>
      <c r="V2305" s="3" t="inlineStr">
        <is>
          <t>Soldering</t>
        </is>
      </c>
      <c r="W2305" s="3" t="inlineStr">
        <is>
          <t>Repair</t>
        </is>
      </c>
      <c r="X2305" s="18" t="n">
        <v>46170</v>
      </c>
      <c r="Y2305" s="73">
        <f>IF(X2305="","",X2305-A2305)</f>
        <v/>
      </c>
      <c r="Z2305" s="18" t="n">
        <v>46170</v>
      </c>
      <c r="AA2305" s="15" t="n"/>
      <c r="AB2305" s="15" t="n"/>
      <c r="AF2305">
        <f>IF(AND($F2305="Closed",$X2305&gt;=DATE(2026,5,1),$X2305&lt;=DATE(2026,5,31)),"Closed in May","Other")</f>
        <v/>
      </c>
    </row>
    <row r="2306">
      <c r="A2306" s="59" t="n">
        <v>46148</v>
      </c>
      <c r="B2306" s="3" t="n">
        <v>2026</v>
      </c>
      <c r="C2306" s="21" t="inlineStr">
        <is>
          <t>Continuum</t>
        </is>
      </c>
      <c r="D2306" s="3" t="inlineStr">
        <is>
          <t>Utility and C&amp;I</t>
        </is>
      </c>
      <c r="E2306" s="3" t="n"/>
      <c r="F2306" s="3" t="inlineStr">
        <is>
          <t>Closed</t>
        </is>
      </c>
      <c r="G2306" s="21" t="inlineStr">
        <is>
          <t>Amiya Ranjan Behera</t>
        </is>
      </c>
      <c r="H2306" s="21" t="n">
        <v>8917436223</v>
      </c>
      <c r="I2306" s="38" t="inlineStr">
        <is>
          <t>PE06052602</t>
        </is>
      </c>
      <c r="J2306" s="21" t="inlineStr">
        <is>
          <t>Diode Bypass Module Issue</t>
        </is>
      </c>
      <c r="K2306" s="21" t="inlineStr">
        <is>
          <t>Bhavnagar</t>
        </is>
      </c>
      <c r="L2306" s="21" t="inlineStr">
        <is>
          <t>Gujarat</t>
        </is>
      </c>
      <c r="M2306" s="96" t="inlineStr">
        <is>
          <t>PS</t>
        </is>
      </c>
      <c r="N2306" s="3" t="inlineStr">
        <is>
          <t>Cold Soldering</t>
        </is>
      </c>
      <c r="O2306" s="62" t="n">
        <v>540</v>
      </c>
      <c r="P2306" s="9" t="inlineStr">
        <is>
          <t>NSMP2305129279</t>
        </is>
      </c>
      <c r="Q2306" s="53">
        <f>MID(P2306,5,2)</f>
        <v/>
      </c>
      <c r="R2306" s="53">
        <f>MID(P2306,7,2)</f>
        <v/>
      </c>
      <c r="S2306" s="3" t="inlineStr">
        <is>
          <t>G2B</t>
        </is>
      </c>
      <c r="T2306" s="3" t="inlineStr">
        <is>
          <t>P2</t>
        </is>
      </c>
      <c r="U2306" s="3" t="inlineStr">
        <is>
          <t>P JB Cold Soldering</t>
        </is>
      </c>
      <c r="V2306" s="3" t="inlineStr">
        <is>
          <t>Soldering</t>
        </is>
      </c>
      <c r="W2306" s="3" t="inlineStr">
        <is>
          <t>Repair</t>
        </is>
      </c>
      <c r="X2306" s="18" t="n">
        <v>46170</v>
      </c>
      <c r="Y2306" s="73">
        <f>IF(X2306="","",X2306-A2306)</f>
        <v/>
      </c>
      <c r="Z2306" s="18" t="n">
        <v>46170</v>
      </c>
      <c r="AA2306" s="15" t="n"/>
      <c r="AB2306" s="15" t="n"/>
      <c r="AF2306">
        <f>IF(AND($F2306="Closed",$X2306&gt;=DATE(2026,5,1),$X2306&lt;=DATE(2026,5,31)),"Closed in May","Other")</f>
        <v/>
      </c>
    </row>
    <row r="2307">
      <c r="A2307" s="59" t="n">
        <v>46148</v>
      </c>
      <c r="B2307" s="3" t="n">
        <v>2026</v>
      </c>
      <c r="C2307" s="21" t="inlineStr">
        <is>
          <t>Continuum</t>
        </is>
      </c>
      <c r="D2307" s="3" t="inlineStr">
        <is>
          <t>Utility and C&amp;I</t>
        </is>
      </c>
      <c r="E2307" s="3" t="n"/>
      <c r="F2307" s="3" t="inlineStr">
        <is>
          <t>Closed</t>
        </is>
      </c>
      <c r="G2307" s="21" t="inlineStr">
        <is>
          <t>Amiya Ranjan Behera</t>
        </is>
      </c>
      <c r="H2307" s="21" t="n">
        <v>8917436223</v>
      </c>
      <c r="I2307" s="38" t="inlineStr">
        <is>
          <t>PE06052602</t>
        </is>
      </c>
      <c r="J2307" s="21" t="inlineStr">
        <is>
          <t>Diode Bypass Module Issue</t>
        </is>
      </c>
      <c r="K2307" s="21" t="inlineStr">
        <is>
          <t>Bhavnagar</t>
        </is>
      </c>
      <c r="L2307" s="21" t="inlineStr">
        <is>
          <t>Gujarat</t>
        </is>
      </c>
      <c r="M2307" s="96" t="inlineStr">
        <is>
          <t>PS</t>
        </is>
      </c>
      <c r="N2307" s="3" t="inlineStr">
        <is>
          <t>Cold Soldering</t>
        </is>
      </c>
      <c r="O2307" s="62" t="n">
        <v>540</v>
      </c>
      <c r="P2307" s="9" t="inlineStr">
        <is>
          <t>NSMP2305124653</t>
        </is>
      </c>
      <c r="Q2307" s="53">
        <f>MID(P2307,5,2)</f>
        <v/>
      </c>
      <c r="R2307" s="53">
        <f>MID(P2307,7,2)</f>
        <v/>
      </c>
      <c r="S2307" s="3" t="inlineStr">
        <is>
          <t>G2B</t>
        </is>
      </c>
      <c r="T2307" s="3" t="inlineStr">
        <is>
          <t>P2</t>
        </is>
      </c>
      <c r="U2307" s="3" t="inlineStr">
        <is>
          <t>P JB Cold Soldering</t>
        </is>
      </c>
      <c r="V2307" s="3" t="inlineStr">
        <is>
          <t>Soldering</t>
        </is>
      </c>
      <c r="W2307" s="3" t="inlineStr">
        <is>
          <t>Repair</t>
        </is>
      </c>
      <c r="X2307" s="18" t="n">
        <v>46170</v>
      </c>
      <c r="Y2307" s="73">
        <f>IF(X2307="","",X2307-A2307)</f>
        <v/>
      </c>
      <c r="Z2307" s="18" t="n">
        <v>46170</v>
      </c>
      <c r="AA2307" s="15" t="n"/>
      <c r="AB2307" s="15" t="n"/>
      <c r="AF2307">
        <f>IF(AND($F2307="Closed",$X2307&gt;=DATE(2026,5,1),$X2307&lt;=DATE(2026,5,31)),"Closed in May","Other")</f>
        <v/>
      </c>
    </row>
    <row r="2308">
      <c r="A2308" s="59" t="n">
        <v>46148</v>
      </c>
      <c r="B2308" s="3" t="n">
        <v>2026</v>
      </c>
      <c r="C2308" s="21" t="inlineStr">
        <is>
          <t>Continuum</t>
        </is>
      </c>
      <c r="D2308" s="3" t="inlineStr">
        <is>
          <t>Utility and C&amp;I</t>
        </is>
      </c>
      <c r="E2308" s="3" t="n"/>
      <c r="F2308" s="3" t="inlineStr">
        <is>
          <t>Closed</t>
        </is>
      </c>
      <c r="G2308" s="21" t="inlineStr">
        <is>
          <t>Amiya Ranjan Behera</t>
        </is>
      </c>
      <c r="H2308" s="21" t="n">
        <v>8917436223</v>
      </c>
      <c r="I2308" s="38" t="inlineStr">
        <is>
          <t>PE06052602</t>
        </is>
      </c>
      <c r="J2308" s="21" t="inlineStr">
        <is>
          <t>Diode Bypass Module Issue</t>
        </is>
      </c>
      <c r="K2308" s="21" t="inlineStr">
        <is>
          <t>Bhavnagar</t>
        </is>
      </c>
      <c r="L2308" s="21" t="inlineStr">
        <is>
          <t>Gujarat</t>
        </is>
      </c>
      <c r="M2308" s="96" t="inlineStr">
        <is>
          <t>PS</t>
        </is>
      </c>
      <c r="N2308" s="3" t="inlineStr">
        <is>
          <t>Cold Soldering</t>
        </is>
      </c>
      <c r="O2308" s="62" t="n">
        <v>540</v>
      </c>
      <c r="P2308" s="9" t="inlineStr">
        <is>
          <t>NSMP2305124615</t>
        </is>
      </c>
      <c r="Q2308" s="53">
        <f>MID(P2308,5,2)</f>
        <v/>
      </c>
      <c r="R2308" s="53">
        <f>MID(P2308,7,2)</f>
        <v/>
      </c>
      <c r="S2308" s="3" t="inlineStr">
        <is>
          <t>G2B</t>
        </is>
      </c>
      <c r="T2308" s="3" t="inlineStr">
        <is>
          <t>P2</t>
        </is>
      </c>
      <c r="U2308" s="3" t="inlineStr">
        <is>
          <t>P JB Cold Soldering</t>
        </is>
      </c>
      <c r="V2308" s="3" t="inlineStr">
        <is>
          <t>Soldering</t>
        </is>
      </c>
      <c r="W2308" s="3" t="inlineStr">
        <is>
          <t>Repair</t>
        </is>
      </c>
      <c r="X2308" s="18" t="n">
        <v>46170</v>
      </c>
      <c r="Y2308" s="73">
        <f>IF(X2308="","",X2308-A2308)</f>
        <v/>
      </c>
      <c r="Z2308" s="18" t="n">
        <v>46170</v>
      </c>
      <c r="AA2308" s="15" t="n"/>
      <c r="AB2308" s="15" t="n"/>
      <c r="AF2308">
        <f>IF(AND($F2308="Closed",$X2308&gt;=DATE(2026,5,1),$X2308&lt;=DATE(2026,5,31)),"Closed in May","Other")</f>
        <v/>
      </c>
    </row>
    <row r="2309">
      <c r="A2309" s="59" t="n">
        <v>46148</v>
      </c>
      <c r="B2309" s="3" t="n">
        <v>2026</v>
      </c>
      <c r="C2309" s="21" t="inlineStr">
        <is>
          <t>Continuum</t>
        </is>
      </c>
      <c r="D2309" s="3" t="inlineStr">
        <is>
          <t>Utility and C&amp;I</t>
        </is>
      </c>
      <c r="E2309" s="3" t="n"/>
      <c r="F2309" s="3" t="inlineStr">
        <is>
          <t>Closed</t>
        </is>
      </c>
      <c r="G2309" s="21" t="inlineStr">
        <is>
          <t>Amiya Ranjan Behera</t>
        </is>
      </c>
      <c r="H2309" s="21" t="n">
        <v>8917436223</v>
      </c>
      <c r="I2309" s="38" t="inlineStr">
        <is>
          <t>PE06052602</t>
        </is>
      </c>
      <c r="J2309" s="21" t="inlineStr">
        <is>
          <t>Diode Bypass Module Issue</t>
        </is>
      </c>
      <c r="K2309" s="21" t="inlineStr">
        <is>
          <t>Bhavnagar</t>
        </is>
      </c>
      <c r="L2309" s="21" t="inlineStr">
        <is>
          <t>Gujarat</t>
        </is>
      </c>
      <c r="M2309" s="96" t="inlineStr">
        <is>
          <t>PS</t>
        </is>
      </c>
      <c r="N2309" s="3" t="inlineStr">
        <is>
          <t>Cold Soldering</t>
        </is>
      </c>
      <c r="O2309" s="62" t="n">
        <v>540</v>
      </c>
      <c r="P2309" s="9" t="inlineStr">
        <is>
          <t>NSMP2305129301</t>
        </is>
      </c>
      <c r="Q2309" s="53">
        <f>MID(P2309,5,2)</f>
        <v/>
      </c>
      <c r="R2309" s="53">
        <f>MID(P2309,7,2)</f>
        <v/>
      </c>
      <c r="S2309" s="3" t="inlineStr">
        <is>
          <t>G2B</t>
        </is>
      </c>
      <c r="T2309" s="3" t="inlineStr">
        <is>
          <t>P2</t>
        </is>
      </c>
      <c r="U2309" s="3" t="inlineStr">
        <is>
          <t>P JB Cold Soldering</t>
        </is>
      </c>
      <c r="V2309" s="3" t="inlineStr">
        <is>
          <t>Soldering</t>
        </is>
      </c>
      <c r="W2309" s="3" t="inlineStr">
        <is>
          <t>Repair</t>
        </is>
      </c>
      <c r="X2309" s="18" t="n">
        <v>46170</v>
      </c>
      <c r="Y2309" s="73">
        <f>IF(X2309="","",X2309-A2309)</f>
        <v/>
      </c>
      <c r="Z2309" s="18" t="n">
        <v>46170</v>
      </c>
      <c r="AA2309" s="15" t="n"/>
      <c r="AB2309" s="15" t="n"/>
      <c r="AF2309">
        <f>IF(AND($F2309="Closed",$X2309&gt;=DATE(2026,5,1),$X2309&lt;=DATE(2026,5,31)),"Closed in May","Other")</f>
        <v/>
      </c>
    </row>
    <row r="2310">
      <c r="A2310" s="59" t="n">
        <v>46148</v>
      </c>
      <c r="B2310" s="3" t="n">
        <v>2026</v>
      </c>
      <c r="C2310" s="21" t="inlineStr">
        <is>
          <t>Continuum</t>
        </is>
      </c>
      <c r="D2310" s="3" t="inlineStr">
        <is>
          <t>Utility and C&amp;I</t>
        </is>
      </c>
      <c r="E2310" s="3" t="n"/>
      <c r="F2310" s="3" t="inlineStr">
        <is>
          <t>Closed</t>
        </is>
      </c>
      <c r="G2310" s="21" t="inlineStr">
        <is>
          <t>Amiya Ranjan Behera</t>
        </is>
      </c>
      <c r="H2310" s="21" t="n">
        <v>8917436223</v>
      </c>
      <c r="I2310" s="38" t="inlineStr">
        <is>
          <t>PE06052602</t>
        </is>
      </c>
      <c r="J2310" s="21" t="inlineStr">
        <is>
          <t>Diode Bypass Module Issue</t>
        </is>
      </c>
      <c r="K2310" s="21" t="inlineStr">
        <is>
          <t>Bhavnagar</t>
        </is>
      </c>
      <c r="L2310" s="21" t="inlineStr">
        <is>
          <t>Gujarat</t>
        </is>
      </c>
      <c r="M2310" s="96" t="inlineStr">
        <is>
          <t>PS</t>
        </is>
      </c>
      <c r="N2310" s="3" t="inlineStr">
        <is>
          <t>Cold Soldering</t>
        </is>
      </c>
      <c r="O2310" s="62" t="n">
        <v>540</v>
      </c>
      <c r="P2310" s="9" t="inlineStr">
        <is>
          <t>NSMP2305129345</t>
        </is>
      </c>
      <c r="Q2310" s="53">
        <f>MID(P2310,5,2)</f>
        <v/>
      </c>
      <c r="R2310" s="53">
        <f>MID(P2310,7,2)</f>
        <v/>
      </c>
      <c r="S2310" s="3" t="inlineStr">
        <is>
          <t>G2B</t>
        </is>
      </c>
      <c r="T2310" s="3" t="inlineStr">
        <is>
          <t>P2</t>
        </is>
      </c>
      <c r="U2310" s="3" t="inlineStr">
        <is>
          <t>P JB Cold Soldering</t>
        </is>
      </c>
      <c r="V2310" s="3" t="inlineStr">
        <is>
          <t>Soldering</t>
        </is>
      </c>
      <c r="W2310" s="3" t="inlineStr">
        <is>
          <t>Repair</t>
        </is>
      </c>
      <c r="X2310" s="18" t="n">
        <v>46170</v>
      </c>
      <c r="Y2310" s="73">
        <f>IF(X2310="","",X2310-A2310)</f>
        <v/>
      </c>
      <c r="Z2310" s="18" t="n">
        <v>46170</v>
      </c>
      <c r="AA2310" s="15" t="n"/>
      <c r="AB2310" s="15" t="n"/>
      <c r="AF2310">
        <f>IF(AND($F2310="Closed",$X2310&gt;=DATE(2026,5,1),$X2310&lt;=DATE(2026,5,31)),"Closed in May","Other")</f>
        <v/>
      </c>
    </row>
    <row r="2311">
      <c r="A2311" s="59" t="n">
        <v>46148</v>
      </c>
      <c r="B2311" s="3" t="n">
        <v>2026</v>
      </c>
      <c r="C2311" s="21" t="inlineStr">
        <is>
          <t>Continuum</t>
        </is>
      </c>
      <c r="D2311" s="3" t="inlineStr">
        <is>
          <t>Utility and C&amp;I</t>
        </is>
      </c>
      <c r="E2311" s="3" t="n"/>
      <c r="F2311" s="3" t="inlineStr">
        <is>
          <t>Closed</t>
        </is>
      </c>
      <c r="G2311" s="21" t="inlineStr">
        <is>
          <t>Amiya Ranjan Behera</t>
        </is>
      </c>
      <c r="H2311" s="21" t="n">
        <v>8917436223</v>
      </c>
      <c r="I2311" s="38" t="inlineStr">
        <is>
          <t>PE06052602</t>
        </is>
      </c>
      <c r="J2311" s="21" t="inlineStr">
        <is>
          <t>Diode Bypass Module Issue</t>
        </is>
      </c>
      <c r="K2311" s="21" t="inlineStr">
        <is>
          <t>Bhavnagar</t>
        </is>
      </c>
      <c r="L2311" s="21" t="inlineStr">
        <is>
          <t>Gujarat</t>
        </is>
      </c>
      <c r="M2311" s="96" t="inlineStr">
        <is>
          <t>PS</t>
        </is>
      </c>
      <c r="N2311" s="3" t="inlineStr">
        <is>
          <t>Cold Soldering</t>
        </is>
      </c>
      <c r="O2311" s="62" t="n">
        <v>540</v>
      </c>
      <c r="P2311" s="9" t="inlineStr">
        <is>
          <t>NSMP2305129320</t>
        </is>
      </c>
      <c r="Q2311" s="53">
        <f>MID(P2311,5,2)</f>
        <v/>
      </c>
      <c r="R2311" s="53">
        <f>MID(P2311,7,2)</f>
        <v/>
      </c>
      <c r="S2311" s="3" t="inlineStr">
        <is>
          <t>G2B</t>
        </is>
      </c>
      <c r="T2311" s="3" t="inlineStr">
        <is>
          <t>P2</t>
        </is>
      </c>
      <c r="U2311" s="3" t="inlineStr">
        <is>
          <t>P JB Cold Soldering</t>
        </is>
      </c>
      <c r="V2311" s="3" t="inlineStr">
        <is>
          <t>Soldering</t>
        </is>
      </c>
      <c r="W2311" s="3" t="inlineStr">
        <is>
          <t>Repair</t>
        </is>
      </c>
      <c r="X2311" s="18" t="n">
        <v>46170</v>
      </c>
      <c r="Y2311" s="73">
        <f>IF(X2311="","",X2311-A2311)</f>
        <v/>
      </c>
      <c r="Z2311" s="18" t="n">
        <v>46170</v>
      </c>
      <c r="AA2311" s="15" t="n"/>
      <c r="AB2311" s="15" t="n"/>
      <c r="AF2311">
        <f>IF(AND($F2311="Closed",$X2311&gt;=DATE(2026,5,1),$X2311&lt;=DATE(2026,5,31)),"Closed in May","Other")</f>
        <v/>
      </c>
    </row>
    <row r="2312">
      <c r="A2312" s="59" t="n">
        <v>46148</v>
      </c>
      <c r="B2312" s="3" t="n">
        <v>2026</v>
      </c>
      <c r="C2312" s="21" t="inlineStr">
        <is>
          <t>Continuum</t>
        </is>
      </c>
      <c r="D2312" s="3" t="inlineStr">
        <is>
          <t>Utility and C&amp;I</t>
        </is>
      </c>
      <c r="E2312" s="3" t="n"/>
      <c r="F2312" s="3" t="inlineStr">
        <is>
          <t>Closed</t>
        </is>
      </c>
      <c r="G2312" s="21" t="inlineStr">
        <is>
          <t>Amiya Ranjan Behera</t>
        </is>
      </c>
      <c r="H2312" s="21" t="n">
        <v>8917436223</v>
      </c>
      <c r="I2312" s="38" t="inlineStr">
        <is>
          <t>PE06052602</t>
        </is>
      </c>
      <c r="J2312" s="21" t="inlineStr">
        <is>
          <t>Diode Bypass Module Issue</t>
        </is>
      </c>
      <c r="K2312" s="21" t="inlineStr">
        <is>
          <t>Bhavnagar</t>
        </is>
      </c>
      <c r="L2312" s="21" t="inlineStr">
        <is>
          <t>Gujarat</t>
        </is>
      </c>
      <c r="M2312" s="96" t="inlineStr">
        <is>
          <t>PS</t>
        </is>
      </c>
      <c r="N2312" s="3" t="inlineStr">
        <is>
          <t>Cold Soldering</t>
        </is>
      </c>
      <c r="O2312" s="62" t="n">
        <v>540</v>
      </c>
      <c r="P2312" s="9" t="inlineStr">
        <is>
          <t>NSMP2305129294</t>
        </is>
      </c>
      <c r="Q2312" s="53">
        <f>MID(P2312,5,2)</f>
        <v/>
      </c>
      <c r="R2312" s="53">
        <f>MID(P2312,7,2)</f>
        <v/>
      </c>
      <c r="S2312" s="3" t="inlineStr">
        <is>
          <t>G2B</t>
        </is>
      </c>
      <c r="T2312" s="3" t="inlineStr">
        <is>
          <t>P2</t>
        </is>
      </c>
      <c r="U2312" s="3" t="inlineStr">
        <is>
          <t>P JB Cold Soldering</t>
        </is>
      </c>
      <c r="V2312" s="3" t="inlineStr">
        <is>
          <t>Soldering</t>
        </is>
      </c>
      <c r="W2312" s="3" t="inlineStr">
        <is>
          <t>Repair</t>
        </is>
      </c>
      <c r="X2312" s="18" t="n">
        <v>46170</v>
      </c>
      <c r="Y2312" s="73">
        <f>IF(X2312="","",X2312-A2312)</f>
        <v/>
      </c>
      <c r="Z2312" s="18" t="n">
        <v>46170</v>
      </c>
      <c r="AA2312" s="15" t="n"/>
      <c r="AB2312" s="15" t="n"/>
      <c r="AF2312">
        <f>IF(AND($F2312="Closed",$X2312&gt;=DATE(2026,5,1),$X2312&lt;=DATE(2026,5,31)),"Closed in May","Other")</f>
        <v/>
      </c>
    </row>
    <row r="2313">
      <c r="A2313" s="59" t="n">
        <v>46148</v>
      </c>
      <c r="B2313" s="3" t="n">
        <v>2026</v>
      </c>
      <c r="C2313" s="21" t="inlineStr">
        <is>
          <t>Continuum</t>
        </is>
      </c>
      <c r="D2313" s="3" t="inlineStr">
        <is>
          <t>Utility and C&amp;I</t>
        </is>
      </c>
      <c r="E2313" s="3" t="n"/>
      <c r="F2313" s="3" t="inlineStr">
        <is>
          <t>Closed</t>
        </is>
      </c>
      <c r="G2313" s="21" t="inlineStr">
        <is>
          <t>Amiya Ranjan Behera</t>
        </is>
      </c>
      <c r="H2313" s="21" t="n">
        <v>8917436223</v>
      </c>
      <c r="I2313" s="38" t="inlineStr">
        <is>
          <t>PE06052602</t>
        </is>
      </c>
      <c r="J2313" s="21" t="inlineStr">
        <is>
          <t>Diode Bypass Module Issue</t>
        </is>
      </c>
      <c r="K2313" s="21" t="inlineStr">
        <is>
          <t>Bhavnagar</t>
        </is>
      </c>
      <c r="L2313" s="21" t="inlineStr">
        <is>
          <t>Gujarat</t>
        </is>
      </c>
      <c r="M2313" s="96" t="inlineStr">
        <is>
          <t>PS</t>
        </is>
      </c>
      <c r="N2313" s="3" t="inlineStr">
        <is>
          <t>Cold Soldering</t>
        </is>
      </c>
      <c r="O2313" s="62" t="n">
        <v>540</v>
      </c>
      <c r="P2313" s="9" t="inlineStr">
        <is>
          <t>NSMP2305129295</t>
        </is>
      </c>
      <c r="Q2313" s="53">
        <f>MID(P2313,5,2)</f>
        <v/>
      </c>
      <c r="R2313" s="53">
        <f>MID(P2313,7,2)</f>
        <v/>
      </c>
      <c r="S2313" s="3" t="inlineStr">
        <is>
          <t>G2B</t>
        </is>
      </c>
      <c r="T2313" s="3" t="inlineStr">
        <is>
          <t>P2</t>
        </is>
      </c>
      <c r="U2313" s="3" t="inlineStr">
        <is>
          <t>P JB Cold Soldering</t>
        </is>
      </c>
      <c r="V2313" s="3" t="inlineStr">
        <is>
          <t>Soldering</t>
        </is>
      </c>
      <c r="W2313" s="3" t="inlineStr">
        <is>
          <t>Repair</t>
        </is>
      </c>
      <c r="X2313" s="18" t="n">
        <v>46170</v>
      </c>
      <c r="Y2313" s="73">
        <f>IF(X2313="","",X2313-A2313)</f>
        <v/>
      </c>
      <c r="Z2313" s="18" t="n">
        <v>46170</v>
      </c>
      <c r="AA2313" s="15" t="n"/>
      <c r="AB2313" s="15" t="n"/>
      <c r="AF2313">
        <f>IF(AND($F2313="Closed",$X2313&gt;=DATE(2026,5,1),$X2313&lt;=DATE(2026,5,31)),"Closed in May","Other")</f>
        <v/>
      </c>
    </row>
    <row r="2314">
      <c r="A2314" s="59" t="n">
        <v>46148</v>
      </c>
      <c r="B2314" s="3" t="n">
        <v>2026</v>
      </c>
      <c r="C2314" s="21" t="inlineStr">
        <is>
          <t>Continuum</t>
        </is>
      </c>
      <c r="D2314" s="3" t="inlineStr">
        <is>
          <t>Utility and C&amp;I</t>
        </is>
      </c>
      <c r="E2314" s="3" t="n"/>
      <c r="F2314" s="3" t="inlineStr">
        <is>
          <t>Closed</t>
        </is>
      </c>
      <c r="G2314" s="21" t="inlineStr">
        <is>
          <t>Amiya Ranjan Behera</t>
        </is>
      </c>
      <c r="H2314" s="21" t="n">
        <v>8917436223</v>
      </c>
      <c r="I2314" s="38" t="inlineStr">
        <is>
          <t>PE06052602</t>
        </is>
      </c>
      <c r="J2314" s="21" t="inlineStr">
        <is>
          <t>Diode Bypass Module Issue</t>
        </is>
      </c>
      <c r="K2314" s="21" t="inlineStr">
        <is>
          <t>Bhavnagar</t>
        </is>
      </c>
      <c r="L2314" s="21" t="inlineStr">
        <is>
          <t>Gujarat</t>
        </is>
      </c>
      <c r="M2314" s="96" t="inlineStr">
        <is>
          <t>PS</t>
        </is>
      </c>
      <c r="N2314" s="3" t="inlineStr">
        <is>
          <t>Cold Soldering</t>
        </is>
      </c>
      <c r="O2314" s="62" t="n">
        <v>540</v>
      </c>
      <c r="P2314" s="9" t="inlineStr">
        <is>
          <t>NSMP2305129300</t>
        </is>
      </c>
      <c r="Q2314" s="53">
        <f>MID(P2314,5,2)</f>
        <v/>
      </c>
      <c r="R2314" s="53">
        <f>MID(P2314,7,2)</f>
        <v/>
      </c>
      <c r="S2314" s="3" t="inlineStr">
        <is>
          <t>G2B</t>
        </is>
      </c>
      <c r="T2314" s="3" t="inlineStr">
        <is>
          <t>P2</t>
        </is>
      </c>
      <c r="U2314" s="3" t="inlineStr">
        <is>
          <t>P JB Cold Soldering</t>
        </is>
      </c>
      <c r="V2314" s="3" t="inlineStr">
        <is>
          <t>Soldering</t>
        </is>
      </c>
      <c r="W2314" s="3" t="inlineStr">
        <is>
          <t>Repair</t>
        </is>
      </c>
      <c r="X2314" s="18" t="n">
        <v>46170</v>
      </c>
      <c r="Y2314" s="73">
        <f>IF(X2314="","",X2314-A2314)</f>
        <v/>
      </c>
      <c r="Z2314" s="18" t="n">
        <v>46170</v>
      </c>
      <c r="AA2314" s="15" t="n"/>
      <c r="AB2314" s="15" t="n"/>
      <c r="AF2314">
        <f>IF(AND($F2314="Closed",$X2314&gt;=DATE(2026,5,1),$X2314&lt;=DATE(2026,5,31)),"Closed in May","Other")</f>
        <v/>
      </c>
    </row>
    <row r="2315">
      <c r="A2315" s="59" t="n">
        <v>46148</v>
      </c>
      <c r="B2315" s="3" t="n">
        <v>2026</v>
      </c>
      <c r="C2315" s="21" t="inlineStr">
        <is>
          <t>Continuum</t>
        </is>
      </c>
      <c r="D2315" s="3" t="inlineStr">
        <is>
          <t>Utility and C&amp;I</t>
        </is>
      </c>
      <c r="E2315" s="3" t="n"/>
      <c r="F2315" s="3" t="inlineStr">
        <is>
          <t>Closed</t>
        </is>
      </c>
      <c r="G2315" s="21" t="inlineStr">
        <is>
          <t>Amiya Ranjan Behera</t>
        </is>
      </c>
      <c r="H2315" s="21" t="n">
        <v>8917436223</v>
      </c>
      <c r="I2315" s="38" t="inlineStr">
        <is>
          <t>PE06052602</t>
        </is>
      </c>
      <c r="J2315" s="21" t="inlineStr">
        <is>
          <t>Diode Bypass Module Issue</t>
        </is>
      </c>
      <c r="K2315" s="21" t="inlineStr">
        <is>
          <t>Bhavnagar</t>
        </is>
      </c>
      <c r="L2315" s="21" t="inlineStr">
        <is>
          <t>Gujarat</t>
        </is>
      </c>
      <c r="M2315" s="96" t="inlineStr">
        <is>
          <t>PR</t>
        </is>
      </c>
      <c r="N2315" s="3" t="inlineStr">
        <is>
          <t>JB Issue</t>
        </is>
      </c>
      <c r="O2315" s="62" t="n">
        <v>540</v>
      </c>
      <c r="P2315" s="9" t="inlineStr">
        <is>
          <t>NSMP2305129153</t>
        </is>
      </c>
      <c r="Q2315" s="53">
        <f>MID(P2315,5,2)</f>
        <v/>
      </c>
      <c r="R2315" s="53">
        <f>MID(P2315,7,2)</f>
        <v/>
      </c>
      <c r="S2315" s="3" t="inlineStr">
        <is>
          <t>G2B</t>
        </is>
      </c>
      <c r="T2315" s="3" t="inlineStr">
        <is>
          <t>P2</t>
        </is>
      </c>
      <c r="U2315" s="3" t="inlineStr">
        <is>
          <t>P JB Issue</t>
        </is>
      </c>
      <c r="V2315" s="15" t="inlineStr">
        <is>
          <t>JB Changed</t>
        </is>
      </c>
      <c r="W2315" s="3" t="inlineStr">
        <is>
          <t>Repair</t>
        </is>
      </c>
      <c r="X2315" s="18" t="n">
        <v>46170</v>
      </c>
      <c r="Y2315" s="73">
        <f>IF(X2315="","",X2315-A2315)</f>
        <v/>
      </c>
      <c r="Z2315" s="18" t="n">
        <v>46170</v>
      </c>
      <c r="AA2315" s="15" t="n"/>
      <c r="AB2315" s="15" t="n"/>
      <c r="AF2315">
        <f>IF(AND($F2315="Closed",$X2315&gt;=DATE(2026,5,1),$X2315&lt;=DATE(2026,5,31)),"Closed in May","Other")</f>
        <v/>
      </c>
    </row>
    <row r="2316">
      <c r="A2316" s="59" t="n">
        <v>46148</v>
      </c>
      <c r="B2316" s="3" t="n">
        <v>2026</v>
      </c>
      <c r="C2316" s="21" t="inlineStr">
        <is>
          <t>Continuum</t>
        </is>
      </c>
      <c r="D2316" s="3" t="inlineStr">
        <is>
          <t>Utility and C&amp;I</t>
        </is>
      </c>
      <c r="E2316" s="3" t="n"/>
      <c r="F2316" s="3" t="inlineStr">
        <is>
          <t>Closed</t>
        </is>
      </c>
      <c r="G2316" s="21" t="inlineStr">
        <is>
          <t>Amiya Ranjan Behera</t>
        </is>
      </c>
      <c r="H2316" s="21" t="n">
        <v>8917436223</v>
      </c>
      <c r="I2316" s="38" t="inlineStr">
        <is>
          <t>PE06052602</t>
        </is>
      </c>
      <c r="J2316" s="21" t="inlineStr">
        <is>
          <t>Diode Bypass Module Issue</t>
        </is>
      </c>
      <c r="K2316" s="21" t="inlineStr">
        <is>
          <t>Bhavnagar</t>
        </is>
      </c>
      <c r="L2316" s="21" t="inlineStr">
        <is>
          <t>Gujarat</t>
        </is>
      </c>
      <c r="M2316" s="96" t="inlineStr">
        <is>
          <t>PS</t>
        </is>
      </c>
      <c r="N2316" s="3" t="inlineStr">
        <is>
          <t>Cold Soldering</t>
        </is>
      </c>
      <c r="O2316" s="62" t="n">
        <v>540</v>
      </c>
      <c r="P2316" s="9" t="inlineStr">
        <is>
          <t>NSMP2305132849</t>
        </is>
      </c>
      <c r="Q2316" s="53">
        <f>MID(P2316,5,2)</f>
        <v/>
      </c>
      <c r="R2316" s="53">
        <f>MID(P2316,7,2)</f>
        <v/>
      </c>
      <c r="S2316" s="3" t="inlineStr">
        <is>
          <t>G2B</t>
        </is>
      </c>
      <c r="T2316" s="3" t="inlineStr">
        <is>
          <t>P2</t>
        </is>
      </c>
      <c r="U2316" s="3" t="inlineStr">
        <is>
          <t>P JB Cold Soldering</t>
        </is>
      </c>
      <c r="V2316" s="3" t="inlineStr">
        <is>
          <t>Soldering</t>
        </is>
      </c>
      <c r="W2316" s="3" t="inlineStr">
        <is>
          <t>Repair</t>
        </is>
      </c>
      <c r="X2316" s="18" t="n">
        <v>46170</v>
      </c>
      <c r="Y2316" s="73">
        <f>IF(X2316="","",X2316-A2316)</f>
        <v/>
      </c>
      <c r="Z2316" s="18" t="n">
        <v>46170</v>
      </c>
      <c r="AA2316" s="15" t="n"/>
      <c r="AB2316" s="15" t="n"/>
      <c r="AF2316">
        <f>IF(AND($F2316="Closed",$X2316&gt;=DATE(2026,5,1),$X2316&lt;=DATE(2026,5,31)),"Closed in May","Other")</f>
        <v/>
      </c>
    </row>
    <row r="2317">
      <c r="A2317" s="59" t="n">
        <v>46148</v>
      </c>
      <c r="B2317" s="3" t="n">
        <v>2026</v>
      </c>
      <c r="C2317" s="21" t="inlineStr">
        <is>
          <t>Continuum</t>
        </is>
      </c>
      <c r="D2317" s="3" t="inlineStr">
        <is>
          <t>Utility and C&amp;I</t>
        </is>
      </c>
      <c r="E2317" s="3" t="n"/>
      <c r="F2317" s="3" t="inlineStr">
        <is>
          <t>Closed</t>
        </is>
      </c>
      <c r="G2317" s="21" t="inlineStr">
        <is>
          <t>Amiya Ranjan Behera</t>
        </is>
      </c>
      <c r="H2317" s="21" t="n">
        <v>8917436223</v>
      </c>
      <c r="I2317" s="38" t="inlineStr">
        <is>
          <t>PE06052602</t>
        </is>
      </c>
      <c r="J2317" s="21" t="inlineStr">
        <is>
          <t>Diode Bypass Module Issue</t>
        </is>
      </c>
      <c r="K2317" s="21" t="inlineStr">
        <is>
          <t>Bhavnagar</t>
        </is>
      </c>
      <c r="L2317" s="21" t="inlineStr">
        <is>
          <t>Gujarat</t>
        </is>
      </c>
      <c r="M2317" s="96" t="inlineStr">
        <is>
          <t>PS</t>
        </is>
      </c>
      <c r="N2317" s="3" t="inlineStr">
        <is>
          <t>Cold Soldering</t>
        </is>
      </c>
      <c r="O2317" s="62" t="n">
        <v>540</v>
      </c>
      <c r="P2317" s="9" t="inlineStr">
        <is>
          <t>NSMP2305124605</t>
        </is>
      </c>
      <c r="Q2317" s="53">
        <f>MID(P2317,5,2)</f>
        <v/>
      </c>
      <c r="R2317" s="53">
        <f>MID(P2317,7,2)</f>
        <v/>
      </c>
      <c r="S2317" s="3" t="inlineStr">
        <is>
          <t>G2B</t>
        </is>
      </c>
      <c r="T2317" s="3" t="inlineStr">
        <is>
          <t>P2</t>
        </is>
      </c>
      <c r="U2317" s="3" t="inlineStr">
        <is>
          <t>P JB Cold Soldering</t>
        </is>
      </c>
      <c r="V2317" s="3" t="inlineStr">
        <is>
          <t>Soldering</t>
        </is>
      </c>
      <c r="W2317" s="3" t="inlineStr">
        <is>
          <t>Repair</t>
        </is>
      </c>
      <c r="X2317" s="18" t="n">
        <v>46170</v>
      </c>
      <c r="Y2317" s="73">
        <f>IF(X2317="","",X2317-A2317)</f>
        <v/>
      </c>
      <c r="Z2317" s="18" t="n">
        <v>46170</v>
      </c>
      <c r="AA2317" s="15" t="n"/>
      <c r="AB2317" s="15" t="n"/>
      <c r="AF2317">
        <f>IF(AND($F2317="Closed",$X2317&gt;=DATE(2026,5,1),$X2317&lt;=DATE(2026,5,31)),"Closed in May","Other")</f>
        <v/>
      </c>
    </row>
    <row r="2318">
      <c r="A2318" s="59" t="n">
        <v>46148</v>
      </c>
      <c r="B2318" s="3" t="n">
        <v>2026</v>
      </c>
      <c r="C2318" s="21" t="inlineStr">
        <is>
          <t>Continuum</t>
        </is>
      </c>
      <c r="D2318" s="3" t="inlineStr">
        <is>
          <t>Utility and C&amp;I</t>
        </is>
      </c>
      <c r="E2318" s="3" t="n"/>
      <c r="F2318" s="3" t="inlineStr">
        <is>
          <t>Closed</t>
        </is>
      </c>
      <c r="G2318" s="21" t="inlineStr">
        <is>
          <t>Amiya Ranjan Behera</t>
        </is>
      </c>
      <c r="H2318" s="21" t="n">
        <v>8917436223</v>
      </c>
      <c r="I2318" s="38" t="inlineStr">
        <is>
          <t>PE06052602</t>
        </is>
      </c>
      <c r="J2318" s="21" t="inlineStr">
        <is>
          <t>Diode Bypass Module Issue</t>
        </is>
      </c>
      <c r="K2318" s="21" t="inlineStr">
        <is>
          <t>Bhavnagar</t>
        </is>
      </c>
      <c r="L2318" s="21" t="inlineStr">
        <is>
          <t>Gujarat</t>
        </is>
      </c>
      <c r="M2318" s="96" t="inlineStr">
        <is>
          <t>PS</t>
        </is>
      </c>
      <c r="N2318" s="3" t="inlineStr">
        <is>
          <t>Cold Soldering</t>
        </is>
      </c>
      <c r="O2318" s="62" t="n">
        <v>540</v>
      </c>
      <c r="P2318" s="9" t="inlineStr">
        <is>
          <t>NSMP2305124633</t>
        </is>
      </c>
      <c r="Q2318" s="53">
        <f>MID(P2318,5,2)</f>
        <v/>
      </c>
      <c r="R2318" s="53">
        <f>MID(P2318,7,2)</f>
        <v/>
      </c>
      <c r="S2318" s="3" t="inlineStr">
        <is>
          <t>G2B</t>
        </is>
      </c>
      <c r="T2318" s="3" t="inlineStr">
        <is>
          <t>P2</t>
        </is>
      </c>
      <c r="U2318" s="3" t="inlineStr">
        <is>
          <t>P JB Cold Soldering</t>
        </is>
      </c>
      <c r="V2318" s="3" t="inlineStr">
        <is>
          <t>Soldering</t>
        </is>
      </c>
      <c r="W2318" s="3" t="inlineStr">
        <is>
          <t>Repair</t>
        </is>
      </c>
      <c r="X2318" s="18" t="n">
        <v>46170</v>
      </c>
      <c r="Y2318" s="73">
        <f>IF(X2318="","",X2318-A2318)</f>
        <v/>
      </c>
      <c r="Z2318" s="18" t="n">
        <v>46170</v>
      </c>
      <c r="AA2318" s="15" t="n"/>
      <c r="AB2318" s="15" t="n"/>
      <c r="AF2318">
        <f>IF(AND($F2318="Closed",$X2318&gt;=DATE(2026,5,1),$X2318&lt;=DATE(2026,5,31)),"Closed in May","Other")</f>
        <v/>
      </c>
    </row>
    <row r="2319">
      <c r="A2319" s="59" t="n">
        <v>46148</v>
      </c>
      <c r="B2319" s="3" t="n">
        <v>2026</v>
      </c>
      <c r="C2319" s="21" t="inlineStr">
        <is>
          <t>Continuum</t>
        </is>
      </c>
      <c r="D2319" s="3" t="inlineStr">
        <is>
          <t>Utility and C&amp;I</t>
        </is>
      </c>
      <c r="E2319" s="3" t="n"/>
      <c r="F2319" s="3" t="inlineStr">
        <is>
          <t>Closed</t>
        </is>
      </c>
      <c r="G2319" s="21" t="inlineStr">
        <is>
          <t>Amiya Ranjan Behera</t>
        </is>
      </c>
      <c r="H2319" s="21" t="n">
        <v>8917436223</v>
      </c>
      <c r="I2319" s="38" t="inlineStr">
        <is>
          <t>PE06052602</t>
        </is>
      </c>
      <c r="J2319" s="21" t="inlineStr">
        <is>
          <t>Diode Bypass Module Issue</t>
        </is>
      </c>
      <c r="K2319" s="21" t="inlineStr">
        <is>
          <t>Bhavnagar</t>
        </is>
      </c>
      <c r="L2319" s="21" t="inlineStr">
        <is>
          <t>Gujarat</t>
        </is>
      </c>
      <c r="M2319" s="96" t="inlineStr">
        <is>
          <t>PS</t>
        </is>
      </c>
      <c r="N2319" s="3" t="inlineStr">
        <is>
          <t>Cold Soldering</t>
        </is>
      </c>
      <c r="O2319" s="62" t="n">
        <v>540</v>
      </c>
      <c r="P2319" s="9" t="inlineStr">
        <is>
          <t>NSMP2305124479</t>
        </is>
      </c>
      <c r="Q2319" s="53">
        <f>MID(P2319,5,2)</f>
        <v/>
      </c>
      <c r="R2319" s="53">
        <f>MID(P2319,7,2)</f>
        <v/>
      </c>
      <c r="S2319" s="3" t="inlineStr">
        <is>
          <t>G2B</t>
        </is>
      </c>
      <c r="T2319" s="3" t="inlineStr">
        <is>
          <t>P2</t>
        </is>
      </c>
      <c r="U2319" s="3" t="inlineStr">
        <is>
          <t>P JB Cold Soldering</t>
        </is>
      </c>
      <c r="V2319" s="3" t="inlineStr">
        <is>
          <t>Soldering</t>
        </is>
      </c>
      <c r="W2319" s="3" t="inlineStr">
        <is>
          <t>Repair</t>
        </is>
      </c>
      <c r="X2319" s="18" t="n">
        <v>46170</v>
      </c>
      <c r="Y2319" s="73">
        <f>IF(X2319="","",X2319-A2319)</f>
        <v/>
      </c>
      <c r="Z2319" s="18" t="n">
        <v>46170</v>
      </c>
      <c r="AA2319" s="15" t="n"/>
      <c r="AB2319" s="15" t="n"/>
      <c r="AF2319">
        <f>IF(AND($F2319="Closed",$X2319&gt;=DATE(2026,5,1),$X2319&lt;=DATE(2026,5,31)),"Closed in May","Other")</f>
        <v/>
      </c>
    </row>
    <row r="2320">
      <c r="A2320" s="59" t="n">
        <v>46148</v>
      </c>
      <c r="B2320" s="3" t="n">
        <v>2026</v>
      </c>
      <c r="C2320" s="21" t="inlineStr">
        <is>
          <t>Continuum</t>
        </is>
      </c>
      <c r="D2320" s="3" t="inlineStr">
        <is>
          <t>Utility and C&amp;I</t>
        </is>
      </c>
      <c r="E2320" s="3" t="n"/>
      <c r="F2320" s="3" t="inlineStr">
        <is>
          <t>Closed</t>
        </is>
      </c>
      <c r="G2320" s="21" t="inlineStr">
        <is>
          <t>Amiya Ranjan Behera</t>
        </is>
      </c>
      <c r="H2320" s="21" t="n">
        <v>8917436223</v>
      </c>
      <c r="I2320" s="38" t="inlineStr">
        <is>
          <t>PE06052602</t>
        </is>
      </c>
      <c r="J2320" s="21" t="inlineStr">
        <is>
          <t>Diode Bypass Module Issue</t>
        </is>
      </c>
      <c r="K2320" s="21" t="inlineStr">
        <is>
          <t>Bhavnagar</t>
        </is>
      </c>
      <c r="L2320" s="21" t="inlineStr">
        <is>
          <t>Gujarat</t>
        </is>
      </c>
      <c r="M2320" s="96" t="inlineStr">
        <is>
          <t>PS</t>
        </is>
      </c>
      <c r="N2320" s="3" t="inlineStr">
        <is>
          <t>Cold Soldering</t>
        </is>
      </c>
      <c r="O2320" s="62" t="n">
        <v>540</v>
      </c>
      <c r="P2320" s="9" t="inlineStr">
        <is>
          <t>NSMP2305124622</t>
        </is>
      </c>
      <c r="Q2320" s="53">
        <f>MID(P2320,5,2)</f>
        <v/>
      </c>
      <c r="R2320" s="53">
        <f>MID(P2320,7,2)</f>
        <v/>
      </c>
      <c r="S2320" s="3" t="inlineStr">
        <is>
          <t>G2B</t>
        </is>
      </c>
      <c r="T2320" s="3" t="inlineStr">
        <is>
          <t>P2</t>
        </is>
      </c>
      <c r="U2320" s="3" t="inlineStr">
        <is>
          <t>P JB Cold Soldering</t>
        </is>
      </c>
      <c r="V2320" s="3" t="inlineStr">
        <is>
          <t>Soldering</t>
        </is>
      </c>
      <c r="W2320" s="3" t="inlineStr">
        <is>
          <t>Repair</t>
        </is>
      </c>
      <c r="X2320" s="18" t="n">
        <v>46170</v>
      </c>
      <c r="Y2320" s="73">
        <f>IF(X2320="","",X2320-A2320)</f>
        <v/>
      </c>
      <c r="Z2320" s="18" t="n">
        <v>46170</v>
      </c>
      <c r="AA2320" s="15" t="n"/>
      <c r="AB2320" s="15" t="n"/>
      <c r="AF2320">
        <f>IF(AND($F2320="Closed",$X2320&gt;=DATE(2026,5,1),$X2320&lt;=DATE(2026,5,31)),"Closed in May","Other")</f>
        <v/>
      </c>
    </row>
    <row r="2321">
      <c r="A2321" s="59" t="n">
        <v>46148</v>
      </c>
      <c r="B2321" s="3" t="n">
        <v>2026</v>
      </c>
      <c r="C2321" s="21" t="inlineStr">
        <is>
          <t>Continuum</t>
        </is>
      </c>
      <c r="D2321" s="3" t="inlineStr">
        <is>
          <t>Utility and C&amp;I</t>
        </is>
      </c>
      <c r="E2321" s="3" t="n"/>
      <c r="F2321" s="3" t="inlineStr">
        <is>
          <t>Closed</t>
        </is>
      </c>
      <c r="G2321" s="21" t="inlineStr">
        <is>
          <t>Amiya Ranjan Behera</t>
        </is>
      </c>
      <c r="H2321" s="21" t="n">
        <v>8917436223</v>
      </c>
      <c r="I2321" s="38" t="inlineStr">
        <is>
          <t>PE06052602</t>
        </is>
      </c>
      <c r="J2321" s="21" t="inlineStr">
        <is>
          <t>Diode Bypass Module Issue</t>
        </is>
      </c>
      <c r="K2321" s="21" t="inlineStr">
        <is>
          <t>Bhavnagar</t>
        </is>
      </c>
      <c r="L2321" s="21" t="inlineStr">
        <is>
          <t>Gujarat</t>
        </is>
      </c>
      <c r="M2321" s="96" t="inlineStr">
        <is>
          <t>NS</t>
        </is>
      </c>
      <c r="N2321" s="26" t="inlineStr">
        <is>
          <t>Cold Soldering</t>
        </is>
      </c>
      <c r="O2321" s="62" t="n">
        <v>540</v>
      </c>
      <c r="P2321" s="9" t="inlineStr">
        <is>
          <t>NSMP2305124626</t>
        </is>
      </c>
      <c r="Q2321" s="53">
        <f>MID(P2321,5,2)</f>
        <v/>
      </c>
      <c r="R2321" s="53">
        <f>MID(P2321,7,2)</f>
        <v/>
      </c>
      <c r="S2321" s="3" t="inlineStr">
        <is>
          <t>G2B</t>
        </is>
      </c>
      <c r="T2321" s="3" t="inlineStr">
        <is>
          <t>P2</t>
        </is>
      </c>
      <c r="U2321" s="19" t="inlineStr">
        <is>
          <t>N JB Cold Soldering</t>
        </is>
      </c>
      <c r="V2321" s="19" t="inlineStr">
        <is>
          <t>Soldering</t>
        </is>
      </c>
      <c r="W2321" s="3" t="inlineStr">
        <is>
          <t>Repair</t>
        </is>
      </c>
      <c r="X2321" s="18" t="n">
        <v>46170</v>
      </c>
      <c r="Y2321" s="73">
        <f>IF(X2321="","",X2321-A2321)</f>
        <v/>
      </c>
      <c r="Z2321" s="18" t="n">
        <v>46170</v>
      </c>
      <c r="AA2321" s="15" t="n"/>
      <c r="AB2321" s="15" t="n"/>
      <c r="AF2321">
        <f>IF(AND($F2321="Closed",$X2321&gt;=DATE(2026,5,1),$X2321&lt;=DATE(2026,5,31)),"Closed in May","Other")</f>
        <v/>
      </c>
    </row>
    <row r="2322">
      <c r="A2322" s="59" t="n">
        <v>46148</v>
      </c>
      <c r="B2322" s="3" t="n">
        <v>2026</v>
      </c>
      <c r="C2322" s="21" t="inlineStr">
        <is>
          <t>Continuum</t>
        </is>
      </c>
      <c r="D2322" s="3" t="inlineStr">
        <is>
          <t>Utility and C&amp;I</t>
        </is>
      </c>
      <c r="E2322" s="3" t="n"/>
      <c r="F2322" s="3" t="inlineStr">
        <is>
          <t>Closed</t>
        </is>
      </c>
      <c r="G2322" s="21" t="inlineStr">
        <is>
          <t>Amiya Ranjan Behera</t>
        </is>
      </c>
      <c r="H2322" s="21" t="n">
        <v>8917436223</v>
      </c>
      <c r="I2322" s="38" t="inlineStr">
        <is>
          <t>PE06052602</t>
        </is>
      </c>
      <c r="J2322" s="21" t="inlineStr">
        <is>
          <t>Diode Bypass Module Issue</t>
        </is>
      </c>
      <c r="K2322" s="21" t="inlineStr">
        <is>
          <t>Bhavnagar</t>
        </is>
      </c>
      <c r="L2322" s="21" t="inlineStr">
        <is>
          <t>Gujarat</t>
        </is>
      </c>
      <c r="M2322" s="96" t="inlineStr">
        <is>
          <t>PS</t>
        </is>
      </c>
      <c r="N2322" s="3" t="inlineStr">
        <is>
          <t>Cold Soldering</t>
        </is>
      </c>
      <c r="O2322" s="62" t="n">
        <v>540</v>
      </c>
      <c r="P2322" s="9" t="inlineStr">
        <is>
          <t>NSMP2305124394</t>
        </is>
      </c>
      <c r="Q2322" s="53">
        <f>MID(P2322,5,2)</f>
        <v/>
      </c>
      <c r="R2322" s="53">
        <f>MID(P2322,7,2)</f>
        <v/>
      </c>
      <c r="S2322" s="3" t="inlineStr">
        <is>
          <t>G2B</t>
        </is>
      </c>
      <c r="T2322" s="3" t="inlineStr">
        <is>
          <t>P2</t>
        </is>
      </c>
      <c r="U2322" s="3" t="inlineStr">
        <is>
          <t>P JB Cold Soldering</t>
        </is>
      </c>
      <c r="V2322" s="3" t="inlineStr">
        <is>
          <t>Soldering</t>
        </is>
      </c>
      <c r="W2322" s="3" t="inlineStr">
        <is>
          <t>Repair</t>
        </is>
      </c>
      <c r="X2322" s="18" t="n">
        <v>46170</v>
      </c>
      <c r="Y2322" s="73">
        <f>IF(X2322="","",X2322-A2322)</f>
        <v/>
      </c>
      <c r="Z2322" s="18" t="n">
        <v>46170</v>
      </c>
      <c r="AA2322" s="15" t="n"/>
      <c r="AB2322" s="15" t="n"/>
      <c r="AF2322">
        <f>IF(AND($F2322="Closed",$X2322&gt;=DATE(2026,5,1),$X2322&lt;=DATE(2026,5,31)),"Closed in May","Other")</f>
        <v/>
      </c>
    </row>
    <row r="2323">
      <c r="A2323" s="59" t="n">
        <v>46148</v>
      </c>
      <c r="B2323" s="3" t="n">
        <v>2026</v>
      </c>
      <c r="C2323" s="21" t="inlineStr">
        <is>
          <t>Continuum</t>
        </is>
      </c>
      <c r="D2323" s="3" t="inlineStr">
        <is>
          <t>Utility and C&amp;I</t>
        </is>
      </c>
      <c r="E2323" s="3" t="n"/>
      <c r="F2323" s="3" t="inlineStr">
        <is>
          <t>Closed</t>
        </is>
      </c>
      <c r="G2323" s="21" t="inlineStr">
        <is>
          <t>Amiya Ranjan Behera</t>
        </is>
      </c>
      <c r="H2323" s="21" t="n">
        <v>8917436223</v>
      </c>
      <c r="I2323" s="38" t="inlineStr">
        <is>
          <t>PE06052602</t>
        </is>
      </c>
      <c r="J2323" s="21" t="inlineStr">
        <is>
          <t>Diode Bypass Module Issue</t>
        </is>
      </c>
      <c r="K2323" s="21" t="inlineStr">
        <is>
          <t>Bhavnagar</t>
        </is>
      </c>
      <c r="L2323" s="21" t="inlineStr">
        <is>
          <t>Gujarat</t>
        </is>
      </c>
      <c r="M2323" s="96" t="inlineStr">
        <is>
          <t>OK</t>
        </is>
      </c>
      <c r="N2323" s="3" t="inlineStr">
        <is>
          <t>No Issue</t>
        </is>
      </c>
      <c r="O2323" s="62" t="n">
        <v>540</v>
      </c>
      <c r="P2323" s="9" t="inlineStr">
        <is>
          <t>NSMP2305127632</t>
        </is>
      </c>
      <c r="Q2323" s="53">
        <f>MID(P2323,5,2)</f>
        <v/>
      </c>
      <c r="R2323" s="53">
        <f>MID(P2323,7,2)</f>
        <v/>
      </c>
      <c r="S2323" s="3" t="inlineStr">
        <is>
          <t>G2B</t>
        </is>
      </c>
      <c r="T2323" s="3" t="inlineStr">
        <is>
          <t>P2</t>
        </is>
      </c>
      <c r="U2323" s="19" t="inlineStr">
        <is>
          <t>No Issue Found</t>
        </is>
      </c>
      <c r="V2323" s="19" t="inlineStr">
        <is>
          <t>Found OK</t>
        </is>
      </c>
      <c r="W2323" s="3" t="inlineStr">
        <is>
          <t>Repair</t>
        </is>
      </c>
      <c r="X2323" s="18" t="n">
        <v>46170</v>
      </c>
      <c r="Y2323" s="73">
        <f>IF(X2323="","",X2323-A2323)</f>
        <v/>
      </c>
      <c r="Z2323" s="18" t="n">
        <v>46170</v>
      </c>
      <c r="AA2323" s="15" t="n"/>
      <c r="AB2323" s="15" t="n"/>
      <c r="AF2323">
        <f>IF(AND($F2323="Closed",$X2323&gt;=DATE(2026,5,1),$X2323&lt;=DATE(2026,5,31)),"Closed in May","Other")</f>
        <v/>
      </c>
    </row>
    <row r="2324">
      <c r="A2324" s="59" t="n">
        <v>46148</v>
      </c>
      <c r="B2324" s="3" t="n">
        <v>2026</v>
      </c>
      <c r="C2324" s="21" t="inlineStr">
        <is>
          <t>Continuum</t>
        </is>
      </c>
      <c r="D2324" s="3" t="inlineStr">
        <is>
          <t>Utility and C&amp;I</t>
        </is>
      </c>
      <c r="E2324" s="3" t="n"/>
      <c r="F2324" s="3" t="inlineStr">
        <is>
          <t>Closed</t>
        </is>
      </c>
      <c r="G2324" s="21" t="inlineStr">
        <is>
          <t>Amiya Ranjan Behera</t>
        </is>
      </c>
      <c r="H2324" s="21" t="n">
        <v>8917436223</v>
      </c>
      <c r="I2324" s="38" t="inlineStr">
        <is>
          <t>PE06052602</t>
        </is>
      </c>
      <c r="J2324" s="21" t="inlineStr">
        <is>
          <t>Diode Bypass Module Issue</t>
        </is>
      </c>
      <c r="K2324" s="21" t="inlineStr">
        <is>
          <t>Bhavnagar</t>
        </is>
      </c>
      <c r="L2324" s="21" t="inlineStr">
        <is>
          <t>Gujarat</t>
        </is>
      </c>
      <c r="M2324" s="96" t="inlineStr">
        <is>
          <t>PS</t>
        </is>
      </c>
      <c r="N2324" s="3" t="inlineStr">
        <is>
          <t>Cold Soldering</t>
        </is>
      </c>
      <c r="O2324" s="62" t="n">
        <v>540</v>
      </c>
      <c r="P2324" s="9" t="inlineStr">
        <is>
          <t>NSMP2305131891</t>
        </is>
      </c>
      <c r="Q2324" s="53">
        <f>MID(P2324,5,2)</f>
        <v/>
      </c>
      <c r="R2324" s="53">
        <f>MID(P2324,7,2)</f>
        <v/>
      </c>
      <c r="S2324" s="3" t="inlineStr">
        <is>
          <t>G2B</t>
        </is>
      </c>
      <c r="T2324" s="3" t="inlineStr">
        <is>
          <t>P2</t>
        </is>
      </c>
      <c r="U2324" s="3" t="inlineStr">
        <is>
          <t>P JB Cold Soldering</t>
        </is>
      </c>
      <c r="V2324" s="3" t="inlineStr">
        <is>
          <t>Soldering</t>
        </is>
      </c>
      <c r="W2324" s="3" t="inlineStr">
        <is>
          <t>Repair</t>
        </is>
      </c>
      <c r="X2324" s="18" t="n">
        <v>46170</v>
      </c>
      <c r="Y2324" s="73">
        <f>IF(X2324="","",X2324-A2324)</f>
        <v/>
      </c>
      <c r="Z2324" s="18" t="n">
        <v>46170</v>
      </c>
      <c r="AA2324" s="15" t="n"/>
      <c r="AB2324" s="15" t="n"/>
      <c r="AF2324">
        <f>IF(AND($F2324="Closed",$X2324&gt;=DATE(2026,5,1),$X2324&lt;=DATE(2026,5,31)),"Closed in May","Other")</f>
        <v/>
      </c>
    </row>
    <row r="2325">
      <c r="A2325" s="59" t="n">
        <v>46148</v>
      </c>
      <c r="B2325" s="3" t="n">
        <v>2026</v>
      </c>
      <c r="C2325" s="21" t="inlineStr">
        <is>
          <t>Continuum</t>
        </is>
      </c>
      <c r="D2325" s="3" t="inlineStr">
        <is>
          <t>Utility and C&amp;I</t>
        </is>
      </c>
      <c r="E2325" s="3" t="n"/>
      <c r="F2325" s="3" t="inlineStr">
        <is>
          <t>Closed</t>
        </is>
      </c>
      <c r="G2325" s="21" t="inlineStr">
        <is>
          <t>Amiya Ranjan Behera</t>
        </is>
      </c>
      <c r="H2325" s="21" t="n">
        <v>8917436223</v>
      </c>
      <c r="I2325" s="38" t="inlineStr">
        <is>
          <t>PE06052602</t>
        </is>
      </c>
      <c r="J2325" s="21" t="inlineStr">
        <is>
          <t>Diode Bypass Module Issue</t>
        </is>
      </c>
      <c r="K2325" s="21" t="inlineStr">
        <is>
          <t>Bhavnagar</t>
        </is>
      </c>
      <c r="L2325" s="21" t="inlineStr">
        <is>
          <t>Gujarat</t>
        </is>
      </c>
      <c r="M2325" s="96" t="inlineStr">
        <is>
          <t>PS</t>
        </is>
      </c>
      <c r="N2325" s="3" t="inlineStr">
        <is>
          <t>Cold Soldering</t>
        </is>
      </c>
      <c r="O2325" s="62" t="n">
        <v>540</v>
      </c>
      <c r="P2325" s="9" t="inlineStr">
        <is>
          <t>NSMP2305130815</t>
        </is>
      </c>
      <c r="Q2325" s="53">
        <f>MID(P2325,5,2)</f>
        <v/>
      </c>
      <c r="R2325" s="53">
        <f>MID(P2325,7,2)</f>
        <v/>
      </c>
      <c r="S2325" s="3" t="inlineStr">
        <is>
          <t>G2B</t>
        </is>
      </c>
      <c r="T2325" s="3" t="inlineStr">
        <is>
          <t>P2</t>
        </is>
      </c>
      <c r="U2325" s="3" t="inlineStr">
        <is>
          <t>P JB Cold Soldering</t>
        </is>
      </c>
      <c r="V2325" s="3" t="inlineStr">
        <is>
          <t>Soldering</t>
        </is>
      </c>
      <c r="W2325" s="3" t="inlineStr">
        <is>
          <t>Repair</t>
        </is>
      </c>
      <c r="X2325" s="18" t="n">
        <v>46170</v>
      </c>
      <c r="Y2325" s="73">
        <f>IF(X2325="","",X2325-A2325)</f>
        <v/>
      </c>
      <c r="Z2325" s="18" t="n">
        <v>46170</v>
      </c>
      <c r="AA2325" s="15" t="n"/>
      <c r="AB2325" s="15" t="n"/>
      <c r="AF2325">
        <f>IF(AND($F2325="Closed",$X2325&gt;=DATE(2026,5,1),$X2325&lt;=DATE(2026,5,31)),"Closed in May","Other")</f>
        <v/>
      </c>
    </row>
    <row r="2326">
      <c r="A2326" s="59" t="n">
        <v>46148</v>
      </c>
      <c r="B2326" s="3" t="n">
        <v>2026</v>
      </c>
      <c r="C2326" s="21" t="inlineStr">
        <is>
          <t>Continuum</t>
        </is>
      </c>
      <c r="D2326" s="3" t="inlineStr">
        <is>
          <t>Utility and C&amp;I</t>
        </is>
      </c>
      <c r="E2326" s="3" t="n"/>
      <c r="F2326" s="3" t="inlineStr">
        <is>
          <t>Closed</t>
        </is>
      </c>
      <c r="G2326" s="21" t="inlineStr">
        <is>
          <t>Amiya Ranjan Behera</t>
        </is>
      </c>
      <c r="H2326" s="21" t="n">
        <v>8917436223</v>
      </c>
      <c r="I2326" s="38" t="inlineStr">
        <is>
          <t>PE06052602</t>
        </is>
      </c>
      <c r="J2326" s="21" t="inlineStr">
        <is>
          <t>Diode Bypass Module Issue</t>
        </is>
      </c>
      <c r="K2326" s="21" t="inlineStr">
        <is>
          <t>Bhavnagar</t>
        </is>
      </c>
      <c r="L2326" s="21" t="inlineStr">
        <is>
          <t>Gujarat</t>
        </is>
      </c>
      <c r="M2326" s="96" t="inlineStr">
        <is>
          <t>PS</t>
        </is>
      </c>
      <c r="N2326" s="3" t="inlineStr">
        <is>
          <t>Cold Soldering</t>
        </is>
      </c>
      <c r="O2326" s="62" t="n">
        <v>540</v>
      </c>
      <c r="P2326" s="9" t="inlineStr">
        <is>
          <t>NSMP2305132459</t>
        </is>
      </c>
      <c r="Q2326" s="53">
        <f>MID(P2326,5,2)</f>
        <v/>
      </c>
      <c r="R2326" s="53">
        <f>MID(P2326,7,2)</f>
        <v/>
      </c>
      <c r="S2326" s="3" t="inlineStr">
        <is>
          <t>G2B</t>
        </is>
      </c>
      <c r="T2326" s="3" t="inlineStr">
        <is>
          <t>P2</t>
        </is>
      </c>
      <c r="U2326" s="3" t="inlineStr">
        <is>
          <t>P JB Cold Soldering</t>
        </is>
      </c>
      <c r="V2326" s="3" t="inlineStr">
        <is>
          <t>Soldering</t>
        </is>
      </c>
      <c r="W2326" s="3" t="inlineStr">
        <is>
          <t>Repair</t>
        </is>
      </c>
      <c r="X2326" s="18" t="n">
        <v>46170</v>
      </c>
      <c r="Y2326" s="73">
        <f>IF(X2326="","",X2326-A2326)</f>
        <v/>
      </c>
      <c r="Z2326" s="18" t="n">
        <v>46170</v>
      </c>
      <c r="AA2326" s="15" t="n"/>
      <c r="AB2326" s="15" t="n"/>
      <c r="AF2326">
        <f>IF(AND($F2326="Closed",$X2326&gt;=DATE(2026,5,1),$X2326&lt;=DATE(2026,5,31)),"Closed in May","Other")</f>
        <v/>
      </c>
    </row>
    <row r="2327">
      <c r="A2327" s="59" t="n">
        <v>46148</v>
      </c>
      <c r="B2327" s="3" t="n">
        <v>2026</v>
      </c>
      <c r="C2327" s="21" t="inlineStr">
        <is>
          <t>Continuum</t>
        </is>
      </c>
      <c r="D2327" s="3" t="inlineStr">
        <is>
          <t>Utility and C&amp;I</t>
        </is>
      </c>
      <c r="E2327" s="3" t="n"/>
      <c r="F2327" s="3" t="inlineStr">
        <is>
          <t>Closed</t>
        </is>
      </c>
      <c r="G2327" s="21" t="inlineStr">
        <is>
          <t>Amiya Ranjan Behera</t>
        </is>
      </c>
      <c r="H2327" s="21" t="n">
        <v>8917436223</v>
      </c>
      <c r="I2327" s="38" t="inlineStr">
        <is>
          <t>PE06052602</t>
        </is>
      </c>
      <c r="J2327" s="21" t="inlineStr">
        <is>
          <t>Diode Bypass Module Issue</t>
        </is>
      </c>
      <c r="K2327" s="21" t="inlineStr">
        <is>
          <t>Bhavnagar</t>
        </is>
      </c>
      <c r="L2327" s="21" t="inlineStr">
        <is>
          <t>Gujarat</t>
        </is>
      </c>
      <c r="M2327" s="96" t="inlineStr">
        <is>
          <t xml:space="preserve">OK </t>
        </is>
      </c>
      <c r="N2327" s="3" t="inlineStr">
        <is>
          <t>No Issue</t>
        </is>
      </c>
      <c r="O2327" s="62" t="n">
        <v>540</v>
      </c>
      <c r="P2327" s="9" t="inlineStr">
        <is>
          <t>NSMP2305131449</t>
        </is>
      </c>
      <c r="Q2327" s="53">
        <f>MID(P2327,5,2)</f>
        <v/>
      </c>
      <c r="R2327" s="53">
        <f>MID(P2327,7,2)</f>
        <v/>
      </c>
      <c r="S2327" s="3" t="inlineStr">
        <is>
          <t>G2B</t>
        </is>
      </c>
      <c r="T2327" s="3" t="inlineStr">
        <is>
          <t>P2</t>
        </is>
      </c>
      <c r="U2327" s="19" t="inlineStr">
        <is>
          <t>No Issue Found</t>
        </is>
      </c>
      <c r="V2327" s="19" t="inlineStr">
        <is>
          <t>Found OK</t>
        </is>
      </c>
      <c r="W2327" s="3" t="inlineStr">
        <is>
          <t>Repair</t>
        </is>
      </c>
      <c r="X2327" s="18" t="n">
        <v>46170</v>
      </c>
      <c r="Y2327" s="73">
        <f>IF(X2327="","",X2327-A2327)</f>
        <v/>
      </c>
      <c r="Z2327" s="18" t="n">
        <v>46170</v>
      </c>
      <c r="AA2327" s="15" t="n"/>
      <c r="AB2327" s="15" t="n"/>
      <c r="AF2327">
        <f>IF(AND($F2327="Closed",$X2327&gt;=DATE(2026,5,1),$X2327&lt;=DATE(2026,5,31)),"Closed in May","Other")</f>
        <v/>
      </c>
    </row>
    <row r="2328">
      <c r="A2328" s="59" t="n">
        <v>46148</v>
      </c>
      <c r="B2328" s="3" t="n">
        <v>2026</v>
      </c>
      <c r="C2328" s="21" t="inlineStr">
        <is>
          <t>Continuum</t>
        </is>
      </c>
      <c r="D2328" s="3" t="inlineStr">
        <is>
          <t>Utility and C&amp;I</t>
        </is>
      </c>
      <c r="E2328" s="3" t="n"/>
      <c r="F2328" s="3" t="inlineStr">
        <is>
          <t>Closed</t>
        </is>
      </c>
      <c r="G2328" s="21" t="inlineStr">
        <is>
          <t>Amiya Ranjan Behera</t>
        </is>
      </c>
      <c r="H2328" s="21" t="n">
        <v>8917436223</v>
      </c>
      <c r="I2328" s="38" t="inlineStr">
        <is>
          <t>PE06052602</t>
        </is>
      </c>
      <c r="J2328" s="21" t="inlineStr">
        <is>
          <t>Diode Bypass Module Issue</t>
        </is>
      </c>
      <c r="K2328" s="21" t="inlineStr">
        <is>
          <t>Bhavnagar</t>
        </is>
      </c>
      <c r="L2328" s="21" t="inlineStr">
        <is>
          <t>Gujarat</t>
        </is>
      </c>
      <c r="M2328" s="96" t="inlineStr">
        <is>
          <t xml:space="preserve">OK </t>
        </is>
      </c>
      <c r="N2328" s="3" t="inlineStr">
        <is>
          <t>No Issue</t>
        </is>
      </c>
      <c r="O2328" s="62" t="n">
        <v>540</v>
      </c>
      <c r="P2328" s="9" t="inlineStr">
        <is>
          <t>NSMP2305174130</t>
        </is>
      </c>
      <c r="Q2328" s="53">
        <f>MID(P2328,5,2)</f>
        <v/>
      </c>
      <c r="R2328" s="53">
        <f>MID(P2328,7,2)</f>
        <v/>
      </c>
      <c r="S2328" s="3" t="inlineStr">
        <is>
          <t>G2B</t>
        </is>
      </c>
      <c r="T2328" s="3" t="inlineStr">
        <is>
          <t>P2</t>
        </is>
      </c>
      <c r="U2328" s="19" t="inlineStr">
        <is>
          <t>No Issue Found</t>
        </is>
      </c>
      <c r="V2328" s="19" t="inlineStr">
        <is>
          <t>Found OK</t>
        </is>
      </c>
      <c r="W2328" s="3" t="inlineStr">
        <is>
          <t>Repair</t>
        </is>
      </c>
      <c r="X2328" s="18" t="n">
        <v>46170</v>
      </c>
      <c r="Y2328" s="73">
        <f>IF(X2328="","",X2328-A2328)</f>
        <v/>
      </c>
      <c r="Z2328" s="18" t="n">
        <v>46170</v>
      </c>
      <c r="AA2328" s="15" t="n"/>
      <c r="AB2328" s="15" t="n"/>
      <c r="AF2328">
        <f>IF(AND($F2328="Closed",$X2328&gt;=DATE(2026,5,1),$X2328&lt;=DATE(2026,5,31)),"Closed in May","Other")</f>
        <v/>
      </c>
    </row>
    <row r="2329">
      <c r="A2329" s="59" t="n">
        <v>46148</v>
      </c>
      <c r="B2329" s="3" t="n">
        <v>2026</v>
      </c>
      <c r="C2329" s="21" t="inlineStr">
        <is>
          <t>Continuum</t>
        </is>
      </c>
      <c r="D2329" s="3" t="inlineStr">
        <is>
          <t>Utility and C&amp;I</t>
        </is>
      </c>
      <c r="E2329" s="3" t="n"/>
      <c r="F2329" s="3" t="inlineStr">
        <is>
          <t>Closed</t>
        </is>
      </c>
      <c r="G2329" s="21" t="inlineStr">
        <is>
          <t>Amiya Ranjan Behera</t>
        </is>
      </c>
      <c r="H2329" s="21" t="n">
        <v>8917436223</v>
      </c>
      <c r="I2329" s="38" t="inlineStr">
        <is>
          <t>PE06052602</t>
        </is>
      </c>
      <c r="J2329" s="21" t="inlineStr">
        <is>
          <t>Diode Bypass Module Issue</t>
        </is>
      </c>
      <c r="K2329" s="21" t="inlineStr">
        <is>
          <t>Bhavnagar</t>
        </is>
      </c>
      <c r="L2329" s="21" t="inlineStr">
        <is>
          <t>Gujarat</t>
        </is>
      </c>
      <c r="M2329" s="96" t="inlineStr">
        <is>
          <t xml:space="preserve">OK </t>
        </is>
      </c>
      <c r="N2329" s="3" t="inlineStr">
        <is>
          <t>No Issue</t>
        </is>
      </c>
      <c r="O2329" s="62" t="n">
        <v>540</v>
      </c>
      <c r="P2329" s="9" t="inlineStr">
        <is>
          <t>NSMP2305175302</t>
        </is>
      </c>
      <c r="Q2329" s="53">
        <f>MID(P2329,5,2)</f>
        <v/>
      </c>
      <c r="R2329" s="53">
        <f>MID(P2329,7,2)</f>
        <v/>
      </c>
      <c r="S2329" s="3" t="inlineStr">
        <is>
          <t>G2B</t>
        </is>
      </c>
      <c r="T2329" s="3" t="inlineStr">
        <is>
          <t>P2</t>
        </is>
      </c>
      <c r="U2329" s="19" t="inlineStr">
        <is>
          <t>No Issue Found</t>
        </is>
      </c>
      <c r="V2329" s="19" t="inlineStr">
        <is>
          <t>Found OK</t>
        </is>
      </c>
      <c r="W2329" s="3" t="inlineStr">
        <is>
          <t>Repair</t>
        </is>
      </c>
      <c r="X2329" s="18" t="n">
        <v>46170</v>
      </c>
      <c r="Y2329" s="73">
        <f>IF(X2329="","",X2329-A2329)</f>
        <v/>
      </c>
      <c r="Z2329" s="18" t="n">
        <v>46170</v>
      </c>
      <c r="AA2329" s="15" t="n"/>
      <c r="AB2329" s="15" t="n"/>
      <c r="AF2329">
        <f>IF(AND($F2329="Closed",$X2329&gt;=DATE(2026,5,1),$X2329&lt;=DATE(2026,5,31)),"Closed in May","Other")</f>
        <v/>
      </c>
    </row>
    <row r="2330">
      <c r="A2330" s="59" t="n">
        <v>46148</v>
      </c>
      <c r="B2330" s="3" t="n">
        <v>2026</v>
      </c>
      <c r="C2330" s="21" t="inlineStr">
        <is>
          <t>Continuum</t>
        </is>
      </c>
      <c r="D2330" s="3" t="inlineStr">
        <is>
          <t>Utility and C&amp;I</t>
        </is>
      </c>
      <c r="E2330" s="3" t="n"/>
      <c r="F2330" s="3" t="inlineStr">
        <is>
          <t>Closed</t>
        </is>
      </c>
      <c r="G2330" s="21" t="inlineStr">
        <is>
          <t>Amiya Ranjan Behera</t>
        </is>
      </c>
      <c r="H2330" s="21" t="n">
        <v>8917436223</v>
      </c>
      <c r="I2330" s="38" t="inlineStr">
        <is>
          <t>PE06052602</t>
        </is>
      </c>
      <c r="J2330" s="21" t="inlineStr">
        <is>
          <t>Diode Bypass Module Issue</t>
        </is>
      </c>
      <c r="K2330" s="21" t="inlineStr">
        <is>
          <t>Bhavnagar</t>
        </is>
      </c>
      <c r="L2330" s="21" t="inlineStr">
        <is>
          <t>Gujarat</t>
        </is>
      </c>
      <c r="M2330" s="96" t="inlineStr">
        <is>
          <t xml:space="preserve">OK </t>
        </is>
      </c>
      <c r="N2330" s="3" t="inlineStr">
        <is>
          <t>No Issue</t>
        </is>
      </c>
      <c r="O2330" s="62" t="n">
        <v>540</v>
      </c>
      <c r="P2330" s="9" t="inlineStr">
        <is>
          <t>NSMP2305133928</t>
        </is>
      </c>
      <c r="Q2330" s="53">
        <f>MID(P2330,5,2)</f>
        <v/>
      </c>
      <c r="R2330" s="53">
        <f>MID(P2330,7,2)</f>
        <v/>
      </c>
      <c r="S2330" s="3" t="inlineStr">
        <is>
          <t>G2B</t>
        </is>
      </c>
      <c r="T2330" s="3" t="inlineStr">
        <is>
          <t>P2</t>
        </is>
      </c>
      <c r="U2330" s="19" t="inlineStr">
        <is>
          <t>No Issue Found</t>
        </is>
      </c>
      <c r="V2330" s="19" t="inlineStr">
        <is>
          <t>Found OK</t>
        </is>
      </c>
      <c r="W2330" s="3" t="inlineStr">
        <is>
          <t>Repair</t>
        </is>
      </c>
      <c r="X2330" s="18" t="n">
        <v>46170</v>
      </c>
      <c r="Y2330" s="73">
        <f>IF(X2330="","",X2330-A2330)</f>
        <v/>
      </c>
      <c r="Z2330" s="18" t="n">
        <v>46170</v>
      </c>
      <c r="AA2330" s="15" t="n"/>
      <c r="AB2330" s="15" t="n"/>
      <c r="AF2330">
        <f>IF(AND($F2330="Closed",$X2330&gt;=DATE(2026,5,1),$X2330&lt;=DATE(2026,5,31)),"Closed in May","Other")</f>
        <v/>
      </c>
    </row>
    <row r="2331">
      <c r="A2331" s="59" t="n">
        <v>46148</v>
      </c>
      <c r="B2331" s="3" t="n">
        <v>2026</v>
      </c>
      <c r="C2331" s="21" t="inlineStr">
        <is>
          <t>Continuum</t>
        </is>
      </c>
      <c r="D2331" s="3" t="inlineStr">
        <is>
          <t>Utility and C&amp;I</t>
        </is>
      </c>
      <c r="E2331" s="3" t="n"/>
      <c r="F2331" s="3" t="inlineStr">
        <is>
          <t>Closed</t>
        </is>
      </c>
      <c r="G2331" s="21" t="inlineStr">
        <is>
          <t>Amiya Ranjan Behera</t>
        </is>
      </c>
      <c r="H2331" s="21" t="n">
        <v>8917436223</v>
      </c>
      <c r="I2331" s="38" t="inlineStr">
        <is>
          <t>PE06052602</t>
        </is>
      </c>
      <c r="J2331" s="21" t="inlineStr">
        <is>
          <t>Diode Bypass Module Issue</t>
        </is>
      </c>
      <c r="K2331" s="21" t="inlineStr">
        <is>
          <t>Bhavnagar</t>
        </is>
      </c>
      <c r="L2331" s="21" t="inlineStr">
        <is>
          <t>Gujarat</t>
        </is>
      </c>
      <c r="M2331" s="96" t="inlineStr">
        <is>
          <t>PS</t>
        </is>
      </c>
      <c r="N2331" s="3" t="inlineStr">
        <is>
          <t>Cold Soldering</t>
        </is>
      </c>
      <c r="O2331" s="62" t="n">
        <v>540</v>
      </c>
      <c r="P2331" s="9" t="inlineStr">
        <is>
          <t>NSMP2304070917</t>
        </is>
      </c>
      <c r="Q2331" s="53">
        <f>MID(P2331,5,2)</f>
        <v/>
      </c>
      <c r="R2331" s="53">
        <f>MID(P2331,7,2)</f>
        <v/>
      </c>
      <c r="S2331" s="3" t="inlineStr">
        <is>
          <t>G2B</t>
        </is>
      </c>
      <c r="T2331" s="3" t="inlineStr">
        <is>
          <t>P2</t>
        </is>
      </c>
      <c r="U2331" s="3" t="inlineStr">
        <is>
          <t>P JB Cold Soldering</t>
        </is>
      </c>
      <c r="V2331" s="3" t="inlineStr">
        <is>
          <t>Soldering</t>
        </is>
      </c>
      <c r="W2331" s="3" t="inlineStr">
        <is>
          <t>Repair</t>
        </is>
      </c>
      <c r="X2331" s="18" t="n">
        <v>46170</v>
      </c>
      <c r="Y2331" s="73">
        <f>IF(X2331="","",X2331-A2331)</f>
        <v/>
      </c>
      <c r="Z2331" s="18" t="n">
        <v>46170</v>
      </c>
      <c r="AA2331" s="15" t="n"/>
      <c r="AB2331" s="15" t="n"/>
      <c r="AF2331">
        <f>IF(AND($F2331="Closed",$X2331&gt;=DATE(2026,5,1),$X2331&lt;=DATE(2026,5,31)),"Closed in May","Other")</f>
        <v/>
      </c>
    </row>
    <row r="2332">
      <c r="A2332" s="59" t="n">
        <v>46148</v>
      </c>
      <c r="B2332" s="3" t="n">
        <v>2026</v>
      </c>
      <c r="C2332" s="21" t="inlineStr">
        <is>
          <t>Continuum</t>
        </is>
      </c>
      <c r="D2332" s="3" t="inlineStr">
        <is>
          <t>Utility and C&amp;I</t>
        </is>
      </c>
      <c r="E2332" s="3" t="n"/>
      <c r="F2332" s="3" t="inlineStr">
        <is>
          <t>Closed</t>
        </is>
      </c>
      <c r="G2332" s="21" t="inlineStr">
        <is>
          <t>Amiya Ranjan Behera</t>
        </is>
      </c>
      <c r="H2332" s="21" t="n">
        <v>8917436223</v>
      </c>
      <c r="I2332" s="38" t="inlineStr">
        <is>
          <t>PE06052602</t>
        </is>
      </c>
      <c r="J2332" s="21" t="inlineStr">
        <is>
          <t>Diode Bypass Module Issue</t>
        </is>
      </c>
      <c r="K2332" s="21" t="inlineStr">
        <is>
          <t>Bhavnagar</t>
        </is>
      </c>
      <c r="L2332" s="21" t="inlineStr">
        <is>
          <t>Gujarat</t>
        </is>
      </c>
      <c r="M2332" s="96" t="inlineStr">
        <is>
          <t>PS</t>
        </is>
      </c>
      <c r="N2332" s="3" t="inlineStr">
        <is>
          <t>Cold Soldering</t>
        </is>
      </c>
      <c r="O2332" s="62" t="n">
        <v>540</v>
      </c>
      <c r="P2332" s="9" t="inlineStr">
        <is>
          <t>NSMP2304070933</t>
        </is>
      </c>
      <c r="Q2332" s="53">
        <f>MID(P2332,5,2)</f>
        <v/>
      </c>
      <c r="R2332" s="53">
        <f>MID(P2332,7,2)</f>
        <v/>
      </c>
      <c r="S2332" s="3" t="inlineStr">
        <is>
          <t>G2B</t>
        </is>
      </c>
      <c r="T2332" s="3" t="inlineStr">
        <is>
          <t>P2</t>
        </is>
      </c>
      <c r="U2332" s="3" t="inlineStr">
        <is>
          <t>P JB Cold Soldering</t>
        </is>
      </c>
      <c r="V2332" s="3" t="inlineStr">
        <is>
          <t>Soldering</t>
        </is>
      </c>
      <c r="W2332" s="3" t="inlineStr">
        <is>
          <t>Repair</t>
        </is>
      </c>
      <c r="X2332" s="18" t="n">
        <v>46170</v>
      </c>
      <c r="Y2332" s="73">
        <f>IF(X2332="","",X2332-A2332)</f>
        <v/>
      </c>
      <c r="Z2332" s="18" t="n">
        <v>46170</v>
      </c>
      <c r="AA2332" s="15" t="n"/>
      <c r="AB2332" s="15" t="n"/>
      <c r="AF2332">
        <f>IF(AND($F2332="Closed",$X2332&gt;=DATE(2026,5,1),$X2332&lt;=DATE(2026,5,31)),"Closed in May","Other")</f>
        <v/>
      </c>
    </row>
    <row r="2333">
      <c r="A2333" s="59" t="n">
        <v>46148</v>
      </c>
      <c r="B2333" s="3" t="n">
        <v>2026</v>
      </c>
      <c r="C2333" s="21" t="inlineStr">
        <is>
          <t>Continuum</t>
        </is>
      </c>
      <c r="D2333" s="3" t="inlineStr">
        <is>
          <t>Utility and C&amp;I</t>
        </is>
      </c>
      <c r="E2333" s="3" t="n"/>
      <c r="F2333" s="3" t="inlineStr">
        <is>
          <t>Closed</t>
        </is>
      </c>
      <c r="G2333" s="21" t="inlineStr">
        <is>
          <t>Amiya Ranjan Behera</t>
        </is>
      </c>
      <c r="H2333" s="21" t="n">
        <v>8917436223</v>
      </c>
      <c r="I2333" s="38" t="inlineStr">
        <is>
          <t>PE06052602</t>
        </is>
      </c>
      <c r="J2333" s="21" t="inlineStr">
        <is>
          <t>Diode Bypass Module Issue</t>
        </is>
      </c>
      <c r="K2333" s="21" t="inlineStr">
        <is>
          <t>Bhavnagar</t>
        </is>
      </c>
      <c r="L2333" s="21" t="inlineStr">
        <is>
          <t>Gujarat</t>
        </is>
      </c>
      <c r="M2333" s="96" t="inlineStr">
        <is>
          <t>PS</t>
        </is>
      </c>
      <c r="N2333" s="3" t="inlineStr">
        <is>
          <t>Cold Soldering</t>
        </is>
      </c>
      <c r="O2333" s="62" t="n">
        <v>540</v>
      </c>
      <c r="P2333" s="9" t="inlineStr">
        <is>
          <t>NSMP2305131879</t>
        </is>
      </c>
      <c r="Q2333" s="53">
        <f>MID(P2333,5,2)</f>
        <v/>
      </c>
      <c r="R2333" s="53">
        <f>MID(P2333,7,2)</f>
        <v/>
      </c>
      <c r="S2333" s="3" t="inlineStr">
        <is>
          <t>G2B</t>
        </is>
      </c>
      <c r="T2333" s="3" t="inlineStr">
        <is>
          <t>P2</t>
        </is>
      </c>
      <c r="U2333" s="3" t="inlineStr">
        <is>
          <t>P JB Cold Soldering</t>
        </is>
      </c>
      <c r="V2333" s="3" t="inlineStr">
        <is>
          <t>Soldering</t>
        </is>
      </c>
      <c r="W2333" s="3" t="inlineStr">
        <is>
          <t>Repair</t>
        </is>
      </c>
      <c r="X2333" s="18" t="n">
        <v>46170</v>
      </c>
      <c r="Y2333" s="73">
        <f>IF(X2333="","",X2333-A2333)</f>
        <v/>
      </c>
      <c r="Z2333" s="18" t="n">
        <v>46170</v>
      </c>
      <c r="AA2333" s="15" t="n"/>
      <c r="AB2333" s="15" t="n"/>
      <c r="AF2333">
        <f>IF(AND($F2333="Closed",$X2333&gt;=DATE(2026,5,1),$X2333&lt;=DATE(2026,5,31)),"Closed in May","Other")</f>
        <v/>
      </c>
    </row>
    <row r="2334">
      <c r="A2334" s="59" t="n">
        <v>46148</v>
      </c>
      <c r="B2334" s="3" t="n">
        <v>2026</v>
      </c>
      <c r="C2334" s="21" t="inlineStr">
        <is>
          <t>Continuum</t>
        </is>
      </c>
      <c r="D2334" s="3" t="inlineStr">
        <is>
          <t>Utility and C&amp;I</t>
        </is>
      </c>
      <c r="E2334" s="3" t="n"/>
      <c r="F2334" s="3" t="inlineStr">
        <is>
          <t>Closed</t>
        </is>
      </c>
      <c r="G2334" s="21" t="inlineStr">
        <is>
          <t>Amiya Ranjan Behera</t>
        </is>
      </c>
      <c r="H2334" s="21" t="n">
        <v>8917436223</v>
      </c>
      <c r="I2334" s="38" t="inlineStr">
        <is>
          <t>PE06052602</t>
        </is>
      </c>
      <c r="J2334" s="21" t="inlineStr">
        <is>
          <t>Diode Bypass Module Issue</t>
        </is>
      </c>
      <c r="K2334" s="21" t="inlineStr">
        <is>
          <t>Bhavnagar</t>
        </is>
      </c>
      <c r="L2334" s="21" t="inlineStr">
        <is>
          <t>Gujarat</t>
        </is>
      </c>
      <c r="M2334" s="96" t="inlineStr">
        <is>
          <t>PS</t>
        </is>
      </c>
      <c r="N2334" s="3" t="inlineStr">
        <is>
          <t>Cold Soldering</t>
        </is>
      </c>
      <c r="O2334" s="62" t="n">
        <v>540</v>
      </c>
      <c r="P2334" s="9" t="inlineStr">
        <is>
          <t>NSMP2305134484</t>
        </is>
      </c>
      <c r="Q2334" s="53">
        <f>MID(P2334,5,2)</f>
        <v/>
      </c>
      <c r="R2334" s="53">
        <f>MID(P2334,7,2)</f>
        <v/>
      </c>
      <c r="S2334" s="3" t="inlineStr">
        <is>
          <t>G2B</t>
        </is>
      </c>
      <c r="T2334" s="3" t="inlineStr">
        <is>
          <t>P2</t>
        </is>
      </c>
      <c r="U2334" s="3" t="inlineStr">
        <is>
          <t>P JB Cold Soldering</t>
        </is>
      </c>
      <c r="V2334" s="3" t="inlineStr">
        <is>
          <t>Soldering</t>
        </is>
      </c>
      <c r="W2334" s="3" t="inlineStr">
        <is>
          <t>Repair</t>
        </is>
      </c>
      <c r="X2334" s="18" t="n">
        <v>46170</v>
      </c>
      <c r="Y2334" s="73">
        <f>IF(X2334="","",X2334-A2334)</f>
        <v/>
      </c>
      <c r="Z2334" s="18" t="n">
        <v>46170</v>
      </c>
      <c r="AA2334" s="15" t="n"/>
      <c r="AB2334" s="15" t="n"/>
      <c r="AF2334">
        <f>IF(AND($F2334="Closed",$X2334&gt;=DATE(2026,5,1),$X2334&lt;=DATE(2026,5,31)),"Closed in May","Other")</f>
        <v/>
      </c>
    </row>
    <row r="2335">
      <c r="A2335" s="59" t="n">
        <v>46148</v>
      </c>
      <c r="B2335" s="3" t="n">
        <v>2026</v>
      </c>
      <c r="C2335" s="21" t="inlineStr">
        <is>
          <t>Continuum</t>
        </is>
      </c>
      <c r="D2335" s="3" t="inlineStr">
        <is>
          <t>Utility and C&amp;I</t>
        </is>
      </c>
      <c r="E2335" s="3" t="n"/>
      <c r="F2335" s="3" t="inlineStr">
        <is>
          <t>Closed</t>
        </is>
      </c>
      <c r="G2335" s="21" t="inlineStr">
        <is>
          <t>Amiya Ranjan Behera</t>
        </is>
      </c>
      <c r="H2335" s="21" t="n">
        <v>8917436223</v>
      </c>
      <c r="I2335" s="38" t="inlineStr">
        <is>
          <t>PE06052602</t>
        </is>
      </c>
      <c r="J2335" s="21" t="inlineStr">
        <is>
          <t>Diode Bypass Module Issue</t>
        </is>
      </c>
      <c r="K2335" s="21" t="inlineStr">
        <is>
          <t>Bhavnagar</t>
        </is>
      </c>
      <c r="L2335" s="21" t="inlineStr">
        <is>
          <t>Gujarat</t>
        </is>
      </c>
      <c r="M2335" s="96" t="inlineStr">
        <is>
          <t>PS</t>
        </is>
      </c>
      <c r="N2335" s="3" t="inlineStr">
        <is>
          <t>Cold Soldering</t>
        </is>
      </c>
      <c r="O2335" s="62" t="n">
        <v>540</v>
      </c>
      <c r="P2335" s="9" t="inlineStr">
        <is>
          <t>NSMP2305134522</t>
        </is>
      </c>
      <c r="Q2335" s="53">
        <f>MID(P2335,5,2)</f>
        <v/>
      </c>
      <c r="R2335" s="53">
        <f>MID(P2335,7,2)</f>
        <v/>
      </c>
      <c r="S2335" s="3" t="inlineStr">
        <is>
          <t>G2B</t>
        </is>
      </c>
      <c r="T2335" s="3" t="inlineStr">
        <is>
          <t>P2</t>
        </is>
      </c>
      <c r="U2335" s="3" t="inlineStr">
        <is>
          <t>P JB Cold Soldering</t>
        </is>
      </c>
      <c r="V2335" s="3" t="inlineStr">
        <is>
          <t>Soldering</t>
        </is>
      </c>
      <c r="W2335" s="3" t="inlineStr">
        <is>
          <t>Repair</t>
        </is>
      </c>
      <c r="X2335" s="18" t="n">
        <v>46170</v>
      </c>
      <c r="Y2335" s="73">
        <f>IF(X2335="","",X2335-A2335)</f>
        <v/>
      </c>
      <c r="Z2335" s="18" t="n">
        <v>46170</v>
      </c>
      <c r="AA2335" s="15" t="n"/>
      <c r="AB2335" s="15" t="n"/>
      <c r="AF2335">
        <f>IF(AND($F2335="Closed",$X2335&gt;=DATE(2026,5,1),$X2335&lt;=DATE(2026,5,31)),"Closed in May","Other")</f>
        <v/>
      </c>
    </row>
    <row r="2336">
      <c r="A2336" s="59" t="n">
        <v>46148</v>
      </c>
      <c r="B2336" s="3" t="n">
        <v>2026</v>
      </c>
      <c r="C2336" s="21" t="inlineStr">
        <is>
          <t>Continuum</t>
        </is>
      </c>
      <c r="D2336" s="3" t="inlineStr">
        <is>
          <t>Utility and C&amp;I</t>
        </is>
      </c>
      <c r="E2336" s="3" t="n"/>
      <c r="F2336" s="3" t="inlineStr">
        <is>
          <t>Closed</t>
        </is>
      </c>
      <c r="G2336" s="21" t="inlineStr">
        <is>
          <t>Amiya Ranjan Behera</t>
        </is>
      </c>
      <c r="H2336" s="21" t="n">
        <v>8917436223</v>
      </c>
      <c r="I2336" s="38" t="inlineStr">
        <is>
          <t>PE06052602</t>
        </is>
      </c>
      <c r="J2336" s="21" t="inlineStr">
        <is>
          <t>Diode Bypass Module Issue</t>
        </is>
      </c>
      <c r="K2336" s="21" t="inlineStr">
        <is>
          <t>Bhavnagar</t>
        </is>
      </c>
      <c r="L2336" s="21" t="inlineStr">
        <is>
          <t>Gujarat</t>
        </is>
      </c>
      <c r="M2336" s="96" t="inlineStr">
        <is>
          <t>PS</t>
        </is>
      </c>
      <c r="N2336" s="3" t="inlineStr">
        <is>
          <t>Cold Soldering</t>
        </is>
      </c>
      <c r="O2336" s="62" t="n">
        <v>540</v>
      </c>
      <c r="P2336" s="9" t="inlineStr">
        <is>
          <t>NSMP2305133904</t>
        </is>
      </c>
      <c r="Q2336" s="53">
        <f>MID(P2336,5,2)</f>
        <v/>
      </c>
      <c r="R2336" s="53">
        <f>MID(P2336,7,2)</f>
        <v/>
      </c>
      <c r="S2336" s="3" t="inlineStr">
        <is>
          <t>G2B</t>
        </is>
      </c>
      <c r="T2336" s="3" t="inlineStr">
        <is>
          <t>P2</t>
        </is>
      </c>
      <c r="U2336" s="3" t="inlineStr">
        <is>
          <t>P JB Cold Soldering</t>
        </is>
      </c>
      <c r="V2336" s="3" t="inlineStr">
        <is>
          <t>Soldering</t>
        </is>
      </c>
      <c r="W2336" s="3" t="inlineStr">
        <is>
          <t>Repair</t>
        </is>
      </c>
      <c r="X2336" s="18" t="n">
        <v>46170</v>
      </c>
      <c r="Y2336" s="73">
        <f>IF(X2336="","",X2336-A2336)</f>
        <v/>
      </c>
      <c r="Z2336" s="18" t="n">
        <v>46170</v>
      </c>
      <c r="AA2336" s="15" t="n"/>
      <c r="AB2336" s="15" t="n"/>
      <c r="AF2336">
        <f>IF(AND($F2336="Closed",$X2336&gt;=DATE(2026,5,1),$X2336&lt;=DATE(2026,5,31)),"Closed in May","Other")</f>
        <v/>
      </c>
    </row>
    <row r="2337">
      <c r="A2337" s="59" t="n">
        <v>46148</v>
      </c>
      <c r="B2337" s="3" t="n">
        <v>2026</v>
      </c>
      <c r="C2337" s="21" t="inlineStr">
        <is>
          <t>Continuum</t>
        </is>
      </c>
      <c r="D2337" s="3" t="inlineStr">
        <is>
          <t>Utility and C&amp;I</t>
        </is>
      </c>
      <c r="E2337" s="3" t="n"/>
      <c r="F2337" s="3" t="inlineStr">
        <is>
          <t>Closed</t>
        </is>
      </c>
      <c r="G2337" s="21" t="inlineStr">
        <is>
          <t>Amiya Ranjan Behera</t>
        </is>
      </c>
      <c r="H2337" s="21" t="n">
        <v>8917436223</v>
      </c>
      <c r="I2337" s="38" t="inlineStr">
        <is>
          <t>PE06052602</t>
        </is>
      </c>
      <c r="J2337" s="21" t="inlineStr">
        <is>
          <t>Diode Bypass Module Issue</t>
        </is>
      </c>
      <c r="K2337" s="21" t="inlineStr">
        <is>
          <t>Bhavnagar</t>
        </is>
      </c>
      <c r="L2337" s="21" t="inlineStr">
        <is>
          <t>Gujarat</t>
        </is>
      </c>
      <c r="M2337" s="96" t="inlineStr">
        <is>
          <t>PS</t>
        </is>
      </c>
      <c r="N2337" s="3" t="inlineStr">
        <is>
          <t>Cold Soldering</t>
        </is>
      </c>
      <c r="O2337" s="62" t="n">
        <v>540</v>
      </c>
      <c r="P2337" s="9" t="inlineStr">
        <is>
          <t>NSMP2305134641</t>
        </is>
      </c>
      <c r="Q2337" s="53">
        <f>MID(P2337,5,2)</f>
        <v/>
      </c>
      <c r="R2337" s="53">
        <f>MID(P2337,7,2)</f>
        <v/>
      </c>
      <c r="S2337" s="3" t="inlineStr">
        <is>
          <t>G2B</t>
        </is>
      </c>
      <c r="T2337" s="3" t="inlineStr">
        <is>
          <t>P2</t>
        </is>
      </c>
      <c r="U2337" s="3" t="inlineStr">
        <is>
          <t>P JB Cold Soldering</t>
        </is>
      </c>
      <c r="V2337" s="3" t="inlineStr">
        <is>
          <t>Soldering</t>
        </is>
      </c>
      <c r="W2337" s="3" t="inlineStr">
        <is>
          <t>Repair</t>
        </is>
      </c>
      <c r="X2337" s="18" t="n">
        <v>46170</v>
      </c>
      <c r="Y2337" s="73">
        <f>IF(X2337="","",X2337-A2337)</f>
        <v/>
      </c>
      <c r="Z2337" s="18" t="n">
        <v>46170</v>
      </c>
      <c r="AA2337" s="15" t="n"/>
      <c r="AB2337" s="15" t="n"/>
      <c r="AF2337">
        <f>IF(AND($F2337="Closed",$X2337&gt;=DATE(2026,5,1),$X2337&lt;=DATE(2026,5,31)),"Closed in May","Other")</f>
        <v/>
      </c>
    </row>
    <row r="2338">
      <c r="A2338" s="59" t="n">
        <v>46148</v>
      </c>
      <c r="B2338" s="3" t="n">
        <v>2026</v>
      </c>
      <c r="C2338" s="21" t="inlineStr">
        <is>
          <t>Continuum</t>
        </is>
      </c>
      <c r="D2338" s="3" t="inlineStr">
        <is>
          <t>Utility and C&amp;I</t>
        </is>
      </c>
      <c r="E2338" s="3" t="n"/>
      <c r="F2338" s="3" t="inlineStr">
        <is>
          <t>Closed</t>
        </is>
      </c>
      <c r="G2338" s="21" t="inlineStr">
        <is>
          <t>Amiya Ranjan Behera</t>
        </is>
      </c>
      <c r="H2338" s="21" t="n">
        <v>8917436223</v>
      </c>
      <c r="I2338" s="38" t="inlineStr">
        <is>
          <t>PE06052602</t>
        </is>
      </c>
      <c r="J2338" s="21" t="inlineStr">
        <is>
          <t>Diode Bypass Module Issue</t>
        </is>
      </c>
      <c r="K2338" s="21" t="inlineStr">
        <is>
          <t>Bhavnagar</t>
        </is>
      </c>
      <c r="L2338" s="21" t="inlineStr">
        <is>
          <t>Gujarat</t>
        </is>
      </c>
      <c r="M2338" s="96" t="inlineStr">
        <is>
          <t>NS</t>
        </is>
      </c>
      <c r="N2338" s="26" t="inlineStr">
        <is>
          <t>Cold Soldering</t>
        </is>
      </c>
      <c r="O2338" s="62" t="n">
        <v>540</v>
      </c>
      <c r="P2338" s="9" t="inlineStr">
        <is>
          <t>NSMP2305175627</t>
        </is>
      </c>
      <c r="Q2338" s="53">
        <f>MID(P2338,5,2)</f>
        <v/>
      </c>
      <c r="R2338" s="53">
        <f>MID(P2338,7,2)</f>
        <v/>
      </c>
      <c r="S2338" s="3" t="inlineStr">
        <is>
          <t>G2B</t>
        </is>
      </c>
      <c r="T2338" s="3" t="inlineStr">
        <is>
          <t>P2</t>
        </is>
      </c>
      <c r="U2338" s="19" t="inlineStr">
        <is>
          <t>N JB Cold Soldering</t>
        </is>
      </c>
      <c r="V2338" s="19" t="inlineStr">
        <is>
          <t>Soldering</t>
        </is>
      </c>
      <c r="W2338" s="3" t="inlineStr">
        <is>
          <t>Repair</t>
        </is>
      </c>
      <c r="X2338" s="18" t="n">
        <v>46170</v>
      </c>
      <c r="Y2338" s="73">
        <f>IF(X2338="","",X2338-A2338)</f>
        <v/>
      </c>
      <c r="Z2338" s="18" t="n">
        <v>46170</v>
      </c>
      <c r="AA2338" s="15" t="n"/>
      <c r="AB2338" s="15" t="n"/>
      <c r="AF2338">
        <f>IF(AND($F2338="Closed",$X2338&gt;=DATE(2026,5,1),$X2338&lt;=DATE(2026,5,31)),"Closed in May","Other")</f>
        <v/>
      </c>
    </row>
    <row r="2339">
      <c r="A2339" s="59" t="n">
        <v>46148</v>
      </c>
      <c r="B2339" s="3" t="n">
        <v>2026</v>
      </c>
      <c r="C2339" s="21" t="inlineStr">
        <is>
          <t>Continuum</t>
        </is>
      </c>
      <c r="D2339" s="3" t="inlineStr">
        <is>
          <t>Utility and C&amp;I</t>
        </is>
      </c>
      <c r="E2339" s="3" t="n"/>
      <c r="F2339" s="3" t="inlineStr">
        <is>
          <t>Closed</t>
        </is>
      </c>
      <c r="G2339" s="21" t="inlineStr">
        <is>
          <t>Amiya Ranjan Behera</t>
        </is>
      </c>
      <c r="H2339" s="21" t="n">
        <v>8917436223</v>
      </c>
      <c r="I2339" s="38" t="inlineStr">
        <is>
          <t>PE06052602</t>
        </is>
      </c>
      <c r="J2339" s="21" t="inlineStr">
        <is>
          <t>Diode Bypass Module Issue</t>
        </is>
      </c>
      <c r="K2339" s="21" t="inlineStr">
        <is>
          <t>Bhavnagar</t>
        </is>
      </c>
      <c r="L2339" s="21" t="inlineStr">
        <is>
          <t>Gujarat</t>
        </is>
      </c>
      <c r="M2339" s="96" t="inlineStr">
        <is>
          <t>PS</t>
        </is>
      </c>
      <c r="N2339" s="3" t="inlineStr">
        <is>
          <t>Cold Soldering</t>
        </is>
      </c>
      <c r="O2339" s="62" t="n">
        <v>540</v>
      </c>
      <c r="P2339" s="9" t="inlineStr">
        <is>
          <t>NSMP2305134597</t>
        </is>
      </c>
      <c r="Q2339" s="53">
        <f>MID(P2339,5,2)</f>
        <v/>
      </c>
      <c r="R2339" s="53">
        <f>MID(P2339,7,2)</f>
        <v/>
      </c>
      <c r="S2339" s="3" t="inlineStr">
        <is>
          <t>G2B</t>
        </is>
      </c>
      <c r="T2339" s="3" t="inlineStr">
        <is>
          <t>P2</t>
        </is>
      </c>
      <c r="U2339" s="3" t="inlineStr">
        <is>
          <t>P JB Cold Soldering</t>
        </is>
      </c>
      <c r="V2339" s="3" t="inlineStr">
        <is>
          <t>Soldering</t>
        </is>
      </c>
      <c r="W2339" s="3" t="inlineStr">
        <is>
          <t>Repair</t>
        </is>
      </c>
      <c r="X2339" s="18" t="n">
        <v>46170</v>
      </c>
      <c r="Y2339" s="73">
        <f>IF(X2339="","",X2339-A2339)</f>
        <v/>
      </c>
      <c r="Z2339" s="18" t="n">
        <v>46170</v>
      </c>
      <c r="AA2339" s="15" t="n"/>
      <c r="AB2339" s="15" t="n"/>
      <c r="AF2339">
        <f>IF(AND($F2339="Closed",$X2339&gt;=DATE(2026,5,1),$X2339&lt;=DATE(2026,5,31)),"Closed in May","Other")</f>
        <v/>
      </c>
    </row>
    <row r="2340">
      <c r="A2340" s="59" t="n">
        <v>46148</v>
      </c>
      <c r="B2340" s="3" t="n">
        <v>2026</v>
      </c>
      <c r="C2340" s="21" t="inlineStr">
        <is>
          <t>Continuum</t>
        </is>
      </c>
      <c r="D2340" s="3" t="inlineStr">
        <is>
          <t>Utility and C&amp;I</t>
        </is>
      </c>
      <c r="E2340" s="3" t="n"/>
      <c r="F2340" s="3" t="inlineStr">
        <is>
          <t>Closed</t>
        </is>
      </c>
      <c r="G2340" s="21" t="inlineStr">
        <is>
          <t>Amiya Ranjan Behera</t>
        </is>
      </c>
      <c r="H2340" s="21" t="n">
        <v>8917436223</v>
      </c>
      <c r="I2340" s="38" t="inlineStr">
        <is>
          <t>PE06052602</t>
        </is>
      </c>
      <c r="J2340" s="21" t="inlineStr">
        <is>
          <t>Diode Bypass Module Issue</t>
        </is>
      </c>
      <c r="K2340" s="21" t="inlineStr">
        <is>
          <t>Bhavnagar</t>
        </is>
      </c>
      <c r="L2340" s="21" t="inlineStr">
        <is>
          <t>Gujarat</t>
        </is>
      </c>
      <c r="M2340" s="96" t="inlineStr">
        <is>
          <t>PR</t>
        </is>
      </c>
      <c r="N2340" s="3" t="inlineStr">
        <is>
          <t>JB Issue</t>
        </is>
      </c>
      <c r="O2340" s="62" t="n">
        <v>540</v>
      </c>
      <c r="P2340" s="9" t="inlineStr">
        <is>
          <t>NSMP2304071805</t>
        </is>
      </c>
      <c r="Q2340" s="53">
        <f>MID(P2340,5,2)</f>
        <v/>
      </c>
      <c r="R2340" s="53">
        <f>MID(P2340,7,2)</f>
        <v/>
      </c>
      <c r="S2340" s="3" t="inlineStr">
        <is>
          <t>G2B</t>
        </is>
      </c>
      <c r="T2340" s="3" t="inlineStr">
        <is>
          <t>P2</t>
        </is>
      </c>
      <c r="U2340" s="3" t="inlineStr">
        <is>
          <t>P JB Issue</t>
        </is>
      </c>
      <c r="V2340" s="15" t="inlineStr">
        <is>
          <t>JB Changed</t>
        </is>
      </c>
      <c r="W2340" s="3" t="inlineStr">
        <is>
          <t>Repair</t>
        </is>
      </c>
      <c r="X2340" s="18" t="n">
        <v>46170</v>
      </c>
      <c r="Y2340" s="73">
        <f>IF(X2340="","",X2340-A2340)</f>
        <v/>
      </c>
      <c r="Z2340" s="18" t="n">
        <v>46170</v>
      </c>
      <c r="AA2340" s="15" t="n"/>
      <c r="AB2340" s="15" t="n"/>
      <c r="AF2340">
        <f>IF(AND($F2340="Closed",$X2340&gt;=DATE(2026,5,1),$X2340&lt;=DATE(2026,5,31)),"Closed in May","Other")</f>
        <v/>
      </c>
    </row>
    <row r="2341">
      <c r="A2341" s="59" t="n">
        <v>46148</v>
      </c>
      <c r="B2341" s="3" t="n">
        <v>2026</v>
      </c>
      <c r="C2341" s="21" t="inlineStr">
        <is>
          <t>Continuum</t>
        </is>
      </c>
      <c r="D2341" s="3" t="inlineStr">
        <is>
          <t>Utility and C&amp;I</t>
        </is>
      </c>
      <c r="E2341" s="3" t="n"/>
      <c r="F2341" s="3" t="inlineStr">
        <is>
          <t>Closed</t>
        </is>
      </c>
      <c r="G2341" s="21" t="inlineStr">
        <is>
          <t>Amiya Ranjan Behera</t>
        </is>
      </c>
      <c r="H2341" s="21" t="n">
        <v>8917436223</v>
      </c>
      <c r="I2341" s="38" t="inlineStr">
        <is>
          <t>PE06052602</t>
        </is>
      </c>
      <c r="J2341" s="21" t="inlineStr">
        <is>
          <t>Diode Bypass Module Issue</t>
        </is>
      </c>
      <c r="K2341" s="21" t="inlineStr">
        <is>
          <t>Bhavnagar</t>
        </is>
      </c>
      <c r="L2341" s="21" t="inlineStr">
        <is>
          <t>Gujarat</t>
        </is>
      </c>
      <c r="M2341" s="96" t="inlineStr">
        <is>
          <t>PS</t>
        </is>
      </c>
      <c r="N2341" s="3" t="inlineStr">
        <is>
          <t>Cold Soldering</t>
        </is>
      </c>
      <c r="O2341" s="62" t="n">
        <v>540</v>
      </c>
      <c r="P2341" s="9" t="inlineStr">
        <is>
          <t>NSMP2304071845</t>
        </is>
      </c>
      <c r="Q2341" s="53">
        <f>MID(P2341,5,2)</f>
        <v/>
      </c>
      <c r="R2341" s="53">
        <f>MID(P2341,7,2)</f>
        <v/>
      </c>
      <c r="S2341" s="3" t="inlineStr">
        <is>
          <t>G2B</t>
        </is>
      </c>
      <c r="T2341" s="3" t="inlineStr">
        <is>
          <t>P2</t>
        </is>
      </c>
      <c r="U2341" s="3" t="inlineStr">
        <is>
          <t>P JB Cold Soldering</t>
        </is>
      </c>
      <c r="V2341" s="3" t="inlineStr">
        <is>
          <t>Soldering</t>
        </is>
      </c>
      <c r="W2341" s="3" t="inlineStr">
        <is>
          <t>Repair</t>
        </is>
      </c>
      <c r="X2341" s="18" t="n">
        <v>46170</v>
      </c>
      <c r="Y2341" s="73">
        <f>IF(X2341="","",X2341-A2341)</f>
        <v/>
      </c>
      <c r="Z2341" s="18" t="n">
        <v>46170</v>
      </c>
      <c r="AA2341" s="15" t="n"/>
      <c r="AB2341" s="15" t="n"/>
      <c r="AF2341">
        <f>IF(AND($F2341="Closed",$X2341&gt;=DATE(2026,5,1),$X2341&lt;=DATE(2026,5,31)),"Closed in May","Other")</f>
        <v/>
      </c>
    </row>
    <row r="2342">
      <c r="A2342" s="59" t="n">
        <v>46148</v>
      </c>
      <c r="B2342" s="3" t="n">
        <v>2026</v>
      </c>
      <c r="C2342" s="21" t="inlineStr">
        <is>
          <t>Continuum</t>
        </is>
      </c>
      <c r="D2342" s="3" t="inlineStr">
        <is>
          <t>Utility and C&amp;I</t>
        </is>
      </c>
      <c r="E2342" s="3" t="n"/>
      <c r="F2342" s="3" t="inlineStr">
        <is>
          <t>Closed</t>
        </is>
      </c>
      <c r="G2342" s="21" t="inlineStr">
        <is>
          <t>Amiya Ranjan Behera</t>
        </is>
      </c>
      <c r="H2342" s="21" t="n">
        <v>8917436223</v>
      </c>
      <c r="I2342" s="38" t="inlineStr">
        <is>
          <t>PE06052602</t>
        </is>
      </c>
      <c r="J2342" s="21" t="inlineStr">
        <is>
          <t>Diode Bypass Module Issue</t>
        </is>
      </c>
      <c r="K2342" s="21" t="inlineStr">
        <is>
          <t>Bhavnagar</t>
        </is>
      </c>
      <c r="L2342" s="21" t="inlineStr">
        <is>
          <t>Gujarat</t>
        </is>
      </c>
      <c r="M2342" s="96" t="inlineStr">
        <is>
          <t>PS</t>
        </is>
      </c>
      <c r="N2342" s="3" t="inlineStr">
        <is>
          <t>Cold Soldering</t>
        </is>
      </c>
      <c r="O2342" s="62" t="n">
        <v>540</v>
      </c>
      <c r="P2342" s="9" t="inlineStr">
        <is>
          <t>NSMP2304071780</t>
        </is>
      </c>
      <c r="Q2342" s="53">
        <f>MID(P2342,5,2)</f>
        <v/>
      </c>
      <c r="R2342" s="53">
        <f>MID(P2342,7,2)</f>
        <v/>
      </c>
      <c r="S2342" s="3" t="inlineStr">
        <is>
          <t>G2B</t>
        </is>
      </c>
      <c r="T2342" s="3" t="inlineStr">
        <is>
          <t>P2</t>
        </is>
      </c>
      <c r="U2342" s="3" t="inlineStr">
        <is>
          <t>P JB Cold Soldering</t>
        </is>
      </c>
      <c r="V2342" s="3" t="inlineStr">
        <is>
          <t>Soldering</t>
        </is>
      </c>
      <c r="W2342" s="3" t="inlineStr">
        <is>
          <t>Repair</t>
        </is>
      </c>
      <c r="X2342" s="18" t="n">
        <v>46170</v>
      </c>
      <c r="Y2342" s="73">
        <f>IF(X2342="","",X2342-A2342)</f>
        <v/>
      </c>
      <c r="Z2342" s="18" t="n">
        <v>46170</v>
      </c>
      <c r="AA2342" s="15" t="n"/>
      <c r="AB2342" s="15" t="n"/>
      <c r="AF2342">
        <f>IF(AND($F2342="Closed",$X2342&gt;=DATE(2026,5,1),$X2342&lt;=DATE(2026,5,31)),"Closed in May","Other")</f>
        <v/>
      </c>
    </row>
    <row r="2343">
      <c r="A2343" s="59" t="n">
        <v>46148</v>
      </c>
      <c r="B2343" s="3" t="n">
        <v>2026</v>
      </c>
      <c r="C2343" s="21" t="inlineStr">
        <is>
          <t>Continuum</t>
        </is>
      </c>
      <c r="D2343" s="3" t="inlineStr">
        <is>
          <t>Utility and C&amp;I</t>
        </is>
      </c>
      <c r="E2343" s="3" t="n"/>
      <c r="F2343" s="3" t="inlineStr">
        <is>
          <t>Closed</t>
        </is>
      </c>
      <c r="G2343" s="21" t="inlineStr">
        <is>
          <t>Amiya Ranjan Behera</t>
        </is>
      </c>
      <c r="H2343" s="21" t="n">
        <v>8917436223</v>
      </c>
      <c r="I2343" s="38" t="inlineStr">
        <is>
          <t>PE06052602</t>
        </is>
      </c>
      <c r="J2343" s="21" t="inlineStr">
        <is>
          <t>Diode Bypass Module Issue</t>
        </is>
      </c>
      <c r="K2343" s="21" t="inlineStr">
        <is>
          <t>Bhavnagar</t>
        </is>
      </c>
      <c r="L2343" s="21" t="inlineStr">
        <is>
          <t>Gujarat</t>
        </is>
      </c>
      <c r="M2343" s="96" t="inlineStr">
        <is>
          <t>PS</t>
        </is>
      </c>
      <c r="N2343" s="3" t="inlineStr">
        <is>
          <t>Cold Soldering</t>
        </is>
      </c>
      <c r="O2343" s="62" t="n">
        <v>540</v>
      </c>
      <c r="P2343" s="9" t="inlineStr">
        <is>
          <t>NSMP2304071883</t>
        </is>
      </c>
      <c r="Q2343" s="53">
        <f>MID(P2343,5,2)</f>
        <v/>
      </c>
      <c r="R2343" s="53">
        <f>MID(P2343,7,2)</f>
        <v/>
      </c>
      <c r="S2343" s="3" t="inlineStr">
        <is>
          <t>G2B</t>
        </is>
      </c>
      <c r="T2343" s="3" t="inlineStr">
        <is>
          <t>P2</t>
        </is>
      </c>
      <c r="U2343" s="3" t="inlineStr">
        <is>
          <t>P JB Cold Soldering</t>
        </is>
      </c>
      <c r="V2343" s="3" t="inlineStr">
        <is>
          <t>Soldering</t>
        </is>
      </c>
      <c r="W2343" s="3" t="inlineStr">
        <is>
          <t>Repair</t>
        </is>
      </c>
      <c r="X2343" s="18" t="n">
        <v>46170</v>
      </c>
      <c r="Y2343" s="73">
        <f>IF(X2343="","",X2343-A2343)</f>
        <v/>
      </c>
      <c r="Z2343" s="18" t="n">
        <v>46170</v>
      </c>
      <c r="AA2343" s="15" t="n"/>
      <c r="AB2343" s="15" t="n"/>
      <c r="AF2343">
        <f>IF(AND($F2343="Closed",$X2343&gt;=DATE(2026,5,1),$X2343&lt;=DATE(2026,5,31)),"Closed in May","Other")</f>
        <v/>
      </c>
    </row>
    <row r="2344">
      <c r="A2344" s="59" t="n">
        <v>46148</v>
      </c>
      <c r="B2344" s="3" t="n">
        <v>2026</v>
      </c>
      <c r="C2344" s="21" t="inlineStr">
        <is>
          <t>Continuum</t>
        </is>
      </c>
      <c r="D2344" s="3" t="inlineStr">
        <is>
          <t>Utility and C&amp;I</t>
        </is>
      </c>
      <c r="E2344" s="3" t="n"/>
      <c r="F2344" s="3" t="inlineStr">
        <is>
          <t>Closed</t>
        </is>
      </c>
      <c r="G2344" s="21" t="inlineStr">
        <is>
          <t>Amiya Ranjan Behera</t>
        </is>
      </c>
      <c r="H2344" s="21" t="n">
        <v>8917436223</v>
      </c>
      <c r="I2344" s="38" t="inlineStr">
        <is>
          <t>PE06052602</t>
        </is>
      </c>
      <c r="J2344" s="21" t="inlineStr">
        <is>
          <t>Diode Bypass Module Issue</t>
        </is>
      </c>
      <c r="K2344" s="21" t="inlineStr">
        <is>
          <t>Bhavnagar</t>
        </is>
      </c>
      <c r="L2344" s="21" t="inlineStr">
        <is>
          <t>Gujarat</t>
        </is>
      </c>
      <c r="M2344" s="96" t="inlineStr">
        <is>
          <t>PR</t>
        </is>
      </c>
      <c r="N2344" s="3" t="inlineStr">
        <is>
          <t>JB Issue</t>
        </is>
      </c>
      <c r="O2344" s="62" t="n">
        <v>540</v>
      </c>
      <c r="P2344" s="9" t="inlineStr">
        <is>
          <t>NSMP2305133737</t>
        </is>
      </c>
      <c r="Q2344" s="53">
        <f>MID(P2344,5,2)</f>
        <v/>
      </c>
      <c r="R2344" s="53">
        <f>MID(P2344,7,2)</f>
        <v/>
      </c>
      <c r="S2344" s="3" t="inlineStr">
        <is>
          <t>G2B</t>
        </is>
      </c>
      <c r="T2344" s="3" t="inlineStr">
        <is>
          <t>P2</t>
        </is>
      </c>
      <c r="U2344" s="3" t="inlineStr">
        <is>
          <t>P JB Issue</t>
        </is>
      </c>
      <c r="V2344" s="15" t="inlineStr">
        <is>
          <t>JB Changed</t>
        </is>
      </c>
      <c r="W2344" s="3" t="inlineStr">
        <is>
          <t>Repair</t>
        </is>
      </c>
      <c r="X2344" s="18" t="n">
        <v>46170</v>
      </c>
      <c r="Y2344" s="73">
        <f>IF(X2344="","",X2344-A2344)</f>
        <v/>
      </c>
      <c r="Z2344" s="18" t="n">
        <v>46170</v>
      </c>
      <c r="AA2344" s="15" t="n"/>
      <c r="AB2344" s="15" t="n"/>
      <c r="AF2344">
        <f>IF(AND($F2344="Closed",$X2344&gt;=DATE(2026,5,1),$X2344&lt;=DATE(2026,5,31)),"Closed in May","Other")</f>
        <v/>
      </c>
    </row>
    <row r="2345">
      <c r="A2345" s="59" t="n">
        <v>46168</v>
      </c>
      <c r="B2345" s="3" t="n">
        <v>2026</v>
      </c>
      <c r="C2345" s="21" t="inlineStr">
        <is>
          <t>True Sun Trading Company</t>
        </is>
      </c>
      <c r="D2345" s="3" t="inlineStr">
        <is>
          <t>Channel Sales</t>
        </is>
      </c>
      <c r="E2345" s="3" t="n"/>
      <c r="F2345" s="3" t="inlineStr">
        <is>
          <t>Closed</t>
        </is>
      </c>
      <c r="G2345" s="21" t="inlineStr">
        <is>
          <t>Sarath Ananda</t>
        </is>
      </c>
      <c r="H2345" s="21" t="n">
        <v>8848944464</v>
      </c>
      <c r="I2345" s="22" t="inlineStr">
        <is>
          <t>PE26052603</t>
        </is>
      </c>
      <c r="J2345" s="21" t="inlineStr">
        <is>
          <t>Low VOC</t>
        </is>
      </c>
      <c r="K2345" s="21" t="inlineStr">
        <is>
          <t>Manakkakadavu</t>
        </is>
      </c>
      <c r="L2345" s="21" t="inlineStr">
        <is>
          <t>Kerala</t>
        </is>
      </c>
      <c r="M2345" s="9" t="inlineStr">
        <is>
          <t>MR</t>
        </is>
      </c>
      <c r="N2345" s="21" t="inlineStr">
        <is>
          <t>JB Issue</t>
        </is>
      </c>
      <c r="O2345" s="60" t="n">
        <v>540</v>
      </c>
      <c r="P2345" s="8" t="inlineStr">
        <is>
          <t>NSMP25060394048</t>
        </is>
      </c>
      <c r="Q2345" s="53">
        <f>MID(P2345,5,2)</f>
        <v/>
      </c>
      <c r="R2345" s="53">
        <f>MID(P2345,7,2)</f>
        <v/>
      </c>
      <c r="S2345" s="3" t="inlineStr">
        <is>
          <t>G2TB</t>
        </is>
      </c>
      <c r="T2345" s="3" t="inlineStr">
        <is>
          <t>P2</t>
        </is>
      </c>
      <c r="U2345" s="3" t="inlineStr">
        <is>
          <t>M JB Issue</t>
        </is>
      </c>
      <c r="V2345" s="3" t="inlineStr">
        <is>
          <t>JB Changed</t>
        </is>
      </c>
      <c r="W2345" s="3" t="inlineStr">
        <is>
          <t>Repair</t>
        </is>
      </c>
      <c r="X2345" s="18" t="n">
        <v>46170</v>
      </c>
      <c r="Y2345" s="73">
        <f>IF(X2345="","",X2345-A2345)</f>
        <v/>
      </c>
      <c r="Z2345" s="18" t="n">
        <v>46170</v>
      </c>
      <c r="AA2345" s="15" t="n"/>
      <c r="AB2345" s="15" t="n"/>
      <c r="AF2345">
        <f>IF(AND($F2345="Closed",$X2345&gt;=DATE(2026,5,1),$X2345&lt;=DATE(2026,5,31)),"Closed in May","Other")</f>
        <v/>
      </c>
    </row>
    <row r="2346">
      <c r="A2346" s="37" t="n">
        <v>46143</v>
      </c>
      <c r="B2346" s="3" t="n">
        <v>2026</v>
      </c>
      <c r="C2346" s="26" t="inlineStr">
        <is>
          <t>Yanara Power</t>
        </is>
      </c>
      <c r="D2346" s="3" t="inlineStr">
        <is>
          <t>Utility and C&amp;I</t>
        </is>
      </c>
      <c r="E2346" s="3" t="n"/>
      <c r="F2346" s="3" t="inlineStr">
        <is>
          <t>Closed</t>
        </is>
      </c>
      <c r="G2346" s="9" t="inlineStr">
        <is>
          <t xml:space="preserve">Ashish Jindal </t>
        </is>
      </c>
      <c r="H2346" s="26" t="n">
        <v>9983975581</v>
      </c>
      <c r="I2346" s="38" t="inlineStr">
        <is>
          <t>PE01052601</t>
        </is>
      </c>
      <c r="J2346" s="26" t="inlineStr">
        <is>
          <t>Multiple Issues</t>
        </is>
      </c>
      <c r="K2346" s="39" t="inlineStr">
        <is>
          <t>Holi</t>
        </is>
      </c>
      <c r="L2346" s="39" t="inlineStr">
        <is>
          <t>Maharashtra</t>
        </is>
      </c>
      <c r="M2346" s="46" t="inlineStr">
        <is>
          <t>PS</t>
        </is>
      </c>
      <c r="N2346" s="3" t="inlineStr">
        <is>
          <t>Cold Soldering</t>
        </is>
      </c>
      <c r="O2346" s="56" t="n">
        <v>575</v>
      </c>
      <c r="P2346" s="46" t="inlineStr">
        <is>
          <t>NSMI24070195428</t>
        </is>
      </c>
      <c r="Q2346" s="54">
        <f>MID(P2346,5,2)</f>
        <v/>
      </c>
      <c r="R2346" s="53">
        <f>MID(P2346,7,2)</f>
        <v/>
      </c>
      <c r="S2346" s="3" t="inlineStr">
        <is>
          <t>G2G</t>
        </is>
      </c>
      <c r="T2346" s="3" t="inlineStr">
        <is>
          <t>P4</t>
        </is>
      </c>
      <c r="U2346" s="19" t="inlineStr">
        <is>
          <t>P JB Cold Soldering</t>
        </is>
      </c>
      <c r="V2346" s="19" t="inlineStr">
        <is>
          <t>Soldering</t>
        </is>
      </c>
      <c r="W2346" s="3" t="inlineStr">
        <is>
          <t>Repair</t>
        </is>
      </c>
      <c r="X2346" s="18" t="n">
        <v>46170</v>
      </c>
      <c r="Y2346" s="73">
        <f>IF(X2346="","",X2346-A2346)</f>
        <v/>
      </c>
      <c r="Z2346" s="18" t="n">
        <v>46170</v>
      </c>
      <c r="AA2346" s="15" t="n"/>
      <c r="AB2346" s="15" t="n"/>
      <c r="AF2346">
        <f>IF(AND($F2346="Closed",$X2346&gt;=DATE(2026,5,1),$X2346&lt;=DATE(2026,5,31)),"Closed in May","Other")</f>
        <v/>
      </c>
    </row>
    <row r="2347">
      <c r="A2347" s="37" t="n">
        <v>46143</v>
      </c>
      <c r="B2347" s="3" t="n">
        <v>2026</v>
      </c>
      <c r="C2347" s="26" t="inlineStr">
        <is>
          <t>Yanara Power</t>
        </is>
      </c>
      <c r="D2347" s="3" t="inlineStr">
        <is>
          <t>Utility and C&amp;I</t>
        </is>
      </c>
      <c r="E2347" s="3" t="n"/>
      <c r="F2347" s="3" t="inlineStr">
        <is>
          <t>Closed</t>
        </is>
      </c>
      <c r="G2347" s="9" t="inlineStr">
        <is>
          <t xml:space="preserve">Ashish Jindal </t>
        </is>
      </c>
      <c r="H2347" s="26" t="n">
        <v>9983975581</v>
      </c>
      <c r="I2347" s="38" t="inlineStr">
        <is>
          <t>PE01052601</t>
        </is>
      </c>
      <c r="J2347" s="26" t="inlineStr">
        <is>
          <t>Multiple Issues</t>
        </is>
      </c>
      <c r="K2347" s="39" t="inlineStr">
        <is>
          <t>Holi</t>
        </is>
      </c>
      <c r="L2347" s="39" t="inlineStr">
        <is>
          <t>Maharashtra</t>
        </is>
      </c>
      <c r="M2347" s="46" t="inlineStr">
        <is>
          <t>PS</t>
        </is>
      </c>
      <c r="N2347" s="3" t="inlineStr">
        <is>
          <t>Cold Soldering</t>
        </is>
      </c>
      <c r="O2347" s="56" t="n">
        <v>575</v>
      </c>
      <c r="P2347" s="46" t="inlineStr">
        <is>
          <t>NSMI24070195429</t>
        </is>
      </c>
      <c r="Q2347" s="54">
        <f>MID(P2347,5,2)</f>
        <v/>
      </c>
      <c r="R2347" s="53">
        <f>MID(P2347,7,2)</f>
        <v/>
      </c>
      <c r="S2347" s="3" t="inlineStr">
        <is>
          <t>G2G</t>
        </is>
      </c>
      <c r="T2347" s="3" t="inlineStr">
        <is>
          <t>P4</t>
        </is>
      </c>
      <c r="U2347" s="19" t="inlineStr">
        <is>
          <t>P JB Cold Soldering</t>
        </is>
      </c>
      <c r="V2347" s="19" t="inlineStr">
        <is>
          <t>Soldering</t>
        </is>
      </c>
      <c r="W2347" s="3" t="inlineStr">
        <is>
          <t>Repair</t>
        </is>
      </c>
      <c r="X2347" s="18" t="n">
        <v>46170</v>
      </c>
      <c r="Y2347" s="73">
        <f>IF(X2347="","",X2347-A2347)</f>
        <v/>
      </c>
      <c r="Z2347" s="18" t="n">
        <v>46170</v>
      </c>
      <c r="AA2347" s="15" t="n"/>
      <c r="AB2347" s="15" t="n"/>
      <c r="AF2347">
        <f>IF(AND($F2347="Closed",$X2347&gt;=DATE(2026,5,1),$X2347&lt;=DATE(2026,5,31)),"Closed in May","Other")</f>
        <v/>
      </c>
    </row>
    <row r="2348">
      <c r="A2348" s="37" t="n">
        <v>46143</v>
      </c>
      <c r="B2348" s="3" t="n">
        <v>2026</v>
      </c>
      <c r="C2348" s="26" t="inlineStr">
        <is>
          <t>Yanara Power</t>
        </is>
      </c>
      <c r="D2348" s="3" t="inlineStr">
        <is>
          <t>Utility and C&amp;I</t>
        </is>
      </c>
      <c r="E2348" s="3" t="n"/>
      <c r="F2348" s="3" t="inlineStr">
        <is>
          <t>Closed</t>
        </is>
      </c>
      <c r="G2348" s="9" t="inlineStr">
        <is>
          <t xml:space="preserve">Ashish Jindal </t>
        </is>
      </c>
      <c r="H2348" s="26" t="n">
        <v>9983975581</v>
      </c>
      <c r="I2348" s="38" t="inlineStr">
        <is>
          <t>PE01052601</t>
        </is>
      </c>
      <c r="J2348" s="26" t="inlineStr">
        <is>
          <t>Multiple Issues</t>
        </is>
      </c>
      <c r="K2348" s="39" t="inlineStr">
        <is>
          <t>Holi</t>
        </is>
      </c>
      <c r="L2348" s="39" t="inlineStr">
        <is>
          <t>Maharashtra</t>
        </is>
      </c>
      <c r="M2348" s="46" t="inlineStr">
        <is>
          <t>NS</t>
        </is>
      </c>
      <c r="N2348" s="3" t="inlineStr">
        <is>
          <t>Cold Soldering</t>
        </is>
      </c>
      <c r="O2348" s="56" t="n">
        <v>575</v>
      </c>
      <c r="P2348" s="46" t="inlineStr">
        <is>
          <t>NSMI24070187638</t>
        </is>
      </c>
      <c r="Q2348" s="54">
        <f>MID(P2348,5,2)</f>
        <v/>
      </c>
      <c r="R2348" s="53">
        <f>MID(P2348,7,2)</f>
        <v/>
      </c>
      <c r="S2348" s="3" t="inlineStr">
        <is>
          <t>G2G</t>
        </is>
      </c>
      <c r="T2348" s="3" t="inlineStr">
        <is>
          <t>P4</t>
        </is>
      </c>
      <c r="U2348" s="3" t="inlineStr">
        <is>
          <t>N JB Cold Soldering</t>
        </is>
      </c>
      <c r="V2348" s="3" t="inlineStr">
        <is>
          <t>Soldering</t>
        </is>
      </c>
      <c r="W2348" s="3" t="inlineStr">
        <is>
          <t>Repair</t>
        </is>
      </c>
      <c r="X2348" s="18" t="n">
        <v>46170</v>
      </c>
      <c r="Y2348" s="73">
        <f>IF(X2348="","",X2348-A2348)</f>
        <v/>
      </c>
      <c r="Z2348" s="18" t="n">
        <v>46170</v>
      </c>
      <c r="AA2348" s="15" t="n"/>
      <c r="AB2348" s="15" t="n"/>
      <c r="AF2348">
        <f>IF(AND($F2348="Closed",$X2348&gt;=DATE(2026,5,1),$X2348&lt;=DATE(2026,5,31)),"Closed in May","Other")</f>
        <v/>
      </c>
    </row>
    <row r="2349">
      <c r="A2349" s="37" t="n">
        <v>46143</v>
      </c>
      <c r="B2349" s="3" t="n">
        <v>2026</v>
      </c>
      <c r="C2349" s="26" t="inlineStr">
        <is>
          <t>Yanara Power</t>
        </is>
      </c>
      <c r="D2349" s="3" t="inlineStr">
        <is>
          <t>Utility and C&amp;I</t>
        </is>
      </c>
      <c r="E2349" s="3" t="n"/>
      <c r="F2349" s="3" t="inlineStr">
        <is>
          <t>Closed</t>
        </is>
      </c>
      <c r="G2349" s="9" t="inlineStr">
        <is>
          <t xml:space="preserve">Ashish Jindal </t>
        </is>
      </c>
      <c r="H2349" s="26" t="n">
        <v>9983975581</v>
      </c>
      <c r="I2349" s="38" t="inlineStr">
        <is>
          <t>PE01052601</t>
        </is>
      </c>
      <c r="J2349" s="26" t="inlineStr">
        <is>
          <t>Multiple Issues</t>
        </is>
      </c>
      <c r="K2349" s="39" t="inlineStr">
        <is>
          <t>Holi</t>
        </is>
      </c>
      <c r="L2349" s="39" t="inlineStr">
        <is>
          <t>Maharashtra</t>
        </is>
      </c>
      <c r="M2349" s="46" t="inlineStr">
        <is>
          <t>NS</t>
        </is>
      </c>
      <c r="N2349" s="3" t="inlineStr">
        <is>
          <t>Cold Soldering</t>
        </is>
      </c>
      <c r="O2349" s="56" t="n">
        <v>575</v>
      </c>
      <c r="P2349" s="46" t="inlineStr">
        <is>
          <t>NSMI24070199946</t>
        </is>
      </c>
      <c r="Q2349" s="54">
        <f>MID(P2349,5,2)</f>
        <v/>
      </c>
      <c r="R2349" s="53">
        <f>MID(P2349,7,2)</f>
        <v/>
      </c>
      <c r="S2349" s="3" t="inlineStr">
        <is>
          <t>G2G</t>
        </is>
      </c>
      <c r="T2349" s="3" t="inlineStr">
        <is>
          <t>P4</t>
        </is>
      </c>
      <c r="U2349" s="3" t="inlineStr">
        <is>
          <t>N JB Cold Soldering</t>
        </is>
      </c>
      <c r="V2349" s="3" t="inlineStr">
        <is>
          <t>Soldering</t>
        </is>
      </c>
      <c r="W2349" s="3" t="inlineStr">
        <is>
          <t>Repair</t>
        </is>
      </c>
      <c r="X2349" s="18" t="n">
        <v>46170</v>
      </c>
      <c r="Y2349" s="73">
        <f>IF(X2349="","",X2349-A2349)</f>
        <v/>
      </c>
      <c r="Z2349" s="18" t="n">
        <v>46170</v>
      </c>
      <c r="AA2349" s="15" t="n"/>
      <c r="AB2349" s="15" t="n"/>
      <c r="AF2349">
        <f>IF(AND($F2349="Closed",$X2349&gt;=DATE(2026,5,1),$X2349&lt;=DATE(2026,5,31)),"Closed in May","Other")</f>
        <v/>
      </c>
    </row>
    <row r="2350">
      <c r="A2350" s="37" t="n">
        <v>46143</v>
      </c>
      <c r="B2350" s="3" t="n">
        <v>2026</v>
      </c>
      <c r="C2350" s="26" t="inlineStr">
        <is>
          <t>Yanara Power</t>
        </is>
      </c>
      <c r="D2350" s="3" t="inlineStr">
        <is>
          <t>Utility and C&amp;I</t>
        </is>
      </c>
      <c r="E2350" s="3" t="n"/>
      <c r="F2350" s="3" t="inlineStr">
        <is>
          <t>Closed</t>
        </is>
      </c>
      <c r="G2350" s="9" t="inlineStr">
        <is>
          <t xml:space="preserve">Ashish Jindal </t>
        </is>
      </c>
      <c r="H2350" s="26" t="n">
        <v>9983975581</v>
      </c>
      <c r="I2350" s="38" t="inlineStr">
        <is>
          <t>PE01052601</t>
        </is>
      </c>
      <c r="J2350" s="26" t="inlineStr">
        <is>
          <t>Multiple Issues</t>
        </is>
      </c>
      <c r="K2350" s="39" t="inlineStr">
        <is>
          <t>Holi</t>
        </is>
      </c>
      <c r="L2350" s="39" t="inlineStr">
        <is>
          <t>Maharashtra</t>
        </is>
      </c>
      <c r="M2350" s="46" t="inlineStr">
        <is>
          <t>NS</t>
        </is>
      </c>
      <c r="N2350" s="3" t="inlineStr">
        <is>
          <t>Cold Soldering</t>
        </is>
      </c>
      <c r="O2350" s="56" t="n">
        <v>575</v>
      </c>
      <c r="P2350" s="46" t="inlineStr">
        <is>
          <t>NSMI24070166221</t>
        </is>
      </c>
      <c r="Q2350" s="54">
        <f>MID(P2350,5,2)</f>
        <v/>
      </c>
      <c r="R2350" s="53">
        <f>MID(P2350,7,2)</f>
        <v/>
      </c>
      <c r="S2350" s="3" t="inlineStr">
        <is>
          <t>G2G</t>
        </is>
      </c>
      <c r="T2350" s="3" t="inlineStr">
        <is>
          <t>P4</t>
        </is>
      </c>
      <c r="U2350" s="3" t="inlineStr">
        <is>
          <t>N JB Cold Soldering</t>
        </is>
      </c>
      <c r="V2350" s="3" t="inlineStr">
        <is>
          <t>Soldering</t>
        </is>
      </c>
      <c r="W2350" s="3" t="inlineStr">
        <is>
          <t>Repair</t>
        </is>
      </c>
      <c r="X2350" s="18" t="n">
        <v>46170</v>
      </c>
      <c r="Y2350" s="73">
        <f>IF(X2350="","",X2350-A2350)</f>
        <v/>
      </c>
      <c r="Z2350" s="18" t="n">
        <v>46170</v>
      </c>
      <c r="AA2350" s="15" t="n"/>
      <c r="AB2350" s="15" t="n"/>
      <c r="AF2350">
        <f>IF(AND($F2350="Closed",$X2350&gt;=DATE(2026,5,1),$X2350&lt;=DATE(2026,5,31)),"Closed in May","Other")</f>
        <v/>
      </c>
    </row>
    <row r="2351">
      <c r="A2351" s="37" t="n">
        <v>46143</v>
      </c>
      <c r="B2351" s="3" t="n">
        <v>2026</v>
      </c>
      <c r="C2351" s="26" t="inlineStr">
        <is>
          <t>Yanara Power</t>
        </is>
      </c>
      <c r="D2351" s="3" t="inlineStr">
        <is>
          <t>Utility and C&amp;I</t>
        </is>
      </c>
      <c r="E2351" s="3" t="n"/>
      <c r="F2351" s="3" t="inlineStr">
        <is>
          <t>Closed</t>
        </is>
      </c>
      <c r="G2351" s="9" t="inlineStr">
        <is>
          <t xml:space="preserve">Ashish Jindal </t>
        </is>
      </c>
      <c r="H2351" s="26" t="n">
        <v>9983975581</v>
      </c>
      <c r="I2351" s="38" t="inlineStr">
        <is>
          <t>PE01052601</t>
        </is>
      </c>
      <c r="J2351" s="26" t="inlineStr">
        <is>
          <t>Multiple Issues</t>
        </is>
      </c>
      <c r="K2351" s="39" t="inlineStr">
        <is>
          <t>Holi</t>
        </is>
      </c>
      <c r="L2351" s="39" t="inlineStr">
        <is>
          <t>Maharashtra</t>
        </is>
      </c>
      <c r="M2351" s="46" t="inlineStr">
        <is>
          <t>PS</t>
        </is>
      </c>
      <c r="N2351" s="3" t="inlineStr">
        <is>
          <t>Cold Soldering</t>
        </is>
      </c>
      <c r="O2351" s="56" t="n">
        <v>575</v>
      </c>
      <c r="P2351" s="46" t="inlineStr">
        <is>
          <t>NSMI24070165984</t>
        </is>
      </c>
      <c r="Q2351" s="54">
        <f>MID(P2351,5,2)</f>
        <v/>
      </c>
      <c r="R2351" s="53">
        <f>MID(P2351,7,2)</f>
        <v/>
      </c>
      <c r="S2351" s="3" t="inlineStr">
        <is>
          <t>G2G</t>
        </is>
      </c>
      <c r="T2351" s="3" t="inlineStr">
        <is>
          <t>P4</t>
        </is>
      </c>
      <c r="U2351" s="19" t="inlineStr">
        <is>
          <t>P JB Cold Soldering</t>
        </is>
      </c>
      <c r="V2351" s="19" t="inlineStr">
        <is>
          <t>Soldering</t>
        </is>
      </c>
      <c r="W2351" s="3" t="inlineStr">
        <is>
          <t>Repair</t>
        </is>
      </c>
      <c r="X2351" s="18" t="n">
        <v>46170</v>
      </c>
      <c r="Y2351" s="73">
        <f>IF(X2351="","",X2351-A2351)</f>
        <v/>
      </c>
      <c r="Z2351" s="18" t="n">
        <v>46170</v>
      </c>
      <c r="AA2351" s="15" t="n"/>
      <c r="AB2351" s="15" t="n"/>
      <c r="AF2351">
        <f>IF(AND($F2351="Closed",$X2351&gt;=DATE(2026,5,1),$X2351&lt;=DATE(2026,5,31)),"Closed in May","Other")</f>
        <v/>
      </c>
    </row>
    <row r="2352">
      <c r="A2352" s="37" t="n">
        <v>46143</v>
      </c>
      <c r="B2352" s="3" t="n">
        <v>2026</v>
      </c>
      <c r="C2352" s="26" t="inlineStr">
        <is>
          <t>Yanara Power</t>
        </is>
      </c>
      <c r="D2352" s="3" t="inlineStr">
        <is>
          <t>Utility and C&amp;I</t>
        </is>
      </c>
      <c r="E2352" s="3" t="n"/>
      <c r="F2352" s="3" t="inlineStr">
        <is>
          <t>Closed</t>
        </is>
      </c>
      <c r="G2352" s="9" t="inlineStr">
        <is>
          <t xml:space="preserve">Ashish Jindal </t>
        </is>
      </c>
      <c r="H2352" s="26" t="n">
        <v>9983975581</v>
      </c>
      <c r="I2352" s="38" t="inlineStr">
        <is>
          <t>PE01052601</t>
        </is>
      </c>
      <c r="J2352" s="26" t="inlineStr">
        <is>
          <t>Multiple Issues</t>
        </is>
      </c>
      <c r="K2352" s="39" t="inlineStr">
        <is>
          <t>Holi</t>
        </is>
      </c>
      <c r="L2352" s="39" t="inlineStr">
        <is>
          <t>Maharashtra</t>
        </is>
      </c>
      <c r="M2352" s="46" t="inlineStr">
        <is>
          <t>NS</t>
        </is>
      </c>
      <c r="N2352" s="3" t="inlineStr">
        <is>
          <t>Cold Soldering</t>
        </is>
      </c>
      <c r="O2352" s="56" t="n">
        <v>575</v>
      </c>
      <c r="P2352" s="46" t="inlineStr">
        <is>
          <t>NSMI24070195063</t>
        </is>
      </c>
      <c r="Q2352" s="54">
        <f>MID(P2352,5,2)</f>
        <v/>
      </c>
      <c r="R2352" s="53">
        <f>MID(P2352,7,2)</f>
        <v/>
      </c>
      <c r="S2352" s="3" t="inlineStr">
        <is>
          <t>G2G</t>
        </is>
      </c>
      <c r="T2352" s="3" t="inlineStr">
        <is>
          <t>P4</t>
        </is>
      </c>
      <c r="U2352" s="3" t="inlineStr">
        <is>
          <t>N JB Cold Soldering</t>
        </is>
      </c>
      <c r="V2352" s="3" t="inlineStr">
        <is>
          <t>Soldering</t>
        </is>
      </c>
      <c r="W2352" s="3" t="inlineStr">
        <is>
          <t>Repair</t>
        </is>
      </c>
      <c r="X2352" s="18" t="n">
        <v>46170</v>
      </c>
      <c r="Y2352" s="73">
        <f>IF(X2352="","",X2352-A2352)</f>
        <v/>
      </c>
      <c r="Z2352" s="18" t="n">
        <v>46170</v>
      </c>
      <c r="AA2352" s="15" t="n"/>
      <c r="AB2352" s="15" t="n"/>
      <c r="AF2352">
        <f>IF(AND($F2352="Closed",$X2352&gt;=DATE(2026,5,1),$X2352&lt;=DATE(2026,5,31)),"Closed in May","Other")</f>
        <v/>
      </c>
    </row>
    <row r="2353">
      <c r="A2353" s="37" t="n">
        <v>46143</v>
      </c>
      <c r="B2353" s="3" t="n">
        <v>2026</v>
      </c>
      <c r="C2353" s="26" t="inlineStr">
        <is>
          <t>Yanara Power</t>
        </is>
      </c>
      <c r="D2353" s="3" t="inlineStr">
        <is>
          <t>Utility and C&amp;I</t>
        </is>
      </c>
      <c r="E2353" s="3" t="n"/>
      <c r="F2353" s="3" t="inlineStr">
        <is>
          <t>Closed</t>
        </is>
      </c>
      <c r="G2353" s="9" t="inlineStr">
        <is>
          <t xml:space="preserve">Ashish Jindal </t>
        </is>
      </c>
      <c r="H2353" s="26" t="n">
        <v>9983975581</v>
      </c>
      <c r="I2353" s="38" t="inlineStr">
        <is>
          <t>PE01052601</t>
        </is>
      </c>
      <c r="J2353" s="26" t="inlineStr">
        <is>
          <t>Multiple Issues</t>
        </is>
      </c>
      <c r="K2353" s="39" t="inlineStr">
        <is>
          <t>Holi</t>
        </is>
      </c>
      <c r="L2353" s="39" t="inlineStr">
        <is>
          <t>Maharashtra</t>
        </is>
      </c>
      <c r="M2353" s="46" t="inlineStr">
        <is>
          <t>PS</t>
        </is>
      </c>
      <c r="N2353" s="3" t="inlineStr">
        <is>
          <t>Cold Soldering</t>
        </is>
      </c>
      <c r="O2353" s="56" t="n">
        <v>575</v>
      </c>
      <c r="P2353" s="46" t="inlineStr">
        <is>
          <t>NSMI24070195436</t>
        </is>
      </c>
      <c r="Q2353" s="54">
        <f>MID(P2353,5,2)</f>
        <v/>
      </c>
      <c r="R2353" s="53">
        <f>MID(P2353,7,2)</f>
        <v/>
      </c>
      <c r="S2353" s="3" t="inlineStr">
        <is>
          <t>G2G</t>
        </is>
      </c>
      <c r="T2353" s="3" t="inlineStr">
        <is>
          <t>P4</t>
        </is>
      </c>
      <c r="U2353" s="19" t="inlineStr">
        <is>
          <t>P JB Cold Soldering</t>
        </is>
      </c>
      <c r="V2353" s="19" t="inlineStr">
        <is>
          <t>Soldering</t>
        </is>
      </c>
      <c r="W2353" s="3" t="inlineStr">
        <is>
          <t>Repair</t>
        </is>
      </c>
      <c r="X2353" s="18" t="n">
        <v>46170</v>
      </c>
      <c r="Y2353" s="73">
        <f>IF(X2353="","",X2353-A2353)</f>
        <v/>
      </c>
      <c r="Z2353" s="18" t="n">
        <v>46170</v>
      </c>
      <c r="AA2353" s="15" t="n"/>
      <c r="AB2353" s="15" t="n"/>
      <c r="AF2353">
        <f>IF(AND($F2353="Closed",$X2353&gt;=DATE(2026,5,1),$X2353&lt;=DATE(2026,5,31)),"Closed in May","Other")</f>
        <v/>
      </c>
    </row>
    <row r="2354">
      <c r="A2354" s="37" t="n">
        <v>46143</v>
      </c>
      <c r="B2354" s="3" t="n">
        <v>2026</v>
      </c>
      <c r="C2354" s="26" t="inlineStr">
        <is>
          <t>Yanara Power</t>
        </is>
      </c>
      <c r="D2354" s="3" t="inlineStr">
        <is>
          <t>Utility and C&amp;I</t>
        </is>
      </c>
      <c r="E2354" s="3" t="n"/>
      <c r="F2354" s="3" t="inlineStr">
        <is>
          <t>Closed</t>
        </is>
      </c>
      <c r="G2354" s="9" t="inlineStr">
        <is>
          <t xml:space="preserve">Ashish Jindal </t>
        </is>
      </c>
      <c r="H2354" s="26" t="n">
        <v>9983975581</v>
      </c>
      <c r="I2354" s="38" t="inlineStr">
        <is>
          <t>PE01052601</t>
        </is>
      </c>
      <c r="J2354" s="26" t="inlineStr">
        <is>
          <t>Multiple Issues</t>
        </is>
      </c>
      <c r="K2354" s="39" t="inlineStr">
        <is>
          <t>Holi</t>
        </is>
      </c>
      <c r="L2354" s="39" t="inlineStr">
        <is>
          <t>Maharashtra</t>
        </is>
      </c>
      <c r="M2354" s="46" t="inlineStr">
        <is>
          <t>PS</t>
        </is>
      </c>
      <c r="N2354" s="3" t="inlineStr">
        <is>
          <t>Cold Soldering</t>
        </is>
      </c>
      <c r="O2354" s="56" t="n">
        <v>575</v>
      </c>
      <c r="P2354" s="46" t="inlineStr">
        <is>
          <t>NSMI24070234079</t>
        </is>
      </c>
      <c r="Q2354" s="54">
        <f>MID(P2354,5,2)</f>
        <v/>
      </c>
      <c r="R2354" s="53">
        <f>MID(P2354,7,2)</f>
        <v/>
      </c>
      <c r="S2354" s="3" t="inlineStr">
        <is>
          <t>G2G</t>
        </is>
      </c>
      <c r="T2354" s="3" t="inlineStr">
        <is>
          <t>P4</t>
        </is>
      </c>
      <c r="U2354" s="19" t="inlineStr">
        <is>
          <t>P JB Cold Soldering</t>
        </is>
      </c>
      <c r="V2354" s="19" t="inlineStr">
        <is>
          <t>Soldering</t>
        </is>
      </c>
      <c r="W2354" s="3" t="inlineStr">
        <is>
          <t>Repair</t>
        </is>
      </c>
      <c r="X2354" s="18" t="n">
        <v>46170</v>
      </c>
      <c r="Y2354" s="73">
        <f>IF(X2354="","",X2354-A2354)</f>
        <v/>
      </c>
      <c r="Z2354" s="18" t="n">
        <v>46170</v>
      </c>
      <c r="AA2354" s="15" t="n"/>
      <c r="AB2354" s="15" t="n"/>
      <c r="AF2354">
        <f>IF(AND($F2354="Closed",$X2354&gt;=DATE(2026,5,1),$X2354&lt;=DATE(2026,5,31)),"Closed in May","Other")</f>
        <v/>
      </c>
    </row>
    <row r="2355">
      <c r="A2355" s="37" t="n">
        <v>46143</v>
      </c>
      <c r="B2355" s="3" t="n">
        <v>2026</v>
      </c>
      <c r="C2355" s="26" t="inlineStr">
        <is>
          <t>Yanara Power</t>
        </is>
      </c>
      <c r="D2355" s="3" t="inlineStr">
        <is>
          <t>Utility and C&amp;I</t>
        </is>
      </c>
      <c r="E2355" s="3" t="n"/>
      <c r="F2355" s="3" t="inlineStr">
        <is>
          <t>Closed</t>
        </is>
      </c>
      <c r="G2355" s="9" t="inlineStr">
        <is>
          <t xml:space="preserve">Ashish Jindal </t>
        </is>
      </c>
      <c r="H2355" s="26" t="n">
        <v>9983975581</v>
      </c>
      <c r="I2355" s="38" t="inlineStr">
        <is>
          <t>PE01052601</t>
        </is>
      </c>
      <c r="J2355" s="26" t="inlineStr">
        <is>
          <t>Multiple Issues</t>
        </is>
      </c>
      <c r="K2355" s="39" t="inlineStr">
        <is>
          <t>Holi</t>
        </is>
      </c>
      <c r="L2355" s="39" t="inlineStr">
        <is>
          <t>Maharashtra</t>
        </is>
      </c>
      <c r="M2355" s="46" t="inlineStr">
        <is>
          <t>NR</t>
        </is>
      </c>
      <c r="N2355" s="3" t="inlineStr">
        <is>
          <t>JB Issue</t>
        </is>
      </c>
      <c r="O2355" s="56" t="n">
        <v>575</v>
      </c>
      <c r="P2355" s="46" t="inlineStr">
        <is>
          <t>NSMI24070165399</t>
        </is>
      </c>
      <c r="Q2355" s="54">
        <f>MID(P2355,5,2)</f>
        <v/>
      </c>
      <c r="R2355" s="53">
        <f>MID(P2355,7,2)</f>
        <v/>
      </c>
      <c r="S2355" s="3" t="inlineStr">
        <is>
          <t>G2G</t>
        </is>
      </c>
      <c r="T2355" s="3" t="inlineStr">
        <is>
          <t>P4</t>
        </is>
      </c>
      <c r="U2355" s="3" t="inlineStr">
        <is>
          <t>N JB Issue</t>
        </is>
      </c>
      <c r="V2355" s="3" t="inlineStr">
        <is>
          <t>JB Changed</t>
        </is>
      </c>
      <c r="W2355" s="3" t="inlineStr">
        <is>
          <t>Repair</t>
        </is>
      </c>
      <c r="X2355" s="18" t="n">
        <v>46170</v>
      </c>
      <c r="Y2355" s="73">
        <f>IF(X2355="","",X2355-A2355)</f>
        <v/>
      </c>
      <c r="Z2355" s="18" t="n">
        <v>46170</v>
      </c>
      <c r="AA2355" s="15" t="n"/>
      <c r="AB2355" s="15" t="n"/>
      <c r="AF2355">
        <f>IF(AND($F2355="Closed",$X2355&gt;=DATE(2026,5,1),$X2355&lt;=DATE(2026,5,31)),"Closed in May","Other")</f>
        <v/>
      </c>
    </row>
    <row r="2356">
      <c r="A2356" s="37" t="n">
        <v>46143</v>
      </c>
      <c r="B2356" s="3" t="n">
        <v>2026</v>
      </c>
      <c r="C2356" s="26" t="inlineStr">
        <is>
          <t>Yanara Power</t>
        </is>
      </c>
      <c r="D2356" s="3" t="inlineStr">
        <is>
          <t>Utility and C&amp;I</t>
        </is>
      </c>
      <c r="E2356" s="3" t="n"/>
      <c r="F2356" s="3" t="inlineStr">
        <is>
          <t>Closed</t>
        </is>
      </c>
      <c r="G2356" s="9" t="inlineStr">
        <is>
          <t xml:space="preserve">Ashish Jindal </t>
        </is>
      </c>
      <c r="H2356" s="26" t="n">
        <v>9983975581</v>
      </c>
      <c r="I2356" s="38" t="inlineStr">
        <is>
          <t>PE01052601</t>
        </is>
      </c>
      <c r="J2356" s="26" t="inlineStr">
        <is>
          <t>Multiple Issues</t>
        </is>
      </c>
      <c r="K2356" s="39" t="inlineStr">
        <is>
          <t>Holi</t>
        </is>
      </c>
      <c r="L2356" s="39" t="inlineStr">
        <is>
          <t>Maharashtra</t>
        </is>
      </c>
      <c r="M2356" s="46" t="inlineStr">
        <is>
          <t>PS</t>
        </is>
      </c>
      <c r="N2356" s="3" t="inlineStr">
        <is>
          <t>Cold Soldering</t>
        </is>
      </c>
      <c r="O2356" s="56" t="n">
        <v>575</v>
      </c>
      <c r="P2356" s="46" t="inlineStr">
        <is>
          <t>NSMI24070165419</t>
        </is>
      </c>
      <c r="Q2356" s="54">
        <f>MID(P2356,5,2)</f>
        <v/>
      </c>
      <c r="R2356" s="53">
        <f>MID(P2356,7,2)</f>
        <v/>
      </c>
      <c r="S2356" s="3" t="inlineStr">
        <is>
          <t>G2G</t>
        </is>
      </c>
      <c r="T2356" s="3" t="inlineStr">
        <is>
          <t>P4</t>
        </is>
      </c>
      <c r="U2356" s="19" t="inlineStr">
        <is>
          <t>P JB Cold Soldering</t>
        </is>
      </c>
      <c r="V2356" s="19" t="inlineStr">
        <is>
          <t>Soldering</t>
        </is>
      </c>
      <c r="W2356" s="3" t="inlineStr">
        <is>
          <t>Repair</t>
        </is>
      </c>
      <c r="X2356" s="18" t="n">
        <v>46170</v>
      </c>
      <c r="Y2356" s="73">
        <f>IF(X2356="","",X2356-A2356)</f>
        <v/>
      </c>
      <c r="Z2356" s="18" t="n">
        <v>46170</v>
      </c>
      <c r="AA2356" s="15" t="n"/>
      <c r="AB2356" s="15" t="n"/>
      <c r="AF2356">
        <f>IF(AND($F2356="Closed",$X2356&gt;=DATE(2026,5,1),$X2356&lt;=DATE(2026,5,31)),"Closed in May","Other")</f>
        <v/>
      </c>
    </row>
    <row r="2357">
      <c r="A2357" s="37" t="n">
        <v>46143</v>
      </c>
      <c r="B2357" s="3" t="n">
        <v>2026</v>
      </c>
      <c r="C2357" s="26" t="inlineStr">
        <is>
          <t>Yanara Power</t>
        </is>
      </c>
      <c r="D2357" s="3" t="inlineStr">
        <is>
          <t>Utility and C&amp;I</t>
        </is>
      </c>
      <c r="E2357" s="3" t="n"/>
      <c r="F2357" s="3" t="inlineStr">
        <is>
          <t>Closed</t>
        </is>
      </c>
      <c r="G2357" s="9" t="inlineStr">
        <is>
          <t xml:space="preserve">Ashish Jindal </t>
        </is>
      </c>
      <c r="H2357" s="26" t="n">
        <v>9983975581</v>
      </c>
      <c r="I2357" s="38" t="inlineStr">
        <is>
          <t>PE01052601</t>
        </is>
      </c>
      <c r="J2357" s="26" t="inlineStr">
        <is>
          <t>Multiple Issues</t>
        </is>
      </c>
      <c r="K2357" s="39" t="inlineStr">
        <is>
          <t>Holi</t>
        </is>
      </c>
      <c r="L2357" s="39" t="inlineStr">
        <is>
          <t>Maharashtra</t>
        </is>
      </c>
      <c r="M2357" s="46" t="inlineStr">
        <is>
          <t>NS</t>
        </is>
      </c>
      <c r="N2357" s="3" t="inlineStr">
        <is>
          <t>Cold Soldering</t>
        </is>
      </c>
      <c r="O2357" s="56" t="n">
        <v>575</v>
      </c>
      <c r="P2357" s="46" t="inlineStr">
        <is>
          <t>NSMI24070165330</t>
        </is>
      </c>
      <c r="Q2357" s="54">
        <f>MID(P2357,5,2)</f>
        <v/>
      </c>
      <c r="R2357" s="53">
        <f>MID(P2357,7,2)</f>
        <v/>
      </c>
      <c r="S2357" s="3" t="inlineStr">
        <is>
          <t>G2G</t>
        </is>
      </c>
      <c r="T2357" s="3" t="inlineStr">
        <is>
          <t>P4</t>
        </is>
      </c>
      <c r="U2357" s="3" t="inlineStr">
        <is>
          <t>N JB Cold Soldering</t>
        </is>
      </c>
      <c r="V2357" s="3" t="inlineStr">
        <is>
          <t>Soldering</t>
        </is>
      </c>
      <c r="W2357" s="3" t="inlineStr">
        <is>
          <t>Repair</t>
        </is>
      </c>
      <c r="X2357" s="18" t="n">
        <v>46170</v>
      </c>
      <c r="Y2357" s="73">
        <f>IF(X2357="","",X2357-A2357)</f>
        <v/>
      </c>
      <c r="Z2357" s="18" t="n">
        <v>46170</v>
      </c>
      <c r="AA2357" s="15" t="n"/>
      <c r="AB2357" s="15" t="n"/>
      <c r="AF2357">
        <f>IF(AND($F2357="Closed",$X2357&gt;=DATE(2026,5,1),$X2357&lt;=DATE(2026,5,31)),"Closed in May","Other")</f>
        <v/>
      </c>
    </row>
    <row r="2358">
      <c r="A2358" s="37" t="n">
        <v>46143</v>
      </c>
      <c r="B2358" s="3" t="n">
        <v>2026</v>
      </c>
      <c r="C2358" s="26" t="inlineStr">
        <is>
          <t>Yanara Power</t>
        </is>
      </c>
      <c r="D2358" s="3" t="inlineStr">
        <is>
          <t>Utility and C&amp;I</t>
        </is>
      </c>
      <c r="E2358" s="3" t="n"/>
      <c r="F2358" s="3" t="inlineStr">
        <is>
          <t>Closed</t>
        </is>
      </c>
      <c r="G2358" s="9" t="inlineStr">
        <is>
          <t xml:space="preserve">Ashish Jindal </t>
        </is>
      </c>
      <c r="H2358" s="26" t="n">
        <v>9983975581</v>
      </c>
      <c r="I2358" s="38" t="inlineStr">
        <is>
          <t>PE01052601</t>
        </is>
      </c>
      <c r="J2358" s="26" t="inlineStr">
        <is>
          <t>Multiple Issues</t>
        </is>
      </c>
      <c r="K2358" s="39" t="inlineStr">
        <is>
          <t>Holi</t>
        </is>
      </c>
      <c r="L2358" s="39" t="inlineStr">
        <is>
          <t>Maharashtra</t>
        </is>
      </c>
      <c r="M2358" s="46" t="inlineStr">
        <is>
          <t>PS</t>
        </is>
      </c>
      <c r="N2358" s="3" t="inlineStr">
        <is>
          <t>Cold Soldering</t>
        </is>
      </c>
      <c r="O2358" s="56" t="n">
        <v>575</v>
      </c>
      <c r="P2358" s="46" t="inlineStr">
        <is>
          <t>NSMI24070165393</t>
        </is>
      </c>
      <c r="Q2358" s="54">
        <f>MID(P2358,5,2)</f>
        <v/>
      </c>
      <c r="R2358" s="53">
        <f>MID(P2358,7,2)</f>
        <v/>
      </c>
      <c r="S2358" s="3" t="inlineStr">
        <is>
          <t>G2G</t>
        </is>
      </c>
      <c r="T2358" s="3" t="inlineStr">
        <is>
          <t>P4</t>
        </is>
      </c>
      <c r="U2358" s="19" t="inlineStr">
        <is>
          <t>P JB Cold Soldering</t>
        </is>
      </c>
      <c r="V2358" s="19" t="inlineStr">
        <is>
          <t>Soldering</t>
        </is>
      </c>
      <c r="W2358" s="3" t="inlineStr">
        <is>
          <t>Repair</t>
        </is>
      </c>
      <c r="X2358" s="18" t="n">
        <v>46170</v>
      </c>
      <c r="Y2358" s="73">
        <f>IF(X2358="","",X2358-A2358)</f>
        <v/>
      </c>
      <c r="Z2358" s="18" t="n">
        <v>46170</v>
      </c>
      <c r="AA2358" s="15" t="n"/>
      <c r="AB2358" s="15" t="n"/>
      <c r="AF2358">
        <f>IF(AND($F2358="Closed",$X2358&gt;=DATE(2026,5,1),$X2358&lt;=DATE(2026,5,31)),"Closed in May","Other")</f>
        <v/>
      </c>
    </row>
    <row r="2359">
      <c r="A2359" s="37" t="n">
        <v>46143</v>
      </c>
      <c r="B2359" s="3" t="n">
        <v>2026</v>
      </c>
      <c r="C2359" s="26" t="inlineStr">
        <is>
          <t>Yanara Power</t>
        </is>
      </c>
      <c r="D2359" s="3" t="inlineStr">
        <is>
          <t>Utility and C&amp;I</t>
        </is>
      </c>
      <c r="E2359" s="3" t="n"/>
      <c r="F2359" s="3" t="inlineStr">
        <is>
          <t>Closed</t>
        </is>
      </c>
      <c r="G2359" s="9" t="inlineStr">
        <is>
          <t xml:space="preserve">Ashish Jindal </t>
        </is>
      </c>
      <c r="H2359" s="26" t="n">
        <v>9983975581</v>
      </c>
      <c r="I2359" s="38" t="inlineStr">
        <is>
          <t>PE01052601</t>
        </is>
      </c>
      <c r="J2359" s="26" t="inlineStr">
        <is>
          <t>Multiple Issues</t>
        </is>
      </c>
      <c r="K2359" s="39" t="inlineStr">
        <is>
          <t>Holi</t>
        </is>
      </c>
      <c r="L2359" s="39" t="inlineStr">
        <is>
          <t>Maharashtra</t>
        </is>
      </c>
      <c r="M2359" s="46" t="inlineStr">
        <is>
          <t>PS</t>
        </is>
      </c>
      <c r="N2359" s="3" t="inlineStr">
        <is>
          <t>Cold Soldering</t>
        </is>
      </c>
      <c r="O2359" s="56" t="n">
        <v>575</v>
      </c>
      <c r="P2359" s="46" t="inlineStr">
        <is>
          <t>NSMI24070165407</t>
        </is>
      </c>
      <c r="Q2359" s="54">
        <f>MID(P2359,5,2)</f>
        <v/>
      </c>
      <c r="R2359" s="53">
        <f>MID(P2359,7,2)</f>
        <v/>
      </c>
      <c r="S2359" s="3" t="inlineStr">
        <is>
          <t>G2G</t>
        </is>
      </c>
      <c r="T2359" s="3" t="inlineStr">
        <is>
          <t>P4</t>
        </is>
      </c>
      <c r="U2359" s="19" t="inlineStr">
        <is>
          <t>P JB Cold Soldering</t>
        </is>
      </c>
      <c r="V2359" s="19" t="inlineStr">
        <is>
          <t>Soldering</t>
        </is>
      </c>
      <c r="W2359" s="3" t="inlineStr">
        <is>
          <t>Repair</t>
        </is>
      </c>
      <c r="X2359" s="18" t="n">
        <v>46170</v>
      </c>
      <c r="Y2359" s="73">
        <f>IF(X2359="","",X2359-A2359)</f>
        <v/>
      </c>
      <c r="Z2359" s="18" t="n">
        <v>46170</v>
      </c>
      <c r="AA2359" s="15" t="n"/>
      <c r="AB2359" s="15" t="n"/>
      <c r="AF2359">
        <f>IF(AND($F2359="Closed",$X2359&gt;=DATE(2026,5,1),$X2359&lt;=DATE(2026,5,31)),"Closed in May","Other")</f>
        <v/>
      </c>
    </row>
    <row r="2360">
      <c r="A2360" s="37" t="n">
        <v>46143</v>
      </c>
      <c r="B2360" s="3" t="n">
        <v>2026</v>
      </c>
      <c r="C2360" s="26" t="inlineStr">
        <is>
          <t>Yanara Power</t>
        </is>
      </c>
      <c r="D2360" s="3" t="inlineStr">
        <is>
          <t>Utility and C&amp;I</t>
        </is>
      </c>
      <c r="E2360" s="3" t="n"/>
      <c r="F2360" s="3" t="inlineStr">
        <is>
          <t>Closed</t>
        </is>
      </c>
      <c r="G2360" s="9" t="inlineStr">
        <is>
          <t xml:space="preserve">Ashish Jindal </t>
        </is>
      </c>
      <c r="H2360" s="26" t="n">
        <v>9983975581</v>
      </c>
      <c r="I2360" s="38" t="inlineStr">
        <is>
          <t>PE01052601</t>
        </is>
      </c>
      <c r="J2360" s="26" t="inlineStr">
        <is>
          <t>Multiple Issues</t>
        </is>
      </c>
      <c r="K2360" s="39" t="inlineStr">
        <is>
          <t>Holi</t>
        </is>
      </c>
      <c r="L2360" s="39" t="inlineStr">
        <is>
          <t>Maharashtra</t>
        </is>
      </c>
      <c r="M2360" s="46" t="inlineStr">
        <is>
          <t>PS</t>
        </is>
      </c>
      <c r="N2360" s="3" t="inlineStr">
        <is>
          <t>Cold Soldering</t>
        </is>
      </c>
      <c r="O2360" s="56" t="n">
        <v>575</v>
      </c>
      <c r="P2360" s="46" t="inlineStr">
        <is>
          <t>NSMI24070165626</t>
        </is>
      </c>
      <c r="Q2360" s="54">
        <f>MID(P2360,5,2)</f>
        <v/>
      </c>
      <c r="R2360" s="53">
        <f>MID(P2360,7,2)</f>
        <v/>
      </c>
      <c r="S2360" s="3" t="inlineStr">
        <is>
          <t>G2G</t>
        </is>
      </c>
      <c r="T2360" s="3" t="inlineStr">
        <is>
          <t>P4</t>
        </is>
      </c>
      <c r="U2360" s="19" t="inlineStr">
        <is>
          <t>P JB Cold Soldering</t>
        </is>
      </c>
      <c r="V2360" s="19" t="inlineStr">
        <is>
          <t>Soldering</t>
        </is>
      </c>
      <c r="W2360" s="3" t="inlineStr">
        <is>
          <t>Repair</t>
        </is>
      </c>
      <c r="X2360" s="18" t="n">
        <v>46170</v>
      </c>
      <c r="Y2360" s="73">
        <f>IF(X2360="","",X2360-A2360)</f>
        <v/>
      </c>
      <c r="Z2360" s="18" t="n">
        <v>46170</v>
      </c>
      <c r="AA2360" s="15" t="n"/>
      <c r="AB2360" s="15" t="n"/>
      <c r="AF2360">
        <f>IF(AND($F2360="Closed",$X2360&gt;=DATE(2026,5,1),$X2360&lt;=DATE(2026,5,31)),"Closed in May","Other")</f>
        <v/>
      </c>
    </row>
    <row r="2361">
      <c r="A2361" s="37" t="n">
        <v>46143</v>
      </c>
      <c r="B2361" s="3" t="n">
        <v>2026</v>
      </c>
      <c r="C2361" s="26" t="inlineStr">
        <is>
          <t>Yanara Power</t>
        </is>
      </c>
      <c r="D2361" s="3" t="inlineStr">
        <is>
          <t>Utility and C&amp;I</t>
        </is>
      </c>
      <c r="E2361" s="3" t="n"/>
      <c r="F2361" s="3" t="inlineStr">
        <is>
          <t>Closed</t>
        </is>
      </c>
      <c r="G2361" s="9" t="inlineStr">
        <is>
          <t xml:space="preserve">Ashish Jindal </t>
        </is>
      </c>
      <c r="H2361" s="26" t="n">
        <v>9983975581</v>
      </c>
      <c r="I2361" s="38" t="inlineStr">
        <is>
          <t>PE01052601</t>
        </is>
      </c>
      <c r="J2361" s="26" t="inlineStr">
        <is>
          <t>Multiple Issues</t>
        </is>
      </c>
      <c r="K2361" s="39" t="inlineStr">
        <is>
          <t>Holi</t>
        </is>
      </c>
      <c r="L2361" s="39" t="inlineStr">
        <is>
          <t>Maharashtra</t>
        </is>
      </c>
      <c r="M2361" s="46" t="inlineStr">
        <is>
          <t>PS</t>
        </is>
      </c>
      <c r="N2361" s="3" t="inlineStr">
        <is>
          <t>Cold Soldering</t>
        </is>
      </c>
      <c r="O2361" s="56" t="n">
        <v>575</v>
      </c>
      <c r="P2361" s="46" t="inlineStr">
        <is>
          <t>NSMI24070237612</t>
        </is>
      </c>
      <c r="Q2361" s="54">
        <f>MID(P2361,5,2)</f>
        <v/>
      </c>
      <c r="R2361" s="53">
        <f>MID(P2361,7,2)</f>
        <v/>
      </c>
      <c r="S2361" s="3" t="inlineStr">
        <is>
          <t>G2G</t>
        </is>
      </c>
      <c r="T2361" s="3" t="inlineStr">
        <is>
          <t>P4</t>
        </is>
      </c>
      <c r="U2361" s="19" t="inlineStr">
        <is>
          <t>P JB Cold Soldering</t>
        </is>
      </c>
      <c r="V2361" s="19" t="inlineStr">
        <is>
          <t>Soldering</t>
        </is>
      </c>
      <c r="W2361" s="3" t="inlineStr">
        <is>
          <t>Repair</t>
        </is>
      </c>
      <c r="X2361" s="18" t="n">
        <v>46170</v>
      </c>
      <c r="Y2361" s="73">
        <f>IF(X2361="","",X2361-A2361)</f>
        <v/>
      </c>
      <c r="Z2361" s="18" t="n">
        <v>46170</v>
      </c>
      <c r="AA2361" s="15" t="n"/>
      <c r="AB2361" s="15" t="n"/>
      <c r="AF2361">
        <f>IF(AND($F2361="Closed",$X2361&gt;=DATE(2026,5,1),$X2361&lt;=DATE(2026,5,31)),"Closed in May","Other")</f>
        <v/>
      </c>
    </row>
    <row r="2362">
      <c r="A2362" s="37" t="n">
        <v>46143</v>
      </c>
      <c r="B2362" s="3" t="n">
        <v>2026</v>
      </c>
      <c r="C2362" s="26" t="inlineStr">
        <is>
          <t>Yanara Power</t>
        </is>
      </c>
      <c r="D2362" s="3" t="inlineStr">
        <is>
          <t>Utility and C&amp;I</t>
        </is>
      </c>
      <c r="E2362" s="3" t="n"/>
      <c r="F2362" s="3" t="inlineStr">
        <is>
          <t>Closed</t>
        </is>
      </c>
      <c r="G2362" s="9" t="inlineStr">
        <is>
          <t xml:space="preserve">Ashish Jindal </t>
        </is>
      </c>
      <c r="H2362" s="26" t="n">
        <v>9983975581</v>
      </c>
      <c r="I2362" s="38" t="inlineStr">
        <is>
          <t>PE01052601</t>
        </is>
      </c>
      <c r="J2362" s="26" t="inlineStr">
        <is>
          <t>Multiple Issues</t>
        </is>
      </c>
      <c r="K2362" s="39" t="inlineStr">
        <is>
          <t>Holi</t>
        </is>
      </c>
      <c r="L2362" s="39" t="inlineStr">
        <is>
          <t>Maharashtra</t>
        </is>
      </c>
      <c r="M2362" s="46" t="inlineStr">
        <is>
          <t>PS</t>
        </is>
      </c>
      <c r="N2362" s="3" t="inlineStr">
        <is>
          <t>Cold Soldering</t>
        </is>
      </c>
      <c r="O2362" s="56" t="n">
        <v>575</v>
      </c>
      <c r="P2362" s="46" t="inlineStr">
        <is>
          <t>NSMI24070199906</t>
        </is>
      </c>
      <c r="Q2362" s="54">
        <f>MID(P2362,5,2)</f>
        <v/>
      </c>
      <c r="R2362" s="53">
        <f>MID(P2362,7,2)</f>
        <v/>
      </c>
      <c r="S2362" s="3" t="inlineStr">
        <is>
          <t>G2G</t>
        </is>
      </c>
      <c r="T2362" s="3" t="inlineStr">
        <is>
          <t>P4</t>
        </is>
      </c>
      <c r="U2362" s="19" t="inlineStr">
        <is>
          <t>P JB Cold Soldering</t>
        </is>
      </c>
      <c r="V2362" s="19" t="inlineStr">
        <is>
          <t>Soldering</t>
        </is>
      </c>
      <c r="W2362" s="3" t="inlineStr">
        <is>
          <t>Repair</t>
        </is>
      </c>
      <c r="X2362" s="18" t="n">
        <v>46170</v>
      </c>
      <c r="Y2362" s="73">
        <f>IF(X2362="","",X2362-A2362)</f>
        <v/>
      </c>
      <c r="Z2362" s="18" t="n">
        <v>46170</v>
      </c>
      <c r="AA2362" s="15" t="n"/>
      <c r="AB2362" s="15" t="n"/>
      <c r="AF2362">
        <f>IF(AND($F2362="Closed",$X2362&gt;=DATE(2026,5,1),$X2362&lt;=DATE(2026,5,31)),"Closed in May","Other")</f>
        <v/>
      </c>
    </row>
    <row r="2363">
      <c r="A2363" s="37" t="n">
        <v>46143</v>
      </c>
      <c r="B2363" s="3" t="n">
        <v>2026</v>
      </c>
      <c r="C2363" s="26" t="inlineStr">
        <is>
          <t>Yanara Power</t>
        </is>
      </c>
      <c r="D2363" s="3" t="inlineStr">
        <is>
          <t>Utility and C&amp;I</t>
        </is>
      </c>
      <c r="E2363" s="3" t="n"/>
      <c r="F2363" s="3" t="inlineStr">
        <is>
          <t>Closed</t>
        </is>
      </c>
      <c r="G2363" s="9" t="inlineStr">
        <is>
          <t xml:space="preserve">Ashish Jindal </t>
        </is>
      </c>
      <c r="H2363" s="26" t="n">
        <v>9983975581</v>
      </c>
      <c r="I2363" s="38" t="inlineStr">
        <is>
          <t>PE01052601</t>
        </is>
      </c>
      <c r="J2363" s="26" t="inlineStr">
        <is>
          <t>Multiple Issues</t>
        </is>
      </c>
      <c r="K2363" s="39" t="inlineStr">
        <is>
          <t>Holi</t>
        </is>
      </c>
      <c r="L2363" s="39" t="inlineStr">
        <is>
          <t>Maharashtra</t>
        </is>
      </c>
      <c r="M2363" s="46" t="inlineStr">
        <is>
          <t>NS</t>
        </is>
      </c>
      <c r="N2363" s="3" t="inlineStr">
        <is>
          <t>Cold Soldering</t>
        </is>
      </c>
      <c r="O2363" s="56" t="n">
        <v>575</v>
      </c>
      <c r="P2363" s="46" t="inlineStr">
        <is>
          <t>NSMI24070190728</t>
        </is>
      </c>
      <c r="Q2363" s="54">
        <f>MID(P2363,5,2)</f>
        <v/>
      </c>
      <c r="R2363" s="53">
        <f>MID(P2363,7,2)</f>
        <v/>
      </c>
      <c r="S2363" s="3" t="inlineStr">
        <is>
          <t>G2G</t>
        </is>
      </c>
      <c r="T2363" s="3" t="inlineStr">
        <is>
          <t>P4</t>
        </is>
      </c>
      <c r="U2363" s="3" t="inlineStr">
        <is>
          <t>N JB Cold Soldering</t>
        </is>
      </c>
      <c r="V2363" s="3" t="inlineStr">
        <is>
          <t>Soldering</t>
        </is>
      </c>
      <c r="W2363" s="3" t="inlineStr">
        <is>
          <t>Repair</t>
        </is>
      </c>
      <c r="X2363" s="18" t="n">
        <v>46170</v>
      </c>
      <c r="Y2363" s="73">
        <f>IF(X2363="","",X2363-A2363)</f>
        <v/>
      </c>
      <c r="Z2363" s="18" t="n">
        <v>46170</v>
      </c>
      <c r="AA2363" s="15" t="n"/>
      <c r="AB2363" s="15" t="n"/>
      <c r="AF2363">
        <f>IF(AND($F2363="Closed",$X2363&gt;=DATE(2026,5,1),$X2363&lt;=DATE(2026,5,31)),"Closed in May","Other")</f>
        <v/>
      </c>
    </row>
    <row r="2364">
      <c r="A2364" s="37" t="n">
        <v>46143</v>
      </c>
      <c r="B2364" s="3" t="n">
        <v>2026</v>
      </c>
      <c r="C2364" s="26" t="inlineStr">
        <is>
          <t>Yanara Power</t>
        </is>
      </c>
      <c r="D2364" s="3" t="inlineStr">
        <is>
          <t>Utility and C&amp;I</t>
        </is>
      </c>
      <c r="E2364" s="3" t="n"/>
      <c r="F2364" s="3" t="inlineStr">
        <is>
          <t>Closed</t>
        </is>
      </c>
      <c r="G2364" s="9" t="inlineStr">
        <is>
          <t xml:space="preserve">Ashish Jindal </t>
        </is>
      </c>
      <c r="H2364" s="26" t="n">
        <v>9983975581</v>
      </c>
      <c r="I2364" s="38" t="inlineStr">
        <is>
          <t>PE01052601</t>
        </is>
      </c>
      <c r="J2364" s="26" t="inlineStr">
        <is>
          <t>Multiple Issues</t>
        </is>
      </c>
      <c r="K2364" s="39" t="inlineStr">
        <is>
          <t>Holi</t>
        </is>
      </c>
      <c r="L2364" s="39" t="inlineStr">
        <is>
          <t>Maharashtra</t>
        </is>
      </c>
      <c r="M2364" s="46" t="inlineStr">
        <is>
          <t>PS</t>
        </is>
      </c>
      <c r="N2364" s="3" t="inlineStr">
        <is>
          <t>Cold Soldering</t>
        </is>
      </c>
      <c r="O2364" s="56" t="n">
        <v>575</v>
      </c>
      <c r="P2364" s="46" t="inlineStr">
        <is>
          <t>NSMI24070200709</t>
        </is>
      </c>
      <c r="Q2364" s="54">
        <f>MID(P2364,5,2)</f>
        <v/>
      </c>
      <c r="R2364" s="53">
        <f>MID(P2364,7,2)</f>
        <v/>
      </c>
      <c r="S2364" s="3" t="inlineStr">
        <is>
          <t>G2G</t>
        </is>
      </c>
      <c r="T2364" s="3" t="inlineStr">
        <is>
          <t>P4</t>
        </is>
      </c>
      <c r="U2364" s="19" t="inlineStr">
        <is>
          <t>P JB Cold Soldering</t>
        </is>
      </c>
      <c r="V2364" s="19" t="inlineStr">
        <is>
          <t>Soldering</t>
        </is>
      </c>
      <c r="W2364" s="3" t="inlineStr">
        <is>
          <t>Repair</t>
        </is>
      </c>
      <c r="X2364" s="18" t="n">
        <v>46170</v>
      </c>
      <c r="Y2364" s="73">
        <f>IF(X2364="","",X2364-A2364)</f>
        <v/>
      </c>
      <c r="Z2364" s="18" t="n">
        <v>46170</v>
      </c>
      <c r="AA2364" s="15" t="n"/>
      <c r="AB2364" s="15" t="n"/>
      <c r="AF2364">
        <f>IF(AND($F2364="Closed",$X2364&gt;=DATE(2026,5,1),$X2364&lt;=DATE(2026,5,31)),"Closed in May","Other")</f>
        <v/>
      </c>
    </row>
    <row r="2365">
      <c r="A2365" s="37" t="n">
        <v>46143</v>
      </c>
      <c r="B2365" s="3" t="n">
        <v>2026</v>
      </c>
      <c r="C2365" s="26" t="inlineStr">
        <is>
          <t>Yanara Power</t>
        </is>
      </c>
      <c r="D2365" s="3" t="inlineStr">
        <is>
          <t>Utility and C&amp;I</t>
        </is>
      </c>
      <c r="E2365" s="3" t="n"/>
      <c r="F2365" s="3" t="inlineStr">
        <is>
          <t>Closed</t>
        </is>
      </c>
      <c r="G2365" s="9" t="inlineStr">
        <is>
          <t xml:space="preserve">Ashish Jindal </t>
        </is>
      </c>
      <c r="H2365" s="26" t="n">
        <v>9983975581</v>
      </c>
      <c r="I2365" s="38" t="inlineStr">
        <is>
          <t>PE01052601</t>
        </is>
      </c>
      <c r="J2365" s="26" t="inlineStr">
        <is>
          <t>Multiple Issues</t>
        </is>
      </c>
      <c r="K2365" s="39" t="inlineStr">
        <is>
          <t>Holi</t>
        </is>
      </c>
      <c r="L2365" s="39" t="inlineStr">
        <is>
          <t>Maharashtra</t>
        </is>
      </c>
      <c r="M2365" s="46" t="inlineStr">
        <is>
          <t>PS</t>
        </is>
      </c>
      <c r="N2365" s="3" t="inlineStr">
        <is>
          <t>Cold Soldering</t>
        </is>
      </c>
      <c r="O2365" s="56" t="n">
        <v>575</v>
      </c>
      <c r="P2365" s="46" t="inlineStr">
        <is>
          <t>NSMI24070165478</t>
        </is>
      </c>
      <c r="Q2365" s="54">
        <f>MID(P2365,5,2)</f>
        <v/>
      </c>
      <c r="R2365" s="53">
        <f>MID(P2365,7,2)</f>
        <v/>
      </c>
      <c r="S2365" s="3" t="inlineStr">
        <is>
          <t>G2G</t>
        </is>
      </c>
      <c r="T2365" s="3" t="inlineStr">
        <is>
          <t>P4</t>
        </is>
      </c>
      <c r="U2365" s="19" t="inlineStr">
        <is>
          <t>P JB Cold Soldering</t>
        </is>
      </c>
      <c r="V2365" s="19" t="inlineStr">
        <is>
          <t>Soldering</t>
        </is>
      </c>
      <c r="W2365" s="3" t="inlineStr">
        <is>
          <t>Repair</t>
        </is>
      </c>
      <c r="X2365" s="18" t="n">
        <v>46170</v>
      </c>
      <c r="Y2365" s="73">
        <f>IF(X2365="","",X2365-A2365)</f>
        <v/>
      </c>
      <c r="Z2365" s="18" t="n">
        <v>46170</v>
      </c>
      <c r="AA2365" s="15" t="n"/>
      <c r="AB2365" s="15" t="n"/>
      <c r="AF2365">
        <f>IF(AND($F2365="Closed",$X2365&gt;=DATE(2026,5,1),$X2365&lt;=DATE(2026,5,31)),"Closed in May","Other")</f>
        <v/>
      </c>
    </row>
    <row r="2366">
      <c r="A2366" s="37" t="n">
        <v>46143</v>
      </c>
      <c r="B2366" s="3" t="n">
        <v>2026</v>
      </c>
      <c r="C2366" s="26" t="inlineStr">
        <is>
          <t>Yanara Power</t>
        </is>
      </c>
      <c r="D2366" s="3" t="inlineStr">
        <is>
          <t>Utility and C&amp;I</t>
        </is>
      </c>
      <c r="E2366" s="3" t="n"/>
      <c r="F2366" s="3" t="inlineStr">
        <is>
          <t>Closed</t>
        </is>
      </c>
      <c r="G2366" s="9" t="inlineStr">
        <is>
          <t xml:space="preserve">Ashish Jindal </t>
        </is>
      </c>
      <c r="H2366" s="26" t="n">
        <v>9983975581</v>
      </c>
      <c r="I2366" s="38" t="inlineStr">
        <is>
          <t>PE01052601</t>
        </is>
      </c>
      <c r="J2366" s="26" t="inlineStr">
        <is>
          <t>Multiple Issues</t>
        </is>
      </c>
      <c r="K2366" s="39" t="inlineStr">
        <is>
          <t>Holi</t>
        </is>
      </c>
      <c r="L2366" s="39" t="inlineStr">
        <is>
          <t>Maharashtra</t>
        </is>
      </c>
      <c r="M2366" s="46" t="inlineStr">
        <is>
          <t>NS</t>
        </is>
      </c>
      <c r="N2366" s="3" t="inlineStr">
        <is>
          <t>Cold Soldering</t>
        </is>
      </c>
      <c r="O2366" s="56" t="n">
        <v>575</v>
      </c>
      <c r="P2366" s="46" t="inlineStr">
        <is>
          <t>NSMI24070165461</t>
        </is>
      </c>
      <c r="Q2366" s="54">
        <f>MID(P2366,5,2)</f>
        <v/>
      </c>
      <c r="R2366" s="53">
        <f>MID(P2366,7,2)</f>
        <v/>
      </c>
      <c r="S2366" s="3" t="inlineStr">
        <is>
          <t>G2G</t>
        </is>
      </c>
      <c r="T2366" s="3" t="inlineStr">
        <is>
          <t>P4</t>
        </is>
      </c>
      <c r="U2366" s="3" t="inlineStr">
        <is>
          <t>N JB Cold Soldering</t>
        </is>
      </c>
      <c r="V2366" s="3" t="inlineStr">
        <is>
          <t>Soldering</t>
        </is>
      </c>
      <c r="W2366" s="3" t="inlineStr">
        <is>
          <t>Repair</t>
        </is>
      </c>
      <c r="X2366" s="18" t="n">
        <v>46170</v>
      </c>
      <c r="Y2366" s="73">
        <f>IF(X2366="","",X2366-A2366)</f>
        <v/>
      </c>
      <c r="Z2366" s="18" t="n">
        <v>46170</v>
      </c>
      <c r="AA2366" s="15" t="n"/>
      <c r="AB2366" s="15" t="n"/>
      <c r="AF2366">
        <f>IF(AND($F2366="Closed",$X2366&gt;=DATE(2026,5,1),$X2366&lt;=DATE(2026,5,31)),"Closed in May","Other")</f>
        <v/>
      </c>
    </row>
    <row r="2367">
      <c r="A2367" s="37" t="n">
        <v>46143</v>
      </c>
      <c r="B2367" s="3" t="n">
        <v>2026</v>
      </c>
      <c r="C2367" s="26" t="inlineStr">
        <is>
          <t>Yanara Power</t>
        </is>
      </c>
      <c r="D2367" s="3" t="inlineStr">
        <is>
          <t>Utility and C&amp;I</t>
        </is>
      </c>
      <c r="E2367" s="3" t="n"/>
      <c r="F2367" s="3" t="inlineStr">
        <is>
          <t>Closed</t>
        </is>
      </c>
      <c r="G2367" s="9" t="inlineStr">
        <is>
          <t xml:space="preserve">Ashish Jindal </t>
        </is>
      </c>
      <c r="H2367" s="26" t="n">
        <v>9983975581</v>
      </c>
      <c r="I2367" s="38" t="inlineStr">
        <is>
          <t>PE01052601</t>
        </is>
      </c>
      <c r="J2367" s="26" t="inlineStr">
        <is>
          <t>Multiple Issues</t>
        </is>
      </c>
      <c r="K2367" s="39" t="inlineStr">
        <is>
          <t>Holi</t>
        </is>
      </c>
      <c r="L2367" s="39" t="inlineStr">
        <is>
          <t>Maharashtra</t>
        </is>
      </c>
      <c r="M2367" s="46" t="inlineStr">
        <is>
          <t>PS</t>
        </is>
      </c>
      <c r="N2367" s="3" t="inlineStr">
        <is>
          <t>Cold Soldering</t>
        </is>
      </c>
      <c r="O2367" s="56" t="n">
        <v>575</v>
      </c>
      <c r="P2367" s="46" t="inlineStr">
        <is>
          <t>NSMI24070165431</t>
        </is>
      </c>
      <c r="Q2367" s="54">
        <f>MID(P2367,5,2)</f>
        <v/>
      </c>
      <c r="R2367" s="53">
        <f>MID(P2367,7,2)</f>
        <v/>
      </c>
      <c r="S2367" s="3" t="inlineStr">
        <is>
          <t>G2G</t>
        </is>
      </c>
      <c r="T2367" s="3" t="inlineStr">
        <is>
          <t>P4</t>
        </is>
      </c>
      <c r="U2367" s="19" t="inlineStr">
        <is>
          <t>P JB Cold Soldering</t>
        </is>
      </c>
      <c r="V2367" s="19" t="inlineStr">
        <is>
          <t>Soldering</t>
        </is>
      </c>
      <c r="W2367" s="3" t="inlineStr">
        <is>
          <t>Repair</t>
        </is>
      </c>
      <c r="X2367" s="18" t="n">
        <v>46170</v>
      </c>
      <c r="Y2367" s="73">
        <f>IF(X2367="","",X2367-A2367)</f>
        <v/>
      </c>
      <c r="Z2367" s="18" t="n">
        <v>46170</v>
      </c>
      <c r="AA2367" s="15" t="n"/>
      <c r="AB2367" s="15" t="n"/>
      <c r="AF2367">
        <f>IF(AND($F2367="Closed",$X2367&gt;=DATE(2026,5,1),$X2367&lt;=DATE(2026,5,31)),"Closed in May","Other")</f>
        <v/>
      </c>
    </row>
    <row r="2368">
      <c r="A2368" s="37" t="n">
        <v>46143</v>
      </c>
      <c r="B2368" s="3" t="n">
        <v>2026</v>
      </c>
      <c r="C2368" s="26" t="inlineStr">
        <is>
          <t>Yanara Power</t>
        </is>
      </c>
      <c r="D2368" s="3" t="inlineStr">
        <is>
          <t>Utility and C&amp;I</t>
        </is>
      </c>
      <c r="E2368" s="3" t="n"/>
      <c r="F2368" s="3" t="inlineStr">
        <is>
          <t>Closed</t>
        </is>
      </c>
      <c r="G2368" s="9" t="inlineStr">
        <is>
          <t xml:space="preserve">Ashish Jindal </t>
        </is>
      </c>
      <c r="H2368" s="26" t="n">
        <v>9983975581</v>
      </c>
      <c r="I2368" s="38" t="inlineStr">
        <is>
          <t>PE01052601</t>
        </is>
      </c>
      <c r="J2368" s="26" t="inlineStr">
        <is>
          <t>Multiple Issues</t>
        </is>
      </c>
      <c r="K2368" s="39" t="inlineStr">
        <is>
          <t>Holi</t>
        </is>
      </c>
      <c r="L2368" s="39" t="inlineStr">
        <is>
          <t>Maharashtra</t>
        </is>
      </c>
      <c r="M2368" s="46" t="inlineStr">
        <is>
          <t>NS</t>
        </is>
      </c>
      <c r="N2368" s="3" t="inlineStr">
        <is>
          <t>Cold Soldering</t>
        </is>
      </c>
      <c r="O2368" s="56" t="n">
        <v>575</v>
      </c>
      <c r="P2368" s="46" t="inlineStr">
        <is>
          <t>NSMI24070221772</t>
        </is>
      </c>
      <c r="Q2368" s="54">
        <f>MID(P2368,5,2)</f>
        <v/>
      </c>
      <c r="R2368" s="53">
        <f>MID(P2368,7,2)</f>
        <v/>
      </c>
      <c r="S2368" s="3" t="inlineStr">
        <is>
          <t>G2G</t>
        </is>
      </c>
      <c r="T2368" s="3" t="inlineStr">
        <is>
          <t>P4</t>
        </is>
      </c>
      <c r="U2368" s="3" t="inlineStr">
        <is>
          <t>N JB Cold Soldering</t>
        </is>
      </c>
      <c r="V2368" s="3" t="inlineStr">
        <is>
          <t>Soldering</t>
        </is>
      </c>
      <c r="W2368" s="3" t="inlineStr">
        <is>
          <t>Repair</t>
        </is>
      </c>
      <c r="X2368" s="18" t="n">
        <v>46170</v>
      </c>
      <c r="Y2368" s="73">
        <f>IF(X2368="","",X2368-A2368)</f>
        <v/>
      </c>
      <c r="Z2368" s="18" t="n">
        <v>46170</v>
      </c>
      <c r="AA2368" s="15" t="n"/>
      <c r="AB2368" s="15" t="n"/>
      <c r="AF2368">
        <f>IF(AND($F2368="Closed",$X2368&gt;=DATE(2026,5,1),$X2368&lt;=DATE(2026,5,31)),"Closed in May","Other")</f>
        <v/>
      </c>
    </row>
    <row r="2369">
      <c r="A2369" s="37" t="n">
        <v>46143</v>
      </c>
      <c r="B2369" s="3" t="n">
        <v>2026</v>
      </c>
      <c r="C2369" s="26" t="inlineStr">
        <is>
          <t>Yanara Power</t>
        </is>
      </c>
      <c r="D2369" s="3" t="inlineStr">
        <is>
          <t>Utility and C&amp;I</t>
        </is>
      </c>
      <c r="E2369" s="3" t="n"/>
      <c r="F2369" s="3" t="inlineStr">
        <is>
          <t>Closed</t>
        </is>
      </c>
      <c r="G2369" s="9" t="inlineStr">
        <is>
          <t xml:space="preserve">Ashish Jindal </t>
        </is>
      </c>
      <c r="H2369" s="26" t="n">
        <v>9983975581</v>
      </c>
      <c r="I2369" s="38" t="inlineStr">
        <is>
          <t>PE01052601</t>
        </is>
      </c>
      <c r="J2369" s="26" t="inlineStr">
        <is>
          <t>Multiple Issues</t>
        </is>
      </c>
      <c r="K2369" s="39" t="inlineStr">
        <is>
          <t>Holi</t>
        </is>
      </c>
      <c r="L2369" s="39" t="inlineStr">
        <is>
          <t>Maharashtra</t>
        </is>
      </c>
      <c r="M2369" s="46" t="inlineStr">
        <is>
          <t>PS</t>
        </is>
      </c>
      <c r="N2369" s="3" t="inlineStr">
        <is>
          <t>Cold Soldering</t>
        </is>
      </c>
      <c r="O2369" s="56" t="n">
        <v>575</v>
      </c>
      <c r="P2369" s="46" t="inlineStr">
        <is>
          <t>NSMI24070165427</t>
        </is>
      </c>
      <c r="Q2369" s="54">
        <f>MID(P2369,5,2)</f>
        <v/>
      </c>
      <c r="R2369" s="53">
        <f>MID(P2369,7,2)</f>
        <v/>
      </c>
      <c r="S2369" s="3" t="inlineStr">
        <is>
          <t>G2G</t>
        </is>
      </c>
      <c r="T2369" s="3" t="inlineStr">
        <is>
          <t>P4</t>
        </is>
      </c>
      <c r="U2369" s="19" t="inlineStr">
        <is>
          <t>P JB Cold Soldering</t>
        </is>
      </c>
      <c r="V2369" s="19" t="inlineStr">
        <is>
          <t>Soldering</t>
        </is>
      </c>
      <c r="W2369" s="3" t="inlineStr">
        <is>
          <t>Repair</t>
        </is>
      </c>
      <c r="X2369" s="18" t="n">
        <v>46170</v>
      </c>
      <c r="Y2369" s="73">
        <f>IF(X2369="","",X2369-A2369)</f>
        <v/>
      </c>
      <c r="Z2369" s="18" t="n">
        <v>46170</v>
      </c>
      <c r="AA2369" s="15" t="n"/>
      <c r="AB2369" s="15" t="n"/>
      <c r="AF2369">
        <f>IF(AND($F2369="Closed",$X2369&gt;=DATE(2026,5,1),$X2369&lt;=DATE(2026,5,31)),"Closed in May","Other")</f>
        <v/>
      </c>
    </row>
    <row r="2370">
      <c r="A2370" s="37" t="n">
        <v>46143</v>
      </c>
      <c r="B2370" s="3" t="n">
        <v>2026</v>
      </c>
      <c r="C2370" s="26" t="inlineStr">
        <is>
          <t>Yanara Power</t>
        </is>
      </c>
      <c r="D2370" s="3" t="inlineStr">
        <is>
          <t>Utility and C&amp;I</t>
        </is>
      </c>
      <c r="E2370" s="3" t="n"/>
      <c r="F2370" s="3" t="inlineStr">
        <is>
          <t>Closed</t>
        </is>
      </c>
      <c r="G2370" s="9" t="inlineStr">
        <is>
          <t xml:space="preserve">Ashish Jindal </t>
        </is>
      </c>
      <c r="H2370" s="26" t="n">
        <v>9983975581</v>
      </c>
      <c r="I2370" s="38" t="inlineStr">
        <is>
          <t>PE01052601</t>
        </is>
      </c>
      <c r="J2370" s="26" t="inlineStr">
        <is>
          <t>Multiple Issues</t>
        </is>
      </c>
      <c r="K2370" s="39" t="inlineStr">
        <is>
          <t>Holi</t>
        </is>
      </c>
      <c r="L2370" s="39" t="inlineStr">
        <is>
          <t>Maharashtra</t>
        </is>
      </c>
      <c r="M2370" s="46" t="inlineStr">
        <is>
          <t>PS</t>
        </is>
      </c>
      <c r="N2370" s="3" t="inlineStr">
        <is>
          <t>Cold Soldering</t>
        </is>
      </c>
      <c r="O2370" s="56" t="n">
        <v>575</v>
      </c>
      <c r="P2370" s="46" t="inlineStr">
        <is>
          <t>NSMI24070165521</t>
        </is>
      </c>
      <c r="Q2370" s="54">
        <f>MID(P2370,5,2)</f>
        <v/>
      </c>
      <c r="R2370" s="53">
        <f>MID(P2370,7,2)</f>
        <v/>
      </c>
      <c r="S2370" s="3" t="inlineStr">
        <is>
          <t>G2G</t>
        </is>
      </c>
      <c r="T2370" s="3" t="inlineStr">
        <is>
          <t>P4</t>
        </is>
      </c>
      <c r="U2370" s="19" t="inlineStr">
        <is>
          <t>P JB Cold Soldering</t>
        </is>
      </c>
      <c r="V2370" s="19" t="inlineStr">
        <is>
          <t>Soldering</t>
        </is>
      </c>
      <c r="W2370" s="3" t="inlineStr">
        <is>
          <t>Repair</t>
        </is>
      </c>
      <c r="X2370" s="18" t="n">
        <v>46170</v>
      </c>
      <c r="Y2370" s="73">
        <f>IF(X2370="","",X2370-A2370)</f>
        <v/>
      </c>
      <c r="Z2370" s="18" t="n">
        <v>46170</v>
      </c>
      <c r="AA2370" s="15" t="n"/>
      <c r="AB2370" s="15" t="n"/>
      <c r="AF2370">
        <f>IF(AND($F2370="Closed",$X2370&gt;=DATE(2026,5,1),$X2370&lt;=DATE(2026,5,31)),"Closed in May","Other")</f>
        <v/>
      </c>
    </row>
    <row r="2371">
      <c r="A2371" s="37" t="n">
        <v>46143</v>
      </c>
      <c r="B2371" s="3" t="n">
        <v>2026</v>
      </c>
      <c r="C2371" s="26" t="inlineStr">
        <is>
          <t>Yanara Power</t>
        </is>
      </c>
      <c r="D2371" s="3" t="inlineStr">
        <is>
          <t>Utility and C&amp;I</t>
        </is>
      </c>
      <c r="E2371" s="3" t="n"/>
      <c r="F2371" s="3" t="inlineStr">
        <is>
          <t>Closed</t>
        </is>
      </c>
      <c r="G2371" s="9" t="inlineStr">
        <is>
          <t xml:space="preserve">Ashish Jindal </t>
        </is>
      </c>
      <c r="H2371" s="26" t="n">
        <v>9983975581</v>
      </c>
      <c r="I2371" s="38" t="inlineStr">
        <is>
          <t>PE01052601</t>
        </is>
      </c>
      <c r="J2371" s="26" t="inlineStr">
        <is>
          <t>Multiple Issues</t>
        </is>
      </c>
      <c r="K2371" s="39" t="inlineStr">
        <is>
          <t>Holi</t>
        </is>
      </c>
      <c r="L2371" s="39" t="inlineStr">
        <is>
          <t>Maharashtra</t>
        </is>
      </c>
      <c r="M2371" s="46" t="inlineStr">
        <is>
          <t>PS</t>
        </is>
      </c>
      <c r="N2371" s="3" t="inlineStr">
        <is>
          <t>Cold Soldering</t>
        </is>
      </c>
      <c r="O2371" s="56" t="n">
        <v>575</v>
      </c>
      <c r="P2371" s="46" t="inlineStr">
        <is>
          <t>NSMI24070165457</t>
        </is>
      </c>
      <c r="Q2371" s="54">
        <f>MID(P2371,5,2)</f>
        <v/>
      </c>
      <c r="R2371" s="53">
        <f>MID(P2371,7,2)</f>
        <v/>
      </c>
      <c r="S2371" s="3" t="inlineStr">
        <is>
          <t>G2G</t>
        </is>
      </c>
      <c r="T2371" s="3" t="inlineStr">
        <is>
          <t>P4</t>
        </is>
      </c>
      <c r="U2371" s="19" t="inlineStr">
        <is>
          <t>P JB Cold Soldering</t>
        </is>
      </c>
      <c r="V2371" s="19" t="inlineStr">
        <is>
          <t>Soldering</t>
        </is>
      </c>
      <c r="W2371" s="3" t="inlineStr">
        <is>
          <t>Repair</t>
        </is>
      </c>
      <c r="X2371" s="18" t="n">
        <v>46170</v>
      </c>
      <c r="Y2371" s="73">
        <f>IF(X2371="","",X2371-A2371)</f>
        <v/>
      </c>
      <c r="Z2371" s="18" t="n">
        <v>46170</v>
      </c>
      <c r="AA2371" s="15" t="n"/>
      <c r="AB2371" s="15" t="n"/>
      <c r="AF2371">
        <f>IF(AND($F2371="Closed",$X2371&gt;=DATE(2026,5,1),$X2371&lt;=DATE(2026,5,31)),"Closed in May","Other")</f>
        <v/>
      </c>
    </row>
    <row r="2372">
      <c r="A2372" s="37" t="n">
        <v>46143</v>
      </c>
      <c r="B2372" s="3" t="n">
        <v>2026</v>
      </c>
      <c r="C2372" s="26" t="inlineStr">
        <is>
          <t>Yanara Power</t>
        </is>
      </c>
      <c r="D2372" s="3" t="inlineStr">
        <is>
          <t>Utility and C&amp;I</t>
        </is>
      </c>
      <c r="E2372" s="3" t="n"/>
      <c r="F2372" s="3" t="inlineStr">
        <is>
          <t>Closed</t>
        </is>
      </c>
      <c r="G2372" s="9" t="inlineStr">
        <is>
          <t xml:space="preserve">Ashish Jindal </t>
        </is>
      </c>
      <c r="H2372" s="26" t="n">
        <v>9983975581</v>
      </c>
      <c r="I2372" s="38" t="inlineStr">
        <is>
          <t>PE01052601</t>
        </is>
      </c>
      <c r="J2372" s="26" t="inlineStr">
        <is>
          <t>Multiple Issues</t>
        </is>
      </c>
      <c r="K2372" s="39" t="inlineStr">
        <is>
          <t>Holi</t>
        </is>
      </c>
      <c r="L2372" s="39" t="inlineStr">
        <is>
          <t>Maharashtra</t>
        </is>
      </c>
      <c r="M2372" s="46" t="inlineStr">
        <is>
          <t>PR</t>
        </is>
      </c>
      <c r="N2372" s="3" t="inlineStr">
        <is>
          <t>JB Issue</t>
        </is>
      </c>
      <c r="O2372" s="56" t="n">
        <v>575</v>
      </c>
      <c r="P2372" s="46" t="inlineStr">
        <is>
          <t>NSMI24070166093</t>
        </is>
      </c>
      <c r="Q2372" s="54">
        <f>MID(P2372,5,2)</f>
        <v/>
      </c>
      <c r="R2372" s="53">
        <f>MID(P2372,7,2)</f>
        <v/>
      </c>
      <c r="S2372" s="3" t="inlineStr">
        <is>
          <t>G2G</t>
        </is>
      </c>
      <c r="T2372" s="3" t="inlineStr">
        <is>
          <t>P4</t>
        </is>
      </c>
      <c r="U2372" s="3" t="inlineStr">
        <is>
          <t>P JB Issue</t>
        </is>
      </c>
      <c r="V2372" s="15" t="inlineStr">
        <is>
          <t>JB Changed</t>
        </is>
      </c>
      <c r="W2372" s="3" t="inlineStr">
        <is>
          <t>Repair</t>
        </is>
      </c>
      <c r="X2372" s="18" t="n">
        <v>46170</v>
      </c>
      <c r="Y2372" s="73">
        <f>IF(X2372="","",X2372-A2372)</f>
        <v/>
      </c>
      <c r="Z2372" s="18" t="n">
        <v>46170</v>
      </c>
      <c r="AA2372" s="15" t="n"/>
      <c r="AB2372" s="15" t="n"/>
      <c r="AF2372">
        <f>IF(AND($F2372="Closed",$X2372&gt;=DATE(2026,5,1),$X2372&lt;=DATE(2026,5,31)),"Closed in May","Other")</f>
        <v/>
      </c>
    </row>
    <row r="2373">
      <c r="A2373" s="37" t="n">
        <v>46143</v>
      </c>
      <c r="B2373" s="3" t="n">
        <v>2026</v>
      </c>
      <c r="C2373" s="26" t="inlineStr">
        <is>
          <t>Yanara Power</t>
        </is>
      </c>
      <c r="D2373" s="3" t="inlineStr">
        <is>
          <t>Utility and C&amp;I</t>
        </is>
      </c>
      <c r="E2373" s="3" t="n"/>
      <c r="F2373" s="3" t="inlineStr">
        <is>
          <t>Closed</t>
        </is>
      </c>
      <c r="G2373" s="9" t="inlineStr">
        <is>
          <t xml:space="preserve">Ashish Jindal </t>
        </is>
      </c>
      <c r="H2373" s="26" t="n">
        <v>9983975581</v>
      </c>
      <c r="I2373" s="38" t="inlineStr">
        <is>
          <t>PE01052601</t>
        </is>
      </c>
      <c r="J2373" s="26" t="inlineStr">
        <is>
          <t>Multiple Issues</t>
        </is>
      </c>
      <c r="K2373" s="39" t="inlineStr">
        <is>
          <t>Holi</t>
        </is>
      </c>
      <c r="L2373" s="39" t="inlineStr">
        <is>
          <t>Maharashtra</t>
        </is>
      </c>
      <c r="M2373" s="46" t="inlineStr">
        <is>
          <t>NR</t>
        </is>
      </c>
      <c r="N2373" s="3" t="inlineStr">
        <is>
          <t>JB Issue</t>
        </is>
      </c>
      <c r="O2373" s="56" t="n">
        <v>575</v>
      </c>
      <c r="P2373" s="46" t="inlineStr">
        <is>
          <t>NSMI24070165999</t>
        </is>
      </c>
      <c r="Q2373" s="54">
        <f>MID(P2373,5,2)</f>
        <v/>
      </c>
      <c r="R2373" s="53">
        <f>MID(P2373,7,2)</f>
        <v/>
      </c>
      <c r="S2373" s="3" t="inlineStr">
        <is>
          <t>G2G</t>
        </is>
      </c>
      <c r="T2373" s="3" t="inlineStr">
        <is>
          <t>P4</t>
        </is>
      </c>
      <c r="U2373" s="3" t="inlineStr">
        <is>
          <t>N JB Issue</t>
        </is>
      </c>
      <c r="V2373" s="3" t="inlineStr">
        <is>
          <t>JB Changed</t>
        </is>
      </c>
      <c r="W2373" s="3" t="inlineStr">
        <is>
          <t>Repair</t>
        </is>
      </c>
      <c r="X2373" s="18" t="n">
        <v>46170</v>
      </c>
      <c r="Y2373" s="73">
        <f>IF(X2373="","",X2373-A2373)</f>
        <v/>
      </c>
      <c r="Z2373" s="18" t="n">
        <v>46170</v>
      </c>
      <c r="AA2373" s="15" t="n"/>
      <c r="AB2373" s="15" t="n"/>
      <c r="AF2373">
        <f>IF(AND($F2373="Closed",$X2373&gt;=DATE(2026,5,1),$X2373&lt;=DATE(2026,5,31)),"Closed in May","Other")</f>
        <v/>
      </c>
    </row>
    <row r="2374">
      <c r="A2374" s="37" t="n">
        <v>46143</v>
      </c>
      <c r="B2374" s="3" t="n">
        <v>2026</v>
      </c>
      <c r="C2374" s="26" t="inlineStr">
        <is>
          <t>Yanara Power</t>
        </is>
      </c>
      <c r="D2374" s="3" t="inlineStr">
        <is>
          <t>Utility and C&amp;I</t>
        </is>
      </c>
      <c r="E2374" s="3" t="n"/>
      <c r="F2374" s="3" t="inlineStr">
        <is>
          <t>Closed</t>
        </is>
      </c>
      <c r="G2374" s="9" t="inlineStr">
        <is>
          <t xml:space="preserve">Ashish Jindal </t>
        </is>
      </c>
      <c r="H2374" s="26" t="n">
        <v>9983975581</v>
      </c>
      <c r="I2374" s="38" t="inlineStr">
        <is>
          <t>PE01052601</t>
        </is>
      </c>
      <c r="J2374" s="26" t="inlineStr">
        <is>
          <t>Multiple Issues</t>
        </is>
      </c>
      <c r="K2374" s="39" t="inlineStr">
        <is>
          <t>Holi</t>
        </is>
      </c>
      <c r="L2374" s="39" t="inlineStr">
        <is>
          <t>Maharashtra</t>
        </is>
      </c>
      <c r="M2374" s="46" t="inlineStr">
        <is>
          <t>PNS</t>
        </is>
      </c>
      <c r="N2374" s="3" t="inlineStr">
        <is>
          <t>Cold Soldering</t>
        </is>
      </c>
      <c r="O2374" s="56" t="n">
        <v>575</v>
      </c>
      <c r="P2374" s="46" t="inlineStr">
        <is>
          <t>NSMI24070204402</t>
        </is>
      </c>
      <c r="Q2374" s="54">
        <f>MID(P2374,5,2)</f>
        <v/>
      </c>
      <c r="R2374" s="53">
        <f>MID(P2374,7,2)</f>
        <v/>
      </c>
      <c r="S2374" s="3" t="inlineStr">
        <is>
          <t>G2G</t>
        </is>
      </c>
      <c r="T2374" s="3" t="inlineStr">
        <is>
          <t>P4</t>
        </is>
      </c>
      <c r="U2374" s="3" t="inlineStr">
        <is>
          <t>P &amp; N JB Cold Soldering</t>
        </is>
      </c>
      <c r="V2374" s="3" t="inlineStr">
        <is>
          <t>Soldering</t>
        </is>
      </c>
      <c r="W2374" s="3" t="inlineStr">
        <is>
          <t>Repair</t>
        </is>
      </c>
      <c r="X2374" s="18" t="n">
        <v>46170</v>
      </c>
      <c r="Y2374" s="73">
        <f>IF(X2374="","",X2374-A2374)</f>
        <v/>
      </c>
      <c r="Z2374" s="18" t="n">
        <v>46170</v>
      </c>
      <c r="AA2374" s="15" t="n"/>
      <c r="AB2374" s="15" t="n"/>
      <c r="AF2374">
        <f>IF(AND($F2374="Closed",$X2374&gt;=DATE(2026,5,1),$X2374&lt;=DATE(2026,5,31)),"Closed in May","Other")</f>
        <v/>
      </c>
    </row>
    <row r="2375">
      <c r="A2375" s="37" t="n">
        <v>46143</v>
      </c>
      <c r="B2375" s="3" t="n">
        <v>2026</v>
      </c>
      <c r="C2375" s="26" t="inlineStr">
        <is>
          <t>Yanara Power</t>
        </is>
      </c>
      <c r="D2375" s="3" t="inlineStr">
        <is>
          <t>Utility and C&amp;I</t>
        </is>
      </c>
      <c r="E2375" s="3" t="n"/>
      <c r="F2375" s="3" t="inlineStr">
        <is>
          <t>Closed</t>
        </is>
      </c>
      <c r="G2375" s="9" t="inlineStr">
        <is>
          <t xml:space="preserve">Ashish Jindal </t>
        </is>
      </c>
      <c r="H2375" s="26" t="n">
        <v>9983975581</v>
      </c>
      <c r="I2375" s="38" t="inlineStr">
        <is>
          <t>PE01052601</t>
        </is>
      </c>
      <c r="J2375" s="26" t="inlineStr">
        <is>
          <t>Multiple Issues</t>
        </is>
      </c>
      <c r="K2375" s="39" t="inlineStr">
        <is>
          <t>Holi</t>
        </is>
      </c>
      <c r="L2375" s="39" t="inlineStr">
        <is>
          <t>Maharashtra</t>
        </is>
      </c>
      <c r="M2375" s="46" t="inlineStr">
        <is>
          <t>PS</t>
        </is>
      </c>
      <c r="N2375" s="3" t="inlineStr">
        <is>
          <t>Cold Soldering</t>
        </is>
      </c>
      <c r="O2375" s="56" t="n">
        <v>575</v>
      </c>
      <c r="P2375" s="46" t="inlineStr">
        <is>
          <t>NSMI24070204462</t>
        </is>
      </c>
      <c r="Q2375" s="54">
        <f>MID(P2375,5,2)</f>
        <v/>
      </c>
      <c r="R2375" s="53">
        <f>MID(P2375,7,2)</f>
        <v/>
      </c>
      <c r="S2375" s="3" t="inlineStr">
        <is>
          <t>G2G</t>
        </is>
      </c>
      <c r="T2375" s="3" t="inlineStr">
        <is>
          <t>P4</t>
        </is>
      </c>
      <c r="U2375" s="19" t="inlineStr">
        <is>
          <t>P JB Cold Soldering</t>
        </is>
      </c>
      <c r="V2375" s="19" t="inlineStr">
        <is>
          <t>Soldering</t>
        </is>
      </c>
      <c r="W2375" s="3" t="inlineStr">
        <is>
          <t>Repair</t>
        </is>
      </c>
      <c r="X2375" s="18" t="n">
        <v>46170</v>
      </c>
      <c r="Y2375" s="73">
        <f>IF(X2375="","",X2375-A2375)</f>
        <v/>
      </c>
      <c r="Z2375" s="18" t="n">
        <v>46170</v>
      </c>
      <c r="AA2375" s="15" t="n"/>
      <c r="AB2375" s="15" t="n"/>
      <c r="AF2375">
        <f>IF(AND($F2375="Closed",$X2375&gt;=DATE(2026,5,1),$X2375&lt;=DATE(2026,5,31)),"Closed in May","Other")</f>
        <v/>
      </c>
    </row>
    <row r="2376">
      <c r="A2376" s="37" t="n">
        <v>46143</v>
      </c>
      <c r="B2376" s="3" t="n">
        <v>2026</v>
      </c>
      <c r="C2376" s="26" t="inlineStr">
        <is>
          <t>Yanara Power</t>
        </is>
      </c>
      <c r="D2376" s="3" t="inlineStr">
        <is>
          <t>Utility and C&amp;I</t>
        </is>
      </c>
      <c r="E2376" s="3" t="n"/>
      <c r="F2376" s="3" t="inlineStr">
        <is>
          <t>Closed</t>
        </is>
      </c>
      <c r="G2376" s="9" t="inlineStr">
        <is>
          <t xml:space="preserve">Ashish Jindal </t>
        </is>
      </c>
      <c r="H2376" s="26" t="n">
        <v>9983975581</v>
      </c>
      <c r="I2376" s="38" t="inlineStr">
        <is>
          <t>PE01052601</t>
        </is>
      </c>
      <c r="J2376" s="26" t="inlineStr">
        <is>
          <t>Multiple Issues</t>
        </is>
      </c>
      <c r="K2376" s="39" t="inlineStr">
        <is>
          <t>Holi</t>
        </is>
      </c>
      <c r="L2376" s="39" t="inlineStr">
        <is>
          <t>Maharashtra</t>
        </is>
      </c>
      <c r="M2376" s="46" t="inlineStr">
        <is>
          <t>PS</t>
        </is>
      </c>
      <c r="N2376" s="3" t="inlineStr">
        <is>
          <t>Cold Soldering</t>
        </is>
      </c>
      <c r="O2376" s="56" t="n">
        <v>575</v>
      </c>
      <c r="P2376" s="46" t="inlineStr">
        <is>
          <t>NSMI24070178514</t>
        </is>
      </c>
      <c r="Q2376" s="54">
        <f>MID(P2376,5,2)</f>
        <v/>
      </c>
      <c r="R2376" s="53">
        <f>MID(P2376,7,2)</f>
        <v/>
      </c>
      <c r="S2376" s="3" t="inlineStr">
        <is>
          <t>G2G</t>
        </is>
      </c>
      <c r="T2376" s="3" t="inlineStr">
        <is>
          <t>P4</t>
        </is>
      </c>
      <c r="U2376" s="19" t="inlineStr">
        <is>
          <t>P JB Cold Soldering</t>
        </is>
      </c>
      <c r="V2376" s="19" t="inlineStr">
        <is>
          <t>Soldering</t>
        </is>
      </c>
      <c r="W2376" s="3" t="inlineStr">
        <is>
          <t>Repair</t>
        </is>
      </c>
      <c r="X2376" s="18" t="n">
        <v>46170</v>
      </c>
      <c r="Y2376" s="73">
        <f>IF(X2376="","",X2376-A2376)</f>
        <v/>
      </c>
      <c r="Z2376" s="18" t="n">
        <v>46170</v>
      </c>
      <c r="AA2376" s="15" t="n"/>
      <c r="AB2376" s="15" t="n"/>
      <c r="AF2376">
        <f>IF(AND($F2376="Closed",$X2376&gt;=DATE(2026,5,1),$X2376&lt;=DATE(2026,5,31)),"Closed in May","Other")</f>
        <v/>
      </c>
    </row>
    <row r="2377">
      <c r="A2377" s="37" t="n">
        <v>46143</v>
      </c>
      <c r="B2377" s="3" t="n">
        <v>2026</v>
      </c>
      <c r="C2377" s="26" t="inlineStr">
        <is>
          <t>Yanara Power</t>
        </is>
      </c>
      <c r="D2377" s="3" t="inlineStr">
        <is>
          <t>Utility and C&amp;I</t>
        </is>
      </c>
      <c r="E2377" s="3" t="n"/>
      <c r="F2377" s="3" t="inlineStr">
        <is>
          <t>Closed</t>
        </is>
      </c>
      <c r="G2377" s="9" t="inlineStr">
        <is>
          <t xml:space="preserve">Ashish Jindal </t>
        </is>
      </c>
      <c r="H2377" s="26" t="n">
        <v>9983975581</v>
      </c>
      <c r="I2377" s="38" t="inlineStr">
        <is>
          <t>PE01052601</t>
        </is>
      </c>
      <c r="J2377" s="26" t="inlineStr">
        <is>
          <t>Multiple Issues</t>
        </is>
      </c>
      <c r="K2377" s="39" t="inlineStr">
        <is>
          <t>Holi</t>
        </is>
      </c>
      <c r="L2377" s="39" t="inlineStr">
        <is>
          <t>Maharashtra</t>
        </is>
      </c>
      <c r="M2377" s="46" t="inlineStr">
        <is>
          <t>PS</t>
        </is>
      </c>
      <c r="N2377" s="3" t="inlineStr">
        <is>
          <t>Cold Soldering</t>
        </is>
      </c>
      <c r="O2377" s="56" t="n">
        <v>575</v>
      </c>
      <c r="P2377" s="46" t="inlineStr">
        <is>
          <t>NSMI24070204266</t>
        </is>
      </c>
      <c r="Q2377" s="54">
        <f>MID(P2377,5,2)</f>
        <v/>
      </c>
      <c r="R2377" s="53">
        <f>MID(P2377,7,2)</f>
        <v/>
      </c>
      <c r="S2377" s="3" t="inlineStr">
        <is>
          <t>G2G</t>
        </is>
      </c>
      <c r="T2377" s="3" t="inlineStr">
        <is>
          <t>P4</t>
        </is>
      </c>
      <c r="U2377" s="19" t="inlineStr">
        <is>
          <t>P JB Cold Soldering</t>
        </is>
      </c>
      <c r="V2377" s="19" t="inlineStr">
        <is>
          <t>Soldering</t>
        </is>
      </c>
      <c r="W2377" s="3" t="inlineStr">
        <is>
          <t>Repair</t>
        </is>
      </c>
      <c r="X2377" s="18" t="n">
        <v>46170</v>
      </c>
      <c r="Y2377" s="73">
        <f>IF(X2377="","",X2377-A2377)</f>
        <v/>
      </c>
      <c r="Z2377" s="18" t="n">
        <v>46170</v>
      </c>
      <c r="AA2377" s="15" t="n"/>
      <c r="AB2377" s="15" t="n"/>
      <c r="AF2377">
        <f>IF(AND($F2377="Closed",$X2377&gt;=DATE(2026,5,1),$X2377&lt;=DATE(2026,5,31)),"Closed in May","Other")</f>
        <v/>
      </c>
    </row>
    <row r="2378">
      <c r="A2378" s="37" t="n">
        <v>46143</v>
      </c>
      <c r="B2378" s="3" t="n">
        <v>2026</v>
      </c>
      <c r="C2378" s="26" t="inlineStr">
        <is>
          <t>Yanara Power</t>
        </is>
      </c>
      <c r="D2378" s="3" t="inlineStr">
        <is>
          <t>Utility and C&amp;I</t>
        </is>
      </c>
      <c r="E2378" s="3" t="n"/>
      <c r="F2378" s="3" t="inlineStr">
        <is>
          <t>Closed</t>
        </is>
      </c>
      <c r="G2378" s="9" t="inlineStr">
        <is>
          <t xml:space="preserve">Ashish Jindal </t>
        </is>
      </c>
      <c r="H2378" s="26" t="n">
        <v>9983975581</v>
      </c>
      <c r="I2378" s="38" t="inlineStr">
        <is>
          <t>PE01052601</t>
        </is>
      </c>
      <c r="J2378" s="26" t="inlineStr">
        <is>
          <t>Multiple Issues</t>
        </is>
      </c>
      <c r="K2378" s="39" t="inlineStr">
        <is>
          <t>Holi</t>
        </is>
      </c>
      <c r="L2378" s="39" t="inlineStr">
        <is>
          <t>Maharashtra</t>
        </is>
      </c>
      <c r="M2378" s="46" t="inlineStr">
        <is>
          <t>NS</t>
        </is>
      </c>
      <c r="N2378" s="3" t="inlineStr">
        <is>
          <t>Cold Soldering</t>
        </is>
      </c>
      <c r="O2378" s="56" t="n">
        <v>575</v>
      </c>
      <c r="P2378" s="46" t="inlineStr">
        <is>
          <t>NSMI24070218893</t>
        </is>
      </c>
      <c r="Q2378" s="54">
        <f>MID(P2378,5,2)</f>
        <v/>
      </c>
      <c r="R2378" s="53">
        <f>MID(P2378,7,2)</f>
        <v/>
      </c>
      <c r="S2378" s="3" t="inlineStr">
        <is>
          <t>G2G</t>
        </is>
      </c>
      <c r="T2378" s="3" t="inlineStr">
        <is>
          <t>P4</t>
        </is>
      </c>
      <c r="U2378" s="3" t="inlineStr">
        <is>
          <t>N JB Cold Soldering</t>
        </is>
      </c>
      <c r="V2378" s="3" t="inlineStr">
        <is>
          <t>Soldering</t>
        </is>
      </c>
      <c r="W2378" s="3" t="inlineStr">
        <is>
          <t>Repair</t>
        </is>
      </c>
      <c r="X2378" s="18" t="n">
        <v>46170</v>
      </c>
      <c r="Y2378" s="73">
        <f>IF(X2378="","",X2378-A2378)</f>
        <v/>
      </c>
      <c r="Z2378" s="18" t="n">
        <v>46170</v>
      </c>
      <c r="AA2378" s="15" t="n"/>
      <c r="AB2378" s="15" t="n"/>
      <c r="AF2378">
        <f>IF(AND($F2378="Closed",$X2378&gt;=DATE(2026,5,1),$X2378&lt;=DATE(2026,5,31)),"Closed in May","Other")</f>
        <v/>
      </c>
    </row>
    <row r="2379">
      <c r="A2379" s="37" t="n">
        <v>46143</v>
      </c>
      <c r="B2379" s="3" t="n">
        <v>2026</v>
      </c>
      <c r="C2379" s="26" t="inlineStr">
        <is>
          <t>Yanara Power</t>
        </is>
      </c>
      <c r="D2379" s="3" t="inlineStr">
        <is>
          <t>Utility and C&amp;I</t>
        </is>
      </c>
      <c r="E2379" s="3" t="n"/>
      <c r="F2379" s="3" t="inlineStr">
        <is>
          <t>Closed</t>
        </is>
      </c>
      <c r="G2379" s="9" t="inlineStr">
        <is>
          <t xml:space="preserve">Ashish Jindal </t>
        </is>
      </c>
      <c r="H2379" s="26" t="n">
        <v>9983975581</v>
      </c>
      <c r="I2379" s="38" t="inlineStr">
        <is>
          <t>PE01052601</t>
        </is>
      </c>
      <c r="J2379" s="26" t="inlineStr">
        <is>
          <t>Multiple Issues</t>
        </is>
      </c>
      <c r="K2379" s="39" t="inlineStr">
        <is>
          <t>Holi</t>
        </is>
      </c>
      <c r="L2379" s="39" t="inlineStr">
        <is>
          <t>Maharashtra</t>
        </is>
      </c>
      <c r="M2379" s="46" t="inlineStr">
        <is>
          <t>NS</t>
        </is>
      </c>
      <c r="N2379" s="3" t="inlineStr">
        <is>
          <t>Cold Soldering</t>
        </is>
      </c>
      <c r="O2379" s="56" t="n">
        <v>575</v>
      </c>
      <c r="P2379" s="46" t="inlineStr">
        <is>
          <t>NSMI24070218519</t>
        </is>
      </c>
      <c r="Q2379" s="54">
        <f>MID(P2379,5,2)</f>
        <v/>
      </c>
      <c r="R2379" s="53">
        <f>MID(P2379,7,2)</f>
        <v/>
      </c>
      <c r="S2379" s="3" t="inlineStr">
        <is>
          <t>G2G</t>
        </is>
      </c>
      <c r="T2379" s="3" t="inlineStr">
        <is>
          <t>P4</t>
        </is>
      </c>
      <c r="U2379" s="3" t="inlineStr">
        <is>
          <t>N JB Cold Soldering</t>
        </is>
      </c>
      <c r="V2379" s="3" t="inlineStr">
        <is>
          <t>Soldering</t>
        </is>
      </c>
      <c r="W2379" s="3" t="inlineStr">
        <is>
          <t>Repair</t>
        </is>
      </c>
      <c r="X2379" s="18" t="n">
        <v>46170</v>
      </c>
      <c r="Y2379" s="73">
        <f>IF(X2379="","",X2379-A2379)</f>
        <v/>
      </c>
      <c r="Z2379" s="18" t="n">
        <v>46170</v>
      </c>
      <c r="AA2379" s="15" t="n"/>
      <c r="AB2379" s="15" t="n"/>
      <c r="AF2379">
        <f>IF(AND($F2379="Closed",$X2379&gt;=DATE(2026,5,1),$X2379&lt;=DATE(2026,5,31)),"Closed in May","Other")</f>
        <v/>
      </c>
    </row>
    <row r="2380">
      <c r="A2380" s="37" t="n">
        <v>46143</v>
      </c>
      <c r="B2380" s="3" t="n">
        <v>2026</v>
      </c>
      <c r="C2380" s="26" t="inlineStr">
        <is>
          <t>Yanara Power</t>
        </is>
      </c>
      <c r="D2380" s="3" t="inlineStr">
        <is>
          <t>Utility and C&amp;I</t>
        </is>
      </c>
      <c r="E2380" s="3" t="n"/>
      <c r="F2380" s="3" t="inlineStr">
        <is>
          <t>Closed</t>
        </is>
      </c>
      <c r="G2380" s="9" t="inlineStr">
        <is>
          <t xml:space="preserve">Ashish Jindal </t>
        </is>
      </c>
      <c r="H2380" s="26" t="n">
        <v>9983975581</v>
      </c>
      <c r="I2380" s="38" t="inlineStr">
        <is>
          <t>PE01052601</t>
        </is>
      </c>
      <c r="J2380" s="26" t="inlineStr">
        <is>
          <t>Multiple Issues</t>
        </is>
      </c>
      <c r="K2380" s="39" t="inlineStr">
        <is>
          <t>Holi</t>
        </is>
      </c>
      <c r="L2380" s="39" t="inlineStr">
        <is>
          <t>Maharashtra</t>
        </is>
      </c>
      <c r="M2380" s="46" t="inlineStr">
        <is>
          <t>NS</t>
        </is>
      </c>
      <c r="N2380" s="3" t="inlineStr">
        <is>
          <t>Cold Soldering</t>
        </is>
      </c>
      <c r="O2380" s="56" t="n">
        <v>575</v>
      </c>
      <c r="P2380" s="46" t="inlineStr">
        <is>
          <t>NSMI24070218522</t>
        </is>
      </c>
      <c r="Q2380" s="54">
        <f>MID(P2380,5,2)</f>
        <v/>
      </c>
      <c r="R2380" s="53">
        <f>MID(P2380,7,2)</f>
        <v/>
      </c>
      <c r="S2380" s="3" t="inlineStr">
        <is>
          <t>G2G</t>
        </is>
      </c>
      <c r="T2380" s="3" t="inlineStr">
        <is>
          <t>P4</t>
        </is>
      </c>
      <c r="U2380" s="3" t="inlineStr">
        <is>
          <t>N JB Cold Soldering</t>
        </is>
      </c>
      <c r="V2380" s="3" t="inlineStr">
        <is>
          <t>Soldering</t>
        </is>
      </c>
      <c r="W2380" s="3" t="inlineStr">
        <is>
          <t>Repair</t>
        </is>
      </c>
      <c r="X2380" s="18" t="n">
        <v>46170</v>
      </c>
      <c r="Y2380" s="73">
        <f>IF(X2380="","",X2380-A2380)</f>
        <v/>
      </c>
      <c r="Z2380" s="18" t="n">
        <v>46170</v>
      </c>
      <c r="AA2380" s="15" t="n"/>
      <c r="AB2380" s="15" t="n"/>
      <c r="AF2380">
        <f>IF(AND($F2380="Closed",$X2380&gt;=DATE(2026,5,1),$X2380&lt;=DATE(2026,5,31)),"Closed in May","Other")</f>
        <v/>
      </c>
    </row>
    <row r="2381">
      <c r="A2381" s="37" t="n">
        <v>46143</v>
      </c>
      <c r="B2381" s="3" t="n">
        <v>2026</v>
      </c>
      <c r="C2381" s="26" t="inlineStr">
        <is>
          <t>Yanara Power</t>
        </is>
      </c>
      <c r="D2381" s="3" t="inlineStr">
        <is>
          <t>Utility and C&amp;I</t>
        </is>
      </c>
      <c r="E2381" s="3" t="n"/>
      <c r="F2381" s="3" t="inlineStr">
        <is>
          <t>Closed</t>
        </is>
      </c>
      <c r="G2381" s="9" t="inlineStr">
        <is>
          <t xml:space="preserve">Ashish Jindal </t>
        </is>
      </c>
      <c r="H2381" s="26" t="n">
        <v>9983975581</v>
      </c>
      <c r="I2381" s="38" t="inlineStr">
        <is>
          <t>PE01052601</t>
        </is>
      </c>
      <c r="J2381" s="26" t="inlineStr">
        <is>
          <t>Multiple Issues</t>
        </is>
      </c>
      <c r="K2381" s="39" t="inlineStr">
        <is>
          <t>Holi</t>
        </is>
      </c>
      <c r="L2381" s="39" t="inlineStr">
        <is>
          <t>Maharashtra</t>
        </is>
      </c>
      <c r="M2381" s="46" t="inlineStr">
        <is>
          <t>NS</t>
        </is>
      </c>
      <c r="N2381" s="3" t="inlineStr">
        <is>
          <t>Cold Soldering</t>
        </is>
      </c>
      <c r="O2381" s="56" t="n">
        <v>575</v>
      </c>
      <c r="P2381" s="46" t="inlineStr">
        <is>
          <t>NSMI24070241486</t>
        </is>
      </c>
      <c r="Q2381" s="54">
        <f>MID(P2381,5,2)</f>
        <v/>
      </c>
      <c r="R2381" s="53">
        <f>MID(P2381,7,2)</f>
        <v/>
      </c>
      <c r="S2381" s="3" t="inlineStr">
        <is>
          <t>G2G</t>
        </is>
      </c>
      <c r="T2381" s="3" t="inlineStr">
        <is>
          <t>P4</t>
        </is>
      </c>
      <c r="U2381" s="3" t="inlineStr">
        <is>
          <t>N JB Cold Soldering</t>
        </is>
      </c>
      <c r="V2381" s="3" t="inlineStr">
        <is>
          <t>Soldering</t>
        </is>
      </c>
      <c r="W2381" s="3" t="inlineStr">
        <is>
          <t>Repair</t>
        </is>
      </c>
      <c r="X2381" s="18" t="n">
        <v>46170</v>
      </c>
      <c r="Y2381" s="73">
        <f>IF(X2381="","",X2381-A2381)</f>
        <v/>
      </c>
      <c r="Z2381" s="18" t="n">
        <v>46170</v>
      </c>
      <c r="AA2381" s="15" t="n"/>
      <c r="AB2381" s="15" t="n"/>
      <c r="AF2381">
        <f>IF(AND($F2381="Closed",$X2381&gt;=DATE(2026,5,1),$X2381&lt;=DATE(2026,5,31)),"Closed in May","Other")</f>
        <v/>
      </c>
    </row>
    <row r="2382">
      <c r="A2382" s="37" t="n">
        <v>46143</v>
      </c>
      <c r="B2382" s="3" t="n">
        <v>2026</v>
      </c>
      <c r="C2382" s="26" t="inlineStr">
        <is>
          <t>Yanara Power</t>
        </is>
      </c>
      <c r="D2382" s="3" t="inlineStr">
        <is>
          <t>Utility and C&amp;I</t>
        </is>
      </c>
      <c r="E2382" s="3" t="n"/>
      <c r="F2382" s="3" t="inlineStr">
        <is>
          <t>Closed</t>
        </is>
      </c>
      <c r="G2382" s="9" t="inlineStr">
        <is>
          <t xml:space="preserve">Ashish Jindal </t>
        </is>
      </c>
      <c r="H2382" s="26" t="n">
        <v>9983975581</v>
      </c>
      <c r="I2382" s="38" t="inlineStr">
        <is>
          <t>PE01052601</t>
        </is>
      </c>
      <c r="J2382" s="26" t="inlineStr">
        <is>
          <t>Multiple Issues</t>
        </is>
      </c>
      <c r="K2382" s="39" t="inlineStr">
        <is>
          <t>Holi</t>
        </is>
      </c>
      <c r="L2382" s="39" t="inlineStr">
        <is>
          <t>Maharashtra</t>
        </is>
      </c>
      <c r="M2382" s="46" t="inlineStr">
        <is>
          <t>PS</t>
        </is>
      </c>
      <c r="N2382" s="3" t="inlineStr">
        <is>
          <t>Cold Soldering</t>
        </is>
      </c>
      <c r="O2382" s="56" t="n">
        <v>575</v>
      </c>
      <c r="P2382" s="46" t="inlineStr">
        <is>
          <t>NSMI24070241501</t>
        </is>
      </c>
      <c r="Q2382" s="54">
        <f>MID(P2382,5,2)</f>
        <v/>
      </c>
      <c r="R2382" s="53">
        <f>MID(P2382,7,2)</f>
        <v/>
      </c>
      <c r="S2382" s="3" t="inlineStr">
        <is>
          <t>G2G</t>
        </is>
      </c>
      <c r="T2382" s="3" t="inlineStr">
        <is>
          <t>P4</t>
        </is>
      </c>
      <c r="U2382" s="19" t="inlineStr">
        <is>
          <t>P JB Cold Soldering</t>
        </is>
      </c>
      <c r="V2382" s="19" t="inlineStr">
        <is>
          <t>Soldering</t>
        </is>
      </c>
      <c r="W2382" s="3" t="inlineStr">
        <is>
          <t>Repair</t>
        </is>
      </c>
      <c r="X2382" s="18" t="n">
        <v>46170</v>
      </c>
      <c r="Y2382" s="73">
        <f>IF(X2382="","",X2382-A2382)</f>
        <v/>
      </c>
      <c r="Z2382" s="18" t="n">
        <v>46170</v>
      </c>
      <c r="AA2382" s="15" t="n"/>
      <c r="AB2382" s="15" t="n"/>
      <c r="AF2382">
        <f>IF(AND($F2382="Closed",$X2382&gt;=DATE(2026,5,1),$X2382&lt;=DATE(2026,5,31)),"Closed in May","Other")</f>
        <v/>
      </c>
    </row>
    <row r="2383">
      <c r="A2383" s="37" t="n">
        <v>46143</v>
      </c>
      <c r="B2383" s="3" t="n">
        <v>2026</v>
      </c>
      <c r="C2383" s="26" t="inlineStr">
        <is>
          <t>Yanara Power</t>
        </is>
      </c>
      <c r="D2383" s="3" t="inlineStr">
        <is>
          <t>Utility and C&amp;I</t>
        </is>
      </c>
      <c r="E2383" s="3" t="n"/>
      <c r="F2383" s="3" t="inlineStr">
        <is>
          <t>Closed</t>
        </is>
      </c>
      <c r="G2383" s="9" t="inlineStr">
        <is>
          <t xml:space="preserve">Ashish Jindal </t>
        </is>
      </c>
      <c r="H2383" s="26" t="n">
        <v>9983975581</v>
      </c>
      <c r="I2383" s="38" t="inlineStr">
        <is>
          <t>PE01052601</t>
        </is>
      </c>
      <c r="J2383" s="26" t="inlineStr">
        <is>
          <t>Multiple Issues</t>
        </is>
      </c>
      <c r="K2383" s="39" t="inlineStr">
        <is>
          <t>Holi</t>
        </is>
      </c>
      <c r="L2383" s="39" t="inlineStr">
        <is>
          <t>Maharashtra</t>
        </is>
      </c>
      <c r="M2383" s="46" t="inlineStr">
        <is>
          <t>PS</t>
        </is>
      </c>
      <c r="N2383" s="3" t="inlineStr">
        <is>
          <t>Cold Soldering</t>
        </is>
      </c>
      <c r="O2383" s="56" t="n">
        <v>575</v>
      </c>
      <c r="P2383" s="46" t="inlineStr">
        <is>
          <t>NSMI24070218883</t>
        </is>
      </c>
      <c r="Q2383" s="54">
        <f>MID(P2383,5,2)</f>
        <v/>
      </c>
      <c r="R2383" s="53">
        <f>MID(P2383,7,2)</f>
        <v/>
      </c>
      <c r="S2383" s="3" t="inlineStr">
        <is>
          <t>G2G</t>
        </is>
      </c>
      <c r="T2383" s="3" t="inlineStr">
        <is>
          <t>P4</t>
        </is>
      </c>
      <c r="U2383" s="19" t="inlineStr">
        <is>
          <t>P JB Cold Soldering</t>
        </is>
      </c>
      <c r="V2383" s="19" t="inlineStr">
        <is>
          <t>Soldering</t>
        </is>
      </c>
      <c r="W2383" s="3" t="inlineStr">
        <is>
          <t>Repair</t>
        </is>
      </c>
      <c r="X2383" s="18" t="n">
        <v>46170</v>
      </c>
      <c r="Y2383" s="73">
        <f>IF(X2383="","",X2383-A2383)</f>
        <v/>
      </c>
      <c r="Z2383" s="18" t="n">
        <v>46170</v>
      </c>
      <c r="AA2383" s="15" t="n"/>
      <c r="AB2383" s="15" t="n"/>
      <c r="AF2383">
        <f>IF(AND($F2383="Closed",$X2383&gt;=DATE(2026,5,1),$X2383&lt;=DATE(2026,5,31)),"Closed in May","Other")</f>
        <v/>
      </c>
    </row>
    <row r="2384">
      <c r="A2384" s="37" t="n">
        <v>46143</v>
      </c>
      <c r="B2384" s="3" t="n">
        <v>2026</v>
      </c>
      <c r="C2384" s="26" t="inlineStr">
        <is>
          <t>Yanara Power</t>
        </is>
      </c>
      <c r="D2384" s="3" t="inlineStr">
        <is>
          <t>Utility and C&amp;I</t>
        </is>
      </c>
      <c r="E2384" s="3" t="n"/>
      <c r="F2384" s="3" t="inlineStr">
        <is>
          <t>Closed</t>
        </is>
      </c>
      <c r="G2384" s="9" t="inlineStr">
        <is>
          <t xml:space="preserve">Ashish Jindal </t>
        </is>
      </c>
      <c r="H2384" s="26" t="n">
        <v>9983975581</v>
      </c>
      <c r="I2384" s="38" t="inlineStr">
        <is>
          <t>PE01052601</t>
        </is>
      </c>
      <c r="J2384" s="26" t="inlineStr">
        <is>
          <t>Multiple Issues</t>
        </is>
      </c>
      <c r="K2384" s="39" t="inlineStr">
        <is>
          <t>Holi</t>
        </is>
      </c>
      <c r="L2384" s="39" t="inlineStr">
        <is>
          <t>Maharashtra</t>
        </is>
      </c>
      <c r="M2384" s="46" t="inlineStr">
        <is>
          <t>PS</t>
        </is>
      </c>
      <c r="N2384" s="3" t="inlineStr">
        <is>
          <t>Cold Soldering</t>
        </is>
      </c>
      <c r="O2384" s="56" t="n">
        <v>575</v>
      </c>
      <c r="P2384" s="46" t="inlineStr">
        <is>
          <t>NSMI24070218878</t>
        </is>
      </c>
      <c r="Q2384" s="54">
        <f>MID(P2384,5,2)</f>
        <v/>
      </c>
      <c r="R2384" s="53">
        <f>MID(P2384,7,2)</f>
        <v/>
      </c>
      <c r="S2384" s="3" t="inlineStr">
        <is>
          <t>G2G</t>
        </is>
      </c>
      <c r="T2384" s="3" t="inlineStr">
        <is>
          <t>P4</t>
        </is>
      </c>
      <c r="U2384" s="19" t="inlineStr">
        <is>
          <t>P JB Cold Soldering</t>
        </is>
      </c>
      <c r="V2384" s="19" t="inlineStr">
        <is>
          <t>Soldering</t>
        </is>
      </c>
      <c r="W2384" s="3" t="inlineStr">
        <is>
          <t>Repair</t>
        </is>
      </c>
      <c r="X2384" s="18" t="n">
        <v>46170</v>
      </c>
      <c r="Y2384" s="73">
        <f>IF(X2384="","",X2384-A2384)</f>
        <v/>
      </c>
      <c r="Z2384" s="18" t="n">
        <v>46170</v>
      </c>
      <c r="AA2384" s="15" t="n"/>
      <c r="AB2384" s="15" t="n"/>
      <c r="AF2384">
        <f>IF(AND($F2384="Closed",$X2384&gt;=DATE(2026,5,1),$X2384&lt;=DATE(2026,5,31)),"Closed in May","Other")</f>
        <v/>
      </c>
    </row>
    <row r="2385">
      <c r="A2385" s="37" t="n">
        <v>46143</v>
      </c>
      <c r="B2385" s="3" t="n">
        <v>2026</v>
      </c>
      <c r="C2385" s="26" t="inlineStr">
        <is>
          <t>Yanara Power</t>
        </is>
      </c>
      <c r="D2385" s="3" t="inlineStr">
        <is>
          <t>Utility and C&amp;I</t>
        </is>
      </c>
      <c r="E2385" s="3" t="n"/>
      <c r="F2385" s="3" t="inlineStr">
        <is>
          <t>Closed</t>
        </is>
      </c>
      <c r="G2385" s="9" t="inlineStr">
        <is>
          <t xml:space="preserve">Ashish Jindal </t>
        </is>
      </c>
      <c r="H2385" s="26" t="n">
        <v>9983975581</v>
      </c>
      <c r="I2385" s="38" t="inlineStr">
        <is>
          <t>PE01052601</t>
        </is>
      </c>
      <c r="J2385" s="26" t="inlineStr">
        <is>
          <t>Multiple Issues</t>
        </is>
      </c>
      <c r="K2385" s="39" t="inlineStr">
        <is>
          <t>Holi</t>
        </is>
      </c>
      <c r="L2385" s="39" t="inlineStr">
        <is>
          <t>Maharashtra</t>
        </is>
      </c>
      <c r="M2385" s="46" t="inlineStr">
        <is>
          <t>PS</t>
        </is>
      </c>
      <c r="N2385" s="3" t="inlineStr">
        <is>
          <t>Cold Soldering</t>
        </is>
      </c>
      <c r="O2385" s="56" t="n">
        <v>575</v>
      </c>
      <c r="P2385" s="46" t="inlineStr">
        <is>
          <t>NSMI24070180252</t>
        </is>
      </c>
      <c r="Q2385" s="54">
        <f>MID(P2385,5,2)</f>
        <v/>
      </c>
      <c r="R2385" s="53">
        <f>MID(P2385,7,2)</f>
        <v/>
      </c>
      <c r="S2385" s="3" t="inlineStr">
        <is>
          <t>G2G</t>
        </is>
      </c>
      <c r="T2385" s="3" t="inlineStr">
        <is>
          <t>P4</t>
        </is>
      </c>
      <c r="U2385" s="19" t="inlineStr">
        <is>
          <t>P JB Cold Soldering</t>
        </is>
      </c>
      <c r="V2385" s="19" t="inlineStr">
        <is>
          <t>Soldering</t>
        </is>
      </c>
      <c r="W2385" s="3" t="inlineStr">
        <is>
          <t>Repair</t>
        </is>
      </c>
      <c r="X2385" s="18" t="n">
        <v>46170</v>
      </c>
      <c r="Y2385" s="73">
        <f>IF(X2385="","",X2385-A2385)</f>
        <v/>
      </c>
      <c r="Z2385" s="18" t="n">
        <v>46170</v>
      </c>
      <c r="AA2385" s="15" t="n"/>
      <c r="AB2385" s="15" t="n"/>
      <c r="AF2385">
        <f>IF(AND($F2385="Closed",$X2385&gt;=DATE(2026,5,1),$X2385&lt;=DATE(2026,5,31)),"Closed in May","Other")</f>
        <v/>
      </c>
    </row>
    <row r="2386">
      <c r="A2386" s="37" t="n">
        <v>46143</v>
      </c>
      <c r="B2386" s="3" t="n">
        <v>2026</v>
      </c>
      <c r="C2386" s="26" t="inlineStr">
        <is>
          <t>Yanara Power</t>
        </is>
      </c>
      <c r="D2386" s="3" t="inlineStr">
        <is>
          <t>Utility and C&amp;I</t>
        </is>
      </c>
      <c r="E2386" s="3" t="n"/>
      <c r="F2386" s="3" t="inlineStr">
        <is>
          <t>Closed</t>
        </is>
      </c>
      <c r="G2386" s="9" t="inlineStr">
        <is>
          <t xml:space="preserve">Ashish Jindal </t>
        </is>
      </c>
      <c r="H2386" s="26" t="n">
        <v>9983975581</v>
      </c>
      <c r="I2386" s="38" t="inlineStr">
        <is>
          <t>PE01052601</t>
        </is>
      </c>
      <c r="J2386" s="26" t="inlineStr">
        <is>
          <t>Multiple Issues</t>
        </is>
      </c>
      <c r="K2386" s="39" t="inlineStr">
        <is>
          <t>Holi</t>
        </is>
      </c>
      <c r="L2386" s="39" t="inlineStr">
        <is>
          <t>Maharashtra</t>
        </is>
      </c>
      <c r="M2386" s="46" t="inlineStr">
        <is>
          <t>PS</t>
        </is>
      </c>
      <c r="N2386" s="3" t="inlineStr">
        <is>
          <t>Cold Soldering</t>
        </is>
      </c>
      <c r="O2386" s="56" t="n">
        <v>575</v>
      </c>
      <c r="P2386" s="46" t="inlineStr">
        <is>
          <t>NSMI24070224759</t>
        </is>
      </c>
      <c r="Q2386" s="54">
        <f>MID(P2386,5,2)</f>
        <v/>
      </c>
      <c r="R2386" s="53">
        <f>MID(P2386,7,2)</f>
        <v/>
      </c>
      <c r="S2386" s="3" t="inlineStr">
        <is>
          <t>G2G</t>
        </is>
      </c>
      <c r="T2386" s="3" t="inlineStr">
        <is>
          <t>P4</t>
        </is>
      </c>
      <c r="U2386" s="19" t="inlineStr">
        <is>
          <t>P JB Cold Soldering</t>
        </is>
      </c>
      <c r="V2386" s="19" t="inlineStr">
        <is>
          <t>Soldering</t>
        </is>
      </c>
      <c r="W2386" s="3" t="inlineStr">
        <is>
          <t>Repair</t>
        </is>
      </c>
      <c r="X2386" s="18" t="n">
        <v>46170</v>
      </c>
      <c r="Y2386" s="73">
        <f>IF(X2386="","",X2386-A2386)</f>
        <v/>
      </c>
      <c r="Z2386" s="18" t="n">
        <v>46170</v>
      </c>
      <c r="AA2386" s="15" t="n"/>
      <c r="AB2386" s="15" t="n"/>
      <c r="AF2386">
        <f>IF(AND($F2386="Closed",$X2386&gt;=DATE(2026,5,1),$X2386&lt;=DATE(2026,5,31)),"Closed in May","Other")</f>
        <v/>
      </c>
    </row>
    <row r="2387">
      <c r="A2387" s="37" t="n">
        <v>46143</v>
      </c>
      <c r="B2387" s="3" t="n">
        <v>2026</v>
      </c>
      <c r="C2387" s="26" t="inlineStr">
        <is>
          <t>Yanara Power</t>
        </is>
      </c>
      <c r="D2387" s="3" t="inlineStr">
        <is>
          <t>Utility and C&amp;I</t>
        </is>
      </c>
      <c r="E2387" s="3" t="n"/>
      <c r="F2387" s="3" t="inlineStr">
        <is>
          <t>Closed</t>
        </is>
      </c>
      <c r="G2387" s="9" t="inlineStr">
        <is>
          <t xml:space="preserve">Ashish Jindal </t>
        </is>
      </c>
      <c r="H2387" s="26" t="n">
        <v>9983975581</v>
      </c>
      <c r="I2387" s="38" t="inlineStr">
        <is>
          <t>PE01052601</t>
        </is>
      </c>
      <c r="J2387" s="26" t="inlineStr">
        <is>
          <t>Multiple Issues</t>
        </is>
      </c>
      <c r="K2387" s="39" t="inlineStr">
        <is>
          <t>Holi</t>
        </is>
      </c>
      <c r="L2387" s="39" t="inlineStr">
        <is>
          <t>Maharashtra</t>
        </is>
      </c>
      <c r="M2387" s="46" t="inlineStr">
        <is>
          <t>PS</t>
        </is>
      </c>
      <c r="N2387" s="3" t="inlineStr">
        <is>
          <t>Cold Soldering</t>
        </is>
      </c>
      <c r="O2387" s="56" t="n">
        <v>575</v>
      </c>
      <c r="P2387" s="46" t="inlineStr">
        <is>
          <t>NSMI24070224756</t>
        </is>
      </c>
      <c r="Q2387" s="54">
        <f>MID(P2387,5,2)</f>
        <v/>
      </c>
      <c r="R2387" s="53">
        <f>MID(P2387,7,2)</f>
        <v/>
      </c>
      <c r="S2387" s="3" t="inlineStr">
        <is>
          <t>G2G</t>
        </is>
      </c>
      <c r="T2387" s="3" t="inlineStr">
        <is>
          <t>P4</t>
        </is>
      </c>
      <c r="U2387" s="19" t="inlineStr">
        <is>
          <t>P JB Cold Soldering</t>
        </is>
      </c>
      <c r="V2387" s="19" t="inlineStr">
        <is>
          <t>Soldering</t>
        </is>
      </c>
      <c r="W2387" s="3" t="inlineStr">
        <is>
          <t>Repair</t>
        </is>
      </c>
      <c r="X2387" s="18" t="n">
        <v>46170</v>
      </c>
      <c r="Y2387" s="73">
        <f>IF(X2387="","",X2387-A2387)</f>
        <v/>
      </c>
      <c r="Z2387" s="18" t="n">
        <v>46170</v>
      </c>
      <c r="AA2387" s="15" t="n"/>
      <c r="AB2387" s="15" t="n"/>
      <c r="AF2387">
        <f>IF(AND($F2387="Closed",$X2387&gt;=DATE(2026,5,1),$X2387&lt;=DATE(2026,5,31)),"Closed in May","Other")</f>
        <v/>
      </c>
    </row>
    <row r="2388">
      <c r="A2388" s="37" t="n">
        <v>46143</v>
      </c>
      <c r="B2388" s="3" t="n">
        <v>2026</v>
      </c>
      <c r="C2388" s="26" t="inlineStr">
        <is>
          <t>Yanara Power</t>
        </is>
      </c>
      <c r="D2388" s="3" t="inlineStr">
        <is>
          <t>Utility and C&amp;I</t>
        </is>
      </c>
      <c r="E2388" s="3" t="n"/>
      <c r="F2388" s="3" t="inlineStr">
        <is>
          <t>Closed</t>
        </is>
      </c>
      <c r="G2388" s="9" t="inlineStr">
        <is>
          <t xml:space="preserve">Ashish Jindal </t>
        </is>
      </c>
      <c r="H2388" s="26" t="n">
        <v>9983975581</v>
      </c>
      <c r="I2388" s="38" t="inlineStr">
        <is>
          <t>PE01052601</t>
        </is>
      </c>
      <c r="J2388" s="26" t="inlineStr">
        <is>
          <t>Multiple Issues</t>
        </is>
      </c>
      <c r="K2388" s="39" t="inlineStr">
        <is>
          <t>Holi</t>
        </is>
      </c>
      <c r="L2388" s="39" t="inlineStr">
        <is>
          <t>Maharashtra</t>
        </is>
      </c>
      <c r="M2388" s="46" t="inlineStr">
        <is>
          <t>PS</t>
        </is>
      </c>
      <c r="N2388" s="3" t="inlineStr">
        <is>
          <t>Cold Soldering</t>
        </is>
      </c>
      <c r="O2388" s="56" t="n">
        <v>575</v>
      </c>
      <c r="P2388" s="46" t="inlineStr">
        <is>
          <t>NSMI24070199962</t>
        </is>
      </c>
      <c r="Q2388" s="54">
        <f>MID(P2388,5,2)</f>
        <v/>
      </c>
      <c r="R2388" s="53">
        <f>MID(P2388,7,2)</f>
        <v/>
      </c>
      <c r="S2388" s="3" t="inlineStr">
        <is>
          <t>G2G</t>
        </is>
      </c>
      <c r="T2388" s="3" t="inlineStr">
        <is>
          <t>P4</t>
        </is>
      </c>
      <c r="U2388" s="19" t="inlineStr">
        <is>
          <t>P JB Cold Soldering</t>
        </is>
      </c>
      <c r="V2388" s="19" t="inlineStr">
        <is>
          <t>Soldering</t>
        </is>
      </c>
      <c r="W2388" s="3" t="inlineStr">
        <is>
          <t>Repair</t>
        </is>
      </c>
      <c r="X2388" s="18" t="n">
        <v>46170</v>
      </c>
      <c r="Y2388" s="73">
        <f>IF(X2388="","",X2388-A2388)</f>
        <v/>
      </c>
      <c r="Z2388" s="18" t="n">
        <v>46170</v>
      </c>
      <c r="AA2388" s="15" t="n"/>
      <c r="AB2388" s="15" t="n"/>
      <c r="AF2388">
        <f>IF(AND($F2388="Closed",$X2388&gt;=DATE(2026,5,1),$X2388&lt;=DATE(2026,5,31)),"Closed in May","Other")</f>
        <v/>
      </c>
    </row>
    <row r="2389">
      <c r="A2389" s="37" t="n">
        <v>46143</v>
      </c>
      <c r="B2389" s="3" t="n">
        <v>2026</v>
      </c>
      <c r="C2389" s="26" t="inlineStr">
        <is>
          <t>Yanara Power</t>
        </is>
      </c>
      <c r="D2389" s="3" t="inlineStr">
        <is>
          <t>Utility and C&amp;I</t>
        </is>
      </c>
      <c r="E2389" s="3" t="n"/>
      <c r="F2389" s="3" t="inlineStr">
        <is>
          <t>Closed</t>
        </is>
      </c>
      <c r="G2389" s="9" t="inlineStr">
        <is>
          <t xml:space="preserve">Ashish Jindal </t>
        </is>
      </c>
      <c r="H2389" s="26" t="n">
        <v>9983975581</v>
      </c>
      <c r="I2389" s="38" t="inlineStr">
        <is>
          <t>PE01052601</t>
        </is>
      </c>
      <c r="J2389" s="26" t="inlineStr">
        <is>
          <t>Multiple Issues</t>
        </is>
      </c>
      <c r="K2389" s="39" t="inlineStr">
        <is>
          <t>Holi</t>
        </is>
      </c>
      <c r="L2389" s="39" t="inlineStr">
        <is>
          <t>Maharashtra</t>
        </is>
      </c>
      <c r="M2389" s="46" t="inlineStr">
        <is>
          <t>NS</t>
        </is>
      </c>
      <c r="N2389" s="3" t="inlineStr">
        <is>
          <t>Cold Soldering</t>
        </is>
      </c>
      <c r="O2389" s="56" t="n">
        <v>575</v>
      </c>
      <c r="P2389" s="46" t="inlineStr">
        <is>
          <t>NSMI24070203459</t>
        </is>
      </c>
      <c r="Q2389" s="54">
        <f>MID(P2389,5,2)</f>
        <v/>
      </c>
      <c r="R2389" s="53">
        <f>MID(P2389,7,2)</f>
        <v/>
      </c>
      <c r="S2389" s="3" t="inlineStr">
        <is>
          <t>G2G</t>
        </is>
      </c>
      <c r="T2389" s="3" t="inlineStr">
        <is>
          <t>P4</t>
        </is>
      </c>
      <c r="U2389" s="3" t="inlineStr">
        <is>
          <t>N JB Cold Soldering</t>
        </is>
      </c>
      <c r="V2389" s="3" t="inlineStr">
        <is>
          <t>Soldering</t>
        </is>
      </c>
      <c r="W2389" s="3" t="inlineStr">
        <is>
          <t>Repair</t>
        </is>
      </c>
      <c r="X2389" s="18" t="n">
        <v>46170</v>
      </c>
      <c r="Y2389" s="73">
        <f>IF(X2389="","",X2389-A2389)</f>
        <v/>
      </c>
      <c r="Z2389" s="18" t="n">
        <v>46170</v>
      </c>
      <c r="AA2389" s="15" t="n"/>
      <c r="AB2389" s="15" t="n"/>
      <c r="AF2389">
        <f>IF(AND($F2389="Closed",$X2389&gt;=DATE(2026,5,1),$X2389&lt;=DATE(2026,5,31)),"Closed in May","Other")</f>
        <v/>
      </c>
    </row>
    <row r="2390">
      <c r="A2390" s="37" t="n">
        <v>46143</v>
      </c>
      <c r="B2390" s="3" t="n">
        <v>2026</v>
      </c>
      <c r="C2390" s="26" t="inlineStr">
        <is>
          <t>Yanara Power</t>
        </is>
      </c>
      <c r="D2390" s="3" t="inlineStr">
        <is>
          <t>Utility and C&amp;I</t>
        </is>
      </c>
      <c r="E2390" s="3" t="n"/>
      <c r="F2390" s="3" t="inlineStr">
        <is>
          <t>Closed</t>
        </is>
      </c>
      <c r="G2390" s="9" t="inlineStr">
        <is>
          <t xml:space="preserve">Ashish Jindal </t>
        </is>
      </c>
      <c r="H2390" s="26" t="n">
        <v>9983975581</v>
      </c>
      <c r="I2390" s="38" t="inlineStr">
        <is>
          <t>PE01052601</t>
        </is>
      </c>
      <c r="J2390" s="26" t="inlineStr">
        <is>
          <t>Multiple Issues</t>
        </is>
      </c>
      <c r="K2390" s="39" t="inlineStr">
        <is>
          <t>Holi</t>
        </is>
      </c>
      <c r="L2390" s="39" t="inlineStr">
        <is>
          <t>Maharashtra</t>
        </is>
      </c>
      <c r="M2390" s="46" t="inlineStr">
        <is>
          <t>PS</t>
        </is>
      </c>
      <c r="N2390" s="3" t="inlineStr">
        <is>
          <t>Cold Soldering</t>
        </is>
      </c>
      <c r="O2390" s="56" t="n">
        <v>575</v>
      </c>
      <c r="P2390" s="46" t="inlineStr">
        <is>
          <t>NSMI24070220064</t>
        </is>
      </c>
      <c r="Q2390" s="54">
        <f>MID(P2390,5,2)</f>
        <v/>
      </c>
      <c r="R2390" s="53">
        <f>MID(P2390,7,2)</f>
        <v/>
      </c>
      <c r="S2390" s="3" t="inlineStr">
        <is>
          <t>G2G</t>
        </is>
      </c>
      <c r="T2390" s="3" t="inlineStr">
        <is>
          <t>P4</t>
        </is>
      </c>
      <c r="U2390" s="19" t="inlineStr">
        <is>
          <t>P JB Cold Soldering</t>
        </is>
      </c>
      <c r="V2390" s="19" t="inlineStr">
        <is>
          <t>Soldering</t>
        </is>
      </c>
      <c r="W2390" s="3" t="inlineStr">
        <is>
          <t>Repair</t>
        </is>
      </c>
      <c r="X2390" s="18" t="n">
        <v>46170</v>
      </c>
      <c r="Y2390" s="73">
        <f>IF(X2390="","",X2390-A2390)</f>
        <v/>
      </c>
      <c r="Z2390" s="18" t="n">
        <v>46170</v>
      </c>
      <c r="AA2390" s="15" t="n"/>
      <c r="AB2390" s="15" t="n"/>
      <c r="AF2390">
        <f>IF(AND($F2390="Closed",$X2390&gt;=DATE(2026,5,1),$X2390&lt;=DATE(2026,5,31)),"Closed in May","Other")</f>
        <v/>
      </c>
    </row>
    <row r="2391">
      <c r="A2391" s="37" t="n">
        <v>46143</v>
      </c>
      <c r="B2391" s="3" t="n">
        <v>2026</v>
      </c>
      <c r="C2391" s="26" t="inlineStr">
        <is>
          <t>Yanara Power</t>
        </is>
      </c>
      <c r="D2391" s="3" t="inlineStr">
        <is>
          <t>Utility and C&amp;I</t>
        </is>
      </c>
      <c r="E2391" s="3" t="n"/>
      <c r="F2391" s="3" t="inlineStr">
        <is>
          <t>Closed</t>
        </is>
      </c>
      <c r="G2391" s="9" t="inlineStr">
        <is>
          <t xml:space="preserve">Ashish Jindal </t>
        </is>
      </c>
      <c r="H2391" s="26" t="n">
        <v>9983975581</v>
      </c>
      <c r="I2391" s="38" t="inlineStr">
        <is>
          <t>PE01052601</t>
        </is>
      </c>
      <c r="J2391" s="26" t="inlineStr">
        <is>
          <t>Multiple Issues</t>
        </is>
      </c>
      <c r="K2391" s="39" t="inlineStr">
        <is>
          <t>Holi</t>
        </is>
      </c>
      <c r="L2391" s="39" t="inlineStr">
        <is>
          <t>Maharashtra</t>
        </is>
      </c>
      <c r="M2391" s="46" t="inlineStr">
        <is>
          <t>NS</t>
        </is>
      </c>
      <c r="N2391" s="3" t="inlineStr">
        <is>
          <t>Cold Soldering</t>
        </is>
      </c>
      <c r="O2391" s="56" t="n">
        <v>575</v>
      </c>
      <c r="P2391" s="46" t="inlineStr">
        <is>
          <t>NSMI24070234212</t>
        </is>
      </c>
      <c r="Q2391" s="54">
        <f>MID(P2391,5,2)</f>
        <v/>
      </c>
      <c r="R2391" s="53">
        <f>MID(P2391,7,2)</f>
        <v/>
      </c>
      <c r="S2391" s="3" t="inlineStr">
        <is>
          <t>G2G</t>
        </is>
      </c>
      <c r="T2391" s="3" t="inlineStr">
        <is>
          <t>P4</t>
        </is>
      </c>
      <c r="U2391" s="3" t="inlineStr">
        <is>
          <t>N JB Cold Soldering</t>
        </is>
      </c>
      <c r="V2391" s="3" t="inlineStr">
        <is>
          <t>Soldering</t>
        </is>
      </c>
      <c r="W2391" s="3" t="inlineStr">
        <is>
          <t>Repair</t>
        </is>
      </c>
      <c r="X2391" s="18" t="n">
        <v>46170</v>
      </c>
      <c r="Y2391" s="73">
        <f>IF(X2391="","",X2391-A2391)</f>
        <v/>
      </c>
      <c r="Z2391" s="18" t="n">
        <v>46170</v>
      </c>
      <c r="AA2391" s="15" t="n"/>
      <c r="AB2391" s="15" t="n"/>
      <c r="AF2391">
        <f>IF(AND($F2391="Closed",$X2391&gt;=DATE(2026,5,1),$X2391&lt;=DATE(2026,5,31)),"Closed in May","Other")</f>
        <v/>
      </c>
    </row>
    <row r="2392">
      <c r="A2392" s="37" t="n">
        <v>46143</v>
      </c>
      <c r="B2392" s="3" t="n">
        <v>2026</v>
      </c>
      <c r="C2392" s="26" t="inlineStr">
        <is>
          <t>Yanara Power</t>
        </is>
      </c>
      <c r="D2392" s="3" t="inlineStr">
        <is>
          <t>Utility and C&amp;I</t>
        </is>
      </c>
      <c r="E2392" s="3" t="n"/>
      <c r="F2392" s="3" t="inlineStr">
        <is>
          <t>Closed</t>
        </is>
      </c>
      <c r="G2392" s="9" t="inlineStr">
        <is>
          <t xml:space="preserve">Ashish Jindal </t>
        </is>
      </c>
      <c r="H2392" s="26" t="n">
        <v>9983975581</v>
      </c>
      <c r="I2392" s="38" t="inlineStr">
        <is>
          <t>PE01052601</t>
        </is>
      </c>
      <c r="J2392" s="26" t="inlineStr">
        <is>
          <t>Multiple Issues</t>
        </is>
      </c>
      <c r="K2392" s="39" t="inlineStr">
        <is>
          <t>Holi</t>
        </is>
      </c>
      <c r="L2392" s="39" t="inlineStr">
        <is>
          <t>Maharashtra</t>
        </is>
      </c>
      <c r="M2392" s="46" t="inlineStr">
        <is>
          <t>PS</t>
        </is>
      </c>
      <c r="N2392" s="3" t="inlineStr">
        <is>
          <t>Cold Soldering</t>
        </is>
      </c>
      <c r="O2392" s="56" t="n">
        <v>575</v>
      </c>
      <c r="P2392" s="46" t="inlineStr">
        <is>
          <t>NSMI24070176388</t>
        </is>
      </c>
      <c r="Q2392" s="54">
        <f>MID(P2392,5,2)</f>
        <v/>
      </c>
      <c r="R2392" s="53">
        <f>MID(P2392,7,2)</f>
        <v/>
      </c>
      <c r="S2392" s="3" t="inlineStr">
        <is>
          <t>G2G</t>
        </is>
      </c>
      <c r="T2392" s="3" t="inlineStr">
        <is>
          <t>P4</t>
        </is>
      </c>
      <c r="U2392" s="19" t="inlineStr">
        <is>
          <t>P JB Cold Soldering</t>
        </is>
      </c>
      <c r="V2392" s="19" t="inlineStr">
        <is>
          <t>Soldering</t>
        </is>
      </c>
      <c r="W2392" s="3" t="inlineStr">
        <is>
          <t>Repair</t>
        </is>
      </c>
      <c r="X2392" s="18" t="n">
        <v>46170</v>
      </c>
      <c r="Y2392" s="73">
        <f>IF(X2392="","",X2392-A2392)</f>
        <v/>
      </c>
      <c r="Z2392" s="18" t="n">
        <v>46170</v>
      </c>
      <c r="AA2392" s="15" t="n"/>
      <c r="AB2392" s="15" t="n"/>
      <c r="AF2392">
        <f>IF(AND($F2392="Closed",$X2392&gt;=DATE(2026,5,1),$X2392&lt;=DATE(2026,5,31)),"Closed in May","Other")</f>
        <v/>
      </c>
    </row>
    <row r="2393">
      <c r="A2393" s="37" t="n">
        <v>46143</v>
      </c>
      <c r="B2393" s="3" t="n">
        <v>2026</v>
      </c>
      <c r="C2393" s="26" t="inlineStr">
        <is>
          <t>Yanara Power</t>
        </is>
      </c>
      <c r="D2393" s="3" t="inlineStr">
        <is>
          <t>Utility and C&amp;I</t>
        </is>
      </c>
      <c r="E2393" s="3" t="n"/>
      <c r="F2393" s="3" t="inlineStr">
        <is>
          <t>Closed</t>
        </is>
      </c>
      <c r="G2393" s="9" t="inlineStr">
        <is>
          <t xml:space="preserve">Ashish Jindal </t>
        </is>
      </c>
      <c r="H2393" s="26" t="n">
        <v>9983975581</v>
      </c>
      <c r="I2393" s="38" t="inlineStr">
        <is>
          <t>PE01052601</t>
        </is>
      </c>
      <c r="J2393" s="26" t="inlineStr">
        <is>
          <t>Multiple Issues</t>
        </is>
      </c>
      <c r="K2393" s="39" t="inlineStr">
        <is>
          <t>Holi</t>
        </is>
      </c>
      <c r="L2393" s="39" t="inlineStr">
        <is>
          <t>Maharashtra</t>
        </is>
      </c>
      <c r="M2393" s="46" t="inlineStr">
        <is>
          <t>PS</t>
        </is>
      </c>
      <c r="N2393" s="3" t="inlineStr">
        <is>
          <t>Cold Soldering</t>
        </is>
      </c>
      <c r="O2393" s="56" t="n">
        <v>575</v>
      </c>
      <c r="P2393" s="46" t="inlineStr">
        <is>
          <t>NSMI24070191471</t>
        </is>
      </c>
      <c r="Q2393" s="54">
        <f>MID(P2393,5,2)</f>
        <v/>
      </c>
      <c r="R2393" s="53">
        <f>MID(P2393,7,2)</f>
        <v/>
      </c>
      <c r="S2393" s="3" t="inlineStr">
        <is>
          <t>G2G</t>
        </is>
      </c>
      <c r="T2393" s="3" t="inlineStr">
        <is>
          <t>P4</t>
        </is>
      </c>
      <c r="U2393" s="19" t="inlineStr">
        <is>
          <t>P JB Cold Soldering</t>
        </is>
      </c>
      <c r="V2393" s="19" t="inlineStr">
        <is>
          <t>Soldering</t>
        </is>
      </c>
      <c r="W2393" s="3" t="inlineStr">
        <is>
          <t>Repair</t>
        </is>
      </c>
      <c r="X2393" s="18" t="n">
        <v>46170</v>
      </c>
      <c r="Y2393" s="73">
        <f>IF(X2393="","",X2393-A2393)</f>
        <v/>
      </c>
      <c r="Z2393" s="18" t="n">
        <v>46170</v>
      </c>
      <c r="AA2393" s="15" t="n"/>
      <c r="AB2393" s="15" t="n"/>
      <c r="AF2393">
        <f>IF(AND($F2393="Closed",$X2393&gt;=DATE(2026,5,1),$X2393&lt;=DATE(2026,5,31)),"Closed in May","Other")</f>
        <v/>
      </c>
    </row>
    <row r="2394">
      <c r="A2394" s="37" t="n">
        <v>46143</v>
      </c>
      <c r="B2394" s="3" t="n">
        <v>2026</v>
      </c>
      <c r="C2394" s="26" t="inlineStr">
        <is>
          <t>Yanara Power</t>
        </is>
      </c>
      <c r="D2394" s="3" t="inlineStr">
        <is>
          <t>Utility and C&amp;I</t>
        </is>
      </c>
      <c r="E2394" s="3" t="n"/>
      <c r="F2394" s="3" t="inlineStr">
        <is>
          <t>Closed</t>
        </is>
      </c>
      <c r="G2394" s="9" t="inlineStr">
        <is>
          <t xml:space="preserve">Ashish Jindal </t>
        </is>
      </c>
      <c r="H2394" s="26" t="n">
        <v>9983975581</v>
      </c>
      <c r="I2394" s="38" t="inlineStr">
        <is>
          <t>PE01052601</t>
        </is>
      </c>
      <c r="J2394" s="26" t="inlineStr">
        <is>
          <t>Multiple Issues</t>
        </is>
      </c>
      <c r="K2394" s="39" t="inlineStr">
        <is>
          <t>Holi</t>
        </is>
      </c>
      <c r="L2394" s="39" t="inlineStr">
        <is>
          <t>Maharashtra</t>
        </is>
      </c>
      <c r="M2394" s="46" t="inlineStr">
        <is>
          <t>PS</t>
        </is>
      </c>
      <c r="N2394" s="3" t="inlineStr">
        <is>
          <t>Cold Soldering</t>
        </is>
      </c>
      <c r="O2394" s="56" t="n">
        <v>575</v>
      </c>
      <c r="P2394" s="46" t="inlineStr">
        <is>
          <t>NSMI24070198760</t>
        </is>
      </c>
      <c r="Q2394" s="54">
        <f>MID(P2394,5,2)</f>
        <v/>
      </c>
      <c r="R2394" s="53">
        <f>MID(P2394,7,2)</f>
        <v/>
      </c>
      <c r="S2394" s="3" t="inlineStr">
        <is>
          <t>G2G</t>
        </is>
      </c>
      <c r="T2394" s="3" t="inlineStr">
        <is>
          <t>P4</t>
        </is>
      </c>
      <c r="U2394" s="19" t="inlineStr">
        <is>
          <t>P JB Cold Soldering</t>
        </is>
      </c>
      <c r="V2394" s="19" t="inlineStr">
        <is>
          <t>Soldering</t>
        </is>
      </c>
      <c r="W2394" s="3" t="inlineStr">
        <is>
          <t>Repair</t>
        </is>
      </c>
      <c r="X2394" s="18" t="n">
        <v>46170</v>
      </c>
      <c r="Y2394" s="73">
        <f>IF(X2394="","",X2394-A2394)</f>
        <v/>
      </c>
      <c r="Z2394" s="18" t="n">
        <v>46170</v>
      </c>
      <c r="AA2394" s="15" t="n"/>
      <c r="AB2394" s="15" t="n"/>
      <c r="AF2394">
        <f>IF(AND($F2394="Closed",$X2394&gt;=DATE(2026,5,1),$X2394&lt;=DATE(2026,5,31)),"Closed in May","Other")</f>
        <v/>
      </c>
    </row>
    <row r="2395">
      <c r="A2395" s="37" t="n">
        <v>46143</v>
      </c>
      <c r="B2395" s="3" t="n">
        <v>2026</v>
      </c>
      <c r="C2395" s="26" t="inlineStr">
        <is>
          <t>Yanara Power</t>
        </is>
      </c>
      <c r="D2395" s="3" t="inlineStr">
        <is>
          <t>Utility and C&amp;I</t>
        </is>
      </c>
      <c r="E2395" s="3" t="n"/>
      <c r="F2395" s="3" t="inlineStr">
        <is>
          <t>Closed</t>
        </is>
      </c>
      <c r="G2395" s="9" t="inlineStr">
        <is>
          <t xml:space="preserve">Ashish Jindal </t>
        </is>
      </c>
      <c r="H2395" s="26" t="n">
        <v>9983975581</v>
      </c>
      <c r="I2395" s="38" t="inlineStr">
        <is>
          <t>PE01052601</t>
        </is>
      </c>
      <c r="J2395" s="26" t="inlineStr">
        <is>
          <t>Multiple Issues</t>
        </is>
      </c>
      <c r="K2395" s="39" t="inlineStr">
        <is>
          <t>Holi</t>
        </is>
      </c>
      <c r="L2395" s="39" t="inlineStr">
        <is>
          <t>Maharashtra</t>
        </is>
      </c>
      <c r="M2395" s="46" t="inlineStr">
        <is>
          <t>PNS</t>
        </is>
      </c>
      <c r="N2395" s="3" t="inlineStr">
        <is>
          <t>Cold Soldering</t>
        </is>
      </c>
      <c r="O2395" s="56" t="n">
        <v>575</v>
      </c>
      <c r="P2395" s="46" t="inlineStr">
        <is>
          <t>NSMI24070198930</t>
        </is>
      </c>
      <c r="Q2395" s="54">
        <f>MID(P2395,5,2)</f>
        <v/>
      </c>
      <c r="R2395" s="53">
        <f>MID(P2395,7,2)</f>
        <v/>
      </c>
      <c r="S2395" s="3" t="inlineStr">
        <is>
          <t>G2G</t>
        </is>
      </c>
      <c r="T2395" s="3" t="inlineStr">
        <is>
          <t>P4</t>
        </is>
      </c>
      <c r="U2395" s="3" t="inlineStr">
        <is>
          <t>P &amp; N JB Cold Soldering</t>
        </is>
      </c>
      <c r="V2395" s="3" t="inlineStr">
        <is>
          <t>Soldering</t>
        </is>
      </c>
      <c r="W2395" s="3" t="inlineStr">
        <is>
          <t>Repair</t>
        </is>
      </c>
      <c r="X2395" s="18" t="n">
        <v>46170</v>
      </c>
      <c r="Y2395" s="73">
        <f>IF(X2395="","",X2395-A2395)</f>
        <v/>
      </c>
      <c r="Z2395" s="18" t="n">
        <v>46170</v>
      </c>
      <c r="AA2395" s="15" t="n"/>
      <c r="AB2395" s="15" t="n"/>
      <c r="AF2395">
        <f>IF(AND($F2395="Closed",$X2395&gt;=DATE(2026,5,1),$X2395&lt;=DATE(2026,5,31)),"Closed in May","Other")</f>
        <v/>
      </c>
    </row>
    <row r="2396">
      <c r="A2396" s="37" t="n">
        <v>46143</v>
      </c>
      <c r="B2396" s="3" t="n">
        <v>2026</v>
      </c>
      <c r="C2396" s="26" t="inlineStr">
        <is>
          <t>Yanara Power</t>
        </is>
      </c>
      <c r="D2396" s="3" t="inlineStr">
        <is>
          <t>Utility and C&amp;I</t>
        </is>
      </c>
      <c r="E2396" s="3" t="n"/>
      <c r="F2396" s="3" t="inlineStr">
        <is>
          <t>Closed</t>
        </is>
      </c>
      <c r="G2396" s="9" t="inlineStr">
        <is>
          <t xml:space="preserve">Ashish Jindal </t>
        </is>
      </c>
      <c r="H2396" s="26" t="n">
        <v>9983975581</v>
      </c>
      <c r="I2396" s="38" t="inlineStr">
        <is>
          <t>PE01052601</t>
        </is>
      </c>
      <c r="J2396" s="26" t="inlineStr">
        <is>
          <t>Multiple Issues</t>
        </is>
      </c>
      <c r="K2396" s="39" t="inlineStr">
        <is>
          <t>Holi</t>
        </is>
      </c>
      <c r="L2396" s="39" t="inlineStr">
        <is>
          <t>Maharashtra</t>
        </is>
      </c>
      <c r="M2396" s="46" t="inlineStr">
        <is>
          <t>NS</t>
        </is>
      </c>
      <c r="N2396" s="3" t="inlineStr">
        <is>
          <t>Cold Soldering</t>
        </is>
      </c>
      <c r="O2396" s="56" t="n">
        <v>575</v>
      </c>
      <c r="P2396" s="46" t="inlineStr">
        <is>
          <t>NSMI24070198956</t>
        </is>
      </c>
      <c r="Q2396" s="54">
        <f>MID(P2396,5,2)</f>
        <v/>
      </c>
      <c r="R2396" s="53">
        <f>MID(P2396,7,2)</f>
        <v/>
      </c>
      <c r="S2396" s="3" t="inlineStr">
        <is>
          <t>G2G</t>
        </is>
      </c>
      <c r="T2396" s="3" t="inlineStr">
        <is>
          <t>P4</t>
        </is>
      </c>
      <c r="U2396" s="3" t="inlineStr">
        <is>
          <t>N JB Cold Soldering</t>
        </is>
      </c>
      <c r="V2396" s="3" t="inlineStr">
        <is>
          <t>Soldering</t>
        </is>
      </c>
      <c r="W2396" s="3" t="inlineStr">
        <is>
          <t>Repair</t>
        </is>
      </c>
      <c r="X2396" s="18" t="n">
        <v>46170</v>
      </c>
      <c r="Y2396" s="73">
        <f>IF(X2396="","",X2396-A2396)</f>
        <v/>
      </c>
      <c r="Z2396" s="18" t="n">
        <v>46170</v>
      </c>
      <c r="AA2396" s="15" t="n"/>
      <c r="AB2396" s="15" t="n"/>
      <c r="AF2396">
        <f>IF(AND($F2396="Closed",$X2396&gt;=DATE(2026,5,1),$X2396&lt;=DATE(2026,5,31)),"Closed in May","Other")</f>
        <v/>
      </c>
    </row>
    <row r="2397">
      <c r="A2397" s="37" t="n">
        <v>46143</v>
      </c>
      <c r="B2397" s="3" t="n">
        <v>2026</v>
      </c>
      <c r="C2397" s="26" t="inlineStr">
        <is>
          <t>Yanara Power</t>
        </is>
      </c>
      <c r="D2397" s="3" t="inlineStr">
        <is>
          <t>Utility and C&amp;I</t>
        </is>
      </c>
      <c r="E2397" s="3" t="n"/>
      <c r="F2397" s="3" t="inlineStr">
        <is>
          <t>Closed</t>
        </is>
      </c>
      <c r="G2397" s="9" t="inlineStr">
        <is>
          <t xml:space="preserve">Ashish Jindal </t>
        </is>
      </c>
      <c r="H2397" s="26" t="n">
        <v>9983975581</v>
      </c>
      <c r="I2397" s="38" t="inlineStr">
        <is>
          <t>PE01052601</t>
        </is>
      </c>
      <c r="J2397" s="26" t="inlineStr">
        <is>
          <t>Multiple Issues</t>
        </is>
      </c>
      <c r="K2397" s="39" t="inlineStr">
        <is>
          <t>Holi</t>
        </is>
      </c>
      <c r="L2397" s="39" t="inlineStr">
        <is>
          <t>Maharashtra</t>
        </is>
      </c>
      <c r="M2397" s="46" t="inlineStr">
        <is>
          <t>PS</t>
        </is>
      </c>
      <c r="N2397" s="3" t="inlineStr">
        <is>
          <t>Cold Soldering</t>
        </is>
      </c>
      <c r="O2397" s="56" t="n">
        <v>575</v>
      </c>
      <c r="P2397" s="46" t="inlineStr">
        <is>
          <t>NSMI24070240069</t>
        </is>
      </c>
      <c r="Q2397" s="54">
        <f>MID(P2397,5,2)</f>
        <v/>
      </c>
      <c r="R2397" s="53">
        <f>MID(P2397,7,2)</f>
        <v/>
      </c>
      <c r="S2397" s="3" t="inlineStr">
        <is>
          <t>G2G</t>
        </is>
      </c>
      <c r="T2397" s="3" t="inlineStr">
        <is>
          <t>P4</t>
        </is>
      </c>
      <c r="U2397" s="19" t="inlineStr">
        <is>
          <t>P JB Cold Soldering</t>
        </is>
      </c>
      <c r="V2397" s="19" t="inlineStr">
        <is>
          <t>Soldering</t>
        </is>
      </c>
      <c r="W2397" s="3" t="inlineStr">
        <is>
          <t>Repair</t>
        </is>
      </c>
      <c r="X2397" s="18" t="n">
        <v>46170</v>
      </c>
      <c r="Y2397" s="73">
        <f>IF(X2397="","",X2397-A2397)</f>
        <v/>
      </c>
      <c r="Z2397" s="18" t="n">
        <v>46170</v>
      </c>
      <c r="AA2397" s="15" t="n"/>
      <c r="AB2397" s="15" t="n"/>
      <c r="AF2397">
        <f>IF(AND($F2397="Closed",$X2397&gt;=DATE(2026,5,1),$X2397&lt;=DATE(2026,5,31)),"Closed in May","Other")</f>
        <v/>
      </c>
    </row>
    <row r="2398">
      <c r="A2398" s="37" t="n">
        <v>46143</v>
      </c>
      <c r="B2398" s="3" t="n">
        <v>2026</v>
      </c>
      <c r="C2398" s="26" t="inlineStr">
        <is>
          <t>Yanara Power</t>
        </is>
      </c>
      <c r="D2398" s="3" t="inlineStr">
        <is>
          <t>Utility and C&amp;I</t>
        </is>
      </c>
      <c r="E2398" s="3" t="n"/>
      <c r="F2398" s="3" t="inlineStr">
        <is>
          <t>Closed</t>
        </is>
      </c>
      <c r="G2398" s="9" t="inlineStr">
        <is>
          <t xml:space="preserve">Ashish Jindal </t>
        </is>
      </c>
      <c r="H2398" s="26" t="n">
        <v>9983975581</v>
      </c>
      <c r="I2398" s="38" t="inlineStr">
        <is>
          <t>PE01052601</t>
        </is>
      </c>
      <c r="J2398" s="26" t="inlineStr">
        <is>
          <t>Multiple Issues</t>
        </is>
      </c>
      <c r="K2398" s="39" t="inlineStr">
        <is>
          <t>Holi</t>
        </is>
      </c>
      <c r="L2398" s="39" t="inlineStr">
        <is>
          <t>Maharashtra</t>
        </is>
      </c>
      <c r="M2398" s="46" t="inlineStr">
        <is>
          <t>PS</t>
        </is>
      </c>
      <c r="N2398" s="3" t="inlineStr">
        <is>
          <t>Cold Soldering</t>
        </is>
      </c>
      <c r="O2398" s="56" t="n">
        <v>575</v>
      </c>
      <c r="P2398" s="46" t="inlineStr">
        <is>
          <t>NSMI24070224577</t>
        </is>
      </c>
      <c r="Q2398" s="54">
        <f>MID(P2398,5,2)</f>
        <v/>
      </c>
      <c r="R2398" s="53">
        <f>MID(P2398,7,2)</f>
        <v/>
      </c>
      <c r="S2398" s="3" t="inlineStr">
        <is>
          <t>G2G</t>
        </is>
      </c>
      <c r="T2398" s="3" t="inlineStr">
        <is>
          <t>P4</t>
        </is>
      </c>
      <c r="U2398" s="19" t="inlineStr">
        <is>
          <t>P JB Cold Soldering</t>
        </is>
      </c>
      <c r="V2398" s="19" t="inlineStr">
        <is>
          <t>Soldering</t>
        </is>
      </c>
      <c r="W2398" s="3" t="inlineStr">
        <is>
          <t>Repair</t>
        </is>
      </c>
      <c r="X2398" s="18" t="n">
        <v>46170</v>
      </c>
      <c r="Y2398" s="73">
        <f>IF(X2398="","",X2398-A2398)</f>
        <v/>
      </c>
      <c r="Z2398" s="18" t="n">
        <v>46170</v>
      </c>
      <c r="AA2398" s="15" t="n"/>
      <c r="AB2398" s="15" t="n"/>
      <c r="AF2398">
        <f>IF(AND($F2398="Closed",$X2398&gt;=DATE(2026,5,1),$X2398&lt;=DATE(2026,5,31)),"Closed in May","Other")</f>
        <v/>
      </c>
    </row>
    <row r="2399">
      <c r="A2399" s="37" t="n">
        <v>46143</v>
      </c>
      <c r="B2399" s="3" t="n">
        <v>2026</v>
      </c>
      <c r="C2399" s="26" t="inlineStr">
        <is>
          <t>Yanara Power</t>
        </is>
      </c>
      <c r="D2399" s="3" t="inlineStr">
        <is>
          <t>Utility and C&amp;I</t>
        </is>
      </c>
      <c r="E2399" s="3" t="n"/>
      <c r="F2399" s="3" t="inlineStr">
        <is>
          <t>Closed</t>
        </is>
      </c>
      <c r="G2399" s="9" t="inlineStr">
        <is>
          <t xml:space="preserve">Ashish Jindal </t>
        </is>
      </c>
      <c r="H2399" s="26" t="n">
        <v>9983975581</v>
      </c>
      <c r="I2399" s="38" t="inlineStr">
        <is>
          <t>PE01052601</t>
        </is>
      </c>
      <c r="J2399" s="26" t="inlineStr">
        <is>
          <t>Multiple Issues</t>
        </is>
      </c>
      <c r="K2399" s="39" t="inlineStr">
        <is>
          <t>Holi</t>
        </is>
      </c>
      <c r="L2399" s="39" t="inlineStr">
        <is>
          <t>Maharashtra</t>
        </is>
      </c>
      <c r="M2399" s="46" t="inlineStr">
        <is>
          <t>NS</t>
        </is>
      </c>
      <c r="N2399" s="3" t="inlineStr">
        <is>
          <t>Cold Soldering</t>
        </is>
      </c>
      <c r="O2399" s="56" t="n">
        <v>575</v>
      </c>
      <c r="P2399" s="46" t="inlineStr">
        <is>
          <t>NSMI24070234763</t>
        </is>
      </c>
      <c r="Q2399" s="54">
        <f>MID(P2399,5,2)</f>
        <v/>
      </c>
      <c r="R2399" s="53">
        <f>MID(P2399,7,2)</f>
        <v/>
      </c>
      <c r="S2399" s="3" t="inlineStr">
        <is>
          <t>G2G</t>
        </is>
      </c>
      <c r="T2399" s="3" t="inlineStr">
        <is>
          <t>P4</t>
        </is>
      </c>
      <c r="U2399" s="3" t="inlineStr">
        <is>
          <t>N JB Cold Soldering</t>
        </is>
      </c>
      <c r="V2399" s="3" t="inlineStr">
        <is>
          <t>Soldering</t>
        </is>
      </c>
      <c r="W2399" s="3" t="inlineStr">
        <is>
          <t>Repair</t>
        </is>
      </c>
      <c r="X2399" s="18" t="n">
        <v>46170</v>
      </c>
      <c r="Y2399" s="73">
        <f>IF(X2399="","",X2399-A2399)</f>
        <v/>
      </c>
      <c r="Z2399" s="18" t="n">
        <v>46170</v>
      </c>
      <c r="AA2399" s="15" t="n"/>
      <c r="AB2399" s="15" t="n"/>
      <c r="AF2399">
        <f>IF(AND($F2399="Closed",$X2399&gt;=DATE(2026,5,1),$X2399&lt;=DATE(2026,5,31)),"Closed in May","Other")</f>
        <v/>
      </c>
    </row>
    <row r="2400">
      <c r="A2400" s="37" t="n">
        <v>46143</v>
      </c>
      <c r="B2400" s="3" t="n">
        <v>2026</v>
      </c>
      <c r="C2400" s="26" t="inlineStr">
        <is>
          <t>Yanara Power</t>
        </is>
      </c>
      <c r="D2400" s="3" t="inlineStr">
        <is>
          <t>Utility and C&amp;I</t>
        </is>
      </c>
      <c r="E2400" s="3" t="n"/>
      <c r="F2400" s="3" t="inlineStr">
        <is>
          <t>Closed</t>
        </is>
      </c>
      <c r="G2400" s="9" t="inlineStr">
        <is>
          <t xml:space="preserve">Ashish Jindal </t>
        </is>
      </c>
      <c r="H2400" s="26" t="n">
        <v>9983975581</v>
      </c>
      <c r="I2400" s="38" t="inlineStr">
        <is>
          <t>PE01052601</t>
        </is>
      </c>
      <c r="J2400" s="26" t="inlineStr">
        <is>
          <t>Multiple Issues</t>
        </is>
      </c>
      <c r="K2400" s="39" t="inlineStr">
        <is>
          <t>Holi</t>
        </is>
      </c>
      <c r="L2400" s="39" t="inlineStr">
        <is>
          <t>Maharashtra</t>
        </is>
      </c>
      <c r="M2400" s="46" t="inlineStr">
        <is>
          <t>PS</t>
        </is>
      </c>
      <c r="N2400" s="3" t="inlineStr">
        <is>
          <t>Cold Soldering</t>
        </is>
      </c>
      <c r="O2400" s="56" t="n">
        <v>575</v>
      </c>
      <c r="P2400" s="46" t="inlineStr">
        <is>
          <t>NSMI24070234711</t>
        </is>
      </c>
      <c r="Q2400" s="54">
        <f>MID(P2400,5,2)</f>
        <v/>
      </c>
      <c r="R2400" s="53">
        <f>MID(P2400,7,2)</f>
        <v/>
      </c>
      <c r="S2400" s="3" t="inlineStr">
        <is>
          <t>G2G</t>
        </is>
      </c>
      <c r="T2400" s="3" t="inlineStr">
        <is>
          <t>P4</t>
        </is>
      </c>
      <c r="U2400" s="19" t="inlineStr">
        <is>
          <t>P JB Cold Soldering</t>
        </is>
      </c>
      <c r="V2400" s="19" t="inlineStr">
        <is>
          <t>Soldering</t>
        </is>
      </c>
      <c r="W2400" s="3" t="inlineStr">
        <is>
          <t>Repair</t>
        </is>
      </c>
      <c r="X2400" s="18" t="n">
        <v>46170</v>
      </c>
      <c r="Y2400" s="73">
        <f>IF(X2400="","",X2400-A2400)</f>
        <v/>
      </c>
      <c r="Z2400" s="18" t="n">
        <v>46170</v>
      </c>
      <c r="AA2400" s="15" t="n"/>
      <c r="AB2400" s="15" t="n"/>
      <c r="AF2400">
        <f>IF(AND($F2400="Closed",$X2400&gt;=DATE(2026,5,1),$X2400&lt;=DATE(2026,5,31)),"Closed in May","Other")</f>
        <v/>
      </c>
    </row>
    <row r="2401">
      <c r="A2401" s="37" t="n">
        <v>46143</v>
      </c>
      <c r="B2401" s="3" t="n">
        <v>2026</v>
      </c>
      <c r="C2401" s="26" t="inlineStr">
        <is>
          <t>Yanara Power</t>
        </is>
      </c>
      <c r="D2401" s="3" t="inlineStr">
        <is>
          <t>Utility and C&amp;I</t>
        </is>
      </c>
      <c r="E2401" s="3" t="n"/>
      <c r="F2401" s="3" t="inlineStr">
        <is>
          <t>Closed</t>
        </is>
      </c>
      <c r="G2401" s="9" t="inlineStr">
        <is>
          <t xml:space="preserve">Ashish Jindal </t>
        </is>
      </c>
      <c r="H2401" s="26" t="n">
        <v>9983975581</v>
      </c>
      <c r="I2401" s="38" t="inlineStr">
        <is>
          <t>PE01052601</t>
        </is>
      </c>
      <c r="J2401" s="26" t="inlineStr">
        <is>
          <t>Multiple Issues</t>
        </is>
      </c>
      <c r="K2401" s="39" t="inlineStr">
        <is>
          <t>Holi</t>
        </is>
      </c>
      <c r="L2401" s="39" t="inlineStr">
        <is>
          <t>Maharashtra</t>
        </is>
      </c>
      <c r="M2401" s="46" t="inlineStr">
        <is>
          <t>PS</t>
        </is>
      </c>
      <c r="N2401" s="3" t="inlineStr">
        <is>
          <t>Cold Soldering</t>
        </is>
      </c>
      <c r="O2401" s="56" t="n">
        <v>575</v>
      </c>
      <c r="P2401" s="46" t="inlineStr">
        <is>
          <t>NSMI24070189426</t>
        </is>
      </c>
      <c r="Q2401" s="54">
        <f>MID(P2401,5,2)</f>
        <v/>
      </c>
      <c r="R2401" s="53">
        <f>MID(P2401,7,2)</f>
        <v/>
      </c>
      <c r="S2401" s="3" t="inlineStr">
        <is>
          <t>G2G</t>
        </is>
      </c>
      <c r="T2401" s="3" t="inlineStr">
        <is>
          <t>P4</t>
        </is>
      </c>
      <c r="U2401" s="19" t="inlineStr">
        <is>
          <t>P JB Cold Soldering</t>
        </is>
      </c>
      <c r="V2401" s="19" t="inlineStr">
        <is>
          <t>Soldering</t>
        </is>
      </c>
      <c r="W2401" s="3" t="inlineStr">
        <is>
          <t>Repair</t>
        </is>
      </c>
      <c r="X2401" s="18" t="n">
        <v>46170</v>
      </c>
      <c r="Y2401" s="73">
        <f>IF(X2401="","",X2401-A2401)</f>
        <v/>
      </c>
      <c r="Z2401" s="18" t="n">
        <v>46170</v>
      </c>
      <c r="AA2401" s="15" t="n"/>
      <c r="AB2401" s="15" t="n"/>
      <c r="AF2401">
        <f>IF(AND($F2401="Closed",$X2401&gt;=DATE(2026,5,1),$X2401&lt;=DATE(2026,5,31)),"Closed in May","Other")</f>
        <v/>
      </c>
    </row>
    <row r="2402">
      <c r="A2402" s="37" t="n">
        <v>46143</v>
      </c>
      <c r="B2402" s="3" t="n">
        <v>2026</v>
      </c>
      <c r="C2402" s="26" t="inlineStr">
        <is>
          <t>Yanara Power</t>
        </is>
      </c>
      <c r="D2402" s="3" t="inlineStr">
        <is>
          <t>Utility and C&amp;I</t>
        </is>
      </c>
      <c r="E2402" s="3" t="n"/>
      <c r="F2402" s="3" t="inlineStr">
        <is>
          <t>Closed</t>
        </is>
      </c>
      <c r="G2402" s="9" t="inlineStr">
        <is>
          <t xml:space="preserve">Ashish Jindal </t>
        </is>
      </c>
      <c r="H2402" s="26" t="n">
        <v>9983975581</v>
      </c>
      <c r="I2402" s="38" t="inlineStr">
        <is>
          <t>PE01052601</t>
        </is>
      </c>
      <c r="J2402" s="26" t="inlineStr">
        <is>
          <t>Multiple Issues</t>
        </is>
      </c>
      <c r="K2402" s="39" t="inlineStr">
        <is>
          <t>Holi</t>
        </is>
      </c>
      <c r="L2402" s="39" t="inlineStr">
        <is>
          <t>Maharashtra</t>
        </is>
      </c>
      <c r="M2402" s="46" t="inlineStr">
        <is>
          <t>PS</t>
        </is>
      </c>
      <c r="N2402" s="3" t="inlineStr">
        <is>
          <t>Cold Soldering</t>
        </is>
      </c>
      <c r="O2402" s="56" t="n">
        <v>575</v>
      </c>
      <c r="P2402" s="46" t="inlineStr">
        <is>
          <t>NSMI24070184606</t>
        </is>
      </c>
      <c r="Q2402" s="54">
        <f>MID(P2402,5,2)</f>
        <v/>
      </c>
      <c r="R2402" s="53">
        <f>MID(P2402,7,2)</f>
        <v/>
      </c>
      <c r="S2402" s="3" t="inlineStr">
        <is>
          <t>G2G</t>
        </is>
      </c>
      <c r="T2402" s="3" t="inlineStr">
        <is>
          <t>P4</t>
        </is>
      </c>
      <c r="U2402" s="19" t="inlineStr">
        <is>
          <t>P JB Cold Soldering</t>
        </is>
      </c>
      <c r="V2402" s="19" t="inlineStr">
        <is>
          <t>Soldering</t>
        </is>
      </c>
      <c r="W2402" s="3" t="inlineStr">
        <is>
          <t>Repair</t>
        </is>
      </c>
      <c r="X2402" s="18" t="n">
        <v>46170</v>
      </c>
      <c r="Y2402" s="73">
        <f>IF(X2402="","",X2402-A2402)</f>
        <v/>
      </c>
      <c r="Z2402" s="18" t="n">
        <v>46170</v>
      </c>
      <c r="AA2402" s="15" t="n"/>
      <c r="AB2402" s="15" t="n"/>
      <c r="AF2402">
        <f>IF(AND($F2402="Closed",$X2402&gt;=DATE(2026,5,1),$X2402&lt;=DATE(2026,5,31)),"Closed in May","Other")</f>
        <v/>
      </c>
    </row>
    <row r="2403">
      <c r="A2403" s="37" t="n">
        <v>46143</v>
      </c>
      <c r="B2403" s="3" t="n">
        <v>2026</v>
      </c>
      <c r="C2403" s="26" t="inlineStr">
        <is>
          <t>Yanara Power</t>
        </is>
      </c>
      <c r="D2403" s="3" t="inlineStr">
        <is>
          <t>Utility and C&amp;I</t>
        </is>
      </c>
      <c r="E2403" s="3" t="n"/>
      <c r="F2403" s="3" t="inlineStr">
        <is>
          <t>Closed</t>
        </is>
      </c>
      <c r="G2403" s="9" t="inlineStr">
        <is>
          <t xml:space="preserve">Ashish Jindal </t>
        </is>
      </c>
      <c r="H2403" s="26" t="n">
        <v>9983975581</v>
      </c>
      <c r="I2403" s="38" t="inlineStr">
        <is>
          <t>PE01052601</t>
        </is>
      </c>
      <c r="J2403" s="26" t="inlineStr">
        <is>
          <t>Multiple Issues</t>
        </is>
      </c>
      <c r="K2403" s="39" t="inlineStr">
        <is>
          <t>Holi</t>
        </is>
      </c>
      <c r="L2403" s="39" t="inlineStr">
        <is>
          <t>Maharashtra</t>
        </is>
      </c>
      <c r="M2403" s="46" t="inlineStr">
        <is>
          <t>PS</t>
        </is>
      </c>
      <c r="N2403" s="3" t="inlineStr">
        <is>
          <t>Cold Soldering</t>
        </is>
      </c>
      <c r="O2403" s="56" t="n">
        <v>575</v>
      </c>
      <c r="P2403" s="46" t="inlineStr">
        <is>
          <t>NSMI24070184565</t>
        </is>
      </c>
      <c r="Q2403" s="54">
        <f>MID(P2403,5,2)</f>
        <v/>
      </c>
      <c r="R2403" s="53">
        <f>MID(P2403,7,2)</f>
        <v/>
      </c>
      <c r="S2403" s="3" t="inlineStr">
        <is>
          <t>G2G</t>
        </is>
      </c>
      <c r="T2403" s="3" t="inlineStr">
        <is>
          <t>P4</t>
        </is>
      </c>
      <c r="U2403" s="19" t="inlineStr">
        <is>
          <t>P JB Cold Soldering</t>
        </is>
      </c>
      <c r="V2403" s="19" t="inlineStr">
        <is>
          <t>Soldering</t>
        </is>
      </c>
      <c r="W2403" s="3" t="inlineStr">
        <is>
          <t>Repair</t>
        </is>
      </c>
      <c r="X2403" s="18" t="n">
        <v>46170</v>
      </c>
      <c r="Y2403" s="73">
        <f>IF(X2403="","",X2403-A2403)</f>
        <v/>
      </c>
      <c r="Z2403" s="18" t="n">
        <v>46170</v>
      </c>
      <c r="AA2403" s="15" t="n"/>
      <c r="AB2403" s="15" t="n"/>
      <c r="AF2403">
        <f>IF(AND($F2403="Closed",$X2403&gt;=DATE(2026,5,1),$X2403&lt;=DATE(2026,5,31)),"Closed in May","Other")</f>
        <v/>
      </c>
    </row>
    <row r="2404">
      <c r="A2404" s="37" t="n">
        <v>46143</v>
      </c>
      <c r="B2404" s="3" t="n">
        <v>2026</v>
      </c>
      <c r="C2404" s="26" t="inlineStr">
        <is>
          <t>Yanara Power</t>
        </is>
      </c>
      <c r="D2404" s="3" t="inlineStr">
        <is>
          <t>Utility and C&amp;I</t>
        </is>
      </c>
      <c r="E2404" s="3" t="n"/>
      <c r="F2404" s="3" t="inlineStr">
        <is>
          <t>Closed</t>
        </is>
      </c>
      <c r="G2404" s="9" t="inlineStr">
        <is>
          <t xml:space="preserve">Ashish Jindal </t>
        </is>
      </c>
      <c r="H2404" s="26" t="n">
        <v>9983975581</v>
      </c>
      <c r="I2404" s="38" t="inlineStr">
        <is>
          <t>PE01052601</t>
        </is>
      </c>
      <c r="J2404" s="26" t="inlineStr">
        <is>
          <t>Multiple Issues</t>
        </is>
      </c>
      <c r="K2404" s="39" t="inlineStr">
        <is>
          <t>Holi</t>
        </is>
      </c>
      <c r="L2404" s="39" t="inlineStr">
        <is>
          <t>Maharashtra</t>
        </is>
      </c>
      <c r="M2404" s="46" t="inlineStr">
        <is>
          <t>NS</t>
        </is>
      </c>
      <c r="N2404" s="3" t="inlineStr">
        <is>
          <t>Cold Soldering</t>
        </is>
      </c>
      <c r="O2404" s="56" t="n">
        <v>575</v>
      </c>
      <c r="P2404" s="46" t="inlineStr">
        <is>
          <t>NSMI24070184623</t>
        </is>
      </c>
      <c r="Q2404" s="54">
        <f>MID(P2404,5,2)</f>
        <v/>
      </c>
      <c r="R2404" s="53">
        <f>MID(P2404,7,2)</f>
        <v/>
      </c>
      <c r="S2404" s="3" t="inlineStr">
        <is>
          <t>G2G</t>
        </is>
      </c>
      <c r="T2404" s="3" t="inlineStr">
        <is>
          <t>P4</t>
        </is>
      </c>
      <c r="U2404" s="3" t="inlineStr">
        <is>
          <t>N JB Cold Soldering</t>
        </is>
      </c>
      <c r="V2404" s="3" t="inlineStr">
        <is>
          <t>Soldering</t>
        </is>
      </c>
      <c r="W2404" s="3" t="inlineStr">
        <is>
          <t>Repair</t>
        </is>
      </c>
      <c r="X2404" s="18" t="n">
        <v>46170</v>
      </c>
      <c r="Y2404" s="73">
        <f>IF(X2404="","",X2404-A2404)</f>
        <v/>
      </c>
      <c r="Z2404" s="18" t="n">
        <v>46170</v>
      </c>
      <c r="AA2404" s="15" t="n"/>
      <c r="AB2404" s="15" t="n"/>
      <c r="AF2404">
        <f>IF(AND($F2404="Closed",$X2404&gt;=DATE(2026,5,1),$X2404&lt;=DATE(2026,5,31)),"Closed in May","Other")</f>
        <v/>
      </c>
    </row>
    <row r="2405">
      <c r="A2405" s="37" t="n">
        <v>46143</v>
      </c>
      <c r="B2405" s="3" t="n">
        <v>2026</v>
      </c>
      <c r="C2405" s="26" t="inlineStr">
        <is>
          <t>Yanara Power</t>
        </is>
      </c>
      <c r="D2405" s="3" t="inlineStr">
        <is>
          <t>Utility and C&amp;I</t>
        </is>
      </c>
      <c r="E2405" s="3" t="n"/>
      <c r="F2405" s="3" t="inlineStr">
        <is>
          <t>Closed</t>
        </is>
      </c>
      <c r="G2405" s="9" t="inlineStr">
        <is>
          <t xml:space="preserve">Ashish Jindal </t>
        </is>
      </c>
      <c r="H2405" s="26" t="n">
        <v>9983975581</v>
      </c>
      <c r="I2405" s="38" t="inlineStr">
        <is>
          <t>PE01052601</t>
        </is>
      </c>
      <c r="J2405" s="26" t="inlineStr">
        <is>
          <t>Multiple Issues</t>
        </is>
      </c>
      <c r="K2405" s="39" t="inlineStr">
        <is>
          <t>Holi</t>
        </is>
      </c>
      <c r="L2405" s="39" t="inlineStr">
        <is>
          <t>Maharashtra</t>
        </is>
      </c>
      <c r="M2405" s="46" t="inlineStr">
        <is>
          <t>NS</t>
        </is>
      </c>
      <c r="N2405" s="3" t="inlineStr">
        <is>
          <t>Cold Soldering</t>
        </is>
      </c>
      <c r="O2405" s="56" t="n">
        <v>575</v>
      </c>
      <c r="P2405" s="46" t="inlineStr">
        <is>
          <t>NSMI24070240151</t>
        </is>
      </c>
      <c r="Q2405" s="54">
        <f>MID(P2405,5,2)</f>
        <v/>
      </c>
      <c r="R2405" s="53">
        <f>MID(P2405,7,2)</f>
        <v/>
      </c>
      <c r="S2405" s="3" t="inlineStr">
        <is>
          <t>G2G</t>
        </is>
      </c>
      <c r="T2405" s="3" t="inlineStr">
        <is>
          <t>P4</t>
        </is>
      </c>
      <c r="U2405" s="3" t="inlineStr">
        <is>
          <t>N JB Cold Soldering</t>
        </is>
      </c>
      <c r="V2405" s="3" t="inlineStr">
        <is>
          <t>Soldering</t>
        </is>
      </c>
      <c r="W2405" s="3" t="inlineStr">
        <is>
          <t>Repair</t>
        </is>
      </c>
      <c r="X2405" s="18" t="n">
        <v>46170</v>
      </c>
      <c r="Y2405" s="73">
        <f>IF(X2405="","",X2405-A2405)</f>
        <v/>
      </c>
      <c r="Z2405" s="18" t="n">
        <v>46170</v>
      </c>
      <c r="AA2405" s="15" t="n"/>
      <c r="AB2405" s="15" t="n"/>
      <c r="AF2405">
        <f>IF(AND($F2405="Closed",$X2405&gt;=DATE(2026,5,1),$X2405&lt;=DATE(2026,5,31)),"Closed in May","Other")</f>
        <v/>
      </c>
    </row>
    <row r="2406">
      <c r="A2406" s="37" t="n">
        <v>46143</v>
      </c>
      <c r="B2406" s="3" t="n">
        <v>2026</v>
      </c>
      <c r="C2406" s="26" t="inlineStr">
        <is>
          <t>Yanara Power</t>
        </is>
      </c>
      <c r="D2406" s="3" t="inlineStr">
        <is>
          <t>Utility and C&amp;I</t>
        </is>
      </c>
      <c r="E2406" s="3" t="n"/>
      <c r="F2406" s="3" t="inlineStr">
        <is>
          <t>Closed</t>
        </is>
      </c>
      <c r="G2406" s="9" t="inlineStr">
        <is>
          <t xml:space="preserve">Ashish Jindal </t>
        </is>
      </c>
      <c r="H2406" s="26" t="n">
        <v>9983975581</v>
      </c>
      <c r="I2406" s="38" t="inlineStr">
        <is>
          <t>PE01052601</t>
        </is>
      </c>
      <c r="J2406" s="26" t="inlineStr">
        <is>
          <t>Multiple Issues</t>
        </is>
      </c>
      <c r="K2406" s="39" t="inlineStr">
        <is>
          <t>Holi</t>
        </is>
      </c>
      <c r="L2406" s="39" t="inlineStr">
        <is>
          <t>Maharashtra</t>
        </is>
      </c>
      <c r="M2406" s="47" t="inlineStr">
        <is>
          <t>PS</t>
        </is>
      </c>
      <c r="N2406" s="3" t="inlineStr">
        <is>
          <t>Cold Soldering</t>
        </is>
      </c>
      <c r="O2406" s="56" t="n">
        <v>575</v>
      </c>
      <c r="P2406" s="47" t="inlineStr">
        <is>
          <t>NSMI24070184665</t>
        </is>
      </c>
      <c r="Q2406" s="54">
        <f>MID(P2406,5,2)</f>
        <v/>
      </c>
      <c r="R2406" s="53">
        <f>MID(P2406,7,2)</f>
        <v/>
      </c>
      <c r="S2406" s="3" t="inlineStr">
        <is>
          <t>G2G</t>
        </is>
      </c>
      <c r="T2406" s="3" t="inlineStr">
        <is>
          <t>P4</t>
        </is>
      </c>
      <c r="U2406" s="19" t="inlineStr">
        <is>
          <t>P JB Cold Soldering</t>
        </is>
      </c>
      <c r="V2406" s="19" t="inlineStr">
        <is>
          <t>Soldering</t>
        </is>
      </c>
      <c r="W2406" s="3" t="inlineStr">
        <is>
          <t>Repair</t>
        </is>
      </c>
      <c r="X2406" s="18" t="n">
        <v>46170</v>
      </c>
      <c r="Y2406" s="73">
        <f>IF(X2406="","",X2406-A2406)</f>
        <v/>
      </c>
      <c r="Z2406" s="18" t="n">
        <v>46170</v>
      </c>
      <c r="AA2406" s="15" t="n"/>
      <c r="AB2406" s="15" t="n"/>
      <c r="AF2406">
        <f>IF(AND($F2406="Closed",$X2406&gt;=DATE(2026,5,1),$X2406&lt;=DATE(2026,5,31)),"Closed in May","Other")</f>
        <v/>
      </c>
    </row>
    <row r="2407">
      <c r="A2407" s="59" t="n">
        <v>46160</v>
      </c>
      <c r="B2407" s="3" t="n">
        <v>2026</v>
      </c>
      <c r="C2407" s="26" t="inlineStr">
        <is>
          <t>Solar Square</t>
        </is>
      </c>
      <c r="D2407" s="26" t="inlineStr">
        <is>
          <t>OEM</t>
        </is>
      </c>
      <c r="E2407" s="3" t="n"/>
      <c r="F2407" s="3" t="inlineStr">
        <is>
          <t>Closed</t>
        </is>
      </c>
      <c r="G2407" s="39" t="inlineStr">
        <is>
          <t>Murali</t>
        </is>
      </c>
      <c r="H2407" s="39" t="n">
        <v>9703345015</v>
      </c>
      <c r="I2407" s="22" t="inlineStr">
        <is>
          <t>PE18052601</t>
        </is>
      </c>
      <c r="J2407" s="21" t="inlineStr">
        <is>
          <t>Low VOC</t>
        </is>
      </c>
      <c r="K2407" s="21" t="inlineStr">
        <is>
          <t>Nagpur</t>
        </is>
      </c>
      <c r="L2407" s="60" t="inlineStr">
        <is>
          <t>Maharashtra</t>
        </is>
      </c>
      <c r="M2407" s="9" t="inlineStr">
        <is>
          <t xml:space="preserve">N Jb change </t>
        </is>
      </c>
      <c r="N2407" s="26" t="inlineStr">
        <is>
          <t>JB Issue</t>
        </is>
      </c>
      <c r="O2407" s="60" t="n">
        <v>540</v>
      </c>
      <c r="P2407" s="9" t="inlineStr">
        <is>
          <t>NSMP25022718107</t>
        </is>
      </c>
      <c r="Q2407" s="53">
        <f>MID(P2407,5,2)</f>
        <v/>
      </c>
      <c r="R2407" s="53">
        <f>MID(P2407,7,2)</f>
        <v/>
      </c>
      <c r="S2407" s="3" t="inlineStr">
        <is>
          <t>G2TB</t>
        </is>
      </c>
      <c r="T2407" s="3" t="inlineStr">
        <is>
          <t>P2</t>
        </is>
      </c>
      <c r="U2407" s="9" t="inlineStr">
        <is>
          <t>N JB Issue</t>
        </is>
      </c>
      <c r="V2407" s="3" t="inlineStr">
        <is>
          <t>JB Changed</t>
        </is>
      </c>
      <c r="W2407" s="3" t="inlineStr">
        <is>
          <t>Repair</t>
        </is>
      </c>
      <c r="X2407" s="18" t="n">
        <v>46171</v>
      </c>
      <c r="Y2407" s="73">
        <f>IF(X2407="","",X2407-A2407)</f>
        <v/>
      </c>
      <c r="Z2407" s="18" t="n">
        <v>46171</v>
      </c>
      <c r="AA2407" s="15" t="n"/>
      <c r="AB2407" s="15" t="n"/>
      <c r="AF2407">
        <f>IF(AND($F2407="Closed",$X2407&gt;=DATE(2026,5,1),$X2407&lt;=DATE(2026,5,31)),"Closed in May","Other")</f>
        <v/>
      </c>
    </row>
    <row r="2408">
      <c r="A2408" s="59" t="n">
        <v>46160</v>
      </c>
      <c r="B2408" s="3" t="n">
        <v>2026</v>
      </c>
      <c r="C2408" s="26" t="inlineStr">
        <is>
          <t>Solar Square</t>
        </is>
      </c>
      <c r="D2408" s="26" t="inlineStr">
        <is>
          <t>OEM</t>
        </is>
      </c>
      <c r="E2408" s="3" t="n"/>
      <c r="F2408" s="3" t="inlineStr">
        <is>
          <t>Closed</t>
        </is>
      </c>
      <c r="G2408" s="39" t="inlineStr">
        <is>
          <t>Murali</t>
        </is>
      </c>
      <c r="H2408" s="39" t="n">
        <v>9703345015</v>
      </c>
      <c r="I2408" s="22" t="inlineStr">
        <is>
          <t>PE18052601</t>
        </is>
      </c>
      <c r="J2408" s="21" t="inlineStr">
        <is>
          <t>Low VOC</t>
        </is>
      </c>
      <c r="K2408" s="21" t="inlineStr">
        <is>
          <t>Nagpur</t>
        </is>
      </c>
      <c r="L2408" s="60" t="inlineStr">
        <is>
          <t>Maharashtra</t>
        </is>
      </c>
      <c r="M2408" s="9" t="inlineStr">
        <is>
          <t xml:space="preserve">P &amp; M jb change </t>
        </is>
      </c>
      <c r="N2408" s="26" t="inlineStr">
        <is>
          <t>JB Issue</t>
        </is>
      </c>
      <c r="O2408" s="60" t="n">
        <v>540</v>
      </c>
      <c r="P2408" s="9" t="inlineStr">
        <is>
          <t>NSMP25022719752</t>
        </is>
      </c>
      <c r="Q2408" s="53">
        <f>MID(P2408,5,2)</f>
        <v/>
      </c>
      <c r="R2408" s="53">
        <f>MID(P2408,7,2)</f>
        <v/>
      </c>
      <c r="S2408" s="3" t="inlineStr">
        <is>
          <t>G2TB</t>
        </is>
      </c>
      <c r="T2408" s="3" t="inlineStr">
        <is>
          <t>P2</t>
        </is>
      </c>
      <c r="U2408" s="9" t="inlineStr">
        <is>
          <t xml:space="preserve">P &amp; M JB Issue </t>
        </is>
      </c>
      <c r="V2408" s="3" t="inlineStr">
        <is>
          <t>JB Changed</t>
        </is>
      </c>
      <c r="W2408" s="3" t="inlineStr">
        <is>
          <t>Repair</t>
        </is>
      </c>
      <c r="X2408" s="18" t="n">
        <v>46171</v>
      </c>
      <c r="Y2408" s="73">
        <f>IF(X2408="","",X2408-A2408)</f>
        <v/>
      </c>
      <c r="Z2408" s="18" t="n">
        <v>46171</v>
      </c>
      <c r="AA2408" s="15" t="n"/>
      <c r="AB2408" s="15" t="n"/>
      <c r="AF2408">
        <f>IF(AND($F2408="Closed",$X2408&gt;=DATE(2026,5,1),$X2408&lt;=DATE(2026,5,31)),"Closed in May","Other")</f>
        <v/>
      </c>
    </row>
    <row r="2409">
      <c r="A2409" s="59" t="n">
        <v>46168</v>
      </c>
      <c r="B2409" s="3" t="n">
        <v>2026</v>
      </c>
      <c r="C2409" s="26" t="inlineStr">
        <is>
          <t>Solar Square</t>
        </is>
      </c>
      <c r="D2409" s="26" t="inlineStr">
        <is>
          <t>OEM</t>
        </is>
      </c>
      <c r="E2409" s="3" t="n"/>
      <c r="F2409" s="3" t="inlineStr">
        <is>
          <t>Closed</t>
        </is>
      </c>
      <c r="G2409" s="39" t="inlineStr">
        <is>
          <t>Murali</t>
        </is>
      </c>
      <c r="H2409" s="39" t="n">
        <v>9703345015</v>
      </c>
      <c r="I2409" s="22" t="inlineStr">
        <is>
          <t>PE26052601</t>
        </is>
      </c>
      <c r="J2409" s="21" t="inlineStr">
        <is>
          <t>Low VOC</t>
        </is>
      </c>
      <c r="K2409" s="21" t="inlineStr">
        <is>
          <t>Nagpur</t>
        </is>
      </c>
      <c r="L2409" s="60" t="inlineStr">
        <is>
          <t>Maharashtra</t>
        </is>
      </c>
      <c r="M2409" s="9" t="inlineStr">
        <is>
          <t>N Jb change</t>
        </is>
      </c>
      <c r="N2409" s="26" t="inlineStr">
        <is>
          <t>JB Issue</t>
        </is>
      </c>
      <c r="O2409" s="60" t="n">
        <v>540</v>
      </c>
      <c r="P2409" s="9" t="inlineStr">
        <is>
          <t>NSMP25050263002</t>
        </is>
      </c>
      <c r="Q2409" s="53">
        <f>MID(P2409,5,2)</f>
        <v/>
      </c>
      <c r="R2409" s="53">
        <f>MID(P2409,7,2)</f>
        <v/>
      </c>
      <c r="S2409" s="3" t="inlineStr">
        <is>
          <t>G2TB</t>
        </is>
      </c>
      <c r="T2409" s="3" t="inlineStr">
        <is>
          <t>P2</t>
        </is>
      </c>
      <c r="U2409" s="9" t="inlineStr">
        <is>
          <t>N JB Issue</t>
        </is>
      </c>
      <c r="V2409" s="3" t="inlineStr">
        <is>
          <t>JB Changed</t>
        </is>
      </c>
      <c r="W2409" s="3" t="inlineStr">
        <is>
          <t>Repair</t>
        </is>
      </c>
      <c r="X2409" s="18" t="n">
        <v>46171</v>
      </c>
      <c r="Y2409" s="73">
        <f>IF(X2409="","",X2409-A2409)</f>
        <v/>
      </c>
      <c r="Z2409" s="18" t="n">
        <v>46171</v>
      </c>
      <c r="AA2409" s="15" t="n"/>
      <c r="AB2409" s="15" t="n"/>
      <c r="AF2409">
        <f>IF(AND($F2409="Closed",$X2409&gt;=DATE(2026,5,1),$X2409&lt;=DATE(2026,5,31)),"Closed in May","Other")</f>
        <v/>
      </c>
    </row>
    <row r="2410">
      <c r="A2410" s="59" t="n">
        <v>46168</v>
      </c>
      <c r="B2410" s="3" t="n">
        <v>2026</v>
      </c>
      <c r="C2410" s="26" t="inlineStr">
        <is>
          <t>Solar Square</t>
        </is>
      </c>
      <c r="D2410" s="26" t="inlineStr">
        <is>
          <t>OEM</t>
        </is>
      </c>
      <c r="E2410" s="3" t="n"/>
      <c r="F2410" s="3" t="inlineStr">
        <is>
          <t>Closed</t>
        </is>
      </c>
      <c r="G2410" s="39" t="inlineStr">
        <is>
          <t>Murali</t>
        </is>
      </c>
      <c r="H2410" s="39" t="n">
        <v>9703345015</v>
      </c>
      <c r="I2410" s="22" t="inlineStr">
        <is>
          <t>PE26052601</t>
        </is>
      </c>
      <c r="J2410" s="21" t="inlineStr">
        <is>
          <t>Low VOC</t>
        </is>
      </c>
      <c r="K2410" s="21" t="inlineStr">
        <is>
          <t>Nagpur</t>
        </is>
      </c>
      <c r="L2410" s="60" t="inlineStr">
        <is>
          <t>Maharashtra</t>
        </is>
      </c>
      <c r="M2410" s="9" t="inlineStr">
        <is>
          <t>P &amp; M jb change</t>
        </is>
      </c>
      <c r="N2410" s="26" t="inlineStr">
        <is>
          <t>JB Issue</t>
        </is>
      </c>
      <c r="O2410" s="60" t="n">
        <v>540</v>
      </c>
      <c r="P2410" s="9" t="inlineStr">
        <is>
          <t>NSMP25050262853</t>
        </is>
      </c>
      <c r="Q2410" s="53">
        <f>MID(P2410,5,2)</f>
        <v/>
      </c>
      <c r="R2410" s="53">
        <f>MID(P2410,7,2)</f>
        <v/>
      </c>
      <c r="S2410" s="3" t="inlineStr">
        <is>
          <t>G2TB</t>
        </is>
      </c>
      <c r="T2410" s="3" t="inlineStr">
        <is>
          <t>P2</t>
        </is>
      </c>
      <c r="U2410" s="9" t="inlineStr">
        <is>
          <t xml:space="preserve">P &amp; M JB Issue </t>
        </is>
      </c>
      <c r="V2410" s="3" t="inlineStr">
        <is>
          <t>JB Changed</t>
        </is>
      </c>
      <c r="W2410" s="3" t="inlineStr">
        <is>
          <t>Repair</t>
        </is>
      </c>
      <c r="X2410" s="18" t="n">
        <v>46171</v>
      </c>
      <c r="Y2410" s="73">
        <f>IF(X2410="","",X2410-A2410)</f>
        <v/>
      </c>
      <c r="Z2410" s="18" t="n">
        <v>46171</v>
      </c>
      <c r="AA2410" s="15" t="n"/>
      <c r="AB2410" s="15" t="n"/>
      <c r="AF2410">
        <f>IF(AND($F2410="Closed",$X2410&gt;=DATE(2026,5,1),$X2410&lt;=DATE(2026,5,31)),"Closed in May","Other")</f>
        <v/>
      </c>
    </row>
    <row r="2411">
      <c r="A2411" s="59" t="n">
        <v>46168</v>
      </c>
      <c r="B2411" s="3" t="n">
        <v>2026</v>
      </c>
      <c r="C2411" s="26" t="inlineStr">
        <is>
          <t>Solar Square</t>
        </is>
      </c>
      <c r="D2411" s="26" t="inlineStr">
        <is>
          <t>OEM</t>
        </is>
      </c>
      <c r="E2411" s="3" t="n"/>
      <c r="F2411" s="3" t="inlineStr">
        <is>
          <t>Closed</t>
        </is>
      </c>
      <c r="G2411" s="39" t="inlineStr">
        <is>
          <t>Murali</t>
        </is>
      </c>
      <c r="H2411" s="39" t="n">
        <v>9703345015</v>
      </c>
      <c r="I2411" s="22" t="inlineStr">
        <is>
          <t>PE26052601</t>
        </is>
      </c>
      <c r="J2411" s="21" t="inlineStr">
        <is>
          <t>Low VOC</t>
        </is>
      </c>
      <c r="K2411" s="21" t="inlineStr">
        <is>
          <t>Nagpur</t>
        </is>
      </c>
      <c r="L2411" s="60" t="inlineStr">
        <is>
          <t>Maharashtra</t>
        </is>
      </c>
      <c r="M2411" s="9" t="inlineStr">
        <is>
          <t>All jb change</t>
        </is>
      </c>
      <c r="N2411" s="26" t="inlineStr">
        <is>
          <t>JB Issue</t>
        </is>
      </c>
      <c r="O2411" s="60" t="n">
        <v>540</v>
      </c>
      <c r="P2411" s="9" t="inlineStr">
        <is>
          <t>NSMP25050263000</t>
        </is>
      </c>
      <c r="Q2411" s="53">
        <f>MID(P2411,5,2)</f>
        <v/>
      </c>
      <c r="R2411" s="53">
        <f>MID(P2411,7,2)</f>
        <v/>
      </c>
      <c r="S2411" s="3" t="inlineStr">
        <is>
          <t>G2TB</t>
        </is>
      </c>
      <c r="T2411" s="3" t="inlineStr">
        <is>
          <t>P2</t>
        </is>
      </c>
      <c r="U2411" s="9" t="inlineStr">
        <is>
          <t>All JB Issue</t>
        </is>
      </c>
      <c r="V2411" s="3" t="inlineStr">
        <is>
          <t>JB Changed</t>
        </is>
      </c>
      <c r="W2411" s="3" t="inlineStr">
        <is>
          <t>Repair</t>
        </is>
      </c>
      <c r="X2411" s="18" t="n">
        <v>46171</v>
      </c>
      <c r="Y2411" s="73">
        <f>IF(X2411="","",X2411-A2411)</f>
        <v/>
      </c>
      <c r="Z2411" s="18" t="n">
        <v>46171</v>
      </c>
      <c r="AA2411" s="15" t="n"/>
      <c r="AB2411" s="15" t="n"/>
      <c r="AF2411">
        <f>IF(AND($F2411="Closed",$X2411&gt;=DATE(2026,5,1),$X2411&lt;=DATE(2026,5,31)),"Closed in May","Other")</f>
        <v/>
      </c>
    </row>
    <row r="2412">
      <c r="A2412" s="59" t="n">
        <v>46168</v>
      </c>
      <c r="B2412" s="3" t="n">
        <v>2026</v>
      </c>
      <c r="C2412" s="26" t="inlineStr">
        <is>
          <t>Solar Square</t>
        </is>
      </c>
      <c r="D2412" s="26" t="inlineStr">
        <is>
          <t>OEM</t>
        </is>
      </c>
      <c r="E2412" s="3" t="n"/>
      <c r="F2412" s="3" t="inlineStr">
        <is>
          <t>Closed</t>
        </is>
      </c>
      <c r="G2412" s="39" t="inlineStr">
        <is>
          <t>Murali</t>
        </is>
      </c>
      <c r="H2412" s="39" t="n">
        <v>9703345015</v>
      </c>
      <c r="I2412" s="22" t="inlineStr">
        <is>
          <t>PE26052601</t>
        </is>
      </c>
      <c r="J2412" s="21" t="inlineStr">
        <is>
          <t>Low VOC</t>
        </is>
      </c>
      <c r="K2412" s="21" t="inlineStr">
        <is>
          <t>Nagpur</t>
        </is>
      </c>
      <c r="L2412" s="60" t="inlineStr">
        <is>
          <t>Maharashtra</t>
        </is>
      </c>
      <c r="M2412" s="9" t="inlineStr">
        <is>
          <t>P &amp; M jb change</t>
        </is>
      </c>
      <c r="N2412" s="26" t="inlineStr">
        <is>
          <t>JB Issue</t>
        </is>
      </c>
      <c r="O2412" s="60" t="n">
        <v>540</v>
      </c>
      <c r="P2412" s="9" t="inlineStr">
        <is>
          <t>NSMP25050262998</t>
        </is>
      </c>
      <c r="Q2412" s="53">
        <f>MID(P2412,5,2)</f>
        <v/>
      </c>
      <c r="R2412" s="53">
        <f>MID(P2412,7,2)</f>
        <v/>
      </c>
      <c r="S2412" s="3" t="inlineStr">
        <is>
          <t>G2TB</t>
        </is>
      </c>
      <c r="T2412" s="3" t="inlineStr">
        <is>
          <t>P2</t>
        </is>
      </c>
      <c r="U2412" s="9" t="inlineStr">
        <is>
          <t xml:space="preserve">P &amp; M JB Issue </t>
        </is>
      </c>
      <c r="V2412" s="3" t="inlineStr">
        <is>
          <t>JB Changed</t>
        </is>
      </c>
      <c r="W2412" s="3" t="inlineStr">
        <is>
          <t>Repair</t>
        </is>
      </c>
      <c r="X2412" s="18" t="n">
        <v>46171</v>
      </c>
      <c r="Y2412" s="73">
        <f>IF(X2412="","",X2412-A2412)</f>
        <v/>
      </c>
      <c r="Z2412" s="18" t="n">
        <v>46171</v>
      </c>
      <c r="AA2412" s="15" t="n"/>
      <c r="AB2412" s="15" t="n"/>
      <c r="AF2412">
        <f>IF(AND($F2412="Closed",$X2412&gt;=DATE(2026,5,1),$X2412&lt;=DATE(2026,5,31)),"Closed in May","Other")</f>
        <v/>
      </c>
    </row>
    <row r="2413">
      <c r="A2413" s="59" t="n">
        <v>46168</v>
      </c>
      <c r="B2413" s="3" t="n">
        <v>2026</v>
      </c>
      <c r="C2413" s="26" t="inlineStr">
        <is>
          <t>Solar Square</t>
        </is>
      </c>
      <c r="D2413" s="26" t="inlineStr">
        <is>
          <t>OEM</t>
        </is>
      </c>
      <c r="E2413" s="3" t="n"/>
      <c r="F2413" s="3" t="inlineStr">
        <is>
          <t>Closed</t>
        </is>
      </c>
      <c r="G2413" s="39" t="inlineStr">
        <is>
          <t>Murali</t>
        </is>
      </c>
      <c r="H2413" s="39" t="n">
        <v>9703345015</v>
      </c>
      <c r="I2413" s="22" t="inlineStr">
        <is>
          <t>PE26052601</t>
        </is>
      </c>
      <c r="J2413" s="21" t="inlineStr">
        <is>
          <t>Low VOC</t>
        </is>
      </c>
      <c r="K2413" s="21" t="inlineStr">
        <is>
          <t>Nagpur</t>
        </is>
      </c>
      <c r="L2413" s="60" t="inlineStr">
        <is>
          <t>Maharashtra</t>
        </is>
      </c>
      <c r="M2413" s="9" t="inlineStr">
        <is>
          <t>All jb change</t>
        </is>
      </c>
      <c r="N2413" s="26" t="inlineStr">
        <is>
          <t>JB Issue</t>
        </is>
      </c>
      <c r="O2413" s="60" t="n">
        <v>540</v>
      </c>
      <c r="P2413" s="9" t="inlineStr">
        <is>
          <t>NSMP25050260829</t>
        </is>
      </c>
      <c r="Q2413" s="53">
        <f>MID(P2413,5,2)</f>
        <v/>
      </c>
      <c r="R2413" s="53">
        <f>MID(P2413,7,2)</f>
        <v/>
      </c>
      <c r="S2413" s="3" t="inlineStr">
        <is>
          <t>G2TB</t>
        </is>
      </c>
      <c r="T2413" s="3" t="inlineStr">
        <is>
          <t>P2</t>
        </is>
      </c>
      <c r="U2413" s="9" t="inlineStr">
        <is>
          <t>All JB Issue</t>
        </is>
      </c>
      <c r="V2413" s="3" t="inlineStr">
        <is>
          <t>JB Changed</t>
        </is>
      </c>
      <c r="W2413" s="3" t="inlineStr">
        <is>
          <t>Repair</t>
        </is>
      </c>
      <c r="X2413" s="18" t="n">
        <v>46171</v>
      </c>
      <c r="Y2413" s="73">
        <f>IF(X2413="","",X2413-A2413)</f>
        <v/>
      </c>
      <c r="Z2413" s="18" t="n">
        <v>46171</v>
      </c>
      <c r="AA2413" s="15" t="n"/>
      <c r="AB2413" s="15" t="n"/>
      <c r="AF2413">
        <f>IF(AND($F2413="Closed",$X2413&gt;=DATE(2026,5,1),$X2413&lt;=DATE(2026,5,31)),"Closed in May","Other")</f>
        <v/>
      </c>
    </row>
    <row r="2414">
      <c r="A2414" s="59" t="n">
        <v>46148</v>
      </c>
      <c r="B2414" s="3" t="n">
        <v>2026</v>
      </c>
      <c r="C2414" s="21" t="inlineStr">
        <is>
          <t>Continuum</t>
        </is>
      </c>
      <c r="D2414" s="3" t="inlineStr">
        <is>
          <t>Utility and C&amp;I</t>
        </is>
      </c>
      <c r="E2414" s="3" t="n"/>
      <c r="F2414" s="3" t="inlineStr">
        <is>
          <t>Closed</t>
        </is>
      </c>
      <c r="G2414" s="21" t="inlineStr">
        <is>
          <t>Amiya Ranjan Behera</t>
        </is>
      </c>
      <c r="H2414" s="21" t="n">
        <v>8917436223</v>
      </c>
      <c r="I2414" s="38" t="inlineStr">
        <is>
          <t>PE06052602</t>
        </is>
      </c>
      <c r="J2414" s="21" t="inlineStr">
        <is>
          <t>Diode Bypass Module Issue</t>
        </is>
      </c>
      <c r="K2414" s="21" t="inlineStr">
        <is>
          <t>Bhavnagar</t>
        </is>
      </c>
      <c r="L2414" s="21" t="inlineStr">
        <is>
          <t>Gujarat</t>
        </is>
      </c>
      <c r="M2414" s="95" t="inlineStr">
        <is>
          <t>PS</t>
        </is>
      </c>
      <c r="N2414" s="3" t="inlineStr">
        <is>
          <t>Cold Soldering</t>
        </is>
      </c>
      <c r="O2414" s="62" t="n">
        <v>540</v>
      </c>
      <c r="P2414" s="9" t="inlineStr">
        <is>
          <t>NSMP2304038359</t>
        </is>
      </c>
      <c r="Q2414" s="53">
        <f>MID(P2414,5,2)</f>
        <v/>
      </c>
      <c r="R2414" s="53">
        <f>MID(P2414,7,2)</f>
        <v/>
      </c>
      <c r="S2414" s="3" t="inlineStr">
        <is>
          <t>G2B</t>
        </is>
      </c>
      <c r="T2414" s="3" t="inlineStr">
        <is>
          <t>P2</t>
        </is>
      </c>
      <c r="U2414" s="3" t="inlineStr">
        <is>
          <t>P JB Cold Soldering</t>
        </is>
      </c>
      <c r="V2414" s="3" t="inlineStr">
        <is>
          <t>Soldering</t>
        </is>
      </c>
      <c r="W2414" s="3" t="inlineStr">
        <is>
          <t>Repair</t>
        </is>
      </c>
      <c r="X2414" s="18" t="n">
        <v>46171</v>
      </c>
      <c r="Y2414" s="73">
        <f>IF(X2414="","",X2414-A2414)</f>
        <v/>
      </c>
      <c r="Z2414" s="18" t="n">
        <v>46171</v>
      </c>
      <c r="AA2414" s="15" t="n"/>
      <c r="AB2414" s="15" t="n"/>
      <c r="AF2414">
        <f>IF(AND($F2414="Closed",$X2414&gt;=DATE(2026,5,1),$X2414&lt;=DATE(2026,5,31)),"Closed in May","Other")</f>
        <v/>
      </c>
    </row>
    <row r="2415">
      <c r="A2415" s="59" t="n">
        <v>46148</v>
      </c>
      <c r="B2415" s="3" t="n">
        <v>2026</v>
      </c>
      <c r="C2415" s="21" t="inlineStr">
        <is>
          <t>Continuum</t>
        </is>
      </c>
      <c r="D2415" s="3" t="inlineStr">
        <is>
          <t>Utility and C&amp;I</t>
        </is>
      </c>
      <c r="E2415" s="3" t="n"/>
      <c r="F2415" s="3" t="inlineStr">
        <is>
          <t>Closed</t>
        </is>
      </c>
      <c r="G2415" s="21" t="inlineStr">
        <is>
          <t>Amiya Ranjan Behera</t>
        </is>
      </c>
      <c r="H2415" s="21" t="n">
        <v>8917436223</v>
      </c>
      <c r="I2415" s="38" t="inlineStr">
        <is>
          <t>PE06052602</t>
        </is>
      </c>
      <c r="J2415" s="21" t="inlineStr">
        <is>
          <t>Diode Bypass Module Issue</t>
        </is>
      </c>
      <c r="K2415" s="21" t="inlineStr">
        <is>
          <t>Bhavnagar</t>
        </is>
      </c>
      <c r="L2415" s="21" t="inlineStr">
        <is>
          <t>Gujarat</t>
        </is>
      </c>
      <c r="M2415" s="96" t="inlineStr">
        <is>
          <t>PS</t>
        </is>
      </c>
      <c r="N2415" s="3" t="inlineStr">
        <is>
          <t>Cold Soldering</t>
        </is>
      </c>
      <c r="O2415" s="62" t="n">
        <v>540</v>
      </c>
      <c r="P2415" s="9" t="inlineStr">
        <is>
          <t>NSMP2304069009</t>
        </is>
      </c>
      <c r="Q2415" s="53">
        <f>MID(P2415,5,2)</f>
        <v/>
      </c>
      <c r="R2415" s="53">
        <f>MID(P2415,7,2)</f>
        <v/>
      </c>
      <c r="S2415" s="3" t="inlineStr">
        <is>
          <t>G2B</t>
        </is>
      </c>
      <c r="T2415" s="3" t="inlineStr">
        <is>
          <t>P2</t>
        </is>
      </c>
      <c r="U2415" s="3" t="inlineStr">
        <is>
          <t>P JB Cold Soldering</t>
        </is>
      </c>
      <c r="V2415" s="3" t="inlineStr">
        <is>
          <t>Soldering</t>
        </is>
      </c>
      <c r="W2415" s="3" t="inlineStr">
        <is>
          <t>Repair</t>
        </is>
      </c>
      <c r="X2415" s="18" t="n">
        <v>46171</v>
      </c>
      <c r="Y2415" s="73">
        <f>IF(X2415="","",X2415-A2415)</f>
        <v/>
      </c>
      <c r="Z2415" s="18" t="n">
        <v>46171</v>
      </c>
      <c r="AA2415" s="15" t="n"/>
      <c r="AB2415" s="15" t="n"/>
      <c r="AF2415">
        <f>IF(AND($F2415="Closed",$X2415&gt;=DATE(2026,5,1),$X2415&lt;=DATE(2026,5,31)),"Closed in May","Other")</f>
        <v/>
      </c>
    </row>
    <row r="2416">
      <c r="A2416" s="59" t="n">
        <v>46148</v>
      </c>
      <c r="B2416" s="3" t="n">
        <v>2026</v>
      </c>
      <c r="C2416" s="21" t="inlineStr">
        <is>
          <t>Continuum</t>
        </is>
      </c>
      <c r="D2416" s="3" t="inlineStr">
        <is>
          <t>Utility and C&amp;I</t>
        </is>
      </c>
      <c r="E2416" s="3" t="n"/>
      <c r="F2416" s="3" t="inlineStr">
        <is>
          <t>Closed</t>
        </is>
      </c>
      <c r="G2416" s="21" t="inlineStr">
        <is>
          <t>Amiya Ranjan Behera</t>
        </is>
      </c>
      <c r="H2416" s="21" t="n">
        <v>8917436223</v>
      </c>
      <c r="I2416" s="38" t="inlineStr">
        <is>
          <t>PE06052602</t>
        </is>
      </c>
      <c r="J2416" s="21" t="inlineStr">
        <is>
          <t>Diode Bypass Module Issue</t>
        </is>
      </c>
      <c r="K2416" s="21" t="inlineStr">
        <is>
          <t>Bhavnagar</t>
        </is>
      </c>
      <c r="L2416" s="21" t="inlineStr">
        <is>
          <t>Gujarat</t>
        </is>
      </c>
      <c r="M2416" s="96" t="inlineStr">
        <is>
          <t>PS</t>
        </is>
      </c>
      <c r="N2416" s="3" t="inlineStr">
        <is>
          <t>Cold Soldering</t>
        </is>
      </c>
      <c r="O2416" s="62" t="n">
        <v>540</v>
      </c>
      <c r="P2416" s="9" t="inlineStr">
        <is>
          <t>NSMP2304068998</t>
        </is>
      </c>
      <c r="Q2416" s="53">
        <f>MID(P2416,5,2)</f>
        <v/>
      </c>
      <c r="R2416" s="53">
        <f>MID(P2416,7,2)</f>
        <v/>
      </c>
      <c r="S2416" s="3" t="inlineStr">
        <is>
          <t>G2B</t>
        </is>
      </c>
      <c r="T2416" s="3" t="inlineStr">
        <is>
          <t>P2</t>
        </is>
      </c>
      <c r="U2416" s="3" t="inlineStr">
        <is>
          <t>P JB Cold Soldering</t>
        </is>
      </c>
      <c r="V2416" s="3" t="inlineStr">
        <is>
          <t>Soldering</t>
        </is>
      </c>
      <c r="W2416" s="3" t="inlineStr">
        <is>
          <t>Repair</t>
        </is>
      </c>
      <c r="X2416" s="18" t="n">
        <v>46171</v>
      </c>
      <c r="Y2416" s="73">
        <f>IF(X2416="","",X2416-A2416)</f>
        <v/>
      </c>
      <c r="Z2416" s="18" t="n">
        <v>46171</v>
      </c>
      <c r="AA2416" s="15" t="n"/>
      <c r="AB2416" s="15" t="n"/>
      <c r="AF2416">
        <f>IF(AND($F2416="Closed",$X2416&gt;=DATE(2026,5,1),$X2416&lt;=DATE(2026,5,31)),"Closed in May","Other")</f>
        <v/>
      </c>
    </row>
    <row r="2417">
      <c r="A2417" s="59" t="n">
        <v>46148</v>
      </c>
      <c r="B2417" s="3" t="n">
        <v>2026</v>
      </c>
      <c r="C2417" s="21" t="inlineStr">
        <is>
          <t>Continuum</t>
        </is>
      </c>
      <c r="D2417" s="3" t="inlineStr">
        <is>
          <t>Utility and C&amp;I</t>
        </is>
      </c>
      <c r="E2417" s="3" t="n"/>
      <c r="F2417" s="3" t="inlineStr">
        <is>
          <t>Closed</t>
        </is>
      </c>
      <c r="G2417" s="21" t="inlineStr">
        <is>
          <t>Amiya Ranjan Behera</t>
        </is>
      </c>
      <c r="H2417" s="21" t="n">
        <v>8917436223</v>
      </c>
      <c r="I2417" s="38" t="inlineStr">
        <is>
          <t>PE06052602</t>
        </is>
      </c>
      <c r="J2417" s="21" t="inlineStr">
        <is>
          <t>Diode Bypass Module Issue</t>
        </is>
      </c>
      <c r="K2417" s="21" t="inlineStr">
        <is>
          <t>Bhavnagar</t>
        </is>
      </c>
      <c r="L2417" s="21" t="inlineStr">
        <is>
          <t>Gujarat</t>
        </is>
      </c>
      <c r="M2417" s="96" t="inlineStr">
        <is>
          <t>NR</t>
        </is>
      </c>
      <c r="N2417" s="26" t="inlineStr">
        <is>
          <t>JB Issue</t>
        </is>
      </c>
      <c r="O2417" s="62" t="n">
        <v>540</v>
      </c>
      <c r="P2417" s="9" t="inlineStr">
        <is>
          <t>NSMP2304038136</t>
        </is>
      </c>
      <c r="Q2417" s="53">
        <f>MID(P2417,5,2)</f>
        <v/>
      </c>
      <c r="R2417" s="53">
        <f>MID(P2417,7,2)</f>
        <v/>
      </c>
      <c r="S2417" s="3" t="inlineStr">
        <is>
          <t>G2B</t>
        </is>
      </c>
      <c r="T2417" s="3" t="inlineStr">
        <is>
          <t>P2</t>
        </is>
      </c>
      <c r="U2417" s="19" t="inlineStr">
        <is>
          <t>N JB Issue</t>
        </is>
      </c>
      <c r="V2417" s="19" t="inlineStr">
        <is>
          <t>JB Changed</t>
        </is>
      </c>
      <c r="W2417" s="3" t="inlineStr">
        <is>
          <t>Repair</t>
        </is>
      </c>
      <c r="X2417" s="18" t="n">
        <v>46171</v>
      </c>
      <c r="Y2417" s="73">
        <f>IF(X2417="","",X2417-A2417)</f>
        <v/>
      </c>
      <c r="Z2417" s="18" t="n">
        <v>46171</v>
      </c>
      <c r="AA2417" s="15" t="n"/>
      <c r="AB2417" s="15" t="n"/>
      <c r="AF2417">
        <f>IF(AND($F2417="Closed",$X2417&gt;=DATE(2026,5,1),$X2417&lt;=DATE(2026,5,31)),"Closed in May","Other")</f>
        <v/>
      </c>
    </row>
    <row r="2418">
      <c r="A2418" s="59" t="n">
        <v>46148</v>
      </c>
      <c r="B2418" s="3" t="n">
        <v>2026</v>
      </c>
      <c r="C2418" s="21" t="inlineStr">
        <is>
          <t>Continuum</t>
        </is>
      </c>
      <c r="D2418" s="3" t="inlineStr">
        <is>
          <t>Utility and C&amp;I</t>
        </is>
      </c>
      <c r="E2418" s="3" t="n"/>
      <c r="F2418" s="3" t="inlineStr">
        <is>
          <t>Closed</t>
        </is>
      </c>
      <c r="G2418" s="21" t="inlineStr">
        <is>
          <t>Amiya Ranjan Behera</t>
        </is>
      </c>
      <c r="H2418" s="21" t="n">
        <v>8917436223</v>
      </c>
      <c r="I2418" s="38" t="inlineStr">
        <is>
          <t>PE06052602</t>
        </is>
      </c>
      <c r="J2418" s="21" t="inlineStr">
        <is>
          <t>Diode Bypass Module Issue</t>
        </is>
      </c>
      <c r="K2418" s="21" t="inlineStr">
        <is>
          <t>Bhavnagar</t>
        </is>
      </c>
      <c r="L2418" s="21" t="inlineStr">
        <is>
          <t>Gujarat</t>
        </is>
      </c>
      <c r="M2418" s="96" t="inlineStr">
        <is>
          <t>NR</t>
        </is>
      </c>
      <c r="N2418" s="26" t="inlineStr">
        <is>
          <t>JB Issue</t>
        </is>
      </c>
      <c r="O2418" s="62" t="n">
        <v>540</v>
      </c>
      <c r="P2418" s="9" t="inlineStr">
        <is>
          <t>NSMP2304045667</t>
        </is>
      </c>
      <c r="Q2418" s="53">
        <f>MID(P2418,5,2)</f>
        <v/>
      </c>
      <c r="R2418" s="53">
        <f>MID(P2418,7,2)</f>
        <v/>
      </c>
      <c r="S2418" s="3" t="inlineStr">
        <is>
          <t>G2B</t>
        </is>
      </c>
      <c r="T2418" s="3" t="inlineStr">
        <is>
          <t>P2</t>
        </is>
      </c>
      <c r="U2418" s="19" t="inlineStr">
        <is>
          <t>N JB Issue</t>
        </is>
      </c>
      <c r="V2418" s="19" t="inlineStr">
        <is>
          <t>JB Changed</t>
        </is>
      </c>
      <c r="W2418" s="3" t="inlineStr">
        <is>
          <t>Repair</t>
        </is>
      </c>
      <c r="X2418" s="18" t="n">
        <v>46171</v>
      </c>
      <c r="Y2418" s="73">
        <f>IF(X2418="","",X2418-A2418)</f>
        <v/>
      </c>
      <c r="Z2418" s="18" t="n">
        <v>46171</v>
      </c>
      <c r="AA2418" s="15" t="n"/>
      <c r="AB2418" s="15" t="n"/>
      <c r="AF2418">
        <f>IF(AND($F2418="Closed",$X2418&gt;=DATE(2026,5,1),$X2418&lt;=DATE(2026,5,31)),"Closed in May","Other")</f>
        <v/>
      </c>
    </row>
    <row r="2419">
      <c r="A2419" s="59" t="n">
        <v>46148</v>
      </c>
      <c r="B2419" s="3" t="n">
        <v>2026</v>
      </c>
      <c r="C2419" s="21" t="inlineStr">
        <is>
          <t>Continuum</t>
        </is>
      </c>
      <c r="D2419" s="3" t="inlineStr">
        <is>
          <t>Utility and C&amp;I</t>
        </is>
      </c>
      <c r="E2419" s="3" t="n"/>
      <c r="F2419" s="3" t="inlineStr">
        <is>
          <t>Closed</t>
        </is>
      </c>
      <c r="G2419" s="21" t="inlineStr">
        <is>
          <t>Amiya Ranjan Behera</t>
        </is>
      </c>
      <c r="H2419" s="21" t="n">
        <v>8917436223</v>
      </c>
      <c r="I2419" s="38" t="inlineStr">
        <is>
          <t>PE06052602</t>
        </is>
      </c>
      <c r="J2419" s="21" t="inlineStr">
        <is>
          <t>Diode Bypass Module Issue</t>
        </is>
      </c>
      <c r="K2419" s="21" t="inlineStr">
        <is>
          <t>Bhavnagar</t>
        </is>
      </c>
      <c r="L2419" s="21" t="inlineStr">
        <is>
          <t>Gujarat</t>
        </is>
      </c>
      <c r="M2419" s="96" t="inlineStr">
        <is>
          <t>PS</t>
        </is>
      </c>
      <c r="N2419" s="3" t="inlineStr">
        <is>
          <t>Cold Soldering</t>
        </is>
      </c>
      <c r="O2419" s="62" t="n">
        <v>540</v>
      </c>
      <c r="P2419" s="9" t="inlineStr">
        <is>
          <t>NSMP2304045672</t>
        </is>
      </c>
      <c r="Q2419" s="53">
        <f>MID(P2419,5,2)</f>
        <v/>
      </c>
      <c r="R2419" s="53">
        <f>MID(P2419,7,2)</f>
        <v/>
      </c>
      <c r="S2419" s="3" t="inlineStr">
        <is>
          <t>G2B</t>
        </is>
      </c>
      <c r="T2419" s="3" t="inlineStr">
        <is>
          <t>P2</t>
        </is>
      </c>
      <c r="U2419" s="3" t="inlineStr">
        <is>
          <t>P JB Cold Soldering</t>
        </is>
      </c>
      <c r="V2419" s="3" t="inlineStr">
        <is>
          <t>Soldering</t>
        </is>
      </c>
      <c r="W2419" s="3" t="inlineStr">
        <is>
          <t>Repair</t>
        </is>
      </c>
      <c r="X2419" s="18" t="n">
        <v>46171</v>
      </c>
      <c r="Y2419" s="73">
        <f>IF(X2419="","",X2419-A2419)</f>
        <v/>
      </c>
      <c r="Z2419" s="18" t="n">
        <v>46171</v>
      </c>
      <c r="AA2419" s="15" t="n"/>
      <c r="AB2419" s="15" t="n"/>
      <c r="AF2419">
        <f>IF(AND($F2419="Closed",$X2419&gt;=DATE(2026,5,1),$X2419&lt;=DATE(2026,5,31)),"Closed in May","Other")</f>
        <v/>
      </c>
    </row>
    <row r="2420">
      <c r="A2420" s="59" t="n">
        <v>46148</v>
      </c>
      <c r="B2420" s="3" t="n">
        <v>2026</v>
      </c>
      <c r="C2420" s="21" t="inlineStr">
        <is>
          <t>Continuum</t>
        </is>
      </c>
      <c r="D2420" s="3" t="inlineStr">
        <is>
          <t>Utility and C&amp;I</t>
        </is>
      </c>
      <c r="E2420" s="3" t="n"/>
      <c r="F2420" s="3" t="inlineStr">
        <is>
          <t>Closed</t>
        </is>
      </c>
      <c r="G2420" s="21" t="inlineStr">
        <is>
          <t>Amiya Ranjan Behera</t>
        </is>
      </c>
      <c r="H2420" s="21" t="n">
        <v>8917436223</v>
      </c>
      <c r="I2420" s="38" t="inlineStr">
        <is>
          <t>PE06052602</t>
        </is>
      </c>
      <c r="J2420" s="21" t="inlineStr">
        <is>
          <t>Diode Bypass Module Issue</t>
        </is>
      </c>
      <c r="K2420" s="21" t="inlineStr">
        <is>
          <t>Bhavnagar</t>
        </is>
      </c>
      <c r="L2420" s="21" t="inlineStr">
        <is>
          <t>Gujarat</t>
        </is>
      </c>
      <c r="M2420" s="96" t="inlineStr">
        <is>
          <t>PS</t>
        </is>
      </c>
      <c r="N2420" s="3" t="inlineStr">
        <is>
          <t>Cold Soldering</t>
        </is>
      </c>
      <c r="O2420" s="62" t="n">
        <v>540</v>
      </c>
      <c r="P2420" s="9" t="inlineStr">
        <is>
          <t>NSMP2304070660</t>
        </is>
      </c>
      <c r="Q2420" s="53">
        <f>MID(P2420,5,2)</f>
        <v/>
      </c>
      <c r="R2420" s="53">
        <f>MID(P2420,7,2)</f>
        <v/>
      </c>
      <c r="S2420" s="3" t="inlineStr">
        <is>
          <t>G2B</t>
        </is>
      </c>
      <c r="T2420" s="3" t="inlineStr">
        <is>
          <t>P2</t>
        </is>
      </c>
      <c r="U2420" s="3" t="inlineStr">
        <is>
          <t>P JB Cold Soldering</t>
        </is>
      </c>
      <c r="V2420" s="3" t="inlineStr">
        <is>
          <t>Soldering</t>
        </is>
      </c>
      <c r="W2420" s="3" t="inlineStr">
        <is>
          <t>Repair</t>
        </is>
      </c>
      <c r="X2420" s="18" t="n">
        <v>46171</v>
      </c>
      <c r="Y2420" s="73">
        <f>IF(X2420="","",X2420-A2420)</f>
        <v/>
      </c>
      <c r="Z2420" s="18" t="n">
        <v>46171</v>
      </c>
      <c r="AA2420" s="15" t="n"/>
      <c r="AB2420" s="15" t="n"/>
      <c r="AF2420">
        <f>IF(AND($F2420="Closed",$X2420&gt;=DATE(2026,5,1),$X2420&lt;=DATE(2026,5,31)),"Closed in May","Other")</f>
        <v/>
      </c>
    </row>
    <row r="2421">
      <c r="A2421" s="59" t="n">
        <v>46148</v>
      </c>
      <c r="B2421" s="3" t="n">
        <v>2026</v>
      </c>
      <c r="C2421" s="21" t="inlineStr">
        <is>
          <t>Continuum</t>
        </is>
      </c>
      <c r="D2421" s="3" t="inlineStr">
        <is>
          <t>Utility and C&amp;I</t>
        </is>
      </c>
      <c r="E2421" s="3" t="n"/>
      <c r="F2421" s="3" t="inlineStr">
        <is>
          <t>Closed</t>
        </is>
      </c>
      <c r="G2421" s="21" t="inlineStr">
        <is>
          <t>Amiya Ranjan Behera</t>
        </is>
      </c>
      <c r="H2421" s="21" t="n">
        <v>8917436223</v>
      </c>
      <c r="I2421" s="38" t="inlineStr">
        <is>
          <t>PE06052602</t>
        </is>
      </c>
      <c r="J2421" s="21" t="inlineStr">
        <is>
          <t>Diode Bypass Module Issue</t>
        </is>
      </c>
      <c r="K2421" s="21" t="inlineStr">
        <is>
          <t>Bhavnagar</t>
        </is>
      </c>
      <c r="L2421" s="21" t="inlineStr">
        <is>
          <t>Gujarat</t>
        </is>
      </c>
      <c r="M2421" s="96" t="inlineStr">
        <is>
          <t>PS</t>
        </is>
      </c>
      <c r="N2421" s="3" t="inlineStr">
        <is>
          <t>Cold Soldering</t>
        </is>
      </c>
      <c r="O2421" s="62" t="n">
        <v>540</v>
      </c>
      <c r="P2421" s="9" t="inlineStr">
        <is>
          <t>NSMP2304070693</t>
        </is>
      </c>
      <c r="Q2421" s="53">
        <f>MID(P2421,5,2)</f>
        <v/>
      </c>
      <c r="R2421" s="53">
        <f>MID(P2421,7,2)</f>
        <v/>
      </c>
      <c r="S2421" s="3" t="inlineStr">
        <is>
          <t>G2B</t>
        </is>
      </c>
      <c r="T2421" s="3" t="inlineStr">
        <is>
          <t>P2</t>
        </is>
      </c>
      <c r="U2421" s="3" t="inlineStr">
        <is>
          <t>P JB Cold Soldering</t>
        </is>
      </c>
      <c r="V2421" s="3" t="inlineStr">
        <is>
          <t>Soldering</t>
        </is>
      </c>
      <c r="W2421" s="3" t="inlineStr">
        <is>
          <t>Repair</t>
        </is>
      </c>
      <c r="X2421" s="18" t="n">
        <v>46171</v>
      </c>
      <c r="Y2421" s="73">
        <f>IF(X2421="","",X2421-A2421)</f>
        <v/>
      </c>
      <c r="Z2421" s="18" t="n">
        <v>46171</v>
      </c>
      <c r="AA2421" s="15" t="n"/>
      <c r="AB2421" s="15" t="n"/>
      <c r="AF2421">
        <f>IF(AND($F2421="Closed",$X2421&gt;=DATE(2026,5,1),$X2421&lt;=DATE(2026,5,31)),"Closed in May","Other")</f>
        <v/>
      </c>
    </row>
    <row r="2422">
      <c r="A2422" s="59" t="n">
        <v>46148</v>
      </c>
      <c r="B2422" s="3" t="n">
        <v>2026</v>
      </c>
      <c r="C2422" s="21" t="inlineStr">
        <is>
          <t>Continuum</t>
        </is>
      </c>
      <c r="D2422" s="3" t="inlineStr">
        <is>
          <t>Utility and C&amp;I</t>
        </is>
      </c>
      <c r="E2422" s="3" t="n"/>
      <c r="F2422" s="3" t="inlineStr">
        <is>
          <t>Closed</t>
        </is>
      </c>
      <c r="G2422" s="21" t="inlineStr">
        <is>
          <t>Amiya Ranjan Behera</t>
        </is>
      </c>
      <c r="H2422" s="21" t="n">
        <v>8917436223</v>
      </c>
      <c r="I2422" s="38" t="inlineStr">
        <is>
          <t>PE06052602</t>
        </is>
      </c>
      <c r="J2422" s="21" t="inlineStr">
        <is>
          <t>Diode Bypass Module Issue</t>
        </is>
      </c>
      <c r="K2422" s="21" t="inlineStr">
        <is>
          <t>Bhavnagar</t>
        </is>
      </c>
      <c r="L2422" s="21" t="inlineStr">
        <is>
          <t>Gujarat</t>
        </is>
      </c>
      <c r="M2422" s="96" t="inlineStr">
        <is>
          <t>PS</t>
        </is>
      </c>
      <c r="N2422" s="3" t="inlineStr">
        <is>
          <t>Cold Soldering</t>
        </is>
      </c>
      <c r="O2422" s="62" t="n">
        <v>540</v>
      </c>
      <c r="P2422" s="9" t="inlineStr">
        <is>
          <t>NSMP2304070670</t>
        </is>
      </c>
      <c r="Q2422" s="53">
        <f>MID(P2422,5,2)</f>
        <v/>
      </c>
      <c r="R2422" s="53">
        <f>MID(P2422,7,2)</f>
        <v/>
      </c>
      <c r="S2422" s="3" t="inlineStr">
        <is>
          <t>G2B</t>
        </is>
      </c>
      <c r="T2422" s="3" t="inlineStr">
        <is>
          <t>P2</t>
        </is>
      </c>
      <c r="U2422" s="3" t="inlineStr">
        <is>
          <t>P JB Cold Soldering</t>
        </is>
      </c>
      <c r="V2422" s="3" t="inlineStr">
        <is>
          <t>Soldering</t>
        </is>
      </c>
      <c r="W2422" s="3" t="inlineStr">
        <is>
          <t>Repair</t>
        </is>
      </c>
      <c r="X2422" s="18" t="n">
        <v>46171</v>
      </c>
      <c r="Y2422" s="73">
        <f>IF(X2422="","",X2422-A2422)</f>
        <v/>
      </c>
      <c r="Z2422" s="18" t="n">
        <v>46171</v>
      </c>
      <c r="AA2422" s="15" t="n"/>
      <c r="AB2422" s="15" t="n"/>
      <c r="AF2422">
        <f>IF(AND($F2422="Closed",$X2422&gt;=DATE(2026,5,1),$X2422&lt;=DATE(2026,5,31)),"Closed in May","Other")</f>
        <v/>
      </c>
    </row>
    <row r="2423">
      <c r="A2423" s="59" t="n">
        <v>46148</v>
      </c>
      <c r="B2423" s="3" t="n">
        <v>2026</v>
      </c>
      <c r="C2423" s="21" t="inlineStr">
        <is>
          <t>Continuum</t>
        </is>
      </c>
      <c r="D2423" s="3" t="inlineStr">
        <is>
          <t>Utility and C&amp;I</t>
        </is>
      </c>
      <c r="E2423" s="3" t="n"/>
      <c r="F2423" s="3" t="inlineStr">
        <is>
          <t>Closed</t>
        </is>
      </c>
      <c r="G2423" s="21" t="inlineStr">
        <is>
          <t>Amiya Ranjan Behera</t>
        </is>
      </c>
      <c r="H2423" s="21" t="n">
        <v>8917436223</v>
      </c>
      <c r="I2423" s="38" t="inlineStr">
        <is>
          <t>PE06052602</t>
        </is>
      </c>
      <c r="J2423" s="21" t="inlineStr">
        <is>
          <t>Diode Bypass Module Issue</t>
        </is>
      </c>
      <c r="K2423" s="21" t="inlineStr">
        <is>
          <t>Bhavnagar</t>
        </is>
      </c>
      <c r="L2423" s="21" t="inlineStr">
        <is>
          <t>Gujarat</t>
        </is>
      </c>
      <c r="M2423" s="96" t="inlineStr">
        <is>
          <t>NR</t>
        </is>
      </c>
      <c r="N2423" s="26" t="inlineStr">
        <is>
          <t>JB Issue</t>
        </is>
      </c>
      <c r="O2423" s="60" t="n">
        <v>540</v>
      </c>
      <c r="P2423" s="95" t="inlineStr">
        <is>
          <t>NSMP2304063808</t>
        </is>
      </c>
      <c r="Q2423" s="53">
        <f>MID(P2423,5,2)</f>
        <v/>
      </c>
      <c r="R2423" s="53">
        <f>MID(P2423,7,2)</f>
        <v/>
      </c>
      <c r="S2423" s="3" t="inlineStr">
        <is>
          <t>G2B</t>
        </is>
      </c>
      <c r="T2423" s="3" t="inlineStr">
        <is>
          <t>P2</t>
        </is>
      </c>
      <c r="U2423" s="19" t="inlineStr">
        <is>
          <t>N JB Issue</t>
        </is>
      </c>
      <c r="V2423" s="19" t="inlineStr">
        <is>
          <t>JB Changed</t>
        </is>
      </c>
      <c r="W2423" s="3" t="inlineStr">
        <is>
          <t>Repair</t>
        </is>
      </c>
      <c r="X2423" s="18" t="n">
        <v>46171</v>
      </c>
      <c r="Y2423" s="73">
        <f>IF(X2423="","",X2423-A2423)</f>
        <v/>
      </c>
      <c r="Z2423" s="18" t="n">
        <v>46171</v>
      </c>
      <c r="AA2423" s="15" t="n"/>
      <c r="AB2423" s="15" t="n"/>
      <c r="AF2423">
        <f>IF(AND($F2423="Closed",$X2423&gt;=DATE(2026,5,1),$X2423&lt;=DATE(2026,5,31)),"Closed in May","Other")</f>
        <v/>
      </c>
    </row>
    <row r="2424">
      <c r="A2424" s="59" t="n">
        <v>46148</v>
      </c>
      <c r="B2424" s="3" t="n">
        <v>2026</v>
      </c>
      <c r="C2424" s="21" t="inlineStr">
        <is>
          <t>Continuum</t>
        </is>
      </c>
      <c r="D2424" s="3" t="inlineStr">
        <is>
          <t>Utility and C&amp;I</t>
        </is>
      </c>
      <c r="E2424" s="3" t="n"/>
      <c r="F2424" s="3" t="inlineStr">
        <is>
          <t>Closed</t>
        </is>
      </c>
      <c r="G2424" s="21" t="inlineStr">
        <is>
          <t>Amiya Ranjan Behera</t>
        </is>
      </c>
      <c r="H2424" s="21" t="n">
        <v>8917436223</v>
      </c>
      <c r="I2424" s="38" t="inlineStr">
        <is>
          <t>PE06052602</t>
        </is>
      </c>
      <c r="J2424" s="21" t="inlineStr">
        <is>
          <t>Diode Bypass Module Issue</t>
        </is>
      </c>
      <c r="K2424" s="21" t="inlineStr">
        <is>
          <t>Bhavnagar</t>
        </is>
      </c>
      <c r="L2424" s="21" t="inlineStr">
        <is>
          <t>Gujarat</t>
        </is>
      </c>
      <c r="M2424" s="96" t="inlineStr">
        <is>
          <t>PR</t>
        </is>
      </c>
      <c r="N2424" s="3" t="inlineStr">
        <is>
          <t>JB Issue</t>
        </is>
      </c>
      <c r="O2424" s="62" t="n">
        <v>540</v>
      </c>
      <c r="P2424" s="9" t="inlineStr">
        <is>
          <t>NSMP2304070177</t>
        </is>
      </c>
      <c r="Q2424" s="53">
        <f>MID(P2424,5,2)</f>
        <v/>
      </c>
      <c r="R2424" s="53">
        <f>MID(P2424,7,2)</f>
        <v/>
      </c>
      <c r="S2424" s="3" t="inlineStr">
        <is>
          <t>G2B</t>
        </is>
      </c>
      <c r="T2424" s="3" t="inlineStr">
        <is>
          <t>P2</t>
        </is>
      </c>
      <c r="U2424" s="3" t="inlineStr">
        <is>
          <t>P JB Issue</t>
        </is>
      </c>
      <c r="V2424" s="15" t="inlineStr">
        <is>
          <t>JB Changed</t>
        </is>
      </c>
      <c r="W2424" s="3" t="inlineStr">
        <is>
          <t>Repair</t>
        </is>
      </c>
      <c r="X2424" s="18" t="n">
        <v>46171</v>
      </c>
      <c r="Y2424" s="73">
        <f>IF(X2424="","",X2424-A2424)</f>
        <v/>
      </c>
      <c r="Z2424" s="18" t="n">
        <v>46171</v>
      </c>
      <c r="AA2424" s="15" t="n"/>
      <c r="AB2424" s="15" t="n"/>
      <c r="AF2424">
        <f>IF(AND($F2424="Closed",$X2424&gt;=DATE(2026,5,1),$X2424&lt;=DATE(2026,5,31)),"Closed in May","Other")</f>
        <v/>
      </c>
    </row>
    <row r="2425">
      <c r="A2425" s="59" t="n">
        <v>46148</v>
      </c>
      <c r="B2425" s="3" t="n">
        <v>2026</v>
      </c>
      <c r="C2425" s="21" t="inlineStr">
        <is>
          <t>Continuum</t>
        </is>
      </c>
      <c r="D2425" s="3" t="inlineStr">
        <is>
          <t>Utility and C&amp;I</t>
        </is>
      </c>
      <c r="E2425" s="3" t="n"/>
      <c r="F2425" s="3" t="inlineStr">
        <is>
          <t>Closed</t>
        </is>
      </c>
      <c r="G2425" s="21" t="inlineStr">
        <is>
          <t>Amiya Ranjan Behera</t>
        </is>
      </c>
      <c r="H2425" s="21" t="n">
        <v>8917436223</v>
      </c>
      <c r="I2425" s="38" t="inlineStr">
        <is>
          <t>PE06052602</t>
        </is>
      </c>
      <c r="J2425" s="21" t="inlineStr">
        <is>
          <t>Diode Bypass Module Issue</t>
        </is>
      </c>
      <c r="K2425" s="21" t="inlineStr">
        <is>
          <t>Bhavnagar</t>
        </is>
      </c>
      <c r="L2425" s="21" t="inlineStr">
        <is>
          <t>Gujarat</t>
        </is>
      </c>
      <c r="M2425" s="96" t="inlineStr">
        <is>
          <t>PR</t>
        </is>
      </c>
      <c r="N2425" s="3" t="inlineStr">
        <is>
          <t>JB Issue</t>
        </is>
      </c>
      <c r="O2425" s="62" t="n">
        <v>540</v>
      </c>
      <c r="P2425" s="9" t="inlineStr">
        <is>
          <t>NSMP2304011194</t>
        </is>
      </c>
      <c r="Q2425" s="53">
        <f>MID(P2425,5,2)</f>
        <v/>
      </c>
      <c r="R2425" s="53">
        <f>MID(P2425,7,2)</f>
        <v/>
      </c>
      <c r="S2425" s="3" t="inlineStr">
        <is>
          <t>G2B</t>
        </is>
      </c>
      <c r="T2425" s="3" t="inlineStr">
        <is>
          <t>P2</t>
        </is>
      </c>
      <c r="U2425" s="3" t="inlineStr">
        <is>
          <t>P JB Issue</t>
        </is>
      </c>
      <c r="V2425" s="15" t="inlineStr">
        <is>
          <t>JB Changed</t>
        </is>
      </c>
      <c r="W2425" s="3" t="inlineStr">
        <is>
          <t>Repair</t>
        </is>
      </c>
      <c r="X2425" s="18" t="n">
        <v>46171</v>
      </c>
      <c r="Y2425" s="73">
        <f>IF(X2425="","",X2425-A2425)</f>
        <v/>
      </c>
      <c r="Z2425" s="18" t="n">
        <v>46171</v>
      </c>
      <c r="AA2425" s="15" t="n"/>
      <c r="AB2425" s="15" t="n"/>
      <c r="AF2425">
        <f>IF(AND($F2425="Closed",$X2425&gt;=DATE(2026,5,1),$X2425&lt;=DATE(2026,5,31)),"Closed in May","Other")</f>
        <v/>
      </c>
    </row>
    <row r="2426">
      <c r="A2426" s="37" t="n">
        <v>46143</v>
      </c>
      <c r="B2426" s="3" t="n">
        <v>2026</v>
      </c>
      <c r="C2426" s="26" t="inlineStr">
        <is>
          <t>Yanara Power</t>
        </is>
      </c>
      <c r="D2426" s="3" t="inlineStr">
        <is>
          <t>Utility and C&amp;I</t>
        </is>
      </c>
      <c r="E2426" s="3" t="n"/>
      <c r="F2426" s="3" t="inlineStr">
        <is>
          <t>Closed</t>
        </is>
      </c>
      <c r="G2426" s="9" t="inlineStr">
        <is>
          <t xml:space="preserve">Ashish Jindal </t>
        </is>
      </c>
      <c r="H2426" s="26" t="n">
        <v>9983975581</v>
      </c>
      <c r="I2426" s="38" t="inlineStr">
        <is>
          <t>PE01052601</t>
        </is>
      </c>
      <c r="J2426" s="26" t="inlineStr">
        <is>
          <t>Multiple Issues</t>
        </is>
      </c>
      <c r="K2426" s="39" t="inlineStr">
        <is>
          <t>Holi</t>
        </is>
      </c>
      <c r="L2426" s="39" t="inlineStr">
        <is>
          <t>Maharashtra</t>
        </is>
      </c>
      <c r="M2426" s="46" t="inlineStr">
        <is>
          <t>PS</t>
        </is>
      </c>
      <c r="N2426" s="3" t="inlineStr">
        <is>
          <t>Cold Soldering</t>
        </is>
      </c>
      <c r="O2426" s="56" t="n">
        <v>575</v>
      </c>
      <c r="P2426" s="9" t="inlineStr">
        <is>
          <t>NSMI24070197289</t>
        </is>
      </c>
      <c r="Q2426" s="54">
        <f>MID(P2426,5,2)</f>
        <v/>
      </c>
      <c r="R2426" s="53">
        <f>MID(P2426,7,2)</f>
        <v/>
      </c>
      <c r="S2426" s="3" t="inlineStr">
        <is>
          <t>G2G</t>
        </is>
      </c>
      <c r="T2426" s="3" t="inlineStr">
        <is>
          <t>P4</t>
        </is>
      </c>
      <c r="U2426" s="19" t="inlineStr">
        <is>
          <t>P JB Cold Soldering</t>
        </is>
      </c>
      <c r="V2426" s="19" t="inlineStr">
        <is>
          <t>Soldering</t>
        </is>
      </c>
      <c r="W2426" s="3" t="inlineStr">
        <is>
          <t>Repair</t>
        </is>
      </c>
      <c r="X2426" s="18" t="n">
        <v>46171</v>
      </c>
      <c r="Y2426" s="73">
        <f>IF(X2426="","",X2426-A2426)</f>
        <v/>
      </c>
      <c r="Z2426" s="18" t="n">
        <v>46171</v>
      </c>
      <c r="AA2426" s="15" t="n"/>
      <c r="AB2426" s="15" t="n"/>
      <c r="AF2426">
        <f>IF(AND($F2426="Closed",$X2426&gt;=DATE(2026,5,1),$X2426&lt;=DATE(2026,5,31)),"Closed in May","Other")</f>
        <v/>
      </c>
    </row>
    <row r="2427">
      <c r="A2427" s="37" t="n">
        <v>46143</v>
      </c>
      <c r="B2427" s="3" t="n">
        <v>2026</v>
      </c>
      <c r="C2427" s="26" t="inlineStr">
        <is>
          <t>Yanara Power</t>
        </is>
      </c>
      <c r="D2427" s="3" t="inlineStr">
        <is>
          <t>Utility and C&amp;I</t>
        </is>
      </c>
      <c r="E2427" s="3" t="n"/>
      <c r="F2427" s="3" t="inlineStr">
        <is>
          <t>Closed</t>
        </is>
      </c>
      <c r="G2427" s="9" t="inlineStr">
        <is>
          <t xml:space="preserve">Ashish Jindal </t>
        </is>
      </c>
      <c r="H2427" s="26" t="n">
        <v>9983975581</v>
      </c>
      <c r="I2427" s="38" t="inlineStr">
        <is>
          <t>PE01052601</t>
        </is>
      </c>
      <c r="J2427" s="26" t="inlineStr">
        <is>
          <t>Multiple Issues</t>
        </is>
      </c>
      <c r="K2427" s="39" t="inlineStr">
        <is>
          <t>Holi</t>
        </is>
      </c>
      <c r="L2427" s="39" t="inlineStr">
        <is>
          <t>Maharashtra</t>
        </is>
      </c>
      <c r="M2427" s="46" t="inlineStr">
        <is>
          <t>PS</t>
        </is>
      </c>
      <c r="N2427" s="3" t="inlineStr">
        <is>
          <t>Cold Soldering</t>
        </is>
      </c>
      <c r="O2427" s="56" t="n">
        <v>575</v>
      </c>
      <c r="P2427" s="9" t="inlineStr">
        <is>
          <t>NSMI24070197130</t>
        </is>
      </c>
      <c r="Q2427" s="54">
        <f>MID(P2427,5,2)</f>
        <v/>
      </c>
      <c r="R2427" s="53">
        <f>MID(P2427,7,2)</f>
        <v/>
      </c>
      <c r="S2427" s="3" t="inlineStr">
        <is>
          <t>G2G</t>
        </is>
      </c>
      <c r="T2427" s="3" t="inlineStr">
        <is>
          <t>P4</t>
        </is>
      </c>
      <c r="U2427" s="19" t="inlineStr">
        <is>
          <t>P JB Cold Soldering</t>
        </is>
      </c>
      <c r="V2427" s="19" t="inlineStr">
        <is>
          <t>Soldering</t>
        </is>
      </c>
      <c r="W2427" s="3" t="inlineStr">
        <is>
          <t>Repair</t>
        </is>
      </c>
      <c r="X2427" s="18" t="n">
        <v>46171</v>
      </c>
      <c r="Y2427" s="73">
        <f>IF(X2427="","",X2427-A2427)</f>
        <v/>
      </c>
      <c r="Z2427" s="18" t="n">
        <v>46171</v>
      </c>
      <c r="AA2427" s="15" t="n"/>
      <c r="AB2427" s="15" t="n"/>
      <c r="AF2427">
        <f>IF(AND($F2427="Closed",$X2427&gt;=DATE(2026,5,1),$X2427&lt;=DATE(2026,5,31)),"Closed in May","Other")</f>
        <v/>
      </c>
    </row>
    <row r="2428">
      <c r="A2428" s="37" t="n">
        <v>46143</v>
      </c>
      <c r="B2428" s="3" t="n">
        <v>2026</v>
      </c>
      <c r="C2428" s="26" t="inlineStr">
        <is>
          <t>Yanara Power</t>
        </is>
      </c>
      <c r="D2428" s="3" t="inlineStr">
        <is>
          <t>Utility and C&amp;I</t>
        </is>
      </c>
      <c r="E2428" s="3" t="n"/>
      <c r="F2428" s="3" t="inlineStr">
        <is>
          <t>Closed</t>
        </is>
      </c>
      <c r="G2428" s="9" t="inlineStr">
        <is>
          <t xml:space="preserve">Ashish Jindal </t>
        </is>
      </c>
      <c r="H2428" s="26" t="n">
        <v>9983975581</v>
      </c>
      <c r="I2428" s="38" t="inlineStr">
        <is>
          <t>PE01052601</t>
        </is>
      </c>
      <c r="J2428" s="26" t="inlineStr">
        <is>
          <t>Multiple Issues</t>
        </is>
      </c>
      <c r="K2428" s="39" t="inlineStr">
        <is>
          <t>Holi</t>
        </is>
      </c>
      <c r="L2428" s="39" t="inlineStr">
        <is>
          <t>Maharashtra</t>
        </is>
      </c>
      <c r="M2428" s="46" t="inlineStr">
        <is>
          <t>NS</t>
        </is>
      </c>
      <c r="N2428" s="3" t="inlineStr">
        <is>
          <t>Cold Soldering</t>
        </is>
      </c>
      <c r="O2428" s="56" t="n">
        <v>575</v>
      </c>
      <c r="P2428" s="9" t="inlineStr">
        <is>
          <t>NSMI24070197236</t>
        </is>
      </c>
      <c r="Q2428" s="54">
        <f>MID(P2428,5,2)</f>
        <v/>
      </c>
      <c r="R2428" s="53">
        <f>MID(P2428,7,2)</f>
        <v/>
      </c>
      <c r="S2428" s="3" t="inlineStr">
        <is>
          <t>G2G</t>
        </is>
      </c>
      <c r="T2428" s="3" t="inlineStr">
        <is>
          <t>P4</t>
        </is>
      </c>
      <c r="U2428" s="3" t="inlineStr">
        <is>
          <t>N JB Cold Soldering</t>
        </is>
      </c>
      <c r="V2428" s="3" t="inlineStr">
        <is>
          <t>Soldering</t>
        </is>
      </c>
      <c r="W2428" s="3" t="inlineStr">
        <is>
          <t>Repair</t>
        </is>
      </c>
      <c r="X2428" s="18" t="n">
        <v>46171</v>
      </c>
      <c r="Y2428" s="73">
        <f>IF(X2428="","",X2428-A2428)</f>
        <v/>
      </c>
      <c r="Z2428" s="18" t="n">
        <v>46171</v>
      </c>
      <c r="AA2428" s="15" t="n"/>
      <c r="AB2428" s="15" t="n"/>
      <c r="AF2428">
        <f>IF(AND($F2428="Closed",$X2428&gt;=DATE(2026,5,1),$X2428&lt;=DATE(2026,5,31)),"Closed in May","Other")</f>
        <v/>
      </c>
    </row>
    <row r="2429">
      <c r="A2429" s="37" t="n">
        <v>46143</v>
      </c>
      <c r="B2429" s="3" t="n">
        <v>2026</v>
      </c>
      <c r="C2429" s="26" t="inlineStr">
        <is>
          <t>Yanara Power</t>
        </is>
      </c>
      <c r="D2429" s="3" t="inlineStr">
        <is>
          <t>Utility and C&amp;I</t>
        </is>
      </c>
      <c r="E2429" s="3" t="n"/>
      <c r="F2429" s="3" t="inlineStr">
        <is>
          <t>Closed</t>
        </is>
      </c>
      <c r="G2429" s="9" t="inlineStr">
        <is>
          <t xml:space="preserve">Ashish Jindal </t>
        </is>
      </c>
      <c r="H2429" s="26" t="n">
        <v>9983975581</v>
      </c>
      <c r="I2429" s="38" t="inlineStr">
        <is>
          <t>PE01052601</t>
        </is>
      </c>
      <c r="J2429" s="26" t="inlineStr">
        <is>
          <t>Multiple Issues</t>
        </is>
      </c>
      <c r="K2429" s="39" t="inlineStr">
        <is>
          <t>Holi</t>
        </is>
      </c>
      <c r="L2429" s="39" t="inlineStr">
        <is>
          <t>Maharashtra</t>
        </is>
      </c>
      <c r="M2429" s="46" t="inlineStr">
        <is>
          <t>PS</t>
        </is>
      </c>
      <c r="N2429" s="3" t="inlineStr">
        <is>
          <t>Cold Soldering</t>
        </is>
      </c>
      <c r="O2429" s="56" t="n">
        <v>575</v>
      </c>
      <c r="P2429" s="9" t="inlineStr">
        <is>
          <t>NSMI24070185911</t>
        </is>
      </c>
      <c r="Q2429" s="54">
        <f>MID(P2429,5,2)</f>
        <v/>
      </c>
      <c r="R2429" s="53">
        <f>MID(P2429,7,2)</f>
        <v/>
      </c>
      <c r="S2429" s="3" t="inlineStr">
        <is>
          <t>G2G</t>
        </is>
      </c>
      <c r="T2429" s="3" t="inlineStr">
        <is>
          <t>P4</t>
        </is>
      </c>
      <c r="U2429" s="19" t="inlineStr">
        <is>
          <t>P JB Cold Soldering</t>
        </is>
      </c>
      <c r="V2429" s="19" t="inlineStr">
        <is>
          <t>Soldering</t>
        </is>
      </c>
      <c r="W2429" s="3" t="inlineStr">
        <is>
          <t>Repair</t>
        </is>
      </c>
      <c r="X2429" s="18" t="n">
        <v>46171</v>
      </c>
      <c r="Y2429" s="73">
        <f>IF(X2429="","",X2429-A2429)</f>
        <v/>
      </c>
      <c r="Z2429" s="18" t="n">
        <v>46171</v>
      </c>
      <c r="AA2429" s="15" t="n"/>
      <c r="AB2429" s="15" t="n"/>
      <c r="AF2429">
        <f>IF(AND($F2429="Closed",$X2429&gt;=DATE(2026,5,1),$X2429&lt;=DATE(2026,5,31)),"Closed in May","Other")</f>
        <v/>
      </c>
    </row>
    <row r="2430">
      <c r="A2430" s="37" t="n">
        <v>46143</v>
      </c>
      <c r="B2430" s="3" t="n">
        <v>2026</v>
      </c>
      <c r="C2430" s="26" t="inlineStr">
        <is>
          <t>Yanara Power</t>
        </is>
      </c>
      <c r="D2430" s="3" t="inlineStr">
        <is>
          <t>Utility and C&amp;I</t>
        </is>
      </c>
      <c r="E2430" s="3" t="n"/>
      <c r="F2430" s="3" t="inlineStr">
        <is>
          <t>Closed</t>
        </is>
      </c>
      <c r="G2430" s="9" t="inlineStr">
        <is>
          <t xml:space="preserve">Ashish Jindal </t>
        </is>
      </c>
      <c r="H2430" s="26" t="n">
        <v>9983975581</v>
      </c>
      <c r="I2430" s="38" t="inlineStr">
        <is>
          <t>PE01052601</t>
        </is>
      </c>
      <c r="J2430" s="26" t="inlineStr">
        <is>
          <t>Multiple Issues</t>
        </is>
      </c>
      <c r="K2430" s="39" t="inlineStr">
        <is>
          <t>Holi</t>
        </is>
      </c>
      <c r="L2430" s="39" t="inlineStr">
        <is>
          <t>Maharashtra</t>
        </is>
      </c>
      <c r="M2430" s="46" t="inlineStr">
        <is>
          <t>PS</t>
        </is>
      </c>
      <c r="N2430" s="3" t="inlineStr">
        <is>
          <t>Cold Soldering</t>
        </is>
      </c>
      <c r="O2430" s="56" t="n">
        <v>575</v>
      </c>
      <c r="P2430" s="9" t="inlineStr">
        <is>
          <t>NSMI24070185795</t>
        </is>
      </c>
      <c r="Q2430" s="54">
        <f>MID(P2430,5,2)</f>
        <v/>
      </c>
      <c r="R2430" s="53">
        <f>MID(P2430,7,2)</f>
        <v/>
      </c>
      <c r="S2430" s="3" t="inlineStr">
        <is>
          <t>G2G</t>
        </is>
      </c>
      <c r="T2430" s="3" t="inlineStr">
        <is>
          <t>P4</t>
        </is>
      </c>
      <c r="U2430" s="19" t="inlineStr">
        <is>
          <t>P JB Cold Soldering</t>
        </is>
      </c>
      <c r="V2430" s="19" t="inlineStr">
        <is>
          <t>Soldering</t>
        </is>
      </c>
      <c r="W2430" s="3" t="inlineStr">
        <is>
          <t>Repair</t>
        </is>
      </c>
      <c r="X2430" s="18" t="n">
        <v>46171</v>
      </c>
      <c r="Y2430" s="73">
        <f>IF(X2430="","",X2430-A2430)</f>
        <v/>
      </c>
      <c r="Z2430" s="18" t="n">
        <v>46171</v>
      </c>
      <c r="AA2430" s="15" t="n"/>
      <c r="AB2430" s="15" t="n"/>
      <c r="AF2430">
        <f>IF(AND($F2430="Closed",$X2430&gt;=DATE(2026,5,1),$X2430&lt;=DATE(2026,5,31)),"Closed in May","Other")</f>
        <v/>
      </c>
    </row>
    <row r="2431">
      <c r="A2431" s="37" t="n">
        <v>46143</v>
      </c>
      <c r="B2431" s="3" t="n">
        <v>2026</v>
      </c>
      <c r="C2431" s="26" t="inlineStr">
        <is>
          <t>Yanara Power</t>
        </is>
      </c>
      <c r="D2431" s="3" t="inlineStr">
        <is>
          <t>Utility and C&amp;I</t>
        </is>
      </c>
      <c r="E2431" s="3" t="n"/>
      <c r="F2431" s="3" t="inlineStr">
        <is>
          <t>Closed</t>
        </is>
      </c>
      <c r="G2431" s="9" t="inlineStr">
        <is>
          <t xml:space="preserve">Ashish Jindal </t>
        </is>
      </c>
      <c r="H2431" s="26" t="n">
        <v>9983975581</v>
      </c>
      <c r="I2431" s="38" t="inlineStr">
        <is>
          <t>PE01052601</t>
        </is>
      </c>
      <c r="J2431" s="26" t="inlineStr">
        <is>
          <t>Multiple Issues</t>
        </is>
      </c>
      <c r="K2431" s="39" t="inlineStr">
        <is>
          <t>Holi</t>
        </is>
      </c>
      <c r="L2431" s="39" t="inlineStr">
        <is>
          <t>Maharashtra</t>
        </is>
      </c>
      <c r="M2431" s="46" t="inlineStr">
        <is>
          <t>PS</t>
        </is>
      </c>
      <c r="N2431" s="3" t="inlineStr">
        <is>
          <t>Cold Soldering</t>
        </is>
      </c>
      <c r="O2431" s="56" t="n">
        <v>575</v>
      </c>
      <c r="P2431" s="9" t="inlineStr">
        <is>
          <t>NSMI24070185955</t>
        </is>
      </c>
      <c r="Q2431" s="54">
        <f>MID(P2431,5,2)</f>
        <v/>
      </c>
      <c r="R2431" s="53">
        <f>MID(P2431,7,2)</f>
        <v/>
      </c>
      <c r="S2431" s="3" t="inlineStr">
        <is>
          <t>G2G</t>
        </is>
      </c>
      <c r="T2431" s="3" t="inlineStr">
        <is>
          <t>P4</t>
        </is>
      </c>
      <c r="U2431" s="19" t="inlineStr">
        <is>
          <t>P JB Cold Soldering</t>
        </is>
      </c>
      <c r="V2431" s="19" t="inlineStr">
        <is>
          <t>Soldering</t>
        </is>
      </c>
      <c r="W2431" s="3" t="inlineStr">
        <is>
          <t>Repair</t>
        </is>
      </c>
      <c r="X2431" s="18" t="n">
        <v>46171</v>
      </c>
      <c r="Y2431" s="73">
        <f>IF(X2431="","",X2431-A2431)</f>
        <v/>
      </c>
      <c r="Z2431" s="18" t="n">
        <v>46171</v>
      </c>
      <c r="AA2431" s="15" t="n"/>
      <c r="AB2431" s="15" t="n"/>
      <c r="AF2431">
        <f>IF(AND($F2431="Closed",$X2431&gt;=DATE(2026,5,1),$X2431&lt;=DATE(2026,5,31)),"Closed in May","Other")</f>
        <v/>
      </c>
    </row>
    <row r="2432">
      <c r="A2432" s="37" t="n">
        <v>46143</v>
      </c>
      <c r="B2432" s="3" t="n">
        <v>2026</v>
      </c>
      <c r="C2432" s="26" t="inlineStr">
        <is>
          <t>Yanara Power</t>
        </is>
      </c>
      <c r="D2432" s="3" t="inlineStr">
        <is>
          <t>Utility and C&amp;I</t>
        </is>
      </c>
      <c r="E2432" s="3" t="n"/>
      <c r="F2432" s="3" t="inlineStr">
        <is>
          <t>Closed</t>
        </is>
      </c>
      <c r="G2432" s="9" t="inlineStr">
        <is>
          <t xml:space="preserve">Ashish Jindal </t>
        </is>
      </c>
      <c r="H2432" s="26" t="n">
        <v>9983975581</v>
      </c>
      <c r="I2432" s="38" t="inlineStr">
        <is>
          <t>PE01052601</t>
        </is>
      </c>
      <c r="J2432" s="26" t="inlineStr">
        <is>
          <t>Multiple Issues</t>
        </is>
      </c>
      <c r="K2432" s="39" t="inlineStr">
        <is>
          <t>Holi</t>
        </is>
      </c>
      <c r="L2432" s="39" t="inlineStr">
        <is>
          <t>Maharashtra</t>
        </is>
      </c>
      <c r="M2432" s="46" t="inlineStr">
        <is>
          <t>PS</t>
        </is>
      </c>
      <c r="N2432" s="3" t="inlineStr">
        <is>
          <t>Cold Soldering</t>
        </is>
      </c>
      <c r="O2432" s="56" t="n">
        <v>575</v>
      </c>
      <c r="P2432" s="9" t="inlineStr">
        <is>
          <t>NSMI24070201688</t>
        </is>
      </c>
      <c r="Q2432" s="54">
        <f>MID(P2432,5,2)</f>
        <v/>
      </c>
      <c r="R2432" s="53">
        <f>MID(P2432,7,2)</f>
        <v/>
      </c>
      <c r="S2432" s="3" t="inlineStr">
        <is>
          <t>G2G</t>
        </is>
      </c>
      <c r="T2432" s="3" t="inlineStr">
        <is>
          <t>P4</t>
        </is>
      </c>
      <c r="U2432" s="19" t="inlineStr">
        <is>
          <t>P JB Cold Soldering</t>
        </is>
      </c>
      <c r="V2432" s="19" t="inlineStr">
        <is>
          <t>Soldering</t>
        </is>
      </c>
      <c r="W2432" s="3" t="inlineStr">
        <is>
          <t>Repair</t>
        </is>
      </c>
      <c r="X2432" s="18" t="n">
        <v>46171</v>
      </c>
      <c r="Y2432" s="73">
        <f>IF(X2432="","",X2432-A2432)</f>
        <v/>
      </c>
      <c r="Z2432" s="18" t="n">
        <v>46171</v>
      </c>
      <c r="AA2432" s="15" t="n"/>
      <c r="AB2432" s="15" t="n"/>
      <c r="AF2432">
        <f>IF(AND($F2432="Closed",$X2432&gt;=DATE(2026,5,1),$X2432&lt;=DATE(2026,5,31)),"Closed in May","Other")</f>
        <v/>
      </c>
    </row>
    <row r="2433">
      <c r="A2433" s="37" t="n">
        <v>46143</v>
      </c>
      <c r="B2433" s="3" t="n">
        <v>2026</v>
      </c>
      <c r="C2433" s="26" t="inlineStr">
        <is>
          <t>Yanara Power</t>
        </is>
      </c>
      <c r="D2433" s="3" t="inlineStr">
        <is>
          <t>Utility and C&amp;I</t>
        </is>
      </c>
      <c r="E2433" s="3" t="n"/>
      <c r="F2433" s="3" t="inlineStr">
        <is>
          <t>Closed</t>
        </is>
      </c>
      <c r="G2433" s="9" t="inlineStr">
        <is>
          <t xml:space="preserve">Ashish Jindal </t>
        </is>
      </c>
      <c r="H2433" s="26" t="n">
        <v>9983975581</v>
      </c>
      <c r="I2433" s="38" t="inlineStr">
        <is>
          <t>PE01052601</t>
        </is>
      </c>
      <c r="J2433" s="26" t="inlineStr">
        <is>
          <t>Multiple Issues</t>
        </is>
      </c>
      <c r="K2433" s="39" t="inlineStr">
        <is>
          <t>Holi</t>
        </is>
      </c>
      <c r="L2433" s="39" t="inlineStr">
        <is>
          <t>Maharashtra</t>
        </is>
      </c>
      <c r="M2433" s="46" t="inlineStr">
        <is>
          <t>PS</t>
        </is>
      </c>
      <c r="N2433" s="3" t="inlineStr">
        <is>
          <t>Cold Soldering</t>
        </is>
      </c>
      <c r="O2433" s="56" t="n">
        <v>575</v>
      </c>
      <c r="P2433" s="9" t="inlineStr">
        <is>
          <t>NSMI24070201685</t>
        </is>
      </c>
      <c r="Q2433" s="54">
        <f>MID(P2433,5,2)</f>
        <v/>
      </c>
      <c r="R2433" s="53">
        <f>MID(P2433,7,2)</f>
        <v/>
      </c>
      <c r="S2433" s="3" t="inlineStr">
        <is>
          <t>G2G</t>
        </is>
      </c>
      <c r="T2433" s="3" t="inlineStr">
        <is>
          <t>P4</t>
        </is>
      </c>
      <c r="U2433" s="19" t="inlineStr">
        <is>
          <t>P JB Cold Soldering</t>
        </is>
      </c>
      <c r="V2433" s="19" t="inlineStr">
        <is>
          <t>Soldering</t>
        </is>
      </c>
      <c r="W2433" s="3" t="inlineStr">
        <is>
          <t>Repair</t>
        </is>
      </c>
      <c r="X2433" s="18" t="n">
        <v>46171</v>
      </c>
      <c r="Y2433" s="73">
        <f>IF(X2433="","",X2433-A2433)</f>
        <v/>
      </c>
      <c r="Z2433" s="18" t="n">
        <v>46171</v>
      </c>
      <c r="AA2433" s="15" t="n"/>
      <c r="AB2433" s="15" t="n"/>
      <c r="AF2433">
        <f>IF(AND($F2433="Closed",$X2433&gt;=DATE(2026,5,1),$X2433&lt;=DATE(2026,5,31)),"Closed in May","Other")</f>
        <v/>
      </c>
    </row>
    <row r="2434">
      <c r="A2434" s="37" t="n">
        <v>46143</v>
      </c>
      <c r="B2434" s="3" t="n">
        <v>2026</v>
      </c>
      <c r="C2434" s="26" t="inlineStr">
        <is>
          <t>Yanara Power</t>
        </is>
      </c>
      <c r="D2434" s="3" t="inlineStr">
        <is>
          <t>Utility and C&amp;I</t>
        </is>
      </c>
      <c r="E2434" s="3" t="n"/>
      <c r="F2434" s="3" t="inlineStr">
        <is>
          <t>Closed</t>
        </is>
      </c>
      <c r="G2434" s="9" t="inlineStr">
        <is>
          <t xml:space="preserve">Ashish Jindal </t>
        </is>
      </c>
      <c r="H2434" s="26" t="n">
        <v>9983975581</v>
      </c>
      <c r="I2434" s="38" t="inlineStr">
        <is>
          <t>PE01052601</t>
        </is>
      </c>
      <c r="J2434" s="26" t="inlineStr">
        <is>
          <t>Multiple Issues</t>
        </is>
      </c>
      <c r="K2434" s="39" t="inlineStr">
        <is>
          <t>Holi</t>
        </is>
      </c>
      <c r="L2434" s="39" t="inlineStr">
        <is>
          <t>Maharashtra</t>
        </is>
      </c>
      <c r="M2434" s="46" t="inlineStr">
        <is>
          <t>NS</t>
        </is>
      </c>
      <c r="N2434" s="3" t="inlineStr">
        <is>
          <t>Cold Soldering</t>
        </is>
      </c>
      <c r="O2434" s="56" t="n">
        <v>575</v>
      </c>
      <c r="P2434" s="9" t="inlineStr">
        <is>
          <t>NSMI24070201727</t>
        </is>
      </c>
      <c r="Q2434" s="54">
        <f>MID(P2434,5,2)</f>
        <v/>
      </c>
      <c r="R2434" s="53">
        <f>MID(P2434,7,2)</f>
        <v/>
      </c>
      <c r="S2434" s="3" t="inlineStr">
        <is>
          <t>G2G</t>
        </is>
      </c>
      <c r="T2434" s="3" t="inlineStr">
        <is>
          <t>P4</t>
        </is>
      </c>
      <c r="U2434" s="3" t="inlineStr">
        <is>
          <t>N JB Cold Soldering</t>
        </is>
      </c>
      <c r="V2434" s="3" t="inlineStr">
        <is>
          <t>Soldering</t>
        </is>
      </c>
      <c r="W2434" s="3" t="inlineStr">
        <is>
          <t>Repair</t>
        </is>
      </c>
      <c r="X2434" s="18" t="n">
        <v>46171</v>
      </c>
      <c r="Y2434" s="73">
        <f>IF(X2434="","",X2434-A2434)</f>
        <v/>
      </c>
      <c r="Z2434" s="18" t="n">
        <v>46171</v>
      </c>
      <c r="AA2434" s="15" t="n"/>
      <c r="AB2434" s="15" t="n"/>
      <c r="AF2434">
        <f>IF(AND($F2434="Closed",$X2434&gt;=DATE(2026,5,1),$X2434&lt;=DATE(2026,5,31)),"Closed in May","Other")</f>
        <v/>
      </c>
    </row>
    <row r="2435">
      <c r="A2435" s="37" t="n">
        <v>46143</v>
      </c>
      <c r="B2435" s="3" t="n">
        <v>2026</v>
      </c>
      <c r="C2435" s="26" t="inlineStr">
        <is>
          <t>Yanara Power</t>
        </is>
      </c>
      <c r="D2435" s="3" t="inlineStr">
        <is>
          <t>Utility and C&amp;I</t>
        </is>
      </c>
      <c r="E2435" s="3" t="n"/>
      <c r="F2435" s="3" t="inlineStr">
        <is>
          <t>Closed</t>
        </is>
      </c>
      <c r="G2435" s="9" t="inlineStr">
        <is>
          <t xml:space="preserve">Ashish Jindal </t>
        </is>
      </c>
      <c r="H2435" s="26" t="n">
        <v>9983975581</v>
      </c>
      <c r="I2435" s="38" t="inlineStr">
        <is>
          <t>PE01052601</t>
        </is>
      </c>
      <c r="J2435" s="26" t="inlineStr">
        <is>
          <t>Multiple Issues</t>
        </is>
      </c>
      <c r="K2435" s="39" t="inlineStr">
        <is>
          <t>Holi</t>
        </is>
      </c>
      <c r="L2435" s="39" t="inlineStr">
        <is>
          <t>Maharashtra</t>
        </is>
      </c>
      <c r="M2435" s="46" t="inlineStr">
        <is>
          <t>PS</t>
        </is>
      </c>
      <c r="N2435" s="3" t="inlineStr">
        <is>
          <t>Cold Soldering</t>
        </is>
      </c>
      <c r="O2435" s="56" t="n">
        <v>575</v>
      </c>
      <c r="P2435" s="9" t="inlineStr">
        <is>
          <t>NSMI24070178010</t>
        </is>
      </c>
      <c r="Q2435" s="54">
        <f>MID(P2435,5,2)</f>
        <v/>
      </c>
      <c r="R2435" s="53">
        <f>MID(P2435,7,2)</f>
        <v/>
      </c>
      <c r="S2435" s="3" t="inlineStr">
        <is>
          <t>G2G</t>
        </is>
      </c>
      <c r="T2435" s="3" t="inlineStr">
        <is>
          <t>P4</t>
        </is>
      </c>
      <c r="U2435" s="19" t="inlineStr">
        <is>
          <t>P JB Cold Soldering</t>
        </is>
      </c>
      <c r="V2435" s="19" t="inlineStr">
        <is>
          <t>Soldering</t>
        </is>
      </c>
      <c r="W2435" s="3" t="inlineStr">
        <is>
          <t>Repair</t>
        </is>
      </c>
      <c r="X2435" s="18" t="n">
        <v>46171</v>
      </c>
      <c r="Y2435" s="73">
        <f>IF(X2435="","",X2435-A2435)</f>
        <v/>
      </c>
      <c r="Z2435" s="18" t="n">
        <v>46171</v>
      </c>
      <c r="AA2435" s="15" t="n"/>
      <c r="AB2435" s="15" t="n"/>
      <c r="AF2435">
        <f>IF(AND($F2435="Closed",$X2435&gt;=DATE(2026,5,1),$X2435&lt;=DATE(2026,5,31)),"Closed in May","Other")</f>
        <v/>
      </c>
    </row>
    <row r="2436">
      <c r="A2436" s="37" t="n">
        <v>46143</v>
      </c>
      <c r="B2436" s="3" t="n">
        <v>2026</v>
      </c>
      <c r="C2436" s="26" t="inlineStr">
        <is>
          <t>Yanara Power</t>
        </is>
      </c>
      <c r="D2436" s="3" t="inlineStr">
        <is>
          <t>Utility and C&amp;I</t>
        </is>
      </c>
      <c r="E2436" s="3" t="n"/>
      <c r="F2436" s="3" t="inlineStr">
        <is>
          <t>Closed</t>
        </is>
      </c>
      <c r="G2436" s="9" t="inlineStr">
        <is>
          <t xml:space="preserve">Ashish Jindal </t>
        </is>
      </c>
      <c r="H2436" s="26" t="n">
        <v>9983975581</v>
      </c>
      <c r="I2436" s="38" t="inlineStr">
        <is>
          <t>PE01052601</t>
        </is>
      </c>
      <c r="J2436" s="26" t="inlineStr">
        <is>
          <t>Multiple Issues</t>
        </is>
      </c>
      <c r="K2436" s="39" t="inlineStr">
        <is>
          <t>Holi</t>
        </is>
      </c>
      <c r="L2436" s="39" t="inlineStr">
        <is>
          <t>Maharashtra</t>
        </is>
      </c>
      <c r="M2436" s="46" t="inlineStr">
        <is>
          <t>PS</t>
        </is>
      </c>
      <c r="N2436" s="3" t="inlineStr">
        <is>
          <t>Cold Soldering</t>
        </is>
      </c>
      <c r="O2436" s="56" t="n">
        <v>575</v>
      </c>
      <c r="P2436" s="9" t="inlineStr">
        <is>
          <t>NSMI24070177785</t>
        </is>
      </c>
      <c r="Q2436" s="54">
        <f>MID(P2436,5,2)</f>
        <v/>
      </c>
      <c r="R2436" s="53">
        <f>MID(P2436,7,2)</f>
        <v/>
      </c>
      <c r="S2436" s="3" t="inlineStr">
        <is>
          <t>G2G</t>
        </is>
      </c>
      <c r="T2436" s="3" t="inlineStr">
        <is>
          <t>P4</t>
        </is>
      </c>
      <c r="U2436" s="19" t="inlineStr">
        <is>
          <t>P JB Cold Soldering</t>
        </is>
      </c>
      <c r="V2436" s="19" t="inlineStr">
        <is>
          <t>Soldering</t>
        </is>
      </c>
      <c r="W2436" s="3" t="inlineStr">
        <is>
          <t>Repair</t>
        </is>
      </c>
      <c r="X2436" s="18" t="n">
        <v>46171</v>
      </c>
      <c r="Y2436" s="73">
        <f>IF(X2436="","",X2436-A2436)</f>
        <v/>
      </c>
      <c r="Z2436" s="18" t="n">
        <v>46171</v>
      </c>
      <c r="AA2436" s="15" t="n"/>
      <c r="AB2436" s="15" t="n"/>
      <c r="AF2436">
        <f>IF(AND($F2436="Closed",$X2436&gt;=DATE(2026,5,1),$X2436&lt;=DATE(2026,5,31)),"Closed in May","Other")</f>
        <v/>
      </c>
    </row>
    <row r="2437">
      <c r="A2437" s="37" t="n">
        <v>46143</v>
      </c>
      <c r="B2437" s="3" t="n">
        <v>2026</v>
      </c>
      <c r="C2437" s="26" t="inlineStr">
        <is>
          <t>Yanara Power</t>
        </is>
      </c>
      <c r="D2437" s="3" t="inlineStr">
        <is>
          <t>Utility and C&amp;I</t>
        </is>
      </c>
      <c r="E2437" s="3" t="n"/>
      <c r="F2437" s="3" t="inlineStr">
        <is>
          <t>Closed</t>
        </is>
      </c>
      <c r="G2437" s="9" t="inlineStr">
        <is>
          <t xml:space="preserve">Ashish Jindal </t>
        </is>
      </c>
      <c r="H2437" s="26" t="n">
        <v>9983975581</v>
      </c>
      <c r="I2437" s="38" t="inlineStr">
        <is>
          <t>PE01052601</t>
        </is>
      </c>
      <c r="J2437" s="26" t="inlineStr">
        <is>
          <t>Multiple Issues</t>
        </is>
      </c>
      <c r="K2437" s="39" t="inlineStr">
        <is>
          <t>Holi</t>
        </is>
      </c>
      <c r="L2437" s="39" t="inlineStr">
        <is>
          <t>Maharashtra</t>
        </is>
      </c>
      <c r="M2437" s="46" t="inlineStr">
        <is>
          <t>NS</t>
        </is>
      </c>
      <c r="N2437" s="3" t="inlineStr">
        <is>
          <t>Cold Soldering</t>
        </is>
      </c>
      <c r="O2437" s="56" t="n">
        <v>575</v>
      </c>
      <c r="P2437" s="9" t="inlineStr">
        <is>
          <t>NSMI24070198448</t>
        </is>
      </c>
      <c r="Q2437" s="54">
        <f>MID(P2437,5,2)</f>
        <v/>
      </c>
      <c r="R2437" s="53">
        <f>MID(P2437,7,2)</f>
        <v/>
      </c>
      <c r="S2437" s="3" t="inlineStr">
        <is>
          <t>G2G</t>
        </is>
      </c>
      <c r="T2437" s="3" t="inlineStr">
        <is>
          <t>P4</t>
        </is>
      </c>
      <c r="U2437" s="3" t="inlineStr">
        <is>
          <t>N JB Cold Soldering</t>
        </is>
      </c>
      <c r="V2437" s="3" t="inlineStr">
        <is>
          <t>Soldering</t>
        </is>
      </c>
      <c r="W2437" s="3" t="inlineStr">
        <is>
          <t>Repair</t>
        </is>
      </c>
      <c r="X2437" s="18" t="n">
        <v>46171</v>
      </c>
      <c r="Y2437" s="73">
        <f>IF(X2437="","",X2437-A2437)</f>
        <v/>
      </c>
      <c r="Z2437" s="18" t="n">
        <v>46171</v>
      </c>
      <c r="AA2437" s="15" t="n"/>
      <c r="AB2437" s="15" t="n"/>
      <c r="AF2437">
        <f>IF(AND($F2437="Closed",$X2437&gt;=DATE(2026,5,1),$X2437&lt;=DATE(2026,5,31)),"Closed in May","Other")</f>
        <v/>
      </c>
    </row>
    <row r="2438">
      <c r="A2438" s="37" t="n">
        <v>46143</v>
      </c>
      <c r="B2438" s="3" t="n">
        <v>2026</v>
      </c>
      <c r="C2438" s="26" t="inlineStr">
        <is>
          <t>Yanara Power</t>
        </is>
      </c>
      <c r="D2438" s="3" t="inlineStr">
        <is>
          <t>Utility and C&amp;I</t>
        </is>
      </c>
      <c r="E2438" s="3" t="n"/>
      <c r="F2438" s="3" t="inlineStr">
        <is>
          <t>Closed</t>
        </is>
      </c>
      <c r="G2438" s="9" t="inlineStr">
        <is>
          <t xml:space="preserve">Ashish Jindal </t>
        </is>
      </c>
      <c r="H2438" s="26" t="n">
        <v>9983975581</v>
      </c>
      <c r="I2438" s="38" t="inlineStr">
        <is>
          <t>PE01052601</t>
        </is>
      </c>
      <c r="J2438" s="26" t="inlineStr">
        <is>
          <t>Multiple Issues</t>
        </is>
      </c>
      <c r="K2438" s="39" t="inlineStr">
        <is>
          <t>Holi</t>
        </is>
      </c>
      <c r="L2438" s="39" t="inlineStr">
        <is>
          <t>Maharashtra</t>
        </is>
      </c>
      <c r="M2438" s="46" t="inlineStr">
        <is>
          <t>NS</t>
        </is>
      </c>
      <c r="N2438" s="3" t="inlineStr">
        <is>
          <t>Cold Soldering</t>
        </is>
      </c>
      <c r="O2438" s="56" t="n">
        <v>575</v>
      </c>
      <c r="P2438" s="9" t="inlineStr">
        <is>
          <t>NSMI24070198393</t>
        </is>
      </c>
      <c r="Q2438" s="54">
        <f>MID(P2438,5,2)</f>
        <v/>
      </c>
      <c r="R2438" s="53">
        <f>MID(P2438,7,2)</f>
        <v/>
      </c>
      <c r="S2438" s="3" t="inlineStr">
        <is>
          <t>G2G</t>
        </is>
      </c>
      <c r="T2438" s="3" t="inlineStr">
        <is>
          <t>P4</t>
        </is>
      </c>
      <c r="U2438" s="3" t="inlineStr">
        <is>
          <t>N JB Cold Soldering</t>
        </is>
      </c>
      <c r="V2438" s="3" t="inlineStr">
        <is>
          <t>Soldering</t>
        </is>
      </c>
      <c r="W2438" s="3" t="inlineStr">
        <is>
          <t>Repair</t>
        </is>
      </c>
      <c r="X2438" s="18" t="n">
        <v>46171</v>
      </c>
      <c r="Y2438" s="73">
        <f>IF(X2438="","",X2438-A2438)</f>
        <v/>
      </c>
      <c r="Z2438" s="18" t="n">
        <v>46171</v>
      </c>
      <c r="AA2438" s="15" t="n"/>
      <c r="AB2438" s="15" t="n"/>
      <c r="AF2438">
        <f>IF(AND($F2438="Closed",$X2438&gt;=DATE(2026,5,1),$X2438&lt;=DATE(2026,5,31)),"Closed in May","Other")</f>
        <v/>
      </c>
    </row>
    <row r="2439">
      <c r="A2439" s="37" t="n">
        <v>46143</v>
      </c>
      <c r="B2439" s="3" t="n">
        <v>2026</v>
      </c>
      <c r="C2439" s="26" t="inlineStr">
        <is>
          <t>Yanara Power</t>
        </is>
      </c>
      <c r="D2439" s="3" t="inlineStr">
        <is>
          <t>Utility and C&amp;I</t>
        </is>
      </c>
      <c r="E2439" s="3" t="n"/>
      <c r="F2439" s="3" t="inlineStr">
        <is>
          <t>Closed</t>
        </is>
      </c>
      <c r="G2439" s="9" t="inlineStr">
        <is>
          <t xml:space="preserve">Ashish Jindal </t>
        </is>
      </c>
      <c r="H2439" s="26" t="n">
        <v>9983975581</v>
      </c>
      <c r="I2439" s="38" t="inlineStr">
        <is>
          <t>PE01052601</t>
        </is>
      </c>
      <c r="J2439" s="26" t="inlineStr">
        <is>
          <t>Multiple Issues</t>
        </is>
      </c>
      <c r="K2439" s="39" t="inlineStr">
        <is>
          <t>Holi</t>
        </is>
      </c>
      <c r="L2439" s="39" t="inlineStr">
        <is>
          <t>Maharashtra</t>
        </is>
      </c>
      <c r="M2439" s="46" t="inlineStr">
        <is>
          <t>NS</t>
        </is>
      </c>
      <c r="N2439" s="3" t="inlineStr">
        <is>
          <t>Cold Soldering</t>
        </is>
      </c>
      <c r="O2439" s="56" t="n">
        <v>575</v>
      </c>
      <c r="P2439" s="9" t="inlineStr">
        <is>
          <t>NSMI24070198431</t>
        </is>
      </c>
      <c r="Q2439" s="54">
        <f>MID(P2439,5,2)</f>
        <v/>
      </c>
      <c r="R2439" s="53">
        <f>MID(P2439,7,2)</f>
        <v/>
      </c>
      <c r="S2439" s="3" t="inlineStr">
        <is>
          <t>G2G</t>
        </is>
      </c>
      <c r="T2439" s="3" t="inlineStr">
        <is>
          <t>P4</t>
        </is>
      </c>
      <c r="U2439" s="3" t="inlineStr">
        <is>
          <t>N JB Cold Soldering</t>
        </is>
      </c>
      <c r="V2439" s="3" t="inlineStr">
        <is>
          <t>Soldering</t>
        </is>
      </c>
      <c r="W2439" s="3" t="inlineStr">
        <is>
          <t>Repair</t>
        </is>
      </c>
      <c r="X2439" s="18" t="n">
        <v>46171</v>
      </c>
      <c r="Y2439" s="73">
        <f>IF(X2439="","",X2439-A2439)</f>
        <v/>
      </c>
      <c r="Z2439" s="18" t="n">
        <v>46171</v>
      </c>
      <c r="AA2439" s="15" t="n"/>
      <c r="AB2439" s="15" t="n"/>
      <c r="AF2439">
        <f>IF(AND($F2439="Closed",$X2439&gt;=DATE(2026,5,1),$X2439&lt;=DATE(2026,5,31)),"Closed in May","Other")</f>
        <v/>
      </c>
    </row>
    <row r="2440">
      <c r="A2440" s="37" t="n">
        <v>46143</v>
      </c>
      <c r="B2440" s="3" t="n">
        <v>2026</v>
      </c>
      <c r="C2440" s="26" t="inlineStr">
        <is>
          <t>Yanara Power</t>
        </is>
      </c>
      <c r="D2440" s="3" t="inlineStr">
        <is>
          <t>Utility and C&amp;I</t>
        </is>
      </c>
      <c r="E2440" s="3" t="n"/>
      <c r="F2440" s="3" t="inlineStr">
        <is>
          <t>Closed</t>
        </is>
      </c>
      <c r="G2440" s="9" t="inlineStr">
        <is>
          <t xml:space="preserve">Ashish Jindal </t>
        </is>
      </c>
      <c r="H2440" s="26" t="n">
        <v>9983975581</v>
      </c>
      <c r="I2440" s="38" t="inlineStr">
        <is>
          <t>PE01052601</t>
        </is>
      </c>
      <c r="J2440" s="26" t="inlineStr">
        <is>
          <t>Multiple Issues</t>
        </is>
      </c>
      <c r="K2440" s="39" t="inlineStr">
        <is>
          <t>Holi</t>
        </is>
      </c>
      <c r="L2440" s="39" t="inlineStr">
        <is>
          <t>Maharashtra</t>
        </is>
      </c>
      <c r="M2440" s="46" t="inlineStr">
        <is>
          <t>PS</t>
        </is>
      </c>
      <c r="N2440" s="3" t="inlineStr">
        <is>
          <t>Cold Soldering</t>
        </is>
      </c>
      <c r="O2440" s="56" t="n">
        <v>575</v>
      </c>
      <c r="P2440" s="9" t="inlineStr">
        <is>
          <t>NSMI24070185640</t>
        </is>
      </c>
      <c r="Q2440" s="54">
        <f>MID(P2440,5,2)</f>
        <v/>
      </c>
      <c r="R2440" s="53">
        <f>MID(P2440,7,2)</f>
        <v/>
      </c>
      <c r="S2440" s="3" t="inlineStr">
        <is>
          <t>G2G</t>
        </is>
      </c>
      <c r="T2440" s="3" t="inlineStr">
        <is>
          <t>P4</t>
        </is>
      </c>
      <c r="U2440" s="19" t="inlineStr">
        <is>
          <t>P JB Cold Soldering</t>
        </is>
      </c>
      <c r="V2440" s="19" t="inlineStr">
        <is>
          <t>Soldering</t>
        </is>
      </c>
      <c r="W2440" s="3" t="inlineStr">
        <is>
          <t>Repair</t>
        </is>
      </c>
      <c r="X2440" s="18" t="n">
        <v>46171</v>
      </c>
      <c r="Y2440" s="73">
        <f>IF(X2440="","",X2440-A2440)</f>
        <v/>
      </c>
      <c r="Z2440" s="18" t="n">
        <v>46171</v>
      </c>
      <c r="AA2440" s="15" t="n"/>
      <c r="AB2440" s="15" t="n"/>
      <c r="AF2440">
        <f>IF(AND($F2440="Closed",$X2440&gt;=DATE(2026,5,1),$X2440&lt;=DATE(2026,5,31)),"Closed in May","Other")</f>
        <v/>
      </c>
    </row>
    <row r="2441">
      <c r="A2441" s="37" t="n">
        <v>46143</v>
      </c>
      <c r="B2441" s="3" t="n">
        <v>2026</v>
      </c>
      <c r="C2441" s="26" t="inlineStr">
        <is>
          <t>Yanara Power</t>
        </is>
      </c>
      <c r="D2441" s="3" t="inlineStr">
        <is>
          <t>Utility and C&amp;I</t>
        </is>
      </c>
      <c r="E2441" s="3" t="n"/>
      <c r="F2441" s="3" t="inlineStr">
        <is>
          <t>Closed</t>
        </is>
      </c>
      <c r="G2441" s="9" t="inlineStr">
        <is>
          <t xml:space="preserve">Ashish Jindal </t>
        </is>
      </c>
      <c r="H2441" s="26" t="n">
        <v>9983975581</v>
      </c>
      <c r="I2441" s="38" t="inlineStr">
        <is>
          <t>PE01052601</t>
        </is>
      </c>
      <c r="J2441" s="26" t="inlineStr">
        <is>
          <t>Multiple Issues</t>
        </is>
      </c>
      <c r="K2441" s="39" t="inlineStr">
        <is>
          <t>Holi</t>
        </is>
      </c>
      <c r="L2441" s="39" t="inlineStr">
        <is>
          <t>Maharashtra</t>
        </is>
      </c>
      <c r="M2441" s="46" t="inlineStr">
        <is>
          <t>PS</t>
        </is>
      </c>
      <c r="N2441" s="3" t="inlineStr">
        <is>
          <t>Cold Soldering</t>
        </is>
      </c>
      <c r="O2441" s="56" t="n">
        <v>575</v>
      </c>
      <c r="P2441" s="9" t="inlineStr">
        <is>
          <t>NSMI24070201198</t>
        </is>
      </c>
      <c r="Q2441" s="54">
        <f>MID(P2441,5,2)</f>
        <v/>
      </c>
      <c r="R2441" s="53">
        <f>MID(P2441,7,2)</f>
        <v/>
      </c>
      <c r="S2441" s="3" t="inlineStr">
        <is>
          <t>G2G</t>
        </is>
      </c>
      <c r="T2441" s="3" t="inlineStr">
        <is>
          <t>P4</t>
        </is>
      </c>
      <c r="U2441" s="19" t="inlineStr">
        <is>
          <t>P JB Cold Soldering</t>
        </is>
      </c>
      <c r="V2441" s="19" t="inlineStr">
        <is>
          <t>Soldering</t>
        </is>
      </c>
      <c r="W2441" s="3" t="inlineStr">
        <is>
          <t>Repair</t>
        </is>
      </c>
      <c r="X2441" s="18" t="n">
        <v>46171</v>
      </c>
      <c r="Y2441" s="73">
        <f>IF(X2441="","",X2441-A2441)</f>
        <v/>
      </c>
      <c r="Z2441" s="18" t="n">
        <v>46171</v>
      </c>
      <c r="AA2441" s="15" t="n"/>
      <c r="AB2441" s="15" t="n"/>
      <c r="AF2441">
        <f>IF(AND($F2441="Closed",$X2441&gt;=DATE(2026,5,1),$X2441&lt;=DATE(2026,5,31)),"Closed in May","Other")</f>
        <v/>
      </c>
    </row>
    <row r="2442">
      <c r="A2442" s="37" t="n">
        <v>46143</v>
      </c>
      <c r="B2442" s="3" t="n">
        <v>2026</v>
      </c>
      <c r="C2442" s="26" t="inlineStr">
        <is>
          <t>Yanara Power</t>
        </is>
      </c>
      <c r="D2442" s="3" t="inlineStr">
        <is>
          <t>Utility and C&amp;I</t>
        </is>
      </c>
      <c r="E2442" s="3" t="n"/>
      <c r="F2442" s="3" t="inlineStr">
        <is>
          <t>Closed</t>
        </is>
      </c>
      <c r="G2442" s="9" t="inlineStr">
        <is>
          <t xml:space="preserve">Ashish Jindal </t>
        </is>
      </c>
      <c r="H2442" s="26" t="n">
        <v>9983975581</v>
      </c>
      <c r="I2442" s="38" t="inlineStr">
        <is>
          <t>PE01052601</t>
        </is>
      </c>
      <c r="J2442" s="26" t="inlineStr">
        <is>
          <t>Multiple Issues</t>
        </is>
      </c>
      <c r="K2442" s="39" t="inlineStr">
        <is>
          <t>Holi</t>
        </is>
      </c>
      <c r="L2442" s="39" t="inlineStr">
        <is>
          <t>Maharashtra</t>
        </is>
      </c>
      <c r="M2442" s="46" t="inlineStr">
        <is>
          <t>PS</t>
        </is>
      </c>
      <c r="N2442" s="3" t="inlineStr">
        <is>
          <t>Cold Soldering</t>
        </is>
      </c>
      <c r="O2442" s="56" t="n">
        <v>575</v>
      </c>
      <c r="P2442" s="9" t="inlineStr">
        <is>
          <t>NSMI24070201238</t>
        </is>
      </c>
      <c r="Q2442" s="54">
        <f>MID(P2442,5,2)</f>
        <v/>
      </c>
      <c r="R2442" s="53">
        <f>MID(P2442,7,2)</f>
        <v/>
      </c>
      <c r="S2442" s="3" t="inlineStr">
        <is>
          <t>G2G</t>
        </is>
      </c>
      <c r="T2442" s="3" t="inlineStr">
        <is>
          <t>P4</t>
        </is>
      </c>
      <c r="U2442" s="19" t="inlineStr">
        <is>
          <t>P JB Cold Soldering</t>
        </is>
      </c>
      <c r="V2442" s="19" t="inlineStr">
        <is>
          <t>Soldering</t>
        </is>
      </c>
      <c r="W2442" s="3" t="inlineStr">
        <is>
          <t>Repair</t>
        </is>
      </c>
      <c r="X2442" s="18" t="n">
        <v>46171</v>
      </c>
      <c r="Y2442" s="73">
        <f>IF(X2442="","",X2442-A2442)</f>
        <v/>
      </c>
      <c r="Z2442" s="18" t="n">
        <v>46171</v>
      </c>
      <c r="AA2442" s="15" t="n"/>
      <c r="AB2442" s="15" t="n"/>
      <c r="AF2442">
        <f>IF(AND($F2442="Closed",$X2442&gt;=DATE(2026,5,1),$X2442&lt;=DATE(2026,5,31)),"Closed in May","Other")</f>
        <v/>
      </c>
    </row>
    <row r="2443">
      <c r="A2443" s="37" t="n">
        <v>46143</v>
      </c>
      <c r="B2443" s="3" t="n">
        <v>2026</v>
      </c>
      <c r="C2443" s="26" t="inlineStr">
        <is>
          <t>Yanara Power</t>
        </is>
      </c>
      <c r="D2443" s="3" t="inlineStr">
        <is>
          <t>Utility and C&amp;I</t>
        </is>
      </c>
      <c r="E2443" s="3" t="n"/>
      <c r="F2443" s="3" t="inlineStr">
        <is>
          <t>Closed</t>
        </is>
      </c>
      <c r="G2443" s="9" t="inlineStr">
        <is>
          <t xml:space="preserve">Ashish Jindal </t>
        </is>
      </c>
      <c r="H2443" s="26" t="n">
        <v>9983975581</v>
      </c>
      <c r="I2443" s="38" t="inlineStr">
        <is>
          <t>PE01052601</t>
        </is>
      </c>
      <c r="J2443" s="26" t="inlineStr">
        <is>
          <t>Multiple Issues</t>
        </is>
      </c>
      <c r="K2443" s="39" t="inlineStr">
        <is>
          <t>Holi</t>
        </is>
      </c>
      <c r="L2443" s="39" t="inlineStr">
        <is>
          <t>Maharashtra</t>
        </is>
      </c>
      <c r="M2443" s="46" t="inlineStr">
        <is>
          <t>PS</t>
        </is>
      </c>
      <c r="N2443" s="3" t="inlineStr">
        <is>
          <t>Cold Soldering</t>
        </is>
      </c>
      <c r="O2443" s="56" t="n">
        <v>575</v>
      </c>
      <c r="P2443" s="9" t="inlineStr">
        <is>
          <t>NSMI24070201235</t>
        </is>
      </c>
      <c r="Q2443" s="54">
        <f>MID(P2443,5,2)</f>
        <v/>
      </c>
      <c r="R2443" s="53">
        <f>MID(P2443,7,2)</f>
        <v/>
      </c>
      <c r="S2443" s="3" t="inlineStr">
        <is>
          <t>G2G</t>
        </is>
      </c>
      <c r="T2443" s="3" t="inlineStr">
        <is>
          <t>P4</t>
        </is>
      </c>
      <c r="U2443" s="19" t="inlineStr">
        <is>
          <t>P JB Cold Soldering</t>
        </is>
      </c>
      <c r="V2443" s="19" t="inlineStr">
        <is>
          <t>Soldering</t>
        </is>
      </c>
      <c r="W2443" s="3" t="inlineStr">
        <is>
          <t>Repair</t>
        </is>
      </c>
      <c r="X2443" s="18" t="n">
        <v>46171</v>
      </c>
      <c r="Y2443" s="73">
        <f>IF(X2443="","",X2443-A2443)</f>
        <v/>
      </c>
      <c r="Z2443" s="18" t="n">
        <v>46171</v>
      </c>
      <c r="AA2443" s="15" t="n"/>
      <c r="AB2443" s="15" t="n"/>
      <c r="AF2443">
        <f>IF(AND($F2443="Closed",$X2443&gt;=DATE(2026,5,1),$X2443&lt;=DATE(2026,5,31)),"Closed in May","Other")</f>
        <v/>
      </c>
    </row>
    <row r="2444">
      <c r="A2444" s="37" t="n">
        <v>46143</v>
      </c>
      <c r="B2444" s="3" t="n">
        <v>2026</v>
      </c>
      <c r="C2444" s="26" t="inlineStr">
        <is>
          <t>Yanara Power</t>
        </is>
      </c>
      <c r="D2444" s="3" t="inlineStr">
        <is>
          <t>Utility and C&amp;I</t>
        </is>
      </c>
      <c r="E2444" s="3" t="n"/>
      <c r="F2444" s="3" t="inlineStr">
        <is>
          <t>Closed</t>
        </is>
      </c>
      <c r="G2444" s="9" t="inlineStr">
        <is>
          <t xml:space="preserve">Ashish Jindal </t>
        </is>
      </c>
      <c r="H2444" s="26" t="n">
        <v>9983975581</v>
      </c>
      <c r="I2444" s="38" t="inlineStr">
        <is>
          <t>PE01052601</t>
        </is>
      </c>
      <c r="J2444" s="26" t="inlineStr">
        <is>
          <t>Multiple Issues</t>
        </is>
      </c>
      <c r="K2444" s="39" t="inlineStr">
        <is>
          <t>Holi</t>
        </is>
      </c>
      <c r="L2444" s="39" t="inlineStr">
        <is>
          <t>Maharashtra</t>
        </is>
      </c>
      <c r="M2444" s="46" t="inlineStr">
        <is>
          <t>PS</t>
        </is>
      </c>
      <c r="N2444" s="3" t="inlineStr">
        <is>
          <t>Cold Soldering</t>
        </is>
      </c>
      <c r="O2444" s="56" t="n">
        <v>575</v>
      </c>
      <c r="P2444" s="9" t="inlineStr">
        <is>
          <t>NSMI24070196768</t>
        </is>
      </c>
      <c r="Q2444" s="54">
        <f>MID(P2444,5,2)</f>
        <v/>
      </c>
      <c r="R2444" s="53">
        <f>MID(P2444,7,2)</f>
        <v/>
      </c>
      <c r="S2444" s="3" t="inlineStr">
        <is>
          <t>G2G</t>
        </is>
      </c>
      <c r="T2444" s="3" t="inlineStr">
        <is>
          <t>P4</t>
        </is>
      </c>
      <c r="U2444" s="19" t="inlineStr">
        <is>
          <t>P JB Cold Soldering</t>
        </is>
      </c>
      <c r="V2444" s="19" t="inlineStr">
        <is>
          <t>Soldering</t>
        </is>
      </c>
      <c r="W2444" s="3" t="inlineStr">
        <is>
          <t>Repair</t>
        </is>
      </c>
      <c r="X2444" s="18" t="n">
        <v>46171</v>
      </c>
      <c r="Y2444" s="73">
        <f>IF(X2444="","",X2444-A2444)</f>
        <v/>
      </c>
      <c r="Z2444" s="18" t="n">
        <v>46171</v>
      </c>
      <c r="AA2444" s="15" t="n"/>
      <c r="AB2444" s="15" t="n"/>
      <c r="AF2444">
        <f>IF(AND($F2444="Closed",$X2444&gt;=DATE(2026,5,1),$X2444&lt;=DATE(2026,5,31)),"Closed in May","Other")</f>
        <v/>
      </c>
    </row>
    <row r="2445">
      <c r="A2445" s="37" t="n">
        <v>46143</v>
      </c>
      <c r="B2445" s="3" t="n">
        <v>2026</v>
      </c>
      <c r="C2445" s="26" t="inlineStr">
        <is>
          <t>Yanara Power</t>
        </is>
      </c>
      <c r="D2445" s="3" t="inlineStr">
        <is>
          <t>Utility and C&amp;I</t>
        </is>
      </c>
      <c r="E2445" s="3" t="n"/>
      <c r="F2445" s="3" t="inlineStr">
        <is>
          <t>Closed</t>
        </is>
      </c>
      <c r="G2445" s="9" t="inlineStr">
        <is>
          <t xml:space="preserve">Ashish Jindal </t>
        </is>
      </c>
      <c r="H2445" s="26" t="n">
        <v>9983975581</v>
      </c>
      <c r="I2445" s="38" t="inlineStr">
        <is>
          <t>PE01052601</t>
        </is>
      </c>
      <c r="J2445" s="26" t="inlineStr">
        <is>
          <t>Multiple Issues</t>
        </is>
      </c>
      <c r="K2445" s="39" t="inlineStr">
        <is>
          <t>Holi</t>
        </is>
      </c>
      <c r="L2445" s="39" t="inlineStr">
        <is>
          <t>Maharashtra</t>
        </is>
      </c>
      <c r="M2445" s="46" t="inlineStr">
        <is>
          <t>PS</t>
        </is>
      </c>
      <c r="N2445" s="3" t="inlineStr">
        <is>
          <t>Cold Soldering</t>
        </is>
      </c>
      <c r="O2445" s="56" t="n">
        <v>575</v>
      </c>
      <c r="P2445" s="9" t="inlineStr">
        <is>
          <t>NSMI24070201674</t>
        </is>
      </c>
      <c r="Q2445" s="54">
        <f>MID(P2445,5,2)</f>
        <v/>
      </c>
      <c r="R2445" s="53">
        <f>MID(P2445,7,2)</f>
        <v/>
      </c>
      <c r="S2445" s="3" t="inlineStr">
        <is>
          <t>G2G</t>
        </is>
      </c>
      <c r="T2445" s="3" t="inlineStr">
        <is>
          <t>P4</t>
        </is>
      </c>
      <c r="U2445" s="19" t="inlineStr">
        <is>
          <t>P JB Cold Soldering</t>
        </is>
      </c>
      <c r="V2445" s="19" t="inlineStr">
        <is>
          <t>Soldering</t>
        </is>
      </c>
      <c r="W2445" s="3" t="inlineStr">
        <is>
          <t>Repair</t>
        </is>
      </c>
      <c r="X2445" s="18" t="n">
        <v>46171</v>
      </c>
      <c r="Y2445" s="73">
        <f>IF(X2445="","",X2445-A2445)</f>
        <v/>
      </c>
      <c r="Z2445" s="18" t="n">
        <v>46171</v>
      </c>
      <c r="AA2445" s="15" t="n"/>
      <c r="AB2445" s="15" t="n"/>
      <c r="AF2445">
        <f>IF(AND($F2445="Closed",$X2445&gt;=DATE(2026,5,1),$X2445&lt;=DATE(2026,5,31)),"Closed in May","Other")</f>
        <v/>
      </c>
    </row>
    <row r="2446">
      <c r="A2446" s="37" t="n">
        <v>46143</v>
      </c>
      <c r="B2446" s="3" t="n">
        <v>2026</v>
      </c>
      <c r="C2446" s="26" t="inlineStr">
        <is>
          <t>Yanara Power</t>
        </is>
      </c>
      <c r="D2446" s="3" t="inlineStr">
        <is>
          <t>Utility and C&amp;I</t>
        </is>
      </c>
      <c r="E2446" s="3" t="n"/>
      <c r="F2446" s="3" t="inlineStr">
        <is>
          <t>Closed</t>
        </is>
      </c>
      <c r="G2446" s="9" t="inlineStr">
        <is>
          <t xml:space="preserve">Ashish Jindal </t>
        </is>
      </c>
      <c r="H2446" s="26" t="n">
        <v>9983975581</v>
      </c>
      <c r="I2446" s="38" t="inlineStr">
        <is>
          <t>PE01052601</t>
        </is>
      </c>
      <c r="J2446" s="26" t="inlineStr">
        <is>
          <t>Multiple Issues</t>
        </is>
      </c>
      <c r="K2446" s="39" t="inlineStr">
        <is>
          <t>Holi</t>
        </is>
      </c>
      <c r="L2446" s="39" t="inlineStr">
        <is>
          <t>Maharashtra</t>
        </is>
      </c>
      <c r="M2446" s="46" t="inlineStr">
        <is>
          <t>NS</t>
        </is>
      </c>
      <c r="N2446" s="3" t="inlineStr">
        <is>
          <t>Cold Soldering</t>
        </is>
      </c>
      <c r="O2446" s="56" t="n">
        <v>575</v>
      </c>
      <c r="P2446" s="9" t="inlineStr">
        <is>
          <t>NSMI24070201690</t>
        </is>
      </c>
      <c r="Q2446" s="54">
        <f>MID(P2446,5,2)</f>
        <v/>
      </c>
      <c r="R2446" s="53">
        <f>MID(P2446,7,2)</f>
        <v/>
      </c>
      <c r="S2446" s="3" t="inlineStr">
        <is>
          <t>G2G</t>
        </is>
      </c>
      <c r="T2446" s="3" t="inlineStr">
        <is>
          <t>P4</t>
        </is>
      </c>
      <c r="U2446" s="3" t="inlineStr">
        <is>
          <t>N JB Cold Soldering</t>
        </is>
      </c>
      <c r="V2446" s="3" t="inlineStr">
        <is>
          <t>Soldering</t>
        </is>
      </c>
      <c r="W2446" s="3" t="inlineStr">
        <is>
          <t>Repair</t>
        </is>
      </c>
      <c r="X2446" s="18" t="n">
        <v>46171</v>
      </c>
      <c r="Y2446" s="73">
        <f>IF(X2446="","",X2446-A2446)</f>
        <v/>
      </c>
      <c r="Z2446" s="18" t="n">
        <v>46171</v>
      </c>
      <c r="AA2446" s="15" t="n"/>
      <c r="AB2446" s="15" t="n"/>
      <c r="AF2446">
        <f>IF(AND($F2446="Closed",$X2446&gt;=DATE(2026,5,1),$X2446&lt;=DATE(2026,5,31)),"Closed in May","Other")</f>
        <v/>
      </c>
    </row>
    <row r="2447">
      <c r="A2447" s="37" t="n">
        <v>46143</v>
      </c>
      <c r="B2447" s="3" t="n">
        <v>2026</v>
      </c>
      <c r="C2447" s="26" t="inlineStr">
        <is>
          <t>Yanara Power</t>
        </is>
      </c>
      <c r="D2447" s="3" t="inlineStr">
        <is>
          <t>Utility and C&amp;I</t>
        </is>
      </c>
      <c r="E2447" s="3" t="n"/>
      <c r="F2447" s="3" t="inlineStr">
        <is>
          <t>Closed</t>
        </is>
      </c>
      <c r="G2447" s="9" t="inlineStr">
        <is>
          <t xml:space="preserve">Ashish Jindal </t>
        </is>
      </c>
      <c r="H2447" s="26" t="n">
        <v>9983975581</v>
      </c>
      <c r="I2447" s="38" t="inlineStr">
        <is>
          <t>PE01052601</t>
        </is>
      </c>
      <c r="J2447" s="26" t="inlineStr">
        <is>
          <t>Multiple Issues</t>
        </is>
      </c>
      <c r="K2447" s="39" t="inlineStr">
        <is>
          <t>Holi</t>
        </is>
      </c>
      <c r="L2447" s="39" t="inlineStr">
        <is>
          <t>Maharashtra</t>
        </is>
      </c>
      <c r="M2447" s="46" t="inlineStr">
        <is>
          <t>PS</t>
        </is>
      </c>
      <c r="N2447" s="3" t="inlineStr">
        <is>
          <t>Cold Soldering</t>
        </is>
      </c>
      <c r="O2447" s="56" t="n">
        <v>575</v>
      </c>
      <c r="P2447" s="9" t="inlineStr">
        <is>
          <t>NSMI24070184596</t>
        </is>
      </c>
      <c r="Q2447" s="54">
        <f>MID(P2447,5,2)</f>
        <v/>
      </c>
      <c r="R2447" s="53">
        <f>MID(P2447,7,2)</f>
        <v/>
      </c>
      <c r="S2447" s="3" t="inlineStr">
        <is>
          <t>G2G</t>
        </is>
      </c>
      <c r="T2447" s="3" t="inlineStr">
        <is>
          <t>P4</t>
        </is>
      </c>
      <c r="U2447" s="19" t="inlineStr">
        <is>
          <t>P JB Cold Soldering</t>
        </is>
      </c>
      <c r="V2447" s="19" t="inlineStr">
        <is>
          <t>Soldering</t>
        </is>
      </c>
      <c r="W2447" s="3" t="inlineStr">
        <is>
          <t>Repair</t>
        </is>
      </c>
      <c r="X2447" s="18" t="n">
        <v>46171</v>
      </c>
      <c r="Y2447" s="73">
        <f>IF(X2447="","",X2447-A2447)</f>
        <v/>
      </c>
      <c r="Z2447" s="18" t="n">
        <v>46171</v>
      </c>
      <c r="AA2447" s="15" t="n"/>
      <c r="AB2447" s="15" t="n"/>
      <c r="AF2447">
        <f>IF(AND($F2447="Closed",$X2447&gt;=DATE(2026,5,1),$X2447&lt;=DATE(2026,5,31)),"Closed in May","Other")</f>
        <v/>
      </c>
    </row>
    <row r="2448">
      <c r="A2448" s="37" t="n">
        <v>46143</v>
      </c>
      <c r="B2448" s="3" t="n">
        <v>2026</v>
      </c>
      <c r="C2448" s="26" t="inlineStr">
        <is>
          <t>Yanara Power</t>
        </is>
      </c>
      <c r="D2448" s="3" t="inlineStr">
        <is>
          <t>Utility and C&amp;I</t>
        </is>
      </c>
      <c r="E2448" s="3" t="n"/>
      <c r="F2448" s="3" t="inlineStr">
        <is>
          <t>Closed</t>
        </is>
      </c>
      <c r="G2448" s="9" t="inlineStr">
        <is>
          <t xml:space="preserve">Ashish Jindal </t>
        </is>
      </c>
      <c r="H2448" s="26" t="n">
        <v>9983975581</v>
      </c>
      <c r="I2448" s="38" t="inlineStr">
        <is>
          <t>PE01052601</t>
        </is>
      </c>
      <c r="J2448" s="26" t="inlineStr">
        <is>
          <t>Multiple Issues</t>
        </is>
      </c>
      <c r="K2448" s="39" t="inlineStr">
        <is>
          <t>Holi</t>
        </is>
      </c>
      <c r="L2448" s="39" t="inlineStr">
        <is>
          <t>Maharashtra</t>
        </is>
      </c>
      <c r="M2448" s="46" t="inlineStr">
        <is>
          <t>PS</t>
        </is>
      </c>
      <c r="N2448" s="3" t="inlineStr">
        <is>
          <t>Cold Soldering</t>
        </is>
      </c>
      <c r="O2448" s="56" t="n">
        <v>575</v>
      </c>
      <c r="P2448" s="9" t="inlineStr">
        <is>
          <t>NSMI24070214656</t>
        </is>
      </c>
      <c r="Q2448" s="54">
        <f>MID(P2448,5,2)</f>
        <v/>
      </c>
      <c r="R2448" s="53">
        <f>MID(P2448,7,2)</f>
        <v/>
      </c>
      <c r="S2448" s="3" t="inlineStr">
        <is>
          <t>G2G</t>
        </is>
      </c>
      <c r="T2448" s="3" t="inlineStr">
        <is>
          <t>P4</t>
        </is>
      </c>
      <c r="U2448" s="19" t="inlineStr">
        <is>
          <t>P JB Cold Soldering</t>
        </is>
      </c>
      <c r="V2448" s="19" t="inlineStr">
        <is>
          <t>Soldering</t>
        </is>
      </c>
      <c r="W2448" s="3" t="inlineStr">
        <is>
          <t>Repair</t>
        </is>
      </c>
      <c r="X2448" s="18" t="n">
        <v>46171</v>
      </c>
      <c r="Y2448" s="73">
        <f>IF(X2448="","",X2448-A2448)</f>
        <v/>
      </c>
      <c r="Z2448" s="18" t="n">
        <v>46171</v>
      </c>
      <c r="AA2448" s="15" t="n"/>
      <c r="AB2448" s="15" t="n"/>
      <c r="AF2448">
        <f>IF(AND($F2448="Closed",$X2448&gt;=DATE(2026,5,1),$X2448&lt;=DATE(2026,5,31)),"Closed in May","Other")</f>
        <v/>
      </c>
    </row>
    <row r="2449">
      <c r="A2449" s="37" t="n">
        <v>46143</v>
      </c>
      <c r="B2449" s="3" t="n">
        <v>2026</v>
      </c>
      <c r="C2449" s="26" t="inlineStr">
        <is>
          <t>Yanara Power</t>
        </is>
      </c>
      <c r="D2449" s="3" t="inlineStr">
        <is>
          <t>Utility and C&amp;I</t>
        </is>
      </c>
      <c r="E2449" s="3" t="n"/>
      <c r="F2449" s="3" t="inlineStr">
        <is>
          <t>Closed</t>
        </is>
      </c>
      <c r="G2449" s="9" t="inlineStr">
        <is>
          <t xml:space="preserve">Ashish Jindal </t>
        </is>
      </c>
      <c r="H2449" s="26" t="n">
        <v>9983975581</v>
      </c>
      <c r="I2449" s="38" t="inlineStr">
        <is>
          <t>PE01052601</t>
        </is>
      </c>
      <c r="J2449" s="26" t="inlineStr">
        <is>
          <t>Multiple Issues</t>
        </is>
      </c>
      <c r="K2449" s="39" t="inlineStr">
        <is>
          <t>Holi</t>
        </is>
      </c>
      <c r="L2449" s="39" t="inlineStr">
        <is>
          <t>Maharashtra</t>
        </is>
      </c>
      <c r="M2449" s="46" t="inlineStr">
        <is>
          <t>PS</t>
        </is>
      </c>
      <c r="N2449" s="3" t="inlineStr">
        <is>
          <t>Cold Soldering</t>
        </is>
      </c>
      <c r="O2449" s="56" t="n">
        <v>575</v>
      </c>
      <c r="P2449" s="9" t="inlineStr">
        <is>
          <t>NSMI24070240927</t>
        </is>
      </c>
      <c r="Q2449" s="54">
        <f>MID(P2449,5,2)</f>
        <v/>
      </c>
      <c r="R2449" s="53">
        <f>MID(P2449,7,2)</f>
        <v/>
      </c>
      <c r="S2449" s="3" t="inlineStr">
        <is>
          <t>G2G</t>
        </is>
      </c>
      <c r="T2449" s="3" t="inlineStr">
        <is>
          <t>P4</t>
        </is>
      </c>
      <c r="U2449" s="19" t="inlineStr">
        <is>
          <t>P JB Cold Soldering</t>
        </is>
      </c>
      <c r="V2449" s="19" t="inlineStr">
        <is>
          <t>Soldering</t>
        </is>
      </c>
      <c r="W2449" s="3" t="inlineStr">
        <is>
          <t>Repair</t>
        </is>
      </c>
      <c r="X2449" s="18" t="n">
        <v>46171</v>
      </c>
      <c r="Y2449" s="73">
        <f>IF(X2449="","",X2449-A2449)</f>
        <v/>
      </c>
      <c r="Z2449" s="18" t="n">
        <v>46171</v>
      </c>
      <c r="AA2449" s="15" t="n"/>
      <c r="AB2449" s="15" t="n"/>
      <c r="AF2449">
        <f>IF(AND($F2449="Closed",$X2449&gt;=DATE(2026,5,1),$X2449&lt;=DATE(2026,5,31)),"Closed in May","Other")</f>
        <v/>
      </c>
    </row>
    <row r="2450">
      <c r="A2450" s="37" t="n">
        <v>46143</v>
      </c>
      <c r="B2450" s="3" t="n">
        <v>2026</v>
      </c>
      <c r="C2450" s="26" t="inlineStr">
        <is>
          <t>Yanara Power</t>
        </is>
      </c>
      <c r="D2450" s="3" t="inlineStr">
        <is>
          <t>Utility and C&amp;I</t>
        </is>
      </c>
      <c r="E2450" s="3" t="n"/>
      <c r="F2450" s="3" t="inlineStr">
        <is>
          <t>Closed</t>
        </is>
      </c>
      <c r="G2450" s="9" t="inlineStr">
        <is>
          <t xml:space="preserve">Ashish Jindal </t>
        </is>
      </c>
      <c r="H2450" s="26" t="n">
        <v>9983975581</v>
      </c>
      <c r="I2450" s="38" t="inlineStr">
        <is>
          <t>PE01052601</t>
        </is>
      </c>
      <c r="J2450" s="26" t="inlineStr">
        <is>
          <t>Multiple Issues</t>
        </is>
      </c>
      <c r="K2450" s="39" t="inlineStr">
        <is>
          <t>Holi</t>
        </is>
      </c>
      <c r="L2450" s="39" t="inlineStr">
        <is>
          <t>Maharashtra</t>
        </is>
      </c>
      <c r="M2450" s="46" t="inlineStr">
        <is>
          <t>NS</t>
        </is>
      </c>
      <c r="N2450" s="3" t="inlineStr">
        <is>
          <t>Cold Soldering</t>
        </is>
      </c>
      <c r="O2450" s="56" t="n">
        <v>575</v>
      </c>
      <c r="P2450" s="9" t="inlineStr">
        <is>
          <t>NSMI24070240830</t>
        </is>
      </c>
      <c r="Q2450" s="54">
        <f>MID(P2450,5,2)</f>
        <v/>
      </c>
      <c r="R2450" s="53">
        <f>MID(P2450,7,2)</f>
        <v/>
      </c>
      <c r="S2450" s="3" t="inlineStr">
        <is>
          <t>G2G</t>
        </is>
      </c>
      <c r="T2450" s="3" t="inlineStr">
        <is>
          <t>P4</t>
        </is>
      </c>
      <c r="U2450" s="3" t="inlineStr">
        <is>
          <t>N JB Cold Soldering</t>
        </is>
      </c>
      <c r="V2450" s="3" t="inlineStr">
        <is>
          <t>Soldering</t>
        </is>
      </c>
      <c r="W2450" s="3" t="inlineStr">
        <is>
          <t>Repair</t>
        </is>
      </c>
      <c r="X2450" s="18" t="n">
        <v>46171</v>
      </c>
      <c r="Y2450" s="73">
        <f>IF(X2450="","",X2450-A2450)</f>
        <v/>
      </c>
      <c r="Z2450" s="18" t="n">
        <v>46171</v>
      </c>
      <c r="AA2450" s="15" t="n"/>
      <c r="AB2450" s="15" t="n"/>
      <c r="AF2450">
        <f>IF(AND($F2450="Closed",$X2450&gt;=DATE(2026,5,1),$X2450&lt;=DATE(2026,5,31)),"Closed in May","Other")</f>
        <v/>
      </c>
    </row>
    <row r="2451">
      <c r="A2451" s="37" t="n">
        <v>46143</v>
      </c>
      <c r="B2451" s="3" t="n">
        <v>2026</v>
      </c>
      <c r="C2451" s="26" t="inlineStr">
        <is>
          <t>Yanara Power</t>
        </is>
      </c>
      <c r="D2451" s="3" t="inlineStr">
        <is>
          <t>Utility and C&amp;I</t>
        </is>
      </c>
      <c r="E2451" s="3" t="n"/>
      <c r="F2451" s="3" t="inlineStr">
        <is>
          <t>Closed</t>
        </is>
      </c>
      <c r="G2451" s="9" t="inlineStr">
        <is>
          <t xml:space="preserve">Ashish Jindal </t>
        </is>
      </c>
      <c r="H2451" s="26" t="n">
        <v>9983975581</v>
      </c>
      <c r="I2451" s="38" t="inlineStr">
        <is>
          <t>PE01052601</t>
        </is>
      </c>
      <c r="J2451" s="26" t="inlineStr">
        <is>
          <t>Multiple Issues</t>
        </is>
      </c>
      <c r="K2451" s="39" t="inlineStr">
        <is>
          <t>Holi</t>
        </is>
      </c>
      <c r="L2451" s="39" t="inlineStr">
        <is>
          <t>Maharashtra</t>
        </is>
      </c>
      <c r="M2451" s="46" t="inlineStr">
        <is>
          <t>NS</t>
        </is>
      </c>
      <c r="N2451" s="3" t="inlineStr">
        <is>
          <t>Cold Soldering</t>
        </is>
      </c>
      <c r="O2451" s="56" t="n">
        <v>575</v>
      </c>
      <c r="P2451" s="9" t="inlineStr">
        <is>
          <t>NSMI24070221537</t>
        </is>
      </c>
      <c r="Q2451" s="54">
        <f>MID(P2451,5,2)</f>
        <v/>
      </c>
      <c r="R2451" s="53">
        <f>MID(P2451,7,2)</f>
        <v/>
      </c>
      <c r="S2451" s="3" t="inlineStr">
        <is>
          <t>G2G</t>
        </is>
      </c>
      <c r="T2451" s="3" t="inlineStr">
        <is>
          <t>P4</t>
        </is>
      </c>
      <c r="U2451" s="3" t="inlineStr">
        <is>
          <t>N JB Cold Soldering</t>
        </is>
      </c>
      <c r="V2451" s="3" t="inlineStr">
        <is>
          <t>Soldering</t>
        </is>
      </c>
      <c r="W2451" s="3" t="inlineStr">
        <is>
          <t>Repair</t>
        </is>
      </c>
      <c r="X2451" s="18" t="n">
        <v>46171</v>
      </c>
      <c r="Y2451" s="73">
        <f>IF(X2451="","",X2451-A2451)</f>
        <v/>
      </c>
      <c r="Z2451" s="18" t="n">
        <v>46171</v>
      </c>
      <c r="AA2451" s="15" t="n"/>
      <c r="AB2451" s="15" t="n"/>
      <c r="AF2451">
        <f>IF(AND($F2451="Closed",$X2451&gt;=DATE(2026,5,1),$X2451&lt;=DATE(2026,5,31)),"Closed in May","Other")</f>
        <v/>
      </c>
    </row>
    <row r="2452">
      <c r="A2452" s="37" t="n">
        <v>46143</v>
      </c>
      <c r="B2452" s="3" t="n">
        <v>2026</v>
      </c>
      <c r="C2452" s="26" t="inlineStr">
        <is>
          <t>Yanara Power</t>
        </is>
      </c>
      <c r="D2452" s="3" t="inlineStr">
        <is>
          <t>Utility and C&amp;I</t>
        </is>
      </c>
      <c r="E2452" s="3" t="n"/>
      <c r="F2452" s="3" t="inlineStr">
        <is>
          <t>Closed</t>
        </is>
      </c>
      <c r="G2452" s="9" t="inlineStr">
        <is>
          <t xml:space="preserve">Ashish Jindal </t>
        </is>
      </c>
      <c r="H2452" s="26" t="n">
        <v>9983975581</v>
      </c>
      <c r="I2452" s="38" t="inlineStr">
        <is>
          <t>PE01052601</t>
        </is>
      </c>
      <c r="J2452" s="26" t="inlineStr">
        <is>
          <t>Multiple Issues</t>
        </is>
      </c>
      <c r="K2452" s="39" t="inlineStr">
        <is>
          <t>Holi</t>
        </is>
      </c>
      <c r="L2452" s="39" t="inlineStr">
        <is>
          <t>Maharashtra</t>
        </is>
      </c>
      <c r="M2452" s="46" t="inlineStr">
        <is>
          <t>PS</t>
        </is>
      </c>
      <c r="N2452" s="3" t="inlineStr">
        <is>
          <t>Cold Soldering</t>
        </is>
      </c>
      <c r="O2452" s="56" t="n">
        <v>575</v>
      </c>
      <c r="P2452" s="9" t="inlineStr">
        <is>
          <t>NSMI24070221576</t>
        </is>
      </c>
      <c r="Q2452" s="54">
        <f>MID(P2452,5,2)</f>
        <v/>
      </c>
      <c r="R2452" s="53">
        <f>MID(P2452,7,2)</f>
        <v/>
      </c>
      <c r="S2452" s="3" t="inlineStr">
        <is>
          <t>G2G</t>
        </is>
      </c>
      <c r="T2452" s="3" t="inlineStr">
        <is>
          <t>P4</t>
        </is>
      </c>
      <c r="U2452" s="19" t="inlineStr">
        <is>
          <t>P JB Cold Soldering</t>
        </is>
      </c>
      <c r="V2452" s="19" t="inlineStr">
        <is>
          <t>Soldering</t>
        </is>
      </c>
      <c r="W2452" s="3" t="inlineStr">
        <is>
          <t>Repair</t>
        </is>
      </c>
      <c r="X2452" s="18" t="n">
        <v>46171</v>
      </c>
      <c r="Y2452" s="73">
        <f>IF(X2452="","",X2452-A2452)</f>
        <v/>
      </c>
      <c r="Z2452" s="18" t="n">
        <v>46171</v>
      </c>
      <c r="AA2452" s="15" t="n"/>
      <c r="AB2452" s="15" t="n"/>
      <c r="AF2452">
        <f>IF(AND($F2452="Closed",$X2452&gt;=DATE(2026,5,1),$X2452&lt;=DATE(2026,5,31)),"Closed in May","Other")</f>
        <v/>
      </c>
    </row>
    <row r="2453">
      <c r="A2453" s="37" t="n">
        <v>46143</v>
      </c>
      <c r="B2453" s="3" t="n">
        <v>2026</v>
      </c>
      <c r="C2453" s="26" t="inlineStr">
        <is>
          <t>Yanara Power</t>
        </is>
      </c>
      <c r="D2453" s="3" t="inlineStr">
        <is>
          <t>Utility and C&amp;I</t>
        </is>
      </c>
      <c r="E2453" s="3" t="n"/>
      <c r="F2453" s="3" t="inlineStr">
        <is>
          <t>Closed</t>
        </is>
      </c>
      <c r="G2453" s="9" t="inlineStr">
        <is>
          <t xml:space="preserve">Ashish Jindal </t>
        </is>
      </c>
      <c r="H2453" s="26" t="n">
        <v>9983975581</v>
      </c>
      <c r="I2453" s="38" t="inlineStr">
        <is>
          <t>PE01052601</t>
        </is>
      </c>
      <c r="J2453" s="26" t="inlineStr">
        <is>
          <t>Multiple Issues</t>
        </is>
      </c>
      <c r="K2453" s="39" t="inlineStr">
        <is>
          <t>Holi</t>
        </is>
      </c>
      <c r="L2453" s="39" t="inlineStr">
        <is>
          <t>Maharashtra</t>
        </is>
      </c>
      <c r="M2453" s="46" t="inlineStr">
        <is>
          <t>PS</t>
        </is>
      </c>
      <c r="N2453" s="3" t="inlineStr">
        <is>
          <t>Cold Soldering</t>
        </is>
      </c>
      <c r="O2453" s="56" t="n">
        <v>575</v>
      </c>
      <c r="P2453" s="9" t="inlineStr">
        <is>
          <t>NSMI24070190298</t>
        </is>
      </c>
      <c r="Q2453" s="54">
        <f>MID(P2453,5,2)</f>
        <v/>
      </c>
      <c r="R2453" s="53">
        <f>MID(P2453,7,2)</f>
        <v/>
      </c>
      <c r="S2453" s="3" t="inlineStr">
        <is>
          <t>G2G</t>
        </is>
      </c>
      <c r="T2453" s="3" t="inlineStr">
        <is>
          <t>P4</t>
        </is>
      </c>
      <c r="U2453" s="19" t="inlineStr">
        <is>
          <t>P JB Cold Soldering</t>
        </is>
      </c>
      <c r="V2453" s="19" t="inlineStr">
        <is>
          <t>Soldering</t>
        </is>
      </c>
      <c r="W2453" s="3" t="inlineStr">
        <is>
          <t>Repair</t>
        </is>
      </c>
      <c r="X2453" s="18" t="n">
        <v>46171</v>
      </c>
      <c r="Y2453" s="73">
        <f>IF(X2453="","",X2453-A2453)</f>
        <v/>
      </c>
      <c r="Z2453" s="18" t="n">
        <v>46171</v>
      </c>
      <c r="AA2453" s="15" t="n"/>
      <c r="AB2453" s="15" t="n"/>
      <c r="AF2453">
        <f>IF(AND($F2453="Closed",$X2453&gt;=DATE(2026,5,1),$X2453&lt;=DATE(2026,5,31)),"Closed in May","Other")</f>
        <v/>
      </c>
    </row>
    <row r="2454">
      <c r="A2454" s="37" t="n">
        <v>46143</v>
      </c>
      <c r="B2454" s="3" t="n">
        <v>2026</v>
      </c>
      <c r="C2454" s="26" t="inlineStr">
        <is>
          <t>Yanara Power</t>
        </is>
      </c>
      <c r="D2454" s="3" t="inlineStr">
        <is>
          <t>Utility and C&amp;I</t>
        </is>
      </c>
      <c r="E2454" s="3" t="n"/>
      <c r="F2454" s="3" t="inlineStr">
        <is>
          <t>Closed</t>
        </is>
      </c>
      <c r="G2454" s="9" t="inlineStr">
        <is>
          <t xml:space="preserve">Ashish Jindal </t>
        </is>
      </c>
      <c r="H2454" s="26" t="n">
        <v>9983975581</v>
      </c>
      <c r="I2454" s="38" t="inlineStr">
        <is>
          <t>PE01052601</t>
        </is>
      </c>
      <c r="J2454" s="26" t="inlineStr">
        <is>
          <t>Multiple Issues</t>
        </is>
      </c>
      <c r="K2454" s="39" t="inlineStr">
        <is>
          <t>Holi</t>
        </is>
      </c>
      <c r="L2454" s="39" t="inlineStr">
        <is>
          <t>Maharashtra</t>
        </is>
      </c>
      <c r="M2454" s="46" t="inlineStr">
        <is>
          <t>NS</t>
        </is>
      </c>
      <c r="N2454" s="3" t="inlineStr">
        <is>
          <t>Cold Soldering</t>
        </is>
      </c>
      <c r="O2454" s="56" t="n">
        <v>575</v>
      </c>
      <c r="P2454" s="9" t="inlineStr">
        <is>
          <t>NSMI24070201415</t>
        </is>
      </c>
      <c r="Q2454" s="54">
        <f>MID(P2454,5,2)</f>
        <v/>
      </c>
      <c r="R2454" s="53">
        <f>MID(P2454,7,2)</f>
        <v/>
      </c>
      <c r="S2454" s="3" t="inlineStr">
        <is>
          <t>G2G</t>
        </is>
      </c>
      <c r="T2454" s="3" t="inlineStr">
        <is>
          <t>P4</t>
        </is>
      </c>
      <c r="U2454" s="3" t="inlineStr">
        <is>
          <t>N JB Cold Soldering</t>
        </is>
      </c>
      <c r="V2454" s="3" t="inlineStr">
        <is>
          <t>Soldering</t>
        </is>
      </c>
      <c r="W2454" s="3" t="inlineStr">
        <is>
          <t>Repair</t>
        </is>
      </c>
      <c r="X2454" s="18" t="n">
        <v>46171</v>
      </c>
      <c r="Y2454" s="73">
        <f>IF(X2454="","",X2454-A2454)</f>
        <v/>
      </c>
      <c r="Z2454" s="18" t="n">
        <v>46171</v>
      </c>
      <c r="AA2454" s="15" t="n"/>
      <c r="AB2454" s="15" t="n"/>
      <c r="AF2454">
        <f>IF(AND($F2454="Closed",$X2454&gt;=DATE(2026,5,1),$X2454&lt;=DATE(2026,5,31)),"Closed in May","Other")</f>
        <v/>
      </c>
    </row>
    <row r="2455">
      <c r="A2455" s="37" t="n">
        <v>46143</v>
      </c>
      <c r="B2455" s="3" t="n">
        <v>2026</v>
      </c>
      <c r="C2455" s="26" t="inlineStr">
        <is>
          <t>Yanara Power</t>
        </is>
      </c>
      <c r="D2455" s="3" t="inlineStr">
        <is>
          <t>Utility and C&amp;I</t>
        </is>
      </c>
      <c r="E2455" s="3" t="n"/>
      <c r="F2455" s="3" t="inlineStr">
        <is>
          <t>Closed</t>
        </is>
      </c>
      <c r="G2455" s="9" t="inlineStr">
        <is>
          <t xml:space="preserve">Ashish Jindal </t>
        </is>
      </c>
      <c r="H2455" s="26" t="n">
        <v>9983975581</v>
      </c>
      <c r="I2455" s="38" t="inlineStr">
        <is>
          <t>PE01052601</t>
        </is>
      </c>
      <c r="J2455" s="26" t="inlineStr">
        <is>
          <t>Multiple Issues</t>
        </is>
      </c>
      <c r="K2455" s="39" t="inlineStr">
        <is>
          <t>Holi</t>
        </is>
      </c>
      <c r="L2455" s="39" t="inlineStr">
        <is>
          <t>Maharashtra</t>
        </is>
      </c>
      <c r="M2455" s="46" t="inlineStr">
        <is>
          <t>NS</t>
        </is>
      </c>
      <c r="N2455" s="3" t="inlineStr">
        <is>
          <t>Cold Soldering</t>
        </is>
      </c>
      <c r="O2455" s="56" t="n">
        <v>575</v>
      </c>
      <c r="P2455" s="9" t="inlineStr">
        <is>
          <t>NSMI24070201417</t>
        </is>
      </c>
      <c r="Q2455" s="54">
        <f>MID(P2455,5,2)</f>
        <v/>
      </c>
      <c r="R2455" s="53">
        <f>MID(P2455,7,2)</f>
        <v/>
      </c>
      <c r="S2455" s="3" t="inlineStr">
        <is>
          <t>G2G</t>
        </is>
      </c>
      <c r="T2455" s="3" t="inlineStr">
        <is>
          <t>P4</t>
        </is>
      </c>
      <c r="U2455" s="3" t="inlineStr">
        <is>
          <t>N JB Cold Soldering</t>
        </is>
      </c>
      <c r="V2455" s="3" t="inlineStr">
        <is>
          <t>Soldering</t>
        </is>
      </c>
      <c r="W2455" s="3" t="inlineStr">
        <is>
          <t>Repair</t>
        </is>
      </c>
      <c r="X2455" s="18" t="n">
        <v>46171</v>
      </c>
      <c r="Y2455" s="73">
        <f>IF(X2455="","",X2455-A2455)</f>
        <v/>
      </c>
      <c r="Z2455" s="18" t="n">
        <v>46171</v>
      </c>
      <c r="AA2455" s="15" t="n"/>
      <c r="AB2455" s="15" t="n"/>
      <c r="AF2455">
        <f>IF(AND($F2455="Closed",$X2455&gt;=DATE(2026,5,1),$X2455&lt;=DATE(2026,5,31)),"Closed in May","Other")</f>
        <v/>
      </c>
    </row>
    <row r="2456">
      <c r="A2456" s="37" t="n">
        <v>46143</v>
      </c>
      <c r="B2456" s="3" t="n">
        <v>2026</v>
      </c>
      <c r="C2456" s="26" t="inlineStr">
        <is>
          <t>Yanara Power</t>
        </is>
      </c>
      <c r="D2456" s="3" t="inlineStr">
        <is>
          <t>Utility and C&amp;I</t>
        </is>
      </c>
      <c r="E2456" s="3" t="n"/>
      <c r="F2456" s="3" t="inlineStr">
        <is>
          <t>Closed</t>
        </is>
      </c>
      <c r="G2456" s="9" t="inlineStr">
        <is>
          <t xml:space="preserve">Ashish Jindal </t>
        </is>
      </c>
      <c r="H2456" s="26" t="n">
        <v>9983975581</v>
      </c>
      <c r="I2456" s="38" t="inlineStr">
        <is>
          <t>PE01052601</t>
        </is>
      </c>
      <c r="J2456" s="26" t="inlineStr">
        <is>
          <t>Multiple Issues</t>
        </is>
      </c>
      <c r="K2456" s="39" t="inlineStr">
        <is>
          <t>Holi</t>
        </is>
      </c>
      <c r="L2456" s="39" t="inlineStr">
        <is>
          <t>Maharashtra</t>
        </is>
      </c>
      <c r="M2456" s="46" t="inlineStr">
        <is>
          <t>PS</t>
        </is>
      </c>
      <c r="N2456" s="3" t="inlineStr">
        <is>
          <t>Cold Soldering</t>
        </is>
      </c>
      <c r="O2456" s="56" t="n">
        <v>575</v>
      </c>
      <c r="P2456" s="9" t="inlineStr">
        <is>
          <t>NSMI24070201673</t>
        </is>
      </c>
      <c r="Q2456" s="54">
        <f>MID(P2456,5,2)</f>
        <v/>
      </c>
      <c r="R2456" s="53">
        <f>MID(P2456,7,2)</f>
        <v/>
      </c>
      <c r="S2456" s="3" t="inlineStr">
        <is>
          <t>G2G</t>
        </is>
      </c>
      <c r="T2456" s="3" t="inlineStr">
        <is>
          <t>P4</t>
        </is>
      </c>
      <c r="U2456" s="19" t="inlineStr">
        <is>
          <t>P JB Cold Soldering</t>
        </is>
      </c>
      <c r="V2456" s="19" t="inlineStr">
        <is>
          <t>Soldering</t>
        </is>
      </c>
      <c r="W2456" s="3" t="inlineStr">
        <is>
          <t>Repair</t>
        </is>
      </c>
      <c r="X2456" s="18" t="n">
        <v>46171</v>
      </c>
      <c r="Y2456" s="73">
        <f>IF(X2456="","",X2456-A2456)</f>
        <v/>
      </c>
      <c r="Z2456" s="18" t="n">
        <v>46171</v>
      </c>
      <c r="AA2456" s="15" t="n"/>
      <c r="AB2456" s="15" t="n"/>
      <c r="AF2456">
        <f>IF(AND($F2456="Closed",$X2456&gt;=DATE(2026,5,1),$X2456&lt;=DATE(2026,5,31)),"Closed in May","Other")</f>
        <v/>
      </c>
    </row>
    <row r="2457">
      <c r="A2457" s="37" t="n">
        <v>46143</v>
      </c>
      <c r="B2457" s="3" t="n">
        <v>2026</v>
      </c>
      <c r="C2457" s="26" t="inlineStr">
        <is>
          <t>Yanara Power</t>
        </is>
      </c>
      <c r="D2457" s="3" t="inlineStr">
        <is>
          <t>Utility and C&amp;I</t>
        </is>
      </c>
      <c r="E2457" s="3" t="n"/>
      <c r="F2457" s="3" t="inlineStr">
        <is>
          <t>Closed</t>
        </is>
      </c>
      <c r="G2457" s="9" t="inlineStr">
        <is>
          <t xml:space="preserve">Ashish Jindal </t>
        </is>
      </c>
      <c r="H2457" s="26" t="n">
        <v>9983975581</v>
      </c>
      <c r="I2457" s="38" t="inlineStr">
        <is>
          <t>PE01052601</t>
        </is>
      </c>
      <c r="J2457" s="26" t="inlineStr">
        <is>
          <t>Multiple Issues</t>
        </is>
      </c>
      <c r="K2457" s="39" t="inlineStr">
        <is>
          <t>Holi</t>
        </is>
      </c>
      <c r="L2457" s="39" t="inlineStr">
        <is>
          <t>Maharashtra</t>
        </is>
      </c>
      <c r="M2457" s="46" t="inlineStr">
        <is>
          <t>PS</t>
        </is>
      </c>
      <c r="N2457" s="3" t="inlineStr">
        <is>
          <t>Cold Soldering</t>
        </is>
      </c>
      <c r="O2457" s="56" t="n">
        <v>575</v>
      </c>
      <c r="P2457" s="9" t="inlineStr">
        <is>
          <t>NSMI24070202057</t>
        </is>
      </c>
      <c r="Q2457" s="54">
        <f>MID(P2457,5,2)</f>
        <v/>
      </c>
      <c r="R2457" s="53">
        <f>MID(P2457,7,2)</f>
        <v/>
      </c>
      <c r="S2457" s="3" t="inlineStr">
        <is>
          <t>G2G</t>
        </is>
      </c>
      <c r="T2457" s="3" t="inlineStr">
        <is>
          <t>P4</t>
        </is>
      </c>
      <c r="U2457" s="19" t="inlineStr">
        <is>
          <t>P JB Cold Soldering</t>
        </is>
      </c>
      <c r="V2457" s="19" t="inlineStr">
        <is>
          <t>Soldering</t>
        </is>
      </c>
      <c r="W2457" s="3" t="inlineStr">
        <is>
          <t>Repair</t>
        </is>
      </c>
      <c r="X2457" s="18" t="n">
        <v>46171</v>
      </c>
      <c r="Y2457" s="73">
        <f>IF(X2457="","",X2457-A2457)</f>
        <v/>
      </c>
      <c r="Z2457" s="18" t="n">
        <v>46171</v>
      </c>
      <c r="AA2457" s="15" t="n"/>
      <c r="AB2457" s="15" t="n"/>
      <c r="AF2457">
        <f>IF(AND($F2457="Closed",$X2457&gt;=DATE(2026,5,1),$X2457&lt;=DATE(2026,5,31)),"Closed in May","Other")</f>
        <v/>
      </c>
    </row>
    <row r="2458">
      <c r="A2458" s="37" t="n">
        <v>46143</v>
      </c>
      <c r="B2458" s="3" t="n">
        <v>2026</v>
      </c>
      <c r="C2458" s="26" t="inlineStr">
        <is>
          <t>Yanara Power</t>
        </is>
      </c>
      <c r="D2458" s="3" t="inlineStr">
        <is>
          <t>Utility and C&amp;I</t>
        </is>
      </c>
      <c r="E2458" s="3" t="n"/>
      <c r="F2458" s="3" t="inlineStr">
        <is>
          <t>Closed</t>
        </is>
      </c>
      <c r="G2458" s="9" t="inlineStr">
        <is>
          <t xml:space="preserve">Ashish Jindal </t>
        </is>
      </c>
      <c r="H2458" s="26" t="n">
        <v>9983975581</v>
      </c>
      <c r="I2458" s="38" t="inlineStr">
        <is>
          <t>PE01052601</t>
        </is>
      </c>
      <c r="J2458" s="26" t="inlineStr">
        <is>
          <t>Multiple Issues</t>
        </is>
      </c>
      <c r="K2458" s="39" t="inlineStr">
        <is>
          <t>Holi</t>
        </is>
      </c>
      <c r="L2458" s="39" t="inlineStr">
        <is>
          <t>Maharashtra</t>
        </is>
      </c>
      <c r="M2458" s="46" t="inlineStr">
        <is>
          <t>PS</t>
        </is>
      </c>
      <c r="N2458" s="3" t="inlineStr">
        <is>
          <t>Cold Soldering</t>
        </is>
      </c>
      <c r="O2458" s="56" t="n">
        <v>575</v>
      </c>
      <c r="P2458" s="9" t="inlineStr">
        <is>
          <t>NSMI24070202054</t>
        </is>
      </c>
      <c r="Q2458" s="54">
        <f>MID(P2458,5,2)</f>
        <v/>
      </c>
      <c r="R2458" s="53">
        <f>MID(P2458,7,2)</f>
        <v/>
      </c>
      <c r="S2458" s="3" t="inlineStr">
        <is>
          <t>G2G</t>
        </is>
      </c>
      <c r="T2458" s="3" t="inlineStr">
        <is>
          <t>P4</t>
        </is>
      </c>
      <c r="U2458" s="19" t="inlineStr">
        <is>
          <t>P JB Cold Soldering</t>
        </is>
      </c>
      <c r="V2458" s="19" t="inlineStr">
        <is>
          <t>Soldering</t>
        </is>
      </c>
      <c r="W2458" s="3" t="inlineStr">
        <is>
          <t>Repair</t>
        </is>
      </c>
      <c r="X2458" s="18" t="n">
        <v>46171</v>
      </c>
      <c r="Y2458" s="73">
        <f>IF(X2458="","",X2458-A2458)</f>
        <v/>
      </c>
      <c r="Z2458" s="18" t="n">
        <v>46171</v>
      </c>
      <c r="AA2458" s="15" t="n"/>
      <c r="AB2458" s="15" t="n"/>
      <c r="AF2458">
        <f>IF(AND($F2458="Closed",$X2458&gt;=DATE(2026,5,1),$X2458&lt;=DATE(2026,5,31)),"Closed in May","Other")</f>
        <v/>
      </c>
    </row>
    <row r="2459">
      <c r="A2459" s="37" t="n">
        <v>46143</v>
      </c>
      <c r="B2459" s="3" t="n">
        <v>2026</v>
      </c>
      <c r="C2459" s="26" t="inlineStr">
        <is>
          <t>Yanara Power</t>
        </is>
      </c>
      <c r="D2459" s="3" t="inlineStr">
        <is>
          <t>Utility and C&amp;I</t>
        </is>
      </c>
      <c r="E2459" s="3" t="n"/>
      <c r="F2459" s="3" t="inlineStr">
        <is>
          <t>Closed</t>
        </is>
      </c>
      <c r="G2459" s="9" t="inlineStr">
        <is>
          <t xml:space="preserve">Ashish Jindal </t>
        </is>
      </c>
      <c r="H2459" s="26" t="n">
        <v>9983975581</v>
      </c>
      <c r="I2459" s="38" t="inlineStr">
        <is>
          <t>PE01052601</t>
        </is>
      </c>
      <c r="J2459" s="26" t="inlineStr">
        <is>
          <t>Multiple Issues</t>
        </is>
      </c>
      <c r="K2459" s="39" t="inlineStr">
        <is>
          <t>Holi</t>
        </is>
      </c>
      <c r="L2459" s="39" t="inlineStr">
        <is>
          <t>Maharashtra</t>
        </is>
      </c>
      <c r="M2459" s="46" t="inlineStr">
        <is>
          <t>PS</t>
        </is>
      </c>
      <c r="N2459" s="3" t="inlineStr">
        <is>
          <t>Cold Soldering</t>
        </is>
      </c>
      <c r="O2459" s="56" t="n">
        <v>575</v>
      </c>
      <c r="P2459" s="9" t="inlineStr">
        <is>
          <t>NSMI24070201849</t>
        </is>
      </c>
      <c r="Q2459" s="54">
        <f>MID(P2459,5,2)</f>
        <v/>
      </c>
      <c r="R2459" s="53">
        <f>MID(P2459,7,2)</f>
        <v/>
      </c>
      <c r="S2459" s="3" t="inlineStr">
        <is>
          <t>G2G</t>
        </is>
      </c>
      <c r="T2459" s="3" t="inlineStr">
        <is>
          <t>P4</t>
        </is>
      </c>
      <c r="U2459" s="19" t="inlineStr">
        <is>
          <t>P JB Cold Soldering</t>
        </is>
      </c>
      <c r="V2459" s="19" t="inlineStr">
        <is>
          <t>Soldering</t>
        </is>
      </c>
      <c r="W2459" s="3" t="inlineStr">
        <is>
          <t>Repair</t>
        </is>
      </c>
      <c r="X2459" s="18" t="n">
        <v>46171</v>
      </c>
      <c r="Y2459" s="73">
        <f>IF(X2459="","",X2459-A2459)</f>
        <v/>
      </c>
      <c r="Z2459" s="18" t="n">
        <v>46171</v>
      </c>
      <c r="AA2459" s="15" t="n"/>
      <c r="AB2459" s="15" t="n"/>
      <c r="AF2459">
        <f>IF(AND($F2459="Closed",$X2459&gt;=DATE(2026,5,1),$X2459&lt;=DATE(2026,5,31)),"Closed in May","Other")</f>
        <v/>
      </c>
    </row>
    <row r="2460">
      <c r="A2460" s="37" t="n">
        <v>46143</v>
      </c>
      <c r="B2460" s="3" t="n">
        <v>2026</v>
      </c>
      <c r="C2460" s="26" t="inlineStr">
        <is>
          <t>Yanara Power</t>
        </is>
      </c>
      <c r="D2460" s="3" t="inlineStr">
        <is>
          <t>Utility and C&amp;I</t>
        </is>
      </c>
      <c r="E2460" s="3" t="n"/>
      <c r="F2460" s="3" t="inlineStr">
        <is>
          <t>Closed</t>
        </is>
      </c>
      <c r="G2460" s="9" t="inlineStr">
        <is>
          <t xml:space="preserve">Ashish Jindal </t>
        </is>
      </c>
      <c r="H2460" s="26" t="n">
        <v>9983975581</v>
      </c>
      <c r="I2460" s="38" t="inlineStr">
        <is>
          <t>PE01052601</t>
        </is>
      </c>
      <c r="J2460" s="26" t="inlineStr">
        <is>
          <t>Multiple Issues</t>
        </is>
      </c>
      <c r="K2460" s="39" t="inlineStr">
        <is>
          <t>Holi</t>
        </is>
      </c>
      <c r="L2460" s="39" t="inlineStr">
        <is>
          <t>Maharashtra</t>
        </is>
      </c>
      <c r="M2460" s="46" t="inlineStr">
        <is>
          <t>PS</t>
        </is>
      </c>
      <c r="N2460" s="3" t="inlineStr">
        <is>
          <t>Cold Soldering</t>
        </is>
      </c>
      <c r="O2460" s="56" t="n">
        <v>575</v>
      </c>
      <c r="P2460" s="9" t="inlineStr">
        <is>
          <t>NSMI24070201820</t>
        </is>
      </c>
      <c r="Q2460" s="54">
        <f>MID(P2460,5,2)</f>
        <v/>
      </c>
      <c r="R2460" s="53">
        <f>MID(P2460,7,2)</f>
        <v/>
      </c>
      <c r="S2460" s="3" t="inlineStr">
        <is>
          <t>G2G</t>
        </is>
      </c>
      <c r="T2460" s="3" t="inlineStr">
        <is>
          <t>P4</t>
        </is>
      </c>
      <c r="U2460" s="19" t="inlineStr">
        <is>
          <t>P JB Cold Soldering</t>
        </is>
      </c>
      <c r="V2460" s="19" t="inlineStr">
        <is>
          <t>Soldering</t>
        </is>
      </c>
      <c r="W2460" s="3" t="inlineStr">
        <is>
          <t>Repair</t>
        </is>
      </c>
      <c r="X2460" s="18" t="n">
        <v>46171</v>
      </c>
      <c r="Y2460" s="73">
        <f>IF(X2460="","",X2460-A2460)</f>
        <v/>
      </c>
      <c r="Z2460" s="18" t="n">
        <v>46171</v>
      </c>
      <c r="AA2460" s="15" t="n"/>
      <c r="AB2460" s="15" t="n"/>
      <c r="AF2460">
        <f>IF(AND($F2460="Closed",$X2460&gt;=DATE(2026,5,1),$X2460&lt;=DATE(2026,5,31)),"Closed in May","Other")</f>
        <v/>
      </c>
    </row>
    <row r="2461">
      <c r="A2461" s="37" t="n">
        <v>46143</v>
      </c>
      <c r="B2461" s="3" t="n">
        <v>2026</v>
      </c>
      <c r="C2461" s="26" t="inlineStr">
        <is>
          <t>Yanara Power</t>
        </is>
      </c>
      <c r="D2461" s="3" t="inlineStr">
        <is>
          <t>Utility and C&amp;I</t>
        </is>
      </c>
      <c r="E2461" s="3" t="n"/>
      <c r="F2461" s="3" t="inlineStr">
        <is>
          <t>Closed</t>
        </is>
      </c>
      <c r="G2461" s="9" t="inlineStr">
        <is>
          <t xml:space="preserve">Ashish Jindal </t>
        </is>
      </c>
      <c r="H2461" s="26" t="n">
        <v>9983975581</v>
      </c>
      <c r="I2461" s="38" t="inlineStr">
        <is>
          <t>PE01052601</t>
        </is>
      </c>
      <c r="J2461" s="26" t="inlineStr">
        <is>
          <t>Multiple Issues</t>
        </is>
      </c>
      <c r="K2461" s="39" t="inlineStr">
        <is>
          <t>Holi</t>
        </is>
      </c>
      <c r="L2461" s="39" t="inlineStr">
        <is>
          <t>Maharashtra</t>
        </is>
      </c>
      <c r="M2461" s="46" t="inlineStr">
        <is>
          <t>PS</t>
        </is>
      </c>
      <c r="N2461" s="3" t="inlineStr">
        <is>
          <t>Cold Soldering</t>
        </is>
      </c>
      <c r="O2461" s="56" t="n">
        <v>575</v>
      </c>
      <c r="P2461" s="9" t="inlineStr">
        <is>
          <t>NSMI24070201855</t>
        </is>
      </c>
      <c r="Q2461" s="54">
        <f>MID(P2461,5,2)</f>
        <v/>
      </c>
      <c r="R2461" s="53">
        <f>MID(P2461,7,2)</f>
        <v/>
      </c>
      <c r="S2461" s="3" t="inlineStr">
        <is>
          <t>G2G</t>
        </is>
      </c>
      <c r="T2461" s="3" t="inlineStr">
        <is>
          <t>P4</t>
        </is>
      </c>
      <c r="U2461" s="19" t="inlineStr">
        <is>
          <t>P JB Cold Soldering</t>
        </is>
      </c>
      <c r="V2461" s="19" t="inlineStr">
        <is>
          <t>Soldering</t>
        </is>
      </c>
      <c r="W2461" s="3" t="inlineStr">
        <is>
          <t>Repair</t>
        </is>
      </c>
      <c r="X2461" s="18" t="n">
        <v>46171</v>
      </c>
      <c r="Y2461" s="73">
        <f>IF(X2461="","",X2461-A2461)</f>
        <v/>
      </c>
      <c r="Z2461" s="18" t="n">
        <v>46171</v>
      </c>
      <c r="AA2461" s="15" t="n"/>
      <c r="AB2461" s="15" t="n"/>
      <c r="AF2461">
        <f>IF(AND($F2461="Closed",$X2461&gt;=DATE(2026,5,1),$X2461&lt;=DATE(2026,5,31)),"Closed in May","Other")</f>
        <v/>
      </c>
    </row>
    <row r="2462">
      <c r="A2462" s="37" t="n">
        <v>46143</v>
      </c>
      <c r="B2462" s="3" t="n">
        <v>2026</v>
      </c>
      <c r="C2462" s="26" t="inlineStr">
        <is>
          <t>Yanara Power</t>
        </is>
      </c>
      <c r="D2462" s="3" t="inlineStr">
        <is>
          <t>Utility and C&amp;I</t>
        </is>
      </c>
      <c r="E2462" s="3" t="n"/>
      <c r="F2462" s="3" t="inlineStr">
        <is>
          <t>Closed</t>
        </is>
      </c>
      <c r="G2462" s="9" t="inlineStr">
        <is>
          <t xml:space="preserve">Ashish Jindal </t>
        </is>
      </c>
      <c r="H2462" s="26" t="n">
        <v>9983975581</v>
      </c>
      <c r="I2462" s="38" t="inlineStr">
        <is>
          <t>PE01052601</t>
        </is>
      </c>
      <c r="J2462" s="26" t="inlineStr">
        <is>
          <t>Multiple Issues</t>
        </is>
      </c>
      <c r="K2462" s="39" t="inlineStr">
        <is>
          <t>Holi</t>
        </is>
      </c>
      <c r="L2462" s="39" t="inlineStr">
        <is>
          <t>Maharashtra</t>
        </is>
      </c>
      <c r="M2462" s="46" t="inlineStr">
        <is>
          <t>PS</t>
        </is>
      </c>
      <c r="N2462" s="3" t="inlineStr">
        <is>
          <t>Cold Soldering</t>
        </is>
      </c>
      <c r="O2462" s="56" t="n">
        <v>575</v>
      </c>
      <c r="P2462" s="9" t="inlineStr">
        <is>
          <t>NSMI24070185462</t>
        </is>
      </c>
      <c r="Q2462" s="54">
        <f>MID(P2462,5,2)</f>
        <v/>
      </c>
      <c r="R2462" s="53">
        <f>MID(P2462,7,2)</f>
        <v/>
      </c>
      <c r="S2462" s="3" t="inlineStr">
        <is>
          <t>G2G</t>
        </is>
      </c>
      <c r="T2462" s="3" t="inlineStr">
        <is>
          <t>P4</t>
        </is>
      </c>
      <c r="U2462" s="19" t="inlineStr">
        <is>
          <t>P JB Cold Soldering</t>
        </is>
      </c>
      <c r="V2462" s="19" t="inlineStr">
        <is>
          <t>Soldering</t>
        </is>
      </c>
      <c r="W2462" s="3" t="inlineStr">
        <is>
          <t>Repair</t>
        </is>
      </c>
      <c r="X2462" s="18" t="n">
        <v>46171</v>
      </c>
      <c r="Y2462" s="73">
        <f>IF(X2462="","",X2462-A2462)</f>
        <v/>
      </c>
      <c r="Z2462" s="18" t="n">
        <v>46171</v>
      </c>
      <c r="AA2462" s="15" t="n"/>
      <c r="AB2462" s="15" t="n"/>
      <c r="AF2462">
        <f>IF(AND($F2462="Closed",$X2462&gt;=DATE(2026,5,1),$X2462&lt;=DATE(2026,5,31)),"Closed in May","Other")</f>
        <v/>
      </c>
    </row>
    <row r="2463">
      <c r="A2463" s="37" t="n">
        <v>46143</v>
      </c>
      <c r="B2463" s="3" t="n">
        <v>2026</v>
      </c>
      <c r="C2463" s="26" t="inlineStr">
        <is>
          <t>Yanara Power</t>
        </is>
      </c>
      <c r="D2463" s="3" t="inlineStr">
        <is>
          <t>Utility and C&amp;I</t>
        </is>
      </c>
      <c r="E2463" s="3" t="n"/>
      <c r="F2463" s="3" t="inlineStr">
        <is>
          <t>Closed</t>
        </is>
      </c>
      <c r="G2463" s="9" t="inlineStr">
        <is>
          <t xml:space="preserve">Ashish Jindal </t>
        </is>
      </c>
      <c r="H2463" s="26" t="n">
        <v>9983975581</v>
      </c>
      <c r="I2463" s="38" t="inlineStr">
        <is>
          <t>PE01052601</t>
        </is>
      </c>
      <c r="J2463" s="26" t="inlineStr">
        <is>
          <t>Multiple Issues</t>
        </is>
      </c>
      <c r="K2463" s="39" t="inlineStr">
        <is>
          <t>Holi</t>
        </is>
      </c>
      <c r="L2463" s="39" t="inlineStr">
        <is>
          <t>Maharashtra</t>
        </is>
      </c>
      <c r="M2463" s="46" t="inlineStr">
        <is>
          <t>PS</t>
        </is>
      </c>
      <c r="N2463" s="3" t="inlineStr">
        <is>
          <t>Cold Soldering</t>
        </is>
      </c>
      <c r="O2463" s="56" t="n">
        <v>575</v>
      </c>
      <c r="P2463" s="9" t="inlineStr">
        <is>
          <t>NSMI24070221410</t>
        </is>
      </c>
      <c r="Q2463" s="54">
        <f>MID(P2463,5,2)</f>
        <v/>
      </c>
      <c r="R2463" s="53">
        <f>MID(P2463,7,2)</f>
        <v/>
      </c>
      <c r="S2463" s="3" t="inlineStr">
        <is>
          <t>G2G</t>
        </is>
      </c>
      <c r="T2463" s="3" t="inlineStr">
        <is>
          <t>P4</t>
        </is>
      </c>
      <c r="U2463" s="19" t="inlineStr">
        <is>
          <t>P JB Cold Soldering</t>
        </is>
      </c>
      <c r="V2463" s="19" t="inlineStr">
        <is>
          <t>Soldering</t>
        </is>
      </c>
      <c r="W2463" s="3" t="inlineStr">
        <is>
          <t>Repair</t>
        </is>
      </c>
      <c r="X2463" s="18" t="n">
        <v>46171</v>
      </c>
      <c r="Y2463" s="73">
        <f>IF(X2463="","",X2463-A2463)</f>
        <v/>
      </c>
      <c r="Z2463" s="18" t="n">
        <v>46171</v>
      </c>
      <c r="AA2463" s="15" t="n"/>
      <c r="AB2463" s="15" t="n"/>
      <c r="AF2463">
        <f>IF(AND($F2463="Closed",$X2463&gt;=DATE(2026,5,1),$X2463&lt;=DATE(2026,5,31)),"Closed in May","Other")</f>
        <v/>
      </c>
    </row>
    <row r="2464">
      <c r="A2464" s="37" t="n">
        <v>46143</v>
      </c>
      <c r="B2464" s="3" t="n">
        <v>2026</v>
      </c>
      <c r="C2464" s="26" t="inlineStr">
        <is>
          <t>Yanara Power</t>
        </is>
      </c>
      <c r="D2464" s="3" t="inlineStr">
        <is>
          <t>Utility and C&amp;I</t>
        </is>
      </c>
      <c r="E2464" s="3" t="n"/>
      <c r="F2464" s="3" t="inlineStr">
        <is>
          <t>Closed</t>
        </is>
      </c>
      <c r="G2464" s="9" t="inlineStr">
        <is>
          <t xml:space="preserve">Ashish Jindal </t>
        </is>
      </c>
      <c r="H2464" s="26" t="n">
        <v>9983975581</v>
      </c>
      <c r="I2464" s="38" t="inlineStr">
        <is>
          <t>PE01052601</t>
        </is>
      </c>
      <c r="J2464" s="26" t="inlineStr">
        <is>
          <t>Multiple Issues</t>
        </is>
      </c>
      <c r="K2464" s="39" t="inlineStr">
        <is>
          <t>Holi</t>
        </is>
      </c>
      <c r="L2464" s="39" t="inlineStr">
        <is>
          <t>Maharashtra</t>
        </is>
      </c>
      <c r="M2464" s="46" t="inlineStr">
        <is>
          <t>PS</t>
        </is>
      </c>
      <c r="N2464" s="3" t="inlineStr">
        <is>
          <t>Cold Soldering</t>
        </is>
      </c>
      <c r="O2464" s="56" t="n">
        <v>575</v>
      </c>
      <c r="P2464" s="9" t="inlineStr">
        <is>
          <t>NSMI24070221393</t>
        </is>
      </c>
      <c r="Q2464" s="54">
        <f>MID(P2464,5,2)</f>
        <v/>
      </c>
      <c r="R2464" s="53">
        <f>MID(P2464,7,2)</f>
        <v/>
      </c>
      <c r="S2464" s="3" t="inlineStr">
        <is>
          <t>G2G</t>
        </is>
      </c>
      <c r="T2464" s="3" t="inlineStr">
        <is>
          <t>P4</t>
        </is>
      </c>
      <c r="U2464" s="19" t="inlineStr">
        <is>
          <t>P JB Cold Soldering</t>
        </is>
      </c>
      <c r="V2464" s="19" t="inlineStr">
        <is>
          <t>Soldering</t>
        </is>
      </c>
      <c r="W2464" s="3" t="inlineStr">
        <is>
          <t>Repair</t>
        </is>
      </c>
      <c r="X2464" s="18" t="n">
        <v>46171</v>
      </c>
      <c r="Y2464" s="73">
        <f>IF(X2464="","",X2464-A2464)</f>
        <v/>
      </c>
      <c r="Z2464" s="18" t="n">
        <v>46171</v>
      </c>
      <c r="AA2464" s="15" t="n"/>
      <c r="AB2464" s="15" t="n"/>
      <c r="AF2464">
        <f>IF(AND($F2464="Closed",$X2464&gt;=DATE(2026,5,1),$X2464&lt;=DATE(2026,5,31)),"Closed in May","Other")</f>
        <v/>
      </c>
    </row>
    <row r="2465">
      <c r="A2465" s="37" t="n">
        <v>46143</v>
      </c>
      <c r="B2465" s="3" t="n">
        <v>2026</v>
      </c>
      <c r="C2465" s="26" t="inlineStr">
        <is>
          <t>Yanara Power</t>
        </is>
      </c>
      <c r="D2465" s="3" t="inlineStr">
        <is>
          <t>Utility and C&amp;I</t>
        </is>
      </c>
      <c r="E2465" s="3" t="n"/>
      <c r="F2465" s="3" t="inlineStr">
        <is>
          <t>Closed</t>
        </is>
      </c>
      <c r="G2465" s="9" t="inlineStr">
        <is>
          <t xml:space="preserve">Ashish Jindal </t>
        </is>
      </c>
      <c r="H2465" s="26" t="n">
        <v>9983975581</v>
      </c>
      <c r="I2465" s="38" t="inlineStr">
        <is>
          <t>PE01052601</t>
        </is>
      </c>
      <c r="J2465" s="26" t="inlineStr">
        <is>
          <t>Multiple Issues</t>
        </is>
      </c>
      <c r="K2465" s="39" t="inlineStr">
        <is>
          <t>Holi</t>
        </is>
      </c>
      <c r="L2465" s="39" t="inlineStr">
        <is>
          <t>Maharashtra</t>
        </is>
      </c>
      <c r="M2465" s="46" t="inlineStr">
        <is>
          <t>PS</t>
        </is>
      </c>
      <c r="N2465" s="3" t="inlineStr">
        <is>
          <t>Cold Soldering</t>
        </is>
      </c>
      <c r="O2465" s="56" t="n">
        <v>575</v>
      </c>
      <c r="P2465" s="9" t="inlineStr">
        <is>
          <t>NSMI24070221394</t>
        </is>
      </c>
      <c r="Q2465" s="54">
        <f>MID(P2465,5,2)</f>
        <v/>
      </c>
      <c r="R2465" s="53">
        <f>MID(P2465,7,2)</f>
        <v/>
      </c>
      <c r="S2465" s="3" t="inlineStr">
        <is>
          <t>G2G</t>
        </is>
      </c>
      <c r="T2465" s="3" t="inlineStr">
        <is>
          <t>P4</t>
        </is>
      </c>
      <c r="U2465" s="19" t="inlineStr">
        <is>
          <t>P JB Cold Soldering</t>
        </is>
      </c>
      <c r="V2465" s="19" t="inlineStr">
        <is>
          <t>Soldering</t>
        </is>
      </c>
      <c r="W2465" s="3" t="inlineStr">
        <is>
          <t>Repair</t>
        </is>
      </c>
      <c r="X2465" s="18" t="n">
        <v>46171</v>
      </c>
      <c r="Y2465" s="73">
        <f>IF(X2465="","",X2465-A2465)</f>
        <v/>
      </c>
      <c r="Z2465" s="18" t="n">
        <v>46171</v>
      </c>
      <c r="AA2465" s="15" t="n"/>
      <c r="AB2465" s="15" t="n"/>
      <c r="AF2465">
        <f>IF(AND($F2465="Closed",$X2465&gt;=DATE(2026,5,1),$X2465&lt;=DATE(2026,5,31)),"Closed in May","Other")</f>
        <v/>
      </c>
    </row>
    <row r="2466">
      <c r="A2466" s="37" t="n">
        <v>46143</v>
      </c>
      <c r="B2466" s="3" t="n">
        <v>2026</v>
      </c>
      <c r="C2466" s="26" t="inlineStr">
        <is>
          <t>Yanara Power</t>
        </is>
      </c>
      <c r="D2466" s="3" t="inlineStr">
        <is>
          <t>Utility and C&amp;I</t>
        </is>
      </c>
      <c r="E2466" s="3" t="n"/>
      <c r="F2466" s="3" t="inlineStr">
        <is>
          <t>Closed</t>
        </is>
      </c>
      <c r="G2466" s="9" t="inlineStr">
        <is>
          <t xml:space="preserve">Ashish Jindal </t>
        </is>
      </c>
      <c r="H2466" s="26" t="n">
        <v>9983975581</v>
      </c>
      <c r="I2466" s="38" t="inlineStr">
        <is>
          <t>PE01052601</t>
        </is>
      </c>
      <c r="J2466" s="26" t="inlineStr">
        <is>
          <t>Multiple Issues</t>
        </is>
      </c>
      <c r="K2466" s="39" t="inlineStr">
        <is>
          <t>Holi</t>
        </is>
      </c>
      <c r="L2466" s="39" t="inlineStr">
        <is>
          <t>Maharashtra</t>
        </is>
      </c>
      <c r="M2466" s="46" t="inlineStr">
        <is>
          <t>PS</t>
        </is>
      </c>
      <c r="N2466" s="3" t="inlineStr">
        <is>
          <t>Cold Soldering</t>
        </is>
      </c>
      <c r="O2466" s="56" t="n">
        <v>575</v>
      </c>
      <c r="P2466" s="9" t="inlineStr">
        <is>
          <t>NSMI24070221437</t>
        </is>
      </c>
      <c r="Q2466" s="54">
        <f>MID(P2466,5,2)</f>
        <v/>
      </c>
      <c r="R2466" s="53">
        <f>MID(P2466,7,2)</f>
        <v/>
      </c>
      <c r="S2466" s="3" t="inlineStr">
        <is>
          <t>G2G</t>
        </is>
      </c>
      <c r="T2466" s="3" t="inlineStr">
        <is>
          <t>P4</t>
        </is>
      </c>
      <c r="U2466" s="19" t="inlineStr">
        <is>
          <t>P JB Cold Soldering</t>
        </is>
      </c>
      <c r="V2466" s="19" t="inlineStr">
        <is>
          <t>Soldering</t>
        </is>
      </c>
      <c r="W2466" s="3" t="inlineStr">
        <is>
          <t>Repair</t>
        </is>
      </c>
      <c r="X2466" s="18" t="n">
        <v>46171</v>
      </c>
      <c r="Y2466" s="73">
        <f>IF(X2466="","",X2466-A2466)</f>
        <v/>
      </c>
      <c r="Z2466" s="18" t="n">
        <v>46171</v>
      </c>
      <c r="AA2466" s="15" t="n"/>
      <c r="AB2466" s="15" t="n"/>
      <c r="AF2466">
        <f>IF(AND($F2466="Closed",$X2466&gt;=DATE(2026,5,1),$X2466&lt;=DATE(2026,5,31)),"Closed in May","Other")</f>
        <v/>
      </c>
    </row>
    <row r="2467">
      <c r="A2467" s="37" t="n">
        <v>46143</v>
      </c>
      <c r="B2467" s="3" t="n">
        <v>2026</v>
      </c>
      <c r="C2467" s="26" t="inlineStr">
        <is>
          <t>Yanara Power</t>
        </is>
      </c>
      <c r="D2467" s="3" t="inlineStr">
        <is>
          <t>Utility and C&amp;I</t>
        </is>
      </c>
      <c r="E2467" s="3" t="n"/>
      <c r="F2467" s="3" t="inlineStr">
        <is>
          <t>Closed</t>
        </is>
      </c>
      <c r="G2467" s="9" t="inlineStr">
        <is>
          <t xml:space="preserve">Ashish Jindal </t>
        </is>
      </c>
      <c r="H2467" s="26" t="n">
        <v>9983975581</v>
      </c>
      <c r="I2467" s="38" t="inlineStr">
        <is>
          <t>PE01052601</t>
        </is>
      </c>
      <c r="J2467" s="26" t="inlineStr">
        <is>
          <t>Multiple Issues</t>
        </is>
      </c>
      <c r="K2467" s="39" t="inlineStr">
        <is>
          <t>Holi</t>
        </is>
      </c>
      <c r="L2467" s="39" t="inlineStr">
        <is>
          <t>Maharashtra</t>
        </is>
      </c>
      <c r="M2467" s="46" t="inlineStr">
        <is>
          <t>PS</t>
        </is>
      </c>
      <c r="N2467" s="3" t="inlineStr">
        <is>
          <t>Cold Soldering</t>
        </is>
      </c>
      <c r="O2467" s="56" t="n">
        <v>575</v>
      </c>
      <c r="P2467" s="9" t="inlineStr">
        <is>
          <t>NSMI24070201868</t>
        </is>
      </c>
      <c r="Q2467" s="54">
        <f>MID(P2467,5,2)</f>
        <v/>
      </c>
      <c r="R2467" s="53">
        <f>MID(P2467,7,2)</f>
        <v/>
      </c>
      <c r="S2467" s="3" t="inlineStr">
        <is>
          <t>G2G</t>
        </is>
      </c>
      <c r="T2467" s="3" t="inlineStr">
        <is>
          <t>P4</t>
        </is>
      </c>
      <c r="U2467" s="19" t="inlineStr">
        <is>
          <t>P JB Cold Soldering</t>
        </is>
      </c>
      <c r="V2467" s="19" t="inlineStr">
        <is>
          <t>Soldering</t>
        </is>
      </c>
      <c r="W2467" s="3" t="inlineStr">
        <is>
          <t>Repair</t>
        </is>
      </c>
      <c r="X2467" s="18" t="n">
        <v>46171</v>
      </c>
      <c r="Y2467" s="73">
        <f>IF(X2467="","",X2467-A2467)</f>
        <v/>
      </c>
      <c r="Z2467" s="18" t="n">
        <v>46171</v>
      </c>
      <c r="AA2467" s="15" t="n"/>
      <c r="AB2467" s="15" t="n"/>
      <c r="AF2467">
        <f>IF(AND($F2467="Closed",$X2467&gt;=DATE(2026,5,1),$X2467&lt;=DATE(2026,5,31)),"Closed in May","Other")</f>
        <v/>
      </c>
    </row>
    <row r="2468">
      <c r="A2468" s="37" t="n">
        <v>46143</v>
      </c>
      <c r="B2468" s="3" t="n">
        <v>2026</v>
      </c>
      <c r="C2468" s="26" t="inlineStr">
        <is>
          <t>Yanara Power</t>
        </is>
      </c>
      <c r="D2468" s="3" t="inlineStr">
        <is>
          <t>Utility and C&amp;I</t>
        </is>
      </c>
      <c r="E2468" s="3" t="n"/>
      <c r="F2468" s="3" t="inlineStr">
        <is>
          <t>Closed</t>
        </is>
      </c>
      <c r="G2468" s="9" t="inlineStr">
        <is>
          <t xml:space="preserve">Ashish Jindal </t>
        </is>
      </c>
      <c r="H2468" s="26" t="n">
        <v>9983975581</v>
      </c>
      <c r="I2468" s="38" t="inlineStr">
        <is>
          <t>PE01052601</t>
        </is>
      </c>
      <c r="J2468" s="26" t="inlineStr">
        <is>
          <t>Multiple Issues</t>
        </is>
      </c>
      <c r="K2468" s="39" t="inlineStr">
        <is>
          <t>Holi</t>
        </is>
      </c>
      <c r="L2468" s="39" t="inlineStr">
        <is>
          <t>Maharashtra</t>
        </is>
      </c>
      <c r="M2468" s="46" t="inlineStr">
        <is>
          <t>NS</t>
        </is>
      </c>
      <c r="N2468" s="3" t="inlineStr">
        <is>
          <t>Cold Soldering</t>
        </is>
      </c>
      <c r="O2468" s="56" t="n">
        <v>575</v>
      </c>
      <c r="P2468" s="9" t="inlineStr">
        <is>
          <t>NSMI24070201890</t>
        </is>
      </c>
      <c r="Q2468" s="54">
        <f>MID(P2468,5,2)</f>
        <v/>
      </c>
      <c r="R2468" s="53">
        <f>MID(P2468,7,2)</f>
        <v/>
      </c>
      <c r="S2468" s="3" t="inlineStr">
        <is>
          <t>G2G</t>
        </is>
      </c>
      <c r="T2468" s="3" t="inlineStr">
        <is>
          <t>P4</t>
        </is>
      </c>
      <c r="U2468" s="3" t="inlineStr">
        <is>
          <t>N JB Cold Soldering</t>
        </is>
      </c>
      <c r="V2468" s="3" t="inlineStr">
        <is>
          <t>Soldering</t>
        </is>
      </c>
      <c r="W2468" s="3" t="inlineStr">
        <is>
          <t>Repair</t>
        </is>
      </c>
      <c r="X2468" s="18" t="n">
        <v>46171</v>
      </c>
      <c r="Y2468" s="73">
        <f>IF(X2468="","",X2468-A2468)</f>
        <v/>
      </c>
      <c r="Z2468" s="18" t="n">
        <v>46171</v>
      </c>
      <c r="AA2468" s="15" t="n"/>
      <c r="AB2468" s="15" t="n"/>
      <c r="AF2468">
        <f>IF(AND($F2468="Closed",$X2468&gt;=DATE(2026,5,1),$X2468&lt;=DATE(2026,5,31)),"Closed in May","Other")</f>
        <v/>
      </c>
    </row>
    <row r="2469">
      <c r="A2469" s="37" t="n">
        <v>46143</v>
      </c>
      <c r="B2469" s="3" t="n">
        <v>2026</v>
      </c>
      <c r="C2469" s="26" t="inlineStr">
        <is>
          <t>Yanara Power</t>
        </is>
      </c>
      <c r="D2469" s="3" t="inlineStr">
        <is>
          <t>Utility and C&amp;I</t>
        </is>
      </c>
      <c r="E2469" s="3" t="n"/>
      <c r="F2469" s="3" t="inlineStr">
        <is>
          <t>Closed</t>
        </is>
      </c>
      <c r="G2469" s="9" t="inlineStr">
        <is>
          <t xml:space="preserve">Ashish Jindal </t>
        </is>
      </c>
      <c r="H2469" s="26" t="n">
        <v>9983975581</v>
      </c>
      <c r="I2469" s="38" t="inlineStr">
        <is>
          <t>PE01052601</t>
        </is>
      </c>
      <c r="J2469" s="26" t="inlineStr">
        <is>
          <t>Multiple Issues</t>
        </is>
      </c>
      <c r="K2469" s="39" t="inlineStr">
        <is>
          <t>Holi</t>
        </is>
      </c>
      <c r="L2469" s="39" t="inlineStr">
        <is>
          <t>Maharashtra</t>
        </is>
      </c>
      <c r="M2469" s="46" t="inlineStr">
        <is>
          <t>NS</t>
        </is>
      </c>
      <c r="N2469" s="3" t="inlineStr">
        <is>
          <t>Cold Soldering</t>
        </is>
      </c>
      <c r="O2469" s="56" t="n">
        <v>575</v>
      </c>
      <c r="P2469" s="9" t="inlineStr">
        <is>
          <t>NSMI24070201860</t>
        </is>
      </c>
      <c r="Q2469" s="54">
        <f>MID(P2469,5,2)</f>
        <v/>
      </c>
      <c r="R2469" s="53">
        <f>MID(P2469,7,2)</f>
        <v/>
      </c>
      <c r="S2469" s="3" t="inlineStr">
        <is>
          <t>G2G</t>
        </is>
      </c>
      <c r="T2469" s="3" t="inlineStr">
        <is>
          <t>P4</t>
        </is>
      </c>
      <c r="U2469" s="3" t="inlineStr">
        <is>
          <t>N JB Cold Soldering</t>
        </is>
      </c>
      <c r="V2469" s="3" t="inlineStr">
        <is>
          <t>Soldering</t>
        </is>
      </c>
      <c r="W2469" s="3" t="inlineStr">
        <is>
          <t>Repair</t>
        </is>
      </c>
      <c r="X2469" s="18" t="n">
        <v>46171</v>
      </c>
      <c r="Y2469" s="73">
        <f>IF(X2469="","",X2469-A2469)</f>
        <v/>
      </c>
      <c r="Z2469" s="18" t="n">
        <v>46171</v>
      </c>
      <c r="AA2469" s="15" t="n"/>
      <c r="AB2469" s="15" t="n"/>
      <c r="AF2469">
        <f>IF(AND($F2469="Closed",$X2469&gt;=DATE(2026,5,1),$X2469&lt;=DATE(2026,5,31)),"Closed in May","Other")</f>
        <v/>
      </c>
    </row>
    <row r="2470">
      <c r="A2470" s="37" t="n">
        <v>46143</v>
      </c>
      <c r="B2470" s="3" t="n">
        <v>2026</v>
      </c>
      <c r="C2470" s="26" t="inlineStr">
        <is>
          <t>Yanara Power</t>
        </is>
      </c>
      <c r="D2470" s="3" t="inlineStr">
        <is>
          <t>Utility and C&amp;I</t>
        </is>
      </c>
      <c r="E2470" s="3" t="n"/>
      <c r="F2470" s="3" t="inlineStr">
        <is>
          <t>Closed</t>
        </is>
      </c>
      <c r="G2470" s="9" t="inlineStr">
        <is>
          <t xml:space="preserve">Ashish Jindal </t>
        </is>
      </c>
      <c r="H2470" s="26" t="n">
        <v>9983975581</v>
      </c>
      <c r="I2470" s="38" t="inlineStr">
        <is>
          <t>PE01052601</t>
        </is>
      </c>
      <c r="J2470" s="26" t="inlineStr">
        <is>
          <t>Multiple Issues</t>
        </is>
      </c>
      <c r="K2470" s="39" t="inlineStr">
        <is>
          <t>Holi</t>
        </is>
      </c>
      <c r="L2470" s="39" t="inlineStr">
        <is>
          <t>Maharashtra</t>
        </is>
      </c>
      <c r="M2470" s="46" t="inlineStr">
        <is>
          <t>PNS</t>
        </is>
      </c>
      <c r="N2470" s="3" t="inlineStr">
        <is>
          <t>Cold Soldering</t>
        </is>
      </c>
      <c r="O2470" s="56" t="n">
        <v>575</v>
      </c>
      <c r="P2470" s="9" t="inlineStr">
        <is>
          <t>NSMI24070201835</t>
        </is>
      </c>
      <c r="Q2470" s="54">
        <f>MID(P2470,5,2)</f>
        <v/>
      </c>
      <c r="R2470" s="53">
        <f>MID(P2470,7,2)</f>
        <v/>
      </c>
      <c r="S2470" s="3" t="inlineStr">
        <is>
          <t>G2G</t>
        </is>
      </c>
      <c r="T2470" s="3" t="inlineStr">
        <is>
          <t>P4</t>
        </is>
      </c>
      <c r="U2470" s="3" t="inlineStr">
        <is>
          <t>P &amp; N JB Cold Soldering</t>
        </is>
      </c>
      <c r="V2470" s="3" t="inlineStr">
        <is>
          <t>Soldering</t>
        </is>
      </c>
      <c r="W2470" s="3" t="inlineStr">
        <is>
          <t>Repair</t>
        </is>
      </c>
      <c r="X2470" s="18" t="n">
        <v>46171</v>
      </c>
      <c r="Y2470" s="73">
        <f>IF(X2470="","",X2470-A2470)</f>
        <v/>
      </c>
      <c r="Z2470" s="18" t="n">
        <v>46171</v>
      </c>
      <c r="AA2470" s="15" t="n"/>
      <c r="AB2470" s="15" t="n"/>
      <c r="AF2470">
        <f>IF(AND($F2470="Closed",$X2470&gt;=DATE(2026,5,1),$X2470&lt;=DATE(2026,5,31)),"Closed in May","Other")</f>
        <v/>
      </c>
    </row>
    <row r="2471">
      <c r="A2471" s="37" t="n">
        <v>46143</v>
      </c>
      <c r="B2471" s="3" t="n">
        <v>2026</v>
      </c>
      <c r="C2471" s="26" t="inlineStr">
        <is>
          <t>Yanara Power</t>
        </is>
      </c>
      <c r="D2471" s="3" t="inlineStr">
        <is>
          <t>Utility and C&amp;I</t>
        </is>
      </c>
      <c r="E2471" s="3" t="n"/>
      <c r="F2471" s="3" t="inlineStr">
        <is>
          <t>Closed</t>
        </is>
      </c>
      <c r="G2471" s="9" t="inlineStr">
        <is>
          <t xml:space="preserve">Ashish Jindal </t>
        </is>
      </c>
      <c r="H2471" s="26" t="n">
        <v>9983975581</v>
      </c>
      <c r="I2471" s="38" t="inlineStr">
        <is>
          <t>PE01052601</t>
        </is>
      </c>
      <c r="J2471" s="26" t="inlineStr">
        <is>
          <t>Multiple Issues</t>
        </is>
      </c>
      <c r="K2471" s="39" t="inlineStr">
        <is>
          <t>Holi</t>
        </is>
      </c>
      <c r="L2471" s="39" t="inlineStr">
        <is>
          <t>Maharashtra</t>
        </is>
      </c>
      <c r="M2471" s="46" t="inlineStr">
        <is>
          <t>NS</t>
        </is>
      </c>
      <c r="N2471" s="3" t="inlineStr">
        <is>
          <t>Cold Soldering</t>
        </is>
      </c>
      <c r="O2471" s="56" t="n">
        <v>575</v>
      </c>
      <c r="P2471" s="9" t="inlineStr">
        <is>
          <t>NSMI24070221815</t>
        </is>
      </c>
      <c r="Q2471" s="54">
        <f>MID(P2471,5,2)</f>
        <v/>
      </c>
      <c r="R2471" s="53">
        <f>MID(P2471,7,2)</f>
        <v/>
      </c>
      <c r="S2471" s="3" t="inlineStr">
        <is>
          <t>G2G</t>
        </is>
      </c>
      <c r="T2471" s="3" t="inlineStr">
        <is>
          <t>P4</t>
        </is>
      </c>
      <c r="U2471" s="3" t="inlineStr">
        <is>
          <t>N JB Cold Soldering</t>
        </is>
      </c>
      <c r="V2471" s="3" t="inlineStr">
        <is>
          <t>Soldering</t>
        </is>
      </c>
      <c r="W2471" s="3" t="inlineStr">
        <is>
          <t>Repair</t>
        </is>
      </c>
      <c r="X2471" s="18" t="n">
        <v>46171</v>
      </c>
      <c r="Y2471" s="73">
        <f>IF(X2471="","",X2471-A2471)</f>
        <v/>
      </c>
      <c r="Z2471" s="18" t="n">
        <v>46171</v>
      </c>
      <c r="AA2471" s="15" t="n"/>
      <c r="AB2471" s="15" t="n"/>
      <c r="AF2471">
        <f>IF(AND($F2471="Closed",$X2471&gt;=DATE(2026,5,1),$X2471&lt;=DATE(2026,5,31)),"Closed in May","Other")</f>
        <v/>
      </c>
    </row>
    <row r="2472">
      <c r="A2472" s="37" t="n">
        <v>46143</v>
      </c>
      <c r="B2472" s="3" t="n">
        <v>2026</v>
      </c>
      <c r="C2472" s="26" t="inlineStr">
        <is>
          <t>Yanara Power</t>
        </is>
      </c>
      <c r="D2472" s="3" t="inlineStr">
        <is>
          <t>Utility and C&amp;I</t>
        </is>
      </c>
      <c r="E2472" s="3" t="n"/>
      <c r="F2472" s="3" t="inlineStr">
        <is>
          <t>Closed</t>
        </is>
      </c>
      <c r="G2472" s="9" t="inlineStr">
        <is>
          <t xml:space="preserve">Ashish Jindal </t>
        </is>
      </c>
      <c r="H2472" s="26" t="n">
        <v>9983975581</v>
      </c>
      <c r="I2472" s="38" t="inlineStr">
        <is>
          <t>PE01052601</t>
        </is>
      </c>
      <c r="J2472" s="26" t="inlineStr">
        <is>
          <t>Multiple Issues</t>
        </is>
      </c>
      <c r="K2472" s="39" t="inlineStr">
        <is>
          <t>Holi</t>
        </is>
      </c>
      <c r="L2472" s="39" t="inlineStr">
        <is>
          <t>Maharashtra</t>
        </is>
      </c>
      <c r="M2472" s="46" t="inlineStr">
        <is>
          <t>PS</t>
        </is>
      </c>
      <c r="N2472" s="3" t="inlineStr">
        <is>
          <t>Cold Soldering</t>
        </is>
      </c>
      <c r="O2472" s="56" t="n">
        <v>575</v>
      </c>
      <c r="P2472" s="9" t="inlineStr">
        <is>
          <t>NSMI24070197244</t>
        </is>
      </c>
      <c r="Q2472" s="54">
        <f>MID(P2472,5,2)</f>
        <v/>
      </c>
      <c r="R2472" s="53">
        <f>MID(P2472,7,2)</f>
        <v/>
      </c>
      <c r="S2472" s="3" t="inlineStr">
        <is>
          <t>G2G</t>
        </is>
      </c>
      <c r="T2472" s="3" t="inlineStr">
        <is>
          <t>P4</t>
        </is>
      </c>
      <c r="U2472" s="19" t="inlineStr">
        <is>
          <t>P JB Cold Soldering</t>
        </is>
      </c>
      <c r="V2472" s="19" t="inlineStr">
        <is>
          <t>Soldering</t>
        </is>
      </c>
      <c r="W2472" s="3" t="inlineStr">
        <is>
          <t>Repair</t>
        </is>
      </c>
      <c r="X2472" s="18" t="n">
        <v>46171</v>
      </c>
      <c r="Y2472" s="73">
        <f>IF(X2472="","",X2472-A2472)</f>
        <v/>
      </c>
      <c r="Z2472" s="18" t="n">
        <v>46171</v>
      </c>
      <c r="AA2472" s="15" t="n"/>
      <c r="AB2472" s="15" t="n"/>
      <c r="AF2472">
        <f>IF(AND($F2472="Closed",$X2472&gt;=DATE(2026,5,1),$X2472&lt;=DATE(2026,5,31)),"Closed in May","Other")</f>
        <v/>
      </c>
    </row>
    <row r="2473">
      <c r="A2473" s="37" t="n">
        <v>46143</v>
      </c>
      <c r="B2473" s="3" t="n">
        <v>2026</v>
      </c>
      <c r="C2473" s="26" t="inlineStr">
        <is>
          <t>Yanara Power</t>
        </is>
      </c>
      <c r="D2473" s="3" t="inlineStr">
        <is>
          <t>Utility and C&amp;I</t>
        </is>
      </c>
      <c r="E2473" s="3" t="n"/>
      <c r="F2473" s="3" t="inlineStr">
        <is>
          <t>Closed</t>
        </is>
      </c>
      <c r="G2473" s="9" t="inlineStr">
        <is>
          <t xml:space="preserve">Ashish Jindal </t>
        </is>
      </c>
      <c r="H2473" s="26" t="n">
        <v>9983975581</v>
      </c>
      <c r="I2473" s="38" t="inlineStr">
        <is>
          <t>PE01052601</t>
        </is>
      </c>
      <c r="J2473" s="26" t="inlineStr">
        <is>
          <t>Multiple Issues</t>
        </is>
      </c>
      <c r="K2473" s="39" t="inlineStr">
        <is>
          <t>Holi</t>
        </is>
      </c>
      <c r="L2473" s="39" t="inlineStr">
        <is>
          <t>Maharashtra</t>
        </is>
      </c>
      <c r="M2473" s="46" t="inlineStr">
        <is>
          <t>PS</t>
        </is>
      </c>
      <c r="N2473" s="3" t="inlineStr">
        <is>
          <t>Cold Soldering</t>
        </is>
      </c>
      <c r="O2473" s="56" t="n">
        <v>575</v>
      </c>
      <c r="P2473" s="9" t="inlineStr">
        <is>
          <t>NSMI24070188395</t>
        </is>
      </c>
      <c r="Q2473" s="54">
        <f>MID(P2473,5,2)</f>
        <v/>
      </c>
      <c r="R2473" s="53">
        <f>MID(P2473,7,2)</f>
        <v/>
      </c>
      <c r="S2473" s="3" t="inlineStr">
        <is>
          <t>G2G</t>
        </is>
      </c>
      <c r="T2473" s="3" t="inlineStr">
        <is>
          <t>P4</t>
        </is>
      </c>
      <c r="U2473" s="19" t="inlineStr">
        <is>
          <t>P JB Cold Soldering</t>
        </is>
      </c>
      <c r="V2473" s="19" t="inlineStr">
        <is>
          <t>Soldering</t>
        </is>
      </c>
      <c r="W2473" s="3" t="inlineStr">
        <is>
          <t>Repair</t>
        </is>
      </c>
      <c r="X2473" s="18" t="n">
        <v>46171</v>
      </c>
      <c r="Y2473" s="73">
        <f>IF(X2473="","",X2473-A2473)</f>
        <v/>
      </c>
      <c r="Z2473" s="18" t="n">
        <v>46171</v>
      </c>
      <c r="AA2473" s="15" t="n"/>
      <c r="AB2473" s="15" t="n"/>
      <c r="AF2473">
        <f>IF(AND($F2473="Closed",$X2473&gt;=DATE(2026,5,1),$X2473&lt;=DATE(2026,5,31)),"Closed in May","Other")</f>
        <v/>
      </c>
    </row>
    <row r="2474">
      <c r="A2474" s="37" t="n">
        <v>46143</v>
      </c>
      <c r="B2474" s="3" t="n">
        <v>2026</v>
      </c>
      <c r="C2474" s="26" t="inlineStr">
        <is>
          <t>Yanara Power</t>
        </is>
      </c>
      <c r="D2474" s="3" t="inlineStr">
        <is>
          <t>Utility and C&amp;I</t>
        </is>
      </c>
      <c r="E2474" s="3" t="n"/>
      <c r="F2474" s="3" t="inlineStr">
        <is>
          <t>Closed</t>
        </is>
      </c>
      <c r="G2474" s="9" t="inlineStr">
        <is>
          <t xml:space="preserve">Ashish Jindal </t>
        </is>
      </c>
      <c r="H2474" s="26" t="n">
        <v>9983975581</v>
      </c>
      <c r="I2474" s="38" t="inlineStr">
        <is>
          <t>PE01052601</t>
        </is>
      </c>
      <c r="J2474" s="26" t="inlineStr">
        <is>
          <t>Multiple Issues</t>
        </is>
      </c>
      <c r="K2474" s="39" t="inlineStr">
        <is>
          <t>Holi</t>
        </is>
      </c>
      <c r="L2474" s="39" t="inlineStr">
        <is>
          <t>Maharashtra</t>
        </is>
      </c>
      <c r="M2474" s="46" t="inlineStr">
        <is>
          <t>PS</t>
        </is>
      </c>
      <c r="N2474" s="3" t="inlineStr">
        <is>
          <t>Cold Soldering</t>
        </is>
      </c>
      <c r="O2474" s="56" t="n">
        <v>575</v>
      </c>
      <c r="P2474" s="9" t="inlineStr">
        <is>
          <t>NSMI24070177172</t>
        </is>
      </c>
      <c r="Q2474" s="54">
        <f>MID(P2474,5,2)</f>
        <v/>
      </c>
      <c r="R2474" s="53">
        <f>MID(P2474,7,2)</f>
        <v/>
      </c>
      <c r="S2474" s="3" t="inlineStr">
        <is>
          <t>G2G</t>
        </is>
      </c>
      <c r="T2474" s="3" t="inlineStr">
        <is>
          <t>P4</t>
        </is>
      </c>
      <c r="U2474" s="19" t="inlineStr">
        <is>
          <t>P JB Cold Soldering</t>
        </is>
      </c>
      <c r="V2474" s="19" t="inlineStr">
        <is>
          <t>Soldering</t>
        </is>
      </c>
      <c r="W2474" s="3" t="inlineStr">
        <is>
          <t>Repair</t>
        </is>
      </c>
      <c r="X2474" s="18" t="n">
        <v>46171</v>
      </c>
      <c r="Y2474" s="73">
        <f>IF(X2474="","",X2474-A2474)</f>
        <v/>
      </c>
      <c r="Z2474" s="18" t="n">
        <v>46171</v>
      </c>
      <c r="AA2474" s="15" t="n"/>
      <c r="AB2474" s="15" t="n"/>
      <c r="AF2474">
        <f>IF(AND($F2474="Closed",$X2474&gt;=DATE(2026,5,1),$X2474&lt;=DATE(2026,5,31)),"Closed in May","Other")</f>
        <v/>
      </c>
    </row>
    <row r="2475">
      <c r="A2475" s="37" t="n">
        <v>46143</v>
      </c>
      <c r="B2475" s="3" t="n">
        <v>2026</v>
      </c>
      <c r="C2475" s="26" t="inlineStr">
        <is>
          <t>Yanara Power</t>
        </is>
      </c>
      <c r="D2475" s="3" t="inlineStr">
        <is>
          <t>Utility and C&amp;I</t>
        </is>
      </c>
      <c r="E2475" s="3" t="n"/>
      <c r="F2475" s="3" t="inlineStr">
        <is>
          <t>Closed</t>
        </is>
      </c>
      <c r="G2475" s="9" t="inlineStr">
        <is>
          <t xml:space="preserve">Ashish Jindal </t>
        </is>
      </c>
      <c r="H2475" s="26" t="n">
        <v>9983975581</v>
      </c>
      <c r="I2475" s="38" t="inlineStr">
        <is>
          <t>PE01052601</t>
        </is>
      </c>
      <c r="J2475" s="26" t="inlineStr">
        <is>
          <t>Multiple Issues</t>
        </is>
      </c>
      <c r="K2475" s="39" t="inlineStr">
        <is>
          <t>Holi</t>
        </is>
      </c>
      <c r="L2475" s="39" t="inlineStr">
        <is>
          <t>Maharashtra</t>
        </is>
      </c>
      <c r="M2475" s="46" t="inlineStr">
        <is>
          <t>NS</t>
        </is>
      </c>
      <c r="N2475" s="3" t="inlineStr">
        <is>
          <t>Cold Soldering</t>
        </is>
      </c>
      <c r="O2475" s="56" t="n">
        <v>575</v>
      </c>
      <c r="P2475" s="9" t="inlineStr">
        <is>
          <t>NSMI24070177780</t>
        </is>
      </c>
      <c r="Q2475" s="54">
        <f>MID(P2475,5,2)</f>
        <v/>
      </c>
      <c r="R2475" s="53">
        <f>MID(P2475,7,2)</f>
        <v/>
      </c>
      <c r="S2475" s="3" t="inlineStr">
        <is>
          <t>G2G</t>
        </is>
      </c>
      <c r="T2475" s="3" t="inlineStr">
        <is>
          <t>P4</t>
        </is>
      </c>
      <c r="U2475" s="3" t="inlineStr">
        <is>
          <t>N JB Cold Soldering</t>
        </is>
      </c>
      <c r="V2475" s="3" t="inlineStr">
        <is>
          <t>Soldering</t>
        </is>
      </c>
      <c r="W2475" s="3" t="inlineStr">
        <is>
          <t>Repair</t>
        </is>
      </c>
      <c r="X2475" s="18" t="n">
        <v>46171</v>
      </c>
      <c r="Y2475" s="73">
        <f>IF(X2475="","",X2475-A2475)</f>
        <v/>
      </c>
      <c r="Z2475" s="18" t="n">
        <v>46171</v>
      </c>
      <c r="AA2475" s="15" t="n"/>
      <c r="AB2475" s="15" t="n"/>
      <c r="AF2475">
        <f>IF(AND($F2475="Closed",$X2475&gt;=DATE(2026,5,1),$X2475&lt;=DATE(2026,5,31)),"Closed in May","Other")</f>
        <v/>
      </c>
    </row>
    <row r="2476">
      <c r="A2476" s="37" t="n">
        <v>46143</v>
      </c>
      <c r="B2476" s="3" t="n">
        <v>2026</v>
      </c>
      <c r="C2476" s="26" t="inlineStr">
        <is>
          <t>Yanara Power</t>
        </is>
      </c>
      <c r="D2476" s="3" t="inlineStr">
        <is>
          <t>Utility and C&amp;I</t>
        </is>
      </c>
      <c r="E2476" s="3" t="n"/>
      <c r="F2476" s="3" t="inlineStr">
        <is>
          <t>Closed</t>
        </is>
      </c>
      <c r="G2476" s="9" t="inlineStr">
        <is>
          <t xml:space="preserve">Ashish Jindal </t>
        </is>
      </c>
      <c r="H2476" s="26" t="n">
        <v>9983975581</v>
      </c>
      <c r="I2476" s="38" t="inlineStr">
        <is>
          <t>PE01052601</t>
        </is>
      </c>
      <c r="J2476" s="26" t="inlineStr">
        <is>
          <t>Multiple Issues</t>
        </is>
      </c>
      <c r="K2476" s="39" t="inlineStr">
        <is>
          <t>Holi</t>
        </is>
      </c>
      <c r="L2476" s="39" t="inlineStr">
        <is>
          <t>Maharashtra</t>
        </is>
      </c>
      <c r="M2476" s="46" t="inlineStr">
        <is>
          <t>PS</t>
        </is>
      </c>
      <c r="N2476" s="3" t="inlineStr">
        <is>
          <t>Cold Soldering</t>
        </is>
      </c>
      <c r="O2476" s="56" t="n">
        <v>575</v>
      </c>
      <c r="P2476" s="9" t="inlineStr">
        <is>
          <t>NSMI24070176040</t>
        </is>
      </c>
      <c r="Q2476" s="54">
        <f>MID(P2476,5,2)</f>
        <v/>
      </c>
      <c r="R2476" s="53">
        <f>MID(P2476,7,2)</f>
        <v/>
      </c>
      <c r="S2476" s="3" t="inlineStr">
        <is>
          <t>G2G</t>
        </is>
      </c>
      <c r="T2476" s="3" t="inlineStr">
        <is>
          <t>P4</t>
        </is>
      </c>
      <c r="U2476" s="19" t="inlineStr">
        <is>
          <t>P JB Cold Soldering</t>
        </is>
      </c>
      <c r="V2476" s="19" t="inlineStr">
        <is>
          <t>Soldering</t>
        </is>
      </c>
      <c r="W2476" s="3" t="inlineStr">
        <is>
          <t>Repair</t>
        </is>
      </c>
      <c r="X2476" s="18" t="n">
        <v>46171</v>
      </c>
      <c r="Y2476" s="73">
        <f>IF(X2476="","",X2476-A2476)</f>
        <v/>
      </c>
      <c r="Z2476" s="18" t="n">
        <v>46171</v>
      </c>
      <c r="AA2476" s="15" t="n"/>
      <c r="AB2476" s="15" t="n"/>
      <c r="AF2476">
        <f>IF(AND($F2476="Closed",$X2476&gt;=DATE(2026,5,1),$X2476&lt;=DATE(2026,5,31)),"Closed in May","Other")</f>
        <v/>
      </c>
    </row>
    <row r="2477">
      <c r="A2477" s="37" t="n">
        <v>46143</v>
      </c>
      <c r="B2477" s="3" t="n">
        <v>2026</v>
      </c>
      <c r="C2477" s="26" t="inlineStr">
        <is>
          <t>Yanara Power</t>
        </is>
      </c>
      <c r="D2477" s="3" t="inlineStr">
        <is>
          <t>Utility and C&amp;I</t>
        </is>
      </c>
      <c r="E2477" s="3" t="n"/>
      <c r="F2477" s="3" t="inlineStr">
        <is>
          <t>Closed</t>
        </is>
      </c>
      <c r="G2477" s="9" t="inlineStr">
        <is>
          <t xml:space="preserve">Ashish Jindal </t>
        </is>
      </c>
      <c r="H2477" s="26" t="n">
        <v>9983975581</v>
      </c>
      <c r="I2477" s="38" t="inlineStr">
        <is>
          <t>PE01052601</t>
        </is>
      </c>
      <c r="J2477" s="26" t="inlineStr">
        <is>
          <t>Multiple Issues</t>
        </is>
      </c>
      <c r="K2477" s="39" t="inlineStr">
        <is>
          <t>Holi</t>
        </is>
      </c>
      <c r="L2477" s="39" t="inlineStr">
        <is>
          <t>Maharashtra</t>
        </is>
      </c>
      <c r="M2477" s="46" t="inlineStr">
        <is>
          <t>PS</t>
        </is>
      </c>
      <c r="N2477" s="3" t="inlineStr">
        <is>
          <t>Cold Soldering</t>
        </is>
      </c>
      <c r="O2477" s="56" t="n">
        <v>575</v>
      </c>
      <c r="P2477" s="9" t="inlineStr">
        <is>
          <t>NSMI24070176316</t>
        </is>
      </c>
      <c r="Q2477" s="54">
        <f>MID(P2477,5,2)</f>
        <v/>
      </c>
      <c r="R2477" s="53">
        <f>MID(P2477,7,2)</f>
        <v/>
      </c>
      <c r="S2477" s="3" t="inlineStr">
        <is>
          <t>G2G</t>
        </is>
      </c>
      <c r="T2477" s="3" t="inlineStr">
        <is>
          <t>P4</t>
        </is>
      </c>
      <c r="U2477" s="19" t="inlineStr">
        <is>
          <t>P JB Cold Soldering</t>
        </is>
      </c>
      <c r="V2477" s="19" t="inlineStr">
        <is>
          <t>Soldering</t>
        </is>
      </c>
      <c r="W2477" s="3" t="inlineStr">
        <is>
          <t>Repair</t>
        </is>
      </c>
      <c r="X2477" s="18" t="n">
        <v>46171</v>
      </c>
      <c r="Y2477" s="73">
        <f>IF(X2477="","",X2477-A2477)</f>
        <v/>
      </c>
      <c r="Z2477" s="18" t="n">
        <v>46171</v>
      </c>
      <c r="AA2477" s="15" t="n"/>
      <c r="AB2477" s="15" t="n"/>
      <c r="AF2477">
        <f>IF(AND($F2477="Closed",$X2477&gt;=DATE(2026,5,1),$X2477&lt;=DATE(2026,5,31)),"Closed in May","Other")</f>
        <v/>
      </c>
    </row>
    <row r="2478">
      <c r="A2478" s="37" t="n">
        <v>46143</v>
      </c>
      <c r="B2478" s="3" t="n">
        <v>2026</v>
      </c>
      <c r="C2478" s="26" t="inlineStr">
        <is>
          <t>Yanara Power</t>
        </is>
      </c>
      <c r="D2478" s="3" t="inlineStr">
        <is>
          <t>Utility and C&amp;I</t>
        </is>
      </c>
      <c r="E2478" s="3" t="n"/>
      <c r="F2478" s="3" t="inlineStr">
        <is>
          <t>Closed</t>
        </is>
      </c>
      <c r="G2478" s="9" t="inlineStr">
        <is>
          <t xml:space="preserve">Ashish Jindal </t>
        </is>
      </c>
      <c r="H2478" s="26" t="n">
        <v>9983975581</v>
      </c>
      <c r="I2478" s="38" t="inlineStr">
        <is>
          <t>PE01052601</t>
        </is>
      </c>
      <c r="J2478" s="26" t="inlineStr">
        <is>
          <t>Multiple Issues</t>
        </is>
      </c>
      <c r="K2478" s="39" t="inlineStr">
        <is>
          <t>Holi</t>
        </is>
      </c>
      <c r="L2478" s="39" t="inlineStr">
        <is>
          <t>Maharashtra</t>
        </is>
      </c>
      <c r="M2478" s="46" t="inlineStr">
        <is>
          <t>PS</t>
        </is>
      </c>
      <c r="N2478" s="3" t="inlineStr">
        <is>
          <t>Cold Soldering</t>
        </is>
      </c>
      <c r="O2478" s="56" t="n">
        <v>575</v>
      </c>
      <c r="P2478" s="9" t="inlineStr">
        <is>
          <t>NSMI24070215078</t>
        </is>
      </c>
      <c r="Q2478" s="54">
        <f>MID(P2478,5,2)</f>
        <v/>
      </c>
      <c r="R2478" s="53">
        <f>MID(P2478,7,2)</f>
        <v/>
      </c>
      <c r="S2478" s="3" t="inlineStr">
        <is>
          <t>G2G</t>
        </is>
      </c>
      <c r="T2478" s="3" t="inlineStr">
        <is>
          <t>P4</t>
        </is>
      </c>
      <c r="U2478" s="19" t="inlineStr">
        <is>
          <t>P JB Cold Soldering</t>
        </is>
      </c>
      <c r="V2478" s="19" t="inlineStr">
        <is>
          <t>Soldering</t>
        </is>
      </c>
      <c r="W2478" s="3" t="inlineStr">
        <is>
          <t>Repair</t>
        </is>
      </c>
      <c r="X2478" s="18" t="n">
        <v>46171</v>
      </c>
      <c r="Y2478" s="73">
        <f>IF(X2478="","",X2478-A2478)</f>
        <v/>
      </c>
      <c r="Z2478" s="18" t="n">
        <v>46171</v>
      </c>
      <c r="AA2478" s="15" t="n"/>
      <c r="AB2478" s="15" t="n"/>
      <c r="AF2478">
        <f>IF(AND($F2478="Closed",$X2478&gt;=DATE(2026,5,1),$X2478&lt;=DATE(2026,5,31)),"Closed in May","Other")</f>
        <v/>
      </c>
    </row>
    <row r="2479">
      <c r="A2479" s="37" t="n">
        <v>46143</v>
      </c>
      <c r="B2479" s="3" t="n">
        <v>2026</v>
      </c>
      <c r="C2479" s="26" t="inlineStr">
        <is>
          <t>Yanara Power</t>
        </is>
      </c>
      <c r="D2479" s="3" t="inlineStr">
        <is>
          <t>Utility and C&amp;I</t>
        </is>
      </c>
      <c r="E2479" s="3" t="n"/>
      <c r="F2479" s="3" t="inlineStr">
        <is>
          <t>Closed</t>
        </is>
      </c>
      <c r="G2479" s="9" t="inlineStr">
        <is>
          <t xml:space="preserve">Ashish Jindal </t>
        </is>
      </c>
      <c r="H2479" s="26" t="n">
        <v>9983975581</v>
      </c>
      <c r="I2479" s="38" t="inlineStr">
        <is>
          <t>PE01052601</t>
        </is>
      </c>
      <c r="J2479" s="26" t="inlineStr">
        <is>
          <t>Multiple Issues</t>
        </is>
      </c>
      <c r="K2479" s="39" t="inlineStr">
        <is>
          <t>Holi</t>
        </is>
      </c>
      <c r="L2479" s="39" t="inlineStr">
        <is>
          <t>Maharashtra</t>
        </is>
      </c>
      <c r="M2479" s="46" t="inlineStr">
        <is>
          <t>NS</t>
        </is>
      </c>
      <c r="N2479" s="3" t="inlineStr">
        <is>
          <t>Cold Soldering</t>
        </is>
      </c>
      <c r="O2479" s="56" t="n">
        <v>575</v>
      </c>
      <c r="P2479" s="9" t="inlineStr">
        <is>
          <t>NSMI24070203983</t>
        </is>
      </c>
      <c r="Q2479" s="54">
        <f>MID(P2479,5,2)</f>
        <v/>
      </c>
      <c r="R2479" s="53">
        <f>MID(P2479,7,2)</f>
        <v/>
      </c>
      <c r="S2479" s="3" t="inlineStr">
        <is>
          <t>G2G</t>
        </is>
      </c>
      <c r="T2479" s="3" t="inlineStr">
        <is>
          <t>P4</t>
        </is>
      </c>
      <c r="U2479" s="3" t="inlineStr">
        <is>
          <t>N JB Cold Soldering</t>
        </is>
      </c>
      <c r="V2479" s="3" t="inlineStr">
        <is>
          <t>Soldering</t>
        </is>
      </c>
      <c r="W2479" s="3" t="inlineStr">
        <is>
          <t>Repair</t>
        </is>
      </c>
      <c r="X2479" s="18" t="n">
        <v>46171</v>
      </c>
      <c r="Y2479" s="73">
        <f>IF(X2479="","",X2479-A2479)</f>
        <v/>
      </c>
      <c r="Z2479" s="18" t="n">
        <v>46171</v>
      </c>
      <c r="AA2479" s="15" t="n"/>
      <c r="AB2479" s="15" t="n"/>
      <c r="AF2479">
        <f>IF(AND($F2479="Closed",$X2479&gt;=DATE(2026,5,1),$X2479&lt;=DATE(2026,5,31)),"Closed in May","Other")</f>
        <v/>
      </c>
    </row>
    <row r="2480">
      <c r="A2480" s="37" t="n">
        <v>46143</v>
      </c>
      <c r="B2480" s="3" t="n">
        <v>2026</v>
      </c>
      <c r="C2480" s="26" t="inlineStr">
        <is>
          <t>Yanara Power</t>
        </is>
      </c>
      <c r="D2480" s="3" t="inlineStr">
        <is>
          <t>Utility and C&amp;I</t>
        </is>
      </c>
      <c r="E2480" s="3" t="n"/>
      <c r="F2480" s="3" t="inlineStr">
        <is>
          <t>Closed</t>
        </is>
      </c>
      <c r="G2480" s="9" t="inlineStr">
        <is>
          <t xml:space="preserve">Ashish Jindal </t>
        </is>
      </c>
      <c r="H2480" s="26" t="n">
        <v>9983975581</v>
      </c>
      <c r="I2480" s="38" t="inlineStr">
        <is>
          <t>PE01052601</t>
        </is>
      </c>
      <c r="J2480" s="26" t="inlineStr">
        <is>
          <t>Multiple Issues</t>
        </is>
      </c>
      <c r="K2480" s="39" t="inlineStr">
        <is>
          <t>Holi</t>
        </is>
      </c>
      <c r="L2480" s="39" t="inlineStr">
        <is>
          <t>Maharashtra</t>
        </is>
      </c>
      <c r="M2480" s="46" t="inlineStr">
        <is>
          <t>NS</t>
        </is>
      </c>
      <c r="N2480" s="3" t="inlineStr">
        <is>
          <t>Cold Soldering</t>
        </is>
      </c>
      <c r="O2480" s="56" t="n">
        <v>575</v>
      </c>
      <c r="P2480" s="9" t="inlineStr">
        <is>
          <t>NSMI24070197859</t>
        </is>
      </c>
      <c r="Q2480" s="54">
        <f>MID(P2480,5,2)</f>
        <v/>
      </c>
      <c r="R2480" s="53">
        <f>MID(P2480,7,2)</f>
        <v/>
      </c>
      <c r="S2480" s="3" t="inlineStr">
        <is>
          <t>G2G</t>
        </is>
      </c>
      <c r="T2480" s="3" t="inlineStr">
        <is>
          <t>P4</t>
        </is>
      </c>
      <c r="U2480" s="3" t="inlineStr">
        <is>
          <t>N JB Cold Soldering</t>
        </is>
      </c>
      <c r="V2480" s="3" t="inlineStr">
        <is>
          <t>Soldering</t>
        </is>
      </c>
      <c r="W2480" s="3" t="inlineStr">
        <is>
          <t>Repair</t>
        </is>
      </c>
      <c r="X2480" s="18" t="n">
        <v>46171</v>
      </c>
      <c r="Y2480" s="73">
        <f>IF(X2480="","",X2480-A2480)</f>
        <v/>
      </c>
      <c r="Z2480" s="18" t="n">
        <v>46171</v>
      </c>
      <c r="AA2480" s="15" t="n"/>
      <c r="AB2480" s="15" t="n"/>
      <c r="AF2480">
        <f>IF(AND($F2480="Closed",$X2480&gt;=DATE(2026,5,1),$X2480&lt;=DATE(2026,5,31)),"Closed in May","Other")</f>
        <v/>
      </c>
    </row>
    <row r="2481">
      <c r="A2481" s="37" t="n">
        <v>46143</v>
      </c>
      <c r="B2481" s="3" t="n">
        <v>2026</v>
      </c>
      <c r="C2481" s="26" t="inlineStr">
        <is>
          <t>Yanara Power</t>
        </is>
      </c>
      <c r="D2481" s="3" t="inlineStr">
        <is>
          <t>Utility and C&amp;I</t>
        </is>
      </c>
      <c r="E2481" s="3" t="n"/>
      <c r="F2481" s="3" t="inlineStr">
        <is>
          <t>Closed</t>
        </is>
      </c>
      <c r="G2481" s="9" t="inlineStr">
        <is>
          <t xml:space="preserve">Ashish Jindal </t>
        </is>
      </c>
      <c r="H2481" s="26" t="n">
        <v>9983975581</v>
      </c>
      <c r="I2481" s="38" t="inlineStr">
        <is>
          <t>PE01052601</t>
        </is>
      </c>
      <c r="J2481" s="26" t="inlineStr">
        <is>
          <t>Multiple Issues</t>
        </is>
      </c>
      <c r="K2481" s="39" t="inlineStr">
        <is>
          <t>Holi</t>
        </is>
      </c>
      <c r="L2481" s="39" t="inlineStr">
        <is>
          <t>Maharashtra</t>
        </is>
      </c>
      <c r="M2481" s="46" t="inlineStr">
        <is>
          <t>PS</t>
        </is>
      </c>
      <c r="N2481" s="3" t="inlineStr">
        <is>
          <t>Cold Soldering</t>
        </is>
      </c>
      <c r="O2481" s="56" t="n">
        <v>575</v>
      </c>
      <c r="P2481" s="9" t="inlineStr">
        <is>
          <t>NSMI24070176289</t>
        </is>
      </c>
      <c r="Q2481" s="54">
        <f>MID(P2481,5,2)</f>
        <v/>
      </c>
      <c r="R2481" s="53">
        <f>MID(P2481,7,2)</f>
        <v/>
      </c>
      <c r="S2481" s="3" t="inlineStr">
        <is>
          <t>G2G</t>
        </is>
      </c>
      <c r="T2481" s="3" t="inlineStr">
        <is>
          <t>P4</t>
        </is>
      </c>
      <c r="U2481" s="19" t="inlineStr">
        <is>
          <t>P JB Cold Soldering</t>
        </is>
      </c>
      <c r="V2481" s="19" t="inlineStr">
        <is>
          <t>Soldering</t>
        </is>
      </c>
      <c r="W2481" s="3" t="inlineStr">
        <is>
          <t>Repair</t>
        </is>
      </c>
      <c r="X2481" s="18" t="n">
        <v>46171</v>
      </c>
      <c r="Y2481" s="73">
        <f>IF(X2481="","",X2481-A2481)</f>
        <v/>
      </c>
      <c r="Z2481" s="18" t="n">
        <v>46171</v>
      </c>
      <c r="AA2481" s="15" t="n"/>
      <c r="AB2481" s="15" t="n"/>
      <c r="AF2481">
        <f>IF(AND($F2481="Closed",$X2481&gt;=DATE(2026,5,1),$X2481&lt;=DATE(2026,5,31)),"Closed in May","Other")</f>
        <v/>
      </c>
    </row>
    <row r="2482">
      <c r="A2482" s="37" t="n">
        <v>46143</v>
      </c>
      <c r="B2482" s="3" t="n">
        <v>2026</v>
      </c>
      <c r="C2482" s="26" t="inlineStr">
        <is>
          <t>Yanara Power</t>
        </is>
      </c>
      <c r="D2482" s="3" t="inlineStr">
        <is>
          <t>Utility and C&amp;I</t>
        </is>
      </c>
      <c r="E2482" s="3" t="n"/>
      <c r="F2482" s="3" t="inlineStr">
        <is>
          <t>Closed</t>
        </is>
      </c>
      <c r="G2482" s="9" t="inlineStr">
        <is>
          <t xml:space="preserve">Ashish Jindal </t>
        </is>
      </c>
      <c r="H2482" s="26" t="n">
        <v>9983975581</v>
      </c>
      <c r="I2482" s="38" t="inlineStr">
        <is>
          <t>PE01052601</t>
        </is>
      </c>
      <c r="J2482" s="26" t="inlineStr">
        <is>
          <t>Multiple Issues</t>
        </is>
      </c>
      <c r="K2482" s="39" t="inlineStr">
        <is>
          <t>Holi</t>
        </is>
      </c>
      <c r="L2482" s="39" t="inlineStr">
        <is>
          <t>Maharashtra</t>
        </is>
      </c>
      <c r="M2482" s="46" t="inlineStr">
        <is>
          <t>PS</t>
        </is>
      </c>
      <c r="N2482" s="3" t="inlineStr">
        <is>
          <t>Cold Soldering</t>
        </is>
      </c>
      <c r="O2482" s="56" t="n">
        <v>575</v>
      </c>
      <c r="P2482" s="9" t="inlineStr">
        <is>
          <t>NSMI24070193153</t>
        </is>
      </c>
      <c r="Q2482" s="54">
        <f>MID(P2482,5,2)</f>
        <v/>
      </c>
      <c r="R2482" s="53">
        <f>MID(P2482,7,2)</f>
        <v/>
      </c>
      <c r="S2482" s="3" t="inlineStr">
        <is>
          <t>G2G</t>
        </is>
      </c>
      <c r="T2482" s="3" t="inlineStr">
        <is>
          <t>P4</t>
        </is>
      </c>
      <c r="U2482" s="19" t="inlineStr">
        <is>
          <t>P JB Cold Soldering</t>
        </is>
      </c>
      <c r="V2482" s="19" t="inlineStr">
        <is>
          <t>Soldering</t>
        </is>
      </c>
      <c r="W2482" s="3" t="inlineStr">
        <is>
          <t>Repair</t>
        </is>
      </c>
      <c r="X2482" s="18" t="n">
        <v>46171</v>
      </c>
      <c r="Y2482" s="73">
        <f>IF(X2482="","",X2482-A2482)</f>
        <v/>
      </c>
      <c r="Z2482" s="18" t="n">
        <v>46171</v>
      </c>
      <c r="AA2482" s="15" t="n"/>
      <c r="AB2482" s="15" t="n"/>
      <c r="AF2482">
        <f>IF(AND($F2482="Closed",$X2482&gt;=DATE(2026,5,1),$X2482&lt;=DATE(2026,5,31)),"Closed in May","Other")</f>
        <v/>
      </c>
    </row>
    <row r="2483">
      <c r="A2483" s="37" t="n">
        <v>46143</v>
      </c>
      <c r="B2483" s="3" t="n">
        <v>2026</v>
      </c>
      <c r="C2483" s="26" t="inlineStr">
        <is>
          <t>Yanara Power</t>
        </is>
      </c>
      <c r="D2483" s="3" t="inlineStr">
        <is>
          <t>Utility and C&amp;I</t>
        </is>
      </c>
      <c r="E2483" s="3" t="n"/>
      <c r="F2483" s="3" t="inlineStr">
        <is>
          <t>Closed</t>
        </is>
      </c>
      <c r="G2483" s="9" t="inlineStr">
        <is>
          <t xml:space="preserve">Ashish Jindal </t>
        </is>
      </c>
      <c r="H2483" s="26" t="n">
        <v>9983975581</v>
      </c>
      <c r="I2483" s="38" t="inlineStr">
        <is>
          <t>PE01052601</t>
        </is>
      </c>
      <c r="J2483" s="26" t="inlineStr">
        <is>
          <t>Multiple Issues</t>
        </is>
      </c>
      <c r="K2483" s="39" t="inlineStr">
        <is>
          <t>Holi</t>
        </is>
      </c>
      <c r="L2483" s="39" t="inlineStr">
        <is>
          <t>Maharashtra</t>
        </is>
      </c>
      <c r="M2483" s="46" t="inlineStr">
        <is>
          <t>NS</t>
        </is>
      </c>
      <c r="N2483" s="3" t="inlineStr">
        <is>
          <t>Cold Soldering</t>
        </is>
      </c>
      <c r="O2483" s="56" t="n">
        <v>575</v>
      </c>
      <c r="P2483" s="9" t="inlineStr">
        <is>
          <t>NSMI24070219218</t>
        </is>
      </c>
      <c r="Q2483" s="54">
        <f>MID(P2483,5,2)</f>
        <v/>
      </c>
      <c r="R2483" s="53">
        <f>MID(P2483,7,2)</f>
        <v/>
      </c>
      <c r="S2483" s="3" t="inlineStr">
        <is>
          <t>G2G</t>
        </is>
      </c>
      <c r="T2483" s="3" t="inlineStr">
        <is>
          <t>P4</t>
        </is>
      </c>
      <c r="U2483" s="3" t="inlineStr">
        <is>
          <t>N JB Cold Soldering</t>
        </is>
      </c>
      <c r="V2483" s="3" t="inlineStr">
        <is>
          <t>Soldering</t>
        </is>
      </c>
      <c r="W2483" s="3" t="inlineStr">
        <is>
          <t>Repair</t>
        </is>
      </c>
      <c r="X2483" s="18" t="n">
        <v>46171</v>
      </c>
      <c r="Y2483" s="73">
        <f>IF(X2483="","",X2483-A2483)</f>
        <v/>
      </c>
      <c r="Z2483" s="18" t="n">
        <v>46171</v>
      </c>
      <c r="AA2483" s="15" t="n"/>
      <c r="AB2483" s="15" t="n"/>
      <c r="AF2483">
        <f>IF(AND($F2483="Closed",$X2483&gt;=DATE(2026,5,1),$X2483&lt;=DATE(2026,5,31)),"Closed in May","Other")</f>
        <v/>
      </c>
    </row>
    <row r="2484">
      <c r="A2484" s="37" t="n">
        <v>46143</v>
      </c>
      <c r="B2484" s="3" t="n">
        <v>2026</v>
      </c>
      <c r="C2484" s="26" t="inlineStr">
        <is>
          <t>Yanara Power</t>
        </is>
      </c>
      <c r="D2484" s="3" t="inlineStr">
        <is>
          <t>Utility and C&amp;I</t>
        </is>
      </c>
      <c r="E2484" s="3" t="n"/>
      <c r="F2484" s="3" t="inlineStr">
        <is>
          <t>Closed</t>
        </is>
      </c>
      <c r="G2484" s="9" t="inlineStr">
        <is>
          <t xml:space="preserve">Ashish Jindal </t>
        </is>
      </c>
      <c r="H2484" s="26" t="n">
        <v>9983975581</v>
      </c>
      <c r="I2484" s="38" t="inlineStr">
        <is>
          <t>PE01052601</t>
        </is>
      </c>
      <c r="J2484" s="26" t="inlineStr">
        <is>
          <t>Multiple Issues</t>
        </is>
      </c>
      <c r="K2484" s="39" t="inlineStr">
        <is>
          <t>Holi</t>
        </is>
      </c>
      <c r="L2484" s="39" t="inlineStr">
        <is>
          <t>Maharashtra</t>
        </is>
      </c>
      <c r="M2484" s="46" t="inlineStr">
        <is>
          <t>PS</t>
        </is>
      </c>
      <c r="N2484" s="3" t="inlineStr">
        <is>
          <t>Cold Soldering</t>
        </is>
      </c>
      <c r="O2484" s="56" t="n">
        <v>575</v>
      </c>
      <c r="P2484" s="9" t="inlineStr">
        <is>
          <t>NSMI24070239504</t>
        </is>
      </c>
      <c r="Q2484" s="54">
        <f>MID(P2484,5,2)</f>
        <v/>
      </c>
      <c r="R2484" s="53">
        <f>MID(P2484,7,2)</f>
        <v/>
      </c>
      <c r="S2484" s="3" t="inlineStr">
        <is>
          <t>G2G</t>
        </is>
      </c>
      <c r="T2484" s="3" t="inlineStr">
        <is>
          <t>P4</t>
        </is>
      </c>
      <c r="U2484" s="19" t="inlineStr">
        <is>
          <t>P JB Cold Soldering</t>
        </is>
      </c>
      <c r="V2484" s="19" t="inlineStr">
        <is>
          <t>Soldering</t>
        </is>
      </c>
      <c r="W2484" s="3" t="inlineStr">
        <is>
          <t>Repair</t>
        </is>
      </c>
      <c r="X2484" s="18" t="n">
        <v>46171</v>
      </c>
      <c r="Y2484" s="73">
        <f>IF(X2484="","",X2484-A2484)</f>
        <v/>
      </c>
      <c r="Z2484" s="18" t="n">
        <v>46171</v>
      </c>
      <c r="AA2484" s="15" t="n"/>
      <c r="AB2484" s="15" t="n"/>
      <c r="AF2484">
        <f>IF(AND($F2484="Closed",$X2484&gt;=DATE(2026,5,1),$X2484&lt;=DATE(2026,5,31)),"Closed in May","Other")</f>
        <v/>
      </c>
    </row>
    <row r="2485">
      <c r="A2485" s="37" t="n">
        <v>46143</v>
      </c>
      <c r="B2485" s="3" t="n">
        <v>2026</v>
      </c>
      <c r="C2485" s="26" t="inlineStr">
        <is>
          <t>Yanara Power</t>
        </is>
      </c>
      <c r="D2485" s="3" t="inlineStr">
        <is>
          <t>Utility and C&amp;I</t>
        </is>
      </c>
      <c r="E2485" s="3" t="n"/>
      <c r="F2485" s="3" t="inlineStr">
        <is>
          <t>Closed</t>
        </is>
      </c>
      <c r="G2485" s="9" t="inlineStr">
        <is>
          <t xml:space="preserve">Ashish Jindal </t>
        </is>
      </c>
      <c r="H2485" s="26" t="n">
        <v>9983975581</v>
      </c>
      <c r="I2485" s="38" t="inlineStr">
        <is>
          <t>PE01052601</t>
        </is>
      </c>
      <c r="J2485" s="26" t="inlineStr">
        <is>
          <t>Multiple Issues</t>
        </is>
      </c>
      <c r="K2485" s="39" t="inlineStr">
        <is>
          <t>Holi</t>
        </is>
      </c>
      <c r="L2485" s="39" t="inlineStr">
        <is>
          <t>Maharashtra</t>
        </is>
      </c>
      <c r="M2485" s="46" t="inlineStr">
        <is>
          <t>NS</t>
        </is>
      </c>
      <c r="N2485" s="3" t="inlineStr">
        <is>
          <t>Cold Soldering</t>
        </is>
      </c>
      <c r="O2485" s="56" t="n">
        <v>575</v>
      </c>
      <c r="P2485" s="9" t="inlineStr">
        <is>
          <t>NSMI24070239340</t>
        </is>
      </c>
      <c r="Q2485" s="54">
        <f>MID(P2485,5,2)</f>
        <v/>
      </c>
      <c r="R2485" s="53">
        <f>MID(P2485,7,2)</f>
        <v/>
      </c>
      <c r="S2485" s="3" t="inlineStr">
        <is>
          <t>G2G</t>
        </is>
      </c>
      <c r="T2485" s="3" t="inlineStr">
        <is>
          <t>P4</t>
        </is>
      </c>
      <c r="U2485" s="3" t="inlineStr">
        <is>
          <t>N JB Cold Soldering</t>
        </is>
      </c>
      <c r="V2485" s="3" t="inlineStr">
        <is>
          <t>Soldering</t>
        </is>
      </c>
      <c r="W2485" s="3" t="inlineStr">
        <is>
          <t>Repair</t>
        </is>
      </c>
      <c r="X2485" s="18" t="n">
        <v>46171</v>
      </c>
      <c r="Y2485" s="73">
        <f>IF(X2485="","",X2485-A2485)</f>
        <v/>
      </c>
      <c r="Z2485" s="18" t="n">
        <v>46171</v>
      </c>
      <c r="AA2485" s="15" t="n"/>
      <c r="AB2485" s="15" t="n"/>
      <c r="AF2485">
        <f>IF(AND($F2485="Closed",$X2485&gt;=DATE(2026,5,1),$X2485&lt;=DATE(2026,5,31)),"Closed in May","Other")</f>
        <v/>
      </c>
    </row>
    <row r="2486">
      <c r="A2486" s="37" t="n">
        <v>46143</v>
      </c>
      <c r="B2486" s="3" t="n">
        <v>2026</v>
      </c>
      <c r="C2486" s="26" t="inlineStr">
        <is>
          <t>Yanara Power</t>
        </is>
      </c>
      <c r="D2486" s="3" t="inlineStr">
        <is>
          <t>Utility and C&amp;I</t>
        </is>
      </c>
      <c r="E2486" s="3" t="n"/>
      <c r="F2486" s="3" t="inlineStr">
        <is>
          <t>Closed</t>
        </is>
      </c>
      <c r="G2486" s="9" t="inlineStr">
        <is>
          <t xml:space="preserve">Ashish Jindal </t>
        </is>
      </c>
      <c r="H2486" s="26" t="n">
        <v>9983975581</v>
      </c>
      <c r="I2486" s="38" t="inlineStr">
        <is>
          <t>PE01052601</t>
        </is>
      </c>
      <c r="J2486" s="26" t="inlineStr">
        <is>
          <t>Multiple Issues</t>
        </is>
      </c>
      <c r="K2486" s="39" t="inlineStr">
        <is>
          <t>Holi</t>
        </is>
      </c>
      <c r="L2486" s="39" t="inlineStr">
        <is>
          <t>Maharashtra</t>
        </is>
      </c>
      <c r="M2486" s="46" t="inlineStr">
        <is>
          <t>NS</t>
        </is>
      </c>
      <c r="N2486" s="3" t="inlineStr">
        <is>
          <t>Cold Soldering</t>
        </is>
      </c>
      <c r="O2486" s="56" t="n">
        <v>575</v>
      </c>
      <c r="P2486" s="9" t="inlineStr">
        <is>
          <t>NSMI24070192433</t>
        </is>
      </c>
      <c r="Q2486" s="54">
        <f>MID(P2486,5,2)</f>
        <v/>
      </c>
      <c r="R2486" s="53">
        <f>MID(P2486,7,2)</f>
        <v/>
      </c>
      <c r="S2486" s="3" t="inlineStr">
        <is>
          <t>G2G</t>
        </is>
      </c>
      <c r="T2486" s="3" t="inlineStr">
        <is>
          <t>P4</t>
        </is>
      </c>
      <c r="U2486" s="3" t="inlineStr">
        <is>
          <t>N JB Cold Soldering</t>
        </is>
      </c>
      <c r="V2486" s="3" t="inlineStr">
        <is>
          <t>Soldering</t>
        </is>
      </c>
      <c r="W2486" s="3" t="inlineStr">
        <is>
          <t>Repair</t>
        </is>
      </c>
      <c r="X2486" s="18" t="n">
        <v>46171</v>
      </c>
      <c r="Y2486" s="73">
        <f>IF(X2486="","",X2486-A2486)</f>
        <v/>
      </c>
      <c r="Z2486" s="18" t="n">
        <v>46171</v>
      </c>
      <c r="AA2486" s="15" t="n"/>
      <c r="AB2486" s="15" t="n"/>
      <c r="AF2486">
        <f>IF(AND($F2486="Closed",$X2486&gt;=DATE(2026,5,1),$X2486&lt;=DATE(2026,5,31)),"Closed in May","Other")</f>
        <v/>
      </c>
    </row>
    <row r="2487">
      <c r="A2487" s="37" t="n">
        <v>46143</v>
      </c>
      <c r="B2487" s="3" t="n">
        <v>2026</v>
      </c>
      <c r="C2487" s="26" t="inlineStr">
        <is>
          <t>Yanara Power</t>
        </is>
      </c>
      <c r="D2487" s="3" t="inlineStr">
        <is>
          <t>Utility and C&amp;I</t>
        </is>
      </c>
      <c r="E2487" s="3" t="n"/>
      <c r="F2487" s="3" t="inlineStr">
        <is>
          <t>Closed</t>
        </is>
      </c>
      <c r="G2487" s="9" t="inlineStr">
        <is>
          <t xml:space="preserve">Ashish Jindal </t>
        </is>
      </c>
      <c r="H2487" s="26" t="n">
        <v>9983975581</v>
      </c>
      <c r="I2487" s="38" t="inlineStr">
        <is>
          <t>PE01052601</t>
        </is>
      </c>
      <c r="J2487" s="26" t="inlineStr">
        <is>
          <t>Multiple Issues</t>
        </is>
      </c>
      <c r="K2487" s="39" t="inlineStr">
        <is>
          <t>Holi</t>
        </is>
      </c>
      <c r="L2487" s="39" t="inlineStr">
        <is>
          <t>Maharashtra</t>
        </is>
      </c>
      <c r="M2487" s="46" t="inlineStr">
        <is>
          <t>PS</t>
        </is>
      </c>
      <c r="N2487" s="3" t="inlineStr">
        <is>
          <t>Cold Soldering</t>
        </is>
      </c>
      <c r="O2487" s="56" t="n">
        <v>575</v>
      </c>
      <c r="P2487" s="9" t="inlineStr">
        <is>
          <t>NSMI24070204352</t>
        </is>
      </c>
      <c r="Q2487" s="54">
        <f>MID(P2487,5,2)</f>
        <v/>
      </c>
      <c r="R2487" s="53">
        <f>MID(P2487,7,2)</f>
        <v/>
      </c>
      <c r="S2487" s="3" t="inlineStr">
        <is>
          <t>G2G</t>
        </is>
      </c>
      <c r="T2487" s="3" t="inlineStr">
        <is>
          <t>P4</t>
        </is>
      </c>
      <c r="U2487" s="19" t="inlineStr">
        <is>
          <t>P JB Cold Soldering</t>
        </is>
      </c>
      <c r="V2487" s="19" t="inlineStr">
        <is>
          <t>Soldering</t>
        </is>
      </c>
      <c r="W2487" s="3" t="inlineStr">
        <is>
          <t>Repair</t>
        </is>
      </c>
      <c r="X2487" s="18" t="n">
        <v>46171</v>
      </c>
      <c r="Y2487" s="73">
        <f>IF(X2487="","",X2487-A2487)</f>
        <v/>
      </c>
      <c r="Z2487" s="18" t="n">
        <v>46171</v>
      </c>
      <c r="AA2487" s="15" t="n"/>
      <c r="AB2487" s="15" t="n"/>
      <c r="AF2487">
        <f>IF(AND($F2487="Closed",$X2487&gt;=DATE(2026,5,1),$X2487&lt;=DATE(2026,5,31)),"Closed in May","Other")</f>
        <v/>
      </c>
    </row>
    <row r="2488">
      <c r="A2488" s="37" t="n">
        <v>46143</v>
      </c>
      <c r="B2488" s="3" t="n">
        <v>2026</v>
      </c>
      <c r="C2488" s="26" t="inlineStr">
        <is>
          <t>Yanara Power</t>
        </is>
      </c>
      <c r="D2488" s="3" t="inlineStr">
        <is>
          <t>Utility and C&amp;I</t>
        </is>
      </c>
      <c r="E2488" s="3" t="n"/>
      <c r="F2488" s="3" t="inlineStr">
        <is>
          <t>Closed</t>
        </is>
      </c>
      <c r="G2488" s="9" t="inlineStr">
        <is>
          <t xml:space="preserve">Ashish Jindal </t>
        </is>
      </c>
      <c r="H2488" s="26" t="n">
        <v>9983975581</v>
      </c>
      <c r="I2488" s="38" t="inlineStr">
        <is>
          <t>PE01052601</t>
        </is>
      </c>
      <c r="J2488" s="26" t="inlineStr">
        <is>
          <t>Multiple Issues</t>
        </is>
      </c>
      <c r="K2488" s="39" t="inlineStr">
        <is>
          <t>Holi</t>
        </is>
      </c>
      <c r="L2488" s="39" t="inlineStr">
        <is>
          <t>Maharashtra</t>
        </is>
      </c>
      <c r="M2488" s="46" t="inlineStr">
        <is>
          <t>PS</t>
        </is>
      </c>
      <c r="N2488" s="3" t="inlineStr">
        <is>
          <t>Cold Soldering</t>
        </is>
      </c>
      <c r="O2488" s="56" t="n">
        <v>575</v>
      </c>
      <c r="P2488" s="9" t="inlineStr">
        <is>
          <t>NSMI24070203937</t>
        </is>
      </c>
      <c r="Q2488" s="54">
        <f>MID(P2488,5,2)</f>
        <v/>
      </c>
      <c r="R2488" s="53">
        <f>MID(P2488,7,2)</f>
        <v/>
      </c>
      <c r="S2488" s="3" t="inlineStr">
        <is>
          <t>G2G</t>
        </is>
      </c>
      <c r="T2488" s="3" t="inlineStr">
        <is>
          <t>P4</t>
        </is>
      </c>
      <c r="U2488" s="19" t="inlineStr">
        <is>
          <t>P JB Cold Soldering</t>
        </is>
      </c>
      <c r="V2488" s="19" t="inlineStr">
        <is>
          <t>Soldering</t>
        </is>
      </c>
      <c r="W2488" s="3" t="inlineStr">
        <is>
          <t>Repair</t>
        </is>
      </c>
      <c r="X2488" s="18" t="n">
        <v>46171</v>
      </c>
      <c r="Y2488" s="73">
        <f>IF(X2488="","",X2488-A2488)</f>
        <v/>
      </c>
      <c r="Z2488" s="18" t="n">
        <v>46171</v>
      </c>
      <c r="AA2488" s="15" t="n"/>
      <c r="AB2488" s="15" t="n"/>
      <c r="AF2488">
        <f>IF(AND($F2488="Closed",$X2488&gt;=DATE(2026,5,1),$X2488&lt;=DATE(2026,5,31)),"Closed in May","Other")</f>
        <v/>
      </c>
    </row>
    <row r="2489">
      <c r="A2489" s="37" t="n">
        <v>46143</v>
      </c>
      <c r="B2489" s="3" t="n">
        <v>2026</v>
      </c>
      <c r="C2489" s="26" t="inlineStr">
        <is>
          <t>Yanara Power</t>
        </is>
      </c>
      <c r="D2489" s="3" t="inlineStr">
        <is>
          <t>Utility and C&amp;I</t>
        </is>
      </c>
      <c r="E2489" s="3" t="n"/>
      <c r="F2489" s="3" t="inlineStr">
        <is>
          <t>Closed</t>
        </is>
      </c>
      <c r="G2489" s="9" t="inlineStr">
        <is>
          <t xml:space="preserve">Ashish Jindal </t>
        </is>
      </c>
      <c r="H2489" s="26" t="n">
        <v>9983975581</v>
      </c>
      <c r="I2489" s="38" t="inlineStr">
        <is>
          <t>PE01052601</t>
        </is>
      </c>
      <c r="J2489" s="26" t="inlineStr">
        <is>
          <t>Multiple Issues</t>
        </is>
      </c>
      <c r="K2489" s="39" t="inlineStr">
        <is>
          <t>Holi</t>
        </is>
      </c>
      <c r="L2489" s="39" t="inlineStr">
        <is>
          <t>Maharashtra</t>
        </is>
      </c>
      <c r="M2489" s="46" t="inlineStr">
        <is>
          <t>PS</t>
        </is>
      </c>
      <c r="N2489" s="3" t="inlineStr">
        <is>
          <t>Cold Soldering</t>
        </is>
      </c>
      <c r="O2489" s="56" t="n">
        <v>575</v>
      </c>
      <c r="P2489" s="9" t="inlineStr">
        <is>
          <t>NSMI24070197492</t>
        </is>
      </c>
      <c r="Q2489" s="54">
        <f>MID(P2489,5,2)</f>
        <v/>
      </c>
      <c r="R2489" s="53">
        <f>MID(P2489,7,2)</f>
        <v/>
      </c>
      <c r="S2489" s="3" t="inlineStr">
        <is>
          <t>G2G</t>
        </is>
      </c>
      <c r="T2489" s="3" t="inlineStr">
        <is>
          <t>P4</t>
        </is>
      </c>
      <c r="U2489" s="19" t="inlineStr">
        <is>
          <t>P JB Cold Soldering</t>
        </is>
      </c>
      <c r="V2489" s="19" t="inlineStr">
        <is>
          <t>Soldering</t>
        </is>
      </c>
      <c r="W2489" s="3" t="inlineStr">
        <is>
          <t>Repair</t>
        </is>
      </c>
      <c r="X2489" s="18" t="n">
        <v>46171</v>
      </c>
      <c r="Y2489" s="73">
        <f>IF(X2489="","",X2489-A2489)</f>
        <v/>
      </c>
      <c r="Z2489" s="18" t="n">
        <v>46171</v>
      </c>
      <c r="AA2489" s="15" t="n"/>
      <c r="AB2489" s="15" t="n"/>
      <c r="AF2489">
        <f>IF(AND($F2489="Closed",$X2489&gt;=DATE(2026,5,1),$X2489&lt;=DATE(2026,5,31)),"Closed in May","Other")</f>
        <v/>
      </c>
    </row>
    <row r="2490">
      <c r="A2490" s="37" t="n">
        <v>46143</v>
      </c>
      <c r="B2490" s="3" t="n">
        <v>2026</v>
      </c>
      <c r="C2490" s="26" t="inlineStr">
        <is>
          <t>Yanara Power</t>
        </is>
      </c>
      <c r="D2490" s="3" t="inlineStr">
        <is>
          <t>Utility and C&amp;I</t>
        </is>
      </c>
      <c r="E2490" s="3" t="n"/>
      <c r="F2490" s="3" t="inlineStr">
        <is>
          <t>Closed</t>
        </is>
      </c>
      <c r="G2490" s="9" t="inlineStr">
        <is>
          <t xml:space="preserve">Ashish Jindal </t>
        </is>
      </c>
      <c r="H2490" s="26" t="n">
        <v>9983975581</v>
      </c>
      <c r="I2490" s="38" t="inlineStr">
        <is>
          <t>PE01052601</t>
        </is>
      </c>
      <c r="J2490" s="26" t="inlineStr">
        <is>
          <t>Multiple Issues</t>
        </is>
      </c>
      <c r="K2490" s="39" t="inlineStr">
        <is>
          <t>Holi</t>
        </is>
      </c>
      <c r="L2490" s="39" t="inlineStr">
        <is>
          <t>Maharashtra</t>
        </is>
      </c>
      <c r="M2490" s="46" t="inlineStr">
        <is>
          <t>NS</t>
        </is>
      </c>
      <c r="N2490" s="3" t="inlineStr">
        <is>
          <t>Cold Soldering</t>
        </is>
      </c>
      <c r="O2490" s="56" t="n">
        <v>575</v>
      </c>
      <c r="P2490" s="9" t="inlineStr">
        <is>
          <t>NSMI24070180814</t>
        </is>
      </c>
      <c r="Q2490" s="54">
        <f>MID(P2490,5,2)</f>
        <v/>
      </c>
      <c r="R2490" s="53">
        <f>MID(P2490,7,2)</f>
        <v/>
      </c>
      <c r="S2490" s="3" t="inlineStr">
        <is>
          <t>G2G</t>
        </is>
      </c>
      <c r="T2490" s="3" t="inlineStr">
        <is>
          <t>P4</t>
        </is>
      </c>
      <c r="U2490" s="3" t="inlineStr">
        <is>
          <t>N JB Cold Soldering</t>
        </is>
      </c>
      <c r="V2490" s="3" t="inlineStr">
        <is>
          <t>Soldering</t>
        </is>
      </c>
      <c r="W2490" s="3" t="inlineStr">
        <is>
          <t>Repair</t>
        </is>
      </c>
      <c r="X2490" s="18" t="n">
        <v>46171</v>
      </c>
      <c r="Y2490" s="73">
        <f>IF(X2490="","",X2490-A2490)</f>
        <v/>
      </c>
      <c r="Z2490" s="18" t="n">
        <v>46171</v>
      </c>
      <c r="AA2490" s="15" t="n"/>
      <c r="AB2490" s="15" t="n"/>
      <c r="AF2490">
        <f>IF(AND($F2490="Closed",$X2490&gt;=DATE(2026,5,1),$X2490&lt;=DATE(2026,5,31)),"Closed in May","Other")</f>
        <v/>
      </c>
    </row>
    <row r="2491">
      <c r="A2491" s="59" t="n">
        <v>46148</v>
      </c>
      <c r="B2491" s="3" t="n">
        <v>2026</v>
      </c>
      <c r="C2491" s="21" t="inlineStr">
        <is>
          <t>Continuum</t>
        </is>
      </c>
      <c r="D2491" s="3" t="inlineStr">
        <is>
          <t>Utility and C&amp;I</t>
        </is>
      </c>
      <c r="E2491" s="3" t="n"/>
      <c r="F2491" s="3" t="inlineStr">
        <is>
          <t>Closed</t>
        </is>
      </c>
      <c r="G2491" s="21" t="inlineStr">
        <is>
          <t>Amiya Ranjan Behera</t>
        </is>
      </c>
      <c r="H2491" s="21" t="n">
        <v>8917436223</v>
      </c>
      <c r="I2491" s="38" t="inlineStr">
        <is>
          <t>PE06052602</t>
        </is>
      </c>
      <c r="J2491" s="21" t="inlineStr">
        <is>
          <t>Diode Bypass Module Issue</t>
        </is>
      </c>
      <c r="K2491" s="21" t="inlineStr">
        <is>
          <t>Bhavnagar</t>
        </is>
      </c>
      <c r="L2491" s="21" t="inlineStr">
        <is>
          <t>Gujarat</t>
        </is>
      </c>
      <c r="M2491" s="9" t="inlineStr">
        <is>
          <t>NS</t>
        </is>
      </c>
      <c r="N2491" s="26" t="inlineStr">
        <is>
          <t>Cold Soldering</t>
        </is>
      </c>
      <c r="O2491" s="62" t="n">
        <v>540</v>
      </c>
      <c r="P2491" s="9" t="inlineStr">
        <is>
          <t>NSMP2305176265</t>
        </is>
      </c>
      <c r="Q2491" s="53">
        <f>MID(P2491,5,2)</f>
        <v/>
      </c>
      <c r="R2491" s="53">
        <f>MID(P2491,7,2)</f>
        <v/>
      </c>
      <c r="S2491" s="3" t="inlineStr">
        <is>
          <t>G2B</t>
        </is>
      </c>
      <c r="T2491" s="3" t="inlineStr">
        <is>
          <t>P2</t>
        </is>
      </c>
      <c r="U2491" s="19" t="inlineStr">
        <is>
          <t>N JB Cold Soldering</t>
        </is>
      </c>
      <c r="V2491" s="19" t="inlineStr">
        <is>
          <t>Soldering</t>
        </is>
      </c>
      <c r="W2491" s="3" t="inlineStr">
        <is>
          <t>Repair</t>
        </is>
      </c>
      <c r="X2491" s="18" t="n">
        <v>46172</v>
      </c>
      <c r="Y2491" s="73">
        <f>IF(X2491="","",X2491-A2491)</f>
        <v/>
      </c>
      <c r="Z2491" s="18" t="n">
        <v>46172</v>
      </c>
      <c r="AA2491" s="15" t="n"/>
      <c r="AB2491" s="15" t="n"/>
      <c r="AF2491">
        <f>IF(AND($F2491="Closed",$X2491&gt;=DATE(2026,5,1),$X2491&lt;=DATE(2026,5,31)),"Closed in May","Other")</f>
        <v/>
      </c>
    </row>
    <row r="2492">
      <c r="A2492" s="59" t="n">
        <v>46148</v>
      </c>
      <c r="B2492" s="3" t="n">
        <v>2026</v>
      </c>
      <c r="C2492" s="21" t="inlineStr">
        <is>
          <t>Continuum</t>
        </is>
      </c>
      <c r="D2492" s="3" t="inlineStr">
        <is>
          <t>Utility and C&amp;I</t>
        </is>
      </c>
      <c r="E2492" s="3" t="n"/>
      <c r="F2492" s="3" t="inlineStr">
        <is>
          <t>Closed</t>
        </is>
      </c>
      <c r="G2492" s="21" t="inlineStr">
        <is>
          <t>Amiya Ranjan Behera</t>
        </is>
      </c>
      <c r="H2492" s="21" t="n">
        <v>8917436223</v>
      </c>
      <c r="I2492" s="38" t="inlineStr">
        <is>
          <t>PE06052602</t>
        </is>
      </c>
      <c r="J2492" s="21" t="inlineStr">
        <is>
          <t>Diode Bypass Module Issue</t>
        </is>
      </c>
      <c r="K2492" s="21" t="inlineStr">
        <is>
          <t>Bhavnagar</t>
        </is>
      </c>
      <c r="L2492" s="21" t="inlineStr">
        <is>
          <t>Gujarat</t>
        </is>
      </c>
      <c r="M2492" s="9" t="inlineStr">
        <is>
          <t>PS</t>
        </is>
      </c>
      <c r="N2492" s="3" t="inlineStr">
        <is>
          <t>Cold Soldering</t>
        </is>
      </c>
      <c r="O2492" s="62" t="n">
        <v>540</v>
      </c>
      <c r="P2492" s="9" t="inlineStr">
        <is>
          <t>NSMP2305132717</t>
        </is>
      </c>
      <c r="Q2492" s="53">
        <f>MID(P2492,5,2)</f>
        <v/>
      </c>
      <c r="R2492" s="53">
        <f>MID(P2492,7,2)</f>
        <v/>
      </c>
      <c r="S2492" s="3" t="inlineStr">
        <is>
          <t>G2B</t>
        </is>
      </c>
      <c r="T2492" s="3" t="inlineStr">
        <is>
          <t>P2</t>
        </is>
      </c>
      <c r="U2492" s="3" t="inlineStr">
        <is>
          <t>P JB Cold Soldering</t>
        </is>
      </c>
      <c r="V2492" s="3" t="inlineStr">
        <is>
          <t>Soldering</t>
        </is>
      </c>
      <c r="W2492" s="3" t="inlineStr">
        <is>
          <t>Repair</t>
        </is>
      </c>
      <c r="X2492" s="18" t="n">
        <v>46172</v>
      </c>
      <c r="Y2492" s="73">
        <f>IF(X2492="","",X2492-A2492)</f>
        <v/>
      </c>
      <c r="Z2492" s="18" t="n">
        <v>46172</v>
      </c>
      <c r="AA2492" s="15" t="n"/>
      <c r="AB2492" s="15" t="n"/>
      <c r="AF2492">
        <f>IF(AND($F2492="Closed",$X2492&gt;=DATE(2026,5,1),$X2492&lt;=DATE(2026,5,31)),"Closed in May","Other")</f>
        <v/>
      </c>
    </row>
    <row r="2493">
      <c r="A2493" s="59" t="n">
        <v>46148</v>
      </c>
      <c r="B2493" s="3" t="n">
        <v>2026</v>
      </c>
      <c r="C2493" s="21" t="inlineStr">
        <is>
          <t>Continuum</t>
        </is>
      </c>
      <c r="D2493" s="3" t="inlineStr">
        <is>
          <t>Utility and C&amp;I</t>
        </is>
      </c>
      <c r="E2493" s="3" t="n"/>
      <c r="F2493" s="3" t="inlineStr">
        <is>
          <t>Closed</t>
        </is>
      </c>
      <c r="G2493" s="21" t="inlineStr">
        <is>
          <t>Amiya Ranjan Behera</t>
        </is>
      </c>
      <c r="H2493" s="21" t="n">
        <v>8917436223</v>
      </c>
      <c r="I2493" s="38" t="inlineStr">
        <is>
          <t>PE06052602</t>
        </is>
      </c>
      <c r="J2493" s="21" t="inlineStr">
        <is>
          <t>Diode Bypass Module Issue</t>
        </is>
      </c>
      <c r="K2493" s="21" t="inlineStr">
        <is>
          <t>Bhavnagar</t>
        </is>
      </c>
      <c r="L2493" s="21" t="inlineStr">
        <is>
          <t>Gujarat</t>
        </is>
      </c>
      <c r="M2493" s="9" t="inlineStr">
        <is>
          <t>PR</t>
        </is>
      </c>
      <c r="N2493" s="3" t="inlineStr">
        <is>
          <t>JB Issue</t>
        </is>
      </c>
      <c r="O2493" s="62" t="n">
        <v>540</v>
      </c>
      <c r="P2493" s="9" t="inlineStr">
        <is>
          <t>NSMP2305132776</t>
        </is>
      </c>
      <c r="Q2493" s="53">
        <f>MID(P2493,5,2)</f>
        <v/>
      </c>
      <c r="R2493" s="53">
        <f>MID(P2493,7,2)</f>
        <v/>
      </c>
      <c r="S2493" s="3" t="inlineStr">
        <is>
          <t>G2B</t>
        </is>
      </c>
      <c r="T2493" s="3" t="inlineStr">
        <is>
          <t>P2</t>
        </is>
      </c>
      <c r="U2493" s="3" t="inlineStr">
        <is>
          <t>P JB Issue</t>
        </is>
      </c>
      <c r="V2493" s="15" t="inlineStr">
        <is>
          <t>JB Changed</t>
        </is>
      </c>
      <c r="W2493" s="3" t="inlineStr">
        <is>
          <t>Repair</t>
        </is>
      </c>
      <c r="X2493" s="18" t="n">
        <v>46172</v>
      </c>
      <c r="Y2493" s="73">
        <f>IF(X2493="","",X2493-A2493)</f>
        <v/>
      </c>
      <c r="Z2493" s="18" t="n">
        <v>46172</v>
      </c>
      <c r="AA2493" s="15" t="n"/>
      <c r="AB2493" s="15" t="n"/>
      <c r="AF2493">
        <f>IF(AND($F2493="Closed",$X2493&gt;=DATE(2026,5,1),$X2493&lt;=DATE(2026,5,31)),"Closed in May","Other")</f>
        <v/>
      </c>
    </row>
    <row r="2494">
      <c r="A2494" s="59" t="n">
        <v>46148</v>
      </c>
      <c r="B2494" s="3" t="n">
        <v>2026</v>
      </c>
      <c r="C2494" s="21" t="inlineStr">
        <is>
          <t>Continuum</t>
        </is>
      </c>
      <c r="D2494" s="3" t="inlineStr">
        <is>
          <t>Utility and C&amp;I</t>
        </is>
      </c>
      <c r="E2494" s="3" t="n"/>
      <c r="F2494" s="3" t="inlineStr">
        <is>
          <t>Closed</t>
        </is>
      </c>
      <c r="G2494" s="21" t="inlineStr">
        <is>
          <t>Amiya Ranjan Behera</t>
        </is>
      </c>
      <c r="H2494" s="21" t="n">
        <v>8917436223</v>
      </c>
      <c r="I2494" s="38" t="inlineStr">
        <is>
          <t>PE06052602</t>
        </is>
      </c>
      <c r="J2494" s="21" t="inlineStr">
        <is>
          <t>Diode Bypass Module Issue</t>
        </is>
      </c>
      <c r="K2494" s="21" t="inlineStr">
        <is>
          <t>Bhavnagar</t>
        </is>
      </c>
      <c r="L2494" s="21" t="inlineStr">
        <is>
          <t>Gujarat</t>
        </is>
      </c>
      <c r="M2494" s="9" t="inlineStr">
        <is>
          <t>PS</t>
        </is>
      </c>
      <c r="N2494" s="3" t="inlineStr">
        <is>
          <t>Cold Soldering</t>
        </is>
      </c>
      <c r="O2494" s="62" t="n">
        <v>540</v>
      </c>
      <c r="P2494" s="9" t="inlineStr">
        <is>
          <t>NSMP2305133872</t>
        </is>
      </c>
      <c r="Q2494" s="53">
        <f>MID(P2494,5,2)</f>
        <v/>
      </c>
      <c r="R2494" s="53">
        <f>MID(P2494,7,2)</f>
        <v/>
      </c>
      <c r="S2494" s="3" t="inlineStr">
        <is>
          <t>G2B</t>
        </is>
      </c>
      <c r="T2494" s="3" t="inlineStr">
        <is>
          <t>P2</t>
        </is>
      </c>
      <c r="U2494" s="3" t="inlineStr">
        <is>
          <t>P JB Cold Soldering</t>
        </is>
      </c>
      <c r="V2494" s="3" t="inlineStr">
        <is>
          <t>Soldering</t>
        </is>
      </c>
      <c r="W2494" s="3" t="inlineStr">
        <is>
          <t>Repair</t>
        </is>
      </c>
      <c r="X2494" s="18" t="n">
        <v>46172</v>
      </c>
      <c r="Y2494" s="73">
        <f>IF(X2494="","",X2494-A2494)</f>
        <v/>
      </c>
      <c r="Z2494" s="18" t="n">
        <v>46172</v>
      </c>
      <c r="AA2494" s="15" t="n"/>
      <c r="AB2494" s="15" t="n"/>
      <c r="AF2494">
        <f>IF(AND($F2494="Closed",$X2494&gt;=DATE(2026,5,1),$X2494&lt;=DATE(2026,5,31)),"Closed in May","Other")</f>
        <v/>
      </c>
    </row>
    <row r="2495">
      <c r="A2495" s="59" t="n">
        <v>46148</v>
      </c>
      <c r="B2495" s="3" t="n">
        <v>2026</v>
      </c>
      <c r="C2495" s="21" t="inlineStr">
        <is>
          <t>Continuum</t>
        </is>
      </c>
      <c r="D2495" s="3" t="inlineStr">
        <is>
          <t>Utility and C&amp;I</t>
        </is>
      </c>
      <c r="E2495" s="3" t="n"/>
      <c r="F2495" s="3" t="inlineStr">
        <is>
          <t>Closed</t>
        </is>
      </c>
      <c r="G2495" s="21" t="inlineStr">
        <is>
          <t>Amiya Ranjan Behera</t>
        </is>
      </c>
      <c r="H2495" s="21" t="n">
        <v>8917436223</v>
      </c>
      <c r="I2495" s="38" t="inlineStr">
        <is>
          <t>PE06052602</t>
        </is>
      </c>
      <c r="J2495" s="21" t="inlineStr">
        <is>
          <t>Diode Bypass Module Issue</t>
        </is>
      </c>
      <c r="K2495" s="21" t="inlineStr">
        <is>
          <t>Bhavnagar</t>
        </is>
      </c>
      <c r="L2495" s="21" t="inlineStr">
        <is>
          <t>Gujarat</t>
        </is>
      </c>
      <c r="M2495" s="9" t="inlineStr">
        <is>
          <t>NS</t>
        </is>
      </c>
      <c r="N2495" s="26" t="inlineStr">
        <is>
          <t>Cold Soldering</t>
        </is>
      </c>
      <c r="O2495" s="62" t="n">
        <v>540</v>
      </c>
      <c r="P2495" s="9" t="inlineStr">
        <is>
          <t>NSMP2305173959</t>
        </is>
      </c>
      <c r="Q2495" s="53">
        <f>MID(P2495,5,2)</f>
        <v/>
      </c>
      <c r="R2495" s="53">
        <f>MID(P2495,7,2)</f>
        <v/>
      </c>
      <c r="S2495" s="3" t="inlineStr">
        <is>
          <t>G2B</t>
        </is>
      </c>
      <c r="T2495" s="3" t="inlineStr">
        <is>
          <t>P2</t>
        </is>
      </c>
      <c r="U2495" s="19" t="inlineStr">
        <is>
          <t>N JB Cold Soldering</t>
        </is>
      </c>
      <c r="V2495" s="19" t="inlineStr">
        <is>
          <t>Soldering</t>
        </is>
      </c>
      <c r="W2495" s="3" t="inlineStr">
        <is>
          <t>Repair</t>
        </is>
      </c>
      <c r="X2495" s="18" t="n">
        <v>46172</v>
      </c>
      <c r="Y2495" s="73">
        <f>IF(X2495="","",X2495-A2495)</f>
        <v/>
      </c>
      <c r="Z2495" s="18" t="n">
        <v>46172</v>
      </c>
      <c r="AA2495" s="15" t="n"/>
      <c r="AB2495" s="15" t="n"/>
      <c r="AF2495">
        <f>IF(AND($F2495="Closed",$X2495&gt;=DATE(2026,5,1),$X2495&lt;=DATE(2026,5,31)),"Closed in May","Other")</f>
        <v/>
      </c>
    </row>
    <row r="2496">
      <c r="A2496" s="59" t="n">
        <v>46148</v>
      </c>
      <c r="B2496" s="3" t="n">
        <v>2026</v>
      </c>
      <c r="C2496" s="21" t="inlineStr">
        <is>
          <t>Continuum</t>
        </is>
      </c>
      <c r="D2496" s="3" t="inlineStr">
        <is>
          <t>Utility and C&amp;I</t>
        </is>
      </c>
      <c r="E2496" s="3" t="n"/>
      <c r="F2496" s="3" t="inlineStr">
        <is>
          <t>Closed</t>
        </is>
      </c>
      <c r="G2496" s="21" t="inlineStr">
        <is>
          <t>Amiya Ranjan Behera</t>
        </is>
      </c>
      <c r="H2496" s="21" t="n">
        <v>8917436223</v>
      </c>
      <c r="I2496" s="38" t="inlineStr">
        <is>
          <t>PE06052602</t>
        </is>
      </c>
      <c r="J2496" s="21" t="inlineStr">
        <is>
          <t>Diode Bypass Module Issue</t>
        </is>
      </c>
      <c r="K2496" s="21" t="inlineStr">
        <is>
          <t>Bhavnagar</t>
        </is>
      </c>
      <c r="L2496" s="21" t="inlineStr">
        <is>
          <t>Gujarat</t>
        </is>
      </c>
      <c r="M2496" s="9" t="inlineStr">
        <is>
          <t>PS</t>
        </is>
      </c>
      <c r="N2496" s="3" t="inlineStr">
        <is>
          <t>Cold Soldering</t>
        </is>
      </c>
      <c r="O2496" s="62" t="n">
        <v>540</v>
      </c>
      <c r="P2496" s="9" t="inlineStr">
        <is>
          <t>NSMP2304071822</t>
        </is>
      </c>
      <c r="Q2496" s="53">
        <f>MID(P2496,5,2)</f>
        <v/>
      </c>
      <c r="R2496" s="53">
        <f>MID(P2496,7,2)</f>
        <v/>
      </c>
      <c r="S2496" s="3" t="inlineStr">
        <is>
          <t>G2B</t>
        </is>
      </c>
      <c r="T2496" s="3" t="inlineStr">
        <is>
          <t>P2</t>
        </is>
      </c>
      <c r="U2496" s="3" t="inlineStr">
        <is>
          <t>P JB Cold Soldering</t>
        </is>
      </c>
      <c r="V2496" s="3" t="inlineStr">
        <is>
          <t>Soldering</t>
        </is>
      </c>
      <c r="W2496" s="3" t="inlineStr">
        <is>
          <t>Repair</t>
        </is>
      </c>
      <c r="X2496" s="18" t="n">
        <v>46172</v>
      </c>
      <c r="Y2496" s="73">
        <f>IF(X2496="","",X2496-A2496)</f>
        <v/>
      </c>
      <c r="Z2496" s="18" t="n">
        <v>46172</v>
      </c>
      <c r="AA2496" s="15" t="n"/>
      <c r="AB2496" s="15" t="n"/>
      <c r="AF2496">
        <f>IF(AND($F2496="Closed",$X2496&gt;=DATE(2026,5,1),$X2496&lt;=DATE(2026,5,31)),"Closed in May","Other")</f>
        <v/>
      </c>
    </row>
    <row r="2497">
      <c r="A2497" s="59" t="n">
        <v>46148</v>
      </c>
      <c r="B2497" s="3" t="n">
        <v>2026</v>
      </c>
      <c r="C2497" s="21" t="inlineStr">
        <is>
          <t>Continuum</t>
        </is>
      </c>
      <c r="D2497" s="3" t="inlineStr">
        <is>
          <t>Utility and C&amp;I</t>
        </is>
      </c>
      <c r="E2497" s="3" t="n"/>
      <c r="F2497" s="3" t="inlineStr">
        <is>
          <t>Closed</t>
        </is>
      </c>
      <c r="G2497" s="21" t="inlineStr">
        <is>
          <t>Amiya Ranjan Behera</t>
        </is>
      </c>
      <c r="H2497" s="21" t="n">
        <v>8917436223</v>
      </c>
      <c r="I2497" s="38" t="inlineStr">
        <is>
          <t>PE06052602</t>
        </is>
      </c>
      <c r="J2497" s="21" t="inlineStr">
        <is>
          <t>Diode Bypass Module Issue</t>
        </is>
      </c>
      <c r="K2497" s="21" t="inlineStr">
        <is>
          <t>Bhavnagar</t>
        </is>
      </c>
      <c r="L2497" s="21" t="inlineStr">
        <is>
          <t>Gujarat</t>
        </is>
      </c>
      <c r="M2497" s="9" t="inlineStr">
        <is>
          <t>PS</t>
        </is>
      </c>
      <c r="N2497" s="3" t="inlineStr">
        <is>
          <t>Cold Soldering</t>
        </is>
      </c>
      <c r="O2497" s="62" t="n">
        <v>540</v>
      </c>
      <c r="P2497" s="9" t="inlineStr">
        <is>
          <t>NSMP2304071823</t>
        </is>
      </c>
      <c r="Q2497" s="53">
        <f>MID(P2497,5,2)</f>
        <v/>
      </c>
      <c r="R2497" s="53">
        <f>MID(P2497,7,2)</f>
        <v/>
      </c>
      <c r="S2497" s="3" t="inlineStr">
        <is>
          <t>G2B</t>
        </is>
      </c>
      <c r="T2497" s="3" t="inlineStr">
        <is>
          <t>P2</t>
        </is>
      </c>
      <c r="U2497" s="3" t="inlineStr">
        <is>
          <t>P JB Cold Soldering</t>
        </is>
      </c>
      <c r="V2497" s="3" t="inlineStr">
        <is>
          <t>Soldering</t>
        </is>
      </c>
      <c r="W2497" s="3" t="inlineStr">
        <is>
          <t>Repair</t>
        </is>
      </c>
      <c r="X2497" s="18" t="n">
        <v>46172</v>
      </c>
      <c r="Y2497" s="73">
        <f>IF(X2497="","",X2497-A2497)</f>
        <v/>
      </c>
      <c r="Z2497" s="18" t="n">
        <v>46172</v>
      </c>
      <c r="AA2497" s="15" t="n"/>
      <c r="AB2497" s="15" t="n"/>
      <c r="AF2497">
        <f>IF(AND($F2497="Closed",$X2497&gt;=DATE(2026,5,1),$X2497&lt;=DATE(2026,5,31)),"Closed in May","Other")</f>
        <v/>
      </c>
    </row>
    <row r="2498">
      <c r="A2498" s="59" t="n">
        <v>46148</v>
      </c>
      <c r="B2498" s="3" t="n">
        <v>2026</v>
      </c>
      <c r="C2498" s="21" t="inlineStr">
        <is>
          <t>Continuum</t>
        </is>
      </c>
      <c r="D2498" s="3" t="inlineStr">
        <is>
          <t>Utility and C&amp;I</t>
        </is>
      </c>
      <c r="E2498" s="3" t="n"/>
      <c r="F2498" s="3" t="inlineStr">
        <is>
          <t>Closed</t>
        </is>
      </c>
      <c r="G2498" s="21" t="inlineStr">
        <is>
          <t>Amiya Ranjan Behera</t>
        </is>
      </c>
      <c r="H2498" s="21" t="n">
        <v>8917436223</v>
      </c>
      <c r="I2498" s="38" t="inlineStr">
        <is>
          <t>PE06052602</t>
        </is>
      </c>
      <c r="J2498" s="21" t="inlineStr">
        <is>
          <t>Diode Bypass Module Issue</t>
        </is>
      </c>
      <c r="K2498" s="21" t="inlineStr">
        <is>
          <t>Bhavnagar</t>
        </is>
      </c>
      <c r="L2498" s="21" t="inlineStr">
        <is>
          <t>Gujarat</t>
        </is>
      </c>
      <c r="M2498" s="9" t="inlineStr">
        <is>
          <t>PS</t>
        </is>
      </c>
      <c r="N2498" s="3" t="inlineStr">
        <is>
          <t>Cold Soldering</t>
        </is>
      </c>
      <c r="O2498" s="62" t="n">
        <v>540</v>
      </c>
      <c r="P2498" s="9" t="inlineStr">
        <is>
          <t>NSMP2304071824</t>
        </is>
      </c>
      <c r="Q2498" s="53">
        <f>MID(P2498,5,2)</f>
        <v/>
      </c>
      <c r="R2498" s="53">
        <f>MID(P2498,7,2)</f>
        <v/>
      </c>
      <c r="S2498" s="3" t="inlineStr">
        <is>
          <t>G2B</t>
        </is>
      </c>
      <c r="T2498" s="3" t="inlineStr">
        <is>
          <t>P2</t>
        </is>
      </c>
      <c r="U2498" s="3" t="inlineStr">
        <is>
          <t>P JB Cold Soldering</t>
        </is>
      </c>
      <c r="V2498" s="3" t="inlineStr">
        <is>
          <t>Soldering</t>
        </is>
      </c>
      <c r="W2498" s="3" t="inlineStr">
        <is>
          <t>Repair</t>
        </is>
      </c>
      <c r="X2498" s="18" t="n">
        <v>46172</v>
      </c>
      <c r="Y2498" s="73">
        <f>IF(X2498="","",X2498-A2498)</f>
        <v/>
      </c>
      <c r="Z2498" s="18" t="n">
        <v>46172</v>
      </c>
      <c r="AA2498" s="15" t="n"/>
      <c r="AB2498" s="15" t="n"/>
      <c r="AF2498">
        <f>IF(AND($F2498="Closed",$X2498&gt;=DATE(2026,5,1),$X2498&lt;=DATE(2026,5,31)),"Closed in May","Other")</f>
        <v/>
      </c>
    </row>
    <row r="2499">
      <c r="A2499" s="59" t="n">
        <v>46148</v>
      </c>
      <c r="B2499" s="3" t="n">
        <v>2026</v>
      </c>
      <c r="C2499" s="21" t="inlineStr">
        <is>
          <t>Continuum</t>
        </is>
      </c>
      <c r="D2499" s="3" t="inlineStr">
        <is>
          <t>Utility and C&amp;I</t>
        </is>
      </c>
      <c r="E2499" s="3" t="n"/>
      <c r="F2499" s="3" t="inlineStr">
        <is>
          <t>Closed</t>
        </is>
      </c>
      <c r="G2499" s="21" t="inlineStr">
        <is>
          <t>Amiya Ranjan Behera</t>
        </is>
      </c>
      <c r="H2499" s="21" t="n">
        <v>8917436223</v>
      </c>
      <c r="I2499" s="38" t="inlineStr">
        <is>
          <t>PE06052602</t>
        </is>
      </c>
      <c r="J2499" s="21" t="inlineStr">
        <is>
          <t>Diode Bypass Module Issue</t>
        </is>
      </c>
      <c r="K2499" s="21" t="inlineStr">
        <is>
          <t>Bhavnagar</t>
        </is>
      </c>
      <c r="L2499" s="21" t="inlineStr">
        <is>
          <t>Gujarat</t>
        </is>
      </c>
      <c r="M2499" s="9" t="inlineStr">
        <is>
          <t>PS</t>
        </is>
      </c>
      <c r="N2499" s="3" t="inlineStr">
        <is>
          <t>Cold Soldering</t>
        </is>
      </c>
      <c r="O2499" s="62" t="n">
        <v>540</v>
      </c>
      <c r="P2499" s="9" t="inlineStr">
        <is>
          <t>NSMP2304010213</t>
        </is>
      </c>
      <c r="Q2499" s="53">
        <f>MID(P2499,5,2)</f>
        <v/>
      </c>
      <c r="R2499" s="53">
        <f>MID(P2499,7,2)</f>
        <v/>
      </c>
      <c r="S2499" s="3" t="inlineStr">
        <is>
          <t>G2B</t>
        </is>
      </c>
      <c r="T2499" s="3" t="inlineStr">
        <is>
          <t>P2</t>
        </is>
      </c>
      <c r="U2499" s="3" t="inlineStr">
        <is>
          <t>P JB Cold Soldering</t>
        </is>
      </c>
      <c r="V2499" s="3" t="inlineStr">
        <is>
          <t>Soldering</t>
        </is>
      </c>
      <c r="W2499" s="3" t="inlineStr">
        <is>
          <t>Repair</t>
        </is>
      </c>
      <c r="X2499" s="18" t="n">
        <v>46172</v>
      </c>
      <c r="Y2499" s="73">
        <f>IF(X2499="","",X2499-A2499)</f>
        <v/>
      </c>
      <c r="Z2499" s="18" t="n">
        <v>46172</v>
      </c>
      <c r="AA2499" s="15" t="n"/>
      <c r="AB2499" s="15" t="n"/>
      <c r="AF2499">
        <f>IF(AND($F2499="Closed",$X2499&gt;=DATE(2026,5,1),$X2499&lt;=DATE(2026,5,31)),"Closed in May","Other")</f>
        <v/>
      </c>
    </row>
    <row r="2500">
      <c r="A2500" s="59" t="n">
        <v>46148</v>
      </c>
      <c r="B2500" s="3" t="n">
        <v>2026</v>
      </c>
      <c r="C2500" s="21" t="inlineStr">
        <is>
          <t>Continuum</t>
        </is>
      </c>
      <c r="D2500" s="3" t="inlineStr">
        <is>
          <t>Utility and C&amp;I</t>
        </is>
      </c>
      <c r="E2500" s="3" t="n"/>
      <c r="F2500" s="3" t="inlineStr">
        <is>
          <t>Closed</t>
        </is>
      </c>
      <c r="G2500" s="21" t="inlineStr">
        <is>
          <t>Amiya Ranjan Behera</t>
        </is>
      </c>
      <c r="H2500" s="21" t="n">
        <v>8917436223</v>
      </c>
      <c r="I2500" s="38" t="inlineStr">
        <is>
          <t>PE06052602</t>
        </is>
      </c>
      <c r="J2500" s="21" t="inlineStr">
        <is>
          <t>Diode Bypass Module Issue</t>
        </is>
      </c>
      <c r="K2500" s="21" t="inlineStr">
        <is>
          <t>Bhavnagar</t>
        </is>
      </c>
      <c r="L2500" s="21" t="inlineStr">
        <is>
          <t>Gujarat</t>
        </is>
      </c>
      <c r="M2500" s="9" t="inlineStr">
        <is>
          <t>PS</t>
        </is>
      </c>
      <c r="N2500" s="3" t="inlineStr">
        <is>
          <t>Cold Soldering</t>
        </is>
      </c>
      <c r="O2500" s="62" t="n">
        <v>540</v>
      </c>
      <c r="P2500" s="9" t="inlineStr">
        <is>
          <t>NSMP2304010187</t>
        </is>
      </c>
      <c r="Q2500" s="53">
        <f>MID(P2500,5,2)</f>
        <v/>
      </c>
      <c r="R2500" s="53">
        <f>MID(P2500,7,2)</f>
        <v/>
      </c>
      <c r="S2500" s="3" t="inlineStr">
        <is>
          <t>G2B</t>
        </is>
      </c>
      <c r="T2500" s="3" t="inlineStr">
        <is>
          <t>P2</t>
        </is>
      </c>
      <c r="U2500" s="3" t="inlineStr">
        <is>
          <t>P JB Cold Soldering</t>
        </is>
      </c>
      <c r="V2500" s="3" t="inlineStr">
        <is>
          <t>Soldering</t>
        </is>
      </c>
      <c r="W2500" s="3" t="inlineStr">
        <is>
          <t>Repair</t>
        </is>
      </c>
      <c r="X2500" s="18" t="n">
        <v>46172</v>
      </c>
      <c r="Y2500" s="73">
        <f>IF(X2500="","",X2500-A2500)</f>
        <v/>
      </c>
      <c r="Z2500" s="18" t="n">
        <v>46172</v>
      </c>
      <c r="AA2500" s="15" t="n"/>
      <c r="AB2500" s="15" t="n"/>
      <c r="AF2500">
        <f>IF(AND($F2500="Closed",$X2500&gt;=DATE(2026,5,1),$X2500&lt;=DATE(2026,5,31)),"Closed in May","Other")</f>
        <v/>
      </c>
    </row>
    <row r="2501">
      <c r="A2501" s="59" t="n">
        <v>46148</v>
      </c>
      <c r="B2501" s="3" t="n">
        <v>2026</v>
      </c>
      <c r="C2501" s="21" t="inlineStr">
        <is>
          <t>Continuum</t>
        </is>
      </c>
      <c r="D2501" s="3" t="inlineStr">
        <is>
          <t>Utility and C&amp;I</t>
        </is>
      </c>
      <c r="E2501" s="3" t="n"/>
      <c r="F2501" s="3" t="inlineStr">
        <is>
          <t>Closed</t>
        </is>
      </c>
      <c r="G2501" s="21" t="inlineStr">
        <is>
          <t>Amiya Ranjan Behera</t>
        </is>
      </c>
      <c r="H2501" s="21" t="n">
        <v>8917436223</v>
      </c>
      <c r="I2501" s="38" t="inlineStr">
        <is>
          <t>PE06052602</t>
        </is>
      </c>
      <c r="J2501" s="21" t="inlineStr">
        <is>
          <t>Diode Bypass Module Issue</t>
        </is>
      </c>
      <c r="K2501" s="21" t="inlineStr">
        <is>
          <t>Bhavnagar</t>
        </is>
      </c>
      <c r="L2501" s="21" t="inlineStr">
        <is>
          <t>Gujarat</t>
        </is>
      </c>
      <c r="M2501" s="9" t="inlineStr">
        <is>
          <t>PS</t>
        </is>
      </c>
      <c r="N2501" s="3" t="inlineStr">
        <is>
          <t>Cold Soldering</t>
        </is>
      </c>
      <c r="O2501" s="62" t="n">
        <v>540</v>
      </c>
      <c r="P2501" s="9" t="inlineStr">
        <is>
          <t>NSMP2304067469</t>
        </is>
      </c>
      <c r="Q2501" s="53">
        <f>MID(P2501,5,2)</f>
        <v/>
      </c>
      <c r="R2501" s="53">
        <f>MID(P2501,7,2)</f>
        <v/>
      </c>
      <c r="S2501" s="3" t="inlineStr">
        <is>
          <t>G2B</t>
        </is>
      </c>
      <c r="T2501" s="3" t="inlineStr">
        <is>
          <t>P2</t>
        </is>
      </c>
      <c r="U2501" s="3" t="inlineStr">
        <is>
          <t>P JB Cold Soldering</t>
        </is>
      </c>
      <c r="V2501" s="3" t="inlineStr">
        <is>
          <t>Soldering</t>
        </is>
      </c>
      <c r="W2501" s="3" t="inlineStr">
        <is>
          <t>Repair</t>
        </is>
      </c>
      <c r="X2501" s="18" t="n">
        <v>46172</v>
      </c>
      <c r="Y2501" s="73">
        <f>IF(X2501="","",X2501-A2501)</f>
        <v/>
      </c>
      <c r="Z2501" s="18" t="n">
        <v>46172</v>
      </c>
      <c r="AA2501" s="15" t="n"/>
      <c r="AB2501" s="15" t="n"/>
      <c r="AF2501">
        <f>IF(AND($F2501="Closed",$X2501&gt;=DATE(2026,5,1),$X2501&lt;=DATE(2026,5,31)),"Closed in May","Other")</f>
        <v/>
      </c>
    </row>
    <row r="2502">
      <c r="A2502" s="59" t="n">
        <v>46148</v>
      </c>
      <c r="B2502" s="3" t="n">
        <v>2026</v>
      </c>
      <c r="C2502" s="21" t="inlineStr">
        <is>
          <t>Continuum</t>
        </is>
      </c>
      <c r="D2502" s="3" t="inlineStr">
        <is>
          <t>Utility and C&amp;I</t>
        </is>
      </c>
      <c r="E2502" s="3" t="n"/>
      <c r="F2502" s="3" t="inlineStr">
        <is>
          <t>Closed</t>
        </is>
      </c>
      <c r="G2502" s="21" t="inlineStr">
        <is>
          <t>Amiya Ranjan Behera</t>
        </is>
      </c>
      <c r="H2502" s="21" t="n">
        <v>8917436223</v>
      </c>
      <c r="I2502" s="38" t="inlineStr">
        <is>
          <t>PE06052602</t>
        </is>
      </c>
      <c r="J2502" s="21" t="inlineStr">
        <is>
          <t>Diode Bypass Module Issue</t>
        </is>
      </c>
      <c r="K2502" s="21" t="inlineStr">
        <is>
          <t>Bhavnagar</t>
        </is>
      </c>
      <c r="L2502" s="21" t="inlineStr">
        <is>
          <t>Gujarat</t>
        </is>
      </c>
      <c r="M2502" s="9" t="inlineStr">
        <is>
          <t>PS</t>
        </is>
      </c>
      <c r="N2502" s="3" t="inlineStr">
        <is>
          <t>Cold Soldering</t>
        </is>
      </c>
      <c r="O2502" s="62" t="n">
        <v>540</v>
      </c>
      <c r="P2502" s="9" t="inlineStr">
        <is>
          <t>NSMP2304067305</t>
        </is>
      </c>
      <c r="Q2502" s="53">
        <f>MID(P2502,5,2)</f>
        <v/>
      </c>
      <c r="R2502" s="53">
        <f>MID(P2502,7,2)</f>
        <v/>
      </c>
      <c r="S2502" s="3" t="inlineStr">
        <is>
          <t>G2B</t>
        </is>
      </c>
      <c r="T2502" s="3" t="inlineStr">
        <is>
          <t>P2</t>
        </is>
      </c>
      <c r="U2502" s="3" t="inlineStr">
        <is>
          <t>P JB Cold Soldering</t>
        </is>
      </c>
      <c r="V2502" s="3" t="inlineStr">
        <is>
          <t>Soldering</t>
        </is>
      </c>
      <c r="W2502" s="3" t="inlineStr">
        <is>
          <t>Repair</t>
        </is>
      </c>
      <c r="X2502" s="18" t="n">
        <v>46172</v>
      </c>
      <c r="Y2502" s="73">
        <f>IF(X2502="","",X2502-A2502)</f>
        <v/>
      </c>
      <c r="Z2502" s="18" t="n">
        <v>46172</v>
      </c>
      <c r="AA2502" s="15" t="n"/>
      <c r="AB2502" s="15" t="n"/>
      <c r="AF2502">
        <f>IF(AND($F2502="Closed",$X2502&gt;=DATE(2026,5,1),$X2502&lt;=DATE(2026,5,31)),"Closed in May","Other")</f>
        <v/>
      </c>
    </row>
    <row r="2503">
      <c r="A2503" s="59" t="n">
        <v>46148</v>
      </c>
      <c r="B2503" s="3" t="n">
        <v>2026</v>
      </c>
      <c r="C2503" s="21" t="inlineStr">
        <is>
          <t>Continuum</t>
        </is>
      </c>
      <c r="D2503" s="3" t="inlineStr">
        <is>
          <t>Utility and C&amp;I</t>
        </is>
      </c>
      <c r="E2503" s="3" t="n"/>
      <c r="F2503" s="3" t="inlineStr">
        <is>
          <t>Closed</t>
        </is>
      </c>
      <c r="G2503" s="21" t="inlineStr">
        <is>
          <t>Amiya Ranjan Behera</t>
        </is>
      </c>
      <c r="H2503" s="21" t="n">
        <v>8917436223</v>
      </c>
      <c r="I2503" s="38" t="inlineStr">
        <is>
          <t>PE06052602</t>
        </is>
      </c>
      <c r="J2503" s="21" t="inlineStr">
        <is>
          <t>Diode Bypass Module Issue</t>
        </is>
      </c>
      <c r="K2503" s="21" t="inlineStr">
        <is>
          <t>Bhavnagar</t>
        </is>
      </c>
      <c r="L2503" s="21" t="inlineStr">
        <is>
          <t>Gujarat</t>
        </is>
      </c>
      <c r="M2503" s="9" t="inlineStr">
        <is>
          <t>PS</t>
        </is>
      </c>
      <c r="N2503" s="3" t="inlineStr">
        <is>
          <t>Cold Soldering</t>
        </is>
      </c>
      <c r="O2503" s="62" t="n">
        <v>540</v>
      </c>
      <c r="P2503" s="9" t="inlineStr">
        <is>
          <t>NSMP2304067421</t>
        </is>
      </c>
      <c r="Q2503" s="53">
        <f>MID(P2503,5,2)</f>
        <v/>
      </c>
      <c r="R2503" s="53">
        <f>MID(P2503,7,2)</f>
        <v/>
      </c>
      <c r="S2503" s="3" t="inlineStr">
        <is>
          <t>G2B</t>
        </is>
      </c>
      <c r="T2503" s="3" t="inlineStr">
        <is>
          <t>P2</t>
        </is>
      </c>
      <c r="U2503" s="3" t="inlineStr">
        <is>
          <t>P JB Cold Soldering</t>
        </is>
      </c>
      <c r="V2503" s="3" t="inlineStr">
        <is>
          <t>Soldering</t>
        </is>
      </c>
      <c r="W2503" s="3" t="inlineStr">
        <is>
          <t>Repair</t>
        </is>
      </c>
      <c r="X2503" s="18" t="n">
        <v>46172</v>
      </c>
      <c r="Y2503" s="73">
        <f>IF(X2503="","",X2503-A2503)</f>
        <v/>
      </c>
      <c r="Z2503" s="18" t="n">
        <v>46172</v>
      </c>
      <c r="AA2503" s="15" t="n"/>
      <c r="AB2503" s="15" t="n"/>
      <c r="AF2503">
        <f>IF(AND($F2503="Closed",$X2503&gt;=DATE(2026,5,1),$X2503&lt;=DATE(2026,5,31)),"Closed in May","Other")</f>
        <v/>
      </c>
    </row>
    <row r="2504">
      <c r="A2504" s="59" t="n">
        <v>46148</v>
      </c>
      <c r="B2504" s="3" t="n">
        <v>2026</v>
      </c>
      <c r="C2504" s="21" t="inlineStr">
        <is>
          <t>Continuum</t>
        </is>
      </c>
      <c r="D2504" s="3" t="inlineStr">
        <is>
          <t>Utility and C&amp;I</t>
        </is>
      </c>
      <c r="E2504" s="3" t="n"/>
      <c r="F2504" s="3" t="inlineStr">
        <is>
          <t>Closed</t>
        </is>
      </c>
      <c r="G2504" s="21" t="inlineStr">
        <is>
          <t>Amiya Ranjan Behera</t>
        </is>
      </c>
      <c r="H2504" s="21" t="n">
        <v>8917436223</v>
      </c>
      <c r="I2504" s="38" t="inlineStr">
        <is>
          <t>PE06052602</t>
        </is>
      </c>
      <c r="J2504" s="21" t="inlineStr">
        <is>
          <t>Diode Bypass Module Issue</t>
        </is>
      </c>
      <c r="K2504" s="21" t="inlineStr">
        <is>
          <t>Bhavnagar</t>
        </is>
      </c>
      <c r="L2504" s="21" t="inlineStr">
        <is>
          <t>Gujarat</t>
        </is>
      </c>
      <c r="M2504" s="9" t="inlineStr">
        <is>
          <t>PS</t>
        </is>
      </c>
      <c r="N2504" s="3" t="inlineStr">
        <is>
          <t>Cold Soldering</t>
        </is>
      </c>
      <c r="O2504" s="62" t="n">
        <v>540</v>
      </c>
      <c r="P2504" s="9" t="inlineStr">
        <is>
          <t>NSMP2304075147</t>
        </is>
      </c>
      <c r="Q2504" s="53">
        <f>MID(P2504,5,2)</f>
        <v/>
      </c>
      <c r="R2504" s="53">
        <f>MID(P2504,7,2)</f>
        <v/>
      </c>
      <c r="S2504" s="3" t="inlineStr">
        <is>
          <t>G2B</t>
        </is>
      </c>
      <c r="T2504" s="3" t="inlineStr">
        <is>
          <t>P2</t>
        </is>
      </c>
      <c r="U2504" s="3" t="inlineStr">
        <is>
          <t>P JB Cold Soldering</t>
        </is>
      </c>
      <c r="V2504" s="3" t="inlineStr">
        <is>
          <t>Soldering</t>
        </is>
      </c>
      <c r="W2504" s="3" t="inlineStr">
        <is>
          <t>Repair</t>
        </is>
      </c>
      <c r="X2504" s="18" t="n">
        <v>46172</v>
      </c>
      <c r="Y2504" s="73">
        <f>IF(X2504="","",X2504-A2504)</f>
        <v/>
      </c>
      <c r="Z2504" s="18" t="n">
        <v>46172</v>
      </c>
      <c r="AA2504" s="15" t="n"/>
      <c r="AB2504" s="15" t="n"/>
      <c r="AF2504">
        <f>IF(AND($F2504="Closed",$X2504&gt;=DATE(2026,5,1),$X2504&lt;=DATE(2026,5,31)),"Closed in May","Other")</f>
        <v/>
      </c>
    </row>
    <row r="2505">
      <c r="A2505" s="59" t="n">
        <v>46148</v>
      </c>
      <c r="B2505" s="3" t="n">
        <v>2026</v>
      </c>
      <c r="C2505" s="21" t="inlineStr">
        <is>
          <t>Continuum</t>
        </is>
      </c>
      <c r="D2505" s="3" t="inlineStr">
        <is>
          <t>Utility and C&amp;I</t>
        </is>
      </c>
      <c r="E2505" s="3" t="n"/>
      <c r="F2505" s="3" t="inlineStr">
        <is>
          <t>Closed</t>
        </is>
      </c>
      <c r="G2505" s="21" t="inlineStr">
        <is>
          <t>Amiya Ranjan Behera</t>
        </is>
      </c>
      <c r="H2505" s="21" t="n">
        <v>8917436223</v>
      </c>
      <c r="I2505" s="38" t="inlineStr">
        <is>
          <t>PE06052602</t>
        </is>
      </c>
      <c r="J2505" s="21" t="inlineStr">
        <is>
          <t>Diode Bypass Module Issue</t>
        </is>
      </c>
      <c r="K2505" s="21" t="inlineStr">
        <is>
          <t>Bhavnagar</t>
        </is>
      </c>
      <c r="L2505" s="21" t="inlineStr">
        <is>
          <t>Gujarat</t>
        </is>
      </c>
      <c r="M2505" s="9" t="inlineStr">
        <is>
          <t>PS</t>
        </is>
      </c>
      <c r="N2505" s="3" t="inlineStr">
        <is>
          <t>Cold Soldering</t>
        </is>
      </c>
      <c r="O2505" s="62" t="n">
        <v>540</v>
      </c>
      <c r="P2505" s="9" t="inlineStr">
        <is>
          <t>NSMP2304075142</t>
        </is>
      </c>
      <c r="Q2505" s="53">
        <f>MID(P2505,5,2)</f>
        <v/>
      </c>
      <c r="R2505" s="53">
        <f>MID(P2505,7,2)</f>
        <v/>
      </c>
      <c r="S2505" s="3" t="inlineStr">
        <is>
          <t>G2B</t>
        </is>
      </c>
      <c r="T2505" s="3" t="inlineStr">
        <is>
          <t>P2</t>
        </is>
      </c>
      <c r="U2505" s="3" t="inlineStr">
        <is>
          <t>P JB Cold Soldering</t>
        </is>
      </c>
      <c r="V2505" s="3" t="inlineStr">
        <is>
          <t>Soldering</t>
        </is>
      </c>
      <c r="W2505" s="3" t="inlineStr">
        <is>
          <t>Repair</t>
        </is>
      </c>
      <c r="X2505" s="18" t="n">
        <v>46172</v>
      </c>
      <c r="Y2505" s="73">
        <f>IF(X2505="","",X2505-A2505)</f>
        <v/>
      </c>
      <c r="Z2505" s="18" t="n">
        <v>46172</v>
      </c>
      <c r="AA2505" s="15" t="n"/>
      <c r="AB2505" s="15" t="n"/>
      <c r="AF2505">
        <f>IF(AND($F2505="Closed",$X2505&gt;=DATE(2026,5,1),$X2505&lt;=DATE(2026,5,31)),"Closed in May","Other")</f>
        <v/>
      </c>
    </row>
    <row r="2506">
      <c r="A2506" s="59" t="n">
        <v>46148</v>
      </c>
      <c r="B2506" s="3" t="n">
        <v>2026</v>
      </c>
      <c r="C2506" s="21" t="inlineStr">
        <is>
          <t>Continuum</t>
        </is>
      </c>
      <c r="D2506" s="3" t="inlineStr">
        <is>
          <t>Utility and C&amp;I</t>
        </is>
      </c>
      <c r="E2506" s="3" t="n"/>
      <c r="F2506" s="3" t="inlineStr">
        <is>
          <t>Closed</t>
        </is>
      </c>
      <c r="G2506" s="21" t="inlineStr">
        <is>
          <t>Amiya Ranjan Behera</t>
        </is>
      </c>
      <c r="H2506" s="21" t="n">
        <v>8917436223</v>
      </c>
      <c r="I2506" s="38" t="inlineStr">
        <is>
          <t>PE06052602</t>
        </is>
      </c>
      <c r="J2506" s="21" t="inlineStr">
        <is>
          <t>Diode Bypass Module Issue</t>
        </is>
      </c>
      <c r="K2506" s="21" t="inlineStr">
        <is>
          <t>Bhavnagar</t>
        </is>
      </c>
      <c r="L2506" s="21" t="inlineStr">
        <is>
          <t>Gujarat</t>
        </is>
      </c>
      <c r="M2506" s="9" t="inlineStr">
        <is>
          <t>PS</t>
        </is>
      </c>
      <c r="N2506" s="3" t="inlineStr">
        <is>
          <t>Cold Soldering</t>
        </is>
      </c>
      <c r="O2506" s="62" t="n">
        <v>540</v>
      </c>
      <c r="P2506" s="9" t="inlineStr">
        <is>
          <t>NSMP2305189347</t>
        </is>
      </c>
      <c r="Q2506" s="53">
        <f>MID(P2506,5,2)</f>
        <v/>
      </c>
      <c r="R2506" s="53">
        <f>MID(P2506,7,2)</f>
        <v/>
      </c>
      <c r="S2506" s="3" t="inlineStr">
        <is>
          <t>G2B</t>
        </is>
      </c>
      <c r="T2506" s="3" t="inlineStr">
        <is>
          <t>P2</t>
        </is>
      </c>
      <c r="U2506" s="3" t="inlineStr">
        <is>
          <t>P JB Cold Soldering</t>
        </is>
      </c>
      <c r="V2506" s="3" t="inlineStr">
        <is>
          <t>Soldering</t>
        </is>
      </c>
      <c r="W2506" s="3" t="inlineStr">
        <is>
          <t>Repair</t>
        </is>
      </c>
      <c r="X2506" s="18" t="n">
        <v>46172</v>
      </c>
      <c r="Y2506" s="73">
        <f>IF(X2506="","",X2506-A2506)</f>
        <v/>
      </c>
      <c r="Z2506" s="18" t="n">
        <v>46172</v>
      </c>
      <c r="AA2506" s="15" t="n"/>
      <c r="AB2506" s="15" t="n"/>
      <c r="AF2506">
        <f>IF(AND($F2506="Closed",$X2506&gt;=DATE(2026,5,1),$X2506&lt;=DATE(2026,5,31)),"Closed in May","Other")</f>
        <v/>
      </c>
    </row>
    <row r="2507">
      <c r="A2507" s="59" t="n">
        <v>46148</v>
      </c>
      <c r="B2507" s="3" t="n">
        <v>2026</v>
      </c>
      <c r="C2507" s="21" t="inlineStr">
        <is>
          <t>Continuum</t>
        </is>
      </c>
      <c r="D2507" s="3" t="inlineStr">
        <is>
          <t>Utility and C&amp;I</t>
        </is>
      </c>
      <c r="E2507" s="3" t="n"/>
      <c r="F2507" s="3" t="inlineStr">
        <is>
          <t>Closed</t>
        </is>
      </c>
      <c r="G2507" s="21" t="inlineStr">
        <is>
          <t>Amiya Ranjan Behera</t>
        </is>
      </c>
      <c r="H2507" s="21" t="n">
        <v>8917436223</v>
      </c>
      <c r="I2507" s="38" t="inlineStr">
        <is>
          <t>PE06052602</t>
        </is>
      </c>
      <c r="J2507" s="21" t="inlineStr">
        <is>
          <t>Diode Bypass Module Issue</t>
        </is>
      </c>
      <c r="K2507" s="21" t="inlineStr">
        <is>
          <t>Bhavnagar</t>
        </is>
      </c>
      <c r="L2507" s="21" t="inlineStr">
        <is>
          <t>Gujarat</t>
        </is>
      </c>
      <c r="M2507" s="9" t="inlineStr">
        <is>
          <t>PS</t>
        </is>
      </c>
      <c r="N2507" s="3" t="inlineStr">
        <is>
          <t>Cold Soldering</t>
        </is>
      </c>
      <c r="O2507" s="62" t="n">
        <v>540</v>
      </c>
      <c r="P2507" s="9" t="inlineStr">
        <is>
          <t>NSMP2305189361</t>
        </is>
      </c>
      <c r="Q2507" s="53">
        <f>MID(P2507,5,2)</f>
        <v/>
      </c>
      <c r="R2507" s="53">
        <f>MID(P2507,7,2)</f>
        <v/>
      </c>
      <c r="S2507" s="3" t="inlineStr">
        <is>
          <t>G2B</t>
        </is>
      </c>
      <c r="T2507" s="3" t="inlineStr">
        <is>
          <t>P2</t>
        </is>
      </c>
      <c r="U2507" s="3" t="inlineStr">
        <is>
          <t>P JB Cold Soldering</t>
        </is>
      </c>
      <c r="V2507" s="3" t="inlineStr">
        <is>
          <t>Soldering</t>
        </is>
      </c>
      <c r="W2507" s="3" t="inlineStr">
        <is>
          <t>Repair</t>
        </is>
      </c>
      <c r="X2507" s="18" t="n">
        <v>46172</v>
      </c>
      <c r="Y2507" s="73">
        <f>IF(X2507="","",X2507-A2507)</f>
        <v/>
      </c>
      <c r="Z2507" s="18" t="n">
        <v>46172</v>
      </c>
      <c r="AA2507" s="15" t="n"/>
      <c r="AB2507" s="15" t="n"/>
      <c r="AF2507">
        <f>IF(AND($F2507="Closed",$X2507&gt;=DATE(2026,5,1),$X2507&lt;=DATE(2026,5,31)),"Closed in May","Other")</f>
        <v/>
      </c>
    </row>
    <row r="2508">
      <c r="A2508" s="59" t="n">
        <v>46148</v>
      </c>
      <c r="B2508" s="3" t="n">
        <v>2026</v>
      </c>
      <c r="C2508" s="21" t="inlineStr">
        <is>
          <t>Continuum</t>
        </is>
      </c>
      <c r="D2508" s="3" t="inlineStr">
        <is>
          <t>Utility and C&amp;I</t>
        </is>
      </c>
      <c r="E2508" s="3" t="n"/>
      <c r="F2508" s="3" t="inlineStr">
        <is>
          <t>Closed</t>
        </is>
      </c>
      <c r="G2508" s="21" t="inlineStr">
        <is>
          <t>Amiya Ranjan Behera</t>
        </is>
      </c>
      <c r="H2508" s="21" t="n">
        <v>8917436223</v>
      </c>
      <c r="I2508" s="38" t="inlineStr">
        <is>
          <t>PE06052602</t>
        </is>
      </c>
      <c r="J2508" s="21" t="inlineStr">
        <is>
          <t>Diode Bypass Module Issue</t>
        </is>
      </c>
      <c r="K2508" s="21" t="inlineStr">
        <is>
          <t>Bhavnagar</t>
        </is>
      </c>
      <c r="L2508" s="21" t="inlineStr">
        <is>
          <t>Gujarat</t>
        </is>
      </c>
      <c r="M2508" s="9" t="inlineStr">
        <is>
          <t>PS</t>
        </is>
      </c>
      <c r="N2508" s="3" t="inlineStr">
        <is>
          <t>Cold Soldering</t>
        </is>
      </c>
      <c r="O2508" s="62" t="n">
        <v>540</v>
      </c>
      <c r="P2508" s="9" t="inlineStr">
        <is>
          <t>NSMP2305133938</t>
        </is>
      </c>
      <c r="Q2508" s="53">
        <f>MID(P2508,5,2)</f>
        <v/>
      </c>
      <c r="R2508" s="53">
        <f>MID(P2508,7,2)</f>
        <v/>
      </c>
      <c r="S2508" s="3" t="inlineStr">
        <is>
          <t>G2B</t>
        </is>
      </c>
      <c r="T2508" s="3" t="inlineStr">
        <is>
          <t>P2</t>
        </is>
      </c>
      <c r="U2508" s="3" t="inlineStr">
        <is>
          <t>P JB Cold Soldering</t>
        </is>
      </c>
      <c r="V2508" s="3" t="inlineStr">
        <is>
          <t>Soldering</t>
        </is>
      </c>
      <c r="W2508" s="3" t="inlineStr">
        <is>
          <t>Repair</t>
        </is>
      </c>
      <c r="X2508" s="18" t="n">
        <v>46172</v>
      </c>
      <c r="Y2508" s="73">
        <f>IF(X2508="","",X2508-A2508)</f>
        <v/>
      </c>
      <c r="Z2508" s="18" t="n">
        <v>46172</v>
      </c>
      <c r="AA2508" s="15" t="n"/>
      <c r="AB2508" s="15" t="n"/>
      <c r="AF2508">
        <f>IF(AND($F2508="Closed",$X2508&gt;=DATE(2026,5,1),$X2508&lt;=DATE(2026,5,31)),"Closed in May","Other")</f>
        <v/>
      </c>
    </row>
    <row r="2509">
      <c r="A2509" s="59" t="n">
        <v>46148</v>
      </c>
      <c r="B2509" s="3" t="n">
        <v>2026</v>
      </c>
      <c r="C2509" s="21" t="inlineStr">
        <is>
          <t>Continuum</t>
        </is>
      </c>
      <c r="D2509" s="3" t="inlineStr">
        <is>
          <t>Utility and C&amp;I</t>
        </is>
      </c>
      <c r="E2509" s="3" t="n"/>
      <c r="F2509" s="3" t="inlineStr">
        <is>
          <t>Closed</t>
        </is>
      </c>
      <c r="G2509" s="21" t="inlineStr">
        <is>
          <t>Amiya Ranjan Behera</t>
        </is>
      </c>
      <c r="H2509" s="21" t="n">
        <v>8917436223</v>
      </c>
      <c r="I2509" s="38" t="inlineStr">
        <is>
          <t>PE06052602</t>
        </is>
      </c>
      <c r="J2509" s="21" t="inlineStr">
        <is>
          <t>Diode Bypass Module Issue</t>
        </is>
      </c>
      <c r="K2509" s="21" t="inlineStr">
        <is>
          <t>Bhavnagar</t>
        </is>
      </c>
      <c r="L2509" s="21" t="inlineStr">
        <is>
          <t>Gujarat</t>
        </is>
      </c>
      <c r="M2509" s="9" t="inlineStr">
        <is>
          <t>PS</t>
        </is>
      </c>
      <c r="N2509" s="3" t="inlineStr">
        <is>
          <t>Cold Soldering</t>
        </is>
      </c>
      <c r="O2509" s="62" t="n">
        <v>540</v>
      </c>
      <c r="P2509" s="9" t="inlineStr">
        <is>
          <t>NSMP2305173275</t>
        </is>
      </c>
      <c r="Q2509" s="53">
        <f>MID(P2509,5,2)</f>
        <v/>
      </c>
      <c r="R2509" s="53">
        <f>MID(P2509,7,2)</f>
        <v/>
      </c>
      <c r="S2509" s="3" t="inlineStr">
        <is>
          <t>G2B</t>
        </is>
      </c>
      <c r="T2509" s="3" t="inlineStr">
        <is>
          <t>P2</t>
        </is>
      </c>
      <c r="U2509" s="3" t="inlineStr">
        <is>
          <t>P JB Cold Soldering</t>
        </is>
      </c>
      <c r="V2509" s="3" t="inlineStr">
        <is>
          <t>Soldering</t>
        </is>
      </c>
      <c r="W2509" s="3" t="inlineStr">
        <is>
          <t>Repair</t>
        </is>
      </c>
      <c r="X2509" s="18" t="n">
        <v>46172</v>
      </c>
      <c r="Y2509" s="73">
        <f>IF(X2509="","",X2509-A2509)</f>
        <v/>
      </c>
      <c r="Z2509" s="18" t="n">
        <v>46172</v>
      </c>
      <c r="AA2509" s="15" t="n"/>
      <c r="AB2509" s="15" t="n"/>
      <c r="AF2509">
        <f>IF(AND($F2509="Closed",$X2509&gt;=DATE(2026,5,1),$X2509&lt;=DATE(2026,5,31)),"Closed in May","Other")</f>
        <v/>
      </c>
    </row>
    <row r="2510">
      <c r="A2510" s="59" t="n">
        <v>46148</v>
      </c>
      <c r="B2510" s="3" t="n">
        <v>2026</v>
      </c>
      <c r="C2510" s="21" t="inlineStr">
        <is>
          <t>Continuum</t>
        </is>
      </c>
      <c r="D2510" s="3" t="inlineStr">
        <is>
          <t>Utility and C&amp;I</t>
        </is>
      </c>
      <c r="E2510" s="3" t="n"/>
      <c r="F2510" s="3" t="inlineStr">
        <is>
          <t>Closed</t>
        </is>
      </c>
      <c r="G2510" s="21" t="inlineStr">
        <is>
          <t>Amiya Ranjan Behera</t>
        </is>
      </c>
      <c r="H2510" s="21" t="n">
        <v>8917436223</v>
      </c>
      <c r="I2510" s="38" t="inlineStr">
        <is>
          <t>PE06052602</t>
        </is>
      </c>
      <c r="J2510" s="21" t="inlineStr">
        <is>
          <t>Diode Bypass Module Issue</t>
        </is>
      </c>
      <c r="K2510" s="21" t="inlineStr">
        <is>
          <t>Bhavnagar</t>
        </is>
      </c>
      <c r="L2510" s="21" t="inlineStr">
        <is>
          <t>Gujarat</t>
        </is>
      </c>
      <c r="M2510" s="9" t="inlineStr">
        <is>
          <t>PS</t>
        </is>
      </c>
      <c r="N2510" s="3" t="inlineStr">
        <is>
          <t>Cold Soldering</t>
        </is>
      </c>
      <c r="O2510" s="62" t="n">
        <v>540</v>
      </c>
      <c r="P2510" s="9" t="inlineStr">
        <is>
          <t>NSMP2305134843</t>
        </is>
      </c>
      <c r="Q2510" s="53">
        <f>MID(P2510,5,2)</f>
        <v/>
      </c>
      <c r="R2510" s="53">
        <f>MID(P2510,7,2)</f>
        <v/>
      </c>
      <c r="S2510" s="3" t="inlineStr">
        <is>
          <t>G2B</t>
        </is>
      </c>
      <c r="T2510" s="3" t="inlineStr">
        <is>
          <t>P2</t>
        </is>
      </c>
      <c r="U2510" s="3" t="inlineStr">
        <is>
          <t>P JB Cold Soldering</t>
        </is>
      </c>
      <c r="V2510" s="3" t="inlineStr">
        <is>
          <t>Soldering</t>
        </is>
      </c>
      <c r="W2510" s="3" t="inlineStr">
        <is>
          <t>Repair</t>
        </is>
      </c>
      <c r="X2510" s="18" t="n">
        <v>46172</v>
      </c>
      <c r="Y2510" s="73">
        <f>IF(X2510="","",X2510-A2510)</f>
        <v/>
      </c>
      <c r="Z2510" s="18" t="n">
        <v>46172</v>
      </c>
      <c r="AA2510" s="15" t="n"/>
      <c r="AB2510" s="15" t="n"/>
      <c r="AF2510">
        <f>IF(AND($F2510="Closed",$X2510&gt;=DATE(2026,5,1),$X2510&lt;=DATE(2026,5,31)),"Closed in May","Other")</f>
        <v/>
      </c>
    </row>
    <row r="2511">
      <c r="A2511" s="59" t="n">
        <v>46148</v>
      </c>
      <c r="B2511" s="3" t="n">
        <v>2026</v>
      </c>
      <c r="C2511" s="21" t="inlineStr">
        <is>
          <t>Continuum</t>
        </is>
      </c>
      <c r="D2511" s="3" t="inlineStr">
        <is>
          <t>Utility and C&amp;I</t>
        </is>
      </c>
      <c r="E2511" s="3" t="n"/>
      <c r="F2511" s="3" t="inlineStr">
        <is>
          <t>Closed</t>
        </is>
      </c>
      <c r="G2511" s="21" t="inlineStr">
        <is>
          <t>Amiya Ranjan Behera</t>
        </is>
      </c>
      <c r="H2511" s="21" t="n">
        <v>8917436223</v>
      </c>
      <c r="I2511" s="38" t="inlineStr">
        <is>
          <t>PE06052602</t>
        </is>
      </c>
      <c r="J2511" s="21" t="inlineStr">
        <is>
          <t>Diode Bypass Module Issue</t>
        </is>
      </c>
      <c r="K2511" s="21" t="inlineStr">
        <is>
          <t>Bhavnagar</t>
        </is>
      </c>
      <c r="L2511" s="21" t="inlineStr">
        <is>
          <t>Gujarat</t>
        </is>
      </c>
      <c r="M2511" s="9" t="inlineStr">
        <is>
          <t>PS</t>
        </is>
      </c>
      <c r="N2511" s="3" t="inlineStr">
        <is>
          <t>Cold Soldering</t>
        </is>
      </c>
      <c r="O2511" s="62" t="n">
        <v>540</v>
      </c>
      <c r="P2511" s="9" t="inlineStr">
        <is>
          <t>NSMP2305134886</t>
        </is>
      </c>
      <c r="Q2511" s="53">
        <f>MID(P2511,5,2)</f>
        <v/>
      </c>
      <c r="R2511" s="53">
        <f>MID(P2511,7,2)</f>
        <v/>
      </c>
      <c r="S2511" s="3" t="inlineStr">
        <is>
          <t>G2B</t>
        </is>
      </c>
      <c r="T2511" s="3" t="inlineStr">
        <is>
          <t>P2</t>
        </is>
      </c>
      <c r="U2511" s="3" t="inlineStr">
        <is>
          <t>P JB Cold Soldering</t>
        </is>
      </c>
      <c r="V2511" s="3" t="inlineStr">
        <is>
          <t>Soldering</t>
        </is>
      </c>
      <c r="W2511" s="3" t="inlineStr">
        <is>
          <t>Repair</t>
        </is>
      </c>
      <c r="X2511" s="18" t="n">
        <v>46172</v>
      </c>
      <c r="Y2511" s="73">
        <f>IF(X2511="","",X2511-A2511)</f>
        <v/>
      </c>
      <c r="Z2511" s="18" t="n">
        <v>46172</v>
      </c>
      <c r="AA2511" s="15" t="n"/>
      <c r="AB2511" s="15" t="n"/>
      <c r="AF2511">
        <f>IF(AND($F2511="Closed",$X2511&gt;=DATE(2026,5,1),$X2511&lt;=DATE(2026,5,31)),"Closed in May","Other")</f>
        <v/>
      </c>
    </row>
    <row r="2512">
      <c r="A2512" s="59" t="n">
        <v>46148</v>
      </c>
      <c r="B2512" s="3" t="n">
        <v>2026</v>
      </c>
      <c r="C2512" s="21" t="inlineStr">
        <is>
          <t>Continuum</t>
        </is>
      </c>
      <c r="D2512" s="3" t="inlineStr">
        <is>
          <t>Utility and C&amp;I</t>
        </is>
      </c>
      <c r="E2512" s="3" t="n"/>
      <c r="F2512" s="3" t="inlineStr">
        <is>
          <t>Closed</t>
        </is>
      </c>
      <c r="G2512" s="21" t="inlineStr">
        <is>
          <t>Amiya Ranjan Behera</t>
        </is>
      </c>
      <c r="H2512" s="21" t="n">
        <v>8917436223</v>
      </c>
      <c r="I2512" s="38" t="inlineStr">
        <is>
          <t>PE06052602</t>
        </is>
      </c>
      <c r="J2512" s="21" t="inlineStr">
        <is>
          <t>Diode Bypass Module Issue</t>
        </is>
      </c>
      <c r="K2512" s="21" t="inlineStr">
        <is>
          <t>Bhavnagar</t>
        </is>
      </c>
      <c r="L2512" s="21" t="inlineStr">
        <is>
          <t>Gujarat</t>
        </is>
      </c>
      <c r="M2512" s="9" t="inlineStr">
        <is>
          <t>PS</t>
        </is>
      </c>
      <c r="N2512" s="3" t="inlineStr">
        <is>
          <t>Cold Soldering</t>
        </is>
      </c>
      <c r="O2512" s="62" t="n">
        <v>540</v>
      </c>
      <c r="P2512" s="9" t="inlineStr">
        <is>
          <t>NSMP2305134590</t>
        </is>
      </c>
      <c r="Q2512" s="53">
        <f>MID(P2512,5,2)</f>
        <v/>
      </c>
      <c r="R2512" s="53">
        <f>MID(P2512,7,2)</f>
        <v/>
      </c>
      <c r="S2512" s="3" t="inlineStr">
        <is>
          <t>G2B</t>
        </is>
      </c>
      <c r="T2512" s="3" t="inlineStr">
        <is>
          <t>P2</t>
        </is>
      </c>
      <c r="U2512" s="3" t="inlineStr">
        <is>
          <t>P JB Cold Soldering</t>
        </is>
      </c>
      <c r="V2512" s="3" t="inlineStr">
        <is>
          <t>Soldering</t>
        </is>
      </c>
      <c r="W2512" s="3" t="inlineStr">
        <is>
          <t>Repair</t>
        </is>
      </c>
      <c r="X2512" s="18" t="n">
        <v>46172</v>
      </c>
      <c r="Y2512" s="73">
        <f>IF(X2512="","",X2512-A2512)</f>
        <v/>
      </c>
      <c r="Z2512" s="18" t="n">
        <v>46172</v>
      </c>
      <c r="AA2512" s="15" t="n"/>
      <c r="AB2512" s="15" t="n"/>
      <c r="AF2512">
        <f>IF(AND($F2512="Closed",$X2512&gt;=DATE(2026,5,1),$X2512&lt;=DATE(2026,5,31)),"Closed in May","Other")</f>
        <v/>
      </c>
    </row>
    <row r="2513">
      <c r="A2513" s="59" t="n">
        <v>46148</v>
      </c>
      <c r="B2513" s="3" t="n">
        <v>2026</v>
      </c>
      <c r="C2513" s="21" t="inlineStr">
        <is>
          <t>Continuum</t>
        </is>
      </c>
      <c r="D2513" s="3" t="inlineStr">
        <is>
          <t>Utility and C&amp;I</t>
        </is>
      </c>
      <c r="E2513" s="3" t="n"/>
      <c r="F2513" s="3" t="inlineStr">
        <is>
          <t>Closed</t>
        </is>
      </c>
      <c r="G2513" s="21" t="inlineStr">
        <is>
          <t>Amiya Ranjan Behera</t>
        </is>
      </c>
      <c r="H2513" s="21" t="n">
        <v>8917436223</v>
      </c>
      <c r="I2513" s="38" t="inlineStr">
        <is>
          <t>PE06052602</t>
        </is>
      </c>
      <c r="J2513" s="21" t="inlineStr">
        <is>
          <t>Diode Bypass Module Issue</t>
        </is>
      </c>
      <c r="K2513" s="21" t="inlineStr">
        <is>
          <t>Bhavnagar</t>
        </is>
      </c>
      <c r="L2513" s="21" t="inlineStr">
        <is>
          <t>Gujarat</t>
        </is>
      </c>
      <c r="M2513" s="9" t="inlineStr">
        <is>
          <t>PS</t>
        </is>
      </c>
      <c r="N2513" s="3" t="inlineStr">
        <is>
          <t>Cold Soldering</t>
        </is>
      </c>
      <c r="O2513" s="62" t="n">
        <v>540</v>
      </c>
      <c r="P2513" s="9" t="inlineStr">
        <is>
          <t>NSMP2305134862</t>
        </is>
      </c>
      <c r="Q2513" s="53">
        <f>MID(P2513,5,2)</f>
        <v/>
      </c>
      <c r="R2513" s="53">
        <f>MID(P2513,7,2)</f>
        <v/>
      </c>
      <c r="S2513" s="3" t="inlineStr">
        <is>
          <t>G2B</t>
        </is>
      </c>
      <c r="T2513" s="3" t="inlineStr">
        <is>
          <t>P2</t>
        </is>
      </c>
      <c r="U2513" s="3" t="inlineStr">
        <is>
          <t>P JB Cold Soldering</t>
        </is>
      </c>
      <c r="V2513" s="3" t="inlineStr">
        <is>
          <t>Soldering</t>
        </is>
      </c>
      <c r="W2513" s="3" t="inlineStr">
        <is>
          <t>Repair</t>
        </is>
      </c>
      <c r="X2513" s="18" t="n">
        <v>46172</v>
      </c>
      <c r="Y2513" s="73">
        <f>IF(X2513="","",X2513-A2513)</f>
        <v/>
      </c>
      <c r="Z2513" s="18" t="n">
        <v>46172</v>
      </c>
      <c r="AA2513" s="15" t="n"/>
      <c r="AB2513" s="15" t="n"/>
      <c r="AF2513">
        <f>IF(AND($F2513="Closed",$X2513&gt;=DATE(2026,5,1),$X2513&lt;=DATE(2026,5,31)),"Closed in May","Other")</f>
        <v/>
      </c>
    </row>
    <row r="2514">
      <c r="A2514" s="59" t="n">
        <v>46148</v>
      </c>
      <c r="B2514" s="3" t="n">
        <v>2026</v>
      </c>
      <c r="C2514" s="21" t="inlineStr">
        <is>
          <t>Continuum</t>
        </is>
      </c>
      <c r="D2514" s="3" t="inlineStr">
        <is>
          <t>Utility and C&amp;I</t>
        </is>
      </c>
      <c r="E2514" s="3" t="n"/>
      <c r="F2514" s="3" t="inlineStr">
        <is>
          <t>Closed</t>
        </is>
      </c>
      <c r="G2514" s="21" t="inlineStr">
        <is>
          <t>Amiya Ranjan Behera</t>
        </is>
      </c>
      <c r="H2514" s="21" t="n">
        <v>8917436223</v>
      </c>
      <c r="I2514" s="38" t="inlineStr">
        <is>
          <t>PE06052602</t>
        </is>
      </c>
      <c r="J2514" s="21" t="inlineStr">
        <is>
          <t>Diode Bypass Module Issue</t>
        </is>
      </c>
      <c r="K2514" s="21" t="inlineStr">
        <is>
          <t>Bhavnagar</t>
        </is>
      </c>
      <c r="L2514" s="21" t="inlineStr">
        <is>
          <t>Gujarat</t>
        </is>
      </c>
      <c r="M2514" s="9" t="inlineStr">
        <is>
          <t>PS</t>
        </is>
      </c>
      <c r="N2514" s="3" t="inlineStr">
        <is>
          <t>Cold Soldering</t>
        </is>
      </c>
      <c r="O2514" s="62" t="n">
        <v>540</v>
      </c>
      <c r="P2514" s="9" t="inlineStr">
        <is>
          <t>NSMP2305130841</t>
        </is>
      </c>
      <c r="Q2514" s="53">
        <f>MID(P2514,5,2)</f>
        <v/>
      </c>
      <c r="R2514" s="53">
        <f>MID(P2514,7,2)</f>
        <v/>
      </c>
      <c r="S2514" s="3" t="inlineStr">
        <is>
          <t>G2B</t>
        </is>
      </c>
      <c r="T2514" s="3" t="inlineStr">
        <is>
          <t>P2</t>
        </is>
      </c>
      <c r="U2514" s="3" t="inlineStr">
        <is>
          <t>P JB Cold Soldering</t>
        </is>
      </c>
      <c r="V2514" s="3" t="inlineStr">
        <is>
          <t>Soldering</t>
        </is>
      </c>
      <c r="W2514" s="3" t="inlineStr">
        <is>
          <t>Repair</t>
        </is>
      </c>
      <c r="X2514" s="18" t="n">
        <v>46172</v>
      </c>
      <c r="Y2514" s="73">
        <f>IF(X2514="","",X2514-A2514)</f>
        <v/>
      </c>
      <c r="Z2514" s="18" t="n">
        <v>46172</v>
      </c>
      <c r="AA2514" s="15" t="n"/>
      <c r="AB2514" s="15" t="n"/>
      <c r="AF2514">
        <f>IF(AND($F2514="Closed",$X2514&gt;=DATE(2026,5,1),$X2514&lt;=DATE(2026,5,31)),"Closed in May","Other")</f>
        <v/>
      </c>
    </row>
    <row r="2515">
      <c r="A2515" s="59" t="n">
        <v>46148</v>
      </c>
      <c r="B2515" s="3" t="n">
        <v>2026</v>
      </c>
      <c r="C2515" s="21" t="inlineStr">
        <is>
          <t>Continuum</t>
        </is>
      </c>
      <c r="D2515" s="3" t="inlineStr">
        <is>
          <t>Utility and C&amp;I</t>
        </is>
      </c>
      <c r="E2515" s="3" t="n"/>
      <c r="F2515" s="3" t="inlineStr">
        <is>
          <t>Closed</t>
        </is>
      </c>
      <c r="G2515" s="21" t="inlineStr">
        <is>
          <t>Amiya Ranjan Behera</t>
        </is>
      </c>
      <c r="H2515" s="21" t="n">
        <v>8917436223</v>
      </c>
      <c r="I2515" s="38" t="inlineStr">
        <is>
          <t>PE06052602</t>
        </is>
      </c>
      <c r="J2515" s="21" t="inlineStr">
        <is>
          <t>Diode Bypass Module Issue</t>
        </is>
      </c>
      <c r="K2515" s="21" t="inlineStr">
        <is>
          <t>Bhavnagar</t>
        </is>
      </c>
      <c r="L2515" s="21" t="inlineStr">
        <is>
          <t>Gujarat</t>
        </is>
      </c>
      <c r="M2515" s="9" t="inlineStr">
        <is>
          <t>NS</t>
        </is>
      </c>
      <c r="N2515" s="26" t="inlineStr">
        <is>
          <t>Cold Soldering</t>
        </is>
      </c>
      <c r="O2515" s="62" t="n">
        <v>540</v>
      </c>
      <c r="P2515" s="9" t="inlineStr">
        <is>
          <t>NSMP2305130812</t>
        </is>
      </c>
      <c r="Q2515" s="53">
        <f>MID(P2515,5,2)</f>
        <v/>
      </c>
      <c r="R2515" s="53">
        <f>MID(P2515,7,2)</f>
        <v/>
      </c>
      <c r="S2515" s="3" t="inlineStr">
        <is>
          <t>G2B</t>
        </is>
      </c>
      <c r="T2515" s="3" t="inlineStr">
        <is>
          <t>P2</t>
        </is>
      </c>
      <c r="U2515" s="19" t="inlineStr">
        <is>
          <t>N JB Cold Soldering</t>
        </is>
      </c>
      <c r="V2515" s="19" t="inlineStr">
        <is>
          <t>Soldering</t>
        </is>
      </c>
      <c r="W2515" s="3" t="inlineStr">
        <is>
          <t>Repair</t>
        </is>
      </c>
      <c r="X2515" s="18" t="n">
        <v>46172</v>
      </c>
      <c r="Y2515" s="73">
        <f>IF(X2515="","",X2515-A2515)</f>
        <v/>
      </c>
      <c r="Z2515" s="18" t="n">
        <v>46172</v>
      </c>
      <c r="AA2515" s="15" t="n"/>
      <c r="AB2515" s="15" t="n"/>
      <c r="AF2515">
        <f>IF(AND($F2515="Closed",$X2515&gt;=DATE(2026,5,1),$X2515&lt;=DATE(2026,5,31)),"Closed in May","Other")</f>
        <v/>
      </c>
    </row>
    <row r="2516">
      <c r="A2516" s="59" t="n">
        <v>46148</v>
      </c>
      <c r="B2516" s="3" t="n">
        <v>2026</v>
      </c>
      <c r="C2516" s="21" t="inlineStr">
        <is>
          <t>Continuum</t>
        </is>
      </c>
      <c r="D2516" s="3" t="inlineStr">
        <is>
          <t>Utility and C&amp;I</t>
        </is>
      </c>
      <c r="E2516" s="3" t="n"/>
      <c r="F2516" s="3" t="inlineStr">
        <is>
          <t>Closed</t>
        </is>
      </c>
      <c r="G2516" s="21" t="inlineStr">
        <is>
          <t>Amiya Ranjan Behera</t>
        </is>
      </c>
      <c r="H2516" s="21" t="n">
        <v>8917436223</v>
      </c>
      <c r="I2516" s="38" t="inlineStr">
        <is>
          <t>PE06052602</t>
        </is>
      </c>
      <c r="J2516" s="21" t="inlineStr">
        <is>
          <t>Diode Bypass Module Issue</t>
        </is>
      </c>
      <c r="K2516" s="21" t="inlineStr">
        <is>
          <t>Bhavnagar</t>
        </is>
      </c>
      <c r="L2516" s="21" t="inlineStr">
        <is>
          <t>Gujarat</t>
        </is>
      </c>
      <c r="M2516" s="9" t="inlineStr">
        <is>
          <t>PS</t>
        </is>
      </c>
      <c r="N2516" s="3" t="inlineStr">
        <is>
          <t>Cold Soldering</t>
        </is>
      </c>
      <c r="O2516" s="62" t="n">
        <v>540</v>
      </c>
      <c r="P2516" s="9" t="inlineStr">
        <is>
          <t>NSMP2305133050</t>
        </is>
      </c>
      <c r="Q2516" s="53">
        <f>MID(P2516,5,2)</f>
        <v/>
      </c>
      <c r="R2516" s="53">
        <f>MID(P2516,7,2)</f>
        <v/>
      </c>
      <c r="S2516" s="3" t="inlineStr">
        <is>
          <t>G2B</t>
        </is>
      </c>
      <c r="T2516" s="3" t="inlineStr">
        <is>
          <t>P2</t>
        </is>
      </c>
      <c r="U2516" s="3" t="inlineStr">
        <is>
          <t>P JB Cold Soldering</t>
        </is>
      </c>
      <c r="V2516" s="3" t="inlineStr">
        <is>
          <t>Soldering</t>
        </is>
      </c>
      <c r="W2516" s="3" t="inlineStr">
        <is>
          <t>Repair</t>
        </is>
      </c>
      <c r="X2516" s="18" t="n">
        <v>46172</v>
      </c>
      <c r="Y2516" s="73">
        <f>IF(X2516="","",X2516-A2516)</f>
        <v/>
      </c>
      <c r="Z2516" s="18" t="n">
        <v>46172</v>
      </c>
      <c r="AA2516" s="15" t="n"/>
      <c r="AB2516" s="15" t="n"/>
      <c r="AF2516">
        <f>IF(AND($F2516="Closed",$X2516&gt;=DATE(2026,5,1),$X2516&lt;=DATE(2026,5,31)),"Closed in May","Other")</f>
        <v/>
      </c>
    </row>
    <row r="2517">
      <c r="A2517" s="59" t="n">
        <v>46148</v>
      </c>
      <c r="B2517" s="3" t="n">
        <v>2026</v>
      </c>
      <c r="C2517" s="21" t="inlineStr">
        <is>
          <t>Continuum</t>
        </is>
      </c>
      <c r="D2517" s="3" t="inlineStr">
        <is>
          <t>Utility and C&amp;I</t>
        </is>
      </c>
      <c r="E2517" s="3" t="n"/>
      <c r="F2517" s="3" t="inlineStr">
        <is>
          <t>Closed</t>
        </is>
      </c>
      <c r="G2517" s="21" t="inlineStr">
        <is>
          <t>Amiya Ranjan Behera</t>
        </is>
      </c>
      <c r="H2517" s="21" t="n">
        <v>8917436223</v>
      </c>
      <c r="I2517" s="38" t="inlineStr">
        <is>
          <t>PE06052602</t>
        </is>
      </c>
      <c r="J2517" s="21" t="inlineStr">
        <is>
          <t>Diode Bypass Module Issue</t>
        </is>
      </c>
      <c r="K2517" s="21" t="inlineStr">
        <is>
          <t>Bhavnagar</t>
        </is>
      </c>
      <c r="L2517" s="21" t="inlineStr">
        <is>
          <t>Gujarat</t>
        </is>
      </c>
      <c r="M2517" s="9" t="inlineStr">
        <is>
          <t>PS</t>
        </is>
      </c>
      <c r="N2517" s="3" t="inlineStr">
        <is>
          <t>Cold Soldering</t>
        </is>
      </c>
      <c r="O2517" s="62" t="n">
        <v>540</v>
      </c>
      <c r="P2517" s="9" t="inlineStr">
        <is>
          <t>NSMP2305133048</t>
        </is>
      </c>
      <c r="Q2517" s="53">
        <f>MID(P2517,5,2)</f>
        <v/>
      </c>
      <c r="R2517" s="53">
        <f>MID(P2517,7,2)</f>
        <v/>
      </c>
      <c r="S2517" s="3" t="inlineStr">
        <is>
          <t>G2B</t>
        </is>
      </c>
      <c r="T2517" s="3" t="inlineStr">
        <is>
          <t>P2</t>
        </is>
      </c>
      <c r="U2517" s="3" t="inlineStr">
        <is>
          <t>P JB Cold Soldering</t>
        </is>
      </c>
      <c r="V2517" s="3" t="inlineStr">
        <is>
          <t>Soldering</t>
        </is>
      </c>
      <c r="W2517" s="3" t="inlineStr">
        <is>
          <t>Repair</t>
        </is>
      </c>
      <c r="X2517" s="18" t="n">
        <v>46172</v>
      </c>
      <c r="Y2517" s="73">
        <f>IF(X2517="","",X2517-A2517)</f>
        <v/>
      </c>
      <c r="Z2517" s="18" t="n">
        <v>46172</v>
      </c>
      <c r="AA2517" s="15" t="n"/>
      <c r="AB2517" s="15" t="n"/>
      <c r="AF2517">
        <f>IF(AND($F2517="Closed",$X2517&gt;=DATE(2026,5,1),$X2517&lt;=DATE(2026,5,31)),"Closed in May","Other")</f>
        <v/>
      </c>
    </row>
    <row r="2518">
      <c r="A2518" s="59" t="n">
        <v>46148</v>
      </c>
      <c r="B2518" s="3" t="n">
        <v>2026</v>
      </c>
      <c r="C2518" s="21" t="inlineStr">
        <is>
          <t>Continuum</t>
        </is>
      </c>
      <c r="D2518" s="3" t="inlineStr">
        <is>
          <t>Utility and C&amp;I</t>
        </is>
      </c>
      <c r="E2518" s="3" t="n"/>
      <c r="F2518" s="3" t="inlineStr">
        <is>
          <t>Closed</t>
        </is>
      </c>
      <c r="G2518" s="21" t="inlineStr">
        <is>
          <t>Amiya Ranjan Behera</t>
        </is>
      </c>
      <c r="H2518" s="21" t="n">
        <v>8917436223</v>
      </c>
      <c r="I2518" s="38" t="inlineStr">
        <is>
          <t>PE06052602</t>
        </is>
      </c>
      <c r="J2518" s="21" t="inlineStr">
        <is>
          <t>Diode Bypass Module Issue</t>
        </is>
      </c>
      <c r="K2518" s="21" t="inlineStr">
        <is>
          <t>Bhavnagar</t>
        </is>
      </c>
      <c r="L2518" s="21" t="inlineStr">
        <is>
          <t>Gujarat</t>
        </is>
      </c>
      <c r="M2518" s="9" t="inlineStr">
        <is>
          <t>PS</t>
        </is>
      </c>
      <c r="N2518" s="3" t="inlineStr">
        <is>
          <t>Cold Soldering</t>
        </is>
      </c>
      <c r="O2518" s="62" t="n">
        <v>540</v>
      </c>
      <c r="P2518" s="9" t="inlineStr">
        <is>
          <t>NSMP2305132903</t>
        </is>
      </c>
      <c r="Q2518" s="53">
        <f>MID(P2518,5,2)</f>
        <v/>
      </c>
      <c r="R2518" s="53">
        <f>MID(P2518,7,2)</f>
        <v/>
      </c>
      <c r="S2518" s="3" t="inlineStr">
        <is>
          <t>G2B</t>
        </is>
      </c>
      <c r="T2518" s="3" t="inlineStr">
        <is>
          <t>P2</t>
        </is>
      </c>
      <c r="U2518" s="3" t="inlineStr">
        <is>
          <t>P JB Cold Soldering</t>
        </is>
      </c>
      <c r="V2518" s="3" t="inlineStr">
        <is>
          <t>Soldering</t>
        </is>
      </c>
      <c r="W2518" s="3" t="inlineStr">
        <is>
          <t>Repair</t>
        </is>
      </c>
      <c r="X2518" s="18" t="n">
        <v>46172</v>
      </c>
      <c r="Y2518" s="73">
        <f>IF(X2518="","",X2518-A2518)</f>
        <v/>
      </c>
      <c r="Z2518" s="18" t="n">
        <v>46172</v>
      </c>
      <c r="AA2518" s="15" t="n"/>
      <c r="AB2518" s="15" t="n"/>
      <c r="AF2518">
        <f>IF(AND($F2518="Closed",$X2518&gt;=DATE(2026,5,1),$X2518&lt;=DATE(2026,5,31)),"Closed in May","Other")</f>
        <v/>
      </c>
    </row>
    <row r="2519">
      <c r="A2519" s="59" t="n">
        <v>46148</v>
      </c>
      <c r="B2519" s="3" t="n">
        <v>2026</v>
      </c>
      <c r="C2519" s="21" t="inlineStr">
        <is>
          <t>Continuum</t>
        </is>
      </c>
      <c r="D2519" s="3" t="inlineStr">
        <is>
          <t>Utility and C&amp;I</t>
        </is>
      </c>
      <c r="E2519" s="3" t="n"/>
      <c r="F2519" s="3" t="inlineStr">
        <is>
          <t>Closed</t>
        </is>
      </c>
      <c r="G2519" s="21" t="inlineStr">
        <is>
          <t>Amiya Ranjan Behera</t>
        </is>
      </c>
      <c r="H2519" s="21" t="n">
        <v>8917436223</v>
      </c>
      <c r="I2519" s="38" t="inlineStr">
        <is>
          <t>PE06052602</t>
        </is>
      </c>
      <c r="J2519" s="21" t="inlineStr">
        <is>
          <t>Diode Bypass Module Issue</t>
        </is>
      </c>
      <c r="K2519" s="21" t="inlineStr">
        <is>
          <t>Bhavnagar</t>
        </is>
      </c>
      <c r="L2519" s="21" t="inlineStr">
        <is>
          <t>Gujarat</t>
        </is>
      </c>
      <c r="M2519" s="9" t="inlineStr">
        <is>
          <t>PS</t>
        </is>
      </c>
      <c r="N2519" s="3" t="inlineStr">
        <is>
          <t>Cold Soldering</t>
        </is>
      </c>
      <c r="O2519" s="62" t="n">
        <v>540</v>
      </c>
      <c r="P2519" s="9" t="inlineStr">
        <is>
          <t>NSMP2305132764</t>
        </is>
      </c>
      <c r="Q2519" s="53">
        <f>MID(P2519,5,2)</f>
        <v/>
      </c>
      <c r="R2519" s="53">
        <f>MID(P2519,7,2)</f>
        <v/>
      </c>
      <c r="S2519" s="3" t="inlineStr">
        <is>
          <t>G2B</t>
        </is>
      </c>
      <c r="T2519" s="3" t="inlineStr">
        <is>
          <t>P2</t>
        </is>
      </c>
      <c r="U2519" s="3" t="inlineStr">
        <is>
          <t>P JB Cold Soldering</t>
        </is>
      </c>
      <c r="V2519" s="3" t="inlineStr">
        <is>
          <t>Soldering</t>
        </is>
      </c>
      <c r="W2519" s="3" t="inlineStr">
        <is>
          <t>Repair</t>
        </is>
      </c>
      <c r="X2519" s="18" t="n">
        <v>46172</v>
      </c>
      <c r="Y2519" s="73">
        <f>IF(X2519="","",X2519-A2519)</f>
        <v/>
      </c>
      <c r="Z2519" s="18" t="n">
        <v>46172</v>
      </c>
      <c r="AA2519" s="15" t="n"/>
      <c r="AB2519" s="15" t="n"/>
      <c r="AF2519">
        <f>IF(AND($F2519="Closed",$X2519&gt;=DATE(2026,5,1),$X2519&lt;=DATE(2026,5,31)),"Closed in May","Other")</f>
        <v/>
      </c>
    </row>
    <row r="2520">
      <c r="A2520" s="59" t="n">
        <v>46148</v>
      </c>
      <c r="B2520" s="3" t="n">
        <v>2026</v>
      </c>
      <c r="C2520" s="21" t="inlineStr">
        <is>
          <t>Continuum</t>
        </is>
      </c>
      <c r="D2520" s="3" t="inlineStr">
        <is>
          <t>Utility and C&amp;I</t>
        </is>
      </c>
      <c r="E2520" s="3" t="n"/>
      <c r="F2520" s="3" t="inlineStr">
        <is>
          <t>Closed</t>
        </is>
      </c>
      <c r="G2520" s="21" t="inlineStr">
        <is>
          <t>Amiya Ranjan Behera</t>
        </is>
      </c>
      <c r="H2520" s="21" t="n">
        <v>8917436223</v>
      </c>
      <c r="I2520" s="38" t="inlineStr">
        <is>
          <t>PE06052602</t>
        </is>
      </c>
      <c r="J2520" s="21" t="inlineStr">
        <is>
          <t>Diode Bypass Module Issue</t>
        </is>
      </c>
      <c r="K2520" s="21" t="inlineStr">
        <is>
          <t>Bhavnagar</t>
        </is>
      </c>
      <c r="L2520" s="21" t="inlineStr">
        <is>
          <t>Gujarat</t>
        </is>
      </c>
      <c r="M2520" s="9" t="inlineStr">
        <is>
          <t>PS</t>
        </is>
      </c>
      <c r="N2520" s="3" t="inlineStr">
        <is>
          <t>Cold Soldering</t>
        </is>
      </c>
      <c r="O2520" s="62" t="n">
        <v>540</v>
      </c>
      <c r="P2520" s="9" t="inlineStr">
        <is>
          <t>NSMP2305132861</t>
        </is>
      </c>
      <c r="Q2520" s="53">
        <f>MID(P2520,5,2)</f>
        <v/>
      </c>
      <c r="R2520" s="53">
        <f>MID(P2520,7,2)</f>
        <v/>
      </c>
      <c r="S2520" s="3" t="inlineStr">
        <is>
          <t>G2B</t>
        </is>
      </c>
      <c r="T2520" s="3" t="inlineStr">
        <is>
          <t>P2</t>
        </is>
      </c>
      <c r="U2520" s="3" t="inlineStr">
        <is>
          <t>P JB Cold Soldering</t>
        </is>
      </c>
      <c r="V2520" s="3" t="inlineStr">
        <is>
          <t>Soldering</t>
        </is>
      </c>
      <c r="W2520" s="3" t="inlineStr">
        <is>
          <t>Repair</t>
        </is>
      </c>
      <c r="X2520" s="18" t="n">
        <v>46172</v>
      </c>
      <c r="Y2520" s="73">
        <f>IF(X2520="","",X2520-A2520)</f>
        <v/>
      </c>
      <c r="Z2520" s="18" t="n">
        <v>46172</v>
      </c>
      <c r="AA2520" s="15" t="n"/>
      <c r="AB2520" s="15" t="n"/>
      <c r="AF2520">
        <f>IF(AND($F2520="Closed",$X2520&gt;=DATE(2026,5,1),$X2520&lt;=DATE(2026,5,31)),"Closed in May","Other")</f>
        <v/>
      </c>
    </row>
    <row r="2521">
      <c r="A2521" s="59" t="n">
        <v>46148</v>
      </c>
      <c r="B2521" s="3" t="n">
        <v>2026</v>
      </c>
      <c r="C2521" s="21" t="inlineStr">
        <is>
          <t>Continuum</t>
        </is>
      </c>
      <c r="D2521" s="3" t="inlineStr">
        <is>
          <t>Utility and C&amp;I</t>
        </is>
      </c>
      <c r="E2521" s="3" t="n"/>
      <c r="F2521" s="3" t="inlineStr">
        <is>
          <t>Closed</t>
        </is>
      </c>
      <c r="G2521" s="21" t="inlineStr">
        <is>
          <t>Amiya Ranjan Behera</t>
        </is>
      </c>
      <c r="H2521" s="21" t="n">
        <v>8917436223</v>
      </c>
      <c r="I2521" s="38" t="inlineStr">
        <is>
          <t>PE06052602</t>
        </is>
      </c>
      <c r="J2521" s="21" t="inlineStr">
        <is>
          <t>Diode Bypass Module Issue</t>
        </is>
      </c>
      <c r="K2521" s="21" t="inlineStr">
        <is>
          <t>Bhavnagar</t>
        </is>
      </c>
      <c r="L2521" s="21" t="inlineStr">
        <is>
          <t>Gujarat</t>
        </is>
      </c>
      <c r="M2521" s="9" t="inlineStr">
        <is>
          <t>PS</t>
        </is>
      </c>
      <c r="N2521" s="3" t="inlineStr">
        <is>
          <t>Cold Soldering</t>
        </is>
      </c>
      <c r="O2521" s="62" t="n">
        <v>540</v>
      </c>
      <c r="P2521" s="9" t="inlineStr">
        <is>
          <t>NSMP2305132441</t>
        </is>
      </c>
      <c r="Q2521" s="53">
        <f>MID(P2521,5,2)</f>
        <v/>
      </c>
      <c r="R2521" s="53">
        <f>MID(P2521,7,2)</f>
        <v/>
      </c>
      <c r="S2521" s="3" t="inlineStr">
        <is>
          <t>G2B</t>
        </is>
      </c>
      <c r="T2521" s="3" t="inlineStr">
        <is>
          <t>P2</t>
        </is>
      </c>
      <c r="U2521" s="3" t="inlineStr">
        <is>
          <t>P JB Cold Soldering</t>
        </is>
      </c>
      <c r="V2521" s="3" t="inlineStr">
        <is>
          <t>Soldering</t>
        </is>
      </c>
      <c r="W2521" s="3" t="inlineStr">
        <is>
          <t>Repair</t>
        </is>
      </c>
      <c r="X2521" s="18" t="n">
        <v>46172</v>
      </c>
      <c r="Y2521" s="73">
        <f>IF(X2521="","",X2521-A2521)</f>
        <v/>
      </c>
      <c r="Z2521" s="18" t="n">
        <v>46172</v>
      </c>
      <c r="AA2521" s="15" t="n"/>
      <c r="AB2521" s="15" t="n"/>
      <c r="AF2521">
        <f>IF(AND($F2521="Closed",$X2521&gt;=DATE(2026,5,1),$X2521&lt;=DATE(2026,5,31)),"Closed in May","Other")</f>
        <v/>
      </c>
    </row>
    <row r="2522">
      <c r="A2522" s="59" t="n">
        <v>46148</v>
      </c>
      <c r="B2522" s="3" t="n">
        <v>2026</v>
      </c>
      <c r="C2522" s="21" t="inlineStr">
        <is>
          <t>Continuum</t>
        </is>
      </c>
      <c r="D2522" s="3" t="inlineStr">
        <is>
          <t>Utility and C&amp;I</t>
        </is>
      </c>
      <c r="E2522" s="3" t="n"/>
      <c r="F2522" s="3" t="inlineStr">
        <is>
          <t>Closed</t>
        </is>
      </c>
      <c r="G2522" s="21" t="inlineStr">
        <is>
          <t>Amiya Ranjan Behera</t>
        </is>
      </c>
      <c r="H2522" s="21" t="n">
        <v>8917436223</v>
      </c>
      <c r="I2522" s="38" t="inlineStr">
        <is>
          <t>PE06052602</t>
        </is>
      </c>
      <c r="J2522" s="21" t="inlineStr">
        <is>
          <t>Diode Bypass Module Issue</t>
        </is>
      </c>
      <c r="K2522" s="21" t="inlineStr">
        <is>
          <t>Bhavnagar</t>
        </is>
      </c>
      <c r="L2522" s="21" t="inlineStr">
        <is>
          <t>Gujarat</t>
        </is>
      </c>
      <c r="M2522" s="9" t="inlineStr">
        <is>
          <t>PS</t>
        </is>
      </c>
      <c r="N2522" s="3" t="inlineStr">
        <is>
          <t>Cold Soldering</t>
        </is>
      </c>
      <c r="O2522" s="62" t="n">
        <v>540</v>
      </c>
      <c r="P2522" s="9" t="inlineStr">
        <is>
          <t>NSMP2305132656</t>
        </is>
      </c>
      <c r="Q2522" s="53">
        <f>MID(P2522,5,2)</f>
        <v/>
      </c>
      <c r="R2522" s="53">
        <f>MID(P2522,7,2)</f>
        <v/>
      </c>
      <c r="S2522" s="3" t="inlineStr">
        <is>
          <t>G2B</t>
        </is>
      </c>
      <c r="T2522" s="3" t="inlineStr">
        <is>
          <t>P2</t>
        </is>
      </c>
      <c r="U2522" s="3" t="inlineStr">
        <is>
          <t>P JB Cold Soldering</t>
        </is>
      </c>
      <c r="V2522" s="3" t="inlineStr">
        <is>
          <t>Soldering</t>
        </is>
      </c>
      <c r="W2522" s="3" t="inlineStr">
        <is>
          <t>Repair</t>
        </is>
      </c>
      <c r="X2522" s="18" t="n">
        <v>46172</v>
      </c>
      <c r="Y2522" s="73">
        <f>IF(X2522="","",X2522-A2522)</f>
        <v/>
      </c>
      <c r="Z2522" s="18" t="n">
        <v>46172</v>
      </c>
      <c r="AA2522" s="15" t="n"/>
      <c r="AB2522" s="15" t="n"/>
      <c r="AF2522">
        <f>IF(AND($F2522="Closed",$X2522&gt;=DATE(2026,5,1),$X2522&lt;=DATE(2026,5,31)),"Closed in May","Other")</f>
        <v/>
      </c>
    </row>
    <row r="2523">
      <c r="A2523" s="59" t="n">
        <v>46148</v>
      </c>
      <c r="B2523" s="3" t="n">
        <v>2026</v>
      </c>
      <c r="C2523" s="21" t="inlineStr">
        <is>
          <t>Continuum</t>
        </is>
      </c>
      <c r="D2523" s="3" t="inlineStr">
        <is>
          <t>Utility and C&amp;I</t>
        </is>
      </c>
      <c r="E2523" s="3" t="n"/>
      <c r="F2523" s="3" t="inlineStr">
        <is>
          <t>Closed</t>
        </is>
      </c>
      <c r="G2523" s="21" t="inlineStr">
        <is>
          <t>Amiya Ranjan Behera</t>
        </is>
      </c>
      <c r="H2523" s="21" t="n">
        <v>8917436223</v>
      </c>
      <c r="I2523" s="38" t="inlineStr">
        <is>
          <t>PE06052602</t>
        </is>
      </c>
      <c r="J2523" s="21" t="inlineStr">
        <is>
          <t>Diode Bypass Module Issue</t>
        </is>
      </c>
      <c r="K2523" s="21" t="inlineStr">
        <is>
          <t>Bhavnagar</t>
        </is>
      </c>
      <c r="L2523" s="21" t="inlineStr">
        <is>
          <t>Gujarat</t>
        </is>
      </c>
      <c r="M2523" s="9" t="inlineStr">
        <is>
          <t>PS</t>
        </is>
      </c>
      <c r="N2523" s="3" t="inlineStr">
        <is>
          <t>Cold Soldering</t>
        </is>
      </c>
      <c r="O2523" s="62" t="n">
        <v>540</v>
      </c>
      <c r="P2523" s="9" t="inlineStr">
        <is>
          <t>NSMP2305190574</t>
        </is>
      </c>
      <c r="Q2523" s="53">
        <f>MID(P2523,5,2)</f>
        <v/>
      </c>
      <c r="R2523" s="53">
        <f>MID(P2523,7,2)</f>
        <v/>
      </c>
      <c r="S2523" s="3" t="inlineStr">
        <is>
          <t>G2B</t>
        </is>
      </c>
      <c r="T2523" s="3" t="inlineStr">
        <is>
          <t>P2</t>
        </is>
      </c>
      <c r="U2523" s="3" t="inlineStr">
        <is>
          <t>P JB Cold Soldering</t>
        </is>
      </c>
      <c r="V2523" s="3" t="inlineStr">
        <is>
          <t>Soldering</t>
        </is>
      </c>
      <c r="W2523" s="3" t="inlineStr">
        <is>
          <t>Repair</t>
        </is>
      </c>
      <c r="X2523" s="18" t="n">
        <v>46172</v>
      </c>
      <c r="Y2523" s="73">
        <f>IF(X2523="","",X2523-A2523)</f>
        <v/>
      </c>
      <c r="Z2523" s="18" t="n">
        <v>46172</v>
      </c>
      <c r="AA2523" s="15" t="n"/>
      <c r="AB2523" s="15" t="n"/>
      <c r="AF2523">
        <f>IF(AND($F2523="Closed",$X2523&gt;=DATE(2026,5,1),$X2523&lt;=DATE(2026,5,31)),"Closed in May","Other")</f>
        <v/>
      </c>
    </row>
    <row r="2524">
      <c r="A2524" s="59" t="n">
        <v>46148</v>
      </c>
      <c r="B2524" s="3" t="n">
        <v>2026</v>
      </c>
      <c r="C2524" s="21" t="inlineStr">
        <is>
          <t>Continuum</t>
        </is>
      </c>
      <c r="D2524" s="3" t="inlineStr">
        <is>
          <t>Utility and C&amp;I</t>
        </is>
      </c>
      <c r="E2524" s="3" t="n"/>
      <c r="F2524" s="3" t="inlineStr">
        <is>
          <t>Closed</t>
        </is>
      </c>
      <c r="G2524" s="21" t="inlineStr">
        <is>
          <t>Amiya Ranjan Behera</t>
        </is>
      </c>
      <c r="H2524" s="21" t="n">
        <v>8917436223</v>
      </c>
      <c r="I2524" s="38" t="inlineStr">
        <is>
          <t>PE06052602</t>
        </is>
      </c>
      <c r="J2524" s="21" t="inlineStr">
        <is>
          <t>Diode Bypass Module Issue</t>
        </is>
      </c>
      <c r="K2524" s="21" t="inlineStr">
        <is>
          <t>Bhavnagar</t>
        </is>
      </c>
      <c r="L2524" s="21" t="inlineStr">
        <is>
          <t>Gujarat</t>
        </is>
      </c>
      <c r="M2524" s="9" t="inlineStr">
        <is>
          <t>PS</t>
        </is>
      </c>
      <c r="N2524" s="3" t="inlineStr">
        <is>
          <t>Cold Soldering</t>
        </is>
      </c>
      <c r="O2524" s="62" t="n">
        <v>540</v>
      </c>
      <c r="P2524" s="9" t="inlineStr">
        <is>
          <t>NSMP2305132654</t>
        </is>
      </c>
      <c r="Q2524" s="53">
        <f>MID(P2524,5,2)</f>
        <v/>
      </c>
      <c r="R2524" s="53">
        <f>MID(P2524,7,2)</f>
        <v/>
      </c>
      <c r="S2524" s="3" t="inlineStr">
        <is>
          <t>G2B</t>
        </is>
      </c>
      <c r="T2524" s="3" t="inlineStr">
        <is>
          <t>P2</t>
        </is>
      </c>
      <c r="U2524" s="3" t="inlineStr">
        <is>
          <t>P JB Cold Soldering</t>
        </is>
      </c>
      <c r="V2524" s="3" t="inlineStr">
        <is>
          <t>Soldering</t>
        </is>
      </c>
      <c r="W2524" s="3" t="inlineStr">
        <is>
          <t>Repair</t>
        </is>
      </c>
      <c r="X2524" s="18" t="n">
        <v>46172</v>
      </c>
      <c r="Y2524" s="73">
        <f>IF(X2524="","",X2524-A2524)</f>
        <v/>
      </c>
      <c r="Z2524" s="18" t="n">
        <v>46172</v>
      </c>
      <c r="AA2524" s="15" t="n"/>
      <c r="AB2524" s="15" t="n"/>
      <c r="AF2524">
        <f>IF(AND($F2524="Closed",$X2524&gt;=DATE(2026,5,1),$X2524&lt;=DATE(2026,5,31)),"Closed in May","Other")</f>
        <v/>
      </c>
    </row>
    <row r="2525">
      <c r="A2525" s="59" t="n">
        <v>46148</v>
      </c>
      <c r="B2525" s="3" t="n">
        <v>2026</v>
      </c>
      <c r="C2525" s="21" t="inlineStr">
        <is>
          <t>Continuum</t>
        </is>
      </c>
      <c r="D2525" s="3" t="inlineStr">
        <is>
          <t>Utility and C&amp;I</t>
        </is>
      </c>
      <c r="E2525" s="3" t="n"/>
      <c r="F2525" s="3" t="inlineStr">
        <is>
          <t>Closed</t>
        </is>
      </c>
      <c r="G2525" s="21" t="inlineStr">
        <is>
          <t>Amiya Ranjan Behera</t>
        </is>
      </c>
      <c r="H2525" s="21" t="n">
        <v>8917436223</v>
      </c>
      <c r="I2525" s="38" t="inlineStr">
        <is>
          <t>PE06052602</t>
        </is>
      </c>
      <c r="J2525" s="21" t="inlineStr">
        <is>
          <t>Diode Bypass Module Issue</t>
        </is>
      </c>
      <c r="K2525" s="21" t="inlineStr">
        <is>
          <t>Bhavnagar</t>
        </is>
      </c>
      <c r="L2525" s="21" t="inlineStr">
        <is>
          <t>Gujarat</t>
        </is>
      </c>
      <c r="M2525" s="9" t="inlineStr">
        <is>
          <t>NS</t>
        </is>
      </c>
      <c r="N2525" s="26" t="inlineStr">
        <is>
          <t>Cold Soldering</t>
        </is>
      </c>
      <c r="O2525" s="62" t="n">
        <v>540</v>
      </c>
      <c r="P2525" s="9" t="inlineStr">
        <is>
          <t>NSMP2305132585</t>
        </is>
      </c>
      <c r="Q2525" s="53">
        <f>MID(P2525,5,2)</f>
        <v/>
      </c>
      <c r="R2525" s="53">
        <f>MID(P2525,7,2)</f>
        <v/>
      </c>
      <c r="S2525" s="3" t="inlineStr">
        <is>
          <t>G2B</t>
        </is>
      </c>
      <c r="T2525" s="3" t="inlineStr">
        <is>
          <t>P2</t>
        </is>
      </c>
      <c r="U2525" s="19" t="inlineStr">
        <is>
          <t>N JB Cold Soldering</t>
        </is>
      </c>
      <c r="V2525" s="19" t="inlineStr">
        <is>
          <t>Soldering</t>
        </is>
      </c>
      <c r="W2525" s="3" t="inlineStr">
        <is>
          <t>Repair</t>
        </is>
      </c>
      <c r="X2525" s="18" t="n">
        <v>46172</v>
      </c>
      <c r="Y2525" s="73">
        <f>IF(X2525="","",X2525-A2525)</f>
        <v/>
      </c>
      <c r="Z2525" s="18" t="n">
        <v>46172</v>
      </c>
      <c r="AA2525" s="15" t="n"/>
      <c r="AB2525" s="15" t="n"/>
      <c r="AF2525">
        <f>IF(AND($F2525="Closed",$X2525&gt;=DATE(2026,5,1),$X2525&lt;=DATE(2026,5,31)),"Closed in May","Other")</f>
        <v/>
      </c>
    </row>
    <row r="2526">
      <c r="A2526" s="59" t="n">
        <v>46148</v>
      </c>
      <c r="B2526" s="3" t="n">
        <v>2026</v>
      </c>
      <c r="C2526" s="21" t="inlineStr">
        <is>
          <t>Continuum</t>
        </is>
      </c>
      <c r="D2526" s="3" t="inlineStr">
        <is>
          <t>Utility and C&amp;I</t>
        </is>
      </c>
      <c r="E2526" s="3" t="n"/>
      <c r="F2526" s="3" t="inlineStr">
        <is>
          <t>Closed</t>
        </is>
      </c>
      <c r="G2526" s="21" t="inlineStr">
        <is>
          <t>Amiya Ranjan Behera</t>
        </is>
      </c>
      <c r="H2526" s="21" t="n">
        <v>8917436223</v>
      </c>
      <c r="I2526" s="38" t="inlineStr">
        <is>
          <t>PE06052602</t>
        </is>
      </c>
      <c r="J2526" s="21" t="inlineStr">
        <is>
          <t>Diode Bypass Module Issue</t>
        </is>
      </c>
      <c r="K2526" s="21" t="inlineStr">
        <is>
          <t>Bhavnagar</t>
        </is>
      </c>
      <c r="L2526" s="21" t="inlineStr">
        <is>
          <t>Gujarat</t>
        </is>
      </c>
      <c r="M2526" s="9" t="inlineStr">
        <is>
          <t>PS</t>
        </is>
      </c>
      <c r="N2526" s="3" t="inlineStr">
        <is>
          <t>Cold Soldering</t>
        </is>
      </c>
      <c r="O2526" s="62" t="n">
        <v>540</v>
      </c>
      <c r="P2526" s="9" t="inlineStr">
        <is>
          <t>NSMP2305133582</t>
        </is>
      </c>
      <c r="Q2526" s="53">
        <f>MID(P2526,5,2)</f>
        <v/>
      </c>
      <c r="R2526" s="53">
        <f>MID(P2526,7,2)</f>
        <v/>
      </c>
      <c r="S2526" s="3" t="inlineStr">
        <is>
          <t>G2B</t>
        </is>
      </c>
      <c r="T2526" s="3" t="inlineStr">
        <is>
          <t>P2</t>
        </is>
      </c>
      <c r="U2526" s="3" t="inlineStr">
        <is>
          <t>P JB Cold Soldering</t>
        </is>
      </c>
      <c r="V2526" s="3" t="inlineStr">
        <is>
          <t>Soldering</t>
        </is>
      </c>
      <c r="W2526" s="3" t="inlineStr">
        <is>
          <t>Repair</t>
        </is>
      </c>
      <c r="X2526" s="18" t="n">
        <v>46172</v>
      </c>
      <c r="Y2526" s="73">
        <f>IF(X2526="","",X2526-A2526)</f>
        <v/>
      </c>
      <c r="Z2526" s="18" t="n">
        <v>46172</v>
      </c>
      <c r="AA2526" s="15" t="n"/>
      <c r="AB2526" s="15" t="n"/>
      <c r="AF2526">
        <f>IF(AND($F2526="Closed",$X2526&gt;=DATE(2026,5,1),$X2526&lt;=DATE(2026,5,31)),"Closed in May","Other")</f>
        <v/>
      </c>
    </row>
    <row r="2527">
      <c r="A2527" s="59" t="n">
        <v>46148</v>
      </c>
      <c r="B2527" s="3" t="n">
        <v>2026</v>
      </c>
      <c r="C2527" s="21" t="inlineStr">
        <is>
          <t>Continuum</t>
        </is>
      </c>
      <c r="D2527" s="3" t="inlineStr">
        <is>
          <t>Utility and C&amp;I</t>
        </is>
      </c>
      <c r="E2527" s="3" t="n"/>
      <c r="F2527" s="3" t="inlineStr">
        <is>
          <t>Closed</t>
        </is>
      </c>
      <c r="G2527" s="21" t="inlineStr">
        <is>
          <t>Amiya Ranjan Behera</t>
        </is>
      </c>
      <c r="H2527" s="21" t="n">
        <v>8917436223</v>
      </c>
      <c r="I2527" s="38" t="inlineStr">
        <is>
          <t>PE06052602</t>
        </is>
      </c>
      <c r="J2527" s="21" t="inlineStr">
        <is>
          <t>Diode Bypass Module Issue</t>
        </is>
      </c>
      <c r="K2527" s="21" t="inlineStr">
        <is>
          <t>Bhavnagar</t>
        </is>
      </c>
      <c r="L2527" s="21" t="inlineStr">
        <is>
          <t>Gujarat</t>
        </is>
      </c>
      <c r="M2527" s="9" t="inlineStr">
        <is>
          <t>PS</t>
        </is>
      </c>
      <c r="N2527" s="3" t="inlineStr">
        <is>
          <t>Cold Soldering</t>
        </is>
      </c>
      <c r="O2527" s="62" t="n">
        <v>540</v>
      </c>
      <c r="P2527" s="9" t="inlineStr">
        <is>
          <t>NSMP2305133527</t>
        </is>
      </c>
      <c r="Q2527" s="53">
        <f>MID(P2527,5,2)</f>
        <v/>
      </c>
      <c r="R2527" s="53">
        <f>MID(P2527,7,2)</f>
        <v/>
      </c>
      <c r="S2527" s="3" t="inlineStr">
        <is>
          <t>G2B</t>
        </is>
      </c>
      <c r="T2527" s="3" t="inlineStr">
        <is>
          <t>P2</t>
        </is>
      </c>
      <c r="U2527" s="3" t="inlineStr">
        <is>
          <t>P JB Cold Soldering</t>
        </is>
      </c>
      <c r="V2527" s="3" t="inlineStr">
        <is>
          <t>Soldering</t>
        </is>
      </c>
      <c r="W2527" s="3" t="inlineStr">
        <is>
          <t>Repair</t>
        </is>
      </c>
      <c r="X2527" s="18" t="n">
        <v>46172</v>
      </c>
      <c r="Y2527" s="73">
        <f>IF(X2527="","",X2527-A2527)</f>
        <v/>
      </c>
      <c r="Z2527" s="18" t="n">
        <v>46172</v>
      </c>
      <c r="AA2527" s="15" t="n"/>
      <c r="AB2527" s="15" t="n"/>
      <c r="AF2527">
        <f>IF(AND($F2527="Closed",$X2527&gt;=DATE(2026,5,1),$X2527&lt;=DATE(2026,5,31)),"Closed in May","Other")</f>
        <v/>
      </c>
    </row>
    <row r="2528">
      <c r="A2528" s="59" t="n">
        <v>46148</v>
      </c>
      <c r="B2528" s="3" t="n">
        <v>2026</v>
      </c>
      <c r="C2528" s="21" t="inlineStr">
        <is>
          <t>Continuum</t>
        </is>
      </c>
      <c r="D2528" s="3" t="inlineStr">
        <is>
          <t>Utility and C&amp;I</t>
        </is>
      </c>
      <c r="E2528" s="3" t="n"/>
      <c r="F2528" s="3" t="inlineStr">
        <is>
          <t>Closed</t>
        </is>
      </c>
      <c r="G2528" s="21" t="inlineStr">
        <is>
          <t>Amiya Ranjan Behera</t>
        </is>
      </c>
      <c r="H2528" s="21" t="n">
        <v>8917436223</v>
      </c>
      <c r="I2528" s="38" t="inlineStr">
        <is>
          <t>PE06052602</t>
        </is>
      </c>
      <c r="J2528" s="21" t="inlineStr">
        <is>
          <t>Diode Bypass Module Issue</t>
        </is>
      </c>
      <c r="K2528" s="21" t="inlineStr">
        <is>
          <t>Bhavnagar</t>
        </is>
      </c>
      <c r="L2528" s="21" t="inlineStr">
        <is>
          <t>Gujarat</t>
        </is>
      </c>
      <c r="M2528" s="9" t="inlineStr">
        <is>
          <t>PS</t>
        </is>
      </c>
      <c r="N2528" s="3" t="inlineStr">
        <is>
          <t>Cold Soldering</t>
        </is>
      </c>
      <c r="O2528" s="62" t="n">
        <v>540</v>
      </c>
      <c r="P2528" s="9" t="inlineStr">
        <is>
          <t>NSMP2305133450</t>
        </is>
      </c>
      <c r="Q2528" s="53">
        <f>MID(P2528,5,2)</f>
        <v/>
      </c>
      <c r="R2528" s="53">
        <f>MID(P2528,7,2)</f>
        <v/>
      </c>
      <c r="S2528" s="3" t="inlineStr">
        <is>
          <t>G2B</t>
        </is>
      </c>
      <c r="T2528" s="3" t="inlineStr">
        <is>
          <t>P2</t>
        </is>
      </c>
      <c r="U2528" s="3" t="inlineStr">
        <is>
          <t>P JB Cold Soldering</t>
        </is>
      </c>
      <c r="V2528" s="3" t="inlineStr">
        <is>
          <t>Soldering</t>
        </is>
      </c>
      <c r="W2528" s="3" t="inlineStr">
        <is>
          <t>Repair</t>
        </is>
      </c>
      <c r="X2528" s="18" t="n">
        <v>46172</v>
      </c>
      <c r="Y2528" s="73">
        <f>IF(X2528="","",X2528-A2528)</f>
        <v/>
      </c>
      <c r="Z2528" s="18" t="n">
        <v>46172</v>
      </c>
      <c r="AA2528" s="15" t="n"/>
      <c r="AB2528" s="15" t="n"/>
      <c r="AF2528">
        <f>IF(AND($F2528="Closed",$X2528&gt;=DATE(2026,5,1),$X2528&lt;=DATE(2026,5,31)),"Closed in May","Other")</f>
        <v/>
      </c>
    </row>
    <row r="2529">
      <c r="A2529" s="59" t="n">
        <v>46148</v>
      </c>
      <c r="B2529" s="3" t="n">
        <v>2026</v>
      </c>
      <c r="C2529" s="21" t="inlineStr">
        <is>
          <t>Continuum</t>
        </is>
      </c>
      <c r="D2529" s="3" t="inlineStr">
        <is>
          <t>Utility and C&amp;I</t>
        </is>
      </c>
      <c r="E2529" s="3" t="n"/>
      <c r="F2529" s="3" t="inlineStr">
        <is>
          <t>Closed</t>
        </is>
      </c>
      <c r="G2529" s="21" t="inlineStr">
        <is>
          <t>Amiya Ranjan Behera</t>
        </is>
      </c>
      <c r="H2529" s="21" t="n">
        <v>8917436223</v>
      </c>
      <c r="I2529" s="38" t="inlineStr">
        <is>
          <t>PE06052602</t>
        </is>
      </c>
      <c r="J2529" s="21" t="inlineStr">
        <is>
          <t>Diode Bypass Module Issue</t>
        </is>
      </c>
      <c r="K2529" s="21" t="inlineStr">
        <is>
          <t>Bhavnagar</t>
        </is>
      </c>
      <c r="L2529" s="21" t="inlineStr">
        <is>
          <t>Gujarat</t>
        </is>
      </c>
      <c r="M2529" s="9" t="inlineStr">
        <is>
          <t>NS</t>
        </is>
      </c>
      <c r="N2529" s="26" t="inlineStr">
        <is>
          <t>Cold Soldering</t>
        </is>
      </c>
      <c r="O2529" s="60" t="n">
        <v>540</v>
      </c>
      <c r="P2529" s="95" t="inlineStr">
        <is>
          <t>NSMP2305134147</t>
        </is>
      </c>
      <c r="Q2529" s="53">
        <f>MID(P2529,5,2)</f>
        <v/>
      </c>
      <c r="R2529" s="53">
        <f>MID(P2529,7,2)</f>
        <v/>
      </c>
      <c r="S2529" s="3" t="inlineStr">
        <is>
          <t>G2B</t>
        </is>
      </c>
      <c r="T2529" s="3" t="inlineStr">
        <is>
          <t>P2</t>
        </is>
      </c>
      <c r="U2529" s="19" t="inlineStr">
        <is>
          <t>N JB Cold Soldering</t>
        </is>
      </c>
      <c r="V2529" s="19" t="inlineStr">
        <is>
          <t>Soldering</t>
        </is>
      </c>
      <c r="W2529" s="3" t="inlineStr">
        <is>
          <t>Repair</t>
        </is>
      </c>
      <c r="X2529" s="18" t="n">
        <v>46172</v>
      </c>
      <c r="Y2529" s="73">
        <f>IF(X2529="","",X2529-A2529)</f>
        <v/>
      </c>
      <c r="Z2529" s="18" t="n">
        <v>46172</v>
      </c>
      <c r="AA2529" s="15" t="n"/>
      <c r="AB2529" s="15" t="n"/>
      <c r="AF2529">
        <f>IF(AND($F2529="Closed",$X2529&gt;=DATE(2026,5,1),$X2529&lt;=DATE(2026,5,31)),"Closed in May","Other")</f>
        <v/>
      </c>
    </row>
    <row r="2530">
      <c r="A2530" s="59" t="n">
        <v>46148</v>
      </c>
      <c r="B2530" s="3" t="n">
        <v>2026</v>
      </c>
      <c r="C2530" s="21" t="inlineStr">
        <is>
          <t>Continuum</t>
        </is>
      </c>
      <c r="D2530" s="3" t="inlineStr">
        <is>
          <t>Utility and C&amp;I</t>
        </is>
      </c>
      <c r="E2530" s="3" t="n"/>
      <c r="F2530" s="3" t="inlineStr">
        <is>
          <t>Closed</t>
        </is>
      </c>
      <c r="G2530" s="21" t="inlineStr">
        <is>
          <t>Amiya Ranjan Behera</t>
        </is>
      </c>
      <c r="H2530" s="21" t="n">
        <v>8917436223</v>
      </c>
      <c r="I2530" s="38" t="inlineStr">
        <is>
          <t>PE06052602</t>
        </is>
      </c>
      <c r="J2530" s="21" t="inlineStr">
        <is>
          <t>Diode Bypass Module Issue</t>
        </is>
      </c>
      <c r="K2530" s="21" t="inlineStr">
        <is>
          <t>Bhavnagar</t>
        </is>
      </c>
      <c r="L2530" s="21" t="inlineStr">
        <is>
          <t>Gujarat</t>
        </is>
      </c>
      <c r="M2530" s="9" t="inlineStr">
        <is>
          <t>PS</t>
        </is>
      </c>
      <c r="N2530" s="3" t="inlineStr">
        <is>
          <t>Cold Soldering</t>
        </is>
      </c>
      <c r="O2530" s="62" t="n">
        <v>540</v>
      </c>
      <c r="P2530" s="9" t="inlineStr">
        <is>
          <t>NSMP2305133102</t>
        </is>
      </c>
      <c r="Q2530" s="53">
        <f>MID(P2530,5,2)</f>
        <v/>
      </c>
      <c r="R2530" s="53">
        <f>MID(P2530,7,2)</f>
        <v/>
      </c>
      <c r="S2530" s="3" t="inlineStr">
        <is>
          <t>G2B</t>
        </is>
      </c>
      <c r="T2530" s="3" t="inlineStr">
        <is>
          <t>P2</t>
        </is>
      </c>
      <c r="U2530" s="3" t="inlineStr">
        <is>
          <t>P JB Cold Soldering</t>
        </is>
      </c>
      <c r="V2530" s="3" t="inlineStr">
        <is>
          <t>Soldering</t>
        </is>
      </c>
      <c r="W2530" s="3" t="inlineStr">
        <is>
          <t>Repair</t>
        </is>
      </c>
      <c r="X2530" s="18" t="n">
        <v>46172</v>
      </c>
      <c r="Y2530" s="73">
        <f>IF(X2530="","",X2530-A2530)</f>
        <v/>
      </c>
      <c r="Z2530" s="18" t="n">
        <v>46172</v>
      </c>
      <c r="AA2530" s="15" t="n"/>
      <c r="AB2530" s="15" t="n"/>
      <c r="AF2530">
        <f>IF(AND($F2530="Closed",$X2530&gt;=DATE(2026,5,1),$X2530&lt;=DATE(2026,5,31)),"Closed in May","Other")</f>
        <v/>
      </c>
    </row>
    <row r="2531">
      <c r="A2531" s="59" t="n">
        <v>46148</v>
      </c>
      <c r="B2531" s="3" t="n">
        <v>2026</v>
      </c>
      <c r="C2531" s="21" t="inlineStr">
        <is>
          <t>Continuum</t>
        </is>
      </c>
      <c r="D2531" s="3" t="inlineStr">
        <is>
          <t>Utility and C&amp;I</t>
        </is>
      </c>
      <c r="E2531" s="3" t="n"/>
      <c r="F2531" s="3" t="inlineStr">
        <is>
          <t>Closed</t>
        </is>
      </c>
      <c r="G2531" s="21" t="inlineStr">
        <is>
          <t>Amiya Ranjan Behera</t>
        </is>
      </c>
      <c r="H2531" s="21" t="n">
        <v>8917436223</v>
      </c>
      <c r="I2531" s="38" t="inlineStr">
        <is>
          <t>PE06052602</t>
        </is>
      </c>
      <c r="J2531" s="21" t="inlineStr">
        <is>
          <t>Diode Bypass Module Issue</t>
        </is>
      </c>
      <c r="K2531" s="21" t="inlineStr">
        <is>
          <t>Bhavnagar</t>
        </is>
      </c>
      <c r="L2531" s="21" t="inlineStr">
        <is>
          <t>Gujarat</t>
        </is>
      </c>
      <c r="M2531" s="9" t="inlineStr">
        <is>
          <t>PS</t>
        </is>
      </c>
      <c r="N2531" s="3" t="inlineStr">
        <is>
          <t>Cold Soldering</t>
        </is>
      </c>
      <c r="O2531" s="62" t="n">
        <v>540</v>
      </c>
      <c r="P2531" s="9" t="inlineStr">
        <is>
          <t>NSMP2305133100</t>
        </is>
      </c>
      <c r="Q2531" s="53">
        <f>MID(P2531,5,2)</f>
        <v/>
      </c>
      <c r="R2531" s="53">
        <f>MID(P2531,7,2)</f>
        <v/>
      </c>
      <c r="S2531" s="3" t="inlineStr">
        <is>
          <t>G2B</t>
        </is>
      </c>
      <c r="T2531" s="3" t="inlineStr">
        <is>
          <t>P2</t>
        </is>
      </c>
      <c r="U2531" s="3" t="inlineStr">
        <is>
          <t>P JB Cold Soldering</t>
        </is>
      </c>
      <c r="V2531" s="3" t="inlineStr">
        <is>
          <t>Soldering</t>
        </is>
      </c>
      <c r="W2531" s="3" t="inlineStr">
        <is>
          <t>Repair</t>
        </is>
      </c>
      <c r="X2531" s="18" t="n">
        <v>46172</v>
      </c>
      <c r="Y2531" s="73">
        <f>IF(X2531="","",X2531-A2531)</f>
        <v/>
      </c>
      <c r="Z2531" s="18" t="n">
        <v>46172</v>
      </c>
      <c r="AA2531" s="15" t="n"/>
      <c r="AB2531" s="15" t="n"/>
      <c r="AF2531">
        <f>IF(AND($F2531="Closed",$X2531&gt;=DATE(2026,5,1),$X2531&lt;=DATE(2026,5,31)),"Closed in May","Other")</f>
        <v/>
      </c>
    </row>
    <row r="2532">
      <c r="A2532" s="59" t="n">
        <v>46148</v>
      </c>
      <c r="B2532" s="3" t="n">
        <v>2026</v>
      </c>
      <c r="C2532" s="21" t="inlineStr">
        <is>
          <t>Continuum</t>
        </is>
      </c>
      <c r="D2532" s="3" t="inlineStr">
        <is>
          <t>Utility and C&amp;I</t>
        </is>
      </c>
      <c r="E2532" s="3" t="n"/>
      <c r="F2532" s="3" t="inlineStr">
        <is>
          <t>Closed</t>
        </is>
      </c>
      <c r="G2532" s="21" t="inlineStr">
        <is>
          <t>Amiya Ranjan Behera</t>
        </is>
      </c>
      <c r="H2532" s="21" t="n">
        <v>8917436223</v>
      </c>
      <c r="I2532" s="38" t="inlineStr">
        <is>
          <t>PE06052602</t>
        </is>
      </c>
      <c r="J2532" s="21" t="inlineStr">
        <is>
          <t>Diode Bypass Module Issue</t>
        </is>
      </c>
      <c r="K2532" s="21" t="inlineStr">
        <is>
          <t>Bhavnagar</t>
        </is>
      </c>
      <c r="L2532" s="21" t="inlineStr">
        <is>
          <t>Gujarat</t>
        </is>
      </c>
      <c r="M2532" s="9" t="inlineStr">
        <is>
          <t>PS</t>
        </is>
      </c>
      <c r="N2532" s="3" t="inlineStr">
        <is>
          <t>Cold Soldering</t>
        </is>
      </c>
      <c r="O2532" s="62" t="n">
        <v>540</v>
      </c>
      <c r="P2532" s="9" t="inlineStr">
        <is>
          <t>NSMP2305133136</t>
        </is>
      </c>
      <c r="Q2532" s="53">
        <f>MID(P2532,5,2)</f>
        <v/>
      </c>
      <c r="R2532" s="53">
        <f>MID(P2532,7,2)</f>
        <v/>
      </c>
      <c r="S2532" s="3" t="inlineStr">
        <is>
          <t>G2B</t>
        </is>
      </c>
      <c r="T2532" s="3" t="inlineStr">
        <is>
          <t>P2</t>
        </is>
      </c>
      <c r="U2532" s="3" t="inlineStr">
        <is>
          <t>P JB Cold Soldering</t>
        </is>
      </c>
      <c r="V2532" s="3" t="inlineStr">
        <is>
          <t>Soldering</t>
        </is>
      </c>
      <c r="W2532" s="3" t="inlineStr">
        <is>
          <t>Repair</t>
        </is>
      </c>
      <c r="X2532" s="18" t="n">
        <v>46172</v>
      </c>
      <c r="Y2532" s="73">
        <f>IF(X2532="","",X2532-A2532)</f>
        <v/>
      </c>
      <c r="Z2532" s="18" t="n">
        <v>46172</v>
      </c>
      <c r="AA2532" s="15" t="n"/>
      <c r="AB2532" s="15" t="n"/>
      <c r="AF2532">
        <f>IF(AND($F2532="Closed",$X2532&gt;=DATE(2026,5,1),$X2532&lt;=DATE(2026,5,31)),"Closed in May","Other")</f>
        <v/>
      </c>
    </row>
    <row r="2533">
      <c r="A2533" s="59" t="n">
        <v>46148</v>
      </c>
      <c r="B2533" s="3" t="n">
        <v>2026</v>
      </c>
      <c r="C2533" s="21" t="inlineStr">
        <is>
          <t>Continuum</t>
        </is>
      </c>
      <c r="D2533" s="3" t="inlineStr">
        <is>
          <t>Utility and C&amp;I</t>
        </is>
      </c>
      <c r="E2533" s="3" t="n"/>
      <c r="F2533" s="3" t="inlineStr">
        <is>
          <t>Closed</t>
        </is>
      </c>
      <c r="G2533" s="21" t="inlineStr">
        <is>
          <t>Amiya Ranjan Behera</t>
        </is>
      </c>
      <c r="H2533" s="21" t="n">
        <v>8917436223</v>
      </c>
      <c r="I2533" s="38" t="inlineStr">
        <is>
          <t>PE06052602</t>
        </is>
      </c>
      <c r="J2533" s="21" t="inlineStr">
        <is>
          <t>Diode Bypass Module Issue</t>
        </is>
      </c>
      <c r="K2533" s="21" t="inlineStr">
        <is>
          <t>Bhavnagar</t>
        </is>
      </c>
      <c r="L2533" s="21" t="inlineStr">
        <is>
          <t>Gujarat</t>
        </is>
      </c>
      <c r="M2533" s="9" t="inlineStr">
        <is>
          <t>PS</t>
        </is>
      </c>
      <c r="N2533" s="3" t="inlineStr">
        <is>
          <t>Cold Soldering</t>
        </is>
      </c>
      <c r="O2533" s="62" t="n">
        <v>540</v>
      </c>
      <c r="P2533" s="9" t="inlineStr">
        <is>
          <t>NSMP2305133147</t>
        </is>
      </c>
      <c r="Q2533" s="53">
        <f>MID(P2533,5,2)</f>
        <v/>
      </c>
      <c r="R2533" s="53">
        <f>MID(P2533,7,2)</f>
        <v/>
      </c>
      <c r="S2533" s="3" t="inlineStr">
        <is>
          <t>G2B</t>
        </is>
      </c>
      <c r="T2533" s="3" t="inlineStr">
        <is>
          <t>P2</t>
        </is>
      </c>
      <c r="U2533" s="3" t="inlineStr">
        <is>
          <t>P JB Cold Soldering</t>
        </is>
      </c>
      <c r="V2533" s="3" t="inlineStr">
        <is>
          <t>Soldering</t>
        </is>
      </c>
      <c r="W2533" s="3" t="inlineStr">
        <is>
          <t>Repair</t>
        </is>
      </c>
      <c r="X2533" s="18" t="n">
        <v>46172</v>
      </c>
      <c r="Y2533" s="73">
        <f>IF(X2533="","",X2533-A2533)</f>
        <v/>
      </c>
      <c r="Z2533" s="18" t="n">
        <v>46172</v>
      </c>
      <c r="AA2533" s="15" t="n"/>
      <c r="AB2533" s="15" t="n"/>
      <c r="AF2533">
        <f>IF(AND($F2533="Closed",$X2533&gt;=DATE(2026,5,1),$X2533&lt;=DATE(2026,5,31)),"Closed in May","Other")</f>
        <v/>
      </c>
    </row>
    <row r="2534">
      <c r="A2534" s="59" t="n">
        <v>46148</v>
      </c>
      <c r="B2534" s="3" t="n">
        <v>2026</v>
      </c>
      <c r="C2534" s="21" t="inlineStr">
        <is>
          <t>Continuum</t>
        </is>
      </c>
      <c r="D2534" s="3" t="inlineStr">
        <is>
          <t>Utility and C&amp;I</t>
        </is>
      </c>
      <c r="E2534" s="3" t="n"/>
      <c r="F2534" s="3" t="inlineStr">
        <is>
          <t>Closed</t>
        </is>
      </c>
      <c r="G2534" s="21" t="inlineStr">
        <is>
          <t>Amiya Ranjan Behera</t>
        </is>
      </c>
      <c r="H2534" s="21" t="n">
        <v>8917436223</v>
      </c>
      <c r="I2534" s="38" t="inlineStr">
        <is>
          <t>PE06052602</t>
        </is>
      </c>
      <c r="J2534" s="21" t="inlineStr">
        <is>
          <t>Diode Bypass Module Issue</t>
        </is>
      </c>
      <c r="K2534" s="21" t="inlineStr">
        <is>
          <t>Bhavnagar</t>
        </is>
      </c>
      <c r="L2534" s="21" t="inlineStr">
        <is>
          <t>Gujarat</t>
        </is>
      </c>
      <c r="M2534" s="9" t="inlineStr">
        <is>
          <t>PS</t>
        </is>
      </c>
      <c r="N2534" s="3" t="inlineStr">
        <is>
          <t>Cold Soldering</t>
        </is>
      </c>
      <c r="O2534" s="62" t="n">
        <v>540</v>
      </c>
      <c r="P2534" s="9" t="inlineStr">
        <is>
          <t>NSMP2305133098</t>
        </is>
      </c>
      <c r="Q2534" s="53">
        <f>MID(P2534,5,2)</f>
        <v/>
      </c>
      <c r="R2534" s="53">
        <f>MID(P2534,7,2)</f>
        <v/>
      </c>
      <c r="S2534" s="3" t="inlineStr">
        <is>
          <t>G2B</t>
        </is>
      </c>
      <c r="T2534" s="3" t="inlineStr">
        <is>
          <t>P2</t>
        </is>
      </c>
      <c r="U2534" s="3" t="inlineStr">
        <is>
          <t>P JB Cold Soldering</t>
        </is>
      </c>
      <c r="V2534" s="3" t="inlineStr">
        <is>
          <t>Soldering</t>
        </is>
      </c>
      <c r="W2534" s="3" t="inlineStr">
        <is>
          <t>Repair</t>
        </is>
      </c>
      <c r="X2534" s="18" t="n">
        <v>46172</v>
      </c>
      <c r="Y2534" s="73">
        <f>IF(X2534="","",X2534-A2534)</f>
        <v/>
      </c>
      <c r="Z2534" s="18" t="n">
        <v>46172</v>
      </c>
      <c r="AA2534" s="15" t="n"/>
      <c r="AB2534" s="15" t="n"/>
      <c r="AF2534">
        <f>IF(AND($F2534="Closed",$X2534&gt;=DATE(2026,5,1),$X2534&lt;=DATE(2026,5,31)),"Closed in May","Other")</f>
        <v/>
      </c>
    </row>
    <row r="2535">
      <c r="A2535" s="59" t="n">
        <v>46148</v>
      </c>
      <c r="B2535" s="3" t="n">
        <v>2026</v>
      </c>
      <c r="C2535" s="21" t="inlineStr">
        <is>
          <t>Continuum</t>
        </is>
      </c>
      <c r="D2535" s="3" t="inlineStr">
        <is>
          <t>Utility and C&amp;I</t>
        </is>
      </c>
      <c r="E2535" s="3" t="n"/>
      <c r="F2535" s="3" t="inlineStr">
        <is>
          <t>Closed</t>
        </is>
      </c>
      <c r="G2535" s="21" t="inlineStr">
        <is>
          <t>Amiya Ranjan Behera</t>
        </is>
      </c>
      <c r="H2535" s="21" t="n">
        <v>8917436223</v>
      </c>
      <c r="I2535" s="38" t="inlineStr">
        <is>
          <t>PE06052602</t>
        </is>
      </c>
      <c r="J2535" s="21" t="inlineStr">
        <is>
          <t>Diode Bypass Module Issue</t>
        </is>
      </c>
      <c r="K2535" s="21" t="inlineStr">
        <is>
          <t>Bhavnagar</t>
        </is>
      </c>
      <c r="L2535" s="21" t="inlineStr">
        <is>
          <t>Gujarat</t>
        </is>
      </c>
      <c r="M2535" s="9" t="inlineStr">
        <is>
          <t>PS</t>
        </is>
      </c>
      <c r="N2535" s="3" t="inlineStr">
        <is>
          <t>Cold Soldering</t>
        </is>
      </c>
      <c r="O2535" s="62" t="n">
        <v>540</v>
      </c>
      <c r="P2535" s="9" t="inlineStr">
        <is>
          <t>NSMP2305132476</t>
        </is>
      </c>
      <c r="Q2535" s="53">
        <f>MID(P2535,5,2)</f>
        <v/>
      </c>
      <c r="R2535" s="53">
        <f>MID(P2535,7,2)</f>
        <v/>
      </c>
      <c r="S2535" s="3" t="inlineStr">
        <is>
          <t>G2B</t>
        </is>
      </c>
      <c r="T2535" s="3" t="inlineStr">
        <is>
          <t>P2</t>
        </is>
      </c>
      <c r="U2535" s="3" t="inlineStr">
        <is>
          <t>P JB Cold Soldering</t>
        </is>
      </c>
      <c r="V2535" s="3" t="inlineStr">
        <is>
          <t>Soldering</t>
        </is>
      </c>
      <c r="W2535" s="3" t="inlineStr">
        <is>
          <t>Repair</t>
        </is>
      </c>
      <c r="X2535" s="18" t="n">
        <v>46172</v>
      </c>
      <c r="Y2535" s="73">
        <f>IF(X2535="","",X2535-A2535)</f>
        <v/>
      </c>
      <c r="Z2535" s="18" t="n">
        <v>46172</v>
      </c>
      <c r="AA2535" s="15" t="n"/>
      <c r="AB2535" s="15" t="n"/>
      <c r="AF2535">
        <f>IF(AND($F2535="Closed",$X2535&gt;=DATE(2026,5,1),$X2535&lt;=DATE(2026,5,31)),"Closed in May","Other")</f>
        <v/>
      </c>
    </row>
    <row r="2536">
      <c r="A2536" s="59" t="n">
        <v>46148</v>
      </c>
      <c r="B2536" s="3" t="n">
        <v>2026</v>
      </c>
      <c r="C2536" s="21" t="inlineStr">
        <is>
          <t>Continuum</t>
        </is>
      </c>
      <c r="D2536" s="3" t="inlineStr">
        <is>
          <t>Utility and C&amp;I</t>
        </is>
      </c>
      <c r="E2536" s="3" t="n"/>
      <c r="F2536" s="3" t="inlineStr">
        <is>
          <t>Closed</t>
        </is>
      </c>
      <c r="G2536" s="21" t="inlineStr">
        <is>
          <t>Amiya Ranjan Behera</t>
        </is>
      </c>
      <c r="H2536" s="21" t="n">
        <v>8917436223</v>
      </c>
      <c r="I2536" s="38" t="inlineStr">
        <is>
          <t>PE06052602</t>
        </is>
      </c>
      <c r="J2536" s="21" t="inlineStr">
        <is>
          <t>Diode Bypass Module Issue</t>
        </is>
      </c>
      <c r="K2536" s="21" t="inlineStr">
        <is>
          <t>Bhavnagar</t>
        </is>
      </c>
      <c r="L2536" s="21" t="inlineStr">
        <is>
          <t>Gujarat</t>
        </is>
      </c>
      <c r="M2536" s="9" t="inlineStr">
        <is>
          <t>PS</t>
        </is>
      </c>
      <c r="N2536" s="3" t="inlineStr">
        <is>
          <t>Cold Soldering</t>
        </is>
      </c>
      <c r="O2536" s="62" t="n">
        <v>540</v>
      </c>
      <c r="P2536" s="9" t="inlineStr">
        <is>
          <t>NSMP2304035273</t>
        </is>
      </c>
      <c r="Q2536" s="53">
        <f>MID(P2536,5,2)</f>
        <v/>
      </c>
      <c r="R2536" s="53">
        <f>MID(P2536,7,2)</f>
        <v/>
      </c>
      <c r="S2536" s="3" t="inlineStr">
        <is>
          <t>G2B</t>
        </is>
      </c>
      <c r="T2536" s="3" t="inlineStr">
        <is>
          <t>P2</t>
        </is>
      </c>
      <c r="U2536" s="3" t="inlineStr">
        <is>
          <t>P JB Cold Soldering</t>
        </is>
      </c>
      <c r="V2536" s="3" t="inlineStr">
        <is>
          <t>Soldering</t>
        </is>
      </c>
      <c r="W2536" s="3" t="inlineStr">
        <is>
          <t>Repair</t>
        </is>
      </c>
      <c r="X2536" s="18" t="n">
        <v>46172</v>
      </c>
      <c r="Y2536" s="73">
        <f>IF(X2536="","",X2536-A2536)</f>
        <v/>
      </c>
      <c r="Z2536" s="18" t="n">
        <v>46172</v>
      </c>
      <c r="AA2536" s="15" t="n"/>
      <c r="AB2536" s="15" t="n"/>
      <c r="AF2536">
        <f>IF(AND($F2536="Closed",$X2536&gt;=DATE(2026,5,1),$X2536&lt;=DATE(2026,5,31)),"Closed in May","Other")</f>
        <v/>
      </c>
    </row>
    <row r="2537">
      <c r="A2537" s="59" t="n">
        <v>46148</v>
      </c>
      <c r="B2537" s="3" t="n">
        <v>2026</v>
      </c>
      <c r="C2537" s="21" t="inlineStr">
        <is>
          <t>Continuum</t>
        </is>
      </c>
      <c r="D2537" s="3" t="inlineStr">
        <is>
          <t>Utility and C&amp;I</t>
        </is>
      </c>
      <c r="E2537" s="3" t="n"/>
      <c r="F2537" s="3" t="inlineStr">
        <is>
          <t>Closed</t>
        </is>
      </c>
      <c r="G2537" s="21" t="inlineStr">
        <is>
          <t>Amiya Ranjan Behera</t>
        </is>
      </c>
      <c r="H2537" s="21" t="n">
        <v>8917436223</v>
      </c>
      <c r="I2537" s="38" t="inlineStr">
        <is>
          <t>PE06052602</t>
        </is>
      </c>
      <c r="J2537" s="21" t="inlineStr">
        <is>
          <t>Diode Bypass Module Issue</t>
        </is>
      </c>
      <c r="K2537" s="21" t="inlineStr">
        <is>
          <t>Bhavnagar</t>
        </is>
      </c>
      <c r="L2537" s="21" t="inlineStr">
        <is>
          <t>Gujarat</t>
        </is>
      </c>
      <c r="M2537" s="9" t="inlineStr">
        <is>
          <t>PS</t>
        </is>
      </c>
      <c r="N2537" s="3" t="inlineStr">
        <is>
          <t>Cold Soldering</t>
        </is>
      </c>
      <c r="O2537" s="62" t="n">
        <v>540</v>
      </c>
      <c r="P2537" s="9" t="inlineStr">
        <is>
          <t>NSMP2304035280</t>
        </is>
      </c>
      <c r="Q2537" s="53">
        <f>MID(P2537,5,2)</f>
        <v/>
      </c>
      <c r="R2537" s="53">
        <f>MID(P2537,7,2)</f>
        <v/>
      </c>
      <c r="S2537" s="3" t="inlineStr">
        <is>
          <t>G2B</t>
        </is>
      </c>
      <c r="T2537" s="3" t="inlineStr">
        <is>
          <t>P2</t>
        </is>
      </c>
      <c r="U2537" s="3" t="inlineStr">
        <is>
          <t>P JB Cold Soldering</t>
        </is>
      </c>
      <c r="V2537" s="3" t="inlineStr">
        <is>
          <t>Soldering</t>
        </is>
      </c>
      <c r="W2537" s="3" t="inlineStr">
        <is>
          <t>Repair</t>
        </is>
      </c>
      <c r="X2537" s="18" t="n">
        <v>46172</v>
      </c>
      <c r="Y2537" s="73">
        <f>IF(X2537="","",X2537-A2537)</f>
        <v/>
      </c>
      <c r="Z2537" s="18" t="n">
        <v>46172</v>
      </c>
      <c r="AA2537" s="15" t="n"/>
      <c r="AB2537" s="15" t="n"/>
      <c r="AF2537">
        <f>IF(AND($F2537="Closed",$X2537&gt;=DATE(2026,5,1),$X2537&lt;=DATE(2026,5,31)),"Closed in May","Other")</f>
        <v/>
      </c>
    </row>
    <row r="2538">
      <c r="A2538" s="59" t="n">
        <v>46148</v>
      </c>
      <c r="B2538" s="3" t="n">
        <v>2026</v>
      </c>
      <c r="C2538" s="21" t="inlineStr">
        <is>
          <t>Continuum</t>
        </is>
      </c>
      <c r="D2538" s="3" t="inlineStr">
        <is>
          <t>Utility and C&amp;I</t>
        </is>
      </c>
      <c r="E2538" s="3" t="n"/>
      <c r="F2538" s="3" t="inlineStr">
        <is>
          <t>Closed</t>
        </is>
      </c>
      <c r="G2538" s="21" t="inlineStr">
        <is>
          <t>Amiya Ranjan Behera</t>
        </is>
      </c>
      <c r="H2538" s="21" t="n">
        <v>8917436223</v>
      </c>
      <c r="I2538" s="38" t="inlineStr">
        <is>
          <t>PE06052602</t>
        </is>
      </c>
      <c r="J2538" s="21" t="inlineStr">
        <is>
          <t>Diode Bypass Module Issue</t>
        </is>
      </c>
      <c r="K2538" s="21" t="inlineStr">
        <is>
          <t>Bhavnagar</t>
        </is>
      </c>
      <c r="L2538" s="21" t="inlineStr">
        <is>
          <t>Gujarat</t>
        </is>
      </c>
      <c r="M2538" s="9" t="inlineStr">
        <is>
          <t>PS</t>
        </is>
      </c>
      <c r="N2538" s="3" t="inlineStr">
        <is>
          <t>Cold Soldering</t>
        </is>
      </c>
      <c r="O2538" s="62" t="n">
        <v>540</v>
      </c>
      <c r="P2538" s="9" t="inlineStr">
        <is>
          <t>NSMP2304035235</t>
        </is>
      </c>
      <c r="Q2538" s="53">
        <f>MID(P2538,5,2)</f>
        <v/>
      </c>
      <c r="R2538" s="53">
        <f>MID(P2538,7,2)</f>
        <v/>
      </c>
      <c r="S2538" s="3" t="inlineStr">
        <is>
          <t>G2B</t>
        </is>
      </c>
      <c r="T2538" s="3" t="inlineStr">
        <is>
          <t>P2</t>
        </is>
      </c>
      <c r="U2538" s="3" t="inlineStr">
        <is>
          <t>P JB Cold Soldering</t>
        </is>
      </c>
      <c r="V2538" s="3" t="inlineStr">
        <is>
          <t>Soldering</t>
        </is>
      </c>
      <c r="W2538" s="3" t="inlineStr">
        <is>
          <t>Repair</t>
        </is>
      </c>
      <c r="X2538" s="18" t="n">
        <v>46172</v>
      </c>
      <c r="Y2538" s="73">
        <f>IF(X2538="","",X2538-A2538)</f>
        <v/>
      </c>
      <c r="Z2538" s="18" t="n">
        <v>46172</v>
      </c>
      <c r="AA2538" s="15" t="n"/>
      <c r="AB2538" s="15" t="n"/>
      <c r="AF2538">
        <f>IF(AND($F2538="Closed",$X2538&gt;=DATE(2026,5,1),$X2538&lt;=DATE(2026,5,31)),"Closed in May","Other")</f>
        <v/>
      </c>
    </row>
    <row r="2539">
      <c r="A2539" s="59" t="n">
        <v>46148</v>
      </c>
      <c r="B2539" s="3" t="n">
        <v>2026</v>
      </c>
      <c r="C2539" s="21" t="inlineStr">
        <is>
          <t>Continuum</t>
        </is>
      </c>
      <c r="D2539" s="3" t="inlineStr">
        <is>
          <t>Utility and C&amp;I</t>
        </is>
      </c>
      <c r="E2539" s="3" t="n"/>
      <c r="F2539" s="3" t="inlineStr">
        <is>
          <t>Closed</t>
        </is>
      </c>
      <c r="G2539" s="21" t="inlineStr">
        <is>
          <t>Amiya Ranjan Behera</t>
        </is>
      </c>
      <c r="H2539" s="21" t="n">
        <v>8917436223</v>
      </c>
      <c r="I2539" s="38" t="inlineStr">
        <is>
          <t>PE06052602</t>
        </is>
      </c>
      <c r="J2539" s="21" t="inlineStr">
        <is>
          <t>Diode Bypass Module Issue</t>
        </is>
      </c>
      <c r="K2539" s="21" t="inlineStr">
        <is>
          <t>Bhavnagar</t>
        </is>
      </c>
      <c r="L2539" s="21" t="inlineStr">
        <is>
          <t>Gujarat</t>
        </is>
      </c>
      <c r="M2539" s="9" t="inlineStr">
        <is>
          <t>PS</t>
        </is>
      </c>
      <c r="N2539" s="3" t="inlineStr">
        <is>
          <t>Cold Soldering</t>
        </is>
      </c>
      <c r="O2539" s="62" t="n">
        <v>540</v>
      </c>
      <c r="P2539" s="9" t="inlineStr">
        <is>
          <t>NSMP2304035232</t>
        </is>
      </c>
      <c r="Q2539" s="53">
        <f>MID(P2539,5,2)</f>
        <v/>
      </c>
      <c r="R2539" s="53">
        <f>MID(P2539,7,2)</f>
        <v/>
      </c>
      <c r="S2539" s="3" t="inlineStr">
        <is>
          <t>G2B</t>
        </is>
      </c>
      <c r="T2539" s="3" t="inlineStr">
        <is>
          <t>P2</t>
        </is>
      </c>
      <c r="U2539" s="3" t="inlineStr">
        <is>
          <t>P JB Cold Soldering</t>
        </is>
      </c>
      <c r="V2539" s="3" t="inlineStr">
        <is>
          <t>Soldering</t>
        </is>
      </c>
      <c r="W2539" s="3" t="inlineStr">
        <is>
          <t>Repair</t>
        </is>
      </c>
      <c r="X2539" s="18" t="n">
        <v>46172</v>
      </c>
      <c r="Y2539" s="73">
        <f>IF(X2539="","",X2539-A2539)</f>
        <v/>
      </c>
      <c r="Z2539" s="18" t="n">
        <v>46172</v>
      </c>
      <c r="AA2539" s="15" t="n"/>
      <c r="AB2539" s="15" t="n"/>
      <c r="AF2539">
        <f>IF(AND($F2539="Closed",$X2539&gt;=DATE(2026,5,1),$X2539&lt;=DATE(2026,5,31)),"Closed in May","Other")</f>
        <v/>
      </c>
    </row>
    <row r="2540">
      <c r="A2540" s="59" t="n">
        <v>46148</v>
      </c>
      <c r="B2540" s="3" t="n">
        <v>2026</v>
      </c>
      <c r="C2540" s="21" t="inlineStr">
        <is>
          <t>Continuum</t>
        </is>
      </c>
      <c r="D2540" s="3" t="inlineStr">
        <is>
          <t>Utility and C&amp;I</t>
        </is>
      </c>
      <c r="E2540" s="3" t="n"/>
      <c r="F2540" s="3" t="inlineStr">
        <is>
          <t>Closed</t>
        </is>
      </c>
      <c r="G2540" s="21" t="inlineStr">
        <is>
          <t>Amiya Ranjan Behera</t>
        </is>
      </c>
      <c r="H2540" s="21" t="n">
        <v>8917436223</v>
      </c>
      <c r="I2540" s="38" t="inlineStr">
        <is>
          <t>PE06052602</t>
        </is>
      </c>
      <c r="J2540" s="21" t="inlineStr">
        <is>
          <t>Diode Bypass Module Issue</t>
        </is>
      </c>
      <c r="K2540" s="21" t="inlineStr">
        <is>
          <t>Bhavnagar</t>
        </is>
      </c>
      <c r="L2540" s="21" t="inlineStr">
        <is>
          <t>Gujarat</t>
        </is>
      </c>
      <c r="M2540" s="9" t="inlineStr">
        <is>
          <t>PR</t>
        </is>
      </c>
      <c r="N2540" s="3" t="inlineStr">
        <is>
          <t>JB Issue</t>
        </is>
      </c>
      <c r="O2540" s="62" t="n">
        <v>540</v>
      </c>
      <c r="P2540" s="9" t="inlineStr">
        <is>
          <t>NSMP2304035237</t>
        </is>
      </c>
      <c r="Q2540" s="53">
        <f>MID(P2540,5,2)</f>
        <v/>
      </c>
      <c r="R2540" s="53">
        <f>MID(P2540,7,2)</f>
        <v/>
      </c>
      <c r="S2540" s="3" t="inlineStr">
        <is>
          <t>G2B</t>
        </is>
      </c>
      <c r="T2540" s="3" t="inlineStr">
        <is>
          <t>P2</t>
        </is>
      </c>
      <c r="U2540" s="3" t="inlineStr">
        <is>
          <t>P JB Issue</t>
        </is>
      </c>
      <c r="V2540" s="15" t="inlineStr">
        <is>
          <t>JB Changed</t>
        </is>
      </c>
      <c r="W2540" s="3" t="inlineStr">
        <is>
          <t>Repair</t>
        </is>
      </c>
      <c r="X2540" s="18" t="n">
        <v>46172</v>
      </c>
      <c r="Y2540" s="73">
        <f>IF(X2540="","",X2540-A2540)</f>
        <v/>
      </c>
      <c r="Z2540" s="18" t="n">
        <v>46172</v>
      </c>
      <c r="AA2540" s="15" t="n"/>
      <c r="AB2540" s="15" t="n"/>
      <c r="AF2540">
        <f>IF(AND($F2540="Closed",$X2540&gt;=DATE(2026,5,1),$X2540&lt;=DATE(2026,5,31)),"Closed in May","Other")</f>
        <v/>
      </c>
    </row>
    <row r="2541">
      <c r="A2541" s="59" t="n">
        <v>46148</v>
      </c>
      <c r="B2541" s="3" t="n">
        <v>2026</v>
      </c>
      <c r="C2541" s="21" t="inlineStr">
        <is>
          <t>Continuum</t>
        </is>
      </c>
      <c r="D2541" s="3" t="inlineStr">
        <is>
          <t>Utility and C&amp;I</t>
        </is>
      </c>
      <c r="E2541" s="3" t="n"/>
      <c r="F2541" s="3" t="inlineStr">
        <is>
          <t>Closed</t>
        </is>
      </c>
      <c r="G2541" s="21" t="inlineStr">
        <is>
          <t>Amiya Ranjan Behera</t>
        </is>
      </c>
      <c r="H2541" s="21" t="n">
        <v>8917436223</v>
      </c>
      <c r="I2541" s="38" t="inlineStr">
        <is>
          <t>PE06052602</t>
        </is>
      </c>
      <c r="J2541" s="21" t="inlineStr">
        <is>
          <t>Diode Bypass Module Issue</t>
        </is>
      </c>
      <c r="K2541" s="21" t="inlineStr">
        <is>
          <t>Bhavnagar</t>
        </is>
      </c>
      <c r="L2541" s="21" t="inlineStr">
        <is>
          <t>Gujarat</t>
        </is>
      </c>
      <c r="M2541" s="9" t="inlineStr">
        <is>
          <t>PS</t>
        </is>
      </c>
      <c r="N2541" s="3" t="inlineStr">
        <is>
          <t>Cold Soldering</t>
        </is>
      </c>
      <c r="O2541" s="62" t="n">
        <v>540</v>
      </c>
      <c r="P2541" s="9" t="inlineStr">
        <is>
          <t>NSMP2304035251</t>
        </is>
      </c>
      <c r="Q2541" s="53">
        <f>MID(P2541,5,2)</f>
        <v/>
      </c>
      <c r="R2541" s="53">
        <f>MID(P2541,7,2)</f>
        <v/>
      </c>
      <c r="S2541" s="3" t="inlineStr">
        <is>
          <t>G2B</t>
        </is>
      </c>
      <c r="T2541" s="3" t="inlineStr">
        <is>
          <t>P2</t>
        </is>
      </c>
      <c r="U2541" s="3" t="inlineStr">
        <is>
          <t>P JB Cold Soldering</t>
        </is>
      </c>
      <c r="V2541" s="3" t="inlineStr">
        <is>
          <t>Soldering</t>
        </is>
      </c>
      <c r="W2541" s="3" t="inlineStr">
        <is>
          <t>Repair</t>
        </is>
      </c>
      <c r="X2541" s="18" t="n">
        <v>46172</v>
      </c>
      <c r="Y2541" s="73">
        <f>IF(X2541="","",X2541-A2541)</f>
        <v/>
      </c>
      <c r="Z2541" s="18" t="n">
        <v>46172</v>
      </c>
      <c r="AA2541" s="15" t="n"/>
      <c r="AB2541" s="15" t="n"/>
      <c r="AF2541">
        <f>IF(AND($F2541="Closed",$X2541&gt;=DATE(2026,5,1),$X2541&lt;=DATE(2026,5,31)),"Closed in May","Other")</f>
        <v/>
      </c>
    </row>
    <row r="2542">
      <c r="A2542" s="59" t="n">
        <v>46148</v>
      </c>
      <c r="B2542" s="3" t="n">
        <v>2026</v>
      </c>
      <c r="C2542" s="21" t="inlineStr">
        <is>
          <t>Continuum</t>
        </is>
      </c>
      <c r="D2542" s="3" t="inlineStr">
        <is>
          <t>Utility and C&amp;I</t>
        </is>
      </c>
      <c r="E2542" s="3" t="n"/>
      <c r="F2542" s="3" t="inlineStr">
        <is>
          <t>Closed</t>
        </is>
      </c>
      <c r="G2542" s="21" t="inlineStr">
        <is>
          <t>Amiya Ranjan Behera</t>
        </is>
      </c>
      <c r="H2542" s="21" t="n">
        <v>8917436223</v>
      </c>
      <c r="I2542" s="38" t="inlineStr">
        <is>
          <t>PE06052602</t>
        </is>
      </c>
      <c r="J2542" s="21" t="inlineStr">
        <is>
          <t>Diode Bypass Module Issue</t>
        </is>
      </c>
      <c r="K2542" s="21" t="inlineStr">
        <is>
          <t>Bhavnagar</t>
        </is>
      </c>
      <c r="L2542" s="21" t="inlineStr">
        <is>
          <t>Gujarat</t>
        </is>
      </c>
      <c r="M2542" s="9" t="inlineStr">
        <is>
          <t>PS</t>
        </is>
      </c>
      <c r="N2542" s="3" t="inlineStr">
        <is>
          <t>Cold Soldering</t>
        </is>
      </c>
      <c r="O2542" s="62" t="n">
        <v>540</v>
      </c>
      <c r="P2542" s="9" t="inlineStr">
        <is>
          <t>NSMP2304073900</t>
        </is>
      </c>
      <c r="Q2542" s="53">
        <f>MID(P2542,5,2)</f>
        <v/>
      </c>
      <c r="R2542" s="53">
        <f>MID(P2542,7,2)</f>
        <v/>
      </c>
      <c r="S2542" s="3" t="inlineStr">
        <is>
          <t>G2B</t>
        </is>
      </c>
      <c r="T2542" s="3" t="inlineStr">
        <is>
          <t>P2</t>
        </is>
      </c>
      <c r="U2542" s="3" t="inlineStr">
        <is>
          <t>P JB Cold Soldering</t>
        </is>
      </c>
      <c r="V2542" s="3" t="inlineStr">
        <is>
          <t>Soldering</t>
        </is>
      </c>
      <c r="W2542" s="3" t="inlineStr">
        <is>
          <t>Repair</t>
        </is>
      </c>
      <c r="X2542" s="18" t="n">
        <v>46172</v>
      </c>
      <c r="Y2542" s="73">
        <f>IF(X2542="","",X2542-A2542)</f>
        <v/>
      </c>
      <c r="Z2542" s="18" t="n">
        <v>46172</v>
      </c>
      <c r="AA2542" s="15" t="n"/>
      <c r="AB2542" s="15" t="n"/>
      <c r="AF2542">
        <f>IF(AND($F2542="Closed",$X2542&gt;=DATE(2026,5,1),$X2542&lt;=DATE(2026,5,31)),"Closed in May","Other")</f>
        <v/>
      </c>
    </row>
    <row r="2543">
      <c r="A2543" s="59" t="n">
        <v>46148</v>
      </c>
      <c r="B2543" s="3" t="n">
        <v>2026</v>
      </c>
      <c r="C2543" s="21" t="inlineStr">
        <is>
          <t>Continuum</t>
        </is>
      </c>
      <c r="D2543" s="3" t="inlineStr">
        <is>
          <t>Utility and C&amp;I</t>
        </is>
      </c>
      <c r="E2543" s="3" t="n"/>
      <c r="F2543" s="3" t="inlineStr">
        <is>
          <t>Closed</t>
        </is>
      </c>
      <c r="G2543" s="21" t="inlineStr">
        <is>
          <t>Amiya Ranjan Behera</t>
        </is>
      </c>
      <c r="H2543" s="21" t="n">
        <v>8917436223</v>
      </c>
      <c r="I2543" s="38" t="inlineStr">
        <is>
          <t>PE06052602</t>
        </is>
      </c>
      <c r="J2543" s="21" t="inlineStr">
        <is>
          <t>Diode Bypass Module Issue</t>
        </is>
      </c>
      <c r="K2543" s="21" t="inlineStr">
        <is>
          <t>Bhavnagar</t>
        </is>
      </c>
      <c r="L2543" s="21" t="inlineStr">
        <is>
          <t>Gujarat</t>
        </is>
      </c>
      <c r="M2543" s="9" t="inlineStr">
        <is>
          <t>PS</t>
        </is>
      </c>
      <c r="N2543" s="3" t="inlineStr">
        <is>
          <t>Cold Soldering</t>
        </is>
      </c>
      <c r="O2543" s="62" t="n">
        <v>540</v>
      </c>
      <c r="P2543" s="9" t="inlineStr">
        <is>
          <t>NSMP2304044121</t>
        </is>
      </c>
      <c r="Q2543" s="53">
        <f>MID(P2543,5,2)</f>
        <v/>
      </c>
      <c r="R2543" s="53">
        <f>MID(P2543,7,2)</f>
        <v/>
      </c>
      <c r="S2543" s="3" t="inlineStr">
        <is>
          <t>G2B</t>
        </is>
      </c>
      <c r="T2543" s="3" t="inlineStr">
        <is>
          <t>P2</t>
        </is>
      </c>
      <c r="U2543" s="3" t="inlineStr">
        <is>
          <t>P JB Cold Soldering</t>
        </is>
      </c>
      <c r="V2543" s="3" t="inlineStr">
        <is>
          <t>Soldering</t>
        </is>
      </c>
      <c r="W2543" s="3" t="inlineStr">
        <is>
          <t>Repair</t>
        </is>
      </c>
      <c r="X2543" s="18" t="n">
        <v>46172</v>
      </c>
      <c r="Y2543" s="73">
        <f>IF(X2543="","",X2543-A2543)</f>
        <v/>
      </c>
      <c r="Z2543" s="18" t="n">
        <v>46172</v>
      </c>
      <c r="AA2543" s="15" t="n"/>
      <c r="AB2543" s="15" t="n"/>
      <c r="AF2543">
        <f>IF(AND($F2543="Closed",$X2543&gt;=DATE(2026,5,1),$X2543&lt;=DATE(2026,5,31)),"Closed in May","Other")</f>
        <v/>
      </c>
    </row>
    <row r="2544">
      <c r="A2544" s="59" t="n">
        <v>46148</v>
      </c>
      <c r="B2544" s="3" t="n">
        <v>2026</v>
      </c>
      <c r="C2544" s="21" t="inlineStr">
        <is>
          <t>Continuum</t>
        </is>
      </c>
      <c r="D2544" s="3" t="inlineStr">
        <is>
          <t>Utility and C&amp;I</t>
        </is>
      </c>
      <c r="E2544" s="3" t="n"/>
      <c r="F2544" s="3" t="inlineStr">
        <is>
          <t>Closed</t>
        </is>
      </c>
      <c r="G2544" s="21" t="inlineStr">
        <is>
          <t>Amiya Ranjan Behera</t>
        </is>
      </c>
      <c r="H2544" s="21" t="n">
        <v>8917436223</v>
      </c>
      <c r="I2544" s="38" t="inlineStr">
        <is>
          <t>PE06052602</t>
        </is>
      </c>
      <c r="J2544" s="21" t="inlineStr">
        <is>
          <t>Diode Bypass Module Issue</t>
        </is>
      </c>
      <c r="K2544" s="21" t="inlineStr">
        <is>
          <t>Bhavnagar</t>
        </is>
      </c>
      <c r="L2544" s="21" t="inlineStr">
        <is>
          <t>Gujarat</t>
        </is>
      </c>
      <c r="M2544" s="9" t="inlineStr">
        <is>
          <t>PS</t>
        </is>
      </c>
      <c r="N2544" s="3" t="inlineStr">
        <is>
          <t>Cold Soldering</t>
        </is>
      </c>
      <c r="O2544" s="62" t="n">
        <v>540</v>
      </c>
      <c r="P2544" s="9" t="inlineStr">
        <is>
          <t>NSMP2304021855</t>
        </is>
      </c>
      <c r="Q2544" s="53">
        <f>MID(P2544,5,2)</f>
        <v/>
      </c>
      <c r="R2544" s="53">
        <f>MID(P2544,7,2)</f>
        <v/>
      </c>
      <c r="S2544" s="3" t="inlineStr">
        <is>
          <t>G2B</t>
        </is>
      </c>
      <c r="T2544" s="3" t="inlineStr">
        <is>
          <t>P2</t>
        </is>
      </c>
      <c r="U2544" s="3" t="inlineStr">
        <is>
          <t>P JB Cold Soldering</t>
        </is>
      </c>
      <c r="V2544" s="3" t="inlineStr">
        <is>
          <t>Soldering</t>
        </is>
      </c>
      <c r="W2544" s="3" t="inlineStr">
        <is>
          <t>Repair</t>
        </is>
      </c>
      <c r="X2544" s="18" t="n">
        <v>46172</v>
      </c>
      <c r="Y2544" s="73">
        <f>IF(X2544="","",X2544-A2544)</f>
        <v/>
      </c>
      <c r="Z2544" s="18" t="n">
        <v>46172</v>
      </c>
      <c r="AA2544" s="15" t="n"/>
      <c r="AB2544" s="15" t="n"/>
      <c r="AF2544">
        <f>IF(AND($F2544="Closed",$X2544&gt;=DATE(2026,5,1),$X2544&lt;=DATE(2026,5,31)),"Closed in May","Other")</f>
        <v/>
      </c>
    </row>
    <row r="2545">
      <c r="A2545" s="59" t="n">
        <v>46148</v>
      </c>
      <c r="B2545" s="3" t="n">
        <v>2026</v>
      </c>
      <c r="C2545" s="21" t="inlineStr">
        <is>
          <t>Continuum</t>
        </is>
      </c>
      <c r="D2545" s="3" t="inlineStr">
        <is>
          <t>Utility and C&amp;I</t>
        </is>
      </c>
      <c r="E2545" s="3" t="n"/>
      <c r="F2545" s="3" t="inlineStr">
        <is>
          <t>Closed</t>
        </is>
      </c>
      <c r="G2545" s="21" t="inlineStr">
        <is>
          <t>Amiya Ranjan Behera</t>
        </is>
      </c>
      <c r="H2545" s="21" t="n">
        <v>8917436223</v>
      </c>
      <c r="I2545" s="38" t="inlineStr">
        <is>
          <t>PE06052602</t>
        </is>
      </c>
      <c r="J2545" s="21" t="inlineStr">
        <is>
          <t>Diode Bypass Module Issue</t>
        </is>
      </c>
      <c r="K2545" s="21" t="inlineStr">
        <is>
          <t>Bhavnagar</t>
        </is>
      </c>
      <c r="L2545" s="21" t="inlineStr">
        <is>
          <t>Gujarat</t>
        </is>
      </c>
      <c r="M2545" s="9" t="inlineStr">
        <is>
          <t>PS</t>
        </is>
      </c>
      <c r="N2545" s="3" t="inlineStr">
        <is>
          <t>Cold Soldering</t>
        </is>
      </c>
      <c r="O2545" s="62" t="n">
        <v>540</v>
      </c>
      <c r="P2545" s="9" t="inlineStr">
        <is>
          <t>NSMP2304071628</t>
        </is>
      </c>
      <c r="Q2545" s="53">
        <f>MID(P2545,5,2)</f>
        <v/>
      </c>
      <c r="R2545" s="53">
        <f>MID(P2545,7,2)</f>
        <v/>
      </c>
      <c r="S2545" s="3" t="inlineStr">
        <is>
          <t>G2B</t>
        </is>
      </c>
      <c r="T2545" s="3" t="inlineStr">
        <is>
          <t>P2</t>
        </is>
      </c>
      <c r="U2545" s="3" t="inlineStr">
        <is>
          <t>P JB Cold Soldering</t>
        </is>
      </c>
      <c r="V2545" s="3" t="inlineStr">
        <is>
          <t>Soldering</t>
        </is>
      </c>
      <c r="W2545" s="3" t="inlineStr">
        <is>
          <t>Repair</t>
        </is>
      </c>
      <c r="X2545" s="18" t="n">
        <v>46172</v>
      </c>
      <c r="Y2545" s="73">
        <f>IF(X2545="","",X2545-A2545)</f>
        <v/>
      </c>
      <c r="Z2545" s="18" t="n">
        <v>46172</v>
      </c>
      <c r="AA2545" s="15" t="n"/>
      <c r="AB2545" s="15" t="n"/>
      <c r="AF2545">
        <f>IF(AND($F2545="Closed",$X2545&gt;=DATE(2026,5,1),$X2545&lt;=DATE(2026,5,31)),"Closed in May","Other")</f>
        <v/>
      </c>
    </row>
    <row r="2546">
      <c r="A2546" s="59" t="n">
        <v>46148</v>
      </c>
      <c r="B2546" s="3" t="n">
        <v>2026</v>
      </c>
      <c r="C2546" s="21" t="inlineStr">
        <is>
          <t>Continuum</t>
        </is>
      </c>
      <c r="D2546" s="3" t="inlineStr">
        <is>
          <t>Utility and C&amp;I</t>
        </is>
      </c>
      <c r="E2546" s="3" t="n"/>
      <c r="F2546" s="3" t="inlineStr">
        <is>
          <t>Closed</t>
        </is>
      </c>
      <c r="G2546" s="21" t="inlineStr">
        <is>
          <t>Amiya Ranjan Behera</t>
        </is>
      </c>
      <c r="H2546" s="21" t="n">
        <v>8917436223</v>
      </c>
      <c r="I2546" s="38" t="inlineStr">
        <is>
          <t>PE06052602</t>
        </is>
      </c>
      <c r="J2546" s="21" t="inlineStr">
        <is>
          <t>Diode Bypass Module Issue</t>
        </is>
      </c>
      <c r="K2546" s="21" t="inlineStr">
        <is>
          <t>Bhavnagar</t>
        </is>
      </c>
      <c r="L2546" s="21" t="inlineStr">
        <is>
          <t>Gujarat</t>
        </is>
      </c>
      <c r="M2546" s="9" t="inlineStr">
        <is>
          <t>PS</t>
        </is>
      </c>
      <c r="N2546" s="3" t="inlineStr">
        <is>
          <t>Cold Soldering</t>
        </is>
      </c>
      <c r="O2546" s="62" t="n">
        <v>540</v>
      </c>
      <c r="P2546" s="9" t="inlineStr">
        <is>
          <t>NSMP2304071809</t>
        </is>
      </c>
      <c r="Q2546" s="53">
        <f>MID(P2546,5,2)</f>
        <v/>
      </c>
      <c r="R2546" s="53">
        <f>MID(P2546,7,2)</f>
        <v/>
      </c>
      <c r="S2546" s="3" t="inlineStr">
        <is>
          <t>G2B</t>
        </is>
      </c>
      <c r="T2546" s="3" t="inlineStr">
        <is>
          <t>P2</t>
        </is>
      </c>
      <c r="U2546" s="3" t="inlineStr">
        <is>
          <t>P JB Cold Soldering</t>
        </is>
      </c>
      <c r="V2546" s="3" t="inlineStr">
        <is>
          <t>Soldering</t>
        </is>
      </c>
      <c r="W2546" s="3" t="inlineStr">
        <is>
          <t>Repair</t>
        </is>
      </c>
      <c r="X2546" s="18" t="n">
        <v>46172</v>
      </c>
      <c r="Y2546" s="73">
        <f>IF(X2546="","",X2546-A2546)</f>
        <v/>
      </c>
      <c r="Z2546" s="18" t="n">
        <v>46172</v>
      </c>
      <c r="AA2546" s="15" t="n"/>
      <c r="AB2546" s="15" t="n"/>
      <c r="AF2546">
        <f>IF(AND($F2546="Closed",$X2546&gt;=DATE(2026,5,1),$X2546&lt;=DATE(2026,5,31)),"Closed in May","Other")</f>
        <v/>
      </c>
    </row>
    <row r="2547">
      <c r="A2547" s="59" t="n">
        <v>46148</v>
      </c>
      <c r="B2547" s="3" t="n">
        <v>2026</v>
      </c>
      <c r="C2547" s="21" t="inlineStr">
        <is>
          <t>Continuum</t>
        </is>
      </c>
      <c r="D2547" s="3" t="inlineStr">
        <is>
          <t>Utility and C&amp;I</t>
        </is>
      </c>
      <c r="E2547" s="3" t="n"/>
      <c r="F2547" s="3" t="inlineStr">
        <is>
          <t>Closed</t>
        </is>
      </c>
      <c r="G2547" s="21" t="inlineStr">
        <is>
          <t>Amiya Ranjan Behera</t>
        </is>
      </c>
      <c r="H2547" s="21" t="n">
        <v>8917436223</v>
      </c>
      <c r="I2547" s="38" t="inlineStr">
        <is>
          <t>PE06052602</t>
        </is>
      </c>
      <c r="J2547" s="21" t="inlineStr">
        <is>
          <t>Diode Bypass Module Issue</t>
        </is>
      </c>
      <c r="K2547" s="21" t="inlineStr">
        <is>
          <t>Bhavnagar</t>
        </is>
      </c>
      <c r="L2547" s="21" t="inlineStr">
        <is>
          <t>Gujarat</t>
        </is>
      </c>
      <c r="M2547" s="9" t="inlineStr">
        <is>
          <t>PS</t>
        </is>
      </c>
      <c r="N2547" s="3" t="inlineStr">
        <is>
          <t>Cold Soldering</t>
        </is>
      </c>
      <c r="O2547" s="62" t="n">
        <v>540</v>
      </c>
      <c r="P2547" s="9" t="inlineStr">
        <is>
          <t>NSMP2304071753</t>
        </is>
      </c>
      <c r="Q2547" s="53">
        <f>MID(P2547,5,2)</f>
        <v/>
      </c>
      <c r="R2547" s="53">
        <f>MID(P2547,7,2)</f>
        <v/>
      </c>
      <c r="S2547" s="3" t="inlineStr">
        <is>
          <t>G2B</t>
        </is>
      </c>
      <c r="T2547" s="3" t="inlineStr">
        <is>
          <t>P2</t>
        </is>
      </c>
      <c r="U2547" s="3" t="inlineStr">
        <is>
          <t>P JB Cold Soldering</t>
        </is>
      </c>
      <c r="V2547" s="3" t="inlineStr">
        <is>
          <t>Soldering</t>
        </is>
      </c>
      <c r="W2547" s="3" t="inlineStr">
        <is>
          <t>Repair</t>
        </is>
      </c>
      <c r="X2547" s="18" t="n">
        <v>46172</v>
      </c>
      <c r="Y2547" s="73">
        <f>IF(X2547="","",X2547-A2547)</f>
        <v/>
      </c>
      <c r="Z2547" s="18" t="n">
        <v>46172</v>
      </c>
      <c r="AA2547" s="15" t="n"/>
      <c r="AB2547" s="15" t="n"/>
      <c r="AF2547">
        <f>IF(AND($F2547="Closed",$X2547&gt;=DATE(2026,5,1),$X2547&lt;=DATE(2026,5,31)),"Closed in May","Other")</f>
        <v/>
      </c>
    </row>
    <row r="2548">
      <c r="A2548" s="59" t="n">
        <v>46148</v>
      </c>
      <c r="B2548" s="3" t="n">
        <v>2026</v>
      </c>
      <c r="C2548" s="21" t="inlineStr">
        <is>
          <t>Continuum</t>
        </is>
      </c>
      <c r="D2548" s="3" t="inlineStr">
        <is>
          <t>Utility and C&amp;I</t>
        </is>
      </c>
      <c r="E2548" s="3" t="n"/>
      <c r="F2548" s="3" t="inlineStr">
        <is>
          <t>Closed</t>
        </is>
      </c>
      <c r="G2548" s="21" t="inlineStr">
        <is>
          <t>Amiya Ranjan Behera</t>
        </is>
      </c>
      <c r="H2548" s="21" t="n">
        <v>8917436223</v>
      </c>
      <c r="I2548" s="38" t="inlineStr">
        <is>
          <t>PE06052602</t>
        </is>
      </c>
      <c r="J2548" s="21" t="inlineStr">
        <is>
          <t>Diode Bypass Module Issue</t>
        </is>
      </c>
      <c r="K2548" s="21" t="inlineStr">
        <is>
          <t>Bhavnagar</t>
        </is>
      </c>
      <c r="L2548" s="21" t="inlineStr">
        <is>
          <t>Gujarat</t>
        </is>
      </c>
      <c r="M2548" s="9" t="inlineStr">
        <is>
          <t>NR</t>
        </is>
      </c>
      <c r="N2548" s="26" t="inlineStr">
        <is>
          <t>JB Issue</t>
        </is>
      </c>
      <c r="O2548" s="60" t="n">
        <v>540</v>
      </c>
      <c r="P2548" s="95" t="inlineStr">
        <is>
          <t>NSMP2304010958</t>
        </is>
      </c>
      <c r="Q2548" s="53">
        <f>MID(P2548,5,2)</f>
        <v/>
      </c>
      <c r="R2548" s="53">
        <f>MID(P2548,7,2)</f>
        <v/>
      </c>
      <c r="S2548" s="3" t="inlineStr">
        <is>
          <t>G2B</t>
        </is>
      </c>
      <c r="T2548" s="3" t="inlineStr">
        <is>
          <t>P2</t>
        </is>
      </c>
      <c r="U2548" s="19" t="inlineStr">
        <is>
          <t>N JB Issue</t>
        </is>
      </c>
      <c r="V2548" s="19" t="inlineStr">
        <is>
          <t>JB Changed</t>
        </is>
      </c>
      <c r="W2548" s="3" t="inlineStr">
        <is>
          <t>Repair</t>
        </is>
      </c>
      <c r="X2548" s="18" t="n">
        <v>46172</v>
      </c>
      <c r="Y2548" s="73">
        <f>IF(X2548="","",X2548-A2548)</f>
        <v/>
      </c>
      <c r="Z2548" s="18" t="n">
        <v>46172</v>
      </c>
      <c r="AA2548" s="15" t="n"/>
      <c r="AB2548" s="15" t="n"/>
      <c r="AF2548">
        <f>IF(AND($F2548="Closed",$X2548&gt;=DATE(2026,5,1),$X2548&lt;=DATE(2026,5,31)),"Closed in May","Other")</f>
        <v/>
      </c>
    </row>
    <row r="2549">
      <c r="A2549" s="59" t="n">
        <v>46167</v>
      </c>
      <c r="B2549" s="3" t="n">
        <v>2026</v>
      </c>
      <c r="C2549" s="19" t="inlineStr">
        <is>
          <t>Maya Power</t>
        </is>
      </c>
      <c r="D2549" s="21" t="inlineStr">
        <is>
          <t>Channel Sales</t>
        </is>
      </c>
      <c r="E2549" s="3" t="n"/>
      <c r="F2549" s="3" t="inlineStr">
        <is>
          <t>Closed</t>
        </is>
      </c>
      <c r="G2549" s="97" t="inlineStr">
        <is>
          <t>Saurabh Dalal</t>
        </is>
      </c>
      <c r="H2549" s="98" t="n">
        <v>9823688050</v>
      </c>
      <c r="I2549" s="22" t="inlineStr">
        <is>
          <t>PE25052602</t>
        </is>
      </c>
      <c r="J2549" s="21" t="inlineStr">
        <is>
          <t>Low generation</t>
        </is>
      </c>
      <c r="K2549" s="21" t="inlineStr">
        <is>
          <t>Nagpur</t>
        </is>
      </c>
      <c r="L2549" s="60" t="inlineStr">
        <is>
          <t>Maharashtra</t>
        </is>
      </c>
      <c r="M2549" s="99" t="inlineStr">
        <is>
          <t>PMR</t>
        </is>
      </c>
      <c r="N2549" s="26" t="inlineStr">
        <is>
          <t>JB Issue</t>
        </is>
      </c>
      <c r="O2549" s="62" t="n">
        <v>540</v>
      </c>
      <c r="P2549" s="9" t="inlineStr">
        <is>
          <t>NSMP25032752084</t>
        </is>
      </c>
      <c r="Q2549" s="54">
        <f>MID(P2549,5,2)</f>
        <v/>
      </c>
      <c r="R2549" s="53">
        <f>MID(P2549,7,2)</f>
        <v/>
      </c>
      <c r="S2549" s="3" t="inlineStr">
        <is>
          <t>G2TB</t>
        </is>
      </c>
      <c r="T2549" s="3" t="inlineStr">
        <is>
          <t>P2</t>
        </is>
      </c>
      <c r="U2549" s="19" t="inlineStr">
        <is>
          <t>P &amp; M JB Issue</t>
        </is>
      </c>
      <c r="V2549" s="19" t="inlineStr">
        <is>
          <t>JB Changed</t>
        </is>
      </c>
      <c r="W2549" s="3" t="inlineStr">
        <is>
          <t>Repair</t>
        </is>
      </c>
      <c r="X2549" s="18" t="n">
        <v>46172</v>
      </c>
      <c r="Y2549" s="73">
        <f>IF(X2549="","",X2549-A2549)</f>
        <v/>
      </c>
      <c r="Z2549" s="18" t="n">
        <v>46172</v>
      </c>
      <c r="AA2549" s="15" t="n"/>
      <c r="AB2549" s="15" t="n"/>
      <c r="AF2549">
        <f>IF(AND($F2549="Closed",$X2549&gt;=DATE(2026,5,1),$X2549&lt;=DATE(2026,5,31)),"Closed in May","Other")</f>
        <v/>
      </c>
    </row>
    <row r="2550">
      <c r="A2550" s="59" t="n">
        <v>46167</v>
      </c>
      <c r="B2550" s="3" t="n">
        <v>2026</v>
      </c>
      <c r="C2550" s="19" t="inlineStr">
        <is>
          <t>Maya Power</t>
        </is>
      </c>
      <c r="D2550" s="21" t="inlineStr">
        <is>
          <t>Channel Sales</t>
        </is>
      </c>
      <c r="E2550" s="3" t="n"/>
      <c r="F2550" s="3" t="inlineStr">
        <is>
          <t>Closed</t>
        </is>
      </c>
      <c r="G2550" s="97" t="inlineStr">
        <is>
          <t>Saurabh Dalal</t>
        </is>
      </c>
      <c r="H2550" s="98" t="n">
        <v>9823688050</v>
      </c>
      <c r="I2550" s="22" t="inlineStr">
        <is>
          <t>PE25052602</t>
        </is>
      </c>
      <c r="J2550" s="21" t="inlineStr">
        <is>
          <t>Low generation</t>
        </is>
      </c>
      <c r="K2550" s="21" t="inlineStr">
        <is>
          <t>Nagpur</t>
        </is>
      </c>
      <c r="L2550" s="60" t="inlineStr">
        <is>
          <t>Maharashtra</t>
        </is>
      </c>
      <c r="M2550" s="100" t="inlineStr">
        <is>
          <t>AR</t>
        </is>
      </c>
      <c r="N2550" s="26" t="inlineStr">
        <is>
          <t>JB Issue</t>
        </is>
      </c>
      <c r="O2550" s="62" t="n">
        <v>540</v>
      </c>
      <c r="P2550" s="9" t="inlineStr">
        <is>
          <t>NSMP25032752088</t>
        </is>
      </c>
      <c r="Q2550" s="54">
        <f>MID(P2550,5,2)</f>
        <v/>
      </c>
      <c r="R2550" s="53">
        <f>MID(P2550,7,2)</f>
        <v/>
      </c>
      <c r="S2550" s="3" t="inlineStr">
        <is>
          <t>G2TB</t>
        </is>
      </c>
      <c r="T2550" s="3" t="inlineStr">
        <is>
          <t>P2</t>
        </is>
      </c>
      <c r="U2550" s="19" t="inlineStr">
        <is>
          <t>All JB Issue</t>
        </is>
      </c>
      <c r="V2550" s="19" t="inlineStr">
        <is>
          <t>JB Changed</t>
        </is>
      </c>
      <c r="W2550" s="3" t="inlineStr">
        <is>
          <t>Repair</t>
        </is>
      </c>
      <c r="X2550" s="18" t="n">
        <v>46172</v>
      </c>
      <c r="Y2550" s="73">
        <f>IF(X2550="","",X2550-A2550)</f>
        <v/>
      </c>
      <c r="Z2550" s="18" t="n">
        <v>46172</v>
      </c>
      <c r="AA2550" s="15" t="n"/>
      <c r="AB2550" s="15" t="n"/>
      <c r="AF2550">
        <f>IF(AND($F2550="Closed",$X2550&gt;=DATE(2026,5,1),$X2550&lt;=DATE(2026,5,31)),"Closed in May","Other")</f>
        <v/>
      </c>
    </row>
    <row r="2551">
      <c r="A2551" s="59" t="n">
        <v>46167</v>
      </c>
      <c r="B2551" s="3" t="n">
        <v>2026</v>
      </c>
      <c r="C2551" s="19" t="inlineStr">
        <is>
          <t>Maya Power</t>
        </is>
      </c>
      <c r="D2551" s="21" t="inlineStr">
        <is>
          <t>Channel Sales</t>
        </is>
      </c>
      <c r="E2551" s="3" t="n"/>
      <c r="F2551" s="3" t="inlineStr">
        <is>
          <t>Closed</t>
        </is>
      </c>
      <c r="G2551" s="97" t="inlineStr">
        <is>
          <t>Saurabh Dalal</t>
        </is>
      </c>
      <c r="H2551" s="98" t="n">
        <v>9823688050</v>
      </c>
      <c r="I2551" s="22" t="inlineStr">
        <is>
          <t>PE25052602</t>
        </is>
      </c>
      <c r="J2551" s="21" t="inlineStr">
        <is>
          <t>Low generation</t>
        </is>
      </c>
      <c r="K2551" s="21" t="inlineStr">
        <is>
          <t>Nagpur</t>
        </is>
      </c>
      <c r="L2551" s="60" t="inlineStr">
        <is>
          <t>Maharashtra</t>
        </is>
      </c>
      <c r="M2551" s="100" t="inlineStr">
        <is>
          <t>AR</t>
        </is>
      </c>
      <c r="N2551" s="26" t="inlineStr">
        <is>
          <t>JB Issue</t>
        </is>
      </c>
      <c r="O2551" s="62" t="n">
        <v>540</v>
      </c>
      <c r="P2551" s="9" t="inlineStr">
        <is>
          <t>NSMP25032752086</t>
        </is>
      </c>
      <c r="Q2551" s="54">
        <f>MID(P2551,5,2)</f>
        <v/>
      </c>
      <c r="R2551" s="53">
        <f>MID(P2551,7,2)</f>
        <v/>
      </c>
      <c r="S2551" s="3" t="inlineStr">
        <is>
          <t>G2TB</t>
        </is>
      </c>
      <c r="T2551" s="3" t="inlineStr">
        <is>
          <t>P2</t>
        </is>
      </c>
      <c r="U2551" s="19" t="inlineStr">
        <is>
          <t>All JB Issue</t>
        </is>
      </c>
      <c r="V2551" s="19" t="inlineStr">
        <is>
          <t>JB Changed</t>
        </is>
      </c>
      <c r="W2551" s="3" t="inlineStr">
        <is>
          <t>Repair</t>
        </is>
      </c>
      <c r="X2551" s="18" t="n">
        <v>46172</v>
      </c>
      <c r="Y2551" s="73">
        <f>IF(X2551="","",X2551-A2551)</f>
        <v/>
      </c>
      <c r="Z2551" s="18" t="n">
        <v>46172</v>
      </c>
      <c r="AA2551" s="15" t="n"/>
      <c r="AB2551" s="15" t="n"/>
      <c r="AF2551">
        <f>IF(AND($F2551="Closed",$X2551&gt;=DATE(2026,5,1),$X2551&lt;=DATE(2026,5,31)),"Closed in May","Other")</f>
        <v/>
      </c>
    </row>
    <row r="2552">
      <c r="A2552" s="59" t="n">
        <v>46167</v>
      </c>
      <c r="B2552" s="3" t="n">
        <v>2026</v>
      </c>
      <c r="C2552" s="19" t="inlineStr">
        <is>
          <t>Maya Power</t>
        </is>
      </c>
      <c r="D2552" s="21" t="inlineStr">
        <is>
          <t>Channel Sales</t>
        </is>
      </c>
      <c r="E2552" s="3" t="n"/>
      <c r="F2552" s="3" t="inlineStr">
        <is>
          <t>Closed</t>
        </is>
      </c>
      <c r="G2552" s="97" t="inlineStr">
        <is>
          <t>Saurabh Dalal</t>
        </is>
      </c>
      <c r="H2552" s="98" t="n">
        <v>9823688050</v>
      </c>
      <c r="I2552" s="22" t="inlineStr">
        <is>
          <t>PE25052602</t>
        </is>
      </c>
      <c r="J2552" s="21" t="inlineStr">
        <is>
          <t>Low generation</t>
        </is>
      </c>
      <c r="K2552" s="21" t="inlineStr">
        <is>
          <t>Nagpur</t>
        </is>
      </c>
      <c r="L2552" s="60" t="inlineStr">
        <is>
          <t>Maharashtra</t>
        </is>
      </c>
      <c r="M2552" s="100" t="inlineStr">
        <is>
          <t>PNR</t>
        </is>
      </c>
      <c r="N2552" s="26" t="inlineStr">
        <is>
          <t>JB Issue</t>
        </is>
      </c>
      <c r="O2552" s="62" t="n">
        <v>540</v>
      </c>
      <c r="P2552" s="9" t="inlineStr">
        <is>
          <t>NSMP25032740363</t>
        </is>
      </c>
      <c r="Q2552" s="54">
        <f>MID(P2552,5,2)</f>
        <v/>
      </c>
      <c r="R2552" s="53">
        <f>MID(P2552,7,2)</f>
        <v/>
      </c>
      <c r="S2552" s="3" t="inlineStr">
        <is>
          <t>G2TB</t>
        </is>
      </c>
      <c r="T2552" s="3" t="inlineStr">
        <is>
          <t>P2</t>
        </is>
      </c>
      <c r="U2552" s="19" t="inlineStr">
        <is>
          <t>P &amp; N JB Issue</t>
        </is>
      </c>
      <c r="V2552" s="19" t="inlineStr">
        <is>
          <t>JB Changed</t>
        </is>
      </c>
      <c r="W2552" s="3" t="inlineStr">
        <is>
          <t>Repair</t>
        </is>
      </c>
      <c r="X2552" s="18" t="n">
        <v>46172</v>
      </c>
      <c r="Y2552" s="73">
        <f>IF(X2552="","",X2552-A2552)</f>
        <v/>
      </c>
      <c r="Z2552" s="18" t="n">
        <v>46172</v>
      </c>
      <c r="AA2552" s="15" t="n"/>
      <c r="AB2552" s="15" t="n"/>
      <c r="AF2552">
        <f>IF(AND($F2552="Closed",$X2552&gt;=DATE(2026,5,1),$X2552&lt;=DATE(2026,5,31)),"Closed in May","Other")</f>
        <v/>
      </c>
    </row>
    <row r="2553">
      <c r="A2553" s="59" t="n">
        <v>46167</v>
      </c>
      <c r="B2553" s="3" t="n">
        <v>2026</v>
      </c>
      <c r="C2553" s="19" t="inlineStr">
        <is>
          <t>Maya Power</t>
        </is>
      </c>
      <c r="D2553" s="21" t="inlineStr">
        <is>
          <t>Channel Sales</t>
        </is>
      </c>
      <c r="E2553" s="3" t="n"/>
      <c r="F2553" s="3" t="inlineStr">
        <is>
          <t>Closed</t>
        </is>
      </c>
      <c r="G2553" s="97" t="inlineStr">
        <is>
          <t>Saurabh Dalal</t>
        </is>
      </c>
      <c r="H2553" s="98" t="n">
        <v>9823688050</v>
      </c>
      <c r="I2553" s="22" t="inlineStr">
        <is>
          <t>PE25052602</t>
        </is>
      </c>
      <c r="J2553" s="21" t="inlineStr">
        <is>
          <t>Low generation</t>
        </is>
      </c>
      <c r="K2553" s="21" t="inlineStr">
        <is>
          <t>Nagpur</t>
        </is>
      </c>
      <c r="L2553" s="60" t="inlineStr">
        <is>
          <t>Maharashtra</t>
        </is>
      </c>
      <c r="M2553" s="100" t="inlineStr">
        <is>
          <t>PNR</t>
        </is>
      </c>
      <c r="N2553" s="26" t="inlineStr">
        <is>
          <t>JB Issue</t>
        </is>
      </c>
      <c r="O2553" s="62" t="n">
        <v>540</v>
      </c>
      <c r="P2553" s="9" t="inlineStr">
        <is>
          <t>NSMP25032740364</t>
        </is>
      </c>
      <c r="Q2553" s="54">
        <f>MID(P2553,5,2)</f>
        <v/>
      </c>
      <c r="R2553" s="53">
        <f>MID(P2553,7,2)</f>
        <v/>
      </c>
      <c r="S2553" s="3" t="inlineStr">
        <is>
          <t>G2TB</t>
        </is>
      </c>
      <c r="T2553" s="3" t="inlineStr">
        <is>
          <t>P2</t>
        </is>
      </c>
      <c r="U2553" s="19" t="inlineStr">
        <is>
          <t>P &amp; N JB Issue</t>
        </is>
      </c>
      <c r="V2553" s="19" t="inlineStr">
        <is>
          <t>JB Changed</t>
        </is>
      </c>
      <c r="W2553" s="3" t="inlineStr">
        <is>
          <t>Repair</t>
        </is>
      </c>
      <c r="X2553" s="18" t="n">
        <v>46172</v>
      </c>
      <c r="Y2553" s="73">
        <f>IF(X2553="","",X2553-A2553)</f>
        <v/>
      </c>
      <c r="Z2553" s="18" t="n">
        <v>46172</v>
      </c>
      <c r="AA2553" s="15" t="n"/>
      <c r="AB2553" s="15" t="n"/>
      <c r="AF2553">
        <f>IF(AND($F2553="Closed",$X2553&gt;=DATE(2026,5,1),$X2553&lt;=DATE(2026,5,31)),"Closed in May","Other")</f>
        <v/>
      </c>
    </row>
    <row r="2554">
      <c r="A2554" s="59" t="n">
        <v>46167</v>
      </c>
      <c r="B2554" s="3" t="n">
        <v>2026</v>
      </c>
      <c r="C2554" s="19" t="inlineStr">
        <is>
          <t>Maya Power</t>
        </is>
      </c>
      <c r="D2554" s="21" t="inlineStr">
        <is>
          <t>Channel Sales</t>
        </is>
      </c>
      <c r="E2554" s="3" t="n"/>
      <c r="F2554" s="3" t="inlineStr">
        <is>
          <t>Closed</t>
        </is>
      </c>
      <c r="G2554" s="97" t="inlineStr">
        <is>
          <t>Saurabh Dalal</t>
        </is>
      </c>
      <c r="H2554" s="98" t="n">
        <v>9823688050</v>
      </c>
      <c r="I2554" s="22" t="inlineStr">
        <is>
          <t>PE25052602</t>
        </is>
      </c>
      <c r="J2554" s="21" t="inlineStr">
        <is>
          <t>Low generation</t>
        </is>
      </c>
      <c r="K2554" s="21" t="inlineStr">
        <is>
          <t>Nagpur</t>
        </is>
      </c>
      <c r="L2554" s="60" t="inlineStr">
        <is>
          <t>Maharashtra</t>
        </is>
      </c>
      <c r="M2554" s="101" t="inlineStr">
        <is>
          <t>OK</t>
        </is>
      </c>
      <c r="N2554" s="26" t="inlineStr">
        <is>
          <t>No Issue</t>
        </is>
      </c>
      <c r="O2554" s="62" t="n">
        <v>540</v>
      </c>
      <c r="P2554" s="9" t="inlineStr">
        <is>
          <t>NSMP25032752089</t>
        </is>
      </c>
      <c r="Q2554" s="54">
        <f>MID(P2554,5,2)</f>
        <v/>
      </c>
      <c r="R2554" s="53">
        <f>MID(P2554,7,2)</f>
        <v/>
      </c>
      <c r="S2554" s="3" t="inlineStr">
        <is>
          <t>G2TB</t>
        </is>
      </c>
      <c r="T2554" s="3" t="inlineStr">
        <is>
          <t>P2</t>
        </is>
      </c>
      <c r="U2554" s="19" t="inlineStr">
        <is>
          <t>No Issue Found</t>
        </is>
      </c>
      <c r="V2554" s="19" t="inlineStr">
        <is>
          <t>Found OK</t>
        </is>
      </c>
      <c r="W2554" s="3" t="inlineStr">
        <is>
          <t>Repair</t>
        </is>
      </c>
      <c r="X2554" s="18" t="n">
        <v>46172</v>
      </c>
      <c r="Y2554" s="73">
        <f>IF(X2554="","",X2554-A2554)</f>
        <v/>
      </c>
      <c r="Z2554" s="18" t="n">
        <v>46172</v>
      </c>
      <c r="AA2554" s="15" t="n"/>
      <c r="AB2554" s="15" t="n"/>
      <c r="AF2554">
        <f>IF(AND($F2554="Closed",$X2554&gt;=DATE(2026,5,1),$X2554&lt;=DATE(2026,5,31)),"Closed in May","Other")</f>
        <v/>
      </c>
    </row>
    <row r="2555">
      <c r="A2555" s="37" t="n">
        <v>46143</v>
      </c>
      <c r="B2555" s="3" t="n">
        <v>2026</v>
      </c>
      <c r="C2555" s="26" t="inlineStr">
        <is>
          <t>Yanara Power</t>
        </is>
      </c>
      <c r="D2555" s="3" t="inlineStr">
        <is>
          <t>Utility and C&amp;I</t>
        </is>
      </c>
      <c r="E2555" s="3" t="n"/>
      <c r="F2555" s="3" t="inlineStr">
        <is>
          <t>Closed</t>
        </is>
      </c>
      <c r="G2555" s="9" t="inlineStr">
        <is>
          <t xml:space="preserve">Ashish Jindal </t>
        </is>
      </c>
      <c r="H2555" s="26" t="n">
        <v>9983975581</v>
      </c>
      <c r="I2555" s="38" t="inlineStr">
        <is>
          <t>PE01052601</t>
        </is>
      </c>
      <c r="J2555" s="26" t="inlineStr">
        <is>
          <t>Multiple Issues</t>
        </is>
      </c>
      <c r="K2555" s="39" t="inlineStr">
        <is>
          <t>Holi</t>
        </is>
      </c>
      <c r="L2555" s="39" t="inlineStr">
        <is>
          <t>Maharashtra</t>
        </is>
      </c>
      <c r="M2555" s="9" t="inlineStr">
        <is>
          <t>PS</t>
        </is>
      </c>
      <c r="N2555" s="3" t="inlineStr">
        <is>
          <t>Cold Soldering</t>
        </is>
      </c>
      <c r="O2555" s="56" t="n">
        <v>575</v>
      </c>
      <c r="P2555" s="46" t="inlineStr">
        <is>
          <t>NSMI24070191029</t>
        </is>
      </c>
      <c r="Q2555" s="54">
        <f>MID(P2555,5,2)</f>
        <v/>
      </c>
      <c r="R2555" s="53">
        <f>MID(P2555,7,2)</f>
        <v/>
      </c>
      <c r="S2555" s="3" t="inlineStr">
        <is>
          <t>G2G</t>
        </is>
      </c>
      <c r="T2555" s="3" t="inlineStr">
        <is>
          <t>P4</t>
        </is>
      </c>
      <c r="U2555" s="19" t="inlineStr">
        <is>
          <t>P JB Cold Soldering</t>
        </is>
      </c>
      <c r="V2555" s="19" t="inlineStr">
        <is>
          <t>Soldering</t>
        </is>
      </c>
      <c r="W2555" s="3" t="inlineStr">
        <is>
          <t>Repair</t>
        </is>
      </c>
      <c r="X2555" s="18" t="n">
        <v>46172</v>
      </c>
      <c r="Y2555" s="73">
        <f>IF(X2555="","",X2555-A2555)</f>
        <v/>
      </c>
      <c r="Z2555" s="18" t="n">
        <v>46172</v>
      </c>
      <c r="AA2555" s="15" t="n"/>
      <c r="AB2555" s="15" t="n"/>
      <c r="AF2555">
        <f>IF(AND($F2555="Closed",$X2555&gt;=DATE(2026,5,1),$X2555&lt;=DATE(2026,5,31)),"Closed in May","Other")</f>
        <v/>
      </c>
    </row>
    <row r="2556">
      <c r="A2556" s="37" t="n">
        <v>46143</v>
      </c>
      <c r="B2556" s="3" t="n">
        <v>2026</v>
      </c>
      <c r="C2556" s="26" t="inlineStr">
        <is>
          <t>Yanara Power</t>
        </is>
      </c>
      <c r="D2556" s="3" t="inlineStr">
        <is>
          <t>Utility and C&amp;I</t>
        </is>
      </c>
      <c r="E2556" s="3" t="n"/>
      <c r="F2556" s="3" t="inlineStr">
        <is>
          <t>Closed</t>
        </is>
      </c>
      <c r="G2556" s="9" t="inlineStr">
        <is>
          <t xml:space="preserve">Ashish Jindal </t>
        </is>
      </c>
      <c r="H2556" s="26" t="n">
        <v>9983975581</v>
      </c>
      <c r="I2556" s="38" t="inlineStr">
        <is>
          <t>PE01052601</t>
        </is>
      </c>
      <c r="J2556" s="26" t="inlineStr">
        <is>
          <t>Multiple Issues</t>
        </is>
      </c>
      <c r="K2556" s="39" t="inlineStr">
        <is>
          <t>Holi</t>
        </is>
      </c>
      <c r="L2556" s="39" t="inlineStr">
        <is>
          <t>Maharashtra</t>
        </is>
      </c>
      <c r="M2556" s="9" t="inlineStr">
        <is>
          <t>PS</t>
        </is>
      </c>
      <c r="N2556" s="3" t="inlineStr">
        <is>
          <t>Cold Soldering</t>
        </is>
      </c>
      <c r="O2556" s="56" t="n">
        <v>575</v>
      </c>
      <c r="P2556" s="46" t="inlineStr">
        <is>
          <t>NSMI24070191023</t>
        </is>
      </c>
      <c r="Q2556" s="54">
        <f>MID(P2556,5,2)</f>
        <v/>
      </c>
      <c r="R2556" s="53">
        <f>MID(P2556,7,2)</f>
        <v/>
      </c>
      <c r="S2556" s="3" t="inlineStr">
        <is>
          <t>G2G</t>
        </is>
      </c>
      <c r="T2556" s="3" t="inlineStr">
        <is>
          <t>P4</t>
        </is>
      </c>
      <c r="U2556" s="19" t="inlineStr">
        <is>
          <t>P JB Cold Soldering</t>
        </is>
      </c>
      <c r="V2556" s="19" t="inlineStr">
        <is>
          <t>Soldering</t>
        </is>
      </c>
      <c r="W2556" s="3" t="inlineStr">
        <is>
          <t>Repair</t>
        </is>
      </c>
      <c r="X2556" s="18" t="n">
        <v>46172</v>
      </c>
      <c r="Y2556" s="73">
        <f>IF(X2556="","",X2556-A2556)</f>
        <v/>
      </c>
      <c r="Z2556" s="18" t="n">
        <v>46172</v>
      </c>
      <c r="AA2556" s="15" t="n"/>
      <c r="AB2556" s="15" t="n"/>
      <c r="AF2556">
        <f>IF(AND($F2556="Closed",$X2556&gt;=DATE(2026,5,1),$X2556&lt;=DATE(2026,5,31)),"Closed in May","Other")</f>
        <v/>
      </c>
    </row>
    <row r="2557">
      <c r="A2557" s="37" t="n">
        <v>46143</v>
      </c>
      <c r="B2557" s="3" t="n">
        <v>2026</v>
      </c>
      <c r="C2557" s="26" t="inlineStr">
        <is>
          <t>Yanara Power</t>
        </is>
      </c>
      <c r="D2557" s="3" t="inlineStr">
        <is>
          <t>Utility and C&amp;I</t>
        </is>
      </c>
      <c r="E2557" s="3" t="n"/>
      <c r="F2557" s="3" t="inlineStr">
        <is>
          <t>Closed</t>
        </is>
      </c>
      <c r="G2557" s="9" t="inlineStr">
        <is>
          <t xml:space="preserve">Ashish Jindal </t>
        </is>
      </c>
      <c r="H2557" s="26" t="n">
        <v>9983975581</v>
      </c>
      <c r="I2557" s="38" t="inlineStr">
        <is>
          <t>PE01052601</t>
        </is>
      </c>
      <c r="J2557" s="26" t="inlineStr">
        <is>
          <t>Multiple Issues</t>
        </is>
      </c>
      <c r="K2557" s="39" t="inlineStr">
        <is>
          <t>Holi</t>
        </is>
      </c>
      <c r="L2557" s="39" t="inlineStr">
        <is>
          <t>Maharashtra</t>
        </is>
      </c>
      <c r="M2557" s="9" t="inlineStr">
        <is>
          <t>PS</t>
        </is>
      </c>
      <c r="N2557" s="3" t="inlineStr">
        <is>
          <t>Cold Soldering</t>
        </is>
      </c>
      <c r="O2557" s="56" t="n">
        <v>575</v>
      </c>
      <c r="P2557" s="46" t="inlineStr">
        <is>
          <t>NSMI24070191006</t>
        </is>
      </c>
      <c r="Q2557" s="54">
        <f>MID(P2557,5,2)</f>
        <v/>
      </c>
      <c r="R2557" s="53">
        <f>MID(P2557,7,2)</f>
        <v/>
      </c>
      <c r="S2557" s="3" t="inlineStr">
        <is>
          <t>G2G</t>
        </is>
      </c>
      <c r="T2557" s="3" t="inlineStr">
        <is>
          <t>P4</t>
        </is>
      </c>
      <c r="U2557" s="19" t="inlineStr">
        <is>
          <t>P JB Cold Soldering</t>
        </is>
      </c>
      <c r="V2557" s="19" t="inlineStr">
        <is>
          <t>Soldering</t>
        </is>
      </c>
      <c r="W2557" s="3" t="inlineStr">
        <is>
          <t>Repair</t>
        </is>
      </c>
      <c r="X2557" s="18" t="n">
        <v>46172</v>
      </c>
      <c r="Y2557" s="73">
        <f>IF(X2557="","",X2557-A2557)</f>
        <v/>
      </c>
      <c r="Z2557" s="18" t="n">
        <v>46172</v>
      </c>
      <c r="AA2557" s="15" t="n"/>
      <c r="AB2557" s="15" t="n"/>
      <c r="AF2557">
        <f>IF(AND($F2557="Closed",$X2557&gt;=DATE(2026,5,1),$X2557&lt;=DATE(2026,5,31)),"Closed in May","Other")</f>
        <v/>
      </c>
    </row>
    <row r="2558">
      <c r="A2558" s="37" t="n">
        <v>46143</v>
      </c>
      <c r="B2558" s="3" t="n">
        <v>2026</v>
      </c>
      <c r="C2558" s="26" t="inlineStr">
        <is>
          <t>Yanara Power</t>
        </is>
      </c>
      <c r="D2558" s="3" t="inlineStr">
        <is>
          <t>Utility and C&amp;I</t>
        </is>
      </c>
      <c r="E2558" s="3" t="n"/>
      <c r="F2558" s="3" t="inlineStr">
        <is>
          <t>Closed</t>
        </is>
      </c>
      <c r="G2558" s="9" t="inlineStr">
        <is>
          <t xml:space="preserve">Ashish Jindal </t>
        </is>
      </c>
      <c r="H2558" s="26" t="n">
        <v>9983975581</v>
      </c>
      <c r="I2558" s="38" t="inlineStr">
        <is>
          <t>PE01052601</t>
        </is>
      </c>
      <c r="J2558" s="26" t="inlineStr">
        <is>
          <t>Multiple Issues</t>
        </is>
      </c>
      <c r="K2558" s="39" t="inlineStr">
        <is>
          <t>Holi</t>
        </is>
      </c>
      <c r="L2558" s="39" t="inlineStr">
        <is>
          <t>Maharashtra</t>
        </is>
      </c>
      <c r="M2558" s="9" t="inlineStr">
        <is>
          <t>PS</t>
        </is>
      </c>
      <c r="N2558" s="3" t="inlineStr">
        <is>
          <t>Cold Soldering</t>
        </is>
      </c>
      <c r="O2558" s="56" t="n">
        <v>575</v>
      </c>
      <c r="P2558" s="46" t="inlineStr">
        <is>
          <t>NSMI24070191032</t>
        </is>
      </c>
      <c r="Q2558" s="54">
        <f>MID(P2558,5,2)</f>
        <v/>
      </c>
      <c r="R2558" s="53">
        <f>MID(P2558,7,2)</f>
        <v/>
      </c>
      <c r="S2558" s="3" t="inlineStr">
        <is>
          <t>G2G</t>
        </is>
      </c>
      <c r="T2558" s="3" t="inlineStr">
        <is>
          <t>P4</t>
        </is>
      </c>
      <c r="U2558" s="19" t="inlineStr">
        <is>
          <t>P JB Cold Soldering</t>
        </is>
      </c>
      <c r="V2558" s="19" t="inlineStr">
        <is>
          <t>Soldering</t>
        </is>
      </c>
      <c r="W2558" s="3" t="inlineStr">
        <is>
          <t>Repair</t>
        </is>
      </c>
      <c r="X2558" s="18" t="n">
        <v>46172</v>
      </c>
      <c r="Y2558" s="73">
        <f>IF(X2558="","",X2558-A2558)</f>
        <v/>
      </c>
      <c r="Z2558" s="18" t="n">
        <v>46172</v>
      </c>
      <c r="AA2558" s="15" t="n"/>
      <c r="AB2558" s="15" t="n"/>
      <c r="AF2558">
        <f>IF(AND($F2558="Closed",$X2558&gt;=DATE(2026,5,1),$X2558&lt;=DATE(2026,5,31)),"Closed in May","Other")</f>
        <v/>
      </c>
    </row>
    <row r="2559">
      <c r="A2559" s="37" t="n">
        <v>46143</v>
      </c>
      <c r="B2559" s="3" t="n">
        <v>2026</v>
      </c>
      <c r="C2559" s="26" t="inlineStr">
        <is>
          <t>Yanara Power</t>
        </is>
      </c>
      <c r="D2559" s="3" t="inlineStr">
        <is>
          <t>Utility and C&amp;I</t>
        </is>
      </c>
      <c r="E2559" s="3" t="n"/>
      <c r="F2559" s="3" t="inlineStr">
        <is>
          <t>Closed</t>
        </is>
      </c>
      <c r="G2559" s="9" t="inlineStr">
        <is>
          <t xml:space="preserve">Ashish Jindal </t>
        </is>
      </c>
      <c r="H2559" s="26" t="n">
        <v>9983975581</v>
      </c>
      <c r="I2559" s="38" t="inlineStr">
        <is>
          <t>PE01052601</t>
        </is>
      </c>
      <c r="J2559" s="26" t="inlineStr">
        <is>
          <t>Multiple Issues</t>
        </is>
      </c>
      <c r="K2559" s="39" t="inlineStr">
        <is>
          <t>Holi</t>
        </is>
      </c>
      <c r="L2559" s="39" t="inlineStr">
        <is>
          <t>Maharashtra</t>
        </is>
      </c>
      <c r="M2559" s="9" t="inlineStr">
        <is>
          <t>PS</t>
        </is>
      </c>
      <c r="N2559" s="3" t="inlineStr">
        <is>
          <t>Cold Soldering</t>
        </is>
      </c>
      <c r="O2559" s="56" t="n">
        <v>575</v>
      </c>
      <c r="P2559" s="46" t="inlineStr">
        <is>
          <t>NSMI24070188291</t>
        </is>
      </c>
      <c r="Q2559" s="54">
        <f>MID(P2559,5,2)</f>
        <v/>
      </c>
      <c r="R2559" s="53">
        <f>MID(P2559,7,2)</f>
        <v/>
      </c>
      <c r="S2559" s="3" t="inlineStr">
        <is>
          <t>G2G</t>
        </is>
      </c>
      <c r="T2559" s="3" t="inlineStr">
        <is>
          <t>P4</t>
        </is>
      </c>
      <c r="U2559" s="19" t="inlineStr">
        <is>
          <t>P JB Cold Soldering</t>
        </is>
      </c>
      <c r="V2559" s="19" t="inlineStr">
        <is>
          <t>Soldering</t>
        </is>
      </c>
      <c r="W2559" s="3" t="inlineStr">
        <is>
          <t>Repair</t>
        </is>
      </c>
      <c r="X2559" s="18" t="n">
        <v>46172</v>
      </c>
      <c r="Y2559" s="73">
        <f>IF(X2559="","",X2559-A2559)</f>
        <v/>
      </c>
      <c r="Z2559" s="18" t="n">
        <v>46172</v>
      </c>
      <c r="AA2559" s="15" t="n"/>
      <c r="AB2559" s="15" t="n"/>
      <c r="AF2559">
        <f>IF(AND($F2559="Closed",$X2559&gt;=DATE(2026,5,1),$X2559&lt;=DATE(2026,5,31)),"Closed in May","Other")</f>
        <v/>
      </c>
    </row>
    <row r="2560">
      <c r="A2560" s="37" t="n">
        <v>46143</v>
      </c>
      <c r="B2560" s="3" t="n">
        <v>2026</v>
      </c>
      <c r="C2560" s="26" t="inlineStr">
        <is>
          <t>Yanara Power</t>
        </is>
      </c>
      <c r="D2560" s="3" t="inlineStr">
        <is>
          <t>Utility and C&amp;I</t>
        </is>
      </c>
      <c r="E2560" s="3" t="n"/>
      <c r="F2560" s="3" t="inlineStr">
        <is>
          <t>Closed</t>
        </is>
      </c>
      <c r="G2560" s="9" t="inlineStr">
        <is>
          <t xml:space="preserve">Ashish Jindal </t>
        </is>
      </c>
      <c r="H2560" s="26" t="n">
        <v>9983975581</v>
      </c>
      <c r="I2560" s="38" t="inlineStr">
        <is>
          <t>PE01052601</t>
        </is>
      </c>
      <c r="J2560" s="26" t="inlineStr">
        <is>
          <t>Multiple Issues</t>
        </is>
      </c>
      <c r="K2560" s="39" t="inlineStr">
        <is>
          <t>Holi</t>
        </is>
      </c>
      <c r="L2560" s="39" t="inlineStr">
        <is>
          <t>Maharashtra</t>
        </is>
      </c>
      <c r="M2560" s="9" t="inlineStr">
        <is>
          <t>NS</t>
        </is>
      </c>
      <c r="N2560" s="3" t="inlineStr">
        <is>
          <t>Cold Soldering</t>
        </is>
      </c>
      <c r="O2560" s="56" t="n">
        <v>575</v>
      </c>
      <c r="P2560" s="46" t="inlineStr">
        <is>
          <t>NSMI24070240292</t>
        </is>
      </c>
      <c r="Q2560" s="54">
        <f>MID(P2560,5,2)</f>
        <v/>
      </c>
      <c r="R2560" s="53">
        <f>MID(P2560,7,2)</f>
        <v/>
      </c>
      <c r="S2560" s="3" t="inlineStr">
        <is>
          <t>G2G</t>
        </is>
      </c>
      <c r="T2560" s="3" t="inlineStr">
        <is>
          <t>P4</t>
        </is>
      </c>
      <c r="U2560" s="3" t="inlineStr">
        <is>
          <t>N JB Cold Soldering</t>
        </is>
      </c>
      <c r="V2560" s="3" t="inlineStr">
        <is>
          <t>Soldering</t>
        </is>
      </c>
      <c r="W2560" s="3" t="inlineStr">
        <is>
          <t>Repair</t>
        </is>
      </c>
      <c r="X2560" s="18" t="n">
        <v>46172</v>
      </c>
      <c r="Y2560" s="73">
        <f>IF(X2560="","",X2560-A2560)</f>
        <v/>
      </c>
      <c r="Z2560" s="18" t="n">
        <v>46172</v>
      </c>
      <c r="AA2560" s="15" t="n"/>
      <c r="AB2560" s="15" t="n"/>
      <c r="AF2560">
        <f>IF(AND($F2560="Closed",$X2560&gt;=DATE(2026,5,1),$X2560&lt;=DATE(2026,5,31)),"Closed in May","Other")</f>
        <v/>
      </c>
    </row>
    <row r="2561">
      <c r="A2561" s="37" t="n">
        <v>46143</v>
      </c>
      <c r="B2561" s="3" t="n">
        <v>2026</v>
      </c>
      <c r="C2561" s="26" t="inlineStr">
        <is>
          <t>Yanara Power</t>
        </is>
      </c>
      <c r="D2561" s="3" t="inlineStr">
        <is>
          <t>Utility and C&amp;I</t>
        </is>
      </c>
      <c r="E2561" s="3" t="n"/>
      <c r="F2561" s="3" t="inlineStr">
        <is>
          <t>Closed</t>
        </is>
      </c>
      <c r="G2561" s="9" t="inlineStr">
        <is>
          <t xml:space="preserve">Ashish Jindal </t>
        </is>
      </c>
      <c r="H2561" s="26" t="n">
        <v>9983975581</v>
      </c>
      <c r="I2561" s="38" t="inlineStr">
        <is>
          <t>PE01052601</t>
        </is>
      </c>
      <c r="J2561" s="26" t="inlineStr">
        <is>
          <t>Multiple Issues</t>
        </is>
      </c>
      <c r="K2561" s="39" t="inlineStr">
        <is>
          <t>Holi</t>
        </is>
      </c>
      <c r="L2561" s="39" t="inlineStr">
        <is>
          <t>Maharashtra</t>
        </is>
      </c>
      <c r="M2561" s="9" t="inlineStr">
        <is>
          <t>PS</t>
        </is>
      </c>
      <c r="N2561" s="3" t="inlineStr">
        <is>
          <t>Cold Soldering</t>
        </is>
      </c>
      <c r="O2561" s="56" t="n">
        <v>575</v>
      </c>
      <c r="P2561" s="46" t="inlineStr">
        <is>
          <t>NSMI24070194538</t>
        </is>
      </c>
      <c r="Q2561" s="54">
        <f>MID(P2561,5,2)</f>
        <v/>
      </c>
      <c r="R2561" s="53">
        <f>MID(P2561,7,2)</f>
        <v/>
      </c>
      <c r="S2561" s="3" t="inlineStr">
        <is>
          <t>G2G</t>
        </is>
      </c>
      <c r="T2561" s="3" t="inlineStr">
        <is>
          <t>P4</t>
        </is>
      </c>
      <c r="U2561" s="19" t="inlineStr">
        <is>
          <t>P JB Cold Soldering</t>
        </is>
      </c>
      <c r="V2561" s="19" t="inlineStr">
        <is>
          <t>Soldering</t>
        </is>
      </c>
      <c r="W2561" s="3" t="inlineStr">
        <is>
          <t>Repair</t>
        </is>
      </c>
      <c r="X2561" s="18" t="n">
        <v>46172</v>
      </c>
      <c r="Y2561" s="73">
        <f>IF(X2561="","",X2561-A2561)</f>
        <v/>
      </c>
      <c r="Z2561" s="18" t="n">
        <v>46172</v>
      </c>
      <c r="AA2561" s="15" t="n"/>
      <c r="AB2561" s="15" t="n"/>
      <c r="AF2561">
        <f>IF(AND($F2561="Closed",$X2561&gt;=DATE(2026,5,1),$X2561&lt;=DATE(2026,5,31)),"Closed in May","Other")</f>
        <v/>
      </c>
    </row>
    <row r="2562">
      <c r="A2562" s="37" t="n">
        <v>46143</v>
      </c>
      <c r="B2562" s="3" t="n">
        <v>2026</v>
      </c>
      <c r="C2562" s="26" t="inlineStr">
        <is>
          <t>Yanara Power</t>
        </is>
      </c>
      <c r="D2562" s="3" t="inlineStr">
        <is>
          <t>Utility and C&amp;I</t>
        </is>
      </c>
      <c r="E2562" s="3" t="n"/>
      <c r="F2562" s="3" t="inlineStr">
        <is>
          <t>Closed</t>
        </is>
      </c>
      <c r="G2562" s="9" t="inlineStr">
        <is>
          <t xml:space="preserve">Ashish Jindal </t>
        </is>
      </c>
      <c r="H2562" s="26" t="n">
        <v>9983975581</v>
      </c>
      <c r="I2562" s="38" t="inlineStr">
        <is>
          <t>PE01052601</t>
        </is>
      </c>
      <c r="J2562" s="26" t="inlineStr">
        <is>
          <t>Multiple Issues</t>
        </is>
      </c>
      <c r="K2562" s="39" t="inlineStr">
        <is>
          <t>Holi</t>
        </is>
      </c>
      <c r="L2562" s="39" t="inlineStr">
        <is>
          <t>Maharashtra</t>
        </is>
      </c>
      <c r="M2562" s="9" t="inlineStr">
        <is>
          <t>NS</t>
        </is>
      </c>
      <c r="N2562" s="3" t="inlineStr">
        <is>
          <t>Cold Soldering</t>
        </is>
      </c>
      <c r="O2562" s="56" t="n">
        <v>575</v>
      </c>
      <c r="P2562" s="46" t="inlineStr">
        <is>
          <t>NSMI24070194491</t>
        </is>
      </c>
      <c r="Q2562" s="54">
        <f>MID(P2562,5,2)</f>
        <v/>
      </c>
      <c r="R2562" s="53">
        <f>MID(P2562,7,2)</f>
        <v/>
      </c>
      <c r="S2562" s="3" t="inlineStr">
        <is>
          <t>G2G</t>
        </is>
      </c>
      <c r="T2562" s="3" t="inlineStr">
        <is>
          <t>P4</t>
        </is>
      </c>
      <c r="U2562" s="3" t="inlineStr">
        <is>
          <t>N JB Cold Soldering</t>
        </is>
      </c>
      <c r="V2562" s="3" t="inlineStr">
        <is>
          <t>Soldering</t>
        </is>
      </c>
      <c r="W2562" s="3" t="inlineStr">
        <is>
          <t>Repair</t>
        </is>
      </c>
      <c r="X2562" s="18" t="n">
        <v>46172</v>
      </c>
      <c r="Y2562" s="73">
        <f>IF(X2562="","",X2562-A2562)</f>
        <v/>
      </c>
      <c r="Z2562" s="18" t="n">
        <v>46172</v>
      </c>
      <c r="AA2562" s="15" t="n"/>
      <c r="AB2562" s="15" t="n"/>
      <c r="AF2562">
        <f>IF(AND($F2562="Closed",$X2562&gt;=DATE(2026,5,1),$X2562&lt;=DATE(2026,5,31)),"Closed in May","Other")</f>
        <v/>
      </c>
    </row>
    <row r="2563">
      <c r="A2563" s="37" t="n">
        <v>46143</v>
      </c>
      <c r="B2563" s="3" t="n">
        <v>2026</v>
      </c>
      <c r="C2563" s="26" t="inlineStr">
        <is>
          <t>Yanara Power</t>
        </is>
      </c>
      <c r="D2563" s="3" t="inlineStr">
        <is>
          <t>Utility and C&amp;I</t>
        </is>
      </c>
      <c r="E2563" s="3" t="n"/>
      <c r="F2563" s="3" t="inlineStr">
        <is>
          <t>Closed</t>
        </is>
      </c>
      <c r="G2563" s="9" t="inlineStr">
        <is>
          <t xml:space="preserve">Ashish Jindal </t>
        </is>
      </c>
      <c r="H2563" s="26" t="n">
        <v>9983975581</v>
      </c>
      <c r="I2563" s="38" t="inlineStr">
        <is>
          <t>PE01052601</t>
        </is>
      </c>
      <c r="J2563" s="26" t="inlineStr">
        <is>
          <t>Multiple Issues</t>
        </is>
      </c>
      <c r="K2563" s="39" t="inlineStr">
        <is>
          <t>Holi</t>
        </is>
      </c>
      <c r="L2563" s="39" t="inlineStr">
        <is>
          <t>Maharashtra</t>
        </is>
      </c>
      <c r="M2563" s="9" t="inlineStr">
        <is>
          <t>NS</t>
        </is>
      </c>
      <c r="N2563" s="3" t="inlineStr">
        <is>
          <t>Cold Soldering</t>
        </is>
      </c>
      <c r="O2563" s="56" t="n">
        <v>575</v>
      </c>
      <c r="P2563" s="46" t="inlineStr">
        <is>
          <t>NSMI24070194428</t>
        </is>
      </c>
      <c r="Q2563" s="54">
        <f>MID(P2563,5,2)</f>
        <v/>
      </c>
      <c r="R2563" s="53">
        <f>MID(P2563,7,2)</f>
        <v/>
      </c>
      <c r="S2563" s="3" t="inlineStr">
        <is>
          <t>G2G</t>
        </is>
      </c>
      <c r="T2563" s="3" t="inlineStr">
        <is>
          <t>P4</t>
        </is>
      </c>
      <c r="U2563" s="3" t="inlineStr">
        <is>
          <t>N JB Cold Soldering</t>
        </is>
      </c>
      <c r="V2563" s="3" t="inlineStr">
        <is>
          <t>Soldering</t>
        </is>
      </c>
      <c r="W2563" s="3" t="inlineStr">
        <is>
          <t>Repair</t>
        </is>
      </c>
      <c r="X2563" s="18" t="n">
        <v>46172</v>
      </c>
      <c r="Y2563" s="73">
        <f>IF(X2563="","",X2563-A2563)</f>
        <v/>
      </c>
      <c r="Z2563" s="18" t="n">
        <v>46172</v>
      </c>
      <c r="AA2563" s="15" t="n"/>
      <c r="AB2563" s="15" t="n"/>
      <c r="AF2563">
        <f>IF(AND($F2563="Closed",$X2563&gt;=DATE(2026,5,1),$X2563&lt;=DATE(2026,5,31)),"Closed in May","Other")</f>
        <v/>
      </c>
    </row>
    <row r="2564">
      <c r="A2564" s="37" t="n">
        <v>46143</v>
      </c>
      <c r="B2564" s="3" t="n">
        <v>2026</v>
      </c>
      <c r="C2564" s="26" t="inlineStr">
        <is>
          <t>Yanara Power</t>
        </is>
      </c>
      <c r="D2564" s="3" t="inlineStr">
        <is>
          <t>Utility and C&amp;I</t>
        </is>
      </c>
      <c r="E2564" s="3" t="n"/>
      <c r="F2564" s="3" t="inlineStr">
        <is>
          <t>Closed</t>
        </is>
      </c>
      <c r="G2564" s="9" t="inlineStr">
        <is>
          <t xml:space="preserve">Ashish Jindal </t>
        </is>
      </c>
      <c r="H2564" s="26" t="n">
        <v>9983975581</v>
      </c>
      <c r="I2564" s="38" t="inlineStr">
        <is>
          <t>PE01052601</t>
        </is>
      </c>
      <c r="J2564" s="26" t="inlineStr">
        <is>
          <t>Multiple Issues</t>
        </is>
      </c>
      <c r="K2564" s="39" t="inlineStr">
        <is>
          <t>Holi</t>
        </is>
      </c>
      <c r="L2564" s="39" t="inlineStr">
        <is>
          <t>Maharashtra</t>
        </is>
      </c>
      <c r="M2564" s="9" t="inlineStr">
        <is>
          <t>NS</t>
        </is>
      </c>
      <c r="N2564" s="3" t="inlineStr">
        <is>
          <t>Cold Soldering</t>
        </is>
      </c>
      <c r="O2564" s="56" t="n">
        <v>575</v>
      </c>
      <c r="P2564" s="46" t="inlineStr">
        <is>
          <t>NSMI24070195872</t>
        </is>
      </c>
      <c r="Q2564" s="54">
        <f>MID(P2564,5,2)</f>
        <v/>
      </c>
      <c r="R2564" s="53">
        <f>MID(P2564,7,2)</f>
        <v/>
      </c>
      <c r="S2564" s="3" t="inlineStr">
        <is>
          <t>G2G</t>
        </is>
      </c>
      <c r="T2564" s="3" t="inlineStr">
        <is>
          <t>P4</t>
        </is>
      </c>
      <c r="U2564" s="3" t="inlineStr">
        <is>
          <t>N JB Cold Soldering</t>
        </is>
      </c>
      <c r="V2564" s="3" t="inlineStr">
        <is>
          <t>Soldering</t>
        </is>
      </c>
      <c r="W2564" s="3" t="inlineStr">
        <is>
          <t>Repair</t>
        </is>
      </c>
      <c r="X2564" s="18" t="n">
        <v>46172</v>
      </c>
      <c r="Y2564" s="73">
        <f>IF(X2564="","",X2564-A2564)</f>
        <v/>
      </c>
      <c r="Z2564" s="18" t="n">
        <v>46172</v>
      </c>
      <c r="AA2564" s="15" t="n"/>
      <c r="AB2564" s="15" t="n"/>
      <c r="AF2564">
        <f>IF(AND($F2564="Closed",$X2564&gt;=DATE(2026,5,1),$X2564&lt;=DATE(2026,5,31)),"Closed in May","Other")</f>
        <v/>
      </c>
    </row>
    <row r="2565">
      <c r="A2565" s="37" t="n">
        <v>46143</v>
      </c>
      <c r="B2565" s="3" t="n">
        <v>2026</v>
      </c>
      <c r="C2565" s="26" t="inlineStr">
        <is>
          <t>Yanara Power</t>
        </is>
      </c>
      <c r="D2565" s="3" t="inlineStr">
        <is>
          <t>Utility and C&amp;I</t>
        </is>
      </c>
      <c r="E2565" s="3" t="n"/>
      <c r="F2565" s="3" t="inlineStr">
        <is>
          <t>Closed</t>
        </is>
      </c>
      <c r="G2565" s="9" t="inlineStr">
        <is>
          <t xml:space="preserve">Ashish Jindal </t>
        </is>
      </c>
      <c r="H2565" s="26" t="n">
        <v>9983975581</v>
      </c>
      <c r="I2565" s="38" t="inlineStr">
        <is>
          <t>PE01052601</t>
        </is>
      </c>
      <c r="J2565" s="26" t="inlineStr">
        <is>
          <t>Multiple Issues</t>
        </is>
      </c>
      <c r="K2565" s="39" t="inlineStr">
        <is>
          <t>Holi</t>
        </is>
      </c>
      <c r="L2565" s="39" t="inlineStr">
        <is>
          <t>Maharashtra</t>
        </is>
      </c>
      <c r="M2565" s="9" t="inlineStr">
        <is>
          <t>NS</t>
        </is>
      </c>
      <c r="N2565" s="3" t="inlineStr">
        <is>
          <t>Cold Soldering</t>
        </is>
      </c>
      <c r="O2565" s="56" t="n">
        <v>575</v>
      </c>
      <c r="P2565" s="46" t="inlineStr">
        <is>
          <t>NSMI24070195759</t>
        </is>
      </c>
      <c r="Q2565" s="54">
        <f>MID(P2565,5,2)</f>
        <v/>
      </c>
      <c r="R2565" s="53">
        <f>MID(P2565,7,2)</f>
        <v/>
      </c>
      <c r="S2565" s="3" t="inlineStr">
        <is>
          <t>G2G</t>
        </is>
      </c>
      <c r="T2565" s="3" t="inlineStr">
        <is>
          <t>P4</t>
        </is>
      </c>
      <c r="U2565" s="3" t="inlineStr">
        <is>
          <t>N JB Cold Soldering</t>
        </is>
      </c>
      <c r="V2565" s="3" t="inlineStr">
        <is>
          <t>Soldering</t>
        </is>
      </c>
      <c r="W2565" s="3" t="inlineStr">
        <is>
          <t>Repair</t>
        </is>
      </c>
      <c r="X2565" s="18" t="n">
        <v>46172</v>
      </c>
      <c r="Y2565" s="73">
        <f>IF(X2565="","",X2565-A2565)</f>
        <v/>
      </c>
      <c r="Z2565" s="18" t="n">
        <v>46172</v>
      </c>
      <c r="AA2565" s="15" t="n"/>
      <c r="AB2565" s="15" t="n"/>
      <c r="AF2565">
        <f>IF(AND($F2565="Closed",$X2565&gt;=DATE(2026,5,1),$X2565&lt;=DATE(2026,5,31)),"Closed in May","Other")</f>
        <v/>
      </c>
    </row>
    <row r="2566">
      <c r="A2566" s="37" t="n">
        <v>46143</v>
      </c>
      <c r="B2566" s="3" t="n">
        <v>2026</v>
      </c>
      <c r="C2566" s="26" t="inlineStr">
        <is>
          <t>Yanara Power</t>
        </is>
      </c>
      <c r="D2566" s="3" t="inlineStr">
        <is>
          <t>Utility and C&amp;I</t>
        </is>
      </c>
      <c r="E2566" s="3" t="n"/>
      <c r="F2566" s="3" t="inlineStr">
        <is>
          <t>Closed</t>
        </is>
      </c>
      <c r="G2566" s="9" t="inlineStr">
        <is>
          <t xml:space="preserve">Ashish Jindal </t>
        </is>
      </c>
      <c r="H2566" s="26" t="n">
        <v>9983975581</v>
      </c>
      <c r="I2566" s="38" t="inlineStr">
        <is>
          <t>PE01052601</t>
        </is>
      </c>
      <c r="J2566" s="26" t="inlineStr">
        <is>
          <t>Multiple Issues</t>
        </is>
      </c>
      <c r="K2566" s="39" t="inlineStr">
        <is>
          <t>Holi</t>
        </is>
      </c>
      <c r="L2566" s="39" t="inlineStr">
        <is>
          <t>Maharashtra</t>
        </is>
      </c>
      <c r="M2566" s="9" t="inlineStr">
        <is>
          <t>PS</t>
        </is>
      </c>
      <c r="N2566" s="3" t="inlineStr">
        <is>
          <t>Cold Soldering</t>
        </is>
      </c>
      <c r="O2566" s="56" t="n">
        <v>575</v>
      </c>
      <c r="P2566" s="46" t="inlineStr">
        <is>
          <t>NSMI24070219307</t>
        </is>
      </c>
      <c r="Q2566" s="54">
        <f>MID(P2566,5,2)</f>
        <v/>
      </c>
      <c r="R2566" s="53">
        <f>MID(P2566,7,2)</f>
        <v/>
      </c>
      <c r="S2566" s="3" t="inlineStr">
        <is>
          <t>G2G</t>
        </is>
      </c>
      <c r="T2566" s="3" t="inlineStr">
        <is>
          <t>P4</t>
        </is>
      </c>
      <c r="U2566" s="19" t="inlineStr">
        <is>
          <t>P JB Cold Soldering</t>
        </is>
      </c>
      <c r="V2566" s="19" t="inlineStr">
        <is>
          <t>Soldering</t>
        </is>
      </c>
      <c r="W2566" s="3" t="inlineStr">
        <is>
          <t>Repair</t>
        </is>
      </c>
      <c r="X2566" s="18" t="n">
        <v>46172</v>
      </c>
      <c r="Y2566" s="73">
        <f>IF(X2566="","",X2566-A2566)</f>
        <v/>
      </c>
      <c r="Z2566" s="18" t="n">
        <v>46172</v>
      </c>
      <c r="AA2566" s="15" t="n"/>
      <c r="AB2566" s="15" t="n"/>
      <c r="AF2566">
        <f>IF(AND($F2566="Closed",$X2566&gt;=DATE(2026,5,1),$X2566&lt;=DATE(2026,5,31)),"Closed in May","Other")</f>
        <v/>
      </c>
    </row>
    <row r="2567">
      <c r="A2567" s="37" t="n">
        <v>46143</v>
      </c>
      <c r="B2567" s="3" t="n">
        <v>2026</v>
      </c>
      <c r="C2567" s="26" t="inlineStr">
        <is>
          <t>Yanara Power</t>
        </is>
      </c>
      <c r="D2567" s="3" t="inlineStr">
        <is>
          <t>Utility and C&amp;I</t>
        </is>
      </c>
      <c r="E2567" s="3" t="n"/>
      <c r="F2567" s="3" t="inlineStr">
        <is>
          <t>Closed</t>
        </is>
      </c>
      <c r="G2567" s="9" t="inlineStr">
        <is>
          <t xml:space="preserve">Ashish Jindal </t>
        </is>
      </c>
      <c r="H2567" s="26" t="n">
        <v>9983975581</v>
      </c>
      <c r="I2567" s="38" t="inlineStr">
        <is>
          <t>PE01052601</t>
        </is>
      </c>
      <c r="J2567" s="26" t="inlineStr">
        <is>
          <t>Multiple Issues</t>
        </is>
      </c>
      <c r="K2567" s="39" t="inlineStr">
        <is>
          <t>Holi</t>
        </is>
      </c>
      <c r="L2567" s="39" t="inlineStr">
        <is>
          <t>Maharashtra</t>
        </is>
      </c>
      <c r="M2567" s="9" t="inlineStr">
        <is>
          <t>PS</t>
        </is>
      </c>
      <c r="N2567" s="3" t="inlineStr">
        <is>
          <t>Cold Soldering</t>
        </is>
      </c>
      <c r="O2567" s="56" t="n">
        <v>575</v>
      </c>
      <c r="P2567" s="46" t="inlineStr">
        <is>
          <t>NSMI24070224323</t>
        </is>
      </c>
      <c r="Q2567" s="54">
        <f>MID(P2567,5,2)</f>
        <v/>
      </c>
      <c r="R2567" s="53">
        <f>MID(P2567,7,2)</f>
        <v/>
      </c>
      <c r="S2567" s="3" t="inlineStr">
        <is>
          <t>G2G</t>
        </is>
      </c>
      <c r="T2567" s="3" t="inlineStr">
        <is>
          <t>P4</t>
        </is>
      </c>
      <c r="U2567" s="19" t="inlineStr">
        <is>
          <t>P JB Cold Soldering</t>
        </is>
      </c>
      <c r="V2567" s="19" t="inlineStr">
        <is>
          <t>Soldering</t>
        </is>
      </c>
      <c r="W2567" s="3" t="inlineStr">
        <is>
          <t>Repair</t>
        </is>
      </c>
      <c r="X2567" s="18" t="n">
        <v>46172</v>
      </c>
      <c r="Y2567" s="73">
        <f>IF(X2567="","",X2567-A2567)</f>
        <v/>
      </c>
      <c r="Z2567" s="18" t="n">
        <v>46172</v>
      </c>
      <c r="AA2567" s="15" t="n"/>
      <c r="AB2567" s="15" t="n"/>
      <c r="AF2567">
        <f>IF(AND($F2567="Closed",$X2567&gt;=DATE(2026,5,1),$X2567&lt;=DATE(2026,5,31)),"Closed in May","Other")</f>
        <v/>
      </c>
    </row>
    <row r="2568">
      <c r="A2568" s="37" t="n">
        <v>46143</v>
      </c>
      <c r="B2568" s="3" t="n">
        <v>2026</v>
      </c>
      <c r="C2568" s="26" t="inlineStr">
        <is>
          <t>Yanara Power</t>
        </is>
      </c>
      <c r="D2568" s="3" t="inlineStr">
        <is>
          <t>Utility and C&amp;I</t>
        </is>
      </c>
      <c r="E2568" s="3" t="n"/>
      <c r="F2568" s="3" t="inlineStr">
        <is>
          <t>Closed</t>
        </is>
      </c>
      <c r="G2568" s="9" t="inlineStr">
        <is>
          <t xml:space="preserve">Ashish Jindal </t>
        </is>
      </c>
      <c r="H2568" s="26" t="n">
        <v>9983975581</v>
      </c>
      <c r="I2568" s="38" t="inlineStr">
        <is>
          <t>PE01052601</t>
        </is>
      </c>
      <c r="J2568" s="26" t="inlineStr">
        <is>
          <t>Multiple Issues</t>
        </is>
      </c>
      <c r="K2568" s="39" t="inlineStr">
        <is>
          <t>Holi</t>
        </is>
      </c>
      <c r="L2568" s="39" t="inlineStr">
        <is>
          <t>Maharashtra</t>
        </is>
      </c>
      <c r="M2568" s="9" t="inlineStr">
        <is>
          <t>PS</t>
        </is>
      </c>
      <c r="N2568" s="3" t="inlineStr">
        <is>
          <t>Cold Soldering</t>
        </is>
      </c>
      <c r="O2568" s="56" t="n">
        <v>575</v>
      </c>
      <c r="P2568" s="46" t="inlineStr">
        <is>
          <t>NSMI24070195836</t>
        </is>
      </c>
      <c r="Q2568" s="54">
        <f>MID(P2568,5,2)</f>
        <v/>
      </c>
      <c r="R2568" s="53">
        <f>MID(P2568,7,2)</f>
        <v/>
      </c>
      <c r="S2568" s="3" t="inlineStr">
        <is>
          <t>G2G</t>
        </is>
      </c>
      <c r="T2568" s="3" t="inlineStr">
        <is>
          <t>P4</t>
        </is>
      </c>
      <c r="U2568" s="19" t="inlineStr">
        <is>
          <t>P JB Cold Soldering</t>
        </is>
      </c>
      <c r="V2568" s="19" t="inlineStr">
        <is>
          <t>Soldering</t>
        </is>
      </c>
      <c r="W2568" s="3" t="inlineStr">
        <is>
          <t>Repair</t>
        </is>
      </c>
      <c r="X2568" s="18" t="n">
        <v>46172</v>
      </c>
      <c r="Y2568" s="73">
        <f>IF(X2568="","",X2568-A2568)</f>
        <v/>
      </c>
      <c r="Z2568" s="18" t="n">
        <v>46172</v>
      </c>
      <c r="AA2568" s="15" t="n"/>
      <c r="AB2568" s="15" t="n"/>
      <c r="AF2568">
        <f>IF(AND($F2568="Closed",$X2568&gt;=DATE(2026,5,1),$X2568&lt;=DATE(2026,5,31)),"Closed in May","Other")</f>
        <v/>
      </c>
    </row>
    <row r="2569">
      <c r="A2569" s="37" t="n">
        <v>46143</v>
      </c>
      <c r="B2569" s="3" t="n">
        <v>2026</v>
      </c>
      <c r="C2569" s="26" t="inlineStr">
        <is>
          <t>Yanara Power</t>
        </is>
      </c>
      <c r="D2569" s="3" t="inlineStr">
        <is>
          <t>Utility and C&amp;I</t>
        </is>
      </c>
      <c r="E2569" s="3" t="n"/>
      <c r="F2569" s="3" t="inlineStr">
        <is>
          <t>Closed</t>
        </is>
      </c>
      <c r="G2569" s="9" t="inlineStr">
        <is>
          <t xml:space="preserve">Ashish Jindal </t>
        </is>
      </c>
      <c r="H2569" s="26" t="n">
        <v>9983975581</v>
      </c>
      <c r="I2569" s="38" t="inlineStr">
        <is>
          <t>PE01052601</t>
        </is>
      </c>
      <c r="J2569" s="26" t="inlineStr">
        <is>
          <t>Multiple Issues</t>
        </is>
      </c>
      <c r="K2569" s="39" t="inlineStr">
        <is>
          <t>Holi</t>
        </is>
      </c>
      <c r="L2569" s="39" t="inlineStr">
        <is>
          <t>Maharashtra</t>
        </is>
      </c>
      <c r="M2569" s="9" t="inlineStr">
        <is>
          <t>PS</t>
        </is>
      </c>
      <c r="N2569" s="3" t="inlineStr">
        <is>
          <t>Cold Soldering</t>
        </is>
      </c>
      <c r="O2569" s="56" t="n">
        <v>575</v>
      </c>
      <c r="P2569" s="46" t="inlineStr">
        <is>
          <t>NSMI24070186618</t>
        </is>
      </c>
      <c r="Q2569" s="54">
        <f>MID(P2569,5,2)</f>
        <v/>
      </c>
      <c r="R2569" s="53">
        <f>MID(P2569,7,2)</f>
        <v/>
      </c>
      <c r="S2569" s="3" t="inlineStr">
        <is>
          <t>G2G</t>
        </is>
      </c>
      <c r="T2569" s="3" t="inlineStr">
        <is>
          <t>P4</t>
        </is>
      </c>
      <c r="U2569" s="19" t="inlineStr">
        <is>
          <t>P JB Cold Soldering</t>
        </is>
      </c>
      <c r="V2569" s="19" t="inlineStr">
        <is>
          <t>Soldering</t>
        </is>
      </c>
      <c r="W2569" s="3" t="inlineStr">
        <is>
          <t>Repair</t>
        </is>
      </c>
      <c r="X2569" s="18" t="n">
        <v>46172</v>
      </c>
      <c r="Y2569" s="73">
        <f>IF(X2569="","",X2569-A2569)</f>
        <v/>
      </c>
      <c r="Z2569" s="18" t="n">
        <v>46172</v>
      </c>
      <c r="AA2569" s="15" t="n"/>
      <c r="AB2569" s="15" t="n"/>
      <c r="AF2569">
        <f>IF(AND($F2569="Closed",$X2569&gt;=DATE(2026,5,1),$X2569&lt;=DATE(2026,5,31)),"Closed in May","Other")</f>
        <v/>
      </c>
    </row>
    <row r="2570">
      <c r="A2570" s="37" t="n">
        <v>46143</v>
      </c>
      <c r="B2570" s="3" t="n">
        <v>2026</v>
      </c>
      <c r="C2570" s="26" t="inlineStr">
        <is>
          <t>Yanara Power</t>
        </is>
      </c>
      <c r="D2570" s="3" t="inlineStr">
        <is>
          <t>Utility and C&amp;I</t>
        </is>
      </c>
      <c r="E2570" s="3" t="n"/>
      <c r="F2570" s="3" t="inlineStr">
        <is>
          <t>Closed</t>
        </is>
      </c>
      <c r="G2570" s="9" t="inlineStr">
        <is>
          <t xml:space="preserve">Ashish Jindal </t>
        </is>
      </c>
      <c r="H2570" s="26" t="n">
        <v>9983975581</v>
      </c>
      <c r="I2570" s="38" t="inlineStr">
        <is>
          <t>PE01052601</t>
        </is>
      </c>
      <c r="J2570" s="26" t="inlineStr">
        <is>
          <t>Multiple Issues</t>
        </is>
      </c>
      <c r="K2570" s="39" t="inlineStr">
        <is>
          <t>Holi</t>
        </is>
      </c>
      <c r="L2570" s="39" t="inlineStr">
        <is>
          <t>Maharashtra</t>
        </is>
      </c>
      <c r="M2570" s="9" t="inlineStr">
        <is>
          <t>PS</t>
        </is>
      </c>
      <c r="N2570" s="3" t="inlineStr">
        <is>
          <t>Cold Soldering</t>
        </is>
      </c>
      <c r="O2570" s="56" t="n">
        <v>575</v>
      </c>
      <c r="P2570" s="46" t="inlineStr">
        <is>
          <t>NSMI24070180069</t>
        </is>
      </c>
      <c r="Q2570" s="54">
        <f>MID(P2570,5,2)</f>
        <v/>
      </c>
      <c r="R2570" s="53">
        <f>MID(P2570,7,2)</f>
        <v/>
      </c>
      <c r="S2570" s="3" t="inlineStr">
        <is>
          <t>G2G</t>
        </is>
      </c>
      <c r="T2570" s="3" t="inlineStr">
        <is>
          <t>P4</t>
        </is>
      </c>
      <c r="U2570" s="19" t="inlineStr">
        <is>
          <t>P JB Cold Soldering</t>
        </is>
      </c>
      <c r="V2570" s="19" t="inlineStr">
        <is>
          <t>Soldering</t>
        </is>
      </c>
      <c r="W2570" s="3" t="inlineStr">
        <is>
          <t>Repair</t>
        </is>
      </c>
      <c r="X2570" s="18" t="n">
        <v>46172</v>
      </c>
      <c r="Y2570" s="73">
        <f>IF(X2570="","",X2570-A2570)</f>
        <v/>
      </c>
      <c r="Z2570" s="18" t="n">
        <v>46172</v>
      </c>
      <c r="AA2570" s="15" t="n"/>
      <c r="AB2570" s="15" t="n"/>
      <c r="AF2570">
        <f>IF(AND($F2570="Closed",$X2570&gt;=DATE(2026,5,1),$X2570&lt;=DATE(2026,5,31)),"Closed in May","Other")</f>
        <v/>
      </c>
    </row>
    <row r="2571">
      <c r="A2571" s="37" t="n">
        <v>46143</v>
      </c>
      <c r="B2571" s="3" t="n">
        <v>2026</v>
      </c>
      <c r="C2571" s="26" t="inlineStr">
        <is>
          <t>Yanara Power</t>
        </is>
      </c>
      <c r="D2571" s="3" t="inlineStr">
        <is>
          <t>Utility and C&amp;I</t>
        </is>
      </c>
      <c r="E2571" s="3" t="n"/>
      <c r="F2571" s="3" t="inlineStr">
        <is>
          <t>Closed</t>
        </is>
      </c>
      <c r="G2571" s="9" t="inlineStr">
        <is>
          <t xml:space="preserve">Ashish Jindal </t>
        </is>
      </c>
      <c r="H2571" s="26" t="n">
        <v>9983975581</v>
      </c>
      <c r="I2571" s="38" t="inlineStr">
        <is>
          <t>PE01052601</t>
        </is>
      </c>
      <c r="J2571" s="26" t="inlineStr">
        <is>
          <t>Multiple Issues</t>
        </is>
      </c>
      <c r="K2571" s="39" t="inlineStr">
        <is>
          <t>Holi</t>
        </is>
      </c>
      <c r="L2571" s="39" t="inlineStr">
        <is>
          <t>Maharashtra</t>
        </is>
      </c>
      <c r="M2571" s="9" t="inlineStr">
        <is>
          <t>PS</t>
        </is>
      </c>
      <c r="N2571" s="3" t="inlineStr">
        <is>
          <t>Cold Soldering</t>
        </is>
      </c>
      <c r="O2571" s="56" t="n">
        <v>575</v>
      </c>
      <c r="P2571" s="46" t="inlineStr">
        <is>
          <t>NSMI24070191047</t>
        </is>
      </c>
      <c r="Q2571" s="54">
        <f>MID(P2571,5,2)</f>
        <v/>
      </c>
      <c r="R2571" s="53">
        <f>MID(P2571,7,2)</f>
        <v/>
      </c>
      <c r="S2571" s="3" t="inlineStr">
        <is>
          <t>G2G</t>
        </is>
      </c>
      <c r="T2571" s="3" t="inlineStr">
        <is>
          <t>P4</t>
        </is>
      </c>
      <c r="U2571" s="19" t="inlineStr">
        <is>
          <t>P JB Cold Soldering</t>
        </is>
      </c>
      <c r="V2571" s="19" t="inlineStr">
        <is>
          <t>Soldering</t>
        </is>
      </c>
      <c r="W2571" s="3" t="inlineStr">
        <is>
          <t>Repair</t>
        </is>
      </c>
      <c r="X2571" s="18" t="n">
        <v>46172</v>
      </c>
      <c r="Y2571" s="73">
        <f>IF(X2571="","",X2571-A2571)</f>
        <v/>
      </c>
      <c r="Z2571" s="18" t="n">
        <v>46172</v>
      </c>
      <c r="AA2571" s="15" t="n"/>
      <c r="AB2571" s="15" t="n"/>
      <c r="AF2571">
        <f>IF(AND($F2571="Closed",$X2571&gt;=DATE(2026,5,1),$X2571&lt;=DATE(2026,5,31)),"Closed in May","Other")</f>
        <v/>
      </c>
    </row>
    <row r="2572">
      <c r="A2572" s="37" t="n">
        <v>46143</v>
      </c>
      <c r="B2572" s="3" t="n">
        <v>2026</v>
      </c>
      <c r="C2572" s="26" t="inlineStr">
        <is>
          <t>Yanara Power</t>
        </is>
      </c>
      <c r="D2572" s="3" t="inlineStr">
        <is>
          <t>Utility and C&amp;I</t>
        </is>
      </c>
      <c r="E2572" s="3" t="n"/>
      <c r="F2572" s="3" t="inlineStr">
        <is>
          <t>Closed</t>
        </is>
      </c>
      <c r="G2572" s="9" t="inlineStr">
        <is>
          <t xml:space="preserve">Ashish Jindal </t>
        </is>
      </c>
      <c r="H2572" s="26" t="n">
        <v>9983975581</v>
      </c>
      <c r="I2572" s="38" t="inlineStr">
        <is>
          <t>PE01052601</t>
        </is>
      </c>
      <c r="J2572" s="26" t="inlineStr">
        <is>
          <t>Multiple Issues</t>
        </is>
      </c>
      <c r="K2572" s="39" t="inlineStr">
        <is>
          <t>Holi</t>
        </is>
      </c>
      <c r="L2572" s="39" t="inlineStr">
        <is>
          <t>Maharashtra</t>
        </is>
      </c>
      <c r="M2572" s="9" t="inlineStr">
        <is>
          <t>PS</t>
        </is>
      </c>
      <c r="N2572" s="3" t="inlineStr">
        <is>
          <t>Cold Soldering</t>
        </is>
      </c>
      <c r="O2572" s="56" t="n">
        <v>575</v>
      </c>
      <c r="P2572" s="46" t="inlineStr">
        <is>
          <t>NSMI24070190977</t>
        </is>
      </c>
      <c r="Q2572" s="54">
        <f>MID(P2572,5,2)</f>
        <v/>
      </c>
      <c r="R2572" s="53">
        <f>MID(P2572,7,2)</f>
        <v/>
      </c>
      <c r="S2572" s="3" t="inlineStr">
        <is>
          <t>G2G</t>
        </is>
      </c>
      <c r="T2572" s="3" t="inlineStr">
        <is>
          <t>P4</t>
        </is>
      </c>
      <c r="U2572" s="19" t="inlineStr">
        <is>
          <t>P JB Cold Soldering</t>
        </is>
      </c>
      <c r="V2572" s="19" t="inlineStr">
        <is>
          <t>Soldering</t>
        </is>
      </c>
      <c r="W2572" s="3" t="inlineStr">
        <is>
          <t>Repair</t>
        </is>
      </c>
      <c r="X2572" s="18" t="n">
        <v>46172</v>
      </c>
      <c r="Y2572" s="73">
        <f>IF(X2572="","",X2572-A2572)</f>
        <v/>
      </c>
      <c r="Z2572" s="18" t="n">
        <v>46172</v>
      </c>
      <c r="AA2572" s="15" t="n"/>
      <c r="AB2572" s="15" t="n"/>
      <c r="AF2572">
        <f>IF(AND($F2572="Closed",$X2572&gt;=DATE(2026,5,1),$X2572&lt;=DATE(2026,5,31)),"Closed in May","Other")</f>
        <v/>
      </c>
    </row>
    <row r="2573">
      <c r="A2573" s="37" t="n">
        <v>46143</v>
      </c>
      <c r="B2573" s="3" t="n">
        <v>2026</v>
      </c>
      <c r="C2573" s="26" t="inlineStr">
        <is>
          <t>Yanara Power</t>
        </is>
      </c>
      <c r="D2573" s="3" t="inlineStr">
        <is>
          <t>Utility and C&amp;I</t>
        </is>
      </c>
      <c r="E2573" s="3" t="n"/>
      <c r="F2573" s="3" t="inlineStr">
        <is>
          <t>Closed</t>
        </is>
      </c>
      <c r="G2573" s="9" t="inlineStr">
        <is>
          <t xml:space="preserve">Ashish Jindal </t>
        </is>
      </c>
      <c r="H2573" s="26" t="n">
        <v>9983975581</v>
      </c>
      <c r="I2573" s="38" t="inlineStr">
        <is>
          <t>PE01052601</t>
        </is>
      </c>
      <c r="J2573" s="26" t="inlineStr">
        <is>
          <t>Multiple Issues</t>
        </is>
      </c>
      <c r="K2573" s="39" t="inlineStr">
        <is>
          <t>Holi</t>
        </is>
      </c>
      <c r="L2573" s="39" t="inlineStr">
        <is>
          <t>Maharashtra</t>
        </is>
      </c>
      <c r="M2573" s="9" t="inlineStr">
        <is>
          <t>PS</t>
        </is>
      </c>
      <c r="N2573" s="3" t="inlineStr">
        <is>
          <t>Cold Soldering</t>
        </is>
      </c>
      <c r="O2573" s="56" t="n">
        <v>575</v>
      </c>
      <c r="P2573" s="46" t="inlineStr">
        <is>
          <t>NSMI24070190975</t>
        </is>
      </c>
      <c r="Q2573" s="54">
        <f>MID(P2573,5,2)</f>
        <v/>
      </c>
      <c r="R2573" s="53">
        <f>MID(P2573,7,2)</f>
        <v/>
      </c>
      <c r="S2573" s="3" t="inlineStr">
        <is>
          <t>G2G</t>
        </is>
      </c>
      <c r="T2573" s="3" t="inlineStr">
        <is>
          <t>P4</t>
        </is>
      </c>
      <c r="U2573" s="19" t="inlineStr">
        <is>
          <t>P JB Cold Soldering</t>
        </is>
      </c>
      <c r="V2573" s="19" t="inlineStr">
        <is>
          <t>Soldering</t>
        </is>
      </c>
      <c r="W2573" s="3" t="inlineStr">
        <is>
          <t>Repair</t>
        </is>
      </c>
      <c r="X2573" s="18" t="n">
        <v>46172</v>
      </c>
      <c r="Y2573" s="73">
        <f>IF(X2573="","",X2573-A2573)</f>
        <v/>
      </c>
      <c r="Z2573" s="18" t="n">
        <v>46172</v>
      </c>
      <c r="AA2573" s="15" t="n"/>
      <c r="AB2573" s="15" t="n"/>
      <c r="AF2573">
        <f>IF(AND($F2573="Closed",$X2573&gt;=DATE(2026,5,1),$X2573&lt;=DATE(2026,5,31)),"Closed in May","Other")</f>
        <v/>
      </c>
    </row>
    <row r="2574">
      <c r="A2574" s="37" t="n">
        <v>46143</v>
      </c>
      <c r="B2574" s="3" t="n">
        <v>2026</v>
      </c>
      <c r="C2574" s="26" t="inlineStr">
        <is>
          <t>Yanara Power</t>
        </is>
      </c>
      <c r="D2574" s="3" t="inlineStr">
        <is>
          <t>Utility and C&amp;I</t>
        </is>
      </c>
      <c r="E2574" s="3" t="n"/>
      <c r="F2574" s="3" t="inlineStr">
        <is>
          <t>Closed</t>
        </is>
      </c>
      <c r="G2574" s="9" t="inlineStr">
        <is>
          <t xml:space="preserve">Ashish Jindal </t>
        </is>
      </c>
      <c r="H2574" s="26" t="n">
        <v>9983975581</v>
      </c>
      <c r="I2574" s="38" t="inlineStr">
        <is>
          <t>PE01052601</t>
        </is>
      </c>
      <c r="J2574" s="26" t="inlineStr">
        <is>
          <t>Multiple Issues</t>
        </is>
      </c>
      <c r="K2574" s="39" t="inlineStr">
        <is>
          <t>Holi</t>
        </is>
      </c>
      <c r="L2574" s="39" t="inlineStr">
        <is>
          <t>Maharashtra</t>
        </is>
      </c>
      <c r="M2574" s="9" t="inlineStr">
        <is>
          <t>PS</t>
        </is>
      </c>
      <c r="N2574" s="3" t="inlineStr">
        <is>
          <t>Cold Soldering</t>
        </is>
      </c>
      <c r="O2574" s="56" t="n">
        <v>575</v>
      </c>
      <c r="P2574" s="46" t="inlineStr">
        <is>
          <t>NSMI24070186623</t>
        </is>
      </c>
      <c r="Q2574" s="54">
        <f>MID(P2574,5,2)</f>
        <v/>
      </c>
      <c r="R2574" s="53">
        <f>MID(P2574,7,2)</f>
        <v/>
      </c>
      <c r="S2574" s="3" t="inlineStr">
        <is>
          <t>G2G</t>
        </is>
      </c>
      <c r="T2574" s="3" t="inlineStr">
        <is>
          <t>P4</t>
        </is>
      </c>
      <c r="U2574" s="19" t="inlineStr">
        <is>
          <t>P JB Cold Soldering</t>
        </is>
      </c>
      <c r="V2574" s="19" t="inlineStr">
        <is>
          <t>Soldering</t>
        </is>
      </c>
      <c r="W2574" s="3" t="inlineStr">
        <is>
          <t>Repair</t>
        </is>
      </c>
      <c r="X2574" s="18" t="n">
        <v>46172</v>
      </c>
      <c r="Y2574" s="73">
        <f>IF(X2574="","",X2574-A2574)</f>
        <v/>
      </c>
      <c r="Z2574" s="18" t="n">
        <v>46172</v>
      </c>
      <c r="AA2574" s="15" t="n"/>
      <c r="AB2574" s="15" t="n"/>
      <c r="AF2574">
        <f>IF(AND($F2574="Closed",$X2574&gt;=DATE(2026,5,1),$X2574&lt;=DATE(2026,5,31)),"Closed in May","Other")</f>
        <v/>
      </c>
    </row>
    <row r="2575">
      <c r="A2575" s="37" t="n">
        <v>46143</v>
      </c>
      <c r="B2575" s="3" t="n">
        <v>2026</v>
      </c>
      <c r="C2575" s="26" t="inlineStr">
        <is>
          <t>Yanara Power</t>
        </is>
      </c>
      <c r="D2575" s="3" t="inlineStr">
        <is>
          <t>Utility and C&amp;I</t>
        </is>
      </c>
      <c r="E2575" s="3" t="n"/>
      <c r="F2575" s="3" t="inlineStr">
        <is>
          <t>Closed</t>
        </is>
      </c>
      <c r="G2575" s="9" t="inlineStr">
        <is>
          <t xml:space="preserve">Ashish Jindal </t>
        </is>
      </c>
      <c r="H2575" s="26" t="n">
        <v>9983975581</v>
      </c>
      <c r="I2575" s="38" t="inlineStr">
        <is>
          <t>PE01052601</t>
        </is>
      </c>
      <c r="J2575" s="26" t="inlineStr">
        <is>
          <t>Multiple Issues</t>
        </is>
      </c>
      <c r="K2575" s="39" t="inlineStr">
        <is>
          <t>Holi</t>
        </is>
      </c>
      <c r="L2575" s="39" t="inlineStr">
        <is>
          <t>Maharashtra</t>
        </is>
      </c>
      <c r="M2575" s="9" t="inlineStr">
        <is>
          <t>NS</t>
        </is>
      </c>
      <c r="N2575" s="3" t="inlineStr">
        <is>
          <t>Cold Soldering</t>
        </is>
      </c>
      <c r="O2575" s="56" t="n">
        <v>575</v>
      </c>
      <c r="P2575" s="46" t="inlineStr">
        <is>
          <t>NSMI24070219528</t>
        </is>
      </c>
      <c r="Q2575" s="54">
        <f>MID(P2575,5,2)</f>
        <v/>
      </c>
      <c r="R2575" s="53">
        <f>MID(P2575,7,2)</f>
        <v/>
      </c>
      <c r="S2575" s="3" t="inlineStr">
        <is>
          <t>G2G</t>
        </is>
      </c>
      <c r="T2575" s="3" t="inlineStr">
        <is>
          <t>P4</t>
        </is>
      </c>
      <c r="U2575" s="3" t="inlineStr">
        <is>
          <t>N JB Cold Soldering</t>
        </is>
      </c>
      <c r="V2575" s="3" t="inlineStr">
        <is>
          <t>Soldering</t>
        </is>
      </c>
      <c r="W2575" s="3" t="inlineStr">
        <is>
          <t>Repair</t>
        </is>
      </c>
      <c r="X2575" s="18" t="n">
        <v>46172</v>
      </c>
      <c r="Y2575" s="73">
        <f>IF(X2575="","",X2575-A2575)</f>
        <v/>
      </c>
      <c r="Z2575" s="18" t="n">
        <v>46172</v>
      </c>
      <c r="AA2575" s="15" t="n"/>
      <c r="AB2575" s="15" t="n"/>
      <c r="AF2575">
        <f>IF(AND($F2575="Closed",$X2575&gt;=DATE(2026,5,1),$X2575&lt;=DATE(2026,5,31)),"Closed in May","Other")</f>
        <v/>
      </c>
    </row>
    <row r="2576">
      <c r="A2576" s="37" t="n">
        <v>46143</v>
      </c>
      <c r="B2576" s="3" t="n">
        <v>2026</v>
      </c>
      <c r="C2576" s="26" t="inlineStr">
        <is>
          <t>Yanara Power</t>
        </is>
      </c>
      <c r="D2576" s="3" t="inlineStr">
        <is>
          <t>Utility and C&amp;I</t>
        </is>
      </c>
      <c r="E2576" s="3" t="n"/>
      <c r="F2576" s="3" t="inlineStr">
        <is>
          <t>Closed</t>
        </is>
      </c>
      <c r="G2576" s="9" t="inlineStr">
        <is>
          <t xml:space="preserve">Ashish Jindal </t>
        </is>
      </c>
      <c r="H2576" s="26" t="n">
        <v>9983975581</v>
      </c>
      <c r="I2576" s="38" t="inlineStr">
        <is>
          <t>PE01052601</t>
        </is>
      </c>
      <c r="J2576" s="26" t="inlineStr">
        <is>
          <t>Multiple Issues</t>
        </is>
      </c>
      <c r="K2576" s="39" t="inlineStr">
        <is>
          <t>Holi</t>
        </is>
      </c>
      <c r="L2576" s="39" t="inlineStr">
        <is>
          <t>Maharashtra</t>
        </is>
      </c>
      <c r="M2576" s="9" t="inlineStr">
        <is>
          <t>PS</t>
        </is>
      </c>
      <c r="N2576" s="3" t="inlineStr">
        <is>
          <t>Cold Soldering</t>
        </is>
      </c>
      <c r="O2576" s="56" t="n">
        <v>575</v>
      </c>
      <c r="P2576" s="46" t="inlineStr">
        <is>
          <t>NSMI24070216809</t>
        </is>
      </c>
      <c r="Q2576" s="54">
        <f>MID(P2576,5,2)</f>
        <v/>
      </c>
      <c r="R2576" s="53">
        <f>MID(P2576,7,2)</f>
        <v/>
      </c>
      <c r="S2576" s="3" t="inlineStr">
        <is>
          <t>G2G</t>
        </is>
      </c>
      <c r="T2576" s="3" t="inlineStr">
        <is>
          <t>P4</t>
        </is>
      </c>
      <c r="U2576" s="19" t="inlineStr">
        <is>
          <t>P JB Cold Soldering</t>
        </is>
      </c>
      <c r="V2576" s="19" t="inlineStr">
        <is>
          <t>Soldering</t>
        </is>
      </c>
      <c r="W2576" s="3" t="inlineStr">
        <is>
          <t>Repair</t>
        </is>
      </c>
      <c r="X2576" s="18" t="n">
        <v>46172</v>
      </c>
      <c r="Y2576" s="73">
        <f>IF(X2576="","",X2576-A2576)</f>
        <v/>
      </c>
      <c r="Z2576" s="18" t="n">
        <v>46172</v>
      </c>
      <c r="AA2576" s="15" t="n"/>
      <c r="AB2576" s="15" t="n"/>
      <c r="AF2576">
        <f>IF(AND($F2576="Closed",$X2576&gt;=DATE(2026,5,1),$X2576&lt;=DATE(2026,5,31)),"Closed in May","Other")</f>
        <v/>
      </c>
    </row>
    <row r="2577">
      <c r="A2577" s="37" t="n">
        <v>46143</v>
      </c>
      <c r="B2577" s="3" t="n">
        <v>2026</v>
      </c>
      <c r="C2577" s="26" t="inlineStr">
        <is>
          <t>Yanara Power</t>
        </is>
      </c>
      <c r="D2577" s="3" t="inlineStr">
        <is>
          <t>Utility and C&amp;I</t>
        </is>
      </c>
      <c r="E2577" s="3" t="n"/>
      <c r="F2577" s="3" t="inlineStr">
        <is>
          <t>Closed</t>
        </is>
      </c>
      <c r="G2577" s="9" t="inlineStr">
        <is>
          <t xml:space="preserve">Ashish Jindal </t>
        </is>
      </c>
      <c r="H2577" s="26" t="n">
        <v>9983975581</v>
      </c>
      <c r="I2577" s="38" t="inlineStr">
        <is>
          <t>PE01052601</t>
        </is>
      </c>
      <c r="J2577" s="26" t="inlineStr">
        <is>
          <t>Multiple Issues</t>
        </is>
      </c>
      <c r="K2577" s="39" t="inlineStr">
        <is>
          <t>Holi</t>
        </is>
      </c>
      <c r="L2577" s="39" t="inlineStr">
        <is>
          <t>Maharashtra</t>
        </is>
      </c>
      <c r="M2577" s="9" t="inlineStr">
        <is>
          <t>NS</t>
        </is>
      </c>
      <c r="N2577" s="3" t="inlineStr">
        <is>
          <t>Cold Soldering</t>
        </is>
      </c>
      <c r="O2577" s="56" t="n">
        <v>575</v>
      </c>
      <c r="P2577" s="46" t="inlineStr">
        <is>
          <t>NSMI24070217701</t>
        </is>
      </c>
      <c r="Q2577" s="54">
        <f>MID(P2577,5,2)</f>
        <v/>
      </c>
      <c r="R2577" s="53">
        <f>MID(P2577,7,2)</f>
        <v/>
      </c>
      <c r="S2577" s="3" t="inlineStr">
        <is>
          <t>G2G</t>
        </is>
      </c>
      <c r="T2577" s="3" t="inlineStr">
        <is>
          <t>P4</t>
        </is>
      </c>
      <c r="U2577" s="3" t="inlineStr">
        <is>
          <t>N JB Cold Soldering</t>
        </is>
      </c>
      <c r="V2577" s="3" t="inlineStr">
        <is>
          <t>Soldering</t>
        </is>
      </c>
      <c r="W2577" s="3" t="inlineStr">
        <is>
          <t>Repair</t>
        </is>
      </c>
      <c r="X2577" s="18" t="n">
        <v>46172</v>
      </c>
      <c r="Y2577" s="73">
        <f>IF(X2577="","",X2577-A2577)</f>
        <v/>
      </c>
      <c r="Z2577" s="18" t="n">
        <v>46172</v>
      </c>
      <c r="AA2577" s="15" t="n"/>
      <c r="AB2577" s="15" t="n"/>
      <c r="AF2577">
        <f>IF(AND($F2577="Closed",$X2577&gt;=DATE(2026,5,1),$X2577&lt;=DATE(2026,5,31)),"Closed in May","Other")</f>
        <v/>
      </c>
    </row>
    <row r="2578">
      <c r="A2578" s="37" t="n">
        <v>46143</v>
      </c>
      <c r="B2578" s="3" t="n">
        <v>2026</v>
      </c>
      <c r="C2578" s="26" t="inlineStr">
        <is>
          <t>Yanara Power</t>
        </is>
      </c>
      <c r="D2578" s="3" t="inlineStr">
        <is>
          <t>Utility and C&amp;I</t>
        </is>
      </c>
      <c r="E2578" s="3" t="n"/>
      <c r="F2578" s="3" t="inlineStr">
        <is>
          <t>Closed</t>
        </is>
      </c>
      <c r="G2578" s="9" t="inlineStr">
        <is>
          <t xml:space="preserve">Ashish Jindal </t>
        </is>
      </c>
      <c r="H2578" s="26" t="n">
        <v>9983975581</v>
      </c>
      <c r="I2578" s="38" t="inlineStr">
        <is>
          <t>PE01052601</t>
        </is>
      </c>
      <c r="J2578" s="26" t="inlineStr">
        <is>
          <t>Multiple Issues</t>
        </is>
      </c>
      <c r="K2578" s="39" t="inlineStr">
        <is>
          <t>Holi</t>
        </is>
      </c>
      <c r="L2578" s="39" t="inlineStr">
        <is>
          <t>Maharashtra</t>
        </is>
      </c>
      <c r="M2578" s="9" t="inlineStr">
        <is>
          <t>NS</t>
        </is>
      </c>
      <c r="N2578" s="3" t="inlineStr">
        <is>
          <t>Cold Soldering</t>
        </is>
      </c>
      <c r="O2578" s="56" t="n">
        <v>575</v>
      </c>
      <c r="P2578" s="46" t="inlineStr">
        <is>
          <t>NSMI24070196137</t>
        </is>
      </c>
      <c r="Q2578" s="54">
        <f>MID(P2578,5,2)</f>
        <v/>
      </c>
      <c r="R2578" s="53">
        <f>MID(P2578,7,2)</f>
        <v/>
      </c>
      <c r="S2578" s="3" t="inlineStr">
        <is>
          <t>G2G</t>
        </is>
      </c>
      <c r="T2578" s="3" t="inlineStr">
        <is>
          <t>P4</t>
        </is>
      </c>
      <c r="U2578" s="3" t="inlineStr">
        <is>
          <t>N JB Cold Soldering</t>
        </is>
      </c>
      <c r="V2578" s="3" t="inlineStr">
        <is>
          <t>Soldering</t>
        </is>
      </c>
      <c r="W2578" s="3" t="inlineStr">
        <is>
          <t>Repair</t>
        </is>
      </c>
      <c r="X2578" s="18" t="n">
        <v>46172</v>
      </c>
      <c r="Y2578" s="73">
        <f>IF(X2578="","",X2578-A2578)</f>
        <v/>
      </c>
      <c r="Z2578" s="18" t="n">
        <v>46172</v>
      </c>
      <c r="AA2578" s="15" t="n"/>
      <c r="AB2578" s="15" t="n"/>
      <c r="AF2578">
        <f>IF(AND($F2578="Closed",$X2578&gt;=DATE(2026,5,1),$X2578&lt;=DATE(2026,5,31)),"Closed in May","Other")</f>
        <v/>
      </c>
    </row>
    <row r="2579">
      <c r="A2579" s="37" t="n">
        <v>46143</v>
      </c>
      <c r="B2579" s="3" t="n">
        <v>2026</v>
      </c>
      <c r="C2579" s="26" t="inlineStr">
        <is>
          <t>Yanara Power</t>
        </is>
      </c>
      <c r="D2579" s="3" t="inlineStr">
        <is>
          <t>Utility and C&amp;I</t>
        </is>
      </c>
      <c r="E2579" s="3" t="n"/>
      <c r="F2579" s="3" t="inlineStr">
        <is>
          <t>Closed</t>
        </is>
      </c>
      <c r="G2579" s="9" t="inlineStr">
        <is>
          <t xml:space="preserve">Ashish Jindal </t>
        </is>
      </c>
      <c r="H2579" s="26" t="n">
        <v>9983975581</v>
      </c>
      <c r="I2579" s="38" t="inlineStr">
        <is>
          <t>PE01052601</t>
        </is>
      </c>
      <c r="J2579" s="26" t="inlineStr">
        <is>
          <t>Multiple Issues</t>
        </is>
      </c>
      <c r="K2579" s="39" t="inlineStr">
        <is>
          <t>Holi</t>
        </is>
      </c>
      <c r="L2579" s="39" t="inlineStr">
        <is>
          <t>Maharashtra</t>
        </is>
      </c>
      <c r="M2579" s="9" t="inlineStr">
        <is>
          <t>NS</t>
        </is>
      </c>
      <c r="N2579" s="3" t="inlineStr">
        <is>
          <t>Cold Soldering</t>
        </is>
      </c>
      <c r="O2579" s="56" t="n">
        <v>575</v>
      </c>
      <c r="P2579" s="46" t="inlineStr">
        <is>
          <t>NSMI24070204533</t>
        </is>
      </c>
      <c r="Q2579" s="54">
        <f>MID(P2579,5,2)</f>
        <v/>
      </c>
      <c r="R2579" s="53">
        <f>MID(P2579,7,2)</f>
        <v/>
      </c>
      <c r="S2579" s="3" t="inlineStr">
        <is>
          <t>G2G</t>
        </is>
      </c>
      <c r="T2579" s="3" t="inlineStr">
        <is>
          <t>P4</t>
        </is>
      </c>
      <c r="U2579" s="3" t="inlineStr">
        <is>
          <t>N JB Cold Soldering</t>
        </is>
      </c>
      <c r="V2579" s="3" t="inlineStr">
        <is>
          <t>Soldering</t>
        </is>
      </c>
      <c r="W2579" s="3" t="inlineStr">
        <is>
          <t>Repair</t>
        </is>
      </c>
      <c r="X2579" s="18" t="n">
        <v>46172</v>
      </c>
      <c r="Y2579" s="73">
        <f>IF(X2579="","",X2579-A2579)</f>
        <v/>
      </c>
      <c r="Z2579" s="18" t="n">
        <v>46172</v>
      </c>
      <c r="AA2579" s="15" t="n"/>
      <c r="AB2579" s="15" t="n"/>
      <c r="AF2579">
        <f>IF(AND($F2579="Closed",$X2579&gt;=DATE(2026,5,1),$X2579&lt;=DATE(2026,5,31)),"Closed in May","Other")</f>
        <v/>
      </c>
    </row>
    <row r="2580">
      <c r="A2580" s="37" t="n">
        <v>46143</v>
      </c>
      <c r="B2580" s="3" t="n">
        <v>2026</v>
      </c>
      <c r="C2580" s="26" t="inlineStr">
        <is>
          <t>Yanara Power</t>
        </is>
      </c>
      <c r="D2580" s="3" t="inlineStr">
        <is>
          <t>Utility and C&amp;I</t>
        </is>
      </c>
      <c r="E2580" s="3" t="n"/>
      <c r="F2580" s="3" t="inlineStr">
        <is>
          <t>Closed</t>
        </is>
      </c>
      <c r="G2580" s="9" t="inlineStr">
        <is>
          <t xml:space="preserve">Ashish Jindal </t>
        </is>
      </c>
      <c r="H2580" s="26" t="n">
        <v>9983975581</v>
      </c>
      <c r="I2580" s="38" t="inlineStr">
        <is>
          <t>PE01052601</t>
        </is>
      </c>
      <c r="J2580" s="26" t="inlineStr">
        <is>
          <t>Multiple Issues</t>
        </is>
      </c>
      <c r="K2580" s="39" t="inlineStr">
        <is>
          <t>Holi</t>
        </is>
      </c>
      <c r="L2580" s="39" t="inlineStr">
        <is>
          <t>Maharashtra</t>
        </is>
      </c>
      <c r="M2580" s="9" t="inlineStr">
        <is>
          <t>PS</t>
        </is>
      </c>
      <c r="N2580" s="3" t="inlineStr">
        <is>
          <t>Cold Soldering</t>
        </is>
      </c>
      <c r="O2580" s="56" t="n">
        <v>575</v>
      </c>
      <c r="P2580" s="46" t="inlineStr">
        <is>
          <t>NSMI24070190448</t>
        </is>
      </c>
      <c r="Q2580" s="54">
        <f>MID(P2580,5,2)</f>
        <v/>
      </c>
      <c r="R2580" s="53">
        <f>MID(P2580,7,2)</f>
        <v/>
      </c>
      <c r="S2580" s="3" t="inlineStr">
        <is>
          <t>G2G</t>
        </is>
      </c>
      <c r="T2580" s="3" t="inlineStr">
        <is>
          <t>P4</t>
        </is>
      </c>
      <c r="U2580" s="19" t="inlineStr">
        <is>
          <t>P JB Cold Soldering</t>
        </is>
      </c>
      <c r="V2580" s="19" t="inlineStr">
        <is>
          <t>Soldering</t>
        </is>
      </c>
      <c r="W2580" s="3" t="inlineStr">
        <is>
          <t>Repair</t>
        </is>
      </c>
      <c r="X2580" s="18" t="n">
        <v>46172</v>
      </c>
      <c r="Y2580" s="73">
        <f>IF(X2580="","",X2580-A2580)</f>
        <v/>
      </c>
      <c r="Z2580" s="18" t="n">
        <v>46172</v>
      </c>
      <c r="AA2580" s="15" t="n"/>
      <c r="AB2580" s="15" t="n"/>
      <c r="AF2580">
        <f>IF(AND($F2580="Closed",$X2580&gt;=DATE(2026,5,1),$X2580&lt;=DATE(2026,5,31)),"Closed in May","Other")</f>
        <v/>
      </c>
    </row>
    <row r="2581">
      <c r="A2581" s="37" t="n">
        <v>46143</v>
      </c>
      <c r="B2581" s="3" t="n">
        <v>2026</v>
      </c>
      <c r="C2581" s="26" t="inlineStr">
        <is>
          <t>Yanara Power</t>
        </is>
      </c>
      <c r="D2581" s="3" t="inlineStr">
        <is>
          <t>Utility and C&amp;I</t>
        </is>
      </c>
      <c r="E2581" s="3" t="n"/>
      <c r="F2581" s="3" t="inlineStr">
        <is>
          <t>Closed</t>
        </is>
      </c>
      <c r="G2581" s="9" t="inlineStr">
        <is>
          <t xml:space="preserve">Ashish Jindal </t>
        </is>
      </c>
      <c r="H2581" s="26" t="n">
        <v>9983975581</v>
      </c>
      <c r="I2581" s="38" t="inlineStr">
        <is>
          <t>PE01052601</t>
        </is>
      </c>
      <c r="J2581" s="26" t="inlineStr">
        <is>
          <t>Multiple Issues</t>
        </is>
      </c>
      <c r="K2581" s="39" t="inlineStr">
        <is>
          <t>Holi</t>
        </is>
      </c>
      <c r="L2581" s="39" t="inlineStr">
        <is>
          <t>Maharashtra</t>
        </is>
      </c>
      <c r="M2581" s="9" t="inlineStr">
        <is>
          <t>PS</t>
        </is>
      </c>
      <c r="N2581" s="3" t="inlineStr">
        <is>
          <t>Cold Soldering</t>
        </is>
      </c>
      <c r="O2581" s="56" t="n">
        <v>575</v>
      </c>
      <c r="P2581" s="46" t="inlineStr">
        <is>
          <t>NSMI24070190452</t>
        </is>
      </c>
      <c r="Q2581" s="54">
        <f>MID(P2581,5,2)</f>
        <v/>
      </c>
      <c r="R2581" s="53">
        <f>MID(P2581,7,2)</f>
        <v/>
      </c>
      <c r="S2581" s="3" t="inlineStr">
        <is>
          <t>G2G</t>
        </is>
      </c>
      <c r="T2581" s="3" t="inlineStr">
        <is>
          <t>P4</t>
        </is>
      </c>
      <c r="U2581" s="19" t="inlineStr">
        <is>
          <t>P JB Cold Soldering</t>
        </is>
      </c>
      <c r="V2581" s="19" t="inlineStr">
        <is>
          <t>Soldering</t>
        </is>
      </c>
      <c r="W2581" s="3" t="inlineStr">
        <is>
          <t>Repair</t>
        </is>
      </c>
      <c r="X2581" s="18" t="n">
        <v>46172</v>
      </c>
      <c r="Y2581" s="73">
        <f>IF(X2581="","",X2581-A2581)</f>
        <v/>
      </c>
      <c r="Z2581" s="18" t="n">
        <v>46172</v>
      </c>
      <c r="AA2581" s="15" t="n"/>
      <c r="AB2581" s="15" t="n"/>
      <c r="AF2581">
        <f>IF(AND($F2581="Closed",$X2581&gt;=DATE(2026,5,1),$X2581&lt;=DATE(2026,5,31)),"Closed in May","Other")</f>
        <v/>
      </c>
    </row>
    <row r="2582">
      <c r="A2582" s="37" t="n">
        <v>46143</v>
      </c>
      <c r="B2582" s="3" t="n">
        <v>2026</v>
      </c>
      <c r="C2582" s="26" t="inlineStr">
        <is>
          <t>Yanara Power</t>
        </is>
      </c>
      <c r="D2582" s="3" t="inlineStr">
        <is>
          <t>Utility and C&amp;I</t>
        </is>
      </c>
      <c r="E2582" s="3" t="n"/>
      <c r="F2582" s="3" t="inlineStr">
        <is>
          <t>Closed</t>
        </is>
      </c>
      <c r="G2582" s="9" t="inlineStr">
        <is>
          <t xml:space="preserve">Ashish Jindal </t>
        </is>
      </c>
      <c r="H2582" s="26" t="n">
        <v>9983975581</v>
      </c>
      <c r="I2582" s="38" t="inlineStr">
        <is>
          <t>PE01052601</t>
        </is>
      </c>
      <c r="J2582" s="26" t="inlineStr">
        <is>
          <t>Multiple Issues</t>
        </is>
      </c>
      <c r="K2582" s="39" t="inlineStr">
        <is>
          <t>Holi</t>
        </is>
      </c>
      <c r="L2582" s="39" t="inlineStr">
        <is>
          <t>Maharashtra</t>
        </is>
      </c>
      <c r="M2582" s="9" t="inlineStr">
        <is>
          <t>PNS</t>
        </is>
      </c>
      <c r="N2582" s="3" t="inlineStr">
        <is>
          <t>Cold Soldering</t>
        </is>
      </c>
      <c r="O2582" s="56" t="n">
        <v>575</v>
      </c>
      <c r="P2582" s="46" t="inlineStr">
        <is>
          <t>NSMI24070202969</t>
        </is>
      </c>
      <c r="Q2582" s="54">
        <f>MID(P2582,5,2)</f>
        <v/>
      </c>
      <c r="R2582" s="53">
        <f>MID(P2582,7,2)</f>
        <v/>
      </c>
      <c r="S2582" s="3" t="inlineStr">
        <is>
          <t>G2G</t>
        </is>
      </c>
      <c r="T2582" s="3" t="inlineStr">
        <is>
          <t>P4</t>
        </is>
      </c>
      <c r="U2582" s="3" t="inlineStr">
        <is>
          <t>P &amp; N JB Cold Soldering</t>
        </is>
      </c>
      <c r="V2582" s="3" t="inlineStr">
        <is>
          <t>Soldering</t>
        </is>
      </c>
      <c r="W2582" s="3" t="inlineStr">
        <is>
          <t>Repair</t>
        </is>
      </c>
      <c r="X2582" s="18" t="n">
        <v>46172</v>
      </c>
      <c r="Y2582" s="73">
        <f>IF(X2582="","",X2582-A2582)</f>
        <v/>
      </c>
      <c r="Z2582" s="18" t="n">
        <v>46172</v>
      </c>
      <c r="AA2582" s="15" t="n"/>
      <c r="AB2582" s="15" t="n"/>
      <c r="AF2582">
        <f>IF(AND($F2582="Closed",$X2582&gt;=DATE(2026,5,1),$X2582&lt;=DATE(2026,5,31)),"Closed in May","Other")</f>
        <v/>
      </c>
    </row>
    <row r="2583">
      <c r="A2583" s="37" t="n">
        <v>46143</v>
      </c>
      <c r="B2583" s="3" t="n">
        <v>2026</v>
      </c>
      <c r="C2583" s="26" t="inlineStr">
        <is>
          <t>Yanara Power</t>
        </is>
      </c>
      <c r="D2583" s="3" t="inlineStr">
        <is>
          <t>Utility and C&amp;I</t>
        </is>
      </c>
      <c r="E2583" s="3" t="n"/>
      <c r="F2583" s="3" t="inlineStr">
        <is>
          <t>Closed</t>
        </is>
      </c>
      <c r="G2583" s="9" t="inlineStr">
        <is>
          <t xml:space="preserve">Ashish Jindal </t>
        </is>
      </c>
      <c r="H2583" s="26" t="n">
        <v>9983975581</v>
      </c>
      <c r="I2583" s="38" t="inlineStr">
        <is>
          <t>PE01052601</t>
        </is>
      </c>
      <c r="J2583" s="26" t="inlineStr">
        <is>
          <t>Multiple Issues</t>
        </is>
      </c>
      <c r="K2583" s="39" t="inlineStr">
        <is>
          <t>Holi</t>
        </is>
      </c>
      <c r="L2583" s="39" t="inlineStr">
        <is>
          <t>Maharashtra</t>
        </is>
      </c>
      <c r="M2583" s="9" t="inlineStr">
        <is>
          <t>NS</t>
        </is>
      </c>
      <c r="N2583" s="3" t="inlineStr">
        <is>
          <t>Cold Soldering</t>
        </is>
      </c>
      <c r="O2583" s="56" t="n">
        <v>575</v>
      </c>
      <c r="P2583" s="46" t="inlineStr">
        <is>
          <t>NSMI24070221431</t>
        </is>
      </c>
      <c r="Q2583" s="54">
        <f>MID(P2583,5,2)</f>
        <v/>
      </c>
      <c r="R2583" s="53">
        <f>MID(P2583,7,2)</f>
        <v/>
      </c>
      <c r="S2583" s="3" t="inlineStr">
        <is>
          <t>G2G</t>
        </is>
      </c>
      <c r="T2583" s="3" t="inlineStr">
        <is>
          <t>P4</t>
        </is>
      </c>
      <c r="U2583" s="3" t="inlineStr">
        <is>
          <t>N JB Cold Soldering</t>
        </is>
      </c>
      <c r="V2583" s="3" t="inlineStr">
        <is>
          <t>Soldering</t>
        </is>
      </c>
      <c r="W2583" s="3" t="inlineStr">
        <is>
          <t>Repair</t>
        </is>
      </c>
      <c r="X2583" s="18" t="n">
        <v>46172</v>
      </c>
      <c r="Y2583" s="73">
        <f>IF(X2583="","",X2583-A2583)</f>
        <v/>
      </c>
      <c r="Z2583" s="18" t="n">
        <v>46172</v>
      </c>
      <c r="AA2583" s="15" t="n"/>
      <c r="AB2583" s="15" t="n"/>
      <c r="AF2583">
        <f>IF(AND($F2583="Closed",$X2583&gt;=DATE(2026,5,1),$X2583&lt;=DATE(2026,5,31)),"Closed in May","Other")</f>
        <v/>
      </c>
    </row>
    <row r="2584">
      <c r="A2584" s="37" t="n">
        <v>46143</v>
      </c>
      <c r="B2584" s="3" t="n">
        <v>2026</v>
      </c>
      <c r="C2584" s="26" t="inlineStr">
        <is>
          <t>Yanara Power</t>
        </is>
      </c>
      <c r="D2584" s="3" t="inlineStr">
        <is>
          <t>Utility and C&amp;I</t>
        </is>
      </c>
      <c r="E2584" s="3" t="n"/>
      <c r="F2584" s="3" t="inlineStr">
        <is>
          <t>Closed</t>
        </is>
      </c>
      <c r="G2584" s="9" t="inlineStr">
        <is>
          <t xml:space="preserve">Ashish Jindal </t>
        </is>
      </c>
      <c r="H2584" s="26" t="n">
        <v>9983975581</v>
      </c>
      <c r="I2584" s="38" t="inlineStr">
        <is>
          <t>PE01052601</t>
        </is>
      </c>
      <c r="J2584" s="26" t="inlineStr">
        <is>
          <t>Multiple Issues</t>
        </is>
      </c>
      <c r="K2584" s="39" t="inlineStr">
        <is>
          <t>Holi</t>
        </is>
      </c>
      <c r="L2584" s="39" t="inlineStr">
        <is>
          <t>Maharashtra</t>
        </is>
      </c>
      <c r="M2584" s="9" t="inlineStr">
        <is>
          <t>NS</t>
        </is>
      </c>
      <c r="N2584" s="3" t="inlineStr">
        <is>
          <t>Cold Soldering</t>
        </is>
      </c>
      <c r="O2584" s="56" t="n">
        <v>575</v>
      </c>
      <c r="P2584" s="46" t="inlineStr">
        <is>
          <t>NSMI24070221506</t>
        </is>
      </c>
      <c r="Q2584" s="54">
        <f>MID(P2584,5,2)</f>
        <v/>
      </c>
      <c r="R2584" s="53">
        <f>MID(P2584,7,2)</f>
        <v/>
      </c>
      <c r="S2584" s="3" t="inlineStr">
        <is>
          <t>G2G</t>
        </is>
      </c>
      <c r="T2584" s="3" t="inlineStr">
        <is>
          <t>P4</t>
        </is>
      </c>
      <c r="U2584" s="3" t="inlineStr">
        <is>
          <t>N JB Cold Soldering</t>
        </is>
      </c>
      <c r="V2584" s="3" t="inlineStr">
        <is>
          <t>Soldering</t>
        </is>
      </c>
      <c r="W2584" s="3" t="inlineStr">
        <is>
          <t>Repair</t>
        </is>
      </c>
      <c r="X2584" s="18" t="n">
        <v>46172</v>
      </c>
      <c r="Y2584" s="73">
        <f>IF(X2584="","",X2584-A2584)</f>
        <v/>
      </c>
      <c r="Z2584" s="18" t="n">
        <v>46172</v>
      </c>
      <c r="AA2584" s="15" t="n"/>
      <c r="AB2584" s="15" t="n"/>
      <c r="AF2584">
        <f>IF(AND($F2584="Closed",$X2584&gt;=DATE(2026,5,1),$X2584&lt;=DATE(2026,5,31)),"Closed in May","Other")</f>
        <v/>
      </c>
    </row>
    <row r="2585">
      <c r="A2585" s="37" t="n">
        <v>46143</v>
      </c>
      <c r="B2585" s="3" t="n">
        <v>2026</v>
      </c>
      <c r="C2585" s="26" t="inlineStr">
        <is>
          <t>Yanara Power</t>
        </is>
      </c>
      <c r="D2585" s="3" t="inlineStr">
        <is>
          <t>Utility and C&amp;I</t>
        </is>
      </c>
      <c r="E2585" s="3" t="n"/>
      <c r="F2585" s="3" t="inlineStr">
        <is>
          <t>Closed</t>
        </is>
      </c>
      <c r="G2585" s="9" t="inlineStr">
        <is>
          <t xml:space="preserve">Ashish Jindal </t>
        </is>
      </c>
      <c r="H2585" s="26" t="n">
        <v>9983975581</v>
      </c>
      <c r="I2585" s="38" t="inlineStr">
        <is>
          <t>PE01052601</t>
        </is>
      </c>
      <c r="J2585" s="26" t="inlineStr">
        <is>
          <t>Multiple Issues</t>
        </is>
      </c>
      <c r="K2585" s="39" t="inlineStr">
        <is>
          <t>Holi</t>
        </is>
      </c>
      <c r="L2585" s="39" t="inlineStr">
        <is>
          <t>Maharashtra</t>
        </is>
      </c>
      <c r="M2585" s="9" t="inlineStr">
        <is>
          <t>NS</t>
        </is>
      </c>
      <c r="N2585" s="3" t="inlineStr">
        <is>
          <t>Cold Soldering</t>
        </is>
      </c>
      <c r="O2585" s="56" t="n">
        <v>575</v>
      </c>
      <c r="P2585" s="46" t="inlineStr">
        <is>
          <t>NSMI24070221543</t>
        </is>
      </c>
      <c r="Q2585" s="54">
        <f>MID(P2585,5,2)</f>
        <v/>
      </c>
      <c r="R2585" s="53">
        <f>MID(P2585,7,2)</f>
        <v/>
      </c>
      <c r="S2585" s="3" t="inlineStr">
        <is>
          <t>G2G</t>
        </is>
      </c>
      <c r="T2585" s="3" t="inlineStr">
        <is>
          <t>P4</t>
        </is>
      </c>
      <c r="U2585" s="3" t="inlineStr">
        <is>
          <t>N JB Cold Soldering</t>
        </is>
      </c>
      <c r="V2585" s="3" t="inlineStr">
        <is>
          <t>Soldering</t>
        </is>
      </c>
      <c r="W2585" s="3" t="inlineStr">
        <is>
          <t>Repair</t>
        </is>
      </c>
      <c r="X2585" s="18" t="n">
        <v>46172</v>
      </c>
      <c r="Y2585" s="73">
        <f>IF(X2585="","",X2585-A2585)</f>
        <v/>
      </c>
      <c r="Z2585" s="18" t="n">
        <v>46172</v>
      </c>
      <c r="AA2585" s="15" t="n"/>
      <c r="AB2585" s="15" t="n"/>
      <c r="AF2585">
        <f>IF(AND($F2585="Closed",$X2585&gt;=DATE(2026,5,1),$X2585&lt;=DATE(2026,5,31)),"Closed in May","Other")</f>
        <v/>
      </c>
    </row>
    <row r="2586">
      <c r="A2586" s="37" t="n">
        <v>46143</v>
      </c>
      <c r="B2586" s="3" t="n">
        <v>2026</v>
      </c>
      <c r="C2586" s="26" t="inlineStr">
        <is>
          <t>Yanara Power</t>
        </is>
      </c>
      <c r="D2586" s="3" t="inlineStr">
        <is>
          <t>Utility and C&amp;I</t>
        </is>
      </c>
      <c r="E2586" s="3" t="n"/>
      <c r="F2586" s="3" t="inlineStr">
        <is>
          <t>Closed</t>
        </is>
      </c>
      <c r="G2586" s="9" t="inlineStr">
        <is>
          <t xml:space="preserve">Ashish Jindal </t>
        </is>
      </c>
      <c r="H2586" s="26" t="n">
        <v>9983975581</v>
      </c>
      <c r="I2586" s="38" t="inlineStr">
        <is>
          <t>PE01052601</t>
        </is>
      </c>
      <c r="J2586" s="26" t="inlineStr">
        <is>
          <t>Multiple Issues</t>
        </is>
      </c>
      <c r="K2586" s="39" t="inlineStr">
        <is>
          <t>Holi</t>
        </is>
      </c>
      <c r="L2586" s="39" t="inlineStr">
        <is>
          <t>Maharashtra</t>
        </is>
      </c>
      <c r="M2586" s="9" t="inlineStr">
        <is>
          <t>NS</t>
        </is>
      </c>
      <c r="N2586" s="3" t="inlineStr">
        <is>
          <t>Cold Soldering</t>
        </is>
      </c>
      <c r="O2586" s="56" t="n">
        <v>575</v>
      </c>
      <c r="P2586" s="46" t="inlineStr">
        <is>
          <t>NSMI24070165886</t>
        </is>
      </c>
      <c r="Q2586" s="54">
        <f>MID(P2586,5,2)</f>
        <v/>
      </c>
      <c r="R2586" s="53">
        <f>MID(P2586,7,2)</f>
        <v/>
      </c>
      <c r="S2586" s="3" t="inlineStr">
        <is>
          <t>G2G</t>
        </is>
      </c>
      <c r="T2586" s="3" t="inlineStr">
        <is>
          <t>P4</t>
        </is>
      </c>
      <c r="U2586" s="3" t="inlineStr">
        <is>
          <t>N JB Cold Soldering</t>
        </is>
      </c>
      <c r="V2586" s="3" t="inlineStr">
        <is>
          <t>Soldering</t>
        </is>
      </c>
      <c r="W2586" s="3" t="inlineStr">
        <is>
          <t>Repair</t>
        </is>
      </c>
      <c r="X2586" s="18" t="n">
        <v>46172</v>
      </c>
      <c r="Y2586" s="73">
        <f>IF(X2586="","",X2586-A2586)</f>
        <v/>
      </c>
      <c r="Z2586" s="18" t="n">
        <v>46172</v>
      </c>
      <c r="AA2586" s="15" t="n"/>
      <c r="AB2586" s="15" t="n"/>
      <c r="AF2586">
        <f>IF(AND($F2586="Closed",$X2586&gt;=DATE(2026,5,1),$X2586&lt;=DATE(2026,5,31)),"Closed in May","Other")</f>
        <v/>
      </c>
    </row>
    <row r="2587">
      <c r="A2587" s="37" t="n">
        <v>46143</v>
      </c>
      <c r="B2587" s="3" t="n">
        <v>2026</v>
      </c>
      <c r="C2587" s="26" t="inlineStr">
        <is>
          <t>Yanara Power</t>
        </is>
      </c>
      <c r="D2587" s="3" t="inlineStr">
        <is>
          <t>Utility and C&amp;I</t>
        </is>
      </c>
      <c r="E2587" s="3" t="n"/>
      <c r="F2587" s="3" t="inlineStr">
        <is>
          <t>Closed</t>
        </is>
      </c>
      <c r="G2587" s="9" t="inlineStr">
        <is>
          <t xml:space="preserve">Ashish Jindal </t>
        </is>
      </c>
      <c r="H2587" s="26" t="n">
        <v>9983975581</v>
      </c>
      <c r="I2587" s="38" t="inlineStr">
        <is>
          <t>PE01052601</t>
        </is>
      </c>
      <c r="J2587" s="26" t="inlineStr">
        <is>
          <t>Multiple Issues</t>
        </is>
      </c>
      <c r="K2587" s="39" t="inlineStr">
        <is>
          <t>Holi</t>
        </is>
      </c>
      <c r="L2587" s="39" t="inlineStr">
        <is>
          <t>Maharashtra</t>
        </is>
      </c>
      <c r="M2587" s="9" t="inlineStr">
        <is>
          <t>PS</t>
        </is>
      </c>
      <c r="N2587" s="3" t="inlineStr">
        <is>
          <t>Cold Soldering</t>
        </is>
      </c>
      <c r="O2587" s="56" t="n">
        <v>575</v>
      </c>
      <c r="P2587" s="46" t="inlineStr">
        <is>
          <t>NSMI24070183949</t>
        </is>
      </c>
      <c r="Q2587" s="54">
        <f>MID(P2587,5,2)</f>
        <v/>
      </c>
      <c r="R2587" s="53">
        <f>MID(P2587,7,2)</f>
        <v/>
      </c>
      <c r="S2587" s="3" t="inlineStr">
        <is>
          <t>G2G</t>
        </is>
      </c>
      <c r="T2587" s="3" t="inlineStr">
        <is>
          <t>P4</t>
        </is>
      </c>
      <c r="U2587" s="19" t="inlineStr">
        <is>
          <t>P JB Cold Soldering</t>
        </is>
      </c>
      <c r="V2587" s="19" t="inlineStr">
        <is>
          <t>Soldering</t>
        </is>
      </c>
      <c r="W2587" s="3" t="inlineStr">
        <is>
          <t>Repair</t>
        </is>
      </c>
      <c r="X2587" s="18" t="n">
        <v>46172</v>
      </c>
      <c r="Y2587" s="73">
        <f>IF(X2587="","",X2587-A2587)</f>
        <v/>
      </c>
      <c r="Z2587" s="18" t="n">
        <v>46172</v>
      </c>
      <c r="AA2587" s="15" t="n"/>
      <c r="AB2587" s="15" t="n"/>
      <c r="AF2587">
        <f>IF(AND($F2587="Closed",$X2587&gt;=DATE(2026,5,1),$X2587&lt;=DATE(2026,5,31)),"Closed in May","Other")</f>
        <v/>
      </c>
    </row>
    <row r="2588">
      <c r="A2588" s="37" t="n">
        <v>46143</v>
      </c>
      <c r="B2588" s="3" t="n">
        <v>2026</v>
      </c>
      <c r="C2588" s="26" t="inlineStr">
        <is>
          <t>Yanara Power</t>
        </is>
      </c>
      <c r="D2588" s="3" t="inlineStr">
        <is>
          <t>Utility and C&amp;I</t>
        </is>
      </c>
      <c r="E2588" s="3" t="n"/>
      <c r="F2588" s="3" t="inlineStr">
        <is>
          <t>Closed</t>
        </is>
      </c>
      <c r="G2588" s="9" t="inlineStr">
        <is>
          <t xml:space="preserve">Ashish Jindal </t>
        </is>
      </c>
      <c r="H2588" s="26" t="n">
        <v>9983975581</v>
      </c>
      <c r="I2588" s="38" t="inlineStr">
        <is>
          <t>PE01052601</t>
        </is>
      </c>
      <c r="J2588" s="26" t="inlineStr">
        <is>
          <t>Multiple Issues</t>
        </is>
      </c>
      <c r="K2588" s="39" t="inlineStr">
        <is>
          <t>Holi</t>
        </is>
      </c>
      <c r="L2588" s="39" t="inlineStr">
        <is>
          <t>Maharashtra</t>
        </is>
      </c>
      <c r="M2588" s="9" t="inlineStr">
        <is>
          <t>NS</t>
        </is>
      </c>
      <c r="N2588" s="3" t="inlineStr">
        <is>
          <t>Cold Soldering</t>
        </is>
      </c>
      <c r="O2588" s="56" t="n">
        <v>575</v>
      </c>
      <c r="P2588" s="46" t="inlineStr">
        <is>
          <t>NSMI24070218785</t>
        </is>
      </c>
      <c r="Q2588" s="54">
        <f>MID(P2588,5,2)</f>
        <v/>
      </c>
      <c r="R2588" s="53">
        <f>MID(P2588,7,2)</f>
        <v/>
      </c>
      <c r="S2588" s="3" t="inlineStr">
        <is>
          <t>G2G</t>
        </is>
      </c>
      <c r="T2588" s="3" t="inlineStr">
        <is>
          <t>P4</t>
        </is>
      </c>
      <c r="U2588" s="3" t="inlineStr">
        <is>
          <t>N JB Cold Soldering</t>
        </is>
      </c>
      <c r="V2588" s="3" t="inlineStr">
        <is>
          <t>Soldering</t>
        </is>
      </c>
      <c r="W2588" s="3" t="inlineStr">
        <is>
          <t>Repair</t>
        </is>
      </c>
      <c r="X2588" s="18" t="n">
        <v>46172</v>
      </c>
      <c r="Y2588" s="73">
        <f>IF(X2588="","",X2588-A2588)</f>
        <v/>
      </c>
      <c r="Z2588" s="18" t="n">
        <v>46172</v>
      </c>
      <c r="AA2588" s="15" t="n"/>
      <c r="AB2588" s="15" t="n"/>
      <c r="AF2588">
        <f>IF(AND($F2588="Closed",$X2588&gt;=DATE(2026,5,1),$X2588&lt;=DATE(2026,5,31)),"Closed in May","Other")</f>
        <v/>
      </c>
    </row>
    <row r="2589">
      <c r="A2589" s="37" t="n">
        <v>46143</v>
      </c>
      <c r="B2589" s="3" t="n">
        <v>2026</v>
      </c>
      <c r="C2589" s="26" t="inlineStr">
        <is>
          <t>Yanara Power</t>
        </is>
      </c>
      <c r="D2589" s="3" t="inlineStr">
        <is>
          <t>Utility and C&amp;I</t>
        </is>
      </c>
      <c r="E2589" s="3" t="n"/>
      <c r="F2589" s="3" t="inlineStr">
        <is>
          <t>Closed</t>
        </is>
      </c>
      <c r="G2589" s="9" t="inlineStr">
        <is>
          <t xml:space="preserve">Ashish Jindal </t>
        </is>
      </c>
      <c r="H2589" s="26" t="n">
        <v>9983975581</v>
      </c>
      <c r="I2589" s="38" t="inlineStr">
        <is>
          <t>PE01052601</t>
        </is>
      </c>
      <c r="J2589" s="26" t="inlineStr">
        <is>
          <t>Multiple Issues</t>
        </is>
      </c>
      <c r="K2589" s="39" t="inlineStr">
        <is>
          <t>Holi</t>
        </is>
      </c>
      <c r="L2589" s="39" t="inlineStr">
        <is>
          <t>Maharashtra</t>
        </is>
      </c>
      <c r="M2589" s="9" t="inlineStr">
        <is>
          <t>NS</t>
        </is>
      </c>
      <c r="N2589" s="3" t="inlineStr">
        <is>
          <t>Cold Soldering</t>
        </is>
      </c>
      <c r="O2589" s="56" t="n">
        <v>575</v>
      </c>
      <c r="P2589" s="46" t="inlineStr">
        <is>
          <t>NSMI24070218805</t>
        </is>
      </c>
      <c r="Q2589" s="54">
        <f>MID(P2589,5,2)</f>
        <v/>
      </c>
      <c r="R2589" s="53">
        <f>MID(P2589,7,2)</f>
        <v/>
      </c>
      <c r="S2589" s="3" t="inlineStr">
        <is>
          <t>G2G</t>
        </is>
      </c>
      <c r="T2589" s="3" t="inlineStr">
        <is>
          <t>P4</t>
        </is>
      </c>
      <c r="U2589" s="3" t="inlineStr">
        <is>
          <t>N JB Cold Soldering</t>
        </is>
      </c>
      <c r="V2589" s="3" t="inlineStr">
        <is>
          <t>Soldering</t>
        </is>
      </c>
      <c r="W2589" s="3" t="inlineStr">
        <is>
          <t>Repair</t>
        </is>
      </c>
      <c r="X2589" s="18" t="n">
        <v>46172</v>
      </c>
      <c r="Y2589" s="73">
        <f>IF(X2589="","",X2589-A2589)</f>
        <v/>
      </c>
      <c r="Z2589" s="18" t="n">
        <v>46172</v>
      </c>
      <c r="AA2589" s="15" t="n"/>
      <c r="AB2589" s="15" t="n"/>
      <c r="AF2589">
        <f>IF(AND($F2589="Closed",$X2589&gt;=DATE(2026,5,1),$X2589&lt;=DATE(2026,5,31)),"Closed in May","Other")</f>
        <v/>
      </c>
    </row>
    <row r="2590">
      <c r="A2590" s="37" t="n">
        <v>46143</v>
      </c>
      <c r="B2590" s="3" t="n">
        <v>2026</v>
      </c>
      <c r="C2590" s="26" t="inlineStr">
        <is>
          <t>Yanara Power</t>
        </is>
      </c>
      <c r="D2590" s="3" t="inlineStr">
        <is>
          <t>Utility and C&amp;I</t>
        </is>
      </c>
      <c r="E2590" s="3" t="n"/>
      <c r="F2590" s="3" t="inlineStr">
        <is>
          <t>Closed</t>
        </is>
      </c>
      <c r="G2590" s="9" t="inlineStr">
        <is>
          <t xml:space="preserve">Ashish Jindal </t>
        </is>
      </c>
      <c r="H2590" s="26" t="n">
        <v>9983975581</v>
      </c>
      <c r="I2590" s="38" t="inlineStr">
        <is>
          <t>PE01052601</t>
        </is>
      </c>
      <c r="J2590" s="26" t="inlineStr">
        <is>
          <t>Multiple Issues</t>
        </is>
      </c>
      <c r="K2590" s="39" t="inlineStr">
        <is>
          <t>Holi</t>
        </is>
      </c>
      <c r="L2590" s="39" t="inlineStr">
        <is>
          <t>Maharashtra</t>
        </is>
      </c>
      <c r="M2590" s="9" t="inlineStr">
        <is>
          <t>NS</t>
        </is>
      </c>
      <c r="N2590" s="3" t="inlineStr">
        <is>
          <t>Cold Soldering</t>
        </is>
      </c>
      <c r="O2590" s="56" t="n">
        <v>575</v>
      </c>
      <c r="P2590" s="46" t="inlineStr">
        <is>
          <t>NSMI24070176130</t>
        </is>
      </c>
      <c r="Q2590" s="54">
        <f>MID(P2590,5,2)</f>
        <v/>
      </c>
      <c r="R2590" s="53">
        <f>MID(P2590,7,2)</f>
        <v/>
      </c>
      <c r="S2590" s="3" t="inlineStr">
        <is>
          <t>G2G</t>
        </is>
      </c>
      <c r="T2590" s="3" t="inlineStr">
        <is>
          <t>P4</t>
        </is>
      </c>
      <c r="U2590" s="3" t="inlineStr">
        <is>
          <t>N JB Cold Soldering</t>
        </is>
      </c>
      <c r="V2590" s="3" t="inlineStr">
        <is>
          <t>Soldering</t>
        </is>
      </c>
      <c r="W2590" s="3" t="inlineStr">
        <is>
          <t>Repair</t>
        </is>
      </c>
      <c r="X2590" s="18" t="n">
        <v>46172</v>
      </c>
      <c r="Y2590" s="73">
        <f>IF(X2590="","",X2590-A2590)</f>
        <v/>
      </c>
      <c r="Z2590" s="18" t="n">
        <v>46172</v>
      </c>
      <c r="AA2590" s="15" t="n"/>
      <c r="AB2590" s="15" t="n"/>
      <c r="AF2590">
        <f>IF(AND($F2590="Closed",$X2590&gt;=DATE(2026,5,1),$X2590&lt;=DATE(2026,5,31)),"Closed in May","Other")</f>
        <v/>
      </c>
    </row>
    <row r="2591">
      <c r="A2591" s="37" t="n">
        <v>46143</v>
      </c>
      <c r="B2591" s="3" t="n">
        <v>2026</v>
      </c>
      <c r="C2591" s="26" t="inlineStr">
        <is>
          <t>Yanara Power</t>
        </is>
      </c>
      <c r="D2591" s="3" t="inlineStr">
        <is>
          <t>Utility and C&amp;I</t>
        </is>
      </c>
      <c r="E2591" s="3" t="n"/>
      <c r="F2591" s="3" t="inlineStr">
        <is>
          <t>Closed</t>
        </is>
      </c>
      <c r="G2591" s="9" t="inlineStr">
        <is>
          <t xml:space="preserve">Ashish Jindal </t>
        </is>
      </c>
      <c r="H2591" s="26" t="n">
        <v>9983975581</v>
      </c>
      <c r="I2591" s="38" t="inlineStr">
        <is>
          <t>PE01052601</t>
        </is>
      </c>
      <c r="J2591" s="26" t="inlineStr">
        <is>
          <t>Multiple Issues</t>
        </is>
      </c>
      <c r="K2591" s="39" t="inlineStr">
        <is>
          <t>Holi</t>
        </is>
      </c>
      <c r="L2591" s="39" t="inlineStr">
        <is>
          <t>Maharashtra</t>
        </is>
      </c>
      <c r="M2591" s="9" t="inlineStr">
        <is>
          <t>NS</t>
        </is>
      </c>
      <c r="N2591" s="3" t="inlineStr">
        <is>
          <t>Cold Soldering</t>
        </is>
      </c>
      <c r="O2591" s="56" t="n">
        <v>575</v>
      </c>
      <c r="P2591" s="46" t="inlineStr">
        <is>
          <t>NSMI24070176158</t>
        </is>
      </c>
      <c r="Q2591" s="54">
        <f>MID(P2591,5,2)</f>
        <v/>
      </c>
      <c r="R2591" s="53">
        <f>MID(P2591,7,2)</f>
        <v/>
      </c>
      <c r="S2591" s="3" t="inlineStr">
        <is>
          <t>G2G</t>
        </is>
      </c>
      <c r="T2591" s="3" t="inlineStr">
        <is>
          <t>P4</t>
        </is>
      </c>
      <c r="U2591" s="3" t="inlineStr">
        <is>
          <t>N JB Cold Soldering</t>
        </is>
      </c>
      <c r="V2591" s="3" t="inlineStr">
        <is>
          <t>Soldering</t>
        </is>
      </c>
      <c r="W2591" s="3" t="inlineStr">
        <is>
          <t>Repair</t>
        </is>
      </c>
      <c r="X2591" s="18" t="n">
        <v>46172</v>
      </c>
      <c r="Y2591" s="73">
        <f>IF(X2591="","",X2591-A2591)</f>
        <v/>
      </c>
      <c r="Z2591" s="18" t="n">
        <v>46172</v>
      </c>
      <c r="AA2591" s="15" t="n"/>
      <c r="AB2591" s="15" t="n"/>
      <c r="AF2591">
        <f>IF(AND($F2591="Closed",$X2591&gt;=DATE(2026,5,1),$X2591&lt;=DATE(2026,5,31)),"Closed in May","Other")</f>
        <v/>
      </c>
    </row>
    <row r="2592">
      <c r="A2592" s="37" t="n">
        <v>46143</v>
      </c>
      <c r="B2592" s="3" t="n">
        <v>2026</v>
      </c>
      <c r="C2592" s="26" t="inlineStr">
        <is>
          <t>Yanara Power</t>
        </is>
      </c>
      <c r="D2592" s="3" t="inlineStr">
        <is>
          <t>Utility and C&amp;I</t>
        </is>
      </c>
      <c r="E2592" s="3" t="n"/>
      <c r="F2592" s="3" t="inlineStr">
        <is>
          <t>Closed</t>
        </is>
      </c>
      <c r="G2592" s="9" t="inlineStr">
        <is>
          <t xml:space="preserve">Ashish Jindal </t>
        </is>
      </c>
      <c r="H2592" s="26" t="n">
        <v>9983975581</v>
      </c>
      <c r="I2592" s="38" t="inlineStr">
        <is>
          <t>PE01052601</t>
        </is>
      </c>
      <c r="J2592" s="26" t="inlineStr">
        <is>
          <t>Multiple Issues</t>
        </is>
      </c>
      <c r="K2592" s="39" t="inlineStr">
        <is>
          <t>Holi</t>
        </is>
      </c>
      <c r="L2592" s="39" t="inlineStr">
        <is>
          <t>Maharashtra</t>
        </is>
      </c>
      <c r="M2592" s="9" t="inlineStr">
        <is>
          <t>PS</t>
        </is>
      </c>
      <c r="N2592" s="3" t="inlineStr">
        <is>
          <t>Cold Soldering</t>
        </is>
      </c>
      <c r="O2592" s="56" t="n">
        <v>575</v>
      </c>
      <c r="P2592" s="46" t="inlineStr">
        <is>
          <t>NSMI24070183618</t>
        </is>
      </c>
      <c r="Q2592" s="54">
        <f>MID(P2592,5,2)</f>
        <v/>
      </c>
      <c r="R2592" s="53">
        <f>MID(P2592,7,2)</f>
        <v/>
      </c>
      <c r="S2592" s="3" t="inlineStr">
        <is>
          <t>G2G</t>
        </is>
      </c>
      <c r="T2592" s="3" t="inlineStr">
        <is>
          <t>P4</t>
        </is>
      </c>
      <c r="U2592" s="19" t="inlineStr">
        <is>
          <t>P JB Cold Soldering</t>
        </is>
      </c>
      <c r="V2592" s="19" t="inlineStr">
        <is>
          <t>Soldering</t>
        </is>
      </c>
      <c r="W2592" s="3" t="inlineStr">
        <is>
          <t>Repair</t>
        </is>
      </c>
      <c r="X2592" s="18" t="n">
        <v>46172</v>
      </c>
      <c r="Y2592" s="73">
        <f>IF(X2592="","",X2592-A2592)</f>
        <v/>
      </c>
      <c r="Z2592" s="18" t="n">
        <v>46172</v>
      </c>
      <c r="AA2592" s="15" t="n"/>
      <c r="AB2592" s="15" t="n"/>
      <c r="AF2592">
        <f>IF(AND($F2592="Closed",$X2592&gt;=DATE(2026,5,1),$X2592&lt;=DATE(2026,5,31)),"Closed in May","Other")</f>
        <v/>
      </c>
    </row>
    <row r="2593">
      <c r="A2593" s="37" t="n">
        <v>46143</v>
      </c>
      <c r="B2593" s="3" t="n">
        <v>2026</v>
      </c>
      <c r="C2593" s="26" t="inlineStr">
        <is>
          <t>Yanara Power</t>
        </is>
      </c>
      <c r="D2593" s="3" t="inlineStr">
        <is>
          <t>Utility and C&amp;I</t>
        </is>
      </c>
      <c r="E2593" s="3" t="n"/>
      <c r="F2593" s="3" t="inlineStr">
        <is>
          <t>Closed</t>
        </is>
      </c>
      <c r="G2593" s="9" t="inlineStr">
        <is>
          <t xml:space="preserve">Ashish Jindal </t>
        </is>
      </c>
      <c r="H2593" s="26" t="n">
        <v>9983975581</v>
      </c>
      <c r="I2593" s="38" t="inlineStr">
        <is>
          <t>PE01052601</t>
        </is>
      </c>
      <c r="J2593" s="26" t="inlineStr">
        <is>
          <t>Multiple Issues</t>
        </is>
      </c>
      <c r="K2593" s="39" t="inlineStr">
        <is>
          <t>Holi</t>
        </is>
      </c>
      <c r="L2593" s="39" t="inlineStr">
        <is>
          <t>Maharashtra</t>
        </is>
      </c>
      <c r="M2593" s="9" t="inlineStr">
        <is>
          <t>PS</t>
        </is>
      </c>
      <c r="N2593" s="3" t="inlineStr">
        <is>
          <t>Cold Soldering</t>
        </is>
      </c>
      <c r="O2593" s="56" t="n">
        <v>575</v>
      </c>
      <c r="P2593" s="46" t="inlineStr">
        <is>
          <t>NSMI24070183628</t>
        </is>
      </c>
      <c r="Q2593" s="54">
        <f>MID(P2593,5,2)</f>
        <v/>
      </c>
      <c r="R2593" s="53">
        <f>MID(P2593,7,2)</f>
        <v/>
      </c>
      <c r="S2593" s="3" t="inlineStr">
        <is>
          <t>G2G</t>
        </is>
      </c>
      <c r="T2593" s="3" t="inlineStr">
        <is>
          <t>P4</t>
        </is>
      </c>
      <c r="U2593" s="19" t="inlineStr">
        <is>
          <t>P JB Cold Soldering</t>
        </is>
      </c>
      <c r="V2593" s="19" t="inlineStr">
        <is>
          <t>Soldering</t>
        </is>
      </c>
      <c r="W2593" s="3" t="inlineStr">
        <is>
          <t>Repair</t>
        </is>
      </c>
      <c r="X2593" s="18" t="n">
        <v>46172</v>
      </c>
      <c r="Y2593" s="73">
        <f>IF(X2593="","",X2593-A2593)</f>
        <v/>
      </c>
      <c r="Z2593" s="18" t="n">
        <v>46172</v>
      </c>
      <c r="AA2593" s="15" t="n"/>
      <c r="AB2593" s="15" t="n"/>
      <c r="AF2593">
        <f>IF(AND($F2593="Closed",$X2593&gt;=DATE(2026,5,1),$X2593&lt;=DATE(2026,5,31)),"Closed in May","Other")</f>
        <v/>
      </c>
    </row>
    <row r="2594">
      <c r="A2594" s="37" t="n">
        <v>46143</v>
      </c>
      <c r="B2594" s="3" t="n">
        <v>2026</v>
      </c>
      <c r="C2594" s="26" t="inlineStr">
        <is>
          <t>Yanara Power</t>
        </is>
      </c>
      <c r="D2594" s="3" t="inlineStr">
        <is>
          <t>Utility and C&amp;I</t>
        </is>
      </c>
      <c r="E2594" s="3" t="n"/>
      <c r="F2594" s="3" t="inlineStr">
        <is>
          <t>Closed</t>
        </is>
      </c>
      <c r="G2594" s="9" t="inlineStr">
        <is>
          <t xml:space="preserve">Ashish Jindal </t>
        </is>
      </c>
      <c r="H2594" s="26" t="n">
        <v>9983975581</v>
      </c>
      <c r="I2594" s="38" t="inlineStr">
        <is>
          <t>PE01052601</t>
        </is>
      </c>
      <c r="J2594" s="26" t="inlineStr">
        <is>
          <t>Multiple Issues</t>
        </is>
      </c>
      <c r="K2594" s="39" t="inlineStr">
        <is>
          <t>Holi</t>
        </is>
      </c>
      <c r="L2594" s="39" t="inlineStr">
        <is>
          <t>Maharashtra</t>
        </is>
      </c>
      <c r="M2594" s="9" t="inlineStr">
        <is>
          <t>PS</t>
        </is>
      </c>
      <c r="N2594" s="3" t="inlineStr">
        <is>
          <t>Cold Soldering</t>
        </is>
      </c>
      <c r="O2594" s="56" t="n">
        <v>575</v>
      </c>
      <c r="P2594" s="46" t="inlineStr">
        <is>
          <t>NSMI24070216716</t>
        </is>
      </c>
      <c r="Q2594" s="54">
        <f>MID(P2594,5,2)</f>
        <v/>
      </c>
      <c r="R2594" s="53">
        <f>MID(P2594,7,2)</f>
        <v/>
      </c>
      <c r="S2594" s="3" t="inlineStr">
        <is>
          <t>G2G</t>
        </is>
      </c>
      <c r="T2594" s="3" t="inlineStr">
        <is>
          <t>P4</t>
        </is>
      </c>
      <c r="U2594" s="19" t="inlineStr">
        <is>
          <t>P JB Cold Soldering</t>
        </is>
      </c>
      <c r="V2594" s="19" t="inlineStr">
        <is>
          <t>Soldering</t>
        </is>
      </c>
      <c r="W2594" s="3" t="inlineStr">
        <is>
          <t>Repair</t>
        </is>
      </c>
      <c r="X2594" s="18" t="n">
        <v>46172</v>
      </c>
      <c r="Y2594" s="73">
        <f>IF(X2594="","",X2594-A2594)</f>
        <v/>
      </c>
      <c r="Z2594" s="18" t="n">
        <v>46172</v>
      </c>
      <c r="AA2594" s="15" t="n"/>
      <c r="AB2594" s="15" t="n"/>
      <c r="AF2594">
        <f>IF(AND($F2594="Closed",$X2594&gt;=DATE(2026,5,1),$X2594&lt;=DATE(2026,5,31)),"Closed in May","Other")</f>
        <v/>
      </c>
    </row>
    <row r="2595">
      <c r="A2595" s="37" t="n">
        <v>46143</v>
      </c>
      <c r="B2595" s="3" t="n">
        <v>2026</v>
      </c>
      <c r="C2595" s="26" t="inlineStr">
        <is>
          <t>Yanara Power</t>
        </is>
      </c>
      <c r="D2595" s="3" t="inlineStr">
        <is>
          <t>Utility and C&amp;I</t>
        </is>
      </c>
      <c r="E2595" s="3" t="n"/>
      <c r="F2595" s="3" t="inlineStr">
        <is>
          <t>Closed</t>
        </is>
      </c>
      <c r="G2595" s="9" t="inlineStr">
        <is>
          <t xml:space="preserve">Ashish Jindal </t>
        </is>
      </c>
      <c r="H2595" s="26" t="n">
        <v>9983975581</v>
      </c>
      <c r="I2595" s="38" t="inlineStr">
        <is>
          <t>PE01052601</t>
        </is>
      </c>
      <c r="J2595" s="26" t="inlineStr">
        <is>
          <t>Multiple Issues</t>
        </is>
      </c>
      <c r="K2595" s="39" t="inlineStr">
        <is>
          <t>Holi</t>
        </is>
      </c>
      <c r="L2595" s="39" t="inlineStr">
        <is>
          <t>Maharashtra</t>
        </is>
      </c>
      <c r="M2595" s="9" t="inlineStr">
        <is>
          <t>PS</t>
        </is>
      </c>
      <c r="N2595" s="3" t="inlineStr">
        <is>
          <t>Cold Soldering</t>
        </is>
      </c>
      <c r="O2595" s="56" t="n">
        <v>575</v>
      </c>
      <c r="P2595" s="46" t="inlineStr">
        <is>
          <t>NSMI24070215305</t>
        </is>
      </c>
      <c r="Q2595" s="54">
        <f>MID(P2595,5,2)</f>
        <v/>
      </c>
      <c r="R2595" s="53">
        <f>MID(P2595,7,2)</f>
        <v/>
      </c>
      <c r="S2595" s="3" t="inlineStr">
        <is>
          <t>G2G</t>
        </is>
      </c>
      <c r="T2595" s="3" t="inlineStr">
        <is>
          <t>P4</t>
        </is>
      </c>
      <c r="U2595" s="19" t="inlineStr">
        <is>
          <t>P JB Cold Soldering</t>
        </is>
      </c>
      <c r="V2595" s="19" t="inlineStr">
        <is>
          <t>Soldering</t>
        </is>
      </c>
      <c r="W2595" s="3" t="inlineStr">
        <is>
          <t>Repair</t>
        </is>
      </c>
      <c r="X2595" s="18" t="n">
        <v>46172</v>
      </c>
      <c r="Y2595" s="73">
        <f>IF(X2595="","",X2595-A2595)</f>
        <v/>
      </c>
      <c r="Z2595" s="18" t="n">
        <v>46172</v>
      </c>
      <c r="AA2595" s="15" t="n"/>
      <c r="AB2595" s="15" t="n"/>
      <c r="AF2595">
        <f>IF(AND($F2595="Closed",$X2595&gt;=DATE(2026,5,1),$X2595&lt;=DATE(2026,5,31)),"Closed in May","Other")</f>
        <v/>
      </c>
    </row>
    <row r="2596">
      <c r="A2596" s="37" t="n">
        <v>46143</v>
      </c>
      <c r="B2596" s="3" t="n">
        <v>2026</v>
      </c>
      <c r="C2596" s="26" t="inlineStr">
        <is>
          <t>Yanara Power</t>
        </is>
      </c>
      <c r="D2596" s="3" t="inlineStr">
        <is>
          <t>Utility and C&amp;I</t>
        </is>
      </c>
      <c r="E2596" s="3" t="n"/>
      <c r="F2596" s="3" t="inlineStr">
        <is>
          <t>Closed</t>
        </is>
      </c>
      <c r="G2596" s="9" t="inlineStr">
        <is>
          <t xml:space="preserve">Ashish Jindal </t>
        </is>
      </c>
      <c r="H2596" s="26" t="n">
        <v>9983975581</v>
      </c>
      <c r="I2596" s="38" t="inlineStr">
        <is>
          <t>PE01052601</t>
        </is>
      </c>
      <c r="J2596" s="26" t="inlineStr">
        <is>
          <t>Multiple Issues</t>
        </is>
      </c>
      <c r="K2596" s="39" t="inlineStr">
        <is>
          <t>Holi</t>
        </is>
      </c>
      <c r="L2596" s="39" t="inlineStr">
        <is>
          <t>Maharashtra</t>
        </is>
      </c>
      <c r="M2596" s="9" t="inlineStr">
        <is>
          <t>PS</t>
        </is>
      </c>
      <c r="N2596" s="3" t="inlineStr">
        <is>
          <t>Cold Soldering</t>
        </is>
      </c>
      <c r="O2596" s="56" t="n">
        <v>575</v>
      </c>
      <c r="P2596" s="46" t="inlineStr">
        <is>
          <t>NSMI24070183564</t>
        </is>
      </c>
      <c r="Q2596" s="54">
        <f>MID(P2596,5,2)</f>
        <v/>
      </c>
      <c r="R2596" s="53">
        <f>MID(P2596,7,2)</f>
        <v/>
      </c>
      <c r="S2596" s="3" t="inlineStr">
        <is>
          <t>G2G</t>
        </is>
      </c>
      <c r="T2596" s="3" t="inlineStr">
        <is>
          <t>P4</t>
        </is>
      </c>
      <c r="U2596" s="19" t="inlineStr">
        <is>
          <t>P JB Cold Soldering</t>
        </is>
      </c>
      <c r="V2596" s="19" t="inlineStr">
        <is>
          <t>Soldering</t>
        </is>
      </c>
      <c r="W2596" s="3" t="inlineStr">
        <is>
          <t>Repair</t>
        </is>
      </c>
      <c r="X2596" s="18" t="n">
        <v>46172</v>
      </c>
      <c r="Y2596" s="73">
        <f>IF(X2596="","",X2596-A2596)</f>
        <v/>
      </c>
      <c r="Z2596" s="18" t="n">
        <v>46172</v>
      </c>
      <c r="AA2596" s="15" t="n"/>
      <c r="AB2596" s="15" t="n"/>
      <c r="AF2596">
        <f>IF(AND($F2596="Closed",$X2596&gt;=DATE(2026,5,1),$X2596&lt;=DATE(2026,5,31)),"Closed in May","Other")</f>
        <v/>
      </c>
    </row>
    <row r="2597">
      <c r="A2597" s="37" t="n">
        <v>46143</v>
      </c>
      <c r="B2597" s="3" t="n">
        <v>2026</v>
      </c>
      <c r="C2597" s="26" t="inlineStr">
        <is>
          <t>Yanara Power</t>
        </is>
      </c>
      <c r="D2597" s="3" t="inlineStr">
        <is>
          <t>Utility and C&amp;I</t>
        </is>
      </c>
      <c r="E2597" s="3" t="n"/>
      <c r="F2597" s="3" t="inlineStr">
        <is>
          <t>Closed</t>
        </is>
      </c>
      <c r="G2597" s="9" t="inlineStr">
        <is>
          <t xml:space="preserve">Ashish Jindal </t>
        </is>
      </c>
      <c r="H2597" s="26" t="n">
        <v>9983975581</v>
      </c>
      <c r="I2597" s="38" t="inlineStr">
        <is>
          <t>PE01052601</t>
        </is>
      </c>
      <c r="J2597" s="26" t="inlineStr">
        <is>
          <t>Multiple Issues</t>
        </is>
      </c>
      <c r="K2597" s="39" t="inlineStr">
        <is>
          <t>Holi</t>
        </is>
      </c>
      <c r="L2597" s="39" t="inlineStr">
        <is>
          <t>Maharashtra</t>
        </is>
      </c>
      <c r="M2597" s="9" t="inlineStr">
        <is>
          <t>NR</t>
        </is>
      </c>
      <c r="N2597" s="3" t="inlineStr">
        <is>
          <t>JB Issue</t>
        </is>
      </c>
      <c r="O2597" s="56" t="n">
        <v>575</v>
      </c>
      <c r="P2597" s="46" t="inlineStr">
        <is>
          <t>NSMI24070215192</t>
        </is>
      </c>
      <c r="Q2597" s="54">
        <f>MID(P2597,5,2)</f>
        <v/>
      </c>
      <c r="R2597" s="53">
        <f>MID(P2597,7,2)</f>
        <v/>
      </c>
      <c r="S2597" s="3" t="inlineStr">
        <is>
          <t>G2G</t>
        </is>
      </c>
      <c r="T2597" s="3" t="inlineStr">
        <is>
          <t>P4</t>
        </is>
      </c>
      <c r="U2597" s="3" t="inlineStr">
        <is>
          <t>N JB Issue</t>
        </is>
      </c>
      <c r="V2597" s="3" t="inlineStr">
        <is>
          <t>JB Changed</t>
        </is>
      </c>
      <c r="W2597" s="3" t="inlineStr">
        <is>
          <t>Repair</t>
        </is>
      </c>
      <c r="X2597" s="18" t="n">
        <v>46172</v>
      </c>
      <c r="Y2597" s="73">
        <f>IF(X2597="","",X2597-A2597)</f>
        <v/>
      </c>
      <c r="Z2597" s="18" t="n">
        <v>46172</v>
      </c>
      <c r="AA2597" s="15" t="n"/>
      <c r="AB2597" s="15" t="n"/>
      <c r="AF2597">
        <f>IF(AND($F2597="Closed",$X2597&gt;=DATE(2026,5,1),$X2597&lt;=DATE(2026,5,31)),"Closed in May","Other")</f>
        <v/>
      </c>
    </row>
    <row r="2598">
      <c r="A2598" s="37" t="n">
        <v>46143</v>
      </c>
      <c r="B2598" s="3" t="n">
        <v>2026</v>
      </c>
      <c r="C2598" s="26" t="inlineStr">
        <is>
          <t>Yanara Power</t>
        </is>
      </c>
      <c r="D2598" s="3" t="inlineStr">
        <is>
          <t>Utility and C&amp;I</t>
        </is>
      </c>
      <c r="E2598" s="3" t="n"/>
      <c r="F2598" s="3" t="inlineStr">
        <is>
          <t>Closed</t>
        </is>
      </c>
      <c r="G2598" s="9" t="inlineStr">
        <is>
          <t xml:space="preserve">Ashish Jindal </t>
        </is>
      </c>
      <c r="H2598" s="26" t="n">
        <v>9983975581</v>
      </c>
      <c r="I2598" s="38" t="inlineStr">
        <is>
          <t>PE01052601</t>
        </is>
      </c>
      <c r="J2598" s="26" t="inlineStr">
        <is>
          <t>Multiple Issues</t>
        </is>
      </c>
      <c r="K2598" s="39" t="inlineStr">
        <is>
          <t>Holi</t>
        </is>
      </c>
      <c r="L2598" s="39" t="inlineStr">
        <is>
          <t>Maharashtra</t>
        </is>
      </c>
      <c r="M2598" s="9" t="inlineStr">
        <is>
          <t>PS</t>
        </is>
      </c>
      <c r="N2598" s="3" t="inlineStr">
        <is>
          <t>Cold Soldering</t>
        </is>
      </c>
      <c r="O2598" s="56" t="n">
        <v>575</v>
      </c>
      <c r="P2598" s="46" t="inlineStr">
        <is>
          <t>NSMI24070178622</t>
        </is>
      </c>
      <c r="Q2598" s="54">
        <f>MID(P2598,5,2)</f>
        <v/>
      </c>
      <c r="R2598" s="53">
        <f>MID(P2598,7,2)</f>
        <v/>
      </c>
      <c r="S2598" s="3" t="inlineStr">
        <is>
          <t>G2G</t>
        </is>
      </c>
      <c r="T2598" s="3" t="inlineStr">
        <is>
          <t>P4</t>
        </is>
      </c>
      <c r="U2598" s="19" t="inlineStr">
        <is>
          <t>P JB Cold Soldering</t>
        </is>
      </c>
      <c r="V2598" s="19" t="inlineStr">
        <is>
          <t>Soldering</t>
        </is>
      </c>
      <c r="W2598" s="3" t="inlineStr">
        <is>
          <t>Repair</t>
        </is>
      </c>
      <c r="X2598" s="18" t="n">
        <v>46172</v>
      </c>
      <c r="Y2598" s="73">
        <f>IF(X2598="","",X2598-A2598)</f>
        <v/>
      </c>
      <c r="Z2598" s="18" t="n">
        <v>46172</v>
      </c>
      <c r="AA2598" s="15" t="n"/>
      <c r="AB2598" s="15" t="n"/>
      <c r="AF2598">
        <f>IF(AND($F2598="Closed",$X2598&gt;=DATE(2026,5,1),$X2598&lt;=DATE(2026,5,31)),"Closed in May","Other")</f>
        <v/>
      </c>
    </row>
    <row r="2599">
      <c r="A2599" s="37" t="n">
        <v>46143</v>
      </c>
      <c r="B2599" s="3" t="n">
        <v>2026</v>
      </c>
      <c r="C2599" s="26" t="inlineStr">
        <is>
          <t>Yanara Power</t>
        </is>
      </c>
      <c r="D2599" s="3" t="inlineStr">
        <is>
          <t>Utility and C&amp;I</t>
        </is>
      </c>
      <c r="E2599" s="3" t="n"/>
      <c r="F2599" s="3" t="inlineStr">
        <is>
          <t>Closed</t>
        </is>
      </c>
      <c r="G2599" s="9" t="inlineStr">
        <is>
          <t xml:space="preserve">Ashish Jindal </t>
        </is>
      </c>
      <c r="H2599" s="26" t="n">
        <v>9983975581</v>
      </c>
      <c r="I2599" s="38" t="inlineStr">
        <is>
          <t>PE01052601</t>
        </is>
      </c>
      <c r="J2599" s="26" t="inlineStr">
        <is>
          <t>Multiple Issues</t>
        </is>
      </c>
      <c r="K2599" s="39" t="inlineStr">
        <is>
          <t>Holi</t>
        </is>
      </c>
      <c r="L2599" s="39" t="inlineStr">
        <is>
          <t>Maharashtra</t>
        </is>
      </c>
      <c r="M2599" s="9" t="inlineStr">
        <is>
          <t>PS</t>
        </is>
      </c>
      <c r="N2599" s="3" t="inlineStr">
        <is>
          <t>Cold Soldering</t>
        </is>
      </c>
      <c r="O2599" s="56" t="n">
        <v>575</v>
      </c>
      <c r="P2599" s="46" t="inlineStr">
        <is>
          <t>NSMI24070190894</t>
        </is>
      </c>
      <c r="Q2599" s="54">
        <f>MID(P2599,5,2)</f>
        <v/>
      </c>
      <c r="R2599" s="53">
        <f>MID(P2599,7,2)</f>
        <v/>
      </c>
      <c r="S2599" s="3" t="inlineStr">
        <is>
          <t>G2G</t>
        </is>
      </c>
      <c r="T2599" s="3" t="inlineStr">
        <is>
          <t>P4</t>
        </is>
      </c>
      <c r="U2599" s="19" t="inlineStr">
        <is>
          <t>P JB Cold Soldering</t>
        </is>
      </c>
      <c r="V2599" s="19" t="inlineStr">
        <is>
          <t>Soldering</t>
        </is>
      </c>
      <c r="W2599" s="3" t="inlineStr">
        <is>
          <t>Repair</t>
        </is>
      </c>
      <c r="X2599" s="18" t="n">
        <v>46172</v>
      </c>
      <c r="Y2599" s="73">
        <f>IF(X2599="","",X2599-A2599)</f>
        <v/>
      </c>
      <c r="Z2599" s="18" t="n">
        <v>46172</v>
      </c>
      <c r="AA2599" s="15" t="n"/>
      <c r="AB2599" s="15" t="n"/>
      <c r="AF2599">
        <f>IF(AND($F2599="Closed",$X2599&gt;=DATE(2026,5,1),$X2599&lt;=DATE(2026,5,31)),"Closed in May","Other")</f>
        <v/>
      </c>
    </row>
    <row r="2600">
      <c r="A2600" s="37" t="n">
        <v>46143</v>
      </c>
      <c r="B2600" s="3" t="n">
        <v>2026</v>
      </c>
      <c r="C2600" s="26" t="inlineStr">
        <is>
          <t>Yanara Power</t>
        </is>
      </c>
      <c r="D2600" s="3" t="inlineStr">
        <is>
          <t>Utility and C&amp;I</t>
        </is>
      </c>
      <c r="E2600" s="3" t="n"/>
      <c r="F2600" s="3" t="inlineStr">
        <is>
          <t>Closed</t>
        </is>
      </c>
      <c r="G2600" s="9" t="inlineStr">
        <is>
          <t xml:space="preserve">Ashish Jindal </t>
        </is>
      </c>
      <c r="H2600" s="26" t="n">
        <v>9983975581</v>
      </c>
      <c r="I2600" s="38" t="inlineStr">
        <is>
          <t>PE01052601</t>
        </is>
      </c>
      <c r="J2600" s="26" t="inlineStr">
        <is>
          <t>Multiple Issues</t>
        </is>
      </c>
      <c r="K2600" s="39" t="inlineStr">
        <is>
          <t>Holi</t>
        </is>
      </c>
      <c r="L2600" s="39" t="inlineStr">
        <is>
          <t>Maharashtra</t>
        </is>
      </c>
      <c r="M2600" s="9" t="inlineStr">
        <is>
          <t>PS</t>
        </is>
      </c>
      <c r="N2600" s="3" t="inlineStr">
        <is>
          <t>Cold Soldering</t>
        </is>
      </c>
      <c r="O2600" s="56" t="n">
        <v>575</v>
      </c>
      <c r="P2600" s="46" t="inlineStr">
        <is>
          <t>NSMI24070190968</t>
        </is>
      </c>
      <c r="Q2600" s="54">
        <f>MID(P2600,5,2)</f>
        <v/>
      </c>
      <c r="R2600" s="53">
        <f>MID(P2600,7,2)</f>
        <v/>
      </c>
      <c r="S2600" s="3" t="inlineStr">
        <is>
          <t>G2G</t>
        </is>
      </c>
      <c r="T2600" s="3" t="inlineStr">
        <is>
          <t>P4</t>
        </is>
      </c>
      <c r="U2600" s="19" t="inlineStr">
        <is>
          <t>P JB Cold Soldering</t>
        </is>
      </c>
      <c r="V2600" s="19" t="inlineStr">
        <is>
          <t>Soldering</t>
        </is>
      </c>
      <c r="W2600" s="3" t="inlineStr">
        <is>
          <t>Repair</t>
        </is>
      </c>
      <c r="X2600" s="18" t="n">
        <v>46172</v>
      </c>
      <c r="Y2600" s="73">
        <f>IF(X2600="","",X2600-A2600)</f>
        <v/>
      </c>
      <c r="Z2600" s="18" t="n">
        <v>46172</v>
      </c>
      <c r="AA2600" s="15" t="n"/>
      <c r="AB2600" s="15" t="n"/>
      <c r="AF2600">
        <f>IF(AND($F2600="Closed",$X2600&gt;=DATE(2026,5,1),$X2600&lt;=DATE(2026,5,31)),"Closed in May","Other")</f>
        <v/>
      </c>
    </row>
    <row r="2601">
      <c r="A2601" s="37" t="n">
        <v>46143</v>
      </c>
      <c r="B2601" s="3" t="n">
        <v>2026</v>
      </c>
      <c r="C2601" s="26" t="inlineStr">
        <is>
          <t>Yanara Power</t>
        </is>
      </c>
      <c r="D2601" s="3" t="inlineStr">
        <is>
          <t>Utility and C&amp;I</t>
        </is>
      </c>
      <c r="E2601" s="3" t="n"/>
      <c r="F2601" s="3" t="inlineStr">
        <is>
          <t>Closed</t>
        </is>
      </c>
      <c r="G2601" s="9" t="inlineStr">
        <is>
          <t xml:space="preserve">Ashish Jindal </t>
        </is>
      </c>
      <c r="H2601" s="26" t="n">
        <v>9983975581</v>
      </c>
      <c r="I2601" s="38" t="inlineStr">
        <is>
          <t>PE01052601</t>
        </is>
      </c>
      <c r="J2601" s="26" t="inlineStr">
        <is>
          <t>Multiple Issues</t>
        </is>
      </c>
      <c r="K2601" s="39" t="inlineStr">
        <is>
          <t>Holi</t>
        </is>
      </c>
      <c r="L2601" s="39" t="inlineStr">
        <is>
          <t>Maharashtra</t>
        </is>
      </c>
      <c r="M2601" s="9" t="inlineStr">
        <is>
          <t>PS</t>
        </is>
      </c>
      <c r="N2601" s="3" t="inlineStr">
        <is>
          <t>Cold Soldering</t>
        </is>
      </c>
      <c r="O2601" s="56" t="n">
        <v>575</v>
      </c>
      <c r="P2601" s="46" t="inlineStr">
        <is>
          <t>NSMI24070184442</t>
        </is>
      </c>
      <c r="Q2601" s="54">
        <f>MID(P2601,5,2)</f>
        <v/>
      </c>
      <c r="R2601" s="53">
        <f>MID(P2601,7,2)</f>
        <v/>
      </c>
      <c r="S2601" s="3" t="inlineStr">
        <is>
          <t>G2G</t>
        </is>
      </c>
      <c r="T2601" s="3" t="inlineStr">
        <is>
          <t>P4</t>
        </is>
      </c>
      <c r="U2601" s="19" t="inlineStr">
        <is>
          <t>P JB Cold Soldering</t>
        </is>
      </c>
      <c r="V2601" s="19" t="inlineStr">
        <is>
          <t>Soldering</t>
        </is>
      </c>
      <c r="W2601" s="3" t="inlineStr">
        <is>
          <t>Repair</t>
        </is>
      </c>
      <c r="X2601" s="18" t="n">
        <v>46172</v>
      </c>
      <c r="Y2601" s="73">
        <f>IF(X2601="","",X2601-A2601)</f>
        <v/>
      </c>
      <c r="Z2601" s="18" t="n">
        <v>46172</v>
      </c>
      <c r="AA2601" s="15" t="n"/>
      <c r="AB2601" s="15" t="n"/>
      <c r="AF2601">
        <f>IF(AND($F2601="Closed",$X2601&gt;=DATE(2026,5,1),$X2601&lt;=DATE(2026,5,31)),"Closed in May","Other")</f>
        <v/>
      </c>
    </row>
    <row r="2602">
      <c r="A2602" s="37" t="n">
        <v>46143</v>
      </c>
      <c r="B2602" s="3" t="n">
        <v>2026</v>
      </c>
      <c r="C2602" s="26" t="inlineStr">
        <is>
          <t>Yanara Power</t>
        </is>
      </c>
      <c r="D2602" s="3" t="inlineStr">
        <is>
          <t>Utility and C&amp;I</t>
        </is>
      </c>
      <c r="E2602" s="3" t="n"/>
      <c r="F2602" s="3" t="inlineStr">
        <is>
          <t>Closed</t>
        </is>
      </c>
      <c r="G2602" s="9" t="inlineStr">
        <is>
          <t xml:space="preserve">Ashish Jindal </t>
        </is>
      </c>
      <c r="H2602" s="26" t="n">
        <v>9983975581</v>
      </c>
      <c r="I2602" s="38" t="inlineStr">
        <is>
          <t>PE01052601</t>
        </is>
      </c>
      <c r="J2602" s="26" t="inlineStr">
        <is>
          <t>Multiple Issues</t>
        </is>
      </c>
      <c r="K2602" s="39" t="inlineStr">
        <is>
          <t>Holi</t>
        </is>
      </c>
      <c r="L2602" s="39" t="inlineStr">
        <is>
          <t>Maharashtra</t>
        </is>
      </c>
      <c r="M2602" s="9" t="inlineStr">
        <is>
          <t>PS</t>
        </is>
      </c>
      <c r="N2602" s="3" t="inlineStr">
        <is>
          <t>Cold Soldering</t>
        </is>
      </c>
      <c r="O2602" s="56" t="n">
        <v>575</v>
      </c>
      <c r="P2602" s="46" t="inlineStr">
        <is>
          <t>NSMI24070183291</t>
        </is>
      </c>
      <c r="Q2602" s="54">
        <f>MID(P2602,5,2)</f>
        <v/>
      </c>
      <c r="R2602" s="53">
        <f>MID(P2602,7,2)</f>
        <v/>
      </c>
      <c r="S2602" s="3" t="inlineStr">
        <is>
          <t>G2G</t>
        </is>
      </c>
      <c r="T2602" s="3" t="inlineStr">
        <is>
          <t>P4</t>
        </is>
      </c>
      <c r="U2602" s="19" t="inlineStr">
        <is>
          <t>P JB Cold Soldering</t>
        </is>
      </c>
      <c r="V2602" s="19" t="inlineStr">
        <is>
          <t>Soldering</t>
        </is>
      </c>
      <c r="W2602" s="3" t="inlineStr">
        <is>
          <t>Repair</t>
        </is>
      </c>
      <c r="X2602" s="18" t="n">
        <v>46172</v>
      </c>
      <c r="Y2602" s="73">
        <f>IF(X2602="","",X2602-A2602)</f>
        <v/>
      </c>
      <c r="Z2602" s="18" t="n">
        <v>46172</v>
      </c>
      <c r="AA2602" s="15" t="n"/>
      <c r="AB2602" s="15" t="n"/>
      <c r="AF2602">
        <f>IF(AND($F2602="Closed",$X2602&gt;=DATE(2026,5,1),$X2602&lt;=DATE(2026,5,31)),"Closed in May","Other")</f>
        <v/>
      </c>
    </row>
    <row r="2603">
      <c r="A2603" s="37" t="n">
        <v>46143</v>
      </c>
      <c r="B2603" s="3" t="n">
        <v>2026</v>
      </c>
      <c r="C2603" s="26" t="inlineStr">
        <is>
          <t>Yanara Power</t>
        </is>
      </c>
      <c r="D2603" s="3" t="inlineStr">
        <is>
          <t>Utility and C&amp;I</t>
        </is>
      </c>
      <c r="E2603" s="3" t="n"/>
      <c r="F2603" s="3" t="inlineStr">
        <is>
          <t>Closed</t>
        </is>
      </c>
      <c r="G2603" s="9" t="inlineStr">
        <is>
          <t xml:space="preserve">Ashish Jindal </t>
        </is>
      </c>
      <c r="H2603" s="26" t="n">
        <v>9983975581</v>
      </c>
      <c r="I2603" s="38" t="inlineStr">
        <is>
          <t>PE01052601</t>
        </is>
      </c>
      <c r="J2603" s="26" t="inlineStr">
        <is>
          <t>Multiple Issues</t>
        </is>
      </c>
      <c r="K2603" s="39" t="inlineStr">
        <is>
          <t>Holi</t>
        </is>
      </c>
      <c r="L2603" s="39" t="inlineStr">
        <is>
          <t>Maharashtra</t>
        </is>
      </c>
      <c r="M2603" s="9" t="inlineStr">
        <is>
          <t>NS</t>
        </is>
      </c>
      <c r="N2603" s="3" t="inlineStr">
        <is>
          <t>Cold Soldering</t>
        </is>
      </c>
      <c r="O2603" s="56" t="n">
        <v>575</v>
      </c>
      <c r="P2603" s="46" t="inlineStr">
        <is>
          <t>NSMI24070177120</t>
        </is>
      </c>
      <c r="Q2603" s="54">
        <f>MID(P2603,5,2)</f>
        <v/>
      </c>
      <c r="R2603" s="53">
        <f>MID(P2603,7,2)</f>
        <v/>
      </c>
      <c r="S2603" s="3" t="inlineStr">
        <is>
          <t>G2G</t>
        </is>
      </c>
      <c r="T2603" s="3" t="inlineStr">
        <is>
          <t>P4</t>
        </is>
      </c>
      <c r="U2603" s="3" t="inlineStr">
        <is>
          <t>N JB Cold Soldering</t>
        </is>
      </c>
      <c r="V2603" s="3" t="inlineStr">
        <is>
          <t>Soldering</t>
        </is>
      </c>
      <c r="W2603" s="3" t="inlineStr">
        <is>
          <t>Repair</t>
        </is>
      </c>
      <c r="X2603" s="18" t="n">
        <v>46172</v>
      </c>
      <c r="Y2603" s="73">
        <f>IF(X2603="","",X2603-A2603)</f>
        <v/>
      </c>
      <c r="Z2603" s="18" t="n">
        <v>46172</v>
      </c>
      <c r="AA2603" s="15" t="n"/>
      <c r="AB2603" s="15" t="n"/>
      <c r="AF2603">
        <f>IF(AND($F2603="Closed",$X2603&gt;=DATE(2026,5,1),$X2603&lt;=DATE(2026,5,31)),"Closed in May","Other")</f>
        <v/>
      </c>
    </row>
    <row r="2604">
      <c r="A2604" s="37" t="n">
        <v>46143</v>
      </c>
      <c r="B2604" s="3" t="n">
        <v>2026</v>
      </c>
      <c r="C2604" s="26" t="inlineStr">
        <is>
          <t>Yanara Power</t>
        </is>
      </c>
      <c r="D2604" s="3" t="inlineStr">
        <is>
          <t>Utility and C&amp;I</t>
        </is>
      </c>
      <c r="E2604" s="3" t="n"/>
      <c r="F2604" s="3" t="inlineStr">
        <is>
          <t>Closed</t>
        </is>
      </c>
      <c r="G2604" s="9" t="inlineStr">
        <is>
          <t xml:space="preserve">Ashish Jindal </t>
        </is>
      </c>
      <c r="H2604" s="26" t="n">
        <v>9983975581</v>
      </c>
      <c r="I2604" s="38" t="inlineStr">
        <is>
          <t>PE01052601</t>
        </is>
      </c>
      <c r="J2604" s="26" t="inlineStr">
        <is>
          <t>Multiple Issues</t>
        </is>
      </c>
      <c r="K2604" s="39" t="inlineStr">
        <is>
          <t>Holi</t>
        </is>
      </c>
      <c r="L2604" s="39" t="inlineStr">
        <is>
          <t>Maharashtra</t>
        </is>
      </c>
      <c r="M2604" s="9" t="inlineStr">
        <is>
          <t>PS</t>
        </is>
      </c>
      <c r="N2604" s="3" t="inlineStr">
        <is>
          <t>Cold Soldering</t>
        </is>
      </c>
      <c r="O2604" s="56" t="n">
        <v>575</v>
      </c>
      <c r="P2604" s="46" t="inlineStr">
        <is>
          <t>NSMI24070184477</t>
        </is>
      </c>
      <c r="Q2604" s="54">
        <f>MID(P2604,5,2)</f>
        <v/>
      </c>
      <c r="R2604" s="53">
        <f>MID(P2604,7,2)</f>
        <v/>
      </c>
      <c r="S2604" s="3" t="inlineStr">
        <is>
          <t>G2G</t>
        </is>
      </c>
      <c r="T2604" s="3" t="inlineStr">
        <is>
          <t>P4</t>
        </is>
      </c>
      <c r="U2604" s="19" t="inlineStr">
        <is>
          <t>P JB Cold Soldering</t>
        </is>
      </c>
      <c r="V2604" s="19" t="inlineStr">
        <is>
          <t>Soldering</t>
        </is>
      </c>
      <c r="W2604" s="3" t="inlineStr">
        <is>
          <t>Repair</t>
        </is>
      </c>
      <c r="X2604" s="18" t="n">
        <v>46172</v>
      </c>
      <c r="Y2604" s="73">
        <f>IF(X2604="","",X2604-A2604)</f>
        <v/>
      </c>
      <c r="Z2604" s="18" t="n">
        <v>46172</v>
      </c>
      <c r="AA2604" s="15" t="n"/>
      <c r="AB2604" s="15" t="n"/>
      <c r="AF2604">
        <f>IF(AND($F2604="Closed",$X2604&gt;=DATE(2026,5,1),$X2604&lt;=DATE(2026,5,31)),"Closed in May","Other")</f>
        <v/>
      </c>
    </row>
    <row r="2605">
      <c r="A2605" s="37" t="n">
        <v>46143</v>
      </c>
      <c r="B2605" s="3" t="n">
        <v>2026</v>
      </c>
      <c r="C2605" s="26" t="inlineStr">
        <is>
          <t>Yanara Power</t>
        </is>
      </c>
      <c r="D2605" s="3" t="inlineStr">
        <is>
          <t>Utility and C&amp;I</t>
        </is>
      </c>
      <c r="E2605" s="3" t="n"/>
      <c r="F2605" s="3" t="inlineStr">
        <is>
          <t>Closed</t>
        </is>
      </c>
      <c r="G2605" s="9" t="inlineStr">
        <is>
          <t xml:space="preserve">Ashish Jindal </t>
        </is>
      </c>
      <c r="H2605" s="26" t="n">
        <v>9983975581</v>
      </c>
      <c r="I2605" s="38" t="inlineStr">
        <is>
          <t>PE01052601</t>
        </is>
      </c>
      <c r="J2605" s="26" t="inlineStr">
        <is>
          <t>Multiple Issues</t>
        </is>
      </c>
      <c r="K2605" s="39" t="inlineStr">
        <is>
          <t>Holi</t>
        </is>
      </c>
      <c r="L2605" s="39" t="inlineStr">
        <is>
          <t>Maharashtra</t>
        </is>
      </c>
      <c r="M2605" s="9" t="inlineStr">
        <is>
          <t>PR</t>
        </is>
      </c>
      <c r="N2605" s="3" t="inlineStr">
        <is>
          <t>JB Issue</t>
        </is>
      </c>
      <c r="O2605" s="56" t="n">
        <v>575</v>
      </c>
      <c r="P2605" s="46" t="inlineStr">
        <is>
          <t>NSMI24070183138</t>
        </is>
      </c>
      <c r="Q2605" s="54">
        <f>MID(P2605,5,2)</f>
        <v/>
      </c>
      <c r="R2605" s="53">
        <f>MID(P2605,7,2)</f>
        <v/>
      </c>
      <c r="S2605" s="3" t="inlineStr">
        <is>
          <t>G2G</t>
        </is>
      </c>
      <c r="T2605" s="3" t="inlineStr">
        <is>
          <t>P4</t>
        </is>
      </c>
      <c r="U2605" s="3" t="inlineStr">
        <is>
          <t>P JB Issue</t>
        </is>
      </c>
      <c r="V2605" s="15" t="inlineStr">
        <is>
          <t>JB Changed</t>
        </is>
      </c>
      <c r="W2605" s="3" t="inlineStr">
        <is>
          <t>Repair</t>
        </is>
      </c>
      <c r="X2605" s="18" t="n">
        <v>46172</v>
      </c>
      <c r="Y2605" s="73">
        <f>IF(X2605="","",X2605-A2605)</f>
        <v/>
      </c>
      <c r="Z2605" s="18" t="n">
        <v>46172</v>
      </c>
      <c r="AA2605" s="15" t="n"/>
      <c r="AB2605" s="15" t="n"/>
      <c r="AF2605">
        <f>IF(AND($F2605="Closed",$X2605&gt;=DATE(2026,5,1),$X2605&lt;=DATE(2026,5,31)),"Closed in May","Other")</f>
        <v/>
      </c>
    </row>
    <row r="2606">
      <c r="A2606" s="37" t="n">
        <v>46143</v>
      </c>
      <c r="B2606" s="3" t="n">
        <v>2026</v>
      </c>
      <c r="C2606" s="26" t="inlineStr">
        <is>
          <t>Yanara Power</t>
        </is>
      </c>
      <c r="D2606" s="3" t="inlineStr">
        <is>
          <t>Utility and C&amp;I</t>
        </is>
      </c>
      <c r="E2606" s="3" t="n"/>
      <c r="F2606" s="3" t="inlineStr">
        <is>
          <t>Closed</t>
        </is>
      </c>
      <c r="G2606" s="9" t="inlineStr">
        <is>
          <t xml:space="preserve">Ashish Jindal </t>
        </is>
      </c>
      <c r="H2606" s="26" t="n">
        <v>9983975581</v>
      </c>
      <c r="I2606" s="38" t="inlineStr">
        <is>
          <t>PE01052601</t>
        </is>
      </c>
      <c r="J2606" s="26" t="inlineStr">
        <is>
          <t>Multiple Issues</t>
        </is>
      </c>
      <c r="K2606" s="39" t="inlineStr">
        <is>
          <t>Holi</t>
        </is>
      </c>
      <c r="L2606" s="39" t="inlineStr">
        <is>
          <t>Maharashtra</t>
        </is>
      </c>
      <c r="M2606" s="9" t="inlineStr">
        <is>
          <t>PS</t>
        </is>
      </c>
      <c r="N2606" s="3" t="inlineStr">
        <is>
          <t>Cold Soldering</t>
        </is>
      </c>
      <c r="O2606" s="56" t="n">
        <v>575</v>
      </c>
      <c r="P2606" s="46" t="inlineStr">
        <is>
          <t>NSMI24070184432</t>
        </is>
      </c>
      <c r="Q2606" s="54">
        <f>MID(P2606,5,2)</f>
        <v/>
      </c>
      <c r="R2606" s="53">
        <f>MID(P2606,7,2)</f>
        <v/>
      </c>
      <c r="S2606" s="3" t="inlineStr">
        <is>
          <t>G2G</t>
        </is>
      </c>
      <c r="T2606" s="3" t="inlineStr">
        <is>
          <t>P4</t>
        </is>
      </c>
      <c r="U2606" s="19" t="inlineStr">
        <is>
          <t>P JB Cold Soldering</t>
        </is>
      </c>
      <c r="V2606" s="19" t="inlineStr">
        <is>
          <t>Soldering</t>
        </is>
      </c>
      <c r="W2606" s="3" t="inlineStr">
        <is>
          <t>Repair</t>
        </is>
      </c>
      <c r="X2606" s="18" t="n">
        <v>46172</v>
      </c>
      <c r="Y2606" s="73">
        <f>IF(X2606="","",X2606-A2606)</f>
        <v/>
      </c>
      <c r="Z2606" s="18" t="n">
        <v>46172</v>
      </c>
      <c r="AA2606" s="15" t="n"/>
      <c r="AB2606" s="15" t="n"/>
      <c r="AF2606">
        <f>IF(AND($F2606="Closed",$X2606&gt;=DATE(2026,5,1),$X2606&lt;=DATE(2026,5,31)),"Closed in May","Other")</f>
        <v/>
      </c>
    </row>
    <row r="2607">
      <c r="A2607" s="37" t="n">
        <v>46143</v>
      </c>
      <c r="B2607" s="3" t="n">
        <v>2026</v>
      </c>
      <c r="C2607" s="26" t="inlineStr">
        <is>
          <t>Yanara Power</t>
        </is>
      </c>
      <c r="D2607" s="3" t="inlineStr">
        <is>
          <t>Utility and C&amp;I</t>
        </is>
      </c>
      <c r="E2607" s="3" t="n"/>
      <c r="F2607" s="3" t="inlineStr">
        <is>
          <t>Closed</t>
        </is>
      </c>
      <c r="G2607" s="9" t="inlineStr">
        <is>
          <t xml:space="preserve">Ashish Jindal </t>
        </is>
      </c>
      <c r="H2607" s="26" t="n">
        <v>9983975581</v>
      </c>
      <c r="I2607" s="38" t="inlineStr">
        <is>
          <t>PE01052601</t>
        </is>
      </c>
      <c r="J2607" s="26" t="inlineStr">
        <is>
          <t>Multiple Issues</t>
        </is>
      </c>
      <c r="K2607" s="39" t="inlineStr">
        <is>
          <t>Holi</t>
        </is>
      </c>
      <c r="L2607" s="39" t="inlineStr">
        <is>
          <t>Maharashtra</t>
        </is>
      </c>
      <c r="M2607" s="9" t="inlineStr">
        <is>
          <t>PS</t>
        </is>
      </c>
      <c r="N2607" s="3" t="inlineStr">
        <is>
          <t>Cold Soldering</t>
        </is>
      </c>
      <c r="O2607" s="56" t="n">
        <v>575</v>
      </c>
      <c r="P2607" s="46" t="inlineStr">
        <is>
          <t>NSMI24070184422</t>
        </is>
      </c>
      <c r="Q2607" s="54">
        <f>MID(P2607,5,2)</f>
        <v/>
      </c>
      <c r="R2607" s="53">
        <f>MID(P2607,7,2)</f>
        <v/>
      </c>
      <c r="S2607" s="3" t="inlineStr">
        <is>
          <t>G2G</t>
        </is>
      </c>
      <c r="T2607" s="3" t="inlineStr">
        <is>
          <t>P4</t>
        </is>
      </c>
      <c r="U2607" s="19" t="inlineStr">
        <is>
          <t>P JB Cold Soldering</t>
        </is>
      </c>
      <c r="V2607" s="19" t="inlineStr">
        <is>
          <t>Soldering</t>
        </is>
      </c>
      <c r="W2607" s="3" t="inlineStr">
        <is>
          <t>Repair</t>
        </is>
      </c>
      <c r="X2607" s="18" t="n">
        <v>46172</v>
      </c>
      <c r="Y2607" s="73">
        <f>IF(X2607="","",X2607-A2607)</f>
        <v/>
      </c>
      <c r="Z2607" s="18" t="n">
        <v>46172</v>
      </c>
      <c r="AA2607" s="15" t="n"/>
      <c r="AB2607" s="15" t="n"/>
      <c r="AF2607">
        <f>IF(AND($F2607="Closed",$X2607&gt;=DATE(2026,5,1),$X2607&lt;=DATE(2026,5,31)),"Closed in May","Other")</f>
        <v/>
      </c>
    </row>
    <row r="2608">
      <c r="A2608" s="37" t="n">
        <v>46143</v>
      </c>
      <c r="B2608" s="3" t="n">
        <v>2026</v>
      </c>
      <c r="C2608" s="26" t="inlineStr">
        <is>
          <t>Yanara Power</t>
        </is>
      </c>
      <c r="D2608" s="3" t="inlineStr">
        <is>
          <t>Utility and C&amp;I</t>
        </is>
      </c>
      <c r="E2608" s="3" t="n"/>
      <c r="F2608" s="3" t="inlineStr">
        <is>
          <t>Closed</t>
        </is>
      </c>
      <c r="G2608" s="9" t="inlineStr">
        <is>
          <t xml:space="preserve">Ashish Jindal </t>
        </is>
      </c>
      <c r="H2608" s="26" t="n">
        <v>9983975581</v>
      </c>
      <c r="I2608" s="38" t="inlineStr">
        <is>
          <t>PE01052601</t>
        </is>
      </c>
      <c r="J2608" s="26" t="inlineStr">
        <is>
          <t>Multiple Issues</t>
        </is>
      </c>
      <c r="K2608" s="39" t="inlineStr">
        <is>
          <t>Holi</t>
        </is>
      </c>
      <c r="L2608" s="39" t="inlineStr">
        <is>
          <t>Maharashtra</t>
        </is>
      </c>
      <c r="M2608" s="9" t="inlineStr">
        <is>
          <t>PS</t>
        </is>
      </c>
      <c r="N2608" s="3" t="inlineStr">
        <is>
          <t>Cold Soldering</t>
        </is>
      </c>
      <c r="O2608" s="56" t="n">
        <v>575</v>
      </c>
      <c r="P2608" s="46" t="inlineStr">
        <is>
          <t>NSMI24070177421</t>
        </is>
      </c>
      <c r="Q2608" s="54">
        <f>MID(P2608,5,2)</f>
        <v/>
      </c>
      <c r="R2608" s="53">
        <f>MID(P2608,7,2)</f>
        <v/>
      </c>
      <c r="S2608" s="3" t="inlineStr">
        <is>
          <t>G2G</t>
        </is>
      </c>
      <c r="T2608" s="3" t="inlineStr">
        <is>
          <t>P4</t>
        </is>
      </c>
      <c r="U2608" s="19" t="inlineStr">
        <is>
          <t>P JB Cold Soldering</t>
        </is>
      </c>
      <c r="V2608" s="19" t="inlineStr">
        <is>
          <t>Soldering</t>
        </is>
      </c>
      <c r="W2608" s="3" t="inlineStr">
        <is>
          <t>Repair</t>
        </is>
      </c>
      <c r="X2608" s="18" t="n">
        <v>46172</v>
      </c>
      <c r="Y2608" s="73">
        <f>IF(X2608="","",X2608-A2608)</f>
        <v/>
      </c>
      <c r="Z2608" s="18" t="n">
        <v>46172</v>
      </c>
      <c r="AA2608" s="15" t="n"/>
      <c r="AB2608" s="15" t="n"/>
      <c r="AF2608">
        <f>IF(AND($F2608="Closed",$X2608&gt;=DATE(2026,5,1),$X2608&lt;=DATE(2026,5,31)),"Closed in May","Other")</f>
        <v/>
      </c>
    </row>
    <row r="2609">
      <c r="A2609" s="37" t="n">
        <v>46143</v>
      </c>
      <c r="B2609" s="3" t="n">
        <v>2026</v>
      </c>
      <c r="C2609" s="26" t="inlineStr">
        <is>
          <t>Yanara Power</t>
        </is>
      </c>
      <c r="D2609" s="3" t="inlineStr">
        <is>
          <t>Utility and C&amp;I</t>
        </is>
      </c>
      <c r="E2609" s="3" t="n"/>
      <c r="F2609" s="3" t="inlineStr">
        <is>
          <t>Closed</t>
        </is>
      </c>
      <c r="G2609" s="9" t="inlineStr">
        <is>
          <t xml:space="preserve">Ashish Jindal </t>
        </is>
      </c>
      <c r="H2609" s="26" t="n">
        <v>9983975581</v>
      </c>
      <c r="I2609" s="38" t="inlineStr">
        <is>
          <t>PE01052601</t>
        </is>
      </c>
      <c r="J2609" s="26" t="inlineStr">
        <is>
          <t>Multiple Issues</t>
        </is>
      </c>
      <c r="K2609" s="39" t="inlineStr">
        <is>
          <t>Holi</t>
        </is>
      </c>
      <c r="L2609" s="39" t="inlineStr">
        <is>
          <t>Maharashtra</t>
        </is>
      </c>
      <c r="M2609" s="9" t="inlineStr">
        <is>
          <t>PS</t>
        </is>
      </c>
      <c r="N2609" s="3" t="inlineStr">
        <is>
          <t>Cold Soldering</t>
        </is>
      </c>
      <c r="O2609" s="56" t="n">
        <v>575</v>
      </c>
      <c r="P2609" s="46" t="inlineStr">
        <is>
          <t>NSMI24070183561</t>
        </is>
      </c>
      <c r="Q2609" s="54">
        <f>MID(P2609,5,2)</f>
        <v/>
      </c>
      <c r="R2609" s="53">
        <f>MID(P2609,7,2)</f>
        <v/>
      </c>
      <c r="S2609" s="3" t="inlineStr">
        <is>
          <t>G2G</t>
        </is>
      </c>
      <c r="T2609" s="3" t="inlineStr">
        <is>
          <t>P4</t>
        </is>
      </c>
      <c r="U2609" s="19" t="inlineStr">
        <is>
          <t>P JB Cold Soldering</t>
        </is>
      </c>
      <c r="V2609" s="19" t="inlineStr">
        <is>
          <t>Soldering</t>
        </is>
      </c>
      <c r="W2609" s="3" t="inlineStr">
        <is>
          <t>Repair</t>
        </is>
      </c>
      <c r="X2609" s="18" t="n">
        <v>46172</v>
      </c>
      <c r="Y2609" s="73">
        <f>IF(X2609="","",X2609-A2609)</f>
        <v/>
      </c>
      <c r="Z2609" s="18" t="n">
        <v>46172</v>
      </c>
      <c r="AA2609" s="15" t="n"/>
      <c r="AB2609" s="15" t="n"/>
      <c r="AF2609">
        <f>IF(AND($F2609="Closed",$X2609&gt;=DATE(2026,5,1),$X2609&lt;=DATE(2026,5,31)),"Closed in May","Other")</f>
        <v/>
      </c>
    </row>
    <row r="2610">
      <c r="A2610" s="37" t="n">
        <v>46143</v>
      </c>
      <c r="B2610" s="3" t="n">
        <v>2026</v>
      </c>
      <c r="C2610" s="26" t="inlineStr">
        <is>
          <t>Yanara Power</t>
        </is>
      </c>
      <c r="D2610" s="3" t="inlineStr">
        <is>
          <t>Utility and C&amp;I</t>
        </is>
      </c>
      <c r="E2610" s="3" t="n"/>
      <c r="F2610" s="3" t="inlineStr">
        <is>
          <t>Closed</t>
        </is>
      </c>
      <c r="G2610" s="9" t="inlineStr">
        <is>
          <t xml:space="preserve">Ashish Jindal </t>
        </is>
      </c>
      <c r="H2610" s="26" t="n">
        <v>9983975581</v>
      </c>
      <c r="I2610" s="38" t="inlineStr">
        <is>
          <t>PE01052601</t>
        </is>
      </c>
      <c r="J2610" s="26" t="inlineStr">
        <is>
          <t>Multiple Issues</t>
        </is>
      </c>
      <c r="K2610" s="39" t="inlineStr">
        <is>
          <t>Holi</t>
        </is>
      </c>
      <c r="L2610" s="39" t="inlineStr">
        <is>
          <t>Maharashtra</t>
        </is>
      </c>
      <c r="M2610" s="9" t="inlineStr">
        <is>
          <t>PNS</t>
        </is>
      </c>
      <c r="N2610" s="3" t="inlineStr">
        <is>
          <t>Cold Soldering</t>
        </is>
      </c>
      <c r="O2610" s="56" t="n">
        <v>575</v>
      </c>
      <c r="P2610" s="46" t="inlineStr">
        <is>
          <t>NSMI24070194964</t>
        </is>
      </c>
      <c r="Q2610" s="54">
        <f>MID(P2610,5,2)</f>
        <v/>
      </c>
      <c r="R2610" s="53">
        <f>MID(P2610,7,2)</f>
        <v/>
      </c>
      <c r="S2610" s="3" t="inlineStr">
        <is>
          <t>G2G</t>
        </is>
      </c>
      <c r="T2610" s="3" t="inlineStr">
        <is>
          <t>P4</t>
        </is>
      </c>
      <c r="U2610" s="3" t="inlineStr">
        <is>
          <t>P &amp; N JB Cold Soldering</t>
        </is>
      </c>
      <c r="V2610" s="3" t="inlineStr">
        <is>
          <t>Soldering</t>
        </is>
      </c>
      <c r="W2610" s="3" t="inlineStr">
        <is>
          <t>Repair</t>
        </is>
      </c>
      <c r="X2610" s="18" t="n">
        <v>46172</v>
      </c>
      <c r="Y2610" s="73">
        <f>IF(X2610="","",X2610-A2610)</f>
        <v/>
      </c>
      <c r="Z2610" s="18" t="n">
        <v>46172</v>
      </c>
      <c r="AA2610" s="15" t="n"/>
      <c r="AB2610" s="15" t="n"/>
      <c r="AF2610">
        <f>IF(AND($F2610="Closed",$X2610&gt;=DATE(2026,5,1),$X2610&lt;=DATE(2026,5,31)),"Closed in May","Other")</f>
        <v/>
      </c>
    </row>
    <row r="2611">
      <c r="A2611" s="37" t="n">
        <v>46143</v>
      </c>
      <c r="B2611" s="3" t="n">
        <v>2026</v>
      </c>
      <c r="C2611" s="26" t="inlineStr">
        <is>
          <t>Yanara Power</t>
        </is>
      </c>
      <c r="D2611" s="3" t="inlineStr">
        <is>
          <t>Utility and C&amp;I</t>
        </is>
      </c>
      <c r="E2611" s="3" t="n"/>
      <c r="F2611" s="3" t="inlineStr">
        <is>
          <t>Closed</t>
        </is>
      </c>
      <c r="G2611" s="9" t="inlineStr">
        <is>
          <t xml:space="preserve">Ashish Jindal </t>
        </is>
      </c>
      <c r="H2611" s="26" t="n">
        <v>9983975581</v>
      </c>
      <c r="I2611" s="38" t="inlineStr">
        <is>
          <t>PE01052601</t>
        </is>
      </c>
      <c r="J2611" s="26" t="inlineStr">
        <is>
          <t>Multiple Issues</t>
        </is>
      </c>
      <c r="K2611" s="39" t="inlineStr">
        <is>
          <t>Holi</t>
        </is>
      </c>
      <c r="L2611" s="39" t="inlineStr">
        <is>
          <t>Maharashtra</t>
        </is>
      </c>
      <c r="M2611" s="9" t="inlineStr">
        <is>
          <t>PS</t>
        </is>
      </c>
      <c r="N2611" s="3" t="inlineStr">
        <is>
          <t>Cold Soldering</t>
        </is>
      </c>
      <c r="O2611" s="56" t="n">
        <v>575</v>
      </c>
      <c r="P2611" s="46" t="inlineStr">
        <is>
          <t>NSMI24070181158</t>
        </is>
      </c>
      <c r="Q2611" s="54">
        <f>MID(P2611,5,2)</f>
        <v/>
      </c>
      <c r="R2611" s="53">
        <f>MID(P2611,7,2)</f>
        <v/>
      </c>
      <c r="S2611" s="3" t="inlineStr">
        <is>
          <t>G2G</t>
        </is>
      </c>
      <c r="T2611" s="3" t="inlineStr">
        <is>
          <t>P4</t>
        </is>
      </c>
      <c r="U2611" s="19" t="inlineStr">
        <is>
          <t>P JB Cold Soldering</t>
        </is>
      </c>
      <c r="V2611" s="19" t="inlineStr">
        <is>
          <t>Soldering</t>
        </is>
      </c>
      <c r="W2611" s="3" t="inlineStr">
        <is>
          <t>Repair</t>
        </is>
      </c>
      <c r="X2611" s="18" t="n">
        <v>46172</v>
      </c>
      <c r="Y2611" s="73">
        <f>IF(X2611="","",X2611-A2611)</f>
        <v/>
      </c>
      <c r="Z2611" s="18" t="n">
        <v>46172</v>
      </c>
      <c r="AA2611" s="15" t="n"/>
      <c r="AB2611" s="15" t="n"/>
      <c r="AF2611">
        <f>IF(AND($F2611="Closed",$X2611&gt;=DATE(2026,5,1),$X2611&lt;=DATE(2026,5,31)),"Closed in May","Other")</f>
        <v/>
      </c>
    </row>
    <row r="2612">
      <c r="A2612" s="37" t="n">
        <v>46143</v>
      </c>
      <c r="B2612" s="3" t="n">
        <v>2026</v>
      </c>
      <c r="C2612" s="26" t="inlineStr">
        <is>
          <t>Yanara Power</t>
        </is>
      </c>
      <c r="D2612" s="3" t="inlineStr">
        <is>
          <t>Utility and C&amp;I</t>
        </is>
      </c>
      <c r="E2612" s="3" t="n"/>
      <c r="F2612" s="3" t="inlineStr">
        <is>
          <t>Closed</t>
        </is>
      </c>
      <c r="G2612" s="9" t="inlineStr">
        <is>
          <t xml:space="preserve">Ashish Jindal </t>
        </is>
      </c>
      <c r="H2612" s="26" t="n">
        <v>9983975581</v>
      </c>
      <c r="I2612" s="38" t="inlineStr">
        <is>
          <t>PE01052601</t>
        </is>
      </c>
      <c r="J2612" s="26" t="inlineStr">
        <is>
          <t>Multiple Issues</t>
        </is>
      </c>
      <c r="K2612" s="39" t="inlineStr">
        <is>
          <t>Holi</t>
        </is>
      </c>
      <c r="L2612" s="39" t="inlineStr">
        <is>
          <t>Maharashtra</t>
        </is>
      </c>
      <c r="M2612" s="9" t="inlineStr">
        <is>
          <t>PS</t>
        </is>
      </c>
      <c r="N2612" s="3" t="inlineStr">
        <is>
          <t>Cold Soldering</t>
        </is>
      </c>
      <c r="O2612" s="56" t="n">
        <v>575</v>
      </c>
      <c r="P2612" s="46" t="inlineStr">
        <is>
          <t>NSMI24070181176</t>
        </is>
      </c>
      <c r="Q2612" s="54">
        <f>MID(P2612,5,2)</f>
        <v/>
      </c>
      <c r="R2612" s="53">
        <f>MID(P2612,7,2)</f>
        <v/>
      </c>
      <c r="S2612" s="3" t="inlineStr">
        <is>
          <t>G2G</t>
        </is>
      </c>
      <c r="T2612" s="3" t="inlineStr">
        <is>
          <t>P4</t>
        </is>
      </c>
      <c r="U2612" s="19" t="inlineStr">
        <is>
          <t>P JB Cold Soldering</t>
        </is>
      </c>
      <c r="V2612" s="19" t="inlineStr">
        <is>
          <t>Soldering</t>
        </is>
      </c>
      <c r="W2612" s="3" t="inlineStr">
        <is>
          <t>Repair</t>
        </is>
      </c>
      <c r="X2612" s="18" t="n">
        <v>46172</v>
      </c>
      <c r="Y2612" s="73">
        <f>IF(X2612="","",X2612-A2612)</f>
        <v/>
      </c>
      <c r="Z2612" s="18" t="n">
        <v>46172</v>
      </c>
      <c r="AA2612" s="15" t="n"/>
      <c r="AB2612" s="15" t="n"/>
      <c r="AF2612">
        <f>IF(AND($F2612="Closed",$X2612&gt;=DATE(2026,5,1),$X2612&lt;=DATE(2026,5,31)),"Closed in May","Other")</f>
        <v/>
      </c>
    </row>
    <row r="2613">
      <c r="A2613" s="37" t="n">
        <v>46143</v>
      </c>
      <c r="B2613" s="3" t="n">
        <v>2026</v>
      </c>
      <c r="C2613" s="26" t="inlineStr">
        <is>
          <t>Yanara Power</t>
        </is>
      </c>
      <c r="D2613" s="3" t="inlineStr">
        <is>
          <t>Utility and C&amp;I</t>
        </is>
      </c>
      <c r="E2613" s="3" t="n"/>
      <c r="F2613" s="3" t="inlineStr">
        <is>
          <t>Closed</t>
        </is>
      </c>
      <c r="G2613" s="9" t="inlineStr">
        <is>
          <t xml:space="preserve">Ashish Jindal </t>
        </is>
      </c>
      <c r="H2613" s="26" t="n">
        <v>9983975581</v>
      </c>
      <c r="I2613" s="38" t="inlineStr">
        <is>
          <t>PE01052601</t>
        </is>
      </c>
      <c r="J2613" s="26" t="inlineStr">
        <is>
          <t>Multiple Issues</t>
        </is>
      </c>
      <c r="K2613" s="39" t="inlineStr">
        <is>
          <t>Holi</t>
        </is>
      </c>
      <c r="L2613" s="39" t="inlineStr">
        <is>
          <t>Maharashtra</t>
        </is>
      </c>
      <c r="M2613" s="9" t="inlineStr">
        <is>
          <t>PS</t>
        </is>
      </c>
      <c r="N2613" s="3" t="inlineStr">
        <is>
          <t>Cold Soldering</t>
        </is>
      </c>
      <c r="O2613" s="56" t="n">
        <v>575</v>
      </c>
      <c r="P2613" s="46" t="inlineStr">
        <is>
          <t>NSMI24070183082</t>
        </is>
      </c>
      <c r="Q2613" s="54">
        <f>MID(P2613,5,2)</f>
        <v/>
      </c>
      <c r="R2613" s="53">
        <f>MID(P2613,7,2)</f>
        <v/>
      </c>
      <c r="S2613" s="3" t="inlineStr">
        <is>
          <t>G2G</t>
        </is>
      </c>
      <c r="T2613" s="3" t="inlineStr">
        <is>
          <t>P4</t>
        </is>
      </c>
      <c r="U2613" s="19" t="inlineStr">
        <is>
          <t>P JB Cold Soldering</t>
        </is>
      </c>
      <c r="V2613" s="19" t="inlineStr">
        <is>
          <t>Soldering</t>
        </is>
      </c>
      <c r="W2613" s="3" t="inlineStr">
        <is>
          <t>Repair</t>
        </is>
      </c>
      <c r="X2613" s="18" t="n">
        <v>46172</v>
      </c>
      <c r="Y2613" s="73">
        <f>IF(X2613="","",X2613-A2613)</f>
        <v/>
      </c>
      <c r="Z2613" s="18" t="n">
        <v>46172</v>
      </c>
      <c r="AA2613" s="15" t="n"/>
      <c r="AB2613" s="15" t="n"/>
      <c r="AF2613">
        <f>IF(AND($F2613="Closed",$X2613&gt;=DATE(2026,5,1),$X2613&lt;=DATE(2026,5,31)),"Closed in May","Other")</f>
        <v/>
      </c>
    </row>
    <row r="2614">
      <c r="A2614" s="37" t="n">
        <v>46143</v>
      </c>
      <c r="B2614" s="3" t="n">
        <v>2026</v>
      </c>
      <c r="C2614" s="26" t="inlineStr">
        <is>
          <t>Yanara Power</t>
        </is>
      </c>
      <c r="D2614" s="3" t="inlineStr">
        <is>
          <t>Utility and C&amp;I</t>
        </is>
      </c>
      <c r="E2614" s="3" t="n"/>
      <c r="F2614" s="3" t="inlineStr">
        <is>
          <t>Closed</t>
        </is>
      </c>
      <c r="G2614" s="9" t="inlineStr">
        <is>
          <t xml:space="preserve">Ashish Jindal </t>
        </is>
      </c>
      <c r="H2614" s="26" t="n">
        <v>9983975581</v>
      </c>
      <c r="I2614" s="38" t="inlineStr">
        <is>
          <t>PE01052601</t>
        </is>
      </c>
      <c r="J2614" s="26" t="inlineStr">
        <is>
          <t>Multiple Issues</t>
        </is>
      </c>
      <c r="K2614" s="39" t="inlineStr">
        <is>
          <t>Holi</t>
        </is>
      </c>
      <c r="L2614" s="39" t="inlineStr">
        <is>
          <t>Maharashtra</t>
        </is>
      </c>
      <c r="M2614" s="9" t="inlineStr">
        <is>
          <t>PS</t>
        </is>
      </c>
      <c r="N2614" s="3" t="inlineStr">
        <is>
          <t>Cold Soldering</t>
        </is>
      </c>
      <c r="O2614" s="56" t="n">
        <v>575</v>
      </c>
      <c r="P2614" s="46" t="inlineStr">
        <is>
          <t>NSMI24070183054</t>
        </is>
      </c>
      <c r="Q2614" s="54">
        <f>MID(P2614,5,2)</f>
        <v/>
      </c>
      <c r="R2614" s="53">
        <f>MID(P2614,7,2)</f>
        <v/>
      </c>
      <c r="S2614" s="3" t="inlineStr">
        <is>
          <t>G2G</t>
        </is>
      </c>
      <c r="T2614" s="3" t="inlineStr">
        <is>
          <t>P4</t>
        </is>
      </c>
      <c r="U2614" s="19" t="inlineStr">
        <is>
          <t>P JB Cold Soldering</t>
        </is>
      </c>
      <c r="V2614" s="19" t="inlineStr">
        <is>
          <t>Soldering</t>
        </is>
      </c>
      <c r="W2614" s="3" t="inlineStr">
        <is>
          <t>Repair</t>
        </is>
      </c>
      <c r="X2614" s="18" t="n">
        <v>46172</v>
      </c>
      <c r="Y2614" s="73">
        <f>IF(X2614="","",X2614-A2614)</f>
        <v/>
      </c>
      <c r="Z2614" s="18" t="n">
        <v>46172</v>
      </c>
      <c r="AA2614" s="15" t="n"/>
      <c r="AB2614" s="15" t="n"/>
      <c r="AF2614">
        <f>IF(AND($F2614="Closed",$X2614&gt;=DATE(2026,5,1),$X2614&lt;=DATE(2026,5,31)),"Closed in May","Other")</f>
        <v/>
      </c>
    </row>
    <row r="2615">
      <c r="A2615" s="37" t="n">
        <v>46143</v>
      </c>
      <c r="B2615" s="3" t="n">
        <v>2026</v>
      </c>
      <c r="C2615" s="26" t="inlineStr">
        <is>
          <t>Yanara Power</t>
        </is>
      </c>
      <c r="D2615" s="3" t="inlineStr">
        <is>
          <t>Utility and C&amp;I</t>
        </is>
      </c>
      <c r="E2615" s="3" t="n"/>
      <c r="F2615" s="3" t="inlineStr">
        <is>
          <t>Closed</t>
        </is>
      </c>
      <c r="G2615" s="9" t="inlineStr">
        <is>
          <t xml:space="preserve">Ashish Jindal </t>
        </is>
      </c>
      <c r="H2615" s="26" t="n">
        <v>9983975581</v>
      </c>
      <c r="I2615" s="38" t="inlineStr">
        <is>
          <t>PE01052601</t>
        </is>
      </c>
      <c r="J2615" s="26" t="inlineStr">
        <is>
          <t>Multiple Issues</t>
        </is>
      </c>
      <c r="K2615" s="39" t="inlineStr">
        <is>
          <t>Holi</t>
        </is>
      </c>
      <c r="L2615" s="39" t="inlineStr">
        <is>
          <t>Maharashtra</t>
        </is>
      </c>
      <c r="M2615" s="9" t="inlineStr">
        <is>
          <t>NS</t>
        </is>
      </c>
      <c r="N2615" s="3" t="inlineStr">
        <is>
          <t>Cold Soldering</t>
        </is>
      </c>
      <c r="O2615" s="56" t="n">
        <v>575</v>
      </c>
      <c r="P2615" s="46" t="inlineStr">
        <is>
          <t>NSMI24070183088</t>
        </is>
      </c>
      <c r="Q2615" s="54">
        <f>MID(P2615,5,2)</f>
        <v/>
      </c>
      <c r="R2615" s="53">
        <f>MID(P2615,7,2)</f>
        <v/>
      </c>
      <c r="S2615" s="3" t="inlineStr">
        <is>
          <t>G2G</t>
        </is>
      </c>
      <c r="T2615" s="3" t="inlineStr">
        <is>
          <t>P4</t>
        </is>
      </c>
      <c r="U2615" s="3" t="inlineStr">
        <is>
          <t>N JB Cold Soldering</t>
        </is>
      </c>
      <c r="V2615" s="3" t="inlineStr">
        <is>
          <t>Soldering</t>
        </is>
      </c>
      <c r="W2615" s="3" t="inlineStr">
        <is>
          <t>Repair</t>
        </is>
      </c>
      <c r="X2615" s="18" t="n">
        <v>46172</v>
      </c>
      <c r="Y2615" s="73">
        <f>IF(X2615="","",X2615-A2615)</f>
        <v/>
      </c>
      <c r="Z2615" s="18" t="n">
        <v>46172</v>
      </c>
      <c r="AA2615" s="15" t="n"/>
      <c r="AB2615" s="15" t="n"/>
      <c r="AF2615">
        <f>IF(AND($F2615="Closed",$X2615&gt;=DATE(2026,5,1),$X2615&lt;=DATE(2026,5,31)),"Closed in May","Other")</f>
        <v/>
      </c>
    </row>
    <row r="2616">
      <c r="A2616" s="37" t="n">
        <v>46143</v>
      </c>
      <c r="B2616" s="3" t="n">
        <v>2026</v>
      </c>
      <c r="C2616" s="26" t="inlineStr">
        <is>
          <t>Yanara Power</t>
        </is>
      </c>
      <c r="D2616" s="3" t="inlineStr">
        <is>
          <t>Utility and C&amp;I</t>
        </is>
      </c>
      <c r="E2616" s="3" t="n"/>
      <c r="F2616" s="3" t="inlineStr">
        <is>
          <t>Closed</t>
        </is>
      </c>
      <c r="G2616" s="9" t="inlineStr">
        <is>
          <t xml:space="preserve">Ashish Jindal </t>
        </is>
      </c>
      <c r="H2616" s="26" t="n">
        <v>9983975581</v>
      </c>
      <c r="I2616" s="38" t="inlineStr">
        <is>
          <t>PE01052601</t>
        </is>
      </c>
      <c r="J2616" s="26" t="inlineStr">
        <is>
          <t>Multiple Issues</t>
        </is>
      </c>
      <c r="K2616" s="39" t="inlineStr">
        <is>
          <t>Holi</t>
        </is>
      </c>
      <c r="L2616" s="39" t="inlineStr">
        <is>
          <t>Maharashtra</t>
        </is>
      </c>
      <c r="M2616" s="9" t="inlineStr">
        <is>
          <t>NS</t>
        </is>
      </c>
      <c r="N2616" s="3" t="inlineStr">
        <is>
          <t>Cold Soldering</t>
        </is>
      </c>
      <c r="O2616" s="56" t="n">
        <v>575</v>
      </c>
      <c r="P2616" s="46" t="inlineStr">
        <is>
          <t>NSMI24070183853</t>
        </is>
      </c>
      <c r="Q2616" s="54">
        <f>MID(P2616,5,2)</f>
        <v/>
      </c>
      <c r="R2616" s="53">
        <f>MID(P2616,7,2)</f>
        <v/>
      </c>
      <c r="S2616" s="3" t="inlineStr">
        <is>
          <t>G2G</t>
        </is>
      </c>
      <c r="T2616" s="3" t="inlineStr">
        <is>
          <t>P4</t>
        </is>
      </c>
      <c r="U2616" s="3" t="inlineStr">
        <is>
          <t>N JB Cold Soldering</t>
        </is>
      </c>
      <c r="V2616" s="3" t="inlineStr">
        <is>
          <t>Soldering</t>
        </is>
      </c>
      <c r="W2616" s="3" t="inlineStr">
        <is>
          <t>Repair</t>
        </is>
      </c>
      <c r="X2616" s="18" t="n">
        <v>46172</v>
      </c>
      <c r="Y2616" s="73">
        <f>IF(X2616="","",X2616-A2616)</f>
        <v/>
      </c>
      <c r="Z2616" s="18" t="n">
        <v>46172</v>
      </c>
      <c r="AA2616" s="15" t="n"/>
      <c r="AB2616" s="15" t="n"/>
      <c r="AF2616">
        <f>IF(AND($F2616="Closed",$X2616&gt;=DATE(2026,5,1),$X2616&lt;=DATE(2026,5,31)),"Closed in May","Other")</f>
        <v/>
      </c>
    </row>
    <row r="2617">
      <c r="A2617" s="37" t="n">
        <v>46143</v>
      </c>
      <c r="B2617" s="3" t="n">
        <v>2026</v>
      </c>
      <c r="C2617" s="26" t="inlineStr">
        <is>
          <t>Yanara Power</t>
        </is>
      </c>
      <c r="D2617" s="3" t="inlineStr">
        <is>
          <t>Utility and C&amp;I</t>
        </is>
      </c>
      <c r="E2617" s="3" t="n"/>
      <c r="F2617" s="3" t="inlineStr">
        <is>
          <t>Closed</t>
        </is>
      </c>
      <c r="G2617" s="9" t="inlineStr">
        <is>
          <t xml:space="preserve">Ashish Jindal </t>
        </is>
      </c>
      <c r="H2617" s="26" t="n">
        <v>9983975581</v>
      </c>
      <c r="I2617" s="38" t="inlineStr">
        <is>
          <t>PE01052601</t>
        </is>
      </c>
      <c r="J2617" s="26" t="inlineStr">
        <is>
          <t>Multiple Issues</t>
        </is>
      </c>
      <c r="K2617" s="39" t="inlineStr">
        <is>
          <t>Holi</t>
        </is>
      </c>
      <c r="L2617" s="39" t="inlineStr">
        <is>
          <t>Maharashtra</t>
        </is>
      </c>
      <c r="M2617" s="9" t="inlineStr">
        <is>
          <t>NS</t>
        </is>
      </c>
      <c r="N2617" s="3" t="inlineStr">
        <is>
          <t>Cold Soldering</t>
        </is>
      </c>
      <c r="O2617" s="56" t="n">
        <v>575</v>
      </c>
      <c r="P2617" s="46" t="inlineStr">
        <is>
          <t>NSMI24070184865</t>
        </is>
      </c>
      <c r="Q2617" s="54">
        <f>MID(P2617,5,2)</f>
        <v/>
      </c>
      <c r="R2617" s="53">
        <f>MID(P2617,7,2)</f>
        <v/>
      </c>
      <c r="S2617" s="3" t="inlineStr">
        <is>
          <t>G2G</t>
        </is>
      </c>
      <c r="T2617" s="3" t="inlineStr">
        <is>
          <t>P4</t>
        </is>
      </c>
      <c r="U2617" s="3" t="inlineStr">
        <is>
          <t>N JB Cold Soldering</t>
        </is>
      </c>
      <c r="V2617" s="3" t="inlineStr">
        <is>
          <t>Soldering</t>
        </is>
      </c>
      <c r="W2617" s="3" t="inlineStr">
        <is>
          <t>Repair</t>
        </is>
      </c>
      <c r="X2617" s="18" t="n">
        <v>46172</v>
      </c>
      <c r="Y2617" s="73">
        <f>IF(X2617="","",X2617-A2617)</f>
        <v/>
      </c>
      <c r="Z2617" s="18" t="n">
        <v>46172</v>
      </c>
      <c r="AA2617" s="15" t="n"/>
      <c r="AB2617" s="15" t="n"/>
      <c r="AF2617">
        <f>IF(AND($F2617="Closed",$X2617&gt;=DATE(2026,5,1),$X2617&lt;=DATE(2026,5,31)),"Closed in May","Other")</f>
        <v/>
      </c>
    </row>
    <row r="2618">
      <c r="A2618" s="37" t="n">
        <v>46143</v>
      </c>
      <c r="B2618" s="3" t="n">
        <v>2026</v>
      </c>
      <c r="C2618" s="26" t="inlineStr">
        <is>
          <t>Yanara Power</t>
        </is>
      </c>
      <c r="D2618" s="3" t="inlineStr">
        <is>
          <t>Utility and C&amp;I</t>
        </is>
      </c>
      <c r="E2618" s="3" t="n"/>
      <c r="F2618" s="3" t="inlineStr">
        <is>
          <t>Closed</t>
        </is>
      </c>
      <c r="G2618" s="9" t="inlineStr">
        <is>
          <t xml:space="preserve">Ashish Jindal </t>
        </is>
      </c>
      <c r="H2618" s="26" t="n">
        <v>9983975581</v>
      </c>
      <c r="I2618" s="38" t="inlineStr">
        <is>
          <t>PE01052601</t>
        </is>
      </c>
      <c r="J2618" s="26" t="inlineStr">
        <is>
          <t>Multiple Issues</t>
        </is>
      </c>
      <c r="K2618" s="39" t="inlineStr">
        <is>
          <t>Holi</t>
        </is>
      </c>
      <c r="L2618" s="39" t="inlineStr">
        <is>
          <t>Maharashtra</t>
        </is>
      </c>
      <c r="M2618" s="9" t="inlineStr">
        <is>
          <t>PS</t>
        </is>
      </c>
      <c r="N2618" s="3" t="inlineStr">
        <is>
          <t>Cold Soldering</t>
        </is>
      </c>
      <c r="O2618" s="56" t="n">
        <v>575</v>
      </c>
      <c r="P2618" s="47" t="inlineStr">
        <is>
          <t>NSMI24070177725</t>
        </is>
      </c>
      <c r="Q2618" s="54">
        <f>MID(P2618,5,2)</f>
        <v/>
      </c>
      <c r="R2618" s="53">
        <f>MID(P2618,7,2)</f>
        <v/>
      </c>
      <c r="S2618" s="3" t="inlineStr">
        <is>
          <t>G2G</t>
        </is>
      </c>
      <c r="T2618" s="3" t="inlineStr">
        <is>
          <t>P4</t>
        </is>
      </c>
      <c r="U2618" s="19" t="inlineStr">
        <is>
          <t>P JB Cold Soldering</t>
        </is>
      </c>
      <c r="V2618" s="19" t="inlineStr">
        <is>
          <t>Soldering</t>
        </is>
      </c>
      <c r="W2618" s="3" t="inlineStr">
        <is>
          <t>Repair</t>
        </is>
      </c>
      <c r="X2618" s="18" t="n">
        <v>46172</v>
      </c>
      <c r="Y2618" s="73">
        <f>IF(X2618="","",X2618-A2618)</f>
        <v/>
      </c>
      <c r="Z2618" s="18" t="n">
        <v>46172</v>
      </c>
      <c r="AA2618" s="15" t="n"/>
      <c r="AB2618" s="15" t="n"/>
      <c r="AF2618">
        <f>IF(AND($F2618="Closed",$X2618&gt;=DATE(2026,5,1),$X2618&lt;=DATE(2026,5,31)),"Closed in May","Other")</f>
        <v/>
      </c>
    </row>
    <row r="2619">
      <c r="A2619" s="37" t="n">
        <v>46143</v>
      </c>
      <c r="B2619" s="3" t="n">
        <v>2026</v>
      </c>
      <c r="C2619" s="26" t="inlineStr">
        <is>
          <t>Yanara Power</t>
        </is>
      </c>
      <c r="D2619" s="3" t="inlineStr">
        <is>
          <t>Utility and C&amp;I</t>
        </is>
      </c>
      <c r="E2619" s="3" t="n"/>
      <c r="F2619" s="3" t="inlineStr">
        <is>
          <t>Closed</t>
        </is>
      </c>
      <c r="G2619" s="9" t="inlineStr">
        <is>
          <t xml:space="preserve">Ashish Jindal </t>
        </is>
      </c>
      <c r="H2619" s="26" t="n">
        <v>9983975581</v>
      </c>
      <c r="I2619" s="38" t="inlineStr">
        <is>
          <t>PE01052601</t>
        </is>
      </c>
      <c r="J2619" s="26" t="inlineStr">
        <is>
          <t>Multiple Issues</t>
        </is>
      </c>
      <c r="K2619" s="39" t="inlineStr">
        <is>
          <t>Holi</t>
        </is>
      </c>
      <c r="L2619" s="39" t="inlineStr">
        <is>
          <t>Maharashtra</t>
        </is>
      </c>
      <c r="M2619" s="9" t="inlineStr">
        <is>
          <t>PS</t>
        </is>
      </c>
      <c r="N2619" s="3" t="inlineStr">
        <is>
          <t>Cold Soldering</t>
        </is>
      </c>
      <c r="O2619" s="56" t="n">
        <v>575</v>
      </c>
      <c r="P2619" s="46" t="inlineStr">
        <is>
          <t>NSMI24070183672</t>
        </is>
      </c>
      <c r="Q2619" s="54">
        <f>MID(P2619,5,2)</f>
        <v/>
      </c>
      <c r="R2619" s="53">
        <f>MID(P2619,7,2)</f>
        <v/>
      </c>
      <c r="S2619" s="3" t="inlineStr">
        <is>
          <t>G2G</t>
        </is>
      </c>
      <c r="T2619" s="3" t="inlineStr">
        <is>
          <t>P4</t>
        </is>
      </c>
      <c r="U2619" s="19" t="inlineStr">
        <is>
          <t>P JB Cold Soldering</t>
        </is>
      </c>
      <c r="V2619" s="19" t="inlineStr">
        <is>
          <t>Soldering</t>
        </is>
      </c>
      <c r="W2619" s="3" t="inlineStr">
        <is>
          <t>Repair</t>
        </is>
      </c>
      <c r="X2619" s="18" t="n">
        <v>46173</v>
      </c>
      <c r="Y2619" s="73">
        <f>IF(X2619="","",X2619-A2619)</f>
        <v/>
      </c>
      <c r="Z2619" s="18" t="n">
        <v>46173</v>
      </c>
      <c r="AA2619" s="15" t="n"/>
      <c r="AB2619" s="15" t="n"/>
      <c r="AF2619">
        <f>IF(AND($F2619="Closed",$X2619&gt;=DATE(2026,5,1),$X2619&lt;=DATE(2026,5,31)),"Closed in May","Other")</f>
        <v/>
      </c>
    </row>
    <row r="2620">
      <c r="A2620" s="37" t="n">
        <v>46143</v>
      </c>
      <c r="B2620" s="3" t="n">
        <v>2026</v>
      </c>
      <c r="C2620" s="26" t="inlineStr">
        <is>
          <t>Yanara Power</t>
        </is>
      </c>
      <c r="D2620" s="3" t="inlineStr">
        <is>
          <t>Utility and C&amp;I</t>
        </is>
      </c>
      <c r="E2620" s="3" t="n"/>
      <c r="F2620" s="3" t="inlineStr">
        <is>
          <t>Closed</t>
        </is>
      </c>
      <c r="G2620" s="9" t="inlineStr">
        <is>
          <t xml:space="preserve">Ashish Jindal </t>
        </is>
      </c>
      <c r="H2620" s="26" t="n">
        <v>9983975581</v>
      </c>
      <c r="I2620" s="38" t="inlineStr">
        <is>
          <t>PE01052601</t>
        </is>
      </c>
      <c r="J2620" s="26" t="inlineStr">
        <is>
          <t>Multiple Issues</t>
        </is>
      </c>
      <c r="K2620" s="39" t="inlineStr">
        <is>
          <t>Holi</t>
        </is>
      </c>
      <c r="L2620" s="39" t="inlineStr">
        <is>
          <t>Maharashtra</t>
        </is>
      </c>
      <c r="M2620" s="9" t="inlineStr">
        <is>
          <t>PS</t>
        </is>
      </c>
      <c r="N2620" s="3" t="inlineStr">
        <is>
          <t>Cold Soldering</t>
        </is>
      </c>
      <c r="O2620" s="56" t="n">
        <v>575</v>
      </c>
      <c r="P2620" s="46" t="inlineStr">
        <is>
          <t>NSMI24070183614</t>
        </is>
      </c>
      <c r="Q2620" s="54">
        <f>MID(P2620,5,2)</f>
        <v/>
      </c>
      <c r="R2620" s="53">
        <f>MID(P2620,7,2)</f>
        <v/>
      </c>
      <c r="S2620" s="3" t="inlineStr">
        <is>
          <t>G2G</t>
        </is>
      </c>
      <c r="T2620" s="3" t="inlineStr">
        <is>
          <t>P4</t>
        </is>
      </c>
      <c r="U2620" s="19" t="inlineStr">
        <is>
          <t>P JB Cold Soldering</t>
        </is>
      </c>
      <c r="V2620" s="19" t="inlineStr">
        <is>
          <t>Soldering</t>
        </is>
      </c>
      <c r="W2620" s="3" t="inlineStr">
        <is>
          <t>Repair</t>
        </is>
      </c>
      <c r="X2620" s="18" t="n">
        <v>46173</v>
      </c>
      <c r="Y2620" s="73">
        <f>IF(X2620="","",X2620-A2620)</f>
        <v/>
      </c>
      <c r="Z2620" s="18" t="n">
        <v>46173</v>
      </c>
      <c r="AA2620" s="15" t="n"/>
      <c r="AB2620" s="15" t="n"/>
      <c r="AF2620">
        <f>IF(AND($F2620="Closed",$X2620&gt;=DATE(2026,5,1),$X2620&lt;=DATE(2026,5,31)),"Closed in May","Other")</f>
        <v/>
      </c>
    </row>
    <row r="2621">
      <c r="A2621" s="37" t="n">
        <v>46143</v>
      </c>
      <c r="B2621" s="3" t="n">
        <v>2026</v>
      </c>
      <c r="C2621" s="26" t="inlineStr">
        <is>
          <t>Yanara Power</t>
        </is>
      </c>
      <c r="D2621" s="3" t="inlineStr">
        <is>
          <t>Utility and C&amp;I</t>
        </is>
      </c>
      <c r="E2621" s="3" t="n"/>
      <c r="F2621" s="3" t="inlineStr">
        <is>
          <t>Closed</t>
        </is>
      </c>
      <c r="G2621" s="9" t="inlineStr">
        <is>
          <t xml:space="preserve">Ashish Jindal </t>
        </is>
      </c>
      <c r="H2621" s="26" t="n">
        <v>9983975581</v>
      </c>
      <c r="I2621" s="38" t="inlineStr">
        <is>
          <t>PE01052601</t>
        </is>
      </c>
      <c r="J2621" s="26" t="inlineStr">
        <is>
          <t>Multiple Issues</t>
        </is>
      </c>
      <c r="K2621" s="39" t="inlineStr">
        <is>
          <t>Holi</t>
        </is>
      </c>
      <c r="L2621" s="39" t="inlineStr">
        <is>
          <t>Maharashtra</t>
        </is>
      </c>
      <c r="M2621" s="9" t="inlineStr">
        <is>
          <t>NS</t>
        </is>
      </c>
      <c r="N2621" s="3" t="inlineStr">
        <is>
          <t>Cold Soldering</t>
        </is>
      </c>
      <c r="O2621" s="56" t="n">
        <v>575</v>
      </c>
      <c r="P2621" s="46" t="inlineStr">
        <is>
          <t>NSMI24070184020</t>
        </is>
      </c>
      <c r="Q2621" s="54">
        <f>MID(P2621,5,2)</f>
        <v/>
      </c>
      <c r="R2621" s="53">
        <f>MID(P2621,7,2)</f>
        <v/>
      </c>
      <c r="S2621" s="3" t="inlineStr">
        <is>
          <t>G2G</t>
        </is>
      </c>
      <c r="T2621" s="3" t="inlineStr">
        <is>
          <t>P4</t>
        </is>
      </c>
      <c r="U2621" s="3" t="inlineStr">
        <is>
          <t>N JB Cold Soldering</t>
        </is>
      </c>
      <c r="V2621" s="3" t="inlineStr">
        <is>
          <t>Soldering</t>
        </is>
      </c>
      <c r="W2621" s="3" t="inlineStr">
        <is>
          <t>Repair</t>
        </is>
      </c>
      <c r="X2621" s="18" t="n">
        <v>46173</v>
      </c>
      <c r="Y2621" s="73">
        <f>IF(X2621="","",X2621-A2621)</f>
        <v/>
      </c>
      <c r="Z2621" s="18" t="n">
        <v>46173</v>
      </c>
      <c r="AA2621" s="15" t="n"/>
      <c r="AB2621" s="15" t="n"/>
      <c r="AF2621">
        <f>IF(AND($F2621="Closed",$X2621&gt;=DATE(2026,5,1),$X2621&lt;=DATE(2026,5,31)),"Closed in May","Other")</f>
        <v/>
      </c>
    </row>
    <row r="2622">
      <c r="A2622" s="37" t="n">
        <v>46143</v>
      </c>
      <c r="B2622" s="3" t="n">
        <v>2026</v>
      </c>
      <c r="C2622" s="26" t="inlineStr">
        <is>
          <t>Yanara Power</t>
        </is>
      </c>
      <c r="D2622" s="3" t="inlineStr">
        <is>
          <t>Utility and C&amp;I</t>
        </is>
      </c>
      <c r="E2622" s="3" t="n"/>
      <c r="F2622" s="3" t="inlineStr">
        <is>
          <t>Closed</t>
        </is>
      </c>
      <c r="G2622" s="9" t="inlineStr">
        <is>
          <t xml:space="preserve">Ashish Jindal </t>
        </is>
      </c>
      <c r="H2622" s="26" t="n">
        <v>9983975581</v>
      </c>
      <c r="I2622" s="38" t="inlineStr">
        <is>
          <t>PE01052601</t>
        </is>
      </c>
      <c r="J2622" s="26" t="inlineStr">
        <is>
          <t>Multiple Issues</t>
        </is>
      </c>
      <c r="K2622" s="39" t="inlineStr">
        <is>
          <t>Holi</t>
        </is>
      </c>
      <c r="L2622" s="39" t="inlineStr">
        <is>
          <t>Maharashtra</t>
        </is>
      </c>
      <c r="M2622" s="9" t="inlineStr">
        <is>
          <t>PS</t>
        </is>
      </c>
      <c r="N2622" s="3" t="inlineStr">
        <is>
          <t>Cold Soldering</t>
        </is>
      </c>
      <c r="O2622" s="56" t="n">
        <v>575</v>
      </c>
      <c r="P2622" s="46" t="inlineStr">
        <is>
          <t>NSMI24070178368</t>
        </is>
      </c>
      <c r="Q2622" s="54">
        <f>MID(P2622,5,2)</f>
        <v/>
      </c>
      <c r="R2622" s="53">
        <f>MID(P2622,7,2)</f>
        <v/>
      </c>
      <c r="S2622" s="3" t="inlineStr">
        <is>
          <t>G2G</t>
        </is>
      </c>
      <c r="T2622" s="3" t="inlineStr">
        <is>
          <t>P4</t>
        </is>
      </c>
      <c r="U2622" s="19" t="inlineStr">
        <is>
          <t>P JB Cold Soldering</t>
        </is>
      </c>
      <c r="V2622" s="19" t="inlineStr">
        <is>
          <t>Soldering</t>
        </is>
      </c>
      <c r="W2622" s="3" t="inlineStr">
        <is>
          <t>Repair</t>
        </is>
      </c>
      <c r="X2622" s="18" t="n">
        <v>46173</v>
      </c>
      <c r="Y2622" s="73">
        <f>IF(X2622="","",X2622-A2622)</f>
        <v/>
      </c>
      <c r="Z2622" s="18" t="n">
        <v>46173</v>
      </c>
      <c r="AA2622" s="15" t="n"/>
      <c r="AB2622" s="15" t="n"/>
      <c r="AF2622">
        <f>IF(AND($F2622="Closed",$X2622&gt;=DATE(2026,5,1),$X2622&lt;=DATE(2026,5,31)),"Closed in May","Other")</f>
        <v/>
      </c>
    </row>
    <row r="2623">
      <c r="A2623" s="37" t="n">
        <v>46143</v>
      </c>
      <c r="B2623" s="3" t="n">
        <v>2026</v>
      </c>
      <c r="C2623" s="26" t="inlineStr">
        <is>
          <t>Yanara Power</t>
        </is>
      </c>
      <c r="D2623" s="3" t="inlineStr">
        <is>
          <t>Utility and C&amp;I</t>
        </is>
      </c>
      <c r="E2623" s="3" t="n"/>
      <c r="F2623" s="3" t="inlineStr">
        <is>
          <t>Closed</t>
        </is>
      </c>
      <c r="G2623" s="9" t="inlineStr">
        <is>
          <t xml:space="preserve">Ashish Jindal </t>
        </is>
      </c>
      <c r="H2623" s="26" t="n">
        <v>9983975581</v>
      </c>
      <c r="I2623" s="38" t="inlineStr">
        <is>
          <t>PE01052601</t>
        </is>
      </c>
      <c r="J2623" s="26" t="inlineStr">
        <is>
          <t>Multiple Issues</t>
        </is>
      </c>
      <c r="K2623" s="39" t="inlineStr">
        <is>
          <t>Holi</t>
        </is>
      </c>
      <c r="L2623" s="39" t="inlineStr">
        <is>
          <t>Maharashtra</t>
        </is>
      </c>
      <c r="M2623" s="9" t="inlineStr">
        <is>
          <t>PS</t>
        </is>
      </c>
      <c r="N2623" s="3" t="inlineStr">
        <is>
          <t>Cold Soldering</t>
        </is>
      </c>
      <c r="O2623" s="56" t="n">
        <v>575</v>
      </c>
      <c r="P2623" s="46" t="inlineStr">
        <is>
          <t>NSMI24070178347</t>
        </is>
      </c>
      <c r="Q2623" s="54">
        <f>MID(P2623,5,2)</f>
        <v/>
      </c>
      <c r="R2623" s="53">
        <f>MID(P2623,7,2)</f>
        <v/>
      </c>
      <c r="S2623" s="3" t="inlineStr">
        <is>
          <t>G2G</t>
        </is>
      </c>
      <c r="T2623" s="3" t="inlineStr">
        <is>
          <t>P4</t>
        </is>
      </c>
      <c r="U2623" s="19" t="inlineStr">
        <is>
          <t>P JB Cold Soldering</t>
        </is>
      </c>
      <c r="V2623" s="19" t="inlineStr">
        <is>
          <t>Soldering</t>
        </is>
      </c>
      <c r="W2623" s="3" t="inlineStr">
        <is>
          <t>Repair</t>
        </is>
      </c>
      <c r="X2623" s="18" t="n">
        <v>46173</v>
      </c>
      <c r="Y2623" s="73">
        <f>IF(X2623="","",X2623-A2623)</f>
        <v/>
      </c>
      <c r="Z2623" s="18" t="n">
        <v>46173</v>
      </c>
      <c r="AA2623" s="15" t="n"/>
      <c r="AB2623" s="15" t="n"/>
      <c r="AF2623">
        <f>IF(AND($F2623="Closed",$X2623&gt;=DATE(2026,5,1),$X2623&lt;=DATE(2026,5,31)),"Closed in May","Other")</f>
        <v/>
      </c>
    </row>
    <row r="2624">
      <c r="A2624" s="37" t="n">
        <v>46143</v>
      </c>
      <c r="B2624" s="3" t="n">
        <v>2026</v>
      </c>
      <c r="C2624" s="26" t="inlineStr">
        <is>
          <t>Yanara Power</t>
        </is>
      </c>
      <c r="D2624" s="3" t="inlineStr">
        <is>
          <t>Utility and C&amp;I</t>
        </is>
      </c>
      <c r="E2624" s="3" t="n"/>
      <c r="F2624" s="3" t="inlineStr">
        <is>
          <t>Closed</t>
        </is>
      </c>
      <c r="G2624" s="9" t="inlineStr">
        <is>
          <t xml:space="preserve">Ashish Jindal </t>
        </is>
      </c>
      <c r="H2624" s="26" t="n">
        <v>9983975581</v>
      </c>
      <c r="I2624" s="38" t="inlineStr">
        <is>
          <t>PE01052601</t>
        </is>
      </c>
      <c r="J2624" s="26" t="inlineStr">
        <is>
          <t>Multiple Issues</t>
        </is>
      </c>
      <c r="K2624" s="39" t="inlineStr">
        <is>
          <t>Holi</t>
        </is>
      </c>
      <c r="L2624" s="39" t="inlineStr">
        <is>
          <t>Maharashtra</t>
        </is>
      </c>
      <c r="M2624" s="9" t="inlineStr">
        <is>
          <t>PS</t>
        </is>
      </c>
      <c r="N2624" s="3" t="inlineStr">
        <is>
          <t>Cold Soldering</t>
        </is>
      </c>
      <c r="O2624" s="56" t="n">
        <v>575</v>
      </c>
      <c r="P2624" s="46" t="inlineStr">
        <is>
          <t>NSMI24070184673</t>
        </is>
      </c>
      <c r="Q2624" s="54">
        <f>MID(P2624,5,2)</f>
        <v/>
      </c>
      <c r="R2624" s="53">
        <f>MID(P2624,7,2)</f>
        <v/>
      </c>
      <c r="S2624" s="3" t="inlineStr">
        <is>
          <t>G2G</t>
        </is>
      </c>
      <c r="T2624" s="3" t="inlineStr">
        <is>
          <t>P4</t>
        </is>
      </c>
      <c r="U2624" s="19" t="inlineStr">
        <is>
          <t>P JB Cold Soldering</t>
        </is>
      </c>
      <c r="V2624" s="19" t="inlineStr">
        <is>
          <t>Soldering</t>
        </is>
      </c>
      <c r="W2624" s="3" t="inlineStr">
        <is>
          <t>Repair</t>
        </is>
      </c>
      <c r="X2624" s="18" t="n">
        <v>46173</v>
      </c>
      <c r="Y2624" s="73">
        <f>IF(X2624="","",X2624-A2624)</f>
        <v/>
      </c>
      <c r="Z2624" s="18" t="n">
        <v>46173</v>
      </c>
      <c r="AA2624" s="15" t="n"/>
      <c r="AB2624" s="15" t="n"/>
      <c r="AF2624">
        <f>IF(AND($F2624="Closed",$X2624&gt;=DATE(2026,5,1),$X2624&lt;=DATE(2026,5,31)),"Closed in May","Other")</f>
        <v/>
      </c>
    </row>
    <row r="2625">
      <c r="A2625" s="37" t="n">
        <v>46143</v>
      </c>
      <c r="B2625" s="3" t="n">
        <v>2026</v>
      </c>
      <c r="C2625" s="26" t="inlineStr">
        <is>
          <t>Yanara Power</t>
        </is>
      </c>
      <c r="D2625" s="3" t="inlineStr">
        <is>
          <t>Utility and C&amp;I</t>
        </is>
      </c>
      <c r="E2625" s="3" t="n"/>
      <c r="F2625" s="3" t="inlineStr">
        <is>
          <t>Closed</t>
        </is>
      </c>
      <c r="G2625" s="9" t="inlineStr">
        <is>
          <t xml:space="preserve">Ashish Jindal </t>
        </is>
      </c>
      <c r="H2625" s="26" t="n">
        <v>9983975581</v>
      </c>
      <c r="I2625" s="38" t="inlineStr">
        <is>
          <t>PE01052601</t>
        </is>
      </c>
      <c r="J2625" s="26" t="inlineStr">
        <is>
          <t>Multiple Issues</t>
        </is>
      </c>
      <c r="K2625" s="39" t="inlineStr">
        <is>
          <t>Holi</t>
        </is>
      </c>
      <c r="L2625" s="39" t="inlineStr">
        <is>
          <t>Maharashtra</t>
        </is>
      </c>
      <c r="M2625" s="9" t="inlineStr">
        <is>
          <t>PS</t>
        </is>
      </c>
      <c r="N2625" s="3" t="inlineStr">
        <is>
          <t>Cold Soldering</t>
        </is>
      </c>
      <c r="O2625" s="56" t="n">
        <v>575</v>
      </c>
      <c r="P2625" s="46" t="inlineStr">
        <is>
          <t>NSMI24070184571</t>
        </is>
      </c>
      <c r="Q2625" s="54">
        <f>MID(P2625,5,2)</f>
        <v/>
      </c>
      <c r="R2625" s="53">
        <f>MID(P2625,7,2)</f>
        <v/>
      </c>
      <c r="S2625" s="3" t="inlineStr">
        <is>
          <t>G2G</t>
        </is>
      </c>
      <c r="T2625" s="3" t="inlineStr">
        <is>
          <t>P4</t>
        </is>
      </c>
      <c r="U2625" s="19" t="inlineStr">
        <is>
          <t>P JB Cold Soldering</t>
        </is>
      </c>
      <c r="V2625" s="19" t="inlineStr">
        <is>
          <t>Soldering</t>
        </is>
      </c>
      <c r="W2625" s="3" t="inlineStr">
        <is>
          <t>Repair</t>
        </is>
      </c>
      <c r="X2625" s="18" t="n">
        <v>46173</v>
      </c>
      <c r="Y2625" s="73">
        <f>IF(X2625="","",X2625-A2625)</f>
        <v/>
      </c>
      <c r="Z2625" s="18" t="n">
        <v>46173</v>
      </c>
      <c r="AA2625" s="15" t="n"/>
      <c r="AB2625" s="15" t="n"/>
      <c r="AF2625">
        <f>IF(AND($F2625="Closed",$X2625&gt;=DATE(2026,5,1),$X2625&lt;=DATE(2026,5,31)),"Closed in May","Other")</f>
        <v/>
      </c>
    </row>
    <row r="2626">
      <c r="A2626" s="37" t="n">
        <v>46143</v>
      </c>
      <c r="B2626" s="3" t="n">
        <v>2026</v>
      </c>
      <c r="C2626" s="26" t="inlineStr">
        <is>
          <t>Yanara Power</t>
        </is>
      </c>
      <c r="D2626" s="3" t="inlineStr">
        <is>
          <t>Utility and C&amp;I</t>
        </is>
      </c>
      <c r="E2626" s="3" t="n"/>
      <c r="F2626" s="3" t="inlineStr">
        <is>
          <t>Closed</t>
        </is>
      </c>
      <c r="G2626" s="9" t="inlineStr">
        <is>
          <t xml:space="preserve">Ashish Jindal </t>
        </is>
      </c>
      <c r="H2626" s="26" t="n">
        <v>9983975581</v>
      </c>
      <c r="I2626" s="38" t="inlineStr">
        <is>
          <t>PE01052601</t>
        </is>
      </c>
      <c r="J2626" s="26" t="inlineStr">
        <is>
          <t>Multiple Issues</t>
        </is>
      </c>
      <c r="K2626" s="39" t="inlineStr">
        <is>
          <t>Holi</t>
        </is>
      </c>
      <c r="L2626" s="39" t="inlineStr">
        <is>
          <t>Maharashtra</t>
        </is>
      </c>
      <c r="M2626" s="9" t="inlineStr">
        <is>
          <t>PS</t>
        </is>
      </c>
      <c r="N2626" s="3" t="inlineStr">
        <is>
          <t>Cold Soldering</t>
        </is>
      </c>
      <c r="O2626" s="56" t="n">
        <v>575</v>
      </c>
      <c r="P2626" s="46" t="inlineStr">
        <is>
          <t>NSMI24070188097</t>
        </is>
      </c>
      <c r="Q2626" s="54">
        <f>MID(P2626,5,2)</f>
        <v/>
      </c>
      <c r="R2626" s="53">
        <f>MID(P2626,7,2)</f>
        <v/>
      </c>
      <c r="S2626" s="3" t="inlineStr">
        <is>
          <t>G2G</t>
        </is>
      </c>
      <c r="T2626" s="3" t="inlineStr">
        <is>
          <t>P4</t>
        </is>
      </c>
      <c r="U2626" s="19" t="inlineStr">
        <is>
          <t>P JB Cold Soldering</t>
        </is>
      </c>
      <c r="V2626" s="19" t="inlineStr">
        <is>
          <t>Soldering</t>
        </is>
      </c>
      <c r="W2626" s="3" t="inlineStr">
        <is>
          <t>Repair</t>
        </is>
      </c>
      <c r="X2626" s="18" t="n">
        <v>46173</v>
      </c>
      <c r="Y2626" s="73">
        <f>IF(X2626="","",X2626-A2626)</f>
        <v/>
      </c>
      <c r="Z2626" s="18" t="n">
        <v>46173</v>
      </c>
      <c r="AA2626" s="15" t="n"/>
      <c r="AB2626" s="15" t="n"/>
      <c r="AF2626">
        <f>IF(AND($F2626="Closed",$X2626&gt;=DATE(2026,5,1),$X2626&lt;=DATE(2026,5,31)),"Closed in May","Other")</f>
        <v/>
      </c>
    </row>
    <row r="2627">
      <c r="A2627" s="37" t="n">
        <v>46143</v>
      </c>
      <c r="B2627" s="3" t="n">
        <v>2026</v>
      </c>
      <c r="C2627" s="26" t="inlineStr">
        <is>
          <t>Yanara Power</t>
        </is>
      </c>
      <c r="D2627" s="3" t="inlineStr">
        <is>
          <t>Utility and C&amp;I</t>
        </is>
      </c>
      <c r="E2627" s="3" t="n"/>
      <c r="F2627" s="3" t="inlineStr">
        <is>
          <t>Closed</t>
        </is>
      </c>
      <c r="G2627" s="9" t="inlineStr">
        <is>
          <t xml:space="preserve">Ashish Jindal </t>
        </is>
      </c>
      <c r="H2627" s="26" t="n">
        <v>9983975581</v>
      </c>
      <c r="I2627" s="38" t="inlineStr">
        <is>
          <t>PE01052601</t>
        </is>
      </c>
      <c r="J2627" s="26" t="inlineStr">
        <is>
          <t>Multiple Issues</t>
        </is>
      </c>
      <c r="K2627" s="39" t="inlineStr">
        <is>
          <t>Holi</t>
        </is>
      </c>
      <c r="L2627" s="39" t="inlineStr">
        <is>
          <t>Maharashtra</t>
        </is>
      </c>
      <c r="M2627" s="9" t="inlineStr">
        <is>
          <t>PR</t>
        </is>
      </c>
      <c r="N2627" s="3" t="inlineStr">
        <is>
          <t>JB Issue</t>
        </is>
      </c>
      <c r="O2627" s="56" t="n">
        <v>575</v>
      </c>
      <c r="P2627" s="46" t="inlineStr">
        <is>
          <t>NSMI24070178115</t>
        </is>
      </c>
      <c r="Q2627" s="54">
        <f>MID(P2627,5,2)</f>
        <v/>
      </c>
      <c r="R2627" s="53">
        <f>MID(P2627,7,2)</f>
        <v/>
      </c>
      <c r="S2627" s="3" t="inlineStr">
        <is>
          <t>G2G</t>
        </is>
      </c>
      <c r="T2627" s="3" t="inlineStr">
        <is>
          <t>P4</t>
        </is>
      </c>
      <c r="U2627" s="3" t="inlineStr">
        <is>
          <t>P JB Issue</t>
        </is>
      </c>
      <c r="V2627" s="15" t="inlineStr">
        <is>
          <t>JB Changed</t>
        </is>
      </c>
      <c r="W2627" s="3" t="inlineStr">
        <is>
          <t>Repair</t>
        </is>
      </c>
      <c r="X2627" s="18" t="n">
        <v>46173</v>
      </c>
      <c r="Y2627" s="73">
        <f>IF(X2627="","",X2627-A2627)</f>
        <v/>
      </c>
      <c r="Z2627" s="18" t="n">
        <v>46173</v>
      </c>
      <c r="AA2627" s="15" t="n"/>
      <c r="AB2627" s="15" t="n"/>
      <c r="AF2627">
        <f>IF(AND($F2627="Closed",$X2627&gt;=DATE(2026,5,1),$X2627&lt;=DATE(2026,5,31)),"Closed in May","Other")</f>
        <v/>
      </c>
    </row>
    <row r="2628">
      <c r="A2628" s="37" t="n">
        <v>46143</v>
      </c>
      <c r="B2628" s="3" t="n">
        <v>2026</v>
      </c>
      <c r="C2628" s="26" t="inlineStr">
        <is>
          <t>Yanara Power</t>
        </is>
      </c>
      <c r="D2628" s="3" t="inlineStr">
        <is>
          <t>Utility and C&amp;I</t>
        </is>
      </c>
      <c r="E2628" s="3" t="n"/>
      <c r="F2628" s="3" t="inlineStr">
        <is>
          <t>Closed</t>
        </is>
      </c>
      <c r="G2628" s="9" t="inlineStr">
        <is>
          <t xml:space="preserve">Ashish Jindal </t>
        </is>
      </c>
      <c r="H2628" s="26" t="n">
        <v>9983975581</v>
      </c>
      <c r="I2628" s="38" t="inlineStr">
        <is>
          <t>PE01052601</t>
        </is>
      </c>
      <c r="J2628" s="26" t="inlineStr">
        <is>
          <t>Multiple Issues</t>
        </is>
      </c>
      <c r="K2628" s="39" t="inlineStr">
        <is>
          <t>Holi</t>
        </is>
      </c>
      <c r="L2628" s="39" t="inlineStr">
        <is>
          <t>Maharashtra</t>
        </is>
      </c>
      <c r="M2628" s="9" t="inlineStr">
        <is>
          <t>PS</t>
        </is>
      </c>
      <c r="N2628" s="3" t="inlineStr">
        <is>
          <t>Cold Soldering</t>
        </is>
      </c>
      <c r="O2628" s="56" t="n">
        <v>575</v>
      </c>
      <c r="P2628" s="46" t="inlineStr">
        <is>
          <t>NSMI24070183486</t>
        </is>
      </c>
      <c r="Q2628" s="54">
        <f>MID(P2628,5,2)</f>
        <v/>
      </c>
      <c r="R2628" s="53">
        <f>MID(P2628,7,2)</f>
        <v/>
      </c>
      <c r="S2628" s="3" t="inlineStr">
        <is>
          <t>G2G</t>
        </is>
      </c>
      <c r="T2628" s="3" t="inlineStr">
        <is>
          <t>P4</t>
        </is>
      </c>
      <c r="U2628" s="19" t="inlineStr">
        <is>
          <t>P JB Cold Soldering</t>
        </is>
      </c>
      <c r="V2628" s="19" t="inlineStr">
        <is>
          <t>Soldering</t>
        </is>
      </c>
      <c r="W2628" s="3" t="inlineStr">
        <is>
          <t>Repair</t>
        </is>
      </c>
      <c r="X2628" s="18" t="n">
        <v>46173</v>
      </c>
      <c r="Y2628" s="73">
        <f>IF(X2628="","",X2628-A2628)</f>
        <v/>
      </c>
      <c r="Z2628" s="18" t="n">
        <v>46173</v>
      </c>
      <c r="AA2628" s="15" t="n"/>
      <c r="AB2628" s="15" t="n"/>
      <c r="AF2628">
        <f>IF(AND($F2628="Closed",$X2628&gt;=DATE(2026,5,1),$X2628&lt;=DATE(2026,5,31)),"Closed in May","Other")</f>
        <v/>
      </c>
    </row>
    <row r="2629">
      <c r="A2629" s="37" t="n">
        <v>46143</v>
      </c>
      <c r="B2629" s="3" t="n">
        <v>2026</v>
      </c>
      <c r="C2629" s="26" t="inlineStr">
        <is>
          <t>Yanara Power</t>
        </is>
      </c>
      <c r="D2629" s="3" t="inlineStr">
        <is>
          <t>Utility and C&amp;I</t>
        </is>
      </c>
      <c r="E2629" s="3" t="n"/>
      <c r="F2629" s="3" t="inlineStr">
        <is>
          <t>Closed</t>
        </is>
      </c>
      <c r="G2629" s="9" t="inlineStr">
        <is>
          <t xml:space="preserve">Ashish Jindal </t>
        </is>
      </c>
      <c r="H2629" s="26" t="n">
        <v>9983975581</v>
      </c>
      <c r="I2629" s="38" t="inlineStr">
        <is>
          <t>PE01052601</t>
        </is>
      </c>
      <c r="J2629" s="26" t="inlineStr">
        <is>
          <t>Multiple Issues</t>
        </is>
      </c>
      <c r="K2629" s="39" t="inlineStr">
        <is>
          <t>Holi</t>
        </is>
      </c>
      <c r="L2629" s="39" t="inlineStr">
        <is>
          <t>Maharashtra</t>
        </is>
      </c>
      <c r="M2629" s="9" t="inlineStr">
        <is>
          <t>NS</t>
        </is>
      </c>
      <c r="N2629" s="3" t="inlineStr">
        <is>
          <t>Cold Soldering</t>
        </is>
      </c>
      <c r="O2629" s="56" t="n">
        <v>575</v>
      </c>
      <c r="P2629" s="46" t="inlineStr">
        <is>
          <t>NSMI24070178521</t>
        </is>
      </c>
      <c r="Q2629" s="54">
        <f>MID(P2629,5,2)</f>
        <v/>
      </c>
      <c r="R2629" s="53">
        <f>MID(P2629,7,2)</f>
        <v/>
      </c>
      <c r="S2629" s="3" t="inlineStr">
        <is>
          <t>G2G</t>
        </is>
      </c>
      <c r="T2629" s="3" t="inlineStr">
        <is>
          <t>P4</t>
        </is>
      </c>
      <c r="U2629" s="3" t="inlineStr">
        <is>
          <t>N JB Cold Soldering</t>
        </is>
      </c>
      <c r="V2629" s="3" t="inlineStr">
        <is>
          <t>Soldering</t>
        </is>
      </c>
      <c r="W2629" s="3" t="inlineStr">
        <is>
          <t>Repair</t>
        </is>
      </c>
      <c r="X2629" s="18" t="n">
        <v>46173</v>
      </c>
      <c r="Y2629" s="73">
        <f>IF(X2629="","",X2629-A2629)</f>
        <v/>
      </c>
      <c r="Z2629" s="18" t="n">
        <v>46173</v>
      </c>
      <c r="AA2629" s="15" t="n"/>
      <c r="AB2629" s="15" t="n"/>
      <c r="AF2629">
        <f>IF(AND($F2629="Closed",$X2629&gt;=DATE(2026,5,1),$X2629&lt;=DATE(2026,5,31)),"Closed in May","Other")</f>
        <v/>
      </c>
    </row>
    <row r="2630">
      <c r="A2630" s="37" t="n">
        <v>46143</v>
      </c>
      <c r="B2630" s="3" t="n">
        <v>2026</v>
      </c>
      <c r="C2630" s="26" t="inlineStr">
        <is>
          <t>Yanara Power</t>
        </is>
      </c>
      <c r="D2630" s="3" t="inlineStr">
        <is>
          <t>Utility and C&amp;I</t>
        </is>
      </c>
      <c r="E2630" s="3" t="n"/>
      <c r="F2630" s="3" t="inlineStr">
        <is>
          <t>Closed</t>
        </is>
      </c>
      <c r="G2630" s="9" t="inlineStr">
        <is>
          <t xml:space="preserve">Ashish Jindal </t>
        </is>
      </c>
      <c r="H2630" s="26" t="n">
        <v>9983975581</v>
      </c>
      <c r="I2630" s="38" t="inlineStr">
        <is>
          <t>PE01052601</t>
        </is>
      </c>
      <c r="J2630" s="26" t="inlineStr">
        <is>
          <t>Multiple Issues</t>
        </is>
      </c>
      <c r="K2630" s="39" t="inlineStr">
        <is>
          <t>Holi</t>
        </is>
      </c>
      <c r="L2630" s="39" t="inlineStr">
        <is>
          <t>Maharashtra</t>
        </is>
      </c>
      <c r="M2630" s="9" t="inlineStr">
        <is>
          <t>PS</t>
        </is>
      </c>
      <c r="N2630" s="3" t="inlineStr">
        <is>
          <t>Cold Soldering</t>
        </is>
      </c>
      <c r="O2630" s="56" t="n">
        <v>575</v>
      </c>
      <c r="P2630" s="46" t="inlineStr">
        <is>
          <t>NSMI24070184878</t>
        </is>
      </c>
      <c r="Q2630" s="54">
        <f>MID(P2630,5,2)</f>
        <v/>
      </c>
      <c r="R2630" s="53">
        <f>MID(P2630,7,2)</f>
        <v/>
      </c>
      <c r="S2630" s="3" t="inlineStr">
        <is>
          <t>G2G</t>
        </is>
      </c>
      <c r="T2630" s="3" t="inlineStr">
        <is>
          <t>P4</t>
        </is>
      </c>
      <c r="U2630" s="19" t="inlineStr">
        <is>
          <t>P JB Cold Soldering</t>
        </is>
      </c>
      <c r="V2630" s="19" t="inlineStr">
        <is>
          <t>Soldering</t>
        </is>
      </c>
      <c r="W2630" s="3" t="inlineStr">
        <is>
          <t>Repair</t>
        </is>
      </c>
      <c r="X2630" s="18" t="n">
        <v>46173</v>
      </c>
      <c r="Y2630" s="73">
        <f>IF(X2630="","",X2630-A2630)</f>
        <v/>
      </c>
      <c r="Z2630" s="18" t="n">
        <v>46173</v>
      </c>
      <c r="AA2630" s="15" t="n"/>
      <c r="AB2630" s="15" t="n"/>
      <c r="AF2630">
        <f>IF(AND($F2630="Closed",$X2630&gt;=DATE(2026,5,1),$X2630&lt;=DATE(2026,5,31)),"Closed in May","Other")</f>
        <v/>
      </c>
    </row>
    <row r="2631">
      <c r="A2631" s="37" t="n">
        <v>46143</v>
      </c>
      <c r="B2631" s="3" t="n">
        <v>2026</v>
      </c>
      <c r="C2631" s="26" t="inlineStr">
        <is>
          <t>Yanara Power</t>
        </is>
      </c>
      <c r="D2631" s="3" t="inlineStr">
        <is>
          <t>Utility and C&amp;I</t>
        </is>
      </c>
      <c r="E2631" s="3" t="n"/>
      <c r="F2631" s="3" t="inlineStr">
        <is>
          <t>Closed</t>
        </is>
      </c>
      <c r="G2631" s="9" t="inlineStr">
        <is>
          <t xml:space="preserve">Ashish Jindal </t>
        </is>
      </c>
      <c r="H2631" s="26" t="n">
        <v>9983975581</v>
      </c>
      <c r="I2631" s="38" t="inlineStr">
        <is>
          <t>PE01052601</t>
        </is>
      </c>
      <c r="J2631" s="26" t="inlineStr">
        <is>
          <t>Multiple Issues</t>
        </is>
      </c>
      <c r="K2631" s="39" t="inlineStr">
        <is>
          <t>Holi</t>
        </is>
      </c>
      <c r="L2631" s="39" t="inlineStr">
        <is>
          <t>Maharashtra</t>
        </is>
      </c>
      <c r="M2631" s="9" t="inlineStr">
        <is>
          <t>NS</t>
        </is>
      </c>
      <c r="N2631" s="3" t="inlineStr">
        <is>
          <t>Cold Soldering</t>
        </is>
      </c>
      <c r="O2631" s="56" t="n">
        <v>575</v>
      </c>
      <c r="P2631" s="46" t="inlineStr">
        <is>
          <t>NSMI24070178478</t>
        </is>
      </c>
      <c r="Q2631" s="54">
        <f>MID(P2631,5,2)</f>
        <v/>
      </c>
      <c r="R2631" s="53">
        <f>MID(P2631,7,2)</f>
        <v/>
      </c>
      <c r="S2631" s="3" t="inlineStr">
        <is>
          <t>G2G</t>
        </is>
      </c>
      <c r="T2631" s="3" t="inlineStr">
        <is>
          <t>P4</t>
        </is>
      </c>
      <c r="U2631" s="3" t="inlineStr">
        <is>
          <t>N JB Cold Soldering</t>
        </is>
      </c>
      <c r="V2631" s="3" t="inlineStr">
        <is>
          <t>Soldering</t>
        </is>
      </c>
      <c r="W2631" s="3" t="inlineStr">
        <is>
          <t>Repair</t>
        </is>
      </c>
      <c r="X2631" s="18" t="n">
        <v>46173</v>
      </c>
      <c r="Y2631" s="73">
        <f>IF(X2631="","",X2631-A2631)</f>
        <v/>
      </c>
      <c r="Z2631" s="18" t="n">
        <v>46173</v>
      </c>
      <c r="AA2631" s="15" t="n"/>
      <c r="AB2631" s="15" t="n"/>
      <c r="AF2631">
        <f>IF(AND($F2631="Closed",$X2631&gt;=DATE(2026,5,1),$X2631&lt;=DATE(2026,5,31)),"Closed in May","Other")</f>
        <v/>
      </c>
    </row>
    <row r="2632">
      <c r="A2632" s="37" t="n">
        <v>46143</v>
      </c>
      <c r="B2632" s="3" t="n">
        <v>2026</v>
      </c>
      <c r="C2632" s="26" t="inlineStr">
        <is>
          <t>Yanara Power</t>
        </is>
      </c>
      <c r="D2632" s="3" t="inlineStr">
        <is>
          <t>Utility and C&amp;I</t>
        </is>
      </c>
      <c r="E2632" s="3" t="n"/>
      <c r="F2632" s="3" t="inlineStr">
        <is>
          <t>Closed</t>
        </is>
      </c>
      <c r="G2632" s="9" t="inlineStr">
        <is>
          <t xml:space="preserve">Ashish Jindal </t>
        </is>
      </c>
      <c r="H2632" s="26" t="n">
        <v>9983975581</v>
      </c>
      <c r="I2632" s="38" t="inlineStr">
        <is>
          <t>PE01052601</t>
        </is>
      </c>
      <c r="J2632" s="26" t="inlineStr">
        <is>
          <t>Multiple Issues</t>
        </is>
      </c>
      <c r="K2632" s="39" t="inlineStr">
        <is>
          <t>Holi</t>
        </is>
      </c>
      <c r="L2632" s="39" t="inlineStr">
        <is>
          <t>Maharashtra</t>
        </is>
      </c>
      <c r="M2632" s="9" t="inlineStr">
        <is>
          <t>NS</t>
        </is>
      </c>
      <c r="N2632" s="3" t="inlineStr">
        <is>
          <t>Cold Soldering</t>
        </is>
      </c>
      <c r="O2632" s="56" t="n">
        <v>575</v>
      </c>
      <c r="P2632" s="46" t="inlineStr">
        <is>
          <t>NSMI24070183424</t>
        </is>
      </c>
      <c r="Q2632" s="54">
        <f>MID(P2632,5,2)</f>
        <v/>
      </c>
      <c r="R2632" s="53">
        <f>MID(P2632,7,2)</f>
        <v/>
      </c>
      <c r="S2632" s="3" t="inlineStr">
        <is>
          <t>G2G</t>
        </is>
      </c>
      <c r="T2632" s="3" t="inlineStr">
        <is>
          <t>P4</t>
        </is>
      </c>
      <c r="U2632" s="3" t="inlineStr">
        <is>
          <t>N JB Cold Soldering</t>
        </is>
      </c>
      <c r="V2632" s="3" t="inlineStr">
        <is>
          <t>Soldering</t>
        </is>
      </c>
      <c r="W2632" s="3" t="inlineStr">
        <is>
          <t>Repair</t>
        </is>
      </c>
      <c r="X2632" s="18" t="n">
        <v>46173</v>
      </c>
      <c r="Y2632" s="73">
        <f>IF(X2632="","",X2632-A2632)</f>
        <v/>
      </c>
      <c r="Z2632" s="18" t="n">
        <v>46173</v>
      </c>
      <c r="AA2632" s="15" t="n"/>
      <c r="AB2632" s="15" t="n"/>
      <c r="AF2632">
        <f>IF(AND($F2632="Closed",$X2632&gt;=DATE(2026,5,1),$X2632&lt;=DATE(2026,5,31)),"Closed in May","Other")</f>
        <v/>
      </c>
    </row>
    <row r="2633">
      <c r="A2633" s="37" t="n">
        <v>46143</v>
      </c>
      <c r="B2633" s="3" t="n">
        <v>2026</v>
      </c>
      <c r="C2633" s="26" t="inlineStr">
        <is>
          <t>Yanara Power</t>
        </is>
      </c>
      <c r="D2633" s="3" t="inlineStr">
        <is>
          <t>Utility and C&amp;I</t>
        </is>
      </c>
      <c r="E2633" s="3" t="n"/>
      <c r="F2633" s="3" t="inlineStr">
        <is>
          <t>Closed</t>
        </is>
      </c>
      <c r="G2633" s="9" t="inlineStr">
        <is>
          <t xml:space="preserve">Ashish Jindal </t>
        </is>
      </c>
      <c r="H2633" s="26" t="n">
        <v>9983975581</v>
      </c>
      <c r="I2633" s="38" t="inlineStr">
        <is>
          <t>PE01052601</t>
        </is>
      </c>
      <c r="J2633" s="26" t="inlineStr">
        <is>
          <t>Multiple Issues</t>
        </is>
      </c>
      <c r="K2633" s="39" t="inlineStr">
        <is>
          <t>Holi</t>
        </is>
      </c>
      <c r="L2633" s="39" t="inlineStr">
        <is>
          <t>Maharashtra</t>
        </is>
      </c>
      <c r="M2633" s="9" t="inlineStr">
        <is>
          <t>PS</t>
        </is>
      </c>
      <c r="N2633" s="3" t="inlineStr">
        <is>
          <t>Cold Soldering</t>
        </is>
      </c>
      <c r="O2633" s="56" t="n">
        <v>575</v>
      </c>
      <c r="P2633" s="46" t="inlineStr">
        <is>
          <t>NSMI24070183415</t>
        </is>
      </c>
      <c r="Q2633" s="54">
        <f>MID(P2633,5,2)</f>
        <v/>
      </c>
      <c r="R2633" s="53">
        <f>MID(P2633,7,2)</f>
        <v/>
      </c>
      <c r="S2633" s="3" t="inlineStr">
        <is>
          <t>G2G</t>
        </is>
      </c>
      <c r="T2633" s="3" t="inlineStr">
        <is>
          <t>P4</t>
        </is>
      </c>
      <c r="U2633" s="19" t="inlineStr">
        <is>
          <t>P JB Cold Soldering</t>
        </is>
      </c>
      <c r="V2633" s="19" t="inlineStr">
        <is>
          <t>Soldering</t>
        </is>
      </c>
      <c r="W2633" s="3" t="inlineStr">
        <is>
          <t>Repair</t>
        </is>
      </c>
      <c r="X2633" s="18" t="n">
        <v>46173</v>
      </c>
      <c r="Y2633" s="73">
        <f>IF(X2633="","",X2633-A2633)</f>
        <v/>
      </c>
      <c r="Z2633" s="18" t="n">
        <v>46173</v>
      </c>
      <c r="AA2633" s="15" t="n"/>
      <c r="AB2633" s="15" t="n"/>
      <c r="AF2633">
        <f>IF(AND($F2633="Closed",$X2633&gt;=DATE(2026,5,1),$X2633&lt;=DATE(2026,5,31)),"Closed in May","Other")</f>
        <v/>
      </c>
    </row>
    <row r="2634">
      <c r="A2634" s="37" t="n">
        <v>46143</v>
      </c>
      <c r="B2634" s="3" t="n">
        <v>2026</v>
      </c>
      <c r="C2634" s="26" t="inlineStr">
        <is>
          <t>Yanara Power</t>
        </is>
      </c>
      <c r="D2634" s="3" t="inlineStr">
        <is>
          <t>Utility and C&amp;I</t>
        </is>
      </c>
      <c r="E2634" s="3" t="n"/>
      <c r="F2634" s="3" t="inlineStr">
        <is>
          <t>Closed</t>
        </is>
      </c>
      <c r="G2634" s="9" t="inlineStr">
        <is>
          <t xml:space="preserve">Ashish Jindal </t>
        </is>
      </c>
      <c r="H2634" s="26" t="n">
        <v>9983975581</v>
      </c>
      <c r="I2634" s="38" t="inlineStr">
        <is>
          <t>PE01052601</t>
        </is>
      </c>
      <c r="J2634" s="26" t="inlineStr">
        <is>
          <t>Multiple Issues</t>
        </is>
      </c>
      <c r="K2634" s="39" t="inlineStr">
        <is>
          <t>Holi</t>
        </is>
      </c>
      <c r="L2634" s="39" t="inlineStr">
        <is>
          <t>Maharashtra</t>
        </is>
      </c>
      <c r="M2634" s="9" t="inlineStr">
        <is>
          <t>NS</t>
        </is>
      </c>
      <c r="N2634" s="3" t="inlineStr">
        <is>
          <t>Cold Soldering</t>
        </is>
      </c>
      <c r="O2634" s="56" t="n">
        <v>575</v>
      </c>
      <c r="P2634" s="46" t="inlineStr">
        <is>
          <t>NSMI24070179754</t>
        </is>
      </c>
      <c r="Q2634" s="54">
        <f>MID(P2634,5,2)</f>
        <v/>
      </c>
      <c r="R2634" s="53">
        <f>MID(P2634,7,2)</f>
        <v/>
      </c>
      <c r="S2634" s="3" t="inlineStr">
        <is>
          <t>G2G</t>
        </is>
      </c>
      <c r="T2634" s="3" t="inlineStr">
        <is>
          <t>P4</t>
        </is>
      </c>
      <c r="U2634" s="3" t="inlineStr">
        <is>
          <t>N JB Cold Soldering</t>
        </is>
      </c>
      <c r="V2634" s="3" t="inlineStr">
        <is>
          <t>Soldering</t>
        </is>
      </c>
      <c r="W2634" s="3" t="inlineStr">
        <is>
          <t>Repair</t>
        </is>
      </c>
      <c r="X2634" s="18" t="n">
        <v>46173</v>
      </c>
      <c r="Y2634" s="73">
        <f>IF(X2634="","",X2634-A2634)</f>
        <v/>
      </c>
      <c r="Z2634" s="18" t="n">
        <v>46173</v>
      </c>
      <c r="AA2634" s="15" t="n"/>
      <c r="AB2634" s="15" t="n"/>
      <c r="AF2634">
        <f>IF(AND($F2634="Closed",$X2634&gt;=DATE(2026,5,1),$X2634&lt;=DATE(2026,5,31)),"Closed in May","Other")</f>
        <v/>
      </c>
    </row>
    <row r="2635">
      <c r="A2635" s="37" t="n">
        <v>46143</v>
      </c>
      <c r="B2635" s="3" t="n">
        <v>2026</v>
      </c>
      <c r="C2635" s="26" t="inlineStr">
        <is>
          <t>Yanara Power</t>
        </is>
      </c>
      <c r="D2635" s="3" t="inlineStr">
        <is>
          <t>Utility and C&amp;I</t>
        </is>
      </c>
      <c r="E2635" s="3" t="n"/>
      <c r="F2635" s="3" t="inlineStr">
        <is>
          <t>Closed</t>
        </is>
      </c>
      <c r="G2635" s="9" t="inlineStr">
        <is>
          <t xml:space="preserve">Ashish Jindal </t>
        </is>
      </c>
      <c r="H2635" s="26" t="n">
        <v>9983975581</v>
      </c>
      <c r="I2635" s="38" t="inlineStr">
        <is>
          <t>PE01052601</t>
        </is>
      </c>
      <c r="J2635" s="26" t="inlineStr">
        <is>
          <t>Multiple Issues</t>
        </is>
      </c>
      <c r="K2635" s="39" t="inlineStr">
        <is>
          <t>Holi</t>
        </is>
      </c>
      <c r="L2635" s="39" t="inlineStr">
        <is>
          <t>Maharashtra</t>
        </is>
      </c>
      <c r="M2635" s="9" t="inlineStr">
        <is>
          <t>PS</t>
        </is>
      </c>
      <c r="N2635" s="3" t="inlineStr">
        <is>
          <t>Cold Soldering</t>
        </is>
      </c>
      <c r="O2635" s="56" t="n">
        <v>575</v>
      </c>
      <c r="P2635" s="46" t="inlineStr">
        <is>
          <t>NSMI24070182874</t>
        </is>
      </c>
      <c r="Q2635" s="54">
        <f>MID(P2635,5,2)</f>
        <v/>
      </c>
      <c r="R2635" s="53">
        <f>MID(P2635,7,2)</f>
        <v/>
      </c>
      <c r="S2635" s="3" t="inlineStr">
        <is>
          <t>G2G</t>
        </is>
      </c>
      <c r="T2635" s="3" t="inlineStr">
        <is>
          <t>P4</t>
        </is>
      </c>
      <c r="U2635" s="19" t="inlineStr">
        <is>
          <t>P JB Cold Soldering</t>
        </is>
      </c>
      <c r="V2635" s="19" t="inlineStr">
        <is>
          <t>Soldering</t>
        </is>
      </c>
      <c r="W2635" s="3" t="inlineStr">
        <is>
          <t>Repair</t>
        </is>
      </c>
      <c r="X2635" s="18" t="n">
        <v>46173</v>
      </c>
      <c r="Y2635" s="73">
        <f>IF(X2635="","",X2635-A2635)</f>
        <v/>
      </c>
      <c r="Z2635" s="18" t="n">
        <v>46173</v>
      </c>
      <c r="AA2635" s="15" t="n"/>
      <c r="AB2635" s="15" t="n"/>
      <c r="AF2635">
        <f>IF(AND($F2635="Closed",$X2635&gt;=DATE(2026,5,1),$X2635&lt;=DATE(2026,5,31)),"Closed in May","Other")</f>
        <v/>
      </c>
    </row>
    <row r="2636">
      <c r="A2636" s="37" t="n">
        <v>46143</v>
      </c>
      <c r="B2636" s="3" t="n">
        <v>2026</v>
      </c>
      <c r="C2636" s="26" t="inlineStr">
        <is>
          <t>Yanara Power</t>
        </is>
      </c>
      <c r="D2636" s="3" t="inlineStr">
        <is>
          <t>Utility and C&amp;I</t>
        </is>
      </c>
      <c r="E2636" s="3" t="n"/>
      <c r="F2636" s="3" t="inlineStr">
        <is>
          <t>Closed</t>
        </is>
      </c>
      <c r="G2636" s="9" t="inlineStr">
        <is>
          <t xml:space="preserve">Ashish Jindal </t>
        </is>
      </c>
      <c r="H2636" s="26" t="n">
        <v>9983975581</v>
      </c>
      <c r="I2636" s="38" t="inlineStr">
        <is>
          <t>PE01052601</t>
        </is>
      </c>
      <c r="J2636" s="26" t="inlineStr">
        <is>
          <t>Multiple Issues</t>
        </is>
      </c>
      <c r="K2636" s="39" t="inlineStr">
        <is>
          <t>Holi</t>
        </is>
      </c>
      <c r="L2636" s="39" t="inlineStr">
        <is>
          <t>Maharashtra</t>
        </is>
      </c>
      <c r="M2636" s="9" t="inlineStr">
        <is>
          <t>PS</t>
        </is>
      </c>
      <c r="N2636" s="3" t="inlineStr">
        <is>
          <t>Cold Soldering</t>
        </is>
      </c>
      <c r="O2636" s="56" t="n">
        <v>575</v>
      </c>
      <c r="P2636" s="46" t="inlineStr">
        <is>
          <t>NSMI24070184583</t>
        </is>
      </c>
      <c r="Q2636" s="54">
        <f>MID(P2636,5,2)</f>
        <v/>
      </c>
      <c r="R2636" s="53">
        <f>MID(P2636,7,2)</f>
        <v/>
      </c>
      <c r="S2636" s="3" t="inlineStr">
        <is>
          <t>G2G</t>
        </is>
      </c>
      <c r="T2636" s="3" t="inlineStr">
        <is>
          <t>P4</t>
        </is>
      </c>
      <c r="U2636" s="19" t="inlineStr">
        <is>
          <t>P JB Cold Soldering</t>
        </is>
      </c>
      <c r="V2636" s="19" t="inlineStr">
        <is>
          <t>Soldering</t>
        </is>
      </c>
      <c r="W2636" s="3" t="inlineStr">
        <is>
          <t>Repair</t>
        </is>
      </c>
      <c r="X2636" s="18" t="n">
        <v>46173</v>
      </c>
      <c r="Y2636" s="73">
        <f>IF(X2636="","",X2636-A2636)</f>
        <v/>
      </c>
      <c r="Z2636" s="18" t="n">
        <v>46173</v>
      </c>
      <c r="AA2636" s="15" t="n"/>
      <c r="AB2636" s="15" t="n"/>
      <c r="AF2636">
        <f>IF(AND($F2636="Closed",$X2636&gt;=DATE(2026,5,1),$X2636&lt;=DATE(2026,5,31)),"Closed in May","Other")</f>
        <v/>
      </c>
    </row>
    <row r="2637">
      <c r="A2637" s="37" t="n">
        <v>46143</v>
      </c>
      <c r="B2637" s="3" t="n">
        <v>2026</v>
      </c>
      <c r="C2637" s="26" t="inlineStr">
        <is>
          <t>Yanara Power</t>
        </is>
      </c>
      <c r="D2637" s="3" t="inlineStr">
        <is>
          <t>Utility and C&amp;I</t>
        </is>
      </c>
      <c r="E2637" s="3" t="n"/>
      <c r="F2637" s="3" t="inlineStr">
        <is>
          <t>Closed</t>
        </is>
      </c>
      <c r="G2637" s="9" t="inlineStr">
        <is>
          <t xml:space="preserve">Ashish Jindal </t>
        </is>
      </c>
      <c r="H2637" s="26" t="n">
        <v>9983975581</v>
      </c>
      <c r="I2637" s="38" t="inlineStr">
        <is>
          <t>PE01052601</t>
        </is>
      </c>
      <c r="J2637" s="26" t="inlineStr">
        <is>
          <t>Multiple Issues</t>
        </is>
      </c>
      <c r="K2637" s="39" t="inlineStr">
        <is>
          <t>Holi</t>
        </is>
      </c>
      <c r="L2637" s="39" t="inlineStr">
        <is>
          <t>Maharashtra</t>
        </is>
      </c>
      <c r="M2637" s="9" t="inlineStr">
        <is>
          <t>PS</t>
        </is>
      </c>
      <c r="N2637" s="3" t="inlineStr">
        <is>
          <t>Cold Soldering</t>
        </is>
      </c>
      <c r="O2637" s="56" t="n">
        <v>575</v>
      </c>
      <c r="P2637" s="46" t="inlineStr">
        <is>
          <t>NSMI24070184576</t>
        </is>
      </c>
      <c r="Q2637" s="54">
        <f>MID(P2637,5,2)</f>
        <v/>
      </c>
      <c r="R2637" s="53">
        <f>MID(P2637,7,2)</f>
        <v/>
      </c>
      <c r="S2637" s="3" t="inlineStr">
        <is>
          <t>G2G</t>
        </is>
      </c>
      <c r="T2637" s="3" t="inlineStr">
        <is>
          <t>P4</t>
        </is>
      </c>
      <c r="U2637" s="19" t="inlineStr">
        <is>
          <t>P JB Cold Soldering</t>
        </is>
      </c>
      <c r="V2637" s="19" t="inlineStr">
        <is>
          <t>Soldering</t>
        </is>
      </c>
      <c r="W2637" s="3" t="inlineStr">
        <is>
          <t>Repair</t>
        </is>
      </c>
      <c r="X2637" s="18" t="n">
        <v>46173</v>
      </c>
      <c r="Y2637" s="73">
        <f>IF(X2637="","",X2637-A2637)</f>
        <v/>
      </c>
      <c r="Z2637" s="18" t="n">
        <v>46173</v>
      </c>
      <c r="AA2637" s="15" t="n"/>
      <c r="AB2637" s="15" t="n"/>
      <c r="AF2637">
        <f>IF(AND($F2637="Closed",$X2637&gt;=DATE(2026,5,1),$X2637&lt;=DATE(2026,5,31)),"Closed in May","Other")</f>
        <v/>
      </c>
    </row>
    <row r="2638">
      <c r="A2638" s="37" t="n">
        <v>46143</v>
      </c>
      <c r="B2638" s="3" t="n">
        <v>2026</v>
      </c>
      <c r="C2638" s="26" t="inlineStr">
        <is>
          <t>Yanara Power</t>
        </is>
      </c>
      <c r="D2638" s="3" t="inlineStr">
        <is>
          <t>Utility and C&amp;I</t>
        </is>
      </c>
      <c r="E2638" s="3" t="n"/>
      <c r="F2638" s="3" t="inlineStr">
        <is>
          <t>Closed</t>
        </is>
      </c>
      <c r="G2638" s="9" t="inlineStr">
        <is>
          <t xml:space="preserve">Ashish Jindal </t>
        </is>
      </c>
      <c r="H2638" s="26" t="n">
        <v>9983975581</v>
      </c>
      <c r="I2638" s="38" t="inlineStr">
        <is>
          <t>PE01052601</t>
        </is>
      </c>
      <c r="J2638" s="26" t="inlineStr">
        <is>
          <t>Multiple Issues</t>
        </is>
      </c>
      <c r="K2638" s="39" t="inlineStr">
        <is>
          <t>Holi</t>
        </is>
      </c>
      <c r="L2638" s="39" t="inlineStr">
        <is>
          <t>Maharashtra</t>
        </is>
      </c>
      <c r="M2638" s="9" t="inlineStr">
        <is>
          <t>PS</t>
        </is>
      </c>
      <c r="N2638" s="3" t="inlineStr">
        <is>
          <t>Cold Soldering</t>
        </is>
      </c>
      <c r="O2638" s="56" t="n">
        <v>575</v>
      </c>
      <c r="P2638" s="46" t="inlineStr">
        <is>
          <t>NSMI24070183729</t>
        </is>
      </c>
      <c r="Q2638" s="54">
        <f>MID(P2638,5,2)</f>
        <v/>
      </c>
      <c r="R2638" s="53">
        <f>MID(P2638,7,2)</f>
        <v/>
      </c>
      <c r="S2638" s="3" t="inlineStr">
        <is>
          <t>G2G</t>
        </is>
      </c>
      <c r="T2638" s="3" t="inlineStr">
        <is>
          <t>P4</t>
        </is>
      </c>
      <c r="U2638" s="19" t="inlineStr">
        <is>
          <t>P JB Cold Soldering</t>
        </is>
      </c>
      <c r="V2638" s="19" t="inlineStr">
        <is>
          <t>Soldering</t>
        </is>
      </c>
      <c r="W2638" s="3" t="inlineStr">
        <is>
          <t>Repair</t>
        </is>
      </c>
      <c r="X2638" s="18" t="n">
        <v>46173</v>
      </c>
      <c r="Y2638" s="73">
        <f>IF(X2638="","",X2638-A2638)</f>
        <v/>
      </c>
      <c r="Z2638" s="18" t="n">
        <v>46173</v>
      </c>
      <c r="AA2638" s="15" t="n"/>
      <c r="AB2638" s="15" t="n"/>
      <c r="AF2638">
        <f>IF(AND($F2638="Closed",$X2638&gt;=DATE(2026,5,1),$X2638&lt;=DATE(2026,5,31)),"Closed in May","Other")</f>
        <v/>
      </c>
    </row>
    <row r="2639">
      <c r="A2639" s="37" t="n">
        <v>46143</v>
      </c>
      <c r="B2639" s="3" t="n">
        <v>2026</v>
      </c>
      <c r="C2639" s="26" t="inlineStr">
        <is>
          <t>Yanara Power</t>
        </is>
      </c>
      <c r="D2639" s="3" t="inlineStr">
        <is>
          <t>Utility and C&amp;I</t>
        </is>
      </c>
      <c r="E2639" s="3" t="n"/>
      <c r="F2639" s="3" t="inlineStr">
        <is>
          <t>Closed</t>
        </is>
      </c>
      <c r="G2639" s="9" t="inlineStr">
        <is>
          <t xml:space="preserve">Ashish Jindal </t>
        </is>
      </c>
      <c r="H2639" s="26" t="n">
        <v>9983975581</v>
      </c>
      <c r="I2639" s="38" t="inlineStr">
        <is>
          <t>PE01052601</t>
        </is>
      </c>
      <c r="J2639" s="26" t="inlineStr">
        <is>
          <t>Multiple Issues</t>
        </is>
      </c>
      <c r="K2639" s="39" t="inlineStr">
        <is>
          <t>Holi</t>
        </is>
      </c>
      <c r="L2639" s="39" t="inlineStr">
        <is>
          <t>Maharashtra</t>
        </is>
      </c>
      <c r="M2639" s="9" t="inlineStr">
        <is>
          <t>PS</t>
        </is>
      </c>
      <c r="N2639" s="3" t="inlineStr">
        <is>
          <t>Cold Soldering</t>
        </is>
      </c>
      <c r="O2639" s="56" t="n">
        <v>575</v>
      </c>
      <c r="P2639" s="46" t="inlineStr">
        <is>
          <t>NSMI24070184552</t>
        </is>
      </c>
      <c r="Q2639" s="54">
        <f>MID(P2639,5,2)</f>
        <v/>
      </c>
      <c r="R2639" s="53">
        <f>MID(P2639,7,2)</f>
        <v/>
      </c>
      <c r="S2639" s="3" t="inlineStr">
        <is>
          <t>G2G</t>
        </is>
      </c>
      <c r="T2639" s="3" t="inlineStr">
        <is>
          <t>P4</t>
        </is>
      </c>
      <c r="U2639" s="19" t="inlineStr">
        <is>
          <t>P JB Cold Soldering</t>
        </is>
      </c>
      <c r="V2639" s="19" t="inlineStr">
        <is>
          <t>Soldering</t>
        </is>
      </c>
      <c r="W2639" s="3" t="inlineStr">
        <is>
          <t>Repair</t>
        </is>
      </c>
      <c r="X2639" s="18" t="n">
        <v>46173</v>
      </c>
      <c r="Y2639" s="73">
        <f>IF(X2639="","",X2639-A2639)</f>
        <v/>
      </c>
      <c r="Z2639" s="18" t="n">
        <v>46173</v>
      </c>
      <c r="AA2639" s="15" t="n"/>
      <c r="AB2639" s="15" t="n"/>
      <c r="AF2639">
        <f>IF(AND($F2639="Closed",$X2639&gt;=DATE(2026,5,1),$X2639&lt;=DATE(2026,5,31)),"Closed in May","Other")</f>
        <v/>
      </c>
    </row>
    <row r="2640">
      <c r="A2640" s="37" t="n">
        <v>46143</v>
      </c>
      <c r="B2640" s="3" t="n">
        <v>2026</v>
      </c>
      <c r="C2640" s="26" t="inlineStr">
        <is>
          <t>Yanara Power</t>
        </is>
      </c>
      <c r="D2640" s="3" t="inlineStr">
        <is>
          <t>Utility and C&amp;I</t>
        </is>
      </c>
      <c r="E2640" s="3" t="n"/>
      <c r="F2640" s="3" t="inlineStr">
        <is>
          <t>Closed</t>
        </is>
      </c>
      <c r="G2640" s="9" t="inlineStr">
        <is>
          <t xml:space="preserve">Ashish Jindal </t>
        </is>
      </c>
      <c r="H2640" s="26" t="n">
        <v>9983975581</v>
      </c>
      <c r="I2640" s="38" t="inlineStr">
        <is>
          <t>PE01052601</t>
        </is>
      </c>
      <c r="J2640" s="26" t="inlineStr">
        <is>
          <t>Multiple Issues</t>
        </is>
      </c>
      <c r="K2640" s="39" t="inlineStr">
        <is>
          <t>Holi</t>
        </is>
      </c>
      <c r="L2640" s="39" t="inlineStr">
        <is>
          <t>Maharashtra</t>
        </is>
      </c>
      <c r="M2640" s="9" t="inlineStr">
        <is>
          <t>PS</t>
        </is>
      </c>
      <c r="N2640" s="3" t="inlineStr">
        <is>
          <t>Cold Soldering</t>
        </is>
      </c>
      <c r="O2640" s="56" t="n">
        <v>575</v>
      </c>
      <c r="P2640" s="46" t="inlineStr">
        <is>
          <t>NSMI24070184630</t>
        </is>
      </c>
      <c r="Q2640" s="54">
        <f>MID(P2640,5,2)</f>
        <v/>
      </c>
      <c r="R2640" s="53">
        <f>MID(P2640,7,2)</f>
        <v/>
      </c>
      <c r="S2640" s="3" t="inlineStr">
        <is>
          <t>G2G</t>
        </is>
      </c>
      <c r="T2640" s="3" t="inlineStr">
        <is>
          <t>P4</t>
        </is>
      </c>
      <c r="U2640" s="19" t="inlineStr">
        <is>
          <t>P JB Cold Soldering</t>
        </is>
      </c>
      <c r="V2640" s="19" t="inlineStr">
        <is>
          <t>Soldering</t>
        </is>
      </c>
      <c r="W2640" s="3" t="inlineStr">
        <is>
          <t>Repair</t>
        </is>
      </c>
      <c r="X2640" s="18" t="n">
        <v>46173</v>
      </c>
      <c r="Y2640" s="73">
        <f>IF(X2640="","",X2640-A2640)</f>
        <v/>
      </c>
      <c r="Z2640" s="18" t="n">
        <v>46173</v>
      </c>
      <c r="AA2640" s="15" t="n"/>
      <c r="AB2640" s="15" t="n"/>
      <c r="AF2640">
        <f>IF(AND($F2640="Closed",$X2640&gt;=DATE(2026,5,1),$X2640&lt;=DATE(2026,5,31)),"Closed in May","Other")</f>
        <v/>
      </c>
    </row>
    <row r="2641">
      <c r="A2641" s="37" t="n">
        <v>46143</v>
      </c>
      <c r="B2641" s="3" t="n">
        <v>2026</v>
      </c>
      <c r="C2641" s="26" t="inlineStr">
        <is>
          <t>Yanara Power</t>
        </is>
      </c>
      <c r="D2641" s="3" t="inlineStr">
        <is>
          <t>Utility and C&amp;I</t>
        </is>
      </c>
      <c r="E2641" s="3" t="n"/>
      <c r="F2641" s="3" t="inlineStr">
        <is>
          <t>Closed</t>
        </is>
      </c>
      <c r="G2641" s="9" t="inlineStr">
        <is>
          <t xml:space="preserve">Ashish Jindal </t>
        </is>
      </c>
      <c r="H2641" s="26" t="n">
        <v>9983975581</v>
      </c>
      <c r="I2641" s="38" t="inlineStr">
        <is>
          <t>PE01052601</t>
        </is>
      </c>
      <c r="J2641" s="26" t="inlineStr">
        <is>
          <t>Multiple Issues</t>
        </is>
      </c>
      <c r="K2641" s="39" t="inlineStr">
        <is>
          <t>Holi</t>
        </is>
      </c>
      <c r="L2641" s="39" t="inlineStr">
        <is>
          <t>Maharashtra</t>
        </is>
      </c>
      <c r="M2641" s="9" t="inlineStr">
        <is>
          <t>PS</t>
        </is>
      </c>
      <c r="N2641" s="3" t="inlineStr">
        <is>
          <t>Cold Soldering</t>
        </is>
      </c>
      <c r="O2641" s="56" t="n">
        <v>575</v>
      </c>
      <c r="P2641" s="46" t="inlineStr">
        <is>
          <t>NSMI24070184578</t>
        </is>
      </c>
      <c r="Q2641" s="54">
        <f>MID(P2641,5,2)</f>
        <v/>
      </c>
      <c r="R2641" s="53">
        <f>MID(P2641,7,2)</f>
        <v/>
      </c>
      <c r="S2641" s="3" t="inlineStr">
        <is>
          <t>G2G</t>
        </is>
      </c>
      <c r="T2641" s="3" t="inlineStr">
        <is>
          <t>P4</t>
        </is>
      </c>
      <c r="U2641" s="19" t="inlineStr">
        <is>
          <t>P JB Cold Soldering</t>
        </is>
      </c>
      <c r="V2641" s="19" t="inlineStr">
        <is>
          <t>Soldering</t>
        </is>
      </c>
      <c r="W2641" s="3" t="inlineStr">
        <is>
          <t>Repair</t>
        </is>
      </c>
      <c r="X2641" s="18" t="n">
        <v>46173</v>
      </c>
      <c r="Y2641" s="73">
        <f>IF(X2641="","",X2641-A2641)</f>
        <v/>
      </c>
      <c r="Z2641" s="18" t="n">
        <v>46173</v>
      </c>
      <c r="AA2641" s="15" t="n"/>
      <c r="AB2641" s="15" t="n"/>
      <c r="AF2641">
        <f>IF(AND($F2641="Closed",$X2641&gt;=DATE(2026,5,1),$X2641&lt;=DATE(2026,5,31)),"Closed in May","Other")</f>
        <v/>
      </c>
    </row>
    <row r="2642">
      <c r="A2642" s="37" t="n">
        <v>46143</v>
      </c>
      <c r="B2642" s="3" t="n">
        <v>2026</v>
      </c>
      <c r="C2642" s="26" t="inlineStr">
        <is>
          <t>Yanara Power</t>
        </is>
      </c>
      <c r="D2642" s="3" t="inlineStr">
        <is>
          <t>Utility and C&amp;I</t>
        </is>
      </c>
      <c r="E2642" s="3" t="n"/>
      <c r="F2642" s="3" t="inlineStr">
        <is>
          <t>Closed</t>
        </is>
      </c>
      <c r="G2642" s="9" t="inlineStr">
        <is>
          <t xml:space="preserve">Ashish Jindal </t>
        </is>
      </c>
      <c r="H2642" s="26" t="n">
        <v>9983975581</v>
      </c>
      <c r="I2642" s="38" t="inlineStr">
        <is>
          <t>PE01052601</t>
        </is>
      </c>
      <c r="J2642" s="26" t="inlineStr">
        <is>
          <t>Multiple Issues</t>
        </is>
      </c>
      <c r="K2642" s="39" t="inlineStr">
        <is>
          <t>Holi</t>
        </is>
      </c>
      <c r="L2642" s="39" t="inlineStr">
        <is>
          <t>Maharashtra</t>
        </is>
      </c>
      <c r="M2642" s="9" t="inlineStr">
        <is>
          <t>PS</t>
        </is>
      </c>
      <c r="N2642" s="3" t="inlineStr">
        <is>
          <t>Cold Soldering</t>
        </is>
      </c>
      <c r="O2642" s="56" t="n">
        <v>575</v>
      </c>
      <c r="P2642" s="46" t="inlineStr">
        <is>
          <t>NSMI24070183796</t>
        </is>
      </c>
      <c r="Q2642" s="54">
        <f>MID(P2642,5,2)</f>
        <v/>
      </c>
      <c r="R2642" s="53">
        <f>MID(P2642,7,2)</f>
        <v/>
      </c>
      <c r="S2642" s="3" t="inlineStr">
        <is>
          <t>G2G</t>
        </is>
      </c>
      <c r="T2642" s="3" t="inlineStr">
        <is>
          <t>P4</t>
        </is>
      </c>
      <c r="U2642" s="19" t="inlineStr">
        <is>
          <t>P JB Cold Soldering</t>
        </is>
      </c>
      <c r="V2642" s="19" t="inlineStr">
        <is>
          <t>Soldering</t>
        </is>
      </c>
      <c r="W2642" s="3" t="inlineStr">
        <is>
          <t>Repair</t>
        </is>
      </c>
      <c r="X2642" s="18" t="n">
        <v>46173</v>
      </c>
      <c r="Y2642" s="73">
        <f>IF(X2642="","",X2642-A2642)</f>
        <v/>
      </c>
      <c r="Z2642" s="18" t="n">
        <v>46173</v>
      </c>
      <c r="AA2642" s="15" t="n"/>
      <c r="AB2642" s="15" t="n"/>
      <c r="AF2642">
        <f>IF(AND($F2642="Closed",$X2642&gt;=DATE(2026,5,1),$X2642&lt;=DATE(2026,5,31)),"Closed in May","Other")</f>
        <v/>
      </c>
    </row>
    <row r="2643">
      <c r="A2643" s="37" t="n">
        <v>46143</v>
      </c>
      <c r="B2643" s="3" t="n">
        <v>2026</v>
      </c>
      <c r="C2643" s="26" t="inlineStr">
        <is>
          <t>Yanara Power</t>
        </is>
      </c>
      <c r="D2643" s="3" t="inlineStr">
        <is>
          <t>Utility and C&amp;I</t>
        </is>
      </c>
      <c r="E2643" s="3" t="n"/>
      <c r="F2643" s="3" t="inlineStr">
        <is>
          <t>Closed</t>
        </is>
      </c>
      <c r="G2643" s="9" t="inlineStr">
        <is>
          <t xml:space="preserve">Ashish Jindal </t>
        </is>
      </c>
      <c r="H2643" s="26" t="n">
        <v>9983975581</v>
      </c>
      <c r="I2643" s="38" t="inlineStr">
        <is>
          <t>PE01052601</t>
        </is>
      </c>
      <c r="J2643" s="26" t="inlineStr">
        <is>
          <t>Multiple Issues</t>
        </is>
      </c>
      <c r="K2643" s="39" t="inlineStr">
        <is>
          <t>Holi</t>
        </is>
      </c>
      <c r="L2643" s="39" t="inlineStr">
        <is>
          <t>Maharashtra</t>
        </is>
      </c>
      <c r="M2643" s="9" t="inlineStr">
        <is>
          <t>PS</t>
        </is>
      </c>
      <c r="N2643" s="3" t="inlineStr">
        <is>
          <t>Cold Soldering</t>
        </is>
      </c>
      <c r="O2643" s="56" t="n">
        <v>575</v>
      </c>
      <c r="P2643" s="46" t="inlineStr">
        <is>
          <t>NSMI24070165555</t>
        </is>
      </c>
      <c r="Q2643" s="54">
        <f>MID(P2643,5,2)</f>
        <v/>
      </c>
      <c r="R2643" s="53">
        <f>MID(P2643,7,2)</f>
        <v/>
      </c>
      <c r="S2643" s="3" t="inlineStr">
        <is>
          <t>G2G</t>
        </is>
      </c>
      <c r="T2643" s="3" t="inlineStr">
        <is>
          <t>P4</t>
        </is>
      </c>
      <c r="U2643" s="19" t="inlineStr">
        <is>
          <t>P JB Cold Soldering</t>
        </is>
      </c>
      <c r="V2643" s="19" t="inlineStr">
        <is>
          <t>Soldering</t>
        </is>
      </c>
      <c r="W2643" s="3" t="inlineStr">
        <is>
          <t>Repair</t>
        </is>
      </c>
      <c r="X2643" s="18" t="n">
        <v>46173</v>
      </c>
      <c r="Y2643" s="73">
        <f>IF(X2643="","",X2643-A2643)</f>
        <v/>
      </c>
      <c r="Z2643" s="18" t="n">
        <v>46173</v>
      </c>
      <c r="AA2643" s="15" t="n"/>
      <c r="AB2643" s="15" t="n"/>
      <c r="AF2643">
        <f>IF(AND($F2643="Closed",$X2643&gt;=DATE(2026,5,1),$X2643&lt;=DATE(2026,5,31)),"Closed in May","Other")</f>
        <v/>
      </c>
    </row>
    <row r="2644">
      <c r="A2644" s="37" t="n">
        <v>46143</v>
      </c>
      <c r="B2644" s="3" t="n">
        <v>2026</v>
      </c>
      <c r="C2644" s="26" t="inlineStr">
        <is>
          <t>Yanara Power</t>
        </is>
      </c>
      <c r="D2644" s="3" t="inlineStr">
        <is>
          <t>Utility and C&amp;I</t>
        </is>
      </c>
      <c r="E2644" s="3" t="n"/>
      <c r="F2644" s="3" t="inlineStr">
        <is>
          <t>Closed</t>
        </is>
      </c>
      <c r="G2644" s="9" t="inlineStr">
        <is>
          <t xml:space="preserve">Ashish Jindal </t>
        </is>
      </c>
      <c r="H2644" s="26" t="n">
        <v>9983975581</v>
      </c>
      <c r="I2644" s="38" t="inlineStr">
        <is>
          <t>PE01052601</t>
        </is>
      </c>
      <c r="J2644" s="26" t="inlineStr">
        <is>
          <t>Multiple Issues</t>
        </is>
      </c>
      <c r="K2644" s="39" t="inlineStr">
        <is>
          <t>Holi</t>
        </is>
      </c>
      <c r="L2644" s="39" t="inlineStr">
        <is>
          <t>Maharashtra</t>
        </is>
      </c>
      <c r="M2644" s="9" t="inlineStr">
        <is>
          <t>NS</t>
        </is>
      </c>
      <c r="N2644" s="3" t="inlineStr">
        <is>
          <t>Cold Soldering</t>
        </is>
      </c>
      <c r="O2644" s="56" t="n">
        <v>575</v>
      </c>
      <c r="P2644" s="46" t="inlineStr">
        <is>
          <t>NSMI24070184129</t>
        </is>
      </c>
      <c r="Q2644" s="54">
        <f>MID(P2644,5,2)</f>
        <v/>
      </c>
      <c r="R2644" s="53">
        <f>MID(P2644,7,2)</f>
        <v/>
      </c>
      <c r="S2644" s="3" t="inlineStr">
        <is>
          <t>G2G</t>
        </is>
      </c>
      <c r="T2644" s="3" t="inlineStr">
        <is>
          <t>P4</t>
        </is>
      </c>
      <c r="U2644" s="3" t="inlineStr">
        <is>
          <t>N JB Cold Soldering</t>
        </is>
      </c>
      <c r="V2644" s="3" t="inlineStr">
        <is>
          <t>Soldering</t>
        </is>
      </c>
      <c r="W2644" s="3" t="inlineStr">
        <is>
          <t>Repair</t>
        </is>
      </c>
      <c r="X2644" s="18" t="n">
        <v>46173</v>
      </c>
      <c r="Y2644" s="73">
        <f>IF(X2644="","",X2644-A2644)</f>
        <v/>
      </c>
      <c r="Z2644" s="18" t="n">
        <v>46173</v>
      </c>
      <c r="AA2644" s="15" t="n"/>
      <c r="AB2644" s="15" t="n"/>
      <c r="AF2644">
        <f>IF(AND($F2644="Closed",$X2644&gt;=DATE(2026,5,1),$X2644&lt;=DATE(2026,5,31)),"Closed in May","Other")</f>
        <v/>
      </c>
    </row>
    <row r="2645">
      <c r="A2645" s="37" t="n">
        <v>46143</v>
      </c>
      <c r="B2645" s="3" t="n">
        <v>2026</v>
      </c>
      <c r="C2645" s="26" t="inlineStr">
        <is>
          <t>Yanara Power</t>
        </is>
      </c>
      <c r="D2645" s="3" t="inlineStr">
        <is>
          <t>Utility and C&amp;I</t>
        </is>
      </c>
      <c r="E2645" s="3" t="n"/>
      <c r="F2645" s="3" t="inlineStr">
        <is>
          <t>Closed</t>
        </is>
      </c>
      <c r="G2645" s="9" t="inlineStr">
        <is>
          <t xml:space="preserve">Ashish Jindal </t>
        </is>
      </c>
      <c r="H2645" s="26" t="n">
        <v>9983975581</v>
      </c>
      <c r="I2645" s="38" t="inlineStr">
        <is>
          <t>PE01052601</t>
        </is>
      </c>
      <c r="J2645" s="26" t="inlineStr">
        <is>
          <t>Multiple Issues</t>
        </is>
      </c>
      <c r="K2645" s="39" t="inlineStr">
        <is>
          <t>Holi</t>
        </is>
      </c>
      <c r="L2645" s="39" t="inlineStr">
        <is>
          <t>Maharashtra</t>
        </is>
      </c>
      <c r="M2645" s="9" t="inlineStr">
        <is>
          <t>NS</t>
        </is>
      </c>
      <c r="N2645" s="3" t="inlineStr">
        <is>
          <t>Cold Soldering</t>
        </is>
      </c>
      <c r="O2645" s="56" t="n">
        <v>575</v>
      </c>
      <c r="P2645" s="46" t="inlineStr">
        <is>
          <t>NSMI24070184148</t>
        </is>
      </c>
      <c r="Q2645" s="54">
        <f>MID(P2645,5,2)</f>
        <v/>
      </c>
      <c r="R2645" s="53">
        <f>MID(P2645,7,2)</f>
        <v/>
      </c>
      <c r="S2645" s="3" t="inlineStr">
        <is>
          <t>G2G</t>
        </is>
      </c>
      <c r="T2645" s="3" t="inlineStr">
        <is>
          <t>P4</t>
        </is>
      </c>
      <c r="U2645" s="3" t="inlineStr">
        <is>
          <t>N JB Cold Soldering</t>
        </is>
      </c>
      <c r="V2645" s="3" t="inlineStr">
        <is>
          <t>Soldering</t>
        </is>
      </c>
      <c r="W2645" s="3" t="inlineStr">
        <is>
          <t>Repair</t>
        </is>
      </c>
      <c r="X2645" s="18" t="n">
        <v>46173</v>
      </c>
      <c r="Y2645" s="73">
        <f>IF(X2645="","",X2645-A2645)</f>
        <v/>
      </c>
      <c r="Z2645" s="18" t="n">
        <v>46173</v>
      </c>
      <c r="AA2645" s="15" t="n"/>
      <c r="AB2645" s="15" t="n"/>
      <c r="AF2645">
        <f>IF(AND($F2645="Closed",$X2645&gt;=DATE(2026,5,1),$X2645&lt;=DATE(2026,5,31)),"Closed in May","Other")</f>
        <v/>
      </c>
    </row>
    <row r="2646">
      <c r="A2646" s="37" t="n">
        <v>46143</v>
      </c>
      <c r="B2646" s="3" t="n">
        <v>2026</v>
      </c>
      <c r="C2646" s="26" t="inlineStr">
        <is>
          <t>Yanara Power</t>
        </is>
      </c>
      <c r="D2646" s="3" t="inlineStr">
        <is>
          <t>Utility and C&amp;I</t>
        </is>
      </c>
      <c r="E2646" s="3" t="n"/>
      <c r="F2646" s="3" t="inlineStr">
        <is>
          <t>Closed</t>
        </is>
      </c>
      <c r="G2646" s="9" t="inlineStr">
        <is>
          <t xml:space="preserve">Ashish Jindal </t>
        </is>
      </c>
      <c r="H2646" s="26" t="n">
        <v>9983975581</v>
      </c>
      <c r="I2646" s="38" t="inlineStr">
        <is>
          <t>PE01052601</t>
        </is>
      </c>
      <c r="J2646" s="26" t="inlineStr">
        <is>
          <t>Multiple Issues</t>
        </is>
      </c>
      <c r="K2646" s="39" t="inlineStr">
        <is>
          <t>Holi</t>
        </is>
      </c>
      <c r="L2646" s="39" t="inlineStr">
        <is>
          <t>Maharashtra</t>
        </is>
      </c>
      <c r="M2646" s="9" t="inlineStr">
        <is>
          <t>PS</t>
        </is>
      </c>
      <c r="N2646" s="3" t="inlineStr">
        <is>
          <t>Cold Soldering</t>
        </is>
      </c>
      <c r="O2646" s="56" t="n">
        <v>575</v>
      </c>
      <c r="P2646" s="46" t="inlineStr">
        <is>
          <t>NSMI24070183971</t>
        </is>
      </c>
      <c r="Q2646" s="54">
        <f>MID(P2646,5,2)</f>
        <v/>
      </c>
      <c r="R2646" s="53">
        <f>MID(P2646,7,2)</f>
        <v/>
      </c>
      <c r="S2646" s="3" t="inlineStr">
        <is>
          <t>G2G</t>
        </is>
      </c>
      <c r="T2646" s="3" t="inlineStr">
        <is>
          <t>P4</t>
        </is>
      </c>
      <c r="U2646" s="19" t="inlineStr">
        <is>
          <t>P JB Cold Soldering</t>
        </is>
      </c>
      <c r="V2646" s="19" t="inlineStr">
        <is>
          <t>Soldering</t>
        </is>
      </c>
      <c r="W2646" s="3" t="inlineStr">
        <is>
          <t>Repair</t>
        </is>
      </c>
      <c r="X2646" s="18" t="n">
        <v>46173</v>
      </c>
      <c r="Y2646" s="73">
        <f>IF(X2646="","",X2646-A2646)</f>
        <v/>
      </c>
      <c r="Z2646" s="18" t="n">
        <v>46173</v>
      </c>
      <c r="AA2646" s="15" t="n"/>
      <c r="AB2646" s="15" t="n"/>
      <c r="AF2646">
        <f>IF(AND($F2646="Closed",$X2646&gt;=DATE(2026,5,1),$X2646&lt;=DATE(2026,5,31)),"Closed in May","Other")</f>
        <v/>
      </c>
    </row>
    <row r="2647">
      <c r="A2647" s="37" t="n">
        <v>46143</v>
      </c>
      <c r="B2647" s="3" t="n">
        <v>2026</v>
      </c>
      <c r="C2647" s="26" t="inlineStr">
        <is>
          <t>Yanara Power</t>
        </is>
      </c>
      <c r="D2647" s="3" t="inlineStr">
        <is>
          <t>Utility and C&amp;I</t>
        </is>
      </c>
      <c r="E2647" s="3" t="n"/>
      <c r="F2647" s="3" t="inlineStr">
        <is>
          <t>Closed</t>
        </is>
      </c>
      <c r="G2647" s="9" t="inlineStr">
        <is>
          <t xml:space="preserve">Ashish Jindal </t>
        </is>
      </c>
      <c r="H2647" s="26" t="n">
        <v>9983975581</v>
      </c>
      <c r="I2647" s="38" t="inlineStr">
        <is>
          <t>PE01052601</t>
        </is>
      </c>
      <c r="J2647" s="26" t="inlineStr">
        <is>
          <t>Multiple Issues</t>
        </is>
      </c>
      <c r="K2647" s="39" t="inlineStr">
        <is>
          <t>Holi</t>
        </is>
      </c>
      <c r="L2647" s="39" t="inlineStr">
        <is>
          <t>Maharashtra</t>
        </is>
      </c>
      <c r="M2647" s="9" t="inlineStr">
        <is>
          <t>PS</t>
        </is>
      </c>
      <c r="N2647" s="3" t="inlineStr">
        <is>
          <t>Cold Soldering</t>
        </is>
      </c>
      <c r="O2647" s="56" t="n">
        <v>575</v>
      </c>
      <c r="P2647" s="46" t="inlineStr">
        <is>
          <t>NSMI24070184055</t>
        </is>
      </c>
      <c r="Q2647" s="54">
        <f>MID(P2647,5,2)</f>
        <v/>
      </c>
      <c r="R2647" s="53">
        <f>MID(P2647,7,2)</f>
        <v/>
      </c>
      <c r="S2647" s="3" t="inlineStr">
        <is>
          <t>G2G</t>
        </is>
      </c>
      <c r="T2647" s="3" t="inlineStr">
        <is>
          <t>P4</t>
        </is>
      </c>
      <c r="U2647" s="19" t="inlineStr">
        <is>
          <t>P JB Cold Soldering</t>
        </is>
      </c>
      <c r="V2647" s="19" t="inlineStr">
        <is>
          <t>Soldering</t>
        </is>
      </c>
      <c r="W2647" s="3" t="inlineStr">
        <is>
          <t>Repair</t>
        </is>
      </c>
      <c r="X2647" s="18" t="n">
        <v>46173</v>
      </c>
      <c r="Y2647" s="73">
        <f>IF(X2647="","",X2647-A2647)</f>
        <v/>
      </c>
      <c r="Z2647" s="18" t="n">
        <v>46173</v>
      </c>
      <c r="AA2647" s="15" t="n"/>
      <c r="AB2647" s="15" t="n"/>
      <c r="AF2647">
        <f>IF(AND($F2647="Closed",$X2647&gt;=DATE(2026,5,1),$X2647&lt;=DATE(2026,5,31)),"Closed in May","Other")</f>
        <v/>
      </c>
    </row>
    <row r="2648">
      <c r="A2648" s="37" t="n">
        <v>46143</v>
      </c>
      <c r="B2648" s="3" t="n">
        <v>2026</v>
      </c>
      <c r="C2648" s="26" t="inlineStr">
        <is>
          <t>Yanara Power</t>
        </is>
      </c>
      <c r="D2648" s="3" t="inlineStr">
        <is>
          <t>Utility and C&amp;I</t>
        </is>
      </c>
      <c r="E2648" s="3" t="n"/>
      <c r="F2648" s="3" t="inlineStr">
        <is>
          <t>Closed</t>
        </is>
      </c>
      <c r="G2648" s="9" t="inlineStr">
        <is>
          <t xml:space="preserve">Ashish Jindal </t>
        </is>
      </c>
      <c r="H2648" s="26" t="n">
        <v>9983975581</v>
      </c>
      <c r="I2648" s="38" t="inlineStr">
        <is>
          <t>PE01052601</t>
        </is>
      </c>
      <c r="J2648" s="26" t="inlineStr">
        <is>
          <t>Multiple Issues</t>
        </is>
      </c>
      <c r="K2648" s="39" t="inlineStr">
        <is>
          <t>Holi</t>
        </is>
      </c>
      <c r="L2648" s="39" t="inlineStr">
        <is>
          <t>Maharashtra</t>
        </is>
      </c>
      <c r="M2648" s="9" t="inlineStr">
        <is>
          <t>PS</t>
        </is>
      </c>
      <c r="N2648" s="3" t="inlineStr">
        <is>
          <t>Cold Soldering</t>
        </is>
      </c>
      <c r="O2648" s="56" t="n">
        <v>575</v>
      </c>
      <c r="P2648" s="46" t="inlineStr">
        <is>
          <t>NSMI24070179163</t>
        </is>
      </c>
      <c r="Q2648" s="54">
        <f>MID(P2648,5,2)</f>
        <v/>
      </c>
      <c r="R2648" s="53">
        <f>MID(P2648,7,2)</f>
        <v/>
      </c>
      <c r="S2648" s="3" t="inlineStr">
        <is>
          <t>G2G</t>
        </is>
      </c>
      <c r="T2648" s="3" t="inlineStr">
        <is>
          <t>P4</t>
        </is>
      </c>
      <c r="U2648" s="19" t="inlineStr">
        <is>
          <t>P JB Cold Soldering &amp; Back Glass Breakage</t>
        </is>
      </c>
      <c r="V2648" s="19" t="inlineStr">
        <is>
          <t>Soldering</t>
        </is>
      </c>
      <c r="W2648" s="3" t="inlineStr">
        <is>
          <t>Repair</t>
        </is>
      </c>
      <c r="X2648" s="18" t="n">
        <v>46173</v>
      </c>
      <c r="Y2648" s="73">
        <f>IF(X2648="","",X2648-A2648)</f>
        <v/>
      </c>
      <c r="Z2648" s="18" t="n">
        <v>46173</v>
      </c>
      <c r="AA2648" s="15" t="n"/>
      <c r="AB2648" s="15" t="n"/>
      <c r="AF2648">
        <f>IF(AND($F2648="Closed",$X2648&gt;=DATE(2026,5,1),$X2648&lt;=DATE(2026,5,31)),"Closed in May","Other")</f>
        <v/>
      </c>
    </row>
    <row r="2649">
      <c r="A2649" s="37" t="n">
        <v>46143</v>
      </c>
      <c r="B2649" s="3" t="n">
        <v>2026</v>
      </c>
      <c r="C2649" s="26" t="inlineStr">
        <is>
          <t>Yanara Power</t>
        </is>
      </c>
      <c r="D2649" s="3" t="inlineStr">
        <is>
          <t>Utility and C&amp;I</t>
        </is>
      </c>
      <c r="E2649" s="3" t="n"/>
      <c r="F2649" s="3" t="inlineStr">
        <is>
          <t>Closed</t>
        </is>
      </c>
      <c r="G2649" s="9" t="inlineStr">
        <is>
          <t xml:space="preserve">Ashish Jindal </t>
        </is>
      </c>
      <c r="H2649" s="26" t="n">
        <v>9983975581</v>
      </c>
      <c r="I2649" s="38" t="inlineStr">
        <is>
          <t>PE01052601</t>
        </is>
      </c>
      <c r="J2649" s="26" t="inlineStr">
        <is>
          <t>Multiple Issues</t>
        </is>
      </c>
      <c r="K2649" s="39" t="inlineStr">
        <is>
          <t>Holi</t>
        </is>
      </c>
      <c r="L2649" s="39" t="inlineStr">
        <is>
          <t>Maharashtra</t>
        </is>
      </c>
      <c r="M2649" s="9" t="inlineStr">
        <is>
          <t>PS</t>
        </is>
      </c>
      <c r="N2649" s="3" t="inlineStr">
        <is>
          <t>Cold Soldering</t>
        </is>
      </c>
      <c r="O2649" s="56" t="n">
        <v>575</v>
      </c>
      <c r="P2649" s="46" t="inlineStr">
        <is>
          <t>NSMI24070179278</t>
        </is>
      </c>
      <c r="Q2649" s="54">
        <f>MID(P2649,5,2)</f>
        <v/>
      </c>
      <c r="R2649" s="53">
        <f>MID(P2649,7,2)</f>
        <v/>
      </c>
      <c r="S2649" s="3" t="inlineStr">
        <is>
          <t>G2G</t>
        </is>
      </c>
      <c r="T2649" s="3" t="inlineStr">
        <is>
          <t>P4</t>
        </is>
      </c>
      <c r="U2649" s="19" t="inlineStr">
        <is>
          <t>P JB Cold Soldering</t>
        </is>
      </c>
      <c r="V2649" s="19" t="inlineStr">
        <is>
          <t>Soldering</t>
        </is>
      </c>
      <c r="W2649" s="3" t="inlineStr">
        <is>
          <t>Repair</t>
        </is>
      </c>
      <c r="X2649" s="18" t="n">
        <v>46173</v>
      </c>
      <c r="Y2649" s="73">
        <f>IF(X2649="","",X2649-A2649)</f>
        <v/>
      </c>
      <c r="Z2649" s="18" t="n">
        <v>46173</v>
      </c>
      <c r="AA2649" s="15" t="n"/>
      <c r="AB2649" s="15" t="n"/>
      <c r="AF2649">
        <f>IF(AND($F2649="Closed",$X2649&gt;=DATE(2026,5,1),$X2649&lt;=DATE(2026,5,31)),"Closed in May","Other")</f>
        <v/>
      </c>
    </row>
    <row r="2650">
      <c r="A2650" s="37" t="n">
        <v>46143</v>
      </c>
      <c r="B2650" s="3" t="n">
        <v>2026</v>
      </c>
      <c r="C2650" s="26" t="inlineStr">
        <is>
          <t>Yanara Power</t>
        </is>
      </c>
      <c r="D2650" s="3" t="inlineStr">
        <is>
          <t>Utility and C&amp;I</t>
        </is>
      </c>
      <c r="E2650" s="3" t="n"/>
      <c r="F2650" s="3" t="inlineStr">
        <is>
          <t>Closed</t>
        </is>
      </c>
      <c r="G2650" s="9" t="inlineStr">
        <is>
          <t xml:space="preserve">Ashish Jindal </t>
        </is>
      </c>
      <c r="H2650" s="26" t="n">
        <v>9983975581</v>
      </c>
      <c r="I2650" s="38" t="inlineStr">
        <is>
          <t>PE01052601</t>
        </is>
      </c>
      <c r="J2650" s="26" t="inlineStr">
        <is>
          <t>Multiple Issues</t>
        </is>
      </c>
      <c r="K2650" s="39" t="inlineStr">
        <is>
          <t>Holi</t>
        </is>
      </c>
      <c r="L2650" s="39" t="inlineStr">
        <is>
          <t>Maharashtra</t>
        </is>
      </c>
      <c r="M2650" s="9" t="inlineStr">
        <is>
          <t>PS</t>
        </is>
      </c>
      <c r="N2650" s="3" t="inlineStr">
        <is>
          <t>Cold Soldering</t>
        </is>
      </c>
      <c r="O2650" s="56" t="n">
        <v>575</v>
      </c>
      <c r="P2650" s="46" t="inlineStr">
        <is>
          <t>NSMI24070182867</t>
        </is>
      </c>
      <c r="Q2650" s="54">
        <f>MID(P2650,5,2)</f>
        <v/>
      </c>
      <c r="R2650" s="53">
        <f>MID(P2650,7,2)</f>
        <v/>
      </c>
      <c r="S2650" s="3" t="inlineStr">
        <is>
          <t>G2G</t>
        </is>
      </c>
      <c r="T2650" s="3" t="inlineStr">
        <is>
          <t>P4</t>
        </is>
      </c>
      <c r="U2650" s="19" t="inlineStr">
        <is>
          <t>P JB Cold Soldering</t>
        </is>
      </c>
      <c r="V2650" s="19" t="inlineStr">
        <is>
          <t>Soldering</t>
        </is>
      </c>
      <c r="W2650" s="3" t="inlineStr">
        <is>
          <t>Repair</t>
        </is>
      </c>
      <c r="X2650" s="18" t="n">
        <v>46173</v>
      </c>
      <c r="Y2650" s="73">
        <f>IF(X2650="","",X2650-A2650)</f>
        <v/>
      </c>
      <c r="Z2650" s="18" t="n">
        <v>46173</v>
      </c>
      <c r="AA2650" s="15" t="n"/>
      <c r="AB2650" s="15" t="n"/>
      <c r="AF2650">
        <f>IF(AND($F2650="Closed",$X2650&gt;=DATE(2026,5,1),$X2650&lt;=DATE(2026,5,31)),"Closed in May","Other")</f>
        <v/>
      </c>
    </row>
    <row r="2651">
      <c r="A2651" s="37" t="n">
        <v>46143</v>
      </c>
      <c r="B2651" s="3" t="n">
        <v>2026</v>
      </c>
      <c r="C2651" s="26" t="inlineStr">
        <is>
          <t>Yanara Power</t>
        </is>
      </c>
      <c r="D2651" s="3" t="inlineStr">
        <is>
          <t>Utility and C&amp;I</t>
        </is>
      </c>
      <c r="E2651" s="3" t="n"/>
      <c r="F2651" s="3" t="inlineStr">
        <is>
          <t>Closed</t>
        </is>
      </c>
      <c r="G2651" s="9" t="inlineStr">
        <is>
          <t xml:space="preserve">Ashish Jindal </t>
        </is>
      </c>
      <c r="H2651" s="26" t="n">
        <v>9983975581</v>
      </c>
      <c r="I2651" s="38" t="inlineStr">
        <is>
          <t>PE01052601</t>
        </is>
      </c>
      <c r="J2651" s="26" t="inlineStr">
        <is>
          <t>Multiple Issues</t>
        </is>
      </c>
      <c r="K2651" s="39" t="inlineStr">
        <is>
          <t>Holi</t>
        </is>
      </c>
      <c r="L2651" s="39" t="inlineStr">
        <is>
          <t>Maharashtra</t>
        </is>
      </c>
      <c r="M2651" s="9" t="inlineStr">
        <is>
          <t>NS</t>
        </is>
      </c>
      <c r="N2651" s="3" t="inlineStr">
        <is>
          <t>Cold Soldering</t>
        </is>
      </c>
      <c r="O2651" s="56" t="n">
        <v>575</v>
      </c>
      <c r="P2651" s="46" t="inlineStr">
        <is>
          <t>NSMI24070198340</t>
        </is>
      </c>
      <c r="Q2651" s="54">
        <f>MID(P2651,5,2)</f>
        <v/>
      </c>
      <c r="R2651" s="53">
        <f>MID(P2651,7,2)</f>
        <v/>
      </c>
      <c r="S2651" s="3" t="inlineStr">
        <is>
          <t>G2G</t>
        </is>
      </c>
      <c r="T2651" s="3" t="inlineStr">
        <is>
          <t>P4</t>
        </is>
      </c>
      <c r="U2651" s="3" t="inlineStr">
        <is>
          <t>N JB Cold Soldering</t>
        </is>
      </c>
      <c r="V2651" s="3" t="inlineStr">
        <is>
          <t>Soldering</t>
        </is>
      </c>
      <c r="W2651" s="3" t="inlineStr">
        <is>
          <t>Repair</t>
        </is>
      </c>
      <c r="X2651" s="18" t="n">
        <v>46173</v>
      </c>
      <c r="Y2651" s="73">
        <f>IF(X2651="","",X2651-A2651)</f>
        <v/>
      </c>
      <c r="Z2651" s="18" t="n">
        <v>46173</v>
      </c>
      <c r="AA2651" s="15" t="n"/>
      <c r="AB2651" s="15" t="n"/>
      <c r="AF2651">
        <f>IF(AND($F2651="Closed",$X2651&gt;=DATE(2026,5,1),$X2651&lt;=DATE(2026,5,31)),"Closed in May","Other")</f>
        <v/>
      </c>
    </row>
    <row r="2652">
      <c r="A2652" s="37" t="n">
        <v>46143</v>
      </c>
      <c r="B2652" s="3" t="n">
        <v>2026</v>
      </c>
      <c r="C2652" s="26" t="inlineStr">
        <is>
          <t>Yanara Power</t>
        </is>
      </c>
      <c r="D2652" s="3" t="inlineStr">
        <is>
          <t>Utility and C&amp;I</t>
        </is>
      </c>
      <c r="E2652" s="3" t="n"/>
      <c r="F2652" s="3" t="inlineStr">
        <is>
          <t>Closed</t>
        </is>
      </c>
      <c r="G2652" s="9" t="inlineStr">
        <is>
          <t xml:space="preserve">Ashish Jindal </t>
        </is>
      </c>
      <c r="H2652" s="26" t="n">
        <v>9983975581</v>
      </c>
      <c r="I2652" s="38" t="inlineStr">
        <is>
          <t>PE01052601</t>
        </is>
      </c>
      <c r="J2652" s="26" t="inlineStr">
        <is>
          <t>Multiple Issues</t>
        </is>
      </c>
      <c r="K2652" s="39" t="inlineStr">
        <is>
          <t>Holi</t>
        </is>
      </c>
      <c r="L2652" s="39" t="inlineStr">
        <is>
          <t>Maharashtra</t>
        </is>
      </c>
      <c r="M2652" s="9" t="inlineStr">
        <is>
          <t>PNS</t>
        </is>
      </c>
      <c r="N2652" s="3" t="inlineStr">
        <is>
          <t>Cold Soldering</t>
        </is>
      </c>
      <c r="O2652" s="56" t="n">
        <v>575</v>
      </c>
      <c r="P2652" s="46" t="inlineStr">
        <is>
          <t>NSMI24070198395</t>
        </is>
      </c>
      <c r="Q2652" s="54">
        <f>MID(P2652,5,2)</f>
        <v/>
      </c>
      <c r="R2652" s="53">
        <f>MID(P2652,7,2)</f>
        <v/>
      </c>
      <c r="S2652" s="3" t="inlineStr">
        <is>
          <t>G2G</t>
        </is>
      </c>
      <c r="T2652" s="3" t="inlineStr">
        <is>
          <t>P4</t>
        </is>
      </c>
      <c r="U2652" s="3" t="inlineStr">
        <is>
          <t>P &amp; N JB Cold Soldering</t>
        </is>
      </c>
      <c r="V2652" s="3" t="inlineStr">
        <is>
          <t>Soldering</t>
        </is>
      </c>
      <c r="W2652" s="3" t="inlineStr">
        <is>
          <t>Repair</t>
        </is>
      </c>
      <c r="X2652" s="18" t="n">
        <v>46173</v>
      </c>
      <c r="Y2652" s="73">
        <f>IF(X2652="","",X2652-A2652)</f>
        <v/>
      </c>
      <c r="Z2652" s="18" t="n">
        <v>46173</v>
      </c>
      <c r="AA2652" s="15" t="n"/>
      <c r="AB2652" s="15" t="n"/>
      <c r="AF2652">
        <f>IF(AND($F2652="Closed",$X2652&gt;=DATE(2026,5,1),$X2652&lt;=DATE(2026,5,31)),"Closed in May","Other")</f>
        <v/>
      </c>
    </row>
    <row r="2653">
      <c r="A2653" s="37" t="n">
        <v>46143</v>
      </c>
      <c r="B2653" s="3" t="n">
        <v>2026</v>
      </c>
      <c r="C2653" s="26" t="inlineStr">
        <is>
          <t>Yanara Power</t>
        </is>
      </c>
      <c r="D2653" s="3" t="inlineStr">
        <is>
          <t>Utility and C&amp;I</t>
        </is>
      </c>
      <c r="E2653" s="3" t="n"/>
      <c r="F2653" s="3" t="inlineStr">
        <is>
          <t>Closed</t>
        </is>
      </c>
      <c r="G2653" s="9" t="inlineStr">
        <is>
          <t xml:space="preserve">Ashish Jindal </t>
        </is>
      </c>
      <c r="H2653" s="26" t="n">
        <v>9983975581</v>
      </c>
      <c r="I2653" s="38" t="inlineStr">
        <is>
          <t>PE01052601</t>
        </is>
      </c>
      <c r="J2653" s="26" t="inlineStr">
        <is>
          <t>Multiple Issues</t>
        </is>
      </c>
      <c r="K2653" s="39" t="inlineStr">
        <is>
          <t>Holi</t>
        </is>
      </c>
      <c r="L2653" s="39" t="inlineStr">
        <is>
          <t>Maharashtra</t>
        </is>
      </c>
      <c r="M2653" s="9" t="inlineStr">
        <is>
          <t>PS</t>
        </is>
      </c>
      <c r="N2653" s="3" t="inlineStr">
        <is>
          <t>Cold Soldering</t>
        </is>
      </c>
      <c r="O2653" s="56" t="n">
        <v>575</v>
      </c>
      <c r="P2653" s="46" t="inlineStr">
        <is>
          <t>NSMI24070183863</t>
        </is>
      </c>
      <c r="Q2653" s="54">
        <f>MID(P2653,5,2)</f>
        <v/>
      </c>
      <c r="R2653" s="53">
        <f>MID(P2653,7,2)</f>
        <v/>
      </c>
      <c r="S2653" s="3" t="inlineStr">
        <is>
          <t>G2G</t>
        </is>
      </c>
      <c r="T2653" s="3" t="inlineStr">
        <is>
          <t>P4</t>
        </is>
      </c>
      <c r="U2653" s="19" t="inlineStr">
        <is>
          <t>P JB Cold Soldering</t>
        </is>
      </c>
      <c r="V2653" s="19" t="inlineStr">
        <is>
          <t>Soldering</t>
        </is>
      </c>
      <c r="W2653" s="3" t="inlineStr">
        <is>
          <t>Repair</t>
        </is>
      </c>
      <c r="X2653" s="18" t="n">
        <v>46173</v>
      </c>
      <c r="Y2653" s="73">
        <f>IF(X2653="","",X2653-A2653)</f>
        <v/>
      </c>
      <c r="Z2653" s="18" t="n">
        <v>46173</v>
      </c>
      <c r="AA2653" s="15" t="n"/>
      <c r="AB2653" s="15" t="n"/>
      <c r="AF2653">
        <f>IF(AND($F2653="Closed",$X2653&gt;=DATE(2026,5,1),$X2653&lt;=DATE(2026,5,31)),"Closed in May","Other")</f>
        <v/>
      </c>
    </row>
    <row r="2654">
      <c r="A2654" s="37" t="n">
        <v>46143</v>
      </c>
      <c r="B2654" s="3" t="n">
        <v>2026</v>
      </c>
      <c r="C2654" s="26" t="inlineStr">
        <is>
          <t>Yanara Power</t>
        </is>
      </c>
      <c r="D2654" s="3" t="inlineStr">
        <is>
          <t>Utility and C&amp;I</t>
        </is>
      </c>
      <c r="E2654" s="3" t="n"/>
      <c r="F2654" s="3" t="inlineStr">
        <is>
          <t>Closed</t>
        </is>
      </c>
      <c r="G2654" s="9" t="inlineStr">
        <is>
          <t xml:space="preserve">Ashish Jindal </t>
        </is>
      </c>
      <c r="H2654" s="26" t="n">
        <v>9983975581</v>
      </c>
      <c r="I2654" s="38" t="inlineStr">
        <is>
          <t>PE01052601</t>
        </is>
      </c>
      <c r="J2654" s="26" t="inlineStr">
        <is>
          <t>Multiple Issues</t>
        </is>
      </c>
      <c r="K2654" s="39" t="inlineStr">
        <is>
          <t>Holi</t>
        </is>
      </c>
      <c r="L2654" s="39" t="inlineStr">
        <is>
          <t>Maharashtra</t>
        </is>
      </c>
      <c r="M2654" s="9" t="inlineStr">
        <is>
          <t>NS</t>
        </is>
      </c>
      <c r="N2654" s="3" t="inlineStr">
        <is>
          <t>Cold Soldering</t>
        </is>
      </c>
      <c r="O2654" s="56" t="n">
        <v>575</v>
      </c>
      <c r="P2654" s="46" t="inlineStr">
        <is>
          <t>NSMI24070183884</t>
        </is>
      </c>
      <c r="Q2654" s="54">
        <f>MID(P2654,5,2)</f>
        <v/>
      </c>
      <c r="R2654" s="53">
        <f>MID(P2654,7,2)</f>
        <v/>
      </c>
      <c r="S2654" s="3" t="inlineStr">
        <is>
          <t>G2G</t>
        </is>
      </c>
      <c r="T2654" s="3" t="inlineStr">
        <is>
          <t>P4</t>
        </is>
      </c>
      <c r="U2654" s="3" t="inlineStr">
        <is>
          <t>N JB Cold Soldering</t>
        </is>
      </c>
      <c r="V2654" s="3" t="inlineStr">
        <is>
          <t>Soldering</t>
        </is>
      </c>
      <c r="W2654" s="3" t="inlineStr">
        <is>
          <t>Repair</t>
        </is>
      </c>
      <c r="X2654" s="18" t="n">
        <v>46173</v>
      </c>
      <c r="Y2654" s="73">
        <f>IF(X2654="","",X2654-A2654)</f>
        <v/>
      </c>
      <c r="Z2654" s="18" t="n">
        <v>46173</v>
      </c>
      <c r="AA2654" s="15" t="n"/>
      <c r="AB2654" s="15" t="n"/>
      <c r="AF2654">
        <f>IF(AND($F2654="Closed",$X2654&gt;=DATE(2026,5,1),$X2654&lt;=DATE(2026,5,31)),"Closed in May","Other")</f>
        <v/>
      </c>
    </row>
    <row r="2655">
      <c r="A2655" s="37" t="n">
        <v>46143</v>
      </c>
      <c r="B2655" s="3" t="n">
        <v>2026</v>
      </c>
      <c r="C2655" s="26" t="inlineStr">
        <is>
          <t>Yanara Power</t>
        </is>
      </c>
      <c r="D2655" s="3" t="inlineStr">
        <is>
          <t>Utility and C&amp;I</t>
        </is>
      </c>
      <c r="E2655" s="3" t="n"/>
      <c r="F2655" s="3" t="inlineStr">
        <is>
          <t>Closed</t>
        </is>
      </c>
      <c r="G2655" s="9" t="inlineStr">
        <is>
          <t xml:space="preserve">Ashish Jindal </t>
        </is>
      </c>
      <c r="H2655" s="26" t="n">
        <v>9983975581</v>
      </c>
      <c r="I2655" s="38" t="inlineStr">
        <is>
          <t>PE01052601</t>
        </is>
      </c>
      <c r="J2655" s="26" t="inlineStr">
        <is>
          <t>Multiple Issues</t>
        </is>
      </c>
      <c r="K2655" s="39" t="inlineStr">
        <is>
          <t>Holi</t>
        </is>
      </c>
      <c r="L2655" s="39" t="inlineStr">
        <is>
          <t>Maharashtra</t>
        </is>
      </c>
      <c r="M2655" s="9" t="inlineStr">
        <is>
          <t>PS</t>
        </is>
      </c>
      <c r="N2655" s="3" t="inlineStr">
        <is>
          <t>Cold Soldering</t>
        </is>
      </c>
      <c r="O2655" s="56" t="n">
        <v>575</v>
      </c>
      <c r="P2655" s="46" t="inlineStr">
        <is>
          <t>NSMI24070216242</t>
        </is>
      </c>
      <c r="Q2655" s="54">
        <f>MID(P2655,5,2)</f>
        <v/>
      </c>
      <c r="R2655" s="53">
        <f>MID(P2655,7,2)</f>
        <v/>
      </c>
      <c r="S2655" s="3" t="inlineStr">
        <is>
          <t>G2G</t>
        </is>
      </c>
      <c r="T2655" s="3" t="inlineStr">
        <is>
          <t>P4</t>
        </is>
      </c>
      <c r="U2655" s="19" t="inlineStr">
        <is>
          <t>P JB Cold Soldering</t>
        </is>
      </c>
      <c r="V2655" s="19" t="inlineStr">
        <is>
          <t>Soldering</t>
        </is>
      </c>
      <c r="W2655" s="3" t="inlineStr">
        <is>
          <t>Repair</t>
        </is>
      </c>
      <c r="X2655" s="18" t="n">
        <v>46173</v>
      </c>
      <c r="Y2655" s="73">
        <f>IF(X2655="","",X2655-A2655)</f>
        <v/>
      </c>
      <c r="Z2655" s="18" t="n">
        <v>46173</v>
      </c>
      <c r="AA2655" s="15" t="n"/>
      <c r="AB2655" s="15" t="n"/>
      <c r="AF2655">
        <f>IF(AND($F2655="Closed",$X2655&gt;=DATE(2026,5,1),$X2655&lt;=DATE(2026,5,31)),"Closed in May","Other")</f>
        <v/>
      </c>
    </row>
    <row r="2656">
      <c r="A2656" s="37" t="n">
        <v>46143</v>
      </c>
      <c r="B2656" s="3" t="n">
        <v>2026</v>
      </c>
      <c r="C2656" s="26" t="inlineStr">
        <is>
          <t>Yanara Power</t>
        </is>
      </c>
      <c r="D2656" s="3" t="inlineStr">
        <is>
          <t>Utility and C&amp;I</t>
        </is>
      </c>
      <c r="E2656" s="3" t="n"/>
      <c r="F2656" s="3" t="inlineStr">
        <is>
          <t>Closed</t>
        </is>
      </c>
      <c r="G2656" s="9" t="inlineStr">
        <is>
          <t xml:space="preserve">Ashish Jindal </t>
        </is>
      </c>
      <c r="H2656" s="26" t="n">
        <v>9983975581</v>
      </c>
      <c r="I2656" s="38" t="inlineStr">
        <is>
          <t>PE01052601</t>
        </is>
      </c>
      <c r="J2656" s="26" t="inlineStr">
        <is>
          <t>Multiple Issues</t>
        </is>
      </c>
      <c r="K2656" s="39" t="inlineStr">
        <is>
          <t>Holi</t>
        </is>
      </c>
      <c r="L2656" s="39" t="inlineStr">
        <is>
          <t>Maharashtra</t>
        </is>
      </c>
      <c r="M2656" s="9" t="inlineStr">
        <is>
          <t>AS</t>
        </is>
      </c>
      <c r="N2656" s="19" t="inlineStr">
        <is>
          <t>Cold Soldering</t>
        </is>
      </c>
      <c r="O2656" s="56" t="n">
        <v>575</v>
      </c>
      <c r="P2656" s="46" t="inlineStr">
        <is>
          <t>NSMI24070166252</t>
        </is>
      </c>
      <c r="Q2656" s="54">
        <f>MID(P2656,5,2)</f>
        <v/>
      </c>
      <c r="R2656" s="53">
        <f>MID(P2656,7,2)</f>
        <v/>
      </c>
      <c r="S2656" s="3" t="inlineStr">
        <is>
          <t>G2G</t>
        </is>
      </c>
      <c r="T2656" s="3" t="inlineStr">
        <is>
          <t>P4</t>
        </is>
      </c>
      <c r="U2656" s="19" t="inlineStr">
        <is>
          <t>All JB Cold Soldering</t>
        </is>
      </c>
      <c r="V2656" s="19" t="inlineStr">
        <is>
          <t>Soldering</t>
        </is>
      </c>
      <c r="W2656" s="3" t="inlineStr">
        <is>
          <t>Repair</t>
        </is>
      </c>
      <c r="X2656" s="18" t="n">
        <v>46173</v>
      </c>
      <c r="Y2656" s="73">
        <f>IF(X2656="","",X2656-A2656)</f>
        <v/>
      </c>
      <c r="Z2656" s="18" t="n">
        <v>46173</v>
      </c>
      <c r="AA2656" s="15" t="n"/>
      <c r="AB2656" s="15" t="n"/>
      <c r="AF2656">
        <f>IF(AND($F2656="Closed",$X2656&gt;=DATE(2026,5,1),$X2656&lt;=DATE(2026,5,31)),"Closed in May","Other")</f>
        <v/>
      </c>
    </row>
    <row r="2657">
      <c r="A2657" s="37" t="n">
        <v>46143</v>
      </c>
      <c r="B2657" s="3" t="n">
        <v>2026</v>
      </c>
      <c r="C2657" s="26" t="inlineStr">
        <is>
          <t>Yanara Power</t>
        </is>
      </c>
      <c r="D2657" s="3" t="inlineStr">
        <is>
          <t>Utility and C&amp;I</t>
        </is>
      </c>
      <c r="E2657" s="3" t="n"/>
      <c r="F2657" s="3" t="inlineStr">
        <is>
          <t>Closed</t>
        </is>
      </c>
      <c r="G2657" s="9" t="inlineStr">
        <is>
          <t xml:space="preserve">Ashish Jindal </t>
        </is>
      </c>
      <c r="H2657" s="26" t="n">
        <v>9983975581</v>
      </c>
      <c r="I2657" s="38" t="inlineStr">
        <is>
          <t>PE01052601</t>
        </is>
      </c>
      <c r="J2657" s="26" t="inlineStr">
        <is>
          <t>Multiple Issues</t>
        </is>
      </c>
      <c r="K2657" s="39" t="inlineStr">
        <is>
          <t>Holi</t>
        </is>
      </c>
      <c r="L2657" s="39" t="inlineStr">
        <is>
          <t>Maharashtra</t>
        </is>
      </c>
      <c r="M2657" s="9" t="inlineStr">
        <is>
          <t>PS</t>
        </is>
      </c>
      <c r="N2657" s="3" t="inlineStr">
        <is>
          <t>Cold Soldering</t>
        </is>
      </c>
      <c r="O2657" s="56" t="n">
        <v>575</v>
      </c>
      <c r="P2657" s="46" t="inlineStr">
        <is>
          <t>NSMI24070184714</t>
        </is>
      </c>
      <c r="Q2657" s="54">
        <f>MID(P2657,5,2)</f>
        <v/>
      </c>
      <c r="R2657" s="53">
        <f>MID(P2657,7,2)</f>
        <v/>
      </c>
      <c r="S2657" s="3" t="inlineStr">
        <is>
          <t>G2G</t>
        </is>
      </c>
      <c r="T2657" s="3" t="inlineStr">
        <is>
          <t>P4</t>
        </is>
      </c>
      <c r="U2657" s="19" t="inlineStr">
        <is>
          <t>P JB Cold Soldering</t>
        </is>
      </c>
      <c r="V2657" s="19" t="inlineStr">
        <is>
          <t>Soldering</t>
        </is>
      </c>
      <c r="W2657" s="3" t="inlineStr">
        <is>
          <t>Repair</t>
        </is>
      </c>
      <c r="X2657" s="18" t="n">
        <v>46173</v>
      </c>
      <c r="Y2657" s="73">
        <f>IF(X2657="","",X2657-A2657)</f>
        <v/>
      </c>
      <c r="Z2657" s="18" t="n">
        <v>46173</v>
      </c>
      <c r="AA2657" s="15" t="n"/>
      <c r="AB2657" s="15" t="n"/>
      <c r="AF2657">
        <f>IF(AND($F2657="Closed",$X2657&gt;=DATE(2026,5,1),$X2657&lt;=DATE(2026,5,31)),"Closed in May","Other")</f>
        <v/>
      </c>
    </row>
    <row r="2658">
      <c r="A2658" s="37" t="n">
        <v>46143</v>
      </c>
      <c r="B2658" s="3" t="n">
        <v>2026</v>
      </c>
      <c r="C2658" s="26" t="inlineStr">
        <is>
          <t>Yanara Power</t>
        </is>
      </c>
      <c r="D2658" s="3" t="inlineStr">
        <is>
          <t>Utility and C&amp;I</t>
        </is>
      </c>
      <c r="E2658" s="3" t="n"/>
      <c r="F2658" s="3" t="inlineStr">
        <is>
          <t>Closed</t>
        </is>
      </c>
      <c r="G2658" s="9" t="inlineStr">
        <is>
          <t xml:space="preserve">Ashish Jindal </t>
        </is>
      </c>
      <c r="H2658" s="26" t="n">
        <v>9983975581</v>
      </c>
      <c r="I2658" s="38" t="inlineStr">
        <is>
          <t>PE01052601</t>
        </is>
      </c>
      <c r="J2658" s="26" t="inlineStr">
        <is>
          <t>Multiple Issues</t>
        </is>
      </c>
      <c r="K2658" s="39" t="inlineStr">
        <is>
          <t>Holi</t>
        </is>
      </c>
      <c r="L2658" s="39" t="inlineStr">
        <is>
          <t>Maharashtra</t>
        </is>
      </c>
      <c r="M2658" s="9" t="inlineStr">
        <is>
          <t>PS</t>
        </is>
      </c>
      <c r="N2658" s="3" t="inlineStr">
        <is>
          <t>Cold Soldering</t>
        </is>
      </c>
      <c r="O2658" s="56" t="n">
        <v>575</v>
      </c>
      <c r="P2658" s="46" t="inlineStr">
        <is>
          <t>NSMI24070184735</t>
        </is>
      </c>
      <c r="Q2658" s="54">
        <f>MID(P2658,5,2)</f>
        <v/>
      </c>
      <c r="R2658" s="53">
        <f>MID(P2658,7,2)</f>
        <v/>
      </c>
      <c r="S2658" s="3" t="inlineStr">
        <is>
          <t>G2G</t>
        </is>
      </c>
      <c r="T2658" s="3" t="inlineStr">
        <is>
          <t>P4</t>
        </is>
      </c>
      <c r="U2658" s="19" t="inlineStr">
        <is>
          <t>P JB Cold Soldering</t>
        </is>
      </c>
      <c r="V2658" s="19" t="inlineStr">
        <is>
          <t>Soldering</t>
        </is>
      </c>
      <c r="W2658" s="3" t="inlineStr">
        <is>
          <t>Repair</t>
        </is>
      </c>
      <c r="X2658" s="18" t="n">
        <v>46173</v>
      </c>
      <c r="Y2658" s="73">
        <f>IF(X2658="","",X2658-A2658)</f>
        <v/>
      </c>
      <c r="Z2658" s="18" t="n">
        <v>46173</v>
      </c>
      <c r="AA2658" s="15" t="n"/>
      <c r="AB2658" s="15" t="n"/>
      <c r="AF2658">
        <f>IF(AND($F2658="Closed",$X2658&gt;=DATE(2026,5,1),$X2658&lt;=DATE(2026,5,31)),"Closed in May","Other")</f>
        <v/>
      </c>
    </row>
    <row r="2659">
      <c r="A2659" s="37" t="n">
        <v>46143</v>
      </c>
      <c r="B2659" s="3" t="n">
        <v>2026</v>
      </c>
      <c r="C2659" s="26" t="inlineStr">
        <is>
          <t>Yanara Power</t>
        </is>
      </c>
      <c r="D2659" s="3" t="inlineStr">
        <is>
          <t>Utility and C&amp;I</t>
        </is>
      </c>
      <c r="E2659" s="3" t="n"/>
      <c r="F2659" s="3" t="inlineStr">
        <is>
          <t>Closed</t>
        </is>
      </c>
      <c r="G2659" s="9" t="inlineStr">
        <is>
          <t xml:space="preserve">Ashish Jindal </t>
        </is>
      </c>
      <c r="H2659" s="26" t="n">
        <v>9983975581</v>
      </c>
      <c r="I2659" s="38" t="inlineStr">
        <is>
          <t>PE01052601</t>
        </is>
      </c>
      <c r="J2659" s="26" t="inlineStr">
        <is>
          <t>Multiple Issues</t>
        </is>
      </c>
      <c r="K2659" s="39" t="inlineStr">
        <is>
          <t>Holi</t>
        </is>
      </c>
      <c r="L2659" s="39" t="inlineStr">
        <is>
          <t>Maharashtra</t>
        </is>
      </c>
      <c r="M2659" s="9" t="inlineStr">
        <is>
          <t>PS</t>
        </is>
      </c>
      <c r="N2659" s="3" t="inlineStr">
        <is>
          <t>Cold Soldering</t>
        </is>
      </c>
      <c r="O2659" s="56" t="n">
        <v>575</v>
      </c>
      <c r="P2659" s="46" t="inlineStr">
        <is>
          <t>NSMI24070188029</t>
        </is>
      </c>
      <c r="Q2659" s="54">
        <f>MID(P2659,5,2)</f>
        <v/>
      </c>
      <c r="R2659" s="53">
        <f>MID(P2659,7,2)</f>
        <v/>
      </c>
      <c r="S2659" s="3" t="inlineStr">
        <is>
          <t>G2G</t>
        </is>
      </c>
      <c r="T2659" s="3" t="inlineStr">
        <is>
          <t>P4</t>
        </is>
      </c>
      <c r="U2659" s="19" t="inlineStr">
        <is>
          <t>P JB Cold Soldering</t>
        </is>
      </c>
      <c r="V2659" s="19" t="inlineStr">
        <is>
          <t>Soldering</t>
        </is>
      </c>
      <c r="W2659" s="3" t="inlineStr">
        <is>
          <t>Repair</t>
        </is>
      </c>
      <c r="X2659" s="18" t="n">
        <v>46173</v>
      </c>
      <c r="Y2659" s="73">
        <f>IF(X2659="","",X2659-A2659)</f>
        <v/>
      </c>
      <c r="Z2659" s="18" t="n">
        <v>46173</v>
      </c>
      <c r="AA2659" s="15" t="n"/>
      <c r="AB2659" s="15" t="n"/>
      <c r="AF2659">
        <f>IF(AND($F2659="Closed",$X2659&gt;=DATE(2026,5,1),$X2659&lt;=DATE(2026,5,31)),"Closed in May","Other")</f>
        <v/>
      </c>
    </row>
    <row r="2660">
      <c r="A2660" s="37" t="n">
        <v>46143</v>
      </c>
      <c r="B2660" s="3" t="n">
        <v>2026</v>
      </c>
      <c r="C2660" s="26" t="inlineStr">
        <is>
          <t>Yanara Power</t>
        </is>
      </c>
      <c r="D2660" s="3" t="inlineStr">
        <is>
          <t>Utility and C&amp;I</t>
        </is>
      </c>
      <c r="E2660" s="3" t="n"/>
      <c r="F2660" s="3" t="inlineStr">
        <is>
          <t>Closed</t>
        </is>
      </c>
      <c r="G2660" s="9" t="inlineStr">
        <is>
          <t xml:space="preserve">Ashish Jindal </t>
        </is>
      </c>
      <c r="H2660" s="26" t="n">
        <v>9983975581</v>
      </c>
      <c r="I2660" s="38" t="inlineStr">
        <is>
          <t>PE01052601</t>
        </is>
      </c>
      <c r="J2660" s="26" t="inlineStr">
        <is>
          <t>Multiple Issues</t>
        </is>
      </c>
      <c r="K2660" s="39" t="inlineStr">
        <is>
          <t>Holi</t>
        </is>
      </c>
      <c r="L2660" s="39" t="inlineStr">
        <is>
          <t>Maharashtra</t>
        </is>
      </c>
      <c r="M2660" s="9" t="inlineStr">
        <is>
          <t>PS</t>
        </is>
      </c>
      <c r="N2660" s="3" t="inlineStr">
        <is>
          <t>Cold Soldering</t>
        </is>
      </c>
      <c r="O2660" s="56" t="n">
        <v>575</v>
      </c>
      <c r="P2660" s="46" t="inlineStr">
        <is>
          <t>NSMI24070183975</t>
        </is>
      </c>
      <c r="Q2660" s="54">
        <f>MID(P2660,5,2)</f>
        <v/>
      </c>
      <c r="R2660" s="53">
        <f>MID(P2660,7,2)</f>
        <v/>
      </c>
      <c r="S2660" s="3" t="inlineStr">
        <is>
          <t>G2G</t>
        </is>
      </c>
      <c r="T2660" s="3" t="inlineStr">
        <is>
          <t>P4</t>
        </is>
      </c>
      <c r="U2660" s="19" t="inlineStr">
        <is>
          <t>P JB Cold Soldering</t>
        </is>
      </c>
      <c r="V2660" s="19" t="inlineStr">
        <is>
          <t>Soldering</t>
        </is>
      </c>
      <c r="W2660" s="3" t="inlineStr">
        <is>
          <t>Repair</t>
        </is>
      </c>
      <c r="X2660" s="18" t="n">
        <v>46173</v>
      </c>
      <c r="Y2660" s="73">
        <f>IF(X2660="","",X2660-A2660)</f>
        <v/>
      </c>
      <c r="Z2660" s="18" t="n">
        <v>46173</v>
      </c>
      <c r="AA2660" s="15" t="n"/>
      <c r="AB2660" s="15" t="n"/>
      <c r="AF2660">
        <f>IF(AND($F2660="Closed",$X2660&gt;=DATE(2026,5,1),$X2660&lt;=DATE(2026,5,31)),"Closed in May","Other")</f>
        <v/>
      </c>
    </row>
    <row r="2661">
      <c r="A2661" s="37" t="n">
        <v>46143</v>
      </c>
      <c r="B2661" s="3" t="n">
        <v>2026</v>
      </c>
      <c r="C2661" s="26" t="inlineStr">
        <is>
          <t>Yanara Power</t>
        </is>
      </c>
      <c r="D2661" s="3" t="inlineStr">
        <is>
          <t>Utility and C&amp;I</t>
        </is>
      </c>
      <c r="E2661" s="3" t="n"/>
      <c r="F2661" s="3" t="inlineStr">
        <is>
          <t>Closed</t>
        </is>
      </c>
      <c r="G2661" s="9" t="inlineStr">
        <is>
          <t xml:space="preserve">Ashish Jindal </t>
        </is>
      </c>
      <c r="H2661" s="26" t="n">
        <v>9983975581</v>
      </c>
      <c r="I2661" s="38" t="inlineStr">
        <is>
          <t>PE01052601</t>
        </is>
      </c>
      <c r="J2661" s="26" t="inlineStr">
        <is>
          <t>Multiple Issues</t>
        </is>
      </c>
      <c r="K2661" s="39" t="inlineStr">
        <is>
          <t>Holi</t>
        </is>
      </c>
      <c r="L2661" s="39" t="inlineStr">
        <is>
          <t>Maharashtra</t>
        </is>
      </c>
      <c r="M2661" s="9" t="inlineStr">
        <is>
          <t>PS</t>
        </is>
      </c>
      <c r="N2661" s="3" t="inlineStr">
        <is>
          <t>Cold Soldering</t>
        </is>
      </c>
      <c r="O2661" s="56" t="n">
        <v>575</v>
      </c>
      <c r="P2661" s="46" t="inlineStr">
        <is>
          <t>NSMI24070216194</t>
        </is>
      </c>
      <c r="Q2661" s="54">
        <f>MID(P2661,5,2)</f>
        <v/>
      </c>
      <c r="R2661" s="53">
        <f>MID(P2661,7,2)</f>
        <v/>
      </c>
      <c r="S2661" s="3" t="inlineStr">
        <is>
          <t>G2G</t>
        </is>
      </c>
      <c r="T2661" s="3" t="inlineStr">
        <is>
          <t>P4</t>
        </is>
      </c>
      <c r="U2661" s="19" t="inlineStr">
        <is>
          <t>P JB Cold Soldering</t>
        </is>
      </c>
      <c r="V2661" s="19" t="inlineStr">
        <is>
          <t>Soldering</t>
        </is>
      </c>
      <c r="W2661" s="3" t="inlineStr">
        <is>
          <t>Repair</t>
        </is>
      </c>
      <c r="X2661" s="18" t="n">
        <v>46173</v>
      </c>
      <c r="Y2661" s="73">
        <f>IF(X2661="","",X2661-A2661)</f>
        <v/>
      </c>
      <c r="Z2661" s="18" t="n">
        <v>46173</v>
      </c>
      <c r="AA2661" s="15" t="n"/>
      <c r="AB2661" s="15" t="n"/>
      <c r="AF2661">
        <f>IF(AND($F2661="Closed",$X2661&gt;=DATE(2026,5,1),$X2661&lt;=DATE(2026,5,31)),"Closed in May","Other")</f>
        <v/>
      </c>
    </row>
    <row r="2662">
      <c r="A2662" s="37" t="n">
        <v>46143</v>
      </c>
      <c r="B2662" s="3" t="n">
        <v>2026</v>
      </c>
      <c r="C2662" s="26" t="inlineStr">
        <is>
          <t>Yanara Power</t>
        </is>
      </c>
      <c r="D2662" s="3" t="inlineStr">
        <is>
          <t>Utility and C&amp;I</t>
        </is>
      </c>
      <c r="E2662" s="3" t="n"/>
      <c r="F2662" s="3" t="inlineStr">
        <is>
          <t>Closed</t>
        </is>
      </c>
      <c r="G2662" s="9" t="inlineStr">
        <is>
          <t xml:space="preserve">Ashish Jindal </t>
        </is>
      </c>
      <c r="H2662" s="26" t="n">
        <v>9983975581</v>
      </c>
      <c r="I2662" s="38" t="inlineStr">
        <is>
          <t>PE01052601</t>
        </is>
      </c>
      <c r="J2662" s="26" t="inlineStr">
        <is>
          <t>Multiple Issues</t>
        </is>
      </c>
      <c r="K2662" s="39" t="inlineStr">
        <is>
          <t>Holi</t>
        </is>
      </c>
      <c r="L2662" s="39" t="inlineStr">
        <is>
          <t>Maharashtra</t>
        </is>
      </c>
      <c r="M2662" s="9" t="inlineStr">
        <is>
          <t>PS</t>
        </is>
      </c>
      <c r="N2662" s="3" t="inlineStr">
        <is>
          <t>Cold Soldering</t>
        </is>
      </c>
      <c r="O2662" s="56" t="n">
        <v>575</v>
      </c>
      <c r="P2662" s="46" t="inlineStr">
        <is>
          <t>NSMI24070216192</t>
        </is>
      </c>
      <c r="Q2662" s="54">
        <f>MID(P2662,5,2)</f>
        <v/>
      </c>
      <c r="R2662" s="53">
        <f>MID(P2662,7,2)</f>
        <v/>
      </c>
      <c r="S2662" s="3" t="inlineStr">
        <is>
          <t>G2G</t>
        </is>
      </c>
      <c r="T2662" s="3" t="inlineStr">
        <is>
          <t>P4</t>
        </is>
      </c>
      <c r="U2662" s="19" t="inlineStr">
        <is>
          <t>P JB Cold Soldering</t>
        </is>
      </c>
      <c r="V2662" s="19" t="inlineStr">
        <is>
          <t>Soldering</t>
        </is>
      </c>
      <c r="W2662" s="3" t="inlineStr">
        <is>
          <t>Repair</t>
        </is>
      </c>
      <c r="X2662" s="18" t="n">
        <v>46173</v>
      </c>
      <c r="Y2662" s="73">
        <f>IF(X2662="","",X2662-A2662)</f>
        <v/>
      </c>
      <c r="Z2662" s="18" t="n">
        <v>46173</v>
      </c>
      <c r="AA2662" s="15" t="n"/>
      <c r="AB2662" s="15" t="n"/>
      <c r="AF2662">
        <f>IF(AND($F2662="Closed",$X2662&gt;=DATE(2026,5,1),$X2662&lt;=DATE(2026,5,31)),"Closed in May","Other")</f>
        <v/>
      </c>
    </row>
    <row r="2663">
      <c r="A2663" s="37" t="n">
        <v>46143</v>
      </c>
      <c r="B2663" s="3" t="n">
        <v>2026</v>
      </c>
      <c r="C2663" s="26" t="inlineStr">
        <is>
          <t>Yanara Power</t>
        </is>
      </c>
      <c r="D2663" s="3" t="inlineStr">
        <is>
          <t>Utility and C&amp;I</t>
        </is>
      </c>
      <c r="E2663" s="3" t="n"/>
      <c r="F2663" s="3" t="inlineStr">
        <is>
          <t>Closed</t>
        </is>
      </c>
      <c r="G2663" s="9" t="inlineStr">
        <is>
          <t xml:space="preserve">Ashish Jindal </t>
        </is>
      </c>
      <c r="H2663" s="26" t="n">
        <v>9983975581</v>
      </c>
      <c r="I2663" s="38" t="inlineStr">
        <is>
          <t>PE01052601</t>
        </is>
      </c>
      <c r="J2663" s="26" t="inlineStr">
        <is>
          <t>Multiple Issues</t>
        </is>
      </c>
      <c r="K2663" s="39" t="inlineStr">
        <is>
          <t>Holi</t>
        </is>
      </c>
      <c r="L2663" s="39" t="inlineStr">
        <is>
          <t>Maharashtra</t>
        </is>
      </c>
      <c r="M2663" s="9" t="inlineStr">
        <is>
          <t>PS</t>
        </is>
      </c>
      <c r="N2663" s="3" t="inlineStr">
        <is>
          <t>Cold Soldering</t>
        </is>
      </c>
      <c r="O2663" s="56" t="n">
        <v>575</v>
      </c>
      <c r="P2663" s="46" t="inlineStr">
        <is>
          <t>NSMI24070216154</t>
        </is>
      </c>
      <c r="Q2663" s="54">
        <f>MID(P2663,5,2)</f>
        <v/>
      </c>
      <c r="R2663" s="53">
        <f>MID(P2663,7,2)</f>
        <v/>
      </c>
      <c r="S2663" s="3" t="inlineStr">
        <is>
          <t>G2G</t>
        </is>
      </c>
      <c r="T2663" s="3" t="inlineStr">
        <is>
          <t>P4</t>
        </is>
      </c>
      <c r="U2663" s="19" t="inlineStr">
        <is>
          <t>P JB Cold Soldering</t>
        </is>
      </c>
      <c r="V2663" s="19" t="inlineStr">
        <is>
          <t>Soldering</t>
        </is>
      </c>
      <c r="W2663" s="3" t="inlineStr">
        <is>
          <t>Repair</t>
        </is>
      </c>
      <c r="X2663" s="18" t="n">
        <v>46173</v>
      </c>
      <c r="Y2663" s="73">
        <f>IF(X2663="","",X2663-A2663)</f>
        <v/>
      </c>
      <c r="Z2663" s="18" t="n">
        <v>46173</v>
      </c>
      <c r="AA2663" s="15" t="n"/>
      <c r="AB2663" s="15" t="n"/>
      <c r="AF2663">
        <f>IF(AND($F2663="Closed",$X2663&gt;=DATE(2026,5,1),$X2663&lt;=DATE(2026,5,31)),"Closed in May","Other")</f>
        <v/>
      </c>
    </row>
    <row r="2664">
      <c r="A2664" s="37" t="n">
        <v>46143</v>
      </c>
      <c r="B2664" s="3" t="n">
        <v>2026</v>
      </c>
      <c r="C2664" s="26" t="inlineStr">
        <is>
          <t>Yanara Power</t>
        </is>
      </c>
      <c r="D2664" s="3" t="inlineStr">
        <is>
          <t>Utility and C&amp;I</t>
        </is>
      </c>
      <c r="E2664" s="3" t="n"/>
      <c r="F2664" s="3" t="inlineStr">
        <is>
          <t>Closed</t>
        </is>
      </c>
      <c r="G2664" s="9" t="inlineStr">
        <is>
          <t xml:space="preserve">Ashish Jindal </t>
        </is>
      </c>
      <c r="H2664" s="26" t="n">
        <v>9983975581</v>
      </c>
      <c r="I2664" s="38" t="inlineStr">
        <is>
          <t>PE01052601</t>
        </is>
      </c>
      <c r="J2664" s="26" t="inlineStr">
        <is>
          <t>Multiple Issues</t>
        </is>
      </c>
      <c r="K2664" s="39" t="inlineStr">
        <is>
          <t>Holi</t>
        </is>
      </c>
      <c r="L2664" s="39" t="inlineStr">
        <is>
          <t>Maharashtra</t>
        </is>
      </c>
      <c r="M2664" s="9" t="inlineStr">
        <is>
          <t>PS</t>
        </is>
      </c>
      <c r="N2664" s="3" t="inlineStr">
        <is>
          <t>Cold Soldering</t>
        </is>
      </c>
      <c r="O2664" s="56" t="n">
        <v>575</v>
      </c>
      <c r="P2664" s="46" t="inlineStr">
        <is>
          <t>NSMI24070188063</t>
        </is>
      </c>
      <c r="Q2664" s="54">
        <f>MID(P2664,5,2)</f>
        <v/>
      </c>
      <c r="R2664" s="53">
        <f>MID(P2664,7,2)</f>
        <v/>
      </c>
      <c r="S2664" s="3" t="inlineStr">
        <is>
          <t>G2G</t>
        </is>
      </c>
      <c r="T2664" s="3" t="inlineStr">
        <is>
          <t>P4</t>
        </is>
      </c>
      <c r="U2664" s="19" t="inlineStr">
        <is>
          <t>P JB Cold Soldering</t>
        </is>
      </c>
      <c r="V2664" s="19" t="inlineStr">
        <is>
          <t>Soldering</t>
        </is>
      </c>
      <c r="W2664" s="3" t="inlineStr">
        <is>
          <t>Repair</t>
        </is>
      </c>
      <c r="X2664" s="18" t="n">
        <v>46173</v>
      </c>
      <c r="Y2664" s="73">
        <f>IF(X2664="","",X2664-A2664)</f>
        <v/>
      </c>
      <c r="Z2664" s="18" t="n">
        <v>46173</v>
      </c>
      <c r="AA2664" s="15" t="n"/>
      <c r="AB2664" s="15" t="n"/>
      <c r="AF2664">
        <f>IF(AND($F2664="Closed",$X2664&gt;=DATE(2026,5,1),$X2664&lt;=DATE(2026,5,31)),"Closed in May","Other")</f>
        <v/>
      </c>
    </row>
    <row r="2665">
      <c r="A2665" s="37" t="n">
        <v>46143</v>
      </c>
      <c r="B2665" s="3" t="n">
        <v>2026</v>
      </c>
      <c r="C2665" s="26" t="inlineStr">
        <is>
          <t>Yanara Power</t>
        </is>
      </c>
      <c r="D2665" s="3" t="inlineStr">
        <is>
          <t>Utility and C&amp;I</t>
        </is>
      </c>
      <c r="E2665" s="3" t="n"/>
      <c r="F2665" s="3" t="inlineStr">
        <is>
          <t>Closed</t>
        </is>
      </c>
      <c r="G2665" s="9" t="inlineStr">
        <is>
          <t xml:space="preserve">Ashish Jindal </t>
        </is>
      </c>
      <c r="H2665" s="26" t="n">
        <v>9983975581</v>
      </c>
      <c r="I2665" s="38" t="inlineStr">
        <is>
          <t>PE01052601</t>
        </is>
      </c>
      <c r="J2665" s="26" t="inlineStr">
        <is>
          <t>Multiple Issues</t>
        </is>
      </c>
      <c r="K2665" s="39" t="inlineStr">
        <is>
          <t>Holi</t>
        </is>
      </c>
      <c r="L2665" s="39" t="inlineStr">
        <is>
          <t>Maharashtra</t>
        </is>
      </c>
      <c r="M2665" s="9" t="inlineStr">
        <is>
          <t>NS</t>
        </is>
      </c>
      <c r="N2665" s="3" t="inlineStr">
        <is>
          <t>Cold Soldering</t>
        </is>
      </c>
      <c r="O2665" s="56" t="n">
        <v>575</v>
      </c>
      <c r="P2665" s="46" t="inlineStr">
        <is>
          <t>NSMI24070199175</t>
        </is>
      </c>
      <c r="Q2665" s="54">
        <f>MID(P2665,5,2)</f>
        <v/>
      </c>
      <c r="R2665" s="53">
        <f>MID(P2665,7,2)</f>
        <v/>
      </c>
      <c r="S2665" s="3" t="inlineStr">
        <is>
          <t>G2G</t>
        </is>
      </c>
      <c r="T2665" s="3" t="inlineStr">
        <is>
          <t>P4</t>
        </is>
      </c>
      <c r="U2665" s="3" t="inlineStr">
        <is>
          <t>N JB Cold Soldering</t>
        </is>
      </c>
      <c r="V2665" s="3" t="inlineStr">
        <is>
          <t>Soldering</t>
        </is>
      </c>
      <c r="W2665" s="3" t="inlineStr">
        <is>
          <t>Repair</t>
        </is>
      </c>
      <c r="X2665" s="18" t="n">
        <v>46173</v>
      </c>
      <c r="Y2665" s="73">
        <f>IF(X2665="","",X2665-A2665)</f>
        <v/>
      </c>
      <c r="Z2665" s="18" t="n">
        <v>46173</v>
      </c>
      <c r="AA2665" s="15" t="n"/>
      <c r="AB2665" s="15" t="n"/>
      <c r="AF2665">
        <f>IF(AND($F2665="Closed",$X2665&gt;=DATE(2026,5,1),$X2665&lt;=DATE(2026,5,31)),"Closed in May","Other")</f>
        <v/>
      </c>
    </row>
    <row r="2666">
      <c r="A2666" s="37" t="n">
        <v>46143</v>
      </c>
      <c r="B2666" s="3" t="n">
        <v>2026</v>
      </c>
      <c r="C2666" s="26" t="inlineStr">
        <is>
          <t>Yanara Power</t>
        </is>
      </c>
      <c r="D2666" s="3" t="inlineStr">
        <is>
          <t>Utility and C&amp;I</t>
        </is>
      </c>
      <c r="E2666" s="3" t="n"/>
      <c r="F2666" s="3" t="inlineStr">
        <is>
          <t>Closed</t>
        </is>
      </c>
      <c r="G2666" s="9" t="inlineStr">
        <is>
          <t xml:space="preserve">Ashish Jindal </t>
        </is>
      </c>
      <c r="H2666" s="26" t="n">
        <v>9983975581</v>
      </c>
      <c r="I2666" s="38" t="inlineStr">
        <is>
          <t>PE01052601</t>
        </is>
      </c>
      <c r="J2666" s="26" t="inlineStr">
        <is>
          <t>Multiple Issues</t>
        </is>
      </c>
      <c r="K2666" s="39" t="inlineStr">
        <is>
          <t>Holi</t>
        </is>
      </c>
      <c r="L2666" s="39" t="inlineStr">
        <is>
          <t>Maharashtra</t>
        </is>
      </c>
      <c r="M2666" s="9" t="inlineStr">
        <is>
          <t>PS</t>
        </is>
      </c>
      <c r="N2666" s="3" t="inlineStr">
        <is>
          <t>Cold Soldering</t>
        </is>
      </c>
      <c r="O2666" s="56" t="n">
        <v>575</v>
      </c>
      <c r="P2666" s="46" t="inlineStr">
        <is>
          <t>NSMI24070199117</t>
        </is>
      </c>
      <c r="Q2666" s="54">
        <f>MID(P2666,5,2)</f>
        <v/>
      </c>
      <c r="R2666" s="53">
        <f>MID(P2666,7,2)</f>
        <v/>
      </c>
      <c r="S2666" s="3" t="inlineStr">
        <is>
          <t>G2G</t>
        </is>
      </c>
      <c r="T2666" s="3" t="inlineStr">
        <is>
          <t>P4</t>
        </is>
      </c>
      <c r="U2666" s="19" t="inlineStr">
        <is>
          <t>P JB Cold Soldering</t>
        </is>
      </c>
      <c r="V2666" s="19" t="inlineStr">
        <is>
          <t>Soldering</t>
        </is>
      </c>
      <c r="W2666" s="3" t="inlineStr">
        <is>
          <t>Repair</t>
        </is>
      </c>
      <c r="X2666" s="18" t="n">
        <v>46173</v>
      </c>
      <c r="Y2666" s="73">
        <f>IF(X2666="","",X2666-A2666)</f>
        <v/>
      </c>
      <c r="Z2666" s="18" t="n">
        <v>46173</v>
      </c>
      <c r="AA2666" s="15" t="n"/>
      <c r="AB2666" s="15" t="n"/>
      <c r="AF2666">
        <f>IF(AND($F2666="Closed",$X2666&gt;=DATE(2026,5,1),$X2666&lt;=DATE(2026,5,31)),"Closed in May","Other")</f>
        <v/>
      </c>
    </row>
    <row r="2667">
      <c r="A2667" s="37" t="n">
        <v>46143</v>
      </c>
      <c r="B2667" s="3" t="n">
        <v>2026</v>
      </c>
      <c r="C2667" s="26" t="inlineStr">
        <is>
          <t>Yanara Power</t>
        </is>
      </c>
      <c r="D2667" s="3" t="inlineStr">
        <is>
          <t>Utility and C&amp;I</t>
        </is>
      </c>
      <c r="E2667" s="3" t="n"/>
      <c r="F2667" s="3" t="inlineStr">
        <is>
          <t>Closed</t>
        </is>
      </c>
      <c r="G2667" s="9" t="inlineStr">
        <is>
          <t xml:space="preserve">Ashish Jindal </t>
        </is>
      </c>
      <c r="H2667" s="26" t="n">
        <v>9983975581</v>
      </c>
      <c r="I2667" s="38" t="inlineStr">
        <is>
          <t>PE01052601</t>
        </is>
      </c>
      <c r="J2667" s="26" t="inlineStr">
        <is>
          <t>Multiple Issues</t>
        </is>
      </c>
      <c r="K2667" s="39" t="inlineStr">
        <is>
          <t>Holi</t>
        </is>
      </c>
      <c r="L2667" s="39" t="inlineStr">
        <is>
          <t>Maharashtra</t>
        </is>
      </c>
      <c r="M2667" s="9" t="inlineStr">
        <is>
          <t>PS</t>
        </is>
      </c>
      <c r="N2667" s="3" t="inlineStr">
        <is>
          <t>Cold Soldering</t>
        </is>
      </c>
      <c r="O2667" s="56" t="n">
        <v>575</v>
      </c>
      <c r="P2667" s="46" t="inlineStr">
        <is>
          <t>NSMI24070239188</t>
        </is>
      </c>
      <c r="Q2667" s="54">
        <f>MID(P2667,5,2)</f>
        <v/>
      </c>
      <c r="R2667" s="53">
        <f>MID(P2667,7,2)</f>
        <v/>
      </c>
      <c r="S2667" s="3" t="inlineStr">
        <is>
          <t>G2G</t>
        </is>
      </c>
      <c r="T2667" s="3" t="inlineStr">
        <is>
          <t>P4</t>
        </is>
      </c>
      <c r="U2667" s="19" t="inlineStr">
        <is>
          <t>P JB Cold Soldering</t>
        </is>
      </c>
      <c r="V2667" s="19" t="inlineStr">
        <is>
          <t>Soldering</t>
        </is>
      </c>
      <c r="W2667" s="3" t="inlineStr">
        <is>
          <t>Repair</t>
        </is>
      </c>
      <c r="X2667" s="18" t="n">
        <v>46173</v>
      </c>
      <c r="Y2667" s="73">
        <f>IF(X2667="","",X2667-A2667)</f>
        <v/>
      </c>
      <c r="Z2667" s="18" t="n">
        <v>46173</v>
      </c>
      <c r="AA2667" s="15" t="n"/>
      <c r="AB2667" s="15" t="n"/>
      <c r="AF2667">
        <f>IF(AND($F2667="Closed",$X2667&gt;=DATE(2026,5,1),$X2667&lt;=DATE(2026,5,31)),"Closed in May","Other")</f>
        <v/>
      </c>
    </row>
    <row r="2668">
      <c r="A2668" s="37" t="n">
        <v>46143</v>
      </c>
      <c r="B2668" s="3" t="n">
        <v>2026</v>
      </c>
      <c r="C2668" s="26" t="inlineStr">
        <is>
          <t>Yanara Power</t>
        </is>
      </c>
      <c r="D2668" s="3" t="inlineStr">
        <is>
          <t>Utility and C&amp;I</t>
        </is>
      </c>
      <c r="E2668" s="3" t="n"/>
      <c r="F2668" s="3" t="inlineStr">
        <is>
          <t>Closed</t>
        </is>
      </c>
      <c r="G2668" s="9" t="inlineStr">
        <is>
          <t xml:space="preserve">Ashish Jindal </t>
        </is>
      </c>
      <c r="H2668" s="26" t="n">
        <v>9983975581</v>
      </c>
      <c r="I2668" s="38" t="inlineStr">
        <is>
          <t>PE01052601</t>
        </is>
      </c>
      <c r="J2668" s="26" t="inlineStr">
        <is>
          <t>Multiple Issues</t>
        </is>
      </c>
      <c r="K2668" s="39" t="inlineStr">
        <is>
          <t>Holi</t>
        </is>
      </c>
      <c r="L2668" s="39" t="inlineStr">
        <is>
          <t>Maharashtra</t>
        </is>
      </c>
      <c r="M2668" s="9" t="inlineStr">
        <is>
          <t>PS</t>
        </is>
      </c>
      <c r="N2668" s="3" t="inlineStr">
        <is>
          <t>Cold Soldering</t>
        </is>
      </c>
      <c r="O2668" s="56" t="n">
        <v>575</v>
      </c>
      <c r="P2668" s="46" t="inlineStr">
        <is>
          <t>NSMI24070194843</t>
        </is>
      </c>
      <c r="Q2668" s="54">
        <f>MID(P2668,5,2)</f>
        <v/>
      </c>
      <c r="R2668" s="53">
        <f>MID(P2668,7,2)</f>
        <v/>
      </c>
      <c r="S2668" s="3" t="inlineStr">
        <is>
          <t>G2G</t>
        </is>
      </c>
      <c r="T2668" s="3" t="inlineStr">
        <is>
          <t>P4</t>
        </is>
      </c>
      <c r="U2668" s="19" t="inlineStr">
        <is>
          <t>P JB Cold Soldering</t>
        </is>
      </c>
      <c r="V2668" s="19" t="inlineStr">
        <is>
          <t>Soldering</t>
        </is>
      </c>
      <c r="W2668" s="3" t="inlineStr">
        <is>
          <t>Repair</t>
        </is>
      </c>
      <c r="X2668" s="18" t="n">
        <v>46173</v>
      </c>
      <c r="Y2668" s="73">
        <f>IF(X2668="","",X2668-A2668)</f>
        <v/>
      </c>
      <c r="Z2668" s="18" t="n">
        <v>46173</v>
      </c>
      <c r="AA2668" s="15" t="n"/>
      <c r="AB2668" s="15" t="n"/>
      <c r="AF2668">
        <f>IF(AND($F2668="Closed",$X2668&gt;=DATE(2026,5,1),$X2668&lt;=DATE(2026,5,31)),"Closed in May","Other")</f>
        <v/>
      </c>
    </row>
    <row r="2669">
      <c r="A2669" s="37" t="n">
        <v>46143</v>
      </c>
      <c r="B2669" s="3" t="n">
        <v>2026</v>
      </c>
      <c r="C2669" s="26" t="inlineStr">
        <is>
          <t>Yanara Power</t>
        </is>
      </c>
      <c r="D2669" s="3" t="inlineStr">
        <is>
          <t>Utility and C&amp;I</t>
        </is>
      </c>
      <c r="E2669" s="3" t="n"/>
      <c r="F2669" s="3" t="inlineStr">
        <is>
          <t>Closed</t>
        </is>
      </c>
      <c r="G2669" s="9" t="inlineStr">
        <is>
          <t xml:space="preserve">Ashish Jindal </t>
        </is>
      </c>
      <c r="H2669" s="26" t="n">
        <v>9983975581</v>
      </c>
      <c r="I2669" s="38" t="inlineStr">
        <is>
          <t>PE01052601</t>
        </is>
      </c>
      <c r="J2669" s="26" t="inlineStr">
        <is>
          <t>Multiple Issues</t>
        </is>
      </c>
      <c r="K2669" s="39" t="inlineStr">
        <is>
          <t>Holi</t>
        </is>
      </c>
      <c r="L2669" s="39" t="inlineStr">
        <is>
          <t>Maharashtra</t>
        </is>
      </c>
      <c r="M2669" s="9" t="inlineStr">
        <is>
          <t>PS</t>
        </is>
      </c>
      <c r="N2669" s="3" t="inlineStr">
        <is>
          <t>Cold Soldering</t>
        </is>
      </c>
      <c r="O2669" s="56" t="n">
        <v>575</v>
      </c>
      <c r="P2669" s="46" t="inlineStr">
        <is>
          <t>NSMI24070200187</t>
        </is>
      </c>
      <c r="Q2669" s="54">
        <f>MID(P2669,5,2)</f>
        <v/>
      </c>
      <c r="R2669" s="53">
        <f>MID(P2669,7,2)</f>
        <v/>
      </c>
      <c r="S2669" s="3" t="inlineStr">
        <is>
          <t>G2G</t>
        </is>
      </c>
      <c r="T2669" s="3" t="inlineStr">
        <is>
          <t>P4</t>
        </is>
      </c>
      <c r="U2669" s="19" t="inlineStr">
        <is>
          <t>P JB Cold Soldering</t>
        </is>
      </c>
      <c r="V2669" s="19" t="inlineStr">
        <is>
          <t>Soldering</t>
        </is>
      </c>
      <c r="W2669" s="3" t="inlineStr">
        <is>
          <t>Repair</t>
        </is>
      </c>
      <c r="X2669" s="18" t="n">
        <v>46173</v>
      </c>
      <c r="Y2669" s="73">
        <f>IF(X2669="","",X2669-A2669)</f>
        <v/>
      </c>
      <c r="Z2669" s="18" t="n">
        <v>46173</v>
      </c>
      <c r="AA2669" s="15" t="n"/>
      <c r="AB2669" s="15" t="n"/>
      <c r="AF2669">
        <f>IF(AND($F2669="Closed",$X2669&gt;=DATE(2026,5,1),$X2669&lt;=DATE(2026,5,31)),"Closed in May","Other")</f>
        <v/>
      </c>
    </row>
    <row r="2670">
      <c r="A2670" s="37" t="n">
        <v>46143</v>
      </c>
      <c r="B2670" s="3" t="n">
        <v>2026</v>
      </c>
      <c r="C2670" s="26" t="inlineStr">
        <is>
          <t>Yanara Power</t>
        </is>
      </c>
      <c r="D2670" s="3" t="inlineStr">
        <is>
          <t>Utility and C&amp;I</t>
        </is>
      </c>
      <c r="E2670" s="3" t="n"/>
      <c r="F2670" s="3" t="inlineStr">
        <is>
          <t>Closed</t>
        </is>
      </c>
      <c r="G2670" s="9" t="inlineStr">
        <is>
          <t xml:space="preserve">Ashish Jindal </t>
        </is>
      </c>
      <c r="H2670" s="26" t="n">
        <v>9983975581</v>
      </c>
      <c r="I2670" s="38" t="inlineStr">
        <is>
          <t>PE01052601</t>
        </is>
      </c>
      <c r="J2670" s="26" t="inlineStr">
        <is>
          <t>Multiple Issues</t>
        </is>
      </c>
      <c r="K2670" s="39" t="inlineStr">
        <is>
          <t>Holi</t>
        </is>
      </c>
      <c r="L2670" s="39" t="inlineStr">
        <is>
          <t>Maharashtra</t>
        </is>
      </c>
      <c r="M2670" s="9" t="inlineStr">
        <is>
          <t>PS</t>
        </is>
      </c>
      <c r="N2670" s="3" t="inlineStr">
        <is>
          <t>Cold Soldering</t>
        </is>
      </c>
      <c r="O2670" s="56" t="n">
        <v>575</v>
      </c>
      <c r="P2670" s="46" t="inlineStr">
        <is>
          <t>NSMI24070200164</t>
        </is>
      </c>
      <c r="Q2670" s="54">
        <f>MID(P2670,5,2)</f>
        <v/>
      </c>
      <c r="R2670" s="53">
        <f>MID(P2670,7,2)</f>
        <v/>
      </c>
      <c r="S2670" s="3" t="inlineStr">
        <is>
          <t>G2G</t>
        </is>
      </c>
      <c r="T2670" s="3" t="inlineStr">
        <is>
          <t>P4</t>
        </is>
      </c>
      <c r="U2670" s="19" t="inlineStr">
        <is>
          <t>P JB Cold Soldering</t>
        </is>
      </c>
      <c r="V2670" s="19" t="inlineStr">
        <is>
          <t>Soldering</t>
        </is>
      </c>
      <c r="W2670" s="3" t="inlineStr">
        <is>
          <t>Repair</t>
        </is>
      </c>
      <c r="X2670" s="18" t="n">
        <v>46173</v>
      </c>
      <c r="Y2670" s="73">
        <f>IF(X2670="","",X2670-A2670)</f>
        <v/>
      </c>
      <c r="Z2670" s="18" t="n">
        <v>46173</v>
      </c>
      <c r="AA2670" s="15" t="n"/>
      <c r="AB2670" s="15" t="n"/>
      <c r="AF2670">
        <f>IF(AND($F2670="Closed",$X2670&gt;=DATE(2026,5,1),$X2670&lt;=DATE(2026,5,31)),"Closed in May","Other")</f>
        <v/>
      </c>
    </row>
    <row r="2671">
      <c r="A2671" s="37" t="n">
        <v>46143</v>
      </c>
      <c r="B2671" s="3" t="n">
        <v>2026</v>
      </c>
      <c r="C2671" s="26" t="inlineStr">
        <is>
          <t>Yanara Power</t>
        </is>
      </c>
      <c r="D2671" s="3" t="inlineStr">
        <is>
          <t>Utility and C&amp;I</t>
        </is>
      </c>
      <c r="E2671" s="3" t="n"/>
      <c r="F2671" s="3" t="inlineStr">
        <is>
          <t>Closed</t>
        </is>
      </c>
      <c r="G2671" s="9" t="inlineStr">
        <is>
          <t xml:space="preserve">Ashish Jindal </t>
        </is>
      </c>
      <c r="H2671" s="26" t="n">
        <v>9983975581</v>
      </c>
      <c r="I2671" s="38" t="inlineStr">
        <is>
          <t>PE01052601</t>
        </is>
      </c>
      <c r="J2671" s="26" t="inlineStr">
        <is>
          <t>Multiple Issues</t>
        </is>
      </c>
      <c r="K2671" s="39" t="inlineStr">
        <is>
          <t>Holi</t>
        </is>
      </c>
      <c r="L2671" s="39" t="inlineStr">
        <is>
          <t>Maharashtra</t>
        </is>
      </c>
      <c r="M2671" s="9" t="inlineStr">
        <is>
          <t>NS</t>
        </is>
      </c>
      <c r="N2671" s="3" t="inlineStr">
        <is>
          <t>Cold Soldering</t>
        </is>
      </c>
      <c r="O2671" s="56" t="n">
        <v>575</v>
      </c>
      <c r="P2671" s="46" t="inlineStr">
        <is>
          <t>NSMI24070238034</t>
        </is>
      </c>
      <c r="Q2671" s="54">
        <f>MID(P2671,5,2)</f>
        <v/>
      </c>
      <c r="R2671" s="53">
        <f>MID(P2671,7,2)</f>
        <v/>
      </c>
      <c r="S2671" s="3" t="inlineStr">
        <is>
          <t>G2G</t>
        </is>
      </c>
      <c r="T2671" s="3" t="inlineStr">
        <is>
          <t>P4</t>
        </is>
      </c>
      <c r="U2671" s="3" t="inlineStr">
        <is>
          <t>N JB Cold Soldering</t>
        </is>
      </c>
      <c r="V2671" s="3" t="inlineStr">
        <is>
          <t>Soldering</t>
        </is>
      </c>
      <c r="W2671" s="3" t="inlineStr">
        <is>
          <t>Repair</t>
        </is>
      </c>
      <c r="X2671" s="18" t="n">
        <v>46173</v>
      </c>
      <c r="Y2671" s="73">
        <f>IF(X2671="","",X2671-A2671)</f>
        <v/>
      </c>
      <c r="Z2671" s="18" t="n">
        <v>46173</v>
      </c>
      <c r="AA2671" s="15" t="n"/>
      <c r="AB2671" s="15" t="n"/>
      <c r="AF2671">
        <f>IF(AND($F2671="Closed",$X2671&gt;=DATE(2026,5,1),$X2671&lt;=DATE(2026,5,31)),"Closed in May","Other")</f>
        <v/>
      </c>
    </row>
    <row r="2672">
      <c r="A2672" s="37" t="n">
        <v>46143</v>
      </c>
      <c r="B2672" s="3" t="n">
        <v>2026</v>
      </c>
      <c r="C2672" s="26" t="inlineStr">
        <is>
          <t>Yanara Power</t>
        </is>
      </c>
      <c r="D2672" s="3" t="inlineStr">
        <is>
          <t>Utility and C&amp;I</t>
        </is>
      </c>
      <c r="E2672" s="3" t="n"/>
      <c r="F2672" s="3" t="inlineStr">
        <is>
          <t>Closed</t>
        </is>
      </c>
      <c r="G2672" s="9" t="inlineStr">
        <is>
          <t xml:space="preserve">Ashish Jindal </t>
        </is>
      </c>
      <c r="H2672" s="26" t="n">
        <v>9983975581</v>
      </c>
      <c r="I2672" s="38" t="inlineStr">
        <is>
          <t>PE01052601</t>
        </is>
      </c>
      <c r="J2672" s="26" t="inlineStr">
        <is>
          <t>Multiple Issues</t>
        </is>
      </c>
      <c r="K2672" s="39" t="inlineStr">
        <is>
          <t>Holi</t>
        </is>
      </c>
      <c r="L2672" s="39" t="inlineStr">
        <is>
          <t>Maharashtra</t>
        </is>
      </c>
      <c r="M2672" s="9" t="inlineStr">
        <is>
          <t>NS</t>
        </is>
      </c>
      <c r="N2672" s="3" t="inlineStr">
        <is>
          <t>Cold Soldering</t>
        </is>
      </c>
      <c r="O2672" s="56" t="n">
        <v>575</v>
      </c>
      <c r="P2672" s="46" t="inlineStr">
        <is>
          <t>NSMI24070185988</t>
        </is>
      </c>
      <c r="Q2672" s="54">
        <f>MID(P2672,5,2)</f>
        <v/>
      </c>
      <c r="R2672" s="53">
        <f>MID(P2672,7,2)</f>
        <v/>
      </c>
      <c r="S2672" s="3" t="inlineStr">
        <is>
          <t>G2G</t>
        </is>
      </c>
      <c r="T2672" s="3" t="inlineStr">
        <is>
          <t>P4</t>
        </is>
      </c>
      <c r="U2672" s="3" t="inlineStr">
        <is>
          <t>N JB Cold Soldering</t>
        </is>
      </c>
      <c r="V2672" s="3" t="inlineStr">
        <is>
          <t>Soldering</t>
        </is>
      </c>
      <c r="W2672" s="3" t="inlineStr">
        <is>
          <t>Repair</t>
        </is>
      </c>
      <c r="X2672" s="18" t="n">
        <v>46173</v>
      </c>
      <c r="Y2672" s="73">
        <f>IF(X2672="","",X2672-A2672)</f>
        <v/>
      </c>
      <c r="Z2672" s="18" t="n">
        <v>46173</v>
      </c>
      <c r="AA2672" s="15" t="n"/>
      <c r="AB2672" s="15" t="n"/>
      <c r="AF2672">
        <f>IF(AND($F2672="Closed",$X2672&gt;=DATE(2026,5,1),$X2672&lt;=DATE(2026,5,31)),"Closed in May","Other")</f>
        <v/>
      </c>
    </row>
    <row r="2673">
      <c r="A2673" s="37" t="n">
        <v>46143</v>
      </c>
      <c r="B2673" s="3" t="n">
        <v>2026</v>
      </c>
      <c r="C2673" s="26" t="inlineStr">
        <is>
          <t>Yanara Power</t>
        </is>
      </c>
      <c r="D2673" s="3" t="inlineStr">
        <is>
          <t>Utility and C&amp;I</t>
        </is>
      </c>
      <c r="E2673" s="3" t="n"/>
      <c r="F2673" s="3" t="inlineStr">
        <is>
          <t>Closed</t>
        </is>
      </c>
      <c r="G2673" s="9" t="inlineStr">
        <is>
          <t xml:space="preserve">Ashish Jindal </t>
        </is>
      </c>
      <c r="H2673" s="26" t="n">
        <v>9983975581</v>
      </c>
      <c r="I2673" s="38" t="inlineStr">
        <is>
          <t>PE01052601</t>
        </is>
      </c>
      <c r="J2673" s="26" t="inlineStr">
        <is>
          <t>Multiple Issues</t>
        </is>
      </c>
      <c r="K2673" s="39" t="inlineStr">
        <is>
          <t>Holi</t>
        </is>
      </c>
      <c r="L2673" s="39" t="inlineStr">
        <is>
          <t>Maharashtra</t>
        </is>
      </c>
      <c r="M2673" s="9" t="inlineStr">
        <is>
          <t>PS</t>
        </is>
      </c>
      <c r="N2673" s="3" t="inlineStr">
        <is>
          <t>Cold Soldering</t>
        </is>
      </c>
      <c r="O2673" s="56" t="n">
        <v>575</v>
      </c>
      <c r="P2673" s="46" t="inlineStr">
        <is>
          <t>NSMI24070185798</t>
        </is>
      </c>
      <c r="Q2673" s="54">
        <f>MID(P2673,5,2)</f>
        <v/>
      </c>
      <c r="R2673" s="53">
        <f>MID(P2673,7,2)</f>
        <v/>
      </c>
      <c r="S2673" s="3" t="inlineStr">
        <is>
          <t>G2G</t>
        </is>
      </c>
      <c r="T2673" s="3" t="inlineStr">
        <is>
          <t>P4</t>
        </is>
      </c>
      <c r="U2673" s="19" t="inlineStr">
        <is>
          <t>P JB Cold Soldering</t>
        </is>
      </c>
      <c r="V2673" s="19" t="inlineStr">
        <is>
          <t>Soldering</t>
        </is>
      </c>
      <c r="W2673" s="3" t="inlineStr">
        <is>
          <t>Repair</t>
        </is>
      </c>
      <c r="X2673" s="18" t="n">
        <v>46173</v>
      </c>
      <c r="Y2673" s="73">
        <f>IF(X2673="","",X2673-A2673)</f>
        <v/>
      </c>
      <c r="Z2673" s="18" t="n">
        <v>46173</v>
      </c>
      <c r="AA2673" s="15" t="n"/>
      <c r="AB2673" s="15" t="n"/>
      <c r="AF2673">
        <f>IF(AND($F2673="Closed",$X2673&gt;=DATE(2026,5,1),$X2673&lt;=DATE(2026,5,31)),"Closed in May","Other")</f>
        <v/>
      </c>
    </row>
    <row r="2674">
      <c r="A2674" s="37" t="n">
        <v>46143</v>
      </c>
      <c r="B2674" s="3" t="n">
        <v>2026</v>
      </c>
      <c r="C2674" s="26" t="inlineStr">
        <is>
          <t>Yanara Power</t>
        </is>
      </c>
      <c r="D2674" s="3" t="inlineStr">
        <is>
          <t>Utility and C&amp;I</t>
        </is>
      </c>
      <c r="E2674" s="3" t="n"/>
      <c r="F2674" s="3" t="inlineStr">
        <is>
          <t>Closed</t>
        </is>
      </c>
      <c r="G2674" s="9" t="inlineStr">
        <is>
          <t xml:space="preserve">Ashish Jindal </t>
        </is>
      </c>
      <c r="H2674" s="26" t="n">
        <v>9983975581</v>
      </c>
      <c r="I2674" s="38" t="inlineStr">
        <is>
          <t>PE01052601</t>
        </is>
      </c>
      <c r="J2674" s="26" t="inlineStr">
        <is>
          <t>Multiple Issues</t>
        </is>
      </c>
      <c r="K2674" s="39" t="inlineStr">
        <is>
          <t>Holi</t>
        </is>
      </c>
      <c r="L2674" s="39" t="inlineStr">
        <is>
          <t>Maharashtra</t>
        </is>
      </c>
      <c r="M2674" s="9" t="inlineStr">
        <is>
          <t>PS</t>
        </is>
      </c>
      <c r="N2674" s="3" t="inlineStr">
        <is>
          <t>Cold Soldering</t>
        </is>
      </c>
      <c r="O2674" s="56" t="n">
        <v>575</v>
      </c>
      <c r="P2674" s="46" t="inlineStr">
        <is>
          <t>NSMI24070200723</t>
        </is>
      </c>
      <c r="Q2674" s="54">
        <f>MID(P2674,5,2)</f>
        <v/>
      </c>
      <c r="R2674" s="53">
        <f>MID(P2674,7,2)</f>
        <v/>
      </c>
      <c r="S2674" s="3" t="inlineStr">
        <is>
          <t>G2G</t>
        </is>
      </c>
      <c r="T2674" s="3" t="inlineStr">
        <is>
          <t>P4</t>
        </is>
      </c>
      <c r="U2674" s="19" t="inlineStr">
        <is>
          <t>P JB Cold Soldering</t>
        </is>
      </c>
      <c r="V2674" s="19" t="inlineStr">
        <is>
          <t>Soldering</t>
        </is>
      </c>
      <c r="W2674" s="3" t="inlineStr">
        <is>
          <t>Repair</t>
        </is>
      </c>
      <c r="X2674" s="18" t="n">
        <v>46173</v>
      </c>
      <c r="Y2674" s="73">
        <f>IF(X2674="","",X2674-A2674)</f>
        <v/>
      </c>
      <c r="Z2674" s="18" t="n">
        <v>46173</v>
      </c>
      <c r="AA2674" s="15" t="n"/>
      <c r="AB2674" s="15" t="n"/>
      <c r="AF2674">
        <f>IF(AND($F2674="Closed",$X2674&gt;=DATE(2026,5,1),$X2674&lt;=DATE(2026,5,31)),"Closed in May","Other")</f>
        <v/>
      </c>
    </row>
    <row r="2675">
      <c r="A2675" s="37" t="n">
        <v>46143</v>
      </c>
      <c r="B2675" s="3" t="n">
        <v>2026</v>
      </c>
      <c r="C2675" s="26" t="inlineStr">
        <is>
          <t>Yanara Power</t>
        </is>
      </c>
      <c r="D2675" s="3" t="inlineStr">
        <is>
          <t>Utility and C&amp;I</t>
        </is>
      </c>
      <c r="E2675" s="3" t="n"/>
      <c r="F2675" s="3" t="inlineStr">
        <is>
          <t>Closed</t>
        </is>
      </c>
      <c r="G2675" s="9" t="inlineStr">
        <is>
          <t xml:space="preserve">Ashish Jindal </t>
        </is>
      </c>
      <c r="H2675" s="26" t="n">
        <v>9983975581</v>
      </c>
      <c r="I2675" s="38" t="inlineStr">
        <is>
          <t>PE01052601</t>
        </is>
      </c>
      <c r="J2675" s="26" t="inlineStr">
        <is>
          <t>Multiple Issues</t>
        </is>
      </c>
      <c r="K2675" s="39" t="inlineStr">
        <is>
          <t>Holi</t>
        </is>
      </c>
      <c r="L2675" s="39" t="inlineStr">
        <is>
          <t>Maharashtra</t>
        </is>
      </c>
      <c r="M2675" s="9" t="inlineStr">
        <is>
          <t>PS</t>
        </is>
      </c>
      <c r="N2675" s="3" t="inlineStr">
        <is>
          <t>Cold Soldering</t>
        </is>
      </c>
      <c r="O2675" s="56" t="n">
        <v>575</v>
      </c>
      <c r="P2675" s="46" t="inlineStr">
        <is>
          <t>NSMI24070200750</t>
        </is>
      </c>
      <c r="Q2675" s="54">
        <f>MID(P2675,5,2)</f>
        <v/>
      </c>
      <c r="R2675" s="53">
        <f>MID(P2675,7,2)</f>
        <v/>
      </c>
      <c r="S2675" s="3" t="inlineStr">
        <is>
          <t>G2G</t>
        </is>
      </c>
      <c r="T2675" s="3" t="inlineStr">
        <is>
          <t>P4</t>
        </is>
      </c>
      <c r="U2675" s="19" t="inlineStr">
        <is>
          <t>P JB Cold Soldering</t>
        </is>
      </c>
      <c r="V2675" s="19" t="inlineStr">
        <is>
          <t>Soldering</t>
        </is>
      </c>
      <c r="W2675" s="3" t="inlineStr">
        <is>
          <t>Repair</t>
        </is>
      </c>
      <c r="X2675" s="18" t="n">
        <v>46173</v>
      </c>
      <c r="Y2675" s="73">
        <f>IF(X2675="","",X2675-A2675)</f>
        <v/>
      </c>
      <c r="Z2675" s="18" t="n">
        <v>46173</v>
      </c>
      <c r="AA2675" s="15" t="n"/>
      <c r="AB2675" s="15" t="n"/>
      <c r="AF2675">
        <f>IF(AND($F2675="Closed",$X2675&gt;=DATE(2026,5,1),$X2675&lt;=DATE(2026,5,31)),"Closed in May","Other")</f>
        <v/>
      </c>
    </row>
    <row r="2676">
      <c r="A2676" s="37" t="n">
        <v>46143</v>
      </c>
      <c r="B2676" s="3" t="n">
        <v>2026</v>
      </c>
      <c r="C2676" s="26" t="inlineStr">
        <is>
          <t>Yanara Power</t>
        </is>
      </c>
      <c r="D2676" s="3" t="inlineStr">
        <is>
          <t>Utility and C&amp;I</t>
        </is>
      </c>
      <c r="E2676" s="3" t="n"/>
      <c r="F2676" s="3" t="inlineStr">
        <is>
          <t>Closed</t>
        </is>
      </c>
      <c r="G2676" s="9" t="inlineStr">
        <is>
          <t xml:space="preserve">Ashish Jindal </t>
        </is>
      </c>
      <c r="H2676" s="26" t="n">
        <v>9983975581</v>
      </c>
      <c r="I2676" s="38" t="inlineStr">
        <is>
          <t>PE01052601</t>
        </is>
      </c>
      <c r="J2676" s="26" t="inlineStr">
        <is>
          <t>Multiple Issues</t>
        </is>
      </c>
      <c r="K2676" s="39" t="inlineStr">
        <is>
          <t>Holi</t>
        </is>
      </c>
      <c r="L2676" s="39" t="inlineStr">
        <is>
          <t>Maharashtra</t>
        </is>
      </c>
      <c r="M2676" s="9" t="inlineStr">
        <is>
          <t>PS</t>
        </is>
      </c>
      <c r="N2676" s="3" t="inlineStr">
        <is>
          <t>Cold Soldering</t>
        </is>
      </c>
      <c r="O2676" s="56" t="n">
        <v>575</v>
      </c>
      <c r="P2676" s="46" t="inlineStr">
        <is>
          <t>NSMI24070200710</t>
        </is>
      </c>
      <c r="Q2676" s="54">
        <f>MID(P2676,5,2)</f>
        <v/>
      </c>
      <c r="R2676" s="53">
        <f>MID(P2676,7,2)</f>
        <v/>
      </c>
      <c r="S2676" s="3" t="inlineStr">
        <is>
          <t>G2G</t>
        </is>
      </c>
      <c r="T2676" s="3" t="inlineStr">
        <is>
          <t>P4</t>
        </is>
      </c>
      <c r="U2676" s="19" t="inlineStr">
        <is>
          <t>P JB Cold Soldering</t>
        </is>
      </c>
      <c r="V2676" s="19" t="inlineStr">
        <is>
          <t>Soldering</t>
        </is>
      </c>
      <c r="W2676" s="3" t="inlineStr">
        <is>
          <t>Repair</t>
        </is>
      </c>
      <c r="X2676" s="18" t="n">
        <v>46173</v>
      </c>
      <c r="Y2676" s="73">
        <f>IF(X2676="","",X2676-A2676)</f>
        <v/>
      </c>
      <c r="Z2676" s="18" t="n">
        <v>46173</v>
      </c>
      <c r="AA2676" s="15" t="n"/>
      <c r="AB2676" s="15" t="n"/>
      <c r="AF2676">
        <f>IF(AND($F2676="Closed",$X2676&gt;=DATE(2026,5,1),$X2676&lt;=DATE(2026,5,31)),"Closed in May","Other")</f>
        <v/>
      </c>
    </row>
    <row r="2677">
      <c r="A2677" s="37" t="n">
        <v>46143</v>
      </c>
      <c r="B2677" s="3" t="n">
        <v>2026</v>
      </c>
      <c r="C2677" s="26" t="inlineStr">
        <is>
          <t>Yanara Power</t>
        </is>
      </c>
      <c r="D2677" s="3" t="inlineStr">
        <is>
          <t>Utility and C&amp;I</t>
        </is>
      </c>
      <c r="E2677" s="3" t="n"/>
      <c r="F2677" s="3" t="inlineStr">
        <is>
          <t>Closed</t>
        </is>
      </c>
      <c r="G2677" s="9" t="inlineStr">
        <is>
          <t xml:space="preserve">Ashish Jindal </t>
        </is>
      </c>
      <c r="H2677" s="26" t="n">
        <v>9983975581</v>
      </c>
      <c r="I2677" s="38" t="inlineStr">
        <is>
          <t>PE01052601</t>
        </is>
      </c>
      <c r="J2677" s="26" t="inlineStr">
        <is>
          <t>Multiple Issues</t>
        </is>
      </c>
      <c r="K2677" s="39" t="inlineStr">
        <is>
          <t>Holi</t>
        </is>
      </c>
      <c r="L2677" s="39" t="inlineStr">
        <is>
          <t>Maharashtra</t>
        </is>
      </c>
      <c r="M2677" s="9" t="inlineStr">
        <is>
          <t>PS</t>
        </is>
      </c>
      <c r="N2677" s="3" t="inlineStr">
        <is>
          <t>Cold Soldering</t>
        </is>
      </c>
      <c r="O2677" s="56" t="n">
        <v>575</v>
      </c>
      <c r="P2677" s="46" t="inlineStr">
        <is>
          <t>NSMI24070185076</t>
        </is>
      </c>
      <c r="Q2677" s="54">
        <f>MID(P2677,5,2)</f>
        <v/>
      </c>
      <c r="R2677" s="53">
        <f>MID(P2677,7,2)</f>
        <v/>
      </c>
      <c r="S2677" s="3" t="inlineStr">
        <is>
          <t>G2G</t>
        </is>
      </c>
      <c r="T2677" s="3" t="inlineStr">
        <is>
          <t>P4</t>
        </is>
      </c>
      <c r="U2677" s="19" t="inlineStr">
        <is>
          <t>P JB Cold Soldering</t>
        </is>
      </c>
      <c r="V2677" s="19" t="inlineStr">
        <is>
          <t>Soldering</t>
        </is>
      </c>
      <c r="W2677" s="3" t="inlineStr">
        <is>
          <t>Repair</t>
        </is>
      </c>
      <c r="X2677" s="18" t="n">
        <v>46173</v>
      </c>
      <c r="Y2677" s="73">
        <f>IF(X2677="","",X2677-A2677)</f>
        <v/>
      </c>
      <c r="Z2677" s="18" t="n">
        <v>46173</v>
      </c>
      <c r="AA2677" s="15" t="n"/>
      <c r="AB2677" s="15" t="n"/>
      <c r="AF2677">
        <f>IF(AND($F2677="Closed",$X2677&gt;=DATE(2026,5,1),$X2677&lt;=DATE(2026,5,31)),"Closed in May","Other")</f>
        <v/>
      </c>
    </row>
    <row r="2678">
      <c r="A2678" s="37" t="n">
        <v>46143</v>
      </c>
      <c r="B2678" s="3" t="n">
        <v>2026</v>
      </c>
      <c r="C2678" s="26" t="inlineStr">
        <is>
          <t>Yanara Power</t>
        </is>
      </c>
      <c r="D2678" s="3" t="inlineStr">
        <is>
          <t>Utility and C&amp;I</t>
        </is>
      </c>
      <c r="E2678" s="3" t="n"/>
      <c r="F2678" s="3" t="inlineStr">
        <is>
          <t>Closed</t>
        </is>
      </c>
      <c r="G2678" s="9" t="inlineStr">
        <is>
          <t xml:space="preserve">Ashish Jindal </t>
        </is>
      </c>
      <c r="H2678" s="26" t="n">
        <v>9983975581</v>
      </c>
      <c r="I2678" s="38" t="inlineStr">
        <is>
          <t>PE01052601</t>
        </is>
      </c>
      <c r="J2678" s="26" t="inlineStr">
        <is>
          <t>Multiple Issues</t>
        </is>
      </c>
      <c r="K2678" s="39" t="inlineStr">
        <is>
          <t>Holi</t>
        </is>
      </c>
      <c r="L2678" s="39" t="inlineStr">
        <is>
          <t>Maharashtra</t>
        </is>
      </c>
      <c r="M2678" s="9" t="inlineStr">
        <is>
          <t>PS</t>
        </is>
      </c>
      <c r="N2678" s="3" t="inlineStr">
        <is>
          <t>Cold Soldering</t>
        </is>
      </c>
      <c r="O2678" s="56" t="n">
        <v>575</v>
      </c>
      <c r="P2678" s="46" t="inlineStr">
        <is>
          <t>NSMI24070186920</t>
        </is>
      </c>
      <c r="Q2678" s="54">
        <f>MID(P2678,5,2)</f>
        <v/>
      </c>
      <c r="R2678" s="53">
        <f>MID(P2678,7,2)</f>
        <v/>
      </c>
      <c r="S2678" s="3" t="inlineStr">
        <is>
          <t>G2G</t>
        </is>
      </c>
      <c r="T2678" s="3" t="inlineStr">
        <is>
          <t>P4</t>
        </is>
      </c>
      <c r="U2678" s="19" t="inlineStr">
        <is>
          <t>P JB Cold Soldering</t>
        </is>
      </c>
      <c r="V2678" s="19" t="inlineStr">
        <is>
          <t>Soldering</t>
        </is>
      </c>
      <c r="W2678" s="3" t="inlineStr">
        <is>
          <t>Repair</t>
        </is>
      </c>
      <c r="X2678" s="18" t="n">
        <v>46173</v>
      </c>
      <c r="Y2678" s="73">
        <f>IF(X2678="","",X2678-A2678)</f>
        <v/>
      </c>
      <c r="Z2678" s="18" t="n">
        <v>46173</v>
      </c>
      <c r="AA2678" s="15" t="n"/>
      <c r="AB2678" s="15" t="n"/>
      <c r="AF2678">
        <f>IF(AND($F2678="Closed",$X2678&gt;=DATE(2026,5,1),$X2678&lt;=DATE(2026,5,31)),"Closed in May","Other")</f>
        <v/>
      </c>
    </row>
    <row r="2679">
      <c r="A2679" s="175" t="n">
        <v>46143</v>
      </c>
      <c r="B2679" s="176" t="n">
        <v>2026</v>
      </c>
      <c r="C2679" s="177" t="inlineStr">
        <is>
          <t>Yanara Power</t>
        </is>
      </c>
      <c r="D2679" s="176" t="inlineStr">
        <is>
          <t>Utility and C&amp;I</t>
        </is>
      </c>
      <c r="E2679" s="176" t="n"/>
      <c r="F2679" s="176" t="inlineStr">
        <is>
          <t>Closed</t>
        </is>
      </c>
      <c r="G2679" s="178" t="inlineStr">
        <is>
          <t xml:space="preserve">Ashish Jindal </t>
        </is>
      </c>
      <c r="H2679" s="177" t="n">
        <v>9983975581</v>
      </c>
      <c r="I2679" s="179" t="inlineStr">
        <is>
          <t>PE01052601</t>
        </is>
      </c>
      <c r="J2679" s="177" t="inlineStr">
        <is>
          <t>Multiple Issues</t>
        </is>
      </c>
      <c r="K2679" s="180" t="inlineStr">
        <is>
          <t>Holi</t>
        </is>
      </c>
      <c r="L2679" s="180" t="inlineStr">
        <is>
          <t>Maharashtra</t>
        </is>
      </c>
      <c r="M2679" s="178" t="inlineStr">
        <is>
          <t>PS</t>
        </is>
      </c>
      <c r="N2679" s="176" t="inlineStr">
        <is>
          <t>Cold Soldering</t>
        </is>
      </c>
      <c r="O2679" s="182" t="n">
        <v>575</v>
      </c>
      <c r="P2679" s="47" t="inlineStr">
        <is>
          <t>NSMI24070201376</t>
        </is>
      </c>
      <c r="Q2679" s="183">
        <f>MID(P2679,5,2)</f>
        <v/>
      </c>
      <c r="R2679" s="184">
        <f>MID(P2679,7,2)</f>
        <v/>
      </c>
      <c r="S2679" s="176" t="inlineStr">
        <is>
          <t>G2G</t>
        </is>
      </c>
      <c r="T2679" s="176" t="inlineStr">
        <is>
          <t>P4</t>
        </is>
      </c>
      <c r="U2679" s="181" t="inlineStr">
        <is>
          <t>P JB Cold Soldering</t>
        </is>
      </c>
      <c r="V2679" s="181" t="inlineStr">
        <is>
          <t>Soldering</t>
        </is>
      </c>
      <c r="W2679" s="176" t="inlineStr">
        <is>
          <t>Repair</t>
        </is>
      </c>
      <c r="X2679" s="185" t="n">
        <v>46173</v>
      </c>
      <c r="Y2679" s="186">
        <f>IF(X2679="","",X2679-A2679)</f>
        <v/>
      </c>
      <c r="Z2679" s="185" t="n">
        <v>46173</v>
      </c>
      <c r="AA2679" s="187" t="n"/>
      <c r="AB2679" s="187" t="n"/>
      <c r="AF2679">
        <f>IF(AND($F2679="Closed",$X2679&gt;=DATE(2026,5,1),$X2679&lt;=DATE(2026,5,31)),"Closed in May","Other")</f>
        <v/>
      </c>
    </row>
    <row r="2680" customFormat="1" s="201">
      <c r="A2680" s="37" t="n">
        <v>46143</v>
      </c>
      <c r="B2680" s="3" t="n">
        <v>2026</v>
      </c>
      <c r="C2680" s="26" t="inlineStr">
        <is>
          <t>Yanara Power</t>
        </is>
      </c>
      <c r="D2680" s="3" t="inlineStr">
        <is>
          <t>Utility and C&amp;I</t>
        </is>
      </c>
      <c r="E2680" s="3" t="n"/>
      <c r="F2680" s="3" t="inlineStr">
        <is>
          <t>Closed</t>
        </is>
      </c>
      <c r="G2680" s="9" t="inlineStr">
        <is>
          <t xml:space="preserve">Ashish Jindal </t>
        </is>
      </c>
      <c r="H2680" s="26" t="n">
        <v>9983975581</v>
      </c>
      <c r="I2680" s="38" t="inlineStr">
        <is>
          <t>PE01052601</t>
        </is>
      </c>
      <c r="J2680" s="26" t="inlineStr">
        <is>
          <t>Multiple Issues</t>
        </is>
      </c>
      <c r="K2680" s="39" t="inlineStr">
        <is>
          <t>Holi</t>
        </is>
      </c>
      <c r="L2680" s="39" t="inlineStr">
        <is>
          <t>Maharashtra</t>
        </is>
      </c>
      <c r="M2680" s="199" t="inlineStr">
        <is>
          <t>GLASS BROKEN MODULE</t>
        </is>
      </c>
      <c r="N2680" s="19" t="inlineStr">
        <is>
          <t>Glass Breakage</t>
        </is>
      </c>
      <c r="O2680" s="56" t="n">
        <v>575</v>
      </c>
      <c r="P2680" s="200" t="inlineStr">
        <is>
          <t>NSMI24070185566</t>
        </is>
      </c>
      <c r="Q2680" s="54">
        <f>MID(P2680,5,2)</f>
        <v/>
      </c>
      <c r="R2680" s="53">
        <f>MID(P2680,7,2)</f>
        <v/>
      </c>
      <c r="S2680" s="3" t="inlineStr">
        <is>
          <t>G2G</t>
        </is>
      </c>
      <c r="T2680" s="3" t="inlineStr">
        <is>
          <t>P4</t>
        </is>
      </c>
      <c r="U2680" s="19" t="inlineStr">
        <is>
          <t>Glass Breakage</t>
        </is>
      </c>
      <c r="V2680" s="19" t="inlineStr">
        <is>
          <t>Inspection</t>
        </is>
      </c>
      <c r="W2680" s="3" t="inlineStr">
        <is>
          <t>Repair</t>
        </is>
      </c>
      <c r="X2680" s="18" t="n">
        <v>46173</v>
      </c>
      <c r="Y2680" s="3">
        <f>IF(X2680="","",X2680-A2680)</f>
        <v/>
      </c>
      <c r="Z2680" s="18" t="n">
        <v>46173</v>
      </c>
      <c r="AA2680" s="15" t="n"/>
      <c r="AB2680" s="15" t="n"/>
      <c r="AF2680" s="201">
        <f>IF(AND($F2680="Closed",$X2680&gt;=DATE(2026,5,1),$X2680&lt;=DATE(2026,5,31)),"Closed in May","Other")</f>
        <v/>
      </c>
    </row>
    <row r="2681">
      <c r="A2681" s="188" t="n"/>
      <c r="B2681" s="189" t="n"/>
      <c r="C2681" s="190" t="n"/>
      <c r="D2681" s="189" t="n"/>
      <c r="E2681" s="189" t="n"/>
      <c r="F2681" s="189" t="n"/>
      <c r="G2681" s="190" t="n"/>
      <c r="H2681" s="190" t="n"/>
      <c r="I2681" s="191" t="n"/>
      <c r="J2681" s="190" t="n"/>
      <c r="K2681" s="190" t="n"/>
      <c r="L2681" s="190" t="n"/>
      <c r="M2681" s="192" t="n"/>
      <c r="N2681" s="189" t="n"/>
      <c r="O2681" s="193" t="n"/>
      <c r="P2681" s="192" t="n"/>
      <c r="Q2681" s="194" t="n"/>
      <c r="R2681" s="194" t="n"/>
      <c r="S2681" s="189" t="n"/>
      <c r="T2681" s="189" t="n"/>
      <c r="U2681" s="189" t="n"/>
      <c r="V2681" s="189" t="n"/>
      <c r="W2681" s="189" t="n"/>
      <c r="X2681" s="195" t="n"/>
      <c r="Y2681" s="189" t="n"/>
      <c r="Z2681" s="195" t="n"/>
      <c r="AA2681" s="196" t="n"/>
      <c r="AB2681" s="196" t="n"/>
    </row>
    <row r="2682">
      <c r="A2682" s="188" t="n"/>
      <c r="B2682" s="189" t="n"/>
      <c r="C2682" s="190" t="n"/>
      <c r="D2682" s="189" t="n"/>
      <c r="E2682" s="189" t="n"/>
      <c r="F2682" s="189" t="n"/>
      <c r="G2682" s="190" t="n"/>
      <c r="H2682" s="190" t="n"/>
      <c r="I2682" s="191" t="n"/>
      <c r="J2682" s="190" t="n"/>
      <c r="K2682" s="190" t="n"/>
      <c r="L2682" s="190" t="n"/>
      <c r="M2682" s="192" t="n"/>
      <c r="N2682" s="189" t="n"/>
      <c r="O2682" s="193" t="n"/>
      <c r="P2682" s="192" t="n"/>
      <c r="Q2682" s="194" t="n"/>
      <c r="R2682" s="194" t="n"/>
      <c r="S2682" s="189" t="n"/>
      <c r="T2682" s="189" t="n"/>
      <c r="U2682" s="189" t="n"/>
      <c r="V2682" s="189" t="n"/>
      <c r="W2682" s="189" t="n"/>
      <c r="X2682" s="195" t="n"/>
      <c r="Y2682" s="189" t="n"/>
      <c r="Z2682" s="195" t="n"/>
      <c r="AA2682" s="196" t="n"/>
      <c r="AB2682" s="196" t="n"/>
    </row>
    <row r="2683">
      <c r="A2683" s="188" t="n"/>
      <c r="B2683" s="189" t="n"/>
      <c r="C2683" s="190" t="n"/>
      <c r="D2683" s="189" t="n"/>
      <c r="E2683" s="189" t="n"/>
      <c r="F2683" s="189" t="n"/>
      <c r="G2683" s="190" t="n"/>
      <c r="H2683" s="190" t="n"/>
      <c r="I2683" s="191" t="n"/>
      <c r="J2683" s="190" t="n"/>
      <c r="K2683" s="190" t="n"/>
      <c r="L2683" s="190" t="n"/>
      <c r="M2683" s="192" t="n"/>
      <c r="N2683" s="189" t="n"/>
      <c r="O2683" s="193" t="n"/>
      <c r="P2683" s="192" t="n"/>
      <c r="Q2683" s="194" t="n"/>
      <c r="R2683" s="194" t="n"/>
      <c r="S2683" s="189" t="n"/>
      <c r="T2683" s="189" t="n"/>
      <c r="U2683" s="189" t="n"/>
      <c r="V2683" s="189" t="n"/>
      <c r="W2683" s="189" t="n"/>
      <c r="X2683" s="195" t="n"/>
      <c r="Y2683" s="189" t="n"/>
      <c r="Z2683" s="195" t="n"/>
      <c r="AA2683" s="196" t="n"/>
      <c r="AB2683" s="196" t="n"/>
    </row>
    <row r="2684">
      <c r="A2684" s="188" t="n"/>
      <c r="B2684" s="189" t="n"/>
      <c r="C2684" s="190" t="n"/>
      <c r="D2684" s="189" t="n"/>
      <c r="E2684" s="189" t="n"/>
      <c r="F2684" s="189" t="n"/>
      <c r="G2684" s="190" t="n"/>
      <c r="H2684" s="190" t="n"/>
      <c r="I2684" s="191" t="n"/>
      <c r="J2684" s="190" t="n"/>
      <c r="K2684" s="190" t="n"/>
      <c r="L2684" s="190" t="n"/>
      <c r="M2684" s="192" t="n"/>
      <c r="N2684" s="189" t="n"/>
      <c r="O2684" s="193" t="n"/>
      <c r="P2684" s="192" t="n"/>
      <c r="Q2684" s="194" t="n"/>
      <c r="R2684" s="194" t="n"/>
      <c r="S2684" s="189" t="n"/>
      <c r="T2684" s="189" t="n"/>
      <c r="U2684" s="189" t="n"/>
      <c r="V2684" s="189" t="n"/>
      <c r="W2684" s="189" t="n"/>
      <c r="X2684" s="195" t="n"/>
      <c r="Y2684" s="189" t="n"/>
      <c r="Z2684" s="195" t="n"/>
      <c r="AA2684" s="196" t="n"/>
      <c r="AB2684" s="196" t="n"/>
    </row>
    <row r="2685">
      <c r="A2685" s="188" t="n"/>
      <c r="B2685" s="189" t="n"/>
      <c r="C2685" s="190" t="n"/>
      <c r="D2685" s="189" t="n"/>
      <c r="E2685" s="189" t="n"/>
      <c r="F2685" s="189" t="n"/>
      <c r="G2685" s="190" t="n"/>
      <c r="H2685" s="190" t="n"/>
      <c r="I2685" s="191" t="n"/>
      <c r="J2685" s="190" t="n"/>
      <c r="K2685" s="190" t="n"/>
      <c r="L2685" s="190" t="n"/>
      <c r="M2685" s="192" t="n"/>
      <c r="N2685" s="189" t="n"/>
      <c r="O2685" s="193" t="n"/>
      <c r="P2685" s="192" t="n"/>
      <c r="Q2685" s="194" t="n"/>
      <c r="R2685" s="194" t="n"/>
      <c r="S2685" s="189" t="n"/>
      <c r="T2685" s="189" t="n"/>
      <c r="U2685" s="189" t="n"/>
      <c r="V2685" s="189" t="n"/>
      <c r="W2685" s="189" t="n"/>
      <c r="X2685" s="195" t="n"/>
      <c r="Y2685" s="189" t="n"/>
      <c r="Z2685" s="195" t="n"/>
      <c r="AA2685" s="196" t="n"/>
      <c r="AB2685" s="196" t="n"/>
    </row>
    <row r="2686">
      <c r="A2686" s="188" t="n"/>
      <c r="B2686" s="189" t="n"/>
      <c r="C2686" s="190" t="n"/>
      <c r="D2686" s="189" t="n"/>
      <c r="E2686" s="189" t="n"/>
      <c r="F2686" s="189" t="n"/>
      <c r="G2686" s="190" t="n"/>
      <c r="H2686" s="190" t="n"/>
      <c r="I2686" s="191" t="n"/>
      <c r="J2686" s="190" t="n"/>
      <c r="K2686" s="190" t="n"/>
      <c r="L2686" s="190" t="n"/>
      <c r="M2686" s="192" t="n"/>
      <c r="N2686" s="189" t="n"/>
      <c r="O2686" s="193" t="n"/>
      <c r="P2686" s="192" t="n"/>
      <c r="Q2686" s="194" t="n"/>
      <c r="R2686" s="194" t="n"/>
      <c r="S2686" s="189" t="n"/>
      <c r="T2686" s="189" t="n"/>
      <c r="U2686" s="189" t="n"/>
      <c r="V2686" s="189" t="n"/>
      <c r="W2686" s="189" t="n"/>
      <c r="X2686" s="195" t="n"/>
      <c r="Y2686" s="189" t="n"/>
      <c r="Z2686" s="195" t="n"/>
      <c r="AA2686" s="196" t="n"/>
      <c r="AB2686" s="196" t="n"/>
    </row>
    <row r="2687">
      <c r="A2687" s="188" t="n"/>
      <c r="B2687" s="189" t="n"/>
      <c r="C2687" s="190" t="n"/>
      <c r="D2687" s="189" t="n"/>
      <c r="E2687" s="189" t="n"/>
      <c r="F2687" s="189" t="n"/>
      <c r="G2687" s="190" t="n"/>
      <c r="H2687" s="190" t="n"/>
      <c r="I2687" s="191" t="n"/>
      <c r="J2687" s="190" t="n"/>
      <c r="K2687" s="190" t="n"/>
      <c r="L2687" s="190" t="n"/>
      <c r="M2687" s="192" t="n"/>
      <c r="N2687" s="197" t="n"/>
      <c r="O2687" s="193" t="n"/>
      <c r="P2687" s="192" t="n"/>
      <c r="Q2687" s="194" t="n"/>
      <c r="R2687" s="194" t="n"/>
      <c r="S2687" s="189" t="n"/>
      <c r="T2687" s="189" t="n"/>
      <c r="U2687" s="198" t="n"/>
      <c r="V2687" s="198" t="n"/>
      <c r="W2687" s="189" t="n"/>
      <c r="X2687" s="195" t="n"/>
      <c r="Y2687" s="189" t="n"/>
      <c r="Z2687" s="195" t="n"/>
      <c r="AA2687" s="196" t="n"/>
      <c r="AB2687" s="196" t="n"/>
    </row>
    <row r="2688">
      <c r="A2688" s="188" t="n"/>
      <c r="B2688" s="189" t="n"/>
      <c r="C2688" s="190" t="n"/>
      <c r="D2688" s="189" t="n"/>
      <c r="E2688" s="189" t="n"/>
      <c r="F2688" s="189" t="n"/>
      <c r="G2688" s="190" t="n"/>
      <c r="H2688" s="190" t="n"/>
      <c r="I2688" s="191" t="n"/>
      <c r="J2688" s="190" t="n"/>
      <c r="K2688" s="190" t="n"/>
      <c r="L2688" s="190" t="n"/>
      <c r="M2688" s="192" t="n"/>
      <c r="N2688" s="189" t="n"/>
      <c r="O2688" s="193" t="n"/>
      <c r="P2688" s="192" t="n"/>
      <c r="Q2688" s="194" t="n"/>
      <c r="R2688" s="194" t="n"/>
      <c r="S2688" s="189" t="n"/>
      <c r="T2688" s="189" t="n"/>
      <c r="U2688" s="189" t="n"/>
      <c r="V2688" s="196" t="n"/>
      <c r="W2688" s="189" t="n"/>
      <c r="X2688" s="195" t="n"/>
      <c r="Y2688" s="189" t="n"/>
      <c r="Z2688" s="195" t="n"/>
      <c r="AA2688" s="196" t="n"/>
      <c r="AB2688" s="196" t="n"/>
    </row>
    <row r="2689">
      <c r="A2689" s="188" t="n"/>
      <c r="B2689" s="189" t="n"/>
      <c r="C2689" s="190" t="n"/>
      <c r="D2689" s="189" t="n"/>
      <c r="E2689" s="189" t="n"/>
      <c r="F2689" s="189" t="n"/>
      <c r="G2689" s="190" t="n"/>
      <c r="H2689" s="190" t="n"/>
      <c r="I2689" s="191" t="n"/>
      <c r="J2689" s="190" t="n"/>
      <c r="K2689" s="190" t="n"/>
      <c r="L2689" s="190" t="n"/>
      <c r="M2689" s="192" t="n"/>
      <c r="N2689" s="189" t="n"/>
      <c r="O2689" s="193" t="n"/>
      <c r="P2689" s="192" t="n"/>
      <c r="Q2689" s="194" t="n"/>
      <c r="R2689" s="194" t="n"/>
      <c r="S2689" s="189" t="n"/>
      <c r="T2689" s="189" t="n"/>
      <c r="U2689" s="189" t="n"/>
      <c r="V2689" s="189" t="n"/>
      <c r="W2689" s="189" t="n"/>
      <c r="X2689" s="195" t="n"/>
      <c r="Y2689" s="189" t="n"/>
      <c r="Z2689" s="195" t="n"/>
      <c r="AA2689" s="196" t="n"/>
      <c r="AB2689" s="196" t="n"/>
    </row>
    <row r="2690">
      <c r="A2690" s="188" t="n"/>
      <c r="B2690" s="189" t="n"/>
      <c r="C2690" s="190" t="n"/>
      <c r="D2690" s="189" t="n"/>
      <c r="E2690" s="189" t="n"/>
      <c r="F2690" s="189" t="n"/>
      <c r="G2690" s="190" t="n"/>
      <c r="H2690" s="190" t="n"/>
      <c r="I2690" s="191" t="n"/>
      <c r="J2690" s="190" t="n"/>
      <c r="K2690" s="190" t="n"/>
      <c r="L2690" s="190" t="n"/>
      <c r="M2690" s="192" t="n"/>
      <c r="N2690" s="189" t="n"/>
      <c r="O2690" s="193" t="n"/>
      <c r="P2690" s="192" t="n"/>
      <c r="Q2690" s="194" t="n"/>
      <c r="R2690" s="194" t="n"/>
      <c r="S2690" s="189" t="n"/>
      <c r="T2690" s="189" t="n"/>
      <c r="U2690" s="189" t="n"/>
      <c r="V2690" s="189" t="n"/>
      <c r="W2690" s="189" t="n"/>
      <c r="X2690" s="195" t="n"/>
      <c r="Y2690" s="189" t="n"/>
      <c r="Z2690" s="195" t="n"/>
      <c r="AA2690" s="196" t="n"/>
      <c r="AB2690" s="196" t="n"/>
    </row>
    <row r="2691">
      <c r="A2691" s="188" t="n"/>
      <c r="B2691" s="189" t="n"/>
      <c r="C2691" s="190" t="n"/>
      <c r="D2691" s="189" t="n"/>
      <c r="E2691" s="189" t="n"/>
      <c r="F2691" s="189" t="n"/>
      <c r="G2691" s="190" t="n"/>
      <c r="H2691" s="190" t="n"/>
      <c r="I2691" s="191" t="n"/>
      <c r="J2691" s="190" t="n"/>
      <c r="K2691" s="190" t="n"/>
      <c r="L2691" s="190" t="n"/>
      <c r="M2691" s="192" t="n"/>
      <c r="N2691" s="197" t="n"/>
      <c r="O2691" s="193" t="n"/>
      <c r="P2691" s="192" t="n"/>
      <c r="Q2691" s="194" t="n"/>
      <c r="R2691" s="194" t="n"/>
      <c r="S2691" s="189" t="n"/>
      <c r="T2691" s="189" t="n"/>
      <c r="U2691" s="198" t="n"/>
      <c r="V2691" s="198" t="n"/>
      <c r="W2691" s="189" t="n"/>
      <c r="X2691" s="195" t="n"/>
      <c r="Y2691" s="189" t="n"/>
      <c r="Z2691" s="195" t="n"/>
      <c r="AA2691" s="196" t="n"/>
      <c r="AB2691" s="196" t="n"/>
    </row>
    <row r="2692">
      <c r="A2692" s="188" t="n"/>
      <c r="B2692" s="189" t="n"/>
      <c r="C2692" s="190" t="n"/>
      <c r="D2692" s="189" t="n"/>
      <c r="E2692" s="189" t="n"/>
      <c r="F2692" s="189" t="n"/>
      <c r="G2692" s="190" t="n"/>
      <c r="H2692" s="190" t="n"/>
      <c r="I2692" s="191" t="n"/>
      <c r="J2692" s="190" t="n"/>
      <c r="K2692" s="190" t="n"/>
      <c r="L2692" s="190" t="n"/>
      <c r="M2692" s="192" t="n"/>
      <c r="N2692" s="189" t="n"/>
      <c r="O2692" s="193" t="n"/>
      <c r="P2692" s="192" t="n"/>
      <c r="Q2692" s="194" t="n"/>
      <c r="R2692" s="194" t="n"/>
      <c r="S2692" s="189" t="n"/>
      <c r="T2692" s="189" t="n"/>
      <c r="U2692" s="189" t="n"/>
      <c r="V2692" s="189" t="n"/>
      <c r="W2692" s="189" t="n"/>
      <c r="X2692" s="195" t="n"/>
      <c r="Y2692" s="189" t="n"/>
      <c r="Z2692" s="195" t="n"/>
      <c r="AA2692" s="196" t="n"/>
      <c r="AB2692" s="196" t="n"/>
    </row>
    <row r="2693">
      <c r="A2693" s="188" t="n"/>
      <c r="B2693" s="189" t="n"/>
      <c r="C2693" s="190" t="n"/>
      <c r="D2693" s="189" t="n"/>
      <c r="E2693" s="189" t="n"/>
      <c r="F2693" s="189" t="n"/>
      <c r="G2693" s="190" t="n"/>
      <c r="H2693" s="190" t="n"/>
      <c r="I2693" s="191" t="n"/>
      <c r="J2693" s="190" t="n"/>
      <c r="K2693" s="190" t="n"/>
      <c r="L2693" s="190" t="n"/>
      <c r="M2693" s="192" t="n"/>
      <c r="N2693" s="189" t="n"/>
      <c r="O2693" s="193" t="n"/>
      <c r="P2693" s="192" t="n"/>
      <c r="Q2693" s="194" t="n"/>
      <c r="R2693" s="194" t="n"/>
      <c r="S2693" s="189" t="n"/>
      <c r="T2693" s="189" t="n"/>
      <c r="U2693" s="189" t="n"/>
      <c r="V2693" s="189" t="n"/>
      <c r="W2693" s="189" t="n"/>
      <c r="X2693" s="195" t="n"/>
      <c r="Y2693" s="189" t="n"/>
      <c r="Z2693" s="195" t="n"/>
      <c r="AA2693" s="196" t="n"/>
      <c r="AB2693" s="196" t="n"/>
    </row>
    <row r="2694">
      <c r="A2694" s="188" t="n"/>
      <c r="B2694" s="189" t="n"/>
      <c r="C2694" s="190" t="n"/>
      <c r="D2694" s="189" t="n"/>
      <c r="E2694" s="189" t="n"/>
      <c r="F2694" s="189" t="n"/>
      <c r="G2694" s="190" t="n"/>
      <c r="H2694" s="190" t="n"/>
      <c r="I2694" s="191" t="n"/>
      <c r="J2694" s="190" t="n"/>
      <c r="K2694" s="190" t="n"/>
      <c r="L2694" s="190" t="n"/>
      <c r="M2694" s="192" t="n"/>
      <c r="N2694" s="189" t="n"/>
      <c r="O2694" s="193" t="n"/>
      <c r="P2694" s="192" t="n"/>
      <c r="Q2694" s="194" t="n"/>
      <c r="R2694" s="194" t="n"/>
      <c r="S2694" s="189" t="n"/>
      <c r="T2694" s="189" t="n"/>
      <c r="U2694" s="189" t="n"/>
      <c r="V2694" s="189" t="n"/>
      <c r="W2694" s="189" t="n"/>
      <c r="X2694" s="195" t="n"/>
      <c r="Y2694" s="189" t="n"/>
      <c r="Z2694" s="195" t="n"/>
      <c r="AA2694" s="196" t="n"/>
      <c r="AB2694" s="196" t="n"/>
    </row>
    <row r="2695">
      <c r="A2695" s="188" t="n"/>
      <c r="B2695" s="189" t="n"/>
      <c r="C2695" s="190" t="n"/>
      <c r="D2695" s="189" t="n"/>
      <c r="E2695" s="189" t="n"/>
      <c r="F2695" s="189" t="n"/>
      <c r="G2695" s="190" t="n"/>
      <c r="H2695" s="190" t="n"/>
      <c r="I2695" s="191" t="n"/>
      <c r="J2695" s="190" t="n"/>
      <c r="K2695" s="190" t="n"/>
      <c r="L2695" s="190" t="n"/>
      <c r="M2695" s="192" t="n"/>
      <c r="N2695" s="189" t="n"/>
      <c r="O2695" s="193" t="n"/>
      <c r="P2695" s="192" t="n"/>
      <c r="Q2695" s="194" t="n"/>
      <c r="R2695" s="194" t="n"/>
      <c r="S2695" s="189" t="n"/>
      <c r="T2695" s="189" t="n"/>
      <c r="U2695" s="189" t="n"/>
      <c r="V2695" s="196" t="n"/>
      <c r="W2695" s="189" t="n"/>
      <c r="X2695" s="195" t="n"/>
      <c r="Y2695" s="189" t="n"/>
      <c r="Z2695" s="195" t="n"/>
      <c r="AA2695" s="196" t="n"/>
      <c r="AB2695" s="196" t="n"/>
    </row>
    <row r="2696">
      <c r="A2696" s="188" t="n"/>
      <c r="B2696" s="189" t="n"/>
      <c r="C2696" s="190" t="n"/>
      <c r="D2696" s="189" t="n"/>
      <c r="E2696" s="189" t="n"/>
      <c r="F2696" s="189" t="n"/>
      <c r="G2696" s="190" t="n"/>
      <c r="H2696" s="190" t="n"/>
      <c r="I2696" s="191" t="n"/>
      <c r="J2696" s="190" t="n"/>
      <c r="K2696" s="190" t="n"/>
      <c r="L2696" s="190" t="n"/>
      <c r="M2696" s="192" t="n"/>
      <c r="N2696" s="189" t="n"/>
      <c r="O2696" s="193" t="n"/>
      <c r="P2696" s="192" t="n"/>
      <c r="Q2696" s="194" t="n"/>
      <c r="R2696" s="194" t="n"/>
      <c r="S2696" s="189" t="n"/>
      <c r="T2696" s="189" t="n"/>
      <c r="U2696" s="189" t="n"/>
      <c r="V2696" s="189" t="n"/>
      <c r="W2696" s="189" t="n"/>
      <c r="X2696" s="195" t="n"/>
      <c r="Y2696" s="189" t="n"/>
      <c r="Z2696" s="195" t="n"/>
      <c r="AA2696" s="196" t="n"/>
      <c r="AB2696" s="196" t="n"/>
    </row>
    <row r="2697">
      <c r="A2697" s="188" t="n"/>
      <c r="B2697" s="189" t="n"/>
      <c r="C2697" s="190" t="n"/>
      <c r="D2697" s="189" t="n"/>
      <c r="E2697" s="189" t="n"/>
      <c r="F2697" s="189" t="n"/>
      <c r="G2697" s="190" t="n"/>
      <c r="H2697" s="190" t="n"/>
      <c r="I2697" s="191" t="n"/>
      <c r="J2697" s="190" t="n"/>
      <c r="K2697" s="190" t="n"/>
      <c r="L2697" s="190" t="n"/>
      <c r="M2697" s="192" t="n"/>
      <c r="N2697" s="189" t="n"/>
      <c r="O2697" s="193" t="n"/>
      <c r="P2697" s="192" t="n"/>
      <c r="Q2697" s="194" t="n"/>
      <c r="R2697" s="194" t="n"/>
      <c r="S2697" s="189" t="n"/>
      <c r="T2697" s="189" t="n"/>
      <c r="U2697" s="189" t="n"/>
      <c r="V2697" s="189" t="n"/>
      <c r="W2697" s="189" t="n"/>
      <c r="X2697" s="195" t="n"/>
      <c r="Y2697" s="189" t="n"/>
      <c r="Z2697" s="195" t="n"/>
      <c r="AA2697" s="196" t="n"/>
      <c r="AB2697" s="196" t="n"/>
    </row>
    <row r="2698">
      <c r="A2698" s="188" t="n"/>
      <c r="B2698" s="189" t="n"/>
      <c r="C2698" s="190" t="n"/>
      <c r="D2698" s="189" t="n"/>
      <c r="E2698" s="189" t="n"/>
      <c r="F2698" s="189" t="n"/>
      <c r="G2698" s="190" t="n"/>
      <c r="H2698" s="190" t="n"/>
      <c r="I2698" s="191" t="n"/>
      <c r="J2698" s="190" t="n"/>
      <c r="K2698" s="190" t="n"/>
      <c r="L2698" s="190" t="n"/>
      <c r="M2698" s="192" t="n"/>
      <c r="N2698" s="189" t="n"/>
      <c r="O2698" s="193" t="n"/>
      <c r="P2698" s="192" t="n"/>
      <c r="Q2698" s="194" t="n"/>
      <c r="R2698" s="194" t="n"/>
      <c r="S2698" s="189" t="n"/>
      <c r="T2698" s="189" t="n"/>
      <c r="U2698" s="189" t="n"/>
      <c r="V2698" s="189" t="n"/>
      <c r="W2698" s="189" t="n"/>
      <c r="X2698" s="195" t="n"/>
      <c r="Y2698" s="189" t="n"/>
      <c r="Z2698" s="195" t="n"/>
      <c r="AA2698" s="196" t="n"/>
      <c r="AB2698" s="196" t="n"/>
    </row>
    <row r="2699">
      <c r="A2699" s="188" t="n"/>
      <c r="B2699" s="189" t="n"/>
      <c r="C2699" s="190" t="n"/>
      <c r="D2699" s="189" t="n"/>
      <c r="E2699" s="189" t="n"/>
      <c r="F2699" s="189" t="n"/>
      <c r="G2699" s="190" t="n"/>
      <c r="H2699" s="190" t="n"/>
      <c r="I2699" s="191" t="n"/>
      <c r="J2699" s="190" t="n"/>
      <c r="K2699" s="190" t="n"/>
      <c r="L2699" s="190" t="n"/>
      <c r="M2699" s="192" t="n"/>
      <c r="N2699" s="189" t="n"/>
      <c r="O2699" s="193" t="n"/>
      <c r="P2699" s="192" t="n"/>
      <c r="Q2699" s="194" t="n"/>
      <c r="R2699" s="194" t="n"/>
      <c r="S2699" s="189" t="n"/>
      <c r="T2699" s="189" t="n"/>
      <c r="U2699" s="189" t="n"/>
      <c r="V2699" s="189" t="n"/>
      <c r="W2699" s="189" t="n"/>
      <c r="X2699" s="195" t="n"/>
      <c r="Y2699" s="189" t="n"/>
      <c r="Z2699" s="195" t="n"/>
      <c r="AA2699" s="196" t="n"/>
      <c r="AB2699" s="196" t="n"/>
    </row>
    <row r="2700">
      <c r="A2700" s="188" t="n"/>
      <c r="B2700" s="189" t="n"/>
      <c r="C2700" s="190" t="n"/>
      <c r="D2700" s="189" t="n"/>
      <c r="E2700" s="189" t="n"/>
      <c r="F2700" s="189" t="n"/>
      <c r="G2700" s="190" t="n"/>
      <c r="H2700" s="190" t="n"/>
      <c r="I2700" s="191" t="n"/>
      <c r="J2700" s="190" t="n"/>
      <c r="K2700" s="190" t="n"/>
      <c r="L2700" s="190" t="n"/>
      <c r="M2700" s="192" t="n"/>
      <c r="N2700" s="189" t="n"/>
      <c r="O2700" s="193" t="n"/>
      <c r="P2700" s="192" t="n"/>
      <c r="Q2700" s="194" t="n"/>
      <c r="R2700" s="194" t="n"/>
      <c r="S2700" s="189" t="n"/>
      <c r="T2700" s="189" t="n"/>
      <c r="U2700" s="189" t="n"/>
      <c r="V2700" s="196" t="n"/>
      <c r="W2700" s="189" t="n"/>
      <c r="X2700" s="195" t="n"/>
      <c r="Y2700" s="189" t="n"/>
      <c r="Z2700" s="195" t="n"/>
      <c r="AA2700" s="196" t="n"/>
      <c r="AB2700" s="196" t="n"/>
    </row>
    <row r="2701">
      <c r="A2701" s="188" t="n"/>
      <c r="B2701" s="189" t="n"/>
      <c r="C2701" s="190" t="n"/>
      <c r="D2701" s="189" t="n"/>
      <c r="E2701" s="189" t="n"/>
      <c r="F2701" s="189" t="n"/>
      <c r="G2701" s="190" t="n"/>
      <c r="H2701" s="190" t="n"/>
      <c r="I2701" s="191" t="n"/>
      <c r="J2701" s="190" t="n"/>
      <c r="K2701" s="190" t="n"/>
      <c r="L2701" s="190" t="n"/>
      <c r="M2701" s="192" t="n"/>
      <c r="N2701" s="189" t="n"/>
      <c r="O2701" s="193" t="n"/>
      <c r="P2701" s="192" t="n"/>
      <c r="Q2701" s="194" t="n"/>
      <c r="R2701" s="194" t="n"/>
      <c r="S2701" s="189" t="n"/>
      <c r="T2701" s="189" t="n"/>
      <c r="U2701" s="189" t="n"/>
      <c r="V2701" s="196" t="n"/>
      <c r="W2701" s="189" t="n"/>
      <c r="X2701" s="195" t="n"/>
      <c r="Y2701" s="189" t="n"/>
      <c r="Z2701" s="195" t="n"/>
      <c r="AA2701" s="196" t="n"/>
      <c r="AB2701" s="196" t="n"/>
    </row>
    <row r="2702">
      <c r="A2702" s="188" t="n"/>
      <c r="B2702" s="189" t="n"/>
      <c r="C2702" s="190" t="n"/>
      <c r="D2702" s="189" t="n"/>
      <c r="E2702" s="189" t="n"/>
      <c r="F2702" s="189" t="n"/>
      <c r="G2702" s="190" t="n"/>
      <c r="H2702" s="190" t="n"/>
      <c r="I2702" s="191" t="n"/>
      <c r="J2702" s="190" t="n"/>
      <c r="K2702" s="190" t="n"/>
      <c r="L2702" s="190" t="n"/>
      <c r="M2702" s="192" t="n"/>
      <c r="N2702" s="189" t="n"/>
      <c r="O2702" s="193" t="n"/>
      <c r="P2702" s="192" t="n"/>
      <c r="Q2702" s="194" t="n"/>
      <c r="R2702" s="194" t="n"/>
      <c r="S2702" s="189" t="n"/>
      <c r="T2702" s="189" t="n"/>
      <c r="U2702" s="189" t="n"/>
      <c r="V2702" s="196" t="n"/>
      <c r="W2702" s="189" t="n"/>
      <c r="X2702" s="195" t="n"/>
      <c r="Y2702" s="189" t="n"/>
      <c r="Z2702" s="195" t="n"/>
      <c r="AA2702" s="196" t="n"/>
      <c r="AB2702" s="196" t="n"/>
    </row>
    <row r="2703">
      <c r="A2703" s="188" t="n"/>
      <c r="B2703" s="189" t="n"/>
      <c r="C2703" s="190" t="n"/>
      <c r="D2703" s="189" t="n"/>
      <c r="E2703" s="189" t="n"/>
      <c r="F2703" s="189" t="n"/>
      <c r="G2703" s="190" t="n"/>
      <c r="H2703" s="190" t="n"/>
      <c r="I2703" s="191" t="n"/>
      <c r="J2703" s="190" t="n"/>
      <c r="K2703" s="190" t="n"/>
      <c r="L2703" s="190" t="n"/>
      <c r="M2703" s="192" t="n"/>
      <c r="N2703" s="189" t="n"/>
      <c r="O2703" s="193" t="n"/>
      <c r="P2703" s="192" t="n"/>
      <c r="Q2703" s="194" t="n"/>
      <c r="R2703" s="194" t="n"/>
      <c r="S2703" s="189" t="n"/>
      <c r="T2703" s="189" t="n"/>
      <c r="U2703" s="189" t="n"/>
      <c r="V2703" s="189" t="n"/>
      <c r="W2703" s="189" t="n"/>
      <c r="X2703" s="195" t="n"/>
      <c r="Y2703" s="189" t="n"/>
      <c r="Z2703" s="195" t="n"/>
      <c r="AA2703" s="196" t="n"/>
      <c r="AB2703" s="196" t="n"/>
    </row>
    <row r="2704">
      <c r="A2704" s="188" t="n"/>
      <c r="B2704" s="189" t="n"/>
      <c r="C2704" s="190" t="n"/>
      <c r="D2704" s="189" t="n"/>
      <c r="E2704" s="189" t="n"/>
      <c r="F2704" s="189" t="n"/>
      <c r="G2704" s="190" t="n"/>
      <c r="H2704" s="190" t="n"/>
      <c r="I2704" s="191" t="n"/>
      <c r="J2704" s="190" t="n"/>
      <c r="K2704" s="190" t="n"/>
      <c r="L2704" s="190" t="n"/>
      <c r="M2704" s="192" t="n"/>
      <c r="N2704" s="189" t="n"/>
      <c r="O2704" s="193" t="n"/>
      <c r="P2704" s="192" t="n"/>
      <c r="Q2704" s="194" t="n"/>
      <c r="R2704" s="194" t="n"/>
      <c r="S2704" s="189" t="n"/>
      <c r="T2704" s="189" t="n"/>
      <c r="U2704" s="189" t="n"/>
      <c r="V2704" s="189" t="n"/>
      <c r="W2704" s="189" t="n"/>
      <c r="X2704" s="195" t="n"/>
      <c r="Y2704" s="189" t="n"/>
      <c r="Z2704" s="195" t="n"/>
      <c r="AA2704" s="196" t="n"/>
      <c r="AB2704" s="196" t="n"/>
    </row>
    <row r="2705">
      <c r="A2705" s="188" t="n"/>
      <c r="B2705" s="189" t="n"/>
      <c r="C2705" s="190" t="n"/>
      <c r="D2705" s="189" t="n"/>
      <c r="E2705" s="189" t="n"/>
      <c r="F2705" s="189" t="n"/>
      <c r="G2705" s="190" t="n"/>
      <c r="H2705" s="190" t="n"/>
      <c r="I2705" s="191" t="n"/>
      <c r="J2705" s="190" t="n"/>
      <c r="K2705" s="190" t="n"/>
      <c r="L2705" s="190" t="n"/>
      <c r="M2705" s="192" t="n"/>
      <c r="N2705" s="189" t="n"/>
      <c r="O2705" s="193" t="n"/>
      <c r="P2705" s="192" t="n"/>
      <c r="Q2705" s="194" t="n"/>
      <c r="R2705" s="194" t="n"/>
      <c r="S2705" s="189" t="n"/>
      <c r="T2705" s="189" t="n"/>
      <c r="U2705" s="189" t="n"/>
      <c r="V2705" s="189" t="n"/>
      <c r="W2705" s="189" t="n"/>
      <c r="X2705" s="195" t="n"/>
      <c r="Y2705" s="189" t="n"/>
      <c r="Z2705" s="195" t="n"/>
      <c r="AA2705" s="196" t="n"/>
      <c r="AB2705" s="196" t="n"/>
    </row>
    <row r="2706">
      <c r="A2706" s="188" t="n"/>
      <c r="B2706" s="189" t="n"/>
      <c r="C2706" s="190" t="n"/>
      <c r="D2706" s="189" t="n"/>
      <c r="E2706" s="189" t="n"/>
      <c r="F2706" s="189" t="n"/>
      <c r="G2706" s="190" t="n"/>
      <c r="H2706" s="190" t="n"/>
      <c r="I2706" s="191" t="n"/>
      <c r="J2706" s="190" t="n"/>
      <c r="K2706" s="190" t="n"/>
      <c r="L2706" s="190" t="n"/>
      <c r="M2706" s="192" t="n"/>
      <c r="N2706" s="189" t="n"/>
      <c r="O2706" s="193" t="n"/>
      <c r="P2706" s="192" t="n"/>
      <c r="Q2706" s="194" t="n"/>
      <c r="R2706" s="194" t="n"/>
      <c r="S2706" s="189" t="n"/>
      <c r="T2706" s="189" t="n"/>
      <c r="U2706" s="189" t="n"/>
      <c r="V2706" s="189" t="n"/>
      <c r="W2706" s="189" t="n"/>
      <c r="X2706" s="195" t="n"/>
      <c r="Y2706" s="189" t="n"/>
      <c r="Z2706" s="195" t="n"/>
      <c r="AA2706" s="196" t="n"/>
      <c r="AB2706" s="196" t="n"/>
    </row>
    <row r="2707">
      <c r="A2707" s="188" t="n"/>
      <c r="B2707" s="189" t="n"/>
      <c r="C2707" s="190" t="n"/>
      <c r="D2707" s="189" t="n"/>
      <c r="E2707" s="189" t="n"/>
      <c r="F2707" s="189" t="n"/>
      <c r="G2707" s="190" t="n"/>
      <c r="H2707" s="190" t="n"/>
      <c r="I2707" s="191" t="n"/>
      <c r="J2707" s="190" t="n"/>
      <c r="K2707" s="190" t="n"/>
      <c r="L2707" s="190" t="n"/>
      <c r="M2707" s="192" t="n"/>
      <c r="N2707" s="189" t="n"/>
      <c r="O2707" s="193" t="n"/>
      <c r="P2707" s="192" t="n"/>
      <c r="Q2707" s="194" t="n"/>
      <c r="R2707" s="194" t="n"/>
      <c r="S2707" s="189" t="n"/>
      <c r="T2707" s="189" t="n"/>
      <c r="U2707" s="189" t="n"/>
      <c r="V2707" s="189" t="n"/>
      <c r="W2707" s="189" t="n"/>
      <c r="X2707" s="195" t="n"/>
      <c r="Y2707" s="189" t="n"/>
      <c r="Z2707" s="195" t="n"/>
      <c r="AA2707" s="196" t="n"/>
      <c r="AB2707" s="196" t="n"/>
    </row>
    <row r="2708">
      <c r="A2708" s="188" t="n"/>
      <c r="B2708" s="189" t="n"/>
      <c r="C2708" s="190" t="n"/>
      <c r="D2708" s="189" t="n"/>
      <c r="E2708" s="189" t="n"/>
      <c r="F2708" s="189" t="n"/>
      <c r="G2708" s="190" t="n"/>
      <c r="H2708" s="190" t="n"/>
      <c r="I2708" s="191" t="n"/>
      <c r="J2708" s="190" t="n"/>
      <c r="K2708" s="190" t="n"/>
      <c r="L2708" s="190" t="n"/>
      <c r="M2708" s="192" t="n"/>
      <c r="N2708" s="189" t="n"/>
      <c r="O2708" s="193" t="n"/>
      <c r="P2708" s="192" t="n"/>
      <c r="Q2708" s="194" t="n"/>
      <c r="R2708" s="194" t="n"/>
      <c r="S2708" s="189" t="n"/>
      <c r="T2708" s="189" t="n"/>
      <c r="U2708" s="189" t="n"/>
      <c r="V2708" s="189" t="n"/>
      <c r="W2708" s="189" t="n"/>
      <c r="X2708" s="195" t="n"/>
      <c r="Y2708" s="189" t="n"/>
      <c r="Z2708" s="195" t="n"/>
      <c r="AA2708" s="196" t="n"/>
      <c r="AB2708" s="196" t="n"/>
    </row>
    <row r="2709">
      <c r="A2709" s="188" t="n"/>
      <c r="B2709" s="189" t="n"/>
      <c r="C2709" s="190" t="n"/>
      <c r="D2709" s="189" t="n"/>
      <c r="E2709" s="189" t="n"/>
      <c r="F2709" s="189" t="n"/>
      <c r="G2709" s="190" t="n"/>
      <c r="H2709" s="190" t="n"/>
      <c r="I2709" s="191" t="n"/>
      <c r="J2709" s="190" t="n"/>
      <c r="K2709" s="190" t="n"/>
      <c r="L2709" s="190" t="n"/>
      <c r="M2709" s="192" t="n"/>
      <c r="N2709" s="189" t="n"/>
      <c r="O2709" s="193" t="n"/>
      <c r="P2709" s="192" t="n"/>
      <c r="Q2709" s="194" t="n"/>
      <c r="R2709" s="194" t="n"/>
      <c r="S2709" s="189" t="n"/>
      <c r="T2709" s="189" t="n"/>
      <c r="U2709" s="189" t="n"/>
      <c r="V2709" s="189" t="n"/>
      <c r="W2709" s="189" t="n"/>
      <c r="X2709" s="195" t="n"/>
      <c r="Y2709" s="189" t="n"/>
      <c r="Z2709" s="195" t="n"/>
      <c r="AA2709" s="196" t="n"/>
      <c r="AB2709" s="196" t="n"/>
    </row>
    <row r="2710">
      <c r="A2710" s="188" t="n"/>
      <c r="B2710" s="189" t="n"/>
      <c r="C2710" s="190" t="n"/>
      <c r="D2710" s="189" t="n"/>
      <c r="E2710" s="189" t="n"/>
      <c r="F2710" s="189" t="n"/>
      <c r="G2710" s="190" t="n"/>
      <c r="H2710" s="190" t="n"/>
      <c r="I2710" s="191" t="n"/>
      <c r="J2710" s="190" t="n"/>
      <c r="K2710" s="190" t="n"/>
      <c r="L2710" s="190" t="n"/>
      <c r="M2710" s="192" t="n"/>
      <c r="N2710" s="189" t="n"/>
      <c r="O2710" s="193" t="n"/>
      <c r="P2710" s="192" t="n"/>
      <c r="Q2710" s="194" t="n"/>
      <c r="R2710" s="194" t="n"/>
      <c r="S2710" s="189" t="n"/>
      <c r="T2710" s="189" t="n"/>
      <c r="U2710" s="189" t="n"/>
      <c r="V2710" s="196" t="n"/>
      <c r="W2710" s="189" t="n"/>
      <c r="X2710" s="195" t="n"/>
      <c r="Y2710" s="189" t="n"/>
      <c r="Z2710" s="195" t="n"/>
      <c r="AA2710" s="196" t="n"/>
      <c r="AB2710" s="196" t="n"/>
    </row>
    <row r="2711">
      <c r="A2711" s="188" t="n"/>
      <c r="B2711" s="189" t="n"/>
      <c r="C2711" s="190" t="n"/>
      <c r="D2711" s="189" t="n"/>
      <c r="E2711" s="189" t="n"/>
      <c r="F2711" s="189" t="n"/>
      <c r="G2711" s="190" t="n"/>
      <c r="H2711" s="190" t="n"/>
      <c r="I2711" s="191" t="n"/>
      <c r="J2711" s="190" t="n"/>
      <c r="K2711" s="190" t="n"/>
      <c r="L2711" s="190" t="n"/>
      <c r="M2711" s="192" t="n"/>
      <c r="N2711" s="197" t="n"/>
      <c r="O2711" s="193" t="n"/>
      <c r="P2711" s="192" t="n"/>
      <c r="Q2711" s="194" t="n"/>
      <c r="R2711" s="194" t="n"/>
      <c r="S2711" s="189" t="n"/>
      <c r="T2711" s="189" t="n"/>
      <c r="U2711" s="198" t="n"/>
      <c r="V2711" s="198" t="n"/>
      <c r="W2711" s="189" t="n"/>
      <c r="X2711" s="195" t="n"/>
      <c r="Y2711" s="189" t="n"/>
      <c r="Z2711" s="195" t="n"/>
      <c r="AA2711" s="196" t="n"/>
      <c r="AB2711" s="196" t="n"/>
    </row>
    <row r="2712">
      <c r="A2712" s="188" t="n"/>
      <c r="B2712" s="189" t="n"/>
      <c r="C2712" s="190" t="n"/>
      <c r="D2712" s="189" t="n"/>
      <c r="E2712" s="189" t="n"/>
      <c r="F2712" s="189" t="n"/>
      <c r="G2712" s="190" t="n"/>
      <c r="H2712" s="190" t="n"/>
      <c r="I2712" s="191" t="n"/>
      <c r="J2712" s="190" t="n"/>
      <c r="K2712" s="190" t="n"/>
      <c r="L2712" s="190" t="n"/>
      <c r="M2712" s="192" t="n"/>
      <c r="N2712" s="189" t="n"/>
      <c r="O2712" s="193" t="n"/>
      <c r="P2712" s="192" t="n"/>
      <c r="Q2712" s="194" t="n"/>
      <c r="R2712" s="194" t="n"/>
      <c r="S2712" s="189" t="n"/>
      <c r="T2712" s="189" t="n"/>
      <c r="U2712" s="189" t="n"/>
      <c r="V2712" s="189" t="n"/>
      <c r="W2712" s="189" t="n"/>
      <c r="X2712" s="195" t="n"/>
      <c r="Y2712" s="189" t="n"/>
      <c r="Z2712" s="195" t="n"/>
      <c r="AA2712" s="196" t="n"/>
      <c r="AB2712" s="196" t="n"/>
    </row>
    <row r="2713">
      <c r="A2713" s="188" t="n"/>
      <c r="B2713" s="189" t="n"/>
      <c r="C2713" s="190" t="n"/>
      <c r="D2713" s="189" t="n"/>
      <c r="E2713" s="189" t="n"/>
      <c r="F2713" s="189" t="n"/>
      <c r="G2713" s="190" t="n"/>
      <c r="H2713" s="190" t="n"/>
      <c r="I2713" s="191" t="n"/>
      <c r="J2713" s="190" t="n"/>
      <c r="K2713" s="190" t="n"/>
      <c r="L2713" s="190" t="n"/>
      <c r="M2713" s="192" t="n"/>
      <c r="N2713" s="189" t="n"/>
      <c r="O2713" s="193" t="n"/>
      <c r="P2713" s="192" t="n"/>
      <c r="Q2713" s="194" t="n"/>
      <c r="R2713" s="194" t="n"/>
      <c r="S2713" s="189" t="n"/>
      <c r="T2713" s="189" t="n"/>
      <c r="U2713" s="189" t="n"/>
      <c r="V2713" s="189" t="n"/>
      <c r="W2713" s="189" t="n"/>
      <c r="X2713" s="195" t="n"/>
      <c r="Y2713" s="189" t="n"/>
      <c r="Z2713" s="195" t="n"/>
      <c r="AA2713" s="196" t="n"/>
      <c r="AB2713" s="196" t="n"/>
    </row>
    <row r="2714">
      <c r="A2714" s="188" t="n"/>
      <c r="B2714" s="189" t="n"/>
      <c r="C2714" s="190" t="n"/>
      <c r="D2714" s="189" t="n"/>
      <c r="E2714" s="189" t="n"/>
      <c r="F2714" s="189" t="n"/>
      <c r="G2714" s="190" t="n"/>
      <c r="H2714" s="190" t="n"/>
      <c r="I2714" s="191" t="n"/>
      <c r="J2714" s="190" t="n"/>
      <c r="K2714" s="190" t="n"/>
      <c r="L2714" s="190" t="n"/>
      <c r="M2714" s="192" t="n"/>
      <c r="N2714" s="189" t="n"/>
      <c r="O2714" s="193" t="n"/>
      <c r="P2714" s="192" t="n"/>
      <c r="Q2714" s="194" t="n"/>
      <c r="R2714" s="194" t="n"/>
      <c r="S2714" s="189" t="n"/>
      <c r="T2714" s="189" t="n"/>
      <c r="U2714" s="189" t="n"/>
      <c r="V2714" s="189" t="n"/>
      <c r="W2714" s="189" t="n"/>
      <c r="X2714" s="195" t="n"/>
      <c r="Y2714" s="189" t="n"/>
      <c r="Z2714" s="195" t="n"/>
      <c r="AA2714" s="196" t="n"/>
      <c r="AB2714" s="196" t="n"/>
    </row>
    <row r="2715">
      <c r="A2715" s="188" t="n"/>
      <c r="B2715" s="189" t="n"/>
      <c r="C2715" s="190" t="n"/>
      <c r="D2715" s="189" t="n"/>
      <c r="E2715" s="189" t="n"/>
      <c r="F2715" s="189" t="n"/>
      <c r="G2715" s="190" t="n"/>
      <c r="H2715" s="190" t="n"/>
      <c r="I2715" s="191" t="n"/>
      <c r="J2715" s="190" t="n"/>
      <c r="K2715" s="190" t="n"/>
      <c r="L2715" s="190" t="n"/>
      <c r="M2715" s="192" t="n"/>
      <c r="N2715" s="197" t="n"/>
      <c r="O2715" s="193" t="n"/>
      <c r="P2715" s="192" t="n"/>
      <c r="Q2715" s="194" t="n"/>
      <c r="R2715" s="194" t="n"/>
      <c r="S2715" s="189" t="n"/>
      <c r="T2715" s="189" t="n"/>
      <c r="U2715" s="198" t="n"/>
      <c r="V2715" s="198" t="n"/>
      <c r="W2715" s="189" t="n"/>
      <c r="X2715" s="195" t="n"/>
      <c r="Y2715" s="189" t="n"/>
      <c r="Z2715" s="195" t="n"/>
      <c r="AA2715" s="196" t="n"/>
      <c r="AB2715" s="196" t="n"/>
    </row>
    <row r="2716">
      <c r="A2716" s="188" t="n"/>
      <c r="B2716" s="189" t="n"/>
      <c r="C2716" s="190" t="n"/>
      <c r="D2716" s="189" t="n"/>
      <c r="E2716" s="189" t="n"/>
      <c r="F2716" s="189" t="n"/>
      <c r="G2716" s="190" t="n"/>
      <c r="H2716" s="190" t="n"/>
      <c r="I2716" s="191" t="n"/>
      <c r="J2716" s="190" t="n"/>
      <c r="K2716" s="190" t="n"/>
      <c r="L2716" s="190" t="n"/>
      <c r="M2716" s="192" t="n"/>
      <c r="N2716" s="197" t="n"/>
      <c r="O2716" s="193" t="n"/>
      <c r="P2716" s="192" t="n"/>
      <c r="Q2716" s="194" t="n"/>
      <c r="R2716" s="194" t="n"/>
      <c r="S2716" s="189" t="n"/>
      <c r="T2716" s="189" t="n"/>
      <c r="U2716" s="198" t="n"/>
      <c r="V2716" s="198" t="n"/>
      <c r="W2716" s="189" t="n"/>
      <c r="X2716" s="195" t="n"/>
      <c r="Y2716" s="189" t="n"/>
      <c r="Z2716" s="195" t="n"/>
      <c r="AA2716" s="196" t="n"/>
      <c r="AB2716" s="196" t="n"/>
    </row>
    <row r="2717">
      <c r="A2717" s="188" t="n"/>
      <c r="B2717" s="189" t="n"/>
      <c r="C2717" s="190" t="n"/>
      <c r="D2717" s="189" t="n"/>
      <c r="E2717" s="189" t="n"/>
      <c r="F2717" s="189" t="n"/>
      <c r="G2717" s="190" t="n"/>
      <c r="H2717" s="190" t="n"/>
      <c r="I2717" s="191" t="n"/>
      <c r="J2717" s="190" t="n"/>
      <c r="K2717" s="190" t="n"/>
      <c r="L2717" s="190" t="n"/>
      <c r="M2717" s="192" t="n"/>
      <c r="N2717" s="189" t="n"/>
      <c r="O2717" s="193" t="n"/>
      <c r="P2717" s="192" t="n"/>
      <c r="Q2717" s="194" t="n"/>
      <c r="R2717" s="194" t="n"/>
      <c r="S2717" s="189" t="n"/>
      <c r="T2717" s="189" t="n"/>
      <c r="U2717" s="189" t="n"/>
      <c r="V2717" s="196" t="n"/>
      <c r="W2717" s="189" t="n"/>
      <c r="X2717" s="195" t="n"/>
      <c r="Y2717" s="189" t="n"/>
      <c r="Z2717" s="195" t="n"/>
      <c r="AA2717" s="196" t="n"/>
      <c r="AB2717" s="196" t="n"/>
    </row>
    <row r="2718">
      <c r="A2718" s="188" t="n"/>
      <c r="B2718" s="189" t="n"/>
      <c r="C2718" s="190" t="n"/>
      <c r="D2718" s="189" t="n"/>
      <c r="E2718" s="189" t="n"/>
      <c r="F2718" s="189" t="n"/>
      <c r="G2718" s="190" t="n"/>
      <c r="H2718" s="190" t="n"/>
      <c r="I2718" s="191" t="n"/>
      <c r="J2718" s="190" t="n"/>
      <c r="K2718" s="190" t="n"/>
      <c r="L2718" s="190" t="n"/>
      <c r="M2718" s="192" t="n"/>
      <c r="N2718" s="189" t="n"/>
      <c r="O2718" s="193" t="n"/>
      <c r="P2718" s="192" t="n"/>
      <c r="Q2718" s="194" t="n"/>
      <c r="R2718" s="194" t="n"/>
      <c r="S2718" s="189" t="n"/>
      <c r="T2718" s="189" t="n"/>
      <c r="U2718" s="189" t="n"/>
      <c r="V2718" s="189" t="n"/>
      <c r="W2718" s="189" t="n"/>
      <c r="X2718" s="195" t="n"/>
      <c r="Y2718" s="189" t="n"/>
      <c r="Z2718" s="195" t="n"/>
      <c r="AA2718" s="196" t="n"/>
      <c r="AB2718" s="196" t="n"/>
    </row>
    <row r="2719">
      <c r="A2719" s="188" t="n"/>
      <c r="B2719" s="189" t="n"/>
      <c r="C2719" s="190" t="n"/>
      <c r="D2719" s="189" t="n"/>
      <c r="E2719" s="189" t="n"/>
      <c r="F2719" s="189" t="n"/>
      <c r="G2719" s="190" t="n"/>
      <c r="H2719" s="190" t="n"/>
      <c r="I2719" s="191" t="n"/>
      <c r="J2719" s="190" t="n"/>
      <c r="K2719" s="190" t="n"/>
      <c r="L2719" s="190" t="n"/>
      <c r="M2719" s="192" t="n"/>
      <c r="N2719" s="189" t="n"/>
      <c r="O2719" s="193" t="n"/>
      <c r="P2719" s="192" t="n"/>
      <c r="Q2719" s="194" t="n"/>
      <c r="R2719" s="194" t="n"/>
      <c r="S2719" s="189" t="n"/>
      <c r="T2719" s="189" t="n"/>
      <c r="U2719" s="189" t="n"/>
      <c r="V2719" s="196" t="n"/>
      <c r="W2719" s="189" t="n"/>
      <c r="X2719" s="195" t="n"/>
      <c r="Y2719" s="189" t="n"/>
      <c r="Z2719" s="195" t="n"/>
      <c r="AA2719" s="196" t="n"/>
      <c r="AB2719" s="196" t="n"/>
    </row>
    <row r="2720">
      <c r="A2720" s="188" t="n"/>
      <c r="B2720" s="189" t="n"/>
      <c r="C2720" s="190" t="n"/>
      <c r="D2720" s="189" t="n"/>
      <c r="E2720" s="189" t="n"/>
      <c r="F2720" s="189" t="n"/>
      <c r="G2720" s="190" t="n"/>
      <c r="H2720" s="190" t="n"/>
      <c r="I2720" s="191" t="n"/>
      <c r="J2720" s="190" t="n"/>
      <c r="K2720" s="190" t="n"/>
      <c r="L2720" s="190" t="n"/>
      <c r="M2720" s="192" t="n"/>
      <c r="N2720" s="189" t="n"/>
      <c r="O2720" s="193" t="n"/>
      <c r="P2720" s="192" t="n"/>
      <c r="Q2720" s="194" t="n"/>
      <c r="R2720" s="194" t="n"/>
      <c r="S2720" s="189" t="n"/>
      <c r="T2720" s="189" t="n"/>
      <c r="U2720" s="189" t="n"/>
      <c r="V2720" s="196" t="n"/>
      <c r="W2720" s="189" t="n"/>
      <c r="X2720" s="195" t="n"/>
      <c r="Y2720" s="189" t="n"/>
      <c r="Z2720" s="195" t="n"/>
      <c r="AA2720" s="196" t="n"/>
      <c r="AB2720" s="196" t="n"/>
    </row>
    <row r="2721">
      <c r="A2721" s="188" t="n"/>
      <c r="B2721" s="189" t="n"/>
      <c r="C2721" s="190" t="n"/>
      <c r="D2721" s="189" t="n"/>
      <c r="E2721" s="189" t="n"/>
      <c r="F2721" s="189" t="n"/>
      <c r="G2721" s="190" t="n"/>
      <c r="H2721" s="190" t="n"/>
      <c r="I2721" s="191" t="n"/>
      <c r="J2721" s="190" t="n"/>
      <c r="K2721" s="190" t="n"/>
      <c r="L2721" s="190" t="n"/>
      <c r="M2721" s="192" t="n"/>
      <c r="N2721" s="189" t="n"/>
      <c r="O2721" s="193" t="n"/>
      <c r="P2721" s="192" t="n"/>
      <c r="Q2721" s="194" t="n"/>
      <c r="R2721" s="194" t="n"/>
      <c r="S2721" s="189" t="n"/>
      <c r="T2721" s="189" t="n"/>
      <c r="U2721" s="189" t="n"/>
      <c r="V2721" s="189" t="n"/>
      <c r="W2721" s="189" t="n"/>
      <c r="X2721" s="195" t="n"/>
      <c r="Y2721" s="189" t="n"/>
      <c r="Z2721" s="195" t="n"/>
      <c r="AA2721" s="196" t="n"/>
      <c r="AB2721" s="196" t="n"/>
    </row>
    <row r="2722">
      <c r="A2722" s="188" t="n"/>
      <c r="B2722" s="189" t="n"/>
      <c r="C2722" s="190" t="n"/>
      <c r="D2722" s="189" t="n"/>
      <c r="E2722" s="189" t="n"/>
      <c r="F2722" s="189" t="n"/>
      <c r="G2722" s="190" t="n"/>
      <c r="H2722" s="190" t="n"/>
      <c r="I2722" s="191" t="n"/>
      <c r="J2722" s="190" t="n"/>
      <c r="K2722" s="190" t="n"/>
      <c r="L2722" s="190" t="n"/>
      <c r="M2722" s="192" t="n"/>
      <c r="N2722" s="189" t="n"/>
      <c r="O2722" s="193" t="n"/>
      <c r="P2722" s="192" t="n"/>
      <c r="Q2722" s="194" t="n"/>
      <c r="R2722" s="194" t="n"/>
      <c r="S2722" s="189" t="n"/>
      <c r="T2722" s="189" t="n"/>
      <c r="U2722" s="198" t="n"/>
      <c r="V2722" s="198" t="n"/>
      <c r="W2722" s="189" t="n"/>
      <c r="X2722" s="195" t="n"/>
      <c r="Y2722" s="189" t="n"/>
      <c r="Z2722" s="195" t="n"/>
      <c r="AA2722" s="196" t="n"/>
      <c r="AB2722" s="196" t="n"/>
    </row>
    <row r="2723">
      <c r="A2723" s="188" t="n"/>
      <c r="B2723" s="189" t="n"/>
      <c r="C2723" s="190" t="n"/>
      <c r="D2723" s="189" t="n"/>
      <c r="E2723" s="189" t="n"/>
      <c r="F2723" s="189" t="n"/>
      <c r="G2723" s="190" t="n"/>
      <c r="H2723" s="190" t="n"/>
      <c r="I2723" s="191" t="n"/>
      <c r="J2723" s="190" t="n"/>
      <c r="K2723" s="190" t="n"/>
      <c r="L2723" s="190" t="n"/>
      <c r="M2723" s="192" t="n"/>
      <c r="N2723" s="189" t="n"/>
      <c r="O2723" s="193" t="n"/>
      <c r="P2723" s="192" t="n"/>
      <c r="Q2723" s="194" t="n"/>
      <c r="R2723" s="194" t="n"/>
      <c r="S2723" s="189" t="n"/>
      <c r="T2723" s="189" t="n"/>
      <c r="U2723" s="189" t="n"/>
      <c r="V2723" s="189" t="n"/>
      <c r="W2723" s="189" t="n"/>
      <c r="X2723" s="195" t="n"/>
      <c r="Y2723" s="189" t="n"/>
      <c r="Z2723" s="195" t="n"/>
      <c r="AA2723" s="196" t="n"/>
      <c r="AB2723" s="196" t="n"/>
    </row>
    <row r="2724">
      <c r="A2724" s="188" t="n"/>
      <c r="B2724" s="189" t="n"/>
      <c r="C2724" s="190" t="n"/>
      <c r="D2724" s="189" t="n"/>
      <c r="E2724" s="189" t="n"/>
      <c r="F2724" s="189" t="n"/>
      <c r="G2724" s="190" t="n"/>
      <c r="H2724" s="190" t="n"/>
      <c r="I2724" s="191" t="n"/>
      <c r="J2724" s="190" t="n"/>
      <c r="K2724" s="190" t="n"/>
      <c r="L2724" s="190" t="n"/>
      <c r="M2724" s="192" t="n"/>
      <c r="N2724" s="189" t="n"/>
      <c r="O2724" s="193" t="n"/>
      <c r="P2724" s="192" t="n"/>
      <c r="Q2724" s="194" t="n"/>
      <c r="R2724" s="194" t="n"/>
      <c r="S2724" s="189" t="n"/>
      <c r="T2724" s="189" t="n"/>
      <c r="U2724" s="198" t="n"/>
      <c r="V2724" s="198" t="n"/>
      <c r="W2724" s="189" t="n"/>
      <c r="X2724" s="195" t="n"/>
      <c r="Y2724" s="189" t="n"/>
      <c r="Z2724" s="195" t="n"/>
      <c r="AA2724" s="196" t="n"/>
      <c r="AB2724" s="196" t="n"/>
    </row>
    <row r="2725">
      <c r="A2725" s="188" t="n"/>
      <c r="B2725" s="189" t="n"/>
      <c r="C2725" s="190" t="n"/>
      <c r="D2725" s="189" t="n"/>
      <c r="E2725" s="189" t="n"/>
      <c r="F2725" s="189" t="n"/>
      <c r="G2725" s="190" t="n"/>
      <c r="H2725" s="190" t="n"/>
      <c r="I2725" s="191" t="n"/>
      <c r="J2725" s="190" t="n"/>
      <c r="K2725" s="190" t="n"/>
      <c r="L2725" s="190" t="n"/>
      <c r="M2725" s="192" t="n"/>
      <c r="N2725" s="197" t="n"/>
      <c r="O2725" s="193" t="n"/>
      <c r="P2725" s="192" t="n"/>
      <c r="Q2725" s="194" t="n"/>
      <c r="R2725" s="194" t="n"/>
      <c r="S2725" s="189" t="n"/>
      <c r="T2725" s="189" t="n"/>
      <c r="U2725" s="198" t="n"/>
      <c r="V2725" s="198" t="n"/>
      <c r="W2725" s="189" t="n"/>
      <c r="X2725" s="195" t="n"/>
      <c r="Y2725" s="189" t="n"/>
      <c r="Z2725" s="195" t="n"/>
      <c r="AA2725" s="196" t="n"/>
      <c r="AB2725" s="196" t="n"/>
    </row>
    <row r="2726">
      <c r="A2726" s="188" t="n"/>
      <c r="B2726" s="189" t="n"/>
      <c r="C2726" s="190" t="n"/>
      <c r="D2726" s="189" t="n"/>
      <c r="E2726" s="189" t="n"/>
      <c r="F2726" s="189" t="n"/>
      <c r="G2726" s="190" t="n"/>
      <c r="H2726" s="190" t="n"/>
      <c r="I2726" s="191" t="n"/>
      <c r="J2726" s="190" t="n"/>
      <c r="K2726" s="190" t="n"/>
      <c r="L2726" s="190" t="n"/>
      <c r="M2726" s="192" t="n"/>
      <c r="N2726" s="189" t="n"/>
      <c r="O2726" s="193" t="n"/>
      <c r="P2726" s="192" t="n"/>
      <c r="Q2726" s="194" t="n"/>
      <c r="R2726" s="194" t="n"/>
      <c r="S2726" s="189" t="n"/>
      <c r="T2726" s="189" t="n"/>
      <c r="U2726" s="198" t="n"/>
      <c r="V2726" s="198" t="n"/>
      <c r="W2726" s="189" t="n"/>
      <c r="X2726" s="195" t="n"/>
      <c r="Y2726" s="189" t="n"/>
      <c r="Z2726" s="195" t="n"/>
      <c r="AA2726" s="196" t="n"/>
      <c r="AB2726" s="196" t="n"/>
    </row>
    <row r="2727">
      <c r="A2727" s="188" t="n"/>
      <c r="B2727" s="189" t="n"/>
      <c r="C2727" s="190" t="n"/>
      <c r="D2727" s="189" t="n"/>
      <c r="E2727" s="189" t="n"/>
      <c r="F2727" s="189" t="n"/>
      <c r="G2727" s="190" t="n"/>
      <c r="H2727" s="190" t="n"/>
      <c r="I2727" s="191" t="n"/>
      <c r="J2727" s="190" t="n"/>
      <c r="K2727" s="190" t="n"/>
      <c r="L2727" s="190" t="n"/>
      <c r="M2727" s="192" t="n"/>
      <c r="N2727" s="189" t="n"/>
      <c r="O2727" s="193" t="n"/>
      <c r="P2727" s="192" t="n"/>
      <c r="Q2727" s="194" t="n"/>
      <c r="R2727" s="194" t="n"/>
      <c r="S2727" s="189" t="n"/>
      <c r="T2727" s="189" t="n"/>
      <c r="U2727" s="189" t="n"/>
      <c r="V2727" s="189" t="n"/>
      <c r="W2727" s="189" t="n"/>
      <c r="X2727" s="195" t="n"/>
      <c r="Y2727" s="189" t="n"/>
      <c r="Z2727" s="195" t="n"/>
      <c r="AA2727" s="196" t="n"/>
      <c r="AB2727" s="196" t="n"/>
    </row>
    <row r="2728">
      <c r="A2728" s="188" t="n"/>
      <c r="B2728" s="189" t="n"/>
      <c r="C2728" s="190" t="n"/>
      <c r="D2728" s="189" t="n"/>
      <c r="E2728" s="189" t="n"/>
      <c r="F2728" s="189" t="n"/>
      <c r="G2728" s="190" t="n"/>
      <c r="H2728" s="190" t="n"/>
      <c r="I2728" s="191" t="n"/>
      <c r="J2728" s="190" t="n"/>
      <c r="K2728" s="190" t="n"/>
      <c r="L2728" s="190" t="n"/>
      <c r="M2728" s="192" t="n"/>
      <c r="N2728" s="197" t="n"/>
      <c r="O2728" s="193" t="n"/>
      <c r="P2728" s="192" t="n"/>
      <c r="Q2728" s="194" t="n"/>
      <c r="R2728" s="194" t="n"/>
      <c r="S2728" s="189" t="n"/>
      <c r="T2728" s="189" t="n"/>
      <c r="U2728" s="198" t="n"/>
      <c r="V2728" s="198" t="n"/>
      <c r="W2728" s="189" t="n"/>
      <c r="X2728" s="195" t="n"/>
      <c r="Y2728" s="189" t="n"/>
      <c r="Z2728" s="195" t="n"/>
      <c r="AA2728" s="196" t="n"/>
      <c r="AB2728" s="196" t="n"/>
    </row>
    <row r="2729">
      <c r="A2729" s="188" t="n"/>
      <c r="B2729" s="189" t="n"/>
      <c r="C2729" s="190" t="n"/>
      <c r="D2729" s="189" t="n"/>
      <c r="E2729" s="189" t="n"/>
      <c r="F2729" s="189" t="n"/>
      <c r="G2729" s="190" t="n"/>
      <c r="H2729" s="190" t="n"/>
      <c r="I2729" s="191" t="n"/>
      <c r="J2729" s="190" t="n"/>
      <c r="K2729" s="190" t="n"/>
      <c r="L2729" s="190" t="n"/>
      <c r="M2729" s="192" t="n"/>
      <c r="N2729" s="197" t="n"/>
      <c r="O2729" s="193" t="n"/>
      <c r="P2729" s="192" t="n"/>
      <c r="Q2729" s="194" t="n"/>
      <c r="R2729" s="194" t="n"/>
      <c r="S2729" s="189" t="n"/>
      <c r="T2729" s="189" t="n"/>
      <c r="U2729" s="198" t="n"/>
      <c r="V2729" s="198" t="n"/>
      <c r="W2729" s="189" t="n"/>
      <c r="X2729" s="195" t="n"/>
      <c r="Y2729" s="189" t="n"/>
      <c r="Z2729" s="195" t="n"/>
      <c r="AA2729" s="196" t="n"/>
      <c r="AB2729" s="196" t="n"/>
    </row>
    <row r="2730">
      <c r="A2730" s="188" t="n"/>
      <c r="B2730" s="189" t="n"/>
      <c r="C2730" s="190" t="n"/>
      <c r="D2730" s="189" t="n"/>
      <c r="E2730" s="189" t="n"/>
      <c r="F2730" s="189" t="n"/>
      <c r="G2730" s="190" t="n"/>
      <c r="H2730" s="190" t="n"/>
      <c r="I2730" s="191" t="n"/>
      <c r="J2730" s="190" t="n"/>
      <c r="K2730" s="190" t="n"/>
      <c r="L2730" s="190" t="n"/>
      <c r="M2730" s="192" t="n"/>
      <c r="N2730" s="189" t="n"/>
      <c r="O2730" s="193" t="n"/>
      <c r="P2730" s="192" t="n"/>
      <c r="Q2730" s="194" t="n"/>
      <c r="R2730" s="194" t="n"/>
      <c r="S2730" s="189" t="n"/>
      <c r="T2730" s="189" t="n"/>
      <c r="U2730" s="189" t="n"/>
      <c r="V2730" s="189" t="n"/>
      <c r="W2730" s="189" t="n"/>
      <c r="X2730" s="195" t="n"/>
      <c r="Y2730" s="189" t="n"/>
      <c r="Z2730" s="195" t="n"/>
      <c r="AA2730" s="196" t="n"/>
      <c r="AB2730" s="196" t="n"/>
    </row>
    <row r="2731">
      <c r="A2731" s="188" t="n"/>
      <c r="B2731" s="189" t="n"/>
      <c r="C2731" s="190" t="n"/>
      <c r="D2731" s="189" t="n"/>
      <c r="E2731" s="189" t="n"/>
      <c r="F2731" s="189" t="n"/>
      <c r="G2731" s="190" t="n"/>
      <c r="H2731" s="190" t="n"/>
      <c r="I2731" s="191" t="n"/>
      <c r="J2731" s="190" t="n"/>
      <c r="K2731" s="190" t="n"/>
      <c r="L2731" s="190" t="n"/>
      <c r="M2731" s="192" t="n"/>
      <c r="N2731" s="197" t="n"/>
      <c r="O2731" s="193" t="n"/>
      <c r="P2731" s="192" t="n"/>
      <c r="Q2731" s="194" t="n"/>
      <c r="R2731" s="194" t="n"/>
      <c r="S2731" s="189" t="n"/>
      <c r="T2731" s="189" t="n"/>
      <c r="U2731" s="198" t="n"/>
      <c r="V2731" s="198" t="n"/>
      <c r="W2731" s="189" t="n"/>
      <c r="X2731" s="195" t="n"/>
      <c r="Y2731" s="189" t="n"/>
      <c r="Z2731" s="195" t="n"/>
      <c r="AA2731" s="196" t="n"/>
      <c r="AB2731" s="196" t="n"/>
    </row>
    <row r="2732">
      <c r="A2732" s="188" t="n"/>
      <c r="B2732" s="189" t="n"/>
      <c r="C2732" s="190" t="n"/>
      <c r="D2732" s="189" t="n"/>
      <c r="E2732" s="189" t="n"/>
      <c r="F2732" s="189" t="n"/>
      <c r="G2732" s="190" t="n"/>
      <c r="H2732" s="190" t="n"/>
      <c r="I2732" s="191" t="n"/>
      <c r="J2732" s="190" t="n"/>
      <c r="K2732" s="190" t="n"/>
      <c r="L2732" s="190" t="n"/>
      <c r="M2732" s="192" t="n"/>
      <c r="N2732" s="189" t="n"/>
      <c r="O2732" s="193" t="n"/>
      <c r="P2732" s="192" t="n"/>
      <c r="Q2732" s="194" t="n"/>
      <c r="R2732" s="194" t="n"/>
      <c r="S2732" s="189" t="n"/>
      <c r="T2732" s="189" t="n"/>
      <c r="U2732" s="198" t="n"/>
      <c r="V2732" s="198" t="n"/>
      <c r="W2732" s="189" t="n"/>
      <c r="X2732" s="195" t="n"/>
      <c r="Y2732" s="189" t="n"/>
      <c r="Z2732" s="195" t="n"/>
      <c r="AA2732" s="196" t="n"/>
      <c r="AB2732" s="196" t="n"/>
    </row>
    <row r="2733">
      <c r="A2733" s="188" t="n"/>
      <c r="B2733" s="189" t="n"/>
      <c r="C2733" s="190" t="n"/>
      <c r="D2733" s="189" t="n"/>
      <c r="E2733" s="189" t="n"/>
      <c r="F2733" s="189" t="n"/>
      <c r="G2733" s="190" t="n"/>
      <c r="H2733" s="190" t="n"/>
      <c r="I2733" s="191" t="n"/>
      <c r="J2733" s="190" t="n"/>
      <c r="K2733" s="190" t="n"/>
      <c r="L2733" s="190" t="n"/>
      <c r="M2733" s="192" t="n"/>
      <c r="N2733" s="189" t="n"/>
      <c r="O2733" s="193" t="n"/>
      <c r="P2733" s="192" t="n"/>
      <c r="Q2733" s="194" t="n"/>
      <c r="R2733" s="194" t="n"/>
      <c r="S2733" s="189" t="n"/>
      <c r="T2733" s="189" t="n"/>
      <c r="U2733" s="198" t="n"/>
      <c r="V2733" s="198" t="n"/>
      <c r="W2733" s="189" t="n"/>
      <c r="X2733" s="195" t="n"/>
      <c r="Y2733" s="189" t="n"/>
      <c r="Z2733" s="195" t="n"/>
      <c r="AA2733" s="196" t="n"/>
      <c r="AB2733" s="196" t="n"/>
    </row>
    <row r="2734">
      <c r="A2734" s="188" t="n"/>
      <c r="B2734" s="189" t="n"/>
      <c r="C2734" s="190" t="n"/>
      <c r="D2734" s="189" t="n"/>
      <c r="E2734" s="189" t="n"/>
      <c r="F2734" s="189" t="n"/>
      <c r="G2734" s="190" t="n"/>
      <c r="H2734" s="190" t="n"/>
      <c r="I2734" s="191" t="n"/>
      <c r="J2734" s="190" t="n"/>
      <c r="K2734" s="190" t="n"/>
      <c r="L2734" s="190" t="n"/>
      <c r="M2734" s="192" t="n"/>
      <c r="N2734" s="189" t="n"/>
      <c r="O2734" s="193" t="n"/>
      <c r="P2734" s="192" t="n"/>
      <c r="Q2734" s="194" t="n"/>
      <c r="R2734" s="194" t="n"/>
      <c r="S2734" s="189" t="n"/>
      <c r="T2734" s="189" t="n"/>
      <c r="U2734" s="198" t="n"/>
      <c r="V2734" s="198" t="n"/>
      <c r="W2734" s="189" t="n"/>
      <c r="X2734" s="195" t="n"/>
      <c r="Y2734" s="189" t="n"/>
      <c r="Z2734" s="195" t="n"/>
      <c r="AA2734" s="196" t="n"/>
      <c r="AB2734" s="196" t="n"/>
    </row>
    <row r="2735">
      <c r="A2735" s="188" t="n"/>
      <c r="B2735" s="189" t="n"/>
      <c r="C2735" s="190" t="n"/>
      <c r="D2735" s="189" t="n"/>
      <c r="E2735" s="189" t="n"/>
      <c r="F2735" s="189" t="n"/>
      <c r="G2735" s="190" t="n"/>
      <c r="H2735" s="190" t="n"/>
      <c r="I2735" s="191" t="n"/>
      <c r="J2735" s="190" t="n"/>
      <c r="K2735" s="190" t="n"/>
      <c r="L2735" s="190" t="n"/>
      <c r="M2735" s="192" t="n"/>
      <c r="N2735" s="189" t="n"/>
      <c r="O2735" s="193" t="n"/>
      <c r="P2735" s="192" t="n"/>
      <c r="Q2735" s="194" t="n"/>
      <c r="R2735" s="194" t="n"/>
      <c r="S2735" s="189" t="n"/>
      <c r="T2735" s="189" t="n"/>
      <c r="U2735" s="198" t="n"/>
      <c r="V2735" s="198" t="n"/>
      <c r="W2735" s="189" t="n"/>
      <c r="X2735" s="195" t="n"/>
      <c r="Y2735" s="189" t="n"/>
      <c r="Z2735" s="195" t="n"/>
      <c r="AA2735" s="196" t="n"/>
      <c r="AB2735" s="196" t="n"/>
    </row>
    <row r="2736">
      <c r="A2736" s="188" t="n"/>
      <c r="B2736" s="189" t="n"/>
      <c r="C2736" s="190" t="n"/>
      <c r="D2736" s="189" t="n"/>
      <c r="E2736" s="189" t="n"/>
      <c r="F2736" s="189" t="n"/>
      <c r="G2736" s="190" t="n"/>
      <c r="H2736" s="190" t="n"/>
      <c r="I2736" s="191" t="n"/>
      <c r="J2736" s="190" t="n"/>
      <c r="K2736" s="190" t="n"/>
      <c r="L2736" s="190" t="n"/>
      <c r="M2736" s="192" t="n"/>
      <c r="N2736" s="189" t="n"/>
      <c r="O2736" s="193" t="n"/>
      <c r="P2736" s="192" t="n"/>
      <c r="Q2736" s="194" t="n"/>
      <c r="R2736" s="194" t="n"/>
      <c r="S2736" s="189" t="n"/>
      <c r="T2736" s="189" t="n"/>
      <c r="U2736" s="198" t="n"/>
      <c r="V2736" s="198" t="n"/>
      <c r="W2736" s="189" t="n"/>
      <c r="X2736" s="195" t="n"/>
      <c r="Y2736" s="189" t="n"/>
      <c r="Z2736" s="195" t="n"/>
      <c r="AA2736" s="196" t="n"/>
      <c r="AB2736" s="196" t="n"/>
    </row>
    <row r="2737">
      <c r="A2737" s="188" t="n"/>
      <c r="B2737" s="189" t="n"/>
      <c r="C2737" s="190" t="n"/>
      <c r="D2737" s="189" t="n"/>
      <c r="E2737" s="189" t="n"/>
      <c r="F2737" s="189" t="n"/>
      <c r="G2737" s="190" t="n"/>
      <c r="H2737" s="190" t="n"/>
      <c r="I2737" s="191" t="n"/>
      <c r="J2737" s="190" t="n"/>
      <c r="K2737" s="190" t="n"/>
      <c r="L2737" s="190" t="n"/>
      <c r="M2737" s="192" t="n"/>
      <c r="N2737" s="189" t="n"/>
      <c r="O2737" s="193" t="n"/>
      <c r="P2737" s="192" t="n"/>
      <c r="Q2737" s="194" t="n"/>
      <c r="R2737" s="194" t="n"/>
      <c r="S2737" s="189" t="n"/>
      <c r="T2737" s="189" t="n"/>
      <c r="U2737" s="198" t="n"/>
      <c r="V2737" s="198" t="n"/>
      <c r="W2737" s="189" t="n"/>
      <c r="X2737" s="195" t="n"/>
      <c r="Y2737" s="189" t="n"/>
      <c r="Z2737" s="195" t="n"/>
      <c r="AA2737" s="196" t="n"/>
      <c r="AB2737" s="196" t="n"/>
    </row>
    <row r="2738">
      <c r="A2738" s="188" t="n"/>
      <c r="B2738" s="189" t="n"/>
      <c r="C2738" s="190" t="n"/>
      <c r="D2738" s="189" t="n"/>
      <c r="E2738" s="189" t="n"/>
      <c r="F2738" s="189" t="n"/>
      <c r="G2738" s="190" t="n"/>
      <c r="H2738" s="190" t="n"/>
      <c r="I2738" s="191" t="n"/>
      <c r="J2738" s="190" t="n"/>
      <c r="K2738" s="190" t="n"/>
      <c r="L2738" s="190" t="n"/>
      <c r="M2738" s="192" t="n"/>
      <c r="N2738" s="189" t="n"/>
      <c r="O2738" s="193" t="n"/>
      <c r="P2738" s="192" t="n"/>
      <c r="Q2738" s="194" t="n"/>
      <c r="R2738" s="194" t="n"/>
      <c r="S2738" s="189" t="n"/>
      <c r="T2738" s="189" t="n"/>
      <c r="U2738" s="198" t="n"/>
      <c r="V2738" s="198" t="n"/>
      <c r="W2738" s="189" t="n"/>
      <c r="X2738" s="195" t="n"/>
      <c r="Y2738" s="189" t="n"/>
      <c r="Z2738" s="195" t="n"/>
      <c r="AA2738" s="196" t="n"/>
      <c r="AB2738" s="196" t="n"/>
    </row>
    <row r="2739">
      <c r="A2739" s="188" t="n"/>
      <c r="B2739" s="189" t="n"/>
      <c r="C2739" s="190" t="n"/>
      <c r="D2739" s="189" t="n"/>
      <c r="E2739" s="189" t="n"/>
      <c r="F2739" s="189" t="n"/>
      <c r="G2739" s="190" t="n"/>
      <c r="H2739" s="190" t="n"/>
      <c r="I2739" s="191" t="n"/>
      <c r="J2739" s="190" t="n"/>
      <c r="K2739" s="190" t="n"/>
      <c r="L2739" s="190" t="n"/>
      <c r="M2739" s="192" t="n"/>
      <c r="N2739" s="189" t="n"/>
      <c r="O2739" s="193" t="n"/>
      <c r="P2739" s="192" t="n"/>
      <c r="Q2739" s="194" t="n"/>
      <c r="R2739" s="194" t="n"/>
      <c r="S2739" s="189" t="n"/>
      <c r="T2739" s="189" t="n"/>
      <c r="U2739" s="198" t="n"/>
      <c r="V2739" s="198" t="n"/>
      <c r="W2739" s="189" t="n"/>
      <c r="X2739" s="195" t="n"/>
      <c r="Y2739" s="189" t="n"/>
      <c r="Z2739" s="195" t="n"/>
      <c r="AA2739" s="196" t="n"/>
      <c r="AB2739" s="196" t="n"/>
    </row>
    <row r="2740">
      <c r="A2740" s="188" t="n"/>
      <c r="B2740" s="189" t="n"/>
      <c r="C2740" s="190" t="n"/>
      <c r="D2740" s="189" t="n"/>
      <c r="E2740" s="189" t="n"/>
      <c r="F2740" s="189" t="n"/>
      <c r="G2740" s="190" t="n"/>
      <c r="H2740" s="190" t="n"/>
      <c r="I2740" s="191" t="n"/>
      <c r="J2740" s="190" t="n"/>
      <c r="K2740" s="190" t="n"/>
      <c r="L2740" s="190" t="n"/>
      <c r="M2740" s="192" t="n"/>
      <c r="N2740" s="189" t="n"/>
      <c r="O2740" s="193" t="n"/>
      <c r="P2740" s="192" t="n"/>
      <c r="Q2740" s="194" t="n"/>
      <c r="R2740" s="194" t="n"/>
      <c r="S2740" s="189" t="n"/>
      <c r="T2740" s="189" t="n"/>
      <c r="U2740" s="198" t="n"/>
      <c r="V2740" s="198" t="n"/>
      <c r="W2740" s="189" t="n"/>
      <c r="X2740" s="195" t="n"/>
      <c r="Y2740" s="189" t="n"/>
      <c r="Z2740" s="195" t="n"/>
      <c r="AA2740" s="196" t="n"/>
      <c r="AB2740" s="196" t="n"/>
    </row>
    <row r="2741">
      <c r="A2741" s="188" t="n"/>
      <c r="B2741" s="189" t="n"/>
      <c r="C2741" s="190" t="n"/>
      <c r="D2741" s="189" t="n"/>
      <c r="E2741" s="189" t="n"/>
      <c r="F2741" s="189" t="n"/>
      <c r="G2741" s="190" t="n"/>
      <c r="H2741" s="190" t="n"/>
      <c r="I2741" s="191" t="n"/>
      <c r="J2741" s="190" t="n"/>
      <c r="K2741" s="190" t="n"/>
      <c r="L2741" s="190" t="n"/>
      <c r="M2741" s="192" t="n"/>
      <c r="N2741" s="189" t="n"/>
      <c r="O2741" s="193" t="n"/>
      <c r="P2741" s="192" t="n"/>
      <c r="Q2741" s="194" t="n"/>
      <c r="R2741" s="194" t="n"/>
      <c r="S2741" s="189" t="n"/>
      <c r="T2741" s="189" t="n"/>
      <c r="U2741" s="198" t="n"/>
      <c r="V2741" s="198" t="n"/>
      <c r="W2741" s="189" t="n"/>
      <c r="X2741" s="195" t="n"/>
      <c r="Y2741" s="189" t="n"/>
      <c r="Z2741" s="195" t="n"/>
      <c r="AA2741" s="196" t="n"/>
      <c r="AB2741" s="196" t="n"/>
    </row>
    <row r="2742">
      <c r="A2742" s="188" t="n"/>
      <c r="B2742" s="189" t="n"/>
      <c r="C2742" s="190" t="n"/>
      <c r="D2742" s="189" t="n"/>
      <c r="E2742" s="189" t="n"/>
      <c r="F2742" s="189" t="n"/>
      <c r="G2742" s="190" t="n"/>
      <c r="H2742" s="190" t="n"/>
      <c r="I2742" s="191" t="n"/>
      <c r="J2742" s="190" t="n"/>
      <c r="K2742" s="190" t="n"/>
      <c r="L2742" s="190" t="n"/>
      <c r="M2742" s="192" t="n"/>
      <c r="N2742" s="189" t="n"/>
      <c r="O2742" s="193" t="n"/>
      <c r="P2742" s="192" t="n"/>
      <c r="Q2742" s="194" t="n"/>
      <c r="R2742" s="194" t="n"/>
      <c r="S2742" s="189" t="n"/>
      <c r="T2742" s="189" t="n"/>
      <c r="U2742" s="198" t="n"/>
      <c r="V2742" s="198" t="n"/>
      <c r="W2742" s="189" t="n"/>
      <c r="X2742" s="195" t="n"/>
      <c r="Y2742" s="189" t="n"/>
      <c r="Z2742" s="195" t="n"/>
      <c r="AA2742" s="196" t="n"/>
      <c r="AB2742" s="196" t="n"/>
    </row>
    <row r="2743">
      <c r="A2743" s="188" t="n"/>
      <c r="B2743" s="189" t="n"/>
      <c r="C2743" s="190" t="n"/>
      <c r="D2743" s="189" t="n"/>
      <c r="E2743" s="189" t="n"/>
      <c r="F2743" s="189" t="n"/>
      <c r="G2743" s="190" t="n"/>
      <c r="H2743" s="190" t="n"/>
      <c r="I2743" s="191" t="n"/>
      <c r="J2743" s="190" t="n"/>
      <c r="K2743" s="190" t="n"/>
      <c r="L2743" s="190" t="n"/>
      <c r="M2743" s="192" t="n"/>
      <c r="N2743" s="189" t="n"/>
      <c r="O2743" s="193" t="n"/>
      <c r="P2743" s="192" t="n"/>
      <c r="Q2743" s="194" t="n"/>
      <c r="R2743" s="194" t="n"/>
      <c r="S2743" s="189" t="n"/>
      <c r="T2743" s="189" t="n"/>
      <c r="U2743" s="198" t="n"/>
      <c r="V2743" s="198" t="n"/>
      <c r="W2743" s="189" t="n"/>
      <c r="X2743" s="195" t="n"/>
      <c r="Y2743" s="189" t="n"/>
      <c r="Z2743" s="195" t="n"/>
      <c r="AA2743" s="196" t="n"/>
      <c r="AB2743" s="196" t="n"/>
    </row>
    <row r="2744">
      <c r="A2744" s="188" t="n"/>
      <c r="B2744" s="189" t="n"/>
      <c r="C2744" s="190" t="n"/>
      <c r="D2744" s="189" t="n"/>
      <c r="E2744" s="189" t="n"/>
      <c r="F2744" s="189" t="n"/>
      <c r="G2744" s="190" t="n"/>
      <c r="H2744" s="190" t="n"/>
      <c r="I2744" s="191" t="n"/>
      <c r="J2744" s="190" t="n"/>
      <c r="K2744" s="190" t="n"/>
      <c r="L2744" s="190" t="n"/>
      <c r="M2744" s="192" t="n"/>
      <c r="N2744" s="189" t="n"/>
      <c r="O2744" s="193" t="n"/>
      <c r="P2744" s="192" t="n"/>
      <c r="Q2744" s="194" t="n"/>
      <c r="R2744" s="194" t="n"/>
      <c r="S2744" s="189" t="n"/>
      <c r="T2744" s="189" t="n"/>
      <c r="U2744" s="198" t="n"/>
      <c r="V2744" s="198" t="n"/>
      <c r="W2744" s="189" t="n"/>
      <c r="X2744" s="195" t="n"/>
      <c r="Y2744" s="189" t="n"/>
      <c r="Z2744" s="195" t="n"/>
      <c r="AA2744" s="196" t="n"/>
      <c r="AB2744" s="196" t="n"/>
    </row>
    <row r="2745">
      <c r="A2745" s="188" t="n"/>
      <c r="B2745" s="189" t="n"/>
      <c r="C2745" s="190" t="n"/>
      <c r="D2745" s="189" t="n"/>
      <c r="E2745" s="189" t="n"/>
      <c r="F2745" s="189" t="n"/>
      <c r="G2745" s="190" t="n"/>
      <c r="H2745" s="190" t="n"/>
      <c r="I2745" s="191" t="n"/>
      <c r="J2745" s="190" t="n"/>
      <c r="K2745" s="190" t="n"/>
      <c r="L2745" s="190" t="n"/>
      <c r="M2745" s="192" t="n"/>
      <c r="N2745" s="189" t="n"/>
      <c r="O2745" s="193" t="n"/>
      <c r="P2745" s="192" t="n"/>
      <c r="Q2745" s="194" t="n"/>
      <c r="R2745" s="194" t="n"/>
      <c r="S2745" s="189" t="n"/>
      <c r="T2745" s="189" t="n"/>
      <c r="U2745" s="198" t="n"/>
      <c r="V2745" s="198" t="n"/>
      <c r="W2745" s="189" t="n"/>
      <c r="X2745" s="195" t="n"/>
      <c r="Y2745" s="189" t="n"/>
      <c r="Z2745" s="195" t="n"/>
      <c r="AA2745" s="196" t="n"/>
      <c r="AB2745" s="196" t="n"/>
    </row>
    <row r="2746">
      <c r="A2746" s="188" t="n"/>
      <c r="B2746" s="189" t="n"/>
      <c r="C2746" s="190" t="n"/>
      <c r="D2746" s="189" t="n"/>
      <c r="E2746" s="189" t="n"/>
      <c r="F2746" s="189" t="n"/>
      <c r="G2746" s="190" t="n"/>
      <c r="H2746" s="190" t="n"/>
      <c r="I2746" s="191" t="n"/>
      <c r="J2746" s="190" t="n"/>
      <c r="K2746" s="190" t="n"/>
      <c r="L2746" s="190" t="n"/>
      <c r="M2746" s="192" t="n"/>
      <c r="N2746" s="189" t="n"/>
      <c r="O2746" s="193" t="n"/>
      <c r="P2746" s="189" t="n"/>
      <c r="Q2746" s="194" t="n"/>
      <c r="R2746" s="194" t="n"/>
      <c r="S2746" s="189" t="n"/>
      <c r="T2746" s="189" t="n"/>
      <c r="U2746" s="198" t="n"/>
      <c r="V2746" s="198" t="n"/>
      <c r="W2746" s="189" t="n"/>
      <c r="X2746" s="195" t="n"/>
      <c r="Y2746" s="189" t="n"/>
      <c r="Z2746" s="195" t="n"/>
      <c r="AA2746" s="196" t="n"/>
      <c r="AB2746" s="196" t="n"/>
    </row>
    <row r="2747">
      <c r="A2747" s="188" t="n"/>
      <c r="B2747" s="189" t="n"/>
      <c r="C2747" s="190" t="n"/>
      <c r="D2747" s="189" t="n"/>
      <c r="E2747" s="189" t="n"/>
      <c r="F2747" s="189" t="n"/>
      <c r="G2747" s="190" t="n"/>
      <c r="H2747" s="190" t="n"/>
      <c r="I2747" s="191" t="n"/>
      <c r="J2747" s="190" t="n"/>
      <c r="K2747" s="190" t="n"/>
      <c r="L2747" s="190" t="n"/>
      <c r="M2747" s="192" t="n"/>
      <c r="N2747" s="189" t="n"/>
      <c r="O2747" s="193" t="n"/>
      <c r="P2747" s="192" t="n"/>
      <c r="Q2747" s="194" t="n"/>
      <c r="R2747" s="194" t="n"/>
      <c r="S2747" s="189" t="n"/>
      <c r="T2747" s="189" t="n"/>
      <c r="U2747" s="198" t="n"/>
      <c r="V2747" s="198" t="n"/>
      <c r="W2747" s="189" t="n"/>
      <c r="X2747" s="195" t="n"/>
      <c r="Y2747" s="189" t="n"/>
      <c r="Z2747" s="195" t="n"/>
      <c r="AA2747" s="196" t="n"/>
      <c r="AB2747" s="196" t="n"/>
    </row>
    <row r="2748">
      <c r="A2748" s="188" t="n"/>
      <c r="B2748" s="189" t="n"/>
      <c r="C2748" s="190" t="n"/>
      <c r="D2748" s="189" t="n"/>
      <c r="E2748" s="189" t="n"/>
      <c r="F2748" s="189" t="n"/>
      <c r="G2748" s="190" t="n"/>
      <c r="H2748" s="190" t="n"/>
      <c r="I2748" s="191" t="n"/>
      <c r="J2748" s="190" t="n"/>
      <c r="K2748" s="190" t="n"/>
      <c r="L2748" s="190" t="n"/>
      <c r="M2748" s="192" t="n"/>
      <c r="N2748" s="189" t="n"/>
      <c r="O2748" s="193" t="n"/>
      <c r="P2748" s="192" t="n"/>
      <c r="Q2748" s="194" t="n"/>
      <c r="R2748" s="194" t="n"/>
      <c r="S2748" s="189" t="n"/>
      <c r="T2748" s="189" t="n"/>
      <c r="U2748" s="198" t="n"/>
      <c r="V2748" s="198" t="n"/>
      <c r="W2748" s="189" t="n"/>
      <c r="X2748" s="195" t="n"/>
      <c r="Y2748" s="189" t="n"/>
      <c r="Z2748" s="195" t="n"/>
      <c r="AA2748" s="196" t="n"/>
      <c r="AB2748" s="196" t="n"/>
    </row>
    <row r="2749">
      <c r="A2749" s="188" t="n"/>
      <c r="B2749" s="189" t="n"/>
      <c r="C2749" s="190" t="n"/>
      <c r="D2749" s="189" t="n"/>
      <c r="E2749" s="189" t="n"/>
      <c r="F2749" s="189" t="n"/>
      <c r="G2749" s="190" t="n"/>
      <c r="H2749" s="190" t="n"/>
      <c r="I2749" s="191" t="n"/>
      <c r="J2749" s="190" t="n"/>
      <c r="K2749" s="190" t="n"/>
      <c r="L2749" s="190" t="n"/>
      <c r="M2749" s="192" t="n"/>
      <c r="N2749" s="189" t="n"/>
      <c r="O2749" s="193" t="n"/>
      <c r="P2749" s="192" t="n"/>
      <c r="Q2749" s="194" t="n"/>
      <c r="R2749" s="194" t="n"/>
      <c r="S2749" s="189" t="n"/>
      <c r="T2749" s="189" t="n"/>
      <c r="U2749" s="198" t="n"/>
      <c r="V2749" s="198" t="n"/>
      <c r="W2749" s="189" t="n"/>
      <c r="X2749" s="195" t="n"/>
      <c r="Y2749" s="189" t="n"/>
      <c r="Z2749" s="195" t="n"/>
      <c r="AA2749" s="196" t="n"/>
      <c r="AB2749" s="196" t="n"/>
    </row>
    <row r="2750">
      <c r="A2750" s="188" t="n"/>
      <c r="B2750" s="189" t="n"/>
      <c r="C2750" s="190" t="n"/>
      <c r="D2750" s="189" t="n"/>
      <c r="E2750" s="189" t="n"/>
      <c r="F2750" s="189" t="n"/>
      <c r="G2750" s="190" t="n"/>
      <c r="H2750" s="190" t="n"/>
      <c r="I2750" s="191" t="n"/>
      <c r="J2750" s="190" t="n"/>
      <c r="K2750" s="190" t="n"/>
      <c r="L2750" s="190" t="n"/>
      <c r="M2750" s="192" t="n"/>
      <c r="N2750" s="189" t="n"/>
      <c r="O2750" s="193" t="n"/>
      <c r="P2750" s="192" t="n"/>
      <c r="Q2750" s="194" t="n"/>
      <c r="R2750" s="194" t="n"/>
      <c r="S2750" s="189" t="n"/>
      <c r="T2750" s="189" t="n"/>
      <c r="U2750" s="198" t="n"/>
      <c r="V2750" s="198" t="n"/>
      <c r="W2750" s="189" t="n"/>
      <c r="X2750" s="195" t="n"/>
      <c r="Y2750" s="189" t="n"/>
      <c r="Z2750" s="195" t="n"/>
      <c r="AA2750" s="196" t="n"/>
      <c r="AB2750" s="196" t="n"/>
    </row>
    <row r="2751">
      <c r="A2751" s="188" t="n"/>
      <c r="B2751" s="189" t="n"/>
      <c r="C2751" s="190" t="n"/>
      <c r="D2751" s="189" t="n"/>
      <c r="E2751" s="189" t="n"/>
      <c r="F2751" s="189" t="n"/>
      <c r="G2751" s="190" t="n"/>
      <c r="H2751" s="190" t="n"/>
      <c r="I2751" s="191" t="n"/>
      <c r="J2751" s="190" t="n"/>
      <c r="K2751" s="190" t="n"/>
      <c r="L2751" s="190" t="n"/>
      <c r="M2751" s="192" t="n"/>
      <c r="N2751" s="189" t="n"/>
      <c r="O2751" s="193" t="n"/>
      <c r="P2751" s="192" t="n"/>
      <c r="Q2751" s="194" t="n"/>
      <c r="R2751" s="194" t="n"/>
      <c r="S2751" s="189" t="n"/>
      <c r="T2751" s="189" t="n"/>
      <c r="U2751" s="189" t="n"/>
      <c r="V2751" s="189" t="n"/>
      <c r="W2751" s="189" t="n"/>
      <c r="X2751" s="195" t="n"/>
      <c r="Y2751" s="189" t="n"/>
      <c r="Z2751" s="195" t="n"/>
      <c r="AA2751" s="196" t="n"/>
      <c r="AB2751" s="196" t="n"/>
    </row>
    <row r="2752">
      <c r="A2752" s="188" t="n"/>
      <c r="B2752" s="189" t="n"/>
      <c r="C2752" s="190" t="n"/>
      <c r="D2752" s="189" t="n"/>
      <c r="E2752" s="189" t="n"/>
      <c r="F2752" s="189" t="n"/>
      <c r="G2752" s="190" t="n"/>
      <c r="H2752" s="190" t="n"/>
      <c r="I2752" s="191" t="n"/>
      <c r="J2752" s="190" t="n"/>
      <c r="K2752" s="190" t="n"/>
      <c r="L2752" s="190" t="n"/>
      <c r="M2752" s="192" t="n"/>
      <c r="N2752" s="189" t="n"/>
      <c r="O2752" s="193" t="n"/>
      <c r="P2752" s="192" t="n"/>
      <c r="Q2752" s="194" t="n"/>
      <c r="R2752" s="194" t="n"/>
      <c r="S2752" s="189" t="n"/>
      <c r="T2752" s="189" t="n"/>
      <c r="U2752" s="198" t="n"/>
      <c r="V2752" s="198" t="n"/>
      <c r="W2752" s="189" t="n"/>
      <c r="X2752" s="195" t="n"/>
      <c r="Y2752" s="189" t="n"/>
      <c r="Z2752" s="195" t="n"/>
      <c r="AA2752" s="196" t="n"/>
      <c r="AB2752" s="196" t="n"/>
    </row>
    <row r="2753">
      <c r="A2753" s="188" t="n"/>
      <c r="B2753" s="189" t="n"/>
      <c r="C2753" s="190" t="n"/>
      <c r="D2753" s="189" t="n"/>
      <c r="E2753" s="189" t="n"/>
      <c r="F2753" s="189" t="n"/>
      <c r="G2753" s="190" t="n"/>
      <c r="H2753" s="190" t="n"/>
      <c r="I2753" s="191" t="n"/>
      <c r="J2753" s="190" t="n"/>
      <c r="K2753" s="190" t="n"/>
      <c r="L2753" s="190" t="n"/>
      <c r="M2753" s="192" t="n"/>
      <c r="N2753" s="189" t="n"/>
      <c r="O2753" s="193" t="n"/>
      <c r="P2753" s="192" t="n"/>
      <c r="Q2753" s="194" t="n"/>
      <c r="R2753" s="194" t="n"/>
      <c r="S2753" s="189" t="n"/>
      <c r="T2753" s="189" t="n"/>
      <c r="U2753" s="198" t="n"/>
      <c r="V2753" s="198" t="n"/>
      <c r="W2753" s="189" t="n"/>
      <c r="X2753" s="195" t="n"/>
      <c r="Y2753" s="189" t="n"/>
      <c r="Z2753" s="195" t="n"/>
      <c r="AA2753" s="196" t="n"/>
      <c r="AB2753" s="196" t="n"/>
    </row>
    <row r="2754">
      <c r="A2754" s="188" t="n"/>
      <c r="B2754" s="189" t="n"/>
      <c r="C2754" s="190" t="n"/>
      <c r="D2754" s="189" t="n"/>
      <c r="E2754" s="189" t="n"/>
      <c r="F2754" s="189" t="n"/>
      <c r="G2754" s="190" t="n"/>
      <c r="H2754" s="190" t="n"/>
      <c r="I2754" s="191" t="n"/>
      <c r="J2754" s="190" t="n"/>
      <c r="K2754" s="190" t="n"/>
      <c r="L2754" s="190" t="n"/>
      <c r="M2754" s="192" t="n"/>
      <c r="N2754" s="189" t="n"/>
      <c r="O2754" s="193" t="n"/>
      <c r="P2754" s="192" t="n"/>
      <c r="Q2754" s="194" t="n"/>
      <c r="R2754" s="194" t="n"/>
      <c r="S2754" s="189" t="n"/>
      <c r="T2754" s="189" t="n"/>
      <c r="U2754" s="189" t="n"/>
      <c r="V2754" s="189" t="n"/>
      <c r="W2754" s="189" t="n"/>
      <c r="X2754" s="195" t="n"/>
      <c r="Y2754" s="189" t="n"/>
      <c r="Z2754" s="195" t="n"/>
      <c r="AA2754" s="196" t="n"/>
      <c r="AB2754" s="196" t="n"/>
    </row>
    <row r="2755">
      <c r="A2755" s="188" t="n"/>
      <c r="B2755" s="189" t="n"/>
      <c r="C2755" s="190" t="n"/>
      <c r="D2755" s="189" t="n"/>
      <c r="E2755" s="189" t="n"/>
      <c r="F2755" s="189" t="n"/>
      <c r="G2755" s="190" t="n"/>
      <c r="H2755" s="190" t="n"/>
      <c r="I2755" s="191" t="n"/>
      <c r="J2755" s="190" t="n"/>
      <c r="K2755" s="190" t="n"/>
      <c r="L2755" s="190" t="n"/>
      <c r="M2755" s="192" t="n"/>
      <c r="N2755" s="189" t="n"/>
      <c r="O2755" s="193" t="n"/>
      <c r="P2755" s="192" t="n"/>
      <c r="Q2755" s="194" t="n"/>
      <c r="R2755" s="194" t="n"/>
      <c r="S2755" s="189" t="n"/>
      <c r="T2755" s="189" t="n"/>
      <c r="U2755" s="189" t="n"/>
      <c r="V2755" s="189" t="n"/>
      <c r="W2755" s="189" t="n"/>
      <c r="X2755" s="195" t="n"/>
      <c r="Y2755" s="189" t="n"/>
      <c r="Z2755" s="195" t="n"/>
      <c r="AA2755" s="196" t="n"/>
      <c r="AB2755" s="196" t="n"/>
    </row>
    <row r="2756">
      <c r="A2756" s="188" t="n"/>
      <c r="B2756" s="189" t="n"/>
      <c r="C2756" s="190" t="n"/>
      <c r="D2756" s="189" t="n"/>
      <c r="E2756" s="189" t="n"/>
      <c r="F2756" s="189" t="n"/>
      <c r="G2756" s="190" t="n"/>
      <c r="H2756" s="190" t="n"/>
      <c r="I2756" s="191" t="n"/>
      <c r="J2756" s="190" t="n"/>
      <c r="K2756" s="190" t="n"/>
      <c r="L2756" s="190" t="n"/>
      <c r="M2756" s="192" t="n"/>
      <c r="N2756" s="189" t="n"/>
      <c r="O2756" s="193" t="n"/>
      <c r="P2756" s="192" t="n"/>
      <c r="Q2756" s="194" t="n"/>
      <c r="R2756" s="194" t="n"/>
      <c r="S2756" s="189" t="n"/>
      <c r="T2756" s="189" t="n"/>
      <c r="U2756" s="189" t="n"/>
      <c r="V2756" s="189" t="n"/>
      <c r="W2756" s="189" t="n"/>
      <c r="X2756" s="195" t="n"/>
      <c r="Y2756" s="189" t="n"/>
      <c r="Z2756" s="195" t="n"/>
      <c r="AA2756" s="196" t="n"/>
      <c r="AB2756" s="196" t="n"/>
    </row>
    <row r="2757">
      <c r="A2757" s="188" t="n"/>
      <c r="B2757" s="189" t="n"/>
      <c r="C2757" s="190" t="n"/>
      <c r="D2757" s="189" t="n"/>
      <c r="E2757" s="189" t="n"/>
      <c r="F2757" s="189" t="n"/>
      <c r="G2757" s="190" t="n"/>
      <c r="H2757" s="190" t="n"/>
      <c r="I2757" s="191" t="n"/>
      <c r="J2757" s="190" t="n"/>
      <c r="K2757" s="190" t="n"/>
      <c r="L2757" s="190" t="n"/>
      <c r="M2757" s="192" t="n"/>
      <c r="N2757" s="189" t="n"/>
      <c r="O2757" s="193" t="n"/>
      <c r="P2757" s="192" t="n"/>
      <c r="Q2757" s="194" t="n"/>
      <c r="R2757" s="194" t="n"/>
      <c r="S2757" s="189" t="n"/>
      <c r="T2757" s="189" t="n"/>
      <c r="U2757" s="189" t="n"/>
      <c r="V2757" s="189" t="n"/>
      <c r="W2757" s="189" t="n"/>
      <c r="X2757" s="195" t="n"/>
      <c r="Y2757" s="189" t="n"/>
      <c r="Z2757" s="195" t="n"/>
      <c r="AA2757" s="196" t="n"/>
      <c r="AB2757" s="196" t="n"/>
    </row>
    <row r="2758">
      <c r="A2758" s="188" t="n"/>
      <c r="B2758" s="189" t="n"/>
      <c r="C2758" s="190" t="n"/>
      <c r="D2758" s="189" t="n"/>
      <c r="E2758" s="189" t="n"/>
      <c r="F2758" s="189" t="n"/>
      <c r="G2758" s="190" t="n"/>
      <c r="H2758" s="190" t="n"/>
      <c r="I2758" s="191" t="n"/>
      <c r="J2758" s="190" t="n"/>
      <c r="K2758" s="190" t="n"/>
      <c r="L2758" s="190" t="n"/>
      <c r="M2758" s="192" t="n"/>
      <c r="N2758" s="189" t="n"/>
      <c r="O2758" s="193" t="n"/>
      <c r="P2758" s="192" t="n"/>
      <c r="Q2758" s="194" t="n"/>
      <c r="R2758" s="194" t="n"/>
      <c r="S2758" s="189" t="n"/>
      <c r="T2758" s="189" t="n"/>
      <c r="U2758" s="189" t="n"/>
      <c r="V2758" s="189" t="n"/>
      <c r="W2758" s="189" t="n"/>
      <c r="X2758" s="195" t="n"/>
      <c r="Y2758" s="189" t="n"/>
      <c r="Z2758" s="195" t="n"/>
      <c r="AA2758" s="196" t="n"/>
      <c r="AB2758" s="196" t="n"/>
    </row>
    <row r="2759">
      <c r="A2759" s="188" t="n"/>
      <c r="B2759" s="189" t="n"/>
      <c r="C2759" s="190" t="n"/>
      <c r="D2759" s="189" t="n"/>
      <c r="E2759" s="189" t="n"/>
      <c r="F2759" s="189" t="n"/>
      <c r="G2759" s="190" t="n"/>
      <c r="H2759" s="190" t="n"/>
      <c r="I2759" s="191" t="n"/>
      <c r="J2759" s="190" t="n"/>
      <c r="K2759" s="190" t="n"/>
      <c r="L2759" s="190" t="n"/>
      <c r="M2759" s="192" t="n"/>
      <c r="N2759" s="189" t="n"/>
      <c r="O2759" s="193" t="n"/>
      <c r="P2759" s="192" t="n"/>
      <c r="Q2759" s="194" t="n"/>
      <c r="R2759" s="194" t="n"/>
      <c r="S2759" s="189" t="n"/>
      <c r="T2759" s="189" t="n"/>
      <c r="U2759" s="189" t="n"/>
      <c r="V2759" s="189" t="n"/>
      <c r="W2759" s="189" t="n"/>
      <c r="X2759" s="195" t="n"/>
      <c r="Y2759" s="189" t="n"/>
      <c r="Z2759" s="195" t="n"/>
      <c r="AA2759" s="196" t="n"/>
      <c r="AB2759" s="196" t="n"/>
    </row>
    <row r="2760">
      <c r="A2760" s="188" t="n"/>
      <c r="B2760" s="189" t="n"/>
      <c r="C2760" s="190" t="n"/>
      <c r="D2760" s="189" t="n"/>
      <c r="E2760" s="189" t="n"/>
      <c r="F2760" s="189" t="n"/>
      <c r="G2760" s="190" t="n"/>
      <c r="H2760" s="190" t="n"/>
      <c r="I2760" s="191" t="n"/>
      <c r="J2760" s="190" t="n"/>
      <c r="K2760" s="190" t="n"/>
      <c r="L2760" s="190" t="n"/>
      <c r="M2760" s="192" t="n"/>
      <c r="N2760" s="189" t="n"/>
      <c r="O2760" s="193" t="n"/>
      <c r="P2760" s="192" t="n"/>
      <c r="Q2760" s="194" t="n"/>
      <c r="R2760" s="194" t="n"/>
      <c r="S2760" s="189" t="n"/>
      <c r="T2760" s="189" t="n"/>
      <c r="U2760" s="189" t="n"/>
      <c r="V2760" s="189" t="n"/>
      <c r="W2760" s="189" t="n"/>
      <c r="X2760" s="195" t="n"/>
      <c r="Y2760" s="189" t="n"/>
      <c r="Z2760" s="195" t="n"/>
      <c r="AA2760" s="196" t="n"/>
      <c r="AB2760" s="196" t="n"/>
    </row>
    <row r="2761">
      <c r="A2761" s="188" t="n"/>
      <c r="B2761" s="189" t="n"/>
      <c r="C2761" s="190" t="n"/>
      <c r="D2761" s="189" t="n"/>
      <c r="E2761" s="189" t="n"/>
      <c r="F2761" s="189" t="n"/>
      <c r="G2761" s="190" t="n"/>
      <c r="H2761" s="190" t="n"/>
      <c r="I2761" s="191" t="n"/>
      <c r="J2761" s="190" t="n"/>
      <c r="K2761" s="190" t="n"/>
      <c r="L2761" s="190" t="n"/>
      <c r="M2761" s="192" t="n"/>
      <c r="N2761" s="189" t="n"/>
      <c r="O2761" s="193" t="n"/>
      <c r="P2761" s="192" t="n"/>
      <c r="Q2761" s="194" t="n"/>
      <c r="R2761" s="194" t="n"/>
      <c r="S2761" s="189" t="n"/>
      <c r="T2761" s="189" t="n"/>
      <c r="U2761" s="189" t="n"/>
      <c r="V2761" s="189" t="n"/>
      <c r="W2761" s="189" t="n"/>
      <c r="X2761" s="195" t="n"/>
      <c r="Y2761" s="189" t="n"/>
      <c r="Z2761" s="195" t="n"/>
      <c r="AA2761" s="196" t="n"/>
      <c r="AB2761" s="196" t="n"/>
    </row>
    <row r="2762">
      <c r="A2762" s="188" t="n"/>
      <c r="B2762" s="189" t="n"/>
      <c r="C2762" s="190" t="n"/>
      <c r="D2762" s="189" t="n"/>
      <c r="E2762" s="189" t="n"/>
      <c r="F2762" s="189" t="n"/>
      <c r="G2762" s="190" t="n"/>
      <c r="H2762" s="190" t="n"/>
      <c r="I2762" s="191" t="n"/>
      <c r="J2762" s="190" t="n"/>
      <c r="K2762" s="190" t="n"/>
      <c r="L2762" s="190" t="n"/>
      <c r="M2762" s="192" t="n"/>
      <c r="N2762" s="189" t="n"/>
      <c r="O2762" s="193" t="n"/>
      <c r="P2762" s="192" t="n"/>
      <c r="Q2762" s="194" t="n"/>
      <c r="R2762" s="194" t="n"/>
      <c r="S2762" s="189" t="n"/>
      <c r="T2762" s="189" t="n"/>
      <c r="U2762" s="189" t="n"/>
      <c r="V2762" s="189" t="n"/>
      <c r="W2762" s="189" t="n"/>
      <c r="X2762" s="195" t="n"/>
      <c r="Y2762" s="189" t="n"/>
      <c r="Z2762" s="195" t="n"/>
      <c r="AA2762" s="196" t="n"/>
      <c r="AB2762" s="196" t="n"/>
    </row>
    <row r="2763">
      <c r="A2763" s="188" t="n"/>
      <c r="B2763" s="189" t="n"/>
      <c r="C2763" s="190" t="n"/>
      <c r="D2763" s="189" t="n"/>
      <c r="E2763" s="189" t="n"/>
      <c r="F2763" s="189" t="n"/>
      <c r="G2763" s="190" t="n"/>
      <c r="H2763" s="190" t="n"/>
      <c r="I2763" s="191" t="n"/>
      <c r="J2763" s="190" t="n"/>
      <c r="K2763" s="190" t="n"/>
      <c r="L2763" s="190" t="n"/>
      <c r="M2763" s="192" t="n"/>
      <c r="N2763" s="189" t="n"/>
      <c r="O2763" s="193" t="n"/>
      <c r="P2763" s="192" t="n"/>
      <c r="Q2763" s="194" t="n"/>
      <c r="R2763" s="194" t="n"/>
      <c r="S2763" s="189" t="n"/>
      <c r="T2763" s="189" t="n"/>
      <c r="U2763" s="189" t="n"/>
      <c r="V2763" s="189" t="n"/>
      <c r="W2763" s="189" t="n"/>
      <c r="X2763" s="195" t="n"/>
      <c r="Y2763" s="189" t="n"/>
      <c r="Z2763" s="195" t="n"/>
      <c r="AA2763" s="196" t="n"/>
      <c r="AB2763" s="196" t="n"/>
    </row>
    <row r="2764">
      <c r="A2764" s="188" t="n"/>
      <c r="B2764" s="189" t="n"/>
      <c r="C2764" s="190" t="n"/>
      <c r="D2764" s="189" t="n"/>
      <c r="E2764" s="189" t="n"/>
      <c r="F2764" s="189" t="n"/>
      <c r="G2764" s="190" t="n"/>
      <c r="H2764" s="190" t="n"/>
      <c r="I2764" s="191" t="n"/>
      <c r="J2764" s="190" t="n"/>
      <c r="K2764" s="190" t="n"/>
      <c r="L2764" s="190" t="n"/>
      <c r="M2764" s="192" t="n"/>
      <c r="N2764" s="189" t="n"/>
      <c r="O2764" s="193" t="n"/>
      <c r="P2764" s="192" t="n"/>
      <c r="Q2764" s="194" t="n"/>
      <c r="R2764" s="194" t="n"/>
      <c r="S2764" s="189" t="n"/>
      <c r="T2764" s="189" t="n"/>
      <c r="U2764" s="189" t="n"/>
      <c r="V2764" s="189" t="n"/>
      <c r="W2764" s="189" t="n"/>
      <c r="X2764" s="195" t="n"/>
      <c r="Y2764" s="189" t="n"/>
      <c r="Z2764" s="195" t="n"/>
      <c r="AA2764" s="196" t="n"/>
      <c r="AB2764" s="196" t="n"/>
    </row>
    <row r="2765">
      <c r="A2765" s="188" t="n"/>
      <c r="B2765" s="189" t="n"/>
      <c r="C2765" s="190" t="n"/>
      <c r="D2765" s="189" t="n"/>
      <c r="E2765" s="189" t="n"/>
      <c r="F2765" s="189" t="n"/>
      <c r="G2765" s="190" t="n"/>
      <c r="H2765" s="190" t="n"/>
      <c r="I2765" s="191" t="n"/>
      <c r="J2765" s="190" t="n"/>
      <c r="K2765" s="190" t="n"/>
      <c r="L2765" s="190" t="n"/>
      <c r="M2765" s="192" t="n"/>
      <c r="N2765" s="189" t="n"/>
      <c r="O2765" s="193" t="n"/>
      <c r="P2765" s="192" t="n"/>
      <c r="Q2765" s="194" t="n"/>
      <c r="R2765" s="194" t="n"/>
      <c r="S2765" s="189" t="n"/>
      <c r="T2765" s="189" t="n"/>
      <c r="U2765" s="189" t="n"/>
      <c r="V2765" s="189" t="n"/>
      <c r="W2765" s="189" t="n"/>
      <c r="X2765" s="195" t="n"/>
      <c r="Y2765" s="189" t="n"/>
      <c r="Z2765" s="195" t="n"/>
      <c r="AA2765" s="196" t="n"/>
      <c r="AB2765" s="196" t="n"/>
    </row>
    <row r="2766">
      <c r="A2766" s="188" t="n"/>
      <c r="B2766" s="189" t="n"/>
      <c r="C2766" s="190" t="n"/>
      <c r="D2766" s="189" t="n"/>
      <c r="E2766" s="189" t="n"/>
      <c r="F2766" s="189" t="n"/>
      <c r="G2766" s="190" t="n"/>
      <c r="H2766" s="190" t="n"/>
      <c r="I2766" s="191" t="n"/>
      <c r="J2766" s="190" t="n"/>
      <c r="K2766" s="190" t="n"/>
      <c r="L2766" s="190" t="n"/>
      <c r="M2766" s="192" t="n"/>
      <c r="N2766" s="189" t="n"/>
      <c r="O2766" s="193" t="n"/>
      <c r="P2766" s="192" t="n"/>
      <c r="Q2766" s="194" t="n"/>
      <c r="R2766" s="194" t="n"/>
      <c r="S2766" s="189" t="n"/>
      <c r="T2766" s="189" t="n"/>
      <c r="U2766" s="189" t="n"/>
      <c r="V2766" s="189" t="n"/>
      <c r="W2766" s="189" t="n"/>
      <c r="X2766" s="195" t="n"/>
      <c r="Y2766" s="189" t="n"/>
      <c r="Z2766" s="195" t="n"/>
      <c r="AA2766" s="196" t="n"/>
      <c r="AB2766" s="196" t="n"/>
    </row>
    <row r="2767">
      <c r="A2767" s="188" t="n"/>
      <c r="B2767" s="189" t="n"/>
      <c r="C2767" s="190" t="n"/>
      <c r="D2767" s="189" t="n"/>
      <c r="E2767" s="189" t="n"/>
      <c r="F2767" s="189" t="n"/>
      <c r="G2767" s="190" t="n"/>
      <c r="H2767" s="190" t="n"/>
      <c r="I2767" s="191" t="n"/>
      <c r="J2767" s="190" t="n"/>
      <c r="K2767" s="190" t="n"/>
      <c r="L2767" s="190" t="n"/>
      <c r="M2767" s="192" t="n"/>
      <c r="N2767" s="189" t="n"/>
      <c r="O2767" s="193" t="n"/>
      <c r="P2767" s="192" t="n"/>
      <c r="Q2767" s="194" t="n"/>
      <c r="R2767" s="194" t="n"/>
      <c r="S2767" s="189" t="n"/>
      <c r="T2767" s="189" t="n"/>
      <c r="U2767" s="189" t="n"/>
      <c r="V2767" s="189" t="n"/>
      <c r="W2767" s="189" t="n"/>
      <c r="X2767" s="195" t="n"/>
      <c r="Y2767" s="189" t="n"/>
      <c r="Z2767" s="195" t="n"/>
      <c r="AA2767" s="196" t="n"/>
      <c r="AB2767" s="196" t="n"/>
    </row>
    <row r="2768">
      <c r="A2768" s="188" t="n"/>
      <c r="B2768" s="189" t="n"/>
      <c r="C2768" s="190" t="n"/>
      <c r="D2768" s="189" t="n"/>
      <c r="E2768" s="189" t="n"/>
      <c r="F2768" s="189" t="n"/>
      <c r="G2768" s="190" t="n"/>
      <c r="H2768" s="190" t="n"/>
      <c r="I2768" s="191" t="n"/>
      <c r="J2768" s="190" t="n"/>
      <c r="K2768" s="190" t="n"/>
      <c r="L2768" s="190" t="n"/>
      <c r="M2768" s="192" t="n"/>
      <c r="N2768" s="189" t="n"/>
      <c r="O2768" s="193" t="n"/>
      <c r="P2768" s="192" t="n"/>
      <c r="Q2768" s="194" t="n"/>
      <c r="R2768" s="194" t="n"/>
      <c r="S2768" s="189" t="n"/>
      <c r="T2768" s="189" t="n"/>
      <c r="U2768" s="189" t="n"/>
      <c r="V2768" s="196" t="n"/>
      <c r="W2768" s="189" t="n"/>
      <c r="X2768" s="195" t="n"/>
      <c r="Y2768" s="189" t="n"/>
      <c r="Z2768" s="195" t="n"/>
      <c r="AA2768" s="196" t="n"/>
      <c r="AB2768" s="196" t="n"/>
    </row>
    <row r="2769">
      <c r="A2769" s="188" t="n"/>
      <c r="B2769" s="189" t="n"/>
      <c r="C2769" s="190" t="n"/>
      <c r="D2769" s="189" t="n"/>
      <c r="E2769" s="189" t="n"/>
      <c r="F2769" s="189" t="n"/>
      <c r="G2769" s="190" t="n"/>
      <c r="H2769" s="190" t="n"/>
      <c r="I2769" s="191" t="n"/>
      <c r="J2769" s="190" t="n"/>
      <c r="K2769" s="190" t="n"/>
      <c r="L2769" s="190" t="n"/>
      <c r="M2769" s="192" t="n"/>
      <c r="N2769" s="189" t="n"/>
      <c r="O2769" s="193" t="n"/>
      <c r="P2769" s="192" t="n"/>
      <c r="Q2769" s="194" t="n"/>
      <c r="R2769" s="194" t="n"/>
      <c r="S2769" s="189" t="n"/>
      <c r="T2769" s="189" t="n"/>
      <c r="U2769" s="189" t="n"/>
      <c r="V2769" s="189" t="n"/>
      <c r="W2769" s="189" t="n"/>
      <c r="X2769" s="195" t="n"/>
      <c r="Y2769" s="189" t="n"/>
      <c r="Z2769" s="195" t="n"/>
      <c r="AA2769" s="196" t="n"/>
      <c r="AB2769" s="196" t="n"/>
    </row>
    <row r="2770">
      <c r="A2770" s="188" t="n"/>
      <c r="B2770" s="189" t="n"/>
      <c r="C2770" s="190" t="n"/>
      <c r="D2770" s="189" t="n"/>
      <c r="E2770" s="189" t="n"/>
      <c r="F2770" s="189" t="n"/>
      <c r="G2770" s="190" t="n"/>
      <c r="H2770" s="190" t="n"/>
      <c r="I2770" s="191" t="n"/>
      <c r="J2770" s="190" t="n"/>
      <c r="K2770" s="190" t="n"/>
      <c r="L2770" s="190" t="n"/>
      <c r="M2770" s="192" t="n"/>
      <c r="N2770" s="189" t="n"/>
      <c r="O2770" s="193" t="n"/>
      <c r="P2770" s="192" t="n"/>
      <c r="Q2770" s="194" t="n"/>
      <c r="R2770" s="194" t="n"/>
      <c r="S2770" s="189" t="n"/>
      <c r="T2770" s="189" t="n"/>
      <c r="U2770" s="189" t="n"/>
      <c r="V2770" s="189" t="n"/>
      <c r="W2770" s="189" t="n"/>
      <c r="X2770" s="195" t="n"/>
      <c r="Y2770" s="189" t="n"/>
      <c r="Z2770" s="195" t="n"/>
      <c r="AA2770" s="196" t="n"/>
      <c r="AB2770" s="196" t="n"/>
    </row>
    <row r="2771">
      <c r="A2771" s="188" t="n"/>
      <c r="B2771" s="189" t="n"/>
      <c r="C2771" s="190" t="n"/>
      <c r="D2771" s="189" t="n"/>
      <c r="E2771" s="189" t="n"/>
      <c r="F2771" s="189" t="n"/>
      <c r="G2771" s="190" t="n"/>
      <c r="H2771" s="190" t="n"/>
      <c r="I2771" s="191" t="n"/>
      <c r="J2771" s="190" t="n"/>
      <c r="K2771" s="190" t="n"/>
      <c r="L2771" s="190" t="n"/>
      <c r="M2771" s="192" t="n"/>
      <c r="N2771" s="189" t="n"/>
      <c r="O2771" s="193" t="n"/>
      <c r="P2771" s="192" t="n"/>
      <c r="Q2771" s="194" t="n"/>
      <c r="R2771" s="194" t="n"/>
      <c r="S2771" s="189" t="n"/>
      <c r="T2771" s="189" t="n"/>
      <c r="U2771" s="189" t="n"/>
      <c r="V2771" s="189" t="n"/>
      <c r="W2771" s="189" t="n"/>
      <c r="X2771" s="195" t="n"/>
      <c r="Y2771" s="189" t="n"/>
      <c r="Z2771" s="195" t="n"/>
      <c r="AA2771" s="196" t="n"/>
      <c r="AB2771" s="196" t="n"/>
    </row>
    <row r="2772">
      <c r="A2772" s="188" t="n"/>
      <c r="B2772" s="189" t="n"/>
      <c r="C2772" s="190" t="n"/>
      <c r="D2772" s="189" t="n"/>
      <c r="E2772" s="189" t="n"/>
      <c r="F2772" s="189" t="n"/>
      <c r="G2772" s="190" t="n"/>
      <c r="H2772" s="190" t="n"/>
      <c r="I2772" s="191" t="n"/>
      <c r="J2772" s="190" t="n"/>
      <c r="K2772" s="190" t="n"/>
      <c r="L2772" s="190" t="n"/>
      <c r="M2772" s="192" t="n"/>
      <c r="N2772" s="189" t="n"/>
      <c r="O2772" s="193" t="n"/>
      <c r="P2772" s="192" t="n"/>
      <c r="Q2772" s="194" t="n"/>
      <c r="R2772" s="194" t="n"/>
      <c r="S2772" s="189" t="n"/>
      <c r="T2772" s="189" t="n"/>
      <c r="U2772" s="189" t="n"/>
      <c r="V2772" s="189" t="n"/>
      <c r="W2772" s="189" t="n"/>
      <c r="X2772" s="195" t="n"/>
      <c r="Y2772" s="189" t="n"/>
      <c r="Z2772" s="195" t="n"/>
      <c r="AA2772" s="196" t="n"/>
      <c r="AB2772" s="196" t="n"/>
    </row>
    <row r="2773">
      <c r="A2773" s="188" t="n"/>
      <c r="B2773" s="189" t="n"/>
      <c r="C2773" s="190" t="n"/>
      <c r="D2773" s="189" t="n"/>
      <c r="E2773" s="189" t="n"/>
      <c r="F2773" s="189" t="n"/>
      <c r="G2773" s="190" t="n"/>
      <c r="H2773" s="190" t="n"/>
      <c r="I2773" s="191" t="n"/>
      <c r="J2773" s="190" t="n"/>
      <c r="K2773" s="190" t="n"/>
      <c r="L2773" s="190" t="n"/>
      <c r="M2773" s="192" t="n"/>
      <c r="N2773" s="189" t="n"/>
      <c r="O2773" s="193" t="n"/>
      <c r="P2773" s="192" t="n"/>
      <c r="Q2773" s="194" t="n"/>
      <c r="R2773" s="194" t="n"/>
      <c r="S2773" s="189" t="n"/>
      <c r="T2773" s="189" t="n"/>
      <c r="U2773" s="189" t="n"/>
      <c r="V2773" s="196" t="n"/>
      <c r="W2773" s="189" t="n"/>
      <c r="X2773" s="195" t="n"/>
      <c r="Y2773" s="189" t="n"/>
      <c r="Z2773" s="195" t="n"/>
      <c r="AA2773" s="196" t="n"/>
      <c r="AB2773" s="196" t="n"/>
    </row>
    <row r="2774">
      <c r="A2774" s="188" t="n"/>
      <c r="B2774" s="189" t="n"/>
      <c r="C2774" s="190" t="n"/>
      <c r="D2774" s="189" t="n"/>
      <c r="E2774" s="189" t="n"/>
      <c r="F2774" s="189" t="n"/>
      <c r="G2774" s="190" t="n"/>
      <c r="H2774" s="190" t="n"/>
      <c r="I2774" s="191" t="n"/>
      <c r="J2774" s="190" t="n"/>
      <c r="K2774" s="190" t="n"/>
      <c r="L2774" s="190" t="n"/>
      <c r="M2774" s="192" t="n"/>
      <c r="N2774" s="189" t="n"/>
      <c r="O2774" s="193" t="n"/>
      <c r="P2774" s="192" t="n"/>
      <c r="Q2774" s="194" t="n"/>
      <c r="R2774" s="194" t="n"/>
      <c r="S2774" s="189" t="n"/>
      <c r="T2774" s="189" t="n"/>
      <c r="U2774" s="198" t="n"/>
      <c r="V2774" s="198" t="n"/>
      <c r="W2774" s="189" t="n"/>
      <c r="X2774" s="195" t="n"/>
      <c r="Y2774" s="189" t="n"/>
      <c r="Z2774" s="195" t="n"/>
      <c r="AA2774" s="196" t="n"/>
      <c r="AB2774" s="196" t="n"/>
    </row>
    <row r="2775">
      <c r="A2775" s="188" t="n"/>
      <c r="B2775" s="189" t="n"/>
      <c r="C2775" s="190" t="n"/>
      <c r="D2775" s="189" t="n"/>
      <c r="E2775" s="189" t="n"/>
      <c r="F2775" s="189" t="n"/>
      <c r="G2775" s="190" t="n"/>
      <c r="H2775" s="190" t="n"/>
      <c r="I2775" s="191" t="n"/>
      <c r="J2775" s="190" t="n"/>
      <c r="K2775" s="190" t="n"/>
      <c r="L2775" s="190" t="n"/>
      <c r="M2775" s="192" t="n"/>
      <c r="N2775" s="189" t="n"/>
      <c r="O2775" s="193" t="n"/>
      <c r="P2775" s="192" t="n"/>
      <c r="Q2775" s="194" t="n"/>
      <c r="R2775" s="194" t="n"/>
      <c r="S2775" s="189" t="n"/>
      <c r="T2775" s="189" t="n"/>
      <c r="U2775" s="189" t="n"/>
      <c r="V2775" s="196" t="n"/>
      <c r="W2775" s="189" t="n"/>
      <c r="X2775" s="195" t="n"/>
      <c r="Y2775" s="189" t="n"/>
      <c r="Z2775" s="195" t="n"/>
      <c r="AA2775" s="196" t="n"/>
      <c r="AB2775" s="196" t="n"/>
    </row>
    <row r="2776">
      <c r="A2776" s="188" t="n"/>
      <c r="B2776" s="189" t="n"/>
      <c r="C2776" s="190" t="n"/>
      <c r="D2776" s="189" t="n"/>
      <c r="E2776" s="189" t="n"/>
      <c r="F2776" s="189" t="n"/>
      <c r="G2776" s="190" t="n"/>
      <c r="H2776" s="190" t="n"/>
      <c r="I2776" s="191" t="n"/>
      <c r="J2776" s="190" t="n"/>
      <c r="K2776" s="190" t="n"/>
      <c r="L2776" s="190" t="n"/>
      <c r="M2776" s="192" t="n"/>
      <c r="N2776" s="189" t="n"/>
      <c r="O2776" s="193" t="n"/>
      <c r="P2776" s="192" t="n"/>
      <c r="Q2776" s="194" t="n"/>
      <c r="R2776" s="194" t="n"/>
      <c r="S2776" s="189" t="n"/>
      <c r="T2776" s="189" t="n"/>
      <c r="U2776" s="189" t="n"/>
      <c r="V2776" s="196" t="n"/>
      <c r="W2776" s="189" t="n"/>
      <c r="X2776" s="195" t="n"/>
      <c r="Y2776" s="189" t="n"/>
      <c r="Z2776" s="195" t="n"/>
      <c r="AA2776" s="196" t="n"/>
      <c r="AB2776" s="196" t="n"/>
    </row>
    <row r="2777">
      <c r="A2777" s="188" t="n"/>
      <c r="B2777" s="189" t="n"/>
      <c r="C2777" s="190" t="n"/>
      <c r="D2777" s="189" t="n"/>
      <c r="E2777" s="189" t="n"/>
      <c r="F2777" s="189" t="n"/>
      <c r="G2777" s="190" t="n"/>
      <c r="H2777" s="190" t="n"/>
      <c r="I2777" s="191" t="n"/>
      <c r="J2777" s="190" t="n"/>
      <c r="K2777" s="190" t="n"/>
      <c r="L2777" s="190" t="n"/>
      <c r="M2777" s="192" t="n"/>
      <c r="N2777" s="189" t="n"/>
      <c r="O2777" s="193" t="n"/>
      <c r="P2777" s="192" t="n"/>
      <c r="Q2777" s="194" t="n"/>
      <c r="R2777" s="194" t="n"/>
      <c r="S2777" s="189" t="n"/>
      <c r="T2777" s="189" t="n"/>
      <c r="U2777" s="189" t="n"/>
      <c r="V2777" s="196" t="n"/>
      <c r="W2777" s="189" t="n"/>
      <c r="X2777" s="195" t="n"/>
      <c r="Y2777" s="189" t="n"/>
      <c r="Z2777" s="195" t="n"/>
      <c r="AA2777" s="196" t="n"/>
      <c r="AB2777" s="196" t="n"/>
    </row>
    <row r="2778">
      <c r="A2778" s="188" t="n"/>
      <c r="B2778" s="189" t="n"/>
      <c r="C2778" s="190" t="n"/>
      <c r="D2778" s="189" t="n"/>
      <c r="E2778" s="189" t="n"/>
      <c r="F2778" s="189" t="n"/>
      <c r="G2778" s="190" t="n"/>
      <c r="H2778" s="190" t="n"/>
      <c r="I2778" s="191" t="n"/>
      <c r="J2778" s="190" t="n"/>
      <c r="K2778" s="190" t="n"/>
      <c r="L2778" s="190" t="n"/>
      <c r="M2778" s="192" t="n"/>
      <c r="N2778" s="189" t="n"/>
      <c r="O2778" s="193" t="n"/>
      <c r="P2778" s="192" t="n"/>
      <c r="Q2778" s="194" t="n"/>
      <c r="R2778" s="194" t="n"/>
      <c r="S2778" s="189" t="n"/>
      <c r="T2778" s="189" t="n"/>
      <c r="U2778" s="189" t="n"/>
      <c r="V2778" s="189" t="n"/>
      <c r="W2778" s="189" t="n"/>
      <c r="X2778" s="195" t="n"/>
      <c r="Y2778" s="189" t="n"/>
      <c r="Z2778" s="195" t="n"/>
      <c r="AA2778" s="196" t="n"/>
      <c r="AB2778" s="196" t="n"/>
    </row>
    <row r="2779">
      <c r="A2779" s="188" t="n"/>
      <c r="B2779" s="189" t="n"/>
      <c r="C2779" s="190" t="n"/>
      <c r="D2779" s="189" t="n"/>
      <c r="E2779" s="189" t="n"/>
      <c r="F2779" s="189" t="n"/>
      <c r="G2779" s="190" t="n"/>
      <c r="H2779" s="190" t="n"/>
      <c r="I2779" s="191" t="n"/>
      <c r="J2779" s="190" t="n"/>
      <c r="K2779" s="190" t="n"/>
      <c r="L2779" s="190" t="n"/>
      <c r="M2779" s="192" t="n"/>
      <c r="N2779" s="189" t="n"/>
      <c r="O2779" s="193" t="n"/>
      <c r="P2779" s="192" t="n"/>
      <c r="Q2779" s="194" t="n"/>
      <c r="R2779" s="194" t="n"/>
      <c r="S2779" s="189" t="n"/>
      <c r="T2779" s="189" t="n"/>
      <c r="U2779" s="189" t="n"/>
      <c r="V2779" s="189" t="n"/>
      <c r="W2779" s="189" t="n"/>
      <c r="X2779" s="195" t="n"/>
      <c r="Y2779" s="189" t="n"/>
      <c r="Z2779" s="195" t="n"/>
      <c r="AA2779" s="196" t="n"/>
      <c r="AB2779" s="196" t="n"/>
    </row>
    <row r="2780">
      <c r="A2780" s="188" t="n"/>
      <c r="B2780" s="189" t="n"/>
      <c r="C2780" s="190" t="n"/>
      <c r="D2780" s="189" t="n"/>
      <c r="E2780" s="189" t="n"/>
      <c r="F2780" s="189" t="n"/>
      <c r="G2780" s="190" t="n"/>
      <c r="H2780" s="190" t="n"/>
      <c r="I2780" s="191" t="n"/>
      <c r="J2780" s="190" t="n"/>
      <c r="K2780" s="190" t="n"/>
      <c r="L2780" s="190" t="n"/>
      <c r="M2780" s="192" t="n"/>
      <c r="N2780" s="189" t="n"/>
      <c r="O2780" s="193" t="n"/>
      <c r="P2780" s="192" t="n"/>
      <c r="Q2780" s="194" t="n"/>
      <c r="R2780" s="194" t="n"/>
      <c r="S2780" s="189" t="n"/>
      <c r="T2780" s="189" t="n"/>
      <c r="U2780" s="189" t="n"/>
      <c r="V2780" s="189" t="n"/>
      <c r="W2780" s="189" t="n"/>
      <c r="X2780" s="195" t="n"/>
      <c r="Y2780" s="189" t="n"/>
      <c r="Z2780" s="195" t="n"/>
      <c r="AA2780" s="196" t="n"/>
      <c r="AB2780" s="196" t="n"/>
    </row>
    <row r="2781">
      <c r="A2781" s="188" t="n"/>
      <c r="B2781" s="189" t="n"/>
      <c r="C2781" s="190" t="n"/>
      <c r="D2781" s="189" t="n"/>
      <c r="E2781" s="189" t="n"/>
      <c r="F2781" s="189" t="n"/>
      <c r="G2781" s="190" t="n"/>
      <c r="H2781" s="190" t="n"/>
      <c r="I2781" s="191" t="n"/>
      <c r="J2781" s="190" t="n"/>
      <c r="K2781" s="190" t="n"/>
      <c r="L2781" s="190" t="n"/>
      <c r="M2781" s="192" t="n"/>
      <c r="N2781" s="189" t="n"/>
      <c r="O2781" s="193" t="n"/>
      <c r="P2781" s="192" t="n"/>
      <c r="Q2781" s="194" t="n"/>
      <c r="R2781" s="194" t="n"/>
      <c r="S2781" s="189" t="n"/>
      <c r="T2781" s="189" t="n"/>
      <c r="U2781" s="189" t="n"/>
      <c r="V2781" s="189" t="n"/>
      <c r="W2781" s="189" t="n"/>
      <c r="X2781" s="195" t="n"/>
      <c r="Y2781" s="189" t="n"/>
      <c r="Z2781" s="195" t="n"/>
      <c r="AA2781" s="196" t="n"/>
      <c r="AB2781" s="196" t="n"/>
    </row>
    <row r="2782">
      <c r="A2782" s="188" t="n"/>
      <c r="B2782" s="189" t="n"/>
      <c r="C2782" s="190" t="n"/>
      <c r="D2782" s="189" t="n"/>
      <c r="E2782" s="189" t="n"/>
      <c r="F2782" s="189" t="n"/>
      <c r="G2782" s="190" t="n"/>
      <c r="H2782" s="190" t="n"/>
      <c r="I2782" s="191" t="n"/>
      <c r="J2782" s="190" t="n"/>
      <c r="K2782" s="190" t="n"/>
      <c r="L2782" s="190" t="n"/>
      <c r="M2782" s="192" t="n"/>
      <c r="N2782" s="189" t="n"/>
      <c r="O2782" s="193" t="n"/>
      <c r="P2782" s="192" t="n"/>
      <c r="Q2782" s="194" t="n"/>
      <c r="R2782" s="194" t="n"/>
      <c r="S2782" s="189" t="n"/>
      <c r="T2782" s="189" t="n"/>
      <c r="U2782" s="189" t="n"/>
      <c r="V2782" s="189" t="n"/>
      <c r="W2782" s="189" t="n"/>
      <c r="X2782" s="195" t="n"/>
      <c r="Y2782" s="189" t="n"/>
      <c r="Z2782" s="195" t="n"/>
      <c r="AA2782" s="196" t="n"/>
      <c r="AB2782" s="196" t="n"/>
    </row>
    <row r="2783">
      <c r="A2783" s="188" t="n"/>
      <c r="B2783" s="189" t="n"/>
      <c r="C2783" s="190" t="n"/>
      <c r="D2783" s="189" t="n"/>
      <c r="E2783" s="189" t="n"/>
      <c r="F2783" s="189" t="n"/>
      <c r="G2783" s="190" t="n"/>
      <c r="H2783" s="190" t="n"/>
      <c r="I2783" s="191" t="n"/>
      <c r="J2783" s="190" t="n"/>
      <c r="K2783" s="190" t="n"/>
      <c r="L2783" s="190" t="n"/>
      <c r="M2783" s="192" t="n"/>
      <c r="N2783" s="189" t="n"/>
      <c r="O2783" s="193" t="n"/>
      <c r="P2783" s="192" t="n"/>
      <c r="Q2783" s="194" t="n"/>
      <c r="R2783" s="194" t="n"/>
      <c r="S2783" s="189" t="n"/>
      <c r="T2783" s="189" t="n"/>
      <c r="U2783" s="189" t="n"/>
      <c r="V2783" s="189" t="n"/>
      <c r="W2783" s="189" t="n"/>
      <c r="X2783" s="195" t="n"/>
      <c r="Y2783" s="189" t="n"/>
      <c r="Z2783" s="195" t="n"/>
      <c r="AA2783" s="196" t="n"/>
      <c r="AB2783" s="196" t="n"/>
    </row>
    <row r="2784">
      <c r="A2784" s="188" t="n"/>
      <c r="B2784" s="189" t="n"/>
      <c r="C2784" s="190" t="n"/>
      <c r="D2784" s="189" t="n"/>
      <c r="E2784" s="189" t="n"/>
      <c r="F2784" s="189" t="n"/>
      <c r="G2784" s="190" t="n"/>
      <c r="H2784" s="190" t="n"/>
      <c r="I2784" s="191" t="n"/>
      <c r="J2784" s="190" t="n"/>
      <c r="K2784" s="190" t="n"/>
      <c r="L2784" s="190" t="n"/>
      <c r="M2784" s="192" t="n"/>
      <c r="N2784" s="189" t="n"/>
      <c r="O2784" s="193" t="n"/>
      <c r="P2784" s="192" t="n"/>
      <c r="Q2784" s="194" t="n"/>
      <c r="R2784" s="194" t="n"/>
      <c r="S2784" s="189" t="n"/>
      <c r="T2784" s="189" t="n"/>
      <c r="U2784" s="189" t="n"/>
      <c r="V2784" s="189" t="n"/>
      <c r="W2784" s="189" t="n"/>
      <c r="X2784" s="195" t="n"/>
      <c r="Y2784" s="189" t="n"/>
      <c r="Z2784" s="195" t="n"/>
      <c r="AA2784" s="196" t="n"/>
      <c r="AB2784" s="196" t="n"/>
    </row>
    <row r="2785">
      <c r="A2785" s="188" t="n"/>
      <c r="B2785" s="189" t="n"/>
      <c r="C2785" s="190" t="n"/>
      <c r="D2785" s="189" t="n"/>
      <c r="E2785" s="189" t="n"/>
      <c r="F2785" s="189" t="n"/>
      <c r="G2785" s="190" t="n"/>
      <c r="H2785" s="190" t="n"/>
      <c r="I2785" s="191" t="n"/>
      <c r="J2785" s="190" t="n"/>
      <c r="K2785" s="190" t="n"/>
      <c r="L2785" s="190" t="n"/>
      <c r="M2785" s="192" t="n"/>
      <c r="N2785" s="197" t="n"/>
      <c r="O2785" s="193" t="n"/>
      <c r="P2785" s="192" t="n"/>
      <c r="Q2785" s="194" t="n"/>
      <c r="R2785" s="194" t="n"/>
      <c r="S2785" s="189" t="n"/>
      <c r="T2785" s="189" t="n"/>
      <c r="U2785" s="198" t="n"/>
      <c r="V2785" s="198" t="n"/>
      <c r="W2785" s="189" t="n"/>
      <c r="X2785" s="195" t="n"/>
      <c r="Y2785" s="189" t="n"/>
      <c r="Z2785" s="195" t="n"/>
      <c r="AA2785" s="196" t="n"/>
      <c r="AB2785" s="196" t="n"/>
    </row>
    <row r="2786">
      <c r="A2786" s="188" t="n"/>
      <c r="B2786" s="189" t="n"/>
      <c r="C2786" s="190" t="n"/>
      <c r="D2786" s="189" t="n"/>
      <c r="E2786" s="189" t="n"/>
      <c r="F2786" s="189" t="n"/>
      <c r="G2786" s="190" t="n"/>
      <c r="H2786" s="190" t="n"/>
      <c r="I2786" s="191" t="n"/>
      <c r="J2786" s="190" t="n"/>
      <c r="K2786" s="190" t="n"/>
      <c r="L2786" s="190" t="n"/>
      <c r="M2786" s="192" t="n"/>
      <c r="N2786" s="189" t="n"/>
      <c r="O2786" s="193" t="n"/>
      <c r="P2786" s="192" t="n"/>
      <c r="Q2786" s="194" t="n"/>
      <c r="R2786" s="194" t="n"/>
      <c r="S2786" s="189" t="n"/>
      <c r="T2786" s="189" t="n"/>
      <c r="U2786" s="189" t="n"/>
      <c r="V2786" s="189" t="n"/>
      <c r="W2786" s="189" t="n"/>
      <c r="X2786" s="195" t="n"/>
      <c r="Y2786" s="189" t="n"/>
      <c r="Z2786" s="195" t="n"/>
      <c r="AA2786" s="196" t="n"/>
      <c r="AB2786" s="196" t="n"/>
    </row>
    <row r="2787">
      <c r="A2787" s="188" t="n"/>
      <c r="B2787" s="189" t="n"/>
      <c r="C2787" s="190" t="n"/>
      <c r="D2787" s="189" t="n"/>
      <c r="E2787" s="189" t="n"/>
      <c r="F2787" s="189" t="n"/>
      <c r="G2787" s="190" t="n"/>
      <c r="H2787" s="190" t="n"/>
      <c r="I2787" s="191" t="n"/>
      <c r="J2787" s="190" t="n"/>
      <c r="K2787" s="190" t="n"/>
      <c r="L2787" s="190" t="n"/>
      <c r="M2787" s="192" t="n"/>
      <c r="N2787" s="189" t="n"/>
      <c r="O2787" s="193" t="n"/>
      <c r="P2787" s="192" t="n"/>
      <c r="Q2787" s="194" t="n"/>
      <c r="R2787" s="194" t="n"/>
      <c r="S2787" s="189" t="n"/>
      <c r="T2787" s="189" t="n"/>
      <c r="U2787" s="189" t="n"/>
      <c r="V2787" s="189" t="n"/>
      <c r="W2787" s="189" t="n"/>
      <c r="X2787" s="195" t="n"/>
      <c r="Y2787" s="189" t="n"/>
      <c r="Z2787" s="195" t="n"/>
      <c r="AA2787" s="196" t="n"/>
      <c r="AB2787" s="196" t="n"/>
    </row>
  </sheetData>
  <conditionalFormatting sqref="I1:I1775 I1817:I1932 I2016:I2072 I2104:I2182 I2346:I2406 I2426:I2490 I2555:I2680 I2788:I1048576">
    <cfRule type="duplicateValues" priority="15" dxfId="0"/>
  </conditionalFormatting>
  <conditionalFormatting sqref="I1:I1048576">
    <cfRule type="duplicateValues" priority="1" dxfId="0"/>
  </conditionalFormatting>
  <conditionalFormatting sqref="I353">
    <cfRule type="duplicateValues" priority="35" dxfId="0"/>
    <cfRule type="duplicateValues" priority="34" dxfId="0"/>
    <cfRule type="duplicateValues" priority="33" dxfId="0"/>
    <cfRule type="duplicateValues" priority="32" dxfId="0"/>
    <cfRule type="duplicateValues" priority="31" dxfId="0"/>
  </conditionalFormatting>
  <conditionalFormatting sqref="I354">
    <cfRule type="duplicateValues" priority="30" dxfId="0"/>
    <cfRule type="duplicateValues" priority="29" dxfId="0"/>
    <cfRule type="duplicateValues" priority="28" dxfId="0"/>
    <cfRule type="duplicateValues" priority="27" dxfId="0"/>
    <cfRule type="duplicateValues" priority="26" dxfId="0"/>
    <cfRule type="duplicateValues" priority="25" dxfId="0"/>
    <cfRule type="duplicateValues" priority="24" dxfId="0"/>
    <cfRule type="duplicateValues" priority="23" dxfId="0"/>
  </conditionalFormatting>
  <conditionalFormatting sqref="I357:I358">
    <cfRule type="duplicateValues" priority="19" dxfId="0"/>
    <cfRule type="duplicateValues" priority="20" dxfId="0"/>
    <cfRule type="duplicateValues" priority="21" dxfId="0"/>
    <cfRule type="duplicateValues" priority="22" dxfId="0"/>
  </conditionalFormatting>
  <conditionalFormatting sqref="I1776:I1816 I1933:I2010 I2074:I2101 I2183:I2268 I2271:I2344 I2414:I2425 I2491:I2548 I2681:I2787">
    <cfRule type="duplicateValues" priority="14" dxfId="0"/>
    <cfRule type="duplicateValues" priority="13" dxfId="0"/>
  </conditionalFormatting>
  <conditionalFormatting sqref="I2011:I2015">
    <cfRule type="duplicateValues" priority="12" dxfId="0"/>
  </conditionalFormatting>
  <conditionalFormatting sqref="I2073">
    <cfRule type="duplicateValues" priority="11" dxfId="0"/>
    <cfRule type="duplicateValues" priority="10" dxfId="0"/>
  </conditionalFormatting>
  <conditionalFormatting sqref="I2102">
    <cfRule type="duplicateValues" priority="9" dxfId="0"/>
  </conditionalFormatting>
  <conditionalFormatting sqref="I2103">
    <cfRule type="duplicateValues" priority="8" dxfId="0"/>
    <cfRule type="duplicateValues" priority="7" dxfId="0"/>
  </conditionalFormatting>
  <conditionalFormatting sqref="I2269">
    <cfRule type="duplicateValues" priority="55" dxfId="0"/>
  </conditionalFormatting>
  <conditionalFormatting sqref="I2407">
    <cfRule type="duplicateValues" priority="3" dxfId="0"/>
  </conditionalFormatting>
  <conditionalFormatting sqref="I2408">
    <cfRule type="duplicateValues" priority="2" dxfId="0"/>
  </conditionalFormatting>
  <conditionalFormatting sqref="O417:O455 P5:P236 P241:P416">
    <cfRule type="duplicateValues" priority="36" dxfId="0"/>
    <cfRule type="duplicateValues" priority="37" dxfId="0"/>
    <cfRule type="duplicateValues" priority="38" dxfId="0"/>
  </conditionalFormatting>
  <conditionalFormatting sqref="P1:P4 P743:P744 P926:P927 P2788:P1048576">
    <cfRule type="duplicateValues" priority="39" dxfId="0"/>
  </conditionalFormatting>
  <conditionalFormatting sqref="P417:P455">
    <cfRule type="duplicateValues" priority="18" dxfId="0"/>
    <cfRule type="duplicateValues" priority="17" dxfId="0"/>
    <cfRule type="duplicateValues" priority="16" dxfId="0"/>
  </conditionalFormatting>
  <pageMargins left="0.7" right="0.7" top="0.75" bottom="0.75" header="0.3" footer="0.3"/>
  <pageSetup orientation="portrait" horizontalDpi="360" verticalDpi="36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2"/>
  <sheetViews>
    <sheetView showGridLines="0" zoomScale="70" zoomScaleNormal="70" workbookViewId="0">
      <selection activeCell="B8" sqref="B8"/>
    </sheetView>
  </sheetViews>
  <sheetFormatPr baseColWidth="8" defaultRowHeight="14.5"/>
  <cols>
    <col width="33.6328125" customWidth="1" style="233" min="1" max="1"/>
    <col width="16.36328125" customWidth="1" style="233" min="2" max="2"/>
    <col width="27.26953125" customWidth="1" style="233" min="3" max="3"/>
    <col width="16.36328125" customWidth="1" style="233" min="4" max="4"/>
    <col width="14.54296875" customWidth="1" style="233" min="5" max="5"/>
    <col width="11.90625" customWidth="1" style="233" min="6" max="6"/>
    <col width="33.453125" customWidth="1" style="233" min="7" max="7"/>
    <col width="17.81640625" customWidth="1" style="233" min="8" max="8"/>
    <col width="14" customWidth="1" style="233" min="9" max="9"/>
    <col width="4.81640625" bestFit="1" customWidth="1" style="233" min="10" max="10"/>
    <col width="10.36328125" bestFit="1" customWidth="1" style="233" min="11" max="11"/>
    <col width="15.453125" customWidth="1" style="233" min="12" max="12"/>
    <col width="14.54296875" customWidth="1" style="233" min="13" max="13"/>
  </cols>
  <sheetData>
    <row r="1" ht="21" customHeight="1" s="233">
      <c r="A1" s="240" t="inlineStr">
        <is>
          <t>MAY 2026 - FIELD SERVICE ANALYSIS</t>
        </is>
      </c>
      <c r="P1" s="107" t="n"/>
      <c r="Q1" s="107" t="n"/>
      <c r="R1" s="109" t="n"/>
      <c r="S1" s="107" t="n"/>
      <c r="T1" s="107" t="n"/>
      <c r="U1" s="107" t="n"/>
    </row>
    <row r="2" ht="21.5" customFormat="1" customHeight="1" s="122" thickBot="1">
      <c r="A2" s="121" t="n"/>
      <c r="B2" s="121" t="n"/>
      <c r="C2" s="121" t="n"/>
      <c r="D2" s="121" t="n"/>
      <c r="E2" s="121" t="n"/>
      <c r="F2" s="121" t="n"/>
      <c r="G2" s="121" t="n"/>
      <c r="H2" s="121" t="n"/>
      <c r="P2" s="123" t="n"/>
      <c r="Q2" s="123" t="n"/>
      <c r="R2" s="124" t="n"/>
      <c r="S2" s="123" t="n"/>
      <c r="T2" s="123" t="n"/>
      <c r="U2" s="123" t="n"/>
    </row>
    <row r="3" ht="21.5" customFormat="1" customHeight="1" s="122" thickBot="1">
      <c r="A3" s="121" t="n"/>
      <c r="B3" s="242" t="inlineStr">
        <is>
          <t>KEY PERFORMANCE INDICATORS</t>
        </is>
      </c>
      <c r="C3" s="243" t="n"/>
      <c r="D3" s="243" t="n"/>
      <c r="E3" s="243" t="n"/>
      <c r="F3" s="243" t="n"/>
      <c r="G3" s="243" t="n"/>
      <c r="H3" s="243" t="n"/>
      <c r="I3" s="244" t="n"/>
      <c r="P3" s="123" t="n"/>
      <c r="Q3" s="123" t="n"/>
      <c r="R3" s="124" t="n"/>
      <c r="S3" s="123" t="n"/>
      <c r="T3" s="123" t="n"/>
      <c r="U3" s="123" t="n"/>
    </row>
    <row r="4" ht="21" customFormat="1" customHeight="1" s="122">
      <c r="A4" s="121" t="n"/>
      <c r="B4" s="220" t="inlineStr">
        <is>
          <t>Total Complaints</t>
        </is>
      </c>
      <c r="C4" s="112" t="inlineStr">
        <is>
          <t>Closed</t>
        </is>
      </c>
      <c r="D4" s="113" t="inlineStr">
        <is>
          <t>WIP / Open</t>
        </is>
      </c>
      <c r="E4" s="114" t="inlineStr">
        <is>
          <t>Repairable Defects</t>
        </is>
      </c>
      <c r="F4" s="115" t="inlineStr">
        <is>
          <t>Closure Rate</t>
        </is>
      </c>
      <c r="G4" s="221" t="inlineStr">
        <is>
          <t xml:space="preserve">May Expense </t>
        </is>
      </c>
      <c r="H4" s="224" t="inlineStr">
        <is>
          <t>Per Module cost</t>
        </is>
      </c>
      <c r="I4" s="116" t="inlineStr">
        <is>
          <t>Avg Resolution Day</t>
        </is>
      </c>
      <c r="P4" s="123" t="n"/>
      <c r="Q4" s="123" t="n"/>
      <c r="R4" s="124" t="n"/>
      <c r="S4" s="123" t="n"/>
      <c r="T4" s="123" t="n"/>
      <c r="U4" s="123" t="n"/>
    </row>
    <row r="5" ht="26.5" customFormat="1" customHeight="1" s="122" thickBot="1">
      <c r="A5" s="121" t="n"/>
      <c r="B5" s="131">
        <f>C5+D5</f>
        <v/>
      </c>
      <c r="C5" s="117">
        <f>COUNTIFS('Monthly Report May-26 Cleaned'!$F$2:$F$2787,"Closed",'Monthly Report May-26 Cleaned'!$X$2:$X$2787,"&gt;="&amp;DATE(2026,5,1),'Monthly Report May-26 Cleaned'!$X$2:$X$2787,"&lt;="&amp;DATE(2026,5,31))</f>
        <v/>
      </c>
      <c r="D5" s="118">
        <f>COUNTIFS('Monthly Report May-26 Cleaned'!$F$2:$F$2787,"WIP",'Monthly Report May-26 Cleaned'!$Z$2:$Z$2787,"&gt;="&amp;DATE(2026,5,1),'Monthly Report May-26 Cleaned'!$Z$2:$Z$2787,"&lt;="&amp;DATE(2026,5,31))</f>
        <v/>
      </c>
      <c r="E5" s="119">
        <f>COUNTIFS('Monthly Report May-26 Cleaned'!$W$2:$W$2787,"Repair",'Monthly Report May-26 Cleaned'!$X$2:$X$2787,"&gt;="&amp;DATE(2026,5,1),'Monthly Report May-26 Cleaned'!$X$2:$X$2787,"&lt;="&amp;DATE(2026,5,31))</f>
        <v/>
      </c>
      <c r="F5" s="120">
        <f>C5/B5</f>
        <v/>
      </c>
      <c r="G5" s="247" t="n">
        <v>331507.67</v>
      </c>
      <c r="H5" s="248">
        <f>G5/B5</f>
        <v/>
      </c>
      <c r="I5" s="128">
        <f>ROUND(AVERAGEIF('Monthly Report May-26 Cleaned'!$Y$2:$Y$2787,"&gt;=0"),1)</f>
        <v/>
      </c>
      <c r="P5" s="123" t="n"/>
      <c r="Q5" s="123" t="n"/>
      <c r="R5" s="124" t="n"/>
      <c r="S5" s="123" t="n"/>
      <c r="T5" s="123" t="n"/>
      <c r="U5" s="123" t="n"/>
    </row>
    <row r="6" ht="21" customFormat="1" customHeight="1" s="122">
      <c r="A6" s="121" t="n"/>
      <c r="B6" s="121" t="n"/>
      <c r="C6" s="121" t="n"/>
      <c r="D6" s="121" t="n"/>
      <c r="E6" s="121" t="n"/>
      <c r="F6" s="121" t="n"/>
      <c r="G6" s="121" t="n"/>
      <c r="H6" s="121" t="n"/>
      <c r="P6" s="123" t="n"/>
      <c r="Q6" s="123" t="n"/>
      <c r="R6" s="124" t="n"/>
      <c r="S6" s="123" t="n"/>
      <c r="T6" s="123" t="n"/>
      <c r="U6" s="123" t="n"/>
    </row>
    <row r="7" ht="21" customFormat="1" customHeight="1" s="122">
      <c r="A7" s="121" t="n"/>
      <c r="B7" s="121" t="n"/>
      <c r="C7" s="121" t="n"/>
      <c r="D7" s="121" t="n"/>
      <c r="E7" s="121" t="n"/>
      <c r="F7" s="121" t="n"/>
      <c r="G7" s="121" t="n"/>
      <c r="H7" s="121" t="n"/>
      <c r="P7" s="123" t="n"/>
      <c r="Q7" s="123" t="n"/>
      <c r="R7" s="124" t="n"/>
      <c r="S7" s="123" t="n"/>
      <c r="T7" s="123" t="n"/>
      <c r="U7" s="123" t="n"/>
    </row>
    <row r="8">
      <c r="A8" s="122" t="n"/>
      <c r="B8" s="122" t="n"/>
      <c r="C8" s="122" t="n"/>
      <c r="D8" s="122" t="n"/>
      <c r="E8" s="122" t="n"/>
      <c r="F8" s="122" t="n"/>
      <c r="G8" s="122" t="n"/>
      <c r="H8" s="122" t="n"/>
      <c r="I8" s="122" t="n"/>
      <c r="J8" s="122" t="n"/>
      <c r="K8" s="122" t="n"/>
      <c r="L8" s="122" t="n"/>
      <c r="M8" s="122" t="n"/>
      <c r="N8" s="122" t="n"/>
      <c r="O8" s="122" t="n"/>
      <c r="P8" s="125" t="n"/>
      <c r="Q8" s="122" t="n"/>
      <c r="R8" s="122" t="n"/>
    </row>
    <row r="9" ht="16.5" customHeight="1" s="233" thickBot="1">
      <c r="A9" s="236" t="n"/>
      <c r="P9" s="108" t="n"/>
    </row>
    <row r="10">
      <c r="A10" s="132" t="inlineStr">
        <is>
          <t>Metric</t>
        </is>
      </c>
      <c r="B10" s="133" t="inlineStr">
        <is>
          <t>Value</t>
        </is>
      </c>
      <c r="C10" s="133" t="inlineStr">
        <is>
          <t>Metric</t>
        </is>
      </c>
      <c r="D10" s="134" t="inlineStr">
        <is>
          <t>Value</t>
        </is>
      </c>
      <c r="P10" s="108" t="n"/>
    </row>
    <row r="11">
      <c r="A11" s="135" t="inlineStr">
        <is>
          <t>Total Complaints (May)</t>
        </is>
      </c>
      <c r="B11" s="136">
        <f>B12+B13</f>
        <v/>
      </c>
      <c r="C11" s="137" t="inlineStr">
        <is>
          <t>Closure Rate</t>
        </is>
      </c>
      <c r="D11" s="138">
        <f>B12/B11</f>
        <v/>
      </c>
      <c r="F11" s="203" t="n"/>
      <c r="G11" s="127" t="n"/>
      <c r="P11" s="108" t="n"/>
    </row>
    <row r="12">
      <c r="A12" s="139" t="inlineStr">
        <is>
          <t>Closed Modules</t>
        </is>
      </c>
      <c r="B12" s="140">
        <f>COUNTIFS('Monthly Report May-26 Cleaned'!$F$2:$F$2787,"Closed",'Monthly Report May-26 Cleaned'!$X$2:$X$2787,"&gt;="&amp;DATE(2026,5,1),'Monthly Report May-26 Cleaned'!$X$2:$X$2787,"&lt;="&amp;DATE(2026,5,31))</f>
        <v/>
      </c>
      <c r="C12" s="137" t="inlineStr">
        <is>
          <t>WIP Rate</t>
        </is>
      </c>
      <c r="D12" s="141">
        <f>B13/B11</f>
        <v/>
      </c>
      <c r="P12" s="108" t="n"/>
    </row>
    <row r="13">
      <c r="A13" s="142" t="inlineStr">
        <is>
          <t>WIP Modules</t>
        </is>
      </c>
      <c r="B13" s="143">
        <f>COUNTIFS('Monthly Report May-26 Cleaned'!$F$2:$F$2787,"WIP",'Monthly Report May-26 Cleaned'!$Z$2:$Z$2787,"&gt;="&amp;DATE(2026,5,1),'Monthly Report May-26 Cleaned'!$Z$2:$Z$2787,"&lt;="&amp;DATE(2026,5,31))</f>
        <v/>
      </c>
      <c r="D13" s="144" t="n"/>
      <c r="P13" s="108" t="n"/>
    </row>
    <row r="14" ht="15" customHeight="1" s="233" thickBot="1">
      <c r="A14" s="145" t="inlineStr">
        <is>
          <t>State covered</t>
        </is>
      </c>
      <c r="B14" s="146">
        <f>COUNTIF(H19:H27,"&gt;0")</f>
        <v/>
      </c>
      <c r="C14" s="147" t="n"/>
      <c r="D14" s="148" t="n"/>
      <c r="P14" s="108" t="n"/>
    </row>
    <row r="15">
      <c r="B15" s="106" t="n"/>
      <c r="D15" s="106" t="n"/>
      <c r="P15" s="108" t="n"/>
    </row>
    <row r="16" ht="15" customHeight="1" s="233" thickBot="1">
      <c r="P16" s="108" t="n"/>
    </row>
    <row r="17" ht="16" customHeight="1" s="233">
      <c r="A17" s="237" t="inlineStr">
        <is>
          <t xml:space="preserve"> COMPLAINTS BY SITE</t>
        </is>
      </c>
      <c r="B17" s="238" t="n"/>
      <c r="C17" s="238" t="n"/>
      <c r="D17" s="238" t="n"/>
      <c r="E17" s="239" t="n"/>
      <c r="G17" s="237" t="inlineStr">
        <is>
          <t xml:space="preserve"> COMPLAINTS BY STATE</t>
        </is>
      </c>
      <c r="H17" s="238" t="n"/>
      <c r="I17" s="239" t="n"/>
      <c r="P17" s="108" t="n"/>
    </row>
    <row r="18">
      <c r="A18" s="149" t="inlineStr">
        <is>
          <t>Site</t>
        </is>
      </c>
      <c r="B18" s="107" t="inlineStr">
        <is>
          <t>Modules</t>
        </is>
      </c>
      <c r="C18" s="107" t="inlineStr">
        <is>
          <t>Closed</t>
        </is>
      </c>
      <c r="D18" s="107" t="inlineStr">
        <is>
          <t>WIP</t>
        </is>
      </c>
      <c r="E18" s="150" t="n"/>
      <c r="G18" s="157" t="inlineStr">
        <is>
          <t>State</t>
        </is>
      </c>
      <c r="H18" s="107" t="inlineStr">
        <is>
          <t>Modules</t>
        </is>
      </c>
      <c r="I18" s="150" t="inlineStr">
        <is>
          <t>% Share</t>
        </is>
      </c>
      <c r="P18" s="108" t="n"/>
    </row>
    <row r="19">
      <c r="A19" s="151" t="inlineStr">
        <is>
          <t>Blupine</t>
        </is>
      </c>
      <c r="B19" s="106">
        <f>C19+D19</f>
        <v/>
      </c>
      <c r="C19" s="152">
        <f>COUNTIFS('Monthly Report May-26 Cleaned'!$C$2:$C$2787,$A19,'Monthly Report May-26 Cleaned'!$F$2:$F$2787,"Closed",'Monthly Report May-26 Cleaned'!$X$2:$X$2787,"&gt;="&amp;DATE(2026,5,1),'Monthly Report May-26 Cleaned'!$X$2:$X$2787,"&lt;="&amp;DATE(2026,5,31))</f>
        <v/>
      </c>
      <c r="D19" s="106">
        <f>COUNTIFS('Monthly Report May-26 Cleaned'!$C$2:$C$2787,$A19,'Monthly Report May-26 Cleaned'!$F$2:$F$2787,"WIP",'Monthly Report May-26 Cleaned'!$Z$2:$Z$2787,"&gt;="&amp;DATE(2026,5,1),'Monthly Report May-26 Cleaned'!$Z$2:$Z$2787,"&lt;="&amp;DATE(2026,5,31))</f>
        <v/>
      </c>
      <c r="E19" s="153" t="n"/>
      <c r="G19" s="151" t="inlineStr">
        <is>
          <t>Gujarat</t>
        </is>
      </c>
      <c r="H19" s="106">
        <f>COUNTIFS('Monthly Report May-26 Cleaned'!$L$2:$L$2787,$G19,'Monthly Report May-26 Cleaned'!$F$2:$F$2787,"Closed",'Monthly Report May-26 Cleaned'!$X$2:$X$2787,"&gt;="&amp;DATE(2026,5,1),'Monthly Report May-26 Cleaned'!$X$2:$X$2787,"&lt;="&amp;DATE(2026,5,31))</f>
        <v/>
      </c>
      <c r="I19" s="153">
        <f>H19/$H$28</f>
        <v/>
      </c>
      <c r="P19" s="108" t="n"/>
    </row>
    <row r="20">
      <c r="A20" s="151" t="inlineStr">
        <is>
          <t>Yanara Power</t>
        </is>
      </c>
      <c r="B20" s="106">
        <f>C20+D20</f>
        <v/>
      </c>
      <c r="C20" s="152">
        <f>COUNTIFS('Monthly Report May-26 Cleaned'!$C$2:$C$2787,$A20,'Monthly Report May-26 Cleaned'!$F$2:$F$2787,"Closed",'Monthly Report May-26 Cleaned'!$X$2:$X$2787,"&gt;="&amp;DATE(2026,5,1),'Monthly Report May-26 Cleaned'!$X$2:$X$2787,"&lt;="&amp;DATE(2026,5,31))</f>
        <v/>
      </c>
      <c r="D20" s="106">
        <f>COUNTIFS('Monthly Report May-26 Cleaned'!$C$2:$C$2787,$A20,'Monthly Report May-26 Cleaned'!$F$2:$F$2787,"WIP",'Monthly Report May-26 Cleaned'!$Z$2:$Z$2787,"&gt;="&amp;DATE(2026,5,1),'Monthly Report May-26 Cleaned'!$Z$2:$Z$2787,"&lt;="&amp;DATE(2026,5,31))</f>
        <v/>
      </c>
      <c r="E20" s="153" t="n"/>
      <c r="G20" s="151" t="inlineStr">
        <is>
          <t>Maharashtra</t>
        </is>
      </c>
      <c r="H20" s="106">
        <f>COUNTIFS('Monthly Report May-26 Cleaned'!$L$2:$L$2787,$G20,'Monthly Report May-26 Cleaned'!$F$2:$F$2787,"Closed",'Monthly Report May-26 Cleaned'!$X$2:$X$2787,"&gt;="&amp;DATE(2026,5,1),'Monthly Report May-26 Cleaned'!$X$2:$X$2787,"&lt;="&amp;DATE(2026,5,31))</f>
        <v/>
      </c>
      <c r="I20" s="153">
        <f>H20/$H$28</f>
        <v/>
      </c>
      <c r="P20" s="108" t="n"/>
    </row>
    <row r="21">
      <c r="A21" s="151" t="inlineStr">
        <is>
          <t>Continuum</t>
        </is>
      </c>
      <c r="B21" s="106">
        <f>C21+D21</f>
        <v/>
      </c>
      <c r="C21" s="152">
        <f>COUNTIFS('Monthly Report May-26 Cleaned'!$C$2:$C$2787,$A21,'Monthly Report May-26 Cleaned'!$F$2:$F$2787,"Closed",'Monthly Report May-26 Cleaned'!$X$2:$X$2787,"&gt;="&amp;DATE(2026,5,1),'Monthly Report May-26 Cleaned'!$X$2:$X$2787,"&lt;="&amp;DATE(2026,5,31))</f>
        <v/>
      </c>
      <c r="D21" s="106">
        <f>COUNTIFS('Monthly Report May-26 Cleaned'!$C$2:$C$2787,$A21,'Monthly Report May-26 Cleaned'!$F$2:$F$2787,"WIP",'Monthly Report May-26 Cleaned'!$Z$2:$Z$2787,"&gt;="&amp;DATE(2026,5,1),'Monthly Report May-26 Cleaned'!$Z$2:$Z$2787,"&lt;="&amp;DATE(2026,5,31))</f>
        <v/>
      </c>
      <c r="E21" s="153" t="n"/>
      <c r="G21" s="151" t="inlineStr">
        <is>
          <t>Kerala</t>
        </is>
      </c>
      <c r="H21" s="106">
        <f>COUNTIFS('Monthly Report May-26 Cleaned'!$L$2:$L$2787,$G21,'Monthly Report May-26 Cleaned'!$F$2:$F$2787,"Closed",'Monthly Report May-26 Cleaned'!$X$2:$X$2787,"&gt;="&amp;DATE(2026,5,1),'Monthly Report May-26 Cleaned'!$X$2:$X$2787,"&lt;="&amp;DATE(2026,5,31))</f>
        <v/>
      </c>
      <c r="I21" s="153">
        <f>H21/$H$28</f>
        <v/>
      </c>
      <c r="P21" s="108" t="n"/>
    </row>
    <row r="22">
      <c r="A22" s="151" t="inlineStr">
        <is>
          <t>First Energy</t>
        </is>
      </c>
      <c r="B22" s="106">
        <f>C22+D22</f>
        <v/>
      </c>
      <c r="C22" s="152">
        <f>COUNTIFS('Monthly Report May-26 Cleaned'!$C$2:$C$2787,$A22,'Monthly Report May-26 Cleaned'!$F$2:$F$2787,"Closed",'Monthly Report May-26 Cleaned'!$X$2:$X$2787,"&gt;="&amp;DATE(2026,5,1),'Monthly Report May-26 Cleaned'!$X$2:$X$2787,"&lt;="&amp;DATE(2026,5,31))</f>
        <v/>
      </c>
      <c r="D22" s="106">
        <f>COUNTIFS('Monthly Report May-26 Cleaned'!$C$2:$C$2787,$A22,'Monthly Report May-26 Cleaned'!$F$2:$F$2787,"WIP",'Monthly Report May-26 Cleaned'!$Z$2:$Z$2787,"&gt;="&amp;DATE(2026,5,1),'Monthly Report May-26 Cleaned'!$Z$2:$Z$2787,"&lt;="&amp;DATE(2026,5,31))</f>
        <v/>
      </c>
      <c r="E22" s="153" t="n"/>
      <c r="G22" s="151" t="inlineStr">
        <is>
          <t>Telangana</t>
        </is>
      </c>
      <c r="H22" s="106">
        <f>COUNTIFS('Monthly Report May-26 Cleaned'!$L$2:$L$2787,$G22,'Monthly Report May-26 Cleaned'!$F$2:$F$2787,"Closed",'Monthly Report May-26 Cleaned'!$X$2:$X$2787,"&gt;="&amp;DATE(2026,5,1),'Monthly Report May-26 Cleaned'!$X$2:$X$2787,"&lt;="&amp;DATE(2026,5,31))</f>
        <v/>
      </c>
      <c r="I22" s="153">
        <f>H22/$H$28</f>
        <v/>
      </c>
      <c r="P22" s="108" t="n"/>
    </row>
    <row r="23">
      <c r="A23" s="151" t="inlineStr">
        <is>
          <t>Solar Square</t>
        </is>
      </c>
      <c r="B23" s="106">
        <f>C23+D23</f>
        <v/>
      </c>
      <c r="C23" s="152">
        <f>COUNTIFS('Monthly Report May-26 Cleaned'!$C$2:$C$2787,$A23,'Monthly Report May-26 Cleaned'!$F$2:$F$2787,"Closed",'Monthly Report May-26 Cleaned'!$X$2:$X$2787,"&gt;="&amp;DATE(2026,5,1),'Monthly Report May-26 Cleaned'!$X$2:$X$2787,"&lt;="&amp;DATE(2026,5,31))</f>
        <v/>
      </c>
      <c r="D23" s="106">
        <f>COUNTIFS('Monthly Report May-26 Cleaned'!$C$2:$C$2787,$A23,'Monthly Report May-26 Cleaned'!$F$2:$F$2787,"WIP",'Monthly Report May-26 Cleaned'!$Z$2:$Z$2787,"&gt;="&amp;DATE(2026,5,1),'Monthly Report May-26 Cleaned'!$Z$2:$Z$2787,"&lt;="&amp;DATE(2026,5,31))</f>
        <v/>
      </c>
      <c r="E23" s="153" t="n"/>
      <c r="G23" s="151" t="inlineStr">
        <is>
          <t>UP</t>
        </is>
      </c>
      <c r="H23" s="106">
        <f>COUNTIFS('Monthly Report May-26 Cleaned'!$L$2:$L$2787,$G23,'Monthly Report May-26 Cleaned'!$F$2:$F$2787,"Closed",'Monthly Report May-26 Cleaned'!$X$2:$X$2787,"&gt;="&amp;DATE(2026,5,1),'Monthly Report May-26 Cleaned'!$X$2:$X$2787,"&lt;="&amp;DATE(2026,5,31))</f>
        <v/>
      </c>
      <c r="I23" s="153">
        <f>H23/$H$28</f>
        <v/>
      </c>
      <c r="P23" s="108" t="n"/>
    </row>
    <row r="24">
      <c r="A24" s="151" t="inlineStr">
        <is>
          <t>Oyster Technocon</t>
        </is>
      </c>
      <c r="B24" s="106">
        <f>C24+D24</f>
        <v/>
      </c>
      <c r="C24" s="152">
        <f>COUNTIFS('Monthly Report May-26 Cleaned'!$C$2:$C$2787,$A24,'Monthly Report May-26 Cleaned'!$F$2:$F$2787,"Closed",'Monthly Report May-26 Cleaned'!$X$2:$X$2787,"&gt;="&amp;DATE(2026,5,1),'Monthly Report May-26 Cleaned'!$X$2:$X$2787,"&lt;="&amp;DATE(2026,5,31))</f>
        <v/>
      </c>
      <c r="D24" s="106">
        <f>COUNTIFS('Monthly Report May-26 Cleaned'!$C$2:$C$2787,$A24,'Monthly Report May-26 Cleaned'!$F$2:$F$2787,"WIP",'Monthly Report May-26 Cleaned'!$Z$2:$Z$2787,"&gt;="&amp;DATE(2026,5,1),'Monthly Report May-26 Cleaned'!$Z$2:$Z$2787,"&lt;="&amp;DATE(2026,5,31))</f>
        <v/>
      </c>
      <c r="E24" s="153" t="n"/>
      <c r="G24" s="151" t="inlineStr">
        <is>
          <t>MP</t>
        </is>
      </c>
      <c r="H24" s="106">
        <f>COUNTIFS('Monthly Report May-26 Cleaned'!$L$2:$L$2787,$G24,'Monthly Report May-26 Cleaned'!$F$2:$F$2787,"Closed",'Monthly Report May-26 Cleaned'!$X$2:$X$2787,"&gt;="&amp;DATE(2026,5,1),'Monthly Report May-26 Cleaned'!$X$2:$X$2787,"&lt;="&amp;DATE(2026,5,31))</f>
        <v/>
      </c>
      <c r="I24" s="153">
        <f>H24/$H$28</f>
        <v/>
      </c>
      <c r="P24" s="108" t="n"/>
    </row>
    <row r="25">
      <c r="A25" s="151" t="inlineStr">
        <is>
          <t>Panasonic</t>
        </is>
      </c>
      <c r="B25" s="106">
        <f>C25+D25</f>
        <v/>
      </c>
      <c r="C25" s="152">
        <f>COUNTIFS('Monthly Report May-26 Cleaned'!$C$2:$C$2787,$A25,'Monthly Report May-26 Cleaned'!$F$2:$F$2787,"Closed",'Monthly Report May-26 Cleaned'!$X$2:$X$2787,"&gt;="&amp;DATE(2026,5,1),'Monthly Report May-26 Cleaned'!$X$2:$X$2787,"&lt;="&amp;DATE(2026,5,31))</f>
        <v/>
      </c>
      <c r="D25" s="106">
        <f>COUNTIFS('Monthly Report May-26 Cleaned'!$C$2:$C$2787,$A25,'Monthly Report May-26 Cleaned'!$F$2:$F$2787,"WIP",'Monthly Report May-26 Cleaned'!$Z$2:$Z$2787,"&gt;="&amp;DATE(2026,5,1),'Monthly Report May-26 Cleaned'!$Z$2:$Z$2787,"&lt;="&amp;DATE(2026,5,31))</f>
        <v/>
      </c>
      <c r="E25" s="153" t="n"/>
      <c r="G25" s="151" t="inlineStr">
        <is>
          <t>Andhra Pradesh</t>
        </is>
      </c>
      <c r="H25" s="106">
        <f>COUNTIFS('Monthly Report May-26 Cleaned'!$L$2:$L$2787,"*Andhra*",'Monthly Report May-26 Cleaned'!$F$2:$F$2787,"Closed",'Monthly Report May-26 Cleaned'!$X$2:$X$2787,"&gt;="&amp;DATE(2026,5,1),'Monthly Report May-26 Cleaned'!$X$2:$X$2787,"&lt;="&amp;DATE(2026,5,31))</f>
        <v/>
      </c>
      <c r="I25" s="153">
        <f>H25/$H$28</f>
        <v/>
      </c>
      <c r="P25" s="108" t="n"/>
    </row>
    <row r="26">
      <c r="A26" s="151" t="inlineStr">
        <is>
          <t>TRUE SUN TRADING COMPANY</t>
        </is>
      </c>
      <c r="B26" s="106">
        <f>C26+D26</f>
        <v/>
      </c>
      <c r="C26" s="152">
        <f>COUNTIFS('Monthly Report May-26 Cleaned'!$C$2:$C$2787,$A26,'Monthly Report May-26 Cleaned'!$F$2:$F$2787,"Closed",'Monthly Report May-26 Cleaned'!$X$2:$X$2787,"&gt;="&amp;DATE(2026,5,1),'Monthly Report May-26 Cleaned'!$X$2:$X$2787,"&lt;="&amp;DATE(2026,5,31))</f>
        <v/>
      </c>
      <c r="D26" s="106">
        <f>COUNTIFS('Monthly Report May-26 Cleaned'!$C$2:$C$2787,$A26,'Monthly Report May-26 Cleaned'!$F$2:$F$2787,"WIP",'Monthly Report May-26 Cleaned'!$Z$2:$Z$2787,"&gt;="&amp;DATE(2026,5,1),'Monthly Report May-26 Cleaned'!$Z$2:$Z$2787,"&lt;="&amp;DATE(2026,5,31))</f>
        <v/>
      </c>
      <c r="E26" s="153" t="n"/>
      <c r="G26" s="151" t="inlineStr">
        <is>
          <t>Karnataka</t>
        </is>
      </c>
      <c r="H26" s="106">
        <f>COUNTIFS('Monthly Report May-26 Cleaned'!$L$2:$L$2787,$G26,'Monthly Report May-26 Cleaned'!$F$2:$F$2787,"Closed",'Monthly Report May-26 Cleaned'!$X$2:$X$2787,"&gt;="&amp;DATE(2026,5,1),'Monthly Report May-26 Cleaned'!$X$2:$X$2787,"&lt;="&amp;DATE(2026,5,31))</f>
        <v/>
      </c>
      <c r="I26" s="153">
        <f>H26/$H$28</f>
        <v/>
      </c>
      <c r="P26" s="108" t="n"/>
    </row>
    <row r="27">
      <c r="A27" s="151" t="inlineStr">
        <is>
          <t>Maya Power</t>
        </is>
      </c>
      <c r="B27" s="106">
        <f>C27+D27</f>
        <v/>
      </c>
      <c r="C27" s="152">
        <f>COUNTIFS('Monthly Report May-26 Cleaned'!$C$2:$C$2787,$A27,'Monthly Report May-26 Cleaned'!$F$2:$F$2787,"Closed",'Monthly Report May-26 Cleaned'!$X$2:$X$2787,"&gt;="&amp;DATE(2026,5,1),'Monthly Report May-26 Cleaned'!$X$2:$X$2787,"&lt;="&amp;DATE(2026,5,31))</f>
        <v/>
      </c>
      <c r="D27" s="106">
        <f>COUNTIFS('Monthly Report May-26 Cleaned'!$C$2:$C$2787,$A27,'Monthly Report May-26 Cleaned'!$F$2:$F$2787,"WIP",'Monthly Report May-26 Cleaned'!$Z$2:$Z$2787,"&gt;="&amp;DATE(2026,5,1),'Monthly Report May-26 Cleaned'!$Z$2:$Z$2787,"&lt;="&amp;DATE(2026,5,31))</f>
        <v/>
      </c>
      <c r="E27" s="153" t="n"/>
      <c r="G27" s="151" t="inlineStr">
        <is>
          <t>Tamil Nadu</t>
        </is>
      </c>
      <c r="H27" s="106">
        <f>COUNTIFS('Monthly Report May-26 Cleaned'!$L$2:$L$2787,$G27,'Monthly Report May-26 Cleaned'!$F$2:$F$2787,"Closed",'Monthly Report May-26 Cleaned'!$X$2:$X$2787,"&gt;="&amp;DATE(2026,5,1),'Monthly Report May-26 Cleaned'!$X$2:$X$2787,"&lt;="&amp;DATE(2026,5,31))</f>
        <v/>
      </c>
      <c r="I27" s="153">
        <f>H27/$H$28</f>
        <v/>
      </c>
      <c r="P27" s="108" t="n"/>
    </row>
    <row r="28" ht="15" customHeight="1" s="233" thickBot="1">
      <c r="A28" s="151" t="inlineStr">
        <is>
          <t>Axitec Energy</t>
        </is>
      </c>
      <c r="B28" s="106">
        <f>C28+D28</f>
        <v/>
      </c>
      <c r="C28" s="152">
        <f>COUNTIFS('Monthly Report May-26 Cleaned'!$C$2:$C$2787,$A28,'Monthly Report May-26 Cleaned'!$F$2:$F$2787,"Closed",'Monthly Report May-26 Cleaned'!$X$2:$X$2787,"&gt;="&amp;DATE(2026,5,1),'Monthly Report May-26 Cleaned'!$X$2:$X$2787,"&lt;="&amp;DATE(2026,5,31))</f>
        <v/>
      </c>
      <c r="D28" s="106">
        <f>COUNTIFS('Monthly Report May-26 Cleaned'!$C$2:$C$2787,$A28,'Monthly Report May-26 Cleaned'!$F$2:$F$2787,"WIP",'Monthly Report May-26 Cleaned'!$Z$2:$Z$2787,"&gt;="&amp;DATE(2026,5,1),'Monthly Report May-26 Cleaned'!$Z$2:$Z$2787,"&lt;="&amp;DATE(2026,5,31))</f>
        <v/>
      </c>
      <c r="E28" s="153" t="n"/>
      <c r="G28" s="154" t="inlineStr">
        <is>
          <t>TOTAL</t>
        </is>
      </c>
      <c r="H28" s="155">
        <f>SUM(H19:H27)</f>
        <v/>
      </c>
      <c r="I28" s="156">
        <f>SUM(I19:I27)</f>
        <v/>
      </c>
      <c r="K28" s="127" t="n"/>
      <c r="P28" s="108" t="n"/>
    </row>
    <row r="29" ht="15" customHeight="1" s="233" thickBot="1">
      <c r="A29" s="151" t="inlineStr">
        <is>
          <t>Nabhas Constructions</t>
        </is>
      </c>
      <c r="B29" s="106">
        <f>C29+D29</f>
        <v/>
      </c>
      <c r="C29" s="152">
        <f>COUNTIFS('Monthly Report May-26 Cleaned'!$C$2:$C$2787,$A29,'Monthly Report May-26 Cleaned'!$F$2:$F$2787,"Closed",'Monthly Report May-26 Cleaned'!$X$2:$X$2787,"&gt;="&amp;DATE(2026,5,1),'Monthly Report May-26 Cleaned'!$X$2:$X$2787,"&lt;="&amp;DATE(2026,5,31))</f>
        <v/>
      </c>
      <c r="D29" s="106">
        <f>COUNTIFS('Monthly Report May-26 Cleaned'!$C$2:$C$2787,$A29,'Monthly Report May-26 Cleaned'!$F$2:$F$2787,"WIP",'Monthly Report May-26 Cleaned'!$Z$2:$Z$2787,"&gt;="&amp;DATE(2026,5,1),'Monthly Report May-26 Cleaned'!$Z$2:$Z$2787,"&lt;="&amp;DATE(2026,5,31))</f>
        <v/>
      </c>
      <c r="E29" s="153" t="n"/>
      <c r="P29" s="108" t="n"/>
    </row>
    <row r="30" ht="16" customHeight="1" s="233">
      <c r="A30" s="151" t="inlineStr">
        <is>
          <t>Cresta Solar</t>
        </is>
      </c>
      <c r="B30" s="106">
        <f>C30+D30</f>
        <v/>
      </c>
      <c r="C30" s="152">
        <f>COUNTIFS('Monthly Report May-26 Cleaned'!$C$2:$C$2787,$A30,'Monthly Report May-26 Cleaned'!$F$2:$F$2787,"Closed",'Monthly Report May-26 Cleaned'!$X$2:$X$2787,"&gt;="&amp;DATE(2026,5,1),'Monthly Report May-26 Cleaned'!$X$2:$X$2787,"&lt;="&amp;DATE(2026,5,31))</f>
        <v/>
      </c>
      <c r="D30" s="106">
        <f>COUNTIFS('Monthly Report May-26 Cleaned'!$C$2:$C$2787,$A30,'Monthly Report May-26 Cleaned'!$F$2:$F$2787,"WIP",'Monthly Report May-26 Cleaned'!$Z$2:$Z$2787,"&gt;="&amp;DATE(2026,5,1),'Monthly Report May-26 Cleaned'!$Z$2:$Z$2787,"&lt;="&amp;DATE(2026,5,31))</f>
        <v/>
      </c>
      <c r="E30" s="153" t="n"/>
      <c r="G30" s="237" t="inlineStr">
        <is>
          <t xml:space="preserve"> RESOLUTION TYPE</t>
        </is>
      </c>
      <c r="H30" s="238" t="n"/>
      <c r="I30" s="239" t="n"/>
      <c r="P30" s="108" t="n"/>
    </row>
    <row r="31">
      <c r="A31" s="151" t="inlineStr">
        <is>
          <t>SUNRISE TECHNOLOGIES</t>
        </is>
      </c>
      <c r="B31" s="106">
        <f>C31+D31</f>
        <v/>
      </c>
      <c r="C31" s="152">
        <f>COUNTIFS('Monthly Report May-26 Cleaned'!$C$2:$C$2787,$A31,'Monthly Report May-26 Cleaned'!$F$2:$F$2787,"Closed",'Monthly Report May-26 Cleaned'!$X$2:$X$2787,"&gt;="&amp;DATE(2026,5,1),'Monthly Report May-26 Cleaned'!$X$2:$X$2787,"&lt;="&amp;DATE(2026,5,31))</f>
        <v/>
      </c>
      <c r="D31" s="106">
        <f>COUNTIFS('Monthly Report May-26 Cleaned'!$C$2:$C$2787,$A31,'Monthly Report May-26 Cleaned'!$F$2:$F$2787,"WIP",'Monthly Report May-26 Cleaned'!$Z$2:$Z$2787,"&gt;="&amp;DATE(2026,5,1),'Monthly Report May-26 Cleaned'!$Z$2:$Z$2787,"&lt;="&amp;DATE(2026,5,31))</f>
        <v/>
      </c>
      <c r="E31" s="153" t="n"/>
      <c r="G31" s="149" t="inlineStr">
        <is>
          <t>Resolution</t>
        </is>
      </c>
      <c r="H31" s="107" t="inlineStr">
        <is>
          <t>Modules</t>
        </is>
      </c>
      <c r="I31" s="150" t="inlineStr">
        <is>
          <t>% Share</t>
        </is>
      </c>
      <c r="P31" s="108" t="n"/>
    </row>
    <row r="32">
      <c r="A32" s="151" t="inlineStr">
        <is>
          <t>SILRES Energy Solutions Private Limited</t>
        </is>
      </c>
      <c r="B32" s="106">
        <f>C32+D32</f>
        <v/>
      </c>
      <c r="C32" s="152">
        <f>COUNTIFS('Monthly Report May-26 Cleaned'!$C$2:$C$2787,$A32,'Monthly Report May-26 Cleaned'!$F$2:$F$2787,"Closed",'Monthly Report May-26 Cleaned'!$X$2:$X$2787,"&gt;="&amp;DATE(2026,5,1),'Monthly Report May-26 Cleaned'!$X$2:$X$2787,"&lt;="&amp;DATE(2026,5,31))</f>
        <v/>
      </c>
      <c r="D32" s="106">
        <f>COUNTIFS('Monthly Report May-26 Cleaned'!$C$2:$C$2787,$A32,'Monthly Report May-26 Cleaned'!$F$2:$F$2787,"WIP",'Monthly Report May-26 Cleaned'!$Z$2:$Z$2787,"&gt;="&amp;DATE(2026,5,1),'Monthly Report May-26 Cleaned'!$Z$2:$Z$2787,"&lt;="&amp;DATE(2026,5,31))</f>
        <v/>
      </c>
      <c r="E32" s="153" t="n"/>
      <c r="G32" s="151" t="inlineStr">
        <is>
          <t>Retrofit</t>
        </is>
      </c>
      <c r="H32" s="106">
        <f>COUNTIFS('Monthly Report May-26 Cleaned'!$W$2:$W$2787,"Retrofit",'Monthly Report May-26 Cleaned'!$X$2:$X$2787,"&gt;="&amp;DATE(2026,5,1),'Monthly Report May-26 Cleaned'!$X$2:$X$2787,"&lt;="&amp;DATE(2026,5,31))</f>
        <v/>
      </c>
      <c r="I32" s="153">
        <f>H32/$H$39</f>
        <v/>
      </c>
      <c r="P32" s="108" t="n"/>
    </row>
    <row r="33">
      <c r="A33" s="151" t="inlineStr">
        <is>
          <t>RA GREEN ENERGks</t>
        </is>
      </c>
      <c r="B33" s="106">
        <f>C33+D33</f>
        <v/>
      </c>
      <c r="C33" s="152">
        <f>COUNTIFS('Monthly Report May-26 Cleaned'!$C$2:$C$2787,$A33,'Monthly Report May-26 Cleaned'!$F$2:$F$2787,"Closed",'Monthly Report May-26 Cleaned'!$X$2:$X$2787,"&gt;="&amp;DATE(2026,5,1),'Monthly Report May-26 Cleaned'!$X$2:$X$2787,"&lt;="&amp;DATE(2026,5,31))</f>
        <v/>
      </c>
      <c r="D33" s="106">
        <f>COUNTIFS('Monthly Report May-26 Cleaned'!$C$2:$C$2787,$A33,'Monthly Report May-26 Cleaned'!$F$2:$F$2787,"WIP",'Monthly Report May-26 Cleaned'!$Z$2:$Z$2787,"&gt;="&amp;DATE(2026,5,1),'Monthly Report May-26 Cleaned'!$Z$2:$Z$2787,"&lt;="&amp;DATE(2026,5,31))</f>
        <v/>
      </c>
      <c r="E33" s="153" t="n"/>
      <c r="G33" s="151" t="inlineStr">
        <is>
          <t>Inspection (WIP)</t>
        </is>
      </c>
      <c r="H33" s="106">
        <f>COUNTIFS('Monthly Report May-26 Cleaned'!$W$2:$W$2787,"WIP",'Monthly Report May-26 Cleaned'!$Z$2:$Z$2787,"&gt;="&amp;DATE(2026,5,1),'Monthly Report May-26 Cleaned'!$Z$2:$Z$2787,"&lt;="&amp;DATE(2026,5,31))</f>
        <v/>
      </c>
      <c r="I33" s="153">
        <f>H33/$H$39</f>
        <v/>
      </c>
      <c r="P33" s="108" t="n"/>
    </row>
    <row r="34">
      <c r="A34" s="151" t="inlineStr">
        <is>
          <t>Uma Trading</t>
        </is>
      </c>
      <c r="B34" s="106">
        <f>C34+D34</f>
        <v/>
      </c>
      <c r="C34" s="152">
        <f>COUNTIFS('Monthly Report May-26 Cleaned'!$C$2:$C$2787,$A34,'Monthly Report May-26 Cleaned'!$F$2:$F$2787,"Closed",'Monthly Report May-26 Cleaned'!$X$2:$X$2787,"&gt;="&amp;DATE(2026,5,1),'Monthly Report May-26 Cleaned'!$X$2:$X$2787,"&lt;="&amp;DATE(2026,5,31))</f>
        <v/>
      </c>
      <c r="D34" s="106">
        <f>COUNTIFS('Monthly Report May-26 Cleaned'!$C$2:$C$2787,$A34,'Monthly Report May-26 Cleaned'!$F$2:$F$2787,"WIP",'Monthly Report May-26 Cleaned'!$Z$2:$Z$2787,"&gt;="&amp;DATE(2026,5,1),'Monthly Report May-26 Cleaned'!$Z$2:$Z$2787,"&lt;="&amp;DATE(2026,5,31))</f>
        <v/>
      </c>
      <c r="E34" s="153" t="n"/>
      <c r="G34" s="151" t="inlineStr">
        <is>
          <t>CN (Credit Note)</t>
        </is>
      </c>
      <c r="H34" s="106">
        <f>COUNTIFS('Monthly Report May-26 Cleaned'!$W$2:$W$2787,"*CN*",'Monthly Report May-26 Cleaned'!$X$2:$X$2787,"&gt;="&amp;DATE(2026,5,1),'Monthly Report May-26 Cleaned'!$X$2:$X$2787,"&lt;="&amp;DATE(2026,5,31))</f>
        <v/>
      </c>
      <c r="I34" s="153">
        <f>H34/$H$39</f>
        <v/>
      </c>
      <c r="P34" s="108" t="n"/>
    </row>
    <row r="35" ht="15" customHeight="1" s="233" thickBot="1">
      <c r="A35" s="154" t="inlineStr">
        <is>
          <t>TOTAL</t>
        </is>
      </c>
      <c r="B35" s="155">
        <f>SUM(B19:B34)</f>
        <v/>
      </c>
      <c r="C35" s="155">
        <f>SUM(C19:C34)</f>
        <v/>
      </c>
      <c r="D35" s="155">
        <f>SUM(D19:D34)</f>
        <v/>
      </c>
      <c r="E35" s="156" t="n"/>
      <c r="G35" s="151" t="inlineStr">
        <is>
          <t>Repair</t>
        </is>
      </c>
      <c r="H35" s="106">
        <f>COUNTIFS('Monthly Report May-26 Cleaned'!$W$2:$W$2787,"Repair",'Monthly Report May-26 Cleaned'!$X$2:$X$2787,"&gt;="&amp;DATE(2026,5,1),'Monthly Report May-26 Cleaned'!$X$2:$X$2787,"&lt;="&amp;DATE(2026,5,31))</f>
        <v/>
      </c>
      <c r="I35" s="153">
        <f>H35/$H$39</f>
        <v/>
      </c>
      <c r="P35" s="108" t="n"/>
    </row>
    <row r="36">
      <c r="G36" s="151" t="inlineStr">
        <is>
          <t>Rejected</t>
        </is>
      </c>
      <c r="H36" s="106">
        <f>COUNTIFS('Monthly Report May-26 Cleaned'!$W$2:$W$2787,"Rejected",'Monthly Report May-26 Cleaned'!$X$2:$X$2787,"&gt;="&amp;DATE(2026,5,1),'Monthly Report May-26 Cleaned'!$X$2:$X$2787,"&lt;="&amp;DATE(2026,5,31))</f>
        <v/>
      </c>
      <c r="I36" s="153">
        <f>H36/$H$39</f>
        <v/>
      </c>
      <c r="P36" s="108" t="n"/>
    </row>
    <row r="37" ht="15" customHeight="1" s="233" thickBot="1">
      <c r="G37" s="151" t="inlineStr">
        <is>
          <t>Replacement</t>
        </is>
      </c>
      <c r="H37" s="106">
        <f>COUNTIFS('Monthly Report May-26 Cleaned'!$W$2:$W$2787,"Replacement",'Monthly Report May-26 Cleaned'!$X$2:$X$2787,"&gt;="&amp;DATE(2026,5,1),'Monthly Report May-26 Cleaned'!$X$2:$X$2787,"&lt;="&amp;DATE(2026,5,31))</f>
        <v/>
      </c>
      <c r="I37" s="153">
        <f>H37/$H$39</f>
        <v/>
      </c>
    </row>
    <row r="38" ht="16" customHeight="1" s="233">
      <c r="A38" s="237" t="inlineStr">
        <is>
          <t xml:space="preserve"> DAILY COMPLAINTS TREND - MAY 2026</t>
        </is>
      </c>
      <c r="B38" s="238" t="n"/>
      <c r="C38" s="238" t="n"/>
      <c r="D38" s="239" t="n"/>
      <c r="G38" s="151" t="inlineStr">
        <is>
          <t>Refund</t>
        </is>
      </c>
      <c r="H38" s="106">
        <f>COUNTIFS('Monthly Report May-26 Cleaned'!$W$2:$W$2787,"Refund",'Monthly Report May-26 Cleaned'!$X$2:$X$2787,"&gt;="&amp;DATE(2026,5,1),'Monthly Report May-26 Cleaned'!$X$2:$X$2787,"&lt;="&amp;DATE(2026,5,31))</f>
        <v/>
      </c>
      <c r="I38" s="153">
        <f>H38/$H$39</f>
        <v/>
      </c>
    </row>
    <row r="39" ht="15" customHeight="1" s="233" thickBot="1">
      <c r="A39" s="157" t="inlineStr">
        <is>
          <t>Date</t>
        </is>
      </c>
      <c r="B39" s="107" t="inlineStr">
        <is>
          <t>Modules Visited</t>
        </is>
      </c>
      <c r="C39" s="107" t="inlineStr">
        <is>
          <t>Closed</t>
        </is>
      </c>
      <c r="D39" s="150" t="inlineStr">
        <is>
          <t>WIP</t>
        </is>
      </c>
      <c r="G39" s="154" t="inlineStr">
        <is>
          <t>TOTAL</t>
        </is>
      </c>
      <c r="H39" s="155">
        <f>SUM(H32:H38)</f>
        <v/>
      </c>
      <c r="I39" s="156">
        <f>SUM(I32:I38)</f>
        <v/>
      </c>
    </row>
    <row r="40">
      <c r="A40" s="158" t="n">
        <v>46143</v>
      </c>
      <c r="B40" s="106">
        <f>COUNTIF('Monthly Report May-26 Cleaned'!$Z$2:$Z$2787,$A40)</f>
        <v/>
      </c>
      <c r="C40" s="106">
        <f>COUNTIFS('Monthly Report May-26 Cleaned'!$Z$2:$Z$2787,$A40,'Monthly Report May-26 Cleaned'!$F$2:$F$2787,"Closed")</f>
        <v/>
      </c>
      <c r="D40" s="144">
        <f>COUNTIFS('Monthly Report May-26 Cleaned'!$Z$2:$Z$2787,$A40,'Monthly Report May-26 Cleaned'!$F$2:$F$2787,"WIP")</f>
        <v/>
      </c>
    </row>
    <row r="41">
      <c r="A41" s="158" t="n">
        <v>46144</v>
      </c>
      <c r="B41" s="106">
        <f>COUNTIF('Monthly Report May-26 Cleaned'!$Z$2:$Z$2787,$A41)</f>
        <v/>
      </c>
      <c r="C41" s="106">
        <f>COUNTIFS('Monthly Report May-26 Cleaned'!$Z$2:$Z$2787,$A41,'Monthly Report May-26 Cleaned'!$F$2:$F$2787,"Closed")</f>
        <v/>
      </c>
      <c r="D41" s="144">
        <f>COUNTIFS('Monthly Report May-26 Cleaned'!$Z$2:$Z$2787,$A41,'Monthly Report May-26 Cleaned'!$F$2:$F$2787,"WIP")</f>
        <v/>
      </c>
    </row>
    <row r="42">
      <c r="A42" s="158" t="n">
        <v>46146</v>
      </c>
      <c r="B42" s="106">
        <f>COUNTIF('Monthly Report May-26 Cleaned'!$Z$2:$Z$2787,$A42)</f>
        <v/>
      </c>
      <c r="C42" s="106">
        <f>COUNTIFS('Monthly Report May-26 Cleaned'!$Z$2:$Z$2787,$A42,'Monthly Report May-26 Cleaned'!$F$2:$F$2787,"Closed")</f>
        <v/>
      </c>
      <c r="D42" s="144">
        <f>COUNTIFS('Monthly Report May-26 Cleaned'!$Z$2:$Z$2787,$A42,'Monthly Report May-26 Cleaned'!$F$2:$F$2787,"WIP")</f>
        <v/>
      </c>
    </row>
    <row r="43" ht="15" customHeight="1" s="233" thickBot="1">
      <c r="A43" s="158" t="n">
        <v>46147</v>
      </c>
      <c r="B43" s="106">
        <f>COUNTIF('Monthly Report May-26 Cleaned'!$Z$2:$Z$2787,$A43)</f>
        <v/>
      </c>
      <c r="C43" s="106">
        <f>COUNTIFS('Monthly Report May-26 Cleaned'!$Z$2:$Z$2787,$A43,'Monthly Report May-26 Cleaned'!$F$2:$F$2787,"Closed")</f>
        <v/>
      </c>
      <c r="D43" s="144">
        <f>COUNTIFS('Monthly Report May-26 Cleaned'!$Z$2:$Z$2787,$A43,'Monthly Report May-26 Cleaned'!$F$2:$F$2787,"WIP")</f>
        <v/>
      </c>
    </row>
    <row r="44" ht="16" customHeight="1" s="233">
      <c r="A44" s="158" t="n">
        <v>46148</v>
      </c>
      <c r="B44" s="106">
        <f>COUNTIF('Monthly Report May-26 Cleaned'!$Z$2:$Z$2787,$A44)</f>
        <v/>
      </c>
      <c r="C44" s="106">
        <f>COUNTIFS('Monthly Report May-26 Cleaned'!$Z$2:$Z$2787,$A44,'Monthly Report May-26 Cleaned'!$F$2:$F$2787,"Closed")</f>
        <v/>
      </c>
      <c r="D44" s="144">
        <f>COUNTIFS('Monthly Report May-26 Cleaned'!$Z$2:$Z$2787,$A44,'Monthly Report May-26 Cleaned'!$F$2:$F$2787,"WIP")</f>
        <v/>
      </c>
      <c r="G44" s="237" t="inlineStr">
        <is>
          <t>WEEK-WISE BREAKDOWN</t>
        </is>
      </c>
      <c r="H44" s="238" t="n"/>
      <c r="I44" s="239" t="n"/>
    </row>
    <row r="45">
      <c r="A45" s="158" t="n">
        <v>46149</v>
      </c>
      <c r="B45" s="106">
        <f>COUNTIF('Monthly Report May-26 Cleaned'!$Z$2:$Z$2787,$A45)</f>
        <v/>
      </c>
      <c r="C45" s="106">
        <f>COUNTIFS('Monthly Report May-26 Cleaned'!$Z$2:$Z$2787,$A45,'Monthly Report May-26 Cleaned'!$F$2:$F$2787,"Closed")</f>
        <v/>
      </c>
      <c r="D45" s="144">
        <f>COUNTIFS('Monthly Report May-26 Cleaned'!$Z$2:$Z$2787,$A45,'Monthly Report May-26 Cleaned'!$F$2:$F$2787,"WIP")</f>
        <v/>
      </c>
      <c r="G45" s="157" t="inlineStr">
        <is>
          <t>Week</t>
        </is>
      </c>
      <c r="H45" s="107" t="inlineStr">
        <is>
          <t>Modules</t>
        </is>
      </c>
      <c r="I45" s="150" t="inlineStr">
        <is>
          <t>% Share</t>
        </is>
      </c>
    </row>
    <row r="46">
      <c r="A46" s="158" t="n">
        <v>46150</v>
      </c>
      <c r="B46" s="106">
        <f>COUNTIF('Monthly Report May-26 Cleaned'!$Z$2:$Z$2787,$A46)</f>
        <v/>
      </c>
      <c r="C46" s="106">
        <f>COUNTIFS('Monthly Report May-26 Cleaned'!$Z$2:$Z$2787,$A46,'Monthly Report May-26 Cleaned'!$F$2:$F$2787,"Closed")</f>
        <v/>
      </c>
      <c r="D46" s="144">
        <f>COUNTIFS('Monthly Report May-26 Cleaned'!$Z$2:$Z$2787,$A46,'Monthly Report May-26 Cleaned'!$F$2:$F$2787,"WIP")</f>
        <v/>
      </c>
      <c r="G46" s="151" t="inlineStr">
        <is>
          <t>W1 (01-07 May)</t>
        </is>
      </c>
      <c r="H46" s="106">
        <f>COUNTIFS('Monthly Report May-26 Cleaned'!$Z$2:$Z$2787,"&gt;="&amp;DATE(2026,5,1),'Monthly Report May-26 Cleaned'!$Z$2:$Z$2787,"&lt;="&amp;DATE(2026,5,7))</f>
        <v/>
      </c>
      <c r="I46" s="153">
        <f>H46/$H$51</f>
        <v/>
      </c>
    </row>
    <row r="47">
      <c r="A47" s="158" t="n">
        <v>46151</v>
      </c>
      <c r="B47" s="106">
        <f>COUNTIF('Monthly Report May-26 Cleaned'!$Z$2:$Z$2787,$A47)</f>
        <v/>
      </c>
      <c r="C47" s="106">
        <f>COUNTIFS('Monthly Report May-26 Cleaned'!$Z$2:$Z$2787,$A47,'Monthly Report May-26 Cleaned'!$F$2:$F$2787,"Closed")</f>
        <v/>
      </c>
      <c r="D47" s="144">
        <f>COUNTIFS('Monthly Report May-26 Cleaned'!$Z$2:$Z$2787,$A47,'Monthly Report May-26 Cleaned'!$F$2:$F$2787,"WIP")</f>
        <v/>
      </c>
      <c r="G47" s="151" t="inlineStr">
        <is>
          <t>W2 (08-14 May)</t>
        </is>
      </c>
      <c r="H47" s="106">
        <f>COUNTIFS('Monthly Report May-26 Cleaned'!$Z$2:$Z$2787,"&gt;="&amp;DATE(2026,5,8),'Monthly Report May-26 Cleaned'!$Z$2:$Z$2787,"&lt;="&amp;DATE(2026,5,14))</f>
        <v/>
      </c>
      <c r="I47" s="153">
        <f>H47/$H$51</f>
        <v/>
      </c>
    </row>
    <row r="48">
      <c r="A48" s="158" t="n">
        <v>46153</v>
      </c>
      <c r="B48" s="106">
        <f>COUNTIF('Monthly Report May-26 Cleaned'!$Z$2:$Z$2787,$A48)</f>
        <v/>
      </c>
      <c r="C48" s="106">
        <f>COUNTIFS('Monthly Report May-26 Cleaned'!$Z$2:$Z$2787,$A48,'Monthly Report May-26 Cleaned'!$F$2:$F$2787,"Closed")</f>
        <v/>
      </c>
      <c r="D48" s="144">
        <f>COUNTIFS('Monthly Report May-26 Cleaned'!$Z$2:$Z$2787,$A48,'Monthly Report May-26 Cleaned'!$F$2:$F$2787,"WIP")</f>
        <v/>
      </c>
      <c r="G48" s="151" t="inlineStr">
        <is>
          <t>W3 (15-21 May)</t>
        </is>
      </c>
      <c r="H48" s="106">
        <f>COUNTIFS('Monthly Report May-26 Cleaned'!$Z$2:$Z$2787,"&gt;="&amp;DATE(2026,5,15),'Monthly Report May-26 Cleaned'!$Z$2:$Z$2787,"&lt;="&amp;DATE(2026,5,21))</f>
        <v/>
      </c>
      <c r="I48" s="153">
        <f>H48/$H$51</f>
        <v/>
      </c>
    </row>
    <row r="49">
      <c r="A49" s="158" t="n">
        <v>46154</v>
      </c>
      <c r="B49" s="106">
        <f>COUNTIF('Monthly Report May-26 Cleaned'!$Z$2:$Z$2787,$A49)</f>
        <v/>
      </c>
      <c r="C49" s="106">
        <f>COUNTIFS('Monthly Report May-26 Cleaned'!$Z$2:$Z$2787,$A49,'Monthly Report May-26 Cleaned'!$F$2:$F$2787,"Closed")</f>
        <v/>
      </c>
      <c r="D49" s="144">
        <f>COUNTIFS('Monthly Report May-26 Cleaned'!$Z$2:$Z$2787,$A49,'Monthly Report May-26 Cleaned'!$F$2:$F$2787,"WIP")</f>
        <v/>
      </c>
      <c r="G49" s="151" t="inlineStr">
        <is>
          <t>W4 (22-28 May)</t>
        </is>
      </c>
      <c r="H49" s="106">
        <f>COUNTIFS('Monthly Report May-26 Cleaned'!$Z$2:$Z$2787,"&gt;="&amp;DATE(2026,5,22),'Monthly Report May-26 Cleaned'!$Z$2:$Z$2787,"&lt;="&amp;DATE(2026,5,28))</f>
        <v/>
      </c>
      <c r="I49" s="153">
        <f>H49/$H$51</f>
        <v/>
      </c>
    </row>
    <row r="50">
      <c r="A50" s="158" t="n">
        <v>46155</v>
      </c>
      <c r="B50" s="106">
        <f>COUNTIF('Monthly Report May-26 Cleaned'!$Z$2:$Z$2787,$A50)</f>
        <v/>
      </c>
      <c r="C50" s="106">
        <f>COUNTIFS('Monthly Report May-26 Cleaned'!$Z$2:$Z$2787,$A50,'Monthly Report May-26 Cleaned'!$F$2:$F$2787,"Closed")</f>
        <v/>
      </c>
      <c r="D50" s="144">
        <f>COUNTIFS('Monthly Report May-26 Cleaned'!$Z$2:$Z$2787,$A50,'Monthly Report May-26 Cleaned'!$F$2:$F$2787,"WIP")</f>
        <v/>
      </c>
      <c r="G50" s="151" t="inlineStr">
        <is>
          <t>W5 (29-31 May)</t>
        </is>
      </c>
      <c r="H50" s="106">
        <f>COUNTIFS('Monthly Report May-26 Cleaned'!$Z$2:$Z$2787,"&gt;="&amp;DATE(2026,5,29),'Monthly Report May-26 Cleaned'!$Z$2:$Z$2787,"&lt;="&amp;DATE(2026,5,31))</f>
        <v/>
      </c>
      <c r="I50" s="153">
        <f>H50/$H$51</f>
        <v/>
      </c>
    </row>
    <row r="51" ht="15" customHeight="1" s="233" thickBot="1">
      <c r="A51" s="158" t="n">
        <v>46156</v>
      </c>
      <c r="B51" s="106">
        <f>COUNTIF('Monthly Report May-26 Cleaned'!$Z$2:$Z$2787,$A51)</f>
        <v/>
      </c>
      <c r="C51" s="106">
        <f>COUNTIFS('Monthly Report May-26 Cleaned'!$Z$2:$Z$2787,$A51,'Monthly Report May-26 Cleaned'!$F$2:$F$2787,"Closed")</f>
        <v/>
      </c>
      <c r="D51" s="144">
        <f>COUNTIFS('Monthly Report May-26 Cleaned'!$Z$2:$Z$2787,$A51,'Monthly Report May-26 Cleaned'!$F$2:$F$2787,"WIP")</f>
        <v/>
      </c>
      <c r="G51" s="154" t="inlineStr">
        <is>
          <t>TOTAL</t>
        </is>
      </c>
      <c r="H51" s="155">
        <f>SUM(H46:H50)</f>
        <v/>
      </c>
      <c r="I51" s="156">
        <f>SUM(I46:I50)</f>
        <v/>
      </c>
    </row>
    <row r="52">
      <c r="A52" s="158" t="n">
        <v>46157</v>
      </c>
      <c r="B52" s="106">
        <f>COUNTIF('Monthly Report May-26 Cleaned'!$Z$2:$Z$2787,$A52)</f>
        <v/>
      </c>
      <c r="C52" s="106">
        <f>COUNTIFS('Monthly Report May-26 Cleaned'!$Z$2:$Z$2787,$A52,'Monthly Report May-26 Cleaned'!$F$2:$F$2787,"Closed")</f>
        <v/>
      </c>
      <c r="D52" s="144">
        <f>COUNTIFS('Monthly Report May-26 Cleaned'!$Z$2:$Z$2787,$A52,'Monthly Report May-26 Cleaned'!$F$2:$F$2787,"WIP")</f>
        <v/>
      </c>
    </row>
    <row r="53">
      <c r="A53" s="158" t="n">
        <v>46158</v>
      </c>
      <c r="B53" s="106">
        <f>COUNTIF('Monthly Report May-26 Cleaned'!$Z$2:$Z$2787,$A53)</f>
        <v/>
      </c>
      <c r="C53" s="106">
        <f>COUNTIFS('Monthly Report May-26 Cleaned'!$Z$2:$Z$2787,$A53,'Monthly Report May-26 Cleaned'!$F$2:$F$2787,"Closed")</f>
        <v/>
      </c>
      <c r="D53" s="144">
        <f>COUNTIFS('Monthly Report May-26 Cleaned'!$Z$2:$Z$2787,$A53,'Monthly Report May-26 Cleaned'!$F$2:$F$2787,"WIP")</f>
        <v/>
      </c>
    </row>
    <row r="54" ht="16.5" customHeight="1" s="233" thickBot="1">
      <c r="A54" s="158" t="n">
        <v>46159</v>
      </c>
      <c r="B54" s="106">
        <f>COUNTIF('Monthly Report May-26 Cleaned'!$Z$2:$Z$2787,$A54)</f>
        <v/>
      </c>
      <c r="C54" s="106">
        <f>COUNTIFS('Monthly Report May-26 Cleaned'!$Z$2:$Z$2787,$A54,'Monthly Report May-26 Cleaned'!$F$2:$F$2787,"Closed")</f>
        <v/>
      </c>
      <c r="D54" s="144">
        <f>COUNTIFS('Monthly Report May-26 Cleaned'!$Z$2:$Z$2787,$A54,'Monthly Report May-26 Cleaned'!$F$2:$F$2787,"WIP")</f>
        <v/>
      </c>
      <c r="G54" s="202" t="inlineStr">
        <is>
          <t>MANUFACTURING PLANT-WISE</t>
        </is>
      </c>
    </row>
    <row r="55">
      <c r="A55" s="158" t="n">
        <v>46160</v>
      </c>
      <c r="B55" s="106">
        <f>COUNTIF('Monthly Report May-26 Cleaned'!$Z$2:$Z$2787,$A55)</f>
        <v/>
      </c>
      <c r="C55" s="106">
        <f>COUNTIFS('Monthly Report May-26 Cleaned'!$Z$2:$Z$2787,$A55,'Monthly Report May-26 Cleaned'!$F$2:$F$2787,"Closed")</f>
        <v/>
      </c>
      <c r="D55" s="144">
        <f>COUNTIFS('Monthly Report May-26 Cleaned'!$Z$2:$Z$2787,$A55,'Monthly Report May-26 Cleaned'!$F$2:$F$2787,"WIP")</f>
        <v/>
      </c>
      <c r="G55" s="160" t="inlineStr">
        <is>
          <t>Plant</t>
        </is>
      </c>
      <c r="H55" s="161" t="inlineStr">
        <is>
          <t>Modules</t>
        </is>
      </c>
      <c r="I55" s="162" t="inlineStr">
        <is>
          <t>% Share</t>
        </is>
      </c>
    </row>
    <row r="56">
      <c r="A56" s="158" t="n">
        <v>46161</v>
      </c>
      <c r="B56" s="106">
        <f>COUNTIF('Monthly Report May-26 Cleaned'!$Z$2:$Z$2787,$A56)</f>
        <v/>
      </c>
      <c r="C56" s="106">
        <f>COUNTIFS('Monthly Report May-26 Cleaned'!$Z$2:$Z$2787,$A56,'Monthly Report May-26 Cleaned'!$F$2:$F$2787,"Closed")</f>
        <v/>
      </c>
      <c r="D56" s="144">
        <f>COUNTIFS('Monthly Report May-26 Cleaned'!$Z$2:$Z$2787,$A56,'Monthly Report May-26 Cleaned'!$F$2:$F$2787,"WIP")</f>
        <v/>
      </c>
      <c r="G56" s="163" t="inlineStr">
        <is>
          <t>P4</t>
        </is>
      </c>
      <c r="H56" s="129">
        <f>COUNTIFS('Monthly Report May-26 Cleaned'!$T$2:$T$2787,$G56,'Monthly Report May-26 Cleaned'!$F$2:$F$2787,"Closed",'Monthly Report May-26 Cleaned'!$X$2:$X$2787,"&gt;="&amp;DATE(2026,5,1),'Monthly Report May-26 Cleaned'!$X$2:$X$2787,"&lt;="&amp;DATE(2026,5,31))</f>
        <v/>
      </c>
      <c r="I56" s="164">
        <f>H56/$H$60</f>
        <v/>
      </c>
    </row>
    <row r="57">
      <c r="A57" s="158" t="n">
        <v>46162</v>
      </c>
      <c r="B57" s="106">
        <f>COUNTIF('Monthly Report May-26 Cleaned'!$Z$2:$Z$2787,$A57)</f>
        <v/>
      </c>
      <c r="C57" s="106">
        <f>COUNTIFS('Monthly Report May-26 Cleaned'!$Z$2:$Z$2787,$A57,'Monthly Report May-26 Cleaned'!$F$2:$F$2787,"Closed")</f>
        <v/>
      </c>
      <c r="D57" s="144">
        <f>COUNTIFS('Monthly Report May-26 Cleaned'!$Z$2:$Z$2787,$A57,'Monthly Report May-26 Cleaned'!$F$2:$F$2787,"WIP")</f>
        <v/>
      </c>
      <c r="G57" s="163" t="inlineStr">
        <is>
          <t>P2</t>
        </is>
      </c>
      <c r="H57" s="129">
        <f>COUNTIFS('Monthly Report May-26 Cleaned'!$T$2:$T$2787,$G57,'Monthly Report May-26 Cleaned'!$F$2:$F$2787,"Closed",'Monthly Report May-26 Cleaned'!$X$2:$X$2787,"&gt;="&amp;DATE(2026,5,1),'Monthly Report May-26 Cleaned'!$X$2:$X$2787,"&lt;="&amp;DATE(2026,5,31))</f>
        <v/>
      </c>
      <c r="I57" s="164">
        <f>H57/$H$60</f>
        <v/>
      </c>
    </row>
    <row r="58">
      <c r="A58" s="158" t="n">
        <v>46163</v>
      </c>
      <c r="B58" s="106">
        <f>COUNTIF('Monthly Report May-26 Cleaned'!$Z$2:$Z$2787,$A58)</f>
        <v/>
      </c>
      <c r="C58" s="106">
        <f>COUNTIFS('Monthly Report May-26 Cleaned'!$Z$2:$Z$2787,$A58,'Monthly Report May-26 Cleaned'!$F$2:$F$2787,"Closed")</f>
        <v/>
      </c>
      <c r="D58" s="144">
        <f>COUNTIFS('Monthly Report May-26 Cleaned'!$Z$2:$Z$2787,$A58,'Monthly Report May-26 Cleaned'!$F$2:$F$2787,"WIP")</f>
        <v/>
      </c>
      <c r="G58" s="163" t="inlineStr">
        <is>
          <t>P1</t>
        </is>
      </c>
      <c r="H58" s="129">
        <f>COUNTIFS('Monthly Report May-26 Cleaned'!$T$2:$T$2787,$G58,'Monthly Report May-26 Cleaned'!$F$2:$F$2787,"Closed",'Monthly Report May-26 Cleaned'!$X$2:$X$2787,"&gt;="&amp;DATE(2026,5,1),'Monthly Report May-26 Cleaned'!$X$2:$X$2787,"&lt;="&amp;DATE(2026,5,31))</f>
        <v/>
      </c>
      <c r="I58" s="164">
        <f>H58/$H$60</f>
        <v/>
      </c>
    </row>
    <row r="59">
      <c r="A59" s="158" t="n">
        <v>46164</v>
      </c>
      <c r="B59" s="106">
        <f>COUNTIF('Monthly Report May-26 Cleaned'!$Z$2:$Z$2787,$A59)</f>
        <v/>
      </c>
      <c r="C59" s="106">
        <f>COUNTIFS('Monthly Report May-26 Cleaned'!$Z$2:$Z$2787,$A59,'Monthly Report May-26 Cleaned'!$F$2:$F$2787,"Closed")</f>
        <v/>
      </c>
      <c r="D59" s="144">
        <f>COUNTIFS('Monthly Report May-26 Cleaned'!$Z$2:$Z$2787,$A59,'Monthly Report May-26 Cleaned'!$F$2:$F$2787,"WIP")</f>
        <v/>
      </c>
      <c r="G59" s="163" t="inlineStr">
        <is>
          <t>Prime Pack</t>
        </is>
      </c>
      <c r="H59" s="129">
        <f>COUNTIFS('Monthly Report May-26 Cleaned'!$T$2:$T$2787,$G59,'Monthly Report May-26 Cleaned'!$F$2:$F$2787,"Closed",'Monthly Report May-26 Cleaned'!$X$2:$X$2787,"&gt;="&amp;DATE(2026,5,1),'Monthly Report May-26 Cleaned'!$X$2:$X$2787,"&lt;="&amp;DATE(2026,5,31))</f>
        <v/>
      </c>
      <c r="I59" s="164">
        <f>H59/$H$60</f>
        <v/>
      </c>
    </row>
    <row r="60" ht="15" customHeight="1" s="233" thickBot="1">
      <c r="A60" s="158" t="n">
        <v>46165</v>
      </c>
      <c r="B60" s="106">
        <f>COUNTIF('Monthly Report May-26 Cleaned'!$Z$2:$Z$2787,$A60)</f>
        <v/>
      </c>
      <c r="C60" s="106">
        <f>COUNTIFS('Monthly Report May-26 Cleaned'!$Z$2:$Z$2787,$A60,'Monthly Report May-26 Cleaned'!$F$2:$F$2787,"Closed")</f>
        <v/>
      </c>
      <c r="D60" s="144">
        <f>COUNTIFS('Monthly Report May-26 Cleaned'!$Z$2:$Z$2787,$A60,'Monthly Report May-26 Cleaned'!$F$2:$F$2787,"WIP")</f>
        <v/>
      </c>
      <c r="G60" s="165" t="inlineStr">
        <is>
          <t>TOTAL</t>
        </is>
      </c>
      <c r="H60" s="166">
        <f>SUM(H56:H59)</f>
        <v/>
      </c>
      <c r="I60" s="167">
        <f>SUM(I56:I59)</f>
        <v/>
      </c>
    </row>
    <row r="61">
      <c r="A61" s="158" t="n">
        <v>46166</v>
      </c>
      <c r="B61" s="106">
        <f>COUNTIF('Monthly Report May-26 Cleaned'!$Z$2:$Z$2787,$A61)</f>
        <v/>
      </c>
      <c r="C61" s="106">
        <f>COUNTIFS('Monthly Report May-26 Cleaned'!$Z$2:$Z$2787,$A61,'Monthly Report May-26 Cleaned'!$F$2:$F$2787,"Closed")</f>
        <v/>
      </c>
      <c r="D61" s="144">
        <f>COUNTIFS('Monthly Report May-26 Cleaned'!$Z$2:$Z$2787,$A61,'Monthly Report May-26 Cleaned'!$F$2:$F$2787,"WIP")</f>
        <v/>
      </c>
    </row>
    <row r="62">
      <c r="A62" s="158" t="n">
        <v>46167</v>
      </c>
      <c r="B62" s="106">
        <f>COUNTIF('Monthly Report May-26 Cleaned'!$Z$2:$Z$2787,$A62)</f>
        <v/>
      </c>
      <c r="C62" s="106">
        <f>COUNTIFS('Monthly Report May-26 Cleaned'!$Z$2:$Z$2787,$A62,'Monthly Report May-26 Cleaned'!$F$2:$F$2787,"Closed")</f>
        <v/>
      </c>
      <c r="D62" s="144">
        <f>COUNTIFS('Monthly Report May-26 Cleaned'!$Z$2:$Z$2787,$A62,'Monthly Report May-26 Cleaned'!$F$2:$F$2787,"WIP")</f>
        <v/>
      </c>
    </row>
    <row r="63">
      <c r="A63" s="158" t="n">
        <v>46168</v>
      </c>
      <c r="B63" s="106">
        <f>COUNTIF('Monthly Report May-26 Cleaned'!$Z$2:$Z$2787,$A63)</f>
        <v/>
      </c>
      <c r="C63" s="106">
        <f>COUNTIFS('Monthly Report May-26 Cleaned'!$Z$2:$Z$2787,$A63,'Monthly Report May-26 Cleaned'!$F$2:$F$2787,"Closed")</f>
        <v/>
      </c>
      <c r="D63" s="144">
        <f>COUNTIFS('Monthly Report May-26 Cleaned'!$Z$2:$Z$2787,$A63,'Monthly Report May-26 Cleaned'!$F$2:$F$2787,"WIP")</f>
        <v/>
      </c>
    </row>
    <row r="64" ht="16.5" customHeight="1" s="233" thickBot="1">
      <c r="A64" s="158" t="n">
        <v>46169</v>
      </c>
      <c r="B64" s="106">
        <f>COUNTIF('Monthly Report May-26 Cleaned'!$Z$2:$Z$2787,$A64)</f>
        <v/>
      </c>
      <c r="C64" s="106">
        <f>COUNTIFS('Monthly Report May-26 Cleaned'!$Z$2:$Z$2787,$A64,'Monthly Report May-26 Cleaned'!$F$2:$F$2787,"Closed")</f>
        <v/>
      </c>
      <c r="D64" s="144">
        <f>COUNTIFS('Monthly Report May-26 Cleaned'!$Z$2:$Z$2787,$A64,'Monthly Report May-26 Cleaned'!$F$2:$F$2787,"WIP")</f>
        <v/>
      </c>
      <c r="G64" s="110" t="inlineStr">
        <is>
          <t>TAT - COMPLAINT RAISED vs CLOSED</t>
        </is>
      </c>
    </row>
    <row r="65">
      <c r="A65" s="158" t="n">
        <v>46170</v>
      </c>
      <c r="B65" s="106">
        <f>COUNTIF('Monthly Report May-26 Cleaned'!$Z$2:$Z$2787,$A65)</f>
        <v/>
      </c>
      <c r="C65" s="106">
        <f>COUNTIFS('Monthly Report May-26 Cleaned'!$Z$2:$Z$2787,$A65,'Monthly Report May-26 Cleaned'!$F$2:$F$2787,"Closed")</f>
        <v/>
      </c>
      <c r="D65" s="144">
        <f>COUNTIFS('Monthly Report May-26 Cleaned'!$Z$2:$Z$2787,$A65,'Monthly Report May-26 Cleaned'!$F$2:$F$2787,"WIP")</f>
        <v/>
      </c>
      <c r="G65" s="160" t="inlineStr">
        <is>
          <t>TAT Bucket (Days)</t>
        </is>
      </c>
      <c r="H65" s="161" t="inlineStr">
        <is>
          <t>Modules</t>
        </is>
      </c>
      <c r="I65" s="162" t="n"/>
    </row>
    <row r="66">
      <c r="A66" s="158" t="n">
        <v>46171</v>
      </c>
      <c r="B66" s="106">
        <f>COUNTIF('Monthly Report May-26 Cleaned'!$Z$2:$Z$2787,$A66)</f>
        <v/>
      </c>
      <c r="C66" s="106">
        <f>COUNTIFS('Monthly Report May-26 Cleaned'!$Z$2:$Z$2787,$A66,'Monthly Report May-26 Cleaned'!$F$2:$F$2787,"Closed")</f>
        <v/>
      </c>
      <c r="D66" s="144">
        <f>COUNTIFS('Monthly Report May-26 Cleaned'!$Z$2:$Z$2787,$A66,'Monthly Report May-26 Cleaned'!$F$2:$F$2787,"WIP")</f>
        <v/>
      </c>
      <c r="G66" s="163" t="inlineStr">
        <is>
          <t>0 - 3 days</t>
        </is>
      </c>
      <c r="H66" s="129">
        <f>COUNTIFS('Monthly Report May-26 Cleaned'!$Y$2:$Y$2787,"&gt;=0",'Monthly Report May-26 Cleaned'!$Y$2:$Y$2787,"&lt;=3",'Monthly Report May-26 Cleaned'!$F$2:$F$2787,"Closed",'Monthly Report May-26 Cleaned'!$X$2:$X$2787,"&gt;="&amp;DATE(2026,5,1),'Monthly Report May-26 Cleaned'!$X$2:$X$2787,"&lt;="&amp;DATE(2026,5,31))</f>
        <v/>
      </c>
      <c r="I66" s="164">
        <f>H66/$H$71</f>
        <v/>
      </c>
    </row>
    <row r="67">
      <c r="A67" s="158" t="n">
        <v>46172</v>
      </c>
      <c r="B67" s="106">
        <f>COUNTIF('Monthly Report May-26 Cleaned'!$Z$2:$Z$2787,$A67)</f>
        <v/>
      </c>
      <c r="C67" s="106">
        <f>COUNTIFS('Monthly Report May-26 Cleaned'!$Z$2:$Z$2787,$A67,'Monthly Report May-26 Cleaned'!$F$2:$F$2787,"Closed")</f>
        <v/>
      </c>
      <c r="D67" s="144">
        <f>COUNTIFS('Monthly Report May-26 Cleaned'!$Z$2:$Z$2787,$A67,'Monthly Report May-26 Cleaned'!$F$2:$F$2787,"WIP")</f>
        <v/>
      </c>
      <c r="G67" s="163" t="inlineStr">
        <is>
          <t>4 - 7 days</t>
        </is>
      </c>
      <c r="H67" s="129">
        <f>COUNTIFS('Monthly Report May-26 Cleaned'!$Y$2:$Y$2787,"&gt;=4",'Monthly Report May-26 Cleaned'!$Y$2:$Y$2787,"&lt;=7",'Monthly Report May-26 Cleaned'!$F$2:$F$2787,"Closed",'Monthly Report May-26 Cleaned'!$X$2:$X$2787,"&gt;="&amp;DATE(2026,5,1),'Monthly Report May-26 Cleaned'!$X$2:$X$2787,"&lt;="&amp;DATE(2026,5,31))</f>
        <v/>
      </c>
      <c r="I67" s="164">
        <f>H67/$H$71</f>
        <v/>
      </c>
    </row>
    <row r="68" ht="15" customHeight="1" s="233" thickBot="1">
      <c r="A68" s="159" t="n">
        <v>46173</v>
      </c>
      <c r="B68" s="146">
        <f>COUNTIF('Monthly Report May-26 Cleaned'!$Z$2:$Z$2787,$A68)</f>
        <v/>
      </c>
      <c r="C68" s="146">
        <f>COUNTIFS('Monthly Report May-26 Cleaned'!$Z$2:$Z$2787,$A68,'Monthly Report May-26 Cleaned'!$F$2:$F$2787,"Closed")</f>
        <v/>
      </c>
      <c r="D68" s="148">
        <f>COUNTIFS('Monthly Report May-26 Cleaned'!$Z$2:$Z$2787,$A68,'Monthly Report May-26 Cleaned'!$F$2:$F$2787,"WIP")</f>
        <v/>
      </c>
      <c r="G68" s="163" t="inlineStr">
        <is>
          <t>8 - 15 days</t>
        </is>
      </c>
      <c r="H68" s="129">
        <f>COUNTIFS('Monthly Report May-26 Cleaned'!$Y$2:$Y$2787,"&gt;=8",'Monthly Report May-26 Cleaned'!$Y$2:$Y$2787,"&lt;=15",'Monthly Report May-26 Cleaned'!$F$2:$F$2787,"Closed",'Monthly Report May-26 Cleaned'!$X$2:$X$2787,"&gt;="&amp;DATE(2026,5,1),'Monthly Report May-26 Cleaned'!$X$2:$X$2787,"&lt;="&amp;DATE(2026,5,31))</f>
        <v/>
      </c>
      <c r="I68" s="164">
        <f>H68/$H$71</f>
        <v/>
      </c>
    </row>
    <row r="69">
      <c r="B69" s="106" t="n"/>
      <c r="C69" s="106" t="n"/>
      <c r="D69" s="106" t="n"/>
      <c r="G69" s="163" t="inlineStr">
        <is>
          <t>16 - 30 days</t>
        </is>
      </c>
      <c r="H69" s="129">
        <f>COUNTIFS('Monthly Report May-26 Cleaned'!$Y$2:$Y$2787,"&gt;=16",'Monthly Report May-26 Cleaned'!$Y$2:$Y$2787,"&lt;=30",'Monthly Report May-26 Cleaned'!$F$2:$F$2787,"Closed",'Monthly Report May-26 Cleaned'!$X$2:$X$2787,"&gt;="&amp;DATE(2026,5,1),'Monthly Report May-26 Cleaned'!$X$2:$X$2787,"&lt;="&amp;DATE(2026,5,31))</f>
        <v/>
      </c>
      <c r="I69" s="164">
        <f>H69/$H$71</f>
        <v/>
      </c>
    </row>
    <row r="70">
      <c r="G70" s="163" t="inlineStr">
        <is>
          <t>&gt; 30 days</t>
        </is>
      </c>
      <c r="H70" s="129">
        <f>COUNTIFS('Monthly Report May-26 Cleaned'!$Y$2:$Y$2787,"&gt;30",'Monthly Report May-26 Cleaned'!$F$2:$F$2787,"Closed",'Monthly Report May-26 Cleaned'!$X$2:$X$2787,"&gt;="&amp;DATE(2026,5,1),'Monthly Report May-26 Cleaned'!$X$2:$X$2787,"&lt;="&amp;DATE(2026,5,31))</f>
        <v/>
      </c>
      <c r="I70" s="164">
        <f>H70/$H$71</f>
        <v/>
      </c>
    </row>
    <row r="71" ht="15" customHeight="1" s="233" thickBot="1">
      <c r="G71" s="165" t="inlineStr">
        <is>
          <t>TOTAL</t>
        </is>
      </c>
      <c r="H71" s="166">
        <f>SUM(H66:H70)</f>
        <v/>
      </c>
      <c r="I71" s="167">
        <f>SUM(I66:I70)</f>
        <v/>
      </c>
    </row>
    <row r="72">
      <c r="G72" s="111" t="inlineStr">
        <is>
          <t>Avg TAT (days)</t>
        </is>
      </c>
      <c r="H72" s="130">
        <f>ROUND(AVERAGEIFS('Monthly Report May-26 Cleaned'!$Y$2:$Y$2787,'Monthly Report May-26 Cleaned'!$Y$2:$Y$2787,"&gt;=0",'Monthly Report May-26 Cleaned'!$F$2:$F$2787,"Closed",'Monthly Report May-26 Cleaned'!$X$2:$X$2787,"&gt;="&amp;DATE(2026,5,1),'Monthly Report May-26 Cleaned'!$X$2:$X$2787,"&lt;="&amp;DATE(2026,5,31)),1)</f>
        <v/>
      </c>
    </row>
    <row r="74" ht="16" customHeight="1" s="233">
      <c r="A74" s="241" t="inlineStr">
        <is>
          <t>MODULE TYPE DEFECT ANALYSIS - MAY 2026</t>
        </is>
      </c>
    </row>
    <row r="75">
      <c r="A75" s="207" t="inlineStr">
        <is>
          <t>Defect Type (Our Evaluation)</t>
        </is>
      </c>
      <c r="B75" s="207" t="inlineStr">
        <is>
          <t>G2B</t>
        </is>
      </c>
      <c r="C75" s="207" t="inlineStr">
        <is>
          <t>G2TB</t>
        </is>
      </c>
      <c r="D75" s="207" t="inlineStr">
        <is>
          <t>G2G</t>
        </is>
      </c>
      <c r="E75" s="207" t="inlineStr">
        <is>
          <t>Grand Total</t>
        </is>
      </c>
    </row>
    <row r="76">
      <c r="A76" s="213" t="inlineStr">
        <is>
          <t>Cold Soldering</t>
        </is>
      </c>
      <c r="B76" s="214">
        <f>COUNTIFS('Monthly Report May-26 Cleaned'!$N$2:$N$2680,A76,'Monthly Report May-26 Cleaned'!$S$2:$S$2680,B$75,'Monthly Report May-26 Cleaned'!$AF$2:$AF$2680,"Closed in May")</f>
        <v/>
      </c>
      <c r="C76" s="214">
        <f>COUNTIFS('Monthly Report May-26 Cleaned'!$N$2:$N$2680,A76,'Monthly Report May-26 Cleaned'!$S$2:$S$2680,C$75,'Monthly Report May-26 Cleaned'!$AF$2:$AF$2680,"Closed in May")</f>
        <v/>
      </c>
      <c r="D76" s="214">
        <f>COUNTIFS('Monthly Report May-26 Cleaned'!$N$2:$N$2680,A76,'Monthly Report May-26 Cleaned'!$S$2:$S$2680,D$75,'Monthly Report May-26 Cleaned'!$AF$2:$AF$2680,"Closed in May")</f>
        <v/>
      </c>
      <c r="E76" s="215">
        <f>SUM(B76:D76)</f>
        <v/>
      </c>
    </row>
    <row r="77">
      <c r="A77" s="210" t="inlineStr">
        <is>
          <t>Hotspot</t>
        </is>
      </c>
      <c r="B77" s="208">
        <f>COUNTIFS('Monthly Report May-26 Cleaned'!$N$2:$N$2680,A77,'Monthly Report May-26 Cleaned'!$S$2:$S$2680,B$75,'Monthly Report May-26 Cleaned'!$AF$2:$AF$2680,"Closed in May")</f>
        <v/>
      </c>
      <c r="C77" s="208">
        <f>COUNTIFS('Monthly Report May-26 Cleaned'!$N$2:$N$2680,A77,'Monthly Report May-26 Cleaned'!$S$2:$S$2680,C$75,'Monthly Report May-26 Cleaned'!$AF$2:$AF$2680,"Closed in May")</f>
        <v/>
      </c>
      <c r="D77" s="208">
        <f>COUNTIFS('Monthly Report May-26 Cleaned'!$N$2:$N$2680,A77,'Monthly Report May-26 Cleaned'!$S$2:$S$2680,D$75,'Monthly Report May-26 Cleaned'!$AF$2:$AF$2680,"Closed in May")</f>
        <v/>
      </c>
      <c r="E77" s="209">
        <f>SUM(B77:D77)</f>
        <v/>
      </c>
    </row>
    <row r="78">
      <c r="A78" s="216" t="inlineStr">
        <is>
          <t>JB Issue</t>
        </is>
      </c>
      <c r="B78" s="214">
        <f>COUNTIFS('Monthly Report May-26 Cleaned'!$N$2:$N$2680,A78,'Monthly Report May-26 Cleaned'!$S$2:$S$2680,B$75,'Monthly Report May-26 Cleaned'!$AF$2:$AF$2680,"Closed in May")</f>
        <v/>
      </c>
      <c r="C78" s="214">
        <f>COUNTIFS('Monthly Report May-26 Cleaned'!$N$2:$N$2680,A78,'Monthly Report May-26 Cleaned'!$S$2:$S$2680,C$75,'Monthly Report May-26 Cleaned'!$AF$2:$AF$2680,"Closed in May")</f>
        <v/>
      </c>
      <c r="D78" s="214">
        <f>COUNTIFS('Monthly Report May-26 Cleaned'!$N$2:$N$2680,A78,'Monthly Report May-26 Cleaned'!$S$2:$S$2680,D$75,'Monthly Report May-26 Cleaned'!$AF$2:$AF$2680,"Closed in May")</f>
        <v/>
      </c>
      <c r="E78" s="215">
        <f>SUM(B78:D78)</f>
        <v/>
      </c>
    </row>
    <row r="79">
      <c r="A79" s="210" t="inlineStr">
        <is>
          <t>Glass Breakage</t>
        </is>
      </c>
      <c r="B79" s="208">
        <f>COUNTIFS('Monthly Report May-26 Cleaned'!$N$2:$N$2680,A79,'Monthly Report May-26 Cleaned'!$S$2:$S$2680,B$75,'Monthly Report May-26 Cleaned'!$AF$2:$AF$2680,"Closed in May")</f>
        <v/>
      </c>
      <c r="C79" s="208">
        <f>COUNTIFS('Monthly Report May-26 Cleaned'!$N$2:$N$2680,A79,'Monthly Report May-26 Cleaned'!$S$2:$S$2680,C$75,'Monthly Report May-26 Cleaned'!$AF$2:$AF$2680,"Closed in May")</f>
        <v/>
      </c>
      <c r="D79" s="208">
        <f>COUNTIFS('Monthly Report May-26 Cleaned'!$N$2:$N$2680,A79,'Monthly Report May-26 Cleaned'!$S$2:$S$2680,D$75,'Monthly Report May-26 Cleaned'!$AF$2:$AF$2680,"Closed in May")</f>
        <v/>
      </c>
      <c r="E79" s="209">
        <f>SUM(B79:D79)</f>
        <v/>
      </c>
    </row>
    <row r="80">
      <c r="A80" s="216" t="inlineStr">
        <is>
          <t>No Issue</t>
        </is>
      </c>
      <c r="B80" s="214">
        <f>COUNTIFS('Monthly Report May-26 Cleaned'!$N$2:$N$2680,A80,'Monthly Report May-26 Cleaned'!$S$2:$S$2680,B$75,'Monthly Report May-26 Cleaned'!$AF$2:$AF$2680,"Closed in May")</f>
        <v/>
      </c>
      <c r="C80" s="214">
        <f>COUNTIFS('Monthly Report May-26 Cleaned'!$N$2:$N$2680,A80,'Monthly Report May-26 Cleaned'!$S$2:$S$2680,C$75,'Monthly Report May-26 Cleaned'!$AF$2:$AF$2680,"Closed in May")</f>
        <v/>
      </c>
      <c r="D80" s="214">
        <f>COUNTIFS('Monthly Report May-26 Cleaned'!$N$2:$N$2680,A80,'Monthly Report May-26 Cleaned'!$S$2:$S$2680,D$75,'Monthly Report May-26 Cleaned'!$AF$2:$AF$2680,"Closed in May")</f>
        <v/>
      </c>
      <c r="E80" s="215">
        <f>SUM(B80:D80)</f>
        <v/>
      </c>
    </row>
    <row r="81">
      <c r="A81" s="210" t="inlineStr">
        <is>
          <t>Tab lead Burn</t>
        </is>
      </c>
      <c r="B81" s="208">
        <f>COUNTIFS('Monthly Report May-26 Cleaned'!$N$2:$N$2680,A81,'Monthly Report May-26 Cleaned'!$S$2:$S$2680,B$75,'Monthly Report May-26 Cleaned'!$AF$2:$AF$2680,"Closed in May")</f>
        <v/>
      </c>
      <c r="C81" s="208">
        <f>COUNTIFS('Monthly Report May-26 Cleaned'!$N$2:$N$2680,A81,'Monthly Report May-26 Cleaned'!$S$2:$S$2680,C$75,'Monthly Report May-26 Cleaned'!$AF$2:$AF$2680,"Closed in May")</f>
        <v/>
      </c>
      <c r="D81" s="208">
        <f>COUNTIFS('Monthly Report May-26 Cleaned'!$N$2:$N$2680,A81,'Monthly Report May-26 Cleaned'!$S$2:$S$2680,D$75,'Monthly Report May-26 Cleaned'!$AF$2:$AF$2680,"Closed in May")</f>
        <v/>
      </c>
      <c r="E81" s="209">
        <f>SUM(B81:D81)</f>
        <v/>
      </c>
    </row>
    <row r="82">
      <c r="A82" s="216" t="inlineStr">
        <is>
          <t>Backsheet Scratches</t>
        </is>
      </c>
      <c r="B82" s="214">
        <f>COUNTIFS('Monthly Report May-26 Cleaned'!$N$2:$N$2680,A82,'Monthly Report May-26 Cleaned'!$S$2:$S$2680,B$75,'Monthly Report May-26 Cleaned'!$AF$2:$AF$2680,"Closed in May")</f>
        <v/>
      </c>
      <c r="C82" s="214">
        <f>COUNTIFS('Monthly Report May-26 Cleaned'!$N$2:$N$2680,A82,'Monthly Report May-26 Cleaned'!$S$2:$S$2680,C$75,'Monthly Report May-26 Cleaned'!$AF$2:$AF$2680,"Closed in May")</f>
        <v/>
      </c>
      <c r="D82" s="214">
        <f>COUNTIFS('Monthly Report May-26 Cleaned'!$N$2:$N$2680,A82,'Monthly Report May-26 Cleaned'!$S$2:$S$2680,D$75,'Monthly Report May-26 Cleaned'!$AF$2:$AF$2680,"Closed in May")</f>
        <v/>
      </c>
      <c r="E82" s="215">
        <f>SUM(B82:D82)</f>
        <v/>
      </c>
    </row>
    <row r="83">
      <c r="A83" s="210" t="inlineStr">
        <is>
          <t>Cell Contamination</t>
        </is>
      </c>
      <c r="B83" s="208">
        <f>COUNTIFS('Monthly Report May-26 Cleaned'!$N$2:$N$2680,A83,'Monthly Report May-26 Cleaned'!$S$2:$S$2680,B$75,'Monthly Report May-26 Cleaned'!$AF$2:$AF$2680,"Closed in May")</f>
        <v/>
      </c>
      <c r="C83" s="208">
        <f>COUNTIFS('Monthly Report May-26 Cleaned'!$N$2:$N$2680,A83,'Monthly Report May-26 Cleaned'!$S$2:$S$2680,C$75,'Monthly Report May-26 Cleaned'!$AF$2:$AF$2680,"Closed in May")</f>
        <v/>
      </c>
      <c r="D83" s="208">
        <f>COUNTIFS('Monthly Report May-26 Cleaned'!$N$2:$N$2680,A83,'Monthly Report May-26 Cleaned'!$S$2:$S$2680,D$75,'Monthly Report May-26 Cleaned'!$AF$2:$AF$2680,"Closed in May")</f>
        <v/>
      </c>
      <c r="E83" s="209">
        <f>SUM(B83:D83)</f>
        <v/>
      </c>
    </row>
    <row r="84">
      <c r="A84" s="216" t="inlineStr">
        <is>
          <t>Cell Chip</t>
        </is>
      </c>
      <c r="B84" s="214">
        <f>COUNTIFS('Monthly Report May-26 Cleaned'!$N$2:$N$2680,A84,'Monthly Report May-26 Cleaned'!$S$2:$S$2680,B$75,'Monthly Report May-26 Cleaned'!$AF$2:$AF$2680,"Closed in May")</f>
        <v/>
      </c>
      <c r="C84" s="214">
        <f>COUNTIFS('Monthly Report May-26 Cleaned'!$N$2:$N$2680,A84,'Monthly Report May-26 Cleaned'!$S$2:$S$2680,C$75,'Monthly Report May-26 Cleaned'!$AF$2:$AF$2680,"Closed in May")</f>
        <v/>
      </c>
      <c r="D84" s="214">
        <f>COUNTIFS('Monthly Report May-26 Cleaned'!$N$2:$N$2680,A84,'Monthly Report May-26 Cleaned'!$S$2:$S$2680,D$75,'Monthly Report May-26 Cleaned'!$AF$2:$AF$2680,"Closed in May")</f>
        <v/>
      </c>
      <c r="E84" s="215">
        <f>SUM(B84:D84)</f>
        <v/>
      </c>
    </row>
    <row r="85">
      <c r="A85" s="210" t="inlineStr">
        <is>
          <t>Cell Crack</t>
        </is>
      </c>
      <c r="B85" s="208">
        <f>COUNTIFS('Monthly Report May-26 Cleaned'!$N$2:$N$2680,A85,'Monthly Report May-26 Cleaned'!$S$2:$S$2680,B$75,'Monthly Report May-26 Cleaned'!$AF$2:$AF$2680,"Closed in May")</f>
        <v/>
      </c>
      <c r="C85" s="208">
        <f>COUNTIFS('Monthly Report May-26 Cleaned'!$N$2:$N$2680,A85,'Monthly Report May-26 Cleaned'!$S$2:$S$2680,C$75,'Monthly Report May-26 Cleaned'!$AF$2:$AF$2680,"Closed in May")</f>
        <v/>
      </c>
      <c r="D85" s="208">
        <f>COUNTIFS('Monthly Report May-26 Cleaned'!$N$2:$N$2680,A85,'Monthly Report May-26 Cleaned'!$S$2:$S$2680,D$75,'Monthly Report May-26 Cleaned'!$AF$2:$AF$2680,"Closed in May")</f>
        <v/>
      </c>
      <c r="E85" s="209">
        <f>SUM(B85:D85)</f>
        <v/>
      </c>
    </row>
    <row r="86">
      <c r="A86" s="216" t="inlineStr">
        <is>
          <t>Improper Ribbon Soldering</t>
        </is>
      </c>
      <c r="B86" s="214">
        <f>COUNTIFS('Monthly Report May-26 Cleaned'!$N$2:$N$2680,A86,'Monthly Report May-26 Cleaned'!$S$2:$S$2680,B$75,'Monthly Report May-26 Cleaned'!$AF$2:$AF$2680,"Closed in May")</f>
        <v/>
      </c>
      <c r="C86" s="214">
        <f>COUNTIFS('Monthly Report May-26 Cleaned'!$N$2:$N$2680,A86,'Monthly Report May-26 Cleaned'!$S$2:$S$2680,C$75,'Monthly Report May-26 Cleaned'!$AF$2:$AF$2680,"Closed in May")</f>
        <v/>
      </c>
      <c r="D86" s="214">
        <f>COUNTIFS('Monthly Report May-26 Cleaned'!$N$2:$N$2680,A86,'Monthly Report May-26 Cleaned'!$S$2:$S$2680,D$75,'Monthly Report May-26 Cleaned'!$AF$2:$AF$2680,"Closed in May")</f>
        <v/>
      </c>
      <c r="E86" s="215">
        <f>SUM(B86:D86)</f>
        <v/>
      </c>
    </row>
    <row r="87">
      <c r="A87" s="210" t="inlineStr">
        <is>
          <t>Forign Particle - Cell Piece</t>
        </is>
      </c>
      <c r="B87" s="208">
        <f>COUNTIFS('Monthly Report May-26 Cleaned'!$N$2:$N$2680,A87,'Monthly Report May-26 Cleaned'!$S$2:$S$2680,B$75,'Monthly Report May-26 Cleaned'!$AF$2:$AF$2680,"Closed in May")</f>
        <v/>
      </c>
      <c r="C87" s="208">
        <f>COUNTIFS('Monthly Report May-26 Cleaned'!$N$2:$N$2680,A87,'Monthly Report May-26 Cleaned'!$S$2:$S$2680,C$75,'Monthly Report May-26 Cleaned'!$AF$2:$AF$2680,"Closed in May")</f>
        <v/>
      </c>
      <c r="D87" s="208">
        <f>COUNTIFS('Monthly Report May-26 Cleaned'!$N$2:$N$2680,A87,'Monthly Report May-26 Cleaned'!$S$2:$S$2680,D$75,'Monthly Report May-26 Cleaned'!$AF$2:$AF$2680,"Closed in May")</f>
        <v/>
      </c>
      <c r="E87" s="209">
        <f>SUM(B87:D87)</f>
        <v/>
      </c>
    </row>
    <row r="88">
      <c r="A88" s="216" t="inlineStr">
        <is>
          <t>Air entrapment during the lamination process</t>
        </is>
      </c>
      <c r="B88" s="214">
        <f>COUNTIFS('Monthly Report May-26 Cleaned'!$N$2:$N$2680,A88,'Monthly Report May-26 Cleaned'!$S$2:$S$2680,B$75,'Monthly Report May-26 Cleaned'!$AF$2:$AF$2680,"Closed in May")</f>
        <v/>
      </c>
      <c r="C88" s="214">
        <f>COUNTIFS('Monthly Report May-26 Cleaned'!$N$2:$N$2680,A88,'Monthly Report May-26 Cleaned'!$S$2:$S$2680,C$75,'Monthly Report May-26 Cleaned'!$AF$2:$AF$2680,"Closed in May")</f>
        <v/>
      </c>
      <c r="D88" s="214">
        <f>COUNTIFS('Monthly Report May-26 Cleaned'!$N$2:$N$2680,A88,'Monthly Report May-26 Cleaned'!$S$2:$S$2680,D$75,'Monthly Report May-26 Cleaned'!$AF$2:$AF$2680,"Closed in May")</f>
        <v/>
      </c>
      <c r="E88" s="215">
        <f>SUM(B88:D88)</f>
        <v/>
      </c>
    </row>
    <row r="89">
      <c r="A89" s="210" t="inlineStr">
        <is>
          <t>Aesthetic</t>
        </is>
      </c>
      <c r="B89" s="208">
        <f>COUNTIFS('Monthly Report May-26 Cleaned'!$N$2:$N$2680,A89,'Monthly Report May-26 Cleaned'!$S$2:$S$2680,B$75,'Monthly Report May-26 Cleaned'!$AF$2:$AF$2680,"Closed in May")</f>
        <v/>
      </c>
      <c r="C89" s="208">
        <f>COUNTIFS('Monthly Report May-26 Cleaned'!$N$2:$N$2680,A89,'Monthly Report May-26 Cleaned'!$S$2:$S$2680,C$75,'Monthly Report May-26 Cleaned'!$AF$2:$AF$2680,"Closed in May")</f>
        <v/>
      </c>
      <c r="D89" s="208">
        <f>COUNTIFS('Monthly Report May-26 Cleaned'!$N$2:$N$2680,A89,'Monthly Report May-26 Cleaned'!$S$2:$S$2680,D$75,'Monthly Report May-26 Cleaned'!$AF$2:$AF$2680,"Closed in May")</f>
        <v/>
      </c>
      <c r="E89" s="209">
        <f>SUM(B89:D89)</f>
        <v/>
      </c>
    </row>
    <row r="90">
      <c r="A90" s="216" t="inlineStr">
        <is>
          <t>MC4 connectors damaged</t>
        </is>
      </c>
      <c r="B90" s="214">
        <f>COUNTIFS('Monthly Report May-26 Cleaned'!$N$2:$N$2680,A90,'Monthly Report May-26 Cleaned'!$S$2:$S$2680,B$75,'Monthly Report May-26 Cleaned'!$AF$2:$AF$2680,"Closed in May")</f>
        <v/>
      </c>
      <c r="C90" s="214">
        <f>COUNTIFS('Monthly Report May-26 Cleaned'!$N$2:$N$2680,A90,'Monthly Report May-26 Cleaned'!$S$2:$S$2680,C$75,'Monthly Report May-26 Cleaned'!$AF$2:$AF$2680,"Closed in May")</f>
        <v/>
      </c>
      <c r="D90" s="214">
        <f>COUNTIFS('Monthly Report May-26 Cleaned'!$N$2:$N$2680,A90,'Monthly Report May-26 Cleaned'!$S$2:$S$2680,D$75,'Monthly Report May-26 Cleaned'!$AF$2:$AF$2680,"Closed in May")</f>
        <v/>
      </c>
      <c r="E90" s="215">
        <f>SUM(B90:D90)</f>
        <v/>
      </c>
    </row>
    <row r="91">
      <c r="A91" s="216" t="inlineStr">
        <is>
          <t>Transparent backsheet melt down</t>
        </is>
      </c>
      <c r="B91" s="214">
        <f>COUNTIFS('Monthly Report May-26 Cleaned'!$N$2:$N$2680,A91,'Monthly Report May-26 Cleaned'!$S$2:$S$2680,B$75,'Monthly Report May-26 Cleaned'!$AF$2:$AF$2680,"Closed in May")</f>
        <v/>
      </c>
      <c r="C91" s="214">
        <f>COUNTIFS('Monthly Report May-26 Cleaned'!$N$2:$N$2680,A91,'Monthly Report May-26 Cleaned'!$S$2:$S$2680,C$75,'Monthly Report May-26 Cleaned'!$AF$2:$AF$2680,"Closed in May")</f>
        <v/>
      </c>
      <c r="D91" s="214">
        <f>COUNTIFS('Monthly Report May-26 Cleaned'!$N$2:$N$2680,A91,'Monthly Report May-26 Cleaned'!$S$2:$S$2680,D$75,'Monthly Report May-26 Cleaned'!$AF$2:$AF$2680,"Closed in May")</f>
        <v/>
      </c>
      <c r="E91" s="215">
        <f>SUM(B91:D91)</f>
        <v/>
      </c>
    </row>
    <row r="92">
      <c r="A92" s="211" t="inlineStr">
        <is>
          <t>Grand Total</t>
        </is>
      </c>
      <c r="B92" s="212">
        <f>SUM(B76:B90)</f>
        <v/>
      </c>
      <c r="C92" s="212">
        <f>SUM(C76:C90)</f>
        <v/>
      </c>
      <c r="D92" s="212">
        <f>SUM(D76:D90)</f>
        <v/>
      </c>
      <c r="E92" s="212">
        <f>SUM(E76:E91)</f>
        <v/>
      </c>
    </row>
  </sheetData>
  <mergeCells count="9">
    <mergeCell ref="A9:H9"/>
    <mergeCell ref="G44:I44"/>
    <mergeCell ref="A38:D38"/>
    <mergeCell ref="A1:I1"/>
    <mergeCell ref="A74:E74"/>
    <mergeCell ref="B3:I3"/>
    <mergeCell ref="G17:I17"/>
    <mergeCell ref="G30:I30"/>
    <mergeCell ref="A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D16" sqref="D16"/>
    </sheetView>
  </sheetViews>
  <sheetFormatPr baseColWidth="8" defaultRowHeight="14.5"/>
  <cols>
    <col width="37.54296875" bestFit="1" customWidth="1" style="233" min="1" max="1"/>
    <col width="15.81640625" bestFit="1" customWidth="1" style="233" min="2" max="2"/>
    <col width="37.54296875" bestFit="1" customWidth="1" style="233" min="4" max="4"/>
  </cols>
  <sheetData>
    <row r="1" ht="18.5" customHeight="1" s="233">
      <c r="A1" s="245" t="inlineStr">
        <is>
          <t>MAY 2026 - DEFECT ANALYSIS (PIVOT)</t>
        </is>
      </c>
    </row>
    <row r="3">
      <c r="A3" s="168" t="inlineStr">
        <is>
          <t>May Closed Flag</t>
        </is>
      </c>
      <c r="B3" t="inlineStr">
        <is>
          <t>(Multiple Items)</t>
        </is>
      </c>
    </row>
    <row r="5">
      <c r="A5" s="168" t="inlineStr">
        <is>
          <t>Row Labels</t>
        </is>
      </c>
      <c r="B5" t="inlineStr">
        <is>
          <t>Module Count</t>
        </is>
      </c>
    </row>
    <row r="6">
      <c r="A6" s="169" t="inlineStr">
        <is>
          <t>Air entrapment during the lamination process</t>
        </is>
      </c>
      <c r="B6" t="n">
        <v>1</v>
      </c>
    </row>
    <row r="7">
      <c r="A7" s="169" t="inlineStr">
        <is>
          <t>Cell Chip</t>
        </is>
      </c>
      <c r="B7" t="n">
        <v>1</v>
      </c>
    </row>
    <row r="8">
      <c r="A8" s="169" t="inlineStr">
        <is>
          <t>Cell Crack</t>
        </is>
      </c>
      <c r="B8" t="n">
        <v>1</v>
      </c>
    </row>
    <row r="9">
      <c r="A9" s="169" t="inlineStr">
        <is>
          <t>Cold Soldering</t>
        </is>
      </c>
      <c r="B9" t="n">
        <v>2190</v>
      </c>
    </row>
    <row r="10">
      <c r="A10" s="169" t="inlineStr">
        <is>
          <t>Forign Particle - Cell Piece</t>
        </is>
      </c>
      <c r="B10" t="n">
        <v>1</v>
      </c>
    </row>
    <row r="11">
      <c r="A11" s="169" t="inlineStr">
        <is>
          <t>Glass Breakage</t>
        </is>
      </c>
      <c r="B11" t="n">
        <v>2</v>
      </c>
    </row>
    <row r="12">
      <c r="A12" s="169" t="inlineStr">
        <is>
          <t>Improper Ribbon Soldering</t>
        </is>
      </c>
      <c r="B12" t="n">
        <v>1</v>
      </c>
    </row>
    <row r="13">
      <c r="A13" s="169" t="inlineStr">
        <is>
          <t>JB Issue</t>
        </is>
      </c>
      <c r="B13" t="n">
        <v>205</v>
      </c>
    </row>
    <row r="14">
      <c r="A14" s="169" t="inlineStr">
        <is>
          <t>MC4 connectors damaged</t>
        </is>
      </c>
      <c r="B14" t="n">
        <v>1</v>
      </c>
    </row>
    <row r="15">
      <c r="A15" s="169" t="inlineStr">
        <is>
          <t>No Issue</t>
        </is>
      </c>
      <c r="B15" t="n">
        <v>70</v>
      </c>
    </row>
    <row r="16">
      <c r="A16" s="169" t="inlineStr">
        <is>
          <t>Tab lead Burn</t>
        </is>
      </c>
      <c r="B16" t="n">
        <v>5</v>
      </c>
    </row>
    <row r="17">
      <c r="A17" s="169" t="inlineStr">
        <is>
          <t>Transparent backsheet melt down</t>
        </is>
      </c>
      <c r="B17" t="n">
        <v>1</v>
      </c>
    </row>
    <row r="18">
      <c r="A18" s="169" t="inlineStr">
        <is>
          <t>Aesthetic</t>
        </is>
      </c>
      <c r="B18" t="n">
        <v>2</v>
      </c>
    </row>
    <row r="19">
      <c r="A19" s="169" t="inlineStr">
        <is>
          <t>Grand Total</t>
        </is>
      </c>
      <c r="B19" t="n">
        <v>2481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Service Coordinator</dc:creator>
  <dcterms:created xsi:type="dcterms:W3CDTF">2026-05-05T10:35:14Z</dcterms:created>
  <dcterms:modified xsi:type="dcterms:W3CDTF">2026-07-31T12:23:51Z</dcterms:modified>
  <cp:lastModifiedBy>SERVICE DEPARTMENT</cp:lastModifiedBy>
</cp:coreProperties>
</file>